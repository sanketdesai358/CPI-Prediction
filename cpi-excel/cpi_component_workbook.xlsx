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mponent_Tree" sheetId="3" state="visible" r:id="rId3"/>
    <sheet xmlns:r="http://schemas.openxmlformats.org/officeDocument/2006/relationships" name="Methodology" sheetId="4" state="visible" r:id="rId4"/>
    <sheet xmlns:r="http://schemas.openxmlformats.org/officeDocument/2006/relationships" name="Weights" sheetId="5" state="visible" r:id="rId5"/>
    <sheet xmlns:r="http://schemas.openxmlformats.org/officeDocument/2006/relationships" name="Latest_3M" sheetId="6" state="visible" r:id="rId6"/>
    <sheet xmlns:r="http://schemas.openxmlformats.org/officeDocument/2006/relationships" name="Series_Catalog" sheetId="7" state="visible" r:id="rId7"/>
    <sheet xmlns:r="http://schemas.openxmlformats.org/officeDocument/2006/relationships" name="Data_NSA" sheetId="8" state="visible" r:id="rId8"/>
    <sheet xmlns:r="http://schemas.openxmlformats.org/officeDocument/2006/relationships" name="Data_SA" sheetId="9" state="visible" r:id="rId9"/>
    <sheet xmlns:r="http://schemas.openxmlformats.org/officeDocument/2006/relationships" name="Sources" sheetId="10" state="visible" r:id="rId10"/>
  </sheets>
  <definedNames>
    <definedName name="_xlnm._FilterDatabase" localSheetId="2" hidden="1">'Component_Tree'!$A$1:$F$401</definedName>
    <definedName name="_xlnm._FilterDatabase" localSheetId="3" hidden="1">'Methodology'!$A$1:$J$401</definedName>
    <definedName name="_xlnm._FilterDatabase" localSheetId="4" hidden="1">'Weights'!$A$1:$I$401</definedName>
    <definedName name="_xlnm._FilterDatabase" localSheetId="5" hidden="1">'Latest_3M'!$A$3:$Z$403</definedName>
    <definedName name="_xlnm._FilterDatabase" localSheetId="6" hidden="1">'Series_Catalog'!$A$1:$E$727</definedName>
    <definedName name="_xlnm._FilterDatabase" localSheetId="7" hidden="1">'Data_NSA'!$A$1:$OK$142</definedName>
    <definedName name="_xlnm._FilterDatabase" localSheetId="8" hidden="1">'Data_SA'!$A$1:$LO$142</definedName>
    <definedName name="_xlnm._FilterDatabase" localSheetId="9" hidden="1">'Sources'!$A$1:$C$22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00;[Red](0.000);-"/>
    <numFmt numFmtId="166" formatCode="mmm yyyy"/>
    <numFmt numFmtId="167" formatCode="0.0%;[Red](0.0%);-"/>
    <numFmt numFmtId="168" formatCode="yyyy-mm-dd h:mm:ss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</font>
    <font>
      <name val="Calibri"/>
      <color rgb="001F4E79"/>
    </font>
    <font>
      <name val="Calibri"/>
      <color rgb="00008000"/>
      <u val="single"/>
    </font>
    <font>
      <name val="Calibri"/>
      <b val="1"/>
      <color rgb="00FFFFFF"/>
    </font>
    <font>
      <name val="Calibri"/>
      <color rgb="000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7" fontId="6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5" fontId="6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  <xf numFmtId="0" fontId="0" fillId="0" borderId="0" applyAlignment="1" pivotButton="0" quotePrefix="0" xfId="0">
      <alignment indent="3"/>
    </xf>
    <xf numFmtId="0" fontId="0" fillId="0" borderId="0" applyAlignment="1" pivotButton="0" quotePrefix="0" xfId="0">
      <alignment indent="4"/>
    </xf>
    <xf numFmtId="0" fontId="0" fillId="0" borderId="0" applyAlignment="1" pivotButton="0" quotePrefix="0" xfId="0">
      <alignment indent="5"/>
    </xf>
    <xf numFmtId="0" fontId="0" fillId="0" borderId="0" applyAlignment="1" pivotButton="0" quotePrefix="0" xfId="0">
      <alignment indent="6"/>
    </xf>
    <xf numFmtId="0" fontId="0" fillId="0" borderId="0" applyAlignment="1" pivotButton="0" quotePrefix="0" xfId="0">
      <alignment indent="7"/>
    </xf>
    <xf numFmtId="0" fontId="0" fillId="0" borderId="0" applyAlignment="1" pivotButton="0" quotePrefix="0" xfId="0">
      <alignment indent="8"/>
    </xf>
    <xf numFmtId="0" fontId="3" fillId="0" borderId="0" applyAlignment="1" pivotButton="0" quotePrefix="0" xfId="0">
      <alignment vertical="top" wrapText="1"/>
    </xf>
    <xf numFmtId="166" fontId="5" fillId="2" borderId="0" applyAlignment="1" pivotButton="0" quotePrefix="0" xfId="0">
      <alignment horizontal="center" wrapText="1"/>
    </xf>
    <xf numFmtId="165" fontId="3" fillId="0" borderId="0" pivotButton="0" quotePrefix="0" xfId="0"/>
    <xf numFmtId="166" fontId="3" fillId="0" borderId="0" pivotButton="0" quotePrefix="0" xfId="0"/>
    <xf numFmtId="0" fontId="0" fillId="2" borderId="0" pivotButton="0" quotePrefix="0" xfId="0"/>
    <xf numFmtId="166" fontId="5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Codex</author>
  </authors>
  <commentList>
    <comment ref="C2" authorId="0" shapeId="0">
      <text>
        <t>Source: BLS page, 2026-10-24, https://www.bls.gov/cpi/factsheets/</t>
      </text>
    </comment>
    <comment ref="D2" authorId="0" shapeId="0">
      <text>
        <t>Source: BLS page, 2026-10-24, https://www.bls.gov/cpi/factsheets/</t>
      </text>
    </comment>
    <comment ref="E2" authorId="0" shapeId="0">
      <text>
        <t>Source: BLS page, 2026-10-24, https://www.bls.gov/cpi/factsheets/</t>
      </text>
    </comment>
    <comment ref="F2" authorId="0" shapeId="0">
      <text>
        <t>Source: BLS page, 2026-10-24, https://www.bls.gov/cpi/factsheets/</t>
      </text>
    </comment>
    <comment ref="C3" authorId="0" shapeId="0">
      <text>
        <t>Source: BLS page, 2026-10-24, https://www.bls.gov/cpi/factsheets/</t>
      </text>
    </comment>
    <comment ref="D3" authorId="0" shapeId="0">
      <text>
        <t>Source: BLS page, 2026-10-24, https://www.bls.gov/cpi/factsheets/</t>
      </text>
    </comment>
    <comment ref="E3" authorId="0" shapeId="0">
      <text>
        <t>Source: BLS page, 2026-10-24, https://www.bls.gov/cpi/factsheets/</t>
      </text>
    </comment>
    <comment ref="F3" authorId="0" shapeId="0">
      <text>
        <t>Source: BLS page, 2026-10-24, https://www.bls.gov/cpi/factsheets/</t>
      </text>
    </comment>
    <comment ref="C4" authorId="0" shapeId="0">
      <text>
        <t>Source: BLS page, 2026-10-24, https://www.bls.gov/cpi/factsheets/</t>
      </text>
    </comment>
    <comment ref="D4" authorId="0" shapeId="0">
      <text>
        <t>Source: BLS page, 2026-10-24, https://www.bls.gov/cpi/factsheets/</t>
      </text>
    </comment>
    <comment ref="E4" authorId="0" shapeId="0">
      <text>
        <t>Source: BLS page, 2026-10-24, https://www.bls.gov/cpi/factsheets/</t>
      </text>
    </comment>
    <comment ref="F4" authorId="0" shapeId="0">
      <text>
        <t>Source: BLS page, 2026-10-24, https://www.bls.gov/cpi/factsheets/</t>
      </text>
    </comment>
    <comment ref="C5" authorId="0" shapeId="0">
      <text>
        <t>Source: BLS page, 2026-10-24, https://www.bls.gov/cpi/factsheets/</t>
      </text>
    </comment>
    <comment ref="D5" authorId="0" shapeId="0">
      <text>
        <t>Source: BLS page, 2026-10-24, https://www.bls.gov/cpi/factsheets/</t>
      </text>
    </comment>
    <comment ref="E5" authorId="0" shapeId="0">
      <text>
        <t>Source: BLS page, 2026-10-24, https://www.bls.gov/cpi/factsheets/</t>
      </text>
    </comment>
    <comment ref="F5" authorId="0" shapeId="0">
      <text>
        <t>Source: BLS page, 2026-10-24, https://www.bls.gov/cpi/factsheets/</t>
      </text>
    </comment>
    <comment ref="C6" authorId="0" shapeId="0">
      <text>
        <t>Source: BLS page, 2026-10-24, https://www.bls.gov/cpi/factsheets/</t>
      </text>
    </comment>
    <comment ref="D6" authorId="0" shapeId="0">
      <text>
        <t>Source: BLS page, 2026-10-24, https://www.bls.gov/cpi/factsheets/</t>
      </text>
    </comment>
    <comment ref="E6" authorId="0" shapeId="0">
      <text>
        <t>Source: BLS page, 2026-10-24, https://www.bls.gov/cpi/factsheets/</t>
      </text>
    </comment>
    <comment ref="F6" authorId="0" shapeId="0">
      <text>
        <t>Source: BLS page, 2026-10-24, https://www.bls.gov/cpi/factsheets/</t>
      </text>
    </comment>
    <comment ref="C7" authorId="0" shapeId="0">
      <text>
        <t>Source: BLS page, 2026-10-24, https://www.bls.gov/cpi/factsheets/</t>
      </text>
    </comment>
    <comment ref="D7" authorId="0" shapeId="0">
      <text>
        <t>Source: BLS page, 2026-10-24, https://www.bls.gov/cpi/factsheets/</t>
      </text>
    </comment>
    <comment ref="E7" authorId="0" shapeId="0">
      <text>
        <t>Source: BLS page, 2026-10-24, https://www.bls.gov/cpi/factsheets/</t>
      </text>
    </comment>
    <comment ref="F7" authorId="0" shapeId="0">
      <text>
        <t>Source: BLS page, 2026-10-24, https://www.bls.gov/cpi/factsheets/</t>
      </text>
    </comment>
    <comment ref="C8" authorId="0" shapeId="0">
      <text>
        <t>Source: BLS page, 2026-10-24, https://www.bls.gov/cpi/factsheets/</t>
      </text>
    </comment>
    <comment ref="D8" authorId="0" shapeId="0">
      <text>
        <t>Source: BLS page, 2026-10-24, https://www.bls.gov/cpi/factsheets/</t>
      </text>
    </comment>
    <comment ref="E8" authorId="0" shapeId="0">
      <text>
        <t>Source: BLS page, 2026-10-24, https://www.bls.gov/cpi/factsheets/</t>
      </text>
    </comment>
    <comment ref="F8" authorId="0" shapeId="0">
      <text>
        <t>Source: BLS page, 2026-10-24, https://www.bls.gov/cpi/factsheets/</t>
      </text>
    </comment>
    <comment ref="C9" authorId="0" shapeId="0">
      <text>
        <t>Source: BLS page, 2026-10-24, https://www.bls.gov/cpi/factsheets/</t>
      </text>
    </comment>
    <comment ref="D9" authorId="0" shapeId="0">
      <text>
        <t>Source: BLS page, 2026-10-24, https://www.bls.gov/cpi/factsheets/</t>
      </text>
    </comment>
    <comment ref="E9" authorId="0" shapeId="0">
      <text>
        <t>Source: BLS page, 2026-10-24, https://www.bls.gov/cpi/factsheets/</t>
      </text>
    </comment>
    <comment ref="F9" authorId="0" shapeId="0">
      <text>
        <t>Source: BLS page, 2026-10-24, https://www.bls.gov/cpi/factsheets/</t>
      </text>
    </comment>
    <comment ref="C10" authorId="0" shapeId="0">
      <text>
        <t>Source: BLS page, 2026-10-24, https://www.bls.gov/cpi/factsheets/</t>
      </text>
    </comment>
    <comment ref="D10" authorId="0" shapeId="0">
      <text>
        <t>Source: BLS page, 2026-10-24, https://www.bls.gov/cpi/factsheets/</t>
      </text>
    </comment>
    <comment ref="E10" authorId="0" shapeId="0">
      <text>
        <t>Source: BLS page, 2026-10-24, https://www.bls.gov/cpi/factsheets/</t>
      </text>
    </comment>
    <comment ref="F10" authorId="0" shapeId="0">
      <text>
        <t>Source: BLS page, 2026-10-24, https://www.bls.gov/cpi/factsheets/</t>
      </text>
    </comment>
    <comment ref="C11" authorId="0" shapeId="0">
      <text>
        <t>Source: BLS page, 2026-10-24, https://www.bls.gov/cpi/factsheets/</t>
      </text>
    </comment>
    <comment ref="D11" authorId="0" shapeId="0">
      <text>
        <t>Source: BLS page, 2026-10-24, https://www.bls.gov/cpi/factsheets/</t>
      </text>
    </comment>
    <comment ref="E11" authorId="0" shapeId="0">
      <text>
        <t>Source: BLS page, 2026-10-24, https://www.bls.gov/cpi/factsheets/</t>
      </text>
    </comment>
    <comment ref="F11" authorId="0" shapeId="0">
      <text>
        <t>Source: BLS page, 2026-10-24, https://www.bls.gov/cpi/factsheets/</t>
      </text>
    </comment>
    <comment ref="C12" authorId="0" shapeId="0">
      <text>
        <t>Source: BLS page, 2026-10-24, https://www.bls.gov/cpi/factsheets/</t>
      </text>
    </comment>
    <comment ref="D12" authorId="0" shapeId="0">
      <text>
        <t>Source: BLS page, 2026-10-24, https://www.bls.gov/cpi/factsheets/</t>
      </text>
    </comment>
    <comment ref="E12" authorId="0" shapeId="0">
      <text>
        <t>Source: BLS page, 2026-10-24, https://www.bls.gov/cpi/factsheets/</t>
      </text>
    </comment>
    <comment ref="F12" authorId="0" shapeId="0">
      <text>
        <t>Source: BLS page, 2026-10-24, https://www.bls.gov/cpi/factsheets/</t>
      </text>
    </comment>
    <comment ref="C13" authorId="0" shapeId="0">
      <text>
        <t>Source: BLS page, 2026-10-24, https://www.bls.gov/cpi/factsheets/</t>
      </text>
    </comment>
    <comment ref="D13" authorId="0" shapeId="0">
      <text>
        <t>Source: BLS page, 2026-10-24, https://www.bls.gov/cpi/factsheets/</t>
      </text>
    </comment>
    <comment ref="E13" authorId="0" shapeId="0">
      <text>
        <t>Source: BLS page, 2026-10-24, https://www.bls.gov/cpi/factsheets/</t>
      </text>
    </comment>
    <comment ref="F13" authorId="0" shapeId="0">
      <text>
        <t>Source: BLS page, 2026-10-24, https://www.bls.gov/cpi/factsheets/</t>
      </text>
    </comment>
    <comment ref="C14" authorId="0" shapeId="0">
      <text>
        <t>Source: BLS page, 2026-10-24, https://www.bls.gov/cpi/factsheets/</t>
      </text>
    </comment>
    <comment ref="D14" authorId="0" shapeId="0">
      <text>
        <t>Source: BLS page, 2026-10-24, https://www.bls.gov/cpi/factsheets/</t>
      </text>
    </comment>
    <comment ref="E14" authorId="0" shapeId="0">
      <text>
        <t>Source: BLS page, 2026-10-24, https://www.bls.gov/cpi/factsheets/</t>
      </text>
    </comment>
    <comment ref="F14" authorId="0" shapeId="0">
      <text>
        <t>Source: BLS page, 2026-10-24, https://www.bls.gov/cpi/factsheets/</t>
      </text>
    </comment>
    <comment ref="C15" authorId="0" shapeId="0">
      <text>
        <t>Source: BLS page, 2026-10-24, https://www.bls.gov/cpi/factsheets/</t>
      </text>
    </comment>
    <comment ref="D15" authorId="0" shapeId="0">
      <text>
        <t>Source: BLS page, 2026-10-24, https://www.bls.gov/cpi/factsheets/</t>
      </text>
    </comment>
    <comment ref="E15" authorId="0" shapeId="0">
      <text>
        <t>Source: BLS page, 2026-10-24, https://www.bls.gov/cpi/factsheets/</t>
      </text>
    </comment>
    <comment ref="F15" authorId="0" shapeId="0">
      <text>
        <t>Source: BLS page, 2026-10-24, https://www.bls.gov/cpi/factsheets/</t>
      </text>
    </comment>
    <comment ref="C16" authorId="0" shapeId="0">
      <text>
        <t>Source: BLS page, 2026-10-24, https://www.bls.gov/cpi/factsheets/</t>
      </text>
    </comment>
    <comment ref="D16" authorId="0" shapeId="0">
      <text>
        <t>Source: BLS page, 2026-10-24, https://www.bls.gov/cpi/factsheets/</t>
      </text>
    </comment>
    <comment ref="E16" authorId="0" shapeId="0">
      <text>
        <t>Source: BLS page, 2026-10-24, https://www.bls.gov/cpi/factsheets/</t>
      </text>
    </comment>
    <comment ref="F16" authorId="0" shapeId="0">
      <text>
        <t>Source: BLS page, 2026-10-24, https://www.bls.gov/cpi/factsheets/</t>
      </text>
    </comment>
    <comment ref="C17" authorId="0" shapeId="0">
      <text>
        <t>Source: BLS page, 2026-10-24, https://www.bls.gov/cpi/factsheets/</t>
      </text>
    </comment>
    <comment ref="D17" authorId="0" shapeId="0">
      <text>
        <t>Source: BLS page, 2026-10-24, https://www.bls.gov/cpi/factsheets/</t>
      </text>
    </comment>
    <comment ref="E17" authorId="0" shapeId="0">
      <text>
        <t>Source: BLS page, 2026-10-24, https://www.bls.gov/cpi/factsheets/</t>
      </text>
    </comment>
    <comment ref="F17" authorId="0" shapeId="0">
      <text>
        <t>Source: BLS page, 2026-10-24, https://www.bls.gov/cpi/factsheets/</t>
      </text>
    </comment>
    <comment ref="C18" authorId="0" shapeId="0">
      <text>
        <t>Source: BLS page, 2026-10-24, https://www.bls.gov/cpi/factsheets/</t>
      </text>
    </comment>
    <comment ref="D18" authorId="0" shapeId="0">
      <text>
        <t>Source: BLS page, 2026-10-24, https://www.bls.gov/cpi/factsheets/</t>
      </text>
    </comment>
    <comment ref="E18" authorId="0" shapeId="0">
      <text>
        <t>Source: BLS page, 2026-10-24, https://www.bls.gov/cpi/factsheets/</t>
      </text>
    </comment>
    <comment ref="F18" authorId="0" shapeId="0">
      <text>
        <t>Source: BLS page, 2026-10-24, https://www.bls.gov/cpi/factsheets/</t>
      </text>
    </comment>
    <comment ref="C19" authorId="0" shapeId="0">
      <text>
        <t>Source: BLS page, 2026-10-24, https://www.bls.gov/cpi/factsheets/</t>
      </text>
    </comment>
    <comment ref="D19" authorId="0" shapeId="0">
      <text>
        <t>Source: BLS page, 2026-10-24, https://www.bls.gov/cpi/factsheets/</t>
      </text>
    </comment>
    <comment ref="E19" authorId="0" shapeId="0">
      <text>
        <t>Source: BLS page, 2026-10-24, https://www.bls.gov/cpi/factsheets/</t>
      </text>
    </comment>
    <comment ref="F19" authorId="0" shapeId="0">
      <text>
        <t>Source: BLS page, 2026-10-24, https://www.bls.gov/cpi/factsheets/</t>
      </text>
    </comment>
    <comment ref="C20" authorId="0" shapeId="0">
      <text>
        <t>Source: BLS page, 2026-10-24, https://www.bls.gov/cpi/factsheets/</t>
      </text>
    </comment>
    <comment ref="D20" authorId="0" shapeId="0">
      <text>
        <t>Source: BLS page, 2026-10-24, https://www.bls.gov/cpi/factsheets/</t>
      </text>
    </comment>
    <comment ref="E20" authorId="0" shapeId="0">
      <text>
        <t>Source: BLS page, 2026-10-24, https://www.bls.gov/cpi/factsheets/</t>
      </text>
    </comment>
    <comment ref="F20" authorId="0" shapeId="0">
      <text>
        <t>Source: BLS page, 2026-10-24, https://www.bls.gov/cpi/factsheets/</t>
      </text>
    </comment>
    <comment ref="C21" authorId="0" shapeId="0">
      <text>
        <t>Source: BLS page, 2026-10-24, https://www.bls.gov/cpi/factsheets/</t>
      </text>
    </comment>
    <comment ref="D21" authorId="0" shapeId="0">
      <text>
        <t>Source: BLS page, 2026-10-24, https://www.bls.gov/cpi/factsheets/</t>
      </text>
    </comment>
    <comment ref="E21" authorId="0" shapeId="0">
      <text>
        <t>Source: BLS page, 2026-10-24, https://www.bls.gov/cpi/factsheets/</t>
      </text>
    </comment>
    <comment ref="F21" authorId="0" shapeId="0">
      <text>
        <t>Source: BLS page, 2026-10-24, https://www.bls.gov/cpi/factsheets/</t>
      </text>
    </comment>
    <comment ref="C22" authorId="0" shapeId="0">
      <text>
        <t>Source: BLS page, 2026-10-24, https://www.bls.gov/cpi/factsheets/</t>
      </text>
    </comment>
    <comment ref="D22" authorId="0" shapeId="0">
      <text>
        <t>Source: BLS page, 2026-10-24, https://www.bls.gov/cpi/factsheets/</t>
      </text>
    </comment>
    <comment ref="E22" authorId="0" shapeId="0">
      <text>
        <t>Source: BLS page, 2026-10-24, https://www.bls.gov/cpi/factsheets/</t>
      </text>
    </comment>
    <comment ref="F22" authorId="0" shapeId="0">
      <text>
        <t>Source: BLS page, 2026-10-24, https://www.bls.gov/cpi/factsheets/</t>
      </text>
    </comment>
    <comment ref="C23" authorId="0" shapeId="0">
      <text>
        <t>Source: BLS page, 2026-10-24, https://www.bls.gov/cpi/factsheets/</t>
      </text>
    </comment>
    <comment ref="D23" authorId="0" shapeId="0">
      <text>
        <t>Source: BLS page, 2026-10-24, https://www.bls.gov/cpi/factsheets/</t>
      </text>
    </comment>
    <comment ref="E23" authorId="0" shapeId="0">
      <text>
        <t>Source: BLS page, 2026-10-24, https://www.bls.gov/cpi/factsheets/</t>
      </text>
    </comment>
    <comment ref="F23" authorId="0" shapeId="0">
      <text>
        <t>Source: BLS page, 2026-10-24, https://www.bls.gov/cpi/factsheets/</t>
      </text>
    </comment>
    <comment ref="C24" authorId="0" shapeId="0">
      <text>
        <t>Source: BLS page, 2026-10-24, https://www.bls.gov/cpi/factsheets/</t>
      </text>
    </comment>
    <comment ref="D24" authorId="0" shapeId="0">
      <text>
        <t>Source: BLS page, 2026-10-24, https://www.bls.gov/cpi/factsheets/</t>
      </text>
    </comment>
    <comment ref="E24" authorId="0" shapeId="0">
      <text>
        <t>Source: BLS page, 2026-10-24, https://www.bls.gov/cpi/factsheets/</t>
      </text>
    </comment>
    <comment ref="F24" authorId="0" shapeId="0">
      <text>
        <t>Source: BLS page, 2026-10-24, https://www.bls.gov/cpi/factsheets/</t>
      </text>
    </comment>
    <comment ref="C25" authorId="0" shapeId="0">
      <text>
        <t>Source: BLS page, 2026-10-24, https://www.bls.gov/cpi/factsheets/</t>
      </text>
    </comment>
    <comment ref="D25" authorId="0" shapeId="0">
      <text>
        <t>Source: BLS page, 2026-10-24, https://www.bls.gov/cpi/factsheets/</t>
      </text>
    </comment>
    <comment ref="E25" authorId="0" shapeId="0">
      <text>
        <t>Source: BLS page, 2026-10-24, https://www.bls.gov/cpi/factsheets/</t>
      </text>
    </comment>
    <comment ref="F25" authorId="0" shapeId="0">
      <text>
        <t>Source: BLS page, 2026-10-24, https://www.bls.gov/cpi/factsheets/</t>
      </text>
    </comment>
    <comment ref="C26" authorId="0" shapeId="0">
      <text>
        <t>Source: BLS page, 2026-10-24, https://www.bls.gov/cpi/factsheets/</t>
      </text>
    </comment>
    <comment ref="D26" authorId="0" shapeId="0">
      <text>
        <t>Source: BLS page, 2026-10-24, https://www.bls.gov/cpi/factsheets/</t>
      </text>
    </comment>
    <comment ref="E26" authorId="0" shapeId="0">
      <text>
        <t>Source: BLS page, 2026-10-24, https://www.bls.gov/cpi/factsheets/</t>
      </text>
    </comment>
    <comment ref="F26" authorId="0" shapeId="0">
      <text>
        <t>Source: BLS page, 2026-10-24, https://www.bls.gov/cpi/factsheets/</t>
      </text>
    </comment>
    <comment ref="C27" authorId="0" shapeId="0">
      <text>
        <t>Source: BLS page, 2026-10-24, https://www.bls.gov/cpi/factsheets/</t>
      </text>
    </comment>
    <comment ref="D27" authorId="0" shapeId="0">
      <text>
        <t>Source: BLS page, 2026-10-24, https://www.bls.gov/cpi/factsheets/</t>
      </text>
    </comment>
    <comment ref="E27" authorId="0" shapeId="0">
      <text>
        <t>Source: BLS page, 2026-10-24, https://www.bls.gov/cpi/factsheets/</t>
      </text>
    </comment>
    <comment ref="F27" authorId="0" shapeId="0">
      <text>
        <t>Source: BLS page, 2026-10-24, https://www.bls.gov/cpi/factsheets/</t>
      </text>
    </comment>
    <comment ref="C28" authorId="0" shapeId="0">
      <text>
        <t>Source: BLS page, 2026-10-24, https://www.bls.gov/cpi/factsheets/</t>
      </text>
    </comment>
    <comment ref="D28" authorId="0" shapeId="0">
      <text>
        <t>Source: BLS page, 2026-10-24, https://www.bls.gov/cpi/factsheets/</t>
      </text>
    </comment>
    <comment ref="E28" authorId="0" shapeId="0">
      <text>
        <t>Source: BLS page, 2026-10-24, https://www.bls.gov/cpi/factsheets/</t>
      </text>
    </comment>
    <comment ref="F28" authorId="0" shapeId="0">
      <text>
        <t>Source: BLS page, 2026-10-24, https://www.bls.gov/cpi/factsheets/</t>
      </text>
    </comment>
    <comment ref="C29" authorId="0" shapeId="0">
      <text>
        <t>Source: BLS page, 2026-10-24, https://www.bls.gov/cpi/factsheets/</t>
      </text>
    </comment>
    <comment ref="D29" authorId="0" shapeId="0">
      <text>
        <t>Source: BLS page, 2026-10-24, https://www.bls.gov/cpi/factsheets/</t>
      </text>
    </comment>
    <comment ref="E29" authorId="0" shapeId="0">
      <text>
        <t>Source: BLS page, 2026-10-24, https://www.bls.gov/cpi/factsheets/</t>
      </text>
    </comment>
    <comment ref="F29" authorId="0" shapeId="0">
      <text>
        <t>Source: BLS page, 2026-10-24, https://www.bls.gov/cpi/factsheets/</t>
      </text>
    </comment>
    <comment ref="C30" authorId="0" shapeId="0">
      <text>
        <t>Source: BLS page, 2026-10-24, https://www.bls.gov/cpi/factsheets/</t>
      </text>
    </comment>
    <comment ref="D30" authorId="0" shapeId="0">
      <text>
        <t>Source: BLS page, 2026-10-24, https://www.bls.gov/cpi/factsheets/</t>
      </text>
    </comment>
    <comment ref="E30" authorId="0" shapeId="0">
      <text>
        <t>Source: BLS page, 2026-10-24, https://www.bls.gov/cpi/factsheets/</t>
      </text>
    </comment>
    <comment ref="F30" authorId="0" shapeId="0">
      <text>
        <t>Source: BLS page, 2026-10-24, https://www.bls.gov/cpi/factsheets/</t>
      </text>
    </comment>
    <comment ref="C31" authorId="0" shapeId="0">
      <text>
        <t>Source: BLS page, 2026-10-24, https://www.bls.gov/cpi/factsheets/</t>
      </text>
    </comment>
    <comment ref="D31" authorId="0" shapeId="0">
      <text>
        <t>Source: BLS page, 2026-10-24, https://www.bls.gov/cpi/factsheets/</t>
      </text>
    </comment>
    <comment ref="E31" authorId="0" shapeId="0">
      <text>
        <t>Source: BLS page, 2026-10-24, https://www.bls.gov/cpi/factsheets/</t>
      </text>
    </comment>
    <comment ref="F31" authorId="0" shapeId="0">
      <text>
        <t>Source: BLS page, 2026-10-24, https://www.bls.gov/cpi/factsheets/</t>
      </text>
    </comment>
    <comment ref="C32" authorId="0" shapeId="0">
      <text>
        <t>Source: BLS page, 2026-10-24, https://www.bls.gov/cpi/factsheets/</t>
      </text>
    </comment>
    <comment ref="D32" authorId="0" shapeId="0">
      <text>
        <t>Source: BLS page, 2026-10-24, https://www.bls.gov/cpi/factsheets/</t>
      </text>
    </comment>
    <comment ref="E32" authorId="0" shapeId="0">
      <text>
        <t>Source: BLS page, 2026-10-24, https://www.bls.gov/cpi/factsheets/</t>
      </text>
    </comment>
    <comment ref="F32" authorId="0" shapeId="0">
      <text>
        <t>Source: BLS page, 2026-10-24, https://www.bls.gov/cpi/factsheets/</t>
      </text>
    </comment>
    <comment ref="C33" authorId="0" shapeId="0">
      <text>
        <t>Source: BLS page, 2026-10-24, https://www.bls.gov/cpi/factsheets/</t>
      </text>
    </comment>
    <comment ref="D33" authorId="0" shapeId="0">
      <text>
        <t>Source: BLS page, 2026-10-24, https://www.bls.gov/cpi/factsheets/</t>
      </text>
    </comment>
    <comment ref="E33" authorId="0" shapeId="0">
      <text>
        <t>Source: BLS page, 2026-10-24, https://www.bls.gov/cpi/factsheets/</t>
      </text>
    </comment>
    <comment ref="F33" authorId="0" shapeId="0">
      <text>
        <t>Source: BLS page, 2026-10-24, https://www.bls.gov/cpi/factsheets/</t>
      </text>
    </comment>
    <comment ref="C34" authorId="0" shapeId="0">
      <text>
        <t>Source: BLS page, 2026-10-24, https://www.bls.gov/cpi/factsheets/</t>
      </text>
    </comment>
    <comment ref="D34" authorId="0" shapeId="0">
      <text>
        <t>Source: BLS page, 2026-10-24, https://www.bls.gov/cpi/factsheets/</t>
      </text>
    </comment>
    <comment ref="E34" authorId="0" shapeId="0">
      <text>
        <t>Source: BLS page, 2026-10-24, https://www.bls.gov/cpi/factsheets/</t>
      </text>
    </comment>
    <comment ref="F34" authorId="0" shapeId="0">
      <text>
        <t>Source: BLS page, 2026-10-24, https://www.bls.gov/cpi/factsheets/</t>
      </text>
    </comment>
    <comment ref="C35" authorId="0" shapeId="0">
      <text>
        <t>Source: BLS page, 2026-10-24, https://www.bls.gov/cpi/factsheets/</t>
      </text>
    </comment>
    <comment ref="D35" authorId="0" shapeId="0">
      <text>
        <t>Source: BLS page, 2026-10-24, https://www.bls.gov/cpi/factsheets/</t>
      </text>
    </comment>
    <comment ref="E35" authorId="0" shapeId="0">
      <text>
        <t>Source: BLS page, 2026-10-24, https://www.bls.gov/cpi/factsheets/</t>
      </text>
    </comment>
    <comment ref="F35" authorId="0" shapeId="0">
      <text>
        <t>Source: BLS page, 2026-10-24, https://www.bls.gov/cpi/factsheets/</t>
      </text>
    </comment>
    <comment ref="C36" authorId="0" shapeId="0">
      <text>
        <t>Source: BLS page, 2026-10-24, https://www.bls.gov/cpi/factsheets/</t>
      </text>
    </comment>
    <comment ref="D36" authorId="0" shapeId="0">
      <text>
        <t>Source: BLS page, 2026-10-24, https://www.bls.gov/cpi/factsheets/</t>
      </text>
    </comment>
    <comment ref="E36" authorId="0" shapeId="0">
      <text>
        <t>Source: BLS page, 2026-10-24, https://www.bls.gov/cpi/factsheets/</t>
      </text>
    </comment>
    <comment ref="F36" authorId="0" shapeId="0">
      <text>
        <t>Source: BLS page, 2026-10-24, https://www.bls.gov/cpi/factsheets/</t>
      </text>
    </comment>
    <comment ref="C37" authorId="0" shapeId="0">
      <text>
        <t>Source: BLS page, 2026-10-24, https://www.bls.gov/cpi/factsheets/</t>
      </text>
    </comment>
    <comment ref="D37" authorId="0" shapeId="0">
      <text>
        <t>Source: BLS page, 2026-10-24, https://www.bls.gov/cpi/factsheets/</t>
      </text>
    </comment>
    <comment ref="E37" authorId="0" shapeId="0">
      <text>
        <t>Source: BLS page, 2026-10-24, https://www.bls.gov/cpi/factsheets/</t>
      </text>
    </comment>
    <comment ref="F37" authorId="0" shapeId="0">
      <text>
        <t>Source: BLS page, 2026-10-24, https://www.bls.gov/cpi/factsheets/</t>
      </text>
    </comment>
    <comment ref="C38" authorId="0" shapeId="0">
      <text>
        <t>Source: BLS page, 2026-10-24, https://www.bls.gov/cpi/factsheets/</t>
      </text>
    </comment>
    <comment ref="D38" authorId="0" shapeId="0">
      <text>
        <t>Source: BLS page, 2026-10-24, https://www.bls.gov/cpi/factsheets/</t>
      </text>
    </comment>
    <comment ref="E38" authorId="0" shapeId="0">
      <text>
        <t>Source: BLS page, 2026-10-24, https://www.bls.gov/cpi/factsheets/</t>
      </text>
    </comment>
    <comment ref="F38" authorId="0" shapeId="0">
      <text>
        <t>Source: BLS page, 2026-10-24, https://www.bls.gov/cpi/factsheets/</t>
      </text>
    </comment>
    <comment ref="C39" authorId="0" shapeId="0">
      <text>
        <t>Source: BLS page, 2026-10-24, https://www.bls.gov/cpi/factsheets/</t>
      </text>
    </comment>
    <comment ref="D39" authorId="0" shapeId="0">
      <text>
        <t>Source: BLS page, 2026-10-24, https://www.bls.gov/cpi/factsheets/</t>
      </text>
    </comment>
    <comment ref="E39" authorId="0" shapeId="0">
      <text>
        <t>Source: BLS page, 2026-10-24, https://www.bls.gov/cpi/factsheets/</t>
      </text>
    </comment>
    <comment ref="F39" authorId="0" shapeId="0">
      <text>
        <t>Source: BLS page, 2026-10-24, https://www.bls.gov/cpi/factsheets/</t>
      </text>
    </comment>
    <comment ref="C40" authorId="0" shapeId="0">
      <text>
        <t>Source: BLS page, 2026-10-24, https://www.bls.gov/cpi/factsheets/</t>
      </text>
    </comment>
    <comment ref="D40" authorId="0" shapeId="0">
      <text>
        <t>Source: BLS page, 2026-10-24, https://www.bls.gov/cpi/factsheets/</t>
      </text>
    </comment>
    <comment ref="E40" authorId="0" shapeId="0">
      <text>
        <t>Source: BLS page, 2026-10-24, https://www.bls.gov/cpi/factsheets/</t>
      </text>
    </comment>
    <comment ref="F40" authorId="0" shapeId="0">
      <text>
        <t>Source: BLS page, 2026-10-24, https://www.bls.gov/cpi/factsheets/</t>
      </text>
    </comment>
    <comment ref="C41" authorId="0" shapeId="0">
      <text>
        <t>Source: BLS page, 2026-10-24, https://www.bls.gov/cpi/factsheets/</t>
      </text>
    </comment>
    <comment ref="D41" authorId="0" shapeId="0">
      <text>
        <t>Source: BLS page, 2026-10-24, https://www.bls.gov/cpi/factsheets/</t>
      </text>
    </comment>
    <comment ref="E41" authorId="0" shapeId="0">
      <text>
        <t>Source: BLS page, 2026-10-24, https://www.bls.gov/cpi/factsheets/</t>
      </text>
    </comment>
    <comment ref="F41" authorId="0" shapeId="0">
      <text>
        <t>Source: BLS page, 2026-10-24, https://www.bls.gov/cpi/factsheets/</t>
      </text>
    </comment>
    <comment ref="C42" authorId="0" shapeId="0">
      <text>
        <t>Source: BLS page, 2026-10-24, https://www.bls.gov/cpi/factsheets/</t>
      </text>
    </comment>
    <comment ref="D42" authorId="0" shapeId="0">
      <text>
        <t>Source: BLS page, 2026-10-24, https://www.bls.gov/cpi/factsheets/</t>
      </text>
    </comment>
    <comment ref="E42" authorId="0" shapeId="0">
      <text>
        <t>Source: BLS page, 2026-10-24, https://www.bls.gov/cpi/factsheets/</t>
      </text>
    </comment>
    <comment ref="F42" authorId="0" shapeId="0">
      <text>
        <t>Source: BLS page, 2026-10-24, https://www.bls.gov/cpi/factsheets/</t>
      </text>
    </comment>
    <comment ref="C43" authorId="0" shapeId="0">
      <text>
        <t>Source: BLS page, 2026-10-24, https://www.bls.gov/cpi/factsheets/</t>
      </text>
    </comment>
    <comment ref="D43" authorId="0" shapeId="0">
      <text>
        <t>Source: BLS page, 2026-10-24, https://www.bls.gov/cpi/factsheets/</t>
      </text>
    </comment>
    <comment ref="E43" authorId="0" shapeId="0">
      <text>
        <t>Source: BLS page, 2026-10-24, https://www.bls.gov/cpi/factsheets/</t>
      </text>
    </comment>
    <comment ref="F43" authorId="0" shapeId="0">
      <text>
        <t>Source: BLS page, 2026-10-24, https://www.bls.gov/cpi/factsheets/</t>
      </text>
    </comment>
    <comment ref="C44" authorId="0" shapeId="0">
      <text>
        <t>Source: BLS page, 2026-10-24, https://www.bls.gov/cpi/factsheets/</t>
      </text>
    </comment>
    <comment ref="D44" authorId="0" shapeId="0">
      <text>
        <t>Source: BLS page, 2026-10-24, https://www.bls.gov/cpi/factsheets/</t>
      </text>
    </comment>
    <comment ref="E44" authorId="0" shapeId="0">
      <text>
        <t>Source: BLS page, 2026-10-24, https://www.bls.gov/cpi/factsheets/</t>
      </text>
    </comment>
    <comment ref="F44" authorId="0" shapeId="0">
      <text>
        <t>Source: BLS page, 2026-10-24, https://www.bls.gov/cpi/factsheets/</t>
      </text>
    </comment>
    <comment ref="C45" authorId="0" shapeId="0">
      <text>
        <t>Source: BLS page, 2026-10-24, https://www.bls.gov/cpi/factsheets/</t>
      </text>
    </comment>
    <comment ref="D45" authorId="0" shapeId="0">
      <text>
        <t>Source: BLS page, 2026-10-24, https://www.bls.gov/cpi/factsheets/</t>
      </text>
    </comment>
    <comment ref="E45" authorId="0" shapeId="0">
      <text>
        <t>Source: BLS page, 2026-10-24, https://www.bls.gov/cpi/factsheets/</t>
      </text>
    </comment>
    <comment ref="F45" authorId="0" shapeId="0">
      <text>
        <t>Source: BLS page, 2026-10-24, https://www.bls.gov/cpi/factsheets/</t>
      </text>
    </comment>
    <comment ref="C46" authorId="0" shapeId="0">
      <text>
        <t>Source: BLS page, 2026-10-24, https://www.bls.gov/cpi/factsheets/</t>
      </text>
    </comment>
    <comment ref="D46" authorId="0" shapeId="0">
      <text>
        <t>Source: BLS page, 2026-10-24, https://www.bls.gov/cpi/factsheets/</t>
      </text>
    </comment>
    <comment ref="E46" authorId="0" shapeId="0">
      <text>
        <t>Source: BLS page, 2026-10-24, https://www.bls.gov/cpi/factsheets/</t>
      </text>
    </comment>
    <comment ref="F46" authorId="0" shapeId="0">
      <text>
        <t>Source: BLS page, 2026-10-24, https://www.bls.gov/cpi/factsheets/</t>
      </text>
    </comment>
    <comment ref="C47" authorId="0" shapeId="0">
      <text>
        <t>Source: BLS page, 2026-10-24, https://www.bls.gov/cpi/factsheets/</t>
      </text>
    </comment>
    <comment ref="D47" authorId="0" shapeId="0">
      <text>
        <t>Source: BLS page, 2026-10-24, https://www.bls.gov/cpi/factsheets/</t>
      </text>
    </comment>
    <comment ref="E47" authorId="0" shapeId="0">
      <text>
        <t>Source: BLS page, 2026-10-24, https://www.bls.gov/cpi/factsheets/</t>
      </text>
    </comment>
    <comment ref="F47" authorId="0" shapeId="0">
      <text>
        <t>Source: BLS page, 2026-10-24, https://www.bls.gov/cpi/factsheets/</t>
      </text>
    </comment>
    <comment ref="C48" authorId="0" shapeId="0">
      <text>
        <t>Source: BLS page, 2026-10-24, https://www.bls.gov/cpi/factsheets/</t>
      </text>
    </comment>
    <comment ref="D48" authorId="0" shapeId="0">
      <text>
        <t>Source: BLS page, 2026-10-24, https://www.bls.gov/cpi/factsheets/</t>
      </text>
    </comment>
    <comment ref="E48" authorId="0" shapeId="0">
      <text>
        <t>Source: BLS page, 2026-10-24, https://www.bls.gov/cpi/factsheets/</t>
      </text>
    </comment>
    <comment ref="F48" authorId="0" shapeId="0">
      <text>
        <t>Source: BLS page, 2026-10-24, https://www.bls.gov/cpi/factsheets/</t>
      </text>
    </comment>
    <comment ref="C49" authorId="0" shapeId="0">
      <text>
        <t>Source: BLS page, 2026-10-24, https://www.bls.gov/cpi/factsheets/</t>
      </text>
    </comment>
    <comment ref="D49" authorId="0" shapeId="0">
      <text>
        <t>Source: BLS page, 2026-10-24, https://www.bls.gov/cpi/factsheets/</t>
      </text>
    </comment>
    <comment ref="E49" authorId="0" shapeId="0">
      <text>
        <t>Source: BLS page, 2026-10-24, https://www.bls.gov/cpi/factsheets/</t>
      </text>
    </comment>
    <comment ref="F49" authorId="0" shapeId="0">
      <text>
        <t>Source: BLS page, 2026-10-24, https://www.bls.gov/cpi/factsheets/</t>
      </text>
    </comment>
    <comment ref="C50" authorId="0" shapeId="0">
      <text>
        <t>Source: BLS page, 2026-10-24, https://www.bls.gov/cpi/factsheets/</t>
      </text>
    </comment>
    <comment ref="D50" authorId="0" shapeId="0">
      <text>
        <t>Source: BLS page, 2026-10-24, https://www.bls.gov/cpi/factsheets/</t>
      </text>
    </comment>
    <comment ref="E50" authorId="0" shapeId="0">
      <text>
        <t>Source: BLS page, 2026-10-24, https://www.bls.gov/cpi/factsheets/</t>
      </text>
    </comment>
    <comment ref="F50" authorId="0" shapeId="0">
      <text>
        <t>Source: BLS page, 2026-10-24, https://www.bls.gov/cpi/factsheets/</t>
      </text>
    </comment>
    <comment ref="C51" authorId="0" shapeId="0">
      <text>
        <t>Source: BLS page, 2026-10-24, https://www.bls.gov/cpi/factsheets/</t>
      </text>
    </comment>
    <comment ref="D51" authorId="0" shapeId="0">
      <text>
        <t>Source: BLS page, 2026-10-24, https://www.bls.gov/cpi/factsheets/</t>
      </text>
    </comment>
    <comment ref="E51" authorId="0" shapeId="0">
      <text>
        <t>Source: BLS page, 2026-10-24, https://www.bls.gov/cpi/factsheets/</t>
      </text>
    </comment>
    <comment ref="F51" authorId="0" shapeId="0">
      <text>
        <t>Source: BLS page, 2026-10-24, https://www.bls.gov/cpi/factsheets/</t>
      </text>
    </comment>
    <comment ref="C52" authorId="0" shapeId="0">
      <text>
        <t>Source: BLS page, 2026-10-24, https://www.bls.gov/cpi/factsheets/</t>
      </text>
    </comment>
    <comment ref="D52" authorId="0" shapeId="0">
      <text>
        <t>Source: BLS page, 2026-10-24, https://www.bls.gov/cpi/factsheets/</t>
      </text>
    </comment>
    <comment ref="E52" authorId="0" shapeId="0">
      <text>
        <t>Source: BLS page, 2026-10-24, https://www.bls.gov/cpi/factsheets/</t>
      </text>
    </comment>
    <comment ref="F52" authorId="0" shapeId="0">
      <text>
        <t>Source: BLS page, 2026-10-24, https://www.bls.gov/cpi/factsheets/</t>
      </text>
    </comment>
    <comment ref="C53" authorId="0" shapeId="0">
      <text>
        <t>Source: BLS page, 2026-10-24, https://www.bls.gov/cpi/factsheets/</t>
      </text>
    </comment>
    <comment ref="D53" authorId="0" shapeId="0">
      <text>
        <t>Source: BLS page, 2026-10-24, https://www.bls.gov/cpi/factsheets/</t>
      </text>
    </comment>
    <comment ref="E53" authorId="0" shapeId="0">
      <text>
        <t>Source: BLS page, 2026-10-24, https://www.bls.gov/cpi/factsheets/</t>
      </text>
    </comment>
    <comment ref="F53" authorId="0" shapeId="0">
      <text>
        <t>Source: BLS page, 2026-10-24, https://www.bls.gov/cpi/factsheets/</t>
      </text>
    </comment>
    <comment ref="C54" authorId="0" shapeId="0">
      <text>
        <t>Source: BLS page, 2026-10-24, https://www.bls.gov/cpi/factsheets/</t>
      </text>
    </comment>
    <comment ref="D54" authorId="0" shapeId="0">
      <text>
        <t>Source: BLS page, 2026-10-24, https://www.bls.gov/cpi/factsheets/</t>
      </text>
    </comment>
    <comment ref="E54" authorId="0" shapeId="0">
      <text>
        <t>Source: BLS page, 2026-10-24, https://www.bls.gov/cpi/factsheets/</t>
      </text>
    </comment>
    <comment ref="F54" authorId="0" shapeId="0">
      <text>
        <t>Source: BLS page, 2026-10-24, https://www.bls.gov/cpi/factsheets/</t>
      </text>
    </comment>
    <comment ref="C55" authorId="0" shapeId="0">
      <text>
        <t>Source: BLS page, 2026-10-24, https://www.bls.gov/cpi/factsheets/</t>
      </text>
    </comment>
    <comment ref="D55" authorId="0" shapeId="0">
      <text>
        <t>Source: BLS page, 2026-10-24, https://www.bls.gov/cpi/factsheets/</t>
      </text>
    </comment>
    <comment ref="E55" authorId="0" shapeId="0">
      <text>
        <t>Source: BLS page, 2026-10-24, https://www.bls.gov/cpi/factsheets/</t>
      </text>
    </comment>
    <comment ref="F55" authorId="0" shapeId="0">
      <text>
        <t>Source: BLS page, 2026-10-24, https://www.bls.gov/cpi/factsheets/</t>
      </text>
    </comment>
    <comment ref="C56" authorId="0" shapeId="0">
      <text>
        <t>Source: BLS page, 2026-10-24, https://www.bls.gov/cpi/factsheets/</t>
      </text>
    </comment>
    <comment ref="D56" authorId="0" shapeId="0">
      <text>
        <t>Source: BLS page, 2026-10-24, https://www.bls.gov/cpi/factsheets/</t>
      </text>
    </comment>
    <comment ref="E56" authorId="0" shapeId="0">
      <text>
        <t>Source: BLS page, 2026-10-24, https://www.bls.gov/cpi/factsheets/</t>
      </text>
    </comment>
    <comment ref="F56" authorId="0" shapeId="0">
      <text>
        <t>Source: BLS page, 2026-10-24, https://www.bls.gov/cpi/factsheets/</t>
      </text>
    </comment>
    <comment ref="C57" authorId="0" shapeId="0">
      <text>
        <t>Source: BLS page, 2026-10-24, https://www.bls.gov/cpi/factsheets/</t>
      </text>
    </comment>
    <comment ref="D57" authorId="0" shapeId="0">
      <text>
        <t>Source: BLS page, 2026-10-24, https://www.bls.gov/cpi/factsheets/</t>
      </text>
    </comment>
    <comment ref="E57" authorId="0" shapeId="0">
      <text>
        <t>Source: BLS page, 2026-10-24, https://www.bls.gov/cpi/factsheets/</t>
      </text>
    </comment>
    <comment ref="F57" authorId="0" shapeId="0">
      <text>
        <t>Source: BLS page, 2026-10-24, https://www.bls.gov/cpi/factsheets/</t>
      </text>
    </comment>
    <comment ref="C58" authorId="0" shapeId="0">
      <text>
        <t>Source: BLS page, 2026-10-24, https://www.bls.gov/cpi/factsheets/</t>
      </text>
    </comment>
    <comment ref="D58" authorId="0" shapeId="0">
      <text>
        <t>Source: BLS page, 2026-10-24, https://www.bls.gov/cpi/factsheets/</t>
      </text>
    </comment>
    <comment ref="E58" authorId="0" shapeId="0">
      <text>
        <t>Source: BLS page, 2026-10-24, https://www.bls.gov/cpi/factsheets/</t>
      </text>
    </comment>
    <comment ref="F58" authorId="0" shapeId="0">
      <text>
        <t>Source: BLS page, 2026-10-24, https://www.bls.gov/cpi/factsheets/</t>
      </text>
    </comment>
    <comment ref="C59" authorId="0" shapeId="0">
      <text>
        <t>Source: BLS page, 2026-10-24, https://www.bls.gov/cpi/factsheets/</t>
      </text>
    </comment>
    <comment ref="D59" authorId="0" shapeId="0">
      <text>
        <t>Source: BLS page, 2026-10-24, https://www.bls.gov/cpi/factsheets/</t>
      </text>
    </comment>
    <comment ref="E59" authorId="0" shapeId="0">
      <text>
        <t>Source: BLS page, 2026-10-24, https://www.bls.gov/cpi/factsheets/</t>
      </text>
    </comment>
    <comment ref="F59" authorId="0" shapeId="0">
      <text>
        <t>Source: BLS page, 2026-10-24, https://www.bls.gov/cpi/factsheets/</t>
      </text>
    </comment>
    <comment ref="C60" authorId="0" shapeId="0">
      <text>
        <t>Source: BLS page, 2026-10-24, https://www.bls.gov/cpi/factsheets/</t>
      </text>
    </comment>
    <comment ref="D60" authorId="0" shapeId="0">
      <text>
        <t>Source: BLS page, 2026-10-24, https://www.bls.gov/cpi/factsheets/</t>
      </text>
    </comment>
    <comment ref="E60" authorId="0" shapeId="0">
      <text>
        <t>Source: BLS page, 2026-10-24, https://www.bls.gov/cpi/factsheets/</t>
      </text>
    </comment>
    <comment ref="F60" authorId="0" shapeId="0">
      <text>
        <t>Source: BLS page, 2026-10-24, https://www.bls.gov/cpi/factsheets/</t>
      </text>
    </comment>
    <comment ref="C61" authorId="0" shapeId="0">
      <text>
        <t>Source: BLS page, 2026-10-24, https://www.bls.gov/cpi/factsheets/</t>
      </text>
    </comment>
    <comment ref="D61" authorId="0" shapeId="0">
      <text>
        <t>Source: BLS page, 2026-10-24, https://www.bls.gov/cpi/factsheets/</t>
      </text>
    </comment>
    <comment ref="E61" authorId="0" shapeId="0">
      <text>
        <t>Source: BLS page, 2026-10-24, https://www.bls.gov/cpi/factsheets/</t>
      </text>
    </comment>
    <comment ref="F61" authorId="0" shapeId="0">
      <text>
        <t>Source: BLS page, 2026-10-24, https://www.bls.gov/cpi/factsheets/</t>
      </text>
    </comment>
    <comment ref="C62" authorId="0" shapeId="0">
      <text>
        <t>Source: BLS page, 2026-10-24, https://www.bls.gov/cpi/factsheets/</t>
      </text>
    </comment>
    <comment ref="D62" authorId="0" shapeId="0">
      <text>
        <t>Source: BLS page, 2026-10-24, https://www.bls.gov/cpi/factsheets/</t>
      </text>
    </comment>
    <comment ref="E62" authorId="0" shapeId="0">
      <text>
        <t>Source: BLS page, 2026-10-24, https://www.bls.gov/cpi/factsheets/</t>
      </text>
    </comment>
    <comment ref="F62" authorId="0" shapeId="0">
      <text>
        <t>Source: BLS page, 2026-10-24, https://www.bls.gov/cpi/factsheets/</t>
      </text>
    </comment>
    <comment ref="C63" authorId="0" shapeId="0">
      <text>
        <t>Source: BLS page, 2026-10-24, https://www.bls.gov/cpi/factsheets/</t>
      </text>
    </comment>
    <comment ref="D63" authorId="0" shapeId="0">
      <text>
        <t>Source: BLS page, 2026-10-24, https://www.bls.gov/cpi/factsheets/</t>
      </text>
    </comment>
    <comment ref="E63" authorId="0" shapeId="0">
      <text>
        <t>Source: BLS page, 2026-10-24, https://www.bls.gov/cpi/factsheets/</t>
      </text>
    </comment>
    <comment ref="F63" authorId="0" shapeId="0">
      <text>
        <t>Source: BLS page, 2026-10-24, https://www.bls.gov/cpi/factsheets/</t>
      </text>
    </comment>
    <comment ref="C64" authorId="0" shapeId="0">
      <text>
        <t>Source: BLS page, 2026-10-24, https://www.bls.gov/cpi/factsheets/</t>
      </text>
    </comment>
    <comment ref="D64" authorId="0" shapeId="0">
      <text>
        <t>Source: BLS page, 2026-10-24, https://www.bls.gov/cpi/factsheets/</t>
      </text>
    </comment>
    <comment ref="E64" authorId="0" shapeId="0">
      <text>
        <t>Source: BLS page, 2026-10-24, https://www.bls.gov/cpi/factsheets/</t>
      </text>
    </comment>
    <comment ref="F64" authorId="0" shapeId="0">
      <text>
        <t>Source: BLS page, 2026-10-24, https://www.bls.gov/cpi/factsheets/</t>
      </text>
    </comment>
    <comment ref="C65" authorId="0" shapeId="0">
      <text>
        <t>Source: BLS page, 2026-10-24, https://www.bls.gov/cpi/factsheets/</t>
      </text>
    </comment>
    <comment ref="D65" authorId="0" shapeId="0">
      <text>
        <t>Source: BLS page, 2026-10-24, https://www.bls.gov/cpi/factsheets/</t>
      </text>
    </comment>
    <comment ref="E65" authorId="0" shapeId="0">
      <text>
        <t>Source: BLS page, 2026-10-24, https://www.bls.gov/cpi/factsheets/</t>
      </text>
    </comment>
    <comment ref="F65" authorId="0" shapeId="0">
      <text>
        <t>Source: BLS page, 2026-10-24, https://www.bls.gov/cpi/factsheets/</t>
      </text>
    </comment>
    <comment ref="C66" authorId="0" shapeId="0">
      <text>
        <t>Source: BLS page, 2026-10-24, https://www.bls.gov/cpi/factsheets/</t>
      </text>
    </comment>
    <comment ref="D66" authorId="0" shapeId="0">
      <text>
        <t>Source: BLS page, 2026-10-24, https://www.bls.gov/cpi/factsheets/</t>
      </text>
    </comment>
    <comment ref="E66" authorId="0" shapeId="0">
      <text>
        <t>Source: BLS page, 2026-10-24, https://www.bls.gov/cpi/factsheets/</t>
      </text>
    </comment>
    <comment ref="F66" authorId="0" shapeId="0">
      <text>
        <t>Source: BLS page, 2026-10-24, https://www.bls.gov/cpi/factsheets/</t>
      </text>
    </comment>
    <comment ref="C67" authorId="0" shapeId="0">
      <text>
        <t>Source: BLS page, 2026-10-24, https://www.bls.gov/cpi/factsheets/</t>
      </text>
    </comment>
    <comment ref="D67" authorId="0" shapeId="0">
      <text>
        <t>Source: BLS page, 2026-10-24, https://www.bls.gov/cpi/factsheets/</t>
      </text>
    </comment>
    <comment ref="E67" authorId="0" shapeId="0">
      <text>
        <t>Source: BLS page, 2026-10-24, https://www.bls.gov/cpi/factsheets/</t>
      </text>
    </comment>
    <comment ref="F67" authorId="0" shapeId="0">
      <text>
        <t>Source: BLS page, 2026-10-24, https://www.bls.gov/cpi/factsheets/</t>
      </text>
    </comment>
    <comment ref="C68" authorId="0" shapeId="0">
      <text>
        <t>Source: BLS page, 2026-10-24, https://www.bls.gov/cpi/factsheets/</t>
      </text>
    </comment>
    <comment ref="D68" authorId="0" shapeId="0">
      <text>
        <t>Source: BLS page, 2026-10-24, https://www.bls.gov/cpi/factsheets/</t>
      </text>
    </comment>
    <comment ref="E68" authorId="0" shapeId="0">
      <text>
        <t>Source: BLS page, 2026-10-24, https://www.bls.gov/cpi/factsheets/</t>
      </text>
    </comment>
    <comment ref="F68" authorId="0" shapeId="0">
      <text>
        <t>Source: BLS page, 2026-10-24, https://www.bls.gov/cpi/factsheets/</t>
      </text>
    </comment>
    <comment ref="C69" authorId="0" shapeId="0">
      <text>
        <t>Source: BLS page, 2026-10-24, https://www.bls.gov/cpi/factsheets/</t>
      </text>
    </comment>
    <comment ref="D69" authorId="0" shapeId="0">
      <text>
        <t>Source: BLS page, 2026-10-24, https://www.bls.gov/cpi/factsheets/</t>
      </text>
    </comment>
    <comment ref="E69" authorId="0" shapeId="0">
      <text>
        <t>Source: BLS page, 2026-10-24, https://www.bls.gov/cpi/factsheets/</t>
      </text>
    </comment>
    <comment ref="F69" authorId="0" shapeId="0">
      <text>
        <t>Source: BLS page, 2026-10-24, https://www.bls.gov/cpi/factsheets/</t>
      </text>
    </comment>
    <comment ref="C70" authorId="0" shapeId="0">
      <text>
        <t>Source: BLS page, 2026-10-24, https://www.bls.gov/cpi/factsheets/</t>
      </text>
    </comment>
    <comment ref="D70" authorId="0" shapeId="0">
      <text>
        <t>Source: BLS page, 2026-10-24, https://www.bls.gov/cpi/factsheets/</t>
      </text>
    </comment>
    <comment ref="E70" authorId="0" shapeId="0">
      <text>
        <t>Source: BLS page, 2026-10-24, https://www.bls.gov/cpi/factsheets/</t>
      </text>
    </comment>
    <comment ref="F70" authorId="0" shapeId="0">
      <text>
        <t>Source: BLS page, 2026-10-24, https://www.bls.gov/cpi/factsheets/</t>
      </text>
    </comment>
    <comment ref="C71" authorId="0" shapeId="0">
      <text>
        <t>Source: BLS page, 2026-10-24, https://www.bls.gov/cpi/factsheets/</t>
      </text>
    </comment>
    <comment ref="D71" authorId="0" shapeId="0">
      <text>
        <t>Source: BLS page, 2026-10-24, https://www.bls.gov/cpi/factsheets/</t>
      </text>
    </comment>
    <comment ref="E71" authorId="0" shapeId="0">
      <text>
        <t>Source: BLS page, 2026-10-24, https://www.bls.gov/cpi/factsheets/</t>
      </text>
    </comment>
    <comment ref="F71" authorId="0" shapeId="0">
      <text>
        <t>Source: BLS page, 2026-10-24, https://www.bls.gov/cpi/factsheets/</t>
      </text>
    </comment>
    <comment ref="C72" authorId="0" shapeId="0">
      <text>
        <t>Source: BLS page, 2026-10-24, https://www.bls.gov/cpi/factsheets/</t>
      </text>
    </comment>
    <comment ref="D72" authorId="0" shapeId="0">
      <text>
        <t>Source: BLS page, 2026-10-24, https://www.bls.gov/cpi/factsheets/</t>
      </text>
    </comment>
    <comment ref="E72" authorId="0" shapeId="0">
      <text>
        <t>Source: BLS page, 2026-10-24, https://www.bls.gov/cpi/factsheets/</t>
      </text>
    </comment>
    <comment ref="F72" authorId="0" shapeId="0">
      <text>
        <t>Source: BLS page, 2026-10-24, https://www.bls.gov/cpi/factsheets/</t>
      </text>
    </comment>
    <comment ref="C73" authorId="0" shapeId="0">
      <text>
        <t>Source: BLS page, 2026-10-24, https://www.bls.gov/cpi/factsheets/</t>
      </text>
    </comment>
    <comment ref="D73" authorId="0" shapeId="0">
      <text>
        <t>Source: BLS page, 2026-10-24, https://www.bls.gov/cpi/factsheets/</t>
      </text>
    </comment>
    <comment ref="E73" authorId="0" shapeId="0">
      <text>
        <t>Source: BLS page, 2026-10-24, https://www.bls.gov/cpi/factsheets/</t>
      </text>
    </comment>
    <comment ref="F73" authorId="0" shapeId="0">
      <text>
        <t>Source: BLS page, 2026-10-24, https://www.bls.gov/cpi/factsheets/</t>
      </text>
    </comment>
    <comment ref="C74" authorId="0" shapeId="0">
      <text>
        <t>Source: BLS page, 2026-10-24, https://www.bls.gov/cpi/factsheets/</t>
      </text>
    </comment>
    <comment ref="D74" authorId="0" shapeId="0">
      <text>
        <t>Source: BLS page, 2026-10-24, https://www.bls.gov/cpi/factsheets/</t>
      </text>
    </comment>
    <comment ref="E74" authorId="0" shapeId="0">
      <text>
        <t>Source: BLS page, 2026-10-24, https://www.bls.gov/cpi/factsheets/</t>
      </text>
    </comment>
    <comment ref="F74" authorId="0" shapeId="0">
      <text>
        <t>Source: BLS page, 2026-10-24, https://www.bls.gov/cpi/factsheets/</t>
      </text>
    </comment>
    <comment ref="C75" authorId="0" shapeId="0">
      <text>
        <t>Source: BLS page, 2026-10-24, https://www.bls.gov/cpi/factsheets/</t>
      </text>
    </comment>
    <comment ref="D75" authorId="0" shapeId="0">
      <text>
        <t>Source: BLS page, 2026-10-24, https://www.bls.gov/cpi/factsheets/</t>
      </text>
    </comment>
    <comment ref="E75" authorId="0" shapeId="0">
      <text>
        <t>Source: BLS page, 2026-10-24, https://www.bls.gov/cpi/factsheets/</t>
      </text>
    </comment>
    <comment ref="F75" authorId="0" shapeId="0">
      <text>
        <t>Source: BLS page, 2026-10-24, https://www.bls.gov/cpi/factsheets/</t>
      </text>
    </comment>
    <comment ref="C76" authorId="0" shapeId="0">
      <text>
        <t>Source: BLS page, 2026-10-24, https://www.bls.gov/cpi/factsheets/</t>
      </text>
    </comment>
    <comment ref="D76" authorId="0" shapeId="0">
      <text>
        <t>Source: BLS page, 2026-10-24, https://www.bls.gov/cpi/factsheets/</t>
      </text>
    </comment>
    <comment ref="E76" authorId="0" shapeId="0">
      <text>
        <t>Source: BLS page, 2026-10-24, https://www.bls.gov/cpi/factsheets/</t>
      </text>
    </comment>
    <comment ref="F76" authorId="0" shapeId="0">
      <text>
        <t>Source: BLS page, 2026-10-24, https://www.bls.gov/cpi/factsheets/</t>
      </text>
    </comment>
    <comment ref="C77" authorId="0" shapeId="0">
      <text>
        <t>Source: BLS page, 2026-10-24, https://www.bls.gov/cpi/factsheets/</t>
      </text>
    </comment>
    <comment ref="D77" authorId="0" shapeId="0">
      <text>
        <t>Source: BLS page, 2026-10-24, https://www.bls.gov/cpi/factsheets/</t>
      </text>
    </comment>
    <comment ref="E77" authorId="0" shapeId="0">
      <text>
        <t>Source: BLS page, 2026-10-24, https://www.bls.gov/cpi/factsheets/</t>
      </text>
    </comment>
    <comment ref="F77" authorId="0" shapeId="0">
      <text>
        <t>Source: BLS page, 2026-10-24, https://www.bls.gov/cpi/factsheets/</t>
      </text>
    </comment>
    <comment ref="C78" authorId="0" shapeId="0">
      <text>
        <t>Source: BLS page, 2026-10-24, https://www.bls.gov/cpi/factsheets/</t>
      </text>
    </comment>
    <comment ref="D78" authorId="0" shapeId="0">
      <text>
        <t>Source: BLS page, 2026-10-24, https://www.bls.gov/cpi/factsheets/</t>
      </text>
    </comment>
    <comment ref="E78" authorId="0" shapeId="0">
      <text>
        <t>Source: BLS page, 2026-10-24, https://www.bls.gov/cpi/factsheets/</t>
      </text>
    </comment>
    <comment ref="F78" authorId="0" shapeId="0">
      <text>
        <t>Source: BLS page, 2026-10-24, https://www.bls.gov/cpi/factsheets/</t>
      </text>
    </comment>
    <comment ref="C79" authorId="0" shapeId="0">
      <text>
        <t>Source: BLS page, 2026-10-24, https://www.bls.gov/cpi/factsheets/</t>
      </text>
    </comment>
    <comment ref="D79" authorId="0" shapeId="0">
      <text>
        <t>Source: BLS page, 2026-10-24, https://www.bls.gov/cpi/factsheets/</t>
      </text>
    </comment>
    <comment ref="E79" authorId="0" shapeId="0">
      <text>
        <t>Source: BLS page, 2026-10-24, https://www.bls.gov/cpi/factsheets/</t>
      </text>
    </comment>
    <comment ref="F79" authorId="0" shapeId="0">
      <text>
        <t>Source: BLS page, 2026-10-24, https://www.bls.gov/cpi/factsheets/</t>
      </text>
    </comment>
    <comment ref="C80" authorId="0" shapeId="0">
      <text>
        <t>Source: BLS page, 2026-10-24, https://www.bls.gov/cpi/factsheets/</t>
      </text>
    </comment>
    <comment ref="D80" authorId="0" shapeId="0">
      <text>
        <t>Source: BLS page, 2026-10-24, https://www.bls.gov/cpi/factsheets/</t>
      </text>
    </comment>
    <comment ref="E80" authorId="0" shapeId="0">
      <text>
        <t>Source: BLS page, 2026-10-24, https://www.bls.gov/cpi/factsheets/</t>
      </text>
    </comment>
    <comment ref="F80" authorId="0" shapeId="0">
      <text>
        <t>Source: BLS page, 2026-10-24, https://www.bls.gov/cpi/factsheets/</t>
      </text>
    </comment>
    <comment ref="C81" authorId="0" shapeId="0">
      <text>
        <t>Source: BLS page, 2026-10-24, https://www.bls.gov/cpi/factsheets/</t>
      </text>
    </comment>
    <comment ref="D81" authorId="0" shapeId="0">
      <text>
        <t>Source: BLS page, 2026-10-24, https://www.bls.gov/cpi/factsheets/</t>
      </text>
    </comment>
    <comment ref="E81" authorId="0" shapeId="0">
      <text>
        <t>Source: BLS page, 2026-10-24, https://www.bls.gov/cpi/factsheets/</t>
      </text>
    </comment>
    <comment ref="F81" authorId="0" shapeId="0">
      <text>
        <t>Source: BLS page, 2026-10-24, https://www.bls.gov/cpi/factsheets/</t>
      </text>
    </comment>
    <comment ref="C82" authorId="0" shapeId="0">
      <text>
        <t>Source: BLS page, 2026-10-24, https://www.bls.gov/cpi/factsheets/</t>
      </text>
    </comment>
    <comment ref="D82" authorId="0" shapeId="0">
      <text>
        <t>Source: BLS page, 2026-10-24, https://www.bls.gov/cpi/factsheets/</t>
      </text>
    </comment>
    <comment ref="E82" authorId="0" shapeId="0">
      <text>
        <t>Source: BLS page, 2026-10-24, https://www.bls.gov/cpi/factsheets/</t>
      </text>
    </comment>
    <comment ref="F82" authorId="0" shapeId="0">
      <text>
        <t>Source: BLS page, 2026-10-24, https://www.bls.gov/cpi/factsheets/</t>
      </text>
    </comment>
    <comment ref="C83" authorId="0" shapeId="0">
      <text>
        <t>Source: BLS page, 2026-10-24, https://www.bls.gov/cpi/factsheets/</t>
      </text>
    </comment>
    <comment ref="D83" authorId="0" shapeId="0">
      <text>
        <t>Source: BLS page, 2026-10-24, https://www.bls.gov/cpi/factsheets/</t>
      </text>
    </comment>
    <comment ref="E83" authorId="0" shapeId="0">
      <text>
        <t>Source: BLS page, 2026-10-24, https://www.bls.gov/cpi/factsheets/</t>
      </text>
    </comment>
    <comment ref="F83" authorId="0" shapeId="0">
      <text>
        <t>Source: BLS page, 2026-10-24, https://www.bls.gov/cpi/factsheets/</t>
      </text>
    </comment>
    <comment ref="C84" authorId="0" shapeId="0">
      <text>
        <t>Source: BLS page, 2026-10-24, https://www.bls.gov/cpi/factsheets/</t>
      </text>
    </comment>
    <comment ref="D84" authorId="0" shapeId="0">
      <text>
        <t>Source: BLS page, 2026-10-24, https://www.bls.gov/cpi/factsheets/</t>
      </text>
    </comment>
    <comment ref="E84" authorId="0" shapeId="0">
      <text>
        <t>Source: BLS page, 2026-10-24, https://www.bls.gov/cpi/factsheets/</t>
      </text>
    </comment>
    <comment ref="F84" authorId="0" shapeId="0">
      <text>
        <t>Source: BLS page, 2026-10-24, https://www.bls.gov/cpi/factsheets/</t>
      </text>
    </comment>
    <comment ref="C85" authorId="0" shapeId="0">
      <text>
        <t>Source: BLS page, 2026-10-24, https://www.bls.gov/cpi/factsheets/</t>
      </text>
    </comment>
    <comment ref="D85" authorId="0" shapeId="0">
      <text>
        <t>Source: BLS page, 2026-10-24, https://www.bls.gov/cpi/factsheets/</t>
      </text>
    </comment>
    <comment ref="E85" authorId="0" shapeId="0">
      <text>
        <t>Source: BLS page, 2026-10-24, https://www.bls.gov/cpi/factsheets/</t>
      </text>
    </comment>
    <comment ref="F85" authorId="0" shapeId="0">
      <text>
        <t>Source: BLS page, 2026-10-24, https://www.bls.gov/cpi/factsheets/</t>
      </text>
    </comment>
    <comment ref="C86" authorId="0" shapeId="0">
      <text>
        <t>Source: BLS page, 2026-10-24, https://www.bls.gov/cpi/factsheets/</t>
      </text>
    </comment>
    <comment ref="D86" authorId="0" shapeId="0">
      <text>
        <t>Source: BLS page, 2026-10-24, https://www.bls.gov/cpi/factsheets/</t>
      </text>
    </comment>
    <comment ref="E86" authorId="0" shapeId="0">
      <text>
        <t>Source: BLS page, 2026-10-24, https://www.bls.gov/cpi/factsheets/</t>
      </text>
    </comment>
    <comment ref="F86" authorId="0" shapeId="0">
      <text>
        <t>Source: BLS page, 2026-10-24, https://www.bls.gov/cpi/factsheets/</t>
      </text>
    </comment>
    <comment ref="C87" authorId="0" shapeId="0">
      <text>
        <t>Source: BLS page, 2026-10-24, https://www.bls.gov/cpi/factsheets/</t>
      </text>
    </comment>
    <comment ref="D87" authorId="0" shapeId="0">
      <text>
        <t>Source: BLS page, 2026-10-24, https://www.bls.gov/cpi/factsheets/</t>
      </text>
    </comment>
    <comment ref="E87" authorId="0" shapeId="0">
      <text>
        <t>Source: BLS page, 2026-10-24, https://www.bls.gov/cpi/factsheets/</t>
      </text>
    </comment>
    <comment ref="F87" authorId="0" shapeId="0">
      <text>
        <t>Source: BLS page, 2026-10-24, https://www.bls.gov/cpi/factsheets/</t>
      </text>
    </comment>
    <comment ref="C88" authorId="0" shapeId="0">
      <text>
        <t>Source: BLS page, 2026-10-24, https://www.bls.gov/cpi/factsheets/</t>
      </text>
    </comment>
    <comment ref="D88" authorId="0" shapeId="0">
      <text>
        <t>Source: BLS page, 2026-10-24, https://www.bls.gov/cpi/factsheets/</t>
      </text>
    </comment>
    <comment ref="E88" authorId="0" shapeId="0">
      <text>
        <t>Source: BLS page, 2026-10-24, https://www.bls.gov/cpi/factsheets/</t>
      </text>
    </comment>
    <comment ref="F88" authorId="0" shapeId="0">
      <text>
        <t>Source: BLS page, 2026-10-24, https://www.bls.gov/cpi/factsheets/</t>
      </text>
    </comment>
    <comment ref="C89" authorId="0" shapeId="0">
      <text>
        <t>Source: BLS page, 2026-10-24, https://www.bls.gov/cpi/factsheets/</t>
      </text>
    </comment>
    <comment ref="D89" authorId="0" shapeId="0">
      <text>
        <t>Source: BLS page, 2026-10-24, https://www.bls.gov/cpi/factsheets/</t>
      </text>
    </comment>
    <comment ref="E89" authorId="0" shapeId="0">
      <text>
        <t>Source: BLS page, 2026-10-24, https://www.bls.gov/cpi/factsheets/</t>
      </text>
    </comment>
    <comment ref="F89" authorId="0" shapeId="0">
      <text>
        <t>Source: BLS page, 2026-10-24, https://www.bls.gov/cpi/factsheets/</t>
      </text>
    </comment>
    <comment ref="C90" authorId="0" shapeId="0">
      <text>
        <t>Source: BLS page, 2026-10-24, https://www.bls.gov/cpi/factsheets/</t>
      </text>
    </comment>
    <comment ref="D90" authorId="0" shapeId="0">
      <text>
        <t>Source: BLS page, 2026-10-24, https://www.bls.gov/cpi/factsheets/</t>
      </text>
    </comment>
    <comment ref="E90" authorId="0" shapeId="0">
      <text>
        <t>Source: BLS page, 2026-10-24, https://www.bls.gov/cpi/factsheets/</t>
      </text>
    </comment>
    <comment ref="F90" authorId="0" shapeId="0">
      <text>
        <t>Source: BLS page, 2026-10-24, https://www.bls.gov/cpi/factsheets/</t>
      </text>
    </comment>
    <comment ref="C91" authorId="0" shapeId="0">
      <text>
        <t>Source: BLS page, 2026-10-24, https://www.bls.gov/cpi/factsheets/</t>
      </text>
    </comment>
    <comment ref="D91" authorId="0" shapeId="0">
      <text>
        <t>Source: BLS page, 2026-10-24, https://www.bls.gov/cpi/factsheets/</t>
      </text>
    </comment>
    <comment ref="E91" authorId="0" shapeId="0">
      <text>
        <t>Source: BLS page, 2026-10-24, https://www.bls.gov/cpi/factsheets/</t>
      </text>
    </comment>
    <comment ref="F91" authorId="0" shapeId="0">
      <text>
        <t>Source: BLS page, 2026-10-24, https://www.bls.gov/cpi/factsheets/</t>
      </text>
    </comment>
    <comment ref="C92" authorId="0" shapeId="0">
      <text>
        <t>Source: BLS page, 2026-10-24, https://www.bls.gov/cpi/factsheets/</t>
      </text>
    </comment>
    <comment ref="D92" authorId="0" shapeId="0">
      <text>
        <t>Source: BLS page, 2026-10-24, https://www.bls.gov/cpi/factsheets/</t>
      </text>
    </comment>
    <comment ref="E92" authorId="0" shapeId="0">
      <text>
        <t>Source: BLS page, 2026-10-24, https://www.bls.gov/cpi/factsheets/</t>
      </text>
    </comment>
    <comment ref="F92" authorId="0" shapeId="0">
      <text>
        <t>Source: BLS page, 2026-10-24, https://www.bls.gov/cpi/factsheets/</t>
      </text>
    </comment>
    <comment ref="C93" authorId="0" shapeId="0">
      <text>
        <t>Source: BLS page, 2026-10-24, https://www.bls.gov/cpi/factsheets/</t>
      </text>
    </comment>
    <comment ref="D93" authorId="0" shapeId="0">
      <text>
        <t>Source: BLS page, 2026-10-24, https://www.bls.gov/cpi/factsheets/</t>
      </text>
    </comment>
    <comment ref="E93" authorId="0" shapeId="0">
      <text>
        <t>Source: BLS page, 2026-10-24, https://www.bls.gov/cpi/factsheets/</t>
      </text>
    </comment>
    <comment ref="F93" authorId="0" shapeId="0">
      <text>
        <t>Source: BLS page, 2026-10-24, https://www.bls.gov/cpi/factsheets/</t>
      </text>
    </comment>
    <comment ref="C94" authorId="0" shapeId="0">
      <text>
        <t>Source: BLS page, 2026-10-24, https://www.bls.gov/cpi/factsheets/</t>
      </text>
    </comment>
    <comment ref="D94" authorId="0" shapeId="0">
      <text>
        <t>Source: BLS page, 2026-10-24, https://www.bls.gov/cpi/factsheets/</t>
      </text>
    </comment>
    <comment ref="E94" authorId="0" shapeId="0">
      <text>
        <t>Source: BLS page, 2026-10-24, https://www.bls.gov/cpi/factsheets/</t>
      </text>
    </comment>
    <comment ref="F94" authorId="0" shapeId="0">
      <text>
        <t>Source: BLS page, 2026-10-24, https://www.bls.gov/cpi/factsheets/</t>
      </text>
    </comment>
    <comment ref="C95" authorId="0" shapeId="0">
      <text>
        <t>Source: BLS page, 2026-10-24, https://www.bls.gov/cpi/factsheets/</t>
      </text>
    </comment>
    <comment ref="D95" authorId="0" shapeId="0">
      <text>
        <t>Source: BLS page, 2026-10-24, https://www.bls.gov/cpi/factsheets/</t>
      </text>
    </comment>
    <comment ref="E95" authorId="0" shapeId="0">
      <text>
        <t>Source: BLS page, 2026-10-24, https://www.bls.gov/cpi/factsheets/</t>
      </text>
    </comment>
    <comment ref="F95" authorId="0" shapeId="0">
      <text>
        <t>Source: BLS page, 2026-10-24, https://www.bls.gov/cpi/factsheets/</t>
      </text>
    </comment>
    <comment ref="C96" authorId="0" shapeId="0">
      <text>
        <t>Source: BLS page, 2026-10-24, https://www.bls.gov/cpi/factsheets/</t>
      </text>
    </comment>
    <comment ref="D96" authorId="0" shapeId="0">
      <text>
        <t>Source: BLS page, 2026-10-24, https://www.bls.gov/cpi/factsheets/</t>
      </text>
    </comment>
    <comment ref="E96" authorId="0" shapeId="0">
      <text>
        <t>Source: BLS page, 2026-10-24, https://www.bls.gov/cpi/factsheets/</t>
      </text>
    </comment>
    <comment ref="F96" authorId="0" shapeId="0">
      <text>
        <t>Source: BLS page, 2026-10-24, https://www.bls.gov/cpi/factsheets/</t>
      </text>
    </comment>
    <comment ref="C97" authorId="0" shapeId="0">
      <text>
        <t>Source: BLS page, 2026-10-24, https://www.bls.gov/cpi/factsheets/</t>
      </text>
    </comment>
    <comment ref="D97" authorId="0" shapeId="0">
      <text>
        <t>Source: BLS page, 2026-10-24, https://www.bls.gov/cpi/factsheets/</t>
      </text>
    </comment>
    <comment ref="E97" authorId="0" shapeId="0">
      <text>
        <t>Source: BLS page, 2026-10-24, https://www.bls.gov/cpi/factsheets/</t>
      </text>
    </comment>
    <comment ref="F97" authorId="0" shapeId="0">
      <text>
        <t>Source: BLS page, 2026-10-24, https://www.bls.gov/cpi/factsheets/</t>
      </text>
    </comment>
    <comment ref="C98" authorId="0" shapeId="0">
      <text>
        <t>Source: BLS page, 2026-10-24, https://www.bls.gov/cpi/factsheets/</t>
      </text>
    </comment>
    <comment ref="D98" authorId="0" shapeId="0">
      <text>
        <t>Source: BLS page, 2026-10-24, https://www.bls.gov/cpi/factsheets/</t>
      </text>
    </comment>
    <comment ref="E98" authorId="0" shapeId="0">
      <text>
        <t>Source: BLS page, 2026-10-24, https://www.bls.gov/cpi/factsheets/</t>
      </text>
    </comment>
    <comment ref="F98" authorId="0" shapeId="0">
      <text>
        <t>Source: BLS page, 2026-10-24, https://www.bls.gov/cpi/factsheets/</t>
      </text>
    </comment>
    <comment ref="C99" authorId="0" shapeId="0">
      <text>
        <t>Source: BLS page, 2026-10-24, https://www.bls.gov/cpi/factsheets/</t>
      </text>
    </comment>
    <comment ref="D99" authorId="0" shapeId="0">
      <text>
        <t>Source: BLS page, 2026-10-24, https://www.bls.gov/cpi/factsheets/</t>
      </text>
    </comment>
    <comment ref="E99" authorId="0" shapeId="0">
      <text>
        <t>Source: BLS page, 2026-10-24, https://www.bls.gov/cpi/factsheets/</t>
      </text>
    </comment>
    <comment ref="F99" authorId="0" shapeId="0">
      <text>
        <t>Source: BLS page, 2026-10-24, https://www.bls.gov/cpi/factsheets/</t>
      </text>
    </comment>
    <comment ref="C100" authorId="0" shapeId="0">
      <text>
        <t>Source: BLS page, 2026-10-24, https://www.bls.gov/cpi/factsheets/</t>
      </text>
    </comment>
    <comment ref="D100" authorId="0" shapeId="0">
      <text>
        <t>Source: BLS page, 2026-10-24, https://www.bls.gov/cpi/factsheets/</t>
      </text>
    </comment>
    <comment ref="E100" authorId="0" shapeId="0">
      <text>
        <t>Source: BLS page, 2026-10-24, https://www.bls.gov/cpi/factsheets/</t>
      </text>
    </comment>
    <comment ref="F100" authorId="0" shapeId="0">
      <text>
        <t>Source: BLS page, 2026-10-24, https://www.bls.gov/cpi/factsheets/</t>
      </text>
    </comment>
    <comment ref="C101" authorId="0" shapeId="0">
      <text>
        <t>Source: BLS page, 2026-10-24, https://www.bls.gov/cpi/factsheets/</t>
      </text>
    </comment>
    <comment ref="D101" authorId="0" shapeId="0">
      <text>
        <t>Source: BLS page, 2026-10-24, https://www.bls.gov/cpi/factsheets/</t>
      </text>
    </comment>
    <comment ref="E101" authorId="0" shapeId="0">
      <text>
        <t>Source: BLS page, 2026-10-24, https://www.bls.gov/cpi/factsheets/</t>
      </text>
    </comment>
    <comment ref="F101" authorId="0" shapeId="0">
      <text>
        <t>Source: BLS page, 2026-10-24, https://www.bls.gov/cpi/factsheets/</t>
      </text>
    </comment>
    <comment ref="C102" authorId="0" shapeId="0">
      <text>
        <t>Source: BLS page, 2026-10-24, https://www.bls.gov/cpi/factsheets/</t>
      </text>
    </comment>
    <comment ref="D102" authorId="0" shapeId="0">
      <text>
        <t>Source: BLS page, 2026-10-24, https://www.bls.gov/cpi/factsheets/</t>
      </text>
    </comment>
    <comment ref="E102" authorId="0" shapeId="0">
      <text>
        <t>Source: BLS page, 2026-10-24, https://www.bls.gov/cpi/factsheets/</t>
      </text>
    </comment>
    <comment ref="F102" authorId="0" shapeId="0">
      <text>
        <t>Source: BLS page, 2026-10-24, https://www.bls.gov/cpi/factsheets/</t>
      </text>
    </comment>
    <comment ref="C103" authorId="0" shapeId="0">
      <text>
        <t>Source: BLS page, 2026-10-24, https://www.bls.gov/cpi/factsheets/</t>
      </text>
    </comment>
    <comment ref="D103" authorId="0" shapeId="0">
      <text>
        <t>Source: BLS page, 2026-10-24, https://www.bls.gov/cpi/factsheets/</t>
      </text>
    </comment>
    <comment ref="E103" authorId="0" shapeId="0">
      <text>
        <t>Source: BLS page, 2026-10-24, https://www.bls.gov/cpi/factsheets/</t>
      </text>
    </comment>
    <comment ref="F103" authorId="0" shapeId="0">
      <text>
        <t>Source: BLS page, 2026-10-24, https://www.bls.gov/cpi/factsheets/</t>
      </text>
    </comment>
    <comment ref="C104" authorId="0" shapeId="0">
      <text>
        <t>Source: BLS page, 2026-10-24, https://www.bls.gov/cpi/factsheets/</t>
      </text>
    </comment>
    <comment ref="D104" authorId="0" shapeId="0">
      <text>
        <t>Source: BLS page, 2026-10-24, https://www.bls.gov/cpi/factsheets/</t>
      </text>
    </comment>
    <comment ref="E104" authorId="0" shapeId="0">
      <text>
        <t>Source: BLS page, 2026-10-24, https://www.bls.gov/cpi/factsheets/</t>
      </text>
    </comment>
    <comment ref="F104" authorId="0" shapeId="0">
      <text>
        <t>Source: BLS page, 2026-10-24, https://www.bls.gov/cpi/factsheets/</t>
      </text>
    </comment>
    <comment ref="C105" authorId="0" shapeId="0">
      <text>
        <t>Source: BLS page, 2026-10-24, https://www.bls.gov/cpi/factsheets/</t>
      </text>
    </comment>
    <comment ref="D105" authorId="0" shapeId="0">
      <text>
        <t>Source: BLS page, 2026-10-24, https://www.bls.gov/cpi/factsheets/</t>
      </text>
    </comment>
    <comment ref="E105" authorId="0" shapeId="0">
      <text>
        <t>Source: BLS page, 2026-10-24, https://www.bls.gov/cpi/factsheets/</t>
      </text>
    </comment>
    <comment ref="F105" authorId="0" shapeId="0">
      <text>
        <t>Source: BLS page, 2026-10-24, https://www.bls.gov/cpi/factsheets/</t>
      </text>
    </comment>
    <comment ref="C106" authorId="0" shapeId="0">
      <text>
        <t>Source: BLS page, 2026-10-24, https://www.bls.gov/cpi/factsheets/</t>
      </text>
    </comment>
    <comment ref="D106" authorId="0" shapeId="0">
      <text>
        <t>Source: BLS page, 2026-10-24, https://www.bls.gov/cpi/factsheets/</t>
      </text>
    </comment>
    <comment ref="E106" authorId="0" shapeId="0">
      <text>
        <t>Source: BLS page, 2026-10-24, https://www.bls.gov/cpi/factsheets/</t>
      </text>
    </comment>
    <comment ref="F106" authorId="0" shapeId="0">
      <text>
        <t>Source: BLS page, 2026-10-24, https://www.bls.gov/cpi/factsheets/</t>
      </text>
    </comment>
    <comment ref="C107" authorId="0" shapeId="0">
      <text>
        <t>Source: BLS page, 2026-10-24, https://www.bls.gov/cpi/factsheets/</t>
      </text>
    </comment>
    <comment ref="D107" authorId="0" shapeId="0">
      <text>
        <t>Source: BLS page, 2026-10-24, https://www.bls.gov/cpi/factsheets/</t>
      </text>
    </comment>
    <comment ref="E107" authorId="0" shapeId="0">
      <text>
        <t>Source: BLS page, 2026-10-24, https://www.bls.gov/cpi/factsheets/</t>
      </text>
    </comment>
    <comment ref="F107" authorId="0" shapeId="0">
      <text>
        <t>Source: BLS page, 2026-10-24, https://www.bls.gov/cpi/factsheets/</t>
      </text>
    </comment>
    <comment ref="C108" authorId="0" shapeId="0">
      <text>
        <t>Source: BLS page, 2026-10-24, https://www.bls.gov/cpi/factsheets/</t>
      </text>
    </comment>
    <comment ref="D108" authorId="0" shapeId="0">
      <text>
        <t>Source: BLS page, 2026-10-24, https://www.bls.gov/cpi/factsheets/</t>
      </text>
    </comment>
    <comment ref="E108" authorId="0" shapeId="0">
      <text>
        <t>Source: BLS page, 2026-10-24, https://www.bls.gov/cpi/factsheets/</t>
      </text>
    </comment>
    <comment ref="F108" authorId="0" shapeId="0">
      <text>
        <t>Source: BLS page, 2026-10-24, https://www.bls.gov/cpi/factsheets/</t>
      </text>
    </comment>
    <comment ref="C109" authorId="0" shapeId="0">
      <text>
        <t>Source: BLS page, 2026-10-24, https://www.bls.gov/cpi/factsheets/</t>
      </text>
    </comment>
    <comment ref="D109" authorId="0" shapeId="0">
      <text>
        <t>Source: BLS page, 2026-10-24, https://www.bls.gov/cpi/factsheets/</t>
      </text>
    </comment>
    <comment ref="E109" authorId="0" shapeId="0">
      <text>
        <t>Source: BLS page, 2026-10-24, https://www.bls.gov/cpi/factsheets/</t>
      </text>
    </comment>
    <comment ref="F109" authorId="0" shapeId="0">
      <text>
        <t>Source: BLS page, 2026-10-24, https://www.bls.gov/cpi/factsheets/</t>
      </text>
    </comment>
    <comment ref="C110" authorId="0" shapeId="0">
      <text>
        <t>Source: BLS page, 2026-10-24, https://www.bls.gov/cpi/factsheets/</t>
      </text>
    </comment>
    <comment ref="D110" authorId="0" shapeId="0">
      <text>
        <t>Source: BLS page, 2026-10-24, https://www.bls.gov/cpi/factsheets/</t>
      </text>
    </comment>
    <comment ref="E110" authorId="0" shapeId="0">
      <text>
        <t>Source: BLS page, 2026-10-24, https://www.bls.gov/cpi/factsheets/</t>
      </text>
    </comment>
    <comment ref="F110" authorId="0" shapeId="0">
      <text>
        <t>Source: BLS page, 2026-10-24, https://www.bls.gov/cpi/factsheets/</t>
      </text>
    </comment>
    <comment ref="C111" authorId="0" shapeId="0">
      <text>
        <t>Source: BLS page, 2026-10-24, https://www.bls.gov/cpi/factsheets/</t>
      </text>
    </comment>
    <comment ref="D111" authorId="0" shapeId="0">
      <text>
        <t>Source: BLS page, 2026-10-24, https://www.bls.gov/cpi/factsheets/</t>
      </text>
    </comment>
    <comment ref="E111" authorId="0" shapeId="0">
      <text>
        <t>Source: BLS page, 2026-10-24, https://www.bls.gov/cpi/factsheets/</t>
      </text>
    </comment>
    <comment ref="F111" authorId="0" shapeId="0">
      <text>
        <t>Source: BLS page, 2026-10-24, https://www.bls.gov/cpi/factsheets/</t>
      </text>
    </comment>
    <comment ref="C112" authorId="0" shapeId="0">
      <text>
        <t>Source: BLS page, 2026-10-24, https://www.bls.gov/cpi/factsheets/</t>
      </text>
    </comment>
    <comment ref="D112" authorId="0" shapeId="0">
      <text>
        <t>Source: BLS page, 2026-10-24, https://www.bls.gov/cpi/factsheets/</t>
      </text>
    </comment>
    <comment ref="E112" authorId="0" shapeId="0">
      <text>
        <t>Source: BLS page, 2026-10-24, https://www.bls.gov/cpi/factsheets/</t>
      </text>
    </comment>
    <comment ref="F112" authorId="0" shapeId="0">
      <text>
        <t>Source: BLS page, 2026-10-24, https://www.bls.gov/cpi/factsheets/</t>
      </text>
    </comment>
    <comment ref="C113" authorId="0" shapeId="0">
      <text>
        <t>Source: BLS page, 2026-10-24, https://www.bls.gov/cpi/factsheets/</t>
      </text>
    </comment>
    <comment ref="D113" authorId="0" shapeId="0">
      <text>
        <t>Source: BLS page, 2026-10-24, https://www.bls.gov/cpi/factsheets/</t>
      </text>
    </comment>
    <comment ref="E113" authorId="0" shapeId="0">
      <text>
        <t>Source: BLS page, 2026-10-24, https://www.bls.gov/cpi/factsheets/</t>
      </text>
    </comment>
    <comment ref="F113" authorId="0" shapeId="0">
      <text>
        <t>Source: BLS page, 2026-10-24, https://www.bls.gov/cpi/factsheets/</t>
      </text>
    </comment>
    <comment ref="C114" authorId="0" shapeId="0">
      <text>
        <t>Source: BLS page, 2026-10-24, https://www.bls.gov/cpi/factsheets/</t>
      </text>
    </comment>
    <comment ref="D114" authorId="0" shapeId="0">
      <text>
        <t>Source: BLS page, 2026-10-24, https://www.bls.gov/cpi/factsheets/</t>
      </text>
    </comment>
    <comment ref="E114" authorId="0" shapeId="0">
      <text>
        <t>Source: BLS page, 2026-10-24, https://www.bls.gov/cpi/factsheets/</t>
      </text>
    </comment>
    <comment ref="F114" authorId="0" shapeId="0">
      <text>
        <t>Source: BLS page, 2026-10-24, https://www.bls.gov/cpi/factsheets/</t>
      </text>
    </comment>
    <comment ref="C115" authorId="0" shapeId="0">
      <text>
        <t>Source: BLS page, 2026-10-24, https://www.bls.gov/cpi/factsheets/</t>
      </text>
    </comment>
    <comment ref="D115" authorId="0" shapeId="0">
      <text>
        <t>Source: BLS page, 2026-10-24, https://www.bls.gov/cpi/factsheets/</t>
      </text>
    </comment>
    <comment ref="E115" authorId="0" shapeId="0">
      <text>
        <t>Source: BLS page, 2026-10-24, https://www.bls.gov/cpi/factsheets/</t>
      </text>
    </comment>
    <comment ref="F115" authorId="0" shapeId="0">
      <text>
        <t>Source: BLS page, 2026-10-24, https://www.bls.gov/cpi/factsheets/</t>
      </text>
    </comment>
    <comment ref="C116" authorId="0" shapeId="0">
      <text>
        <t>Source: BLS page, 2026-10-24, https://www.bls.gov/cpi/factsheets/</t>
      </text>
    </comment>
    <comment ref="D116" authorId="0" shapeId="0">
      <text>
        <t>Source: BLS page, 2026-10-24, https://www.bls.gov/cpi/factsheets/</t>
      </text>
    </comment>
    <comment ref="E116" authorId="0" shapeId="0">
      <text>
        <t>Source: BLS page, 2026-10-24, https://www.bls.gov/cpi/factsheets/</t>
      </text>
    </comment>
    <comment ref="F116" authorId="0" shapeId="0">
      <text>
        <t>Source: BLS page, 2026-10-24, https://www.bls.gov/cpi/factsheets/</t>
      </text>
    </comment>
    <comment ref="C117" authorId="0" shapeId="0">
      <text>
        <t>Source: BLS page, 2026-10-24, https://www.bls.gov/cpi/factsheets/</t>
      </text>
    </comment>
    <comment ref="D117" authorId="0" shapeId="0">
      <text>
        <t>Source: BLS page, 2026-10-24, https://www.bls.gov/cpi/factsheets/</t>
      </text>
    </comment>
    <comment ref="E117" authorId="0" shapeId="0">
      <text>
        <t>Source: BLS page, 2026-10-24, https://www.bls.gov/cpi/factsheets/</t>
      </text>
    </comment>
    <comment ref="F117" authorId="0" shapeId="0">
      <text>
        <t>Source: BLS page, 2026-10-24, https://www.bls.gov/cpi/factsheets/</t>
      </text>
    </comment>
    <comment ref="C118" authorId="0" shapeId="0">
      <text>
        <t>Source: BLS page, 2026-10-24, https://www.bls.gov/cpi/factsheets/</t>
      </text>
    </comment>
    <comment ref="D118" authorId="0" shapeId="0">
      <text>
        <t>Source: BLS page, 2026-10-24, https://www.bls.gov/cpi/factsheets/</t>
      </text>
    </comment>
    <comment ref="E118" authorId="0" shapeId="0">
      <text>
        <t>Source: BLS page, 2026-10-24, https://www.bls.gov/cpi/factsheets/</t>
      </text>
    </comment>
    <comment ref="F118" authorId="0" shapeId="0">
      <text>
        <t>Source: BLS page, 2026-10-24, https://www.bls.gov/cpi/factsheets/</t>
      </text>
    </comment>
    <comment ref="C119" authorId="0" shapeId="0">
      <text>
        <t>Source: BLS page, 2026-10-24, https://www.bls.gov/cpi/factsheets/</t>
      </text>
    </comment>
    <comment ref="D119" authorId="0" shapeId="0">
      <text>
        <t>Source: BLS page, 2026-10-24, https://www.bls.gov/cpi/factsheets/</t>
      </text>
    </comment>
    <comment ref="E119" authorId="0" shapeId="0">
      <text>
        <t>Source: BLS page, 2026-10-24, https://www.bls.gov/cpi/factsheets/</t>
      </text>
    </comment>
    <comment ref="F119" authorId="0" shapeId="0">
      <text>
        <t>Source: BLS page, 2026-10-24, https://www.bls.gov/cpi/factsheets/</t>
      </text>
    </comment>
    <comment ref="C120" authorId="0" shapeId="0">
      <text>
        <t>Source: BLS page, 2026-10-24, https://www.bls.gov/cpi/factsheets/</t>
      </text>
    </comment>
    <comment ref="D120" authorId="0" shapeId="0">
      <text>
        <t>Source: BLS page, 2026-10-24, https://www.bls.gov/cpi/factsheets/</t>
      </text>
    </comment>
    <comment ref="E120" authorId="0" shapeId="0">
      <text>
        <t>Source: BLS page, 2026-10-24, https://www.bls.gov/cpi/factsheets/</t>
      </text>
    </comment>
    <comment ref="F120" authorId="0" shapeId="0">
      <text>
        <t>Source: BLS page, 2026-10-24, https://www.bls.gov/cpi/factsheets/</t>
      </text>
    </comment>
    <comment ref="C121" authorId="0" shapeId="0">
      <text>
        <t>Source: BLS page, 2026-10-24, https://www.bls.gov/cpi/factsheets/</t>
      </text>
    </comment>
    <comment ref="D121" authorId="0" shapeId="0">
      <text>
        <t>Source: BLS page, 2026-10-24, https://www.bls.gov/cpi/factsheets/</t>
      </text>
    </comment>
    <comment ref="E121" authorId="0" shapeId="0">
      <text>
        <t>Source: BLS page, 2026-10-24, https://www.bls.gov/cpi/factsheets/</t>
      </text>
    </comment>
    <comment ref="F121" authorId="0" shapeId="0">
      <text>
        <t>Source: BLS page, 2026-10-24, https://www.bls.gov/cpi/factsheets/</t>
      </text>
    </comment>
    <comment ref="C122" authorId="0" shapeId="0">
      <text>
        <t>Source: BLS page, 2026-10-24, https://www.bls.gov/cpi/factsheets/</t>
      </text>
    </comment>
    <comment ref="D122" authorId="0" shapeId="0">
      <text>
        <t>Source: BLS page, 2026-10-24, https://www.bls.gov/cpi/factsheets/</t>
      </text>
    </comment>
    <comment ref="E122" authorId="0" shapeId="0">
      <text>
        <t>Source: BLS page, 2026-10-24, https://www.bls.gov/cpi/factsheets/</t>
      </text>
    </comment>
    <comment ref="F122" authorId="0" shapeId="0">
      <text>
        <t>Source: BLS page, 2026-10-24, https://www.bls.gov/cpi/factsheets/</t>
      </text>
    </comment>
    <comment ref="C123" authorId="0" shapeId="0">
      <text>
        <t>Source: BLS page, 2026-10-24, https://www.bls.gov/cpi/factsheets/</t>
      </text>
    </comment>
    <comment ref="D123" authorId="0" shapeId="0">
      <text>
        <t>Source: BLS page, 2026-10-24, https://www.bls.gov/cpi/factsheets/</t>
      </text>
    </comment>
    <comment ref="E123" authorId="0" shapeId="0">
      <text>
        <t>Source: BLS page, 2026-10-24, https://www.bls.gov/cpi/factsheets/</t>
      </text>
    </comment>
    <comment ref="F123" authorId="0" shapeId="0">
      <text>
        <t>Source: BLS page, 2026-10-24, https://www.bls.gov/cpi/factsheets/</t>
      </text>
    </comment>
    <comment ref="C124" authorId="0" shapeId="0">
      <text>
        <t>Source: BLS page, 2026-10-24, https://www.bls.gov/cpi/factsheets/</t>
      </text>
    </comment>
    <comment ref="D124" authorId="0" shapeId="0">
      <text>
        <t>Source: BLS page, 2026-10-24, https://www.bls.gov/cpi/factsheets/</t>
      </text>
    </comment>
    <comment ref="E124" authorId="0" shapeId="0">
      <text>
        <t>Source: BLS page, 2026-10-24, https://www.bls.gov/cpi/factsheets/</t>
      </text>
    </comment>
    <comment ref="F124" authorId="0" shapeId="0">
      <text>
        <t>Source: BLS page, 2026-10-24, https://www.bls.gov/cpi/factsheets/</t>
      </text>
    </comment>
    <comment ref="C125" authorId="0" shapeId="0">
      <text>
        <t>Source: BLS page, 2026-10-24, https://www.bls.gov/cpi/factsheets/</t>
      </text>
    </comment>
    <comment ref="D125" authorId="0" shapeId="0">
      <text>
        <t>Source: BLS page, 2026-10-24, https://www.bls.gov/cpi/factsheets/</t>
      </text>
    </comment>
    <comment ref="E125" authorId="0" shapeId="0">
      <text>
        <t>Source: BLS page, 2026-10-24, https://www.bls.gov/cpi/factsheets/</t>
      </text>
    </comment>
    <comment ref="F125" authorId="0" shapeId="0">
      <text>
        <t>Source: BLS page, 2026-10-24, https://www.bls.gov/cpi/factsheets/</t>
      </text>
    </comment>
    <comment ref="C126" authorId="0" shapeId="0">
      <text>
        <t>Source: BLS page, 2026-10-24, https://www.bls.gov/cpi/factsheets/</t>
      </text>
    </comment>
    <comment ref="D126" authorId="0" shapeId="0">
      <text>
        <t>Source: BLS page, 2026-10-24, https://www.bls.gov/cpi/factsheets/</t>
      </text>
    </comment>
    <comment ref="E126" authorId="0" shapeId="0">
      <text>
        <t>Source: BLS page, 2026-10-24, https://www.bls.gov/cpi/factsheets/</t>
      </text>
    </comment>
    <comment ref="F126" authorId="0" shapeId="0">
      <text>
        <t>Source: BLS page, 2026-10-24, https://www.bls.gov/cpi/factsheets/</t>
      </text>
    </comment>
    <comment ref="C127" authorId="0" shapeId="0">
      <text>
        <t>Source: BLS page, 2026-10-24, https://www.bls.gov/cpi/factsheets/</t>
      </text>
    </comment>
    <comment ref="D127" authorId="0" shapeId="0">
      <text>
        <t>Source: BLS page, 2026-10-24, https://www.bls.gov/cpi/factsheets/</t>
      </text>
    </comment>
    <comment ref="E127" authorId="0" shapeId="0">
      <text>
        <t>Source: BLS page, 2026-10-24, https://www.bls.gov/cpi/factsheets/</t>
      </text>
    </comment>
    <comment ref="F127" authorId="0" shapeId="0">
      <text>
        <t>Source: BLS page, 2026-10-24, https://www.bls.gov/cpi/factsheets/</t>
      </text>
    </comment>
    <comment ref="C128" authorId="0" shapeId="0">
      <text>
        <t>Source: BLS page, 2026-10-24, https://www.bls.gov/cpi/factsheets/</t>
      </text>
    </comment>
    <comment ref="D128" authorId="0" shapeId="0">
      <text>
        <t>Source: BLS page, 2026-10-24, https://www.bls.gov/cpi/factsheets/</t>
      </text>
    </comment>
    <comment ref="E128" authorId="0" shapeId="0">
      <text>
        <t>Source: BLS page, 2026-10-24, https://www.bls.gov/cpi/factsheets/</t>
      </text>
    </comment>
    <comment ref="F128" authorId="0" shapeId="0">
      <text>
        <t>Source: BLS page, 2026-10-24, https://www.bls.gov/cpi/factsheets/</t>
      </text>
    </comment>
    <comment ref="C129" authorId="0" shapeId="0">
      <text>
        <t>Source: BLS page, 2026-10-24, https://www.bls.gov/cpi/factsheets/</t>
      </text>
    </comment>
    <comment ref="D129" authorId="0" shapeId="0">
      <text>
        <t>Source: BLS page, 2026-10-24, https://www.bls.gov/cpi/factsheets/</t>
      </text>
    </comment>
    <comment ref="E129" authorId="0" shapeId="0">
      <text>
        <t>Source: BLS page, 2026-10-24, https://www.bls.gov/cpi/factsheets/</t>
      </text>
    </comment>
    <comment ref="F129" authorId="0" shapeId="0">
      <text>
        <t>Source: BLS page, 2026-10-24, https://www.bls.gov/cpi/factsheets/</t>
      </text>
    </comment>
    <comment ref="C130" authorId="0" shapeId="0">
      <text>
        <t>Source: BLS page, 2026-10-24, https://www.bls.gov/cpi/factsheets/</t>
      </text>
    </comment>
    <comment ref="D130" authorId="0" shapeId="0">
      <text>
        <t>Source: BLS page, 2026-10-24, https://www.bls.gov/cpi/factsheets/</t>
      </text>
    </comment>
    <comment ref="E130" authorId="0" shapeId="0">
      <text>
        <t>Source: BLS page, 2026-10-24, https://www.bls.gov/cpi/factsheets/</t>
      </text>
    </comment>
    <comment ref="F130" authorId="0" shapeId="0">
      <text>
        <t>Source: BLS page, 2026-10-24, https://www.bls.gov/cpi/factsheets/</t>
      </text>
    </comment>
    <comment ref="C131" authorId="0" shapeId="0">
      <text>
        <t>Source: BLS page, 2026-10-24, https://www.bls.gov/cpi/factsheets/</t>
      </text>
    </comment>
    <comment ref="D131" authorId="0" shapeId="0">
      <text>
        <t>Source: BLS page, 2026-10-24, https://www.bls.gov/cpi/factsheets/</t>
      </text>
    </comment>
    <comment ref="E131" authorId="0" shapeId="0">
      <text>
        <t>Source: BLS page, 2026-10-24, https://www.bls.gov/cpi/factsheets/</t>
      </text>
    </comment>
    <comment ref="F131" authorId="0" shapeId="0">
      <text>
        <t>Source: BLS page, 2026-10-24, https://www.bls.gov/cpi/factsheets/</t>
      </text>
    </comment>
    <comment ref="C132" authorId="0" shapeId="0">
      <text>
        <t>Source: BLS page, 2026-10-24, https://www.bls.gov/cpi/factsheets/</t>
      </text>
    </comment>
    <comment ref="D132" authorId="0" shapeId="0">
      <text>
        <t>Source: BLS page, 2026-10-24, https://www.bls.gov/cpi/factsheets/</t>
      </text>
    </comment>
    <comment ref="E132" authorId="0" shapeId="0">
      <text>
        <t>Source: BLS page, 2026-10-24, https://www.bls.gov/cpi/factsheets/</t>
      </text>
    </comment>
    <comment ref="F132" authorId="0" shapeId="0">
      <text>
        <t>Source: BLS page, 2026-10-24, https://www.bls.gov/cpi/factsheets/</t>
      </text>
    </comment>
    <comment ref="C133" authorId="0" shapeId="0">
      <text>
        <t>Source: BLS page, 2026-10-24, https://www.bls.gov/cpi/factsheets/</t>
      </text>
    </comment>
    <comment ref="D133" authorId="0" shapeId="0">
      <text>
        <t>Source: BLS page, 2026-10-24, https://www.bls.gov/cpi/factsheets/</t>
      </text>
    </comment>
    <comment ref="E133" authorId="0" shapeId="0">
      <text>
        <t>Source: BLS page, 2026-10-24, https://www.bls.gov/cpi/factsheets/</t>
      </text>
    </comment>
    <comment ref="F133" authorId="0" shapeId="0">
      <text>
        <t>Source: BLS page, 2026-10-24, https://www.bls.gov/cpi/factsheets/</t>
      </text>
    </comment>
    <comment ref="C134" authorId="0" shapeId="0">
      <text>
        <t>Source: BLS page, 2026-10-24, https://www.bls.gov/cpi/factsheets/</t>
      </text>
    </comment>
    <comment ref="D134" authorId="0" shapeId="0">
      <text>
        <t>Source: BLS page, 2026-10-24, https://www.bls.gov/cpi/factsheets/</t>
      </text>
    </comment>
    <comment ref="E134" authorId="0" shapeId="0">
      <text>
        <t>Source: BLS page, 2026-10-24, https://www.bls.gov/cpi/factsheets/</t>
      </text>
    </comment>
    <comment ref="F134" authorId="0" shapeId="0">
      <text>
        <t>Source: BLS page, 2026-10-24, https://www.bls.gov/cpi/factsheets/</t>
      </text>
    </comment>
    <comment ref="C135" authorId="0" shapeId="0">
      <text>
        <t>Source: BLS page, 2026-10-24, https://www.bls.gov/cpi/factsheets/</t>
      </text>
    </comment>
    <comment ref="D135" authorId="0" shapeId="0">
      <text>
        <t>Source: BLS page, 2026-10-24, https://www.bls.gov/cpi/factsheets/</t>
      </text>
    </comment>
    <comment ref="E135" authorId="0" shapeId="0">
      <text>
        <t>Source: BLS page, 2026-10-24, https://www.bls.gov/cpi/factsheets/</t>
      </text>
    </comment>
    <comment ref="F135" authorId="0" shapeId="0">
      <text>
        <t>Source: BLS page, 2026-10-24, https://www.bls.gov/cpi/factsheets/</t>
      </text>
    </comment>
    <comment ref="C136" authorId="0" shapeId="0">
      <text>
        <t>Source: BLS page, 2026-10-24, https://www.bls.gov/cpi/factsheets/</t>
      </text>
    </comment>
    <comment ref="D136" authorId="0" shapeId="0">
      <text>
        <t>Source: BLS page, 2026-10-24, https://www.bls.gov/cpi/factsheets/</t>
      </text>
    </comment>
    <comment ref="E136" authorId="0" shapeId="0">
      <text>
        <t>Source: BLS page, 2026-10-24, https://www.bls.gov/cpi/factsheets/</t>
      </text>
    </comment>
    <comment ref="F136" authorId="0" shapeId="0">
      <text>
        <t>Source: BLS page, 2026-10-24, https://www.bls.gov/cpi/factsheets/</t>
      </text>
    </comment>
    <comment ref="C137" authorId="0" shapeId="0">
      <text>
        <t>Source: BLS page, 2026-10-24, https://www.bls.gov/cpi/factsheets/</t>
      </text>
    </comment>
    <comment ref="D137" authorId="0" shapeId="0">
      <text>
        <t>Source: BLS page, 2026-10-24, https://www.bls.gov/cpi/factsheets/</t>
      </text>
    </comment>
    <comment ref="E137" authorId="0" shapeId="0">
      <text>
        <t>Source: BLS page, 2026-10-24, https://www.bls.gov/cpi/factsheets/</t>
      </text>
    </comment>
    <comment ref="F137" authorId="0" shapeId="0">
      <text>
        <t>Source: BLS page, 2026-10-24, https://www.bls.gov/cpi/factsheets/</t>
      </text>
    </comment>
    <comment ref="C138" authorId="0" shapeId="0">
      <text>
        <t>Source: BLS page, 2026-10-24, https://www.bls.gov/cpi/factsheets/</t>
      </text>
    </comment>
    <comment ref="D138" authorId="0" shapeId="0">
      <text>
        <t>Source: BLS page, 2026-10-24, https://www.bls.gov/cpi/factsheets/</t>
      </text>
    </comment>
    <comment ref="E138" authorId="0" shapeId="0">
      <text>
        <t>Source: BLS page, 2026-10-24, https://www.bls.gov/cpi/factsheets/</t>
      </text>
    </comment>
    <comment ref="F138" authorId="0" shapeId="0">
      <text>
        <t>Source: BLS page, 2026-10-24, https://www.bls.gov/cpi/factsheets/</t>
      </text>
    </comment>
    <comment ref="C139" authorId="0" shapeId="0">
      <text>
        <t>Source: BLS page, 2026-10-24, https://www.bls.gov/cpi/factsheets/</t>
      </text>
    </comment>
    <comment ref="D139" authorId="0" shapeId="0">
      <text>
        <t>Source: BLS page, 2026-10-24, https://www.bls.gov/cpi/factsheets/</t>
      </text>
    </comment>
    <comment ref="E139" authorId="0" shapeId="0">
      <text>
        <t>Source: BLS page, 2026-10-24, https://www.bls.gov/cpi/factsheets/</t>
      </text>
    </comment>
    <comment ref="F139" authorId="0" shapeId="0">
      <text>
        <t>Source: BLS page, 2026-10-24, https://www.bls.gov/cpi/factsheets/</t>
      </text>
    </comment>
    <comment ref="C140" authorId="0" shapeId="0">
      <text>
        <t>Source: BLS page, 2026-10-24, https://www.bls.gov/cpi/factsheets/</t>
      </text>
    </comment>
    <comment ref="D140" authorId="0" shapeId="0">
      <text>
        <t>Source: BLS page, 2026-10-24, https://www.bls.gov/cpi/factsheets/</t>
      </text>
    </comment>
    <comment ref="E140" authorId="0" shapeId="0">
      <text>
        <t>Source: BLS page, 2026-10-24, https://www.bls.gov/cpi/factsheets/</t>
      </text>
    </comment>
    <comment ref="F140" authorId="0" shapeId="0">
      <text>
        <t>Source: BLS page, 2026-10-24, https://www.bls.gov/cpi/factsheets/</t>
      </text>
    </comment>
    <comment ref="C141" authorId="0" shapeId="0">
      <text>
        <t>Source: BLS page, 2026-10-24, https://www.bls.gov/cpi/factsheets/</t>
      </text>
    </comment>
    <comment ref="D141" authorId="0" shapeId="0">
      <text>
        <t>Source: BLS page, 2026-10-24, https://www.bls.gov/cpi/factsheets/</t>
      </text>
    </comment>
    <comment ref="E141" authorId="0" shapeId="0">
      <text>
        <t>Source: BLS page, 2026-10-24, https://www.bls.gov/cpi/factsheets/</t>
      </text>
    </comment>
    <comment ref="F141" authorId="0" shapeId="0">
      <text>
        <t>Source: BLS page, 2026-10-24, https://www.bls.gov/cpi/factsheets/</t>
      </text>
    </comment>
    <comment ref="C142" authorId="0" shapeId="0">
      <text>
        <t>Source: BLS page, 2026-10-24, https://www.bls.gov/cpi/factsheets/</t>
      </text>
    </comment>
    <comment ref="D142" authorId="0" shapeId="0">
      <text>
        <t>Source: BLS page, 2026-10-24, https://www.bls.gov/cpi/factsheets/</t>
      </text>
    </comment>
    <comment ref="E142" authorId="0" shapeId="0">
      <text>
        <t>Source: BLS page, 2026-10-24, https://www.bls.gov/cpi/factsheets/</t>
      </text>
    </comment>
    <comment ref="F142" authorId="0" shapeId="0">
      <text>
        <t>Source: BLS page, 2026-10-24, https://www.bls.gov/cpi/factsheets/</t>
      </text>
    </comment>
    <comment ref="C143" authorId="0" shapeId="0">
      <text>
        <t>Source: BLS page, 2026-10-24, https://www.bls.gov/cpi/factsheets/</t>
      </text>
    </comment>
    <comment ref="D143" authorId="0" shapeId="0">
      <text>
        <t>Source: BLS page, 2026-10-24, https://www.bls.gov/cpi/factsheets/</t>
      </text>
    </comment>
    <comment ref="E143" authorId="0" shapeId="0">
      <text>
        <t>Source: BLS page, 2026-10-24, https://www.bls.gov/cpi/factsheets/</t>
      </text>
    </comment>
    <comment ref="F143" authorId="0" shapeId="0">
      <text>
        <t>Source: BLS page, 2026-10-24, https://www.bls.gov/cpi/factsheets/</t>
      </text>
    </comment>
    <comment ref="C144" authorId="0" shapeId="0">
      <text>
        <t>Source: BLS page, 2026-10-24, https://www.bls.gov/cpi/factsheets/</t>
      </text>
    </comment>
    <comment ref="D144" authorId="0" shapeId="0">
      <text>
        <t>Source: BLS page, 2026-10-24, https://www.bls.gov/cpi/factsheets/</t>
      </text>
    </comment>
    <comment ref="E144" authorId="0" shapeId="0">
      <text>
        <t>Source: BLS page, 2026-10-24, https://www.bls.gov/cpi/factsheets/</t>
      </text>
    </comment>
    <comment ref="F144" authorId="0" shapeId="0">
      <text>
        <t>Source: BLS page, 2026-10-24, https://www.bls.gov/cpi/factsheets/</t>
      </text>
    </comment>
    <comment ref="C145" authorId="0" shapeId="0">
      <text>
        <t>Source: BLS page, 2026-10-24, https://www.bls.gov/cpi/factsheets/</t>
      </text>
    </comment>
    <comment ref="D145" authorId="0" shapeId="0">
      <text>
        <t>Source: BLS page, 2026-10-24, https://www.bls.gov/cpi/factsheets/</t>
      </text>
    </comment>
    <comment ref="E145" authorId="0" shapeId="0">
      <text>
        <t>Source: BLS page, 2026-10-24, https://www.bls.gov/cpi/factsheets/</t>
      </text>
    </comment>
    <comment ref="F145" authorId="0" shapeId="0">
      <text>
        <t>Source: BLS page, 2026-10-24, https://www.bls.gov/cpi/factsheets/</t>
      </text>
    </comment>
    <comment ref="C146" authorId="0" shapeId="0">
      <text>
        <t>Source: BLS page, 2026-10-24, https://www.bls.gov/cpi/factsheets/</t>
      </text>
    </comment>
    <comment ref="D146" authorId="0" shapeId="0">
      <text>
        <t>Source: BLS page, 2026-10-24, https://www.bls.gov/cpi/factsheets/</t>
      </text>
    </comment>
    <comment ref="E146" authorId="0" shapeId="0">
      <text>
        <t>Source: BLS page, 2026-10-24, https://www.bls.gov/cpi/factsheets/</t>
      </text>
    </comment>
    <comment ref="F146" authorId="0" shapeId="0">
      <text>
        <t>Source: BLS page, 2026-10-24, https://www.bls.gov/cpi/factsheets/</t>
      </text>
    </comment>
    <comment ref="C147" authorId="0" shapeId="0">
      <text>
        <t>Source: BLS page, 2026-10-24, https://www.bls.gov/cpi/factsheets/</t>
      </text>
    </comment>
    <comment ref="D147" authorId="0" shapeId="0">
      <text>
        <t>Source: BLS page, 2026-10-24, https://www.bls.gov/cpi/factsheets/</t>
      </text>
    </comment>
    <comment ref="E147" authorId="0" shapeId="0">
      <text>
        <t>Source: BLS page, 2026-10-24, https://www.bls.gov/cpi/factsheets/</t>
      </text>
    </comment>
    <comment ref="F147" authorId="0" shapeId="0">
      <text>
        <t>Source: BLS page, 2026-10-24, https://www.bls.gov/cpi/factsheets/</t>
      </text>
    </comment>
    <comment ref="C148" authorId="0" shapeId="0">
      <text>
        <t>Source: BLS page, 2026-10-24, https://www.bls.gov/cpi/factsheets/</t>
      </text>
    </comment>
    <comment ref="D148" authorId="0" shapeId="0">
      <text>
        <t>Source: BLS page, 2026-10-24, https://www.bls.gov/cpi/factsheets/</t>
      </text>
    </comment>
    <comment ref="E148" authorId="0" shapeId="0">
      <text>
        <t>Source: BLS page, 2026-10-24, https://www.bls.gov/cpi/factsheets/</t>
      </text>
    </comment>
    <comment ref="F148" authorId="0" shapeId="0">
      <text>
        <t>Source: BLS page, 2026-10-24, https://www.bls.gov/cpi/factsheets/</t>
      </text>
    </comment>
    <comment ref="C149" authorId="0" shapeId="0">
      <text>
        <t>Source: BLS page, 2026-10-24, https://www.bls.gov/cpi/factsheets/</t>
      </text>
    </comment>
    <comment ref="D149" authorId="0" shapeId="0">
      <text>
        <t>Source: BLS page, 2026-10-24, https://www.bls.gov/cpi/factsheets/</t>
      </text>
    </comment>
    <comment ref="E149" authorId="0" shapeId="0">
      <text>
        <t>Source: BLS page, 2026-10-24, https://www.bls.gov/cpi/factsheets/</t>
      </text>
    </comment>
    <comment ref="F149" authorId="0" shapeId="0">
      <text>
        <t>Source: BLS page, 2026-10-24, https://www.bls.gov/cpi/factsheets/</t>
      </text>
    </comment>
    <comment ref="C150" authorId="0" shapeId="0">
      <text>
        <t>Source: BLS page, 2026-10-24, https://www.bls.gov/cpi/factsheets/</t>
      </text>
    </comment>
    <comment ref="D150" authorId="0" shapeId="0">
      <text>
        <t>Source: BLS page, 2026-10-24, https://www.bls.gov/cpi/factsheets/</t>
      </text>
    </comment>
    <comment ref="E150" authorId="0" shapeId="0">
      <text>
        <t>Source: BLS page, 2026-10-24, https://www.bls.gov/cpi/factsheets/</t>
      </text>
    </comment>
    <comment ref="F150" authorId="0" shapeId="0">
      <text>
        <t>Source: BLS page, 2026-10-24, https://www.bls.gov/cpi/factsheets/</t>
      </text>
    </comment>
    <comment ref="C151" authorId="0" shapeId="0">
      <text>
        <t>Source: BLS page, 2026-10-24, https://www.bls.gov/cpi/factsheets/</t>
      </text>
    </comment>
    <comment ref="D151" authorId="0" shapeId="0">
      <text>
        <t>Source: BLS page, 2026-10-24, https://www.bls.gov/cpi/factsheets/</t>
      </text>
    </comment>
    <comment ref="E151" authorId="0" shapeId="0">
      <text>
        <t>Source: BLS page, 2026-10-24, https://www.bls.gov/cpi/factsheets/</t>
      </text>
    </comment>
    <comment ref="F151" authorId="0" shapeId="0">
      <text>
        <t>Source: BLS page, 2026-10-24, https://www.bls.gov/cpi/factsheets/</t>
      </text>
    </comment>
    <comment ref="C152" authorId="0" shapeId="0">
      <text>
        <t>Source: BLS page, 2026-10-24, https://www.bls.gov/cpi/factsheets/</t>
      </text>
    </comment>
    <comment ref="D152" authorId="0" shapeId="0">
      <text>
        <t>Source: BLS page, 2026-10-24, https://www.bls.gov/cpi/factsheets/</t>
      </text>
    </comment>
    <comment ref="E152" authorId="0" shapeId="0">
      <text>
        <t>Source: BLS page, 2026-10-24, https://www.bls.gov/cpi/factsheets/</t>
      </text>
    </comment>
    <comment ref="F152" authorId="0" shapeId="0">
      <text>
        <t>Source: BLS page, 2026-10-24, https://www.bls.gov/cpi/factsheets/</t>
      </text>
    </comment>
    <comment ref="C153" authorId="0" shapeId="0">
      <text>
        <t>Source: BLS page, 2026-10-24, https://www.bls.gov/cpi/factsheets/</t>
      </text>
    </comment>
    <comment ref="D153" authorId="0" shapeId="0">
      <text>
        <t>Source: BLS page, 2026-10-24, https://www.bls.gov/cpi/factsheets/</t>
      </text>
    </comment>
    <comment ref="E153" authorId="0" shapeId="0">
      <text>
        <t>Source: BLS page, 2026-10-24, https://www.bls.gov/cpi/factsheets/</t>
      </text>
    </comment>
    <comment ref="F153" authorId="0" shapeId="0">
      <text>
        <t>Source: BLS page, 2026-10-24, https://www.bls.gov/cpi/factsheets/</t>
      </text>
    </comment>
    <comment ref="C154" authorId="0" shapeId="0">
      <text>
        <t>Source: BLS page, 2026-10-24, https://www.bls.gov/cpi/factsheets/</t>
      </text>
    </comment>
    <comment ref="D154" authorId="0" shapeId="0">
      <text>
        <t>Source: BLS page, 2026-10-24, https://www.bls.gov/cpi/factsheets/</t>
      </text>
    </comment>
    <comment ref="E154" authorId="0" shapeId="0">
      <text>
        <t>Source: BLS page, 2026-10-24, https://www.bls.gov/cpi/factsheets/</t>
      </text>
    </comment>
    <comment ref="F154" authorId="0" shapeId="0">
      <text>
        <t>Source: BLS page, 2026-10-24, https://www.bls.gov/cpi/factsheets/</t>
      </text>
    </comment>
    <comment ref="C155" authorId="0" shapeId="0">
      <text>
        <t>Source: BLS page, 2026-10-24, https://www.bls.gov/cpi/factsheets/</t>
      </text>
    </comment>
    <comment ref="D155" authorId="0" shapeId="0">
      <text>
        <t>Source: BLS page, 2026-10-24, https://www.bls.gov/cpi/factsheets/</t>
      </text>
    </comment>
    <comment ref="E155" authorId="0" shapeId="0">
      <text>
        <t>Source: BLS page, 2026-10-24, https://www.bls.gov/cpi/factsheets/</t>
      </text>
    </comment>
    <comment ref="F155" authorId="0" shapeId="0">
      <text>
        <t>Source: BLS page, 2026-10-24, https://www.bls.gov/cpi/factsheets/</t>
      </text>
    </comment>
    <comment ref="C156" authorId="0" shapeId="0">
      <text>
        <t>Source: BLS page, 2026-10-24, https://www.bls.gov/cpi/factsheets/</t>
      </text>
    </comment>
    <comment ref="D156" authorId="0" shapeId="0">
      <text>
        <t>Source: BLS page, 2026-10-24, https://www.bls.gov/cpi/factsheets/</t>
      </text>
    </comment>
    <comment ref="E156" authorId="0" shapeId="0">
      <text>
        <t>Source: BLS page, 2026-10-24, https://www.bls.gov/cpi/factsheets/</t>
      </text>
    </comment>
    <comment ref="F156" authorId="0" shapeId="0">
      <text>
        <t>Source: BLS page, 2026-10-24, https://www.bls.gov/cpi/factsheets/</t>
      </text>
    </comment>
    <comment ref="C157" authorId="0" shapeId="0">
      <text>
        <t>Source: BLS page, 2026-10-24, https://www.bls.gov/cpi/factsheets/</t>
      </text>
    </comment>
    <comment ref="D157" authorId="0" shapeId="0">
      <text>
        <t>Source: BLS page, 2026-10-24, https://www.bls.gov/cpi/factsheets/</t>
      </text>
    </comment>
    <comment ref="E157" authorId="0" shapeId="0">
      <text>
        <t>Source: BLS page, 2026-10-24, https://www.bls.gov/cpi/factsheets/</t>
      </text>
    </comment>
    <comment ref="F157" authorId="0" shapeId="0">
      <text>
        <t>Source: BLS page, 2026-10-24, https://www.bls.gov/cpi/factsheets/</t>
      </text>
    </comment>
    <comment ref="C158" authorId="0" shapeId="0">
      <text>
        <t>Source: BLS page, 2026-10-24, https://www.bls.gov/cpi/factsheets/</t>
      </text>
    </comment>
    <comment ref="D158" authorId="0" shapeId="0">
      <text>
        <t>Source: BLS page, 2026-10-24, https://www.bls.gov/cpi/factsheets/</t>
      </text>
    </comment>
    <comment ref="E158" authorId="0" shapeId="0">
      <text>
        <t>Source: BLS page, 2026-10-24, https://www.bls.gov/cpi/factsheets/</t>
      </text>
    </comment>
    <comment ref="F158" authorId="0" shapeId="0">
      <text>
        <t>Source: BLS page, 2026-10-24, https://www.bls.gov/cpi/factsheets/</t>
      </text>
    </comment>
    <comment ref="C159" authorId="0" shapeId="0">
      <text>
        <t>Source: BLS page, 2026-10-24, https://www.bls.gov/cpi/factsheets/</t>
      </text>
    </comment>
    <comment ref="D159" authorId="0" shapeId="0">
      <text>
        <t>Source: BLS page, 2026-10-24, https://www.bls.gov/cpi/factsheets/</t>
      </text>
    </comment>
    <comment ref="E159" authorId="0" shapeId="0">
      <text>
        <t>Source: BLS page, 2026-10-24, https://www.bls.gov/cpi/factsheets/</t>
      </text>
    </comment>
    <comment ref="F159" authorId="0" shapeId="0">
      <text>
        <t>Source: BLS page, 2026-10-24, https://www.bls.gov/cpi/factsheets/</t>
      </text>
    </comment>
    <comment ref="C160" authorId="0" shapeId="0">
      <text>
        <t>Source: BLS page, 2026-10-24, https://www.bls.gov/cpi/factsheets/</t>
      </text>
    </comment>
    <comment ref="D160" authorId="0" shapeId="0">
      <text>
        <t>Source: BLS page, 2026-10-24, https://www.bls.gov/cpi/factsheets/</t>
      </text>
    </comment>
    <comment ref="E160" authorId="0" shapeId="0">
      <text>
        <t>Source: BLS page, 2026-10-24, https://www.bls.gov/cpi/factsheets/</t>
      </text>
    </comment>
    <comment ref="F160" authorId="0" shapeId="0">
      <text>
        <t>Source: BLS page, 2026-10-24, https://www.bls.gov/cpi/factsheets/</t>
      </text>
    </comment>
    <comment ref="C161" authorId="0" shapeId="0">
      <text>
        <t>Source: BLS page, 2026-10-24, https://www.bls.gov/cpi/factsheets/</t>
      </text>
    </comment>
    <comment ref="D161" authorId="0" shapeId="0">
      <text>
        <t>Source: BLS page, 2026-10-24, https://www.bls.gov/cpi/factsheets/</t>
      </text>
    </comment>
    <comment ref="E161" authorId="0" shapeId="0">
      <text>
        <t>Source: BLS page, 2026-10-24, https://www.bls.gov/cpi/factsheets/</t>
      </text>
    </comment>
    <comment ref="F161" authorId="0" shapeId="0">
      <text>
        <t>Source: BLS page, 2026-10-24, https://www.bls.gov/cpi/factsheets/</t>
      </text>
    </comment>
    <comment ref="C162" authorId="0" shapeId="0">
      <text>
        <t>Source: BLS page, 2026-10-24, https://www.bls.gov/cpi/factsheets/</t>
      </text>
    </comment>
    <comment ref="D162" authorId="0" shapeId="0">
      <text>
        <t>Source: BLS page, 2026-10-24, https://www.bls.gov/cpi/factsheets/</t>
      </text>
    </comment>
    <comment ref="E162" authorId="0" shapeId="0">
      <text>
        <t>Source: BLS page, 2026-10-24, https://www.bls.gov/cpi/factsheets/</t>
      </text>
    </comment>
    <comment ref="F162" authorId="0" shapeId="0">
      <text>
        <t>Source: BLS page, 2026-10-24, https://www.bls.gov/cpi/factsheets/</t>
      </text>
    </comment>
    <comment ref="C163" authorId="0" shapeId="0">
      <text>
        <t>Source: BLS page, 2026-10-24, https://www.bls.gov/cpi/factsheets/</t>
      </text>
    </comment>
    <comment ref="D163" authorId="0" shapeId="0">
      <text>
        <t>Source: BLS page, 2026-10-24, https://www.bls.gov/cpi/factsheets/</t>
      </text>
    </comment>
    <comment ref="E163" authorId="0" shapeId="0">
      <text>
        <t>Source: BLS page, 2026-10-24, https://www.bls.gov/cpi/factsheets/</t>
      </text>
    </comment>
    <comment ref="F163" authorId="0" shapeId="0">
      <text>
        <t>Source: BLS page, 2026-10-24, https://www.bls.gov/cpi/factsheets/</t>
      </text>
    </comment>
    <comment ref="C164" authorId="0" shapeId="0">
      <text>
        <t>Source: BLS page, 2026-10-24, https://www.bls.gov/cpi/factsheets/</t>
      </text>
    </comment>
    <comment ref="D164" authorId="0" shapeId="0">
      <text>
        <t>Source: BLS page, 2026-10-24, https://www.bls.gov/cpi/factsheets/</t>
      </text>
    </comment>
    <comment ref="E164" authorId="0" shapeId="0">
      <text>
        <t>Source: BLS page, 2026-10-24, https://www.bls.gov/cpi/factsheets/</t>
      </text>
    </comment>
    <comment ref="F164" authorId="0" shapeId="0">
      <text>
        <t>Source: BLS page, 2026-10-24, https://www.bls.gov/cpi/factsheets/</t>
      </text>
    </comment>
    <comment ref="C165" authorId="0" shapeId="0">
      <text>
        <t>Source: BLS page, 2026-10-24, https://www.bls.gov/cpi/factsheets/</t>
      </text>
    </comment>
    <comment ref="D165" authorId="0" shapeId="0">
      <text>
        <t>Source: BLS page, 2026-10-24, https://www.bls.gov/cpi/factsheets/</t>
      </text>
    </comment>
    <comment ref="E165" authorId="0" shapeId="0">
      <text>
        <t>Source: BLS page, 2026-10-24, https://www.bls.gov/cpi/factsheets/</t>
      </text>
    </comment>
    <comment ref="F165" authorId="0" shapeId="0">
      <text>
        <t>Source: BLS page, 2026-10-24, https://www.bls.gov/cpi/factsheets/</t>
      </text>
    </comment>
    <comment ref="C166" authorId="0" shapeId="0">
      <text>
        <t>Source: BLS page, 2026-10-24, https://www.bls.gov/cpi/factsheets/</t>
      </text>
    </comment>
    <comment ref="D166" authorId="0" shapeId="0">
      <text>
        <t>Source: BLS page, 2026-10-24, https://www.bls.gov/cpi/factsheets/</t>
      </text>
    </comment>
    <comment ref="E166" authorId="0" shapeId="0">
      <text>
        <t>Source: BLS page, 2026-10-24, https://www.bls.gov/cpi/factsheets/</t>
      </text>
    </comment>
    <comment ref="F166" authorId="0" shapeId="0">
      <text>
        <t>Source: BLS page, 2026-10-24, https://www.bls.gov/cpi/factsheets/</t>
      </text>
    </comment>
    <comment ref="C167" authorId="0" shapeId="0">
      <text>
        <t>Source: BLS page, 2026-10-24, https://www.bls.gov/cpi/factsheets/</t>
      </text>
    </comment>
    <comment ref="D167" authorId="0" shapeId="0">
      <text>
        <t>Source: BLS page, 2026-10-24, https://www.bls.gov/cpi/factsheets/</t>
      </text>
    </comment>
    <comment ref="E167" authorId="0" shapeId="0">
      <text>
        <t>Source: BLS page, 2026-10-24, https://www.bls.gov/cpi/factsheets/</t>
      </text>
    </comment>
    <comment ref="F167" authorId="0" shapeId="0">
      <text>
        <t>Source: BLS page, 2026-10-24, https://www.bls.gov/cpi/factsheets/</t>
      </text>
    </comment>
    <comment ref="C168" authorId="0" shapeId="0">
      <text>
        <t>Source: BLS page, 2026-10-24, https://www.bls.gov/cpi/factsheets/</t>
      </text>
    </comment>
    <comment ref="D168" authorId="0" shapeId="0">
      <text>
        <t>Source: BLS page, 2026-10-24, https://www.bls.gov/cpi/factsheets/</t>
      </text>
    </comment>
    <comment ref="E168" authorId="0" shapeId="0">
      <text>
        <t>Source: BLS page, 2026-10-24, https://www.bls.gov/cpi/factsheets/</t>
      </text>
    </comment>
    <comment ref="F168" authorId="0" shapeId="0">
      <text>
        <t>Source: BLS page, 2026-10-24, https://www.bls.gov/cpi/factsheets/</t>
      </text>
    </comment>
    <comment ref="C169" authorId="0" shapeId="0">
      <text>
        <t>Source: BLS page, 2026-10-24, https://www.bls.gov/cpi/factsheets/</t>
      </text>
    </comment>
    <comment ref="D169" authorId="0" shapeId="0">
      <text>
        <t>Source: BLS page, 2026-10-24, https://www.bls.gov/cpi/factsheets/</t>
      </text>
    </comment>
    <comment ref="E169" authorId="0" shapeId="0">
      <text>
        <t>Source: BLS page, 2026-10-24, https://www.bls.gov/cpi/factsheets/</t>
      </text>
    </comment>
    <comment ref="F169" authorId="0" shapeId="0">
      <text>
        <t>Source: BLS page, 2026-10-24, https://www.bls.gov/cpi/factsheets/</t>
      </text>
    </comment>
    <comment ref="C170" authorId="0" shapeId="0">
      <text>
        <t>Source: BLS page, 2026-10-24, https://www.bls.gov/cpi/factsheets/</t>
      </text>
    </comment>
    <comment ref="D170" authorId="0" shapeId="0">
      <text>
        <t>Source: BLS page, 2026-10-24, https://www.bls.gov/cpi/factsheets/</t>
      </text>
    </comment>
    <comment ref="E170" authorId="0" shapeId="0">
      <text>
        <t>Source: BLS page, 2026-10-24, https://www.bls.gov/cpi/factsheets/</t>
      </text>
    </comment>
    <comment ref="F170" authorId="0" shapeId="0">
      <text>
        <t>Source: BLS page, 2026-10-24, https://www.bls.gov/cpi/factsheets/</t>
      </text>
    </comment>
    <comment ref="C171" authorId="0" shapeId="0">
      <text>
        <t>Source: BLS page, 2026-10-24, https://www.bls.gov/cpi/factsheets/</t>
      </text>
    </comment>
    <comment ref="D171" authorId="0" shapeId="0">
      <text>
        <t>Source: BLS page, 2026-10-24, https://www.bls.gov/cpi/factsheets/</t>
      </text>
    </comment>
    <comment ref="E171" authorId="0" shapeId="0">
      <text>
        <t>Source: BLS page, 2026-10-24, https://www.bls.gov/cpi/factsheets/</t>
      </text>
    </comment>
    <comment ref="F171" authorId="0" shapeId="0">
      <text>
        <t>Source: BLS page, 2026-10-24, https://www.bls.gov/cpi/factsheets/</t>
      </text>
    </comment>
    <comment ref="C172" authorId="0" shapeId="0">
      <text>
        <t>Source: BLS page, 2026-10-24, https://www.bls.gov/cpi/factsheets/</t>
      </text>
    </comment>
    <comment ref="D172" authorId="0" shapeId="0">
      <text>
        <t>Source: BLS page, 2026-10-24, https://www.bls.gov/cpi/factsheets/</t>
      </text>
    </comment>
    <comment ref="E172" authorId="0" shapeId="0">
      <text>
        <t>Source: BLS page, 2026-10-24, https://www.bls.gov/cpi/factsheets/</t>
      </text>
    </comment>
    <comment ref="F172" authorId="0" shapeId="0">
      <text>
        <t>Source: BLS page, 2026-10-24, https://www.bls.gov/cpi/factsheets/</t>
      </text>
    </comment>
    <comment ref="C173" authorId="0" shapeId="0">
      <text>
        <t>Source: BLS page, 2026-10-24, https://www.bls.gov/cpi/factsheets/</t>
      </text>
    </comment>
    <comment ref="D173" authorId="0" shapeId="0">
      <text>
        <t>Source: BLS page, 2026-10-24, https://www.bls.gov/cpi/factsheets/</t>
      </text>
    </comment>
    <comment ref="E173" authorId="0" shapeId="0">
      <text>
        <t>Source: BLS page, 2026-10-24, https://www.bls.gov/cpi/factsheets/</t>
      </text>
    </comment>
    <comment ref="F173" authorId="0" shapeId="0">
      <text>
        <t>Source: BLS page, 2026-10-24, https://www.bls.gov/cpi/factsheets/</t>
      </text>
    </comment>
    <comment ref="C174" authorId="0" shapeId="0">
      <text>
        <t>Source: BLS page, 2026-10-24, https://www.bls.gov/cpi/factsheets/</t>
      </text>
    </comment>
    <comment ref="D174" authorId="0" shapeId="0">
      <text>
        <t>Source: BLS page, 2026-10-24, https://www.bls.gov/cpi/factsheets/</t>
      </text>
    </comment>
    <comment ref="E174" authorId="0" shapeId="0">
      <text>
        <t>Source: BLS page, 2026-10-24, https://www.bls.gov/cpi/factsheets/</t>
      </text>
    </comment>
    <comment ref="F174" authorId="0" shapeId="0">
      <text>
        <t>Source: BLS page, 2026-10-24, https://www.bls.gov/cpi/factsheets/</t>
      </text>
    </comment>
    <comment ref="C175" authorId="0" shapeId="0">
      <text>
        <t>Source: BLS page, 2026-10-24, https://www.bls.gov/cpi/factsheets/</t>
      </text>
    </comment>
    <comment ref="D175" authorId="0" shapeId="0">
      <text>
        <t>Source: BLS page, 2026-10-24, https://www.bls.gov/cpi/factsheets/</t>
      </text>
    </comment>
    <comment ref="E175" authorId="0" shapeId="0">
      <text>
        <t>Source: BLS page, 2026-10-24, https://www.bls.gov/cpi/factsheets/</t>
      </text>
    </comment>
    <comment ref="F175" authorId="0" shapeId="0">
      <text>
        <t>Source: BLS page, 2026-10-24, https://www.bls.gov/cpi/factsheets/</t>
      </text>
    </comment>
    <comment ref="C176" authorId="0" shapeId="0">
      <text>
        <t>Source: BLS page, 2026-10-24, https://www.bls.gov/cpi/factsheets/</t>
      </text>
    </comment>
    <comment ref="D176" authorId="0" shapeId="0">
      <text>
        <t>Source: BLS page, 2026-10-24, https://www.bls.gov/cpi/factsheets/</t>
      </text>
    </comment>
    <comment ref="E176" authorId="0" shapeId="0">
      <text>
        <t>Source: BLS page, 2026-10-24, https://www.bls.gov/cpi/factsheets/</t>
      </text>
    </comment>
    <comment ref="F176" authorId="0" shapeId="0">
      <text>
        <t>Source: BLS page, 2026-10-24, https://www.bls.gov/cpi/factsheets/</t>
      </text>
    </comment>
    <comment ref="C177" authorId="0" shapeId="0">
      <text>
        <t>Source: BLS page, 2026-10-24, https://www.bls.gov/cpi/factsheets/</t>
      </text>
    </comment>
    <comment ref="D177" authorId="0" shapeId="0">
      <text>
        <t>Source: BLS page, 2026-10-24, https://www.bls.gov/cpi/factsheets/</t>
      </text>
    </comment>
    <comment ref="E177" authorId="0" shapeId="0">
      <text>
        <t>Source: BLS page, 2026-10-24, https://www.bls.gov/cpi/factsheets/</t>
      </text>
    </comment>
    <comment ref="F177" authorId="0" shapeId="0">
      <text>
        <t>Source: BLS page, 2026-10-24, https://www.bls.gov/cpi/factsheets/</t>
      </text>
    </comment>
    <comment ref="C178" authorId="0" shapeId="0">
      <text>
        <t>Source: BLS page, 2026-10-24, https://www.bls.gov/cpi/factsheets/</t>
      </text>
    </comment>
    <comment ref="D178" authorId="0" shapeId="0">
      <text>
        <t>Source: BLS page, 2026-10-24, https://www.bls.gov/cpi/factsheets/</t>
      </text>
    </comment>
    <comment ref="E178" authorId="0" shapeId="0">
      <text>
        <t>Source: BLS page, 2026-10-24, https://www.bls.gov/cpi/factsheets/</t>
      </text>
    </comment>
    <comment ref="F178" authorId="0" shapeId="0">
      <text>
        <t>Source: BLS page, 2026-10-24, https://www.bls.gov/cpi/factsheets/</t>
      </text>
    </comment>
    <comment ref="C179" authorId="0" shapeId="0">
      <text>
        <t>Source: BLS page, 2026-10-24, https://www.bls.gov/cpi/factsheets/</t>
      </text>
    </comment>
    <comment ref="D179" authorId="0" shapeId="0">
      <text>
        <t>Source: BLS page, 2026-10-24, https://www.bls.gov/cpi/factsheets/</t>
      </text>
    </comment>
    <comment ref="E179" authorId="0" shapeId="0">
      <text>
        <t>Source: BLS page, 2026-10-24, https://www.bls.gov/cpi/factsheets/</t>
      </text>
    </comment>
    <comment ref="F179" authorId="0" shapeId="0">
      <text>
        <t>Source: BLS page, 2026-10-24, https://www.bls.gov/cpi/factsheets/</t>
      </text>
    </comment>
    <comment ref="C180" authorId="0" shapeId="0">
      <text>
        <t>Source: BLS page, 2026-10-24, https://www.bls.gov/cpi/factsheets/</t>
      </text>
    </comment>
    <comment ref="D180" authorId="0" shapeId="0">
      <text>
        <t>Source: BLS page, 2026-10-24, https://www.bls.gov/cpi/factsheets/</t>
      </text>
    </comment>
    <comment ref="E180" authorId="0" shapeId="0">
      <text>
        <t>Source: BLS page, 2026-10-24, https://www.bls.gov/cpi/factsheets/</t>
      </text>
    </comment>
    <comment ref="F180" authorId="0" shapeId="0">
      <text>
        <t>Source: BLS page, 2026-10-24, https://www.bls.gov/cpi/factsheets/</t>
      </text>
    </comment>
    <comment ref="C181" authorId="0" shapeId="0">
      <text>
        <t>Source: BLS page, 2026-10-24, https://www.bls.gov/cpi/factsheets/</t>
      </text>
    </comment>
    <comment ref="D181" authorId="0" shapeId="0">
      <text>
        <t>Source: BLS page, 2026-10-24, https://www.bls.gov/cpi/factsheets/</t>
      </text>
    </comment>
    <comment ref="E181" authorId="0" shapeId="0">
      <text>
        <t>Source: BLS page, 2026-10-24, https://www.bls.gov/cpi/factsheets/</t>
      </text>
    </comment>
    <comment ref="F181" authorId="0" shapeId="0">
      <text>
        <t>Source: BLS page, 2026-10-24, https://www.bls.gov/cpi/factsheets/</t>
      </text>
    </comment>
    <comment ref="C182" authorId="0" shapeId="0">
      <text>
        <t>Source: BLS page, 2026-10-24, https://www.bls.gov/cpi/factsheets/</t>
      </text>
    </comment>
    <comment ref="D182" authorId="0" shapeId="0">
      <text>
        <t>Source: BLS page, 2026-10-24, https://www.bls.gov/cpi/factsheets/</t>
      </text>
    </comment>
    <comment ref="E182" authorId="0" shapeId="0">
      <text>
        <t>Source: BLS page, 2026-10-24, https://www.bls.gov/cpi/factsheets/</t>
      </text>
    </comment>
    <comment ref="F182" authorId="0" shapeId="0">
      <text>
        <t>Source: BLS page, 2026-10-24, https://www.bls.gov/cpi/factsheets/</t>
      </text>
    </comment>
    <comment ref="C183" authorId="0" shapeId="0">
      <text>
        <t>Source: BLS page, 2026-10-24, https://www.bls.gov/cpi/factsheets/</t>
      </text>
    </comment>
    <comment ref="D183" authorId="0" shapeId="0">
      <text>
        <t>Source: BLS page, 2026-10-24, https://www.bls.gov/cpi/factsheets/</t>
      </text>
    </comment>
    <comment ref="E183" authorId="0" shapeId="0">
      <text>
        <t>Source: BLS page, 2026-10-24, https://www.bls.gov/cpi/factsheets/</t>
      </text>
    </comment>
    <comment ref="F183" authorId="0" shapeId="0">
      <text>
        <t>Source: BLS page, 2026-10-24, https://www.bls.gov/cpi/factsheets/</t>
      </text>
    </comment>
    <comment ref="C184" authorId="0" shapeId="0">
      <text>
        <t>Source: BLS page, 2026-10-24, https://www.bls.gov/cpi/factsheets/</t>
      </text>
    </comment>
    <comment ref="D184" authorId="0" shapeId="0">
      <text>
        <t>Source: BLS page, 2026-10-24, https://www.bls.gov/cpi/factsheets/</t>
      </text>
    </comment>
    <comment ref="E184" authorId="0" shapeId="0">
      <text>
        <t>Source: BLS page, 2026-10-24, https://www.bls.gov/cpi/factsheets/</t>
      </text>
    </comment>
    <comment ref="F184" authorId="0" shapeId="0">
      <text>
        <t>Source: BLS page, 2026-10-24, https://www.bls.gov/cpi/factsheets/</t>
      </text>
    </comment>
    <comment ref="C185" authorId="0" shapeId="0">
      <text>
        <t>Source: BLS page, 2026-10-24, https://www.bls.gov/cpi/factsheets/</t>
      </text>
    </comment>
    <comment ref="D185" authorId="0" shapeId="0">
      <text>
        <t>Source: BLS page, 2026-10-24, https://www.bls.gov/cpi/factsheets/</t>
      </text>
    </comment>
    <comment ref="E185" authorId="0" shapeId="0">
      <text>
        <t>Source: BLS page, 2026-10-24, https://www.bls.gov/cpi/factsheets/</t>
      </text>
    </comment>
    <comment ref="F185" authorId="0" shapeId="0">
      <text>
        <t>Source: BLS page, 2026-10-24, https://www.bls.gov/cpi/factsheets/</t>
      </text>
    </comment>
    <comment ref="C186" authorId="0" shapeId="0">
      <text>
        <t>Source: BLS page, 2026-10-24, https://www.bls.gov/cpi/factsheets/</t>
      </text>
    </comment>
    <comment ref="D186" authorId="0" shapeId="0">
      <text>
        <t>Source: BLS page, 2026-10-24, https://www.bls.gov/cpi/factsheets/</t>
      </text>
    </comment>
    <comment ref="E186" authorId="0" shapeId="0">
      <text>
        <t>Source: BLS page, 2026-10-24, https://www.bls.gov/cpi/factsheets/</t>
      </text>
    </comment>
    <comment ref="F186" authorId="0" shapeId="0">
      <text>
        <t>Source: BLS page, 2026-10-24, https://www.bls.gov/cpi/factsheets/</t>
      </text>
    </comment>
    <comment ref="C187" authorId="0" shapeId="0">
      <text>
        <t>Source: BLS page, 2026-10-24, https://www.bls.gov/cpi/factsheets/</t>
      </text>
    </comment>
    <comment ref="D187" authorId="0" shapeId="0">
      <text>
        <t>Source: BLS page, 2026-10-24, https://www.bls.gov/cpi/factsheets/</t>
      </text>
    </comment>
    <comment ref="E187" authorId="0" shapeId="0">
      <text>
        <t>Source: BLS page, 2026-10-24, https://www.bls.gov/cpi/factsheets/</t>
      </text>
    </comment>
    <comment ref="F187" authorId="0" shapeId="0">
      <text>
        <t>Source: BLS page, 2026-10-24, https://www.bls.gov/cpi/factsheets/</t>
      </text>
    </comment>
    <comment ref="C188" authorId="0" shapeId="0">
      <text>
        <t>Source: BLS page, 2026-10-24, https://www.bls.gov/cpi/factsheets/</t>
      </text>
    </comment>
    <comment ref="D188" authorId="0" shapeId="0">
      <text>
        <t>Source: BLS page, 2026-10-24, https://www.bls.gov/cpi/factsheets/</t>
      </text>
    </comment>
    <comment ref="E188" authorId="0" shapeId="0">
      <text>
        <t>Source: BLS page, 2026-10-24, https://www.bls.gov/cpi/factsheets/</t>
      </text>
    </comment>
    <comment ref="F188" authorId="0" shapeId="0">
      <text>
        <t>Source: BLS page, 2026-10-24, https://www.bls.gov/cpi/factsheets/</t>
      </text>
    </comment>
    <comment ref="C189" authorId="0" shapeId="0">
      <text>
        <t>Source: BLS page, 2026-10-24, https://www.bls.gov/cpi/factsheets/</t>
      </text>
    </comment>
    <comment ref="D189" authorId="0" shapeId="0">
      <text>
        <t>Source: BLS page, 2026-10-24, https://www.bls.gov/cpi/factsheets/</t>
      </text>
    </comment>
    <comment ref="E189" authorId="0" shapeId="0">
      <text>
        <t>Source: BLS page, 2026-10-24, https://www.bls.gov/cpi/factsheets/</t>
      </text>
    </comment>
    <comment ref="F189" authorId="0" shapeId="0">
      <text>
        <t>Source: BLS page, 2026-10-24, https://www.bls.gov/cpi/factsheets/</t>
      </text>
    </comment>
    <comment ref="C190" authorId="0" shapeId="0">
      <text>
        <t>Source: BLS page, 2026-10-24, https://www.bls.gov/cpi/factsheets/</t>
      </text>
    </comment>
    <comment ref="D190" authorId="0" shapeId="0">
      <text>
        <t>Source: BLS page, 2026-10-24, https://www.bls.gov/cpi/factsheets/</t>
      </text>
    </comment>
    <comment ref="E190" authorId="0" shapeId="0">
      <text>
        <t>Source: BLS page, 2026-10-24, https://www.bls.gov/cpi/factsheets/</t>
      </text>
    </comment>
    <comment ref="F190" authorId="0" shapeId="0">
      <text>
        <t>Source: BLS page, 2026-10-24, https://www.bls.gov/cpi/factsheets/</t>
      </text>
    </comment>
    <comment ref="C191" authorId="0" shapeId="0">
      <text>
        <t>Source: BLS page, 2026-10-24, https://www.bls.gov/cpi/factsheets/</t>
      </text>
    </comment>
    <comment ref="D191" authorId="0" shapeId="0">
      <text>
        <t>Source: BLS page, 2026-10-24, https://www.bls.gov/cpi/factsheets/</t>
      </text>
    </comment>
    <comment ref="E191" authorId="0" shapeId="0">
      <text>
        <t>Source: BLS page, 2026-10-24, https://www.bls.gov/cpi/factsheets/</t>
      </text>
    </comment>
    <comment ref="F191" authorId="0" shapeId="0">
      <text>
        <t>Source: BLS page, 2026-10-24, https://www.bls.gov/cpi/factsheets/</t>
      </text>
    </comment>
    <comment ref="C192" authorId="0" shapeId="0">
      <text>
        <t>Source: BLS page, 2026-10-24, https://www.bls.gov/cpi/factsheets/</t>
      </text>
    </comment>
    <comment ref="D192" authorId="0" shapeId="0">
      <text>
        <t>Source: BLS page, 2026-10-24, https://www.bls.gov/cpi/factsheets/</t>
      </text>
    </comment>
    <comment ref="E192" authorId="0" shapeId="0">
      <text>
        <t>Source: BLS page, 2026-10-24, https://www.bls.gov/cpi/factsheets/</t>
      </text>
    </comment>
    <comment ref="F192" authorId="0" shapeId="0">
      <text>
        <t>Source: BLS page, 2026-10-24, https://www.bls.gov/cpi/factsheets/</t>
      </text>
    </comment>
    <comment ref="C193" authorId="0" shapeId="0">
      <text>
        <t>Source: BLS page, 2026-10-24, https://www.bls.gov/cpi/factsheets/</t>
      </text>
    </comment>
    <comment ref="D193" authorId="0" shapeId="0">
      <text>
        <t>Source: BLS page, 2026-10-24, https://www.bls.gov/cpi/factsheets/</t>
      </text>
    </comment>
    <comment ref="E193" authorId="0" shapeId="0">
      <text>
        <t>Source: BLS page, 2026-10-24, https://www.bls.gov/cpi/factsheets/</t>
      </text>
    </comment>
    <comment ref="F193" authorId="0" shapeId="0">
      <text>
        <t>Source: BLS page, 2026-10-24, https://www.bls.gov/cpi/factsheets/</t>
      </text>
    </comment>
    <comment ref="C194" authorId="0" shapeId="0">
      <text>
        <t>Source: BLS page, 2026-10-24, https://www.bls.gov/cpi/factsheets/</t>
      </text>
    </comment>
    <comment ref="D194" authorId="0" shapeId="0">
      <text>
        <t>Source: BLS page, 2026-10-24, https://www.bls.gov/cpi/factsheets/</t>
      </text>
    </comment>
    <comment ref="E194" authorId="0" shapeId="0">
      <text>
        <t>Source: BLS page, 2026-10-24, https://www.bls.gov/cpi/factsheets/</t>
      </text>
    </comment>
    <comment ref="F194" authorId="0" shapeId="0">
      <text>
        <t>Source: BLS page, 2026-10-24, https://www.bls.gov/cpi/factsheets/</t>
      </text>
    </comment>
    <comment ref="C195" authorId="0" shapeId="0">
      <text>
        <t>Source: BLS page, 2026-10-24, https://www.bls.gov/cpi/factsheets/</t>
      </text>
    </comment>
    <comment ref="D195" authorId="0" shapeId="0">
      <text>
        <t>Source: BLS page, 2026-10-24, https://www.bls.gov/cpi/factsheets/</t>
      </text>
    </comment>
    <comment ref="E195" authorId="0" shapeId="0">
      <text>
        <t>Source: BLS page, 2026-10-24, https://www.bls.gov/cpi/factsheets/</t>
      </text>
    </comment>
    <comment ref="F195" authorId="0" shapeId="0">
      <text>
        <t>Source: BLS page, 2026-10-24, https://www.bls.gov/cpi/factsheets/</t>
      </text>
    </comment>
    <comment ref="C196" authorId="0" shapeId="0">
      <text>
        <t>Source: BLS page, 2026-10-24, https://www.bls.gov/cpi/factsheets/</t>
      </text>
    </comment>
    <comment ref="D196" authorId="0" shapeId="0">
      <text>
        <t>Source: BLS page, 2026-10-24, https://www.bls.gov/cpi/factsheets/</t>
      </text>
    </comment>
    <comment ref="E196" authorId="0" shapeId="0">
      <text>
        <t>Source: BLS page, 2026-10-24, https://www.bls.gov/cpi/factsheets/</t>
      </text>
    </comment>
    <comment ref="F196" authorId="0" shapeId="0">
      <text>
        <t>Source: BLS page, 2026-10-24, https://www.bls.gov/cpi/factsheets/</t>
      </text>
    </comment>
    <comment ref="C197" authorId="0" shapeId="0">
      <text>
        <t>Source: BLS page, 2026-10-24, https://www.bls.gov/cpi/factsheets/</t>
      </text>
    </comment>
    <comment ref="D197" authorId="0" shapeId="0">
      <text>
        <t>Source: BLS page, 2026-10-24, https://www.bls.gov/cpi/factsheets/</t>
      </text>
    </comment>
    <comment ref="E197" authorId="0" shapeId="0">
      <text>
        <t>Source: BLS page, 2026-10-24, https://www.bls.gov/cpi/factsheets/</t>
      </text>
    </comment>
    <comment ref="F197" authorId="0" shapeId="0">
      <text>
        <t>Source: BLS page, 2026-10-24, https://www.bls.gov/cpi/factsheets/</t>
      </text>
    </comment>
    <comment ref="C198" authorId="0" shapeId="0">
      <text>
        <t>Source: BLS page, 2026-10-24, https://www.bls.gov/cpi/factsheets/</t>
      </text>
    </comment>
    <comment ref="D198" authorId="0" shapeId="0">
      <text>
        <t>Source: BLS page, 2026-10-24, https://www.bls.gov/cpi/factsheets/</t>
      </text>
    </comment>
    <comment ref="E198" authorId="0" shapeId="0">
      <text>
        <t>Source: BLS page, 2026-10-24, https://www.bls.gov/cpi/factsheets/</t>
      </text>
    </comment>
    <comment ref="F198" authorId="0" shapeId="0">
      <text>
        <t>Source: BLS page, 2026-10-24, https://www.bls.gov/cpi/factsheets/</t>
      </text>
    </comment>
    <comment ref="C199" authorId="0" shapeId="0">
      <text>
        <t>Source: BLS page, 2026-10-24, https://www.bls.gov/cpi/factsheets/</t>
      </text>
    </comment>
    <comment ref="D199" authorId="0" shapeId="0">
      <text>
        <t>Source: BLS page, 2026-10-24, https://www.bls.gov/cpi/factsheets/</t>
      </text>
    </comment>
    <comment ref="E199" authorId="0" shapeId="0">
      <text>
        <t>Source: BLS page, 2026-10-24, https://www.bls.gov/cpi/factsheets/</t>
      </text>
    </comment>
    <comment ref="F199" authorId="0" shapeId="0">
      <text>
        <t>Source: BLS page, 2026-10-24, https://www.bls.gov/cpi/factsheets/</t>
      </text>
    </comment>
    <comment ref="C200" authorId="0" shapeId="0">
      <text>
        <t>Source: BLS page, 2026-10-24, https://www.bls.gov/cpi/factsheets/</t>
      </text>
    </comment>
    <comment ref="D200" authorId="0" shapeId="0">
      <text>
        <t>Source: BLS page, 2026-10-24, https://www.bls.gov/cpi/factsheets/</t>
      </text>
    </comment>
    <comment ref="E200" authorId="0" shapeId="0">
      <text>
        <t>Source: BLS page, 2026-10-24, https://www.bls.gov/cpi/factsheets/</t>
      </text>
    </comment>
    <comment ref="F200" authorId="0" shapeId="0">
      <text>
        <t>Source: BLS page, 2026-10-24, https://www.bls.gov/cpi/factsheets/</t>
      </text>
    </comment>
    <comment ref="C201" authorId="0" shapeId="0">
      <text>
        <t>Source: BLS page, 2026-10-24, https://www.bls.gov/cpi/factsheets/</t>
      </text>
    </comment>
    <comment ref="D201" authorId="0" shapeId="0">
      <text>
        <t>Source: BLS page, 2026-10-24, https://www.bls.gov/cpi/factsheets/</t>
      </text>
    </comment>
    <comment ref="E201" authorId="0" shapeId="0">
      <text>
        <t>Source: BLS page, 2026-10-24, https://www.bls.gov/cpi/factsheets/</t>
      </text>
    </comment>
    <comment ref="F201" authorId="0" shapeId="0">
      <text>
        <t>Source: BLS page, 2026-10-24, https://www.bls.gov/cpi/factsheets/</t>
      </text>
    </comment>
    <comment ref="C202" authorId="0" shapeId="0">
      <text>
        <t>Source: BLS page, 2026-10-24, https://www.bls.gov/cpi/factsheets/</t>
      </text>
    </comment>
    <comment ref="D202" authorId="0" shapeId="0">
      <text>
        <t>Source: BLS page, 2026-10-24, https://www.bls.gov/cpi/factsheets/</t>
      </text>
    </comment>
    <comment ref="E202" authorId="0" shapeId="0">
      <text>
        <t>Source: BLS page, 2026-10-24, https://www.bls.gov/cpi/factsheets/</t>
      </text>
    </comment>
    <comment ref="F202" authorId="0" shapeId="0">
      <text>
        <t>Source: BLS page, 2026-10-24, https://www.bls.gov/cpi/factsheets/</t>
      </text>
    </comment>
    <comment ref="C203" authorId="0" shapeId="0">
      <text>
        <t>Source: BLS page, 2026-10-24, https://www.bls.gov/cpi/factsheets/</t>
      </text>
    </comment>
    <comment ref="D203" authorId="0" shapeId="0">
      <text>
        <t>Source: BLS page, 2026-10-24, https://www.bls.gov/cpi/factsheets/</t>
      </text>
    </comment>
    <comment ref="E203" authorId="0" shapeId="0">
      <text>
        <t>Source: BLS page, 2026-10-24, https://www.bls.gov/cpi/factsheets/</t>
      </text>
    </comment>
    <comment ref="F203" authorId="0" shapeId="0">
      <text>
        <t>Source: BLS page, 2026-10-24, https://www.bls.gov/cpi/factsheets/</t>
      </text>
    </comment>
    <comment ref="C204" authorId="0" shapeId="0">
      <text>
        <t>Source: BLS page, 2026-10-24, https://www.bls.gov/cpi/factsheets/</t>
      </text>
    </comment>
    <comment ref="D204" authorId="0" shapeId="0">
      <text>
        <t>Source: BLS page, 2026-10-24, https://www.bls.gov/cpi/factsheets/</t>
      </text>
    </comment>
    <comment ref="E204" authorId="0" shapeId="0">
      <text>
        <t>Source: BLS page, 2026-10-24, https://www.bls.gov/cpi/factsheets/</t>
      </text>
    </comment>
    <comment ref="F204" authorId="0" shapeId="0">
      <text>
        <t>Source: BLS page, 2026-10-24, https://www.bls.gov/cpi/factsheets/</t>
      </text>
    </comment>
    <comment ref="C205" authorId="0" shapeId="0">
      <text>
        <t>Source: BLS page, 2026-10-24, https://www.bls.gov/cpi/factsheets/</t>
      </text>
    </comment>
    <comment ref="D205" authorId="0" shapeId="0">
      <text>
        <t>Source: BLS page, 2026-10-24, https://www.bls.gov/cpi/factsheets/</t>
      </text>
    </comment>
    <comment ref="E205" authorId="0" shapeId="0">
      <text>
        <t>Source: BLS page, 2026-10-24, https://www.bls.gov/cpi/factsheets/</t>
      </text>
    </comment>
    <comment ref="F205" authorId="0" shapeId="0">
      <text>
        <t>Source: BLS page, 2026-10-24, https://www.bls.gov/cpi/factsheets/</t>
      </text>
    </comment>
    <comment ref="C206" authorId="0" shapeId="0">
      <text>
        <t>Source: BLS page, 2026-10-24, https://www.bls.gov/cpi/factsheets/</t>
      </text>
    </comment>
    <comment ref="D206" authorId="0" shapeId="0">
      <text>
        <t>Source: BLS page, 2026-10-24, https://www.bls.gov/cpi/factsheets/</t>
      </text>
    </comment>
    <comment ref="E206" authorId="0" shapeId="0">
      <text>
        <t>Source: BLS page, 2026-10-24, https://www.bls.gov/cpi/factsheets/</t>
      </text>
    </comment>
    <comment ref="F206" authorId="0" shapeId="0">
      <text>
        <t>Source: BLS page, 2026-10-24, https://www.bls.gov/cpi/factsheets/</t>
      </text>
    </comment>
    <comment ref="C207" authorId="0" shapeId="0">
      <text>
        <t>Source: BLS page, 2026-10-24, https://www.bls.gov/cpi/factsheets/</t>
      </text>
    </comment>
    <comment ref="D207" authorId="0" shapeId="0">
      <text>
        <t>Source: BLS page, 2026-10-24, https://www.bls.gov/cpi/factsheets/</t>
      </text>
    </comment>
    <comment ref="E207" authorId="0" shapeId="0">
      <text>
        <t>Source: BLS page, 2026-10-24, https://www.bls.gov/cpi/factsheets/</t>
      </text>
    </comment>
    <comment ref="F207" authorId="0" shapeId="0">
      <text>
        <t>Source: BLS page, 2026-10-24, https://www.bls.gov/cpi/factsheets/</t>
      </text>
    </comment>
    <comment ref="C208" authorId="0" shapeId="0">
      <text>
        <t>Source: BLS page, 2026-10-24, https://www.bls.gov/cpi/factsheets/</t>
      </text>
    </comment>
    <comment ref="D208" authorId="0" shapeId="0">
      <text>
        <t>Source: BLS page, 2026-10-24, https://www.bls.gov/cpi/factsheets/</t>
      </text>
    </comment>
    <comment ref="E208" authorId="0" shapeId="0">
      <text>
        <t>Source: BLS page, 2026-10-24, https://www.bls.gov/cpi/factsheets/</t>
      </text>
    </comment>
    <comment ref="F208" authorId="0" shapeId="0">
      <text>
        <t>Source: BLS page, 2026-10-24, https://www.bls.gov/cpi/factsheets/</t>
      </text>
    </comment>
    <comment ref="C209" authorId="0" shapeId="0">
      <text>
        <t>Source: BLS page, 2026-10-24, https://www.bls.gov/cpi/factsheets/</t>
      </text>
    </comment>
    <comment ref="D209" authorId="0" shapeId="0">
      <text>
        <t>Source: BLS page, 2026-10-24, https://www.bls.gov/cpi/factsheets/</t>
      </text>
    </comment>
    <comment ref="E209" authorId="0" shapeId="0">
      <text>
        <t>Source: BLS page, 2026-10-24, https://www.bls.gov/cpi/factsheets/</t>
      </text>
    </comment>
    <comment ref="F209" authorId="0" shapeId="0">
      <text>
        <t>Source: BLS page, 2026-10-24, https://www.bls.gov/cpi/factsheets/</t>
      </text>
    </comment>
    <comment ref="C210" authorId="0" shapeId="0">
      <text>
        <t>Source: BLS page, 2026-10-24, https://www.bls.gov/cpi/factsheets/</t>
      </text>
    </comment>
    <comment ref="D210" authorId="0" shapeId="0">
      <text>
        <t>Source: BLS page, 2026-10-24, https://www.bls.gov/cpi/factsheets/</t>
      </text>
    </comment>
    <comment ref="E210" authorId="0" shapeId="0">
      <text>
        <t>Source: BLS page, 2026-10-24, https://www.bls.gov/cpi/factsheets/</t>
      </text>
    </comment>
    <comment ref="F210" authorId="0" shapeId="0">
      <text>
        <t>Source: BLS page, 2026-10-24, https://www.bls.gov/cpi/factsheets/</t>
      </text>
    </comment>
    <comment ref="C211" authorId="0" shapeId="0">
      <text>
        <t>Source: BLS page, 2026-10-24, https://www.bls.gov/cpi/factsheets/</t>
      </text>
    </comment>
    <comment ref="D211" authorId="0" shapeId="0">
      <text>
        <t>Source: BLS page, 2026-10-24, https://www.bls.gov/cpi/factsheets/</t>
      </text>
    </comment>
    <comment ref="E211" authorId="0" shapeId="0">
      <text>
        <t>Source: BLS page, 2026-10-24, https://www.bls.gov/cpi/factsheets/</t>
      </text>
    </comment>
    <comment ref="F211" authorId="0" shapeId="0">
      <text>
        <t>Source: BLS page, 2026-10-24, https://www.bls.gov/cpi/factsheets/</t>
      </text>
    </comment>
    <comment ref="C212" authorId="0" shapeId="0">
      <text>
        <t>Source: BLS page, 2026-10-24, https://www.bls.gov/cpi/factsheets/</t>
      </text>
    </comment>
    <comment ref="D212" authorId="0" shapeId="0">
      <text>
        <t>Source: BLS page, 2026-10-24, https://www.bls.gov/cpi/factsheets/</t>
      </text>
    </comment>
    <comment ref="E212" authorId="0" shapeId="0">
      <text>
        <t>Source: BLS page, 2026-10-24, https://www.bls.gov/cpi/factsheets/</t>
      </text>
    </comment>
    <comment ref="F212" authorId="0" shapeId="0">
      <text>
        <t>Source: BLS page, 2026-10-24, https://www.bls.gov/cpi/factsheets/</t>
      </text>
    </comment>
    <comment ref="C213" authorId="0" shapeId="0">
      <text>
        <t>Source: BLS page, 2026-10-24, https://www.bls.gov/cpi/factsheets/</t>
      </text>
    </comment>
    <comment ref="D213" authorId="0" shapeId="0">
      <text>
        <t>Source: BLS page, 2026-10-24, https://www.bls.gov/cpi/factsheets/</t>
      </text>
    </comment>
    <comment ref="E213" authorId="0" shapeId="0">
      <text>
        <t>Source: BLS page, 2026-10-24, https://www.bls.gov/cpi/factsheets/</t>
      </text>
    </comment>
    <comment ref="F213" authorId="0" shapeId="0">
      <text>
        <t>Source: BLS page, 2026-10-24, https://www.bls.gov/cpi/factsheets/</t>
      </text>
    </comment>
    <comment ref="C214" authorId="0" shapeId="0">
      <text>
        <t>Source: BLS page, 2026-10-24, https://www.bls.gov/cpi/factsheets/</t>
      </text>
    </comment>
    <comment ref="D214" authorId="0" shapeId="0">
      <text>
        <t>Source: BLS page, 2026-10-24, https://www.bls.gov/cpi/factsheets/</t>
      </text>
    </comment>
    <comment ref="E214" authorId="0" shapeId="0">
      <text>
        <t>Source: BLS page, 2026-10-24, https://www.bls.gov/cpi/factsheets/</t>
      </text>
    </comment>
    <comment ref="F214" authorId="0" shapeId="0">
      <text>
        <t>Source: BLS page, 2026-10-24, https://www.bls.gov/cpi/factsheets/</t>
      </text>
    </comment>
    <comment ref="C215" authorId="0" shapeId="0">
      <text>
        <t>Source: BLS page, 2026-10-24, https://www.bls.gov/cpi/factsheets/</t>
      </text>
    </comment>
    <comment ref="D215" authorId="0" shapeId="0">
      <text>
        <t>Source: BLS page, 2026-10-24, https://www.bls.gov/cpi/factsheets/</t>
      </text>
    </comment>
    <comment ref="E215" authorId="0" shapeId="0">
      <text>
        <t>Source: BLS page, 2026-10-24, https://www.bls.gov/cpi/factsheets/</t>
      </text>
    </comment>
    <comment ref="F215" authorId="0" shapeId="0">
      <text>
        <t>Source: BLS page, 2026-10-24, https://www.bls.gov/cpi/factsheets/</t>
      </text>
    </comment>
    <comment ref="C216" authorId="0" shapeId="0">
      <text>
        <t>Source: BLS page, 2026-10-24, https://www.bls.gov/cpi/factsheets/</t>
      </text>
    </comment>
    <comment ref="D216" authorId="0" shapeId="0">
      <text>
        <t>Source: BLS page, 2026-10-24, https://www.bls.gov/cpi/factsheets/</t>
      </text>
    </comment>
    <comment ref="E216" authorId="0" shapeId="0">
      <text>
        <t>Source: BLS page, 2026-10-24, https://www.bls.gov/cpi/factsheets/</t>
      </text>
    </comment>
    <comment ref="F216" authorId="0" shapeId="0">
      <text>
        <t>Source: BLS page, 2026-10-24, https://www.bls.gov/cpi/factsheets/</t>
      </text>
    </comment>
    <comment ref="C217" authorId="0" shapeId="0">
      <text>
        <t>Source: BLS page, 2026-10-24, https://www.bls.gov/cpi/factsheets/</t>
      </text>
    </comment>
    <comment ref="D217" authorId="0" shapeId="0">
      <text>
        <t>Source: BLS page, 2026-10-24, https://www.bls.gov/cpi/factsheets/</t>
      </text>
    </comment>
    <comment ref="E217" authorId="0" shapeId="0">
      <text>
        <t>Source: BLS page, 2026-10-24, https://www.bls.gov/cpi/factsheets/</t>
      </text>
    </comment>
    <comment ref="F217" authorId="0" shapeId="0">
      <text>
        <t>Source: BLS page, 2026-10-24, https://www.bls.gov/cpi/factsheets/</t>
      </text>
    </comment>
    <comment ref="C218" authorId="0" shapeId="0">
      <text>
        <t>Source: BLS page, 2026-10-24, https://www.bls.gov/cpi/factsheets/</t>
      </text>
    </comment>
    <comment ref="D218" authorId="0" shapeId="0">
      <text>
        <t>Source: BLS page, 2026-10-24, https://www.bls.gov/cpi/factsheets/</t>
      </text>
    </comment>
    <comment ref="E218" authorId="0" shapeId="0">
      <text>
        <t>Source: BLS page, 2026-10-24, https://www.bls.gov/cpi/factsheets/</t>
      </text>
    </comment>
    <comment ref="F218" authorId="0" shapeId="0">
      <text>
        <t>Source: BLS page, 2026-10-24, https://www.bls.gov/cpi/factsheets/</t>
      </text>
    </comment>
    <comment ref="C219" authorId="0" shapeId="0">
      <text>
        <t>Source: BLS page, 2026-10-24, https://www.bls.gov/cpi/factsheets/</t>
      </text>
    </comment>
    <comment ref="D219" authorId="0" shapeId="0">
      <text>
        <t>Source: BLS page, 2026-10-24, https://www.bls.gov/cpi/factsheets/</t>
      </text>
    </comment>
    <comment ref="E219" authorId="0" shapeId="0">
      <text>
        <t>Source: BLS page, 2026-10-24, https://www.bls.gov/cpi/factsheets/</t>
      </text>
    </comment>
    <comment ref="F219" authorId="0" shapeId="0">
      <text>
        <t>Source: BLS page, 2026-10-24, https://www.bls.gov/cpi/factsheets/</t>
      </text>
    </comment>
    <comment ref="C220" authorId="0" shapeId="0">
      <text>
        <t>Source: BLS page, 2026-10-24, https://www.bls.gov/cpi/factsheets/</t>
      </text>
    </comment>
    <comment ref="D220" authorId="0" shapeId="0">
      <text>
        <t>Source: BLS page, 2026-10-24, https://www.bls.gov/cpi/factsheets/</t>
      </text>
    </comment>
    <comment ref="E220" authorId="0" shapeId="0">
      <text>
        <t>Source: BLS page, 2026-10-24, https://www.bls.gov/cpi/factsheets/</t>
      </text>
    </comment>
    <comment ref="F220" authorId="0" shapeId="0">
      <text>
        <t>Source: BLS page, 2026-10-24, https://www.bls.gov/cpi/factsheets/</t>
      </text>
    </comment>
    <comment ref="C221" authorId="0" shapeId="0">
      <text>
        <t>Source: BLS page, 2026-10-24, https://www.bls.gov/cpi/factsheets/</t>
      </text>
    </comment>
    <comment ref="D221" authorId="0" shapeId="0">
      <text>
        <t>Source: BLS page, 2026-10-24, https://www.bls.gov/cpi/factsheets/</t>
      </text>
    </comment>
    <comment ref="E221" authorId="0" shapeId="0">
      <text>
        <t>Source: BLS page, 2026-10-24, https://www.bls.gov/cpi/factsheets/</t>
      </text>
    </comment>
    <comment ref="F221" authorId="0" shapeId="0">
      <text>
        <t>Source: BLS page, 2026-10-24, https://www.bls.gov/cpi/factsheets/</t>
      </text>
    </comment>
    <comment ref="C222" authorId="0" shapeId="0">
      <text>
        <t>Source: BLS page, 2026-10-24, https://www.bls.gov/cpi/factsheets/</t>
      </text>
    </comment>
    <comment ref="D222" authorId="0" shapeId="0">
      <text>
        <t>Source: BLS page, 2026-10-24, https://www.bls.gov/cpi/factsheets/</t>
      </text>
    </comment>
    <comment ref="E222" authorId="0" shapeId="0">
      <text>
        <t>Source: BLS page, 2026-10-24, https://www.bls.gov/cpi/factsheets/</t>
      </text>
    </comment>
    <comment ref="F222" authorId="0" shapeId="0">
      <text>
        <t>Source: BLS page, 2026-10-24, https://www.bls.gov/cpi/factsheets/</t>
      </text>
    </comment>
    <comment ref="C223" authorId="0" shapeId="0">
      <text>
        <t>Source: BLS page, 2026-10-24, https://www.bls.gov/cpi/factsheets/</t>
      </text>
    </comment>
    <comment ref="D223" authorId="0" shapeId="0">
      <text>
        <t>Source: BLS page, 2026-10-24, https://www.bls.gov/cpi/factsheets/</t>
      </text>
    </comment>
    <comment ref="E223" authorId="0" shapeId="0">
      <text>
        <t>Source: BLS page, 2026-10-24, https://www.bls.gov/cpi/factsheets/</t>
      </text>
    </comment>
    <comment ref="F223" authorId="0" shapeId="0">
      <text>
        <t>Source: BLS page, 2026-10-24, https://www.bls.gov/cpi/factsheets/</t>
      </text>
    </comment>
    <comment ref="C224" authorId="0" shapeId="0">
      <text>
        <t>Source: BLS page, 2026-10-24, https://www.bls.gov/cpi/factsheets/</t>
      </text>
    </comment>
    <comment ref="D224" authorId="0" shapeId="0">
      <text>
        <t>Source: BLS page, 2026-10-24, https://www.bls.gov/cpi/factsheets/</t>
      </text>
    </comment>
    <comment ref="E224" authorId="0" shapeId="0">
      <text>
        <t>Source: BLS page, 2026-10-24, https://www.bls.gov/cpi/factsheets/</t>
      </text>
    </comment>
    <comment ref="F224" authorId="0" shapeId="0">
      <text>
        <t>Source: BLS page, 2026-10-24, https://www.bls.gov/cpi/factsheets/</t>
      </text>
    </comment>
    <comment ref="C225" authorId="0" shapeId="0">
      <text>
        <t>Source: BLS page, 2026-10-24, https://www.bls.gov/cpi/factsheets/</t>
      </text>
    </comment>
    <comment ref="D225" authorId="0" shapeId="0">
      <text>
        <t>Source: BLS page, 2026-10-24, https://www.bls.gov/cpi/factsheets/</t>
      </text>
    </comment>
    <comment ref="E225" authorId="0" shapeId="0">
      <text>
        <t>Source: BLS page, 2026-10-24, https://www.bls.gov/cpi/factsheets/</t>
      </text>
    </comment>
    <comment ref="F225" authorId="0" shapeId="0">
      <text>
        <t>Source: BLS page, 2026-10-24, https://www.bls.gov/cpi/factsheets/</t>
      </text>
    </comment>
    <comment ref="C226" authorId="0" shapeId="0">
      <text>
        <t>Source: BLS page, 2026-10-24, https://www.bls.gov/cpi/factsheets/</t>
      </text>
    </comment>
    <comment ref="D226" authorId="0" shapeId="0">
      <text>
        <t>Source: BLS page, 2026-10-24, https://www.bls.gov/cpi/factsheets/</t>
      </text>
    </comment>
    <comment ref="E226" authorId="0" shapeId="0">
      <text>
        <t>Source: BLS page, 2026-10-24, https://www.bls.gov/cpi/factsheets/</t>
      </text>
    </comment>
    <comment ref="F226" authorId="0" shapeId="0">
      <text>
        <t>Source: BLS page, 2026-10-24, https://www.bls.gov/cpi/factsheets/</t>
      </text>
    </comment>
    <comment ref="C227" authorId="0" shapeId="0">
      <text>
        <t>Source: BLS page, 2026-10-24, https://www.bls.gov/cpi/factsheets/</t>
      </text>
    </comment>
    <comment ref="D227" authorId="0" shapeId="0">
      <text>
        <t>Source: BLS page, 2026-10-24, https://www.bls.gov/cpi/factsheets/</t>
      </text>
    </comment>
    <comment ref="E227" authorId="0" shapeId="0">
      <text>
        <t>Source: BLS page, 2026-10-24, https://www.bls.gov/cpi/factsheets/</t>
      </text>
    </comment>
    <comment ref="F227" authorId="0" shapeId="0">
      <text>
        <t>Source: BLS page, 2026-10-24, https://www.bls.gov/cpi/factsheets/</t>
      </text>
    </comment>
    <comment ref="C228" authorId="0" shapeId="0">
      <text>
        <t>Source: BLS page, 2026-10-24, https://www.bls.gov/cpi/factsheets/</t>
      </text>
    </comment>
    <comment ref="D228" authorId="0" shapeId="0">
      <text>
        <t>Source: BLS page, 2026-10-24, https://www.bls.gov/cpi/factsheets/</t>
      </text>
    </comment>
    <comment ref="E228" authorId="0" shapeId="0">
      <text>
        <t>Source: BLS page, 2026-10-24, https://www.bls.gov/cpi/factsheets/</t>
      </text>
    </comment>
    <comment ref="F228" authorId="0" shapeId="0">
      <text>
        <t>Source: BLS page, 2026-10-24, https://www.bls.gov/cpi/factsheets/</t>
      </text>
    </comment>
    <comment ref="C229" authorId="0" shapeId="0">
      <text>
        <t>Source: BLS page, 2026-10-24, https://www.bls.gov/cpi/factsheets/</t>
      </text>
    </comment>
    <comment ref="D229" authorId="0" shapeId="0">
      <text>
        <t>Source: BLS page, 2026-10-24, https://www.bls.gov/cpi/factsheets/</t>
      </text>
    </comment>
    <comment ref="E229" authorId="0" shapeId="0">
      <text>
        <t>Source: BLS page, 2026-10-24, https://www.bls.gov/cpi/factsheets/</t>
      </text>
    </comment>
    <comment ref="F229" authorId="0" shapeId="0">
      <text>
        <t>Source: BLS page, 2026-10-24, https://www.bls.gov/cpi/factsheets/</t>
      </text>
    </comment>
    <comment ref="C230" authorId="0" shapeId="0">
      <text>
        <t>Source: BLS page, 2026-10-24, https://www.bls.gov/cpi/factsheets/</t>
      </text>
    </comment>
    <comment ref="D230" authorId="0" shapeId="0">
      <text>
        <t>Source: BLS page, 2026-10-24, https://www.bls.gov/cpi/factsheets/</t>
      </text>
    </comment>
    <comment ref="E230" authorId="0" shapeId="0">
      <text>
        <t>Source: BLS page, 2026-10-24, https://www.bls.gov/cpi/factsheets/</t>
      </text>
    </comment>
    <comment ref="F230" authorId="0" shapeId="0">
      <text>
        <t>Source: BLS page, 2026-10-24, https://www.bls.gov/cpi/factsheets/</t>
      </text>
    </comment>
    <comment ref="C231" authorId="0" shapeId="0">
      <text>
        <t>Source: BLS page, 2026-10-24, https://www.bls.gov/cpi/factsheets/</t>
      </text>
    </comment>
    <comment ref="D231" authorId="0" shapeId="0">
      <text>
        <t>Source: BLS page, 2026-10-24, https://www.bls.gov/cpi/factsheets/</t>
      </text>
    </comment>
    <comment ref="E231" authorId="0" shapeId="0">
      <text>
        <t>Source: BLS page, 2026-10-24, https://www.bls.gov/cpi/factsheets/</t>
      </text>
    </comment>
    <comment ref="F231" authorId="0" shapeId="0">
      <text>
        <t>Source: BLS page, 2026-10-24, https://www.bls.gov/cpi/factsheets/</t>
      </text>
    </comment>
    <comment ref="C232" authorId="0" shapeId="0">
      <text>
        <t>Source: BLS page, 2026-10-24, https://www.bls.gov/cpi/factsheets/</t>
      </text>
    </comment>
    <comment ref="D232" authorId="0" shapeId="0">
      <text>
        <t>Source: BLS page, 2026-10-24, https://www.bls.gov/cpi/factsheets/</t>
      </text>
    </comment>
    <comment ref="E232" authorId="0" shapeId="0">
      <text>
        <t>Source: BLS page, 2026-10-24, https://www.bls.gov/cpi/factsheets/</t>
      </text>
    </comment>
    <comment ref="F232" authorId="0" shapeId="0">
      <text>
        <t>Source: BLS page, 2026-10-24, https://www.bls.gov/cpi/factsheets/</t>
      </text>
    </comment>
    <comment ref="C233" authorId="0" shapeId="0">
      <text>
        <t>Source: BLS page, 2026-10-24, https://www.bls.gov/cpi/factsheets/</t>
      </text>
    </comment>
    <comment ref="D233" authorId="0" shapeId="0">
      <text>
        <t>Source: BLS page, 2026-10-24, https://www.bls.gov/cpi/factsheets/</t>
      </text>
    </comment>
    <comment ref="E233" authorId="0" shapeId="0">
      <text>
        <t>Source: BLS page, 2026-10-24, https://www.bls.gov/cpi/factsheets/</t>
      </text>
    </comment>
    <comment ref="F233" authorId="0" shapeId="0">
      <text>
        <t>Source: BLS page, 2026-10-24, https://www.bls.gov/cpi/factsheets/</t>
      </text>
    </comment>
    <comment ref="C234" authorId="0" shapeId="0">
      <text>
        <t>Source: BLS page, 2026-10-24, https://www.bls.gov/cpi/factsheets/</t>
      </text>
    </comment>
    <comment ref="D234" authorId="0" shapeId="0">
      <text>
        <t>Source: BLS page, 2026-10-24, https://www.bls.gov/cpi/factsheets/</t>
      </text>
    </comment>
    <comment ref="E234" authorId="0" shapeId="0">
      <text>
        <t>Source: BLS page, 2026-10-24, https://www.bls.gov/cpi/factsheets/</t>
      </text>
    </comment>
    <comment ref="F234" authorId="0" shapeId="0">
      <text>
        <t>Source: BLS page, 2026-10-24, https://www.bls.gov/cpi/factsheets/</t>
      </text>
    </comment>
    <comment ref="C235" authorId="0" shapeId="0">
      <text>
        <t>Source: BLS page, 2026-10-24, https://www.bls.gov/cpi/factsheets/</t>
      </text>
    </comment>
    <comment ref="D235" authorId="0" shapeId="0">
      <text>
        <t>Source: BLS page, 2026-10-24, https://www.bls.gov/cpi/factsheets/</t>
      </text>
    </comment>
    <comment ref="E235" authorId="0" shapeId="0">
      <text>
        <t>Source: BLS page, 2026-10-24, https://www.bls.gov/cpi/factsheets/</t>
      </text>
    </comment>
    <comment ref="F235" authorId="0" shapeId="0">
      <text>
        <t>Source: BLS page, 2026-10-24, https://www.bls.gov/cpi/factsheets/</t>
      </text>
    </comment>
    <comment ref="C236" authorId="0" shapeId="0">
      <text>
        <t>Source: BLS page, 2026-10-24, https://www.bls.gov/cpi/factsheets/</t>
      </text>
    </comment>
    <comment ref="D236" authorId="0" shapeId="0">
      <text>
        <t>Source: BLS page, 2026-10-24, https://www.bls.gov/cpi/factsheets/</t>
      </text>
    </comment>
    <comment ref="E236" authorId="0" shapeId="0">
      <text>
        <t>Source: BLS page, 2026-10-24, https://www.bls.gov/cpi/factsheets/</t>
      </text>
    </comment>
    <comment ref="F236" authorId="0" shapeId="0">
      <text>
        <t>Source: BLS page, 2026-10-24, https://www.bls.gov/cpi/factsheets/</t>
      </text>
    </comment>
    <comment ref="C237" authorId="0" shapeId="0">
      <text>
        <t>Source: BLS page, 2026-10-24, https://www.bls.gov/cpi/factsheets/</t>
      </text>
    </comment>
    <comment ref="D237" authorId="0" shapeId="0">
      <text>
        <t>Source: BLS page, 2026-10-24, https://www.bls.gov/cpi/factsheets/</t>
      </text>
    </comment>
    <comment ref="E237" authorId="0" shapeId="0">
      <text>
        <t>Source: BLS page, 2026-10-24, https://www.bls.gov/cpi/factsheets/</t>
      </text>
    </comment>
    <comment ref="F237" authorId="0" shapeId="0">
      <text>
        <t>Source: BLS page, 2026-10-24, https://www.bls.gov/cpi/factsheets/</t>
      </text>
    </comment>
    <comment ref="C238" authorId="0" shapeId="0">
      <text>
        <t>Source: BLS page, 2026-10-24, https://www.bls.gov/cpi/factsheets/</t>
      </text>
    </comment>
    <comment ref="D238" authorId="0" shapeId="0">
      <text>
        <t>Source: BLS page, 2026-10-24, https://www.bls.gov/cpi/factsheets/</t>
      </text>
    </comment>
    <comment ref="E238" authorId="0" shapeId="0">
      <text>
        <t>Source: BLS page, 2026-10-24, https://www.bls.gov/cpi/factsheets/</t>
      </text>
    </comment>
    <comment ref="F238" authorId="0" shapeId="0">
      <text>
        <t>Source: BLS page, 2026-10-24, https://www.bls.gov/cpi/factsheets/</t>
      </text>
    </comment>
    <comment ref="C239" authorId="0" shapeId="0">
      <text>
        <t>Source: BLS page, 2026-10-24, https://www.bls.gov/cpi/factsheets/</t>
      </text>
    </comment>
    <comment ref="D239" authorId="0" shapeId="0">
      <text>
        <t>Source: BLS page, 2026-10-24, https://www.bls.gov/cpi/factsheets/</t>
      </text>
    </comment>
    <comment ref="E239" authorId="0" shapeId="0">
      <text>
        <t>Source: BLS page, 2026-10-24, https://www.bls.gov/cpi/factsheets/</t>
      </text>
    </comment>
    <comment ref="F239" authorId="0" shapeId="0">
      <text>
        <t>Source: BLS page, 2026-10-24, https://www.bls.gov/cpi/factsheets/</t>
      </text>
    </comment>
    <comment ref="C240" authorId="0" shapeId="0">
      <text>
        <t>Source: BLS page, 2026-10-24, https://www.bls.gov/cpi/factsheets/</t>
      </text>
    </comment>
    <comment ref="D240" authorId="0" shapeId="0">
      <text>
        <t>Source: BLS page, 2026-10-24, https://www.bls.gov/cpi/factsheets/</t>
      </text>
    </comment>
    <comment ref="E240" authorId="0" shapeId="0">
      <text>
        <t>Source: BLS page, 2026-10-24, https://www.bls.gov/cpi/factsheets/</t>
      </text>
    </comment>
    <comment ref="F240" authorId="0" shapeId="0">
      <text>
        <t>Source: BLS page, 2026-10-24, https://www.bls.gov/cpi/factsheets/</t>
      </text>
    </comment>
    <comment ref="C241" authorId="0" shapeId="0">
      <text>
        <t>Source: BLS page, 2026-10-24, https://www.bls.gov/cpi/factsheets/</t>
      </text>
    </comment>
    <comment ref="D241" authorId="0" shapeId="0">
      <text>
        <t>Source: BLS page, 2026-10-24, https://www.bls.gov/cpi/factsheets/</t>
      </text>
    </comment>
    <comment ref="E241" authorId="0" shapeId="0">
      <text>
        <t>Source: BLS page, 2026-10-24, https://www.bls.gov/cpi/factsheets/</t>
      </text>
    </comment>
    <comment ref="F241" authorId="0" shapeId="0">
      <text>
        <t>Source: BLS page, 2026-10-24, https://www.bls.gov/cpi/factsheets/</t>
      </text>
    </comment>
    <comment ref="C242" authorId="0" shapeId="0">
      <text>
        <t>Source: BLS page, 2026-10-24, https://www.bls.gov/cpi/factsheets/</t>
      </text>
    </comment>
    <comment ref="D242" authorId="0" shapeId="0">
      <text>
        <t>Source: BLS page, 2026-10-24, https://www.bls.gov/cpi/factsheets/</t>
      </text>
    </comment>
    <comment ref="E242" authorId="0" shapeId="0">
      <text>
        <t>Source: BLS page, 2026-10-24, https://www.bls.gov/cpi/factsheets/</t>
      </text>
    </comment>
    <comment ref="F242" authorId="0" shapeId="0">
      <text>
        <t>Source: BLS page, 2026-10-24, https://www.bls.gov/cpi/factsheets/</t>
      </text>
    </comment>
    <comment ref="C243" authorId="0" shapeId="0">
      <text>
        <t>Source: BLS page, 2026-10-24, https://www.bls.gov/cpi/factsheets/</t>
      </text>
    </comment>
    <comment ref="D243" authorId="0" shapeId="0">
      <text>
        <t>Source: BLS page, 2026-10-24, https://www.bls.gov/cpi/factsheets/</t>
      </text>
    </comment>
    <comment ref="E243" authorId="0" shapeId="0">
      <text>
        <t>Source: BLS page, 2026-10-24, https://www.bls.gov/cpi/factsheets/</t>
      </text>
    </comment>
    <comment ref="F243" authorId="0" shapeId="0">
      <text>
        <t>Source: BLS page, 2026-10-24, https://www.bls.gov/cpi/factsheets/</t>
      </text>
    </comment>
    <comment ref="C244" authorId="0" shapeId="0">
      <text>
        <t>Source: BLS page, 2026-10-24, https://www.bls.gov/cpi/factsheets/</t>
      </text>
    </comment>
    <comment ref="D244" authorId="0" shapeId="0">
      <text>
        <t>Source: BLS page, 2026-10-24, https://www.bls.gov/cpi/factsheets/</t>
      </text>
    </comment>
    <comment ref="E244" authorId="0" shapeId="0">
      <text>
        <t>Source: BLS page, 2026-10-24, https://www.bls.gov/cpi/factsheets/</t>
      </text>
    </comment>
    <comment ref="F244" authorId="0" shapeId="0">
      <text>
        <t>Source: BLS page, 2026-10-24, https://www.bls.gov/cpi/factsheets/</t>
      </text>
    </comment>
    <comment ref="C245" authorId="0" shapeId="0">
      <text>
        <t>Source: BLS page, 2026-10-24, https://www.bls.gov/cpi/factsheets/</t>
      </text>
    </comment>
    <comment ref="D245" authorId="0" shapeId="0">
      <text>
        <t>Source: BLS page, 2026-10-24, https://www.bls.gov/cpi/factsheets/</t>
      </text>
    </comment>
    <comment ref="E245" authorId="0" shapeId="0">
      <text>
        <t>Source: BLS page, 2026-10-24, https://www.bls.gov/cpi/factsheets/</t>
      </text>
    </comment>
    <comment ref="F245" authorId="0" shapeId="0">
      <text>
        <t>Source: BLS page, 2026-10-24, https://www.bls.gov/cpi/factsheets/</t>
      </text>
    </comment>
    <comment ref="C246" authorId="0" shapeId="0">
      <text>
        <t>Source: BLS page, 2026-10-24, https://www.bls.gov/cpi/factsheets/</t>
      </text>
    </comment>
    <comment ref="D246" authorId="0" shapeId="0">
      <text>
        <t>Source: BLS page, 2026-10-24, https://www.bls.gov/cpi/factsheets/</t>
      </text>
    </comment>
    <comment ref="E246" authorId="0" shapeId="0">
      <text>
        <t>Source: BLS page, 2026-10-24, https://www.bls.gov/cpi/factsheets/</t>
      </text>
    </comment>
    <comment ref="F246" authorId="0" shapeId="0">
      <text>
        <t>Source: BLS page, 2026-10-24, https://www.bls.gov/cpi/factsheets/</t>
      </text>
    </comment>
    <comment ref="C247" authorId="0" shapeId="0">
      <text>
        <t>Source: BLS page, 2026-10-24, https://www.bls.gov/cpi/factsheets/</t>
      </text>
    </comment>
    <comment ref="D247" authorId="0" shapeId="0">
      <text>
        <t>Source: BLS page, 2026-10-24, https://www.bls.gov/cpi/factsheets/</t>
      </text>
    </comment>
    <comment ref="E247" authorId="0" shapeId="0">
      <text>
        <t>Source: BLS page, 2026-10-24, https://www.bls.gov/cpi/factsheets/</t>
      </text>
    </comment>
    <comment ref="F247" authorId="0" shapeId="0">
      <text>
        <t>Source: BLS page, 2026-10-24, https://www.bls.gov/cpi/factsheets/</t>
      </text>
    </comment>
    <comment ref="C248" authorId="0" shapeId="0">
      <text>
        <t>Source: BLS page, 2026-10-24, https://www.bls.gov/cpi/factsheets/</t>
      </text>
    </comment>
    <comment ref="D248" authorId="0" shapeId="0">
      <text>
        <t>Source: BLS page, 2026-10-24, https://www.bls.gov/cpi/factsheets/</t>
      </text>
    </comment>
    <comment ref="E248" authorId="0" shapeId="0">
      <text>
        <t>Source: BLS page, 2026-10-24, https://www.bls.gov/cpi/factsheets/</t>
      </text>
    </comment>
    <comment ref="F248" authorId="0" shapeId="0">
      <text>
        <t>Source: BLS page, 2026-10-24, https://www.bls.gov/cpi/factsheets/</t>
      </text>
    </comment>
    <comment ref="C249" authorId="0" shapeId="0">
      <text>
        <t>Source: BLS page, 2026-10-24, https://www.bls.gov/cpi/factsheets/</t>
      </text>
    </comment>
    <comment ref="D249" authorId="0" shapeId="0">
      <text>
        <t>Source: BLS page, 2026-10-24, https://www.bls.gov/cpi/factsheets/</t>
      </text>
    </comment>
    <comment ref="E249" authorId="0" shapeId="0">
      <text>
        <t>Source: BLS page, 2026-10-24, https://www.bls.gov/cpi/factsheets/</t>
      </text>
    </comment>
    <comment ref="F249" authorId="0" shapeId="0">
      <text>
        <t>Source: BLS page, 2026-10-24, https://www.bls.gov/cpi/factsheets/</t>
      </text>
    </comment>
    <comment ref="C250" authorId="0" shapeId="0">
      <text>
        <t>Source: BLS page, 2026-10-24, https://www.bls.gov/cpi/factsheets/</t>
      </text>
    </comment>
    <comment ref="D250" authorId="0" shapeId="0">
      <text>
        <t>Source: BLS page, 2026-10-24, https://www.bls.gov/cpi/factsheets/</t>
      </text>
    </comment>
    <comment ref="E250" authorId="0" shapeId="0">
      <text>
        <t>Source: BLS page, 2026-10-24, https://www.bls.gov/cpi/factsheets/</t>
      </text>
    </comment>
    <comment ref="F250" authorId="0" shapeId="0">
      <text>
        <t>Source: BLS page, 2026-10-24, https://www.bls.gov/cpi/factsheets/</t>
      </text>
    </comment>
    <comment ref="C251" authorId="0" shapeId="0">
      <text>
        <t>Source: BLS page, 2026-10-24, https://www.bls.gov/cpi/factsheets/</t>
      </text>
    </comment>
    <comment ref="D251" authorId="0" shapeId="0">
      <text>
        <t>Source: BLS page, 2026-10-24, https://www.bls.gov/cpi/factsheets/</t>
      </text>
    </comment>
    <comment ref="E251" authorId="0" shapeId="0">
      <text>
        <t>Source: BLS page, 2026-10-24, https://www.bls.gov/cpi/factsheets/</t>
      </text>
    </comment>
    <comment ref="F251" authorId="0" shapeId="0">
      <text>
        <t>Source: BLS page, 2026-10-24, https://www.bls.gov/cpi/factsheets/</t>
      </text>
    </comment>
    <comment ref="C252" authorId="0" shapeId="0">
      <text>
        <t>Source: BLS page, 2026-10-24, https://www.bls.gov/cpi/factsheets/</t>
      </text>
    </comment>
    <comment ref="D252" authorId="0" shapeId="0">
      <text>
        <t>Source: BLS page, 2026-10-24, https://www.bls.gov/cpi/factsheets/</t>
      </text>
    </comment>
    <comment ref="E252" authorId="0" shapeId="0">
      <text>
        <t>Source: BLS page, 2026-10-24, https://www.bls.gov/cpi/factsheets/</t>
      </text>
    </comment>
    <comment ref="F252" authorId="0" shapeId="0">
      <text>
        <t>Source: BLS page, 2026-10-24, https://www.bls.gov/cpi/factsheets/</t>
      </text>
    </comment>
    <comment ref="C253" authorId="0" shapeId="0">
      <text>
        <t>Source: BLS page, 2026-10-24, https://www.bls.gov/cpi/factsheets/</t>
      </text>
    </comment>
    <comment ref="D253" authorId="0" shapeId="0">
      <text>
        <t>Source: BLS page, 2026-10-24, https://www.bls.gov/cpi/factsheets/</t>
      </text>
    </comment>
    <comment ref="E253" authorId="0" shapeId="0">
      <text>
        <t>Source: BLS page, 2026-10-24, https://www.bls.gov/cpi/factsheets/</t>
      </text>
    </comment>
    <comment ref="F253" authorId="0" shapeId="0">
      <text>
        <t>Source: BLS page, 2026-10-24, https://www.bls.gov/cpi/factsheets/</t>
      </text>
    </comment>
    <comment ref="C254" authorId="0" shapeId="0">
      <text>
        <t>Source: BLS page, 2026-10-24, https://www.bls.gov/cpi/factsheets/</t>
      </text>
    </comment>
    <comment ref="D254" authorId="0" shapeId="0">
      <text>
        <t>Source: BLS page, 2026-10-24, https://www.bls.gov/cpi/factsheets/</t>
      </text>
    </comment>
    <comment ref="E254" authorId="0" shapeId="0">
      <text>
        <t>Source: BLS page, 2026-10-24, https://www.bls.gov/cpi/factsheets/</t>
      </text>
    </comment>
    <comment ref="F254" authorId="0" shapeId="0">
      <text>
        <t>Source: BLS page, 2026-10-24, https://www.bls.gov/cpi/factsheets/</t>
      </text>
    </comment>
    <comment ref="C255" authorId="0" shapeId="0">
      <text>
        <t>Source: BLS page, 2026-10-24, https://www.bls.gov/cpi/factsheets/</t>
      </text>
    </comment>
    <comment ref="D255" authorId="0" shapeId="0">
      <text>
        <t>Source: BLS page, 2026-10-24, https://www.bls.gov/cpi/factsheets/</t>
      </text>
    </comment>
    <comment ref="E255" authorId="0" shapeId="0">
      <text>
        <t>Source: BLS page, 2026-10-24, https://www.bls.gov/cpi/factsheets/</t>
      </text>
    </comment>
    <comment ref="F255" authorId="0" shapeId="0">
      <text>
        <t>Source: BLS page, 2026-10-24, https://www.bls.gov/cpi/factsheets/</t>
      </text>
    </comment>
    <comment ref="C256" authorId="0" shapeId="0">
      <text>
        <t>Source: BLS page, 2026-10-24, https://www.bls.gov/cpi/factsheets/</t>
      </text>
    </comment>
    <comment ref="D256" authorId="0" shapeId="0">
      <text>
        <t>Source: BLS page, 2026-10-24, https://www.bls.gov/cpi/factsheets/</t>
      </text>
    </comment>
    <comment ref="E256" authorId="0" shapeId="0">
      <text>
        <t>Source: BLS page, 2026-10-24, https://www.bls.gov/cpi/factsheets/</t>
      </text>
    </comment>
    <comment ref="F256" authorId="0" shapeId="0">
      <text>
        <t>Source: BLS page, 2026-10-24, https://www.bls.gov/cpi/factsheets/</t>
      </text>
    </comment>
    <comment ref="C257" authorId="0" shapeId="0">
      <text>
        <t>Source: BLS page, 2026-10-24, https://www.bls.gov/cpi/factsheets/</t>
      </text>
    </comment>
    <comment ref="D257" authorId="0" shapeId="0">
      <text>
        <t>Source: BLS page, 2026-10-24, https://www.bls.gov/cpi/factsheets/</t>
      </text>
    </comment>
    <comment ref="E257" authorId="0" shapeId="0">
      <text>
        <t>Source: BLS page, 2026-10-24, https://www.bls.gov/cpi/factsheets/</t>
      </text>
    </comment>
    <comment ref="F257" authorId="0" shapeId="0">
      <text>
        <t>Source: BLS page, 2026-10-24, https://www.bls.gov/cpi/factsheets/</t>
      </text>
    </comment>
    <comment ref="C258" authorId="0" shapeId="0">
      <text>
        <t>Source: BLS page, 2026-10-24, https://www.bls.gov/cpi/factsheets/</t>
      </text>
    </comment>
    <comment ref="D258" authorId="0" shapeId="0">
      <text>
        <t>Source: BLS page, 2026-10-24, https://www.bls.gov/cpi/factsheets/</t>
      </text>
    </comment>
    <comment ref="E258" authorId="0" shapeId="0">
      <text>
        <t>Source: BLS page, 2026-10-24, https://www.bls.gov/cpi/factsheets/</t>
      </text>
    </comment>
    <comment ref="F258" authorId="0" shapeId="0">
      <text>
        <t>Source: BLS page, 2026-10-24, https://www.bls.gov/cpi/factsheets/</t>
      </text>
    </comment>
    <comment ref="C259" authorId="0" shapeId="0">
      <text>
        <t>Source: BLS page, 2026-10-24, https://www.bls.gov/cpi/factsheets/</t>
      </text>
    </comment>
    <comment ref="D259" authorId="0" shapeId="0">
      <text>
        <t>Source: BLS page, 2026-10-24, https://www.bls.gov/cpi/factsheets/</t>
      </text>
    </comment>
    <comment ref="E259" authorId="0" shapeId="0">
      <text>
        <t>Source: BLS page, 2026-10-24, https://www.bls.gov/cpi/factsheets/</t>
      </text>
    </comment>
    <comment ref="F259" authorId="0" shapeId="0">
      <text>
        <t>Source: BLS page, 2026-10-24, https://www.bls.gov/cpi/factsheets/</t>
      </text>
    </comment>
    <comment ref="C260" authorId="0" shapeId="0">
      <text>
        <t>Source: BLS page, 2026-10-24, https://www.bls.gov/cpi/factsheets/</t>
      </text>
    </comment>
    <comment ref="D260" authorId="0" shapeId="0">
      <text>
        <t>Source: BLS page, 2026-10-24, https://www.bls.gov/cpi/factsheets/</t>
      </text>
    </comment>
    <comment ref="E260" authorId="0" shapeId="0">
      <text>
        <t>Source: BLS page, 2026-10-24, https://www.bls.gov/cpi/factsheets/</t>
      </text>
    </comment>
    <comment ref="F260" authorId="0" shapeId="0">
      <text>
        <t>Source: BLS page, 2026-10-24, https://www.bls.gov/cpi/factsheets/</t>
      </text>
    </comment>
    <comment ref="C261" authorId="0" shapeId="0">
      <text>
        <t>Source: BLS page, 2026-10-24, https://www.bls.gov/cpi/factsheets/</t>
      </text>
    </comment>
    <comment ref="D261" authorId="0" shapeId="0">
      <text>
        <t>Source: BLS page, 2026-10-24, https://www.bls.gov/cpi/factsheets/</t>
      </text>
    </comment>
    <comment ref="E261" authorId="0" shapeId="0">
      <text>
        <t>Source: BLS page, 2026-10-24, https://www.bls.gov/cpi/factsheets/</t>
      </text>
    </comment>
    <comment ref="F261" authorId="0" shapeId="0">
      <text>
        <t>Source: BLS page, 2026-10-24, https://www.bls.gov/cpi/factsheets/</t>
      </text>
    </comment>
    <comment ref="C262" authorId="0" shapeId="0">
      <text>
        <t>Source: BLS page, 2026-10-24, https://www.bls.gov/cpi/factsheets/</t>
      </text>
    </comment>
    <comment ref="D262" authorId="0" shapeId="0">
      <text>
        <t>Source: BLS page, 2026-10-24, https://www.bls.gov/cpi/factsheets/</t>
      </text>
    </comment>
    <comment ref="E262" authorId="0" shapeId="0">
      <text>
        <t>Source: BLS page, 2026-10-24, https://www.bls.gov/cpi/factsheets/</t>
      </text>
    </comment>
    <comment ref="F262" authorId="0" shapeId="0">
      <text>
        <t>Source: BLS page, 2026-10-24, https://www.bls.gov/cpi/factsheets/</t>
      </text>
    </comment>
    <comment ref="C263" authorId="0" shapeId="0">
      <text>
        <t>Source: BLS page, 2026-10-24, https://www.bls.gov/cpi/factsheets/</t>
      </text>
    </comment>
    <comment ref="D263" authorId="0" shapeId="0">
      <text>
        <t>Source: BLS page, 2026-10-24, https://www.bls.gov/cpi/factsheets/</t>
      </text>
    </comment>
    <comment ref="E263" authorId="0" shapeId="0">
      <text>
        <t>Source: BLS page, 2026-10-24, https://www.bls.gov/cpi/factsheets/</t>
      </text>
    </comment>
    <comment ref="F263" authorId="0" shapeId="0">
      <text>
        <t>Source: BLS page, 2026-10-24, https://www.bls.gov/cpi/factsheets/</t>
      </text>
    </comment>
    <comment ref="C264" authorId="0" shapeId="0">
      <text>
        <t>Source: BLS page, 2026-10-24, https://www.bls.gov/cpi/factsheets/</t>
      </text>
    </comment>
    <comment ref="D264" authorId="0" shapeId="0">
      <text>
        <t>Source: BLS page, 2026-10-24, https://www.bls.gov/cpi/factsheets/</t>
      </text>
    </comment>
    <comment ref="E264" authorId="0" shapeId="0">
      <text>
        <t>Source: BLS page, 2026-10-24, https://www.bls.gov/cpi/factsheets/</t>
      </text>
    </comment>
    <comment ref="F264" authorId="0" shapeId="0">
      <text>
        <t>Source: BLS page, 2026-10-24, https://www.bls.gov/cpi/factsheets/</t>
      </text>
    </comment>
    <comment ref="C265" authorId="0" shapeId="0">
      <text>
        <t>Source: BLS page, 2026-10-24, https://www.bls.gov/cpi/factsheets/</t>
      </text>
    </comment>
    <comment ref="D265" authorId="0" shapeId="0">
      <text>
        <t>Source: BLS page, 2026-10-24, https://www.bls.gov/cpi/factsheets/</t>
      </text>
    </comment>
    <comment ref="E265" authorId="0" shapeId="0">
      <text>
        <t>Source: BLS page, 2026-10-24, https://www.bls.gov/cpi/factsheets/</t>
      </text>
    </comment>
    <comment ref="F265" authorId="0" shapeId="0">
      <text>
        <t>Source: BLS page, 2026-10-24, https://www.bls.gov/cpi/factsheets/</t>
      </text>
    </comment>
    <comment ref="C266" authorId="0" shapeId="0">
      <text>
        <t>Source: BLS page, 2026-10-24, https://www.bls.gov/cpi/factsheets/</t>
      </text>
    </comment>
    <comment ref="D266" authorId="0" shapeId="0">
      <text>
        <t>Source: BLS page, 2026-10-24, https://www.bls.gov/cpi/factsheets/</t>
      </text>
    </comment>
    <comment ref="E266" authorId="0" shapeId="0">
      <text>
        <t>Source: BLS page, 2026-10-24, https://www.bls.gov/cpi/factsheets/</t>
      </text>
    </comment>
    <comment ref="F266" authorId="0" shapeId="0">
      <text>
        <t>Source: BLS page, 2026-10-24, https://www.bls.gov/cpi/factsheets/</t>
      </text>
    </comment>
    <comment ref="C267" authorId="0" shapeId="0">
      <text>
        <t>Source: BLS page, 2026-10-24, https://www.bls.gov/cpi/factsheets/</t>
      </text>
    </comment>
    <comment ref="D267" authorId="0" shapeId="0">
      <text>
        <t>Source: BLS page, 2026-10-24, https://www.bls.gov/cpi/factsheets/</t>
      </text>
    </comment>
    <comment ref="E267" authorId="0" shapeId="0">
      <text>
        <t>Source: BLS page, 2026-10-24, https://www.bls.gov/cpi/factsheets/</t>
      </text>
    </comment>
    <comment ref="F267" authorId="0" shapeId="0">
      <text>
        <t>Source: BLS page, 2026-10-24, https://www.bls.gov/cpi/factsheets/</t>
      </text>
    </comment>
    <comment ref="C268" authorId="0" shapeId="0">
      <text>
        <t>Source: BLS page, 2026-10-24, https://www.bls.gov/cpi/factsheets/</t>
      </text>
    </comment>
    <comment ref="D268" authorId="0" shapeId="0">
      <text>
        <t>Source: BLS page, 2026-10-24, https://www.bls.gov/cpi/factsheets/</t>
      </text>
    </comment>
    <comment ref="E268" authorId="0" shapeId="0">
      <text>
        <t>Source: BLS page, 2026-10-24, https://www.bls.gov/cpi/factsheets/</t>
      </text>
    </comment>
    <comment ref="F268" authorId="0" shapeId="0">
      <text>
        <t>Source: BLS page, 2026-10-24, https://www.bls.gov/cpi/factsheets/</t>
      </text>
    </comment>
    <comment ref="C269" authorId="0" shapeId="0">
      <text>
        <t>Source: BLS page, 2026-10-24, https://www.bls.gov/cpi/factsheets/</t>
      </text>
    </comment>
    <comment ref="D269" authorId="0" shapeId="0">
      <text>
        <t>Source: BLS page, 2026-10-24, https://www.bls.gov/cpi/factsheets/</t>
      </text>
    </comment>
    <comment ref="E269" authorId="0" shapeId="0">
      <text>
        <t>Source: BLS page, 2026-10-24, https://www.bls.gov/cpi/factsheets/</t>
      </text>
    </comment>
    <comment ref="F269" authorId="0" shapeId="0">
      <text>
        <t>Source: BLS page, 2026-10-24, https://www.bls.gov/cpi/factsheets/</t>
      </text>
    </comment>
    <comment ref="C270" authorId="0" shapeId="0">
      <text>
        <t>Source: BLS page, 2026-10-24, https://www.bls.gov/cpi/factsheets/</t>
      </text>
    </comment>
    <comment ref="D270" authorId="0" shapeId="0">
      <text>
        <t>Source: BLS page, 2026-10-24, https://www.bls.gov/cpi/factsheets/</t>
      </text>
    </comment>
    <comment ref="E270" authorId="0" shapeId="0">
      <text>
        <t>Source: BLS page, 2026-10-24, https://www.bls.gov/cpi/factsheets/</t>
      </text>
    </comment>
    <comment ref="F270" authorId="0" shapeId="0">
      <text>
        <t>Source: BLS page, 2026-10-24, https://www.bls.gov/cpi/factsheets/</t>
      </text>
    </comment>
    <comment ref="C271" authorId="0" shapeId="0">
      <text>
        <t>Source: BLS page, 2026-10-24, https://www.bls.gov/cpi/factsheets/</t>
      </text>
    </comment>
    <comment ref="D271" authorId="0" shapeId="0">
      <text>
        <t>Source: BLS page, 2026-10-24, https://www.bls.gov/cpi/factsheets/</t>
      </text>
    </comment>
    <comment ref="E271" authorId="0" shapeId="0">
      <text>
        <t>Source: BLS page, 2026-10-24, https://www.bls.gov/cpi/factsheets/</t>
      </text>
    </comment>
    <comment ref="F271" authorId="0" shapeId="0">
      <text>
        <t>Source: BLS page, 2026-10-24, https://www.bls.gov/cpi/factsheets/</t>
      </text>
    </comment>
    <comment ref="C272" authorId="0" shapeId="0">
      <text>
        <t>Source: BLS page, 2026-10-24, https://www.bls.gov/cpi/factsheets/</t>
      </text>
    </comment>
    <comment ref="D272" authorId="0" shapeId="0">
      <text>
        <t>Source: BLS page, 2026-10-24, https://www.bls.gov/cpi/factsheets/</t>
      </text>
    </comment>
    <comment ref="E272" authorId="0" shapeId="0">
      <text>
        <t>Source: BLS page, 2026-10-24, https://www.bls.gov/cpi/factsheets/</t>
      </text>
    </comment>
    <comment ref="F272" authorId="0" shapeId="0">
      <text>
        <t>Source: BLS page, 2026-10-24, https://www.bls.gov/cpi/factsheets/</t>
      </text>
    </comment>
    <comment ref="C273" authorId="0" shapeId="0">
      <text>
        <t>Source: BLS page, 2026-10-24, https://www.bls.gov/cpi/factsheets/</t>
      </text>
    </comment>
    <comment ref="D273" authorId="0" shapeId="0">
      <text>
        <t>Source: BLS page, 2026-10-24, https://www.bls.gov/cpi/factsheets/</t>
      </text>
    </comment>
    <comment ref="E273" authorId="0" shapeId="0">
      <text>
        <t>Source: BLS page, 2026-10-24, https://www.bls.gov/cpi/factsheets/</t>
      </text>
    </comment>
    <comment ref="F273" authorId="0" shapeId="0">
      <text>
        <t>Source: BLS page, 2026-10-24, https://www.bls.gov/cpi/factsheets/</t>
      </text>
    </comment>
    <comment ref="C274" authorId="0" shapeId="0">
      <text>
        <t>Source: BLS page, 2026-10-24, https://www.bls.gov/cpi/factsheets/</t>
      </text>
    </comment>
    <comment ref="D274" authorId="0" shapeId="0">
      <text>
        <t>Source: BLS page, 2026-10-24, https://www.bls.gov/cpi/factsheets/</t>
      </text>
    </comment>
    <comment ref="E274" authorId="0" shapeId="0">
      <text>
        <t>Source: BLS page, 2026-10-24, https://www.bls.gov/cpi/factsheets/</t>
      </text>
    </comment>
    <comment ref="F274" authorId="0" shapeId="0">
      <text>
        <t>Source: BLS page, 2026-10-24, https://www.bls.gov/cpi/factsheets/</t>
      </text>
    </comment>
    <comment ref="C275" authorId="0" shapeId="0">
      <text>
        <t>Source: BLS page, 2026-10-24, https://www.bls.gov/cpi/factsheets/</t>
      </text>
    </comment>
    <comment ref="D275" authorId="0" shapeId="0">
      <text>
        <t>Source: BLS page, 2026-10-24, https://www.bls.gov/cpi/factsheets/</t>
      </text>
    </comment>
    <comment ref="E275" authorId="0" shapeId="0">
      <text>
        <t>Source: BLS page, 2026-10-24, https://www.bls.gov/cpi/factsheets/</t>
      </text>
    </comment>
    <comment ref="F275" authorId="0" shapeId="0">
      <text>
        <t>Source: BLS page, 2026-10-24, https://www.bls.gov/cpi/factsheets/</t>
      </text>
    </comment>
    <comment ref="C276" authorId="0" shapeId="0">
      <text>
        <t>Source: BLS page, 2026-10-24, https://www.bls.gov/cpi/factsheets/</t>
      </text>
    </comment>
    <comment ref="D276" authorId="0" shapeId="0">
      <text>
        <t>Source: BLS page, 2026-10-24, https://www.bls.gov/cpi/factsheets/</t>
      </text>
    </comment>
    <comment ref="E276" authorId="0" shapeId="0">
      <text>
        <t>Source: BLS page, 2026-10-24, https://www.bls.gov/cpi/factsheets/</t>
      </text>
    </comment>
    <comment ref="F276" authorId="0" shapeId="0">
      <text>
        <t>Source: BLS page, 2026-10-24, https://www.bls.gov/cpi/factsheets/</t>
      </text>
    </comment>
    <comment ref="C277" authorId="0" shapeId="0">
      <text>
        <t>Source: BLS page, 2026-10-24, https://www.bls.gov/cpi/factsheets/</t>
      </text>
    </comment>
    <comment ref="D277" authorId="0" shapeId="0">
      <text>
        <t>Source: BLS page, 2026-10-24, https://www.bls.gov/cpi/factsheets/</t>
      </text>
    </comment>
    <comment ref="E277" authorId="0" shapeId="0">
      <text>
        <t>Source: BLS page, 2026-10-24, https://www.bls.gov/cpi/factsheets/</t>
      </text>
    </comment>
    <comment ref="F277" authorId="0" shapeId="0">
      <text>
        <t>Source: BLS page, 2026-10-24, https://www.bls.gov/cpi/factsheets/</t>
      </text>
    </comment>
    <comment ref="C278" authorId="0" shapeId="0">
      <text>
        <t>Source: BLS page, 2026-10-24, https://www.bls.gov/cpi/factsheets/</t>
      </text>
    </comment>
    <comment ref="D278" authorId="0" shapeId="0">
      <text>
        <t>Source: BLS page, 2026-10-24, https://www.bls.gov/cpi/factsheets/</t>
      </text>
    </comment>
    <comment ref="E278" authorId="0" shapeId="0">
      <text>
        <t>Source: BLS page, 2026-10-24, https://www.bls.gov/cpi/factsheets/</t>
      </text>
    </comment>
    <comment ref="F278" authorId="0" shapeId="0">
      <text>
        <t>Source: BLS page, 2026-10-24, https://www.bls.gov/cpi/factsheets/</t>
      </text>
    </comment>
    <comment ref="C279" authorId="0" shapeId="0">
      <text>
        <t>Source: BLS page, 2026-10-24, https://www.bls.gov/cpi/factsheets/</t>
      </text>
    </comment>
    <comment ref="D279" authorId="0" shapeId="0">
      <text>
        <t>Source: BLS page, 2026-10-24, https://www.bls.gov/cpi/factsheets/</t>
      </text>
    </comment>
    <comment ref="E279" authorId="0" shapeId="0">
      <text>
        <t>Source: BLS page, 2026-10-24, https://www.bls.gov/cpi/factsheets/</t>
      </text>
    </comment>
    <comment ref="F279" authorId="0" shapeId="0">
      <text>
        <t>Source: BLS page, 2026-10-24, https://www.bls.gov/cpi/factsheets/</t>
      </text>
    </comment>
    <comment ref="C280" authorId="0" shapeId="0">
      <text>
        <t>Source: BLS page, 2026-10-24, https://www.bls.gov/cpi/factsheets/</t>
      </text>
    </comment>
    <comment ref="D280" authorId="0" shapeId="0">
      <text>
        <t>Source: BLS page, 2026-10-24, https://www.bls.gov/cpi/factsheets/</t>
      </text>
    </comment>
    <comment ref="E280" authorId="0" shapeId="0">
      <text>
        <t>Source: BLS page, 2026-10-24, https://www.bls.gov/cpi/factsheets/</t>
      </text>
    </comment>
    <comment ref="F280" authorId="0" shapeId="0">
      <text>
        <t>Source: BLS page, 2026-10-24, https://www.bls.gov/cpi/factsheets/</t>
      </text>
    </comment>
    <comment ref="C281" authorId="0" shapeId="0">
      <text>
        <t>Source: BLS page, 2026-10-24, https://www.bls.gov/cpi/factsheets/</t>
      </text>
    </comment>
    <comment ref="D281" authorId="0" shapeId="0">
      <text>
        <t>Source: BLS page, 2026-10-24, https://www.bls.gov/cpi/factsheets/</t>
      </text>
    </comment>
    <comment ref="E281" authorId="0" shapeId="0">
      <text>
        <t>Source: BLS page, 2026-10-24, https://www.bls.gov/cpi/factsheets/</t>
      </text>
    </comment>
    <comment ref="F281" authorId="0" shapeId="0">
      <text>
        <t>Source: BLS page, 2026-10-24, https://www.bls.gov/cpi/factsheets/</t>
      </text>
    </comment>
    <comment ref="C282" authorId="0" shapeId="0">
      <text>
        <t>Source: BLS page, 2026-10-24, https://www.bls.gov/cpi/factsheets/</t>
      </text>
    </comment>
    <comment ref="D282" authorId="0" shapeId="0">
      <text>
        <t>Source: BLS page, 2026-10-24, https://www.bls.gov/cpi/factsheets/</t>
      </text>
    </comment>
    <comment ref="E282" authorId="0" shapeId="0">
      <text>
        <t>Source: BLS page, 2026-10-24, https://www.bls.gov/cpi/factsheets/</t>
      </text>
    </comment>
    <comment ref="F282" authorId="0" shapeId="0">
      <text>
        <t>Source: BLS page, 2026-10-24, https://www.bls.gov/cpi/factsheets/</t>
      </text>
    </comment>
    <comment ref="C283" authorId="0" shapeId="0">
      <text>
        <t>Source: BLS page, 2026-10-24, https://www.bls.gov/cpi/factsheets/</t>
      </text>
    </comment>
    <comment ref="D283" authorId="0" shapeId="0">
      <text>
        <t>Source: BLS page, 2026-10-24, https://www.bls.gov/cpi/factsheets/</t>
      </text>
    </comment>
    <comment ref="E283" authorId="0" shapeId="0">
      <text>
        <t>Source: BLS page, 2026-10-24, https://www.bls.gov/cpi/factsheets/</t>
      </text>
    </comment>
    <comment ref="F283" authorId="0" shapeId="0">
      <text>
        <t>Source: BLS page, 2026-10-24, https://www.bls.gov/cpi/factsheets/</t>
      </text>
    </comment>
    <comment ref="C284" authorId="0" shapeId="0">
      <text>
        <t>Source: BLS page, 2026-10-24, https://www.bls.gov/cpi/factsheets/</t>
      </text>
    </comment>
    <comment ref="D284" authorId="0" shapeId="0">
      <text>
        <t>Source: BLS page, 2026-10-24, https://www.bls.gov/cpi/factsheets/</t>
      </text>
    </comment>
    <comment ref="E284" authorId="0" shapeId="0">
      <text>
        <t>Source: BLS page, 2026-10-24, https://www.bls.gov/cpi/factsheets/</t>
      </text>
    </comment>
    <comment ref="F284" authorId="0" shapeId="0">
      <text>
        <t>Source: BLS page, 2026-10-24, https://www.bls.gov/cpi/factsheets/</t>
      </text>
    </comment>
    <comment ref="C285" authorId="0" shapeId="0">
      <text>
        <t>Source: BLS page, 2026-10-24, https://www.bls.gov/cpi/factsheets/</t>
      </text>
    </comment>
    <comment ref="D285" authorId="0" shapeId="0">
      <text>
        <t>Source: BLS page, 2026-10-24, https://www.bls.gov/cpi/factsheets/</t>
      </text>
    </comment>
    <comment ref="E285" authorId="0" shapeId="0">
      <text>
        <t>Source: BLS page, 2026-10-24, https://www.bls.gov/cpi/factsheets/</t>
      </text>
    </comment>
    <comment ref="F285" authorId="0" shapeId="0">
      <text>
        <t>Source: BLS page, 2026-10-24, https://www.bls.gov/cpi/factsheets/</t>
      </text>
    </comment>
    <comment ref="C286" authorId="0" shapeId="0">
      <text>
        <t>Source: BLS page, 2026-10-24, https://www.bls.gov/cpi/factsheets/</t>
      </text>
    </comment>
    <comment ref="D286" authorId="0" shapeId="0">
      <text>
        <t>Source: BLS page, 2026-10-24, https://www.bls.gov/cpi/factsheets/</t>
      </text>
    </comment>
    <comment ref="E286" authorId="0" shapeId="0">
      <text>
        <t>Source: BLS page, 2026-10-24, https://www.bls.gov/cpi/factsheets/</t>
      </text>
    </comment>
    <comment ref="F286" authorId="0" shapeId="0">
      <text>
        <t>Source: BLS page, 2026-10-24, https://www.bls.gov/cpi/factsheets/</t>
      </text>
    </comment>
    <comment ref="C287" authorId="0" shapeId="0">
      <text>
        <t>Source: BLS page, 2026-10-24, https://www.bls.gov/cpi/factsheets/</t>
      </text>
    </comment>
    <comment ref="D287" authorId="0" shapeId="0">
      <text>
        <t>Source: BLS page, 2026-10-24, https://www.bls.gov/cpi/factsheets/</t>
      </text>
    </comment>
    <comment ref="E287" authorId="0" shapeId="0">
      <text>
        <t>Source: BLS page, 2026-10-24, https://www.bls.gov/cpi/factsheets/</t>
      </text>
    </comment>
    <comment ref="F287" authorId="0" shapeId="0">
      <text>
        <t>Source: BLS page, 2026-10-24, https://www.bls.gov/cpi/factsheets/</t>
      </text>
    </comment>
    <comment ref="C288" authorId="0" shapeId="0">
      <text>
        <t>Source: BLS page, 2026-10-24, https://www.bls.gov/cpi/factsheets/</t>
      </text>
    </comment>
    <comment ref="D288" authorId="0" shapeId="0">
      <text>
        <t>Source: BLS page, 2026-10-24, https://www.bls.gov/cpi/factsheets/</t>
      </text>
    </comment>
    <comment ref="E288" authorId="0" shapeId="0">
      <text>
        <t>Source: BLS page, 2026-10-24, https://www.bls.gov/cpi/factsheets/</t>
      </text>
    </comment>
    <comment ref="F288" authorId="0" shapeId="0">
      <text>
        <t>Source: BLS page, 2026-10-24, https://www.bls.gov/cpi/factsheets/</t>
      </text>
    </comment>
    <comment ref="C289" authorId="0" shapeId="0">
      <text>
        <t>Source: BLS page, 2026-10-24, https://www.bls.gov/cpi/factsheets/</t>
      </text>
    </comment>
    <comment ref="D289" authorId="0" shapeId="0">
      <text>
        <t>Source: BLS page, 2026-10-24, https://www.bls.gov/cpi/factsheets/</t>
      </text>
    </comment>
    <comment ref="E289" authorId="0" shapeId="0">
      <text>
        <t>Source: BLS page, 2026-10-24, https://www.bls.gov/cpi/factsheets/</t>
      </text>
    </comment>
    <comment ref="F289" authorId="0" shapeId="0">
      <text>
        <t>Source: BLS page, 2026-10-24, https://www.bls.gov/cpi/factsheets/</t>
      </text>
    </comment>
    <comment ref="C290" authorId="0" shapeId="0">
      <text>
        <t>Source: BLS page, 2026-10-24, https://www.bls.gov/cpi/factsheets/</t>
      </text>
    </comment>
    <comment ref="D290" authorId="0" shapeId="0">
      <text>
        <t>Source: BLS page, 2026-10-24, https://www.bls.gov/cpi/factsheets/</t>
      </text>
    </comment>
    <comment ref="E290" authorId="0" shapeId="0">
      <text>
        <t>Source: BLS page, 2026-10-24, https://www.bls.gov/cpi/factsheets/</t>
      </text>
    </comment>
    <comment ref="F290" authorId="0" shapeId="0">
      <text>
        <t>Source: BLS page, 2026-10-24, https://www.bls.gov/cpi/factsheets/</t>
      </text>
    </comment>
    <comment ref="C291" authorId="0" shapeId="0">
      <text>
        <t>Source: BLS page, 2026-10-24, https://www.bls.gov/cpi/factsheets/</t>
      </text>
    </comment>
    <comment ref="D291" authorId="0" shapeId="0">
      <text>
        <t>Source: BLS page, 2026-10-24, https://www.bls.gov/cpi/factsheets/</t>
      </text>
    </comment>
    <comment ref="E291" authorId="0" shapeId="0">
      <text>
        <t>Source: BLS page, 2026-10-24, https://www.bls.gov/cpi/factsheets/</t>
      </text>
    </comment>
    <comment ref="F291" authorId="0" shapeId="0">
      <text>
        <t>Source: BLS page, 2026-10-24, https://www.bls.gov/cpi/factsheets/</t>
      </text>
    </comment>
    <comment ref="C292" authorId="0" shapeId="0">
      <text>
        <t>Source: BLS page, 2026-10-24, https://www.bls.gov/cpi/factsheets/</t>
      </text>
    </comment>
    <comment ref="D292" authorId="0" shapeId="0">
      <text>
        <t>Source: BLS page, 2026-10-24, https://www.bls.gov/cpi/factsheets/</t>
      </text>
    </comment>
    <comment ref="E292" authorId="0" shapeId="0">
      <text>
        <t>Source: BLS page, 2026-10-24, https://www.bls.gov/cpi/factsheets/</t>
      </text>
    </comment>
    <comment ref="F292" authorId="0" shapeId="0">
      <text>
        <t>Source: BLS page, 2026-10-24, https://www.bls.gov/cpi/factsheets/</t>
      </text>
    </comment>
    <comment ref="C293" authorId="0" shapeId="0">
      <text>
        <t>Source: BLS page, 2026-10-24, https://www.bls.gov/cpi/factsheets/</t>
      </text>
    </comment>
    <comment ref="D293" authorId="0" shapeId="0">
      <text>
        <t>Source: BLS page, 2026-10-24, https://www.bls.gov/cpi/factsheets/</t>
      </text>
    </comment>
    <comment ref="E293" authorId="0" shapeId="0">
      <text>
        <t>Source: BLS page, 2026-10-24, https://www.bls.gov/cpi/factsheets/</t>
      </text>
    </comment>
    <comment ref="F293" authorId="0" shapeId="0">
      <text>
        <t>Source: BLS page, 2026-10-24, https://www.bls.gov/cpi/factsheets/</t>
      </text>
    </comment>
    <comment ref="C294" authorId="0" shapeId="0">
      <text>
        <t>Source: BLS page, 2026-10-24, https://www.bls.gov/cpi/factsheets/</t>
      </text>
    </comment>
    <comment ref="D294" authorId="0" shapeId="0">
      <text>
        <t>Source: BLS page, 2026-10-24, https://www.bls.gov/cpi/factsheets/</t>
      </text>
    </comment>
    <comment ref="E294" authorId="0" shapeId="0">
      <text>
        <t>Source: BLS page, 2026-10-24, https://www.bls.gov/cpi/factsheets/</t>
      </text>
    </comment>
    <comment ref="F294" authorId="0" shapeId="0">
      <text>
        <t>Source: BLS page, 2026-10-24, https://www.bls.gov/cpi/factsheets/</t>
      </text>
    </comment>
    <comment ref="C295" authorId="0" shapeId="0">
      <text>
        <t>Source: BLS page, 2026-10-24, https://www.bls.gov/cpi/factsheets/</t>
      </text>
    </comment>
    <comment ref="D295" authorId="0" shapeId="0">
      <text>
        <t>Source: BLS page, 2026-10-24, https://www.bls.gov/cpi/factsheets/</t>
      </text>
    </comment>
    <comment ref="E295" authorId="0" shapeId="0">
      <text>
        <t>Source: BLS page, 2026-10-24, https://www.bls.gov/cpi/factsheets/</t>
      </text>
    </comment>
    <comment ref="F295" authorId="0" shapeId="0">
      <text>
        <t>Source: BLS page, 2026-10-24, https://www.bls.gov/cpi/factsheets/</t>
      </text>
    </comment>
    <comment ref="C296" authorId="0" shapeId="0">
      <text>
        <t>Source: BLS page, 2026-10-24, https://www.bls.gov/cpi/factsheets/</t>
      </text>
    </comment>
    <comment ref="D296" authorId="0" shapeId="0">
      <text>
        <t>Source: BLS page, 2026-10-24, https://www.bls.gov/cpi/factsheets/</t>
      </text>
    </comment>
    <comment ref="E296" authorId="0" shapeId="0">
      <text>
        <t>Source: BLS page, 2026-10-24, https://www.bls.gov/cpi/factsheets/</t>
      </text>
    </comment>
    <comment ref="F296" authorId="0" shapeId="0">
      <text>
        <t>Source: BLS page, 2026-10-24, https://www.bls.gov/cpi/factsheets/</t>
      </text>
    </comment>
    <comment ref="C297" authorId="0" shapeId="0">
      <text>
        <t>Source: BLS page, 2026-10-24, https://www.bls.gov/cpi/factsheets/</t>
      </text>
    </comment>
    <comment ref="D297" authorId="0" shapeId="0">
      <text>
        <t>Source: BLS page, 2026-10-24, https://www.bls.gov/cpi/factsheets/</t>
      </text>
    </comment>
    <comment ref="E297" authorId="0" shapeId="0">
      <text>
        <t>Source: BLS page, 2026-10-24, https://www.bls.gov/cpi/factsheets/</t>
      </text>
    </comment>
    <comment ref="F297" authorId="0" shapeId="0">
      <text>
        <t>Source: BLS page, 2026-10-24, https://www.bls.gov/cpi/factsheets/</t>
      </text>
    </comment>
    <comment ref="C298" authorId="0" shapeId="0">
      <text>
        <t>Source: BLS page, 2026-10-24, https://www.bls.gov/cpi/factsheets/</t>
      </text>
    </comment>
    <comment ref="D298" authorId="0" shapeId="0">
      <text>
        <t>Source: BLS page, 2026-10-24, https://www.bls.gov/cpi/factsheets/</t>
      </text>
    </comment>
    <comment ref="E298" authorId="0" shapeId="0">
      <text>
        <t>Source: BLS page, 2026-10-24, https://www.bls.gov/cpi/factsheets/</t>
      </text>
    </comment>
    <comment ref="F298" authorId="0" shapeId="0">
      <text>
        <t>Source: BLS page, 2026-10-24, https://www.bls.gov/cpi/factsheets/</t>
      </text>
    </comment>
    <comment ref="C299" authorId="0" shapeId="0">
      <text>
        <t>Source: BLS page, 2026-10-24, https://www.bls.gov/cpi/factsheets/</t>
      </text>
    </comment>
    <comment ref="D299" authorId="0" shapeId="0">
      <text>
        <t>Source: BLS page, 2026-10-24, https://www.bls.gov/cpi/factsheets/</t>
      </text>
    </comment>
    <comment ref="E299" authorId="0" shapeId="0">
      <text>
        <t>Source: BLS page, 2026-10-24, https://www.bls.gov/cpi/factsheets/</t>
      </text>
    </comment>
    <comment ref="F299" authorId="0" shapeId="0">
      <text>
        <t>Source: BLS page, 2026-10-24, https://www.bls.gov/cpi/factsheets/</t>
      </text>
    </comment>
    <comment ref="C300" authorId="0" shapeId="0">
      <text>
        <t>Source: BLS page, 2026-10-24, https://www.bls.gov/cpi/factsheets/</t>
      </text>
    </comment>
    <comment ref="D300" authorId="0" shapeId="0">
      <text>
        <t>Source: BLS page, 2026-10-24, https://www.bls.gov/cpi/factsheets/</t>
      </text>
    </comment>
    <comment ref="E300" authorId="0" shapeId="0">
      <text>
        <t>Source: BLS page, 2026-10-24, https://www.bls.gov/cpi/factsheets/</t>
      </text>
    </comment>
    <comment ref="F300" authorId="0" shapeId="0">
      <text>
        <t>Source: BLS page, 2026-10-24, https://www.bls.gov/cpi/factsheets/</t>
      </text>
    </comment>
    <comment ref="C301" authorId="0" shapeId="0">
      <text>
        <t>Source: BLS page, 2026-10-24, https://www.bls.gov/cpi/factsheets/</t>
      </text>
    </comment>
    <comment ref="D301" authorId="0" shapeId="0">
      <text>
        <t>Source: BLS page, 2026-10-24, https://www.bls.gov/cpi/factsheets/</t>
      </text>
    </comment>
    <comment ref="E301" authorId="0" shapeId="0">
      <text>
        <t>Source: BLS page, 2026-10-24, https://www.bls.gov/cpi/factsheets/</t>
      </text>
    </comment>
    <comment ref="F301" authorId="0" shapeId="0">
      <text>
        <t>Source: BLS page, 2026-10-24, https://www.bls.gov/cpi/factsheets/</t>
      </text>
    </comment>
    <comment ref="C302" authorId="0" shapeId="0">
      <text>
        <t>Source: BLS page, 2026-10-24, https://www.bls.gov/cpi/factsheets/</t>
      </text>
    </comment>
    <comment ref="D302" authorId="0" shapeId="0">
      <text>
        <t>Source: BLS page, 2026-10-24, https://www.bls.gov/cpi/factsheets/</t>
      </text>
    </comment>
    <comment ref="E302" authorId="0" shapeId="0">
      <text>
        <t>Source: BLS page, 2026-10-24, https://www.bls.gov/cpi/factsheets/</t>
      </text>
    </comment>
    <comment ref="F302" authorId="0" shapeId="0">
      <text>
        <t>Source: BLS page, 2026-10-24, https://www.bls.gov/cpi/factsheets/</t>
      </text>
    </comment>
    <comment ref="C303" authorId="0" shapeId="0">
      <text>
        <t>Source: BLS page, 2026-10-24, https://www.bls.gov/cpi/factsheets/</t>
      </text>
    </comment>
    <comment ref="D303" authorId="0" shapeId="0">
      <text>
        <t>Source: BLS page, 2026-10-24, https://www.bls.gov/cpi/factsheets/</t>
      </text>
    </comment>
    <comment ref="E303" authorId="0" shapeId="0">
      <text>
        <t>Source: BLS page, 2026-10-24, https://www.bls.gov/cpi/factsheets/</t>
      </text>
    </comment>
    <comment ref="F303" authorId="0" shapeId="0">
      <text>
        <t>Source: BLS page, 2026-10-24, https://www.bls.gov/cpi/factsheets/</t>
      </text>
    </comment>
    <comment ref="C304" authorId="0" shapeId="0">
      <text>
        <t>Source: BLS page, 2026-10-24, https://www.bls.gov/cpi/factsheets/</t>
      </text>
    </comment>
    <comment ref="D304" authorId="0" shapeId="0">
      <text>
        <t>Source: BLS page, 2026-10-24, https://www.bls.gov/cpi/factsheets/</t>
      </text>
    </comment>
    <comment ref="E304" authorId="0" shapeId="0">
      <text>
        <t>Source: BLS page, 2026-10-24, https://www.bls.gov/cpi/factsheets/</t>
      </text>
    </comment>
    <comment ref="F304" authorId="0" shapeId="0">
      <text>
        <t>Source: BLS page, 2026-10-24, https://www.bls.gov/cpi/factsheets/</t>
      </text>
    </comment>
    <comment ref="C305" authorId="0" shapeId="0">
      <text>
        <t>Source: BLS page, 2026-10-24, https://www.bls.gov/cpi/factsheets/</t>
      </text>
    </comment>
    <comment ref="D305" authorId="0" shapeId="0">
      <text>
        <t>Source: BLS page, 2026-10-24, https://www.bls.gov/cpi/factsheets/</t>
      </text>
    </comment>
    <comment ref="E305" authorId="0" shapeId="0">
      <text>
        <t>Source: BLS page, 2026-10-24, https://www.bls.gov/cpi/factsheets/</t>
      </text>
    </comment>
    <comment ref="F305" authorId="0" shapeId="0">
      <text>
        <t>Source: BLS page, 2026-10-24, https://www.bls.gov/cpi/factsheets/</t>
      </text>
    </comment>
    <comment ref="C306" authorId="0" shapeId="0">
      <text>
        <t>Source: BLS page, 2026-10-24, https://www.bls.gov/cpi/factsheets/</t>
      </text>
    </comment>
    <comment ref="D306" authorId="0" shapeId="0">
      <text>
        <t>Source: BLS page, 2026-10-24, https://www.bls.gov/cpi/factsheets/</t>
      </text>
    </comment>
    <comment ref="E306" authorId="0" shapeId="0">
      <text>
        <t>Source: BLS page, 2026-10-24, https://www.bls.gov/cpi/factsheets/</t>
      </text>
    </comment>
    <comment ref="F306" authorId="0" shapeId="0">
      <text>
        <t>Source: BLS page, 2026-10-24, https://www.bls.gov/cpi/factsheets/</t>
      </text>
    </comment>
    <comment ref="C307" authorId="0" shapeId="0">
      <text>
        <t>Source: BLS page, 2026-10-24, https://www.bls.gov/cpi/factsheets/</t>
      </text>
    </comment>
    <comment ref="D307" authorId="0" shapeId="0">
      <text>
        <t>Source: BLS page, 2026-10-24, https://www.bls.gov/cpi/factsheets/</t>
      </text>
    </comment>
    <comment ref="E307" authorId="0" shapeId="0">
      <text>
        <t>Source: BLS page, 2026-10-24, https://www.bls.gov/cpi/factsheets/</t>
      </text>
    </comment>
    <comment ref="F307" authorId="0" shapeId="0">
      <text>
        <t>Source: BLS page, 2026-10-24, https://www.bls.gov/cpi/factsheets/</t>
      </text>
    </comment>
    <comment ref="C308" authorId="0" shapeId="0">
      <text>
        <t>Source: BLS page, 2026-10-24, https://www.bls.gov/cpi/factsheets/</t>
      </text>
    </comment>
    <comment ref="D308" authorId="0" shapeId="0">
      <text>
        <t>Source: BLS page, 2026-10-24, https://www.bls.gov/cpi/factsheets/</t>
      </text>
    </comment>
    <comment ref="E308" authorId="0" shapeId="0">
      <text>
        <t>Source: BLS page, 2026-10-24, https://www.bls.gov/cpi/factsheets/</t>
      </text>
    </comment>
    <comment ref="F308" authorId="0" shapeId="0">
      <text>
        <t>Source: BLS page, 2026-10-24, https://www.bls.gov/cpi/factsheets/</t>
      </text>
    </comment>
    <comment ref="C309" authorId="0" shapeId="0">
      <text>
        <t>Source: BLS page, 2026-10-24, https://www.bls.gov/cpi/factsheets/</t>
      </text>
    </comment>
    <comment ref="D309" authorId="0" shapeId="0">
      <text>
        <t>Source: BLS page, 2026-10-24, https://www.bls.gov/cpi/factsheets/</t>
      </text>
    </comment>
    <comment ref="E309" authorId="0" shapeId="0">
      <text>
        <t>Source: BLS page, 2026-10-24, https://www.bls.gov/cpi/factsheets/</t>
      </text>
    </comment>
    <comment ref="F309" authorId="0" shapeId="0">
      <text>
        <t>Source: BLS page, 2026-10-24, https://www.bls.gov/cpi/factsheets/</t>
      </text>
    </comment>
    <comment ref="C310" authorId="0" shapeId="0">
      <text>
        <t>Source: BLS page, 2026-10-24, https://www.bls.gov/cpi/factsheets/</t>
      </text>
    </comment>
    <comment ref="D310" authorId="0" shapeId="0">
      <text>
        <t>Source: BLS page, 2026-10-24, https://www.bls.gov/cpi/factsheets/</t>
      </text>
    </comment>
    <comment ref="E310" authorId="0" shapeId="0">
      <text>
        <t>Source: BLS page, 2026-10-24, https://www.bls.gov/cpi/factsheets/</t>
      </text>
    </comment>
    <comment ref="F310" authorId="0" shapeId="0">
      <text>
        <t>Source: BLS page, 2026-10-24, https://www.bls.gov/cpi/factsheets/</t>
      </text>
    </comment>
    <comment ref="C311" authorId="0" shapeId="0">
      <text>
        <t>Source: BLS page, 2026-10-24, https://www.bls.gov/cpi/factsheets/</t>
      </text>
    </comment>
    <comment ref="D311" authorId="0" shapeId="0">
      <text>
        <t>Source: BLS page, 2026-10-24, https://www.bls.gov/cpi/factsheets/</t>
      </text>
    </comment>
    <comment ref="E311" authorId="0" shapeId="0">
      <text>
        <t>Source: BLS page, 2026-10-24, https://www.bls.gov/cpi/factsheets/</t>
      </text>
    </comment>
    <comment ref="F311" authorId="0" shapeId="0">
      <text>
        <t>Source: BLS page, 2026-10-24, https://www.bls.gov/cpi/factsheets/</t>
      </text>
    </comment>
    <comment ref="C312" authorId="0" shapeId="0">
      <text>
        <t>Source: BLS page, 2026-10-24, https://www.bls.gov/cpi/factsheets/</t>
      </text>
    </comment>
    <comment ref="D312" authorId="0" shapeId="0">
      <text>
        <t>Source: BLS page, 2026-10-24, https://www.bls.gov/cpi/factsheets/</t>
      </text>
    </comment>
    <comment ref="E312" authorId="0" shapeId="0">
      <text>
        <t>Source: BLS page, 2026-10-24, https://www.bls.gov/cpi/factsheets/</t>
      </text>
    </comment>
    <comment ref="F312" authorId="0" shapeId="0">
      <text>
        <t>Source: BLS page, 2026-10-24, https://www.bls.gov/cpi/factsheets/</t>
      </text>
    </comment>
    <comment ref="C313" authorId="0" shapeId="0">
      <text>
        <t>Source: BLS page, 2026-10-24, https://www.bls.gov/cpi/factsheets/</t>
      </text>
    </comment>
    <comment ref="D313" authorId="0" shapeId="0">
      <text>
        <t>Source: BLS page, 2026-10-24, https://www.bls.gov/cpi/factsheets/</t>
      </text>
    </comment>
    <comment ref="E313" authorId="0" shapeId="0">
      <text>
        <t>Source: BLS page, 2026-10-24, https://www.bls.gov/cpi/factsheets/</t>
      </text>
    </comment>
    <comment ref="F313" authorId="0" shapeId="0">
      <text>
        <t>Source: BLS page, 2026-10-24, https://www.bls.gov/cpi/factsheets/</t>
      </text>
    </comment>
    <comment ref="C314" authorId="0" shapeId="0">
      <text>
        <t>Source: BLS page, 2026-10-24, https://www.bls.gov/cpi/factsheets/</t>
      </text>
    </comment>
    <comment ref="D314" authorId="0" shapeId="0">
      <text>
        <t>Source: BLS page, 2026-10-24, https://www.bls.gov/cpi/factsheets/</t>
      </text>
    </comment>
    <comment ref="E314" authorId="0" shapeId="0">
      <text>
        <t>Source: BLS page, 2026-10-24, https://www.bls.gov/cpi/factsheets/</t>
      </text>
    </comment>
    <comment ref="F314" authorId="0" shapeId="0">
      <text>
        <t>Source: BLS page, 2026-10-24, https://www.bls.gov/cpi/factsheets/</t>
      </text>
    </comment>
    <comment ref="C315" authorId="0" shapeId="0">
      <text>
        <t>Source: BLS page, 2026-10-24, https://www.bls.gov/cpi/factsheets/</t>
      </text>
    </comment>
    <comment ref="D315" authorId="0" shapeId="0">
      <text>
        <t>Source: BLS page, 2026-10-24, https://www.bls.gov/cpi/factsheets/</t>
      </text>
    </comment>
    <comment ref="E315" authorId="0" shapeId="0">
      <text>
        <t>Source: BLS page, 2026-10-24, https://www.bls.gov/cpi/factsheets/</t>
      </text>
    </comment>
    <comment ref="F315" authorId="0" shapeId="0">
      <text>
        <t>Source: BLS page, 2026-10-24, https://www.bls.gov/cpi/factsheets/</t>
      </text>
    </comment>
    <comment ref="C316" authorId="0" shapeId="0">
      <text>
        <t>Source: BLS page, 2026-10-24, https://www.bls.gov/cpi/factsheets/</t>
      </text>
    </comment>
    <comment ref="D316" authorId="0" shapeId="0">
      <text>
        <t>Source: BLS page, 2026-10-24, https://www.bls.gov/cpi/factsheets/</t>
      </text>
    </comment>
    <comment ref="E316" authorId="0" shapeId="0">
      <text>
        <t>Source: BLS page, 2026-10-24, https://www.bls.gov/cpi/factsheets/</t>
      </text>
    </comment>
    <comment ref="F316" authorId="0" shapeId="0">
      <text>
        <t>Source: BLS page, 2026-10-24, https://www.bls.gov/cpi/factsheets/</t>
      </text>
    </comment>
    <comment ref="C317" authorId="0" shapeId="0">
      <text>
        <t>Source: BLS page, 2026-10-24, https://www.bls.gov/cpi/factsheets/</t>
      </text>
    </comment>
    <comment ref="D317" authorId="0" shapeId="0">
      <text>
        <t>Source: BLS page, 2026-10-24, https://www.bls.gov/cpi/factsheets/</t>
      </text>
    </comment>
    <comment ref="E317" authorId="0" shapeId="0">
      <text>
        <t>Source: BLS page, 2026-10-24, https://www.bls.gov/cpi/factsheets/</t>
      </text>
    </comment>
    <comment ref="F317" authorId="0" shapeId="0">
      <text>
        <t>Source: BLS page, 2026-10-24, https://www.bls.gov/cpi/factsheets/</t>
      </text>
    </comment>
    <comment ref="C318" authorId="0" shapeId="0">
      <text>
        <t>Source: BLS page, 2026-10-24, https://www.bls.gov/cpi/factsheets/</t>
      </text>
    </comment>
    <comment ref="D318" authorId="0" shapeId="0">
      <text>
        <t>Source: BLS page, 2026-10-24, https://www.bls.gov/cpi/factsheets/</t>
      </text>
    </comment>
    <comment ref="E318" authorId="0" shapeId="0">
      <text>
        <t>Source: BLS page, 2026-10-24, https://www.bls.gov/cpi/factsheets/</t>
      </text>
    </comment>
    <comment ref="F318" authorId="0" shapeId="0">
      <text>
        <t>Source: BLS page, 2026-10-24, https://www.bls.gov/cpi/factsheets/</t>
      </text>
    </comment>
    <comment ref="C319" authorId="0" shapeId="0">
      <text>
        <t>Source: BLS page, 2026-10-24, https://www.bls.gov/cpi/factsheets/</t>
      </text>
    </comment>
    <comment ref="D319" authorId="0" shapeId="0">
      <text>
        <t>Source: BLS page, 2026-10-24, https://www.bls.gov/cpi/factsheets/</t>
      </text>
    </comment>
    <comment ref="E319" authorId="0" shapeId="0">
      <text>
        <t>Source: BLS page, 2026-10-24, https://www.bls.gov/cpi/factsheets/</t>
      </text>
    </comment>
    <comment ref="F319" authorId="0" shapeId="0">
      <text>
        <t>Source: BLS page, 2026-10-24, https://www.bls.gov/cpi/factsheets/</t>
      </text>
    </comment>
    <comment ref="C320" authorId="0" shapeId="0">
      <text>
        <t>Source: BLS page, 2026-10-24, https://www.bls.gov/cpi/factsheets/</t>
      </text>
    </comment>
    <comment ref="D320" authorId="0" shapeId="0">
      <text>
        <t>Source: BLS page, 2026-10-24, https://www.bls.gov/cpi/factsheets/</t>
      </text>
    </comment>
    <comment ref="E320" authorId="0" shapeId="0">
      <text>
        <t>Source: BLS page, 2026-10-24, https://www.bls.gov/cpi/factsheets/</t>
      </text>
    </comment>
    <comment ref="F320" authorId="0" shapeId="0">
      <text>
        <t>Source: BLS page, 2026-10-24, https://www.bls.gov/cpi/factsheets/</t>
      </text>
    </comment>
    <comment ref="C321" authorId="0" shapeId="0">
      <text>
        <t>Source: BLS page, 2026-10-24, https://www.bls.gov/cpi/factsheets/</t>
      </text>
    </comment>
    <comment ref="D321" authorId="0" shapeId="0">
      <text>
        <t>Source: BLS page, 2026-10-24, https://www.bls.gov/cpi/factsheets/</t>
      </text>
    </comment>
    <comment ref="E321" authorId="0" shapeId="0">
      <text>
        <t>Source: BLS page, 2026-10-24, https://www.bls.gov/cpi/factsheets/</t>
      </text>
    </comment>
    <comment ref="F321" authorId="0" shapeId="0">
      <text>
        <t>Source: BLS page, 2026-10-24, https://www.bls.gov/cpi/factsheets/</t>
      </text>
    </comment>
    <comment ref="C322" authorId="0" shapeId="0">
      <text>
        <t>Source: BLS page, 2026-10-24, https://www.bls.gov/cpi/factsheets/</t>
      </text>
    </comment>
    <comment ref="D322" authorId="0" shapeId="0">
      <text>
        <t>Source: BLS page, 2026-10-24, https://www.bls.gov/cpi/factsheets/</t>
      </text>
    </comment>
    <comment ref="E322" authorId="0" shapeId="0">
      <text>
        <t>Source: BLS page, 2026-10-24, https://www.bls.gov/cpi/factsheets/</t>
      </text>
    </comment>
    <comment ref="F322" authorId="0" shapeId="0">
      <text>
        <t>Source: BLS page, 2026-10-24, https://www.bls.gov/cpi/factsheets/</t>
      </text>
    </comment>
    <comment ref="C323" authorId="0" shapeId="0">
      <text>
        <t>Source: BLS page, 2026-10-24, https://www.bls.gov/cpi/factsheets/</t>
      </text>
    </comment>
    <comment ref="D323" authorId="0" shapeId="0">
      <text>
        <t>Source: BLS page, 2026-10-24, https://www.bls.gov/cpi/factsheets/</t>
      </text>
    </comment>
    <comment ref="E323" authorId="0" shapeId="0">
      <text>
        <t>Source: BLS page, 2026-10-24, https://www.bls.gov/cpi/factsheets/</t>
      </text>
    </comment>
    <comment ref="F323" authorId="0" shapeId="0">
      <text>
        <t>Source: BLS page, 2026-10-24, https://www.bls.gov/cpi/factsheets/</t>
      </text>
    </comment>
    <comment ref="C324" authorId="0" shapeId="0">
      <text>
        <t>Source: BLS page, 2026-10-24, https://www.bls.gov/cpi/factsheets/</t>
      </text>
    </comment>
    <comment ref="D324" authorId="0" shapeId="0">
      <text>
        <t>Source: BLS page, 2026-10-24, https://www.bls.gov/cpi/factsheets/</t>
      </text>
    </comment>
    <comment ref="E324" authorId="0" shapeId="0">
      <text>
        <t>Source: BLS page, 2026-10-24, https://www.bls.gov/cpi/factsheets/</t>
      </text>
    </comment>
    <comment ref="F324" authorId="0" shapeId="0">
      <text>
        <t>Source: BLS page, 2026-10-24, https://www.bls.gov/cpi/factsheets/</t>
      </text>
    </comment>
    <comment ref="C325" authorId="0" shapeId="0">
      <text>
        <t>Source: BLS page, 2026-10-24, https://www.bls.gov/cpi/factsheets/</t>
      </text>
    </comment>
    <comment ref="D325" authorId="0" shapeId="0">
      <text>
        <t>Source: BLS page, 2026-10-24, https://www.bls.gov/cpi/factsheets/</t>
      </text>
    </comment>
    <comment ref="E325" authorId="0" shapeId="0">
      <text>
        <t>Source: BLS page, 2026-10-24, https://www.bls.gov/cpi/factsheets/</t>
      </text>
    </comment>
    <comment ref="F325" authorId="0" shapeId="0">
      <text>
        <t>Source: BLS page, 2026-10-24, https://www.bls.gov/cpi/factsheets/</t>
      </text>
    </comment>
    <comment ref="C326" authorId="0" shapeId="0">
      <text>
        <t>Source: BLS page, 2026-10-24, https://www.bls.gov/cpi/factsheets/</t>
      </text>
    </comment>
    <comment ref="D326" authorId="0" shapeId="0">
      <text>
        <t>Source: BLS page, 2026-10-24, https://www.bls.gov/cpi/factsheets/</t>
      </text>
    </comment>
    <comment ref="E326" authorId="0" shapeId="0">
      <text>
        <t>Source: BLS page, 2026-10-24, https://www.bls.gov/cpi/factsheets/</t>
      </text>
    </comment>
    <comment ref="F326" authorId="0" shapeId="0">
      <text>
        <t>Source: BLS page, 2026-10-24, https://www.bls.gov/cpi/factsheets/</t>
      </text>
    </comment>
    <comment ref="C327" authorId="0" shapeId="0">
      <text>
        <t>Source: BLS page, 2026-10-24, https://www.bls.gov/cpi/factsheets/</t>
      </text>
    </comment>
    <comment ref="D327" authorId="0" shapeId="0">
      <text>
        <t>Source: BLS page, 2026-10-24, https://www.bls.gov/cpi/factsheets/</t>
      </text>
    </comment>
    <comment ref="E327" authorId="0" shapeId="0">
      <text>
        <t>Source: BLS page, 2026-10-24, https://www.bls.gov/cpi/factsheets/</t>
      </text>
    </comment>
    <comment ref="F327" authorId="0" shapeId="0">
      <text>
        <t>Source: BLS page, 2026-10-24, https://www.bls.gov/cpi/factsheets/</t>
      </text>
    </comment>
    <comment ref="C328" authorId="0" shapeId="0">
      <text>
        <t>Source: BLS page, 2026-10-24, https://www.bls.gov/cpi/factsheets/</t>
      </text>
    </comment>
    <comment ref="D328" authorId="0" shapeId="0">
      <text>
        <t>Source: BLS page, 2026-10-24, https://www.bls.gov/cpi/factsheets/</t>
      </text>
    </comment>
    <comment ref="E328" authorId="0" shapeId="0">
      <text>
        <t>Source: BLS page, 2026-10-24, https://www.bls.gov/cpi/factsheets/</t>
      </text>
    </comment>
    <comment ref="F328" authorId="0" shapeId="0">
      <text>
        <t>Source: BLS page, 2026-10-24, https://www.bls.gov/cpi/factsheets/</t>
      </text>
    </comment>
    <comment ref="C329" authorId="0" shapeId="0">
      <text>
        <t>Source: BLS page, 2026-10-24, https://www.bls.gov/cpi/factsheets/</t>
      </text>
    </comment>
    <comment ref="D329" authorId="0" shapeId="0">
      <text>
        <t>Source: BLS page, 2026-10-24, https://www.bls.gov/cpi/factsheets/</t>
      </text>
    </comment>
    <comment ref="E329" authorId="0" shapeId="0">
      <text>
        <t>Source: BLS page, 2026-10-24, https://www.bls.gov/cpi/factsheets/</t>
      </text>
    </comment>
    <comment ref="F329" authorId="0" shapeId="0">
      <text>
        <t>Source: BLS page, 2026-10-24, https://www.bls.gov/cpi/factsheets/</t>
      </text>
    </comment>
    <comment ref="C330" authorId="0" shapeId="0">
      <text>
        <t>Source: BLS page, 2026-10-24, https://www.bls.gov/cpi/factsheets/</t>
      </text>
    </comment>
    <comment ref="D330" authorId="0" shapeId="0">
      <text>
        <t>Source: BLS page, 2026-10-24, https://www.bls.gov/cpi/factsheets/</t>
      </text>
    </comment>
    <comment ref="E330" authorId="0" shapeId="0">
      <text>
        <t>Source: BLS page, 2026-10-24, https://www.bls.gov/cpi/factsheets/</t>
      </text>
    </comment>
    <comment ref="F330" authorId="0" shapeId="0">
      <text>
        <t>Source: BLS page, 2026-10-24, https://www.bls.gov/cpi/factsheets/</t>
      </text>
    </comment>
    <comment ref="C331" authorId="0" shapeId="0">
      <text>
        <t>Source: BLS page, 2026-10-24, https://www.bls.gov/cpi/factsheets/</t>
      </text>
    </comment>
    <comment ref="D331" authorId="0" shapeId="0">
      <text>
        <t>Source: BLS page, 2026-10-24, https://www.bls.gov/cpi/factsheets/</t>
      </text>
    </comment>
    <comment ref="E331" authorId="0" shapeId="0">
      <text>
        <t>Source: BLS page, 2026-10-24, https://www.bls.gov/cpi/factsheets/</t>
      </text>
    </comment>
    <comment ref="F331" authorId="0" shapeId="0">
      <text>
        <t>Source: BLS page, 2026-10-24, https://www.bls.gov/cpi/factsheets/</t>
      </text>
    </comment>
    <comment ref="C332" authorId="0" shapeId="0">
      <text>
        <t>Source: BLS page, 2026-10-24, https://www.bls.gov/cpi/factsheets/</t>
      </text>
    </comment>
    <comment ref="D332" authorId="0" shapeId="0">
      <text>
        <t>Source: BLS page, 2026-10-24, https://www.bls.gov/cpi/factsheets/</t>
      </text>
    </comment>
    <comment ref="E332" authorId="0" shapeId="0">
      <text>
        <t>Source: BLS page, 2026-10-24, https://www.bls.gov/cpi/factsheets/</t>
      </text>
    </comment>
    <comment ref="F332" authorId="0" shapeId="0">
      <text>
        <t>Source: BLS page, 2026-10-24, https://www.bls.gov/cpi/factsheets/</t>
      </text>
    </comment>
    <comment ref="C333" authorId="0" shapeId="0">
      <text>
        <t>Source: BLS page, 2026-10-24, https://www.bls.gov/cpi/factsheets/</t>
      </text>
    </comment>
    <comment ref="D333" authorId="0" shapeId="0">
      <text>
        <t>Source: BLS page, 2026-10-24, https://www.bls.gov/cpi/factsheets/</t>
      </text>
    </comment>
    <comment ref="E333" authorId="0" shapeId="0">
      <text>
        <t>Source: BLS page, 2026-10-24, https://www.bls.gov/cpi/factsheets/</t>
      </text>
    </comment>
    <comment ref="F333" authorId="0" shapeId="0">
      <text>
        <t>Source: BLS page, 2026-10-24, https://www.bls.gov/cpi/factsheets/</t>
      </text>
    </comment>
    <comment ref="C334" authorId="0" shapeId="0">
      <text>
        <t>Source: BLS page, 2026-10-24, https://www.bls.gov/cpi/factsheets/</t>
      </text>
    </comment>
    <comment ref="D334" authorId="0" shapeId="0">
      <text>
        <t>Source: BLS page, 2026-10-24, https://www.bls.gov/cpi/factsheets/</t>
      </text>
    </comment>
    <comment ref="E334" authorId="0" shapeId="0">
      <text>
        <t>Source: BLS page, 2026-10-24, https://www.bls.gov/cpi/factsheets/</t>
      </text>
    </comment>
    <comment ref="F334" authorId="0" shapeId="0">
      <text>
        <t>Source: BLS page, 2026-10-24, https://www.bls.gov/cpi/factsheets/</t>
      </text>
    </comment>
    <comment ref="C335" authorId="0" shapeId="0">
      <text>
        <t>Source: BLS page, 2026-10-24, https://www.bls.gov/cpi/factsheets/</t>
      </text>
    </comment>
    <comment ref="D335" authorId="0" shapeId="0">
      <text>
        <t>Source: BLS page, 2026-10-24, https://www.bls.gov/cpi/factsheets/</t>
      </text>
    </comment>
    <comment ref="E335" authorId="0" shapeId="0">
      <text>
        <t>Source: BLS page, 2026-10-24, https://www.bls.gov/cpi/factsheets/</t>
      </text>
    </comment>
    <comment ref="F335" authorId="0" shapeId="0">
      <text>
        <t>Source: BLS page, 2026-10-24, https://www.bls.gov/cpi/factsheets/</t>
      </text>
    </comment>
    <comment ref="C336" authorId="0" shapeId="0">
      <text>
        <t>Source: BLS page, 2026-10-24, https://www.bls.gov/cpi/factsheets/</t>
      </text>
    </comment>
    <comment ref="D336" authorId="0" shapeId="0">
      <text>
        <t>Source: BLS page, 2026-10-24, https://www.bls.gov/cpi/factsheets/</t>
      </text>
    </comment>
    <comment ref="E336" authorId="0" shapeId="0">
      <text>
        <t>Source: BLS page, 2026-10-24, https://www.bls.gov/cpi/factsheets/</t>
      </text>
    </comment>
    <comment ref="F336" authorId="0" shapeId="0">
      <text>
        <t>Source: BLS page, 2026-10-24, https://www.bls.gov/cpi/factsheets/</t>
      </text>
    </comment>
    <comment ref="C337" authorId="0" shapeId="0">
      <text>
        <t>Source: BLS page, 2026-10-24, https://www.bls.gov/cpi/factsheets/</t>
      </text>
    </comment>
    <comment ref="D337" authorId="0" shapeId="0">
      <text>
        <t>Source: BLS page, 2026-10-24, https://www.bls.gov/cpi/factsheets/</t>
      </text>
    </comment>
    <comment ref="E337" authorId="0" shapeId="0">
      <text>
        <t>Source: BLS page, 2026-10-24, https://www.bls.gov/cpi/factsheets/</t>
      </text>
    </comment>
    <comment ref="F337" authorId="0" shapeId="0">
      <text>
        <t>Source: BLS page, 2026-10-24, https://www.bls.gov/cpi/factsheets/</t>
      </text>
    </comment>
    <comment ref="C338" authorId="0" shapeId="0">
      <text>
        <t>Source: BLS page, 2026-10-24, https://www.bls.gov/cpi/factsheets/</t>
      </text>
    </comment>
    <comment ref="D338" authorId="0" shapeId="0">
      <text>
        <t>Source: BLS page, 2026-10-24, https://www.bls.gov/cpi/factsheets/</t>
      </text>
    </comment>
    <comment ref="E338" authorId="0" shapeId="0">
      <text>
        <t>Source: BLS page, 2026-10-24, https://www.bls.gov/cpi/factsheets/</t>
      </text>
    </comment>
    <comment ref="F338" authorId="0" shapeId="0">
      <text>
        <t>Source: BLS page, 2026-10-24, https://www.bls.gov/cpi/factsheets/</t>
      </text>
    </comment>
    <comment ref="C339" authorId="0" shapeId="0">
      <text>
        <t>Source: BLS page, 2026-10-24, https://www.bls.gov/cpi/factsheets/</t>
      </text>
    </comment>
    <comment ref="D339" authorId="0" shapeId="0">
      <text>
        <t>Source: BLS page, 2026-10-24, https://www.bls.gov/cpi/factsheets/</t>
      </text>
    </comment>
    <comment ref="E339" authorId="0" shapeId="0">
      <text>
        <t>Source: BLS page, 2026-10-24, https://www.bls.gov/cpi/factsheets/</t>
      </text>
    </comment>
    <comment ref="F339" authorId="0" shapeId="0">
      <text>
        <t>Source: BLS page, 2026-10-24, https://www.bls.gov/cpi/factsheets/</t>
      </text>
    </comment>
    <comment ref="C340" authorId="0" shapeId="0">
      <text>
        <t>Source: BLS page, 2026-10-24, https://www.bls.gov/cpi/factsheets/</t>
      </text>
    </comment>
    <comment ref="D340" authorId="0" shapeId="0">
      <text>
        <t>Source: BLS page, 2026-10-24, https://www.bls.gov/cpi/factsheets/</t>
      </text>
    </comment>
    <comment ref="E340" authorId="0" shapeId="0">
      <text>
        <t>Source: BLS page, 2026-10-24, https://www.bls.gov/cpi/factsheets/</t>
      </text>
    </comment>
    <comment ref="F340" authorId="0" shapeId="0">
      <text>
        <t>Source: BLS page, 2026-10-24, https://www.bls.gov/cpi/factsheets/</t>
      </text>
    </comment>
    <comment ref="C341" authorId="0" shapeId="0">
      <text>
        <t>Source: BLS page, 2026-10-24, https://www.bls.gov/cpi/factsheets/</t>
      </text>
    </comment>
    <comment ref="D341" authorId="0" shapeId="0">
      <text>
        <t>Source: BLS page, 2026-10-24, https://www.bls.gov/cpi/factsheets/</t>
      </text>
    </comment>
    <comment ref="E341" authorId="0" shapeId="0">
      <text>
        <t>Source: BLS page, 2026-10-24, https://www.bls.gov/cpi/factsheets/</t>
      </text>
    </comment>
    <comment ref="F341" authorId="0" shapeId="0">
      <text>
        <t>Source: BLS page, 2026-10-24, https://www.bls.gov/cpi/factsheets/</t>
      </text>
    </comment>
    <comment ref="C342" authorId="0" shapeId="0">
      <text>
        <t>Source: BLS page, 2026-10-24, https://www.bls.gov/cpi/factsheets/</t>
      </text>
    </comment>
    <comment ref="D342" authorId="0" shapeId="0">
      <text>
        <t>Source: BLS page, 2026-10-24, https://www.bls.gov/cpi/factsheets/</t>
      </text>
    </comment>
    <comment ref="E342" authorId="0" shapeId="0">
      <text>
        <t>Source: BLS page, 2026-10-24, https://www.bls.gov/cpi/factsheets/</t>
      </text>
    </comment>
    <comment ref="F342" authorId="0" shapeId="0">
      <text>
        <t>Source: BLS page, 2026-10-24, https://www.bls.gov/cpi/factsheets/</t>
      </text>
    </comment>
    <comment ref="C343" authorId="0" shapeId="0">
      <text>
        <t>Source: BLS page, 2026-10-24, https://www.bls.gov/cpi/factsheets/</t>
      </text>
    </comment>
    <comment ref="D343" authorId="0" shapeId="0">
      <text>
        <t>Source: BLS page, 2026-10-24, https://www.bls.gov/cpi/factsheets/</t>
      </text>
    </comment>
    <comment ref="E343" authorId="0" shapeId="0">
      <text>
        <t>Source: BLS page, 2026-10-24, https://www.bls.gov/cpi/factsheets/</t>
      </text>
    </comment>
    <comment ref="F343" authorId="0" shapeId="0">
      <text>
        <t>Source: BLS page, 2026-10-24, https://www.bls.gov/cpi/factsheets/</t>
      </text>
    </comment>
    <comment ref="C344" authorId="0" shapeId="0">
      <text>
        <t>Source: BLS page, 2026-10-24, https://www.bls.gov/cpi/factsheets/</t>
      </text>
    </comment>
    <comment ref="D344" authorId="0" shapeId="0">
      <text>
        <t>Source: BLS page, 2026-10-24, https://www.bls.gov/cpi/factsheets/</t>
      </text>
    </comment>
    <comment ref="E344" authorId="0" shapeId="0">
      <text>
        <t>Source: BLS page, 2026-10-24, https://www.bls.gov/cpi/factsheets/</t>
      </text>
    </comment>
    <comment ref="F344" authorId="0" shapeId="0">
      <text>
        <t>Source: BLS page, 2026-10-24, https://www.bls.gov/cpi/factsheets/</t>
      </text>
    </comment>
    <comment ref="C345" authorId="0" shapeId="0">
      <text>
        <t>Source: BLS page, 2026-10-24, https://www.bls.gov/cpi/factsheets/</t>
      </text>
    </comment>
    <comment ref="D345" authorId="0" shapeId="0">
      <text>
        <t>Source: BLS page, 2026-10-24, https://www.bls.gov/cpi/factsheets/</t>
      </text>
    </comment>
    <comment ref="E345" authorId="0" shapeId="0">
      <text>
        <t>Source: BLS page, 2026-10-24, https://www.bls.gov/cpi/factsheets/</t>
      </text>
    </comment>
    <comment ref="F345" authorId="0" shapeId="0">
      <text>
        <t>Source: BLS page, 2026-10-24, https://www.bls.gov/cpi/factsheets/</t>
      </text>
    </comment>
    <comment ref="C346" authorId="0" shapeId="0">
      <text>
        <t>Source: BLS page, 2026-10-24, https://www.bls.gov/cpi/factsheets/</t>
      </text>
    </comment>
    <comment ref="D346" authorId="0" shapeId="0">
      <text>
        <t>Source: BLS page, 2026-10-24, https://www.bls.gov/cpi/factsheets/</t>
      </text>
    </comment>
    <comment ref="E346" authorId="0" shapeId="0">
      <text>
        <t>Source: BLS page, 2026-10-24, https://www.bls.gov/cpi/factsheets/</t>
      </text>
    </comment>
    <comment ref="F346" authorId="0" shapeId="0">
      <text>
        <t>Source: BLS page, 2026-10-24, https://www.bls.gov/cpi/factsheets/</t>
      </text>
    </comment>
    <comment ref="C347" authorId="0" shapeId="0">
      <text>
        <t>Source: BLS page, 2026-10-24, https://www.bls.gov/cpi/factsheets/</t>
      </text>
    </comment>
    <comment ref="D347" authorId="0" shapeId="0">
      <text>
        <t>Source: BLS page, 2026-10-24, https://www.bls.gov/cpi/factsheets/</t>
      </text>
    </comment>
    <comment ref="E347" authorId="0" shapeId="0">
      <text>
        <t>Source: BLS page, 2026-10-24, https://www.bls.gov/cpi/factsheets/</t>
      </text>
    </comment>
    <comment ref="F347" authorId="0" shapeId="0">
      <text>
        <t>Source: BLS page, 2026-10-24, https://www.bls.gov/cpi/factsheets/</t>
      </text>
    </comment>
    <comment ref="C348" authorId="0" shapeId="0">
      <text>
        <t>Source: BLS page, 2026-10-24, https://www.bls.gov/cpi/factsheets/</t>
      </text>
    </comment>
    <comment ref="D348" authorId="0" shapeId="0">
      <text>
        <t>Source: BLS page, 2026-10-24, https://www.bls.gov/cpi/factsheets/</t>
      </text>
    </comment>
    <comment ref="E348" authorId="0" shapeId="0">
      <text>
        <t>Source: BLS page, 2026-10-24, https://www.bls.gov/cpi/factsheets/</t>
      </text>
    </comment>
    <comment ref="F348" authorId="0" shapeId="0">
      <text>
        <t>Source: BLS page, 2026-10-24, https://www.bls.gov/cpi/factsheets/</t>
      </text>
    </comment>
    <comment ref="C349" authorId="0" shapeId="0">
      <text>
        <t>Source: BLS page, 2026-10-24, https://www.bls.gov/cpi/factsheets/</t>
      </text>
    </comment>
    <comment ref="D349" authorId="0" shapeId="0">
      <text>
        <t>Source: BLS page, 2026-10-24, https://www.bls.gov/cpi/factsheets/</t>
      </text>
    </comment>
    <comment ref="E349" authorId="0" shapeId="0">
      <text>
        <t>Source: BLS page, 2026-10-24, https://www.bls.gov/cpi/factsheets/</t>
      </text>
    </comment>
    <comment ref="F349" authorId="0" shapeId="0">
      <text>
        <t>Source: BLS page, 2026-10-24, https://www.bls.gov/cpi/factsheets/</t>
      </text>
    </comment>
    <comment ref="C350" authorId="0" shapeId="0">
      <text>
        <t>Source: BLS page, 2026-10-24, https://www.bls.gov/cpi/factsheets/</t>
      </text>
    </comment>
    <comment ref="D350" authorId="0" shapeId="0">
      <text>
        <t>Source: BLS page, 2026-10-24, https://www.bls.gov/cpi/factsheets/</t>
      </text>
    </comment>
    <comment ref="E350" authorId="0" shapeId="0">
      <text>
        <t>Source: BLS page, 2026-10-24, https://www.bls.gov/cpi/factsheets/</t>
      </text>
    </comment>
    <comment ref="F350" authorId="0" shapeId="0">
      <text>
        <t>Source: BLS page, 2026-10-24, https://www.bls.gov/cpi/factsheets/</t>
      </text>
    </comment>
    <comment ref="C351" authorId="0" shapeId="0">
      <text>
        <t>Source: BLS page, 2026-10-24, https://www.bls.gov/cpi/factsheets/</t>
      </text>
    </comment>
    <comment ref="D351" authorId="0" shapeId="0">
      <text>
        <t>Source: BLS page, 2026-10-24, https://www.bls.gov/cpi/factsheets/</t>
      </text>
    </comment>
    <comment ref="E351" authorId="0" shapeId="0">
      <text>
        <t>Source: BLS page, 2026-10-24, https://www.bls.gov/cpi/factsheets/</t>
      </text>
    </comment>
    <comment ref="F351" authorId="0" shapeId="0">
      <text>
        <t>Source: BLS page, 2026-10-24, https://www.bls.gov/cpi/factsheets/</t>
      </text>
    </comment>
    <comment ref="C352" authorId="0" shapeId="0">
      <text>
        <t>Source: BLS page, 2026-10-24, https://www.bls.gov/cpi/factsheets/</t>
      </text>
    </comment>
    <comment ref="D352" authorId="0" shapeId="0">
      <text>
        <t>Source: BLS page, 2026-10-24, https://www.bls.gov/cpi/factsheets/</t>
      </text>
    </comment>
    <comment ref="E352" authorId="0" shapeId="0">
      <text>
        <t>Source: BLS page, 2026-10-24, https://www.bls.gov/cpi/factsheets/</t>
      </text>
    </comment>
    <comment ref="F352" authorId="0" shapeId="0">
      <text>
        <t>Source: BLS page, 2026-10-24, https://www.bls.gov/cpi/factsheets/</t>
      </text>
    </comment>
    <comment ref="C353" authorId="0" shapeId="0">
      <text>
        <t>Source: BLS page, 2026-10-24, https://www.bls.gov/cpi/factsheets/</t>
      </text>
    </comment>
    <comment ref="D353" authorId="0" shapeId="0">
      <text>
        <t>Source: BLS page, 2026-10-24, https://www.bls.gov/cpi/factsheets/</t>
      </text>
    </comment>
    <comment ref="E353" authorId="0" shapeId="0">
      <text>
        <t>Source: BLS page, 2026-10-24, https://www.bls.gov/cpi/factsheets/</t>
      </text>
    </comment>
    <comment ref="F353" authorId="0" shapeId="0">
      <text>
        <t>Source: BLS page, 2026-10-24, https://www.bls.gov/cpi/factsheets/</t>
      </text>
    </comment>
    <comment ref="C354" authorId="0" shapeId="0">
      <text>
        <t>Source: BLS page, 2026-10-24, https://www.bls.gov/cpi/factsheets/</t>
      </text>
    </comment>
    <comment ref="D354" authorId="0" shapeId="0">
      <text>
        <t>Source: BLS page, 2026-10-24, https://www.bls.gov/cpi/factsheets/</t>
      </text>
    </comment>
    <comment ref="E354" authorId="0" shapeId="0">
      <text>
        <t>Source: BLS page, 2026-10-24, https://www.bls.gov/cpi/factsheets/</t>
      </text>
    </comment>
    <comment ref="F354" authorId="0" shapeId="0">
      <text>
        <t>Source: BLS page, 2026-10-24, https://www.bls.gov/cpi/factsheets/</t>
      </text>
    </comment>
    <comment ref="C355" authorId="0" shapeId="0">
      <text>
        <t>Source: BLS page, 2026-10-24, https://www.bls.gov/cpi/factsheets/</t>
      </text>
    </comment>
    <comment ref="D355" authorId="0" shapeId="0">
      <text>
        <t>Source: BLS page, 2026-10-24, https://www.bls.gov/cpi/factsheets/</t>
      </text>
    </comment>
    <comment ref="E355" authorId="0" shapeId="0">
      <text>
        <t>Source: BLS page, 2026-10-24, https://www.bls.gov/cpi/factsheets/</t>
      </text>
    </comment>
    <comment ref="F355" authorId="0" shapeId="0">
      <text>
        <t>Source: BLS page, 2026-10-24, https://www.bls.gov/cpi/factsheets/</t>
      </text>
    </comment>
    <comment ref="C356" authorId="0" shapeId="0">
      <text>
        <t>Source: BLS page, 2026-10-24, https://www.bls.gov/cpi/factsheets/</t>
      </text>
    </comment>
    <comment ref="D356" authorId="0" shapeId="0">
      <text>
        <t>Source: BLS page, 2026-10-24, https://www.bls.gov/cpi/factsheets/</t>
      </text>
    </comment>
    <comment ref="E356" authorId="0" shapeId="0">
      <text>
        <t>Source: BLS page, 2026-10-24, https://www.bls.gov/cpi/factsheets/</t>
      </text>
    </comment>
    <comment ref="F356" authorId="0" shapeId="0">
      <text>
        <t>Source: BLS page, 2026-10-24, https://www.bls.gov/cpi/factsheets/</t>
      </text>
    </comment>
    <comment ref="C357" authorId="0" shapeId="0">
      <text>
        <t>Source: BLS page, 2026-10-24, https://www.bls.gov/cpi/factsheets/</t>
      </text>
    </comment>
    <comment ref="D357" authorId="0" shapeId="0">
      <text>
        <t>Source: BLS page, 2026-10-24, https://www.bls.gov/cpi/factsheets/</t>
      </text>
    </comment>
    <comment ref="E357" authorId="0" shapeId="0">
      <text>
        <t>Source: BLS page, 2026-10-24, https://www.bls.gov/cpi/factsheets/</t>
      </text>
    </comment>
    <comment ref="F357" authorId="0" shapeId="0">
      <text>
        <t>Source: BLS page, 2026-10-24, https://www.bls.gov/cpi/factsheets/</t>
      </text>
    </comment>
    <comment ref="C358" authorId="0" shapeId="0">
      <text>
        <t>Source: BLS page, 2026-10-24, https://www.bls.gov/cpi/factsheets/</t>
      </text>
    </comment>
    <comment ref="D358" authorId="0" shapeId="0">
      <text>
        <t>Source: BLS page, 2026-10-24, https://www.bls.gov/cpi/factsheets/</t>
      </text>
    </comment>
    <comment ref="E358" authorId="0" shapeId="0">
      <text>
        <t>Source: BLS page, 2026-10-24, https://www.bls.gov/cpi/factsheets/</t>
      </text>
    </comment>
    <comment ref="F358" authorId="0" shapeId="0">
      <text>
        <t>Source: BLS page, 2026-10-24, https://www.bls.gov/cpi/factsheets/</t>
      </text>
    </comment>
    <comment ref="C359" authorId="0" shapeId="0">
      <text>
        <t>Source: BLS page, 2026-10-24, https://www.bls.gov/cpi/factsheets/</t>
      </text>
    </comment>
    <comment ref="D359" authorId="0" shapeId="0">
      <text>
        <t>Source: BLS page, 2026-10-24, https://www.bls.gov/cpi/factsheets/</t>
      </text>
    </comment>
    <comment ref="E359" authorId="0" shapeId="0">
      <text>
        <t>Source: BLS page, 2026-10-24, https://www.bls.gov/cpi/factsheets/</t>
      </text>
    </comment>
    <comment ref="F359" authorId="0" shapeId="0">
      <text>
        <t>Source: BLS page, 2026-10-24, https://www.bls.gov/cpi/factsheets/</t>
      </text>
    </comment>
    <comment ref="C360" authorId="0" shapeId="0">
      <text>
        <t>Source: BLS page, 2026-10-24, https://www.bls.gov/cpi/factsheets/</t>
      </text>
    </comment>
    <comment ref="D360" authorId="0" shapeId="0">
      <text>
        <t>Source: BLS page, 2026-10-24, https://www.bls.gov/cpi/factsheets/</t>
      </text>
    </comment>
    <comment ref="E360" authorId="0" shapeId="0">
      <text>
        <t>Source: BLS page, 2026-10-24, https://www.bls.gov/cpi/factsheets/</t>
      </text>
    </comment>
    <comment ref="F360" authorId="0" shapeId="0">
      <text>
        <t>Source: BLS page, 2026-10-24, https://www.bls.gov/cpi/factsheets/</t>
      </text>
    </comment>
    <comment ref="C361" authorId="0" shapeId="0">
      <text>
        <t>Source: BLS page, 2026-10-24, https://www.bls.gov/cpi/factsheets/</t>
      </text>
    </comment>
    <comment ref="D361" authorId="0" shapeId="0">
      <text>
        <t>Source: BLS page, 2026-10-24, https://www.bls.gov/cpi/factsheets/</t>
      </text>
    </comment>
    <comment ref="E361" authorId="0" shapeId="0">
      <text>
        <t>Source: BLS page, 2026-10-24, https://www.bls.gov/cpi/factsheets/</t>
      </text>
    </comment>
    <comment ref="F361" authorId="0" shapeId="0">
      <text>
        <t>Source: BLS page, 2026-10-24, https://www.bls.gov/cpi/factsheets/</t>
      </text>
    </comment>
    <comment ref="C362" authorId="0" shapeId="0">
      <text>
        <t>Source: BLS page, 2026-10-24, https://www.bls.gov/cpi/factsheets/</t>
      </text>
    </comment>
    <comment ref="D362" authorId="0" shapeId="0">
      <text>
        <t>Source: BLS page, 2026-10-24, https://www.bls.gov/cpi/factsheets/</t>
      </text>
    </comment>
    <comment ref="E362" authorId="0" shapeId="0">
      <text>
        <t>Source: BLS page, 2026-10-24, https://www.bls.gov/cpi/factsheets/</t>
      </text>
    </comment>
    <comment ref="F362" authorId="0" shapeId="0">
      <text>
        <t>Source: BLS page, 2026-10-24, https://www.bls.gov/cpi/factsheets/</t>
      </text>
    </comment>
    <comment ref="C363" authorId="0" shapeId="0">
      <text>
        <t>Source: BLS page, 2026-10-24, https://www.bls.gov/cpi/factsheets/</t>
      </text>
    </comment>
    <comment ref="D363" authorId="0" shapeId="0">
      <text>
        <t>Source: BLS page, 2026-10-24, https://www.bls.gov/cpi/factsheets/</t>
      </text>
    </comment>
    <comment ref="E363" authorId="0" shapeId="0">
      <text>
        <t>Source: BLS page, 2026-10-24, https://www.bls.gov/cpi/factsheets/</t>
      </text>
    </comment>
    <comment ref="F363" authorId="0" shapeId="0">
      <text>
        <t>Source: BLS page, 2026-10-24, https://www.bls.gov/cpi/factsheets/</t>
      </text>
    </comment>
    <comment ref="C364" authorId="0" shapeId="0">
      <text>
        <t>Source: BLS page, 2026-10-24, https://www.bls.gov/cpi/factsheets/</t>
      </text>
    </comment>
    <comment ref="D364" authorId="0" shapeId="0">
      <text>
        <t>Source: BLS page, 2026-10-24, https://www.bls.gov/cpi/factsheets/</t>
      </text>
    </comment>
    <comment ref="E364" authorId="0" shapeId="0">
      <text>
        <t>Source: BLS page, 2026-10-24, https://www.bls.gov/cpi/factsheets/</t>
      </text>
    </comment>
    <comment ref="F364" authorId="0" shapeId="0">
      <text>
        <t>Source: BLS page, 2026-10-24, https://www.bls.gov/cpi/factsheets/</t>
      </text>
    </comment>
    <comment ref="C365" authorId="0" shapeId="0">
      <text>
        <t>Source: BLS page, 2026-10-24, https://www.bls.gov/cpi/factsheets/</t>
      </text>
    </comment>
    <comment ref="D365" authorId="0" shapeId="0">
      <text>
        <t>Source: BLS page, 2026-10-24, https://www.bls.gov/cpi/factsheets/</t>
      </text>
    </comment>
    <comment ref="E365" authorId="0" shapeId="0">
      <text>
        <t>Source: BLS page, 2026-10-24, https://www.bls.gov/cpi/factsheets/</t>
      </text>
    </comment>
    <comment ref="F365" authorId="0" shapeId="0">
      <text>
        <t>Source: BLS page, 2026-10-24, https://www.bls.gov/cpi/factsheets/</t>
      </text>
    </comment>
    <comment ref="C366" authorId="0" shapeId="0">
      <text>
        <t>Source: BLS page, 2026-10-24, https://www.bls.gov/cpi/factsheets/</t>
      </text>
    </comment>
    <comment ref="D366" authorId="0" shapeId="0">
      <text>
        <t>Source: BLS page, 2026-10-24, https://www.bls.gov/cpi/factsheets/</t>
      </text>
    </comment>
    <comment ref="E366" authorId="0" shapeId="0">
      <text>
        <t>Source: BLS page, 2026-10-24, https://www.bls.gov/cpi/factsheets/</t>
      </text>
    </comment>
    <comment ref="F366" authorId="0" shapeId="0">
      <text>
        <t>Source: BLS page, 2026-10-24, https://www.bls.gov/cpi/factsheets/</t>
      </text>
    </comment>
    <comment ref="C367" authorId="0" shapeId="0">
      <text>
        <t>Source: BLS page, 2026-10-24, https://www.bls.gov/cpi/factsheets/</t>
      </text>
    </comment>
    <comment ref="D367" authorId="0" shapeId="0">
      <text>
        <t>Source: BLS page, 2026-10-24, https://www.bls.gov/cpi/factsheets/</t>
      </text>
    </comment>
    <comment ref="E367" authorId="0" shapeId="0">
      <text>
        <t>Source: BLS page, 2026-10-24, https://www.bls.gov/cpi/factsheets/</t>
      </text>
    </comment>
    <comment ref="F367" authorId="0" shapeId="0">
      <text>
        <t>Source: BLS page, 2026-10-24, https://www.bls.gov/cpi/factsheets/</t>
      </text>
    </comment>
    <comment ref="C368" authorId="0" shapeId="0">
      <text>
        <t>Source: BLS page, 2026-10-24, https://www.bls.gov/cpi/factsheets/</t>
      </text>
    </comment>
    <comment ref="D368" authorId="0" shapeId="0">
      <text>
        <t>Source: BLS page, 2026-10-24, https://www.bls.gov/cpi/factsheets/</t>
      </text>
    </comment>
    <comment ref="E368" authorId="0" shapeId="0">
      <text>
        <t>Source: BLS page, 2026-10-24, https://www.bls.gov/cpi/factsheets/</t>
      </text>
    </comment>
    <comment ref="F368" authorId="0" shapeId="0">
      <text>
        <t>Source: BLS page, 2026-10-24, https://www.bls.gov/cpi/factsheets/</t>
      </text>
    </comment>
    <comment ref="C369" authorId="0" shapeId="0">
      <text>
        <t>Source: BLS page, 2026-10-24, https://www.bls.gov/cpi/factsheets/</t>
      </text>
    </comment>
    <comment ref="D369" authorId="0" shapeId="0">
      <text>
        <t>Source: BLS page, 2026-10-24, https://www.bls.gov/cpi/factsheets/</t>
      </text>
    </comment>
    <comment ref="E369" authorId="0" shapeId="0">
      <text>
        <t>Source: BLS page, 2026-10-24, https://www.bls.gov/cpi/factsheets/</t>
      </text>
    </comment>
    <comment ref="F369" authorId="0" shapeId="0">
      <text>
        <t>Source: BLS page, 2026-10-24, https://www.bls.gov/cpi/factsheets/</t>
      </text>
    </comment>
    <comment ref="C370" authorId="0" shapeId="0">
      <text>
        <t>Source: BLS page, 2026-10-24, https://www.bls.gov/cpi/factsheets/</t>
      </text>
    </comment>
    <comment ref="D370" authorId="0" shapeId="0">
      <text>
        <t>Source: BLS page, 2026-10-24, https://www.bls.gov/cpi/factsheets/</t>
      </text>
    </comment>
    <comment ref="E370" authorId="0" shapeId="0">
      <text>
        <t>Source: BLS page, 2026-10-24, https://www.bls.gov/cpi/factsheets/</t>
      </text>
    </comment>
    <comment ref="F370" authorId="0" shapeId="0">
      <text>
        <t>Source: BLS page, 2026-10-24, https://www.bls.gov/cpi/factsheets/</t>
      </text>
    </comment>
    <comment ref="C371" authorId="0" shapeId="0">
      <text>
        <t>Source: BLS page, 2026-10-24, https://www.bls.gov/cpi/factsheets/</t>
      </text>
    </comment>
    <comment ref="D371" authorId="0" shapeId="0">
      <text>
        <t>Source: BLS page, 2026-10-24, https://www.bls.gov/cpi/factsheets/</t>
      </text>
    </comment>
    <comment ref="E371" authorId="0" shapeId="0">
      <text>
        <t>Source: BLS page, 2026-10-24, https://www.bls.gov/cpi/factsheets/</t>
      </text>
    </comment>
    <comment ref="F371" authorId="0" shapeId="0">
      <text>
        <t>Source: BLS page, 2026-10-24, https://www.bls.gov/cpi/factsheets/</t>
      </text>
    </comment>
    <comment ref="C372" authorId="0" shapeId="0">
      <text>
        <t>Source: BLS page, 2026-10-24, https://www.bls.gov/cpi/factsheets/</t>
      </text>
    </comment>
    <comment ref="D372" authorId="0" shapeId="0">
      <text>
        <t>Source: BLS page, 2026-10-24, https://www.bls.gov/cpi/factsheets/</t>
      </text>
    </comment>
    <comment ref="E372" authorId="0" shapeId="0">
      <text>
        <t>Source: BLS page, 2026-10-24, https://www.bls.gov/cpi/factsheets/</t>
      </text>
    </comment>
    <comment ref="F372" authorId="0" shapeId="0">
      <text>
        <t>Source: BLS page, 2026-10-24, https://www.bls.gov/cpi/factsheets/</t>
      </text>
    </comment>
    <comment ref="C373" authorId="0" shapeId="0">
      <text>
        <t>Source: BLS page, 2026-10-24, https://www.bls.gov/cpi/factsheets/</t>
      </text>
    </comment>
    <comment ref="D373" authorId="0" shapeId="0">
      <text>
        <t>Source: BLS page, 2026-10-24, https://www.bls.gov/cpi/factsheets/</t>
      </text>
    </comment>
    <comment ref="E373" authorId="0" shapeId="0">
      <text>
        <t>Source: BLS page, 2026-10-24, https://www.bls.gov/cpi/factsheets/</t>
      </text>
    </comment>
    <comment ref="F373" authorId="0" shapeId="0">
      <text>
        <t>Source: BLS page, 2026-10-24, https://www.bls.gov/cpi/factsheets/</t>
      </text>
    </comment>
    <comment ref="C374" authorId="0" shapeId="0">
      <text>
        <t>Source: BLS page, 2026-10-24, https://www.bls.gov/cpi/factsheets/</t>
      </text>
    </comment>
    <comment ref="D374" authorId="0" shapeId="0">
      <text>
        <t>Source: BLS page, 2026-10-24, https://www.bls.gov/cpi/factsheets/</t>
      </text>
    </comment>
    <comment ref="E374" authorId="0" shapeId="0">
      <text>
        <t>Source: BLS page, 2026-10-24, https://www.bls.gov/cpi/factsheets/</t>
      </text>
    </comment>
    <comment ref="F374" authorId="0" shapeId="0">
      <text>
        <t>Source: BLS page, 2026-10-24, https://www.bls.gov/cpi/factsheets/</t>
      </text>
    </comment>
    <comment ref="C375" authorId="0" shapeId="0">
      <text>
        <t>Source: BLS page, 2026-10-24, https://www.bls.gov/cpi/factsheets/</t>
      </text>
    </comment>
    <comment ref="D375" authorId="0" shapeId="0">
      <text>
        <t>Source: BLS page, 2026-10-24, https://www.bls.gov/cpi/factsheets/</t>
      </text>
    </comment>
    <comment ref="E375" authorId="0" shapeId="0">
      <text>
        <t>Source: BLS page, 2026-10-24, https://www.bls.gov/cpi/factsheets/</t>
      </text>
    </comment>
    <comment ref="F375" authorId="0" shapeId="0">
      <text>
        <t>Source: BLS page, 2026-10-24, https://www.bls.gov/cpi/factsheets/</t>
      </text>
    </comment>
    <comment ref="C376" authorId="0" shapeId="0">
      <text>
        <t>Source: BLS page, 2026-10-24, https://www.bls.gov/cpi/factsheets/</t>
      </text>
    </comment>
    <comment ref="D376" authorId="0" shapeId="0">
      <text>
        <t>Source: BLS page, 2026-10-24, https://www.bls.gov/cpi/factsheets/</t>
      </text>
    </comment>
    <comment ref="E376" authorId="0" shapeId="0">
      <text>
        <t>Source: BLS page, 2026-10-24, https://www.bls.gov/cpi/factsheets/</t>
      </text>
    </comment>
    <comment ref="F376" authorId="0" shapeId="0">
      <text>
        <t>Source: BLS page, 2026-10-24, https://www.bls.gov/cpi/factsheets/</t>
      </text>
    </comment>
    <comment ref="C377" authorId="0" shapeId="0">
      <text>
        <t>Source: BLS page, 2026-10-24, https://www.bls.gov/cpi/factsheets/</t>
      </text>
    </comment>
    <comment ref="D377" authorId="0" shapeId="0">
      <text>
        <t>Source: BLS page, 2026-10-24, https://www.bls.gov/cpi/factsheets/</t>
      </text>
    </comment>
    <comment ref="E377" authorId="0" shapeId="0">
      <text>
        <t>Source: BLS page, 2026-10-24, https://www.bls.gov/cpi/factsheets/</t>
      </text>
    </comment>
    <comment ref="F377" authorId="0" shapeId="0">
      <text>
        <t>Source: BLS page, 2026-10-24, https://www.bls.gov/cpi/factsheets/</t>
      </text>
    </comment>
    <comment ref="C378" authorId="0" shapeId="0">
      <text>
        <t>Source: BLS page, 2026-10-24, https://www.bls.gov/cpi/factsheets/</t>
      </text>
    </comment>
    <comment ref="D378" authorId="0" shapeId="0">
      <text>
        <t>Source: BLS page, 2026-10-24, https://www.bls.gov/cpi/factsheets/</t>
      </text>
    </comment>
    <comment ref="E378" authorId="0" shapeId="0">
      <text>
        <t>Source: BLS page, 2026-10-24, https://www.bls.gov/cpi/factsheets/</t>
      </text>
    </comment>
    <comment ref="F378" authorId="0" shapeId="0">
      <text>
        <t>Source: BLS page, 2026-10-24, https://www.bls.gov/cpi/factsheets/</t>
      </text>
    </comment>
    <comment ref="C379" authorId="0" shapeId="0">
      <text>
        <t>Source: BLS page, 2026-10-24, https://www.bls.gov/cpi/factsheets/</t>
      </text>
    </comment>
    <comment ref="D379" authorId="0" shapeId="0">
      <text>
        <t>Source: BLS page, 2026-10-24, https://www.bls.gov/cpi/factsheets/</t>
      </text>
    </comment>
    <comment ref="E379" authorId="0" shapeId="0">
      <text>
        <t>Source: BLS page, 2026-10-24, https://www.bls.gov/cpi/factsheets/</t>
      </text>
    </comment>
    <comment ref="F379" authorId="0" shapeId="0">
      <text>
        <t>Source: BLS page, 2026-10-24, https://www.bls.gov/cpi/factsheets/</t>
      </text>
    </comment>
    <comment ref="C380" authorId="0" shapeId="0">
      <text>
        <t>Source: BLS page, 2026-10-24, https://www.bls.gov/cpi/factsheets/</t>
      </text>
    </comment>
    <comment ref="D380" authorId="0" shapeId="0">
      <text>
        <t>Source: BLS page, 2026-10-24, https://www.bls.gov/cpi/factsheets/</t>
      </text>
    </comment>
    <comment ref="E380" authorId="0" shapeId="0">
      <text>
        <t>Source: BLS page, 2026-10-24, https://www.bls.gov/cpi/factsheets/</t>
      </text>
    </comment>
    <comment ref="F380" authorId="0" shapeId="0">
      <text>
        <t>Source: BLS page, 2026-10-24, https://www.bls.gov/cpi/factsheets/</t>
      </text>
    </comment>
    <comment ref="C381" authorId="0" shapeId="0">
      <text>
        <t>Source: BLS page, 2026-10-24, https://www.bls.gov/cpi/factsheets/</t>
      </text>
    </comment>
    <comment ref="D381" authorId="0" shapeId="0">
      <text>
        <t>Source: BLS page, 2026-10-24, https://www.bls.gov/cpi/factsheets/</t>
      </text>
    </comment>
    <comment ref="E381" authorId="0" shapeId="0">
      <text>
        <t>Source: BLS page, 2026-10-24, https://www.bls.gov/cpi/factsheets/</t>
      </text>
    </comment>
    <comment ref="F381" authorId="0" shapeId="0">
      <text>
        <t>Source: BLS page, 2026-10-24, https://www.bls.gov/cpi/factsheets/</t>
      </text>
    </comment>
    <comment ref="C382" authorId="0" shapeId="0">
      <text>
        <t>Source: BLS page, 2026-10-24, https://www.bls.gov/cpi/factsheets/</t>
      </text>
    </comment>
    <comment ref="D382" authorId="0" shapeId="0">
      <text>
        <t>Source: BLS page, 2026-10-24, https://www.bls.gov/cpi/factsheets/</t>
      </text>
    </comment>
    <comment ref="E382" authorId="0" shapeId="0">
      <text>
        <t>Source: BLS page, 2026-10-24, https://www.bls.gov/cpi/factsheets/</t>
      </text>
    </comment>
    <comment ref="F382" authorId="0" shapeId="0">
      <text>
        <t>Source: BLS page, 2026-10-24, https://www.bls.gov/cpi/factsheets/</t>
      </text>
    </comment>
    <comment ref="C383" authorId="0" shapeId="0">
      <text>
        <t>Source: BLS page, 2026-10-24, https://www.bls.gov/cpi/factsheets/</t>
      </text>
    </comment>
    <comment ref="D383" authorId="0" shapeId="0">
      <text>
        <t>Source: BLS page, 2026-10-24, https://www.bls.gov/cpi/factsheets/</t>
      </text>
    </comment>
    <comment ref="E383" authorId="0" shapeId="0">
      <text>
        <t>Source: BLS page, 2026-10-24, https://www.bls.gov/cpi/factsheets/</t>
      </text>
    </comment>
    <comment ref="F383" authorId="0" shapeId="0">
      <text>
        <t>Source: BLS page, 2026-10-24, https://www.bls.gov/cpi/factsheets/</t>
      </text>
    </comment>
    <comment ref="C384" authorId="0" shapeId="0">
      <text>
        <t>Source: BLS page, 2026-10-24, https://www.bls.gov/cpi/factsheets/</t>
      </text>
    </comment>
    <comment ref="D384" authorId="0" shapeId="0">
      <text>
        <t>Source: BLS page, 2026-10-24, https://www.bls.gov/cpi/factsheets/</t>
      </text>
    </comment>
    <comment ref="E384" authorId="0" shapeId="0">
      <text>
        <t>Source: BLS page, 2026-10-24, https://www.bls.gov/cpi/factsheets/</t>
      </text>
    </comment>
    <comment ref="F384" authorId="0" shapeId="0">
      <text>
        <t>Source: BLS page, 2026-10-24, https://www.bls.gov/cpi/factsheets/</t>
      </text>
    </comment>
    <comment ref="C385" authorId="0" shapeId="0">
      <text>
        <t>Source: BLS page, 2026-10-24, https://www.bls.gov/cpi/factsheets/</t>
      </text>
    </comment>
    <comment ref="D385" authorId="0" shapeId="0">
      <text>
        <t>Source: BLS page, 2026-10-24, https://www.bls.gov/cpi/factsheets/</t>
      </text>
    </comment>
    <comment ref="E385" authorId="0" shapeId="0">
      <text>
        <t>Source: BLS page, 2026-10-24, https://www.bls.gov/cpi/factsheets/</t>
      </text>
    </comment>
    <comment ref="F385" authorId="0" shapeId="0">
      <text>
        <t>Source: BLS page, 2026-10-24, https://www.bls.gov/cpi/factsheets/</t>
      </text>
    </comment>
    <comment ref="C386" authorId="0" shapeId="0">
      <text>
        <t>Source: BLS page, 2026-10-24, https://www.bls.gov/cpi/factsheets/</t>
      </text>
    </comment>
    <comment ref="D386" authorId="0" shapeId="0">
      <text>
        <t>Source: BLS page, 2026-10-24, https://www.bls.gov/cpi/factsheets/</t>
      </text>
    </comment>
    <comment ref="E386" authorId="0" shapeId="0">
      <text>
        <t>Source: BLS page, 2026-10-24, https://www.bls.gov/cpi/factsheets/</t>
      </text>
    </comment>
    <comment ref="F386" authorId="0" shapeId="0">
      <text>
        <t>Source: BLS page, 2026-10-24, https://www.bls.gov/cpi/factsheets/</t>
      </text>
    </comment>
    <comment ref="C387" authorId="0" shapeId="0">
      <text>
        <t>Source: BLS page, 2026-10-24, https://www.bls.gov/cpi/factsheets/</t>
      </text>
    </comment>
    <comment ref="D387" authorId="0" shapeId="0">
      <text>
        <t>Source: BLS page, 2026-10-24, https://www.bls.gov/cpi/factsheets/</t>
      </text>
    </comment>
    <comment ref="E387" authorId="0" shapeId="0">
      <text>
        <t>Source: BLS page, 2026-10-24, https://www.bls.gov/cpi/factsheets/</t>
      </text>
    </comment>
    <comment ref="F387" authorId="0" shapeId="0">
      <text>
        <t>Source: BLS page, 2026-10-24, https://www.bls.gov/cpi/factsheets/</t>
      </text>
    </comment>
    <comment ref="C388" authorId="0" shapeId="0">
      <text>
        <t>Source: BLS page, 2026-10-24, https://www.bls.gov/cpi/factsheets/</t>
      </text>
    </comment>
    <comment ref="D388" authorId="0" shapeId="0">
      <text>
        <t>Source: BLS page, 2026-10-24, https://www.bls.gov/cpi/factsheets/</t>
      </text>
    </comment>
    <comment ref="E388" authorId="0" shapeId="0">
      <text>
        <t>Source: BLS page, 2026-10-24, https://www.bls.gov/cpi/factsheets/</t>
      </text>
    </comment>
    <comment ref="F388" authorId="0" shapeId="0">
      <text>
        <t>Source: BLS page, 2026-10-24, https://www.bls.gov/cpi/factsheets/</t>
      </text>
    </comment>
    <comment ref="C389" authorId="0" shapeId="0">
      <text>
        <t>Source: BLS page, 2026-10-24, https://www.bls.gov/cpi/factsheets/</t>
      </text>
    </comment>
    <comment ref="D389" authorId="0" shapeId="0">
      <text>
        <t>Source: BLS page, 2026-10-24, https://www.bls.gov/cpi/factsheets/</t>
      </text>
    </comment>
    <comment ref="E389" authorId="0" shapeId="0">
      <text>
        <t>Source: BLS page, 2026-10-24, https://www.bls.gov/cpi/factsheets/</t>
      </text>
    </comment>
    <comment ref="F389" authorId="0" shapeId="0">
      <text>
        <t>Source: BLS page, 2026-10-24, https://www.bls.gov/cpi/factsheets/</t>
      </text>
    </comment>
    <comment ref="C390" authorId="0" shapeId="0">
      <text>
        <t>Source: BLS page, 2026-10-24, https://www.bls.gov/cpi/factsheets/</t>
      </text>
    </comment>
    <comment ref="D390" authorId="0" shapeId="0">
      <text>
        <t>Source: BLS page, 2026-10-24, https://www.bls.gov/cpi/factsheets/</t>
      </text>
    </comment>
    <comment ref="E390" authorId="0" shapeId="0">
      <text>
        <t>Source: BLS page, 2026-10-24, https://www.bls.gov/cpi/factsheets/</t>
      </text>
    </comment>
    <comment ref="F390" authorId="0" shapeId="0">
      <text>
        <t>Source: BLS page, 2026-10-24, https://www.bls.gov/cpi/factsheets/</t>
      </text>
    </comment>
    <comment ref="C391" authorId="0" shapeId="0">
      <text>
        <t>Source: BLS page, 2026-10-24, https://www.bls.gov/cpi/factsheets/</t>
      </text>
    </comment>
    <comment ref="D391" authorId="0" shapeId="0">
      <text>
        <t>Source: BLS page, 2026-10-24, https://www.bls.gov/cpi/factsheets/</t>
      </text>
    </comment>
    <comment ref="E391" authorId="0" shapeId="0">
      <text>
        <t>Source: BLS page, 2026-10-24, https://www.bls.gov/cpi/factsheets/</t>
      </text>
    </comment>
    <comment ref="F391" authorId="0" shapeId="0">
      <text>
        <t>Source: BLS page, 2026-10-24, https://www.bls.gov/cpi/factsheets/</t>
      </text>
    </comment>
    <comment ref="C392" authorId="0" shapeId="0">
      <text>
        <t>Source: BLS page, 2026-10-24, https://www.bls.gov/cpi/factsheets/</t>
      </text>
    </comment>
    <comment ref="D392" authorId="0" shapeId="0">
      <text>
        <t>Source: BLS page, 2026-10-24, https://www.bls.gov/cpi/factsheets/</t>
      </text>
    </comment>
    <comment ref="E392" authorId="0" shapeId="0">
      <text>
        <t>Source: BLS page, 2026-10-24, https://www.bls.gov/cpi/factsheets/</t>
      </text>
    </comment>
    <comment ref="F392" authorId="0" shapeId="0">
      <text>
        <t>Source: BLS page, 2026-10-24, https://www.bls.gov/cpi/factsheets/</t>
      </text>
    </comment>
    <comment ref="C393" authorId="0" shapeId="0">
      <text>
        <t>Source: BLS page, 2026-10-24, https://www.bls.gov/cpi/factsheets/</t>
      </text>
    </comment>
    <comment ref="D393" authorId="0" shapeId="0">
      <text>
        <t>Source: BLS page, 2026-10-24, https://www.bls.gov/cpi/factsheets/</t>
      </text>
    </comment>
    <comment ref="E393" authorId="0" shapeId="0">
      <text>
        <t>Source: BLS page, 2026-10-24, https://www.bls.gov/cpi/factsheets/</t>
      </text>
    </comment>
    <comment ref="F393" authorId="0" shapeId="0">
      <text>
        <t>Source: BLS page, 2026-10-24, https://www.bls.gov/cpi/factsheets/</t>
      </text>
    </comment>
    <comment ref="C394" authorId="0" shapeId="0">
      <text>
        <t>Source: BLS page, 2026-10-24, https://www.bls.gov/cpi/factsheets/</t>
      </text>
    </comment>
    <comment ref="D394" authorId="0" shapeId="0">
      <text>
        <t>Source: BLS page, 2026-10-24, https://www.bls.gov/cpi/factsheets/</t>
      </text>
    </comment>
    <comment ref="E394" authorId="0" shapeId="0">
      <text>
        <t>Source: BLS page, 2026-10-24, https://www.bls.gov/cpi/factsheets/</t>
      </text>
    </comment>
    <comment ref="F394" authorId="0" shapeId="0">
      <text>
        <t>Source: BLS page, 2026-10-24, https://www.bls.gov/cpi/factsheets/</t>
      </text>
    </comment>
    <comment ref="C395" authorId="0" shapeId="0">
      <text>
        <t>Source: BLS page, 2026-10-24, https://www.bls.gov/cpi/factsheets/</t>
      </text>
    </comment>
    <comment ref="D395" authorId="0" shapeId="0">
      <text>
        <t>Source: BLS page, 2026-10-24, https://www.bls.gov/cpi/factsheets/</t>
      </text>
    </comment>
    <comment ref="E395" authorId="0" shapeId="0">
      <text>
        <t>Source: BLS page, 2026-10-24, https://www.bls.gov/cpi/factsheets/</t>
      </text>
    </comment>
    <comment ref="F395" authorId="0" shapeId="0">
      <text>
        <t>Source: BLS page, 2026-10-24, https://www.bls.gov/cpi/factsheets/</t>
      </text>
    </comment>
    <comment ref="C396" authorId="0" shapeId="0">
      <text>
        <t>Source: BLS page, 2026-10-24, https://www.bls.gov/cpi/factsheets/</t>
      </text>
    </comment>
    <comment ref="D396" authorId="0" shapeId="0">
      <text>
        <t>Source: BLS page, 2026-10-24, https://www.bls.gov/cpi/factsheets/</t>
      </text>
    </comment>
    <comment ref="E396" authorId="0" shapeId="0">
      <text>
        <t>Source: BLS page, 2026-10-24, https://www.bls.gov/cpi/factsheets/</t>
      </text>
    </comment>
    <comment ref="F396" authorId="0" shapeId="0">
      <text>
        <t>Source: BLS page, 2026-10-24, https://www.bls.gov/cpi/factsheets/</t>
      </text>
    </comment>
    <comment ref="C397" authorId="0" shapeId="0">
      <text>
        <t>Source: BLS page, 2026-10-24, https://www.bls.gov/cpi/factsheets/</t>
      </text>
    </comment>
    <comment ref="D397" authorId="0" shapeId="0">
      <text>
        <t>Source: BLS page, 2026-10-24, https://www.bls.gov/cpi/factsheets/</t>
      </text>
    </comment>
    <comment ref="E397" authorId="0" shapeId="0">
      <text>
        <t>Source: BLS page, 2026-10-24, https://www.bls.gov/cpi/factsheets/</t>
      </text>
    </comment>
    <comment ref="F397" authorId="0" shapeId="0">
      <text>
        <t>Source: BLS page, 2026-10-24, https://www.bls.gov/cpi/factsheets/</t>
      </text>
    </comment>
    <comment ref="C398" authorId="0" shapeId="0">
      <text>
        <t>Source: BLS page, 2026-10-24, https://www.bls.gov/cpi/factsheets/</t>
      </text>
    </comment>
    <comment ref="D398" authorId="0" shapeId="0">
      <text>
        <t>Source: BLS page, 2026-10-24, https://www.bls.gov/cpi/factsheets/</t>
      </text>
    </comment>
    <comment ref="E398" authorId="0" shapeId="0">
      <text>
        <t>Source: BLS page, 2026-10-24, https://www.bls.gov/cpi/factsheets/</t>
      </text>
    </comment>
    <comment ref="F398" authorId="0" shapeId="0">
      <text>
        <t>Source: BLS page, 2026-10-24, https://www.bls.gov/cpi/factsheets/</t>
      </text>
    </comment>
    <comment ref="C399" authorId="0" shapeId="0">
      <text>
        <t>Source: BLS page, 2026-10-24, https://www.bls.gov/cpi/factsheets/</t>
      </text>
    </comment>
    <comment ref="D399" authorId="0" shapeId="0">
      <text>
        <t>Source: BLS page, 2026-10-24, https://www.bls.gov/cpi/factsheets/</t>
      </text>
    </comment>
    <comment ref="E399" authorId="0" shapeId="0">
      <text>
        <t>Source: BLS page, 2026-10-24, https://www.bls.gov/cpi/factsheets/</t>
      </text>
    </comment>
    <comment ref="F399" authorId="0" shapeId="0">
      <text>
        <t>Source: BLS page, 2026-10-24, https://www.bls.gov/cpi/factsheets/</t>
      </text>
    </comment>
    <comment ref="C400" authorId="0" shapeId="0">
      <text>
        <t>Source: BLS page, 2026-10-24, https://www.bls.gov/cpi/factsheets/</t>
      </text>
    </comment>
    <comment ref="D400" authorId="0" shapeId="0">
      <text>
        <t>Source: BLS page, 2026-10-24, https://www.bls.gov/cpi/factsheets/</t>
      </text>
    </comment>
    <comment ref="E400" authorId="0" shapeId="0">
      <text>
        <t>Source: BLS page, 2026-10-24, https://www.bls.gov/cpi/factsheets/</t>
      </text>
    </comment>
    <comment ref="F400" authorId="0" shapeId="0">
      <text>
        <t>Source: BLS page, 2026-10-24, https://www.bls.gov/cpi/factsheets/</t>
      </text>
    </comment>
    <comment ref="C401" authorId="0" shapeId="0">
      <text>
        <t>Source: BLS page, 2026-10-24, https://www.bls.gov/cpi/factsheets/</t>
      </text>
    </comment>
    <comment ref="D401" authorId="0" shapeId="0">
      <text>
        <t>Source: BLS page, 2026-10-24, https://www.bls.gov/cpi/factsheets/</t>
      </text>
    </comment>
    <comment ref="E401" authorId="0" shapeId="0">
      <text>
        <t>Source: BLS page, 2026-10-24, https://www.bls.gov/cpi/factsheets/</t>
      </text>
    </comment>
    <comment ref="F401" authorId="0" shapeId="0">
      <text>
        <t>Source: BLS page, 2026-10-24, https://www.bls.gov/cpi/factsheets/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2" authorId="0" shapeId="0">
      <text>
        <t>Source: BLS page, 2025-12-01, https://www.bls.gov/web/cpi/cpi-relative-importance.xlsx</t>
      </text>
    </comment>
    <comment ref="E2" authorId="0" shapeId="0">
      <text>
        <t>Source: BLS page, 2025-12-01, https://www.bls.gov/web/cpi/cpi-relative-importance.xlsx</t>
      </text>
    </comment>
    <comment ref="F2" authorId="0" shapeId="0">
      <text>
        <t>Source: BLS page, 2025-12-01, https://www.bls.gov/cpi/tables/relative-importance/</t>
      </text>
    </comment>
    <comment ref="D3" authorId="0" shapeId="0">
      <text>
        <t>Source: BLS page, 2025-12-01, https://www.bls.gov/web/cpi/cpi-relative-importance.xlsx</t>
      </text>
    </comment>
    <comment ref="E3" authorId="0" shapeId="0">
      <text>
        <t>Source: BLS page, 2025-12-01, https://www.bls.gov/web/cpi/cpi-relative-importance.xlsx</t>
      </text>
    </comment>
    <comment ref="F3" authorId="0" shapeId="0">
      <text>
        <t>Source: BLS page, 2025-12-01, https://www.bls.gov/cpi/tables/relative-importance/</t>
      </text>
    </comment>
    <comment ref="D4" authorId="0" shapeId="0">
      <text>
        <t>Source: BLS page, 2025-12-01, https://www.bls.gov/web/cpi/cpi-relative-importance.xlsx</t>
      </text>
    </comment>
    <comment ref="E4" authorId="0" shapeId="0">
      <text>
        <t>Source: BLS page, 2025-12-01, https://www.bls.gov/web/cpi/cpi-relative-importance.xlsx</t>
      </text>
    </comment>
    <comment ref="F4" authorId="0" shapeId="0">
      <text>
        <t>Source: BLS page, 2025-12-01, https://www.bls.gov/cpi/tables/relative-importance/</t>
      </text>
    </comment>
    <comment ref="D5" authorId="0" shapeId="0">
      <text>
        <t>Source: BLS page, 2025-12-01, https://www.bls.gov/web/cpi/cpi-relative-importance.xlsx</t>
      </text>
    </comment>
    <comment ref="E5" authorId="0" shapeId="0">
      <text>
        <t>Source: BLS page, 2025-12-01, https://www.bls.gov/web/cpi/cpi-relative-importance.xlsx</t>
      </text>
    </comment>
    <comment ref="F5" authorId="0" shapeId="0">
      <text>
        <t>Source: BLS page, 2025-12-01, https://www.bls.gov/cpi/tables/relative-importance/</t>
      </text>
    </comment>
    <comment ref="D6" authorId="0" shapeId="0">
      <text>
        <t>Source: BLS page, 2025-12-01, https://www.bls.gov/web/cpi/cpi-relative-importance.xlsx</t>
      </text>
    </comment>
    <comment ref="E6" authorId="0" shapeId="0">
      <text>
        <t>Source: BLS page, 2025-12-01, https://www.bls.gov/web/cpi/cpi-relative-importance.xlsx</t>
      </text>
    </comment>
    <comment ref="F6" authorId="0" shapeId="0">
      <text>
        <t>Source: BLS page, 2025-12-01, https://www.bls.gov/cpi/tables/relative-importance/</t>
      </text>
    </comment>
    <comment ref="D7" authorId="0" shapeId="0">
      <text>
        <t>Source: BLS page, 2025-12-01, https://www.bls.gov/web/cpi/cpi-relative-importance.xlsx</t>
      </text>
    </comment>
    <comment ref="E7" authorId="0" shapeId="0">
      <text>
        <t>Source: BLS page, 2025-12-01, https://www.bls.gov/web/cpi/cpi-relative-importance.xlsx</t>
      </text>
    </comment>
    <comment ref="F7" authorId="0" shapeId="0">
      <text>
        <t>Source: BLS page, 2025-12-01, https://www.bls.gov/cpi/tables/relative-importance/</t>
      </text>
    </comment>
    <comment ref="D8" authorId="0" shapeId="0">
      <text>
        <t>Source: BLS page, 2025-12-01, https://www.bls.gov/web/cpi/cpi-relative-importance.xlsx</t>
      </text>
    </comment>
    <comment ref="E8" authorId="0" shapeId="0">
      <text>
        <t>Source: BLS page, 2025-12-01, https://www.bls.gov/web/cpi/cpi-relative-importance.xlsx</t>
      </text>
    </comment>
    <comment ref="F8" authorId="0" shapeId="0">
      <text>
        <t>Source: BLS page, 2025-12-01, https://www.bls.gov/cpi/tables/relative-importance/</t>
      </text>
    </comment>
    <comment ref="D9" authorId="0" shapeId="0">
      <text>
        <t>Source: BLS page, 2025-12-01, https://www.bls.gov/web/cpi/cpi-relative-importance.xlsx</t>
      </text>
    </comment>
    <comment ref="E9" authorId="0" shapeId="0">
      <text>
        <t>Source: BLS page, 2025-12-01, https://www.bls.gov/web/cpi/cpi-relative-importance.xlsx</t>
      </text>
    </comment>
    <comment ref="F9" authorId="0" shapeId="0">
      <text>
        <t>Source: BLS page, 2025-12-01, https://www.bls.gov/cpi/tables/relative-importance/</t>
      </text>
    </comment>
    <comment ref="D10" authorId="0" shapeId="0">
      <text>
        <t>Source: BLS page, 2025-12-01, https://www.bls.gov/web/cpi/cpi-relative-importance.xlsx</t>
      </text>
    </comment>
    <comment ref="E10" authorId="0" shapeId="0">
      <text>
        <t>Source: BLS page, 2025-12-01, https://www.bls.gov/web/cpi/cpi-relative-importance.xlsx</t>
      </text>
    </comment>
    <comment ref="F10" authorId="0" shapeId="0">
      <text>
        <t>Source: BLS page, 2025-12-01, https://www.bls.gov/cpi/tables/relative-importance/</t>
      </text>
    </comment>
    <comment ref="D11" authorId="0" shapeId="0">
      <text>
        <t>Source: BLS page, 2025-12-01, https://www.bls.gov/web/cpi/cpi-relative-importance.xlsx</t>
      </text>
    </comment>
    <comment ref="E11" authorId="0" shapeId="0">
      <text>
        <t>Source: BLS page, 2025-12-01, https://www.bls.gov/web/cpi/cpi-relative-importance.xlsx</t>
      </text>
    </comment>
    <comment ref="F11" authorId="0" shapeId="0">
      <text>
        <t>Source: BLS page, 2025-12-01, https://www.bls.gov/cpi/tables/relative-importance/</t>
      </text>
    </comment>
    <comment ref="D12" authorId="0" shapeId="0">
      <text>
        <t>Source: BLS page, 2025-12-01, https://www.bls.gov/web/cpi/cpi-relative-importance.xlsx</t>
      </text>
    </comment>
    <comment ref="E12" authorId="0" shapeId="0">
      <text>
        <t>Source: BLS page, 2025-12-01, https://www.bls.gov/web/cpi/cpi-relative-importance.xlsx</t>
      </text>
    </comment>
    <comment ref="F12" authorId="0" shapeId="0">
      <text>
        <t>Source: BLS page, 2025-12-01, https://www.bls.gov/cpi/tables/relative-importance/</t>
      </text>
    </comment>
    <comment ref="D13" authorId="0" shapeId="0">
      <text>
        <t>Source: BLS page, 2025-12-01, https://www.bls.gov/web/cpi/cpi-relative-importance.xlsx</t>
      </text>
    </comment>
    <comment ref="E13" authorId="0" shapeId="0">
      <text>
        <t>Source: BLS page, 2025-12-01, https://www.bls.gov/web/cpi/cpi-relative-importance.xlsx</t>
      </text>
    </comment>
    <comment ref="F13" authorId="0" shapeId="0">
      <text>
        <t>Source: BLS page, 2025-12-01, https://www.bls.gov/cpi/tables/relative-importance/</t>
      </text>
    </comment>
    <comment ref="D14" authorId="0" shapeId="0">
      <text>
        <t>Source: BLS page, 2025-12-01, https://www.bls.gov/web/cpi/cpi-relative-importance.xlsx</t>
      </text>
    </comment>
    <comment ref="E14" authorId="0" shapeId="0">
      <text>
        <t>Source: BLS page, 2025-12-01, https://www.bls.gov/web/cpi/cpi-relative-importance.xlsx</t>
      </text>
    </comment>
    <comment ref="F14" authorId="0" shapeId="0">
      <text>
        <t>Source: BLS page, 2025-12-01, https://www.bls.gov/cpi/tables/relative-importance/</t>
      </text>
    </comment>
    <comment ref="D15" authorId="0" shapeId="0">
      <text>
        <t>Source: BLS page, 2025-12-01, https://www.bls.gov/web/cpi/cpi-relative-importance.xlsx</t>
      </text>
    </comment>
    <comment ref="E15" authorId="0" shapeId="0">
      <text>
        <t>Source: BLS page, 2025-12-01, https://www.bls.gov/web/cpi/cpi-relative-importance.xlsx</t>
      </text>
    </comment>
    <comment ref="F15" authorId="0" shapeId="0">
      <text>
        <t>Source: BLS page, 2025-12-01, https://www.bls.gov/cpi/tables/relative-importance/</t>
      </text>
    </comment>
    <comment ref="D16" authorId="0" shapeId="0">
      <text>
        <t>Source: BLS page, 2025-12-01, https://www.bls.gov/web/cpi/cpi-relative-importance.xlsx</t>
      </text>
    </comment>
    <comment ref="E16" authorId="0" shapeId="0">
      <text>
        <t>Source: BLS page, 2025-12-01, https://www.bls.gov/web/cpi/cpi-relative-importance.xlsx</t>
      </text>
    </comment>
    <comment ref="F16" authorId="0" shapeId="0">
      <text>
        <t>Source: BLS page, 2025-12-01, https://www.bls.gov/cpi/tables/relative-importance/</t>
      </text>
    </comment>
    <comment ref="D17" authorId="0" shapeId="0">
      <text>
        <t>Source: BLS page, 2025-12-01, https://www.bls.gov/web/cpi/cpi-relative-importance.xlsx</t>
      </text>
    </comment>
    <comment ref="E17" authorId="0" shapeId="0">
      <text>
        <t>Source: BLS page, 2025-12-01, https://www.bls.gov/web/cpi/cpi-relative-importance.xlsx</t>
      </text>
    </comment>
    <comment ref="F17" authorId="0" shapeId="0">
      <text>
        <t>Source: BLS page, 2025-12-01, https://www.bls.gov/cpi/tables/relative-importance/</t>
      </text>
    </comment>
    <comment ref="D18" authorId="0" shapeId="0">
      <text>
        <t>Source: BLS page, 2025-12-01, https://www.bls.gov/web/cpi/cpi-relative-importance.xlsx</t>
      </text>
    </comment>
    <comment ref="E18" authorId="0" shapeId="0">
      <text>
        <t>Source: BLS page, 2025-12-01, https://www.bls.gov/web/cpi/cpi-relative-importance.xlsx</t>
      </text>
    </comment>
    <comment ref="F18" authorId="0" shapeId="0">
      <text>
        <t>Source: BLS page, 2025-12-01, https://www.bls.gov/cpi/tables/relative-importance/</t>
      </text>
    </comment>
    <comment ref="D19" authorId="0" shapeId="0">
      <text>
        <t>Source: BLS page, 2025-12-01, https://www.bls.gov/web/cpi/cpi-relative-importance.xlsx</t>
      </text>
    </comment>
    <comment ref="E19" authorId="0" shapeId="0">
      <text>
        <t>Source: BLS page, 2025-12-01, https://www.bls.gov/web/cpi/cpi-relative-importance.xlsx</t>
      </text>
    </comment>
    <comment ref="F19" authorId="0" shapeId="0">
      <text>
        <t>Source: BLS page, 2025-12-01, https://www.bls.gov/cpi/tables/relative-importance/</t>
      </text>
    </comment>
    <comment ref="D20" authorId="0" shapeId="0">
      <text>
        <t>Source: BLS page, 2025-12-01, https://www.bls.gov/web/cpi/cpi-relative-importance.xlsx</t>
      </text>
    </comment>
    <comment ref="E20" authorId="0" shapeId="0">
      <text>
        <t>Source: BLS page, 2025-12-01, https://www.bls.gov/web/cpi/cpi-relative-importance.xlsx</t>
      </text>
    </comment>
    <comment ref="F20" authorId="0" shapeId="0">
      <text>
        <t>Source: BLS page, 2025-12-01, https://www.bls.gov/cpi/tables/relative-importance/</t>
      </text>
    </comment>
    <comment ref="D21" authorId="0" shapeId="0">
      <text>
        <t>Source: BLS page, 2025-12-01, https://www.bls.gov/web/cpi/cpi-relative-importance.xlsx</t>
      </text>
    </comment>
    <comment ref="E21" authorId="0" shapeId="0">
      <text>
        <t>Source: BLS page, 2025-12-01, https://www.bls.gov/web/cpi/cpi-relative-importance.xlsx</t>
      </text>
    </comment>
    <comment ref="F21" authorId="0" shapeId="0">
      <text>
        <t>Source: BLS page, 2025-12-01, https://www.bls.gov/cpi/tables/relative-importance/</t>
      </text>
    </comment>
    <comment ref="D22" authorId="0" shapeId="0">
      <text>
        <t>Source: BLS page, 2025-12-01, https://www.bls.gov/web/cpi/cpi-relative-importance.xlsx</t>
      </text>
    </comment>
    <comment ref="E22" authorId="0" shapeId="0">
      <text>
        <t>Source: BLS page, 2025-12-01, https://www.bls.gov/web/cpi/cpi-relative-importance.xlsx</t>
      </text>
    </comment>
    <comment ref="F22" authorId="0" shapeId="0">
      <text>
        <t>Source: BLS page, 2025-12-01, https://www.bls.gov/cpi/tables/relative-importance/</t>
      </text>
    </comment>
    <comment ref="D23" authorId="0" shapeId="0">
      <text>
        <t>Source: BLS page, 2025-12-01, https://www.bls.gov/web/cpi/cpi-relative-importance.xlsx</t>
      </text>
    </comment>
    <comment ref="E23" authorId="0" shapeId="0">
      <text>
        <t>Source: BLS page, 2025-12-01, https://www.bls.gov/web/cpi/cpi-relative-importance.xlsx</t>
      </text>
    </comment>
    <comment ref="F23" authorId="0" shapeId="0">
      <text>
        <t>Source: BLS page, 2025-12-01, https://www.bls.gov/cpi/tables/relative-importance/</t>
      </text>
    </comment>
    <comment ref="D24" authorId="0" shapeId="0">
      <text>
        <t>Source: BLS page, 2025-12-01, https://www.bls.gov/web/cpi/cpi-relative-importance.xlsx</t>
      </text>
    </comment>
    <comment ref="E24" authorId="0" shapeId="0">
      <text>
        <t>Source: BLS page, 2025-12-01, https://www.bls.gov/web/cpi/cpi-relative-importance.xlsx</t>
      </text>
    </comment>
    <comment ref="F24" authorId="0" shapeId="0">
      <text>
        <t>Source: BLS page, 2025-12-01, https://www.bls.gov/cpi/tables/relative-importance/</t>
      </text>
    </comment>
    <comment ref="D25" authorId="0" shapeId="0">
      <text>
        <t>Source: BLS page, 2025-12-01, https://www.bls.gov/web/cpi/cpi-relative-importance.xlsx</t>
      </text>
    </comment>
    <comment ref="E25" authorId="0" shapeId="0">
      <text>
        <t>Source: BLS page, 2025-12-01, https://www.bls.gov/web/cpi/cpi-relative-importance.xlsx</t>
      </text>
    </comment>
    <comment ref="F25" authorId="0" shapeId="0">
      <text>
        <t>Source: BLS page, 2025-12-01, https://www.bls.gov/cpi/tables/relative-importance/</t>
      </text>
    </comment>
    <comment ref="D26" authorId="0" shapeId="0">
      <text>
        <t>Source: BLS page, 2025-12-01, https://www.bls.gov/web/cpi/cpi-relative-importance.xlsx</t>
      </text>
    </comment>
    <comment ref="E26" authorId="0" shapeId="0">
      <text>
        <t>Source: BLS page, 2025-12-01, https://www.bls.gov/web/cpi/cpi-relative-importance.xlsx</t>
      </text>
    </comment>
    <comment ref="F26" authorId="0" shapeId="0">
      <text>
        <t>Source: BLS page, 2025-12-01, https://www.bls.gov/cpi/tables/relative-importance/</t>
      </text>
    </comment>
    <comment ref="D27" authorId="0" shapeId="0">
      <text>
        <t>Source: BLS page, 2025-12-01, https://www.bls.gov/web/cpi/cpi-relative-importance.xlsx</t>
      </text>
    </comment>
    <comment ref="E27" authorId="0" shapeId="0">
      <text>
        <t>Source: BLS page, 2025-12-01, https://www.bls.gov/web/cpi/cpi-relative-importance.xlsx</t>
      </text>
    </comment>
    <comment ref="F27" authorId="0" shapeId="0">
      <text>
        <t>Source: BLS page, 2025-12-01, https://www.bls.gov/cpi/tables/relative-importance/</t>
      </text>
    </comment>
    <comment ref="D28" authorId="0" shapeId="0">
      <text>
        <t>Source: BLS page, 2025-12-01, https://www.bls.gov/web/cpi/cpi-relative-importance.xlsx</t>
      </text>
    </comment>
    <comment ref="E28" authorId="0" shapeId="0">
      <text>
        <t>Source: BLS page, 2025-12-01, https://www.bls.gov/web/cpi/cpi-relative-importance.xlsx</t>
      </text>
    </comment>
    <comment ref="F28" authorId="0" shapeId="0">
      <text>
        <t>Source: BLS page, 2025-12-01, https://www.bls.gov/cpi/tables/relative-importance/</t>
      </text>
    </comment>
    <comment ref="D29" authorId="0" shapeId="0">
      <text>
        <t>Source: BLS page, 2025-12-01, https://www.bls.gov/web/cpi/cpi-relative-importance.xlsx</t>
      </text>
    </comment>
    <comment ref="E29" authorId="0" shapeId="0">
      <text>
        <t>Source: BLS page, 2025-12-01, https://www.bls.gov/web/cpi/cpi-relative-importance.xlsx</t>
      </text>
    </comment>
    <comment ref="F29" authorId="0" shapeId="0">
      <text>
        <t>Source: BLS page, 2025-12-01, https://www.bls.gov/cpi/tables/relative-importance/</t>
      </text>
    </comment>
    <comment ref="D30" authorId="0" shapeId="0">
      <text>
        <t>Source: BLS page, 2025-12-01, https://www.bls.gov/web/cpi/cpi-relative-importance.xlsx</t>
      </text>
    </comment>
    <comment ref="E30" authorId="0" shapeId="0">
      <text>
        <t>Source: BLS page, 2025-12-01, https://www.bls.gov/web/cpi/cpi-relative-importance.xlsx</t>
      </text>
    </comment>
    <comment ref="F30" authorId="0" shapeId="0">
      <text>
        <t>Source: BLS page, 2025-12-01, https://www.bls.gov/cpi/tables/relative-importance/</t>
      </text>
    </comment>
    <comment ref="D31" authorId="0" shapeId="0">
      <text>
        <t>Source: BLS page, 2025-12-01, https://www.bls.gov/web/cpi/cpi-relative-importance.xlsx</t>
      </text>
    </comment>
    <comment ref="E31" authorId="0" shapeId="0">
      <text>
        <t>Source: BLS page, 2025-12-01, https://www.bls.gov/web/cpi/cpi-relative-importance.xlsx</t>
      </text>
    </comment>
    <comment ref="F31" authorId="0" shapeId="0">
      <text>
        <t>Source: BLS page, 2025-12-01, https://www.bls.gov/cpi/tables/relative-importance/</t>
      </text>
    </comment>
    <comment ref="D32" authorId="0" shapeId="0">
      <text>
        <t>Source: BLS page, 2025-12-01, https://www.bls.gov/web/cpi/cpi-relative-importance.xlsx</t>
      </text>
    </comment>
    <comment ref="E32" authorId="0" shapeId="0">
      <text>
        <t>Source: BLS page, 2025-12-01, https://www.bls.gov/web/cpi/cpi-relative-importance.xlsx</t>
      </text>
    </comment>
    <comment ref="F32" authorId="0" shapeId="0">
      <text>
        <t>Source: BLS page, 2025-12-01, https://www.bls.gov/cpi/tables/relative-importance/</t>
      </text>
    </comment>
    <comment ref="D33" authorId="0" shapeId="0">
      <text>
        <t>Source: BLS page, 2025-12-01, https://www.bls.gov/web/cpi/cpi-relative-importance.xlsx</t>
      </text>
    </comment>
    <comment ref="E33" authorId="0" shapeId="0">
      <text>
        <t>Source: BLS page, 2025-12-01, https://www.bls.gov/web/cpi/cpi-relative-importance.xlsx</t>
      </text>
    </comment>
    <comment ref="F33" authorId="0" shapeId="0">
      <text>
        <t>Source: BLS page, 2025-12-01, https://www.bls.gov/cpi/tables/relative-importance/</t>
      </text>
    </comment>
    <comment ref="D34" authorId="0" shapeId="0">
      <text>
        <t>Source: BLS page, 2025-12-01, https://www.bls.gov/web/cpi/cpi-relative-importance.xlsx</t>
      </text>
    </comment>
    <comment ref="E34" authorId="0" shapeId="0">
      <text>
        <t>Source: BLS page, 2025-12-01, https://www.bls.gov/web/cpi/cpi-relative-importance.xlsx</t>
      </text>
    </comment>
    <comment ref="F34" authorId="0" shapeId="0">
      <text>
        <t>Source: BLS page, 2025-12-01, https://www.bls.gov/cpi/tables/relative-importance/</t>
      </text>
    </comment>
    <comment ref="D35" authorId="0" shapeId="0">
      <text>
        <t>Source: BLS page, 2025-12-01, https://www.bls.gov/web/cpi/cpi-relative-importance.xlsx</t>
      </text>
    </comment>
    <comment ref="E35" authorId="0" shapeId="0">
      <text>
        <t>Source: BLS page, 2025-12-01, https://www.bls.gov/web/cpi/cpi-relative-importance.xlsx</t>
      </text>
    </comment>
    <comment ref="F35" authorId="0" shapeId="0">
      <text>
        <t>Source: BLS page, 2025-12-01, https://www.bls.gov/cpi/tables/relative-importance/</t>
      </text>
    </comment>
    <comment ref="D36" authorId="0" shapeId="0">
      <text>
        <t>Source: BLS page, 2025-12-01, https://www.bls.gov/web/cpi/cpi-relative-importance.xlsx</t>
      </text>
    </comment>
    <comment ref="E36" authorId="0" shapeId="0">
      <text>
        <t>Source: BLS page, 2025-12-01, https://www.bls.gov/web/cpi/cpi-relative-importance.xlsx</t>
      </text>
    </comment>
    <comment ref="F36" authorId="0" shapeId="0">
      <text>
        <t>Source: BLS page, 2025-12-01, https://www.bls.gov/cpi/tables/relative-importance/</t>
      </text>
    </comment>
    <comment ref="D37" authorId="0" shapeId="0">
      <text>
        <t>Source: BLS page, 2025-12-01, https://www.bls.gov/web/cpi/cpi-relative-importance.xlsx</t>
      </text>
    </comment>
    <comment ref="E37" authorId="0" shapeId="0">
      <text>
        <t>Source: BLS page, 2025-12-01, https://www.bls.gov/web/cpi/cpi-relative-importance.xlsx</t>
      </text>
    </comment>
    <comment ref="F37" authorId="0" shapeId="0">
      <text>
        <t>Source: BLS page, 2025-12-01, https://www.bls.gov/cpi/tables/relative-importance/</t>
      </text>
    </comment>
    <comment ref="D38" authorId="0" shapeId="0">
      <text>
        <t>Source: BLS page, 2025-12-01, https://www.bls.gov/web/cpi/cpi-relative-importance.xlsx</t>
      </text>
    </comment>
    <comment ref="E38" authorId="0" shapeId="0">
      <text>
        <t>Source: BLS page, 2025-12-01, https://www.bls.gov/web/cpi/cpi-relative-importance.xlsx</t>
      </text>
    </comment>
    <comment ref="F38" authorId="0" shapeId="0">
      <text>
        <t>Source: BLS page, 2025-12-01, https://www.bls.gov/cpi/tables/relative-importance/</t>
      </text>
    </comment>
    <comment ref="D39" authorId="0" shapeId="0">
      <text>
        <t>Source: BLS page, 2025-12-01, https://www.bls.gov/web/cpi/cpi-relative-importance.xlsx</t>
      </text>
    </comment>
    <comment ref="E39" authorId="0" shapeId="0">
      <text>
        <t>Source: BLS page, 2025-12-01, https://www.bls.gov/web/cpi/cpi-relative-importance.xlsx</t>
      </text>
    </comment>
    <comment ref="F39" authorId="0" shapeId="0">
      <text>
        <t>Source: BLS page, 2025-12-01, https://www.bls.gov/cpi/tables/relative-importance/</t>
      </text>
    </comment>
    <comment ref="D40" authorId="0" shapeId="0">
      <text>
        <t>Source: BLS page, 2025-12-01, https://www.bls.gov/web/cpi/cpi-relative-importance.xlsx</t>
      </text>
    </comment>
    <comment ref="E40" authorId="0" shapeId="0">
      <text>
        <t>Source: BLS page, 2025-12-01, https://www.bls.gov/web/cpi/cpi-relative-importance.xlsx</t>
      </text>
    </comment>
    <comment ref="F40" authorId="0" shapeId="0">
      <text>
        <t>Source: BLS page, 2025-12-01, https://www.bls.gov/cpi/tables/relative-importance/</t>
      </text>
    </comment>
    <comment ref="D41" authorId="0" shapeId="0">
      <text>
        <t>Source: BLS page, 2025-12-01, https://www.bls.gov/web/cpi/cpi-relative-importance.xlsx</t>
      </text>
    </comment>
    <comment ref="E41" authorId="0" shapeId="0">
      <text>
        <t>Source: BLS page, 2025-12-01, https://www.bls.gov/web/cpi/cpi-relative-importance.xlsx</t>
      </text>
    </comment>
    <comment ref="F41" authorId="0" shapeId="0">
      <text>
        <t>Source: BLS page, 2025-12-01, https://www.bls.gov/cpi/tables/relative-importance/</t>
      </text>
    </comment>
    <comment ref="D42" authorId="0" shapeId="0">
      <text>
        <t>Source: BLS page, 2025-12-01, https://www.bls.gov/web/cpi/cpi-relative-importance.xlsx</t>
      </text>
    </comment>
    <comment ref="E42" authorId="0" shapeId="0">
      <text>
        <t>Source: BLS page, 2025-12-01, https://www.bls.gov/web/cpi/cpi-relative-importance.xlsx</t>
      </text>
    </comment>
    <comment ref="F42" authorId="0" shapeId="0">
      <text>
        <t>Source: BLS page, 2025-12-01, https://www.bls.gov/cpi/tables/relative-importance/</t>
      </text>
    </comment>
    <comment ref="D43" authorId="0" shapeId="0">
      <text>
        <t>Source: BLS page, 2025-12-01, https://www.bls.gov/web/cpi/cpi-relative-importance.xlsx</t>
      </text>
    </comment>
    <comment ref="E43" authorId="0" shapeId="0">
      <text>
        <t>Source: BLS page, 2025-12-01, https://www.bls.gov/web/cpi/cpi-relative-importance.xlsx</t>
      </text>
    </comment>
    <comment ref="F43" authorId="0" shapeId="0">
      <text>
        <t>Source: BLS page, 2025-12-01, https://www.bls.gov/cpi/tables/relative-importance/</t>
      </text>
    </comment>
    <comment ref="D44" authorId="0" shapeId="0">
      <text>
        <t>Source: BLS page, 2025-12-01, https://www.bls.gov/web/cpi/cpi-relative-importance.xlsx</t>
      </text>
    </comment>
    <comment ref="E44" authorId="0" shapeId="0">
      <text>
        <t>Source: BLS page, 2025-12-01, https://www.bls.gov/web/cpi/cpi-relative-importance.xlsx</t>
      </text>
    </comment>
    <comment ref="F44" authorId="0" shapeId="0">
      <text>
        <t>Source: BLS page, 2025-12-01, https://www.bls.gov/cpi/tables/relative-importance/</t>
      </text>
    </comment>
    <comment ref="D45" authorId="0" shapeId="0">
      <text>
        <t>Source: BLS page, 2025-12-01, https://www.bls.gov/web/cpi/cpi-relative-importance.xlsx</t>
      </text>
    </comment>
    <comment ref="E45" authorId="0" shapeId="0">
      <text>
        <t>Source: BLS page, 2025-12-01, https://www.bls.gov/web/cpi/cpi-relative-importance.xlsx</t>
      </text>
    </comment>
    <comment ref="F45" authorId="0" shapeId="0">
      <text>
        <t>Source: BLS page, 2025-12-01, https://www.bls.gov/cpi/tables/relative-importance/</t>
      </text>
    </comment>
    <comment ref="D46" authorId="0" shapeId="0">
      <text>
        <t>Source: BLS page, 2025-12-01, https://www.bls.gov/web/cpi/cpi-relative-importance.xlsx</t>
      </text>
    </comment>
    <comment ref="E46" authorId="0" shapeId="0">
      <text>
        <t>Source: BLS page, 2025-12-01, https://www.bls.gov/web/cpi/cpi-relative-importance.xlsx</t>
      </text>
    </comment>
    <comment ref="F46" authorId="0" shapeId="0">
      <text>
        <t>Source: BLS page, 2025-12-01, https://www.bls.gov/cpi/tables/relative-importance/</t>
      </text>
    </comment>
    <comment ref="D47" authorId="0" shapeId="0">
      <text>
        <t>Source: BLS page, 2025-12-01, https://www.bls.gov/web/cpi/cpi-relative-importance.xlsx</t>
      </text>
    </comment>
    <comment ref="E47" authorId="0" shapeId="0">
      <text>
        <t>Source: BLS page, 2025-12-01, https://www.bls.gov/web/cpi/cpi-relative-importance.xlsx</t>
      </text>
    </comment>
    <comment ref="F47" authorId="0" shapeId="0">
      <text>
        <t>Source: BLS page, 2025-12-01, https://www.bls.gov/cpi/tables/relative-importance/</t>
      </text>
    </comment>
    <comment ref="D48" authorId="0" shapeId="0">
      <text>
        <t>Source: BLS page, 2025-12-01, https://www.bls.gov/web/cpi/cpi-relative-importance.xlsx</t>
      </text>
    </comment>
    <comment ref="E48" authorId="0" shapeId="0">
      <text>
        <t>Source: BLS page, 2025-12-01, https://www.bls.gov/web/cpi/cpi-relative-importance.xlsx</t>
      </text>
    </comment>
    <comment ref="F48" authorId="0" shapeId="0">
      <text>
        <t>Source: BLS page, 2025-12-01, https://www.bls.gov/cpi/tables/relative-importance/</t>
      </text>
    </comment>
    <comment ref="D49" authorId="0" shapeId="0">
      <text>
        <t>Source: BLS page, 2025-12-01, https://www.bls.gov/web/cpi/cpi-relative-importance.xlsx</t>
      </text>
    </comment>
    <comment ref="E49" authorId="0" shapeId="0">
      <text>
        <t>Source: BLS page, 2025-12-01, https://www.bls.gov/web/cpi/cpi-relative-importance.xlsx</t>
      </text>
    </comment>
    <comment ref="F49" authorId="0" shapeId="0">
      <text>
        <t>Source: BLS page, 2025-12-01, https://www.bls.gov/cpi/tables/relative-importance/</t>
      </text>
    </comment>
    <comment ref="D50" authorId="0" shapeId="0">
      <text>
        <t>Source: BLS page, 2025-12-01, https://www.bls.gov/web/cpi/cpi-relative-importance.xlsx</t>
      </text>
    </comment>
    <comment ref="E50" authorId="0" shapeId="0">
      <text>
        <t>Source: BLS page, 2025-12-01, https://www.bls.gov/web/cpi/cpi-relative-importance.xlsx</t>
      </text>
    </comment>
    <comment ref="F50" authorId="0" shapeId="0">
      <text>
        <t>Source: BLS page, 2025-12-01, https://www.bls.gov/cpi/tables/relative-importance/</t>
      </text>
    </comment>
    <comment ref="D51" authorId="0" shapeId="0">
      <text>
        <t>Source: BLS page, 2025-12-01, https://www.bls.gov/web/cpi/cpi-relative-importance.xlsx</t>
      </text>
    </comment>
    <comment ref="E51" authorId="0" shapeId="0">
      <text>
        <t>Source: BLS page, 2025-12-01, https://www.bls.gov/web/cpi/cpi-relative-importance.xlsx</t>
      </text>
    </comment>
    <comment ref="F51" authorId="0" shapeId="0">
      <text>
        <t>Source: BLS page, 2025-12-01, https://www.bls.gov/cpi/tables/relative-importance/</t>
      </text>
    </comment>
    <comment ref="D52" authorId="0" shapeId="0">
      <text>
        <t>Source: BLS page, 2025-12-01, https://www.bls.gov/web/cpi/cpi-relative-importance.xlsx</t>
      </text>
    </comment>
    <comment ref="E52" authorId="0" shapeId="0">
      <text>
        <t>Source: BLS page, 2025-12-01, https://www.bls.gov/web/cpi/cpi-relative-importance.xlsx</t>
      </text>
    </comment>
    <comment ref="F52" authorId="0" shapeId="0">
      <text>
        <t>Source: BLS page, 2025-12-01, https://www.bls.gov/cpi/tables/relative-importance/</t>
      </text>
    </comment>
    <comment ref="D53" authorId="0" shapeId="0">
      <text>
        <t>Source: BLS page, 2025-12-01, https://www.bls.gov/web/cpi/cpi-relative-importance.xlsx</t>
      </text>
    </comment>
    <comment ref="E53" authorId="0" shapeId="0">
      <text>
        <t>Source: BLS page, 2025-12-01, https://www.bls.gov/web/cpi/cpi-relative-importance.xlsx</t>
      </text>
    </comment>
    <comment ref="F53" authorId="0" shapeId="0">
      <text>
        <t>Source: BLS page, 2025-12-01, https://www.bls.gov/cpi/tables/relative-importance/</t>
      </text>
    </comment>
    <comment ref="D54" authorId="0" shapeId="0">
      <text>
        <t>Source: BLS page, 2025-12-01, https://www.bls.gov/web/cpi/cpi-relative-importance.xlsx</t>
      </text>
    </comment>
    <comment ref="E54" authorId="0" shapeId="0">
      <text>
        <t>Source: BLS page, 2025-12-01, https://www.bls.gov/web/cpi/cpi-relative-importance.xlsx</t>
      </text>
    </comment>
    <comment ref="F54" authorId="0" shapeId="0">
      <text>
        <t>Source: BLS page, 2025-12-01, https://www.bls.gov/cpi/tables/relative-importance/</t>
      </text>
    </comment>
    <comment ref="D55" authorId="0" shapeId="0">
      <text>
        <t>Source: BLS page, 2025-12-01, https://www.bls.gov/web/cpi/cpi-relative-importance.xlsx</t>
      </text>
    </comment>
    <comment ref="E55" authorId="0" shapeId="0">
      <text>
        <t>Source: BLS page, 2025-12-01, https://www.bls.gov/web/cpi/cpi-relative-importance.xlsx</t>
      </text>
    </comment>
    <comment ref="F55" authorId="0" shapeId="0">
      <text>
        <t>Source: BLS page, 2025-12-01, https://www.bls.gov/cpi/tables/relative-importance/</t>
      </text>
    </comment>
    <comment ref="D56" authorId="0" shapeId="0">
      <text>
        <t>Source: BLS page, 2025-12-01, https://www.bls.gov/web/cpi/cpi-relative-importance.xlsx</t>
      </text>
    </comment>
    <comment ref="E56" authorId="0" shapeId="0">
      <text>
        <t>Source: BLS page, 2025-12-01, https://www.bls.gov/web/cpi/cpi-relative-importance.xlsx</t>
      </text>
    </comment>
    <comment ref="F56" authorId="0" shapeId="0">
      <text>
        <t>Source: BLS page, 2025-12-01, https://www.bls.gov/cpi/tables/relative-importance/</t>
      </text>
    </comment>
    <comment ref="D57" authorId="0" shapeId="0">
      <text>
        <t>Source: BLS page, 2025-12-01, https://www.bls.gov/web/cpi/cpi-relative-importance.xlsx</t>
      </text>
    </comment>
    <comment ref="E57" authorId="0" shapeId="0">
      <text>
        <t>Source: BLS page, 2025-12-01, https://www.bls.gov/web/cpi/cpi-relative-importance.xlsx</t>
      </text>
    </comment>
    <comment ref="F57" authorId="0" shapeId="0">
      <text>
        <t>Source: BLS page, 2025-12-01, https://www.bls.gov/cpi/tables/relative-importance/</t>
      </text>
    </comment>
    <comment ref="D58" authorId="0" shapeId="0">
      <text>
        <t>Source: BLS page, 2025-12-01, https://www.bls.gov/web/cpi/cpi-relative-importance.xlsx</t>
      </text>
    </comment>
    <comment ref="E58" authorId="0" shapeId="0">
      <text>
        <t>Source: BLS page, 2025-12-01, https://www.bls.gov/web/cpi/cpi-relative-importance.xlsx</t>
      </text>
    </comment>
    <comment ref="F58" authorId="0" shapeId="0">
      <text>
        <t>Source: BLS page, 2025-12-01, https://www.bls.gov/cpi/tables/relative-importance/</t>
      </text>
    </comment>
    <comment ref="D59" authorId="0" shapeId="0">
      <text>
        <t>Source: BLS page, 2025-12-01, https://www.bls.gov/web/cpi/cpi-relative-importance.xlsx</t>
      </text>
    </comment>
    <comment ref="E59" authorId="0" shapeId="0">
      <text>
        <t>Source: BLS page, 2025-12-01, https://www.bls.gov/web/cpi/cpi-relative-importance.xlsx</t>
      </text>
    </comment>
    <comment ref="F59" authorId="0" shapeId="0">
      <text>
        <t>Source: BLS page, 2025-12-01, https://www.bls.gov/cpi/tables/relative-importance/</t>
      </text>
    </comment>
    <comment ref="D60" authorId="0" shapeId="0">
      <text>
        <t>Source: BLS page, 2025-12-01, https://www.bls.gov/web/cpi/cpi-relative-importance.xlsx</t>
      </text>
    </comment>
    <comment ref="E60" authorId="0" shapeId="0">
      <text>
        <t>Source: BLS page, 2025-12-01, https://www.bls.gov/web/cpi/cpi-relative-importance.xlsx</t>
      </text>
    </comment>
    <comment ref="F60" authorId="0" shapeId="0">
      <text>
        <t>Source: BLS page, 2025-12-01, https://www.bls.gov/cpi/tables/relative-importance/</t>
      </text>
    </comment>
    <comment ref="D61" authorId="0" shapeId="0">
      <text>
        <t>Source: BLS page, 2025-12-01, https://www.bls.gov/web/cpi/cpi-relative-importance.xlsx</t>
      </text>
    </comment>
    <comment ref="E61" authorId="0" shapeId="0">
      <text>
        <t>Source: BLS page, 2025-12-01, https://www.bls.gov/web/cpi/cpi-relative-importance.xlsx</t>
      </text>
    </comment>
    <comment ref="F61" authorId="0" shapeId="0">
      <text>
        <t>Source: BLS page, 2025-12-01, https://www.bls.gov/cpi/tables/relative-importance/</t>
      </text>
    </comment>
    <comment ref="D62" authorId="0" shapeId="0">
      <text>
        <t>Source: BLS page, 2025-12-01, https://www.bls.gov/web/cpi/cpi-relative-importance.xlsx</t>
      </text>
    </comment>
    <comment ref="E62" authorId="0" shapeId="0">
      <text>
        <t>Source: BLS page, 2025-12-01, https://www.bls.gov/web/cpi/cpi-relative-importance.xlsx</t>
      </text>
    </comment>
    <comment ref="F62" authorId="0" shapeId="0">
      <text>
        <t>Source: BLS page, 2025-12-01, https://www.bls.gov/cpi/tables/relative-importance/</t>
      </text>
    </comment>
    <comment ref="D63" authorId="0" shapeId="0">
      <text>
        <t>Source: BLS page, 2025-12-01, https://www.bls.gov/web/cpi/cpi-relative-importance.xlsx</t>
      </text>
    </comment>
    <comment ref="E63" authorId="0" shapeId="0">
      <text>
        <t>Source: BLS page, 2025-12-01, https://www.bls.gov/web/cpi/cpi-relative-importance.xlsx</t>
      </text>
    </comment>
    <comment ref="F63" authorId="0" shapeId="0">
      <text>
        <t>Source: BLS page, 2025-12-01, https://www.bls.gov/cpi/tables/relative-importance/</t>
      </text>
    </comment>
    <comment ref="D64" authorId="0" shapeId="0">
      <text>
        <t>Source: BLS page, 2025-12-01, https://www.bls.gov/web/cpi/cpi-relative-importance.xlsx</t>
      </text>
    </comment>
    <comment ref="E64" authorId="0" shapeId="0">
      <text>
        <t>Source: BLS page, 2025-12-01, https://www.bls.gov/web/cpi/cpi-relative-importance.xlsx</t>
      </text>
    </comment>
    <comment ref="F64" authorId="0" shapeId="0">
      <text>
        <t>Source: BLS page, 2025-12-01, https://www.bls.gov/cpi/tables/relative-importance/</t>
      </text>
    </comment>
    <comment ref="D65" authorId="0" shapeId="0">
      <text>
        <t>Source: BLS page, 2025-12-01, https://www.bls.gov/web/cpi/cpi-relative-importance.xlsx</t>
      </text>
    </comment>
    <comment ref="E65" authorId="0" shapeId="0">
      <text>
        <t>Source: BLS page, 2025-12-01, https://www.bls.gov/web/cpi/cpi-relative-importance.xlsx</t>
      </text>
    </comment>
    <comment ref="F65" authorId="0" shapeId="0">
      <text>
        <t>Source: BLS page, 2025-12-01, https://www.bls.gov/cpi/tables/relative-importance/</t>
      </text>
    </comment>
    <comment ref="D66" authorId="0" shapeId="0">
      <text>
        <t>Source: BLS page, 2025-12-01, https://www.bls.gov/web/cpi/cpi-relative-importance.xlsx</t>
      </text>
    </comment>
    <comment ref="E66" authorId="0" shapeId="0">
      <text>
        <t>Source: BLS page, 2025-12-01, https://www.bls.gov/web/cpi/cpi-relative-importance.xlsx</t>
      </text>
    </comment>
    <comment ref="F66" authorId="0" shapeId="0">
      <text>
        <t>Source: BLS page, 2025-12-01, https://www.bls.gov/cpi/tables/relative-importance/</t>
      </text>
    </comment>
    <comment ref="D67" authorId="0" shapeId="0">
      <text>
        <t>Source: BLS page, 2025-12-01, https://www.bls.gov/web/cpi/cpi-relative-importance.xlsx</t>
      </text>
    </comment>
    <comment ref="E67" authorId="0" shapeId="0">
      <text>
        <t>Source: BLS page, 2025-12-01, https://www.bls.gov/web/cpi/cpi-relative-importance.xlsx</t>
      </text>
    </comment>
    <comment ref="F67" authorId="0" shapeId="0">
      <text>
        <t>Source: BLS page, 2025-12-01, https://www.bls.gov/cpi/tables/relative-importance/</t>
      </text>
    </comment>
    <comment ref="D68" authorId="0" shapeId="0">
      <text>
        <t>Source: BLS page, 2025-12-01, https://www.bls.gov/web/cpi/cpi-relative-importance.xlsx</t>
      </text>
    </comment>
    <comment ref="E68" authorId="0" shapeId="0">
      <text>
        <t>Source: BLS page, 2025-12-01, https://www.bls.gov/web/cpi/cpi-relative-importance.xlsx</t>
      </text>
    </comment>
    <comment ref="F68" authorId="0" shapeId="0">
      <text>
        <t>Source: BLS page, 2025-12-01, https://www.bls.gov/cpi/tables/relative-importance/</t>
      </text>
    </comment>
    <comment ref="D69" authorId="0" shapeId="0">
      <text>
        <t>Source: BLS page, 2025-12-01, https://www.bls.gov/web/cpi/cpi-relative-importance.xlsx</t>
      </text>
    </comment>
    <comment ref="E69" authorId="0" shapeId="0">
      <text>
        <t>Source: BLS page, 2025-12-01, https://www.bls.gov/web/cpi/cpi-relative-importance.xlsx</t>
      </text>
    </comment>
    <comment ref="F69" authorId="0" shapeId="0">
      <text>
        <t>Source: BLS page, 2025-12-01, https://www.bls.gov/cpi/tables/relative-importance/</t>
      </text>
    </comment>
    <comment ref="D70" authorId="0" shapeId="0">
      <text>
        <t>Source: BLS page, 2025-12-01, https://www.bls.gov/web/cpi/cpi-relative-importance.xlsx</t>
      </text>
    </comment>
    <comment ref="E70" authorId="0" shapeId="0">
      <text>
        <t>Source: BLS page, 2025-12-01, https://www.bls.gov/web/cpi/cpi-relative-importance.xlsx</t>
      </text>
    </comment>
    <comment ref="F70" authorId="0" shapeId="0">
      <text>
        <t>Source: BLS page, 2025-12-01, https://www.bls.gov/cpi/tables/relative-importance/</t>
      </text>
    </comment>
    <comment ref="D71" authorId="0" shapeId="0">
      <text>
        <t>Source: BLS page, 2025-12-01, https://www.bls.gov/web/cpi/cpi-relative-importance.xlsx</t>
      </text>
    </comment>
    <comment ref="E71" authorId="0" shapeId="0">
      <text>
        <t>Source: BLS page, 2025-12-01, https://www.bls.gov/web/cpi/cpi-relative-importance.xlsx</t>
      </text>
    </comment>
    <comment ref="F71" authorId="0" shapeId="0">
      <text>
        <t>Source: BLS page, 2025-12-01, https://www.bls.gov/cpi/tables/relative-importance/</t>
      </text>
    </comment>
    <comment ref="D72" authorId="0" shapeId="0">
      <text>
        <t>Source: BLS page, 2025-12-01, https://www.bls.gov/web/cpi/cpi-relative-importance.xlsx</t>
      </text>
    </comment>
    <comment ref="E72" authorId="0" shapeId="0">
      <text>
        <t>Source: BLS page, 2025-12-01, https://www.bls.gov/web/cpi/cpi-relative-importance.xlsx</t>
      </text>
    </comment>
    <comment ref="F72" authorId="0" shapeId="0">
      <text>
        <t>Source: BLS page, 2025-12-01, https://www.bls.gov/cpi/tables/relative-importance/</t>
      </text>
    </comment>
    <comment ref="D73" authorId="0" shapeId="0">
      <text>
        <t>Source: BLS page, 2025-12-01, https://www.bls.gov/web/cpi/cpi-relative-importance.xlsx</t>
      </text>
    </comment>
    <comment ref="E73" authorId="0" shapeId="0">
      <text>
        <t>Source: BLS page, 2025-12-01, https://www.bls.gov/web/cpi/cpi-relative-importance.xlsx</t>
      </text>
    </comment>
    <comment ref="F73" authorId="0" shapeId="0">
      <text>
        <t>Source: BLS page, 2025-12-01, https://www.bls.gov/cpi/tables/relative-importance/</t>
      </text>
    </comment>
    <comment ref="D74" authorId="0" shapeId="0">
      <text>
        <t>Source: BLS page, 2025-12-01, https://www.bls.gov/web/cpi/cpi-relative-importance.xlsx</t>
      </text>
    </comment>
    <comment ref="E74" authorId="0" shapeId="0">
      <text>
        <t>Source: BLS page, 2025-12-01, https://www.bls.gov/web/cpi/cpi-relative-importance.xlsx</t>
      </text>
    </comment>
    <comment ref="F74" authorId="0" shapeId="0">
      <text>
        <t>Source: BLS page, 2025-12-01, https://www.bls.gov/cpi/tables/relative-importance/</t>
      </text>
    </comment>
    <comment ref="D75" authorId="0" shapeId="0">
      <text>
        <t>Source: BLS page, 2025-12-01, https://www.bls.gov/web/cpi/cpi-relative-importance.xlsx</t>
      </text>
    </comment>
    <comment ref="E75" authorId="0" shapeId="0">
      <text>
        <t>Source: BLS page, 2025-12-01, https://www.bls.gov/web/cpi/cpi-relative-importance.xlsx</t>
      </text>
    </comment>
    <comment ref="F75" authorId="0" shapeId="0">
      <text>
        <t>Source: BLS page, 2025-12-01, https://www.bls.gov/cpi/tables/relative-importance/</t>
      </text>
    </comment>
    <comment ref="D76" authorId="0" shapeId="0">
      <text>
        <t>Source: BLS page, 2025-12-01, https://www.bls.gov/web/cpi/cpi-relative-importance.xlsx</t>
      </text>
    </comment>
    <comment ref="E76" authorId="0" shapeId="0">
      <text>
        <t>Source: BLS page, 2025-12-01, https://www.bls.gov/web/cpi/cpi-relative-importance.xlsx</t>
      </text>
    </comment>
    <comment ref="F76" authorId="0" shapeId="0">
      <text>
        <t>Source: BLS page, 2025-12-01, https://www.bls.gov/cpi/tables/relative-importance/</t>
      </text>
    </comment>
    <comment ref="D77" authorId="0" shapeId="0">
      <text>
        <t>Source: BLS page, 2025-12-01, https://www.bls.gov/web/cpi/cpi-relative-importance.xlsx</t>
      </text>
    </comment>
    <comment ref="E77" authorId="0" shapeId="0">
      <text>
        <t>Source: BLS page, 2025-12-01, https://www.bls.gov/web/cpi/cpi-relative-importance.xlsx</t>
      </text>
    </comment>
    <comment ref="F77" authorId="0" shapeId="0">
      <text>
        <t>Source: BLS page, 2025-12-01, https://www.bls.gov/cpi/tables/relative-importance/</t>
      </text>
    </comment>
    <comment ref="D78" authorId="0" shapeId="0">
      <text>
        <t>Source: BLS page, 2025-12-01, https://www.bls.gov/web/cpi/cpi-relative-importance.xlsx</t>
      </text>
    </comment>
    <comment ref="E78" authorId="0" shapeId="0">
      <text>
        <t>Source: BLS page, 2025-12-01, https://www.bls.gov/web/cpi/cpi-relative-importance.xlsx</t>
      </text>
    </comment>
    <comment ref="F78" authorId="0" shapeId="0">
      <text>
        <t>Source: BLS page, 2025-12-01, https://www.bls.gov/cpi/tables/relative-importance/</t>
      </text>
    </comment>
    <comment ref="D79" authorId="0" shapeId="0">
      <text>
        <t>Source: BLS page, 2025-12-01, https://www.bls.gov/web/cpi/cpi-relative-importance.xlsx</t>
      </text>
    </comment>
    <comment ref="E79" authorId="0" shapeId="0">
      <text>
        <t>Source: BLS page, 2025-12-01, https://www.bls.gov/web/cpi/cpi-relative-importance.xlsx</t>
      </text>
    </comment>
    <comment ref="F79" authorId="0" shapeId="0">
      <text>
        <t>Source: BLS page, 2025-12-01, https://www.bls.gov/cpi/tables/relative-importance/</t>
      </text>
    </comment>
    <comment ref="D80" authorId="0" shapeId="0">
      <text>
        <t>Source: BLS page, 2025-12-01, https://www.bls.gov/web/cpi/cpi-relative-importance.xlsx</t>
      </text>
    </comment>
    <comment ref="E80" authorId="0" shapeId="0">
      <text>
        <t>Source: BLS page, 2025-12-01, https://www.bls.gov/web/cpi/cpi-relative-importance.xlsx</t>
      </text>
    </comment>
    <comment ref="F80" authorId="0" shapeId="0">
      <text>
        <t>Source: BLS page, 2025-12-01, https://www.bls.gov/cpi/tables/relative-importance/</t>
      </text>
    </comment>
    <comment ref="D81" authorId="0" shapeId="0">
      <text>
        <t>Source: BLS page, 2025-12-01, https://www.bls.gov/web/cpi/cpi-relative-importance.xlsx</t>
      </text>
    </comment>
    <comment ref="E81" authorId="0" shapeId="0">
      <text>
        <t>Source: BLS page, 2025-12-01, https://www.bls.gov/web/cpi/cpi-relative-importance.xlsx</t>
      </text>
    </comment>
    <comment ref="F81" authorId="0" shapeId="0">
      <text>
        <t>Source: BLS page, 2025-12-01, https://www.bls.gov/cpi/tables/relative-importance/</t>
      </text>
    </comment>
    <comment ref="D82" authorId="0" shapeId="0">
      <text>
        <t>Source: BLS page, 2025-12-01, https://www.bls.gov/web/cpi/cpi-relative-importance.xlsx</t>
      </text>
    </comment>
    <comment ref="E82" authorId="0" shapeId="0">
      <text>
        <t>Source: BLS page, 2025-12-01, https://www.bls.gov/web/cpi/cpi-relative-importance.xlsx</t>
      </text>
    </comment>
    <comment ref="F82" authorId="0" shapeId="0">
      <text>
        <t>Source: BLS page, 2025-12-01, https://www.bls.gov/cpi/tables/relative-importance/</t>
      </text>
    </comment>
    <comment ref="D83" authorId="0" shapeId="0">
      <text>
        <t>Source: BLS page, 2025-12-01, https://www.bls.gov/web/cpi/cpi-relative-importance.xlsx</t>
      </text>
    </comment>
    <comment ref="E83" authorId="0" shapeId="0">
      <text>
        <t>Source: BLS page, 2025-12-01, https://www.bls.gov/web/cpi/cpi-relative-importance.xlsx</t>
      </text>
    </comment>
    <comment ref="F83" authorId="0" shapeId="0">
      <text>
        <t>Source: BLS page, 2025-12-01, https://www.bls.gov/cpi/tables/relative-importance/</t>
      </text>
    </comment>
    <comment ref="D84" authorId="0" shapeId="0">
      <text>
        <t>Source: BLS page, 2025-12-01, https://www.bls.gov/web/cpi/cpi-relative-importance.xlsx</t>
      </text>
    </comment>
    <comment ref="E84" authorId="0" shapeId="0">
      <text>
        <t>Source: BLS page, 2025-12-01, https://www.bls.gov/web/cpi/cpi-relative-importance.xlsx</t>
      </text>
    </comment>
    <comment ref="F84" authorId="0" shapeId="0">
      <text>
        <t>Source: BLS page, 2025-12-01, https://www.bls.gov/cpi/tables/relative-importance/</t>
      </text>
    </comment>
    <comment ref="D85" authorId="0" shapeId="0">
      <text>
        <t>Source: BLS page, 2025-12-01, https://www.bls.gov/web/cpi/cpi-relative-importance.xlsx</t>
      </text>
    </comment>
    <comment ref="E85" authorId="0" shapeId="0">
      <text>
        <t>Source: BLS page, 2025-12-01, https://www.bls.gov/web/cpi/cpi-relative-importance.xlsx</t>
      </text>
    </comment>
    <comment ref="F85" authorId="0" shapeId="0">
      <text>
        <t>Source: BLS page, 2025-12-01, https://www.bls.gov/cpi/tables/relative-importance/</t>
      </text>
    </comment>
    <comment ref="D86" authorId="0" shapeId="0">
      <text>
        <t>Source: BLS page, 2025-12-01, https://www.bls.gov/web/cpi/cpi-relative-importance.xlsx</t>
      </text>
    </comment>
    <comment ref="E86" authorId="0" shapeId="0">
      <text>
        <t>Source: BLS page, 2025-12-01, https://www.bls.gov/web/cpi/cpi-relative-importance.xlsx</t>
      </text>
    </comment>
    <comment ref="F86" authorId="0" shapeId="0">
      <text>
        <t>Source: BLS page, 2025-12-01, https://www.bls.gov/cpi/tables/relative-importance/</t>
      </text>
    </comment>
    <comment ref="D87" authorId="0" shapeId="0">
      <text>
        <t>Source: BLS page, 2025-12-01, https://www.bls.gov/web/cpi/cpi-relative-importance.xlsx</t>
      </text>
    </comment>
    <comment ref="E87" authorId="0" shapeId="0">
      <text>
        <t>Source: BLS page, 2025-12-01, https://www.bls.gov/web/cpi/cpi-relative-importance.xlsx</t>
      </text>
    </comment>
    <comment ref="F87" authorId="0" shapeId="0">
      <text>
        <t>Source: BLS page, 2025-12-01, https://www.bls.gov/cpi/tables/relative-importance/</t>
      </text>
    </comment>
    <comment ref="D88" authorId="0" shapeId="0">
      <text>
        <t>Source: BLS page, 2025-12-01, https://www.bls.gov/web/cpi/cpi-relative-importance.xlsx</t>
      </text>
    </comment>
    <comment ref="E88" authorId="0" shapeId="0">
      <text>
        <t>Source: BLS page, 2025-12-01, https://www.bls.gov/web/cpi/cpi-relative-importance.xlsx</t>
      </text>
    </comment>
    <comment ref="F88" authorId="0" shapeId="0">
      <text>
        <t>Source: BLS page, 2025-12-01, https://www.bls.gov/cpi/tables/relative-importance/</t>
      </text>
    </comment>
    <comment ref="D89" authorId="0" shapeId="0">
      <text>
        <t>Source: BLS page, 2025-12-01, https://www.bls.gov/web/cpi/cpi-relative-importance.xlsx</t>
      </text>
    </comment>
    <comment ref="E89" authorId="0" shapeId="0">
      <text>
        <t>Source: BLS page, 2025-12-01, https://www.bls.gov/web/cpi/cpi-relative-importance.xlsx</t>
      </text>
    </comment>
    <comment ref="F89" authorId="0" shapeId="0">
      <text>
        <t>Source: BLS page, 2025-12-01, https://www.bls.gov/cpi/tables/relative-importance/</t>
      </text>
    </comment>
    <comment ref="D90" authorId="0" shapeId="0">
      <text>
        <t>Source: BLS page, 2025-12-01, https://www.bls.gov/web/cpi/cpi-relative-importance.xlsx</t>
      </text>
    </comment>
    <comment ref="E90" authorId="0" shapeId="0">
      <text>
        <t>Source: BLS page, 2025-12-01, https://www.bls.gov/web/cpi/cpi-relative-importance.xlsx</t>
      </text>
    </comment>
    <comment ref="F90" authorId="0" shapeId="0">
      <text>
        <t>Source: BLS page, 2025-12-01, https://www.bls.gov/cpi/tables/relative-importance/</t>
      </text>
    </comment>
    <comment ref="D91" authorId="0" shapeId="0">
      <text>
        <t>Source: BLS page, 2025-12-01, https://www.bls.gov/web/cpi/cpi-relative-importance.xlsx</t>
      </text>
    </comment>
    <comment ref="E91" authorId="0" shapeId="0">
      <text>
        <t>Source: BLS page, 2025-12-01, https://www.bls.gov/web/cpi/cpi-relative-importance.xlsx</t>
      </text>
    </comment>
    <comment ref="F91" authorId="0" shapeId="0">
      <text>
        <t>Source: BLS page, 2025-12-01, https://www.bls.gov/cpi/tables/relative-importance/</t>
      </text>
    </comment>
    <comment ref="D92" authorId="0" shapeId="0">
      <text>
        <t>Source: BLS page, 2025-12-01, https://www.bls.gov/web/cpi/cpi-relative-importance.xlsx</t>
      </text>
    </comment>
    <comment ref="E92" authorId="0" shapeId="0">
      <text>
        <t>Source: BLS page, 2025-12-01, https://www.bls.gov/web/cpi/cpi-relative-importance.xlsx</t>
      </text>
    </comment>
    <comment ref="F92" authorId="0" shapeId="0">
      <text>
        <t>Source: BLS page, 2025-12-01, https://www.bls.gov/cpi/tables/relative-importance/</t>
      </text>
    </comment>
    <comment ref="D93" authorId="0" shapeId="0">
      <text>
        <t>Source: BLS page, 2025-12-01, https://www.bls.gov/web/cpi/cpi-relative-importance.xlsx</t>
      </text>
    </comment>
    <comment ref="E93" authorId="0" shapeId="0">
      <text>
        <t>Source: BLS page, 2025-12-01, https://www.bls.gov/web/cpi/cpi-relative-importance.xlsx</t>
      </text>
    </comment>
    <comment ref="F93" authorId="0" shapeId="0">
      <text>
        <t>Source: BLS page, 2025-12-01, https://www.bls.gov/cpi/tables/relative-importance/</t>
      </text>
    </comment>
    <comment ref="D94" authorId="0" shapeId="0">
      <text>
        <t>Source: BLS page, 2025-12-01, https://www.bls.gov/web/cpi/cpi-relative-importance.xlsx</t>
      </text>
    </comment>
    <comment ref="E94" authorId="0" shapeId="0">
      <text>
        <t>Source: BLS page, 2025-12-01, https://www.bls.gov/web/cpi/cpi-relative-importance.xlsx</t>
      </text>
    </comment>
    <comment ref="F94" authorId="0" shapeId="0">
      <text>
        <t>Source: BLS page, 2025-12-01, https://www.bls.gov/cpi/tables/relative-importance/</t>
      </text>
    </comment>
    <comment ref="D95" authorId="0" shapeId="0">
      <text>
        <t>Source: BLS page, 2025-12-01, https://www.bls.gov/web/cpi/cpi-relative-importance.xlsx</t>
      </text>
    </comment>
    <comment ref="E95" authorId="0" shapeId="0">
      <text>
        <t>Source: BLS page, 2025-12-01, https://www.bls.gov/web/cpi/cpi-relative-importance.xlsx</t>
      </text>
    </comment>
    <comment ref="F95" authorId="0" shapeId="0">
      <text>
        <t>Source: BLS page, 2025-12-01, https://www.bls.gov/cpi/tables/relative-importance/</t>
      </text>
    </comment>
    <comment ref="D96" authorId="0" shapeId="0">
      <text>
        <t>Source: BLS page, 2025-12-01, https://www.bls.gov/web/cpi/cpi-relative-importance.xlsx</t>
      </text>
    </comment>
    <comment ref="E96" authorId="0" shapeId="0">
      <text>
        <t>Source: BLS page, 2025-12-01, https://www.bls.gov/web/cpi/cpi-relative-importance.xlsx</t>
      </text>
    </comment>
    <comment ref="F96" authorId="0" shapeId="0">
      <text>
        <t>Source: BLS page, 2025-12-01, https://www.bls.gov/cpi/tables/relative-importance/</t>
      </text>
    </comment>
    <comment ref="D97" authorId="0" shapeId="0">
      <text>
        <t>Source: BLS page, 2025-12-01, https://www.bls.gov/web/cpi/cpi-relative-importance.xlsx</t>
      </text>
    </comment>
    <comment ref="E97" authorId="0" shapeId="0">
      <text>
        <t>Source: BLS page, 2025-12-01, https://www.bls.gov/web/cpi/cpi-relative-importance.xlsx</t>
      </text>
    </comment>
    <comment ref="F97" authorId="0" shapeId="0">
      <text>
        <t>Source: BLS page, 2025-12-01, https://www.bls.gov/cpi/tables/relative-importance/</t>
      </text>
    </comment>
    <comment ref="D98" authorId="0" shapeId="0">
      <text>
        <t>Source: BLS page, 2025-12-01, https://www.bls.gov/web/cpi/cpi-relative-importance.xlsx</t>
      </text>
    </comment>
    <comment ref="E98" authorId="0" shapeId="0">
      <text>
        <t>Source: BLS page, 2025-12-01, https://www.bls.gov/web/cpi/cpi-relative-importance.xlsx</t>
      </text>
    </comment>
    <comment ref="F98" authorId="0" shapeId="0">
      <text>
        <t>Source: BLS page, 2025-12-01, https://www.bls.gov/cpi/tables/relative-importance/</t>
      </text>
    </comment>
    <comment ref="D99" authorId="0" shapeId="0">
      <text>
        <t>Source: BLS page, 2025-12-01, https://www.bls.gov/web/cpi/cpi-relative-importance.xlsx</t>
      </text>
    </comment>
    <comment ref="E99" authorId="0" shapeId="0">
      <text>
        <t>Source: BLS page, 2025-12-01, https://www.bls.gov/web/cpi/cpi-relative-importance.xlsx</t>
      </text>
    </comment>
    <comment ref="F99" authorId="0" shapeId="0">
      <text>
        <t>Source: BLS page, 2025-12-01, https://www.bls.gov/cpi/tables/relative-importance/</t>
      </text>
    </comment>
    <comment ref="D100" authorId="0" shapeId="0">
      <text>
        <t>Source: BLS page, 2025-12-01, https://www.bls.gov/web/cpi/cpi-relative-importance.xlsx</t>
      </text>
    </comment>
    <comment ref="E100" authorId="0" shapeId="0">
      <text>
        <t>Source: BLS page, 2025-12-01, https://www.bls.gov/web/cpi/cpi-relative-importance.xlsx</t>
      </text>
    </comment>
    <comment ref="F100" authorId="0" shapeId="0">
      <text>
        <t>Source: BLS page, 2025-12-01, https://www.bls.gov/cpi/tables/relative-importance/</t>
      </text>
    </comment>
    <comment ref="D101" authorId="0" shapeId="0">
      <text>
        <t>Source: BLS page, 2025-12-01, https://www.bls.gov/web/cpi/cpi-relative-importance.xlsx</t>
      </text>
    </comment>
    <comment ref="E101" authorId="0" shapeId="0">
      <text>
        <t>Source: BLS page, 2025-12-01, https://www.bls.gov/web/cpi/cpi-relative-importance.xlsx</t>
      </text>
    </comment>
    <comment ref="F101" authorId="0" shapeId="0">
      <text>
        <t>Source: BLS page, 2025-12-01, https://www.bls.gov/cpi/tables/relative-importance/</t>
      </text>
    </comment>
    <comment ref="D102" authorId="0" shapeId="0">
      <text>
        <t>Source: BLS page, 2025-12-01, https://www.bls.gov/web/cpi/cpi-relative-importance.xlsx</t>
      </text>
    </comment>
    <comment ref="E102" authorId="0" shapeId="0">
      <text>
        <t>Source: BLS page, 2025-12-01, https://www.bls.gov/web/cpi/cpi-relative-importance.xlsx</t>
      </text>
    </comment>
    <comment ref="F102" authorId="0" shapeId="0">
      <text>
        <t>Source: BLS page, 2025-12-01, https://www.bls.gov/cpi/tables/relative-importance/</t>
      </text>
    </comment>
    <comment ref="D103" authorId="0" shapeId="0">
      <text>
        <t>Source: BLS page, 2025-12-01, https://www.bls.gov/web/cpi/cpi-relative-importance.xlsx</t>
      </text>
    </comment>
    <comment ref="E103" authorId="0" shapeId="0">
      <text>
        <t>Source: BLS page, 2025-12-01, https://www.bls.gov/web/cpi/cpi-relative-importance.xlsx</t>
      </text>
    </comment>
    <comment ref="F103" authorId="0" shapeId="0">
      <text>
        <t>Source: BLS page, 2025-12-01, https://www.bls.gov/cpi/tables/relative-importance/</t>
      </text>
    </comment>
    <comment ref="D104" authorId="0" shapeId="0">
      <text>
        <t>Source: BLS page, 2025-12-01, https://www.bls.gov/web/cpi/cpi-relative-importance.xlsx</t>
      </text>
    </comment>
    <comment ref="E104" authorId="0" shapeId="0">
      <text>
        <t>Source: BLS page, 2025-12-01, https://www.bls.gov/web/cpi/cpi-relative-importance.xlsx</t>
      </text>
    </comment>
    <comment ref="F104" authorId="0" shapeId="0">
      <text>
        <t>Source: BLS page, 2025-12-01, https://www.bls.gov/cpi/tables/relative-importance/</t>
      </text>
    </comment>
    <comment ref="D105" authorId="0" shapeId="0">
      <text>
        <t>Source: BLS page, 2025-12-01, https://www.bls.gov/web/cpi/cpi-relative-importance.xlsx</t>
      </text>
    </comment>
    <comment ref="E105" authorId="0" shapeId="0">
      <text>
        <t>Source: BLS page, 2025-12-01, https://www.bls.gov/web/cpi/cpi-relative-importance.xlsx</t>
      </text>
    </comment>
    <comment ref="F105" authorId="0" shapeId="0">
      <text>
        <t>Source: BLS page, 2025-12-01, https://www.bls.gov/cpi/tables/relative-importance/</t>
      </text>
    </comment>
    <comment ref="D106" authorId="0" shapeId="0">
      <text>
        <t>Source: BLS page, 2025-12-01, https://www.bls.gov/web/cpi/cpi-relative-importance.xlsx</t>
      </text>
    </comment>
    <comment ref="E106" authorId="0" shapeId="0">
      <text>
        <t>Source: BLS page, 2025-12-01, https://www.bls.gov/web/cpi/cpi-relative-importance.xlsx</t>
      </text>
    </comment>
    <comment ref="F106" authorId="0" shapeId="0">
      <text>
        <t>Source: BLS page, 2025-12-01, https://www.bls.gov/cpi/tables/relative-importance/</t>
      </text>
    </comment>
    <comment ref="D107" authorId="0" shapeId="0">
      <text>
        <t>Source: BLS page, 2025-12-01, https://www.bls.gov/web/cpi/cpi-relative-importance.xlsx</t>
      </text>
    </comment>
    <comment ref="E107" authorId="0" shapeId="0">
      <text>
        <t>Source: BLS page, 2025-12-01, https://www.bls.gov/web/cpi/cpi-relative-importance.xlsx</t>
      </text>
    </comment>
    <comment ref="F107" authorId="0" shapeId="0">
      <text>
        <t>Source: BLS page, 2025-12-01, https://www.bls.gov/cpi/tables/relative-importance/</t>
      </text>
    </comment>
    <comment ref="D108" authorId="0" shapeId="0">
      <text>
        <t>Source: BLS page, 2025-12-01, https://www.bls.gov/web/cpi/cpi-relative-importance.xlsx</t>
      </text>
    </comment>
    <comment ref="E108" authorId="0" shapeId="0">
      <text>
        <t>Source: BLS page, 2025-12-01, https://www.bls.gov/web/cpi/cpi-relative-importance.xlsx</t>
      </text>
    </comment>
    <comment ref="F108" authorId="0" shapeId="0">
      <text>
        <t>Source: BLS page, 2025-12-01, https://www.bls.gov/cpi/tables/relative-importance/</t>
      </text>
    </comment>
    <comment ref="D109" authorId="0" shapeId="0">
      <text>
        <t>Source: BLS page, 2025-12-01, https://www.bls.gov/web/cpi/cpi-relative-importance.xlsx</t>
      </text>
    </comment>
    <comment ref="E109" authorId="0" shapeId="0">
      <text>
        <t>Source: BLS page, 2025-12-01, https://www.bls.gov/web/cpi/cpi-relative-importance.xlsx</t>
      </text>
    </comment>
    <comment ref="F109" authorId="0" shapeId="0">
      <text>
        <t>Source: BLS page, 2025-12-01, https://www.bls.gov/cpi/tables/relative-importance/</t>
      </text>
    </comment>
    <comment ref="D110" authorId="0" shapeId="0">
      <text>
        <t>Source: BLS page, 2025-12-01, https://www.bls.gov/web/cpi/cpi-relative-importance.xlsx</t>
      </text>
    </comment>
    <comment ref="E110" authorId="0" shapeId="0">
      <text>
        <t>Source: BLS page, 2025-12-01, https://www.bls.gov/web/cpi/cpi-relative-importance.xlsx</t>
      </text>
    </comment>
    <comment ref="F110" authorId="0" shapeId="0">
      <text>
        <t>Source: BLS page, 2025-12-01, https://www.bls.gov/cpi/tables/relative-importance/</t>
      </text>
    </comment>
    <comment ref="D111" authorId="0" shapeId="0">
      <text>
        <t>Source: BLS page, 2025-12-01, https://www.bls.gov/web/cpi/cpi-relative-importance.xlsx</t>
      </text>
    </comment>
    <comment ref="E111" authorId="0" shapeId="0">
      <text>
        <t>Source: BLS page, 2025-12-01, https://www.bls.gov/web/cpi/cpi-relative-importance.xlsx</t>
      </text>
    </comment>
    <comment ref="F111" authorId="0" shapeId="0">
      <text>
        <t>Source: BLS page, 2025-12-01, https://www.bls.gov/cpi/tables/relative-importance/</t>
      </text>
    </comment>
    <comment ref="D112" authorId="0" shapeId="0">
      <text>
        <t>Source: BLS page, 2025-12-01, https://www.bls.gov/web/cpi/cpi-relative-importance.xlsx</t>
      </text>
    </comment>
    <comment ref="E112" authorId="0" shapeId="0">
      <text>
        <t>Source: BLS page, 2025-12-01, https://www.bls.gov/web/cpi/cpi-relative-importance.xlsx</t>
      </text>
    </comment>
    <comment ref="F112" authorId="0" shapeId="0">
      <text>
        <t>Source: BLS page, 2025-12-01, https://www.bls.gov/cpi/tables/relative-importance/</t>
      </text>
    </comment>
    <comment ref="D113" authorId="0" shapeId="0">
      <text>
        <t>Source: BLS page, 2025-12-01, https://www.bls.gov/web/cpi/cpi-relative-importance.xlsx</t>
      </text>
    </comment>
    <comment ref="E113" authorId="0" shapeId="0">
      <text>
        <t>Source: BLS page, 2025-12-01, https://www.bls.gov/web/cpi/cpi-relative-importance.xlsx</t>
      </text>
    </comment>
    <comment ref="F113" authorId="0" shapeId="0">
      <text>
        <t>Source: BLS page, 2025-12-01, https://www.bls.gov/cpi/tables/relative-importance/</t>
      </text>
    </comment>
    <comment ref="D114" authorId="0" shapeId="0">
      <text>
        <t>Source: BLS page, 2025-12-01, https://www.bls.gov/web/cpi/cpi-relative-importance.xlsx</t>
      </text>
    </comment>
    <comment ref="E114" authorId="0" shapeId="0">
      <text>
        <t>Source: BLS page, 2025-12-01, https://www.bls.gov/web/cpi/cpi-relative-importance.xlsx</t>
      </text>
    </comment>
    <comment ref="F114" authorId="0" shapeId="0">
      <text>
        <t>Source: BLS page, 2025-12-01, https://www.bls.gov/cpi/tables/relative-importance/</t>
      </text>
    </comment>
    <comment ref="D115" authorId="0" shapeId="0">
      <text>
        <t>Source: BLS page, 2025-12-01, https://www.bls.gov/web/cpi/cpi-relative-importance.xlsx</t>
      </text>
    </comment>
    <comment ref="E115" authorId="0" shapeId="0">
      <text>
        <t>Source: BLS page, 2025-12-01, https://www.bls.gov/web/cpi/cpi-relative-importance.xlsx</t>
      </text>
    </comment>
    <comment ref="F115" authorId="0" shapeId="0">
      <text>
        <t>Source: BLS page, 2025-12-01, https://www.bls.gov/cpi/tables/relative-importance/</t>
      </text>
    </comment>
    <comment ref="D116" authorId="0" shapeId="0">
      <text>
        <t>Source: BLS page, 2025-12-01, https://www.bls.gov/web/cpi/cpi-relative-importance.xlsx</t>
      </text>
    </comment>
    <comment ref="E116" authorId="0" shapeId="0">
      <text>
        <t>Source: BLS page, 2025-12-01, https://www.bls.gov/web/cpi/cpi-relative-importance.xlsx</t>
      </text>
    </comment>
    <comment ref="F116" authorId="0" shapeId="0">
      <text>
        <t>Source: BLS page, 2025-12-01, https://www.bls.gov/cpi/tables/relative-importance/</t>
      </text>
    </comment>
    <comment ref="D117" authorId="0" shapeId="0">
      <text>
        <t>Source: BLS page, 2025-12-01, https://www.bls.gov/web/cpi/cpi-relative-importance.xlsx</t>
      </text>
    </comment>
    <comment ref="E117" authorId="0" shapeId="0">
      <text>
        <t>Source: BLS page, 2025-12-01, https://www.bls.gov/web/cpi/cpi-relative-importance.xlsx</t>
      </text>
    </comment>
    <comment ref="F117" authorId="0" shapeId="0">
      <text>
        <t>Source: BLS page, 2025-12-01, https://www.bls.gov/cpi/tables/relative-importance/</t>
      </text>
    </comment>
    <comment ref="D118" authorId="0" shapeId="0">
      <text>
        <t>Source: BLS page, 2025-12-01, https://www.bls.gov/web/cpi/cpi-relative-importance.xlsx</t>
      </text>
    </comment>
    <comment ref="E118" authorId="0" shapeId="0">
      <text>
        <t>Source: BLS page, 2025-12-01, https://www.bls.gov/web/cpi/cpi-relative-importance.xlsx</t>
      </text>
    </comment>
    <comment ref="F118" authorId="0" shapeId="0">
      <text>
        <t>Source: BLS page, 2025-12-01, https://www.bls.gov/cpi/tables/relative-importance/</t>
      </text>
    </comment>
    <comment ref="D119" authorId="0" shapeId="0">
      <text>
        <t>Source: BLS page, 2025-12-01, https://www.bls.gov/web/cpi/cpi-relative-importance.xlsx</t>
      </text>
    </comment>
    <comment ref="E119" authorId="0" shapeId="0">
      <text>
        <t>Source: BLS page, 2025-12-01, https://www.bls.gov/web/cpi/cpi-relative-importance.xlsx</t>
      </text>
    </comment>
    <comment ref="F119" authorId="0" shapeId="0">
      <text>
        <t>Source: BLS page, 2025-12-01, https://www.bls.gov/cpi/tables/relative-importance/</t>
      </text>
    </comment>
    <comment ref="D120" authorId="0" shapeId="0">
      <text>
        <t>Source: BLS page, 2025-12-01, https://www.bls.gov/web/cpi/cpi-relative-importance.xlsx</t>
      </text>
    </comment>
    <comment ref="E120" authorId="0" shapeId="0">
      <text>
        <t>Source: BLS page, 2025-12-01, https://www.bls.gov/web/cpi/cpi-relative-importance.xlsx</t>
      </text>
    </comment>
    <comment ref="F120" authorId="0" shapeId="0">
      <text>
        <t>Source: BLS page, 2025-12-01, https://www.bls.gov/cpi/tables/relative-importance/</t>
      </text>
    </comment>
    <comment ref="D121" authorId="0" shapeId="0">
      <text>
        <t>Source: BLS page, 2025-12-01, https://www.bls.gov/web/cpi/cpi-relative-importance.xlsx</t>
      </text>
    </comment>
    <comment ref="E121" authorId="0" shapeId="0">
      <text>
        <t>Source: BLS page, 2025-12-01, https://www.bls.gov/web/cpi/cpi-relative-importance.xlsx</t>
      </text>
    </comment>
    <comment ref="F121" authorId="0" shapeId="0">
      <text>
        <t>Source: BLS page, 2025-12-01, https://www.bls.gov/cpi/tables/relative-importance/</t>
      </text>
    </comment>
    <comment ref="D122" authorId="0" shapeId="0">
      <text>
        <t>Source: BLS page, 2025-12-01, https://www.bls.gov/web/cpi/cpi-relative-importance.xlsx</t>
      </text>
    </comment>
    <comment ref="E122" authorId="0" shapeId="0">
      <text>
        <t>Source: BLS page, 2025-12-01, https://www.bls.gov/web/cpi/cpi-relative-importance.xlsx</t>
      </text>
    </comment>
    <comment ref="F122" authorId="0" shapeId="0">
      <text>
        <t>Source: BLS page, 2025-12-01, https://www.bls.gov/cpi/tables/relative-importance/</t>
      </text>
    </comment>
    <comment ref="D123" authorId="0" shapeId="0">
      <text>
        <t>Source: BLS page, 2025-12-01, https://www.bls.gov/web/cpi/cpi-relative-importance.xlsx</t>
      </text>
    </comment>
    <comment ref="E123" authorId="0" shapeId="0">
      <text>
        <t>Source: BLS page, 2025-12-01, https://www.bls.gov/web/cpi/cpi-relative-importance.xlsx</t>
      </text>
    </comment>
    <comment ref="F123" authorId="0" shapeId="0">
      <text>
        <t>Source: BLS page, 2025-12-01, https://www.bls.gov/cpi/tables/relative-importance/</t>
      </text>
    </comment>
    <comment ref="D124" authorId="0" shapeId="0">
      <text>
        <t>Source: BLS page, 2025-12-01, https://www.bls.gov/web/cpi/cpi-relative-importance.xlsx</t>
      </text>
    </comment>
    <comment ref="E124" authorId="0" shapeId="0">
      <text>
        <t>Source: BLS page, 2025-12-01, https://www.bls.gov/web/cpi/cpi-relative-importance.xlsx</t>
      </text>
    </comment>
    <comment ref="F124" authorId="0" shapeId="0">
      <text>
        <t>Source: BLS page, 2025-12-01, https://www.bls.gov/cpi/tables/relative-importance/</t>
      </text>
    </comment>
    <comment ref="D125" authorId="0" shapeId="0">
      <text>
        <t>Source: BLS page, 2025-12-01, https://www.bls.gov/web/cpi/cpi-relative-importance.xlsx</t>
      </text>
    </comment>
    <comment ref="E125" authorId="0" shapeId="0">
      <text>
        <t>Source: BLS page, 2025-12-01, https://www.bls.gov/web/cpi/cpi-relative-importance.xlsx</t>
      </text>
    </comment>
    <comment ref="F125" authorId="0" shapeId="0">
      <text>
        <t>Source: BLS page, 2025-12-01, https://www.bls.gov/cpi/tables/relative-importance/</t>
      </text>
    </comment>
    <comment ref="D126" authorId="0" shapeId="0">
      <text>
        <t>Source: BLS page, 2025-12-01, https://www.bls.gov/web/cpi/cpi-relative-importance.xlsx</t>
      </text>
    </comment>
    <comment ref="E126" authorId="0" shapeId="0">
      <text>
        <t>Source: BLS page, 2025-12-01, https://www.bls.gov/web/cpi/cpi-relative-importance.xlsx</t>
      </text>
    </comment>
    <comment ref="F126" authorId="0" shapeId="0">
      <text>
        <t>Source: BLS page, 2025-12-01, https://www.bls.gov/cpi/tables/relative-importance/</t>
      </text>
    </comment>
    <comment ref="D127" authorId="0" shapeId="0">
      <text>
        <t>Source: BLS page, 2025-12-01, https://www.bls.gov/web/cpi/cpi-relative-importance.xlsx</t>
      </text>
    </comment>
    <comment ref="E127" authorId="0" shapeId="0">
      <text>
        <t>Source: BLS page, 2025-12-01, https://www.bls.gov/web/cpi/cpi-relative-importance.xlsx</t>
      </text>
    </comment>
    <comment ref="F127" authorId="0" shapeId="0">
      <text>
        <t>Source: BLS page, 2025-12-01, https://www.bls.gov/cpi/tables/relative-importance/</t>
      </text>
    </comment>
    <comment ref="D128" authorId="0" shapeId="0">
      <text>
        <t>Source: BLS page, 2025-12-01, https://www.bls.gov/web/cpi/cpi-relative-importance.xlsx</t>
      </text>
    </comment>
    <comment ref="E128" authorId="0" shapeId="0">
      <text>
        <t>Source: BLS page, 2025-12-01, https://www.bls.gov/web/cpi/cpi-relative-importance.xlsx</t>
      </text>
    </comment>
    <comment ref="F128" authorId="0" shapeId="0">
      <text>
        <t>Source: BLS page, 2025-12-01, https://www.bls.gov/cpi/tables/relative-importance/</t>
      </text>
    </comment>
    <comment ref="D129" authorId="0" shapeId="0">
      <text>
        <t>Source: BLS page, 2025-12-01, https://www.bls.gov/web/cpi/cpi-relative-importance.xlsx</t>
      </text>
    </comment>
    <comment ref="E129" authorId="0" shapeId="0">
      <text>
        <t>Source: BLS page, 2025-12-01, https://www.bls.gov/web/cpi/cpi-relative-importance.xlsx</t>
      </text>
    </comment>
    <comment ref="F129" authorId="0" shapeId="0">
      <text>
        <t>Source: BLS page, 2025-12-01, https://www.bls.gov/cpi/tables/relative-importance/</t>
      </text>
    </comment>
    <comment ref="D130" authorId="0" shapeId="0">
      <text>
        <t>Source: BLS page, 2025-12-01, https://www.bls.gov/web/cpi/cpi-relative-importance.xlsx</t>
      </text>
    </comment>
    <comment ref="E130" authorId="0" shapeId="0">
      <text>
        <t>Source: BLS page, 2025-12-01, https://www.bls.gov/web/cpi/cpi-relative-importance.xlsx</t>
      </text>
    </comment>
    <comment ref="F130" authorId="0" shapeId="0">
      <text>
        <t>Source: BLS page, 2025-12-01, https://www.bls.gov/cpi/tables/relative-importance/</t>
      </text>
    </comment>
    <comment ref="D131" authorId="0" shapeId="0">
      <text>
        <t>Source: BLS page, 2025-12-01, https://www.bls.gov/web/cpi/cpi-relative-importance.xlsx</t>
      </text>
    </comment>
    <comment ref="E131" authorId="0" shapeId="0">
      <text>
        <t>Source: BLS page, 2025-12-01, https://www.bls.gov/web/cpi/cpi-relative-importance.xlsx</t>
      </text>
    </comment>
    <comment ref="F131" authorId="0" shapeId="0">
      <text>
        <t>Source: BLS page, 2025-12-01, https://www.bls.gov/cpi/tables/relative-importance/</t>
      </text>
    </comment>
    <comment ref="D132" authorId="0" shapeId="0">
      <text>
        <t>Source: BLS page, 2025-12-01, https://www.bls.gov/web/cpi/cpi-relative-importance.xlsx</t>
      </text>
    </comment>
    <comment ref="E132" authorId="0" shapeId="0">
      <text>
        <t>Source: BLS page, 2025-12-01, https://www.bls.gov/web/cpi/cpi-relative-importance.xlsx</t>
      </text>
    </comment>
    <comment ref="F132" authorId="0" shapeId="0">
      <text>
        <t>Source: BLS page, 2025-12-01, https://www.bls.gov/cpi/tables/relative-importance/</t>
      </text>
    </comment>
    <comment ref="D133" authorId="0" shapeId="0">
      <text>
        <t>Source: BLS page, 2025-12-01, https://www.bls.gov/web/cpi/cpi-relative-importance.xlsx</t>
      </text>
    </comment>
    <comment ref="E133" authorId="0" shapeId="0">
      <text>
        <t>Source: BLS page, 2025-12-01, https://www.bls.gov/web/cpi/cpi-relative-importance.xlsx</t>
      </text>
    </comment>
    <comment ref="F133" authorId="0" shapeId="0">
      <text>
        <t>Source: BLS page, 2025-12-01, https://www.bls.gov/cpi/tables/relative-importance/</t>
      </text>
    </comment>
    <comment ref="D134" authorId="0" shapeId="0">
      <text>
        <t>Source: BLS page, 2025-12-01, https://www.bls.gov/web/cpi/cpi-relative-importance.xlsx</t>
      </text>
    </comment>
    <comment ref="E134" authorId="0" shapeId="0">
      <text>
        <t>Source: BLS page, 2025-12-01, https://www.bls.gov/web/cpi/cpi-relative-importance.xlsx</t>
      </text>
    </comment>
    <comment ref="F134" authorId="0" shapeId="0">
      <text>
        <t>Source: BLS page, 2025-12-01, https://www.bls.gov/cpi/tables/relative-importance/</t>
      </text>
    </comment>
    <comment ref="D135" authorId="0" shapeId="0">
      <text>
        <t>Source: BLS page, 2025-12-01, https://www.bls.gov/web/cpi/cpi-relative-importance.xlsx</t>
      </text>
    </comment>
    <comment ref="E135" authorId="0" shapeId="0">
      <text>
        <t>Source: BLS page, 2025-12-01, https://www.bls.gov/web/cpi/cpi-relative-importance.xlsx</t>
      </text>
    </comment>
    <comment ref="F135" authorId="0" shapeId="0">
      <text>
        <t>Source: BLS page, 2025-12-01, https://www.bls.gov/cpi/tables/relative-importance/</t>
      </text>
    </comment>
    <comment ref="D136" authorId="0" shapeId="0">
      <text>
        <t>Source: BLS page, 2025-12-01, https://www.bls.gov/web/cpi/cpi-relative-importance.xlsx</t>
      </text>
    </comment>
    <comment ref="E136" authorId="0" shapeId="0">
      <text>
        <t>Source: BLS page, 2025-12-01, https://www.bls.gov/web/cpi/cpi-relative-importance.xlsx</t>
      </text>
    </comment>
    <comment ref="F136" authorId="0" shapeId="0">
      <text>
        <t>Source: BLS page, 2025-12-01, https://www.bls.gov/cpi/tables/relative-importance/</t>
      </text>
    </comment>
    <comment ref="D137" authorId="0" shapeId="0">
      <text>
        <t>Source: BLS page, 2025-12-01, https://www.bls.gov/web/cpi/cpi-relative-importance.xlsx</t>
      </text>
    </comment>
    <comment ref="E137" authorId="0" shapeId="0">
      <text>
        <t>Source: BLS page, 2025-12-01, https://www.bls.gov/web/cpi/cpi-relative-importance.xlsx</t>
      </text>
    </comment>
    <comment ref="F137" authorId="0" shapeId="0">
      <text>
        <t>Source: BLS page, 2025-12-01, https://www.bls.gov/cpi/tables/relative-importance/</t>
      </text>
    </comment>
    <comment ref="D138" authorId="0" shapeId="0">
      <text>
        <t>Source: BLS page, 2025-12-01, https://www.bls.gov/web/cpi/cpi-relative-importance.xlsx</t>
      </text>
    </comment>
    <comment ref="E138" authorId="0" shapeId="0">
      <text>
        <t>Source: BLS page, 2025-12-01, https://www.bls.gov/web/cpi/cpi-relative-importance.xlsx</t>
      </text>
    </comment>
    <comment ref="F138" authorId="0" shapeId="0">
      <text>
        <t>Source: BLS page, 2025-12-01, https://www.bls.gov/cpi/tables/relative-importance/</t>
      </text>
    </comment>
    <comment ref="D139" authorId="0" shapeId="0">
      <text>
        <t>Source: BLS page, 2025-12-01, https://www.bls.gov/web/cpi/cpi-relative-importance.xlsx</t>
      </text>
    </comment>
    <comment ref="E139" authorId="0" shapeId="0">
      <text>
        <t>Source: BLS page, 2025-12-01, https://www.bls.gov/web/cpi/cpi-relative-importance.xlsx</t>
      </text>
    </comment>
    <comment ref="F139" authorId="0" shapeId="0">
      <text>
        <t>Source: BLS page, 2025-12-01, https://www.bls.gov/cpi/tables/relative-importance/</t>
      </text>
    </comment>
    <comment ref="D140" authorId="0" shapeId="0">
      <text>
        <t>Source: BLS page, 2025-12-01, https://www.bls.gov/web/cpi/cpi-relative-importance.xlsx</t>
      </text>
    </comment>
    <comment ref="E140" authorId="0" shapeId="0">
      <text>
        <t>Source: BLS page, 2025-12-01, https://www.bls.gov/web/cpi/cpi-relative-importance.xlsx</t>
      </text>
    </comment>
    <comment ref="F140" authorId="0" shapeId="0">
      <text>
        <t>Source: BLS page, 2025-12-01, https://www.bls.gov/cpi/tables/relative-importance/</t>
      </text>
    </comment>
    <comment ref="D141" authorId="0" shapeId="0">
      <text>
        <t>Source: BLS page, 2025-12-01, https://www.bls.gov/web/cpi/cpi-relative-importance.xlsx</t>
      </text>
    </comment>
    <comment ref="E141" authorId="0" shapeId="0">
      <text>
        <t>Source: BLS page, 2025-12-01, https://www.bls.gov/web/cpi/cpi-relative-importance.xlsx</t>
      </text>
    </comment>
    <comment ref="F141" authorId="0" shapeId="0">
      <text>
        <t>Source: BLS page, 2025-12-01, https://www.bls.gov/cpi/tables/relative-importance/</t>
      </text>
    </comment>
    <comment ref="D142" authorId="0" shapeId="0">
      <text>
        <t>Source: BLS page, 2025-12-01, https://www.bls.gov/web/cpi/cpi-relative-importance.xlsx</t>
      </text>
    </comment>
    <comment ref="E142" authorId="0" shapeId="0">
      <text>
        <t>Source: BLS page, 2025-12-01, https://www.bls.gov/web/cpi/cpi-relative-importance.xlsx</t>
      </text>
    </comment>
    <comment ref="F142" authorId="0" shapeId="0">
      <text>
        <t>Source: BLS page, 2025-12-01, https://www.bls.gov/cpi/tables/relative-importance/</t>
      </text>
    </comment>
    <comment ref="D143" authorId="0" shapeId="0">
      <text>
        <t>Source: BLS page, 2025-12-01, https://www.bls.gov/web/cpi/cpi-relative-importance.xlsx</t>
      </text>
    </comment>
    <comment ref="E143" authorId="0" shapeId="0">
      <text>
        <t>Source: BLS page, 2025-12-01, https://www.bls.gov/web/cpi/cpi-relative-importance.xlsx</t>
      </text>
    </comment>
    <comment ref="F143" authorId="0" shapeId="0">
      <text>
        <t>Source: BLS page, 2025-12-01, https://www.bls.gov/cpi/tables/relative-importance/</t>
      </text>
    </comment>
    <comment ref="D144" authorId="0" shapeId="0">
      <text>
        <t>Source: BLS page, 2025-12-01, https://www.bls.gov/web/cpi/cpi-relative-importance.xlsx</t>
      </text>
    </comment>
    <comment ref="E144" authorId="0" shapeId="0">
      <text>
        <t>Source: BLS page, 2025-12-01, https://www.bls.gov/web/cpi/cpi-relative-importance.xlsx</t>
      </text>
    </comment>
    <comment ref="F144" authorId="0" shapeId="0">
      <text>
        <t>Source: BLS page, 2025-12-01, https://www.bls.gov/cpi/tables/relative-importance/</t>
      </text>
    </comment>
    <comment ref="D145" authorId="0" shapeId="0">
      <text>
        <t>Source: BLS page, 2025-12-01, https://www.bls.gov/web/cpi/cpi-relative-importance.xlsx</t>
      </text>
    </comment>
    <comment ref="E145" authorId="0" shapeId="0">
      <text>
        <t>Source: BLS page, 2025-12-01, https://www.bls.gov/web/cpi/cpi-relative-importance.xlsx</t>
      </text>
    </comment>
    <comment ref="F145" authorId="0" shapeId="0">
      <text>
        <t>Source: BLS page, 2025-12-01, https://www.bls.gov/cpi/tables/relative-importance/</t>
      </text>
    </comment>
    <comment ref="D146" authorId="0" shapeId="0">
      <text>
        <t>Source: BLS page, 2025-12-01, https://www.bls.gov/web/cpi/cpi-relative-importance.xlsx</t>
      </text>
    </comment>
    <comment ref="E146" authorId="0" shapeId="0">
      <text>
        <t>Source: BLS page, 2025-12-01, https://www.bls.gov/web/cpi/cpi-relative-importance.xlsx</t>
      </text>
    </comment>
    <comment ref="F146" authorId="0" shapeId="0">
      <text>
        <t>Source: BLS page, 2025-12-01, https://www.bls.gov/cpi/tables/relative-importance/</t>
      </text>
    </comment>
    <comment ref="D147" authorId="0" shapeId="0">
      <text>
        <t>Source: BLS page, 2025-12-01, https://www.bls.gov/web/cpi/cpi-relative-importance.xlsx</t>
      </text>
    </comment>
    <comment ref="E147" authorId="0" shapeId="0">
      <text>
        <t>Source: BLS page, 2025-12-01, https://www.bls.gov/web/cpi/cpi-relative-importance.xlsx</t>
      </text>
    </comment>
    <comment ref="F147" authorId="0" shapeId="0">
      <text>
        <t>Source: BLS page, 2025-12-01, https://www.bls.gov/cpi/tables/relative-importance/</t>
      </text>
    </comment>
    <comment ref="D148" authorId="0" shapeId="0">
      <text>
        <t>Source: BLS page, 2025-12-01, https://www.bls.gov/web/cpi/cpi-relative-importance.xlsx</t>
      </text>
    </comment>
    <comment ref="E148" authorId="0" shapeId="0">
      <text>
        <t>Source: BLS page, 2025-12-01, https://www.bls.gov/web/cpi/cpi-relative-importance.xlsx</t>
      </text>
    </comment>
    <comment ref="F148" authorId="0" shapeId="0">
      <text>
        <t>Source: BLS page, 2025-12-01, https://www.bls.gov/cpi/tables/relative-importance/</t>
      </text>
    </comment>
    <comment ref="D149" authorId="0" shapeId="0">
      <text>
        <t>Source: BLS page, 2025-12-01, https://www.bls.gov/web/cpi/cpi-relative-importance.xlsx</t>
      </text>
    </comment>
    <comment ref="E149" authorId="0" shapeId="0">
      <text>
        <t>Source: BLS page, 2025-12-01, https://www.bls.gov/web/cpi/cpi-relative-importance.xlsx</t>
      </text>
    </comment>
    <comment ref="F149" authorId="0" shapeId="0">
      <text>
        <t>Source: BLS page, 2025-12-01, https://www.bls.gov/cpi/tables/relative-importance/</t>
      </text>
    </comment>
    <comment ref="D150" authorId="0" shapeId="0">
      <text>
        <t>Source: BLS page, 2025-12-01, https://www.bls.gov/web/cpi/cpi-relative-importance.xlsx</t>
      </text>
    </comment>
    <comment ref="E150" authorId="0" shapeId="0">
      <text>
        <t>Source: BLS page, 2025-12-01, https://www.bls.gov/web/cpi/cpi-relative-importance.xlsx</t>
      </text>
    </comment>
    <comment ref="F150" authorId="0" shapeId="0">
      <text>
        <t>Source: BLS page, 2025-12-01, https://www.bls.gov/cpi/tables/relative-importance/</t>
      </text>
    </comment>
    <comment ref="D151" authorId="0" shapeId="0">
      <text>
        <t>Source: BLS page, 2025-12-01, https://www.bls.gov/web/cpi/cpi-relative-importance.xlsx</t>
      </text>
    </comment>
    <comment ref="E151" authorId="0" shapeId="0">
      <text>
        <t>Source: BLS page, 2025-12-01, https://www.bls.gov/web/cpi/cpi-relative-importance.xlsx</t>
      </text>
    </comment>
    <comment ref="F151" authorId="0" shapeId="0">
      <text>
        <t>Source: BLS page, 2025-12-01, https://www.bls.gov/cpi/tables/relative-importance/</t>
      </text>
    </comment>
    <comment ref="D152" authorId="0" shapeId="0">
      <text>
        <t>Source: BLS page, 2025-12-01, https://www.bls.gov/web/cpi/cpi-relative-importance.xlsx</t>
      </text>
    </comment>
    <comment ref="E152" authorId="0" shapeId="0">
      <text>
        <t>Source: BLS page, 2025-12-01, https://www.bls.gov/web/cpi/cpi-relative-importance.xlsx</t>
      </text>
    </comment>
    <comment ref="F152" authorId="0" shapeId="0">
      <text>
        <t>Source: BLS page, 2025-12-01, https://www.bls.gov/cpi/tables/relative-importance/</t>
      </text>
    </comment>
    <comment ref="D153" authorId="0" shapeId="0">
      <text>
        <t>Source: BLS page, 2025-12-01, https://www.bls.gov/web/cpi/cpi-relative-importance.xlsx</t>
      </text>
    </comment>
    <comment ref="E153" authorId="0" shapeId="0">
      <text>
        <t>Source: BLS page, 2025-12-01, https://www.bls.gov/web/cpi/cpi-relative-importance.xlsx</t>
      </text>
    </comment>
    <comment ref="F153" authorId="0" shapeId="0">
      <text>
        <t>Source: BLS page, 2025-12-01, https://www.bls.gov/cpi/tables/relative-importance/</t>
      </text>
    </comment>
    <comment ref="D154" authorId="0" shapeId="0">
      <text>
        <t>Source: BLS page, 2025-12-01, https://www.bls.gov/web/cpi/cpi-relative-importance.xlsx</t>
      </text>
    </comment>
    <comment ref="E154" authorId="0" shapeId="0">
      <text>
        <t>Source: BLS page, 2025-12-01, https://www.bls.gov/web/cpi/cpi-relative-importance.xlsx</t>
      </text>
    </comment>
    <comment ref="F154" authorId="0" shapeId="0">
      <text>
        <t>Source: BLS page, 2025-12-01, https://www.bls.gov/cpi/tables/relative-importance/</t>
      </text>
    </comment>
    <comment ref="D155" authorId="0" shapeId="0">
      <text>
        <t>Source: BLS page, 2025-12-01, https://www.bls.gov/web/cpi/cpi-relative-importance.xlsx</t>
      </text>
    </comment>
    <comment ref="E155" authorId="0" shapeId="0">
      <text>
        <t>Source: BLS page, 2025-12-01, https://www.bls.gov/web/cpi/cpi-relative-importance.xlsx</t>
      </text>
    </comment>
    <comment ref="F155" authorId="0" shapeId="0">
      <text>
        <t>Source: BLS page, 2025-12-01, https://www.bls.gov/cpi/tables/relative-importance/</t>
      </text>
    </comment>
    <comment ref="D156" authorId="0" shapeId="0">
      <text>
        <t>Source: BLS page, 2025-12-01, https://www.bls.gov/web/cpi/cpi-relative-importance.xlsx</t>
      </text>
    </comment>
    <comment ref="E156" authorId="0" shapeId="0">
      <text>
        <t>Source: BLS page, 2025-12-01, https://www.bls.gov/web/cpi/cpi-relative-importance.xlsx</t>
      </text>
    </comment>
    <comment ref="F156" authorId="0" shapeId="0">
      <text>
        <t>Source: BLS page, 2025-12-01, https://www.bls.gov/cpi/tables/relative-importance/</t>
      </text>
    </comment>
    <comment ref="D157" authorId="0" shapeId="0">
      <text>
        <t>Source: BLS page, 2025-12-01, https://www.bls.gov/web/cpi/cpi-relative-importance.xlsx</t>
      </text>
    </comment>
    <comment ref="E157" authorId="0" shapeId="0">
      <text>
        <t>Source: BLS page, 2025-12-01, https://www.bls.gov/web/cpi/cpi-relative-importance.xlsx</t>
      </text>
    </comment>
    <comment ref="F157" authorId="0" shapeId="0">
      <text>
        <t>Source: BLS page, 2025-12-01, https://www.bls.gov/cpi/tables/relative-importance/</t>
      </text>
    </comment>
    <comment ref="D158" authorId="0" shapeId="0">
      <text>
        <t>Source: BLS page, 2025-12-01, https://www.bls.gov/web/cpi/cpi-relative-importance.xlsx</t>
      </text>
    </comment>
    <comment ref="E158" authorId="0" shapeId="0">
      <text>
        <t>Source: BLS page, 2025-12-01, https://www.bls.gov/web/cpi/cpi-relative-importance.xlsx</t>
      </text>
    </comment>
    <comment ref="F158" authorId="0" shapeId="0">
      <text>
        <t>Source: BLS page, 2025-12-01, https://www.bls.gov/cpi/tables/relative-importance/</t>
      </text>
    </comment>
    <comment ref="D159" authorId="0" shapeId="0">
      <text>
        <t>Source: BLS page, 2025-12-01, https://www.bls.gov/web/cpi/cpi-relative-importance.xlsx</t>
      </text>
    </comment>
    <comment ref="E159" authorId="0" shapeId="0">
      <text>
        <t>Source: BLS page, 2025-12-01, https://www.bls.gov/web/cpi/cpi-relative-importance.xlsx</t>
      </text>
    </comment>
    <comment ref="F159" authorId="0" shapeId="0">
      <text>
        <t>Source: BLS page, 2025-12-01, https://www.bls.gov/cpi/tables/relative-importance/</t>
      </text>
    </comment>
    <comment ref="D160" authorId="0" shapeId="0">
      <text>
        <t>Source: BLS page, 2025-12-01, https://www.bls.gov/web/cpi/cpi-relative-importance.xlsx</t>
      </text>
    </comment>
    <comment ref="E160" authorId="0" shapeId="0">
      <text>
        <t>Source: BLS page, 2025-12-01, https://www.bls.gov/web/cpi/cpi-relative-importance.xlsx</t>
      </text>
    </comment>
    <comment ref="F160" authorId="0" shapeId="0">
      <text>
        <t>Source: BLS page, 2025-12-01, https://www.bls.gov/cpi/tables/relative-importance/</t>
      </text>
    </comment>
    <comment ref="D161" authorId="0" shapeId="0">
      <text>
        <t>Source: BLS page, 2025-12-01, https://www.bls.gov/web/cpi/cpi-relative-importance.xlsx</t>
      </text>
    </comment>
    <comment ref="E161" authorId="0" shapeId="0">
      <text>
        <t>Source: BLS page, 2025-12-01, https://www.bls.gov/web/cpi/cpi-relative-importance.xlsx</t>
      </text>
    </comment>
    <comment ref="F161" authorId="0" shapeId="0">
      <text>
        <t>Source: BLS page, 2025-12-01, https://www.bls.gov/cpi/tables/relative-importance/</t>
      </text>
    </comment>
    <comment ref="D162" authorId="0" shapeId="0">
      <text>
        <t>Source: BLS page, 2025-12-01, https://www.bls.gov/web/cpi/cpi-relative-importance.xlsx</t>
      </text>
    </comment>
    <comment ref="E162" authorId="0" shapeId="0">
      <text>
        <t>Source: BLS page, 2025-12-01, https://www.bls.gov/web/cpi/cpi-relative-importance.xlsx</t>
      </text>
    </comment>
    <comment ref="F162" authorId="0" shapeId="0">
      <text>
        <t>Source: BLS page, 2025-12-01, https://www.bls.gov/cpi/tables/relative-importance/</t>
      </text>
    </comment>
    <comment ref="D163" authorId="0" shapeId="0">
      <text>
        <t>Source: BLS page, 2025-12-01, https://www.bls.gov/web/cpi/cpi-relative-importance.xlsx</t>
      </text>
    </comment>
    <comment ref="E163" authorId="0" shapeId="0">
      <text>
        <t>Source: BLS page, 2025-12-01, https://www.bls.gov/web/cpi/cpi-relative-importance.xlsx</t>
      </text>
    </comment>
    <comment ref="F163" authorId="0" shapeId="0">
      <text>
        <t>Source: BLS page, 2025-12-01, https://www.bls.gov/cpi/tables/relative-importance/</t>
      </text>
    </comment>
    <comment ref="D164" authorId="0" shapeId="0">
      <text>
        <t>Source: BLS page, 2025-12-01, https://www.bls.gov/web/cpi/cpi-relative-importance.xlsx</t>
      </text>
    </comment>
    <comment ref="E164" authorId="0" shapeId="0">
      <text>
        <t>Source: BLS page, 2025-12-01, https://www.bls.gov/web/cpi/cpi-relative-importance.xlsx</t>
      </text>
    </comment>
    <comment ref="F164" authorId="0" shapeId="0">
      <text>
        <t>Source: BLS page, 2025-12-01, https://www.bls.gov/cpi/tables/relative-importance/</t>
      </text>
    </comment>
    <comment ref="D165" authorId="0" shapeId="0">
      <text>
        <t>Source: BLS page, 2025-12-01, https://www.bls.gov/web/cpi/cpi-relative-importance.xlsx</t>
      </text>
    </comment>
    <comment ref="E165" authorId="0" shapeId="0">
      <text>
        <t>Source: BLS page, 2025-12-01, https://www.bls.gov/web/cpi/cpi-relative-importance.xlsx</t>
      </text>
    </comment>
    <comment ref="F165" authorId="0" shapeId="0">
      <text>
        <t>Source: BLS page, 2025-12-01, https://www.bls.gov/cpi/tables/relative-importance/</t>
      </text>
    </comment>
    <comment ref="D166" authorId="0" shapeId="0">
      <text>
        <t>Source: BLS page, 2025-12-01, https://www.bls.gov/web/cpi/cpi-relative-importance.xlsx</t>
      </text>
    </comment>
    <comment ref="E166" authorId="0" shapeId="0">
      <text>
        <t>Source: BLS page, 2025-12-01, https://www.bls.gov/web/cpi/cpi-relative-importance.xlsx</t>
      </text>
    </comment>
    <comment ref="F166" authorId="0" shapeId="0">
      <text>
        <t>Source: BLS page, 2025-12-01, https://www.bls.gov/cpi/tables/relative-importance/</t>
      </text>
    </comment>
    <comment ref="D167" authorId="0" shapeId="0">
      <text>
        <t>Source: BLS page, 2025-12-01, https://www.bls.gov/web/cpi/cpi-relative-importance.xlsx</t>
      </text>
    </comment>
    <comment ref="E167" authorId="0" shapeId="0">
      <text>
        <t>Source: BLS page, 2025-12-01, https://www.bls.gov/web/cpi/cpi-relative-importance.xlsx</t>
      </text>
    </comment>
    <comment ref="F167" authorId="0" shapeId="0">
      <text>
        <t>Source: BLS page, 2025-12-01, https://www.bls.gov/cpi/tables/relative-importance/</t>
      </text>
    </comment>
    <comment ref="D168" authorId="0" shapeId="0">
      <text>
        <t>Source: BLS page, 2025-12-01, https://www.bls.gov/web/cpi/cpi-relative-importance.xlsx</t>
      </text>
    </comment>
    <comment ref="E168" authorId="0" shapeId="0">
      <text>
        <t>Source: BLS page, 2025-12-01, https://www.bls.gov/web/cpi/cpi-relative-importance.xlsx</t>
      </text>
    </comment>
    <comment ref="F168" authorId="0" shapeId="0">
      <text>
        <t>Source: BLS page, 2025-12-01, https://www.bls.gov/cpi/tables/relative-importance/</t>
      </text>
    </comment>
    <comment ref="D169" authorId="0" shapeId="0">
      <text>
        <t>Source: BLS page, 2025-12-01, https://www.bls.gov/web/cpi/cpi-relative-importance.xlsx</t>
      </text>
    </comment>
    <comment ref="E169" authorId="0" shapeId="0">
      <text>
        <t>Source: BLS page, 2025-12-01, https://www.bls.gov/web/cpi/cpi-relative-importance.xlsx</t>
      </text>
    </comment>
    <comment ref="F169" authorId="0" shapeId="0">
      <text>
        <t>Source: BLS page, 2025-12-01, https://www.bls.gov/cpi/tables/relative-importance/</t>
      </text>
    </comment>
    <comment ref="D170" authorId="0" shapeId="0">
      <text>
        <t>Source: BLS page, 2025-12-01, https://www.bls.gov/web/cpi/cpi-relative-importance.xlsx</t>
      </text>
    </comment>
    <comment ref="E170" authorId="0" shapeId="0">
      <text>
        <t>Source: BLS page, 2025-12-01, https://www.bls.gov/web/cpi/cpi-relative-importance.xlsx</t>
      </text>
    </comment>
    <comment ref="F170" authorId="0" shapeId="0">
      <text>
        <t>Source: BLS page, 2025-12-01, https://www.bls.gov/cpi/tables/relative-importance/</t>
      </text>
    </comment>
    <comment ref="D171" authorId="0" shapeId="0">
      <text>
        <t>Source: BLS page, 2025-12-01, https://www.bls.gov/web/cpi/cpi-relative-importance.xlsx</t>
      </text>
    </comment>
    <comment ref="E171" authorId="0" shapeId="0">
      <text>
        <t>Source: BLS page, 2025-12-01, https://www.bls.gov/web/cpi/cpi-relative-importance.xlsx</t>
      </text>
    </comment>
    <comment ref="F171" authorId="0" shapeId="0">
      <text>
        <t>Source: BLS page, 2025-12-01, https://www.bls.gov/cpi/tables/relative-importance/</t>
      </text>
    </comment>
    <comment ref="D172" authorId="0" shapeId="0">
      <text>
        <t>Source: BLS page, 2025-12-01, https://www.bls.gov/web/cpi/cpi-relative-importance.xlsx</t>
      </text>
    </comment>
    <comment ref="E172" authorId="0" shapeId="0">
      <text>
        <t>Source: BLS page, 2025-12-01, https://www.bls.gov/web/cpi/cpi-relative-importance.xlsx</t>
      </text>
    </comment>
    <comment ref="F172" authorId="0" shapeId="0">
      <text>
        <t>Source: BLS page, 2025-12-01, https://www.bls.gov/cpi/tables/relative-importance/</t>
      </text>
    </comment>
    <comment ref="D173" authorId="0" shapeId="0">
      <text>
        <t>Source: BLS page, 2025-12-01, https://www.bls.gov/web/cpi/cpi-relative-importance.xlsx</t>
      </text>
    </comment>
    <comment ref="E173" authorId="0" shapeId="0">
      <text>
        <t>Source: BLS page, 2025-12-01, https://www.bls.gov/web/cpi/cpi-relative-importance.xlsx</t>
      </text>
    </comment>
    <comment ref="F173" authorId="0" shapeId="0">
      <text>
        <t>Source: BLS page, 2025-12-01, https://www.bls.gov/cpi/tables/relative-importance/</t>
      </text>
    </comment>
    <comment ref="D174" authorId="0" shapeId="0">
      <text>
        <t>Source: BLS page, 2025-12-01, https://www.bls.gov/web/cpi/cpi-relative-importance.xlsx</t>
      </text>
    </comment>
    <comment ref="E174" authorId="0" shapeId="0">
      <text>
        <t>Source: BLS page, 2025-12-01, https://www.bls.gov/web/cpi/cpi-relative-importance.xlsx</t>
      </text>
    </comment>
    <comment ref="F174" authorId="0" shapeId="0">
      <text>
        <t>Source: BLS page, 2025-12-01, https://www.bls.gov/cpi/tables/relative-importance/</t>
      </text>
    </comment>
    <comment ref="D175" authorId="0" shapeId="0">
      <text>
        <t>Source: BLS page, 2025-12-01, https://www.bls.gov/web/cpi/cpi-relative-importance.xlsx</t>
      </text>
    </comment>
    <comment ref="E175" authorId="0" shapeId="0">
      <text>
        <t>Source: BLS page, 2025-12-01, https://www.bls.gov/web/cpi/cpi-relative-importance.xlsx</t>
      </text>
    </comment>
    <comment ref="F175" authorId="0" shapeId="0">
      <text>
        <t>Source: BLS page, 2025-12-01, https://www.bls.gov/cpi/tables/relative-importance/</t>
      </text>
    </comment>
    <comment ref="D176" authorId="0" shapeId="0">
      <text>
        <t>Source: BLS page, 2025-12-01, https://www.bls.gov/web/cpi/cpi-relative-importance.xlsx</t>
      </text>
    </comment>
    <comment ref="E176" authorId="0" shapeId="0">
      <text>
        <t>Source: BLS page, 2025-12-01, https://www.bls.gov/web/cpi/cpi-relative-importance.xlsx</t>
      </text>
    </comment>
    <comment ref="F176" authorId="0" shapeId="0">
      <text>
        <t>Source: BLS page, 2025-12-01, https://www.bls.gov/cpi/tables/relative-importance/</t>
      </text>
    </comment>
    <comment ref="D177" authorId="0" shapeId="0">
      <text>
        <t>Source: BLS page, 2025-12-01, https://www.bls.gov/web/cpi/cpi-relative-importance.xlsx</t>
      </text>
    </comment>
    <comment ref="E177" authorId="0" shapeId="0">
      <text>
        <t>Source: BLS page, 2025-12-01, https://www.bls.gov/web/cpi/cpi-relative-importance.xlsx</t>
      </text>
    </comment>
    <comment ref="F177" authorId="0" shapeId="0">
      <text>
        <t>Source: BLS page, 2025-12-01, https://www.bls.gov/cpi/tables/relative-importance/</t>
      </text>
    </comment>
    <comment ref="D178" authorId="0" shapeId="0">
      <text>
        <t>Source: BLS page, 2025-12-01, https://www.bls.gov/web/cpi/cpi-relative-importance.xlsx</t>
      </text>
    </comment>
    <comment ref="E178" authorId="0" shapeId="0">
      <text>
        <t>Source: BLS page, 2025-12-01, https://www.bls.gov/web/cpi/cpi-relative-importance.xlsx</t>
      </text>
    </comment>
    <comment ref="F178" authorId="0" shapeId="0">
      <text>
        <t>Source: BLS page, 2025-12-01, https://www.bls.gov/cpi/tables/relative-importance/</t>
      </text>
    </comment>
    <comment ref="D179" authorId="0" shapeId="0">
      <text>
        <t>Source: BLS page, 2025-12-01, https://www.bls.gov/web/cpi/cpi-relative-importance.xlsx</t>
      </text>
    </comment>
    <comment ref="E179" authorId="0" shapeId="0">
      <text>
        <t>Source: BLS page, 2025-12-01, https://www.bls.gov/web/cpi/cpi-relative-importance.xlsx</t>
      </text>
    </comment>
    <comment ref="F179" authorId="0" shapeId="0">
      <text>
        <t>Source: BLS page, 2025-12-01, https://www.bls.gov/cpi/tables/relative-importance/</t>
      </text>
    </comment>
    <comment ref="D180" authorId="0" shapeId="0">
      <text>
        <t>Source: BLS page, 2025-12-01, https://www.bls.gov/web/cpi/cpi-relative-importance.xlsx</t>
      </text>
    </comment>
    <comment ref="E180" authorId="0" shapeId="0">
      <text>
        <t>Source: BLS page, 2025-12-01, https://www.bls.gov/web/cpi/cpi-relative-importance.xlsx</t>
      </text>
    </comment>
    <comment ref="F180" authorId="0" shapeId="0">
      <text>
        <t>Source: BLS page, 2025-12-01, https://www.bls.gov/cpi/tables/relative-importance/</t>
      </text>
    </comment>
    <comment ref="D181" authorId="0" shapeId="0">
      <text>
        <t>Source: BLS page, 2025-12-01, https://www.bls.gov/web/cpi/cpi-relative-importance.xlsx</t>
      </text>
    </comment>
    <comment ref="E181" authorId="0" shapeId="0">
      <text>
        <t>Source: BLS page, 2025-12-01, https://www.bls.gov/web/cpi/cpi-relative-importance.xlsx</t>
      </text>
    </comment>
    <comment ref="F181" authorId="0" shapeId="0">
      <text>
        <t>Source: BLS page, 2025-12-01, https://www.bls.gov/cpi/tables/relative-importance/</t>
      </text>
    </comment>
    <comment ref="D182" authorId="0" shapeId="0">
      <text>
        <t>Source: BLS page, 2025-12-01, https://www.bls.gov/web/cpi/cpi-relative-importance.xlsx</t>
      </text>
    </comment>
    <comment ref="E182" authorId="0" shapeId="0">
      <text>
        <t>Source: BLS page, 2025-12-01, https://www.bls.gov/web/cpi/cpi-relative-importance.xlsx</t>
      </text>
    </comment>
    <comment ref="F182" authorId="0" shapeId="0">
      <text>
        <t>Source: BLS page, 2025-12-01, https://www.bls.gov/cpi/tables/relative-importance/</t>
      </text>
    </comment>
    <comment ref="D183" authorId="0" shapeId="0">
      <text>
        <t>Source: BLS page, 2025-12-01, https://www.bls.gov/web/cpi/cpi-relative-importance.xlsx</t>
      </text>
    </comment>
    <comment ref="E183" authorId="0" shapeId="0">
      <text>
        <t>Source: BLS page, 2025-12-01, https://www.bls.gov/web/cpi/cpi-relative-importance.xlsx</t>
      </text>
    </comment>
    <comment ref="F183" authorId="0" shapeId="0">
      <text>
        <t>Source: BLS page, 2025-12-01, https://www.bls.gov/cpi/tables/relative-importance/</t>
      </text>
    </comment>
    <comment ref="D184" authorId="0" shapeId="0">
      <text>
        <t>Source: BLS page, 2025-12-01, https://www.bls.gov/web/cpi/cpi-relative-importance.xlsx</t>
      </text>
    </comment>
    <comment ref="E184" authorId="0" shapeId="0">
      <text>
        <t>Source: BLS page, 2025-12-01, https://www.bls.gov/web/cpi/cpi-relative-importance.xlsx</t>
      </text>
    </comment>
    <comment ref="F184" authorId="0" shapeId="0">
      <text>
        <t>Source: BLS page, 2025-12-01, https://www.bls.gov/cpi/tables/relative-importance/</t>
      </text>
    </comment>
    <comment ref="D185" authorId="0" shapeId="0">
      <text>
        <t>Source: BLS page, 2025-12-01, https://www.bls.gov/web/cpi/cpi-relative-importance.xlsx</t>
      </text>
    </comment>
    <comment ref="E185" authorId="0" shapeId="0">
      <text>
        <t>Source: BLS page, 2025-12-01, https://www.bls.gov/web/cpi/cpi-relative-importance.xlsx</t>
      </text>
    </comment>
    <comment ref="F185" authorId="0" shapeId="0">
      <text>
        <t>Source: BLS page, 2025-12-01, https://www.bls.gov/cpi/tables/relative-importance/</t>
      </text>
    </comment>
    <comment ref="D186" authorId="0" shapeId="0">
      <text>
        <t>Source: BLS page, 2025-12-01, https://www.bls.gov/web/cpi/cpi-relative-importance.xlsx</t>
      </text>
    </comment>
    <comment ref="E186" authorId="0" shapeId="0">
      <text>
        <t>Source: BLS page, 2025-12-01, https://www.bls.gov/web/cpi/cpi-relative-importance.xlsx</t>
      </text>
    </comment>
    <comment ref="F186" authorId="0" shapeId="0">
      <text>
        <t>Source: BLS page, 2025-12-01, https://www.bls.gov/cpi/tables/relative-importance/</t>
      </text>
    </comment>
    <comment ref="D187" authorId="0" shapeId="0">
      <text>
        <t>Source: BLS page, 2025-12-01, https://www.bls.gov/web/cpi/cpi-relative-importance.xlsx</t>
      </text>
    </comment>
    <comment ref="E187" authorId="0" shapeId="0">
      <text>
        <t>Source: BLS page, 2025-12-01, https://www.bls.gov/web/cpi/cpi-relative-importance.xlsx</t>
      </text>
    </comment>
    <comment ref="F187" authorId="0" shapeId="0">
      <text>
        <t>Source: BLS page, 2025-12-01, https://www.bls.gov/cpi/tables/relative-importance/</t>
      </text>
    </comment>
    <comment ref="D188" authorId="0" shapeId="0">
      <text>
        <t>Source: BLS page, 2025-12-01, https://www.bls.gov/web/cpi/cpi-relative-importance.xlsx</t>
      </text>
    </comment>
    <comment ref="E188" authorId="0" shapeId="0">
      <text>
        <t>Source: BLS page, 2025-12-01, https://www.bls.gov/web/cpi/cpi-relative-importance.xlsx</t>
      </text>
    </comment>
    <comment ref="F188" authorId="0" shapeId="0">
      <text>
        <t>Source: BLS page, 2025-12-01, https://www.bls.gov/cpi/tables/relative-importance/</t>
      </text>
    </comment>
    <comment ref="D189" authorId="0" shapeId="0">
      <text>
        <t>Source: BLS page, 2025-12-01, https://www.bls.gov/web/cpi/cpi-relative-importance.xlsx</t>
      </text>
    </comment>
    <comment ref="E189" authorId="0" shapeId="0">
      <text>
        <t>Source: BLS page, 2025-12-01, https://www.bls.gov/web/cpi/cpi-relative-importance.xlsx</t>
      </text>
    </comment>
    <comment ref="F189" authorId="0" shapeId="0">
      <text>
        <t>Source: BLS page, 2025-12-01, https://www.bls.gov/cpi/tables/relative-importance/</t>
      </text>
    </comment>
    <comment ref="D190" authorId="0" shapeId="0">
      <text>
        <t>Source: BLS page, 2025-12-01, https://www.bls.gov/web/cpi/cpi-relative-importance.xlsx</t>
      </text>
    </comment>
    <comment ref="E190" authorId="0" shapeId="0">
      <text>
        <t>Source: BLS page, 2025-12-01, https://www.bls.gov/web/cpi/cpi-relative-importance.xlsx</t>
      </text>
    </comment>
    <comment ref="F190" authorId="0" shapeId="0">
      <text>
        <t>Source: BLS page, 2025-12-01, https://www.bls.gov/cpi/tables/relative-importance/</t>
      </text>
    </comment>
    <comment ref="D191" authorId="0" shapeId="0">
      <text>
        <t>Source: BLS page, 2025-12-01, https://www.bls.gov/web/cpi/cpi-relative-importance.xlsx</t>
      </text>
    </comment>
    <comment ref="E191" authorId="0" shapeId="0">
      <text>
        <t>Source: BLS page, 2025-12-01, https://www.bls.gov/web/cpi/cpi-relative-importance.xlsx</t>
      </text>
    </comment>
    <comment ref="F191" authorId="0" shapeId="0">
      <text>
        <t>Source: BLS page, 2025-12-01, https://www.bls.gov/cpi/tables/relative-importance/</t>
      </text>
    </comment>
    <comment ref="D192" authorId="0" shapeId="0">
      <text>
        <t>Source: BLS page, 2025-12-01, https://www.bls.gov/web/cpi/cpi-relative-importance.xlsx</t>
      </text>
    </comment>
    <comment ref="E192" authorId="0" shapeId="0">
      <text>
        <t>Source: BLS page, 2025-12-01, https://www.bls.gov/web/cpi/cpi-relative-importance.xlsx</t>
      </text>
    </comment>
    <comment ref="F192" authorId="0" shapeId="0">
      <text>
        <t>Source: BLS page, 2025-12-01, https://www.bls.gov/cpi/tables/relative-importance/</t>
      </text>
    </comment>
    <comment ref="D193" authorId="0" shapeId="0">
      <text>
        <t>Source: BLS page, 2025-12-01, https://www.bls.gov/web/cpi/cpi-relative-importance.xlsx</t>
      </text>
    </comment>
    <comment ref="E193" authorId="0" shapeId="0">
      <text>
        <t>Source: BLS page, 2025-12-01, https://www.bls.gov/web/cpi/cpi-relative-importance.xlsx</t>
      </text>
    </comment>
    <comment ref="F193" authorId="0" shapeId="0">
      <text>
        <t>Source: BLS page, 2025-12-01, https://www.bls.gov/cpi/tables/relative-importance/</t>
      </text>
    </comment>
    <comment ref="D194" authorId="0" shapeId="0">
      <text>
        <t>Source: BLS page, 2025-12-01, https://www.bls.gov/web/cpi/cpi-relative-importance.xlsx</t>
      </text>
    </comment>
    <comment ref="E194" authorId="0" shapeId="0">
      <text>
        <t>Source: BLS page, 2025-12-01, https://www.bls.gov/web/cpi/cpi-relative-importance.xlsx</t>
      </text>
    </comment>
    <comment ref="F194" authorId="0" shapeId="0">
      <text>
        <t>Source: BLS page, 2025-12-01, https://www.bls.gov/cpi/tables/relative-importance/</t>
      </text>
    </comment>
    <comment ref="D195" authorId="0" shapeId="0">
      <text>
        <t>Source: BLS page, 2025-12-01, https://www.bls.gov/web/cpi/cpi-relative-importance.xlsx</t>
      </text>
    </comment>
    <comment ref="E195" authorId="0" shapeId="0">
      <text>
        <t>Source: BLS page, 2025-12-01, https://www.bls.gov/web/cpi/cpi-relative-importance.xlsx</t>
      </text>
    </comment>
    <comment ref="F195" authorId="0" shapeId="0">
      <text>
        <t>Source: BLS page, 2025-12-01, https://www.bls.gov/cpi/tables/relative-importance/</t>
      </text>
    </comment>
    <comment ref="D196" authorId="0" shapeId="0">
      <text>
        <t>Source: BLS page, 2025-12-01, https://www.bls.gov/web/cpi/cpi-relative-importance.xlsx</t>
      </text>
    </comment>
    <comment ref="E196" authorId="0" shapeId="0">
      <text>
        <t>Source: BLS page, 2025-12-01, https://www.bls.gov/web/cpi/cpi-relative-importance.xlsx</t>
      </text>
    </comment>
    <comment ref="F196" authorId="0" shapeId="0">
      <text>
        <t>Source: BLS page, 2025-12-01, https://www.bls.gov/cpi/tables/relative-importance/</t>
      </text>
    </comment>
    <comment ref="D197" authorId="0" shapeId="0">
      <text>
        <t>Source: BLS page, 2025-12-01, https://www.bls.gov/web/cpi/cpi-relative-importance.xlsx</t>
      </text>
    </comment>
    <comment ref="E197" authorId="0" shapeId="0">
      <text>
        <t>Source: BLS page, 2025-12-01, https://www.bls.gov/web/cpi/cpi-relative-importance.xlsx</t>
      </text>
    </comment>
    <comment ref="F197" authorId="0" shapeId="0">
      <text>
        <t>Source: BLS page, 2025-12-01, https://www.bls.gov/cpi/tables/relative-importance/</t>
      </text>
    </comment>
    <comment ref="D198" authorId="0" shapeId="0">
      <text>
        <t>Source: BLS page, 2025-12-01, https://www.bls.gov/web/cpi/cpi-relative-importance.xlsx</t>
      </text>
    </comment>
    <comment ref="E198" authorId="0" shapeId="0">
      <text>
        <t>Source: BLS page, 2025-12-01, https://www.bls.gov/web/cpi/cpi-relative-importance.xlsx</t>
      </text>
    </comment>
    <comment ref="F198" authorId="0" shapeId="0">
      <text>
        <t>Source: BLS page, 2025-12-01, https://www.bls.gov/cpi/tables/relative-importance/</t>
      </text>
    </comment>
    <comment ref="D199" authorId="0" shapeId="0">
      <text>
        <t>Source: BLS page, 2025-12-01, https://www.bls.gov/web/cpi/cpi-relative-importance.xlsx</t>
      </text>
    </comment>
    <comment ref="E199" authorId="0" shapeId="0">
      <text>
        <t>Source: BLS page, 2025-12-01, https://www.bls.gov/web/cpi/cpi-relative-importance.xlsx</t>
      </text>
    </comment>
    <comment ref="F199" authorId="0" shapeId="0">
      <text>
        <t>Source: BLS page, 2025-12-01, https://www.bls.gov/cpi/tables/relative-importance/</t>
      </text>
    </comment>
    <comment ref="D200" authorId="0" shapeId="0">
      <text>
        <t>Source: BLS page, 2025-12-01, https://www.bls.gov/web/cpi/cpi-relative-importance.xlsx</t>
      </text>
    </comment>
    <comment ref="E200" authorId="0" shapeId="0">
      <text>
        <t>Source: BLS page, 2025-12-01, https://www.bls.gov/web/cpi/cpi-relative-importance.xlsx</t>
      </text>
    </comment>
    <comment ref="F200" authorId="0" shapeId="0">
      <text>
        <t>Source: BLS page, 2025-12-01, https://www.bls.gov/cpi/tables/relative-importance/</t>
      </text>
    </comment>
    <comment ref="D201" authorId="0" shapeId="0">
      <text>
        <t>Source: BLS page, 2025-12-01, https://www.bls.gov/web/cpi/cpi-relative-importance.xlsx</t>
      </text>
    </comment>
    <comment ref="E201" authorId="0" shapeId="0">
      <text>
        <t>Source: BLS page, 2025-12-01, https://www.bls.gov/web/cpi/cpi-relative-importance.xlsx</t>
      </text>
    </comment>
    <comment ref="F201" authorId="0" shapeId="0">
      <text>
        <t>Source: BLS page, 2025-12-01, https://www.bls.gov/cpi/tables/relative-importance/</t>
      </text>
    </comment>
    <comment ref="D202" authorId="0" shapeId="0">
      <text>
        <t>Source: BLS page, 2025-12-01, https://www.bls.gov/web/cpi/cpi-relative-importance.xlsx</t>
      </text>
    </comment>
    <comment ref="E202" authorId="0" shapeId="0">
      <text>
        <t>Source: BLS page, 2025-12-01, https://www.bls.gov/web/cpi/cpi-relative-importance.xlsx</t>
      </text>
    </comment>
    <comment ref="F202" authorId="0" shapeId="0">
      <text>
        <t>Source: BLS page, 2025-12-01, https://www.bls.gov/cpi/tables/relative-importance/</t>
      </text>
    </comment>
    <comment ref="D203" authorId="0" shapeId="0">
      <text>
        <t>Source: BLS page, 2025-12-01, https://www.bls.gov/web/cpi/cpi-relative-importance.xlsx</t>
      </text>
    </comment>
    <comment ref="E203" authorId="0" shapeId="0">
      <text>
        <t>Source: BLS page, 2025-12-01, https://www.bls.gov/web/cpi/cpi-relative-importance.xlsx</t>
      </text>
    </comment>
    <comment ref="F203" authorId="0" shapeId="0">
      <text>
        <t>Source: BLS page, 2025-12-01, https://www.bls.gov/cpi/tables/relative-importance/</t>
      </text>
    </comment>
    <comment ref="D204" authorId="0" shapeId="0">
      <text>
        <t>Source: BLS page, 2025-12-01, https://www.bls.gov/web/cpi/cpi-relative-importance.xlsx</t>
      </text>
    </comment>
    <comment ref="E204" authorId="0" shapeId="0">
      <text>
        <t>Source: BLS page, 2025-12-01, https://www.bls.gov/web/cpi/cpi-relative-importance.xlsx</t>
      </text>
    </comment>
    <comment ref="F204" authorId="0" shapeId="0">
      <text>
        <t>Source: BLS page, 2025-12-01, https://www.bls.gov/cpi/tables/relative-importance/</t>
      </text>
    </comment>
    <comment ref="D205" authorId="0" shapeId="0">
      <text>
        <t>Source: BLS page, 2025-12-01, https://www.bls.gov/web/cpi/cpi-relative-importance.xlsx</t>
      </text>
    </comment>
    <comment ref="E205" authorId="0" shapeId="0">
      <text>
        <t>Source: BLS page, 2025-12-01, https://www.bls.gov/web/cpi/cpi-relative-importance.xlsx</t>
      </text>
    </comment>
    <comment ref="F205" authorId="0" shapeId="0">
      <text>
        <t>Source: BLS page, 2025-12-01, https://www.bls.gov/cpi/tables/relative-importance/</t>
      </text>
    </comment>
    <comment ref="D206" authorId="0" shapeId="0">
      <text>
        <t>Source: BLS page, 2025-12-01, https://www.bls.gov/web/cpi/cpi-relative-importance.xlsx</t>
      </text>
    </comment>
    <comment ref="E206" authorId="0" shapeId="0">
      <text>
        <t>Source: BLS page, 2025-12-01, https://www.bls.gov/web/cpi/cpi-relative-importance.xlsx</t>
      </text>
    </comment>
    <comment ref="F206" authorId="0" shapeId="0">
      <text>
        <t>Source: BLS page, 2025-12-01, https://www.bls.gov/cpi/tables/relative-importance/</t>
      </text>
    </comment>
    <comment ref="D207" authorId="0" shapeId="0">
      <text>
        <t>Source: BLS page, 2025-12-01, https://www.bls.gov/web/cpi/cpi-relative-importance.xlsx</t>
      </text>
    </comment>
    <comment ref="E207" authorId="0" shapeId="0">
      <text>
        <t>Source: BLS page, 2025-12-01, https://www.bls.gov/web/cpi/cpi-relative-importance.xlsx</t>
      </text>
    </comment>
    <comment ref="F207" authorId="0" shapeId="0">
      <text>
        <t>Source: BLS page, 2025-12-01, https://www.bls.gov/cpi/tables/relative-importance/</t>
      </text>
    </comment>
    <comment ref="D208" authorId="0" shapeId="0">
      <text>
        <t>Source: BLS page, 2025-12-01, https://www.bls.gov/web/cpi/cpi-relative-importance.xlsx</t>
      </text>
    </comment>
    <comment ref="E208" authorId="0" shapeId="0">
      <text>
        <t>Source: BLS page, 2025-12-01, https://www.bls.gov/web/cpi/cpi-relative-importance.xlsx</t>
      </text>
    </comment>
    <comment ref="F208" authorId="0" shapeId="0">
      <text>
        <t>Source: BLS page, 2025-12-01, https://www.bls.gov/cpi/tables/relative-importance/</t>
      </text>
    </comment>
    <comment ref="D209" authorId="0" shapeId="0">
      <text>
        <t>Source: BLS page, 2025-12-01, https://www.bls.gov/web/cpi/cpi-relative-importance.xlsx</t>
      </text>
    </comment>
    <comment ref="E209" authorId="0" shapeId="0">
      <text>
        <t>Source: BLS page, 2025-12-01, https://www.bls.gov/web/cpi/cpi-relative-importance.xlsx</t>
      </text>
    </comment>
    <comment ref="F209" authorId="0" shapeId="0">
      <text>
        <t>Source: BLS page, 2025-12-01, https://www.bls.gov/cpi/tables/relative-importance/</t>
      </text>
    </comment>
    <comment ref="D210" authorId="0" shapeId="0">
      <text>
        <t>Source: BLS page, 2025-12-01, https://www.bls.gov/web/cpi/cpi-relative-importance.xlsx</t>
      </text>
    </comment>
    <comment ref="E210" authorId="0" shapeId="0">
      <text>
        <t>Source: BLS page, 2025-12-01, https://www.bls.gov/web/cpi/cpi-relative-importance.xlsx</t>
      </text>
    </comment>
    <comment ref="F210" authorId="0" shapeId="0">
      <text>
        <t>Source: BLS page, 2025-12-01, https://www.bls.gov/cpi/tables/relative-importance/</t>
      </text>
    </comment>
    <comment ref="D211" authorId="0" shapeId="0">
      <text>
        <t>Source: BLS page, 2025-12-01, https://www.bls.gov/web/cpi/cpi-relative-importance.xlsx</t>
      </text>
    </comment>
    <comment ref="E211" authorId="0" shapeId="0">
      <text>
        <t>Source: BLS page, 2025-12-01, https://www.bls.gov/web/cpi/cpi-relative-importance.xlsx</t>
      </text>
    </comment>
    <comment ref="F211" authorId="0" shapeId="0">
      <text>
        <t>Source: BLS page, 2025-12-01, https://www.bls.gov/cpi/tables/relative-importance/</t>
      </text>
    </comment>
    <comment ref="D212" authorId="0" shapeId="0">
      <text>
        <t>Source: BLS page, 2025-12-01, https://www.bls.gov/web/cpi/cpi-relative-importance.xlsx</t>
      </text>
    </comment>
    <comment ref="E212" authorId="0" shapeId="0">
      <text>
        <t>Source: BLS page, 2025-12-01, https://www.bls.gov/web/cpi/cpi-relative-importance.xlsx</t>
      </text>
    </comment>
    <comment ref="F212" authorId="0" shapeId="0">
      <text>
        <t>Source: BLS page, 2025-12-01, https://www.bls.gov/cpi/tables/relative-importance/</t>
      </text>
    </comment>
    <comment ref="D213" authorId="0" shapeId="0">
      <text>
        <t>Source: BLS page, 2025-12-01, https://www.bls.gov/web/cpi/cpi-relative-importance.xlsx</t>
      </text>
    </comment>
    <comment ref="E213" authorId="0" shapeId="0">
      <text>
        <t>Source: BLS page, 2025-12-01, https://www.bls.gov/web/cpi/cpi-relative-importance.xlsx</t>
      </text>
    </comment>
    <comment ref="F213" authorId="0" shapeId="0">
      <text>
        <t>Source: BLS page, 2025-12-01, https://www.bls.gov/cpi/tables/relative-importance/</t>
      </text>
    </comment>
    <comment ref="D214" authorId="0" shapeId="0">
      <text>
        <t>Source: BLS page, 2025-12-01, https://www.bls.gov/web/cpi/cpi-relative-importance.xlsx</t>
      </text>
    </comment>
    <comment ref="E214" authorId="0" shapeId="0">
      <text>
        <t>Source: BLS page, 2025-12-01, https://www.bls.gov/web/cpi/cpi-relative-importance.xlsx</t>
      </text>
    </comment>
    <comment ref="F214" authorId="0" shapeId="0">
      <text>
        <t>Source: BLS page, 2025-12-01, https://www.bls.gov/cpi/tables/relative-importance/</t>
      </text>
    </comment>
    <comment ref="D215" authorId="0" shapeId="0">
      <text>
        <t>Source: BLS page, 2025-12-01, https://www.bls.gov/web/cpi/cpi-relative-importance.xlsx</t>
      </text>
    </comment>
    <comment ref="E215" authorId="0" shapeId="0">
      <text>
        <t>Source: BLS page, 2025-12-01, https://www.bls.gov/web/cpi/cpi-relative-importance.xlsx</t>
      </text>
    </comment>
    <comment ref="F215" authorId="0" shapeId="0">
      <text>
        <t>Source: BLS page, 2025-12-01, https://www.bls.gov/cpi/tables/relative-importance/</t>
      </text>
    </comment>
    <comment ref="D216" authorId="0" shapeId="0">
      <text>
        <t>Source: BLS page, 2025-12-01, https://www.bls.gov/web/cpi/cpi-relative-importance.xlsx</t>
      </text>
    </comment>
    <comment ref="E216" authorId="0" shapeId="0">
      <text>
        <t>Source: BLS page, 2025-12-01, https://www.bls.gov/web/cpi/cpi-relative-importance.xlsx</t>
      </text>
    </comment>
    <comment ref="F216" authorId="0" shapeId="0">
      <text>
        <t>Source: BLS page, 2025-12-01, https://www.bls.gov/cpi/tables/relative-importance/</t>
      </text>
    </comment>
    <comment ref="D217" authorId="0" shapeId="0">
      <text>
        <t>Source: BLS page, 2025-12-01, https://www.bls.gov/web/cpi/cpi-relative-importance.xlsx</t>
      </text>
    </comment>
    <comment ref="E217" authorId="0" shapeId="0">
      <text>
        <t>Source: BLS page, 2025-12-01, https://www.bls.gov/web/cpi/cpi-relative-importance.xlsx</t>
      </text>
    </comment>
    <comment ref="F217" authorId="0" shapeId="0">
      <text>
        <t>Source: BLS page, 2025-12-01, https://www.bls.gov/cpi/tables/relative-importance/</t>
      </text>
    </comment>
    <comment ref="D218" authorId="0" shapeId="0">
      <text>
        <t>Source: BLS page, 2025-12-01, https://www.bls.gov/web/cpi/cpi-relative-importance.xlsx</t>
      </text>
    </comment>
    <comment ref="E218" authorId="0" shapeId="0">
      <text>
        <t>Source: BLS page, 2025-12-01, https://www.bls.gov/web/cpi/cpi-relative-importance.xlsx</t>
      </text>
    </comment>
    <comment ref="F218" authorId="0" shapeId="0">
      <text>
        <t>Source: BLS page, 2025-12-01, https://www.bls.gov/cpi/tables/relative-importance/</t>
      </text>
    </comment>
    <comment ref="D219" authorId="0" shapeId="0">
      <text>
        <t>Source: BLS page, 2025-12-01, https://www.bls.gov/web/cpi/cpi-relative-importance.xlsx</t>
      </text>
    </comment>
    <comment ref="E219" authorId="0" shapeId="0">
      <text>
        <t>Source: BLS page, 2025-12-01, https://www.bls.gov/web/cpi/cpi-relative-importance.xlsx</t>
      </text>
    </comment>
    <comment ref="F219" authorId="0" shapeId="0">
      <text>
        <t>Source: BLS page, 2025-12-01, https://www.bls.gov/cpi/tables/relative-importance/</t>
      </text>
    </comment>
    <comment ref="D220" authorId="0" shapeId="0">
      <text>
        <t>Source: BLS page, 2025-12-01, https://www.bls.gov/web/cpi/cpi-relative-importance.xlsx</t>
      </text>
    </comment>
    <comment ref="E220" authorId="0" shapeId="0">
      <text>
        <t>Source: BLS page, 2025-12-01, https://www.bls.gov/web/cpi/cpi-relative-importance.xlsx</t>
      </text>
    </comment>
    <comment ref="F220" authorId="0" shapeId="0">
      <text>
        <t>Source: BLS page, 2025-12-01, https://www.bls.gov/cpi/tables/relative-importance/</t>
      </text>
    </comment>
    <comment ref="D221" authorId="0" shapeId="0">
      <text>
        <t>Source: BLS page, 2025-12-01, https://www.bls.gov/web/cpi/cpi-relative-importance.xlsx</t>
      </text>
    </comment>
    <comment ref="E221" authorId="0" shapeId="0">
      <text>
        <t>Source: BLS page, 2025-12-01, https://www.bls.gov/web/cpi/cpi-relative-importance.xlsx</t>
      </text>
    </comment>
    <comment ref="F221" authorId="0" shapeId="0">
      <text>
        <t>Source: BLS page, 2025-12-01, https://www.bls.gov/cpi/tables/relative-importance/</t>
      </text>
    </comment>
    <comment ref="D222" authorId="0" shapeId="0">
      <text>
        <t>Source: BLS page, 2025-12-01, https://www.bls.gov/web/cpi/cpi-relative-importance.xlsx</t>
      </text>
    </comment>
    <comment ref="E222" authorId="0" shapeId="0">
      <text>
        <t>Source: BLS page, 2025-12-01, https://www.bls.gov/web/cpi/cpi-relative-importance.xlsx</t>
      </text>
    </comment>
    <comment ref="F222" authorId="0" shapeId="0">
      <text>
        <t>Source: BLS page, 2025-12-01, https://www.bls.gov/cpi/tables/relative-importance/</t>
      </text>
    </comment>
    <comment ref="D223" authorId="0" shapeId="0">
      <text>
        <t>Source: BLS page, 2025-12-01, https://www.bls.gov/web/cpi/cpi-relative-importance.xlsx</t>
      </text>
    </comment>
    <comment ref="E223" authorId="0" shapeId="0">
      <text>
        <t>Source: BLS page, 2025-12-01, https://www.bls.gov/web/cpi/cpi-relative-importance.xlsx</t>
      </text>
    </comment>
    <comment ref="F223" authorId="0" shapeId="0">
      <text>
        <t>Source: BLS page, 2025-12-01, https://www.bls.gov/cpi/tables/relative-importance/</t>
      </text>
    </comment>
    <comment ref="D224" authorId="0" shapeId="0">
      <text>
        <t>Source: BLS page, 2025-12-01, https://www.bls.gov/web/cpi/cpi-relative-importance.xlsx</t>
      </text>
    </comment>
    <comment ref="E224" authorId="0" shapeId="0">
      <text>
        <t>Source: BLS page, 2025-12-01, https://www.bls.gov/web/cpi/cpi-relative-importance.xlsx</t>
      </text>
    </comment>
    <comment ref="F224" authorId="0" shapeId="0">
      <text>
        <t>Source: BLS page, 2025-12-01, https://www.bls.gov/cpi/tables/relative-importance/</t>
      </text>
    </comment>
    <comment ref="D225" authorId="0" shapeId="0">
      <text>
        <t>Source: BLS page, 2025-12-01, https://www.bls.gov/web/cpi/cpi-relative-importance.xlsx</t>
      </text>
    </comment>
    <comment ref="E225" authorId="0" shapeId="0">
      <text>
        <t>Source: BLS page, 2025-12-01, https://www.bls.gov/web/cpi/cpi-relative-importance.xlsx</t>
      </text>
    </comment>
    <comment ref="F225" authorId="0" shapeId="0">
      <text>
        <t>Source: BLS page, 2025-12-01, https://www.bls.gov/cpi/tables/relative-importance/</t>
      </text>
    </comment>
    <comment ref="D226" authorId="0" shapeId="0">
      <text>
        <t>Source: BLS page, 2025-12-01, https://www.bls.gov/web/cpi/cpi-relative-importance.xlsx</t>
      </text>
    </comment>
    <comment ref="E226" authorId="0" shapeId="0">
      <text>
        <t>Source: BLS page, 2025-12-01, https://www.bls.gov/web/cpi/cpi-relative-importance.xlsx</t>
      </text>
    </comment>
    <comment ref="F226" authorId="0" shapeId="0">
      <text>
        <t>Source: BLS page, 2025-12-01, https://www.bls.gov/cpi/tables/relative-importance/</t>
      </text>
    </comment>
    <comment ref="D227" authorId="0" shapeId="0">
      <text>
        <t>Source: BLS page, 2025-12-01, https://www.bls.gov/web/cpi/cpi-relative-importance.xlsx</t>
      </text>
    </comment>
    <comment ref="E227" authorId="0" shapeId="0">
      <text>
        <t>Source: BLS page, 2025-12-01, https://www.bls.gov/web/cpi/cpi-relative-importance.xlsx</t>
      </text>
    </comment>
    <comment ref="F227" authorId="0" shapeId="0">
      <text>
        <t>Source: BLS page, 2025-12-01, https://www.bls.gov/cpi/tables/relative-importance/</t>
      </text>
    </comment>
    <comment ref="D228" authorId="0" shapeId="0">
      <text>
        <t>Source: BLS page, 2025-12-01, https://www.bls.gov/web/cpi/cpi-relative-importance.xlsx</t>
      </text>
    </comment>
    <comment ref="E228" authorId="0" shapeId="0">
      <text>
        <t>Source: BLS page, 2025-12-01, https://www.bls.gov/web/cpi/cpi-relative-importance.xlsx</t>
      </text>
    </comment>
    <comment ref="F228" authorId="0" shapeId="0">
      <text>
        <t>Source: BLS page, 2025-12-01, https://www.bls.gov/cpi/tables/relative-importance/</t>
      </text>
    </comment>
    <comment ref="D229" authorId="0" shapeId="0">
      <text>
        <t>Source: BLS page, 2025-12-01, https://www.bls.gov/web/cpi/cpi-relative-importance.xlsx</t>
      </text>
    </comment>
    <comment ref="E229" authorId="0" shapeId="0">
      <text>
        <t>Source: BLS page, 2025-12-01, https://www.bls.gov/web/cpi/cpi-relative-importance.xlsx</t>
      </text>
    </comment>
    <comment ref="F229" authorId="0" shapeId="0">
      <text>
        <t>Source: BLS page, 2025-12-01, https://www.bls.gov/cpi/tables/relative-importance/</t>
      </text>
    </comment>
    <comment ref="D230" authorId="0" shapeId="0">
      <text>
        <t>Source: BLS page, 2025-12-01, https://www.bls.gov/web/cpi/cpi-relative-importance.xlsx</t>
      </text>
    </comment>
    <comment ref="E230" authorId="0" shapeId="0">
      <text>
        <t>Source: BLS page, 2025-12-01, https://www.bls.gov/web/cpi/cpi-relative-importance.xlsx</t>
      </text>
    </comment>
    <comment ref="F230" authorId="0" shapeId="0">
      <text>
        <t>Source: BLS page, 2025-12-01, https://www.bls.gov/cpi/tables/relative-importance/</t>
      </text>
    </comment>
    <comment ref="D231" authorId="0" shapeId="0">
      <text>
        <t>Source: BLS page, 2025-12-01, https://www.bls.gov/web/cpi/cpi-relative-importance.xlsx</t>
      </text>
    </comment>
    <comment ref="E231" authorId="0" shapeId="0">
      <text>
        <t>Source: BLS page, 2025-12-01, https://www.bls.gov/web/cpi/cpi-relative-importance.xlsx</t>
      </text>
    </comment>
    <comment ref="F231" authorId="0" shapeId="0">
      <text>
        <t>Source: BLS page, 2025-12-01, https://www.bls.gov/cpi/tables/relative-importance/</t>
      </text>
    </comment>
    <comment ref="D232" authorId="0" shapeId="0">
      <text>
        <t>Source: BLS page, 2025-12-01, https://www.bls.gov/web/cpi/cpi-relative-importance.xlsx</t>
      </text>
    </comment>
    <comment ref="E232" authorId="0" shapeId="0">
      <text>
        <t>Source: BLS page, 2025-12-01, https://www.bls.gov/web/cpi/cpi-relative-importance.xlsx</t>
      </text>
    </comment>
    <comment ref="F232" authorId="0" shapeId="0">
      <text>
        <t>Source: BLS page, 2025-12-01, https://www.bls.gov/cpi/tables/relative-importance/</t>
      </text>
    </comment>
    <comment ref="D233" authorId="0" shapeId="0">
      <text>
        <t>Source: BLS page, 2025-12-01, https://www.bls.gov/web/cpi/cpi-relative-importance.xlsx</t>
      </text>
    </comment>
    <comment ref="E233" authorId="0" shapeId="0">
      <text>
        <t>Source: BLS page, 2025-12-01, https://www.bls.gov/web/cpi/cpi-relative-importance.xlsx</t>
      </text>
    </comment>
    <comment ref="F233" authorId="0" shapeId="0">
      <text>
        <t>Source: BLS page, 2025-12-01, https://www.bls.gov/cpi/tables/relative-importance/</t>
      </text>
    </comment>
    <comment ref="D234" authorId="0" shapeId="0">
      <text>
        <t>Source: BLS page, 2025-12-01, https://www.bls.gov/web/cpi/cpi-relative-importance.xlsx</t>
      </text>
    </comment>
    <comment ref="E234" authorId="0" shapeId="0">
      <text>
        <t>Source: BLS page, 2025-12-01, https://www.bls.gov/web/cpi/cpi-relative-importance.xlsx</t>
      </text>
    </comment>
    <comment ref="F234" authorId="0" shapeId="0">
      <text>
        <t>Source: BLS page, 2025-12-01, https://www.bls.gov/cpi/tables/relative-importance/</t>
      </text>
    </comment>
    <comment ref="D235" authorId="0" shapeId="0">
      <text>
        <t>Source: BLS page, 2025-12-01, https://www.bls.gov/web/cpi/cpi-relative-importance.xlsx</t>
      </text>
    </comment>
    <comment ref="E235" authorId="0" shapeId="0">
      <text>
        <t>Source: BLS page, 2025-12-01, https://www.bls.gov/web/cpi/cpi-relative-importance.xlsx</t>
      </text>
    </comment>
    <comment ref="F235" authorId="0" shapeId="0">
      <text>
        <t>Source: BLS page, 2025-12-01, https://www.bls.gov/cpi/tables/relative-importance/</t>
      </text>
    </comment>
    <comment ref="D236" authorId="0" shapeId="0">
      <text>
        <t>Source: BLS page, 2025-12-01, https://www.bls.gov/web/cpi/cpi-relative-importance.xlsx</t>
      </text>
    </comment>
    <comment ref="E236" authorId="0" shapeId="0">
      <text>
        <t>Source: BLS page, 2025-12-01, https://www.bls.gov/web/cpi/cpi-relative-importance.xlsx</t>
      </text>
    </comment>
    <comment ref="F236" authorId="0" shapeId="0">
      <text>
        <t>Source: BLS page, 2025-12-01, https://www.bls.gov/cpi/tables/relative-importance/</t>
      </text>
    </comment>
    <comment ref="D237" authorId="0" shapeId="0">
      <text>
        <t>Source: BLS page, 2025-12-01, https://www.bls.gov/web/cpi/cpi-relative-importance.xlsx</t>
      </text>
    </comment>
    <comment ref="E237" authorId="0" shapeId="0">
      <text>
        <t>Source: BLS page, 2025-12-01, https://www.bls.gov/web/cpi/cpi-relative-importance.xlsx</t>
      </text>
    </comment>
    <comment ref="F237" authorId="0" shapeId="0">
      <text>
        <t>Source: BLS page, 2025-12-01, https://www.bls.gov/cpi/tables/relative-importance/</t>
      </text>
    </comment>
    <comment ref="D238" authorId="0" shapeId="0">
      <text>
        <t>Source: BLS page, 2025-12-01, https://www.bls.gov/web/cpi/cpi-relative-importance.xlsx</t>
      </text>
    </comment>
    <comment ref="E238" authorId="0" shapeId="0">
      <text>
        <t>Source: BLS page, 2025-12-01, https://www.bls.gov/web/cpi/cpi-relative-importance.xlsx</t>
      </text>
    </comment>
    <comment ref="F238" authorId="0" shapeId="0">
      <text>
        <t>Source: BLS page, 2025-12-01, https://www.bls.gov/cpi/tables/relative-importance/</t>
      </text>
    </comment>
    <comment ref="D239" authorId="0" shapeId="0">
      <text>
        <t>Source: BLS page, 2025-12-01, https://www.bls.gov/web/cpi/cpi-relative-importance.xlsx</t>
      </text>
    </comment>
    <comment ref="E239" authorId="0" shapeId="0">
      <text>
        <t>Source: BLS page, 2025-12-01, https://www.bls.gov/web/cpi/cpi-relative-importance.xlsx</t>
      </text>
    </comment>
    <comment ref="F239" authorId="0" shapeId="0">
      <text>
        <t>Source: BLS page, 2025-12-01, https://www.bls.gov/cpi/tables/relative-importance/</t>
      </text>
    </comment>
    <comment ref="D240" authorId="0" shapeId="0">
      <text>
        <t>Source: BLS page, 2025-12-01, https://www.bls.gov/web/cpi/cpi-relative-importance.xlsx</t>
      </text>
    </comment>
    <comment ref="E240" authorId="0" shapeId="0">
      <text>
        <t>Source: BLS page, 2025-12-01, https://www.bls.gov/web/cpi/cpi-relative-importance.xlsx</t>
      </text>
    </comment>
    <comment ref="F240" authorId="0" shapeId="0">
      <text>
        <t>Source: BLS page, 2025-12-01, https://www.bls.gov/cpi/tables/relative-importance/</t>
      </text>
    </comment>
    <comment ref="D241" authorId="0" shapeId="0">
      <text>
        <t>Source: BLS page, 2025-12-01, https://www.bls.gov/web/cpi/cpi-relative-importance.xlsx</t>
      </text>
    </comment>
    <comment ref="E241" authorId="0" shapeId="0">
      <text>
        <t>Source: BLS page, 2025-12-01, https://www.bls.gov/web/cpi/cpi-relative-importance.xlsx</t>
      </text>
    </comment>
    <comment ref="F241" authorId="0" shapeId="0">
      <text>
        <t>Source: BLS page, 2025-12-01, https://www.bls.gov/cpi/tables/relative-importance/</t>
      </text>
    </comment>
    <comment ref="D242" authorId="0" shapeId="0">
      <text>
        <t>Source: BLS page, 2025-12-01, https://www.bls.gov/web/cpi/cpi-relative-importance.xlsx</t>
      </text>
    </comment>
    <comment ref="E242" authorId="0" shapeId="0">
      <text>
        <t>Source: BLS page, 2025-12-01, https://www.bls.gov/web/cpi/cpi-relative-importance.xlsx</t>
      </text>
    </comment>
    <comment ref="F242" authorId="0" shapeId="0">
      <text>
        <t>Source: BLS page, 2025-12-01, https://www.bls.gov/cpi/tables/relative-importance/</t>
      </text>
    </comment>
    <comment ref="D243" authorId="0" shapeId="0">
      <text>
        <t>Source: BLS page, 2025-12-01, https://www.bls.gov/web/cpi/cpi-relative-importance.xlsx</t>
      </text>
    </comment>
    <comment ref="E243" authorId="0" shapeId="0">
      <text>
        <t>Source: BLS page, 2025-12-01, https://www.bls.gov/web/cpi/cpi-relative-importance.xlsx</t>
      </text>
    </comment>
    <comment ref="F243" authorId="0" shapeId="0">
      <text>
        <t>Source: BLS page, 2025-12-01, https://www.bls.gov/cpi/tables/relative-importance/</t>
      </text>
    </comment>
    <comment ref="D244" authorId="0" shapeId="0">
      <text>
        <t>Source: BLS page, 2025-12-01, https://www.bls.gov/web/cpi/cpi-relative-importance.xlsx</t>
      </text>
    </comment>
    <comment ref="E244" authorId="0" shapeId="0">
      <text>
        <t>Source: BLS page, 2025-12-01, https://www.bls.gov/web/cpi/cpi-relative-importance.xlsx</t>
      </text>
    </comment>
    <comment ref="F244" authorId="0" shapeId="0">
      <text>
        <t>Source: BLS page, 2025-12-01, https://www.bls.gov/cpi/tables/relative-importance/</t>
      </text>
    </comment>
    <comment ref="D245" authorId="0" shapeId="0">
      <text>
        <t>Source: BLS page, 2025-12-01, https://www.bls.gov/web/cpi/cpi-relative-importance.xlsx</t>
      </text>
    </comment>
    <comment ref="E245" authorId="0" shapeId="0">
      <text>
        <t>Source: BLS page, 2025-12-01, https://www.bls.gov/web/cpi/cpi-relative-importance.xlsx</t>
      </text>
    </comment>
    <comment ref="F245" authorId="0" shapeId="0">
      <text>
        <t>Source: BLS page, 2025-12-01, https://www.bls.gov/cpi/tables/relative-importance/</t>
      </text>
    </comment>
    <comment ref="D246" authorId="0" shapeId="0">
      <text>
        <t>Source: BLS page, 2025-12-01, https://www.bls.gov/web/cpi/cpi-relative-importance.xlsx</t>
      </text>
    </comment>
    <comment ref="E246" authorId="0" shapeId="0">
      <text>
        <t>Source: BLS page, 2025-12-01, https://www.bls.gov/web/cpi/cpi-relative-importance.xlsx</t>
      </text>
    </comment>
    <comment ref="F246" authorId="0" shapeId="0">
      <text>
        <t>Source: BLS page, 2025-12-01, https://www.bls.gov/cpi/tables/relative-importance/</t>
      </text>
    </comment>
    <comment ref="D247" authorId="0" shapeId="0">
      <text>
        <t>Source: BLS page, 2025-12-01, https://www.bls.gov/web/cpi/cpi-relative-importance.xlsx</t>
      </text>
    </comment>
    <comment ref="E247" authorId="0" shapeId="0">
      <text>
        <t>Source: BLS page, 2025-12-01, https://www.bls.gov/web/cpi/cpi-relative-importance.xlsx</t>
      </text>
    </comment>
    <comment ref="F247" authorId="0" shapeId="0">
      <text>
        <t>Source: BLS page, 2025-12-01, https://www.bls.gov/cpi/tables/relative-importance/</t>
      </text>
    </comment>
    <comment ref="D248" authorId="0" shapeId="0">
      <text>
        <t>Source: BLS page, 2025-12-01, https://www.bls.gov/web/cpi/cpi-relative-importance.xlsx</t>
      </text>
    </comment>
    <comment ref="E248" authorId="0" shapeId="0">
      <text>
        <t>Source: BLS page, 2025-12-01, https://www.bls.gov/web/cpi/cpi-relative-importance.xlsx</t>
      </text>
    </comment>
    <comment ref="F248" authorId="0" shapeId="0">
      <text>
        <t>Source: BLS page, 2025-12-01, https://www.bls.gov/cpi/tables/relative-importance/</t>
      </text>
    </comment>
    <comment ref="D249" authorId="0" shapeId="0">
      <text>
        <t>Source: BLS page, 2025-12-01, https://www.bls.gov/web/cpi/cpi-relative-importance.xlsx</t>
      </text>
    </comment>
    <comment ref="E249" authorId="0" shapeId="0">
      <text>
        <t>Source: BLS page, 2025-12-01, https://www.bls.gov/web/cpi/cpi-relative-importance.xlsx</t>
      </text>
    </comment>
    <comment ref="F249" authorId="0" shapeId="0">
      <text>
        <t>Source: BLS page, 2025-12-01, https://www.bls.gov/cpi/tables/relative-importance/</t>
      </text>
    </comment>
    <comment ref="D250" authorId="0" shapeId="0">
      <text>
        <t>Source: BLS page, 2025-12-01, https://www.bls.gov/web/cpi/cpi-relative-importance.xlsx</t>
      </text>
    </comment>
    <comment ref="E250" authorId="0" shapeId="0">
      <text>
        <t>Source: BLS page, 2025-12-01, https://www.bls.gov/web/cpi/cpi-relative-importance.xlsx</t>
      </text>
    </comment>
    <comment ref="F250" authorId="0" shapeId="0">
      <text>
        <t>Source: BLS page, 2025-12-01, https://www.bls.gov/cpi/tables/relative-importance/</t>
      </text>
    </comment>
    <comment ref="D251" authorId="0" shapeId="0">
      <text>
        <t>Source: BLS page, 2025-12-01, https://www.bls.gov/web/cpi/cpi-relative-importance.xlsx</t>
      </text>
    </comment>
    <comment ref="E251" authorId="0" shapeId="0">
      <text>
        <t>Source: BLS page, 2025-12-01, https://www.bls.gov/web/cpi/cpi-relative-importance.xlsx</t>
      </text>
    </comment>
    <comment ref="F251" authorId="0" shapeId="0">
      <text>
        <t>Source: BLS page, 2025-12-01, https://www.bls.gov/cpi/tables/relative-importance/</t>
      </text>
    </comment>
    <comment ref="D252" authorId="0" shapeId="0">
      <text>
        <t>Source: BLS page, 2025-12-01, https://www.bls.gov/web/cpi/cpi-relative-importance.xlsx</t>
      </text>
    </comment>
    <comment ref="E252" authorId="0" shapeId="0">
      <text>
        <t>Source: BLS page, 2025-12-01, https://www.bls.gov/web/cpi/cpi-relative-importance.xlsx</t>
      </text>
    </comment>
    <comment ref="F252" authorId="0" shapeId="0">
      <text>
        <t>Source: BLS page, 2025-12-01, https://www.bls.gov/cpi/tables/relative-importance/</t>
      </text>
    </comment>
    <comment ref="D253" authorId="0" shapeId="0">
      <text>
        <t>Source: BLS page, 2025-12-01, https://www.bls.gov/web/cpi/cpi-relative-importance.xlsx</t>
      </text>
    </comment>
    <comment ref="E253" authorId="0" shapeId="0">
      <text>
        <t>Source: BLS page, 2025-12-01, https://www.bls.gov/web/cpi/cpi-relative-importance.xlsx</t>
      </text>
    </comment>
    <comment ref="F253" authorId="0" shapeId="0">
      <text>
        <t>Source: BLS page, 2025-12-01, https://www.bls.gov/cpi/tables/relative-importance/</t>
      </text>
    </comment>
    <comment ref="D254" authorId="0" shapeId="0">
      <text>
        <t>Source: BLS page, 2025-12-01, https://www.bls.gov/web/cpi/cpi-relative-importance.xlsx</t>
      </text>
    </comment>
    <comment ref="E254" authorId="0" shapeId="0">
      <text>
        <t>Source: BLS page, 2025-12-01, https://www.bls.gov/web/cpi/cpi-relative-importance.xlsx</t>
      </text>
    </comment>
    <comment ref="F254" authorId="0" shapeId="0">
      <text>
        <t>Source: BLS page, 2025-12-01, https://www.bls.gov/cpi/tables/relative-importance/</t>
      </text>
    </comment>
    <comment ref="D255" authorId="0" shapeId="0">
      <text>
        <t>Source: BLS page, 2025-12-01, https://www.bls.gov/web/cpi/cpi-relative-importance.xlsx</t>
      </text>
    </comment>
    <comment ref="E255" authorId="0" shapeId="0">
      <text>
        <t>Source: BLS page, 2025-12-01, https://www.bls.gov/web/cpi/cpi-relative-importance.xlsx</t>
      </text>
    </comment>
    <comment ref="F255" authorId="0" shapeId="0">
      <text>
        <t>Source: BLS page, 2025-12-01, https://www.bls.gov/cpi/tables/relative-importance/</t>
      </text>
    </comment>
    <comment ref="D256" authorId="0" shapeId="0">
      <text>
        <t>Source: BLS page, 2025-12-01, https://www.bls.gov/web/cpi/cpi-relative-importance.xlsx</t>
      </text>
    </comment>
    <comment ref="E256" authorId="0" shapeId="0">
      <text>
        <t>Source: BLS page, 2025-12-01, https://www.bls.gov/web/cpi/cpi-relative-importance.xlsx</t>
      </text>
    </comment>
    <comment ref="F256" authorId="0" shapeId="0">
      <text>
        <t>Source: BLS page, 2025-12-01, https://www.bls.gov/cpi/tables/relative-importance/</t>
      </text>
    </comment>
    <comment ref="D257" authorId="0" shapeId="0">
      <text>
        <t>Source: BLS page, 2025-12-01, https://www.bls.gov/web/cpi/cpi-relative-importance.xlsx</t>
      </text>
    </comment>
    <comment ref="E257" authorId="0" shapeId="0">
      <text>
        <t>Source: BLS page, 2025-12-01, https://www.bls.gov/web/cpi/cpi-relative-importance.xlsx</t>
      </text>
    </comment>
    <comment ref="F257" authorId="0" shapeId="0">
      <text>
        <t>Source: BLS page, 2025-12-01, https://www.bls.gov/cpi/tables/relative-importance/</t>
      </text>
    </comment>
    <comment ref="D258" authorId="0" shapeId="0">
      <text>
        <t>Source: BLS page, 2025-12-01, https://www.bls.gov/web/cpi/cpi-relative-importance.xlsx</t>
      </text>
    </comment>
    <comment ref="E258" authorId="0" shapeId="0">
      <text>
        <t>Source: BLS page, 2025-12-01, https://www.bls.gov/web/cpi/cpi-relative-importance.xlsx</t>
      </text>
    </comment>
    <comment ref="F258" authorId="0" shapeId="0">
      <text>
        <t>Source: BLS page, 2025-12-01, https://www.bls.gov/cpi/tables/relative-importance/</t>
      </text>
    </comment>
    <comment ref="D259" authorId="0" shapeId="0">
      <text>
        <t>Source: BLS page, 2025-12-01, https://www.bls.gov/web/cpi/cpi-relative-importance.xlsx</t>
      </text>
    </comment>
    <comment ref="E259" authorId="0" shapeId="0">
      <text>
        <t>Source: BLS page, 2025-12-01, https://www.bls.gov/web/cpi/cpi-relative-importance.xlsx</t>
      </text>
    </comment>
    <comment ref="F259" authorId="0" shapeId="0">
      <text>
        <t>Source: BLS page, 2025-12-01, https://www.bls.gov/cpi/tables/relative-importance/</t>
      </text>
    </comment>
    <comment ref="D260" authorId="0" shapeId="0">
      <text>
        <t>Source: BLS page, 2025-12-01, https://www.bls.gov/web/cpi/cpi-relative-importance.xlsx</t>
      </text>
    </comment>
    <comment ref="E260" authorId="0" shapeId="0">
      <text>
        <t>Source: BLS page, 2025-12-01, https://www.bls.gov/web/cpi/cpi-relative-importance.xlsx</t>
      </text>
    </comment>
    <comment ref="F260" authorId="0" shapeId="0">
      <text>
        <t>Source: BLS page, 2025-12-01, https://www.bls.gov/cpi/tables/relative-importance/</t>
      </text>
    </comment>
    <comment ref="D261" authorId="0" shapeId="0">
      <text>
        <t>Source: BLS page, 2025-12-01, https://www.bls.gov/web/cpi/cpi-relative-importance.xlsx</t>
      </text>
    </comment>
    <comment ref="E261" authorId="0" shapeId="0">
      <text>
        <t>Source: BLS page, 2025-12-01, https://www.bls.gov/web/cpi/cpi-relative-importance.xlsx</t>
      </text>
    </comment>
    <comment ref="F261" authorId="0" shapeId="0">
      <text>
        <t>Source: BLS page, 2025-12-01, https://www.bls.gov/cpi/tables/relative-importance/</t>
      </text>
    </comment>
    <comment ref="D262" authorId="0" shapeId="0">
      <text>
        <t>Source: BLS page, 2025-12-01, https://www.bls.gov/web/cpi/cpi-relative-importance.xlsx</t>
      </text>
    </comment>
    <comment ref="E262" authorId="0" shapeId="0">
      <text>
        <t>Source: BLS page, 2025-12-01, https://www.bls.gov/web/cpi/cpi-relative-importance.xlsx</t>
      </text>
    </comment>
    <comment ref="F262" authorId="0" shapeId="0">
      <text>
        <t>Source: BLS page, 2025-12-01, https://www.bls.gov/cpi/tables/relative-importance/</t>
      </text>
    </comment>
    <comment ref="D263" authorId="0" shapeId="0">
      <text>
        <t>Source: BLS page, 2025-12-01, https://www.bls.gov/web/cpi/cpi-relative-importance.xlsx</t>
      </text>
    </comment>
    <comment ref="E263" authorId="0" shapeId="0">
      <text>
        <t>Source: BLS page, 2025-12-01, https://www.bls.gov/web/cpi/cpi-relative-importance.xlsx</t>
      </text>
    </comment>
    <comment ref="F263" authorId="0" shapeId="0">
      <text>
        <t>Source: BLS page, 2025-12-01, https://www.bls.gov/cpi/tables/relative-importance/</t>
      </text>
    </comment>
    <comment ref="D264" authorId="0" shapeId="0">
      <text>
        <t>Source: BLS page, 2025-12-01, https://www.bls.gov/web/cpi/cpi-relative-importance.xlsx</t>
      </text>
    </comment>
    <comment ref="E264" authorId="0" shapeId="0">
      <text>
        <t>Source: BLS page, 2025-12-01, https://www.bls.gov/web/cpi/cpi-relative-importance.xlsx</t>
      </text>
    </comment>
    <comment ref="F264" authorId="0" shapeId="0">
      <text>
        <t>Source: BLS page, 2025-12-01, https://www.bls.gov/cpi/tables/relative-importance/</t>
      </text>
    </comment>
    <comment ref="D265" authorId="0" shapeId="0">
      <text>
        <t>Source: BLS page, 2025-12-01, https://www.bls.gov/web/cpi/cpi-relative-importance.xlsx</t>
      </text>
    </comment>
    <comment ref="E265" authorId="0" shapeId="0">
      <text>
        <t>Source: BLS page, 2025-12-01, https://www.bls.gov/web/cpi/cpi-relative-importance.xlsx</t>
      </text>
    </comment>
    <comment ref="F265" authorId="0" shapeId="0">
      <text>
        <t>Source: BLS page, 2025-12-01, https://www.bls.gov/cpi/tables/relative-importance/</t>
      </text>
    </comment>
    <comment ref="D266" authorId="0" shapeId="0">
      <text>
        <t>Source: BLS page, 2025-12-01, https://www.bls.gov/web/cpi/cpi-relative-importance.xlsx</t>
      </text>
    </comment>
    <comment ref="E266" authorId="0" shapeId="0">
      <text>
        <t>Source: BLS page, 2025-12-01, https://www.bls.gov/web/cpi/cpi-relative-importance.xlsx</t>
      </text>
    </comment>
    <comment ref="F266" authorId="0" shapeId="0">
      <text>
        <t>Source: BLS page, 2025-12-01, https://www.bls.gov/cpi/tables/relative-importance/</t>
      </text>
    </comment>
    <comment ref="D267" authorId="0" shapeId="0">
      <text>
        <t>Source: BLS page, 2025-12-01, https://www.bls.gov/web/cpi/cpi-relative-importance.xlsx</t>
      </text>
    </comment>
    <comment ref="E267" authorId="0" shapeId="0">
      <text>
        <t>Source: BLS page, 2025-12-01, https://www.bls.gov/web/cpi/cpi-relative-importance.xlsx</t>
      </text>
    </comment>
    <comment ref="F267" authorId="0" shapeId="0">
      <text>
        <t>Source: BLS page, 2025-12-01, https://www.bls.gov/cpi/tables/relative-importance/</t>
      </text>
    </comment>
    <comment ref="D268" authorId="0" shapeId="0">
      <text>
        <t>Source: BLS page, 2025-12-01, https://www.bls.gov/web/cpi/cpi-relative-importance.xlsx</t>
      </text>
    </comment>
    <comment ref="E268" authorId="0" shapeId="0">
      <text>
        <t>Source: BLS page, 2025-12-01, https://www.bls.gov/web/cpi/cpi-relative-importance.xlsx</t>
      </text>
    </comment>
    <comment ref="F268" authorId="0" shapeId="0">
      <text>
        <t>Source: BLS page, 2025-12-01, https://www.bls.gov/cpi/tables/relative-importance/</t>
      </text>
    </comment>
    <comment ref="D269" authorId="0" shapeId="0">
      <text>
        <t>Source: BLS page, 2025-12-01, https://www.bls.gov/web/cpi/cpi-relative-importance.xlsx</t>
      </text>
    </comment>
    <comment ref="E269" authorId="0" shapeId="0">
      <text>
        <t>Source: BLS page, 2025-12-01, https://www.bls.gov/web/cpi/cpi-relative-importance.xlsx</t>
      </text>
    </comment>
    <comment ref="F269" authorId="0" shapeId="0">
      <text>
        <t>Source: BLS page, 2025-12-01, https://www.bls.gov/cpi/tables/relative-importance/</t>
      </text>
    </comment>
    <comment ref="D270" authorId="0" shapeId="0">
      <text>
        <t>Source: BLS page, 2025-12-01, https://www.bls.gov/web/cpi/cpi-relative-importance.xlsx</t>
      </text>
    </comment>
    <comment ref="E270" authorId="0" shapeId="0">
      <text>
        <t>Source: BLS page, 2025-12-01, https://www.bls.gov/web/cpi/cpi-relative-importance.xlsx</t>
      </text>
    </comment>
    <comment ref="F270" authorId="0" shapeId="0">
      <text>
        <t>Source: BLS page, 2025-12-01, https://www.bls.gov/cpi/tables/relative-importance/</t>
      </text>
    </comment>
    <comment ref="D271" authorId="0" shapeId="0">
      <text>
        <t>Source: BLS page, 2025-12-01, https://www.bls.gov/web/cpi/cpi-relative-importance.xlsx</t>
      </text>
    </comment>
    <comment ref="E271" authorId="0" shapeId="0">
      <text>
        <t>Source: BLS page, 2025-12-01, https://www.bls.gov/web/cpi/cpi-relative-importance.xlsx</t>
      </text>
    </comment>
    <comment ref="F271" authorId="0" shapeId="0">
      <text>
        <t>Source: BLS page, 2025-12-01, https://www.bls.gov/cpi/tables/relative-importance/</t>
      </text>
    </comment>
    <comment ref="D272" authorId="0" shapeId="0">
      <text>
        <t>Source: BLS page, 2025-12-01, https://www.bls.gov/web/cpi/cpi-relative-importance.xlsx</t>
      </text>
    </comment>
    <comment ref="E272" authorId="0" shapeId="0">
      <text>
        <t>Source: BLS page, 2025-12-01, https://www.bls.gov/web/cpi/cpi-relative-importance.xlsx</t>
      </text>
    </comment>
    <comment ref="F272" authorId="0" shapeId="0">
      <text>
        <t>Source: BLS page, 2025-12-01, https://www.bls.gov/cpi/tables/relative-importance/</t>
      </text>
    </comment>
    <comment ref="D273" authorId="0" shapeId="0">
      <text>
        <t>Source: BLS page, 2025-12-01, https://www.bls.gov/web/cpi/cpi-relative-importance.xlsx</t>
      </text>
    </comment>
    <comment ref="E273" authorId="0" shapeId="0">
      <text>
        <t>Source: BLS page, 2025-12-01, https://www.bls.gov/web/cpi/cpi-relative-importance.xlsx</t>
      </text>
    </comment>
    <comment ref="F273" authorId="0" shapeId="0">
      <text>
        <t>Source: BLS page, 2025-12-01, https://www.bls.gov/cpi/tables/relative-importance/</t>
      </text>
    </comment>
    <comment ref="D274" authorId="0" shapeId="0">
      <text>
        <t>Source: BLS page, 2025-12-01, https://www.bls.gov/web/cpi/cpi-relative-importance.xlsx</t>
      </text>
    </comment>
    <comment ref="E274" authorId="0" shapeId="0">
      <text>
        <t>Source: BLS page, 2025-12-01, https://www.bls.gov/web/cpi/cpi-relative-importance.xlsx</t>
      </text>
    </comment>
    <comment ref="F274" authorId="0" shapeId="0">
      <text>
        <t>Source: BLS page, 2025-12-01, https://www.bls.gov/cpi/tables/relative-importance/</t>
      </text>
    </comment>
    <comment ref="D275" authorId="0" shapeId="0">
      <text>
        <t>Source: BLS page, 2025-12-01, https://www.bls.gov/web/cpi/cpi-relative-importance.xlsx</t>
      </text>
    </comment>
    <comment ref="E275" authorId="0" shapeId="0">
      <text>
        <t>Source: BLS page, 2025-12-01, https://www.bls.gov/web/cpi/cpi-relative-importance.xlsx</t>
      </text>
    </comment>
    <comment ref="F275" authorId="0" shapeId="0">
      <text>
        <t>Source: BLS page, 2025-12-01, https://www.bls.gov/cpi/tables/relative-importance/</t>
      </text>
    </comment>
    <comment ref="D276" authorId="0" shapeId="0">
      <text>
        <t>Source: BLS page, 2025-12-01, https://www.bls.gov/web/cpi/cpi-relative-importance.xlsx</t>
      </text>
    </comment>
    <comment ref="E276" authorId="0" shapeId="0">
      <text>
        <t>Source: BLS page, 2025-12-01, https://www.bls.gov/web/cpi/cpi-relative-importance.xlsx</t>
      </text>
    </comment>
    <comment ref="F276" authorId="0" shapeId="0">
      <text>
        <t>Source: BLS page, 2025-12-01, https://www.bls.gov/cpi/tables/relative-importance/</t>
      </text>
    </comment>
    <comment ref="D277" authorId="0" shapeId="0">
      <text>
        <t>Source: BLS page, 2025-12-01, https://www.bls.gov/web/cpi/cpi-relative-importance.xlsx</t>
      </text>
    </comment>
    <comment ref="E277" authorId="0" shapeId="0">
      <text>
        <t>Source: BLS page, 2025-12-01, https://www.bls.gov/web/cpi/cpi-relative-importance.xlsx</t>
      </text>
    </comment>
    <comment ref="F277" authorId="0" shapeId="0">
      <text>
        <t>Source: BLS page, 2025-12-01, https://www.bls.gov/cpi/tables/relative-importance/</t>
      </text>
    </comment>
    <comment ref="D278" authorId="0" shapeId="0">
      <text>
        <t>Source: BLS page, 2025-12-01, https://www.bls.gov/web/cpi/cpi-relative-importance.xlsx</t>
      </text>
    </comment>
    <comment ref="E278" authorId="0" shapeId="0">
      <text>
        <t>Source: BLS page, 2025-12-01, https://www.bls.gov/web/cpi/cpi-relative-importance.xlsx</t>
      </text>
    </comment>
    <comment ref="F278" authorId="0" shapeId="0">
      <text>
        <t>Source: BLS page, 2025-12-01, https://www.bls.gov/cpi/tables/relative-importance/</t>
      </text>
    </comment>
    <comment ref="D279" authorId="0" shapeId="0">
      <text>
        <t>Source: BLS page, 2025-12-01, https://www.bls.gov/web/cpi/cpi-relative-importance.xlsx</t>
      </text>
    </comment>
    <comment ref="E279" authorId="0" shapeId="0">
      <text>
        <t>Source: BLS page, 2025-12-01, https://www.bls.gov/web/cpi/cpi-relative-importance.xlsx</t>
      </text>
    </comment>
    <comment ref="F279" authorId="0" shapeId="0">
      <text>
        <t>Source: BLS page, 2025-12-01, https://www.bls.gov/cpi/tables/relative-importance/</t>
      </text>
    </comment>
    <comment ref="D280" authorId="0" shapeId="0">
      <text>
        <t>Source: BLS page, 2025-12-01, https://www.bls.gov/web/cpi/cpi-relative-importance.xlsx</t>
      </text>
    </comment>
    <comment ref="E280" authorId="0" shapeId="0">
      <text>
        <t>Source: BLS page, 2025-12-01, https://www.bls.gov/web/cpi/cpi-relative-importance.xlsx</t>
      </text>
    </comment>
    <comment ref="F280" authorId="0" shapeId="0">
      <text>
        <t>Source: BLS page, 2025-12-01, https://www.bls.gov/cpi/tables/relative-importance/</t>
      </text>
    </comment>
    <comment ref="D281" authorId="0" shapeId="0">
      <text>
        <t>Source: BLS page, 2025-12-01, https://www.bls.gov/web/cpi/cpi-relative-importance.xlsx</t>
      </text>
    </comment>
    <comment ref="E281" authorId="0" shapeId="0">
      <text>
        <t>Source: BLS page, 2025-12-01, https://www.bls.gov/web/cpi/cpi-relative-importance.xlsx</t>
      </text>
    </comment>
    <comment ref="F281" authorId="0" shapeId="0">
      <text>
        <t>Source: BLS page, 2025-12-01, https://www.bls.gov/cpi/tables/relative-importance/</t>
      </text>
    </comment>
    <comment ref="D282" authorId="0" shapeId="0">
      <text>
        <t>Source: BLS page, 2025-12-01, https://www.bls.gov/web/cpi/cpi-relative-importance.xlsx</t>
      </text>
    </comment>
    <comment ref="E282" authorId="0" shapeId="0">
      <text>
        <t>Source: BLS page, 2025-12-01, https://www.bls.gov/web/cpi/cpi-relative-importance.xlsx</t>
      </text>
    </comment>
    <comment ref="F282" authorId="0" shapeId="0">
      <text>
        <t>Source: BLS page, 2025-12-01, https://www.bls.gov/cpi/tables/relative-importance/</t>
      </text>
    </comment>
    <comment ref="D283" authorId="0" shapeId="0">
      <text>
        <t>Source: BLS page, 2025-12-01, https://www.bls.gov/web/cpi/cpi-relative-importance.xlsx</t>
      </text>
    </comment>
    <comment ref="E283" authorId="0" shapeId="0">
      <text>
        <t>Source: BLS page, 2025-12-01, https://www.bls.gov/web/cpi/cpi-relative-importance.xlsx</t>
      </text>
    </comment>
    <comment ref="F283" authorId="0" shapeId="0">
      <text>
        <t>Source: BLS page, 2025-12-01, https://www.bls.gov/cpi/tables/relative-importance/</t>
      </text>
    </comment>
    <comment ref="D284" authorId="0" shapeId="0">
      <text>
        <t>Source: BLS page, 2025-12-01, https://www.bls.gov/web/cpi/cpi-relative-importance.xlsx</t>
      </text>
    </comment>
    <comment ref="E284" authorId="0" shapeId="0">
      <text>
        <t>Source: BLS page, 2025-12-01, https://www.bls.gov/web/cpi/cpi-relative-importance.xlsx</t>
      </text>
    </comment>
    <comment ref="F284" authorId="0" shapeId="0">
      <text>
        <t>Source: BLS page, 2025-12-01, https://www.bls.gov/cpi/tables/relative-importance/</t>
      </text>
    </comment>
    <comment ref="D285" authorId="0" shapeId="0">
      <text>
        <t>Source: BLS page, 2025-12-01, https://www.bls.gov/web/cpi/cpi-relative-importance.xlsx</t>
      </text>
    </comment>
    <comment ref="E285" authorId="0" shapeId="0">
      <text>
        <t>Source: BLS page, 2025-12-01, https://www.bls.gov/web/cpi/cpi-relative-importance.xlsx</t>
      </text>
    </comment>
    <comment ref="F285" authorId="0" shapeId="0">
      <text>
        <t>Source: BLS page, 2025-12-01, https://www.bls.gov/cpi/tables/relative-importance/</t>
      </text>
    </comment>
    <comment ref="D286" authorId="0" shapeId="0">
      <text>
        <t>Source: BLS page, 2025-12-01, https://www.bls.gov/web/cpi/cpi-relative-importance.xlsx</t>
      </text>
    </comment>
    <comment ref="E286" authorId="0" shapeId="0">
      <text>
        <t>Source: BLS page, 2025-12-01, https://www.bls.gov/web/cpi/cpi-relative-importance.xlsx</t>
      </text>
    </comment>
    <comment ref="F286" authorId="0" shapeId="0">
      <text>
        <t>Source: BLS page, 2025-12-01, https://www.bls.gov/cpi/tables/relative-importance/</t>
      </text>
    </comment>
    <comment ref="D287" authorId="0" shapeId="0">
      <text>
        <t>Source: BLS page, 2025-12-01, https://www.bls.gov/web/cpi/cpi-relative-importance.xlsx</t>
      </text>
    </comment>
    <comment ref="E287" authorId="0" shapeId="0">
      <text>
        <t>Source: BLS page, 2025-12-01, https://www.bls.gov/web/cpi/cpi-relative-importance.xlsx</t>
      </text>
    </comment>
    <comment ref="F287" authorId="0" shapeId="0">
      <text>
        <t>Source: BLS page, 2025-12-01, https://www.bls.gov/cpi/tables/relative-importance/</t>
      </text>
    </comment>
    <comment ref="D288" authorId="0" shapeId="0">
      <text>
        <t>Source: BLS page, 2025-12-01, https://www.bls.gov/web/cpi/cpi-relative-importance.xlsx</t>
      </text>
    </comment>
    <comment ref="E288" authorId="0" shapeId="0">
      <text>
        <t>Source: BLS page, 2025-12-01, https://www.bls.gov/web/cpi/cpi-relative-importance.xlsx</t>
      </text>
    </comment>
    <comment ref="F288" authorId="0" shapeId="0">
      <text>
        <t>Source: BLS page, 2025-12-01, https://www.bls.gov/cpi/tables/relative-importance/</t>
      </text>
    </comment>
    <comment ref="D289" authorId="0" shapeId="0">
      <text>
        <t>Source: BLS page, 2025-12-01, https://www.bls.gov/web/cpi/cpi-relative-importance.xlsx</t>
      </text>
    </comment>
    <comment ref="E289" authorId="0" shapeId="0">
      <text>
        <t>Source: BLS page, 2025-12-01, https://www.bls.gov/web/cpi/cpi-relative-importance.xlsx</t>
      </text>
    </comment>
    <comment ref="F289" authorId="0" shapeId="0">
      <text>
        <t>Source: BLS page, 2025-12-01, https://www.bls.gov/cpi/tables/relative-importance/</t>
      </text>
    </comment>
    <comment ref="D290" authorId="0" shapeId="0">
      <text>
        <t>Source: BLS page, 2025-12-01, https://www.bls.gov/web/cpi/cpi-relative-importance.xlsx</t>
      </text>
    </comment>
    <comment ref="E290" authorId="0" shapeId="0">
      <text>
        <t>Source: BLS page, 2025-12-01, https://www.bls.gov/web/cpi/cpi-relative-importance.xlsx</t>
      </text>
    </comment>
    <comment ref="F290" authorId="0" shapeId="0">
      <text>
        <t>Source: BLS page, 2025-12-01, https://www.bls.gov/cpi/tables/relative-importance/</t>
      </text>
    </comment>
    <comment ref="D291" authorId="0" shapeId="0">
      <text>
        <t>Source: BLS page, 2025-12-01, https://www.bls.gov/web/cpi/cpi-relative-importance.xlsx</t>
      </text>
    </comment>
    <comment ref="E291" authorId="0" shapeId="0">
      <text>
        <t>Source: BLS page, 2025-12-01, https://www.bls.gov/web/cpi/cpi-relative-importance.xlsx</t>
      </text>
    </comment>
    <comment ref="F291" authorId="0" shapeId="0">
      <text>
        <t>Source: BLS page, 2025-12-01, https://www.bls.gov/cpi/tables/relative-importance/</t>
      </text>
    </comment>
    <comment ref="D292" authorId="0" shapeId="0">
      <text>
        <t>Source: BLS page, 2025-12-01, https://www.bls.gov/web/cpi/cpi-relative-importance.xlsx</t>
      </text>
    </comment>
    <comment ref="E292" authorId="0" shapeId="0">
      <text>
        <t>Source: BLS page, 2025-12-01, https://www.bls.gov/web/cpi/cpi-relative-importance.xlsx</t>
      </text>
    </comment>
    <comment ref="F292" authorId="0" shapeId="0">
      <text>
        <t>Source: BLS page, 2025-12-01, https://www.bls.gov/cpi/tables/relative-importance/</t>
      </text>
    </comment>
    <comment ref="D293" authorId="0" shapeId="0">
      <text>
        <t>Source: BLS page, 2025-12-01, https://www.bls.gov/web/cpi/cpi-relative-importance.xlsx</t>
      </text>
    </comment>
    <comment ref="E293" authorId="0" shapeId="0">
      <text>
        <t>Source: BLS page, 2025-12-01, https://www.bls.gov/web/cpi/cpi-relative-importance.xlsx</t>
      </text>
    </comment>
    <comment ref="F293" authorId="0" shapeId="0">
      <text>
        <t>Source: BLS page, 2025-12-01, https://www.bls.gov/cpi/tables/relative-importance/</t>
      </text>
    </comment>
    <comment ref="D294" authorId="0" shapeId="0">
      <text>
        <t>Source: BLS page, 2025-12-01, https://www.bls.gov/web/cpi/cpi-relative-importance.xlsx</t>
      </text>
    </comment>
    <comment ref="E294" authorId="0" shapeId="0">
      <text>
        <t>Source: BLS page, 2025-12-01, https://www.bls.gov/web/cpi/cpi-relative-importance.xlsx</t>
      </text>
    </comment>
    <comment ref="F294" authorId="0" shapeId="0">
      <text>
        <t>Source: BLS page, 2025-12-01, https://www.bls.gov/cpi/tables/relative-importance/</t>
      </text>
    </comment>
    <comment ref="D295" authorId="0" shapeId="0">
      <text>
        <t>Source: BLS page, 2025-12-01, https://www.bls.gov/web/cpi/cpi-relative-importance.xlsx</t>
      </text>
    </comment>
    <comment ref="E295" authorId="0" shapeId="0">
      <text>
        <t>Source: BLS page, 2025-12-01, https://www.bls.gov/web/cpi/cpi-relative-importance.xlsx</t>
      </text>
    </comment>
    <comment ref="F295" authorId="0" shapeId="0">
      <text>
        <t>Source: BLS page, 2025-12-01, https://www.bls.gov/cpi/tables/relative-importance/</t>
      </text>
    </comment>
    <comment ref="D296" authorId="0" shapeId="0">
      <text>
        <t>Source: BLS page, 2025-12-01, https://www.bls.gov/web/cpi/cpi-relative-importance.xlsx</t>
      </text>
    </comment>
    <comment ref="E296" authorId="0" shapeId="0">
      <text>
        <t>Source: BLS page, 2025-12-01, https://www.bls.gov/web/cpi/cpi-relative-importance.xlsx</t>
      </text>
    </comment>
    <comment ref="F296" authorId="0" shapeId="0">
      <text>
        <t>Source: BLS page, 2025-12-01, https://www.bls.gov/cpi/tables/relative-importance/</t>
      </text>
    </comment>
    <comment ref="D297" authorId="0" shapeId="0">
      <text>
        <t>Source: BLS page, 2025-12-01, https://www.bls.gov/web/cpi/cpi-relative-importance.xlsx</t>
      </text>
    </comment>
    <comment ref="E297" authorId="0" shapeId="0">
      <text>
        <t>Source: BLS page, 2025-12-01, https://www.bls.gov/web/cpi/cpi-relative-importance.xlsx</t>
      </text>
    </comment>
    <comment ref="F297" authorId="0" shapeId="0">
      <text>
        <t>Source: BLS page, 2025-12-01, https://www.bls.gov/cpi/tables/relative-importance/</t>
      </text>
    </comment>
    <comment ref="D298" authorId="0" shapeId="0">
      <text>
        <t>Source: BLS page, 2025-12-01, https://www.bls.gov/web/cpi/cpi-relative-importance.xlsx</t>
      </text>
    </comment>
    <comment ref="E298" authorId="0" shapeId="0">
      <text>
        <t>Source: BLS page, 2025-12-01, https://www.bls.gov/web/cpi/cpi-relative-importance.xlsx</t>
      </text>
    </comment>
    <comment ref="F298" authorId="0" shapeId="0">
      <text>
        <t>Source: BLS page, 2025-12-01, https://www.bls.gov/cpi/tables/relative-importance/</t>
      </text>
    </comment>
    <comment ref="D299" authorId="0" shapeId="0">
      <text>
        <t>Source: BLS page, 2025-12-01, https://www.bls.gov/web/cpi/cpi-relative-importance.xlsx</t>
      </text>
    </comment>
    <comment ref="E299" authorId="0" shapeId="0">
      <text>
        <t>Source: BLS page, 2025-12-01, https://www.bls.gov/web/cpi/cpi-relative-importance.xlsx</t>
      </text>
    </comment>
    <comment ref="F299" authorId="0" shapeId="0">
      <text>
        <t>Source: BLS page, 2025-12-01, https://www.bls.gov/cpi/tables/relative-importance/</t>
      </text>
    </comment>
    <comment ref="D300" authorId="0" shapeId="0">
      <text>
        <t>Source: BLS page, 2025-12-01, https://www.bls.gov/web/cpi/cpi-relative-importance.xlsx</t>
      </text>
    </comment>
    <comment ref="E300" authorId="0" shapeId="0">
      <text>
        <t>Source: BLS page, 2025-12-01, https://www.bls.gov/web/cpi/cpi-relative-importance.xlsx</t>
      </text>
    </comment>
    <comment ref="F300" authorId="0" shapeId="0">
      <text>
        <t>Source: BLS page, 2025-12-01, https://www.bls.gov/cpi/tables/relative-importance/</t>
      </text>
    </comment>
    <comment ref="D301" authorId="0" shapeId="0">
      <text>
        <t>Source: BLS page, 2025-12-01, https://www.bls.gov/web/cpi/cpi-relative-importance.xlsx</t>
      </text>
    </comment>
    <comment ref="E301" authorId="0" shapeId="0">
      <text>
        <t>Source: BLS page, 2025-12-01, https://www.bls.gov/web/cpi/cpi-relative-importance.xlsx</t>
      </text>
    </comment>
    <comment ref="F301" authorId="0" shapeId="0">
      <text>
        <t>Source: BLS page, 2025-12-01, https://www.bls.gov/cpi/tables/relative-importance/</t>
      </text>
    </comment>
    <comment ref="D302" authorId="0" shapeId="0">
      <text>
        <t>Source: BLS page, 2025-12-01, https://www.bls.gov/web/cpi/cpi-relative-importance.xlsx</t>
      </text>
    </comment>
    <comment ref="E302" authorId="0" shapeId="0">
      <text>
        <t>Source: BLS page, 2025-12-01, https://www.bls.gov/web/cpi/cpi-relative-importance.xlsx</t>
      </text>
    </comment>
    <comment ref="F302" authorId="0" shapeId="0">
      <text>
        <t>Source: BLS page, 2025-12-01, https://www.bls.gov/cpi/tables/relative-importance/</t>
      </text>
    </comment>
    <comment ref="D303" authorId="0" shapeId="0">
      <text>
        <t>Source: BLS page, 2025-12-01, https://www.bls.gov/web/cpi/cpi-relative-importance.xlsx</t>
      </text>
    </comment>
    <comment ref="E303" authorId="0" shapeId="0">
      <text>
        <t>Source: BLS page, 2025-12-01, https://www.bls.gov/web/cpi/cpi-relative-importance.xlsx</t>
      </text>
    </comment>
    <comment ref="F303" authorId="0" shapeId="0">
      <text>
        <t>Source: BLS page, 2025-12-01, https://www.bls.gov/cpi/tables/relative-importance/</t>
      </text>
    </comment>
    <comment ref="D304" authorId="0" shapeId="0">
      <text>
        <t>Source: BLS page, 2025-12-01, https://www.bls.gov/web/cpi/cpi-relative-importance.xlsx</t>
      </text>
    </comment>
    <comment ref="E304" authorId="0" shapeId="0">
      <text>
        <t>Source: BLS page, 2025-12-01, https://www.bls.gov/web/cpi/cpi-relative-importance.xlsx</t>
      </text>
    </comment>
    <comment ref="F304" authorId="0" shapeId="0">
      <text>
        <t>Source: BLS page, 2025-12-01, https://www.bls.gov/cpi/tables/relative-importance/</t>
      </text>
    </comment>
    <comment ref="D305" authorId="0" shapeId="0">
      <text>
        <t>Source: BLS page, 2025-12-01, https://www.bls.gov/web/cpi/cpi-relative-importance.xlsx</t>
      </text>
    </comment>
    <comment ref="E305" authorId="0" shapeId="0">
      <text>
        <t>Source: BLS page, 2025-12-01, https://www.bls.gov/web/cpi/cpi-relative-importance.xlsx</t>
      </text>
    </comment>
    <comment ref="F305" authorId="0" shapeId="0">
      <text>
        <t>Source: BLS page, 2025-12-01, https://www.bls.gov/cpi/tables/relative-importance/</t>
      </text>
    </comment>
    <comment ref="D306" authorId="0" shapeId="0">
      <text>
        <t>Source: BLS page, 2025-12-01, https://www.bls.gov/web/cpi/cpi-relative-importance.xlsx</t>
      </text>
    </comment>
    <comment ref="E306" authorId="0" shapeId="0">
      <text>
        <t>Source: BLS page, 2025-12-01, https://www.bls.gov/web/cpi/cpi-relative-importance.xlsx</t>
      </text>
    </comment>
    <comment ref="F306" authorId="0" shapeId="0">
      <text>
        <t>Source: BLS page, 2025-12-01, https://www.bls.gov/cpi/tables/relative-importance/</t>
      </text>
    </comment>
    <comment ref="D307" authorId="0" shapeId="0">
      <text>
        <t>Source: BLS page, 2025-12-01, https://www.bls.gov/web/cpi/cpi-relative-importance.xlsx</t>
      </text>
    </comment>
    <comment ref="E307" authorId="0" shapeId="0">
      <text>
        <t>Source: BLS page, 2025-12-01, https://www.bls.gov/web/cpi/cpi-relative-importance.xlsx</t>
      </text>
    </comment>
    <comment ref="F307" authorId="0" shapeId="0">
      <text>
        <t>Source: BLS page, 2025-12-01, https://www.bls.gov/cpi/tables/relative-importance/</t>
      </text>
    </comment>
    <comment ref="D308" authorId="0" shapeId="0">
      <text>
        <t>Source: BLS page, 2025-12-01, https://www.bls.gov/web/cpi/cpi-relative-importance.xlsx</t>
      </text>
    </comment>
    <comment ref="E308" authorId="0" shapeId="0">
      <text>
        <t>Source: BLS page, 2025-12-01, https://www.bls.gov/web/cpi/cpi-relative-importance.xlsx</t>
      </text>
    </comment>
    <comment ref="F308" authorId="0" shapeId="0">
      <text>
        <t>Source: BLS page, 2025-12-01, https://www.bls.gov/cpi/tables/relative-importance/</t>
      </text>
    </comment>
    <comment ref="D309" authorId="0" shapeId="0">
      <text>
        <t>Source: BLS page, 2025-12-01, https://www.bls.gov/web/cpi/cpi-relative-importance.xlsx</t>
      </text>
    </comment>
    <comment ref="E309" authorId="0" shapeId="0">
      <text>
        <t>Source: BLS page, 2025-12-01, https://www.bls.gov/web/cpi/cpi-relative-importance.xlsx</t>
      </text>
    </comment>
    <comment ref="F309" authorId="0" shapeId="0">
      <text>
        <t>Source: BLS page, 2025-12-01, https://www.bls.gov/cpi/tables/relative-importance/</t>
      </text>
    </comment>
    <comment ref="D310" authorId="0" shapeId="0">
      <text>
        <t>Source: BLS page, 2025-12-01, https://www.bls.gov/web/cpi/cpi-relative-importance.xlsx</t>
      </text>
    </comment>
    <comment ref="E310" authorId="0" shapeId="0">
      <text>
        <t>Source: BLS page, 2025-12-01, https://www.bls.gov/web/cpi/cpi-relative-importance.xlsx</t>
      </text>
    </comment>
    <comment ref="F310" authorId="0" shapeId="0">
      <text>
        <t>Source: BLS page, 2025-12-01, https://www.bls.gov/cpi/tables/relative-importance/</t>
      </text>
    </comment>
    <comment ref="D311" authorId="0" shapeId="0">
      <text>
        <t>Source: BLS page, 2025-12-01, https://www.bls.gov/web/cpi/cpi-relative-importance.xlsx</t>
      </text>
    </comment>
    <comment ref="E311" authorId="0" shapeId="0">
      <text>
        <t>Source: BLS page, 2025-12-01, https://www.bls.gov/web/cpi/cpi-relative-importance.xlsx</t>
      </text>
    </comment>
    <comment ref="F311" authorId="0" shapeId="0">
      <text>
        <t>Source: BLS page, 2025-12-01, https://www.bls.gov/cpi/tables/relative-importance/</t>
      </text>
    </comment>
    <comment ref="D312" authorId="0" shapeId="0">
      <text>
        <t>Source: BLS page, 2025-12-01, https://www.bls.gov/web/cpi/cpi-relative-importance.xlsx</t>
      </text>
    </comment>
    <comment ref="E312" authorId="0" shapeId="0">
      <text>
        <t>Source: BLS page, 2025-12-01, https://www.bls.gov/web/cpi/cpi-relative-importance.xlsx</t>
      </text>
    </comment>
    <comment ref="F312" authorId="0" shapeId="0">
      <text>
        <t>Source: BLS page, 2025-12-01, https://www.bls.gov/cpi/tables/relative-importance/</t>
      </text>
    </comment>
    <comment ref="D313" authorId="0" shapeId="0">
      <text>
        <t>Source: BLS page, 2025-12-01, https://www.bls.gov/web/cpi/cpi-relative-importance.xlsx</t>
      </text>
    </comment>
    <comment ref="E313" authorId="0" shapeId="0">
      <text>
        <t>Source: BLS page, 2025-12-01, https://www.bls.gov/web/cpi/cpi-relative-importance.xlsx</t>
      </text>
    </comment>
    <comment ref="F313" authorId="0" shapeId="0">
      <text>
        <t>Source: BLS page, 2025-12-01, https://www.bls.gov/cpi/tables/relative-importance/</t>
      </text>
    </comment>
    <comment ref="D314" authorId="0" shapeId="0">
      <text>
        <t>Source: BLS page, 2025-12-01, https://www.bls.gov/web/cpi/cpi-relative-importance.xlsx</t>
      </text>
    </comment>
    <comment ref="E314" authorId="0" shapeId="0">
      <text>
        <t>Source: BLS page, 2025-12-01, https://www.bls.gov/web/cpi/cpi-relative-importance.xlsx</t>
      </text>
    </comment>
    <comment ref="F314" authorId="0" shapeId="0">
      <text>
        <t>Source: BLS page, 2025-12-01, https://www.bls.gov/cpi/tables/relative-importance/</t>
      </text>
    </comment>
    <comment ref="D315" authorId="0" shapeId="0">
      <text>
        <t>Source: BLS page, 2025-12-01, https://www.bls.gov/web/cpi/cpi-relative-importance.xlsx</t>
      </text>
    </comment>
    <comment ref="E315" authorId="0" shapeId="0">
      <text>
        <t>Source: BLS page, 2025-12-01, https://www.bls.gov/web/cpi/cpi-relative-importance.xlsx</t>
      </text>
    </comment>
    <comment ref="F315" authorId="0" shapeId="0">
      <text>
        <t>Source: BLS page, 2025-12-01, https://www.bls.gov/cpi/tables/relative-importance/</t>
      </text>
    </comment>
    <comment ref="D316" authorId="0" shapeId="0">
      <text>
        <t>Source: BLS page, 2025-12-01, https://www.bls.gov/web/cpi/cpi-relative-importance.xlsx</t>
      </text>
    </comment>
    <comment ref="E316" authorId="0" shapeId="0">
      <text>
        <t>Source: BLS page, 2025-12-01, https://www.bls.gov/web/cpi/cpi-relative-importance.xlsx</t>
      </text>
    </comment>
    <comment ref="F316" authorId="0" shapeId="0">
      <text>
        <t>Source: BLS page, 2025-12-01, https://www.bls.gov/cpi/tables/relative-importance/</t>
      </text>
    </comment>
    <comment ref="D317" authorId="0" shapeId="0">
      <text>
        <t>Source: BLS page, 2025-12-01, https://www.bls.gov/web/cpi/cpi-relative-importance.xlsx</t>
      </text>
    </comment>
    <comment ref="E317" authorId="0" shapeId="0">
      <text>
        <t>Source: BLS page, 2025-12-01, https://www.bls.gov/web/cpi/cpi-relative-importance.xlsx</t>
      </text>
    </comment>
    <comment ref="F317" authorId="0" shapeId="0">
      <text>
        <t>Source: BLS page, 2025-12-01, https://www.bls.gov/cpi/tables/relative-importance/</t>
      </text>
    </comment>
    <comment ref="D318" authorId="0" shapeId="0">
      <text>
        <t>Source: BLS page, 2025-12-01, https://www.bls.gov/web/cpi/cpi-relative-importance.xlsx</t>
      </text>
    </comment>
    <comment ref="E318" authorId="0" shapeId="0">
      <text>
        <t>Source: BLS page, 2025-12-01, https://www.bls.gov/web/cpi/cpi-relative-importance.xlsx</t>
      </text>
    </comment>
    <comment ref="F318" authorId="0" shapeId="0">
      <text>
        <t>Source: BLS page, 2025-12-01, https://www.bls.gov/cpi/tables/relative-importance/</t>
      </text>
    </comment>
    <comment ref="D319" authorId="0" shapeId="0">
      <text>
        <t>Source: BLS page, 2025-12-01, https://www.bls.gov/web/cpi/cpi-relative-importance.xlsx</t>
      </text>
    </comment>
    <comment ref="E319" authorId="0" shapeId="0">
      <text>
        <t>Source: BLS page, 2025-12-01, https://www.bls.gov/web/cpi/cpi-relative-importance.xlsx</t>
      </text>
    </comment>
    <comment ref="F319" authorId="0" shapeId="0">
      <text>
        <t>Source: BLS page, 2025-12-01, https://www.bls.gov/cpi/tables/relative-importance/</t>
      </text>
    </comment>
    <comment ref="D320" authorId="0" shapeId="0">
      <text>
        <t>Source: BLS page, 2025-12-01, https://www.bls.gov/web/cpi/cpi-relative-importance.xlsx</t>
      </text>
    </comment>
    <comment ref="E320" authorId="0" shapeId="0">
      <text>
        <t>Source: BLS page, 2025-12-01, https://www.bls.gov/web/cpi/cpi-relative-importance.xlsx</t>
      </text>
    </comment>
    <comment ref="F320" authorId="0" shapeId="0">
      <text>
        <t>Source: BLS page, 2025-12-01, https://www.bls.gov/cpi/tables/relative-importance/</t>
      </text>
    </comment>
    <comment ref="D321" authorId="0" shapeId="0">
      <text>
        <t>Source: BLS page, 2025-12-01, https://www.bls.gov/web/cpi/cpi-relative-importance.xlsx</t>
      </text>
    </comment>
    <comment ref="E321" authorId="0" shapeId="0">
      <text>
        <t>Source: BLS page, 2025-12-01, https://www.bls.gov/web/cpi/cpi-relative-importance.xlsx</t>
      </text>
    </comment>
    <comment ref="F321" authorId="0" shapeId="0">
      <text>
        <t>Source: BLS page, 2025-12-01, https://www.bls.gov/cpi/tables/relative-importance/</t>
      </text>
    </comment>
    <comment ref="D322" authorId="0" shapeId="0">
      <text>
        <t>Source: BLS page, 2025-12-01, https://www.bls.gov/web/cpi/cpi-relative-importance.xlsx</t>
      </text>
    </comment>
    <comment ref="E322" authorId="0" shapeId="0">
      <text>
        <t>Source: BLS page, 2025-12-01, https://www.bls.gov/web/cpi/cpi-relative-importance.xlsx</t>
      </text>
    </comment>
    <comment ref="F322" authorId="0" shapeId="0">
      <text>
        <t>Source: BLS page, 2025-12-01, https://www.bls.gov/cpi/tables/relative-importance/</t>
      </text>
    </comment>
    <comment ref="D323" authorId="0" shapeId="0">
      <text>
        <t>Source: BLS page, 2025-12-01, https://www.bls.gov/web/cpi/cpi-relative-importance.xlsx</t>
      </text>
    </comment>
    <comment ref="E323" authorId="0" shapeId="0">
      <text>
        <t>Source: BLS page, 2025-12-01, https://www.bls.gov/web/cpi/cpi-relative-importance.xlsx</t>
      </text>
    </comment>
    <comment ref="F323" authorId="0" shapeId="0">
      <text>
        <t>Source: BLS page, 2025-12-01, https://www.bls.gov/cpi/tables/relative-importance/</t>
      </text>
    </comment>
    <comment ref="D324" authorId="0" shapeId="0">
      <text>
        <t>Source: BLS page, 2025-12-01, https://www.bls.gov/web/cpi/cpi-relative-importance.xlsx</t>
      </text>
    </comment>
    <comment ref="E324" authorId="0" shapeId="0">
      <text>
        <t>Source: BLS page, 2025-12-01, https://www.bls.gov/web/cpi/cpi-relative-importance.xlsx</t>
      </text>
    </comment>
    <comment ref="F324" authorId="0" shapeId="0">
      <text>
        <t>Source: BLS page, 2025-12-01, https://www.bls.gov/cpi/tables/relative-importance/</t>
      </text>
    </comment>
    <comment ref="D325" authorId="0" shapeId="0">
      <text>
        <t>Source: BLS page, 2025-12-01, https://www.bls.gov/web/cpi/cpi-relative-importance.xlsx</t>
      </text>
    </comment>
    <comment ref="E325" authorId="0" shapeId="0">
      <text>
        <t>Source: BLS page, 2025-12-01, https://www.bls.gov/web/cpi/cpi-relative-importance.xlsx</t>
      </text>
    </comment>
    <comment ref="F325" authorId="0" shapeId="0">
      <text>
        <t>Source: BLS page, 2025-12-01, https://www.bls.gov/cpi/tables/relative-importance/</t>
      </text>
    </comment>
    <comment ref="D326" authorId="0" shapeId="0">
      <text>
        <t>Source: BLS page, 2025-12-01, https://www.bls.gov/web/cpi/cpi-relative-importance.xlsx</t>
      </text>
    </comment>
    <comment ref="E326" authorId="0" shapeId="0">
      <text>
        <t>Source: BLS page, 2025-12-01, https://www.bls.gov/web/cpi/cpi-relative-importance.xlsx</t>
      </text>
    </comment>
    <comment ref="F326" authorId="0" shapeId="0">
      <text>
        <t>Source: BLS page, 2025-12-01, https://www.bls.gov/cpi/tables/relative-importance/</t>
      </text>
    </comment>
    <comment ref="D327" authorId="0" shapeId="0">
      <text>
        <t>Source: BLS page, 2025-12-01, https://www.bls.gov/web/cpi/cpi-relative-importance.xlsx</t>
      </text>
    </comment>
    <comment ref="E327" authorId="0" shapeId="0">
      <text>
        <t>Source: BLS page, 2025-12-01, https://www.bls.gov/web/cpi/cpi-relative-importance.xlsx</t>
      </text>
    </comment>
    <comment ref="F327" authorId="0" shapeId="0">
      <text>
        <t>Source: BLS page, 2025-12-01, https://www.bls.gov/cpi/tables/relative-importance/</t>
      </text>
    </comment>
    <comment ref="D328" authorId="0" shapeId="0">
      <text>
        <t>Source: BLS page, 2025-12-01, https://www.bls.gov/web/cpi/cpi-relative-importance.xlsx</t>
      </text>
    </comment>
    <comment ref="E328" authorId="0" shapeId="0">
      <text>
        <t>Source: BLS page, 2025-12-01, https://www.bls.gov/web/cpi/cpi-relative-importance.xlsx</t>
      </text>
    </comment>
    <comment ref="F328" authorId="0" shapeId="0">
      <text>
        <t>Source: BLS page, 2025-12-01, https://www.bls.gov/cpi/tables/relative-importance/</t>
      </text>
    </comment>
    <comment ref="D329" authorId="0" shapeId="0">
      <text>
        <t>Source: BLS page, 2025-12-01, https://www.bls.gov/web/cpi/cpi-relative-importance.xlsx</t>
      </text>
    </comment>
    <comment ref="E329" authorId="0" shapeId="0">
      <text>
        <t>Source: BLS page, 2025-12-01, https://www.bls.gov/web/cpi/cpi-relative-importance.xlsx</t>
      </text>
    </comment>
    <comment ref="F329" authorId="0" shapeId="0">
      <text>
        <t>Source: BLS page, 2025-12-01, https://www.bls.gov/cpi/tables/relative-importance/</t>
      </text>
    </comment>
    <comment ref="D330" authorId="0" shapeId="0">
      <text>
        <t>Source: BLS page, 2025-12-01, https://www.bls.gov/web/cpi/cpi-relative-importance.xlsx</t>
      </text>
    </comment>
    <comment ref="E330" authorId="0" shapeId="0">
      <text>
        <t>Source: BLS page, 2025-12-01, https://www.bls.gov/web/cpi/cpi-relative-importance.xlsx</t>
      </text>
    </comment>
    <comment ref="F330" authorId="0" shapeId="0">
      <text>
        <t>Source: BLS page, 2025-12-01, https://www.bls.gov/cpi/tables/relative-importance/</t>
      </text>
    </comment>
    <comment ref="D331" authorId="0" shapeId="0">
      <text>
        <t>Source: BLS page, 2025-12-01, https://www.bls.gov/web/cpi/cpi-relative-importance.xlsx</t>
      </text>
    </comment>
    <comment ref="E331" authorId="0" shapeId="0">
      <text>
        <t>Source: BLS page, 2025-12-01, https://www.bls.gov/web/cpi/cpi-relative-importance.xlsx</t>
      </text>
    </comment>
    <comment ref="F331" authorId="0" shapeId="0">
      <text>
        <t>Source: BLS page, 2025-12-01, https://www.bls.gov/cpi/tables/relative-importance/</t>
      </text>
    </comment>
    <comment ref="D332" authorId="0" shapeId="0">
      <text>
        <t>Source: BLS page, 2025-12-01, https://www.bls.gov/web/cpi/cpi-relative-importance.xlsx</t>
      </text>
    </comment>
    <comment ref="E332" authorId="0" shapeId="0">
      <text>
        <t>Source: BLS page, 2025-12-01, https://www.bls.gov/web/cpi/cpi-relative-importance.xlsx</t>
      </text>
    </comment>
    <comment ref="F332" authorId="0" shapeId="0">
      <text>
        <t>Source: BLS page, 2025-12-01, https://www.bls.gov/cpi/tables/relative-importance/</t>
      </text>
    </comment>
    <comment ref="D333" authorId="0" shapeId="0">
      <text>
        <t>Source: BLS page, 2025-12-01, https://www.bls.gov/web/cpi/cpi-relative-importance.xlsx</t>
      </text>
    </comment>
    <comment ref="E333" authorId="0" shapeId="0">
      <text>
        <t>Source: BLS page, 2025-12-01, https://www.bls.gov/web/cpi/cpi-relative-importance.xlsx</t>
      </text>
    </comment>
    <comment ref="F333" authorId="0" shapeId="0">
      <text>
        <t>Source: BLS page, 2025-12-01, https://www.bls.gov/cpi/tables/relative-importance/</t>
      </text>
    </comment>
    <comment ref="D334" authorId="0" shapeId="0">
      <text>
        <t>Source: BLS page, 2025-12-01, https://www.bls.gov/web/cpi/cpi-relative-importance.xlsx</t>
      </text>
    </comment>
    <comment ref="E334" authorId="0" shapeId="0">
      <text>
        <t>Source: BLS page, 2025-12-01, https://www.bls.gov/web/cpi/cpi-relative-importance.xlsx</t>
      </text>
    </comment>
    <comment ref="F334" authorId="0" shapeId="0">
      <text>
        <t>Source: BLS page, 2025-12-01, https://www.bls.gov/cpi/tables/relative-importance/</t>
      </text>
    </comment>
    <comment ref="D335" authorId="0" shapeId="0">
      <text>
        <t>Source: BLS page, 2025-12-01, https://www.bls.gov/web/cpi/cpi-relative-importance.xlsx</t>
      </text>
    </comment>
    <comment ref="E335" authorId="0" shapeId="0">
      <text>
        <t>Source: BLS page, 2025-12-01, https://www.bls.gov/web/cpi/cpi-relative-importance.xlsx</t>
      </text>
    </comment>
    <comment ref="F335" authorId="0" shapeId="0">
      <text>
        <t>Source: BLS page, 2025-12-01, https://www.bls.gov/cpi/tables/relative-importance/</t>
      </text>
    </comment>
    <comment ref="D336" authorId="0" shapeId="0">
      <text>
        <t>Source: BLS page, 2025-12-01, https://www.bls.gov/web/cpi/cpi-relative-importance.xlsx</t>
      </text>
    </comment>
    <comment ref="E336" authorId="0" shapeId="0">
      <text>
        <t>Source: BLS page, 2025-12-01, https://www.bls.gov/web/cpi/cpi-relative-importance.xlsx</t>
      </text>
    </comment>
    <comment ref="F336" authorId="0" shapeId="0">
      <text>
        <t>Source: BLS page, 2025-12-01, https://www.bls.gov/cpi/tables/relative-importance/</t>
      </text>
    </comment>
    <comment ref="D337" authorId="0" shapeId="0">
      <text>
        <t>Source: BLS page, 2025-12-01, https://www.bls.gov/web/cpi/cpi-relative-importance.xlsx</t>
      </text>
    </comment>
    <comment ref="E337" authorId="0" shapeId="0">
      <text>
        <t>Source: BLS page, 2025-12-01, https://www.bls.gov/web/cpi/cpi-relative-importance.xlsx</t>
      </text>
    </comment>
    <comment ref="F337" authorId="0" shapeId="0">
      <text>
        <t>Source: BLS page, 2025-12-01, https://www.bls.gov/cpi/tables/relative-importance/</t>
      </text>
    </comment>
    <comment ref="D338" authorId="0" shapeId="0">
      <text>
        <t>Source: BLS page, 2025-12-01, https://www.bls.gov/web/cpi/cpi-relative-importance.xlsx</t>
      </text>
    </comment>
    <comment ref="E338" authorId="0" shapeId="0">
      <text>
        <t>Source: BLS page, 2025-12-01, https://www.bls.gov/web/cpi/cpi-relative-importance.xlsx</t>
      </text>
    </comment>
    <comment ref="F338" authorId="0" shapeId="0">
      <text>
        <t>Source: BLS page, 2025-12-01, https://www.bls.gov/cpi/tables/relative-importance/</t>
      </text>
    </comment>
    <comment ref="D339" authorId="0" shapeId="0">
      <text>
        <t>Source: BLS page, 2025-12-01, https://www.bls.gov/web/cpi/cpi-relative-importance.xlsx</t>
      </text>
    </comment>
    <comment ref="E339" authorId="0" shapeId="0">
      <text>
        <t>Source: BLS page, 2025-12-01, https://www.bls.gov/web/cpi/cpi-relative-importance.xlsx</t>
      </text>
    </comment>
    <comment ref="F339" authorId="0" shapeId="0">
      <text>
        <t>Source: BLS page, 2025-12-01, https://www.bls.gov/cpi/tables/relative-importance/</t>
      </text>
    </comment>
    <comment ref="D340" authorId="0" shapeId="0">
      <text>
        <t>Source: BLS page, 2025-12-01, https://www.bls.gov/web/cpi/cpi-relative-importance.xlsx</t>
      </text>
    </comment>
    <comment ref="E340" authorId="0" shapeId="0">
      <text>
        <t>Source: BLS page, 2025-12-01, https://www.bls.gov/web/cpi/cpi-relative-importance.xlsx</t>
      </text>
    </comment>
    <comment ref="F340" authorId="0" shapeId="0">
      <text>
        <t>Source: BLS page, 2025-12-01, https://www.bls.gov/cpi/tables/relative-importance/</t>
      </text>
    </comment>
    <comment ref="D341" authorId="0" shapeId="0">
      <text>
        <t>Source: BLS page, 2025-12-01, https://www.bls.gov/web/cpi/cpi-relative-importance.xlsx</t>
      </text>
    </comment>
    <comment ref="E341" authorId="0" shapeId="0">
      <text>
        <t>Source: BLS page, 2025-12-01, https://www.bls.gov/web/cpi/cpi-relative-importance.xlsx</t>
      </text>
    </comment>
    <comment ref="F341" authorId="0" shapeId="0">
      <text>
        <t>Source: BLS page, 2025-12-01, https://www.bls.gov/cpi/tables/relative-importance/</t>
      </text>
    </comment>
    <comment ref="D342" authorId="0" shapeId="0">
      <text>
        <t>Source: BLS page, 2025-12-01, https://www.bls.gov/web/cpi/cpi-relative-importance.xlsx</t>
      </text>
    </comment>
    <comment ref="E342" authorId="0" shapeId="0">
      <text>
        <t>Source: BLS page, 2025-12-01, https://www.bls.gov/web/cpi/cpi-relative-importance.xlsx</t>
      </text>
    </comment>
    <comment ref="F342" authorId="0" shapeId="0">
      <text>
        <t>Source: BLS page, 2025-12-01, https://www.bls.gov/cpi/tables/relative-importance/</t>
      </text>
    </comment>
    <comment ref="D343" authorId="0" shapeId="0">
      <text>
        <t>Source: BLS page, 2025-12-01, https://www.bls.gov/web/cpi/cpi-relative-importance.xlsx</t>
      </text>
    </comment>
    <comment ref="E343" authorId="0" shapeId="0">
      <text>
        <t>Source: BLS page, 2025-12-01, https://www.bls.gov/web/cpi/cpi-relative-importance.xlsx</t>
      </text>
    </comment>
    <comment ref="F343" authorId="0" shapeId="0">
      <text>
        <t>Source: BLS page, 2025-12-01, https://www.bls.gov/cpi/tables/relative-importance/</t>
      </text>
    </comment>
    <comment ref="D344" authorId="0" shapeId="0">
      <text>
        <t>Source: BLS page, 2025-12-01, https://www.bls.gov/web/cpi/cpi-relative-importance.xlsx</t>
      </text>
    </comment>
    <comment ref="E344" authorId="0" shapeId="0">
      <text>
        <t>Source: BLS page, 2025-12-01, https://www.bls.gov/web/cpi/cpi-relative-importance.xlsx</t>
      </text>
    </comment>
    <comment ref="F344" authorId="0" shapeId="0">
      <text>
        <t>Source: BLS page, 2025-12-01, https://www.bls.gov/cpi/tables/relative-importance/</t>
      </text>
    </comment>
    <comment ref="D345" authorId="0" shapeId="0">
      <text>
        <t>Source: BLS page, 2025-12-01, https://www.bls.gov/web/cpi/cpi-relative-importance.xlsx</t>
      </text>
    </comment>
    <comment ref="E345" authorId="0" shapeId="0">
      <text>
        <t>Source: BLS page, 2025-12-01, https://www.bls.gov/web/cpi/cpi-relative-importance.xlsx</t>
      </text>
    </comment>
    <comment ref="F345" authorId="0" shapeId="0">
      <text>
        <t>Source: BLS page, 2025-12-01, https://www.bls.gov/cpi/tables/relative-importance/</t>
      </text>
    </comment>
    <comment ref="D346" authorId="0" shapeId="0">
      <text>
        <t>Source: BLS page, 2025-12-01, https://www.bls.gov/web/cpi/cpi-relative-importance.xlsx</t>
      </text>
    </comment>
    <comment ref="E346" authorId="0" shapeId="0">
      <text>
        <t>Source: BLS page, 2025-12-01, https://www.bls.gov/web/cpi/cpi-relative-importance.xlsx</t>
      </text>
    </comment>
    <comment ref="F346" authorId="0" shapeId="0">
      <text>
        <t>Source: BLS page, 2025-12-01, https://www.bls.gov/cpi/tables/relative-importance/</t>
      </text>
    </comment>
    <comment ref="D347" authorId="0" shapeId="0">
      <text>
        <t>Source: BLS page, 2025-12-01, https://www.bls.gov/web/cpi/cpi-relative-importance.xlsx</t>
      </text>
    </comment>
    <comment ref="E347" authorId="0" shapeId="0">
      <text>
        <t>Source: BLS page, 2025-12-01, https://www.bls.gov/web/cpi/cpi-relative-importance.xlsx</t>
      </text>
    </comment>
    <comment ref="F347" authorId="0" shapeId="0">
      <text>
        <t>Source: BLS page, 2025-12-01, https://www.bls.gov/cpi/tables/relative-importance/</t>
      </text>
    </comment>
    <comment ref="D348" authorId="0" shapeId="0">
      <text>
        <t>Source: BLS page, 2025-12-01, https://www.bls.gov/web/cpi/cpi-relative-importance.xlsx</t>
      </text>
    </comment>
    <comment ref="E348" authorId="0" shapeId="0">
      <text>
        <t>Source: BLS page, 2025-12-01, https://www.bls.gov/web/cpi/cpi-relative-importance.xlsx</t>
      </text>
    </comment>
    <comment ref="F348" authorId="0" shapeId="0">
      <text>
        <t>Source: BLS page, 2025-12-01, https://www.bls.gov/cpi/tables/relative-importance/</t>
      </text>
    </comment>
    <comment ref="D349" authorId="0" shapeId="0">
      <text>
        <t>Source: BLS page, 2025-12-01, https://www.bls.gov/web/cpi/cpi-relative-importance.xlsx</t>
      </text>
    </comment>
    <comment ref="E349" authorId="0" shapeId="0">
      <text>
        <t>Source: BLS page, 2025-12-01, https://www.bls.gov/web/cpi/cpi-relative-importance.xlsx</t>
      </text>
    </comment>
    <comment ref="F349" authorId="0" shapeId="0">
      <text>
        <t>Source: BLS page, 2025-12-01, https://www.bls.gov/cpi/tables/relative-importance/</t>
      </text>
    </comment>
    <comment ref="D350" authorId="0" shapeId="0">
      <text>
        <t>Source: BLS page, 2025-12-01, https://www.bls.gov/web/cpi/cpi-relative-importance.xlsx</t>
      </text>
    </comment>
    <comment ref="E350" authorId="0" shapeId="0">
      <text>
        <t>Source: BLS page, 2025-12-01, https://www.bls.gov/web/cpi/cpi-relative-importance.xlsx</t>
      </text>
    </comment>
    <comment ref="F350" authorId="0" shapeId="0">
      <text>
        <t>Source: BLS page, 2025-12-01, https://www.bls.gov/cpi/tables/relative-importance/</t>
      </text>
    </comment>
    <comment ref="D351" authorId="0" shapeId="0">
      <text>
        <t>Source: BLS page, 2025-12-01, https://www.bls.gov/web/cpi/cpi-relative-importance.xlsx</t>
      </text>
    </comment>
    <comment ref="E351" authorId="0" shapeId="0">
      <text>
        <t>Source: BLS page, 2025-12-01, https://www.bls.gov/web/cpi/cpi-relative-importance.xlsx</t>
      </text>
    </comment>
    <comment ref="F351" authorId="0" shapeId="0">
      <text>
        <t>Source: BLS page, 2025-12-01, https://www.bls.gov/cpi/tables/relative-importance/</t>
      </text>
    </comment>
    <comment ref="D352" authorId="0" shapeId="0">
      <text>
        <t>Source: BLS page, 2025-12-01, https://www.bls.gov/web/cpi/cpi-relative-importance.xlsx</t>
      </text>
    </comment>
    <comment ref="E352" authorId="0" shapeId="0">
      <text>
        <t>Source: BLS page, 2025-12-01, https://www.bls.gov/web/cpi/cpi-relative-importance.xlsx</t>
      </text>
    </comment>
    <comment ref="F352" authorId="0" shapeId="0">
      <text>
        <t>Source: BLS page, 2025-12-01, https://www.bls.gov/cpi/tables/relative-importance/</t>
      </text>
    </comment>
    <comment ref="D353" authorId="0" shapeId="0">
      <text>
        <t>Source: BLS page, 2025-12-01, https://www.bls.gov/web/cpi/cpi-relative-importance.xlsx</t>
      </text>
    </comment>
    <comment ref="E353" authorId="0" shapeId="0">
      <text>
        <t>Source: BLS page, 2025-12-01, https://www.bls.gov/web/cpi/cpi-relative-importance.xlsx</t>
      </text>
    </comment>
    <comment ref="F353" authorId="0" shapeId="0">
      <text>
        <t>Source: BLS page, 2025-12-01, https://www.bls.gov/cpi/tables/relative-importance/</t>
      </text>
    </comment>
    <comment ref="D354" authorId="0" shapeId="0">
      <text>
        <t>Source: BLS page, 2025-12-01, https://www.bls.gov/web/cpi/cpi-relative-importance.xlsx</t>
      </text>
    </comment>
    <comment ref="E354" authorId="0" shapeId="0">
      <text>
        <t>Source: BLS page, 2025-12-01, https://www.bls.gov/web/cpi/cpi-relative-importance.xlsx</t>
      </text>
    </comment>
    <comment ref="F354" authorId="0" shapeId="0">
      <text>
        <t>Source: BLS page, 2025-12-01, https://www.bls.gov/cpi/tables/relative-importance/</t>
      </text>
    </comment>
    <comment ref="D355" authorId="0" shapeId="0">
      <text>
        <t>Source: BLS page, 2025-12-01, https://www.bls.gov/web/cpi/cpi-relative-importance.xlsx</t>
      </text>
    </comment>
    <comment ref="E355" authorId="0" shapeId="0">
      <text>
        <t>Source: BLS page, 2025-12-01, https://www.bls.gov/web/cpi/cpi-relative-importance.xlsx</t>
      </text>
    </comment>
    <comment ref="F355" authorId="0" shapeId="0">
      <text>
        <t>Source: BLS page, 2025-12-01, https://www.bls.gov/cpi/tables/relative-importance/</t>
      </text>
    </comment>
    <comment ref="D356" authorId="0" shapeId="0">
      <text>
        <t>Source: BLS page, 2025-12-01, https://www.bls.gov/web/cpi/cpi-relative-importance.xlsx</t>
      </text>
    </comment>
    <comment ref="E356" authorId="0" shapeId="0">
      <text>
        <t>Source: BLS page, 2025-12-01, https://www.bls.gov/web/cpi/cpi-relative-importance.xlsx</t>
      </text>
    </comment>
    <comment ref="F356" authorId="0" shapeId="0">
      <text>
        <t>Source: BLS page, 2025-12-01, https://www.bls.gov/cpi/tables/relative-importance/</t>
      </text>
    </comment>
    <comment ref="D357" authorId="0" shapeId="0">
      <text>
        <t>Source: BLS page, 2025-12-01, https://www.bls.gov/web/cpi/cpi-relative-importance.xlsx</t>
      </text>
    </comment>
    <comment ref="E357" authorId="0" shapeId="0">
      <text>
        <t>Source: BLS page, 2025-12-01, https://www.bls.gov/web/cpi/cpi-relative-importance.xlsx</t>
      </text>
    </comment>
    <comment ref="F357" authorId="0" shapeId="0">
      <text>
        <t>Source: BLS page, 2025-12-01, https://www.bls.gov/cpi/tables/relative-importance/</t>
      </text>
    </comment>
    <comment ref="D358" authorId="0" shapeId="0">
      <text>
        <t>Source: BLS page, 2025-12-01, https://www.bls.gov/web/cpi/cpi-relative-importance.xlsx</t>
      </text>
    </comment>
    <comment ref="E358" authorId="0" shapeId="0">
      <text>
        <t>Source: BLS page, 2025-12-01, https://www.bls.gov/web/cpi/cpi-relative-importance.xlsx</t>
      </text>
    </comment>
    <comment ref="F358" authorId="0" shapeId="0">
      <text>
        <t>Source: BLS page, 2025-12-01, https://www.bls.gov/cpi/tables/relative-importance/</t>
      </text>
    </comment>
    <comment ref="D359" authorId="0" shapeId="0">
      <text>
        <t>Source: BLS page, 2025-12-01, https://www.bls.gov/web/cpi/cpi-relative-importance.xlsx</t>
      </text>
    </comment>
    <comment ref="E359" authorId="0" shapeId="0">
      <text>
        <t>Source: BLS page, 2025-12-01, https://www.bls.gov/web/cpi/cpi-relative-importance.xlsx</t>
      </text>
    </comment>
    <comment ref="F359" authorId="0" shapeId="0">
      <text>
        <t>Source: BLS page, 2025-12-01, https://www.bls.gov/cpi/tables/relative-importance/</t>
      </text>
    </comment>
    <comment ref="D360" authorId="0" shapeId="0">
      <text>
        <t>Source: BLS page, 2025-12-01, https://www.bls.gov/web/cpi/cpi-relative-importance.xlsx</t>
      </text>
    </comment>
    <comment ref="E360" authorId="0" shapeId="0">
      <text>
        <t>Source: BLS page, 2025-12-01, https://www.bls.gov/web/cpi/cpi-relative-importance.xlsx</t>
      </text>
    </comment>
    <comment ref="F360" authorId="0" shapeId="0">
      <text>
        <t>Source: BLS page, 2025-12-01, https://www.bls.gov/cpi/tables/relative-importance/</t>
      </text>
    </comment>
    <comment ref="D361" authorId="0" shapeId="0">
      <text>
        <t>Source: BLS page, 2025-12-01, https://www.bls.gov/web/cpi/cpi-relative-importance.xlsx</t>
      </text>
    </comment>
    <comment ref="E361" authorId="0" shapeId="0">
      <text>
        <t>Source: BLS page, 2025-12-01, https://www.bls.gov/web/cpi/cpi-relative-importance.xlsx</t>
      </text>
    </comment>
    <comment ref="F361" authorId="0" shapeId="0">
      <text>
        <t>Source: BLS page, 2025-12-01, https://www.bls.gov/cpi/tables/relative-importance/</t>
      </text>
    </comment>
    <comment ref="D362" authorId="0" shapeId="0">
      <text>
        <t>Source: BLS page, 2025-12-01, https://www.bls.gov/web/cpi/cpi-relative-importance.xlsx</t>
      </text>
    </comment>
    <comment ref="E362" authorId="0" shapeId="0">
      <text>
        <t>Source: BLS page, 2025-12-01, https://www.bls.gov/web/cpi/cpi-relative-importance.xlsx</t>
      </text>
    </comment>
    <comment ref="F362" authorId="0" shapeId="0">
      <text>
        <t>Source: BLS page, 2025-12-01, https://www.bls.gov/cpi/tables/relative-importance/</t>
      </text>
    </comment>
    <comment ref="D363" authorId="0" shapeId="0">
      <text>
        <t>Source: BLS page, 2025-12-01, https://www.bls.gov/web/cpi/cpi-relative-importance.xlsx</t>
      </text>
    </comment>
    <comment ref="E363" authorId="0" shapeId="0">
      <text>
        <t>Source: BLS page, 2025-12-01, https://www.bls.gov/web/cpi/cpi-relative-importance.xlsx</t>
      </text>
    </comment>
    <comment ref="F363" authorId="0" shapeId="0">
      <text>
        <t>Source: BLS page, 2025-12-01, https://www.bls.gov/cpi/tables/relative-importance/</t>
      </text>
    </comment>
    <comment ref="D364" authorId="0" shapeId="0">
      <text>
        <t>Source: BLS page, 2025-12-01, https://www.bls.gov/web/cpi/cpi-relative-importance.xlsx</t>
      </text>
    </comment>
    <comment ref="E364" authorId="0" shapeId="0">
      <text>
        <t>Source: BLS page, 2025-12-01, https://www.bls.gov/web/cpi/cpi-relative-importance.xlsx</t>
      </text>
    </comment>
    <comment ref="F364" authorId="0" shapeId="0">
      <text>
        <t>Source: BLS page, 2025-12-01, https://www.bls.gov/cpi/tables/relative-importance/</t>
      </text>
    </comment>
    <comment ref="D365" authorId="0" shapeId="0">
      <text>
        <t>Source: BLS page, 2025-12-01, https://www.bls.gov/web/cpi/cpi-relative-importance.xlsx</t>
      </text>
    </comment>
    <comment ref="E365" authorId="0" shapeId="0">
      <text>
        <t>Source: BLS page, 2025-12-01, https://www.bls.gov/web/cpi/cpi-relative-importance.xlsx</t>
      </text>
    </comment>
    <comment ref="F365" authorId="0" shapeId="0">
      <text>
        <t>Source: BLS page, 2025-12-01, https://www.bls.gov/cpi/tables/relative-importance/</t>
      </text>
    </comment>
    <comment ref="D366" authorId="0" shapeId="0">
      <text>
        <t>Source: BLS page, 2025-12-01, https://www.bls.gov/web/cpi/cpi-relative-importance.xlsx</t>
      </text>
    </comment>
    <comment ref="E366" authorId="0" shapeId="0">
      <text>
        <t>Source: BLS page, 2025-12-01, https://www.bls.gov/web/cpi/cpi-relative-importance.xlsx</t>
      </text>
    </comment>
    <comment ref="F366" authorId="0" shapeId="0">
      <text>
        <t>Source: BLS page, 2025-12-01, https://www.bls.gov/cpi/tables/relative-importance/</t>
      </text>
    </comment>
    <comment ref="D367" authorId="0" shapeId="0">
      <text>
        <t>Source: BLS page, 2025-12-01, https://www.bls.gov/web/cpi/cpi-relative-importance.xlsx</t>
      </text>
    </comment>
    <comment ref="E367" authorId="0" shapeId="0">
      <text>
        <t>Source: BLS page, 2025-12-01, https://www.bls.gov/web/cpi/cpi-relative-importance.xlsx</t>
      </text>
    </comment>
    <comment ref="F367" authorId="0" shapeId="0">
      <text>
        <t>Source: BLS page, 2025-12-01, https://www.bls.gov/cpi/tables/relative-importance/</t>
      </text>
    </comment>
    <comment ref="D368" authorId="0" shapeId="0">
      <text>
        <t>Source: BLS page, 2025-12-01, https://www.bls.gov/web/cpi/cpi-relative-importance.xlsx</t>
      </text>
    </comment>
    <comment ref="E368" authorId="0" shapeId="0">
      <text>
        <t>Source: BLS page, 2025-12-01, https://www.bls.gov/web/cpi/cpi-relative-importance.xlsx</t>
      </text>
    </comment>
    <comment ref="F368" authorId="0" shapeId="0">
      <text>
        <t>Source: BLS page, 2025-12-01, https://www.bls.gov/cpi/tables/relative-importance/</t>
      </text>
    </comment>
    <comment ref="D369" authorId="0" shapeId="0">
      <text>
        <t>Source: BLS page, 2025-12-01, https://www.bls.gov/web/cpi/cpi-relative-importance.xlsx</t>
      </text>
    </comment>
    <comment ref="E369" authorId="0" shapeId="0">
      <text>
        <t>Source: BLS page, 2025-12-01, https://www.bls.gov/web/cpi/cpi-relative-importance.xlsx</t>
      </text>
    </comment>
    <comment ref="F369" authorId="0" shapeId="0">
      <text>
        <t>Source: BLS page, 2025-12-01, https://www.bls.gov/cpi/tables/relative-importance/</t>
      </text>
    </comment>
    <comment ref="D370" authorId="0" shapeId="0">
      <text>
        <t>Source: BLS page, 2025-12-01, https://www.bls.gov/web/cpi/cpi-relative-importance.xlsx</t>
      </text>
    </comment>
    <comment ref="E370" authorId="0" shapeId="0">
      <text>
        <t>Source: BLS page, 2025-12-01, https://www.bls.gov/web/cpi/cpi-relative-importance.xlsx</t>
      </text>
    </comment>
    <comment ref="F370" authorId="0" shapeId="0">
      <text>
        <t>Source: BLS page, 2025-12-01, https://www.bls.gov/cpi/tables/relative-importance/</t>
      </text>
    </comment>
    <comment ref="D371" authorId="0" shapeId="0">
      <text>
        <t>Source: BLS page, 2025-12-01, https://www.bls.gov/web/cpi/cpi-relative-importance.xlsx</t>
      </text>
    </comment>
    <comment ref="E371" authorId="0" shapeId="0">
      <text>
        <t>Source: BLS page, 2025-12-01, https://www.bls.gov/web/cpi/cpi-relative-importance.xlsx</t>
      </text>
    </comment>
    <comment ref="F371" authorId="0" shapeId="0">
      <text>
        <t>Source: BLS page, 2025-12-01, https://www.bls.gov/cpi/tables/relative-importance/</t>
      </text>
    </comment>
    <comment ref="D372" authorId="0" shapeId="0">
      <text>
        <t>Source: BLS page, 2025-12-01, https://www.bls.gov/web/cpi/cpi-relative-importance.xlsx</t>
      </text>
    </comment>
    <comment ref="E372" authorId="0" shapeId="0">
      <text>
        <t>Source: BLS page, 2025-12-01, https://www.bls.gov/web/cpi/cpi-relative-importance.xlsx</t>
      </text>
    </comment>
    <comment ref="F372" authorId="0" shapeId="0">
      <text>
        <t>Source: BLS page, 2025-12-01, https://www.bls.gov/cpi/tables/relative-importance/</t>
      </text>
    </comment>
    <comment ref="D373" authorId="0" shapeId="0">
      <text>
        <t>Source: BLS page, 2025-12-01, https://www.bls.gov/web/cpi/cpi-relative-importance.xlsx</t>
      </text>
    </comment>
    <comment ref="E373" authorId="0" shapeId="0">
      <text>
        <t>Source: BLS page, 2025-12-01, https://www.bls.gov/web/cpi/cpi-relative-importance.xlsx</t>
      </text>
    </comment>
    <comment ref="F373" authorId="0" shapeId="0">
      <text>
        <t>Source: BLS page, 2025-12-01, https://www.bls.gov/cpi/tables/relative-importance/</t>
      </text>
    </comment>
    <comment ref="D374" authorId="0" shapeId="0">
      <text>
        <t>Source: BLS page, 2025-12-01, https://www.bls.gov/web/cpi/cpi-relative-importance.xlsx</t>
      </text>
    </comment>
    <comment ref="E374" authorId="0" shapeId="0">
      <text>
        <t>Source: BLS page, 2025-12-01, https://www.bls.gov/web/cpi/cpi-relative-importance.xlsx</t>
      </text>
    </comment>
    <comment ref="F374" authorId="0" shapeId="0">
      <text>
        <t>Source: BLS page, 2025-12-01, https://www.bls.gov/cpi/tables/relative-importance/</t>
      </text>
    </comment>
    <comment ref="D375" authorId="0" shapeId="0">
      <text>
        <t>Source: BLS page, 2025-12-01, https://www.bls.gov/web/cpi/cpi-relative-importance.xlsx</t>
      </text>
    </comment>
    <comment ref="E375" authorId="0" shapeId="0">
      <text>
        <t>Source: BLS page, 2025-12-01, https://www.bls.gov/web/cpi/cpi-relative-importance.xlsx</t>
      </text>
    </comment>
    <comment ref="F375" authorId="0" shapeId="0">
      <text>
        <t>Source: BLS page, 2025-12-01, https://www.bls.gov/cpi/tables/relative-importance/</t>
      </text>
    </comment>
    <comment ref="D376" authorId="0" shapeId="0">
      <text>
        <t>Source: BLS page, 2025-12-01, https://www.bls.gov/web/cpi/cpi-relative-importance.xlsx</t>
      </text>
    </comment>
    <comment ref="E376" authorId="0" shapeId="0">
      <text>
        <t>Source: BLS page, 2025-12-01, https://www.bls.gov/web/cpi/cpi-relative-importance.xlsx</t>
      </text>
    </comment>
    <comment ref="F376" authorId="0" shapeId="0">
      <text>
        <t>Source: BLS page, 2025-12-01, https://www.bls.gov/cpi/tables/relative-importance/</t>
      </text>
    </comment>
    <comment ref="D377" authorId="0" shapeId="0">
      <text>
        <t>Source: BLS page, 2025-12-01, https://www.bls.gov/web/cpi/cpi-relative-importance.xlsx</t>
      </text>
    </comment>
    <comment ref="E377" authorId="0" shapeId="0">
      <text>
        <t>Source: BLS page, 2025-12-01, https://www.bls.gov/web/cpi/cpi-relative-importance.xlsx</t>
      </text>
    </comment>
    <comment ref="F377" authorId="0" shapeId="0">
      <text>
        <t>Source: BLS page, 2025-12-01, https://www.bls.gov/cpi/tables/relative-importance/</t>
      </text>
    </comment>
    <comment ref="D378" authorId="0" shapeId="0">
      <text>
        <t>Source: BLS page, 2025-12-01, https://www.bls.gov/web/cpi/cpi-relative-importance.xlsx</t>
      </text>
    </comment>
    <comment ref="E378" authorId="0" shapeId="0">
      <text>
        <t>Source: BLS page, 2025-12-01, https://www.bls.gov/web/cpi/cpi-relative-importance.xlsx</t>
      </text>
    </comment>
    <comment ref="F378" authorId="0" shapeId="0">
      <text>
        <t>Source: BLS page, 2025-12-01, https://www.bls.gov/cpi/tables/relative-importance/</t>
      </text>
    </comment>
    <comment ref="D379" authorId="0" shapeId="0">
      <text>
        <t>Source: BLS page, 2025-12-01, https://www.bls.gov/web/cpi/cpi-relative-importance.xlsx</t>
      </text>
    </comment>
    <comment ref="E379" authorId="0" shapeId="0">
      <text>
        <t>Source: BLS page, 2025-12-01, https://www.bls.gov/web/cpi/cpi-relative-importance.xlsx</t>
      </text>
    </comment>
    <comment ref="F379" authorId="0" shapeId="0">
      <text>
        <t>Source: BLS page, 2025-12-01, https://www.bls.gov/cpi/tables/relative-importance/</t>
      </text>
    </comment>
    <comment ref="D380" authorId="0" shapeId="0">
      <text>
        <t>Source: BLS page, 2025-12-01, https://www.bls.gov/web/cpi/cpi-relative-importance.xlsx</t>
      </text>
    </comment>
    <comment ref="E380" authorId="0" shapeId="0">
      <text>
        <t>Source: BLS page, 2025-12-01, https://www.bls.gov/web/cpi/cpi-relative-importance.xlsx</t>
      </text>
    </comment>
    <comment ref="F380" authorId="0" shapeId="0">
      <text>
        <t>Source: BLS page, 2025-12-01, https://www.bls.gov/cpi/tables/relative-importance/</t>
      </text>
    </comment>
    <comment ref="D381" authorId="0" shapeId="0">
      <text>
        <t>Source: BLS page, 2025-12-01, https://www.bls.gov/web/cpi/cpi-relative-importance.xlsx</t>
      </text>
    </comment>
    <comment ref="E381" authorId="0" shapeId="0">
      <text>
        <t>Source: BLS page, 2025-12-01, https://www.bls.gov/web/cpi/cpi-relative-importance.xlsx</t>
      </text>
    </comment>
    <comment ref="F381" authorId="0" shapeId="0">
      <text>
        <t>Source: BLS page, 2025-12-01, https://www.bls.gov/cpi/tables/relative-importance/</t>
      </text>
    </comment>
    <comment ref="D382" authorId="0" shapeId="0">
      <text>
        <t>Source: BLS page, 2025-12-01, https://www.bls.gov/web/cpi/cpi-relative-importance.xlsx</t>
      </text>
    </comment>
    <comment ref="E382" authorId="0" shapeId="0">
      <text>
        <t>Source: BLS page, 2025-12-01, https://www.bls.gov/web/cpi/cpi-relative-importance.xlsx</t>
      </text>
    </comment>
    <comment ref="F382" authorId="0" shapeId="0">
      <text>
        <t>Source: BLS page, 2025-12-01, https://www.bls.gov/cpi/tables/relative-importance/</t>
      </text>
    </comment>
    <comment ref="D383" authorId="0" shapeId="0">
      <text>
        <t>Source: BLS page, 2025-12-01, https://www.bls.gov/web/cpi/cpi-relative-importance.xlsx</t>
      </text>
    </comment>
    <comment ref="E383" authorId="0" shapeId="0">
      <text>
        <t>Source: BLS page, 2025-12-01, https://www.bls.gov/web/cpi/cpi-relative-importance.xlsx</t>
      </text>
    </comment>
    <comment ref="F383" authorId="0" shapeId="0">
      <text>
        <t>Source: BLS page, 2025-12-01, https://www.bls.gov/cpi/tables/relative-importance/</t>
      </text>
    </comment>
    <comment ref="D384" authorId="0" shapeId="0">
      <text>
        <t>Source: BLS page, 2025-12-01, https://www.bls.gov/web/cpi/cpi-relative-importance.xlsx</t>
      </text>
    </comment>
    <comment ref="E384" authorId="0" shapeId="0">
      <text>
        <t>Source: BLS page, 2025-12-01, https://www.bls.gov/web/cpi/cpi-relative-importance.xlsx</t>
      </text>
    </comment>
    <comment ref="F384" authorId="0" shapeId="0">
      <text>
        <t>Source: BLS page, 2025-12-01, https://www.bls.gov/cpi/tables/relative-importance/</t>
      </text>
    </comment>
    <comment ref="D385" authorId="0" shapeId="0">
      <text>
        <t>Source: BLS page, 2025-12-01, https://www.bls.gov/web/cpi/cpi-relative-importance.xlsx</t>
      </text>
    </comment>
    <comment ref="E385" authorId="0" shapeId="0">
      <text>
        <t>Source: BLS page, 2025-12-01, https://www.bls.gov/web/cpi/cpi-relative-importance.xlsx</t>
      </text>
    </comment>
    <comment ref="F385" authorId="0" shapeId="0">
      <text>
        <t>Source: BLS page, 2025-12-01, https://www.bls.gov/cpi/tables/relative-importance/</t>
      </text>
    </comment>
    <comment ref="D386" authorId="0" shapeId="0">
      <text>
        <t>Source: BLS page, 2025-12-01, https://www.bls.gov/web/cpi/cpi-relative-importance.xlsx</t>
      </text>
    </comment>
    <comment ref="E386" authorId="0" shapeId="0">
      <text>
        <t>Source: BLS page, 2025-12-01, https://www.bls.gov/web/cpi/cpi-relative-importance.xlsx</t>
      </text>
    </comment>
    <comment ref="F386" authorId="0" shapeId="0">
      <text>
        <t>Source: BLS page, 2025-12-01, https://www.bls.gov/cpi/tables/relative-importance/</t>
      </text>
    </comment>
    <comment ref="D387" authorId="0" shapeId="0">
      <text>
        <t>Source: BLS page, 2025-12-01, https://www.bls.gov/web/cpi/cpi-relative-importance.xlsx</t>
      </text>
    </comment>
    <comment ref="E387" authorId="0" shapeId="0">
      <text>
        <t>Source: BLS page, 2025-12-01, https://www.bls.gov/web/cpi/cpi-relative-importance.xlsx</t>
      </text>
    </comment>
    <comment ref="F387" authorId="0" shapeId="0">
      <text>
        <t>Source: BLS page, 2025-12-01, https://www.bls.gov/cpi/tables/relative-importance/</t>
      </text>
    </comment>
    <comment ref="D388" authorId="0" shapeId="0">
      <text>
        <t>Source: BLS page, 2025-12-01, https://www.bls.gov/web/cpi/cpi-relative-importance.xlsx</t>
      </text>
    </comment>
    <comment ref="E388" authorId="0" shapeId="0">
      <text>
        <t>Source: BLS page, 2025-12-01, https://www.bls.gov/web/cpi/cpi-relative-importance.xlsx</t>
      </text>
    </comment>
    <comment ref="F388" authorId="0" shapeId="0">
      <text>
        <t>Source: BLS page, 2025-12-01, https://www.bls.gov/cpi/tables/relative-importance/</t>
      </text>
    </comment>
    <comment ref="D389" authorId="0" shapeId="0">
      <text>
        <t>Source: BLS page, 2025-12-01, https://www.bls.gov/web/cpi/cpi-relative-importance.xlsx</t>
      </text>
    </comment>
    <comment ref="E389" authorId="0" shapeId="0">
      <text>
        <t>Source: BLS page, 2025-12-01, https://www.bls.gov/web/cpi/cpi-relative-importance.xlsx</t>
      </text>
    </comment>
    <comment ref="F389" authorId="0" shapeId="0">
      <text>
        <t>Source: BLS page, 2025-12-01, https://www.bls.gov/cpi/tables/relative-importance/</t>
      </text>
    </comment>
    <comment ref="D390" authorId="0" shapeId="0">
      <text>
        <t>Source: BLS page, 2025-12-01, https://www.bls.gov/web/cpi/cpi-relative-importance.xlsx</t>
      </text>
    </comment>
    <comment ref="E390" authorId="0" shapeId="0">
      <text>
        <t>Source: BLS page, 2025-12-01, https://www.bls.gov/web/cpi/cpi-relative-importance.xlsx</t>
      </text>
    </comment>
    <comment ref="F390" authorId="0" shapeId="0">
      <text>
        <t>Source: BLS page, 2025-12-01, https://www.bls.gov/cpi/tables/relative-importance/</t>
      </text>
    </comment>
    <comment ref="D391" authorId="0" shapeId="0">
      <text>
        <t>Source: BLS page, 2025-12-01, https://www.bls.gov/web/cpi/cpi-relative-importance.xlsx</t>
      </text>
    </comment>
    <comment ref="E391" authorId="0" shapeId="0">
      <text>
        <t>Source: BLS page, 2025-12-01, https://www.bls.gov/web/cpi/cpi-relative-importance.xlsx</t>
      </text>
    </comment>
    <comment ref="F391" authorId="0" shapeId="0">
      <text>
        <t>Source: BLS page, 2025-12-01, https://www.bls.gov/cpi/tables/relative-importance/</t>
      </text>
    </comment>
    <comment ref="D392" authorId="0" shapeId="0">
      <text>
        <t>Source: BLS page, 2025-12-01, https://www.bls.gov/web/cpi/cpi-relative-importance.xlsx</t>
      </text>
    </comment>
    <comment ref="E392" authorId="0" shapeId="0">
      <text>
        <t>Source: BLS page, 2025-12-01, https://www.bls.gov/web/cpi/cpi-relative-importance.xlsx</t>
      </text>
    </comment>
    <comment ref="F392" authorId="0" shapeId="0">
      <text>
        <t>Source: BLS page, 2025-12-01, https://www.bls.gov/cpi/tables/relative-importance/</t>
      </text>
    </comment>
    <comment ref="D393" authorId="0" shapeId="0">
      <text>
        <t>Source: BLS page, 2025-12-01, https://www.bls.gov/web/cpi/cpi-relative-importance.xlsx</t>
      </text>
    </comment>
    <comment ref="E393" authorId="0" shapeId="0">
      <text>
        <t>Source: BLS page, 2025-12-01, https://www.bls.gov/web/cpi/cpi-relative-importance.xlsx</t>
      </text>
    </comment>
    <comment ref="F393" authorId="0" shapeId="0">
      <text>
        <t>Source: BLS page, 2025-12-01, https://www.bls.gov/cpi/tables/relative-importance/</t>
      </text>
    </comment>
    <comment ref="D394" authorId="0" shapeId="0">
      <text>
        <t>Source: BLS page, 2025-12-01, https://www.bls.gov/web/cpi/cpi-relative-importance.xlsx</t>
      </text>
    </comment>
    <comment ref="E394" authorId="0" shapeId="0">
      <text>
        <t>Source: BLS page, 2025-12-01, https://www.bls.gov/web/cpi/cpi-relative-importance.xlsx</t>
      </text>
    </comment>
    <comment ref="F394" authorId="0" shapeId="0">
      <text>
        <t>Source: BLS page, 2025-12-01, https://www.bls.gov/cpi/tables/relative-importance/</t>
      </text>
    </comment>
    <comment ref="D395" authorId="0" shapeId="0">
      <text>
        <t>Source: BLS page, 2025-12-01, https://www.bls.gov/web/cpi/cpi-relative-importance.xlsx</t>
      </text>
    </comment>
    <comment ref="E395" authorId="0" shapeId="0">
      <text>
        <t>Source: BLS page, 2025-12-01, https://www.bls.gov/web/cpi/cpi-relative-importance.xlsx</t>
      </text>
    </comment>
    <comment ref="F395" authorId="0" shapeId="0">
      <text>
        <t>Source: BLS page, 2025-12-01, https://www.bls.gov/cpi/tables/relative-importance/</t>
      </text>
    </comment>
    <comment ref="D396" authorId="0" shapeId="0">
      <text>
        <t>Source: BLS page, 2025-12-01, https://www.bls.gov/web/cpi/cpi-relative-importance.xlsx</t>
      </text>
    </comment>
    <comment ref="E396" authorId="0" shapeId="0">
      <text>
        <t>Source: BLS page, 2025-12-01, https://www.bls.gov/web/cpi/cpi-relative-importance.xlsx</t>
      </text>
    </comment>
    <comment ref="F396" authorId="0" shapeId="0">
      <text>
        <t>Source: BLS page, 2025-12-01, https://www.bls.gov/cpi/tables/relative-importance/</t>
      </text>
    </comment>
    <comment ref="D397" authorId="0" shapeId="0">
      <text>
        <t>Source: BLS page, 2025-12-01, https://www.bls.gov/web/cpi/cpi-relative-importance.xlsx</t>
      </text>
    </comment>
    <comment ref="E397" authorId="0" shapeId="0">
      <text>
        <t>Source: BLS page, 2025-12-01, https://www.bls.gov/web/cpi/cpi-relative-importance.xlsx</t>
      </text>
    </comment>
    <comment ref="F397" authorId="0" shapeId="0">
      <text>
        <t>Source: BLS page, 2025-12-01, https://www.bls.gov/cpi/tables/relative-importance/</t>
      </text>
    </comment>
    <comment ref="D398" authorId="0" shapeId="0">
      <text>
        <t>Source: BLS page, 2025-12-01, https://www.bls.gov/web/cpi/cpi-relative-importance.xlsx</t>
      </text>
    </comment>
    <comment ref="E398" authorId="0" shapeId="0">
      <text>
        <t>Source: BLS page, 2025-12-01, https://www.bls.gov/web/cpi/cpi-relative-importance.xlsx</t>
      </text>
    </comment>
    <comment ref="F398" authorId="0" shapeId="0">
      <text>
        <t>Source: BLS page, 2025-12-01, https://www.bls.gov/cpi/tables/relative-importance/</t>
      </text>
    </comment>
    <comment ref="D399" authorId="0" shapeId="0">
      <text>
        <t>Source: BLS page, 2025-12-01, https://www.bls.gov/web/cpi/cpi-relative-importance.xlsx</t>
      </text>
    </comment>
    <comment ref="E399" authorId="0" shapeId="0">
      <text>
        <t>Source: BLS page, 2025-12-01, https://www.bls.gov/web/cpi/cpi-relative-importance.xlsx</t>
      </text>
    </comment>
    <comment ref="F399" authorId="0" shapeId="0">
      <text>
        <t>Source: BLS page, 2025-12-01, https://www.bls.gov/cpi/tables/relative-importance/</t>
      </text>
    </comment>
    <comment ref="D400" authorId="0" shapeId="0">
      <text>
        <t>Source: BLS page, 2025-12-01, https://www.bls.gov/web/cpi/cpi-relative-importance.xlsx</t>
      </text>
    </comment>
    <comment ref="E400" authorId="0" shapeId="0">
      <text>
        <t>Source: BLS page, 2025-12-01, https://www.bls.gov/web/cpi/cpi-relative-importance.xlsx</t>
      </text>
    </comment>
    <comment ref="F400" authorId="0" shapeId="0">
      <text>
        <t>Source: BLS page, 2025-12-01, https://www.bls.gov/cpi/tables/relative-importance/</t>
      </text>
    </comment>
    <comment ref="D401" authorId="0" shapeId="0">
      <text>
        <t>Source: BLS page, 2025-12-01, https://www.bls.gov/web/cpi/cpi-relative-importance.xlsx</t>
      </text>
    </comment>
    <comment ref="E401" authorId="0" shapeId="0">
      <text>
        <t>Source: BLS page, 2025-12-01, https://www.bls.gov/web/cpi/cpi-relative-importance.xlsx</t>
      </text>
    </comment>
    <comment ref="F401" authorId="0" shapeId="0">
      <text>
        <t>Source: BLS page, 2025-12-01, https://www.bls.gov/cpi/tables/relative-importance/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A1" authorId="0" shapeId="0">
      <text>
        <t>Source: BLS page, 2026-10-24, https://api.bls.gov/publicAPI/v2/timeseries/data/</t>
      </text>
    </comment>
    <comment ref="B1" authorId="0" shapeId="0">
      <text>
        <t>Source: BLS page, 2026-10-24, https://data.bls.gov/timeseries/CUUR0000SA0</t>
      </text>
    </comment>
    <comment ref="C1" authorId="0" shapeId="0">
      <text>
        <t>Source: BLS page, 2026-10-24, https://data.bls.gov/timeseries/CUUR0000AA0</t>
      </text>
    </comment>
    <comment ref="D1" authorId="0" shapeId="0">
      <text>
        <t>Source: BLS page, 2026-10-24, https://data.bls.gov/timeseries/CUUR0000SAF</t>
      </text>
    </comment>
    <comment ref="E1" authorId="0" shapeId="0">
      <text>
        <t>Source: BLS page, 2026-10-24, https://data.bls.gov/timeseries/CUUR0000SAF1</t>
      </text>
    </comment>
    <comment ref="F1" authorId="0" shapeId="0">
      <text>
        <t>Source: BLS page, 2026-10-24, https://data.bls.gov/timeseries/CUUR0000SAF11</t>
      </text>
    </comment>
    <comment ref="G1" authorId="0" shapeId="0">
      <text>
        <t>Source: BLS page, 2026-10-24, https://data.bls.gov/timeseries/CUUR0000SAF111</t>
      </text>
    </comment>
    <comment ref="H1" authorId="0" shapeId="0">
      <text>
        <t>Source: BLS page, 2026-10-24, https://data.bls.gov/timeseries/CUUR0000SEFA</t>
      </text>
    </comment>
    <comment ref="I1" authorId="0" shapeId="0">
      <text>
        <t>Source: BLS page, 2026-10-24, https://data.bls.gov/timeseries/CUUR0000SEFA01</t>
      </text>
    </comment>
    <comment ref="J1" authorId="0" shapeId="0">
      <text>
        <t>Source: BLS page, 2026-10-24, https://data.bls.gov/timeseries/CUUR0000SEFA02</t>
      </text>
    </comment>
    <comment ref="K1" authorId="0" shapeId="0">
      <text>
        <t>Source: BLS page, 2026-10-24, https://data.bls.gov/timeseries/CUUR0000SEFA03</t>
      </text>
    </comment>
    <comment ref="L1" authorId="0" shapeId="0">
      <text>
        <t>Source: BLS page, 2026-10-24, https://data.bls.gov/timeseries/CUUR0000SS01031</t>
      </text>
    </comment>
    <comment ref="M1" authorId="0" shapeId="0">
      <text>
        <t>Source: BLS page, 2026-10-24, https://data.bls.gov/timeseries/CUUR0000SEFB</t>
      </text>
    </comment>
    <comment ref="N1" authorId="0" shapeId="0">
      <text>
        <t>Source: BLS page, 2026-10-24, https://data.bls.gov/timeseries/CUUR0000SEFB01</t>
      </text>
    </comment>
    <comment ref="O1" authorId="0" shapeId="0">
      <text>
        <t>Source: BLS page, 2026-10-24, https://data.bls.gov/timeseries/CUUR0000SS02011</t>
      </text>
    </comment>
    <comment ref="P1" authorId="0" shapeId="0">
      <text>
        <t>Source: BLS page, 2026-10-24, https://data.bls.gov/timeseries/CUUR0000SS02021</t>
      </text>
    </comment>
    <comment ref="Q1" authorId="0" shapeId="0">
      <text>
        <t>Source: BLS page, 2026-10-24, https://data.bls.gov/timeseries/CUUR0000SEFB02</t>
      </text>
    </comment>
    <comment ref="R1" authorId="0" shapeId="0">
      <text>
        <t>Source: BLS page, 2026-10-24, https://data.bls.gov/timeseries/CUUR0000SEFB03</t>
      </text>
    </comment>
    <comment ref="S1" authorId="0" shapeId="0">
      <text>
        <t>Source: BLS page, 2026-10-24, https://data.bls.gov/timeseries/CUUR0000SS02041</t>
      </text>
    </comment>
    <comment ref="T1" authorId="0" shapeId="0">
      <text>
        <t>Source: BLS page, 2026-10-24, https://data.bls.gov/timeseries/CUUR0000SS02042</t>
      </text>
    </comment>
    <comment ref="U1" authorId="0" shapeId="0">
      <text>
        <t>Source: BLS page, 2026-10-24, https://data.bls.gov/timeseries/CUUR0000SEFB04</t>
      </text>
    </comment>
    <comment ref="V1" authorId="0" shapeId="0">
      <text>
        <t>Source: BLS page, 2026-10-24, https://data.bls.gov/timeseries/CUUR0000SS02063</t>
      </text>
    </comment>
    <comment ref="W1" authorId="0" shapeId="0">
      <text>
        <t>Source: BLS page, 2026-10-24, https://data.bls.gov/timeseries/CUUR0000SS0206A</t>
      </text>
    </comment>
    <comment ref="X1" authorId="0" shapeId="0">
      <text>
        <t>Source: BLS page, 2026-10-24, https://data.bls.gov/timeseries/CUUR0000SS0206B</t>
      </text>
    </comment>
    <comment ref="Y1" authorId="0" shapeId="0">
      <text>
        <t>Source: BLS page, 2026-10-24, https://data.bls.gov/timeseries/CUUR0000SAF112</t>
      </text>
    </comment>
    <comment ref="Z1" authorId="0" shapeId="0">
      <text>
        <t>Source: BLS page, 2026-10-24, https://data.bls.gov/timeseries/CUUR0000SAF1121</t>
      </text>
    </comment>
    <comment ref="AA1" authorId="0" shapeId="0">
      <text>
        <t>Source: BLS page, 2026-10-24, https://data.bls.gov/timeseries/CUUR0000SAF11211</t>
      </text>
    </comment>
    <comment ref="AB1" authorId="0" shapeId="0">
      <text>
        <t>Source: BLS page, 2026-10-24, https://data.bls.gov/timeseries/CUUR0000SEFC</t>
      </text>
    </comment>
    <comment ref="AC1" authorId="0" shapeId="0">
      <text>
        <t>Source: BLS page, 2026-10-24, https://data.bls.gov/timeseries/CUUR0000SEFC01</t>
      </text>
    </comment>
    <comment ref="AD1" authorId="0" shapeId="0">
      <text>
        <t>Source: BLS page, 2026-10-24, https://data.bls.gov/timeseries/CUUR0000SEFC02</t>
      </text>
    </comment>
    <comment ref="AE1" authorId="0" shapeId="0">
      <text>
        <t>Source: BLS page, 2026-10-24, https://data.bls.gov/timeseries/CUUR0000SEFC03</t>
      </text>
    </comment>
    <comment ref="AF1" authorId="0" shapeId="0">
      <text>
        <t>Source: BLS page, 2026-10-24, https://data.bls.gov/timeseries/CUUR0000SEFC04</t>
      </text>
    </comment>
    <comment ref="AG1" authorId="0" shapeId="0">
      <text>
        <t>Source: BLS page, 2026-10-24, https://data.bls.gov/timeseries/CUUR0000SEFD</t>
      </text>
    </comment>
    <comment ref="AH1" authorId="0" shapeId="0">
      <text>
        <t>Source: BLS page, 2026-10-24, https://data.bls.gov/timeseries/CUUR0000SEFD01</t>
      </text>
    </comment>
    <comment ref="AI1" authorId="0" shapeId="0">
      <text>
        <t>Source: BLS page, 2026-10-24, https://data.bls.gov/timeseries/CUUR0000SS04011</t>
      </text>
    </comment>
    <comment ref="AJ1" authorId="0" shapeId="0">
      <text>
        <t>Source: BLS page, 2026-10-24, https://data.bls.gov/timeseries/CUUR0000SS04012</t>
      </text>
    </comment>
    <comment ref="AK1" authorId="0" shapeId="0">
      <text>
        <t>Source: BLS page, 2026-10-24, https://data.bls.gov/timeseries/CUUR0000SEFD02</t>
      </text>
    </comment>
    <comment ref="AL1" authorId="0" shapeId="0">
      <text>
        <t>Source: BLS page, 2026-10-24, https://data.bls.gov/timeseries/CUUR0000SS04031</t>
      </text>
    </comment>
    <comment ref="AM1" authorId="0" shapeId="0">
      <text>
        <t>Source: BLS page, 2026-10-24, https://data.bls.gov/timeseries/CUUR0000SEFD03</t>
      </text>
    </comment>
    <comment ref="AN1" authorId="0" shapeId="0">
      <text>
        <t>Source: BLS page, 2026-10-24, https://data.bls.gov/timeseries/CUUR0000SEFD04</t>
      </text>
    </comment>
    <comment ref="AO1" authorId="0" shapeId="0">
      <text>
        <t>Source: BLS page, 2026-10-24, https://data.bls.gov/timeseries/CUUR0000SEFE</t>
      </text>
    </comment>
    <comment ref="AP1" authorId="0" shapeId="0">
      <text>
        <t>Source: BLS page, 2026-10-24, https://data.bls.gov/timeseries/CUUR0000SS05011</t>
      </text>
    </comment>
    <comment ref="AQ1" authorId="0" shapeId="0">
      <text>
        <t>Source: BLS page, 2026-10-24, https://data.bls.gov/timeseries/CUUR0000SS0501A</t>
      </text>
    </comment>
    <comment ref="AR1" authorId="0" shapeId="0">
      <text>
        <t>Source: BLS page, 2026-10-24, https://data.bls.gov/timeseries/CUUR0000SS05014</t>
      </text>
    </comment>
    <comment ref="AS1" authorId="0" shapeId="0">
      <text>
        <t>Source: BLS page, 2026-10-24, https://data.bls.gov/timeseries/CUUR0000SS05015</t>
      </text>
    </comment>
    <comment ref="AT1" authorId="0" shapeId="0">
      <text>
        <t>Source: BLS page, 2026-10-24, https://data.bls.gov/timeseries/CUUR0000SEFF</t>
      </text>
    </comment>
    <comment ref="AU1" authorId="0" shapeId="0">
      <text>
        <t>Source: BLS page, 2026-10-24, https://data.bls.gov/timeseries/CUUR0000SEFF01</t>
      </text>
    </comment>
    <comment ref="AV1" authorId="0" shapeId="0">
      <text>
        <t>Source: BLS page, 2026-10-24, https://data.bls.gov/timeseries/CUUR0000SS06011</t>
      </text>
    </comment>
    <comment ref="AW1" authorId="0" shapeId="0">
      <text>
        <t>Source: BLS page, 2026-10-24, https://data.bls.gov/timeseries/CUUR0000SS06021</t>
      </text>
    </comment>
    <comment ref="AX1" authorId="0" shapeId="0">
      <text>
        <t>Source: BLS page, 2026-10-24, https://data.bls.gov/timeseries/CUUR0000SEFF02</t>
      </text>
    </comment>
    <comment ref="AY1" authorId="0" shapeId="0">
      <text>
        <t>Source: BLS page, 2026-10-24, https://data.bls.gov/timeseries/CUUR0000SEFG</t>
      </text>
    </comment>
    <comment ref="AZ1" authorId="0" shapeId="0">
      <text>
        <t>Source: BLS page, 2026-10-24, https://data.bls.gov/timeseries/CUUR0000SEFG01</t>
      </text>
    </comment>
    <comment ref="BA1" authorId="0" shapeId="0">
      <text>
        <t>Source: BLS page, 2026-10-24, https://data.bls.gov/timeseries/CUUR0000SEFG02</t>
      </text>
    </comment>
    <comment ref="BB1" authorId="0" shapeId="0">
      <text>
        <t>Source: BLS page, 2026-10-24, https://data.bls.gov/timeseries/CUUR0000SS07011</t>
      </text>
    </comment>
    <comment ref="BC1" authorId="0" shapeId="0">
      <text>
        <t>Source: BLS page, 2026-10-24, https://data.bls.gov/timeseries/CUUR0000SS07021</t>
      </text>
    </comment>
    <comment ref="BD1" authorId="0" shapeId="0">
      <text>
        <t>Source: BLS page, 2026-10-24, https://data.bls.gov/timeseries/CUUR0000SEFH</t>
      </text>
    </comment>
    <comment ref="BE1" authorId="0" shapeId="0">
      <text>
        <t>Source: BLS page, 2026-10-24, https://data.bls.gov/timeseries/CUUR0000SEFJ</t>
      </text>
    </comment>
    <comment ref="BF1" authorId="0" shapeId="0">
      <text>
        <t>Source: BLS page, 2026-10-24, https://data.bls.gov/timeseries/CUUR0000SEFJ01</t>
      </text>
    </comment>
    <comment ref="BG1" authorId="0" shapeId="0">
      <text>
        <t>Source: BLS page, 2026-10-24, https://data.bls.gov/timeseries/CUUR0000SS09011</t>
      </text>
    </comment>
    <comment ref="BH1" authorId="0" shapeId="0">
      <text>
        <t>Source: BLS page, 2026-10-24, https://data.bls.gov/timeseries/CUUR0000SS09021</t>
      </text>
    </comment>
    <comment ref="BI1" authorId="0" shapeId="0">
      <text>
        <t>Source: BLS page, 2026-10-24, https://data.bls.gov/timeseries/CUUR0000SEFJ02</t>
      </text>
    </comment>
    <comment ref="BJ1" authorId="0" shapeId="0">
      <text>
        <t>Source: BLS page, 2026-10-24, https://data.bls.gov/timeseries/CUUR0000SEFJ03</t>
      </text>
    </comment>
    <comment ref="BK1" authorId="0" shapeId="0">
      <text>
        <t>Source: BLS page, 2026-10-24, https://data.bls.gov/timeseries/CUUR0000SEFJ04</t>
      </text>
    </comment>
    <comment ref="BL1" authorId="0" shapeId="0">
      <text>
        <t>Source: BLS page, 2026-10-24, https://data.bls.gov/timeseries/CUUR0000SAF113</t>
      </text>
    </comment>
    <comment ref="BM1" authorId="0" shapeId="0">
      <text>
        <t>Source: BLS page, 2026-10-24, https://data.bls.gov/timeseries/CUUR0000SAF1131</t>
      </text>
    </comment>
    <comment ref="BN1" authorId="0" shapeId="0">
      <text>
        <t>Source: BLS page, 2026-10-24, https://data.bls.gov/timeseries/CUUR0000SEFK</t>
      </text>
    </comment>
    <comment ref="BO1" authorId="0" shapeId="0">
      <text>
        <t>Source: BLS page, 2026-10-24, https://data.bls.gov/timeseries/CUUR0000SEFK01</t>
      </text>
    </comment>
    <comment ref="BP1" authorId="0" shapeId="0">
      <text>
        <t>Source: BLS page, 2026-10-24, https://data.bls.gov/timeseries/CUUR0000SEFK02</t>
      </text>
    </comment>
    <comment ref="BQ1" authorId="0" shapeId="0">
      <text>
        <t>Source: BLS page, 2026-10-24, https://data.bls.gov/timeseries/CUUR0000SEFK03</t>
      </text>
    </comment>
    <comment ref="BR1" authorId="0" shapeId="0">
      <text>
        <t>Source: BLS page, 2026-10-24, https://data.bls.gov/timeseries/CUUR0000SS11031</t>
      </text>
    </comment>
    <comment ref="BS1" authorId="0" shapeId="0">
      <text>
        <t>Source: BLS page, 2026-10-24, https://data.bls.gov/timeseries/CUUR0000SEFK04</t>
      </text>
    </comment>
    <comment ref="BT1" authorId="0" shapeId="0">
      <text>
        <t>Source: BLS page, 2026-10-24, https://data.bls.gov/timeseries/CUUR0000SEFL</t>
      </text>
    </comment>
    <comment ref="BU1" authorId="0" shapeId="0">
      <text>
        <t>Source: BLS page, 2026-10-24, https://data.bls.gov/timeseries/CUUR0000SEFL01</t>
      </text>
    </comment>
    <comment ref="BV1" authorId="0" shapeId="0">
      <text>
        <t>Source: BLS page, 2026-10-24, https://data.bls.gov/timeseries/CUUR0000SEFL02</t>
      </text>
    </comment>
    <comment ref="BW1" authorId="0" shapeId="0">
      <text>
        <t>Source: BLS page, 2026-10-24, https://data.bls.gov/timeseries/CUUR0000SEFL03</t>
      </text>
    </comment>
    <comment ref="BX1" authorId="0" shapeId="0">
      <text>
        <t>Source: BLS page, 2026-10-24, https://data.bls.gov/timeseries/CUUR0000SEFL04</t>
      </text>
    </comment>
    <comment ref="BY1" authorId="0" shapeId="0">
      <text>
        <t>Source: BLS page, 2026-10-24, https://data.bls.gov/timeseries/CUUR0000SEFM</t>
      </text>
    </comment>
    <comment ref="BZ1" authorId="0" shapeId="0">
      <text>
        <t>Source: BLS page, 2026-10-24, https://data.bls.gov/timeseries/CUUR0000SEFM01</t>
      </text>
    </comment>
    <comment ref="CA1" authorId="0" shapeId="0">
      <text>
        <t>Source: BLS page, 2026-10-24, https://data.bls.gov/timeseries/CUUR0000SS13031</t>
      </text>
    </comment>
    <comment ref="CB1" authorId="0" shapeId="0">
      <text>
        <t>Source: BLS page, 2026-10-24, https://data.bls.gov/timeseries/CUUR0000SS14021</t>
      </text>
    </comment>
    <comment ref="CC1" authorId="0" shapeId="0">
      <text>
        <t>Source: BLS page, 2026-10-24, https://data.bls.gov/timeseries/CUUR0000SEFM02</t>
      </text>
    </comment>
    <comment ref="CD1" authorId="0" shapeId="0">
      <text>
        <t>Source: BLS page, 2026-10-24, https://data.bls.gov/timeseries/CUUR0000SS14011</t>
      </text>
    </comment>
    <comment ref="CE1" authorId="0" shapeId="0">
      <text>
        <t>Source: BLS page, 2026-10-24, https://data.bls.gov/timeseries/CUUR0000SEFM03</t>
      </text>
    </comment>
    <comment ref="CF1" authorId="0" shapeId="0">
      <text>
        <t>Source: BLS page, 2026-10-24, https://data.bls.gov/timeseries/CUUR0000SS14022</t>
      </text>
    </comment>
    <comment ref="CG1" authorId="0" shapeId="0">
      <text>
        <t>Source: BLS page, 2026-10-24, https://data.bls.gov/timeseries/CUUR0000SAF114</t>
      </text>
    </comment>
    <comment ref="CH1" authorId="0" shapeId="0">
      <text>
        <t>Source: BLS page, 2026-10-24, https://data.bls.gov/timeseries/CUUR0000SEFN</t>
      </text>
    </comment>
    <comment ref="CI1" authorId="0" shapeId="0">
      <text>
        <t>Source: BLS page, 2026-10-24, https://data.bls.gov/timeseries/CUUR0000SEFN01</t>
      </text>
    </comment>
    <comment ref="CJ1" authorId="0" shapeId="0">
      <text>
        <t>Source: BLS page, 2026-10-24, https://data.bls.gov/timeseries/CUUR0000SEFN02</t>
      </text>
    </comment>
    <comment ref="CK1" authorId="0" shapeId="0">
      <text>
        <t>Source: BLS page, 2026-10-24, https://data.bls.gov/timeseries/CUUR0000SEFN03</t>
      </text>
    </comment>
    <comment ref="CL1" authorId="0" shapeId="0">
      <text>
        <t>Source: BLS page, 2026-10-24, https://data.bls.gov/timeseries/CUUR0000SEFP</t>
      </text>
    </comment>
    <comment ref="CM1" authorId="0" shapeId="0">
      <text>
        <t>Source: BLS page, 2026-10-24, https://data.bls.gov/timeseries/CUUR0000SEFP01</t>
      </text>
    </comment>
    <comment ref="CN1" authorId="0" shapeId="0">
      <text>
        <t>Source: BLS page, 2026-10-24, https://data.bls.gov/timeseries/CUUR0000SS17031</t>
      </text>
    </comment>
    <comment ref="CO1" authorId="0" shapeId="0">
      <text>
        <t>Source: BLS page, 2026-10-24, https://data.bls.gov/timeseries/CUUR0000SS17032</t>
      </text>
    </comment>
    <comment ref="CP1" authorId="0" shapeId="0">
      <text>
        <t>Source: BLS page, 2026-10-24, https://data.bls.gov/timeseries/CUUR0000SEFP02</t>
      </text>
    </comment>
    <comment ref="CQ1" authorId="0" shapeId="0">
      <text>
        <t>Source: BLS page, 2026-10-24, https://data.bls.gov/timeseries/CUUR0000SAF115</t>
      </text>
    </comment>
    <comment ref="CR1" authorId="0" shapeId="0">
      <text>
        <t>Source: BLS page, 2026-10-24, https://data.bls.gov/timeseries/CUUR0000SEFR</t>
      </text>
    </comment>
    <comment ref="CS1" authorId="0" shapeId="0">
      <text>
        <t>Source: BLS page, 2026-10-24, https://data.bls.gov/timeseries/CUUR0000SEFR01</t>
      </text>
    </comment>
    <comment ref="CT1" authorId="0" shapeId="0">
      <text>
        <t>Source: BLS page, 2026-10-24, https://data.bls.gov/timeseries/CUUR0000SEFR02</t>
      </text>
    </comment>
    <comment ref="CU1" authorId="0" shapeId="0">
      <text>
        <t>Source: BLS page, 2026-10-24, https://data.bls.gov/timeseries/CUUR0000SEFR03</t>
      </text>
    </comment>
    <comment ref="CV1" authorId="0" shapeId="0">
      <text>
        <t>Source: BLS page, 2026-10-24, https://data.bls.gov/timeseries/CUUR0000SEFS</t>
      </text>
    </comment>
    <comment ref="CW1" authorId="0" shapeId="0">
      <text>
        <t>Source: BLS page, 2026-10-24, https://data.bls.gov/timeseries/CUUR0000SEFS01</t>
      </text>
    </comment>
    <comment ref="CX1" authorId="0" shapeId="0">
      <text>
        <t>Source: BLS page, 2026-10-24, https://data.bls.gov/timeseries/CUUR0000SS10011</t>
      </text>
    </comment>
    <comment ref="CY1" authorId="0" shapeId="0">
      <text>
        <t>Source: BLS page, 2026-10-24, https://data.bls.gov/timeseries/CUUR0000SS16011</t>
      </text>
    </comment>
    <comment ref="CZ1" authorId="0" shapeId="0">
      <text>
        <t>Source: BLS page, 2026-10-24, https://data.bls.gov/timeseries/CUUR0000SEFS02</t>
      </text>
    </comment>
    <comment ref="DA1" authorId="0" shapeId="0">
      <text>
        <t>Source: BLS page, 2026-10-24, https://data.bls.gov/timeseries/CUUR0000SEFS03</t>
      </text>
    </comment>
    <comment ref="DB1" authorId="0" shapeId="0">
      <text>
        <t>Source: BLS page, 2026-10-24, https://data.bls.gov/timeseries/CUUR0000SS16014</t>
      </text>
    </comment>
    <comment ref="DC1" authorId="0" shapeId="0">
      <text>
        <t>Source: BLS page, 2026-10-24, https://data.bls.gov/timeseries/CUUR0000SEFT</t>
      </text>
    </comment>
    <comment ref="DD1" authorId="0" shapeId="0">
      <text>
        <t>Source: BLS page, 2026-10-24, https://data.bls.gov/timeseries/CUUR0000SEFT01</t>
      </text>
    </comment>
    <comment ref="DE1" authorId="0" shapeId="0">
      <text>
        <t>Source: BLS page, 2026-10-24, https://data.bls.gov/timeseries/CUUR0000SEFT02</t>
      </text>
    </comment>
    <comment ref="DF1" authorId="0" shapeId="0">
      <text>
        <t>Source: BLS page, 2026-10-24, https://data.bls.gov/timeseries/CUUR0000SEFT03</t>
      </text>
    </comment>
    <comment ref="DG1" authorId="0" shapeId="0">
      <text>
        <t>Source: BLS page, 2026-10-24, https://data.bls.gov/timeseries/CUUR0000SEFT04</t>
      </text>
    </comment>
    <comment ref="DH1" authorId="0" shapeId="0">
      <text>
        <t>Source: BLS page, 2026-10-24, https://data.bls.gov/timeseries/CUUR0000SS18041</t>
      </text>
    </comment>
    <comment ref="DI1" authorId="0" shapeId="0">
      <text>
        <t>Source: BLS page, 2026-10-24, https://data.bls.gov/timeseries/CUUR0000SS18042</t>
      </text>
    </comment>
    <comment ref="DJ1" authorId="0" shapeId="0">
      <text>
        <t>Source: BLS page, 2026-10-24, https://data.bls.gov/timeseries/CUUR0000SS18043</t>
      </text>
    </comment>
    <comment ref="DK1" authorId="0" shapeId="0">
      <text>
        <t>Source: BLS page, 2026-10-24, https://data.bls.gov/timeseries/CUUR0000SS1804B</t>
      </text>
    </comment>
    <comment ref="DL1" authorId="0" shapeId="0">
      <text>
        <t>Source: BLS page, 2026-10-24, https://data.bls.gov/timeseries/CUUR0000SEFT05</t>
      </text>
    </comment>
    <comment ref="DM1" authorId="0" shapeId="0">
      <text>
        <t>Source: BLS page, 2026-10-24, https://data.bls.gov/timeseries/CUUR0000SEFT06</t>
      </text>
    </comment>
    <comment ref="DN1" authorId="0" shapeId="0">
      <text>
        <t>Source: BLS page, 2026-10-24, https://data.bls.gov/timeseries/CUUR0000SS18064</t>
      </text>
    </comment>
    <comment ref="DO1" authorId="0" shapeId="0">
      <text>
        <t>Source: BLS page, 2026-10-24, https://data.bls.gov/timeseries/CUUR0000SEFV</t>
      </text>
    </comment>
    <comment ref="DP1" authorId="0" shapeId="0">
      <text>
        <t>Source: BLS page, 2026-10-24, https://data.bls.gov/timeseries/CUUR0000SEFV01</t>
      </text>
    </comment>
    <comment ref="DQ1" authorId="0" shapeId="0">
      <text>
        <t>Source: BLS page, 2026-10-24, https://data.bls.gov/timeseries/CUUR0000SEFV02</t>
      </text>
    </comment>
    <comment ref="DR1" authorId="0" shapeId="0">
      <text>
        <t>Source: BLS page, 2026-10-24, https://data.bls.gov/timeseries/CUUR0000SEFV03</t>
      </text>
    </comment>
    <comment ref="DS1" authorId="0" shapeId="0">
      <text>
        <t>Source: BLS page, 2026-10-24, https://data.bls.gov/timeseries/CUUR0000SSFV031A</t>
      </text>
    </comment>
    <comment ref="DT1" authorId="0" shapeId="0">
      <text>
        <t>Source: BLS page, 2026-10-24, https://data.bls.gov/timeseries/CUUR0000SEFV04</t>
      </text>
    </comment>
    <comment ref="DU1" authorId="0" shapeId="0">
      <text>
        <t>Source: BLS page, 2026-10-24, https://data.bls.gov/timeseries/CUUR0000SEFV05</t>
      </text>
    </comment>
    <comment ref="DV1" authorId="0" shapeId="0">
      <text>
        <t>Source: BLS page, 2026-10-24, https://data.bls.gov/timeseries/CUUR0000SAF116</t>
      </text>
    </comment>
    <comment ref="DW1" authorId="0" shapeId="0">
      <text>
        <t>Source: BLS page, 2026-10-24, https://data.bls.gov/timeseries/CUUR0000SEFW</t>
      </text>
    </comment>
    <comment ref="DX1" authorId="0" shapeId="0">
      <text>
        <t>Source: BLS page, 2026-10-24, https://data.bls.gov/timeseries/CUUR0000SEFW01</t>
      </text>
    </comment>
    <comment ref="DY1" authorId="0" shapeId="0">
      <text>
        <t>Source: BLS page, 2026-10-24, https://data.bls.gov/timeseries/CUUR0000SEFW02</t>
      </text>
    </comment>
    <comment ref="DZ1" authorId="0" shapeId="0">
      <text>
        <t>Source: BLS page, 2026-10-24, https://data.bls.gov/timeseries/CUUR0000SS20021</t>
      </text>
    </comment>
    <comment ref="EA1" authorId="0" shapeId="0">
      <text>
        <t>Source: BLS page, 2026-10-24, https://data.bls.gov/timeseries/CUUR0000SS20022</t>
      </text>
    </comment>
    <comment ref="EB1" authorId="0" shapeId="0">
      <text>
        <t>Source: BLS page, 2026-10-24, https://data.bls.gov/timeseries/CUUR0000SEFW03</t>
      </text>
    </comment>
    <comment ref="EC1" authorId="0" shapeId="0">
      <text>
        <t>Source: BLS page, 2026-10-24, https://data.bls.gov/timeseries/CUUR0000SEFX</t>
      </text>
    </comment>
    <comment ref="ED1" authorId="0" shapeId="0">
      <text>
        <t>Source: BLS page, 2026-10-24, https://data.bls.gov/timeseries/CUUR0000SS20051</t>
      </text>
    </comment>
    <comment ref="EE1" authorId="0" shapeId="0">
      <text>
        <t>Source: BLS page, 2026-10-24, https://data.bls.gov/timeseries/CUUR0000SS20052</t>
      </text>
    </comment>
    <comment ref="EF1" authorId="0" shapeId="0">
      <text>
        <t>Source: BLS page, 2026-10-24, https://data.bls.gov/timeseries/CUUR0000SS20053</t>
      </text>
    </comment>
    <comment ref="EG1" authorId="0" shapeId="0">
      <text>
        <t>Source: BLS page, 2026-10-24, https://data.bls.gov/timeseries/CUUR0000SAH</t>
      </text>
    </comment>
    <comment ref="EH1" authorId="0" shapeId="0">
      <text>
        <t>Source: BLS page, 2026-10-24, https://data.bls.gov/timeseries/CUUR0000SAH1</t>
      </text>
    </comment>
    <comment ref="EI1" authorId="0" shapeId="0">
      <text>
        <t>Source: BLS page, 2026-10-24, https://data.bls.gov/timeseries/CUUR0000SEHA</t>
      </text>
    </comment>
    <comment ref="EJ1" authorId="0" shapeId="0">
      <text>
        <t>Source: BLS page, 2026-10-24, https://data.bls.gov/timeseries/CUUR0000SEHB</t>
      </text>
    </comment>
    <comment ref="EK1" authorId="0" shapeId="0">
      <text>
        <t>Source: BLS page, 2026-10-24, https://data.bls.gov/timeseries/CUUR0000SEHB01</t>
      </text>
    </comment>
    <comment ref="EL1" authorId="0" shapeId="0">
      <text>
        <t>Source: BLS page, 2026-10-24, https://data.bls.gov/timeseries/CUUR0000SEHB02</t>
      </text>
    </comment>
    <comment ref="EM1" authorId="0" shapeId="0">
      <text>
        <t>Source: BLS page, 2026-10-24, https://data.bls.gov/timeseries/CUUR0000SEHC</t>
      </text>
    </comment>
    <comment ref="EN1" authorId="0" shapeId="0">
      <text>
        <t>Source: BLS page, 2026-10-24, https://data.bls.gov/timeseries/CUUR0000SEHC01</t>
      </text>
    </comment>
    <comment ref="EO1" authorId="0" shapeId="0">
      <text>
        <t>Source: BLS page, 2026-10-24, https://data.bls.gov/timeseries/CUUR0000SEHD</t>
      </text>
    </comment>
    <comment ref="EP1" authorId="0" shapeId="0">
      <text>
        <t>Source: BLS page, 2026-10-24, https://data.bls.gov/timeseries/CUUR0000SAH2</t>
      </text>
    </comment>
    <comment ref="EQ1" authorId="0" shapeId="0">
      <text>
        <t>Source: BLS page, 2026-10-24, https://data.bls.gov/timeseries/CUUR0000SAH21</t>
      </text>
    </comment>
    <comment ref="ER1" authorId="0" shapeId="0">
      <text>
        <t>Source: BLS page, 2026-10-24, https://data.bls.gov/timeseries/CUUR0000SEHE</t>
      </text>
    </comment>
    <comment ref="ES1" authorId="0" shapeId="0">
      <text>
        <t>Source: BLS page, 2026-10-24, https://data.bls.gov/timeseries/CUUR0000SEHE01</t>
      </text>
    </comment>
    <comment ref="ET1" authorId="0" shapeId="0">
      <text>
        <t>Source: BLS page, 2026-10-24, https://data.bls.gov/timeseries/CUUR0000SEHE02</t>
      </text>
    </comment>
    <comment ref="EU1" authorId="0" shapeId="0">
      <text>
        <t>Source: BLS page, 2026-10-24, https://data.bls.gov/timeseries/CUUR0000SEHF</t>
      </text>
    </comment>
    <comment ref="EV1" authorId="0" shapeId="0">
      <text>
        <t>Source: BLS page, 2026-10-24, https://data.bls.gov/timeseries/CUUR0000SEHF01</t>
      </text>
    </comment>
    <comment ref="EW1" authorId="0" shapeId="0">
      <text>
        <t>Source: BLS page, 2026-10-24, https://data.bls.gov/timeseries/CUUR0000SEHF02</t>
      </text>
    </comment>
    <comment ref="EX1" authorId="0" shapeId="0">
      <text>
        <t>Source: BLS page, 2026-10-24, https://data.bls.gov/timeseries/CUUR0000SEHG</t>
      </text>
    </comment>
    <comment ref="EY1" authorId="0" shapeId="0">
      <text>
        <t>Source: BLS page, 2026-10-24, https://data.bls.gov/timeseries/CUUR0000SEHG01</t>
      </text>
    </comment>
    <comment ref="EZ1" authorId="0" shapeId="0">
      <text>
        <t>Source: BLS page, 2026-10-24, https://data.bls.gov/timeseries/CUUR0000SEHG02</t>
      </text>
    </comment>
    <comment ref="FA1" authorId="0" shapeId="0">
      <text>
        <t>Source: BLS page, 2026-10-24, https://data.bls.gov/timeseries/CUUR0000SAH3</t>
      </text>
    </comment>
    <comment ref="FB1" authorId="0" shapeId="0">
      <text>
        <t>Source: BLS page, 2026-10-24, https://data.bls.gov/timeseries/CUUR0000SEHH</t>
      </text>
    </comment>
    <comment ref="FC1" authorId="0" shapeId="0">
      <text>
        <t>Source: BLS page, 2026-10-24, https://data.bls.gov/timeseries/CUUR0000SEHH01</t>
      </text>
    </comment>
    <comment ref="FD1" authorId="0" shapeId="0">
      <text>
        <t>Source: BLS page, 2026-10-24, https://data.bls.gov/timeseries/CUUR0000SEHH02</t>
      </text>
    </comment>
    <comment ref="FE1" authorId="0" shapeId="0">
      <text>
        <t>Source: BLS page, 2026-10-24, https://data.bls.gov/timeseries/CUUR0000SEHH03</t>
      </text>
    </comment>
    <comment ref="FF1" authorId="0" shapeId="0">
      <text>
        <t>Source: BLS page, 2026-10-24, https://data.bls.gov/timeseries/CUUR0000SEHJ</t>
      </text>
    </comment>
    <comment ref="FG1" authorId="0" shapeId="0">
      <text>
        <t>Source: BLS page, 2026-10-24, https://data.bls.gov/timeseries/CUUR0000SEHJ01</t>
      </text>
    </comment>
    <comment ref="FH1" authorId="0" shapeId="0">
      <text>
        <t>Source: BLS page, 2026-10-24, https://data.bls.gov/timeseries/CUUR0000SEHJ02</t>
      </text>
    </comment>
    <comment ref="FI1" authorId="0" shapeId="0">
      <text>
        <t>Source: BLS page, 2026-10-24, https://data.bls.gov/timeseries/CUUR0000SEHJ03</t>
      </text>
    </comment>
    <comment ref="FJ1" authorId="0" shapeId="0">
      <text>
        <t>Source: BLS page, 2026-10-24, https://data.bls.gov/timeseries/CUUR0000SSHJ031</t>
      </text>
    </comment>
    <comment ref="FK1" authorId="0" shapeId="0">
      <text>
        <t>Source: BLS page, 2026-10-24, https://data.bls.gov/timeseries/CUUR0000SEHK</t>
      </text>
    </comment>
    <comment ref="FL1" authorId="0" shapeId="0">
      <text>
        <t>Source: BLS page, 2026-10-24, https://data.bls.gov/timeseries/CUUR0000SEHK01</t>
      </text>
    </comment>
    <comment ref="FM1" authorId="0" shapeId="0">
      <text>
        <t>Source: BLS page, 2026-10-24, https://data.bls.gov/timeseries/CUUR0000SS30021</t>
      </text>
    </comment>
    <comment ref="FN1" authorId="0" shapeId="0">
      <text>
        <t>Source: BLS page, 2026-10-24, https://data.bls.gov/timeseries/CUUR0000SEHK02</t>
      </text>
    </comment>
    <comment ref="FO1" authorId="0" shapeId="0">
      <text>
        <t>Source: BLS page, 2026-10-24, https://data.bls.gov/timeseries/CUUR0000SEHL</t>
      </text>
    </comment>
    <comment ref="FP1" authorId="0" shapeId="0">
      <text>
        <t>Source: BLS page, 2026-10-24, https://data.bls.gov/timeseries/CUUR0000SEHL01</t>
      </text>
    </comment>
    <comment ref="FQ1" authorId="0" shapeId="0">
      <text>
        <t>Source: BLS page, 2026-10-24, https://data.bls.gov/timeseries/CUUR0000SEHL02</t>
      </text>
    </comment>
    <comment ref="FR1" authorId="0" shapeId="0">
      <text>
        <t>Source: BLS page, 2026-10-24, https://data.bls.gov/timeseries/CUUR0000SEHL03</t>
      </text>
    </comment>
    <comment ref="FS1" authorId="0" shapeId="0">
      <text>
        <t>Source: BLS page, 2026-10-24, https://data.bls.gov/timeseries/CUUR0000SEHL04</t>
      </text>
    </comment>
    <comment ref="FT1" authorId="0" shapeId="0">
      <text>
        <t>Source: BLS page, 2026-10-24, https://data.bls.gov/timeseries/CUUR0000SEHM</t>
      </text>
    </comment>
    <comment ref="FU1" authorId="0" shapeId="0">
      <text>
        <t>Source: BLS page, 2026-10-24, https://data.bls.gov/timeseries/CUUR0000SEHM01</t>
      </text>
    </comment>
    <comment ref="FV1" authorId="0" shapeId="0">
      <text>
        <t>Source: BLS page, 2026-10-24, https://data.bls.gov/timeseries/CUUR0000SEHM02</t>
      </text>
    </comment>
    <comment ref="FW1" authorId="0" shapeId="0">
      <text>
        <t>Source: BLS page, 2026-10-24, https://data.bls.gov/timeseries/CUUR0000SEHN</t>
      </text>
    </comment>
    <comment ref="FX1" authorId="0" shapeId="0">
      <text>
        <t>Source: BLS page, 2026-10-24, https://data.bls.gov/timeseries/CUUR0000SEHN01</t>
      </text>
    </comment>
    <comment ref="FY1" authorId="0" shapeId="0">
      <text>
        <t>Source: BLS page, 2026-10-24, https://data.bls.gov/timeseries/CUUR0000SEHN02</t>
      </text>
    </comment>
    <comment ref="FZ1" authorId="0" shapeId="0">
      <text>
        <t>Source: BLS page, 2026-10-24, https://data.bls.gov/timeseries/CUUR0000SEHN03</t>
      </text>
    </comment>
    <comment ref="GA1" authorId="0" shapeId="0">
      <text>
        <t>Source: BLS page, 2026-10-24, https://data.bls.gov/timeseries/CUUR0000SEHP</t>
      </text>
    </comment>
    <comment ref="GB1" authorId="0" shapeId="0">
      <text>
        <t>Source: BLS page, 2026-10-24, https://data.bls.gov/timeseries/CUUR0000SEHP01</t>
      </text>
    </comment>
    <comment ref="GC1" authorId="0" shapeId="0">
      <text>
        <t>Source: BLS page, 2026-10-24, https://data.bls.gov/timeseries/CUUR0000SEHP02</t>
      </text>
    </comment>
    <comment ref="GD1" authorId="0" shapeId="0">
      <text>
        <t>Source: BLS page, 2026-10-24, https://data.bls.gov/timeseries/CUUR0000SEHP03</t>
      </text>
    </comment>
    <comment ref="GE1" authorId="0" shapeId="0">
      <text>
        <t>Source: BLS page, 2026-10-24, https://data.bls.gov/timeseries/CUUR0000SEHP04</t>
      </text>
    </comment>
    <comment ref="GF1" authorId="0" shapeId="0">
      <text>
        <t>Source: BLS page, 2026-10-24, https://data.bls.gov/timeseries/CUUR0000SAA</t>
      </text>
    </comment>
    <comment ref="GG1" authorId="0" shapeId="0">
      <text>
        <t>Source: BLS page, 2026-10-24, https://data.bls.gov/timeseries/CUUR0000SAA1</t>
      </text>
    </comment>
    <comment ref="GH1" authorId="0" shapeId="0">
      <text>
        <t>Source: BLS page, 2026-10-24, https://data.bls.gov/timeseries/CUUR0000SEAA</t>
      </text>
    </comment>
    <comment ref="GI1" authorId="0" shapeId="0">
      <text>
        <t>Source: BLS page, 2026-10-24, https://data.bls.gov/timeseries/CUUR0000SEAA01</t>
      </text>
    </comment>
    <comment ref="GJ1" authorId="0" shapeId="0">
      <text>
        <t>Source: BLS page, 2026-10-24, https://data.bls.gov/timeseries/CUUR0000SEAA02</t>
      </text>
    </comment>
    <comment ref="GK1" authorId="0" shapeId="0">
      <text>
        <t>Source: BLS page, 2026-10-24, https://data.bls.gov/timeseries/CUUR0000SEAA03</t>
      </text>
    </comment>
    <comment ref="GL1" authorId="0" shapeId="0">
      <text>
        <t>Source: BLS page, 2026-10-24, https://data.bls.gov/timeseries/CUUR0000SEAA04</t>
      </text>
    </comment>
    <comment ref="GM1" authorId="0" shapeId="0">
      <text>
        <t>Source: BLS page, 2026-10-24, https://data.bls.gov/timeseries/CUUR0000SEAB</t>
      </text>
    </comment>
    <comment ref="GN1" authorId="0" shapeId="0">
      <text>
        <t>Source: BLS page, 2026-10-24, https://data.bls.gov/timeseries/CUUR0000SAA2</t>
      </text>
    </comment>
    <comment ref="GO1" authorId="0" shapeId="0">
      <text>
        <t>Source: BLS page, 2026-10-24, https://data.bls.gov/timeseries/CUUR0000SEAC</t>
      </text>
    </comment>
    <comment ref="GP1" authorId="0" shapeId="0">
      <text>
        <t>Source: BLS page, 2026-10-24, https://data.bls.gov/timeseries/CUUR0000SEAC01</t>
      </text>
    </comment>
    <comment ref="GQ1" authorId="0" shapeId="0">
      <text>
        <t>Source: BLS page, 2026-10-24, https://data.bls.gov/timeseries/CUUR0000SEAC02</t>
      </text>
    </comment>
    <comment ref="GR1" authorId="0" shapeId="0">
      <text>
        <t>Source: BLS page, 2026-10-24, https://data.bls.gov/timeseries/CUUR0000SEAC03</t>
      </text>
    </comment>
    <comment ref="GS1" authorId="0" shapeId="0">
      <text>
        <t>Source: BLS page, 2026-10-24, https://data.bls.gov/timeseries/CUUR0000SEAC04</t>
      </text>
    </comment>
    <comment ref="GT1" authorId="0" shapeId="0">
      <text>
        <t>Source: BLS page, 2026-10-24, https://data.bls.gov/timeseries/CUUR0000SEAD</t>
      </text>
    </comment>
    <comment ref="GU1" authorId="0" shapeId="0">
      <text>
        <t>Source: BLS page, 2026-10-24, https://data.bls.gov/timeseries/CUUR0000SEAE</t>
      </text>
    </comment>
    <comment ref="GV1" authorId="0" shapeId="0">
      <text>
        <t>Source: BLS page, 2026-10-24, https://data.bls.gov/timeseries/CUUR0000SEAE01</t>
      </text>
    </comment>
    <comment ref="GW1" authorId="0" shapeId="0">
      <text>
        <t>Source: BLS page, 2026-10-24, https://data.bls.gov/timeseries/CUUR0000SEAE02</t>
      </text>
    </comment>
    <comment ref="GX1" authorId="0" shapeId="0">
      <text>
        <t>Source: BLS page, 2026-10-24, https://data.bls.gov/timeseries/CUUR0000SEAE03</t>
      </text>
    </comment>
    <comment ref="GY1" authorId="0" shapeId="0">
      <text>
        <t>Source: BLS page, 2026-10-24, https://data.bls.gov/timeseries/CUUR0000SEAF</t>
      </text>
    </comment>
    <comment ref="GZ1" authorId="0" shapeId="0">
      <text>
        <t>Source: BLS page, 2026-10-24, https://data.bls.gov/timeseries/CUUR0000SEAG</t>
      </text>
    </comment>
    <comment ref="HA1" authorId="0" shapeId="0">
      <text>
        <t>Source: BLS page, 2026-10-24, https://data.bls.gov/timeseries/CUUR0000SEAG01</t>
      </text>
    </comment>
    <comment ref="HB1" authorId="0" shapeId="0">
      <text>
        <t>Source: BLS page, 2026-10-24, https://data.bls.gov/timeseries/CUUR0000SEAG02</t>
      </text>
    </comment>
    <comment ref="HC1" authorId="0" shapeId="0">
      <text>
        <t>Source: BLS page, 2026-10-24, https://data.bls.gov/timeseries/CUUR0000SAT</t>
      </text>
    </comment>
    <comment ref="HD1" authorId="0" shapeId="0">
      <text>
        <t>Source: BLS page, 2026-10-24, https://data.bls.gov/timeseries/CUUR0000SAT1</t>
      </text>
    </comment>
    <comment ref="HE1" authorId="0" shapeId="0">
      <text>
        <t>Source: BLS page, 2026-10-24, https://data.bls.gov/timeseries/CUUR0000SETA</t>
      </text>
    </comment>
    <comment ref="HF1" authorId="0" shapeId="0">
      <text>
        <t>Source: BLS page, 2026-10-24, https://data.bls.gov/timeseries/CUUR0000SETA01</t>
      </text>
    </comment>
    <comment ref="HG1" authorId="0" shapeId="0">
      <text>
        <t>Source: BLS page, 2026-10-24, https://data.bls.gov/timeseries/CUUR0000SS4501A</t>
      </text>
    </comment>
    <comment ref="HH1" authorId="0" shapeId="0">
      <text>
        <t>Source: BLS page, 2026-10-24, https://data.bls.gov/timeseries/CUUR0000SS45011</t>
      </text>
    </comment>
    <comment ref="HI1" authorId="0" shapeId="0">
      <text>
        <t>Source: BLS page, 2026-10-24, https://data.bls.gov/timeseries/CUUR0000SS45021</t>
      </text>
    </comment>
    <comment ref="HJ1" authorId="0" shapeId="0">
      <text>
        <t>Source: BLS page, 2026-10-24, https://data.bls.gov/timeseries/CUUR0000SS45031</t>
      </text>
    </comment>
    <comment ref="HK1" authorId="0" shapeId="0">
      <text>
        <t>Source: BLS page, 2026-10-24, https://data.bls.gov/timeseries/CUUR0000SETA02</t>
      </text>
    </comment>
    <comment ref="HL1" authorId="0" shapeId="0">
      <text>
        <t>Source: BLS page, 2026-10-24, https://data.bls.gov/timeseries/CUUR0000SETA03</t>
      </text>
    </comment>
    <comment ref="HM1" authorId="0" shapeId="0">
      <text>
        <t>Source: BLS page, 2026-10-24, https://data.bls.gov/timeseries/CUUR0000SETA04</t>
      </text>
    </comment>
    <comment ref="HN1" authorId="0" shapeId="0">
      <text>
        <t>Source: BLS page, 2026-10-24, https://data.bls.gov/timeseries/CUUR0000SETB</t>
      </text>
    </comment>
    <comment ref="HO1" authorId="0" shapeId="0">
      <text>
        <t>Source: BLS page, 2026-10-24, https://data.bls.gov/timeseries/CUUR0000SETB01</t>
      </text>
    </comment>
    <comment ref="HP1" authorId="0" shapeId="0">
      <text>
        <t>Source: BLS page, 2026-10-24, https://data.bls.gov/timeseries/CUUR0000SS47014</t>
      </text>
    </comment>
    <comment ref="HQ1" authorId="0" shapeId="0">
      <text>
        <t>Source: BLS page, 2026-10-24, https://data.bls.gov/timeseries/CUUR0000SS47015</t>
      </text>
    </comment>
    <comment ref="HR1" authorId="0" shapeId="0">
      <text>
        <t>Source: BLS page, 2026-10-24, https://data.bls.gov/timeseries/CUUR0000SS47016</t>
      </text>
    </comment>
    <comment ref="HS1" authorId="0" shapeId="0">
      <text>
        <t>Source: BLS page, 2026-10-24, https://data.bls.gov/timeseries/CUUR0000SETB02</t>
      </text>
    </comment>
    <comment ref="HT1" authorId="0" shapeId="0">
      <text>
        <t>Source: BLS page, 2026-10-24, https://data.bls.gov/timeseries/CUUR0000SETC</t>
      </text>
    </comment>
    <comment ref="HU1" authorId="0" shapeId="0">
      <text>
        <t>Source: BLS page, 2026-10-24, https://data.bls.gov/timeseries/CUUR0000SETC01</t>
      </text>
    </comment>
    <comment ref="HV1" authorId="0" shapeId="0">
      <text>
        <t>Source: BLS page, 2026-10-24, https://data.bls.gov/timeseries/CUUR0000SETC02</t>
      </text>
    </comment>
    <comment ref="HW1" authorId="0" shapeId="0">
      <text>
        <t>Source: BLS page, 2026-10-24, https://data.bls.gov/timeseries/CUUR0000SS48021</t>
      </text>
    </comment>
    <comment ref="HX1" authorId="0" shapeId="0">
      <text>
        <t>Source: BLS page, 2026-10-24, https://data.bls.gov/timeseries/CUUR0000SS47021</t>
      </text>
    </comment>
    <comment ref="HY1" authorId="0" shapeId="0">
      <text>
        <t>Source: BLS page, 2026-10-24, https://data.bls.gov/timeseries/CUUR0000SETD</t>
      </text>
    </comment>
    <comment ref="HZ1" authorId="0" shapeId="0">
      <text>
        <t>Source: BLS page, 2026-10-24, https://data.bls.gov/timeseries/CUUR0000SETD01</t>
      </text>
    </comment>
    <comment ref="IA1" authorId="0" shapeId="0">
      <text>
        <t>Source: BLS page, 2026-10-24, https://data.bls.gov/timeseries/CUUR0000SETD02</t>
      </text>
    </comment>
    <comment ref="IB1" authorId="0" shapeId="0">
      <text>
        <t>Source: BLS page, 2026-10-24, https://data.bls.gov/timeseries/CUUR0000SETD03</t>
      </text>
    </comment>
    <comment ref="IC1" authorId="0" shapeId="0">
      <text>
        <t>Source: BLS page, 2026-10-24, https://data.bls.gov/timeseries/CUUR0000SETE</t>
      </text>
    </comment>
    <comment ref="ID1" authorId="0" shapeId="0">
      <text>
        <t>Source: BLS page, 2026-10-24, https://data.bls.gov/timeseries/CUUR0000SETF</t>
      </text>
    </comment>
    <comment ref="IE1" authorId="0" shapeId="0">
      <text>
        <t>Source: BLS page, 2026-10-24, https://data.bls.gov/timeseries/CUUR0000SETF01</t>
      </text>
    </comment>
    <comment ref="IF1" authorId="0" shapeId="0">
      <text>
        <t>Source: BLS page, 2026-10-24, https://data.bls.gov/timeseries/CUUR0000SETF03</t>
      </text>
    </comment>
    <comment ref="IG1" authorId="0" shapeId="0">
      <text>
        <t>Source: BLS page, 2026-10-24, https://data.bls.gov/timeseries/CUUR0000SS52051</t>
      </text>
    </comment>
    <comment ref="IH1" authorId="0" shapeId="0">
      <text>
        <t>Source: BLS page, 2026-10-24, https://data.bls.gov/timeseries/CUUR0000SS62011</t>
      </text>
    </comment>
    <comment ref="II1" authorId="0" shapeId="0">
      <text>
        <t>Source: BLS page, 2026-10-24, https://data.bls.gov/timeseries/CUUR0000SETG</t>
      </text>
    </comment>
    <comment ref="IJ1" authorId="0" shapeId="0">
      <text>
        <t>Source: BLS page, 2026-10-24, https://data.bls.gov/timeseries/CUUR0000SETG01</t>
      </text>
    </comment>
    <comment ref="IK1" authorId="0" shapeId="0">
      <text>
        <t>Source: BLS page, 2026-10-24, https://data.bls.gov/timeseries/CUUR0000SETG02</t>
      </text>
    </comment>
    <comment ref="IL1" authorId="0" shapeId="0">
      <text>
        <t>Source: BLS page, 2026-10-24, https://data.bls.gov/timeseries/CUUR0000SS53021</t>
      </text>
    </comment>
    <comment ref="IM1" authorId="0" shapeId="0">
      <text>
        <t>Source: BLS page, 2026-10-24, https://data.bls.gov/timeseries/CUUR0000SS53022</t>
      </text>
    </comment>
    <comment ref="IN1" authorId="0" shapeId="0">
      <text>
        <t>Source: BLS page, 2026-10-24, https://data.bls.gov/timeseries/CUUR0000SS53023</t>
      </text>
    </comment>
    <comment ref="IO1" authorId="0" shapeId="0">
      <text>
        <t>Source: BLS page, 2026-10-24, https://data.bls.gov/timeseries/CUUR0000SETG03</t>
      </text>
    </comment>
    <comment ref="IP1" authorId="0" shapeId="0">
      <text>
        <t>Source: BLS page, 2026-10-24, https://data.bls.gov/timeseries/CUUR0000SS53031</t>
      </text>
    </comment>
    <comment ref="IQ1" authorId="0" shapeId="0">
      <text>
        <t>Source: BLS page, 2026-10-24, https://data.bls.gov/timeseries/CUUR0000SAM</t>
      </text>
    </comment>
    <comment ref="IR1" authorId="0" shapeId="0">
      <text>
        <t>Source: BLS page, 2026-10-24, https://data.bls.gov/timeseries/CUUR0000SAM1</t>
      </text>
    </comment>
    <comment ref="IS1" authorId="0" shapeId="0">
      <text>
        <t>Source: BLS page, 2026-10-24, https://data.bls.gov/timeseries/CUUR0000SEMF</t>
      </text>
    </comment>
    <comment ref="IT1" authorId="0" shapeId="0">
      <text>
        <t>Source: BLS page, 2026-10-24, https://data.bls.gov/timeseries/CUUR0000SEMF01</t>
      </text>
    </comment>
    <comment ref="IU1" authorId="0" shapeId="0">
      <text>
        <t>Source: BLS page, 2026-10-24, https://data.bls.gov/timeseries/CUUR0000SEMF02</t>
      </text>
    </comment>
    <comment ref="IV1" authorId="0" shapeId="0">
      <text>
        <t>Source: BLS page, 2026-10-24, https://data.bls.gov/timeseries/CUUR0000SEMG</t>
      </text>
    </comment>
    <comment ref="IW1" authorId="0" shapeId="0">
      <text>
        <t>Source: BLS page, 2026-10-24, https://data.bls.gov/timeseries/CUUR0000SAM2</t>
      </text>
    </comment>
    <comment ref="IX1" authorId="0" shapeId="0">
      <text>
        <t>Source: BLS page, 2026-10-24, https://data.bls.gov/timeseries/CUUR0000SEMC</t>
      </text>
    </comment>
    <comment ref="IY1" authorId="0" shapeId="0">
      <text>
        <t>Source: BLS page, 2026-10-24, https://data.bls.gov/timeseries/CUUR0000SEMC01</t>
      </text>
    </comment>
    <comment ref="IZ1" authorId="0" shapeId="0">
      <text>
        <t>Source: BLS page, 2026-10-24, https://data.bls.gov/timeseries/CUUR0000SEMC02</t>
      </text>
    </comment>
    <comment ref="JA1" authorId="0" shapeId="0">
      <text>
        <t>Source: BLS page, 2026-10-24, https://data.bls.gov/timeseries/CUUR0000SEMC03</t>
      </text>
    </comment>
    <comment ref="JB1" authorId="0" shapeId="0">
      <text>
        <t>Source: BLS page, 2026-10-24, https://data.bls.gov/timeseries/CUUR0000SEMC04</t>
      </text>
    </comment>
    <comment ref="JC1" authorId="0" shapeId="0">
      <text>
        <t>Source: BLS page, 2026-10-24, https://data.bls.gov/timeseries/CUUR0000SEMD</t>
      </text>
    </comment>
    <comment ref="JD1" authorId="0" shapeId="0">
      <text>
        <t>Source: BLS page, 2026-10-24, https://data.bls.gov/timeseries/CUUR0000SEMD01</t>
      </text>
    </comment>
    <comment ref="JE1" authorId="0" shapeId="0">
      <text>
        <t>Source: BLS page, 2026-10-24, https://data.bls.gov/timeseries/CUUR0000SS5702</t>
      </text>
    </comment>
    <comment ref="JF1" authorId="0" shapeId="0">
      <text>
        <t>Source: BLS page, 2026-10-24, https://data.bls.gov/timeseries/CUUR0000SS5703</t>
      </text>
    </comment>
    <comment ref="JG1" authorId="0" shapeId="0">
      <text>
        <t>Source: BLS page, 2026-10-24, https://data.bls.gov/timeseries/CUUR0000SEMD02</t>
      </text>
    </comment>
    <comment ref="JH1" authorId="0" shapeId="0">
      <text>
        <t>Source: BLS page, 2026-10-24, https://data.bls.gov/timeseries/CUUR0000SEMD03</t>
      </text>
    </comment>
    <comment ref="JI1" authorId="0" shapeId="0">
      <text>
        <t>Source: BLS page, 2026-10-24, https://data.bls.gov/timeseries/CUUR0000SEME</t>
      </text>
    </comment>
    <comment ref="JJ1" authorId="0" shapeId="0">
      <text>
        <t>Source: BLS page, 2026-10-24, https://data.bls.gov/timeseries/CUUR0000SAR</t>
      </text>
    </comment>
    <comment ref="JK1" authorId="0" shapeId="0">
      <text>
        <t>Source: BLS page, 2026-10-24, https://data.bls.gov/timeseries/CUUR0000SERA</t>
      </text>
    </comment>
    <comment ref="JL1" authorId="0" shapeId="0">
      <text>
        <t>Source: BLS page, 2026-10-24, https://data.bls.gov/timeseries/CUUR0000SERA01</t>
      </text>
    </comment>
    <comment ref="JM1" authorId="0" shapeId="0">
      <text>
        <t>Source: BLS page, 2026-10-24, https://data.bls.gov/timeseries/CUUR0000SERA02</t>
      </text>
    </comment>
    <comment ref="JN1" authorId="0" shapeId="0">
      <text>
        <t>Source: BLS page, 2026-10-24, https://data.bls.gov/timeseries/CUUR0000SERA03</t>
      </text>
    </comment>
    <comment ref="JO1" authorId="0" shapeId="0">
      <text>
        <t>Source: BLS page, 2026-10-24, https://data.bls.gov/timeseries/CUUR0000SERA04</t>
      </text>
    </comment>
    <comment ref="JP1" authorId="0" shapeId="0">
      <text>
        <t>Source: BLS page, 2026-10-24, https://data.bls.gov/timeseries/CUUR0000SS31022</t>
      </text>
    </comment>
    <comment ref="JQ1" authorId="0" shapeId="0">
      <text>
        <t>Source: BLS page, 2026-10-24, https://data.bls.gov/timeseries/CUUR0000SS62055</t>
      </text>
    </comment>
    <comment ref="JR1" authorId="0" shapeId="0">
      <text>
        <t>Source: BLS page, 2026-10-24, https://data.bls.gov/timeseries/CUUR0000SERA05</t>
      </text>
    </comment>
    <comment ref="JS1" authorId="0" shapeId="0">
      <text>
        <t>Source: BLS page, 2026-10-24, https://data.bls.gov/timeseries/CUUR0000SERA06</t>
      </text>
    </comment>
    <comment ref="JT1" authorId="0" shapeId="0">
      <text>
        <t>Source: BLS page, 2026-10-24, https://data.bls.gov/timeseries/CUUR0000SERB</t>
      </text>
    </comment>
    <comment ref="JU1" authorId="0" shapeId="0">
      <text>
        <t>Source: BLS page, 2026-10-24, https://data.bls.gov/timeseries/CUUR0000SERB01</t>
      </text>
    </comment>
    <comment ref="JV1" authorId="0" shapeId="0">
      <text>
        <t>Source: BLS page, 2026-10-24, https://data.bls.gov/timeseries/CUUR0000SS61031</t>
      </text>
    </comment>
    <comment ref="JW1" authorId="0" shapeId="0">
      <text>
        <t>Source: BLS page, 2026-10-24, https://data.bls.gov/timeseries/CUUR0000SS61032</t>
      </text>
    </comment>
    <comment ref="JX1" authorId="0" shapeId="0">
      <text>
        <t>Source: BLS page, 2026-10-24, https://data.bls.gov/timeseries/CUUR0000SERB02</t>
      </text>
    </comment>
    <comment ref="JY1" authorId="0" shapeId="0">
      <text>
        <t>Source: BLS page, 2026-10-24, https://data.bls.gov/timeseries/CUUR0000SS62053</t>
      </text>
    </comment>
    <comment ref="JZ1" authorId="0" shapeId="0">
      <text>
        <t>Source: BLS page, 2026-10-24, https://data.bls.gov/timeseries/CUUR0000SS62054</t>
      </text>
    </comment>
    <comment ref="KA1" authorId="0" shapeId="0">
      <text>
        <t>Source: BLS page, 2026-10-24, https://data.bls.gov/timeseries/CUUR0000SERC</t>
      </text>
    </comment>
    <comment ref="KB1" authorId="0" shapeId="0">
      <text>
        <t>Source: BLS page, 2026-10-24, https://data.bls.gov/timeseries/CUUR0000SERC01</t>
      </text>
    </comment>
    <comment ref="KC1" authorId="0" shapeId="0">
      <text>
        <t>Source: BLS page, 2026-10-24, https://data.bls.gov/timeseries/CUUR0000SERC02</t>
      </text>
    </comment>
    <comment ref="KD1" authorId="0" shapeId="0">
      <text>
        <t>Source: BLS page, 2026-10-24, https://data.bls.gov/timeseries/CUUR0000SERD</t>
      </text>
    </comment>
    <comment ref="KE1" authorId="0" shapeId="0">
      <text>
        <t>Source: BLS page, 2026-10-24, https://data.bls.gov/timeseries/CUUR0000SERD01</t>
      </text>
    </comment>
    <comment ref="KF1" authorId="0" shapeId="0">
      <text>
        <t>Source: BLS page, 2026-10-24, https://data.bls.gov/timeseries/CUUR0000SS61021</t>
      </text>
    </comment>
    <comment ref="KG1" authorId="0" shapeId="0">
      <text>
        <t>Source: BLS page, 2026-10-24, https://data.bls.gov/timeseries/CUUR0000SS61023</t>
      </text>
    </comment>
    <comment ref="KH1" authorId="0" shapeId="0">
      <text>
        <t>Source: BLS page, 2026-10-24, https://data.bls.gov/timeseries/CUUR0000SERD02</t>
      </text>
    </comment>
    <comment ref="KI1" authorId="0" shapeId="0">
      <text>
        <t>Source: BLS page, 2026-10-24, https://data.bls.gov/timeseries/CUUR0000SS62051</t>
      </text>
    </comment>
    <comment ref="KJ1" authorId="0" shapeId="0">
      <text>
        <t>Source: BLS page, 2026-10-24, https://data.bls.gov/timeseries/CUUR0000SS62052</t>
      </text>
    </comment>
    <comment ref="KK1" authorId="0" shapeId="0">
      <text>
        <t>Source: BLS page, 2026-10-24, https://data.bls.gov/timeseries/CUUR0000SERE</t>
      </text>
    </comment>
    <comment ref="KL1" authorId="0" shapeId="0">
      <text>
        <t>Source: BLS page, 2026-10-24, https://data.bls.gov/timeseries/CUUR0000SERE01</t>
      </text>
    </comment>
    <comment ref="KM1" authorId="0" shapeId="0">
      <text>
        <t>Source: BLS page, 2026-10-24, https://data.bls.gov/timeseries/CUUR0000SS61011</t>
      </text>
    </comment>
    <comment ref="KN1" authorId="0" shapeId="0">
      <text>
        <t>Source: BLS page, 2026-10-24, https://data.bls.gov/timeseries/CUUR0000SS31023</t>
      </text>
    </comment>
    <comment ref="KO1" authorId="0" shapeId="0">
      <text>
        <t>Source: BLS page, 2026-10-24, https://data.bls.gov/timeseries/CUUR0000SERE02</t>
      </text>
    </comment>
    <comment ref="KP1" authorId="0" shapeId="0">
      <text>
        <t>Source: BLS page, 2026-10-24, https://data.bls.gov/timeseries/CUUR0000SERE03</t>
      </text>
    </comment>
    <comment ref="KQ1" authorId="0" shapeId="0">
      <text>
        <t>Source: BLS page, 2026-10-24, https://data.bls.gov/timeseries/CUUR0000SERF</t>
      </text>
    </comment>
    <comment ref="KR1" authorId="0" shapeId="0">
      <text>
        <t>Source: BLS page, 2026-10-24, https://data.bls.gov/timeseries/CUUR0000SERF01</t>
      </text>
    </comment>
    <comment ref="KS1" authorId="0" shapeId="0">
      <text>
        <t>Source: BLS page, 2026-10-24, https://data.bls.gov/timeseries/CUUR0000SERF02</t>
      </text>
    </comment>
    <comment ref="KT1" authorId="0" shapeId="0">
      <text>
        <t>Source: BLS page, 2026-10-24, https://data.bls.gov/timeseries/CUUR0000SS62031</t>
      </text>
    </comment>
    <comment ref="KU1" authorId="0" shapeId="0">
      <text>
        <t>Source: BLS page, 2026-10-24, https://data.bls.gov/timeseries/CUUR0000SS62032</t>
      </text>
    </comment>
    <comment ref="KV1" authorId="0" shapeId="0">
      <text>
        <t>Source: BLS page, 2026-10-24, https://data.bls.gov/timeseries/CUUR0000SERF03</t>
      </text>
    </comment>
    <comment ref="KW1" authorId="0" shapeId="0">
      <text>
        <t>Source: BLS page, 2026-10-24, https://data.bls.gov/timeseries/CUUR0000SERG</t>
      </text>
    </comment>
    <comment ref="KX1" authorId="0" shapeId="0">
      <text>
        <t>Source: BLS page, 2026-10-24, https://data.bls.gov/timeseries/CUUR0000SERG01</t>
      </text>
    </comment>
    <comment ref="KY1" authorId="0" shapeId="0">
      <text>
        <t>Source: BLS page, 2026-10-24, https://data.bls.gov/timeseries/CUUR0000SERG02</t>
      </text>
    </comment>
    <comment ref="KZ1" authorId="0" shapeId="0">
      <text>
        <t>Source: BLS page, 2026-10-24, https://data.bls.gov/timeseries/CUUR0000SAE</t>
      </text>
    </comment>
    <comment ref="LA1" authorId="0" shapeId="0">
      <text>
        <t>Source: BLS page, 2026-10-24, https://data.bls.gov/timeseries/CUUR0000SAE1</t>
      </text>
    </comment>
    <comment ref="LB1" authorId="0" shapeId="0">
      <text>
        <t>Source: BLS page, 2026-10-24, https://data.bls.gov/timeseries/CUUR0000SEEA</t>
      </text>
    </comment>
    <comment ref="LC1" authorId="0" shapeId="0">
      <text>
        <t>Source: BLS page, 2026-10-24, https://data.bls.gov/timeseries/CUUR0000SSEA011</t>
      </text>
    </comment>
    <comment ref="LD1" authorId="0" shapeId="0">
      <text>
        <t>Source: BLS page, 2026-10-24, https://data.bls.gov/timeseries/CUUR0000SEEB</t>
      </text>
    </comment>
    <comment ref="LE1" authorId="0" shapeId="0">
      <text>
        <t>Source: BLS page, 2026-10-24, https://data.bls.gov/timeseries/CUUR0000SEEB01</t>
      </text>
    </comment>
    <comment ref="LF1" authorId="0" shapeId="0">
      <text>
        <t>Source: BLS page, 2026-10-24, https://data.bls.gov/timeseries/CUUR0000SEEB02</t>
      </text>
    </comment>
    <comment ref="LG1" authorId="0" shapeId="0">
      <text>
        <t>Source: BLS page, 2026-10-24, https://data.bls.gov/timeseries/CUUR0000SEEB03</t>
      </text>
    </comment>
    <comment ref="LH1" authorId="0" shapeId="0">
      <text>
        <t>Source: BLS page, 2026-10-24, https://data.bls.gov/timeseries/CUUR0000SEEB04</t>
      </text>
    </comment>
    <comment ref="LI1" authorId="0" shapeId="0">
      <text>
        <t>Source: BLS page, 2026-10-24, https://data.bls.gov/timeseries/CUUR0000SAE2</t>
      </text>
    </comment>
    <comment ref="LJ1" authorId="0" shapeId="0">
      <text>
        <t>Source: BLS page, 2026-10-24, https://data.bls.gov/timeseries/CUUR0000SEEC</t>
      </text>
    </comment>
    <comment ref="LK1" authorId="0" shapeId="0">
      <text>
        <t>Source: BLS page, 2026-10-24, https://data.bls.gov/timeseries/CUUR0000SEEC01</t>
      </text>
    </comment>
    <comment ref="LL1" authorId="0" shapeId="0">
      <text>
        <t>Source: BLS page, 2026-10-24, https://data.bls.gov/timeseries/CUUR0000SEEC02</t>
      </text>
    </comment>
    <comment ref="LM1" authorId="0" shapeId="0">
      <text>
        <t>Source: BLS page, 2026-10-24, https://data.bls.gov/timeseries/CUUR0000SAE21</t>
      </text>
    </comment>
    <comment ref="LN1" authorId="0" shapeId="0">
      <text>
        <t>Source: BLS page, 2026-10-24, https://data.bls.gov/timeseries/CUUR0000SEED</t>
      </text>
    </comment>
    <comment ref="LO1" authorId="0" shapeId="0">
      <text>
        <t>Source: BLS page, 2026-10-24, https://data.bls.gov/timeseries/CUUR0000SEED03</t>
      </text>
    </comment>
    <comment ref="LP1" authorId="0" shapeId="0">
      <text>
        <t>Source: BLS page, 2026-10-24, https://data.bls.gov/timeseries/CUUR0000SEED04</t>
      </text>
    </comment>
    <comment ref="LQ1" authorId="0" shapeId="0">
      <text>
        <t>Source: BLS page, 2026-10-24, https://data.bls.gov/timeseries/CUUR0000SS27051</t>
      </text>
    </comment>
    <comment ref="LR1" authorId="0" shapeId="0">
      <text>
        <t>Source: BLS page, 2026-10-24, https://data.bls.gov/timeseries/CUUR0000SS27061</t>
      </text>
    </comment>
    <comment ref="LS1" authorId="0" shapeId="0">
      <text>
        <t>Source: BLS page, 2026-10-24, https://data.bls.gov/timeseries/CUUR0000SEEE</t>
      </text>
    </comment>
    <comment ref="LT1" authorId="0" shapeId="0">
      <text>
        <t>Source: BLS page, 2026-10-24, https://data.bls.gov/timeseries/CUUR0000SEEE01</t>
      </text>
    </comment>
    <comment ref="LU1" authorId="0" shapeId="0">
      <text>
        <t>Source: BLS page, 2026-10-24, https://data.bls.gov/timeseries/CUUR0000SEEE02</t>
      </text>
    </comment>
    <comment ref="LV1" authorId="0" shapeId="0">
      <text>
        <t>Source: BLS page, 2026-10-24, https://data.bls.gov/timeseries/CUUR0000SEEE03</t>
      </text>
    </comment>
    <comment ref="LW1" authorId="0" shapeId="0">
      <text>
        <t>Source: BLS page, 2026-10-24, https://data.bls.gov/timeseries/CUUR0000SEEE04</t>
      </text>
    </comment>
    <comment ref="LX1" authorId="0" shapeId="0">
      <text>
        <t>Source: BLS page, 2026-10-24, https://data.bls.gov/timeseries/CUUR0000SSEE041</t>
      </text>
    </comment>
    <comment ref="LY1" authorId="0" shapeId="0">
      <text>
        <t>Source: BLS page, 2026-10-24, https://data.bls.gov/timeseries/CUUR0000SAG</t>
      </text>
    </comment>
    <comment ref="LZ1" authorId="0" shapeId="0">
      <text>
        <t>Source: BLS page, 2026-10-24, https://data.bls.gov/timeseries/CUUR0000SEGA</t>
      </text>
    </comment>
    <comment ref="MA1" authorId="0" shapeId="0">
      <text>
        <t>Source: BLS page, 2026-10-24, https://data.bls.gov/timeseries/CUUR0000SEGA01</t>
      </text>
    </comment>
    <comment ref="MB1" authorId="0" shapeId="0">
      <text>
        <t>Source: BLS page, 2026-10-24, https://data.bls.gov/timeseries/CUUR0000SEGA02</t>
      </text>
    </comment>
    <comment ref="MC1" authorId="0" shapeId="0">
      <text>
        <t>Source: BLS page, 2026-10-24, https://data.bls.gov/timeseries/CUUR0000SAG1</t>
      </text>
    </comment>
    <comment ref="MD1" authorId="0" shapeId="0">
      <text>
        <t>Source: BLS page, 2026-10-24, https://data.bls.gov/timeseries/CUUR0000SEGB</t>
      </text>
    </comment>
    <comment ref="ME1" authorId="0" shapeId="0">
      <text>
        <t>Source: BLS page, 2026-10-24, https://data.bls.gov/timeseries/CUUR0000SEGB01</t>
      </text>
    </comment>
    <comment ref="MF1" authorId="0" shapeId="0">
      <text>
        <t>Source: BLS page, 2026-10-24, https://data.bls.gov/timeseries/CUUR0000SEGB02</t>
      </text>
    </comment>
    <comment ref="MG1" authorId="0" shapeId="0">
      <text>
        <t>Source: BLS page, 2026-10-24, https://data.bls.gov/timeseries/CUUR0000SEGC</t>
      </text>
    </comment>
    <comment ref="MH1" authorId="0" shapeId="0">
      <text>
        <t>Source: BLS page, 2026-10-24, https://data.bls.gov/timeseries/CUUR0000SEGC01</t>
      </text>
    </comment>
    <comment ref="MI1" authorId="0" shapeId="0">
      <text>
        <t>Source: BLS page, 2026-10-24, https://data.bls.gov/timeseries/CUUR0000SEGD</t>
      </text>
    </comment>
    <comment ref="MJ1" authorId="0" shapeId="0">
      <text>
        <t>Source: BLS page, 2026-10-24, https://data.bls.gov/timeseries/CUUR0000SEGD01</t>
      </text>
    </comment>
    <comment ref="MK1" authorId="0" shapeId="0">
      <text>
        <t>Source: BLS page, 2026-10-24, https://data.bls.gov/timeseries/CUUR0000SEGD02</t>
      </text>
    </comment>
    <comment ref="ML1" authorId="0" shapeId="0">
      <text>
        <t>Source: BLS page, 2026-10-24, https://data.bls.gov/timeseries/CUUR0000SEGD03</t>
      </text>
    </comment>
    <comment ref="MM1" authorId="0" shapeId="0">
      <text>
        <t>Source: BLS page, 2026-10-24, https://data.bls.gov/timeseries/CUUR0000SEGD04</t>
      </text>
    </comment>
    <comment ref="MN1" authorId="0" shapeId="0">
      <text>
        <t>Source: BLS page, 2026-10-24, https://data.bls.gov/timeseries/CUUR0000SEGD05</t>
      </text>
    </comment>
    <comment ref="MO1" authorId="0" shapeId="0">
      <text>
        <t>Source: BLS page, 2026-10-24, https://data.bls.gov/timeseries/CUUR0000SS68021</t>
      </text>
    </comment>
    <comment ref="MP1" authorId="0" shapeId="0">
      <text>
        <t>Source: BLS page, 2026-10-24, https://data.bls.gov/timeseries/CUUR0000SS68023</t>
      </text>
    </comment>
    <comment ref="MQ1" authorId="0" shapeId="0">
      <text>
        <t>Source: BLS page, 2026-10-24, https://data.bls.gov/timeseries/CUUR0000SEGE</t>
      </text>
    </comment>
    <comment ref="MR1" authorId="0" shapeId="0">
      <text>
        <t>Source: BLS page, 2026-10-24, https://data.bls.gov/timeseries/CUUR0000SS33032</t>
      </text>
    </comment>
    <comment ref="MS1" authorId="0" shapeId="0">
      <text>
        <t>Source: BLS page, 2026-10-24, https://data.bls.gov/timeseries/CUUR0000SSGE013</t>
      </text>
    </comment>
    <comment ref="MT1" authorId="0" shapeId="0">
      <text>
        <t>Source: BLS page, 2026-10-24, https://data.bls.gov/timeseries/CUUR0000SA0L5</t>
      </text>
    </comment>
    <comment ref="MU1" authorId="0" shapeId="0">
      <text>
        <t>Source: BLS page, 2026-10-24, https://data.bls.gov/timeseries/CUUR0000SA0LE</t>
      </text>
    </comment>
    <comment ref="MV1" authorId="0" shapeId="0">
      <text>
        <t>Source: BLS page, 2026-10-24, https://data.bls.gov/timeseries/CUUR0000SA0L1</t>
      </text>
    </comment>
    <comment ref="MW1" authorId="0" shapeId="0">
      <text>
        <t>Source: BLS page, 2026-10-24, https://data.bls.gov/timeseries/CUUR0000SA0L1E</t>
      </text>
    </comment>
    <comment ref="MX1" authorId="0" shapeId="0">
      <text>
        <t>Source: BLS page, 2026-10-24, https://data.bls.gov/timeseries/CUUR0000SA0L2</t>
      </text>
    </comment>
    <comment ref="MY1" authorId="0" shapeId="0">
      <text>
        <t>Source: BLS page, 2026-10-24, https://data.bls.gov/timeseries/CUUR0000SA0L12</t>
      </text>
    </comment>
    <comment ref="MZ1" authorId="0" shapeId="0">
      <text>
        <t>Source: BLS page, 2026-10-24, https://data.bls.gov/timeseries/CUUR0000SA0L12E</t>
      </text>
    </comment>
    <comment ref="NA1" authorId="0" shapeId="0">
      <text>
        <t>Source: BLS page, 2026-10-24, https://data.bls.gov/timeseries/CUUR0000SA0L12E4</t>
      </text>
    </comment>
    <comment ref="NB1" authorId="0" shapeId="0">
      <text>
        <t>Source: BLS page, 2026-10-24, https://data.bls.gov/timeseries/CUUR0000SA311</t>
      </text>
    </comment>
    <comment ref="NC1" authorId="0" shapeId="0">
      <text>
        <t>Source: BLS page, 2026-10-24, https://data.bls.gov/timeseries/CUUR0000SAC</t>
      </text>
    </comment>
    <comment ref="ND1" authorId="0" shapeId="0">
      <text>
        <t>Source: BLS page, 2026-10-24, https://data.bls.gov/timeseries/CUUR0000SACL1</t>
      </text>
    </comment>
    <comment ref="NE1" authorId="0" shapeId="0">
      <text>
        <t>Source: BLS page, 2026-10-24, https://data.bls.gov/timeseries/CUUR0000SACL11</t>
      </text>
    </comment>
    <comment ref="NF1" authorId="0" shapeId="0">
      <text>
        <t>Source: BLS page, 2026-10-24, https://data.bls.gov/timeseries/CUUR0000SACL1E</t>
      </text>
    </comment>
    <comment ref="NG1" authorId="0" shapeId="0">
      <text>
        <t>Source: BLS page, 2026-10-24, https://data.bls.gov/timeseries/CUUR0000SACL1E4</t>
      </text>
    </comment>
    <comment ref="NH1" authorId="0" shapeId="0">
      <text>
        <t>Source: BLS page, 2026-10-24, https://data.bls.gov/timeseries/CUUR0000SAN1D</t>
      </text>
    </comment>
    <comment ref="NI1" authorId="0" shapeId="0">
      <text>
        <t>Source: BLS page, 2026-10-24, https://data.bls.gov/timeseries/CUUR0000SAD</t>
      </text>
    </comment>
    <comment ref="NJ1" authorId="0" shapeId="0">
      <text>
        <t>Source: BLS page, 2026-10-24, https://data.bls.gov/timeseries/CUUR0000SAEC</t>
      </text>
    </comment>
    <comment ref="NK1" authorId="0" shapeId="0">
      <text>
        <t>Source: BLS page, 2026-10-24, https://data.bls.gov/timeseries/CUUR0000SAES</t>
      </text>
    </comment>
    <comment ref="NL1" authorId="0" shapeId="0">
      <text>
        <t>Source: BLS page, 2026-10-24, https://data.bls.gov/timeseries/CUUR0000SA0E</t>
      </text>
    </comment>
    <comment ref="NM1" authorId="0" shapeId="0">
      <text>
        <t>Source: BLS page, 2026-10-24, https://data.bls.gov/timeseries/CUUR0000SACE</t>
      </text>
    </comment>
    <comment ref="NN1" authorId="0" shapeId="0">
      <text>
        <t>Source: BLS page, 2026-10-24, https://data.bls.gov/timeseries/CUUR0000SAH31</t>
      </text>
    </comment>
    <comment ref="NO1" authorId="0" shapeId="0">
      <text>
        <t>Source: BLS page, 2026-10-24, https://data.bls.gov/timeseries/CUUR0000SEEEC</t>
      </text>
    </comment>
    <comment ref="NP1" authorId="0" shapeId="0">
      <text>
        <t>Source: BLS page, 2026-10-24, https://data.bls.gov/timeseries/CUUR0000SAN</t>
      </text>
    </comment>
    <comment ref="NQ1" authorId="0" shapeId="0">
      <text>
        <t>Source: BLS page, 2026-10-24, https://data.bls.gov/timeseries/CUUR0000SANL1</t>
      </text>
    </comment>
    <comment ref="NR1" authorId="0" shapeId="0">
      <text>
        <t>Source: BLS page, 2026-10-24, https://data.bls.gov/timeseries/CUUR0000SANL13</t>
      </text>
    </comment>
    <comment ref="NS1" authorId="0" shapeId="0">
      <text>
        <t>Source: BLS page, 2026-10-24, https://data.bls.gov/timeseries/CUUR0000SANL11</t>
      </text>
    </comment>
    <comment ref="NT1" authorId="0" shapeId="0">
      <text>
        <t>Source: BLS page, 2026-10-24, https://data.bls.gov/timeseries/CUUR0000SANL113</t>
      </text>
    </comment>
    <comment ref="NU1" authorId="0" shapeId="0">
      <text>
        <t>Source: BLS page, 2026-10-24, https://data.bls.gov/timeseries/CUUR0000SAGC</t>
      </text>
    </comment>
    <comment ref="NV1" authorId="0" shapeId="0">
      <text>
        <t>Source: BLS page, 2026-10-24, https://data.bls.gov/timeseries/CUUR0000SAGS</t>
      </text>
    </comment>
    <comment ref="NW1" authorId="0" shapeId="0">
      <text>
        <t>Source: BLS page, 2026-10-24, https://data.bls.gov/timeseries/CUUR0000SAS367</t>
      </text>
    </comment>
    <comment ref="NX1" authorId="0" shapeId="0">
      <text>
        <t>Source: BLS page, 2026-10-24, https://data.bls.gov/timeseries/CUUR0000SARC</t>
      </text>
    </comment>
    <comment ref="NY1" authorId="0" shapeId="0">
      <text>
        <t>Source: BLS page, 2026-10-24, https://data.bls.gov/timeseries/CUUR0000SARS</t>
      </text>
    </comment>
    <comment ref="NZ1" authorId="0" shapeId="0">
      <text>
        <t>Source: BLS page, 2026-10-24, https://data.bls.gov/timeseries/CUUR0000SAS2RS</t>
      </text>
    </comment>
    <comment ref="OA1" authorId="0" shapeId="0">
      <text>
        <t>Source: BLS page, 2026-10-24, https://data.bls.gov/timeseries/CUUR0000SAS</t>
      </text>
    </comment>
    <comment ref="OB1" authorId="0" shapeId="0">
      <text>
        <t>Source: BLS page, 2026-10-24, https://data.bls.gov/timeseries/CUUR0000SASLE</t>
      </text>
    </comment>
    <comment ref="OC1" authorId="0" shapeId="0">
      <text>
        <t>Source: BLS page, 2026-10-24, https://data.bls.gov/timeseries/CUUR0000SASL5</t>
      </text>
    </comment>
    <comment ref="OD1" authorId="0" shapeId="0">
      <text>
        <t>Source: BLS page, 2026-10-24, https://data.bls.gov/timeseries/CUUR0000SASL2RS</t>
      </text>
    </comment>
    <comment ref="OE1" authorId="0" shapeId="0">
      <text>
        <t>Source: BLS page, 2026-10-24, https://data.bls.gov/timeseries/CUUR0000SATCLTB</t>
      </text>
    </comment>
    <comment ref="OF1" authorId="0" shapeId="0">
      <text>
        <t>Source: BLS page, 2026-10-24, https://data.bls.gov/timeseries/CUUR0000SAS4</t>
      </text>
    </comment>
    <comment ref="OG1" authorId="0" shapeId="0">
      <text>
        <t>Source: BLS page, 2026-10-24, https://data.bls.gov/timeseries/CUUR0000SAS24</t>
      </text>
    </comment>
    <comment ref="OH1" authorId="0" shapeId="0">
      <text>
        <t>Source: BLS page, 2026-10-24, https://data.bls.gov/timeseries/CUUR0000SERAC</t>
      </text>
    </comment>
    <comment ref="OI1" authorId="0" shapeId="0">
      <text>
        <t>Source: BLS page, 2026-10-24, https://data.bls.gov/timeseries/CUUR0000SERAS</t>
      </text>
    </comment>
    <comment ref="OJ1" authorId="0" shapeId="0">
      <text>
        <t>Source: BLS page, 2026-10-24, https://data.bls.gov/timeseries/CUUR0000SA0R</t>
      </text>
    </comment>
    <comment ref="OK1" authorId="0" shapeId="0">
      <text>
        <t>Source: BLS page, 2026-10-24, https://data.bls.gov/timeseries/CUUR0000AA0R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A1" authorId="0" shapeId="0">
      <text>
        <t>Source: BLS page, 2026-10-24, https://api.bls.gov/publicAPI/v2/timeseries/data/</t>
      </text>
    </comment>
    <comment ref="B1" authorId="0" shapeId="0">
      <text>
        <t>Source: BLS page, 2026-10-24, https://data.bls.gov/timeseries/CUSR0000SA0</t>
      </text>
    </comment>
    <comment ref="C1" authorId="0" shapeId="0">
      <text>
        <t>Source: BLS page, 2026-10-24, https://data.bls.gov/timeseries/CUSR0000SAF</t>
      </text>
    </comment>
    <comment ref="D1" authorId="0" shapeId="0">
      <text>
        <t>Source: BLS page, 2026-10-24, https://data.bls.gov/timeseries/CUSR0000SAF1</t>
      </text>
    </comment>
    <comment ref="E1" authorId="0" shapeId="0">
      <text>
        <t>Source: BLS page, 2026-10-24, https://data.bls.gov/timeseries/CUSR0000SAF11</t>
      </text>
    </comment>
    <comment ref="F1" authorId="0" shapeId="0">
      <text>
        <t>Source: BLS page, 2026-10-24, https://data.bls.gov/timeseries/CUSR0000SAF111</t>
      </text>
    </comment>
    <comment ref="G1" authorId="0" shapeId="0">
      <text>
        <t>Source: BLS page, 2026-10-24, https://data.bls.gov/timeseries/CUSR0000SEFA</t>
      </text>
    </comment>
    <comment ref="H1" authorId="0" shapeId="0">
      <text>
        <t>Source: BLS page, 2026-10-24, https://data.bls.gov/timeseries/CUSR0000SEFA01</t>
      </text>
    </comment>
    <comment ref="I1" authorId="0" shapeId="0">
      <text>
        <t>Source: BLS page, 2026-10-24, https://data.bls.gov/timeseries/CUSR0000SEFA02</t>
      </text>
    </comment>
    <comment ref="J1" authorId="0" shapeId="0">
      <text>
        <t>Source: BLS page, 2026-10-24, https://data.bls.gov/timeseries/CUSR0000SEFA03</t>
      </text>
    </comment>
    <comment ref="K1" authorId="0" shapeId="0">
      <text>
        <t>Source: BLS page, 2026-10-24, https://data.bls.gov/timeseries/CUSR0000SEFB</t>
      </text>
    </comment>
    <comment ref="L1" authorId="0" shapeId="0">
      <text>
        <t>Source: BLS page, 2026-10-24, https://data.bls.gov/timeseries/CUSR0000SEFB01</t>
      </text>
    </comment>
    <comment ref="M1" authorId="0" shapeId="0">
      <text>
        <t>Source: BLS page, 2026-10-24, https://data.bls.gov/timeseries/CUSR0000SEFB02</t>
      </text>
    </comment>
    <comment ref="N1" authorId="0" shapeId="0">
      <text>
        <t>Source: BLS page, 2026-10-24, https://data.bls.gov/timeseries/CUSR0000SEFB03</t>
      </text>
    </comment>
    <comment ref="O1" authorId="0" shapeId="0">
      <text>
        <t>Source: BLS page, 2026-10-24, https://data.bls.gov/timeseries/CUSR0000SS02042</t>
      </text>
    </comment>
    <comment ref="P1" authorId="0" shapeId="0">
      <text>
        <t>Source: BLS page, 2026-10-24, https://data.bls.gov/timeseries/CUSR0000SEFB04</t>
      </text>
    </comment>
    <comment ref="Q1" authorId="0" shapeId="0">
      <text>
        <t>Source: BLS page, 2026-10-24, https://data.bls.gov/timeseries/CUSR0000SS0206A</t>
      </text>
    </comment>
    <comment ref="R1" authorId="0" shapeId="0">
      <text>
        <t>Source: BLS page, 2026-10-24, https://data.bls.gov/timeseries/CUSR0000SS0206B</t>
      </text>
    </comment>
    <comment ref="S1" authorId="0" shapeId="0">
      <text>
        <t>Source: BLS page, 2026-10-24, https://data.bls.gov/timeseries/CUSR0000SAF112</t>
      </text>
    </comment>
    <comment ref="T1" authorId="0" shapeId="0">
      <text>
        <t>Source: BLS page, 2026-10-24, https://data.bls.gov/timeseries/CUSR0000SAF1121</t>
      </text>
    </comment>
    <comment ref="U1" authorId="0" shapeId="0">
      <text>
        <t>Source: BLS page, 2026-10-24, https://data.bls.gov/timeseries/CUSR0000SAF11211</t>
      </text>
    </comment>
    <comment ref="V1" authorId="0" shapeId="0">
      <text>
        <t>Source: BLS page, 2026-10-24, https://data.bls.gov/timeseries/CUSR0000SEFC</t>
      </text>
    </comment>
    <comment ref="W1" authorId="0" shapeId="0">
      <text>
        <t>Source: BLS page, 2026-10-24, https://data.bls.gov/timeseries/CUSR0000SEFC01</t>
      </text>
    </comment>
    <comment ref="X1" authorId="0" shapeId="0">
      <text>
        <t>Source: BLS page, 2026-10-24, https://data.bls.gov/timeseries/CUSR0000SEFC02</t>
      </text>
    </comment>
    <comment ref="Y1" authorId="0" shapeId="0">
      <text>
        <t>Source: BLS page, 2026-10-24, https://data.bls.gov/timeseries/CUSR0000SEFC03</t>
      </text>
    </comment>
    <comment ref="Z1" authorId="0" shapeId="0">
      <text>
        <t>Source: BLS page, 2026-10-24, https://data.bls.gov/timeseries/CUSR0000SEFD</t>
      </text>
    </comment>
    <comment ref="AA1" authorId="0" shapeId="0">
      <text>
        <t>Source: BLS page, 2026-10-24, https://data.bls.gov/timeseries/CUSR0000SEFD01</t>
      </text>
    </comment>
    <comment ref="AB1" authorId="0" shapeId="0">
      <text>
        <t>Source: BLS page, 2026-10-24, https://data.bls.gov/timeseries/CUSR0000SS04011</t>
      </text>
    </comment>
    <comment ref="AC1" authorId="0" shapeId="0">
      <text>
        <t>Source: BLS page, 2026-10-24, https://data.bls.gov/timeseries/CUSR0000SS04012</t>
      </text>
    </comment>
    <comment ref="AD1" authorId="0" shapeId="0">
      <text>
        <t>Source: BLS page, 2026-10-24, https://data.bls.gov/timeseries/CUSR0000SEFD02</t>
      </text>
    </comment>
    <comment ref="AE1" authorId="0" shapeId="0">
      <text>
        <t>Source: BLS page, 2026-10-24, https://data.bls.gov/timeseries/CUSR0000SS04031</t>
      </text>
    </comment>
    <comment ref="AF1" authorId="0" shapeId="0">
      <text>
        <t>Source: BLS page, 2026-10-24, https://data.bls.gov/timeseries/CUSR0000SEFD03</t>
      </text>
    </comment>
    <comment ref="AG1" authorId="0" shapeId="0">
      <text>
        <t>Source: BLS page, 2026-10-24, https://data.bls.gov/timeseries/CUSR0000SEFD04</t>
      </text>
    </comment>
    <comment ref="AH1" authorId="0" shapeId="0">
      <text>
        <t>Source: BLS page, 2026-10-24, https://data.bls.gov/timeseries/CUSR0000SEFE</t>
      </text>
    </comment>
    <comment ref="AI1" authorId="0" shapeId="0">
      <text>
        <t>Source: BLS page, 2026-10-24, https://data.bls.gov/timeseries/CUSR0000SS05011</t>
      </text>
    </comment>
    <comment ref="AJ1" authorId="0" shapeId="0">
      <text>
        <t>Source: BLS page, 2026-10-24, https://data.bls.gov/timeseries/CUSR0000SS0501A</t>
      </text>
    </comment>
    <comment ref="AK1" authorId="0" shapeId="0">
      <text>
        <t>Source: BLS page, 2026-10-24, https://data.bls.gov/timeseries/CUSR0000SEFF</t>
      </text>
    </comment>
    <comment ref="AL1" authorId="0" shapeId="0">
      <text>
        <t>Source: BLS page, 2026-10-24, https://data.bls.gov/timeseries/CUSR0000SEFF01</t>
      </text>
    </comment>
    <comment ref="AM1" authorId="0" shapeId="0">
      <text>
        <t>Source: BLS page, 2026-10-24, https://data.bls.gov/timeseries/CUSR0000SS06011</t>
      </text>
    </comment>
    <comment ref="AN1" authorId="0" shapeId="0">
      <text>
        <t>Source: BLS page, 2026-10-24, https://data.bls.gov/timeseries/CUSR0000SS06021</t>
      </text>
    </comment>
    <comment ref="AO1" authorId="0" shapeId="0">
      <text>
        <t>Source: BLS page, 2026-10-24, https://data.bls.gov/timeseries/CUSR0000SEFF02</t>
      </text>
    </comment>
    <comment ref="AP1" authorId="0" shapeId="0">
      <text>
        <t>Source: BLS page, 2026-10-24, https://data.bls.gov/timeseries/CUSR0000SEFG</t>
      </text>
    </comment>
    <comment ref="AQ1" authorId="0" shapeId="0">
      <text>
        <t>Source: BLS page, 2026-10-24, https://data.bls.gov/timeseries/CUSR0000SEFG01</t>
      </text>
    </comment>
    <comment ref="AR1" authorId="0" shapeId="0">
      <text>
        <t>Source: BLS page, 2026-10-24, https://data.bls.gov/timeseries/CUSR0000SEFG02</t>
      </text>
    </comment>
    <comment ref="AS1" authorId="0" shapeId="0">
      <text>
        <t>Source: BLS page, 2026-10-24, https://data.bls.gov/timeseries/CUSR0000SS07011</t>
      </text>
    </comment>
    <comment ref="AT1" authorId="0" shapeId="0">
      <text>
        <t>Source: BLS page, 2026-10-24, https://data.bls.gov/timeseries/CUSR0000SS07021</t>
      </text>
    </comment>
    <comment ref="AU1" authorId="0" shapeId="0">
      <text>
        <t>Source: BLS page, 2026-10-24, https://data.bls.gov/timeseries/CUSR0000SEFH</t>
      </text>
    </comment>
    <comment ref="AV1" authorId="0" shapeId="0">
      <text>
        <t>Source: BLS page, 2026-10-24, https://data.bls.gov/timeseries/CUSR0000SEFJ</t>
      </text>
    </comment>
    <comment ref="AW1" authorId="0" shapeId="0">
      <text>
        <t>Source: BLS page, 2026-10-24, https://data.bls.gov/timeseries/CUSR0000SEFJ01</t>
      </text>
    </comment>
    <comment ref="AX1" authorId="0" shapeId="0">
      <text>
        <t>Source: BLS page, 2026-10-24, https://data.bls.gov/timeseries/CUSR0000SS09011</t>
      </text>
    </comment>
    <comment ref="AY1" authorId="0" shapeId="0">
      <text>
        <t>Source: BLS page, 2026-10-24, https://data.bls.gov/timeseries/CUSR0000SS09021</t>
      </text>
    </comment>
    <comment ref="AZ1" authorId="0" shapeId="0">
      <text>
        <t>Source: BLS page, 2026-10-24, https://data.bls.gov/timeseries/CUSR0000SEFJ02</t>
      </text>
    </comment>
    <comment ref="BA1" authorId="0" shapeId="0">
      <text>
        <t>Source: BLS page, 2026-10-24, https://data.bls.gov/timeseries/CUSR0000SEFJ03</t>
      </text>
    </comment>
    <comment ref="BB1" authorId="0" shapeId="0">
      <text>
        <t>Source: BLS page, 2026-10-24, https://data.bls.gov/timeseries/CUSR0000SEFJ04</t>
      </text>
    </comment>
    <comment ref="BC1" authorId="0" shapeId="0">
      <text>
        <t>Source: BLS page, 2026-10-24, https://data.bls.gov/timeseries/CUSR0000SAF113</t>
      </text>
    </comment>
    <comment ref="BD1" authorId="0" shapeId="0">
      <text>
        <t>Source: BLS page, 2026-10-24, https://data.bls.gov/timeseries/CUSR0000SAF1131</t>
      </text>
    </comment>
    <comment ref="BE1" authorId="0" shapeId="0">
      <text>
        <t>Source: BLS page, 2026-10-24, https://data.bls.gov/timeseries/CUSR0000SEFK</t>
      </text>
    </comment>
    <comment ref="BF1" authorId="0" shapeId="0">
      <text>
        <t>Source: BLS page, 2026-10-24, https://data.bls.gov/timeseries/CUSR0000SEFK01</t>
      </text>
    </comment>
    <comment ref="BG1" authorId="0" shapeId="0">
      <text>
        <t>Source: BLS page, 2026-10-24, https://data.bls.gov/timeseries/CUSR0000SEFK02</t>
      </text>
    </comment>
    <comment ref="BH1" authorId="0" shapeId="0">
      <text>
        <t>Source: BLS page, 2026-10-24, https://data.bls.gov/timeseries/CUSR0000SEFK03</t>
      </text>
    </comment>
    <comment ref="BI1" authorId="0" shapeId="0">
      <text>
        <t>Source: BLS page, 2026-10-24, https://data.bls.gov/timeseries/CUSR0000SS11031</t>
      </text>
    </comment>
    <comment ref="BJ1" authorId="0" shapeId="0">
      <text>
        <t>Source: BLS page, 2026-10-24, https://data.bls.gov/timeseries/CUSR0000SEFK04</t>
      </text>
    </comment>
    <comment ref="BK1" authorId="0" shapeId="0">
      <text>
        <t>Source: BLS page, 2026-10-24, https://data.bls.gov/timeseries/CUSR0000SEFL</t>
      </text>
    </comment>
    <comment ref="BL1" authorId="0" shapeId="0">
      <text>
        <t>Source: BLS page, 2026-10-24, https://data.bls.gov/timeseries/CUSR0000SEFL01</t>
      </text>
    </comment>
    <comment ref="BM1" authorId="0" shapeId="0">
      <text>
        <t>Source: BLS page, 2026-10-24, https://data.bls.gov/timeseries/CUSR0000SEFL02</t>
      </text>
    </comment>
    <comment ref="BN1" authorId="0" shapeId="0">
      <text>
        <t>Source: BLS page, 2026-10-24, https://data.bls.gov/timeseries/CUSR0000SEFL03</t>
      </text>
    </comment>
    <comment ref="BO1" authorId="0" shapeId="0">
      <text>
        <t>Source: BLS page, 2026-10-24, https://data.bls.gov/timeseries/CUSR0000SEFL04</t>
      </text>
    </comment>
    <comment ref="BP1" authorId="0" shapeId="0">
      <text>
        <t>Source: BLS page, 2026-10-24, https://data.bls.gov/timeseries/CUSR0000SEFM</t>
      </text>
    </comment>
    <comment ref="BQ1" authorId="0" shapeId="0">
      <text>
        <t>Source: BLS page, 2026-10-24, https://data.bls.gov/timeseries/CUSR0000SEFM01</t>
      </text>
    </comment>
    <comment ref="BR1" authorId="0" shapeId="0">
      <text>
        <t>Source: BLS page, 2026-10-24, https://data.bls.gov/timeseries/CUSR0000SS13031</t>
      </text>
    </comment>
    <comment ref="BS1" authorId="0" shapeId="0">
      <text>
        <t>Source: BLS page, 2026-10-24, https://data.bls.gov/timeseries/CUSR0000SS14021</t>
      </text>
    </comment>
    <comment ref="BT1" authorId="0" shapeId="0">
      <text>
        <t>Source: BLS page, 2026-10-24, https://data.bls.gov/timeseries/CUSR0000SEFM02</t>
      </text>
    </comment>
    <comment ref="BU1" authorId="0" shapeId="0">
      <text>
        <t>Source: BLS page, 2026-10-24, https://data.bls.gov/timeseries/CUSR0000SS14011</t>
      </text>
    </comment>
    <comment ref="BV1" authorId="0" shapeId="0">
      <text>
        <t>Source: BLS page, 2026-10-24, https://data.bls.gov/timeseries/CUSR0000SEFM03</t>
      </text>
    </comment>
    <comment ref="BW1" authorId="0" shapeId="0">
      <text>
        <t>Source: BLS page, 2026-10-24, https://data.bls.gov/timeseries/CUSR0000SAF114</t>
      </text>
    </comment>
    <comment ref="BX1" authorId="0" shapeId="0">
      <text>
        <t>Source: BLS page, 2026-10-24, https://data.bls.gov/timeseries/CUSR0000SEFN</t>
      </text>
    </comment>
    <comment ref="BY1" authorId="0" shapeId="0">
      <text>
        <t>Source: BLS page, 2026-10-24, https://data.bls.gov/timeseries/CUSR0000SEFN01</t>
      </text>
    </comment>
    <comment ref="BZ1" authorId="0" shapeId="0">
      <text>
        <t>Source: BLS page, 2026-10-24, https://data.bls.gov/timeseries/CUSR0000SEFN03</t>
      </text>
    </comment>
    <comment ref="CA1" authorId="0" shapeId="0">
      <text>
        <t>Source: BLS page, 2026-10-24, https://data.bls.gov/timeseries/CUSR0000SEFP</t>
      </text>
    </comment>
    <comment ref="CB1" authorId="0" shapeId="0">
      <text>
        <t>Source: BLS page, 2026-10-24, https://data.bls.gov/timeseries/CUSR0000SEFP01</t>
      </text>
    </comment>
    <comment ref="CC1" authorId="0" shapeId="0">
      <text>
        <t>Source: BLS page, 2026-10-24, https://data.bls.gov/timeseries/CUSR0000SS17031</t>
      </text>
    </comment>
    <comment ref="CD1" authorId="0" shapeId="0">
      <text>
        <t>Source: BLS page, 2026-10-24, https://data.bls.gov/timeseries/CUSR0000SEFP02</t>
      </text>
    </comment>
    <comment ref="CE1" authorId="0" shapeId="0">
      <text>
        <t>Source: BLS page, 2026-10-24, https://data.bls.gov/timeseries/CUSR0000SAF115</t>
      </text>
    </comment>
    <comment ref="CF1" authorId="0" shapeId="0">
      <text>
        <t>Source: BLS page, 2026-10-24, https://data.bls.gov/timeseries/CUSR0000SEFR</t>
      </text>
    </comment>
    <comment ref="CG1" authorId="0" shapeId="0">
      <text>
        <t>Source: BLS page, 2026-10-24, https://data.bls.gov/timeseries/CUSR0000SEFR01</t>
      </text>
    </comment>
    <comment ref="CH1" authorId="0" shapeId="0">
      <text>
        <t>Source: BLS page, 2026-10-24, https://data.bls.gov/timeseries/CUSR0000SEFR02</t>
      </text>
    </comment>
    <comment ref="CI1" authorId="0" shapeId="0">
      <text>
        <t>Source: BLS page, 2026-10-24, https://data.bls.gov/timeseries/CUSR0000SEFR03</t>
      </text>
    </comment>
    <comment ref="CJ1" authorId="0" shapeId="0">
      <text>
        <t>Source: BLS page, 2026-10-24, https://data.bls.gov/timeseries/CUSR0000SEFS</t>
      </text>
    </comment>
    <comment ref="CK1" authorId="0" shapeId="0">
      <text>
        <t>Source: BLS page, 2026-10-24, https://data.bls.gov/timeseries/CUSR0000SEFS01</t>
      </text>
    </comment>
    <comment ref="CL1" authorId="0" shapeId="0">
      <text>
        <t>Source: BLS page, 2026-10-24, https://data.bls.gov/timeseries/CUSR0000SS10011</t>
      </text>
    </comment>
    <comment ref="CM1" authorId="0" shapeId="0">
      <text>
        <t>Source: BLS page, 2026-10-24, https://data.bls.gov/timeseries/CUSR0000SS16011</t>
      </text>
    </comment>
    <comment ref="CN1" authorId="0" shapeId="0">
      <text>
        <t>Source: BLS page, 2026-10-24, https://data.bls.gov/timeseries/CUSR0000SEFS02</t>
      </text>
    </comment>
    <comment ref="CO1" authorId="0" shapeId="0">
      <text>
        <t>Source: BLS page, 2026-10-24, https://data.bls.gov/timeseries/CUSR0000SEFS03</t>
      </text>
    </comment>
    <comment ref="CP1" authorId="0" shapeId="0">
      <text>
        <t>Source: BLS page, 2026-10-24, https://data.bls.gov/timeseries/CUSR0000SEFT</t>
      </text>
    </comment>
    <comment ref="CQ1" authorId="0" shapeId="0">
      <text>
        <t>Source: BLS page, 2026-10-24, https://data.bls.gov/timeseries/CUSR0000SEFT01</t>
      </text>
    </comment>
    <comment ref="CR1" authorId="0" shapeId="0">
      <text>
        <t>Source: BLS page, 2026-10-24, https://data.bls.gov/timeseries/CUSR0000SEFT02</t>
      </text>
    </comment>
    <comment ref="CS1" authorId="0" shapeId="0">
      <text>
        <t>Source: BLS page, 2026-10-24, https://data.bls.gov/timeseries/CUSR0000SEFT03</t>
      </text>
    </comment>
    <comment ref="CT1" authorId="0" shapeId="0">
      <text>
        <t>Source: BLS page, 2026-10-24, https://data.bls.gov/timeseries/CUSR0000SEFT04</t>
      </text>
    </comment>
    <comment ref="CU1" authorId="0" shapeId="0">
      <text>
        <t>Source: BLS page, 2026-10-24, https://data.bls.gov/timeseries/CUSR0000SS18041</t>
      </text>
    </comment>
    <comment ref="CV1" authorId="0" shapeId="0">
      <text>
        <t>Source: BLS page, 2026-10-24, https://data.bls.gov/timeseries/CUSR0000SS18042</t>
      </text>
    </comment>
    <comment ref="CW1" authorId="0" shapeId="0">
      <text>
        <t>Source: BLS page, 2026-10-24, https://data.bls.gov/timeseries/CUSR0000SS18043</t>
      </text>
    </comment>
    <comment ref="CX1" authorId="0" shapeId="0">
      <text>
        <t>Source: BLS page, 2026-10-24, https://data.bls.gov/timeseries/CUSR0000SS1804B</t>
      </text>
    </comment>
    <comment ref="CY1" authorId="0" shapeId="0">
      <text>
        <t>Source: BLS page, 2026-10-24, https://data.bls.gov/timeseries/CUSR0000SEFT06</t>
      </text>
    </comment>
    <comment ref="CZ1" authorId="0" shapeId="0">
      <text>
        <t>Source: BLS page, 2026-10-24, https://data.bls.gov/timeseries/CUSR0000SS18064</t>
      </text>
    </comment>
    <comment ref="DA1" authorId="0" shapeId="0">
      <text>
        <t>Source: BLS page, 2026-10-24, https://data.bls.gov/timeseries/CUSR0000SEFV</t>
      </text>
    </comment>
    <comment ref="DB1" authorId="0" shapeId="0">
      <text>
        <t>Source: BLS page, 2026-10-24, https://data.bls.gov/timeseries/CUSR0000SEFV01</t>
      </text>
    </comment>
    <comment ref="DC1" authorId="0" shapeId="0">
      <text>
        <t>Source: BLS page, 2026-10-24, https://data.bls.gov/timeseries/CUSR0000SEFV03</t>
      </text>
    </comment>
    <comment ref="DD1" authorId="0" shapeId="0">
      <text>
        <t>Source: BLS page, 2026-10-24, https://data.bls.gov/timeseries/CUSR0000SSFV031A</t>
      </text>
    </comment>
    <comment ref="DE1" authorId="0" shapeId="0">
      <text>
        <t>Source: BLS page, 2026-10-24, https://data.bls.gov/timeseries/CUSR0000SEFV05</t>
      </text>
    </comment>
    <comment ref="DF1" authorId="0" shapeId="0">
      <text>
        <t>Source: BLS page, 2026-10-24, https://data.bls.gov/timeseries/CUSR0000SAF116</t>
      </text>
    </comment>
    <comment ref="DG1" authorId="0" shapeId="0">
      <text>
        <t>Source: BLS page, 2026-10-24, https://data.bls.gov/timeseries/CUSR0000SEFW</t>
      </text>
    </comment>
    <comment ref="DH1" authorId="0" shapeId="0">
      <text>
        <t>Source: BLS page, 2026-10-24, https://data.bls.gov/timeseries/CUSR0000SEFW01</t>
      </text>
    </comment>
    <comment ref="DI1" authorId="0" shapeId="0">
      <text>
        <t>Source: BLS page, 2026-10-24, https://data.bls.gov/timeseries/CUSR0000SEFW02</t>
      </text>
    </comment>
    <comment ref="DJ1" authorId="0" shapeId="0">
      <text>
        <t>Source: BLS page, 2026-10-24, https://data.bls.gov/timeseries/CUSR0000SS20021</t>
      </text>
    </comment>
    <comment ref="DK1" authorId="0" shapeId="0">
      <text>
        <t>Source: BLS page, 2026-10-24, https://data.bls.gov/timeseries/CUSR0000SS20022</t>
      </text>
    </comment>
    <comment ref="DL1" authorId="0" shapeId="0">
      <text>
        <t>Source: BLS page, 2026-10-24, https://data.bls.gov/timeseries/CUSR0000SEFW03</t>
      </text>
    </comment>
    <comment ref="DM1" authorId="0" shapeId="0">
      <text>
        <t>Source: BLS page, 2026-10-24, https://data.bls.gov/timeseries/CUSR0000SEFX</t>
      </text>
    </comment>
    <comment ref="DN1" authorId="0" shapeId="0">
      <text>
        <t>Source: BLS page, 2026-10-24, https://data.bls.gov/timeseries/CUSR0000SS20053</t>
      </text>
    </comment>
    <comment ref="DO1" authorId="0" shapeId="0">
      <text>
        <t>Source: BLS page, 2026-10-24, https://data.bls.gov/timeseries/CUSR0000SAH</t>
      </text>
    </comment>
    <comment ref="DP1" authorId="0" shapeId="0">
      <text>
        <t>Source: BLS page, 2026-10-24, https://data.bls.gov/timeseries/CUSR0000SAH1</t>
      </text>
    </comment>
    <comment ref="DQ1" authorId="0" shapeId="0">
      <text>
        <t>Source: BLS page, 2026-10-24, https://data.bls.gov/timeseries/CUSR0000SEHA</t>
      </text>
    </comment>
    <comment ref="DR1" authorId="0" shapeId="0">
      <text>
        <t>Source: BLS page, 2026-10-24, https://data.bls.gov/timeseries/CUSR0000SEHB</t>
      </text>
    </comment>
    <comment ref="DS1" authorId="0" shapeId="0">
      <text>
        <t>Source: BLS page, 2026-10-24, https://data.bls.gov/timeseries/CUSR0000SEHB01</t>
      </text>
    </comment>
    <comment ref="DT1" authorId="0" shapeId="0">
      <text>
        <t>Source: BLS page, 2026-10-24, https://data.bls.gov/timeseries/CUSR0000SEHB02</t>
      </text>
    </comment>
    <comment ref="DU1" authorId="0" shapeId="0">
      <text>
        <t>Source: BLS page, 2026-10-24, https://data.bls.gov/timeseries/CUSR0000SEHC</t>
      </text>
    </comment>
    <comment ref="DV1" authorId="0" shapeId="0">
      <text>
        <t>Source: BLS page, 2026-10-24, https://data.bls.gov/timeseries/CUSR0000SEHC01</t>
      </text>
    </comment>
    <comment ref="DW1" authorId="0" shapeId="0">
      <text>
        <t>Source: BLS page, 2026-10-24, https://data.bls.gov/timeseries/CUSR0000SAH2</t>
      </text>
    </comment>
    <comment ref="DX1" authorId="0" shapeId="0">
      <text>
        <t>Source: BLS page, 2026-10-24, https://data.bls.gov/timeseries/CUSR0000SAH21</t>
      </text>
    </comment>
    <comment ref="DY1" authorId="0" shapeId="0">
      <text>
        <t>Source: BLS page, 2026-10-24, https://data.bls.gov/timeseries/CUSR0000SEHE</t>
      </text>
    </comment>
    <comment ref="DZ1" authorId="0" shapeId="0">
      <text>
        <t>Source: BLS page, 2026-10-24, https://data.bls.gov/timeseries/CUSR0000SEHE01</t>
      </text>
    </comment>
    <comment ref="EA1" authorId="0" shapeId="0">
      <text>
        <t>Source: BLS page, 2026-10-24, https://data.bls.gov/timeseries/CUSR0000SEHE02</t>
      </text>
    </comment>
    <comment ref="EB1" authorId="0" shapeId="0">
      <text>
        <t>Source: BLS page, 2026-10-24, https://data.bls.gov/timeseries/CUSR0000SEHF</t>
      </text>
    </comment>
    <comment ref="EC1" authorId="0" shapeId="0">
      <text>
        <t>Source: BLS page, 2026-10-24, https://data.bls.gov/timeseries/CUSR0000SEHF01</t>
      </text>
    </comment>
    <comment ref="ED1" authorId="0" shapeId="0">
      <text>
        <t>Source: BLS page, 2026-10-24, https://data.bls.gov/timeseries/CUSR0000SEHF02</t>
      </text>
    </comment>
    <comment ref="EE1" authorId="0" shapeId="0">
      <text>
        <t>Source: BLS page, 2026-10-24, https://data.bls.gov/timeseries/CUSR0000SEHG</t>
      </text>
    </comment>
    <comment ref="EF1" authorId="0" shapeId="0">
      <text>
        <t>Source: BLS page, 2026-10-24, https://data.bls.gov/timeseries/CUSR0000SEHG01</t>
      </text>
    </comment>
    <comment ref="EG1" authorId="0" shapeId="0">
      <text>
        <t>Source: BLS page, 2026-10-24, https://data.bls.gov/timeseries/CUSR0000SEHG02</t>
      </text>
    </comment>
    <comment ref="EH1" authorId="0" shapeId="0">
      <text>
        <t>Source: BLS page, 2026-10-24, https://data.bls.gov/timeseries/CUSR0000SAH3</t>
      </text>
    </comment>
    <comment ref="EI1" authorId="0" shapeId="0">
      <text>
        <t>Source: BLS page, 2026-10-24, https://data.bls.gov/timeseries/CUSR0000SEHH</t>
      </text>
    </comment>
    <comment ref="EJ1" authorId="0" shapeId="0">
      <text>
        <t>Source: BLS page, 2026-10-24, https://data.bls.gov/timeseries/CUSR0000SEHH02</t>
      </text>
    </comment>
    <comment ref="EK1" authorId="0" shapeId="0">
      <text>
        <t>Source: BLS page, 2026-10-24, https://data.bls.gov/timeseries/CUSR0000SEHH03</t>
      </text>
    </comment>
    <comment ref="EL1" authorId="0" shapeId="0">
      <text>
        <t>Source: BLS page, 2026-10-24, https://data.bls.gov/timeseries/CUSR0000SEHJ</t>
      </text>
    </comment>
    <comment ref="EM1" authorId="0" shapeId="0">
      <text>
        <t>Source: BLS page, 2026-10-24, https://data.bls.gov/timeseries/CUSR0000SEHJ03</t>
      </text>
    </comment>
    <comment ref="EN1" authorId="0" shapeId="0">
      <text>
        <t>Source: BLS page, 2026-10-24, https://data.bls.gov/timeseries/CUSR0000SEHK</t>
      </text>
    </comment>
    <comment ref="EO1" authorId="0" shapeId="0">
      <text>
        <t>Source: BLS page, 2026-10-24, https://data.bls.gov/timeseries/CUSR0000SEHK01</t>
      </text>
    </comment>
    <comment ref="EP1" authorId="0" shapeId="0">
      <text>
        <t>Source: BLS page, 2026-10-24, https://data.bls.gov/timeseries/CUSR0000SS30021</t>
      </text>
    </comment>
    <comment ref="EQ1" authorId="0" shapeId="0">
      <text>
        <t>Source: BLS page, 2026-10-24, https://data.bls.gov/timeseries/CUSR0000SEHK02</t>
      </text>
    </comment>
    <comment ref="ER1" authorId="0" shapeId="0">
      <text>
        <t>Source: BLS page, 2026-10-24, https://data.bls.gov/timeseries/CUSR0000SEHL</t>
      </text>
    </comment>
    <comment ref="ES1" authorId="0" shapeId="0">
      <text>
        <t>Source: BLS page, 2026-10-24, https://data.bls.gov/timeseries/CUSR0000SEHL02</t>
      </text>
    </comment>
    <comment ref="ET1" authorId="0" shapeId="0">
      <text>
        <t>Source: BLS page, 2026-10-24, https://data.bls.gov/timeseries/CUSR0000SEHL04</t>
      </text>
    </comment>
    <comment ref="EU1" authorId="0" shapeId="0">
      <text>
        <t>Source: BLS page, 2026-10-24, https://data.bls.gov/timeseries/CUSR0000SEHM</t>
      </text>
    </comment>
    <comment ref="EV1" authorId="0" shapeId="0">
      <text>
        <t>Source: BLS page, 2026-10-24, https://data.bls.gov/timeseries/CUSR0000SEHM01</t>
      </text>
    </comment>
    <comment ref="EW1" authorId="0" shapeId="0">
      <text>
        <t>Source: BLS page, 2026-10-24, https://data.bls.gov/timeseries/CUSR0000SEHM02</t>
      </text>
    </comment>
    <comment ref="EX1" authorId="0" shapeId="0">
      <text>
        <t>Source: BLS page, 2026-10-24, https://data.bls.gov/timeseries/CUSR0000SEHN</t>
      </text>
    </comment>
    <comment ref="EY1" authorId="0" shapeId="0">
      <text>
        <t>Source: BLS page, 2026-10-24, https://data.bls.gov/timeseries/CUSR0000SEHN01</t>
      </text>
    </comment>
    <comment ref="EZ1" authorId="0" shapeId="0">
      <text>
        <t>Source: BLS page, 2026-10-24, https://data.bls.gov/timeseries/CUSR0000SEHN03</t>
      </text>
    </comment>
    <comment ref="FA1" authorId="0" shapeId="0">
      <text>
        <t>Source: BLS page, 2026-10-24, https://data.bls.gov/timeseries/CUSR0000SEHP03</t>
      </text>
    </comment>
    <comment ref="FB1" authorId="0" shapeId="0">
      <text>
        <t>Source: BLS page, 2026-10-24, https://data.bls.gov/timeseries/CUSR0000SAA</t>
      </text>
    </comment>
    <comment ref="FC1" authorId="0" shapeId="0">
      <text>
        <t>Source: BLS page, 2026-10-24, https://data.bls.gov/timeseries/CUSR0000SAA1</t>
      </text>
    </comment>
    <comment ref="FD1" authorId="0" shapeId="0">
      <text>
        <t>Source: BLS page, 2026-10-24, https://data.bls.gov/timeseries/CUSR0000SEAA</t>
      </text>
    </comment>
    <comment ref="FE1" authorId="0" shapeId="0">
      <text>
        <t>Source: BLS page, 2026-10-24, https://data.bls.gov/timeseries/CUSR0000SEAA01</t>
      </text>
    </comment>
    <comment ref="FF1" authorId="0" shapeId="0">
      <text>
        <t>Source: BLS page, 2026-10-24, https://data.bls.gov/timeseries/CUSR0000SEAA02</t>
      </text>
    </comment>
    <comment ref="FG1" authorId="0" shapeId="0">
      <text>
        <t>Source: BLS page, 2026-10-24, https://data.bls.gov/timeseries/CUSR0000SEAA03</t>
      </text>
    </comment>
    <comment ref="FH1" authorId="0" shapeId="0">
      <text>
        <t>Source: BLS page, 2026-10-24, https://data.bls.gov/timeseries/CUSR0000SEAA04</t>
      </text>
    </comment>
    <comment ref="FI1" authorId="0" shapeId="0">
      <text>
        <t>Source: BLS page, 2026-10-24, https://data.bls.gov/timeseries/CUSR0000SEAB</t>
      </text>
    </comment>
    <comment ref="FJ1" authorId="0" shapeId="0">
      <text>
        <t>Source: BLS page, 2026-10-24, https://data.bls.gov/timeseries/CUSR0000SAA2</t>
      </text>
    </comment>
    <comment ref="FK1" authorId="0" shapeId="0">
      <text>
        <t>Source: BLS page, 2026-10-24, https://data.bls.gov/timeseries/CUSR0000SEAC</t>
      </text>
    </comment>
    <comment ref="FL1" authorId="0" shapeId="0">
      <text>
        <t>Source: BLS page, 2026-10-24, https://data.bls.gov/timeseries/CUSR0000SEAC01</t>
      </text>
    </comment>
    <comment ref="FM1" authorId="0" shapeId="0">
      <text>
        <t>Source: BLS page, 2026-10-24, https://data.bls.gov/timeseries/CUSR0000SEAC02</t>
      </text>
    </comment>
    <comment ref="FN1" authorId="0" shapeId="0">
      <text>
        <t>Source: BLS page, 2026-10-24, https://data.bls.gov/timeseries/CUSR0000SEAC03</t>
      </text>
    </comment>
    <comment ref="FO1" authorId="0" shapeId="0">
      <text>
        <t>Source: BLS page, 2026-10-24, https://data.bls.gov/timeseries/CUSR0000SEAC04</t>
      </text>
    </comment>
    <comment ref="FP1" authorId="0" shapeId="0">
      <text>
        <t>Source: BLS page, 2026-10-24, https://data.bls.gov/timeseries/CUSR0000SEAD</t>
      </text>
    </comment>
    <comment ref="FQ1" authorId="0" shapeId="0">
      <text>
        <t>Source: BLS page, 2026-10-24, https://data.bls.gov/timeseries/CUSR0000SEAE</t>
      </text>
    </comment>
    <comment ref="FR1" authorId="0" shapeId="0">
      <text>
        <t>Source: BLS page, 2026-10-24, https://data.bls.gov/timeseries/CUSR0000SEAE01</t>
      </text>
    </comment>
    <comment ref="FS1" authorId="0" shapeId="0">
      <text>
        <t>Source: BLS page, 2026-10-24, https://data.bls.gov/timeseries/CUSR0000SEAE02</t>
      </text>
    </comment>
    <comment ref="FT1" authorId="0" shapeId="0">
      <text>
        <t>Source: BLS page, 2026-10-24, https://data.bls.gov/timeseries/CUSR0000SEAE03</t>
      </text>
    </comment>
    <comment ref="FU1" authorId="0" shapeId="0">
      <text>
        <t>Source: BLS page, 2026-10-24, https://data.bls.gov/timeseries/CUSR0000SEAF</t>
      </text>
    </comment>
    <comment ref="FV1" authorId="0" shapeId="0">
      <text>
        <t>Source: BLS page, 2026-10-24, https://data.bls.gov/timeseries/CUSR0000SEAG</t>
      </text>
    </comment>
    <comment ref="FW1" authorId="0" shapeId="0">
      <text>
        <t>Source: BLS page, 2026-10-24, https://data.bls.gov/timeseries/CUSR0000SEAG01</t>
      </text>
    </comment>
    <comment ref="FX1" authorId="0" shapeId="0">
      <text>
        <t>Source: BLS page, 2026-10-24, https://data.bls.gov/timeseries/CUSR0000SEAG02</t>
      </text>
    </comment>
    <comment ref="FY1" authorId="0" shapeId="0">
      <text>
        <t>Source: BLS page, 2026-10-24, https://data.bls.gov/timeseries/CUSR0000SAT</t>
      </text>
    </comment>
    <comment ref="FZ1" authorId="0" shapeId="0">
      <text>
        <t>Source: BLS page, 2026-10-24, https://data.bls.gov/timeseries/CUSR0000SAT1</t>
      </text>
    </comment>
    <comment ref="GA1" authorId="0" shapeId="0">
      <text>
        <t>Source: BLS page, 2026-10-24, https://data.bls.gov/timeseries/CUSR0000SETA</t>
      </text>
    </comment>
    <comment ref="GB1" authorId="0" shapeId="0">
      <text>
        <t>Source: BLS page, 2026-10-24, https://data.bls.gov/timeseries/CUSR0000SETA01</t>
      </text>
    </comment>
    <comment ref="GC1" authorId="0" shapeId="0">
      <text>
        <t>Source: BLS page, 2026-10-24, https://data.bls.gov/timeseries/CUSR0000SS4501A</t>
      </text>
    </comment>
    <comment ref="GD1" authorId="0" shapeId="0">
      <text>
        <t>Source: BLS page, 2026-10-24, https://data.bls.gov/timeseries/CUSR0000SS45011</t>
      </text>
    </comment>
    <comment ref="GE1" authorId="0" shapeId="0">
      <text>
        <t>Source: BLS page, 2026-10-24, https://data.bls.gov/timeseries/CUSR0000SS45021</t>
      </text>
    </comment>
    <comment ref="GF1" authorId="0" shapeId="0">
      <text>
        <t>Source: BLS page, 2026-10-24, https://data.bls.gov/timeseries/CUSR0000SS45031</t>
      </text>
    </comment>
    <comment ref="GG1" authorId="0" shapeId="0">
      <text>
        <t>Source: BLS page, 2026-10-24, https://data.bls.gov/timeseries/CUSR0000SETA02</t>
      </text>
    </comment>
    <comment ref="GH1" authorId="0" shapeId="0">
      <text>
        <t>Source: BLS page, 2026-10-24, https://data.bls.gov/timeseries/CUSR0000SETA03</t>
      </text>
    </comment>
    <comment ref="GI1" authorId="0" shapeId="0">
      <text>
        <t>Source: BLS page, 2026-10-24, https://data.bls.gov/timeseries/CUSR0000SETA04</t>
      </text>
    </comment>
    <comment ref="GJ1" authorId="0" shapeId="0">
      <text>
        <t>Source: BLS page, 2026-10-24, https://data.bls.gov/timeseries/CUSR0000SETB</t>
      </text>
    </comment>
    <comment ref="GK1" authorId="0" shapeId="0">
      <text>
        <t>Source: BLS page, 2026-10-24, https://data.bls.gov/timeseries/CUSR0000SETB01</t>
      </text>
    </comment>
    <comment ref="GL1" authorId="0" shapeId="0">
      <text>
        <t>Source: BLS page, 2026-10-24, https://data.bls.gov/timeseries/CUSR0000SS47014</t>
      </text>
    </comment>
    <comment ref="GM1" authorId="0" shapeId="0">
      <text>
        <t>Source: BLS page, 2026-10-24, https://data.bls.gov/timeseries/CUSR0000SS47015</t>
      </text>
    </comment>
    <comment ref="GN1" authorId="0" shapeId="0">
      <text>
        <t>Source: BLS page, 2026-10-24, https://data.bls.gov/timeseries/CUSR0000SS47016</t>
      </text>
    </comment>
    <comment ref="GO1" authorId="0" shapeId="0">
      <text>
        <t>Source: BLS page, 2026-10-24, https://data.bls.gov/timeseries/CUSR0000SETB02</t>
      </text>
    </comment>
    <comment ref="GP1" authorId="0" shapeId="0">
      <text>
        <t>Source: BLS page, 2026-10-24, https://data.bls.gov/timeseries/CUSR0000SETC</t>
      </text>
    </comment>
    <comment ref="GQ1" authorId="0" shapeId="0">
      <text>
        <t>Source: BLS page, 2026-10-24, https://data.bls.gov/timeseries/CUSR0000SETC01</t>
      </text>
    </comment>
    <comment ref="GR1" authorId="0" shapeId="0">
      <text>
        <t>Source: BLS page, 2026-10-24, https://data.bls.gov/timeseries/CUSR0000SETD</t>
      </text>
    </comment>
    <comment ref="GS1" authorId="0" shapeId="0">
      <text>
        <t>Source: BLS page, 2026-10-24, https://data.bls.gov/timeseries/CUSR0000SETD03</t>
      </text>
    </comment>
    <comment ref="GT1" authorId="0" shapeId="0">
      <text>
        <t>Source: BLS page, 2026-10-24, https://data.bls.gov/timeseries/CUSR0000SETE</t>
      </text>
    </comment>
    <comment ref="GU1" authorId="0" shapeId="0">
      <text>
        <t>Source: BLS page, 2026-10-24, https://data.bls.gov/timeseries/CUSR0000SETF03</t>
      </text>
    </comment>
    <comment ref="GV1" authorId="0" shapeId="0">
      <text>
        <t>Source: BLS page, 2026-10-24, https://data.bls.gov/timeseries/CUSR0000SS52051</t>
      </text>
    </comment>
    <comment ref="GW1" authorId="0" shapeId="0">
      <text>
        <t>Source: BLS page, 2026-10-24, https://data.bls.gov/timeseries/CUSR0000SETG</t>
      </text>
    </comment>
    <comment ref="GX1" authorId="0" shapeId="0">
      <text>
        <t>Source: BLS page, 2026-10-24, https://data.bls.gov/timeseries/CUSR0000SETG01</t>
      </text>
    </comment>
    <comment ref="GY1" authorId="0" shapeId="0">
      <text>
        <t>Source: BLS page, 2026-10-24, https://data.bls.gov/timeseries/CUSR0000SETG02</t>
      </text>
    </comment>
    <comment ref="GZ1" authorId="0" shapeId="0">
      <text>
        <t>Source: BLS page, 2026-10-24, https://data.bls.gov/timeseries/CUSR0000SS53022</t>
      </text>
    </comment>
    <comment ref="HA1" authorId="0" shapeId="0">
      <text>
        <t>Source: BLS page, 2026-10-24, https://data.bls.gov/timeseries/CUSR0000SS53023</t>
      </text>
    </comment>
    <comment ref="HB1" authorId="0" shapeId="0">
      <text>
        <t>Source: BLS page, 2026-10-24, https://data.bls.gov/timeseries/CUSR0000SAM</t>
      </text>
    </comment>
    <comment ref="HC1" authorId="0" shapeId="0">
      <text>
        <t>Source: BLS page, 2026-10-24, https://data.bls.gov/timeseries/CUSR0000SAM1</t>
      </text>
    </comment>
    <comment ref="HD1" authorId="0" shapeId="0">
      <text>
        <t>Source: BLS page, 2026-10-24, https://data.bls.gov/timeseries/CUSR0000SEMF</t>
      </text>
    </comment>
    <comment ref="HE1" authorId="0" shapeId="0">
      <text>
        <t>Source: BLS page, 2026-10-24, https://data.bls.gov/timeseries/CUSR0000SEMF01</t>
      </text>
    </comment>
    <comment ref="HF1" authorId="0" shapeId="0">
      <text>
        <t>Source: BLS page, 2026-10-24, https://data.bls.gov/timeseries/CUSR0000SEMF02</t>
      </text>
    </comment>
    <comment ref="HG1" authorId="0" shapeId="0">
      <text>
        <t>Source: BLS page, 2026-10-24, https://data.bls.gov/timeseries/CUSR0000SAM2</t>
      </text>
    </comment>
    <comment ref="HH1" authorId="0" shapeId="0">
      <text>
        <t>Source: BLS page, 2026-10-24, https://data.bls.gov/timeseries/CUSR0000SEMC</t>
      </text>
    </comment>
    <comment ref="HI1" authorId="0" shapeId="0">
      <text>
        <t>Source: BLS page, 2026-10-24, https://data.bls.gov/timeseries/CUSR0000SEMC01</t>
      </text>
    </comment>
    <comment ref="HJ1" authorId="0" shapeId="0">
      <text>
        <t>Source: BLS page, 2026-10-24, https://data.bls.gov/timeseries/CUSR0000SEMC02</t>
      </text>
    </comment>
    <comment ref="HK1" authorId="0" shapeId="0">
      <text>
        <t>Source: BLS page, 2026-10-24, https://data.bls.gov/timeseries/CUSR0000SEMC03</t>
      </text>
    </comment>
    <comment ref="HL1" authorId="0" shapeId="0">
      <text>
        <t>Source: BLS page, 2026-10-24, https://data.bls.gov/timeseries/CUSR0000SEMC04</t>
      </text>
    </comment>
    <comment ref="HM1" authorId="0" shapeId="0">
      <text>
        <t>Source: BLS page, 2026-10-24, https://data.bls.gov/timeseries/CUSR0000SEMD</t>
      </text>
    </comment>
    <comment ref="HN1" authorId="0" shapeId="0">
      <text>
        <t>Source: BLS page, 2026-10-24, https://data.bls.gov/timeseries/CUSR0000SEMD01</t>
      </text>
    </comment>
    <comment ref="HO1" authorId="0" shapeId="0">
      <text>
        <t>Source: BLS page, 2026-10-24, https://data.bls.gov/timeseries/CUSR0000SS5702</t>
      </text>
    </comment>
    <comment ref="HP1" authorId="0" shapeId="0">
      <text>
        <t>Source: BLS page, 2026-10-24, https://data.bls.gov/timeseries/CUSR0000SS5703</t>
      </text>
    </comment>
    <comment ref="HQ1" authorId="0" shapeId="0">
      <text>
        <t>Source: BLS page, 2026-10-24, https://data.bls.gov/timeseries/CUSR0000SEMD02</t>
      </text>
    </comment>
    <comment ref="HR1" authorId="0" shapeId="0">
      <text>
        <t>Source: BLS page, 2026-10-24, https://data.bls.gov/timeseries/CUSR0000SAR</t>
      </text>
    </comment>
    <comment ref="HS1" authorId="0" shapeId="0">
      <text>
        <t>Source: BLS page, 2026-10-24, https://data.bls.gov/timeseries/CUSR0000SERA</t>
      </text>
    </comment>
    <comment ref="HT1" authorId="0" shapeId="0">
      <text>
        <t>Source: BLS page, 2026-10-24, https://data.bls.gov/timeseries/CUSR0000SERA01</t>
      </text>
    </comment>
    <comment ref="HU1" authorId="0" shapeId="0">
      <text>
        <t>Source: BLS page, 2026-10-24, https://data.bls.gov/timeseries/CUSR0000SERA02</t>
      </text>
    </comment>
    <comment ref="HV1" authorId="0" shapeId="0">
      <text>
        <t>Source: BLS page, 2026-10-24, https://data.bls.gov/timeseries/CUSR0000SERA03</t>
      </text>
    </comment>
    <comment ref="HW1" authorId="0" shapeId="0">
      <text>
        <t>Source: BLS page, 2026-10-24, https://data.bls.gov/timeseries/CUSR0000SERA05</t>
      </text>
    </comment>
    <comment ref="HX1" authorId="0" shapeId="0">
      <text>
        <t>Source: BLS page, 2026-10-24, https://data.bls.gov/timeseries/CUSR0000SERB</t>
      </text>
    </comment>
    <comment ref="HY1" authorId="0" shapeId="0">
      <text>
        <t>Source: BLS page, 2026-10-24, https://data.bls.gov/timeseries/CUSR0000SERB01</t>
      </text>
    </comment>
    <comment ref="HZ1" authorId="0" shapeId="0">
      <text>
        <t>Source: BLS page, 2026-10-24, https://data.bls.gov/timeseries/CUSR0000SS61031</t>
      </text>
    </comment>
    <comment ref="IA1" authorId="0" shapeId="0">
      <text>
        <t>Source: BLS page, 2026-10-24, https://data.bls.gov/timeseries/CUSR0000SS61032</t>
      </text>
    </comment>
    <comment ref="IB1" authorId="0" shapeId="0">
      <text>
        <t>Source: BLS page, 2026-10-24, https://data.bls.gov/timeseries/CUSR0000SERB02</t>
      </text>
    </comment>
    <comment ref="IC1" authorId="0" shapeId="0">
      <text>
        <t>Source: BLS page, 2026-10-24, https://data.bls.gov/timeseries/CUSR0000SS62053</t>
      </text>
    </comment>
    <comment ref="ID1" authorId="0" shapeId="0">
      <text>
        <t>Source: BLS page, 2026-10-24, https://data.bls.gov/timeseries/CUSR0000SS62054</t>
      </text>
    </comment>
    <comment ref="IE1" authorId="0" shapeId="0">
      <text>
        <t>Source: BLS page, 2026-10-24, https://data.bls.gov/timeseries/CUSR0000SERC</t>
      </text>
    </comment>
    <comment ref="IF1" authorId="0" shapeId="0">
      <text>
        <t>Source: BLS page, 2026-10-24, https://data.bls.gov/timeseries/CUSR0000SERC01</t>
      </text>
    </comment>
    <comment ref="IG1" authorId="0" shapeId="0">
      <text>
        <t>Source: BLS page, 2026-10-24, https://data.bls.gov/timeseries/CUSR0000SERC02</t>
      </text>
    </comment>
    <comment ref="IH1" authorId="0" shapeId="0">
      <text>
        <t>Source: BLS page, 2026-10-24, https://data.bls.gov/timeseries/CUSR0000SERD</t>
      </text>
    </comment>
    <comment ref="II1" authorId="0" shapeId="0">
      <text>
        <t>Source: BLS page, 2026-10-24, https://data.bls.gov/timeseries/CUSR0000SERD01</t>
      </text>
    </comment>
    <comment ref="IJ1" authorId="0" shapeId="0">
      <text>
        <t>Source: BLS page, 2026-10-24, https://data.bls.gov/timeseries/CUSR0000SS61023</t>
      </text>
    </comment>
    <comment ref="IK1" authorId="0" shapeId="0">
      <text>
        <t>Source: BLS page, 2026-10-24, https://data.bls.gov/timeseries/CUSR0000SERE</t>
      </text>
    </comment>
    <comment ref="IL1" authorId="0" shapeId="0">
      <text>
        <t>Source: BLS page, 2026-10-24, https://data.bls.gov/timeseries/CUSR0000SERE01</t>
      </text>
    </comment>
    <comment ref="IM1" authorId="0" shapeId="0">
      <text>
        <t>Source: BLS page, 2026-10-24, https://data.bls.gov/timeseries/CUSR0000SS61011</t>
      </text>
    </comment>
    <comment ref="IN1" authorId="0" shapeId="0">
      <text>
        <t>Source: BLS page, 2026-10-24, https://data.bls.gov/timeseries/CUSR0000SERE02</t>
      </text>
    </comment>
    <comment ref="IO1" authorId="0" shapeId="0">
      <text>
        <t>Source: BLS page, 2026-10-24, https://data.bls.gov/timeseries/CUSR0000SERE03</t>
      </text>
    </comment>
    <comment ref="IP1" authorId="0" shapeId="0">
      <text>
        <t>Source: BLS page, 2026-10-24, https://data.bls.gov/timeseries/CUSR0000SERF</t>
      </text>
    </comment>
    <comment ref="IQ1" authorId="0" shapeId="0">
      <text>
        <t>Source: BLS page, 2026-10-24, https://data.bls.gov/timeseries/CUSR0000SERF01</t>
      </text>
    </comment>
    <comment ref="IR1" authorId="0" shapeId="0">
      <text>
        <t>Source: BLS page, 2026-10-24, https://data.bls.gov/timeseries/CUSR0000SERF02</t>
      </text>
    </comment>
    <comment ref="IS1" authorId="0" shapeId="0">
      <text>
        <t>Source: BLS page, 2026-10-24, https://data.bls.gov/timeseries/CUSR0000SS62031</t>
      </text>
    </comment>
    <comment ref="IT1" authorId="0" shapeId="0">
      <text>
        <t>Source: BLS page, 2026-10-24, https://data.bls.gov/timeseries/CUSR0000SS62032</t>
      </text>
    </comment>
    <comment ref="IU1" authorId="0" shapeId="0">
      <text>
        <t>Source: BLS page, 2026-10-24, https://data.bls.gov/timeseries/CUSR0000SERF03</t>
      </text>
    </comment>
    <comment ref="IV1" authorId="0" shapeId="0">
      <text>
        <t>Source: BLS page, 2026-10-24, https://data.bls.gov/timeseries/CUSR0000SERG</t>
      </text>
    </comment>
    <comment ref="IW1" authorId="0" shapeId="0">
      <text>
        <t>Source: BLS page, 2026-10-24, https://data.bls.gov/timeseries/CUSR0000SAE</t>
      </text>
    </comment>
    <comment ref="IX1" authorId="0" shapeId="0">
      <text>
        <t>Source: BLS page, 2026-10-24, https://data.bls.gov/timeseries/CUSR0000SAE1</t>
      </text>
    </comment>
    <comment ref="IY1" authorId="0" shapeId="0">
      <text>
        <t>Source: BLS page, 2026-10-24, https://data.bls.gov/timeseries/CUSR0000SEEA</t>
      </text>
    </comment>
    <comment ref="IZ1" authorId="0" shapeId="0">
      <text>
        <t>Source: BLS page, 2026-10-24, https://data.bls.gov/timeseries/CUSR0000SEEB</t>
      </text>
    </comment>
    <comment ref="JA1" authorId="0" shapeId="0">
      <text>
        <t>Source: BLS page, 2026-10-24, https://data.bls.gov/timeseries/CUSR0000SEEB01</t>
      </text>
    </comment>
    <comment ref="JB1" authorId="0" shapeId="0">
      <text>
        <t>Source: BLS page, 2026-10-24, https://data.bls.gov/timeseries/CUSR0000SEEB02</t>
      </text>
    </comment>
    <comment ref="JC1" authorId="0" shapeId="0">
      <text>
        <t>Source: BLS page, 2026-10-24, https://data.bls.gov/timeseries/CUSR0000SEEB03</t>
      </text>
    </comment>
    <comment ref="JD1" authorId="0" shapeId="0">
      <text>
        <t>Source: BLS page, 2026-10-24, https://data.bls.gov/timeseries/CUSR0000SEEB04</t>
      </text>
    </comment>
    <comment ref="JE1" authorId="0" shapeId="0">
      <text>
        <t>Source: BLS page, 2026-10-24, https://data.bls.gov/timeseries/CUSR0000SAE2</t>
      </text>
    </comment>
    <comment ref="JF1" authorId="0" shapeId="0">
      <text>
        <t>Source: BLS page, 2026-10-24, https://data.bls.gov/timeseries/CUSR0000SEEC</t>
      </text>
    </comment>
    <comment ref="JG1" authorId="0" shapeId="0">
      <text>
        <t>Source: BLS page, 2026-10-24, https://data.bls.gov/timeseries/CUSR0000SEEC01</t>
      </text>
    </comment>
    <comment ref="JH1" authorId="0" shapeId="0">
      <text>
        <t>Source: BLS page, 2026-10-24, https://data.bls.gov/timeseries/CUSR0000SEEC02</t>
      </text>
    </comment>
    <comment ref="JI1" authorId="0" shapeId="0">
      <text>
        <t>Source: BLS page, 2026-10-24, https://data.bls.gov/timeseries/CUSR0000SAE21</t>
      </text>
    </comment>
    <comment ref="JJ1" authorId="0" shapeId="0">
      <text>
        <t>Source: BLS page, 2026-10-24, https://data.bls.gov/timeseries/CUSR0000SEEE</t>
      </text>
    </comment>
    <comment ref="JK1" authorId="0" shapeId="0">
      <text>
        <t>Source: BLS page, 2026-10-24, https://data.bls.gov/timeseries/CUSR0000SEEE01</t>
      </text>
    </comment>
    <comment ref="JL1" authorId="0" shapeId="0">
      <text>
        <t>Source: BLS page, 2026-10-24, https://data.bls.gov/timeseries/CUSR0000SEEE03</t>
      </text>
    </comment>
    <comment ref="JM1" authorId="0" shapeId="0">
      <text>
        <t>Source: BLS page, 2026-10-24, https://data.bls.gov/timeseries/CUSR0000SEEE04</t>
      </text>
    </comment>
    <comment ref="JN1" authorId="0" shapeId="0">
      <text>
        <t>Source: BLS page, 2026-10-24, https://data.bls.gov/timeseries/CUSR0000SAG</t>
      </text>
    </comment>
    <comment ref="JO1" authorId="0" shapeId="0">
      <text>
        <t>Source: BLS page, 2026-10-24, https://data.bls.gov/timeseries/CUSR0000SEGA</t>
      </text>
    </comment>
    <comment ref="JP1" authorId="0" shapeId="0">
      <text>
        <t>Source: BLS page, 2026-10-24, https://data.bls.gov/timeseries/CUSR0000SEGA01</t>
      </text>
    </comment>
    <comment ref="JQ1" authorId="0" shapeId="0">
      <text>
        <t>Source: BLS page, 2026-10-24, https://data.bls.gov/timeseries/CUSR0000SAG1</t>
      </text>
    </comment>
    <comment ref="JR1" authorId="0" shapeId="0">
      <text>
        <t>Source: BLS page, 2026-10-24, https://data.bls.gov/timeseries/CUSR0000SEGB</t>
      </text>
    </comment>
    <comment ref="JS1" authorId="0" shapeId="0">
      <text>
        <t>Source: BLS page, 2026-10-24, https://data.bls.gov/timeseries/CUSR0000SEGD</t>
      </text>
    </comment>
    <comment ref="JT1" authorId="0" shapeId="0">
      <text>
        <t>Source: BLS page, 2026-10-24, https://data.bls.gov/timeseries/CUSR0000SEGD01</t>
      </text>
    </comment>
    <comment ref="JU1" authorId="0" shapeId="0">
      <text>
        <t>Source: BLS page, 2026-10-24, https://data.bls.gov/timeseries/CUSR0000SEGD02</t>
      </text>
    </comment>
    <comment ref="JV1" authorId="0" shapeId="0">
      <text>
        <t>Source: BLS page, 2026-10-24, https://data.bls.gov/timeseries/CUSR0000SEGD03</t>
      </text>
    </comment>
    <comment ref="JW1" authorId="0" shapeId="0">
      <text>
        <t>Source: BLS page, 2026-10-24, https://data.bls.gov/timeseries/CUSR0000SEGD05</t>
      </text>
    </comment>
    <comment ref="JX1" authorId="0" shapeId="0">
      <text>
        <t>Source: BLS page, 2026-10-24, https://data.bls.gov/timeseries/CUSR0000SS68023</t>
      </text>
    </comment>
    <comment ref="JY1" authorId="0" shapeId="0">
      <text>
        <t>Source: BLS page, 2026-10-24, https://data.bls.gov/timeseries/CUSR0000SEGE</t>
      </text>
    </comment>
    <comment ref="JZ1" authorId="0" shapeId="0">
      <text>
        <t>Source: BLS page, 2026-10-24, https://data.bls.gov/timeseries/CUSR0000SS33032</t>
      </text>
    </comment>
    <comment ref="KA1" authorId="0" shapeId="0">
      <text>
        <t>Source: BLS page, 2026-10-24, https://data.bls.gov/timeseries/CUSR0000SA0L5</t>
      </text>
    </comment>
    <comment ref="KB1" authorId="0" shapeId="0">
      <text>
        <t>Source: BLS page, 2026-10-24, https://data.bls.gov/timeseries/CUSR0000SA0LE</t>
      </text>
    </comment>
    <comment ref="KC1" authorId="0" shapeId="0">
      <text>
        <t>Source: BLS page, 2026-10-24, https://data.bls.gov/timeseries/CUSR0000SA0L1</t>
      </text>
    </comment>
    <comment ref="KD1" authorId="0" shapeId="0">
      <text>
        <t>Source: BLS page, 2026-10-24, https://data.bls.gov/timeseries/CUSR0000SA0L1E</t>
      </text>
    </comment>
    <comment ref="KE1" authorId="0" shapeId="0">
      <text>
        <t>Source: BLS page, 2026-10-24, https://data.bls.gov/timeseries/CUSR0000SA0L2</t>
      </text>
    </comment>
    <comment ref="KF1" authorId="0" shapeId="0">
      <text>
        <t>Source: BLS page, 2026-10-24, https://data.bls.gov/timeseries/CUSR0000SA0L12</t>
      </text>
    </comment>
    <comment ref="KG1" authorId="0" shapeId="0">
      <text>
        <t>Source: BLS page, 2026-10-24, https://data.bls.gov/timeseries/CUSR0000SA0L12E</t>
      </text>
    </comment>
    <comment ref="KH1" authorId="0" shapeId="0">
      <text>
        <t>Source: BLS page, 2026-10-24, https://data.bls.gov/timeseries/CUSR0000SA0L12E4</t>
      </text>
    </comment>
    <comment ref="KI1" authorId="0" shapeId="0">
      <text>
        <t>Source: BLS page, 2026-10-24, https://data.bls.gov/timeseries/CUSR0000SA311</t>
      </text>
    </comment>
    <comment ref="KJ1" authorId="0" shapeId="0">
      <text>
        <t>Source: BLS page, 2026-10-24, https://data.bls.gov/timeseries/CUSR0000SAC</t>
      </text>
    </comment>
    <comment ref="KK1" authorId="0" shapeId="0">
      <text>
        <t>Source: BLS page, 2026-10-24, https://data.bls.gov/timeseries/CUSR0000SACL1</t>
      </text>
    </comment>
    <comment ref="KL1" authorId="0" shapeId="0">
      <text>
        <t>Source: BLS page, 2026-10-24, https://data.bls.gov/timeseries/CUSR0000SACL11</t>
      </text>
    </comment>
    <comment ref="KM1" authorId="0" shapeId="0">
      <text>
        <t>Source: BLS page, 2026-10-24, https://data.bls.gov/timeseries/CUSR0000SACL1E</t>
      </text>
    </comment>
    <comment ref="KN1" authorId="0" shapeId="0">
      <text>
        <t>Source: BLS page, 2026-10-24, https://data.bls.gov/timeseries/CUSR0000SACL1E4</t>
      </text>
    </comment>
    <comment ref="KO1" authorId="0" shapeId="0">
      <text>
        <t>Source: BLS page, 2026-10-24, https://data.bls.gov/timeseries/CUSR0000SAN1D</t>
      </text>
    </comment>
    <comment ref="KP1" authorId="0" shapeId="0">
      <text>
        <t>Source: BLS page, 2026-10-24, https://data.bls.gov/timeseries/CUSR0000SAD</t>
      </text>
    </comment>
    <comment ref="KQ1" authorId="0" shapeId="0">
      <text>
        <t>Source: BLS page, 2026-10-24, https://data.bls.gov/timeseries/CUSR0000SAEC</t>
      </text>
    </comment>
    <comment ref="KR1" authorId="0" shapeId="0">
      <text>
        <t>Source: BLS page, 2026-10-24, https://data.bls.gov/timeseries/CUSR0000SAES</t>
      </text>
    </comment>
    <comment ref="KS1" authorId="0" shapeId="0">
      <text>
        <t>Source: BLS page, 2026-10-24, https://data.bls.gov/timeseries/CUSR0000SA0E</t>
      </text>
    </comment>
    <comment ref="KT1" authorId="0" shapeId="0">
      <text>
        <t>Source: BLS page, 2026-10-24, https://data.bls.gov/timeseries/CUSR0000SACE</t>
      </text>
    </comment>
    <comment ref="KU1" authorId="0" shapeId="0">
      <text>
        <t>Source: BLS page, 2026-10-24, https://data.bls.gov/timeseries/CUSR0000SAH31</t>
      </text>
    </comment>
    <comment ref="KV1" authorId="0" shapeId="0">
      <text>
        <t>Source: BLS page, 2026-10-24, https://data.bls.gov/timeseries/CUSR0000SEEEC</t>
      </text>
    </comment>
    <comment ref="KW1" authorId="0" shapeId="0">
      <text>
        <t>Source: BLS page, 2026-10-24, https://data.bls.gov/timeseries/CUSR0000SAN</t>
      </text>
    </comment>
    <comment ref="KX1" authorId="0" shapeId="0">
      <text>
        <t>Source: BLS page, 2026-10-24, https://data.bls.gov/timeseries/CUSR0000SANL1</t>
      </text>
    </comment>
    <comment ref="KY1" authorId="0" shapeId="0">
      <text>
        <t>Source: BLS page, 2026-10-24, https://data.bls.gov/timeseries/CUSR0000SANL13</t>
      </text>
    </comment>
    <comment ref="KZ1" authorId="0" shapeId="0">
      <text>
        <t>Source: BLS page, 2026-10-24, https://data.bls.gov/timeseries/CUSR0000SANL11</t>
      </text>
    </comment>
    <comment ref="LA1" authorId="0" shapeId="0">
      <text>
        <t>Source: BLS page, 2026-10-24, https://data.bls.gov/timeseries/CUSR0000SANL113</t>
      </text>
    </comment>
    <comment ref="LB1" authorId="0" shapeId="0">
      <text>
        <t>Source: BLS page, 2026-10-24, https://data.bls.gov/timeseries/CUSR0000SAGC</t>
      </text>
    </comment>
    <comment ref="LC1" authorId="0" shapeId="0">
      <text>
        <t>Source: BLS page, 2026-10-24, https://data.bls.gov/timeseries/CUSR0000SAS367</t>
      </text>
    </comment>
    <comment ref="LD1" authorId="0" shapeId="0">
      <text>
        <t>Source: BLS page, 2026-10-24, https://data.bls.gov/timeseries/CUSR0000SARC</t>
      </text>
    </comment>
    <comment ref="LE1" authorId="0" shapeId="0">
      <text>
        <t>Source: BLS page, 2026-10-24, https://data.bls.gov/timeseries/CUSR0000SARS</t>
      </text>
    </comment>
    <comment ref="LF1" authorId="0" shapeId="0">
      <text>
        <t>Source: BLS page, 2026-10-24, https://data.bls.gov/timeseries/CUSR0000SAS2RS</t>
      </text>
    </comment>
    <comment ref="LG1" authorId="0" shapeId="0">
      <text>
        <t>Source: BLS page, 2026-10-24, https://data.bls.gov/timeseries/CUSR0000SAS</t>
      </text>
    </comment>
    <comment ref="LH1" authorId="0" shapeId="0">
      <text>
        <t>Source: BLS page, 2026-10-24, https://data.bls.gov/timeseries/CUSR0000SASLE</t>
      </text>
    </comment>
    <comment ref="LI1" authorId="0" shapeId="0">
      <text>
        <t>Source: BLS page, 2026-10-24, https://data.bls.gov/timeseries/CUSR0000SASL5</t>
      </text>
    </comment>
    <comment ref="LJ1" authorId="0" shapeId="0">
      <text>
        <t>Source: BLS page, 2026-10-24, https://data.bls.gov/timeseries/CUSR0000SASL2RS</t>
      </text>
    </comment>
    <comment ref="LK1" authorId="0" shapeId="0">
      <text>
        <t>Source: BLS page, 2026-10-24, https://data.bls.gov/timeseries/CUSR0000SATCLTB</t>
      </text>
    </comment>
    <comment ref="LL1" authorId="0" shapeId="0">
      <text>
        <t>Source: BLS page, 2026-10-24, https://data.bls.gov/timeseries/CUSR0000SAS4</t>
      </text>
    </comment>
    <comment ref="LM1" authorId="0" shapeId="0">
      <text>
        <t>Source: BLS page, 2026-10-24, https://data.bls.gov/timeseries/CUSR0000SAS24</t>
      </text>
    </comment>
    <comment ref="LN1" authorId="0" shapeId="0">
      <text>
        <t>Source: BLS page, 2026-10-24, https://data.bls.gov/timeseries/CUSR0000SERAC</t>
      </text>
    </comment>
    <comment ref="LO1" authorId="0" shapeId="0">
      <text>
        <t>Source: BLS page, 2026-10-24, https://data.bls.gov/timeseries/CUSR0000SERAS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i.bls.gov/publicAPI/v2/timeseries/data/" TargetMode="External" Id="rId1"/><Relationship Type="http://schemas.openxmlformats.org/officeDocument/2006/relationships/hyperlink" Target="https://data.bls.gov/registrationEngine/" TargetMode="External" Id="rId2"/><Relationship Type="http://schemas.openxmlformats.org/officeDocument/2006/relationships/hyperlink" Target="https://download.bls.gov/pub/time.series/cu/" TargetMode="External" Id="rId3"/><Relationship Type="http://schemas.openxmlformats.org/officeDocument/2006/relationships/hyperlink" Target="https://download.bls.gov/pub/time.series/cu/cu.item" TargetMode="External" Id="rId4"/><Relationship Type="http://schemas.openxmlformats.org/officeDocument/2006/relationships/hyperlink" Target="https://download.bls.gov/pub/time.series/cu/cu.series" TargetMode="External" Id="rId5"/><Relationship Type="http://schemas.openxmlformats.org/officeDocument/2006/relationships/hyperlink" Target="https://download.bls.gov/pub/time.series/cu/cu.data.0.Current" TargetMode="External" Id="rId6"/><Relationship Type="http://schemas.openxmlformats.org/officeDocument/2006/relationships/hyperlink" Target="https://www.bls.gov/cpi/tables/relative-importance/" TargetMode="External" Id="rId7"/><Relationship Type="http://schemas.openxmlformats.org/officeDocument/2006/relationships/hyperlink" Target="https://www.bls.gov/web/cpi/cpi-relative-importance.xlsx" TargetMode="External" Id="rId8"/><Relationship Type="http://schemas.openxmlformats.org/officeDocument/2006/relationships/hyperlink" Target="https://www.bls.gov/news.release/cpi.nr0.htm" TargetMode="External" Id="rId9"/><Relationship Type="http://schemas.openxmlformats.org/officeDocument/2006/relationships/hyperlink" Target="https://www.bls.gov/news.release/cpi.t01.htm" TargetMode="External" Id="rId10"/><Relationship Type="http://schemas.openxmlformats.org/officeDocument/2006/relationships/hyperlink" Target="https://www.bls.gov/news.release/cpi.t02.htm" TargetMode="External" Id="rId11"/><Relationship Type="http://schemas.openxmlformats.org/officeDocument/2006/relationships/hyperlink" Target="https://www.bls.gov/web/cpi.supp.toc.htm" TargetMode="External" Id="rId12"/><Relationship Type="http://schemas.openxmlformats.org/officeDocument/2006/relationships/hyperlink" Target="https://www.bls.gov/schedule/news_release/cpi.htm" TargetMode="External" Id="rId13"/><Relationship Type="http://schemas.openxmlformats.org/officeDocument/2006/relationships/hyperlink" Target="https://www.bls.gov/opub/hom/cpi/design.htm" TargetMode="External" Id="rId14"/><Relationship Type="http://schemas.openxmlformats.org/officeDocument/2006/relationships/hyperlink" Target="https://www.bls.gov/opub/hom/cpi/data.htm" TargetMode="External" Id="rId15"/><Relationship Type="http://schemas.openxmlformats.org/officeDocument/2006/relationships/hyperlink" Target="https://www.bls.gov/opub/hom/cpi/calculation.htm" TargetMode="External" Id="rId16"/><Relationship Type="http://schemas.openxmlformats.org/officeDocument/2006/relationships/hyperlink" Target="https://www.bls.gov/cpi/factsheets/" TargetMode="External" Id="rId17"/><Relationship Type="http://schemas.openxmlformats.org/officeDocument/2006/relationships/hyperlink" Target="https://www.bls.gov/cpi/quality-adjustment/" TargetMode="External" Id="rId18"/><Relationship Type="http://schemas.openxmlformats.org/officeDocument/2006/relationships/hyperlink" Target="https://www.bls.gov/cpi/seasonal-adjustment/" TargetMode="External" Id="rId19"/><Relationship Type="http://schemas.openxmlformats.org/officeDocument/2006/relationships/hyperlink" Target="https://www.bls.gov/cpi/tables/relative-importance/weight-update-comparison-2026.htm" TargetMode="External" Id="rId20"/><Relationship Type="http://schemas.openxmlformats.org/officeDocument/2006/relationships/hyperlink" Target="https://www.bls.gov/cpi/tables/consumer-expenditure/cost-weights.htm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bls.gov/cpi/factsheets/" TargetMode="External" Id="rId1"/><Relationship Type="http://schemas.openxmlformats.org/officeDocument/2006/relationships/hyperlink" Target="https://www.bls.gov/opub/hom/cpi/calculation.htm" TargetMode="External" Id="rId2"/><Relationship Type="http://schemas.openxmlformats.org/officeDocument/2006/relationships/hyperlink" Target="https://data.bls.gov/timeseries/CUUR0000SA0" TargetMode="External" Id="rId3"/><Relationship Type="http://schemas.openxmlformats.org/officeDocument/2006/relationships/hyperlink" Target="https://data.bls.gov/timeseries/CUSR0000SA0" TargetMode="External" Id="rId4"/><Relationship Type="http://schemas.openxmlformats.org/officeDocument/2006/relationships/hyperlink" Target="https://www.bls.gov/cpi/factsheets/" TargetMode="External" Id="rId5"/><Relationship Type="http://schemas.openxmlformats.org/officeDocument/2006/relationships/hyperlink" Target="https://www.bls.gov/opub/hom/cpi/calculation.htm" TargetMode="External" Id="rId6"/><Relationship Type="http://schemas.openxmlformats.org/officeDocument/2006/relationships/hyperlink" Target="https://data.bls.gov/timeseries/CUUR0000AA0" TargetMode="External" Id="rId7"/><Relationship Type="http://schemas.openxmlformats.org/officeDocument/2006/relationships/hyperlink" Target="https://www.bls.gov/cpi/factsheets/" TargetMode="External" Id="rId8"/><Relationship Type="http://schemas.openxmlformats.org/officeDocument/2006/relationships/hyperlink" Target="https://www.bls.gov/opub/hom/cpi/calculation.htm" TargetMode="External" Id="rId9"/><Relationship Type="http://schemas.openxmlformats.org/officeDocument/2006/relationships/hyperlink" Target="https://data.bls.gov/timeseries/CUUR0000SAF" TargetMode="External" Id="rId10"/><Relationship Type="http://schemas.openxmlformats.org/officeDocument/2006/relationships/hyperlink" Target="https://data.bls.gov/timeseries/CUSR0000SAF" TargetMode="External" Id="rId11"/><Relationship Type="http://schemas.openxmlformats.org/officeDocument/2006/relationships/hyperlink" Target="https://www.bls.gov/cpi/factsheets/" TargetMode="External" Id="rId12"/><Relationship Type="http://schemas.openxmlformats.org/officeDocument/2006/relationships/hyperlink" Target="https://www.bls.gov/opub/hom/cpi/calculation.htm" TargetMode="External" Id="rId13"/><Relationship Type="http://schemas.openxmlformats.org/officeDocument/2006/relationships/hyperlink" Target="https://data.bls.gov/timeseries/CUUR0000SAF1" TargetMode="External" Id="rId14"/><Relationship Type="http://schemas.openxmlformats.org/officeDocument/2006/relationships/hyperlink" Target="https://data.bls.gov/timeseries/CUSR0000SAF1" TargetMode="External" Id="rId15"/><Relationship Type="http://schemas.openxmlformats.org/officeDocument/2006/relationships/hyperlink" Target="https://www.bls.gov/cpi/factsheets/average-food-prices.htm" TargetMode="External" Id="rId16"/><Relationship Type="http://schemas.openxmlformats.org/officeDocument/2006/relationships/hyperlink" Target="https://www.bls.gov/opub/hom/cpi/calculation.htm" TargetMode="External" Id="rId17"/><Relationship Type="http://schemas.openxmlformats.org/officeDocument/2006/relationships/hyperlink" Target="https://data.bls.gov/timeseries/CUUR0000SAF11" TargetMode="External" Id="rId18"/><Relationship Type="http://schemas.openxmlformats.org/officeDocument/2006/relationships/hyperlink" Target="https://data.bls.gov/timeseries/CUSR0000SAF11" TargetMode="External" Id="rId19"/><Relationship Type="http://schemas.openxmlformats.org/officeDocument/2006/relationships/hyperlink" Target="https://www.bls.gov/cpi/factsheets/" TargetMode="External" Id="rId20"/><Relationship Type="http://schemas.openxmlformats.org/officeDocument/2006/relationships/hyperlink" Target="https://www.bls.gov/opub/hom/cpi/calculation.htm" TargetMode="External" Id="rId21"/><Relationship Type="http://schemas.openxmlformats.org/officeDocument/2006/relationships/hyperlink" Target="https://data.bls.gov/timeseries/CUUR0000SAF111" TargetMode="External" Id="rId22"/><Relationship Type="http://schemas.openxmlformats.org/officeDocument/2006/relationships/hyperlink" Target="https://data.bls.gov/timeseries/CUSR0000SAF111" TargetMode="External" Id="rId23"/><Relationship Type="http://schemas.openxmlformats.org/officeDocument/2006/relationships/hyperlink" Target="https://www.bls.gov/cpi/factsheets/" TargetMode="External" Id="rId24"/><Relationship Type="http://schemas.openxmlformats.org/officeDocument/2006/relationships/hyperlink" Target="https://www.bls.gov/opub/hom/cpi/calculation.htm" TargetMode="External" Id="rId25"/><Relationship Type="http://schemas.openxmlformats.org/officeDocument/2006/relationships/hyperlink" Target="https://data.bls.gov/timeseries/CUUR0000SEFA" TargetMode="External" Id="rId26"/><Relationship Type="http://schemas.openxmlformats.org/officeDocument/2006/relationships/hyperlink" Target="https://data.bls.gov/timeseries/CUSR0000SEFA" TargetMode="External" Id="rId27"/><Relationship Type="http://schemas.openxmlformats.org/officeDocument/2006/relationships/hyperlink" Target="https://www.bls.gov/cpi/factsheets/" TargetMode="External" Id="rId28"/><Relationship Type="http://schemas.openxmlformats.org/officeDocument/2006/relationships/hyperlink" Target="https://www.bls.gov/opub/hom/cpi/calculation.htm" TargetMode="External" Id="rId29"/><Relationship Type="http://schemas.openxmlformats.org/officeDocument/2006/relationships/hyperlink" Target="https://data.bls.gov/timeseries/CUUR0000SEFA01" TargetMode="External" Id="rId30"/><Relationship Type="http://schemas.openxmlformats.org/officeDocument/2006/relationships/hyperlink" Target="https://data.bls.gov/timeseries/CUSR0000SEFA01" TargetMode="External" Id="rId31"/><Relationship Type="http://schemas.openxmlformats.org/officeDocument/2006/relationships/hyperlink" Target="https://www.bls.gov/cpi/factsheets/" TargetMode="External" Id="rId32"/><Relationship Type="http://schemas.openxmlformats.org/officeDocument/2006/relationships/hyperlink" Target="https://www.bls.gov/opub/hom/cpi/calculation.htm" TargetMode="External" Id="rId33"/><Relationship Type="http://schemas.openxmlformats.org/officeDocument/2006/relationships/hyperlink" Target="https://data.bls.gov/timeseries/CUUR0000SEFA02" TargetMode="External" Id="rId34"/><Relationship Type="http://schemas.openxmlformats.org/officeDocument/2006/relationships/hyperlink" Target="https://data.bls.gov/timeseries/CUSR0000SEFA02" TargetMode="External" Id="rId35"/><Relationship Type="http://schemas.openxmlformats.org/officeDocument/2006/relationships/hyperlink" Target="https://www.bls.gov/cpi/factsheets/" TargetMode="External" Id="rId36"/><Relationship Type="http://schemas.openxmlformats.org/officeDocument/2006/relationships/hyperlink" Target="https://www.bls.gov/opub/hom/cpi/calculation.htm" TargetMode="External" Id="rId37"/><Relationship Type="http://schemas.openxmlformats.org/officeDocument/2006/relationships/hyperlink" Target="https://data.bls.gov/timeseries/CUUR0000SEFA03" TargetMode="External" Id="rId38"/><Relationship Type="http://schemas.openxmlformats.org/officeDocument/2006/relationships/hyperlink" Target="https://data.bls.gov/timeseries/CUSR0000SEFA03" TargetMode="External" Id="rId39"/><Relationship Type="http://schemas.openxmlformats.org/officeDocument/2006/relationships/hyperlink" Target="https://www.bls.gov/cpi/factsheets/" TargetMode="External" Id="rId40"/><Relationship Type="http://schemas.openxmlformats.org/officeDocument/2006/relationships/hyperlink" Target="https://www.bls.gov/opub/hom/cpi/calculation.htm" TargetMode="External" Id="rId41"/><Relationship Type="http://schemas.openxmlformats.org/officeDocument/2006/relationships/hyperlink" Target="https://data.bls.gov/timeseries/CUUR0000SS01031" TargetMode="External" Id="rId42"/><Relationship Type="http://schemas.openxmlformats.org/officeDocument/2006/relationships/hyperlink" Target="https://www.bls.gov/cpi/factsheets/" TargetMode="External" Id="rId43"/><Relationship Type="http://schemas.openxmlformats.org/officeDocument/2006/relationships/hyperlink" Target="https://www.bls.gov/opub/hom/cpi/calculation.htm" TargetMode="External" Id="rId44"/><Relationship Type="http://schemas.openxmlformats.org/officeDocument/2006/relationships/hyperlink" Target="https://data.bls.gov/timeseries/CUUR0000SEFB" TargetMode="External" Id="rId45"/><Relationship Type="http://schemas.openxmlformats.org/officeDocument/2006/relationships/hyperlink" Target="https://data.bls.gov/timeseries/CUSR0000SEFB" TargetMode="External" Id="rId46"/><Relationship Type="http://schemas.openxmlformats.org/officeDocument/2006/relationships/hyperlink" Target="https://www.bls.gov/cpi/factsheets/" TargetMode="External" Id="rId47"/><Relationship Type="http://schemas.openxmlformats.org/officeDocument/2006/relationships/hyperlink" Target="https://www.bls.gov/opub/hom/cpi/calculation.htm" TargetMode="External" Id="rId48"/><Relationship Type="http://schemas.openxmlformats.org/officeDocument/2006/relationships/hyperlink" Target="https://data.bls.gov/timeseries/CUUR0000SEFB01" TargetMode="External" Id="rId49"/><Relationship Type="http://schemas.openxmlformats.org/officeDocument/2006/relationships/hyperlink" Target="https://data.bls.gov/timeseries/CUSR0000SEFB01" TargetMode="External" Id="rId50"/><Relationship Type="http://schemas.openxmlformats.org/officeDocument/2006/relationships/hyperlink" Target="https://www.bls.gov/cpi/factsheets/" TargetMode="External" Id="rId51"/><Relationship Type="http://schemas.openxmlformats.org/officeDocument/2006/relationships/hyperlink" Target="https://www.bls.gov/opub/hom/cpi/calculation.htm" TargetMode="External" Id="rId52"/><Relationship Type="http://schemas.openxmlformats.org/officeDocument/2006/relationships/hyperlink" Target="https://data.bls.gov/timeseries/CUUR0000SS02011" TargetMode="External" Id="rId53"/><Relationship Type="http://schemas.openxmlformats.org/officeDocument/2006/relationships/hyperlink" Target="https://www.bls.gov/cpi/factsheets/" TargetMode="External" Id="rId54"/><Relationship Type="http://schemas.openxmlformats.org/officeDocument/2006/relationships/hyperlink" Target="https://www.bls.gov/opub/hom/cpi/calculation.htm" TargetMode="External" Id="rId55"/><Relationship Type="http://schemas.openxmlformats.org/officeDocument/2006/relationships/hyperlink" Target="https://data.bls.gov/timeseries/CUUR0000SS02021" TargetMode="External" Id="rId56"/><Relationship Type="http://schemas.openxmlformats.org/officeDocument/2006/relationships/hyperlink" Target="https://www.bls.gov/cpi/factsheets/" TargetMode="External" Id="rId57"/><Relationship Type="http://schemas.openxmlformats.org/officeDocument/2006/relationships/hyperlink" Target="https://www.bls.gov/opub/hom/cpi/calculation.htm" TargetMode="External" Id="rId58"/><Relationship Type="http://schemas.openxmlformats.org/officeDocument/2006/relationships/hyperlink" Target="https://data.bls.gov/timeseries/CUUR0000SEFB02" TargetMode="External" Id="rId59"/><Relationship Type="http://schemas.openxmlformats.org/officeDocument/2006/relationships/hyperlink" Target="https://data.bls.gov/timeseries/CUSR0000SEFB02" TargetMode="External" Id="rId60"/><Relationship Type="http://schemas.openxmlformats.org/officeDocument/2006/relationships/hyperlink" Target="https://www.bls.gov/cpi/factsheets/" TargetMode="External" Id="rId61"/><Relationship Type="http://schemas.openxmlformats.org/officeDocument/2006/relationships/hyperlink" Target="https://www.bls.gov/opub/hom/cpi/calculation.htm" TargetMode="External" Id="rId62"/><Relationship Type="http://schemas.openxmlformats.org/officeDocument/2006/relationships/hyperlink" Target="https://data.bls.gov/timeseries/CUUR0000SEFB03" TargetMode="External" Id="rId63"/><Relationship Type="http://schemas.openxmlformats.org/officeDocument/2006/relationships/hyperlink" Target="https://data.bls.gov/timeseries/CUSR0000SEFB03" TargetMode="External" Id="rId64"/><Relationship Type="http://schemas.openxmlformats.org/officeDocument/2006/relationships/hyperlink" Target="https://www.bls.gov/cpi/factsheets/" TargetMode="External" Id="rId65"/><Relationship Type="http://schemas.openxmlformats.org/officeDocument/2006/relationships/hyperlink" Target="https://www.bls.gov/opub/hom/cpi/calculation.htm" TargetMode="External" Id="rId66"/><Relationship Type="http://schemas.openxmlformats.org/officeDocument/2006/relationships/hyperlink" Target="https://data.bls.gov/timeseries/CUUR0000SS02041" TargetMode="External" Id="rId67"/><Relationship Type="http://schemas.openxmlformats.org/officeDocument/2006/relationships/hyperlink" Target="https://www.bls.gov/cpi/factsheets/" TargetMode="External" Id="rId68"/><Relationship Type="http://schemas.openxmlformats.org/officeDocument/2006/relationships/hyperlink" Target="https://www.bls.gov/opub/hom/cpi/calculation.htm" TargetMode="External" Id="rId69"/><Relationship Type="http://schemas.openxmlformats.org/officeDocument/2006/relationships/hyperlink" Target="https://data.bls.gov/timeseries/CUUR0000SS02042" TargetMode="External" Id="rId70"/><Relationship Type="http://schemas.openxmlformats.org/officeDocument/2006/relationships/hyperlink" Target="https://data.bls.gov/timeseries/CUSR0000SS02042" TargetMode="External" Id="rId71"/><Relationship Type="http://schemas.openxmlformats.org/officeDocument/2006/relationships/hyperlink" Target="https://www.bls.gov/cpi/factsheets/" TargetMode="External" Id="rId72"/><Relationship Type="http://schemas.openxmlformats.org/officeDocument/2006/relationships/hyperlink" Target="https://www.bls.gov/opub/hom/cpi/calculation.htm" TargetMode="External" Id="rId73"/><Relationship Type="http://schemas.openxmlformats.org/officeDocument/2006/relationships/hyperlink" Target="https://data.bls.gov/timeseries/CUUR0000SEFB04" TargetMode="External" Id="rId74"/><Relationship Type="http://schemas.openxmlformats.org/officeDocument/2006/relationships/hyperlink" Target="https://data.bls.gov/timeseries/CUSR0000SEFB04" TargetMode="External" Id="rId75"/><Relationship Type="http://schemas.openxmlformats.org/officeDocument/2006/relationships/hyperlink" Target="https://www.bls.gov/cpi/factsheets/" TargetMode="External" Id="rId76"/><Relationship Type="http://schemas.openxmlformats.org/officeDocument/2006/relationships/hyperlink" Target="https://www.bls.gov/opub/hom/cpi/calculation.htm" TargetMode="External" Id="rId77"/><Relationship Type="http://schemas.openxmlformats.org/officeDocument/2006/relationships/hyperlink" Target="https://data.bls.gov/timeseries/CUUR0000SS02063" TargetMode="External" Id="rId78"/><Relationship Type="http://schemas.openxmlformats.org/officeDocument/2006/relationships/hyperlink" Target="https://www.bls.gov/cpi/factsheets/" TargetMode="External" Id="rId79"/><Relationship Type="http://schemas.openxmlformats.org/officeDocument/2006/relationships/hyperlink" Target="https://www.bls.gov/opub/hom/cpi/calculation.htm" TargetMode="External" Id="rId80"/><Relationship Type="http://schemas.openxmlformats.org/officeDocument/2006/relationships/hyperlink" Target="https://data.bls.gov/timeseries/CUUR0000SS0206A" TargetMode="External" Id="rId81"/><Relationship Type="http://schemas.openxmlformats.org/officeDocument/2006/relationships/hyperlink" Target="https://data.bls.gov/timeseries/CUSR0000SS0206A" TargetMode="External" Id="rId82"/><Relationship Type="http://schemas.openxmlformats.org/officeDocument/2006/relationships/hyperlink" Target="https://www.bls.gov/cpi/factsheets/" TargetMode="External" Id="rId83"/><Relationship Type="http://schemas.openxmlformats.org/officeDocument/2006/relationships/hyperlink" Target="https://www.bls.gov/opub/hom/cpi/calculation.htm" TargetMode="External" Id="rId84"/><Relationship Type="http://schemas.openxmlformats.org/officeDocument/2006/relationships/hyperlink" Target="https://data.bls.gov/timeseries/CUUR0000SS0206B" TargetMode="External" Id="rId85"/><Relationship Type="http://schemas.openxmlformats.org/officeDocument/2006/relationships/hyperlink" Target="https://data.bls.gov/timeseries/CUSR0000SS0206B" TargetMode="External" Id="rId86"/><Relationship Type="http://schemas.openxmlformats.org/officeDocument/2006/relationships/hyperlink" Target="https://www.bls.gov/cpi/factsheets/" TargetMode="External" Id="rId87"/><Relationship Type="http://schemas.openxmlformats.org/officeDocument/2006/relationships/hyperlink" Target="https://www.bls.gov/opub/hom/cpi/calculation.htm" TargetMode="External" Id="rId88"/><Relationship Type="http://schemas.openxmlformats.org/officeDocument/2006/relationships/hyperlink" Target="https://data.bls.gov/timeseries/CUUR0000SAF112" TargetMode="External" Id="rId89"/><Relationship Type="http://schemas.openxmlformats.org/officeDocument/2006/relationships/hyperlink" Target="https://data.bls.gov/timeseries/CUSR0000SAF112" TargetMode="External" Id="rId90"/><Relationship Type="http://schemas.openxmlformats.org/officeDocument/2006/relationships/hyperlink" Target="https://www.bls.gov/cpi/factsheets/" TargetMode="External" Id="rId91"/><Relationship Type="http://schemas.openxmlformats.org/officeDocument/2006/relationships/hyperlink" Target="https://www.bls.gov/opub/hom/cpi/calculation.htm" TargetMode="External" Id="rId92"/><Relationship Type="http://schemas.openxmlformats.org/officeDocument/2006/relationships/hyperlink" Target="https://data.bls.gov/timeseries/CUUR0000SAF1121" TargetMode="External" Id="rId93"/><Relationship Type="http://schemas.openxmlformats.org/officeDocument/2006/relationships/hyperlink" Target="https://data.bls.gov/timeseries/CUSR0000SAF1121" TargetMode="External" Id="rId94"/><Relationship Type="http://schemas.openxmlformats.org/officeDocument/2006/relationships/hyperlink" Target="https://www.bls.gov/cpi/factsheets/" TargetMode="External" Id="rId95"/><Relationship Type="http://schemas.openxmlformats.org/officeDocument/2006/relationships/hyperlink" Target="https://www.bls.gov/opub/hom/cpi/calculation.htm" TargetMode="External" Id="rId96"/><Relationship Type="http://schemas.openxmlformats.org/officeDocument/2006/relationships/hyperlink" Target="https://data.bls.gov/timeseries/CUUR0000SAF11211" TargetMode="External" Id="rId97"/><Relationship Type="http://schemas.openxmlformats.org/officeDocument/2006/relationships/hyperlink" Target="https://data.bls.gov/timeseries/CUSR0000SAF11211" TargetMode="External" Id="rId98"/><Relationship Type="http://schemas.openxmlformats.org/officeDocument/2006/relationships/hyperlink" Target="https://www.bls.gov/cpi/factsheets/" TargetMode="External" Id="rId99"/><Relationship Type="http://schemas.openxmlformats.org/officeDocument/2006/relationships/hyperlink" Target="https://www.bls.gov/opub/hom/cpi/calculation.htm" TargetMode="External" Id="rId100"/><Relationship Type="http://schemas.openxmlformats.org/officeDocument/2006/relationships/hyperlink" Target="https://data.bls.gov/timeseries/CUUR0000SEFC" TargetMode="External" Id="rId101"/><Relationship Type="http://schemas.openxmlformats.org/officeDocument/2006/relationships/hyperlink" Target="https://data.bls.gov/timeseries/CUSR0000SEFC" TargetMode="External" Id="rId102"/><Relationship Type="http://schemas.openxmlformats.org/officeDocument/2006/relationships/hyperlink" Target="https://www.bls.gov/cpi/factsheets/" TargetMode="External" Id="rId103"/><Relationship Type="http://schemas.openxmlformats.org/officeDocument/2006/relationships/hyperlink" Target="https://www.bls.gov/opub/hom/cpi/calculation.htm" TargetMode="External" Id="rId104"/><Relationship Type="http://schemas.openxmlformats.org/officeDocument/2006/relationships/hyperlink" Target="https://data.bls.gov/timeseries/CUUR0000SEFC01" TargetMode="External" Id="rId105"/><Relationship Type="http://schemas.openxmlformats.org/officeDocument/2006/relationships/hyperlink" Target="https://data.bls.gov/timeseries/CUSR0000SEFC01" TargetMode="External" Id="rId106"/><Relationship Type="http://schemas.openxmlformats.org/officeDocument/2006/relationships/hyperlink" Target="https://www.bls.gov/cpi/factsheets/" TargetMode="External" Id="rId107"/><Relationship Type="http://schemas.openxmlformats.org/officeDocument/2006/relationships/hyperlink" Target="https://www.bls.gov/opub/hom/cpi/calculation.htm" TargetMode="External" Id="rId108"/><Relationship Type="http://schemas.openxmlformats.org/officeDocument/2006/relationships/hyperlink" Target="https://data.bls.gov/timeseries/CUUR0000SEFC02" TargetMode="External" Id="rId109"/><Relationship Type="http://schemas.openxmlformats.org/officeDocument/2006/relationships/hyperlink" Target="https://data.bls.gov/timeseries/CUSR0000SEFC02" TargetMode="External" Id="rId110"/><Relationship Type="http://schemas.openxmlformats.org/officeDocument/2006/relationships/hyperlink" Target="https://www.bls.gov/cpi/factsheets/" TargetMode="External" Id="rId111"/><Relationship Type="http://schemas.openxmlformats.org/officeDocument/2006/relationships/hyperlink" Target="https://www.bls.gov/opub/hom/cpi/calculation.htm" TargetMode="External" Id="rId112"/><Relationship Type="http://schemas.openxmlformats.org/officeDocument/2006/relationships/hyperlink" Target="https://data.bls.gov/timeseries/CUUR0000SEFC03" TargetMode="External" Id="rId113"/><Relationship Type="http://schemas.openxmlformats.org/officeDocument/2006/relationships/hyperlink" Target="https://data.bls.gov/timeseries/CUSR0000SEFC03" TargetMode="External" Id="rId114"/><Relationship Type="http://schemas.openxmlformats.org/officeDocument/2006/relationships/hyperlink" Target="https://www.bls.gov/cpi/factsheets/" TargetMode="External" Id="rId115"/><Relationship Type="http://schemas.openxmlformats.org/officeDocument/2006/relationships/hyperlink" Target="https://www.bls.gov/opub/hom/cpi/calculation.htm" TargetMode="External" Id="rId116"/><Relationship Type="http://schemas.openxmlformats.org/officeDocument/2006/relationships/hyperlink" Target="https://data.bls.gov/timeseries/CUUR0000SEFC04" TargetMode="External" Id="rId117"/><Relationship Type="http://schemas.openxmlformats.org/officeDocument/2006/relationships/hyperlink" Target="https://www.bls.gov/cpi/factsheets/" TargetMode="External" Id="rId118"/><Relationship Type="http://schemas.openxmlformats.org/officeDocument/2006/relationships/hyperlink" Target="https://www.bls.gov/opub/hom/cpi/calculation.htm" TargetMode="External" Id="rId119"/><Relationship Type="http://schemas.openxmlformats.org/officeDocument/2006/relationships/hyperlink" Target="https://data.bls.gov/timeseries/CUUR0000SEFD" TargetMode="External" Id="rId120"/><Relationship Type="http://schemas.openxmlformats.org/officeDocument/2006/relationships/hyperlink" Target="https://data.bls.gov/timeseries/CUSR0000SEFD" TargetMode="External" Id="rId121"/><Relationship Type="http://schemas.openxmlformats.org/officeDocument/2006/relationships/hyperlink" Target="https://www.bls.gov/cpi/factsheets/" TargetMode="External" Id="rId122"/><Relationship Type="http://schemas.openxmlformats.org/officeDocument/2006/relationships/hyperlink" Target="https://www.bls.gov/opub/hom/cpi/calculation.htm" TargetMode="External" Id="rId123"/><Relationship Type="http://schemas.openxmlformats.org/officeDocument/2006/relationships/hyperlink" Target="https://data.bls.gov/timeseries/CUUR0000SEFD01" TargetMode="External" Id="rId124"/><Relationship Type="http://schemas.openxmlformats.org/officeDocument/2006/relationships/hyperlink" Target="https://data.bls.gov/timeseries/CUSR0000SEFD01" TargetMode="External" Id="rId125"/><Relationship Type="http://schemas.openxmlformats.org/officeDocument/2006/relationships/hyperlink" Target="https://www.bls.gov/cpi/factsheets/" TargetMode="External" Id="rId126"/><Relationship Type="http://schemas.openxmlformats.org/officeDocument/2006/relationships/hyperlink" Target="https://www.bls.gov/opub/hom/cpi/calculation.htm" TargetMode="External" Id="rId127"/><Relationship Type="http://schemas.openxmlformats.org/officeDocument/2006/relationships/hyperlink" Target="https://data.bls.gov/timeseries/CUUR0000SS04011" TargetMode="External" Id="rId128"/><Relationship Type="http://schemas.openxmlformats.org/officeDocument/2006/relationships/hyperlink" Target="https://data.bls.gov/timeseries/CUSR0000SS04011" TargetMode="External" Id="rId129"/><Relationship Type="http://schemas.openxmlformats.org/officeDocument/2006/relationships/hyperlink" Target="https://www.bls.gov/cpi/factsheets/" TargetMode="External" Id="rId130"/><Relationship Type="http://schemas.openxmlformats.org/officeDocument/2006/relationships/hyperlink" Target="https://www.bls.gov/opub/hom/cpi/calculation.htm" TargetMode="External" Id="rId131"/><Relationship Type="http://schemas.openxmlformats.org/officeDocument/2006/relationships/hyperlink" Target="https://data.bls.gov/timeseries/CUUR0000SS04012" TargetMode="External" Id="rId132"/><Relationship Type="http://schemas.openxmlformats.org/officeDocument/2006/relationships/hyperlink" Target="https://data.bls.gov/timeseries/CUSR0000SS04012" TargetMode="External" Id="rId133"/><Relationship Type="http://schemas.openxmlformats.org/officeDocument/2006/relationships/hyperlink" Target="https://www.bls.gov/cpi/factsheets/" TargetMode="External" Id="rId134"/><Relationship Type="http://schemas.openxmlformats.org/officeDocument/2006/relationships/hyperlink" Target="https://www.bls.gov/opub/hom/cpi/calculation.htm" TargetMode="External" Id="rId135"/><Relationship Type="http://schemas.openxmlformats.org/officeDocument/2006/relationships/hyperlink" Target="https://data.bls.gov/timeseries/CUUR0000SEFD02" TargetMode="External" Id="rId136"/><Relationship Type="http://schemas.openxmlformats.org/officeDocument/2006/relationships/hyperlink" Target="https://data.bls.gov/timeseries/CUSR0000SEFD02" TargetMode="External" Id="rId137"/><Relationship Type="http://schemas.openxmlformats.org/officeDocument/2006/relationships/hyperlink" Target="https://www.bls.gov/cpi/factsheets/" TargetMode="External" Id="rId138"/><Relationship Type="http://schemas.openxmlformats.org/officeDocument/2006/relationships/hyperlink" Target="https://www.bls.gov/opub/hom/cpi/calculation.htm" TargetMode="External" Id="rId139"/><Relationship Type="http://schemas.openxmlformats.org/officeDocument/2006/relationships/hyperlink" Target="https://data.bls.gov/timeseries/CUUR0000SS04031" TargetMode="External" Id="rId140"/><Relationship Type="http://schemas.openxmlformats.org/officeDocument/2006/relationships/hyperlink" Target="https://data.bls.gov/timeseries/CUSR0000SS04031" TargetMode="External" Id="rId141"/><Relationship Type="http://schemas.openxmlformats.org/officeDocument/2006/relationships/hyperlink" Target="https://www.bls.gov/cpi/factsheets/" TargetMode="External" Id="rId142"/><Relationship Type="http://schemas.openxmlformats.org/officeDocument/2006/relationships/hyperlink" Target="https://www.bls.gov/opub/hom/cpi/calculation.htm" TargetMode="External" Id="rId143"/><Relationship Type="http://schemas.openxmlformats.org/officeDocument/2006/relationships/hyperlink" Target="https://data.bls.gov/timeseries/CUUR0000SEFD03" TargetMode="External" Id="rId144"/><Relationship Type="http://schemas.openxmlformats.org/officeDocument/2006/relationships/hyperlink" Target="https://data.bls.gov/timeseries/CUSR0000SEFD03" TargetMode="External" Id="rId145"/><Relationship Type="http://schemas.openxmlformats.org/officeDocument/2006/relationships/hyperlink" Target="https://www.bls.gov/cpi/factsheets/" TargetMode="External" Id="rId146"/><Relationship Type="http://schemas.openxmlformats.org/officeDocument/2006/relationships/hyperlink" Target="https://www.bls.gov/opub/hom/cpi/calculation.htm" TargetMode="External" Id="rId147"/><Relationship Type="http://schemas.openxmlformats.org/officeDocument/2006/relationships/hyperlink" Target="https://data.bls.gov/timeseries/CUUR0000SEFD04" TargetMode="External" Id="rId148"/><Relationship Type="http://schemas.openxmlformats.org/officeDocument/2006/relationships/hyperlink" Target="https://data.bls.gov/timeseries/CUSR0000SEFD04" TargetMode="External" Id="rId149"/><Relationship Type="http://schemas.openxmlformats.org/officeDocument/2006/relationships/hyperlink" Target="https://www.bls.gov/cpi/factsheets/" TargetMode="External" Id="rId150"/><Relationship Type="http://schemas.openxmlformats.org/officeDocument/2006/relationships/hyperlink" Target="https://www.bls.gov/opub/hom/cpi/calculation.htm" TargetMode="External" Id="rId151"/><Relationship Type="http://schemas.openxmlformats.org/officeDocument/2006/relationships/hyperlink" Target="https://data.bls.gov/timeseries/CUUR0000SEFE" TargetMode="External" Id="rId152"/><Relationship Type="http://schemas.openxmlformats.org/officeDocument/2006/relationships/hyperlink" Target="https://data.bls.gov/timeseries/CUSR0000SEFE" TargetMode="External" Id="rId153"/><Relationship Type="http://schemas.openxmlformats.org/officeDocument/2006/relationships/hyperlink" Target="https://www.bls.gov/cpi/factsheets/" TargetMode="External" Id="rId154"/><Relationship Type="http://schemas.openxmlformats.org/officeDocument/2006/relationships/hyperlink" Target="https://www.bls.gov/opub/hom/cpi/calculation.htm" TargetMode="External" Id="rId155"/><Relationship Type="http://schemas.openxmlformats.org/officeDocument/2006/relationships/hyperlink" Target="https://data.bls.gov/timeseries/CUUR0000SS05011" TargetMode="External" Id="rId156"/><Relationship Type="http://schemas.openxmlformats.org/officeDocument/2006/relationships/hyperlink" Target="https://data.bls.gov/timeseries/CUSR0000SS05011" TargetMode="External" Id="rId157"/><Relationship Type="http://schemas.openxmlformats.org/officeDocument/2006/relationships/hyperlink" Target="https://www.bls.gov/cpi/factsheets/" TargetMode="External" Id="rId158"/><Relationship Type="http://schemas.openxmlformats.org/officeDocument/2006/relationships/hyperlink" Target="https://www.bls.gov/opub/hom/cpi/calculation.htm" TargetMode="External" Id="rId159"/><Relationship Type="http://schemas.openxmlformats.org/officeDocument/2006/relationships/hyperlink" Target="https://data.bls.gov/timeseries/CUUR0000SS0501A" TargetMode="External" Id="rId160"/><Relationship Type="http://schemas.openxmlformats.org/officeDocument/2006/relationships/hyperlink" Target="https://data.bls.gov/timeseries/CUSR0000SS0501A" TargetMode="External" Id="rId161"/><Relationship Type="http://schemas.openxmlformats.org/officeDocument/2006/relationships/hyperlink" Target="https://www.bls.gov/cpi/factsheets/" TargetMode="External" Id="rId162"/><Relationship Type="http://schemas.openxmlformats.org/officeDocument/2006/relationships/hyperlink" Target="https://www.bls.gov/opub/hom/cpi/calculation.htm" TargetMode="External" Id="rId163"/><Relationship Type="http://schemas.openxmlformats.org/officeDocument/2006/relationships/hyperlink" Target="https://data.bls.gov/timeseries/CUUR0000SS05014" TargetMode="External" Id="rId164"/><Relationship Type="http://schemas.openxmlformats.org/officeDocument/2006/relationships/hyperlink" Target="https://www.bls.gov/cpi/factsheets/" TargetMode="External" Id="rId165"/><Relationship Type="http://schemas.openxmlformats.org/officeDocument/2006/relationships/hyperlink" Target="https://www.bls.gov/opub/hom/cpi/calculation.htm" TargetMode="External" Id="rId166"/><Relationship Type="http://schemas.openxmlformats.org/officeDocument/2006/relationships/hyperlink" Target="https://data.bls.gov/timeseries/CUUR0000SS05015" TargetMode="External" Id="rId167"/><Relationship Type="http://schemas.openxmlformats.org/officeDocument/2006/relationships/hyperlink" Target="https://www.bls.gov/cpi/factsheets/" TargetMode="External" Id="rId168"/><Relationship Type="http://schemas.openxmlformats.org/officeDocument/2006/relationships/hyperlink" Target="https://www.bls.gov/opub/hom/cpi/calculation.htm" TargetMode="External" Id="rId169"/><Relationship Type="http://schemas.openxmlformats.org/officeDocument/2006/relationships/hyperlink" Target="https://data.bls.gov/timeseries/CUUR0000SEFF" TargetMode="External" Id="rId170"/><Relationship Type="http://schemas.openxmlformats.org/officeDocument/2006/relationships/hyperlink" Target="https://data.bls.gov/timeseries/CUSR0000SEFF" TargetMode="External" Id="rId171"/><Relationship Type="http://schemas.openxmlformats.org/officeDocument/2006/relationships/hyperlink" Target="https://www.bls.gov/cpi/factsheets/" TargetMode="External" Id="rId172"/><Relationship Type="http://schemas.openxmlformats.org/officeDocument/2006/relationships/hyperlink" Target="https://www.bls.gov/opub/hom/cpi/calculation.htm" TargetMode="External" Id="rId173"/><Relationship Type="http://schemas.openxmlformats.org/officeDocument/2006/relationships/hyperlink" Target="https://data.bls.gov/timeseries/CUUR0000SEFF01" TargetMode="External" Id="rId174"/><Relationship Type="http://schemas.openxmlformats.org/officeDocument/2006/relationships/hyperlink" Target="https://data.bls.gov/timeseries/CUSR0000SEFF01" TargetMode="External" Id="rId175"/><Relationship Type="http://schemas.openxmlformats.org/officeDocument/2006/relationships/hyperlink" Target="https://www.bls.gov/cpi/factsheets/" TargetMode="External" Id="rId176"/><Relationship Type="http://schemas.openxmlformats.org/officeDocument/2006/relationships/hyperlink" Target="https://www.bls.gov/opub/hom/cpi/calculation.htm" TargetMode="External" Id="rId177"/><Relationship Type="http://schemas.openxmlformats.org/officeDocument/2006/relationships/hyperlink" Target="https://data.bls.gov/timeseries/CUUR0000SS06011" TargetMode="External" Id="rId178"/><Relationship Type="http://schemas.openxmlformats.org/officeDocument/2006/relationships/hyperlink" Target="https://data.bls.gov/timeseries/CUSR0000SS06011" TargetMode="External" Id="rId179"/><Relationship Type="http://schemas.openxmlformats.org/officeDocument/2006/relationships/hyperlink" Target="https://www.bls.gov/cpi/factsheets/" TargetMode="External" Id="rId180"/><Relationship Type="http://schemas.openxmlformats.org/officeDocument/2006/relationships/hyperlink" Target="https://www.bls.gov/opub/hom/cpi/calculation.htm" TargetMode="External" Id="rId181"/><Relationship Type="http://schemas.openxmlformats.org/officeDocument/2006/relationships/hyperlink" Target="https://data.bls.gov/timeseries/CUUR0000SS06021" TargetMode="External" Id="rId182"/><Relationship Type="http://schemas.openxmlformats.org/officeDocument/2006/relationships/hyperlink" Target="https://data.bls.gov/timeseries/CUSR0000SS06021" TargetMode="External" Id="rId183"/><Relationship Type="http://schemas.openxmlformats.org/officeDocument/2006/relationships/hyperlink" Target="https://www.bls.gov/cpi/factsheets/" TargetMode="External" Id="rId184"/><Relationship Type="http://schemas.openxmlformats.org/officeDocument/2006/relationships/hyperlink" Target="https://www.bls.gov/opub/hom/cpi/calculation.htm" TargetMode="External" Id="rId185"/><Relationship Type="http://schemas.openxmlformats.org/officeDocument/2006/relationships/hyperlink" Target="https://data.bls.gov/timeseries/CUUR0000SEFF02" TargetMode="External" Id="rId186"/><Relationship Type="http://schemas.openxmlformats.org/officeDocument/2006/relationships/hyperlink" Target="https://data.bls.gov/timeseries/CUSR0000SEFF02" TargetMode="External" Id="rId187"/><Relationship Type="http://schemas.openxmlformats.org/officeDocument/2006/relationships/hyperlink" Target="https://www.bls.gov/cpi/factsheets/" TargetMode="External" Id="rId188"/><Relationship Type="http://schemas.openxmlformats.org/officeDocument/2006/relationships/hyperlink" Target="https://www.bls.gov/opub/hom/cpi/calculation.htm" TargetMode="External" Id="rId189"/><Relationship Type="http://schemas.openxmlformats.org/officeDocument/2006/relationships/hyperlink" Target="https://data.bls.gov/timeseries/CUUR0000SEFG" TargetMode="External" Id="rId190"/><Relationship Type="http://schemas.openxmlformats.org/officeDocument/2006/relationships/hyperlink" Target="https://data.bls.gov/timeseries/CUSR0000SEFG" TargetMode="External" Id="rId191"/><Relationship Type="http://schemas.openxmlformats.org/officeDocument/2006/relationships/hyperlink" Target="https://www.bls.gov/cpi/factsheets/" TargetMode="External" Id="rId192"/><Relationship Type="http://schemas.openxmlformats.org/officeDocument/2006/relationships/hyperlink" Target="https://www.bls.gov/opub/hom/cpi/calculation.htm" TargetMode="External" Id="rId193"/><Relationship Type="http://schemas.openxmlformats.org/officeDocument/2006/relationships/hyperlink" Target="https://data.bls.gov/timeseries/CUUR0000SEFG01" TargetMode="External" Id="rId194"/><Relationship Type="http://schemas.openxmlformats.org/officeDocument/2006/relationships/hyperlink" Target="https://data.bls.gov/timeseries/CUSR0000SEFG01" TargetMode="External" Id="rId195"/><Relationship Type="http://schemas.openxmlformats.org/officeDocument/2006/relationships/hyperlink" Target="https://www.bls.gov/cpi/factsheets/" TargetMode="External" Id="rId196"/><Relationship Type="http://schemas.openxmlformats.org/officeDocument/2006/relationships/hyperlink" Target="https://www.bls.gov/opub/hom/cpi/calculation.htm" TargetMode="External" Id="rId197"/><Relationship Type="http://schemas.openxmlformats.org/officeDocument/2006/relationships/hyperlink" Target="https://data.bls.gov/timeseries/CUUR0000SEFG02" TargetMode="External" Id="rId198"/><Relationship Type="http://schemas.openxmlformats.org/officeDocument/2006/relationships/hyperlink" Target="https://data.bls.gov/timeseries/CUSR0000SEFG02" TargetMode="External" Id="rId199"/><Relationship Type="http://schemas.openxmlformats.org/officeDocument/2006/relationships/hyperlink" Target="https://www.bls.gov/cpi/factsheets/" TargetMode="External" Id="rId200"/><Relationship Type="http://schemas.openxmlformats.org/officeDocument/2006/relationships/hyperlink" Target="https://www.bls.gov/opub/hom/cpi/calculation.htm" TargetMode="External" Id="rId201"/><Relationship Type="http://schemas.openxmlformats.org/officeDocument/2006/relationships/hyperlink" Target="https://data.bls.gov/timeseries/CUUR0000SS07011" TargetMode="External" Id="rId202"/><Relationship Type="http://schemas.openxmlformats.org/officeDocument/2006/relationships/hyperlink" Target="https://data.bls.gov/timeseries/CUSR0000SS07011" TargetMode="External" Id="rId203"/><Relationship Type="http://schemas.openxmlformats.org/officeDocument/2006/relationships/hyperlink" Target="https://www.bls.gov/cpi/factsheets/" TargetMode="External" Id="rId204"/><Relationship Type="http://schemas.openxmlformats.org/officeDocument/2006/relationships/hyperlink" Target="https://www.bls.gov/opub/hom/cpi/calculation.htm" TargetMode="External" Id="rId205"/><Relationship Type="http://schemas.openxmlformats.org/officeDocument/2006/relationships/hyperlink" Target="https://data.bls.gov/timeseries/CUUR0000SS07021" TargetMode="External" Id="rId206"/><Relationship Type="http://schemas.openxmlformats.org/officeDocument/2006/relationships/hyperlink" Target="https://data.bls.gov/timeseries/CUSR0000SS07021" TargetMode="External" Id="rId207"/><Relationship Type="http://schemas.openxmlformats.org/officeDocument/2006/relationships/hyperlink" Target="https://www.bls.gov/cpi/factsheets/" TargetMode="External" Id="rId208"/><Relationship Type="http://schemas.openxmlformats.org/officeDocument/2006/relationships/hyperlink" Target="https://www.bls.gov/opub/hom/cpi/calculation.htm" TargetMode="External" Id="rId209"/><Relationship Type="http://schemas.openxmlformats.org/officeDocument/2006/relationships/hyperlink" Target="https://data.bls.gov/timeseries/CUUR0000SEFH" TargetMode="External" Id="rId210"/><Relationship Type="http://schemas.openxmlformats.org/officeDocument/2006/relationships/hyperlink" Target="https://data.bls.gov/timeseries/CUSR0000SEFH" TargetMode="External" Id="rId211"/><Relationship Type="http://schemas.openxmlformats.org/officeDocument/2006/relationships/hyperlink" Target="https://www.bls.gov/cpi/factsheets/" TargetMode="External" Id="rId212"/><Relationship Type="http://schemas.openxmlformats.org/officeDocument/2006/relationships/hyperlink" Target="https://www.bls.gov/opub/hom/cpi/calculation.htm" TargetMode="External" Id="rId213"/><Relationship Type="http://schemas.openxmlformats.org/officeDocument/2006/relationships/hyperlink" Target="https://data.bls.gov/timeseries/CUUR0000SEFJ" TargetMode="External" Id="rId214"/><Relationship Type="http://schemas.openxmlformats.org/officeDocument/2006/relationships/hyperlink" Target="https://data.bls.gov/timeseries/CUSR0000SEFJ" TargetMode="External" Id="rId215"/><Relationship Type="http://schemas.openxmlformats.org/officeDocument/2006/relationships/hyperlink" Target="https://www.bls.gov/cpi/factsheets/" TargetMode="External" Id="rId216"/><Relationship Type="http://schemas.openxmlformats.org/officeDocument/2006/relationships/hyperlink" Target="https://www.bls.gov/opub/hom/cpi/calculation.htm" TargetMode="External" Id="rId217"/><Relationship Type="http://schemas.openxmlformats.org/officeDocument/2006/relationships/hyperlink" Target="https://data.bls.gov/timeseries/CUUR0000SEFJ01" TargetMode="External" Id="rId218"/><Relationship Type="http://schemas.openxmlformats.org/officeDocument/2006/relationships/hyperlink" Target="https://data.bls.gov/timeseries/CUSR0000SEFJ01" TargetMode="External" Id="rId219"/><Relationship Type="http://schemas.openxmlformats.org/officeDocument/2006/relationships/hyperlink" Target="https://www.bls.gov/cpi/factsheets/" TargetMode="External" Id="rId220"/><Relationship Type="http://schemas.openxmlformats.org/officeDocument/2006/relationships/hyperlink" Target="https://www.bls.gov/opub/hom/cpi/calculation.htm" TargetMode="External" Id="rId221"/><Relationship Type="http://schemas.openxmlformats.org/officeDocument/2006/relationships/hyperlink" Target="https://data.bls.gov/timeseries/CUUR0000SS09011" TargetMode="External" Id="rId222"/><Relationship Type="http://schemas.openxmlformats.org/officeDocument/2006/relationships/hyperlink" Target="https://data.bls.gov/timeseries/CUSR0000SS09011" TargetMode="External" Id="rId223"/><Relationship Type="http://schemas.openxmlformats.org/officeDocument/2006/relationships/hyperlink" Target="https://www.bls.gov/cpi/factsheets/" TargetMode="External" Id="rId224"/><Relationship Type="http://schemas.openxmlformats.org/officeDocument/2006/relationships/hyperlink" Target="https://www.bls.gov/opub/hom/cpi/calculation.htm" TargetMode="External" Id="rId225"/><Relationship Type="http://schemas.openxmlformats.org/officeDocument/2006/relationships/hyperlink" Target="https://data.bls.gov/timeseries/CUUR0000SS09021" TargetMode="External" Id="rId226"/><Relationship Type="http://schemas.openxmlformats.org/officeDocument/2006/relationships/hyperlink" Target="https://data.bls.gov/timeseries/CUSR0000SS09021" TargetMode="External" Id="rId227"/><Relationship Type="http://schemas.openxmlformats.org/officeDocument/2006/relationships/hyperlink" Target="https://www.bls.gov/cpi/factsheets/" TargetMode="External" Id="rId228"/><Relationship Type="http://schemas.openxmlformats.org/officeDocument/2006/relationships/hyperlink" Target="https://www.bls.gov/opub/hom/cpi/calculation.htm" TargetMode="External" Id="rId229"/><Relationship Type="http://schemas.openxmlformats.org/officeDocument/2006/relationships/hyperlink" Target="https://data.bls.gov/timeseries/CUUR0000SEFJ02" TargetMode="External" Id="rId230"/><Relationship Type="http://schemas.openxmlformats.org/officeDocument/2006/relationships/hyperlink" Target="https://data.bls.gov/timeseries/CUSR0000SEFJ02" TargetMode="External" Id="rId231"/><Relationship Type="http://schemas.openxmlformats.org/officeDocument/2006/relationships/hyperlink" Target="https://www.bls.gov/cpi/factsheets/" TargetMode="External" Id="rId232"/><Relationship Type="http://schemas.openxmlformats.org/officeDocument/2006/relationships/hyperlink" Target="https://www.bls.gov/opub/hom/cpi/calculation.htm" TargetMode="External" Id="rId233"/><Relationship Type="http://schemas.openxmlformats.org/officeDocument/2006/relationships/hyperlink" Target="https://data.bls.gov/timeseries/CUUR0000SEFJ03" TargetMode="External" Id="rId234"/><Relationship Type="http://schemas.openxmlformats.org/officeDocument/2006/relationships/hyperlink" Target="https://data.bls.gov/timeseries/CUSR0000SEFJ03" TargetMode="External" Id="rId235"/><Relationship Type="http://schemas.openxmlformats.org/officeDocument/2006/relationships/hyperlink" Target="https://www.bls.gov/cpi/factsheets/" TargetMode="External" Id="rId236"/><Relationship Type="http://schemas.openxmlformats.org/officeDocument/2006/relationships/hyperlink" Target="https://www.bls.gov/opub/hom/cpi/calculation.htm" TargetMode="External" Id="rId237"/><Relationship Type="http://schemas.openxmlformats.org/officeDocument/2006/relationships/hyperlink" Target="https://data.bls.gov/timeseries/CUUR0000SEFJ04" TargetMode="External" Id="rId238"/><Relationship Type="http://schemas.openxmlformats.org/officeDocument/2006/relationships/hyperlink" Target="https://data.bls.gov/timeseries/CUSR0000SEFJ04" TargetMode="External" Id="rId239"/><Relationship Type="http://schemas.openxmlformats.org/officeDocument/2006/relationships/hyperlink" Target="https://www.bls.gov/cpi/factsheets/" TargetMode="External" Id="rId240"/><Relationship Type="http://schemas.openxmlformats.org/officeDocument/2006/relationships/hyperlink" Target="https://www.bls.gov/opub/hom/cpi/calculation.htm" TargetMode="External" Id="rId241"/><Relationship Type="http://schemas.openxmlformats.org/officeDocument/2006/relationships/hyperlink" Target="https://data.bls.gov/timeseries/CUUR0000SAF113" TargetMode="External" Id="rId242"/><Relationship Type="http://schemas.openxmlformats.org/officeDocument/2006/relationships/hyperlink" Target="https://data.bls.gov/timeseries/CUSR0000SAF113" TargetMode="External" Id="rId243"/><Relationship Type="http://schemas.openxmlformats.org/officeDocument/2006/relationships/hyperlink" Target="https://www.bls.gov/cpi/factsheets/" TargetMode="External" Id="rId244"/><Relationship Type="http://schemas.openxmlformats.org/officeDocument/2006/relationships/hyperlink" Target="https://www.bls.gov/opub/hom/cpi/calculation.htm" TargetMode="External" Id="rId245"/><Relationship Type="http://schemas.openxmlformats.org/officeDocument/2006/relationships/hyperlink" Target="https://data.bls.gov/timeseries/CUUR0000SAF1131" TargetMode="External" Id="rId246"/><Relationship Type="http://schemas.openxmlformats.org/officeDocument/2006/relationships/hyperlink" Target="https://data.bls.gov/timeseries/CUSR0000SAF1131" TargetMode="External" Id="rId247"/><Relationship Type="http://schemas.openxmlformats.org/officeDocument/2006/relationships/hyperlink" Target="https://www.bls.gov/cpi/factsheets/" TargetMode="External" Id="rId248"/><Relationship Type="http://schemas.openxmlformats.org/officeDocument/2006/relationships/hyperlink" Target="https://www.bls.gov/opub/hom/cpi/calculation.htm" TargetMode="External" Id="rId249"/><Relationship Type="http://schemas.openxmlformats.org/officeDocument/2006/relationships/hyperlink" Target="https://data.bls.gov/timeseries/CUUR0000SEFK" TargetMode="External" Id="rId250"/><Relationship Type="http://schemas.openxmlformats.org/officeDocument/2006/relationships/hyperlink" Target="https://data.bls.gov/timeseries/CUSR0000SEFK" TargetMode="External" Id="rId251"/><Relationship Type="http://schemas.openxmlformats.org/officeDocument/2006/relationships/hyperlink" Target="https://www.bls.gov/cpi/factsheets/" TargetMode="External" Id="rId252"/><Relationship Type="http://schemas.openxmlformats.org/officeDocument/2006/relationships/hyperlink" Target="https://www.bls.gov/opub/hom/cpi/calculation.htm" TargetMode="External" Id="rId253"/><Relationship Type="http://schemas.openxmlformats.org/officeDocument/2006/relationships/hyperlink" Target="https://data.bls.gov/timeseries/CUUR0000SEFK01" TargetMode="External" Id="rId254"/><Relationship Type="http://schemas.openxmlformats.org/officeDocument/2006/relationships/hyperlink" Target="https://data.bls.gov/timeseries/CUSR0000SEFK01" TargetMode="External" Id="rId255"/><Relationship Type="http://schemas.openxmlformats.org/officeDocument/2006/relationships/hyperlink" Target="https://www.bls.gov/cpi/factsheets/" TargetMode="External" Id="rId256"/><Relationship Type="http://schemas.openxmlformats.org/officeDocument/2006/relationships/hyperlink" Target="https://www.bls.gov/opub/hom/cpi/calculation.htm" TargetMode="External" Id="rId257"/><Relationship Type="http://schemas.openxmlformats.org/officeDocument/2006/relationships/hyperlink" Target="https://data.bls.gov/timeseries/CUUR0000SEFK02" TargetMode="External" Id="rId258"/><Relationship Type="http://schemas.openxmlformats.org/officeDocument/2006/relationships/hyperlink" Target="https://data.bls.gov/timeseries/CUSR0000SEFK02" TargetMode="External" Id="rId259"/><Relationship Type="http://schemas.openxmlformats.org/officeDocument/2006/relationships/hyperlink" Target="https://www.bls.gov/cpi/factsheets/" TargetMode="External" Id="rId260"/><Relationship Type="http://schemas.openxmlformats.org/officeDocument/2006/relationships/hyperlink" Target="https://www.bls.gov/opub/hom/cpi/calculation.htm" TargetMode="External" Id="rId261"/><Relationship Type="http://schemas.openxmlformats.org/officeDocument/2006/relationships/hyperlink" Target="https://data.bls.gov/timeseries/CUUR0000SEFK03" TargetMode="External" Id="rId262"/><Relationship Type="http://schemas.openxmlformats.org/officeDocument/2006/relationships/hyperlink" Target="https://data.bls.gov/timeseries/CUSR0000SEFK03" TargetMode="External" Id="rId263"/><Relationship Type="http://schemas.openxmlformats.org/officeDocument/2006/relationships/hyperlink" Target="https://www.bls.gov/cpi/factsheets/" TargetMode="External" Id="rId264"/><Relationship Type="http://schemas.openxmlformats.org/officeDocument/2006/relationships/hyperlink" Target="https://www.bls.gov/opub/hom/cpi/calculation.htm" TargetMode="External" Id="rId265"/><Relationship Type="http://schemas.openxmlformats.org/officeDocument/2006/relationships/hyperlink" Target="https://data.bls.gov/timeseries/CUUR0000SS11031" TargetMode="External" Id="rId266"/><Relationship Type="http://schemas.openxmlformats.org/officeDocument/2006/relationships/hyperlink" Target="https://data.bls.gov/timeseries/CUSR0000SS11031" TargetMode="External" Id="rId267"/><Relationship Type="http://schemas.openxmlformats.org/officeDocument/2006/relationships/hyperlink" Target="https://www.bls.gov/cpi/factsheets/" TargetMode="External" Id="rId268"/><Relationship Type="http://schemas.openxmlformats.org/officeDocument/2006/relationships/hyperlink" Target="https://www.bls.gov/opub/hom/cpi/calculation.htm" TargetMode="External" Id="rId269"/><Relationship Type="http://schemas.openxmlformats.org/officeDocument/2006/relationships/hyperlink" Target="https://data.bls.gov/timeseries/CUUR0000SEFK04" TargetMode="External" Id="rId270"/><Relationship Type="http://schemas.openxmlformats.org/officeDocument/2006/relationships/hyperlink" Target="https://data.bls.gov/timeseries/CUSR0000SEFK04" TargetMode="External" Id="rId271"/><Relationship Type="http://schemas.openxmlformats.org/officeDocument/2006/relationships/hyperlink" Target="https://www.bls.gov/cpi/factsheets/" TargetMode="External" Id="rId272"/><Relationship Type="http://schemas.openxmlformats.org/officeDocument/2006/relationships/hyperlink" Target="https://www.bls.gov/opub/hom/cpi/calculation.htm" TargetMode="External" Id="rId273"/><Relationship Type="http://schemas.openxmlformats.org/officeDocument/2006/relationships/hyperlink" Target="https://data.bls.gov/timeseries/CUUR0000SEFL" TargetMode="External" Id="rId274"/><Relationship Type="http://schemas.openxmlformats.org/officeDocument/2006/relationships/hyperlink" Target="https://data.bls.gov/timeseries/CUSR0000SEFL" TargetMode="External" Id="rId275"/><Relationship Type="http://schemas.openxmlformats.org/officeDocument/2006/relationships/hyperlink" Target="https://www.bls.gov/cpi/factsheets/" TargetMode="External" Id="rId276"/><Relationship Type="http://schemas.openxmlformats.org/officeDocument/2006/relationships/hyperlink" Target="https://www.bls.gov/opub/hom/cpi/calculation.htm" TargetMode="External" Id="rId277"/><Relationship Type="http://schemas.openxmlformats.org/officeDocument/2006/relationships/hyperlink" Target="https://data.bls.gov/timeseries/CUUR0000SEFL01" TargetMode="External" Id="rId278"/><Relationship Type="http://schemas.openxmlformats.org/officeDocument/2006/relationships/hyperlink" Target="https://data.bls.gov/timeseries/CUSR0000SEFL01" TargetMode="External" Id="rId279"/><Relationship Type="http://schemas.openxmlformats.org/officeDocument/2006/relationships/hyperlink" Target="https://www.bls.gov/cpi/factsheets/" TargetMode="External" Id="rId280"/><Relationship Type="http://schemas.openxmlformats.org/officeDocument/2006/relationships/hyperlink" Target="https://www.bls.gov/opub/hom/cpi/calculation.htm" TargetMode="External" Id="rId281"/><Relationship Type="http://schemas.openxmlformats.org/officeDocument/2006/relationships/hyperlink" Target="https://data.bls.gov/timeseries/CUUR0000SEFL02" TargetMode="External" Id="rId282"/><Relationship Type="http://schemas.openxmlformats.org/officeDocument/2006/relationships/hyperlink" Target="https://data.bls.gov/timeseries/CUSR0000SEFL02" TargetMode="External" Id="rId283"/><Relationship Type="http://schemas.openxmlformats.org/officeDocument/2006/relationships/hyperlink" Target="https://www.bls.gov/cpi/factsheets/" TargetMode="External" Id="rId284"/><Relationship Type="http://schemas.openxmlformats.org/officeDocument/2006/relationships/hyperlink" Target="https://www.bls.gov/opub/hom/cpi/calculation.htm" TargetMode="External" Id="rId285"/><Relationship Type="http://schemas.openxmlformats.org/officeDocument/2006/relationships/hyperlink" Target="https://data.bls.gov/timeseries/CUUR0000SEFL03" TargetMode="External" Id="rId286"/><Relationship Type="http://schemas.openxmlformats.org/officeDocument/2006/relationships/hyperlink" Target="https://data.bls.gov/timeseries/CUSR0000SEFL03" TargetMode="External" Id="rId287"/><Relationship Type="http://schemas.openxmlformats.org/officeDocument/2006/relationships/hyperlink" Target="https://www.bls.gov/cpi/factsheets/" TargetMode="External" Id="rId288"/><Relationship Type="http://schemas.openxmlformats.org/officeDocument/2006/relationships/hyperlink" Target="https://www.bls.gov/opub/hom/cpi/calculation.htm" TargetMode="External" Id="rId289"/><Relationship Type="http://schemas.openxmlformats.org/officeDocument/2006/relationships/hyperlink" Target="https://data.bls.gov/timeseries/CUUR0000SEFL04" TargetMode="External" Id="rId290"/><Relationship Type="http://schemas.openxmlformats.org/officeDocument/2006/relationships/hyperlink" Target="https://data.bls.gov/timeseries/CUSR0000SEFL04" TargetMode="External" Id="rId291"/><Relationship Type="http://schemas.openxmlformats.org/officeDocument/2006/relationships/hyperlink" Target="https://www.bls.gov/cpi/factsheets/" TargetMode="External" Id="rId292"/><Relationship Type="http://schemas.openxmlformats.org/officeDocument/2006/relationships/hyperlink" Target="https://www.bls.gov/opub/hom/cpi/calculation.htm" TargetMode="External" Id="rId293"/><Relationship Type="http://schemas.openxmlformats.org/officeDocument/2006/relationships/hyperlink" Target="https://data.bls.gov/timeseries/CUUR0000SEFM" TargetMode="External" Id="rId294"/><Relationship Type="http://schemas.openxmlformats.org/officeDocument/2006/relationships/hyperlink" Target="https://data.bls.gov/timeseries/CUSR0000SEFM" TargetMode="External" Id="rId295"/><Relationship Type="http://schemas.openxmlformats.org/officeDocument/2006/relationships/hyperlink" Target="https://www.bls.gov/cpi/factsheets/" TargetMode="External" Id="rId296"/><Relationship Type="http://schemas.openxmlformats.org/officeDocument/2006/relationships/hyperlink" Target="https://www.bls.gov/opub/hom/cpi/calculation.htm" TargetMode="External" Id="rId297"/><Relationship Type="http://schemas.openxmlformats.org/officeDocument/2006/relationships/hyperlink" Target="https://data.bls.gov/timeseries/CUUR0000SEFM01" TargetMode="External" Id="rId298"/><Relationship Type="http://schemas.openxmlformats.org/officeDocument/2006/relationships/hyperlink" Target="https://data.bls.gov/timeseries/CUSR0000SEFM01" TargetMode="External" Id="rId299"/><Relationship Type="http://schemas.openxmlformats.org/officeDocument/2006/relationships/hyperlink" Target="https://www.bls.gov/cpi/factsheets/" TargetMode="External" Id="rId300"/><Relationship Type="http://schemas.openxmlformats.org/officeDocument/2006/relationships/hyperlink" Target="https://www.bls.gov/opub/hom/cpi/calculation.htm" TargetMode="External" Id="rId301"/><Relationship Type="http://schemas.openxmlformats.org/officeDocument/2006/relationships/hyperlink" Target="https://data.bls.gov/timeseries/CUUR0000SS13031" TargetMode="External" Id="rId302"/><Relationship Type="http://schemas.openxmlformats.org/officeDocument/2006/relationships/hyperlink" Target="https://data.bls.gov/timeseries/CUSR0000SS13031" TargetMode="External" Id="rId303"/><Relationship Type="http://schemas.openxmlformats.org/officeDocument/2006/relationships/hyperlink" Target="https://www.bls.gov/cpi/factsheets/" TargetMode="External" Id="rId304"/><Relationship Type="http://schemas.openxmlformats.org/officeDocument/2006/relationships/hyperlink" Target="https://www.bls.gov/opub/hom/cpi/calculation.htm" TargetMode="External" Id="rId305"/><Relationship Type="http://schemas.openxmlformats.org/officeDocument/2006/relationships/hyperlink" Target="https://data.bls.gov/timeseries/CUUR0000SS14021" TargetMode="External" Id="rId306"/><Relationship Type="http://schemas.openxmlformats.org/officeDocument/2006/relationships/hyperlink" Target="https://data.bls.gov/timeseries/CUSR0000SS14021" TargetMode="External" Id="rId307"/><Relationship Type="http://schemas.openxmlformats.org/officeDocument/2006/relationships/hyperlink" Target="https://www.bls.gov/cpi/factsheets/" TargetMode="External" Id="rId308"/><Relationship Type="http://schemas.openxmlformats.org/officeDocument/2006/relationships/hyperlink" Target="https://www.bls.gov/opub/hom/cpi/calculation.htm" TargetMode="External" Id="rId309"/><Relationship Type="http://schemas.openxmlformats.org/officeDocument/2006/relationships/hyperlink" Target="https://data.bls.gov/timeseries/CUUR0000SEFM02" TargetMode="External" Id="rId310"/><Relationship Type="http://schemas.openxmlformats.org/officeDocument/2006/relationships/hyperlink" Target="https://data.bls.gov/timeseries/CUSR0000SEFM02" TargetMode="External" Id="rId311"/><Relationship Type="http://schemas.openxmlformats.org/officeDocument/2006/relationships/hyperlink" Target="https://www.bls.gov/cpi/factsheets/" TargetMode="External" Id="rId312"/><Relationship Type="http://schemas.openxmlformats.org/officeDocument/2006/relationships/hyperlink" Target="https://www.bls.gov/opub/hom/cpi/calculation.htm" TargetMode="External" Id="rId313"/><Relationship Type="http://schemas.openxmlformats.org/officeDocument/2006/relationships/hyperlink" Target="https://data.bls.gov/timeseries/CUUR0000SS14011" TargetMode="External" Id="rId314"/><Relationship Type="http://schemas.openxmlformats.org/officeDocument/2006/relationships/hyperlink" Target="https://data.bls.gov/timeseries/CUSR0000SS14011" TargetMode="External" Id="rId315"/><Relationship Type="http://schemas.openxmlformats.org/officeDocument/2006/relationships/hyperlink" Target="https://www.bls.gov/cpi/factsheets/" TargetMode="External" Id="rId316"/><Relationship Type="http://schemas.openxmlformats.org/officeDocument/2006/relationships/hyperlink" Target="https://www.bls.gov/opub/hom/cpi/calculation.htm" TargetMode="External" Id="rId317"/><Relationship Type="http://schemas.openxmlformats.org/officeDocument/2006/relationships/hyperlink" Target="https://data.bls.gov/timeseries/CUUR0000SEFM03" TargetMode="External" Id="rId318"/><Relationship Type="http://schemas.openxmlformats.org/officeDocument/2006/relationships/hyperlink" Target="https://data.bls.gov/timeseries/CUSR0000SEFM03" TargetMode="External" Id="rId319"/><Relationship Type="http://schemas.openxmlformats.org/officeDocument/2006/relationships/hyperlink" Target="https://www.bls.gov/cpi/factsheets/" TargetMode="External" Id="rId320"/><Relationship Type="http://schemas.openxmlformats.org/officeDocument/2006/relationships/hyperlink" Target="https://www.bls.gov/opub/hom/cpi/calculation.htm" TargetMode="External" Id="rId321"/><Relationship Type="http://schemas.openxmlformats.org/officeDocument/2006/relationships/hyperlink" Target="https://data.bls.gov/timeseries/CUUR0000SS14022" TargetMode="External" Id="rId322"/><Relationship Type="http://schemas.openxmlformats.org/officeDocument/2006/relationships/hyperlink" Target="https://www.bls.gov/cpi/factsheets/" TargetMode="External" Id="rId323"/><Relationship Type="http://schemas.openxmlformats.org/officeDocument/2006/relationships/hyperlink" Target="https://www.bls.gov/opub/hom/cpi/calculation.htm" TargetMode="External" Id="rId324"/><Relationship Type="http://schemas.openxmlformats.org/officeDocument/2006/relationships/hyperlink" Target="https://data.bls.gov/timeseries/CUUR0000SAF114" TargetMode="External" Id="rId325"/><Relationship Type="http://schemas.openxmlformats.org/officeDocument/2006/relationships/hyperlink" Target="https://data.bls.gov/timeseries/CUSR0000SAF114" TargetMode="External" Id="rId326"/><Relationship Type="http://schemas.openxmlformats.org/officeDocument/2006/relationships/hyperlink" Target="https://www.bls.gov/cpi/factsheets/" TargetMode="External" Id="rId327"/><Relationship Type="http://schemas.openxmlformats.org/officeDocument/2006/relationships/hyperlink" Target="https://www.bls.gov/opub/hom/cpi/calculation.htm" TargetMode="External" Id="rId328"/><Relationship Type="http://schemas.openxmlformats.org/officeDocument/2006/relationships/hyperlink" Target="https://data.bls.gov/timeseries/CUUR0000SEFN" TargetMode="External" Id="rId329"/><Relationship Type="http://schemas.openxmlformats.org/officeDocument/2006/relationships/hyperlink" Target="https://data.bls.gov/timeseries/CUSR0000SEFN" TargetMode="External" Id="rId330"/><Relationship Type="http://schemas.openxmlformats.org/officeDocument/2006/relationships/hyperlink" Target="https://www.bls.gov/cpi/factsheets/" TargetMode="External" Id="rId331"/><Relationship Type="http://schemas.openxmlformats.org/officeDocument/2006/relationships/hyperlink" Target="https://www.bls.gov/opub/hom/cpi/calculation.htm" TargetMode="External" Id="rId332"/><Relationship Type="http://schemas.openxmlformats.org/officeDocument/2006/relationships/hyperlink" Target="https://data.bls.gov/timeseries/CUUR0000SEFN01" TargetMode="External" Id="rId333"/><Relationship Type="http://schemas.openxmlformats.org/officeDocument/2006/relationships/hyperlink" Target="https://data.bls.gov/timeseries/CUSR0000SEFN01" TargetMode="External" Id="rId334"/><Relationship Type="http://schemas.openxmlformats.org/officeDocument/2006/relationships/hyperlink" Target="https://www.bls.gov/cpi/factsheets/" TargetMode="External" Id="rId335"/><Relationship Type="http://schemas.openxmlformats.org/officeDocument/2006/relationships/hyperlink" Target="https://www.bls.gov/opub/hom/cpi/calculation.htm" TargetMode="External" Id="rId336"/><Relationship Type="http://schemas.openxmlformats.org/officeDocument/2006/relationships/hyperlink" Target="https://data.bls.gov/timeseries/CUUR0000SEFN02" TargetMode="External" Id="rId337"/><Relationship Type="http://schemas.openxmlformats.org/officeDocument/2006/relationships/hyperlink" Target="https://www.bls.gov/cpi/factsheets/" TargetMode="External" Id="rId338"/><Relationship Type="http://schemas.openxmlformats.org/officeDocument/2006/relationships/hyperlink" Target="https://www.bls.gov/opub/hom/cpi/calculation.htm" TargetMode="External" Id="rId339"/><Relationship Type="http://schemas.openxmlformats.org/officeDocument/2006/relationships/hyperlink" Target="https://data.bls.gov/timeseries/CUUR0000SEFN03" TargetMode="External" Id="rId340"/><Relationship Type="http://schemas.openxmlformats.org/officeDocument/2006/relationships/hyperlink" Target="https://data.bls.gov/timeseries/CUSR0000SEFN03" TargetMode="External" Id="rId341"/><Relationship Type="http://schemas.openxmlformats.org/officeDocument/2006/relationships/hyperlink" Target="https://www.bls.gov/cpi/factsheets/" TargetMode="External" Id="rId342"/><Relationship Type="http://schemas.openxmlformats.org/officeDocument/2006/relationships/hyperlink" Target="https://www.bls.gov/opub/hom/cpi/calculation.htm" TargetMode="External" Id="rId343"/><Relationship Type="http://schemas.openxmlformats.org/officeDocument/2006/relationships/hyperlink" Target="https://data.bls.gov/timeseries/CUUR0000SEFP" TargetMode="External" Id="rId344"/><Relationship Type="http://schemas.openxmlformats.org/officeDocument/2006/relationships/hyperlink" Target="https://data.bls.gov/timeseries/CUSR0000SEFP" TargetMode="External" Id="rId345"/><Relationship Type="http://schemas.openxmlformats.org/officeDocument/2006/relationships/hyperlink" Target="https://www.bls.gov/cpi/factsheets/" TargetMode="External" Id="rId346"/><Relationship Type="http://schemas.openxmlformats.org/officeDocument/2006/relationships/hyperlink" Target="https://www.bls.gov/opub/hom/cpi/calculation.htm" TargetMode="External" Id="rId347"/><Relationship Type="http://schemas.openxmlformats.org/officeDocument/2006/relationships/hyperlink" Target="https://data.bls.gov/timeseries/CUUR0000SEFP01" TargetMode="External" Id="rId348"/><Relationship Type="http://schemas.openxmlformats.org/officeDocument/2006/relationships/hyperlink" Target="https://data.bls.gov/timeseries/CUSR0000SEFP01" TargetMode="External" Id="rId349"/><Relationship Type="http://schemas.openxmlformats.org/officeDocument/2006/relationships/hyperlink" Target="https://www.bls.gov/cpi/factsheets/" TargetMode="External" Id="rId350"/><Relationship Type="http://schemas.openxmlformats.org/officeDocument/2006/relationships/hyperlink" Target="https://www.bls.gov/opub/hom/cpi/calculation.htm" TargetMode="External" Id="rId351"/><Relationship Type="http://schemas.openxmlformats.org/officeDocument/2006/relationships/hyperlink" Target="https://data.bls.gov/timeseries/CUUR0000SS17031" TargetMode="External" Id="rId352"/><Relationship Type="http://schemas.openxmlformats.org/officeDocument/2006/relationships/hyperlink" Target="https://data.bls.gov/timeseries/CUSR0000SS17031" TargetMode="External" Id="rId353"/><Relationship Type="http://schemas.openxmlformats.org/officeDocument/2006/relationships/hyperlink" Target="https://www.bls.gov/cpi/factsheets/" TargetMode="External" Id="rId354"/><Relationship Type="http://schemas.openxmlformats.org/officeDocument/2006/relationships/hyperlink" Target="https://www.bls.gov/opub/hom/cpi/calculation.htm" TargetMode="External" Id="rId355"/><Relationship Type="http://schemas.openxmlformats.org/officeDocument/2006/relationships/hyperlink" Target="https://data.bls.gov/timeseries/CUUR0000SS17032" TargetMode="External" Id="rId356"/><Relationship Type="http://schemas.openxmlformats.org/officeDocument/2006/relationships/hyperlink" Target="https://www.bls.gov/cpi/factsheets/" TargetMode="External" Id="rId357"/><Relationship Type="http://schemas.openxmlformats.org/officeDocument/2006/relationships/hyperlink" Target="https://www.bls.gov/opub/hom/cpi/calculation.htm" TargetMode="External" Id="rId358"/><Relationship Type="http://schemas.openxmlformats.org/officeDocument/2006/relationships/hyperlink" Target="https://data.bls.gov/timeseries/CUUR0000SEFP02" TargetMode="External" Id="rId359"/><Relationship Type="http://schemas.openxmlformats.org/officeDocument/2006/relationships/hyperlink" Target="https://data.bls.gov/timeseries/CUSR0000SEFP02" TargetMode="External" Id="rId360"/><Relationship Type="http://schemas.openxmlformats.org/officeDocument/2006/relationships/hyperlink" Target="https://www.bls.gov/cpi/factsheets/" TargetMode="External" Id="rId361"/><Relationship Type="http://schemas.openxmlformats.org/officeDocument/2006/relationships/hyperlink" Target="https://www.bls.gov/opub/hom/cpi/calculation.htm" TargetMode="External" Id="rId362"/><Relationship Type="http://schemas.openxmlformats.org/officeDocument/2006/relationships/hyperlink" Target="https://data.bls.gov/timeseries/CUUR0000SAF115" TargetMode="External" Id="rId363"/><Relationship Type="http://schemas.openxmlformats.org/officeDocument/2006/relationships/hyperlink" Target="https://data.bls.gov/timeseries/CUSR0000SAF115" TargetMode="External" Id="rId364"/><Relationship Type="http://schemas.openxmlformats.org/officeDocument/2006/relationships/hyperlink" Target="https://www.bls.gov/cpi/factsheets/" TargetMode="External" Id="rId365"/><Relationship Type="http://schemas.openxmlformats.org/officeDocument/2006/relationships/hyperlink" Target="https://www.bls.gov/opub/hom/cpi/calculation.htm" TargetMode="External" Id="rId366"/><Relationship Type="http://schemas.openxmlformats.org/officeDocument/2006/relationships/hyperlink" Target="https://data.bls.gov/timeseries/CUUR0000SEFR" TargetMode="External" Id="rId367"/><Relationship Type="http://schemas.openxmlformats.org/officeDocument/2006/relationships/hyperlink" Target="https://data.bls.gov/timeseries/CUSR0000SEFR" TargetMode="External" Id="rId368"/><Relationship Type="http://schemas.openxmlformats.org/officeDocument/2006/relationships/hyperlink" Target="https://www.bls.gov/cpi/factsheets/" TargetMode="External" Id="rId369"/><Relationship Type="http://schemas.openxmlformats.org/officeDocument/2006/relationships/hyperlink" Target="https://www.bls.gov/opub/hom/cpi/calculation.htm" TargetMode="External" Id="rId370"/><Relationship Type="http://schemas.openxmlformats.org/officeDocument/2006/relationships/hyperlink" Target="https://data.bls.gov/timeseries/CUUR0000SEFR01" TargetMode="External" Id="rId371"/><Relationship Type="http://schemas.openxmlformats.org/officeDocument/2006/relationships/hyperlink" Target="https://data.bls.gov/timeseries/CUSR0000SEFR01" TargetMode="External" Id="rId372"/><Relationship Type="http://schemas.openxmlformats.org/officeDocument/2006/relationships/hyperlink" Target="https://www.bls.gov/cpi/factsheets/" TargetMode="External" Id="rId373"/><Relationship Type="http://schemas.openxmlformats.org/officeDocument/2006/relationships/hyperlink" Target="https://www.bls.gov/opub/hom/cpi/calculation.htm" TargetMode="External" Id="rId374"/><Relationship Type="http://schemas.openxmlformats.org/officeDocument/2006/relationships/hyperlink" Target="https://data.bls.gov/timeseries/CUUR0000SEFR02" TargetMode="External" Id="rId375"/><Relationship Type="http://schemas.openxmlformats.org/officeDocument/2006/relationships/hyperlink" Target="https://data.bls.gov/timeseries/CUSR0000SEFR02" TargetMode="External" Id="rId376"/><Relationship Type="http://schemas.openxmlformats.org/officeDocument/2006/relationships/hyperlink" Target="https://www.bls.gov/cpi/factsheets/" TargetMode="External" Id="rId377"/><Relationship Type="http://schemas.openxmlformats.org/officeDocument/2006/relationships/hyperlink" Target="https://www.bls.gov/opub/hom/cpi/calculation.htm" TargetMode="External" Id="rId378"/><Relationship Type="http://schemas.openxmlformats.org/officeDocument/2006/relationships/hyperlink" Target="https://data.bls.gov/timeseries/CUUR0000SEFR03" TargetMode="External" Id="rId379"/><Relationship Type="http://schemas.openxmlformats.org/officeDocument/2006/relationships/hyperlink" Target="https://data.bls.gov/timeseries/CUSR0000SEFR03" TargetMode="External" Id="rId380"/><Relationship Type="http://schemas.openxmlformats.org/officeDocument/2006/relationships/hyperlink" Target="https://www.bls.gov/cpi/factsheets/" TargetMode="External" Id="rId381"/><Relationship Type="http://schemas.openxmlformats.org/officeDocument/2006/relationships/hyperlink" Target="https://www.bls.gov/opub/hom/cpi/calculation.htm" TargetMode="External" Id="rId382"/><Relationship Type="http://schemas.openxmlformats.org/officeDocument/2006/relationships/hyperlink" Target="https://data.bls.gov/timeseries/CUUR0000SEFS" TargetMode="External" Id="rId383"/><Relationship Type="http://schemas.openxmlformats.org/officeDocument/2006/relationships/hyperlink" Target="https://data.bls.gov/timeseries/CUSR0000SEFS" TargetMode="External" Id="rId384"/><Relationship Type="http://schemas.openxmlformats.org/officeDocument/2006/relationships/hyperlink" Target="https://www.bls.gov/cpi/factsheets/" TargetMode="External" Id="rId385"/><Relationship Type="http://schemas.openxmlformats.org/officeDocument/2006/relationships/hyperlink" Target="https://www.bls.gov/opub/hom/cpi/calculation.htm" TargetMode="External" Id="rId386"/><Relationship Type="http://schemas.openxmlformats.org/officeDocument/2006/relationships/hyperlink" Target="https://data.bls.gov/timeseries/CUUR0000SEFS01" TargetMode="External" Id="rId387"/><Relationship Type="http://schemas.openxmlformats.org/officeDocument/2006/relationships/hyperlink" Target="https://data.bls.gov/timeseries/CUSR0000SEFS01" TargetMode="External" Id="rId388"/><Relationship Type="http://schemas.openxmlformats.org/officeDocument/2006/relationships/hyperlink" Target="https://www.bls.gov/cpi/factsheets/" TargetMode="External" Id="rId389"/><Relationship Type="http://schemas.openxmlformats.org/officeDocument/2006/relationships/hyperlink" Target="https://www.bls.gov/opub/hom/cpi/calculation.htm" TargetMode="External" Id="rId390"/><Relationship Type="http://schemas.openxmlformats.org/officeDocument/2006/relationships/hyperlink" Target="https://data.bls.gov/timeseries/CUUR0000SS10011" TargetMode="External" Id="rId391"/><Relationship Type="http://schemas.openxmlformats.org/officeDocument/2006/relationships/hyperlink" Target="https://data.bls.gov/timeseries/CUSR0000SS10011" TargetMode="External" Id="rId392"/><Relationship Type="http://schemas.openxmlformats.org/officeDocument/2006/relationships/hyperlink" Target="https://www.bls.gov/cpi/factsheets/" TargetMode="External" Id="rId393"/><Relationship Type="http://schemas.openxmlformats.org/officeDocument/2006/relationships/hyperlink" Target="https://www.bls.gov/opub/hom/cpi/calculation.htm" TargetMode="External" Id="rId394"/><Relationship Type="http://schemas.openxmlformats.org/officeDocument/2006/relationships/hyperlink" Target="https://data.bls.gov/timeseries/CUUR0000SS16011" TargetMode="External" Id="rId395"/><Relationship Type="http://schemas.openxmlformats.org/officeDocument/2006/relationships/hyperlink" Target="https://data.bls.gov/timeseries/CUSR0000SS16011" TargetMode="External" Id="rId396"/><Relationship Type="http://schemas.openxmlformats.org/officeDocument/2006/relationships/hyperlink" Target="https://www.bls.gov/cpi/factsheets/" TargetMode="External" Id="rId397"/><Relationship Type="http://schemas.openxmlformats.org/officeDocument/2006/relationships/hyperlink" Target="https://www.bls.gov/opub/hom/cpi/calculation.htm" TargetMode="External" Id="rId398"/><Relationship Type="http://schemas.openxmlformats.org/officeDocument/2006/relationships/hyperlink" Target="https://data.bls.gov/timeseries/CUUR0000SEFS02" TargetMode="External" Id="rId399"/><Relationship Type="http://schemas.openxmlformats.org/officeDocument/2006/relationships/hyperlink" Target="https://data.bls.gov/timeseries/CUSR0000SEFS02" TargetMode="External" Id="rId400"/><Relationship Type="http://schemas.openxmlformats.org/officeDocument/2006/relationships/hyperlink" Target="https://www.bls.gov/cpi/factsheets/" TargetMode="External" Id="rId401"/><Relationship Type="http://schemas.openxmlformats.org/officeDocument/2006/relationships/hyperlink" Target="https://www.bls.gov/opub/hom/cpi/calculation.htm" TargetMode="External" Id="rId402"/><Relationship Type="http://schemas.openxmlformats.org/officeDocument/2006/relationships/hyperlink" Target="https://data.bls.gov/timeseries/CUUR0000SEFS03" TargetMode="External" Id="rId403"/><Relationship Type="http://schemas.openxmlformats.org/officeDocument/2006/relationships/hyperlink" Target="https://data.bls.gov/timeseries/CUSR0000SEFS03" TargetMode="External" Id="rId404"/><Relationship Type="http://schemas.openxmlformats.org/officeDocument/2006/relationships/hyperlink" Target="https://www.bls.gov/cpi/factsheets/" TargetMode="External" Id="rId405"/><Relationship Type="http://schemas.openxmlformats.org/officeDocument/2006/relationships/hyperlink" Target="https://www.bls.gov/opub/hom/cpi/calculation.htm" TargetMode="External" Id="rId406"/><Relationship Type="http://schemas.openxmlformats.org/officeDocument/2006/relationships/hyperlink" Target="https://data.bls.gov/timeseries/CUUR0000SS16014" TargetMode="External" Id="rId407"/><Relationship Type="http://schemas.openxmlformats.org/officeDocument/2006/relationships/hyperlink" Target="https://www.bls.gov/cpi/factsheets/" TargetMode="External" Id="rId408"/><Relationship Type="http://schemas.openxmlformats.org/officeDocument/2006/relationships/hyperlink" Target="https://www.bls.gov/opub/hom/cpi/calculation.htm" TargetMode="External" Id="rId409"/><Relationship Type="http://schemas.openxmlformats.org/officeDocument/2006/relationships/hyperlink" Target="https://data.bls.gov/timeseries/CUUR0000SEFT" TargetMode="External" Id="rId410"/><Relationship Type="http://schemas.openxmlformats.org/officeDocument/2006/relationships/hyperlink" Target="https://data.bls.gov/timeseries/CUSR0000SEFT" TargetMode="External" Id="rId411"/><Relationship Type="http://schemas.openxmlformats.org/officeDocument/2006/relationships/hyperlink" Target="https://www.bls.gov/cpi/factsheets/" TargetMode="External" Id="rId412"/><Relationship Type="http://schemas.openxmlformats.org/officeDocument/2006/relationships/hyperlink" Target="https://www.bls.gov/opub/hom/cpi/calculation.htm" TargetMode="External" Id="rId413"/><Relationship Type="http://schemas.openxmlformats.org/officeDocument/2006/relationships/hyperlink" Target="https://data.bls.gov/timeseries/CUUR0000SEFT01" TargetMode="External" Id="rId414"/><Relationship Type="http://schemas.openxmlformats.org/officeDocument/2006/relationships/hyperlink" Target="https://data.bls.gov/timeseries/CUSR0000SEFT01" TargetMode="External" Id="rId415"/><Relationship Type="http://schemas.openxmlformats.org/officeDocument/2006/relationships/hyperlink" Target="https://www.bls.gov/cpi/factsheets/" TargetMode="External" Id="rId416"/><Relationship Type="http://schemas.openxmlformats.org/officeDocument/2006/relationships/hyperlink" Target="https://www.bls.gov/opub/hom/cpi/calculation.htm" TargetMode="External" Id="rId417"/><Relationship Type="http://schemas.openxmlformats.org/officeDocument/2006/relationships/hyperlink" Target="https://data.bls.gov/timeseries/CUUR0000SEFT02" TargetMode="External" Id="rId418"/><Relationship Type="http://schemas.openxmlformats.org/officeDocument/2006/relationships/hyperlink" Target="https://data.bls.gov/timeseries/CUSR0000SEFT02" TargetMode="External" Id="rId419"/><Relationship Type="http://schemas.openxmlformats.org/officeDocument/2006/relationships/hyperlink" Target="https://www.bls.gov/cpi/factsheets/" TargetMode="External" Id="rId420"/><Relationship Type="http://schemas.openxmlformats.org/officeDocument/2006/relationships/hyperlink" Target="https://www.bls.gov/opub/hom/cpi/calculation.htm" TargetMode="External" Id="rId421"/><Relationship Type="http://schemas.openxmlformats.org/officeDocument/2006/relationships/hyperlink" Target="https://data.bls.gov/timeseries/CUUR0000SEFT03" TargetMode="External" Id="rId422"/><Relationship Type="http://schemas.openxmlformats.org/officeDocument/2006/relationships/hyperlink" Target="https://data.bls.gov/timeseries/CUSR0000SEFT03" TargetMode="External" Id="rId423"/><Relationship Type="http://schemas.openxmlformats.org/officeDocument/2006/relationships/hyperlink" Target="https://www.bls.gov/cpi/factsheets/" TargetMode="External" Id="rId424"/><Relationship Type="http://schemas.openxmlformats.org/officeDocument/2006/relationships/hyperlink" Target="https://www.bls.gov/opub/hom/cpi/calculation.htm" TargetMode="External" Id="rId425"/><Relationship Type="http://schemas.openxmlformats.org/officeDocument/2006/relationships/hyperlink" Target="https://data.bls.gov/timeseries/CUUR0000SEFT04" TargetMode="External" Id="rId426"/><Relationship Type="http://schemas.openxmlformats.org/officeDocument/2006/relationships/hyperlink" Target="https://data.bls.gov/timeseries/CUSR0000SEFT04" TargetMode="External" Id="rId427"/><Relationship Type="http://schemas.openxmlformats.org/officeDocument/2006/relationships/hyperlink" Target="https://www.bls.gov/cpi/factsheets/" TargetMode="External" Id="rId428"/><Relationship Type="http://schemas.openxmlformats.org/officeDocument/2006/relationships/hyperlink" Target="https://www.bls.gov/opub/hom/cpi/calculation.htm" TargetMode="External" Id="rId429"/><Relationship Type="http://schemas.openxmlformats.org/officeDocument/2006/relationships/hyperlink" Target="https://data.bls.gov/timeseries/CUUR0000SS18041" TargetMode="External" Id="rId430"/><Relationship Type="http://schemas.openxmlformats.org/officeDocument/2006/relationships/hyperlink" Target="https://data.bls.gov/timeseries/CUSR0000SS18041" TargetMode="External" Id="rId431"/><Relationship Type="http://schemas.openxmlformats.org/officeDocument/2006/relationships/hyperlink" Target="https://www.bls.gov/cpi/factsheets/" TargetMode="External" Id="rId432"/><Relationship Type="http://schemas.openxmlformats.org/officeDocument/2006/relationships/hyperlink" Target="https://www.bls.gov/opub/hom/cpi/calculation.htm" TargetMode="External" Id="rId433"/><Relationship Type="http://schemas.openxmlformats.org/officeDocument/2006/relationships/hyperlink" Target="https://data.bls.gov/timeseries/CUUR0000SS18042" TargetMode="External" Id="rId434"/><Relationship Type="http://schemas.openxmlformats.org/officeDocument/2006/relationships/hyperlink" Target="https://data.bls.gov/timeseries/CUSR0000SS18042" TargetMode="External" Id="rId435"/><Relationship Type="http://schemas.openxmlformats.org/officeDocument/2006/relationships/hyperlink" Target="https://www.bls.gov/cpi/factsheets/" TargetMode="External" Id="rId436"/><Relationship Type="http://schemas.openxmlformats.org/officeDocument/2006/relationships/hyperlink" Target="https://www.bls.gov/opub/hom/cpi/calculation.htm" TargetMode="External" Id="rId437"/><Relationship Type="http://schemas.openxmlformats.org/officeDocument/2006/relationships/hyperlink" Target="https://data.bls.gov/timeseries/CUUR0000SS18043" TargetMode="External" Id="rId438"/><Relationship Type="http://schemas.openxmlformats.org/officeDocument/2006/relationships/hyperlink" Target="https://data.bls.gov/timeseries/CUSR0000SS18043" TargetMode="External" Id="rId439"/><Relationship Type="http://schemas.openxmlformats.org/officeDocument/2006/relationships/hyperlink" Target="https://www.bls.gov/cpi/factsheets/" TargetMode="External" Id="rId440"/><Relationship Type="http://schemas.openxmlformats.org/officeDocument/2006/relationships/hyperlink" Target="https://www.bls.gov/opub/hom/cpi/calculation.htm" TargetMode="External" Id="rId441"/><Relationship Type="http://schemas.openxmlformats.org/officeDocument/2006/relationships/hyperlink" Target="https://data.bls.gov/timeseries/CUUR0000SS1804B" TargetMode="External" Id="rId442"/><Relationship Type="http://schemas.openxmlformats.org/officeDocument/2006/relationships/hyperlink" Target="https://data.bls.gov/timeseries/CUSR0000SS1804B" TargetMode="External" Id="rId443"/><Relationship Type="http://schemas.openxmlformats.org/officeDocument/2006/relationships/hyperlink" Target="https://www.bls.gov/cpi/factsheets/" TargetMode="External" Id="rId444"/><Relationship Type="http://schemas.openxmlformats.org/officeDocument/2006/relationships/hyperlink" Target="https://www.bls.gov/opub/hom/cpi/calculation.htm" TargetMode="External" Id="rId445"/><Relationship Type="http://schemas.openxmlformats.org/officeDocument/2006/relationships/hyperlink" Target="https://data.bls.gov/timeseries/CUUR0000SEFT05" TargetMode="External" Id="rId446"/><Relationship Type="http://schemas.openxmlformats.org/officeDocument/2006/relationships/hyperlink" Target="https://www.bls.gov/cpi/factsheets/" TargetMode="External" Id="rId447"/><Relationship Type="http://schemas.openxmlformats.org/officeDocument/2006/relationships/hyperlink" Target="https://www.bls.gov/opub/hom/cpi/calculation.htm" TargetMode="External" Id="rId448"/><Relationship Type="http://schemas.openxmlformats.org/officeDocument/2006/relationships/hyperlink" Target="https://data.bls.gov/timeseries/CUUR0000SEFT06" TargetMode="External" Id="rId449"/><Relationship Type="http://schemas.openxmlformats.org/officeDocument/2006/relationships/hyperlink" Target="https://data.bls.gov/timeseries/CUSR0000SEFT06" TargetMode="External" Id="rId450"/><Relationship Type="http://schemas.openxmlformats.org/officeDocument/2006/relationships/hyperlink" Target="https://www.bls.gov/cpi/factsheets/" TargetMode="External" Id="rId451"/><Relationship Type="http://schemas.openxmlformats.org/officeDocument/2006/relationships/hyperlink" Target="https://www.bls.gov/opub/hom/cpi/calculation.htm" TargetMode="External" Id="rId452"/><Relationship Type="http://schemas.openxmlformats.org/officeDocument/2006/relationships/hyperlink" Target="https://data.bls.gov/timeseries/CUUR0000SS18064" TargetMode="External" Id="rId453"/><Relationship Type="http://schemas.openxmlformats.org/officeDocument/2006/relationships/hyperlink" Target="https://data.bls.gov/timeseries/CUSR0000SS18064" TargetMode="External" Id="rId454"/><Relationship Type="http://schemas.openxmlformats.org/officeDocument/2006/relationships/hyperlink" Target="https://www.bls.gov/cpi/factsheets/" TargetMode="External" Id="rId455"/><Relationship Type="http://schemas.openxmlformats.org/officeDocument/2006/relationships/hyperlink" Target="https://www.bls.gov/opub/hom/cpi/calculation.htm" TargetMode="External" Id="rId456"/><Relationship Type="http://schemas.openxmlformats.org/officeDocument/2006/relationships/hyperlink" Target="https://data.bls.gov/timeseries/CUUR0000SEFV" TargetMode="External" Id="rId457"/><Relationship Type="http://schemas.openxmlformats.org/officeDocument/2006/relationships/hyperlink" Target="https://data.bls.gov/timeseries/CUSR0000SEFV" TargetMode="External" Id="rId458"/><Relationship Type="http://schemas.openxmlformats.org/officeDocument/2006/relationships/hyperlink" Target="https://www.bls.gov/cpi/factsheets/" TargetMode="External" Id="rId459"/><Relationship Type="http://schemas.openxmlformats.org/officeDocument/2006/relationships/hyperlink" Target="https://www.bls.gov/opub/hom/cpi/calculation.htm" TargetMode="External" Id="rId460"/><Relationship Type="http://schemas.openxmlformats.org/officeDocument/2006/relationships/hyperlink" Target="https://data.bls.gov/timeseries/CUUR0000SEFV01" TargetMode="External" Id="rId461"/><Relationship Type="http://schemas.openxmlformats.org/officeDocument/2006/relationships/hyperlink" Target="https://data.bls.gov/timeseries/CUSR0000SEFV01" TargetMode="External" Id="rId462"/><Relationship Type="http://schemas.openxmlformats.org/officeDocument/2006/relationships/hyperlink" Target="https://www.bls.gov/cpi/factsheets/" TargetMode="External" Id="rId463"/><Relationship Type="http://schemas.openxmlformats.org/officeDocument/2006/relationships/hyperlink" Target="https://www.bls.gov/opub/hom/cpi/calculation.htm" TargetMode="External" Id="rId464"/><Relationship Type="http://schemas.openxmlformats.org/officeDocument/2006/relationships/hyperlink" Target="https://data.bls.gov/timeseries/CUUR0000SEFV02" TargetMode="External" Id="rId465"/><Relationship Type="http://schemas.openxmlformats.org/officeDocument/2006/relationships/hyperlink" Target="https://www.bls.gov/cpi/factsheets/" TargetMode="External" Id="rId466"/><Relationship Type="http://schemas.openxmlformats.org/officeDocument/2006/relationships/hyperlink" Target="https://www.bls.gov/opub/hom/cpi/calculation.htm" TargetMode="External" Id="rId467"/><Relationship Type="http://schemas.openxmlformats.org/officeDocument/2006/relationships/hyperlink" Target="https://data.bls.gov/timeseries/CUUR0000SEFV03" TargetMode="External" Id="rId468"/><Relationship Type="http://schemas.openxmlformats.org/officeDocument/2006/relationships/hyperlink" Target="https://data.bls.gov/timeseries/CUSR0000SEFV03" TargetMode="External" Id="rId469"/><Relationship Type="http://schemas.openxmlformats.org/officeDocument/2006/relationships/hyperlink" Target="https://www.bls.gov/cpi/factsheets/" TargetMode="External" Id="rId470"/><Relationship Type="http://schemas.openxmlformats.org/officeDocument/2006/relationships/hyperlink" Target="https://www.bls.gov/opub/hom/cpi/calculation.htm" TargetMode="External" Id="rId471"/><Relationship Type="http://schemas.openxmlformats.org/officeDocument/2006/relationships/hyperlink" Target="https://data.bls.gov/timeseries/CUUR0000SSFV031A" TargetMode="External" Id="rId472"/><Relationship Type="http://schemas.openxmlformats.org/officeDocument/2006/relationships/hyperlink" Target="https://data.bls.gov/timeseries/CUSR0000SSFV031A" TargetMode="External" Id="rId473"/><Relationship Type="http://schemas.openxmlformats.org/officeDocument/2006/relationships/hyperlink" Target="https://www.bls.gov/cpi/factsheets/" TargetMode="External" Id="rId474"/><Relationship Type="http://schemas.openxmlformats.org/officeDocument/2006/relationships/hyperlink" Target="https://www.bls.gov/opub/hom/cpi/calculation.htm" TargetMode="External" Id="rId475"/><Relationship Type="http://schemas.openxmlformats.org/officeDocument/2006/relationships/hyperlink" Target="https://data.bls.gov/timeseries/CUUR0000SEFV04" TargetMode="External" Id="rId476"/><Relationship Type="http://schemas.openxmlformats.org/officeDocument/2006/relationships/hyperlink" Target="https://www.bls.gov/cpi/factsheets/" TargetMode="External" Id="rId477"/><Relationship Type="http://schemas.openxmlformats.org/officeDocument/2006/relationships/hyperlink" Target="https://www.bls.gov/opub/hom/cpi/calculation.htm" TargetMode="External" Id="rId478"/><Relationship Type="http://schemas.openxmlformats.org/officeDocument/2006/relationships/hyperlink" Target="https://data.bls.gov/timeseries/CUUR0000SEFV05" TargetMode="External" Id="rId479"/><Relationship Type="http://schemas.openxmlformats.org/officeDocument/2006/relationships/hyperlink" Target="https://data.bls.gov/timeseries/CUSR0000SEFV05" TargetMode="External" Id="rId480"/><Relationship Type="http://schemas.openxmlformats.org/officeDocument/2006/relationships/hyperlink" Target="https://www.bls.gov/cpi/factsheets/" TargetMode="External" Id="rId481"/><Relationship Type="http://schemas.openxmlformats.org/officeDocument/2006/relationships/hyperlink" Target="https://www.bls.gov/opub/hom/cpi/calculation.htm" TargetMode="External" Id="rId482"/><Relationship Type="http://schemas.openxmlformats.org/officeDocument/2006/relationships/hyperlink" Target="https://data.bls.gov/timeseries/CUUR0000SAF116" TargetMode="External" Id="rId483"/><Relationship Type="http://schemas.openxmlformats.org/officeDocument/2006/relationships/hyperlink" Target="https://data.bls.gov/timeseries/CUSR0000SAF116" TargetMode="External" Id="rId484"/><Relationship Type="http://schemas.openxmlformats.org/officeDocument/2006/relationships/hyperlink" Target="https://www.bls.gov/cpi/factsheets/" TargetMode="External" Id="rId485"/><Relationship Type="http://schemas.openxmlformats.org/officeDocument/2006/relationships/hyperlink" Target="https://www.bls.gov/opub/hom/cpi/calculation.htm" TargetMode="External" Id="rId486"/><Relationship Type="http://schemas.openxmlformats.org/officeDocument/2006/relationships/hyperlink" Target="https://data.bls.gov/timeseries/CUUR0000SEFW" TargetMode="External" Id="rId487"/><Relationship Type="http://schemas.openxmlformats.org/officeDocument/2006/relationships/hyperlink" Target="https://data.bls.gov/timeseries/CUSR0000SEFW" TargetMode="External" Id="rId488"/><Relationship Type="http://schemas.openxmlformats.org/officeDocument/2006/relationships/hyperlink" Target="https://www.bls.gov/cpi/factsheets/" TargetMode="External" Id="rId489"/><Relationship Type="http://schemas.openxmlformats.org/officeDocument/2006/relationships/hyperlink" Target="https://www.bls.gov/opub/hom/cpi/calculation.htm" TargetMode="External" Id="rId490"/><Relationship Type="http://schemas.openxmlformats.org/officeDocument/2006/relationships/hyperlink" Target="https://data.bls.gov/timeseries/CUUR0000SEFW01" TargetMode="External" Id="rId491"/><Relationship Type="http://schemas.openxmlformats.org/officeDocument/2006/relationships/hyperlink" Target="https://data.bls.gov/timeseries/CUSR0000SEFW01" TargetMode="External" Id="rId492"/><Relationship Type="http://schemas.openxmlformats.org/officeDocument/2006/relationships/hyperlink" Target="https://www.bls.gov/cpi/factsheets/" TargetMode="External" Id="rId493"/><Relationship Type="http://schemas.openxmlformats.org/officeDocument/2006/relationships/hyperlink" Target="https://www.bls.gov/opub/hom/cpi/calculation.htm" TargetMode="External" Id="rId494"/><Relationship Type="http://schemas.openxmlformats.org/officeDocument/2006/relationships/hyperlink" Target="https://data.bls.gov/timeseries/CUUR0000SEFW02" TargetMode="External" Id="rId495"/><Relationship Type="http://schemas.openxmlformats.org/officeDocument/2006/relationships/hyperlink" Target="https://data.bls.gov/timeseries/CUSR0000SEFW02" TargetMode="External" Id="rId496"/><Relationship Type="http://schemas.openxmlformats.org/officeDocument/2006/relationships/hyperlink" Target="https://www.bls.gov/cpi/factsheets/" TargetMode="External" Id="rId497"/><Relationship Type="http://schemas.openxmlformats.org/officeDocument/2006/relationships/hyperlink" Target="https://www.bls.gov/opub/hom/cpi/calculation.htm" TargetMode="External" Id="rId498"/><Relationship Type="http://schemas.openxmlformats.org/officeDocument/2006/relationships/hyperlink" Target="https://data.bls.gov/timeseries/CUUR0000SS20021" TargetMode="External" Id="rId499"/><Relationship Type="http://schemas.openxmlformats.org/officeDocument/2006/relationships/hyperlink" Target="https://data.bls.gov/timeseries/CUSR0000SS20021" TargetMode="External" Id="rId500"/><Relationship Type="http://schemas.openxmlformats.org/officeDocument/2006/relationships/hyperlink" Target="https://www.bls.gov/cpi/factsheets/" TargetMode="External" Id="rId501"/><Relationship Type="http://schemas.openxmlformats.org/officeDocument/2006/relationships/hyperlink" Target="https://www.bls.gov/opub/hom/cpi/calculation.htm" TargetMode="External" Id="rId502"/><Relationship Type="http://schemas.openxmlformats.org/officeDocument/2006/relationships/hyperlink" Target="https://data.bls.gov/timeseries/CUUR0000SS20022" TargetMode="External" Id="rId503"/><Relationship Type="http://schemas.openxmlformats.org/officeDocument/2006/relationships/hyperlink" Target="https://data.bls.gov/timeseries/CUSR0000SS20022" TargetMode="External" Id="rId504"/><Relationship Type="http://schemas.openxmlformats.org/officeDocument/2006/relationships/hyperlink" Target="https://www.bls.gov/cpi/factsheets/" TargetMode="External" Id="rId505"/><Relationship Type="http://schemas.openxmlformats.org/officeDocument/2006/relationships/hyperlink" Target="https://www.bls.gov/opub/hom/cpi/calculation.htm" TargetMode="External" Id="rId506"/><Relationship Type="http://schemas.openxmlformats.org/officeDocument/2006/relationships/hyperlink" Target="https://data.bls.gov/timeseries/CUUR0000SEFW03" TargetMode="External" Id="rId507"/><Relationship Type="http://schemas.openxmlformats.org/officeDocument/2006/relationships/hyperlink" Target="https://data.bls.gov/timeseries/CUSR0000SEFW03" TargetMode="External" Id="rId508"/><Relationship Type="http://schemas.openxmlformats.org/officeDocument/2006/relationships/hyperlink" Target="https://www.bls.gov/cpi/factsheets/" TargetMode="External" Id="rId509"/><Relationship Type="http://schemas.openxmlformats.org/officeDocument/2006/relationships/hyperlink" Target="https://www.bls.gov/opub/hom/cpi/calculation.htm" TargetMode="External" Id="rId510"/><Relationship Type="http://schemas.openxmlformats.org/officeDocument/2006/relationships/hyperlink" Target="https://data.bls.gov/timeseries/CUUR0000SEFX" TargetMode="External" Id="rId511"/><Relationship Type="http://schemas.openxmlformats.org/officeDocument/2006/relationships/hyperlink" Target="https://data.bls.gov/timeseries/CUSR0000SEFX" TargetMode="External" Id="rId512"/><Relationship Type="http://schemas.openxmlformats.org/officeDocument/2006/relationships/hyperlink" Target="https://www.bls.gov/cpi/factsheets/" TargetMode="External" Id="rId513"/><Relationship Type="http://schemas.openxmlformats.org/officeDocument/2006/relationships/hyperlink" Target="https://www.bls.gov/opub/hom/cpi/calculation.htm" TargetMode="External" Id="rId514"/><Relationship Type="http://schemas.openxmlformats.org/officeDocument/2006/relationships/hyperlink" Target="https://data.bls.gov/timeseries/CUUR0000SS20051" TargetMode="External" Id="rId515"/><Relationship Type="http://schemas.openxmlformats.org/officeDocument/2006/relationships/hyperlink" Target="https://www.bls.gov/cpi/factsheets/" TargetMode="External" Id="rId516"/><Relationship Type="http://schemas.openxmlformats.org/officeDocument/2006/relationships/hyperlink" Target="https://www.bls.gov/opub/hom/cpi/calculation.htm" TargetMode="External" Id="rId517"/><Relationship Type="http://schemas.openxmlformats.org/officeDocument/2006/relationships/hyperlink" Target="https://data.bls.gov/timeseries/CUUR0000SS20052" TargetMode="External" Id="rId518"/><Relationship Type="http://schemas.openxmlformats.org/officeDocument/2006/relationships/hyperlink" Target="https://www.bls.gov/cpi/factsheets/" TargetMode="External" Id="rId519"/><Relationship Type="http://schemas.openxmlformats.org/officeDocument/2006/relationships/hyperlink" Target="https://www.bls.gov/opub/hom/cpi/calculation.htm" TargetMode="External" Id="rId520"/><Relationship Type="http://schemas.openxmlformats.org/officeDocument/2006/relationships/hyperlink" Target="https://data.bls.gov/timeseries/CUUR0000SS20053" TargetMode="External" Id="rId521"/><Relationship Type="http://schemas.openxmlformats.org/officeDocument/2006/relationships/hyperlink" Target="https://data.bls.gov/timeseries/CUSR0000SS20053" TargetMode="External" Id="rId522"/><Relationship Type="http://schemas.openxmlformats.org/officeDocument/2006/relationships/hyperlink" Target="https://www.bls.gov/cpi/factsheets/" TargetMode="External" Id="rId523"/><Relationship Type="http://schemas.openxmlformats.org/officeDocument/2006/relationships/hyperlink" Target="https://www.bls.gov/opub/hom/cpi/calculation.htm" TargetMode="External" Id="rId524"/><Relationship Type="http://schemas.openxmlformats.org/officeDocument/2006/relationships/hyperlink" Target="https://data.bls.gov/timeseries/CUUR0000SAH" TargetMode="External" Id="rId525"/><Relationship Type="http://schemas.openxmlformats.org/officeDocument/2006/relationships/hyperlink" Target="https://data.bls.gov/timeseries/CUSR0000SAH" TargetMode="External" Id="rId526"/><Relationship Type="http://schemas.openxmlformats.org/officeDocument/2006/relationships/hyperlink" Target="https://www.bls.gov/cpi/factsheets/" TargetMode="External" Id="rId527"/><Relationship Type="http://schemas.openxmlformats.org/officeDocument/2006/relationships/hyperlink" Target="https://www.bls.gov/opub/hom/cpi/calculation.htm" TargetMode="External" Id="rId528"/><Relationship Type="http://schemas.openxmlformats.org/officeDocument/2006/relationships/hyperlink" Target="https://data.bls.gov/timeseries/CUUR0000SAH1" TargetMode="External" Id="rId529"/><Relationship Type="http://schemas.openxmlformats.org/officeDocument/2006/relationships/hyperlink" Target="https://data.bls.gov/timeseries/CUSR0000SAH1" TargetMode="External" Id="rId530"/><Relationship Type="http://schemas.openxmlformats.org/officeDocument/2006/relationships/hyperlink" Target="https://www.bls.gov/cpi/factsheets/owners-equivalent-rent-and-rent.htm" TargetMode="External" Id="rId531"/><Relationship Type="http://schemas.openxmlformats.org/officeDocument/2006/relationships/hyperlink" Target="https://www.bls.gov/opub/hom/cpi/calculation.htm" TargetMode="External" Id="rId532"/><Relationship Type="http://schemas.openxmlformats.org/officeDocument/2006/relationships/hyperlink" Target="https://data.bls.gov/timeseries/CUUR0000SEHA" TargetMode="External" Id="rId533"/><Relationship Type="http://schemas.openxmlformats.org/officeDocument/2006/relationships/hyperlink" Target="https://data.bls.gov/timeseries/CUSR0000SEHA" TargetMode="External" Id="rId534"/><Relationship Type="http://schemas.openxmlformats.org/officeDocument/2006/relationships/hyperlink" Target="https://www.bls.gov/cpi/factsheets/" TargetMode="External" Id="rId535"/><Relationship Type="http://schemas.openxmlformats.org/officeDocument/2006/relationships/hyperlink" Target="https://www.bls.gov/opub/hom/cpi/calculation.htm" TargetMode="External" Id="rId536"/><Relationship Type="http://schemas.openxmlformats.org/officeDocument/2006/relationships/hyperlink" Target="https://data.bls.gov/timeseries/CUUR0000SEHB" TargetMode="External" Id="rId537"/><Relationship Type="http://schemas.openxmlformats.org/officeDocument/2006/relationships/hyperlink" Target="https://data.bls.gov/timeseries/CUSR0000SEHB" TargetMode="External" Id="rId538"/><Relationship Type="http://schemas.openxmlformats.org/officeDocument/2006/relationships/hyperlink" Target="https://www.bls.gov/cpi/factsheets/" TargetMode="External" Id="rId539"/><Relationship Type="http://schemas.openxmlformats.org/officeDocument/2006/relationships/hyperlink" Target="https://www.bls.gov/opub/hom/cpi/calculation.htm" TargetMode="External" Id="rId540"/><Relationship Type="http://schemas.openxmlformats.org/officeDocument/2006/relationships/hyperlink" Target="https://data.bls.gov/timeseries/CUUR0000SEHB01" TargetMode="External" Id="rId541"/><Relationship Type="http://schemas.openxmlformats.org/officeDocument/2006/relationships/hyperlink" Target="https://data.bls.gov/timeseries/CUSR0000SEHB01" TargetMode="External" Id="rId542"/><Relationship Type="http://schemas.openxmlformats.org/officeDocument/2006/relationships/hyperlink" Target="https://www.bls.gov/cpi/factsheets/" TargetMode="External" Id="rId543"/><Relationship Type="http://schemas.openxmlformats.org/officeDocument/2006/relationships/hyperlink" Target="https://www.bls.gov/opub/hom/cpi/calculation.htm" TargetMode="External" Id="rId544"/><Relationship Type="http://schemas.openxmlformats.org/officeDocument/2006/relationships/hyperlink" Target="https://data.bls.gov/timeseries/CUUR0000SEHB02" TargetMode="External" Id="rId545"/><Relationship Type="http://schemas.openxmlformats.org/officeDocument/2006/relationships/hyperlink" Target="https://data.bls.gov/timeseries/CUSR0000SEHB02" TargetMode="External" Id="rId546"/><Relationship Type="http://schemas.openxmlformats.org/officeDocument/2006/relationships/hyperlink" Target="https://www.bls.gov/cpi/factsheets/owners-equivalent-rent-and-rent.htm" TargetMode="External" Id="rId547"/><Relationship Type="http://schemas.openxmlformats.org/officeDocument/2006/relationships/hyperlink" Target="https://www.bls.gov/opub/hom/cpi/calculation.htm" TargetMode="External" Id="rId548"/><Relationship Type="http://schemas.openxmlformats.org/officeDocument/2006/relationships/hyperlink" Target="https://data.bls.gov/timeseries/CUUR0000SEHC" TargetMode="External" Id="rId549"/><Relationship Type="http://schemas.openxmlformats.org/officeDocument/2006/relationships/hyperlink" Target="https://data.bls.gov/timeseries/CUSR0000SEHC" TargetMode="External" Id="rId550"/><Relationship Type="http://schemas.openxmlformats.org/officeDocument/2006/relationships/hyperlink" Target="https://www.bls.gov/cpi/factsheets/" TargetMode="External" Id="rId551"/><Relationship Type="http://schemas.openxmlformats.org/officeDocument/2006/relationships/hyperlink" Target="https://www.bls.gov/opub/hom/cpi/calculation.htm" TargetMode="External" Id="rId552"/><Relationship Type="http://schemas.openxmlformats.org/officeDocument/2006/relationships/hyperlink" Target="https://data.bls.gov/timeseries/CUUR0000SEHC01" TargetMode="External" Id="rId553"/><Relationship Type="http://schemas.openxmlformats.org/officeDocument/2006/relationships/hyperlink" Target="https://data.bls.gov/timeseries/CUSR0000SEHC01" TargetMode="External" Id="rId554"/><Relationship Type="http://schemas.openxmlformats.org/officeDocument/2006/relationships/hyperlink" Target="https://www.bls.gov/cpi/factsheets/" TargetMode="External" Id="rId555"/><Relationship Type="http://schemas.openxmlformats.org/officeDocument/2006/relationships/hyperlink" Target="https://www.bls.gov/opub/hom/cpi/calculation.htm" TargetMode="External" Id="rId556"/><Relationship Type="http://schemas.openxmlformats.org/officeDocument/2006/relationships/hyperlink" Target="https://data.bls.gov/timeseries/CUUR0000SEHD" TargetMode="External" Id="rId557"/><Relationship Type="http://schemas.openxmlformats.org/officeDocument/2006/relationships/hyperlink" Target="https://www.bls.gov/cpi/factsheets/" TargetMode="External" Id="rId558"/><Relationship Type="http://schemas.openxmlformats.org/officeDocument/2006/relationships/hyperlink" Target="https://www.bls.gov/opub/hom/cpi/calculation.htm" TargetMode="External" Id="rId559"/><Relationship Type="http://schemas.openxmlformats.org/officeDocument/2006/relationships/hyperlink" Target="https://data.bls.gov/timeseries/CUUR0000SAH2" TargetMode="External" Id="rId560"/><Relationship Type="http://schemas.openxmlformats.org/officeDocument/2006/relationships/hyperlink" Target="https://data.bls.gov/timeseries/CUSR0000SAH2" TargetMode="External" Id="rId561"/><Relationship Type="http://schemas.openxmlformats.org/officeDocument/2006/relationships/hyperlink" Target="https://www.bls.gov/cpi/factsheets/" TargetMode="External" Id="rId562"/><Relationship Type="http://schemas.openxmlformats.org/officeDocument/2006/relationships/hyperlink" Target="https://www.bls.gov/opub/hom/cpi/calculation.htm" TargetMode="External" Id="rId563"/><Relationship Type="http://schemas.openxmlformats.org/officeDocument/2006/relationships/hyperlink" Target="https://data.bls.gov/timeseries/CUUR0000SAH21" TargetMode="External" Id="rId564"/><Relationship Type="http://schemas.openxmlformats.org/officeDocument/2006/relationships/hyperlink" Target="https://data.bls.gov/timeseries/CUSR0000SAH21" TargetMode="External" Id="rId565"/><Relationship Type="http://schemas.openxmlformats.org/officeDocument/2006/relationships/hyperlink" Target="https://www.bls.gov/cpi/factsheets/" TargetMode="External" Id="rId566"/><Relationship Type="http://schemas.openxmlformats.org/officeDocument/2006/relationships/hyperlink" Target="https://www.bls.gov/opub/hom/cpi/calculation.htm" TargetMode="External" Id="rId567"/><Relationship Type="http://schemas.openxmlformats.org/officeDocument/2006/relationships/hyperlink" Target="https://data.bls.gov/timeseries/CUUR0000SEHE" TargetMode="External" Id="rId568"/><Relationship Type="http://schemas.openxmlformats.org/officeDocument/2006/relationships/hyperlink" Target="https://data.bls.gov/timeseries/CUSR0000SEHE" TargetMode="External" Id="rId569"/><Relationship Type="http://schemas.openxmlformats.org/officeDocument/2006/relationships/hyperlink" Target="https://www.bls.gov/cpi/factsheets/" TargetMode="External" Id="rId570"/><Relationship Type="http://schemas.openxmlformats.org/officeDocument/2006/relationships/hyperlink" Target="https://www.bls.gov/opub/hom/cpi/calculation.htm" TargetMode="External" Id="rId571"/><Relationship Type="http://schemas.openxmlformats.org/officeDocument/2006/relationships/hyperlink" Target="https://data.bls.gov/timeseries/CUUR0000SEHE01" TargetMode="External" Id="rId572"/><Relationship Type="http://schemas.openxmlformats.org/officeDocument/2006/relationships/hyperlink" Target="https://data.bls.gov/timeseries/CUSR0000SEHE01" TargetMode="External" Id="rId573"/><Relationship Type="http://schemas.openxmlformats.org/officeDocument/2006/relationships/hyperlink" Target="https://www.bls.gov/cpi/factsheets/" TargetMode="External" Id="rId574"/><Relationship Type="http://schemas.openxmlformats.org/officeDocument/2006/relationships/hyperlink" Target="https://www.bls.gov/opub/hom/cpi/calculation.htm" TargetMode="External" Id="rId575"/><Relationship Type="http://schemas.openxmlformats.org/officeDocument/2006/relationships/hyperlink" Target="https://data.bls.gov/timeseries/CUUR0000SEHE02" TargetMode="External" Id="rId576"/><Relationship Type="http://schemas.openxmlformats.org/officeDocument/2006/relationships/hyperlink" Target="https://data.bls.gov/timeseries/CUSR0000SEHE02" TargetMode="External" Id="rId577"/><Relationship Type="http://schemas.openxmlformats.org/officeDocument/2006/relationships/hyperlink" Target="https://www.bls.gov/cpi/factsheets/" TargetMode="External" Id="rId578"/><Relationship Type="http://schemas.openxmlformats.org/officeDocument/2006/relationships/hyperlink" Target="https://www.bls.gov/opub/hom/cpi/calculation.htm" TargetMode="External" Id="rId579"/><Relationship Type="http://schemas.openxmlformats.org/officeDocument/2006/relationships/hyperlink" Target="https://data.bls.gov/timeseries/CUUR0000SEHF" TargetMode="External" Id="rId580"/><Relationship Type="http://schemas.openxmlformats.org/officeDocument/2006/relationships/hyperlink" Target="https://data.bls.gov/timeseries/CUSR0000SEHF" TargetMode="External" Id="rId581"/><Relationship Type="http://schemas.openxmlformats.org/officeDocument/2006/relationships/hyperlink" Target="https://www.bls.gov/cpi/factsheets/electricity.htm" TargetMode="External" Id="rId582"/><Relationship Type="http://schemas.openxmlformats.org/officeDocument/2006/relationships/hyperlink" Target="https://www.bls.gov/opub/hom/cpi/calculation.htm" TargetMode="External" Id="rId583"/><Relationship Type="http://schemas.openxmlformats.org/officeDocument/2006/relationships/hyperlink" Target="https://data.bls.gov/timeseries/CUUR0000SEHF01" TargetMode="External" Id="rId584"/><Relationship Type="http://schemas.openxmlformats.org/officeDocument/2006/relationships/hyperlink" Target="https://data.bls.gov/timeseries/CUSR0000SEHF01" TargetMode="External" Id="rId585"/><Relationship Type="http://schemas.openxmlformats.org/officeDocument/2006/relationships/hyperlink" Target="https://www.bls.gov/cpi/factsheets/" TargetMode="External" Id="rId586"/><Relationship Type="http://schemas.openxmlformats.org/officeDocument/2006/relationships/hyperlink" Target="https://www.bls.gov/opub/hom/cpi/calculation.htm" TargetMode="External" Id="rId587"/><Relationship Type="http://schemas.openxmlformats.org/officeDocument/2006/relationships/hyperlink" Target="https://data.bls.gov/timeseries/CUUR0000SEHF02" TargetMode="External" Id="rId588"/><Relationship Type="http://schemas.openxmlformats.org/officeDocument/2006/relationships/hyperlink" Target="https://data.bls.gov/timeseries/CUSR0000SEHF02" TargetMode="External" Id="rId589"/><Relationship Type="http://schemas.openxmlformats.org/officeDocument/2006/relationships/hyperlink" Target="https://www.bls.gov/cpi/factsheets/" TargetMode="External" Id="rId590"/><Relationship Type="http://schemas.openxmlformats.org/officeDocument/2006/relationships/hyperlink" Target="https://www.bls.gov/opub/hom/cpi/calculation.htm" TargetMode="External" Id="rId591"/><Relationship Type="http://schemas.openxmlformats.org/officeDocument/2006/relationships/hyperlink" Target="https://data.bls.gov/timeseries/CUUR0000SEHG" TargetMode="External" Id="rId592"/><Relationship Type="http://schemas.openxmlformats.org/officeDocument/2006/relationships/hyperlink" Target="https://data.bls.gov/timeseries/CUSR0000SEHG" TargetMode="External" Id="rId593"/><Relationship Type="http://schemas.openxmlformats.org/officeDocument/2006/relationships/hyperlink" Target="https://www.bls.gov/cpi/factsheets/" TargetMode="External" Id="rId594"/><Relationship Type="http://schemas.openxmlformats.org/officeDocument/2006/relationships/hyperlink" Target="https://www.bls.gov/opub/hom/cpi/calculation.htm" TargetMode="External" Id="rId595"/><Relationship Type="http://schemas.openxmlformats.org/officeDocument/2006/relationships/hyperlink" Target="https://data.bls.gov/timeseries/CUUR0000SEHG01" TargetMode="External" Id="rId596"/><Relationship Type="http://schemas.openxmlformats.org/officeDocument/2006/relationships/hyperlink" Target="https://data.bls.gov/timeseries/CUSR0000SEHG01" TargetMode="External" Id="rId597"/><Relationship Type="http://schemas.openxmlformats.org/officeDocument/2006/relationships/hyperlink" Target="https://www.bls.gov/cpi/factsheets/" TargetMode="External" Id="rId598"/><Relationship Type="http://schemas.openxmlformats.org/officeDocument/2006/relationships/hyperlink" Target="https://www.bls.gov/opub/hom/cpi/calculation.htm" TargetMode="External" Id="rId599"/><Relationship Type="http://schemas.openxmlformats.org/officeDocument/2006/relationships/hyperlink" Target="https://data.bls.gov/timeseries/CUUR0000SEHG02" TargetMode="External" Id="rId600"/><Relationship Type="http://schemas.openxmlformats.org/officeDocument/2006/relationships/hyperlink" Target="https://data.bls.gov/timeseries/CUSR0000SEHG02" TargetMode="External" Id="rId601"/><Relationship Type="http://schemas.openxmlformats.org/officeDocument/2006/relationships/hyperlink" Target="https://www.bls.gov/cpi/factsheets/" TargetMode="External" Id="rId602"/><Relationship Type="http://schemas.openxmlformats.org/officeDocument/2006/relationships/hyperlink" Target="https://www.bls.gov/opub/hom/cpi/calculation.htm" TargetMode="External" Id="rId603"/><Relationship Type="http://schemas.openxmlformats.org/officeDocument/2006/relationships/hyperlink" Target="https://data.bls.gov/timeseries/CUUR0000SAH3" TargetMode="External" Id="rId604"/><Relationship Type="http://schemas.openxmlformats.org/officeDocument/2006/relationships/hyperlink" Target="https://data.bls.gov/timeseries/CUSR0000SAH3" TargetMode="External" Id="rId605"/><Relationship Type="http://schemas.openxmlformats.org/officeDocument/2006/relationships/hyperlink" Target="https://www.bls.gov/cpi/factsheets/" TargetMode="External" Id="rId606"/><Relationship Type="http://schemas.openxmlformats.org/officeDocument/2006/relationships/hyperlink" Target="https://www.bls.gov/opub/hom/cpi/calculation.htm" TargetMode="External" Id="rId607"/><Relationship Type="http://schemas.openxmlformats.org/officeDocument/2006/relationships/hyperlink" Target="https://data.bls.gov/timeseries/CUUR0000SEHH" TargetMode="External" Id="rId608"/><Relationship Type="http://schemas.openxmlformats.org/officeDocument/2006/relationships/hyperlink" Target="https://data.bls.gov/timeseries/CUSR0000SEHH" TargetMode="External" Id="rId609"/><Relationship Type="http://schemas.openxmlformats.org/officeDocument/2006/relationships/hyperlink" Target="https://www.bls.gov/cpi/factsheets/" TargetMode="External" Id="rId610"/><Relationship Type="http://schemas.openxmlformats.org/officeDocument/2006/relationships/hyperlink" Target="https://www.bls.gov/opub/hom/cpi/calculation.htm" TargetMode="External" Id="rId611"/><Relationship Type="http://schemas.openxmlformats.org/officeDocument/2006/relationships/hyperlink" Target="https://data.bls.gov/timeseries/CUUR0000SEHH01" TargetMode="External" Id="rId612"/><Relationship Type="http://schemas.openxmlformats.org/officeDocument/2006/relationships/hyperlink" Target="https://www.bls.gov/cpi/factsheets/" TargetMode="External" Id="rId613"/><Relationship Type="http://schemas.openxmlformats.org/officeDocument/2006/relationships/hyperlink" Target="https://www.bls.gov/opub/hom/cpi/calculation.htm" TargetMode="External" Id="rId614"/><Relationship Type="http://schemas.openxmlformats.org/officeDocument/2006/relationships/hyperlink" Target="https://data.bls.gov/timeseries/CUUR0000SEHH02" TargetMode="External" Id="rId615"/><Relationship Type="http://schemas.openxmlformats.org/officeDocument/2006/relationships/hyperlink" Target="https://data.bls.gov/timeseries/CUSR0000SEHH02" TargetMode="External" Id="rId616"/><Relationship Type="http://schemas.openxmlformats.org/officeDocument/2006/relationships/hyperlink" Target="https://www.bls.gov/cpi/factsheets/" TargetMode="External" Id="rId617"/><Relationship Type="http://schemas.openxmlformats.org/officeDocument/2006/relationships/hyperlink" Target="https://www.bls.gov/opub/hom/cpi/calculation.htm" TargetMode="External" Id="rId618"/><Relationship Type="http://schemas.openxmlformats.org/officeDocument/2006/relationships/hyperlink" Target="https://data.bls.gov/timeseries/CUUR0000SEHH03" TargetMode="External" Id="rId619"/><Relationship Type="http://schemas.openxmlformats.org/officeDocument/2006/relationships/hyperlink" Target="https://data.bls.gov/timeseries/CUSR0000SEHH03" TargetMode="External" Id="rId620"/><Relationship Type="http://schemas.openxmlformats.org/officeDocument/2006/relationships/hyperlink" Target="https://www.bls.gov/cpi/factsheets/" TargetMode="External" Id="rId621"/><Relationship Type="http://schemas.openxmlformats.org/officeDocument/2006/relationships/hyperlink" Target="https://www.bls.gov/opub/hom/cpi/calculation.htm" TargetMode="External" Id="rId622"/><Relationship Type="http://schemas.openxmlformats.org/officeDocument/2006/relationships/hyperlink" Target="https://data.bls.gov/timeseries/CUUR0000SEHJ" TargetMode="External" Id="rId623"/><Relationship Type="http://schemas.openxmlformats.org/officeDocument/2006/relationships/hyperlink" Target="https://data.bls.gov/timeseries/CUSR0000SEHJ" TargetMode="External" Id="rId624"/><Relationship Type="http://schemas.openxmlformats.org/officeDocument/2006/relationships/hyperlink" Target="https://www.bls.gov/cpi/factsheets/" TargetMode="External" Id="rId625"/><Relationship Type="http://schemas.openxmlformats.org/officeDocument/2006/relationships/hyperlink" Target="https://www.bls.gov/opub/hom/cpi/calculation.htm" TargetMode="External" Id="rId626"/><Relationship Type="http://schemas.openxmlformats.org/officeDocument/2006/relationships/hyperlink" Target="https://data.bls.gov/timeseries/CUUR0000SEHJ01" TargetMode="External" Id="rId627"/><Relationship Type="http://schemas.openxmlformats.org/officeDocument/2006/relationships/hyperlink" Target="https://www.bls.gov/cpi/factsheets/" TargetMode="External" Id="rId628"/><Relationship Type="http://schemas.openxmlformats.org/officeDocument/2006/relationships/hyperlink" Target="https://www.bls.gov/opub/hom/cpi/calculation.htm" TargetMode="External" Id="rId629"/><Relationship Type="http://schemas.openxmlformats.org/officeDocument/2006/relationships/hyperlink" Target="https://data.bls.gov/timeseries/CUUR0000SEHJ02" TargetMode="External" Id="rId630"/><Relationship Type="http://schemas.openxmlformats.org/officeDocument/2006/relationships/hyperlink" Target="https://www.bls.gov/cpi/factsheets/" TargetMode="External" Id="rId631"/><Relationship Type="http://schemas.openxmlformats.org/officeDocument/2006/relationships/hyperlink" Target="https://www.bls.gov/opub/hom/cpi/calculation.htm" TargetMode="External" Id="rId632"/><Relationship Type="http://schemas.openxmlformats.org/officeDocument/2006/relationships/hyperlink" Target="https://data.bls.gov/timeseries/CUUR0000SEHJ03" TargetMode="External" Id="rId633"/><Relationship Type="http://schemas.openxmlformats.org/officeDocument/2006/relationships/hyperlink" Target="https://data.bls.gov/timeseries/CUSR0000SEHJ03" TargetMode="External" Id="rId634"/><Relationship Type="http://schemas.openxmlformats.org/officeDocument/2006/relationships/hyperlink" Target="https://www.bls.gov/cpi/factsheets/" TargetMode="External" Id="rId635"/><Relationship Type="http://schemas.openxmlformats.org/officeDocument/2006/relationships/hyperlink" Target="https://www.bls.gov/opub/hom/cpi/calculation.htm" TargetMode="External" Id="rId636"/><Relationship Type="http://schemas.openxmlformats.org/officeDocument/2006/relationships/hyperlink" Target="https://data.bls.gov/timeseries/CUUR0000SSHJ031" TargetMode="External" Id="rId637"/><Relationship Type="http://schemas.openxmlformats.org/officeDocument/2006/relationships/hyperlink" Target="https://www.bls.gov/cpi/factsheets/" TargetMode="External" Id="rId638"/><Relationship Type="http://schemas.openxmlformats.org/officeDocument/2006/relationships/hyperlink" Target="https://www.bls.gov/opub/hom/cpi/calculation.htm" TargetMode="External" Id="rId639"/><Relationship Type="http://schemas.openxmlformats.org/officeDocument/2006/relationships/hyperlink" Target="https://data.bls.gov/timeseries/CUUR0000SEHK" TargetMode="External" Id="rId640"/><Relationship Type="http://schemas.openxmlformats.org/officeDocument/2006/relationships/hyperlink" Target="https://data.bls.gov/timeseries/CUSR0000SEHK" TargetMode="External" Id="rId641"/><Relationship Type="http://schemas.openxmlformats.org/officeDocument/2006/relationships/hyperlink" Target="https://www.bls.gov/cpi/factsheets/" TargetMode="External" Id="rId642"/><Relationship Type="http://schemas.openxmlformats.org/officeDocument/2006/relationships/hyperlink" Target="https://www.bls.gov/opub/hom/cpi/calculation.htm" TargetMode="External" Id="rId643"/><Relationship Type="http://schemas.openxmlformats.org/officeDocument/2006/relationships/hyperlink" Target="https://data.bls.gov/timeseries/CUUR0000SEHK01" TargetMode="External" Id="rId644"/><Relationship Type="http://schemas.openxmlformats.org/officeDocument/2006/relationships/hyperlink" Target="https://data.bls.gov/timeseries/CUSR0000SEHK01" TargetMode="External" Id="rId645"/><Relationship Type="http://schemas.openxmlformats.org/officeDocument/2006/relationships/hyperlink" Target="https://www.bls.gov/cpi/factsheets/" TargetMode="External" Id="rId646"/><Relationship Type="http://schemas.openxmlformats.org/officeDocument/2006/relationships/hyperlink" Target="https://www.bls.gov/opub/hom/cpi/calculation.htm" TargetMode="External" Id="rId647"/><Relationship Type="http://schemas.openxmlformats.org/officeDocument/2006/relationships/hyperlink" Target="https://data.bls.gov/timeseries/CUUR0000SS30021" TargetMode="External" Id="rId648"/><Relationship Type="http://schemas.openxmlformats.org/officeDocument/2006/relationships/hyperlink" Target="https://data.bls.gov/timeseries/CUSR0000SS30021" TargetMode="External" Id="rId649"/><Relationship Type="http://schemas.openxmlformats.org/officeDocument/2006/relationships/hyperlink" Target="https://www.bls.gov/cpi/factsheets/" TargetMode="External" Id="rId650"/><Relationship Type="http://schemas.openxmlformats.org/officeDocument/2006/relationships/hyperlink" Target="https://www.bls.gov/opub/hom/cpi/calculation.htm" TargetMode="External" Id="rId651"/><Relationship Type="http://schemas.openxmlformats.org/officeDocument/2006/relationships/hyperlink" Target="https://data.bls.gov/timeseries/CUUR0000SEHK02" TargetMode="External" Id="rId652"/><Relationship Type="http://schemas.openxmlformats.org/officeDocument/2006/relationships/hyperlink" Target="https://data.bls.gov/timeseries/CUSR0000SEHK02" TargetMode="External" Id="rId653"/><Relationship Type="http://schemas.openxmlformats.org/officeDocument/2006/relationships/hyperlink" Target="https://www.bls.gov/cpi/factsheets/" TargetMode="External" Id="rId654"/><Relationship Type="http://schemas.openxmlformats.org/officeDocument/2006/relationships/hyperlink" Target="https://www.bls.gov/opub/hom/cpi/calculation.htm" TargetMode="External" Id="rId655"/><Relationship Type="http://schemas.openxmlformats.org/officeDocument/2006/relationships/hyperlink" Target="https://data.bls.gov/timeseries/CUUR0000SEHL" TargetMode="External" Id="rId656"/><Relationship Type="http://schemas.openxmlformats.org/officeDocument/2006/relationships/hyperlink" Target="https://data.bls.gov/timeseries/CUSR0000SEHL" TargetMode="External" Id="rId657"/><Relationship Type="http://schemas.openxmlformats.org/officeDocument/2006/relationships/hyperlink" Target="https://www.bls.gov/cpi/factsheets/" TargetMode="External" Id="rId658"/><Relationship Type="http://schemas.openxmlformats.org/officeDocument/2006/relationships/hyperlink" Target="https://www.bls.gov/opub/hom/cpi/calculation.htm" TargetMode="External" Id="rId659"/><Relationship Type="http://schemas.openxmlformats.org/officeDocument/2006/relationships/hyperlink" Target="https://data.bls.gov/timeseries/CUUR0000SEHL01" TargetMode="External" Id="rId660"/><Relationship Type="http://schemas.openxmlformats.org/officeDocument/2006/relationships/hyperlink" Target="https://www.bls.gov/cpi/factsheets/" TargetMode="External" Id="rId661"/><Relationship Type="http://schemas.openxmlformats.org/officeDocument/2006/relationships/hyperlink" Target="https://www.bls.gov/opub/hom/cpi/calculation.htm" TargetMode="External" Id="rId662"/><Relationship Type="http://schemas.openxmlformats.org/officeDocument/2006/relationships/hyperlink" Target="https://data.bls.gov/timeseries/CUUR0000SEHL02" TargetMode="External" Id="rId663"/><Relationship Type="http://schemas.openxmlformats.org/officeDocument/2006/relationships/hyperlink" Target="https://data.bls.gov/timeseries/CUSR0000SEHL02" TargetMode="External" Id="rId664"/><Relationship Type="http://schemas.openxmlformats.org/officeDocument/2006/relationships/hyperlink" Target="https://www.bls.gov/cpi/factsheets/" TargetMode="External" Id="rId665"/><Relationship Type="http://schemas.openxmlformats.org/officeDocument/2006/relationships/hyperlink" Target="https://www.bls.gov/opub/hom/cpi/calculation.htm" TargetMode="External" Id="rId666"/><Relationship Type="http://schemas.openxmlformats.org/officeDocument/2006/relationships/hyperlink" Target="https://data.bls.gov/timeseries/CUUR0000SEHL03" TargetMode="External" Id="rId667"/><Relationship Type="http://schemas.openxmlformats.org/officeDocument/2006/relationships/hyperlink" Target="https://www.bls.gov/cpi/factsheets/" TargetMode="External" Id="rId668"/><Relationship Type="http://schemas.openxmlformats.org/officeDocument/2006/relationships/hyperlink" Target="https://www.bls.gov/opub/hom/cpi/calculation.htm" TargetMode="External" Id="rId669"/><Relationship Type="http://schemas.openxmlformats.org/officeDocument/2006/relationships/hyperlink" Target="https://data.bls.gov/timeseries/CUUR0000SEHL04" TargetMode="External" Id="rId670"/><Relationship Type="http://schemas.openxmlformats.org/officeDocument/2006/relationships/hyperlink" Target="https://data.bls.gov/timeseries/CUSR0000SEHL04" TargetMode="External" Id="rId671"/><Relationship Type="http://schemas.openxmlformats.org/officeDocument/2006/relationships/hyperlink" Target="https://www.bls.gov/cpi/factsheets/" TargetMode="External" Id="rId672"/><Relationship Type="http://schemas.openxmlformats.org/officeDocument/2006/relationships/hyperlink" Target="https://www.bls.gov/opub/hom/cpi/calculation.htm" TargetMode="External" Id="rId673"/><Relationship Type="http://schemas.openxmlformats.org/officeDocument/2006/relationships/hyperlink" Target="https://data.bls.gov/timeseries/CUUR0000SEHM" TargetMode="External" Id="rId674"/><Relationship Type="http://schemas.openxmlformats.org/officeDocument/2006/relationships/hyperlink" Target="https://data.bls.gov/timeseries/CUSR0000SEHM" TargetMode="External" Id="rId675"/><Relationship Type="http://schemas.openxmlformats.org/officeDocument/2006/relationships/hyperlink" Target="https://www.bls.gov/cpi/factsheets/" TargetMode="External" Id="rId676"/><Relationship Type="http://schemas.openxmlformats.org/officeDocument/2006/relationships/hyperlink" Target="https://www.bls.gov/opub/hom/cpi/calculation.htm" TargetMode="External" Id="rId677"/><Relationship Type="http://schemas.openxmlformats.org/officeDocument/2006/relationships/hyperlink" Target="https://data.bls.gov/timeseries/CUUR0000SEHM01" TargetMode="External" Id="rId678"/><Relationship Type="http://schemas.openxmlformats.org/officeDocument/2006/relationships/hyperlink" Target="https://data.bls.gov/timeseries/CUSR0000SEHM01" TargetMode="External" Id="rId679"/><Relationship Type="http://schemas.openxmlformats.org/officeDocument/2006/relationships/hyperlink" Target="https://www.bls.gov/cpi/factsheets/" TargetMode="External" Id="rId680"/><Relationship Type="http://schemas.openxmlformats.org/officeDocument/2006/relationships/hyperlink" Target="https://www.bls.gov/opub/hom/cpi/calculation.htm" TargetMode="External" Id="rId681"/><Relationship Type="http://schemas.openxmlformats.org/officeDocument/2006/relationships/hyperlink" Target="https://data.bls.gov/timeseries/CUUR0000SEHM02" TargetMode="External" Id="rId682"/><Relationship Type="http://schemas.openxmlformats.org/officeDocument/2006/relationships/hyperlink" Target="https://data.bls.gov/timeseries/CUSR0000SEHM02" TargetMode="External" Id="rId683"/><Relationship Type="http://schemas.openxmlformats.org/officeDocument/2006/relationships/hyperlink" Target="https://www.bls.gov/cpi/factsheets/" TargetMode="External" Id="rId684"/><Relationship Type="http://schemas.openxmlformats.org/officeDocument/2006/relationships/hyperlink" Target="https://www.bls.gov/opub/hom/cpi/calculation.htm" TargetMode="External" Id="rId685"/><Relationship Type="http://schemas.openxmlformats.org/officeDocument/2006/relationships/hyperlink" Target="https://data.bls.gov/timeseries/CUUR0000SEHN" TargetMode="External" Id="rId686"/><Relationship Type="http://schemas.openxmlformats.org/officeDocument/2006/relationships/hyperlink" Target="https://data.bls.gov/timeseries/CUSR0000SEHN" TargetMode="External" Id="rId687"/><Relationship Type="http://schemas.openxmlformats.org/officeDocument/2006/relationships/hyperlink" Target="https://www.bls.gov/cpi/factsheets/" TargetMode="External" Id="rId688"/><Relationship Type="http://schemas.openxmlformats.org/officeDocument/2006/relationships/hyperlink" Target="https://www.bls.gov/opub/hom/cpi/calculation.htm" TargetMode="External" Id="rId689"/><Relationship Type="http://schemas.openxmlformats.org/officeDocument/2006/relationships/hyperlink" Target="https://data.bls.gov/timeseries/CUUR0000SEHN01" TargetMode="External" Id="rId690"/><Relationship Type="http://schemas.openxmlformats.org/officeDocument/2006/relationships/hyperlink" Target="https://data.bls.gov/timeseries/CUSR0000SEHN01" TargetMode="External" Id="rId691"/><Relationship Type="http://schemas.openxmlformats.org/officeDocument/2006/relationships/hyperlink" Target="https://www.bls.gov/cpi/factsheets/" TargetMode="External" Id="rId692"/><Relationship Type="http://schemas.openxmlformats.org/officeDocument/2006/relationships/hyperlink" Target="https://www.bls.gov/opub/hom/cpi/calculation.htm" TargetMode="External" Id="rId693"/><Relationship Type="http://schemas.openxmlformats.org/officeDocument/2006/relationships/hyperlink" Target="https://data.bls.gov/timeseries/CUUR0000SEHN02" TargetMode="External" Id="rId694"/><Relationship Type="http://schemas.openxmlformats.org/officeDocument/2006/relationships/hyperlink" Target="https://www.bls.gov/cpi/factsheets/" TargetMode="External" Id="rId695"/><Relationship Type="http://schemas.openxmlformats.org/officeDocument/2006/relationships/hyperlink" Target="https://www.bls.gov/opub/hom/cpi/calculation.htm" TargetMode="External" Id="rId696"/><Relationship Type="http://schemas.openxmlformats.org/officeDocument/2006/relationships/hyperlink" Target="https://data.bls.gov/timeseries/CUUR0000SEHN03" TargetMode="External" Id="rId697"/><Relationship Type="http://schemas.openxmlformats.org/officeDocument/2006/relationships/hyperlink" Target="https://data.bls.gov/timeseries/CUSR0000SEHN03" TargetMode="External" Id="rId698"/><Relationship Type="http://schemas.openxmlformats.org/officeDocument/2006/relationships/hyperlink" Target="https://www.bls.gov/cpi/factsheets/" TargetMode="External" Id="rId699"/><Relationship Type="http://schemas.openxmlformats.org/officeDocument/2006/relationships/hyperlink" Target="https://www.bls.gov/opub/hom/cpi/calculation.htm" TargetMode="External" Id="rId700"/><Relationship Type="http://schemas.openxmlformats.org/officeDocument/2006/relationships/hyperlink" Target="https://data.bls.gov/timeseries/CUUR0000SEHP" TargetMode="External" Id="rId701"/><Relationship Type="http://schemas.openxmlformats.org/officeDocument/2006/relationships/hyperlink" Target="https://www.bls.gov/cpi/factsheets/" TargetMode="External" Id="rId702"/><Relationship Type="http://schemas.openxmlformats.org/officeDocument/2006/relationships/hyperlink" Target="https://www.bls.gov/opub/hom/cpi/calculation.htm" TargetMode="External" Id="rId703"/><Relationship Type="http://schemas.openxmlformats.org/officeDocument/2006/relationships/hyperlink" Target="https://data.bls.gov/timeseries/CUUR0000SEHP01" TargetMode="External" Id="rId704"/><Relationship Type="http://schemas.openxmlformats.org/officeDocument/2006/relationships/hyperlink" Target="https://www.bls.gov/cpi/factsheets/" TargetMode="External" Id="rId705"/><Relationship Type="http://schemas.openxmlformats.org/officeDocument/2006/relationships/hyperlink" Target="https://www.bls.gov/opub/hom/cpi/calculation.htm" TargetMode="External" Id="rId706"/><Relationship Type="http://schemas.openxmlformats.org/officeDocument/2006/relationships/hyperlink" Target="https://data.bls.gov/timeseries/CUUR0000SEHP02" TargetMode="External" Id="rId707"/><Relationship Type="http://schemas.openxmlformats.org/officeDocument/2006/relationships/hyperlink" Target="https://www.bls.gov/cpi/factsheets/" TargetMode="External" Id="rId708"/><Relationship Type="http://schemas.openxmlformats.org/officeDocument/2006/relationships/hyperlink" Target="https://www.bls.gov/opub/hom/cpi/calculation.htm" TargetMode="External" Id="rId709"/><Relationship Type="http://schemas.openxmlformats.org/officeDocument/2006/relationships/hyperlink" Target="https://data.bls.gov/timeseries/CUUR0000SEHP03" TargetMode="External" Id="rId710"/><Relationship Type="http://schemas.openxmlformats.org/officeDocument/2006/relationships/hyperlink" Target="https://data.bls.gov/timeseries/CUSR0000SEHP03" TargetMode="External" Id="rId711"/><Relationship Type="http://schemas.openxmlformats.org/officeDocument/2006/relationships/hyperlink" Target="https://www.bls.gov/cpi/factsheets/" TargetMode="External" Id="rId712"/><Relationship Type="http://schemas.openxmlformats.org/officeDocument/2006/relationships/hyperlink" Target="https://www.bls.gov/opub/hom/cpi/calculation.htm" TargetMode="External" Id="rId713"/><Relationship Type="http://schemas.openxmlformats.org/officeDocument/2006/relationships/hyperlink" Target="https://data.bls.gov/timeseries/CUUR0000SEHP04" TargetMode="External" Id="rId714"/><Relationship Type="http://schemas.openxmlformats.org/officeDocument/2006/relationships/hyperlink" Target="https://www.bls.gov/cpi/factsheets/" TargetMode="External" Id="rId715"/><Relationship Type="http://schemas.openxmlformats.org/officeDocument/2006/relationships/hyperlink" Target="https://www.bls.gov/opub/hom/cpi/calculation.htm" TargetMode="External" Id="rId716"/><Relationship Type="http://schemas.openxmlformats.org/officeDocument/2006/relationships/hyperlink" Target="https://data.bls.gov/timeseries/CUUR0000SAA" TargetMode="External" Id="rId717"/><Relationship Type="http://schemas.openxmlformats.org/officeDocument/2006/relationships/hyperlink" Target="https://data.bls.gov/timeseries/CUSR0000SAA" TargetMode="External" Id="rId718"/><Relationship Type="http://schemas.openxmlformats.org/officeDocument/2006/relationships/hyperlink" Target="https://www.bls.gov/cpi/factsheets/" TargetMode="External" Id="rId719"/><Relationship Type="http://schemas.openxmlformats.org/officeDocument/2006/relationships/hyperlink" Target="https://www.bls.gov/opub/hom/cpi/calculation.htm" TargetMode="External" Id="rId720"/><Relationship Type="http://schemas.openxmlformats.org/officeDocument/2006/relationships/hyperlink" Target="https://data.bls.gov/timeseries/CUUR0000SAA1" TargetMode="External" Id="rId721"/><Relationship Type="http://schemas.openxmlformats.org/officeDocument/2006/relationships/hyperlink" Target="https://data.bls.gov/timeseries/CUSR0000SAA1" TargetMode="External" Id="rId722"/><Relationship Type="http://schemas.openxmlformats.org/officeDocument/2006/relationships/hyperlink" Target="https://www.bls.gov/cpi/factsheets/" TargetMode="External" Id="rId723"/><Relationship Type="http://schemas.openxmlformats.org/officeDocument/2006/relationships/hyperlink" Target="https://www.bls.gov/opub/hom/cpi/calculation.htm" TargetMode="External" Id="rId724"/><Relationship Type="http://schemas.openxmlformats.org/officeDocument/2006/relationships/hyperlink" Target="https://data.bls.gov/timeseries/CUUR0000SEAA" TargetMode="External" Id="rId725"/><Relationship Type="http://schemas.openxmlformats.org/officeDocument/2006/relationships/hyperlink" Target="https://data.bls.gov/timeseries/CUSR0000SEAA" TargetMode="External" Id="rId726"/><Relationship Type="http://schemas.openxmlformats.org/officeDocument/2006/relationships/hyperlink" Target="https://www.bls.gov/cpi/factsheets/" TargetMode="External" Id="rId727"/><Relationship Type="http://schemas.openxmlformats.org/officeDocument/2006/relationships/hyperlink" Target="https://www.bls.gov/opub/hom/cpi/calculation.htm" TargetMode="External" Id="rId728"/><Relationship Type="http://schemas.openxmlformats.org/officeDocument/2006/relationships/hyperlink" Target="https://data.bls.gov/timeseries/CUUR0000SEAA01" TargetMode="External" Id="rId729"/><Relationship Type="http://schemas.openxmlformats.org/officeDocument/2006/relationships/hyperlink" Target="https://data.bls.gov/timeseries/CUSR0000SEAA01" TargetMode="External" Id="rId730"/><Relationship Type="http://schemas.openxmlformats.org/officeDocument/2006/relationships/hyperlink" Target="https://www.bls.gov/cpi/factsheets/" TargetMode="External" Id="rId731"/><Relationship Type="http://schemas.openxmlformats.org/officeDocument/2006/relationships/hyperlink" Target="https://www.bls.gov/opub/hom/cpi/calculation.htm" TargetMode="External" Id="rId732"/><Relationship Type="http://schemas.openxmlformats.org/officeDocument/2006/relationships/hyperlink" Target="https://data.bls.gov/timeseries/CUUR0000SEAA02" TargetMode="External" Id="rId733"/><Relationship Type="http://schemas.openxmlformats.org/officeDocument/2006/relationships/hyperlink" Target="https://data.bls.gov/timeseries/CUSR0000SEAA02" TargetMode="External" Id="rId734"/><Relationship Type="http://schemas.openxmlformats.org/officeDocument/2006/relationships/hyperlink" Target="https://www.bls.gov/cpi/factsheets/" TargetMode="External" Id="rId735"/><Relationship Type="http://schemas.openxmlformats.org/officeDocument/2006/relationships/hyperlink" Target="https://www.bls.gov/opub/hom/cpi/calculation.htm" TargetMode="External" Id="rId736"/><Relationship Type="http://schemas.openxmlformats.org/officeDocument/2006/relationships/hyperlink" Target="https://data.bls.gov/timeseries/CUUR0000SEAA03" TargetMode="External" Id="rId737"/><Relationship Type="http://schemas.openxmlformats.org/officeDocument/2006/relationships/hyperlink" Target="https://data.bls.gov/timeseries/CUSR0000SEAA03" TargetMode="External" Id="rId738"/><Relationship Type="http://schemas.openxmlformats.org/officeDocument/2006/relationships/hyperlink" Target="https://www.bls.gov/cpi/factsheets/" TargetMode="External" Id="rId739"/><Relationship Type="http://schemas.openxmlformats.org/officeDocument/2006/relationships/hyperlink" Target="https://www.bls.gov/opub/hom/cpi/calculation.htm" TargetMode="External" Id="rId740"/><Relationship Type="http://schemas.openxmlformats.org/officeDocument/2006/relationships/hyperlink" Target="https://data.bls.gov/timeseries/CUUR0000SEAA04" TargetMode="External" Id="rId741"/><Relationship Type="http://schemas.openxmlformats.org/officeDocument/2006/relationships/hyperlink" Target="https://data.bls.gov/timeseries/CUSR0000SEAA04" TargetMode="External" Id="rId742"/><Relationship Type="http://schemas.openxmlformats.org/officeDocument/2006/relationships/hyperlink" Target="https://www.bls.gov/cpi/factsheets/" TargetMode="External" Id="rId743"/><Relationship Type="http://schemas.openxmlformats.org/officeDocument/2006/relationships/hyperlink" Target="https://www.bls.gov/opub/hom/cpi/calculation.htm" TargetMode="External" Id="rId744"/><Relationship Type="http://schemas.openxmlformats.org/officeDocument/2006/relationships/hyperlink" Target="https://data.bls.gov/timeseries/CUUR0000SEAB" TargetMode="External" Id="rId745"/><Relationship Type="http://schemas.openxmlformats.org/officeDocument/2006/relationships/hyperlink" Target="https://data.bls.gov/timeseries/CUSR0000SEAB" TargetMode="External" Id="rId746"/><Relationship Type="http://schemas.openxmlformats.org/officeDocument/2006/relationships/hyperlink" Target="https://www.bls.gov/cpi/factsheets/" TargetMode="External" Id="rId747"/><Relationship Type="http://schemas.openxmlformats.org/officeDocument/2006/relationships/hyperlink" Target="https://www.bls.gov/opub/hom/cpi/calculation.htm" TargetMode="External" Id="rId748"/><Relationship Type="http://schemas.openxmlformats.org/officeDocument/2006/relationships/hyperlink" Target="https://data.bls.gov/timeseries/CUUR0000SAA2" TargetMode="External" Id="rId749"/><Relationship Type="http://schemas.openxmlformats.org/officeDocument/2006/relationships/hyperlink" Target="https://data.bls.gov/timeseries/CUSR0000SAA2" TargetMode="External" Id="rId750"/><Relationship Type="http://schemas.openxmlformats.org/officeDocument/2006/relationships/hyperlink" Target="https://www.bls.gov/cpi/factsheets/" TargetMode="External" Id="rId751"/><Relationship Type="http://schemas.openxmlformats.org/officeDocument/2006/relationships/hyperlink" Target="https://www.bls.gov/opub/hom/cpi/calculation.htm" TargetMode="External" Id="rId752"/><Relationship Type="http://schemas.openxmlformats.org/officeDocument/2006/relationships/hyperlink" Target="https://data.bls.gov/timeseries/CUUR0000SEAC" TargetMode="External" Id="rId753"/><Relationship Type="http://schemas.openxmlformats.org/officeDocument/2006/relationships/hyperlink" Target="https://data.bls.gov/timeseries/CUSR0000SEAC" TargetMode="External" Id="rId754"/><Relationship Type="http://schemas.openxmlformats.org/officeDocument/2006/relationships/hyperlink" Target="https://www.bls.gov/cpi/factsheets/" TargetMode="External" Id="rId755"/><Relationship Type="http://schemas.openxmlformats.org/officeDocument/2006/relationships/hyperlink" Target="https://www.bls.gov/opub/hom/cpi/calculation.htm" TargetMode="External" Id="rId756"/><Relationship Type="http://schemas.openxmlformats.org/officeDocument/2006/relationships/hyperlink" Target="https://data.bls.gov/timeseries/CUUR0000SEAC01" TargetMode="External" Id="rId757"/><Relationship Type="http://schemas.openxmlformats.org/officeDocument/2006/relationships/hyperlink" Target="https://data.bls.gov/timeseries/CUSR0000SEAC01" TargetMode="External" Id="rId758"/><Relationship Type="http://schemas.openxmlformats.org/officeDocument/2006/relationships/hyperlink" Target="https://www.bls.gov/cpi/factsheets/" TargetMode="External" Id="rId759"/><Relationship Type="http://schemas.openxmlformats.org/officeDocument/2006/relationships/hyperlink" Target="https://www.bls.gov/opub/hom/cpi/calculation.htm" TargetMode="External" Id="rId760"/><Relationship Type="http://schemas.openxmlformats.org/officeDocument/2006/relationships/hyperlink" Target="https://data.bls.gov/timeseries/CUUR0000SEAC02" TargetMode="External" Id="rId761"/><Relationship Type="http://schemas.openxmlformats.org/officeDocument/2006/relationships/hyperlink" Target="https://data.bls.gov/timeseries/CUSR0000SEAC02" TargetMode="External" Id="rId762"/><Relationship Type="http://schemas.openxmlformats.org/officeDocument/2006/relationships/hyperlink" Target="https://www.bls.gov/cpi/factsheets/" TargetMode="External" Id="rId763"/><Relationship Type="http://schemas.openxmlformats.org/officeDocument/2006/relationships/hyperlink" Target="https://www.bls.gov/opub/hom/cpi/calculation.htm" TargetMode="External" Id="rId764"/><Relationship Type="http://schemas.openxmlformats.org/officeDocument/2006/relationships/hyperlink" Target="https://data.bls.gov/timeseries/CUUR0000SEAC03" TargetMode="External" Id="rId765"/><Relationship Type="http://schemas.openxmlformats.org/officeDocument/2006/relationships/hyperlink" Target="https://data.bls.gov/timeseries/CUSR0000SEAC03" TargetMode="External" Id="rId766"/><Relationship Type="http://schemas.openxmlformats.org/officeDocument/2006/relationships/hyperlink" Target="https://www.bls.gov/cpi/factsheets/" TargetMode="External" Id="rId767"/><Relationship Type="http://schemas.openxmlformats.org/officeDocument/2006/relationships/hyperlink" Target="https://www.bls.gov/opub/hom/cpi/calculation.htm" TargetMode="External" Id="rId768"/><Relationship Type="http://schemas.openxmlformats.org/officeDocument/2006/relationships/hyperlink" Target="https://data.bls.gov/timeseries/CUUR0000SEAC04" TargetMode="External" Id="rId769"/><Relationship Type="http://schemas.openxmlformats.org/officeDocument/2006/relationships/hyperlink" Target="https://data.bls.gov/timeseries/CUSR0000SEAC04" TargetMode="External" Id="rId770"/><Relationship Type="http://schemas.openxmlformats.org/officeDocument/2006/relationships/hyperlink" Target="https://www.bls.gov/cpi/factsheets/" TargetMode="External" Id="rId771"/><Relationship Type="http://schemas.openxmlformats.org/officeDocument/2006/relationships/hyperlink" Target="https://www.bls.gov/opub/hom/cpi/calculation.htm" TargetMode="External" Id="rId772"/><Relationship Type="http://schemas.openxmlformats.org/officeDocument/2006/relationships/hyperlink" Target="https://data.bls.gov/timeseries/CUUR0000SEAD" TargetMode="External" Id="rId773"/><Relationship Type="http://schemas.openxmlformats.org/officeDocument/2006/relationships/hyperlink" Target="https://data.bls.gov/timeseries/CUSR0000SEAD" TargetMode="External" Id="rId774"/><Relationship Type="http://schemas.openxmlformats.org/officeDocument/2006/relationships/hyperlink" Target="https://www.bls.gov/cpi/factsheets/" TargetMode="External" Id="rId775"/><Relationship Type="http://schemas.openxmlformats.org/officeDocument/2006/relationships/hyperlink" Target="https://www.bls.gov/opub/hom/cpi/calculation.htm" TargetMode="External" Id="rId776"/><Relationship Type="http://schemas.openxmlformats.org/officeDocument/2006/relationships/hyperlink" Target="https://data.bls.gov/timeseries/CUUR0000SEAE" TargetMode="External" Id="rId777"/><Relationship Type="http://schemas.openxmlformats.org/officeDocument/2006/relationships/hyperlink" Target="https://data.bls.gov/timeseries/CUSR0000SEAE" TargetMode="External" Id="rId778"/><Relationship Type="http://schemas.openxmlformats.org/officeDocument/2006/relationships/hyperlink" Target="https://www.bls.gov/cpi/factsheets/" TargetMode="External" Id="rId779"/><Relationship Type="http://schemas.openxmlformats.org/officeDocument/2006/relationships/hyperlink" Target="https://www.bls.gov/opub/hom/cpi/calculation.htm" TargetMode="External" Id="rId780"/><Relationship Type="http://schemas.openxmlformats.org/officeDocument/2006/relationships/hyperlink" Target="https://data.bls.gov/timeseries/CUUR0000SEAE01" TargetMode="External" Id="rId781"/><Relationship Type="http://schemas.openxmlformats.org/officeDocument/2006/relationships/hyperlink" Target="https://data.bls.gov/timeseries/CUSR0000SEAE01" TargetMode="External" Id="rId782"/><Relationship Type="http://schemas.openxmlformats.org/officeDocument/2006/relationships/hyperlink" Target="https://www.bls.gov/cpi/factsheets/" TargetMode="External" Id="rId783"/><Relationship Type="http://schemas.openxmlformats.org/officeDocument/2006/relationships/hyperlink" Target="https://www.bls.gov/opub/hom/cpi/calculation.htm" TargetMode="External" Id="rId784"/><Relationship Type="http://schemas.openxmlformats.org/officeDocument/2006/relationships/hyperlink" Target="https://data.bls.gov/timeseries/CUUR0000SEAE02" TargetMode="External" Id="rId785"/><Relationship Type="http://schemas.openxmlformats.org/officeDocument/2006/relationships/hyperlink" Target="https://data.bls.gov/timeseries/CUSR0000SEAE02" TargetMode="External" Id="rId786"/><Relationship Type="http://schemas.openxmlformats.org/officeDocument/2006/relationships/hyperlink" Target="https://www.bls.gov/cpi/factsheets/" TargetMode="External" Id="rId787"/><Relationship Type="http://schemas.openxmlformats.org/officeDocument/2006/relationships/hyperlink" Target="https://www.bls.gov/opub/hom/cpi/calculation.htm" TargetMode="External" Id="rId788"/><Relationship Type="http://schemas.openxmlformats.org/officeDocument/2006/relationships/hyperlink" Target="https://data.bls.gov/timeseries/CUUR0000SEAE03" TargetMode="External" Id="rId789"/><Relationship Type="http://schemas.openxmlformats.org/officeDocument/2006/relationships/hyperlink" Target="https://data.bls.gov/timeseries/CUSR0000SEAE03" TargetMode="External" Id="rId790"/><Relationship Type="http://schemas.openxmlformats.org/officeDocument/2006/relationships/hyperlink" Target="https://www.bls.gov/cpi/factsheets/" TargetMode="External" Id="rId791"/><Relationship Type="http://schemas.openxmlformats.org/officeDocument/2006/relationships/hyperlink" Target="https://www.bls.gov/opub/hom/cpi/calculation.htm" TargetMode="External" Id="rId792"/><Relationship Type="http://schemas.openxmlformats.org/officeDocument/2006/relationships/hyperlink" Target="https://data.bls.gov/timeseries/CUUR0000SEAF" TargetMode="External" Id="rId793"/><Relationship Type="http://schemas.openxmlformats.org/officeDocument/2006/relationships/hyperlink" Target="https://data.bls.gov/timeseries/CUSR0000SEAF" TargetMode="External" Id="rId794"/><Relationship Type="http://schemas.openxmlformats.org/officeDocument/2006/relationships/hyperlink" Target="https://www.bls.gov/cpi/factsheets/" TargetMode="External" Id="rId795"/><Relationship Type="http://schemas.openxmlformats.org/officeDocument/2006/relationships/hyperlink" Target="https://www.bls.gov/opub/hom/cpi/calculation.htm" TargetMode="External" Id="rId796"/><Relationship Type="http://schemas.openxmlformats.org/officeDocument/2006/relationships/hyperlink" Target="https://data.bls.gov/timeseries/CUUR0000SEAG" TargetMode="External" Id="rId797"/><Relationship Type="http://schemas.openxmlformats.org/officeDocument/2006/relationships/hyperlink" Target="https://data.bls.gov/timeseries/CUSR0000SEAG" TargetMode="External" Id="rId798"/><Relationship Type="http://schemas.openxmlformats.org/officeDocument/2006/relationships/hyperlink" Target="https://www.bls.gov/cpi/factsheets/" TargetMode="External" Id="rId799"/><Relationship Type="http://schemas.openxmlformats.org/officeDocument/2006/relationships/hyperlink" Target="https://www.bls.gov/opub/hom/cpi/calculation.htm" TargetMode="External" Id="rId800"/><Relationship Type="http://schemas.openxmlformats.org/officeDocument/2006/relationships/hyperlink" Target="https://data.bls.gov/timeseries/CUUR0000SEAG01" TargetMode="External" Id="rId801"/><Relationship Type="http://schemas.openxmlformats.org/officeDocument/2006/relationships/hyperlink" Target="https://data.bls.gov/timeseries/CUSR0000SEAG01" TargetMode="External" Id="rId802"/><Relationship Type="http://schemas.openxmlformats.org/officeDocument/2006/relationships/hyperlink" Target="https://www.bls.gov/cpi/factsheets/" TargetMode="External" Id="rId803"/><Relationship Type="http://schemas.openxmlformats.org/officeDocument/2006/relationships/hyperlink" Target="https://www.bls.gov/opub/hom/cpi/calculation.htm" TargetMode="External" Id="rId804"/><Relationship Type="http://schemas.openxmlformats.org/officeDocument/2006/relationships/hyperlink" Target="https://data.bls.gov/timeseries/CUUR0000SEAG02" TargetMode="External" Id="rId805"/><Relationship Type="http://schemas.openxmlformats.org/officeDocument/2006/relationships/hyperlink" Target="https://data.bls.gov/timeseries/CUSR0000SEAG02" TargetMode="External" Id="rId806"/><Relationship Type="http://schemas.openxmlformats.org/officeDocument/2006/relationships/hyperlink" Target="https://www.bls.gov/cpi/factsheets/" TargetMode="External" Id="rId807"/><Relationship Type="http://schemas.openxmlformats.org/officeDocument/2006/relationships/hyperlink" Target="https://www.bls.gov/opub/hom/cpi/calculation.htm" TargetMode="External" Id="rId808"/><Relationship Type="http://schemas.openxmlformats.org/officeDocument/2006/relationships/hyperlink" Target="https://data.bls.gov/timeseries/CUUR0000SAT" TargetMode="External" Id="rId809"/><Relationship Type="http://schemas.openxmlformats.org/officeDocument/2006/relationships/hyperlink" Target="https://data.bls.gov/timeseries/CUSR0000SAT" TargetMode="External" Id="rId810"/><Relationship Type="http://schemas.openxmlformats.org/officeDocument/2006/relationships/hyperlink" Target="https://www.bls.gov/cpi/factsheets/" TargetMode="External" Id="rId811"/><Relationship Type="http://schemas.openxmlformats.org/officeDocument/2006/relationships/hyperlink" Target="https://www.bls.gov/opub/hom/cpi/calculation.htm" TargetMode="External" Id="rId812"/><Relationship Type="http://schemas.openxmlformats.org/officeDocument/2006/relationships/hyperlink" Target="https://data.bls.gov/timeseries/CUUR0000SAT1" TargetMode="External" Id="rId813"/><Relationship Type="http://schemas.openxmlformats.org/officeDocument/2006/relationships/hyperlink" Target="https://data.bls.gov/timeseries/CUSR0000SAT1" TargetMode="External" Id="rId814"/><Relationship Type="http://schemas.openxmlformats.org/officeDocument/2006/relationships/hyperlink" Target="https://www.bls.gov/cpi/factsheets/" TargetMode="External" Id="rId815"/><Relationship Type="http://schemas.openxmlformats.org/officeDocument/2006/relationships/hyperlink" Target="https://www.bls.gov/opub/hom/cpi/calculation.htm" TargetMode="External" Id="rId816"/><Relationship Type="http://schemas.openxmlformats.org/officeDocument/2006/relationships/hyperlink" Target="https://data.bls.gov/timeseries/CUUR0000SETA" TargetMode="External" Id="rId817"/><Relationship Type="http://schemas.openxmlformats.org/officeDocument/2006/relationships/hyperlink" Target="https://data.bls.gov/timeseries/CUSR0000SETA" TargetMode="External" Id="rId818"/><Relationship Type="http://schemas.openxmlformats.org/officeDocument/2006/relationships/hyperlink" Target="https://www.bls.gov/cpi/factsheets/new-vehicles.htm" TargetMode="External" Id="rId819"/><Relationship Type="http://schemas.openxmlformats.org/officeDocument/2006/relationships/hyperlink" Target="https://www.bls.gov/opub/hom/cpi/calculation.htm" TargetMode="External" Id="rId820"/><Relationship Type="http://schemas.openxmlformats.org/officeDocument/2006/relationships/hyperlink" Target="https://data.bls.gov/timeseries/CUUR0000SETA01" TargetMode="External" Id="rId821"/><Relationship Type="http://schemas.openxmlformats.org/officeDocument/2006/relationships/hyperlink" Target="https://data.bls.gov/timeseries/CUSR0000SETA01" TargetMode="External" Id="rId822"/><Relationship Type="http://schemas.openxmlformats.org/officeDocument/2006/relationships/hyperlink" Target="https://www.bls.gov/cpi/factsheets/" TargetMode="External" Id="rId823"/><Relationship Type="http://schemas.openxmlformats.org/officeDocument/2006/relationships/hyperlink" Target="https://www.bls.gov/opub/hom/cpi/calculation.htm" TargetMode="External" Id="rId824"/><Relationship Type="http://schemas.openxmlformats.org/officeDocument/2006/relationships/hyperlink" Target="https://data.bls.gov/timeseries/CUUR0000SS4501A" TargetMode="External" Id="rId825"/><Relationship Type="http://schemas.openxmlformats.org/officeDocument/2006/relationships/hyperlink" Target="https://data.bls.gov/timeseries/CUSR0000SS4501A" TargetMode="External" Id="rId826"/><Relationship Type="http://schemas.openxmlformats.org/officeDocument/2006/relationships/hyperlink" Target="https://www.bls.gov/cpi/factsheets/" TargetMode="External" Id="rId827"/><Relationship Type="http://schemas.openxmlformats.org/officeDocument/2006/relationships/hyperlink" Target="https://www.bls.gov/opub/hom/cpi/calculation.htm" TargetMode="External" Id="rId828"/><Relationship Type="http://schemas.openxmlformats.org/officeDocument/2006/relationships/hyperlink" Target="https://data.bls.gov/timeseries/CUUR0000SS45011" TargetMode="External" Id="rId829"/><Relationship Type="http://schemas.openxmlformats.org/officeDocument/2006/relationships/hyperlink" Target="https://data.bls.gov/timeseries/CUSR0000SS45011" TargetMode="External" Id="rId830"/><Relationship Type="http://schemas.openxmlformats.org/officeDocument/2006/relationships/hyperlink" Target="https://www.bls.gov/cpi/factsheets/" TargetMode="External" Id="rId831"/><Relationship Type="http://schemas.openxmlformats.org/officeDocument/2006/relationships/hyperlink" Target="https://www.bls.gov/opub/hom/cpi/calculation.htm" TargetMode="External" Id="rId832"/><Relationship Type="http://schemas.openxmlformats.org/officeDocument/2006/relationships/hyperlink" Target="https://data.bls.gov/timeseries/CUUR0000SS45021" TargetMode="External" Id="rId833"/><Relationship Type="http://schemas.openxmlformats.org/officeDocument/2006/relationships/hyperlink" Target="https://data.bls.gov/timeseries/CUSR0000SS45021" TargetMode="External" Id="rId834"/><Relationship Type="http://schemas.openxmlformats.org/officeDocument/2006/relationships/hyperlink" Target="https://www.bls.gov/cpi/factsheets/" TargetMode="External" Id="rId835"/><Relationship Type="http://schemas.openxmlformats.org/officeDocument/2006/relationships/hyperlink" Target="https://www.bls.gov/opub/hom/cpi/calculation.htm" TargetMode="External" Id="rId836"/><Relationship Type="http://schemas.openxmlformats.org/officeDocument/2006/relationships/hyperlink" Target="https://data.bls.gov/timeseries/CUUR0000SS45031" TargetMode="External" Id="rId837"/><Relationship Type="http://schemas.openxmlformats.org/officeDocument/2006/relationships/hyperlink" Target="https://data.bls.gov/timeseries/CUSR0000SS45031" TargetMode="External" Id="rId838"/><Relationship Type="http://schemas.openxmlformats.org/officeDocument/2006/relationships/hyperlink" Target="https://www.bls.gov/cpi/factsheets/used-cars-and-trucks.htm" TargetMode="External" Id="rId839"/><Relationship Type="http://schemas.openxmlformats.org/officeDocument/2006/relationships/hyperlink" Target="https://www.bls.gov/opub/hom/cpi/calculation.htm" TargetMode="External" Id="rId840"/><Relationship Type="http://schemas.openxmlformats.org/officeDocument/2006/relationships/hyperlink" Target="https://data.bls.gov/timeseries/CUUR0000SETA02" TargetMode="External" Id="rId841"/><Relationship Type="http://schemas.openxmlformats.org/officeDocument/2006/relationships/hyperlink" Target="https://data.bls.gov/timeseries/CUSR0000SETA02" TargetMode="External" Id="rId842"/><Relationship Type="http://schemas.openxmlformats.org/officeDocument/2006/relationships/hyperlink" Target="https://www.bls.gov/cpi/factsheets/" TargetMode="External" Id="rId843"/><Relationship Type="http://schemas.openxmlformats.org/officeDocument/2006/relationships/hyperlink" Target="https://www.bls.gov/opub/hom/cpi/calculation.htm" TargetMode="External" Id="rId844"/><Relationship Type="http://schemas.openxmlformats.org/officeDocument/2006/relationships/hyperlink" Target="https://data.bls.gov/timeseries/CUUR0000SETA03" TargetMode="External" Id="rId845"/><Relationship Type="http://schemas.openxmlformats.org/officeDocument/2006/relationships/hyperlink" Target="https://data.bls.gov/timeseries/CUSR0000SETA03" TargetMode="External" Id="rId846"/><Relationship Type="http://schemas.openxmlformats.org/officeDocument/2006/relationships/hyperlink" Target="https://www.bls.gov/cpi/factsheets/" TargetMode="External" Id="rId847"/><Relationship Type="http://schemas.openxmlformats.org/officeDocument/2006/relationships/hyperlink" Target="https://www.bls.gov/opub/hom/cpi/calculation.htm" TargetMode="External" Id="rId848"/><Relationship Type="http://schemas.openxmlformats.org/officeDocument/2006/relationships/hyperlink" Target="https://data.bls.gov/timeseries/CUUR0000SETA04" TargetMode="External" Id="rId849"/><Relationship Type="http://schemas.openxmlformats.org/officeDocument/2006/relationships/hyperlink" Target="https://data.bls.gov/timeseries/CUSR0000SETA04" TargetMode="External" Id="rId850"/><Relationship Type="http://schemas.openxmlformats.org/officeDocument/2006/relationships/hyperlink" Target="https://www.bls.gov/cpi/factsheets/" TargetMode="External" Id="rId851"/><Relationship Type="http://schemas.openxmlformats.org/officeDocument/2006/relationships/hyperlink" Target="https://www.bls.gov/opub/hom/cpi/calculation.htm" TargetMode="External" Id="rId852"/><Relationship Type="http://schemas.openxmlformats.org/officeDocument/2006/relationships/hyperlink" Target="https://data.bls.gov/timeseries/CUUR0000SETB" TargetMode="External" Id="rId853"/><Relationship Type="http://schemas.openxmlformats.org/officeDocument/2006/relationships/hyperlink" Target="https://data.bls.gov/timeseries/CUSR0000SETB" TargetMode="External" Id="rId854"/><Relationship Type="http://schemas.openxmlformats.org/officeDocument/2006/relationships/hyperlink" Target="https://www.bls.gov/cpi/factsheets/gasoline.htm" TargetMode="External" Id="rId855"/><Relationship Type="http://schemas.openxmlformats.org/officeDocument/2006/relationships/hyperlink" Target="https://www.bls.gov/opub/hom/cpi/calculation.htm" TargetMode="External" Id="rId856"/><Relationship Type="http://schemas.openxmlformats.org/officeDocument/2006/relationships/hyperlink" Target="https://data.bls.gov/timeseries/CUUR0000SETB01" TargetMode="External" Id="rId857"/><Relationship Type="http://schemas.openxmlformats.org/officeDocument/2006/relationships/hyperlink" Target="https://data.bls.gov/timeseries/CUSR0000SETB01" TargetMode="External" Id="rId858"/><Relationship Type="http://schemas.openxmlformats.org/officeDocument/2006/relationships/hyperlink" Target="https://www.bls.gov/cpi/factsheets/" TargetMode="External" Id="rId859"/><Relationship Type="http://schemas.openxmlformats.org/officeDocument/2006/relationships/hyperlink" Target="https://www.bls.gov/opub/hom/cpi/calculation.htm" TargetMode="External" Id="rId860"/><Relationship Type="http://schemas.openxmlformats.org/officeDocument/2006/relationships/hyperlink" Target="https://data.bls.gov/timeseries/CUUR0000SS47014" TargetMode="External" Id="rId861"/><Relationship Type="http://schemas.openxmlformats.org/officeDocument/2006/relationships/hyperlink" Target="https://data.bls.gov/timeseries/CUSR0000SS47014" TargetMode="External" Id="rId862"/><Relationship Type="http://schemas.openxmlformats.org/officeDocument/2006/relationships/hyperlink" Target="https://www.bls.gov/cpi/factsheets/" TargetMode="External" Id="rId863"/><Relationship Type="http://schemas.openxmlformats.org/officeDocument/2006/relationships/hyperlink" Target="https://www.bls.gov/opub/hom/cpi/calculation.htm" TargetMode="External" Id="rId864"/><Relationship Type="http://schemas.openxmlformats.org/officeDocument/2006/relationships/hyperlink" Target="https://data.bls.gov/timeseries/CUUR0000SS47015" TargetMode="External" Id="rId865"/><Relationship Type="http://schemas.openxmlformats.org/officeDocument/2006/relationships/hyperlink" Target="https://data.bls.gov/timeseries/CUSR0000SS47015" TargetMode="External" Id="rId866"/><Relationship Type="http://schemas.openxmlformats.org/officeDocument/2006/relationships/hyperlink" Target="https://www.bls.gov/cpi/factsheets/" TargetMode="External" Id="rId867"/><Relationship Type="http://schemas.openxmlformats.org/officeDocument/2006/relationships/hyperlink" Target="https://www.bls.gov/opub/hom/cpi/calculation.htm" TargetMode="External" Id="rId868"/><Relationship Type="http://schemas.openxmlformats.org/officeDocument/2006/relationships/hyperlink" Target="https://data.bls.gov/timeseries/CUUR0000SS47016" TargetMode="External" Id="rId869"/><Relationship Type="http://schemas.openxmlformats.org/officeDocument/2006/relationships/hyperlink" Target="https://data.bls.gov/timeseries/CUSR0000SS47016" TargetMode="External" Id="rId870"/><Relationship Type="http://schemas.openxmlformats.org/officeDocument/2006/relationships/hyperlink" Target="https://www.bls.gov/cpi/factsheets/" TargetMode="External" Id="rId871"/><Relationship Type="http://schemas.openxmlformats.org/officeDocument/2006/relationships/hyperlink" Target="https://www.bls.gov/opub/hom/cpi/calculation.htm" TargetMode="External" Id="rId872"/><Relationship Type="http://schemas.openxmlformats.org/officeDocument/2006/relationships/hyperlink" Target="https://data.bls.gov/timeseries/CUUR0000SETB02" TargetMode="External" Id="rId873"/><Relationship Type="http://schemas.openxmlformats.org/officeDocument/2006/relationships/hyperlink" Target="https://data.bls.gov/timeseries/CUSR0000SETB02" TargetMode="External" Id="rId874"/><Relationship Type="http://schemas.openxmlformats.org/officeDocument/2006/relationships/hyperlink" Target="https://www.bls.gov/cpi/factsheets/" TargetMode="External" Id="rId875"/><Relationship Type="http://schemas.openxmlformats.org/officeDocument/2006/relationships/hyperlink" Target="https://www.bls.gov/opub/hom/cpi/calculation.htm" TargetMode="External" Id="rId876"/><Relationship Type="http://schemas.openxmlformats.org/officeDocument/2006/relationships/hyperlink" Target="https://data.bls.gov/timeseries/CUUR0000SETC" TargetMode="External" Id="rId877"/><Relationship Type="http://schemas.openxmlformats.org/officeDocument/2006/relationships/hyperlink" Target="https://data.bls.gov/timeseries/CUSR0000SETC" TargetMode="External" Id="rId878"/><Relationship Type="http://schemas.openxmlformats.org/officeDocument/2006/relationships/hyperlink" Target="https://www.bls.gov/cpi/factsheets/" TargetMode="External" Id="rId879"/><Relationship Type="http://schemas.openxmlformats.org/officeDocument/2006/relationships/hyperlink" Target="https://www.bls.gov/opub/hom/cpi/calculation.htm" TargetMode="External" Id="rId880"/><Relationship Type="http://schemas.openxmlformats.org/officeDocument/2006/relationships/hyperlink" Target="https://data.bls.gov/timeseries/CUUR0000SETC01" TargetMode="External" Id="rId881"/><Relationship Type="http://schemas.openxmlformats.org/officeDocument/2006/relationships/hyperlink" Target="https://data.bls.gov/timeseries/CUSR0000SETC01" TargetMode="External" Id="rId882"/><Relationship Type="http://schemas.openxmlformats.org/officeDocument/2006/relationships/hyperlink" Target="https://www.bls.gov/cpi/factsheets/" TargetMode="External" Id="rId883"/><Relationship Type="http://schemas.openxmlformats.org/officeDocument/2006/relationships/hyperlink" Target="https://www.bls.gov/opub/hom/cpi/calculation.htm" TargetMode="External" Id="rId884"/><Relationship Type="http://schemas.openxmlformats.org/officeDocument/2006/relationships/hyperlink" Target="https://data.bls.gov/timeseries/CUUR0000SETC02" TargetMode="External" Id="rId885"/><Relationship Type="http://schemas.openxmlformats.org/officeDocument/2006/relationships/hyperlink" Target="https://www.bls.gov/cpi/factsheets/" TargetMode="External" Id="rId886"/><Relationship Type="http://schemas.openxmlformats.org/officeDocument/2006/relationships/hyperlink" Target="https://www.bls.gov/opub/hom/cpi/calculation.htm" TargetMode="External" Id="rId887"/><Relationship Type="http://schemas.openxmlformats.org/officeDocument/2006/relationships/hyperlink" Target="https://data.bls.gov/timeseries/CUUR0000SS48021" TargetMode="External" Id="rId888"/><Relationship Type="http://schemas.openxmlformats.org/officeDocument/2006/relationships/hyperlink" Target="https://www.bls.gov/cpi/factsheets/" TargetMode="External" Id="rId889"/><Relationship Type="http://schemas.openxmlformats.org/officeDocument/2006/relationships/hyperlink" Target="https://www.bls.gov/opub/hom/cpi/calculation.htm" TargetMode="External" Id="rId890"/><Relationship Type="http://schemas.openxmlformats.org/officeDocument/2006/relationships/hyperlink" Target="https://data.bls.gov/timeseries/CUUR0000SS47021" TargetMode="External" Id="rId891"/><Relationship Type="http://schemas.openxmlformats.org/officeDocument/2006/relationships/hyperlink" Target="https://www.bls.gov/cpi/factsheets/" TargetMode="External" Id="rId892"/><Relationship Type="http://schemas.openxmlformats.org/officeDocument/2006/relationships/hyperlink" Target="https://www.bls.gov/opub/hom/cpi/calculation.htm" TargetMode="External" Id="rId893"/><Relationship Type="http://schemas.openxmlformats.org/officeDocument/2006/relationships/hyperlink" Target="https://data.bls.gov/timeseries/CUUR0000SETD" TargetMode="External" Id="rId894"/><Relationship Type="http://schemas.openxmlformats.org/officeDocument/2006/relationships/hyperlink" Target="https://data.bls.gov/timeseries/CUSR0000SETD" TargetMode="External" Id="rId895"/><Relationship Type="http://schemas.openxmlformats.org/officeDocument/2006/relationships/hyperlink" Target="https://www.bls.gov/cpi/factsheets/" TargetMode="External" Id="rId896"/><Relationship Type="http://schemas.openxmlformats.org/officeDocument/2006/relationships/hyperlink" Target="https://www.bls.gov/opub/hom/cpi/calculation.htm" TargetMode="External" Id="rId897"/><Relationship Type="http://schemas.openxmlformats.org/officeDocument/2006/relationships/hyperlink" Target="https://data.bls.gov/timeseries/CUUR0000SETD01" TargetMode="External" Id="rId898"/><Relationship Type="http://schemas.openxmlformats.org/officeDocument/2006/relationships/hyperlink" Target="https://www.bls.gov/cpi/factsheets/" TargetMode="External" Id="rId899"/><Relationship Type="http://schemas.openxmlformats.org/officeDocument/2006/relationships/hyperlink" Target="https://www.bls.gov/opub/hom/cpi/calculation.htm" TargetMode="External" Id="rId900"/><Relationship Type="http://schemas.openxmlformats.org/officeDocument/2006/relationships/hyperlink" Target="https://data.bls.gov/timeseries/CUUR0000SETD02" TargetMode="External" Id="rId901"/><Relationship Type="http://schemas.openxmlformats.org/officeDocument/2006/relationships/hyperlink" Target="https://www.bls.gov/cpi/factsheets/" TargetMode="External" Id="rId902"/><Relationship Type="http://schemas.openxmlformats.org/officeDocument/2006/relationships/hyperlink" Target="https://www.bls.gov/opub/hom/cpi/calculation.htm" TargetMode="External" Id="rId903"/><Relationship Type="http://schemas.openxmlformats.org/officeDocument/2006/relationships/hyperlink" Target="https://data.bls.gov/timeseries/CUUR0000SETD03" TargetMode="External" Id="rId904"/><Relationship Type="http://schemas.openxmlformats.org/officeDocument/2006/relationships/hyperlink" Target="https://data.bls.gov/timeseries/CUSR0000SETD03" TargetMode="External" Id="rId905"/><Relationship Type="http://schemas.openxmlformats.org/officeDocument/2006/relationships/hyperlink" Target="https://www.bls.gov/cpi/factsheets/motor-vehicle-insurance.htm" TargetMode="External" Id="rId906"/><Relationship Type="http://schemas.openxmlformats.org/officeDocument/2006/relationships/hyperlink" Target="https://www.bls.gov/opub/hom/cpi/calculation.htm" TargetMode="External" Id="rId907"/><Relationship Type="http://schemas.openxmlformats.org/officeDocument/2006/relationships/hyperlink" Target="https://data.bls.gov/timeseries/CUUR0000SETE" TargetMode="External" Id="rId908"/><Relationship Type="http://schemas.openxmlformats.org/officeDocument/2006/relationships/hyperlink" Target="https://data.bls.gov/timeseries/CUSR0000SETE" TargetMode="External" Id="rId909"/><Relationship Type="http://schemas.openxmlformats.org/officeDocument/2006/relationships/hyperlink" Target="https://www.bls.gov/cpi/factsheets/" TargetMode="External" Id="rId910"/><Relationship Type="http://schemas.openxmlformats.org/officeDocument/2006/relationships/hyperlink" Target="https://www.bls.gov/opub/hom/cpi/calculation.htm" TargetMode="External" Id="rId911"/><Relationship Type="http://schemas.openxmlformats.org/officeDocument/2006/relationships/hyperlink" Target="https://data.bls.gov/timeseries/CUUR0000SETF" TargetMode="External" Id="rId912"/><Relationship Type="http://schemas.openxmlformats.org/officeDocument/2006/relationships/hyperlink" Target="https://www.bls.gov/cpi/factsheets/" TargetMode="External" Id="rId913"/><Relationship Type="http://schemas.openxmlformats.org/officeDocument/2006/relationships/hyperlink" Target="https://www.bls.gov/opub/hom/cpi/calculation.htm" TargetMode="External" Id="rId914"/><Relationship Type="http://schemas.openxmlformats.org/officeDocument/2006/relationships/hyperlink" Target="https://data.bls.gov/timeseries/CUUR0000SETF01" TargetMode="External" Id="rId915"/><Relationship Type="http://schemas.openxmlformats.org/officeDocument/2006/relationships/hyperlink" Target="https://www.bls.gov/cpi/factsheets/" TargetMode="External" Id="rId916"/><Relationship Type="http://schemas.openxmlformats.org/officeDocument/2006/relationships/hyperlink" Target="https://www.bls.gov/opub/hom/cpi/calculation.htm" TargetMode="External" Id="rId917"/><Relationship Type="http://schemas.openxmlformats.org/officeDocument/2006/relationships/hyperlink" Target="https://data.bls.gov/timeseries/CUUR0000SETF03" TargetMode="External" Id="rId918"/><Relationship Type="http://schemas.openxmlformats.org/officeDocument/2006/relationships/hyperlink" Target="https://data.bls.gov/timeseries/CUSR0000SETF03" TargetMode="External" Id="rId919"/><Relationship Type="http://schemas.openxmlformats.org/officeDocument/2006/relationships/hyperlink" Target="https://www.bls.gov/cpi/factsheets/" TargetMode="External" Id="rId920"/><Relationship Type="http://schemas.openxmlformats.org/officeDocument/2006/relationships/hyperlink" Target="https://www.bls.gov/opub/hom/cpi/calculation.htm" TargetMode="External" Id="rId921"/><Relationship Type="http://schemas.openxmlformats.org/officeDocument/2006/relationships/hyperlink" Target="https://data.bls.gov/timeseries/CUUR0000SS52051" TargetMode="External" Id="rId922"/><Relationship Type="http://schemas.openxmlformats.org/officeDocument/2006/relationships/hyperlink" Target="https://data.bls.gov/timeseries/CUSR0000SS52051" TargetMode="External" Id="rId923"/><Relationship Type="http://schemas.openxmlformats.org/officeDocument/2006/relationships/hyperlink" Target="https://www.bls.gov/cpi/factsheets/" TargetMode="External" Id="rId924"/><Relationship Type="http://schemas.openxmlformats.org/officeDocument/2006/relationships/hyperlink" Target="https://www.bls.gov/opub/hom/cpi/calculation.htm" TargetMode="External" Id="rId925"/><Relationship Type="http://schemas.openxmlformats.org/officeDocument/2006/relationships/hyperlink" Target="https://data.bls.gov/timeseries/CUUR0000SS62011" TargetMode="External" Id="rId926"/><Relationship Type="http://schemas.openxmlformats.org/officeDocument/2006/relationships/hyperlink" Target="https://www.bls.gov/cpi/factsheets/" TargetMode="External" Id="rId927"/><Relationship Type="http://schemas.openxmlformats.org/officeDocument/2006/relationships/hyperlink" Target="https://www.bls.gov/opub/hom/cpi/calculation.htm" TargetMode="External" Id="rId928"/><Relationship Type="http://schemas.openxmlformats.org/officeDocument/2006/relationships/hyperlink" Target="https://data.bls.gov/timeseries/CUUR0000SETG" TargetMode="External" Id="rId929"/><Relationship Type="http://schemas.openxmlformats.org/officeDocument/2006/relationships/hyperlink" Target="https://data.bls.gov/timeseries/CUSR0000SETG" TargetMode="External" Id="rId930"/><Relationship Type="http://schemas.openxmlformats.org/officeDocument/2006/relationships/hyperlink" Target="https://www.bls.gov/cpi/factsheets/airline-fares.htm" TargetMode="External" Id="rId931"/><Relationship Type="http://schemas.openxmlformats.org/officeDocument/2006/relationships/hyperlink" Target="https://www.bls.gov/opub/hom/cpi/calculation.htm" TargetMode="External" Id="rId932"/><Relationship Type="http://schemas.openxmlformats.org/officeDocument/2006/relationships/hyperlink" Target="https://data.bls.gov/timeseries/CUUR0000SETG01" TargetMode="External" Id="rId933"/><Relationship Type="http://schemas.openxmlformats.org/officeDocument/2006/relationships/hyperlink" Target="https://data.bls.gov/timeseries/CUSR0000SETG01" TargetMode="External" Id="rId934"/><Relationship Type="http://schemas.openxmlformats.org/officeDocument/2006/relationships/hyperlink" Target="https://www.bls.gov/cpi/factsheets/" TargetMode="External" Id="rId935"/><Relationship Type="http://schemas.openxmlformats.org/officeDocument/2006/relationships/hyperlink" Target="https://www.bls.gov/opub/hom/cpi/calculation.htm" TargetMode="External" Id="rId936"/><Relationship Type="http://schemas.openxmlformats.org/officeDocument/2006/relationships/hyperlink" Target="https://data.bls.gov/timeseries/CUUR0000SETG02" TargetMode="External" Id="rId937"/><Relationship Type="http://schemas.openxmlformats.org/officeDocument/2006/relationships/hyperlink" Target="https://data.bls.gov/timeseries/CUSR0000SETG02" TargetMode="External" Id="rId938"/><Relationship Type="http://schemas.openxmlformats.org/officeDocument/2006/relationships/hyperlink" Target="https://www.bls.gov/cpi/factsheets/" TargetMode="External" Id="rId939"/><Relationship Type="http://schemas.openxmlformats.org/officeDocument/2006/relationships/hyperlink" Target="https://www.bls.gov/opub/hom/cpi/calculation.htm" TargetMode="External" Id="rId940"/><Relationship Type="http://schemas.openxmlformats.org/officeDocument/2006/relationships/hyperlink" Target="https://data.bls.gov/timeseries/CUUR0000SS53021" TargetMode="External" Id="rId941"/><Relationship Type="http://schemas.openxmlformats.org/officeDocument/2006/relationships/hyperlink" Target="https://www.bls.gov/cpi/factsheets/" TargetMode="External" Id="rId942"/><Relationship Type="http://schemas.openxmlformats.org/officeDocument/2006/relationships/hyperlink" Target="https://www.bls.gov/opub/hom/cpi/calculation.htm" TargetMode="External" Id="rId943"/><Relationship Type="http://schemas.openxmlformats.org/officeDocument/2006/relationships/hyperlink" Target="https://data.bls.gov/timeseries/CUUR0000SS53022" TargetMode="External" Id="rId944"/><Relationship Type="http://schemas.openxmlformats.org/officeDocument/2006/relationships/hyperlink" Target="https://data.bls.gov/timeseries/CUSR0000SS53022" TargetMode="External" Id="rId945"/><Relationship Type="http://schemas.openxmlformats.org/officeDocument/2006/relationships/hyperlink" Target="https://www.bls.gov/cpi/factsheets/" TargetMode="External" Id="rId946"/><Relationship Type="http://schemas.openxmlformats.org/officeDocument/2006/relationships/hyperlink" Target="https://www.bls.gov/opub/hom/cpi/calculation.htm" TargetMode="External" Id="rId947"/><Relationship Type="http://schemas.openxmlformats.org/officeDocument/2006/relationships/hyperlink" Target="https://data.bls.gov/timeseries/CUUR0000SS53023" TargetMode="External" Id="rId948"/><Relationship Type="http://schemas.openxmlformats.org/officeDocument/2006/relationships/hyperlink" Target="https://data.bls.gov/timeseries/CUSR0000SS53023" TargetMode="External" Id="rId949"/><Relationship Type="http://schemas.openxmlformats.org/officeDocument/2006/relationships/hyperlink" Target="https://www.bls.gov/cpi/factsheets/" TargetMode="External" Id="rId950"/><Relationship Type="http://schemas.openxmlformats.org/officeDocument/2006/relationships/hyperlink" Target="https://www.bls.gov/opub/hom/cpi/calculation.htm" TargetMode="External" Id="rId951"/><Relationship Type="http://schemas.openxmlformats.org/officeDocument/2006/relationships/hyperlink" Target="https://data.bls.gov/timeseries/CUUR0000SETG03" TargetMode="External" Id="rId952"/><Relationship Type="http://schemas.openxmlformats.org/officeDocument/2006/relationships/hyperlink" Target="https://www.bls.gov/cpi/factsheets/" TargetMode="External" Id="rId953"/><Relationship Type="http://schemas.openxmlformats.org/officeDocument/2006/relationships/hyperlink" Target="https://www.bls.gov/opub/hom/cpi/calculation.htm" TargetMode="External" Id="rId954"/><Relationship Type="http://schemas.openxmlformats.org/officeDocument/2006/relationships/hyperlink" Target="https://data.bls.gov/timeseries/CUUR0000SS53031" TargetMode="External" Id="rId955"/><Relationship Type="http://schemas.openxmlformats.org/officeDocument/2006/relationships/hyperlink" Target="https://www.bls.gov/cpi/factsheets/medical-care.htm" TargetMode="External" Id="rId956"/><Relationship Type="http://schemas.openxmlformats.org/officeDocument/2006/relationships/hyperlink" Target="https://www.bls.gov/opub/hom/cpi/calculation.htm" TargetMode="External" Id="rId957"/><Relationship Type="http://schemas.openxmlformats.org/officeDocument/2006/relationships/hyperlink" Target="https://data.bls.gov/timeseries/CUUR0000SAM" TargetMode="External" Id="rId958"/><Relationship Type="http://schemas.openxmlformats.org/officeDocument/2006/relationships/hyperlink" Target="https://data.bls.gov/timeseries/CUSR0000SAM" TargetMode="External" Id="rId959"/><Relationship Type="http://schemas.openxmlformats.org/officeDocument/2006/relationships/hyperlink" Target="https://www.bls.gov/cpi/factsheets/" TargetMode="External" Id="rId960"/><Relationship Type="http://schemas.openxmlformats.org/officeDocument/2006/relationships/hyperlink" Target="https://www.bls.gov/opub/hom/cpi/calculation.htm" TargetMode="External" Id="rId961"/><Relationship Type="http://schemas.openxmlformats.org/officeDocument/2006/relationships/hyperlink" Target="https://data.bls.gov/timeseries/CUUR0000SAM1" TargetMode="External" Id="rId962"/><Relationship Type="http://schemas.openxmlformats.org/officeDocument/2006/relationships/hyperlink" Target="https://data.bls.gov/timeseries/CUSR0000SAM1" TargetMode="External" Id="rId963"/><Relationship Type="http://schemas.openxmlformats.org/officeDocument/2006/relationships/hyperlink" Target="https://www.bls.gov/cpi/factsheets/" TargetMode="External" Id="rId964"/><Relationship Type="http://schemas.openxmlformats.org/officeDocument/2006/relationships/hyperlink" Target="https://www.bls.gov/opub/hom/cpi/calculation.htm" TargetMode="External" Id="rId965"/><Relationship Type="http://schemas.openxmlformats.org/officeDocument/2006/relationships/hyperlink" Target="https://data.bls.gov/timeseries/CUUR0000SEMF" TargetMode="External" Id="rId966"/><Relationship Type="http://schemas.openxmlformats.org/officeDocument/2006/relationships/hyperlink" Target="https://data.bls.gov/timeseries/CUSR0000SEMF" TargetMode="External" Id="rId967"/><Relationship Type="http://schemas.openxmlformats.org/officeDocument/2006/relationships/hyperlink" Target="https://www.bls.gov/cpi/factsheets/" TargetMode="External" Id="rId968"/><Relationship Type="http://schemas.openxmlformats.org/officeDocument/2006/relationships/hyperlink" Target="https://www.bls.gov/opub/hom/cpi/calculation.htm" TargetMode="External" Id="rId969"/><Relationship Type="http://schemas.openxmlformats.org/officeDocument/2006/relationships/hyperlink" Target="https://data.bls.gov/timeseries/CUUR0000SEMF01" TargetMode="External" Id="rId970"/><Relationship Type="http://schemas.openxmlformats.org/officeDocument/2006/relationships/hyperlink" Target="https://data.bls.gov/timeseries/CUSR0000SEMF01" TargetMode="External" Id="rId971"/><Relationship Type="http://schemas.openxmlformats.org/officeDocument/2006/relationships/hyperlink" Target="https://www.bls.gov/cpi/factsheets/" TargetMode="External" Id="rId972"/><Relationship Type="http://schemas.openxmlformats.org/officeDocument/2006/relationships/hyperlink" Target="https://www.bls.gov/opub/hom/cpi/calculation.htm" TargetMode="External" Id="rId973"/><Relationship Type="http://schemas.openxmlformats.org/officeDocument/2006/relationships/hyperlink" Target="https://data.bls.gov/timeseries/CUUR0000SEMF02" TargetMode="External" Id="rId974"/><Relationship Type="http://schemas.openxmlformats.org/officeDocument/2006/relationships/hyperlink" Target="https://data.bls.gov/timeseries/CUSR0000SEMF02" TargetMode="External" Id="rId975"/><Relationship Type="http://schemas.openxmlformats.org/officeDocument/2006/relationships/hyperlink" Target="https://www.bls.gov/cpi/factsheets/" TargetMode="External" Id="rId976"/><Relationship Type="http://schemas.openxmlformats.org/officeDocument/2006/relationships/hyperlink" Target="https://www.bls.gov/opub/hom/cpi/calculation.htm" TargetMode="External" Id="rId977"/><Relationship Type="http://schemas.openxmlformats.org/officeDocument/2006/relationships/hyperlink" Target="https://data.bls.gov/timeseries/CUUR0000SEMG" TargetMode="External" Id="rId978"/><Relationship Type="http://schemas.openxmlformats.org/officeDocument/2006/relationships/hyperlink" Target="https://www.bls.gov/cpi/factsheets/" TargetMode="External" Id="rId979"/><Relationship Type="http://schemas.openxmlformats.org/officeDocument/2006/relationships/hyperlink" Target="https://www.bls.gov/opub/hom/cpi/calculation.htm" TargetMode="External" Id="rId980"/><Relationship Type="http://schemas.openxmlformats.org/officeDocument/2006/relationships/hyperlink" Target="https://data.bls.gov/timeseries/CUUR0000SAM2" TargetMode="External" Id="rId981"/><Relationship Type="http://schemas.openxmlformats.org/officeDocument/2006/relationships/hyperlink" Target="https://data.bls.gov/timeseries/CUSR0000SAM2" TargetMode="External" Id="rId982"/><Relationship Type="http://schemas.openxmlformats.org/officeDocument/2006/relationships/hyperlink" Target="https://www.bls.gov/cpi/factsheets/" TargetMode="External" Id="rId983"/><Relationship Type="http://schemas.openxmlformats.org/officeDocument/2006/relationships/hyperlink" Target="https://www.bls.gov/opub/hom/cpi/calculation.htm" TargetMode="External" Id="rId984"/><Relationship Type="http://schemas.openxmlformats.org/officeDocument/2006/relationships/hyperlink" Target="https://data.bls.gov/timeseries/CUUR0000SEMC" TargetMode="External" Id="rId985"/><Relationship Type="http://schemas.openxmlformats.org/officeDocument/2006/relationships/hyperlink" Target="https://data.bls.gov/timeseries/CUSR0000SEMC" TargetMode="External" Id="rId986"/><Relationship Type="http://schemas.openxmlformats.org/officeDocument/2006/relationships/hyperlink" Target="https://www.bls.gov/cpi/factsheets/" TargetMode="External" Id="rId987"/><Relationship Type="http://schemas.openxmlformats.org/officeDocument/2006/relationships/hyperlink" Target="https://www.bls.gov/opub/hom/cpi/calculation.htm" TargetMode="External" Id="rId988"/><Relationship Type="http://schemas.openxmlformats.org/officeDocument/2006/relationships/hyperlink" Target="https://data.bls.gov/timeseries/CUUR0000SEMC01" TargetMode="External" Id="rId989"/><Relationship Type="http://schemas.openxmlformats.org/officeDocument/2006/relationships/hyperlink" Target="https://data.bls.gov/timeseries/CUSR0000SEMC01" TargetMode="External" Id="rId990"/><Relationship Type="http://schemas.openxmlformats.org/officeDocument/2006/relationships/hyperlink" Target="https://www.bls.gov/cpi/factsheets/" TargetMode="External" Id="rId991"/><Relationship Type="http://schemas.openxmlformats.org/officeDocument/2006/relationships/hyperlink" Target="https://www.bls.gov/opub/hom/cpi/calculation.htm" TargetMode="External" Id="rId992"/><Relationship Type="http://schemas.openxmlformats.org/officeDocument/2006/relationships/hyperlink" Target="https://data.bls.gov/timeseries/CUUR0000SEMC02" TargetMode="External" Id="rId993"/><Relationship Type="http://schemas.openxmlformats.org/officeDocument/2006/relationships/hyperlink" Target="https://data.bls.gov/timeseries/CUSR0000SEMC02" TargetMode="External" Id="rId994"/><Relationship Type="http://schemas.openxmlformats.org/officeDocument/2006/relationships/hyperlink" Target="https://www.bls.gov/cpi/factsheets/" TargetMode="External" Id="rId995"/><Relationship Type="http://schemas.openxmlformats.org/officeDocument/2006/relationships/hyperlink" Target="https://www.bls.gov/opub/hom/cpi/calculation.htm" TargetMode="External" Id="rId996"/><Relationship Type="http://schemas.openxmlformats.org/officeDocument/2006/relationships/hyperlink" Target="https://data.bls.gov/timeseries/CUUR0000SEMC03" TargetMode="External" Id="rId997"/><Relationship Type="http://schemas.openxmlformats.org/officeDocument/2006/relationships/hyperlink" Target="https://data.bls.gov/timeseries/CUSR0000SEMC03" TargetMode="External" Id="rId998"/><Relationship Type="http://schemas.openxmlformats.org/officeDocument/2006/relationships/hyperlink" Target="https://www.bls.gov/cpi/factsheets/" TargetMode="External" Id="rId999"/><Relationship Type="http://schemas.openxmlformats.org/officeDocument/2006/relationships/hyperlink" Target="https://www.bls.gov/opub/hom/cpi/calculation.htm" TargetMode="External" Id="rId1000"/><Relationship Type="http://schemas.openxmlformats.org/officeDocument/2006/relationships/hyperlink" Target="https://data.bls.gov/timeseries/CUUR0000SEMC04" TargetMode="External" Id="rId1001"/><Relationship Type="http://schemas.openxmlformats.org/officeDocument/2006/relationships/hyperlink" Target="https://data.bls.gov/timeseries/CUSR0000SEMC04" TargetMode="External" Id="rId1002"/><Relationship Type="http://schemas.openxmlformats.org/officeDocument/2006/relationships/hyperlink" Target="https://www.bls.gov/cpi/factsheets/" TargetMode="External" Id="rId1003"/><Relationship Type="http://schemas.openxmlformats.org/officeDocument/2006/relationships/hyperlink" Target="https://www.bls.gov/opub/hom/cpi/calculation.htm" TargetMode="External" Id="rId1004"/><Relationship Type="http://schemas.openxmlformats.org/officeDocument/2006/relationships/hyperlink" Target="https://data.bls.gov/timeseries/CUUR0000SEMD" TargetMode="External" Id="rId1005"/><Relationship Type="http://schemas.openxmlformats.org/officeDocument/2006/relationships/hyperlink" Target="https://data.bls.gov/timeseries/CUSR0000SEMD" TargetMode="External" Id="rId1006"/><Relationship Type="http://schemas.openxmlformats.org/officeDocument/2006/relationships/hyperlink" Target="https://www.bls.gov/cpi/factsheets/" TargetMode="External" Id="rId1007"/><Relationship Type="http://schemas.openxmlformats.org/officeDocument/2006/relationships/hyperlink" Target="https://www.bls.gov/opub/hom/cpi/calculation.htm" TargetMode="External" Id="rId1008"/><Relationship Type="http://schemas.openxmlformats.org/officeDocument/2006/relationships/hyperlink" Target="https://data.bls.gov/timeseries/CUUR0000SEMD01" TargetMode="External" Id="rId1009"/><Relationship Type="http://schemas.openxmlformats.org/officeDocument/2006/relationships/hyperlink" Target="https://data.bls.gov/timeseries/CUSR0000SEMD01" TargetMode="External" Id="rId1010"/><Relationship Type="http://schemas.openxmlformats.org/officeDocument/2006/relationships/hyperlink" Target="https://www.bls.gov/cpi/factsheets/" TargetMode="External" Id="rId1011"/><Relationship Type="http://schemas.openxmlformats.org/officeDocument/2006/relationships/hyperlink" Target="https://www.bls.gov/opub/hom/cpi/calculation.htm" TargetMode="External" Id="rId1012"/><Relationship Type="http://schemas.openxmlformats.org/officeDocument/2006/relationships/hyperlink" Target="https://data.bls.gov/timeseries/CUUR0000SS5702" TargetMode="External" Id="rId1013"/><Relationship Type="http://schemas.openxmlformats.org/officeDocument/2006/relationships/hyperlink" Target="https://data.bls.gov/timeseries/CUSR0000SS5702" TargetMode="External" Id="rId1014"/><Relationship Type="http://schemas.openxmlformats.org/officeDocument/2006/relationships/hyperlink" Target="https://www.bls.gov/cpi/factsheets/" TargetMode="External" Id="rId1015"/><Relationship Type="http://schemas.openxmlformats.org/officeDocument/2006/relationships/hyperlink" Target="https://www.bls.gov/opub/hom/cpi/calculation.htm" TargetMode="External" Id="rId1016"/><Relationship Type="http://schemas.openxmlformats.org/officeDocument/2006/relationships/hyperlink" Target="https://data.bls.gov/timeseries/CUUR0000SS5703" TargetMode="External" Id="rId1017"/><Relationship Type="http://schemas.openxmlformats.org/officeDocument/2006/relationships/hyperlink" Target="https://data.bls.gov/timeseries/CUSR0000SS5703" TargetMode="External" Id="rId1018"/><Relationship Type="http://schemas.openxmlformats.org/officeDocument/2006/relationships/hyperlink" Target="https://www.bls.gov/cpi/factsheets/" TargetMode="External" Id="rId1019"/><Relationship Type="http://schemas.openxmlformats.org/officeDocument/2006/relationships/hyperlink" Target="https://www.bls.gov/opub/hom/cpi/calculation.htm" TargetMode="External" Id="rId1020"/><Relationship Type="http://schemas.openxmlformats.org/officeDocument/2006/relationships/hyperlink" Target="https://data.bls.gov/timeseries/CUUR0000SEMD02" TargetMode="External" Id="rId1021"/><Relationship Type="http://schemas.openxmlformats.org/officeDocument/2006/relationships/hyperlink" Target="https://data.bls.gov/timeseries/CUSR0000SEMD02" TargetMode="External" Id="rId1022"/><Relationship Type="http://schemas.openxmlformats.org/officeDocument/2006/relationships/hyperlink" Target="https://www.bls.gov/cpi/factsheets/" TargetMode="External" Id="rId1023"/><Relationship Type="http://schemas.openxmlformats.org/officeDocument/2006/relationships/hyperlink" Target="https://www.bls.gov/opub/hom/cpi/calculation.htm" TargetMode="External" Id="rId1024"/><Relationship Type="http://schemas.openxmlformats.org/officeDocument/2006/relationships/hyperlink" Target="https://data.bls.gov/timeseries/CUUR0000SEMD03" TargetMode="External" Id="rId1025"/><Relationship Type="http://schemas.openxmlformats.org/officeDocument/2006/relationships/hyperlink" Target="https://www.bls.gov/cpi/factsheets/health-insurance.htm" TargetMode="External" Id="rId1026"/><Relationship Type="http://schemas.openxmlformats.org/officeDocument/2006/relationships/hyperlink" Target="https://www.bls.gov/opub/hom/cpi/calculation.htm" TargetMode="External" Id="rId1027"/><Relationship Type="http://schemas.openxmlformats.org/officeDocument/2006/relationships/hyperlink" Target="https://data.bls.gov/timeseries/CUUR0000SEME" TargetMode="External" Id="rId1028"/><Relationship Type="http://schemas.openxmlformats.org/officeDocument/2006/relationships/hyperlink" Target="https://www.bls.gov/cpi/factsheets/" TargetMode="External" Id="rId1029"/><Relationship Type="http://schemas.openxmlformats.org/officeDocument/2006/relationships/hyperlink" Target="https://www.bls.gov/opub/hom/cpi/calculation.htm" TargetMode="External" Id="rId1030"/><Relationship Type="http://schemas.openxmlformats.org/officeDocument/2006/relationships/hyperlink" Target="https://data.bls.gov/timeseries/CUUR0000SAR" TargetMode="External" Id="rId1031"/><Relationship Type="http://schemas.openxmlformats.org/officeDocument/2006/relationships/hyperlink" Target="https://data.bls.gov/timeseries/CUSR0000SAR" TargetMode="External" Id="rId1032"/><Relationship Type="http://schemas.openxmlformats.org/officeDocument/2006/relationships/hyperlink" Target="https://www.bls.gov/cpi/factsheets/" TargetMode="External" Id="rId1033"/><Relationship Type="http://schemas.openxmlformats.org/officeDocument/2006/relationships/hyperlink" Target="https://www.bls.gov/opub/hom/cpi/calculation.htm" TargetMode="External" Id="rId1034"/><Relationship Type="http://schemas.openxmlformats.org/officeDocument/2006/relationships/hyperlink" Target="https://data.bls.gov/timeseries/CUUR0000SERA" TargetMode="External" Id="rId1035"/><Relationship Type="http://schemas.openxmlformats.org/officeDocument/2006/relationships/hyperlink" Target="https://data.bls.gov/timeseries/CUSR0000SERA" TargetMode="External" Id="rId1036"/><Relationship Type="http://schemas.openxmlformats.org/officeDocument/2006/relationships/hyperlink" Target="https://www.bls.gov/cpi/factsheets/" TargetMode="External" Id="rId1037"/><Relationship Type="http://schemas.openxmlformats.org/officeDocument/2006/relationships/hyperlink" Target="https://www.bls.gov/opub/hom/cpi/calculation.htm" TargetMode="External" Id="rId1038"/><Relationship Type="http://schemas.openxmlformats.org/officeDocument/2006/relationships/hyperlink" Target="https://data.bls.gov/timeseries/CUUR0000SERA01" TargetMode="External" Id="rId1039"/><Relationship Type="http://schemas.openxmlformats.org/officeDocument/2006/relationships/hyperlink" Target="https://data.bls.gov/timeseries/CUSR0000SERA01" TargetMode="External" Id="rId1040"/><Relationship Type="http://schemas.openxmlformats.org/officeDocument/2006/relationships/hyperlink" Target="https://www.bls.gov/cpi/factsheets/" TargetMode="External" Id="rId1041"/><Relationship Type="http://schemas.openxmlformats.org/officeDocument/2006/relationships/hyperlink" Target="https://www.bls.gov/opub/hom/cpi/calculation.htm" TargetMode="External" Id="rId1042"/><Relationship Type="http://schemas.openxmlformats.org/officeDocument/2006/relationships/hyperlink" Target="https://data.bls.gov/timeseries/CUUR0000SERA02" TargetMode="External" Id="rId1043"/><Relationship Type="http://schemas.openxmlformats.org/officeDocument/2006/relationships/hyperlink" Target="https://data.bls.gov/timeseries/CUSR0000SERA02" TargetMode="External" Id="rId1044"/><Relationship Type="http://schemas.openxmlformats.org/officeDocument/2006/relationships/hyperlink" Target="https://www.bls.gov/cpi/factsheets/" TargetMode="External" Id="rId1045"/><Relationship Type="http://schemas.openxmlformats.org/officeDocument/2006/relationships/hyperlink" Target="https://www.bls.gov/opub/hom/cpi/calculation.htm" TargetMode="External" Id="rId1046"/><Relationship Type="http://schemas.openxmlformats.org/officeDocument/2006/relationships/hyperlink" Target="https://data.bls.gov/timeseries/CUUR0000SERA03" TargetMode="External" Id="rId1047"/><Relationship Type="http://schemas.openxmlformats.org/officeDocument/2006/relationships/hyperlink" Target="https://data.bls.gov/timeseries/CUSR0000SERA03" TargetMode="External" Id="rId1048"/><Relationship Type="http://schemas.openxmlformats.org/officeDocument/2006/relationships/hyperlink" Target="https://www.bls.gov/cpi/factsheets/" TargetMode="External" Id="rId1049"/><Relationship Type="http://schemas.openxmlformats.org/officeDocument/2006/relationships/hyperlink" Target="https://www.bls.gov/opub/hom/cpi/calculation.htm" TargetMode="External" Id="rId1050"/><Relationship Type="http://schemas.openxmlformats.org/officeDocument/2006/relationships/hyperlink" Target="https://data.bls.gov/timeseries/CUUR0000SERA04" TargetMode="External" Id="rId1051"/><Relationship Type="http://schemas.openxmlformats.org/officeDocument/2006/relationships/hyperlink" Target="https://www.bls.gov/cpi/factsheets/" TargetMode="External" Id="rId1052"/><Relationship Type="http://schemas.openxmlformats.org/officeDocument/2006/relationships/hyperlink" Target="https://www.bls.gov/opub/hom/cpi/calculation.htm" TargetMode="External" Id="rId1053"/><Relationship Type="http://schemas.openxmlformats.org/officeDocument/2006/relationships/hyperlink" Target="https://data.bls.gov/timeseries/CUUR0000SS31022" TargetMode="External" Id="rId1054"/><Relationship Type="http://schemas.openxmlformats.org/officeDocument/2006/relationships/hyperlink" Target="https://www.bls.gov/cpi/factsheets/" TargetMode="External" Id="rId1055"/><Relationship Type="http://schemas.openxmlformats.org/officeDocument/2006/relationships/hyperlink" Target="https://www.bls.gov/opub/hom/cpi/calculation.htm" TargetMode="External" Id="rId1056"/><Relationship Type="http://schemas.openxmlformats.org/officeDocument/2006/relationships/hyperlink" Target="https://data.bls.gov/timeseries/CUUR0000SS62055" TargetMode="External" Id="rId1057"/><Relationship Type="http://schemas.openxmlformats.org/officeDocument/2006/relationships/hyperlink" Target="https://www.bls.gov/cpi/factsheets/" TargetMode="External" Id="rId1058"/><Relationship Type="http://schemas.openxmlformats.org/officeDocument/2006/relationships/hyperlink" Target="https://www.bls.gov/opub/hom/cpi/calculation.htm" TargetMode="External" Id="rId1059"/><Relationship Type="http://schemas.openxmlformats.org/officeDocument/2006/relationships/hyperlink" Target="https://data.bls.gov/timeseries/CUUR0000SERA05" TargetMode="External" Id="rId1060"/><Relationship Type="http://schemas.openxmlformats.org/officeDocument/2006/relationships/hyperlink" Target="https://data.bls.gov/timeseries/CUSR0000SERA05" TargetMode="External" Id="rId1061"/><Relationship Type="http://schemas.openxmlformats.org/officeDocument/2006/relationships/hyperlink" Target="https://www.bls.gov/cpi/factsheets/" TargetMode="External" Id="rId1062"/><Relationship Type="http://schemas.openxmlformats.org/officeDocument/2006/relationships/hyperlink" Target="https://www.bls.gov/opub/hom/cpi/calculation.htm" TargetMode="External" Id="rId1063"/><Relationship Type="http://schemas.openxmlformats.org/officeDocument/2006/relationships/hyperlink" Target="https://data.bls.gov/timeseries/CUUR0000SERA06" TargetMode="External" Id="rId1064"/><Relationship Type="http://schemas.openxmlformats.org/officeDocument/2006/relationships/hyperlink" Target="https://www.bls.gov/cpi/factsheets/" TargetMode="External" Id="rId1065"/><Relationship Type="http://schemas.openxmlformats.org/officeDocument/2006/relationships/hyperlink" Target="https://www.bls.gov/opub/hom/cpi/calculation.htm" TargetMode="External" Id="rId1066"/><Relationship Type="http://schemas.openxmlformats.org/officeDocument/2006/relationships/hyperlink" Target="https://data.bls.gov/timeseries/CUUR0000SERB" TargetMode="External" Id="rId1067"/><Relationship Type="http://schemas.openxmlformats.org/officeDocument/2006/relationships/hyperlink" Target="https://data.bls.gov/timeseries/CUSR0000SERB" TargetMode="External" Id="rId1068"/><Relationship Type="http://schemas.openxmlformats.org/officeDocument/2006/relationships/hyperlink" Target="https://www.bls.gov/cpi/factsheets/" TargetMode="External" Id="rId1069"/><Relationship Type="http://schemas.openxmlformats.org/officeDocument/2006/relationships/hyperlink" Target="https://www.bls.gov/opub/hom/cpi/calculation.htm" TargetMode="External" Id="rId1070"/><Relationship Type="http://schemas.openxmlformats.org/officeDocument/2006/relationships/hyperlink" Target="https://data.bls.gov/timeseries/CUUR0000SERB01" TargetMode="External" Id="rId1071"/><Relationship Type="http://schemas.openxmlformats.org/officeDocument/2006/relationships/hyperlink" Target="https://data.bls.gov/timeseries/CUSR0000SERB01" TargetMode="External" Id="rId1072"/><Relationship Type="http://schemas.openxmlformats.org/officeDocument/2006/relationships/hyperlink" Target="https://www.bls.gov/cpi/factsheets/" TargetMode="External" Id="rId1073"/><Relationship Type="http://schemas.openxmlformats.org/officeDocument/2006/relationships/hyperlink" Target="https://www.bls.gov/opub/hom/cpi/calculation.htm" TargetMode="External" Id="rId1074"/><Relationship Type="http://schemas.openxmlformats.org/officeDocument/2006/relationships/hyperlink" Target="https://data.bls.gov/timeseries/CUUR0000SS61031" TargetMode="External" Id="rId1075"/><Relationship Type="http://schemas.openxmlformats.org/officeDocument/2006/relationships/hyperlink" Target="https://data.bls.gov/timeseries/CUSR0000SS61031" TargetMode="External" Id="rId1076"/><Relationship Type="http://schemas.openxmlformats.org/officeDocument/2006/relationships/hyperlink" Target="https://www.bls.gov/cpi/factsheets/" TargetMode="External" Id="rId1077"/><Relationship Type="http://schemas.openxmlformats.org/officeDocument/2006/relationships/hyperlink" Target="https://www.bls.gov/opub/hom/cpi/calculation.htm" TargetMode="External" Id="rId1078"/><Relationship Type="http://schemas.openxmlformats.org/officeDocument/2006/relationships/hyperlink" Target="https://data.bls.gov/timeseries/CUUR0000SS61032" TargetMode="External" Id="rId1079"/><Relationship Type="http://schemas.openxmlformats.org/officeDocument/2006/relationships/hyperlink" Target="https://data.bls.gov/timeseries/CUSR0000SS61032" TargetMode="External" Id="rId1080"/><Relationship Type="http://schemas.openxmlformats.org/officeDocument/2006/relationships/hyperlink" Target="https://www.bls.gov/cpi/factsheets/" TargetMode="External" Id="rId1081"/><Relationship Type="http://schemas.openxmlformats.org/officeDocument/2006/relationships/hyperlink" Target="https://www.bls.gov/opub/hom/cpi/calculation.htm" TargetMode="External" Id="rId1082"/><Relationship Type="http://schemas.openxmlformats.org/officeDocument/2006/relationships/hyperlink" Target="https://data.bls.gov/timeseries/CUUR0000SERB02" TargetMode="External" Id="rId1083"/><Relationship Type="http://schemas.openxmlformats.org/officeDocument/2006/relationships/hyperlink" Target="https://data.bls.gov/timeseries/CUSR0000SERB02" TargetMode="External" Id="rId1084"/><Relationship Type="http://schemas.openxmlformats.org/officeDocument/2006/relationships/hyperlink" Target="https://www.bls.gov/cpi/factsheets/" TargetMode="External" Id="rId1085"/><Relationship Type="http://schemas.openxmlformats.org/officeDocument/2006/relationships/hyperlink" Target="https://www.bls.gov/opub/hom/cpi/calculation.htm" TargetMode="External" Id="rId1086"/><Relationship Type="http://schemas.openxmlformats.org/officeDocument/2006/relationships/hyperlink" Target="https://data.bls.gov/timeseries/CUUR0000SS62053" TargetMode="External" Id="rId1087"/><Relationship Type="http://schemas.openxmlformats.org/officeDocument/2006/relationships/hyperlink" Target="https://data.bls.gov/timeseries/CUSR0000SS62053" TargetMode="External" Id="rId1088"/><Relationship Type="http://schemas.openxmlformats.org/officeDocument/2006/relationships/hyperlink" Target="https://www.bls.gov/cpi/factsheets/" TargetMode="External" Id="rId1089"/><Relationship Type="http://schemas.openxmlformats.org/officeDocument/2006/relationships/hyperlink" Target="https://www.bls.gov/opub/hom/cpi/calculation.htm" TargetMode="External" Id="rId1090"/><Relationship Type="http://schemas.openxmlformats.org/officeDocument/2006/relationships/hyperlink" Target="https://data.bls.gov/timeseries/CUUR0000SS62054" TargetMode="External" Id="rId1091"/><Relationship Type="http://schemas.openxmlformats.org/officeDocument/2006/relationships/hyperlink" Target="https://data.bls.gov/timeseries/CUSR0000SS62054" TargetMode="External" Id="rId1092"/><Relationship Type="http://schemas.openxmlformats.org/officeDocument/2006/relationships/hyperlink" Target="https://www.bls.gov/cpi/factsheets/" TargetMode="External" Id="rId1093"/><Relationship Type="http://schemas.openxmlformats.org/officeDocument/2006/relationships/hyperlink" Target="https://www.bls.gov/opub/hom/cpi/calculation.htm" TargetMode="External" Id="rId1094"/><Relationship Type="http://schemas.openxmlformats.org/officeDocument/2006/relationships/hyperlink" Target="https://data.bls.gov/timeseries/CUUR0000SERC" TargetMode="External" Id="rId1095"/><Relationship Type="http://schemas.openxmlformats.org/officeDocument/2006/relationships/hyperlink" Target="https://data.bls.gov/timeseries/CUSR0000SERC" TargetMode="External" Id="rId1096"/><Relationship Type="http://schemas.openxmlformats.org/officeDocument/2006/relationships/hyperlink" Target="https://www.bls.gov/cpi/factsheets/" TargetMode="External" Id="rId1097"/><Relationship Type="http://schemas.openxmlformats.org/officeDocument/2006/relationships/hyperlink" Target="https://www.bls.gov/opub/hom/cpi/calculation.htm" TargetMode="External" Id="rId1098"/><Relationship Type="http://schemas.openxmlformats.org/officeDocument/2006/relationships/hyperlink" Target="https://data.bls.gov/timeseries/CUUR0000SERC01" TargetMode="External" Id="rId1099"/><Relationship Type="http://schemas.openxmlformats.org/officeDocument/2006/relationships/hyperlink" Target="https://data.bls.gov/timeseries/CUSR0000SERC01" TargetMode="External" Id="rId1100"/><Relationship Type="http://schemas.openxmlformats.org/officeDocument/2006/relationships/hyperlink" Target="https://www.bls.gov/cpi/factsheets/" TargetMode="External" Id="rId1101"/><Relationship Type="http://schemas.openxmlformats.org/officeDocument/2006/relationships/hyperlink" Target="https://www.bls.gov/opub/hom/cpi/calculation.htm" TargetMode="External" Id="rId1102"/><Relationship Type="http://schemas.openxmlformats.org/officeDocument/2006/relationships/hyperlink" Target="https://data.bls.gov/timeseries/CUUR0000SERC02" TargetMode="External" Id="rId1103"/><Relationship Type="http://schemas.openxmlformats.org/officeDocument/2006/relationships/hyperlink" Target="https://data.bls.gov/timeseries/CUSR0000SERC02" TargetMode="External" Id="rId1104"/><Relationship Type="http://schemas.openxmlformats.org/officeDocument/2006/relationships/hyperlink" Target="https://www.bls.gov/cpi/factsheets/" TargetMode="External" Id="rId1105"/><Relationship Type="http://schemas.openxmlformats.org/officeDocument/2006/relationships/hyperlink" Target="https://www.bls.gov/opub/hom/cpi/calculation.htm" TargetMode="External" Id="rId1106"/><Relationship Type="http://schemas.openxmlformats.org/officeDocument/2006/relationships/hyperlink" Target="https://data.bls.gov/timeseries/CUUR0000SERD" TargetMode="External" Id="rId1107"/><Relationship Type="http://schemas.openxmlformats.org/officeDocument/2006/relationships/hyperlink" Target="https://data.bls.gov/timeseries/CUSR0000SERD" TargetMode="External" Id="rId1108"/><Relationship Type="http://schemas.openxmlformats.org/officeDocument/2006/relationships/hyperlink" Target="https://www.bls.gov/cpi/factsheets/" TargetMode="External" Id="rId1109"/><Relationship Type="http://schemas.openxmlformats.org/officeDocument/2006/relationships/hyperlink" Target="https://www.bls.gov/opub/hom/cpi/calculation.htm" TargetMode="External" Id="rId1110"/><Relationship Type="http://schemas.openxmlformats.org/officeDocument/2006/relationships/hyperlink" Target="https://data.bls.gov/timeseries/CUUR0000SERD01" TargetMode="External" Id="rId1111"/><Relationship Type="http://schemas.openxmlformats.org/officeDocument/2006/relationships/hyperlink" Target="https://data.bls.gov/timeseries/CUSR0000SERD01" TargetMode="External" Id="rId1112"/><Relationship Type="http://schemas.openxmlformats.org/officeDocument/2006/relationships/hyperlink" Target="https://www.bls.gov/cpi/factsheets/" TargetMode="External" Id="rId1113"/><Relationship Type="http://schemas.openxmlformats.org/officeDocument/2006/relationships/hyperlink" Target="https://www.bls.gov/opub/hom/cpi/calculation.htm" TargetMode="External" Id="rId1114"/><Relationship Type="http://schemas.openxmlformats.org/officeDocument/2006/relationships/hyperlink" Target="https://data.bls.gov/timeseries/CUUR0000SS61021" TargetMode="External" Id="rId1115"/><Relationship Type="http://schemas.openxmlformats.org/officeDocument/2006/relationships/hyperlink" Target="https://www.bls.gov/cpi/factsheets/" TargetMode="External" Id="rId1116"/><Relationship Type="http://schemas.openxmlformats.org/officeDocument/2006/relationships/hyperlink" Target="https://www.bls.gov/opub/hom/cpi/calculation.htm" TargetMode="External" Id="rId1117"/><Relationship Type="http://schemas.openxmlformats.org/officeDocument/2006/relationships/hyperlink" Target="https://data.bls.gov/timeseries/CUUR0000SS61023" TargetMode="External" Id="rId1118"/><Relationship Type="http://schemas.openxmlformats.org/officeDocument/2006/relationships/hyperlink" Target="https://data.bls.gov/timeseries/CUSR0000SS61023" TargetMode="External" Id="rId1119"/><Relationship Type="http://schemas.openxmlformats.org/officeDocument/2006/relationships/hyperlink" Target="https://www.bls.gov/cpi/factsheets/" TargetMode="External" Id="rId1120"/><Relationship Type="http://schemas.openxmlformats.org/officeDocument/2006/relationships/hyperlink" Target="https://www.bls.gov/opub/hom/cpi/calculation.htm" TargetMode="External" Id="rId1121"/><Relationship Type="http://schemas.openxmlformats.org/officeDocument/2006/relationships/hyperlink" Target="https://data.bls.gov/timeseries/CUUR0000SERD02" TargetMode="External" Id="rId1122"/><Relationship Type="http://schemas.openxmlformats.org/officeDocument/2006/relationships/hyperlink" Target="https://www.bls.gov/cpi/factsheets/" TargetMode="External" Id="rId1123"/><Relationship Type="http://schemas.openxmlformats.org/officeDocument/2006/relationships/hyperlink" Target="https://www.bls.gov/opub/hom/cpi/calculation.htm" TargetMode="External" Id="rId1124"/><Relationship Type="http://schemas.openxmlformats.org/officeDocument/2006/relationships/hyperlink" Target="https://data.bls.gov/timeseries/CUUR0000SS62051" TargetMode="External" Id="rId1125"/><Relationship Type="http://schemas.openxmlformats.org/officeDocument/2006/relationships/hyperlink" Target="https://www.bls.gov/cpi/factsheets/" TargetMode="External" Id="rId1126"/><Relationship Type="http://schemas.openxmlformats.org/officeDocument/2006/relationships/hyperlink" Target="https://www.bls.gov/opub/hom/cpi/calculation.htm" TargetMode="External" Id="rId1127"/><Relationship Type="http://schemas.openxmlformats.org/officeDocument/2006/relationships/hyperlink" Target="https://data.bls.gov/timeseries/CUUR0000SS62052" TargetMode="External" Id="rId1128"/><Relationship Type="http://schemas.openxmlformats.org/officeDocument/2006/relationships/hyperlink" Target="https://www.bls.gov/cpi/factsheets/" TargetMode="External" Id="rId1129"/><Relationship Type="http://schemas.openxmlformats.org/officeDocument/2006/relationships/hyperlink" Target="https://www.bls.gov/opub/hom/cpi/calculation.htm" TargetMode="External" Id="rId1130"/><Relationship Type="http://schemas.openxmlformats.org/officeDocument/2006/relationships/hyperlink" Target="https://data.bls.gov/timeseries/CUUR0000SERE" TargetMode="External" Id="rId1131"/><Relationship Type="http://schemas.openxmlformats.org/officeDocument/2006/relationships/hyperlink" Target="https://data.bls.gov/timeseries/CUSR0000SERE" TargetMode="External" Id="rId1132"/><Relationship Type="http://schemas.openxmlformats.org/officeDocument/2006/relationships/hyperlink" Target="https://www.bls.gov/cpi/factsheets/" TargetMode="External" Id="rId1133"/><Relationship Type="http://schemas.openxmlformats.org/officeDocument/2006/relationships/hyperlink" Target="https://www.bls.gov/opub/hom/cpi/calculation.htm" TargetMode="External" Id="rId1134"/><Relationship Type="http://schemas.openxmlformats.org/officeDocument/2006/relationships/hyperlink" Target="https://data.bls.gov/timeseries/CUUR0000SERE01" TargetMode="External" Id="rId1135"/><Relationship Type="http://schemas.openxmlformats.org/officeDocument/2006/relationships/hyperlink" Target="https://data.bls.gov/timeseries/CUSR0000SERE01" TargetMode="External" Id="rId1136"/><Relationship Type="http://schemas.openxmlformats.org/officeDocument/2006/relationships/hyperlink" Target="https://www.bls.gov/cpi/factsheets/" TargetMode="External" Id="rId1137"/><Relationship Type="http://schemas.openxmlformats.org/officeDocument/2006/relationships/hyperlink" Target="https://www.bls.gov/opub/hom/cpi/calculation.htm" TargetMode="External" Id="rId1138"/><Relationship Type="http://schemas.openxmlformats.org/officeDocument/2006/relationships/hyperlink" Target="https://data.bls.gov/timeseries/CUUR0000SS61011" TargetMode="External" Id="rId1139"/><Relationship Type="http://schemas.openxmlformats.org/officeDocument/2006/relationships/hyperlink" Target="https://data.bls.gov/timeseries/CUSR0000SS61011" TargetMode="External" Id="rId1140"/><Relationship Type="http://schemas.openxmlformats.org/officeDocument/2006/relationships/hyperlink" Target="https://www.bls.gov/cpi/factsheets/" TargetMode="External" Id="rId1141"/><Relationship Type="http://schemas.openxmlformats.org/officeDocument/2006/relationships/hyperlink" Target="https://www.bls.gov/opub/hom/cpi/calculation.htm" TargetMode="External" Id="rId1142"/><Relationship Type="http://schemas.openxmlformats.org/officeDocument/2006/relationships/hyperlink" Target="https://data.bls.gov/timeseries/CUUR0000SS31023" TargetMode="External" Id="rId1143"/><Relationship Type="http://schemas.openxmlformats.org/officeDocument/2006/relationships/hyperlink" Target="https://www.bls.gov/cpi/factsheets/" TargetMode="External" Id="rId1144"/><Relationship Type="http://schemas.openxmlformats.org/officeDocument/2006/relationships/hyperlink" Target="https://www.bls.gov/opub/hom/cpi/calculation.htm" TargetMode="External" Id="rId1145"/><Relationship Type="http://schemas.openxmlformats.org/officeDocument/2006/relationships/hyperlink" Target="https://data.bls.gov/timeseries/CUUR0000SERE02" TargetMode="External" Id="rId1146"/><Relationship Type="http://schemas.openxmlformats.org/officeDocument/2006/relationships/hyperlink" Target="https://data.bls.gov/timeseries/CUSR0000SERE02" TargetMode="External" Id="rId1147"/><Relationship Type="http://schemas.openxmlformats.org/officeDocument/2006/relationships/hyperlink" Target="https://www.bls.gov/cpi/factsheets/" TargetMode="External" Id="rId1148"/><Relationship Type="http://schemas.openxmlformats.org/officeDocument/2006/relationships/hyperlink" Target="https://www.bls.gov/opub/hom/cpi/calculation.htm" TargetMode="External" Id="rId1149"/><Relationship Type="http://schemas.openxmlformats.org/officeDocument/2006/relationships/hyperlink" Target="https://data.bls.gov/timeseries/CUUR0000SERE03" TargetMode="External" Id="rId1150"/><Relationship Type="http://schemas.openxmlformats.org/officeDocument/2006/relationships/hyperlink" Target="https://data.bls.gov/timeseries/CUSR0000SERE03" TargetMode="External" Id="rId1151"/><Relationship Type="http://schemas.openxmlformats.org/officeDocument/2006/relationships/hyperlink" Target="https://www.bls.gov/cpi/factsheets/" TargetMode="External" Id="rId1152"/><Relationship Type="http://schemas.openxmlformats.org/officeDocument/2006/relationships/hyperlink" Target="https://www.bls.gov/opub/hom/cpi/calculation.htm" TargetMode="External" Id="rId1153"/><Relationship Type="http://schemas.openxmlformats.org/officeDocument/2006/relationships/hyperlink" Target="https://data.bls.gov/timeseries/CUUR0000SERF" TargetMode="External" Id="rId1154"/><Relationship Type="http://schemas.openxmlformats.org/officeDocument/2006/relationships/hyperlink" Target="https://data.bls.gov/timeseries/CUSR0000SERF" TargetMode="External" Id="rId1155"/><Relationship Type="http://schemas.openxmlformats.org/officeDocument/2006/relationships/hyperlink" Target="https://www.bls.gov/cpi/factsheets/" TargetMode="External" Id="rId1156"/><Relationship Type="http://schemas.openxmlformats.org/officeDocument/2006/relationships/hyperlink" Target="https://www.bls.gov/opub/hom/cpi/calculation.htm" TargetMode="External" Id="rId1157"/><Relationship Type="http://schemas.openxmlformats.org/officeDocument/2006/relationships/hyperlink" Target="https://data.bls.gov/timeseries/CUUR0000SERF01" TargetMode="External" Id="rId1158"/><Relationship Type="http://schemas.openxmlformats.org/officeDocument/2006/relationships/hyperlink" Target="https://data.bls.gov/timeseries/CUSR0000SERF01" TargetMode="External" Id="rId1159"/><Relationship Type="http://schemas.openxmlformats.org/officeDocument/2006/relationships/hyperlink" Target="https://www.bls.gov/cpi/factsheets/" TargetMode="External" Id="rId1160"/><Relationship Type="http://schemas.openxmlformats.org/officeDocument/2006/relationships/hyperlink" Target="https://www.bls.gov/opub/hom/cpi/calculation.htm" TargetMode="External" Id="rId1161"/><Relationship Type="http://schemas.openxmlformats.org/officeDocument/2006/relationships/hyperlink" Target="https://data.bls.gov/timeseries/CUUR0000SERF02" TargetMode="External" Id="rId1162"/><Relationship Type="http://schemas.openxmlformats.org/officeDocument/2006/relationships/hyperlink" Target="https://data.bls.gov/timeseries/CUSR0000SERF02" TargetMode="External" Id="rId1163"/><Relationship Type="http://schemas.openxmlformats.org/officeDocument/2006/relationships/hyperlink" Target="https://www.bls.gov/cpi/factsheets/" TargetMode="External" Id="rId1164"/><Relationship Type="http://schemas.openxmlformats.org/officeDocument/2006/relationships/hyperlink" Target="https://www.bls.gov/opub/hom/cpi/calculation.htm" TargetMode="External" Id="rId1165"/><Relationship Type="http://schemas.openxmlformats.org/officeDocument/2006/relationships/hyperlink" Target="https://data.bls.gov/timeseries/CUUR0000SS62031" TargetMode="External" Id="rId1166"/><Relationship Type="http://schemas.openxmlformats.org/officeDocument/2006/relationships/hyperlink" Target="https://data.bls.gov/timeseries/CUSR0000SS62031" TargetMode="External" Id="rId1167"/><Relationship Type="http://schemas.openxmlformats.org/officeDocument/2006/relationships/hyperlink" Target="https://www.bls.gov/cpi/factsheets/" TargetMode="External" Id="rId1168"/><Relationship Type="http://schemas.openxmlformats.org/officeDocument/2006/relationships/hyperlink" Target="https://www.bls.gov/opub/hom/cpi/calculation.htm" TargetMode="External" Id="rId1169"/><Relationship Type="http://schemas.openxmlformats.org/officeDocument/2006/relationships/hyperlink" Target="https://data.bls.gov/timeseries/CUUR0000SS62032" TargetMode="External" Id="rId1170"/><Relationship Type="http://schemas.openxmlformats.org/officeDocument/2006/relationships/hyperlink" Target="https://data.bls.gov/timeseries/CUSR0000SS62032" TargetMode="External" Id="rId1171"/><Relationship Type="http://schemas.openxmlformats.org/officeDocument/2006/relationships/hyperlink" Target="https://www.bls.gov/cpi/factsheets/" TargetMode="External" Id="rId1172"/><Relationship Type="http://schemas.openxmlformats.org/officeDocument/2006/relationships/hyperlink" Target="https://www.bls.gov/opub/hom/cpi/calculation.htm" TargetMode="External" Id="rId1173"/><Relationship Type="http://schemas.openxmlformats.org/officeDocument/2006/relationships/hyperlink" Target="https://data.bls.gov/timeseries/CUUR0000SERF03" TargetMode="External" Id="rId1174"/><Relationship Type="http://schemas.openxmlformats.org/officeDocument/2006/relationships/hyperlink" Target="https://data.bls.gov/timeseries/CUSR0000SERF03" TargetMode="External" Id="rId1175"/><Relationship Type="http://schemas.openxmlformats.org/officeDocument/2006/relationships/hyperlink" Target="https://www.bls.gov/cpi/factsheets/" TargetMode="External" Id="rId1176"/><Relationship Type="http://schemas.openxmlformats.org/officeDocument/2006/relationships/hyperlink" Target="https://www.bls.gov/opub/hom/cpi/calculation.htm" TargetMode="External" Id="rId1177"/><Relationship Type="http://schemas.openxmlformats.org/officeDocument/2006/relationships/hyperlink" Target="https://data.bls.gov/timeseries/CUUR0000SERG" TargetMode="External" Id="rId1178"/><Relationship Type="http://schemas.openxmlformats.org/officeDocument/2006/relationships/hyperlink" Target="https://data.bls.gov/timeseries/CUSR0000SERG" TargetMode="External" Id="rId1179"/><Relationship Type="http://schemas.openxmlformats.org/officeDocument/2006/relationships/hyperlink" Target="https://www.bls.gov/cpi/factsheets/" TargetMode="External" Id="rId1180"/><Relationship Type="http://schemas.openxmlformats.org/officeDocument/2006/relationships/hyperlink" Target="https://www.bls.gov/opub/hom/cpi/calculation.htm" TargetMode="External" Id="rId1181"/><Relationship Type="http://schemas.openxmlformats.org/officeDocument/2006/relationships/hyperlink" Target="https://data.bls.gov/timeseries/CUUR0000SERG01" TargetMode="External" Id="rId1182"/><Relationship Type="http://schemas.openxmlformats.org/officeDocument/2006/relationships/hyperlink" Target="https://www.bls.gov/cpi/factsheets/" TargetMode="External" Id="rId1183"/><Relationship Type="http://schemas.openxmlformats.org/officeDocument/2006/relationships/hyperlink" Target="https://www.bls.gov/opub/hom/cpi/calculation.htm" TargetMode="External" Id="rId1184"/><Relationship Type="http://schemas.openxmlformats.org/officeDocument/2006/relationships/hyperlink" Target="https://data.bls.gov/timeseries/CUUR0000SERG02" TargetMode="External" Id="rId1185"/><Relationship Type="http://schemas.openxmlformats.org/officeDocument/2006/relationships/hyperlink" Target="https://www.bls.gov/cpi/factsheets/" TargetMode="External" Id="rId1186"/><Relationship Type="http://schemas.openxmlformats.org/officeDocument/2006/relationships/hyperlink" Target="https://www.bls.gov/opub/hom/cpi/calculation.htm" TargetMode="External" Id="rId1187"/><Relationship Type="http://schemas.openxmlformats.org/officeDocument/2006/relationships/hyperlink" Target="https://data.bls.gov/timeseries/CUUR0000SAE" TargetMode="External" Id="rId1188"/><Relationship Type="http://schemas.openxmlformats.org/officeDocument/2006/relationships/hyperlink" Target="https://data.bls.gov/timeseries/CUSR0000SAE" TargetMode="External" Id="rId1189"/><Relationship Type="http://schemas.openxmlformats.org/officeDocument/2006/relationships/hyperlink" Target="https://www.bls.gov/cpi/factsheets/" TargetMode="External" Id="rId1190"/><Relationship Type="http://schemas.openxmlformats.org/officeDocument/2006/relationships/hyperlink" Target="https://www.bls.gov/opub/hom/cpi/calculation.htm" TargetMode="External" Id="rId1191"/><Relationship Type="http://schemas.openxmlformats.org/officeDocument/2006/relationships/hyperlink" Target="https://data.bls.gov/timeseries/CUUR0000SAE1" TargetMode="External" Id="rId1192"/><Relationship Type="http://schemas.openxmlformats.org/officeDocument/2006/relationships/hyperlink" Target="https://data.bls.gov/timeseries/CUSR0000SAE1" TargetMode="External" Id="rId1193"/><Relationship Type="http://schemas.openxmlformats.org/officeDocument/2006/relationships/hyperlink" Target="https://www.bls.gov/cpi/factsheets/" TargetMode="External" Id="rId1194"/><Relationship Type="http://schemas.openxmlformats.org/officeDocument/2006/relationships/hyperlink" Target="https://www.bls.gov/opub/hom/cpi/calculation.htm" TargetMode="External" Id="rId1195"/><Relationship Type="http://schemas.openxmlformats.org/officeDocument/2006/relationships/hyperlink" Target="https://data.bls.gov/timeseries/CUUR0000SEEA" TargetMode="External" Id="rId1196"/><Relationship Type="http://schemas.openxmlformats.org/officeDocument/2006/relationships/hyperlink" Target="https://data.bls.gov/timeseries/CUSR0000SEEA" TargetMode="External" Id="rId1197"/><Relationship Type="http://schemas.openxmlformats.org/officeDocument/2006/relationships/hyperlink" Target="https://www.bls.gov/cpi/factsheets/" TargetMode="External" Id="rId1198"/><Relationship Type="http://schemas.openxmlformats.org/officeDocument/2006/relationships/hyperlink" Target="https://www.bls.gov/opub/hom/cpi/calculation.htm" TargetMode="External" Id="rId1199"/><Relationship Type="http://schemas.openxmlformats.org/officeDocument/2006/relationships/hyperlink" Target="https://data.bls.gov/timeseries/CUUR0000SSEA011" TargetMode="External" Id="rId1200"/><Relationship Type="http://schemas.openxmlformats.org/officeDocument/2006/relationships/hyperlink" Target="https://www.bls.gov/cpi/factsheets/" TargetMode="External" Id="rId1201"/><Relationship Type="http://schemas.openxmlformats.org/officeDocument/2006/relationships/hyperlink" Target="https://www.bls.gov/opub/hom/cpi/calculation.htm" TargetMode="External" Id="rId1202"/><Relationship Type="http://schemas.openxmlformats.org/officeDocument/2006/relationships/hyperlink" Target="https://data.bls.gov/timeseries/CUUR0000SEEB" TargetMode="External" Id="rId1203"/><Relationship Type="http://schemas.openxmlformats.org/officeDocument/2006/relationships/hyperlink" Target="https://data.bls.gov/timeseries/CUSR0000SEEB" TargetMode="External" Id="rId1204"/><Relationship Type="http://schemas.openxmlformats.org/officeDocument/2006/relationships/hyperlink" Target="https://www.bls.gov/cpi/factsheets/college-tuition.htm" TargetMode="External" Id="rId1205"/><Relationship Type="http://schemas.openxmlformats.org/officeDocument/2006/relationships/hyperlink" Target="https://www.bls.gov/opub/hom/cpi/calculation.htm" TargetMode="External" Id="rId1206"/><Relationship Type="http://schemas.openxmlformats.org/officeDocument/2006/relationships/hyperlink" Target="https://data.bls.gov/timeseries/CUUR0000SEEB01" TargetMode="External" Id="rId1207"/><Relationship Type="http://schemas.openxmlformats.org/officeDocument/2006/relationships/hyperlink" Target="https://data.bls.gov/timeseries/CUSR0000SEEB01" TargetMode="External" Id="rId1208"/><Relationship Type="http://schemas.openxmlformats.org/officeDocument/2006/relationships/hyperlink" Target="https://www.bls.gov/cpi/factsheets/" TargetMode="External" Id="rId1209"/><Relationship Type="http://schemas.openxmlformats.org/officeDocument/2006/relationships/hyperlink" Target="https://www.bls.gov/opub/hom/cpi/calculation.htm" TargetMode="External" Id="rId1210"/><Relationship Type="http://schemas.openxmlformats.org/officeDocument/2006/relationships/hyperlink" Target="https://data.bls.gov/timeseries/CUUR0000SEEB02" TargetMode="External" Id="rId1211"/><Relationship Type="http://schemas.openxmlformats.org/officeDocument/2006/relationships/hyperlink" Target="https://data.bls.gov/timeseries/CUSR0000SEEB02" TargetMode="External" Id="rId1212"/><Relationship Type="http://schemas.openxmlformats.org/officeDocument/2006/relationships/hyperlink" Target="https://www.bls.gov/cpi/factsheets/" TargetMode="External" Id="rId1213"/><Relationship Type="http://schemas.openxmlformats.org/officeDocument/2006/relationships/hyperlink" Target="https://www.bls.gov/opub/hom/cpi/calculation.htm" TargetMode="External" Id="rId1214"/><Relationship Type="http://schemas.openxmlformats.org/officeDocument/2006/relationships/hyperlink" Target="https://data.bls.gov/timeseries/CUUR0000SEEB03" TargetMode="External" Id="rId1215"/><Relationship Type="http://schemas.openxmlformats.org/officeDocument/2006/relationships/hyperlink" Target="https://data.bls.gov/timeseries/CUSR0000SEEB03" TargetMode="External" Id="rId1216"/><Relationship Type="http://schemas.openxmlformats.org/officeDocument/2006/relationships/hyperlink" Target="https://www.bls.gov/cpi/factsheets/" TargetMode="External" Id="rId1217"/><Relationship Type="http://schemas.openxmlformats.org/officeDocument/2006/relationships/hyperlink" Target="https://www.bls.gov/opub/hom/cpi/calculation.htm" TargetMode="External" Id="rId1218"/><Relationship Type="http://schemas.openxmlformats.org/officeDocument/2006/relationships/hyperlink" Target="https://data.bls.gov/timeseries/CUUR0000SEEB04" TargetMode="External" Id="rId1219"/><Relationship Type="http://schemas.openxmlformats.org/officeDocument/2006/relationships/hyperlink" Target="https://data.bls.gov/timeseries/CUSR0000SEEB04" TargetMode="External" Id="rId1220"/><Relationship Type="http://schemas.openxmlformats.org/officeDocument/2006/relationships/hyperlink" Target="https://www.bls.gov/cpi/factsheets/" TargetMode="External" Id="rId1221"/><Relationship Type="http://schemas.openxmlformats.org/officeDocument/2006/relationships/hyperlink" Target="https://www.bls.gov/opub/hom/cpi/calculation.htm" TargetMode="External" Id="rId1222"/><Relationship Type="http://schemas.openxmlformats.org/officeDocument/2006/relationships/hyperlink" Target="https://data.bls.gov/timeseries/CUUR0000SAE2" TargetMode="External" Id="rId1223"/><Relationship Type="http://schemas.openxmlformats.org/officeDocument/2006/relationships/hyperlink" Target="https://data.bls.gov/timeseries/CUSR0000SAE2" TargetMode="External" Id="rId1224"/><Relationship Type="http://schemas.openxmlformats.org/officeDocument/2006/relationships/hyperlink" Target="https://www.bls.gov/cpi/factsheets/" TargetMode="External" Id="rId1225"/><Relationship Type="http://schemas.openxmlformats.org/officeDocument/2006/relationships/hyperlink" Target="https://www.bls.gov/opub/hom/cpi/calculation.htm" TargetMode="External" Id="rId1226"/><Relationship Type="http://schemas.openxmlformats.org/officeDocument/2006/relationships/hyperlink" Target="https://data.bls.gov/timeseries/CUUR0000SEEC" TargetMode="External" Id="rId1227"/><Relationship Type="http://schemas.openxmlformats.org/officeDocument/2006/relationships/hyperlink" Target="https://data.bls.gov/timeseries/CUSR0000SEEC" TargetMode="External" Id="rId1228"/><Relationship Type="http://schemas.openxmlformats.org/officeDocument/2006/relationships/hyperlink" Target="https://www.bls.gov/cpi/factsheets/" TargetMode="External" Id="rId1229"/><Relationship Type="http://schemas.openxmlformats.org/officeDocument/2006/relationships/hyperlink" Target="https://www.bls.gov/opub/hom/cpi/calculation.htm" TargetMode="External" Id="rId1230"/><Relationship Type="http://schemas.openxmlformats.org/officeDocument/2006/relationships/hyperlink" Target="https://data.bls.gov/timeseries/CUUR0000SEEC01" TargetMode="External" Id="rId1231"/><Relationship Type="http://schemas.openxmlformats.org/officeDocument/2006/relationships/hyperlink" Target="https://data.bls.gov/timeseries/CUSR0000SEEC01" TargetMode="External" Id="rId1232"/><Relationship Type="http://schemas.openxmlformats.org/officeDocument/2006/relationships/hyperlink" Target="https://www.bls.gov/cpi/factsheets/" TargetMode="External" Id="rId1233"/><Relationship Type="http://schemas.openxmlformats.org/officeDocument/2006/relationships/hyperlink" Target="https://www.bls.gov/opub/hom/cpi/calculation.htm" TargetMode="External" Id="rId1234"/><Relationship Type="http://schemas.openxmlformats.org/officeDocument/2006/relationships/hyperlink" Target="https://data.bls.gov/timeseries/CUUR0000SEEC02" TargetMode="External" Id="rId1235"/><Relationship Type="http://schemas.openxmlformats.org/officeDocument/2006/relationships/hyperlink" Target="https://data.bls.gov/timeseries/CUSR0000SEEC02" TargetMode="External" Id="rId1236"/><Relationship Type="http://schemas.openxmlformats.org/officeDocument/2006/relationships/hyperlink" Target="https://www.bls.gov/cpi/factsheets/" TargetMode="External" Id="rId1237"/><Relationship Type="http://schemas.openxmlformats.org/officeDocument/2006/relationships/hyperlink" Target="https://www.bls.gov/opub/hom/cpi/calculation.htm" TargetMode="External" Id="rId1238"/><Relationship Type="http://schemas.openxmlformats.org/officeDocument/2006/relationships/hyperlink" Target="https://data.bls.gov/timeseries/CUUR0000SAE21" TargetMode="External" Id="rId1239"/><Relationship Type="http://schemas.openxmlformats.org/officeDocument/2006/relationships/hyperlink" Target="https://data.bls.gov/timeseries/CUSR0000SAE21" TargetMode="External" Id="rId1240"/><Relationship Type="http://schemas.openxmlformats.org/officeDocument/2006/relationships/hyperlink" Target="https://www.bls.gov/cpi/factsheets/" TargetMode="External" Id="rId1241"/><Relationship Type="http://schemas.openxmlformats.org/officeDocument/2006/relationships/hyperlink" Target="https://www.bls.gov/opub/hom/cpi/calculation.htm" TargetMode="External" Id="rId1242"/><Relationship Type="http://schemas.openxmlformats.org/officeDocument/2006/relationships/hyperlink" Target="https://data.bls.gov/timeseries/CUUR0000SEED" TargetMode="External" Id="rId1243"/><Relationship Type="http://schemas.openxmlformats.org/officeDocument/2006/relationships/hyperlink" Target="https://www.bls.gov/cpi/factsheets/" TargetMode="External" Id="rId1244"/><Relationship Type="http://schemas.openxmlformats.org/officeDocument/2006/relationships/hyperlink" Target="https://www.bls.gov/opub/hom/cpi/calculation.htm" TargetMode="External" Id="rId1245"/><Relationship Type="http://schemas.openxmlformats.org/officeDocument/2006/relationships/hyperlink" Target="https://data.bls.gov/timeseries/CUUR0000SEED03" TargetMode="External" Id="rId1246"/><Relationship Type="http://schemas.openxmlformats.org/officeDocument/2006/relationships/hyperlink" Target="https://www.bls.gov/cpi/factsheets/" TargetMode="External" Id="rId1247"/><Relationship Type="http://schemas.openxmlformats.org/officeDocument/2006/relationships/hyperlink" Target="https://www.bls.gov/opub/hom/cpi/calculation.htm" TargetMode="External" Id="rId1248"/><Relationship Type="http://schemas.openxmlformats.org/officeDocument/2006/relationships/hyperlink" Target="https://data.bls.gov/timeseries/CUUR0000SEED04" TargetMode="External" Id="rId1249"/><Relationship Type="http://schemas.openxmlformats.org/officeDocument/2006/relationships/hyperlink" Target="https://www.bls.gov/cpi/factsheets/" TargetMode="External" Id="rId1250"/><Relationship Type="http://schemas.openxmlformats.org/officeDocument/2006/relationships/hyperlink" Target="https://www.bls.gov/opub/hom/cpi/calculation.htm" TargetMode="External" Id="rId1251"/><Relationship Type="http://schemas.openxmlformats.org/officeDocument/2006/relationships/hyperlink" Target="https://data.bls.gov/timeseries/CUUR0000SS27051" TargetMode="External" Id="rId1252"/><Relationship Type="http://schemas.openxmlformats.org/officeDocument/2006/relationships/hyperlink" Target="https://www.bls.gov/cpi/factsheets/" TargetMode="External" Id="rId1253"/><Relationship Type="http://schemas.openxmlformats.org/officeDocument/2006/relationships/hyperlink" Target="https://www.bls.gov/opub/hom/cpi/calculation.htm" TargetMode="External" Id="rId1254"/><Relationship Type="http://schemas.openxmlformats.org/officeDocument/2006/relationships/hyperlink" Target="https://data.bls.gov/timeseries/CUUR0000SS27061" TargetMode="External" Id="rId1255"/><Relationship Type="http://schemas.openxmlformats.org/officeDocument/2006/relationships/hyperlink" Target="https://www.bls.gov/cpi/factsheets/" TargetMode="External" Id="rId1256"/><Relationship Type="http://schemas.openxmlformats.org/officeDocument/2006/relationships/hyperlink" Target="https://www.bls.gov/opub/hom/cpi/calculation.htm" TargetMode="External" Id="rId1257"/><Relationship Type="http://schemas.openxmlformats.org/officeDocument/2006/relationships/hyperlink" Target="https://data.bls.gov/timeseries/CUUR0000SEEE" TargetMode="External" Id="rId1258"/><Relationship Type="http://schemas.openxmlformats.org/officeDocument/2006/relationships/hyperlink" Target="https://data.bls.gov/timeseries/CUSR0000SEEE" TargetMode="External" Id="rId1259"/><Relationship Type="http://schemas.openxmlformats.org/officeDocument/2006/relationships/hyperlink" Target="https://www.bls.gov/cpi/factsheets/" TargetMode="External" Id="rId1260"/><Relationship Type="http://schemas.openxmlformats.org/officeDocument/2006/relationships/hyperlink" Target="https://www.bls.gov/opub/hom/cpi/calculation.htm" TargetMode="External" Id="rId1261"/><Relationship Type="http://schemas.openxmlformats.org/officeDocument/2006/relationships/hyperlink" Target="https://data.bls.gov/timeseries/CUUR0000SEEE01" TargetMode="External" Id="rId1262"/><Relationship Type="http://schemas.openxmlformats.org/officeDocument/2006/relationships/hyperlink" Target="https://data.bls.gov/timeseries/CUSR0000SEEE01" TargetMode="External" Id="rId1263"/><Relationship Type="http://schemas.openxmlformats.org/officeDocument/2006/relationships/hyperlink" Target="https://www.bls.gov/cpi/factsheets/" TargetMode="External" Id="rId1264"/><Relationship Type="http://schemas.openxmlformats.org/officeDocument/2006/relationships/hyperlink" Target="https://www.bls.gov/opub/hom/cpi/calculation.htm" TargetMode="External" Id="rId1265"/><Relationship Type="http://schemas.openxmlformats.org/officeDocument/2006/relationships/hyperlink" Target="https://data.bls.gov/timeseries/CUUR0000SEEE02" TargetMode="External" Id="rId1266"/><Relationship Type="http://schemas.openxmlformats.org/officeDocument/2006/relationships/hyperlink" Target="https://www.bls.gov/cpi/factsheets/" TargetMode="External" Id="rId1267"/><Relationship Type="http://schemas.openxmlformats.org/officeDocument/2006/relationships/hyperlink" Target="https://www.bls.gov/opub/hom/cpi/calculation.htm" TargetMode="External" Id="rId1268"/><Relationship Type="http://schemas.openxmlformats.org/officeDocument/2006/relationships/hyperlink" Target="https://data.bls.gov/timeseries/CUUR0000SEEE03" TargetMode="External" Id="rId1269"/><Relationship Type="http://schemas.openxmlformats.org/officeDocument/2006/relationships/hyperlink" Target="https://data.bls.gov/timeseries/CUSR0000SEEE03" TargetMode="External" Id="rId1270"/><Relationship Type="http://schemas.openxmlformats.org/officeDocument/2006/relationships/hyperlink" Target="https://www.bls.gov/cpi/factsheets/" TargetMode="External" Id="rId1271"/><Relationship Type="http://schemas.openxmlformats.org/officeDocument/2006/relationships/hyperlink" Target="https://www.bls.gov/opub/hom/cpi/calculation.htm" TargetMode="External" Id="rId1272"/><Relationship Type="http://schemas.openxmlformats.org/officeDocument/2006/relationships/hyperlink" Target="https://data.bls.gov/timeseries/CUUR0000SEEE04" TargetMode="External" Id="rId1273"/><Relationship Type="http://schemas.openxmlformats.org/officeDocument/2006/relationships/hyperlink" Target="https://data.bls.gov/timeseries/CUSR0000SEEE04" TargetMode="External" Id="rId1274"/><Relationship Type="http://schemas.openxmlformats.org/officeDocument/2006/relationships/hyperlink" Target="https://www.bls.gov/cpi/factsheets/" TargetMode="External" Id="rId1275"/><Relationship Type="http://schemas.openxmlformats.org/officeDocument/2006/relationships/hyperlink" Target="https://www.bls.gov/opub/hom/cpi/calculation.htm" TargetMode="External" Id="rId1276"/><Relationship Type="http://schemas.openxmlformats.org/officeDocument/2006/relationships/hyperlink" Target="https://data.bls.gov/timeseries/CUUR0000SSEE041" TargetMode="External" Id="rId1277"/><Relationship Type="http://schemas.openxmlformats.org/officeDocument/2006/relationships/hyperlink" Target="https://www.bls.gov/cpi/factsheets/" TargetMode="External" Id="rId1278"/><Relationship Type="http://schemas.openxmlformats.org/officeDocument/2006/relationships/hyperlink" Target="https://www.bls.gov/opub/hom/cpi/calculation.htm" TargetMode="External" Id="rId1279"/><Relationship Type="http://schemas.openxmlformats.org/officeDocument/2006/relationships/hyperlink" Target="https://data.bls.gov/timeseries/CUUR0000SAG" TargetMode="External" Id="rId1280"/><Relationship Type="http://schemas.openxmlformats.org/officeDocument/2006/relationships/hyperlink" Target="https://data.bls.gov/timeseries/CUSR0000SAG" TargetMode="External" Id="rId1281"/><Relationship Type="http://schemas.openxmlformats.org/officeDocument/2006/relationships/hyperlink" Target="https://www.bls.gov/cpi/factsheets/" TargetMode="External" Id="rId1282"/><Relationship Type="http://schemas.openxmlformats.org/officeDocument/2006/relationships/hyperlink" Target="https://www.bls.gov/opub/hom/cpi/calculation.htm" TargetMode="External" Id="rId1283"/><Relationship Type="http://schemas.openxmlformats.org/officeDocument/2006/relationships/hyperlink" Target="https://data.bls.gov/timeseries/CUUR0000SEGA" TargetMode="External" Id="rId1284"/><Relationship Type="http://schemas.openxmlformats.org/officeDocument/2006/relationships/hyperlink" Target="https://data.bls.gov/timeseries/CUSR0000SEGA" TargetMode="External" Id="rId1285"/><Relationship Type="http://schemas.openxmlformats.org/officeDocument/2006/relationships/hyperlink" Target="https://www.bls.gov/cpi/factsheets/" TargetMode="External" Id="rId1286"/><Relationship Type="http://schemas.openxmlformats.org/officeDocument/2006/relationships/hyperlink" Target="https://www.bls.gov/opub/hom/cpi/calculation.htm" TargetMode="External" Id="rId1287"/><Relationship Type="http://schemas.openxmlformats.org/officeDocument/2006/relationships/hyperlink" Target="https://data.bls.gov/timeseries/CUUR0000SEGA01" TargetMode="External" Id="rId1288"/><Relationship Type="http://schemas.openxmlformats.org/officeDocument/2006/relationships/hyperlink" Target="https://data.bls.gov/timeseries/CUSR0000SEGA01" TargetMode="External" Id="rId1289"/><Relationship Type="http://schemas.openxmlformats.org/officeDocument/2006/relationships/hyperlink" Target="https://www.bls.gov/cpi/factsheets/" TargetMode="External" Id="rId1290"/><Relationship Type="http://schemas.openxmlformats.org/officeDocument/2006/relationships/hyperlink" Target="https://www.bls.gov/opub/hom/cpi/calculation.htm" TargetMode="External" Id="rId1291"/><Relationship Type="http://schemas.openxmlformats.org/officeDocument/2006/relationships/hyperlink" Target="https://data.bls.gov/timeseries/CUUR0000SEGA02" TargetMode="External" Id="rId1292"/><Relationship Type="http://schemas.openxmlformats.org/officeDocument/2006/relationships/hyperlink" Target="https://www.bls.gov/cpi/factsheets/" TargetMode="External" Id="rId1293"/><Relationship Type="http://schemas.openxmlformats.org/officeDocument/2006/relationships/hyperlink" Target="https://www.bls.gov/opub/hom/cpi/calculation.htm" TargetMode="External" Id="rId1294"/><Relationship Type="http://schemas.openxmlformats.org/officeDocument/2006/relationships/hyperlink" Target="https://data.bls.gov/timeseries/CUUR0000SAG1" TargetMode="External" Id="rId1295"/><Relationship Type="http://schemas.openxmlformats.org/officeDocument/2006/relationships/hyperlink" Target="https://data.bls.gov/timeseries/CUSR0000SAG1" TargetMode="External" Id="rId1296"/><Relationship Type="http://schemas.openxmlformats.org/officeDocument/2006/relationships/hyperlink" Target="https://www.bls.gov/cpi/factsheets/" TargetMode="External" Id="rId1297"/><Relationship Type="http://schemas.openxmlformats.org/officeDocument/2006/relationships/hyperlink" Target="https://www.bls.gov/opub/hom/cpi/calculation.htm" TargetMode="External" Id="rId1298"/><Relationship Type="http://schemas.openxmlformats.org/officeDocument/2006/relationships/hyperlink" Target="https://data.bls.gov/timeseries/CUUR0000SEGB" TargetMode="External" Id="rId1299"/><Relationship Type="http://schemas.openxmlformats.org/officeDocument/2006/relationships/hyperlink" Target="https://data.bls.gov/timeseries/CUSR0000SEGB" TargetMode="External" Id="rId1300"/><Relationship Type="http://schemas.openxmlformats.org/officeDocument/2006/relationships/hyperlink" Target="https://www.bls.gov/cpi/factsheets/" TargetMode="External" Id="rId1301"/><Relationship Type="http://schemas.openxmlformats.org/officeDocument/2006/relationships/hyperlink" Target="https://www.bls.gov/opub/hom/cpi/calculation.htm" TargetMode="External" Id="rId1302"/><Relationship Type="http://schemas.openxmlformats.org/officeDocument/2006/relationships/hyperlink" Target="https://data.bls.gov/timeseries/CUUR0000SEGB01" TargetMode="External" Id="rId1303"/><Relationship Type="http://schemas.openxmlformats.org/officeDocument/2006/relationships/hyperlink" Target="https://www.bls.gov/cpi/factsheets/" TargetMode="External" Id="rId1304"/><Relationship Type="http://schemas.openxmlformats.org/officeDocument/2006/relationships/hyperlink" Target="https://www.bls.gov/opub/hom/cpi/calculation.htm" TargetMode="External" Id="rId1305"/><Relationship Type="http://schemas.openxmlformats.org/officeDocument/2006/relationships/hyperlink" Target="https://data.bls.gov/timeseries/CUUR0000SEGB02" TargetMode="External" Id="rId1306"/><Relationship Type="http://schemas.openxmlformats.org/officeDocument/2006/relationships/hyperlink" Target="https://www.bls.gov/cpi/factsheets/" TargetMode="External" Id="rId1307"/><Relationship Type="http://schemas.openxmlformats.org/officeDocument/2006/relationships/hyperlink" Target="https://www.bls.gov/opub/hom/cpi/calculation.htm" TargetMode="External" Id="rId1308"/><Relationship Type="http://schemas.openxmlformats.org/officeDocument/2006/relationships/hyperlink" Target="https://data.bls.gov/timeseries/CUUR0000SEGC" TargetMode="External" Id="rId1309"/><Relationship Type="http://schemas.openxmlformats.org/officeDocument/2006/relationships/hyperlink" Target="https://www.bls.gov/cpi/factsheets/" TargetMode="External" Id="rId1310"/><Relationship Type="http://schemas.openxmlformats.org/officeDocument/2006/relationships/hyperlink" Target="https://www.bls.gov/opub/hom/cpi/calculation.htm" TargetMode="External" Id="rId1311"/><Relationship Type="http://schemas.openxmlformats.org/officeDocument/2006/relationships/hyperlink" Target="https://data.bls.gov/timeseries/CUUR0000SEGC01" TargetMode="External" Id="rId1312"/><Relationship Type="http://schemas.openxmlformats.org/officeDocument/2006/relationships/hyperlink" Target="https://www.bls.gov/cpi/factsheets/" TargetMode="External" Id="rId1313"/><Relationship Type="http://schemas.openxmlformats.org/officeDocument/2006/relationships/hyperlink" Target="https://www.bls.gov/opub/hom/cpi/calculation.htm" TargetMode="External" Id="rId1314"/><Relationship Type="http://schemas.openxmlformats.org/officeDocument/2006/relationships/hyperlink" Target="https://data.bls.gov/timeseries/CUUR0000SEGD" TargetMode="External" Id="rId1315"/><Relationship Type="http://schemas.openxmlformats.org/officeDocument/2006/relationships/hyperlink" Target="https://data.bls.gov/timeseries/CUSR0000SEGD" TargetMode="External" Id="rId1316"/><Relationship Type="http://schemas.openxmlformats.org/officeDocument/2006/relationships/hyperlink" Target="https://www.bls.gov/cpi/factsheets/" TargetMode="External" Id="rId1317"/><Relationship Type="http://schemas.openxmlformats.org/officeDocument/2006/relationships/hyperlink" Target="https://www.bls.gov/opub/hom/cpi/calculation.htm" TargetMode="External" Id="rId1318"/><Relationship Type="http://schemas.openxmlformats.org/officeDocument/2006/relationships/hyperlink" Target="https://data.bls.gov/timeseries/CUUR0000SEGD01" TargetMode="External" Id="rId1319"/><Relationship Type="http://schemas.openxmlformats.org/officeDocument/2006/relationships/hyperlink" Target="https://data.bls.gov/timeseries/CUSR0000SEGD01" TargetMode="External" Id="rId1320"/><Relationship Type="http://schemas.openxmlformats.org/officeDocument/2006/relationships/hyperlink" Target="https://www.bls.gov/cpi/factsheets/" TargetMode="External" Id="rId1321"/><Relationship Type="http://schemas.openxmlformats.org/officeDocument/2006/relationships/hyperlink" Target="https://www.bls.gov/opub/hom/cpi/calculation.htm" TargetMode="External" Id="rId1322"/><Relationship Type="http://schemas.openxmlformats.org/officeDocument/2006/relationships/hyperlink" Target="https://data.bls.gov/timeseries/CUUR0000SEGD02" TargetMode="External" Id="rId1323"/><Relationship Type="http://schemas.openxmlformats.org/officeDocument/2006/relationships/hyperlink" Target="https://data.bls.gov/timeseries/CUSR0000SEGD02" TargetMode="External" Id="rId1324"/><Relationship Type="http://schemas.openxmlformats.org/officeDocument/2006/relationships/hyperlink" Target="https://www.bls.gov/cpi/factsheets/" TargetMode="External" Id="rId1325"/><Relationship Type="http://schemas.openxmlformats.org/officeDocument/2006/relationships/hyperlink" Target="https://www.bls.gov/opub/hom/cpi/calculation.htm" TargetMode="External" Id="rId1326"/><Relationship Type="http://schemas.openxmlformats.org/officeDocument/2006/relationships/hyperlink" Target="https://data.bls.gov/timeseries/CUUR0000SEGD03" TargetMode="External" Id="rId1327"/><Relationship Type="http://schemas.openxmlformats.org/officeDocument/2006/relationships/hyperlink" Target="https://data.bls.gov/timeseries/CUSR0000SEGD03" TargetMode="External" Id="rId1328"/><Relationship Type="http://schemas.openxmlformats.org/officeDocument/2006/relationships/hyperlink" Target="https://www.bls.gov/cpi/factsheets/" TargetMode="External" Id="rId1329"/><Relationship Type="http://schemas.openxmlformats.org/officeDocument/2006/relationships/hyperlink" Target="https://www.bls.gov/opub/hom/cpi/calculation.htm" TargetMode="External" Id="rId1330"/><Relationship Type="http://schemas.openxmlformats.org/officeDocument/2006/relationships/hyperlink" Target="https://data.bls.gov/timeseries/CUUR0000SEGD04" TargetMode="External" Id="rId1331"/><Relationship Type="http://schemas.openxmlformats.org/officeDocument/2006/relationships/hyperlink" Target="https://www.bls.gov/cpi/factsheets/" TargetMode="External" Id="rId1332"/><Relationship Type="http://schemas.openxmlformats.org/officeDocument/2006/relationships/hyperlink" Target="https://www.bls.gov/opub/hom/cpi/calculation.htm" TargetMode="External" Id="rId1333"/><Relationship Type="http://schemas.openxmlformats.org/officeDocument/2006/relationships/hyperlink" Target="https://data.bls.gov/timeseries/CUUR0000SEGD05" TargetMode="External" Id="rId1334"/><Relationship Type="http://schemas.openxmlformats.org/officeDocument/2006/relationships/hyperlink" Target="https://data.bls.gov/timeseries/CUSR0000SEGD05" TargetMode="External" Id="rId1335"/><Relationship Type="http://schemas.openxmlformats.org/officeDocument/2006/relationships/hyperlink" Target="https://www.bls.gov/cpi/factsheets/" TargetMode="External" Id="rId1336"/><Relationship Type="http://schemas.openxmlformats.org/officeDocument/2006/relationships/hyperlink" Target="https://www.bls.gov/opub/hom/cpi/calculation.htm" TargetMode="External" Id="rId1337"/><Relationship Type="http://schemas.openxmlformats.org/officeDocument/2006/relationships/hyperlink" Target="https://data.bls.gov/timeseries/CUUR0000SS68021" TargetMode="External" Id="rId1338"/><Relationship Type="http://schemas.openxmlformats.org/officeDocument/2006/relationships/hyperlink" Target="https://www.bls.gov/cpi/factsheets/" TargetMode="External" Id="rId1339"/><Relationship Type="http://schemas.openxmlformats.org/officeDocument/2006/relationships/hyperlink" Target="https://www.bls.gov/opub/hom/cpi/calculation.htm" TargetMode="External" Id="rId1340"/><Relationship Type="http://schemas.openxmlformats.org/officeDocument/2006/relationships/hyperlink" Target="https://data.bls.gov/timeseries/CUUR0000SS68023" TargetMode="External" Id="rId1341"/><Relationship Type="http://schemas.openxmlformats.org/officeDocument/2006/relationships/hyperlink" Target="https://data.bls.gov/timeseries/CUSR0000SS68023" TargetMode="External" Id="rId1342"/><Relationship Type="http://schemas.openxmlformats.org/officeDocument/2006/relationships/hyperlink" Target="https://www.bls.gov/cpi/factsheets/" TargetMode="External" Id="rId1343"/><Relationship Type="http://schemas.openxmlformats.org/officeDocument/2006/relationships/hyperlink" Target="https://www.bls.gov/opub/hom/cpi/calculation.htm" TargetMode="External" Id="rId1344"/><Relationship Type="http://schemas.openxmlformats.org/officeDocument/2006/relationships/hyperlink" Target="https://data.bls.gov/timeseries/CUUR0000SEGE" TargetMode="External" Id="rId1345"/><Relationship Type="http://schemas.openxmlformats.org/officeDocument/2006/relationships/hyperlink" Target="https://data.bls.gov/timeseries/CUSR0000SEGE" TargetMode="External" Id="rId1346"/><Relationship Type="http://schemas.openxmlformats.org/officeDocument/2006/relationships/hyperlink" Target="https://www.bls.gov/cpi/factsheets/" TargetMode="External" Id="rId1347"/><Relationship Type="http://schemas.openxmlformats.org/officeDocument/2006/relationships/hyperlink" Target="https://www.bls.gov/opub/hom/cpi/calculation.htm" TargetMode="External" Id="rId1348"/><Relationship Type="http://schemas.openxmlformats.org/officeDocument/2006/relationships/hyperlink" Target="https://data.bls.gov/timeseries/CUUR0000SS33032" TargetMode="External" Id="rId1349"/><Relationship Type="http://schemas.openxmlformats.org/officeDocument/2006/relationships/hyperlink" Target="https://data.bls.gov/timeseries/CUSR0000SS33032" TargetMode="External" Id="rId1350"/><Relationship Type="http://schemas.openxmlformats.org/officeDocument/2006/relationships/hyperlink" Target="https://www.bls.gov/cpi/factsheets/" TargetMode="External" Id="rId1351"/><Relationship Type="http://schemas.openxmlformats.org/officeDocument/2006/relationships/hyperlink" Target="https://www.bls.gov/opub/hom/cpi/calculation.htm" TargetMode="External" Id="rId1352"/><Relationship Type="http://schemas.openxmlformats.org/officeDocument/2006/relationships/hyperlink" Target="https://data.bls.gov/timeseries/CUUR0000SSGE013" TargetMode="External" Id="rId1353"/><Relationship Type="http://schemas.openxmlformats.org/officeDocument/2006/relationships/hyperlink" Target="https://www.bls.gov/cpi/factsheets/" TargetMode="External" Id="rId1354"/><Relationship Type="http://schemas.openxmlformats.org/officeDocument/2006/relationships/hyperlink" Target="https://www.bls.gov/opub/hom/cpi/calculation.htm" TargetMode="External" Id="rId1355"/><Relationship Type="http://schemas.openxmlformats.org/officeDocument/2006/relationships/hyperlink" Target="https://data.bls.gov/timeseries/CUUR0000SA0L5" TargetMode="External" Id="rId1356"/><Relationship Type="http://schemas.openxmlformats.org/officeDocument/2006/relationships/hyperlink" Target="https://data.bls.gov/timeseries/CUSR0000SA0L5" TargetMode="External" Id="rId1357"/><Relationship Type="http://schemas.openxmlformats.org/officeDocument/2006/relationships/hyperlink" Target="https://www.bls.gov/cpi/factsheets/" TargetMode="External" Id="rId1358"/><Relationship Type="http://schemas.openxmlformats.org/officeDocument/2006/relationships/hyperlink" Target="https://www.bls.gov/opub/hom/cpi/calculation.htm" TargetMode="External" Id="rId1359"/><Relationship Type="http://schemas.openxmlformats.org/officeDocument/2006/relationships/hyperlink" Target="https://data.bls.gov/timeseries/CUUR0000SA0LE" TargetMode="External" Id="rId1360"/><Relationship Type="http://schemas.openxmlformats.org/officeDocument/2006/relationships/hyperlink" Target="https://data.bls.gov/timeseries/CUSR0000SA0LE" TargetMode="External" Id="rId1361"/><Relationship Type="http://schemas.openxmlformats.org/officeDocument/2006/relationships/hyperlink" Target="https://www.bls.gov/cpi/factsheets/" TargetMode="External" Id="rId1362"/><Relationship Type="http://schemas.openxmlformats.org/officeDocument/2006/relationships/hyperlink" Target="https://www.bls.gov/opub/hom/cpi/calculation.htm" TargetMode="External" Id="rId1363"/><Relationship Type="http://schemas.openxmlformats.org/officeDocument/2006/relationships/hyperlink" Target="https://data.bls.gov/timeseries/CUUR0000SA0L1" TargetMode="External" Id="rId1364"/><Relationship Type="http://schemas.openxmlformats.org/officeDocument/2006/relationships/hyperlink" Target="https://data.bls.gov/timeseries/CUSR0000SA0L1" TargetMode="External" Id="rId1365"/><Relationship Type="http://schemas.openxmlformats.org/officeDocument/2006/relationships/hyperlink" Target="https://www.bls.gov/cpi/factsheets/" TargetMode="External" Id="rId1366"/><Relationship Type="http://schemas.openxmlformats.org/officeDocument/2006/relationships/hyperlink" Target="https://www.bls.gov/opub/hom/cpi/calculation.htm" TargetMode="External" Id="rId1367"/><Relationship Type="http://schemas.openxmlformats.org/officeDocument/2006/relationships/hyperlink" Target="https://data.bls.gov/timeseries/CUUR0000SA0L1E" TargetMode="External" Id="rId1368"/><Relationship Type="http://schemas.openxmlformats.org/officeDocument/2006/relationships/hyperlink" Target="https://data.bls.gov/timeseries/CUSR0000SA0L1E" TargetMode="External" Id="rId1369"/><Relationship Type="http://schemas.openxmlformats.org/officeDocument/2006/relationships/hyperlink" Target="https://www.bls.gov/cpi/factsheets/" TargetMode="External" Id="rId1370"/><Relationship Type="http://schemas.openxmlformats.org/officeDocument/2006/relationships/hyperlink" Target="https://www.bls.gov/opub/hom/cpi/calculation.htm" TargetMode="External" Id="rId1371"/><Relationship Type="http://schemas.openxmlformats.org/officeDocument/2006/relationships/hyperlink" Target="https://data.bls.gov/timeseries/CUUR0000SA0L2" TargetMode="External" Id="rId1372"/><Relationship Type="http://schemas.openxmlformats.org/officeDocument/2006/relationships/hyperlink" Target="https://data.bls.gov/timeseries/CUSR0000SA0L2" TargetMode="External" Id="rId1373"/><Relationship Type="http://schemas.openxmlformats.org/officeDocument/2006/relationships/hyperlink" Target="https://www.bls.gov/cpi/factsheets/" TargetMode="External" Id="rId1374"/><Relationship Type="http://schemas.openxmlformats.org/officeDocument/2006/relationships/hyperlink" Target="https://www.bls.gov/opub/hom/cpi/calculation.htm" TargetMode="External" Id="rId1375"/><Relationship Type="http://schemas.openxmlformats.org/officeDocument/2006/relationships/hyperlink" Target="https://data.bls.gov/timeseries/CUUR0000SA0L12" TargetMode="External" Id="rId1376"/><Relationship Type="http://schemas.openxmlformats.org/officeDocument/2006/relationships/hyperlink" Target="https://data.bls.gov/timeseries/CUSR0000SA0L12" TargetMode="External" Id="rId1377"/><Relationship Type="http://schemas.openxmlformats.org/officeDocument/2006/relationships/hyperlink" Target="https://www.bls.gov/cpi/factsheets/" TargetMode="External" Id="rId1378"/><Relationship Type="http://schemas.openxmlformats.org/officeDocument/2006/relationships/hyperlink" Target="https://www.bls.gov/opub/hom/cpi/calculation.htm" TargetMode="External" Id="rId1379"/><Relationship Type="http://schemas.openxmlformats.org/officeDocument/2006/relationships/hyperlink" Target="https://data.bls.gov/timeseries/CUUR0000SA0L12E" TargetMode="External" Id="rId1380"/><Relationship Type="http://schemas.openxmlformats.org/officeDocument/2006/relationships/hyperlink" Target="https://data.bls.gov/timeseries/CUSR0000SA0L12E" TargetMode="External" Id="rId1381"/><Relationship Type="http://schemas.openxmlformats.org/officeDocument/2006/relationships/hyperlink" Target="https://www.bls.gov/cpi/factsheets/" TargetMode="External" Id="rId1382"/><Relationship Type="http://schemas.openxmlformats.org/officeDocument/2006/relationships/hyperlink" Target="https://www.bls.gov/opub/hom/cpi/calculation.htm" TargetMode="External" Id="rId1383"/><Relationship Type="http://schemas.openxmlformats.org/officeDocument/2006/relationships/hyperlink" Target="https://data.bls.gov/timeseries/CUUR0000SA0L12E4" TargetMode="External" Id="rId1384"/><Relationship Type="http://schemas.openxmlformats.org/officeDocument/2006/relationships/hyperlink" Target="https://data.bls.gov/timeseries/CUSR0000SA0L12E4" TargetMode="External" Id="rId1385"/><Relationship Type="http://schemas.openxmlformats.org/officeDocument/2006/relationships/hyperlink" Target="https://www.bls.gov/cpi/factsheets/" TargetMode="External" Id="rId1386"/><Relationship Type="http://schemas.openxmlformats.org/officeDocument/2006/relationships/hyperlink" Target="https://www.bls.gov/opub/hom/cpi/calculation.htm" TargetMode="External" Id="rId1387"/><Relationship Type="http://schemas.openxmlformats.org/officeDocument/2006/relationships/hyperlink" Target="https://data.bls.gov/timeseries/CUUR0000SA311" TargetMode="External" Id="rId1388"/><Relationship Type="http://schemas.openxmlformats.org/officeDocument/2006/relationships/hyperlink" Target="https://data.bls.gov/timeseries/CUSR0000SA311" TargetMode="External" Id="rId1389"/><Relationship Type="http://schemas.openxmlformats.org/officeDocument/2006/relationships/hyperlink" Target="https://www.bls.gov/cpi/factsheets/" TargetMode="External" Id="rId1390"/><Relationship Type="http://schemas.openxmlformats.org/officeDocument/2006/relationships/hyperlink" Target="https://www.bls.gov/opub/hom/cpi/calculation.htm" TargetMode="External" Id="rId1391"/><Relationship Type="http://schemas.openxmlformats.org/officeDocument/2006/relationships/hyperlink" Target="https://data.bls.gov/timeseries/CUUR0000SAC" TargetMode="External" Id="rId1392"/><Relationship Type="http://schemas.openxmlformats.org/officeDocument/2006/relationships/hyperlink" Target="https://data.bls.gov/timeseries/CUSR0000SAC" TargetMode="External" Id="rId1393"/><Relationship Type="http://schemas.openxmlformats.org/officeDocument/2006/relationships/hyperlink" Target="https://www.bls.gov/cpi/factsheets/" TargetMode="External" Id="rId1394"/><Relationship Type="http://schemas.openxmlformats.org/officeDocument/2006/relationships/hyperlink" Target="https://www.bls.gov/opub/hom/cpi/calculation.htm" TargetMode="External" Id="rId1395"/><Relationship Type="http://schemas.openxmlformats.org/officeDocument/2006/relationships/hyperlink" Target="https://data.bls.gov/timeseries/CUUR0000SACL1" TargetMode="External" Id="rId1396"/><Relationship Type="http://schemas.openxmlformats.org/officeDocument/2006/relationships/hyperlink" Target="https://data.bls.gov/timeseries/CUSR0000SACL1" TargetMode="External" Id="rId1397"/><Relationship Type="http://schemas.openxmlformats.org/officeDocument/2006/relationships/hyperlink" Target="https://www.bls.gov/cpi/factsheets/" TargetMode="External" Id="rId1398"/><Relationship Type="http://schemas.openxmlformats.org/officeDocument/2006/relationships/hyperlink" Target="https://www.bls.gov/opub/hom/cpi/calculation.htm" TargetMode="External" Id="rId1399"/><Relationship Type="http://schemas.openxmlformats.org/officeDocument/2006/relationships/hyperlink" Target="https://data.bls.gov/timeseries/CUUR0000SACL11" TargetMode="External" Id="rId1400"/><Relationship Type="http://schemas.openxmlformats.org/officeDocument/2006/relationships/hyperlink" Target="https://data.bls.gov/timeseries/CUSR0000SACL11" TargetMode="External" Id="rId1401"/><Relationship Type="http://schemas.openxmlformats.org/officeDocument/2006/relationships/hyperlink" Target="https://www.bls.gov/cpi/factsheets/" TargetMode="External" Id="rId1402"/><Relationship Type="http://schemas.openxmlformats.org/officeDocument/2006/relationships/hyperlink" Target="https://www.bls.gov/opub/hom/cpi/calculation.htm" TargetMode="External" Id="rId1403"/><Relationship Type="http://schemas.openxmlformats.org/officeDocument/2006/relationships/hyperlink" Target="https://data.bls.gov/timeseries/CUUR0000SACL1E" TargetMode="External" Id="rId1404"/><Relationship Type="http://schemas.openxmlformats.org/officeDocument/2006/relationships/hyperlink" Target="https://data.bls.gov/timeseries/CUSR0000SACL1E" TargetMode="External" Id="rId1405"/><Relationship Type="http://schemas.openxmlformats.org/officeDocument/2006/relationships/hyperlink" Target="https://www.bls.gov/cpi/factsheets/" TargetMode="External" Id="rId1406"/><Relationship Type="http://schemas.openxmlformats.org/officeDocument/2006/relationships/hyperlink" Target="https://www.bls.gov/opub/hom/cpi/calculation.htm" TargetMode="External" Id="rId1407"/><Relationship Type="http://schemas.openxmlformats.org/officeDocument/2006/relationships/hyperlink" Target="https://data.bls.gov/timeseries/CUUR0000SACL1E4" TargetMode="External" Id="rId1408"/><Relationship Type="http://schemas.openxmlformats.org/officeDocument/2006/relationships/hyperlink" Target="https://data.bls.gov/timeseries/CUSR0000SACL1E4" TargetMode="External" Id="rId1409"/><Relationship Type="http://schemas.openxmlformats.org/officeDocument/2006/relationships/hyperlink" Target="https://www.bls.gov/cpi/factsheets/" TargetMode="External" Id="rId1410"/><Relationship Type="http://schemas.openxmlformats.org/officeDocument/2006/relationships/hyperlink" Target="https://www.bls.gov/opub/hom/cpi/calculation.htm" TargetMode="External" Id="rId1411"/><Relationship Type="http://schemas.openxmlformats.org/officeDocument/2006/relationships/hyperlink" Target="https://data.bls.gov/timeseries/CUUR0000SAN1D" TargetMode="External" Id="rId1412"/><Relationship Type="http://schemas.openxmlformats.org/officeDocument/2006/relationships/hyperlink" Target="https://data.bls.gov/timeseries/CUSR0000SAN1D" TargetMode="External" Id="rId1413"/><Relationship Type="http://schemas.openxmlformats.org/officeDocument/2006/relationships/hyperlink" Target="https://www.bls.gov/cpi/factsheets/" TargetMode="External" Id="rId1414"/><Relationship Type="http://schemas.openxmlformats.org/officeDocument/2006/relationships/hyperlink" Target="https://www.bls.gov/opub/hom/cpi/calculation.htm" TargetMode="External" Id="rId1415"/><Relationship Type="http://schemas.openxmlformats.org/officeDocument/2006/relationships/hyperlink" Target="https://data.bls.gov/timeseries/CUUR0000SAD" TargetMode="External" Id="rId1416"/><Relationship Type="http://schemas.openxmlformats.org/officeDocument/2006/relationships/hyperlink" Target="https://data.bls.gov/timeseries/CUSR0000SAD" TargetMode="External" Id="rId1417"/><Relationship Type="http://schemas.openxmlformats.org/officeDocument/2006/relationships/hyperlink" Target="https://www.bls.gov/cpi/factsheets/" TargetMode="External" Id="rId1418"/><Relationship Type="http://schemas.openxmlformats.org/officeDocument/2006/relationships/hyperlink" Target="https://www.bls.gov/opub/hom/cpi/calculation.htm" TargetMode="External" Id="rId1419"/><Relationship Type="http://schemas.openxmlformats.org/officeDocument/2006/relationships/hyperlink" Target="https://data.bls.gov/timeseries/CUUR0000SAEC" TargetMode="External" Id="rId1420"/><Relationship Type="http://schemas.openxmlformats.org/officeDocument/2006/relationships/hyperlink" Target="https://data.bls.gov/timeseries/CUSR0000SAEC" TargetMode="External" Id="rId1421"/><Relationship Type="http://schemas.openxmlformats.org/officeDocument/2006/relationships/hyperlink" Target="https://www.bls.gov/cpi/factsheets/" TargetMode="External" Id="rId1422"/><Relationship Type="http://schemas.openxmlformats.org/officeDocument/2006/relationships/hyperlink" Target="https://www.bls.gov/opub/hom/cpi/calculation.htm" TargetMode="External" Id="rId1423"/><Relationship Type="http://schemas.openxmlformats.org/officeDocument/2006/relationships/hyperlink" Target="https://data.bls.gov/timeseries/CUUR0000SAES" TargetMode="External" Id="rId1424"/><Relationship Type="http://schemas.openxmlformats.org/officeDocument/2006/relationships/hyperlink" Target="https://data.bls.gov/timeseries/CUSR0000SAES" TargetMode="External" Id="rId1425"/><Relationship Type="http://schemas.openxmlformats.org/officeDocument/2006/relationships/hyperlink" Target="https://www.bls.gov/cpi/factsheets/" TargetMode="External" Id="rId1426"/><Relationship Type="http://schemas.openxmlformats.org/officeDocument/2006/relationships/hyperlink" Target="https://www.bls.gov/opub/hom/cpi/calculation.htm" TargetMode="External" Id="rId1427"/><Relationship Type="http://schemas.openxmlformats.org/officeDocument/2006/relationships/hyperlink" Target="https://data.bls.gov/timeseries/CUUR0000SA0E" TargetMode="External" Id="rId1428"/><Relationship Type="http://schemas.openxmlformats.org/officeDocument/2006/relationships/hyperlink" Target="https://data.bls.gov/timeseries/CUSR0000SA0E" TargetMode="External" Id="rId1429"/><Relationship Type="http://schemas.openxmlformats.org/officeDocument/2006/relationships/hyperlink" Target="https://www.bls.gov/cpi/factsheets/" TargetMode="External" Id="rId1430"/><Relationship Type="http://schemas.openxmlformats.org/officeDocument/2006/relationships/hyperlink" Target="https://www.bls.gov/opub/hom/cpi/calculation.htm" TargetMode="External" Id="rId1431"/><Relationship Type="http://schemas.openxmlformats.org/officeDocument/2006/relationships/hyperlink" Target="https://data.bls.gov/timeseries/CUUR0000SACE" TargetMode="External" Id="rId1432"/><Relationship Type="http://schemas.openxmlformats.org/officeDocument/2006/relationships/hyperlink" Target="https://data.bls.gov/timeseries/CUSR0000SACE" TargetMode="External" Id="rId1433"/><Relationship Type="http://schemas.openxmlformats.org/officeDocument/2006/relationships/hyperlink" Target="https://www.bls.gov/cpi/factsheets/" TargetMode="External" Id="rId1434"/><Relationship Type="http://schemas.openxmlformats.org/officeDocument/2006/relationships/hyperlink" Target="https://www.bls.gov/opub/hom/cpi/calculation.htm" TargetMode="External" Id="rId1435"/><Relationship Type="http://schemas.openxmlformats.org/officeDocument/2006/relationships/hyperlink" Target="https://data.bls.gov/timeseries/CUUR0000SAH31" TargetMode="External" Id="rId1436"/><Relationship Type="http://schemas.openxmlformats.org/officeDocument/2006/relationships/hyperlink" Target="https://data.bls.gov/timeseries/CUSR0000SAH31" TargetMode="External" Id="rId1437"/><Relationship Type="http://schemas.openxmlformats.org/officeDocument/2006/relationships/hyperlink" Target="https://www.bls.gov/cpi/factsheets/" TargetMode="External" Id="rId1438"/><Relationship Type="http://schemas.openxmlformats.org/officeDocument/2006/relationships/hyperlink" Target="https://www.bls.gov/opub/hom/cpi/calculation.htm" TargetMode="External" Id="rId1439"/><Relationship Type="http://schemas.openxmlformats.org/officeDocument/2006/relationships/hyperlink" Target="https://data.bls.gov/timeseries/CUUR0000SEEEC" TargetMode="External" Id="rId1440"/><Relationship Type="http://schemas.openxmlformats.org/officeDocument/2006/relationships/hyperlink" Target="https://data.bls.gov/timeseries/CUSR0000SEEEC" TargetMode="External" Id="rId1441"/><Relationship Type="http://schemas.openxmlformats.org/officeDocument/2006/relationships/hyperlink" Target="https://www.bls.gov/cpi/factsheets/" TargetMode="External" Id="rId1442"/><Relationship Type="http://schemas.openxmlformats.org/officeDocument/2006/relationships/hyperlink" Target="https://www.bls.gov/opub/hom/cpi/calculation.htm" TargetMode="External" Id="rId1443"/><Relationship Type="http://schemas.openxmlformats.org/officeDocument/2006/relationships/hyperlink" Target="https://data.bls.gov/timeseries/CUUR0000SAN" TargetMode="External" Id="rId1444"/><Relationship Type="http://schemas.openxmlformats.org/officeDocument/2006/relationships/hyperlink" Target="https://data.bls.gov/timeseries/CUSR0000SAN" TargetMode="External" Id="rId1445"/><Relationship Type="http://schemas.openxmlformats.org/officeDocument/2006/relationships/hyperlink" Target="https://www.bls.gov/cpi/factsheets/" TargetMode="External" Id="rId1446"/><Relationship Type="http://schemas.openxmlformats.org/officeDocument/2006/relationships/hyperlink" Target="https://www.bls.gov/opub/hom/cpi/calculation.htm" TargetMode="External" Id="rId1447"/><Relationship Type="http://schemas.openxmlformats.org/officeDocument/2006/relationships/hyperlink" Target="https://data.bls.gov/timeseries/CUUR0000SANL1" TargetMode="External" Id="rId1448"/><Relationship Type="http://schemas.openxmlformats.org/officeDocument/2006/relationships/hyperlink" Target="https://data.bls.gov/timeseries/CUSR0000SANL1" TargetMode="External" Id="rId1449"/><Relationship Type="http://schemas.openxmlformats.org/officeDocument/2006/relationships/hyperlink" Target="https://www.bls.gov/cpi/factsheets/" TargetMode="External" Id="rId1450"/><Relationship Type="http://schemas.openxmlformats.org/officeDocument/2006/relationships/hyperlink" Target="https://www.bls.gov/opub/hom/cpi/calculation.htm" TargetMode="External" Id="rId1451"/><Relationship Type="http://schemas.openxmlformats.org/officeDocument/2006/relationships/hyperlink" Target="https://data.bls.gov/timeseries/CUUR0000SANL13" TargetMode="External" Id="rId1452"/><Relationship Type="http://schemas.openxmlformats.org/officeDocument/2006/relationships/hyperlink" Target="https://data.bls.gov/timeseries/CUSR0000SANL13" TargetMode="External" Id="rId1453"/><Relationship Type="http://schemas.openxmlformats.org/officeDocument/2006/relationships/hyperlink" Target="https://www.bls.gov/cpi/factsheets/" TargetMode="External" Id="rId1454"/><Relationship Type="http://schemas.openxmlformats.org/officeDocument/2006/relationships/hyperlink" Target="https://www.bls.gov/opub/hom/cpi/calculation.htm" TargetMode="External" Id="rId1455"/><Relationship Type="http://schemas.openxmlformats.org/officeDocument/2006/relationships/hyperlink" Target="https://data.bls.gov/timeseries/CUUR0000SANL11" TargetMode="External" Id="rId1456"/><Relationship Type="http://schemas.openxmlformats.org/officeDocument/2006/relationships/hyperlink" Target="https://data.bls.gov/timeseries/CUSR0000SANL11" TargetMode="External" Id="rId1457"/><Relationship Type="http://schemas.openxmlformats.org/officeDocument/2006/relationships/hyperlink" Target="https://www.bls.gov/cpi/factsheets/" TargetMode="External" Id="rId1458"/><Relationship Type="http://schemas.openxmlformats.org/officeDocument/2006/relationships/hyperlink" Target="https://www.bls.gov/opub/hom/cpi/calculation.htm" TargetMode="External" Id="rId1459"/><Relationship Type="http://schemas.openxmlformats.org/officeDocument/2006/relationships/hyperlink" Target="https://data.bls.gov/timeseries/CUUR0000SANL113" TargetMode="External" Id="rId1460"/><Relationship Type="http://schemas.openxmlformats.org/officeDocument/2006/relationships/hyperlink" Target="https://data.bls.gov/timeseries/CUSR0000SANL113" TargetMode="External" Id="rId1461"/><Relationship Type="http://schemas.openxmlformats.org/officeDocument/2006/relationships/hyperlink" Target="https://www.bls.gov/cpi/factsheets/" TargetMode="External" Id="rId1462"/><Relationship Type="http://schemas.openxmlformats.org/officeDocument/2006/relationships/hyperlink" Target="https://www.bls.gov/opub/hom/cpi/calculation.htm" TargetMode="External" Id="rId1463"/><Relationship Type="http://schemas.openxmlformats.org/officeDocument/2006/relationships/hyperlink" Target="https://data.bls.gov/timeseries/CUUR0000SAGC" TargetMode="External" Id="rId1464"/><Relationship Type="http://schemas.openxmlformats.org/officeDocument/2006/relationships/hyperlink" Target="https://data.bls.gov/timeseries/CUSR0000SAGC" TargetMode="External" Id="rId1465"/><Relationship Type="http://schemas.openxmlformats.org/officeDocument/2006/relationships/hyperlink" Target="https://www.bls.gov/cpi/factsheets/" TargetMode="External" Id="rId1466"/><Relationship Type="http://schemas.openxmlformats.org/officeDocument/2006/relationships/hyperlink" Target="https://www.bls.gov/opub/hom/cpi/calculation.htm" TargetMode="External" Id="rId1467"/><Relationship Type="http://schemas.openxmlformats.org/officeDocument/2006/relationships/hyperlink" Target="https://data.bls.gov/timeseries/CUUR0000SAGS" TargetMode="External" Id="rId1468"/><Relationship Type="http://schemas.openxmlformats.org/officeDocument/2006/relationships/hyperlink" Target="https://www.bls.gov/cpi/factsheets/" TargetMode="External" Id="rId1469"/><Relationship Type="http://schemas.openxmlformats.org/officeDocument/2006/relationships/hyperlink" Target="https://www.bls.gov/opub/hom/cpi/calculation.htm" TargetMode="External" Id="rId1470"/><Relationship Type="http://schemas.openxmlformats.org/officeDocument/2006/relationships/hyperlink" Target="https://data.bls.gov/timeseries/CUUR0000SAS367" TargetMode="External" Id="rId1471"/><Relationship Type="http://schemas.openxmlformats.org/officeDocument/2006/relationships/hyperlink" Target="https://data.bls.gov/timeseries/CUSR0000SAS367" TargetMode="External" Id="rId1472"/><Relationship Type="http://schemas.openxmlformats.org/officeDocument/2006/relationships/hyperlink" Target="https://www.bls.gov/cpi/factsheets/" TargetMode="External" Id="rId1473"/><Relationship Type="http://schemas.openxmlformats.org/officeDocument/2006/relationships/hyperlink" Target="https://www.bls.gov/opub/hom/cpi/calculation.htm" TargetMode="External" Id="rId1474"/><Relationship Type="http://schemas.openxmlformats.org/officeDocument/2006/relationships/hyperlink" Target="https://data.bls.gov/timeseries/CUUR0000SARC" TargetMode="External" Id="rId1475"/><Relationship Type="http://schemas.openxmlformats.org/officeDocument/2006/relationships/hyperlink" Target="https://data.bls.gov/timeseries/CUSR0000SARC" TargetMode="External" Id="rId1476"/><Relationship Type="http://schemas.openxmlformats.org/officeDocument/2006/relationships/hyperlink" Target="https://www.bls.gov/cpi/factsheets/" TargetMode="External" Id="rId1477"/><Relationship Type="http://schemas.openxmlformats.org/officeDocument/2006/relationships/hyperlink" Target="https://www.bls.gov/opub/hom/cpi/calculation.htm" TargetMode="External" Id="rId1478"/><Relationship Type="http://schemas.openxmlformats.org/officeDocument/2006/relationships/hyperlink" Target="https://data.bls.gov/timeseries/CUUR0000SARS" TargetMode="External" Id="rId1479"/><Relationship Type="http://schemas.openxmlformats.org/officeDocument/2006/relationships/hyperlink" Target="https://data.bls.gov/timeseries/CUSR0000SARS" TargetMode="External" Id="rId1480"/><Relationship Type="http://schemas.openxmlformats.org/officeDocument/2006/relationships/hyperlink" Target="https://www.bls.gov/cpi/factsheets/" TargetMode="External" Id="rId1481"/><Relationship Type="http://schemas.openxmlformats.org/officeDocument/2006/relationships/hyperlink" Target="https://www.bls.gov/opub/hom/cpi/calculation.htm" TargetMode="External" Id="rId1482"/><Relationship Type="http://schemas.openxmlformats.org/officeDocument/2006/relationships/hyperlink" Target="https://data.bls.gov/timeseries/CUUR0000SAS2RS" TargetMode="External" Id="rId1483"/><Relationship Type="http://schemas.openxmlformats.org/officeDocument/2006/relationships/hyperlink" Target="https://data.bls.gov/timeseries/CUSR0000SAS2RS" TargetMode="External" Id="rId1484"/><Relationship Type="http://schemas.openxmlformats.org/officeDocument/2006/relationships/hyperlink" Target="https://www.bls.gov/cpi/factsheets/" TargetMode="External" Id="rId1485"/><Relationship Type="http://schemas.openxmlformats.org/officeDocument/2006/relationships/hyperlink" Target="https://www.bls.gov/opub/hom/cpi/calculation.htm" TargetMode="External" Id="rId1486"/><Relationship Type="http://schemas.openxmlformats.org/officeDocument/2006/relationships/hyperlink" Target="https://data.bls.gov/timeseries/CUUR0000SAS" TargetMode="External" Id="rId1487"/><Relationship Type="http://schemas.openxmlformats.org/officeDocument/2006/relationships/hyperlink" Target="https://data.bls.gov/timeseries/CUSR0000SAS" TargetMode="External" Id="rId1488"/><Relationship Type="http://schemas.openxmlformats.org/officeDocument/2006/relationships/hyperlink" Target="https://www.bls.gov/cpi/factsheets/" TargetMode="External" Id="rId1489"/><Relationship Type="http://schemas.openxmlformats.org/officeDocument/2006/relationships/hyperlink" Target="https://www.bls.gov/opub/hom/cpi/calculation.htm" TargetMode="External" Id="rId1490"/><Relationship Type="http://schemas.openxmlformats.org/officeDocument/2006/relationships/hyperlink" Target="https://data.bls.gov/timeseries/CUUR0000SASLE" TargetMode="External" Id="rId1491"/><Relationship Type="http://schemas.openxmlformats.org/officeDocument/2006/relationships/hyperlink" Target="https://data.bls.gov/timeseries/CUSR0000SASLE" TargetMode="External" Id="rId1492"/><Relationship Type="http://schemas.openxmlformats.org/officeDocument/2006/relationships/hyperlink" Target="https://www.bls.gov/cpi/factsheets/" TargetMode="External" Id="rId1493"/><Relationship Type="http://schemas.openxmlformats.org/officeDocument/2006/relationships/hyperlink" Target="https://www.bls.gov/opub/hom/cpi/calculation.htm" TargetMode="External" Id="rId1494"/><Relationship Type="http://schemas.openxmlformats.org/officeDocument/2006/relationships/hyperlink" Target="https://data.bls.gov/timeseries/CUUR0000SASL5" TargetMode="External" Id="rId1495"/><Relationship Type="http://schemas.openxmlformats.org/officeDocument/2006/relationships/hyperlink" Target="https://data.bls.gov/timeseries/CUSR0000SASL5" TargetMode="External" Id="rId1496"/><Relationship Type="http://schemas.openxmlformats.org/officeDocument/2006/relationships/hyperlink" Target="https://www.bls.gov/cpi/factsheets/" TargetMode="External" Id="rId1497"/><Relationship Type="http://schemas.openxmlformats.org/officeDocument/2006/relationships/hyperlink" Target="https://www.bls.gov/opub/hom/cpi/calculation.htm" TargetMode="External" Id="rId1498"/><Relationship Type="http://schemas.openxmlformats.org/officeDocument/2006/relationships/hyperlink" Target="https://data.bls.gov/timeseries/CUUR0000SASL2RS" TargetMode="External" Id="rId1499"/><Relationship Type="http://schemas.openxmlformats.org/officeDocument/2006/relationships/hyperlink" Target="https://data.bls.gov/timeseries/CUSR0000SASL2RS" TargetMode="External" Id="rId1500"/><Relationship Type="http://schemas.openxmlformats.org/officeDocument/2006/relationships/hyperlink" Target="https://www.bls.gov/cpi/factsheets/" TargetMode="External" Id="rId1501"/><Relationship Type="http://schemas.openxmlformats.org/officeDocument/2006/relationships/hyperlink" Target="https://www.bls.gov/opub/hom/cpi/calculation.htm" TargetMode="External" Id="rId1502"/><Relationship Type="http://schemas.openxmlformats.org/officeDocument/2006/relationships/hyperlink" Target="https://data.bls.gov/timeseries/CUUR0000SATCLTB" TargetMode="External" Id="rId1503"/><Relationship Type="http://schemas.openxmlformats.org/officeDocument/2006/relationships/hyperlink" Target="https://data.bls.gov/timeseries/CUSR0000SATCLTB" TargetMode="External" Id="rId1504"/><Relationship Type="http://schemas.openxmlformats.org/officeDocument/2006/relationships/hyperlink" Target="https://www.bls.gov/cpi/factsheets/" TargetMode="External" Id="rId1505"/><Relationship Type="http://schemas.openxmlformats.org/officeDocument/2006/relationships/hyperlink" Target="https://www.bls.gov/opub/hom/cpi/calculation.htm" TargetMode="External" Id="rId1506"/><Relationship Type="http://schemas.openxmlformats.org/officeDocument/2006/relationships/hyperlink" Target="https://data.bls.gov/timeseries/CUUR0000SAS4" TargetMode="External" Id="rId1507"/><Relationship Type="http://schemas.openxmlformats.org/officeDocument/2006/relationships/hyperlink" Target="https://data.bls.gov/timeseries/CUSR0000SAS4" TargetMode="External" Id="rId1508"/><Relationship Type="http://schemas.openxmlformats.org/officeDocument/2006/relationships/hyperlink" Target="https://www.bls.gov/cpi/factsheets/" TargetMode="External" Id="rId1509"/><Relationship Type="http://schemas.openxmlformats.org/officeDocument/2006/relationships/hyperlink" Target="https://www.bls.gov/opub/hom/cpi/calculation.htm" TargetMode="External" Id="rId1510"/><Relationship Type="http://schemas.openxmlformats.org/officeDocument/2006/relationships/hyperlink" Target="https://data.bls.gov/timeseries/CUUR0000SAS24" TargetMode="External" Id="rId1511"/><Relationship Type="http://schemas.openxmlformats.org/officeDocument/2006/relationships/hyperlink" Target="https://data.bls.gov/timeseries/CUSR0000SAS24" TargetMode="External" Id="rId1512"/><Relationship Type="http://schemas.openxmlformats.org/officeDocument/2006/relationships/hyperlink" Target="https://www.bls.gov/cpi/factsheets/" TargetMode="External" Id="rId1513"/><Relationship Type="http://schemas.openxmlformats.org/officeDocument/2006/relationships/hyperlink" Target="https://www.bls.gov/opub/hom/cpi/calculation.htm" TargetMode="External" Id="rId1514"/><Relationship Type="http://schemas.openxmlformats.org/officeDocument/2006/relationships/hyperlink" Target="https://data.bls.gov/timeseries/CUUR0000SERAC" TargetMode="External" Id="rId1515"/><Relationship Type="http://schemas.openxmlformats.org/officeDocument/2006/relationships/hyperlink" Target="https://data.bls.gov/timeseries/CUSR0000SERAC" TargetMode="External" Id="rId1516"/><Relationship Type="http://schemas.openxmlformats.org/officeDocument/2006/relationships/hyperlink" Target="https://www.bls.gov/cpi/factsheets/" TargetMode="External" Id="rId1517"/><Relationship Type="http://schemas.openxmlformats.org/officeDocument/2006/relationships/hyperlink" Target="https://www.bls.gov/opub/hom/cpi/calculation.htm" TargetMode="External" Id="rId1518"/><Relationship Type="http://schemas.openxmlformats.org/officeDocument/2006/relationships/hyperlink" Target="https://data.bls.gov/timeseries/CUUR0000SERAS" TargetMode="External" Id="rId1519"/><Relationship Type="http://schemas.openxmlformats.org/officeDocument/2006/relationships/hyperlink" Target="https://data.bls.gov/timeseries/CUSR0000SERAS" TargetMode="External" Id="rId1520"/><Relationship Type="http://schemas.openxmlformats.org/officeDocument/2006/relationships/hyperlink" Target="https://www.bls.gov/cpi/factsheets/" TargetMode="External" Id="rId1521"/><Relationship Type="http://schemas.openxmlformats.org/officeDocument/2006/relationships/hyperlink" Target="https://www.bls.gov/opub/hom/cpi/calculation.htm" TargetMode="External" Id="rId1522"/><Relationship Type="http://schemas.openxmlformats.org/officeDocument/2006/relationships/hyperlink" Target="https://data.bls.gov/timeseries/CUUR0000SA0R" TargetMode="External" Id="rId1523"/><Relationship Type="http://schemas.openxmlformats.org/officeDocument/2006/relationships/hyperlink" Target="https://www.bls.gov/cpi/factsheets/" TargetMode="External" Id="rId1524"/><Relationship Type="http://schemas.openxmlformats.org/officeDocument/2006/relationships/hyperlink" Target="https://www.bls.gov/opub/hom/cpi/calculation.htm" TargetMode="External" Id="rId1525"/><Relationship Type="http://schemas.openxmlformats.org/officeDocument/2006/relationships/hyperlink" Target="https://data.bls.gov/timeseries/CUUR0000AA0R" TargetMode="External" Id="rId1526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data.bls.gov/timeseries/CUUR0000SA0" TargetMode="External" Id="rId1"/><Relationship Type="http://schemas.openxmlformats.org/officeDocument/2006/relationships/hyperlink" Target="https://data.bls.gov/timeseries/CUUR0000SA0" TargetMode="External" Id="rId2"/><Relationship Type="http://schemas.openxmlformats.org/officeDocument/2006/relationships/hyperlink" Target="https://data.bls.gov/timeseries/CUSR0000SA0" TargetMode="External" Id="rId3"/><Relationship Type="http://schemas.openxmlformats.org/officeDocument/2006/relationships/hyperlink" Target="https://data.bls.gov/timeseries/CUSR0000SA0" TargetMode="External" Id="rId4"/><Relationship Type="http://schemas.openxmlformats.org/officeDocument/2006/relationships/hyperlink" Target="https://data.bls.gov/timeseries/CUUR0000AA0" TargetMode="External" Id="rId5"/><Relationship Type="http://schemas.openxmlformats.org/officeDocument/2006/relationships/hyperlink" Target="https://data.bls.gov/timeseries/CUUR0000AA0" TargetMode="External" Id="rId6"/><Relationship Type="http://schemas.openxmlformats.org/officeDocument/2006/relationships/hyperlink" Target="https://data.bls.gov/timeseries/CUUR0000SAF" TargetMode="External" Id="rId7"/><Relationship Type="http://schemas.openxmlformats.org/officeDocument/2006/relationships/hyperlink" Target="https://data.bls.gov/timeseries/CUUR0000SAF" TargetMode="External" Id="rId8"/><Relationship Type="http://schemas.openxmlformats.org/officeDocument/2006/relationships/hyperlink" Target="https://data.bls.gov/timeseries/CUSR0000SAF" TargetMode="External" Id="rId9"/><Relationship Type="http://schemas.openxmlformats.org/officeDocument/2006/relationships/hyperlink" Target="https://data.bls.gov/timeseries/CUSR0000SAF" TargetMode="External" Id="rId10"/><Relationship Type="http://schemas.openxmlformats.org/officeDocument/2006/relationships/hyperlink" Target="https://data.bls.gov/timeseries/CUUR0000SAF1" TargetMode="External" Id="rId11"/><Relationship Type="http://schemas.openxmlformats.org/officeDocument/2006/relationships/hyperlink" Target="https://data.bls.gov/timeseries/CUUR0000SAF1" TargetMode="External" Id="rId12"/><Relationship Type="http://schemas.openxmlformats.org/officeDocument/2006/relationships/hyperlink" Target="https://data.bls.gov/timeseries/CUSR0000SAF1" TargetMode="External" Id="rId13"/><Relationship Type="http://schemas.openxmlformats.org/officeDocument/2006/relationships/hyperlink" Target="https://data.bls.gov/timeseries/CUSR0000SAF1" TargetMode="External" Id="rId14"/><Relationship Type="http://schemas.openxmlformats.org/officeDocument/2006/relationships/hyperlink" Target="https://data.bls.gov/timeseries/CUUR0000SAF11" TargetMode="External" Id="rId15"/><Relationship Type="http://schemas.openxmlformats.org/officeDocument/2006/relationships/hyperlink" Target="https://data.bls.gov/timeseries/CUUR0000SAF11" TargetMode="External" Id="rId16"/><Relationship Type="http://schemas.openxmlformats.org/officeDocument/2006/relationships/hyperlink" Target="https://data.bls.gov/timeseries/CUSR0000SAF11" TargetMode="External" Id="rId17"/><Relationship Type="http://schemas.openxmlformats.org/officeDocument/2006/relationships/hyperlink" Target="https://data.bls.gov/timeseries/CUSR0000SAF11" TargetMode="External" Id="rId18"/><Relationship Type="http://schemas.openxmlformats.org/officeDocument/2006/relationships/hyperlink" Target="https://data.bls.gov/timeseries/CUUR0000SAF111" TargetMode="External" Id="rId19"/><Relationship Type="http://schemas.openxmlformats.org/officeDocument/2006/relationships/hyperlink" Target="https://data.bls.gov/timeseries/CUUR0000SAF111" TargetMode="External" Id="rId20"/><Relationship Type="http://schemas.openxmlformats.org/officeDocument/2006/relationships/hyperlink" Target="https://data.bls.gov/timeseries/CUSR0000SAF111" TargetMode="External" Id="rId21"/><Relationship Type="http://schemas.openxmlformats.org/officeDocument/2006/relationships/hyperlink" Target="https://data.bls.gov/timeseries/CUSR0000SAF111" TargetMode="External" Id="rId22"/><Relationship Type="http://schemas.openxmlformats.org/officeDocument/2006/relationships/hyperlink" Target="https://data.bls.gov/timeseries/CUUR0000SEFA" TargetMode="External" Id="rId23"/><Relationship Type="http://schemas.openxmlformats.org/officeDocument/2006/relationships/hyperlink" Target="https://data.bls.gov/timeseries/CUUR0000SEFA" TargetMode="External" Id="rId24"/><Relationship Type="http://schemas.openxmlformats.org/officeDocument/2006/relationships/hyperlink" Target="https://data.bls.gov/timeseries/CUSR0000SEFA" TargetMode="External" Id="rId25"/><Relationship Type="http://schemas.openxmlformats.org/officeDocument/2006/relationships/hyperlink" Target="https://data.bls.gov/timeseries/CUSR0000SEFA" TargetMode="External" Id="rId26"/><Relationship Type="http://schemas.openxmlformats.org/officeDocument/2006/relationships/hyperlink" Target="https://data.bls.gov/timeseries/CUUR0000SEFA01" TargetMode="External" Id="rId27"/><Relationship Type="http://schemas.openxmlformats.org/officeDocument/2006/relationships/hyperlink" Target="https://data.bls.gov/timeseries/CUUR0000SEFA01" TargetMode="External" Id="rId28"/><Relationship Type="http://schemas.openxmlformats.org/officeDocument/2006/relationships/hyperlink" Target="https://data.bls.gov/timeseries/CUSR0000SEFA01" TargetMode="External" Id="rId29"/><Relationship Type="http://schemas.openxmlformats.org/officeDocument/2006/relationships/hyperlink" Target="https://data.bls.gov/timeseries/CUSR0000SEFA01" TargetMode="External" Id="rId30"/><Relationship Type="http://schemas.openxmlformats.org/officeDocument/2006/relationships/hyperlink" Target="https://data.bls.gov/timeseries/CUUR0000SEFA02" TargetMode="External" Id="rId31"/><Relationship Type="http://schemas.openxmlformats.org/officeDocument/2006/relationships/hyperlink" Target="https://data.bls.gov/timeseries/CUUR0000SEFA02" TargetMode="External" Id="rId32"/><Relationship Type="http://schemas.openxmlformats.org/officeDocument/2006/relationships/hyperlink" Target="https://data.bls.gov/timeseries/CUSR0000SEFA02" TargetMode="External" Id="rId33"/><Relationship Type="http://schemas.openxmlformats.org/officeDocument/2006/relationships/hyperlink" Target="https://data.bls.gov/timeseries/CUSR0000SEFA02" TargetMode="External" Id="rId34"/><Relationship Type="http://schemas.openxmlformats.org/officeDocument/2006/relationships/hyperlink" Target="https://data.bls.gov/timeseries/CUUR0000SEFA03" TargetMode="External" Id="rId35"/><Relationship Type="http://schemas.openxmlformats.org/officeDocument/2006/relationships/hyperlink" Target="https://data.bls.gov/timeseries/CUUR0000SEFA03" TargetMode="External" Id="rId36"/><Relationship Type="http://schemas.openxmlformats.org/officeDocument/2006/relationships/hyperlink" Target="https://data.bls.gov/timeseries/CUSR0000SEFA03" TargetMode="External" Id="rId37"/><Relationship Type="http://schemas.openxmlformats.org/officeDocument/2006/relationships/hyperlink" Target="https://data.bls.gov/timeseries/CUSR0000SEFA03" TargetMode="External" Id="rId38"/><Relationship Type="http://schemas.openxmlformats.org/officeDocument/2006/relationships/hyperlink" Target="https://data.bls.gov/timeseries/CUUR0000SS01031" TargetMode="External" Id="rId39"/><Relationship Type="http://schemas.openxmlformats.org/officeDocument/2006/relationships/hyperlink" Target="https://data.bls.gov/timeseries/CUUR0000SS01031" TargetMode="External" Id="rId40"/><Relationship Type="http://schemas.openxmlformats.org/officeDocument/2006/relationships/hyperlink" Target="https://data.bls.gov/timeseries/CUUR0000SEFB" TargetMode="External" Id="rId41"/><Relationship Type="http://schemas.openxmlformats.org/officeDocument/2006/relationships/hyperlink" Target="https://data.bls.gov/timeseries/CUUR0000SEFB" TargetMode="External" Id="rId42"/><Relationship Type="http://schemas.openxmlformats.org/officeDocument/2006/relationships/hyperlink" Target="https://data.bls.gov/timeseries/CUSR0000SEFB" TargetMode="External" Id="rId43"/><Relationship Type="http://schemas.openxmlformats.org/officeDocument/2006/relationships/hyperlink" Target="https://data.bls.gov/timeseries/CUSR0000SEFB" TargetMode="External" Id="rId44"/><Relationship Type="http://schemas.openxmlformats.org/officeDocument/2006/relationships/hyperlink" Target="https://data.bls.gov/timeseries/CUUR0000SEFB01" TargetMode="External" Id="rId45"/><Relationship Type="http://schemas.openxmlformats.org/officeDocument/2006/relationships/hyperlink" Target="https://data.bls.gov/timeseries/CUUR0000SEFB01" TargetMode="External" Id="rId46"/><Relationship Type="http://schemas.openxmlformats.org/officeDocument/2006/relationships/hyperlink" Target="https://data.bls.gov/timeseries/CUSR0000SEFB01" TargetMode="External" Id="rId47"/><Relationship Type="http://schemas.openxmlformats.org/officeDocument/2006/relationships/hyperlink" Target="https://data.bls.gov/timeseries/CUSR0000SEFB01" TargetMode="External" Id="rId48"/><Relationship Type="http://schemas.openxmlformats.org/officeDocument/2006/relationships/hyperlink" Target="https://data.bls.gov/timeseries/CUUR0000SS02011" TargetMode="External" Id="rId49"/><Relationship Type="http://schemas.openxmlformats.org/officeDocument/2006/relationships/hyperlink" Target="https://data.bls.gov/timeseries/CUUR0000SS02011" TargetMode="External" Id="rId50"/><Relationship Type="http://schemas.openxmlformats.org/officeDocument/2006/relationships/hyperlink" Target="https://data.bls.gov/timeseries/CUUR0000SS02021" TargetMode="External" Id="rId51"/><Relationship Type="http://schemas.openxmlformats.org/officeDocument/2006/relationships/hyperlink" Target="https://data.bls.gov/timeseries/CUUR0000SS02021" TargetMode="External" Id="rId52"/><Relationship Type="http://schemas.openxmlformats.org/officeDocument/2006/relationships/hyperlink" Target="https://data.bls.gov/timeseries/CUUR0000SEFB02" TargetMode="External" Id="rId53"/><Relationship Type="http://schemas.openxmlformats.org/officeDocument/2006/relationships/hyperlink" Target="https://data.bls.gov/timeseries/CUUR0000SEFB02" TargetMode="External" Id="rId54"/><Relationship Type="http://schemas.openxmlformats.org/officeDocument/2006/relationships/hyperlink" Target="https://data.bls.gov/timeseries/CUSR0000SEFB02" TargetMode="External" Id="rId55"/><Relationship Type="http://schemas.openxmlformats.org/officeDocument/2006/relationships/hyperlink" Target="https://data.bls.gov/timeseries/CUSR0000SEFB02" TargetMode="External" Id="rId56"/><Relationship Type="http://schemas.openxmlformats.org/officeDocument/2006/relationships/hyperlink" Target="https://data.bls.gov/timeseries/CUUR0000SEFB03" TargetMode="External" Id="rId57"/><Relationship Type="http://schemas.openxmlformats.org/officeDocument/2006/relationships/hyperlink" Target="https://data.bls.gov/timeseries/CUUR0000SEFB03" TargetMode="External" Id="rId58"/><Relationship Type="http://schemas.openxmlformats.org/officeDocument/2006/relationships/hyperlink" Target="https://data.bls.gov/timeseries/CUSR0000SEFB03" TargetMode="External" Id="rId59"/><Relationship Type="http://schemas.openxmlformats.org/officeDocument/2006/relationships/hyperlink" Target="https://data.bls.gov/timeseries/CUSR0000SEFB03" TargetMode="External" Id="rId60"/><Relationship Type="http://schemas.openxmlformats.org/officeDocument/2006/relationships/hyperlink" Target="https://data.bls.gov/timeseries/CUUR0000SS02041" TargetMode="External" Id="rId61"/><Relationship Type="http://schemas.openxmlformats.org/officeDocument/2006/relationships/hyperlink" Target="https://data.bls.gov/timeseries/CUUR0000SS02041" TargetMode="External" Id="rId62"/><Relationship Type="http://schemas.openxmlformats.org/officeDocument/2006/relationships/hyperlink" Target="https://data.bls.gov/timeseries/CUUR0000SS02042" TargetMode="External" Id="rId63"/><Relationship Type="http://schemas.openxmlformats.org/officeDocument/2006/relationships/hyperlink" Target="https://data.bls.gov/timeseries/CUUR0000SS02042" TargetMode="External" Id="rId64"/><Relationship Type="http://schemas.openxmlformats.org/officeDocument/2006/relationships/hyperlink" Target="https://data.bls.gov/timeseries/CUSR0000SS02042" TargetMode="External" Id="rId65"/><Relationship Type="http://schemas.openxmlformats.org/officeDocument/2006/relationships/hyperlink" Target="https://data.bls.gov/timeseries/CUSR0000SS02042" TargetMode="External" Id="rId66"/><Relationship Type="http://schemas.openxmlformats.org/officeDocument/2006/relationships/hyperlink" Target="https://data.bls.gov/timeseries/CUUR0000SEFB04" TargetMode="External" Id="rId67"/><Relationship Type="http://schemas.openxmlformats.org/officeDocument/2006/relationships/hyperlink" Target="https://data.bls.gov/timeseries/CUUR0000SEFB04" TargetMode="External" Id="rId68"/><Relationship Type="http://schemas.openxmlformats.org/officeDocument/2006/relationships/hyperlink" Target="https://data.bls.gov/timeseries/CUSR0000SEFB04" TargetMode="External" Id="rId69"/><Relationship Type="http://schemas.openxmlformats.org/officeDocument/2006/relationships/hyperlink" Target="https://data.bls.gov/timeseries/CUSR0000SEFB04" TargetMode="External" Id="rId70"/><Relationship Type="http://schemas.openxmlformats.org/officeDocument/2006/relationships/hyperlink" Target="https://data.bls.gov/timeseries/CUUR0000SS02063" TargetMode="External" Id="rId71"/><Relationship Type="http://schemas.openxmlformats.org/officeDocument/2006/relationships/hyperlink" Target="https://data.bls.gov/timeseries/CUUR0000SS02063" TargetMode="External" Id="rId72"/><Relationship Type="http://schemas.openxmlformats.org/officeDocument/2006/relationships/hyperlink" Target="https://data.bls.gov/timeseries/CUUR0000SS0206A" TargetMode="External" Id="rId73"/><Relationship Type="http://schemas.openxmlformats.org/officeDocument/2006/relationships/hyperlink" Target="https://data.bls.gov/timeseries/CUUR0000SS0206A" TargetMode="External" Id="rId74"/><Relationship Type="http://schemas.openxmlformats.org/officeDocument/2006/relationships/hyperlink" Target="https://data.bls.gov/timeseries/CUSR0000SS0206A" TargetMode="External" Id="rId75"/><Relationship Type="http://schemas.openxmlformats.org/officeDocument/2006/relationships/hyperlink" Target="https://data.bls.gov/timeseries/CUSR0000SS0206A" TargetMode="External" Id="rId76"/><Relationship Type="http://schemas.openxmlformats.org/officeDocument/2006/relationships/hyperlink" Target="https://data.bls.gov/timeseries/CUUR0000SS0206B" TargetMode="External" Id="rId77"/><Relationship Type="http://schemas.openxmlformats.org/officeDocument/2006/relationships/hyperlink" Target="https://data.bls.gov/timeseries/CUUR0000SS0206B" TargetMode="External" Id="rId78"/><Relationship Type="http://schemas.openxmlformats.org/officeDocument/2006/relationships/hyperlink" Target="https://data.bls.gov/timeseries/CUSR0000SS0206B" TargetMode="External" Id="rId79"/><Relationship Type="http://schemas.openxmlformats.org/officeDocument/2006/relationships/hyperlink" Target="https://data.bls.gov/timeseries/CUSR0000SS0206B" TargetMode="External" Id="rId80"/><Relationship Type="http://schemas.openxmlformats.org/officeDocument/2006/relationships/hyperlink" Target="https://data.bls.gov/timeseries/CUUR0000SAF112" TargetMode="External" Id="rId81"/><Relationship Type="http://schemas.openxmlformats.org/officeDocument/2006/relationships/hyperlink" Target="https://data.bls.gov/timeseries/CUUR0000SAF112" TargetMode="External" Id="rId82"/><Relationship Type="http://schemas.openxmlformats.org/officeDocument/2006/relationships/hyperlink" Target="https://data.bls.gov/timeseries/CUSR0000SAF112" TargetMode="External" Id="rId83"/><Relationship Type="http://schemas.openxmlformats.org/officeDocument/2006/relationships/hyperlink" Target="https://data.bls.gov/timeseries/CUSR0000SAF112" TargetMode="External" Id="rId84"/><Relationship Type="http://schemas.openxmlformats.org/officeDocument/2006/relationships/hyperlink" Target="https://data.bls.gov/timeseries/CUUR0000SAF1121" TargetMode="External" Id="rId85"/><Relationship Type="http://schemas.openxmlformats.org/officeDocument/2006/relationships/hyperlink" Target="https://data.bls.gov/timeseries/CUUR0000SAF1121" TargetMode="External" Id="rId86"/><Relationship Type="http://schemas.openxmlformats.org/officeDocument/2006/relationships/hyperlink" Target="https://data.bls.gov/timeseries/CUSR0000SAF1121" TargetMode="External" Id="rId87"/><Relationship Type="http://schemas.openxmlformats.org/officeDocument/2006/relationships/hyperlink" Target="https://data.bls.gov/timeseries/CUSR0000SAF1121" TargetMode="External" Id="rId88"/><Relationship Type="http://schemas.openxmlformats.org/officeDocument/2006/relationships/hyperlink" Target="https://data.bls.gov/timeseries/CUUR0000SAF11211" TargetMode="External" Id="rId89"/><Relationship Type="http://schemas.openxmlformats.org/officeDocument/2006/relationships/hyperlink" Target="https://data.bls.gov/timeseries/CUUR0000SAF11211" TargetMode="External" Id="rId90"/><Relationship Type="http://schemas.openxmlformats.org/officeDocument/2006/relationships/hyperlink" Target="https://data.bls.gov/timeseries/CUSR0000SAF11211" TargetMode="External" Id="rId91"/><Relationship Type="http://schemas.openxmlformats.org/officeDocument/2006/relationships/hyperlink" Target="https://data.bls.gov/timeseries/CUSR0000SAF11211" TargetMode="External" Id="rId92"/><Relationship Type="http://schemas.openxmlformats.org/officeDocument/2006/relationships/hyperlink" Target="https://data.bls.gov/timeseries/CUUR0000SEFC" TargetMode="External" Id="rId93"/><Relationship Type="http://schemas.openxmlformats.org/officeDocument/2006/relationships/hyperlink" Target="https://data.bls.gov/timeseries/CUUR0000SEFC" TargetMode="External" Id="rId94"/><Relationship Type="http://schemas.openxmlformats.org/officeDocument/2006/relationships/hyperlink" Target="https://data.bls.gov/timeseries/CUSR0000SEFC" TargetMode="External" Id="rId95"/><Relationship Type="http://schemas.openxmlformats.org/officeDocument/2006/relationships/hyperlink" Target="https://data.bls.gov/timeseries/CUSR0000SEFC" TargetMode="External" Id="rId96"/><Relationship Type="http://schemas.openxmlformats.org/officeDocument/2006/relationships/hyperlink" Target="https://data.bls.gov/timeseries/CUUR0000SEFC01" TargetMode="External" Id="rId97"/><Relationship Type="http://schemas.openxmlformats.org/officeDocument/2006/relationships/hyperlink" Target="https://data.bls.gov/timeseries/CUUR0000SEFC01" TargetMode="External" Id="rId98"/><Relationship Type="http://schemas.openxmlformats.org/officeDocument/2006/relationships/hyperlink" Target="https://data.bls.gov/timeseries/CUSR0000SEFC01" TargetMode="External" Id="rId99"/><Relationship Type="http://schemas.openxmlformats.org/officeDocument/2006/relationships/hyperlink" Target="https://data.bls.gov/timeseries/CUSR0000SEFC01" TargetMode="External" Id="rId100"/><Relationship Type="http://schemas.openxmlformats.org/officeDocument/2006/relationships/hyperlink" Target="https://data.bls.gov/timeseries/CUUR0000SEFC02" TargetMode="External" Id="rId101"/><Relationship Type="http://schemas.openxmlformats.org/officeDocument/2006/relationships/hyperlink" Target="https://data.bls.gov/timeseries/CUUR0000SEFC02" TargetMode="External" Id="rId102"/><Relationship Type="http://schemas.openxmlformats.org/officeDocument/2006/relationships/hyperlink" Target="https://data.bls.gov/timeseries/CUSR0000SEFC02" TargetMode="External" Id="rId103"/><Relationship Type="http://schemas.openxmlformats.org/officeDocument/2006/relationships/hyperlink" Target="https://data.bls.gov/timeseries/CUSR0000SEFC02" TargetMode="External" Id="rId104"/><Relationship Type="http://schemas.openxmlformats.org/officeDocument/2006/relationships/hyperlink" Target="https://data.bls.gov/timeseries/CUUR0000SEFC03" TargetMode="External" Id="rId105"/><Relationship Type="http://schemas.openxmlformats.org/officeDocument/2006/relationships/hyperlink" Target="https://data.bls.gov/timeseries/CUUR0000SEFC03" TargetMode="External" Id="rId106"/><Relationship Type="http://schemas.openxmlformats.org/officeDocument/2006/relationships/hyperlink" Target="https://data.bls.gov/timeseries/CUSR0000SEFC03" TargetMode="External" Id="rId107"/><Relationship Type="http://schemas.openxmlformats.org/officeDocument/2006/relationships/hyperlink" Target="https://data.bls.gov/timeseries/CUSR0000SEFC03" TargetMode="External" Id="rId108"/><Relationship Type="http://schemas.openxmlformats.org/officeDocument/2006/relationships/hyperlink" Target="https://data.bls.gov/timeseries/CUUR0000SEFC04" TargetMode="External" Id="rId109"/><Relationship Type="http://schemas.openxmlformats.org/officeDocument/2006/relationships/hyperlink" Target="https://data.bls.gov/timeseries/CUUR0000SEFC04" TargetMode="External" Id="rId110"/><Relationship Type="http://schemas.openxmlformats.org/officeDocument/2006/relationships/hyperlink" Target="https://data.bls.gov/timeseries/CUUR0000SEFD" TargetMode="External" Id="rId111"/><Relationship Type="http://schemas.openxmlformats.org/officeDocument/2006/relationships/hyperlink" Target="https://data.bls.gov/timeseries/CUUR0000SEFD" TargetMode="External" Id="rId112"/><Relationship Type="http://schemas.openxmlformats.org/officeDocument/2006/relationships/hyperlink" Target="https://data.bls.gov/timeseries/CUSR0000SEFD" TargetMode="External" Id="rId113"/><Relationship Type="http://schemas.openxmlformats.org/officeDocument/2006/relationships/hyperlink" Target="https://data.bls.gov/timeseries/CUSR0000SEFD" TargetMode="External" Id="rId114"/><Relationship Type="http://schemas.openxmlformats.org/officeDocument/2006/relationships/hyperlink" Target="https://data.bls.gov/timeseries/CUUR0000SEFD01" TargetMode="External" Id="rId115"/><Relationship Type="http://schemas.openxmlformats.org/officeDocument/2006/relationships/hyperlink" Target="https://data.bls.gov/timeseries/CUUR0000SEFD01" TargetMode="External" Id="rId116"/><Relationship Type="http://schemas.openxmlformats.org/officeDocument/2006/relationships/hyperlink" Target="https://data.bls.gov/timeseries/CUSR0000SEFD01" TargetMode="External" Id="rId117"/><Relationship Type="http://schemas.openxmlformats.org/officeDocument/2006/relationships/hyperlink" Target="https://data.bls.gov/timeseries/CUSR0000SEFD01" TargetMode="External" Id="rId118"/><Relationship Type="http://schemas.openxmlformats.org/officeDocument/2006/relationships/hyperlink" Target="https://data.bls.gov/timeseries/CUUR0000SS04011" TargetMode="External" Id="rId119"/><Relationship Type="http://schemas.openxmlformats.org/officeDocument/2006/relationships/hyperlink" Target="https://data.bls.gov/timeseries/CUUR0000SS04011" TargetMode="External" Id="rId120"/><Relationship Type="http://schemas.openxmlformats.org/officeDocument/2006/relationships/hyperlink" Target="https://data.bls.gov/timeseries/CUSR0000SS04011" TargetMode="External" Id="rId121"/><Relationship Type="http://schemas.openxmlformats.org/officeDocument/2006/relationships/hyperlink" Target="https://data.bls.gov/timeseries/CUSR0000SS04011" TargetMode="External" Id="rId122"/><Relationship Type="http://schemas.openxmlformats.org/officeDocument/2006/relationships/hyperlink" Target="https://data.bls.gov/timeseries/CUUR0000SS04012" TargetMode="External" Id="rId123"/><Relationship Type="http://schemas.openxmlformats.org/officeDocument/2006/relationships/hyperlink" Target="https://data.bls.gov/timeseries/CUUR0000SS04012" TargetMode="External" Id="rId124"/><Relationship Type="http://schemas.openxmlformats.org/officeDocument/2006/relationships/hyperlink" Target="https://data.bls.gov/timeseries/CUSR0000SS04012" TargetMode="External" Id="rId125"/><Relationship Type="http://schemas.openxmlformats.org/officeDocument/2006/relationships/hyperlink" Target="https://data.bls.gov/timeseries/CUSR0000SS04012" TargetMode="External" Id="rId126"/><Relationship Type="http://schemas.openxmlformats.org/officeDocument/2006/relationships/hyperlink" Target="https://data.bls.gov/timeseries/CUUR0000SEFD02" TargetMode="External" Id="rId127"/><Relationship Type="http://schemas.openxmlformats.org/officeDocument/2006/relationships/hyperlink" Target="https://data.bls.gov/timeseries/CUUR0000SEFD02" TargetMode="External" Id="rId128"/><Relationship Type="http://schemas.openxmlformats.org/officeDocument/2006/relationships/hyperlink" Target="https://data.bls.gov/timeseries/CUSR0000SEFD02" TargetMode="External" Id="rId129"/><Relationship Type="http://schemas.openxmlformats.org/officeDocument/2006/relationships/hyperlink" Target="https://data.bls.gov/timeseries/CUSR0000SEFD02" TargetMode="External" Id="rId130"/><Relationship Type="http://schemas.openxmlformats.org/officeDocument/2006/relationships/hyperlink" Target="https://data.bls.gov/timeseries/CUUR0000SS04031" TargetMode="External" Id="rId131"/><Relationship Type="http://schemas.openxmlformats.org/officeDocument/2006/relationships/hyperlink" Target="https://data.bls.gov/timeseries/CUUR0000SS04031" TargetMode="External" Id="rId132"/><Relationship Type="http://schemas.openxmlformats.org/officeDocument/2006/relationships/hyperlink" Target="https://data.bls.gov/timeseries/CUSR0000SS04031" TargetMode="External" Id="rId133"/><Relationship Type="http://schemas.openxmlformats.org/officeDocument/2006/relationships/hyperlink" Target="https://data.bls.gov/timeseries/CUSR0000SS04031" TargetMode="External" Id="rId134"/><Relationship Type="http://schemas.openxmlformats.org/officeDocument/2006/relationships/hyperlink" Target="https://data.bls.gov/timeseries/CUUR0000SEFD03" TargetMode="External" Id="rId135"/><Relationship Type="http://schemas.openxmlformats.org/officeDocument/2006/relationships/hyperlink" Target="https://data.bls.gov/timeseries/CUUR0000SEFD03" TargetMode="External" Id="rId136"/><Relationship Type="http://schemas.openxmlformats.org/officeDocument/2006/relationships/hyperlink" Target="https://data.bls.gov/timeseries/CUSR0000SEFD03" TargetMode="External" Id="rId137"/><Relationship Type="http://schemas.openxmlformats.org/officeDocument/2006/relationships/hyperlink" Target="https://data.bls.gov/timeseries/CUSR0000SEFD03" TargetMode="External" Id="rId138"/><Relationship Type="http://schemas.openxmlformats.org/officeDocument/2006/relationships/hyperlink" Target="https://data.bls.gov/timeseries/CUUR0000SEFD04" TargetMode="External" Id="rId139"/><Relationship Type="http://schemas.openxmlformats.org/officeDocument/2006/relationships/hyperlink" Target="https://data.bls.gov/timeseries/CUUR0000SEFD04" TargetMode="External" Id="rId140"/><Relationship Type="http://schemas.openxmlformats.org/officeDocument/2006/relationships/hyperlink" Target="https://data.bls.gov/timeseries/CUSR0000SEFD04" TargetMode="External" Id="rId141"/><Relationship Type="http://schemas.openxmlformats.org/officeDocument/2006/relationships/hyperlink" Target="https://data.bls.gov/timeseries/CUSR0000SEFD04" TargetMode="External" Id="rId142"/><Relationship Type="http://schemas.openxmlformats.org/officeDocument/2006/relationships/hyperlink" Target="https://data.bls.gov/timeseries/CUUR0000SEFE" TargetMode="External" Id="rId143"/><Relationship Type="http://schemas.openxmlformats.org/officeDocument/2006/relationships/hyperlink" Target="https://data.bls.gov/timeseries/CUUR0000SEFE" TargetMode="External" Id="rId144"/><Relationship Type="http://schemas.openxmlformats.org/officeDocument/2006/relationships/hyperlink" Target="https://data.bls.gov/timeseries/CUSR0000SEFE" TargetMode="External" Id="rId145"/><Relationship Type="http://schemas.openxmlformats.org/officeDocument/2006/relationships/hyperlink" Target="https://data.bls.gov/timeseries/CUSR0000SEFE" TargetMode="External" Id="rId146"/><Relationship Type="http://schemas.openxmlformats.org/officeDocument/2006/relationships/hyperlink" Target="https://data.bls.gov/timeseries/CUUR0000SS05011" TargetMode="External" Id="rId147"/><Relationship Type="http://schemas.openxmlformats.org/officeDocument/2006/relationships/hyperlink" Target="https://data.bls.gov/timeseries/CUUR0000SS05011" TargetMode="External" Id="rId148"/><Relationship Type="http://schemas.openxmlformats.org/officeDocument/2006/relationships/hyperlink" Target="https://data.bls.gov/timeseries/CUSR0000SS05011" TargetMode="External" Id="rId149"/><Relationship Type="http://schemas.openxmlformats.org/officeDocument/2006/relationships/hyperlink" Target="https://data.bls.gov/timeseries/CUSR0000SS05011" TargetMode="External" Id="rId150"/><Relationship Type="http://schemas.openxmlformats.org/officeDocument/2006/relationships/hyperlink" Target="https://data.bls.gov/timeseries/CUUR0000SS0501A" TargetMode="External" Id="rId151"/><Relationship Type="http://schemas.openxmlformats.org/officeDocument/2006/relationships/hyperlink" Target="https://data.bls.gov/timeseries/CUUR0000SS0501A" TargetMode="External" Id="rId152"/><Relationship Type="http://schemas.openxmlformats.org/officeDocument/2006/relationships/hyperlink" Target="https://data.bls.gov/timeseries/CUSR0000SS0501A" TargetMode="External" Id="rId153"/><Relationship Type="http://schemas.openxmlformats.org/officeDocument/2006/relationships/hyperlink" Target="https://data.bls.gov/timeseries/CUSR0000SS0501A" TargetMode="External" Id="rId154"/><Relationship Type="http://schemas.openxmlformats.org/officeDocument/2006/relationships/hyperlink" Target="https://data.bls.gov/timeseries/CUUR0000SS05014" TargetMode="External" Id="rId155"/><Relationship Type="http://schemas.openxmlformats.org/officeDocument/2006/relationships/hyperlink" Target="https://data.bls.gov/timeseries/CUUR0000SS05014" TargetMode="External" Id="rId156"/><Relationship Type="http://schemas.openxmlformats.org/officeDocument/2006/relationships/hyperlink" Target="https://data.bls.gov/timeseries/CUUR0000SS05015" TargetMode="External" Id="rId157"/><Relationship Type="http://schemas.openxmlformats.org/officeDocument/2006/relationships/hyperlink" Target="https://data.bls.gov/timeseries/CUUR0000SS05015" TargetMode="External" Id="rId158"/><Relationship Type="http://schemas.openxmlformats.org/officeDocument/2006/relationships/hyperlink" Target="https://data.bls.gov/timeseries/CUUR0000SEFF" TargetMode="External" Id="rId159"/><Relationship Type="http://schemas.openxmlformats.org/officeDocument/2006/relationships/hyperlink" Target="https://data.bls.gov/timeseries/CUUR0000SEFF" TargetMode="External" Id="rId160"/><Relationship Type="http://schemas.openxmlformats.org/officeDocument/2006/relationships/hyperlink" Target="https://data.bls.gov/timeseries/CUSR0000SEFF" TargetMode="External" Id="rId161"/><Relationship Type="http://schemas.openxmlformats.org/officeDocument/2006/relationships/hyperlink" Target="https://data.bls.gov/timeseries/CUSR0000SEFF" TargetMode="External" Id="rId162"/><Relationship Type="http://schemas.openxmlformats.org/officeDocument/2006/relationships/hyperlink" Target="https://data.bls.gov/timeseries/CUUR0000SEFF01" TargetMode="External" Id="rId163"/><Relationship Type="http://schemas.openxmlformats.org/officeDocument/2006/relationships/hyperlink" Target="https://data.bls.gov/timeseries/CUUR0000SEFF01" TargetMode="External" Id="rId164"/><Relationship Type="http://schemas.openxmlformats.org/officeDocument/2006/relationships/hyperlink" Target="https://data.bls.gov/timeseries/CUSR0000SEFF01" TargetMode="External" Id="rId165"/><Relationship Type="http://schemas.openxmlformats.org/officeDocument/2006/relationships/hyperlink" Target="https://data.bls.gov/timeseries/CUSR0000SEFF01" TargetMode="External" Id="rId166"/><Relationship Type="http://schemas.openxmlformats.org/officeDocument/2006/relationships/hyperlink" Target="https://data.bls.gov/timeseries/CUUR0000SS06011" TargetMode="External" Id="rId167"/><Relationship Type="http://schemas.openxmlformats.org/officeDocument/2006/relationships/hyperlink" Target="https://data.bls.gov/timeseries/CUUR0000SS06011" TargetMode="External" Id="rId168"/><Relationship Type="http://schemas.openxmlformats.org/officeDocument/2006/relationships/hyperlink" Target="https://data.bls.gov/timeseries/CUSR0000SS06011" TargetMode="External" Id="rId169"/><Relationship Type="http://schemas.openxmlformats.org/officeDocument/2006/relationships/hyperlink" Target="https://data.bls.gov/timeseries/CUSR0000SS06011" TargetMode="External" Id="rId170"/><Relationship Type="http://schemas.openxmlformats.org/officeDocument/2006/relationships/hyperlink" Target="https://data.bls.gov/timeseries/CUUR0000SS06021" TargetMode="External" Id="rId171"/><Relationship Type="http://schemas.openxmlformats.org/officeDocument/2006/relationships/hyperlink" Target="https://data.bls.gov/timeseries/CUUR0000SS06021" TargetMode="External" Id="rId172"/><Relationship Type="http://schemas.openxmlformats.org/officeDocument/2006/relationships/hyperlink" Target="https://data.bls.gov/timeseries/CUSR0000SS06021" TargetMode="External" Id="rId173"/><Relationship Type="http://schemas.openxmlformats.org/officeDocument/2006/relationships/hyperlink" Target="https://data.bls.gov/timeseries/CUSR0000SS06021" TargetMode="External" Id="rId174"/><Relationship Type="http://schemas.openxmlformats.org/officeDocument/2006/relationships/hyperlink" Target="https://data.bls.gov/timeseries/CUUR0000SEFF02" TargetMode="External" Id="rId175"/><Relationship Type="http://schemas.openxmlformats.org/officeDocument/2006/relationships/hyperlink" Target="https://data.bls.gov/timeseries/CUUR0000SEFF02" TargetMode="External" Id="rId176"/><Relationship Type="http://schemas.openxmlformats.org/officeDocument/2006/relationships/hyperlink" Target="https://data.bls.gov/timeseries/CUSR0000SEFF02" TargetMode="External" Id="rId177"/><Relationship Type="http://schemas.openxmlformats.org/officeDocument/2006/relationships/hyperlink" Target="https://data.bls.gov/timeseries/CUSR0000SEFF02" TargetMode="External" Id="rId178"/><Relationship Type="http://schemas.openxmlformats.org/officeDocument/2006/relationships/hyperlink" Target="https://data.bls.gov/timeseries/CUUR0000SEFG" TargetMode="External" Id="rId179"/><Relationship Type="http://schemas.openxmlformats.org/officeDocument/2006/relationships/hyperlink" Target="https://data.bls.gov/timeseries/CUUR0000SEFG" TargetMode="External" Id="rId180"/><Relationship Type="http://schemas.openxmlformats.org/officeDocument/2006/relationships/hyperlink" Target="https://data.bls.gov/timeseries/CUSR0000SEFG" TargetMode="External" Id="rId181"/><Relationship Type="http://schemas.openxmlformats.org/officeDocument/2006/relationships/hyperlink" Target="https://data.bls.gov/timeseries/CUSR0000SEFG" TargetMode="External" Id="rId182"/><Relationship Type="http://schemas.openxmlformats.org/officeDocument/2006/relationships/hyperlink" Target="https://data.bls.gov/timeseries/CUUR0000SEFG01" TargetMode="External" Id="rId183"/><Relationship Type="http://schemas.openxmlformats.org/officeDocument/2006/relationships/hyperlink" Target="https://data.bls.gov/timeseries/CUUR0000SEFG01" TargetMode="External" Id="rId184"/><Relationship Type="http://schemas.openxmlformats.org/officeDocument/2006/relationships/hyperlink" Target="https://data.bls.gov/timeseries/CUSR0000SEFG01" TargetMode="External" Id="rId185"/><Relationship Type="http://schemas.openxmlformats.org/officeDocument/2006/relationships/hyperlink" Target="https://data.bls.gov/timeseries/CUSR0000SEFG01" TargetMode="External" Id="rId186"/><Relationship Type="http://schemas.openxmlformats.org/officeDocument/2006/relationships/hyperlink" Target="https://data.bls.gov/timeseries/CUUR0000SEFG02" TargetMode="External" Id="rId187"/><Relationship Type="http://schemas.openxmlformats.org/officeDocument/2006/relationships/hyperlink" Target="https://data.bls.gov/timeseries/CUUR0000SEFG02" TargetMode="External" Id="rId188"/><Relationship Type="http://schemas.openxmlformats.org/officeDocument/2006/relationships/hyperlink" Target="https://data.bls.gov/timeseries/CUSR0000SEFG02" TargetMode="External" Id="rId189"/><Relationship Type="http://schemas.openxmlformats.org/officeDocument/2006/relationships/hyperlink" Target="https://data.bls.gov/timeseries/CUSR0000SEFG02" TargetMode="External" Id="rId190"/><Relationship Type="http://schemas.openxmlformats.org/officeDocument/2006/relationships/hyperlink" Target="https://data.bls.gov/timeseries/CUUR0000SS07011" TargetMode="External" Id="rId191"/><Relationship Type="http://schemas.openxmlformats.org/officeDocument/2006/relationships/hyperlink" Target="https://data.bls.gov/timeseries/CUUR0000SS07011" TargetMode="External" Id="rId192"/><Relationship Type="http://schemas.openxmlformats.org/officeDocument/2006/relationships/hyperlink" Target="https://data.bls.gov/timeseries/CUSR0000SS07011" TargetMode="External" Id="rId193"/><Relationship Type="http://schemas.openxmlformats.org/officeDocument/2006/relationships/hyperlink" Target="https://data.bls.gov/timeseries/CUSR0000SS07011" TargetMode="External" Id="rId194"/><Relationship Type="http://schemas.openxmlformats.org/officeDocument/2006/relationships/hyperlink" Target="https://data.bls.gov/timeseries/CUUR0000SS07021" TargetMode="External" Id="rId195"/><Relationship Type="http://schemas.openxmlformats.org/officeDocument/2006/relationships/hyperlink" Target="https://data.bls.gov/timeseries/CUUR0000SS07021" TargetMode="External" Id="rId196"/><Relationship Type="http://schemas.openxmlformats.org/officeDocument/2006/relationships/hyperlink" Target="https://data.bls.gov/timeseries/CUSR0000SS07021" TargetMode="External" Id="rId197"/><Relationship Type="http://schemas.openxmlformats.org/officeDocument/2006/relationships/hyperlink" Target="https://data.bls.gov/timeseries/CUSR0000SS07021" TargetMode="External" Id="rId198"/><Relationship Type="http://schemas.openxmlformats.org/officeDocument/2006/relationships/hyperlink" Target="https://data.bls.gov/timeseries/CUUR0000SEFH" TargetMode="External" Id="rId199"/><Relationship Type="http://schemas.openxmlformats.org/officeDocument/2006/relationships/hyperlink" Target="https://data.bls.gov/timeseries/CUUR0000SEFH" TargetMode="External" Id="rId200"/><Relationship Type="http://schemas.openxmlformats.org/officeDocument/2006/relationships/hyperlink" Target="https://data.bls.gov/timeseries/CUSR0000SEFH" TargetMode="External" Id="rId201"/><Relationship Type="http://schemas.openxmlformats.org/officeDocument/2006/relationships/hyperlink" Target="https://data.bls.gov/timeseries/CUSR0000SEFH" TargetMode="External" Id="rId202"/><Relationship Type="http://schemas.openxmlformats.org/officeDocument/2006/relationships/hyperlink" Target="https://data.bls.gov/timeseries/CUUR0000SEFJ" TargetMode="External" Id="rId203"/><Relationship Type="http://schemas.openxmlformats.org/officeDocument/2006/relationships/hyperlink" Target="https://data.bls.gov/timeseries/CUUR0000SEFJ" TargetMode="External" Id="rId204"/><Relationship Type="http://schemas.openxmlformats.org/officeDocument/2006/relationships/hyperlink" Target="https://data.bls.gov/timeseries/CUSR0000SEFJ" TargetMode="External" Id="rId205"/><Relationship Type="http://schemas.openxmlformats.org/officeDocument/2006/relationships/hyperlink" Target="https://data.bls.gov/timeseries/CUSR0000SEFJ" TargetMode="External" Id="rId206"/><Relationship Type="http://schemas.openxmlformats.org/officeDocument/2006/relationships/hyperlink" Target="https://data.bls.gov/timeseries/CUUR0000SEFJ01" TargetMode="External" Id="rId207"/><Relationship Type="http://schemas.openxmlformats.org/officeDocument/2006/relationships/hyperlink" Target="https://data.bls.gov/timeseries/CUUR0000SEFJ01" TargetMode="External" Id="rId208"/><Relationship Type="http://schemas.openxmlformats.org/officeDocument/2006/relationships/hyperlink" Target="https://data.bls.gov/timeseries/CUSR0000SEFJ01" TargetMode="External" Id="rId209"/><Relationship Type="http://schemas.openxmlformats.org/officeDocument/2006/relationships/hyperlink" Target="https://data.bls.gov/timeseries/CUSR0000SEFJ01" TargetMode="External" Id="rId210"/><Relationship Type="http://schemas.openxmlformats.org/officeDocument/2006/relationships/hyperlink" Target="https://data.bls.gov/timeseries/CUUR0000SS09011" TargetMode="External" Id="rId211"/><Relationship Type="http://schemas.openxmlformats.org/officeDocument/2006/relationships/hyperlink" Target="https://data.bls.gov/timeseries/CUUR0000SS09011" TargetMode="External" Id="rId212"/><Relationship Type="http://schemas.openxmlformats.org/officeDocument/2006/relationships/hyperlink" Target="https://data.bls.gov/timeseries/CUSR0000SS09011" TargetMode="External" Id="rId213"/><Relationship Type="http://schemas.openxmlformats.org/officeDocument/2006/relationships/hyperlink" Target="https://data.bls.gov/timeseries/CUSR0000SS09011" TargetMode="External" Id="rId214"/><Relationship Type="http://schemas.openxmlformats.org/officeDocument/2006/relationships/hyperlink" Target="https://data.bls.gov/timeseries/CUUR0000SS09021" TargetMode="External" Id="rId215"/><Relationship Type="http://schemas.openxmlformats.org/officeDocument/2006/relationships/hyperlink" Target="https://data.bls.gov/timeseries/CUUR0000SS09021" TargetMode="External" Id="rId216"/><Relationship Type="http://schemas.openxmlformats.org/officeDocument/2006/relationships/hyperlink" Target="https://data.bls.gov/timeseries/CUSR0000SS09021" TargetMode="External" Id="rId217"/><Relationship Type="http://schemas.openxmlformats.org/officeDocument/2006/relationships/hyperlink" Target="https://data.bls.gov/timeseries/CUSR0000SS09021" TargetMode="External" Id="rId218"/><Relationship Type="http://schemas.openxmlformats.org/officeDocument/2006/relationships/hyperlink" Target="https://data.bls.gov/timeseries/CUUR0000SEFJ02" TargetMode="External" Id="rId219"/><Relationship Type="http://schemas.openxmlformats.org/officeDocument/2006/relationships/hyperlink" Target="https://data.bls.gov/timeseries/CUUR0000SEFJ02" TargetMode="External" Id="rId220"/><Relationship Type="http://schemas.openxmlformats.org/officeDocument/2006/relationships/hyperlink" Target="https://data.bls.gov/timeseries/CUSR0000SEFJ02" TargetMode="External" Id="rId221"/><Relationship Type="http://schemas.openxmlformats.org/officeDocument/2006/relationships/hyperlink" Target="https://data.bls.gov/timeseries/CUSR0000SEFJ02" TargetMode="External" Id="rId222"/><Relationship Type="http://schemas.openxmlformats.org/officeDocument/2006/relationships/hyperlink" Target="https://data.bls.gov/timeseries/CUUR0000SEFJ03" TargetMode="External" Id="rId223"/><Relationship Type="http://schemas.openxmlformats.org/officeDocument/2006/relationships/hyperlink" Target="https://data.bls.gov/timeseries/CUUR0000SEFJ03" TargetMode="External" Id="rId224"/><Relationship Type="http://schemas.openxmlformats.org/officeDocument/2006/relationships/hyperlink" Target="https://data.bls.gov/timeseries/CUSR0000SEFJ03" TargetMode="External" Id="rId225"/><Relationship Type="http://schemas.openxmlformats.org/officeDocument/2006/relationships/hyperlink" Target="https://data.bls.gov/timeseries/CUSR0000SEFJ03" TargetMode="External" Id="rId226"/><Relationship Type="http://schemas.openxmlformats.org/officeDocument/2006/relationships/hyperlink" Target="https://data.bls.gov/timeseries/CUUR0000SEFJ04" TargetMode="External" Id="rId227"/><Relationship Type="http://schemas.openxmlformats.org/officeDocument/2006/relationships/hyperlink" Target="https://data.bls.gov/timeseries/CUUR0000SEFJ04" TargetMode="External" Id="rId228"/><Relationship Type="http://schemas.openxmlformats.org/officeDocument/2006/relationships/hyperlink" Target="https://data.bls.gov/timeseries/CUSR0000SEFJ04" TargetMode="External" Id="rId229"/><Relationship Type="http://schemas.openxmlformats.org/officeDocument/2006/relationships/hyperlink" Target="https://data.bls.gov/timeseries/CUSR0000SEFJ04" TargetMode="External" Id="rId230"/><Relationship Type="http://schemas.openxmlformats.org/officeDocument/2006/relationships/hyperlink" Target="https://data.bls.gov/timeseries/CUUR0000SAF113" TargetMode="External" Id="rId231"/><Relationship Type="http://schemas.openxmlformats.org/officeDocument/2006/relationships/hyperlink" Target="https://data.bls.gov/timeseries/CUUR0000SAF113" TargetMode="External" Id="rId232"/><Relationship Type="http://schemas.openxmlformats.org/officeDocument/2006/relationships/hyperlink" Target="https://data.bls.gov/timeseries/CUSR0000SAF113" TargetMode="External" Id="rId233"/><Relationship Type="http://schemas.openxmlformats.org/officeDocument/2006/relationships/hyperlink" Target="https://data.bls.gov/timeseries/CUSR0000SAF113" TargetMode="External" Id="rId234"/><Relationship Type="http://schemas.openxmlformats.org/officeDocument/2006/relationships/hyperlink" Target="https://data.bls.gov/timeseries/CUUR0000SAF1131" TargetMode="External" Id="rId235"/><Relationship Type="http://schemas.openxmlformats.org/officeDocument/2006/relationships/hyperlink" Target="https://data.bls.gov/timeseries/CUUR0000SAF1131" TargetMode="External" Id="rId236"/><Relationship Type="http://schemas.openxmlformats.org/officeDocument/2006/relationships/hyperlink" Target="https://data.bls.gov/timeseries/CUSR0000SAF1131" TargetMode="External" Id="rId237"/><Relationship Type="http://schemas.openxmlformats.org/officeDocument/2006/relationships/hyperlink" Target="https://data.bls.gov/timeseries/CUSR0000SAF1131" TargetMode="External" Id="rId238"/><Relationship Type="http://schemas.openxmlformats.org/officeDocument/2006/relationships/hyperlink" Target="https://data.bls.gov/timeseries/CUUR0000SEFK" TargetMode="External" Id="rId239"/><Relationship Type="http://schemas.openxmlformats.org/officeDocument/2006/relationships/hyperlink" Target="https://data.bls.gov/timeseries/CUUR0000SEFK" TargetMode="External" Id="rId240"/><Relationship Type="http://schemas.openxmlformats.org/officeDocument/2006/relationships/hyperlink" Target="https://data.bls.gov/timeseries/CUSR0000SEFK" TargetMode="External" Id="rId241"/><Relationship Type="http://schemas.openxmlformats.org/officeDocument/2006/relationships/hyperlink" Target="https://data.bls.gov/timeseries/CUSR0000SEFK" TargetMode="External" Id="rId242"/><Relationship Type="http://schemas.openxmlformats.org/officeDocument/2006/relationships/hyperlink" Target="https://data.bls.gov/timeseries/CUUR0000SEFK01" TargetMode="External" Id="rId243"/><Relationship Type="http://schemas.openxmlformats.org/officeDocument/2006/relationships/hyperlink" Target="https://data.bls.gov/timeseries/CUUR0000SEFK01" TargetMode="External" Id="rId244"/><Relationship Type="http://schemas.openxmlformats.org/officeDocument/2006/relationships/hyperlink" Target="https://data.bls.gov/timeseries/CUSR0000SEFK01" TargetMode="External" Id="rId245"/><Relationship Type="http://schemas.openxmlformats.org/officeDocument/2006/relationships/hyperlink" Target="https://data.bls.gov/timeseries/CUSR0000SEFK01" TargetMode="External" Id="rId246"/><Relationship Type="http://schemas.openxmlformats.org/officeDocument/2006/relationships/hyperlink" Target="https://data.bls.gov/timeseries/CUUR0000SEFK02" TargetMode="External" Id="rId247"/><Relationship Type="http://schemas.openxmlformats.org/officeDocument/2006/relationships/hyperlink" Target="https://data.bls.gov/timeseries/CUUR0000SEFK02" TargetMode="External" Id="rId248"/><Relationship Type="http://schemas.openxmlformats.org/officeDocument/2006/relationships/hyperlink" Target="https://data.bls.gov/timeseries/CUSR0000SEFK02" TargetMode="External" Id="rId249"/><Relationship Type="http://schemas.openxmlformats.org/officeDocument/2006/relationships/hyperlink" Target="https://data.bls.gov/timeseries/CUSR0000SEFK02" TargetMode="External" Id="rId250"/><Relationship Type="http://schemas.openxmlformats.org/officeDocument/2006/relationships/hyperlink" Target="https://data.bls.gov/timeseries/CUUR0000SEFK03" TargetMode="External" Id="rId251"/><Relationship Type="http://schemas.openxmlformats.org/officeDocument/2006/relationships/hyperlink" Target="https://data.bls.gov/timeseries/CUUR0000SEFK03" TargetMode="External" Id="rId252"/><Relationship Type="http://schemas.openxmlformats.org/officeDocument/2006/relationships/hyperlink" Target="https://data.bls.gov/timeseries/CUSR0000SEFK03" TargetMode="External" Id="rId253"/><Relationship Type="http://schemas.openxmlformats.org/officeDocument/2006/relationships/hyperlink" Target="https://data.bls.gov/timeseries/CUSR0000SEFK03" TargetMode="External" Id="rId254"/><Relationship Type="http://schemas.openxmlformats.org/officeDocument/2006/relationships/hyperlink" Target="https://data.bls.gov/timeseries/CUUR0000SS11031" TargetMode="External" Id="rId255"/><Relationship Type="http://schemas.openxmlformats.org/officeDocument/2006/relationships/hyperlink" Target="https://data.bls.gov/timeseries/CUUR0000SS11031" TargetMode="External" Id="rId256"/><Relationship Type="http://schemas.openxmlformats.org/officeDocument/2006/relationships/hyperlink" Target="https://data.bls.gov/timeseries/CUSR0000SS11031" TargetMode="External" Id="rId257"/><Relationship Type="http://schemas.openxmlformats.org/officeDocument/2006/relationships/hyperlink" Target="https://data.bls.gov/timeseries/CUSR0000SS11031" TargetMode="External" Id="rId258"/><Relationship Type="http://schemas.openxmlformats.org/officeDocument/2006/relationships/hyperlink" Target="https://data.bls.gov/timeseries/CUUR0000SEFK04" TargetMode="External" Id="rId259"/><Relationship Type="http://schemas.openxmlformats.org/officeDocument/2006/relationships/hyperlink" Target="https://data.bls.gov/timeseries/CUUR0000SEFK04" TargetMode="External" Id="rId260"/><Relationship Type="http://schemas.openxmlformats.org/officeDocument/2006/relationships/hyperlink" Target="https://data.bls.gov/timeseries/CUSR0000SEFK04" TargetMode="External" Id="rId261"/><Relationship Type="http://schemas.openxmlformats.org/officeDocument/2006/relationships/hyperlink" Target="https://data.bls.gov/timeseries/CUSR0000SEFK04" TargetMode="External" Id="rId262"/><Relationship Type="http://schemas.openxmlformats.org/officeDocument/2006/relationships/hyperlink" Target="https://data.bls.gov/timeseries/CUUR0000SEFL" TargetMode="External" Id="rId263"/><Relationship Type="http://schemas.openxmlformats.org/officeDocument/2006/relationships/hyperlink" Target="https://data.bls.gov/timeseries/CUUR0000SEFL" TargetMode="External" Id="rId264"/><Relationship Type="http://schemas.openxmlformats.org/officeDocument/2006/relationships/hyperlink" Target="https://data.bls.gov/timeseries/CUSR0000SEFL" TargetMode="External" Id="rId265"/><Relationship Type="http://schemas.openxmlformats.org/officeDocument/2006/relationships/hyperlink" Target="https://data.bls.gov/timeseries/CUSR0000SEFL" TargetMode="External" Id="rId266"/><Relationship Type="http://schemas.openxmlformats.org/officeDocument/2006/relationships/hyperlink" Target="https://data.bls.gov/timeseries/CUUR0000SEFL01" TargetMode="External" Id="rId267"/><Relationship Type="http://schemas.openxmlformats.org/officeDocument/2006/relationships/hyperlink" Target="https://data.bls.gov/timeseries/CUUR0000SEFL01" TargetMode="External" Id="rId268"/><Relationship Type="http://schemas.openxmlformats.org/officeDocument/2006/relationships/hyperlink" Target="https://data.bls.gov/timeseries/CUSR0000SEFL01" TargetMode="External" Id="rId269"/><Relationship Type="http://schemas.openxmlformats.org/officeDocument/2006/relationships/hyperlink" Target="https://data.bls.gov/timeseries/CUSR0000SEFL01" TargetMode="External" Id="rId270"/><Relationship Type="http://schemas.openxmlformats.org/officeDocument/2006/relationships/hyperlink" Target="https://data.bls.gov/timeseries/CUUR0000SEFL02" TargetMode="External" Id="rId271"/><Relationship Type="http://schemas.openxmlformats.org/officeDocument/2006/relationships/hyperlink" Target="https://data.bls.gov/timeseries/CUUR0000SEFL02" TargetMode="External" Id="rId272"/><Relationship Type="http://schemas.openxmlformats.org/officeDocument/2006/relationships/hyperlink" Target="https://data.bls.gov/timeseries/CUSR0000SEFL02" TargetMode="External" Id="rId273"/><Relationship Type="http://schemas.openxmlformats.org/officeDocument/2006/relationships/hyperlink" Target="https://data.bls.gov/timeseries/CUSR0000SEFL02" TargetMode="External" Id="rId274"/><Relationship Type="http://schemas.openxmlformats.org/officeDocument/2006/relationships/hyperlink" Target="https://data.bls.gov/timeseries/CUUR0000SEFL03" TargetMode="External" Id="rId275"/><Relationship Type="http://schemas.openxmlformats.org/officeDocument/2006/relationships/hyperlink" Target="https://data.bls.gov/timeseries/CUUR0000SEFL03" TargetMode="External" Id="rId276"/><Relationship Type="http://schemas.openxmlformats.org/officeDocument/2006/relationships/hyperlink" Target="https://data.bls.gov/timeseries/CUSR0000SEFL03" TargetMode="External" Id="rId277"/><Relationship Type="http://schemas.openxmlformats.org/officeDocument/2006/relationships/hyperlink" Target="https://data.bls.gov/timeseries/CUSR0000SEFL03" TargetMode="External" Id="rId278"/><Relationship Type="http://schemas.openxmlformats.org/officeDocument/2006/relationships/hyperlink" Target="https://data.bls.gov/timeseries/CUUR0000SEFL04" TargetMode="External" Id="rId279"/><Relationship Type="http://schemas.openxmlformats.org/officeDocument/2006/relationships/hyperlink" Target="https://data.bls.gov/timeseries/CUUR0000SEFL04" TargetMode="External" Id="rId280"/><Relationship Type="http://schemas.openxmlformats.org/officeDocument/2006/relationships/hyperlink" Target="https://data.bls.gov/timeseries/CUSR0000SEFL04" TargetMode="External" Id="rId281"/><Relationship Type="http://schemas.openxmlformats.org/officeDocument/2006/relationships/hyperlink" Target="https://data.bls.gov/timeseries/CUSR0000SEFL04" TargetMode="External" Id="rId282"/><Relationship Type="http://schemas.openxmlformats.org/officeDocument/2006/relationships/hyperlink" Target="https://data.bls.gov/timeseries/CUUR0000SEFM" TargetMode="External" Id="rId283"/><Relationship Type="http://schemas.openxmlformats.org/officeDocument/2006/relationships/hyperlink" Target="https://data.bls.gov/timeseries/CUUR0000SEFM" TargetMode="External" Id="rId284"/><Relationship Type="http://schemas.openxmlformats.org/officeDocument/2006/relationships/hyperlink" Target="https://data.bls.gov/timeseries/CUSR0000SEFM" TargetMode="External" Id="rId285"/><Relationship Type="http://schemas.openxmlformats.org/officeDocument/2006/relationships/hyperlink" Target="https://data.bls.gov/timeseries/CUSR0000SEFM" TargetMode="External" Id="rId286"/><Relationship Type="http://schemas.openxmlformats.org/officeDocument/2006/relationships/hyperlink" Target="https://data.bls.gov/timeseries/CUUR0000SEFM01" TargetMode="External" Id="rId287"/><Relationship Type="http://schemas.openxmlformats.org/officeDocument/2006/relationships/hyperlink" Target="https://data.bls.gov/timeseries/CUUR0000SEFM01" TargetMode="External" Id="rId288"/><Relationship Type="http://schemas.openxmlformats.org/officeDocument/2006/relationships/hyperlink" Target="https://data.bls.gov/timeseries/CUSR0000SEFM01" TargetMode="External" Id="rId289"/><Relationship Type="http://schemas.openxmlformats.org/officeDocument/2006/relationships/hyperlink" Target="https://data.bls.gov/timeseries/CUSR0000SEFM01" TargetMode="External" Id="rId290"/><Relationship Type="http://schemas.openxmlformats.org/officeDocument/2006/relationships/hyperlink" Target="https://data.bls.gov/timeseries/CUUR0000SS13031" TargetMode="External" Id="rId291"/><Relationship Type="http://schemas.openxmlformats.org/officeDocument/2006/relationships/hyperlink" Target="https://data.bls.gov/timeseries/CUUR0000SS13031" TargetMode="External" Id="rId292"/><Relationship Type="http://schemas.openxmlformats.org/officeDocument/2006/relationships/hyperlink" Target="https://data.bls.gov/timeseries/CUSR0000SS13031" TargetMode="External" Id="rId293"/><Relationship Type="http://schemas.openxmlformats.org/officeDocument/2006/relationships/hyperlink" Target="https://data.bls.gov/timeseries/CUSR0000SS13031" TargetMode="External" Id="rId294"/><Relationship Type="http://schemas.openxmlformats.org/officeDocument/2006/relationships/hyperlink" Target="https://data.bls.gov/timeseries/CUUR0000SS14021" TargetMode="External" Id="rId295"/><Relationship Type="http://schemas.openxmlformats.org/officeDocument/2006/relationships/hyperlink" Target="https://data.bls.gov/timeseries/CUUR0000SS14021" TargetMode="External" Id="rId296"/><Relationship Type="http://schemas.openxmlformats.org/officeDocument/2006/relationships/hyperlink" Target="https://data.bls.gov/timeseries/CUSR0000SS14021" TargetMode="External" Id="rId297"/><Relationship Type="http://schemas.openxmlformats.org/officeDocument/2006/relationships/hyperlink" Target="https://data.bls.gov/timeseries/CUSR0000SS14021" TargetMode="External" Id="rId298"/><Relationship Type="http://schemas.openxmlformats.org/officeDocument/2006/relationships/hyperlink" Target="https://data.bls.gov/timeseries/CUUR0000SEFM02" TargetMode="External" Id="rId299"/><Relationship Type="http://schemas.openxmlformats.org/officeDocument/2006/relationships/hyperlink" Target="https://data.bls.gov/timeseries/CUUR0000SEFM02" TargetMode="External" Id="rId300"/><Relationship Type="http://schemas.openxmlformats.org/officeDocument/2006/relationships/hyperlink" Target="https://data.bls.gov/timeseries/CUSR0000SEFM02" TargetMode="External" Id="rId301"/><Relationship Type="http://schemas.openxmlformats.org/officeDocument/2006/relationships/hyperlink" Target="https://data.bls.gov/timeseries/CUSR0000SEFM02" TargetMode="External" Id="rId302"/><Relationship Type="http://schemas.openxmlformats.org/officeDocument/2006/relationships/hyperlink" Target="https://data.bls.gov/timeseries/CUUR0000SS14011" TargetMode="External" Id="rId303"/><Relationship Type="http://schemas.openxmlformats.org/officeDocument/2006/relationships/hyperlink" Target="https://data.bls.gov/timeseries/CUUR0000SS14011" TargetMode="External" Id="rId304"/><Relationship Type="http://schemas.openxmlformats.org/officeDocument/2006/relationships/hyperlink" Target="https://data.bls.gov/timeseries/CUSR0000SS14011" TargetMode="External" Id="rId305"/><Relationship Type="http://schemas.openxmlformats.org/officeDocument/2006/relationships/hyperlink" Target="https://data.bls.gov/timeseries/CUSR0000SS14011" TargetMode="External" Id="rId306"/><Relationship Type="http://schemas.openxmlformats.org/officeDocument/2006/relationships/hyperlink" Target="https://data.bls.gov/timeseries/CUUR0000SEFM03" TargetMode="External" Id="rId307"/><Relationship Type="http://schemas.openxmlformats.org/officeDocument/2006/relationships/hyperlink" Target="https://data.bls.gov/timeseries/CUUR0000SEFM03" TargetMode="External" Id="rId308"/><Relationship Type="http://schemas.openxmlformats.org/officeDocument/2006/relationships/hyperlink" Target="https://data.bls.gov/timeseries/CUSR0000SEFM03" TargetMode="External" Id="rId309"/><Relationship Type="http://schemas.openxmlformats.org/officeDocument/2006/relationships/hyperlink" Target="https://data.bls.gov/timeseries/CUSR0000SEFM03" TargetMode="External" Id="rId310"/><Relationship Type="http://schemas.openxmlformats.org/officeDocument/2006/relationships/hyperlink" Target="https://data.bls.gov/timeseries/CUUR0000SS14022" TargetMode="External" Id="rId311"/><Relationship Type="http://schemas.openxmlformats.org/officeDocument/2006/relationships/hyperlink" Target="https://data.bls.gov/timeseries/CUUR0000SS14022" TargetMode="External" Id="rId312"/><Relationship Type="http://schemas.openxmlformats.org/officeDocument/2006/relationships/hyperlink" Target="https://data.bls.gov/timeseries/CUUR0000SAF114" TargetMode="External" Id="rId313"/><Relationship Type="http://schemas.openxmlformats.org/officeDocument/2006/relationships/hyperlink" Target="https://data.bls.gov/timeseries/CUUR0000SAF114" TargetMode="External" Id="rId314"/><Relationship Type="http://schemas.openxmlformats.org/officeDocument/2006/relationships/hyperlink" Target="https://data.bls.gov/timeseries/CUSR0000SAF114" TargetMode="External" Id="rId315"/><Relationship Type="http://schemas.openxmlformats.org/officeDocument/2006/relationships/hyperlink" Target="https://data.bls.gov/timeseries/CUSR0000SAF114" TargetMode="External" Id="rId316"/><Relationship Type="http://schemas.openxmlformats.org/officeDocument/2006/relationships/hyperlink" Target="https://data.bls.gov/timeseries/CUUR0000SEFN" TargetMode="External" Id="rId317"/><Relationship Type="http://schemas.openxmlformats.org/officeDocument/2006/relationships/hyperlink" Target="https://data.bls.gov/timeseries/CUUR0000SEFN" TargetMode="External" Id="rId318"/><Relationship Type="http://schemas.openxmlformats.org/officeDocument/2006/relationships/hyperlink" Target="https://data.bls.gov/timeseries/CUSR0000SEFN" TargetMode="External" Id="rId319"/><Relationship Type="http://schemas.openxmlformats.org/officeDocument/2006/relationships/hyperlink" Target="https://data.bls.gov/timeseries/CUSR0000SEFN" TargetMode="External" Id="rId320"/><Relationship Type="http://schemas.openxmlformats.org/officeDocument/2006/relationships/hyperlink" Target="https://data.bls.gov/timeseries/CUUR0000SEFN01" TargetMode="External" Id="rId321"/><Relationship Type="http://schemas.openxmlformats.org/officeDocument/2006/relationships/hyperlink" Target="https://data.bls.gov/timeseries/CUUR0000SEFN01" TargetMode="External" Id="rId322"/><Relationship Type="http://schemas.openxmlformats.org/officeDocument/2006/relationships/hyperlink" Target="https://data.bls.gov/timeseries/CUSR0000SEFN01" TargetMode="External" Id="rId323"/><Relationship Type="http://schemas.openxmlformats.org/officeDocument/2006/relationships/hyperlink" Target="https://data.bls.gov/timeseries/CUSR0000SEFN01" TargetMode="External" Id="rId324"/><Relationship Type="http://schemas.openxmlformats.org/officeDocument/2006/relationships/hyperlink" Target="https://data.bls.gov/timeseries/CUUR0000SEFN02" TargetMode="External" Id="rId325"/><Relationship Type="http://schemas.openxmlformats.org/officeDocument/2006/relationships/hyperlink" Target="https://data.bls.gov/timeseries/CUUR0000SEFN02" TargetMode="External" Id="rId326"/><Relationship Type="http://schemas.openxmlformats.org/officeDocument/2006/relationships/hyperlink" Target="https://data.bls.gov/timeseries/CUUR0000SEFN03" TargetMode="External" Id="rId327"/><Relationship Type="http://schemas.openxmlformats.org/officeDocument/2006/relationships/hyperlink" Target="https://data.bls.gov/timeseries/CUUR0000SEFN03" TargetMode="External" Id="rId328"/><Relationship Type="http://schemas.openxmlformats.org/officeDocument/2006/relationships/hyperlink" Target="https://data.bls.gov/timeseries/CUSR0000SEFN03" TargetMode="External" Id="rId329"/><Relationship Type="http://schemas.openxmlformats.org/officeDocument/2006/relationships/hyperlink" Target="https://data.bls.gov/timeseries/CUSR0000SEFN03" TargetMode="External" Id="rId330"/><Relationship Type="http://schemas.openxmlformats.org/officeDocument/2006/relationships/hyperlink" Target="https://data.bls.gov/timeseries/CUUR0000SEFP" TargetMode="External" Id="rId331"/><Relationship Type="http://schemas.openxmlformats.org/officeDocument/2006/relationships/hyperlink" Target="https://data.bls.gov/timeseries/CUUR0000SEFP" TargetMode="External" Id="rId332"/><Relationship Type="http://schemas.openxmlformats.org/officeDocument/2006/relationships/hyperlink" Target="https://data.bls.gov/timeseries/CUSR0000SEFP" TargetMode="External" Id="rId333"/><Relationship Type="http://schemas.openxmlformats.org/officeDocument/2006/relationships/hyperlink" Target="https://data.bls.gov/timeseries/CUSR0000SEFP" TargetMode="External" Id="rId334"/><Relationship Type="http://schemas.openxmlformats.org/officeDocument/2006/relationships/hyperlink" Target="https://data.bls.gov/timeseries/CUUR0000SEFP01" TargetMode="External" Id="rId335"/><Relationship Type="http://schemas.openxmlformats.org/officeDocument/2006/relationships/hyperlink" Target="https://data.bls.gov/timeseries/CUUR0000SEFP01" TargetMode="External" Id="rId336"/><Relationship Type="http://schemas.openxmlformats.org/officeDocument/2006/relationships/hyperlink" Target="https://data.bls.gov/timeseries/CUSR0000SEFP01" TargetMode="External" Id="rId337"/><Relationship Type="http://schemas.openxmlformats.org/officeDocument/2006/relationships/hyperlink" Target="https://data.bls.gov/timeseries/CUSR0000SEFP01" TargetMode="External" Id="rId338"/><Relationship Type="http://schemas.openxmlformats.org/officeDocument/2006/relationships/hyperlink" Target="https://data.bls.gov/timeseries/CUUR0000SS17031" TargetMode="External" Id="rId339"/><Relationship Type="http://schemas.openxmlformats.org/officeDocument/2006/relationships/hyperlink" Target="https://data.bls.gov/timeseries/CUUR0000SS17031" TargetMode="External" Id="rId340"/><Relationship Type="http://schemas.openxmlformats.org/officeDocument/2006/relationships/hyperlink" Target="https://data.bls.gov/timeseries/CUSR0000SS17031" TargetMode="External" Id="rId341"/><Relationship Type="http://schemas.openxmlformats.org/officeDocument/2006/relationships/hyperlink" Target="https://data.bls.gov/timeseries/CUSR0000SS17031" TargetMode="External" Id="rId342"/><Relationship Type="http://schemas.openxmlformats.org/officeDocument/2006/relationships/hyperlink" Target="https://data.bls.gov/timeseries/CUUR0000SS17032" TargetMode="External" Id="rId343"/><Relationship Type="http://schemas.openxmlformats.org/officeDocument/2006/relationships/hyperlink" Target="https://data.bls.gov/timeseries/CUUR0000SS17032" TargetMode="External" Id="rId344"/><Relationship Type="http://schemas.openxmlformats.org/officeDocument/2006/relationships/hyperlink" Target="https://data.bls.gov/timeseries/CUUR0000SEFP02" TargetMode="External" Id="rId345"/><Relationship Type="http://schemas.openxmlformats.org/officeDocument/2006/relationships/hyperlink" Target="https://data.bls.gov/timeseries/CUUR0000SEFP02" TargetMode="External" Id="rId346"/><Relationship Type="http://schemas.openxmlformats.org/officeDocument/2006/relationships/hyperlink" Target="https://data.bls.gov/timeseries/CUSR0000SEFP02" TargetMode="External" Id="rId347"/><Relationship Type="http://schemas.openxmlformats.org/officeDocument/2006/relationships/hyperlink" Target="https://data.bls.gov/timeseries/CUSR0000SEFP02" TargetMode="External" Id="rId348"/><Relationship Type="http://schemas.openxmlformats.org/officeDocument/2006/relationships/hyperlink" Target="https://data.bls.gov/timeseries/CUUR0000SAF115" TargetMode="External" Id="rId349"/><Relationship Type="http://schemas.openxmlformats.org/officeDocument/2006/relationships/hyperlink" Target="https://data.bls.gov/timeseries/CUUR0000SAF115" TargetMode="External" Id="rId350"/><Relationship Type="http://schemas.openxmlformats.org/officeDocument/2006/relationships/hyperlink" Target="https://data.bls.gov/timeseries/CUSR0000SAF115" TargetMode="External" Id="rId351"/><Relationship Type="http://schemas.openxmlformats.org/officeDocument/2006/relationships/hyperlink" Target="https://data.bls.gov/timeseries/CUSR0000SAF115" TargetMode="External" Id="rId352"/><Relationship Type="http://schemas.openxmlformats.org/officeDocument/2006/relationships/hyperlink" Target="https://data.bls.gov/timeseries/CUUR0000SEFR" TargetMode="External" Id="rId353"/><Relationship Type="http://schemas.openxmlformats.org/officeDocument/2006/relationships/hyperlink" Target="https://data.bls.gov/timeseries/CUUR0000SEFR" TargetMode="External" Id="rId354"/><Relationship Type="http://schemas.openxmlformats.org/officeDocument/2006/relationships/hyperlink" Target="https://data.bls.gov/timeseries/CUSR0000SEFR" TargetMode="External" Id="rId355"/><Relationship Type="http://schemas.openxmlformats.org/officeDocument/2006/relationships/hyperlink" Target="https://data.bls.gov/timeseries/CUSR0000SEFR" TargetMode="External" Id="rId356"/><Relationship Type="http://schemas.openxmlformats.org/officeDocument/2006/relationships/hyperlink" Target="https://data.bls.gov/timeseries/CUUR0000SEFR01" TargetMode="External" Id="rId357"/><Relationship Type="http://schemas.openxmlformats.org/officeDocument/2006/relationships/hyperlink" Target="https://data.bls.gov/timeseries/CUUR0000SEFR01" TargetMode="External" Id="rId358"/><Relationship Type="http://schemas.openxmlformats.org/officeDocument/2006/relationships/hyperlink" Target="https://data.bls.gov/timeseries/CUSR0000SEFR01" TargetMode="External" Id="rId359"/><Relationship Type="http://schemas.openxmlformats.org/officeDocument/2006/relationships/hyperlink" Target="https://data.bls.gov/timeseries/CUSR0000SEFR01" TargetMode="External" Id="rId360"/><Relationship Type="http://schemas.openxmlformats.org/officeDocument/2006/relationships/hyperlink" Target="https://data.bls.gov/timeseries/CUUR0000SEFR02" TargetMode="External" Id="rId361"/><Relationship Type="http://schemas.openxmlformats.org/officeDocument/2006/relationships/hyperlink" Target="https://data.bls.gov/timeseries/CUUR0000SEFR02" TargetMode="External" Id="rId362"/><Relationship Type="http://schemas.openxmlformats.org/officeDocument/2006/relationships/hyperlink" Target="https://data.bls.gov/timeseries/CUSR0000SEFR02" TargetMode="External" Id="rId363"/><Relationship Type="http://schemas.openxmlformats.org/officeDocument/2006/relationships/hyperlink" Target="https://data.bls.gov/timeseries/CUSR0000SEFR02" TargetMode="External" Id="rId364"/><Relationship Type="http://schemas.openxmlformats.org/officeDocument/2006/relationships/hyperlink" Target="https://data.bls.gov/timeseries/CUUR0000SEFR03" TargetMode="External" Id="rId365"/><Relationship Type="http://schemas.openxmlformats.org/officeDocument/2006/relationships/hyperlink" Target="https://data.bls.gov/timeseries/CUUR0000SEFR03" TargetMode="External" Id="rId366"/><Relationship Type="http://schemas.openxmlformats.org/officeDocument/2006/relationships/hyperlink" Target="https://data.bls.gov/timeseries/CUSR0000SEFR03" TargetMode="External" Id="rId367"/><Relationship Type="http://schemas.openxmlformats.org/officeDocument/2006/relationships/hyperlink" Target="https://data.bls.gov/timeseries/CUSR0000SEFR03" TargetMode="External" Id="rId368"/><Relationship Type="http://schemas.openxmlformats.org/officeDocument/2006/relationships/hyperlink" Target="https://data.bls.gov/timeseries/CUUR0000SEFS" TargetMode="External" Id="rId369"/><Relationship Type="http://schemas.openxmlformats.org/officeDocument/2006/relationships/hyperlink" Target="https://data.bls.gov/timeseries/CUUR0000SEFS" TargetMode="External" Id="rId370"/><Relationship Type="http://schemas.openxmlformats.org/officeDocument/2006/relationships/hyperlink" Target="https://data.bls.gov/timeseries/CUSR0000SEFS" TargetMode="External" Id="rId371"/><Relationship Type="http://schemas.openxmlformats.org/officeDocument/2006/relationships/hyperlink" Target="https://data.bls.gov/timeseries/CUSR0000SEFS" TargetMode="External" Id="rId372"/><Relationship Type="http://schemas.openxmlformats.org/officeDocument/2006/relationships/hyperlink" Target="https://data.bls.gov/timeseries/CUUR0000SEFS01" TargetMode="External" Id="rId373"/><Relationship Type="http://schemas.openxmlformats.org/officeDocument/2006/relationships/hyperlink" Target="https://data.bls.gov/timeseries/CUUR0000SEFS01" TargetMode="External" Id="rId374"/><Relationship Type="http://schemas.openxmlformats.org/officeDocument/2006/relationships/hyperlink" Target="https://data.bls.gov/timeseries/CUSR0000SEFS01" TargetMode="External" Id="rId375"/><Relationship Type="http://schemas.openxmlformats.org/officeDocument/2006/relationships/hyperlink" Target="https://data.bls.gov/timeseries/CUSR0000SEFS01" TargetMode="External" Id="rId376"/><Relationship Type="http://schemas.openxmlformats.org/officeDocument/2006/relationships/hyperlink" Target="https://data.bls.gov/timeseries/CUUR0000SS10011" TargetMode="External" Id="rId377"/><Relationship Type="http://schemas.openxmlformats.org/officeDocument/2006/relationships/hyperlink" Target="https://data.bls.gov/timeseries/CUUR0000SS10011" TargetMode="External" Id="rId378"/><Relationship Type="http://schemas.openxmlformats.org/officeDocument/2006/relationships/hyperlink" Target="https://data.bls.gov/timeseries/CUSR0000SS10011" TargetMode="External" Id="rId379"/><Relationship Type="http://schemas.openxmlformats.org/officeDocument/2006/relationships/hyperlink" Target="https://data.bls.gov/timeseries/CUSR0000SS10011" TargetMode="External" Id="rId380"/><Relationship Type="http://schemas.openxmlformats.org/officeDocument/2006/relationships/hyperlink" Target="https://data.bls.gov/timeseries/CUUR0000SS16011" TargetMode="External" Id="rId381"/><Relationship Type="http://schemas.openxmlformats.org/officeDocument/2006/relationships/hyperlink" Target="https://data.bls.gov/timeseries/CUUR0000SS16011" TargetMode="External" Id="rId382"/><Relationship Type="http://schemas.openxmlformats.org/officeDocument/2006/relationships/hyperlink" Target="https://data.bls.gov/timeseries/CUSR0000SS16011" TargetMode="External" Id="rId383"/><Relationship Type="http://schemas.openxmlformats.org/officeDocument/2006/relationships/hyperlink" Target="https://data.bls.gov/timeseries/CUSR0000SS16011" TargetMode="External" Id="rId384"/><Relationship Type="http://schemas.openxmlformats.org/officeDocument/2006/relationships/hyperlink" Target="https://data.bls.gov/timeseries/CUUR0000SEFS02" TargetMode="External" Id="rId385"/><Relationship Type="http://schemas.openxmlformats.org/officeDocument/2006/relationships/hyperlink" Target="https://data.bls.gov/timeseries/CUUR0000SEFS02" TargetMode="External" Id="rId386"/><Relationship Type="http://schemas.openxmlformats.org/officeDocument/2006/relationships/hyperlink" Target="https://data.bls.gov/timeseries/CUSR0000SEFS02" TargetMode="External" Id="rId387"/><Relationship Type="http://schemas.openxmlformats.org/officeDocument/2006/relationships/hyperlink" Target="https://data.bls.gov/timeseries/CUSR0000SEFS02" TargetMode="External" Id="rId388"/><Relationship Type="http://schemas.openxmlformats.org/officeDocument/2006/relationships/hyperlink" Target="https://data.bls.gov/timeseries/CUUR0000SEFS03" TargetMode="External" Id="rId389"/><Relationship Type="http://schemas.openxmlformats.org/officeDocument/2006/relationships/hyperlink" Target="https://data.bls.gov/timeseries/CUUR0000SEFS03" TargetMode="External" Id="rId390"/><Relationship Type="http://schemas.openxmlformats.org/officeDocument/2006/relationships/hyperlink" Target="https://data.bls.gov/timeseries/CUSR0000SEFS03" TargetMode="External" Id="rId391"/><Relationship Type="http://schemas.openxmlformats.org/officeDocument/2006/relationships/hyperlink" Target="https://data.bls.gov/timeseries/CUSR0000SEFS03" TargetMode="External" Id="rId392"/><Relationship Type="http://schemas.openxmlformats.org/officeDocument/2006/relationships/hyperlink" Target="https://data.bls.gov/timeseries/CUUR0000SS16014" TargetMode="External" Id="rId393"/><Relationship Type="http://schemas.openxmlformats.org/officeDocument/2006/relationships/hyperlink" Target="https://data.bls.gov/timeseries/CUUR0000SS16014" TargetMode="External" Id="rId394"/><Relationship Type="http://schemas.openxmlformats.org/officeDocument/2006/relationships/hyperlink" Target="https://data.bls.gov/timeseries/CUUR0000SEFT" TargetMode="External" Id="rId395"/><Relationship Type="http://schemas.openxmlformats.org/officeDocument/2006/relationships/hyperlink" Target="https://data.bls.gov/timeseries/CUUR0000SEFT" TargetMode="External" Id="rId396"/><Relationship Type="http://schemas.openxmlformats.org/officeDocument/2006/relationships/hyperlink" Target="https://data.bls.gov/timeseries/CUSR0000SEFT" TargetMode="External" Id="rId397"/><Relationship Type="http://schemas.openxmlformats.org/officeDocument/2006/relationships/hyperlink" Target="https://data.bls.gov/timeseries/CUSR0000SEFT" TargetMode="External" Id="rId398"/><Relationship Type="http://schemas.openxmlformats.org/officeDocument/2006/relationships/hyperlink" Target="https://data.bls.gov/timeseries/CUUR0000SEFT01" TargetMode="External" Id="rId399"/><Relationship Type="http://schemas.openxmlformats.org/officeDocument/2006/relationships/hyperlink" Target="https://data.bls.gov/timeseries/CUUR0000SEFT01" TargetMode="External" Id="rId400"/><Relationship Type="http://schemas.openxmlformats.org/officeDocument/2006/relationships/hyperlink" Target="https://data.bls.gov/timeseries/CUSR0000SEFT01" TargetMode="External" Id="rId401"/><Relationship Type="http://schemas.openxmlformats.org/officeDocument/2006/relationships/hyperlink" Target="https://data.bls.gov/timeseries/CUSR0000SEFT01" TargetMode="External" Id="rId402"/><Relationship Type="http://schemas.openxmlformats.org/officeDocument/2006/relationships/hyperlink" Target="https://data.bls.gov/timeseries/CUUR0000SEFT02" TargetMode="External" Id="rId403"/><Relationship Type="http://schemas.openxmlformats.org/officeDocument/2006/relationships/hyperlink" Target="https://data.bls.gov/timeseries/CUUR0000SEFT02" TargetMode="External" Id="rId404"/><Relationship Type="http://schemas.openxmlformats.org/officeDocument/2006/relationships/hyperlink" Target="https://data.bls.gov/timeseries/CUSR0000SEFT02" TargetMode="External" Id="rId405"/><Relationship Type="http://schemas.openxmlformats.org/officeDocument/2006/relationships/hyperlink" Target="https://data.bls.gov/timeseries/CUSR0000SEFT02" TargetMode="External" Id="rId406"/><Relationship Type="http://schemas.openxmlformats.org/officeDocument/2006/relationships/hyperlink" Target="https://data.bls.gov/timeseries/CUUR0000SEFT03" TargetMode="External" Id="rId407"/><Relationship Type="http://schemas.openxmlformats.org/officeDocument/2006/relationships/hyperlink" Target="https://data.bls.gov/timeseries/CUUR0000SEFT03" TargetMode="External" Id="rId408"/><Relationship Type="http://schemas.openxmlformats.org/officeDocument/2006/relationships/hyperlink" Target="https://data.bls.gov/timeseries/CUSR0000SEFT03" TargetMode="External" Id="rId409"/><Relationship Type="http://schemas.openxmlformats.org/officeDocument/2006/relationships/hyperlink" Target="https://data.bls.gov/timeseries/CUSR0000SEFT03" TargetMode="External" Id="rId410"/><Relationship Type="http://schemas.openxmlformats.org/officeDocument/2006/relationships/hyperlink" Target="https://data.bls.gov/timeseries/CUUR0000SEFT04" TargetMode="External" Id="rId411"/><Relationship Type="http://schemas.openxmlformats.org/officeDocument/2006/relationships/hyperlink" Target="https://data.bls.gov/timeseries/CUUR0000SEFT04" TargetMode="External" Id="rId412"/><Relationship Type="http://schemas.openxmlformats.org/officeDocument/2006/relationships/hyperlink" Target="https://data.bls.gov/timeseries/CUSR0000SEFT04" TargetMode="External" Id="rId413"/><Relationship Type="http://schemas.openxmlformats.org/officeDocument/2006/relationships/hyperlink" Target="https://data.bls.gov/timeseries/CUSR0000SEFT04" TargetMode="External" Id="rId414"/><Relationship Type="http://schemas.openxmlformats.org/officeDocument/2006/relationships/hyperlink" Target="https://data.bls.gov/timeseries/CUUR0000SS18041" TargetMode="External" Id="rId415"/><Relationship Type="http://schemas.openxmlformats.org/officeDocument/2006/relationships/hyperlink" Target="https://data.bls.gov/timeseries/CUUR0000SS18041" TargetMode="External" Id="rId416"/><Relationship Type="http://schemas.openxmlformats.org/officeDocument/2006/relationships/hyperlink" Target="https://data.bls.gov/timeseries/CUSR0000SS18041" TargetMode="External" Id="rId417"/><Relationship Type="http://schemas.openxmlformats.org/officeDocument/2006/relationships/hyperlink" Target="https://data.bls.gov/timeseries/CUSR0000SS18041" TargetMode="External" Id="rId418"/><Relationship Type="http://schemas.openxmlformats.org/officeDocument/2006/relationships/hyperlink" Target="https://data.bls.gov/timeseries/CUUR0000SS18042" TargetMode="External" Id="rId419"/><Relationship Type="http://schemas.openxmlformats.org/officeDocument/2006/relationships/hyperlink" Target="https://data.bls.gov/timeseries/CUUR0000SS18042" TargetMode="External" Id="rId420"/><Relationship Type="http://schemas.openxmlformats.org/officeDocument/2006/relationships/hyperlink" Target="https://data.bls.gov/timeseries/CUSR0000SS18042" TargetMode="External" Id="rId421"/><Relationship Type="http://schemas.openxmlformats.org/officeDocument/2006/relationships/hyperlink" Target="https://data.bls.gov/timeseries/CUSR0000SS18042" TargetMode="External" Id="rId422"/><Relationship Type="http://schemas.openxmlformats.org/officeDocument/2006/relationships/hyperlink" Target="https://data.bls.gov/timeseries/CUUR0000SS18043" TargetMode="External" Id="rId423"/><Relationship Type="http://schemas.openxmlformats.org/officeDocument/2006/relationships/hyperlink" Target="https://data.bls.gov/timeseries/CUUR0000SS18043" TargetMode="External" Id="rId424"/><Relationship Type="http://schemas.openxmlformats.org/officeDocument/2006/relationships/hyperlink" Target="https://data.bls.gov/timeseries/CUSR0000SS18043" TargetMode="External" Id="rId425"/><Relationship Type="http://schemas.openxmlformats.org/officeDocument/2006/relationships/hyperlink" Target="https://data.bls.gov/timeseries/CUSR0000SS18043" TargetMode="External" Id="rId426"/><Relationship Type="http://schemas.openxmlformats.org/officeDocument/2006/relationships/hyperlink" Target="https://data.bls.gov/timeseries/CUUR0000SS1804B" TargetMode="External" Id="rId427"/><Relationship Type="http://schemas.openxmlformats.org/officeDocument/2006/relationships/hyperlink" Target="https://data.bls.gov/timeseries/CUUR0000SS1804B" TargetMode="External" Id="rId428"/><Relationship Type="http://schemas.openxmlformats.org/officeDocument/2006/relationships/hyperlink" Target="https://data.bls.gov/timeseries/CUSR0000SS1804B" TargetMode="External" Id="rId429"/><Relationship Type="http://schemas.openxmlformats.org/officeDocument/2006/relationships/hyperlink" Target="https://data.bls.gov/timeseries/CUSR0000SS1804B" TargetMode="External" Id="rId430"/><Relationship Type="http://schemas.openxmlformats.org/officeDocument/2006/relationships/hyperlink" Target="https://data.bls.gov/timeseries/CUUR0000SEFT05" TargetMode="External" Id="rId431"/><Relationship Type="http://schemas.openxmlformats.org/officeDocument/2006/relationships/hyperlink" Target="https://data.bls.gov/timeseries/CUUR0000SEFT05" TargetMode="External" Id="rId432"/><Relationship Type="http://schemas.openxmlformats.org/officeDocument/2006/relationships/hyperlink" Target="https://data.bls.gov/timeseries/CUUR0000SEFT06" TargetMode="External" Id="rId433"/><Relationship Type="http://schemas.openxmlformats.org/officeDocument/2006/relationships/hyperlink" Target="https://data.bls.gov/timeseries/CUUR0000SEFT06" TargetMode="External" Id="rId434"/><Relationship Type="http://schemas.openxmlformats.org/officeDocument/2006/relationships/hyperlink" Target="https://data.bls.gov/timeseries/CUSR0000SEFT06" TargetMode="External" Id="rId435"/><Relationship Type="http://schemas.openxmlformats.org/officeDocument/2006/relationships/hyperlink" Target="https://data.bls.gov/timeseries/CUSR0000SEFT06" TargetMode="External" Id="rId436"/><Relationship Type="http://schemas.openxmlformats.org/officeDocument/2006/relationships/hyperlink" Target="https://data.bls.gov/timeseries/CUUR0000SS18064" TargetMode="External" Id="rId437"/><Relationship Type="http://schemas.openxmlformats.org/officeDocument/2006/relationships/hyperlink" Target="https://data.bls.gov/timeseries/CUUR0000SS18064" TargetMode="External" Id="rId438"/><Relationship Type="http://schemas.openxmlformats.org/officeDocument/2006/relationships/hyperlink" Target="https://data.bls.gov/timeseries/CUSR0000SS18064" TargetMode="External" Id="rId439"/><Relationship Type="http://schemas.openxmlformats.org/officeDocument/2006/relationships/hyperlink" Target="https://data.bls.gov/timeseries/CUSR0000SS18064" TargetMode="External" Id="rId440"/><Relationship Type="http://schemas.openxmlformats.org/officeDocument/2006/relationships/hyperlink" Target="https://data.bls.gov/timeseries/CUUR0000SEFV" TargetMode="External" Id="rId441"/><Relationship Type="http://schemas.openxmlformats.org/officeDocument/2006/relationships/hyperlink" Target="https://data.bls.gov/timeseries/CUUR0000SEFV" TargetMode="External" Id="rId442"/><Relationship Type="http://schemas.openxmlformats.org/officeDocument/2006/relationships/hyperlink" Target="https://data.bls.gov/timeseries/CUSR0000SEFV" TargetMode="External" Id="rId443"/><Relationship Type="http://schemas.openxmlformats.org/officeDocument/2006/relationships/hyperlink" Target="https://data.bls.gov/timeseries/CUSR0000SEFV" TargetMode="External" Id="rId444"/><Relationship Type="http://schemas.openxmlformats.org/officeDocument/2006/relationships/hyperlink" Target="https://data.bls.gov/timeseries/CUUR0000SEFV01" TargetMode="External" Id="rId445"/><Relationship Type="http://schemas.openxmlformats.org/officeDocument/2006/relationships/hyperlink" Target="https://data.bls.gov/timeseries/CUUR0000SEFV01" TargetMode="External" Id="rId446"/><Relationship Type="http://schemas.openxmlformats.org/officeDocument/2006/relationships/hyperlink" Target="https://data.bls.gov/timeseries/CUSR0000SEFV01" TargetMode="External" Id="rId447"/><Relationship Type="http://schemas.openxmlformats.org/officeDocument/2006/relationships/hyperlink" Target="https://data.bls.gov/timeseries/CUSR0000SEFV01" TargetMode="External" Id="rId448"/><Relationship Type="http://schemas.openxmlformats.org/officeDocument/2006/relationships/hyperlink" Target="https://data.bls.gov/timeseries/CUUR0000SEFV02" TargetMode="External" Id="rId449"/><Relationship Type="http://schemas.openxmlformats.org/officeDocument/2006/relationships/hyperlink" Target="https://data.bls.gov/timeseries/CUUR0000SEFV02" TargetMode="External" Id="rId450"/><Relationship Type="http://schemas.openxmlformats.org/officeDocument/2006/relationships/hyperlink" Target="https://data.bls.gov/timeseries/CUUR0000SEFV03" TargetMode="External" Id="rId451"/><Relationship Type="http://schemas.openxmlformats.org/officeDocument/2006/relationships/hyperlink" Target="https://data.bls.gov/timeseries/CUUR0000SEFV03" TargetMode="External" Id="rId452"/><Relationship Type="http://schemas.openxmlformats.org/officeDocument/2006/relationships/hyperlink" Target="https://data.bls.gov/timeseries/CUSR0000SEFV03" TargetMode="External" Id="rId453"/><Relationship Type="http://schemas.openxmlformats.org/officeDocument/2006/relationships/hyperlink" Target="https://data.bls.gov/timeseries/CUSR0000SEFV03" TargetMode="External" Id="rId454"/><Relationship Type="http://schemas.openxmlformats.org/officeDocument/2006/relationships/hyperlink" Target="https://data.bls.gov/timeseries/CUUR0000SSFV031A" TargetMode="External" Id="rId455"/><Relationship Type="http://schemas.openxmlformats.org/officeDocument/2006/relationships/hyperlink" Target="https://data.bls.gov/timeseries/CUUR0000SSFV031A" TargetMode="External" Id="rId456"/><Relationship Type="http://schemas.openxmlformats.org/officeDocument/2006/relationships/hyperlink" Target="https://data.bls.gov/timeseries/CUSR0000SSFV031A" TargetMode="External" Id="rId457"/><Relationship Type="http://schemas.openxmlformats.org/officeDocument/2006/relationships/hyperlink" Target="https://data.bls.gov/timeseries/CUSR0000SSFV031A" TargetMode="External" Id="rId458"/><Relationship Type="http://schemas.openxmlformats.org/officeDocument/2006/relationships/hyperlink" Target="https://data.bls.gov/timeseries/CUUR0000SEFV04" TargetMode="External" Id="rId459"/><Relationship Type="http://schemas.openxmlformats.org/officeDocument/2006/relationships/hyperlink" Target="https://data.bls.gov/timeseries/CUUR0000SEFV04" TargetMode="External" Id="rId460"/><Relationship Type="http://schemas.openxmlformats.org/officeDocument/2006/relationships/hyperlink" Target="https://data.bls.gov/timeseries/CUUR0000SEFV05" TargetMode="External" Id="rId461"/><Relationship Type="http://schemas.openxmlformats.org/officeDocument/2006/relationships/hyperlink" Target="https://data.bls.gov/timeseries/CUUR0000SEFV05" TargetMode="External" Id="rId462"/><Relationship Type="http://schemas.openxmlformats.org/officeDocument/2006/relationships/hyperlink" Target="https://data.bls.gov/timeseries/CUSR0000SEFV05" TargetMode="External" Id="rId463"/><Relationship Type="http://schemas.openxmlformats.org/officeDocument/2006/relationships/hyperlink" Target="https://data.bls.gov/timeseries/CUSR0000SEFV05" TargetMode="External" Id="rId464"/><Relationship Type="http://schemas.openxmlformats.org/officeDocument/2006/relationships/hyperlink" Target="https://data.bls.gov/timeseries/CUUR0000SAF116" TargetMode="External" Id="rId465"/><Relationship Type="http://schemas.openxmlformats.org/officeDocument/2006/relationships/hyperlink" Target="https://data.bls.gov/timeseries/CUUR0000SAF116" TargetMode="External" Id="rId466"/><Relationship Type="http://schemas.openxmlformats.org/officeDocument/2006/relationships/hyperlink" Target="https://data.bls.gov/timeseries/CUSR0000SAF116" TargetMode="External" Id="rId467"/><Relationship Type="http://schemas.openxmlformats.org/officeDocument/2006/relationships/hyperlink" Target="https://data.bls.gov/timeseries/CUSR0000SAF116" TargetMode="External" Id="rId468"/><Relationship Type="http://schemas.openxmlformats.org/officeDocument/2006/relationships/hyperlink" Target="https://data.bls.gov/timeseries/CUUR0000SEFW" TargetMode="External" Id="rId469"/><Relationship Type="http://schemas.openxmlformats.org/officeDocument/2006/relationships/hyperlink" Target="https://data.bls.gov/timeseries/CUUR0000SEFW" TargetMode="External" Id="rId470"/><Relationship Type="http://schemas.openxmlformats.org/officeDocument/2006/relationships/hyperlink" Target="https://data.bls.gov/timeseries/CUSR0000SEFW" TargetMode="External" Id="rId471"/><Relationship Type="http://schemas.openxmlformats.org/officeDocument/2006/relationships/hyperlink" Target="https://data.bls.gov/timeseries/CUSR0000SEFW" TargetMode="External" Id="rId472"/><Relationship Type="http://schemas.openxmlformats.org/officeDocument/2006/relationships/hyperlink" Target="https://data.bls.gov/timeseries/CUUR0000SEFW01" TargetMode="External" Id="rId473"/><Relationship Type="http://schemas.openxmlformats.org/officeDocument/2006/relationships/hyperlink" Target="https://data.bls.gov/timeseries/CUUR0000SEFW01" TargetMode="External" Id="rId474"/><Relationship Type="http://schemas.openxmlformats.org/officeDocument/2006/relationships/hyperlink" Target="https://data.bls.gov/timeseries/CUSR0000SEFW01" TargetMode="External" Id="rId475"/><Relationship Type="http://schemas.openxmlformats.org/officeDocument/2006/relationships/hyperlink" Target="https://data.bls.gov/timeseries/CUSR0000SEFW01" TargetMode="External" Id="rId476"/><Relationship Type="http://schemas.openxmlformats.org/officeDocument/2006/relationships/hyperlink" Target="https://data.bls.gov/timeseries/CUUR0000SEFW02" TargetMode="External" Id="rId477"/><Relationship Type="http://schemas.openxmlformats.org/officeDocument/2006/relationships/hyperlink" Target="https://data.bls.gov/timeseries/CUUR0000SEFW02" TargetMode="External" Id="rId478"/><Relationship Type="http://schemas.openxmlformats.org/officeDocument/2006/relationships/hyperlink" Target="https://data.bls.gov/timeseries/CUSR0000SEFW02" TargetMode="External" Id="rId479"/><Relationship Type="http://schemas.openxmlformats.org/officeDocument/2006/relationships/hyperlink" Target="https://data.bls.gov/timeseries/CUSR0000SEFW02" TargetMode="External" Id="rId480"/><Relationship Type="http://schemas.openxmlformats.org/officeDocument/2006/relationships/hyperlink" Target="https://data.bls.gov/timeseries/CUUR0000SS20021" TargetMode="External" Id="rId481"/><Relationship Type="http://schemas.openxmlformats.org/officeDocument/2006/relationships/hyperlink" Target="https://data.bls.gov/timeseries/CUUR0000SS20021" TargetMode="External" Id="rId482"/><Relationship Type="http://schemas.openxmlformats.org/officeDocument/2006/relationships/hyperlink" Target="https://data.bls.gov/timeseries/CUSR0000SS20021" TargetMode="External" Id="rId483"/><Relationship Type="http://schemas.openxmlformats.org/officeDocument/2006/relationships/hyperlink" Target="https://data.bls.gov/timeseries/CUSR0000SS20021" TargetMode="External" Id="rId484"/><Relationship Type="http://schemas.openxmlformats.org/officeDocument/2006/relationships/hyperlink" Target="https://data.bls.gov/timeseries/CUUR0000SS20022" TargetMode="External" Id="rId485"/><Relationship Type="http://schemas.openxmlformats.org/officeDocument/2006/relationships/hyperlink" Target="https://data.bls.gov/timeseries/CUUR0000SS20022" TargetMode="External" Id="rId486"/><Relationship Type="http://schemas.openxmlformats.org/officeDocument/2006/relationships/hyperlink" Target="https://data.bls.gov/timeseries/CUSR0000SS20022" TargetMode="External" Id="rId487"/><Relationship Type="http://schemas.openxmlformats.org/officeDocument/2006/relationships/hyperlink" Target="https://data.bls.gov/timeseries/CUSR0000SS20022" TargetMode="External" Id="rId488"/><Relationship Type="http://schemas.openxmlformats.org/officeDocument/2006/relationships/hyperlink" Target="https://data.bls.gov/timeseries/CUUR0000SEFW03" TargetMode="External" Id="rId489"/><Relationship Type="http://schemas.openxmlformats.org/officeDocument/2006/relationships/hyperlink" Target="https://data.bls.gov/timeseries/CUUR0000SEFW03" TargetMode="External" Id="rId490"/><Relationship Type="http://schemas.openxmlformats.org/officeDocument/2006/relationships/hyperlink" Target="https://data.bls.gov/timeseries/CUSR0000SEFW03" TargetMode="External" Id="rId491"/><Relationship Type="http://schemas.openxmlformats.org/officeDocument/2006/relationships/hyperlink" Target="https://data.bls.gov/timeseries/CUSR0000SEFW03" TargetMode="External" Id="rId492"/><Relationship Type="http://schemas.openxmlformats.org/officeDocument/2006/relationships/hyperlink" Target="https://data.bls.gov/timeseries/CUUR0000SEFX" TargetMode="External" Id="rId493"/><Relationship Type="http://schemas.openxmlformats.org/officeDocument/2006/relationships/hyperlink" Target="https://data.bls.gov/timeseries/CUUR0000SEFX" TargetMode="External" Id="rId494"/><Relationship Type="http://schemas.openxmlformats.org/officeDocument/2006/relationships/hyperlink" Target="https://data.bls.gov/timeseries/CUSR0000SEFX" TargetMode="External" Id="rId495"/><Relationship Type="http://schemas.openxmlformats.org/officeDocument/2006/relationships/hyperlink" Target="https://data.bls.gov/timeseries/CUSR0000SEFX" TargetMode="External" Id="rId496"/><Relationship Type="http://schemas.openxmlformats.org/officeDocument/2006/relationships/hyperlink" Target="https://data.bls.gov/timeseries/CUUR0000SS20051" TargetMode="External" Id="rId497"/><Relationship Type="http://schemas.openxmlformats.org/officeDocument/2006/relationships/hyperlink" Target="https://data.bls.gov/timeseries/CUUR0000SS20051" TargetMode="External" Id="rId498"/><Relationship Type="http://schemas.openxmlformats.org/officeDocument/2006/relationships/hyperlink" Target="https://data.bls.gov/timeseries/CUUR0000SS20052" TargetMode="External" Id="rId499"/><Relationship Type="http://schemas.openxmlformats.org/officeDocument/2006/relationships/hyperlink" Target="https://data.bls.gov/timeseries/CUUR0000SS20052" TargetMode="External" Id="rId500"/><Relationship Type="http://schemas.openxmlformats.org/officeDocument/2006/relationships/hyperlink" Target="https://data.bls.gov/timeseries/CUUR0000SS20053" TargetMode="External" Id="rId501"/><Relationship Type="http://schemas.openxmlformats.org/officeDocument/2006/relationships/hyperlink" Target="https://data.bls.gov/timeseries/CUUR0000SS20053" TargetMode="External" Id="rId502"/><Relationship Type="http://schemas.openxmlformats.org/officeDocument/2006/relationships/hyperlink" Target="https://data.bls.gov/timeseries/CUSR0000SS20053" TargetMode="External" Id="rId503"/><Relationship Type="http://schemas.openxmlformats.org/officeDocument/2006/relationships/hyperlink" Target="https://data.bls.gov/timeseries/CUSR0000SS20053" TargetMode="External" Id="rId504"/><Relationship Type="http://schemas.openxmlformats.org/officeDocument/2006/relationships/hyperlink" Target="https://data.bls.gov/timeseries/CUUR0000SAH" TargetMode="External" Id="rId505"/><Relationship Type="http://schemas.openxmlformats.org/officeDocument/2006/relationships/hyperlink" Target="https://data.bls.gov/timeseries/CUUR0000SAH" TargetMode="External" Id="rId506"/><Relationship Type="http://schemas.openxmlformats.org/officeDocument/2006/relationships/hyperlink" Target="https://data.bls.gov/timeseries/CUSR0000SAH" TargetMode="External" Id="rId507"/><Relationship Type="http://schemas.openxmlformats.org/officeDocument/2006/relationships/hyperlink" Target="https://data.bls.gov/timeseries/CUSR0000SAH" TargetMode="External" Id="rId508"/><Relationship Type="http://schemas.openxmlformats.org/officeDocument/2006/relationships/hyperlink" Target="https://data.bls.gov/timeseries/CUUR0000SAH1" TargetMode="External" Id="rId509"/><Relationship Type="http://schemas.openxmlformats.org/officeDocument/2006/relationships/hyperlink" Target="https://data.bls.gov/timeseries/CUUR0000SAH1" TargetMode="External" Id="rId510"/><Relationship Type="http://schemas.openxmlformats.org/officeDocument/2006/relationships/hyperlink" Target="https://data.bls.gov/timeseries/CUSR0000SAH1" TargetMode="External" Id="rId511"/><Relationship Type="http://schemas.openxmlformats.org/officeDocument/2006/relationships/hyperlink" Target="https://data.bls.gov/timeseries/CUSR0000SAH1" TargetMode="External" Id="rId512"/><Relationship Type="http://schemas.openxmlformats.org/officeDocument/2006/relationships/hyperlink" Target="https://data.bls.gov/timeseries/CUUR0000SEHA" TargetMode="External" Id="rId513"/><Relationship Type="http://schemas.openxmlformats.org/officeDocument/2006/relationships/hyperlink" Target="https://data.bls.gov/timeseries/CUUR0000SEHA" TargetMode="External" Id="rId514"/><Relationship Type="http://schemas.openxmlformats.org/officeDocument/2006/relationships/hyperlink" Target="https://data.bls.gov/timeseries/CUSR0000SEHA" TargetMode="External" Id="rId515"/><Relationship Type="http://schemas.openxmlformats.org/officeDocument/2006/relationships/hyperlink" Target="https://data.bls.gov/timeseries/CUSR0000SEHA" TargetMode="External" Id="rId516"/><Relationship Type="http://schemas.openxmlformats.org/officeDocument/2006/relationships/hyperlink" Target="https://data.bls.gov/timeseries/CUUR0000SEHB" TargetMode="External" Id="rId517"/><Relationship Type="http://schemas.openxmlformats.org/officeDocument/2006/relationships/hyperlink" Target="https://data.bls.gov/timeseries/CUUR0000SEHB" TargetMode="External" Id="rId518"/><Relationship Type="http://schemas.openxmlformats.org/officeDocument/2006/relationships/hyperlink" Target="https://data.bls.gov/timeseries/CUSR0000SEHB" TargetMode="External" Id="rId519"/><Relationship Type="http://schemas.openxmlformats.org/officeDocument/2006/relationships/hyperlink" Target="https://data.bls.gov/timeseries/CUSR0000SEHB" TargetMode="External" Id="rId520"/><Relationship Type="http://schemas.openxmlformats.org/officeDocument/2006/relationships/hyperlink" Target="https://data.bls.gov/timeseries/CUUR0000SEHB01" TargetMode="External" Id="rId521"/><Relationship Type="http://schemas.openxmlformats.org/officeDocument/2006/relationships/hyperlink" Target="https://data.bls.gov/timeseries/CUUR0000SEHB01" TargetMode="External" Id="rId522"/><Relationship Type="http://schemas.openxmlformats.org/officeDocument/2006/relationships/hyperlink" Target="https://data.bls.gov/timeseries/CUSR0000SEHB01" TargetMode="External" Id="rId523"/><Relationship Type="http://schemas.openxmlformats.org/officeDocument/2006/relationships/hyperlink" Target="https://data.bls.gov/timeseries/CUSR0000SEHB01" TargetMode="External" Id="rId524"/><Relationship Type="http://schemas.openxmlformats.org/officeDocument/2006/relationships/hyperlink" Target="https://data.bls.gov/timeseries/CUUR0000SEHB02" TargetMode="External" Id="rId525"/><Relationship Type="http://schemas.openxmlformats.org/officeDocument/2006/relationships/hyperlink" Target="https://data.bls.gov/timeseries/CUUR0000SEHB02" TargetMode="External" Id="rId526"/><Relationship Type="http://schemas.openxmlformats.org/officeDocument/2006/relationships/hyperlink" Target="https://data.bls.gov/timeseries/CUSR0000SEHB02" TargetMode="External" Id="rId527"/><Relationship Type="http://schemas.openxmlformats.org/officeDocument/2006/relationships/hyperlink" Target="https://data.bls.gov/timeseries/CUSR0000SEHB02" TargetMode="External" Id="rId528"/><Relationship Type="http://schemas.openxmlformats.org/officeDocument/2006/relationships/hyperlink" Target="https://data.bls.gov/timeseries/CUUR0000SEHC" TargetMode="External" Id="rId529"/><Relationship Type="http://schemas.openxmlformats.org/officeDocument/2006/relationships/hyperlink" Target="https://data.bls.gov/timeseries/CUUR0000SEHC" TargetMode="External" Id="rId530"/><Relationship Type="http://schemas.openxmlformats.org/officeDocument/2006/relationships/hyperlink" Target="https://data.bls.gov/timeseries/CUSR0000SEHC" TargetMode="External" Id="rId531"/><Relationship Type="http://schemas.openxmlformats.org/officeDocument/2006/relationships/hyperlink" Target="https://data.bls.gov/timeseries/CUSR0000SEHC" TargetMode="External" Id="rId532"/><Relationship Type="http://schemas.openxmlformats.org/officeDocument/2006/relationships/hyperlink" Target="https://data.bls.gov/timeseries/CUUR0000SEHC01" TargetMode="External" Id="rId533"/><Relationship Type="http://schemas.openxmlformats.org/officeDocument/2006/relationships/hyperlink" Target="https://data.bls.gov/timeseries/CUUR0000SEHC01" TargetMode="External" Id="rId534"/><Relationship Type="http://schemas.openxmlformats.org/officeDocument/2006/relationships/hyperlink" Target="https://data.bls.gov/timeseries/CUSR0000SEHC01" TargetMode="External" Id="rId535"/><Relationship Type="http://schemas.openxmlformats.org/officeDocument/2006/relationships/hyperlink" Target="https://data.bls.gov/timeseries/CUSR0000SEHC01" TargetMode="External" Id="rId536"/><Relationship Type="http://schemas.openxmlformats.org/officeDocument/2006/relationships/hyperlink" Target="https://data.bls.gov/timeseries/CUUR0000SEHD" TargetMode="External" Id="rId537"/><Relationship Type="http://schemas.openxmlformats.org/officeDocument/2006/relationships/hyperlink" Target="https://data.bls.gov/timeseries/CUUR0000SEHD" TargetMode="External" Id="rId538"/><Relationship Type="http://schemas.openxmlformats.org/officeDocument/2006/relationships/hyperlink" Target="https://data.bls.gov/timeseries/CUUR0000SAH2" TargetMode="External" Id="rId539"/><Relationship Type="http://schemas.openxmlformats.org/officeDocument/2006/relationships/hyperlink" Target="https://data.bls.gov/timeseries/CUUR0000SAH2" TargetMode="External" Id="rId540"/><Relationship Type="http://schemas.openxmlformats.org/officeDocument/2006/relationships/hyperlink" Target="https://data.bls.gov/timeseries/CUSR0000SAH2" TargetMode="External" Id="rId541"/><Relationship Type="http://schemas.openxmlformats.org/officeDocument/2006/relationships/hyperlink" Target="https://data.bls.gov/timeseries/CUSR0000SAH2" TargetMode="External" Id="rId542"/><Relationship Type="http://schemas.openxmlformats.org/officeDocument/2006/relationships/hyperlink" Target="https://data.bls.gov/timeseries/CUUR0000SAH21" TargetMode="External" Id="rId543"/><Relationship Type="http://schemas.openxmlformats.org/officeDocument/2006/relationships/hyperlink" Target="https://data.bls.gov/timeseries/CUUR0000SAH21" TargetMode="External" Id="rId544"/><Relationship Type="http://schemas.openxmlformats.org/officeDocument/2006/relationships/hyperlink" Target="https://data.bls.gov/timeseries/CUSR0000SAH21" TargetMode="External" Id="rId545"/><Relationship Type="http://schemas.openxmlformats.org/officeDocument/2006/relationships/hyperlink" Target="https://data.bls.gov/timeseries/CUSR0000SAH21" TargetMode="External" Id="rId546"/><Relationship Type="http://schemas.openxmlformats.org/officeDocument/2006/relationships/hyperlink" Target="https://data.bls.gov/timeseries/CUUR0000SEHE" TargetMode="External" Id="rId547"/><Relationship Type="http://schemas.openxmlformats.org/officeDocument/2006/relationships/hyperlink" Target="https://data.bls.gov/timeseries/CUUR0000SEHE" TargetMode="External" Id="rId548"/><Relationship Type="http://schemas.openxmlformats.org/officeDocument/2006/relationships/hyperlink" Target="https://data.bls.gov/timeseries/CUSR0000SEHE" TargetMode="External" Id="rId549"/><Relationship Type="http://schemas.openxmlformats.org/officeDocument/2006/relationships/hyperlink" Target="https://data.bls.gov/timeseries/CUSR0000SEHE" TargetMode="External" Id="rId550"/><Relationship Type="http://schemas.openxmlformats.org/officeDocument/2006/relationships/hyperlink" Target="https://data.bls.gov/timeseries/CUUR0000SEHE01" TargetMode="External" Id="rId551"/><Relationship Type="http://schemas.openxmlformats.org/officeDocument/2006/relationships/hyperlink" Target="https://data.bls.gov/timeseries/CUUR0000SEHE01" TargetMode="External" Id="rId552"/><Relationship Type="http://schemas.openxmlformats.org/officeDocument/2006/relationships/hyperlink" Target="https://data.bls.gov/timeseries/CUSR0000SEHE01" TargetMode="External" Id="rId553"/><Relationship Type="http://schemas.openxmlformats.org/officeDocument/2006/relationships/hyperlink" Target="https://data.bls.gov/timeseries/CUSR0000SEHE01" TargetMode="External" Id="rId554"/><Relationship Type="http://schemas.openxmlformats.org/officeDocument/2006/relationships/hyperlink" Target="https://data.bls.gov/timeseries/CUUR0000SEHE02" TargetMode="External" Id="rId555"/><Relationship Type="http://schemas.openxmlformats.org/officeDocument/2006/relationships/hyperlink" Target="https://data.bls.gov/timeseries/CUUR0000SEHE02" TargetMode="External" Id="rId556"/><Relationship Type="http://schemas.openxmlformats.org/officeDocument/2006/relationships/hyperlink" Target="https://data.bls.gov/timeseries/CUSR0000SEHE02" TargetMode="External" Id="rId557"/><Relationship Type="http://schemas.openxmlformats.org/officeDocument/2006/relationships/hyperlink" Target="https://data.bls.gov/timeseries/CUSR0000SEHE02" TargetMode="External" Id="rId558"/><Relationship Type="http://schemas.openxmlformats.org/officeDocument/2006/relationships/hyperlink" Target="https://data.bls.gov/timeseries/CUUR0000SEHF" TargetMode="External" Id="rId559"/><Relationship Type="http://schemas.openxmlformats.org/officeDocument/2006/relationships/hyperlink" Target="https://data.bls.gov/timeseries/CUUR0000SEHF" TargetMode="External" Id="rId560"/><Relationship Type="http://schemas.openxmlformats.org/officeDocument/2006/relationships/hyperlink" Target="https://data.bls.gov/timeseries/CUSR0000SEHF" TargetMode="External" Id="rId561"/><Relationship Type="http://schemas.openxmlformats.org/officeDocument/2006/relationships/hyperlink" Target="https://data.bls.gov/timeseries/CUSR0000SEHF" TargetMode="External" Id="rId562"/><Relationship Type="http://schemas.openxmlformats.org/officeDocument/2006/relationships/hyperlink" Target="https://data.bls.gov/timeseries/CUUR0000SEHF01" TargetMode="External" Id="rId563"/><Relationship Type="http://schemas.openxmlformats.org/officeDocument/2006/relationships/hyperlink" Target="https://data.bls.gov/timeseries/CUUR0000SEHF01" TargetMode="External" Id="rId564"/><Relationship Type="http://schemas.openxmlformats.org/officeDocument/2006/relationships/hyperlink" Target="https://data.bls.gov/timeseries/CUSR0000SEHF01" TargetMode="External" Id="rId565"/><Relationship Type="http://schemas.openxmlformats.org/officeDocument/2006/relationships/hyperlink" Target="https://data.bls.gov/timeseries/CUSR0000SEHF01" TargetMode="External" Id="rId566"/><Relationship Type="http://schemas.openxmlformats.org/officeDocument/2006/relationships/hyperlink" Target="https://data.bls.gov/timeseries/CUUR0000SEHF02" TargetMode="External" Id="rId567"/><Relationship Type="http://schemas.openxmlformats.org/officeDocument/2006/relationships/hyperlink" Target="https://data.bls.gov/timeseries/CUUR0000SEHF02" TargetMode="External" Id="rId568"/><Relationship Type="http://schemas.openxmlformats.org/officeDocument/2006/relationships/hyperlink" Target="https://data.bls.gov/timeseries/CUSR0000SEHF02" TargetMode="External" Id="rId569"/><Relationship Type="http://schemas.openxmlformats.org/officeDocument/2006/relationships/hyperlink" Target="https://data.bls.gov/timeseries/CUSR0000SEHF02" TargetMode="External" Id="rId570"/><Relationship Type="http://schemas.openxmlformats.org/officeDocument/2006/relationships/hyperlink" Target="https://data.bls.gov/timeseries/CUUR0000SEHG" TargetMode="External" Id="rId571"/><Relationship Type="http://schemas.openxmlformats.org/officeDocument/2006/relationships/hyperlink" Target="https://data.bls.gov/timeseries/CUUR0000SEHG" TargetMode="External" Id="rId572"/><Relationship Type="http://schemas.openxmlformats.org/officeDocument/2006/relationships/hyperlink" Target="https://data.bls.gov/timeseries/CUSR0000SEHG" TargetMode="External" Id="rId573"/><Relationship Type="http://schemas.openxmlformats.org/officeDocument/2006/relationships/hyperlink" Target="https://data.bls.gov/timeseries/CUSR0000SEHG" TargetMode="External" Id="rId574"/><Relationship Type="http://schemas.openxmlformats.org/officeDocument/2006/relationships/hyperlink" Target="https://data.bls.gov/timeseries/CUUR0000SEHG01" TargetMode="External" Id="rId575"/><Relationship Type="http://schemas.openxmlformats.org/officeDocument/2006/relationships/hyperlink" Target="https://data.bls.gov/timeseries/CUUR0000SEHG01" TargetMode="External" Id="rId576"/><Relationship Type="http://schemas.openxmlformats.org/officeDocument/2006/relationships/hyperlink" Target="https://data.bls.gov/timeseries/CUSR0000SEHG01" TargetMode="External" Id="rId577"/><Relationship Type="http://schemas.openxmlformats.org/officeDocument/2006/relationships/hyperlink" Target="https://data.bls.gov/timeseries/CUSR0000SEHG01" TargetMode="External" Id="rId578"/><Relationship Type="http://schemas.openxmlformats.org/officeDocument/2006/relationships/hyperlink" Target="https://data.bls.gov/timeseries/CUUR0000SEHG02" TargetMode="External" Id="rId579"/><Relationship Type="http://schemas.openxmlformats.org/officeDocument/2006/relationships/hyperlink" Target="https://data.bls.gov/timeseries/CUUR0000SEHG02" TargetMode="External" Id="rId580"/><Relationship Type="http://schemas.openxmlformats.org/officeDocument/2006/relationships/hyperlink" Target="https://data.bls.gov/timeseries/CUSR0000SEHG02" TargetMode="External" Id="rId581"/><Relationship Type="http://schemas.openxmlformats.org/officeDocument/2006/relationships/hyperlink" Target="https://data.bls.gov/timeseries/CUSR0000SEHG02" TargetMode="External" Id="rId582"/><Relationship Type="http://schemas.openxmlformats.org/officeDocument/2006/relationships/hyperlink" Target="https://data.bls.gov/timeseries/CUUR0000SAH3" TargetMode="External" Id="rId583"/><Relationship Type="http://schemas.openxmlformats.org/officeDocument/2006/relationships/hyperlink" Target="https://data.bls.gov/timeseries/CUUR0000SAH3" TargetMode="External" Id="rId584"/><Relationship Type="http://schemas.openxmlformats.org/officeDocument/2006/relationships/hyperlink" Target="https://data.bls.gov/timeseries/CUSR0000SAH3" TargetMode="External" Id="rId585"/><Relationship Type="http://schemas.openxmlformats.org/officeDocument/2006/relationships/hyperlink" Target="https://data.bls.gov/timeseries/CUSR0000SAH3" TargetMode="External" Id="rId586"/><Relationship Type="http://schemas.openxmlformats.org/officeDocument/2006/relationships/hyperlink" Target="https://data.bls.gov/timeseries/CUUR0000SEHH" TargetMode="External" Id="rId587"/><Relationship Type="http://schemas.openxmlformats.org/officeDocument/2006/relationships/hyperlink" Target="https://data.bls.gov/timeseries/CUUR0000SEHH" TargetMode="External" Id="rId588"/><Relationship Type="http://schemas.openxmlformats.org/officeDocument/2006/relationships/hyperlink" Target="https://data.bls.gov/timeseries/CUSR0000SEHH" TargetMode="External" Id="rId589"/><Relationship Type="http://schemas.openxmlformats.org/officeDocument/2006/relationships/hyperlink" Target="https://data.bls.gov/timeseries/CUSR0000SEHH" TargetMode="External" Id="rId590"/><Relationship Type="http://schemas.openxmlformats.org/officeDocument/2006/relationships/hyperlink" Target="https://data.bls.gov/timeseries/CUUR0000SEHH01" TargetMode="External" Id="rId591"/><Relationship Type="http://schemas.openxmlformats.org/officeDocument/2006/relationships/hyperlink" Target="https://data.bls.gov/timeseries/CUUR0000SEHH01" TargetMode="External" Id="rId592"/><Relationship Type="http://schemas.openxmlformats.org/officeDocument/2006/relationships/hyperlink" Target="https://data.bls.gov/timeseries/CUUR0000SEHH02" TargetMode="External" Id="rId593"/><Relationship Type="http://schemas.openxmlformats.org/officeDocument/2006/relationships/hyperlink" Target="https://data.bls.gov/timeseries/CUUR0000SEHH02" TargetMode="External" Id="rId594"/><Relationship Type="http://schemas.openxmlformats.org/officeDocument/2006/relationships/hyperlink" Target="https://data.bls.gov/timeseries/CUSR0000SEHH02" TargetMode="External" Id="rId595"/><Relationship Type="http://schemas.openxmlformats.org/officeDocument/2006/relationships/hyperlink" Target="https://data.bls.gov/timeseries/CUSR0000SEHH02" TargetMode="External" Id="rId596"/><Relationship Type="http://schemas.openxmlformats.org/officeDocument/2006/relationships/hyperlink" Target="https://data.bls.gov/timeseries/CUUR0000SEHH03" TargetMode="External" Id="rId597"/><Relationship Type="http://schemas.openxmlformats.org/officeDocument/2006/relationships/hyperlink" Target="https://data.bls.gov/timeseries/CUUR0000SEHH03" TargetMode="External" Id="rId598"/><Relationship Type="http://schemas.openxmlformats.org/officeDocument/2006/relationships/hyperlink" Target="https://data.bls.gov/timeseries/CUSR0000SEHH03" TargetMode="External" Id="rId599"/><Relationship Type="http://schemas.openxmlformats.org/officeDocument/2006/relationships/hyperlink" Target="https://data.bls.gov/timeseries/CUSR0000SEHH03" TargetMode="External" Id="rId600"/><Relationship Type="http://schemas.openxmlformats.org/officeDocument/2006/relationships/hyperlink" Target="https://data.bls.gov/timeseries/CUUR0000SEHJ" TargetMode="External" Id="rId601"/><Relationship Type="http://schemas.openxmlformats.org/officeDocument/2006/relationships/hyperlink" Target="https://data.bls.gov/timeseries/CUUR0000SEHJ" TargetMode="External" Id="rId602"/><Relationship Type="http://schemas.openxmlformats.org/officeDocument/2006/relationships/hyperlink" Target="https://data.bls.gov/timeseries/CUSR0000SEHJ" TargetMode="External" Id="rId603"/><Relationship Type="http://schemas.openxmlformats.org/officeDocument/2006/relationships/hyperlink" Target="https://data.bls.gov/timeseries/CUSR0000SEHJ" TargetMode="External" Id="rId604"/><Relationship Type="http://schemas.openxmlformats.org/officeDocument/2006/relationships/hyperlink" Target="https://data.bls.gov/timeseries/CUUR0000SEHJ01" TargetMode="External" Id="rId605"/><Relationship Type="http://schemas.openxmlformats.org/officeDocument/2006/relationships/hyperlink" Target="https://data.bls.gov/timeseries/CUUR0000SEHJ01" TargetMode="External" Id="rId606"/><Relationship Type="http://schemas.openxmlformats.org/officeDocument/2006/relationships/hyperlink" Target="https://data.bls.gov/timeseries/CUUR0000SEHJ02" TargetMode="External" Id="rId607"/><Relationship Type="http://schemas.openxmlformats.org/officeDocument/2006/relationships/hyperlink" Target="https://data.bls.gov/timeseries/CUUR0000SEHJ02" TargetMode="External" Id="rId608"/><Relationship Type="http://schemas.openxmlformats.org/officeDocument/2006/relationships/hyperlink" Target="https://data.bls.gov/timeseries/CUUR0000SEHJ03" TargetMode="External" Id="rId609"/><Relationship Type="http://schemas.openxmlformats.org/officeDocument/2006/relationships/hyperlink" Target="https://data.bls.gov/timeseries/CUUR0000SEHJ03" TargetMode="External" Id="rId610"/><Relationship Type="http://schemas.openxmlformats.org/officeDocument/2006/relationships/hyperlink" Target="https://data.bls.gov/timeseries/CUSR0000SEHJ03" TargetMode="External" Id="rId611"/><Relationship Type="http://schemas.openxmlformats.org/officeDocument/2006/relationships/hyperlink" Target="https://data.bls.gov/timeseries/CUSR0000SEHJ03" TargetMode="External" Id="rId612"/><Relationship Type="http://schemas.openxmlformats.org/officeDocument/2006/relationships/hyperlink" Target="https://data.bls.gov/timeseries/CUUR0000SSHJ031" TargetMode="External" Id="rId613"/><Relationship Type="http://schemas.openxmlformats.org/officeDocument/2006/relationships/hyperlink" Target="https://data.bls.gov/timeseries/CUUR0000SSHJ031" TargetMode="External" Id="rId614"/><Relationship Type="http://schemas.openxmlformats.org/officeDocument/2006/relationships/hyperlink" Target="https://data.bls.gov/timeseries/CUUR0000SEHK" TargetMode="External" Id="rId615"/><Relationship Type="http://schemas.openxmlformats.org/officeDocument/2006/relationships/hyperlink" Target="https://data.bls.gov/timeseries/CUUR0000SEHK" TargetMode="External" Id="rId616"/><Relationship Type="http://schemas.openxmlformats.org/officeDocument/2006/relationships/hyperlink" Target="https://data.bls.gov/timeseries/CUSR0000SEHK" TargetMode="External" Id="rId617"/><Relationship Type="http://schemas.openxmlformats.org/officeDocument/2006/relationships/hyperlink" Target="https://data.bls.gov/timeseries/CUSR0000SEHK" TargetMode="External" Id="rId618"/><Relationship Type="http://schemas.openxmlformats.org/officeDocument/2006/relationships/hyperlink" Target="https://data.bls.gov/timeseries/CUUR0000SEHK01" TargetMode="External" Id="rId619"/><Relationship Type="http://schemas.openxmlformats.org/officeDocument/2006/relationships/hyperlink" Target="https://data.bls.gov/timeseries/CUUR0000SEHK01" TargetMode="External" Id="rId620"/><Relationship Type="http://schemas.openxmlformats.org/officeDocument/2006/relationships/hyperlink" Target="https://data.bls.gov/timeseries/CUSR0000SEHK01" TargetMode="External" Id="rId621"/><Relationship Type="http://schemas.openxmlformats.org/officeDocument/2006/relationships/hyperlink" Target="https://data.bls.gov/timeseries/CUSR0000SEHK01" TargetMode="External" Id="rId622"/><Relationship Type="http://schemas.openxmlformats.org/officeDocument/2006/relationships/hyperlink" Target="https://data.bls.gov/timeseries/CUUR0000SS30021" TargetMode="External" Id="rId623"/><Relationship Type="http://schemas.openxmlformats.org/officeDocument/2006/relationships/hyperlink" Target="https://data.bls.gov/timeseries/CUUR0000SS30021" TargetMode="External" Id="rId624"/><Relationship Type="http://schemas.openxmlformats.org/officeDocument/2006/relationships/hyperlink" Target="https://data.bls.gov/timeseries/CUSR0000SS30021" TargetMode="External" Id="rId625"/><Relationship Type="http://schemas.openxmlformats.org/officeDocument/2006/relationships/hyperlink" Target="https://data.bls.gov/timeseries/CUSR0000SS30021" TargetMode="External" Id="rId626"/><Relationship Type="http://schemas.openxmlformats.org/officeDocument/2006/relationships/hyperlink" Target="https://data.bls.gov/timeseries/CUUR0000SEHK02" TargetMode="External" Id="rId627"/><Relationship Type="http://schemas.openxmlformats.org/officeDocument/2006/relationships/hyperlink" Target="https://data.bls.gov/timeseries/CUUR0000SEHK02" TargetMode="External" Id="rId628"/><Relationship Type="http://schemas.openxmlformats.org/officeDocument/2006/relationships/hyperlink" Target="https://data.bls.gov/timeseries/CUSR0000SEHK02" TargetMode="External" Id="rId629"/><Relationship Type="http://schemas.openxmlformats.org/officeDocument/2006/relationships/hyperlink" Target="https://data.bls.gov/timeseries/CUSR0000SEHK02" TargetMode="External" Id="rId630"/><Relationship Type="http://schemas.openxmlformats.org/officeDocument/2006/relationships/hyperlink" Target="https://data.bls.gov/timeseries/CUUR0000SEHL" TargetMode="External" Id="rId631"/><Relationship Type="http://schemas.openxmlformats.org/officeDocument/2006/relationships/hyperlink" Target="https://data.bls.gov/timeseries/CUUR0000SEHL" TargetMode="External" Id="rId632"/><Relationship Type="http://schemas.openxmlformats.org/officeDocument/2006/relationships/hyperlink" Target="https://data.bls.gov/timeseries/CUSR0000SEHL" TargetMode="External" Id="rId633"/><Relationship Type="http://schemas.openxmlformats.org/officeDocument/2006/relationships/hyperlink" Target="https://data.bls.gov/timeseries/CUSR0000SEHL" TargetMode="External" Id="rId634"/><Relationship Type="http://schemas.openxmlformats.org/officeDocument/2006/relationships/hyperlink" Target="https://data.bls.gov/timeseries/CUUR0000SEHL01" TargetMode="External" Id="rId635"/><Relationship Type="http://schemas.openxmlformats.org/officeDocument/2006/relationships/hyperlink" Target="https://data.bls.gov/timeseries/CUUR0000SEHL01" TargetMode="External" Id="rId636"/><Relationship Type="http://schemas.openxmlformats.org/officeDocument/2006/relationships/hyperlink" Target="https://data.bls.gov/timeseries/CUUR0000SEHL02" TargetMode="External" Id="rId637"/><Relationship Type="http://schemas.openxmlformats.org/officeDocument/2006/relationships/hyperlink" Target="https://data.bls.gov/timeseries/CUUR0000SEHL02" TargetMode="External" Id="rId638"/><Relationship Type="http://schemas.openxmlformats.org/officeDocument/2006/relationships/hyperlink" Target="https://data.bls.gov/timeseries/CUSR0000SEHL02" TargetMode="External" Id="rId639"/><Relationship Type="http://schemas.openxmlformats.org/officeDocument/2006/relationships/hyperlink" Target="https://data.bls.gov/timeseries/CUSR0000SEHL02" TargetMode="External" Id="rId640"/><Relationship Type="http://schemas.openxmlformats.org/officeDocument/2006/relationships/hyperlink" Target="https://data.bls.gov/timeseries/CUUR0000SEHL03" TargetMode="External" Id="rId641"/><Relationship Type="http://schemas.openxmlformats.org/officeDocument/2006/relationships/hyperlink" Target="https://data.bls.gov/timeseries/CUUR0000SEHL03" TargetMode="External" Id="rId642"/><Relationship Type="http://schemas.openxmlformats.org/officeDocument/2006/relationships/hyperlink" Target="https://data.bls.gov/timeseries/CUUR0000SEHL04" TargetMode="External" Id="rId643"/><Relationship Type="http://schemas.openxmlformats.org/officeDocument/2006/relationships/hyperlink" Target="https://data.bls.gov/timeseries/CUUR0000SEHL04" TargetMode="External" Id="rId644"/><Relationship Type="http://schemas.openxmlformats.org/officeDocument/2006/relationships/hyperlink" Target="https://data.bls.gov/timeseries/CUSR0000SEHL04" TargetMode="External" Id="rId645"/><Relationship Type="http://schemas.openxmlformats.org/officeDocument/2006/relationships/hyperlink" Target="https://data.bls.gov/timeseries/CUSR0000SEHL04" TargetMode="External" Id="rId646"/><Relationship Type="http://schemas.openxmlformats.org/officeDocument/2006/relationships/hyperlink" Target="https://data.bls.gov/timeseries/CUUR0000SEHM" TargetMode="External" Id="rId647"/><Relationship Type="http://schemas.openxmlformats.org/officeDocument/2006/relationships/hyperlink" Target="https://data.bls.gov/timeseries/CUUR0000SEHM" TargetMode="External" Id="rId648"/><Relationship Type="http://schemas.openxmlformats.org/officeDocument/2006/relationships/hyperlink" Target="https://data.bls.gov/timeseries/CUSR0000SEHM" TargetMode="External" Id="rId649"/><Relationship Type="http://schemas.openxmlformats.org/officeDocument/2006/relationships/hyperlink" Target="https://data.bls.gov/timeseries/CUSR0000SEHM" TargetMode="External" Id="rId650"/><Relationship Type="http://schemas.openxmlformats.org/officeDocument/2006/relationships/hyperlink" Target="https://data.bls.gov/timeseries/CUUR0000SEHM01" TargetMode="External" Id="rId651"/><Relationship Type="http://schemas.openxmlformats.org/officeDocument/2006/relationships/hyperlink" Target="https://data.bls.gov/timeseries/CUUR0000SEHM01" TargetMode="External" Id="rId652"/><Relationship Type="http://schemas.openxmlformats.org/officeDocument/2006/relationships/hyperlink" Target="https://data.bls.gov/timeseries/CUSR0000SEHM01" TargetMode="External" Id="rId653"/><Relationship Type="http://schemas.openxmlformats.org/officeDocument/2006/relationships/hyperlink" Target="https://data.bls.gov/timeseries/CUSR0000SEHM01" TargetMode="External" Id="rId654"/><Relationship Type="http://schemas.openxmlformats.org/officeDocument/2006/relationships/hyperlink" Target="https://data.bls.gov/timeseries/CUUR0000SEHM02" TargetMode="External" Id="rId655"/><Relationship Type="http://schemas.openxmlformats.org/officeDocument/2006/relationships/hyperlink" Target="https://data.bls.gov/timeseries/CUUR0000SEHM02" TargetMode="External" Id="rId656"/><Relationship Type="http://schemas.openxmlformats.org/officeDocument/2006/relationships/hyperlink" Target="https://data.bls.gov/timeseries/CUSR0000SEHM02" TargetMode="External" Id="rId657"/><Relationship Type="http://schemas.openxmlformats.org/officeDocument/2006/relationships/hyperlink" Target="https://data.bls.gov/timeseries/CUSR0000SEHM02" TargetMode="External" Id="rId658"/><Relationship Type="http://schemas.openxmlformats.org/officeDocument/2006/relationships/hyperlink" Target="https://data.bls.gov/timeseries/CUUR0000SEHN" TargetMode="External" Id="rId659"/><Relationship Type="http://schemas.openxmlformats.org/officeDocument/2006/relationships/hyperlink" Target="https://data.bls.gov/timeseries/CUUR0000SEHN" TargetMode="External" Id="rId660"/><Relationship Type="http://schemas.openxmlformats.org/officeDocument/2006/relationships/hyperlink" Target="https://data.bls.gov/timeseries/CUSR0000SEHN" TargetMode="External" Id="rId661"/><Relationship Type="http://schemas.openxmlformats.org/officeDocument/2006/relationships/hyperlink" Target="https://data.bls.gov/timeseries/CUSR0000SEHN" TargetMode="External" Id="rId662"/><Relationship Type="http://schemas.openxmlformats.org/officeDocument/2006/relationships/hyperlink" Target="https://data.bls.gov/timeseries/CUUR0000SEHN01" TargetMode="External" Id="rId663"/><Relationship Type="http://schemas.openxmlformats.org/officeDocument/2006/relationships/hyperlink" Target="https://data.bls.gov/timeseries/CUUR0000SEHN01" TargetMode="External" Id="rId664"/><Relationship Type="http://schemas.openxmlformats.org/officeDocument/2006/relationships/hyperlink" Target="https://data.bls.gov/timeseries/CUSR0000SEHN01" TargetMode="External" Id="rId665"/><Relationship Type="http://schemas.openxmlformats.org/officeDocument/2006/relationships/hyperlink" Target="https://data.bls.gov/timeseries/CUSR0000SEHN01" TargetMode="External" Id="rId666"/><Relationship Type="http://schemas.openxmlformats.org/officeDocument/2006/relationships/hyperlink" Target="https://data.bls.gov/timeseries/CUUR0000SEHN02" TargetMode="External" Id="rId667"/><Relationship Type="http://schemas.openxmlformats.org/officeDocument/2006/relationships/hyperlink" Target="https://data.bls.gov/timeseries/CUUR0000SEHN02" TargetMode="External" Id="rId668"/><Relationship Type="http://schemas.openxmlformats.org/officeDocument/2006/relationships/hyperlink" Target="https://data.bls.gov/timeseries/CUUR0000SEHN03" TargetMode="External" Id="rId669"/><Relationship Type="http://schemas.openxmlformats.org/officeDocument/2006/relationships/hyperlink" Target="https://data.bls.gov/timeseries/CUUR0000SEHN03" TargetMode="External" Id="rId670"/><Relationship Type="http://schemas.openxmlformats.org/officeDocument/2006/relationships/hyperlink" Target="https://data.bls.gov/timeseries/CUSR0000SEHN03" TargetMode="External" Id="rId671"/><Relationship Type="http://schemas.openxmlformats.org/officeDocument/2006/relationships/hyperlink" Target="https://data.bls.gov/timeseries/CUSR0000SEHN03" TargetMode="External" Id="rId672"/><Relationship Type="http://schemas.openxmlformats.org/officeDocument/2006/relationships/hyperlink" Target="https://data.bls.gov/timeseries/CUUR0000SEHP" TargetMode="External" Id="rId673"/><Relationship Type="http://schemas.openxmlformats.org/officeDocument/2006/relationships/hyperlink" Target="https://data.bls.gov/timeseries/CUUR0000SEHP" TargetMode="External" Id="rId674"/><Relationship Type="http://schemas.openxmlformats.org/officeDocument/2006/relationships/hyperlink" Target="https://data.bls.gov/timeseries/CUUR0000SEHP01" TargetMode="External" Id="rId675"/><Relationship Type="http://schemas.openxmlformats.org/officeDocument/2006/relationships/hyperlink" Target="https://data.bls.gov/timeseries/CUUR0000SEHP01" TargetMode="External" Id="rId676"/><Relationship Type="http://schemas.openxmlformats.org/officeDocument/2006/relationships/hyperlink" Target="https://data.bls.gov/timeseries/CUUR0000SEHP02" TargetMode="External" Id="rId677"/><Relationship Type="http://schemas.openxmlformats.org/officeDocument/2006/relationships/hyperlink" Target="https://data.bls.gov/timeseries/CUUR0000SEHP02" TargetMode="External" Id="rId678"/><Relationship Type="http://schemas.openxmlformats.org/officeDocument/2006/relationships/hyperlink" Target="https://data.bls.gov/timeseries/CUUR0000SEHP03" TargetMode="External" Id="rId679"/><Relationship Type="http://schemas.openxmlformats.org/officeDocument/2006/relationships/hyperlink" Target="https://data.bls.gov/timeseries/CUUR0000SEHP03" TargetMode="External" Id="rId680"/><Relationship Type="http://schemas.openxmlformats.org/officeDocument/2006/relationships/hyperlink" Target="https://data.bls.gov/timeseries/CUSR0000SEHP03" TargetMode="External" Id="rId681"/><Relationship Type="http://schemas.openxmlformats.org/officeDocument/2006/relationships/hyperlink" Target="https://data.bls.gov/timeseries/CUSR0000SEHP03" TargetMode="External" Id="rId682"/><Relationship Type="http://schemas.openxmlformats.org/officeDocument/2006/relationships/hyperlink" Target="https://data.bls.gov/timeseries/CUUR0000SEHP04" TargetMode="External" Id="rId683"/><Relationship Type="http://schemas.openxmlformats.org/officeDocument/2006/relationships/hyperlink" Target="https://data.bls.gov/timeseries/CUUR0000SEHP04" TargetMode="External" Id="rId684"/><Relationship Type="http://schemas.openxmlformats.org/officeDocument/2006/relationships/hyperlink" Target="https://data.bls.gov/timeseries/CUUR0000SAA" TargetMode="External" Id="rId685"/><Relationship Type="http://schemas.openxmlformats.org/officeDocument/2006/relationships/hyperlink" Target="https://data.bls.gov/timeseries/CUUR0000SAA" TargetMode="External" Id="rId686"/><Relationship Type="http://schemas.openxmlformats.org/officeDocument/2006/relationships/hyperlink" Target="https://data.bls.gov/timeseries/CUSR0000SAA" TargetMode="External" Id="rId687"/><Relationship Type="http://schemas.openxmlformats.org/officeDocument/2006/relationships/hyperlink" Target="https://data.bls.gov/timeseries/CUSR0000SAA" TargetMode="External" Id="rId688"/><Relationship Type="http://schemas.openxmlformats.org/officeDocument/2006/relationships/hyperlink" Target="https://data.bls.gov/timeseries/CUUR0000SAA1" TargetMode="External" Id="rId689"/><Relationship Type="http://schemas.openxmlformats.org/officeDocument/2006/relationships/hyperlink" Target="https://data.bls.gov/timeseries/CUUR0000SAA1" TargetMode="External" Id="rId690"/><Relationship Type="http://schemas.openxmlformats.org/officeDocument/2006/relationships/hyperlink" Target="https://data.bls.gov/timeseries/CUSR0000SAA1" TargetMode="External" Id="rId691"/><Relationship Type="http://schemas.openxmlformats.org/officeDocument/2006/relationships/hyperlink" Target="https://data.bls.gov/timeseries/CUSR0000SAA1" TargetMode="External" Id="rId692"/><Relationship Type="http://schemas.openxmlformats.org/officeDocument/2006/relationships/hyperlink" Target="https://data.bls.gov/timeseries/CUUR0000SEAA" TargetMode="External" Id="rId693"/><Relationship Type="http://schemas.openxmlformats.org/officeDocument/2006/relationships/hyperlink" Target="https://data.bls.gov/timeseries/CUUR0000SEAA" TargetMode="External" Id="rId694"/><Relationship Type="http://schemas.openxmlformats.org/officeDocument/2006/relationships/hyperlink" Target="https://data.bls.gov/timeseries/CUSR0000SEAA" TargetMode="External" Id="rId695"/><Relationship Type="http://schemas.openxmlformats.org/officeDocument/2006/relationships/hyperlink" Target="https://data.bls.gov/timeseries/CUSR0000SEAA" TargetMode="External" Id="rId696"/><Relationship Type="http://schemas.openxmlformats.org/officeDocument/2006/relationships/hyperlink" Target="https://data.bls.gov/timeseries/CUUR0000SEAA01" TargetMode="External" Id="rId697"/><Relationship Type="http://schemas.openxmlformats.org/officeDocument/2006/relationships/hyperlink" Target="https://data.bls.gov/timeseries/CUUR0000SEAA01" TargetMode="External" Id="rId698"/><Relationship Type="http://schemas.openxmlformats.org/officeDocument/2006/relationships/hyperlink" Target="https://data.bls.gov/timeseries/CUSR0000SEAA01" TargetMode="External" Id="rId699"/><Relationship Type="http://schemas.openxmlformats.org/officeDocument/2006/relationships/hyperlink" Target="https://data.bls.gov/timeseries/CUSR0000SEAA01" TargetMode="External" Id="rId700"/><Relationship Type="http://schemas.openxmlformats.org/officeDocument/2006/relationships/hyperlink" Target="https://data.bls.gov/timeseries/CUUR0000SEAA02" TargetMode="External" Id="rId701"/><Relationship Type="http://schemas.openxmlformats.org/officeDocument/2006/relationships/hyperlink" Target="https://data.bls.gov/timeseries/CUUR0000SEAA02" TargetMode="External" Id="rId702"/><Relationship Type="http://schemas.openxmlformats.org/officeDocument/2006/relationships/hyperlink" Target="https://data.bls.gov/timeseries/CUSR0000SEAA02" TargetMode="External" Id="rId703"/><Relationship Type="http://schemas.openxmlformats.org/officeDocument/2006/relationships/hyperlink" Target="https://data.bls.gov/timeseries/CUSR0000SEAA02" TargetMode="External" Id="rId704"/><Relationship Type="http://schemas.openxmlformats.org/officeDocument/2006/relationships/hyperlink" Target="https://data.bls.gov/timeseries/CUUR0000SEAA03" TargetMode="External" Id="rId705"/><Relationship Type="http://schemas.openxmlformats.org/officeDocument/2006/relationships/hyperlink" Target="https://data.bls.gov/timeseries/CUUR0000SEAA03" TargetMode="External" Id="rId706"/><Relationship Type="http://schemas.openxmlformats.org/officeDocument/2006/relationships/hyperlink" Target="https://data.bls.gov/timeseries/CUSR0000SEAA03" TargetMode="External" Id="rId707"/><Relationship Type="http://schemas.openxmlformats.org/officeDocument/2006/relationships/hyperlink" Target="https://data.bls.gov/timeseries/CUSR0000SEAA03" TargetMode="External" Id="rId708"/><Relationship Type="http://schemas.openxmlformats.org/officeDocument/2006/relationships/hyperlink" Target="https://data.bls.gov/timeseries/CUUR0000SEAA04" TargetMode="External" Id="rId709"/><Relationship Type="http://schemas.openxmlformats.org/officeDocument/2006/relationships/hyperlink" Target="https://data.bls.gov/timeseries/CUUR0000SEAA04" TargetMode="External" Id="rId710"/><Relationship Type="http://schemas.openxmlformats.org/officeDocument/2006/relationships/hyperlink" Target="https://data.bls.gov/timeseries/CUSR0000SEAA04" TargetMode="External" Id="rId711"/><Relationship Type="http://schemas.openxmlformats.org/officeDocument/2006/relationships/hyperlink" Target="https://data.bls.gov/timeseries/CUSR0000SEAA04" TargetMode="External" Id="rId712"/><Relationship Type="http://schemas.openxmlformats.org/officeDocument/2006/relationships/hyperlink" Target="https://data.bls.gov/timeseries/CUUR0000SEAB" TargetMode="External" Id="rId713"/><Relationship Type="http://schemas.openxmlformats.org/officeDocument/2006/relationships/hyperlink" Target="https://data.bls.gov/timeseries/CUUR0000SEAB" TargetMode="External" Id="rId714"/><Relationship Type="http://schemas.openxmlformats.org/officeDocument/2006/relationships/hyperlink" Target="https://data.bls.gov/timeseries/CUSR0000SEAB" TargetMode="External" Id="rId715"/><Relationship Type="http://schemas.openxmlformats.org/officeDocument/2006/relationships/hyperlink" Target="https://data.bls.gov/timeseries/CUSR0000SEAB" TargetMode="External" Id="rId716"/><Relationship Type="http://schemas.openxmlformats.org/officeDocument/2006/relationships/hyperlink" Target="https://data.bls.gov/timeseries/CUUR0000SAA2" TargetMode="External" Id="rId717"/><Relationship Type="http://schemas.openxmlformats.org/officeDocument/2006/relationships/hyperlink" Target="https://data.bls.gov/timeseries/CUUR0000SAA2" TargetMode="External" Id="rId718"/><Relationship Type="http://schemas.openxmlformats.org/officeDocument/2006/relationships/hyperlink" Target="https://data.bls.gov/timeseries/CUSR0000SAA2" TargetMode="External" Id="rId719"/><Relationship Type="http://schemas.openxmlformats.org/officeDocument/2006/relationships/hyperlink" Target="https://data.bls.gov/timeseries/CUSR0000SAA2" TargetMode="External" Id="rId720"/><Relationship Type="http://schemas.openxmlformats.org/officeDocument/2006/relationships/hyperlink" Target="https://data.bls.gov/timeseries/CUUR0000SEAC" TargetMode="External" Id="rId721"/><Relationship Type="http://schemas.openxmlformats.org/officeDocument/2006/relationships/hyperlink" Target="https://data.bls.gov/timeseries/CUUR0000SEAC" TargetMode="External" Id="rId722"/><Relationship Type="http://schemas.openxmlformats.org/officeDocument/2006/relationships/hyperlink" Target="https://data.bls.gov/timeseries/CUSR0000SEAC" TargetMode="External" Id="rId723"/><Relationship Type="http://schemas.openxmlformats.org/officeDocument/2006/relationships/hyperlink" Target="https://data.bls.gov/timeseries/CUSR0000SEAC" TargetMode="External" Id="rId724"/><Relationship Type="http://schemas.openxmlformats.org/officeDocument/2006/relationships/hyperlink" Target="https://data.bls.gov/timeseries/CUUR0000SEAC01" TargetMode="External" Id="rId725"/><Relationship Type="http://schemas.openxmlformats.org/officeDocument/2006/relationships/hyperlink" Target="https://data.bls.gov/timeseries/CUUR0000SEAC01" TargetMode="External" Id="rId726"/><Relationship Type="http://schemas.openxmlformats.org/officeDocument/2006/relationships/hyperlink" Target="https://data.bls.gov/timeseries/CUSR0000SEAC01" TargetMode="External" Id="rId727"/><Relationship Type="http://schemas.openxmlformats.org/officeDocument/2006/relationships/hyperlink" Target="https://data.bls.gov/timeseries/CUSR0000SEAC01" TargetMode="External" Id="rId728"/><Relationship Type="http://schemas.openxmlformats.org/officeDocument/2006/relationships/hyperlink" Target="https://data.bls.gov/timeseries/CUUR0000SEAC02" TargetMode="External" Id="rId729"/><Relationship Type="http://schemas.openxmlformats.org/officeDocument/2006/relationships/hyperlink" Target="https://data.bls.gov/timeseries/CUUR0000SEAC02" TargetMode="External" Id="rId730"/><Relationship Type="http://schemas.openxmlformats.org/officeDocument/2006/relationships/hyperlink" Target="https://data.bls.gov/timeseries/CUSR0000SEAC02" TargetMode="External" Id="rId731"/><Relationship Type="http://schemas.openxmlformats.org/officeDocument/2006/relationships/hyperlink" Target="https://data.bls.gov/timeseries/CUSR0000SEAC02" TargetMode="External" Id="rId732"/><Relationship Type="http://schemas.openxmlformats.org/officeDocument/2006/relationships/hyperlink" Target="https://data.bls.gov/timeseries/CUUR0000SEAC03" TargetMode="External" Id="rId733"/><Relationship Type="http://schemas.openxmlformats.org/officeDocument/2006/relationships/hyperlink" Target="https://data.bls.gov/timeseries/CUUR0000SEAC03" TargetMode="External" Id="rId734"/><Relationship Type="http://schemas.openxmlformats.org/officeDocument/2006/relationships/hyperlink" Target="https://data.bls.gov/timeseries/CUSR0000SEAC03" TargetMode="External" Id="rId735"/><Relationship Type="http://schemas.openxmlformats.org/officeDocument/2006/relationships/hyperlink" Target="https://data.bls.gov/timeseries/CUSR0000SEAC03" TargetMode="External" Id="rId736"/><Relationship Type="http://schemas.openxmlformats.org/officeDocument/2006/relationships/hyperlink" Target="https://data.bls.gov/timeseries/CUUR0000SEAC04" TargetMode="External" Id="rId737"/><Relationship Type="http://schemas.openxmlformats.org/officeDocument/2006/relationships/hyperlink" Target="https://data.bls.gov/timeseries/CUUR0000SEAC04" TargetMode="External" Id="rId738"/><Relationship Type="http://schemas.openxmlformats.org/officeDocument/2006/relationships/hyperlink" Target="https://data.bls.gov/timeseries/CUSR0000SEAC04" TargetMode="External" Id="rId739"/><Relationship Type="http://schemas.openxmlformats.org/officeDocument/2006/relationships/hyperlink" Target="https://data.bls.gov/timeseries/CUSR0000SEAC04" TargetMode="External" Id="rId740"/><Relationship Type="http://schemas.openxmlformats.org/officeDocument/2006/relationships/hyperlink" Target="https://data.bls.gov/timeseries/CUUR0000SEAD" TargetMode="External" Id="rId741"/><Relationship Type="http://schemas.openxmlformats.org/officeDocument/2006/relationships/hyperlink" Target="https://data.bls.gov/timeseries/CUUR0000SEAD" TargetMode="External" Id="rId742"/><Relationship Type="http://schemas.openxmlformats.org/officeDocument/2006/relationships/hyperlink" Target="https://data.bls.gov/timeseries/CUSR0000SEAD" TargetMode="External" Id="rId743"/><Relationship Type="http://schemas.openxmlformats.org/officeDocument/2006/relationships/hyperlink" Target="https://data.bls.gov/timeseries/CUSR0000SEAD" TargetMode="External" Id="rId744"/><Relationship Type="http://schemas.openxmlformats.org/officeDocument/2006/relationships/hyperlink" Target="https://data.bls.gov/timeseries/CUUR0000SEAE" TargetMode="External" Id="rId745"/><Relationship Type="http://schemas.openxmlformats.org/officeDocument/2006/relationships/hyperlink" Target="https://data.bls.gov/timeseries/CUUR0000SEAE" TargetMode="External" Id="rId746"/><Relationship Type="http://schemas.openxmlformats.org/officeDocument/2006/relationships/hyperlink" Target="https://data.bls.gov/timeseries/CUSR0000SEAE" TargetMode="External" Id="rId747"/><Relationship Type="http://schemas.openxmlformats.org/officeDocument/2006/relationships/hyperlink" Target="https://data.bls.gov/timeseries/CUSR0000SEAE" TargetMode="External" Id="rId748"/><Relationship Type="http://schemas.openxmlformats.org/officeDocument/2006/relationships/hyperlink" Target="https://data.bls.gov/timeseries/CUUR0000SEAE01" TargetMode="External" Id="rId749"/><Relationship Type="http://schemas.openxmlformats.org/officeDocument/2006/relationships/hyperlink" Target="https://data.bls.gov/timeseries/CUUR0000SEAE01" TargetMode="External" Id="rId750"/><Relationship Type="http://schemas.openxmlformats.org/officeDocument/2006/relationships/hyperlink" Target="https://data.bls.gov/timeseries/CUSR0000SEAE01" TargetMode="External" Id="rId751"/><Relationship Type="http://schemas.openxmlformats.org/officeDocument/2006/relationships/hyperlink" Target="https://data.bls.gov/timeseries/CUSR0000SEAE01" TargetMode="External" Id="rId752"/><Relationship Type="http://schemas.openxmlformats.org/officeDocument/2006/relationships/hyperlink" Target="https://data.bls.gov/timeseries/CUUR0000SEAE02" TargetMode="External" Id="rId753"/><Relationship Type="http://schemas.openxmlformats.org/officeDocument/2006/relationships/hyperlink" Target="https://data.bls.gov/timeseries/CUUR0000SEAE02" TargetMode="External" Id="rId754"/><Relationship Type="http://schemas.openxmlformats.org/officeDocument/2006/relationships/hyperlink" Target="https://data.bls.gov/timeseries/CUSR0000SEAE02" TargetMode="External" Id="rId755"/><Relationship Type="http://schemas.openxmlformats.org/officeDocument/2006/relationships/hyperlink" Target="https://data.bls.gov/timeseries/CUSR0000SEAE02" TargetMode="External" Id="rId756"/><Relationship Type="http://schemas.openxmlformats.org/officeDocument/2006/relationships/hyperlink" Target="https://data.bls.gov/timeseries/CUUR0000SEAE03" TargetMode="External" Id="rId757"/><Relationship Type="http://schemas.openxmlformats.org/officeDocument/2006/relationships/hyperlink" Target="https://data.bls.gov/timeseries/CUUR0000SEAE03" TargetMode="External" Id="rId758"/><Relationship Type="http://schemas.openxmlformats.org/officeDocument/2006/relationships/hyperlink" Target="https://data.bls.gov/timeseries/CUSR0000SEAE03" TargetMode="External" Id="rId759"/><Relationship Type="http://schemas.openxmlformats.org/officeDocument/2006/relationships/hyperlink" Target="https://data.bls.gov/timeseries/CUSR0000SEAE03" TargetMode="External" Id="rId760"/><Relationship Type="http://schemas.openxmlformats.org/officeDocument/2006/relationships/hyperlink" Target="https://data.bls.gov/timeseries/CUUR0000SEAF" TargetMode="External" Id="rId761"/><Relationship Type="http://schemas.openxmlformats.org/officeDocument/2006/relationships/hyperlink" Target="https://data.bls.gov/timeseries/CUUR0000SEAF" TargetMode="External" Id="rId762"/><Relationship Type="http://schemas.openxmlformats.org/officeDocument/2006/relationships/hyperlink" Target="https://data.bls.gov/timeseries/CUSR0000SEAF" TargetMode="External" Id="rId763"/><Relationship Type="http://schemas.openxmlformats.org/officeDocument/2006/relationships/hyperlink" Target="https://data.bls.gov/timeseries/CUSR0000SEAF" TargetMode="External" Id="rId764"/><Relationship Type="http://schemas.openxmlformats.org/officeDocument/2006/relationships/hyperlink" Target="https://data.bls.gov/timeseries/CUUR0000SEAG" TargetMode="External" Id="rId765"/><Relationship Type="http://schemas.openxmlformats.org/officeDocument/2006/relationships/hyperlink" Target="https://data.bls.gov/timeseries/CUUR0000SEAG" TargetMode="External" Id="rId766"/><Relationship Type="http://schemas.openxmlformats.org/officeDocument/2006/relationships/hyperlink" Target="https://data.bls.gov/timeseries/CUSR0000SEAG" TargetMode="External" Id="rId767"/><Relationship Type="http://schemas.openxmlformats.org/officeDocument/2006/relationships/hyperlink" Target="https://data.bls.gov/timeseries/CUSR0000SEAG" TargetMode="External" Id="rId768"/><Relationship Type="http://schemas.openxmlformats.org/officeDocument/2006/relationships/hyperlink" Target="https://data.bls.gov/timeseries/CUUR0000SEAG01" TargetMode="External" Id="rId769"/><Relationship Type="http://schemas.openxmlformats.org/officeDocument/2006/relationships/hyperlink" Target="https://data.bls.gov/timeseries/CUUR0000SEAG01" TargetMode="External" Id="rId770"/><Relationship Type="http://schemas.openxmlformats.org/officeDocument/2006/relationships/hyperlink" Target="https://data.bls.gov/timeseries/CUSR0000SEAG01" TargetMode="External" Id="rId771"/><Relationship Type="http://schemas.openxmlformats.org/officeDocument/2006/relationships/hyperlink" Target="https://data.bls.gov/timeseries/CUSR0000SEAG01" TargetMode="External" Id="rId772"/><Relationship Type="http://schemas.openxmlformats.org/officeDocument/2006/relationships/hyperlink" Target="https://data.bls.gov/timeseries/CUUR0000SEAG02" TargetMode="External" Id="rId773"/><Relationship Type="http://schemas.openxmlformats.org/officeDocument/2006/relationships/hyperlink" Target="https://data.bls.gov/timeseries/CUUR0000SEAG02" TargetMode="External" Id="rId774"/><Relationship Type="http://schemas.openxmlformats.org/officeDocument/2006/relationships/hyperlink" Target="https://data.bls.gov/timeseries/CUSR0000SEAG02" TargetMode="External" Id="rId775"/><Relationship Type="http://schemas.openxmlformats.org/officeDocument/2006/relationships/hyperlink" Target="https://data.bls.gov/timeseries/CUSR0000SEAG02" TargetMode="External" Id="rId776"/><Relationship Type="http://schemas.openxmlformats.org/officeDocument/2006/relationships/hyperlink" Target="https://data.bls.gov/timeseries/CUUR0000SAT" TargetMode="External" Id="rId777"/><Relationship Type="http://schemas.openxmlformats.org/officeDocument/2006/relationships/hyperlink" Target="https://data.bls.gov/timeseries/CUUR0000SAT" TargetMode="External" Id="rId778"/><Relationship Type="http://schemas.openxmlformats.org/officeDocument/2006/relationships/hyperlink" Target="https://data.bls.gov/timeseries/CUSR0000SAT" TargetMode="External" Id="rId779"/><Relationship Type="http://schemas.openxmlformats.org/officeDocument/2006/relationships/hyperlink" Target="https://data.bls.gov/timeseries/CUSR0000SAT" TargetMode="External" Id="rId780"/><Relationship Type="http://schemas.openxmlformats.org/officeDocument/2006/relationships/hyperlink" Target="https://data.bls.gov/timeseries/CUUR0000SAT1" TargetMode="External" Id="rId781"/><Relationship Type="http://schemas.openxmlformats.org/officeDocument/2006/relationships/hyperlink" Target="https://data.bls.gov/timeseries/CUUR0000SAT1" TargetMode="External" Id="rId782"/><Relationship Type="http://schemas.openxmlformats.org/officeDocument/2006/relationships/hyperlink" Target="https://data.bls.gov/timeseries/CUSR0000SAT1" TargetMode="External" Id="rId783"/><Relationship Type="http://schemas.openxmlformats.org/officeDocument/2006/relationships/hyperlink" Target="https://data.bls.gov/timeseries/CUSR0000SAT1" TargetMode="External" Id="rId784"/><Relationship Type="http://schemas.openxmlformats.org/officeDocument/2006/relationships/hyperlink" Target="https://data.bls.gov/timeseries/CUUR0000SETA" TargetMode="External" Id="rId785"/><Relationship Type="http://schemas.openxmlformats.org/officeDocument/2006/relationships/hyperlink" Target="https://data.bls.gov/timeseries/CUUR0000SETA" TargetMode="External" Id="rId786"/><Relationship Type="http://schemas.openxmlformats.org/officeDocument/2006/relationships/hyperlink" Target="https://data.bls.gov/timeseries/CUSR0000SETA" TargetMode="External" Id="rId787"/><Relationship Type="http://schemas.openxmlformats.org/officeDocument/2006/relationships/hyperlink" Target="https://data.bls.gov/timeseries/CUSR0000SETA" TargetMode="External" Id="rId788"/><Relationship Type="http://schemas.openxmlformats.org/officeDocument/2006/relationships/hyperlink" Target="https://data.bls.gov/timeseries/CUUR0000SETA01" TargetMode="External" Id="rId789"/><Relationship Type="http://schemas.openxmlformats.org/officeDocument/2006/relationships/hyperlink" Target="https://data.bls.gov/timeseries/CUUR0000SETA01" TargetMode="External" Id="rId790"/><Relationship Type="http://schemas.openxmlformats.org/officeDocument/2006/relationships/hyperlink" Target="https://data.bls.gov/timeseries/CUSR0000SETA01" TargetMode="External" Id="rId791"/><Relationship Type="http://schemas.openxmlformats.org/officeDocument/2006/relationships/hyperlink" Target="https://data.bls.gov/timeseries/CUSR0000SETA01" TargetMode="External" Id="rId792"/><Relationship Type="http://schemas.openxmlformats.org/officeDocument/2006/relationships/hyperlink" Target="https://data.bls.gov/timeseries/CUUR0000SS4501A" TargetMode="External" Id="rId793"/><Relationship Type="http://schemas.openxmlformats.org/officeDocument/2006/relationships/hyperlink" Target="https://data.bls.gov/timeseries/CUUR0000SS4501A" TargetMode="External" Id="rId794"/><Relationship Type="http://schemas.openxmlformats.org/officeDocument/2006/relationships/hyperlink" Target="https://data.bls.gov/timeseries/CUSR0000SS4501A" TargetMode="External" Id="rId795"/><Relationship Type="http://schemas.openxmlformats.org/officeDocument/2006/relationships/hyperlink" Target="https://data.bls.gov/timeseries/CUSR0000SS4501A" TargetMode="External" Id="rId796"/><Relationship Type="http://schemas.openxmlformats.org/officeDocument/2006/relationships/hyperlink" Target="https://data.bls.gov/timeseries/CUUR0000SS45011" TargetMode="External" Id="rId797"/><Relationship Type="http://schemas.openxmlformats.org/officeDocument/2006/relationships/hyperlink" Target="https://data.bls.gov/timeseries/CUUR0000SS45011" TargetMode="External" Id="rId798"/><Relationship Type="http://schemas.openxmlformats.org/officeDocument/2006/relationships/hyperlink" Target="https://data.bls.gov/timeseries/CUSR0000SS45011" TargetMode="External" Id="rId799"/><Relationship Type="http://schemas.openxmlformats.org/officeDocument/2006/relationships/hyperlink" Target="https://data.bls.gov/timeseries/CUSR0000SS45011" TargetMode="External" Id="rId800"/><Relationship Type="http://schemas.openxmlformats.org/officeDocument/2006/relationships/hyperlink" Target="https://data.bls.gov/timeseries/CUUR0000SS45021" TargetMode="External" Id="rId801"/><Relationship Type="http://schemas.openxmlformats.org/officeDocument/2006/relationships/hyperlink" Target="https://data.bls.gov/timeseries/CUUR0000SS45021" TargetMode="External" Id="rId802"/><Relationship Type="http://schemas.openxmlformats.org/officeDocument/2006/relationships/hyperlink" Target="https://data.bls.gov/timeseries/CUSR0000SS45021" TargetMode="External" Id="rId803"/><Relationship Type="http://schemas.openxmlformats.org/officeDocument/2006/relationships/hyperlink" Target="https://data.bls.gov/timeseries/CUSR0000SS45021" TargetMode="External" Id="rId804"/><Relationship Type="http://schemas.openxmlformats.org/officeDocument/2006/relationships/hyperlink" Target="https://data.bls.gov/timeseries/CUUR0000SS45031" TargetMode="External" Id="rId805"/><Relationship Type="http://schemas.openxmlformats.org/officeDocument/2006/relationships/hyperlink" Target="https://data.bls.gov/timeseries/CUUR0000SS45031" TargetMode="External" Id="rId806"/><Relationship Type="http://schemas.openxmlformats.org/officeDocument/2006/relationships/hyperlink" Target="https://data.bls.gov/timeseries/CUSR0000SS45031" TargetMode="External" Id="rId807"/><Relationship Type="http://schemas.openxmlformats.org/officeDocument/2006/relationships/hyperlink" Target="https://data.bls.gov/timeseries/CUSR0000SS45031" TargetMode="External" Id="rId808"/><Relationship Type="http://schemas.openxmlformats.org/officeDocument/2006/relationships/hyperlink" Target="https://data.bls.gov/timeseries/CUUR0000SETA02" TargetMode="External" Id="rId809"/><Relationship Type="http://schemas.openxmlformats.org/officeDocument/2006/relationships/hyperlink" Target="https://data.bls.gov/timeseries/CUUR0000SETA02" TargetMode="External" Id="rId810"/><Relationship Type="http://schemas.openxmlformats.org/officeDocument/2006/relationships/hyperlink" Target="https://data.bls.gov/timeseries/CUSR0000SETA02" TargetMode="External" Id="rId811"/><Relationship Type="http://schemas.openxmlformats.org/officeDocument/2006/relationships/hyperlink" Target="https://data.bls.gov/timeseries/CUSR0000SETA02" TargetMode="External" Id="rId812"/><Relationship Type="http://schemas.openxmlformats.org/officeDocument/2006/relationships/hyperlink" Target="https://data.bls.gov/timeseries/CUUR0000SETA03" TargetMode="External" Id="rId813"/><Relationship Type="http://schemas.openxmlformats.org/officeDocument/2006/relationships/hyperlink" Target="https://data.bls.gov/timeseries/CUUR0000SETA03" TargetMode="External" Id="rId814"/><Relationship Type="http://schemas.openxmlformats.org/officeDocument/2006/relationships/hyperlink" Target="https://data.bls.gov/timeseries/CUSR0000SETA03" TargetMode="External" Id="rId815"/><Relationship Type="http://schemas.openxmlformats.org/officeDocument/2006/relationships/hyperlink" Target="https://data.bls.gov/timeseries/CUSR0000SETA03" TargetMode="External" Id="rId816"/><Relationship Type="http://schemas.openxmlformats.org/officeDocument/2006/relationships/hyperlink" Target="https://data.bls.gov/timeseries/CUUR0000SETA04" TargetMode="External" Id="rId817"/><Relationship Type="http://schemas.openxmlformats.org/officeDocument/2006/relationships/hyperlink" Target="https://data.bls.gov/timeseries/CUUR0000SETA04" TargetMode="External" Id="rId818"/><Relationship Type="http://schemas.openxmlformats.org/officeDocument/2006/relationships/hyperlink" Target="https://data.bls.gov/timeseries/CUSR0000SETA04" TargetMode="External" Id="rId819"/><Relationship Type="http://schemas.openxmlformats.org/officeDocument/2006/relationships/hyperlink" Target="https://data.bls.gov/timeseries/CUSR0000SETA04" TargetMode="External" Id="rId820"/><Relationship Type="http://schemas.openxmlformats.org/officeDocument/2006/relationships/hyperlink" Target="https://data.bls.gov/timeseries/CUUR0000SETB" TargetMode="External" Id="rId821"/><Relationship Type="http://schemas.openxmlformats.org/officeDocument/2006/relationships/hyperlink" Target="https://data.bls.gov/timeseries/CUUR0000SETB" TargetMode="External" Id="rId822"/><Relationship Type="http://schemas.openxmlformats.org/officeDocument/2006/relationships/hyperlink" Target="https://data.bls.gov/timeseries/CUSR0000SETB" TargetMode="External" Id="rId823"/><Relationship Type="http://schemas.openxmlformats.org/officeDocument/2006/relationships/hyperlink" Target="https://data.bls.gov/timeseries/CUSR0000SETB" TargetMode="External" Id="rId824"/><Relationship Type="http://schemas.openxmlformats.org/officeDocument/2006/relationships/hyperlink" Target="https://data.bls.gov/timeseries/CUUR0000SETB01" TargetMode="External" Id="rId825"/><Relationship Type="http://schemas.openxmlformats.org/officeDocument/2006/relationships/hyperlink" Target="https://data.bls.gov/timeseries/CUUR0000SETB01" TargetMode="External" Id="rId826"/><Relationship Type="http://schemas.openxmlformats.org/officeDocument/2006/relationships/hyperlink" Target="https://data.bls.gov/timeseries/CUSR0000SETB01" TargetMode="External" Id="rId827"/><Relationship Type="http://schemas.openxmlformats.org/officeDocument/2006/relationships/hyperlink" Target="https://data.bls.gov/timeseries/CUSR0000SETB01" TargetMode="External" Id="rId828"/><Relationship Type="http://schemas.openxmlformats.org/officeDocument/2006/relationships/hyperlink" Target="https://data.bls.gov/timeseries/CUUR0000SS47014" TargetMode="External" Id="rId829"/><Relationship Type="http://schemas.openxmlformats.org/officeDocument/2006/relationships/hyperlink" Target="https://data.bls.gov/timeseries/CUUR0000SS47014" TargetMode="External" Id="rId830"/><Relationship Type="http://schemas.openxmlformats.org/officeDocument/2006/relationships/hyperlink" Target="https://data.bls.gov/timeseries/CUSR0000SS47014" TargetMode="External" Id="rId831"/><Relationship Type="http://schemas.openxmlformats.org/officeDocument/2006/relationships/hyperlink" Target="https://data.bls.gov/timeseries/CUSR0000SS47014" TargetMode="External" Id="rId832"/><Relationship Type="http://schemas.openxmlformats.org/officeDocument/2006/relationships/hyperlink" Target="https://data.bls.gov/timeseries/CUUR0000SS47015" TargetMode="External" Id="rId833"/><Relationship Type="http://schemas.openxmlformats.org/officeDocument/2006/relationships/hyperlink" Target="https://data.bls.gov/timeseries/CUUR0000SS47015" TargetMode="External" Id="rId834"/><Relationship Type="http://schemas.openxmlformats.org/officeDocument/2006/relationships/hyperlink" Target="https://data.bls.gov/timeseries/CUSR0000SS47015" TargetMode="External" Id="rId835"/><Relationship Type="http://schemas.openxmlformats.org/officeDocument/2006/relationships/hyperlink" Target="https://data.bls.gov/timeseries/CUSR0000SS47015" TargetMode="External" Id="rId836"/><Relationship Type="http://schemas.openxmlformats.org/officeDocument/2006/relationships/hyperlink" Target="https://data.bls.gov/timeseries/CUUR0000SS47016" TargetMode="External" Id="rId837"/><Relationship Type="http://schemas.openxmlformats.org/officeDocument/2006/relationships/hyperlink" Target="https://data.bls.gov/timeseries/CUUR0000SS47016" TargetMode="External" Id="rId838"/><Relationship Type="http://schemas.openxmlformats.org/officeDocument/2006/relationships/hyperlink" Target="https://data.bls.gov/timeseries/CUSR0000SS47016" TargetMode="External" Id="rId839"/><Relationship Type="http://schemas.openxmlformats.org/officeDocument/2006/relationships/hyperlink" Target="https://data.bls.gov/timeseries/CUSR0000SS47016" TargetMode="External" Id="rId840"/><Relationship Type="http://schemas.openxmlformats.org/officeDocument/2006/relationships/hyperlink" Target="https://data.bls.gov/timeseries/CUUR0000SETB02" TargetMode="External" Id="rId841"/><Relationship Type="http://schemas.openxmlformats.org/officeDocument/2006/relationships/hyperlink" Target="https://data.bls.gov/timeseries/CUUR0000SETB02" TargetMode="External" Id="rId842"/><Relationship Type="http://schemas.openxmlformats.org/officeDocument/2006/relationships/hyperlink" Target="https://data.bls.gov/timeseries/CUSR0000SETB02" TargetMode="External" Id="rId843"/><Relationship Type="http://schemas.openxmlformats.org/officeDocument/2006/relationships/hyperlink" Target="https://data.bls.gov/timeseries/CUSR0000SETB02" TargetMode="External" Id="rId844"/><Relationship Type="http://schemas.openxmlformats.org/officeDocument/2006/relationships/hyperlink" Target="https://data.bls.gov/timeseries/CUUR0000SETC" TargetMode="External" Id="rId845"/><Relationship Type="http://schemas.openxmlformats.org/officeDocument/2006/relationships/hyperlink" Target="https://data.bls.gov/timeseries/CUUR0000SETC" TargetMode="External" Id="rId846"/><Relationship Type="http://schemas.openxmlformats.org/officeDocument/2006/relationships/hyperlink" Target="https://data.bls.gov/timeseries/CUSR0000SETC" TargetMode="External" Id="rId847"/><Relationship Type="http://schemas.openxmlformats.org/officeDocument/2006/relationships/hyperlink" Target="https://data.bls.gov/timeseries/CUSR0000SETC" TargetMode="External" Id="rId848"/><Relationship Type="http://schemas.openxmlformats.org/officeDocument/2006/relationships/hyperlink" Target="https://data.bls.gov/timeseries/CUUR0000SETC01" TargetMode="External" Id="rId849"/><Relationship Type="http://schemas.openxmlformats.org/officeDocument/2006/relationships/hyperlink" Target="https://data.bls.gov/timeseries/CUUR0000SETC01" TargetMode="External" Id="rId850"/><Relationship Type="http://schemas.openxmlformats.org/officeDocument/2006/relationships/hyperlink" Target="https://data.bls.gov/timeseries/CUSR0000SETC01" TargetMode="External" Id="rId851"/><Relationship Type="http://schemas.openxmlformats.org/officeDocument/2006/relationships/hyperlink" Target="https://data.bls.gov/timeseries/CUSR0000SETC01" TargetMode="External" Id="rId852"/><Relationship Type="http://schemas.openxmlformats.org/officeDocument/2006/relationships/hyperlink" Target="https://data.bls.gov/timeseries/CUUR0000SETC02" TargetMode="External" Id="rId853"/><Relationship Type="http://schemas.openxmlformats.org/officeDocument/2006/relationships/hyperlink" Target="https://data.bls.gov/timeseries/CUUR0000SETC02" TargetMode="External" Id="rId854"/><Relationship Type="http://schemas.openxmlformats.org/officeDocument/2006/relationships/hyperlink" Target="https://data.bls.gov/timeseries/CUUR0000SS48021" TargetMode="External" Id="rId855"/><Relationship Type="http://schemas.openxmlformats.org/officeDocument/2006/relationships/hyperlink" Target="https://data.bls.gov/timeseries/CUUR0000SS48021" TargetMode="External" Id="rId856"/><Relationship Type="http://schemas.openxmlformats.org/officeDocument/2006/relationships/hyperlink" Target="https://data.bls.gov/timeseries/CUUR0000SS47021" TargetMode="External" Id="rId857"/><Relationship Type="http://schemas.openxmlformats.org/officeDocument/2006/relationships/hyperlink" Target="https://data.bls.gov/timeseries/CUUR0000SS47021" TargetMode="External" Id="rId858"/><Relationship Type="http://schemas.openxmlformats.org/officeDocument/2006/relationships/hyperlink" Target="https://data.bls.gov/timeseries/CUUR0000SETD" TargetMode="External" Id="rId859"/><Relationship Type="http://schemas.openxmlformats.org/officeDocument/2006/relationships/hyperlink" Target="https://data.bls.gov/timeseries/CUUR0000SETD" TargetMode="External" Id="rId860"/><Relationship Type="http://schemas.openxmlformats.org/officeDocument/2006/relationships/hyperlink" Target="https://data.bls.gov/timeseries/CUSR0000SETD" TargetMode="External" Id="rId861"/><Relationship Type="http://schemas.openxmlformats.org/officeDocument/2006/relationships/hyperlink" Target="https://data.bls.gov/timeseries/CUSR0000SETD" TargetMode="External" Id="rId862"/><Relationship Type="http://schemas.openxmlformats.org/officeDocument/2006/relationships/hyperlink" Target="https://data.bls.gov/timeseries/CUUR0000SETD01" TargetMode="External" Id="rId863"/><Relationship Type="http://schemas.openxmlformats.org/officeDocument/2006/relationships/hyperlink" Target="https://data.bls.gov/timeseries/CUUR0000SETD01" TargetMode="External" Id="rId864"/><Relationship Type="http://schemas.openxmlformats.org/officeDocument/2006/relationships/hyperlink" Target="https://data.bls.gov/timeseries/CUUR0000SETD02" TargetMode="External" Id="rId865"/><Relationship Type="http://schemas.openxmlformats.org/officeDocument/2006/relationships/hyperlink" Target="https://data.bls.gov/timeseries/CUUR0000SETD02" TargetMode="External" Id="rId866"/><Relationship Type="http://schemas.openxmlformats.org/officeDocument/2006/relationships/hyperlink" Target="https://data.bls.gov/timeseries/CUUR0000SETD03" TargetMode="External" Id="rId867"/><Relationship Type="http://schemas.openxmlformats.org/officeDocument/2006/relationships/hyperlink" Target="https://data.bls.gov/timeseries/CUUR0000SETD03" TargetMode="External" Id="rId868"/><Relationship Type="http://schemas.openxmlformats.org/officeDocument/2006/relationships/hyperlink" Target="https://data.bls.gov/timeseries/CUSR0000SETD03" TargetMode="External" Id="rId869"/><Relationship Type="http://schemas.openxmlformats.org/officeDocument/2006/relationships/hyperlink" Target="https://data.bls.gov/timeseries/CUSR0000SETD03" TargetMode="External" Id="rId870"/><Relationship Type="http://schemas.openxmlformats.org/officeDocument/2006/relationships/hyperlink" Target="https://data.bls.gov/timeseries/CUUR0000SETE" TargetMode="External" Id="rId871"/><Relationship Type="http://schemas.openxmlformats.org/officeDocument/2006/relationships/hyperlink" Target="https://data.bls.gov/timeseries/CUUR0000SETE" TargetMode="External" Id="rId872"/><Relationship Type="http://schemas.openxmlformats.org/officeDocument/2006/relationships/hyperlink" Target="https://data.bls.gov/timeseries/CUSR0000SETE" TargetMode="External" Id="rId873"/><Relationship Type="http://schemas.openxmlformats.org/officeDocument/2006/relationships/hyperlink" Target="https://data.bls.gov/timeseries/CUSR0000SETE" TargetMode="External" Id="rId874"/><Relationship Type="http://schemas.openxmlformats.org/officeDocument/2006/relationships/hyperlink" Target="https://data.bls.gov/timeseries/CUUR0000SETF" TargetMode="External" Id="rId875"/><Relationship Type="http://schemas.openxmlformats.org/officeDocument/2006/relationships/hyperlink" Target="https://data.bls.gov/timeseries/CUUR0000SETF" TargetMode="External" Id="rId876"/><Relationship Type="http://schemas.openxmlformats.org/officeDocument/2006/relationships/hyperlink" Target="https://data.bls.gov/timeseries/CUUR0000SETF01" TargetMode="External" Id="rId877"/><Relationship Type="http://schemas.openxmlformats.org/officeDocument/2006/relationships/hyperlink" Target="https://data.bls.gov/timeseries/CUUR0000SETF01" TargetMode="External" Id="rId878"/><Relationship Type="http://schemas.openxmlformats.org/officeDocument/2006/relationships/hyperlink" Target="https://data.bls.gov/timeseries/CUUR0000SETF03" TargetMode="External" Id="rId879"/><Relationship Type="http://schemas.openxmlformats.org/officeDocument/2006/relationships/hyperlink" Target="https://data.bls.gov/timeseries/CUUR0000SETF03" TargetMode="External" Id="rId880"/><Relationship Type="http://schemas.openxmlformats.org/officeDocument/2006/relationships/hyperlink" Target="https://data.bls.gov/timeseries/CUSR0000SETF03" TargetMode="External" Id="rId881"/><Relationship Type="http://schemas.openxmlformats.org/officeDocument/2006/relationships/hyperlink" Target="https://data.bls.gov/timeseries/CUSR0000SETF03" TargetMode="External" Id="rId882"/><Relationship Type="http://schemas.openxmlformats.org/officeDocument/2006/relationships/hyperlink" Target="https://data.bls.gov/timeseries/CUUR0000SS52051" TargetMode="External" Id="rId883"/><Relationship Type="http://schemas.openxmlformats.org/officeDocument/2006/relationships/hyperlink" Target="https://data.bls.gov/timeseries/CUUR0000SS52051" TargetMode="External" Id="rId884"/><Relationship Type="http://schemas.openxmlformats.org/officeDocument/2006/relationships/hyperlink" Target="https://data.bls.gov/timeseries/CUSR0000SS52051" TargetMode="External" Id="rId885"/><Relationship Type="http://schemas.openxmlformats.org/officeDocument/2006/relationships/hyperlink" Target="https://data.bls.gov/timeseries/CUSR0000SS52051" TargetMode="External" Id="rId886"/><Relationship Type="http://schemas.openxmlformats.org/officeDocument/2006/relationships/hyperlink" Target="https://data.bls.gov/timeseries/CUUR0000SS62011" TargetMode="External" Id="rId887"/><Relationship Type="http://schemas.openxmlformats.org/officeDocument/2006/relationships/hyperlink" Target="https://data.bls.gov/timeseries/CUUR0000SS62011" TargetMode="External" Id="rId888"/><Relationship Type="http://schemas.openxmlformats.org/officeDocument/2006/relationships/hyperlink" Target="https://data.bls.gov/timeseries/CUUR0000SETG" TargetMode="External" Id="rId889"/><Relationship Type="http://schemas.openxmlformats.org/officeDocument/2006/relationships/hyperlink" Target="https://data.bls.gov/timeseries/CUUR0000SETG" TargetMode="External" Id="rId890"/><Relationship Type="http://schemas.openxmlformats.org/officeDocument/2006/relationships/hyperlink" Target="https://data.bls.gov/timeseries/CUSR0000SETG" TargetMode="External" Id="rId891"/><Relationship Type="http://schemas.openxmlformats.org/officeDocument/2006/relationships/hyperlink" Target="https://data.bls.gov/timeseries/CUSR0000SETG" TargetMode="External" Id="rId892"/><Relationship Type="http://schemas.openxmlformats.org/officeDocument/2006/relationships/hyperlink" Target="https://data.bls.gov/timeseries/CUUR0000SETG01" TargetMode="External" Id="rId893"/><Relationship Type="http://schemas.openxmlformats.org/officeDocument/2006/relationships/hyperlink" Target="https://data.bls.gov/timeseries/CUUR0000SETG01" TargetMode="External" Id="rId894"/><Relationship Type="http://schemas.openxmlformats.org/officeDocument/2006/relationships/hyperlink" Target="https://data.bls.gov/timeseries/CUSR0000SETG01" TargetMode="External" Id="rId895"/><Relationship Type="http://schemas.openxmlformats.org/officeDocument/2006/relationships/hyperlink" Target="https://data.bls.gov/timeseries/CUSR0000SETG01" TargetMode="External" Id="rId896"/><Relationship Type="http://schemas.openxmlformats.org/officeDocument/2006/relationships/hyperlink" Target="https://data.bls.gov/timeseries/CUUR0000SETG02" TargetMode="External" Id="rId897"/><Relationship Type="http://schemas.openxmlformats.org/officeDocument/2006/relationships/hyperlink" Target="https://data.bls.gov/timeseries/CUUR0000SETG02" TargetMode="External" Id="rId898"/><Relationship Type="http://schemas.openxmlformats.org/officeDocument/2006/relationships/hyperlink" Target="https://data.bls.gov/timeseries/CUSR0000SETG02" TargetMode="External" Id="rId899"/><Relationship Type="http://schemas.openxmlformats.org/officeDocument/2006/relationships/hyperlink" Target="https://data.bls.gov/timeseries/CUSR0000SETG02" TargetMode="External" Id="rId900"/><Relationship Type="http://schemas.openxmlformats.org/officeDocument/2006/relationships/hyperlink" Target="https://data.bls.gov/timeseries/CUUR0000SS53021" TargetMode="External" Id="rId901"/><Relationship Type="http://schemas.openxmlformats.org/officeDocument/2006/relationships/hyperlink" Target="https://data.bls.gov/timeseries/CUUR0000SS53021" TargetMode="External" Id="rId902"/><Relationship Type="http://schemas.openxmlformats.org/officeDocument/2006/relationships/hyperlink" Target="https://data.bls.gov/timeseries/CUUR0000SS53022" TargetMode="External" Id="rId903"/><Relationship Type="http://schemas.openxmlformats.org/officeDocument/2006/relationships/hyperlink" Target="https://data.bls.gov/timeseries/CUUR0000SS53022" TargetMode="External" Id="rId904"/><Relationship Type="http://schemas.openxmlformats.org/officeDocument/2006/relationships/hyperlink" Target="https://data.bls.gov/timeseries/CUSR0000SS53022" TargetMode="External" Id="rId905"/><Relationship Type="http://schemas.openxmlformats.org/officeDocument/2006/relationships/hyperlink" Target="https://data.bls.gov/timeseries/CUSR0000SS53022" TargetMode="External" Id="rId906"/><Relationship Type="http://schemas.openxmlformats.org/officeDocument/2006/relationships/hyperlink" Target="https://data.bls.gov/timeseries/CUUR0000SS53023" TargetMode="External" Id="rId907"/><Relationship Type="http://schemas.openxmlformats.org/officeDocument/2006/relationships/hyperlink" Target="https://data.bls.gov/timeseries/CUUR0000SS53023" TargetMode="External" Id="rId908"/><Relationship Type="http://schemas.openxmlformats.org/officeDocument/2006/relationships/hyperlink" Target="https://data.bls.gov/timeseries/CUSR0000SS53023" TargetMode="External" Id="rId909"/><Relationship Type="http://schemas.openxmlformats.org/officeDocument/2006/relationships/hyperlink" Target="https://data.bls.gov/timeseries/CUSR0000SS53023" TargetMode="External" Id="rId910"/><Relationship Type="http://schemas.openxmlformats.org/officeDocument/2006/relationships/hyperlink" Target="https://data.bls.gov/timeseries/CUUR0000SETG03" TargetMode="External" Id="rId911"/><Relationship Type="http://schemas.openxmlformats.org/officeDocument/2006/relationships/hyperlink" Target="https://data.bls.gov/timeseries/CUUR0000SETG03" TargetMode="External" Id="rId912"/><Relationship Type="http://schemas.openxmlformats.org/officeDocument/2006/relationships/hyperlink" Target="https://data.bls.gov/timeseries/CUUR0000SS53031" TargetMode="External" Id="rId913"/><Relationship Type="http://schemas.openxmlformats.org/officeDocument/2006/relationships/hyperlink" Target="https://data.bls.gov/timeseries/CUUR0000SS53031" TargetMode="External" Id="rId914"/><Relationship Type="http://schemas.openxmlformats.org/officeDocument/2006/relationships/hyperlink" Target="https://data.bls.gov/timeseries/CUUR0000SAM" TargetMode="External" Id="rId915"/><Relationship Type="http://schemas.openxmlformats.org/officeDocument/2006/relationships/hyperlink" Target="https://data.bls.gov/timeseries/CUUR0000SAM" TargetMode="External" Id="rId916"/><Relationship Type="http://schemas.openxmlformats.org/officeDocument/2006/relationships/hyperlink" Target="https://data.bls.gov/timeseries/CUSR0000SAM" TargetMode="External" Id="rId917"/><Relationship Type="http://schemas.openxmlformats.org/officeDocument/2006/relationships/hyperlink" Target="https://data.bls.gov/timeseries/CUSR0000SAM" TargetMode="External" Id="rId918"/><Relationship Type="http://schemas.openxmlformats.org/officeDocument/2006/relationships/hyperlink" Target="https://data.bls.gov/timeseries/CUUR0000SAM1" TargetMode="External" Id="rId919"/><Relationship Type="http://schemas.openxmlformats.org/officeDocument/2006/relationships/hyperlink" Target="https://data.bls.gov/timeseries/CUUR0000SAM1" TargetMode="External" Id="rId920"/><Relationship Type="http://schemas.openxmlformats.org/officeDocument/2006/relationships/hyperlink" Target="https://data.bls.gov/timeseries/CUSR0000SAM1" TargetMode="External" Id="rId921"/><Relationship Type="http://schemas.openxmlformats.org/officeDocument/2006/relationships/hyperlink" Target="https://data.bls.gov/timeseries/CUSR0000SAM1" TargetMode="External" Id="rId922"/><Relationship Type="http://schemas.openxmlformats.org/officeDocument/2006/relationships/hyperlink" Target="https://data.bls.gov/timeseries/CUUR0000SEMF" TargetMode="External" Id="rId923"/><Relationship Type="http://schemas.openxmlformats.org/officeDocument/2006/relationships/hyperlink" Target="https://data.bls.gov/timeseries/CUUR0000SEMF" TargetMode="External" Id="rId924"/><Relationship Type="http://schemas.openxmlformats.org/officeDocument/2006/relationships/hyperlink" Target="https://data.bls.gov/timeseries/CUSR0000SEMF" TargetMode="External" Id="rId925"/><Relationship Type="http://schemas.openxmlformats.org/officeDocument/2006/relationships/hyperlink" Target="https://data.bls.gov/timeseries/CUSR0000SEMF" TargetMode="External" Id="rId926"/><Relationship Type="http://schemas.openxmlformats.org/officeDocument/2006/relationships/hyperlink" Target="https://data.bls.gov/timeseries/CUUR0000SEMF01" TargetMode="External" Id="rId927"/><Relationship Type="http://schemas.openxmlformats.org/officeDocument/2006/relationships/hyperlink" Target="https://data.bls.gov/timeseries/CUUR0000SEMF01" TargetMode="External" Id="rId928"/><Relationship Type="http://schemas.openxmlformats.org/officeDocument/2006/relationships/hyperlink" Target="https://data.bls.gov/timeseries/CUSR0000SEMF01" TargetMode="External" Id="rId929"/><Relationship Type="http://schemas.openxmlformats.org/officeDocument/2006/relationships/hyperlink" Target="https://data.bls.gov/timeseries/CUSR0000SEMF01" TargetMode="External" Id="rId930"/><Relationship Type="http://schemas.openxmlformats.org/officeDocument/2006/relationships/hyperlink" Target="https://data.bls.gov/timeseries/CUUR0000SEMF02" TargetMode="External" Id="rId931"/><Relationship Type="http://schemas.openxmlformats.org/officeDocument/2006/relationships/hyperlink" Target="https://data.bls.gov/timeseries/CUUR0000SEMF02" TargetMode="External" Id="rId932"/><Relationship Type="http://schemas.openxmlformats.org/officeDocument/2006/relationships/hyperlink" Target="https://data.bls.gov/timeseries/CUSR0000SEMF02" TargetMode="External" Id="rId933"/><Relationship Type="http://schemas.openxmlformats.org/officeDocument/2006/relationships/hyperlink" Target="https://data.bls.gov/timeseries/CUSR0000SEMF02" TargetMode="External" Id="rId934"/><Relationship Type="http://schemas.openxmlformats.org/officeDocument/2006/relationships/hyperlink" Target="https://data.bls.gov/timeseries/CUUR0000SEMG" TargetMode="External" Id="rId935"/><Relationship Type="http://schemas.openxmlformats.org/officeDocument/2006/relationships/hyperlink" Target="https://data.bls.gov/timeseries/CUUR0000SEMG" TargetMode="External" Id="rId936"/><Relationship Type="http://schemas.openxmlformats.org/officeDocument/2006/relationships/hyperlink" Target="https://data.bls.gov/timeseries/CUUR0000SAM2" TargetMode="External" Id="rId937"/><Relationship Type="http://schemas.openxmlformats.org/officeDocument/2006/relationships/hyperlink" Target="https://data.bls.gov/timeseries/CUUR0000SAM2" TargetMode="External" Id="rId938"/><Relationship Type="http://schemas.openxmlformats.org/officeDocument/2006/relationships/hyperlink" Target="https://data.bls.gov/timeseries/CUSR0000SAM2" TargetMode="External" Id="rId939"/><Relationship Type="http://schemas.openxmlformats.org/officeDocument/2006/relationships/hyperlink" Target="https://data.bls.gov/timeseries/CUSR0000SAM2" TargetMode="External" Id="rId940"/><Relationship Type="http://schemas.openxmlformats.org/officeDocument/2006/relationships/hyperlink" Target="https://data.bls.gov/timeseries/CUUR0000SEMC" TargetMode="External" Id="rId941"/><Relationship Type="http://schemas.openxmlformats.org/officeDocument/2006/relationships/hyperlink" Target="https://data.bls.gov/timeseries/CUUR0000SEMC" TargetMode="External" Id="rId942"/><Relationship Type="http://schemas.openxmlformats.org/officeDocument/2006/relationships/hyperlink" Target="https://data.bls.gov/timeseries/CUSR0000SEMC" TargetMode="External" Id="rId943"/><Relationship Type="http://schemas.openxmlformats.org/officeDocument/2006/relationships/hyperlink" Target="https://data.bls.gov/timeseries/CUSR0000SEMC" TargetMode="External" Id="rId944"/><Relationship Type="http://schemas.openxmlformats.org/officeDocument/2006/relationships/hyperlink" Target="https://data.bls.gov/timeseries/CUUR0000SEMC01" TargetMode="External" Id="rId945"/><Relationship Type="http://schemas.openxmlformats.org/officeDocument/2006/relationships/hyperlink" Target="https://data.bls.gov/timeseries/CUUR0000SEMC01" TargetMode="External" Id="rId946"/><Relationship Type="http://schemas.openxmlformats.org/officeDocument/2006/relationships/hyperlink" Target="https://data.bls.gov/timeseries/CUSR0000SEMC01" TargetMode="External" Id="rId947"/><Relationship Type="http://schemas.openxmlformats.org/officeDocument/2006/relationships/hyperlink" Target="https://data.bls.gov/timeseries/CUSR0000SEMC01" TargetMode="External" Id="rId948"/><Relationship Type="http://schemas.openxmlformats.org/officeDocument/2006/relationships/hyperlink" Target="https://data.bls.gov/timeseries/CUUR0000SEMC02" TargetMode="External" Id="rId949"/><Relationship Type="http://schemas.openxmlformats.org/officeDocument/2006/relationships/hyperlink" Target="https://data.bls.gov/timeseries/CUUR0000SEMC02" TargetMode="External" Id="rId950"/><Relationship Type="http://schemas.openxmlformats.org/officeDocument/2006/relationships/hyperlink" Target="https://data.bls.gov/timeseries/CUSR0000SEMC02" TargetMode="External" Id="rId951"/><Relationship Type="http://schemas.openxmlformats.org/officeDocument/2006/relationships/hyperlink" Target="https://data.bls.gov/timeseries/CUSR0000SEMC02" TargetMode="External" Id="rId952"/><Relationship Type="http://schemas.openxmlformats.org/officeDocument/2006/relationships/hyperlink" Target="https://data.bls.gov/timeseries/CUUR0000SEMC03" TargetMode="External" Id="rId953"/><Relationship Type="http://schemas.openxmlformats.org/officeDocument/2006/relationships/hyperlink" Target="https://data.bls.gov/timeseries/CUUR0000SEMC03" TargetMode="External" Id="rId954"/><Relationship Type="http://schemas.openxmlformats.org/officeDocument/2006/relationships/hyperlink" Target="https://data.bls.gov/timeseries/CUSR0000SEMC03" TargetMode="External" Id="rId955"/><Relationship Type="http://schemas.openxmlformats.org/officeDocument/2006/relationships/hyperlink" Target="https://data.bls.gov/timeseries/CUSR0000SEMC03" TargetMode="External" Id="rId956"/><Relationship Type="http://schemas.openxmlformats.org/officeDocument/2006/relationships/hyperlink" Target="https://data.bls.gov/timeseries/CUUR0000SEMC04" TargetMode="External" Id="rId957"/><Relationship Type="http://schemas.openxmlformats.org/officeDocument/2006/relationships/hyperlink" Target="https://data.bls.gov/timeseries/CUUR0000SEMC04" TargetMode="External" Id="rId958"/><Relationship Type="http://schemas.openxmlformats.org/officeDocument/2006/relationships/hyperlink" Target="https://data.bls.gov/timeseries/CUSR0000SEMC04" TargetMode="External" Id="rId959"/><Relationship Type="http://schemas.openxmlformats.org/officeDocument/2006/relationships/hyperlink" Target="https://data.bls.gov/timeseries/CUSR0000SEMC04" TargetMode="External" Id="rId960"/><Relationship Type="http://schemas.openxmlformats.org/officeDocument/2006/relationships/hyperlink" Target="https://data.bls.gov/timeseries/CUUR0000SEMD" TargetMode="External" Id="rId961"/><Relationship Type="http://schemas.openxmlformats.org/officeDocument/2006/relationships/hyperlink" Target="https://data.bls.gov/timeseries/CUUR0000SEMD" TargetMode="External" Id="rId962"/><Relationship Type="http://schemas.openxmlformats.org/officeDocument/2006/relationships/hyperlink" Target="https://data.bls.gov/timeseries/CUSR0000SEMD" TargetMode="External" Id="rId963"/><Relationship Type="http://schemas.openxmlformats.org/officeDocument/2006/relationships/hyperlink" Target="https://data.bls.gov/timeseries/CUSR0000SEMD" TargetMode="External" Id="rId964"/><Relationship Type="http://schemas.openxmlformats.org/officeDocument/2006/relationships/hyperlink" Target="https://data.bls.gov/timeseries/CUUR0000SEMD01" TargetMode="External" Id="rId965"/><Relationship Type="http://schemas.openxmlformats.org/officeDocument/2006/relationships/hyperlink" Target="https://data.bls.gov/timeseries/CUUR0000SEMD01" TargetMode="External" Id="rId966"/><Relationship Type="http://schemas.openxmlformats.org/officeDocument/2006/relationships/hyperlink" Target="https://data.bls.gov/timeseries/CUSR0000SEMD01" TargetMode="External" Id="rId967"/><Relationship Type="http://schemas.openxmlformats.org/officeDocument/2006/relationships/hyperlink" Target="https://data.bls.gov/timeseries/CUSR0000SEMD01" TargetMode="External" Id="rId968"/><Relationship Type="http://schemas.openxmlformats.org/officeDocument/2006/relationships/hyperlink" Target="https://data.bls.gov/timeseries/CUUR0000SS5702" TargetMode="External" Id="rId969"/><Relationship Type="http://schemas.openxmlformats.org/officeDocument/2006/relationships/hyperlink" Target="https://data.bls.gov/timeseries/CUUR0000SS5702" TargetMode="External" Id="rId970"/><Relationship Type="http://schemas.openxmlformats.org/officeDocument/2006/relationships/hyperlink" Target="https://data.bls.gov/timeseries/CUSR0000SS5702" TargetMode="External" Id="rId971"/><Relationship Type="http://schemas.openxmlformats.org/officeDocument/2006/relationships/hyperlink" Target="https://data.bls.gov/timeseries/CUSR0000SS5702" TargetMode="External" Id="rId972"/><Relationship Type="http://schemas.openxmlformats.org/officeDocument/2006/relationships/hyperlink" Target="https://data.bls.gov/timeseries/CUUR0000SS5703" TargetMode="External" Id="rId973"/><Relationship Type="http://schemas.openxmlformats.org/officeDocument/2006/relationships/hyperlink" Target="https://data.bls.gov/timeseries/CUUR0000SS5703" TargetMode="External" Id="rId974"/><Relationship Type="http://schemas.openxmlformats.org/officeDocument/2006/relationships/hyperlink" Target="https://data.bls.gov/timeseries/CUSR0000SS5703" TargetMode="External" Id="rId975"/><Relationship Type="http://schemas.openxmlformats.org/officeDocument/2006/relationships/hyperlink" Target="https://data.bls.gov/timeseries/CUSR0000SS5703" TargetMode="External" Id="rId976"/><Relationship Type="http://schemas.openxmlformats.org/officeDocument/2006/relationships/hyperlink" Target="https://data.bls.gov/timeseries/CUUR0000SEMD02" TargetMode="External" Id="rId977"/><Relationship Type="http://schemas.openxmlformats.org/officeDocument/2006/relationships/hyperlink" Target="https://data.bls.gov/timeseries/CUUR0000SEMD02" TargetMode="External" Id="rId978"/><Relationship Type="http://schemas.openxmlformats.org/officeDocument/2006/relationships/hyperlink" Target="https://data.bls.gov/timeseries/CUSR0000SEMD02" TargetMode="External" Id="rId979"/><Relationship Type="http://schemas.openxmlformats.org/officeDocument/2006/relationships/hyperlink" Target="https://data.bls.gov/timeseries/CUSR0000SEMD02" TargetMode="External" Id="rId980"/><Relationship Type="http://schemas.openxmlformats.org/officeDocument/2006/relationships/hyperlink" Target="https://data.bls.gov/timeseries/CUUR0000SEMD03" TargetMode="External" Id="rId981"/><Relationship Type="http://schemas.openxmlformats.org/officeDocument/2006/relationships/hyperlink" Target="https://data.bls.gov/timeseries/CUUR0000SEMD03" TargetMode="External" Id="rId982"/><Relationship Type="http://schemas.openxmlformats.org/officeDocument/2006/relationships/hyperlink" Target="https://data.bls.gov/timeseries/CUUR0000SEME" TargetMode="External" Id="rId983"/><Relationship Type="http://schemas.openxmlformats.org/officeDocument/2006/relationships/hyperlink" Target="https://data.bls.gov/timeseries/CUUR0000SEME" TargetMode="External" Id="rId984"/><Relationship Type="http://schemas.openxmlformats.org/officeDocument/2006/relationships/hyperlink" Target="https://data.bls.gov/timeseries/CUUR0000SAR" TargetMode="External" Id="rId985"/><Relationship Type="http://schemas.openxmlformats.org/officeDocument/2006/relationships/hyperlink" Target="https://data.bls.gov/timeseries/CUUR0000SAR" TargetMode="External" Id="rId986"/><Relationship Type="http://schemas.openxmlformats.org/officeDocument/2006/relationships/hyperlink" Target="https://data.bls.gov/timeseries/CUSR0000SAR" TargetMode="External" Id="rId987"/><Relationship Type="http://schemas.openxmlformats.org/officeDocument/2006/relationships/hyperlink" Target="https://data.bls.gov/timeseries/CUSR0000SAR" TargetMode="External" Id="rId988"/><Relationship Type="http://schemas.openxmlformats.org/officeDocument/2006/relationships/hyperlink" Target="https://data.bls.gov/timeseries/CUUR0000SERA" TargetMode="External" Id="rId989"/><Relationship Type="http://schemas.openxmlformats.org/officeDocument/2006/relationships/hyperlink" Target="https://data.bls.gov/timeseries/CUUR0000SERA" TargetMode="External" Id="rId990"/><Relationship Type="http://schemas.openxmlformats.org/officeDocument/2006/relationships/hyperlink" Target="https://data.bls.gov/timeseries/CUSR0000SERA" TargetMode="External" Id="rId991"/><Relationship Type="http://schemas.openxmlformats.org/officeDocument/2006/relationships/hyperlink" Target="https://data.bls.gov/timeseries/CUSR0000SERA" TargetMode="External" Id="rId992"/><Relationship Type="http://schemas.openxmlformats.org/officeDocument/2006/relationships/hyperlink" Target="https://data.bls.gov/timeseries/CUUR0000SERA01" TargetMode="External" Id="rId993"/><Relationship Type="http://schemas.openxmlformats.org/officeDocument/2006/relationships/hyperlink" Target="https://data.bls.gov/timeseries/CUUR0000SERA01" TargetMode="External" Id="rId994"/><Relationship Type="http://schemas.openxmlformats.org/officeDocument/2006/relationships/hyperlink" Target="https://data.bls.gov/timeseries/CUSR0000SERA01" TargetMode="External" Id="rId995"/><Relationship Type="http://schemas.openxmlformats.org/officeDocument/2006/relationships/hyperlink" Target="https://data.bls.gov/timeseries/CUSR0000SERA01" TargetMode="External" Id="rId996"/><Relationship Type="http://schemas.openxmlformats.org/officeDocument/2006/relationships/hyperlink" Target="https://data.bls.gov/timeseries/CUUR0000SERA02" TargetMode="External" Id="rId997"/><Relationship Type="http://schemas.openxmlformats.org/officeDocument/2006/relationships/hyperlink" Target="https://data.bls.gov/timeseries/CUUR0000SERA02" TargetMode="External" Id="rId998"/><Relationship Type="http://schemas.openxmlformats.org/officeDocument/2006/relationships/hyperlink" Target="https://data.bls.gov/timeseries/CUSR0000SERA02" TargetMode="External" Id="rId999"/><Relationship Type="http://schemas.openxmlformats.org/officeDocument/2006/relationships/hyperlink" Target="https://data.bls.gov/timeseries/CUSR0000SERA02" TargetMode="External" Id="rId1000"/><Relationship Type="http://schemas.openxmlformats.org/officeDocument/2006/relationships/hyperlink" Target="https://data.bls.gov/timeseries/CUUR0000SERA03" TargetMode="External" Id="rId1001"/><Relationship Type="http://schemas.openxmlformats.org/officeDocument/2006/relationships/hyperlink" Target="https://data.bls.gov/timeseries/CUUR0000SERA03" TargetMode="External" Id="rId1002"/><Relationship Type="http://schemas.openxmlformats.org/officeDocument/2006/relationships/hyperlink" Target="https://data.bls.gov/timeseries/CUSR0000SERA03" TargetMode="External" Id="rId1003"/><Relationship Type="http://schemas.openxmlformats.org/officeDocument/2006/relationships/hyperlink" Target="https://data.bls.gov/timeseries/CUSR0000SERA03" TargetMode="External" Id="rId1004"/><Relationship Type="http://schemas.openxmlformats.org/officeDocument/2006/relationships/hyperlink" Target="https://data.bls.gov/timeseries/CUUR0000SERA04" TargetMode="External" Id="rId1005"/><Relationship Type="http://schemas.openxmlformats.org/officeDocument/2006/relationships/hyperlink" Target="https://data.bls.gov/timeseries/CUUR0000SERA04" TargetMode="External" Id="rId1006"/><Relationship Type="http://schemas.openxmlformats.org/officeDocument/2006/relationships/hyperlink" Target="https://data.bls.gov/timeseries/CUUR0000SS31022" TargetMode="External" Id="rId1007"/><Relationship Type="http://schemas.openxmlformats.org/officeDocument/2006/relationships/hyperlink" Target="https://data.bls.gov/timeseries/CUUR0000SS31022" TargetMode="External" Id="rId1008"/><Relationship Type="http://schemas.openxmlformats.org/officeDocument/2006/relationships/hyperlink" Target="https://data.bls.gov/timeseries/CUUR0000SS62055" TargetMode="External" Id="rId1009"/><Relationship Type="http://schemas.openxmlformats.org/officeDocument/2006/relationships/hyperlink" Target="https://data.bls.gov/timeseries/CUUR0000SS62055" TargetMode="External" Id="rId1010"/><Relationship Type="http://schemas.openxmlformats.org/officeDocument/2006/relationships/hyperlink" Target="https://data.bls.gov/timeseries/CUUR0000SERA05" TargetMode="External" Id="rId1011"/><Relationship Type="http://schemas.openxmlformats.org/officeDocument/2006/relationships/hyperlink" Target="https://data.bls.gov/timeseries/CUUR0000SERA05" TargetMode="External" Id="rId1012"/><Relationship Type="http://schemas.openxmlformats.org/officeDocument/2006/relationships/hyperlink" Target="https://data.bls.gov/timeseries/CUSR0000SERA05" TargetMode="External" Id="rId1013"/><Relationship Type="http://schemas.openxmlformats.org/officeDocument/2006/relationships/hyperlink" Target="https://data.bls.gov/timeseries/CUSR0000SERA05" TargetMode="External" Id="rId1014"/><Relationship Type="http://schemas.openxmlformats.org/officeDocument/2006/relationships/hyperlink" Target="https://data.bls.gov/timeseries/CUUR0000SERA06" TargetMode="External" Id="rId1015"/><Relationship Type="http://schemas.openxmlformats.org/officeDocument/2006/relationships/hyperlink" Target="https://data.bls.gov/timeseries/CUUR0000SERA06" TargetMode="External" Id="rId1016"/><Relationship Type="http://schemas.openxmlformats.org/officeDocument/2006/relationships/hyperlink" Target="https://data.bls.gov/timeseries/CUUR0000SERB" TargetMode="External" Id="rId1017"/><Relationship Type="http://schemas.openxmlformats.org/officeDocument/2006/relationships/hyperlink" Target="https://data.bls.gov/timeseries/CUUR0000SERB" TargetMode="External" Id="rId1018"/><Relationship Type="http://schemas.openxmlformats.org/officeDocument/2006/relationships/hyperlink" Target="https://data.bls.gov/timeseries/CUSR0000SERB" TargetMode="External" Id="rId1019"/><Relationship Type="http://schemas.openxmlformats.org/officeDocument/2006/relationships/hyperlink" Target="https://data.bls.gov/timeseries/CUSR0000SERB" TargetMode="External" Id="rId1020"/><Relationship Type="http://schemas.openxmlformats.org/officeDocument/2006/relationships/hyperlink" Target="https://data.bls.gov/timeseries/CUUR0000SERB01" TargetMode="External" Id="rId1021"/><Relationship Type="http://schemas.openxmlformats.org/officeDocument/2006/relationships/hyperlink" Target="https://data.bls.gov/timeseries/CUUR0000SERB01" TargetMode="External" Id="rId1022"/><Relationship Type="http://schemas.openxmlformats.org/officeDocument/2006/relationships/hyperlink" Target="https://data.bls.gov/timeseries/CUSR0000SERB01" TargetMode="External" Id="rId1023"/><Relationship Type="http://schemas.openxmlformats.org/officeDocument/2006/relationships/hyperlink" Target="https://data.bls.gov/timeseries/CUSR0000SERB01" TargetMode="External" Id="rId1024"/><Relationship Type="http://schemas.openxmlformats.org/officeDocument/2006/relationships/hyperlink" Target="https://data.bls.gov/timeseries/CUUR0000SS61031" TargetMode="External" Id="rId1025"/><Relationship Type="http://schemas.openxmlformats.org/officeDocument/2006/relationships/hyperlink" Target="https://data.bls.gov/timeseries/CUUR0000SS61031" TargetMode="External" Id="rId1026"/><Relationship Type="http://schemas.openxmlformats.org/officeDocument/2006/relationships/hyperlink" Target="https://data.bls.gov/timeseries/CUSR0000SS61031" TargetMode="External" Id="rId1027"/><Relationship Type="http://schemas.openxmlformats.org/officeDocument/2006/relationships/hyperlink" Target="https://data.bls.gov/timeseries/CUSR0000SS61031" TargetMode="External" Id="rId1028"/><Relationship Type="http://schemas.openxmlformats.org/officeDocument/2006/relationships/hyperlink" Target="https://data.bls.gov/timeseries/CUUR0000SS61032" TargetMode="External" Id="rId1029"/><Relationship Type="http://schemas.openxmlformats.org/officeDocument/2006/relationships/hyperlink" Target="https://data.bls.gov/timeseries/CUUR0000SS61032" TargetMode="External" Id="rId1030"/><Relationship Type="http://schemas.openxmlformats.org/officeDocument/2006/relationships/hyperlink" Target="https://data.bls.gov/timeseries/CUSR0000SS61032" TargetMode="External" Id="rId1031"/><Relationship Type="http://schemas.openxmlformats.org/officeDocument/2006/relationships/hyperlink" Target="https://data.bls.gov/timeseries/CUSR0000SS61032" TargetMode="External" Id="rId1032"/><Relationship Type="http://schemas.openxmlformats.org/officeDocument/2006/relationships/hyperlink" Target="https://data.bls.gov/timeseries/CUUR0000SERB02" TargetMode="External" Id="rId1033"/><Relationship Type="http://schemas.openxmlformats.org/officeDocument/2006/relationships/hyperlink" Target="https://data.bls.gov/timeseries/CUUR0000SERB02" TargetMode="External" Id="rId1034"/><Relationship Type="http://schemas.openxmlformats.org/officeDocument/2006/relationships/hyperlink" Target="https://data.bls.gov/timeseries/CUSR0000SERB02" TargetMode="External" Id="rId1035"/><Relationship Type="http://schemas.openxmlformats.org/officeDocument/2006/relationships/hyperlink" Target="https://data.bls.gov/timeseries/CUSR0000SERB02" TargetMode="External" Id="rId1036"/><Relationship Type="http://schemas.openxmlformats.org/officeDocument/2006/relationships/hyperlink" Target="https://data.bls.gov/timeseries/CUUR0000SS62053" TargetMode="External" Id="rId1037"/><Relationship Type="http://schemas.openxmlformats.org/officeDocument/2006/relationships/hyperlink" Target="https://data.bls.gov/timeseries/CUUR0000SS62053" TargetMode="External" Id="rId1038"/><Relationship Type="http://schemas.openxmlformats.org/officeDocument/2006/relationships/hyperlink" Target="https://data.bls.gov/timeseries/CUSR0000SS62053" TargetMode="External" Id="rId1039"/><Relationship Type="http://schemas.openxmlformats.org/officeDocument/2006/relationships/hyperlink" Target="https://data.bls.gov/timeseries/CUSR0000SS62053" TargetMode="External" Id="rId1040"/><Relationship Type="http://schemas.openxmlformats.org/officeDocument/2006/relationships/hyperlink" Target="https://data.bls.gov/timeseries/CUUR0000SS62054" TargetMode="External" Id="rId1041"/><Relationship Type="http://schemas.openxmlformats.org/officeDocument/2006/relationships/hyperlink" Target="https://data.bls.gov/timeseries/CUUR0000SS62054" TargetMode="External" Id="rId1042"/><Relationship Type="http://schemas.openxmlformats.org/officeDocument/2006/relationships/hyperlink" Target="https://data.bls.gov/timeseries/CUSR0000SS62054" TargetMode="External" Id="rId1043"/><Relationship Type="http://schemas.openxmlformats.org/officeDocument/2006/relationships/hyperlink" Target="https://data.bls.gov/timeseries/CUSR0000SS62054" TargetMode="External" Id="rId1044"/><Relationship Type="http://schemas.openxmlformats.org/officeDocument/2006/relationships/hyperlink" Target="https://data.bls.gov/timeseries/CUUR0000SERC" TargetMode="External" Id="rId1045"/><Relationship Type="http://schemas.openxmlformats.org/officeDocument/2006/relationships/hyperlink" Target="https://data.bls.gov/timeseries/CUUR0000SERC" TargetMode="External" Id="rId1046"/><Relationship Type="http://schemas.openxmlformats.org/officeDocument/2006/relationships/hyperlink" Target="https://data.bls.gov/timeseries/CUSR0000SERC" TargetMode="External" Id="rId1047"/><Relationship Type="http://schemas.openxmlformats.org/officeDocument/2006/relationships/hyperlink" Target="https://data.bls.gov/timeseries/CUSR0000SERC" TargetMode="External" Id="rId1048"/><Relationship Type="http://schemas.openxmlformats.org/officeDocument/2006/relationships/hyperlink" Target="https://data.bls.gov/timeseries/CUUR0000SERC01" TargetMode="External" Id="rId1049"/><Relationship Type="http://schemas.openxmlformats.org/officeDocument/2006/relationships/hyperlink" Target="https://data.bls.gov/timeseries/CUUR0000SERC01" TargetMode="External" Id="rId1050"/><Relationship Type="http://schemas.openxmlformats.org/officeDocument/2006/relationships/hyperlink" Target="https://data.bls.gov/timeseries/CUSR0000SERC01" TargetMode="External" Id="rId1051"/><Relationship Type="http://schemas.openxmlformats.org/officeDocument/2006/relationships/hyperlink" Target="https://data.bls.gov/timeseries/CUSR0000SERC01" TargetMode="External" Id="rId1052"/><Relationship Type="http://schemas.openxmlformats.org/officeDocument/2006/relationships/hyperlink" Target="https://data.bls.gov/timeseries/CUUR0000SERC02" TargetMode="External" Id="rId1053"/><Relationship Type="http://schemas.openxmlformats.org/officeDocument/2006/relationships/hyperlink" Target="https://data.bls.gov/timeseries/CUUR0000SERC02" TargetMode="External" Id="rId1054"/><Relationship Type="http://schemas.openxmlformats.org/officeDocument/2006/relationships/hyperlink" Target="https://data.bls.gov/timeseries/CUSR0000SERC02" TargetMode="External" Id="rId1055"/><Relationship Type="http://schemas.openxmlformats.org/officeDocument/2006/relationships/hyperlink" Target="https://data.bls.gov/timeseries/CUSR0000SERC02" TargetMode="External" Id="rId1056"/><Relationship Type="http://schemas.openxmlformats.org/officeDocument/2006/relationships/hyperlink" Target="https://data.bls.gov/timeseries/CUUR0000SERD" TargetMode="External" Id="rId1057"/><Relationship Type="http://schemas.openxmlformats.org/officeDocument/2006/relationships/hyperlink" Target="https://data.bls.gov/timeseries/CUUR0000SERD" TargetMode="External" Id="rId1058"/><Relationship Type="http://schemas.openxmlformats.org/officeDocument/2006/relationships/hyperlink" Target="https://data.bls.gov/timeseries/CUSR0000SERD" TargetMode="External" Id="rId1059"/><Relationship Type="http://schemas.openxmlformats.org/officeDocument/2006/relationships/hyperlink" Target="https://data.bls.gov/timeseries/CUSR0000SERD" TargetMode="External" Id="rId1060"/><Relationship Type="http://schemas.openxmlformats.org/officeDocument/2006/relationships/hyperlink" Target="https://data.bls.gov/timeseries/CUUR0000SERD01" TargetMode="External" Id="rId1061"/><Relationship Type="http://schemas.openxmlformats.org/officeDocument/2006/relationships/hyperlink" Target="https://data.bls.gov/timeseries/CUUR0000SERD01" TargetMode="External" Id="rId1062"/><Relationship Type="http://schemas.openxmlformats.org/officeDocument/2006/relationships/hyperlink" Target="https://data.bls.gov/timeseries/CUSR0000SERD01" TargetMode="External" Id="rId1063"/><Relationship Type="http://schemas.openxmlformats.org/officeDocument/2006/relationships/hyperlink" Target="https://data.bls.gov/timeseries/CUSR0000SERD01" TargetMode="External" Id="rId1064"/><Relationship Type="http://schemas.openxmlformats.org/officeDocument/2006/relationships/hyperlink" Target="https://data.bls.gov/timeseries/CUUR0000SS61021" TargetMode="External" Id="rId1065"/><Relationship Type="http://schemas.openxmlformats.org/officeDocument/2006/relationships/hyperlink" Target="https://data.bls.gov/timeseries/CUUR0000SS61021" TargetMode="External" Id="rId1066"/><Relationship Type="http://schemas.openxmlformats.org/officeDocument/2006/relationships/hyperlink" Target="https://data.bls.gov/timeseries/CUUR0000SS61023" TargetMode="External" Id="rId1067"/><Relationship Type="http://schemas.openxmlformats.org/officeDocument/2006/relationships/hyperlink" Target="https://data.bls.gov/timeseries/CUUR0000SS61023" TargetMode="External" Id="rId1068"/><Relationship Type="http://schemas.openxmlformats.org/officeDocument/2006/relationships/hyperlink" Target="https://data.bls.gov/timeseries/CUSR0000SS61023" TargetMode="External" Id="rId1069"/><Relationship Type="http://schemas.openxmlformats.org/officeDocument/2006/relationships/hyperlink" Target="https://data.bls.gov/timeseries/CUSR0000SS61023" TargetMode="External" Id="rId1070"/><Relationship Type="http://schemas.openxmlformats.org/officeDocument/2006/relationships/hyperlink" Target="https://data.bls.gov/timeseries/CUUR0000SERD02" TargetMode="External" Id="rId1071"/><Relationship Type="http://schemas.openxmlformats.org/officeDocument/2006/relationships/hyperlink" Target="https://data.bls.gov/timeseries/CUUR0000SERD02" TargetMode="External" Id="rId1072"/><Relationship Type="http://schemas.openxmlformats.org/officeDocument/2006/relationships/hyperlink" Target="https://data.bls.gov/timeseries/CUUR0000SS62051" TargetMode="External" Id="rId1073"/><Relationship Type="http://schemas.openxmlformats.org/officeDocument/2006/relationships/hyperlink" Target="https://data.bls.gov/timeseries/CUUR0000SS62051" TargetMode="External" Id="rId1074"/><Relationship Type="http://schemas.openxmlformats.org/officeDocument/2006/relationships/hyperlink" Target="https://data.bls.gov/timeseries/CUUR0000SS62052" TargetMode="External" Id="rId1075"/><Relationship Type="http://schemas.openxmlformats.org/officeDocument/2006/relationships/hyperlink" Target="https://data.bls.gov/timeseries/CUUR0000SS62052" TargetMode="External" Id="rId1076"/><Relationship Type="http://schemas.openxmlformats.org/officeDocument/2006/relationships/hyperlink" Target="https://data.bls.gov/timeseries/CUUR0000SERE" TargetMode="External" Id="rId1077"/><Relationship Type="http://schemas.openxmlformats.org/officeDocument/2006/relationships/hyperlink" Target="https://data.bls.gov/timeseries/CUUR0000SERE" TargetMode="External" Id="rId1078"/><Relationship Type="http://schemas.openxmlformats.org/officeDocument/2006/relationships/hyperlink" Target="https://data.bls.gov/timeseries/CUSR0000SERE" TargetMode="External" Id="rId1079"/><Relationship Type="http://schemas.openxmlformats.org/officeDocument/2006/relationships/hyperlink" Target="https://data.bls.gov/timeseries/CUSR0000SERE" TargetMode="External" Id="rId1080"/><Relationship Type="http://schemas.openxmlformats.org/officeDocument/2006/relationships/hyperlink" Target="https://data.bls.gov/timeseries/CUUR0000SERE01" TargetMode="External" Id="rId1081"/><Relationship Type="http://schemas.openxmlformats.org/officeDocument/2006/relationships/hyperlink" Target="https://data.bls.gov/timeseries/CUUR0000SERE01" TargetMode="External" Id="rId1082"/><Relationship Type="http://schemas.openxmlformats.org/officeDocument/2006/relationships/hyperlink" Target="https://data.bls.gov/timeseries/CUSR0000SERE01" TargetMode="External" Id="rId1083"/><Relationship Type="http://schemas.openxmlformats.org/officeDocument/2006/relationships/hyperlink" Target="https://data.bls.gov/timeseries/CUSR0000SERE01" TargetMode="External" Id="rId1084"/><Relationship Type="http://schemas.openxmlformats.org/officeDocument/2006/relationships/hyperlink" Target="https://data.bls.gov/timeseries/CUUR0000SS61011" TargetMode="External" Id="rId1085"/><Relationship Type="http://schemas.openxmlformats.org/officeDocument/2006/relationships/hyperlink" Target="https://data.bls.gov/timeseries/CUUR0000SS61011" TargetMode="External" Id="rId1086"/><Relationship Type="http://schemas.openxmlformats.org/officeDocument/2006/relationships/hyperlink" Target="https://data.bls.gov/timeseries/CUSR0000SS61011" TargetMode="External" Id="rId1087"/><Relationship Type="http://schemas.openxmlformats.org/officeDocument/2006/relationships/hyperlink" Target="https://data.bls.gov/timeseries/CUSR0000SS61011" TargetMode="External" Id="rId1088"/><Relationship Type="http://schemas.openxmlformats.org/officeDocument/2006/relationships/hyperlink" Target="https://data.bls.gov/timeseries/CUUR0000SS31023" TargetMode="External" Id="rId1089"/><Relationship Type="http://schemas.openxmlformats.org/officeDocument/2006/relationships/hyperlink" Target="https://data.bls.gov/timeseries/CUUR0000SS31023" TargetMode="External" Id="rId1090"/><Relationship Type="http://schemas.openxmlformats.org/officeDocument/2006/relationships/hyperlink" Target="https://data.bls.gov/timeseries/CUUR0000SERE02" TargetMode="External" Id="rId1091"/><Relationship Type="http://schemas.openxmlformats.org/officeDocument/2006/relationships/hyperlink" Target="https://data.bls.gov/timeseries/CUUR0000SERE02" TargetMode="External" Id="rId1092"/><Relationship Type="http://schemas.openxmlformats.org/officeDocument/2006/relationships/hyperlink" Target="https://data.bls.gov/timeseries/CUSR0000SERE02" TargetMode="External" Id="rId1093"/><Relationship Type="http://schemas.openxmlformats.org/officeDocument/2006/relationships/hyperlink" Target="https://data.bls.gov/timeseries/CUSR0000SERE02" TargetMode="External" Id="rId1094"/><Relationship Type="http://schemas.openxmlformats.org/officeDocument/2006/relationships/hyperlink" Target="https://data.bls.gov/timeseries/CUUR0000SERE03" TargetMode="External" Id="rId1095"/><Relationship Type="http://schemas.openxmlformats.org/officeDocument/2006/relationships/hyperlink" Target="https://data.bls.gov/timeseries/CUUR0000SERE03" TargetMode="External" Id="rId1096"/><Relationship Type="http://schemas.openxmlformats.org/officeDocument/2006/relationships/hyperlink" Target="https://data.bls.gov/timeseries/CUSR0000SERE03" TargetMode="External" Id="rId1097"/><Relationship Type="http://schemas.openxmlformats.org/officeDocument/2006/relationships/hyperlink" Target="https://data.bls.gov/timeseries/CUSR0000SERE03" TargetMode="External" Id="rId1098"/><Relationship Type="http://schemas.openxmlformats.org/officeDocument/2006/relationships/hyperlink" Target="https://data.bls.gov/timeseries/CUUR0000SERF" TargetMode="External" Id="rId1099"/><Relationship Type="http://schemas.openxmlformats.org/officeDocument/2006/relationships/hyperlink" Target="https://data.bls.gov/timeseries/CUUR0000SERF" TargetMode="External" Id="rId1100"/><Relationship Type="http://schemas.openxmlformats.org/officeDocument/2006/relationships/hyperlink" Target="https://data.bls.gov/timeseries/CUSR0000SERF" TargetMode="External" Id="rId1101"/><Relationship Type="http://schemas.openxmlformats.org/officeDocument/2006/relationships/hyperlink" Target="https://data.bls.gov/timeseries/CUSR0000SERF" TargetMode="External" Id="rId1102"/><Relationship Type="http://schemas.openxmlformats.org/officeDocument/2006/relationships/hyperlink" Target="https://data.bls.gov/timeseries/CUUR0000SERF01" TargetMode="External" Id="rId1103"/><Relationship Type="http://schemas.openxmlformats.org/officeDocument/2006/relationships/hyperlink" Target="https://data.bls.gov/timeseries/CUUR0000SERF01" TargetMode="External" Id="rId1104"/><Relationship Type="http://schemas.openxmlformats.org/officeDocument/2006/relationships/hyperlink" Target="https://data.bls.gov/timeseries/CUSR0000SERF01" TargetMode="External" Id="rId1105"/><Relationship Type="http://schemas.openxmlformats.org/officeDocument/2006/relationships/hyperlink" Target="https://data.bls.gov/timeseries/CUSR0000SERF01" TargetMode="External" Id="rId1106"/><Relationship Type="http://schemas.openxmlformats.org/officeDocument/2006/relationships/hyperlink" Target="https://data.bls.gov/timeseries/CUUR0000SERF02" TargetMode="External" Id="rId1107"/><Relationship Type="http://schemas.openxmlformats.org/officeDocument/2006/relationships/hyperlink" Target="https://data.bls.gov/timeseries/CUUR0000SERF02" TargetMode="External" Id="rId1108"/><Relationship Type="http://schemas.openxmlformats.org/officeDocument/2006/relationships/hyperlink" Target="https://data.bls.gov/timeseries/CUSR0000SERF02" TargetMode="External" Id="rId1109"/><Relationship Type="http://schemas.openxmlformats.org/officeDocument/2006/relationships/hyperlink" Target="https://data.bls.gov/timeseries/CUSR0000SERF02" TargetMode="External" Id="rId1110"/><Relationship Type="http://schemas.openxmlformats.org/officeDocument/2006/relationships/hyperlink" Target="https://data.bls.gov/timeseries/CUUR0000SS62031" TargetMode="External" Id="rId1111"/><Relationship Type="http://schemas.openxmlformats.org/officeDocument/2006/relationships/hyperlink" Target="https://data.bls.gov/timeseries/CUUR0000SS62031" TargetMode="External" Id="rId1112"/><Relationship Type="http://schemas.openxmlformats.org/officeDocument/2006/relationships/hyperlink" Target="https://data.bls.gov/timeseries/CUSR0000SS62031" TargetMode="External" Id="rId1113"/><Relationship Type="http://schemas.openxmlformats.org/officeDocument/2006/relationships/hyperlink" Target="https://data.bls.gov/timeseries/CUSR0000SS62031" TargetMode="External" Id="rId1114"/><Relationship Type="http://schemas.openxmlformats.org/officeDocument/2006/relationships/hyperlink" Target="https://data.bls.gov/timeseries/CUUR0000SS62032" TargetMode="External" Id="rId1115"/><Relationship Type="http://schemas.openxmlformats.org/officeDocument/2006/relationships/hyperlink" Target="https://data.bls.gov/timeseries/CUUR0000SS62032" TargetMode="External" Id="rId1116"/><Relationship Type="http://schemas.openxmlformats.org/officeDocument/2006/relationships/hyperlink" Target="https://data.bls.gov/timeseries/CUSR0000SS62032" TargetMode="External" Id="rId1117"/><Relationship Type="http://schemas.openxmlformats.org/officeDocument/2006/relationships/hyperlink" Target="https://data.bls.gov/timeseries/CUSR0000SS62032" TargetMode="External" Id="rId1118"/><Relationship Type="http://schemas.openxmlformats.org/officeDocument/2006/relationships/hyperlink" Target="https://data.bls.gov/timeseries/CUUR0000SERF03" TargetMode="External" Id="rId1119"/><Relationship Type="http://schemas.openxmlformats.org/officeDocument/2006/relationships/hyperlink" Target="https://data.bls.gov/timeseries/CUUR0000SERF03" TargetMode="External" Id="rId1120"/><Relationship Type="http://schemas.openxmlformats.org/officeDocument/2006/relationships/hyperlink" Target="https://data.bls.gov/timeseries/CUSR0000SERF03" TargetMode="External" Id="rId1121"/><Relationship Type="http://schemas.openxmlformats.org/officeDocument/2006/relationships/hyperlink" Target="https://data.bls.gov/timeseries/CUSR0000SERF03" TargetMode="External" Id="rId1122"/><Relationship Type="http://schemas.openxmlformats.org/officeDocument/2006/relationships/hyperlink" Target="https://data.bls.gov/timeseries/CUUR0000SERG" TargetMode="External" Id="rId1123"/><Relationship Type="http://schemas.openxmlformats.org/officeDocument/2006/relationships/hyperlink" Target="https://data.bls.gov/timeseries/CUUR0000SERG" TargetMode="External" Id="rId1124"/><Relationship Type="http://schemas.openxmlformats.org/officeDocument/2006/relationships/hyperlink" Target="https://data.bls.gov/timeseries/CUSR0000SERG" TargetMode="External" Id="rId1125"/><Relationship Type="http://schemas.openxmlformats.org/officeDocument/2006/relationships/hyperlink" Target="https://data.bls.gov/timeseries/CUSR0000SERG" TargetMode="External" Id="rId1126"/><Relationship Type="http://schemas.openxmlformats.org/officeDocument/2006/relationships/hyperlink" Target="https://data.bls.gov/timeseries/CUUR0000SERG01" TargetMode="External" Id="rId1127"/><Relationship Type="http://schemas.openxmlformats.org/officeDocument/2006/relationships/hyperlink" Target="https://data.bls.gov/timeseries/CUUR0000SERG01" TargetMode="External" Id="rId1128"/><Relationship Type="http://schemas.openxmlformats.org/officeDocument/2006/relationships/hyperlink" Target="https://data.bls.gov/timeseries/CUUR0000SERG02" TargetMode="External" Id="rId1129"/><Relationship Type="http://schemas.openxmlformats.org/officeDocument/2006/relationships/hyperlink" Target="https://data.bls.gov/timeseries/CUUR0000SERG02" TargetMode="External" Id="rId1130"/><Relationship Type="http://schemas.openxmlformats.org/officeDocument/2006/relationships/hyperlink" Target="https://data.bls.gov/timeseries/CUUR0000SAE" TargetMode="External" Id="rId1131"/><Relationship Type="http://schemas.openxmlformats.org/officeDocument/2006/relationships/hyperlink" Target="https://data.bls.gov/timeseries/CUUR0000SAE" TargetMode="External" Id="rId1132"/><Relationship Type="http://schemas.openxmlformats.org/officeDocument/2006/relationships/hyperlink" Target="https://data.bls.gov/timeseries/CUSR0000SAE" TargetMode="External" Id="rId1133"/><Relationship Type="http://schemas.openxmlformats.org/officeDocument/2006/relationships/hyperlink" Target="https://data.bls.gov/timeseries/CUSR0000SAE" TargetMode="External" Id="rId1134"/><Relationship Type="http://schemas.openxmlformats.org/officeDocument/2006/relationships/hyperlink" Target="https://data.bls.gov/timeseries/CUUR0000SAE1" TargetMode="External" Id="rId1135"/><Relationship Type="http://schemas.openxmlformats.org/officeDocument/2006/relationships/hyperlink" Target="https://data.bls.gov/timeseries/CUUR0000SAE1" TargetMode="External" Id="rId1136"/><Relationship Type="http://schemas.openxmlformats.org/officeDocument/2006/relationships/hyperlink" Target="https://data.bls.gov/timeseries/CUSR0000SAE1" TargetMode="External" Id="rId1137"/><Relationship Type="http://schemas.openxmlformats.org/officeDocument/2006/relationships/hyperlink" Target="https://data.bls.gov/timeseries/CUSR0000SAE1" TargetMode="External" Id="rId1138"/><Relationship Type="http://schemas.openxmlformats.org/officeDocument/2006/relationships/hyperlink" Target="https://data.bls.gov/timeseries/CUUR0000SEEA" TargetMode="External" Id="rId1139"/><Relationship Type="http://schemas.openxmlformats.org/officeDocument/2006/relationships/hyperlink" Target="https://data.bls.gov/timeseries/CUUR0000SEEA" TargetMode="External" Id="rId1140"/><Relationship Type="http://schemas.openxmlformats.org/officeDocument/2006/relationships/hyperlink" Target="https://data.bls.gov/timeseries/CUSR0000SEEA" TargetMode="External" Id="rId1141"/><Relationship Type="http://schemas.openxmlformats.org/officeDocument/2006/relationships/hyperlink" Target="https://data.bls.gov/timeseries/CUSR0000SEEA" TargetMode="External" Id="rId1142"/><Relationship Type="http://schemas.openxmlformats.org/officeDocument/2006/relationships/hyperlink" Target="https://data.bls.gov/timeseries/CUUR0000SSEA011" TargetMode="External" Id="rId1143"/><Relationship Type="http://schemas.openxmlformats.org/officeDocument/2006/relationships/hyperlink" Target="https://data.bls.gov/timeseries/CUUR0000SSEA011" TargetMode="External" Id="rId1144"/><Relationship Type="http://schemas.openxmlformats.org/officeDocument/2006/relationships/hyperlink" Target="https://data.bls.gov/timeseries/CUUR0000SEEB" TargetMode="External" Id="rId1145"/><Relationship Type="http://schemas.openxmlformats.org/officeDocument/2006/relationships/hyperlink" Target="https://data.bls.gov/timeseries/CUUR0000SEEB" TargetMode="External" Id="rId1146"/><Relationship Type="http://schemas.openxmlformats.org/officeDocument/2006/relationships/hyperlink" Target="https://data.bls.gov/timeseries/CUSR0000SEEB" TargetMode="External" Id="rId1147"/><Relationship Type="http://schemas.openxmlformats.org/officeDocument/2006/relationships/hyperlink" Target="https://data.bls.gov/timeseries/CUSR0000SEEB" TargetMode="External" Id="rId1148"/><Relationship Type="http://schemas.openxmlformats.org/officeDocument/2006/relationships/hyperlink" Target="https://data.bls.gov/timeseries/CUUR0000SEEB01" TargetMode="External" Id="rId1149"/><Relationship Type="http://schemas.openxmlformats.org/officeDocument/2006/relationships/hyperlink" Target="https://data.bls.gov/timeseries/CUUR0000SEEB01" TargetMode="External" Id="rId1150"/><Relationship Type="http://schemas.openxmlformats.org/officeDocument/2006/relationships/hyperlink" Target="https://data.bls.gov/timeseries/CUSR0000SEEB01" TargetMode="External" Id="rId1151"/><Relationship Type="http://schemas.openxmlformats.org/officeDocument/2006/relationships/hyperlink" Target="https://data.bls.gov/timeseries/CUSR0000SEEB01" TargetMode="External" Id="rId1152"/><Relationship Type="http://schemas.openxmlformats.org/officeDocument/2006/relationships/hyperlink" Target="https://data.bls.gov/timeseries/CUUR0000SEEB02" TargetMode="External" Id="rId1153"/><Relationship Type="http://schemas.openxmlformats.org/officeDocument/2006/relationships/hyperlink" Target="https://data.bls.gov/timeseries/CUUR0000SEEB02" TargetMode="External" Id="rId1154"/><Relationship Type="http://schemas.openxmlformats.org/officeDocument/2006/relationships/hyperlink" Target="https://data.bls.gov/timeseries/CUSR0000SEEB02" TargetMode="External" Id="rId1155"/><Relationship Type="http://schemas.openxmlformats.org/officeDocument/2006/relationships/hyperlink" Target="https://data.bls.gov/timeseries/CUSR0000SEEB02" TargetMode="External" Id="rId1156"/><Relationship Type="http://schemas.openxmlformats.org/officeDocument/2006/relationships/hyperlink" Target="https://data.bls.gov/timeseries/CUUR0000SEEB03" TargetMode="External" Id="rId1157"/><Relationship Type="http://schemas.openxmlformats.org/officeDocument/2006/relationships/hyperlink" Target="https://data.bls.gov/timeseries/CUUR0000SEEB03" TargetMode="External" Id="rId1158"/><Relationship Type="http://schemas.openxmlformats.org/officeDocument/2006/relationships/hyperlink" Target="https://data.bls.gov/timeseries/CUSR0000SEEB03" TargetMode="External" Id="rId1159"/><Relationship Type="http://schemas.openxmlformats.org/officeDocument/2006/relationships/hyperlink" Target="https://data.bls.gov/timeseries/CUSR0000SEEB03" TargetMode="External" Id="rId1160"/><Relationship Type="http://schemas.openxmlformats.org/officeDocument/2006/relationships/hyperlink" Target="https://data.bls.gov/timeseries/CUUR0000SEEB04" TargetMode="External" Id="rId1161"/><Relationship Type="http://schemas.openxmlformats.org/officeDocument/2006/relationships/hyperlink" Target="https://data.bls.gov/timeseries/CUUR0000SEEB04" TargetMode="External" Id="rId1162"/><Relationship Type="http://schemas.openxmlformats.org/officeDocument/2006/relationships/hyperlink" Target="https://data.bls.gov/timeseries/CUSR0000SEEB04" TargetMode="External" Id="rId1163"/><Relationship Type="http://schemas.openxmlformats.org/officeDocument/2006/relationships/hyperlink" Target="https://data.bls.gov/timeseries/CUSR0000SEEB04" TargetMode="External" Id="rId1164"/><Relationship Type="http://schemas.openxmlformats.org/officeDocument/2006/relationships/hyperlink" Target="https://data.bls.gov/timeseries/CUUR0000SAE2" TargetMode="External" Id="rId1165"/><Relationship Type="http://schemas.openxmlformats.org/officeDocument/2006/relationships/hyperlink" Target="https://data.bls.gov/timeseries/CUUR0000SAE2" TargetMode="External" Id="rId1166"/><Relationship Type="http://schemas.openxmlformats.org/officeDocument/2006/relationships/hyperlink" Target="https://data.bls.gov/timeseries/CUSR0000SAE2" TargetMode="External" Id="rId1167"/><Relationship Type="http://schemas.openxmlformats.org/officeDocument/2006/relationships/hyperlink" Target="https://data.bls.gov/timeseries/CUSR0000SAE2" TargetMode="External" Id="rId1168"/><Relationship Type="http://schemas.openxmlformats.org/officeDocument/2006/relationships/hyperlink" Target="https://data.bls.gov/timeseries/CUUR0000SEEC" TargetMode="External" Id="rId1169"/><Relationship Type="http://schemas.openxmlformats.org/officeDocument/2006/relationships/hyperlink" Target="https://data.bls.gov/timeseries/CUUR0000SEEC" TargetMode="External" Id="rId1170"/><Relationship Type="http://schemas.openxmlformats.org/officeDocument/2006/relationships/hyperlink" Target="https://data.bls.gov/timeseries/CUSR0000SEEC" TargetMode="External" Id="rId1171"/><Relationship Type="http://schemas.openxmlformats.org/officeDocument/2006/relationships/hyperlink" Target="https://data.bls.gov/timeseries/CUSR0000SEEC" TargetMode="External" Id="rId1172"/><Relationship Type="http://schemas.openxmlformats.org/officeDocument/2006/relationships/hyperlink" Target="https://data.bls.gov/timeseries/CUUR0000SEEC01" TargetMode="External" Id="rId1173"/><Relationship Type="http://schemas.openxmlformats.org/officeDocument/2006/relationships/hyperlink" Target="https://data.bls.gov/timeseries/CUUR0000SEEC01" TargetMode="External" Id="rId1174"/><Relationship Type="http://schemas.openxmlformats.org/officeDocument/2006/relationships/hyperlink" Target="https://data.bls.gov/timeseries/CUSR0000SEEC01" TargetMode="External" Id="rId1175"/><Relationship Type="http://schemas.openxmlformats.org/officeDocument/2006/relationships/hyperlink" Target="https://data.bls.gov/timeseries/CUSR0000SEEC01" TargetMode="External" Id="rId1176"/><Relationship Type="http://schemas.openxmlformats.org/officeDocument/2006/relationships/hyperlink" Target="https://data.bls.gov/timeseries/CUUR0000SEEC02" TargetMode="External" Id="rId1177"/><Relationship Type="http://schemas.openxmlformats.org/officeDocument/2006/relationships/hyperlink" Target="https://data.bls.gov/timeseries/CUUR0000SEEC02" TargetMode="External" Id="rId1178"/><Relationship Type="http://schemas.openxmlformats.org/officeDocument/2006/relationships/hyperlink" Target="https://data.bls.gov/timeseries/CUSR0000SEEC02" TargetMode="External" Id="rId1179"/><Relationship Type="http://schemas.openxmlformats.org/officeDocument/2006/relationships/hyperlink" Target="https://data.bls.gov/timeseries/CUSR0000SEEC02" TargetMode="External" Id="rId1180"/><Relationship Type="http://schemas.openxmlformats.org/officeDocument/2006/relationships/hyperlink" Target="https://data.bls.gov/timeseries/CUUR0000SAE21" TargetMode="External" Id="rId1181"/><Relationship Type="http://schemas.openxmlformats.org/officeDocument/2006/relationships/hyperlink" Target="https://data.bls.gov/timeseries/CUUR0000SAE21" TargetMode="External" Id="rId1182"/><Relationship Type="http://schemas.openxmlformats.org/officeDocument/2006/relationships/hyperlink" Target="https://data.bls.gov/timeseries/CUSR0000SAE21" TargetMode="External" Id="rId1183"/><Relationship Type="http://schemas.openxmlformats.org/officeDocument/2006/relationships/hyperlink" Target="https://data.bls.gov/timeseries/CUSR0000SAE21" TargetMode="External" Id="rId1184"/><Relationship Type="http://schemas.openxmlformats.org/officeDocument/2006/relationships/hyperlink" Target="https://data.bls.gov/timeseries/CUUR0000SEED" TargetMode="External" Id="rId1185"/><Relationship Type="http://schemas.openxmlformats.org/officeDocument/2006/relationships/hyperlink" Target="https://data.bls.gov/timeseries/CUUR0000SEED" TargetMode="External" Id="rId1186"/><Relationship Type="http://schemas.openxmlformats.org/officeDocument/2006/relationships/hyperlink" Target="https://data.bls.gov/timeseries/CUUR0000SEED03" TargetMode="External" Id="rId1187"/><Relationship Type="http://schemas.openxmlformats.org/officeDocument/2006/relationships/hyperlink" Target="https://data.bls.gov/timeseries/CUUR0000SEED03" TargetMode="External" Id="rId1188"/><Relationship Type="http://schemas.openxmlformats.org/officeDocument/2006/relationships/hyperlink" Target="https://data.bls.gov/timeseries/CUUR0000SEED04" TargetMode="External" Id="rId1189"/><Relationship Type="http://schemas.openxmlformats.org/officeDocument/2006/relationships/hyperlink" Target="https://data.bls.gov/timeseries/CUUR0000SEED04" TargetMode="External" Id="rId1190"/><Relationship Type="http://schemas.openxmlformats.org/officeDocument/2006/relationships/hyperlink" Target="https://data.bls.gov/timeseries/CUUR0000SS27051" TargetMode="External" Id="rId1191"/><Relationship Type="http://schemas.openxmlformats.org/officeDocument/2006/relationships/hyperlink" Target="https://data.bls.gov/timeseries/CUUR0000SS27051" TargetMode="External" Id="rId1192"/><Relationship Type="http://schemas.openxmlformats.org/officeDocument/2006/relationships/hyperlink" Target="https://data.bls.gov/timeseries/CUUR0000SS27061" TargetMode="External" Id="rId1193"/><Relationship Type="http://schemas.openxmlformats.org/officeDocument/2006/relationships/hyperlink" Target="https://data.bls.gov/timeseries/CUUR0000SS27061" TargetMode="External" Id="rId1194"/><Relationship Type="http://schemas.openxmlformats.org/officeDocument/2006/relationships/hyperlink" Target="https://data.bls.gov/timeseries/CUUR0000SEEE" TargetMode="External" Id="rId1195"/><Relationship Type="http://schemas.openxmlformats.org/officeDocument/2006/relationships/hyperlink" Target="https://data.bls.gov/timeseries/CUUR0000SEEE" TargetMode="External" Id="rId1196"/><Relationship Type="http://schemas.openxmlformats.org/officeDocument/2006/relationships/hyperlink" Target="https://data.bls.gov/timeseries/CUSR0000SEEE" TargetMode="External" Id="rId1197"/><Relationship Type="http://schemas.openxmlformats.org/officeDocument/2006/relationships/hyperlink" Target="https://data.bls.gov/timeseries/CUSR0000SEEE" TargetMode="External" Id="rId1198"/><Relationship Type="http://schemas.openxmlformats.org/officeDocument/2006/relationships/hyperlink" Target="https://data.bls.gov/timeseries/CUUR0000SEEE01" TargetMode="External" Id="rId1199"/><Relationship Type="http://schemas.openxmlformats.org/officeDocument/2006/relationships/hyperlink" Target="https://data.bls.gov/timeseries/CUUR0000SEEE01" TargetMode="External" Id="rId1200"/><Relationship Type="http://schemas.openxmlformats.org/officeDocument/2006/relationships/hyperlink" Target="https://data.bls.gov/timeseries/CUSR0000SEEE01" TargetMode="External" Id="rId1201"/><Relationship Type="http://schemas.openxmlformats.org/officeDocument/2006/relationships/hyperlink" Target="https://data.bls.gov/timeseries/CUSR0000SEEE01" TargetMode="External" Id="rId1202"/><Relationship Type="http://schemas.openxmlformats.org/officeDocument/2006/relationships/hyperlink" Target="https://data.bls.gov/timeseries/CUUR0000SEEE02" TargetMode="External" Id="rId1203"/><Relationship Type="http://schemas.openxmlformats.org/officeDocument/2006/relationships/hyperlink" Target="https://data.bls.gov/timeseries/CUUR0000SEEE02" TargetMode="External" Id="rId1204"/><Relationship Type="http://schemas.openxmlformats.org/officeDocument/2006/relationships/hyperlink" Target="https://data.bls.gov/timeseries/CUUR0000SEEE03" TargetMode="External" Id="rId1205"/><Relationship Type="http://schemas.openxmlformats.org/officeDocument/2006/relationships/hyperlink" Target="https://data.bls.gov/timeseries/CUUR0000SEEE03" TargetMode="External" Id="rId1206"/><Relationship Type="http://schemas.openxmlformats.org/officeDocument/2006/relationships/hyperlink" Target="https://data.bls.gov/timeseries/CUSR0000SEEE03" TargetMode="External" Id="rId1207"/><Relationship Type="http://schemas.openxmlformats.org/officeDocument/2006/relationships/hyperlink" Target="https://data.bls.gov/timeseries/CUSR0000SEEE03" TargetMode="External" Id="rId1208"/><Relationship Type="http://schemas.openxmlformats.org/officeDocument/2006/relationships/hyperlink" Target="https://data.bls.gov/timeseries/CUUR0000SEEE04" TargetMode="External" Id="rId1209"/><Relationship Type="http://schemas.openxmlformats.org/officeDocument/2006/relationships/hyperlink" Target="https://data.bls.gov/timeseries/CUUR0000SEEE04" TargetMode="External" Id="rId1210"/><Relationship Type="http://schemas.openxmlformats.org/officeDocument/2006/relationships/hyperlink" Target="https://data.bls.gov/timeseries/CUSR0000SEEE04" TargetMode="External" Id="rId1211"/><Relationship Type="http://schemas.openxmlformats.org/officeDocument/2006/relationships/hyperlink" Target="https://data.bls.gov/timeseries/CUSR0000SEEE04" TargetMode="External" Id="rId1212"/><Relationship Type="http://schemas.openxmlformats.org/officeDocument/2006/relationships/hyperlink" Target="https://data.bls.gov/timeseries/CUUR0000SSEE041" TargetMode="External" Id="rId1213"/><Relationship Type="http://schemas.openxmlformats.org/officeDocument/2006/relationships/hyperlink" Target="https://data.bls.gov/timeseries/CUUR0000SSEE041" TargetMode="External" Id="rId1214"/><Relationship Type="http://schemas.openxmlformats.org/officeDocument/2006/relationships/hyperlink" Target="https://data.bls.gov/timeseries/CUUR0000SAG" TargetMode="External" Id="rId1215"/><Relationship Type="http://schemas.openxmlformats.org/officeDocument/2006/relationships/hyperlink" Target="https://data.bls.gov/timeseries/CUUR0000SAG" TargetMode="External" Id="rId1216"/><Relationship Type="http://schemas.openxmlformats.org/officeDocument/2006/relationships/hyperlink" Target="https://data.bls.gov/timeseries/CUSR0000SAG" TargetMode="External" Id="rId1217"/><Relationship Type="http://schemas.openxmlformats.org/officeDocument/2006/relationships/hyperlink" Target="https://data.bls.gov/timeseries/CUSR0000SAG" TargetMode="External" Id="rId1218"/><Relationship Type="http://schemas.openxmlformats.org/officeDocument/2006/relationships/hyperlink" Target="https://data.bls.gov/timeseries/CUUR0000SEGA" TargetMode="External" Id="rId1219"/><Relationship Type="http://schemas.openxmlformats.org/officeDocument/2006/relationships/hyperlink" Target="https://data.bls.gov/timeseries/CUUR0000SEGA" TargetMode="External" Id="rId1220"/><Relationship Type="http://schemas.openxmlformats.org/officeDocument/2006/relationships/hyperlink" Target="https://data.bls.gov/timeseries/CUSR0000SEGA" TargetMode="External" Id="rId1221"/><Relationship Type="http://schemas.openxmlformats.org/officeDocument/2006/relationships/hyperlink" Target="https://data.bls.gov/timeseries/CUSR0000SEGA" TargetMode="External" Id="rId1222"/><Relationship Type="http://schemas.openxmlformats.org/officeDocument/2006/relationships/hyperlink" Target="https://data.bls.gov/timeseries/CUUR0000SEGA01" TargetMode="External" Id="rId1223"/><Relationship Type="http://schemas.openxmlformats.org/officeDocument/2006/relationships/hyperlink" Target="https://data.bls.gov/timeseries/CUUR0000SEGA01" TargetMode="External" Id="rId1224"/><Relationship Type="http://schemas.openxmlformats.org/officeDocument/2006/relationships/hyperlink" Target="https://data.bls.gov/timeseries/CUSR0000SEGA01" TargetMode="External" Id="rId1225"/><Relationship Type="http://schemas.openxmlformats.org/officeDocument/2006/relationships/hyperlink" Target="https://data.bls.gov/timeseries/CUSR0000SEGA01" TargetMode="External" Id="rId1226"/><Relationship Type="http://schemas.openxmlformats.org/officeDocument/2006/relationships/hyperlink" Target="https://data.bls.gov/timeseries/CUUR0000SEGA02" TargetMode="External" Id="rId1227"/><Relationship Type="http://schemas.openxmlformats.org/officeDocument/2006/relationships/hyperlink" Target="https://data.bls.gov/timeseries/CUUR0000SEGA02" TargetMode="External" Id="rId1228"/><Relationship Type="http://schemas.openxmlformats.org/officeDocument/2006/relationships/hyperlink" Target="https://data.bls.gov/timeseries/CUUR0000SAG1" TargetMode="External" Id="rId1229"/><Relationship Type="http://schemas.openxmlformats.org/officeDocument/2006/relationships/hyperlink" Target="https://data.bls.gov/timeseries/CUUR0000SAG1" TargetMode="External" Id="rId1230"/><Relationship Type="http://schemas.openxmlformats.org/officeDocument/2006/relationships/hyperlink" Target="https://data.bls.gov/timeseries/CUSR0000SAG1" TargetMode="External" Id="rId1231"/><Relationship Type="http://schemas.openxmlformats.org/officeDocument/2006/relationships/hyperlink" Target="https://data.bls.gov/timeseries/CUSR0000SAG1" TargetMode="External" Id="rId1232"/><Relationship Type="http://schemas.openxmlformats.org/officeDocument/2006/relationships/hyperlink" Target="https://data.bls.gov/timeseries/CUUR0000SEGB" TargetMode="External" Id="rId1233"/><Relationship Type="http://schemas.openxmlformats.org/officeDocument/2006/relationships/hyperlink" Target="https://data.bls.gov/timeseries/CUUR0000SEGB" TargetMode="External" Id="rId1234"/><Relationship Type="http://schemas.openxmlformats.org/officeDocument/2006/relationships/hyperlink" Target="https://data.bls.gov/timeseries/CUSR0000SEGB" TargetMode="External" Id="rId1235"/><Relationship Type="http://schemas.openxmlformats.org/officeDocument/2006/relationships/hyperlink" Target="https://data.bls.gov/timeseries/CUSR0000SEGB" TargetMode="External" Id="rId1236"/><Relationship Type="http://schemas.openxmlformats.org/officeDocument/2006/relationships/hyperlink" Target="https://data.bls.gov/timeseries/CUUR0000SEGB01" TargetMode="External" Id="rId1237"/><Relationship Type="http://schemas.openxmlformats.org/officeDocument/2006/relationships/hyperlink" Target="https://data.bls.gov/timeseries/CUUR0000SEGB01" TargetMode="External" Id="rId1238"/><Relationship Type="http://schemas.openxmlformats.org/officeDocument/2006/relationships/hyperlink" Target="https://data.bls.gov/timeseries/CUUR0000SEGB02" TargetMode="External" Id="rId1239"/><Relationship Type="http://schemas.openxmlformats.org/officeDocument/2006/relationships/hyperlink" Target="https://data.bls.gov/timeseries/CUUR0000SEGB02" TargetMode="External" Id="rId1240"/><Relationship Type="http://schemas.openxmlformats.org/officeDocument/2006/relationships/hyperlink" Target="https://data.bls.gov/timeseries/CUUR0000SEGC" TargetMode="External" Id="rId1241"/><Relationship Type="http://schemas.openxmlformats.org/officeDocument/2006/relationships/hyperlink" Target="https://data.bls.gov/timeseries/CUUR0000SEGC" TargetMode="External" Id="rId1242"/><Relationship Type="http://schemas.openxmlformats.org/officeDocument/2006/relationships/hyperlink" Target="https://data.bls.gov/timeseries/CUUR0000SEGC01" TargetMode="External" Id="rId1243"/><Relationship Type="http://schemas.openxmlformats.org/officeDocument/2006/relationships/hyperlink" Target="https://data.bls.gov/timeseries/CUUR0000SEGC01" TargetMode="External" Id="rId1244"/><Relationship Type="http://schemas.openxmlformats.org/officeDocument/2006/relationships/hyperlink" Target="https://data.bls.gov/timeseries/CUUR0000SEGD" TargetMode="External" Id="rId1245"/><Relationship Type="http://schemas.openxmlformats.org/officeDocument/2006/relationships/hyperlink" Target="https://data.bls.gov/timeseries/CUUR0000SEGD" TargetMode="External" Id="rId1246"/><Relationship Type="http://schemas.openxmlformats.org/officeDocument/2006/relationships/hyperlink" Target="https://data.bls.gov/timeseries/CUSR0000SEGD" TargetMode="External" Id="rId1247"/><Relationship Type="http://schemas.openxmlformats.org/officeDocument/2006/relationships/hyperlink" Target="https://data.bls.gov/timeseries/CUSR0000SEGD" TargetMode="External" Id="rId1248"/><Relationship Type="http://schemas.openxmlformats.org/officeDocument/2006/relationships/hyperlink" Target="https://data.bls.gov/timeseries/CUUR0000SEGD01" TargetMode="External" Id="rId1249"/><Relationship Type="http://schemas.openxmlformats.org/officeDocument/2006/relationships/hyperlink" Target="https://data.bls.gov/timeseries/CUUR0000SEGD01" TargetMode="External" Id="rId1250"/><Relationship Type="http://schemas.openxmlformats.org/officeDocument/2006/relationships/hyperlink" Target="https://data.bls.gov/timeseries/CUSR0000SEGD01" TargetMode="External" Id="rId1251"/><Relationship Type="http://schemas.openxmlformats.org/officeDocument/2006/relationships/hyperlink" Target="https://data.bls.gov/timeseries/CUSR0000SEGD01" TargetMode="External" Id="rId1252"/><Relationship Type="http://schemas.openxmlformats.org/officeDocument/2006/relationships/hyperlink" Target="https://data.bls.gov/timeseries/CUUR0000SEGD02" TargetMode="External" Id="rId1253"/><Relationship Type="http://schemas.openxmlformats.org/officeDocument/2006/relationships/hyperlink" Target="https://data.bls.gov/timeseries/CUUR0000SEGD02" TargetMode="External" Id="rId1254"/><Relationship Type="http://schemas.openxmlformats.org/officeDocument/2006/relationships/hyperlink" Target="https://data.bls.gov/timeseries/CUSR0000SEGD02" TargetMode="External" Id="rId1255"/><Relationship Type="http://schemas.openxmlformats.org/officeDocument/2006/relationships/hyperlink" Target="https://data.bls.gov/timeseries/CUSR0000SEGD02" TargetMode="External" Id="rId1256"/><Relationship Type="http://schemas.openxmlformats.org/officeDocument/2006/relationships/hyperlink" Target="https://data.bls.gov/timeseries/CUUR0000SEGD03" TargetMode="External" Id="rId1257"/><Relationship Type="http://schemas.openxmlformats.org/officeDocument/2006/relationships/hyperlink" Target="https://data.bls.gov/timeseries/CUUR0000SEGD03" TargetMode="External" Id="rId1258"/><Relationship Type="http://schemas.openxmlformats.org/officeDocument/2006/relationships/hyperlink" Target="https://data.bls.gov/timeseries/CUSR0000SEGD03" TargetMode="External" Id="rId1259"/><Relationship Type="http://schemas.openxmlformats.org/officeDocument/2006/relationships/hyperlink" Target="https://data.bls.gov/timeseries/CUSR0000SEGD03" TargetMode="External" Id="rId1260"/><Relationship Type="http://schemas.openxmlformats.org/officeDocument/2006/relationships/hyperlink" Target="https://data.bls.gov/timeseries/CUUR0000SEGD04" TargetMode="External" Id="rId1261"/><Relationship Type="http://schemas.openxmlformats.org/officeDocument/2006/relationships/hyperlink" Target="https://data.bls.gov/timeseries/CUUR0000SEGD04" TargetMode="External" Id="rId1262"/><Relationship Type="http://schemas.openxmlformats.org/officeDocument/2006/relationships/hyperlink" Target="https://data.bls.gov/timeseries/CUUR0000SEGD05" TargetMode="External" Id="rId1263"/><Relationship Type="http://schemas.openxmlformats.org/officeDocument/2006/relationships/hyperlink" Target="https://data.bls.gov/timeseries/CUUR0000SEGD05" TargetMode="External" Id="rId1264"/><Relationship Type="http://schemas.openxmlformats.org/officeDocument/2006/relationships/hyperlink" Target="https://data.bls.gov/timeseries/CUSR0000SEGD05" TargetMode="External" Id="rId1265"/><Relationship Type="http://schemas.openxmlformats.org/officeDocument/2006/relationships/hyperlink" Target="https://data.bls.gov/timeseries/CUSR0000SEGD05" TargetMode="External" Id="rId1266"/><Relationship Type="http://schemas.openxmlformats.org/officeDocument/2006/relationships/hyperlink" Target="https://data.bls.gov/timeseries/CUUR0000SS68021" TargetMode="External" Id="rId1267"/><Relationship Type="http://schemas.openxmlformats.org/officeDocument/2006/relationships/hyperlink" Target="https://data.bls.gov/timeseries/CUUR0000SS68021" TargetMode="External" Id="rId1268"/><Relationship Type="http://schemas.openxmlformats.org/officeDocument/2006/relationships/hyperlink" Target="https://data.bls.gov/timeseries/CUUR0000SS68023" TargetMode="External" Id="rId1269"/><Relationship Type="http://schemas.openxmlformats.org/officeDocument/2006/relationships/hyperlink" Target="https://data.bls.gov/timeseries/CUUR0000SS68023" TargetMode="External" Id="rId1270"/><Relationship Type="http://schemas.openxmlformats.org/officeDocument/2006/relationships/hyperlink" Target="https://data.bls.gov/timeseries/CUSR0000SS68023" TargetMode="External" Id="rId1271"/><Relationship Type="http://schemas.openxmlformats.org/officeDocument/2006/relationships/hyperlink" Target="https://data.bls.gov/timeseries/CUSR0000SS68023" TargetMode="External" Id="rId1272"/><Relationship Type="http://schemas.openxmlformats.org/officeDocument/2006/relationships/hyperlink" Target="https://data.bls.gov/timeseries/CUUR0000SEGE" TargetMode="External" Id="rId1273"/><Relationship Type="http://schemas.openxmlformats.org/officeDocument/2006/relationships/hyperlink" Target="https://data.bls.gov/timeseries/CUUR0000SEGE" TargetMode="External" Id="rId1274"/><Relationship Type="http://schemas.openxmlformats.org/officeDocument/2006/relationships/hyperlink" Target="https://data.bls.gov/timeseries/CUSR0000SEGE" TargetMode="External" Id="rId1275"/><Relationship Type="http://schemas.openxmlformats.org/officeDocument/2006/relationships/hyperlink" Target="https://data.bls.gov/timeseries/CUSR0000SEGE" TargetMode="External" Id="rId1276"/><Relationship Type="http://schemas.openxmlformats.org/officeDocument/2006/relationships/hyperlink" Target="https://data.bls.gov/timeseries/CUUR0000SS33032" TargetMode="External" Id="rId1277"/><Relationship Type="http://schemas.openxmlformats.org/officeDocument/2006/relationships/hyperlink" Target="https://data.bls.gov/timeseries/CUUR0000SS33032" TargetMode="External" Id="rId1278"/><Relationship Type="http://schemas.openxmlformats.org/officeDocument/2006/relationships/hyperlink" Target="https://data.bls.gov/timeseries/CUSR0000SS33032" TargetMode="External" Id="rId1279"/><Relationship Type="http://schemas.openxmlformats.org/officeDocument/2006/relationships/hyperlink" Target="https://data.bls.gov/timeseries/CUSR0000SS33032" TargetMode="External" Id="rId1280"/><Relationship Type="http://schemas.openxmlformats.org/officeDocument/2006/relationships/hyperlink" Target="https://data.bls.gov/timeseries/CUUR0000SSGE013" TargetMode="External" Id="rId1281"/><Relationship Type="http://schemas.openxmlformats.org/officeDocument/2006/relationships/hyperlink" Target="https://data.bls.gov/timeseries/CUUR0000SSGE013" TargetMode="External" Id="rId1282"/><Relationship Type="http://schemas.openxmlformats.org/officeDocument/2006/relationships/hyperlink" Target="https://data.bls.gov/timeseries/CUUR0000SA0L5" TargetMode="External" Id="rId1283"/><Relationship Type="http://schemas.openxmlformats.org/officeDocument/2006/relationships/hyperlink" Target="https://data.bls.gov/timeseries/CUUR0000SA0L5" TargetMode="External" Id="rId1284"/><Relationship Type="http://schemas.openxmlformats.org/officeDocument/2006/relationships/hyperlink" Target="https://data.bls.gov/timeseries/CUSR0000SA0L5" TargetMode="External" Id="rId1285"/><Relationship Type="http://schemas.openxmlformats.org/officeDocument/2006/relationships/hyperlink" Target="https://data.bls.gov/timeseries/CUSR0000SA0L5" TargetMode="External" Id="rId1286"/><Relationship Type="http://schemas.openxmlformats.org/officeDocument/2006/relationships/hyperlink" Target="https://data.bls.gov/timeseries/CUUR0000SA0LE" TargetMode="External" Id="rId1287"/><Relationship Type="http://schemas.openxmlformats.org/officeDocument/2006/relationships/hyperlink" Target="https://data.bls.gov/timeseries/CUUR0000SA0LE" TargetMode="External" Id="rId1288"/><Relationship Type="http://schemas.openxmlformats.org/officeDocument/2006/relationships/hyperlink" Target="https://data.bls.gov/timeseries/CUSR0000SA0LE" TargetMode="External" Id="rId1289"/><Relationship Type="http://schemas.openxmlformats.org/officeDocument/2006/relationships/hyperlink" Target="https://data.bls.gov/timeseries/CUSR0000SA0LE" TargetMode="External" Id="rId1290"/><Relationship Type="http://schemas.openxmlformats.org/officeDocument/2006/relationships/hyperlink" Target="https://data.bls.gov/timeseries/CUUR0000SA0L1" TargetMode="External" Id="rId1291"/><Relationship Type="http://schemas.openxmlformats.org/officeDocument/2006/relationships/hyperlink" Target="https://data.bls.gov/timeseries/CUUR0000SA0L1" TargetMode="External" Id="rId1292"/><Relationship Type="http://schemas.openxmlformats.org/officeDocument/2006/relationships/hyperlink" Target="https://data.bls.gov/timeseries/CUSR0000SA0L1" TargetMode="External" Id="rId1293"/><Relationship Type="http://schemas.openxmlformats.org/officeDocument/2006/relationships/hyperlink" Target="https://data.bls.gov/timeseries/CUSR0000SA0L1" TargetMode="External" Id="rId1294"/><Relationship Type="http://schemas.openxmlformats.org/officeDocument/2006/relationships/hyperlink" Target="https://data.bls.gov/timeseries/CUUR0000SA0L1E" TargetMode="External" Id="rId1295"/><Relationship Type="http://schemas.openxmlformats.org/officeDocument/2006/relationships/hyperlink" Target="https://data.bls.gov/timeseries/CUUR0000SA0L1E" TargetMode="External" Id="rId1296"/><Relationship Type="http://schemas.openxmlformats.org/officeDocument/2006/relationships/hyperlink" Target="https://data.bls.gov/timeseries/CUSR0000SA0L1E" TargetMode="External" Id="rId1297"/><Relationship Type="http://schemas.openxmlformats.org/officeDocument/2006/relationships/hyperlink" Target="https://data.bls.gov/timeseries/CUSR0000SA0L1E" TargetMode="External" Id="rId1298"/><Relationship Type="http://schemas.openxmlformats.org/officeDocument/2006/relationships/hyperlink" Target="https://data.bls.gov/timeseries/CUUR0000SA0L2" TargetMode="External" Id="rId1299"/><Relationship Type="http://schemas.openxmlformats.org/officeDocument/2006/relationships/hyperlink" Target="https://data.bls.gov/timeseries/CUUR0000SA0L2" TargetMode="External" Id="rId1300"/><Relationship Type="http://schemas.openxmlformats.org/officeDocument/2006/relationships/hyperlink" Target="https://data.bls.gov/timeseries/CUSR0000SA0L2" TargetMode="External" Id="rId1301"/><Relationship Type="http://schemas.openxmlformats.org/officeDocument/2006/relationships/hyperlink" Target="https://data.bls.gov/timeseries/CUSR0000SA0L2" TargetMode="External" Id="rId1302"/><Relationship Type="http://schemas.openxmlformats.org/officeDocument/2006/relationships/hyperlink" Target="https://data.bls.gov/timeseries/CUUR0000SA0L12" TargetMode="External" Id="rId1303"/><Relationship Type="http://schemas.openxmlformats.org/officeDocument/2006/relationships/hyperlink" Target="https://data.bls.gov/timeseries/CUUR0000SA0L12" TargetMode="External" Id="rId1304"/><Relationship Type="http://schemas.openxmlformats.org/officeDocument/2006/relationships/hyperlink" Target="https://data.bls.gov/timeseries/CUSR0000SA0L12" TargetMode="External" Id="rId1305"/><Relationship Type="http://schemas.openxmlformats.org/officeDocument/2006/relationships/hyperlink" Target="https://data.bls.gov/timeseries/CUSR0000SA0L12" TargetMode="External" Id="rId1306"/><Relationship Type="http://schemas.openxmlformats.org/officeDocument/2006/relationships/hyperlink" Target="https://data.bls.gov/timeseries/CUUR0000SA0L12E" TargetMode="External" Id="rId1307"/><Relationship Type="http://schemas.openxmlformats.org/officeDocument/2006/relationships/hyperlink" Target="https://data.bls.gov/timeseries/CUUR0000SA0L12E" TargetMode="External" Id="rId1308"/><Relationship Type="http://schemas.openxmlformats.org/officeDocument/2006/relationships/hyperlink" Target="https://data.bls.gov/timeseries/CUSR0000SA0L12E" TargetMode="External" Id="rId1309"/><Relationship Type="http://schemas.openxmlformats.org/officeDocument/2006/relationships/hyperlink" Target="https://data.bls.gov/timeseries/CUSR0000SA0L12E" TargetMode="External" Id="rId1310"/><Relationship Type="http://schemas.openxmlformats.org/officeDocument/2006/relationships/hyperlink" Target="https://data.bls.gov/timeseries/CUUR0000SA0L12E4" TargetMode="External" Id="rId1311"/><Relationship Type="http://schemas.openxmlformats.org/officeDocument/2006/relationships/hyperlink" Target="https://data.bls.gov/timeseries/CUUR0000SA0L12E4" TargetMode="External" Id="rId1312"/><Relationship Type="http://schemas.openxmlformats.org/officeDocument/2006/relationships/hyperlink" Target="https://data.bls.gov/timeseries/CUSR0000SA0L12E4" TargetMode="External" Id="rId1313"/><Relationship Type="http://schemas.openxmlformats.org/officeDocument/2006/relationships/hyperlink" Target="https://data.bls.gov/timeseries/CUSR0000SA0L12E4" TargetMode="External" Id="rId1314"/><Relationship Type="http://schemas.openxmlformats.org/officeDocument/2006/relationships/hyperlink" Target="https://data.bls.gov/timeseries/CUUR0000SA311" TargetMode="External" Id="rId1315"/><Relationship Type="http://schemas.openxmlformats.org/officeDocument/2006/relationships/hyperlink" Target="https://data.bls.gov/timeseries/CUUR0000SA311" TargetMode="External" Id="rId1316"/><Relationship Type="http://schemas.openxmlformats.org/officeDocument/2006/relationships/hyperlink" Target="https://data.bls.gov/timeseries/CUSR0000SA311" TargetMode="External" Id="rId1317"/><Relationship Type="http://schemas.openxmlformats.org/officeDocument/2006/relationships/hyperlink" Target="https://data.bls.gov/timeseries/CUSR0000SA311" TargetMode="External" Id="rId1318"/><Relationship Type="http://schemas.openxmlformats.org/officeDocument/2006/relationships/hyperlink" Target="https://data.bls.gov/timeseries/CUUR0000SAC" TargetMode="External" Id="rId1319"/><Relationship Type="http://schemas.openxmlformats.org/officeDocument/2006/relationships/hyperlink" Target="https://data.bls.gov/timeseries/CUUR0000SAC" TargetMode="External" Id="rId1320"/><Relationship Type="http://schemas.openxmlformats.org/officeDocument/2006/relationships/hyperlink" Target="https://data.bls.gov/timeseries/CUSR0000SAC" TargetMode="External" Id="rId1321"/><Relationship Type="http://schemas.openxmlformats.org/officeDocument/2006/relationships/hyperlink" Target="https://data.bls.gov/timeseries/CUSR0000SAC" TargetMode="External" Id="rId1322"/><Relationship Type="http://schemas.openxmlformats.org/officeDocument/2006/relationships/hyperlink" Target="https://data.bls.gov/timeseries/CUUR0000SACL1" TargetMode="External" Id="rId1323"/><Relationship Type="http://schemas.openxmlformats.org/officeDocument/2006/relationships/hyperlink" Target="https://data.bls.gov/timeseries/CUUR0000SACL1" TargetMode="External" Id="rId1324"/><Relationship Type="http://schemas.openxmlformats.org/officeDocument/2006/relationships/hyperlink" Target="https://data.bls.gov/timeseries/CUSR0000SACL1" TargetMode="External" Id="rId1325"/><Relationship Type="http://schemas.openxmlformats.org/officeDocument/2006/relationships/hyperlink" Target="https://data.bls.gov/timeseries/CUSR0000SACL1" TargetMode="External" Id="rId1326"/><Relationship Type="http://schemas.openxmlformats.org/officeDocument/2006/relationships/hyperlink" Target="https://data.bls.gov/timeseries/CUUR0000SACL11" TargetMode="External" Id="rId1327"/><Relationship Type="http://schemas.openxmlformats.org/officeDocument/2006/relationships/hyperlink" Target="https://data.bls.gov/timeseries/CUUR0000SACL11" TargetMode="External" Id="rId1328"/><Relationship Type="http://schemas.openxmlformats.org/officeDocument/2006/relationships/hyperlink" Target="https://data.bls.gov/timeseries/CUSR0000SACL11" TargetMode="External" Id="rId1329"/><Relationship Type="http://schemas.openxmlformats.org/officeDocument/2006/relationships/hyperlink" Target="https://data.bls.gov/timeseries/CUSR0000SACL11" TargetMode="External" Id="rId1330"/><Relationship Type="http://schemas.openxmlformats.org/officeDocument/2006/relationships/hyperlink" Target="https://data.bls.gov/timeseries/CUUR0000SACL1E" TargetMode="External" Id="rId1331"/><Relationship Type="http://schemas.openxmlformats.org/officeDocument/2006/relationships/hyperlink" Target="https://data.bls.gov/timeseries/CUUR0000SACL1E" TargetMode="External" Id="rId1332"/><Relationship Type="http://schemas.openxmlformats.org/officeDocument/2006/relationships/hyperlink" Target="https://data.bls.gov/timeseries/CUSR0000SACL1E" TargetMode="External" Id="rId1333"/><Relationship Type="http://schemas.openxmlformats.org/officeDocument/2006/relationships/hyperlink" Target="https://data.bls.gov/timeseries/CUSR0000SACL1E" TargetMode="External" Id="rId1334"/><Relationship Type="http://schemas.openxmlformats.org/officeDocument/2006/relationships/hyperlink" Target="https://data.bls.gov/timeseries/CUUR0000SACL1E4" TargetMode="External" Id="rId1335"/><Relationship Type="http://schemas.openxmlformats.org/officeDocument/2006/relationships/hyperlink" Target="https://data.bls.gov/timeseries/CUUR0000SACL1E4" TargetMode="External" Id="rId1336"/><Relationship Type="http://schemas.openxmlformats.org/officeDocument/2006/relationships/hyperlink" Target="https://data.bls.gov/timeseries/CUSR0000SACL1E4" TargetMode="External" Id="rId1337"/><Relationship Type="http://schemas.openxmlformats.org/officeDocument/2006/relationships/hyperlink" Target="https://data.bls.gov/timeseries/CUSR0000SACL1E4" TargetMode="External" Id="rId1338"/><Relationship Type="http://schemas.openxmlformats.org/officeDocument/2006/relationships/hyperlink" Target="https://data.bls.gov/timeseries/CUUR0000SAN1D" TargetMode="External" Id="rId1339"/><Relationship Type="http://schemas.openxmlformats.org/officeDocument/2006/relationships/hyperlink" Target="https://data.bls.gov/timeseries/CUUR0000SAN1D" TargetMode="External" Id="rId1340"/><Relationship Type="http://schemas.openxmlformats.org/officeDocument/2006/relationships/hyperlink" Target="https://data.bls.gov/timeseries/CUSR0000SAN1D" TargetMode="External" Id="rId1341"/><Relationship Type="http://schemas.openxmlformats.org/officeDocument/2006/relationships/hyperlink" Target="https://data.bls.gov/timeseries/CUSR0000SAN1D" TargetMode="External" Id="rId1342"/><Relationship Type="http://schemas.openxmlformats.org/officeDocument/2006/relationships/hyperlink" Target="https://data.bls.gov/timeseries/CUUR0000SAD" TargetMode="External" Id="rId1343"/><Relationship Type="http://schemas.openxmlformats.org/officeDocument/2006/relationships/hyperlink" Target="https://data.bls.gov/timeseries/CUUR0000SAD" TargetMode="External" Id="rId1344"/><Relationship Type="http://schemas.openxmlformats.org/officeDocument/2006/relationships/hyperlink" Target="https://data.bls.gov/timeseries/CUSR0000SAD" TargetMode="External" Id="rId1345"/><Relationship Type="http://schemas.openxmlformats.org/officeDocument/2006/relationships/hyperlink" Target="https://data.bls.gov/timeseries/CUSR0000SAD" TargetMode="External" Id="rId1346"/><Relationship Type="http://schemas.openxmlformats.org/officeDocument/2006/relationships/hyperlink" Target="https://data.bls.gov/timeseries/CUUR0000SAEC" TargetMode="External" Id="rId1347"/><Relationship Type="http://schemas.openxmlformats.org/officeDocument/2006/relationships/hyperlink" Target="https://data.bls.gov/timeseries/CUUR0000SAEC" TargetMode="External" Id="rId1348"/><Relationship Type="http://schemas.openxmlformats.org/officeDocument/2006/relationships/hyperlink" Target="https://data.bls.gov/timeseries/CUSR0000SAEC" TargetMode="External" Id="rId1349"/><Relationship Type="http://schemas.openxmlformats.org/officeDocument/2006/relationships/hyperlink" Target="https://data.bls.gov/timeseries/CUSR0000SAEC" TargetMode="External" Id="rId1350"/><Relationship Type="http://schemas.openxmlformats.org/officeDocument/2006/relationships/hyperlink" Target="https://data.bls.gov/timeseries/CUUR0000SAES" TargetMode="External" Id="rId1351"/><Relationship Type="http://schemas.openxmlformats.org/officeDocument/2006/relationships/hyperlink" Target="https://data.bls.gov/timeseries/CUUR0000SAES" TargetMode="External" Id="rId1352"/><Relationship Type="http://schemas.openxmlformats.org/officeDocument/2006/relationships/hyperlink" Target="https://data.bls.gov/timeseries/CUSR0000SAES" TargetMode="External" Id="rId1353"/><Relationship Type="http://schemas.openxmlformats.org/officeDocument/2006/relationships/hyperlink" Target="https://data.bls.gov/timeseries/CUSR0000SAES" TargetMode="External" Id="rId1354"/><Relationship Type="http://schemas.openxmlformats.org/officeDocument/2006/relationships/hyperlink" Target="https://data.bls.gov/timeseries/CUUR0000SA0E" TargetMode="External" Id="rId1355"/><Relationship Type="http://schemas.openxmlformats.org/officeDocument/2006/relationships/hyperlink" Target="https://data.bls.gov/timeseries/CUUR0000SA0E" TargetMode="External" Id="rId1356"/><Relationship Type="http://schemas.openxmlformats.org/officeDocument/2006/relationships/hyperlink" Target="https://data.bls.gov/timeseries/CUSR0000SA0E" TargetMode="External" Id="rId1357"/><Relationship Type="http://schemas.openxmlformats.org/officeDocument/2006/relationships/hyperlink" Target="https://data.bls.gov/timeseries/CUSR0000SA0E" TargetMode="External" Id="rId1358"/><Relationship Type="http://schemas.openxmlformats.org/officeDocument/2006/relationships/hyperlink" Target="https://data.bls.gov/timeseries/CUUR0000SACE" TargetMode="External" Id="rId1359"/><Relationship Type="http://schemas.openxmlformats.org/officeDocument/2006/relationships/hyperlink" Target="https://data.bls.gov/timeseries/CUUR0000SACE" TargetMode="External" Id="rId1360"/><Relationship Type="http://schemas.openxmlformats.org/officeDocument/2006/relationships/hyperlink" Target="https://data.bls.gov/timeseries/CUSR0000SACE" TargetMode="External" Id="rId1361"/><Relationship Type="http://schemas.openxmlformats.org/officeDocument/2006/relationships/hyperlink" Target="https://data.bls.gov/timeseries/CUSR0000SACE" TargetMode="External" Id="rId1362"/><Relationship Type="http://schemas.openxmlformats.org/officeDocument/2006/relationships/hyperlink" Target="https://data.bls.gov/timeseries/CUUR0000SAH31" TargetMode="External" Id="rId1363"/><Relationship Type="http://schemas.openxmlformats.org/officeDocument/2006/relationships/hyperlink" Target="https://data.bls.gov/timeseries/CUUR0000SAH31" TargetMode="External" Id="rId1364"/><Relationship Type="http://schemas.openxmlformats.org/officeDocument/2006/relationships/hyperlink" Target="https://data.bls.gov/timeseries/CUSR0000SAH31" TargetMode="External" Id="rId1365"/><Relationship Type="http://schemas.openxmlformats.org/officeDocument/2006/relationships/hyperlink" Target="https://data.bls.gov/timeseries/CUSR0000SAH31" TargetMode="External" Id="rId1366"/><Relationship Type="http://schemas.openxmlformats.org/officeDocument/2006/relationships/hyperlink" Target="https://data.bls.gov/timeseries/CUUR0000SEEEC" TargetMode="External" Id="rId1367"/><Relationship Type="http://schemas.openxmlformats.org/officeDocument/2006/relationships/hyperlink" Target="https://data.bls.gov/timeseries/CUUR0000SEEEC" TargetMode="External" Id="rId1368"/><Relationship Type="http://schemas.openxmlformats.org/officeDocument/2006/relationships/hyperlink" Target="https://data.bls.gov/timeseries/CUSR0000SEEEC" TargetMode="External" Id="rId1369"/><Relationship Type="http://schemas.openxmlformats.org/officeDocument/2006/relationships/hyperlink" Target="https://data.bls.gov/timeseries/CUSR0000SEEEC" TargetMode="External" Id="rId1370"/><Relationship Type="http://schemas.openxmlformats.org/officeDocument/2006/relationships/hyperlink" Target="https://data.bls.gov/timeseries/CUUR0000SAN" TargetMode="External" Id="rId1371"/><Relationship Type="http://schemas.openxmlformats.org/officeDocument/2006/relationships/hyperlink" Target="https://data.bls.gov/timeseries/CUUR0000SAN" TargetMode="External" Id="rId1372"/><Relationship Type="http://schemas.openxmlformats.org/officeDocument/2006/relationships/hyperlink" Target="https://data.bls.gov/timeseries/CUSR0000SAN" TargetMode="External" Id="rId1373"/><Relationship Type="http://schemas.openxmlformats.org/officeDocument/2006/relationships/hyperlink" Target="https://data.bls.gov/timeseries/CUSR0000SAN" TargetMode="External" Id="rId1374"/><Relationship Type="http://schemas.openxmlformats.org/officeDocument/2006/relationships/hyperlink" Target="https://data.bls.gov/timeseries/CUUR0000SANL1" TargetMode="External" Id="rId1375"/><Relationship Type="http://schemas.openxmlformats.org/officeDocument/2006/relationships/hyperlink" Target="https://data.bls.gov/timeseries/CUUR0000SANL1" TargetMode="External" Id="rId1376"/><Relationship Type="http://schemas.openxmlformats.org/officeDocument/2006/relationships/hyperlink" Target="https://data.bls.gov/timeseries/CUSR0000SANL1" TargetMode="External" Id="rId1377"/><Relationship Type="http://schemas.openxmlformats.org/officeDocument/2006/relationships/hyperlink" Target="https://data.bls.gov/timeseries/CUSR0000SANL1" TargetMode="External" Id="rId1378"/><Relationship Type="http://schemas.openxmlformats.org/officeDocument/2006/relationships/hyperlink" Target="https://data.bls.gov/timeseries/CUUR0000SANL13" TargetMode="External" Id="rId1379"/><Relationship Type="http://schemas.openxmlformats.org/officeDocument/2006/relationships/hyperlink" Target="https://data.bls.gov/timeseries/CUUR0000SANL13" TargetMode="External" Id="rId1380"/><Relationship Type="http://schemas.openxmlformats.org/officeDocument/2006/relationships/hyperlink" Target="https://data.bls.gov/timeseries/CUSR0000SANL13" TargetMode="External" Id="rId1381"/><Relationship Type="http://schemas.openxmlformats.org/officeDocument/2006/relationships/hyperlink" Target="https://data.bls.gov/timeseries/CUSR0000SANL13" TargetMode="External" Id="rId1382"/><Relationship Type="http://schemas.openxmlformats.org/officeDocument/2006/relationships/hyperlink" Target="https://data.bls.gov/timeseries/CUUR0000SANL11" TargetMode="External" Id="rId1383"/><Relationship Type="http://schemas.openxmlformats.org/officeDocument/2006/relationships/hyperlink" Target="https://data.bls.gov/timeseries/CUUR0000SANL11" TargetMode="External" Id="rId1384"/><Relationship Type="http://schemas.openxmlformats.org/officeDocument/2006/relationships/hyperlink" Target="https://data.bls.gov/timeseries/CUSR0000SANL11" TargetMode="External" Id="rId1385"/><Relationship Type="http://schemas.openxmlformats.org/officeDocument/2006/relationships/hyperlink" Target="https://data.bls.gov/timeseries/CUSR0000SANL11" TargetMode="External" Id="rId1386"/><Relationship Type="http://schemas.openxmlformats.org/officeDocument/2006/relationships/hyperlink" Target="https://data.bls.gov/timeseries/CUUR0000SANL113" TargetMode="External" Id="rId1387"/><Relationship Type="http://schemas.openxmlformats.org/officeDocument/2006/relationships/hyperlink" Target="https://data.bls.gov/timeseries/CUUR0000SANL113" TargetMode="External" Id="rId1388"/><Relationship Type="http://schemas.openxmlformats.org/officeDocument/2006/relationships/hyperlink" Target="https://data.bls.gov/timeseries/CUSR0000SANL113" TargetMode="External" Id="rId1389"/><Relationship Type="http://schemas.openxmlformats.org/officeDocument/2006/relationships/hyperlink" Target="https://data.bls.gov/timeseries/CUSR0000SANL113" TargetMode="External" Id="rId1390"/><Relationship Type="http://schemas.openxmlformats.org/officeDocument/2006/relationships/hyperlink" Target="https://data.bls.gov/timeseries/CUUR0000SAGC" TargetMode="External" Id="rId1391"/><Relationship Type="http://schemas.openxmlformats.org/officeDocument/2006/relationships/hyperlink" Target="https://data.bls.gov/timeseries/CUUR0000SAGC" TargetMode="External" Id="rId1392"/><Relationship Type="http://schemas.openxmlformats.org/officeDocument/2006/relationships/hyperlink" Target="https://data.bls.gov/timeseries/CUSR0000SAGC" TargetMode="External" Id="rId1393"/><Relationship Type="http://schemas.openxmlformats.org/officeDocument/2006/relationships/hyperlink" Target="https://data.bls.gov/timeseries/CUSR0000SAGC" TargetMode="External" Id="rId1394"/><Relationship Type="http://schemas.openxmlformats.org/officeDocument/2006/relationships/hyperlink" Target="https://data.bls.gov/timeseries/CUUR0000SAGS" TargetMode="External" Id="rId1395"/><Relationship Type="http://schemas.openxmlformats.org/officeDocument/2006/relationships/hyperlink" Target="https://data.bls.gov/timeseries/CUUR0000SAGS" TargetMode="External" Id="rId1396"/><Relationship Type="http://schemas.openxmlformats.org/officeDocument/2006/relationships/hyperlink" Target="https://data.bls.gov/timeseries/CUUR0000SAS367" TargetMode="External" Id="rId1397"/><Relationship Type="http://schemas.openxmlformats.org/officeDocument/2006/relationships/hyperlink" Target="https://data.bls.gov/timeseries/CUUR0000SAS367" TargetMode="External" Id="rId1398"/><Relationship Type="http://schemas.openxmlformats.org/officeDocument/2006/relationships/hyperlink" Target="https://data.bls.gov/timeseries/CUSR0000SAS367" TargetMode="External" Id="rId1399"/><Relationship Type="http://schemas.openxmlformats.org/officeDocument/2006/relationships/hyperlink" Target="https://data.bls.gov/timeseries/CUSR0000SAS367" TargetMode="External" Id="rId1400"/><Relationship Type="http://schemas.openxmlformats.org/officeDocument/2006/relationships/hyperlink" Target="https://data.bls.gov/timeseries/CUUR0000SARC" TargetMode="External" Id="rId1401"/><Relationship Type="http://schemas.openxmlformats.org/officeDocument/2006/relationships/hyperlink" Target="https://data.bls.gov/timeseries/CUUR0000SARC" TargetMode="External" Id="rId1402"/><Relationship Type="http://schemas.openxmlformats.org/officeDocument/2006/relationships/hyperlink" Target="https://data.bls.gov/timeseries/CUSR0000SARC" TargetMode="External" Id="rId1403"/><Relationship Type="http://schemas.openxmlformats.org/officeDocument/2006/relationships/hyperlink" Target="https://data.bls.gov/timeseries/CUSR0000SARC" TargetMode="External" Id="rId1404"/><Relationship Type="http://schemas.openxmlformats.org/officeDocument/2006/relationships/hyperlink" Target="https://data.bls.gov/timeseries/CUUR0000SARS" TargetMode="External" Id="rId1405"/><Relationship Type="http://schemas.openxmlformats.org/officeDocument/2006/relationships/hyperlink" Target="https://data.bls.gov/timeseries/CUUR0000SARS" TargetMode="External" Id="rId1406"/><Relationship Type="http://schemas.openxmlformats.org/officeDocument/2006/relationships/hyperlink" Target="https://data.bls.gov/timeseries/CUSR0000SARS" TargetMode="External" Id="rId1407"/><Relationship Type="http://schemas.openxmlformats.org/officeDocument/2006/relationships/hyperlink" Target="https://data.bls.gov/timeseries/CUSR0000SARS" TargetMode="External" Id="rId1408"/><Relationship Type="http://schemas.openxmlformats.org/officeDocument/2006/relationships/hyperlink" Target="https://data.bls.gov/timeseries/CUUR0000SAS2RS" TargetMode="External" Id="rId1409"/><Relationship Type="http://schemas.openxmlformats.org/officeDocument/2006/relationships/hyperlink" Target="https://data.bls.gov/timeseries/CUUR0000SAS2RS" TargetMode="External" Id="rId1410"/><Relationship Type="http://schemas.openxmlformats.org/officeDocument/2006/relationships/hyperlink" Target="https://data.bls.gov/timeseries/CUSR0000SAS2RS" TargetMode="External" Id="rId1411"/><Relationship Type="http://schemas.openxmlformats.org/officeDocument/2006/relationships/hyperlink" Target="https://data.bls.gov/timeseries/CUSR0000SAS2RS" TargetMode="External" Id="rId1412"/><Relationship Type="http://schemas.openxmlformats.org/officeDocument/2006/relationships/hyperlink" Target="https://data.bls.gov/timeseries/CUUR0000SAS" TargetMode="External" Id="rId1413"/><Relationship Type="http://schemas.openxmlformats.org/officeDocument/2006/relationships/hyperlink" Target="https://data.bls.gov/timeseries/CUUR0000SAS" TargetMode="External" Id="rId1414"/><Relationship Type="http://schemas.openxmlformats.org/officeDocument/2006/relationships/hyperlink" Target="https://data.bls.gov/timeseries/CUSR0000SAS" TargetMode="External" Id="rId1415"/><Relationship Type="http://schemas.openxmlformats.org/officeDocument/2006/relationships/hyperlink" Target="https://data.bls.gov/timeseries/CUSR0000SAS" TargetMode="External" Id="rId1416"/><Relationship Type="http://schemas.openxmlformats.org/officeDocument/2006/relationships/hyperlink" Target="https://data.bls.gov/timeseries/CUUR0000SASLE" TargetMode="External" Id="rId1417"/><Relationship Type="http://schemas.openxmlformats.org/officeDocument/2006/relationships/hyperlink" Target="https://data.bls.gov/timeseries/CUUR0000SASLE" TargetMode="External" Id="rId1418"/><Relationship Type="http://schemas.openxmlformats.org/officeDocument/2006/relationships/hyperlink" Target="https://data.bls.gov/timeseries/CUSR0000SASLE" TargetMode="External" Id="rId1419"/><Relationship Type="http://schemas.openxmlformats.org/officeDocument/2006/relationships/hyperlink" Target="https://data.bls.gov/timeseries/CUSR0000SASLE" TargetMode="External" Id="rId1420"/><Relationship Type="http://schemas.openxmlformats.org/officeDocument/2006/relationships/hyperlink" Target="https://data.bls.gov/timeseries/CUUR0000SASL5" TargetMode="External" Id="rId1421"/><Relationship Type="http://schemas.openxmlformats.org/officeDocument/2006/relationships/hyperlink" Target="https://data.bls.gov/timeseries/CUUR0000SASL5" TargetMode="External" Id="rId1422"/><Relationship Type="http://schemas.openxmlformats.org/officeDocument/2006/relationships/hyperlink" Target="https://data.bls.gov/timeseries/CUSR0000SASL5" TargetMode="External" Id="rId1423"/><Relationship Type="http://schemas.openxmlformats.org/officeDocument/2006/relationships/hyperlink" Target="https://data.bls.gov/timeseries/CUSR0000SASL5" TargetMode="External" Id="rId1424"/><Relationship Type="http://schemas.openxmlformats.org/officeDocument/2006/relationships/hyperlink" Target="https://data.bls.gov/timeseries/CUUR0000SASL2RS" TargetMode="External" Id="rId1425"/><Relationship Type="http://schemas.openxmlformats.org/officeDocument/2006/relationships/hyperlink" Target="https://data.bls.gov/timeseries/CUUR0000SASL2RS" TargetMode="External" Id="rId1426"/><Relationship Type="http://schemas.openxmlformats.org/officeDocument/2006/relationships/hyperlink" Target="https://data.bls.gov/timeseries/CUSR0000SASL2RS" TargetMode="External" Id="rId1427"/><Relationship Type="http://schemas.openxmlformats.org/officeDocument/2006/relationships/hyperlink" Target="https://data.bls.gov/timeseries/CUSR0000SASL2RS" TargetMode="External" Id="rId1428"/><Relationship Type="http://schemas.openxmlformats.org/officeDocument/2006/relationships/hyperlink" Target="https://data.bls.gov/timeseries/CUUR0000SATCLTB" TargetMode="External" Id="rId1429"/><Relationship Type="http://schemas.openxmlformats.org/officeDocument/2006/relationships/hyperlink" Target="https://data.bls.gov/timeseries/CUUR0000SATCLTB" TargetMode="External" Id="rId1430"/><Relationship Type="http://schemas.openxmlformats.org/officeDocument/2006/relationships/hyperlink" Target="https://data.bls.gov/timeseries/CUSR0000SATCLTB" TargetMode="External" Id="rId1431"/><Relationship Type="http://schemas.openxmlformats.org/officeDocument/2006/relationships/hyperlink" Target="https://data.bls.gov/timeseries/CUSR0000SATCLTB" TargetMode="External" Id="rId1432"/><Relationship Type="http://schemas.openxmlformats.org/officeDocument/2006/relationships/hyperlink" Target="https://data.bls.gov/timeseries/CUUR0000SAS4" TargetMode="External" Id="rId1433"/><Relationship Type="http://schemas.openxmlformats.org/officeDocument/2006/relationships/hyperlink" Target="https://data.bls.gov/timeseries/CUUR0000SAS4" TargetMode="External" Id="rId1434"/><Relationship Type="http://schemas.openxmlformats.org/officeDocument/2006/relationships/hyperlink" Target="https://data.bls.gov/timeseries/CUSR0000SAS4" TargetMode="External" Id="rId1435"/><Relationship Type="http://schemas.openxmlformats.org/officeDocument/2006/relationships/hyperlink" Target="https://data.bls.gov/timeseries/CUSR0000SAS4" TargetMode="External" Id="rId1436"/><Relationship Type="http://schemas.openxmlformats.org/officeDocument/2006/relationships/hyperlink" Target="https://data.bls.gov/timeseries/CUUR0000SAS24" TargetMode="External" Id="rId1437"/><Relationship Type="http://schemas.openxmlformats.org/officeDocument/2006/relationships/hyperlink" Target="https://data.bls.gov/timeseries/CUUR0000SAS24" TargetMode="External" Id="rId1438"/><Relationship Type="http://schemas.openxmlformats.org/officeDocument/2006/relationships/hyperlink" Target="https://data.bls.gov/timeseries/CUSR0000SAS24" TargetMode="External" Id="rId1439"/><Relationship Type="http://schemas.openxmlformats.org/officeDocument/2006/relationships/hyperlink" Target="https://data.bls.gov/timeseries/CUSR0000SAS24" TargetMode="External" Id="rId1440"/><Relationship Type="http://schemas.openxmlformats.org/officeDocument/2006/relationships/hyperlink" Target="https://data.bls.gov/timeseries/CUUR0000SERAC" TargetMode="External" Id="rId1441"/><Relationship Type="http://schemas.openxmlformats.org/officeDocument/2006/relationships/hyperlink" Target="https://data.bls.gov/timeseries/CUUR0000SERAC" TargetMode="External" Id="rId1442"/><Relationship Type="http://schemas.openxmlformats.org/officeDocument/2006/relationships/hyperlink" Target="https://data.bls.gov/timeseries/CUSR0000SERAC" TargetMode="External" Id="rId1443"/><Relationship Type="http://schemas.openxmlformats.org/officeDocument/2006/relationships/hyperlink" Target="https://data.bls.gov/timeseries/CUSR0000SERAC" TargetMode="External" Id="rId1444"/><Relationship Type="http://schemas.openxmlformats.org/officeDocument/2006/relationships/hyperlink" Target="https://data.bls.gov/timeseries/CUUR0000SERAS" TargetMode="External" Id="rId1445"/><Relationship Type="http://schemas.openxmlformats.org/officeDocument/2006/relationships/hyperlink" Target="https://data.bls.gov/timeseries/CUUR0000SERAS" TargetMode="External" Id="rId1446"/><Relationship Type="http://schemas.openxmlformats.org/officeDocument/2006/relationships/hyperlink" Target="https://data.bls.gov/timeseries/CUSR0000SERAS" TargetMode="External" Id="rId1447"/><Relationship Type="http://schemas.openxmlformats.org/officeDocument/2006/relationships/hyperlink" Target="https://data.bls.gov/timeseries/CUSR0000SERAS" TargetMode="External" Id="rId1448"/><Relationship Type="http://schemas.openxmlformats.org/officeDocument/2006/relationships/hyperlink" Target="https://data.bls.gov/timeseries/CUUR0000SA0R" TargetMode="External" Id="rId1449"/><Relationship Type="http://schemas.openxmlformats.org/officeDocument/2006/relationships/hyperlink" Target="https://data.bls.gov/timeseries/CUUR0000SA0R" TargetMode="External" Id="rId1450"/><Relationship Type="http://schemas.openxmlformats.org/officeDocument/2006/relationships/hyperlink" Target="https://data.bls.gov/timeseries/CUUR0000AA0R" TargetMode="External" Id="rId1451"/><Relationship Type="http://schemas.openxmlformats.org/officeDocument/2006/relationships/hyperlink" Target="https://data.bls.gov/timeseries/CUUR0000AA0R" TargetMode="External" Id="rId1452"/></Relationships>
</file>

<file path=xl/worksheets/_rels/sheet8.xml.rels><Relationships xmlns="http://schemas.openxmlformats.org/package/2006/relationships"><Relationship Type="http://schemas.openxmlformats.org/officeDocument/2006/relationships/hyperlink" Target="https://data.bls.gov/timeseries/CUUR0000SA0" TargetMode="External" Id="rId1"/><Relationship Type="http://schemas.openxmlformats.org/officeDocument/2006/relationships/hyperlink" Target="https://data.bls.gov/timeseries/CUUR0000AA0" TargetMode="External" Id="rId2"/><Relationship Type="http://schemas.openxmlformats.org/officeDocument/2006/relationships/hyperlink" Target="https://data.bls.gov/timeseries/CUUR0000SAF" TargetMode="External" Id="rId3"/><Relationship Type="http://schemas.openxmlformats.org/officeDocument/2006/relationships/hyperlink" Target="https://data.bls.gov/timeseries/CUUR0000SAF1" TargetMode="External" Id="rId4"/><Relationship Type="http://schemas.openxmlformats.org/officeDocument/2006/relationships/hyperlink" Target="https://data.bls.gov/timeseries/CUUR0000SAF11" TargetMode="External" Id="rId5"/><Relationship Type="http://schemas.openxmlformats.org/officeDocument/2006/relationships/hyperlink" Target="https://data.bls.gov/timeseries/CUUR0000SAF111" TargetMode="External" Id="rId6"/><Relationship Type="http://schemas.openxmlformats.org/officeDocument/2006/relationships/hyperlink" Target="https://data.bls.gov/timeseries/CUUR0000SEFA" TargetMode="External" Id="rId7"/><Relationship Type="http://schemas.openxmlformats.org/officeDocument/2006/relationships/hyperlink" Target="https://data.bls.gov/timeseries/CUUR0000SEFA01" TargetMode="External" Id="rId8"/><Relationship Type="http://schemas.openxmlformats.org/officeDocument/2006/relationships/hyperlink" Target="https://data.bls.gov/timeseries/CUUR0000SEFA02" TargetMode="External" Id="rId9"/><Relationship Type="http://schemas.openxmlformats.org/officeDocument/2006/relationships/hyperlink" Target="https://data.bls.gov/timeseries/CUUR0000SEFA03" TargetMode="External" Id="rId10"/><Relationship Type="http://schemas.openxmlformats.org/officeDocument/2006/relationships/hyperlink" Target="https://data.bls.gov/timeseries/CUUR0000SS01031" TargetMode="External" Id="rId11"/><Relationship Type="http://schemas.openxmlformats.org/officeDocument/2006/relationships/hyperlink" Target="https://data.bls.gov/timeseries/CUUR0000SEFB" TargetMode="External" Id="rId12"/><Relationship Type="http://schemas.openxmlformats.org/officeDocument/2006/relationships/hyperlink" Target="https://data.bls.gov/timeseries/CUUR0000SEFB01" TargetMode="External" Id="rId13"/><Relationship Type="http://schemas.openxmlformats.org/officeDocument/2006/relationships/hyperlink" Target="https://data.bls.gov/timeseries/CUUR0000SS02011" TargetMode="External" Id="rId14"/><Relationship Type="http://schemas.openxmlformats.org/officeDocument/2006/relationships/hyperlink" Target="https://data.bls.gov/timeseries/CUUR0000SS02021" TargetMode="External" Id="rId15"/><Relationship Type="http://schemas.openxmlformats.org/officeDocument/2006/relationships/hyperlink" Target="https://data.bls.gov/timeseries/CUUR0000SEFB02" TargetMode="External" Id="rId16"/><Relationship Type="http://schemas.openxmlformats.org/officeDocument/2006/relationships/hyperlink" Target="https://data.bls.gov/timeseries/CUUR0000SEFB03" TargetMode="External" Id="rId17"/><Relationship Type="http://schemas.openxmlformats.org/officeDocument/2006/relationships/hyperlink" Target="https://data.bls.gov/timeseries/CUUR0000SS02041" TargetMode="External" Id="rId18"/><Relationship Type="http://schemas.openxmlformats.org/officeDocument/2006/relationships/hyperlink" Target="https://data.bls.gov/timeseries/CUUR0000SS02042" TargetMode="External" Id="rId19"/><Relationship Type="http://schemas.openxmlformats.org/officeDocument/2006/relationships/hyperlink" Target="https://data.bls.gov/timeseries/CUUR0000SEFB04" TargetMode="External" Id="rId20"/><Relationship Type="http://schemas.openxmlformats.org/officeDocument/2006/relationships/hyperlink" Target="https://data.bls.gov/timeseries/CUUR0000SS02063" TargetMode="External" Id="rId21"/><Relationship Type="http://schemas.openxmlformats.org/officeDocument/2006/relationships/hyperlink" Target="https://data.bls.gov/timeseries/CUUR0000SS0206A" TargetMode="External" Id="rId22"/><Relationship Type="http://schemas.openxmlformats.org/officeDocument/2006/relationships/hyperlink" Target="https://data.bls.gov/timeseries/CUUR0000SS0206B" TargetMode="External" Id="rId23"/><Relationship Type="http://schemas.openxmlformats.org/officeDocument/2006/relationships/hyperlink" Target="https://data.bls.gov/timeseries/CUUR0000SAF112" TargetMode="External" Id="rId24"/><Relationship Type="http://schemas.openxmlformats.org/officeDocument/2006/relationships/hyperlink" Target="https://data.bls.gov/timeseries/CUUR0000SAF1121" TargetMode="External" Id="rId25"/><Relationship Type="http://schemas.openxmlformats.org/officeDocument/2006/relationships/hyperlink" Target="https://data.bls.gov/timeseries/CUUR0000SAF11211" TargetMode="External" Id="rId26"/><Relationship Type="http://schemas.openxmlformats.org/officeDocument/2006/relationships/hyperlink" Target="https://data.bls.gov/timeseries/CUUR0000SEFC" TargetMode="External" Id="rId27"/><Relationship Type="http://schemas.openxmlformats.org/officeDocument/2006/relationships/hyperlink" Target="https://data.bls.gov/timeseries/CUUR0000SEFC01" TargetMode="External" Id="rId28"/><Relationship Type="http://schemas.openxmlformats.org/officeDocument/2006/relationships/hyperlink" Target="https://data.bls.gov/timeseries/CUUR0000SEFC02" TargetMode="External" Id="rId29"/><Relationship Type="http://schemas.openxmlformats.org/officeDocument/2006/relationships/hyperlink" Target="https://data.bls.gov/timeseries/CUUR0000SEFC03" TargetMode="External" Id="rId30"/><Relationship Type="http://schemas.openxmlformats.org/officeDocument/2006/relationships/hyperlink" Target="https://data.bls.gov/timeseries/CUUR0000SEFC04" TargetMode="External" Id="rId31"/><Relationship Type="http://schemas.openxmlformats.org/officeDocument/2006/relationships/hyperlink" Target="https://data.bls.gov/timeseries/CUUR0000SEFD" TargetMode="External" Id="rId32"/><Relationship Type="http://schemas.openxmlformats.org/officeDocument/2006/relationships/hyperlink" Target="https://data.bls.gov/timeseries/CUUR0000SEFD01" TargetMode="External" Id="rId33"/><Relationship Type="http://schemas.openxmlformats.org/officeDocument/2006/relationships/hyperlink" Target="https://data.bls.gov/timeseries/CUUR0000SS04011" TargetMode="External" Id="rId34"/><Relationship Type="http://schemas.openxmlformats.org/officeDocument/2006/relationships/hyperlink" Target="https://data.bls.gov/timeseries/CUUR0000SS04012" TargetMode="External" Id="rId35"/><Relationship Type="http://schemas.openxmlformats.org/officeDocument/2006/relationships/hyperlink" Target="https://data.bls.gov/timeseries/CUUR0000SEFD02" TargetMode="External" Id="rId36"/><Relationship Type="http://schemas.openxmlformats.org/officeDocument/2006/relationships/hyperlink" Target="https://data.bls.gov/timeseries/CUUR0000SS04031" TargetMode="External" Id="rId37"/><Relationship Type="http://schemas.openxmlformats.org/officeDocument/2006/relationships/hyperlink" Target="https://data.bls.gov/timeseries/CUUR0000SEFD03" TargetMode="External" Id="rId38"/><Relationship Type="http://schemas.openxmlformats.org/officeDocument/2006/relationships/hyperlink" Target="https://data.bls.gov/timeseries/CUUR0000SEFD04" TargetMode="External" Id="rId39"/><Relationship Type="http://schemas.openxmlformats.org/officeDocument/2006/relationships/hyperlink" Target="https://data.bls.gov/timeseries/CUUR0000SEFE" TargetMode="External" Id="rId40"/><Relationship Type="http://schemas.openxmlformats.org/officeDocument/2006/relationships/hyperlink" Target="https://data.bls.gov/timeseries/CUUR0000SS05011" TargetMode="External" Id="rId41"/><Relationship Type="http://schemas.openxmlformats.org/officeDocument/2006/relationships/hyperlink" Target="https://data.bls.gov/timeseries/CUUR0000SS0501A" TargetMode="External" Id="rId42"/><Relationship Type="http://schemas.openxmlformats.org/officeDocument/2006/relationships/hyperlink" Target="https://data.bls.gov/timeseries/CUUR0000SS05014" TargetMode="External" Id="rId43"/><Relationship Type="http://schemas.openxmlformats.org/officeDocument/2006/relationships/hyperlink" Target="https://data.bls.gov/timeseries/CUUR0000SS05015" TargetMode="External" Id="rId44"/><Relationship Type="http://schemas.openxmlformats.org/officeDocument/2006/relationships/hyperlink" Target="https://data.bls.gov/timeseries/CUUR0000SEFF" TargetMode="External" Id="rId45"/><Relationship Type="http://schemas.openxmlformats.org/officeDocument/2006/relationships/hyperlink" Target="https://data.bls.gov/timeseries/CUUR0000SEFF01" TargetMode="External" Id="rId46"/><Relationship Type="http://schemas.openxmlformats.org/officeDocument/2006/relationships/hyperlink" Target="https://data.bls.gov/timeseries/CUUR0000SS06011" TargetMode="External" Id="rId47"/><Relationship Type="http://schemas.openxmlformats.org/officeDocument/2006/relationships/hyperlink" Target="https://data.bls.gov/timeseries/CUUR0000SS06021" TargetMode="External" Id="rId48"/><Relationship Type="http://schemas.openxmlformats.org/officeDocument/2006/relationships/hyperlink" Target="https://data.bls.gov/timeseries/CUUR0000SEFF02" TargetMode="External" Id="rId49"/><Relationship Type="http://schemas.openxmlformats.org/officeDocument/2006/relationships/hyperlink" Target="https://data.bls.gov/timeseries/CUUR0000SEFG" TargetMode="External" Id="rId50"/><Relationship Type="http://schemas.openxmlformats.org/officeDocument/2006/relationships/hyperlink" Target="https://data.bls.gov/timeseries/CUUR0000SEFG01" TargetMode="External" Id="rId51"/><Relationship Type="http://schemas.openxmlformats.org/officeDocument/2006/relationships/hyperlink" Target="https://data.bls.gov/timeseries/CUUR0000SEFG02" TargetMode="External" Id="rId52"/><Relationship Type="http://schemas.openxmlformats.org/officeDocument/2006/relationships/hyperlink" Target="https://data.bls.gov/timeseries/CUUR0000SS07011" TargetMode="External" Id="rId53"/><Relationship Type="http://schemas.openxmlformats.org/officeDocument/2006/relationships/hyperlink" Target="https://data.bls.gov/timeseries/CUUR0000SS07021" TargetMode="External" Id="rId54"/><Relationship Type="http://schemas.openxmlformats.org/officeDocument/2006/relationships/hyperlink" Target="https://data.bls.gov/timeseries/CUUR0000SEFH" TargetMode="External" Id="rId55"/><Relationship Type="http://schemas.openxmlformats.org/officeDocument/2006/relationships/hyperlink" Target="https://data.bls.gov/timeseries/CUUR0000SEFJ" TargetMode="External" Id="rId56"/><Relationship Type="http://schemas.openxmlformats.org/officeDocument/2006/relationships/hyperlink" Target="https://data.bls.gov/timeseries/CUUR0000SEFJ01" TargetMode="External" Id="rId57"/><Relationship Type="http://schemas.openxmlformats.org/officeDocument/2006/relationships/hyperlink" Target="https://data.bls.gov/timeseries/CUUR0000SS09011" TargetMode="External" Id="rId58"/><Relationship Type="http://schemas.openxmlformats.org/officeDocument/2006/relationships/hyperlink" Target="https://data.bls.gov/timeseries/CUUR0000SS09021" TargetMode="External" Id="rId59"/><Relationship Type="http://schemas.openxmlformats.org/officeDocument/2006/relationships/hyperlink" Target="https://data.bls.gov/timeseries/CUUR0000SEFJ02" TargetMode="External" Id="rId60"/><Relationship Type="http://schemas.openxmlformats.org/officeDocument/2006/relationships/hyperlink" Target="https://data.bls.gov/timeseries/CUUR0000SEFJ03" TargetMode="External" Id="rId61"/><Relationship Type="http://schemas.openxmlformats.org/officeDocument/2006/relationships/hyperlink" Target="https://data.bls.gov/timeseries/CUUR0000SEFJ04" TargetMode="External" Id="rId62"/><Relationship Type="http://schemas.openxmlformats.org/officeDocument/2006/relationships/hyperlink" Target="https://data.bls.gov/timeseries/CUUR0000SAF113" TargetMode="External" Id="rId63"/><Relationship Type="http://schemas.openxmlformats.org/officeDocument/2006/relationships/hyperlink" Target="https://data.bls.gov/timeseries/CUUR0000SAF1131" TargetMode="External" Id="rId64"/><Relationship Type="http://schemas.openxmlformats.org/officeDocument/2006/relationships/hyperlink" Target="https://data.bls.gov/timeseries/CUUR0000SEFK" TargetMode="External" Id="rId65"/><Relationship Type="http://schemas.openxmlformats.org/officeDocument/2006/relationships/hyperlink" Target="https://data.bls.gov/timeseries/CUUR0000SEFK01" TargetMode="External" Id="rId66"/><Relationship Type="http://schemas.openxmlformats.org/officeDocument/2006/relationships/hyperlink" Target="https://data.bls.gov/timeseries/CUUR0000SEFK02" TargetMode="External" Id="rId67"/><Relationship Type="http://schemas.openxmlformats.org/officeDocument/2006/relationships/hyperlink" Target="https://data.bls.gov/timeseries/CUUR0000SEFK03" TargetMode="External" Id="rId68"/><Relationship Type="http://schemas.openxmlformats.org/officeDocument/2006/relationships/hyperlink" Target="https://data.bls.gov/timeseries/CUUR0000SS11031" TargetMode="External" Id="rId69"/><Relationship Type="http://schemas.openxmlformats.org/officeDocument/2006/relationships/hyperlink" Target="https://data.bls.gov/timeseries/CUUR0000SEFK04" TargetMode="External" Id="rId70"/><Relationship Type="http://schemas.openxmlformats.org/officeDocument/2006/relationships/hyperlink" Target="https://data.bls.gov/timeseries/CUUR0000SEFL" TargetMode="External" Id="rId71"/><Relationship Type="http://schemas.openxmlformats.org/officeDocument/2006/relationships/hyperlink" Target="https://data.bls.gov/timeseries/CUUR0000SEFL01" TargetMode="External" Id="rId72"/><Relationship Type="http://schemas.openxmlformats.org/officeDocument/2006/relationships/hyperlink" Target="https://data.bls.gov/timeseries/CUUR0000SEFL02" TargetMode="External" Id="rId73"/><Relationship Type="http://schemas.openxmlformats.org/officeDocument/2006/relationships/hyperlink" Target="https://data.bls.gov/timeseries/CUUR0000SEFL03" TargetMode="External" Id="rId74"/><Relationship Type="http://schemas.openxmlformats.org/officeDocument/2006/relationships/hyperlink" Target="https://data.bls.gov/timeseries/CUUR0000SEFL04" TargetMode="External" Id="rId75"/><Relationship Type="http://schemas.openxmlformats.org/officeDocument/2006/relationships/hyperlink" Target="https://data.bls.gov/timeseries/CUUR0000SEFM" TargetMode="External" Id="rId76"/><Relationship Type="http://schemas.openxmlformats.org/officeDocument/2006/relationships/hyperlink" Target="https://data.bls.gov/timeseries/CUUR0000SEFM01" TargetMode="External" Id="rId77"/><Relationship Type="http://schemas.openxmlformats.org/officeDocument/2006/relationships/hyperlink" Target="https://data.bls.gov/timeseries/CUUR0000SS13031" TargetMode="External" Id="rId78"/><Relationship Type="http://schemas.openxmlformats.org/officeDocument/2006/relationships/hyperlink" Target="https://data.bls.gov/timeseries/CUUR0000SS14021" TargetMode="External" Id="rId79"/><Relationship Type="http://schemas.openxmlformats.org/officeDocument/2006/relationships/hyperlink" Target="https://data.bls.gov/timeseries/CUUR0000SEFM02" TargetMode="External" Id="rId80"/><Relationship Type="http://schemas.openxmlformats.org/officeDocument/2006/relationships/hyperlink" Target="https://data.bls.gov/timeseries/CUUR0000SS14011" TargetMode="External" Id="rId81"/><Relationship Type="http://schemas.openxmlformats.org/officeDocument/2006/relationships/hyperlink" Target="https://data.bls.gov/timeseries/CUUR0000SEFM03" TargetMode="External" Id="rId82"/><Relationship Type="http://schemas.openxmlformats.org/officeDocument/2006/relationships/hyperlink" Target="https://data.bls.gov/timeseries/CUUR0000SS14022" TargetMode="External" Id="rId83"/><Relationship Type="http://schemas.openxmlformats.org/officeDocument/2006/relationships/hyperlink" Target="https://data.bls.gov/timeseries/CUUR0000SAF114" TargetMode="External" Id="rId84"/><Relationship Type="http://schemas.openxmlformats.org/officeDocument/2006/relationships/hyperlink" Target="https://data.bls.gov/timeseries/CUUR0000SEFN" TargetMode="External" Id="rId85"/><Relationship Type="http://schemas.openxmlformats.org/officeDocument/2006/relationships/hyperlink" Target="https://data.bls.gov/timeseries/CUUR0000SEFN01" TargetMode="External" Id="rId86"/><Relationship Type="http://schemas.openxmlformats.org/officeDocument/2006/relationships/hyperlink" Target="https://data.bls.gov/timeseries/CUUR0000SEFN02" TargetMode="External" Id="rId87"/><Relationship Type="http://schemas.openxmlformats.org/officeDocument/2006/relationships/hyperlink" Target="https://data.bls.gov/timeseries/CUUR0000SEFN03" TargetMode="External" Id="rId88"/><Relationship Type="http://schemas.openxmlformats.org/officeDocument/2006/relationships/hyperlink" Target="https://data.bls.gov/timeseries/CUUR0000SEFP" TargetMode="External" Id="rId89"/><Relationship Type="http://schemas.openxmlformats.org/officeDocument/2006/relationships/hyperlink" Target="https://data.bls.gov/timeseries/CUUR0000SEFP01" TargetMode="External" Id="rId90"/><Relationship Type="http://schemas.openxmlformats.org/officeDocument/2006/relationships/hyperlink" Target="https://data.bls.gov/timeseries/CUUR0000SS17031" TargetMode="External" Id="rId91"/><Relationship Type="http://schemas.openxmlformats.org/officeDocument/2006/relationships/hyperlink" Target="https://data.bls.gov/timeseries/CUUR0000SS17032" TargetMode="External" Id="rId92"/><Relationship Type="http://schemas.openxmlformats.org/officeDocument/2006/relationships/hyperlink" Target="https://data.bls.gov/timeseries/CUUR0000SEFP02" TargetMode="External" Id="rId93"/><Relationship Type="http://schemas.openxmlformats.org/officeDocument/2006/relationships/hyperlink" Target="https://data.bls.gov/timeseries/CUUR0000SAF115" TargetMode="External" Id="rId94"/><Relationship Type="http://schemas.openxmlformats.org/officeDocument/2006/relationships/hyperlink" Target="https://data.bls.gov/timeseries/CUUR0000SEFR" TargetMode="External" Id="rId95"/><Relationship Type="http://schemas.openxmlformats.org/officeDocument/2006/relationships/hyperlink" Target="https://data.bls.gov/timeseries/CUUR0000SEFR01" TargetMode="External" Id="rId96"/><Relationship Type="http://schemas.openxmlformats.org/officeDocument/2006/relationships/hyperlink" Target="https://data.bls.gov/timeseries/CUUR0000SEFR02" TargetMode="External" Id="rId97"/><Relationship Type="http://schemas.openxmlformats.org/officeDocument/2006/relationships/hyperlink" Target="https://data.bls.gov/timeseries/CUUR0000SEFR03" TargetMode="External" Id="rId98"/><Relationship Type="http://schemas.openxmlformats.org/officeDocument/2006/relationships/hyperlink" Target="https://data.bls.gov/timeseries/CUUR0000SEFS" TargetMode="External" Id="rId99"/><Relationship Type="http://schemas.openxmlformats.org/officeDocument/2006/relationships/hyperlink" Target="https://data.bls.gov/timeseries/CUUR0000SEFS01" TargetMode="External" Id="rId100"/><Relationship Type="http://schemas.openxmlformats.org/officeDocument/2006/relationships/hyperlink" Target="https://data.bls.gov/timeseries/CUUR0000SS10011" TargetMode="External" Id="rId101"/><Relationship Type="http://schemas.openxmlformats.org/officeDocument/2006/relationships/hyperlink" Target="https://data.bls.gov/timeseries/CUUR0000SS16011" TargetMode="External" Id="rId102"/><Relationship Type="http://schemas.openxmlformats.org/officeDocument/2006/relationships/hyperlink" Target="https://data.bls.gov/timeseries/CUUR0000SEFS02" TargetMode="External" Id="rId103"/><Relationship Type="http://schemas.openxmlformats.org/officeDocument/2006/relationships/hyperlink" Target="https://data.bls.gov/timeseries/CUUR0000SEFS03" TargetMode="External" Id="rId104"/><Relationship Type="http://schemas.openxmlformats.org/officeDocument/2006/relationships/hyperlink" Target="https://data.bls.gov/timeseries/CUUR0000SS16014" TargetMode="External" Id="rId105"/><Relationship Type="http://schemas.openxmlformats.org/officeDocument/2006/relationships/hyperlink" Target="https://data.bls.gov/timeseries/CUUR0000SEFT" TargetMode="External" Id="rId106"/><Relationship Type="http://schemas.openxmlformats.org/officeDocument/2006/relationships/hyperlink" Target="https://data.bls.gov/timeseries/CUUR0000SEFT01" TargetMode="External" Id="rId107"/><Relationship Type="http://schemas.openxmlformats.org/officeDocument/2006/relationships/hyperlink" Target="https://data.bls.gov/timeseries/CUUR0000SEFT02" TargetMode="External" Id="rId108"/><Relationship Type="http://schemas.openxmlformats.org/officeDocument/2006/relationships/hyperlink" Target="https://data.bls.gov/timeseries/CUUR0000SEFT03" TargetMode="External" Id="rId109"/><Relationship Type="http://schemas.openxmlformats.org/officeDocument/2006/relationships/hyperlink" Target="https://data.bls.gov/timeseries/CUUR0000SEFT04" TargetMode="External" Id="rId110"/><Relationship Type="http://schemas.openxmlformats.org/officeDocument/2006/relationships/hyperlink" Target="https://data.bls.gov/timeseries/CUUR0000SS18041" TargetMode="External" Id="rId111"/><Relationship Type="http://schemas.openxmlformats.org/officeDocument/2006/relationships/hyperlink" Target="https://data.bls.gov/timeseries/CUUR0000SS18042" TargetMode="External" Id="rId112"/><Relationship Type="http://schemas.openxmlformats.org/officeDocument/2006/relationships/hyperlink" Target="https://data.bls.gov/timeseries/CUUR0000SS18043" TargetMode="External" Id="rId113"/><Relationship Type="http://schemas.openxmlformats.org/officeDocument/2006/relationships/hyperlink" Target="https://data.bls.gov/timeseries/CUUR0000SS1804B" TargetMode="External" Id="rId114"/><Relationship Type="http://schemas.openxmlformats.org/officeDocument/2006/relationships/hyperlink" Target="https://data.bls.gov/timeseries/CUUR0000SEFT05" TargetMode="External" Id="rId115"/><Relationship Type="http://schemas.openxmlformats.org/officeDocument/2006/relationships/hyperlink" Target="https://data.bls.gov/timeseries/CUUR0000SEFT06" TargetMode="External" Id="rId116"/><Relationship Type="http://schemas.openxmlformats.org/officeDocument/2006/relationships/hyperlink" Target="https://data.bls.gov/timeseries/CUUR0000SS18064" TargetMode="External" Id="rId117"/><Relationship Type="http://schemas.openxmlformats.org/officeDocument/2006/relationships/hyperlink" Target="https://data.bls.gov/timeseries/CUUR0000SEFV" TargetMode="External" Id="rId118"/><Relationship Type="http://schemas.openxmlformats.org/officeDocument/2006/relationships/hyperlink" Target="https://data.bls.gov/timeseries/CUUR0000SEFV01" TargetMode="External" Id="rId119"/><Relationship Type="http://schemas.openxmlformats.org/officeDocument/2006/relationships/hyperlink" Target="https://data.bls.gov/timeseries/CUUR0000SEFV02" TargetMode="External" Id="rId120"/><Relationship Type="http://schemas.openxmlformats.org/officeDocument/2006/relationships/hyperlink" Target="https://data.bls.gov/timeseries/CUUR0000SEFV03" TargetMode="External" Id="rId121"/><Relationship Type="http://schemas.openxmlformats.org/officeDocument/2006/relationships/hyperlink" Target="https://data.bls.gov/timeseries/CUUR0000SSFV031A" TargetMode="External" Id="rId122"/><Relationship Type="http://schemas.openxmlformats.org/officeDocument/2006/relationships/hyperlink" Target="https://data.bls.gov/timeseries/CUUR0000SEFV04" TargetMode="External" Id="rId123"/><Relationship Type="http://schemas.openxmlformats.org/officeDocument/2006/relationships/hyperlink" Target="https://data.bls.gov/timeseries/CUUR0000SEFV05" TargetMode="External" Id="rId124"/><Relationship Type="http://schemas.openxmlformats.org/officeDocument/2006/relationships/hyperlink" Target="https://data.bls.gov/timeseries/CUUR0000SAF116" TargetMode="External" Id="rId125"/><Relationship Type="http://schemas.openxmlformats.org/officeDocument/2006/relationships/hyperlink" Target="https://data.bls.gov/timeseries/CUUR0000SEFW" TargetMode="External" Id="rId126"/><Relationship Type="http://schemas.openxmlformats.org/officeDocument/2006/relationships/hyperlink" Target="https://data.bls.gov/timeseries/CUUR0000SEFW01" TargetMode="External" Id="rId127"/><Relationship Type="http://schemas.openxmlformats.org/officeDocument/2006/relationships/hyperlink" Target="https://data.bls.gov/timeseries/CUUR0000SEFW02" TargetMode="External" Id="rId128"/><Relationship Type="http://schemas.openxmlformats.org/officeDocument/2006/relationships/hyperlink" Target="https://data.bls.gov/timeseries/CUUR0000SS20021" TargetMode="External" Id="rId129"/><Relationship Type="http://schemas.openxmlformats.org/officeDocument/2006/relationships/hyperlink" Target="https://data.bls.gov/timeseries/CUUR0000SS20022" TargetMode="External" Id="rId130"/><Relationship Type="http://schemas.openxmlformats.org/officeDocument/2006/relationships/hyperlink" Target="https://data.bls.gov/timeseries/CUUR0000SEFW03" TargetMode="External" Id="rId131"/><Relationship Type="http://schemas.openxmlformats.org/officeDocument/2006/relationships/hyperlink" Target="https://data.bls.gov/timeseries/CUUR0000SEFX" TargetMode="External" Id="rId132"/><Relationship Type="http://schemas.openxmlformats.org/officeDocument/2006/relationships/hyperlink" Target="https://data.bls.gov/timeseries/CUUR0000SS20051" TargetMode="External" Id="rId133"/><Relationship Type="http://schemas.openxmlformats.org/officeDocument/2006/relationships/hyperlink" Target="https://data.bls.gov/timeseries/CUUR0000SS20052" TargetMode="External" Id="rId134"/><Relationship Type="http://schemas.openxmlformats.org/officeDocument/2006/relationships/hyperlink" Target="https://data.bls.gov/timeseries/CUUR0000SS20053" TargetMode="External" Id="rId135"/><Relationship Type="http://schemas.openxmlformats.org/officeDocument/2006/relationships/hyperlink" Target="https://data.bls.gov/timeseries/CUUR0000SAH" TargetMode="External" Id="rId136"/><Relationship Type="http://schemas.openxmlformats.org/officeDocument/2006/relationships/hyperlink" Target="https://data.bls.gov/timeseries/CUUR0000SAH1" TargetMode="External" Id="rId137"/><Relationship Type="http://schemas.openxmlformats.org/officeDocument/2006/relationships/hyperlink" Target="https://data.bls.gov/timeseries/CUUR0000SEHA" TargetMode="External" Id="rId138"/><Relationship Type="http://schemas.openxmlformats.org/officeDocument/2006/relationships/hyperlink" Target="https://data.bls.gov/timeseries/CUUR0000SEHB" TargetMode="External" Id="rId139"/><Relationship Type="http://schemas.openxmlformats.org/officeDocument/2006/relationships/hyperlink" Target="https://data.bls.gov/timeseries/CUUR0000SEHB01" TargetMode="External" Id="rId140"/><Relationship Type="http://schemas.openxmlformats.org/officeDocument/2006/relationships/hyperlink" Target="https://data.bls.gov/timeseries/CUUR0000SEHB02" TargetMode="External" Id="rId141"/><Relationship Type="http://schemas.openxmlformats.org/officeDocument/2006/relationships/hyperlink" Target="https://data.bls.gov/timeseries/CUUR0000SEHC" TargetMode="External" Id="rId142"/><Relationship Type="http://schemas.openxmlformats.org/officeDocument/2006/relationships/hyperlink" Target="https://data.bls.gov/timeseries/CUUR0000SEHC01" TargetMode="External" Id="rId143"/><Relationship Type="http://schemas.openxmlformats.org/officeDocument/2006/relationships/hyperlink" Target="https://data.bls.gov/timeseries/CUUR0000SEHD" TargetMode="External" Id="rId144"/><Relationship Type="http://schemas.openxmlformats.org/officeDocument/2006/relationships/hyperlink" Target="https://data.bls.gov/timeseries/CUUR0000SAH2" TargetMode="External" Id="rId145"/><Relationship Type="http://schemas.openxmlformats.org/officeDocument/2006/relationships/hyperlink" Target="https://data.bls.gov/timeseries/CUUR0000SAH21" TargetMode="External" Id="rId146"/><Relationship Type="http://schemas.openxmlformats.org/officeDocument/2006/relationships/hyperlink" Target="https://data.bls.gov/timeseries/CUUR0000SEHE" TargetMode="External" Id="rId147"/><Relationship Type="http://schemas.openxmlformats.org/officeDocument/2006/relationships/hyperlink" Target="https://data.bls.gov/timeseries/CUUR0000SEHE01" TargetMode="External" Id="rId148"/><Relationship Type="http://schemas.openxmlformats.org/officeDocument/2006/relationships/hyperlink" Target="https://data.bls.gov/timeseries/CUUR0000SEHE02" TargetMode="External" Id="rId149"/><Relationship Type="http://schemas.openxmlformats.org/officeDocument/2006/relationships/hyperlink" Target="https://data.bls.gov/timeseries/CUUR0000SEHF" TargetMode="External" Id="rId150"/><Relationship Type="http://schemas.openxmlformats.org/officeDocument/2006/relationships/hyperlink" Target="https://data.bls.gov/timeseries/CUUR0000SEHF01" TargetMode="External" Id="rId151"/><Relationship Type="http://schemas.openxmlformats.org/officeDocument/2006/relationships/hyperlink" Target="https://data.bls.gov/timeseries/CUUR0000SEHF02" TargetMode="External" Id="rId152"/><Relationship Type="http://schemas.openxmlformats.org/officeDocument/2006/relationships/hyperlink" Target="https://data.bls.gov/timeseries/CUUR0000SEHG" TargetMode="External" Id="rId153"/><Relationship Type="http://schemas.openxmlformats.org/officeDocument/2006/relationships/hyperlink" Target="https://data.bls.gov/timeseries/CUUR0000SEHG01" TargetMode="External" Id="rId154"/><Relationship Type="http://schemas.openxmlformats.org/officeDocument/2006/relationships/hyperlink" Target="https://data.bls.gov/timeseries/CUUR0000SEHG02" TargetMode="External" Id="rId155"/><Relationship Type="http://schemas.openxmlformats.org/officeDocument/2006/relationships/hyperlink" Target="https://data.bls.gov/timeseries/CUUR0000SAH3" TargetMode="External" Id="rId156"/><Relationship Type="http://schemas.openxmlformats.org/officeDocument/2006/relationships/hyperlink" Target="https://data.bls.gov/timeseries/CUUR0000SEHH" TargetMode="External" Id="rId157"/><Relationship Type="http://schemas.openxmlformats.org/officeDocument/2006/relationships/hyperlink" Target="https://data.bls.gov/timeseries/CUUR0000SEHH01" TargetMode="External" Id="rId158"/><Relationship Type="http://schemas.openxmlformats.org/officeDocument/2006/relationships/hyperlink" Target="https://data.bls.gov/timeseries/CUUR0000SEHH02" TargetMode="External" Id="rId159"/><Relationship Type="http://schemas.openxmlformats.org/officeDocument/2006/relationships/hyperlink" Target="https://data.bls.gov/timeseries/CUUR0000SEHH03" TargetMode="External" Id="rId160"/><Relationship Type="http://schemas.openxmlformats.org/officeDocument/2006/relationships/hyperlink" Target="https://data.bls.gov/timeseries/CUUR0000SEHJ" TargetMode="External" Id="rId161"/><Relationship Type="http://schemas.openxmlformats.org/officeDocument/2006/relationships/hyperlink" Target="https://data.bls.gov/timeseries/CUUR0000SEHJ01" TargetMode="External" Id="rId162"/><Relationship Type="http://schemas.openxmlformats.org/officeDocument/2006/relationships/hyperlink" Target="https://data.bls.gov/timeseries/CUUR0000SEHJ02" TargetMode="External" Id="rId163"/><Relationship Type="http://schemas.openxmlformats.org/officeDocument/2006/relationships/hyperlink" Target="https://data.bls.gov/timeseries/CUUR0000SEHJ03" TargetMode="External" Id="rId164"/><Relationship Type="http://schemas.openxmlformats.org/officeDocument/2006/relationships/hyperlink" Target="https://data.bls.gov/timeseries/CUUR0000SSHJ031" TargetMode="External" Id="rId165"/><Relationship Type="http://schemas.openxmlformats.org/officeDocument/2006/relationships/hyperlink" Target="https://data.bls.gov/timeseries/CUUR0000SEHK" TargetMode="External" Id="rId166"/><Relationship Type="http://schemas.openxmlformats.org/officeDocument/2006/relationships/hyperlink" Target="https://data.bls.gov/timeseries/CUUR0000SEHK01" TargetMode="External" Id="rId167"/><Relationship Type="http://schemas.openxmlformats.org/officeDocument/2006/relationships/hyperlink" Target="https://data.bls.gov/timeseries/CUUR0000SS30021" TargetMode="External" Id="rId168"/><Relationship Type="http://schemas.openxmlformats.org/officeDocument/2006/relationships/hyperlink" Target="https://data.bls.gov/timeseries/CUUR0000SEHK02" TargetMode="External" Id="rId169"/><Relationship Type="http://schemas.openxmlformats.org/officeDocument/2006/relationships/hyperlink" Target="https://data.bls.gov/timeseries/CUUR0000SEHL" TargetMode="External" Id="rId170"/><Relationship Type="http://schemas.openxmlformats.org/officeDocument/2006/relationships/hyperlink" Target="https://data.bls.gov/timeseries/CUUR0000SEHL01" TargetMode="External" Id="rId171"/><Relationship Type="http://schemas.openxmlformats.org/officeDocument/2006/relationships/hyperlink" Target="https://data.bls.gov/timeseries/CUUR0000SEHL02" TargetMode="External" Id="rId172"/><Relationship Type="http://schemas.openxmlformats.org/officeDocument/2006/relationships/hyperlink" Target="https://data.bls.gov/timeseries/CUUR0000SEHL03" TargetMode="External" Id="rId173"/><Relationship Type="http://schemas.openxmlformats.org/officeDocument/2006/relationships/hyperlink" Target="https://data.bls.gov/timeseries/CUUR0000SEHL04" TargetMode="External" Id="rId174"/><Relationship Type="http://schemas.openxmlformats.org/officeDocument/2006/relationships/hyperlink" Target="https://data.bls.gov/timeseries/CUUR0000SEHM" TargetMode="External" Id="rId175"/><Relationship Type="http://schemas.openxmlformats.org/officeDocument/2006/relationships/hyperlink" Target="https://data.bls.gov/timeseries/CUUR0000SEHM01" TargetMode="External" Id="rId176"/><Relationship Type="http://schemas.openxmlformats.org/officeDocument/2006/relationships/hyperlink" Target="https://data.bls.gov/timeseries/CUUR0000SEHM02" TargetMode="External" Id="rId177"/><Relationship Type="http://schemas.openxmlformats.org/officeDocument/2006/relationships/hyperlink" Target="https://data.bls.gov/timeseries/CUUR0000SEHN" TargetMode="External" Id="rId178"/><Relationship Type="http://schemas.openxmlformats.org/officeDocument/2006/relationships/hyperlink" Target="https://data.bls.gov/timeseries/CUUR0000SEHN01" TargetMode="External" Id="rId179"/><Relationship Type="http://schemas.openxmlformats.org/officeDocument/2006/relationships/hyperlink" Target="https://data.bls.gov/timeseries/CUUR0000SEHN02" TargetMode="External" Id="rId180"/><Relationship Type="http://schemas.openxmlformats.org/officeDocument/2006/relationships/hyperlink" Target="https://data.bls.gov/timeseries/CUUR0000SEHN03" TargetMode="External" Id="rId181"/><Relationship Type="http://schemas.openxmlformats.org/officeDocument/2006/relationships/hyperlink" Target="https://data.bls.gov/timeseries/CUUR0000SEHP" TargetMode="External" Id="rId182"/><Relationship Type="http://schemas.openxmlformats.org/officeDocument/2006/relationships/hyperlink" Target="https://data.bls.gov/timeseries/CUUR0000SEHP01" TargetMode="External" Id="rId183"/><Relationship Type="http://schemas.openxmlformats.org/officeDocument/2006/relationships/hyperlink" Target="https://data.bls.gov/timeseries/CUUR0000SEHP02" TargetMode="External" Id="rId184"/><Relationship Type="http://schemas.openxmlformats.org/officeDocument/2006/relationships/hyperlink" Target="https://data.bls.gov/timeseries/CUUR0000SEHP03" TargetMode="External" Id="rId185"/><Relationship Type="http://schemas.openxmlformats.org/officeDocument/2006/relationships/hyperlink" Target="https://data.bls.gov/timeseries/CUUR0000SEHP04" TargetMode="External" Id="rId186"/><Relationship Type="http://schemas.openxmlformats.org/officeDocument/2006/relationships/hyperlink" Target="https://data.bls.gov/timeseries/CUUR0000SAA" TargetMode="External" Id="rId187"/><Relationship Type="http://schemas.openxmlformats.org/officeDocument/2006/relationships/hyperlink" Target="https://data.bls.gov/timeseries/CUUR0000SAA1" TargetMode="External" Id="rId188"/><Relationship Type="http://schemas.openxmlformats.org/officeDocument/2006/relationships/hyperlink" Target="https://data.bls.gov/timeseries/CUUR0000SEAA" TargetMode="External" Id="rId189"/><Relationship Type="http://schemas.openxmlformats.org/officeDocument/2006/relationships/hyperlink" Target="https://data.bls.gov/timeseries/CUUR0000SEAA01" TargetMode="External" Id="rId190"/><Relationship Type="http://schemas.openxmlformats.org/officeDocument/2006/relationships/hyperlink" Target="https://data.bls.gov/timeseries/CUUR0000SEAA02" TargetMode="External" Id="rId191"/><Relationship Type="http://schemas.openxmlformats.org/officeDocument/2006/relationships/hyperlink" Target="https://data.bls.gov/timeseries/CUUR0000SEAA03" TargetMode="External" Id="rId192"/><Relationship Type="http://schemas.openxmlformats.org/officeDocument/2006/relationships/hyperlink" Target="https://data.bls.gov/timeseries/CUUR0000SEAA04" TargetMode="External" Id="rId193"/><Relationship Type="http://schemas.openxmlformats.org/officeDocument/2006/relationships/hyperlink" Target="https://data.bls.gov/timeseries/CUUR0000SEAB" TargetMode="External" Id="rId194"/><Relationship Type="http://schemas.openxmlformats.org/officeDocument/2006/relationships/hyperlink" Target="https://data.bls.gov/timeseries/CUUR0000SAA2" TargetMode="External" Id="rId195"/><Relationship Type="http://schemas.openxmlformats.org/officeDocument/2006/relationships/hyperlink" Target="https://data.bls.gov/timeseries/CUUR0000SEAC" TargetMode="External" Id="rId196"/><Relationship Type="http://schemas.openxmlformats.org/officeDocument/2006/relationships/hyperlink" Target="https://data.bls.gov/timeseries/CUUR0000SEAC01" TargetMode="External" Id="rId197"/><Relationship Type="http://schemas.openxmlformats.org/officeDocument/2006/relationships/hyperlink" Target="https://data.bls.gov/timeseries/CUUR0000SEAC02" TargetMode="External" Id="rId198"/><Relationship Type="http://schemas.openxmlformats.org/officeDocument/2006/relationships/hyperlink" Target="https://data.bls.gov/timeseries/CUUR0000SEAC03" TargetMode="External" Id="rId199"/><Relationship Type="http://schemas.openxmlformats.org/officeDocument/2006/relationships/hyperlink" Target="https://data.bls.gov/timeseries/CUUR0000SEAC04" TargetMode="External" Id="rId200"/><Relationship Type="http://schemas.openxmlformats.org/officeDocument/2006/relationships/hyperlink" Target="https://data.bls.gov/timeseries/CUUR0000SEAD" TargetMode="External" Id="rId201"/><Relationship Type="http://schemas.openxmlformats.org/officeDocument/2006/relationships/hyperlink" Target="https://data.bls.gov/timeseries/CUUR0000SEAE" TargetMode="External" Id="rId202"/><Relationship Type="http://schemas.openxmlformats.org/officeDocument/2006/relationships/hyperlink" Target="https://data.bls.gov/timeseries/CUUR0000SEAE01" TargetMode="External" Id="rId203"/><Relationship Type="http://schemas.openxmlformats.org/officeDocument/2006/relationships/hyperlink" Target="https://data.bls.gov/timeseries/CUUR0000SEAE02" TargetMode="External" Id="rId204"/><Relationship Type="http://schemas.openxmlformats.org/officeDocument/2006/relationships/hyperlink" Target="https://data.bls.gov/timeseries/CUUR0000SEAE03" TargetMode="External" Id="rId205"/><Relationship Type="http://schemas.openxmlformats.org/officeDocument/2006/relationships/hyperlink" Target="https://data.bls.gov/timeseries/CUUR0000SEAF" TargetMode="External" Id="rId206"/><Relationship Type="http://schemas.openxmlformats.org/officeDocument/2006/relationships/hyperlink" Target="https://data.bls.gov/timeseries/CUUR0000SEAG" TargetMode="External" Id="rId207"/><Relationship Type="http://schemas.openxmlformats.org/officeDocument/2006/relationships/hyperlink" Target="https://data.bls.gov/timeseries/CUUR0000SEAG01" TargetMode="External" Id="rId208"/><Relationship Type="http://schemas.openxmlformats.org/officeDocument/2006/relationships/hyperlink" Target="https://data.bls.gov/timeseries/CUUR0000SEAG02" TargetMode="External" Id="rId209"/><Relationship Type="http://schemas.openxmlformats.org/officeDocument/2006/relationships/hyperlink" Target="https://data.bls.gov/timeseries/CUUR0000SAT" TargetMode="External" Id="rId210"/><Relationship Type="http://schemas.openxmlformats.org/officeDocument/2006/relationships/hyperlink" Target="https://data.bls.gov/timeseries/CUUR0000SAT1" TargetMode="External" Id="rId211"/><Relationship Type="http://schemas.openxmlformats.org/officeDocument/2006/relationships/hyperlink" Target="https://data.bls.gov/timeseries/CUUR0000SETA" TargetMode="External" Id="rId212"/><Relationship Type="http://schemas.openxmlformats.org/officeDocument/2006/relationships/hyperlink" Target="https://data.bls.gov/timeseries/CUUR0000SETA01" TargetMode="External" Id="rId213"/><Relationship Type="http://schemas.openxmlformats.org/officeDocument/2006/relationships/hyperlink" Target="https://data.bls.gov/timeseries/CUUR0000SS4501A" TargetMode="External" Id="rId214"/><Relationship Type="http://schemas.openxmlformats.org/officeDocument/2006/relationships/hyperlink" Target="https://data.bls.gov/timeseries/CUUR0000SS45011" TargetMode="External" Id="rId215"/><Relationship Type="http://schemas.openxmlformats.org/officeDocument/2006/relationships/hyperlink" Target="https://data.bls.gov/timeseries/CUUR0000SS45021" TargetMode="External" Id="rId216"/><Relationship Type="http://schemas.openxmlformats.org/officeDocument/2006/relationships/hyperlink" Target="https://data.bls.gov/timeseries/CUUR0000SS45031" TargetMode="External" Id="rId217"/><Relationship Type="http://schemas.openxmlformats.org/officeDocument/2006/relationships/hyperlink" Target="https://data.bls.gov/timeseries/CUUR0000SETA02" TargetMode="External" Id="rId218"/><Relationship Type="http://schemas.openxmlformats.org/officeDocument/2006/relationships/hyperlink" Target="https://data.bls.gov/timeseries/CUUR0000SETA03" TargetMode="External" Id="rId219"/><Relationship Type="http://schemas.openxmlformats.org/officeDocument/2006/relationships/hyperlink" Target="https://data.bls.gov/timeseries/CUUR0000SETA04" TargetMode="External" Id="rId220"/><Relationship Type="http://schemas.openxmlformats.org/officeDocument/2006/relationships/hyperlink" Target="https://data.bls.gov/timeseries/CUUR0000SETB" TargetMode="External" Id="rId221"/><Relationship Type="http://schemas.openxmlformats.org/officeDocument/2006/relationships/hyperlink" Target="https://data.bls.gov/timeseries/CUUR0000SETB01" TargetMode="External" Id="rId222"/><Relationship Type="http://schemas.openxmlformats.org/officeDocument/2006/relationships/hyperlink" Target="https://data.bls.gov/timeseries/CUUR0000SS47014" TargetMode="External" Id="rId223"/><Relationship Type="http://schemas.openxmlformats.org/officeDocument/2006/relationships/hyperlink" Target="https://data.bls.gov/timeseries/CUUR0000SS47015" TargetMode="External" Id="rId224"/><Relationship Type="http://schemas.openxmlformats.org/officeDocument/2006/relationships/hyperlink" Target="https://data.bls.gov/timeseries/CUUR0000SS47016" TargetMode="External" Id="rId225"/><Relationship Type="http://schemas.openxmlformats.org/officeDocument/2006/relationships/hyperlink" Target="https://data.bls.gov/timeseries/CUUR0000SETB02" TargetMode="External" Id="rId226"/><Relationship Type="http://schemas.openxmlformats.org/officeDocument/2006/relationships/hyperlink" Target="https://data.bls.gov/timeseries/CUUR0000SETC" TargetMode="External" Id="rId227"/><Relationship Type="http://schemas.openxmlformats.org/officeDocument/2006/relationships/hyperlink" Target="https://data.bls.gov/timeseries/CUUR0000SETC01" TargetMode="External" Id="rId228"/><Relationship Type="http://schemas.openxmlformats.org/officeDocument/2006/relationships/hyperlink" Target="https://data.bls.gov/timeseries/CUUR0000SETC02" TargetMode="External" Id="rId229"/><Relationship Type="http://schemas.openxmlformats.org/officeDocument/2006/relationships/hyperlink" Target="https://data.bls.gov/timeseries/CUUR0000SS48021" TargetMode="External" Id="rId230"/><Relationship Type="http://schemas.openxmlformats.org/officeDocument/2006/relationships/hyperlink" Target="https://data.bls.gov/timeseries/CUUR0000SS47021" TargetMode="External" Id="rId231"/><Relationship Type="http://schemas.openxmlformats.org/officeDocument/2006/relationships/hyperlink" Target="https://data.bls.gov/timeseries/CUUR0000SETD" TargetMode="External" Id="rId232"/><Relationship Type="http://schemas.openxmlformats.org/officeDocument/2006/relationships/hyperlink" Target="https://data.bls.gov/timeseries/CUUR0000SETD01" TargetMode="External" Id="rId233"/><Relationship Type="http://schemas.openxmlformats.org/officeDocument/2006/relationships/hyperlink" Target="https://data.bls.gov/timeseries/CUUR0000SETD02" TargetMode="External" Id="rId234"/><Relationship Type="http://schemas.openxmlformats.org/officeDocument/2006/relationships/hyperlink" Target="https://data.bls.gov/timeseries/CUUR0000SETD03" TargetMode="External" Id="rId235"/><Relationship Type="http://schemas.openxmlformats.org/officeDocument/2006/relationships/hyperlink" Target="https://data.bls.gov/timeseries/CUUR0000SETE" TargetMode="External" Id="rId236"/><Relationship Type="http://schemas.openxmlformats.org/officeDocument/2006/relationships/hyperlink" Target="https://data.bls.gov/timeseries/CUUR0000SETF" TargetMode="External" Id="rId237"/><Relationship Type="http://schemas.openxmlformats.org/officeDocument/2006/relationships/hyperlink" Target="https://data.bls.gov/timeseries/CUUR0000SETF01" TargetMode="External" Id="rId238"/><Relationship Type="http://schemas.openxmlformats.org/officeDocument/2006/relationships/hyperlink" Target="https://data.bls.gov/timeseries/CUUR0000SETF03" TargetMode="External" Id="rId239"/><Relationship Type="http://schemas.openxmlformats.org/officeDocument/2006/relationships/hyperlink" Target="https://data.bls.gov/timeseries/CUUR0000SS52051" TargetMode="External" Id="rId240"/><Relationship Type="http://schemas.openxmlformats.org/officeDocument/2006/relationships/hyperlink" Target="https://data.bls.gov/timeseries/CUUR0000SS62011" TargetMode="External" Id="rId241"/><Relationship Type="http://schemas.openxmlformats.org/officeDocument/2006/relationships/hyperlink" Target="https://data.bls.gov/timeseries/CUUR0000SETG" TargetMode="External" Id="rId242"/><Relationship Type="http://schemas.openxmlformats.org/officeDocument/2006/relationships/hyperlink" Target="https://data.bls.gov/timeseries/CUUR0000SETG01" TargetMode="External" Id="rId243"/><Relationship Type="http://schemas.openxmlformats.org/officeDocument/2006/relationships/hyperlink" Target="https://data.bls.gov/timeseries/CUUR0000SETG02" TargetMode="External" Id="rId244"/><Relationship Type="http://schemas.openxmlformats.org/officeDocument/2006/relationships/hyperlink" Target="https://data.bls.gov/timeseries/CUUR0000SS53021" TargetMode="External" Id="rId245"/><Relationship Type="http://schemas.openxmlformats.org/officeDocument/2006/relationships/hyperlink" Target="https://data.bls.gov/timeseries/CUUR0000SS53022" TargetMode="External" Id="rId246"/><Relationship Type="http://schemas.openxmlformats.org/officeDocument/2006/relationships/hyperlink" Target="https://data.bls.gov/timeseries/CUUR0000SS53023" TargetMode="External" Id="rId247"/><Relationship Type="http://schemas.openxmlformats.org/officeDocument/2006/relationships/hyperlink" Target="https://data.bls.gov/timeseries/CUUR0000SETG03" TargetMode="External" Id="rId248"/><Relationship Type="http://schemas.openxmlformats.org/officeDocument/2006/relationships/hyperlink" Target="https://data.bls.gov/timeseries/CUUR0000SS53031" TargetMode="External" Id="rId249"/><Relationship Type="http://schemas.openxmlformats.org/officeDocument/2006/relationships/hyperlink" Target="https://data.bls.gov/timeseries/CUUR0000SAM" TargetMode="External" Id="rId250"/><Relationship Type="http://schemas.openxmlformats.org/officeDocument/2006/relationships/hyperlink" Target="https://data.bls.gov/timeseries/CUUR0000SAM1" TargetMode="External" Id="rId251"/><Relationship Type="http://schemas.openxmlformats.org/officeDocument/2006/relationships/hyperlink" Target="https://data.bls.gov/timeseries/CUUR0000SEMF" TargetMode="External" Id="rId252"/><Relationship Type="http://schemas.openxmlformats.org/officeDocument/2006/relationships/hyperlink" Target="https://data.bls.gov/timeseries/CUUR0000SEMF01" TargetMode="External" Id="rId253"/><Relationship Type="http://schemas.openxmlformats.org/officeDocument/2006/relationships/hyperlink" Target="https://data.bls.gov/timeseries/CUUR0000SEMF02" TargetMode="External" Id="rId254"/><Relationship Type="http://schemas.openxmlformats.org/officeDocument/2006/relationships/hyperlink" Target="https://data.bls.gov/timeseries/CUUR0000SEMG" TargetMode="External" Id="rId255"/><Relationship Type="http://schemas.openxmlformats.org/officeDocument/2006/relationships/hyperlink" Target="https://data.bls.gov/timeseries/CUUR0000SAM2" TargetMode="External" Id="rId256"/><Relationship Type="http://schemas.openxmlformats.org/officeDocument/2006/relationships/hyperlink" Target="https://data.bls.gov/timeseries/CUUR0000SEMC" TargetMode="External" Id="rId257"/><Relationship Type="http://schemas.openxmlformats.org/officeDocument/2006/relationships/hyperlink" Target="https://data.bls.gov/timeseries/CUUR0000SEMC01" TargetMode="External" Id="rId258"/><Relationship Type="http://schemas.openxmlformats.org/officeDocument/2006/relationships/hyperlink" Target="https://data.bls.gov/timeseries/CUUR0000SEMC02" TargetMode="External" Id="rId259"/><Relationship Type="http://schemas.openxmlformats.org/officeDocument/2006/relationships/hyperlink" Target="https://data.bls.gov/timeseries/CUUR0000SEMC03" TargetMode="External" Id="rId260"/><Relationship Type="http://schemas.openxmlformats.org/officeDocument/2006/relationships/hyperlink" Target="https://data.bls.gov/timeseries/CUUR0000SEMC04" TargetMode="External" Id="rId261"/><Relationship Type="http://schemas.openxmlformats.org/officeDocument/2006/relationships/hyperlink" Target="https://data.bls.gov/timeseries/CUUR0000SEMD" TargetMode="External" Id="rId262"/><Relationship Type="http://schemas.openxmlformats.org/officeDocument/2006/relationships/hyperlink" Target="https://data.bls.gov/timeseries/CUUR0000SEMD01" TargetMode="External" Id="rId263"/><Relationship Type="http://schemas.openxmlformats.org/officeDocument/2006/relationships/hyperlink" Target="https://data.bls.gov/timeseries/CUUR0000SS5702" TargetMode="External" Id="rId264"/><Relationship Type="http://schemas.openxmlformats.org/officeDocument/2006/relationships/hyperlink" Target="https://data.bls.gov/timeseries/CUUR0000SS5703" TargetMode="External" Id="rId265"/><Relationship Type="http://schemas.openxmlformats.org/officeDocument/2006/relationships/hyperlink" Target="https://data.bls.gov/timeseries/CUUR0000SEMD02" TargetMode="External" Id="rId266"/><Relationship Type="http://schemas.openxmlformats.org/officeDocument/2006/relationships/hyperlink" Target="https://data.bls.gov/timeseries/CUUR0000SEMD03" TargetMode="External" Id="rId267"/><Relationship Type="http://schemas.openxmlformats.org/officeDocument/2006/relationships/hyperlink" Target="https://data.bls.gov/timeseries/CUUR0000SEME" TargetMode="External" Id="rId268"/><Relationship Type="http://schemas.openxmlformats.org/officeDocument/2006/relationships/hyperlink" Target="https://data.bls.gov/timeseries/CUUR0000SAR" TargetMode="External" Id="rId269"/><Relationship Type="http://schemas.openxmlformats.org/officeDocument/2006/relationships/hyperlink" Target="https://data.bls.gov/timeseries/CUUR0000SERA" TargetMode="External" Id="rId270"/><Relationship Type="http://schemas.openxmlformats.org/officeDocument/2006/relationships/hyperlink" Target="https://data.bls.gov/timeseries/CUUR0000SERA01" TargetMode="External" Id="rId271"/><Relationship Type="http://schemas.openxmlformats.org/officeDocument/2006/relationships/hyperlink" Target="https://data.bls.gov/timeseries/CUUR0000SERA02" TargetMode="External" Id="rId272"/><Relationship Type="http://schemas.openxmlformats.org/officeDocument/2006/relationships/hyperlink" Target="https://data.bls.gov/timeseries/CUUR0000SERA03" TargetMode="External" Id="rId273"/><Relationship Type="http://schemas.openxmlformats.org/officeDocument/2006/relationships/hyperlink" Target="https://data.bls.gov/timeseries/CUUR0000SERA04" TargetMode="External" Id="rId274"/><Relationship Type="http://schemas.openxmlformats.org/officeDocument/2006/relationships/hyperlink" Target="https://data.bls.gov/timeseries/CUUR0000SS31022" TargetMode="External" Id="rId275"/><Relationship Type="http://schemas.openxmlformats.org/officeDocument/2006/relationships/hyperlink" Target="https://data.bls.gov/timeseries/CUUR0000SS62055" TargetMode="External" Id="rId276"/><Relationship Type="http://schemas.openxmlformats.org/officeDocument/2006/relationships/hyperlink" Target="https://data.bls.gov/timeseries/CUUR0000SERA05" TargetMode="External" Id="rId277"/><Relationship Type="http://schemas.openxmlformats.org/officeDocument/2006/relationships/hyperlink" Target="https://data.bls.gov/timeseries/CUUR0000SERA06" TargetMode="External" Id="rId278"/><Relationship Type="http://schemas.openxmlformats.org/officeDocument/2006/relationships/hyperlink" Target="https://data.bls.gov/timeseries/CUUR0000SERB" TargetMode="External" Id="rId279"/><Relationship Type="http://schemas.openxmlformats.org/officeDocument/2006/relationships/hyperlink" Target="https://data.bls.gov/timeseries/CUUR0000SERB01" TargetMode="External" Id="rId280"/><Relationship Type="http://schemas.openxmlformats.org/officeDocument/2006/relationships/hyperlink" Target="https://data.bls.gov/timeseries/CUUR0000SS61031" TargetMode="External" Id="rId281"/><Relationship Type="http://schemas.openxmlformats.org/officeDocument/2006/relationships/hyperlink" Target="https://data.bls.gov/timeseries/CUUR0000SS61032" TargetMode="External" Id="rId282"/><Relationship Type="http://schemas.openxmlformats.org/officeDocument/2006/relationships/hyperlink" Target="https://data.bls.gov/timeseries/CUUR0000SERB02" TargetMode="External" Id="rId283"/><Relationship Type="http://schemas.openxmlformats.org/officeDocument/2006/relationships/hyperlink" Target="https://data.bls.gov/timeseries/CUUR0000SS62053" TargetMode="External" Id="rId284"/><Relationship Type="http://schemas.openxmlformats.org/officeDocument/2006/relationships/hyperlink" Target="https://data.bls.gov/timeseries/CUUR0000SS62054" TargetMode="External" Id="rId285"/><Relationship Type="http://schemas.openxmlformats.org/officeDocument/2006/relationships/hyperlink" Target="https://data.bls.gov/timeseries/CUUR0000SERC" TargetMode="External" Id="rId286"/><Relationship Type="http://schemas.openxmlformats.org/officeDocument/2006/relationships/hyperlink" Target="https://data.bls.gov/timeseries/CUUR0000SERC01" TargetMode="External" Id="rId287"/><Relationship Type="http://schemas.openxmlformats.org/officeDocument/2006/relationships/hyperlink" Target="https://data.bls.gov/timeseries/CUUR0000SERC02" TargetMode="External" Id="rId288"/><Relationship Type="http://schemas.openxmlformats.org/officeDocument/2006/relationships/hyperlink" Target="https://data.bls.gov/timeseries/CUUR0000SERD" TargetMode="External" Id="rId289"/><Relationship Type="http://schemas.openxmlformats.org/officeDocument/2006/relationships/hyperlink" Target="https://data.bls.gov/timeseries/CUUR0000SERD01" TargetMode="External" Id="rId290"/><Relationship Type="http://schemas.openxmlformats.org/officeDocument/2006/relationships/hyperlink" Target="https://data.bls.gov/timeseries/CUUR0000SS61021" TargetMode="External" Id="rId291"/><Relationship Type="http://schemas.openxmlformats.org/officeDocument/2006/relationships/hyperlink" Target="https://data.bls.gov/timeseries/CUUR0000SS61023" TargetMode="External" Id="rId292"/><Relationship Type="http://schemas.openxmlformats.org/officeDocument/2006/relationships/hyperlink" Target="https://data.bls.gov/timeseries/CUUR0000SERD02" TargetMode="External" Id="rId293"/><Relationship Type="http://schemas.openxmlformats.org/officeDocument/2006/relationships/hyperlink" Target="https://data.bls.gov/timeseries/CUUR0000SS62051" TargetMode="External" Id="rId294"/><Relationship Type="http://schemas.openxmlformats.org/officeDocument/2006/relationships/hyperlink" Target="https://data.bls.gov/timeseries/CUUR0000SS62052" TargetMode="External" Id="rId295"/><Relationship Type="http://schemas.openxmlformats.org/officeDocument/2006/relationships/hyperlink" Target="https://data.bls.gov/timeseries/CUUR0000SERE" TargetMode="External" Id="rId296"/><Relationship Type="http://schemas.openxmlformats.org/officeDocument/2006/relationships/hyperlink" Target="https://data.bls.gov/timeseries/CUUR0000SERE01" TargetMode="External" Id="rId297"/><Relationship Type="http://schemas.openxmlformats.org/officeDocument/2006/relationships/hyperlink" Target="https://data.bls.gov/timeseries/CUUR0000SS61011" TargetMode="External" Id="rId298"/><Relationship Type="http://schemas.openxmlformats.org/officeDocument/2006/relationships/hyperlink" Target="https://data.bls.gov/timeseries/CUUR0000SS31023" TargetMode="External" Id="rId299"/><Relationship Type="http://schemas.openxmlformats.org/officeDocument/2006/relationships/hyperlink" Target="https://data.bls.gov/timeseries/CUUR0000SERE02" TargetMode="External" Id="rId300"/><Relationship Type="http://schemas.openxmlformats.org/officeDocument/2006/relationships/hyperlink" Target="https://data.bls.gov/timeseries/CUUR0000SERE03" TargetMode="External" Id="rId301"/><Relationship Type="http://schemas.openxmlformats.org/officeDocument/2006/relationships/hyperlink" Target="https://data.bls.gov/timeseries/CUUR0000SERF" TargetMode="External" Id="rId302"/><Relationship Type="http://schemas.openxmlformats.org/officeDocument/2006/relationships/hyperlink" Target="https://data.bls.gov/timeseries/CUUR0000SERF01" TargetMode="External" Id="rId303"/><Relationship Type="http://schemas.openxmlformats.org/officeDocument/2006/relationships/hyperlink" Target="https://data.bls.gov/timeseries/CUUR0000SERF02" TargetMode="External" Id="rId304"/><Relationship Type="http://schemas.openxmlformats.org/officeDocument/2006/relationships/hyperlink" Target="https://data.bls.gov/timeseries/CUUR0000SS62031" TargetMode="External" Id="rId305"/><Relationship Type="http://schemas.openxmlformats.org/officeDocument/2006/relationships/hyperlink" Target="https://data.bls.gov/timeseries/CUUR0000SS62032" TargetMode="External" Id="rId306"/><Relationship Type="http://schemas.openxmlformats.org/officeDocument/2006/relationships/hyperlink" Target="https://data.bls.gov/timeseries/CUUR0000SERF03" TargetMode="External" Id="rId307"/><Relationship Type="http://schemas.openxmlformats.org/officeDocument/2006/relationships/hyperlink" Target="https://data.bls.gov/timeseries/CUUR0000SERG" TargetMode="External" Id="rId308"/><Relationship Type="http://schemas.openxmlformats.org/officeDocument/2006/relationships/hyperlink" Target="https://data.bls.gov/timeseries/CUUR0000SERG01" TargetMode="External" Id="rId309"/><Relationship Type="http://schemas.openxmlformats.org/officeDocument/2006/relationships/hyperlink" Target="https://data.bls.gov/timeseries/CUUR0000SERG02" TargetMode="External" Id="rId310"/><Relationship Type="http://schemas.openxmlformats.org/officeDocument/2006/relationships/hyperlink" Target="https://data.bls.gov/timeseries/CUUR0000SAE" TargetMode="External" Id="rId311"/><Relationship Type="http://schemas.openxmlformats.org/officeDocument/2006/relationships/hyperlink" Target="https://data.bls.gov/timeseries/CUUR0000SAE1" TargetMode="External" Id="rId312"/><Relationship Type="http://schemas.openxmlformats.org/officeDocument/2006/relationships/hyperlink" Target="https://data.bls.gov/timeseries/CUUR0000SEEA" TargetMode="External" Id="rId313"/><Relationship Type="http://schemas.openxmlformats.org/officeDocument/2006/relationships/hyperlink" Target="https://data.bls.gov/timeseries/CUUR0000SSEA011" TargetMode="External" Id="rId314"/><Relationship Type="http://schemas.openxmlformats.org/officeDocument/2006/relationships/hyperlink" Target="https://data.bls.gov/timeseries/CUUR0000SEEB" TargetMode="External" Id="rId315"/><Relationship Type="http://schemas.openxmlformats.org/officeDocument/2006/relationships/hyperlink" Target="https://data.bls.gov/timeseries/CUUR0000SEEB01" TargetMode="External" Id="rId316"/><Relationship Type="http://schemas.openxmlformats.org/officeDocument/2006/relationships/hyperlink" Target="https://data.bls.gov/timeseries/CUUR0000SEEB02" TargetMode="External" Id="rId317"/><Relationship Type="http://schemas.openxmlformats.org/officeDocument/2006/relationships/hyperlink" Target="https://data.bls.gov/timeseries/CUUR0000SEEB03" TargetMode="External" Id="rId318"/><Relationship Type="http://schemas.openxmlformats.org/officeDocument/2006/relationships/hyperlink" Target="https://data.bls.gov/timeseries/CUUR0000SEEB04" TargetMode="External" Id="rId319"/><Relationship Type="http://schemas.openxmlformats.org/officeDocument/2006/relationships/hyperlink" Target="https://data.bls.gov/timeseries/CUUR0000SAE2" TargetMode="External" Id="rId320"/><Relationship Type="http://schemas.openxmlformats.org/officeDocument/2006/relationships/hyperlink" Target="https://data.bls.gov/timeseries/CUUR0000SEEC" TargetMode="External" Id="rId321"/><Relationship Type="http://schemas.openxmlformats.org/officeDocument/2006/relationships/hyperlink" Target="https://data.bls.gov/timeseries/CUUR0000SEEC01" TargetMode="External" Id="rId322"/><Relationship Type="http://schemas.openxmlformats.org/officeDocument/2006/relationships/hyperlink" Target="https://data.bls.gov/timeseries/CUUR0000SEEC02" TargetMode="External" Id="rId323"/><Relationship Type="http://schemas.openxmlformats.org/officeDocument/2006/relationships/hyperlink" Target="https://data.bls.gov/timeseries/CUUR0000SAE21" TargetMode="External" Id="rId324"/><Relationship Type="http://schemas.openxmlformats.org/officeDocument/2006/relationships/hyperlink" Target="https://data.bls.gov/timeseries/CUUR0000SEED" TargetMode="External" Id="rId325"/><Relationship Type="http://schemas.openxmlformats.org/officeDocument/2006/relationships/hyperlink" Target="https://data.bls.gov/timeseries/CUUR0000SEED03" TargetMode="External" Id="rId326"/><Relationship Type="http://schemas.openxmlformats.org/officeDocument/2006/relationships/hyperlink" Target="https://data.bls.gov/timeseries/CUUR0000SEED04" TargetMode="External" Id="rId327"/><Relationship Type="http://schemas.openxmlformats.org/officeDocument/2006/relationships/hyperlink" Target="https://data.bls.gov/timeseries/CUUR0000SS27051" TargetMode="External" Id="rId328"/><Relationship Type="http://schemas.openxmlformats.org/officeDocument/2006/relationships/hyperlink" Target="https://data.bls.gov/timeseries/CUUR0000SS27061" TargetMode="External" Id="rId329"/><Relationship Type="http://schemas.openxmlformats.org/officeDocument/2006/relationships/hyperlink" Target="https://data.bls.gov/timeseries/CUUR0000SEEE" TargetMode="External" Id="rId330"/><Relationship Type="http://schemas.openxmlformats.org/officeDocument/2006/relationships/hyperlink" Target="https://data.bls.gov/timeseries/CUUR0000SEEE01" TargetMode="External" Id="rId331"/><Relationship Type="http://schemas.openxmlformats.org/officeDocument/2006/relationships/hyperlink" Target="https://data.bls.gov/timeseries/CUUR0000SEEE02" TargetMode="External" Id="rId332"/><Relationship Type="http://schemas.openxmlformats.org/officeDocument/2006/relationships/hyperlink" Target="https://data.bls.gov/timeseries/CUUR0000SEEE03" TargetMode="External" Id="rId333"/><Relationship Type="http://schemas.openxmlformats.org/officeDocument/2006/relationships/hyperlink" Target="https://data.bls.gov/timeseries/CUUR0000SEEE04" TargetMode="External" Id="rId334"/><Relationship Type="http://schemas.openxmlformats.org/officeDocument/2006/relationships/hyperlink" Target="https://data.bls.gov/timeseries/CUUR0000SSEE041" TargetMode="External" Id="rId335"/><Relationship Type="http://schemas.openxmlformats.org/officeDocument/2006/relationships/hyperlink" Target="https://data.bls.gov/timeseries/CUUR0000SAG" TargetMode="External" Id="rId336"/><Relationship Type="http://schemas.openxmlformats.org/officeDocument/2006/relationships/hyperlink" Target="https://data.bls.gov/timeseries/CUUR0000SEGA" TargetMode="External" Id="rId337"/><Relationship Type="http://schemas.openxmlformats.org/officeDocument/2006/relationships/hyperlink" Target="https://data.bls.gov/timeseries/CUUR0000SEGA01" TargetMode="External" Id="rId338"/><Relationship Type="http://schemas.openxmlformats.org/officeDocument/2006/relationships/hyperlink" Target="https://data.bls.gov/timeseries/CUUR0000SEGA02" TargetMode="External" Id="rId339"/><Relationship Type="http://schemas.openxmlformats.org/officeDocument/2006/relationships/hyperlink" Target="https://data.bls.gov/timeseries/CUUR0000SAG1" TargetMode="External" Id="rId340"/><Relationship Type="http://schemas.openxmlformats.org/officeDocument/2006/relationships/hyperlink" Target="https://data.bls.gov/timeseries/CUUR0000SEGB" TargetMode="External" Id="rId341"/><Relationship Type="http://schemas.openxmlformats.org/officeDocument/2006/relationships/hyperlink" Target="https://data.bls.gov/timeseries/CUUR0000SEGB01" TargetMode="External" Id="rId342"/><Relationship Type="http://schemas.openxmlformats.org/officeDocument/2006/relationships/hyperlink" Target="https://data.bls.gov/timeseries/CUUR0000SEGB02" TargetMode="External" Id="rId343"/><Relationship Type="http://schemas.openxmlformats.org/officeDocument/2006/relationships/hyperlink" Target="https://data.bls.gov/timeseries/CUUR0000SEGC" TargetMode="External" Id="rId344"/><Relationship Type="http://schemas.openxmlformats.org/officeDocument/2006/relationships/hyperlink" Target="https://data.bls.gov/timeseries/CUUR0000SEGC01" TargetMode="External" Id="rId345"/><Relationship Type="http://schemas.openxmlformats.org/officeDocument/2006/relationships/hyperlink" Target="https://data.bls.gov/timeseries/CUUR0000SEGD" TargetMode="External" Id="rId346"/><Relationship Type="http://schemas.openxmlformats.org/officeDocument/2006/relationships/hyperlink" Target="https://data.bls.gov/timeseries/CUUR0000SEGD01" TargetMode="External" Id="rId347"/><Relationship Type="http://schemas.openxmlformats.org/officeDocument/2006/relationships/hyperlink" Target="https://data.bls.gov/timeseries/CUUR0000SEGD02" TargetMode="External" Id="rId348"/><Relationship Type="http://schemas.openxmlformats.org/officeDocument/2006/relationships/hyperlink" Target="https://data.bls.gov/timeseries/CUUR0000SEGD03" TargetMode="External" Id="rId349"/><Relationship Type="http://schemas.openxmlformats.org/officeDocument/2006/relationships/hyperlink" Target="https://data.bls.gov/timeseries/CUUR0000SEGD04" TargetMode="External" Id="rId350"/><Relationship Type="http://schemas.openxmlformats.org/officeDocument/2006/relationships/hyperlink" Target="https://data.bls.gov/timeseries/CUUR0000SEGD05" TargetMode="External" Id="rId351"/><Relationship Type="http://schemas.openxmlformats.org/officeDocument/2006/relationships/hyperlink" Target="https://data.bls.gov/timeseries/CUUR0000SS68021" TargetMode="External" Id="rId352"/><Relationship Type="http://schemas.openxmlformats.org/officeDocument/2006/relationships/hyperlink" Target="https://data.bls.gov/timeseries/CUUR0000SS68023" TargetMode="External" Id="rId353"/><Relationship Type="http://schemas.openxmlformats.org/officeDocument/2006/relationships/hyperlink" Target="https://data.bls.gov/timeseries/CUUR0000SEGE" TargetMode="External" Id="rId354"/><Relationship Type="http://schemas.openxmlformats.org/officeDocument/2006/relationships/hyperlink" Target="https://data.bls.gov/timeseries/CUUR0000SS33032" TargetMode="External" Id="rId355"/><Relationship Type="http://schemas.openxmlformats.org/officeDocument/2006/relationships/hyperlink" Target="https://data.bls.gov/timeseries/CUUR0000SSGE013" TargetMode="External" Id="rId356"/><Relationship Type="http://schemas.openxmlformats.org/officeDocument/2006/relationships/hyperlink" Target="https://data.bls.gov/timeseries/CUUR0000SA0L5" TargetMode="External" Id="rId357"/><Relationship Type="http://schemas.openxmlformats.org/officeDocument/2006/relationships/hyperlink" Target="https://data.bls.gov/timeseries/CUUR0000SA0LE" TargetMode="External" Id="rId358"/><Relationship Type="http://schemas.openxmlformats.org/officeDocument/2006/relationships/hyperlink" Target="https://data.bls.gov/timeseries/CUUR0000SA0L1" TargetMode="External" Id="rId359"/><Relationship Type="http://schemas.openxmlformats.org/officeDocument/2006/relationships/hyperlink" Target="https://data.bls.gov/timeseries/CUUR0000SA0L1E" TargetMode="External" Id="rId360"/><Relationship Type="http://schemas.openxmlformats.org/officeDocument/2006/relationships/hyperlink" Target="https://data.bls.gov/timeseries/CUUR0000SA0L2" TargetMode="External" Id="rId361"/><Relationship Type="http://schemas.openxmlformats.org/officeDocument/2006/relationships/hyperlink" Target="https://data.bls.gov/timeseries/CUUR0000SA0L12" TargetMode="External" Id="rId362"/><Relationship Type="http://schemas.openxmlformats.org/officeDocument/2006/relationships/hyperlink" Target="https://data.bls.gov/timeseries/CUUR0000SA0L12E" TargetMode="External" Id="rId363"/><Relationship Type="http://schemas.openxmlformats.org/officeDocument/2006/relationships/hyperlink" Target="https://data.bls.gov/timeseries/CUUR0000SA0L12E4" TargetMode="External" Id="rId364"/><Relationship Type="http://schemas.openxmlformats.org/officeDocument/2006/relationships/hyperlink" Target="https://data.bls.gov/timeseries/CUUR0000SA311" TargetMode="External" Id="rId365"/><Relationship Type="http://schemas.openxmlformats.org/officeDocument/2006/relationships/hyperlink" Target="https://data.bls.gov/timeseries/CUUR0000SAC" TargetMode="External" Id="rId366"/><Relationship Type="http://schemas.openxmlformats.org/officeDocument/2006/relationships/hyperlink" Target="https://data.bls.gov/timeseries/CUUR0000SACL1" TargetMode="External" Id="rId367"/><Relationship Type="http://schemas.openxmlformats.org/officeDocument/2006/relationships/hyperlink" Target="https://data.bls.gov/timeseries/CUUR0000SACL11" TargetMode="External" Id="rId368"/><Relationship Type="http://schemas.openxmlformats.org/officeDocument/2006/relationships/hyperlink" Target="https://data.bls.gov/timeseries/CUUR0000SACL1E" TargetMode="External" Id="rId369"/><Relationship Type="http://schemas.openxmlformats.org/officeDocument/2006/relationships/hyperlink" Target="https://data.bls.gov/timeseries/CUUR0000SACL1E4" TargetMode="External" Id="rId370"/><Relationship Type="http://schemas.openxmlformats.org/officeDocument/2006/relationships/hyperlink" Target="https://data.bls.gov/timeseries/CUUR0000SAN1D" TargetMode="External" Id="rId371"/><Relationship Type="http://schemas.openxmlformats.org/officeDocument/2006/relationships/hyperlink" Target="https://data.bls.gov/timeseries/CUUR0000SAD" TargetMode="External" Id="rId372"/><Relationship Type="http://schemas.openxmlformats.org/officeDocument/2006/relationships/hyperlink" Target="https://data.bls.gov/timeseries/CUUR0000SAEC" TargetMode="External" Id="rId373"/><Relationship Type="http://schemas.openxmlformats.org/officeDocument/2006/relationships/hyperlink" Target="https://data.bls.gov/timeseries/CUUR0000SAES" TargetMode="External" Id="rId374"/><Relationship Type="http://schemas.openxmlformats.org/officeDocument/2006/relationships/hyperlink" Target="https://data.bls.gov/timeseries/CUUR0000SA0E" TargetMode="External" Id="rId375"/><Relationship Type="http://schemas.openxmlformats.org/officeDocument/2006/relationships/hyperlink" Target="https://data.bls.gov/timeseries/CUUR0000SACE" TargetMode="External" Id="rId376"/><Relationship Type="http://schemas.openxmlformats.org/officeDocument/2006/relationships/hyperlink" Target="https://data.bls.gov/timeseries/CUUR0000SAH31" TargetMode="External" Id="rId377"/><Relationship Type="http://schemas.openxmlformats.org/officeDocument/2006/relationships/hyperlink" Target="https://data.bls.gov/timeseries/CUUR0000SEEEC" TargetMode="External" Id="rId378"/><Relationship Type="http://schemas.openxmlformats.org/officeDocument/2006/relationships/hyperlink" Target="https://data.bls.gov/timeseries/CUUR0000SAN" TargetMode="External" Id="rId379"/><Relationship Type="http://schemas.openxmlformats.org/officeDocument/2006/relationships/hyperlink" Target="https://data.bls.gov/timeseries/CUUR0000SANL1" TargetMode="External" Id="rId380"/><Relationship Type="http://schemas.openxmlformats.org/officeDocument/2006/relationships/hyperlink" Target="https://data.bls.gov/timeseries/CUUR0000SANL13" TargetMode="External" Id="rId381"/><Relationship Type="http://schemas.openxmlformats.org/officeDocument/2006/relationships/hyperlink" Target="https://data.bls.gov/timeseries/CUUR0000SANL11" TargetMode="External" Id="rId382"/><Relationship Type="http://schemas.openxmlformats.org/officeDocument/2006/relationships/hyperlink" Target="https://data.bls.gov/timeseries/CUUR0000SANL113" TargetMode="External" Id="rId383"/><Relationship Type="http://schemas.openxmlformats.org/officeDocument/2006/relationships/hyperlink" Target="https://data.bls.gov/timeseries/CUUR0000SAGC" TargetMode="External" Id="rId384"/><Relationship Type="http://schemas.openxmlformats.org/officeDocument/2006/relationships/hyperlink" Target="https://data.bls.gov/timeseries/CUUR0000SAGS" TargetMode="External" Id="rId385"/><Relationship Type="http://schemas.openxmlformats.org/officeDocument/2006/relationships/hyperlink" Target="https://data.bls.gov/timeseries/CUUR0000SAS367" TargetMode="External" Id="rId386"/><Relationship Type="http://schemas.openxmlformats.org/officeDocument/2006/relationships/hyperlink" Target="https://data.bls.gov/timeseries/CUUR0000SARC" TargetMode="External" Id="rId387"/><Relationship Type="http://schemas.openxmlformats.org/officeDocument/2006/relationships/hyperlink" Target="https://data.bls.gov/timeseries/CUUR0000SARS" TargetMode="External" Id="rId388"/><Relationship Type="http://schemas.openxmlformats.org/officeDocument/2006/relationships/hyperlink" Target="https://data.bls.gov/timeseries/CUUR0000SAS2RS" TargetMode="External" Id="rId389"/><Relationship Type="http://schemas.openxmlformats.org/officeDocument/2006/relationships/hyperlink" Target="https://data.bls.gov/timeseries/CUUR0000SAS" TargetMode="External" Id="rId390"/><Relationship Type="http://schemas.openxmlformats.org/officeDocument/2006/relationships/hyperlink" Target="https://data.bls.gov/timeseries/CUUR0000SASLE" TargetMode="External" Id="rId391"/><Relationship Type="http://schemas.openxmlformats.org/officeDocument/2006/relationships/hyperlink" Target="https://data.bls.gov/timeseries/CUUR0000SASL5" TargetMode="External" Id="rId392"/><Relationship Type="http://schemas.openxmlformats.org/officeDocument/2006/relationships/hyperlink" Target="https://data.bls.gov/timeseries/CUUR0000SASL2RS" TargetMode="External" Id="rId393"/><Relationship Type="http://schemas.openxmlformats.org/officeDocument/2006/relationships/hyperlink" Target="https://data.bls.gov/timeseries/CUUR0000SATCLTB" TargetMode="External" Id="rId394"/><Relationship Type="http://schemas.openxmlformats.org/officeDocument/2006/relationships/hyperlink" Target="https://data.bls.gov/timeseries/CUUR0000SAS4" TargetMode="External" Id="rId395"/><Relationship Type="http://schemas.openxmlformats.org/officeDocument/2006/relationships/hyperlink" Target="https://data.bls.gov/timeseries/CUUR0000SAS24" TargetMode="External" Id="rId396"/><Relationship Type="http://schemas.openxmlformats.org/officeDocument/2006/relationships/hyperlink" Target="https://data.bls.gov/timeseries/CUUR0000SERAC" TargetMode="External" Id="rId397"/><Relationship Type="http://schemas.openxmlformats.org/officeDocument/2006/relationships/hyperlink" Target="https://data.bls.gov/timeseries/CUUR0000SERAS" TargetMode="External" Id="rId398"/><Relationship Type="http://schemas.openxmlformats.org/officeDocument/2006/relationships/hyperlink" Target="https://data.bls.gov/timeseries/CUUR0000SA0R" TargetMode="External" Id="rId399"/><Relationship Type="http://schemas.openxmlformats.org/officeDocument/2006/relationships/hyperlink" Target="https://data.bls.gov/timeseries/CUUR0000AA0R" TargetMode="External" Id="rId400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data.bls.gov/timeseries/CUSR0000SA0" TargetMode="External" Id="rId1"/><Relationship Type="http://schemas.openxmlformats.org/officeDocument/2006/relationships/hyperlink" Target="https://data.bls.gov/timeseries/CUSR0000SAF" TargetMode="External" Id="rId2"/><Relationship Type="http://schemas.openxmlformats.org/officeDocument/2006/relationships/hyperlink" Target="https://data.bls.gov/timeseries/CUSR0000SAF1" TargetMode="External" Id="rId3"/><Relationship Type="http://schemas.openxmlformats.org/officeDocument/2006/relationships/hyperlink" Target="https://data.bls.gov/timeseries/CUSR0000SAF11" TargetMode="External" Id="rId4"/><Relationship Type="http://schemas.openxmlformats.org/officeDocument/2006/relationships/hyperlink" Target="https://data.bls.gov/timeseries/CUSR0000SAF111" TargetMode="External" Id="rId5"/><Relationship Type="http://schemas.openxmlformats.org/officeDocument/2006/relationships/hyperlink" Target="https://data.bls.gov/timeseries/CUSR0000SEFA" TargetMode="External" Id="rId6"/><Relationship Type="http://schemas.openxmlformats.org/officeDocument/2006/relationships/hyperlink" Target="https://data.bls.gov/timeseries/CUSR0000SEFA01" TargetMode="External" Id="rId7"/><Relationship Type="http://schemas.openxmlformats.org/officeDocument/2006/relationships/hyperlink" Target="https://data.bls.gov/timeseries/CUSR0000SEFA02" TargetMode="External" Id="rId8"/><Relationship Type="http://schemas.openxmlformats.org/officeDocument/2006/relationships/hyperlink" Target="https://data.bls.gov/timeseries/CUSR0000SEFA03" TargetMode="External" Id="rId9"/><Relationship Type="http://schemas.openxmlformats.org/officeDocument/2006/relationships/hyperlink" Target="https://data.bls.gov/timeseries/CUSR0000SEFB" TargetMode="External" Id="rId10"/><Relationship Type="http://schemas.openxmlformats.org/officeDocument/2006/relationships/hyperlink" Target="https://data.bls.gov/timeseries/CUSR0000SEFB01" TargetMode="External" Id="rId11"/><Relationship Type="http://schemas.openxmlformats.org/officeDocument/2006/relationships/hyperlink" Target="https://data.bls.gov/timeseries/CUSR0000SEFB02" TargetMode="External" Id="rId12"/><Relationship Type="http://schemas.openxmlformats.org/officeDocument/2006/relationships/hyperlink" Target="https://data.bls.gov/timeseries/CUSR0000SEFB03" TargetMode="External" Id="rId13"/><Relationship Type="http://schemas.openxmlformats.org/officeDocument/2006/relationships/hyperlink" Target="https://data.bls.gov/timeseries/CUSR0000SS02042" TargetMode="External" Id="rId14"/><Relationship Type="http://schemas.openxmlformats.org/officeDocument/2006/relationships/hyperlink" Target="https://data.bls.gov/timeseries/CUSR0000SEFB04" TargetMode="External" Id="rId15"/><Relationship Type="http://schemas.openxmlformats.org/officeDocument/2006/relationships/hyperlink" Target="https://data.bls.gov/timeseries/CUSR0000SS0206A" TargetMode="External" Id="rId16"/><Relationship Type="http://schemas.openxmlformats.org/officeDocument/2006/relationships/hyperlink" Target="https://data.bls.gov/timeseries/CUSR0000SS0206B" TargetMode="External" Id="rId17"/><Relationship Type="http://schemas.openxmlformats.org/officeDocument/2006/relationships/hyperlink" Target="https://data.bls.gov/timeseries/CUSR0000SAF112" TargetMode="External" Id="rId18"/><Relationship Type="http://schemas.openxmlformats.org/officeDocument/2006/relationships/hyperlink" Target="https://data.bls.gov/timeseries/CUSR0000SAF1121" TargetMode="External" Id="rId19"/><Relationship Type="http://schemas.openxmlformats.org/officeDocument/2006/relationships/hyperlink" Target="https://data.bls.gov/timeseries/CUSR0000SAF11211" TargetMode="External" Id="rId20"/><Relationship Type="http://schemas.openxmlformats.org/officeDocument/2006/relationships/hyperlink" Target="https://data.bls.gov/timeseries/CUSR0000SEFC" TargetMode="External" Id="rId21"/><Relationship Type="http://schemas.openxmlformats.org/officeDocument/2006/relationships/hyperlink" Target="https://data.bls.gov/timeseries/CUSR0000SEFC01" TargetMode="External" Id="rId22"/><Relationship Type="http://schemas.openxmlformats.org/officeDocument/2006/relationships/hyperlink" Target="https://data.bls.gov/timeseries/CUSR0000SEFC02" TargetMode="External" Id="rId23"/><Relationship Type="http://schemas.openxmlformats.org/officeDocument/2006/relationships/hyperlink" Target="https://data.bls.gov/timeseries/CUSR0000SEFC03" TargetMode="External" Id="rId24"/><Relationship Type="http://schemas.openxmlformats.org/officeDocument/2006/relationships/hyperlink" Target="https://data.bls.gov/timeseries/CUSR0000SEFD" TargetMode="External" Id="rId25"/><Relationship Type="http://schemas.openxmlformats.org/officeDocument/2006/relationships/hyperlink" Target="https://data.bls.gov/timeseries/CUSR0000SEFD01" TargetMode="External" Id="rId26"/><Relationship Type="http://schemas.openxmlformats.org/officeDocument/2006/relationships/hyperlink" Target="https://data.bls.gov/timeseries/CUSR0000SS04011" TargetMode="External" Id="rId27"/><Relationship Type="http://schemas.openxmlformats.org/officeDocument/2006/relationships/hyperlink" Target="https://data.bls.gov/timeseries/CUSR0000SS04012" TargetMode="External" Id="rId28"/><Relationship Type="http://schemas.openxmlformats.org/officeDocument/2006/relationships/hyperlink" Target="https://data.bls.gov/timeseries/CUSR0000SEFD02" TargetMode="External" Id="rId29"/><Relationship Type="http://schemas.openxmlformats.org/officeDocument/2006/relationships/hyperlink" Target="https://data.bls.gov/timeseries/CUSR0000SS04031" TargetMode="External" Id="rId30"/><Relationship Type="http://schemas.openxmlformats.org/officeDocument/2006/relationships/hyperlink" Target="https://data.bls.gov/timeseries/CUSR0000SEFD03" TargetMode="External" Id="rId31"/><Relationship Type="http://schemas.openxmlformats.org/officeDocument/2006/relationships/hyperlink" Target="https://data.bls.gov/timeseries/CUSR0000SEFD04" TargetMode="External" Id="rId32"/><Relationship Type="http://schemas.openxmlformats.org/officeDocument/2006/relationships/hyperlink" Target="https://data.bls.gov/timeseries/CUSR0000SEFE" TargetMode="External" Id="rId33"/><Relationship Type="http://schemas.openxmlformats.org/officeDocument/2006/relationships/hyperlink" Target="https://data.bls.gov/timeseries/CUSR0000SS05011" TargetMode="External" Id="rId34"/><Relationship Type="http://schemas.openxmlformats.org/officeDocument/2006/relationships/hyperlink" Target="https://data.bls.gov/timeseries/CUSR0000SS0501A" TargetMode="External" Id="rId35"/><Relationship Type="http://schemas.openxmlformats.org/officeDocument/2006/relationships/hyperlink" Target="https://data.bls.gov/timeseries/CUSR0000SEFF" TargetMode="External" Id="rId36"/><Relationship Type="http://schemas.openxmlformats.org/officeDocument/2006/relationships/hyperlink" Target="https://data.bls.gov/timeseries/CUSR0000SEFF01" TargetMode="External" Id="rId37"/><Relationship Type="http://schemas.openxmlformats.org/officeDocument/2006/relationships/hyperlink" Target="https://data.bls.gov/timeseries/CUSR0000SS06011" TargetMode="External" Id="rId38"/><Relationship Type="http://schemas.openxmlformats.org/officeDocument/2006/relationships/hyperlink" Target="https://data.bls.gov/timeseries/CUSR0000SS06021" TargetMode="External" Id="rId39"/><Relationship Type="http://schemas.openxmlformats.org/officeDocument/2006/relationships/hyperlink" Target="https://data.bls.gov/timeseries/CUSR0000SEFF02" TargetMode="External" Id="rId40"/><Relationship Type="http://schemas.openxmlformats.org/officeDocument/2006/relationships/hyperlink" Target="https://data.bls.gov/timeseries/CUSR0000SEFG" TargetMode="External" Id="rId41"/><Relationship Type="http://schemas.openxmlformats.org/officeDocument/2006/relationships/hyperlink" Target="https://data.bls.gov/timeseries/CUSR0000SEFG01" TargetMode="External" Id="rId42"/><Relationship Type="http://schemas.openxmlformats.org/officeDocument/2006/relationships/hyperlink" Target="https://data.bls.gov/timeseries/CUSR0000SEFG02" TargetMode="External" Id="rId43"/><Relationship Type="http://schemas.openxmlformats.org/officeDocument/2006/relationships/hyperlink" Target="https://data.bls.gov/timeseries/CUSR0000SS07011" TargetMode="External" Id="rId44"/><Relationship Type="http://schemas.openxmlformats.org/officeDocument/2006/relationships/hyperlink" Target="https://data.bls.gov/timeseries/CUSR0000SS07021" TargetMode="External" Id="rId45"/><Relationship Type="http://schemas.openxmlformats.org/officeDocument/2006/relationships/hyperlink" Target="https://data.bls.gov/timeseries/CUSR0000SEFH" TargetMode="External" Id="rId46"/><Relationship Type="http://schemas.openxmlformats.org/officeDocument/2006/relationships/hyperlink" Target="https://data.bls.gov/timeseries/CUSR0000SEFJ" TargetMode="External" Id="rId47"/><Relationship Type="http://schemas.openxmlformats.org/officeDocument/2006/relationships/hyperlink" Target="https://data.bls.gov/timeseries/CUSR0000SEFJ01" TargetMode="External" Id="rId48"/><Relationship Type="http://schemas.openxmlformats.org/officeDocument/2006/relationships/hyperlink" Target="https://data.bls.gov/timeseries/CUSR0000SS09011" TargetMode="External" Id="rId49"/><Relationship Type="http://schemas.openxmlformats.org/officeDocument/2006/relationships/hyperlink" Target="https://data.bls.gov/timeseries/CUSR0000SS09021" TargetMode="External" Id="rId50"/><Relationship Type="http://schemas.openxmlformats.org/officeDocument/2006/relationships/hyperlink" Target="https://data.bls.gov/timeseries/CUSR0000SEFJ02" TargetMode="External" Id="rId51"/><Relationship Type="http://schemas.openxmlformats.org/officeDocument/2006/relationships/hyperlink" Target="https://data.bls.gov/timeseries/CUSR0000SEFJ03" TargetMode="External" Id="rId52"/><Relationship Type="http://schemas.openxmlformats.org/officeDocument/2006/relationships/hyperlink" Target="https://data.bls.gov/timeseries/CUSR0000SEFJ04" TargetMode="External" Id="rId53"/><Relationship Type="http://schemas.openxmlformats.org/officeDocument/2006/relationships/hyperlink" Target="https://data.bls.gov/timeseries/CUSR0000SAF113" TargetMode="External" Id="rId54"/><Relationship Type="http://schemas.openxmlformats.org/officeDocument/2006/relationships/hyperlink" Target="https://data.bls.gov/timeseries/CUSR0000SAF1131" TargetMode="External" Id="rId55"/><Relationship Type="http://schemas.openxmlformats.org/officeDocument/2006/relationships/hyperlink" Target="https://data.bls.gov/timeseries/CUSR0000SEFK" TargetMode="External" Id="rId56"/><Relationship Type="http://schemas.openxmlformats.org/officeDocument/2006/relationships/hyperlink" Target="https://data.bls.gov/timeseries/CUSR0000SEFK01" TargetMode="External" Id="rId57"/><Relationship Type="http://schemas.openxmlformats.org/officeDocument/2006/relationships/hyperlink" Target="https://data.bls.gov/timeseries/CUSR0000SEFK02" TargetMode="External" Id="rId58"/><Relationship Type="http://schemas.openxmlformats.org/officeDocument/2006/relationships/hyperlink" Target="https://data.bls.gov/timeseries/CUSR0000SEFK03" TargetMode="External" Id="rId59"/><Relationship Type="http://schemas.openxmlformats.org/officeDocument/2006/relationships/hyperlink" Target="https://data.bls.gov/timeseries/CUSR0000SS11031" TargetMode="External" Id="rId60"/><Relationship Type="http://schemas.openxmlformats.org/officeDocument/2006/relationships/hyperlink" Target="https://data.bls.gov/timeseries/CUSR0000SEFK04" TargetMode="External" Id="rId61"/><Relationship Type="http://schemas.openxmlformats.org/officeDocument/2006/relationships/hyperlink" Target="https://data.bls.gov/timeseries/CUSR0000SEFL" TargetMode="External" Id="rId62"/><Relationship Type="http://schemas.openxmlformats.org/officeDocument/2006/relationships/hyperlink" Target="https://data.bls.gov/timeseries/CUSR0000SEFL01" TargetMode="External" Id="rId63"/><Relationship Type="http://schemas.openxmlformats.org/officeDocument/2006/relationships/hyperlink" Target="https://data.bls.gov/timeseries/CUSR0000SEFL02" TargetMode="External" Id="rId64"/><Relationship Type="http://schemas.openxmlformats.org/officeDocument/2006/relationships/hyperlink" Target="https://data.bls.gov/timeseries/CUSR0000SEFL03" TargetMode="External" Id="rId65"/><Relationship Type="http://schemas.openxmlformats.org/officeDocument/2006/relationships/hyperlink" Target="https://data.bls.gov/timeseries/CUSR0000SEFL04" TargetMode="External" Id="rId66"/><Relationship Type="http://schemas.openxmlformats.org/officeDocument/2006/relationships/hyperlink" Target="https://data.bls.gov/timeseries/CUSR0000SEFM" TargetMode="External" Id="rId67"/><Relationship Type="http://schemas.openxmlformats.org/officeDocument/2006/relationships/hyperlink" Target="https://data.bls.gov/timeseries/CUSR0000SEFM01" TargetMode="External" Id="rId68"/><Relationship Type="http://schemas.openxmlformats.org/officeDocument/2006/relationships/hyperlink" Target="https://data.bls.gov/timeseries/CUSR0000SS13031" TargetMode="External" Id="rId69"/><Relationship Type="http://schemas.openxmlformats.org/officeDocument/2006/relationships/hyperlink" Target="https://data.bls.gov/timeseries/CUSR0000SS14021" TargetMode="External" Id="rId70"/><Relationship Type="http://schemas.openxmlformats.org/officeDocument/2006/relationships/hyperlink" Target="https://data.bls.gov/timeseries/CUSR0000SEFM02" TargetMode="External" Id="rId71"/><Relationship Type="http://schemas.openxmlformats.org/officeDocument/2006/relationships/hyperlink" Target="https://data.bls.gov/timeseries/CUSR0000SS14011" TargetMode="External" Id="rId72"/><Relationship Type="http://schemas.openxmlformats.org/officeDocument/2006/relationships/hyperlink" Target="https://data.bls.gov/timeseries/CUSR0000SEFM03" TargetMode="External" Id="rId73"/><Relationship Type="http://schemas.openxmlformats.org/officeDocument/2006/relationships/hyperlink" Target="https://data.bls.gov/timeseries/CUSR0000SAF114" TargetMode="External" Id="rId74"/><Relationship Type="http://schemas.openxmlformats.org/officeDocument/2006/relationships/hyperlink" Target="https://data.bls.gov/timeseries/CUSR0000SEFN" TargetMode="External" Id="rId75"/><Relationship Type="http://schemas.openxmlformats.org/officeDocument/2006/relationships/hyperlink" Target="https://data.bls.gov/timeseries/CUSR0000SEFN01" TargetMode="External" Id="rId76"/><Relationship Type="http://schemas.openxmlformats.org/officeDocument/2006/relationships/hyperlink" Target="https://data.bls.gov/timeseries/CUSR0000SEFN03" TargetMode="External" Id="rId77"/><Relationship Type="http://schemas.openxmlformats.org/officeDocument/2006/relationships/hyperlink" Target="https://data.bls.gov/timeseries/CUSR0000SEFP" TargetMode="External" Id="rId78"/><Relationship Type="http://schemas.openxmlformats.org/officeDocument/2006/relationships/hyperlink" Target="https://data.bls.gov/timeseries/CUSR0000SEFP01" TargetMode="External" Id="rId79"/><Relationship Type="http://schemas.openxmlformats.org/officeDocument/2006/relationships/hyperlink" Target="https://data.bls.gov/timeseries/CUSR0000SS17031" TargetMode="External" Id="rId80"/><Relationship Type="http://schemas.openxmlformats.org/officeDocument/2006/relationships/hyperlink" Target="https://data.bls.gov/timeseries/CUSR0000SEFP02" TargetMode="External" Id="rId81"/><Relationship Type="http://schemas.openxmlformats.org/officeDocument/2006/relationships/hyperlink" Target="https://data.bls.gov/timeseries/CUSR0000SAF115" TargetMode="External" Id="rId82"/><Relationship Type="http://schemas.openxmlformats.org/officeDocument/2006/relationships/hyperlink" Target="https://data.bls.gov/timeseries/CUSR0000SEFR" TargetMode="External" Id="rId83"/><Relationship Type="http://schemas.openxmlformats.org/officeDocument/2006/relationships/hyperlink" Target="https://data.bls.gov/timeseries/CUSR0000SEFR01" TargetMode="External" Id="rId84"/><Relationship Type="http://schemas.openxmlformats.org/officeDocument/2006/relationships/hyperlink" Target="https://data.bls.gov/timeseries/CUSR0000SEFR02" TargetMode="External" Id="rId85"/><Relationship Type="http://schemas.openxmlformats.org/officeDocument/2006/relationships/hyperlink" Target="https://data.bls.gov/timeseries/CUSR0000SEFR03" TargetMode="External" Id="rId86"/><Relationship Type="http://schemas.openxmlformats.org/officeDocument/2006/relationships/hyperlink" Target="https://data.bls.gov/timeseries/CUSR0000SEFS" TargetMode="External" Id="rId87"/><Relationship Type="http://schemas.openxmlformats.org/officeDocument/2006/relationships/hyperlink" Target="https://data.bls.gov/timeseries/CUSR0000SEFS01" TargetMode="External" Id="rId88"/><Relationship Type="http://schemas.openxmlformats.org/officeDocument/2006/relationships/hyperlink" Target="https://data.bls.gov/timeseries/CUSR0000SS10011" TargetMode="External" Id="rId89"/><Relationship Type="http://schemas.openxmlformats.org/officeDocument/2006/relationships/hyperlink" Target="https://data.bls.gov/timeseries/CUSR0000SS16011" TargetMode="External" Id="rId90"/><Relationship Type="http://schemas.openxmlformats.org/officeDocument/2006/relationships/hyperlink" Target="https://data.bls.gov/timeseries/CUSR0000SEFS02" TargetMode="External" Id="rId91"/><Relationship Type="http://schemas.openxmlformats.org/officeDocument/2006/relationships/hyperlink" Target="https://data.bls.gov/timeseries/CUSR0000SEFS03" TargetMode="External" Id="rId92"/><Relationship Type="http://schemas.openxmlformats.org/officeDocument/2006/relationships/hyperlink" Target="https://data.bls.gov/timeseries/CUSR0000SEFT" TargetMode="External" Id="rId93"/><Relationship Type="http://schemas.openxmlformats.org/officeDocument/2006/relationships/hyperlink" Target="https://data.bls.gov/timeseries/CUSR0000SEFT01" TargetMode="External" Id="rId94"/><Relationship Type="http://schemas.openxmlformats.org/officeDocument/2006/relationships/hyperlink" Target="https://data.bls.gov/timeseries/CUSR0000SEFT02" TargetMode="External" Id="rId95"/><Relationship Type="http://schemas.openxmlformats.org/officeDocument/2006/relationships/hyperlink" Target="https://data.bls.gov/timeseries/CUSR0000SEFT03" TargetMode="External" Id="rId96"/><Relationship Type="http://schemas.openxmlformats.org/officeDocument/2006/relationships/hyperlink" Target="https://data.bls.gov/timeseries/CUSR0000SEFT04" TargetMode="External" Id="rId97"/><Relationship Type="http://schemas.openxmlformats.org/officeDocument/2006/relationships/hyperlink" Target="https://data.bls.gov/timeseries/CUSR0000SS18041" TargetMode="External" Id="rId98"/><Relationship Type="http://schemas.openxmlformats.org/officeDocument/2006/relationships/hyperlink" Target="https://data.bls.gov/timeseries/CUSR0000SS18042" TargetMode="External" Id="rId99"/><Relationship Type="http://schemas.openxmlformats.org/officeDocument/2006/relationships/hyperlink" Target="https://data.bls.gov/timeseries/CUSR0000SS18043" TargetMode="External" Id="rId100"/><Relationship Type="http://schemas.openxmlformats.org/officeDocument/2006/relationships/hyperlink" Target="https://data.bls.gov/timeseries/CUSR0000SS1804B" TargetMode="External" Id="rId101"/><Relationship Type="http://schemas.openxmlformats.org/officeDocument/2006/relationships/hyperlink" Target="https://data.bls.gov/timeseries/CUSR0000SEFT06" TargetMode="External" Id="rId102"/><Relationship Type="http://schemas.openxmlformats.org/officeDocument/2006/relationships/hyperlink" Target="https://data.bls.gov/timeseries/CUSR0000SS18064" TargetMode="External" Id="rId103"/><Relationship Type="http://schemas.openxmlformats.org/officeDocument/2006/relationships/hyperlink" Target="https://data.bls.gov/timeseries/CUSR0000SEFV" TargetMode="External" Id="rId104"/><Relationship Type="http://schemas.openxmlformats.org/officeDocument/2006/relationships/hyperlink" Target="https://data.bls.gov/timeseries/CUSR0000SEFV01" TargetMode="External" Id="rId105"/><Relationship Type="http://schemas.openxmlformats.org/officeDocument/2006/relationships/hyperlink" Target="https://data.bls.gov/timeseries/CUSR0000SEFV03" TargetMode="External" Id="rId106"/><Relationship Type="http://schemas.openxmlformats.org/officeDocument/2006/relationships/hyperlink" Target="https://data.bls.gov/timeseries/CUSR0000SSFV031A" TargetMode="External" Id="rId107"/><Relationship Type="http://schemas.openxmlformats.org/officeDocument/2006/relationships/hyperlink" Target="https://data.bls.gov/timeseries/CUSR0000SEFV05" TargetMode="External" Id="rId108"/><Relationship Type="http://schemas.openxmlformats.org/officeDocument/2006/relationships/hyperlink" Target="https://data.bls.gov/timeseries/CUSR0000SAF116" TargetMode="External" Id="rId109"/><Relationship Type="http://schemas.openxmlformats.org/officeDocument/2006/relationships/hyperlink" Target="https://data.bls.gov/timeseries/CUSR0000SEFW" TargetMode="External" Id="rId110"/><Relationship Type="http://schemas.openxmlformats.org/officeDocument/2006/relationships/hyperlink" Target="https://data.bls.gov/timeseries/CUSR0000SEFW01" TargetMode="External" Id="rId111"/><Relationship Type="http://schemas.openxmlformats.org/officeDocument/2006/relationships/hyperlink" Target="https://data.bls.gov/timeseries/CUSR0000SEFW02" TargetMode="External" Id="rId112"/><Relationship Type="http://schemas.openxmlformats.org/officeDocument/2006/relationships/hyperlink" Target="https://data.bls.gov/timeseries/CUSR0000SS20021" TargetMode="External" Id="rId113"/><Relationship Type="http://schemas.openxmlformats.org/officeDocument/2006/relationships/hyperlink" Target="https://data.bls.gov/timeseries/CUSR0000SS20022" TargetMode="External" Id="rId114"/><Relationship Type="http://schemas.openxmlformats.org/officeDocument/2006/relationships/hyperlink" Target="https://data.bls.gov/timeseries/CUSR0000SEFW03" TargetMode="External" Id="rId115"/><Relationship Type="http://schemas.openxmlformats.org/officeDocument/2006/relationships/hyperlink" Target="https://data.bls.gov/timeseries/CUSR0000SEFX" TargetMode="External" Id="rId116"/><Relationship Type="http://schemas.openxmlformats.org/officeDocument/2006/relationships/hyperlink" Target="https://data.bls.gov/timeseries/CUSR0000SS20053" TargetMode="External" Id="rId117"/><Relationship Type="http://schemas.openxmlformats.org/officeDocument/2006/relationships/hyperlink" Target="https://data.bls.gov/timeseries/CUSR0000SAH" TargetMode="External" Id="rId118"/><Relationship Type="http://schemas.openxmlformats.org/officeDocument/2006/relationships/hyperlink" Target="https://data.bls.gov/timeseries/CUSR0000SAH1" TargetMode="External" Id="rId119"/><Relationship Type="http://schemas.openxmlformats.org/officeDocument/2006/relationships/hyperlink" Target="https://data.bls.gov/timeseries/CUSR0000SEHA" TargetMode="External" Id="rId120"/><Relationship Type="http://schemas.openxmlformats.org/officeDocument/2006/relationships/hyperlink" Target="https://data.bls.gov/timeseries/CUSR0000SEHB" TargetMode="External" Id="rId121"/><Relationship Type="http://schemas.openxmlformats.org/officeDocument/2006/relationships/hyperlink" Target="https://data.bls.gov/timeseries/CUSR0000SEHB01" TargetMode="External" Id="rId122"/><Relationship Type="http://schemas.openxmlformats.org/officeDocument/2006/relationships/hyperlink" Target="https://data.bls.gov/timeseries/CUSR0000SEHB02" TargetMode="External" Id="rId123"/><Relationship Type="http://schemas.openxmlformats.org/officeDocument/2006/relationships/hyperlink" Target="https://data.bls.gov/timeseries/CUSR0000SEHC" TargetMode="External" Id="rId124"/><Relationship Type="http://schemas.openxmlformats.org/officeDocument/2006/relationships/hyperlink" Target="https://data.bls.gov/timeseries/CUSR0000SEHC01" TargetMode="External" Id="rId125"/><Relationship Type="http://schemas.openxmlformats.org/officeDocument/2006/relationships/hyperlink" Target="https://data.bls.gov/timeseries/CUSR0000SAH2" TargetMode="External" Id="rId126"/><Relationship Type="http://schemas.openxmlformats.org/officeDocument/2006/relationships/hyperlink" Target="https://data.bls.gov/timeseries/CUSR0000SAH21" TargetMode="External" Id="rId127"/><Relationship Type="http://schemas.openxmlformats.org/officeDocument/2006/relationships/hyperlink" Target="https://data.bls.gov/timeseries/CUSR0000SEHE" TargetMode="External" Id="rId128"/><Relationship Type="http://schemas.openxmlformats.org/officeDocument/2006/relationships/hyperlink" Target="https://data.bls.gov/timeseries/CUSR0000SEHE01" TargetMode="External" Id="rId129"/><Relationship Type="http://schemas.openxmlformats.org/officeDocument/2006/relationships/hyperlink" Target="https://data.bls.gov/timeseries/CUSR0000SEHE02" TargetMode="External" Id="rId130"/><Relationship Type="http://schemas.openxmlformats.org/officeDocument/2006/relationships/hyperlink" Target="https://data.bls.gov/timeseries/CUSR0000SEHF" TargetMode="External" Id="rId131"/><Relationship Type="http://schemas.openxmlformats.org/officeDocument/2006/relationships/hyperlink" Target="https://data.bls.gov/timeseries/CUSR0000SEHF01" TargetMode="External" Id="rId132"/><Relationship Type="http://schemas.openxmlformats.org/officeDocument/2006/relationships/hyperlink" Target="https://data.bls.gov/timeseries/CUSR0000SEHF02" TargetMode="External" Id="rId133"/><Relationship Type="http://schemas.openxmlformats.org/officeDocument/2006/relationships/hyperlink" Target="https://data.bls.gov/timeseries/CUSR0000SEHG" TargetMode="External" Id="rId134"/><Relationship Type="http://schemas.openxmlformats.org/officeDocument/2006/relationships/hyperlink" Target="https://data.bls.gov/timeseries/CUSR0000SEHG01" TargetMode="External" Id="rId135"/><Relationship Type="http://schemas.openxmlformats.org/officeDocument/2006/relationships/hyperlink" Target="https://data.bls.gov/timeseries/CUSR0000SEHG02" TargetMode="External" Id="rId136"/><Relationship Type="http://schemas.openxmlformats.org/officeDocument/2006/relationships/hyperlink" Target="https://data.bls.gov/timeseries/CUSR0000SAH3" TargetMode="External" Id="rId137"/><Relationship Type="http://schemas.openxmlformats.org/officeDocument/2006/relationships/hyperlink" Target="https://data.bls.gov/timeseries/CUSR0000SEHH" TargetMode="External" Id="rId138"/><Relationship Type="http://schemas.openxmlformats.org/officeDocument/2006/relationships/hyperlink" Target="https://data.bls.gov/timeseries/CUSR0000SEHH02" TargetMode="External" Id="rId139"/><Relationship Type="http://schemas.openxmlformats.org/officeDocument/2006/relationships/hyperlink" Target="https://data.bls.gov/timeseries/CUSR0000SEHH03" TargetMode="External" Id="rId140"/><Relationship Type="http://schemas.openxmlformats.org/officeDocument/2006/relationships/hyperlink" Target="https://data.bls.gov/timeseries/CUSR0000SEHJ" TargetMode="External" Id="rId141"/><Relationship Type="http://schemas.openxmlformats.org/officeDocument/2006/relationships/hyperlink" Target="https://data.bls.gov/timeseries/CUSR0000SEHJ03" TargetMode="External" Id="rId142"/><Relationship Type="http://schemas.openxmlformats.org/officeDocument/2006/relationships/hyperlink" Target="https://data.bls.gov/timeseries/CUSR0000SEHK" TargetMode="External" Id="rId143"/><Relationship Type="http://schemas.openxmlformats.org/officeDocument/2006/relationships/hyperlink" Target="https://data.bls.gov/timeseries/CUSR0000SEHK01" TargetMode="External" Id="rId144"/><Relationship Type="http://schemas.openxmlformats.org/officeDocument/2006/relationships/hyperlink" Target="https://data.bls.gov/timeseries/CUSR0000SS30021" TargetMode="External" Id="rId145"/><Relationship Type="http://schemas.openxmlformats.org/officeDocument/2006/relationships/hyperlink" Target="https://data.bls.gov/timeseries/CUSR0000SEHK02" TargetMode="External" Id="rId146"/><Relationship Type="http://schemas.openxmlformats.org/officeDocument/2006/relationships/hyperlink" Target="https://data.bls.gov/timeseries/CUSR0000SEHL" TargetMode="External" Id="rId147"/><Relationship Type="http://schemas.openxmlformats.org/officeDocument/2006/relationships/hyperlink" Target="https://data.bls.gov/timeseries/CUSR0000SEHL02" TargetMode="External" Id="rId148"/><Relationship Type="http://schemas.openxmlformats.org/officeDocument/2006/relationships/hyperlink" Target="https://data.bls.gov/timeseries/CUSR0000SEHL04" TargetMode="External" Id="rId149"/><Relationship Type="http://schemas.openxmlformats.org/officeDocument/2006/relationships/hyperlink" Target="https://data.bls.gov/timeseries/CUSR0000SEHM" TargetMode="External" Id="rId150"/><Relationship Type="http://schemas.openxmlformats.org/officeDocument/2006/relationships/hyperlink" Target="https://data.bls.gov/timeseries/CUSR0000SEHM01" TargetMode="External" Id="rId151"/><Relationship Type="http://schemas.openxmlformats.org/officeDocument/2006/relationships/hyperlink" Target="https://data.bls.gov/timeseries/CUSR0000SEHM02" TargetMode="External" Id="rId152"/><Relationship Type="http://schemas.openxmlformats.org/officeDocument/2006/relationships/hyperlink" Target="https://data.bls.gov/timeseries/CUSR0000SEHN" TargetMode="External" Id="rId153"/><Relationship Type="http://schemas.openxmlformats.org/officeDocument/2006/relationships/hyperlink" Target="https://data.bls.gov/timeseries/CUSR0000SEHN01" TargetMode="External" Id="rId154"/><Relationship Type="http://schemas.openxmlformats.org/officeDocument/2006/relationships/hyperlink" Target="https://data.bls.gov/timeseries/CUSR0000SEHN03" TargetMode="External" Id="rId155"/><Relationship Type="http://schemas.openxmlformats.org/officeDocument/2006/relationships/hyperlink" Target="https://data.bls.gov/timeseries/CUSR0000SEHP03" TargetMode="External" Id="rId156"/><Relationship Type="http://schemas.openxmlformats.org/officeDocument/2006/relationships/hyperlink" Target="https://data.bls.gov/timeseries/CUSR0000SAA" TargetMode="External" Id="rId157"/><Relationship Type="http://schemas.openxmlformats.org/officeDocument/2006/relationships/hyperlink" Target="https://data.bls.gov/timeseries/CUSR0000SAA1" TargetMode="External" Id="rId158"/><Relationship Type="http://schemas.openxmlformats.org/officeDocument/2006/relationships/hyperlink" Target="https://data.bls.gov/timeseries/CUSR0000SEAA" TargetMode="External" Id="rId159"/><Relationship Type="http://schemas.openxmlformats.org/officeDocument/2006/relationships/hyperlink" Target="https://data.bls.gov/timeseries/CUSR0000SEAA01" TargetMode="External" Id="rId160"/><Relationship Type="http://schemas.openxmlformats.org/officeDocument/2006/relationships/hyperlink" Target="https://data.bls.gov/timeseries/CUSR0000SEAA02" TargetMode="External" Id="rId161"/><Relationship Type="http://schemas.openxmlformats.org/officeDocument/2006/relationships/hyperlink" Target="https://data.bls.gov/timeseries/CUSR0000SEAA03" TargetMode="External" Id="rId162"/><Relationship Type="http://schemas.openxmlformats.org/officeDocument/2006/relationships/hyperlink" Target="https://data.bls.gov/timeseries/CUSR0000SEAA04" TargetMode="External" Id="rId163"/><Relationship Type="http://schemas.openxmlformats.org/officeDocument/2006/relationships/hyperlink" Target="https://data.bls.gov/timeseries/CUSR0000SEAB" TargetMode="External" Id="rId164"/><Relationship Type="http://schemas.openxmlformats.org/officeDocument/2006/relationships/hyperlink" Target="https://data.bls.gov/timeseries/CUSR0000SAA2" TargetMode="External" Id="rId165"/><Relationship Type="http://schemas.openxmlformats.org/officeDocument/2006/relationships/hyperlink" Target="https://data.bls.gov/timeseries/CUSR0000SEAC" TargetMode="External" Id="rId166"/><Relationship Type="http://schemas.openxmlformats.org/officeDocument/2006/relationships/hyperlink" Target="https://data.bls.gov/timeseries/CUSR0000SEAC01" TargetMode="External" Id="rId167"/><Relationship Type="http://schemas.openxmlformats.org/officeDocument/2006/relationships/hyperlink" Target="https://data.bls.gov/timeseries/CUSR0000SEAC02" TargetMode="External" Id="rId168"/><Relationship Type="http://schemas.openxmlformats.org/officeDocument/2006/relationships/hyperlink" Target="https://data.bls.gov/timeseries/CUSR0000SEAC03" TargetMode="External" Id="rId169"/><Relationship Type="http://schemas.openxmlformats.org/officeDocument/2006/relationships/hyperlink" Target="https://data.bls.gov/timeseries/CUSR0000SEAC04" TargetMode="External" Id="rId170"/><Relationship Type="http://schemas.openxmlformats.org/officeDocument/2006/relationships/hyperlink" Target="https://data.bls.gov/timeseries/CUSR0000SEAD" TargetMode="External" Id="rId171"/><Relationship Type="http://schemas.openxmlformats.org/officeDocument/2006/relationships/hyperlink" Target="https://data.bls.gov/timeseries/CUSR0000SEAE" TargetMode="External" Id="rId172"/><Relationship Type="http://schemas.openxmlformats.org/officeDocument/2006/relationships/hyperlink" Target="https://data.bls.gov/timeseries/CUSR0000SEAE01" TargetMode="External" Id="rId173"/><Relationship Type="http://schemas.openxmlformats.org/officeDocument/2006/relationships/hyperlink" Target="https://data.bls.gov/timeseries/CUSR0000SEAE02" TargetMode="External" Id="rId174"/><Relationship Type="http://schemas.openxmlformats.org/officeDocument/2006/relationships/hyperlink" Target="https://data.bls.gov/timeseries/CUSR0000SEAE03" TargetMode="External" Id="rId175"/><Relationship Type="http://schemas.openxmlformats.org/officeDocument/2006/relationships/hyperlink" Target="https://data.bls.gov/timeseries/CUSR0000SEAF" TargetMode="External" Id="rId176"/><Relationship Type="http://schemas.openxmlformats.org/officeDocument/2006/relationships/hyperlink" Target="https://data.bls.gov/timeseries/CUSR0000SEAG" TargetMode="External" Id="rId177"/><Relationship Type="http://schemas.openxmlformats.org/officeDocument/2006/relationships/hyperlink" Target="https://data.bls.gov/timeseries/CUSR0000SEAG01" TargetMode="External" Id="rId178"/><Relationship Type="http://schemas.openxmlformats.org/officeDocument/2006/relationships/hyperlink" Target="https://data.bls.gov/timeseries/CUSR0000SEAG02" TargetMode="External" Id="rId179"/><Relationship Type="http://schemas.openxmlformats.org/officeDocument/2006/relationships/hyperlink" Target="https://data.bls.gov/timeseries/CUSR0000SAT" TargetMode="External" Id="rId180"/><Relationship Type="http://schemas.openxmlformats.org/officeDocument/2006/relationships/hyperlink" Target="https://data.bls.gov/timeseries/CUSR0000SAT1" TargetMode="External" Id="rId181"/><Relationship Type="http://schemas.openxmlformats.org/officeDocument/2006/relationships/hyperlink" Target="https://data.bls.gov/timeseries/CUSR0000SETA" TargetMode="External" Id="rId182"/><Relationship Type="http://schemas.openxmlformats.org/officeDocument/2006/relationships/hyperlink" Target="https://data.bls.gov/timeseries/CUSR0000SETA01" TargetMode="External" Id="rId183"/><Relationship Type="http://schemas.openxmlformats.org/officeDocument/2006/relationships/hyperlink" Target="https://data.bls.gov/timeseries/CUSR0000SS4501A" TargetMode="External" Id="rId184"/><Relationship Type="http://schemas.openxmlformats.org/officeDocument/2006/relationships/hyperlink" Target="https://data.bls.gov/timeseries/CUSR0000SS45011" TargetMode="External" Id="rId185"/><Relationship Type="http://schemas.openxmlformats.org/officeDocument/2006/relationships/hyperlink" Target="https://data.bls.gov/timeseries/CUSR0000SS45021" TargetMode="External" Id="rId186"/><Relationship Type="http://schemas.openxmlformats.org/officeDocument/2006/relationships/hyperlink" Target="https://data.bls.gov/timeseries/CUSR0000SS45031" TargetMode="External" Id="rId187"/><Relationship Type="http://schemas.openxmlformats.org/officeDocument/2006/relationships/hyperlink" Target="https://data.bls.gov/timeseries/CUSR0000SETA02" TargetMode="External" Id="rId188"/><Relationship Type="http://schemas.openxmlformats.org/officeDocument/2006/relationships/hyperlink" Target="https://data.bls.gov/timeseries/CUSR0000SETA03" TargetMode="External" Id="rId189"/><Relationship Type="http://schemas.openxmlformats.org/officeDocument/2006/relationships/hyperlink" Target="https://data.bls.gov/timeseries/CUSR0000SETA04" TargetMode="External" Id="rId190"/><Relationship Type="http://schemas.openxmlformats.org/officeDocument/2006/relationships/hyperlink" Target="https://data.bls.gov/timeseries/CUSR0000SETB" TargetMode="External" Id="rId191"/><Relationship Type="http://schemas.openxmlformats.org/officeDocument/2006/relationships/hyperlink" Target="https://data.bls.gov/timeseries/CUSR0000SETB01" TargetMode="External" Id="rId192"/><Relationship Type="http://schemas.openxmlformats.org/officeDocument/2006/relationships/hyperlink" Target="https://data.bls.gov/timeseries/CUSR0000SS47014" TargetMode="External" Id="rId193"/><Relationship Type="http://schemas.openxmlformats.org/officeDocument/2006/relationships/hyperlink" Target="https://data.bls.gov/timeseries/CUSR0000SS47015" TargetMode="External" Id="rId194"/><Relationship Type="http://schemas.openxmlformats.org/officeDocument/2006/relationships/hyperlink" Target="https://data.bls.gov/timeseries/CUSR0000SS47016" TargetMode="External" Id="rId195"/><Relationship Type="http://schemas.openxmlformats.org/officeDocument/2006/relationships/hyperlink" Target="https://data.bls.gov/timeseries/CUSR0000SETB02" TargetMode="External" Id="rId196"/><Relationship Type="http://schemas.openxmlformats.org/officeDocument/2006/relationships/hyperlink" Target="https://data.bls.gov/timeseries/CUSR0000SETC" TargetMode="External" Id="rId197"/><Relationship Type="http://schemas.openxmlformats.org/officeDocument/2006/relationships/hyperlink" Target="https://data.bls.gov/timeseries/CUSR0000SETC01" TargetMode="External" Id="rId198"/><Relationship Type="http://schemas.openxmlformats.org/officeDocument/2006/relationships/hyperlink" Target="https://data.bls.gov/timeseries/CUSR0000SETD" TargetMode="External" Id="rId199"/><Relationship Type="http://schemas.openxmlformats.org/officeDocument/2006/relationships/hyperlink" Target="https://data.bls.gov/timeseries/CUSR0000SETD03" TargetMode="External" Id="rId200"/><Relationship Type="http://schemas.openxmlformats.org/officeDocument/2006/relationships/hyperlink" Target="https://data.bls.gov/timeseries/CUSR0000SETE" TargetMode="External" Id="rId201"/><Relationship Type="http://schemas.openxmlformats.org/officeDocument/2006/relationships/hyperlink" Target="https://data.bls.gov/timeseries/CUSR0000SETF03" TargetMode="External" Id="rId202"/><Relationship Type="http://schemas.openxmlformats.org/officeDocument/2006/relationships/hyperlink" Target="https://data.bls.gov/timeseries/CUSR0000SS52051" TargetMode="External" Id="rId203"/><Relationship Type="http://schemas.openxmlformats.org/officeDocument/2006/relationships/hyperlink" Target="https://data.bls.gov/timeseries/CUSR0000SETG" TargetMode="External" Id="rId204"/><Relationship Type="http://schemas.openxmlformats.org/officeDocument/2006/relationships/hyperlink" Target="https://data.bls.gov/timeseries/CUSR0000SETG01" TargetMode="External" Id="rId205"/><Relationship Type="http://schemas.openxmlformats.org/officeDocument/2006/relationships/hyperlink" Target="https://data.bls.gov/timeseries/CUSR0000SETG02" TargetMode="External" Id="rId206"/><Relationship Type="http://schemas.openxmlformats.org/officeDocument/2006/relationships/hyperlink" Target="https://data.bls.gov/timeseries/CUSR0000SS53022" TargetMode="External" Id="rId207"/><Relationship Type="http://schemas.openxmlformats.org/officeDocument/2006/relationships/hyperlink" Target="https://data.bls.gov/timeseries/CUSR0000SS53023" TargetMode="External" Id="rId208"/><Relationship Type="http://schemas.openxmlformats.org/officeDocument/2006/relationships/hyperlink" Target="https://data.bls.gov/timeseries/CUSR0000SAM" TargetMode="External" Id="rId209"/><Relationship Type="http://schemas.openxmlformats.org/officeDocument/2006/relationships/hyperlink" Target="https://data.bls.gov/timeseries/CUSR0000SAM1" TargetMode="External" Id="rId210"/><Relationship Type="http://schemas.openxmlformats.org/officeDocument/2006/relationships/hyperlink" Target="https://data.bls.gov/timeseries/CUSR0000SEMF" TargetMode="External" Id="rId211"/><Relationship Type="http://schemas.openxmlformats.org/officeDocument/2006/relationships/hyperlink" Target="https://data.bls.gov/timeseries/CUSR0000SEMF01" TargetMode="External" Id="rId212"/><Relationship Type="http://schemas.openxmlformats.org/officeDocument/2006/relationships/hyperlink" Target="https://data.bls.gov/timeseries/CUSR0000SEMF02" TargetMode="External" Id="rId213"/><Relationship Type="http://schemas.openxmlformats.org/officeDocument/2006/relationships/hyperlink" Target="https://data.bls.gov/timeseries/CUSR0000SAM2" TargetMode="External" Id="rId214"/><Relationship Type="http://schemas.openxmlformats.org/officeDocument/2006/relationships/hyperlink" Target="https://data.bls.gov/timeseries/CUSR0000SEMC" TargetMode="External" Id="rId215"/><Relationship Type="http://schemas.openxmlformats.org/officeDocument/2006/relationships/hyperlink" Target="https://data.bls.gov/timeseries/CUSR0000SEMC01" TargetMode="External" Id="rId216"/><Relationship Type="http://schemas.openxmlformats.org/officeDocument/2006/relationships/hyperlink" Target="https://data.bls.gov/timeseries/CUSR0000SEMC02" TargetMode="External" Id="rId217"/><Relationship Type="http://schemas.openxmlformats.org/officeDocument/2006/relationships/hyperlink" Target="https://data.bls.gov/timeseries/CUSR0000SEMC03" TargetMode="External" Id="rId218"/><Relationship Type="http://schemas.openxmlformats.org/officeDocument/2006/relationships/hyperlink" Target="https://data.bls.gov/timeseries/CUSR0000SEMC04" TargetMode="External" Id="rId219"/><Relationship Type="http://schemas.openxmlformats.org/officeDocument/2006/relationships/hyperlink" Target="https://data.bls.gov/timeseries/CUSR0000SEMD" TargetMode="External" Id="rId220"/><Relationship Type="http://schemas.openxmlformats.org/officeDocument/2006/relationships/hyperlink" Target="https://data.bls.gov/timeseries/CUSR0000SEMD01" TargetMode="External" Id="rId221"/><Relationship Type="http://schemas.openxmlformats.org/officeDocument/2006/relationships/hyperlink" Target="https://data.bls.gov/timeseries/CUSR0000SS5702" TargetMode="External" Id="rId222"/><Relationship Type="http://schemas.openxmlformats.org/officeDocument/2006/relationships/hyperlink" Target="https://data.bls.gov/timeseries/CUSR0000SS5703" TargetMode="External" Id="rId223"/><Relationship Type="http://schemas.openxmlformats.org/officeDocument/2006/relationships/hyperlink" Target="https://data.bls.gov/timeseries/CUSR0000SEMD02" TargetMode="External" Id="rId224"/><Relationship Type="http://schemas.openxmlformats.org/officeDocument/2006/relationships/hyperlink" Target="https://data.bls.gov/timeseries/CUSR0000SAR" TargetMode="External" Id="rId225"/><Relationship Type="http://schemas.openxmlformats.org/officeDocument/2006/relationships/hyperlink" Target="https://data.bls.gov/timeseries/CUSR0000SERA" TargetMode="External" Id="rId226"/><Relationship Type="http://schemas.openxmlformats.org/officeDocument/2006/relationships/hyperlink" Target="https://data.bls.gov/timeseries/CUSR0000SERA01" TargetMode="External" Id="rId227"/><Relationship Type="http://schemas.openxmlformats.org/officeDocument/2006/relationships/hyperlink" Target="https://data.bls.gov/timeseries/CUSR0000SERA02" TargetMode="External" Id="rId228"/><Relationship Type="http://schemas.openxmlformats.org/officeDocument/2006/relationships/hyperlink" Target="https://data.bls.gov/timeseries/CUSR0000SERA03" TargetMode="External" Id="rId229"/><Relationship Type="http://schemas.openxmlformats.org/officeDocument/2006/relationships/hyperlink" Target="https://data.bls.gov/timeseries/CUSR0000SERA05" TargetMode="External" Id="rId230"/><Relationship Type="http://schemas.openxmlformats.org/officeDocument/2006/relationships/hyperlink" Target="https://data.bls.gov/timeseries/CUSR0000SERB" TargetMode="External" Id="rId231"/><Relationship Type="http://schemas.openxmlformats.org/officeDocument/2006/relationships/hyperlink" Target="https://data.bls.gov/timeseries/CUSR0000SERB01" TargetMode="External" Id="rId232"/><Relationship Type="http://schemas.openxmlformats.org/officeDocument/2006/relationships/hyperlink" Target="https://data.bls.gov/timeseries/CUSR0000SS61031" TargetMode="External" Id="rId233"/><Relationship Type="http://schemas.openxmlformats.org/officeDocument/2006/relationships/hyperlink" Target="https://data.bls.gov/timeseries/CUSR0000SS61032" TargetMode="External" Id="rId234"/><Relationship Type="http://schemas.openxmlformats.org/officeDocument/2006/relationships/hyperlink" Target="https://data.bls.gov/timeseries/CUSR0000SERB02" TargetMode="External" Id="rId235"/><Relationship Type="http://schemas.openxmlformats.org/officeDocument/2006/relationships/hyperlink" Target="https://data.bls.gov/timeseries/CUSR0000SS62053" TargetMode="External" Id="rId236"/><Relationship Type="http://schemas.openxmlformats.org/officeDocument/2006/relationships/hyperlink" Target="https://data.bls.gov/timeseries/CUSR0000SS62054" TargetMode="External" Id="rId237"/><Relationship Type="http://schemas.openxmlformats.org/officeDocument/2006/relationships/hyperlink" Target="https://data.bls.gov/timeseries/CUSR0000SERC" TargetMode="External" Id="rId238"/><Relationship Type="http://schemas.openxmlformats.org/officeDocument/2006/relationships/hyperlink" Target="https://data.bls.gov/timeseries/CUSR0000SERC01" TargetMode="External" Id="rId239"/><Relationship Type="http://schemas.openxmlformats.org/officeDocument/2006/relationships/hyperlink" Target="https://data.bls.gov/timeseries/CUSR0000SERC02" TargetMode="External" Id="rId240"/><Relationship Type="http://schemas.openxmlformats.org/officeDocument/2006/relationships/hyperlink" Target="https://data.bls.gov/timeseries/CUSR0000SERD" TargetMode="External" Id="rId241"/><Relationship Type="http://schemas.openxmlformats.org/officeDocument/2006/relationships/hyperlink" Target="https://data.bls.gov/timeseries/CUSR0000SERD01" TargetMode="External" Id="rId242"/><Relationship Type="http://schemas.openxmlformats.org/officeDocument/2006/relationships/hyperlink" Target="https://data.bls.gov/timeseries/CUSR0000SS61023" TargetMode="External" Id="rId243"/><Relationship Type="http://schemas.openxmlformats.org/officeDocument/2006/relationships/hyperlink" Target="https://data.bls.gov/timeseries/CUSR0000SERE" TargetMode="External" Id="rId244"/><Relationship Type="http://schemas.openxmlformats.org/officeDocument/2006/relationships/hyperlink" Target="https://data.bls.gov/timeseries/CUSR0000SERE01" TargetMode="External" Id="rId245"/><Relationship Type="http://schemas.openxmlformats.org/officeDocument/2006/relationships/hyperlink" Target="https://data.bls.gov/timeseries/CUSR0000SS61011" TargetMode="External" Id="rId246"/><Relationship Type="http://schemas.openxmlformats.org/officeDocument/2006/relationships/hyperlink" Target="https://data.bls.gov/timeseries/CUSR0000SERE02" TargetMode="External" Id="rId247"/><Relationship Type="http://schemas.openxmlformats.org/officeDocument/2006/relationships/hyperlink" Target="https://data.bls.gov/timeseries/CUSR0000SERE03" TargetMode="External" Id="rId248"/><Relationship Type="http://schemas.openxmlformats.org/officeDocument/2006/relationships/hyperlink" Target="https://data.bls.gov/timeseries/CUSR0000SERF" TargetMode="External" Id="rId249"/><Relationship Type="http://schemas.openxmlformats.org/officeDocument/2006/relationships/hyperlink" Target="https://data.bls.gov/timeseries/CUSR0000SERF01" TargetMode="External" Id="rId250"/><Relationship Type="http://schemas.openxmlformats.org/officeDocument/2006/relationships/hyperlink" Target="https://data.bls.gov/timeseries/CUSR0000SERF02" TargetMode="External" Id="rId251"/><Relationship Type="http://schemas.openxmlformats.org/officeDocument/2006/relationships/hyperlink" Target="https://data.bls.gov/timeseries/CUSR0000SS62031" TargetMode="External" Id="rId252"/><Relationship Type="http://schemas.openxmlformats.org/officeDocument/2006/relationships/hyperlink" Target="https://data.bls.gov/timeseries/CUSR0000SS62032" TargetMode="External" Id="rId253"/><Relationship Type="http://schemas.openxmlformats.org/officeDocument/2006/relationships/hyperlink" Target="https://data.bls.gov/timeseries/CUSR0000SERF03" TargetMode="External" Id="rId254"/><Relationship Type="http://schemas.openxmlformats.org/officeDocument/2006/relationships/hyperlink" Target="https://data.bls.gov/timeseries/CUSR0000SERG" TargetMode="External" Id="rId255"/><Relationship Type="http://schemas.openxmlformats.org/officeDocument/2006/relationships/hyperlink" Target="https://data.bls.gov/timeseries/CUSR0000SAE" TargetMode="External" Id="rId256"/><Relationship Type="http://schemas.openxmlformats.org/officeDocument/2006/relationships/hyperlink" Target="https://data.bls.gov/timeseries/CUSR0000SAE1" TargetMode="External" Id="rId257"/><Relationship Type="http://schemas.openxmlformats.org/officeDocument/2006/relationships/hyperlink" Target="https://data.bls.gov/timeseries/CUSR0000SEEA" TargetMode="External" Id="rId258"/><Relationship Type="http://schemas.openxmlformats.org/officeDocument/2006/relationships/hyperlink" Target="https://data.bls.gov/timeseries/CUSR0000SEEB" TargetMode="External" Id="rId259"/><Relationship Type="http://schemas.openxmlformats.org/officeDocument/2006/relationships/hyperlink" Target="https://data.bls.gov/timeseries/CUSR0000SEEB01" TargetMode="External" Id="rId260"/><Relationship Type="http://schemas.openxmlformats.org/officeDocument/2006/relationships/hyperlink" Target="https://data.bls.gov/timeseries/CUSR0000SEEB02" TargetMode="External" Id="rId261"/><Relationship Type="http://schemas.openxmlformats.org/officeDocument/2006/relationships/hyperlink" Target="https://data.bls.gov/timeseries/CUSR0000SEEB03" TargetMode="External" Id="rId262"/><Relationship Type="http://schemas.openxmlformats.org/officeDocument/2006/relationships/hyperlink" Target="https://data.bls.gov/timeseries/CUSR0000SEEB04" TargetMode="External" Id="rId263"/><Relationship Type="http://schemas.openxmlformats.org/officeDocument/2006/relationships/hyperlink" Target="https://data.bls.gov/timeseries/CUSR0000SAE2" TargetMode="External" Id="rId264"/><Relationship Type="http://schemas.openxmlformats.org/officeDocument/2006/relationships/hyperlink" Target="https://data.bls.gov/timeseries/CUSR0000SEEC" TargetMode="External" Id="rId265"/><Relationship Type="http://schemas.openxmlformats.org/officeDocument/2006/relationships/hyperlink" Target="https://data.bls.gov/timeseries/CUSR0000SEEC01" TargetMode="External" Id="rId266"/><Relationship Type="http://schemas.openxmlformats.org/officeDocument/2006/relationships/hyperlink" Target="https://data.bls.gov/timeseries/CUSR0000SEEC02" TargetMode="External" Id="rId267"/><Relationship Type="http://schemas.openxmlformats.org/officeDocument/2006/relationships/hyperlink" Target="https://data.bls.gov/timeseries/CUSR0000SAE21" TargetMode="External" Id="rId268"/><Relationship Type="http://schemas.openxmlformats.org/officeDocument/2006/relationships/hyperlink" Target="https://data.bls.gov/timeseries/CUSR0000SEEE" TargetMode="External" Id="rId269"/><Relationship Type="http://schemas.openxmlformats.org/officeDocument/2006/relationships/hyperlink" Target="https://data.bls.gov/timeseries/CUSR0000SEEE01" TargetMode="External" Id="rId270"/><Relationship Type="http://schemas.openxmlformats.org/officeDocument/2006/relationships/hyperlink" Target="https://data.bls.gov/timeseries/CUSR0000SEEE03" TargetMode="External" Id="rId271"/><Relationship Type="http://schemas.openxmlformats.org/officeDocument/2006/relationships/hyperlink" Target="https://data.bls.gov/timeseries/CUSR0000SEEE04" TargetMode="External" Id="rId272"/><Relationship Type="http://schemas.openxmlformats.org/officeDocument/2006/relationships/hyperlink" Target="https://data.bls.gov/timeseries/CUSR0000SAG" TargetMode="External" Id="rId273"/><Relationship Type="http://schemas.openxmlformats.org/officeDocument/2006/relationships/hyperlink" Target="https://data.bls.gov/timeseries/CUSR0000SEGA" TargetMode="External" Id="rId274"/><Relationship Type="http://schemas.openxmlformats.org/officeDocument/2006/relationships/hyperlink" Target="https://data.bls.gov/timeseries/CUSR0000SEGA01" TargetMode="External" Id="rId275"/><Relationship Type="http://schemas.openxmlformats.org/officeDocument/2006/relationships/hyperlink" Target="https://data.bls.gov/timeseries/CUSR0000SAG1" TargetMode="External" Id="rId276"/><Relationship Type="http://schemas.openxmlformats.org/officeDocument/2006/relationships/hyperlink" Target="https://data.bls.gov/timeseries/CUSR0000SEGB" TargetMode="External" Id="rId277"/><Relationship Type="http://schemas.openxmlformats.org/officeDocument/2006/relationships/hyperlink" Target="https://data.bls.gov/timeseries/CUSR0000SEGD" TargetMode="External" Id="rId278"/><Relationship Type="http://schemas.openxmlformats.org/officeDocument/2006/relationships/hyperlink" Target="https://data.bls.gov/timeseries/CUSR0000SEGD01" TargetMode="External" Id="rId279"/><Relationship Type="http://schemas.openxmlformats.org/officeDocument/2006/relationships/hyperlink" Target="https://data.bls.gov/timeseries/CUSR0000SEGD02" TargetMode="External" Id="rId280"/><Relationship Type="http://schemas.openxmlformats.org/officeDocument/2006/relationships/hyperlink" Target="https://data.bls.gov/timeseries/CUSR0000SEGD03" TargetMode="External" Id="rId281"/><Relationship Type="http://schemas.openxmlformats.org/officeDocument/2006/relationships/hyperlink" Target="https://data.bls.gov/timeseries/CUSR0000SEGD05" TargetMode="External" Id="rId282"/><Relationship Type="http://schemas.openxmlformats.org/officeDocument/2006/relationships/hyperlink" Target="https://data.bls.gov/timeseries/CUSR0000SS68023" TargetMode="External" Id="rId283"/><Relationship Type="http://schemas.openxmlformats.org/officeDocument/2006/relationships/hyperlink" Target="https://data.bls.gov/timeseries/CUSR0000SEGE" TargetMode="External" Id="rId284"/><Relationship Type="http://schemas.openxmlformats.org/officeDocument/2006/relationships/hyperlink" Target="https://data.bls.gov/timeseries/CUSR0000SS33032" TargetMode="External" Id="rId285"/><Relationship Type="http://schemas.openxmlformats.org/officeDocument/2006/relationships/hyperlink" Target="https://data.bls.gov/timeseries/CUSR0000SA0L5" TargetMode="External" Id="rId286"/><Relationship Type="http://schemas.openxmlformats.org/officeDocument/2006/relationships/hyperlink" Target="https://data.bls.gov/timeseries/CUSR0000SA0LE" TargetMode="External" Id="rId287"/><Relationship Type="http://schemas.openxmlformats.org/officeDocument/2006/relationships/hyperlink" Target="https://data.bls.gov/timeseries/CUSR0000SA0L1" TargetMode="External" Id="rId288"/><Relationship Type="http://schemas.openxmlformats.org/officeDocument/2006/relationships/hyperlink" Target="https://data.bls.gov/timeseries/CUSR0000SA0L1E" TargetMode="External" Id="rId289"/><Relationship Type="http://schemas.openxmlformats.org/officeDocument/2006/relationships/hyperlink" Target="https://data.bls.gov/timeseries/CUSR0000SA0L2" TargetMode="External" Id="rId290"/><Relationship Type="http://schemas.openxmlformats.org/officeDocument/2006/relationships/hyperlink" Target="https://data.bls.gov/timeseries/CUSR0000SA0L12" TargetMode="External" Id="rId291"/><Relationship Type="http://schemas.openxmlformats.org/officeDocument/2006/relationships/hyperlink" Target="https://data.bls.gov/timeseries/CUSR0000SA0L12E" TargetMode="External" Id="rId292"/><Relationship Type="http://schemas.openxmlformats.org/officeDocument/2006/relationships/hyperlink" Target="https://data.bls.gov/timeseries/CUSR0000SA0L12E4" TargetMode="External" Id="rId293"/><Relationship Type="http://schemas.openxmlformats.org/officeDocument/2006/relationships/hyperlink" Target="https://data.bls.gov/timeseries/CUSR0000SA311" TargetMode="External" Id="rId294"/><Relationship Type="http://schemas.openxmlformats.org/officeDocument/2006/relationships/hyperlink" Target="https://data.bls.gov/timeseries/CUSR0000SAC" TargetMode="External" Id="rId295"/><Relationship Type="http://schemas.openxmlformats.org/officeDocument/2006/relationships/hyperlink" Target="https://data.bls.gov/timeseries/CUSR0000SACL1" TargetMode="External" Id="rId296"/><Relationship Type="http://schemas.openxmlformats.org/officeDocument/2006/relationships/hyperlink" Target="https://data.bls.gov/timeseries/CUSR0000SACL11" TargetMode="External" Id="rId297"/><Relationship Type="http://schemas.openxmlformats.org/officeDocument/2006/relationships/hyperlink" Target="https://data.bls.gov/timeseries/CUSR0000SACL1E" TargetMode="External" Id="rId298"/><Relationship Type="http://schemas.openxmlformats.org/officeDocument/2006/relationships/hyperlink" Target="https://data.bls.gov/timeseries/CUSR0000SACL1E4" TargetMode="External" Id="rId299"/><Relationship Type="http://schemas.openxmlformats.org/officeDocument/2006/relationships/hyperlink" Target="https://data.bls.gov/timeseries/CUSR0000SAN1D" TargetMode="External" Id="rId300"/><Relationship Type="http://schemas.openxmlformats.org/officeDocument/2006/relationships/hyperlink" Target="https://data.bls.gov/timeseries/CUSR0000SAD" TargetMode="External" Id="rId301"/><Relationship Type="http://schemas.openxmlformats.org/officeDocument/2006/relationships/hyperlink" Target="https://data.bls.gov/timeseries/CUSR0000SAEC" TargetMode="External" Id="rId302"/><Relationship Type="http://schemas.openxmlformats.org/officeDocument/2006/relationships/hyperlink" Target="https://data.bls.gov/timeseries/CUSR0000SAES" TargetMode="External" Id="rId303"/><Relationship Type="http://schemas.openxmlformats.org/officeDocument/2006/relationships/hyperlink" Target="https://data.bls.gov/timeseries/CUSR0000SA0E" TargetMode="External" Id="rId304"/><Relationship Type="http://schemas.openxmlformats.org/officeDocument/2006/relationships/hyperlink" Target="https://data.bls.gov/timeseries/CUSR0000SACE" TargetMode="External" Id="rId305"/><Relationship Type="http://schemas.openxmlformats.org/officeDocument/2006/relationships/hyperlink" Target="https://data.bls.gov/timeseries/CUSR0000SAH31" TargetMode="External" Id="rId306"/><Relationship Type="http://schemas.openxmlformats.org/officeDocument/2006/relationships/hyperlink" Target="https://data.bls.gov/timeseries/CUSR0000SEEEC" TargetMode="External" Id="rId307"/><Relationship Type="http://schemas.openxmlformats.org/officeDocument/2006/relationships/hyperlink" Target="https://data.bls.gov/timeseries/CUSR0000SAN" TargetMode="External" Id="rId308"/><Relationship Type="http://schemas.openxmlformats.org/officeDocument/2006/relationships/hyperlink" Target="https://data.bls.gov/timeseries/CUSR0000SANL1" TargetMode="External" Id="rId309"/><Relationship Type="http://schemas.openxmlformats.org/officeDocument/2006/relationships/hyperlink" Target="https://data.bls.gov/timeseries/CUSR0000SANL13" TargetMode="External" Id="rId310"/><Relationship Type="http://schemas.openxmlformats.org/officeDocument/2006/relationships/hyperlink" Target="https://data.bls.gov/timeseries/CUSR0000SANL11" TargetMode="External" Id="rId311"/><Relationship Type="http://schemas.openxmlformats.org/officeDocument/2006/relationships/hyperlink" Target="https://data.bls.gov/timeseries/CUSR0000SANL113" TargetMode="External" Id="rId312"/><Relationship Type="http://schemas.openxmlformats.org/officeDocument/2006/relationships/hyperlink" Target="https://data.bls.gov/timeseries/CUSR0000SAGC" TargetMode="External" Id="rId313"/><Relationship Type="http://schemas.openxmlformats.org/officeDocument/2006/relationships/hyperlink" Target="https://data.bls.gov/timeseries/CUSR0000SAS367" TargetMode="External" Id="rId314"/><Relationship Type="http://schemas.openxmlformats.org/officeDocument/2006/relationships/hyperlink" Target="https://data.bls.gov/timeseries/CUSR0000SARC" TargetMode="External" Id="rId315"/><Relationship Type="http://schemas.openxmlformats.org/officeDocument/2006/relationships/hyperlink" Target="https://data.bls.gov/timeseries/CUSR0000SARS" TargetMode="External" Id="rId316"/><Relationship Type="http://schemas.openxmlformats.org/officeDocument/2006/relationships/hyperlink" Target="https://data.bls.gov/timeseries/CUSR0000SAS2RS" TargetMode="External" Id="rId317"/><Relationship Type="http://schemas.openxmlformats.org/officeDocument/2006/relationships/hyperlink" Target="https://data.bls.gov/timeseries/CUSR0000SAS" TargetMode="External" Id="rId318"/><Relationship Type="http://schemas.openxmlformats.org/officeDocument/2006/relationships/hyperlink" Target="https://data.bls.gov/timeseries/CUSR0000SASLE" TargetMode="External" Id="rId319"/><Relationship Type="http://schemas.openxmlformats.org/officeDocument/2006/relationships/hyperlink" Target="https://data.bls.gov/timeseries/CUSR0000SASL5" TargetMode="External" Id="rId320"/><Relationship Type="http://schemas.openxmlformats.org/officeDocument/2006/relationships/hyperlink" Target="https://data.bls.gov/timeseries/CUSR0000SASL2RS" TargetMode="External" Id="rId321"/><Relationship Type="http://schemas.openxmlformats.org/officeDocument/2006/relationships/hyperlink" Target="https://data.bls.gov/timeseries/CUSR0000SATCLTB" TargetMode="External" Id="rId322"/><Relationship Type="http://schemas.openxmlformats.org/officeDocument/2006/relationships/hyperlink" Target="https://data.bls.gov/timeseries/CUSR0000SAS4" TargetMode="External" Id="rId323"/><Relationship Type="http://schemas.openxmlformats.org/officeDocument/2006/relationships/hyperlink" Target="https://data.bls.gov/timeseries/CUSR0000SAS24" TargetMode="External" Id="rId324"/><Relationship Type="http://schemas.openxmlformats.org/officeDocument/2006/relationships/hyperlink" Target="https://data.bls.gov/timeseries/CUSR0000SERAC" TargetMode="External" Id="rId325"/><Relationship Type="http://schemas.openxmlformats.org/officeDocument/2006/relationships/hyperlink" Target="https://data.bls.gov/timeseries/CUSR0000SERAS" TargetMode="External" Id="rId326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api.bls.gov/publicAPI/v2/timeseries/data/" TargetMode="External" Id="rId1"/><Relationship Type="http://schemas.openxmlformats.org/officeDocument/2006/relationships/hyperlink" Target="https://data.bls.gov/registrationEngine/" TargetMode="External" Id="rId2"/><Relationship Type="http://schemas.openxmlformats.org/officeDocument/2006/relationships/hyperlink" Target="https://download.bls.gov/pub/time.series/cu/" TargetMode="External" Id="rId3"/><Relationship Type="http://schemas.openxmlformats.org/officeDocument/2006/relationships/hyperlink" Target="https://download.bls.gov/pub/time.series/cu/cu.item" TargetMode="External" Id="rId4"/><Relationship Type="http://schemas.openxmlformats.org/officeDocument/2006/relationships/hyperlink" Target="https://download.bls.gov/pub/time.series/cu/cu.series" TargetMode="External" Id="rId5"/><Relationship Type="http://schemas.openxmlformats.org/officeDocument/2006/relationships/hyperlink" Target="https://download.bls.gov/pub/time.series/cu/cu.data.0.Current" TargetMode="External" Id="rId6"/><Relationship Type="http://schemas.openxmlformats.org/officeDocument/2006/relationships/hyperlink" Target="https://www.bls.gov/cpi/tables/relative-importance/" TargetMode="External" Id="rId7"/><Relationship Type="http://schemas.openxmlformats.org/officeDocument/2006/relationships/hyperlink" Target="https://www.bls.gov/web/cpi/cpi-relative-importance.xlsx" TargetMode="External" Id="rId8"/><Relationship Type="http://schemas.openxmlformats.org/officeDocument/2006/relationships/hyperlink" Target="https://www.bls.gov/news.release/cpi.nr0.htm" TargetMode="External" Id="rId9"/><Relationship Type="http://schemas.openxmlformats.org/officeDocument/2006/relationships/hyperlink" Target="https://www.bls.gov/news.release/cpi.t01.htm" TargetMode="External" Id="rId10"/><Relationship Type="http://schemas.openxmlformats.org/officeDocument/2006/relationships/hyperlink" Target="https://www.bls.gov/news.release/cpi.t02.htm" TargetMode="External" Id="rId11"/><Relationship Type="http://schemas.openxmlformats.org/officeDocument/2006/relationships/hyperlink" Target="https://www.bls.gov/web/cpi.supp.toc.htm" TargetMode="External" Id="rId12"/><Relationship Type="http://schemas.openxmlformats.org/officeDocument/2006/relationships/hyperlink" Target="https://www.bls.gov/schedule/news_release/cpi.htm" TargetMode="External" Id="rId13"/><Relationship Type="http://schemas.openxmlformats.org/officeDocument/2006/relationships/hyperlink" Target="https://www.bls.gov/opub/hom/cpi/design.htm" TargetMode="External" Id="rId14"/><Relationship Type="http://schemas.openxmlformats.org/officeDocument/2006/relationships/hyperlink" Target="https://www.bls.gov/opub/hom/cpi/data.htm" TargetMode="External" Id="rId15"/><Relationship Type="http://schemas.openxmlformats.org/officeDocument/2006/relationships/hyperlink" Target="https://www.bls.gov/opub/hom/cpi/calculation.htm" TargetMode="External" Id="rId16"/><Relationship Type="http://schemas.openxmlformats.org/officeDocument/2006/relationships/hyperlink" Target="https://www.bls.gov/cpi/factsheets/" TargetMode="External" Id="rId17"/><Relationship Type="http://schemas.openxmlformats.org/officeDocument/2006/relationships/hyperlink" Target="https://www.bls.gov/cpi/quality-adjustment/" TargetMode="External" Id="rId18"/><Relationship Type="http://schemas.openxmlformats.org/officeDocument/2006/relationships/hyperlink" Target="https://www.bls.gov/cpi/seasonal-adjustment/" TargetMode="External" Id="rId19"/><Relationship Type="http://schemas.openxmlformats.org/officeDocument/2006/relationships/hyperlink" Target="https://www.bls.gov/cpi/tables/relative-importance/weight-update-comparison-2026.htm" TargetMode="External" Id="rId20"/><Relationship Type="http://schemas.openxmlformats.org/officeDocument/2006/relationships/hyperlink" Target="https://www.bls.gov/cpi/tables/consumer-expenditure/cost-weights.htm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s="1" t="inlineStr">
        <is>
          <t>CPI Component Workbook</t>
        </is>
      </c>
    </row>
    <row r="2"/>
    <row r="3">
      <c r="A3" s="2" t="inlineStr">
        <is>
          <t>Build timestamp</t>
        </is>
      </c>
      <c r="B3" s="3" t="inlineStr">
        <is>
          <t>2026-10-24 18:32 UTC</t>
        </is>
      </c>
    </row>
    <row r="4">
      <c r="A4" s="2" t="inlineStr">
        <is>
          <t>Data as of</t>
        </is>
      </c>
      <c r="B4" s="3" t="inlineStr">
        <is>
          <t>Sep 2026</t>
        </is>
      </c>
    </row>
    <row r="5">
      <c r="A5" s="2" t="inlineStr">
        <is>
          <t>Latest 3 reference months</t>
        </is>
      </c>
      <c r="B5" s="3" t="inlineStr">
        <is>
          <t>Jul 2026, Aug 2026, Sep 2026</t>
        </is>
      </c>
    </row>
    <row r="6">
      <c r="A6" s="2" t="inlineStr">
        <is>
          <t>Next CPI release</t>
        </is>
      </c>
      <c r="B6" s="3" t="inlineStr">
        <is>
          <t>2027-05-12 08:30AM</t>
        </is>
      </c>
    </row>
    <row r="7">
      <c r="A7" s="2" t="inlineStr">
        <is>
          <t>BLS_API_KEY detected</t>
        </is>
      </c>
      <c r="B7" s="3" t="inlineStr">
        <is>
          <t>yes</t>
        </is>
      </c>
    </row>
    <row r="8">
      <c r="A8" s="2" t="inlineStr">
        <is>
          <t>Refresh command</t>
        </is>
      </c>
      <c r="B8" s="3" t="inlineStr">
        <is>
          <t>BLS_API_KEY=... python build_workbook.py</t>
        </is>
      </c>
    </row>
    <row r="9">
      <c r="A9" s="2" t="inlineStr">
        <is>
          <t>Source of truth</t>
        </is>
      </c>
      <c r="B9" s="3" t="inlineStr">
        <is>
          <t>BLS Public Data API, LABSTAT cu.item/cu.series, and BLS relative-importance tables</t>
        </is>
      </c>
    </row>
    <row r="10"/>
    <row r="11"/>
    <row r="12">
      <c r="A12" s="2" t="inlineStr">
        <is>
          <t>Notes</t>
        </is>
      </c>
    </row>
    <row r="13">
      <c r="A13" s="4" t="inlineStr">
        <is>
          <t>Derived m/m, y/y, price-updated relative importance, and contribution cells are Excel formulas that reference Data_NSA and Data_SA.</t>
        </is>
      </c>
    </row>
    <row r="14"/>
    <row r="15">
      <c r="A15" s="2" t="inlineStr">
        <is>
          <t>Primary BLS URLs</t>
        </is>
      </c>
    </row>
    <row r="16">
      <c r="A16" t="inlineStr">
        <is>
          <t>bls_api</t>
        </is>
      </c>
      <c r="B16" s="5" t="inlineStr">
        <is>
          <t>https://api.bls.gov/publicAPI/v2/timeseries/data/</t>
        </is>
      </c>
    </row>
    <row r="17">
      <c r="A17" t="inlineStr">
        <is>
          <t>api_registration</t>
        </is>
      </c>
      <c r="B17" s="5" t="inlineStr">
        <is>
          <t>https://data.bls.gov/registrationEngine/</t>
        </is>
      </c>
    </row>
    <row r="18">
      <c r="A18" t="inlineStr">
        <is>
          <t>labstat_base</t>
        </is>
      </c>
      <c r="B18" s="5" t="inlineStr">
        <is>
          <t>https://download.bls.gov/pub/time.series/cu/</t>
        </is>
      </c>
    </row>
    <row r="19">
      <c r="A19" t="inlineStr">
        <is>
          <t>cu_item</t>
        </is>
      </c>
      <c r="B19" s="5" t="inlineStr">
        <is>
          <t>https://download.bls.gov/pub/time.series/cu/cu.item</t>
        </is>
      </c>
    </row>
    <row r="20">
      <c r="A20" t="inlineStr">
        <is>
          <t>cu_series</t>
        </is>
      </c>
      <c r="B20" s="5" t="inlineStr">
        <is>
          <t>https://download.bls.gov/pub/time.series/cu/cu.series</t>
        </is>
      </c>
    </row>
    <row r="21">
      <c r="A21" t="inlineStr">
        <is>
          <t>cu_current</t>
        </is>
      </c>
      <c r="B21" s="5" t="inlineStr">
        <is>
          <t>https://download.bls.gov/pub/time.series/cu/cu.data.0.Current</t>
        </is>
      </c>
    </row>
    <row r="22">
      <c r="A22" t="inlineStr">
        <is>
          <t>relative_importance</t>
        </is>
      </c>
      <c r="B22" s="5" t="inlineStr">
        <is>
          <t>https://www.bls.gov/cpi/tables/relative-importance/</t>
        </is>
      </c>
    </row>
    <row r="23">
      <c r="A23" t="inlineStr">
        <is>
          <t>relative_importance_xlsx</t>
        </is>
      </c>
      <c r="B23" s="5" t="inlineStr">
        <is>
          <t>https://www.bls.gov/web/cpi/cpi-relative-importance.xlsx</t>
        </is>
      </c>
    </row>
    <row r="24">
      <c r="A24" t="inlineStr">
        <is>
          <t>news_release</t>
        </is>
      </c>
      <c r="B24" s="5" t="inlineStr">
        <is>
          <t>https://www.bls.gov/news.release/cpi.nr0.htm</t>
        </is>
      </c>
    </row>
    <row r="25">
      <c r="A25" t="inlineStr">
        <is>
          <t>news_table_1</t>
        </is>
      </c>
      <c r="B25" s="5" t="inlineStr">
        <is>
          <t>https://www.bls.gov/news.release/cpi.t01.htm</t>
        </is>
      </c>
    </row>
    <row r="26">
      <c r="A26" t="inlineStr">
        <is>
          <t>news_table_2</t>
        </is>
      </c>
      <c r="B26" s="5" t="inlineStr">
        <is>
          <t>https://www.bls.gov/news.release/cpi.t02.htm</t>
        </is>
      </c>
    </row>
    <row r="27">
      <c r="A27" t="inlineStr">
        <is>
          <t>supplemental</t>
        </is>
      </c>
      <c r="B27" s="5" t="inlineStr">
        <is>
          <t>https://www.bls.gov/web/cpi.supp.toc.htm</t>
        </is>
      </c>
    </row>
    <row r="28">
      <c r="A28" t="inlineStr">
        <is>
          <t>release_calendar</t>
        </is>
      </c>
      <c r="B28" s="5" t="inlineStr">
        <is>
          <t>https://www.bls.gov/schedule/news_release/cpi.htm</t>
        </is>
      </c>
    </row>
    <row r="29">
      <c r="A29" t="inlineStr">
        <is>
          <t>handbook_design</t>
        </is>
      </c>
      <c r="B29" s="5" t="inlineStr">
        <is>
          <t>https://www.bls.gov/opub/hom/cpi/design.htm</t>
        </is>
      </c>
    </row>
    <row r="30">
      <c r="A30" t="inlineStr">
        <is>
          <t>handbook_data</t>
        </is>
      </c>
      <c r="B30" s="5" t="inlineStr">
        <is>
          <t>https://www.bls.gov/opub/hom/cpi/data.htm</t>
        </is>
      </c>
    </row>
    <row r="31">
      <c r="A31" t="inlineStr">
        <is>
          <t>handbook_calculation</t>
        </is>
      </c>
      <c r="B31" s="5" t="inlineStr">
        <is>
          <t>https://www.bls.gov/opub/hom/cpi/calculation.htm</t>
        </is>
      </c>
    </row>
    <row r="32">
      <c r="A32" t="inlineStr">
        <is>
          <t>factsheets</t>
        </is>
      </c>
      <c r="B32" s="5" t="inlineStr">
        <is>
          <t>https://www.bls.gov/cpi/factsheets/</t>
        </is>
      </c>
    </row>
    <row r="33">
      <c r="A33" t="inlineStr">
        <is>
          <t>quality_adjustment</t>
        </is>
      </c>
      <c r="B33" s="5" t="inlineStr">
        <is>
          <t>https://www.bls.gov/cpi/quality-adjustment/</t>
        </is>
      </c>
    </row>
    <row r="34">
      <c r="A34" t="inlineStr">
        <is>
          <t>seasonal_adjustment</t>
        </is>
      </c>
      <c r="B34" s="5" t="inlineStr">
        <is>
          <t>https://www.bls.gov/cpi/seasonal-adjustment/</t>
        </is>
      </c>
    </row>
    <row r="35">
      <c r="A35" t="inlineStr">
        <is>
          <t>weight_update_2026</t>
        </is>
      </c>
      <c r="B35" s="5" t="inlineStr">
        <is>
          <t>https://www.bls.gov/cpi/tables/relative-importance/weight-update-comparison-2026.htm</t>
        </is>
      </c>
    </row>
    <row r="36">
      <c r="A36" t="inlineStr">
        <is>
          <t>cost_weights</t>
        </is>
      </c>
      <c r="B36" s="5" t="inlineStr">
        <is>
          <t>https://www.bls.gov/cpi/tables/consumer-expenditure/cost-weights.htm</t>
        </is>
      </c>
    </row>
  </sheetData>
  <mergeCells count="1">
    <mergeCell ref="A1:D1"/>
  </mergeCells>
  <hyperlinks>
    <hyperlink xmlns:r="http://schemas.openxmlformats.org/officeDocument/2006/relationships" ref="B16" r:id="rId1"/>
    <hyperlink xmlns:r="http://schemas.openxmlformats.org/officeDocument/2006/relationships" ref="B17" r:id="rId2"/>
    <hyperlink xmlns:r="http://schemas.openxmlformats.org/officeDocument/2006/relationships" ref="B18" r:id="rId3"/>
    <hyperlink xmlns:r="http://schemas.openxmlformats.org/officeDocument/2006/relationships" ref="B19" r:id="rId4"/>
    <hyperlink xmlns:r="http://schemas.openxmlformats.org/officeDocument/2006/relationships" ref="B20" r:id="rId5"/>
    <hyperlink xmlns:r="http://schemas.openxmlformats.org/officeDocument/2006/relationships" ref="B21" r:id="rId6"/>
    <hyperlink xmlns:r="http://schemas.openxmlformats.org/officeDocument/2006/relationships" ref="B22" r:id="rId7"/>
    <hyperlink xmlns:r="http://schemas.openxmlformats.org/officeDocument/2006/relationships" ref="B23" r:id="rId8"/>
    <hyperlink xmlns:r="http://schemas.openxmlformats.org/officeDocument/2006/relationships" ref="B24" r:id="rId9"/>
    <hyperlink xmlns:r="http://schemas.openxmlformats.org/officeDocument/2006/relationships" ref="B25" r:id="rId10"/>
    <hyperlink xmlns:r="http://schemas.openxmlformats.org/officeDocument/2006/relationships" ref="B26" r:id="rId11"/>
    <hyperlink xmlns:r="http://schemas.openxmlformats.org/officeDocument/2006/relationships" ref="B27" r:id="rId12"/>
    <hyperlink xmlns:r="http://schemas.openxmlformats.org/officeDocument/2006/relationships" ref="B28" r:id="rId13"/>
    <hyperlink xmlns:r="http://schemas.openxmlformats.org/officeDocument/2006/relationships" ref="B29" r:id="rId14"/>
    <hyperlink xmlns:r="http://schemas.openxmlformats.org/officeDocument/2006/relationships" ref="B30" r:id="rId15"/>
    <hyperlink xmlns:r="http://schemas.openxmlformats.org/officeDocument/2006/relationships" ref="B31" r:id="rId16"/>
    <hyperlink xmlns:r="http://schemas.openxmlformats.org/officeDocument/2006/relationships" ref="B32" r:id="rId17"/>
    <hyperlink xmlns:r="http://schemas.openxmlformats.org/officeDocument/2006/relationships" ref="B33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  <col width="36" customWidth="1" min="4" max="4"/>
    <col width="16" customWidth="1" min="6" max="6"/>
    <col width="36" customWidth="1" min="7" max="7"/>
    <col width="36" customWidth="1" min="8" max="8"/>
  </cols>
  <sheetData>
    <row r="1">
      <c r="A1" s="1" t="inlineStr">
        <is>
          <t>CPI Dashboard</t>
        </is>
      </c>
    </row>
    <row r="2"/>
    <row r="3">
      <c r="A3" t="inlineStr">
        <is>
          <t>Data as of</t>
        </is>
      </c>
      <c r="B3" t="inlineStr">
        <is>
          <t>Sep 2026</t>
        </is>
      </c>
    </row>
    <row r="4"/>
    <row r="5">
      <c r="A5" s="2" t="inlineStr">
        <is>
          <t>Headline and core</t>
        </is>
      </c>
      <c r="F5" s="2" t="inlineStr">
        <is>
          <t>Summary groups</t>
        </is>
      </c>
    </row>
    <row r="6">
      <c r="A6" s="6" t="inlineStr">
        <is>
          <t>Metric</t>
        </is>
      </c>
      <c r="B6" s="6" t="inlineStr">
        <is>
          <t>Jul 2026</t>
        </is>
      </c>
      <c r="C6" s="6" t="inlineStr">
        <is>
          <t>Aug 2026</t>
        </is>
      </c>
      <c r="D6" s="6" t="inlineStr">
        <is>
          <t>Sep 2026</t>
        </is>
      </c>
      <c r="E6" s="6" t="n"/>
      <c r="F6" s="6" t="inlineStr">
        <is>
          <t>Group</t>
        </is>
      </c>
      <c r="G6" s="6" t="inlineStr">
        <is>
          <t>Latest SA m/m</t>
        </is>
      </c>
      <c r="H6" s="6" t="inlineStr">
        <is>
          <t>Contribution pp</t>
        </is>
      </c>
    </row>
    <row r="7">
      <c r="A7" t="inlineStr">
        <is>
          <t>All items SA m/m</t>
        </is>
      </c>
      <c r="B7" s="7">
        <f>IFERROR(INDEX(Latest_3M!$K:$K,MATCH("SA0",Latest_3M!$A:$A,0)),"")</f>
        <v/>
      </c>
      <c r="C7" s="7">
        <f>IFERROR(INDEX(Latest_3M!$Q:$Q,MATCH("SA0",Latest_3M!$A:$A,0)),"")</f>
        <v/>
      </c>
      <c r="D7" s="7">
        <f>IFERROR(INDEX(Latest_3M!$W:$W,MATCH("SA0",Latest_3M!$A:$A,0)),"")</f>
        <v/>
      </c>
      <c r="F7" t="inlineStr">
        <is>
          <t>Food</t>
        </is>
      </c>
      <c r="G7" s="8">
        <f>IFERROR(INDEX(Latest_3M!$W:$W,MATCH("SAF1",Latest_3M!$A:$A,0)),"")</f>
        <v/>
      </c>
      <c r="H7" s="9">
        <f>IFERROR(INDEX(Latest_3M!$Z:$Z,MATCH("SAF1",Latest_3M!$A:$A,0)),"")</f>
        <v/>
      </c>
    </row>
    <row r="8">
      <c r="A8" t="inlineStr">
        <is>
          <t>All items NSA y/y</t>
        </is>
      </c>
      <c r="B8" s="7">
        <f>IFERROR(INDEX(Latest_3M!$L:$L,MATCH("SA0",Latest_3M!$A:$A,0)),"")</f>
        <v/>
      </c>
      <c r="C8" s="7">
        <f>IFERROR(INDEX(Latest_3M!$R:$R,MATCH("SA0",Latest_3M!$A:$A,0)),"")</f>
        <v/>
      </c>
      <c r="D8" s="7">
        <f>IFERROR(INDEX(Latest_3M!$X:$X,MATCH("SA0",Latest_3M!$A:$A,0)),"")</f>
        <v/>
      </c>
      <c r="F8" t="inlineStr">
        <is>
          <t>Energy</t>
        </is>
      </c>
      <c r="G8" s="8">
        <f>IFERROR(INDEX(Latest_3M!$W:$W,MATCH("SA0E",Latest_3M!$A:$A,0)),"")</f>
        <v/>
      </c>
      <c r="H8" s="9">
        <f>IFERROR(INDEX(Latest_3M!$Z:$Z,MATCH("SA0E",Latest_3M!$A:$A,0)),"")</f>
        <v/>
      </c>
    </row>
    <row r="9">
      <c r="A9" t="inlineStr">
        <is>
          <t>Core SA m/m</t>
        </is>
      </c>
      <c r="B9" s="7">
        <f>IFERROR(INDEX(Latest_3M!$K:$K,MATCH("SA0L1E",Latest_3M!$A:$A,0)),"")</f>
        <v/>
      </c>
      <c r="C9" s="7">
        <f>IFERROR(INDEX(Latest_3M!$Q:$Q,MATCH("SA0L1E",Latest_3M!$A:$A,0)),"")</f>
        <v/>
      </c>
      <c r="D9" s="7">
        <f>IFERROR(INDEX(Latest_3M!$W:$W,MATCH("SA0L1E",Latest_3M!$A:$A,0)),"")</f>
        <v/>
      </c>
      <c r="F9" t="inlineStr">
        <is>
          <t>Shelter</t>
        </is>
      </c>
      <c r="G9" s="8">
        <f>IFERROR(INDEX(Latest_3M!$W:$W,MATCH("SAH1",Latest_3M!$A:$A,0)),"")</f>
        <v/>
      </c>
      <c r="H9" s="9">
        <f>IFERROR(INDEX(Latest_3M!$Z:$Z,MATCH("SAH1",Latest_3M!$A:$A,0)),"")</f>
        <v/>
      </c>
    </row>
    <row r="10">
      <c r="A10" t="inlineStr">
        <is>
          <t>Core NSA y/y</t>
        </is>
      </c>
      <c r="B10" s="7">
        <f>IFERROR(INDEX(Latest_3M!$L:$L,MATCH("SA0L1E",Latest_3M!$A:$A,0)),"")</f>
        <v/>
      </c>
      <c r="C10" s="7">
        <f>IFERROR(INDEX(Latest_3M!$R:$R,MATCH("SA0L1E",Latest_3M!$A:$A,0)),"")</f>
        <v/>
      </c>
      <c r="D10" s="7">
        <f>IFERROR(INDEX(Latest_3M!$X:$X,MATCH("SA0L1E",Latest_3M!$A:$A,0)),"")</f>
        <v/>
      </c>
      <c r="F10" t="inlineStr">
        <is>
          <t>Core</t>
        </is>
      </c>
      <c r="G10" s="8">
        <f>IFERROR(INDEX(Latest_3M!$W:$W,MATCH("SA0L1E",Latest_3M!$A:$A,0)),"")</f>
        <v/>
      </c>
      <c r="H10" s="9">
        <f>IFERROR(INDEX(Latest_3M!$Z:$Z,MATCH("SA0L1E",Latest_3M!$A:$A,0)),"")</f>
        <v/>
      </c>
    </row>
    <row r="11"/>
    <row r="12"/>
    <row r="13">
      <c r="A13" s="2" t="inlineStr">
        <is>
          <t>Top contributors, Sep 2026</t>
        </is>
      </c>
    </row>
    <row r="14">
      <c r="A14" s="6" t="inlineStr">
        <is>
          <t>Rank</t>
        </is>
      </c>
      <c r="B14" s="6" t="inlineStr">
        <is>
          <t>item_code</t>
        </is>
      </c>
      <c r="C14" s="6" t="inlineStr">
        <is>
          <t>component</t>
        </is>
      </c>
      <c r="D14" s="6" t="inlineStr">
        <is>
          <t>SA contribution pp</t>
        </is>
      </c>
    </row>
    <row r="15">
      <c r="A15" t="n">
        <v>1</v>
      </c>
      <c r="B15" t="inlineStr">
        <is>
          <t>SA0</t>
        </is>
      </c>
      <c r="C15" t="inlineStr">
        <is>
          <t>All items</t>
        </is>
      </c>
      <c r="D15" s="10">
        <f>IFERROR(INDEX(Latest_3M!$Z:$Z,MATCH(B15,Latest_3M!$A:$A,0)),"")</f>
        <v/>
      </c>
    </row>
    <row r="16">
      <c r="A16" t="n">
        <v>2</v>
      </c>
      <c r="B16" t="inlineStr">
        <is>
          <t>SA0L1</t>
        </is>
      </c>
      <c r="C16" t="inlineStr">
        <is>
          <t>All items less food</t>
        </is>
      </c>
      <c r="D16" s="10">
        <f>IFERROR(INDEX(Latest_3M!$Z:$Z,MATCH(B16,Latest_3M!$A:$A,0)),"")</f>
        <v/>
      </c>
    </row>
    <row r="17">
      <c r="A17" t="n">
        <v>3</v>
      </c>
      <c r="B17" t="inlineStr">
        <is>
          <t>SA0L5</t>
        </is>
      </c>
      <c r="C17" t="inlineStr">
        <is>
          <t>All items less medical care</t>
        </is>
      </c>
      <c r="D17" s="10">
        <f>IFERROR(INDEX(Latest_3M!$Z:$Z,MATCH(B17,Latest_3M!$A:$A,0)),"")</f>
        <v/>
      </c>
    </row>
    <row r="18">
      <c r="A18" t="n">
        <v>4</v>
      </c>
      <c r="B18" t="inlineStr">
        <is>
          <t>SA0L2</t>
        </is>
      </c>
      <c r="C18" t="inlineStr">
        <is>
          <t>All items less shelter</t>
        </is>
      </c>
      <c r="D18" s="10">
        <f>IFERROR(INDEX(Latest_3M!$Z:$Z,MATCH(B18,Latest_3M!$A:$A,0)),"")</f>
        <v/>
      </c>
    </row>
    <row r="19">
      <c r="A19" t="n">
        <v>5</v>
      </c>
      <c r="B19" t="inlineStr">
        <is>
          <t>SAC</t>
        </is>
      </c>
      <c r="C19" t="inlineStr">
        <is>
          <t>Commodities</t>
        </is>
      </c>
      <c r="D19" s="10">
        <f>IFERROR(INDEX(Latest_3M!$Z:$Z,MATCH(B19,Latest_3M!$A:$A,0)),"")</f>
        <v/>
      </c>
    </row>
    <row r="20">
      <c r="A20" t="n">
        <v>6</v>
      </c>
      <c r="B20" t="inlineStr">
        <is>
          <t>SACL11</t>
        </is>
      </c>
      <c r="C20" t="inlineStr">
        <is>
          <t>Commodities less food and beverages</t>
        </is>
      </c>
      <c r="D20" s="10">
        <f>IFERROR(INDEX(Latest_3M!$Z:$Z,MATCH(B20,Latest_3M!$A:$A,0)),"")</f>
        <v/>
      </c>
    </row>
    <row r="21">
      <c r="A21" t="n">
        <v>7</v>
      </c>
      <c r="B21" t="inlineStr">
        <is>
          <t>SACL1</t>
        </is>
      </c>
      <c r="C21" t="inlineStr">
        <is>
          <t>Commodities less food</t>
        </is>
      </c>
      <c r="D21" s="10">
        <f>IFERROR(INDEX(Latest_3M!$Z:$Z,MATCH(B21,Latest_3M!$A:$A,0)),"")</f>
        <v/>
      </c>
    </row>
    <row r="22">
      <c r="A22" t="n">
        <v>8</v>
      </c>
      <c r="B22" t="inlineStr">
        <is>
          <t>SACE</t>
        </is>
      </c>
      <c r="C22" t="inlineStr">
        <is>
          <t>Energy commodities</t>
        </is>
      </c>
      <c r="D22" s="10">
        <f>IFERROR(INDEX(Latest_3M!$Z:$Z,MATCH(B22,Latest_3M!$A:$A,0)),"")</f>
        <v/>
      </c>
    </row>
    <row r="23">
      <c r="A23" t="n">
        <v>9</v>
      </c>
      <c r="B23" t="inlineStr">
        <is>
          <t>SA0E</t>
        </is>
      </c>
      <c r="C23" t="inlineStr">
        <is>
          <t>Energy</t>
        </is>
      </c>
      <c r="D23" s="10">
        <f>IFERROR(INDEX(Latest_3M!$Z:$Z,MATCH(B23,Latest_3M!$A:$A,0)),"")</f>
        <v/>
      </c>
    </row>
    <row r="24">
      <c r="A24" t="n">
        <v>10</v>
      </c>
      <c r="B24" t="inlineStr">
        <is>
          <t>SANL13</t>
        </is>
      </c>
      <c r="C24" t="inlineStr">
        <is>
          <t>Nondurables less food and apparel</t>
        </is>
      </c>
      <c r="D24" s="10">
        <f>IFERROR(INDEX(Latest_3M!$Z:$Z,MATCH(B24,Latest_3M!$A:$A,0)),"")</f>
        <v/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0" customWidth="1" min="3" max="3"/>
    <col width="15" customWidth="1" min="4" max="4"/>
    <col width="17" customWidth="1" min="5" max="5"/>
    <col width="15" customWidth="1" min="6" max="6"/>
  </cols>
  <sheetData>
    <row r="1">
      <c r="A1" s="6" t="inlineStr">
        <is>
          <t>item_code</t>
        </is>
      </c>
      <c r="B1" s="6" t="inlineStr">
        <is>
          <t>name</t>
        </is>
      </c>
      <c r="C1" s="6" t="inlineStr">
        <is>
          <t>parent</t>
        </is>
      </c>
      <c r="D1" s="6" t="inlineStr">
        <is>
          <t>display_level</t>
        </is>
      </c>
      <c r="E1" s="6" t="inlineStr">
        <is>
          <t>is_item_stratum</t>
        </is>
      </c>
      <c r="F1" s="6" t="inlineStr">
        <is>
          <t>sort_sequence</t>
        </is>
      </c>
    </row>
    <row r="2">
      <c r="A2" t="inlineStr">
        <is>
          <t>SA0</t>
        </is>
      </c>
      <c r="B2" t="inlineStr">
        <is>
          <t>All items</t>
        </is>
      </c>
      <c r="D2" t="n">
        <v>0</v>
      </c>
      <c r="E2" t="b">
        <v>1</v>
      </c>
      <c r="F2" t="n">
        <v>1</v>
      </c>
    </row>
    <row r="3">
      <c r="A3" t="inlineStr">
        <is>
          <t>AA0</t>
        </is>
      </c>
      <c r="B3" t="inlineStr">
        <is>
          <t>All items - old base</t>
        </is>
      </c>
      <c r="C3" t="inlineStr">
        <is>
          <t>SA0</t>
        </is>
      </c>
      <c r="D3" t="n">
        <v>0</v>
      </c>
      <c r="E3" t="b">
        <v>1</v>
      </c>
      <c r="F3" t="n">
        <v>2</v>
      </c>
    </row>
    <row r="4">
      <c r="A4" t="inlineStr">
        <is>
          <t>SAF</t>
        </is>
      </c>
      <c r="B4" t="inlineStr">
        <is>
          <t>Food and beverages</t>
        </is>
      </c>
      <c r="C4" t="inlineStr">
        <is>
          <t>SA0</t>
        </is>
      </c>
      <c r="D4" t="n">
        <v>0</v>
      </c>
      <c r="E4" t="b">
        <v>0</v>
      </c>
      <c r="F4" t="n">
        <v>3</v>
      </c>
    </row>
    <row r="5">
      <c r="A5" t="inlineStr">
        <is>
          <t>SAF1</t>
        </is>
      </c>
      <c r="B5" s="11" t="inlineStr">
        <is>
          <t>Food</t>
        </is>
      </c>
      <c r="C5" t="inlineStr">
        <is>
          <t>SAF</t>
        </is>
      </c>
      <c r="D5" t="n">
        <v>1</v>
      </c>
      <c r="E5" t="b">
        <v>0</v>
      </c>
      <c r="F5" t="n">
        <v>4</v>
      </c>
    </row>
    <row r="6">
      <c r="A6" t="inlineStr">
        <is>
          <t>SAF11</t>
        </is>
      </c>
      <c r="B6" s="12" t="inlineStr">
        <is>
          <t>Food at home</t>
        </is>
      </c>
      <c r="C6" t="inlineStr">
        <is>
          <t>SAF1</t>
        </is>
      </c>
      <c r="D6" t="n">
        <v>2</v>
      </c>
      <c r="E6" t="b">
        <v>0</v>
      </c>
      <c r="F6" t="n">
        <v>5</v>
      </c>
    </row>
    <row r="7">
      <c r="A7" t="inlineStr">
        <is>
          <t>SAF111</t>
        </is>
      </c>
      <c r="B7" s="13" t="inlineStr">
        <is>
          <t>Cereals and bakery products</t>
        </is>
      </c>
      <c r="C7" t="inlineStr">
        <is>
          <t>SAF11</t>
        </is>
      </c>
      <c r="D7" t="n">
        <v>3</v>
      </c>
      <c r="E7" t="b">
        <v>0</v>
      </c>
      <c r="F7" t="n">
        <v>6</v>
      </c>
    </row>
    <row r="8">
      <c r="A8" t="inlineStr">
        <is>
          <t>SEFA</t>
        </is>
      </c>
      <c r="B8" s="14" t="inlineStr">
        <is>
          <t>Cereals and cereal products</t>
        </is>
      </c>
      <c r="C8" t="inlineStr">
        <is>
          <t>SAF111</t>
        </is>
      </c>
      <c r="D8" t="n">
        <v>4</v>
      </c>
      <c r="E8" t="b">
        <v>0</v>
      </c>
      <c r="F8" t="n">
        <v>7</v>
      </c>
    </row>
    <row r="9">
      <c r="A9" t="inlineStr">
        <is>
          <t>SEFA01</t>
        </is>
      </c>
      <c r="B9" s="15" t="inlineStr">
        <is>
          <t>Flour and prepared flour mixes</t>
        </is>
      </c>
      <c r="C9" t="inlineStr">
        <is>
          <t>SEFA</t>
        </is>
      </c>
      <c r="D9" t="n">
        <v>5</v>
      </c>
      <c r="E9" t="b">
        <v>1</v>
      </c>
      <c r="F9" t="n">
        <v>8</v>
      </c>
    </row>
    <row r="10">
      <c r="A10" t="inlineStr">
        <is>
          <t>SEFA02</t>
        </is>
      </c>
      <c r="B10" s="15" t="inlineStr">
        <is>
          <t>Breakfast cereal</t>
        </is>
      </c>
      <c r="C10" t="inlineStr">
        <is>
          <t>SEFA</t>
        </is>
      </c>
      <c r="D10" t="n">
        <v>5</v>
      </c>
      <c r="E10" t="b">
        <v>1</v>
      </c>
      <c r="F10" t="n">
        <v>9</v>
      </c>
    </row>
    <row r="11">
      <c r="A11" t="inlineStr">
        <is>
          <t>SEFA03</t>
        </is>
      </c>
      <c r="B11" s="15" t="inlineStr">
        <is>
          <t>Rice, pasta, cornmeal</t>
        </is>
      </c>
      <c r="C11" t="inlineStr">
        <is>
          <t>SEFA</t>
        </is>
      </c>
      <c r="D11" t="n">
        <v>5</v>
      </c>
      <c r="E11" t="b">
        <v>0</v>
      </c>
      <c r="F11" t="n">
        <v>10</v>
      </c>
    </row>
    <row r="12">
      <c r="A12" t="inlineStr">
        <is>
          <t>SS01031</t>
        </is>
      </c>
      <c r="B12" s="16" t="inlineStr">
        <is>
          <t>Rice</t>
        </is>
      </c>
      <c r="C12" t="inlineStr">
        <is>
          <t>SEFA03</t>
        </is>
      </c>
      <c r="D12" t="n">
        <v>6</v>
      </c>
      <c r="E12" t="b">
        <v>1</v>
      </c>
      <c r="F12" t="n">
        <v>11</v>
      </c>
    </row>
    <row r="13">
      <c r="A13" t="inlineStr">
        <is>
          <t>SEFB</t>
        </is>
      </c>
      <c r="B13" s="14" t="inlineStr">
        <is>
          <t>Bakery products</t>
        </is>
      </c>
      <c r="C13" t="inlineStr">
        <is>
          <t>SAF111</t>
        </is>
      </c>
      <c r="D13" t="n">
        <v>4</v>
      </c>
      <c r="E13" t="b">
        <v>0</v>
      </c>
      <c r="F13" t="n">
        <v>12</v>
      </c>
    </row>
    <row r="14">
      <c r="A14" t="inlineStr">
        <is>
          <t>SEFB01</t>
        </is>
      </c>
      <c r="B14" s="15" t="inlineStr">
        <is>
          <t>Bread</t>
        </is>
      </c>
      <c r="C14" t="inlineStr">
        <is>
          <t>SEFB</t>
        </is>
      </c>
      <c r="D14" t="n">
        <v>5</v>
      </c>
      <c r="E14" t="b">
        <v>0</v>
      </c>
      <c r="F14" t="n">
        <v>13</v>
      </c>
    </row>
    <row r="15">
      <c r="A15" t="inlineStr">
        <is>
          <t>SS02011</t>
        </is>
      </c>
      <c r="B15" s="16" t="inlineStr">
        <is>
          <t>White bread</t>
        </is>
      </c>
      <c r="C15" t="inlineStr">
        <is>
          <t>SEFB01</t>
        </is>
      </c>
      <c r="D15" t="n">
        <v>6</v>
      </c>
      <c r="E15" t="b">
        <v>1</v>
      </c>
      <c r="F15" t="n">
        <v>14</v>
      </c>
    </row>
    <row r="16">
      <c r="A16" t="inlineStr">
        <is>
          <t>SS02021</t>
        </is>
      </c>
      <c r="B16" s="16" t="inlineStr">
        <is>
          <t>Bread other than white</t>
        </is>
      </c>
      <c r="C16" t="inlineStr">
        <is>
          <t>SEFB01</t>
        </is>
      </c>
      <c r="D16" t="n">
        <v>6</v>
      </c>
      <c r="E16" t="b">
        <v>1</v>
      </c>
      <c r="F16" t="n">
        <v>15</v>
      </c>
    </row>
    <row r="17">
      <c r="A17" t="inlineStr">
        <is>
          <t>SEFB02</t>
        </is>
      </c>
      <c r="B17" s="15" t="inlineStr">
        <is>
          <t>Fresh biscuits, rolls, muffins</t>
        </is>
      </c>
      <c r="C17" t="inlineStr">
        <is>
          <t>SEFB</t>
        </is>
      </c>
      <c r="D17" t="n">
        <v>5</v>
      </c>
      <c r="E17" t="b">
        <v>1</v>
      </c>
      <c r="F17" t="n">
        <v>16</v>
      </c>
    </row>
    <row r="18">
      <c r="A18" t="inlineStr">
        <is>
          <t>SEFB03</t>
        </is>
      </c>
      <c r="B18" s="15" t="inlineStr">
        <is>
          <t>Cakes, cupcakes, and cookies</t>
        </is>
      </c>
      <c r="C18" t="inlineStr">
        <is>
          <t>SEFB</t>
        </is>
      </c>
      <c r="D18" t="n">
        <v>5</v>
      </c>
      <c r="E18" t="b">
        <v>0</v>
      </c>
      <c r="F18" t="n">
        <v>17</v>
      </c>
    </row>
    <row r="19">
      <c r="A19" t="inlineStr">
        <is>
          <t>SS02041</t>
        </is>
      </c>
      <c r="B19" s="16" t="inlineStr">
        <is>
          <t>Fresh cakes and cupcakes</t>
        </is>
      </c>
      <c r="C19" t="inlineStr">
        <is>
          <t>SEFB03</t>
        </is>
      </c>
      <c r="D19" t="n">
        <v>6</v>
      </c>
      <c r="E19" t="b">
        <v>1</v>
      </c>
      <c r="F19" t="n">
        <v>18</v>
      </c>
    </row>
    <row r="20">
      <c r="A20" t="inlineStr">
        <is>
          <t>SS02042</t>
        </is>
      </c>
      <c r="B20" s="16" t="inlineStr">
        <is>
          <t>Cookies</t>
        </is>
      </c>
      <c r="C20" t="inlineStr">
        <is>
          <t>SEFB03</t>
        </is>
      </c>
      <c r="D20" t="n">
        <v>6</v>
      </c>
      <c r="E20" t="b">
        <v>1</v>
      </c>
      <c r="F20" t="n">
        <v>19</v>
      </c>
    </row>
    <row r="21">
      <c r="A21" t="inlineStr">
        <is>
          <t>SEFB04</t>
        </is>
      </c>
      <c r="B21" s="15" t="inlineStr">
        <is>
          <t>Other bakery products</t>
        </is>
      </c>
      <c r="C21" t="inlineStr">
        <is>
          <t>SEFB</t>
        </is>
      </c>
      <c r="D21" t="n">
        <v>5</v>
      </c>
      <c r="E21" t="b">
        <v>0</v>
      </c>
      <c r="F21" t="n">
        <v>20</v>
      </c>
    </row>
    <row r="22">
      <c r="A22" t="inlineStr">
        <is>
          <t>SS02063</t>
        </is>
      </c>
      <c r="B22" s="16" t="inlineStr">
        <is>
          <t>Fresh sweetrolls, coffeecakes, doughnuts</t>
        </is>
      </c>
      <c r="C22" t="inlineStr">
        <is>
          <t>SEFB04</t>
        </is>
      </c>
      <c r="D22" t="n">
        <v>6</v>
      </c>
      <c r="E22" t="b">
        <v>1</v>
      </c>
      <c r="F22" t="n">
        <v>21</v>
      </c>
    </row>
    <row r="23">
      <c r="A23" t="inlineStr">
        <is>
          <t>SS0206A</t>
        </is>
      </c>
      <c r="B23" s="16" t="inlineStr">
        <is>
          <t>Crackers, bread, and cracker products</t>
        </is>
      </c>
      <c r="C23" t="inlineStr">
        <is>
          <t>SEFB04</t>
        </is>
      </c>
      <c r="D23" t="n">
        <v>6</v>
      </c>
      <c r="E23" t="b">
        <v>1</v>
      </c>
      <c r="F23" t="n">
        <v>22</v>
      </c>
    </row>
    <row r="24">
      <c r="A24" t="inlineStr">
        <is>
          <t>SS0206B</t>
        </is>
      </c>
      <c r="B24" s="16" t="inlineStr">
        <is>
          <t>Frozen and refrigerated bakery products, pies, tarts, turnovers</t>
        </is>
      </c>
      <c r="C24" t="inlineStr">
        <is>
          <t>SEFB04</t>
        </is>
      </c>
      <c r="D24" t="n">
        <v>6</v>
      </c>
      <c r="E24" t="b">
        <v>1</v>
      </c>
      <c r="F24" t="n">
        <v>23</v>
      </c>
    </row>
    <row r="25">
      <c r="A25" t="inlineStr">
        <is>
          <t>SAF112</t>
        </is>
      </c>
      <c r="B25" s="13" t="inlineStr">
        <is>
          <t>Meats, poultry, fish, and eggs</t>
        </is>
      </c>
      <c r="C25" t="inlineStr">
        <is>
          <t>SAF11</t>
        </is>
      </c>
      <c r="D25" t="n">
        <v>3</v>
      </c>
      <c r="E25" t="b">
        <v>0</v>
      </c>
      <c r="F25" t="n">
        <v>24</v>
      </c>
    </row>
    <row r="26">
      <c r="A26" t="inlineStr">
        <is>
          <t>SAF1121</t>
        </is>
      </c>
      <c r="B26" s="14" t="inlineStr">
        <is>
          <t>Meats, poultry, and fish</t>
        </is>
      </c>
      <c r="C26" t="inlineStr">
        <is>
          <t>SAF112</t>
        </is>
      </c>
      <c r="D26" t="n">
        <v>4</v>
      </c>
      <c r="E26" t="b">
        <v>0</v>
      </c>
      <c r="F26" t="n">
        <v>25</v>
      </c>
    </row>
    <row r="27">
      <c r="A27" t="inlineStr">
        <is>
          <t>SAF11211</t>
        </is>
      </c>
      <c r="B27" s="15" t="inlineStr">
        <is>
          <t>Meats</t>
        </is>
      </c>
      <c r="C27" t="inlineStr">
        <is>
          <t>SAF1121</t>
        </is>
      </c>
      <c r="D27" t="n">
        <v>5</v>
      </c>
      <c r="E27" t="b">
        <v>0</v>
      </c>
      <c r="F27" t="n">
        <v>26</v>
      </c>
    </row>
    <row r="28">
      <c r="A28" t="inlineStr">
        <is>
          <t>SEFC</t>
        </is>
      </c>
      <c r="B28" s="16" t="inlineStr">
        <is>
          <t>Beef and veal</t>
        </is>
      </c>
      <c r="C28" t="inlineStr">
        <is>
          <t>SAF11211</t>
        </is>
      </c>
      <c r="D28" t="n">
        <v>6</v>
      </c>
      <c r="E28" t="b">
        <v>0</v>
      </c>
      <c r="F28" t="n">
        <v>27</v>
      </c>
    </row>
    <row r="29">
      <c r="A29" t="inlineStr">
        <is>
          <t>SEFC01</t>
        </is>
      </c>
      <c r="B29" s="17" t="inlineStr">
        <is>
          <t>Uncooked ground beef</t>
        </is>
      </c>
      <c r="C29" t="inlineStr">
        <is>
          <t>SEFC</t>
        </is>
      </c>
      <c r="D29" t="n">
        <v>7</v>
      </c>
      <c r="E29" t="b">
        <v>1</v>
      </c>
      <c r="F29" t="n">
        <v>28</v>
      </c>
    </row>
    <row r="30">
      <c r="A30" t="inlineStr">
        <is>
          <t>SEFC02</t>
        </is>
      </c>
      <c r="B30" s="17" t="inlineStr">
        <is>
          <t>Uncooked beef roasts</t>
        </is>
      </c>
      <c r="C30" t="inlineStr">
        <is>
          <t>SEFC</t>
        </is>
      </c>
      <c r="D30" t="n">
        <v>7</v>
      </c>
      <c r="E30" t="b">
        <v>1</v>
      </c>
      <c r="F30" t="n">
        <v>29</v>
      </c>
    </row>
    <row r="31">
      <c r="A31" t="inlineStr">
        <is>
          <t>SEFC03</t>
        </is>
      </c>
      <c r="B31" s="17" t="inlineStr">
        <is>
          <t>Uncooked beef steaks</t>
        </is>
      </c>
      <c r="C31" t="inlineStr">
        <is>
          <t>SEFC</t>
        </is>
      </c>
      <c r="D31" t="n">
        <v>7</v>
      </c>
      <c r="E31" t="b">
        <v>1</v>
      </c>
      <c r="F31" t="n">
        <v>30</v>
      </c>
    </row>
    <row r="32">
      <c r="A32" t="inlineStr">
        <is>
          <t>SEFC04</t>
        </is>
      </c>
      <c r="B32" s="17" t="inlineStr">
        <is>
          <t>Uncooked other beef and veal</t>
        </is>
      </c>
      <c r="C32" t="inlineStr">
        <is>
          <t>SEFC</t>
        </is>
      </c>
      <c r="D32" t="n">
        <v>7</v>
      </c>
      <c r="E32" t="b">
        <v>1</v>
      </c>
      <c r="F32" t="n">
        <v>31</v>
      </c>
    </row>
    <row r="33">
      <c r="A33" t="inlineStr">
        <is>
          <t>SEFD</t>
        </is>
      </c>
      <c r="B33" s="16" t="inlineStr">
        <is>
          <t>Pork</t>
        </is>
      </c>
      <c r="C33" t="inlineStr">
        <is>
          <t>SAF11211</t>
        </is>
      </c>
      <c r="D33" t="n">
        <v>6</v>
      </c>
      <c r="E33" t="b">
        <v>0</v>
      </c>
      <c r="F33" t="n">
        <v>32</v>
      </c>
    </row>
    <row r="34">
      <c r="A34" t="inlineStr">
        <is>
          <t>SEFD01</t>
        </is>
      </c>
      <c r="B34" s="17" t="inlineStr">
        <is>
          <t>Bacon, breakfast sausage, and related products</t>
        </is>
      </c>
      <c r="C34" t="inlineStr">
        <is>
          <t>SEFD</t>
        </is>
      </c>
      <c r="D34" t="n">
        <v>7</v>
      </c>
      <c r="E34" t="b">
        <v>0</v>
      </c>
      <c r="F34" t="n">
        <v>33</v>
      </c>
    </row>
    <row r="35">
      <c r="A35" t="inlineStr">
        <is>
          <t>SS04011</t>
        </is>
      </c>
      <c r="B35" s="18" t="inlineStr">
        <is>
          <t>Bacon and related products</t>
        </is>
      </c>
      <c r="C35" t="inlineStr">
        <is>
          <t>SEFD01</t>
        </is>
      </c>
      <c r="D35" t="n">
        <v>8</v>
      </c>
      <c r="E35" t="b">
        <v>1</v>
      </c>
      <c r="F35" t="n">
        <v>34</v>
      </c>
    </row>
    <row r="36">
      <c r="A36" t="inlineStr">
        <is>
          <t>SS04012</t>
        </is>
      </c>
      <c r="B36" s="18" t="inlineStr">
        <is>
          <t>Breakfast sausage and related products</t>
        </is>
      </c>
      <c r="C36" t="inlineStr">
        <is>
          <t>SEFD01</t>
        </is>
      </c>
      <c r="D36" t="n">
        <v>8</v>
      </c>
      <c r="E36" t="b">
        <v>1</v>
      </c>
      <c r="F36" t="n">
        <v>35</v>
      </c>
    </row>
    <row r="37">
      <c r="A37" t="inlineStr">
        <is>
          <t>SEFD02</t>
        </is>
      </c>
      <c r="B37" s="17" t="inlineStr">
        <is>
          <t>Ham</t>
        </is>
      </c>
      <c r="C37" t="inlineStr">
        <is>
          <t>SEFD</t>
        </is>
      </c>
      <c r="D37" t="n">
        <v>7</v>
      </c>
      <c r="E37" t="b">
        <v>0</v>
      </c>
      <c r="F37" t="n">
        <v>36</v>
      </c>
    </row>
    <row r="38">
      <c r="A38" t="inlineStr">
        <is>
          <t>SS04031</t>
        </is>
      </c>
      <c r="B38" s="18" t="inlineStr">
        <is>
          <t>Ham, excluding canned</t>
        </is>
      </c>
      <c r="C38" t="inlineStr">
        <is>
          <t>SEFD02</t>
        </is>
      </c>
      <c r="D38" t="n">
        <v>8</v>
      </c>
      <c r="E38" t="b">
        <v>1</v>
      </c>
      <c r="F38" t="n">
        <v>37</v>
      </c>
    </row>
    <row r="39">
      <c r="A39" t="inlineStr">
        <is>
          <t>SEFD03</t>
        </is>
      </c>
      <c r="B39" s="17" t="inlineStr">
        <is>
          <t>Pork chops</t>
        </is>
      </c>
      <c r="C39" t="inlineStr">
        <is>
          <t>SEFD</t>
        </is>
      </c>
      <c r="D39" t="n">
        <v>7</v>
      </c>
      <c r="E39" t="b">
        <v>1</v>
      </c>
      <c r="F39" t="n">
        <v>38</v>
      </c>
    </row>
    <row r="40">
      <c r="A40" t="inlineStr">
        <is>
          <t>SEFD04</t>
        </is>
      </c>
      <c r="B40" s="17" t="inlineStr">
        <is>
          <t>Other pork including roasts, steaks, and ribs</t>
        </is>
      </c>
      <c r="C40" t="inlineStr">
        <is>
          <t>SEFD</t>
        </is>
      </c>
      <c r="D40" t="n">
        <v>7</v>
      </c>
      <c r="E40" t="b">
        <v>1</v>
      </c>
      <c r="F40" t="n">
        <v>39</v>
      </c>
    </row>
    <row r="41">
      <c r="A41" t="inlineStr">
        <is>
          <t>SEFE</t>
        </is>
      </c>
      <c r="B41" s="16" t="inlineStr">
        <is>
          <t>Other meats</t>
        </is>
      </c>
      <c r="C41" t="inlineStr">
        <is>
          <t>SAF11211</t>
        </is>
      </c>
      <c r="D41" t="n">
        <v>6</v>
      </c>
      <c r="E41" t="b">
        <v>0</v>
      </c>
      <c r="F41" t="n">
        <v>40</v>
      </c>
    </row>
    <row r="42">
      <c r="A42" t="inlineStr">
        <is>
          <t>SS05011</t>
        </is>
      </c>
      <c r="B42" s="17" t="inlineStr">
        <is>
          <t>Frankfurters</t>
        </is>
      </c>
      <c r="C42" t="inlineStr">
        <is>
          <t>SEFE</t>
        </is>
      </c>
      <c r="D42" t="n">
        <v>7</v>
      </c>
      <c r="E42" t="b">
        <v>1</v>
      </c>
      <c r="F42" t="n">
        <v>41</v>
      </c>
    </row>
    <row r="43">
      <c r="A43" t="inlineStr">
        <is>
          <t>SS0501A</t>
        </is>
      </c>
      <c r="B43" s="17" t="inlineStr">
        <is>
          <t>Lunchmeats</t>
        </is>
      </c>
      <c r="C43" t="inlineStr">
        <is>
          <t>SEFE</t>
        </is>
      </c>
      <c r="D43" t="n">
        <v>7</v>
      </c>
      <c r="E43" t="b">
        <v>1</v>
      </c>
      <c r="F43" t="n">
        <v>42</v>
      </c>
    </row>
    <row r="44">
      <c r="A44" t="inlineStr">
        <is>
          <t>SS05014</t>
        </is>
      </c>
      <c r="B44" s="17" t="inlineStr">
        <is>
          <t>Lamb and organ meats</t>
        </is>
      </c>
      <c r="C44" t="inlineStr">
        <is>
          <t>SEFE</t>
        </is>
      </c>
      <c r="D44" t="n">
        <v>7</v>
      </c>
      <c r="E44" t="b">
        <v>1</v>
      </c>
      <c r="F44" t="n">
        <v>43</v>
      </c>
    </row>
    <row r="45">
      <c r="A45" t="inlineStr">
        <is>
          <t>SS05015</t>
        </is>
      </c>
      <c r="B45" s="17" t="inlineStr">
        <is>
          <t>Lamb and mutton</t>
        </is>
      </c>
      <c r="C45" t="inlineStr">
        <is>
          <t>SEFE</t>
        </is>
      </c>
      <c r="D45" t="n">
        <v>7</v>
      </c>
      <c r="E45" t="b">
        <v>1</v>
      </c>
      <c r="F45" t="n">
        <v>44</v>
      </c>
    </row>
    <row r="46">
      <c r="A46" t="inlineStr">
        <is>
          <t>SEFF</t>
        </is>
      </c>
      <c r="B46" s="16" t="inlineStr">
        <is>
          <t>Poultry</t>
        </is>
      </c>
      <c r="C46" t="inlineStr">
        <is>
          <t>SAF11211</t>
        </is>
      </c>
      <c r="D46" t="n">
        <v>6</v>
      </c>
      <c r="E46" t="b">
        <v>0</v>
      </c>
      <c r="F46" t="n">
        <v>45</v>
      </c>
    </row>
    <row r="47">
      <c r="A47" t="inlineStr">
        <is>
          <t>SEFF01</t>
        </is>
      </c>
      <c r="B47" s="17" t="inlineStr">
        <is>
          <t>Chicken</t>
        </is>
      </c>
      <c r="C47" t="inlineStr">
        <is>
          <t>SEFF</t>
        </is>
      </c>
      <c r="D47" t="n">
        <v>7</v>
      </c>
      <c r="E47" t="b">
        <v>1</v>
      </c>
      <c r="F47" t="n">
        <v>46</v>
      </c>
    </row>
    <row r="48">
      <c r="A48" t="inlineStr">
        <is>
          <t>SS06011</t>
        </is>
      </c>
      <c r="B48" s="17" t="inlineStr">
        <is>
          <t>Fresh whole chicken</t>
        </is>
      </c>
      <c r="C48" t="inlineStr">
        <is>
          <t>SEFF</t>
        </is>
      </c>
      <c r="D48" t="n">
        <v>7</v>
      </c>
      <c r="E48" t="b">
        <v>1</v>
      </c>
      <c r="F48" t="n">
        <v>47</v>
      </c>
    </row>
    <row r="49">
      <c r="A49" t="inlineStr">
        <is>
          <t>SS06021</t>
        </is>
      </c>
      <c r="B49" s="17" t="inlineStr">
        <is>
          <t>Fresh and frozen chicken parts</t>
        </is>
      </c>
      <c r="C49" t="inlineStr">
        <is>
          <t>SEFF</t>
        </is>
      </c>
      <c r="D49" t="n">
        <v>7</v>
      </c>
      <c r="E49" t="b">
        <v>1</v>
      </c>
      <c r="F49" t="n">
        <v>48</v>
      </c>
    </row>
    <row r="50">
      <c r="A50" t="inlineStr">
        <is>
          <t>SEFF02</t>
        </is>
      </c>
      <c r="B50" s="16" t="inlineStr">
        <is>
          <t>Other uncooked poultry including turkey</t>
        </is>
      </c>
      <c r="C50" t="inlineStr">
        <is>
          <t>SAF11211</t>
        </is>
      </c>
      <c r="D50" t="n">
        <v>6</v>
      </c>
      <c r="E50" t="b">
        <v>1</v>
      </c>
      <c r="F50" t="n">
        <v>49</v>
      </c>
    </row>
    <row r="51">
      <c r="A51" t="inlineStr">
        <is>
          <t>SEFG</t>
        </is>
      </c>
      <c r="B51" s="15" t="inlineStr">
        <is>
          <t>Fish and seafood</t>
        </is>
      </c>
      <c r="C51" t="inlineStr">
        <is>
          <t>SAF1121</t>
        </is>
      </c>
      <c r="D51" t="n">
        <v>5</v>
      </c>
      <c r="E51" t="b">
        <v>0</v>
      </c>
      <c r="F51" t="n">
        <v>50</v>
      </c>
    </row>
    <row r="52">
      <c r="A52" t="inlineStr">
        <is>
          <t>SEFG01</t>
        </is>
      </c>
      <c r="B52" s="16" t="inlineStr">
        <is>
          <t>Fresh fish and seafood</t>
        </is>
      </c>
      <c r="C52" t="inlineStr">
        <is>
          <t>SEFG</t>
        </is>
      </c>
      <c r="D52" t="n">
        <v>6</v>
      </c>
      <c r="E52" t="b">
        <v>1</v>
      </c>
      <c r="F52" t="n">
        <v>51</v>
      </c>
    </row>
    <row r="53">
      <c r="A53" t="inlineStr">
        <is>
          <t>SEFG02</t>
        </is>
      </c>
      <c r="B53" s="16" t="inlineStr">
        <is>
          <t>Processed fish and seafood</t>
        </is>
      </c>
      <c r="C53" t="inlineStr">
        <is>
          <t>SEFG</t>
        </is>
      </c>
      <c r="D53" t="n">
        <v>6</v>
      </c>
      <c r="E53" t="b">
        <v>0</v>
      </c>
      <c r="F53" t="n">
        <v>52</v>
      </c>
    </row>
    <row r="54">
      <c r="A54" t="inlineStr">
        <is>
          <t>SS07011</t>
        </is>
      </c>
      <c r="B54" s="17" t="inlineStr">
        <is>
          <t>Shelf stable fish and seafood</t>
        </is>
      </c>
      <c r="C54" t="inlineStr">
        <is>
          <t>SEFG02</t>
        </is>
      </c>
      <c r="D54" t="n">
        <v>7</v>
      </c>
      <c r="E54" t="b">
        <v>1</v>
      </c>
      <c r="F54" t="n">
        <v>53</v>
      </c>
    </row>
    <row r="55">
      <c r="A55" t="inlineStr">
        <is>
          <t>SS07021</t>
        </is>
      </c>
      <c r="B55" s="17" t="inlineStr">
        <is>
          <t>Frozen fish and seafood</t>
        </is>
      </c>
      <c r="C55" t="inlineStr">
        <is>
          <t>SEFG02</t>
        </is>
      </c>
      <c r="D55" t="n">
        <v>7</v>
      </c>
      <c r="E55" t="b">
        <v>1</v>
      </c>
      <c r="F55" t="n">
        <v>54</v>
      </c>
    </row>
    <row r="56">
      <c r="A56" t="inlineStr">
        <is>
          <t>SEFH</t>
        </is>
      </c>
      <c r="B56" s="14" t="inlineStr">
        <is>
          <t>Eggs</t>
        </is>
      </c>
      <c r="C56" t="inlineStr">
        <is>
          <t>SAF112</t>
        </is>
      </c>
      <c r="D56" t="n">
        <v>4</v>
      </c>
      <c r="E56" t="b">
        <v>1</v>
      </c>
      <c r="F56" t="n">
        <v>55</v>
      </c>
    </row>
    <row r="57">
      <c r="A57" t="inlineStr">
        <is>
          <t>SEFJ</t>
        </is>
      </c>
      <c r="B57" s="13" t="inlineStr">
        <is>
          <t>Dairy and related products</t>
        </is>
      </c>
      <c r="C57" t="inlineStr">
        <is>
          <t>SAF11</t>
        </is>
      </c>
      <c r="D57" t="n">
        <v>3</v>
      </c>
      <c r="E57" t="b">
        <v>0</v>
      </c>
      <c r="F57" t="n">
        <v>56</v>
      </c>
    </row>
    <row r="58">
      <c r="A58" t="inlineStr">
        <is>
          <t>SEFJ01</t>
        </is>
      </c>
      <c r="B58" s="14" t="inlineStr">
        <is>
          <t>Milk</t>
        </is>
      </c>
      <c r="C58" t="inlineStr">
        <is>
          <t>SEFJ</t>
        </is>
      </c>
      <c r="D58" t="n">
        <v>4</v>
      </c>
      <c r="E58" t="b">
        <v>0</v>
      </c>
      <c r="F58" t="n">
        <v>57</v>
      </c>
    </row>
    <row r="59">
      <c r="A59" t="inlineStr">
        <is>
          <t>SS09011</t>
        </is>
      </c>
      <c r="B59" s="15" t="inlineStr">
        <is>
          <t>Fresh whole milk</t>
        </is>
      </c>
      <c r="C59" t="inlineStr">
        <is>
          <t>SEFJ01</t>
        </is>
      </c>
      <c r="D59" t="n">
        <v>5</v>
      </c>
      <c r="E59" t="b">
        <v>1</v>
      </c>
      <c r="F59" t="n">
        <v>58</v>
      </c>
    </row>
    <row r="60">
      <c r="A60" t="inlineStr">
        <is>
          <t>SS09021</t>
        </is>
      </c>
      <c r="B60" s="15" t="inlineStr">
        <is>
          <t>Fresh milk other than whole</t>
        </is>
      </c>
      <c r="C60" t="inlineStr">
        <is>
          <t>SEFJ01</t>
        </is>
      </c>
      <c r="D60" t="n">
        <v>5</v>
      </c>
      <c r="E60" t="b">
        <v>1</v>
      </c>
      <c r="F60" t="n">
        <v>59</v>
      </c>
    </row>
    <row r="61">
      <c r="A61" t="inlineStr">
        <is>
          <t>SEFJ02</t>
        </is>
      </c>
      <c r="B61" s="14" t="inlineStr">
        <is>
          <t>Cheese and related products</t>
        </is>
      </c>
      <c r="C61" t="inlineStr">
        <is>
          <t>SEFJ</t>
        </is>
      </c>
      <c r="D61" t="n">
        <v>4</v>
      </c>
      <c r="E61" t="b">
        <v>1</v>
      </c>
      <c r="F61" t="n">
        <v>60</v>
      </c>
    </row>
    <row r="62">
      <c r="A62" t="inlineStr">
        <is>
          <t>SEFJ03</t>
        </is>
      </c>
      <c r="B62" s="14" t="inlineStr">
        <is>
          <t>Ice cream and related products</t>
        </is>
      </c>
      <c r="C62" t="inlineStr">
        <is>
          <t>SEFJ</t>
        </is>
      </c>
      <c r="D62" t="n">
        <v>4</v>
      </c>
      <c r="E62" t="b">
        <v>1</v>
      </c>
      <c r="F62" t="n">
        <v>61</v>
      </c>
    </row>
    <row r="63">
      <c r="A63" t="inlineStr">
        <is>
          <t>SEFJ04</t>
        </is>
      </c>
      <c r="B63" s="14" t="inlineStr">
        <is>
          <t>Other dairy and related products</t>
        </is>
      </c>
      <c r="C63" t="inlineStr">
        <is>
          <t>SEFJ</t>
        </is>
      </c>
      <c r="D63" t="n">
        <v>4</v>
      </c>
      <c r="E63" t="b">
        <v>1</v>
      </c>
      <c r="F63" t="n">
        <v>62</v>
      </c>
    </row>
    <row r="64">
      <c r="A64" t="inlineStr">
        <is>
          <t>SAF113</t>
        </is>
      </c>
      <c r="B64" s="13" t="inlineStr">
        <is>
          <t>Fruits and vegetables</t>
        </is>
      </c>
      <c r="C64" t="inlineStr">
        <is>
          <t>SAF11</t>
        </is>
      </c>
      <c r="D64" t="n">
        <v>3</v>
      </c>
      <c r="E64" t="b">
        <v>0</v>
      </c>
      <c r="F64" t="n">
        <v>63</v>
      </c>
    </row>
    <row r="65">
      <c r="A65" t="inlineStr">
        <is>
          <t>SAF1131</t>
        </is>
      </c>
      <c r="B65" s="14" t="inlineStr">
        <is>
          <t>Fresh fruits and vegetables</t>
        </is>
      </c>
      <c r="C65" t="inlineStr">
        <is>
          <t>SAF113</t>
        </is>
      </c>
      <c r="D65" t="n">
        <v>4</v>
      </c>
      <c r="E65" t="b">
        <v>0</v>
      </c>
      <c r="F65" t="n">
        <v>64</v>
      </c>
    </row>
    <row r="66">
      <c r="A66" t="inlineStr">
        <is>
          <t>SEFK</t>
        </is>
      </c>
      <c r="B66" s="15" t="inlineStr">
        <is>
          <t>Fresh fruits</t>
        </is>
      </c>
      <c r="C66" t="inlineStr">
        <is>
          <t>SAF1131</t>
        </is>
      </c>
      <c r="D66" t="n">
        <v>5</v>
      </c>
      <c r="E66" t="b">
        <v>0</v>
      </c>
      <c r="F66" t="n">
        <v>65</v>
      </c>
    </row>
    <row r="67">
      <c r="A67" t="inlineStr">
        <is>
          <t>SEFK01</t>
        </is>
      </c>
      <c r="B67" s="16" t="inlineStr">
        <is>
          <t>Apples</t>
        </is>
      </c>
      <c r="C67" t="inlineStr">
        <is>
          <t>SEFK</t>
        </is>
      </c>
      <c r="D67" t="n">
        <v>6</v>
      </c>
      <c r="E67" t="b">
        <v>1</v>
      </c>
      <c r="F67" t="n">
        <v>66</v>
      </c>
    </row>
    <row r="68">
      <c r="A68" t="inlineStr">
        <is>
          <t>SEFK02</t>
        </is>
      </c>
      <c r="B68" s="16" t="inlineStr">
        <is>
          <t>Bananas</t>
        </is>
      </c>
      <c r="C68" t="inlineStr">
        <is>
          <t>SEFK</t>
        </is>
      </c>
      <c r="D68" t="n">
        <v>6</v>
      </c>
      <c r="E68" t="b">
        <v>1</v>
      </c>
      <c r="F68" t="n">
        <v>67</v>
      </c>
    </row>
    <row r="69">
      <c r="A69" t="inlineStr">
        <is>
          <t>SEFK03</t>
        </is>
      </c>
      <c r="B69" s="16" t="inlineStr">
        <is>
          <t>Citrus fruits</t>
        </is>
      </c>
      <c r="C69" t="inlineStr">
        <is>
          <t>SEFK</t>
        </is>
      </c>
      <c r="D69" t="n">
        <v>6</v>
      </c>
      <c r="E69" t="b">
        <v>0</v>
      </c>
      <c r="F69" t="n">
        <v>68</v>
      </c>
    </row>
    <row r="70">
      <c r="A70" t="inlineStr">
        <is>
          <t>SS11031</t>
        </is>
      </c>
      <c r="B70" s="17" t="inlineStr">
        <is>
          <t>Oranges, including tangerines</t>
        </is>
      </c>
      <c r="C70" t="inlineStr">
        <is>
          <t>SEFK03</t>
        </is>
      </c>
      <c r="D70" t="n">
        <v>7</v>
      </c>
      <c r="E70" t="b">
        <v>1</v>
      </c>
      <c r="F70" t="n">
        <v>69</v>
      </c>
    </row>
    <row r="71">
      <c r="A71" t="inlineStr">
        <is>
          <t>SEFK04</t>
        </is>
      </c>
      <c r="B71" s="16" t="inlineStr">
        <is>
          <t>Other fresh fruits</t>
        </is>
      </c>
      <c r="C71" t="inlineStr">
        <is>
          <t>SEFK</t>
        </is>
      </c>
      <c r="D71" t="n">
        <v>6</v>
      </c>
      <c r="E71" t="b">
        <v>1</v>
      </c>
      <c r="F71" t="n">
        <v>70</v>
      </c>
    </row>
    <row r="72">
      <c r="A72" t="inlineStr">
        <is>
          <t>SEFL</t>
        </is>
      </c>
      <c r="B72" s="15" t="inlineStr">
        <is>
          <t>Fresh vegetables</t>
        </is>
      </c>
      <c r="C72" t="inlineStr">
        <is>
          <t>SAF1131</t>
        </is>
      </c>
      <c r="D72" t="n">
        <v>5</v>
      </c>
      <c r="E72" t="b">
        <v>0</v>
      </c>
      <c r="F72" t="n">
        <v>71</v>
      </c>
    </row>
    <row r="73">
      <c r="A73" t="inlineStr">
        <is>
          <t>SEFL01</t>
        </is>
      </c>
      <c r="B73" s="16" t="inlineStr">
        <is>
          <t>Potatoes</t>
        </is>
      </c>
      <c r="C73" t="inlineStr">
        <is>
          <t>SEFL</t>
        </is>
      </c>
      <c r="D73" t="n">
        <v>6</v>
      </c>
      <c r="E73" t="b">
        <v>1</v>
      </c>
      <c r="F73" t="n">
        <v>72</v>
      </c>
    </row>
    <row r="74">
      <c r="A74" t="inlineStr">
        <is>
          <t>SEFL02</t>
        </is>
      </c>
      <c r="B74" s="16" t="inlineStr">
        <is>
          <t>Lettuce</t>
        </is>
      </c>
      <c r="C74" t="inlineStr">
        <is>
          <t>SEFL</t>
        </is>
      </c>
      <c r="D74" t="n">
        <v>6</v>
      </c>
      <c r="E74" t="b">
        <v>1</v>
      </c>
      <c r="F74" t="n">
        <v>73</v>
      </c>
    </row>
    <row r="75">
      <c r="A75" t="inlineStr">
        <is>
          <t>SEFL03</t>
        </is>
      </c>
      <c r="B75" s="16" t="inlineStr">
        <is>
          <t>Tomatoes</t>
        </is>
      </c>
      <c r="C75" t="inlineStr">
        <is>
          <t>SEFL</t>
        </is>
      </c>
      <c r="D75" t="n">
        <v>6</v>
      </c>
      <c r="E75" t="b">
        <v>1</v>
      </c>
      <c r="F75" t="n">
        <v>74</v>
      </c>
    </row>
    <row r="76">
      <c r="A76" t="inlineStr">
        <is>
          <t>SEFL04</t>
        </is>
      </c>
      <c r="B76" s="16" t="inlineStr">
        <is>
          <t>Other fresh vegetables</t>
        </is>
      </c>
      <c r="C76" t="inlineStr">
        <is>
          <t>SEFL</t>
        </is>
      </c>
      <c r="D76" t="n">
        <v>6</v>
      </c>
      <c r="E76" t="b">
        <v>1</v>
      </c>
      <c r="F76" t="n">
        <v>75</v>
      </c>
    </row>
    <row r="77">
      <c r="A77" t="inlineStr">
        <is>
          <t>SEFM</t>
        </is>
      </c>
      <c r="B77" s="14" t="inlineStr">
        <is>
          <t>Processed fruits and vegetables</t>
        </is>
      </c>
      <c r="C77" t="inlineStr">
        <is>
          <t>SAF113</t>
        </is>
      </c>
      <c r="D77" t="n">
        <v>4</v>
      </c>
      <c r="E77" t="b">
        <v>0</v>
      </c>
      <c r="F77" t="n">
        <v>76</v>
      </c>
    </row>
    <row r="78">
      <c r="A78" t="inlineStr">
        <is>
          <t>SEFM01</t>
        </is>
      </c>
      <c r="B78" s="15" t="inlineStr">
        <is>
          <t>Canned fruits and vegetables</t>
        </is>
      </c>
      <c r="C78" t="inlineStr">
        <is>
          <t>SEFM</t>
        </is>
      </c>
      <c r="D78" t="n">
        <v>5</v>
      </c>
      <c r="E78" t="b">
        <v>0</v>
      </c>
      <c r="F78" t="n">
        <v>77</v>
      </c>
    </row>
    <row r="79">
      <c r="A79" t="inlineStr">
        <is>
          <t>SS13031</t>
        </is>
      </c>
      <c r="B79" s="16" t="inlineStr">
        <is>
          <t>Canned fruits</t>
        </is>
      </c>
      <c r="C79" t="inlineStr">
        <is>
          <t>SEFM01</t>
        </is>
      </c>
      <c r="D79" t="n">
        <v>6</v>
      </c>
      <c r="E79" t="b">
        <v>1</v>
      </c>
      <c r="F79" t="n">
        <v>78</v>
      </c>
    </row>
    <row r="80">
      <c r="A80" t="inlineStr">
        <is>
          <t>SS14021</t>
        </is>
      </c>
      <c r="B80" s="16" t="inlineStr">
        <is>
          <t>Canned vegetables</t>
        </is>
      </c>
      <c r="C80" t="inlineStr">
        <is>
          <t>SEFM01</t>
        </is>
      </c>
      <c r="D80" t="n">
        <v>6</v>
      </c>
      <c r="E80" t="b">
        <v>1</v>
      </c>
      <c r="F80" t="n">
        <v>79</v>
      </c>
    </row>
    <row r="81">
      <c r="A81" t="inlineStr">
        <is>
          <t>SEFM02</t>
        </is>
      </c>
      <c r="B81" s="15" t="inlineStr">
        <is>
          <t>Frozen fruits and vegetables</t>
        </is>
      </c>
      <c r="C81" t="inlineStr">
        <is>
          <t>SEFM</t>
        </is>
      </c>
      <c r="D81" t="n">
        <v>5</v>
      </c>
      <c r="E81" t="b">
        <v>0</v>
      </c>
      <c r="F81" t="n">
        <v>80</v>
      </c>
    </row>
    <row r="82">
      <c r="A82" t="inlineStr">
        <is>
          <t>SS14011</t>
        </is>
      </c>
      <c r="B82" s="16" t="inlineStr">
        <is>
          <t>Frozen vegetables</t>
        </is>
      </c>
      <c r="C82" t="inlineStr">
        <is>
          <t>SEFM02</t>
        </is>
      </c>
      <c r="D82" t="n">
        <v>6</v>
      </c>
      <c r="E82" t="b">
        <v>1</v>
      </c>
      <c r="F82" t="n">
        <v>81</v>
      </c>
    </row>
    <row r="83">
      <c r="A83" t="inlineStr">
        <is>
          <t>SEFM03</t>
        </is>
      </c>
      <c r="B83" s="15" t="inlineStr">
        <is>
          <t>Other processed fruits and vegetables including dried</t>
        </is>
      </c>
      <c r="C83" t="inlineStr">
        <is>
          <t>SEFM</t>
        </is>
      </c>
      <c r="D83" t="n">
        <v>5</v>
      </c>
      <c r="E83" t="b">
        <v>0</v>
      </c>
      <c r="F83" t="n">
        <v>82</v>
      </c>
    </row>
    <row r="84">
      <c r="A84" t="inlineStr">
        <is>
          <t>SS14022</t>
        </is>
      </c>
      <c r="B84" s="16" t="inlineStr">
        <is>
          <t>Dried beans, peas, and lentils</t>
        </is>
      </c>
      <c r="C84" t="inlineStr">
        <is>
          <t>SEFM03</t>
        </is>
      </c>
      <c r="D84" t="n">
        <v>6</v>
      </c>
      <c r="E84" t="b">
        <v>1</v>
      </c>
      <c r="F84" t="n">
        <v>83</v>
      </c>
    </row>
    <row r="85">
      <c r="A85" t="inlineStr">
        <is>
          <t>SAF114</t>
        </is>
      </c>
      <c r="B85" s="13" t="inlineStr">
        <is>
          <t>Nonalcoholic beverages and beverage materials</t>
        </is>
      </c>
      <c r="C85" t="inlineStr">
        <is>
          <t>SAF11</t>
        </is>
      </c>
      <c r="D85" t="n">
        <v>3</v>
      </c>
      <c r="E85" t="b">
        <v>0</v>
      </c>
      <c r="F85" t="n">
        <v>84</v>
      </c>
    </row>
    <row r="86">
      <c r="A86" t="inlineStr">
        <is>
          <t>SEFN</t>
        </is>
      </c>
      <c r="B86" s="14" t="inlineStr">
        <is>
          <t>Juices and nonalcoholic drinks</t>
        </is>
      </c>
      <c r="C86" t="inlineStr">
        <is>
          <t>SAF114</t>
        </is>
      </c>
      <c r="D86" t="n">
        <v>4</v>
      </c>
      <c r="E86" t="b">
        <v>0</v>
      </c>
      <c r="F86" t="n">
        <v>85</v>
      </c>
    </row>
    <row r="87">
      <c r="A87" t="inlineStr">
        <is>
          <t>SEFN01</t>
        </is>
      </c>
      <c r="B87" s="15" t="inlineStr">
        <is>
          <t>Carbonated drinks</t>
        </is>
      </c>
      <c r="C87" t="inlineStr">
        <is>
          <t>SEFN</t>
        </is>
      </c>
      <c r="D87" t="n">
        <v>5</v>
      </c>
      <c r="E87" t="b">
        <v>1</v>
      </c>
      <c r="F87" t="n">
        <v>86</v>
      </c>
    </row>
    <row r="88">
      <c r="A88" t="inlineStr">
        <is>
          <t>SEFN02</t>
        </is>
      </c>
      <c r="B88" s="15" t="inlineStr">
        <is>
          <t>Frozen noncarbonated juices and drinks</t>
        </is>
      </c>
      <c r="C88" t="inlineStr">
        <is>
          <t>SEFN</t>
        </is>
      </c>
      <c r="D88" t="n">
        <v>5</v>
      </c>
      <c r="E88" t="b">
        <v>1</v>
      </c>
      <c r="F88" t="n">
        <v>87</v>
      </c>
    </row>
    <row r="89">
      <c r="A89" t="inlineStr">
        <is>
          <t>SEFN03</t>
        </is>
      </c>
      <c r="B89" s="15" t="inlineStr">
        <is>
          <t>Nonfrozen noncarbonated juices and drinks</t>
        </is>
      </c>
      <c r="C89" t="inlineStr">
        <is>
          <t>SEFN</t>
        </is>
      </c>
      <c r="D89" t="n">
        <v>5</v>
      </c>
      <c r="E89" t="b">
        <v>1</v>
      </c>
      <c r="F89" t="n">
        <v>88</v>
      </c>
    </row>
    <row r="90">
      <c r="A90" t="inlineStr">
        <is>
          <t>SEFP</t>
        </is>
      </c>
      <c r="B90" s="14" t="inlineStr">
        <is>
          <t>Beverage materials including coffee and tea</t>
        </is>
      </c>
      <c r="C90" t="inlineStr">
        <is>
          <t>SAF114</t>
        </is>
      </c>
      <c r="D90" t="n">
        <v>4</v>
      </c>
      <c r="E90" t="b">
        <v>0</v>
      </c>
      <c r="F90" t="n">
        <v>89</v>
      </c>
    </row>
    <row r="91">
      <c r="A91" t="inlineStr">
        <is>
          <t>SEFP01</t>
        </is>
      </c>
      <c r="B91" s="15" t="inlineStr">
        <is>
          <t>Coffee</t>
        </is>
      </c>
      <c r="C91" t="inlineStr">
        <is>
          <t>SEFP</t>
        </is>
      </c>
      <c r="D91" t="n">
        <v>5</v>
      </c>
      <c r="E91" t="b">
        <v>0</v>
      </c>
      <c r="F91" t="n">
        <v>90</v>
      </c>
    </row>
    <row r="92">
      <c r="A92" t="inlineStr">
        <is>
          <t>SS17031</t>
        </is>
      </c>
      <c r="B92" s="16" t="inlineStr">
        <is>
          <t>Roasted coffee</t>
        </is>
      </c>
      <c r="C92" t="inlineStr">
        <is>
          <t>SEFP01</t>
        </is>
      </c>
      <c r="D92" t="n">
        <v>6</v>
      </c>
      <c r="E92" t="b">
        <v>1</v>
      </c>
      <c r="F92" t="n">
        <v>91</v>
      </c>
    </row>
    <row r="93">
      <c r="A93" t="inlineStr">
        <is>
          <t>SS17032</t>
        </is>
      </c>
      <c r="B93" s="16" t="inlineStr">
        <is>
          <t>Instant coffee</t>
        </is>
      </c>
      <c r="C93" t="inlineStr">
        <is>
          <t>SEFP01</t>
        </is>
      </c>
      <c r="D93" t="n">
        <v>6</v>
      </c>
      <c r="E93" t="b">
        <v>1</v>
      </c>
      <c r="F93" t="n">
        <v>92</v>
      </c>
    </row>
    <row r="94">
      <c r="A94" t="inlineStr">
        <is>
          <t>SEFP02</t>
        </is>
      </c>
      <c r="B94" s="15" t="inlineStr">
        <is>
          <t>Other beverage materials including tea</t>
        </is>
      </c>
      <c r="C94" t="inlineStr">
        <is>
          <t>SEFP</t>
        </is>
      </c>
      <c r="D94" t="n">
        <v>5</v>
      </c>
      <c r="E94" t="b">
        <v>1</v>
      </c>
      <c r="F94" t="n">
        <v>93</v>
      </c>
    </row>
    <row r="95">
      <c r="A95" t="inlineStr">
        <is>
          <t>SAF115</t>
        </is>
      </c>
      <c r="B95" s="13" t="inlineStr">
        <is>
          <t>Other food at home</t>
        </is>
      </c>
      <c r="C95" t="inlineStr">
        <is>
          <t>SAF11</t>
        </is>
      </c>
      <c r="D95" t="n">
        <v>3</v>
      </c>
      <c r="E95" t="b">
        <v>0</v>
      </c>
      <c r="F95" t="n">
        <v>94</v>
      </c>
    </row>
    <row r="96">
      <c r="A96" t="inlineStr">
        <is>
          <t>SEFR</t>
        </is>
      </c>
      <c r="B96" s="14" t="inlineStr">
        <is>
          <t>Sugar and sweets</t>
        </is>
      </c>
      <c r="C96" t="inlineStr">
        <is>
          <t>SAF115</t>
        </is>
      </c>
      <c r="D96" t="n">
        <v>4</v>
      </c>
      <c r="E96" t="b">
        <v>0</v>
      </c>
      <c r="F96" t="n">
        <v>95</v>
      </c>
    </row>
    <row r="97">
      <c r="A97" t="inlineStr">
        <is>
          <t>SEFR01</t>
        </is>
      </c>
      <c r="B97" s="15" t="inlineStr">
        <is>
          <t>Sugar and sugar substitutes</t>
        </is>
      </c>
      <c r="C97" t="inlineStr">
        <is>
          <t>SEFR</t>
        </is>
      </c>
      <c r="D97" t="n">
        <v>5</v>
      </c>
      <c r="E97" t="b">
        <v>1</v>
      </c>
      <c r="F97" t="n">
        <v>96</v>
      </c>
    </row>
    <row r="98">
      <c r="A98" t="inlineStr">
        <is>
          <t>SEFR02</t>
        </is>
      </c>
      <c r="B98" s="15" t="inlineStr">
        <is>
          <t>Candy and chewing gum</t>
        </is>
      </c>
      <c r="C98" t="inlineStr">
        <is>
          <t>SEFR</t>
        </is>
      </c>
      <c r="D98" t="n">
        <v>5</v>
      </c>
      <c r="E98" t="b">
        <v>1</v>
      </c>
      <c r="F98" t="n">
        <v>97</v>
      </c>
    </row>
    <row r="99">
      <c r="A99" t="inlineStr">
        <is>
          <t>SEFR03</t>
        </is>
      </c>
      <c r="B99" s="15" t="inlineStr">
        <is>
          <t>Other sweets</t>
        </is>
      </c>
      <c r="C99" t="inlineStr">
        <is>
          <t>SEFR</t>
        </is>
      </c>
      <c r="D99" t="n">
        <v>5</v>
      </c>
      <c r="E99" t="b">
        <v>1</v>
      </c>
      <c r="F99" t="n">
        <v>98</v>
      </c>
    </row>
    <row r="100">
      <c r="A100" t="inlineStr">
        <is>
          <t>SEFS</t>
        </is>
      </c>
      <c r="B100" s="14" t="inlineStr">
        <is>
          <t>Fats and oils</t>
        </is>
      </c>
      <c r="C100" t="inlineStr">
        <is>
          <t>SAF115</t>
        </is>
      </c>
      <c r="D100" t="n">
        <v>4</v>
      </c>
      <c r="E100" t="b">
        <v>0</v>
      </c>
      <c r="F100" t="n">
        <v>99</v>
      </c>
    </row>
    <row r="101">
      <c r="A101" t="inlineStr">
        <is>
          <t>SEFS01</t>
        </is>
      </c>
      <c r="B101" s="15" t="inlineStr">
        <is>
          <t>Butter and margarine</t>
        </is>
      </c>
      <c r="C101" t="inlineStr">
        <is>
          <t>SEFS</t>
        </is>
      </c>
      <c r="D101" t="n">
        <v>5</v>
      </c>
      <c r="E101" t="b">
        <v>0</v>
      </c>
      <c r="F101" t="n">
        <v>100</v>
      </c>
    </row>
    <row r="102">
      <c r="A102" t="inlineStr">
        <is>
          <t>SS10011</t>
        </is>
      </c>
      <c r="B102" s="16" t="inlineStr">
        <is>
          <t>Butter</t>
        </is>
      </c>
      <c r="C102" t="inlineStr">
        <is>
          <t>SEFS01</t>
        </is>
      </c>
      <c r="D102" t="n">
        <v>6</v>
      </c>
      <c r="E102" t="b">
        <v>1</v>
      </c>
      <c r="F102" t="n">
        <v>101</v>
      </c>
    </row>
    <row r="103">
      <c r="A103" t="inlineStr">
        <is>
          <t>SS16011</t>
        </is>
      </c>
      <c r="B103" s="16" t="inlineStr">
        <is>
          <t>Margarine</t>
        </is>
      </c>
      <c r="C103" t="inlineStr">
        <is>
          <t>SEFS01</t>
        </is>
      </c>
      <c r="D103" t="n">
        <v>6</v>
      </c>
      <c r="E103" t="b">
        <v>1</v>
      </c>
      <c r="F103" t="n">
        <v>102</v>
      </c>
    </row>
    <row r="104">
      <c r="A104" t="inlineStr">
        <is>
          <t>SEFS02</t>
        </is>
      </c>
      <c r="B104" s="15" t="inlineStr">
        <is>
          <t>Salad dressing</t>
        </is>
      </c>
      <c r="C104" t="inlineStr">
        <is>
          <t>SEFS</t>
        </is>
      </c>
      <c r="D104" t="n">
        <v>5</v>
      </c>
      <c r="E104" t="b">
        <v>1</v>
      </c>
      <c r="F104" t="n">
        <v>103</v>
      </c>
    </row>
    <row r="105">
      <c r="A105" t="inlineStr">
        <is>
          <t>SEFS03</t>
        </is>
      </c>
      <c r="B105" s="15" t="inlineStr">
        <is>
          <t>Other fats and oils including peanut butter</t>
        </is>
      </c>
      <c r="C105" t="inlineStr">
        <is>
          <t>SEFS</t>
        </is>
      </c>
      <c r="D105" t="n">
        <v>5</v>
      </c>
      <c r="E105" t="b">
        <v>0</v>
      </c>
      <c r="F105" t="n">
        <v>104</v>
      </c>
    </row>
    <row r="106">
      <c r="A106" t="inlineStr">
        <is>
          <t>SS16014</t>
        </is>
      </c>
      <c r="B106" s="16" t="inlineStr">
        <is>
          <t>Peanut butter</t>
        </is>
      </c>
      <c r="C106" t="inlineStr">
        <is>
          <t>SEFS03</t>
        </is>
      </c>
      <c r="D106" t="n">
        <v>6</v>
      </c>
      <c r="E106" t="b">
        <v>1</v>
      </c>
      <c r="F106" t="n">
        <v>105</v>
      </c>
    </row>
    <row r="107">
      <c r="A107" t="inlineStr">
        <is>
          <t>SEFT</t>
        </is>
      </c>
      <c r="B107" s="14" t="inlineStr">
        <is>
          <t>Other foods</t>
        </is>
      </c>
      <c r="C107" t="inlineStr">
        <is>
          <t>SAF115</t>
        </is>
      </c>
      <c r="D107" t="n">
        <v>4</v>
      </c>
      <c r="E107" t="b">
        <v>0</v>
      </c>
      <c r="F107" t="n">
        <v>106</v>
      </c>
    </row>
    <row r="108">
      <c r="A108" t="inlineStr">
        <is>
          <t>SEFT01</t>
        </is>
      </c>
      <c r="B108" s="15" t="inlineStr">
        <is>
          <t>Soups</t>
        </is>
      </c>
      <c r="C108" t="inlineStr">
        <is>
          <t>SEFT</t>
        </is>
      </c>
      <c r="D108" t="n">
        <v>5</v>
      </c>
      <c r="E108" t="b">
        <v>1</v>
      </c>
      <c r="F108" t="n">
        <v>107</v>
      </c>
    </row>
    <row r="109">
      <c r="A109" t="inlineStr">
        <is>
          <t>SEFT02</t>
        </is>
      </c>
      <c r="B109" s="15" t="inlineStr">
        <is>
          <t>Frozen and freeze dried prepared foods</t>
        </is>
      </c>
      <c r="C109" t="inlineStr">
        <is>
          <t>SEFT</t>
        </is>
      </c>
      <c r="D109" t="n">
        <v>5</v>
      </c>
      <c r="E109" t="b">
        <v>1</v>
      </c>
      <c r="F109" t="n">
        <v>108</v>
      </c>
    </row>
    <row r="110">
      <c r="A110" t="inlineStr">
        <is>
          <t>SEFT03</t>
        </is>
      </c>
      <c r="B110" s="15" t="inlineStr">
        <is>
          <t>Snacks</t>
        </is>
      </c>
      <c r="C110" t="inlineStr">
        <is>
          <t>SEFT</t>
        </is>
      </c>
      <c r="D110" t="n">
        <v>5</v>
      </c>
      <c r="E110" t="b">
        <v>1</v>
      </c>
      <c r="F110" t="n">
        <v>109</v>
      </c>
    </row>
    <row r="111">
      <c r="A111" t="inlineStr">
        <is>
          <t>SEFT04</t>
        </is>
      </c>
      <c r="B111" s="15" t="inlineStr">
        <is>
          <t>Spices, seasonings, condiments, sauces</t>
        </is>
      </c>
      <c r="C111" t="inlineStr">
        <is>
          <t>SEFT</t>
        </is>
      </c>
      <c r="D111" t="n">
        <v>5</v>
      </c>
      <c r="E111" t="b">
        <v>0</v>
      </c>
      <c r="F111" t="n">
        <v>110</v>
      </c>
    </row>
    <row r="112">
      <c r="A112" t="inlineStr">
        <is>
          <t>SS18041</t>
        </is>
      </c>
      <c r="B112" s="16" t="inlineStr">
        <is>
          <t>Salt and other seasonings and spices</t>
        </is>
      </c>
      <c r="C112" t="inlineStr">
        <is>
          <t>SEFT04</t>
        </is>
      </c>
      <c r="D112" t="n">
        <v>6</v>
      </c>
      <c r="E112" t="b">
        <v>1</v>
      </c>
      <c r="F112" t="n">
        <v>111</v>
      </c>
    </row>
    <row r="113">
      <c r="A113" t="inlineStr">
        <is>
          <t>SS18042</t>
        </is>
      </c>
      <c r="B113" s="16" t="inlineStr">
        <is>
          <t>Olives, pickles, relishes</t>
        </is>
      </c>
      <c r="C113" t="inlineStr">
        <is>
          <t>SEFT04</t>
        </is>
      </c>
      <c r="D113" t="n">
        <v>6</v>
      </c>
      <c r="E113" t="b">
        <v>1</v>
      </c>
      <c r="F113" t="n">
        <v>112</v>
      </c>
    </row>
    <row r="114">
      <c r="A114" t="inlineStr">
        <is>
          <t>SS18043</t>
        </is>
      </c>
      <c r="B114" s="16" t="inlineStr">
        <is>
          <t>Sauces and gravies</t>
        </is>
      </c>
      <c r="C114" t="inlineStr">
        <is>
          <t>SEFT04</t>
        </is>
      </c>
      <c r="D114" t="n">
        <v>6</v>
      </c>
      <c r="E114" t="b">
        <v>1</v>
      </c>
      <c r="F114" t="n">
        <v>113</v>
      </c>
    </row>
    <row r="115">
      <c r="A115" t="inlineStr">
        <is>
          <t>SS1804B</t>
        </is>
      </c>
      <c r="B115" s="16" t="inlineStr">
        <is>
          <t>Other condiments</t>
        </is>
      </c>
      <c r="C115" t="inlineStr">
        <is>
          <t>SEFT04</t>
        </is>
      </c>
      <c r="D115" t="n">
        <v>6</v>
      </c>
      <c r="E115" t="b">
        <v>1</v>
      </c>
      <c r="F115" t="n">
        <v>114</v>
      </c>
    </row>
    <row r="116">
      <c r="A116" t="inlineStr">
        <is>
          <t>SEFT05</t>
        </is>
      </c>
      <c r="B116" s="15" t="inlineStr">
        <is>
          <t>Baby food and formula</t>
        </is>
      </c>
      <c r="C116" t="inlineStr">
        <is>
          <t>SEFT</t>
        </is>
      </c>
      <c r="D116" t="n">
        <v>5</v>
      </c>
      <c r="E116" t="b">
        <v>1</v>
      </c>
      <c r="F116" t="n">
        <v>115</v>
      </c>
    </row>
    <row r="117">
      <c r="A117" t="inlineStr">
        <is>
          <t>SEFT06</t>
        </is>
      </c>
      <c r="B117" s="15" t="inlineStr">
        <is>
          <t>Other miscellaneous foods</t>
        </is>
      </c>
      <c r="C117" t="inlineStr">
        <is>
          <t>SEFT</t>
        </is>
      </c>
      <c r="D117" t="n">
        <v>5</v>
      </c>
      <c r="E117" t="b">
        <v>0</v>
      </c>
      <c r="F117" t="n">
        <v>116</v>
      </c>
    </row>
    <row r="118">
      <c r="A118" t="inlineStr">
        <is>
          <t>SS18064</t>
        </is>
      </c>
      <c r="B118" s="16" t="inlineStr">
        <is>
          <t>Prepared salads</t>
        </is>
      </c>
      <c r="C118" t="inlineStr">
        <is>
          <t>SEFT06</t>
        </is>
      </c>
      <c r="D118" t="n">
        <v>6</v>
      </c>
      <c r="E118" t="b">
        <v>1</v>
      </c>
      <c r="F118" t="n">
        <v>117</v>
      </c>
    </row>
    <row r="119">
      <c r="A119" t="inlineStr">
        <is>
          <t>SEFV</t>
        </is>
      </c>
      <c r="B119" s="12" t="inlineStr">
        <is>
          <t>Food away from home</t>
        </is>
      </c>
      <c r="C119" t="inlineStr">
        <is>
          <t>SAF1</t>
        </is>
      </c>
      <c r="D119" t="n">
        <v>2</v>
      </c>
      <c r="E119" t="b">
        <v>0</v>
      </c>
      <c r="F119" t="n">
        <v>118</v>
      </c>
    </row>
    <row r="120">
      <c r="A120" t="inlineStr">
        <is>
          <t>SEFV01</t>
        </is>
      </c>
      <c r="B120" s="13" t="inlineStr">
        <is>
          <t>Full service meals and snacks</t>
        </is>
      </c>
      <c r="C120" t="inlineStr">
        <is>
          <t>SEFV</t>
        </is>
      </c>
      <c r="D120" t="n">
        <v>3</v>
      </c>
      <c r="E120" t="b">
        <v>1</v>
      </c>
      <c r="F120" t="n">
        <v>119</v>
      </c>
    </row>
    <row r="121">
      <c r="A121" t="inlineStr">
        <is>
          <t>SEFV02</t>
        </is>
      </c>
      <c r="B121" s="13" t="inlineStr">
        <is>
          <t>Limited service meals and snacks</t>
        </is>
      </c>
      <c r="C121" t="inlineStr">
        <is>
          <t>SEFV</t>
        </is>
      </c>
      <c r="D121" t="n">
        <v>3</v>
      </c>
      <c r="E121" t="b">
        <v>1</v>
      </c>
      <c r="F121" t="n">
        <v>120</v>
      </c>
    </row>
    <row r="122">
      <c r="A122" t="inlineStr">
        <is>
          <t>SEFV03</t>
        </is>
      </c>
      <c r="B122" s="13" t="inlineStr">
        <is>
          <t>Food at employee sites and schools</t>
        </is>
      </c>
      <c r="C122" t="inlineStr">
        <is>
          <t>SEFV</t>
        </is>
      </c>
      <c r="D122" t="n">
        <v>3</v>
      </c>
      <c r="E122" t="b">
        <v>1</v>
      </c>
      <c r="F122" t="n">
        <v>121</v>
      </c>
    </row>
    <row r="123">
      <c r="A123" t="inlineStr">
        <is>
          <t>SSFV031A</t>
        </is>
      </c>
      <c r="B123" s="13" t="inlineStr">
        <is>
          <t>Food at elementary and secondary schools</t>
        </is>
      </c>
      <c r="C123" t="inlineStr">
        <is>
          <t>SEFV</t>
        </is>
      </c>
      <c r="D123" t="n">
        <v>3</v>
      </c>
      <c r="E123" t="b">
        <v>1</v>
      </c>
      <c r="F123" t="n">
        <v>122</v>
      </c>
    </row>
    <row r="124">
      <c r="A124" t="inlineStr">
        <is>
          <t>SEFV04</t>
        </is>
      </c>
      <c r="B124" s="13" t="inlineStr">
        <is>
          <t>Food from vending machines and mobile vendors</t>
        </is>
      </c>
      <c r="C124" t="inlineStr">
        <is>
          <t>SEFV</t>
        </is>
      </c>
      <c r="D124" t="n">
        <v>3</v>
      </c>
      <c r="E124" t="b">
        <v>1</v>
      </c>
      <c r="F124" t="n">
        <v>123</v>
      </c>
    </row>
    <row r="125">
      <c r="A125" t="inlineStr">
        <is>
          <t>SEFV05</t>
        </is>
      </c>
      <c r="B125" s="13" t="inlineStr">
        <is>
          <t>Other food away from home</t>
        </is>
      </c>
      <c r="C125" t="inlineStr">
        <is>
          <t>SEFV</t>
        </is>
      </c>
      <c r="D125" t="n">
        <v>3</v>
      </c>
      <c r="E125" t="b">
        <v>1</v>
      </c>
      <c r="F125" t="n">
        <v>124</v>
      </c>
    </row>
    <row r="126">
      <c r="A126" t="inlineStr">
        <is>
          <t>SAF116</t>
        </is>
      </c>
      <c r="B126" s="12" t="inlineStr">
        <is>
          <t>Alcoholic beverages</t>
        </is>
      </c>
      <c r="C126" t="inlineStr">
        <is>
          <t>SAF1</t>
        </is>
      </c>
      <c r="D126" t="n">
        <v>2</v>
      </c>
      <c r="E126" t="b">
        <v>0</v>
      </c>
      <c r="F126" t="n">
        <v>125</v>
      </c>
    </row>
    <row r="127">
      <c r="A127" t="inlineStr">
        <is>
          <t>SEFW</t>
        </is>
      </c>
      <c r="B127" s="13" t="inlineStr">
        <is>
          <t>Alcoholic beverages at home</t>
        </is>
      </c>
      <c r="C127" t="inlineStr">
        <is>
          <t>SAF116</t>
        </is>
      </c>
      <c r="D127" t="n">
        <v>3</v>
      </c>
      <c r="E127" t="b">
        <v>0</v>
      </c>
      <c r="F127" t="n">
        <v>126</v>
      </c>
    </row>
    <row r="128">
      <c r="A128" t="inlineStr">
        <is>
          <t>SEFW01</t>
        </is>
      </c>
      <c r="B128" s="14" t="inlineStr">
        <is>
          <t>Beer, ale, and other malt beverages at home</t>
        </is>
      </c>
      <c r="C128" t="inlineStr">
        <is>
          <t>SEFW</t>
        </is>
      </c>
      <c r="D128" t="n">
        <v>4</v>
      </c>
      <c r="E128" t="b">
        <v>1</v>
      </c>
      <c r="F128" t="n">
        <v>127</v>
      </c>
    </row>
    <row r="129">
      <c r="A129" t="inlineStr">
        <is>
          <t>SEFW02</t>
        </is>
      </c>
      <c r="B129" s="14" t="inlineStr">
        <is>
          <t>Distilled spirits at home</t>
        </is>
      </c>
      <c r="C129" t="inlineStr">
        <is>
          <t>SEFW</t>
        </is>
      </c>
      <c r="D129" t="n">
        <v>4</v>
      </c>
      <c r="E129" t="b">
        <v>0</v>
      </c>
      <c r="F129" t="n">
        <v>128</v>
      </c>
    </row>
    <row r="130">
      <c r="A130" t="inlineStr">
        <is>
          <t>SS20021</t>
        </is>
      </c>
      <c r="B130" s="15" t="inlineStr">
        <is>
          <t>Whiskey at home</t>
        </is>
      </c>
      <c r="C130" t="inlineStr">
        <is>
          <t>SEFW02</t>
        </is>
      </c>
      <c r="D130" t="n">
        <v>5</v>
      </c>
      <c r="E130" t="b">
        <v>1</v>
      </c>
      <c r="F130" t="n">
        <v>129</v>
      </c>
    </row>
    <row r="131">
      <c r="A131" t="inlineStr">
        <is>
          <t>SS20022</t>
        </is>
      </c>
      <c r="B131" s="15" t="inlineStr">
        <is>
          <t>Distilled spirits, excluding whiskey, at home</t>
        </is>
      </c>
      <c r="C131" t="inlineStr">
        <is>
          <t>SEFW02</t>
        </is>
      </c>
      <c r="D131" t="n">
        <v>5</v>
      </c>
      <c r="E131" t="b">
        <v>1</v>
      </c>
      <c r="F131" t="n">
        <v>130</v>
      </c>
    </row>
    <row r="132">
      <c r="A132" t="inlineStr">
        <is>
          <t>SEFW03</t>
        </is>
      </c>
      <c r="B132" s="14" t="inlineStr">
        <is>
          <t>Wine at home</t>
        </is>
      </c>
      <c r="C132" t="inlineStr">
        <is>
          <t>SEFW</t>
        </is>
      </c>
      <c r="D132" t="n">
        <v>4</v>
      </c>
      <c r="E132" t="b">
        <v>1</v>
      </c>
      <c r="F132" t="n">
        <v>131</v>
      </c>
    </row>
    <row r="133">
      <c r="A133" t="inlineStr">
        <is>
          <t>SEFX</t>
        </is>
      </c>
      <c r="B133" s="13" t="inlineStr">
        <is>
          <t>Alcoholic beverages away from home</t>
        </is>
      </c>
      <c r="C133" t="inlineStr">
        <is>
          <t>SAF116</t>
        </is>
      </c>
      <c r="D133" t="n">
        <v>3</v>
      </c>
      <c r="E133" t="b">
        <v>0</v>
      </c>
      <c r="F133" t="n">
        <v>132</v>
      </c>
    </row>
    <row r="134">
      <c r="A134" t="inlineStr">
        <is>
          <t>SS20051</t>
        </is>
      </c>
      <c r="B134" s="14" t="inlineStr">
        <is>
          <t>Beer, ale, and other malt beverages away from home</t>
        </is>
      </c>
      <c r="C134" t="inlineStr">
        <is>
          <t>SEFX</t>
        </is>
      </c>
      <c r="D134" t="n">
        <v>4</v>
      </c>
      <c r="E134" t="b">
        <v>1</v>
      </c>
      <c r="F134" t="n">
        <v>133</v>
      </c>
    </row>
    <row r="135">
      <c r="A135" t="inlineStr">
        <is>
          <t>SS20052</t>
        </is>
      </c>
      <c r="B135" s="14" t="inlineStr">
        <is>
          <t>Wine away from home</t>
        </is>
      </c>
      <c r="C135" t="inlineStr">
        <is>
          <t>SEFX</t>
        </is>
      </c>
      <c r="D135" t="n">
        <v>4</v>
      </c>
      <c r="E135" t="b">
        <v>1</v>
      </c>
      <c r="F135" t="n">
        <v>134</v>
      </c>
    </row>
    <row r="136">
      <c r="A136" t="inlineStr">
        <is>
          <t>SS20053</t>
        </is>
      </c>
      <c r="B136" s="14" t="inlineStr">
        <is>
          <t>Distilled spirits away from home</t>
        </is>
      </c>
      <c r="C136" t="inlineStr">
        <is>
          <t>SEFX</t>
        </is>
      </c>
      <c r="D136" t="n">
        <v>4</v>
      </c>
      <c r="E136" t="b">
        <v>1</v>
      </c>
      <c r="F136" t="n">
        <v>135</v>
      </c>
    </row>
    <row r="137">
      <c r="A137" t="inlineStr">
        <is>
          <t>SAH</t>
        </is>
      </c>
      <c r="B137" t="inlineStr">
        <is>
          <t>Housing</t>
        </is>
      </c>
      <c r="C137" t="inlineStr">
        <is>
          <t>SA0</t>
        </is>
      </c>
      <c r="D137" t="n">
        <v>0</v>
      </c>
      <c r="E137" t="b">
        <v>0</v>
      </c>
      <c r="F137" t="n">
        <v>136</v>
      </c>
    </row>
    <row r="138">
      <c r="A138" t="inlineStr">
        <is>
          <t>SAH1</t>
        </is>
      </c>
      <c r="B138" s="11" t="inlineStr">
        <is>
          <t>Shelter</t>
        </is>
      </c>
      <c r="C138" t="inlineStr">
        <is>
          <t>SAH</t>
        </is>
      </c>
      <c r="D138" t="n">
        <v>1</v>
      </c>
      <c r="E138" t="b">
        <v>0</v>
      </c>
      <c r="F138" t="n">
        <v>137</v>
      </c>
    </row>
    <row r="139">
      <c r="A139" t="inlineStr">
        <is>
          <t>SEHA</t>
        </is>
      </c>
      <c r="B139" s="12" t="inlineStr">
        <is>
          <t>Rent of primary residence</t>
        </is>
      </c>
      <c r="C139" t="inlineStr">
        <is>
          <t>SAH1</t>
        </is>
      </c>
      <c r="D139" t="n">
        <v>2</v>
      </c>
      <c r="E139" t="b">
        <v>1</v>
      </c>
      <c r="F139" t="n">
        <v>138</v>
      </c>
    </row>
    <row r="140">
      <c r="A140" t="inlineStr">
        <is>
          <t>SEHB</t>
        </is>
      </c>
      <c r="B140" s="12" t="inlineStr">
        <is>
          <t>Lodging away from home</t>
        </is>
      </c>
      <c r="C140" t="inlineStr">
        <is>
          <t>SAH1</t>
        </is>
      </c>
      <c r="D140" t="n">
        <v>2</v>
      </c>
      <c r="E140" t="b">
        <v>0</v>
      </c>
      <c r="F140" t="n">
        <v>139</v>
      </c>
    </row>
    <row r="141">
      <c r="A141" t="inlineStr">
        <is>
          <t>SEHB01</t>
        </is>
      </c>
      <c r="B141" s="13" t="inlineStr">
        <is>
          <t>Lodging while at school</t>
        </is>
      </c>
      <c r="C141" t="inlineStr">
        <is>
          <t>SEHB</t>
        </is>
      </c>
      <c r="D141" t="n">
        <v>3</v>
      </c>
      <c r="E141" t="b">
        <v>1</v>
      </c>
      <c r="F141" t="n">
        <v>140</v>
      </c>
    </row>
    <row r="142">
      <c r="A142" t="inlineStr">
        <is>
          <t>SEHB02</t>
        </is>
      </c>
      <c r="B142" s="13" t="inlineStr">
        <is>
          <t>Other lodging away from home including hotels and motels</t>
        </is>
      </c>
      <c r="C142" t="inlineStr">
        <is>
          <t>SEHB</t>
        </is>
      </c>
      <c r="D142" t="n">
        <v>3</v>
      </c>
      <c r="E142" t="b">
        <v>1</v>
      </c>
      <c r="F142" t="n">
        <v>141</v>
      </c>
    </row>
    <row r="143">
      <c r="A143" t="inlineStr">
        <is>
          <t>SEHC</t>
        </is>
      </c>
      <c r="B143" s="12" t="inlineStr">
        <is>
          <t>Owners' equivalent rent of residences</t>
        </is>
      </c>
      <c r="C143" t="inlineStr">
        <is>
          <t>SAH1</t>
        </is>
      </c>
      <c r="D143" t="n">
        <v>2</v>
      </c>
      <c r="E143" t="b">
        <v>0</v>
      </c>
      <c r="F143" t="n">
        <v>142</v>
      </c>
    </row>
    <row r="144">
      <c r="A144" t="inlineStr">
        <is>
          <t>SEHC01</t>
        </is>
      </c>
      <c r="B144" s="13" t="inlineStr">
        <is>
          <t>Owners' equivalent rent of primary residence</t>
        </is>
      </c>
      <c r="C144" t="inlineStr">
        <is>
          <t>SEHC</t>
        </is>
      </c>
      <c r="D144" t="n">
        <v>3</v>
      </c>
      <c r="E144" t="b">
        <v>1</v>
      </c>
      <c r="F144" t="n">
        <v>143</v>
      </c>
    </row>
    <row r="145">
      <c r="A145" t="inlineStr">
        <is>
          <t>SEHD</t>
        </is>
      </c>
      <c r="B145" s="12" t="inlineStr">
        <is>
          <t>Tenants' and household insurance</t>
        </is>
      </c>
      <c r="C145" t="inlineStr">
        <is>
          <t>SAH1</t>
        </is>
      </c>
      <c r="D145" t="n">
        <v>2</v>
      </c>
      <c r="E145" t="b">
        <v>1</v>
      </c>
      <c r="F145" t="n">
        <v>144</v>
      </c>
    </row>
    <row r="146">
      <c r="A146" t="inlineStr">
        <is>
          <t>SAH2</t>
        </is>
      </c>
      <c r="B146" s="11" t="inlineStr">
        <is>
          <t>Fuels and utilities</t>
        </is>
      </c>
      <c r="C146" t="inlineStr">
        <is>
          <t>SAH</t>
        </is>
      </c>
      <c r="D146" t="n">
        <v>1</v>
      </c>
      <c r="E146" t="b">
        <v>0</v>
      </c>
      <c r="F146" t="n">
        <v>145</v>
      </c>
    </row>
    <row r="147">
      <c r="A147" t="inlineStr">
        <is>
          <t>SAH21</t>
        </is>
      </c>
      <c r="B147" s="12" t="inlineStr">
        <is>
          <t>Household energy</t>
        </is>
      </c>
      <c r="C147" t="inlineStr">
        <is>
          <t>SAH2</t>
        </is>
      </c>
      <c r="D147" t="n">
        <v>2</v>
      </c>
      <c r="E147" t="b">
        <v>0</v>
      </c>
      <c r="F147" t="n">
        <v>146</v>
      </c>
    </row>
    <row r="148">
      <c r="A148" t="inlineStr">
        <is>
          <t>SEHE</t>
        </is>
      </c>
      <c r="B148" s="13" t="inlineStr">
        <is>
          <t>Fuel oil and other fuels</t>
        </is>
      </c>
      <c r="C148" t="inlineStr">
        <is>
          <t>SAH21</t>
        </is>
      </c>
      <c r="D148" t="n">
        <v>3</v>
      </c>
      <c r="E148" t="b">
        <v>0</v>
      </c>
      <c r="F148" t="n">
        <v>147</v>
      </c>
    </row>
    <row r="149">
      <c r="A149" t="inlineStr">
        <is>
          <t>SEHE01</t>
        </is>
      </c>
      <c r="B149" s="14" t="inlineStr">
        <is>
          <t>Fuel oil</t>
        </is>
      </c>
      <c r="C149" t="inlineStr">
        <is>
          <t>SEHE</t>
        </is>
      </c>
      <c r="D149" t="n">
        <v>4</v>
      </c>
      <c r="E149" t="b">
        <v>1</v>
      </c>
      <c r="F149" t="n">
        <v>148</v>
      </c>
    </row>
    <row r="150">
      <c r="A150" t="inlineStr">
        <is>
          <t>SEHE02</t>
        </is>
      </c>
      <c r="B150" s="14" t="inlineStr">
        <is>
          <t>Propane, kerosene, and firewood</t>
        </is>
      </c>
      <c r="C150" t="inlineStr">
        <is>
          <t>SEHE</t>
        </is>
      </c>
      <c r="D150" t="n">
        <v>4</v>
      </c>
      <c r="E150" t="b">
        <v>1</v>
      </c>
      <c r="F150" t="n">
        <v>149</v>
      </c>
    </row>
    <row r="151">
      <c r="A151" t="inlineStr">
        <is>
          <t>SEHF</t>
        </is>
      </c>
      <c r="B151" s="13" t="inlineStr">
        <is>
          <t>Energy services</t>
        </is>
      </c>
      <c r="C151" t="inlineStr">
        <is>
          <t>SAH21</t>
        </is>
      </c>
      <c r="D151" t="n">
        <v>3</v>
      </c>
      <c r="E151" t="b">
        <v>0</v>
      </c>
      <c r="F151" t="n">
        <v>150</v>
      </c>
    </row>
    <row r="152">
      <c r="A152" t="inlineStr">
        <is>
          <t>SEHF01</t>
        </is>
      </c>
      <c r="B152" s="14" t="inlineStr">
        <is>
          <t>Electricity</t>
        </is>
      </c>
      <c r="C152" t="inlineStr">
        <is>
          <t>SEHF</t>
        </is>
      </c>
      <c r="D152" t="n">
        <v>4</v>
      </c>
      <c r="E152" t="b">
        <v>1</v>
      </c>
      <c r="F152" t="n">
        <v>151</v>
      </c>
    </row>
    <row r="153">
      <c r="A153" t="inlineStr">
        <is>
          <t>SEHF02</t>
        </is>
      </c>
      <c r="B153" s="14" t="inlineStr">
        <is>
          <t>Utility (piped) gas service</t>
        </is>
      </c>
      <c r="C153" t="inlineStr">
        <is>
          <t>SEHF</t>
        </is>
      </c>
      <c r="D153" t="n">
        <v>4</v>
      </c>
      <c r="E153" t="b">
        <v>1</v>
      </c>
      <c r="F153" t="n">
        <v>152</v>
      </c>
    </row>
    <row r="154">
      <c r="A154" t="inlineStr">
        <is>
          <t>SEHG</t>
        </is>
      </c>
      <c r="B154" s="12" t="inlineStr">
        <is>
          <t>Water and sewer and trash collection services</t>
        </is>
      </c>
      <c r="C154" t="inlineStr">
        <is>
          <t>SAH2</t>
        </is>
      </c>
      <c r="D154" t="n">
        <v>2</v>
      </c>
      <c r="E154" t="b">
        <v>0</v>
      </c>
      <c r="F154" t="n">
        <v>153</v>
      </c>
    </row>
    <row r="155">
      <c r="A155" t="inlineStr">
        <is>
          <t>SEHG01</t>
        </is>
      </c>
      <c r="B155" s="13" t="inlineStr">
        <is>
          <t>Water and sewerage maintenance</t>
        </is>
      </c>
      <c r="C155" t="inlineStr">
        <is>
          <t>SEHG</t>
        </is>
      </c>
      <c r="D155" t="n">
        <v>3</v>
      </c>
      <c r="E155" t="b">
        <v>1</v>
      </c>
      <c r="F155" t="n">
        <v>154</v>
      </c>
    </row>
    <row r="156">
      <c r="A156" t="inlineStr">
        <is>
          <t>SEHG02</t>
        </is>
      </c>
      <c r="B156" s="13" t="inlineStr">
        <is>
          <t>Garbage and trash collection</t>
        </is>
      </c>
      <c r="C156" t="inlineStr">
        <is>
          <t>SEHG</t>
        </is>
      </c>
      <c r="D156" t="n">
        <v>3</v>
      </c>
      <c r="E156" t="b">
        <v>1</v>
      </c>
      <c r="F156" t="n">
        <v>155</v>
      </c>
    </row>
    <row r="157">
      <c r="A157" t="inlineStr">
        <is>
          <t>SAH3</t>
        </is>
      </c>
      <c r="B157" s="11" t="inlineStr">
        <is>
          <t>Household furnishings and operations</t>
        </is>
      </c>
      <c r="C157" t="inlineStr">
        <is>
          <t>SAH</t>
        </is>
      </c>
      <c r="D157" t="n">
        <v>1</v>
      </c>
      <c r="E157" t="b">
        <v>0</v>
      </c>
      <c r="F157" t="n">
        <v>156</v>
      </c>
    </row>
    <row r="158">
      <c r="A158" t="inlineStr">
        <is>
          <t>SEHH</t>
        </is>
      </c>
      <c r="B158" s="12" t="inlineStr">
        <is>
          <t>Window and floor coverings and other linens</t>
        </is>
      </c>
      <c r="C158" t="inlineStr">
        <is>
          <t>SAH3</t>
        </is>
      </c>
      <c r="D158" t="n">
        <v>2</v>
      </c>
      <c r="E158" t="b">
        <v>0</v>
      </c>
      <c r="F158" t="n">
        <v>157</v>
      </c>
    </row>
    <row r="159">
      <c r="A159" t="inlineStr">
        <is>
          <t>SEHH01</t>
        </is>
      </c>
      <c r="B159" s="13" t="inlineStr">
        <is>
          <t>Floor coverings</t>
        </is>
      </c>
      <c r="C159" t="inlineStr">
        <is>
          <t>SEHH</t>
        </is>
      </c>
      <c r="D159" t="n">
        <v>3</v>
      </c>
      <c r="E159" t="b">
        <v>1</v>
      </c>
      <c r="F159" t="n">
        <v>158</v>
      </c>
    </row>
    <row r="160">
      <c r="A160" t="inlineStr">
        <is>
          <t>SEHH02</t>
        </is>
      </c>
      <c r="B160" s="13" t="inlineStr">
        <is>
          <t>Window coverings</t>
        </is>
      </c>
      <c r="C160" t="inlineStr">
        <is>
          <t>SEHH</t>
        </is>
      </c>
      <c r="D160" t="n">
        <v>3</v>
      </c>
      <c r="E160" t="b">
        <v>1</v>
      </c>
      <c r="F160" t="n">
        <v>159</v>
      </c>
    </row>
    <row r="161">
      <c r="A161" t="inlineStr">
        <is>
          <t>SEHH03</t>
        </is>
      </c>
      <c r="B161" s="13" t="inlineStr">
        <is>
          <t>Other linens</t>
        </is>
      </c>
      <c r="C161" t="inlineStr">
        <is>
          <t>SEHH</t>
        </is>
      </c>
      <c r="D161" t="n">
        <v>3</v>
      </c>
      <c r="E161" t="b">
        <v>1</v>
      </c>
      <c r="F161" t="n">
        <v>160</v>
      </c>
    </row>
    <row r="162">
      <c r="A162" t="inlineStr">
        <is>
          <t>SEHJ</t>
        </is>
      </c>
      <c r="B162" s="12" t="inlineStr">
        <is>
          <t>Furniture and bedding</t>
        </is>
      </c>
      <c r="C162" t="inlineStr">
        <is>
          <t>SAH3</t>
        </is>
      </c>
      <c r="D162" t="n">
        <v>2</v>
      </c>
      <c r="E162" t="b">
        <v>0</v>
      </c>
      <c r="F162" t="n">
        <v>161</v>
      </c>
    </row>
    <row r="163">
      <c r="A163" t="inlineStr">
        <is>
          <t>SEHJ01</t>
        </is>
      </c>
      <c r="B163" s="13" t="inlineStr">
        <is>
          <t>Bedroom furniture</t>
        </is>
      </c>
      <c r="C163" t="inlineStr">
        <is>
          <t>SEHJ</t>
        </is>
      </c>
      <c r="D163" t="n">
        <v>3</v>
      </c>
      <c r="E163" t="b">
        <v>1</v>
      </c>
      <c r="F163" t="n">
        <v>162</v>
      </c>
    </row>
    <row r="164">
      <c r="A164" t="inlineStr">
        <is>
          <t>SEHJ02</t>
        </is>
      </c>
      <c r="B164" s="13" t="inlineStr">
        <is>
          <t>Living room, kitchen, and dining room furniture</t>
        </is>
      </c>
      <c r="C164" t="inlineStr">
        <is>
          <t>SEHJ</t>
        </is>
      </c>
      <c r="D164" t="n">
        <v>3</v>
      </c>
      <c r="E164" t="b">
        <v>1</v>
      </c>
      <c r="F164" t="n">
        <v>163</v>
      </c>
    </row>
    <row r="165">
      <c r="A165" t="inlineStr">
        <is>
          <t>SEHJ03</t>
        </is>
      </c>
      <c r="B165" s="13" t="inlineStr">
        <is>
          <t>Other furniture</t>
        </is>
      </c>
      <c r="C165" t="inlineStr">
        <is>
          <t>SEHJ</t>
        </is>
      </c>
      <c r="D165" t="n">
        <v>3</v>
      </c>
      <c r="E165" t="b">
        <v>1</v>
      </c>
      <c r="F165" t="n">
        <v>164</v>
      </c>
    </row>
    <row r="166">
      <c r="A166" t="inlineStr">
        <is>
          <t>SSHJ031</t>
        </is>
      </c>
      <c r="B166" s="13" t="inlineStr">
        <is>
          <t>Infants' furniture</t>
        </is>
      </c>
      <c r="C166" t="inlineStr">
        <is>
          <t>SEHJ</t>
        </is>
      </c>
      <c r="D166" t="n">
        <v>3</v>
      </c>
      <c r="E166" t="b">
        <v>1</v>
      </c>
      <c r="F166" t="n">
        <v>165</v>
      </c>
    </row>
    <row r="167">
      <c r="A167" t="inlineStr">
        <is>
          <t>SEHK</t>
        </is>
      </c>
      <c r="B167" s="12" t="inlineStr">
        <is>
          <t>Appliances</t>
        </is>
      </c>
      <c r="C167" t="inlineStr">
        <is>
          <t>SAH3</t>
        </is>
      </c>
      <c r="D167" t="n">
        <v>2</v>
      </c>
      <c r="E167" t="b">
        <v>0</v>
      </c>
      <c r="F167" t="n">
        <v>166</v>
      </c>
    </row>
    <row r="168">
      <c r="A168" t="inlineStr">
        <is>
          <t>SEHK01</t>
        </is>
      </c>
      <c r="B168" s="13" t="inlineStr">
        <is>
          <t>Major appliances</t>
        </is>
      </c>
      <c r="C168" t="inlineStr">
        <is>
          <t>SEHK</t>
        </is>
      </c>
      <c r="D168" t="n">
        <v>3</v>
      </c>
      <c r="E168" t="b">
        <v>0</v>
      </c>
      <c r="F168" t="n">
        <v>167</v>
      </c>
    </row>
    <row r="169">
      <c r="A169" t="inlineStr">
        <is>
          <t>SS30021</t>
        </is>
      </c>
      <c r="B169" s="14" t="inlineStr">
        <is>
          <t>Laundry equipment</t>
        </is>
      </c>
      <c r="C169" t="inlineStr">
        <is>
          <t>SEHK01</t>
        </is>
      </c>
      <c r="D169" t="n">
        <v>4</v>
      </c>
      <c r="E169" t="b">
        <v>1</v>
      </c>
      <c r="F169" t="n">
        <v>168</v>
      </c>
    </row>
    <row r="170">
      <c r="A170" t="inlineStr">
        <is>
          <t>SEHK02</t>
        </is>
      </c>
      <c r="B170" s="13" t="inlineStr">
        <is>
          <t>Other appliances</t>
        </is>
      </c>
      <c r="C170" t="inlineStr">
        <is>
          <t>SEHK</t>
        </is>
      </c>
      <c r="D170" t="n">
        <v>3</v>
      </c>
      <c r="E170" t="b">
        <v>1</v>
      </c>
      <c r="F170" t="n">
        <v>169</v>
      </c>
    </row>
    <row r="171">
      <c r="A171" t="inlineStr">
        <is>
          <t>SEHL</t>
        </is>
      </c>
      <c r="B171" s="12" t="inlineStr">
        <is>
          <t>Other household equipment and furnishings</t>
        </is>
      </c>
      <c r="C171" t="inlineStr">
        <is>
          <t>SAH3</t>
        </is>
      </c>
      <c r="D171" t="n">
        <v>2</v>
      </c>
      <c r="E171" t="b">
        <v>0</v>
      </c>
      <c r="F171" t="n">
        <v>170</v>
      </c>
    </row>
    <row r="172">
      <c r="A172" t="inlineStr">
        <is>
          <t>SEHL01</t>
        </is>
      </c>
      <c r="B172" s="13" t="inlineStr">
        <is>
          <t>Clocks, lamps, and decorator items</t>
        </is>
      </c>
      <c r="C172" t="inlineStr">
        <is>
          <t>SEHL</t>
        </is>
      </c>
      <c r="D172" t="n">
        <v>3</v>
      </c>
      <c r="E172" t="b">
        <v>1</v>
      </c>
      <c r="F172" t="n">
        <v>171</v>
      </c>
    </row>
    <row r="173">
      <c r="A173" t="inlineStr">
        <is>
          <t>SEHL02</t>
        </is>
      </c>
      <c r="B173" s="13" t="inlineStr">
        <is>
          <t>Indoor plants and flowers</t>
        </is>
      </c>
      <c r="C173" t="inlineStr">
        <is>
          <t>SEHL</t>
        </is>
      </c>
      <c r="D173" t="n">
        <v>3</v>
      </c>
      <c r="E173" t="b">
        <v>1</v>
      </c>
      <c r="F173" t="n">
        <v>172</v>
      </c>
    </row>
    <row r="174">
      <c r="A174" t="inlineStr">
        <is>
          <t>SEHL03</t>
        </is>
      </c>
      <c r="B174" s="13" t="inlineStr">
        <is>
          <t>Dishes and flatware</t>
        </is>
      </c>
      <c r="C174" t="inlineStr">
        <is>
          <t>SEHL</t>
        </is>
      </c>
      <c r="D174" t="n">
        <v>3</v>
      </c>
      <c r="E174" t="b">
        <v>1</v>
      </c>
      <c r="F174" t="n">
        <v>173</v>
      </c>
    </row>
    <row r="175">
      <c r="A175" t="inlineStr">
        <is>
          <t>SEHL04</t>
        </is>
      </c>
      <c r="B175" s="13" t="inlineStr">
        <is>
          <t>Nonelectric cookware and tableware</t>
        </is>
      </c>
      <c r="C175" t="inlineStr">
        <is>
          <t>SEHL</t>
        </is>
      </c>
      <c r="D175" t="n">
        <v>3</v>
      </c>
      <c r="E175" t="b">
        <v>1</v>
      </c>
      <c r="F175" t="n">
        <v>174</v>
      </c>
    </row>
    <row r="176">
      <c r="A176" t="inlineStr">
        <is>
          <t>SEHM</t>
        </is>
      </c>
      <c r="B176" s="12" t="inlineStr">
        <is>
          <t>Tools, hardware, outdoor equipment and supplies</t>
        </is>
      </c>
      <c r="C176" t="inlineStr">
        <is>
          <t>SAH3</t>
        </is>
      </c>
      <c r="D176" t="n">
        <v>2</v>
      </c>
      <c r="E176" t="b">
        <v>0</v>
      </c>
      <c r="F176" t="n">
        <v>175</v>
      </c>
    </row>
    <row r="177">
      <c r="A177" t="inlineStr">
        <is>
          <t>SEHM01</t>
        </is>
      </c>
      <c r="B177" s="13" t="inlineStr">
        <is>
          <t>Tools, hardware and supplies</t>
        </is>
      </c>
      <c r="C177" t="inlineStr">
        <is>
          <t>SEHM</t>
        </is>
      </c>
      <c r="D177" t="n">
        <v>3</v>
      </c>
      <c r="E177" t="b">
        <v>1</v>
      </c>
      <c r="F177" t="n">
        <v>176</v>
      </c>
    </row>
    <row r="178">
      <c r="A178" t="inlineStr">
        <is>
          <t>SEHM02</t>
        </is>
      </c>
      <c r="B178" s="13" t="inlineStr">
        <is>
          <t>Outdoor equipment and supplies</t>
        </is>
      </c>
      <c r="C178" t="inlineStr">
        <is>
          <t>SEHM</t>
        </is>
      </c>
      <c r="D178" t="n">
        <v>3</v>
      </c>
      <c r="E178" t="b">
        <v>1</v>
      </c>
      <c r="F178" t="n">
        <v>177</v>
      </c>
    </row>
    <row r="179">
      <c r="A179" t="inlineStr">
        <is>
          <t>SEHN</t>
        </is>
      </c>
      <c r="B179" s="12" t="inlineStr">
        <is>
          <t>Housekeeping supplies</t>
        </is>
      </c>
      <c r="C179" t="inlineStr">
        <is>
          <t>SAH3</t>
        </is>
      </c>
      <c r="D179" t="n">
        <v>2</v>
      </c>
      <c r="E179" t="b">
        <v>0</v>
      </c>
      <c r="F179" t="n">
        <v>178</v>
      </c>
    </row>
    <row r="180">
      <c r="A180" t="inlineStr">
        <is>
          <t>SEHN01</t>
        </is>
      </c>
      <c r="B180" s="13" t="inlineStr">
        <is>
          <t>Household cleaning products</t>
        </is>
      </c>
      <c r="C180" t="inlineStr">
        <is>
          <t>SEHN</t>
        </is>
      </c>
      <c r="D180" t="n">
        <v>3</v>
      </c>
      <c r="E180" t="b">
        <v>1</v>
      </c>
      <c r="F180" t="n">
        <v>179</v>
      </c>
    </row>
    <row r="181">
      <c r="A181" t="inlineStr">
        <is>
          <t>SEHN02</t>
        </is>
      </c>
      <c r="B181" s="13" t="inlineStr">
        <is>
          <t>Household paper products</t>
        </is>
      </c>
      <c r="C181" t="inlineStr">
        <is>
          <t>SEHN</t>
        </is>
      </c>
      <c r="D181" t="n">
        <v>3</v>
      </c>
      <c r="E181" t="b">
        <v>1</v>
      </c>
      <c r="F181" t="n">
        <v>180</v>
      </c>
    </row>
    <row r="182">
      <c r="A182" t="inlineStr">
        <is>
          <t>SEHN03</t>
        </is>
      </c>
      <c r="B182" s="13" t="inlineStr">
        <is>
          <t>Miscellaneous household products</t>
        </is>
      </c>
      <c r="C182" t="inlineStr">
        <is>
          <t>SEHN</t>
        </is>
      </c>
      <c r="D182" t="n">
        <v>3</v>
      </c>
      <c r="E182" t="b">
        <v>1</v>
      </c>
      <c r="F182" t="n">
        <v>181</v>
      </c>
    </row>
    <row r="183">
      <c r="A183" t="inlineStr">
        <is>
          <t>SEHP</t>
        </is>
      </c>
      <c r="B183" s="12" t="inlineStr">
        <is>
          <t>Household operations</t>
        </is>
      </c>
      <c r="C183" t="inlineStr">
        <is>
          <t>SAH3</t>
        </is>
      </c>
      <c r="D183" t="n">
        <v>2</v>
      </c>
      <c r="E183" t="b">
        <v>0</v>
      </c>
      <c r="F183" t="n">
        <v>182</v>
      </c>
    </row>
    <row r="184">
      <c r="A184" t="inlineStr">
        <is>
          <t>SEHP01</t>
        </is>
      </c>
      <c r="B184" s="13" t="inlineStr">
        <is>
          <t>Domestic services</t>
        </is>
      </c>
      <c r="C184" t="inlineStr">
        <is>
          <t>SEHP</t>
        </is>
      </c>
      <c r="D184" t="n">
        <v>3</v>
      </c>
      <c r="E184" t="b">
        <v>1</v>
      </c>
      <c r="F184" t="n">
        <v>183</v>
      </c>
    </row>
    <row r="185">
      <c r="A185" t="inlineStr">
        <is>
          <t>SEHP02</t>
        </is>
      </c>
      <c r="B185" s="13" t="inlineStr">
        <is>
          <t>Gardening and lawncare services</t>
        </is>
      </c>
      <c r="C185" t="inlineStr">
        <is>
          <t>SEHP</t>
        </is>
      </c>
      <c r="D185" t="n">
        <v>3</v>
      </c>
      <c r="E185" t="b">
        <v>1</v>
      </c>
      <c r="F185" t="n">
        <v>184</v>
      </c>
    </row>
    <row r="186">
      <c r="A186" t="inlineStr">
        <is>
          <t>SEHP03</t>
        </is>
      </c>
      <c r="B186" s="13" t="inlineStr">
        <is>
          <t>Moving, storage, freight expense</t>
        </is>
      </c>
      <c r="C186" t="inlineStr">
        <is>
          <t>SEHP</t>
        </is>
      </c>
      <c r="D186" t="n">
        <v>3</v>
      </c>
      <c r="E186" t="b">
        <v>1</v>
      </c>
      <c r="F186" t="n">
        <v>185</v>
      </c>
    </row>
    <row r="187">
      <c r="A187" t="inlineStr">
        <is>
          <t>SEHP04</t>
        </is>
      </c>
      <c r="B187" s="13" t="inlineStr">
        <is>
          <t>Repair of household items</t>
        </is>
      </c>
      <c r="C187" t="inlineStr">
        <is>
          <t>SEHP</t>
        </is>
      </c>
      <c r="D187" t="n">
        <v>3</v>
      </c>
      <c r="E187" t="b">
        <v>1</v>
      </c>
      <c r="F187" t="n">
        <v>186</v>
      </c>
    </row>
    <row r="188">
      <c r="A188" t="inlineStr">
        <is>
          <t>SAA</t>
        </is>
      </c>
      <c r="B188" t="inlineStr">
        <is>
          <t>Apparel</t>
        </is>
      </c>
      <c r="C188" t="inlineStr">
        <is>
          <t>SA0</t>
        </is>
      </c>
      <c r="D188" t="n">
        <v>0</v>
      </c>
      <c r="E188" t="b">
        <v>0</v>
      </c>
      <c r="F188" t="n">
        <v>187</v>
      </c>
    </row>
    <row r="189">
      <c r="A189" t="inlineStr">
        <is>
          <t>SAA1</t>
        </is>
      </c>
      <c r="B189" s="11" t="inlineStr">
        <is>
          <t>Men's and boys' apparel</t>
        </is>
      </c>
      <c r="C189" t="inlineStr">
        <is>
          <t>SAA</t>
        </is>
      </c>
      <c r="D189" t="n">
        <v>1</v>
      </c>
      <c r="E189" t="b">
        <v>0</v>
      </c>
      <c r="F189" t="n">
        <v>188</v>
      </c>
    </row>
    <row r="190">
      <c r="A190" t="inlineStr">
        <is>
          <t>SEAA</t>
        </is>
      </c>
      <c r="B190" s="12" t="inlineStr">
        <is>
          <t>Men's apparel</t>
        </is>
      </c>
      <c r="C190" t="inlineStr">
        <is>
          <t>SAA1</t>
        </is>
      </c>
      <c r="D190" t="n">
        <v>2</v>
      </c>
      <c r="E190" t="b">
        <v>0</v>
      </c>
      <c r="F190" t="n">
        <v>189</v>
      </c>
    </row>
    <row r="191">
      <c r="A191" t="inlineStr">
        <is>
          <t>SEAA01</t>
        </is>
      </c>
      <c r="B191" s="13" t="inlineStr">
        <is>
          <t>Men's suits, sport coats, and outerwear</t>
        </is>
      </c>
      <c r="C191" t="inlineStr">
        <is>
          <t>SEAA</t>
        </is>
      </c>
      <c r="D191" t="n">
        <v>3</v>
      </c>
      <c r="E191" t="b">
        <v>1</v>
      </c>
      <c r="F191" t="n">
        <v>190</v>
      </c>
    </row>
    <row r="192">
      <c r="A192" t="inlineStr">
        <is>
          <t>SEAA02</t>
        </is>
      </c>
      <c r="B192" s="13" t="inlineStr">
        <is>
          <t>Men's underwear, nightwear, swimwear and accessories</t>
        </is>
      </c>
      <c r="C192" t="inlineStr">
        <is>
          <t>SEAA</t>
        </is>
      </c>
      <c r="D192" t="n">
        <v>3</v>
      </c>
      <c r="E192" t="b">
        <v>1</v>
      </c>
      <c r="F192" t="n">
        <v>191</v>
      </c>
    </row>
    <row r="193">
      <c r="A193" t="inlineStr">
        <is>
          <t>SEAA03</t>
        </is>
      </c>
      <c r="B193" s="13" t="inlineStr">
        <is>
          <t>Men's shirts and sweaters</t>
        </is>
      </c>
      <c r="C193" t="inlineStr">
        <is>
          <t>SEAA</t>
        </is>
      </c>
      <c r="D193" t="n">
        <v>3</v>
      </c>
      <c r="E193" t="b">
        <v>1</v>
      </c>
      <c r="F193" t="n">
        <v>192</v>
      </c>
    </row>
    <row r="194">
      <c r="A194" t="inlineStr">
        <is>
          <t>SEAA04</t>
        </is>
      </c>
      <c r="B194" s="13" t="inlineStr">
        <is>
          <t>Men's pants and shorts</t>
        </is>
      </c>
      <c r="C194" t="inlineStr">
        <is>
          <t>SEAA</t>
        </is>
      </c>
      <c r="D194" t="n">
        <v>3</v>
      </c>
      <c r="E194" t="b">
        <v>1</v>
      </c>
      <c r="F194" t="n">
        <v>193</v>
      </c>
    </row>
    <row r="195">
      <c r="A195" t="inlineStr">
        <is>
          <t>SEAB</t>
        </is>
      </c>
      <c r="B195" s="12" t="inlineStr">
        <is>
          <t>Boys' apparel</t>
        </is>
      </c>
      <c r="C195" t="inlineStr">
        <is>
          <t>SAA1</t>
        </is>
      </c>
      <c r="D195" t="n">
        <v>2</v>
      </c>
      <c r="E195" t="b">
        <v>1</v>
      </c>
      <c r="F195" t="n">
        <v>194</v>
      </c>
    </row>
    <row r="196">
      <c r="A196" t="inlineStr">
        <is>
          <t>SAA2</t>
        </is>
      </c>
      <c r="B196" s="11" t="inlineStr">
        <is>
          <t>Women's and girls' apparel</t>
        </is>
      </c>
      <c r="C196" t="inlineStr">
        <is>
          <t>SAA</t>
        </is>
      </c>
      <c r="D196" t="n">
        <v>1</v>
      </c>
      <c r="E196" t="b">
        <v>0</v>
      </c>
      <c r="F196" t="n">
        <v>195</v>
      </c>
    </row>
    <row r="197">
      <c r="A197" t="inlineStr">
        <is>
          <t>SEAC</t>
        </is>
      </c>
      <c r="B197" s="12" t="inlineStr">
        <is>
          <t>Women's apparel</t>
        </is>
      </c>
      <c r="C197" t="inlineStr">
        <is>
          <t>SAA2</t>
        </is>
      </c>
      <c r="D197" t="n">
        <v>2</v>
      </c>
      <c r="E197" t="b">
        <v>0</v>
      </c>
      <c r="F197" t="n">
        <v>196</v>
      </c>
    </row>
    <row r="198">
      <c r="A198" t="inlineStr">
        <is>
          <t>SEAC01</t>
        </is>
      </c>
      <c r="B198" s="13" t="inlineStr">
        <is>
          <t>Women's outerwear</t>
        </is>
      </c>
      <c r="C198" t="inlineStr">
        <is>
          <t>SEAC</t>
        </is>
      </c>
      <c r="D198" t="n">
        <v>3</v>
      </c>
      <c r="E198" t="b">
        <v>1</v>
      </c>
      <c r="F198" t="n">
        <v>197</v>
      </c>
    </row>
    <row r="199">
      <c r="A199" t="inlineStr">
        <is>
          <t>SEAC02</t>
        </is>
      </c>
      <c r="B199" s="13" t="inlineStr">
        <is>
          <t>Women's dresses</t>
        </is>
      </c>
      <c r="C199" t="inlineStr">
        <is>
          <t>SEAC</t>
        </is>
      </c>
      <c r="D199" t="n">
        <v>3</v>
      </c>
      <c r="E199" t="b">
        <v>1</v>
      </c>
      <c r="F199" t="n">
        <v>198</v>
      </c>
    </row>
    <row r="200">
      <c r="A200" t="inlineStr">
        <is>
          <t>SEAC03</t>
        </is>
      </c>
      <c r="B200" s="13" t="inlineStr">
        <is>
          <t>Women's suits and separates</t>
        </is>
      </c>
      <c r="C200" t="inlineStr">
        <is>
          <t>SEAC</t>
        </is>
      </c>
      <c r="D200" t="n">
        <v>3</v>
      </c>
      <c r="E200" t="b">
        <v>1</v>
      </c>
      <c r="F200" t="n">
        <v>199</v>
      </c>
    </row>
    <row r="201">
      <c r="A201" t="inlineStr">
        <is>
          <t>SEAC04</t>
        </is>
      </c>
      <c r="B201" s="13" t="inlineStr">
        <is>
          <t>Women's underwear, nightwear, swimwear and accessories</t>
        </is>
      </c>
      <c r="C201" t="inlineStr">
        <is>
          <t>SEAC</t>
        </is>
      </c>
      <c r="D201" t="n">
        <v>3</v>
      </c>
      <c r="E201" t="b">
        <v>1</v>
      </c>
      <c r="F201" t="n">
        <v>200</v>
      </c>
    </row>
    <row r="202">
      <c r="A202" t="inlineStr">
        <is>
          <t>SEAD</t>
        </is>
      </c>
      <c r="B202" s="12" t="inlineStr">
        <is>
          <t>Girls' apparel</t>
        </is>
      </c>
      <c r="C202" t="inlineStr">
        <is>
          <t>SAA2</t>
        </is>
      </c>
      <c r="D202" t="n">
        <v>2</v>
      </c>
      <c r="E202" t="b">
        <v>1</v>
      </c>
      <c r="F202" t="n">
        <v>201</v>
      </c>
    </row>
    <row r="203">
      <c r="A203" t="inlineStr">
        <is>
          <t>SEAE</t>
        </is>
      </c>
      <c r="B203" s="11" t="inlineStr">
        <is>
          <t>Footwear</t>
        </is>
      </c>
      <c r="C203" t="inlineStr">
        <is>
          <t>SAA</t>
        </is>
      </c>
      <c r="D203" t="n">
        <v>1</v>
      </c>
      <c r="E203" t="b">
        <v>0</v>
      </c>
      <c r="F203" t="n">
        <v>202</v>
      </c>
    </row>
    <row r="204">
      <c r="A204" t="inlineStr">
        <is>
          <t>SEAE01</t>
        </is>
      </c>
      <c r="B204" s="12" t="inlineStr">
        <is>
          <t>Men's footwear</t>
        </is>
      </c>
      <c r="C204" t="inlineStr">
        <is>
          <t>SEAE</t>
        </is>
      </c>
      <c r="D204" t="n">
        <v>2</v>
      </c>
      <c r="E204" t="b">
        <v>1</v>
      </c>
      <c r="F204" t="n">
        <v>203</v>
      </c>
    </row>
    <row r="205">
      <c r="A205" t="inlineStr">
        <is>
          <t>SEAE02</t>
        </is>
      </c>
      <c r="B205" s="12" t="inlineStr">
        <is>
          <t>Boys' and girls' footwear</t>
        </is>
      </c>
      <c r="C205" t="inlineStr">
        <is>
          <t>SEAE</t>
        </is>
      </c>
      <c r="D205" t="n">
        <v>2</v>
      </c>
      <c r="E205" t="b">
        <v>1</v>
      </c>
      <c r="F205" t="n">
        <v>204</v>
      </c>
    </row>
    <row r="206">
      <c r="A206" t="inlineStr">
        <is>
          <t>SEAE03</t>
        </is>
      </c>
      <c r="B206" s="12" t="inlineStr">
        <is>
          <t>Women's footwear</t>
        </is>
      </c>
      <c r="C206" t="inlineStr">
        <is>
          <t>SEAE</t>
        </is>
      </c>
      <c r="D206" t="n">
        <v>2</v>
      </c>
      <c r="E206" t="b">
        <v>1</v>
      </c>
      <c r="F206" t="n">
        <v>205</v>
      </c>
    </row>
    <row r="207">
      <c r="A207" t="inlineStr">
        <is>
          <t>SEAF</t>
        </is>
      </c>
      <c r="B207" s="11" t="inlineStr">
        <is>
          <t>Infants' and toddlers' apparel</t>
        </is>
      </c>
      <c r="C207" t="inlineStr">
        <is>
          <t>SAA</t>
        </is>
      </c>
      <c r="D207" t="n">
        <v>1</v>
      </c>
      <c r="E207" t="b">
        <v>1</v>
      </c>
      <c r="F207" t="n">
        <v>206</v>
      </c>
    </row>
    <row r="208">
      <c r="A208" t="inlineStr">
        <is>
          <t>SEAG</t>
        </is>
      </c>
      <c r="B208" s="11" t="inlineStr">
        <is>
          <t>Jewelry and watches</t>
        </is>
      </c>
      <c r="C208" t="inlineStr">
        <is>
          <t>SAA</t>
        </is>
      </c>
      <c r="D208" t="n">
        <v>1</v>
      </c>
      <c r="E208" t="b">
        <v>0</v>
      </c>
      <c r="F208" t="n">
        <v>207</v>
      </c>
    </row>
    <row r="209">
      <c r="A209" t="inlineStr">
        <is>
          <t>SEAG01</t>
        </is>
      </c>
      <c r="B209" s="12" t="inlineStr">
        <is>
          <t>Watches</t>
        </is>
      </c>
      <c r="C209" t="inlineStr">
        <is>
          <t>SEAG</t>
        </is>
      </c>
      <c r="D209" t="n">
        <v>2</v>
      </c>
      <c r="E209" t="b">
        <v>1</v>
      </c>
      <c r="F209" t="n">
        <v>208</v>
      </c>
    </row>
    <row r="210">
      <c r="A210" t="inlineStr">
        <is>
          <t>SEAG02</t>
        </is>
      </c>
      <c r="B210" s="12" t="inlineStr">
        <is>
          <t>Jewelry</t>
        </is>
      </c>
      <c r="C210" t="inlineStr">
        <is>
          <t>SEAG</t>
        </is>
      </c>
      <c r="D210" t="n">
        <v>2</v>
      </c>
      <c r="E210" t="b">
        <v>1</v>
      </c>
      <c r="F210" t="n">
        <v>209</v>
      </c>
    </row>
    <row r="211">
      <c r="A211" t="inlineStr">
        <is>
          <t>SAT</t>
        </is>
      </c>
      <c r="B211" t="inlineStr">
        <is>
          <t>Transportation</t>
        </is>
      </c>
      <c r="C211" t="inlineStr">
        <is>
          <t>SA0</t>
        </is>
      </c>
      <c r="D211" t="n">
        <v>0</v>
      </c>
      <c r="E211" t="b">
        <v>0</v>
      </c>
      <c r="F211" t="n">
        <v>210</v>
      </c>
    </row>
    <row r="212">
      <c r="A212" t="inlineStr">
        <is>
          <t>SAT1</t>
        </is>
      </c>
      <c r="B212" s="11" t="inlineStr">
        <is>
          <t>Private transportation</t>
        </is>
      </c>
      <c r="C212" t="inlineStr">
        <is>
          <t>SAT</t>
        </is>
      </c>
      <c r="D212" t="n">
        <v>1</v>
      </c>
      <c r="E212" t="b">
        <v>0</v>
      </c>
      <c r="F212" t="n">
        <v>211</v>
      </c>
    </row>
    <row r="213">
      <c r="A213" t="inlineStr">
        <is>
          <t>SETA</t>
        </is>
      </c>
      <c r="B213" s="12" t="inlineStr">
        <is>
          <t>New and used motor vehicles</t>
        </is>
      </c>
      <c r="C213" t="inlineStr">
        <is>
          <t>SAT1</t>
        </is>
      </c>
      <c r="D213" t="n">
        <v>2</v>
      </c>
      <c r="E213" t="b">
        <v>0</v>
      </c>
      <c r="F213" t="n">
        <v>212</v>
      </c>
    </row>
    <row r="214">
      <c r="A214" t="inlineStr">
        <is>
          <t>SETA01</t>
        </is>
      </c>
      <c r="B214" s="13" t="inlineStr">
        <is>
          <t>New vehicles</t>
        </is>
      </c>
      <c r="C214" t="inlineStr">
        <is>
          <t>SETA</t>
        </is>
      </c>
      <c r="D214" t="n">
        <v>3</v>
      </c>
      <c r="E214" t="b">
        <v>0</v>
      </c>
      <c r="F214" t="n">
        <v>213</v>
      </c>
    </row>
    <row r="215">
      <c r="A215" t="inlineStr">
        <is>
          <t>SS4501A</t>
        </is>
      </c>
      <c r="B215" s="14" t="inlineStr">
        <is>
          <t>New cars and trucks</t>
        </is>
      </c>
      <c r="C215" t="inlineStr">
        <is>
          <t>SETA01</t>
        </is>
      </c>
      <c r="D215" t="n">
        <v>4</v>
      </c>
      <c r="E215" t="b">
        <v>1</v>
      </c>
      <c r="F215" t="n">
        <v>214</v>
      </c>
    </row>
    <row r="216">
      <c r="A216" t="inlineStr">
        <is>
          <t>SS45011</t>
        </is>
      </c>
      <c r="B216" s="14" t="inlineStr">
        <is>
          <t>New cars</t>
        </is>
      </c>
      <c r="C216" t="inlineStr">
        <is>
          <t>SETA01</t>
        </is>
      </c>
      <c r="D216" t="n">
        <v>4</v>
      </c>
      <c r="E216" t="b">
        <v>1</v>
      </c>
      <c r="F216" t="n">
        <v>215</v>
      </c>
    </row>
    <row r="217">
      <c r="A217" t="inlineStr">
        <is>
          <t>SS45021</t>
        </is>
      </c>
      <c r="B217" s="14" t="inlineStr">
        <is>
          <t>New trucks</t>
        </is>
      </c>
      <c r="C217" t="inlineStr">
        <is>
          <t>SETA01</t>
        </is>
      </c>
      <c r="D217" t="n">
        <v>4</v>
      </c>
      <c r="E217" t="b">
        <v>1</v>
      </c>
      <c r="F217" t="n">
        <v>216</v>
      </c>
    </row>
    <row r="218">
      <c r="A218" t="inlineStr">
        <is>
          <t>SS45031</t>
        </is>
      </c>
      <c r="B218" s="14" t="inlineStr">
        <is>
          <t>New motorcycles</t>
        </is>
      </c>
      <c r="C218" t="inlineStr">
        <is>
          <t>SETA01</t>
        </is>
      </c>
      <c r="D218" t="n">
        <v>4</v>
      </c>
      <c r="E218" t="b">
        <v>1</v>
      </c>
      <c r="F218" t="n">
        <v>217</v>
      </c>
    </row>
    <row r="219">
      <c r="A219" t="inlineStr">
        <is>
          <t>SETA02</t>
        </is>
      </c>
      <c r="B219" s="13" t="inlineStr">
        <is>
          <t>Used cars and trucks</t>
        </is>
      </c>
      <c r="C219" t="inlineStr">
        <is>
          <t>SETA</t>
        </is>
      </c>
      <c r="D219" t="n">
        <v>3</v>
      </c>
      <c r="E219" t="b">
        <v>1</v>
      </c>
      <c r="F219" t="n">
        <v>218</v>
      </c>
    </row>
    <row r="220">
      <c r="A220" t="inlineStr">
        <is>
          <t>SETA03</t>
        </is>
      </c>
      <c r="B220" s="13" t="inlineStr">
        <is>
          <t>Leased cars and trucks</t>
        </is>
      </c>
      <c r="C220" t="inlineStr">
        <is>
          <t>SETA</t>
        </is>
      </c>
      <c r="D220" t="n">
        <v>3</v>
      </c>
      <c r="E220" t="b">
        <v>1</v>
      </c>
      <c r="F220" t="n">
        <v>219</v>
      </c>
    </row>
    <row r="221">
      <c r="A221" t="inlineStr">
        <is>
          <t>SETA04</t>
        </is>
      </c>
      <c r="B221" s="13" t="inlineStr">
        <is>
          <t>Car and truck rental</t>
        </is>
      </c>
      <c r="C221" t="inlineStr">
        <is>
          <t>SETA</t>
        </is>
      </c>
      <c r="D221" t="n">
        <v>3</v>
      </c>
      <c r="E221" t="b">
        <v>1</v>
      </c>
      <c r="F221" t="n">
        <v>220</v>
      </c>
    </row>
    <row r="222">
      <c r="A222" t="inlineStr">
        <is>
          <t>SETB</t>
        </is>
      </c>
      <c r="B222" s="12" t="inlineStr">
        <is>
          <t>Motor fuel</t>
        </is>
      </c>
      <c r="C222" t="inlineStr">
        <is>
          <t>SAT1</t>
        </is>
      </c>
      <c r="D222" t="n">
        <v>2</v>
      </c>
      <c r="E222" t="b">
        <v>0</v>
      </c>
      <c r="F222" t="n">
        <v>221</v>
      </c>
    </row>
    <row r="223">
      <c r="A223" t="inlineStr">
        <is>
          <t>SETB01</t>
        </is>
      </c>
      <c r="B223" s="13" t="inlineStr">
        <is>
          <t>Gasoline (all types)</t>
        </is>
      </c>
      <c r="C223" t="inlineStr">
        <is>
          <t>SETB</t>
        </is>
      </c>
      <c r="D223" t="n">
        <v>3</v>
      </c>
      <c r="E223" t="b">
        <v>0</v>
      </c>
      <c r="F223" t="n">
        <v>222</v>
      </c>
    </row>
    <row r="224">
      <c r="A224" t="inlineStr">
        <is>
          <t>SS47014</t>
        </is>
      </c>
      <c r="B224" s="14" t="inlineStr">
        <is>
          <t>Gasoline, unleaded regular</t>
        </is>
      </c>
      <c r="C224" t="inlineStr">
        <is>
          <t>SETB01</t>
        </is>
      </c>
      <c r="D224" t="n">
        <v>4</v>
      </c>
      <c r="E224" t="b">
        <v>1</v>
      </c>
      <c r="F224" t="n">
        <v>223</v>
      </c>
    </row>
    <row r="225">
      <c r="A225" t="inlineStr">
        <is>
          <t>SS47015</t>
        </is>
      </c>
      <c r="B225" s="14" t="inlineStr">
        <is>
          <t>Gasoline, unleaded midgrade</t>
        </is>
      </c>
      <c r="C225" t="inlineStr">
        <is>
          <t>SETB01</t>
        </is>
      </c>
      <c r="D225" t="n">
        <v>4</v>
      </c>
      <c r="E225" t="b">
        <v>1</v>
      </c>
      <c r="F225" t="n">
        <v>224</v>
      </c>
    </row>
    <row r="226">
      <c r="A226" t="inlineStr">
        <is>
          <t>SS47016</t>
        </is>
      </c>
      <c r="B226" s="14" t="inlineStr">
        <is>
          <t>Gasoline, unleaded premium</t>
        </is>
      </c>
      <c r="C226" t="inlineStr">
        <is>
          <t>SETB01</t>
        </is>
      </c>
      <c r="D226" t="n">
        <v>4</v>
      </c>
      <c r="E226" t="b">
        <v>1</v>
      </c>
      <c r="F226" t="n">
        <v>225</v>
      </c>
    </row>
    <row r="227">
      <c r="A227" t="inlineStr">
        <is>
          <t>SETB02</t>
        </is>
      </c>
      <c r="B227" s="13" t="inlineStr">
        <is>
          <t>Other motor fuels</t>
        </is>
      </c>
      <c r="C227" t="inlineStr">
        <is>
          <t>SETB</t>
        </is>
      </c>
      <c r="D227" t="n">
        <v>3</v>
      </c>
      <c r="E227" t="b">
        <v>1</v>
      </c>
      <c r="F227" t="n">
        <v>226</v>
      </c>
    </row>
    <row r="228">
      <c r="A228" t="inlineStr">
        <is>
          <t>SETC</t>
        </is>
      </c>
      <c r="B228" s="12" t="inlineStr">
        <is>
          <t>Motor vehicle parts and equipment</t>
        </is>
      </c>
      <c r="C228" t="inlineStr">
        <is>
          <t>SAT1</t>
        </is>
      </c>
      <c r="D228" t="n">
        <v>2</v>
      </c>
      <c r="E228" t="b">
        <v>0</v>
      </c>
      <c r="F228" t="n">
        <v>227</v>
      </c>
    </row>
    <row r="229">
      <c r="A229" t="inlineStr">
        <is>
          <t>SETC01</t>
        </is>
      </c>
      <c r="B229" s="13" t="inlineStr">
        <is>
          <t>Tires</t>
        </is>
      </c>
      <c r="C229" t="inlineStr">
        <is>
          <t>SETC</t>
        </is>
      </c>
      <c r="D229" t="n">
        <v>3</v>
      </c>
      <c r="E229" t="b">
        <v>1</v>
      </c>
      <c r="F229" t="n">
        <v>228</v>
      </c>
    </row>
    <row r="230">
      <c r="A230" t="inlineStr">
        <is>
          <t>SETC02</t>
        </is>
      </c>
      <c r="B230" s="13" t="inlineStr">
        <is>
          <t>Vehicle accessories other than tires</t>
        </is>
      </c>
      <c r="C230" t="inlineStr">
        <is>
          <t>SETC</t>
        </is>
      </c>
      <c r="D230" t="n">
        <v>3</v>
      </c>
      <c r="E230" t="b">
        <v>0</v>
      </c>
      <c r="F230" t="n">
        <v>229</v>
      </c>
    </row>
    <row r="231">
      <c r="A231" t="inlineStr">
        <is>
          <t>SS48021</t>
        </is>
      </c>
      <c r="B231" s="14" t="inlineStr">
        <is>
          <t>Vehicle parts and equipment other than tires</t>
        </is>
      </c>
      <c r="C231" t="inlineStr">
        <is>
          <t>SETC02</t>
        </is>
      </c>
      <c r="D231" t="n">
        <v>4</v>
      </c>
      <c r="E231" t="b">
        <v>1</v>
      </c>
      <c r="F231" t="n">
        <v>230</v>
      </c>
    </row>
    <row r="232">
      <c r="A232" t="inlineStr">
        <is>
          <t>SS47021</t>
        </is>
      </c>
      <c r="B232" s="14" t="inlineStr">
        <is>
          <t>Motor oil, coolant, and fluids</t>
        </is>
      </c>
      <c r="C232" t="inlineStr">
        <is>
          <t>SETC02</t>
        </is>
      </c>
      <c r="D232" t="n">
        <v>4</v>
      </c>
      <c r="E232" t="b">
        <v>1</v>
      </c>
      <c r="F232" t="n">
        <v>231</v>
      </c>
    </row>
    <row r="233">
      <c r="A233" t="inlineStr">
        <is>
          <t>SETD</t>
        </is>
      </c>
      <c r="B233" s="12" t="inlineStr">
        <is>
          <t>Motor vehicle maintenance and repair</t>
        </is>
      </c>
      <c r="C233" t="inlineStr">
        <is>
          <t>SAT1</t>
        </is>
      </c>
      <c r="D233" t="n">
        <v>2</v>
      </c>
      <c r="E233" t="b">
        <v>0</v>
      </c>
      <c r="F233" t="n">
        <v>232</v>
      </c>
    </row>
    <row r="234">
      <c r="A234" t="inlineStr">
        <is>
          <t>SETD01</t>
        </is>
      </c>
      <c r="B234" s="13" t="inlineStr">
        <is>
          <t>Motor vehicle body work</t>
        </is>
      </c>
      <c r="C234" t="inlineStr">
        <is>
          <t>SETD</t>
        </is>
      </c>
      <c r="D234" t="n">
        <v>3</v>
      </c>
      <c r="E234" t="b">
        <v>1</v>
      </c>
      <c r="F234" t="n">
        <v>233</v>
      </c>
    </row>
    <row r="235">
      <c r="A235" t="inlineStr">
        <is>
          <t>SETD02</t>
        </is>
      </c>
      <c r="B235" s="13" t="inlineStr">
        <is>
          <t>Motor vehicle maintenance and servicing</t>
        </is>
      </c>
      <c r="C235" t="inlineStr">
        <is>
          <t>SETD</t>
        </is>
      </c>
      <c r="D235" t="n">
        <v>3</v>
      </c>
      <c r="E235" t="b">
        <v>1</v>
      </c>
      <c r="F235" t="n">
        <v>234</v>
      </c>
    </row>
    <row r="236">
      <c r="A236" t="inlineStr">
        <is>
          <t>SETD03</t>
        </is>
      </c>
      <c r="B236" s="13" t="inlineStr">
        <is>
          <t>Motor vehicle repair</t>
        </is>
      </c>
      <c r="C236" t="inlineStr">
        <is>
          <t>SETD</t>
        </is>
      </c>
      <c r="D236" t="n">
        <v>3</v>
      </c>
      <c r="E236" t="b">
        <v>1</v>
      </c>
      <c r="F236" t="n">
        <v>235</v>
      </c>
    </row>
    <row r="237">
      <c r="A237" t="inlineStr">
        <is>
          <t>SETE</t>
        </is>
      </c>
      <c r="B237" s="12" t="inlineStr">
        <is>
          <t>Motor vehicle insurance</t>
        </is>
      </c>
      <c r="C237" t="inlineStr">
        <is>
          <t>SAT1</t>
        </is>
      </c>
      <c r="D237" t="n">
        <v>2</v>
      </c>
      <c r="E237" t="b">
        <v>1</v>
      </c>
      <c r="F237" t="n">
        <v>236</v>
      </c>
    </row>
    <row r="238">
      <c r="A238" t="inlineStr">
        <is>
          <t>SETF</t>
        </is>
      </c>
      <c r="B238" s="12" t="inlineStr">
        <is>
          <t>Motor vehicle fees</t>
        </is>
      </c>
      <c r="C238" t="inlineStr">
        <is>
          <t>SAT1</t>
        </is>
      </c>
      <c r="D238" t="n">
        <v>2</v>
      </c>
      <c r="E238" t="b">
        <v>0</v>
      </c>
      <c r="F238" t="n">
        <v>237</v>
      </c>
    </row>
    <row r="239">
      <c r="A239" t="inlineStr">
        <is>
          <t>SETF01</t>
        </is>
      </c>
      <c r="B239" s="13" t="inlineStr">
        <is>
          <t>State motor vehicle registration and license fees</t>
        </is>
      </c>
      <c r="C239" t="inlineStr">
        <is>
          <t>SETF</t>
        </is>
      </c>
      <c r="D239" t="n">
        <v>3</v>
      </c>
      <c r="E239" t="b">
        <v>1</v>
      </c>
      <c r="F239" t="n">
        <v>238</v>
      </c>
    </row>
    <row r="240">
      <c r="A240" t="inlineStr">
        <is>
          <t>SETF03</t>
        </is>
      </c>
      <c r="B240" s="13" t="inlineStr">
        <is>
          <t>Parking and other fees</t>
        </is>
      </c>
      <c r="C240" t="inlineStr">
        <is>
          <t>SETF</t>
        </is>
      </c>
      <c r="D240" t="n">
        <v>3</v>
      </c>
      <c r="E240" t="b">
        <v>0</v>
      </c>
      <c r="F240" t="n">
        <v>239</v>
      </c>
    </row>
    <row r="241">
      <c r="A241" t="inlineStr">
        <is>
          <t>SS52051</t>
        </is>
      </c>
      <c r="B241" s="14" t="inlineStr">
        <is>
          <t>Parking fees and tolls</t>
        </is>
      </c>
      <c r="C241" t="inlineStr">
        <is>
          <t>SETF03</t>
        </is>
      </c>
      <c r="D241" t="n">
        <v>4</v>
      </c>
      <c r="E241" t="b">
        <v>1</v>
      </c>
      <c r="F241" t="n">
        <v>240</v>
      </c>
    </row>
    <row r="242">
      <c r="A242" t="inlineStr">
        <is>
          <t>SS62011</t>
        </is>
      </c>
      <c r="B242" s="14" t="inlineStr">
        <is>
          <t>Automobile service clubs</t>
        </is>
      </c>
      <c r="C242" t="inlineStr">
        <is>
          <t>SETF03</t>
        </is>
      </c>
      <c r="D242" t="n">
        <v>4</v>
      </c>
      <c r="E242" t="b">
        <v>1</v>
      </c>
      <c r="F242" t="n">
        <v>241</v>
      </c>
    </row>
    <row r="243">
      <c r="A243" t="inlineStr">
        <is>
          <t>SETG</t>
        </is>
      </c>
      <c r="B243" s="11" t="inlineStr">
        <is>
          <t>Public transportation</t>
        </is>
      </c>
      <c r="C243" t="inlineStr">
        <is>
          <t>SAT</t>
        </is>
      </c>
      <c r="D243" t="n">
        <v>1</v>
      </c>
      <c r="E243" t="b">
        <v>0</v>
      </c>
      <c r="F243" t="n">
        <v>242</v>
      </c>
    </row>
    <row r="244">
      <c r="A244" t="inlineStr">
        <is>
          <t>SETG01</t>
        </is>
      </c>
      <c r="B244" s="12" t="inlineStr">
        <is>
          <t>Airline fares</t>
        </is>
      </c>
      <c r="C244" t="inlineStr">
        <is>
          <t>SETG</t>
        </is>
      </c>
      <c r="D244" t="n">
        <v>2</v>
      </c>
      <c r="E244" t="b">
        <v>1</v>
      </c>
      <c r="F244" t="n">
        <v>243</v>
      </c>
    </row>
    <row r="245">
      <c r="A245" t="inlineStr">
        <is>
          <t>SETG02</t>
        </is>
      </c>
      <c r="B245" s="12" t="inlineStr">
        <is>
          <t>Other intercity transportation</t>
        </is>
      </c>
      <c r="C245" t="inlineStr">
        <is>
          <t>SETG</t>
        </is>
      </c>
      <c r="D245" t="n">
        <v>2</v>
      </c>
      <c r="E245" t="b">
        <v>0</v>
      </c>
      <c r="F245" t="n">
        <v>244</v>
      </c>
    </row>
    <row r="246">
      <c r="A246" t="inlineStr">
        <is>
          <t>SS53021</t>
        </is>
      </c>
      <c r="B246" s="13" t="inlineStr">
        <is>
          <t>Intercity bus fare</t>
        </is>
      </c>
      <c r="C246" t="inlineStr">
        <is>
          <t>SETG02</t>
        </is>
      </c>
      <c r="D246" t="n">
        <v>3</v>
      </c>
      <c r="E246" t="b">
        <v>1</v>
      </c>
      <c r="F246" t="n">
        <v>245</v>
      </c>
    </row>
    <row r="247">
      <c r="A247" t="inlineStr">
        <is>
          <t>SS53022</t>
        </is>
      </c>
      <c r="B247" s="13" t="inlineStr">
        <is>
          <t>Intercity train fare</t>
        </is>
      </c>
      <c r="C247" t="inlineStr">
        <is>
          <t>SETG02</t>
        </is>
      </c>
      <c r="D247" t="n">
        <v>3</v>
      </c>
      <c r="E247" t="b">
        <v>1</v>
      </c>
      <c r="F247" t="n">
        <v>246</v>
      </c>
    </row>
    <row r="248">
      <c r="A248" t="inlineStr">
        <is>
          <t>SS53023</t>
        </is>
      </c>
      <c r="B248" s="13" t="inlineStr">
        <is>
          <t>Ship fare</t>
        </is>
      </c>
      <c r="C248" t="inlineStr">
        <is>
          <t>SETG02</t>
        </is>
      </c>
      <c r="D248" t="n">
        <v>3</v>
      </c>
      <c r="E248" t="b">
        <v>1</v>
      </c>
      <c r="F248" t="n">
        <v>247</v>
      </c>
    </row>
    <row r="249">
      <c r="A249" t="inlineStr">
        <is>
          <t>SETG03</t>
        </is>
      </c>
      <c r="B249" s="12" t="inlineStr">
        <is>
          <t>Intracity transportation</t>
        </is>
      </c>
      <c r="C249" t="inlineStr">
        <is>
          <t>SETG</t>
        </is>
      </c>
      <c r="D249" t="n">
        <v>2</v>
      </c>
      <c r="E249" t="b">
        <v>0</v>
      </c>
      <c r="F249" t="n">
        <v>248</v>
      </c>
    </row>
    <row r="250">
      <c r="A250" t="inlineStr">
        <is>
          <t>SS53031</t>
        </is>
      </c>
      <c r="B250" s="13" t="inlineStr">
        <is>
          <t>Intracity mass transit</t>
        </is>
      </c>
      <c r="C250" t="inlineStr">
        <is>
          <t>SETG03</t>
        </is>
      </c>
      <c r="D250" t="n">
        <v>3</v>
      </c>
      <c r="E250" t="b">
        <v>1</v>
      </c>
      <c r="F250" t="n">
        <v>249</v>
      </c>
    </row>
    <row r="251">
      <c r="A251" t="inlineStr">
        <is>
          <t>SAM</t>
        </is>
      </c>
      <c r="B251" t="inlineStr">
        <is>
          <t>Medical care</t>
        </is>
      </c>
      <c r="C251" t="inlineStr">
        <is>
          <t>SA0</t>
        </is>
      </c>
      <c r="D251" t="n">
        <v>0</v>
      </c>
      <c r="E251" t="b">
        <v>0</v>
      </c>
      <c r="F251" t="n">
        <v>250</v>
      </c>
    </row>
    <row r="252">
      <c r="A252" t="inlineStr">
        <is>
          <t>SAM1</t>
        </is>
      </c>
      <c r="B252" s="11" t="inlineStr">
        <is>
          <t>Medical care commodities</t>
        </is>
      </c>
      <c r="C252" t="inlineStr">
        <is>
          <t>SAM</t>
        </is>
      </c>
      <c r="D252" t="n">
        <v>1</v>
      </c>
      <c r="E252" t="b">
        <v>0</v>
      </c>
      <c r="F252" t="n">
        <v>251</v>
      </c>
    </row>
    <row r="253">
      <c r="A253" t="inlineStr">
        <is>
          <t>SEMF</t>
        </is>
      </c>
      <c r="B253" s="12" t="inlineStr">
        <is>
          <t>Medicinal drugs</t>
        </is>
      </c>
      <c r="C253" t="inlineStr">
        <is>
          <t>SAM1</t>
        </is>
      </c>
      <c r="D253" t="n">
        <v>2</v>
      </c>
      <c r="E253" t="b">
        <v>0</v>
      </c>
      <c r="F253" t="n">
        <v>252</v>
      </c>
    </row>
    <row r="254">
      <c r="A254" t="inlineStr">
        <is>
          <t>SEMF01</t>
        </is>
      </c>
      <c r="B254" s="13" t="inlineStr">
        <is>
          <t>Prescription drugs</t>
        </is>
      </c>
      <c r="C254" t="inlineStr">
        <is>
          <t>SEMF</t>
        </is>
      </c>
      <c r="D254" t="n">
        <v>3</v>
      </c>
      <c r="E254" t="b">
        <v>1</v>
      </c>
      <c r="F254" t="n">
        <v>253</v>
      </c>
    </row>
    <row r="255">
      <c r="A255" t="inlineStr">
        <is>
          <t>SEMF02</t>
        </is>
      </c>
      <c r="B255" s="13" t="inlineStr">
        <is>
          <t>Nonprescription drugs</t>
        </is>
      </c>
      <c r="C255" t="inlineStr">
        <is>
          <t>SEMF</t>
        </is>
      </c>
      <c r="D255" t="n">
        <v>3</v>
      </c>
      <c r="E255" t="b">
        <v>1</v>
      </c>
      <c r="F255" t="n">
        <v>254</v>
      </c>
    </row>
    <row r="256">
      <c r="A256" t="inlineStr">
        <is>
          <t>SEMG</t>
        </is>
      </c>
      <c r="B256" s="12" t="inlineStr">
        <is>
          <t>Medical equipment and supplies</t>
        </is>
      </c>
      <c r="C256" t="inlineStr">
        <is>
          <t>SAM1</t>
        </is>
      </c>
      <c r="D256" t="n">
        <v>2</v>
      </c>
      <c r="E256" t="b">
        <v>1</v>
      </c>
      <c r="F256" t="n">
        <v>255</v>
      </c>
    </row>
    <row r="257">
      <c r="A257" t="inlineStr">
        <is>
          <t>SAM2</t>
        </is>
      </c>
      <c r="B257" s="11" t="inlineStr">
        <is>
          <t>Medical care services</t>
        </is>
      </c>
      <c r="C257" t="inlineStr">
        <is>
          <t>SAM</t>
        </is>
      </c>
      <c r="D257" t="n">
        <v>1</v>
      </c>
      <c r="E257" t="b">
        <v>0</v>
      </c>
      <c r="F257" t="n">
        <v>256</v>
      </c>
    </row>
    <row r="258">
      <c r="A258" t="inlineStr">
        <is>
          <t>SEMC</t>
        </is>
      </c>
      <c r="B258" s="12" t="inlineStr">
        <is>
          <t>Professional services</t>
        </is>
      </c>
      <c r="C258" t="inlineStr">
        <is>
          <t>SAM2</t>
        </is>
      </c>
      <c r="D258" t="n">
        <v>2</v>
      </c>
      <c r="E258" t="b">
        <v>0</v>
      </c>
      <c r="F258" t="n">
        <v>257</v>
      </c>
    </row>
    <row r="259">
      <c r="A259" t="inlineStr">
        <is>
          <t>SEMC01</t>
        </is>
      </c>
      <c r="B259" s="13" t="inlineStr">
        <is>
          <t>Physicians' services</t>
        </is>
      </c>
      <c r="C259" t="inlineStr">
        <is>
          <t>SEMC</t>
        </is>
      </c>
      <c r="D259" t="n">
        <v>3</v>
      </c>
      <c r="E259" t="b">
        <v>1</v>
      </c>
      <c r="F259" t="n">
        <v>258</v>
      </c>
    </row>
    <row r="260">
      <c r="A260" t="inlineStr">
        <is>
          <t>SEMC02</t>
        </is>
      </c>
      <c r="B260" s="13" t="inlineStr">
        <is>
          <t>Dental services</t>
        </is>
      </c>
      <c r="C260" t="inlineStr">
        <is>
          <t>SEMC</t>
        </is>
      </c>
      <c r="D260" t="n">
        <v>3</v>
      </c>
      <c r="E260" t="b">
        <v>1</v>
      </c>
      <c r="F260" t="n">
        <v>259</v>
      </c>
    </row>
    <row r="261">
      <c r="A261" t="inlineStr">
        <is>
          <t>SEMC03</t>
        </is>
      </c>
      <c r="B261" s="13" t="inlineStr">
        <is>
          <t>Eyeglasses and eye care</t>
        </is>
      </c>
      <c r="C261" t="inlineStr">
        <is>
          <t>SEMC</t>
        </is>
      </c>
      <c r="D261" t="n">
        <v>3</v>
      </c>
      <c r="E261" t="b">
        <v>1</v>
      </c>
      <c r="F261" t="n">
        <v>260</v>
      </c>
    </row>
    <row r="262">
      <c r="A262" t="inlineStr">
        <is>
          <t>SEMC04</t>
        </is>
      </c>
      <c r="B262" s="13" t="inlineStr">
        <is>
          <t>Services by other medical professionals</t>
        </is>
      </c>
      <c r="C262" t="inlineStr">
        <is>
          <t>SEMC</t>
        </is>
      </c>
      <c r="D262" t="n">
        <v>3</v>
      </c>
      <c r="E262" t="b">
        <v>1</v>
      </c>
      <c r="F262" t="n">
        <v>261</v>
      </c>
    </row>
    <row r="263">
      <c r="A263" t="inlineStr">
        <is>
          <t>SEMD</t>
        </is>
      </c>
      <c r="B263" s="12" t="inlineStr">
        <is>
          <t>Hospital and related services</t>
        </is>
      </c>
      <c r="C263" t="inlineStr">
        <is>
          <t>SAM2</t>
        </is>
      </c>
      <c r="D263" t="n">
        <v>2</v>
      </c>
      <c r="E263" t="b">
        <v>0</v>
      </c>
      <c r="F263" t="n">
        <v>262</v>
      </c>
    </row>
    <row r="264">
      <c r="A264" t="inlineStr">
        <is>
          <t>SEMD01</t>
        </is>
      </c>
      <c r="B264" s="13" t="inlineStr">
        <is>
          <t>Hospital services</t>
        </is>
      </c>
      <c r="C264" t="inlineStr">
        <is>
          <t>SEMD</t>
        </is>
      </c>
      <c r="D264" t="n">
        <v>3</v>
      </c>
      <c r="E264" t="b">
        <v>0</v>
      </c>
      <c r="F264" t="n">
        <v>263</v>
      </c>
    </row>
    <row r="265">
      <c r="A265" t="inlineStr">
        <is>
          <t>SS5702</t>
        </is>
      </c>
      <c r="B265" s="14" t="inlineStr">
        <is>
          <t>Inpatient hospital services</t>
        </is>
      </c>
      <c r="C265" t="inlineStr">
        <is>
          <t>SEMD01</t>
        </is>
      </c>
      <c r="D265" t="n">
        <v>4</v>
      </c>
      <c r="E265" t="b">
        <v>1</v>
      </c>
      <c r="F265" t="n">
        <v>264</v>
      </c>
    </row>
    <row r="266">
      <c r="A266" t="inlineStr">
        <is>
          <t>SS5703</t>
        </is>
      </c>
      <c r="B266" s="14" t="inlineStr">
        <is>
          <t>Outpatient hospital services</t>
        </is>
      </c>
      <c r="C266" t="inlineStr">
        <is>
          <t>SEMD01</t>
        </is>
      </c>
      <c r="D266" t="n">
        <v>4</v>
      </c>
      <c r="E266" t="b">
        <v>1</v>
      </c>
      <c r="F266" t="n">
        <v>265</v>
      </c>
    </row>
    <row r="267">
      <c r="A267" t="inlineStr">
        <is>
          <t>SEMD02</t>
        </is>
      </c>
      <c r="B267" s="13" t="inlineStr">
        <is>
          <t>Nursing homes and adult day services</t>
        </is>
      </c>
      <c r="C267" t="inlineStr">
        <is>
          <t>SEMD</t>
        </is>
      </c>
      <c r="D267" t="n">
        <v>3</v>
      </c>
      <c r="E267" t="b">
        <v>1</v>
      </c>
      <c r="F267" t="n">
        <v>266</v>
      </c>
    </row>
    <row r="268">
      <c r="A268" t="inlineStr">
        <is>
          <t>SEMD03</t>
        </is>
      </c>
      <c r="B268" s="13" t="inlineStr">
        <is>
          <t>Home health care</t>
        </is>
      </c>
      <c r="C268" t="inlineStr">
        <is>
          <t>SEMD</t>
        </is>
      </c>
      <c r="D268" t="n">
        <v>3</v>
      </c>
      <c r="E268" t="b">
        <v>1</v>
      </c>
      <c r="F268" t="n">
        <v>267</v>
      </c>
    </row>
    <row r="269">
      <c r="A269" t="inlineStr">
        <is>
          <t>SEME</t>
        </is>
      </c>
      <c r="B269" s="12" t="inlineStr">
        <is>
          <t>Health insurance</t>
        </is>
      </c>
      <c r="C269" t="inlineStr">
        <is>
          <t>SAM2</t>
        </is>
      </c>
      <c r="D269" t="n">
        <v>2</v>
      </c>
      <c r="E269" t="b">
        <v>1</v>
      </c>
      <c r="F269" t="n">
        <v>268</v>
      </c>
    </row>
    <row r="270">
      <c r="A270" t="inlineStr">
        <is>
          <t>SAR</t>
        </is>
      </c>
      <c r="B270" t="inlineStr">
        <is>
          <t>Recreation</t>
        </is>
      </c>
      <c r="C270" t="inlineStr">
        <is>
          <t>SA0</t>
        </is>
      </c>
      <c r="D270" t="n">
        <v>0</v>
      </c>
      <c r="E270" t="b">
        <v>0</v>
      </c>
      <c r="F270" t="n">
        <v>269</v>
      </c>
    </row>
    <row r="271">
      <c r="A271" t="inlineStr">
        <is>
          <t>SERA</t>
        </is>
      </c>
      <c r="B271" s="11" t="inlineStr">
        <is>
          <t>Video and audio</t>
        </is>
      </c>
      <c r="C271" t="inlineStr">
        <is>
          <t>SAR</t>
        </is>
      </c>
      <c r="D271" t="n">
        <v>1</v>
      </c>
      <c r="E271" t="b">
        <v>0</v>
      </c>
      <c r="F271" t="n">
        <v>270</v>
      </c>
    </row>
    <row r="272">
      <c r="A272" t="inlineStr">
        <is>
          <t>SERA01</t>
        </is>
      </c>
      <c r="B272" s="12" t="inlineStr">
        <is>
          <t>Televisions</t>
        </is>
      </c>
      <c r="C272" t="inlineStr">
        <is>
          <t>SERA</t>
        </is>
      </c>
      <c r="D272" t="n">
        <v>2</v>
      </c>
      <c r="E272" t="b">
        <v>1</v>
      </c>
      <c r="F272" t="n">
        <v>271</v>
      </c>
    </row>
    <row r="273">
      <c r="A273" t="inlineStr">
        <is>
          <t>SERA02</t>
        </is>
      </c>
      <c r="B273" s="12" t="inlineStr">
        <is>
          <t>Cable, satellite, and live streaming television service</t>
        </is>
      </c>
      <c r="C273" t="inlineStr">
        <is>
          <t>SERA</t>
        </is>
      </c>
      <c r="D273" t="n">
        <v>2</v>
      </c>
      <c r="E273" t="b">
        <v>1</v>
      </c>
      <c r="F273" t="n">
        <v>272</v>
      </c>
    </row>
    <row r="274">
      <c r="A274" t="inlineStr">
        <is>
          <t>SERA03</t>
        </is>
      </c>
      <c r="B274" s="12" t="inlineStr">
        <is>
          <t>Other video equipment</t>
        </is>
      </c>
      <c r="C274" t="inlineStr">
        <is>
          <t>SERA</t>
        </is>
      </c>
      <c r="D274" t="n">
        <v>2</v>
      </c>
      <c r="E274" t="b">
        <v>1</v>
      </c>
      <c r="F274" t="n">
        <v>273</v>
      </c>
    </row>
    <row r="275">
      <c r="A275" t="inlineStr">
        <is>
          <t>SERA04</t>
        </is>
      </c>
      <c r="B275" s="12" t="inlineStr">
        <is>
          <t>Purchase, subscription, and rental of video</t>
        </is>
      </c>
      <c r="C275" t="inlineStr">
        <is>
          <t>SERA</t>
        </is>
      </c>
      <c r="D275" t="n">
        <v>2</v>
      </c>
      <c r="E275" t="b">
        <v>0</v>
      </c>
      <c r="F275" t="n">
        <v>274</v>
      </c>
    </row>
    <row r="276">
      <c r="A276" t="inlineStr">
        <is>
          <t>SS31022</t>
        </is>
      </c>
      <c r="B276" s="13" t="inlineStr">
        <is>
          <t>Video discs and other media</t>
        </is>
      </c>
      <c r="C276" t="inlineStr">
        <is>
          <t>SERA04</t>
        </is>
      </c>
      <c r="D276" t="n">
        <v>3</v>
      </c>
      <c r="E276" t="b">
        <v>1</v>
      </c>
      <c r="F276" t="n">
        <v>275</v>
      </c>
    </row>
    <row r="277">
      <c r="A277" t="inlineStr">
        <is>
          <t>SS62055</t>
        </is>
      </c>
      <c r="B277" s="13" t="inlineStr">
        <is>
          <t>Subscription and rental of video and video games</t>
        </is>
      </c>
      <c r="C277" t="inlineStr">
        <is>
          <t>SERA04</t>
        </is>
      </c>
      <c r="D277" t="n">
        <v>3</v>
      </c>
      <c r="E277" t="b">
        <v>1</v>
      </c>
      <c r="F277" t="n">
        <v>276</v>
      </c>
    </row>
    <row r="278">
      <c r="A278" t="inlineStr">
        <is>
          <t>SERA05</t>
        </is>
      </c>
      <c r="B278" s="12" t="inlineStr">
        <is>
          <t>Audio equipment</t>
        </is>
      </c>
      <c r="C278" t="inlineStr">
        <is>
          <t>SERA</t>
        </is>
      </c>
      <c r="D278" t="n">
        <v>2</v>
      </c>
      <c r="E278" t="b">
        <v>1</v>
      </c>
      <c r="F278" t="n">
        <v>277</v>
      </c>
    </row>
    <row r="279">
      <c r="A279" t="inlineStr">
        <is>
          <t>SERA06</t>
        </is>
      </c>
      <c r="B279" s="12" t="inlineStr">
        <is>
          <t>Recorded music and music subscriptions</t>
        </is>
      </c>
      <c r="C279" t="inlineStr">
        <is>
          <t>SERA</t>
        </is>
      </c>
      <c r="D279" t="n">
        <v>2</v>
      </c>
      <c r="E279" t="b">
        <v>1</v>
      </c>
      <c r="F279" t="n">
        <v>278</v>
      </c>
    </row>
    <row r="280">
      <c r="A280" t="inlineStr">
        <is>
          <t>SERB</t>
        </is>
      </c>
      <c r="B280" s="11" t="inlineStr">
        <is>
          <t>Pets, pet products and services</t>
        </is>
      </c>
      <c r="C280" t="inlineStr">
        <is>
          <t>SAR</t>
        </is>
      </c>
      <c r="D280" t="n">
        <v>1</v>
      </c>
      <c r="E280" t="b">
        <v>0</v>
      </c>
      <c r="F280" t="n">
        <v>279</v>
      </c>
    </row>
    <row r="281">
      <c r="A281" t="inlineStr">
        <is>
          <t>SERB01</t>
        </is>
      </c>
      <c r="B281" s="12" t="inlineStr">
        <is>
          <t>Pets and pet products</t>
        </is>
      </c>
      <c r="C281" t="inlineStr">
        <is>
          <t>SERB</t>
        </is>
      </c>
      <c r="D281" t="n">
        <v>2</v>
      </c>
      <c r="E281" t="b">
        <v>0</v>
      </c>
      <c r="F281" t="n">
        <v>280</v>
      </c>
    </row>
    <row r="282">
      <c r="A282" t="inlineStr">
        <is>
          <t>SS61031</t>
        </is>
      </c>
      <c r="B282" s="13" t="inlineStr">
        <is>
          <t>Pet food and treats</t>
        </is>
      </c>
      <c r="C282" t="inlineStr">
        <is>
          <t>SERB01</t>
        </is>
      </c>
      <c r="D282" t="n">
        <v>3</v>
      </c>
      <c r="E282" t="b">
        <v>1</v>
      </c>
      <c r="F282" t="n">
        <v>281</v>
      </c>
    </row>
    <row r="283">
      <c r="A283" t="inlineStr">
        <is>
          <t>SS61032</t>
        </is>
      </c>
      <c r="B283" s="13" t="inlineStr">
        <is>
          <t>Purchase of pets, pet supplies, accessories</t>
        </is>
      </c>
      <c r="C283" t="inlineStr">
        <is>
          <t>SERB01</t>
        </is>
      </c>
      <c r="D283" t="n">
        <v>3</v>
      </c>
      <c r="E283" t="b">
        <v>1</v>
      </c>
      <c r="F283" t="n">
        <v>282</v>
      </c>
    </row>
    <row r="284">
      <c r="A284" t="inlineStr">
        <is>
          <t>SERB02</t>
        </is>
      </c>
      <c r="B284" s="12" t="inlineStr">
        <is>
          <t>Pet services including veterinary</t>
        </is>
      </c>
      <c r="C284" t="inlineStr">
        <is>
          <t>SERB</t>
        </is>
      </c>
      <c r="D284" t="n">
        <v>2</v>
      </c>
      <c r="E284" t="b">
        <v>0</v>
      </c>
      <c r="F284" t="n">
        <v>283</v>
      </c>
    </row>
    <row r="285">
      <c r="A285" t="inlineStr">
        <is>
          <t>SS62053</t>
        </is>
      </c>
      <c r="B285" s="13" t="inlineStr">
        <is>
          <t>Pet services</t>
        </is>
      </c>
      <c r="C285" t="inlineStr">
        <is>
          <t>SERB02</t>
        </is>
      </c>
      <c r="D285" t="n">
        <v>3</v>
      </c>
      <c r="E285" t="b">
        <v>1</v>
      </c>
      <c r="F285" t="n">
        <v>284</v>
      </c>
    </row>
    <row r="286">
      <c r="A286" t="inlineStr">
        <is>
          <t>SS62054</t>
        </is>
      </c>
      <c r="B286" s="13" t="inlineStr">
        <is>
          <t>Veterinarian services</t>
        </is>
      </c>
      <c r="C286" t="inlineStr">
        <is>
          <t>SERB02</t>
        </is>
      </c>
      <c r="D286" t="n">
        <v>3</v>
      </c>
      <c r="E286" t="b">
        <v>1</v>
      </c>
      <c r="F286" t="n">
        <v>285</v>
      </c>
    </row>
    <row r="287">
      <c r="A287" t="inlineStr">
        <is>
          <t>SERC</t>
        </is>
      </c>
      <c r="B287" s="11" t="inlineStr">
        <is>
          <t>Sporting goods</t>
        </is>
      </c>
      <c r="C287" t="inlineStr">
        <is>
          <t>SAR</t>
        </is>
      </c>
      <c r="D287" t="n">
        <v>1</v>
      </c>
      <c r="E287" t="b">
        <v>0</v>
      </c>
      <c r="F287" t="n">
        <v>286</v>
      </c>
    </row>
    <row r="288">
      <c r="A288" t="inlineStr">
        <is>
          <t>SERC01</t>
        </is>
      </c>
      <c r="B288" s="12" t="inlineStr">
        <is>
          <t>Sports vehicles including bicycles</t>
        </is>
      </c>
      <c r="C288" t="inlineStr">
        <is>
          <t>SERC</t>
        </is>
      </c>
      <c r="D288" t="n">
        <v>2</v>
      </c>
      <c r="E288" t="b">
        <v>1</v>
      </c>
      <c r="F288" t="n">
        <v>287</v>
      </c>
    </row>
    <row r="289">
      <c r="A289" t="inlineStr">
        <is>
          <t>SERC02</t>
        </is>
      </c>
      <c r="B289" s="12" t="inlineStr">
        <is>
          <t>Sports equipment</t>
        </is>
      </c>
      <c r="C289" t="inlineStr">
        <is>
          <t>SERC</t>
        </is>
      </c>
      <c r="D289" t="n">
        <v>2</v>
      </c>
      <c r="E289" t="b">
        <v>1</v>
      </c>
      <c r="F289" t="n">
        <v>288</v>
      </c>
    </row>
    <row r="290">
      <c r="A290" t="inlineStr">
        <is>
          <t>SERD</t>
        </is>
      </c>
      <c r="B290" s="11" t="inlineStr">
        <is>
          <t>Photography</t>
        </is>
      </c>
      <c r="C290" t="inlineStr">
        <is>
          <t>SAR</t>
        </is>
      </c>
      <c r="D290" t="n">
        <v>1</v>
      </c>
      <c r="E290" t="b">
        <v>0</v>
      </c>
      <c r="F290" t="n">
        <v>289</v>
      </c>
    </row>
    <row r="291">
      <c r="A291" t="inlineStr">
        <is>
          <t>SERD01</t>
        </is>
      </c>
      <c r="B291" s="12" t="inlineStr">
        <is>
          <t>Photographic equipment and supplies</t>
        </is>
      </c>
      <c r="C291" t="inlineStr">
        <is>
          <t>SERD</t>
        </is>
      </c>
      <c r="D291" t="n">
        <v>2</v>
      </c>
      <c r="E291" t="b">
        <v>0</v>
      </c>
      <c r="F291" t="n">
        <v>290</v>
      </c>
    </row>
    <row r="292">
      <c r="A292" t="inlineStr">
        <is>
          <t>SS61021</t>
        </is>
      </c>
      <c r="B292" s="13" t="inlineStr">
        <is>
          <t>Film and photographic supplies</t>
        </is>
      </c>
      <c r="C292" t="inlineStr">
        <is>
          <t>SERD01</t>
        </is>
      </c>
      <c r="D292" t="n">
        <v>3</v>
      </c>
      <c r="E292" t="b">
        <v>1</v>
      </c>
      <c r="F292" t="n">
        <v>291</v>
      </c>
    </row>
    <row r="293">
      <c r="A293" t="inlineStr">
        <is>
          <t>SS61023</t>
        </is>
      </c>
      <c r="B293" s="13" t="inlineStr">
        <is>
          <t>Photographic equipment</t>
        </is>
      </c>
      <c r="C293" t="inlineStr">
        <is>
          <t>SERD01</t>
        </is>
      </c>
      <c r="D293" t="n">
        <v>3</v>
      </c>
      <c r="E293" t="b">
        <v>1</v>
      </c>
      <c r="F293" t="n">
        <v>292</v>
      </c>
    </row>
    <row r="294">
      <c r="A294" t="inlineStr">
        <is>
          <t>SERD02</t>
        </is>
      </c>
      <c r="B294" s="12" t="inlineStr">
        <is>
          <t>Photographers and photo processing</t>
        </is>
      </c>
      <c r="C294" t="inlineStr">
        <is>
          <t>SERD</t>
        </is>
      </c>
      <c r="D294" t="n">
        <v>2</v>
      </c>
      <c r="E294" t="b">
        <v>0</v>
      </c>
      <c r="F294" t="n">
        <v>293</v>
      </c>
    </row>
    <row r="295">
      <c r="A295" t="inlineStr">
        <is>
          <t>SS62051</t>
        </is>
      </c>
      <c r="B295" s="13" t="inlineStr">
        <is>
          <t>Photographer fees</t>
        </is>
      </c>
      <c r="C295" t="inlineStr">
        <is>
          <t>SERD02</t>
        </is>
      </c>
      <c r="D295" t="n">
        <v>3</v>
      </c>
      <c r="E295" t="b">
        <v>1</v>
      </c>
      <c r="F295" t="n">
        <v>294</v>
      </c>
    </row>
    <row r="296">
      <c r="A296" t="inlineStr">
        <is>
          <t>SS62052</t>
        </is>
      </c>
      <c r="B296" s="13" t="inlineStr">
        <is>
          <t>Photo Processing</t>
        </is>
      </c>
      <c r="C296" t="inlineStr">
        <is>
          <t>SERD02</t>
        </is>
      </c>
      <c r="D296" t="n">
        <v>3</v>
      </c>
      <c r="E296" t="b">
        <v>1</v>
      </c>
      <c r="F296" t="n">
        <v>295</v>
      </c>
    </row>
    <row r="297">
      <c r="A297" t="inlineStr">
        <is>
          <t>SERE</t>
        </is>
      </c>
      <c r="B297" s="11" t="inlineStr">
        <is>
          <t>Other recreational goods</t>
        </is>
      </c>
      <c r="C297" t="inlineStr">
        <is>
          <t>SAR</t>
        </is>
      </c>
      <c r="D297" t="n">
        <v>1</v>
      </c>
      <c r="E297" t="b">
        <v>0</v>
      </c>
      <c r="F297" t="n">
        <v>296</v>
      </c>
    </row>
    <row r="298">
      <c r="A298" t="inlineStr">
        <is>
          <t>SERE01</t>
        </is>
      </c>
      <c r="B298" s="12" t="inlineStr">
        <is>
          <t>Toys</t>
        </is>
      </c>
      <c r="C298" t="inlineStr">
        <is>
          <t>SERE</t>
        </is>
      </c>
      <c r="D298" t="n">
        <v>2</v>
      </c>
      <c r="E298" t="b">
        <v>0</v>
      </c>
      <c r="F298" t="n">
        <v>297</v>
      </c>
    </row>
    <row r="299">
      <c r="A299" t="inlineStr">
        <is>
          <t>SS61011</t>
        </is>
      </c>
      <c r="B299" s="13" t="inlineStr">
        <is>
          <t>Toys, games, hobbies and playground equipment</t>
        </is>
      </c>
      <c r="C299" t="inlineStr">
        <is>
          <t>SERE01</t>
        </is>
      </c>
      <c r="D299" t="n">
        <v>3</v>
      </c>
      <c r="E299" t="b">
        <v>1</v>
      </c>
      <c r="F299" t="n">
        <v>298</v>
      </c>
    </row>
    <row r="300">
      <c r="A300" t="inlineStr">
        <is>
          <t>SS31023</t>
        </is>
      </c>
      <c r="B300" s="13" t="inlineStr">
        <is>
          <t>Video game hardware, software and accessories</t>
        </is>
      </c>
      <c r="C300" t="inlineStr">
        <is>
          <t>SERE01</t>
        </is>
      </c>
      <c r="D300" t="n">
        <v>3</v>
      </c>
      <c r="E300" t="b">
        <v>1</v>
      </c>
      <c r="F300" t="n">
        <v>299</v>
      </c>
    </row>
    <row r="301">
      <c r="A301" t="inlineStr">
        <is>
          <t>SERE02</t>
        </is>
      </c>
      <c r="B301" s="12" t="inlineStr">
        <is>
          <t>Sewing machines, fabric and supplies</t>
        </is>
      </c>
      <c r="C301" t="inlineStr">
        <is>
          <t>SERE</t>
        </is>
      </c>
      <c r="D301" t="n">
        <v>2</v>
      </c>
      <c r="E301" t="b">
        <v>1</v>
      </c>
      <c r="F301" t="n">
        <v>300</v>
      </c>
    </row>
    <row r="302">
      <c r="A302" t="inlineStr">
        <is>
          <t>SERE03</t>
        </is>
      </c>
      <c r="B302" s="12" t="inlineStr">
        <is>
          <t>Music instruments and accessories</t>
        </is>
      </c>
      <c r="C302" t="inlineStr">
        <is>
          <t>SERE</t>
        </is>
      </c>
      <c r="D302" t="n">
        <v>2</v>
      </c>
      <c r="E302" t="b">
        <v>1</v>
      </c>
      <c r="F302" t="n">
        <v>301</v>
      </c>
    </row>
    <row r="303">
      <c r="A303" t="inlineStr">
        <is>
          <t>SERF</t>
        </is>
      </c>
      <c r="B303" s="11" t="inlineStr">
        <is>
          <t>Other recreation services</t>
        </is>
      </c>
      <c r="C303" t="inlineStr">
        <is>
          <t>SAR</t>
        </is>
      </c>
      <c r="D303" t="n">
        <v>1</v>
      </c>
      <c r="E303" t="b">
        <v>0</v>
      </c>
      <c r="F303" t="n">
        <v>302</v>
      </c>
    </row>
    <row r="304">
      <c r="A304" t="inlineStr">
        <is>
          <t>SERF01</t>
        </is>
      </c>
      <c r="B304" s="12" t="inlineStr">
        <is>
          <t>Club membership for shopping clubs, fraternal, or other organizations, or participant sports fees</t>
        </is>
      </c>
      <c r="C304" t="inlineStr">
        <is>
          <t>SERF</t>
        </is>
      </c>
      <c r="D304" t="n">
        <v>2</v>
      </c>
      <c r="E304" t="b">
        <v>1</v>
      </c>
      <c r="F304" t="n">
        <v>303</v>
      </c>
    </row>
    <row r="305">
      <c r="A305" t="inlineStr">
        <is>
          <t>SERF02</t>
        </is>
      </c>
      <c r="B305" s="12" t="inlineStr">
        <is>
          <t>Admissions</t>
        </is>
      </c>
      <c r="C305" t="inlineStr">
        <is>
          <t>SERF</t>
        </is>
      </c>
      <c r="D305" t="n">
        <v>2</v>
      </c>
      <c r="E305" t="b">
        <v>0</v>
      </c>
      <c r="F305" t="n">
        <v>304</v>
      </c>
    </row>
    <row r="306">
      <c r="A306" t="inlineStr">
        <is>
          <t>SS62031</t>
        </is>
      </c>
      <c r="B306" s="13" t="inlineStr">
        <is>
          <t>Admission to movies, theaters, and concerts</t>
        </is>
      </c>
      <c r="C306" t="inlineStr">
        <is>
          <t>SERF02</t>
        </is>
      </c>
      <c r="D306" t="n">
        <v>3</v>
      </c>
      <c r="E306" t="b">
        <v>1</v>
      </c>
      <c r="F306" t="n">
        <v>305</v>
      </c>
    </row>
    <row r="307">
      <c r="A307" t="inlineStr">
        <is>
          <t>SS62032</t>
        </is>
      </c>
      <c r="B307" s="13" t="inlineStr">
        <is>
          <t>Admission to sporting events</t>
        </is>
      </c>
      <c r="C307" t="inlineStr">
        <is>
          <t>SERF02</t>
        </is>
      </c>
      <c r="D307" t="n">
        <v>3</v>
      </c>
      <c r="E307" t="b">
        <v>1</v>
      </c>
      <c r="F307" t="n">
        <v>306</v>
      </c>
    </row>
    <row r="308">
      <c r="A308" t="inlineStr">
        <is>
          <t>SERF03</t>
        </is>
      </c>
      <c r="B308" s="12" t="inlineStr">
        <is>
          <t>Fees for lessons or instructions</t>
        </is>
      </c>
      <c r="C308" t="inlineStr">
        <is>
          <t>SERF</t>
        </is>
      </c>
      <c r="D308" t="n">
        <v>2</v>
      </c>
      <c r="E308" t="b">
        <v>1</v>
      </c>
      <c r="F308" t="n">
        <v>307</v>
      </c>
    </row>
    <row r="309">
      <c r="A309" t="inlineStr">
        <is>
          <t>SERG</t>
        </is>
      </c>
      <c r="B309" s="11" t="inlineStr">
        <is>
          <t>Recreational reading materials</t>
        </is>
      </c>
      <c r="C309" t="inlineStr">
        <is>
          <t>SAR</t>
        </is>
      </c>
      <c r="D309" t="n">
        <v>1</v>
      </c>
      <c r="E309" t="b">
        <v>0</v>
      </c>
      <c r="F309" t="n">
        <v>308</v>
      </c>
    </row>
    <row r="310">
      <c r="A310" t="inlineStr">
        <is>
          <t>SERG01</t>
        </is>
      </c>
      <c r="B310" s="12" t="inlineStr">
        <is>
          <t>Newspapers and magazines</t>
        </is>
      </c>
      <c r="C310" t="inlineStr">
        <is>
          <t>SERG</t>
        </is>
      </c>
      <c r="D310" t="n">
        <v>2</v>
      </c>
      <c r="E310" t="b">
        <v>1</v>
      </c>
      <c r="F310" t="n">
        <v>309</v>
      </c>
    </row>
    <row r="311">
      <c r="A311" t="inlineStr">
        <is>
          <t>SERG02</t>
        </is>
      </c>
      <c r="B311" s="12" t="inlineStr">
        <is>
          <t>Recreational books</t>
        </is>
      </c>
      <c r="C311" t="inlineStr">
        <is>
          <t>SERG</t>
        </is>
      </c>
      <c r="D311" t="n">
        <v>2</v>
      </c>
      <c r="E311" t="b">
        <v>1</v>
      </c>
      <c r="F311" t="n">
        <v>310</v>
      </c>
    </row>
    <row r="312">
      <c r="A312" t="inlineStr">
        <is>
          <t>SAE</t>
        </is>
      </c>
      <c r="B312" t="inlineStr">
        <is>
          <t>Education and communication</t>
        </is>
      </c>
      <c r="C312" t="inlineStr">
        <is>
          <t>SA0</t>
        </is>
      </c>
      <c r="D312" t="n">
        <v>0</v>
      </c>
      <c r="E312" t="b">
        <v>0</v>
      </c>
      <c r="F312" t="n">
        <v>311</v>
      </c>
    </row>
    <row r="313">
      <c r="A313" t="inlineStr">
        <is>
          <t>SAE1</t>
        </is>
      </c>
      <c r="B313" s="11" t="inlineStr">
        <is>
          <t>Education</t>
        </is>
      </c>
      <c r="C313" t="inlineStr">
        <is>
          <t>SAE</t>
        </is>
      </c>
      <c r="D313" t="n">
        <v>1</v>
      </c>
      <c r="E313" t="b">
        <v>0</v>
      </c>
      <c r="F313" t="n">
        <v>312</v>
      </c>
    </row>
    <row r="314">
      <c r="A314" t="inlineStr">
        <is>
          <t>SEEA</t>
        </is>
      </c>
      <c r="B314" s="12" t="inlineStr">
        <is>
          <t>Educational books and supplies</t>
        </is>
      </c>
      <c r="C314" t="inlineStr">
        <is>
          <t>SAE1</t>
        </is>
      </c>
      <c r="D314" t="n">
        <v>2</v>
      </c>
      <c r="E314" t="b">
        <v>0</v>
      </c>
      <c r="F314" t="n">
        <v>313</v>
      </c>
    </row>
    <row r="315">
      <c r="A315" t="inlineStr">
        <is>
          <t>SSEA011</t>
        </is>
      </c>
      <c r="B315" s="13" t="inlineStr">
        <is>
          <t>College textbooks</t>
        </is>
      </c>
      <c r="C315" t="inlineStr">
        <is>
          <t>SEEA</t>
        </is>
      </c>
      <c r="D315" t="n">
        <v>3</v>
      </c>
      <c r="E315" t="b">
        <v>1</v>
      </c>
      <c r="F315" t="n">
        <v>314</v>
      </c>
    </row>
    <row r="316">
      <c r="A316" t="inlineStr">
        <is>
          <t>SEEB</t>
        </is>
      </c>
      <c r="B316" s="12" t="inlineStr">
        <is>
          <t>Tuition, other school fees, and childcare</t>
        </is>
      </c>
      <c r="C316" t="inlineStr">
        <is>
          <t>SAE1</t>
        </is>
      </c>
      <c r="D316" t="n">
        <v>2</v>
      </c>
      <c r="E316" t="b">
        <v>0</v>
      </c>
      <c r="F316" t="n">
        <v>315</v>
      </c>
    </row>
    <row r="317">
      <c r="A317" t="inlineStr">
        <is>
          <t>SEEB01</t>
        </is>
      </c>
      <c r="B317" s="13" t="inlineStr">
        <is>
          <t>College tuition and fees</t>
        </is>
      </c>
      <c r="C317" t="inlineStr">
        <is>
          <t>SEEB</t>
        </is>
      </c>
      <c r="D317" t="n">
        <v>3</v>
      </c>
      <c r="E317" t="b">
        <v>1</v>
      </c>
      <c r="F317" t="n">
        <v>316</v>
      </c>
    </row>
    <row r="318">
      <c r="A318" t="inlineStr">
        <is>
          <t>SEEB02</t>
        </is>
      </c>
      <c r="B318" s="13" t="inlineStr">
        <is>
          <t>Elementary and high school tuition and fees</t>
        </is>
      </c>
      <c r="C318" t="inlineStr">
        <is>
          <t>SEEB</t>
        </is>
      </c>
      <c r="D318" t="n">
        <v>3</v>
      </c>
      <c r="E318" t="b">
        <v>1</v>
      </c>
      <c r="F318" t="n">
        <v>317</v>
      </c>
    </row>
    <row r="319">
      <c r="A319" t="inlineStr">
        <is>
          <t>SEEB03</t>
        </is>
      </c>
      <c r="B319" s="13" t="inlineStr">
        <is>
          <t>Day care and preschool</t>
        </is>
      </c>
      <c r="C319" t="inlineStr">
        <is>
          <t>SEEB</t>
        </is>
      </c>
      <c r="D319" t="n">
        <v>3</v>
      </c>
      <c r="E319" t="b">
        <v>1</v>
      </c>
      <c r="F319" t="n">
        <v>318</v>
      </c>
    </row>
    <row r="320">
      <c r="A320" t="inlineStr">
        <is>
          <t>SEEB04</t>
        </is>
      </c>
      <c r="B320" s="13" t="inlineStr">
        <is>
          <t>Technical and vocational school tuition and fixed fees</t>
        </is>
      </c>
      <c r="C320" t="inlineStr">
        <is>
          <t>SEEB</t>
        </is>
      </c>
      <c r="D320" t="n">
        <v>3</v>
      </c>
      <c r="E320" t="b">
        <v>1</v>
      </c>
      <c r="F320" t="n">
        <v>319</v>
      </c>
    </row>
    <row r="321">
      <c r="A321" t="inlineStr">
        <is>
          <t>SAE2</t>
        </is>
      </c>
      <c r="B321" s="11" t="inlineStr">
        <is>
          <t>Communication</t>
        </is>
      </c>
      <c r="C321" t="inlineStr">
        <is>
          <t>SAE</t>
        </is>
      </c>
      <c r="D321" t="n">
        <v>1</v>
      </c>
      <c r="E321" t="b">
        <v>0</v>
      </c>
      <c r="F321" t="n">
        <v>320</v>
      </c>
    </row>
    <row r="322">
      <c r="A322" t="inlineStr">
        <is>
          <t>SEEC</t>
        </is>
      </c>
      <c r="B322" s="12" t="inlineStr">
        <is>
          <t>Postage and delivery services</t>
        </is>
      </c>
      <c r="C322" t="inlineStr">
        <is>
          <t>SAE2</t>
        </is>
      </c>
      <c r="D322" t="n">
        <v>2</v>
      </c>
      <c r="E322" t="b">
        <v>0</v>
      </c>
      <c r="F322" t="n">
        <v>321</v>
      </c>
    </row>
    <row r="323">
      <c r="A323" t="inlineStr">
        <is>
          <t>SEEC01</t>
        </is>
      </c>
      <c r="B323" s="13" t="inlineStr">
        <is>
          <t>Postage</t>
        </is>
      </c>
      <c r="C323" t="inlineStr">
        <is>
          <t>SEEC</t>
        </is>
      </c>
      <c r="D323" t="n">
        <v>3</v>
      </c>
      <c r="E323" t="b">
        <v>1</v>
      </c>
      <c r="F323" t="n">
        <v>322</v>
      </c>
    </row>
    <row r="324">
      <c r="A324" t="inlineStr">
        <is>
          <t>SEEC02</t>
        </is>
      </c>
      <c r="B324" s="13" t="inlineStr">
        <is>
          <t>Delivery services</t>
        </is>
      </c>
      <c r="C324" t="inlineStr">
        <is>
          <t>SEEC</t>
        </is>
      </c>
      <c r="D324" t="n">
        <v>3</v>
      </c>
      <c r="E324" t="b">
        <v>1</v>
      </c>
      <c r="F324" t="n">
        <v>323</v>
      </c>
    </row>
    <row r="325">
      <c r="A325" t="inlineStr">
        <is>
          <t>SAE21</t>
        </is>
      </c>
      <c r="B325" s="12" t="inlineStr">
        <is>
          <t>Information and information processing</t>
        </is>
      </c>
      <c r="C325" t="inlineStr">
        <is>
          <t>SAE2</t>
        </is>
      </c>
      <c r="D325" t="n">
        <v>2</v>
      </c>
      <c r="E325" t="b">
        <v>0</v>
      </c>
      <c r="F325" t="n">
        <v>324</v>
      </c>
    </row>
    <row r="326">
      <c r="A326" t="inlineStr">
        <is>
          <t>SEED</t>
        </is>
      </c>
      <c r="B326" s="13" t="inlineStr">
        <is>
          <t>Telephone services</t>
        </is>
      </c>
      <c r="C326" t="inlineStr">
        <is>
          <t>SAE21</t>
        </is>
      </c>
      <c r="D326" t="n">
        <v>3</v>
      </c>
      <c r="E326" t="b">
        <v>0</v>
      </c>
      <c r="F326" t="n">
        <v>325</v>
      </c>
    </row>
    <row r="327">
      <c r="A327" t="inlineStr">
        <is>
          <t>SEED03</t>
        </is>
      </c>
      <c r="B327" s="14" t="inlineStr">
        <is>
          <t>Wireless telephone services</t>
        </is>
      </c>
      <c r="C327" t="inlineStr">
        <is>
          <t>SEED</t>
        </is>
      </c>
      <c r="D327" t="n">
        <v>4</v>
      </c>
      <c r="E327" t="b">
        <v>1</v>
      </c>
      <c r="F327" t="n">
        <v>326</v>
      </c>
    </row>
    <row r="328">
      <c r="A328" t="inlineStr">
        <is>
          <t>SEED04</t>
        </is>
      </c>
      <c r="B328" s="14" t="inlineStr">
        <is>
          <t>Residential telephone services</t>
        </is>
      </c>
      <c r="C328" t="inlineStr">
        <is>
          <t>SEED</t>
        </is>
      </c>
      <c r="D328" t="n">
        <v>4</v>
      </c>
      <c r="E328" t="b">
        <v>0</v>
      </c>
      <c r="F328" t="n">
        <v>327</v>
      </c>
    </row>
    <row r="329">
      <c r="A329" t="inlineStr">
        <is>
          <t>SS27051</t>
        </is>
      </c>
      <c r="B329" s="15" t="inlineStr">
        <is>
          <t>Land-line interstate toll calls</t>
        </is>
      </c>
      <c r="C329" t="inlineStr">
        <is>
          <t>SEED04</t>
        </is>
      </c>
      <c r="D329" t="n">
        <v>5</v>
      </c>
      <c r="E329" t="b">
        <v>1</v>
      </c>
      <c r="F329" t="n">
        <v>328</v>
      </c>
    </row>
    <row r="330">
      <c r="A330" t="inlineStr">
        <is>
          <t>SS27061</t>
        </is>
      </c>
      <c r="B330" s="15" t="inlineStr">
        <is>
          <t>Land-line intrastate toll calls</t>
        </is>
      </c>
      <c r="C330" t="inlineStr">
        <is>
          <t>SEED04</t>
        </is>
      </c>
      <c r="D330" t="n">
        <v>5</v>
      </c>
      <c r="E330" t="b">
        <v>1</v>
      </c>
      <c r="F330" t="n">
        <v>329</v>
      </c>
    </row>
    <row r="331">
      <c r="A331" t="inlineStr">
        <is>
          <t>SEEE</t>
        </is>
      </c>
      <c r="B331" s="12" t="inlineStr">
        <is>
          <t>Information technology, hardware and services</t>
        </is>
      </c>
      <c r="C331" t="inlineStr">
        <is>
          <t>SAE2</t>
        </is>
      </c>
      <c r="D331" t="n">
        <v>2</v>
      </c>
      <c r="E331" t="b">
        <v>0</v>
      </c>
      <c r="F331" t="n">
        <v>330</v>
      </c>
    </row>
    <row r="332">
      <c r="A332" t="inlineStr">
        <is>
          <t>SEEE01</t>
        </is>
      </c>
      <c r="B332" s="13" t="inlineStr">
        <is>
          <t>Computers, peripherals, and smart home assistants</t>
        </is>
      </c>
      <c r="C332" t="inlineStr">
        <is>
          <t>SEEE</t>
        </is>
      </c>
      <c r="D332" t="n">
        <v>3</v>
      </c>
      <c r="E332" t="b">
        <v>1</v>
      </c>
      <c r="F332" t="n">
        <v>331</v>
      </c>
    </row>
    <row r="333">
      <c r="A333" t="inlineStr">
        <is>
          <t>SEEE02</t>
        </is>
      </c>
      <c r="B333" s="13" t="inlineStr">
        <is>
          <t>Computer software and accessories</t>
        </is>
      </c>
      <c r="C333" t="inlineStr">
        <is>
          <t>SEEE</t>
        </is>
      </c>
      <c r="D333" t="n">
        <v>3</v>
      </c>
      <c r="E333" t="b">
        <v>1</v>
      </c>
      <c r="F333" t="n">
        <v>332</v>
      </c>
    </row>
    <row r="334">
      <c r="A334" t="inlineStr">
        <is>
          <t>SEEE03</t>
        </is>
      </c>
      <c r="B334" s="13" t="inlineStr">
        <is>
          <t>Internet services and electronic information providers</t>
        </is>
      </c>
      <c r="C334" t="inlineStr">
        <is>
          <t>SEEE</t>
        </is>
      </c>
      <c r="D334" t="n">
        <v>3</v>
      </c>
      <c r="E334" t="b">
        <v>1</v>
      </c>
      <c r="F334" t="n">
        <v>333</v>
      </c>
    </row>
    <row r="335">
      <c r="A335" t="inlineStr">
        <is>
          <t>SEEE04</t>
        </is>
      </c>
      <c r="B335" s="13" t="inlineStr">
        <is>
          <t>Telephone hardware, calculators, and other consumer information items</t>
        </is>
      </c>
      <c r="C335" t="inlineStr">
        <is>
          <t>SEEE</t>
        </is>
      </c>
      <c r="D335" t="n">
        <v>3</v>
      </c>
      <c r="E335" t="b">
        <v>0</v>
      </c>
      <c r="F335" t="n">
        <v>334</v>
      </c>
    </row>
    <row r="336">
      <c r="A336" t="inlineStr">
        <is>
          <t>SSEE041</t>
        </is>
      </c>
      <c r="B336" s="14" t="inlineStr">
        <is>
          <t>Smartphones</t>
        </is>
      </c>
      <c r="C336" t="inlineStr">
        <is>
          <t>SEEE04</t>
        </is>
      </c>
      <c r="D336" t="n">
        <v>4</v>
      </c>
      <c r="E336" t="b">
        <v>1</v>
      </c>
      <c r="F336" t="n">
        <v>335</v>
      </c>
    </row>
    <row r="337">
      <c r="A337" t="inlineStr">
        <is>
          <t>SAG</t>
        </is>
      </c>
      <c r="B337" t="inlineStr">
        <is>
          <t>Other goods and services</t>
        </is>
      </c>
      <c r="C337" t="inlineStr">
        <is>
          <t>SA0</t>
        </is>
      </c>
      <c r="D337" t="n">
        <v>0</v>
      </c>
      <c r="E337" t="b">
        <v>0</v>
      </c>
      <c r="F337" t="n">
        <v>336</v>
      </c>
    </row>
    <row r="338">
      <c r="A338" t="inlineStr">
        <is>
          <t>SEGA</t>
        </is>
      </c>
      <c r="B338" s="11" t="inlineStr">
        <is>
          <t>Tobacco and smoking products</t>
        </is>
      </c>
      <c r="C338" t="inlineStr">
        <is>
          <t>SAG</t>
        </is>
      </c>
      <c r="D338" t="n">
        <v>1</v>
      </c>
      <c r="E338" t="b">
        <v>0</v>
      </c>
      <c r="F338" t="n">
        <v>337</v>
      </c>
    </row>
    <row r="339">
      <c r="A339" t="inlineStr">
        <is>
          <t>SEGA01</t>
        </is>
      </c>
      <c r="B339" s="12" t="inlineStr">
        <is>
          <t>Cigarettes</t>
        </is>
      </c>
      <c r="C339" t="inlineStr">
        <is>
          <t>SEGA</t>
        </is>
      </c>
      <c r="D339" t="n">
        <v>2</v>
      </c>
      <c r="E339" t="b">
        <v>1</v>
      </c>
      <c r="F339" t="n">
        <v>338</v>
      </c>
    </row>
    <row r="340">
      <c r="A340" t="inlineStr">
        <is>
          <t>SEGA02</t>
        </is>
      </c>
      <c r="B340" s="12" t="inlineStr">
        <is>
          <t>Tobacco products other than cigarettes</t>
        </is>
      </c>
      <c r="C340" t="inlineStr">
        <is>
          <t>SEGA</t>
        </is>
      </c>
      <c r="D340" t="n">
        <v>2</v>
      </c>
      <c r="E340" t="b">
        <v>1</v>
      </c>
      <c r="F340" t="n">
        <v>339</v>
      </c>
    </row>
    <row r="341">
      <c r="A341" t="inlineStr">
        <is>
          <t>SAG1</t>
        </is>
      </c>
      <c r="B341" s="11" t="inlineStr">
        <is>
          <t>Personal care</t>
        </is>
      </c>
      <c r="C341" t="inlineStr">
        <is>
          <t>SAG</t>
        </is>
      </c>
      <c r="D341" t="n">
        <v>1</v>
      </c>
      <c r="E341" t="b">
        <v>0</v>
      </c>
      <c r="F341" t="n">
        <v>340</v>
      </c>
    </row>
    <row r="342">
      <c r="A342" t="inlineStr">
        <is>
          <t>SEGB</t>
        </is>
      </c>
      <c r="B342" s="12" t="inlineStr">
        <is>
          <t>Personal care products</t>
        </is>
      </c>
      <c r="C342" t="inlineStr">
        <is>
          <t>SAG1</t>
        </is>
      </c>
      <c r="D342" t="n">
        <v>2</v>
      </c>
      <c r="E342" t="b">
        <v>0</v>
      </c>
      <c r="F342" t="n">
        <v>341</v>
      </c>
    </row>
    <row r="343">
      <c r="A343" t="inlineStr">
        <is>
          <t>SEGB01</t>
        </is>
      </c>
      <c r="B343" s="13" t="inlineStr">
        <is>
          <t>Hair, dental, shaving, and miscellaneous personal care products</t>
        </is>
      </c>
      <c r="C343" t="inlineStr">
        <is>
          <t>SEGB</t>
        </is>
      </c>
      <c r="D343" t="n">
        <v>3</v>
      </c>
      <c r="E343" t="b">
        <v>1</v>
      </c>
      <c r="F343" t="n">
        <v>342</v>
      </c>
    </row>
    <row r="344">
      <c r="A344" t="inlineStr">
        <is>
          <t>SEGB02</t>
        </is>
      </c>
      <c r="B344" s="13" t="inlineStr">
        <is>
          <t>Cosmetics, perfume, bath, nail preparations and implements</t>
        </is>
      </c>
      <c r="C344" t="inlineStr">
        <is>
          <t>SEGB</t>
        </is>
      </c>
      <c r="D344" t="n">
        <v>3</v>
      </c>
      <c r="E344" t="b">
        <v>1</v>
      </c>
      <c r="F344" t="n">
        <v>343</v>
      </c>
    </row>
    <row r="345">
      <c r="A345" t="inlineStr">
        <is>
          <t>SEGC</t>
        </is>
      </c>
      <c r="B345" s="12" t="inlineStr">
        <is>
          <t>Personal care services</t>
        </is>
      </c>
      <c r="C345" t="inlineStr">
        <is>
          <t>SAG1</t>
        </is>
      </c>
      <c r="D345" t="n">
        <v>2</v>
      </c>
      <c r="E345" t="b">
        <v>0</v>
      </c>
      <c r="F345" t="n">
        <v>344</v>
      </c>
    </row>
    <row r="346">
      <c r="A346" t="inlineStr">
        <is>
          <t>SEGC01</t>
        </is>
      </c>
      <c r="B346" s="13" t="inlineStr">
        <is>
          <t>Haircuts and other personal care services</t>
        </is>
      </c>
      <c r="C346" t="inlineStr">
        <is>
          <t>SEGC</t>
        </is>
      </c>
      <c r="D346" t="n">
        <v>3</v>
      </c>
      <c r="E346" t="b">
        <v>1</v>
      </c>
      <c r="F346" t="n">
        <v>345</v>
      </c>
    </row>
    <row r="347">
      <c r="A347" t="inlineStr">
        <is>
          <t>SEGD</t>
        </is>
      </c>
      <c r="B347" s="12" t="inlineStr">
        <is>
          <t>Miscellaneous personal services</t>
        </is>
      </c>
      <c r="C347" t="inlineStr">
        <is>
          <t>SAG1</t>
        </is>
      </c>
      <c r="D347" t="n">
        <v>2</v>
      </c>
      <c r="E347" t="b">
        <v>0</v>
      </c>
      <c r="F347" t="n">
        <v>346</v>
      </c>
    </row>
    <row r="348">
      <c r="A348" t="inlineStr">
        <is>
          <t>SEGD01</t>
        </is>
      </c>
      <c r="B348" s="13" t="inlineStr">
        <is>
          <t>Legal services</t>
        </is>
      </c>
      <c r="C348" t="inlineStr">
        <is>
          <t>SEGD</t>
        </is>
      </c>
      <c r="D348" t="n">
        <v>3</v>
      </c>
      <c r="E348" t="b">
        <v>1</v>
      </c>
      <c r="F348" t="n">
        <v>347</v>
      </c>
    </row>
    <row r="349">
      <c r="A349" t="inlineStr">
        <is>
          <t>SEGD02</t>
        </is>
      </c>
      <c r="B349" s="13" t="inlineStr">
        <is>
          <t>Funeral expenses</t>
        </is>
      </c>
      <c r="C349" t="inlineStr">
        <is>
          <t>SEGD</t>
        </is>
      </c>
      <c r="D349" t="n">
        <v>3</v>
      </c>
      <c r="E349" t="b">
        <v>1</v>
      </c>
      <c r="F349" t="n">
        <v>348</v>
      </c>
    </row>
    <row r="350">
      <c r="A350" t="inlineStr">
        <is>
          <t>SEGD03</t>
        </is>
      </c>
      <c r="B350" s="13" t="inlineStr">
        <is>
          <t>Laundry and dry cleaning services</t>
        </is>
      </c>
      <c r="C350" t="inlineStr">
        <is>
          <t>SEGD</t>
        </is>
      </c>
      <c r="D350" t="n">
        <v>3</v>
      </c>
      <c r="E350" t="b">
        <v>1</v>
      </c>
      <c r="F350" t="n">
        <v>349</v>
      </c>
    </row>
    <row r="351">
      <c r="A351" t="inlineStr">
        <is>
          <t>SEGD04</t>
        </is>
      </c>
      <c r="B351" s="13" t="inlineStr">
        <is>
          <t>Apparel services other than laundry and dry cleaning</t>
        </is>
      </c>
      <c r="C351" t="inlineStr">
        <is>
          <t>SEGD</t>
        </is>
      </c>
      <c r="D351" t="n">
        <v>3</v>
      </c>
      <c r="E351" t="b">
        <v>1</v>
      </c>
      <c r="F351" t="n">
        <v>350</v>
      </c>
    </row>
    <row r="352">
      <c r="A352" t="inlineStr">
        <is>
          <t>SEGD05</t>
        </is>
      </c>
      <c r="B352" s="13" t="inlineStr">
        <is>
          <t>Financial services</t>
        </is>
      </c>
      <c r="C352" t="inlineStr">
        <is>
          <t>SEGD</t>
        </is>
      </c>
      <c r="D352" t="n">
        <v>3</v>
      </c>
      <c r="E352" t="b">
        <v>0</v>
      </c>
      <c r="F352" t="n">
        <v>351</v>
      </c>
    </row>
    <row r="353">
      <c r="A353" t="inlineStr">
        <is>
          <t>SS68021</t>
        </is>
      </c>
      <c r="B353" s="14" t="inlineStr">
        <is>
          <t>Checking account and other bank services</t>
        </is>
      </c>
      <c r="C353" t="inlineStr">
        <is>
          <t>SEGD05</t>
        </is>
      </c>
      <c r="D353" t="n">
        <v>4</v>
      </c>
      <c r="E353" t="b">
        <v>1</v>
      </c>
      <c r="F353" t="n">
        <v>352</v>
      </c>
    </row>
    <row r="354">
      <c r="A354" t="inlineStr">
        <is>
          <t>SS68023</t>
        </is>
      </c>
      <c r="B354" s="14" t="inlineStr">
        <is>
          <t>Tax return preparation and other accounting fees</t>
        </is>
      </c>
      <c r="C354" t="inlineStr">
        <is>
          <t>SEGD05</t>
        </is>
      </c>
      <c r="D354" t="n">
        <v>4</v>
      </c>
      <c r="E354" t="b">
        <v>1</v>
      </c>
      <c r="F354" t="n">
        <v>353</v>
      </c>
    </row>
    <row r="355">
      <c r="A355" t="inlineStr">
        <is>
          <t>SEGE</t>
        </is>
      </c>
      <c r="B355" s="12" t="inlineStr">
        <is>
          <t>Miscellaneous personal goods</t>
        </is>
      </c>
      <c r="C355" t="inlineStr">
        <is>
          <t>SAG1</t>
        </is>
      </c>
      <c r="D355" t="n">
        <v>2</v>
      </c>
      <c r="E355" t="b">
        <v>0</v>
      </c>
      <c r="F355" t="n">
        <v>354</v>
      </c>
    </row>
    <row r="356">
      <c r="A356" t="inlineStr">
        <is>
          <t>SS33032</t>
        </is>
      </c>
      <c r="B356" s="13" t="inlineStr">
        <is>
          <t>Stationery, stationery supplies, gift wrap</t>
        </is>
      </c>
      <c r="C356" t="inlineStr">
        <is>
          <t>SEGE</t>
        </is>
      </c>
      <c r="D356" t="n">
        <v>3</v>
      </c>
      <c r="E356" t="b">
        <v>1</v>
      </c>
      <c r="F356" t="n">
        <v>355</v>
      </c>
    </row>
    <row r="357">
      <c r="A357" t="inlineStr">
        <is>
          <t>SSGE013</t>
        </is>
      </c>
      <c r="B357" s="13" t="inlineStr">
        <is>
          <t>Infants' equipment</t>
        </is>
      </c>
      <c r="C357" t="inlineStr">
        <is>
          <t>SEGE</t>
        </is>
      </c>
      <c r="D357" t="n">
        <v>3</v>
      </c>
      <c r="E357" t="b">
        <v>1</v>
      </c>
      <c r="F357" t="n">
        <v>356</v>
      </c>
    </row>
    <row r="358">
      <c r="A358" t="inlineStr">
        <is>
          <t>SA0L5</t>
        </is>
      </c>
      <c r="B358" s="11" t="inlineStr">
        <is>
          <t>All items less medical care</t>
        </is>
      </c>
      <c r="C358" t="inlineStr">
        <is>
          <t>SAG</t>
        </is>
      </c>
      <c r="D358" t="n">
        <v>1</v>
      </c>
      <c r="E358" t="b">
        <v>1</v>
      </c>
      <c r="F358" t="n">
        <v>357</v>
      </c>
    </row>
    <row r="359">
      <c r="A359" t="inlineStr">
        <is>
          <t>SA0LE</t>
        </is>
      </c>
      <c r="B359" s="11" t="inlineStr">
        <is>
          <t>All items less energy</t>
        </is>
      </c>
      <c r="C359" t="inlineStr">
        <is>
          <t>SAG</t>
        </is>
      </c>
      <c r="D359" t="n">
        <v>1</v>
      </c>
      <c r="E359" t="b">
        <v>1</v>
      </c>
      <c r="F359" t="n">
        <v>358</v>
      </c>
    </row>
    <row r="360">
      <c r="A360" t="inlineStr">
        <is>
          <t>SA0L1</t>
        </is>
      </c>
      <c r="B360" s="11" t="inlineStr">
        <is>
          <t>All items less food</t>
        </is>
      </c>
      <c r="C360" t="inlineStr">
        <is>
          <t>SAG</t>
        </is>
      </c>
      <c r="D360" t="n">
        <v>1</v>
      </c>
      <c r="E360" t="b">
        <v>1</v>
      </c>
      <c r="F360" t="n">
        <v>359</v>
      </c>
    </row>
    <row r="361">
      <c r="A361" t="inlineStr">
        <is>
          <t>SA0L1E</t>
        </is>
      </c>
      <c r="B361" s="11" t="inlineStr">
        <is>
          <t>All items less food and energy</t>
        </is>
      </c>
      <c r="C361" t="inlineStr">
        <is>
          <t>SAG</t>
        </is>
      </c>
      <c r="D361" t="n">
        <v>1</v>
      </c>
      <c r="E361" t="b">
        <v>1</v>
      </c>
      <c r="F361" t="n">
        <v>360</v>
      </c>
    </row>
    <row r="362">
      <c r="A362" t="inlineStr">
        <is>
          <t>SA0L2</t>
        </is>
      </c>
      <c r="B362" s="11" t="inlineStr">
        <is>
          <t>All items less shelter</t>
        </is>
      </c>
      <c r="C362" t="inlineStr">
        <is>
          <t>SAG</t>
        </is>
      </c>
      <c r="D362" t="n">
        <v>1</v>
      </c>
      <c r="E362" t="b">
        <v>1</v>
      </c>
      <c r="F362" t="n">
        <v>361</v>
      </c>
    </row>
    <row r="363">
      <c r="A363" t="inlineStr">
        <is>
          <t>SA0L12</t>
        </is>
      </c>
      <c r="B363" s="11" t="inlineStr">
        <is>
          <t>All items less food and shelter</t>
        </is>
      </c>
      <c r="C363" t="inlineStr">
        <is>
          <t>SAG</t>
        </is>
      </c>
      <c r="D363" t="n">
        <v>1</v>
      </c>
      <c r="E363" t="b">
        <v>1</v>
      </c>
      <c r="F363" t="n">
        <v>362</v>
      </c>
    </row>
    <row r="364">
      <c r="A364" t="inlineStr">
        <is>
          <t>SA0L12E</t>
        </is>
      </c>
      <c r="B364" s="11" t="inlineStr">
        <is>
          <t>All items less food, shelter, and energy</t>
        </is>
      </c>
      <c r="C364" t="inlineStr">
        <is>
          <t>SAG</t>
        </is>
      </c>
      <c r="D364" t="n">
        <v>1</v>
      </c>
      <c r="E364" t="b">
        <v>1</v>
      </c>
      <c r="F364" t="n">
        <v>363</v>
      </c>
    </row>
    <row r="365">
      <c r="A365" t="inlineStr">
        <is>
          <t>SA0L12E4</t>
        </is>
      </c>
      <c r="B365" s="11" t="inlineStr">
        <is>
          <t>All items less food, shelter, energy, and used cars and trucks</t>
        </is>
      </c>
      <c r="C365" t="inlineStr">
        <is>
          <t>SAG</t>
        </is>
      </c>
      <c r="D365" t="n">
        <v>1</v>
      </c>
      <c r="E365" t="b">
        <v>1</v>
      </c>
      <c r="F365" t="n">
        <v>364</v>
      </c>
    </row>
    <row r="366">
      <c r="A366" t="inlineStr">
        <is>
          <t>SA311</t>
        </is>
      </c>
      <c r="B366" s="11" t="inlineStr">
        <is>
          <t>Apparel less footwear</t>
        </is>
      </c>
      <c r="C366" t="inlineStr">
        <is>
          <t>SAG</t>
        </is>
      </c>
      <c r="D366" t="n">
        <v>1</v>
      </c>
      <c r="E366" t="b">
        <v>1</v>
      </c>
      <c r="F366" t="n">
        <v>365</v>
      </c>
    </row>
    <row r="367">
      <c r="A367" t="inlineStr">
        <is>
          <t>SAC</t>
        </is>
      </c>
      <c r="B367" s="11" t="inlineStr">
        <is>
          <t>Commodities</t>
        </is>
      </c>
      <c r="C367" t="inlineStr">
        <is>
          <t>SAG</t>
        </is>
      </c>
      <c r="D367" t="n">
        <v>1</v>
      </c>
      <c r="E367" t="b">
        <v>1</v>
      </c>
      <c r="F367" t="n">
        <v>366</v>
      </c>
    </row>
    <row r="368">
      <c r="A368" t="inlineStr">
        <is>
          <t>SACL1</t>
        </is>
      </c>
      <c r="B368" s="11" t="inlineStr">
        <is>
          <t>Commodities less food</t>
        </is>
      </c>
      <c r="C368" t="inlineStr">
        <is>
          <t>SAG</t>
        </is>
      </c>
      <c r="D368" t="n">
        <v>1</v>
      </c>
      <c r="E368" t="b">
        <v>1</v>
      </c>
      <c r="F368" t="n">
        <v>367</v>
      </c>
    </row>
    <row r="369">
      <c r="A369" t="inlineStr">
        <is>
          <t>SACL11</t>
        </is>
      </c>
      <c r="B369" s="11" t="inlineStr">
        <is>
          <t>Commodities less food and beverages</t>
        </is>
      </c>
      <c r="C369" t="inlineStr">
        <is>
          <t>SAG</t>
        </is>
      </c>
      <c r="D369" t="n">
        <v>1</v>
      </c>
      <c r="E369" t="b">
        <v>1</v>
      </c>
      <c r="F369" t="n">
        <v>368</v>
      </c>
    </row>
    <row r="370">
      <c r="A370" t="inlineStr">
        <is>
          <t>SACL1E</t>
        </is>
      </c>
      <c r="B370" s="11" t="inlineStr">
        <is>
          <t>Commodities less food and energy commodities</t>
        </is>
      </c>
      <c r="C370" t="inlineStr">
        <is>
          <t>SAG</t>
        </is>
      </c>
      <c r="D370" t="n">
        <v>1</v>
      </c>
      <c r="E370" t="b">
        <v>1</v>
      </c>
      <c r="F370" t="n">
        <v>369</v>
      </c>
    </row>
    <row r="371">
      <c r="A371" t="inlineStr">
        <is>
          <t>SACL1E4</t>
        </is>
      </c>
      <c r="B371" s="11" t="inlineStr">
        <is>
          <t>Commodities less food, energy, and used cars and trucks</t>
        </is>
      </c>
      <c r="C371" t="inlineStr">
        <is>
          <t>SAG</t>
        </is>
      </c>
      <c r="D371" t="n">
        <v>1</v>
      </c>
      <c r="E371" t="b">
        <v>1</v>
      </c>
      <c r="F371" t="n">
        <v>370</v>
      </c>
    </row>
    <row r="372">
      <c r="A372" t="inlineStr">
        <is>
          <t>SAN1D</t>
        </is>
      </c>
      <c r="B372" s="11" t="inlineStr">
        <is>
          <t>Domestically produced farm food</t>
        </is>
      </c>
      <c r="C372" t="inlineStr">
        <is>
          <t>SAG</t>
        </is>
      </c>
      <c r="D372" t="n">
        <v>1</v>
      </c>
      <c r="E372" t="b">
        <v>1</v>
      </c>
      <c r="F372" t="n">
        <v>371</v>
      </c>
    </row>
    <row r="373">
      <c r="A373" t="inlineStr">
        <is>
          <t>SAD</t>
        </is>
      </c>
      <c r="B373" s="11" t="inlineStr">
        <is>
          <t>Durables</t>
        </is>
      </c>
      <c r="C373" t="inlineStr">
        <is>
          <t>SAG</t>
        </is>
      </c>
      <c r="D373" t="n">
        <v>1</v>
      </c>
      <c r="E373" t="b">
        <v>1</v>
      </c>
      <c r="F373" t="n">
        <v>372</v>
      </c>
    </row>
    <row r="374">
      <c r="A374" t="inlineStr">
        <is>
          <t>SAEC</t>
        </is>
      </c>
      <c r="B374" s="11" t="inlineStr">
        <is>
          <t>Education and communication commodities</t>
        </is>
      </c>
      <c r="C374" t="inlineStr">
        <is>
          <t>SAG</t>
        </is>
      </c>
      <c r="D374" t="n">
        <v>1</v>
      </c>
      <c r="E374" t="b">
        <v>1</v>
      </c>
      <c r="F374" t="n">
        <v>373</v>
      </c>
    </row>
    <row r="375">
      <c r="A375" t="inlineStr">
        <is>
          <t>SAES</t>
        </is>
      </c>
      <c r="B375" s="11" t="inlineStr">
        <is>
          <t>Education and communication services</t>
        </is>
      </c>
      <c r="C375" t="inlineStr">
        <is>
          <t>SAG</t>
        </is>
      </c>
      <c r="D375" t="n">
        <v>1</v>
      </c>
      <c r="E375" t="b">
        <v>1</v>
      </c>
      <c r="F375" t="n">
        <v>374</v>
      </c>
    </row>
    <row r="376">
      <c r="A376" t="inlineStr">
        <is>
          <t>SA0E</t>
        </is>
      </c>
      <c r="B376" s="11" t="inlineStr">
        <is>
          <t>Energy</t>
        </is>
      </c>
      <c r="C376" t="inlineStr">
        <is>
          <t>SAG</t>
        </is>
      </c>
      <c r="D376" t="n">
        <v>1</v>
      </c>
      <c r="E376" t="b">
        <v>1</v>
      </c>
      <c r="F376" t="n">
        <v>375</v>
      </c>
    </row>
    <row r="377">
      <c r="A377" t="inlineStr">
        <is>
          <t>SACE</t>
        </is>
      </c>
      <c r="B377" s="11" t="inlineStr">
        <is>
          <t>Energy commodities</t>
        </is>
      </c>
      <c r="C377" t="inlineStr">
        <is>
          <t>SAG</t>
        </is>
      </c>
      <c r="D377" t="n">
        <v>1</v>
      </c>
      <c r="E377" t="b">
        <v>1</v>
      </c>
      <c r="F377" t="n">
        <v>376</v>
      </c>
    </row>
    <row r="378">
      <c r="A378" t="inlineStr">
        <is>
          <t>SAH31</t>
        </is>
      </c>
      <c r="B378" s="11" t="inlineStr">
        <is>
          <t>Household furnishings and supplies</t>
        </is>
      </c>
      <c r="C378" t="inlineStr">
        <is>
          <t>SAG</t>
        </is>
      </c>
      <c r="D378" t="n">
        <v>1</v>
      </c>
      <c r="E378" t="b">
        <v>1</v>
      </c>
      <c r="F378" t="n">
        <v>377</v>
      </c>
    </row>
    <row r="379">
      <c r="A379" t="inlineStr">
        <is>
          <t>SEEEC</t>
        </is>
      </c>
      <c r="B379" s="11" t="inlineStr">
        <is>
          <t>Information technology commodities</t>
        </is>
      </c>
      <c r="C379" t="inlineStr">
        <is>
          <t>SAG</t>
        </is>
      </c>
      <c r="D379" t="n">
        <v>1</v>
      </c>
      <c r="E379" t="b">
        <v>1</v>
      </c>
      <c r="F379" t="n">
        <v>378</v>
      </c>
    </row>
    <row r="380">
      <c r="A380" t="inlineStr">
        <is>
          <t>SAN</t>
        </is>
      </c>
      <c r="B380" s="11" t="inlineStr">
        <is>
          <t>Nondurables</t>
        </is>
      </c>
      <c r="C380" t="inlineStr">
        <is>
          <t>SAG</t>
        </is>
      </c>
      <c r="D380" t="n">
        <v>1</v>
      </c>
      <c r="E380" t="b">
        <v>1</v>
      </c>
      <c r="F380" t="n">
        <v>379</v>
      </c>
    </row>
    <row r="381">
      <c r="A381" t="inlineStr">
        <is>
          <t>SANL1</t>
        </is>
      </c>
      <c r="B381" s="11" t="inlineStr">
        <is>
          <t>Nondurables less food</t>
        </is>
      </c>
      <c r="C381" t="inlineStr">
        <is>
          <t>SAG</t>
        </is>
      </c>
      <c r="D381" t="n">
        <v>1</v>
      </c>
      <c r="E381" t="b">
        <v>1</v>
      </c>
      <c r="F381" t="n">
        <v>380</v>
      </c>
    </row>
    <row r="382">
      <c r="A382" t="inlineStr">
        <is>
          <t>SANL13</t>
        </is>
      </c>
      <c r="B382" s="11" t="inlineStr">
        <is>
          <t>Nondurables less food and apparel</t>
        </is>
      </c>
      <c r="C382" t="inlineStr">
        <is>
          <t>SAG</t>
        </is>
      </c>
      <c r="D382" t="n">
        <v>1</v>
      </c>
      <c r="E382" t="b">
        <v>1</v>
      </c>
      <c r="F382" t="n">
        <v>381</v>
      </c>
    </row>
    <row r="383">
      <c r="A383" t="inlineStr">
        <is>
          <t>SANL11</t>
        </is>
      </c>
      <c r="B383" s="11" t="inlineStr">
        <is>
          <t>Nondurables less food and beverages</t>
        </is>
      </c>
      <c r="C383" t="inlineStr">
        <is>
          <t>SAG</t>
        </is>
      </c>
      <c r="D383" t="n">
        <v>1</v>
      </c>
      <c r="E383" t="b">
        <v>1</v>
      </c>
      <c r="F383" t="n">
        <v>382</v>
      </c>
    </row>
    <row r="384">
      <c r="A384" t="inlineStr">
        <is>
          <t>SANL113</t>
        </is>
      </c>
      <c r="B384" s="11" t="inlineStr">
        <is>
          <t>Nondurables less food, beverages, and apparel</t>
        </is>
      </c>
      <c r="C384" t="inlineStr">
        <is>
          <t>SAG</t>
        </is>
      </c>
      <c r="D384" t="n">
        <v>1</v>
      </c>
      <c r="E384" t="b">
        <v>1</v>
      </c>
      <c r="F384" t="n">
        <v>383</v>
      </c>
    </row>
    <row r="385">
      <c r="A385" t="inlineStr">
        <is>
          <t>SAGC</t>
        </is>
      </c>
      <c r="B385" s="11" t="inlineStr">
        <is>
          <t>Other goods</t>
        </is>
      </c>
      <c r="C385" t="inlineStr">
        <is>
          <t>SAG</t>
        </is>
      </c>
      <c r="D385" t="n">
        <v>1</v>
      </c>
      <c r="E385" t="b">
        <v>1</v>
      </c>
      <c r="F385" t="n">
        <v>384</v>
      </c>
    </row>
    <row r="386">
      <c r="A386" t="inlineStr">
        <is>
          <t>SAGS</t>
        </is>
      </c>
      <c r="B386" s="11" t="inlineStr">
        <is>
          <t>Other personal services</t>
        </is>
      </c>
      <c r="C386" t="inlineStr">
        <is>
          <t>SAG</t>
        </is>
      </c>
      <c r="D386" t="n">
        <v>1</v>
      </c>
      <c r="E386" t="b">
        <v>1</v>
      </c>
      <c r="F386" t="n">
        <v>385</v>
      </c>
    </row>
    <row r="387">
      <c r="A387" t="inlineStr">
        <is>
          <t>SAS367</t>
        </is>
      </c>
      <c r="B387" s="11" t="inlineStr">
        <is>
          <t>Other services</t>
        </is>
      </c>
      <c r="C387" t="inlineStr">
        <is>
          <t>SAG</t>
        </is>
      </c>
      <c r="D387" t="n">
        <v>1</v>
      </c>
      <c r="E387" t="b">
        <v>1</v>
      </c>
      <c r="F387" t="n">
        <v>386</v>
      </c>
    </row>
    <row r="388">
      <c r="A388" t="inlineStr">
        <is>
          <t>SARC</t>
        </is>
      </c>
      <c r="B388" s="11" t="inlineStr">
        <is>
          <t>Recreation commodities</t>
        </is>
      </c>
      <c r="C388" t="inlineStr">
        <is>
          <t>SAG</t>
        </is>
      </c>
      <c r="D388" t="n">
        <v>1</v>
      </c>
      <c r="E388" t="b">
        <v>1</v>
      </c>
      <c r="F388" t="n">
        <v>387</v>
      </c>
    </row>
    <row r="389">
      <c r="A389" t="inlineStr">
        <is>
          <t>SARS</t>
        </is>
      </c>
      <c r="B389" s="11" t="inlineStr">
        <is>
          <t>Recreation services</t>
        </is>
      </c>
      <c r="C389" t="inlineStr">
        <is>
          <t>SAG</t>
        </is>
      </c>
      <c r="D389" t="n">
        <v>1</v>
      </c>
      <c r="E389" t="b">
        <v>1</v>
      </c>
      <c r="F389" t="n">
        <v>388</v>
      </c>
    </row>
    <row r="390">
      <c r="A390" t="inlineStr">
        <is>
          <t>SAS2RS</t>
        </is>
      </c>
      <c r="B390" s="11" t="inlineStr">
        <is>
          <t>Rent of shelter</t>
        </is>
      </c>
      <c r="C390" t="inlineStr">
        <is>
          <t>SAG</t>
        </is>
      </c>
      <c r="D390" t="n">
        <v>1</v>
      </c>
      <c r="E390" t="b">
        <v>1</v>
      </c>
      <c r="F390" t="n">
        <v>389</v>
      </c>
    </row>
    <row r="391">
      <c r="A391" t="inlineStr">
        <is>
          <t>SAS</t>
        </is>
      </c>
      <c r="B391" s="11" t="inlineStr">
        <is>
          <t>Services</t>
        </is>
      </c>
      <c r="C391" t="inlineStr">
        <is>
          <t>SAG</t>
        </is>
      </c>
      <c r="D391" t="n">
        <v>1</v>
      </c>
      <c r="E391" t="b">
        <v>1</v>
      </c>
      <c r="F391" t="n">
        <v>390</v>
      </c>
    </row>
    <row r="392">
      <c r="A392" t="inlineStr">
        <is>
          <t>SASLE</t>
        </is>
      </c>
      <c r="B392" s="11" t="inlineStr">
        <is>
          <t>Services less energy services</t>
        </is>
      </c>
      <c r="C392" t="inlineStr">
        <is>
          <t>SAG</t>
        </is>
      </c>
      <c r="D392" t="n">
        <v>1</v>
      </c>
      <c r="E392" t="b">
        <v>1</v>
      </c>
      <c r="F392" t="n">
        <v>391</v>
      </c>
    </row>
    <row r="393">
      <c r="A393" t="inlineStr">
        <is>
          <t>SASL5</t>
        </is>
      </c>
      <c r="B393" s="11" t="inlineStr">
        <is>
          <t>Services less medical care services</t>
        </is>
      </c>
      <c r="C393" t="inlineStr">
        <is>
          <t>SAG</t>
        </is>
      </c>
      <c r="D393" t="n">
        <v>1</v>
      </c>
      <c r="E393" t="b">
        <v>1</v>
      </c>
      <c r="F393" t="n">
        <v>392</v>
      </c>
    </row>
    <row r="394">
      <c r="A394" t="inlineStr">
        <is>
          <t>SASL2RS</t>
        </is>
      </c>
      <c r="B394" s="11" t="inlineStr">
        <is>
          <t>Services less rent of shelter</t>
        </is>
      </c>
      <c r="C394" t="inlineStr">
        <is>
          <t>SAG</t>
        </is>
      </c>
      <c r="D394" t="n">
        <v>1</v>
      </c>
      <c r="E394" t="b">
        <v>1</v>
      </c>
      <c r="F394" t="n">
        <v>393</v>
      </c>
    </row>
    <row r="395">
      <c r="A395" t="inlineStr">
        <is>
          <t>SATCLTB</t>
        </is>
      </c>
      <c r="B395" s="11" t="inlineStr">
        <is>
          <t>Transportation commodities less motor fuel</t>
        </is>
      </c>
      <c r="C395" t="inlineStr">
        <is>
          <t>SAG</t>
        </is>
      </c>
      <c r="D395" t="n">
        <v>1</v>
      </c>
      <c r="E395" t="b">
        <v>1</v>
      </c>
      <c r="F395" t="n">
        <v>394</v>
      </c>
    </row>
    <row r="396">
      <c r="A396" t="inlineStr">
        <is>
          <t>SAS4</t>
        </is>
      </c>
      <c r="B396" s="11" t="inlineStr">
        <is>
          <t>Transportation services</t>
        </is>
      </c>
      <c r="C396" t="inlineStr">
        <is>
          <t>SAG</t>
        </is>
      </c>
      <c r="D396" t="n">
        <v>1</v>
      </c>
      <c r="E396" t="b">
        <v>1</v>
      </c>
      <c r="F396" t="n">
        <v>395</v>
      </c>
    </row>
    <row r="397">
      <c r="A397" t="inlineStr">
        <is>
          <t>SAS24</t>
        </is>
      </c>
      <c r="B397" s="11" t="inlineStr">
        <is>
          <t>Utilities and public transportation</t>
        </is>
      </c>
      <c r="C397" t="inlineStr">
        <is>
          <t>SAG</t>
        </is>
      </c>
      <c r="D397" t="n">
        <v>1</v>
      </c>
      <c r="E397" t="b">
        <v>1</v>
      </c>
      <c r="F397" t="n">
        <v>396</v>
      </c>
    </row>
    <row r="398">
      <c r="A398" t="inlineStr">
        <is>
          <t>SERAC</t>
        </is>
      </c>
      <c r="B398" s="11" t="inlineStr">
        <is>
          <t>Video and audio products</t>
        </is>
      </c>
      <c r="C398" t="inlineStr">
        <is>
          <t>SAG</t>
        </is>
      </c>
      <c r="D398" t="n">
        <v>1</v>
      </c>
      <c r="E398" t="b">
        <v>1</v>
      </c>
      <c r="F398" t="n">
        <v>397</v>
      </c>
    </row>
    <row r="399">
      <c r="A399" t="inlineStr">
        <is>
          <t>SERAS</t>
        </is>
      </c>
      <c r="B399" s="11" t="inlineStr">
        <is>
          <t>Video and audio services</t>
        </is>
      </c>
      <c r="C399" t="inlineStr">
        <is>
          <t>SAG</t>
        </is>
      </c>
      <c r="D399" t="n">
        <v>1</v>
      </c>
      <c r="E399" t="b">
        <v>1</v>
      </c>
      <c r="F399" t="n">
        <v>398</v>
      </c>
    </row>
    <row r="400">
      <c r="A400" t="inlineStr">
        <is>
          <t>SA0R</t>
        </is>
      </c>
      <c r="B400" t="inlineStr">
        <is>
          <t>Purchasing power of the consumer dollar</t>
        </is>
      </c>
      <c r="D400" t="n">
        <v>0</v>
      </c>
      <c r="E400" t="b">
        <v>1</v>
      </c>
      <c r="F400" t="n">
        <v>399</v>
      </c>
    </row>
    <row r="401">
      <c r="A401" t="inlineStr">
        <is>
          <t>AA0R</t>
        </is>
      </c>
      <c r="B401" t="inlineStr">
        <is>
          <t>Purchasing power of the consumer dollar - old base</t>
        </is>
      </c>
      <c r="D401" t="n">
        <v>0</v>
      </c>
      <c r="E401" t="b">
        <v>1</v>
      </c>
      <c r="F401" t="n">
        <v>400</v>
      </c>
    </row>
  </sheetData>
  <autoFilter ref="A1:F4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35" customWidth="1" min="3" max="3"/>
    <col width="42" customWidth="1" min="4" max="4"/>
    <col width="48" customWidth="1" min="5" max="5"/>
    <col width="48" customWidth="1" min="6" max="6"/>
    <col width="20" customWidth="1" min="7" max="7"/>
    <col width="22" customWidth="1" min="8" max="8"/>
    <col width="18" customWidth="1" min="9" max="9"/>
    <col width="18" customWidth="1" min="10" max="10"/>
  </cols>
  <sheetData>
    <row r="1">
      <c r="A1" s="6" t="inlineStr">
        <is>
          <t>item_code</t>
        </is>
      </c>
      <c r="B1" s="6" t="inlineStr">
        <is>
          <t>component</t>
        </is>
      </c>
      <c r="C1" s="6" t="inlineStr">
        <is>
          <t>formula</t>
        </is>
      </c>
      <c r="D1" s="6" t="inlineStr">
        <is>
          <t>collection</t>
        </is>
      </c>
      <c r="E1" s="6" t="inlineStr">
        <is>
          <t>qa_method</t>
        </is>
      </c>
      <c r="F1" s="6" t="inlineStr">
        <is>
          <t>alt_data</t>
        </is>
      </c>
      <c r="G1" s="6" t="inlineStr">
        <is>
          <t>factsheet_or_index</t>
        </is>
      </c>
      <c r="H1" s="6" t="inlineStr">
        <is>
          <t>handbook_calculation</t>
        </is>
      </c>
      <c r="I1" s="6" t="inlineStr">
        <is>
          <t>nsa_series</t>
        </is>
      </c>
      <c r="J1" s="6" t="inlineStr">
        <is>
          <t>sa_series</t>
        </is>
      </c>
    </row>
    <row r="2">
      <c r="A2" t="inlineStr">
        <is>
          <t>SA0</t>
        </is>
      </c>
      <c r="B2" t="inlineStr">
        <is>
          <t>All items</t>
        </is>
      </c>
      <c r="C2" s="19" t="inlineStr">
        <is>
          <t>aggregate</t>
        </is>
      </c>
      <c r="D2" s="19" t="inlineStr">
        <is>
          <t>aggregate</t>
        </is>
      </c>
      <c r="E2" s="19" t="inlineStr">
        <is>
          <t>aggregate</t>
        </is>
      </c>
      <c r="F2" s="19" t="inlineStr"/>
      <c r="G2" s="5" t="inlineStr">
        <is>
          <t>factsheet/index</t>
        </is>
      </c>
      <c r="H2" s="5" t="inlineStr">
        <is>
          <t>calculation handbook</t>
        </is>
      </c>
      <c r="I2" s="5" t="inlineStr">
        <is>
          <t>CUUR0000SA0</t>
        </is>
      </c>
      <c r="J2" s="5" t="inlineStr">
        <is>
          <t>CUSR0000SA0</t>
        </is>
      </c>
    </row>
    <row r="3">
      <c r="A3" t="inlineStr">
        <is>
          <t>AA0</t>
        </is>
      </c>
      <c r="B3" t="inlineStr">
        <is>
          <t>All items - old base</t>
        </is>
      </c>
      <c r="C3" s="19" t="inlineStr">
        <is>
          <t>GM</t>
        </is>
      </c>
      <c r="D3" s="19" t="inlineStr">
        <is>
          <t>monthly in New York/Los Angeles/Chicago; often bimonthly elsewhere</t>
        </is>
      </c>
      <c r="E3" s="19" t="inlineStr">
        <is>
          <t>cell-relative imputation for missing quotes; direct comparison/direct QA as applicable</t>
        </is>
      </c>
      <c r="F3" s="19" t="inlineStr"/>
      <c r="G3" s="5" t="inlineStr">
        <is>
          <t>factsheet/index</t>
        </is>
      </c>
      <c r="H3" s="5" t="inlineStr">
        <is>
          <t>calculation handbook</t>
        </is>
      </c>
      <c r="I3" s="5" t="inlineStr">
        <is>
          <t>CUUR0000AA0</t>
        </is>
      </c>
      <c r="J3" t="inlineStr"/>
    </row>
    <row r="4">
      <c r="A4" t="inlineStr">
        <is>
          <t>SAF</t>
        </is>
      </c>
      <c r="B4" t="inlineStr">
        <is>
          <t>Food and beverages</t>
        </is>
      </c>
      <c r="C4" s="19" t="inlineStr">
        <is>
          <t>aggregate</t>
        </is>
      </c>
      <c r="D4" s="19" t="inlineStr">
        <is>
          <t>aggregate</t>
        </is>
      </c>
      <c r="E4" s="19" t="inlineStr">
        <is>
          <t>aggregate of component methods</t>
        </is>
      </c>
      <c r="F4" s="19" t="inlineStr"/>
      <c r="G4" s="5" t="inlineStr">
        <is>
          <t>factsheet/index</t>
        </is>
      </c>
      <c r="H4" s="5" t="inlineStr">
        <is>
          <t>calculation handbook</t>
        </is>
      </c>
      <c r="I4" s="5" t="inlineStr">
        <is>
          <t>CUUR0000SAF</t>
        </is>
      </c>
      <c r="J4" s="5" t="inlineStr">
        <is>
          <t>CUSR0000SAF</t>
        </is>
      </c>
    </row>
    <row r="5">
      <c r="A5" t="inlineStr">
        <is>
          <t>SAF1</t>
        </is>
      </c>
      <c r="B5" t="inlineStr">
        <is>
          <t>Food</t>
        </is>
      </c>
      <c r="C5" s="19" t="inlineStr">
        <is>
          <t>aggregate</t>
        </is>
      </c>
      <c r="D5" s="19" t="inlineStr">
        <is>
          <t>aggregate</t>
        </is>
      </c>
      <c r="E5" s="19" t="inlineStr">
        <is>
          <t>aggregate</t>
        </is>
      </c>
      <c r="F5" s="19" t="inlineStr"/>
      <c r="G5" s="5" t="inlineStr">
        <is>
          <t>factsheet/index</t>
        </is>
      </c>
      <c r="H5" s="5" t="inlineStr">
        <is>
          <t>calculation handbook</t>
        </is>
      </c>
      <c r="I5" s="5" t="inlineStr">
        <is>
          <t>CUUR0000SAF1</t>
        </is>
      </c>
      <c r="J5" s="5" t="inlineStr">
        <is>
          <t>CUSR0000SAF1</t>
        </is>
      </c>
    </row>
    <row r="6">
      <c r="A6" t="inlineStr">
        <is>
          <t>SAF11</t>
        </is>
      </c>
      <c r="B6" t="inlineStr">
        <is>
          <t>Food at home</t>
        </is>
      </c>
      <c r="C6" s="19" t="inlineStr">
        <is>
          <t>GM</t>
        </is>
      </c>
      <c r="D6" s="19" t="inlineStr">
        <is>
          <t>direct collection; monthly in all areas</t>
        </is>
      </c>
      <c r="E6" s="19" t="inlineStr">
        <is>
          <t>cell-relative imputation common; seasonal-item pricing rules</t>
        </is>
      </c>
      <c r="F6" s="19" t="inlineStr"/>
      <c r="G6" s="5" t="inlineStr">
        <is>
          <t>factsheet/index</t>
        </is>
      </c>
      <c r="H6" s="5" t="inlineStr">
        <is>
          <t>calculation handbook</t>
        </is>
      </c>
      <c r="I6" s="5" t="inlineStr">
        <is>
          <t>CUUR0000SAF11</t>
        </is>
      </c>
      <c r="J6" s="5" t="inlineStr">
        <is>
          <t>CUSR0000SAF11</t>
        </is>
      </c>
    </row>
    <row r="7">
      <c r="A7" t="inlineStr">
        <is>
          <t>SAF111</t>
        </is>
      </c>
      <c r="B7" t="inlineStr">
        <is>
          <t>Cereals and bakery products</t>
        </is>
      </c>
      <c r="C7" s="19" t="inlineStr">
        <is>
          <t>GM</t>
        </is>
      </c>
      <c r="D7" s="19" t="inlineStr">
        <is>
          <t>monthly</t>
        </is>
      </c>
      <c r="E7" s="19" t="inlineStr">
        <is>
          <t>cell-relative</t>
        </is>
      </c>
      <c r="F7" s="19" t="inlineStr"/>
      <c r="G7" s="5" t="inlineStr">
        <is>
          <t>factsheet/index</t>
        </is>
      </c>
      <c r="H7" s="5" t="inlineStr">
        <is>
          <t>calculation handbook</t>
        </is>
      </c>
      <c r="I7" s="5" t="inlineStr">
        <is>
          <t>CUUR0000SAF111</t>
        </is>
      </c>
      <c r="J7" s="5" t="inlineStr">
        <is>
          <t>CUSR0000SAF111</t>
        </is>
      </c>
    </row>
    <row r="8">
      <c r="A8" t="inlineStr">
        <is>
          <t>SEFA</t>
        </is>
      </c>
      <c r="B8" t="inlineStr">
        <is>
          <t>Cereals and cereal products</t>
        </is>
      </c>
      <c r="C8" s="19" t="inlineStr">
        <is>
          <t>aggregate</t>
        </is>
      </c>
      <c r="D8" s="19" t="inlineStr">
        <is>
          <t>aggregate</t>
        </is>
      </c>
      <c r="E8" s="19" t="inlineStr">
        <is>
          <t>aggregate of component methods</t>
        </is>
      </c>
      <c r="F8" s="19" t="inlineStr"/>
      <c r="G8" s="5" t="inlineStr">
        <is>
          <t>factsheet/index</t>
        </is>
      </c>
      <c r="H8" s="5" t="inlineStr">
        <is>
          <t>calculation handbook</t>
        </is>
      </c>
      <c r="I8" s="5" t="inlineStr">
        <is>
          <t>CUUR0000SEFA</t>
        </is>
      </c>
      <c r="J8" s="5" t="inlineStr">
        <is>
          <t>CUSR0000SEFA</t>
        </is>
      </c>
    </row>
    <row r="9">
      <c r="A9" t="inlineStr">
        <is>
          <t>SEFA01</t>
        </is>
      </c>
      <c r="B9" t="inlineStr">
        <is>
          <t>Flour and prepared flour mixes</t>
        </is>
      </c>
      <c r="C9" s="19" t="inlineStr">
        <is>
          <t>GM</t>
        </is>
      </c>
      <c r="D9" s="19" t="inlineStr">
        <is>
          <t>monthly food collection where sampled</t>
        </is>
      </c>
      <c r="E9" s="19" t="inlineStr">
        <is>
          <t>cell-relative imputation for missing quotes; direct comparison/direct QA as applicable</t>
        </is>
      </c>
      <c r="F9" s="19" t="inlineStr"/>
      <c r="G9" s="5" t="inlineStr">
        <is>
          <t>factsheet/index</t>
        </is>
      </c>
      <c r="H9" s="5" t="inlineStr">
        <is>
          <t>calculation handbook</t>
        </is>
      </c>
      <c r="I9" s="5" t="inlineStr">
        <is>
          <t>CUUR0000SEFA01</t>
        </is>
      </c>
      <c r="J9" s="5" t="inlineStr">
        <is>
          <t>CUSR0000SEFA01</t>
        </is>
      </c>
    </row>
    <row r="10">
      <c r="A10" t="inlineStr">
        <is>
          <t>SEFA02</t>
        </is>
      </c>
      <c r="B10" t="inlineStr">
        <is>
          <t>Breakfast cereal</t>
        </is>
      </c>
      <c r="C10" s="19" t="inlineStr">
        <is>
          <t>GM</t>
        </is>
      </c>
      <c r="D10" s="19" t="inlineStr">
        <is>
          <t>monthly food collection where sampled</t>
        </is>
      </c>
      <c r="E10" s="19" t="inlineStr">
        <is>
          <t>cell-relative imputation for missing quotes; direct comparison/direct QA as applicable</t>
        </is>
      </c>
      <c r="F10" s="19" t="inlineStr"/>
      <c r="G10" s="5" t="inlineStr">
        <is>
          <t>factsheet/index</t>
        </is>
      </c>
      <c r="H10" s="5" t="inlineStr">
        <is>
          <t>calculation handbook</t>
        </is>
      </c>
      <c r="I10" s="5" t="inlineStr">
        <is>
          <t>CUUR0000SEFA02</t>
        </is>
      </c>
      <c r="J10" s="5" t="inlineStr">
        <is>
          <t>CUSR0000SEFA02</t>
        </is>
      </c>
    </row>
    <row r="11">
      <c r="A11" t="inlineStr">
        <is>
          <t>SEFA03</t>
        </is>
      </c>
      <c r="B11" t="inlineStr">
        <is>
          <t>Rice, pasta, cornmeal</t>
        </is>
      </c>
      <c r="C11" s="19" t="inlineStr">
        <is>
          <t>aggregate</t>
        </is>
      </c>
      <c r="D11" s="19" t="inlineStr">
        <is>
          <t>aggregate</t>
        </is>
      </c>
      <c r="E11" s="19" t="inlineStr">
        <is>
          <t>aggregate of component methods</t>
        </is>
      </c>
      <c r="F11" s="19" t="inlineStr"/>
      <c r="G11" s="5" t="inlineStr">
        <is>
          <t>factsheet/index</t>
        </is>
      </c>
      <c r="H11" s="5" t="inlineStr">
        <is>
          <t>calculation handbook</t>
        </is>
      </c>
      <c r="I11" s="5" t="inlineStr">
        <is>
          <t>CUUR0000SEFA03</t>
        </is>
      </c>
      <c r="J11" s="5" t="inlineStr">
        <is>
          <t>CUSR0000SEFA03</t>
        </is>
      </c>
    </row>
    <row r="12">
      <c r="A12" t="inlineStr">
        <is>
          <t>SS01031</t>
        </is>
      </c>
      <c r="B12" t="inlineStr">
        <is>
          <t>Rice</t>
        </is>
      </c>
      <c r="C12" s="19" t="inlineStr">
        <is>
          <t>GM</t>
        </is>
      </c>
      <c r="D12" s="19" t="inlineStr">
        <is>
          <t>monthly in New York/Los Angeles/Chicago; often bimonthly elsewhere</t>
        </is>
      </c>
      <c r="E12" s="19" t="inlineStr">
        <is>
          <t>cell-relative imputation for missing quotes; direct comparison/direct QA as applicable</t>
        </is>
      </c>
      <c r="F12" s="19" t="inlineStr"/>
      <c r="G12" s="5" t="inlineStr">
        <is>
          <t>factsheet/index</t>
        </is>
      </c>
      <c r="H12" s="5" t="inlineStr">
        <is>
          <t>calculation handbook</t>
        </is>
      </c>
      <c r="I12" s="5" t="inlineStr">
        <is>
          <t>CUUR0000SS01031</t>
        </is>
      </c>
      <c r="J12" t="inlineStr"/>
    </row>
    <row r="13">
      <c r="A13" t="inlineStr">
        <is>
          <t>SEFB</t>
        </is>
      </c>
      <c r="B13" t="inlineStr">
        <is>
          <t>Bakery products</t>
        </is>
      </c>
      <c r="C13" s="19" t="inlineStr">
        <is>
          <t>aggregate</t>
        </is>
      </c>
      <c r="D13" s="19" t="inlineStr">
        <is>
          <t>aggregate</t>
        </is>
      </c>
      <c r="E13" s="19" t="inlineStr">
        <is>
          <t>aggregate of component methods</t>
        </is>
      </c>
      <c r="F13" s="19" t="inlineStr"/>
      <c r="G13" s="5" t="inlineStr">
        <is>
          <t>factsheet/index</t>
        </is>
      </c>
      <c r="H13" s="5" t="inlineStr">
        <is>
          <t>calculation handbook</t>
        </is>
      </c>
      <c r="I13" s="5" t="inlineStr">
        <is>
          <t>CUUR0000SEFB</t>
        </is>
      </c>
      <c r="J13" s="5" t="inlineStr">
        <is>
          <t>CUSR0000SEFB</t>
        </is>
      </c>
    </row>
    <row r="14">
      <c r="A14" t="inlineStr">
        <is>
          <t>SEFB01</t>
        </is>
      </c>
      <c r="B14" t="inlineStr">
        <is>
          <t>Bread</t>
        </is>
      </c>
      <c r="C14" s="19" t="inlineStr">
        <is>
          <t>aggregate</t>
        </is>
      </c>
      <c r="D14" s="19" t="inlineStr">
        <is>
          <t>aggregate</t>
        </is>
      </c>
      <c r="E14" s="19" t="inlineStr">
        <is>
          <t>aggregate of component methods</t>
        </is>
      </c>
      <c r="F14" s="19" t="inlineStr"/>
      <c r="G14" s="5" t="inlineStr">
        <is>
          <t>factsheet/index</t>
        </is>
      </c>
      <c r="H14" s="5" t="inlineStr">
        <is>
          <t>calculation handbook</t>
        </is>
      </c>
      <c r="I14" s="5" t="inlineStr">
        <is>
          <t>CUUR0000SEFB01</t>
        </is>
      </c>
      <c r="J14" s="5" t="inlineStr">
        <is>
          <t>CUSR0000SEFB01</t>
        </is>
      </c>
    </row>
    <row r="15">
      <c r="A15" t="inlineStr">
        <is>
          <t>SS02011</t>
        </is>
      </c>
      <c r="B15" t="inlineStr">
        <is>
          <t>White bread</t>
        </is>
      </c>
      <c r="C15" s="19" t="inlineStr">
        <is>
          <t>GM</t>
        </is>
      </c>
      <c r="D15" s="19" t="inlineStr">
        <is>
          <t>monthly in New York/Los Angeles/Chicago; often bimonthly elsewhere</t>
        </is>
      </c>
      <c r="E15" s="19" t="inlineStr">
        <is>
          <t>cell-relative imputation for missing quotes; direct comparison/direct QA as applicable</t>
        </is>
      </c>
      <c r="F15" s="19" t="inlineStr"/>
      <c r="G15" s="5" t="inlineStr">
        <is>
          <t>factsheet/index</t>
        </is>
      </c>
      <c r="H15" s="5" t="inlineStr">
        <is>
          <t>calculation handbook</t>
        </is>
      </c>
      <c r="I15" s="5" t="inlineStr">
        <is>
          <t>CUUR0000SS02011</t>
        </is>
      </c>
      <c r="J15" t="inlineStr"/>
    </row>
    <row r="16">
      <c r="A16" t="inlineStr">
        <is>
          <t>SS02021</t>
        </is>
      </c>
      <c r="B16" t="inlineStr">
        <is>
          <t>Bread other than white</t>
        </is>
      </c>
      <c r="C16" s="19" t="inlineStr">
        <is>
          <t>GM</t>
        </is>
      </c>
      <c r="D16" s="19" t="inlineStr">
        <is>
          <t>monthly in New York/Los Angeles/Chicago; often bimonthly elsewhere</t>
        </is>
      </c>
      <c r="E16" s="19" t="inlineStr">
        <is>
          <t>cell-relative imputation for missing quotes; direct comparison/direct QA as applicable</t>
        </is>
      </c>
      <c r="F16" s="19" t="inlineStr"/>
      <c r="G16" s="5" t="inlineStr">
        <is>
          <t>factsheet/index</t>
        </is>
      </c>
      <c r="H16" s="5" t="inlineStr">
        <is>
          <t>calculation handbook</t>
        </is>
      </c>
      <c r="I16" s="5" t="inlineStr">
        <is>
          <t>CUUR0000SS02021</t>
        </is>
      </c>
      <c r="J16" t="inlineStr"/>
    </row>
    <row r="17">
      <c r="A17" t="inlineStr">
        <is>
          <t>SEFB02</t>
        </is>
      </c>
      <c r="B17" t="inlineStr">
        <is>
          <t>Fresh biscuits, rolls, muffins</t>
        </is>
      </c>
      <c r="C17" s="19" t="inlineStr">
        <is>
          <t>GM</t>
        </is>
      </c>
      <c r="D17" s="19" t="inlineStr">
        <is>
          <t>monthly food collection where sampled</t>
        </is>
      </c>
      <c r="E17" s="19" t="inlineStr">
        <is>
          <t>cell-relative imputation for missing quotes; direct comparison/direct QA as applicable</t>
        </is>
      </c>
      <c r="F17" s="19" t="inlineStr"/>
      <c r="G17" s="5" t="inlineStr">
        <is>
          <t>factsheet/index</t>
        </is>
      </c>
      <c r="H17" s="5" t="inlineStr">
        <is>
          <t>calculation handbook</t>
        </is>
      </c>
      <c r="I17" s="5" t="inlineStr">
        <is>
          <t>CUUR0000SEFB02</t>
        </is>
      </c>
      <c r="J17" s="5" t="inlineStr">
        <is>
          <t>CUSR0000SEFB02</t>
        </is>
      </c>
    </row>
    <row r="18">
      <c r="A18" t="inlineStr">
        <is>
          <t>SEFB03</t>
        </is>
      </c>
      <c r="B18" t="inlineStr">
        <is>
          <t>Cakes, cupcakes, and cookies</t>
        </is>
      </c>
      <c r="C18" s="19" t="inlineStr">
        <is>
          <t>aggregate</t>
        </is>
      </c>
      <c r="D18" s="19" t="inlineStr">
        <is>
          <t>aggregate</t>
        </is>
      </c>
      <c r="E18" s="19" t="inlineStr">
        <is>
          <t>aggregate of component methods</t>
        </is>
      </c>
      <c r="F18" s="19" t="inlineStr"/>
      <c r="G18" s="5" t="inlineStr">
        <is>
          <t>factsheet/index</t>
        </is>
      </c>
      <c r="H18" s="5" t="inlineStr">
        <is>
          <t>calculation handbook</t>
        </is>
      </c>
      <c r="I18" s="5" t="inlineStr">
        <is>
          <t>CUUR0000SEFB03</t>
        </is>
      </c>
      <c r="J18" s="5" t="inlineStr">
        <is>
          <t>CUSR0000SEFB03</t>
        </is>
      </c>
    </row>
    <row r="19">
      <c r="A19" t="inlineStr">
        <is>
          <t>SS02041</t>
        </is>
      </c>
      <c r="B19" t="inlineStr">
        <is>
          <t>Fresh cakes and cupcakes</t>
        </is>
      </c>
      <c r="C19" s="19" t="inlineStr">
        <is>
          <t>GM</t>
        </is>
      </c>
      <c r="D19" s="19" t="inlineStr">
        <is>
          <t>monthly in New York/Los Angeles/Chicago; often bimonthly elsewhere</t>
        </is>
      </c>
      <c r="E19" s="19" t="inlineStr">
        <is>
          <t>cell-relative imputation for missing quotes; direct comparison/direct QA as applicable</t>
        </is>
      </c>
      <c r="F19" s="19" t="inlineStr"/>
      <c r="G19" s="5" t="inlineStr">
        <is>
          <t>factsheet/index</t>
        </is>
      </c>
      <c r="H19" s="5" t="inlineStr">
        <is>
          <t>calculation handbook</t>
        </is>
      </c>
      <c r="I19" s="5" t="inlineStr">
        <is>
          <t>CUUR0000SS02041</t>
        </is>
      </c>
      <c r="J19" t="inlineStr"/>
    </row>
    <row r="20">
      <c r="A20" t="inlineStr">
        <is>
          <t>SS02042</t>
        </is>
      </c>
      <c r="B20" t="inlineStr">
        <is>
          <t>Cookies</t>
        </is>
      </c>
      <c r="C20" s="19" t="inlineStr">
        <is>
          <t>GM</t>
        </is>
      </c>
      <c r="D20" s="19" t="inlineStr">
        <is>
          <t>monthly in New York/Los Angeles/Chicago; often bimonthly elsewhere</t>
        </is>
      </c>
      <c r="E20" s="19" t="inlineStr">
        <is>
          <t>cell-relative imputation for missing quotes; direct comparison/direct QA as applicable</t>
        </is>
      </c>
      <c r="F20" s="19" t="inlineStr"/>
      <c r="G20" s="5" t="inlineStr">
        <is>
          <t>factsheet/index</t>
        </is>
      </c>
      <c r="H20" s="5" t="inlineStr">
        <is>
          <t>calculation handbook</t>
        </is>
      </c>
      <c r="I20" s="5" t="inlineStr">
        <is>
          <t>CUUR0000SS02042</t>
        </is>
      </c>
      <c r="J20" s="5" t="inlineStr">
        <is>
          <t>CUSR0000SS02042</t>
        </is>
      </c>
    </row>
    <row r="21">
      <c r="A21" t="inlineStr">
        <is>
          <t>SEFB04</t>
        </is>
      </c>
      <c r="B21" t="inlineStr">
        <is>
          <t>Other bakery products</t>
        </is>
      </c>
      <c r="C21" s="19" t="inlineStr">
        <is>
          <t>aggregate</t>
        </is>
      </c>
      <c r="D21" s="19" t="inlineStr">
        <is>
          <t>aggregate</t>
        </is>
      </c>
      <c r="E21" s="19" t="inlineStr">
        <is>
          <t>aggregate of component methods</t>
        </is>
      </c>
      <c r="F21" s="19" t="inlineStr"/>
      <c r="G21" s="5" t="inlineStr">
        <is>
          <t>factsheet/index</t>
        </is>
      </c>
      <c r="H21" s="5" t="inlineStr">
        <is>
          <t>calculation handbook</t>
        </is>
      </c>
      <c r="I21" s="5" t="inlineStr">
        <is>
          <t>CUUR0000SEFB04</t>
        </is>
      </c>
      <c r="J21" s="5" t="inlineStr">
        <is>
          <t>CUSR0000SEFB04</t>
        </is>
      </c>
    </row>
    <row r="22">
      <c r="A22" t="inlineStr">
        <is>
          <t>SS02063</t>
        </is>
      </c>
      <c r="B22" t="inlineStr">
        <is>
          <t>Fresh sweetrolls, coffeecakes, doughnuts</t>
        </is>
      </c>
      <c r="C22" s="19" t="inlineStr">
        <is>
          <t>GM</t>
        </is>
      </c>
      <c r="D22" s="19" t="inlineStr">
        <is>
          <t>monthly in New York/Los Angeles/Chicago; often bimonthly elsewhere</t>
        </is>
      </c>
      <c r="E22" s="19" t="inlineStr">
        <is>
          <t>cell-relative imputation for missing quotes; direct comparison/direct QA as applicable</t>
        </is>
      </c>
      <c r="F22" s="19" t="inlineStr"/>
      <c r="G22" s="5" t="inlineStr">
        <is>
          <t>factsheet/index</t>
        </is>
      </c>
      <c r="H22" s="5" t="inlineStr">
        <is>
          <t>calculation handbook</t>
        </is>
      </c>
      <c r="I22" s="5" t="inlineStr">
        <is>
          <t>CUUR0000SS02063</t>
        </is>
      </c>
      <c r="J22" t="inlineStr"/>
    </row>
    <row r="23">
      <c r="A23" t="inlineStr">
        <is>
          <t>SS0206A</t>
        </is>
      </c>
      <c r="B23" t="inlineStr">
        <is>
          <t>Crackers, bread, and cracker products</t>
        </is>
      </c>
      <c r="C23" s="19" t="inlineStr">
        <is>
          <t>GM</t>
        </is>
      </c>
      <c r="D23" s="19" t="inlineStr">
        <is>
          <t>monthly in New York/Los Angeles/Chicago; often bimonthly elsewhere</t>
        </is>
      </c>
      <c r="E23" s="19" t="inlineStr">
        <is>
          <t>cell-relative imputation for missing quotes; direct comparison/direct QA as applicable</t>
        </is>
      </c>
      <c r="F23" s="19" t="inlineStr"/>
      <c r="G23" s="5" t="inlineStr">
        <is>
          <t>factsheet/index</t>
        </is>
      </c>
      <c r="H23" s="5" t="inlineStr">
        <is>
          <t>calculation handbook</t>
        </is>
      </c>
      <c r="I23" s="5" t="inlineStr">
        <is>
          <t>CUUR0000SS0206A</t>
        </is>
      </c>
      <c r="J23" s="5" t="inlineStr">
        <is>
          <t>CUSR0000SS0206A</t>
        </is>
      </c>
    </row>
    <row r="24">
      <c r="A24" t="inlineStr">
        <is>
          <t>SS0206B</t>
        </is>
      </c>
      <c r="B24" t="inlineStr">
        <is>
          <t>Frozen and refrigerated bakery products, pies, tarts, turnovers</t>
        </is>
      </c>
      <c r="C24" s="19" t="inlineStr">
        <is>
          <t>GM</t>
        </is>
      </c>
      <c r="D24" s="19" t="inlineStr">
        <is>
          <t>monthly in New York/Los Angeles/Chicago; often bimonthly elsewhere</t>
        </is>
      </c>
      <c r="E24" s="19" t="inlineStr">
        <is>
          <t>cell-relative imputation for missing quotes; direct comparison/direct QA as applicable</t>
        </is>
      </c>
      <c r="F24" s="19" t="inlineStr"/>
      <c r="G24" s="5" t="inlineStr">
        <is>
          <t>factsheet/index</t>
        </is>
      </c>
      <c r="H24" s="5" t="inlineStr">
        <is>
          <t>calculation handbook</t>
        </is>
      </c>
      <c r="I24" s="5" t="inlineStr">
        <is>
          <t>CUUR0000SS0206B</t>
        </is>
      </c>
      <c r="J24" s="5" t="inlineStr">
        <is>
          <t>CUSR0000SS0206B</t>
        </is>
      </c>
    </row>
    <row r="25">
      <c r="A25" t="inlineStr">
        <is>
          <t>SAF112</t>
        </is>
      </c>
      <c r="B25" t="inlineStr">
        <is>
          <t>Meats, poultry, fish, and eggs</t>
        </is>
      </c>
      <c r="C25" s="19" t="inlineStr">
        <is>
          <t>GM</t>
        </is>
      </c>
      <c r="D25" s="19" t="inlineStr">
        <is>
          <t>monthly</t>
        </is>
      </c>
      <c r="E25" s="19" t="inlineStr">
        <is>
          <t>cell-relative</t>
        </is>
      </c>
      <c r="F25" s="19" t="inlineStr"/>
      <c r="G25" s="5" t="inlineStr">
        <is>
          <t>factsheet/index</t>
        </is>
      </c>
      <c r="H25" s="5" t="inlineStr">
        <is>
          <t>calculation handbook</t>
        </is>
      </c>
      <c r="I25" s="5" t="inlineStr">
        <is>
          <t>CUUR0000SAF112</t>
        </is>
      </c>
      <c r="J25" s="5" t="inlineStr">
        <is>
          <t>CUSR0000SAF112</t>
        </is>
      </c>
    </row>
    <row r="26">
      <c r="A26" t="inlineStr">
        <is>
          <t>SAF1121</t>
        </is>
      </c>
      <c r="B26" t="inlineStr">
        <is>
          <t>Meats, poultry, and fish</t>
        </is>
      </c>
      <c r="C26" s="19" t="inlineStr">
        <is>
          <t>aggregate</t>
        </is>
      </c>
      <c r="D26" s="19" t="inlineStr">
        <is>
          <t>aggregate</t>
        </is>
      </c>
      <c r="E26" s="19" t="inlineStr">
        <is>
          <t>aggregate of component methods</t>
        </is>
      </c>
      <c r="F26" s="19" t="inlineStr"/>
      <c r="G26" s="5" t="inlineStr">
        <is>
          <t>factsheet/index</t>
        </is>
      </c>
      <c r="H26" s="5" t="inlineStr">
        <is>
          <t>calculation handbook</t>
        </is>
      </c>
      <c r="I26" s="5" t="inlineStr">
        <is>
          <t>CUUR0000SAF1121</t>
        </is>
      </c>
      <c r="J26" s="5" t="inlineStr">
        <is>
          <t>CUSR0000SAF1121</t>
        </is>
      </c>
    </row>
    <row r="27">
      <c r="A27" t="inlineStr">
        <is>
          <t>SAF11211</t>
        </is>
      </c>
      <c r="B27" t="inlineStr">
        <is>
          <t>Meats</t>
        </is>
      </c>
      <c r="C27" s="19" t="inlineStr">
        <is>
          <t>aggregate</t>
        </is>
      </c>
      <c r="D27" s="19" t="inlineStr">
        <is>
          <t>aggregate</t>
        </is>
      </c>
      <c r="E27" s="19" t="inlineStr">
        <is>
          <t>aggregate of component methods</t>
        </is>
      </c>
      <c r="F27" s="19" t="inlineStr"/>
      <c r="G27" s="5" t="inlineStr">
        <is>
          <t>factsheet/index</t>
        </is>
      </c>
      <c r="H27" s="5" t="inlineStr">
        <is>
          <t>calculation handbook</t>
        </is>
      </c>
      <c r="I27" s="5" t="inlineStr">
        <is>
          <t>CUUR0000SAF11211</t>
        </is>
      </c>
      <c r="J27" s="5" t="inlineStr">
        <is>
          <t>CUSR0000SAF11211</t>
        </is>
      </c>
    </row>
    <row r="28">
      <c r="A28" t="inlineStr">
        <is>
          <t>SEFC</t>
        </is>
      </c>
      <c r="B28" t="inlineStr">
        <is>
          <t>Beef and veal</t>
        </is>
      </c>
      <c r="C28" s="19" t="inlineStr">
        <is>
          <t>aggregate</t>
        </is>
      </c>
      <c r="D28" s="19" t="inlineStr">
        <is>
          <t>aggregate</t>
        </is>
      </c>
      <c r="E28" s="19" t="inlineStr">
        <is>
          <t>aggregate of component methods</t>
        </is>
      </c>
      <c r="F28" s="19" t="inlineStr"/>
      <c r="G28" s="5" t="inlineStr">
        <is>
          <t>factsheet/index</t>
        </is>
      </c>
      <c r="H28" s="5" t="inlineStr">
        <is>
          <t>calculation handbook</t>
        </is>
      </c>
      <c r="I28" s="5" t="inlineStr">
        <is>
          <t>CUUR0000SEFC</t>
        </is>
      </c>
      <c r="J28" s="5" t="inlineStr">
        <is>
          <t>CUSR0000SEFC</t>
        </is>
      </c>
    </row>
    <row r="29">
      <c r="A29" t="inlineStr">
        <is>
          <t>SEFC01</t>
        </is>
      </c>
      <c r="B29" t="inlineStr">
        <is>
          <t>Uncooked ground beef</t>
        </is>
      </c>
      <c r="C29" s="19" t="inlineStr">
        <is>
          <t>GM</t>
        </is>
      </c>
      <c r="D29" s="19" t="inlineStr">
        <is>
          <t>monthly food collection where sampled</t>
        </is>
      </c>
      <c r="E29" s="19" t="inlineStr">
        <is>
          <t>cell-relative imputation for missing quotes; direct comparison/direct QA as applicable</t>
        </is>
      </c>
      <c r="F29" s="19" t="inlineStr"/>
      <c r="G29" s="5" t="inlineStr">
        <is>
          <t>factsheet/index</t>
        </is>
      </c>
      <c r="H29" s="5" t="inlineStr">
        <is>
          <t>calculation handbook</t>
        </is>
      </c>
      <c r="I29" s="5" t="inlineStr">
        <is>
          <t>CUUR0000SEFC01</t>
        </is>
      </c>
      <c r="J29" s="5" t="inlineStr">
        <is>
          <t>CUSR0000SEFC01</t>
        </is>
      </c>
    </row>
    <row r="30">
      <c r="A30" t="inlineStr">
        <is>
          <t>SEFC02</t>
        </is>
      </c>
      <c r="B30" t="inlineStr">
        <is>
          <t>Uncooked beef roasts</t>
        </is>
      </c>
      <c r="C30" s="19" t="inlineStr">
        <is>
          <t>GM</t>
        </is>
      </c>
      <c r="D30" s="19" t="inlineStr">
        <is>
          <t>monthly food collection where sampled</t>
        </is>
      </c>
      <c r="E30" s="19" t="inlineStr">
        <is>
          <t>cell-relative imputation for missing quotes; direct comparison/direct QA as applicable</t>
        </is>
      </c>
      <c r="F30" s="19" t="inlineStr"/>
      <c r="G30" s="5" t="inlineStr">
        <is>
          <t>factsheet/index</t>
        </is>
      </c>
      <c r="H30" s="5" t="inlineStr">
        <is>
          <t>calculation handbook</t>
        </is>
      </c>
      <c r="I30" s="5" t="inlineStr">
        <is>
          <t>CUUR0000SEFC02</t>
        </is>
      </c>
      <c r="J30" s="5" t="inlineStr">
        <is>
          <t>CUSR0000SEFC02</t>
        </is>
      </c>
    </row>
    <row r="31">
      <c r="A31" t="inlineStr">
        <is>
          <t>SEFC03</t>
        </is>
      </c>
      <c r="B31" t="inlineStr">
        <is>
          <t>Uncooked beef steaks</t>
        </is>
      </c>
      <c r="C31" s="19" t="inlineStr">
        <is>
          <t>GM</t>
        </is>
      </c>
      <c r="D31" s="19" t="inlineStr">
        <is>
          <t>monthly food collection where sampled</t>
        </is>
      </c>
      <c r="E31" s="19" t="inlineStr">
        <is>
          <t>cell-relative imputation for missing quotes; direct comparison/direct QA as applicable</t>
        </is>
      </c>
      <c r="F31" s="19" t="inlineStr"/>
      <c r="G31" s="5" t="inlineStr">
        <is>
          <t>factsheet/index</t>
        </is>
      </c>
      <c r="H31" s="5" t="inlineStr">
        <is>
          <t>calculation handbook</t>
        </is>
      </c>
      <c r="I31" s="5" t="inlineStr">
        <is>
          <t>CUUR0000SEFC03</t>
        </is>
      </c>
      <c r="J31" s="5" t="inlineStr">
        <is>
          <t>CUSR0000SEFC03</t>
        </is>
      </c>
    </row>
    <row r="32">
      <c r="A32" t="inlineStr">
        <is>
          <t>SEFC04</t>
        </is>
      </c>
      <c r="B32" t="inlineStr">
        <is>
          <t>Uncooked other beef and veal</t>
        </is>
      </c>
      <c r="C32" s="19" t="inlineStr">
        <is>
          <t>GM</t>
        </is>
      </c>
      <c r="D32" s="19" t="inlineStr">
        <is>
          <t>monthly food collection where sampled</t>
        </is>
      </c>
      <c r="E32" s="19" t="inlineStr">
        <is>
          <t>cell-relative imputation for missing quotes; direct comparison/direct QA as applicable</t>
        </is>
      </c>
      <c r="F32" s="19" t="inlineStr"/>
      <c r="G32" s="5" t="inlineStr">
        <is>
          <t>factsheet/index</t>
        </is>
      </c>
      <c r="H32" s="5" t="inlineStr">
        <is>
          <t>calculation handbook</t>
        </is>
      </c>
      <c r="I32" s="5" t="inlineStr">
        <is>
          <t>CUUR0000SEFC04</t>
        </is>
      </c>
      <c r="J32" t="inlineStr"/>
    </row>
    <row r="33">
      <c r="A33" t="inlineStr">
        <is>
          <t>SEFD</t>
        </is>
      </c>
      <c r="B33" t="inlineStr">
        <is>
          <t>Pork</t>
        </is>
      </c>
      <c r="C33" s="19" t="inlineStr">
        <is>
          <t>aggregate</t>
        </is>
      </c>
      <c r="D33" s="19" t="inlineStr">
        <is>
          <t>aggregate</t>
        </is>
      </c>
      <c r="E33" s="19" t="inlineStr">
        <is>
          <t>aggregate of component methods</t>
        </is>
      </c>
      <c r="F33" s="19" t="inlineStr"/>
      <c r="G33" s="5" t="inlineStr">
        <is>
          <t>factsheet/index</t>
        </is>
      </c>
      <c r="H33" s="5" t="inlineStr">
        <is>
          <t>calculation handbook</t>
        </is>
      </c>
      <c r="I33" s="5" t="inlineStr">
        <is>
          <t>CUUR0000SEFD</t>
        </is>
      </c>
      <c r="J33" s="5" t="inlineStr">
        <is>
          <t>CUSR0000SEFD</t>
        </is>
      </c>
    </row>
    <row r="34">
      <c r="A34" t="inlineStr">
        <is>
          <t>SEFD01</t>
        </is>
      </c>
      <c r="B34" t="inlineStr">
        <is>
          <t>Bacon, breakfast sausage, and related products</t>
        </is>
      </c>
      <c r="C34" s="19" t="inlineStr">
        <is>
          <t>aggregate</t>
        </is>
      </c>
      <c r="D34" s="19" t="inlineStr">
        <is>
          <t>aggregate</t>
        </is>
      </c>
      <c r="E34" s="19" t="inlineStr">
        <is>
          <t>aggregate of component methods</t>
        </is>
      </c>
      <c r="F34" s="19" t="inlineStr"/>
      <c r="G34" s="5" t="inlineStr">
        <is>
          <t>factsheet/index</t>
        </is>
      </c>
      <c r="H34" s="5" t="inlineStr">
        <is>
          <t>calculation handbook</t>
        </is>
      </c>
      <c r="I34" s="5" t="inlineStr">
        <is>
          <t>CUUR0000SEFD01</t>
        </is>
      </c>
      <c r="J34" s="5" t="inlineStr">
        <is>
          <t>CUSR0000SEFD01</t>
        </is>
      </c>
    </row>
    <row r="35">
      <c r="A35" t="inlineStr">
        <is>
          <t>SS04011</t>
        </is>
      </c>
      <c r="B35" t="inlineStr">
        <is>
          <t>Bacon and related products</t>
        </is>
      </c>
      <c r="C35" s="19" t="inlineStr">
        <is>
          <t>GM</t>
        </is>
      </c>
      <c r="D35" s="19" t="inlineStr">
        <is>
          <t>monthly in New York/Los Angeles/Chicago; often bimonthly elsewhere</t>
        </is>
      </c>
      <c r="E35" s="19" t="inlineStr">
        <is>
          <t>cell-relative imputation for missing quotes; direct comparison/direct QA as applicable</t>
        </is>
      </c>
      <c r="F35" s="19" t="inlineStr"/>
      <c r="G35" s="5" t="inlineStr">
        <is>
          <t>factsheet/index</t>
        </is>
      </c>
      <c r="H35" s="5" t="inlineStr">
        <is>
          <t>calculation handbook</t>
        </is>
      </c>
      <c r="I35" s="5" t="inlineStr">
        <is>
          <t>CUUR0000SS04011</t>
        </is>
      </c>
      <c r="J35" s="5" t="inlineStr">
        <is>
          <t>CUSR0000SS04011</t>
        </is>
      </c>
    </row>
    <row r="36">
      <c r="A36" t="inlineStr">
        <is>
          <t>SS04012</t>
        </is>
      </c>
      <c r="B36" t="inlineStr">
        <is>
          <t>Breakfast sausage and related products</t>
        </is>
      </c>
      <c r="C36" s="19" t="inlineStr">
        <is>
          <t>GM</t>
        </is>
      </c>
      <c r="D36" s="19" t="inlineStr">
        <is>
          <t>monthly in New York/Los Angeles/Chicago; often bimonthly elsewhere</t>
        </is>
      </c>
      <c r="E36" s="19" t="inlineStr">
        <is>
          <t>cell-relative imputation for missing quotes; direct comparison/direct QA as applicable</t>
        </is>
      </c>
      <c r="F36" s="19" t="inlineStr"/>
      <c r="G36" s="5" t="inlineStr">
        <is>
          <t>factsheet/index</t>
        </is>
      </c>
      <c r="H36" s="5" t="inlineStr">
        <is>
          <t>calculation handbook</t>
        </is>
      </c>
      <c r="I36" s="5" t="inlineStr">
        <is>
          <t>CUUR0000SS04012</t>
        </is>
      </c>
      <c r="J36" s="5" t="inlineStr">
        <is>
          <t>CUSR0000SS04012</t>
        </is>
      </c>
    </row>
    <row r="37">
      <c r="A37" t="inlineStr">
        <is>
          <t>SEFD02</t>
        </is>
      </c>
      <c r="B37" t="inlineStr">
        <is>
          <t>Ham</t>
        </is>
      </c>
      <c r="C37" s="19" t="inlineStr">
        <is>
          <t>aggregate</t>
        </is>
      </c>
      <c r="D37" s="19" t="inlineStr">
        <is>
          <t>aggregate</t>
        </is>
      </c>
      <c r="E37" s="19" t="inlineStr">
        <is>
          <t>aggregate of component methods</t>
        </is>
      </c>
      <c r="F37" s="19" t="inlineStr"/>
      <c r="G37" s="5" t="inlineStr">
        <is>
          <t>factsheet/index</t>
        </is>
      </c>
      <c r="H37" s="5" t="inlineStr">
        <is>
          <t>calculation handbook</t>
        </is>
      </c>
      <c r="I37" s="5" t="inlineStr">
        <is>
          <t>CUUR0000SEFD02</t>
        </is>
      </c>
      <c r="J37" s="5" t="inlineStr">
        <is>
          <t>CUSR0000SEFD02</t>
        </is>
      </c>
    </row>
    <row r="38">
      <c r="A38" t="inlineStr">
        <is>
          <t>SS04031</t>
        </is>
      </c>
      <c r="B38" t="inlineStr">
        <is>
          <t>Ham, excluding canned</t>
        </is>
      </c>
      <c r="C38" s="19" t="inlineStr">
        <is>
          <t>GM</t>
        </is>
      </c>
      <c r="D38" s="19" t="inlineStr">
        <is>
          <t>monthly in New York/Los Angeles/Chicago; often bimonthly elsewhere</t>
        </is>
      </c>
      <c r="E38" s="19" t="inlineStr">
        <is>
          <t>cell-relative imputation for missing quotes; direct comparison/direct QA as applicable</t>
        </is>
      </c>
      <c r="F38" s="19" t="inlineStr"/>
      <c r="G38" s="5" t="inlineStr">
        <is>
          <t>factsheet/index</t>
        </is>
      </c>
      <c r="H38" s="5" t="inlineStr">
        <is>
          <t>calculation handbook</t>
        </is>
      </c>
      <c r="I38" s="5" t="inlineStr">
        <is>
          <t>CUUR0000SS04031</t>
        </is>
      </c>
      <c r="J38" s="5" t="inlineStr">
        <is>
          <t>CUSR0000SS04031</t>
        </is>
      </c>
    </row>
    <row r="39">
      <c r="A39" t="inlineStr">
        <is>
          <t>SEFD03</t>
        </is>
      </c>
      <c r="B39" t="inlineStr">
        <is>
          <t>Pork chops</t>
        </is>
      </c>
      <c r="C39" s="19" t="inlineStr">
        <is>
          <t>GM</t>
        </is>
      </c>
      <c r="D39" s="19" t="inlineStr">
        <is>
          <t>monthly food collection where sampled</t>
        </is>
      </c>
      <c r="E39" s="19" t="inlineStr">
        <is>
          <t>cell-relative imputation for missing quotes; direct comparison/direct QA as applicable</t>
        </is>
      </c>
      <c r="F39" s="19" t="inlineStr"/>
      <c r="G39" s="5" t="inlineStr">
        <is>
          <t>factsheet/index</t>
        </is>
      </c>
      <c r="H39" s="5" t="inlineStr">
        <is>
          <t>calculation handbook</t>
        </is>
      </c>
      <c r="I39" s="5" t="inlineStr">
        <is>
          <t>CUUR0000SEFD03</t>
        </is>
      </c>
      <c r="J39" s="5" t="inlineStr">
        <is>
          <t>CUSR0000SEFD03</t>
        </is>
      </c>
    </row>
    <row r="40">
      <c r="A40" t="inlineStr">
        <is>
          <t>SEFD04</t>
        </is>
      </c>
      <c r="B40" t="inlineStr">
        <is>
          <t>Other pork including roasts, steaks, and ribs</t>
        </is>
      </c>
      <c r="C40" s="19" t="inlineStr">
        <is>
          <t>GM</t>
        </is>
      </c>
      <c r="D40" s="19" t="inlineStr">
        <is>
          <t>monthly food collection where sampled</t>
        </is>
      </c>
      <c r="E40" s="19" t="inlineStr">
        <is>
          <t>cell-relative imputation for missing quotes; direct comparison/direct QA as applicable</t>
        </is>
      </c>
      <c r="F40" s="19" t="inlineStr"/>
      <c r="G40" s="5" t="inlineStr">
        <is>
          <t>factsheet/index</t>
        </is>
      </c>
      <c r="H40" s="5" t="inlineStr">
        <is>
          <t>calculation handbook</t>
        </is>
      </c>
      <c r="I40" s="5" t="inlineStr">
        <is>
          <t>CUUR0000SEFD04</t>
        </is>
      </c>
      <c r="J40" s="5" t="inlineStr">
        <is>
          <t>CUSR0000SEFD04</t>
        </is>
      </c>
    </row>
    <row r="41">
      <c r="A41" t="inlineStr">
        <is>
          <t>SEFE</t>
        </is>
      </c>
      <c r="B41" t="inlineStr">
        <is>
          <t>Other meats</t>
        </is>
      </c>
      <c r="C41" s="19" t="inlineStr">
        <is>
          <t>aggregate</t>
        </is>
      </c>
      <c r="D41" s="19" t="inlineStr">
        <is>
          <t>aggregate</t>
        </is>
      </c>
      <c r="E41" s="19" t="inlineStr">
        <is>
          <t>aggregate of component methods</t>
        </is>
      </c>
      <c r="F41" s="19" t="inlineStr"/>
      <c r="G41" s="5" t="inlineStr">
        <is>
          <t>factsheet/index</t>
        </is>
      </c>
      <c r="H41" s="5" t="inlineStr">
        <is>
          <t>calculation handbook</t>
        </is>
      </c>
      <c r="I41" s="5" t="inlineStr">
        <is>
          <t>CUUR0000SEFE</t>
        </is>
      </c>
      <c r="J41" s="5" t="inlineStr">
        <is>
          <t>CUSR0000SEFE</t>
        </is>
      </c>
    </row>
    <row r="42">
      <c r="A42" t="inlineStr">
        <is>
          <t>SS05011</t>
        </is>
      </c>
      <c r="B42" t="inlineStr">
        <is>
          <t>Frankfurters</t>
        </is>
      </c>
      <c r="C42" s="19" t="inlineStr">
        <is>
          <t>GM</t>
        </is>
      </c>
      <c r="D42" s="19" t="inlineStr">
        <is>
          <t>monthly in New York/Los Angeles/Chicago; often bimonthly elsewhere</t>
        </is>
      </c>
      <c r="E42" s="19" t="inlineStr">
        <is>
          <t>cell-relative imputation for missing quotes; direct comparison/direct QA as applicable</t>
        </is>
      </c>
      <c r="F42" s="19" t="inlineStr"/>
      <c r="G42" s="5" t="inlineStr">
        <is>
          <t>factsheet/index</t>
        </is>
      </c>
      <c r="H42" s="5" t="inlineStr">
        <is>
          <t>calculation handbook</t>
        </is>
      </c>
      <c r="I42" s="5" t="inlineStr">
        <is>
          <t>CUUR0000SS05011</t>
        </is>
      </c>
      <c r="J42" s="5" t="inlineStr">
        <is>
          <t>CUSR0000SS05011</t>
        </is>
      </c>
    </row>
    <row r="43">
      <c r="A43" t="inlineStr">
        <is>
          <t>SS0501A</t>
        </is>
      </c>
      <c r="B43" t="inlineStr">
        <is>
          <t>Lunchmeats</t>
        </is>
      </c>
      <c r="C43" s="19" t="inlineStr">
        <is>
          <t>GM</t>
        </is>
      </c>
      <c r="D43" s="19" t="inlineStr">
        <is>
          <t>monthly in New York/Los Angeles/Chicago; often bimonthly elsewhere</t>
        </is>
      </c>
      <c r="E43" s="19" t="inlineStr">
        <is>
          <t>cell-relative imputation for missing quotes; direct comparison/direct QA as applicable</t>
        </is>
      </c>
      <c r="F43" s="19" t="inlineStr"/>
      <c r="G43" s="5" t="inlineStr">
        <is>
          <t>factsheet/index</t>
        </is>
      </c>
      <c r="H43" s="5" t="inlineStr">
        <is>
          <t>calculation handbook</t>
        </is>
      </c>
      <c r="I43" s="5" t="inlineStr">
        <is>
          <t>CUUR0000SS0501A</t>
        </is>
      </c>
      <c r="J43" s="5" t="inlineStr">
        <is>
          <t>CUSR0000SS0501A</t>
        </is>
      </c>
    </row>
    <row r="44">
      <c r="A44" t="inlineStr">
        <is>
          <t>SS05014</t>
        </is>
      </c>
      <c r="B44" t="inlineStr">
        <is>
          <t>Lamb and organ meats</t>
        </is>
      </c>
      <c r="C44" s="19" t="inlineStr">
        <is>
          <t>GM</t>
        </is>
      </c>
      <c r="D44" s="19" t="inlineStr">
        <is>
          <t>monthly in New York/Los Angeles/Chicago; often bimonthly elsewhere</t>
        </is>
      </c>
      <c r="E44" s="19" t="inlineStr">
        <is>
          <t>cell-relative imputation for missing quotes; direct comparison/direct QA as applicable</t>
        </is>
      </c>
      <c r="F44" s="19" t="inlineStr"/>
      <c r="G44" s="5" t="inlineStr">
        <is>
          <t>factsheet/index</t>
        </is>
      </c>
      <c r="H44" s="5" t="inlineStr">
        <is>
          <t>calculation handbook</t>
        </is>
      </c>
      <c r="I44" s="5" t="inlineStr">
        <is>
          <t>CUUR0000SS05014</t>
        </is>
      </c>
      <c r="J44" t="inlineStr"/>
    </row>
    <row r="45">
      <c r="A45" t="inlineStr">
        <is>
          <t>SS05015</t>
        </is>
      </c>
      <c r="B45" t="inlineStr">
        <is>
          <t>Lamb and mutton</t>
        </is>
      </c>
      <c r="C45" s="19" t="inlineStr">
        <is>
          <t>GM</t>
        </is>
      </c>
      <c r="D45" s="19" t="inlineStr">
        <is>
          <t>monthly in New York/Los Angeles/Chicago; often bimonthly elsewhere</t>
        </is>
      </c>
      <c r="E45" s="19" t="inlineStr">
        <is>
          <t>cell-relative imputation for missing quotes; direct comparison/direct QA as applicable</t>
        </is>
      </c>
      <c r="F45" s="19" t="inlineStr"/>
      <c r="G45" s="5" t="inlineStr">
        <is>
          <t>factsheet/index</t>
        </is>
      </c>
      <c r="H45" s="5" t="inlineStr">
        <is>
          <t>calculation handbook</t>
        </is>
      </c>
      <c r="I45" s="5" t="inlineStr">
        <is>
          <t>CUUR0000SS05015</t>
        </is>
      </c>
      <c r="J45" t="inlineStr"/>
    </row>
    <row r="46">
      <c r="A46" t="inlineStr">
        <is>
          <t>SEFF</t>
        </is>
      </c>
      <c r="B46" t="inlineStr">
        <is>
          <t>Poultry</t>
        </is>
      </c>
      <c r="C46" s="19" t="inlineStr">
        <is>
          <t>aggregate</t>
        </is>
      </c>
      <c r="D46" s="19" t="inlineStr">
        <is>
          <t>aggregate</t>
        </is>
      </c>
      <c r="E46" s="19" t="inlineStr">
        <is>
          <t>aggregate of component methods</t>
        </is>
      </c>
      <c r="F46" s="19" t="inlineStr"/>
      <c r="G46" s="5" t="inlineStr">
        <is>
          <t>factsheet/index</t>
        </is>
      </c>
      <c r="H46" s="5" t="inlineStr">
        <is>
          <t>calculation handbook</t>
        </is>
      </c>
      <c r="I46" s="5" t="inlineStr">
        <is>
          <t>CUUR0000SEFF</t>
        </is>
      </c>
      <c r="J46" s="5" t="inlineStr">
        <is>
          <t>CUSR0000SEFF</t>
        </is>
      </c>
    </row>
    <row r="47">
      <c r="A47" t="inlineStr">
        <is>
          <t>SEFF01</t>
        </is>
      </c>
      <c r="B47" t="inlineStr">
        <is>
          <t>Chicken</t>
        </is>
      </c>
      <c r="C47" s="19" t="inlineStr">
        <is>
          <t>GM</t>
        </is>
      </c>
      <c r="D47" s="19" t="inlineStr">
        <is>
          <t>monthly food collection where sampled</t>
        </is>
      </c>
      <c r="E47" s="19" t="inlineStr">
        <is>
          <t>cell-relative imputation for missing quotes; direct comparison/direct QA as applicable</t>
        </is>
      </c>
      <c r="F47" s="19" t="inlineStr"/>
      <c r="G47" s="5" t="inlineStr">
        <is>
          <t>factsheet/index</t>
        </is>
      </c>
      <c r="H47" s="5" t="inlineStr">
        <is>
          <t>calculation handbook</t>
        </is>
      </c>
      <c r="I47" s="5" t="inlineStr">
        <is>
          <t>CUUR0000SEFF01</t>
        </is>
      </c>
      <c r="J47" s="5" t="inlineStr">
        <is>
          <t>CUSR0000SEFF01</t>
        </is>
      </c>
    </row>
    <row r="48">
      <c r="A48" t="inlineStr">
        <is>
          <t>SS06011</t>
        </is>
      </c>
      <c r="B48" t="inlineStr">
        <is>
          <t>Fresh whole chicken</t>
        </is>
      </c>
      <c r="C48" s="19" t="inlineStr">
        <is>
          <t>GM</t>
        </is>
      </c>
      <c r="D48" s="19" t="inlineStr">
        <is>
          <t>monthly in New York/Los Angeles/Chicago; often bimonthly elsewhere</t>
        </is>
      </c>
      <c r="E48" s="19" t="inlineStr">
        <is>
          <t>cell-relative imputation for missing quotes; direct comparison/direct QA as applicable</t>
        </is>
      </c>
      <c r="F48" s="19" t="inlineStr"/>
      <c r="G48" s="5" t="inlineStr">
        <is>
          <t>factsheet/index</t>
        </is>
      </c>
      <c r="H48" s="5" t="inlineStr">
        <is>
          <t>calculation handbook</t>
        </is>
      </c>
      <c r="I48" s="5" t="inlineStr">
        <is>
          <t>CUUR0000SS06011</t>
        </is>
      </c>
      <c r="J48" s="5" t="inlineStr">
        <is>
          <t>CUSR0000SS06011</t>
        </is>
      </c>
    </row>
    <row r="49">
      <c r="A49" t="inlineStr">
        <is>
          <t>SS06021</t>
        </is>
      </c>
      <c r="B49" t="inlineStr">
        <is>
          <t>Fresh and frozen chicken parts</t>
        </is>
      </c>
      <c r="C49" s="19" t="inlineStr">
        <is>
          <t>GM</t>
        </is>
      </c>
      <c r="D49" s="19" t="inlineStr">
        <is>
          <t>monthly in New York/Los Angeles/Chicago; often bimonthly elsewhere</t>
        </is>
      </c>
      <c r="E49" s="19" t="inlineStr">
        <is>
          <t>cell-relative imputation for missing quotes; direct comparison/direct QA as applicable</t>
        </is>
      </c>
      <c r="F49" s="19" t="inlineStr"/>
      <c r="G49" s="5" t="inlineStr">
        <is>
          <t>factsheet/index</t>
        </is>
      </c>
      <c r="H49" s="5" t="inlineStr">
        <is>
          <t>calculation handbook</t>
        </is>
      </c>
      <c r="I49" s="5" t="inlineStr">
        <is>
          <t>CUUR0000SS06021</t>
        </is>
      </c>
      <c r="J49" s="5" t="inlineStr">
        <is>
          <t>CUSR0000SS06021</t>
        </is>
      </c>
    </row>
    <row r="50">
      <c r="A50" t="inlineStr">
        <is>
          <t>SEFF02</t>
        </is>
      </c>
      <c r="B50" t="inlineStr">
        <is>
          <t>Other uncooked poultry including turkey</t>
        </is>
      </c>
      <c r="C50" s="19" t="inlineStr">
        <is>
          <t>GM</t>
        </is>
      </c>
      <c r="D50" s="19" t="inlineStr">
        <is>
          <t>monthly food collection where sampled</t>
        </is>
      </c>
      <c r="E50" s="19" t="inlineStr">
        <is>
          <t>cell-relative imputation for missing quotes; direct comparison/direct QA as applicable</t>
        </is>
      </c>
      <c r="F50" s="19" t="inlineStr"/>
      <c r="G50" s="5" t="inlineStr">
        <is>
          <t>factsheet/index</t>
        </is>
      </c>
      <c r="H50" s="5" t="inlineStr">
        <is>
          <t>calculation handbook</t>
        </is>
      </c>
      <c r="I50" s="5" t="inlineStr">
        <is>
          <t>CUUR0000SEFF02</t>
        </is>
      </c>
      <c r="J50" s="5" t="inlineStr">
        <is>
          <t>CUSR0000SEFF02</t>
        </is>
      </c>
    </row>
    <row r="51">
      <c r="A51" t="inlineStr">
        <is>
          <t>SEFG</t>
        </is>
      </c>
      <c r="B51" t="inlineStr">
        <is>
          <t>Fish and seafood</t>
        </is>
      </c>
      <c r="C51" s="19" t="inlineStr">
        <is>
          <t>aggregate</t>
        </is>
      </c>
      <c r="D51" s="19" t="inlineStr">
        <is>
          <t>aggregate</t>
        </is>
      </c>
      <c r="E51" s="19" t="inlineStr">
        <is>
          <t>aggregate of component methods</t>
        </is>
      </c>
      <c r="F51" s="19" t="inlineStr"/>
      <c r="G51" s="5" t="inlineStr">
        <is>
          <t>factsheet/index</t>
        </is>
      </c>
      <c r="H51" s="5" t="inlineStr">
        <is>
          <t>calculation handbook</t>
        </is>
      </c>
      <c r="I51" s="5" t="inlineStr">
        <is>
          <t>CUUR0000SEFG</t>
        </is>
      </c>
      <c r="J51" s="5" t="inlineStr">
        <is>
          <t>CUSR0000SEFG</t>
        </is>
      </c>
    </row>
    <row r="52">
      <c r="A52" t="inlineStr">
        <is>
          <t>SEFG01</t>
        </is>
      </c>
      <c r="B52" t="inlineStr">
        <is>
          <t>Fresh fish and seafood</t>
        </is>
      </c>
      <c r="C52" s="19" t="inlineStr">
        <is>
          <t>GM</t>
        </is>
      </c>
      <c r="D52" s="19" t="inlineStr">
        <is>
          <t>monthly food collection where sampled</t>
        </is>
      </c>
      <c r="E52" s="19" t="inlineStr">
        <is>
          <t>cell-relative imputation for missing quotes; direct comparison/direct QA as applicable</t>
        </is>
      </c>
      <c r="F52" s="19" t="inlineStr"/>
      <c r="G52" s="5" t="inlineStr">
        <is>
          <t>factsheet/index</t>
        </is>
      </c>
      <c r="H52" s="5" t="inlineStr">
        <is>
          <t>calculation handbook</t>
        </is>
      </c>
      <c r="I52" s="5" t="inlineStr">
        <is>
          <t>CUUR0000SEFG01</t>
        </is>
      </c>
      <c r="J52" s="5" t="inlineStr">
        <is>
          <t>CUSR0000SEFG01</t>
        </is>
      </c>
    </row>
    <row r="53">
      <c r="A53" t="inlineStr">
        <is>
          <t>SEFG02</t>
        </is>
      </c>
      <c r="B53" t="inlineStr">
        <is>
          <t>Processed fish and seafood</t>
        </is>
      </c>
      <c r="C53" s="19" t="inlineStr">
        <is>
          <t>aggregate</t>
        </is>
      </c>
      <c r="D53" s="19" t="inlineStr">
        <is>
          <t>aggregate</t>
        </is>
      </c>
      <c r="E53" s="19" t="inlineStr">
        <is>
          <t>aggregate of component methods</t>
        </is>
      </c>
      <c r="F53" s="19" t="inlineStr"/>
      <c r="G53" s="5" t="inlineStr">
        <is>
          <t>factsheet/index</t>
        </is>
      </c>
      <c r="H53" s="5" t="inlineStr">
        <is>
          <t>calculation handbook</t>
        </is>
      </c>
      <c r="I53" s="5" t="inlineStr">
        <is>
          <t>CUUR0000SEFG02</t>
        </is>
      </c>
      <c r="J53" s="5" t="inlineStr">
        <is>
          <t>CUSR0000SEFG02</t>
        </is>
      </c>
    </row>
    <row r="54">
      <c r="A54" t="inlineStr">
        <is>
          <t>SS07011</t>
        </is>
      </c>
      <c r="B54" t="inlineStr">
        <is>
          <t>Shelf stable fish and seafood</t>
        </is>
      </c>
      <c r="C54" s="19" t="inlineStr">
        <is>
          <t>GM</t>
        </is>
      </c>
      <c r="D54" s="19" t="inlineStr">
        <is>
          <t>monthly food collection where sampled</t>
        </is>
      </c>
      <c r="E54" s="19" t="inlineStr">
        <is>
          <t>cell-relative imputation for missing quotes; direct comparison/direct QA as applicable</t>
        </is>
      </c>
      <c r="F54" s="19" t="inlineStr"/>
      <c r="G54" s="5" t="inlineStr">
        <is>
          <t>factsheet/index</t>
        </is>
      </c>
      <c r="H54" s="5" t="inlineStr">
        <is>
          <t>calculation handbook</t>
        </is>
      </c>
      <c r="I54" s="5" t="inlineStr">
        <is>
          <t>CUUR0000SS07011</t>
        </is>
      </c>
      <c r="J54" s="5" t="inlineStr">
        <is>
          <t>CUSR0000SS07011</t>
        </is>
      </c>
    </row>
    <row r="55">
      <c r="A55" t="inlineStr">
        <is>
          <t>SS07021</t>
        </is>
      </c>
      <c r="B55" t="inlineStr">
        <is>
          <t>Frozen fish and seafood</t>
        </is>
      </c>
      <c r="C55" s="19" t="inlineStr">
        <is>
          <t>GM</t>
        </is>
      </c>
      <c r="D55" s="19" t="inlineStr">
        <is>
          <t>monthly food collection where sampled</t>
        </is>
      </c>
      <c r="E55" s="19" t="inlineStr">
        <is>
          <t>cell-relative imputation for missing quotes; direct comparison/direct QA as applicable</t>
        </is>
      </c>
      <c r="F55" s="19" t="inlineStr"/>
      <c r="G55" s="5" t="inlineStr">
        <is>
          <t>factsheet/index</t>
        </is>
      </c>
      <c r="H55" s="5" t="inlineStr">
        <is>
          <t>calculation handbook</t>
        </is>
      </c>
      <c r="I55" s="5" t="inlineStr">
        <is>
          <t>CUUR0000SS07021</t>
        </is>
      </c>
      <c r="J55" s="5" t="inlineStr">
        <is>
          <t>CUSR0000SS07021</t>
        </is>
      </c>
    </row>
    <row r="56">
      <c r="A56" t="inlineStr">
        <is>
          <t>SEFH</t>
        </is>
      </c>
      <c r="B56" t="inlineStr">
        <is>
          <t>Eggs</t>
        </is>
      </c>
      <c r="C56" s="19" t="inlineStr">
        <is>
          <t>GM</t>
        </is>
      </c>
      <c r="D56" s="19" t="inlineStr">
        <is>
          <t>monthly food collection where sampled</t>
        </is>
      </c>
      <c r="E56" s="19" t="inlineStr">
        <is>
          <t>cell-relative imputation for missing quotes; direct comparison/direct QA as applicable</t>
        </is>
      </c>
      <c r="F56" s="19" t="inlineStr"/>
      <c r="G56" s="5" t="inlineStr">
        <is>
          <t>factsheet/index</t>
        </is>
      </c>
      <c r="H56" s="5" t="inlineStr">
        <is>
          <t>calculation handbook</t>
        </is>
      </c>
      <c r="I56" s="5" t="inlineStr">
        <is>
          <t>CUUR0000SEFH</t>
        </is>
      </c>
      <c r="J56" s="5" t="inlineStr">
        <is>
          <t>CUSR0000SEFH</t>
        </is>
      </c>
    </row>
    <row r="57">
      <c r="A57" t="inlineStr">
        <is>
          <t>SEFJ</t>
        </is>
      </c>
      <c r="B57" t="inlineStr">
        <is>
          <t>Dairy and related products</t>
        </is>
      </c>
      <c r="C57" s="19" t="inlineStr">
        <is>
          <t>GM</t>
        </is>
      </c>
      <c r="D57" s="19" t="inlineStr">
        <is>
          <t>monthly</t>
        </is>
      </c>
      <c r="E57" s="19" t="inlineStr">
        <is>
          <t>cell-relative</t>
        </is>
      </c>
      <c r="F57" s="19" t="inlineStr"/>
      <c r="G57" s="5" t="inlineStr">
        <is>
          <t>factsheet/index</t>
        </is>
      </c>
      <c r="H57" s="5" t="inlineStr">
        <is>
          <t>calculation handbook</t>
        </is>
      </c>
      <c r="I57" s="5" t="inlineStr">
        <is>
          <t>CUUR0000SEFJ</t>
        </is>
      </c>
      <c r="J57" s="5" t="inlineStr">
        <is>
          <t>CUSR0000SEFJ</t>
        </is>
      </c>
    </row>
    <row r="58">
      <c r="A58" t="inlineStr">
        <is>
          <t>SEFJ01</t>
        </is>
      </c>
      <c r="B58" t="inlineStr">
        <is>
          <t>Milk</t>
        </is>
      </c>
      <c r="C58" s="19" t="inlineStr">
        <is>
          <t>aggregate</t>
        </is>
      </c>
      <c r="D58" s="19" t="inlineStr">
        <is>
          <t>aggregate</t>
        </is>
      </c>
      <c r="E58" s="19" t="inlineStr">
        <is>
          <t>aggregate of component methods</t>
        </is>
      </c>
      <c r="F58" s="19" t="inlineStr"/>
      <c r="G58" s="5" t="inlineStr">
        <is>
          <t>factsheet/index</t>
        </is>
      </c>
      <c r="H58" s="5" t="inlineStr">
        <is>
          <t>calculation handbook</t>
        </is>
      </c>
      <c r="I58" s="5" t="inlineStr">
        <is>
          <t>CUUR0000SEFJ01</t>
        </is>
      </c>
      <c r="J58" s="5" t="inlineStr">
        <is>
          <t>CUSR0000SEFJ01</t>
        </is>
      </c>
    </row>
    <row r="59">
      <c r="A59" t="inlineStr">
        <is>
          <t>SS09011</t>
        </is>
      </c>
      <c r="B59" t="inlineStr">
        <is>
          <t>Fresh whole milk</t>
        </is>
      </c>
      <c r="C59" s="19" t="inlineStr">
        <is>
          <t>GM</t>
        </is>
      </c>
      <c r="D59" s="19" t="inlineStr">
        <is>
          <t>monthly in New York/Los Angeles/Chicago; often bimonthly elsewhere</t>
        </is>
      </c>
      <c r="E59" s="19" t="inlineStr">
        <is>
          <t>cell-relative imputation for missing quotes; direct comparison/direct QA as applicable</t>
        </is>
      </c>
      <c r="F59" s="19" t="inlineStr"/>
      <c r="G59" s="5" t="inlineStr">
        <is>
          <t>factsheet/index</t>
        </is>
      </c>
      <c r="H59" s="5" t="inlineStr">
        <is>
          <t>calculation handbook</t>
        </is>
      </c>
      <c r="I59" s="5" t="inlineStr">
        <is>
          <t>CUUR0000SS09011</t>
        </is>
      </c>
      <c r="J59" s="5" t="inlineStr">
        <is>
          <t>CUSR0000SS09011</t>
        </is>
      </c>
    </row>
    <row r="60">
      <c r="A60" t="inlineStr">
        <is>
          <t>SS09021</t>
        </is>
      </c>
      <c r="B60" t="inlineStr">
        <is>
          <t>Fresh milk other than whole</t>
        </is>
      </c>
      <c r="C60" s="19" t="inlineStr">
        <is>
          <t>GM</t>
        </is>
      </c>
      <c r="D60" s="19" t="inlineStr">
        <is>
          <t>monthly in New York/Los Angeles/Chicago; often bimonthly elsewhere</t>
        </is>
      </c>
      <c r="E60" s="19" t="inlineStr">
        <is>
          <t>cell-relative imputation for missing quotes; direct comparison/direct QA as applicable</t>
        </is>
      </c>
      <c r="F60" s="19" t="inlineStr"/>
      <c r="G60" s="5" t="inlineStr">
        <is>
          <t>factsheet/index</t>
        </is>
      </c>
      <c r="H60" s="5" t="inlineStr">
        <is>
          <t>calculation handbook</t>
        </is>
      </c>
      <c r="I60" s="5" t="inlineStr">
        <is>
          <t>CUUR0000SS09021</t>
        </is>
      </c>
      <c r="J60" s="5" t="inlineStr">
        <is>
          <t>CUSR0000SS09021</t>
        </is>
      </c>
    </row>
    <row r="61">
      <c r="A61" t="inlineStr">
        <is>
          <t>SEFJ02</t>
        </is>
      </c>
      <c r="B61" t="inlineStr">
        <is>
          <t>Cheese and related products</t>
        </is>
      </c>
      <c r="C61" s="19" t="inlineStr">
        <is>
          <t>GM</t>
        </is>
      </c>
      <c r="D61" s="19" t="inlineStr">
        <is>
          <t>monthly food collection where sampled</t>
        </is>
      </c>
      <c r="E61" s="19" t="inlineStr">
        <is>
          <t>cell-relative imputation for missing quotes; direct comparison/direct QA as applicable</t>
        </is>
      </c>
      <c r="F61" s="19" t="inlineStr"/>
      <c r="G61" s="5" t="inlineStr">
        <is>
          <t>factsheet/index</t>
        </is>
      </c>
      <c r="H61" s="5" t="inlineStr">
        <is>
          <t>calculation handbook</t>
        </is>
      </c>
      <c r="I61" s="5" t="inlineStr">
        <is>
          <t>CUUR0000SEFJ02</t>
        </is>
      </c>
      <c r="J61" s="5" t="inlineStr">
        <is>
          <t>CUSR0000SEFJ02</t>
        </is>
      </c>
    </row>
    <row r="62">
      <c r="A62" t="inlineStr">
        <is>
          <t>SEFJ03</t>
        </is>
      </c>
      <c r="B62" t="inlineStr">
        <is>
          <t>Ice cream and related products</t>
        </is>
      </c>
      <c r="C62" s="19" t="inlineStr">
        <is>
          <t>GM</t>
        </is>
      </c>
      <c r="D62" s="19" t="inlineStr">
        <is>
          <t>monthly food collection where sampled</t>
        </is>
      </c>
      <c r="E62" s="19" t="inlineStr">
        <is>
          <t>cell-relative imputation for missing quotes; direct comparison/direct QA as applicable</t>
        </is>
      </c>
      <c r="F62" s="19" t="inlineStr"/>
      <c r="G62" s="5" t="inlineStr">
        <is>
          <t>factsheet/index</t>
        </is>
      </c>
      <c r="H62" s="5" t="inlineStr">
        <is>
          <t>calculation handbook</t>
        </is>
      </c>
      <c r="I62" s="5" t="inlineStr">
        <is>
          <t>CUUR0000SEFJ03</t>
        </is>
      </c>
      <c r="J62" s="5" t="inlineStr">
        <is>
          <t>CUSR0000SEFJ03</t>
        </is>
      </c>
    </row>
    <row r="63">
      <c r="A63" t="inlineStr">
        <is>
          <t>SEFJ04</t>
        </is>
      </c>
      <c r="B63" t="inlineStr">
        <is>
          <t>Other dairy and related products</t>
        </is>
      </c>
      <c r="C63" s="19" t="inlineStr">
        <is>
          <t>GM</t>
        </is>
      </c>
      <c r="D63" s="19" t="inlineStr">
        <is>
          <t>monthly food collection where sampled</t>
        </is>
      </c>
      <c r="E63" s="19" t="inlineStr">
        <is>
          <t>cell-relative imputation for missing quotes; direct comparison/direct QA as applicable</t>
        </is>
      </c>
      <c r="F63" s="19" t="inlineStr"/>
      <c r="G63" s="5" t="inlineStr">
        <is>
          <t>factsheet/index</t>
        </is>
      </c>
      <c r="H63" s="5" t="inlineStr">
        <is>
          <t>calculation handbook</t>
        </is>
      </c>
      <c r="I63" s="5" t="inlineStr">
        <is>
          <t>CUUR0000SEFJ04</t>
        </is>
      </c>
      <c r="J63" s="5" t="inlineStr">
        <is>
          <t>CUSR0000SEFJ04</t>
        </is>
      </c>
    </row>
    <row r="64">
      <c r="A64" t="inlineStr">
        <is>
          <t>SAF113</t>
        </is>
      </c>
      <c r="B64" t="inlineStr">
        <is>
          <t>Fruits and vegetables</t>
        </is>
      </c>
      <c r="C64" s="19" t="inlineStr">
        <is>
          <t>GM</t>
        </is>
      </c>
      <c r="D64" s="19" t="inlineStr">
        <is>
          <t>monthly</t>
        </is>
      </c>
      <c r="E64" s="19" t="inlineStr">
        <is>
          <t>cell-relative</t>
        </is>
      </c>
      <c r="F64" s="19" t="inlineStr"/>
      <c r="G64" s="5" t="inlineStr">
        <is>
          <t>factsheet/index</t>
        </is>
      </c>
      <c r="H64" s="5" t="inlineStr">
        <is>
          <t>calculation handbook</t>
        </is>
      </c>
      <c r="I64" s="5" t="inlineStr">
        <is>
          <t>CUUR0000SAF113</t>
        </is>
      </c>
      <c r="J64" s="5" t="inlineStr">
        <is>
          <t>CUSR0000SAF113</t>
        </is>
      </c>
    </row>
    <row r="65">
      <c r="A65" t="inlineStr">
        <is>
          <t>SAF1131</t>
        </is>
      </c>
      <c r="B65" t="inlineStr">
        <is>
          <t>Fresh fruits and vegetables</t>
        </is>
      </c>
      <c r="C65" s="19" t="inlineStr">
        <is>
          <t>aggregate</t>
        </is>
      </c>
      <c r="D65" s="19" t="inlineStr">
        <is>
          <t>aggregate</t>
        </is>
      </c>
      <c r="E65" s="19" t="inlineStr">
        <is>
          <t>aggregate of component methods</t>
        </is>
      </c>
      <c r="F65" s="19" t="inlineStr"/>
      <c r="G65" s="5" t="inlineStr">
        <is>
          <t>factsheet/index</t>
        </is>
      </c>
      <c r="H65" s="5" t="inlineStr">
        <is>
          <t>calculation handbook</t>
        </is>
      </c>
      <c r="I65" s="5" t="inlineStr">
        <is>
          <t>CUUR0000SAF1131</t>
        </is>
      </c>
      <c r="J65" s="5" t="inlineStr">
        <is>
          <t>CUSR0000SAF1131</t>
        </is>
      </c>
    </row>
    <row r="66">
      <c r="A66" t="inlineStr">
        <is>
          <t>SEFK</t>
        </is>
      </c>
      <c r="B66" t="inlineStr">
        <is>
          <t>Fresh fruits</t>
        </is>
      </c>
      <c r="C66" s="19" t="inlineStr">
        <is>
          <t>aggregate</t>
        </is>
      </c>
      <c r="D66" s="19" t="inlineStr">
        <is>
          <t>aggregate</t>
        </is>
      </c>
      <c r="E66" s="19" t="inlineStr">
        <is>
          <t>aggregate of component methods</t>
        </is>
      </c>
      <c r="F66" s="19" t="inlineStr"/>
      <c r="G66" s="5" t="inlineStr">
        <is>
          <t>factsheet/index</t>
        </is>
      </c>
      <c r="H66" s="5" t="inlineStr">
        <is>
          <t>calculation handbook</t>
        </is>
      </c>
      <c r="I66" s="5" t="inlineStr">
        <is>
          <t>CUUR0000SEFK</t>
        </is>
      </c>
      <c r="J66" s="5" t="inlineStr">
        <is>
          <t>CUSR0000SEFK</t>
        </is>
      </c>
    </row>
    <row r="67">
      <c r="A67" t="inlineStr">
        <is>
          <t>SEFK01</t>
        </is>
      </c>
      <c r="B67" t="inlineStr">
        <is>
          <t>Apples</t>
        </is>
      </c>
      <c r="C67" s="19" t="inlineStr">
        <is>
          <t>GM</t>
        </is>
      </c>
      <c r="D67" s="19" t="inlineStr">
        <is>
          <t>monthly food collection where sampled</t>
        </is>
      </c>
      <c r="E67" s="19" t="inlineStr">
        <is>
          <t>cell-relative imputation for missing quotes; direct comparison/direct QA as applicable</t>
        </is>
      </c>
      <c r="F67" s="19" t="inlineStr"/>
      <c r="G67" s="5" t="inlineStr">
        <is>
          <t>factsheet/index</t>
        </is>
      </c>
      <c r="H67" s="5" t="inlineStr">
        <is>
          <t>calculation handbook</t>
        </is>
      </c>
      <c r="I67" s="5" t="inlineStr">
        <is>
          <t>CUUR0000SEFK01</t>
        </is>
      </c>
      <c r="J67" s="5" t="inlineStr">
        <is>
          <t>CUSR0000SEFK01</t>
        </is>
      </c>
    </row>
    <row r="68">
      <c r="A68" t="inlineStr">
        <is>
          <t>SEFK02</t>
        </is>
      </c>
      <c r="B68" t="inlineStr">
        <is>
          <t>Bananas</t>
        </is>
      </c>
      <c r="C68" s="19" t="inlineStr">
        <is>
          <t>GM</t>
        </is>
      </c>
      <c r="D68" s="19" t="inlineStr">
        <is>
          <t>monthly food collection where sampled</t>
        </is>
      </c>
      <c r="E68" s="19" t="inlineStr">
        <is>
          <t>cell-relative imputation for missing quotes; direct comparison/direct QA as applicable</t>
        </is>
      </c>
      <c r="F68" s="19" t="inlineStr"/>
      <c r="G68" s="5" t="inlineStr">
        <is>
          <t>factsheet/index</t>
        </is>
      </c>
      <c r="H68" s="5" t="inlineStr">
        <is>
          <t>calculation handbook</t>
        </is>
      </c>
      <c r="I68" s="5" t="inlineStr">
        <is>
          <t>CUUR0000SEFK02</t>
        </is>
      </c>
      <c r="J68" s="5" t="inlineStr">
        <is>
          <t>CUSR0000SEFK02</t>
        </is>
      </c>
    </row>
    <row r="69">
      <c r="A69" t="inlineStr">
        <is>
          <t>SEFK03</t>
        </is>
      </c>
      <c r="B69" t="inlineStr">
        <is>
          <t>Citrus fruits</t>
        </is>
      </c>
      <c r="C69" s="19" t="inlineStr">
        <is>
          <t>aggregate</t>
        </is>
      </c>
      <c r="D69" s="19" t="inlineStr">
        <is>
          <t>aggregate</t>
        </is>
      </c>
      <c r="E69" s="19" t="inlineStr">
        <is>
          <t>aggregate of component methods</t>
        </is>
      </c>
      <c r="F69" s="19" t="inlineStr"/>
      <c r="G69" s="5" t="inlineStr">
        <is>
          <t>factsheet/index</t>
        </is>
      </c>
      <c r="H69" s="5" t="inlineStr">
        <is>
          <t>calculation handbook</t>
        </is>
      </c>
      <c r="I69" s="5" t="inlineStr">
        <is>
          <t>CUUR0000SEFK03</t>
        </is>
      </c>
      <c r="J69" s="5" t="inlineStr">
        <is>
          <t>CUSR0000SEFK03</t>
        </is>
      </c>
    </row>
    <row r="70">
      <c r="A70" t="inlineStr">
        <is>
          <t>SS11031</t>
        </is>
      </c>
      <c r="B70" t="inlineStr">
        <is>
          <t>Oranges, including tangerines</t>
        </is>
      </c>
      <c r="C70" s="19" t="inlineStr">
        <is>
          <t>GM</t>
        </is>
      </c>
      <c r="D70" s="19" t="inlineStr">
        <is>
          <t>monthly in New York/Los Angeles/Chicago; often bimonthly elsewhere</t>
        </is>
      </c>
      <c r="E70" s="19" t="inlineStr">
        <is>
          <t>cell-relative imputation for missing quotes; direct comparison/direct QA as applicable</t>
        </is>
      </c>
      <c r="F70" s="19" t="inlineStr"/>
      <c r="G70" s="5" t="inlineStr">
        <is>
          <t>factsheet/index</t>
        </is>
      </c>
      <c r="H70" s="5" t="inlineStr">
        <is>
          <t>calculation handbook</t>
        </is>
      </c>
      <c r="I70" s="5" t="inlineStr">
        <is>
          <t>CUUR0000SS11031</t>
        </is>
      </c>
      <c r="J70" s="5" t="inlineStr">
        <is>
          <t>CUSR0000SS11031</t>
        </is>
      </c>
    </row>
    <row r="71">
      <c r="A71" t="inlineStr">
        <is>
          <t>SEFK04</t>
        </is>
      </c>
      <c r="B71" t="inlineStr">
        <is>
          <t>Other fresh fruits</t>
        </is>
      </c>
      <c r="C71" s="19" t="inlineStr">
        <is>
          <t>GM</t>
        </is>
      </c>
      <c r="D71" s="19" t="inlineStr">
        <is>
          <t>monthly food collection where sampled</t>
        </is>
      </c>
      <c r="E71" s="19" t="inlineStr">
        <is>
          <t>cell-relative imputation for missing quotes; direct comparison/direct QA as applicable</t>
        </is>
      </c>
      <c r="F71" s="19" t="inlineStr"/>
      <c r="G71" s="5" t="inlineStr">
        <is>
          <t>factsheet/index</t>
        </is>
      </c>
      <c r="H71" s="5" t="inlineStr">
        <is>
          <t>calculation handbook</t>
        </is>
      </c>
      <c r="I71" s="5" t="inlineStr">
        <is>
          <t>CUUR0000SEFK04</t>
        </is>
      </c>
      <c r="J71" s="5" t="inlineStr">
        <is>
          <t>CUSR0000SEFK04</t>
        </is>
      </c>
    </row>
    <row r="72">
      <c r="A72" t="inlineStr">
        <is>
          <t>SEFL</t>
        </is>
      </c>
      <c r="B72" t="inlineStr">
        <is>
          <t>Fresh vegetables</t>
        </is>
      </c>
      <c r="C72" s="19" t="inlineStr">
        <is>
          <t>aggregate</t>
        </is>
      </c>
      <c r="D72" s="19" t="inlineStr">
        <is>
          <t>aggregate</t>
        </is>
      </c>
      <c r="E72" s="19" t="inlineStr">
        <is>
          <t>aggregate of component methods</t>
        </is>
      </c>
      <c r="F72" s="19" t="inlineStr"/>
      <c r="G72" s="5" t="inlineStr">
        <is>
          <t>factsheet/index</t>
        </is>
      </c>
      <c r="H72" s="5" t="inlineStr">
        <is>
          <t>calculation handbook</t>
        </is>
      </c>
      <c r="I72" s="5" t="inlineStr">
        <is>
          <t>CUUR0000SEFL</t>
        </is>
      </c>
      <c r="J72" s="5" t="inlineStr">
        <is>
          <t>CUSR0000SEFL</t>
        </is>
      </c>
    </row>
    <row r="73">
      <c r="A73" t="inlineStr">
        <is>
          <t>SEFL01</t>
        </is>
      </c>
      <c r="B73" t="inlineStr">
        <is>
          <t>Potatoes</t>
        </is>
      </c>
      <c r="C73" s="19" t="inlineStr">
        <is>
          <t>GM</t>
        </is>
      </c>
      <c r="D73" s="19" t="inlineStr">
        <is>
          <t>monthly food collection where sampled</t>
        </is>
      </c>
      <c r="E73" s="19" t="inlineStr">
        <is>
          <t>cell-relative imputation for missing quotes; direct comparison/direct QA as applicable</t>
        </is>
      </c>
      <c r="F73" s="19" t="inlineStr"/>
      <c r="G73" s="5" t="inlineStr">
        <is>
          <t>factsheet/index</t>
        </is>
      </c>
      <c r="H73" s="5" t="inlineStr">
        <is>
          <t>calculation handbook</t>
        </is>
      </c>
      <c r="I73" s="5" t="inlineStr">
        <is>
          <t>CUUR0000SEFL01</t>
        </is>
      </c>
      <c r="J73" s="5" t="inlineStr">
        <is>
          <t>CUSR0000SEFL01</t>
        </is>
      </c>
    </row>
    <row r="74">
      <c r="A74" t="inlineStr">
        <is>
          <t>SEFL02</t>
        </is>
      </c>
      <c r="B74" t="inlineStr">
        <is>
          <t>Lettuce</t>
        </is>
      </c>
      <c r="C74" s="19" t="inlineStr">
        <is>
          <t>GM</t>
        </is>
      </c>
      <c r="D74" s="19" t="inlineStr">
        <is>
          <t>monthly food collection where sampled</t>
        </is>
      </c>
      <c r="E74" s="19" t="inlineStr">
        <is>
          <t>cell-relative imputation for missing quotes; direct comparison/direct QA as applicable</t>
        </is>
      </c>
      <c r="F74" s="19" t="inlineStr"/>
      <c r="G74" s="5" t="inlineStr">
        <is>
          <t>factsheet/index</t>
        </is>
      </c>
      <c r="H74" s="5" t="inlineStr">
        <is>
          <t>calculation handbook</t>
        </is>
      </c>
      <c r="I74" s="5" t="inlineStr">
        <is>
          <t>CUUR0000SEFL02</t>
        </is>
      </c>
      <c r="J74" s="5" t="inlineStr">
        <is>
          <t>CUSR0000SEFL02</t>
        </is>
      </c>
    </row>
    <row r="75">
      <c r="A75" t="inlineStr">
        <is>
          <t>SEFL03</t>
        </is>
      </c>
      <c r="B75" t="inlineStr">
        <is>
          <t>Tomatoes</t>
        </is>
      </c>
      <c r="C75" s="19" t="inlineStr">
        <is>
          <t>GM</t>
        </is>
      </c>
      <c r="D75" s="19" t="inlineStr">
        <is>
          <t>monthly food collection where sampled</t>
        </is>
      </c>
      <c r="E75" s="19" t="inlineStr">
        <is>
          <t>cell-relative imputation for missing quotes; direct comparison/direct QA as applicable</t>
        </is>
      </c>
      <c r="F75" s="19" t="inlineStr"/>
      <c r="G75" s="5" t="inlineStr">
        <is>
          <t>factsheet/index</t>
        </is>
      </c>
      <c r="H75" s="5" t="inlineStr">
        <is>
          <t>calculation handbook</t>
        </is>
      </c>
      <c r="I75" s="5" t="inlineStr">
        <is>
          <t>CUUR0000SEFL03</t>
        </is>
      </c>
      <c r="J75" s="5" t="inlineStr">
        <is>
          <t>CUSR0000SEFL03</t>
        </is>
      </c>
    </row>
    <row r="76">
      <c r="A76" t="inlineStr">
        <is>
          <t>SEFL04</t>
        </is>
      </c>
      <c r="B76" t="inlineStr">
        <is>
          <t>Other fresh vegetables</t>
        </is>
      </c>
      <c r="C76" s="19" t="inlineStr">
        <is>
          <t>GM</t>
        </is>
      </c>
      <c r="D76" s="19" t="inlineStr">
        <is>
          <t>monthly food collection where sampled</t>
        </is>
      </c>
      <c r="E76" s="19" t="inlineStr">
        <is>
          <t>cell-relative imputation for missing quotes; direct comparison/direct QA as applicable</t>
        </is>
      </c>
      <c r="F76" s="19" t="inlineStr"/>
      <c r="G76" s="5" t="inlineStr">
        <is>
          <t>factsheet/index</t>
        </is>
      </c>
      <c r="H76" s="5" t="inlineStr">
        <is>
          <t>calculation handbook</t>
        </is>
      </c>
      <c r="I76" s="5" t="inlineStr">
        <is>
          <t>CUUR0000SEFL04</t>
        </is>
      </c>
      <c r="J76" s="5" t="inlineStr">
        <is>
          <t>CUSR0000SEFL04</t>
        </is>
      </c>
    </row>
    <row r="77">
      <c r="A77" t="inlineStr">
        <is>
          <t>SEFM</t>
        </is>
      </c>
      <c r="B77" t="inlineStr">
        <is>
          <t>Processed fruits and vegetables</t>
        </is>
      </c>
      <c r="C77" s="19" t="inlineStr">
        <is>
          <t>aggregate</t>
        </is>
      </c>
      <c r="D77" s="19" t="inlineStr">
        <is>
          <t>aggregate</t>
        </is>
      </c>
      <c r="E77" s="19" t="inlineStr">
        <is>
          <t>aggregate of component methods</t>
        </is>
      </c>
      <c r="F77" s="19" t="inlineStr"/>
      <c r="G77" s="5" t="inlineStr">
        <is>
          <t>factsheet/index</t>
        </is>
      </c>
      <c r="H77" s="5" t="inlineStr">
        <is>
          <t>calculation handbook</t>
        </is>
      </c>
      <c r="I77" s="5" t="inlineStr">
        <is>
          <t>CUUR0000SEFM</t>
        </is>
      </c>
      <c r="J77" s="5" t="inlineStr">
        <is>
          <t>CUSR0000SEFM</t>
        </is>
      </c>
    </row>
    <row r="78">
      <c r="A78" t="inlineStr">
        <is>
          <t>SEFM01</t>
        </is>
      </c>
      <c r="B78" t="inlineStr">
        <is>
          <t>Canned fruits and vegetables</t>
        </is>
      </c>
      <c r="C78" s="19" t="inlineStr">
        <is>
          <t>aggregate</t>
        </is>
      </c>
      <c r="D78" s="19" t="inlineStr">
        <is>
          <t>aggregate</t>
        </is>
      </c>
      <c r="E78" s="19" t="inlineStr">
        <is>
          <t>aggregate of component methods</t>
        </is>
      </c>
      <c r="F78" s="19" t="inlineStr"/>
      <c r="G78" s="5" t="inlineStr">
        <is>
          <t>factsheet/index</t>
        </is>
      </c>
      <c r="H78" s="5" t="inlineStr">
        <is>
          <t>calculation handbook</t>
        </is>
      </c>
      <c r="I78" s="5" t="inlineStr">
        <is>
          <t>CUUR0000SEFM01</t>
        </is>
      </c>
      <c r="J78" s="5" t="inlineStr">
        <is>
          <t>CUSR0000SEFM01</t>
        </is>
      </c>
    </row>
    <row r="79">
      <c r="A79" t="inlineStr">
        <is>
          <t>SS13031</t>
        </is>
      </c>
      <c r="B79" t="inlineStr">
        <is>
          <t>Canned fruits</t>
        </is>
      </c>
      <c r="C79" s="19" t="inlineStr">
        <is>
          <t>GM</t>
        </is>
      </c>
      <c r="D79" s="19" t="inlineStr">
        <is>
          <t>monthly in New York/Los Angeles/Chicago; often bimonthly elsewhere</t>
        </is>
      </c>
      <c r="E79" s="19" t="inlineStr">
        <is>
          <t>cell-relative imputation for missing quotes; direct comparison/direct QA as applicable</t>
        </is>
      </c>
      <c r="F79" s="19" t="inlineStr"/>
      <c r="G79" s="5" t="inlineStr">
        <is>
          <t>factsheet/index</t>
        </is>
      </c>
      <c r="H79" s="5" t="inlineStr">
        <is>
          <t>calculation handbook</t>
        </is>
      </c>
      <c r="I79" s="5" t="inlineStr">
        <is>
          <t>CUUR0000SS13031</t>
        </is>
      </c>
      <c r="J79" s="5" t="inlineStr">
        <is>
          <t>CUSR0000SS13031</t>
        </is>
      </c>
    </row>
    <row r="80">
      <c r="A80" t="inlineStr">
        <is>
          <t>SS14021</t>
        </is>
      </c>
      <c r="B80" t="inlineStr">
        <is>
          <t>Canned vegetables</t>
        </is>
      </c>
      <c r="C80" s="19" t="inlineStr">
        <is>
          <t>GM</t>
        </is>
      </c>
      <c r="D80" s="19" t="inlineStr">
        <is>
          <t>monthly in New York/Los Angeles/Chicago; often bimonthly elsewhere</t>
        </is>
      </c>
      <c r="E80" s="19" t="inlineStr">
        <is>
          <t>cell-relative imputation for missing quotes; direct comparison/direct QA as applicable</t>
        </is>
      </c>
      <c r="F80" s="19" t="inlineStr"/>
      <c r="G80" s="5" t="inlineStr">
        <is>
          <t>factsheet/index</t>
        </is>
      </c>
      <c r="H80" s="5" t="inlineStr">
        <is>
          <t>calculation handbook</t>
        </is>
      </c>
      <c r="I80" s="5" t="inlineStr">
        <is>
          <t>CUUR0000SS14021</t>
        </is>
      </c>
      <c r="J80" s="5" t="inlineStr">
        <is>
          <t>CUSR0000SS14021</t>
        </is>
      </c>
    </row>
    <row r="81">
      <c r="A81" t="inlineStr">
        <is>
          <t>SEFM02</t>
        </is>
      </c>
      <c r="B81" t="inlineStr">
        <is>
          <t>Frozen fruits and vegetables</t>
        </is>
      </c>
      <c r="C81" s="19" t="inlineStr">
        <is>
          <t>aggregate</t>
        </is>
      </c>
      <c r="D81" s="19" t="inlineStr">
        <is>
          <t>aggregate</t>
        </is>
      </c>
      <c r="E81" s="19" t="inlineStr">
        <is>
          <t>aggregate of component methods</t>
        </is>
      </c>
      <c r="F81" s="19" t="inlineStr"/>
      <c r="G81" s="5" t="inlineStr">
        <is>
          <t>factsheet/index</t>
        </is>
      </c>
      <c r="H81" s="5" t="inlineStr">
        <is>
          <t>calculation handbook</t>
        </is>
      </c>
      <c r="I81" s="5" t="inlineStr">
        <is>
          <t>CUUR0000SEFM02</t>
        </is>
      </c>
      <c r="J81" s="5" t="inlineStr">
        <is>
          <t>CUSR0000SEFM02</t>
        </is>
      </c>
    </row>
    <row r="82">
      <c r="A82" t="inlineStr">
        <is>
          <t>SS14011</t>
        </is>
      </c>
      <c r="B82" t="inlineStr">
        <is>
          <t>Frozen vegetables</t>
        </is>
      </c>
      <c r="C82" s="19" t="inlineStr">
        <is>
          <t>GM</t>
        </is>
      </c>
      <c r="D82" s="19" t="inlineStr">
        <is>
          <t>monthly in New York/Los Angeles/Chicago; often bimonthly elsewhere</t>
        </is>
      </c>
      <c r="E82" s="19" t="inlineStr">
        <is>
          <t>cell-relative imputation for missing quotes; direct comparison/direct QA as applicable</t>
        </is>
      </c>
      <c r="F82" s="19" t="inlineStr"/>
      <c r="G82" s="5" t="inlineStr">
        <is>
          <t>factsheet/index</t>
        </is>
      </c>
      <c r="H82" s="5" t="inlineStr">
        <is>
          <t>calculation handbook</t>
        </is>
      </c>
      <c r="I82" s="5" t="inlineStr">
        <is>
          <t>CUUR0000SS14011</t>
        </is>
      </c>
      <c r="J82" s="5" t="inlineStr">
        <is>
          <t>CUSR0000SS14011</t>
        </is>
      </c>
    </row>
    <row r="83">
      <c r="A83" t="inlineStr">
        <is>
          <t>SEFM03</t>
        </is>
      </c>
      <c r="B83" t="inlineStr">
        <is>
          <t>Other processed fruits and vegetables including dried</t>
        </is>
      </c>
      <c r="C83" s="19" t="inlineStr">
        <is>
          <t>aggregate</t>
        </is>
      </c>
      <c r="D83" s="19" t="inlineStr">
        <is>
          <t>aggregate</t>
        </is>
      </c>
      <c r="E83" s="19" t="inlineStr">
        <is>
          <t>aggregate of component methods</t>
        </is>
      </c>
      <c r="F83" s="19" t="inlineStr"/>
      <c r="G83" s="5" t="inlineStr">
        <is>
          <t>factsheet/index</t>
        </is>
      </c>
      <c r="H83" s="5" t="inlineStr">
        <is>
          <t>calculation handbook</t>
        </is>
      </c>
      <c r="I83" s="5" t="inlineStr">
        <is>
          <t>CUUR0000SEFM03</t>
        </is>
      </c>
      <c r="J83" s="5" t="inlineStr">
        <is>
          <t>CUSR0000SEFM03</t>
        </is>
      </c>
    </row>
    <row r="84">
      <c r="A84" t="inlineStr">
        <is>
          <t>SS14022</t>
        </is>
      </c>
      <c r="B84" t="inlineStr">
        <is>
          <t>Dried beans, peas, and lentils</t>
        </is>
      </c>
      <c r="C84" s="19" t="inlineStr">
        <is>
          <t>GM</t>
        </is>
      </c>
      <c r="D84" s="19" t="inlineStr">
        <is>
          <t>monthly in New York/Los Angeles/Chicago; often bimonthly elsewhere</t>
        </is>
      </c>
      <c r="E84" s="19" t="inlineStr">
        <is>
          <t>cell-relative imputation for missing quotes; direct comparison/direct QA as applicable</t>
        </is>
      </c>
      <c r="F84" s="19" t="inlineStr"/>
      <c r="G84" s="5" t="inlineStr">
        <is>
          <t>factsheet/index</t>
        </is>
      </c>
      <c r="H84" s="5" t="inlineStr">
        <is>
          <t>calculation handbook</t>
        </is>
      </c>
      <c r="I84" s="5" t="inlineStr">
        <is>
          <t>CUUR0000SS14022</t>
        </is>
      </c>
      <c r="J84" t="inlineStr"/>
    </row>
    <row r="85">
      <c r="A85" t="inlineStr">
        <is>
          <t>SAF114</t>
        </is>
      </c>
      <c r="B85" t="inlineStr">
        <is>
          <t>Nonalcoholic beverages and beverage materials</t>
        </is>
      </c>
      <c r="C85" s="19" t="inlineStr">
        <is>
          <t>GM</t>
        </is>
      </c>
      <c r="D85" s="19" t="inlineStr">
        <is>
          <t>monthly</t>
        </is>
      </c>
      <c r="E85" s="19" t="inlineStr">
        <is>
          <t>cell-relative</t>
        </is>
      </c>
      <c r="F85" s="19" t="inlineStr"/>
      <c r="G85" s="5" t="inlineStr">
        <is>
          <t>factsheet/index</t>
        </is>
      </c>
      <c r="H85" s="5" t="inlineStr">
        <is>
          <t>calculation handbook</t>
        </is>
      </c>
      <c r="I85" s="5" t="inlineStr">
        <is>
          <t>CUUR0000SAF114</t>
        </is>
      </c>
      <c r="J85" s="5" t="inlineStr">
        <is>
          <t>CUSR0000SAF114</t>
        </is>
      </c>
    </row>
    <row r="86">
      <c r="A86" t="inlineStr">
        <is>
          <t>SEFN</t>
        </is>
      </c>
      <c r="B86" t="inlineStr">
        <is>
          <t>Juices and nonalcoholic drinks</t>
        </is>
      </c>
      <c r="C86" s="19" t="inlineStr">
        <is>
          <t>aggregate</t>
        </is>
      </c>
      <c r="D86" s="19" t="inlineStr">
        <is>
          <t>aggregate</t>
        </is>
      </c>
      <c r="E86" s="19" t="inlineStr">
        <is>
          <t>aggregate of component methods</t>
        </is>
      </c>
      <c r="F86" s="19" t="inlineStr"/>
      <c r="G86" s="5" t="inlineStr">
        <is>
          <t>factsheet/index</t>
        </is>
      </c>
      <c r="H86" s="5" t="inlineStr">
        <is>
          <t>calculation handbook</t>
        </is>
      </c>
      <c r="I86" s="5" t="inlineStr">
        <is>
          <t>CUUR0000SEFN</t>
        </is>
      </c>
      <c r="J86" s="5" t="inlineStr">
        <is>
          <t>CUSR0000SEFN</t>
        </is>
      </c>
    </row>
    <row r="87">
      <c r="A87" t="inlineStr">
        <is>
          <t>SEFN01</t>
        </is>
      </c>
      <c r="B87" t="inlineStr">
        <is>
          <t>Carbonated drinks</t>
        </is>
      </c>
      <c r="C87" s="19" t="inlineStr">
        <is>
          <t>GM</t>
        </is>
      </c>
      <c r="D87" s="19" t="inlineStr">
        <is>
          <t>monthly food collection where sampled</t>
        </is>
      </c>
      <c r="E87" s="19" t="inlineStr">
        <is>
          <t>cell-relative imputation for missing quotes; direct comparison/direct QA as applicable</t>
        </is>
      </c>
      <c r="F87" s="19" t="inlineStr"/>
      <c r="G87" s="5" t="inlineStr">
        <is>
          <t>factsheet/index</t>
        </is>
      </c>
      <c r="H87" s="5" t="inlineStr">
        <is>
          <t>calculation handbook</t>
        </is>
      </c>
      <c r="I87" s="5" t="inlineStr">
        <is>
          <t>CUUR0000SEFN01</t>
        </is>
      </c>
      <c r="J87" s="5" t="inlineStr">
        <is>
          <t>CUSR0000SEFN01</t>
        </is>
      </c>
    </row>
    <row r="88">
      <c r="A88" t="inlineStr">
        <is>
          <t>SEFN02</t>
        </is>
      </c>
      <c r="B88" t="inlineStr">
        <is>
          <t>Frozen noncarbonated juices and drinks</t>
        </is>
      </c>
      <c r="C88" s="19" t="inlineStr">
        <is>
          <t>GM</t>
        </is>
      </c>
      <c r="D88" s="19" t="inlineStr">
        <is>
          <t>monthly food collection where sampled</t>
        </is>
      </c>
      <c r="E88" s="19" t="inlineStr">
        <is>
          <t>cell-relative imputation for missing quotes; direct comparison/direct QA as applicable</t>
        </is>
      </c>
      <c r="F88" s="19" t="inlineStr"/>
      <c r="G88" s="5" t="inlineStr">
        <is>
          <t>factsheet/index</t>
        </is>
      </c>
      <c r="H88" s="5" t="inlineStr">
        <is>
          <t>calculation handbook</t>
        </is>
      </c>
      <c r="I88" s="5" t="inlineStr">
        <is>
          <t>CUUR0000SEFN02</t>
        </is>
      </c>
      <c r="J88" t="inlineStr"/>
    </row>
    <row r="89">
      <c r="A89" t="inlineStr">
        <is>
          <t>SEFN03</t>
        </is>
      </c>
      <c r="B89" t="inlineStr">
        <is>
          <t>Nonfrozen noncarbonated juices and drinks</t>
        </is>
      </c>
      <c r="C89" s="19" t="inlineStr">
        <is>
          <t>GM</t>
        </is>
      </c>
      <c r="D89" s="19" t="inlineStr">
        <is>
          <t>monthly food collection where sampled</t>
        </is>
      </c>
      <c r="E89" s="19" t="inlineStr">
        <is>
          <t>cell-relative imputation for missing quotes; direct comparison/direct QA as applicable</t>
        </is>
      </c>
      <c r="F89" s="19" t="inlineStr"/>
      <c r="G89" s="5" t="inlineStr">
        <is>
          <t>factsheet/index</t>
        </is>
      </c>
      <c r="H89" s="5" t="inlineStr">
        <is>
          <t>calculation handbook</t>
        </is>
      </c>
      <c r="I89" s="5" t="inlineStr">
        <is>
          <t>CUUR0000SEFN03</t>
        </is>
      </c>
      <c r="J89" s="5" t="inlineStr">
        <is>
          <t>CUSR0000SEFN03</t>
        </is>
      </c>
    </row>
    <row r="90">
      <c r="A90" t="inlineStr">
        <is>
          <t>SEFP</t>
        </is>
      </c>
      <c r="B90" t="inlineStr">
        <is>
          <t>Beverage materials including coffee and tea</t>
        </is>
      </c>
      <c r="C90" s="19" t="inlineStr">
        <is>
          <t>aggregate</t>
        </is>
      </c>
      <c r="D90" s="19" t="inlineStr">
        <is>
          <t>aggregate</t>
        </is>
      </c>
      <c r="E90" s="19" t="inlineStr">
        <is>
          <t>aggregate of component methods</t>
        </is>
      </c>
      <c r="F90" s="19" t="inlineStr"/>
      <c r="G90" s="5" t="inlineStr">
        <is>
          <t>factsheet/index</t>
        </is>
      </c>
      <c r="H90" s="5" t="inlineStr">
        <is>
          <t>calculation handbook</t>
        </is>
      </c>
      <c r="I90" s="5" t="inlineStr">
        <is>
          <t>CUUR0000SEFP</t>
        </is>
      </c>
      <c r="J90" s="5" t="inlineStr">
        <is>
          <t>CUSR0000SEFP</t>
        </is>
      </c>
    </row>
    <row r="91">
      <c r="A91" t="inlineStr">
        <is>
          <t>SEFP01</t>
        </is>
      </c>
      <c r="B91" t="inlineStr">
        <is>
          <t>Coffee</t>
        </is>
      </c>
      <c r="C91" s="19" t="inlineStr">
        <is>
          <t>aggregate</t>
        </is>
      </c>
      <c r="D91" s="19" t="inlineStr">
        <is>
          <t>aggregate</t>
        </is>
      </c>
      <c r="E91" s="19" t="inlineStr">
        <is>
          <t>aggregate of component methods</t>
        </is>
      </c>
      <c r="F91" s="19" t="inlineStr"/>
      <c r="G91" s="5" t="inlineStr">
        <is>
          <t>factsheet/index</t>
        </is>
      </c>
      <c r="H91" s="5" t="inlineStr">
        <is>
          <t>calculation handbook</t>
        </is>
      </c>
      <c r="I91" s="5" t="inlineStr">
        <is>
          <t>CUUR0000SEFP01</t>
        </is>
      </c>
      <c r="J91" s="5" t="inlineStr">
        <is>
          <t>CUSR0000SEFP01</t>
        </is>
      </c>
    </row>
    <row r="92">
      <c r="A92" t="inlineStr">
        <is>
          <t>SS17031</t>
        </is>
      </c>
      <c r="B92" t="inlineStr">
        <is>
          <t>Roasted coffee</t>
        </is>
      </c>
      <c r="C92" s="19" t="inlineStr">
        <is>
          <t>GM</t>
        </is>
      </c>
      <c r="D92" s="19" t="inlineStr">
        <is>
          <t>monthly in New York/Los Angeles/Chicago; often bimonthly elsewhere</t>
        </is>
      </c>
      <c r="E92" s="19" t="inlineStr">
        <is>
          <t>cell-relative imputation for missing quotes; direct comparison/direct QA as applicable</t>
        </is>
      </c>
      <c r="F92" s="19" t="inlineStr"/>
      <c r="G92" s="5" t="inlineStr">
        <is>
          <t>factsheet/index</t>
        </is>
      </c>
      <c r="H92" s="5" t="inlineStr">
        <is>
          <t>calculation handbook</t>
        </is>
      </c>
      <c r="I92" s="5" t="inlineStr">
        <is>
          <t>CUUR0000SS17031</t>
        </is>
      </c>
      <c r="J92" s="5" t="inlineStr">
        <is>
          <t>CUSR0000SS17031</t>
        </is>
      </c>
    </row>
    <row r="93">
      <c r="A93" t="inlineStr">
        <is>
          <t>SS17032</t>
        </is>
      </c>
      <c r="B93" t="inlineStr">
        <is>
          <t>Instant coffee</t>
        </is>
      </c>
      <c r="C93" s="19" t="inlineStr">
        <is>
          <t>GM</t>
        </is>
      </c>
      <c r="D93" s="19" t="inlineStr">
        <is>
          <t>monthly in New York/Los Angeles/Chicago; often bimonthly elsewhere</t>
        </is>
      </c>
      <c r="E93" s="19" t="inlineStr">
        <is>
          <t>cell-relative imputation for missing quotes; direct comparison/direct QA as applicable</t>
        </is>
      </c>
      <c r="F93" s="19" t="inlineStr"/>
      <c r="G93" s="5" t="inlineStr">
        <is>
          <t>factsheet/index</t>
        </is>
      </c>
      <c r="H93" s="5" t="inlineStr">
        <is>
          <t>calculation handbook</t>
        </is>
      </c>
      <c r="I93" s="5" t="inlineStr">
        <is>
          <t>CUUR0000SS17032</t>
        </is>
      </c>
      <c r="J93" t="inlineStr"/>
    </row>
    <row r="94">
      <c r="A94" t="inlineStr">
        <is>
          <t>SEFP02</t>
        </is>
      </c>
      <c r="B94" t="inlineStr">
        <is>
          <t>Other beverage materials including tea</t>
        </is>
      </c>
      <c r="C94" s="19" t="inlineStr">
        <is>
          <t>GM</t>
        </is>
      </c>
      <c r="D94" s="19" t="inlineStr">
        <is>
          <t>monthly food collection where sampled</t>
        </is>
      </c>
      <c r="E94" s="19" t="inlineStr">
        <is>
          <t>cell-relative imputation for missing quotes; direct comparison/direct QA as applicable</t>
        </is>
      </c>
      <c r="F94" s="19" t="inlineStr"/>
      <c r="G94" s="5" t="inlineStr">
        <is>
          <t>factsheet/index</t>
        </is>
      </c>
      <c r="H94" s="5" t="inlineStr">
        <is>
          <t>calculation handbook</t>
        </is>
      </c>
      <c r="I94" s="5" t="inlineStr">
        <is>
          <t>CUUR0000SEFP02</t>
        </is>
      </c>
      <c r="J94" s="5" t="inlineStr">
        <is>
          <t>CUSR0000SEFP02</t>
        </is>
      </c>
    </row>
    <row r="95">
      <c r="A95" t="inlineStr">
        <is>
          <t>SAF115</t>
        </is>
      </c>
      <c r="B95" t="inlineStr">
        <is>
          <t>Other food at home</t>
        </is>
      </c>
      <c r="C95" s="19" t="inlineStr">
        <is>
          <t>GM</t>
        </is>
      </c>
      <c r="D95" s="19" t="inlineStr">
        <is>
          <t>monthly</t>
        </is>
      </c>
      <c r="E95" s="19" t="inlineStr">
        <is>
          <t>cell-relative</t>
        </is>
      </c>
      <c r="F95" s="19" t="inlineStr"/>
      <c r="G95" s="5" t="inlineStr">
        <is>
          <t>factsheet/index</t>
        </is>
      </c>
      <c r="H95" s="5" t="inlineStr">
        <is>
          <t>calculation handbook</t>
        </is>
      </c>
      <c r="I95" s="5" t="inlineStr">
        <is>
          <t>CUUR0000SAF115</t>
        </is>
      </c>
      <c r="J95" s="5" t="inlineStr">
        <is>
          <t>CUSR0000SAF115</t>
        </is>
      </c>
    </row>
    <row r="96">
      <c r="A96" t="inlineStr">
        <is>
          <t>SEFR</t>
        </is>
      </c>
      <c r="B96" t="inlineStr">
        <is>
          <t>Sugar and sweets</t>
        </is>
      </c>
      <c r="C96" s="19" t="inlineStr">
        <is>
          <t>aggregate</t>
        </is>
      </c>
      <c r="D96" s="19" t="inlineStr">
        <is>
          <t>aggregate</t>
        </is>
      </c>
      <c r="E96" s="19" t="inlineStr">
        <is>
          <t>aggregate of component methods</t>
        </is>
      </c>
      <c r="F96" s="19" t="inlineStr"/>
      <c r="G96" s="5" t="inlineStr">
        <is>
          <t>factsheet/index</t>
        </is>
      </c>
      <c r="H96" s="5" t="inlineStr">
        <is>
          <t>calculation handbook</t>
        </is>
      </c>
      <c r="I96" s="5" t="inlineStr">
        <is>
          <t>CUUR0000SEFR</t>
        </is>
      </c>
      <c r="J96" s="5" t="inlineStr">
        <is>
          <t>CUSR0000SEFR</t>
        </is>
      </c>
    </row>
    <row r="97">
      <c r="A97" t="inlineStr">
        <is>
          <t>SEFR01</t>
        </is>
      </c>
      <c r="B97" t="inlineStr">
        <is>
          <t>Sugar and sugar substitutes</t>
        </is>
      </c>
      <c r="C97" s="19" t="inlineStr">
        <is>
          <t>GM</t>
        </is>
      </c>
      <c r="D97" s="19" t="inlineStr">
        <is>
          <t>monthly food collection where sampled</t>
        </is>
      </c>
      <c r="E97" s="19" t="inlineStr">
        <is>
          <t>cell-relative imputation for missing quotes; direct comparison/direct QA as applicable</t>
        </is>
      </c>
      <c r="F97" s="19" t="inlineStr"/>
      <c r="G97" s="5" t="inlineStr">
        <is>
          <t>factsheet/index</t>
        </is>
      </c>
      <c r="H97" s="5" t="inlineStr">
        <is>
          <t>calculation handbook</t>
        </is>
      </c>
      <c r="I97" s="5" t="inlineStr">
        <is>
          <t>CUUR0000SEFR01</t>
        </is>
      </c>
      <c r="J97" s="5" t="inlineStr">
        <is>
          <t>CUSR0000SEFR01</t>
        </is>
      </c>
    </row>
    <row r="98">
      <c r="A98" t="inlineStr">
        <is>
          <t>SEFR02</t>
        </is>
      </c>
      <c r="B98" t="inlineStr">
        <is>
          <t>Candy and chewing gum</t>
        </is>
      </c>
      <c r="C98" s="19" t="inlineStr">
        <is>
          <t>GM</t>
        </is>
      </c>
      <c r="D98" s="19" t="inlineStr">
        <is>
          <t>monthly food collection where sampled</t>
        </is>
      </c>
      <c r="E98" s="19" t="inlineStr">
        <is>
          <t>cell-relative imputation for missing quotes; direct comparison/direct QA as applicable</t>
        </is>
      </c>
      <c r="F98" s="19" t="inlineStr"/>
      <c r="G98" s="5" t="inlineStr">
        <is>
          <t>factsheet/index</t>
        </is>
      </c>
      <c r="H98" s="5" t="inlineStr">
        <is>
          <t>calculation handbook</t>
        </is>
      </c>
      <c r="I98" s="5" t="inlineStr">
        <is>
          <t>CUUR0000SEFR02</t>
        </is>
      </c>
      <c r="J98" s="5" t="inlineStr">
        <is>
          <t>CUSR0000SEFR02</t>
        </is>
      </c>
    </row>
    <row r="99">
      <c r="A99" t="inlineStr">
        <is>
          <t>SEFR03</t>
        </is>
      </c>
      <c r="B99" t="inlineStr">
        <is>
          <t>Other sweets</t>
        </is>
      </c>
      <c r="C99" s="19" t="inlineStr">
        <is>
          <t>GM</t>
        </is>
      </c>
      <c r="D99" s="19" t="inlineStr">
        <is>
          <t>monthly food collection where sampled</t>
        </is>
      </c>
      <c r="E99" s="19" t="inlineStr">
        <is>
          <t>cell-relative imputation for missing quotes; direct comparison/direct QA as applicable</t>
        </is>
      </c>
      <c r="F99" s="19" t="inlineStr"/>
      <c r="G99" s="5" t="inlineStr">
        <is>
          <t>factsheet/index</t>
        </is>
      </c>
      <c r="H99" s="5" t="inlineStr">
        <is>
          <t>calculation handbook</t>
        </is>
      </c>
      <c r="I99" s="5" t="inlineStr">
        <is>
          <t>CUUR0000SEFR03</t>
        </is>
      </c>
      <c r="J99" s="5" t="inlineStr">
        <is>
          <t>CUSR0000SEFR03</t>
        </is>
      </c>
    </row>
    <row r="100">
      <c r="A100" t="inlineStr">
        <is>
          <t>SEFS</t>
        </is>
      </c>
      <c r="B100" t="inlineStr">
        <is>
          <t>Fats and oils</t>
        </is>
      </c>
      <c r="C100" s="19" t="inlineStr">
        <is>
          <t>aggregate</t>
        </is>
      </c>
      <c r="D100" s="19" t="inlineStr">
        <is>
          <t>aggregate</t>
        </is>
      </c>
      <c r="E100" s="19" t="inlineStr">
        <is>
          <t>aggregate of component methods</t>
        </is>
      </c>
      <c r="F100" s="19" t="inlineStr"/>
      <c r="G100" s="5" t="inlineStr">
        <is>
          <t>factsheet/index</t>
        </is>
      </c>
      <c r="H100" s="5" t="inlineStr">
        <is>
          <t>calculation handbook</t>
        </is>
      </c>
      <c r="I100" s="5" t="inlineStr">
        <is>
          <t>CUUR0000SEFS</t>
        </is>
      </c>
      <c r="J100" s="5" t="inlineStr">
        <is>
          <t>CUSR0000SEFS</t>
        </is>
      </c>
    </row>
    <row r="101">
      <c r="A101" t="inlineStr">
        <is>
          <t>SEFS01</t>
        </is>
      </c>
      <c r="B101" t="inlineStr">
        <is>
          <t>Butter and margarine</t>
        </is>
      </c>
      <c r="C101" s="19" t="inlineStr">
        <is>
          <t>aggregate</t>
        </is>
      </c>
      <c r="D101" s="19" t="inlineStr">
        <is>
          <t>aggregate</t>
        </is>
      </c>
      <c r="E101" s="19" t="inlineStr">
        <is>
          <t>aggregate of component methods</t>
        </is>
      </c>
      <c r="F101" s="19" t="inlineStr"/>
      <c r="G101" s="5" t="inlineStr">
        <is>
          <t>factsheet/index</t>
        </is>
      </c>
      <c r="H101" s="5" t="inlineStr">
        <is>
          <t>calculation handbook</t>
        </is>
      </c>
      <c r="I101" s="5" t="inlineStr">
        <is>
          <t>CUUR0000SEFS01</t>
        </is>
      </c>
      <c r="J101" s="5" t="inlineStr">
        <is>
          <t>CUSR0000SEFS01</t>
        </is>
      </c>
    </row>
    <row r="102">
      <c r="A102" t="inlineStr">
        <is>
          <t>SS10011</t>
        </is>
      </c>
      <c r="B102" t="inlineStr">
        <is>
          <t>Butter</t>
        </is>
      </c>
      <c r="C102" s="19" t="inlineStr">
        <is>
          <t>GM</t>
        </is>
      </c>
      <c r="D102" s="19" t="inlineStr">
        <is>
          <t>monthly in New York/Los Angeles/Chicago; often bimonthly elsewhere</t>
        </is>
      </c>
      <c r="E102" s="19" t="inlineStr">
        <is>
          <t>cell-relative imputation for missing quotes; direct comparison/direct QA as applicable</t>
        </is>
      </c>
      <c r="F102" s="19" t="inlineStr"/>
      <c r="G102" s="5" t="inlineStr">
        <is>
          <t>factsheet/index</t>
        </is>
      </c>
      <c r="H102" s="5" t="inlineStr">
        <is>
          <t>calculation handbook</t>
        </is>
      </c>
      <c r="I102" s="5" t="inlineStr">
        <is>
          <t>CUUR0000SS10011</t>
        </is>
      </c>
      <c r="J102" s="5" t="inlineStr">
        <is>
          <t>CUSR0000SS10011</t>
        </is>
      </c>
    </row>
    <row r="103">
      <c r="A103" t="inlineStr">
        <is>
          <t>SS16011</t>
        </is>
      </c>
      <c r="B103" t="inlineStr">
        <is>
          <t>Margarine</t>
        </is>
      </c>
      <c r="C103" s="19" t="inlineStr">
        <is>
          <t>GM</t>
        </is>
      </c>
      <c r="D103" s="19" t="inlineStr">
        <is>
          <t>monthly in New York/Los Angeles/Chicago; often bimonthly elsewhere</t>
        </is>
      </c>
      <c r="E103" s="19" t="inlineStr">
        <is>
          <t>cell-relative imputation for missing quotes; direct comparison/direct QA as applicable</t>
        </is>
      </c>
      <c r="F103" s="19" t="inlineStr"/>
      <c r="G103" s="5" t="inlineStr">
        <is>
          <t>factsheet/index</t>
        </is>
      </c>
      <c r="H103" s="5" t="inlineStr">
        <is>
          <t>calculation handbook</t>
        </is>
      </c>
      <c r="I103" s="5" t="inlineStr">
        <is>
          <t>CUUR0000SS16011</t>
        </is>
      </c>
      <c r="J103" s="5" t="inlineStr">
        <is>
          <t>CUSR0000SS16011</t>
        </is>
      </c>
    </row>
    <row r="104">
      <c r="A104" t="inlineStr">
        <is>
          <t>SEFS02</t>
        </is>
      </c>
      <c r="B104" t="inlineStr">
        <is>
          <t>Salad dressing</t>
        </is>
      </c>
      <c r="C104" s="19" t="inlineStr">
        <is>
          <t>GM</t>
        </is>
      </c>
      <c r="D104" s="19" t="inlineStr">
        <is>
          <t>monthly food collection where sampled</t>
        </is>
      </c>
      <c r="E104" s="19" t="inlineStr">
        <is>
          <t>cell-relative imputation for missing quotes; direct comparison/direct QA as applicable</t>
        </is>
      </c>
      <c r="F104" s="19" t="inlineStr"/>
      <c r="G104" s="5" t="inlineStr">
        <is>
          <t>factsheet/index</t>
        </is>
      </c>
      <c r="H104" s="5" t="inlineStr">
        <is>
          <t>calculation handbook</t>
        </is>
      </c>
      <c r="I104" s="5" t="inlineStr">
        <is>
          <t>CUUR0000SEFS02</t>
        </is>
      </c>
      <c r="J104" s="5" t="inlineStr">
        <is>
          <t>CUSR0000SEFS02</t>
        </is>
      </c>
    </row>
    <row r="105">
      <c r="A105" t="inlineStr">
        <is>
          <t>SEFS03</t>
        </is>
      </c>
      <c r="B105" t="inlineStr">
        <is>
          <t>Other fats and oils including peanut butter</t>
        </is>
      </c>
      <c r="C105" s="19" t="inlineStr">
        <is>
          <t>aggregate</t>
        </is>
      </c>
      <c r="D105" s="19" t="inlineStr">
        <is>
          <t>aggregate</t>
        </is>
      </c>
      <c r="E105" s="19" t="inlineStr">
        <is>
          <t>aggregate of component methods</t>
        </is>
      </c>
      <c r="F105" s="19" t="inlineStr"/>
      <c r="G105" s="5" t="inlineStr">
        <is>
          <t>factsheet/index</t>
        </is>
      </c>
      <c r="H105" s="5" t="inlineStr">
        <is>
          <t>calculation handbook</t>
        </is>
      </c>
      <c r="I105" s="5" t="inlineStr">
        <is>
          <t>CUUR0000SEFS03</t>
        </is>
      </c>
      <c r="J105" s="5" t="inlineStr">
        <is>
          <t>CUSR0000SEFS03</t>
        </is>
      </c>
    </row>
    <row r="106">
      <c r="A106" t="inlineStr">
        <is>
          <t>SS16014</t>
        </is>
      </c>
      <c r="B106" t="inlineStr">
        <is>
          <t>Peanut butter</t>
        </is>
      </c>
      <c r="C106" s="19" t="inlineStr">
        <is>
          <t>GM</t>
        </is>
      </c>
      <c r="D106" s="19" t="inlineStr">
        <is>
          <t>monthly in New York/Los Angeles/Chicago; often bimonthly elsewhere</t>
        </is>
      </c>
      <c r="E106" s="19" t="inlineStr">
        <is>
          <t>cell-relative imputation for missing quotes; direct comparison/direct QA as applicable</t>
        </is>
      </c>
      <c r="F106" s="19" t="inlineStr"/>
      <c r="G106" s="5" t="inlineStr">
        <is>
          <t>factsheet/index</t>
        </is>
      </c>
      <c r="H106" s="5" t="inlineStr">
        <is>
          <t>calculation handbook</t>
        </is>
      </c>
      <c r="I106" s="5" t="inlineStr">
        <is>
          <t>CUUR0000SS16014</t>
        </is>
      </c>
      <c r="J106" t="inlineStr"/>
    </row>
    <row r="107">
      <c r="A107" t="inlineStr">
        <is>
          <t>SEFT</t>
        </is>
      </c>
      <c r="B107" t="inlineStr">
        <is>
          <t>Other foods</t>
        </is>
      </c>
      <c r="C107" s="19" t="inlineStr">
        <is>
          <t>aggregate</t>
        </is>
      </c>
      <c r="D107" s="19" t="inlineStr">
        <is>
          <t>aggregate</t>
        </is>
      </c>
      <c r="E107" s="19" t="inlineStr">
        <is>
          <t>aggregate of component methods</t>
        </is>
      </c>
      <c r="F107" s="19" t="inlineStr"/>
      <c r="G107" s="5" t="inlineStr">
        <is>
          <t>factsheet/index</t>
        </is>
      </c>
      <c r="H107" s="5" t="inlineStr">
        <is>
          <t>calculation handbook</t>
        </is>
      </c>
      <c r="I107" s="5" t="inlineStr">
        <is>
          <t>CUUR0000SEFT</t>
        </is>
      </c>
      <c r="J107" s="5" t="inlineStr">
        <is>
          <t>CUSR0000SEFT</t>
        </is>
      </c>
    </row>
    <row r="108">
      <c r="A108" t="inlineStr">
        <is>
          <t>SEFT01</t>
        </is>
      </c>
      <c r="B108" t="inlineStr">
        <is>
          <t>Soups</t>
        </is>
      </c>
      <c r="C108" s="19" t="inlineStr">
        <is>
          <t>GM</t>
        </is>
      </c>
      <c r="D108" s="19" t="inlineStr">
        <is>
          <t>monthly food collection where sampled</t>
        </is>
      </c>
      <c r="E108" s="19" t="inlineStr">
        <is>
          <t>cell-relative imputation for missing quotes; direct comparison/direct QA as applicable</t>
        </is>
      </c>
      <c r="F108" s="19" t="inlineStr"/>
      <c r="G108" s="5" t="inlineStr">
        <is>
          <t>factsheet/index</t>
        </is>
      </c>
      <c r="H108" s="5" t="inlineStr">
        <is>
          <t>calculation handbook</t>
        </is>
      </c>
      <c r="I108" s="5" t="inlineStr">
        <is>
          <t>CUUR0000SEFT01</t>
        </is>
      </c>
      <c r="J108" s="5" t="inlineStr">
        <is>
          <t>CUSR0000SEFT01</t>
        </is>
      </c>
    </row>
    <row r="109">
      <c r="A109" t="inlineStr">
        <is>
          <t>SEFT02</t>
        </is>
      </c>
      <c r="B109" t="inlineStr">
        <is>
          <t>Frozen and freeze dried prepared foods</t>
        </is>
      </c>
      <c r="C109" s="19" t="inlineStr">
        <is>
          <t>GM</t>
        </is>
      </c>
      <c r="D109" s="19" t="inlineStr">
        <is>
          <t>monthly food collection where sampled</t>
        </is>
      </c>
      <c r="E109" s="19" t="inlineStr">
        <is>
          <t>cell-relative imputation for missing quotes; direct comparison/direct QA as applicable</t>
        </is>
      </c>
      <c r="F109" s="19" t="inlineStr"/>
      <c r="G109" s="5" t="inlineStr">
        <is>
          <t>factsheet/index</t>
        </is>
      </c>
      <c r="H109" s="5" t="inlineStr">
        <is>
          <t>calculation handbook</t>
        </is>
      </c>
      <c r="I109" s="5" t="inlineStr">
        <is>
          <t>CUUR0000SEFT02</t>
        </is>
      </c>
      <c r="J109" s="5" t="inlineStr">
        <is>
          <t>CUSR0000SEFT02</t>
        </is>
      </c>
    </row>
    <row r="110">
      <c r="A110" t="inlineStr">
        <is>
          <t>SEFT03</t>
        </is>
      </c>
      <c r="B110" t="inlineStr">
        <is>
          <t>Snacks</t>
        </is>
      </c>
      <c r="C110" s="19" t="inlineStr">
        <is>
          <t>GM</t>
        </is>
      </c>
      <c r="D110" s="19" t="inlineStr">
        <is>
          <t>monthly food collection where sampled</t>
        </is>
      </c>
      <c r="E110" s="19" t="inlineStr">
        <is>
          <t>cell-relative imputation for missing quotes; direct comparison/direct QA as applicable</t>
        </is>
      </c>
      <c r="F110" s="19" t="inlineStr"/>
      <c r="G110" s="5" t="inlineStr">
        <is>
          <t>factsheet/index</t>
        </is>
      </c>
      <c r="H110" s="5" t="inlineStr">
        <is>
          <t>calculation handbook</t>
        </is>
      </c>
      <c r="I110" s="5" t="inlineStr">
        <is>
          <t>CUUR0000SEFT03</t>
        </is>
      </c>
      <c r="J110" s="5" t="inlineStr">
        <is>
          <t>CUSR0000SEFT03</t>
        </is>
      </c>
    </row>
    <row r="111">
      <c r="A111" t="inlineStr">
        <is>
          <t>SEFT04</t>
        </is>
      </c>
      <c r="B111" t="inlineStr">
        <is>
          <t>Spices, seasonings, condiments, sauces</t>
        </is>
      </c>
      <c r="C111" s="19" t="inlineStr">
        <is>
          <t>aggregate</t>
        </is>
      </c>
      <c r="D111" s="19" t="inlineStr">
        <is>
          <t>aggregate</t>
        </is>
      </c>
      <c r="E111" s="19" t="inlineStr">
        <is>
          <t>aggregate of component methods</t>
        </is>
      </c>
      <c r="F111" s="19" t="inlineStr"/>
      <c r="G111" s="5" t="inlineStr">
        <is>
          <t>factsheet/index</t>
        </is>
      </c>
      <c r="H111" s="5" t="inlineStr">
        <is>
          <t>calculation handbook</t>
        </is>
      </c>
      <c r="I111" s="5" t="inlineStr">
        <is>
          <t>CUUR0000SEFT04</t>
        </is>
      </c>
      <c r="J111" s="5" t="inlineStr">
        <is>
          <t>CUSR0000SEFT04</t>
        </is>
      </c>
    </row>
    <row r="112">
      <c r="A112" t="inlineStr">
        <is>
          <t>SS18041</t>
        </is>
      </c>
      <c r="B112" t="inlineStr">
        <is>
          <t>Salt and other seasonings and spices</t>
        </is>
      </c>
      <c r="C112" s="19" t="inlineStr">
        <is>
          <t>GM</t>
        </is>
      </c>
      <c r="D112" s="19" t="inlineStr">
        <is>
          <t>monthly in New York/Los Angeles/Chicago; often bimonthly elsewhere</t>
        </is>
      </c>
      <c r="E112" s="19" t="inlineStr">
        <is>
          <t>cell-relative imputation for missing quotes; direct comparison/direct QA as applicable</t>
        </is>
      </c>
      <c r="F112" s="19" t="inlineStr"/>
      <c r="G112" s="5" t="inlineStr">
        <is>
          <t>factsheet/index</t>
        </is>
      </c>
      <c r="H112" s="5" t="inlineStr">
        <is>
          <t>calculation handbook</t>
        </is>
      </c>
      <c r="I112" s="5" t="inlineStr">
        <is>
          <t>CUUR0000SS18041</t>
        </is>
      </c>
      <c r="J112" s="5" t="inlineStr">
        <is>
          <t>CUSR0000SS18041</t>
        </is>
      </c>
    </row>
    <row r="113">
      <c r="A113" t="inlineStr">
        <is>
          <t>SS18042</t>
        </is>
      </c>
      <c r="B113" t="inlineStr">
        <is>
          <t>Olives, pickles, relishes</t>
        </is>
      </c>
      <c r="C113" s="19" t="inlineStr">
        <is>
          <t>GM</t>
        </is>
      </c>
      <c r="D113" s="19" t="inlineStr">
        <is>
          <t>monthly in New York/Los Angeles/Chicago; often bimonthly elsewhere</t>
        </is>
      </c>
      <c r="E113" s="19" t="inlineStr">
        <is>
          <t>cell-relative imputation for missing quotes; direct comparison/direct QA as applicable</t>
        </is>
      </c>
      <c r="F113" s="19" t="inlineStr"/>
      <c r="G113" s="5" t="inlineStr">
        <is>
          <t>factsheet/index</t>
        </is>
      </c>
      <c r="H113" s="5" t="inlineStr">
        <is>
          <t>calculation handbook</t>
        </is>
      </c>
      <c r="I113" s="5" t="inlineStr">
        <is>
          <t>CUUR0000SS18042</t>
        </is>
      </c>
      <c r="J113" s="5" t="inlineStr">
        <is>
          <t>CUSR0000SS18042</t>
        </is>
      </c>
    </row>
    <row r="114">
      <c r="A114" t="inlineStr">
        <is>
          <t>SS18043</t>
        </is>
      </c>
      <c r="B114" t="inlineStr">
        <is>
          <t>Sauces and gravies</t>
        </is>
      </c>
      <c r="C114" s="19" t="inlineStr">
        <is>
          <t>GM</t>
        </is>
      </c>
      <c r="D114" s="19" t="inlineStr">
        <is>
          <t>monthly in New York/Los Angeles/Chicago; often bimonthly elsewhere</t>
        </is>
      </c>
      <c r="E114" s="19" t="inlineStr">
        <is>
          <t>cell-relative imputation for missing quotes; direct comparison/direct QA as applicable</t>
        </is>
      </c>
      <c r="F114" s="19" t="inlineStr"/>
      <c r="G114" s="5" t="inlineStr">
        <is>
          <t>factsheet/index</t>
        </is>
      </c>
      <c r="H114" s="5" t="inlineStr">
        <is>
          <t>calculation handbook</t>
        </is>
      </c>
      <c r="I114" s="5" t="inlineStr">
        <is>
          <t>CUUR0000SS18043</t>
        </is>
      </c>
      <c r="J114" s="5" t="inlineStr">
        <is>
          <t>CUSR0000SS18043</t>
        </is>
      </c>
    </row>
    <row r="115">
      <c r="A115" t="inlineStr">
        <is>
          <t>SS1804B</t>
        </is>
      </c>
      <c r="B115" t="inlineStr">
        <is>
          <t>Other condiments</t>
        </is>
      </c>
      <c r="C115" s="19" t="inlineStr">
        <is>
          <t>GM</t>
        </is>
      </c>
      <c r="D115" s="19" t="inlineStr">
        <is>
          <t>monthly in New York/Los Angeles/Chicago; often bimonthly elsewhere</t>
        </is>
      </c>
      <c r="E115" s="19" t="inlineStr">
        <is>
          <t>cell-relative imputation for missing quotes; direct comparison/direct QA as applicable</t>
        </is>
      </c>
      <c r="F115" s="19" t="inlineStr"/>
      <c r="G115" s="5" t="inlineStr">
        <is>
          <t>factsheet/index</t>
        </is>
      </c>
      <c r="H115" s="5" t="inlineStr">
        <is>
          <t>calculation handbook</t>
        </is>
      </c>
      <c r="I115" s="5" t="inlineStr">
        <is>
          <t>CUUR0000SS1804B</t>
        </is>
      </c>
      <c r="J115" s="5" t="inlineStr">
        <is>
          <t>CUSR0000SS1804B</t>
        </is>
      </c>
    </row>
    <row r="116">
      <c r="A116" t="inlineStr">
        <is>
          <t>SEFT05</t>
        </is>
      </c>
      <c r="B116" t="inlineStr">
        <is>
          <t>Baby food and formula</t>
        </is>
      </c>
      <c r="C116" s="19" t="inlineStr">
        <is>
          <t>GM</t>
        </is>
      </c>
      <c r="D116" s="19" t="inlineStr">
        <is>
          <t>monthly food collection where sampled</t>
        </is>
      </c>
      <c r="E116" s="19" t="inlineStr">
        <is>
          <t>cell-relative imputation for missing quotes; direct comparison/direct QA as applicable</t>
        </is>
      </c>
      <c r="F116" s="19" t="inlineStr"/>
      <c r="G116" s="5" t="inlineStr">
        <is>
          <t>factsheet/index</t>
        </is>
      </c>
      <c r="H116" s="5" t="inlineStr">
        <is>
          <t>calculation handbook</t>
        </is>
      </c>
      <c r="I116" s="5" t="inlineStr">
        <is>
          <t>CUUR0000SEFT05</t>
        </is>
      </c>
      <c r="J116" t="inlineStr"/>
    </row>
    <row r="117">
      <c r="A117" t="inlineStr">
        <is>
          <t>SEFT06</t>
        </is>
      </c>
      <c r="B117" t="inlineStr">
        <is>
          <t>Other miscellaneous foods</t>
        </is>
      </c>
      <c r="C117" s="19" t="inlineStr">
        <is>
          <t>aggregate</t>
        </is>
      </c>
      <c r="D117" s="19" t="inlineStr">
        <is>
          <t>aggregate</t>
        </is>
      </c>
      <c r="E117" s="19" t="inlineStr">
        <is>
          <t>aggregate of component methods</t>
        </is>
      </c>
      <c r="F117" s="19" t="inlineStr"/>
      <c r="G117" s="5" t="inlineStr">
        <is>
          <t>factsheet/index</t>
        </is>
      </c>
      <c r="H117" s="5" t="inlineStr">
        <is>
          <t>calculation handbook</t>
        </is>
      </c>
      <c r="I117" s="5" t="inlineStr">
        <is>
          <t>CUUR0000SEFT06</t>
        </is>
      </c>
      <c r="J117" s="5" t="inlineStr">
        <is>
          <t>CUSR0000SEFT06</t>
        </is>
      </c>
    </row>
    <row r="118">
      <c r="A118" t="inlineStr">
        <is>
          <t>SS18064</t>
        </is>
      </c>
      <c r="B118" t="inlineStr">
        <is>
          <t>Prepared salads</t>
        </is>
      </c>
      <c r="C118" s="19" t="inlineStr">
        <is>
          <t>GM</t>
        </is>
      </c>
      <c r="D118" s="19" t="inlineStr">
        <is>
          <t>monthly in New York/Los Angeles/Chicago; often bimonthly elsewhere</t>
        </is>
      </c>
      <c r="E118" s="19" t="inlineStr">
        <is>
          <t>cell-relative imputation for missing quotes; direct comparison/direct QA as applicable</t>
        </is>
      </c>
      <c r="F118" s="19" t="inlineStr"/>
      <c r="G118" s="5" t="inlineStr">
        <is>
          <t>factsheet/index</t>
        </is>
      </c>
      <c r="H118" s="5" t="inlineStr">
        <is>
          <t>calculation handbook</t>
        </is>
      </c>
      <c r="I118" s="5" t="inlineStr">
        <is>
          <t>CUUR0000SS18064</t>
        </is>
      </c>
      <c r="J118" s="5" t="inlineStr">
        <is>
          <t>CUSR0000SS18064</t>
        </is>
      </c>
    </row>
    <row r="119">
      <c r="A119" t="inlineStr">
        <is>
          <t>SEFV</t>
        </is>
      </c>
      <c r="B119" t="inlineStr">
        <is>
          <t>Food away from home</t>
        </is>
      </c>
      <c r="C119" s="19" t="inlineStr">
        <is>
          <t>GM</t>
        </is>
      </c>
      <c r="D119" s="19" t="inlineStr">
        <is>
          <t>monthly</t>
        </is>
      </c>
      <c r="E119" s="19" t="inlineStr">
        <is>
          <t>slow wage/input pass-through</t>
        </is>
      </c>
      <c r="F119" s="19" t="inlineStr"/>
      <c r="G119" s="5" t="inlineStr">
        <is>
          <t>factsheet/index</t>
        </is>
      </c>
      <c r="H119" s="5" t="inlineStr">
        <is>
          <t>calculation handbook</t>
        </is>
      </c>
      <c r="I119" s="5" t="inlineStr">
        <is>
          <t>CUUR0000SEFV</t>
        </is>
      </c>
      <c r="J119" s="5" t="inlineStr">
        <is>
          <t>CUSR0000SEFV</t>
        </is>
      </c>
    </row>
    <row r="120">
      <c r="A120" t="inlineStr">
        <is>
          <t>SEFV01</t>
        </is>
      </c>
      <c r="B120" t="inlineStr">
        <is>
          <t>Full service meals and snacks</t>
        </is>
      </c>
      <c r="C120" s="19" t="inlineStr">
        <is>
          <t>GM</t>
        </is>
      </c>
      <c r="D120" s="19" t="inlineStr">
        <is>
          <t>monthly food collection where sampled</t>
        </is>
      </c>
      <c r="E120" s="19" t="inlineStr">
        <is>
          <t>cell-relative imputation for missing quotes; direct comparison/direct QA as applicable</t>
        </is>
      </c>
      <c r="F120" s="19" t="inlineStr"/>
      <c r="G120" s="5" t="inlineStr">
        <is>
          <t>factsheet/index</t>
        </is>
      </c>
      <c r="H120" s="5" t="inlineStr">
        <is>
          <t>calculation handbook</t>
        </is>
      </c>
      <c r="I120" s="5" t="inlineStr">
        <is>
          <t>CUUR0000SEFV01</t>
        </is>
      </c>
      <c r="J120" s="5" t="inlineStr">
        <is>
          <t>CUSR0000SEFV01</t>
        </is>
      </c>
    </row>
    <row r="121">
      <c r="A121" t="inlineStr">
        <is>
          <t>SEFV02</t>
        </is>
      </c>
      <c r="B121" t="inlineStr">
        <is>
          <t>Limited service meals and snacks</t>
        </is>
      </c>
      <c r="C121" s="19" t="inlineStr">
        <is>
          <t>GM</t>
        </is>
      </c>
      <c r="D121" s="19" t="inlineStr">
        <is>
          <t>monthly food collection where sampled</t>
        </is>
      </c>
      <c r="E121" s="19" t="inlineStr">
        <is>
          <t>cell-relative imputation for missing quotes; direct comparison/direct QA as applicable</t>
        </is>
      </c>
      <c r="F121" s="19" t="inlineStr"/>
      <c r="G121" s="5" t="inlineStr">
        <is>
          <t>factsheet/index</t>
        </is>
      </c>
      <c r="H121" s="5" t="inlineStr">
        <is>
          <t>calculation handbook</t>
        </is>
      </c>
      <c r="I121" s="5" t="inlineStr">
        <is>
          <t>CUUR0000SEFV02</t>
        </is>
      </c>
      <c r="J121" t="inlineStr"/>
    </row>
    <row r="122">
      <c r="A122" t="inlineStr">
        <is>
          <t>SEFV03</t>
        </is>
      </c>
      <c r="B122" t="inlineStr">
        <is>
          <t>Food at employee sites and schools</t>
        </is>
      </c>
      <c r="C122" s="19" t="inlineStr">
        <is>
          <t>GM</t>
        </is>
      </c>
      <c r="D122" s="19" t="inlineStr">
        <is>
          <t>monthly food collection where sampled</t>
        </is>
      </c>
      <c r="E122" s="19" t="inlineStr">
        <is>
          <t>cell-relative imputation for missing quotes; direct comparison/direct QA as applicable</t>
        </is>
      </c>
      <c r="F122" s="19" t="inlineStr"/>
      <c r="G122" s="5" t="inlineStr">
        <is>
          <t>factsheet/index</t>
        </is>
      </c>
      <c r="H122" s="5" t="inlineStr">
        <is>
          <t>calculation handbook</t>
        </is>
      </c>
      <c r="I122" s="5" t="inlineStr">
        <is>
          <t>CUUR0000SEFV03</t>
        </is>
      </c>
      <c r="J122" s="5" t="inlineStr">
        <is>
          <t>CUSR0000SEFV03</t>
        </is>
      </c>
    </row>
    <row r="123">
      <c r="A123" t="inlineStr">
        <is>
          <t>SSFV031A</t>
        </is>
      </c>
      <c r="B123" t="inlineStr">
        <is>
          <t>Food at elementary and secondary schools</t>
        </is>
      </c>
      <c r="C123" s="19" t="inlineStr">
        <is>
          <t>GM</t>
        </is>
      </c>
      <c r="D123" s="19" t="inlineStr">
        <is>
          <t>monthly food collection where sampled</t>
        </is>
      </c>
      <c r="E123" s="19" t="inlineStr">
        <is>
          <t>cell-relative imputation for missing quotes; direct comparison/direct QA as applicable</t>
        </is>
      </c>
      <c r="F123" s="19" t="inlineStr"/>
      <c r="G123" s="5" t="inlineStr">
        <is>
          <t>factsheet/index</t>
        </is>
      </c>
      <c r="H123" s="5" t="inlineStr">
        <is>
          <t>calculation handbook</t>
        </is>
      </c>
      <c r="I123" s="5" t="inlineStr">
        <is>
          <t>CUUR0000SSFV031A</t>
        </is>
      </c>
      <c r="J123" s="5" t="inlineStr">
        <is>
          <t>CUSR0000SSFV031A</t>
        </is>
      </c>
    </row>
    <row r="124">
      <c r="A124" t="inlineStr">
        <is>
          <t>SEFV04</t>
        </is>
      </c>
      <c r="B124" t="inlineStr">
        <is>
          <t>Food from vending machines and mobile vendors</t>
        </is>
      </c>
      <c r="C124" s="19" t="inlineStr">
        <is>
          <t>GM</t>
        </is>
      </c>
      <c r="D124" s="19" t="inlineStr">
        <is>
          <t>monthly food collection where sampled</t>
        </is>
      </c>
      <c r="E124" s="19" t="inlineStr">
        <is>
          <t>cell-relative imputation for missing quotes; direct comparison/direct QA as applicable</t>
        </is>
      </c>
      <c r="F124" s="19" t="inlineStr"/>
      <c r="G124" s="5" t="inlineStr">
        <is>
          <t>factsheet/index</t>
        </is>
      </c>
      <c r="H124" s="5" t="inlineStr">
        <is>
          <t>calculation handbook</t>
        </is>
      </c>
      <c r="I124" s="5" t="inlineStr">
        <is>
          <t>CUUR0000SEFV04</t>
        </is>
      </c>
      <c r="J124" t="inlineStr"/>
    </row>
    <row r="125">
      <c r="A125" t="inlineStr">
        <is>
          <t>SEFV05</t>
        </is>
      </c>
      <c r="B125" t="inlineStr">
        <is>
          <t>Other food away from home</t>
        </is>
      </c>
      <c r="C125" s="19" t="inlineStr">
        <is>
          <t>GM</t>
        </is>
      </c>
      <c r="D125" s="19" t="inlineStr">
        <is>
          <t>monthly food collection where sampled</t>
        </is>
      </c>
      <c r="E125" s="19" t="inlineStr">
        <is>
          <t>cell-relative imputation for missing quotes; direct comparison/direct QA as applicable</t>
        </is>
      </c>
      <c r="F125" s="19" t="inlineStr"/>
      <c r="G125" s="5" t="inlineStr">
        <is>
          <t>factsheet/index</t>
        </is>
      </c>
      <c r="H125" s="5" t="inlineStr">
        <is>
          <t>calculation handbook</t>
        </is>
      </c>
      <c r="I125" s="5" t="inlineStr">
        <is>
          <t>CUUR0000SEFV05</t>
        </is>
      </c>
      <c r="J125" s="5" t="inlineStr">
        <is>
          <t>CUSR0000SEFV05</t>
        </is>
      </c>
    </row>
    <row r="126">
      <c r="A126" t="inlineStr">
        <is>
          <t>SAF116</t>
        </is>
      </c>
      <c r="B126" t="inlineStr">
        <is>
          <t>Alcoholic beverages</t>
        </is>
      </c>
      <c r="C126" s="19" t="inlineStr">
        <is>
          <t>GM</t>
        </is>
      </c>
      <c r="D126" s="19" t="inlineStr">
        <is>
          <t>mixed</t>
        </is>
      </c>
      <c r="E126" s="19" t="inlineStr">
        <is>
          <t>BLS direct quality adjustment/imputation as applicable</t>
        </is>
      </c>
      <c r="F126" s="19" t="inlineStr"/>
      <c r="G126" s="5" t="inlineStr">
        <is>
          <t>factsheet/index</t>
        </is>
      </c>
      <c r="H126" s="5" t="inlineStr">
        <is>
          <t>calculation handbook</t>
        </is>
      </c>
      <c r="I126" s="5" t="inlineStr">
        <is>
          <t>CUUR0000SAF116</t>
        </is>
      </c>
      <c r="J126" s="5" t="inlineStr">
        <is>
          <t>CUSR0000SAF116</t>
        </is>
      </c>
    </row>
    <row r="127">
      <c r="A127" t="inlineStr">
        <is>
          <t>SEFW</t>
        </is>
      </c>
      <c r="B127" t="inlineStr">
        <is>
          <t>Alcoholic beverages at home</t>
        </is>
      </c>
      <c r="C127" s="19" t="inlineStr">
        <is>
          <t>aggregate</t>
        </is>
      </c>
      <c r="D127" s="19" t="inlineStr">
        <is>
          <t>aggregate</t>
        </is>
      </c>
      <c r="E127" s="19" t="inlineStr">
        <is>
          <t>aggregate of component methods</t>
        </is>
      </c>
      <c r="F127" s="19" t="inlineStr"/>
      <c r="G127" s="5" t="inlineStr">
        <is>
          <t>factsheet/index</t>
        </is>
      </c>
      <c r="H127" s="5" t="inlineStr">
        <is>
          <t>calculation handbook</t>
        </is>
      </c>
      <c r="I127" s="5" t="inlineStr">
        <is>
          <t>CUUR0000SEFW</t>
        </is>
      </c>
      <c r="J127" s="5" t="inlineStr">
        <is>
          <t>CUSR0000SEFW</t>
        </is>
      </c>
    </row>
    <row r="128">
      <c r="A128" t="inlineStr">
        <is>
          <t>SEFW01</t>
        </is>
      </c>
      <c r="B128" t="inlineStr">
        <is>
          <t>Beer, ale, and other malt beverages at home</t>
        </is>
      </c>
      <c r="C128" s="19" t="inlineStr">
        <is>
          <t>GM</t>
        </is>
      </c>
      <c r="D128" s="19" t="inlineStr">
        <is>
          <t>monthly food collection where sampled</t>
        </is>
      </c>
      <c r="E128" s="19" t="inlineStr">
        <is>
          <t>cell-relative imputation for missing quotes; direct comparison/direct QA as applicable</t>
        </is>
      </c>
      <c r="F128" s="19" t="inlineStr"/>
      <c r="G128" s="5" t="inlineStr">
        <is>
          <t>factsheet/index</t>
        </is>
      </c>
      <c r="H128" s="5" t="inlineStr">
        <is>
          <t>calculation handbook</t>
        </is>
      </c>
      <c r="I128" s="5" t="inlineStr">
        <is>
          <t>CUUR0000SEFW01</t>
        </is>
      </c>
      <c r="J128" s="5" t="inlineStr">
        <is>
          <t>CUSR0000SEFW01</t>
        </is>
      </c>
    </row>
    <row r="129">
      <c r="A129" t="inlineStr">
        <is>
          <t>SEFW02</t>
        </is>
      </c>
      <c r="B129" t="inlineStr">
        <is>
          <t>Distilled spirits at home</t>
        </is>
      </c>
      <c r="C129" s="19" t="inlineStr">
        <is>
          <t>aggregate</t>
        </is>
      </c>
      <c r="D129" s="19" t="inlineStr">
        <is>
          <t>aggregate</t>
        </is>
      </c>
      <c r="E129" s="19" t="inlineStr">
        <is>
          <t>aggregate of component methods</t>
        </is>
      </c>
      <c r="F129" s="19" t="inlineStr"/>
      <c r="G129" s="5" t="inlineStr">
        <is>
          <t>factsheet/index</t>
        </is>
      </c>
      <c r="H129" s="5" t="inlineStr">
        <is>
          <t>calculation handbook</t>
        </is>
      </c>
      <c r="I129" s="5" t="inlineStr">
        <is>
          <t>CUUR0000SEFW02</t>
        </is>
      </c>
      <c r="J129" s="5" t="inlineStr">
        <is>
          <t>CUSR0000SEFW02</t>
        </is>
      </c>
    </row>
    <row r="130">
      <c r="A130" t="inlineStr">
        <is>
          <t>SS20021</t>
        </is>
      </c>
      <c r="B130" t="inlineStr">
        <is>
          <t>Whiskey at home</t>
        </is>
      </c>
      <c r="C130" s="19" t="inlineStr">
        <is>
          <t>GM</t>
        </is>
      </c>
      <c r="D130" s="19" t="inlineStr">
        <is>
          <t>monthly in New York/Los Angeles/Chicago; often bimonthly elsewhere</t>
        </is>
      </c>
      <c r="E130" s="19" t="inlineStr">
        <is>
          <t>cell-relative imputation for missing quotes; direct comparison/direct QA as applicable</t>
        </is>
      </c>
      <c r="F130" s="19" t="inlineStr"/>
      <c r="G130" s="5" t="inlineStr">
        <is>
          <t>factsheet/index</t>
        </is>
      </c>
      <c r="H130" s="5" t="inlineStr">
        <is>
          <t>calculation handbook</t>
        </is>
      </c>
      <c r="I130" s="5" t="inlineStr">
        <is>
          <t>CUUR0000SS20021</t>
        </is>
      </c>
      <c r="J130" s="5" t="inlineStr">
        <is>
          <t>CUSR0000SS20021</t>
        </is>
      </c>
    </row>
    <row r="131">
      <c r="A131" t="inlineStr">
        <is>
          <t>SS20022</t>
        </is>
      </c>
      <c r="B131" t="inlineStr">
        <is>
          <t>Distilled spirits, excluding whiskey, at home</t>
        </is>
      </c>
      <c r="C131" s="19" t="inlineStr">
        <is>
          <t>GM</t>
        </is>
      </c>
      <c r="D131" s="19" t="inlineStr">
        <is>
          <t>monthly in New York/Los Angeles/Chicago; often bimonthly elsewhere</t>
        </is>
      </c>
      <c r="E131" s="19" t="inlineStr">
        <is>
          <t>cell-relative imputation for missing quotes; direct comparison/direct QA as applicable</t>
        </is>
      </c>
      <c r="F131" s="19" t="inlineStr"/>
      <c r="G131" s="5" t="inlineStr">
        <is>
          <t>factsheet/index</t>
        </is>
      </c>
      <c r="H131" s="5" t="inlineStr">
        <is>
          <t>calculation handbook</t>
        </is>
      </c>
      <c r="I131" s="5" t="inlineStr">
        <is>
          <t>CUUR0000SS20022</t>
        </is>
      </c>
      <c r="J131" s="5" t="inlineStr">
        <is>
          <t>CUSR0000SS20022</t>
        </is>
      </c>
    </row>
    <row r="132">
      <c r="A132" t="inlineStr">
        <is>
          <t>SEFW03</t>
        </is>
      </c>
      <c r="B132" t="inlineStr">
        <is>
          <t>Wine at home</t>
        </is>
      </c>
      <c r="C132" s="19" t="inlineStr">
        <is>
          <t>GM</t>
        </is>
      </c>
      <c r="D132" s="19" t="inlineStr">
        <is>
          <t>monthly food collection where sampled</t>
        </is>
      </c>
      <c r="E132" s="19" t="inlineStr">
        <is>
          <t>cell-relative imputation for missing quotes; direct comparison/direct QA as applicable</t>
        </is>
      </c>
      <c r="F132" s="19" t="inlineStr"/>
      <c r="G132" s="5" t="inlineStr">
        <is>
          <t>factsheet/index</t>
        </is>
      </c>
      <c r="H132" s="5" t="inlineStr">
        <is>
          <t>calculation handbook</t>
        </is>
      </c>
      <c r="I132" s="5" t="inlineStr">
        <is>
          <t>CUUR0000SEFW03</t>
        </is>
      </c>
      <c r="J132" s="5" t="inlineStr">
        <is>
          <t>CUSR0000SEFW03</t>
        </is>
      </c>
    </row>
    <row r="133">
      <c r="A133" t="inlineStr">
        <is>
          <t>SEFX</t>
        </is>
      </c>
      <c r="B133" t="inlineStr">
        <is>
          <t>Alcoholic beverages away from home</t>
        </is>
      </c>
      <c r="C133" s="19" t="inlineStr">
        <is>
          <t>aggregate</t>
        </is>
      </c>
      <c r="D133" s="19" t="inlineStr">
        <is>
          <t>aggregate</t>
        </is>
      </c>
      <c r="E133" s="19" t="inlineStr">
        <is>
          <t>aggregate of component methods</t>
        </is>
      </c>
      <c r="F133" s="19" t="inlineStr"/>
      <c r="G133" s="5" t="inlineStr">
        <is>
          <t>factsheet/index</t>
        </is>
      </c>
      <c r="H133" s="5" t="inlineStr">
        <is>
          <t>calculation handbook</t>
        </is>
      </c>
      <c r="I133" s="5" t="inlineStr">
        <is>
          <t>CUUR0000SEFX</t>
        </is>
      </c>
      <c r="J133" s="5" t="inlineStr">
        <is>
          <t>CUSR0000SEFX</t>
        </is>
      </c>
    </row>
    <row r="134">
      <c r="A134" t="inlineStr">
        <is>
          <t>SS20051</t>
        </is>
      </c>
      <c r="B134" t="inlineStr">
        <is>
          <t>Beer, ale, and other malt beverages away from home</t>
        </is>
      </c>
      <c r="C134" s="19" t="inlineStr">
        <is>
          <t>GM</t>
        </is>
      </c>
      <c r="D134" s="19" t="inlineStr">
        <is>
          <t>monthly in New York/Los Angeles/Chicago; often bimonthly elsewhere</t>
        </is>
      </c>
      <c r="E134" s="19" t="inlineStr">
        <is>
          <t>cell-relative imputation for missing quotes; direct comparison/direct QA as applicable</t>
        </is>
      </c>
      <c r="F134" s="19" t="inlineStr"/>
      <c r="G134" s="5" t="inlineStr">
        <is>
          <t>factsheet/index</t>
        </is>
      </c>
      <c r="H134" s="5" t="inlineStr">
        <is>
          <t>calculation handbook</t>
        </is>
      </c>
      <c r="I134" s="5" t="inlineStr">
        <is>
          <t>CUUR0000SS20051</t>
        </is>
      </c>
      <c r="J134" t="inlineStr"/>
    </row>
    <row r="135">
      <c r="A135" t="inlineStr">
        <is>
          <t>SS20052</t>
        </is>
      </c>
      <c r="B135" t="inlineStr">
        <is>
          <t>Wine away from home</t>
        </is>
      </c>
      <c r="C135" s="19" t="inlineStr">
        <is>
          <t>GM</t>
        </is>
      </c>
      <c r="D135" s="19" t="inlineStr">
        <is>
          <t>monthly in New York/Los Angeles/Chicago; often bimonthly elsewhere</t>
        </is>
      </c>
      <c r="E135" s="19" t="inlineStr">
        <is>
          <t>cell-relative imputation for missing quotes; direct comparison/direct QA as applicable</t>
        </is>
      </c>
      <c r="F135" s="19" t="inlineStr"/>
      <c r="G135" s="5" t="inlineStr">
        <is>
          <t>factsheet/index</t>
        </is>
      </c>
      <c r="H135" s="5" t="inlineStr">
        <is>
          <t>calculation handbook</t>
        </is>
      </c>
      <c r="I135" s="5" t="inlineStr">
        <is>
          <t>CUUR0000SS20052</t>
        </is>
      </c>
      <c r="J135" t="inlineStr"/>
    </row>
    <row r="136">
      <c r="A136" t="inlineStr">
        <is>
          <t>SS20053</t>
        </is>
      </c>
      <c r="B136" t="inlineStr">
        <is>
          <t>Distilled spirits away from home</t>
        </is>
      </c>
      <c r="C136" s="19" t="inlineStr">
        <is>
          <t>GM</t>
        </is>
      </c>
      <c r="D136" s="19" t="inlineStr">
        <is>
          <t>monthly in New York/Los Angeles/Chicago; often bimonthly elsewhere</t>
        </is>
      </c>
      <c r="E136" s="19" t="inlineStr">
        <is>
          <t>cell-relative imputation for missing quotes; direct comparison/direct QA as applicable</t>
        </is>
      </c>
      <c r="F136" s="19" t="inlineStr"/>
      <c r="G136" s="5" t="inlineStr">
        <is>
          <t>factsheet/index</t>
        </is>
      </c>
      <c r="H136" s="5" t="inlineStr">
        <is>
          <t>calculation handbook</t>
        </is>
      </c>
      <c r="I136" s="5" t="inlineStr">
        <is>
          <t>CUUR0000SS20053</t>
        </is>
      </c>
      <c r="J136" s="5" t="inlineStr">
        <is>
          <t>CUSR0000SS20053</t>
        </is>
      </c>
    </row>
    <row r="137">
      <c r="A137" t="inlineStr">
        <is>
          <t>SAH</t>
        </is>
      </c>
      <c r="B137" t="inlineStr">
        <is>
          <t>Housing</t>
        </is>
      </c>
      <c r="C137" s="19" t="inlineStr">
        <is>
          <t>aggregate</t>
        </is>
      </c>
      <c r="D137" s="19" t="inlineStr">
        <is>
          <t>aggregate</t>
        </is>
      </c>
      <c r="E137" s="19" t="inlineStr">
        <is>
          <t>aggregate of component methods</t>
        </is>
      </c>
      <c r="F137" s="19" t="inlineStr"/>
      <c r="G137" s="5" t="inlineStr">
        <is>
          <t>factsheet/index</t>
        </is>
      </c>
      <c r="H137" s="5" t="inlineStr">
        <is>
          <t>calculation handbook</t>
        </is>
      </c>
      <c r="I137" s="5" t="inlineStr">
        <is>
          <t>CUUR0000SAH</t>
        </is>
      </c>
      <c r="J137" s="5" t="inlineStr">
        <is>
          <t>CUSR0000SAH</t>
        </is>
      </c>
    </row>
    <row r="138">
      <c r="A138" t="inlineStr">
        <is>
          <t>SAH1</t>
        </is>
      </c>
      <c r="B138" t="inlineStr">
        <is>
          <t>Shelter</t>
        </is>
      </c>
      <c r="C138" s="19" t="inlineStr">
        <is>
          <t>aggregate</t>
        </is>
      </c>
      <c r="D138" s="19" t="inlineStr">
        <is>
          <t>aggregate</t>
        </is>
      </c>
      <c r="E138" s="19" t="inlineStr">
        <is>
          <t>aggregate</t>
        </is>
      </c>
      <c r="F138" s="19" t="inlineStr"/>
      <c r="G138" s="5" t="inlineStr">
        <is>
          <t>factsheet/index</t>
        </is>
      </c>
      <c r="H138" s="5" t="inlineStr">
        <is>
          <t>calculation handbook</t>
        </is>
      </c>
      <c r="I138" s="5" t="inlineStr">
        <is>
          <t>CUUR0000SAH1</t>
        </is>
      </c>
      <c r="J138" s="5" t="inlineStr">
        <is>
          <t>CUSR0000SAH1</t>
        </is>
      </c>
    </row>
    <row r="139">
      <c r="A139" t="inlineStr">
        <is>
          <t>SEHA</t>
        </is>
      </c>
      <c r="B139" t="inlineStr">
        <is>
          <t>Rent of primary residence</t>
        </is>
      </c>
      <c r="C139" s="19" t="inlineStr">
        <is>
          <t>6MR</t>
        </is>
      </c>
      <c r="D139" s="19" t="inlineStr">
        <is>
          <t>Housing survey: six rotating panels; units priced twice per year</t>
        </is>
      </c>
      <c r="E139" s="19" t="inlineStr">
        <is>
          <t>age-bias adjustment; donor imputation for missed collections</t>
        </is>
      </c>
      <c r="F139" s="19" t="inlineStr"/>
      <c r="G139" s="5" t="inlineStr">
        <is>
          <t>factsheet/index</t>
        </is>
      </c>
      <c r="H139" s="5" t="inlineStr">
        <is>
          <t>calculation handbook</t>
        </is>
      </c>
      <c r="I139" s="5" t="inlineStr">
        <is>
          <t>CUUR0000SEHA</t>
        </is>
      </c>
      <c r="J139" s="5" t="inlineStr">
        <is>
          <t>CUSR0000SEHA</t>
        </is>
      </c>
    </row>
    <row r="140">
      <c r="A140" t="inlineStr">
        <is>
          <t>SEHB</t>
        </is>
      </c>
      <c r="B140" t="inlineStr">
        <is>
          <t>Lodging away from home</t>
        </is>
      </c>
      <c r="C140" s="19" t="inlineStr">
        <is>
          <t>GM</t>
        </is>
      </c>
      <c r="D140" s="19" t="inlineStr">
        <is>
          <t>monthly</t>
        </is>
      </c>
      <c r="E140" s="19" t="inlineStr">
        <is>
          <t>BLS direct quality adjustment/imputation as applicable</t>
        </is>
      </c>
      <c r="F140" s="19" t="inlineStr"/>
      <c r="G140" s="5" t="inlineStr">
        <is>
          <t>factsheet/index</t>
        </is>
      </c>
      <c r="H140" s="5" t="inlineStr">
        <is>
          <t>calculation handbook</t>
        </is>
      </c>
      <c r="I140" s="5" t="inlineStr">
        <is>
          <t>CUUR0000SEHB</t>
        </is>
      </c>
      <c r="J140" s="5" t="inlineStr">
        <is>
          <t>CUSR0000SEHB</t>
        </is>
      </c>
    </row>
    <row r="141">
      <c r="A141" t="inlineStr">
        <is>
          <t>SEHB01</t>
        </is>
      </c>
      <c r="B141" t="inlineStr">
        <is>
          <t>Lodging while at school</t>
        </is>
      </c>
      <c r="C141" s="19" t="inlineStr">
        <is>
          <t>GM</t>
        </is>
      </c>
      <c r="D141" s="19" t="inlineStr">
        <is>
          <t>monthly/six-panel shelter or housing-service collection</t>
        </is>
      </c>
      <c r="E141" s="19" t="inlineStr">
        <is>
          <t>cell-relative imputation for missing quotes; direct comparison/direct QA as applicable</t>
        </is>
      </c>
      <c r="F141" s="19" t="inlineStr"/>
      <c r="G141" s="5" t="inlineStr">
        <is>
          <t>factsheet/index</t>
        </is>
      </c>
      <c r="H141" s="5" t="inlineStr">
        <is>
          <t>calculation handbook</t>
        </is>
      </c>
      <c r="I141" s="5" t="inlineStr">
        <is>
          <t>CUUR0000SEHB01</t>
        </is>
      </c>
      <c r="J141" s="5" t="inlineStr">
        <is>
          <t>CUSR0000SEHB01</t>
        </is>
      </c>
    </row>
    <row r="142">
      <c r="A142" t="inlineStr">
        <is>
          <t>SEHB02</t>
        </is>
      </c>
      <c r="B142" t="inlineStr">
        <is>
          <t>Other lodging away from home including hotels and motels</t>
        </is>
      </c>
      <c r="C142" s="19" t="inlineStr">
        <is>
          <t>GM</t>
        </is>
      </c>
      <c r="D142" s="19" t="inlineStr">
        <is>
          <t>monthly/six-panel shelter or housing-service collection</t>
        </is>
      </c>
      <c r="E142" s="19" t="inlineStr">
        <is>
          <t>cell-relative imputation for missing quotes; direct comparison/direct QA as applicable</t>
        </is>
      </c>
      <c r="F142" s="19" t="inlineStr"/>
      <c r="G142" s="5" t="inlineStr">
        <is>
          <t>factsheet/index</t>
        </is>
      </c>
      <c r="H142" s="5" t="inlineStr">
        <is>
          <t>calculation handbook</t>
        </is>
      </c>
      <c r="I142" s="5" t="inlineStr">
        <is>
          <t>CUUR0000SEHB02</t>
        </is>
      </c>
      <c r="J142" s="5" t="inlineStr">
        <is>
          <t>CUSR0000SEHB02</t>
        </is>
      </c>
    </row>
    <row r="143">
      <c r="A143" t="inlineStr">
        <is>
          <t>SEHC</t>
        </is>
      </c>
      <c r="B143" t="inlineStr">
        <is>
          <t>Owners' equivalent rent of residences</t>
        </is>
      </c>
      <c r="C143" s="19" t="inlineStr">
        <is>
          <t>6MR</t>
        </is>
      </c>
      <c r="D143" s="19" t="inlineStr">
        <is>
          <t>same renter sample, reweighted to owner stock</t>
        </is>
      </c>
      <c r="E143" s="19" t="inlineStr">
        <is>
          <t>age-bias adjustment; donor imputation for missed collections</t>
        </is>
      </c>
      <c r="F143" s="19" t="inlineStr"/>
      <c r="G143" s="5" t="inlineStr">
        <is>
          <t>factsheet/index</t>
        </is>
      </c>
      <c r="H143" s="5" t="inlineStr">
        <is>
          <t>calculation handbook</t>
        </is>
      </c>
      <c r="I143" s="5" t="inlineStr">
        <is>
          <t>CUUR0000SEHC</t>
        </is>
      </c>
      <c r="J143" s="5" t="inlineStr">
        <is>
          <t>CUSR0000SEHC</t>
        </is>
      </c>
    </row>
    <row r="144">
      <c r="A144" t="inlineStr">
        <is>
          <t>SEHC01</t>
        </is>
      </c>
      <c r="B144" t="inlineStr">
        <is>
          <t>Owners' equivalent rent of primary residence</t>
        </is>
      </c>
      <c r="C144" s="19" t="inlineStr">
        <is>
          <t>6MR</t>
        </is>
      </c>
      <c r="D144" s="19" t="inlineStr">
        <is>
          <t>monthly/six-panel shelter or housing-service collection</t>
        </is>
      </c>
      <c r="E144" s="19" t="inlineStr">
        <is>
          <t>age-bias adjustment; donor imputation for missed collections</t>
        </is>
      </c>
      <c r="F144" s="19" t="inlineStr"/>
      <c r="G144" s="5" t="inlineStr">
        <is>
          <t>factsheet/index</t>
        </is>
      </c>
      <c r="H144" s="5" t="inlineStr">
        <is>
          <t>calculation handbook</t>
        </is>
      </c>
      <c r="I144" s="5" t="inlineStr">
        <is>
          <t>CUUR0000SEHC01</t>
        </is>
      </c>
      <c r="J144" s="5" t="inlineStr">
        <is>
          <t>CUSR0000SEHC01</t>
        </is>
      </c>
    </row>
    <row r="145">
      <c r="A145" t="inlineStr">
        <is>
          <t>SEHD</t>
        </is>
      </c>
      <c r="B145" t="inlineStr">
        <is>
          <t>Tenants' and household insurance</t>
        </is>
      </c>
      <c r="C145" s="19" t="inlineStr">
        <is>
          <t>GM</t>
        </is>
      </c>
      <c r="D145" s="19" t="inlineStr">
        <is>
          <t>monthly/six-panel shelter or housing-service collection</t>
        </is>
      </c>
      <c r="E145" s="19" t="inlineStr">
        <is>
          <t>cell-relative imputation for missing quotes; direct comparison/direct QA as applicable</t>
        </is>
      </c>
      <c r="F145" s="19" t="inlineStr"/>
      <c r="G145" s="5" t="inlineStr">
        <is>
          <t>factsheet/index</t>
        </is>
      </c>
      <c r="H145" s="5" t="inlineStr">
        <is>
          <t>calculation handbook</t>
        </is>
      </c>
      <c r="I145" s="5" t="inlineStr">
        <is>
          <t>CUUR0000SEHD</t>
        </is>
      </c>
      <c r="J145" t="inlineStr"/>
    </row>
    <row r="146">
      <c r="A146" t="inlineStr">
        <is>
          <t>SAH2</t>
        </is>
      </c>
      <c r="B146" t="inlineStr">
        <is>
          <t>Fuels and utilities</t>
        </is>
      </c>
      <c r="C146" s="19" t="inlineStr">
        <is>
          <t>aggregate</t>
        </is>
      </c>
      <c r="D146" s="19" t="inlineStr">
        <is>
          <t>aggregate</t>
        </is>
      </c>
      <c r="E146" s="19" t="inlineStr">
        <is>
          <t>aggregate of component methods</t>
        </is>
      </c>
      <c r="F146" s="19" t="inlineStr"/>
      <c r="G146" s="5" t="inlineStr">
        <is>
          <t>factsheet/index</t>
        </is>
      </c>
      <c r="H146" s="5" t="inlineStr">
        <is>
          <t>calculation handbook</t>
        </is>
      </c>
      <c r="I146" s="5" t="inlineStr">
        <is>
          <t>CUUR0000SAH2</t>
        </is>
      </c>
      <c r="J146" s="5" t="inlineStr">
        <is>
          <t>CUSR0000SAH2</t>
        </is>
      </c>
    </row>
    <row r="147">
      <c r="A147" t="inlineStr">
        <is>
          <t>SAH21</t>
        </is>
      </c>
      <c r="B147" t="inlineStr">
        <is>
          <t>Household energy</t>
        </is>
      </c>
      <c r="C147" s="19" t="inlineStr">
        <is>
          <t>aggregate</t>
        </is>
      </c>
      <c r="D147" s="19" t="inlineStr">
        <is>
          <t>aggregate</t>
        </is>
      </c>
      <c r="E147" s="19" t="inlineStr">
        <is>
          <t>aggregate of component methods</t>
        </is>
      </c>
      <c r="F147" s="19" t="inlineStr"/>
      <c r="G147" s="5" t="inlineStr">
        <is>
          <t>factsheet/index</t>
        </is>
      </c>
      <c r="H147" s="5" t="inlineStr">
        <is>
          <t>calculation handbook</t>
        </is>
      </c>
      <c r="I147" s="5" t="inlineStr">
        <is>
          <t>CUUR0000SAH21</t>
        </is>
      </c>
      <c r="J147" s="5" t="inlineStr">
        <is>
          <t>CUSR0000SAH21</t>
        </is>
      </c>
    </row>
    <row r="148">
      <c r="A148" t="inlineStr">
        <is>
          <t>SEHE</t>
        </is>
      </c>
      <c r="B148" t="inlineStr">
        <is>
          <t>Fuel oil and other fuels</t>
        </is>
      </c>
      <c r="C148" s="19" t="inlineStr">
        <is>
          <t>aggregate</t>
        </is>
      </c>
      <c r="D148" s="19" t="inlineStr">
        <is>
          <t>aggregate</t>
        </is>
      </c>
      <c r="E148" s="19" t="inlineStr">
        <is>
          <t>aggregate of component methods</t>
        </is>
      </c>
      <c r="F148" s="19" t="inlineStr"/>
      <c r="G148" s="5" t="inlineStr">
        <is>
          <t>factsheet/index</t>
        </is>
      </c>
      <c r="H148" s="5" t="inlineStr">
        <is>
          <t>calculation handbook</t>
        </is>
      </c>
      <c r="I148" s="5" t="inlineStr">
        <is>
          <t>CUUR0000SEHE</t>
        </is>
      </c>
      <c r="J148" s="5" t="inlineStr">
        <is>
          <t>CUSR0000SEHE</t>
        </is>
      </c>
    </row>
    <row r="149">
      <c r="A149" t="inlineStr">
        <is>
          <t>SEHE01</t>
        </is>
      </c>
      <c r="B149" t="inlineStr">
        <is>
          <t>Fuel oil</t>
        </is>
      </c>
      <c r="C149" s="19" t="inlineStr">
        <is>
          <t>GM</t>
        </is>
      </c>
      <c r="D149" s="19" t="inlineStr">
        <is>
          <t>monthly</t>
        </is>
      </c>
      <c r="E149" s="19" t="inlineStr">
        <is>
          <t>BLS direct quality adjustment/imputation as applicable</t>
        </is>
      </c>
      <c r="F149" s="19" t="inlineStr"/>
      <c r="G149" s="5" t="inlineStr">
        <is>
          <t>factsheet/index</t>
        </is>
      </c>
      <c r="H149" s="5" t="inlineStr">
        <is>
          <t>calculation handbook</t>
        </is>
      </c>
      <c r="I149" s="5" t="inlineStr">
        <is>
          <t>CUUR0000SEHE01</t>
        </is>
      </c>
      <c r="J149" s="5" t="inlineStr">
        <is>
          <t>CUSR0000SEHE01</t>
        </is>
      </c>
    </row>
    <row r="150">
      <c r="A150" t="inlineStr">
        <is>
          <t>SEHE02</t>
        </is>
      </c>
      <c r="B150" t="inlineStr">
        <is>
          <t>Propane, kerosene, and firewood</t>
        </is>
      </c>
      <c r="C150" s="19" t="inlineStr">
        <is>
          <t>GM</t>
        </is>
      </c>
      <c r="D150" s="19" t="inlineStr">
        <is>
          <t>monthly energy/utility collection</t>
        </is>
      </c>
      <c r="E150" s="19" t="inlineStr">
        <is>
          <t>cell-relative imputation for missing quotes; direct comparison/direct QA as applicable</t>
        </is>
      </c>
      <c r="F150" s="19" t="inlineStr"/>
      <c r="G150" s="5" t="inlineStr">
        <is>
          <t>factsheet/index</t>
        </is>
      </c>
      <c r="H150" s="5" t="inlineStr">
        <is>
          <t>calculation handbook</t>
        </is>
      </c>
      <c r="I150" s="5" t="inlineStr">
        <is>
          <t>CUUR0000SEHE02</t>
        </is>
      </c>
      <c r="J150" s="5" t="inlineStr">
        <is>
          <t>CUSR0000SEHE02</t>
        </is>
      </c>
    </row>
    <row r="151">
      <c r="A151" t="inlineStr">
        <is>
          <t>SEHF</t>
        </is>
      </c>
      <c r="B151" t="inlineStr">
        <is>
          <t>Energy services</t>
        </is>
      </c>
      <c r="C151" s="19" t="inlineStr">
        <is>
          <t>aggregate</t>
        </is>
      </c>
      <c r="D151" s="19" t="inlineStr">
        <is>
          <t>aggregate</t>
        </is>
      </c>
      <c r="E151" s="19" t="inlineStr">
        <is>
          <t>aggregate of component methods</t>
        </is>
      </c>
      <c r="F151" s="19" t="inlineStr"/>
      <c r="G151" s="5" t="inlineStr">
        <is>
          <t>factsheet/index</t>
        </is>
      </c>
      <c r="H151" s="5" t="inlineStr">
        <is>
          <t>calculation handbook</t>
        </is>
      </c>
      <c r="I151" s="5" t="inlineStr">
        <is>
          <t>CUUR0000SEHF</t>
        </is>
      </c>
      <c r="J151" s="5" t="inlineStr">
        <is>
          <t>CUSR0000SEHF</t>
        </is>
      </c>
    </row>
    <row r="152">
      <c r="A152" t="inlineStr">
        <is>
          <t>SEHF01</t>
        </is>
      </c>
      <c r="B152" t="inlineStr">
        <is>
          <t>Electricity</t>
        </is>
      </c>
      <c r="C152" s="19" t="inlineStr">
        <is>
          <t>ML</t>
        </is>
      </c>
      <c r="D152" s="19" t="inlineStr">
        <is>
          <t>monthly utility pricing</t>
        </is>
      </c>
      <c r="E152" s="19" t="inlineStr">
        <is>
          <t>regulated-price carry-forward where applicable</t>
        </is>
      </c>
      <c r="F152" s="19" t="inlineStr"/>
      <c r="G152" s="5" t="inlineStr">
        <is>
          <t>factsheet/index</t>
        </is>
      </c>
      <c r="H152" s="5" t="inlineStr">
        <is>
          <t>calculation handbook</t>
        </is>
      </c>
      <c r="I152" s="5" t="inlineStr">
        <is>
          <t>CUUR0000SEHF01</t>
        </is>
      </c>
      <c r="J152" s="5" t="inlineStr">
        <is>
          <t>CUSR0000SEHF01</t>
        </is>
      </c>
    </row>
    <row r="153">
      <c r="A153" t="inlineStr">
        <is>
          <t>SEHF02</t>
        </is>
      </c>
      <c r="B153" t="inlineStr">
        <is>
          <t>Utility (piped) gas service</t>
        </is>
      </c>
      <c r="C153" s="19" t="inlineStr">
        <is>
          <t>ML</t>
        </is>
      </c>
      <c r="D153" s="19" t="inlineStr">
        <is>
          <t>monthly utility pricing</t>
        </is>
      </c>
      <c r="E153" s="19" t="inlineStr">
        <is>
          <t>regulated-price carry-forward where applicable</t>
        </is>
      </c>
      <c r="F153" s="19" t="inlineStr"/>
      <c r="G153" s="5" t="inlineStr">
        <is>
          <t>factsheet/index</t>
        </is>
      </c>
      <c r="H153" s="5" t="inlineStr">
        <is>
          <t>calculation handbook</t>
        </is>
      </c>
      <c r="I153" s="5" t="inlineStr">
        <is>
          <t>CUUR0000SEHF02</t>
        </is>
      </c>
      <c r="J153" s="5" t="inlineStr">
        <is>
          <t>CUSR0000SEHF02</t>
        </is>
      </c>
    </row>
    <row r="154">
      <c r="A154" t="inlineStr">
        <is>
          <t>SEHG</t>
        </is>
      </c>
      <c r="B154" t="inlineStr">
        <is>
          <t>Water and sewer and trash collection services</t>
        </is>
      </c>
      <c r="C154" s="19" t="inlineStr">
        <is>
          <t>ML</t>
        </is>
      </c>
      <c r="D154" s="19" t="inlineStr">
        <is>
          <t>monthly/bimonthly government and utility fees</t>
        </is>
      </c>
      <c r="E154" s="19" t="inlineStr">
        <is>
          <t>carry-forward for regulated prices where applicable</t>
        </is>
      </c>
      <c r="F154" s="19" t="inlineStr"/>
      <c r="G154" s="5" t="inlineStr">
        <is>
          <t>factsheet/index</t>
        </is>
      </c>
      <c r="H154" s="5" t="inlineStr">
        <is>
          <t>calculation handbook</t>
        </is>
      </c>
      <c r="I154" s="5" t="inlineStr">
        <is>
          <t>CUUR0000SEHG</t>
        </is>
      </c>
      <c r="J154" s="5" t="inlineStr">
        <is>
          <t>CUSR0000SEHG</t>
        </is>
      </c>
    </row>
    <row r="155">
      <c r="A155" t="inlineStr">
        <is>
          <t>SEHG01</t>
        </is>
      </c>
      <c r="B155" t="inlineStr">
        <is>
          <t>Water and sewerage maintenance</t>
        </is>
      </c>
      <c r="C155" s="19" t="inlineStr">
        <is>
          <t>ML</t>
        </is>
      </c>
      <c r="D155" s="19" t="inlineStr">
        <is>
          <t>monthly/six-panel shelter or housing-service collection</t>
        </is>
      </c>
      <c r="E155" s="19" t="inlineStr">
        <is>
          <t>cell-relative imputation for missing quotes; direct comparison/direct QA as applicable</t>
        </is>
      </c>
      <c r="F155" s="19" t="inlineStr"/>
      <c r="G155" s="5" t="inlineStr">
        <is>
          <t>factsheet/index</t>
        </is>
      </c>
      <c r="H155" s="5" t="inlineStr">
        <is>
          <t>calculation handbook</t>
        </is>
      </c>
      <c r="I155" s="5" t="inlineStr">
        <is>
          <t>CUUR0000SEHG01</t>
        </is>
      </c>
      <c r="J155" s="5" t="inlineStr">
        <is>
          <t>CUSR0000SEHG01</t>
        </is>
      </c>
    </row>
    <row r="156">
      <c r="A156" t="inlineStr">
        <is>
          <t>SEHG02</t>
        </is>
      </c>
      <c r="B156" t="inlineStr">
        <is>
          <t>Garbage and trash collection</t>
        </is>
      </c>
      <c r="C156" s="19" t="inlineStr">
        <is>
          <t>ML</t>
        </is>
      </c>
      <c r="D156" s="19" t="inlineStr">
        <is>
          <t>monthly/six-panel shelter or housing-service collection</t>
        </is>
      </c>
      <c r="E156" s="19" t="inlineStr">
        <is>
          <t>cell-relative imputation for missing quotes; direct comparison/direct QA as applicable</t>
        </is>
      </c>
      <c r="F156" s="19" t="inlineStr"/>
      <c r="G156" s="5" t="inlineStr">
        <is>
          <t>factsheet/index</t>
        </is>
      </c>
      <c r="H156" s="5" t="inlineStr">
        <is>
          <t>calculation handbook</t>
        </is>
      </c>
      <c r="I156" s="5" t="inlineStr">
        <is>
          <t>CUUR0000SEHG02</t>
        </is>
      </c>
      <c r="J156" s="5" t="inlineStr">
        <is>
          <t>CUSR0000SEHG02</t>
        </is>
      </c>
    </row>
    <row r="157">
      <c r="A157" t="inlineStr">
        <is>
          <t>SAH3</t>
        </is>
      </c>
      <c r="B157" t="inlineStr">
        <is>
          <t>Household furnishings and operations</t>
        </is>
      </c>
      <c r="C157" s="19" t="inlineStr">
        <is>
          <t>GM</t>
        </is>
      </c>
      <c r="D157" s="19" t="inlineStr">
        <is>
          <t>bimonthly outside New York/Los Angeles/Chicago</t>
        </is>
      </c>
      <c r="E157" s="19" t="inlineStr">
        <is>
          <t>hedonics for selected appliances; BLS imputation as applicable</t>
        </is>
      </c>
      <c r="F157" s="19" t="inlineStr"/>
      <c r="G157" s="5" t="inlineStr">
        <is>
          <t>factsheet/index</t>
        </is>
      </c>
      <c r="H157" s="5" t="inlineStr">
        <is>
          <t>calculation handbook</t>
        </is>
      </c>
      <c r="I157" s="5" t="inlineStr">
        <is>
          <t>CUUR0000SAH3</t>
        </is>
      </c>
      <c r="J157" s="5" t="inlineStr">
        <is>
          <t>CUSR0000SAH3</t>
        </is>
      </c>
    </row>
    <row r="158">
      <c r="A158" t="inlineStr">
        <is>
          <t>SEHH</t>
        </is>
      </c>
      <c r="B158" t="inlineStr">
        <is>
          <t>Window and floor coverings and other linens</t>
        </is>
      </c>
      <c r="C158" s="19" t="inlineStr">
        <is>
          <t>aggregate</t>
        </is>
      </c>
      <c r="D158" s="19" t="inlineStr">
        <is>
          <t>aggregate</t>
        </is>
      </c>
      <c r="E158" s="19" t="inlineStr">
        <is>
          <t>aggregate of component methods</t>
        </is>
      </c>
      <c r="F158" s="19" t="inlineStr"/>
      <c r="G158" s="5" t="inlineStr">
        <is>
          <t>factsheet/index</t>
        </is>
      </c>
      <c r="H158" s="5" t="inlineStr">
        <is>
          <t>calculation handbook</t>
        </is>
      </c>
      <c r="I158" s="5" t="inlineStr">
        <is>
          <t>CUUR0000SEHH</t>
        </is>
      </c>
      <c r="J158" s="5" t="inlineStr">
        <is>
          <t>CUSR0000SEHH</t>
        </is>
      </c>
    </row>
    <row r="159">
      <c r="A159" t="inlineStr">
        <is>
          <t>SEHH01</t>
        </is>
      </c>
      <c r="B159" t="inlineStr">
        <is>
          <t>Floor coverings</t>
        </is>
      </c>
      <c r="C159" s="19" t="inlineStr">
        <is>
          <t>GM</t>
        </is>
      </c>
      <c r="D159" s="19" t="inlineStr">
        <is>
          <t>monthly in New York/Los Angeles/Chicago; often bimonthly elsewhere</t>
        </is>
      </c>
      <c r="E159" s="19" t="inlineStr">
        <is>
          <t>cell-relative imputation for missing quotes; direct comparison/direct QA as applicable</t>
        </is>
      </c>
      <c r="F159" s="19" t="inlineStr"/>
      <c r="G159" s="5" t="inlineStr">
        <is>
          <t>factsheet/index</t>
        </is>
      </c>
      <c r="H159" s="5" t="inlineStr">
        <is>
          <t>calculation handbook</t>
        </is>
      </c>
      <c r="I159" s="5" t="inlineStr">
        <is>
          <t>CUUR0000SEHH01</t>
        </is>
      </c>
      <c r="J159" t="inlineStr"/>
    </row>
    <row r="160">
      <c r="A160" t="inlineStr">
        <is>
          <t>SEHH02</t>
        </is>
      </c>
      <c r="B160" t="inlineStr">
        <is>
          <t>Window coverings</t>
        </is>
      </c>
      <c r="C160" s="19" t="inlineStr">
        <is>
          <t>GM</t>
        </is>
      </c>
      <c r="D160" s="19" t="inlineStr">
        <is>
          <t>monthly in New York/Los Angeles/Chicago; often bimonthly elsewhere</t>
        </is>
      </c>
      <c r="E160" s="19" t="inlineStr">
        <is>
          <t>cell-relative imputation for missing quotes; direct comparison/direct QA as applicable</t>
        </is>
      </c>
      <c r="F160" s="19" t="inlineStr"/>
      <c r="G160" s="5" t="inlineStr">
        <is>
          <t>factsheet/index</t>
        </is>
      </c>
      <c r="H160" s="5" t="inlineStr">
        <is>
          <t>calculation handbook</t>
        </is>
      </c>
      <c r="I160" s="5" t="inlineStr">
        <is>
          <t>CUUR0000SEHH02</t>
        </is>
      </c>
      <c r="J160" s="5" t="inlineStr">
        <is>
          <t>CUSR0000SEHH02</t>
        </is>
      </c>
    </row>
    <row r="161">
      <c r="A161" t="inlineStr">
        <is>
          <t>SEHH03</t>
        </is>
      </c>
      <c r="B161" t="inlineStr">
        <is>
          <t>Other linens</t>
        </is>
      </c>
      <c r="C161" s="19" t="inlineStr">
        <is>
          <t>GM</t>
        </is>
      </c>
      <c r="D161" s="19" t="inlineStr">
        <is>
          <t>monthly in New York/Los Angeles/Chicago; often bimonthly elsewhere</t>
        </is>
      </c>
      <c r="E161" s="19" t="inlineStr">
        <is>
          <t>cell-relative imputation for missing quotes; direct comparison/direct QA as applicable</t>
        </is>
      </c>
      <c r="F161" s="19" t="inlineStr"/>
      <c r="G161" s="5" t="inlineStr">
        <is>
          <t>factsheet/index</t>
        </is>
      </c>
      <c r="H161" s="5" t="inlineStr">
        <is>
          <t>calculation handbook</t>
        </is>
      </c>
      <c r="I161" s="5" t="inlineStr">
        <is>
          <t>CUUR0000SEHH03</t>
        </is>
      </c>
      <c r="J161" s="5" t="inlineStr">
        <is>
          <t>CUSR0000SEHH03</t>
        </is>
      </c>
    </row>
    <row r="162">
      <c r="A162" t="inlineStr">
        <is>
          <t>SEHJ</t>
        </is>
      </c>
      <c r="B162" t="inlineStr">
        <is>
          <t>Furniture and bedding</t>
        </is>
      </c>
      <c r="C162" s="19" t="inlineStr">
        <is>
          <t>aggregate</t>
        </is>
      </c>
      <c r="D162" s="19" t="inlineStr">
        <is>
          <t>aggregate</t>
        </is>
      </c>
      <c r="E162" s="19" t="inlineStr">
        <is>
          <t>aggregate of component methods</t>
        </is>
      </c>
      <c r="F162" s="19" t="inlineStr"/>
      <c r="G162" s="5" t="inlineStr">
        <is>
          <t>factsheet/index</t>
        </is>
      </c>
      <c r="H162" s="5" t="inlineStr">
        <is>
          <t>calculation handbook</t>
        </is>
      </c>
      <c r="I162" s="5" t="inlineStr">
        <is>
          <t>CUUR0000SEHJ</t>
        </is>
      </c>
      <c r="J162" s="5" t="inlineStr">
        <is>
          <t>CUSR0000SEHJ</t>
        </is>
      </c>
    </row>
    <row r="163">
      <c r="A163" t="inlineStr">
        <is>
          <t>SEHJ01</t>
        </is>
      </c>
      <c r="B163" t="inlineStr">
        <is>
          <t>Bedroom furniture</t>
        </is>
      </c>
      <c r="C163" s="19" t="inlineStr">
        <is>
          <t>GM</t>
        </is>
      </c>
      <c r="D163" s="19" t="inlineStr">
        <is>
          <t>monthly in New York/Los Angeles/Chicago; often bimonthly elsewhere</t>
        </is>
      </c>
      <c r="E163" s="19" t="inlineStr">
        <is>
          <t>cell-relative imputation for missing quotes; direct comparison/direct QA as applicable</t>
        </is>
      </c>
      <c r="F163" s="19" t="inlineStr"/>
      <c r="G163" s="5" t="inlineStr">
        <is>
          <t>factsheet/index</t>
        </is>
      </c>
      <c r="H163" s="5" t="inlineStr">
        <is>
          <t>calculation handbook</t>
        </is>
      </c>
      <c r="I163" s="5" t="inlineStr">
        <is>
          <t>CUUR0000SEHJ01</t>
        </is>
      </c>
      <c r="J163" t="inlineStr"/>
    </row>
    <row r="164">
      <c r="A164" t="inlineStr">
        <is>
          <t>SEHJ02</t>
        </is>
      </c>
      <c r="B164" t="inlineStr">
        <is>
          <t>Living room, kitchen, and dining room furniture</t>
        </is>
      </c>
      <c r="C164" s="19" t="inlineStr">
        <is>
          <t>GM</t>
        </is>
      </c>
      <c r="D164" s="19" t="inlineStr">
        <is>
          <t>monthly in New York/Los Angeles/Chicago; often bimonthly elsewhere</t>
        </is>
      </c>
      <c r="E164" s="19" t="inlineStr">
        <is>
          <t>cell-relative imputation for missing quotes; direct comparison/direct QA as applicable</t>
        </is>
      </c>
      <c r="F164" s="19" t="inlineStr"/>
      <c r="G164" s="5" t="inlineStr">
        <is>
          <t>factsheet/index</t>
        </is>
      </c>
      <c r="H164" s="5" t="inlineStr">
        <is>
          <t>calculation handbook</t>
        </is>
      </c>
      <c r="I164" s="5" t="inlineStr">
        <is>
          <t>CUUR0000SEHJ02</t>
        </is>
      </c>
      <c r="J164" t="inlineStr"/>
    </row>
    <row r="165">
      <c r="A165" t="inlineStr">
        <is>
          <t>SEHJ03</t>
        </is>
      </c>
      <c r="B165" t="inlineStr">
        <is>
          <t>Other furniture</t>
        </is>
      </c>
      <c r="C165" s="19" t="inlineStr">
        <is>
          <t>GM</t>
        </is>
      </c>
      <c r="D165" s="19" t="inlineStr">
        <is>
          <t>monthly in New York/Los Angeles/Chicago; often bimonthly elsewhere</t>
        </is>
      </c>
      <c r="E165" s="19" t="inlineStr">
        <is>
          <t>cell-relative imputation for missing quotes; direct comparison/direct QA as applicable</t>
        </is>
      </c>
      <c r="F165" s="19" t="inlineStr"/>
      <c r="G165" s="5" t="inlineStr">
        <is>
          <t>factsheet/index</t>
        </is>
      </c>
      <c r="H165" s="5" t="inlineStr">
        <is>
          <t>calculation handbook</t>
        </is>
      </c>
      <c r="I165" s="5" t="inlineStr">
        <is>
          <t>CUUR0000SEHJ03</t>
        </is>
      </c>
      <c r="J165" s="5" t="inlineStr">
        <is>
          <t>CUSR0000SEHJ03</t>
        </is>
      </c>
    </row>
    <row r="166">
      <c r="A166" t="inlineStr">
        <is>
          <t>SSHJ031</t>
        </is>
      </c>
      <c r="B166" t="inlineStr">
        <is>
          <t>Infants' furniture</t>
        </is>
      </c>
      <c r="C166" s="19" t="inlineStr">
        <is>
          <t>GM</t>
        </is>
      </c>
      <c r="D166" s="19" t="inlineStr">
        <is>
          <t>monthly in New York/Los Angeles/Chicago; often bimonthly elsewhere</t>
        </is>
      </c>
      <c r="E166" s="19" t="inlineStr">
        <is>
          <t>cell-relative imputation for missing quotes; direct comparison/direct QA as applicable</t>
        </is>
      </c>
      <c r="F166" s="19" t="inlineStr"/>
      <c r="G166" s="5" t="inlineStr">
        <is>
          <t>factsheet/index</t>
        </is>
      </c>
      <c r="H166" s="5" t="inlineStr">
        <is>
          <t>calculation handbook</t>
        </is>
      </c>
      <c r="I166" s="5" t="inlineStr">
        <is>
          <t>CUUR0000SSHJ031</t>
        </is>
      </c>
      <c r="J166" t="inlineStr"/>
    </row>
    <row r="167">
      <c r="A167" t="inlineStr">
        <is>
          <t>SEHK</t>
        </is>
      </c>
      <c r="B167" t="inlineStr">
        <is>
          <t>Appliances</t>
        </is>
      </c>
      <c r="C167" s="19" t="inlineStr">
        <is>
          <t>aggregate</t>
        </is>
      </c>
      <c r="D167" s="19" t="inlineStr">
        <is>
          <t>aggregate</t>
        </is>
      </c>
      <c r="E167" s="19" t="inlineStr">
        <is>
          <t>aggregate of component methods</t>
        </is>
      </c>
      <c r="F167" s="19" t="inlineStr"/>
      <c r="G167" s="5" t="inlineStr">
        <is>
          <t>factsheet/index</t>
        </is>
      </c>
      <c r="H167" s="5" t="inlineStr">
        <is>
          <t>calculation handbook</t>
        </is>
      </c>
      <c r="I167" s="5" t="inlineStr">
        <is>
          <t>CUUR0000SEHK</t>
        </is>
      </c>
      <c r="J167" s="5" t="inlineStr">
        <is>
          <t>CUSR0000SEHK</t>
        </is>
      </c>
    </row>
    <row r="168">
      <c r="A168" t="inlineStr">
        <is>
          <t>SEHK01</t>
        </is>
      </c>
      <c r="B168" t="inlineStr">
        <is>
          <t>Major appliances</t>
        </is>
      </c>
      <c r="C168" s="19" t="inlineStr">
        <is>
          <t>aggregate</t>
        </is>
      </c>
      <c r="D168" s="19" t="inlineStr">
        <is>
          <t>aggregate</t>
        </is>
      </c>
      <c r="E168" s="19" t="inlineStr">
        <is>
          <t>aggregate of component methods</t>
        </is>
      </c>
      <c r="F168" s="19" t="inlineStr"/>
      <c r="G168" s="5" t="inlineStr">
        <is>
          <t>factsheet/index</t>
        </is>
      </c>
      <c r="H168" s="5" t="inlineStr">
        <is>
          <t>calculation handbook</t>
        </is>
      </c>
      <c r="I168" s="5" t="inlineStr">
        <is>
          <t>CUUR0000SEHK01</t>
        </is>
      </c>
      <c r="J168" s="5" t="inlineStr">
        <is>
          <t>CUSR0000SEHK01</t>
        </is>
      </c>
    </row>
    <row r="169">
      <c r="A169" t="inlineStr">
        <is>
          <t>SS30021</t>
        </is>
      </c>
      <c r="B169" t="inlineStr">
        <is>
          <t>Laundry equipment</t>
        </is>
      </c>
      <c r="C169" s="19" t="inlineStr">
        <is>
          <t>GM</t>
        </is>
      </c>
      <c r="D169" s="19" t="inlineStr">
        <is>
          <t>monthly in New York/Los Angeles/Chicago; often bimonthly elsewhere</t>
        </is>
      </c>
      <c r="E169" s="19" t="inlineStr">
        <is>
          <t>cell-relative imputation for missing quotes; direct comparison/direct QA as applicable</t>
        </is>
      </c>
      <c r="F169" s="19" t="inlineStr"/>
      <c r="G169" s="5" t="inlineStr">
        <is>
          <t>factsheet/index</t>
        </is>
      </c>
      <c r="H169" s="5" t="inlineStr">
        <is>
          <t>calculation handbook</t>
        </is>
      </c>
      <c r="I169" s="5" t="inlineStr">
        <is>
          <t>CUUR0000SS30021</t>
        </is>
      </c>
      <c r="J169" s="5" t="inlineStr">
        <is>
          <t>CUSR0000SS30021</t>
        </is>
      </c>
    </row>
    <row r="170">
      <c r="A170" t="inlineStr">
        <is>
          <t>SEHK02</t>
        </is>
      </c>
      <c r="B170" t="inlineStr">
        <is>
          <t>Other appliances</t>
        </is>
      </c>
      <c r="C170" s="19" t="inlineStr">
        <is>
          <t>GM</t>
        </is>
      </c>
      <c r="D170" s="19" t="inlineStr">
        <is>
          <t>monthly in New York/Los Angeles/Chicago; often bimonthly elsewhere</t>
        </is>
      </c>
      <c r="E170" s="19" t="inlineStr">
        <is>
          <t>cell-relative imputation for missing quotes; direct comparison/direct QA as applicable</t>
        </is>
      </c>
      <c r="F170" s="19" t="inlineStr"/>
      <c r="G170" s="5" t="inlineStr">
        <is>
          <t>factsheet/index</t>
        </is>
      </c>
      <c r="H170" s="5" t="inlineStr">
        <is>
          <t>calculation handbook</t>
        </is>
      </c>
      <c r="I170" s="5" t="inlineStr">
        <is>
          <t>CUUR0000SEHK02</t>
        </is>
      </c>
      <c r="J170" s="5" t="inlineStr">
        <is>
          <t>CUSR0000SEHK02</t>
        </is>
      </c>
    </row>
    <row r="171">
      <c r="A171" t="inlineStr">
        <is>
          <t>SEHL</t>
        </is>
      </c>
      <c r="B171" t="inlineStr">
        <is>
          <t>Other household equipment and furnishings</t>
        </is>
      </c>
      <c r="C171" s="19" t="inlineStr">
        <is>
          <t>aggregate</t>
        </is>
      </c>
      <c r="D171" s="19" t="inlineStr">
        <is>
          <t>aggregate</t>
        </is>
      </c>
      <c r="E171" s="19" t="inlineStr">
        <is>
          <t>aggregate of component methods</t>
        </is>
      </c>
      <c r="F171" s="19" t="inlineStr"/>
      <c r="G171" s="5" t="inlineStr">
        <is>
          <t>factsheet/index</t>
        </is>
      </c>
      <c r="H171" s="5" t="inlineStr">
        <is>
          <t>calculation handbook</t>
        </is>
      </c>
      <c r="I171" s="5" t="inlineStr">
        <is>
          <t>CUUR0000SEHL</t>
        </is>
      </c>
      <c r="J171" s="5" t="inlineStr">
        <is>
          <t>CUSR0000SEHL</t>
        </is>
      </c>
    </row>
    <row r="172">
      <c r="A172" t="inlineStr">
        <is>
          <t>SEHL01</t>
        </is>
      </c>
      <c r="B172" t="inlineStr">
        <is>
          <t>Clocks, lamps, and decorator items</t>
        </is>
      </c>
      <c r="C172" s="19" t="inlineStr">
        <is>
          <t>GM</t>
        </is>
      </c>
      <c r="D172" s="19" t="inlineStr">
        <is>
          <t>monthly in New York/Los Angeles/Chicago; often bimonthly elsewhere</t>
        </is>
      </c>
      <c r="E172" s="19" t="inlineStr">
        <is>
          <t>cell-relative imputation for missing quotes; direct comparison/direct QA as applicable</t>
        </is>
      </c>
      <c r="F172" s="19" t="inlineStr"/>
      <c r="G172" s="5" t="inlineStr">
        <is>
          <t>factsheet/index</t>
        </is>
      </c>
      <c r="H172" s="5" t="inlineStr">
        <is>
          <t>calculation handbook</t>
        </is>
      </c>
      <c r="I172" s="5" t="inlineStr">
        <is>
          <t>CUUR0000SEHL01</t>
        </is>
      </c>
      <c r="J172" t="inlineStr"/>
    </row>
    <row r="173">
      <c r="A173" t="inlineStr">
        <is>
          <t>SEHL02</t>
        </is>
      </c>
      <c r="B173" t="inlineStr">
        <is>
          <t>Indoor plants and flowers</t>
        </is>
      </c>
      <c r="C173" s="19" t="inlineStr">
        <is>
          <t>GM</t>
        </is>
      </c>
      <c r="D173" s="19" t="inlineStr">
        <is>
          <t>monthly in New York/Los Angeles/Chicago; often bimonthly elsewhere</t>
        </is>
      </c>
      <c r="E173" s="19" t="inlineStr">
        <is>
          <t>cell-relative imputation for missing quotes; direct comparison/direct QA as applicable</t>
        </is>
      </c>
      <c r="F173" s="19" t="inlineStr"/>
      <c r="G173" s="5" t="inlineStr">
        <is>
          <t>factsheet/index</t>
        </is>
      </c>
      <c r="H173" s="5" t="inlineStr">
        <is>
          <t>calculation handbook</t>
        </is>
      </c>
      <c r="I173" s="5" t="inlineStr">
        <is>
          <t>CUUR0000SEHL02</t>
        </is>
      </c>
      <c r="J173" s="5" t="inlineStr">
        <is>
          <t>CUSR0000SEHL02</t>
        </is>
      </c>
    </row>
    <row r="174">
      <c r="A174" t="inlineStr">
        <is>
          <t>SEHL03</t>
        </is>
      </c>
      <c r="B174" t="inlineStr">
        <is>
          <t>Dishes and flatware</t>
        </is>
      </c>
      <c r="C174" s="19" t="inlineStr">
        <is>
          <t>GM</t>
        </is>
      </c>
      <c r="D174" s="19" t="inlineStr">
        <is>
          <t>monthly in New York/Los Angeles/Chicago; often bimonthly elsewhere</t>
        </is>
      </c>
      <c r="E174" s="19" t="inlineStr">
        <is>
          <t>cell-relative imputation for missing quotes; direct comparison/direct QA as applicable</t>
        </is>
      </c>
      <c r="F174" s="19" t="inlineStr"/>
      <c r="G174" s="5" t="inlineStr">
        <is>
          <t>factsheet/index</t>
        </is>
      </c>
      <c r="H174" s="5" t="inlineStr">
        <is>
          <t>calculation handbook</t>
        </is>
      </c>
      <c r="I174" s="5" t="inlineStr">
        <is>
          <t>CUUR0000SEHL03</t>
        </is>
      </c>
      <c r="J174" t="inlineStr"/>
    </row>
    <row r="175">
      <c r="A175" t="inlineStr">
        <is>
          <t>SEHL04</t>
        </is>
      </c>
      <c r="B175" t="inlineStr">
        <is>
          <t>Nonelectric cookware and tableware</t>
        </is>
      </c>
      <c r="C175" s="19" t="inlineStr">
        <is>
          <t>GM</t>
        </is>
      </c>
      <c r="D175" s="19" t="inlineStr">
        <is>
          <t>monthly in New York/Los Angeles/Chicago; often bimonthly elsewhere</t>
        </is>
      </c>
      <c r="E175" s="19" t="inlineStr">
        <is>
          <t>cell-relative imputation for missing quotes; direct comparison/direct QA as applicable</t>
        </is>
      </c>
      <c r="F175" s="19" t="inlineStr"/>
      <c r="G175" s="5" t="inlineStr">
        <is>
          <t>factsheet/index</t>
        </is>
      </c>
      <c r="H175" s="5" t="inlineStr">
        <is>
          <t>calculation handbook</t>
        </is>
      </c>
      <c r="I175" s="5" t="inlineStr">
        <is>
          <t>CUUR0000SEHL04</t>
        </is>
      </c>
      <c r="J175" s="5" t="inlineStr">
        <is>
          <t>CUSR0000SEHL04</t>
        </is>
      </c>
    </row>
    <row r="176">
      <c r="A176" t="inlineStr">
        <is>
          <t>SEHM</t>
        </is>
      </c>
      <c r="B176" t="inlineStr">
        <is>
          <t>Tools, hardware, outdoor equipment and supplies</t>
        </is>
      </c>
      <c r="C176" s="19" t="inlineStr">
        <is>
          <t>aggregate</t>
        </is>
      </c>
      <c r="D176" s="19" t="inlineStr">
        <is>
          <t>aggregate</t>
        </is>
      </c>
      <c r="E176" s="19" t="inlineStr">
        <is>
          <t>aggregate of component methods</t>
        </is>
      </c>
      <c r="F176" s="19" t="inlineStr"/>
      <c r="G176" s="5" t="inlineStr">
        <is>
          <t>factsheet/index</t>
        </is>
      </c>
      <c r="H176" s="5" t="inlineStr">
        <is>
          <t>calculation handbook</t>
        </is>
      </c>
      <c r="I176" s="5" t="inlineStr">
        <is>
          <t>CUUR0000SEHM</t>
        </is>
      </c>
      <c r="J176" s="5" t="inlineStr">
        <is>
          <t>CUSR0000SEHM</t>
        </is>
      </c>
    </row>
    <row r="177">
      <c r="A177" t="inlineStr">
        <is>
          <t>SEHM01</t>
        </is>
      </c>
      <c r="B177" t="inlineStr">
        <is>
          <t>Tools, hardware and supplies</t>
        </is>
      </c>
      <c r="C177" s="19" t="inlineStr">
        <is>
          <t>GM</t>
        </is>
      </c>
      <c r="D177" s="19" t="inlineStr">
        <is>
          <t>monthly in New York/Los Angeles/Chicago; often bimonthly elsewhere</t>
        </is>
      </c>
      <c r="E177" s="19" t="inlineStr">
        <is>
          <t>cell-relative imputation for missing quotes; direct comparison/direct QA as applicable</t>
        </is>
      </c>
      <c r="F177" s="19" t="inlineStr"/>
      <c r="G177" s="5" t="inlineStr">
        <is>
          <t>factsheet/index</t>
        </is>
      </c>
      <c r="H177" s="5" t="inlineStr">
        <is>
          <t>calculation handbook</t>
        </is>
      </c>
      <c r="I177" s="5" t="inlineStr">
        <is>
          <t>CUUR0000SEHM01</t>
        </is>
      </c>
      <c r="J177" s="5" t="inlineStr">
        <is>
          <t>CUSR0000SEHM01</t>
        </is>
      </c>
    </row>
    <row r="178">
      <c r="A178" t="inlineStr">
        <is>
          <t>SEHM02</t>
        </is>
      </c>
      <c r="B178" t="inlineStr">
        <is>
          <t>Outdoor equipment and supplies</t>
        </is>
      </c>
      <c r="C178" s="19" t="inlineStr">
        <is>
          <t>GM</t>
        </is>
      </c>
      <c r="D178" s="19" t="inlineStr">
        <is>
          <t>monthly in New York/Los Angeles/Chicago; often bimonthly elsewhere</t>
        </is>
      </c>
      <c r="E178" s="19" t="inlineStr">
        <is>
          <t>cell-relative imputation for missing quotes; direct comparison/direct QA as applicable</t>
        </is>
      </c>
      <c r="F178" s="19" t="inlineStr"/>
      <c r="G178" s="5" t="inlineStr">
        <is>
          <t>factsheet/index</t>
        </is>
      </c>
      <c r="H178" s="5" t="inlineStr">
        <is>
          <t>calculation handbook</t>
        </is>
      </c>
      <c r="I178" s="5" t="inlineStr">
        <is>
          <t>CUUR0000SEHM02</t>
        </is>
      </c>
      <c r="J178" s="5" t="inlineStr">
        <is>
          <t>CUSR0000SEHM02</t>
        </is>
      </c>
    </row>
    <row r="179">
      <c r="A179" t="inlineStr">
        <is>
          <t>SEHN</t>
        </is>
      </c>
      <c r="B179" t="inlineStr">
        <is>
          <t>Housekeeping supplies</t>
        </is>
      </c>
      <c r="C179" s="19" t="inlineStr">
        <is>
          <t>aggregate</t>
        </is>
      </c>
      <c r="D179" s="19" t="inlineStr">
        <is>
          <t>aggregate</t>
        </is>
      </c>
      <c r="E179" s="19" t="inlineStr">
        <is>
          <t>aggregate of component methods</t>
        </is>
      </c>
      <c r="F179" s="19" t="inlineStr"/>
      <c r="G179" s="5" t="inlineStr">
        <is>
          <t>factsheet/index</t>
        </is>
      </c>
      <c r="H179" s="5" t="inlineStr">
        <is>
          <t>calculation handbook</t>
        </is>
      </c>
      <c r="I179" s="5" t="inlineStr">
        <is>
          <t>CUUR0000SEHN</t>
        </is>
      </c>
      <c r="J179" s="5" t="inlineStr">
        <is>
          <t>CUSR0000SEHN</t>
        </is>
      </c>
    </row>
    <row r="180">
      <c r="A180" t="inlineStr">
        <is>
          <t>SEHN01</t>
        </is>
      </c>
      <c r="B180" t="inlineStr">
        <is>
          <t>Household cleaning products</t>
        </is>
      </c>
      <c r="C180" s="19" t="inlineStr">
        <is>
          <t>GM</t>
        </is>
      </c>
      <c r="D180" s="19" t="inlineStr">
        <is>
          <t>monthly in New York/Los Angeles/Chicago; often bimonthly elsewhere</t>
        </is>
      </c>
      <c r="E180" s="19" t="inlineStr">
        <is>
          <t>cell-relative imputation for missing quotes; direct comparison/direct QA as applicable</t>
        </is>
      </c>
      <c r="F180" s="19" t="inlineStr"/>
      <c r="G180" s="5" t="inlineStr">
        <is>
          <t>factsheet/index</t>
        </is>
      </c>
      <c r="H180" s="5" t="inlineStr">
        <is>
          <t>calculation handbook</t>
        </is>
      </c>
      <c r="I180" s="5" t="inlineStr">
        <is>
          <t>CUUR0000SEHN01</t>
        </is>
      </c>
      <c r="J180" s="5" t="inlineStr">
        <is>
          <t>CUSR0000SEHN01</t>
        </is>
      </c>
    </row>
    <row r="181">
      <c r="A181" t="inlineStr">
        <is>
          <t>SEHN02</t>
        </is>
      </c>
      <c r="B181" t="inlineStr">
        <is>
          <t>Household paper products</t>
        </is>
      </c>
      <c r="C181" s="19" t="inlineStr">
        <is>
          <t>GM</t>
        </is>
      </c>
      <c r="D181" s="19" t="inlineStr">
        <is>
          <t>monthly in New York/Los Angeles/Chicago; often bimonthly elsewhere</t>
        </is>
      </c>
      <c r="E181" s="19" t="inlineStr">
        <is>
          <t>cell-relative imputation for missing quotes; direct comparison/direct QA as applicable</t>
        </is>
      </c>
      <c r="F181" s="19" t="inlineStr"/>
      <c r="G181" s="5" t="inlineStr">
        <is>
          <t>factsheet/index</t>
        </is>
      </c>
      <c r="H181" s="5" t="inlineStr">
        <is>
          <t>calculation handbook</t>
        </is>
      </c>
      <c r="I181" s="5" t="inlineStr">
        <is>
          <t>CUUR0000SEHN02</t>
        </is>
      </c>
      <c r="J181" t="inlineStr"/>
    </row>
    <row r="182">
      <c r="A182" t="inlineStr">
        <is>
          <t>SEHN03</t>
        </is>
      </c>
      <c r="B182" t="inlineStr">
        <is>
          <t>Miscellaneous household products</t>
        </is>
      </c>
      <c r="C182" s="19" t="inlineStr">
        <is>
          <t>GM</t>
        </is>
      </c>
      <c r="D182" s="19" t="inlineStr">
        <is>
          <t>monthly in New York/Los Angeles/Chicago; often bimonthly elsewhere</t>
        </is>
      </c>
      <c r="E182" s="19" t="inlineStr">
        <is>
          <t>cell-relative imputation for missing quotes; direct comparison/direct QA as applicable</t>
        </is>
      </c>
      <c r="F182" s="19" t="inlineStr"/>
      <c r="G182" s="5" t="inlineStr">
        <is>
          <t>factsheet/index</t>
        </is>
      </c>
      <c r="H182" s="5" t="inlineStr">
        <is>
          <t>calculation handbook</t>
        </is>
      </c>
      <c r="I182" s="5" t="inlineStr">
        <is>
          <t>CUUR0000SEHN03</t>
        </is>
      </c>
      <c r="J182" s="5" t="inlineStr">
        <is>
          <t>CUSR0000SEHN03</t>
        </is>
      </c>
    </row>
    <row r="183">
      <c r="A183" t="inlineStr">
        <is>
          <t>SEHP</t>
        </is>
      </c>
      <c r="B183" t="inlineStr">
        <is>
          <t>Household operations</t>
        </is>
      </c>
      <c r="C183" s="19" t="inlineStr">
        <is>
          <t>aggregate</t>
        </is>
      </c>
      <c r="D183" s="19" t="inlineStr">
        <is>
          <t>aggregate</t>
        </is>
      </c>
      <c r="E183" s="19" t="inlineStr">
        <is>
          <t>aggregate of component methods</t>
        </is>
      </c>
      <c r="F183" s="19" t="inlineStr"/>
      <c r="G183" s="5" t="inlineStr">
        <is>
          <t>factsheet/index</t>
        </is>
      </c>
      <c r="H183" s="5" t="inlineStr">
        <is>
          <t>calculation handbook</t>
        </is>
      </c>
      <c r="I183" s="5" t="inlineStr">
        <is>
          <t>CUUR0000SEHP</t>
        </is>
      </c>
      <c r="J183" t="inlineStr"/>
    </row>
    <row r="184">
      <c r="A184" t="inlineStr">
        <is>
          <t>SEHP01</t>
        </is>
      </c>
      <c r="B184" t="inlineStr">
        <is>
          <t>Domestic services</t>
        </is>
      </c>
      <c r="C184" s="19" t="inlineStr">
        <is>
          <t>GM</t>
        </is>
      </c>
      <c r="D184" s="19" t="inlineStr">
        <is>
          <t>monthly in New York/Los Angeles/Chicago; often bimonthly elsewhere</t>
        </is>
      </c>
      <c r="E184" s="19" t="inlineStr">
        <is>
          <t>cell-relative imputation for missing quotes; direct comparison/direct QA as applicable</t>
        </is>
      </c>
      <c r="F184" s="19" t="inlineStr"/>
      <c r="G184" s="5" t="inlineStr">
        <is>
          <t>factsheet/index</t>
        </is>
      </c>
      <c r="H184" s="5" t="inlineStr">
        <is>
          <t>calculation handbook</t>
        </is>
      </c>
      <c r="I184" s="5" t="inlineStr">
        <is>
          <t>CUUR0000SEHP01</t>
        </is>
      </c>
      <c r="J184" t="inlineStr"/>
    </row>
    <row r="185">
      <c r="A185" t="inlineStr">
        <is>
          <t>SEHP02</t>
        </is>
      </c>
      <c r="B185" t="inlineStr">
        <is>
          <t>Gardening and lawncare services</t>
        </is>
      </c>
      <c r="C185" s="19" t="inlineStr">
        <is>
          <t>GM</t>
        </is>
      </c>
      <c r="D185" s="19" t="inlineStr">
        <is>
          <t>monthly in New York/Los Angeles/Chicago; often bimonthly elsewhere</t>
        </is>
      </c>
      <c r="E185" s="19" t="inlineStr">
        <is>
          <t>cell-relative imputation for missing quotes; direct comparison/direct QA as applicable</t>
        </is>
      </c>
      <c r="F185" s="19" t="inlineStr"/>
      <c r="G185" s="5" t="inlineStr">
        <is>
          <t>factsheet/index</t>
        </is>
      </c>
      <c r="H185" s="5" t="inlineStr">
        <is>
          <t>calculation handbook</t>
        </is>
      </c>
      <c r="I185" s="5" t="inlineStr">
        <is>
          <t>CUUR0000SEHP02</t>
        </is>
      </c>
      <c r="J185" t="inlineStr"/>
    </row>
    <row r="186">
      <c r="A186" t="inlineStr">
        <is>
          <t>SEHP03</t>
        </is>
      </c>
      <c r="B186" t="inlineStr">
        <is>
          <t>Moving, storage, freight expense</t>
        </is>
      </c>
      <c r="C186" s="19" t="inlineStr">
        <is>
          <t>GM</t>
        </is>
      </c>
      <c r="D186" s="19" t="inlineStr">
        <is>
          <t>monthly in New York/Los Angeles/Chicago; often bimonthly elsewhere</t>
        </is>
      </c>
      <c r="E186" s="19" t="inlineStr">
        <is>
          <t>cell-relative imputation for missing quotes; direct comparison/direct QA as applicable</t>
        </is>
      </c>
      <c r="F186" s="19" t="inlineStr"/>
      <c r="G186" s="5" t="inlineStr">
        <is>
          <t>factsheet/index</t>
        </is>
      </c>
      <c r="H186" s="5" t="inlineStr">
        <is>
          <t>calculation handbook</t>
        </is>
      </c>
      <c r="I186" s="5" t="inlineStr">
        <is>
          <t>CUUR0000SEHP03</t>
        </is>
      </c>
      <c r="J186" s="5" t="inlineStr">
        <is>
          <t>CUSR0000SEHP03</t>
        </is>
      </c>
    </row>
    <row r="187">
      <c r="A187" t="inlineStr">
        <is>
          <t>SEHP04</t>
        </is>
      </c>
      <c r="B187" t="inlineStr">
        <is>
          <t>Repair of household items</t>
        </is>
      </c>
      <c r="C187" s="19" t="inlineStr">
        <is>
          <t>GM</t>
        </is>
      </c>
      <c r="D187" s="19" t="inlineStr">
        <is>
          <t>monthly in New York/Los Angeles/Chicago; often bimonthly elsewhere</t>
        </is>
      </c>
      <c r="E187" s="19" t="inlineStr">
        <is>
          <t>cell-relative imputation for missing quotes; direct comparison/direct QA as applicable</t>
        </is>
      </c>
      <c r="F187" s="19" t="inlineStr"/>
      <c r="G187" s="5" t="inlineStr">
        <is>
          <t>factsheet/index</t>
        </is>
      </c>
      <c r="H187" s="5" t="inlineStr">
        <is>
          <t>calculation handbook</t>
        </is>
      </c>
      <c r="I187" s="5" t="inlineStr">
        <is>
          <t>CUUR0000SEHP04</t>
        </is>
      </c>
      <c r="J187" t="inlineStr"/>
    </row>
    <row r="188">
      <c r="A188" t="inlineStr">
        <is>
          <t>SAA</t>
        </is>
      </c>
      <c r="B188" t="inlineStr">
        <is>
          <t>Apparel</t>
        </is>
      </c>
      <c r="C188" s="19" t="inlineStr">
        <is>
          <t>GM</t>
        </is>
      </c>
      <c r="D188" s="19" t="inlineStr">
        <is>
          <t>bimonthly outside New York/Los Angeles/Chicago</t>
        </is>
      </c>
      <c r="E188" s="19" t="inlineStr">
        <is>
          <t>hedonics and class-mean imputation; seasonal-item pricing rules</t>
        </is>
      </c>
      <c r="F188" s="19" t="inlineStr"/>
      <c r="G188" s="5" t="inlineStr">
        <is>
          <t>factsheet/index</t>
        </is>
      </c>
      <c r="H188" s="5" t="inlineStr">
        <is>
          <t>calculation handbook</t>
        </is>
      </c>
      <c r="I188" s="5" t="inlineStr">
        <is>
          <t>CUUR0000SAA</t>
        </is>
      </c>
      <c r="J188" s="5" t="inlineStr">
        <is>
          <t>CUSR0000SAA</t>
        </is>
      </c>
    </row>
    <row r="189">
      <c r="A189" t="inlineStr">
        <is>
          <t>SAA1</t>
        </is>
      </c>
      <c r="B189" t="inlineStr">
        <is>
          <t>Men's and boys' apparel</t>
        </is>
      </c>
      <c r="C189" s="19" t="inlineStr">
        <is>
          <t>aggregate</t>
        </is>
      </c>
      <c r="D189" s="19" t="inlineStr">
        <is>
          <t>aggregate</t>
        </is>
      </c>
      <c r="E189" s="19" t="inlineStr">
        <is>
          <t>aggregate of component methods</t>
        </is>
      </c>
      <c r="F189" s="19" t="inlineStr"/>
      <c r="G189" s="5" t="inlineStr">
        <is>
          <t>factsheet/index</t>
        </is>
      </c>
      <c r="H189" s="5" t="inlineStr">
        <is>
          <t>calculation handbook</t>
        </is>
      </c>
      <c r="I189" s="5" t="inlineStr">
        <is>
          <t>CUUR0000SAA1</t>
        </is>
      </c>
      <c r="J189" s="5" t="inlineStr">
        <is>
          <t>CUSR0000SAA1</t>
        </is>
      </c>
    </row>
    <row r="190">
      <c r="A190" t="inlineStr">
        <is>
          <t>SEAA</t>
        </is>
      </c>
      <c r="B190" t="inlineStr">
        <is>
          <t>Men's apparel</t>
        </is>
      </c>
      <c r="C190" s="19" t="inlineStr">
        <is>
          <t>aggregate</t>
        </is>
      </c>
      <c r="D190" s="19" t="inlineStr">
        <is>
          <t>aggregate</t>
        </is>
      </c>
      <c r="E190" s="19" t="inlineStr">
        <is>
          <t>aggregate of component methods</t>
        </is>
      </c>
      <c r="F190" s="19" t="inlineStr"/>
      <c r="G190" s="5" t="inlineStr">
        <is>
          <t>factsheet/index</t>
        </is>
      </c>
      <c r="H190" s="5" t="inlineStr">
        <is>
          <t>calculation handbook</t>
        </is>
      </c>
      <c r="I190" s="5" t="inlineStr">
        <is>
          <t>CUUR0000SEAA</t>
        </is>
      </c>
      <c r="J190" s="5" t="inlineStr">
        <is>
          <t>CUSR0000SEAA</t>
        </is>
      </c>
    </row>
    <row r="191">
      <c r="A191" t="inlineStr">
        <is>
          <t>SEAA01</t>
        </is>
      </c>
      <c r="B191" t="inlineStr">
        <is>
          <t>Men's suits, sport coats, and outerwear</t>
        </is>
      </c>
      <c r="C191" s="19" t="inlineStr">
        <is>
          <t>GM</t>
        </is>
      </c>
      <c r="D191" s="19" t="inlineStr">
        <is>
          <t>monthly in New York/Los Angeles/Chicago; often bimonthly elsewhere</t>
        </is>
      </c>
      <c r="E191" s="19" t="inlineStr">
        <is>
          <t>hedonics/class-mean imputation; seasonal-item rules where applicable</t>
        </is>
      </c>
      <c r="F191" s="19" t="inlineStr"/>
      <c r="G191" s="5" t="inlineStr">
        <is>
          <t>factsheet/index</t>
        </is>
      </c>
      <c r="H191" s="5" t="inlineStr">
        <is>
          <t>calculation handbook</t>
        </is>
      </c>
      <c r="I191" s="5" t="inlineStr">
        <is>
          <t>CUUR0000SEAA01</t>
        </is>
      </c>
      <c r="J191" s="5" t="inlineStr">
        <is>
          <t>CUSR0000SEAA01</t>
        </is>
      </c>
    </row>
    <row r="192">
      <c r="A192" t="inlineStr">
        <is>
          <t>SEAA02</t>
        </is>
      </c>
      <c r="B192" t="inlineStr">
        <is>
          <t>Men's underwear, nightwear, swimwear and accessories</t>
        </is>
      </c>
      <c r="C192" s="19" t="inlineStr">
        <is>
          <t>GM</t>
        </is>
      </c>
      <c r="D192" s="19" t="inlineStr">
        <is>
          <t>monthly in New York/Los Angeles/Chicago; often bimonthly elsewhere</t>
        </is>
      </c>
      <c r="E192" s="19" t="inlineStr">
        <is>
          <t>hedonics/class-mean imputation; seasonal-item rules where applicable</t>
        </is>
      </c>
      <c r="F192" s="19" t="inlineStr"/>
      <c r="G192" s="5" t="inlineStr">
        <is>
          <t>factsheet/index</t>
        </is>
      </c>
      <c r="H192" s="5" t="inlineStr">
        <is>
          <t>calculation handbook</t>
        </is>
      </c>
      <c r="I192" s="5" t="inlineStr">
        <is>
          <t>CUUR0000SEAA02</t>
        </is>
      </c>
      <c r="J192" s="5" t="inlineStr">
        <is>
          <t>CUSR0000SEAA02</t>
        </is>
      </c>
    </row>
    <row r="193">
      <c r="A193" t="inlineStr">
        <is>
          <t>SEAA03</t>
        </is>
      </c>
      <c r="B193" t="inlineStr">
        <is>
          <t>Men's shirts and sweaters</t>
        </is>
      </c>
      <c r="C193" s="19" t="inlineStr">
        <is>
          <t>GM</t>
        </is>
      </c>
      <c r="D193" s="19" t="inlineStr">
        <is>
          <t>monthly in New York/Los Angeles/Chicago; often bimonthly elsewhere</t>
        </is>
      </c>
      <c r="E193" s="19" t="inlineStr">
        <is>
          <t>hedonics/class-mean imputation; seasonal-item rules where applicable</t>
        </is>
      </c>
      <c r="F193" s="19" t="inlineStr"/>
      <c r="G193" s="5" t="inlineStr">
        <is>
          <t>factsheet/index</t>
        </is>
      </c>
      <c r="H193" s="5" t="inlineStr">
        <is>
          <t>calculation handbook</t>
        </is>
      </c>
      <c r="I193" s="5" t="inlineStr">
        <is>
          <t>CUUR0000SEAA03</t>
        </is>
      </c>
      <c r="J193" s="5" t="inlineStr">
        <is>
          <t>CUSR0000SEAA03</t>
        </is>
      </c>
    </row>
    <row r="194">
      <c r="A194" t="inlineStr">
        <is>
          <t>SEAA04</t>
        </is>
      </c>
      <c r="B194" t="inlineStr">
        <is>
          <t>Men's pants and shorts</t>
        </is>
      </c>
      <c r="C194" s="19" t="inlineStr">
        <is>
          <t>GM</t>
        </is>
      </c>
      <c r="D194" s="19" t="inlineStr">
        <is>
          <t>monthly in New York/Los Angeles/Chicago; often bimonthly elsewhere</t>
        </is>
      </c>
      <c r="E194" s="19" t="inlineStr">
        <is>
          <t>hedonics/class-mean imputation; seasonal-item rules where applicable</t>
        </is>
      </c>
      <c r="F194" s="19" t="inlineStr"/>
      <c r="G194" s="5" t="inlineStr">
        <is>
          <t>factsheet/index</t>
        </is>
      </c>
      <c r="H194" s="5" t="inlineStr">
        <is>
          <t>calculation handbook</t>
        </is>
      </c>
      <c r="I194" s="5" t="inlineStr">
        <is>
          <t>CUUR0000SEAA04</t>
        </is>
      </c>
      <c r="J194" s="5" t="inlineStr">
        <is>
          <t>CUSR0000SEAA04</t>
        </is>
      </c>
    </row>
    <row r="195">
      <c r="A195" t="inlineStr">
        <is>
          <t>SEAB</t>
        </is>
      </c>
      <c r="B195" t="inlineStr">
        <is>
          <t>Boys' apparel</t>
        </is>
      </c>
      <c r="C195" s="19" t="inlineStr">
        <is>
          <t>GM</t>
        </is>
      </c>
      <c r="D195" s="19" t="inlineStr">
        <is>
          <t>monthly in New York/Los Angeles/Chicago; often bimonthly elsewhere</t>
        </is>
      </c>
      <c r="E195" s="19" t="inlineStr">
        <is>
          <t>hedonics/class-mean imputation; seasonal-item rules where applicable</t>
        </is>
      </c>
      <c r="F195" s="19" t="inlineStr"/>
      <c r="G195" s="5" t="inlineStr">
        <is>
          <t>factsheet/index</t>
        </is>
      </c>
      <c r="H195" s="5" t="inlineStr">
        <is>
          <t>calculation handbook</t>
        </is>
      </c>
      <c r="I195" s="5" t="inlineStr">
        <is>
          <t>CUUR0000SEAB</t>
        </is>
      </c>
      <c r="J195" s="5" t="inlineStr">
        <is>
          <t>CUSR0000SEAB</t>
        </is>
      </c>
    </row>
    <row r="196">
      <c r="A196" t="inlineStr">
        <is>
          <t>SAA2</t>
        </is>
      </c>
      <c r="B196" t="inlineStr">
        <is>
          <t>Women's and girls' apparel</t>
        </is>
      </c>
      <c r="C196" s="19" t="inlineStr">
        <is>
          <t>aggregate</t>
        </is>
      </c>
      <c r="D196" s="19" t="inlineStr">
        <is>
          <t>aggregate</t>
        </is>
      </c>
      <c r="E196" s="19" t="inlineStr">
        <is>
          <t>aggregate of component methods</t>
        </is>
      </c>
      <c r="F196" s="19" t="inlineStr"/>
      <c r="G196" s="5" t="inlineStr">
        <is>
          <t>factsheet/index</t>
        </is>
      </c>
      <c r="H196" s="5" t="inlineStr">
        <is>
          <t>calculation handbook</t>
        </is>
      </c>
      <c r="I196" s="5" t="inlineStr">
        <is>
          <t>CUUR0000SAA2</t>
        </is>
      </c>
      <c r="J196" s="5" t="inlineStr">
        <is>
          <t>CUSR0000SAA2</t>
        </is>
      </c>
    </row>
    <row r="197">
      <c r="A197" t="inlineStr">
        <is>
          <t>SEAC</t>
        </is>
      </c>
      <c r="B197" t="inlineStr">
        <is>
          <t>Women's apparel</t>
        </is>
      </c>
      <c r="C197" s="19" t="inlineStr">
        <is>
          <t>aggregate</t>
        </is>
      </c>
      <c r="D197" s="19" t="inlineStr">
        <is>
          <t>aggregate</t>
        </is>
      </c>
      <c r="E197" s="19" t="inlineStr">
        <is>
          <t>aggregate of component methods</t>
        </is>
      </c>
      <c r="F197" s="19" t="inlineStr"/>
      <c r="G197" s="5" t="inlineStr">
        <is>
          <t>factsheet/index</t>
        </is>
      </c>
      <c r="H197" s="5" t="inlineStr">
        <is>
          <t>calculation handbook</t>
        </is>
      </c>
      <c r="I197" s="5" t="inlineStr">
        <is>
          <t>CUUR0000SEAC</t>
        </is>
      </c>
      <c r="J197" s="5" t="inlineStr">
        <is>
          <t>CUSR0000SEAC</t>
        </is>
      </c>
    </row>
    <row r="198">
      <c r="A198" t="inlineStr">
        <is>
          <t>SEAC01</t>
        </is>
      </c>
      <c r="B198" t="inlineStr">
        <is>
          <t>Women's outerwear</t>
        </is>
      </c>
      <c r="C198" s="19" t="inlineStr">
        <is>
          <t>GM</t>
        </is>
      </c>
      <c r="D198" s="19" t="inlineStr">
        <is>
          <t>monthly in New York/Los Angeles/Chicago; often bimonthly elsewhere</t>
        </is>
      </c>
      <c r="E198" s="19" t="inlineStr">
        <is>
          <t>hedonics/class-mean imputation; seasonal-item rules where applicable</t>
        </is>
      </c>
      <c r="F198" s="19" t="inlineStr"/>
      <c r="G198" s="5" t="inlineStr">
        <is>
          <t>factsheet/index</t>
        </is>
      </c>
      <c r="H198" s="5" t="inlineStr">
        <is>
          <t>calculation handbook</t>
        </is>
      </c>
      <c r="I198" s="5" t="inlineStr">
        <is>
          <t>CUUR0000SEAC01</t>
        </is>
      </c>
      <c r="J198" s="5" t="inlineStr">
        <is>
          <t>CUSR0000SEAC01</t>
        </is>
      </c>
    </row>
    <row r="199">
      <c r="A199" t="inlineStr">
        <is>
          <t>SEAC02</t>
        </is>
      </c>
      <c r="B199" t="inlineStr">
        <is>
          <t>Women's dresses</t>
        </is>
      </c>
      <c r="C199" s="19" t="inlineStr">
        <is>
          <t>GM</t>
        </is>
      </c>
      <c r="D199" s="19" t="inlineStr">
        <is>
          <t>monthly in New York/Los Angeles/Chicago; often bimonthly elsewhere</t>
        </is>
      </c>
      <c r="E199" s="19" t="inlineStr">
        <is>
          <t>hedonics/class-mean imputation; seasonal-item rules where applicable</t>
        </is>
      </c>
      <c r="F199" s="19" t="inlineStr"/>
      <c r="G199" s="5" t="inlineStr">
        <is>
          <t>factsheet/index</t>
        </is>
      </c>
      <c r="H199" s="5" t="inlineStr">
        <is>
          <t>calculation handbook</t>
        </is>
      </c>
      <c r="I199" s="5" t="inlineStr">
        <is>
          <t>CUUR0000SEAC02</t>
        </is>
      </c>
      <c r="J199" s="5" t="inlineStr">
        <is>
          <t>CUSR0000SEAC02</t>
        </is>
      </c>
    </row>
    <row r="200">
      <c r="A200" t="inlineStr">
        <is>
          <t>SEAC03</t>
        </is>
      </c>
      <c r="B200" t="inlineStr">
        <is>
          <t>Women's suits and separates</t>
        </is>
      </c>
      <c r="C200" s="19" t="inlineStr">
        <is>
          <t>GM</t>
        </is>
      </c>
      <c r="D200" s="19" t="inlineStr">
        <is>
          <t>monthly in New York/Los Angeles/Chicago; often bimonthly elsewhere</t>
        </is>
      </c>
      <c r="E200" s="19" t="inlineStr">
        <is>
          <t>hedonics/class-mean imputation; seasonal-item rules where applicable</t>
        </is>
      </c>
      <c r="F200" s="19" t="inlineStr"/>
      <c r="G200" s="5" t="inlineStr">
        <is>
          <t>factsheet/index</t>
        </is>
      </c>
      <c r="H200" s="5" t="inlineStr">
        <is>
          <t>calculation handbook</t>
        </is>
      </c>
      <c r="I200" s="5" t="inlineStr">
        <is>
          <t>CUUR0000SEAC03</t>
        </is>
      </c>
      <c r="J200" s="5" t="inlineStr">
        <is>
          <t>CUSR0000SEAC03</t>
        </is>
      </c>
    </row>
    <row r="201">
      <c r="A201" t="inlineStr">
        <is>
          <t>SEAC04</t>
        </is>
      </c>
      <c r="B201" t="inlineStr">
        <is>
          <t>Women's underwear, nightwear, swimwear and accessories</t>
        </is>
      </c>
      <c r="C201" s="19" t="inlineStr">
        <is>
          <t>GM</t>
        </is>
      </c>
      <c r="D201" s="19" t="inlineStr">
        <is>
          <t>monthly in New York/Los Angeles/Chicago; often bimonthly elsewhere</t>
        </is>
      </c>
      <c r="E201" s="19" t="inlineStr">
        <is>
          <t>hedonics/class-mean imputation; seasonal-item rules where applicable</t>
        </is>
      </c>
      <c r="F201" s="19" t="inlineStr"/>
      <c r="G201" s="5" t="inlineStr">
        <is>
          <t>factsheet/index</t>
        </is>
      </c>
      <c r="H201" s="5" t="inlineStr">
        <is>
          <t>calculation handbook</t>
        </is>
      </c>
      <c r="I201" s="5" t="inlineStr">
        <is>
          <t>CUUR0000SEAC04</t>
        </is>
      </c>
      <c r="J201" s="5" t="inlineStr">
        <is>
          <t>CUSR0000SEAC04</t>
        </is>
      </c>
    </row>
    <row r="202">
      <c r="A202" t="inlineStr">
        <is>
          <t>SEAD</t>
        </is>
      </c>
      <c r="B202" t="inlineStr">
        <is>
          <t>Girls' apparel</t>
        </is>
      </c>
      <c r="C202" s="19" t="inlineStr">
        <is>
          <t>GM</t>
        </is>
      </c>
      <c r="D202" s="19" t="inlineStr">
        <is>
          <t>monthly in New York/Los Angeles/Chicago; often bimonthly elsewhere</t>
        </is>
      </c>
      <c r="E202" s="19" t="inlineStr">
        <is>
          <t>hedonics/class-mean imputation; seasonal-item rules where applicable</t>
        </is>
      </c>
      <c r="F202" s="19" t="inlineStr"/>
      <c r="G202" s="5" t="inlineStr">
        <is>
          <t>factsheet/index</t>
        </is>
      </c>
      <c r="H202" s="5" t="inlineStr">
        <is>
          <t>calculation handbook</t>
        </is>
      </c>
      <c r="I202" s="5" t="inlineStr">
        <is>
          <t>CUUR0000SEAD</t>
        </is>
      </c>
      <c r="J202" s="5" t="inlineStr">
        <is>
          <t>CUSR0000SEAD</t>
        </is>
      </c>
    </row>
    <row r="203">
      <c r="A203" t="inlineStr">
        <is>
          <t>SEAE</t>
        </is>
      </c>
      <c r="B203" t="inlineStr">
        <is>
          <t>Footwear</t>
        </is>
      </c>
      <c r="C203" s="19" t="inlineStr">
        <is>
          <t>aggregate</t>
        </is>
      </c>
      <c r="D203" s="19" t="inlineStr">
        <is>
          <t>aggregate</t>
        </is>
      </c>
      <c r="E203" s="19" t="inlineStr">
        <is>
          <t>aggregate of component methods</t>
        </is>
      </c>
      <c r="F203" s="19" t="inlineStr"/>
      <c r="G203" s="5" t="inlineStr">
        <is>
          <t>factsheet/index</t>
        </is>
      </c>
      <c r="H203" s="5" t="inlineStr">
        <is>
          <t>calculation handbook</t>
        </is>
      </c>
      <c r="I203" s="5" t="inlineStr">
        <is>
          <t>CUUR0000SEAE</t>
        </is>
      </c>
      <c r="J203" s="5" t="inlineStr">
        <is>
          <t>CUSR0000SEAE</t>
        </is>
      </c>
    </row>
    <row r="204">
      <c r="A204" t="inlineStr">
        <is>
          <t>SEAE01</t>
        </is>
      </c>
      <c r="B204" t="inlineStr">
        <is>
          <t>Men's footwear</t>
        </is>
      </c>
      <c r="C204" s="19" t="inlineStr">
        <is>
          <t>GM</t>
        </is>
      </c>
      <c r="D204" s="19" t="inlineStr">
        <is>
          <t>monthly in New York/Los Angeles/Chicago; often bimonthly elsewhere</t>
        </is>
      </c>
      <c r="E204" s="19" t="inlineStr">
        <is>
          <t>hedonics/class-mean imputation; seasonal-item rules where applicable</t>
        </is>
      </c>
      <c r="F204" s="19" t="inlineStr"/>
      <c r="G204" s="5" t="inlineStr">
        <is>
          <t>factsheet/index</t>
        </is>
      </c>
      <c r="H204" s="5" t="inlineStr">
        <is>
          <t>calculation handbook</t>
        </is>
      </c>
      <c r="I204" s="5" t="inlineStr">
        <is>
          <t>CUUR0000SEAE01</t>
        </is>
      </c>
      <c r="J204" s="5" t="inlineStr">
        <is>
          <t>CUSR0000SEAE01</t>
        </is>
      </c>
    </row>
    <row r="205">
      <c r="A205" t="inlineStr">
        <is>
          <t>SEAE02</t>
        </is>
      </c>
      <c r="B205" t="inlineStr">
        <is>
          <t>Boys' and girls' footwear</t>
        </is>
      </c>
      <c r="C205" s="19" t="inlineStr">
        <is>
          <t>GM</t>
        </is>
      </c>
      <c r="D205" s="19" t="inlineStr">
        <is>
          <t>monthly in New York/Los Angeles/Chicago; often bimonthly elsewhere</t>
        </is>
      </c>
      <c r="E205" s="19" t="inlineStr">
        <is>
          <t>hedonics/class-mean imputation; seasonal-item rules where applicable</t>
        </is>
      </c>
      <c r="F205" s="19" t="inlineStr"/>
      <c r="G205" s="5" t="inlineStr">
        <is>
          <t>factsheet/index</t>
        </is>
      </c>
      <c r="H205" s="5" t="inlineStr">
        <is>
          <t>calculation handbook</t>
        </is>
      </c>
      <c r="I205" s="5" t="inlineStr">
        <is>
          <t>CUUR0000SEAE02</t>
        </is>
      </c>
      <c r="J205" s="5" t="inlineStr">
        <is>
          <t>CUSR0000SEAE02</t>
        </is>
      </c>
    </row>
    <row r="206">
      <c r="A206" t="inlineStr">
        <is>
          <t>SEAE03</t>
        </is>
      </c>
      <c r="B206" t="inlineStr">
        <is>
          <t>Women's footwear</t>
        </is>
      </c>
      <c r="C206" s="19" t="inlineStr">
        <is>
          <t>GM</t>
        </is>
      </c>
      <c r="D206" s="19" t="inlineStr">
        <is>
          <t>monthly in New York/Los Angeles/Chicago; often bimonthly elsewhere</t>
        </is>
      </c>
      <c r="E206" s="19" t="inlineStr">
        <is>
          <t>hedonics/class-mean imputation; seasonal-item rules where applicable</t>
        </is>
      </c>
      <c r="F206" s="19" t="inlineStr"/>
      <c r="G206" s="5" t="inlineStr">
        <is>
          <t>factsheet/index</t>
        </is>
      </c>
      <c r="H206" s="5" t="inlineStr">
        <is>
          <t>calculation handbook</t>
        </is>
      </c>
      <c r="I206" s="5" t="inlineStr">
        <is>
          <t>CUUR0000SEAE03</t>
        </is>
      </c>
      <c r="J206" s="5" t="inlineStr">
        <is>
          <t>CUSR0000SEAE03</t>
        </is>
      </c>
    </row>
    <row r="207">
      <c r="A207" t="inlineStr">
        <is>
          <t>SEAF</t>
        </is>
      </c>
      <c r="B207" t="inlineStr">
        <is>
          <t>Infants' and toddlers' apparel</t>
        </is>
      </c>
      <c r="C207" s="19" t="inlineStr">
        <is>
          <t>GM</t>
        </is>
      </c>
      <c r="D207" s="19" t="inlineStr">
        <is>
          <t>monthly in New York/Los Angeles/Chicago; often bimonthly elsewhere</t>
        </is>
      </c>
      <c r="E207" s="19" t="inlineStr">
        <is>
          <t>hedonics/class-mean imputation; seasonal-item rules where applicable</t>
        </is>
      </c>
      <c r="F207" s="19" t="inlineStr"/>
      <c r="G207" s="5" t="inlineStr">
        <is>
          <t>factsheet/index</t>
        </is>
      </c>
      <c r="H207" s="5" t="inlineStr">
        <is>
          <t>calculation handbook</t>
        </is>
      </c>
      <c r="I207" s="5" t="inlineStr">
        <is>
          <t>CUUR0000SEAF</t>
        </is>
      </c>
      <c r="J207" s="5" t="inlineStr">
        <is>
          <t>CUSR0000SEAF</t>
        </is>
      </c>
    </row>
    <row r="208">
      <c r="A208" t="inlineStr">
        <is>
          <t>SEAG</t>
        </is>
      </c>
      <c r="B208" t="inlineStr">
        <is>
          <t>Jewelry and watches</t>
        </is>
      </c>
      <c r="C208" s="19" t="inlineStr">
        <is>
          <t>aggregate</t>
        </is>
      </c>
      <c r="D208" s="19" t="inlineStr">
        <is>
          <t>aggregate</t>
        </is>
      </c>
      <c r="E208" s="19" t="inlineStr">
        <is>
          <t>aggregate of component methods</t>
        </is>
      </c>
      <c r="F208" s="19" t="inlineStr"/>
      <c r="G208" s="5" t="inlineStr">
        <is>
          <t>factsheet/index</t>
        </is>
      </c>
      <c r="H208" s="5" t="inlineStr">
        <is>
          <t>calculation handbook</t>
        </is>
      </c>
      <c r="I208" s="5" t="inlineStr">
        <is>
          <t>CUUR0000SEAG</t>
        </is>
      </c>
      <c r="J208" s="5" t="inlineStr">
        <is>
          <t>CUSR0000SEAG</t>
        </is>
      </c>
    </row>
    <row r="209">
      <c r="A209" t="inlineStr">
        <is>
          <t>SEAG01</t>
        </is>
      </c>
      <c r="B209" t="inlineStr">
        <is>
          <t>Watches</t>
        </is>
      </c>
      <c r="C209" s="19" t="inlineStr">
        <is>
          <t>GM</t>
        </is>
      </c>
      <c r="D209" s="19" t="inlineStr">
        <is>
          <t>monthly in New York/Los Angeles/Chicago; often bimonthly elsewhere</t>
        </is>
      </c>
      <c r="E209" s="19" t="inlineStr">
        <is>
          <t>hedonics/class-mean imputation; seasonal-item rules where applicable</t>
        </is>
      </c>
      <c r="F209" s="19" t="inlineStr"/>
      <c r="G209" s="5" t="inlineStr">
        <is>
          <t>factsheet/index</t>
        </is>
      </c>
      <c r="H209" s="5" t="inlineStr">
        <is>
          <t>calculation handbook</t>
        </is>
      </c>
      <c r="I209" s="5" t="inlineStr">
        <is>
          <t>CUUR0000SEAG01</t>
        </is>
      </c>
      <c r="J209" s="5" t="inlineStr">
        <is>
          <t>CUSR0000SEAG01</t>
        </is>
      </c>
    </row>
    <row r="210">
      <c r="A210" t="inlineStr">
        <is>
          <t>SEAG02</t>
        </is>
      </c>
      <c r="B210" t="inlineStr">
        <is>
          <t>Jewelry</t>
        </is>
      </c>
      <c r="C210" s="19" t="inlineStr">
        <is>
          <t>GM</t>
        </is>
      </c>
      <c r="D210" s="19" t="inlineStr">
        <is>
          <t>monthly in New York/Los Angeles/Chicago; often bimonthly elsewhere</t>
        </is>
      </c>
      <c r="E210" s="19" t="inlineStr">
        <is>
          <t>hedonics/class-mean imputation; seasonal-item rules where applicable</t>
        </is>
      </c>
      <c r="F210" s="19" t="inlineStr"/>
      <c r="G210" s="5" t="inlineStr">
        <is>
          <t>factsheet/index</t>
        </is>
      </c>
      <c r="H210" s="5" t="inlineStr">
        <is>
          <t>calculation handbook</t>
        </is>
      </c>
      <c r="I210" s="5" t="inlineStr">
        <is>
          <t>CUUR0000SEAG02</t>
        </is>
      </c>
      <c r="J210" s="5" t="inlineStr">
        <is>
          <t>CUSR0000SEAG02</t>
        </is>
      </c>
    </row>
    <row r="211">
      <c r="A211" t="inlineStr">
        <is>
          <t>SAT</t>
        </is>
      </c>
      <c r="B211" t="inlineStr">
        <is>
          <t>Transportation</t>
        </is>
      </c>
      <c r="C211" s="19" t="inlineStr">
        <is>
          <t>aggregate</t>
        </is>
      </c>
      <c r="D211" s="19" t="inlineStr">
        <is>
          <t>aggregate</t>
        </is>
      </c>
      <c r="E211" s="19" t="inlineStr">
        <is>
          <t>aggregate</t>
        </is>
      </c>
      <c r="F211" s="19" t="inlineStr"/>
      <c r="G211" s="5" t="inlineStr">
        <is>
          <t>factsheet/index</t>
        </is>
      </c>
      <c r="H211" s="5" t="inlineStr">
        <is>
          <t>calculation handbook</t>
        </is>
      </c>
      <c r="I211" s="5" t="inlineStr">
        <is>
          <t>CUUR0000SAT</t>
        </is>
      </c>
      <c r="J211" s="5" t="inlineStr">
        <is>
          <t>CUSR0000SAT</t>
        </is>
      </c>
    </row>
    <row r="212">
      <c r="A212" t="inlineStr">
        <is>
          <t>SAT1</t>
        </is>
      </c>
      <c r="B212" t="inlineStr">
        <is>
          <t>Private transportation</t>
        </is>
      </c>
      <c r="C212" s="19" t="inlineStr">
        <is>
          <t>aggregate</t>
        </is>
      </c>
      <c r="D212" s="19" t="inlineStr">
        <is>
          <t>aggregate</t>
        </is>
      </c>
      <c r="E212" s="19" t="inlineStr">
        <is>
          <t>aggregate of component methods</t>
        </is>
      </c>
      <c r="F212" s="19" t="inlineStr"/>
      <c r="G212" s="5" t="inlineStr">
        <is>
          <t>factsheet/index</t>
        </is>
      </c>
      <c r="H212" s="5" t="inlineStr">
        <is>
          <t>calculation handbook</t>
        </is>
      </c>
      <c r="I212" s="5" t="inlineStr">
        <is>
          <t>CUUR0000SAT1</t>
        </is>
      </c>
      <c r="J212" s="5" t="inlineStr">
        <is>
          <t>CUSR0000SAT1</t>
        </is>
      </c>
    </row>
    <row r="213">
      <c r="A213" t="inlineStr">
        <is>
          <t>SETA</t>
        </is>
      </c>
      <c r="B213" t="inlineStr">
        <is>
          <t>New and used motor vehicles</t>
        </is>
      </c>
      <c r="C213" s="19" t="inlineStr">
        <is>
          <t>aggregate</t>
        </is>
      </c>
      <c r="D213" s="19" t="inlineStr">
        <is>
          <t>aggregate</t>
        </is>
      </c>
      <c r="E213" s="19" t="inlineStr">
        <is>
          <t>aggregate of component methods</t>
        </is>
      </c>
      <c r="F213" s="19" t="inlineStr"/>
      <c r="G213" s="5" t="inlineStr">
        <is>
          <t>factsheet/index</t>
        </is>
      </c>
      <c r="H213" s="5" t="inlineStr">
        <is>
          <t>calculation handbook</t>
        </is>
      </c>
      <c r="I213" s="5" t="inlineStr">
        <is>
          <t>CUUR0000SETA</t>
        </is>
      </c>
      <c r="J213" s="5" t="inlineStr">
        <is>
          <t>CUSR0000SETA</t>
        </is>
      </c>
    </row>
    <row r="214">
      <c r="A214" t="inlineStr">
        <is>
          <t>SETA01</t>
        </is>
      </c>
      <c r="B214" t="inlineStr">
        <is>
          <t>New vehicles</t>
        </is>
      </c>
      <c r="C214" s="19" t="inlineStr">
        <is>
          <t>GM</t>
        </is>
      </c>
      <c r="D214" s="19" t="inlineStr">
        <is>
          <t>J.D. Power transaction data</t>
        </is>
      </c>
      <c r="E214" s="19" t="inlineStr">
        <is>
          <t>cost-based quality adjustment; class-mean imputation at model-year changeover</t>
        </is>
      </c>
      <c r="F214" s="19" t="inlineStr">
        <is>
          <t>J.D. Power transaction data since April 2022 indexes</t>
        </is>
      </c>
      <c r="G214" s="5" t="inlineStr">
        <is>
          <t>factsheet/index</t>
        </is>
      </c>
      <c r="H214" s="5" t="inlineStr">
        <is>
          <t>calculation handbook</t>
        </is>
      </c>
      <c r="I214" s="5" t="inlineStr">
        <is>
          <t>CUUR0000SETA01</t>
        </is>
      </c>
      <c r="J214" s="5" t="inlineStr">
        <is>
          <t>CUSR0000SETA01</t>
        </is>
      </c>
    </row>
    <row r="215">
      <c r="A215" t="inlineStr">
        <is>
          <t>SS4501A</t>
        </is>
      </c>
      <c r="B215" t="inlineStr">
        <is>
          <t>New cars and trucks</t>
        </is>
      </c>
      <c r="C215" s="19" t="inlineStr">
        <is>
          <t>GM</t>
        </is>
      </c>
      <c r="D215" s="19" t="inlineStr">
        <is>
          <t>monthly in New York/Los Angeles/Chicago; often bimonthly elsewhere</t>
        </is>
      </c>
      <c r="E215" s="19" t="inlineStr">
        <is>
          <t>cost/depreciation quality adjustment and class-mean imputation as applicable</t>
        </is>
      </c>
      <c r="F215" s="19" t="inlineStr"/>
      <c r="G215" s="5" t="inlineStr">
        <is>
          <t>factsheet/index</t>
        </is>
      </c>
      <c r="H215" s="5" t="inlineStr">
        <is>
          <t>calculation handbook</t>
        </is>
      </c>
      <c r="I215" s="5" t="inlineStr">
        <is>
          <t>CUUR0000SS4501A</t>
        </is>
      </c>
      <c r="J215" s="5" t="inlineStr">
        <is>
          <t>CUSR0000SS4501A</t>
        </is>
      </c>
    </row>
    <row r="216">
      <c r="A216" t="inlineStr">
        <is>
          <t>SS45011</t>
        </is>
      </c>
      <c r="B216" t="inlineStr">
        <is>
          <t>New cars</t>
        </is>
      </c>
      <c r="C216" s="19" t="inlineStr">
        <is>
          <t>GM</t>
        </is>
      </c>
      <c r="D216" s="19" t="inlineStr">
        <is>
          <t>monthly in New York/Los Angeles/Chicago; often bimonthly elsewhere</t>
        </is>
      </c>
      <c r="E216" s="19" t="inlineStr">
        <is>
          <t>cost/depreciation quality adjustment and class-mean imputation as applicable</t>
        </is>
      </c>
      <c r="F216" s="19" t="inlineStr"/>
      <c r="G216" s="5" t="inlineStr">
        <is>
          <t>factsheet/index</t>
        </is>
      </c>
      <c r="H216" s="5" t="inlineStr">
        <is>
          <t>calculation handbook</t>
        </is>
      </c>
      <c r="I216" s="5" t="inlineStr">
        <is>
          <t>CUUR0000SS45011</t>
        </is>
      </c>
      <c r="J216" s="5" t="inlineStr">
        <is>
          <t>CUSR0000SS45011</t>
        </is>
      </c>
    </row>
    <row r="217">
      <c r="A217" t="inlineStr">
        <is>
          <t>SS45021</t>
        </is>
      </c>
      <c r="B217" t="inlineStr">
        <is>
          <t>New trucks</t>
        </is>
      </c>
      <c r="C217" s="19" t="inlineStr">
        <is>
          <t>GM</t>
        </is>
      </c>
      <c r="D217" s="19" t="inlineStr">
        <is>
          <t>monthly in New York/Los Angeles/Chicago; often bimonthly elsewhere</t>
        </is>
      </c>
      <c r="E217" s="19" t="inlineStr">
        <is>
          <t>cost/depreciation quality adjustment and class-mean imputation as applicable</t>
        </is>
      </c>
      <c r="F217" s="19" t="inlineStr"/>
      <c r="G217" s="5" t="inlineStr">
        <is>
          <t>factsheet/index</t>
        </is>
      </c>
      <c r="H217" s="5" t="inlineStr">
        <is>
          <t>calculation handbook</t>
        </is>
      </c>
      <c r="I217" s="5" t="inlineStr">
        <is>
          <t>CUUR0000SS45021</t>
        </is>
      </c>
      <c r="J217" s="5" t="inlineStr">
        <is>
          <t>CUSR0000SS45021</t>
        </is>
      </c>
    </row>
    <row r="218">
      <c r="A218" t="inlineStr">
        <is>
          <t>SS45031</t>
        </is>
      </c>
      <c r="B218" t="inlineStr">
        <is>
          <t>New motorcycles</t>
        </is>
      </c>
      <c r="C218" s="19" t="inlineStr">
        <is>
          <t>GM</t>
        </is>
      </c>
      <c r="D218" s="19" t="inlineStr">
        <is>
          <t>monthly in New York/Los Angeles/Chicago; often bimonthly elsewhere</t>
        </is>
      </c>
      <c r="E218" s="19" t="inlineStr">
        <is>
          <t>cell-relative imputation for missing quotes; direct comparison/direct QA as applicable</t>
        </is>
      </c>
      <c r="F218" s="19" t="inlineStr"/>
      <c r="G218" s="5" t="inlineStr">
        <is>
          <t>factsheet/index</t>
        </is>
      </c>
      <c r="H218" s="5" t="inlineStr">
        <is>
          <t>calculation handbook</t>
        </is>
      </c>
      <c r="I218" s="5" t="inlineStr">
        <is>
          <t>CUUR0000SS45031</t>
        </is>
      </c>
      <c r="J218" s="5" t="inlineStr">
        <is>
          <t>CUSR0000SS45031</t>
        </is>
      </c>
    </row>
    <row r="219">
      <c r="A219" t="inlineStr">
        <is>
          <t>SETA02</t>
        </is>
      </c>
      <c r="B219" t="inlineStr">
        <is>
          <t>Used cars and trucks</t>
        </is>
      </c>
      <c r="C219" s="19" t="inlineStr">
        <is>
          <t>GM</t>
        </is>
      </c>
      <c r="D219" s="19" t="inlineStr">
        <is>
          <t>J.D. Power Valuation Services data</t>
        </is>
      </c>
      <c r="E219" s="19" t="inlineStr">
        <is>
          <t>depreciation adjustment plus inherited new-vehicle quality adjustment</t>
        </is>
      </c>
      <c r="F219" s="19" t="inlineStr">
        <is>
          <t>J.D. Power Valuation Services data</t>
        </is>
      </c>
      <c r="G219" s="5" t="inlineStr">
        <is>
          <t>factsheet/index</t>
        </is>
      </c>
      <c r="H219" s="5" t="inlineStr">
        <is>
          <t>calculation handbook</t>
        </is>
      </c>
      <c r="I219" s="5" t="inlineStr">
        <is>
          <t>CUUR0000SETA02</t>
        </is>
      </c>
      <c r="J219" s="5" t="inlineStr">
        <is>
          <t>CUSR0000SETA02</t>
        </is>
      </c>
    </row>
    <row r="220">
      <c r="A220" t="inlineStr">
        <is>
          <t>SETA03</t>
        </is>
      </c>
      <c r="B220" t="inlineStr">
        <is>
          <t>Leased cars and trucks</t>
        </is>
      </c>
      <c r="C220" s="19" t="inlineStr">
        <is>
          <t>GM</t>
        </is>
      </c>
      <c r="D220" s="19" t="inlineStr">
        <is>
          <t>monthly in New York/Los Angeles/Chicago; often bimonthly elsewhere</t>
        </is>
      </c>
      <c r="E220" s="19" t="inlineStr">
        <is>
          <t>cost/depreciation quality adjustment and class-mean imputation as applicable</t>
        </is>
      </c>
      <c r="F220" s="19" t="inlineStr"/>
      <c r="G220" s="5" t="inlineStr">
        <is>
          <t>factsheet/index</t>
        </is>
      </c>
      <c r="H220" s="5" t="inlineStr">
        <is>
          <t>calculation handbook</t>
        </is>
      </c>
      <c r="I220" s="5" t="inlineStr">
        <is>
          <t>CUUR0000SETA03</t>
        </is>
      </c>
      <c r="J220" s="5" t="inlineStr">
        <is>
          <t>CUSR0000SETA03</t>
        </is>
      </c>
    </row>
    <row r="221">
      <c r="A221" t="inlineStr">
        <is>
          <t>SETA04</t>
        </is>
      </c>
      <c r="B221" t="inlineStr">
        <is>
          <t>Car and truck rental</t>
        </is>
      </c>
      <c r="C221" s="19" t="inlineStr">
        <is>
          <t>GM</t>
        </is>
      </c>
      <c r="D221" s="19" t="inlineStr">
        <is>
          <t>monthly in New York/Los Angeles/Chicago; often bimonthly elsewhere</t>
        </is>
      </c>
      <c r="E221" s="19" t="inlineStr">
        <is>
          <t>cell-relative imputation for missing quotes; direct comparison/direct QA as applicable</t>
        </is>
      </c>
      <c r="F221" s="19" t="inlineStr"/>
      <c r="G221" s="5" t="inlineStr">
        <is>
          <t>factsheet/index</t>
        </is>
      </c>
      <c r="H221" s="5" t="inlineStr">
        <is>
          <t>calculation handbook</t>
        </is>
      </c>
      <c r="I221" s="5" t="inlineStr">
        <is>
          <t>CUUR0000SETA04</t>
        </is>
      </c>
      <c r="J221" s="5" t="inlineStr">
        <is>
          <t>CUSR0000SETA04</t>
        </is>
      </c>
    </row>
    <row r="222">
      <c r="A222" t="inlineStr">
        <is>
          <t>SETB</t>
        </is>
      </c>
      <c r="B222" t="inlineStr">
        <is>
          <t>Motor fuel</t>
        </is>
      </c>
      <c r="C222" s="19" t="inlineStr">
        <is>
          <t>aggregate</t>
        </is>
      </c>
      <c r="D222" s="19" t="inlineStr">
        <is>
          <t>see gasoline</t>
        </is>
      </c>
      <c r="E222" s="19" t="inlineStr">
        <is>
          <t>aggregate</t>
        </is>
      </c>
      <c r="F222" s="19" t="inlineStr">
        <is>
          <t>see gasoline</t>
        </is>
      </c>
      <c r="G222" s="5" t="inlineStr">
        <is>
          <t>factsheet/index</t>
        </is>
      </c>
      <c r="H222" s="5" t="inlineStr">
        <is>
          <t>calculation handbook</t>
        </is>
      </c>
      <c r="I222" s="5" t="inlineStr">
        <is>
          <t>CUUR0000SETB</t>
        </is>
      </c>
      <c r="J222" s="5" t="inlineStr">
        <is>
          <t>CUSR0000SETB</t>
        </is>
      </c>
    </row>
    <row r="223">
      <c r="A223" t="inlineStr">
        <is>
          <t>SETB01</t>
        </is>
      </c>
      <c r="B223" t="inlineStr">
        <is>
          <t>Gasoline (all types)</t>
        </is>
      </c>
      <c r="C223" s="19" t="inlineStr">
        <is>
          <t>GM</t>
        </is>
      </c>
      <c r="D223" s="19" t="inlineStr">
        <is>
          <t>secondary-source transaction dataset; full-month coverage</t>
        </is>
      </c>
      <c r="E223" s="19" t="inlineStr">
        <is>
          <t>direct comparison</t>
        </is>
      </c>
      <c r="F223" s="19" t="inlineStr">
        <is>
          <t>secondary-source transaction dataset since June 2021 indexes</t>
        </is>
      </c>
      <c r="G223" s="5" t="inlineStr">
        <is>
          <t>factsheet/index</t>
        </is>
      </c>
      <c r="H223" s="5" t="inlineStr">
        <is>
          <t>calculation handbook</t>
        </is>
      </c>
      <c r="I223" s="5" t="inlineStr">
        <is>
          <t>CUUR0000SETB01</t>
        </is>
      </c>
      <c r="J223" s="5" t="inlineStr">
        <is>
          <t>CUSR0000SETB01</t>
        </is>
      </c>
    </row>
    <row r="224">
      <c r="A224" t="inlineStr">
        <is>
          <t>SS47014</t>
        </is>
      </c>
      <c r="B224" t="inlineStr">
        <is>
          <t>Gasoline, unleaded regular</t>
        </is>
      </c>
      <c r="C224" s="19" t="inlineStr">
        <is>
          <t>GM</t>
        </is>
      </c>
      <c r="D224" s="19" t="inlineStr">
        <is>
          <t>monthly energy/utility collection</t>
        </is>
      </c>
      <c r="E224" s="19" t="inlineStr">
        <is>
          <t>cell-relative imputation for missing quotes; direct comparison/direct QA as applicable</t>
        </is>
      </c>
      <c r="F224" s="19" t="inlineStr"/>
      <c r="G224" s="5" t="inlineStr">
        <is>
          <t>factsheet/index</t>
        </is>
      </c>
      <c r="H224" s="5" t="inlineStr">
        <is>
          <t>calculation handbook</t>
        </is>
      </c>
      <c r="I224" s="5" t="inlineStr">
        <is>
          <t>CUUR0000SS47014</t>
        </is>
      </c>
      <c r="J224" s="5" t="inlineStr">
        <is>
          <t>CUSR0000SS47014</t>
        </is>
      </c>
    </row>
    <row r="225">
      <c r="A225" t="inlineStr">
        <is>
          <t>SS47015</t>
        </is>
      </c>
      <c r="B225" t="inlineStr">
        <is>
          <t>Gasoline, unleaded midgrade</t>
        </is>
      </c>
      <c r="C225" s="19" t="inlineStr">
        <is>
          <t>GM</t>
        </is>
      </c>
      <c r="D225" s="19" t="inlineStr">
        <is>
          <t>monthly energy/utility collection</t>
        </is>
      </c>
      <c r="E225" s="19" t="inlineStr">
        <is>
          <t>cell-relative imputation for missing quotes; direct comparison/direct QA as applicable</t>
        </is>
      </c>
      <c r="F225" s="19" t="inlineStr"/>
      <c r="G225" s="5" t="inlineStr">
        <is>
          <t>factsheet/index</t>
        </is>
      </c>
      <c r="H225" s="5" t="inlineStr">
        <is>
          <t>calculation handbook</t>
        </is>
      </c>
      <c r="I225" s="5" t="inlineStr">
        <is>
          <t>CUUR0000SS47015</t>
        </is>
      </c>
      <c r="J225" s="5" t="inlineStr">
        <is>
          <t>CUSR0000SS47015</t>
        </is>
      </c>
    </row>
    <row r="226">
      <c r="A226" t="inlineStr">
        <is>
          <t>SS47016</t>
        </is>
      </c>
      <c r="B226" t="inlineStr">
        <is>
          <t>Gasoline, unleaded premium</t>
        </is>
      </c>
      <c r="C226" s="19" t="inlineStr">
        <is>
          <t>GM</t>
        </is>
      </c>
      <c r="D226" s="19" t="inlineStr">
        <is>
          <t>monthly energy/utility collection</t>
        </is>
      </c>
      <c r="E226" s="19" t="inlineStr">
        <is>
          <t>cell-relative imputation for missing quotes; direct comparison/direct QA as applicable</t>
        </is>
      </c>
      <c r="F226" s="19" t="inlineStr"/>
      <c r="G226" s="5" t="inlineStr">
        <is>
          <t>factsheet/index</t>
        </is>
      </c>
      <c r="H226" s="5" t="inlineStr">
        <is>
          <t>calculation handbook</t>
        </is>
      </c>
      <c r="I226" s="5" t="inlineStr">
        <is>
          <t>CUUR0000SS47016</t>
        </is>
      </c>
      <c r="J226" s="5" t="inlineStr">
        <is>
          <t>CUSR0000SS47016</t>
        </is>
      </c>
    </row>
    <row r="227">
      <c r="A227" t="inlineStr">
        <is>
          <t>SETB02</t>
        </is>
      </c>
      <c r="B227" t="inlineStr">
        <is>
          <t>Other motor fuels</t>
        </is>
      </c>
      <c r="C227" s="19" t="inlineStr">
        <is>
          <t>GM</t>
        </is>
      </c>
      <c r="D227" s="19" t="inlineStr">
        <is>
          <t>monthly energy/utility collection</t>
        </is>
      </c>
      <c r="E227" s="19" t="inlineStr">
        <is>
          <t>cell-relative imputation for missing quotes; direct comparison/direct QA as applicable</t>
        </is>
      </c>
      <c r="F227" s="19" t="inlineStr"/>
      <c r="G227" s="5" t="inlineStr">
        <is>
          <t>factsheet/index</t>
        </is>
      </c>
      <c r="H227" s="5" t="inlineStr">
        <is>
          <t>calculation handbook</t>
        </is>
      </c>
      <c r="I227" s="5" t="inlineStr">
        <is>
          <t>CUUR0000SETB02</t>
        </is>
      </c>
      <c r="J227" s="5" t="inlineStr">
        <is>
          <t>CUSR0000SETB02</t>
        </is>
      </c>
    </row>
    <row r="228">
      <c r="A228" t="inlineStr">
        <is>
          <t>SETC</t>
        </is>
      </c>
      <c r="B228" t="inlineStr">
        <is>
          <t>Motor vehicle parts and equipment</t>
        </is>
      </c>
      <c r="C228" s="19" t="inlineStr">
        <is>
          <t>GM</t>
        </is>
      </c>
      <c r="D228" s="19" t="inlineStr">
        <is>
          <t>bimonthly</t>
        </is>
      </c>
      <c r="E228" s="19" t="inlineStr">
        <is>
          <t>BLS direct quality adjustment/imputation as applicable</t>
        </is>
      </c>
      <c r="F228" s="19" t="inlineStr"/>
      <c r="G228" s="5" t="inlineStr">
        <is>
          <t>factsheet/index</t>
        </is>
      </c>
      <c r="H228" s="5" t="inlineStr">
        <is>
          <t>calculation handbook</t>
        </is>
      </c>
      <c r="I228" s="5" t="inlineStr">
        <is>
          <t>CUUR0000SETC</t>
        </is>
      </c>
      <c r="J228" s="5" t="inlineStr">
        <is>
          <t>CUSR0000SETC</t>
        </is>
      </c>
    </row>
    <row r="229">
      <c r="A229" t="inlineStr">
        <is>
          <t>SETC01</t>
        </is>
      </c>
      <c r="B229" t="inlineStr">
        <is>
          <t>Tires</t>
        </is>
      </c>
      <c r="C229" s="19" t="inlineStr">
        <is>
          <t>GM</t>
        </is>
      </c>
      <c r="D229" s="19" t="inlineStr">
        <is>
          <t>monthly in New York/Los Angeles/Chicago; often bimonthly elsewhere</t>
        </is>
      </c>
      <c r="E229" s="19" t="inlineStr">
        <is>
          <t>cell-relative imputation for missing quotes; direct comparison/direct QA as applicable</t>
        </is>
      </c>
      <c r="F229" s="19" t="inlineStr"/>
      <c r="G229" s="5" t="inlineStr">
        <is>
          <t>factsheet/index</t>
        </is>
      </c>
      <c r="H229" s="5" t="inlineStr">
        <is>
          <t>calculation handbook</t>
        </is>
      </c>
      <c r="I229" s="5" t="inlineStr">
        <is>
          <t>CUUR0000SETC01</t>
        </is>
      </c>
      <c r="J229" s="5" t="inlineStr">
        <is>
          <t>CUSR0000SETC01</t>
        </is>
      </c>
    </row>
    <row r="230">
      <c r="A230" t="inlineStr">
        <is>
          <t>SETC02</t>
        </is>
      </c>
      <c r="B230" t="inlineStr">
        <is>
          <t>Vehicle accessories other than tires</t>
        </is>
      </c>
      <c r="C230" s="19" t="inlineStr">
        <is>
          <t>aggregate</t>
        </is>
      </c>
      <c r="D230" s="19" t="inlineStr">
        <is>
          <t>aggregate</t>
        </is>
      </c>
      <c r="E230" s="19" t="inlineStr">
        <is>
          <t>aggregate of component methods</t>
        </is>
      </c>
      <c r="F230" s="19" t="inlineStr"/>
      <c r="G230" s="5" t="inlineStr">
        <is>
          <t>factsheet/index</t>
        </is>
      </c>
      <c r="H230" s="5" t="inlineStr">
        <is>
          <t>calculation handbook</t>
        </is>
      </c>
      <c r="I230" s="5" t="inlineStr">
        <is>
          <t>CUUR0000SETC02</t>
        </is>
      </c>
      <c r="J230" t="inlineStr"/>
    </row>
    <row r="231">
      <c r="A231" t="inlineStr">
        <is>
          <t>SS48021</t>
        </is>
      </c>
      <c r="B231" t="inlineStr">
        <is>
          <t>Vehicle parts and equipment other than tires</t>
        </is>
      </c>
      <c r="C231" s="19" t="inlineStr">
        <is>
          <t>GM</t>
        </is>
      </c>
      <c r="D231" s="19" t="inlineStr">
        <is>
          <t>monthly in New York/Los Angeles/Chicago; often bimonthly elsewhere</t>
        </is>
      </c>
      <c r="E231" s="19" t="inlineStr">
        <is>
          <t>cost/depreciation quality adjustment and class-mean imputation as applicable</t>
        </is>
      </c>
      <c r="F231" s="19" t="inlineStr"/>
      <c r="G231" s="5" t="inlineStr">
        <is>
          <t>factsheet/index</t>
        </is>
      </c>
      <c r="H231" s="5" t="inlineStr">
        <is>
          <t>calculation handbook</t>
        </is>
      </c>
      <c r="I231" s="5" t="inlineStr">
        <is>
          <t>CUUR0000SS48021</t>
        </is>
      </c>
      <c r="J231" t="inlineStr"/>
    </row>
    <row r="232">
      <c r="A232" t="inlineStr">
        <is>
          <t>SS47021</t>
        </is>
      </c>
      <c r="B232" t="inlineStr">
        <is>
          <t>Motor oil, coolant, and fluids</t>
        </is>
      </c>
      <c r="C232" s="19" t="inlineStr">
        <is>
          <t>GM</t>
        </is>
      </c>
      <c r="D232" s="19" t="inlineStr">
        <is>
          <t>monthly in New York/Los Angeles/Chicago; often bimonthly elsewhere</t>
        </is>
      </c>
      <c r="E232" s="19" t="inlineStr">
        <is>
          <t>cell-relative imputation for missing quotes; direct comparison/direct QA as applicable</t>
        </is>
      </c>
      <c r="F232" s="19" t="inlineStr"/>
      <c r="G232" s="5" t="inlineStr">
        <is>
          <t>factsheet/index</t>
        </is>
      </c>
      <c r="H232" s="5" t="inlineStr">
        <is>
          <t>calculation handbook</t>
        </is>
      </c>
      <c r="I232" s="5" t="inlineStr">
        <is>
          <t>CUUR0000SS47021</t>
        </is>
      </c>
      <c r="J232" t="inlineStr"/>
    </row>
    <row r="233">
      <c r="A233" t="inlineStr">
        <is>
          <t>SETD</t>
        </is>
      </c>
      <c r="B233" t="inlineStr">
        <is>
          <t>Motor vehicle maintenance and repair</t>
        </is>
      </c>
      <c r="C233" s="19" t="inlineStr">
        <is>
          <t>GM</t>
        </is>
      </c>
      <c r="D233" s="19" t="inlineStr">
        <is>
          <t>bimonthly</t>
        </is>
      </c>
      <c r="E233" s="19" t="inlineStr">
        <is>
          <t>BLS direct quality adjustment/imputation as applicable</t>
        </is>
      </c>
      <c r="F233" s="19" t="inlineStr"/>
      <c r="G233" s="5" t="inlineStr">
        <is>
          <t>factsheet/index</t>
        </is>
      </c>
      <c r="H233" s="5" t="inlineStr">
        <is>
          <t>calculation handbook</t>
        </is>
      </c>
      <c r="I233" s="5" t="inlineStr">
        <is>
          <t>CUUR0000SETD</t>
        </is>
      </c>
      <c r="J233" s="5" t="inlineStr">
        <is>
          <t>CUSR0000SETD</t>
        </is>
      </c>
    </row>
    <row r="234">
      <c r="A234" t="inlineStr">
        <is>
          <t>SETD01</t>
        </is>
      </c>
      <c r="B234" t="inlineStr">
        <is>
          <t>Motor vehicle body work</t>
        </is>
      </c>
      <c r="C234" s="19" t="inlineStr">
        <is>
          <t>GM</t>
        </is>
      </c>
      <c r="D234" s="19" t="inlineStr">
        <is>
          <t>monthly in New York/Los Angeles/Chicago; often bimonthly elsewhere</t>
        </is>
      </c>
      <c r="E234" s="19" t="inlineStr">
        <is>
          <t>cost/depreciation quality adjustment and class-mean imputation as applicable</t>
        </is>
      </c>
      <c r="F234" s="19" t="inlineStr"/>
      <c r="G234" s="5" t="inlineStr">
        <is>
          <t>factsheet/index</t>
        </is>
      </c>
      <c r="H234" s="5" t="inlineStr">
        <is>
          <t>calculation handbook</t>
        </is>
      </c>
      <c r="I234" s="5" t="inlineStr">
        <is>
          <t>CUUR0000SETD01</t>
        </is>
      </c>
      <c r="J234" t="inlineStr"/>
    </row>
    <row r="235">
      <c r="A235" t="inlineStr">
        <is>
          <t>SETD02</t>
        </is>
      </c>
      <c r="B235" t="inlineStr">
        <is>
          <t>Motor vehicle maintenance and servicing</t>
        </is>
      </c>
      <c r="C235" s="19" t="inlineStr">
        <is>
          <t>GM</t>
        </is>
      </c>
      <c r="D235" s="19" t="inlineStr">
        <is>
          <t>monthly in New York/Los Angeles/Chicago; often bimonthly elsewhere</t>
        </is>
      </c>
      <c r="E235" s="19" t="inlineStr">
        <is>
          <t>cost/depreciation quality adjustment and class-mean imputation as applicable</t>
        </is>
      </c>
      <c r="F235" s="19" t="inlineStr"/>
      <c r="G235" s="5" t="inlineStr">
        <is>
          <t>factsheet/index</t>
        </is>
      </c>
      <c r="H235" s="5" t="inlineStr">
        <is>
          <t>calculation handbook</t>
        </is>
      </c>
      <c r="I235" s="5" t="inlineStr">
        <is>
          <t>CUUR0000SETD02</t>
        </is>
      </c>
      <c r="J235" t="inlineStr"/>
    </row>
    <row r="236">
      <c r="A236" t="inlineStr">
        <is>
          <t>SETD03</t>
        </is>
      </c>
      <c r="B236" t="inlineStr">
        <is>
          <t>Motor vehicle repair</t>
        </is>
      </c>
      <c r="C236" s="19" t="inlineStr">
        <is>
          <t>GM</t>
        </is>
      </c>
      <c r="D236" s="19" t="inlineStr">
        <is>
          <t>monthly in New York/Los Angeles/Chicago; often bimonthly elsewhere</t>
        </is>
      </c>
      <c r="E236" s="19" t="inlineStr">
        <is>
          <t>cost/depreciation quality adjustment and class-mean imputation as applicable</t>
        </is>
      </c>
      <c r="F236" s="19" t="inlineStr"/>
      <c r="G236" s="5" t="inlineStr">
        <is>
          <t>factsheet/index</t>
        </is>
      </c>
      <c r="H236" s="5" t="inlineStr">
        <is>
          <t>calculation handbook</t>
        </is>
      </c>
      <c r="I236" s="5" t="inlineStr">
        <is>
          <t>CUUR0000SETD03</t>
        </is>
      </c>
      <c r="J236" s="5" t="inlineStr">
        <is>
          <t>CUSR0000SETD03</t>
        </is>
      </c>
    </row>
    <row r="237">
      <c r="A237" t="inlineStr">
        <is>
          <t>SETE</t>
        </is>
      </c>
      <c r="B237" t="inlineStr">
        <is>
          <t>Motor vehicle insurance</t>
        </is>
      </c>
      <c r="C237" s="19" t="inlineStr">
        <is>
          <t>GM</t>
        </is>
      </c>
      <c r="D237" s="19" t="inlineStr">
        <is>
          <t>premium quotes for fixed risk profiles; filings can be lumpy</t>
        </is>
      </c>
      <c r="E237" s="19" t="inlineStr">
        <is>
          <t>carry-forward between filings where applicable</t>
        </is>
      </c>
      <c r="F237" s="19" t="inlineStr"/>
      <c r="G237" s="5" t="inlineStr">
        <is>
          <t>factsheet/index</t>
        </is>
      </c>
      <c r="H237" s="5" t="inlineStr">
        <is>
          <t>calculation handbook</t>
        </is>
      </c>
      <c r="I237" s="5" t="inlineStr">
        <is>
          <t>CUUR0000SETE</t>
        </is>
      </c>
      <c r="J237" s="5" t="inlineStr">
        <is>
          <t>CUSR0000SETE</t>
        </is>
      </c>
    </row>
    <row r="238">
      <c r="A238" t="inlineStr">
        <is>
          <t>SETF</t>
        </is>
      </c>
      <c r="B238" t="inlineStr">
        <is>
          <t>Motor vehicle fees</t>
        </is>
      </c>
      <c r="C238" s="19" t="inlineStr">
        <is>
          <t>aggregate</t>
        </is>
      </c>
      <c r="D238" s="19" t="inlineStr">
        <is>
          <t>aggregate</t>
        </is>
      </c>
      <c r="E238" s="19" t="inlineStr">
        <is>
          <t>aggregate of component methods</t>
        </is>
      </c>
      <c r="F238" s="19" t="inlineStr"/>
      <c r="G238" s="5" t="inlineStr">
        <is>
          <t>factsheet/index</t>
        </is>
      </c>
      <c r="H238" s="5" t="inlineStr">
        <is>
          <t>calculation handbook</t>
        </is>
      </c>
      <c r="I238" s="5" t="inlineStr">
        <is>
          <t>CUUR0000SETF</t>
        </is>
      </c>
      <c r="J238" t="inlineStr"/>
    </row>
    <row r="239">
      <c r="A239" t="inlineStr">
        <is>
          <t>SETF01</t>
        </is>
      </c>
      <c r="B239" t="inlineStr">
        <is>
          <t>State motor vehicle registration and license fees</t>
        </is>
      </c>
      <c r="C239" s="19" t="inlineStr">
        <is>
          <t>GM</t>
        </is>
      </c>
      <c r="D239" s="19" t="inlineStr">
        <is>
          <t>monthly in New York/Los Angeles/Chicago; often bimonthly elsewhere</t>
        </is>
      </c>
      <c r="E239" s="19" t="inlineStr">
        <is>
          <t>cost/depreciation quality adjustment and class-mean imputation as applicable</t>
        </is>
      </c>
      <c r="F239" s="19" t="inlineStr"/>
      <c r="G239" s="5" t="inlineStr">
        <is>
          <t>factsheet/index</t>
        </is>
      </c>
      <c r="H239" s="5" t="inlineStr">
        <is>
          <t>calculation handbook</t>
        </is>
      </c>
      <c r="I239" s="5" t="inlineStr">
        <is>
          <t>CUUR0000SETF01</t>
        </is>
      </c>
      <c r="J239" t="inlineStr"/>
    </row>
    <row r="240">
      <c r="A240" t="inlineStr">
        <is>
          <t>SETF03</t>
        </is>
      </c>
      <c r="B240" t="inlineStr">
        <is>
          <t>Parking and other fees</t>
        </is>
      </c>
      <c r="C240" s="19" t="inlineStr">
        <is>
          <t>aggregate</t>
        </is>
      </c>
      <c r="D240" s="19" t="inlineStr">
        <is>
          <t>aggregate</t>
        </is>
      </c>
      <c r="E240" s="19" t="inlineStr">
        <is>
          <t>aggregate of component methods</t>
        </is>
      </c>
      <c r="F240" s="19" t="inlineStr"/>
      <c r="G240" s="5" t="inlineStr">
        <is>
          <t>factsheet/index</t>
        </is>
      </c>
      <c r="H240" s="5" t="inlineStr">
        <is>
          <t>calculation handbook</t>
        </is>
      </c>
      <c r="I240" s="5" t="inlineStr">
        <is>
          <t>CUUR0000SETF03</t>
        </is>
      </c>
      <c r="J240" s="5" t="inlineStr">
        <is>
          <t>CUSR0000SETF03</t>
        </is>
      </c>
    </row>
    <row r="241">
      <c r="A241" t="inlineStr">
        <is>
          <t>SS52051</t>
        </is>
      </c>
      <c r="B241" t="inlineStr">
        <is>
          <t>Parking fees and tolls</t>
        </is>
      </c>
      <c r="C241" s="19" t="inlineStr">
        <is>
          <t>GM</t>
        </is>
      </c>
      <c r="D241" s="19" t="inlineStr">
        <is>
          <t>monthly in New York/Los Angeles/Chicago; often bimonthly elsewhere</t>
        </is>
      </c>
      <c r="E241" s="19" t="inlineStr">
        <is>
          <t>cell-relative imputation for missing quotes; direct comparison/direct QA as applicable</t>
        </is>
      </c>
      <c r="F241" s="19" t="inlineStr"/>
      <c r="G241" s="5" t="inlineStr">
        <is>
          <t>factsheet/index</t>
        </is>
      </c>
      <c r="H241" s="5" t="inlineStr">
        <is>
          <t>calculation handbook</t>
        </is>
      </c>
      <c r="I241" s="5" t="inlineStr">
        <is>
          <t>CUUR0000SS52051</t>
        </is>
      </c>
      <c r="J241" s="5" t="inlineStr">
        <is>
          <t>CUSR0000SS52051</t>
        </is>
      </c>
    </row>
    <row r="242">
      <c r="A242" t="inlineStr">
        <is>
          <t>SS62011</t>
        </is>
      </c>
      <c r="B242" t="inlineStr">
        <is>
          <t>Automobile service clubs</t>
        </is>
      </c>
      <c r="C242" s="19" t="inlineStr">
        <is>
          <t>GM</t>
        </is>
      </c>
      <c r="D242" s="19" t="inlineStr">
        <is>
          <t>monthly in New York/Los Angeles/Chicago; often bimonthly elsewhere</t>
        </is>
      </c>
      <c r="E242" s="19" t="inlineStr">
        <is>
          <t>cell-relative imputation for missing quotes; direct comparison/direct QA as applicable</t>
        </is>
      </c>
      <c r="F242" s="19" t="inlineStr"/>
      <c r="G242" s="5" t="inlineStr">
        <is>
          <t>factsheet/index</t>
        </is>
      </c>
      <c r="H242" s="5" t="inlineStr">
        <is>
          <t>calculation handbook</t>
        </is>
      </c>
      <c r="I242" s="5" t="inlineStr">
        <is>
          <t>CUUR0000SS62011</t>
        </is>
      </c>
      <c r="J242" t="inlineStr"/>
    </row>
    <row r="243">
      <c r="A243" t="inlineStr">
        <is>
          <t>SETG</t>
        </is>
      </c>
      <c r="B243" t="inlineStr">
        <is>
          <t>Public transportation</t>
        </is>
      </c>
      <c r="C243" s="19" t="inlineStr">
        <is>
          <t>aggregate</t>
        </is>
      </c>
      <c r="D243" s="19" t="inlineStr">
        <is>
          <t>aggregate</t>
        </is>
      </c>
      <c r="E243" s="19" t="inlineStr">
        <is>
          <t>aggregate of component methods</t>
        </is>
      </c>
      <c r="F243" s="19" t="inlineStr"/>
      <c r="G243" s="5" t="inlineStr">
        <is>
          <t>factsheet/index</t>
        </is>
      </c>
      <c r="H243" s="5" t="inlineStr">
        <is>
          <t>calculation handbook</t>
        </is>
      </c>
      <c r="I243" s="5" t="inlineStr">
        <is>
          <t>CUUR0000SETG</t>
        </is>
      </c>
      <c r="J243" s="5" t="inlineStr">
        <is>
          <t>CUSR0000SETG</t>
        </is>
      </c>
    </row>
    <row r="244">
      <c r="A244" t="inlineStr">
        <is>
          <t>SETG01</t>
        </is>
      </c>
      <c r="B244" t="inlineStr">
        <is>
          <t>Airline fares</t>
        </is>
      </c>
      <c r="C244" s="19" t="inlineStr">
        <is>
          <t>GM</t>
        </is>
      </c>
      <c r="D244" s="19" t="inlineStr">
        <is>
          <t>verify current source on BLS factsheet</t>
        </is>
      </c>
      <c r="E244" s="19" t="inlineStr">
        <is>
          <t>directional fare mix rules; BLS imputation as applicable</t>
        </is>
      </c>
      <c r="F244" s="19" t="inlineStr">
        <is>
          <t>verify - factsheet</t>
        </is>
      </c>
      <c r="G244" s="5" t="inlineStr">
        <is>
          <t>factsheet/index</t>
        </is>
      </c>
      <c r="H244" s="5" t="inlineStr">
        <is>
          <t>calculation handbook</t>
        </is>
      </c>
      <c r="I244" s="5" t="inlineStr">
        <is>
          <t>CUUR0000SETG01</t>
        </is>
      </c>
      <c r="J244" s="5" t="inlineStr">
        <is>
          <t>CUSR0000SETG01</t>
        </is>
      </c>
    </row>
    <row r="245">
      <c r="A245" t="inlineStr">
        <is>
          <t>SETG02</t>
        </is>
      </c>
      <c r="B245" t="inlineStr">
        <is>
          <t>Other intercity transportation</t>
        </is>
      </c>
      <c r="C245" s="19" t="inlineStr">
        <is>
          <t>aggregate</t>
        </is>
      </c>
      <c r="D245" s="19" t="inlineStr">
        <is>
          <t>aggregate</t>
        </is>
      </c>
      <c r="E245" s="19" t="inlineStr">
        <is>
          <t>aggregate of component methods</t>
        </is>
      </c>
      <c r="F245" s="19" t="inlineStr"/>
      <c r="G245" s="5" t="inlineStr">
        <is>
          <t>factsheet/index</t>
        </is>
      </c>
      <c r="H245" s="5" t="inlineStr">
        <is>
          <t>calculation handbook</t>
        </is>
      </c>
      <c r="I245" s="5" t="inlineStr">
        <is>
          <t>CUUR0000SETG02</t>
        </is>
      </c>
      <c r="J245" s="5" t="inlineStr">
        <is>
          <t>CUSR0000SETG02</t>
        </is>
      </c>
    </row>
    <row r="246">
      <c r="A246" t="inlineStr">
        <is>
          <t>SS53021</t>
        </is>
      </c>
      <c r="B246" t="inlineStr">
        <is>
          <t>Intercity bus fare</t>
        </is>
      </c>
      <c r="C246" s="19" t="inlineStr">
        <is>
          <t>GM</t>
        </is>
      </c>
      <c r="D246" s="19" t="inlineStr">
        <is>
          <t>monthly in New York/Los Angeles/Chicago; often bimonthly elsewhere</t>
        </is>
      </c>
      <c r="E246" s="19" t="inlineStr">
        <is>
          <t>cell-relative imputation for missing quotes; direct comparison/direct QA as applicable</t>
        </is>
      </c>
      <c r="F246" s="19" t="inlineStr"/>
      <c r="G246" s="5" t="inlineStr">
        <is>
          <t>factsheet/index</t>
        </is>
      </c>
      <c r="H246" s="5" t="inlineStr">
        <is>
          <t>calculation handbook</t>
        </is>
      </c>
      <c r="I246" s="5" t="inlineStr">
        <is>
          <t>CUUR0000SS53021</t>
        </is>
      </c>
      <c r="J246" t="inlineStr"/>
    </row>
    <row r="247">
      <c r="A247" t="inlineStr">
        <is>
          <t>SS53022</t>
        </is>
      </c>
      <c r="B247" t="inlineStr">
        <is>
          <t>Intercity train fare</t>
        </is>
      </c>
      <c r="C247" s="19" t="inlineStr">
        <is>
          <t>GM</t>
        </is>
      </c>
      <c r="D247" s="19" t="inlineStr">
        <is>
          <t>monthly in New York/Los Angeles/Chicago; often bimonthly elsewhere</t>
        </is>
      </c>
      <c r="E247" s="19" t="inlineStr">
        <is>
          <t>cell-relative imputation for missing quotes; direct comparison/direct QA as applicable</t>
        </is>
      </c>
      <c r="F247" s="19" t="inlineStr"/>
      <c r="G247" s="5" t="inlineStr">
        <is>
          <t>factsheet/index</t>
        </is>
      </c>
      <c r="H247" s="5" t="inlineStr">
        <is>
          <t>calculation handbook</t>
        </is>
      </c>
      <c r="I247" s="5" t="inlineStr">
        <is>
          <t>CUUR0000SS53022</t>
        </is>
      </c>
      <c r="J247" s="5" t="inlineStr">
        <is>
          <t>CUSR0000SS53022</t>
        </is>
      </c>
    </row>
    <row r="248">
      <c r="A248" t="inlineStr">
        <is>
          <t>SS53023</t>
        </is>
      </c>
      <c r="B248" t="inlineStr">
        <is>
          <t>Ship fare</t>
        </is>
      </c>
      <c r="C248" s="19" t="inlineStr">
        <is>
          <t>GM</t>
        </is>
      </c>
      <c r="D248" s="19" t="inlineStr">
        <is>
          <t>monthly in New York/Los Angeles/Chicago; often bimonthly elsewhere</t>
        </is>
      </c>
      <c r="E248" s="19" t="inlineStr">
        <is>
          <t>cell-relative imputation for missing quotes; direct comparison/direct QA as applicable</t>
        </is>
      </c>
      <c r="F248" s="19" t="inlineStr"/>
      <c r="G248" s="5" t="inlineStr">
        <is>
          <t>factsheet/index</t>
        </is>
      </c>
      <c r="H248" s="5" t="inlineStr">
        <is>
          <t>calculation handbook</t>
        </is>
      </c>
      <c r="I248" s="5" t="inlineStr">
        <is>
          <t>CUUR0000SS53023</t>
        </is>
      </c>
      <c r="J248" s="5" t="inlineStr">
        <is>
          <t>CUSR0000SS53023</t>
        </is>
      </c>
    </row>
    <row r="249">
      <c r="A249" t="inlineStr">
        <is>
          <t>SETG03</t>
        </is>
      </c>
      <c r="B249" t="inlineStr">
        <is>
          <t>Intracity transportation</t>
        </is>
      </c>
      <c r="C249" s="19" t="inlineStr">
        <is>
          <t>aggregate</t>
        </is>
      </c>
      <c r="D249" s="19" t="inlineStr">
        <is>
          <t>aggregate</t>
        </is>
      </c>
      <c r="E249" s="19" t="inlineStr">
        <is>
          <t>aggregate of component methods</t>
        </is>
      </c>
      <c r="F249" s="19" t="inlineStr"/>
      <c r="G249" s="5" t="inlineStr">
        <is>
          <t>factsheet/index</t>
        </is>
      </c>
      <c r="H249" s="5" t="inlineStr">
        <is>
          <t>calculation handbook</t>
        </is>
      </c>
      <c r="I249" s="5" t="inlineStr">
        <is>
          <t>CUUR0000SETG03</t>
        </is>
      </c>
      <c r="J249" t="inlineStr"/>
    </row>
    <row r="250">
      <c r="A250" t="inlineStr">
        <is>
          <t>SS53031</t>
        </is>
      </c>
      <c r="B250" t="inlineStr">
        <is>
          <t>Intracity mass transit</t>
        </is>
      </c>
      <c r="C250" s="19" t="inlineStr">
        <is>
          <t>GM</t>
        </is>
      </c>
      <c r="D250" s="19" t="inlineStr">
        <is>
          <t>monthly in New York/Los Angeles/Chicago; often bimonthly elsewhere</t>
        </is>
      </c>
      <c r="E250" s="19" t="inlineStr">
        <is>
          <t>cell-relative imputation for missing quotes; direct comparison/direct QA as applicable</t>
        </is>
      </c>
      <c r="F250" s="19" t="inlineStr"/>
      <c r="G250" s="5" t="inlineStr">
        <is>
          <t>factsheet/index</t>
        </is>
      </c>
      <c r="H250" s="5" t="inlineStr">
        <is>
          <t>calculation handbook</t>
        </is>
      </c>
      <c r="I250" s="5" t="inlineStr">
        <is>
          <t>CUUR0000SS53031</t>
        </is>
      </c>
      <c r="J250" t="inlineStr"/>
    </row>
    <row r="251">
      <c r="A251" t="inlineStr">
        <is>
          <t>SAM</t>
        </is>
      </c>
      <c r="B251" t="inlineStr">
        <is>
          <t>Medical care</t>
        </is>
      </c>
      <c r="C251" s="19" t="inlineStr">
        <is>
          <t>aggregate</t>
        </is>
      </c>
      <c r="D251" s="19" t="inlineStr">
        <is>
          <t>aggregate</t>
        </is>
      </c>
      <c r="E251" s="19" t="inlineStr">
        <is>
          <t>aggregate</t>
        </is>
      </c>
      <c r="F251" s="19" t="inlineStr"/>
      <c r="G251" s="5" t="inlineStr">
        <is>
          <t>factsheet/index</t>
        </is>
      </c>
      <c r="H251" s="5" t="inlineStr">
        <is>
          <t>calculation handbook</t>
        </is>
      </c>
      <c r="I251" s="5" t="inlineStr">
        <is>
          <t>CUUR0000SAM</t>
        </is>
      </c>
      <c r="J251" s="5" t="inlineStr">
        <is>
          <t>CUSR0000SAM</t>
        </is>
      </c>
    </row>
    <row r="252">
      <c r="A252" t="inlineStr">
        <is>
          <t>SAM1</t>
        </is>
      </c>
      <c r="B252" t="inlineStr">
        <is>
          <t>Medical care commodities</t>
        </is>
      </c>
      <c r="C252" s="19" t="inlineStr">
        <is>
          <t>GM</t>
        </is>
      </c>
      <c r="D252" s="19" t="inlineStr">
        <is>
          <t>monthly/mixed</t>
        </is>
      </c>
      <c r="E252" s="19" t="inlineStr">
        <is>
          <t>BLS direct quality adjustment/imputation as applicable</t>
        </is>
      </c>
      <c r="F252" s="19" t="inlineStr">
        <is>
          <t>verify prescription-drug source on factsheet</t>
        </is>
      </c>
      <c r="G252" s="5" t="inlineStr">
        <is>
          <t>factsheet/index</t>
        </is>
      </c>
      <c r="H252" s="5" t="inlineStr">
        <is>
          <t>calculation handbook</t>
        </is>
      </c>
      <c r="I252" s="5" t="inlineStr">
        <is>
          <t>CUUR0000SAM1</t>
        </is>
      </c>
      <c r="J252" s="5" t="inlineStr">
        <is>
          <t>CUSR0000SAM1</t>
        </is>
      </c>
    </row>
    <row r="253">
      <c r="A253" t="inlineStr">
        <is>
          <t>SEMF</t>
        </is>
      </c>
      <c r="B253" t="inlineStr">
        <is>
          <t>Medicinal drugs</t>
        </is>
      </c>
      <c r="C253" s="19" t="inlineStr">
        <is>
          <t>aggregate</t>
        </is>
      </c>
      <c r="D253" s="19" t="inlineStr">
        <is>
          <t>aggregate</t>
        </is>
      </c>
      <c r="E253" s="19" t="inlineStr">
        <is>
          <t>aggregate of component methods</t>
        </is>
      </c>
      <c r="F253" s="19" t="inlineStr"/>
      <c r="G253" s="5" t="inlineStr">
        <is>
          <t>factsheet/index</t>
        </is>
      </c>
      <c r="H253" s="5" t="inlineStr">
        <is>
          <t>calculation handbook</t>
        </is>
      </c>
      <c r="I253" s="5" t="inlineStr">
        <is>
          <t>CUUR0000SEMF</t>
        </is>
      </c>
      <c r="J253" s="5" t="inlineStr">
        <is>
          <t>CUSR0000SEMF</t>
        </is>
      </c>
    </row>
    <row r="254">
      <c r="A254" t="inlineStr">
        <is>
          <t>SEMF01</t>
        </is>
      </c>
      <c r="B254" t="inlineStr">
        <is>
          <t>Prescription drugs</t>
        </is>
      </c>
      <c r="C254" s="19" t="inlineStr">
        <is>
          <t>GM</t>
        </is>
      </c>
      <c r="D254" s="19" t="inlineStr">
        <is>
          <t>monthly in New York/Los Angeles/Chicago; often bimonthly elsewhere</t>
        </is>
      </c>
      <c r="E254" s="19" t="inlineStr">
        <is>
          <t>cell-relative imputation for missing quotes; direct comparison/direct QA as applicable</t>
        </is>
      </c>
      <c r="F254" s="19" t="inlineStr"/>
      <c r="G254" s="5" t="inlineStr">
        <is>
          <t>factsheet/index</t>
        </is>
      </c>
      <c r="H254" s="5" t="inlineStr">
        <is>
          <t>calculation handbook</t>
        </is>
      </c>
      <c r="I254" s="5" t="inlineStr">
        <is>
          <t>CUUR0000SEMF01</t>
        </is>
      </c>
      <c r="J254" s="5" t="inlineStr">
        <is>
          <t>CUSR0000SEMF01</t>
        </is>
      </c>
    </row>
    <row r="255">
      <c r="A255" t="inlineStr">
        <is>
          <t>SEMF02</t>
        </is>
      </c>
      <c r="B255" t="inlineStr">
        <is>
          <t>Nonprescription drugs</t>
        </is>
      </c>
      <c r="C255" s="19" t="inlineStr">
        <is>
          <t>GM</t>
        </is>
      </c>
      <c r="D255" s="19" t="inlineStr">
        <is>
          <t>monthly in New York/Los Angeles/Chicago; often bimonthly elsewhere</t>
        </is>
      </c>
      <c r="E255" s="19" t="inlineStr">
        <is>
          <t>cell-relative imputation for missing quotes; direct comparison/direct QA as applicable</t>
        </is>
      </c>
      <c r="F255" s="19" t="inlineStr"/>
      <c r="G255" s="5" t="inlineStr">
        <is>
          <t>factsheet/index</t>
        </is>
      </c>
      <c r="H255" s="5" t="inlineStr">
        <is>
          <t>calculation handbook</t>
        </is>
      </c>
      <c r="I255" s="5" t="inlineStr">
        <is>
          <t>CUUR0000SEMF02</t>
        </is>
      </c>
      <c r="J255" s="5" t="inlineStr">
        <is>
          <t>CUSR0000SEMF02</t>
        </is>
      </c>
    </row>
    <row r="256">
      <c r="A256" t="inlineStr">
        <is>
          <t>SEMG</t>
        </is>
      </c>
      <c r="B256" t="inlineStr">
        <is>
          <t>Medical equipment and supplies</t>
        </is>
      </c>
      <c r="C256" s="19" t="inlineStr">
        <is>
          <t>GM</t>
        </is>
      </c>
      <c r="D256" s="19" t="inlineStr">
        <is>
          <t>monthly in New York/Los Angeles/Chicago; often bimonthly elsewhere</t>
        </is>
      </c>
      <c r="E256" s="19" t="inlineStr">
        <is>
          <t>cell-relative imputation for missing quotes; direct comparison/direct QA as applicable</t>
        </is>
      </c>
      <c r="F256" s="19" t="inlineStr"/>
      <c r="G256" s="5" t="inlineStr">
        <is>
          <t>factsheet/index</t>
        </is>
      </c>
      <c r="H256" s="5" t="inlineStr">
        <is>
          <t>calculation handbook</t>
        </is>
      </c>
      <c r="I256" s="5" t="inlineStr">
        <is>
          <t>CUUR0000SEMG</t>
        </is>
      </c>
      <c r="J256" t="inlineStr"/>
    </row>
    <row r="257">
      <c r="A257" t="inlineStr">
        <is>
          <t>SAM2</t>
        </is>
      </c>
      <c r="B257" t="inlineStr">
        <is>
          <t>Medical care services</t>
        </is>
      </c>
      <c r="C257" s="19" t="inlineStr">
        <is>
          <t>aggregate</t>
        </is>
      </c>
      <c r="D257" s="19" t="inlineStr">
        <is>
          <t>aggregate</t>
        </is>
      </c>
      <c r="E257" s="19" t="inlineStr">
        <is>
          <t>aggregate of component methods</t>
        </is>
      </c>
      <c r="F257" s="19" t="inlineStr"/>
      <c r="G257" s="5" t="inlineStr">
        <is>
          <t>factsheet/index</t>
        </is>
      </c>
      <c r="H257" s="5" t="inlineStr">
        <is>
          <t>calculation handbook</t>
        </is>
      </c>
      <c r="I257" s="5" t="inlineStr">
        <is>
          <t>CUUR0000SAM2</t>
        </is>
      </c>
      <c r="J257" s="5" t="inlineStr">
        <is>
          <t>CUSR0000SAM2</t>
        </is>
      </c>
    </row>
    <row r="258">
      <c r="A258" t="inlineStr">
        <is>
          <t>SEMC</t>
        </is>
      </c>
      <c r="B258" t="inlineStr">
        <is>
          <t>Professional services</t>
        </is>
      </c>
      <c r="C258" s="19" t="inlineStr">
        <is>
          <t>aggregate</t>
        </is>
      </c>
      <c r="D258" s="19" t="inlineStr">
        <is>
          <t>aggregate</t>
        </is>
      </c>
      <c r="E258" s="19" t="inlineStr">
        <is>
          <t>aggregate of component methods</t>
        </is>
      </c>
      <c r="F258" s="19" t="inlineStr"/>
      <c r="G258" s="5" t="inlineStr">
        <is>
          <t>factsheet/index</t>
        </is>
      </c>
      <c r="H258" s="5" t="inlineStr">
        <is>
          <t>calculation handbook</t>
        </is>
      </c>
      <c r="I258" s="5" t="inlineStr">
        <is>
          <t>CUUR0000SEMC</t>
        </is>
      </c>
      <c r="J258" s="5" t="inlineStr">
        <is>
          <t>CUSR0000SEMC</t>
        </is>
      </c>
    </row>
    <row r="259">
      <c r="A259" t="inlineStr">
        <is>
          <t>SEMC01</t>
        </is>
      </c>
      <c r="B259" t="inlineStr">
        <is>
          <t>Physicians' services</t>
        </is>
      </c>
      <c r="C259" s="19" t="inlineStr">
        <is>
          <t>GM/ML elements</t>
        </is>
      </c>
      <c r="D259" s="19" t="inlineStr">
        <is>
          <t>claims-based reimbursement pricing</t>
        </is>
      </c>
      <c r="E259" s="19" t="inlineStr">
        <is>
          <t>BLS imputation as applicable</t>
        </is>
      </c>
      <c r="F259" s="19" t="inlineStr"/>
      <c r="G259" s="5" t="inlineStr">
        <is>
          <t>factsheet/index</t>
        </is>
      </c>
      <c r="H259" s="5" t="inlineStr">
        <is>
          <t>calculation handbook</t>
        </is>
      </c>
      <c r="I259" s="5" t="inlineStr">
        <is>
          <t>CUUR0000SEMC01</t>
        </is>
      </c>
      <c r="J259" s="5" t="inlineStr">
        <is>
          <t>CUSR0000SEMC01</t>
        </is>
      </c>
    </row>
    <row r="260">
      <c r="A260" t="inlineStr">
        <is>
          <t>SEMC02</t>
        </is>
      </c>
      <c r="B260" t="inlineStr">
        <is>
          <t>Dental services</t>
        </is>
      </c>
      <c r="C260" s="19" t="inlineStr">
        <is>
          <t>GM</t>
        </is>
      </c>
      <c r="D260" s="19" t="inlineStr">
        <is>
          <t>monthly in New York/Los Angeles/Chicago; often bimonthly elsewhere</t>
        </is>
      </c>
      <c r="E260" s="19" t="inlineStr">
        <is>
          <t>cell-relative imputation for missing quotes; direct comparison/direct QA as applicable</t>
        </is>
      </c>
      <c r="F260" s="19" t="inlineStr"/>
      <c r="G260" s="5" t="inlineStr">
        <is>
          <t>factsheet/index</t>
        </is>
      </c>
      <c r="H260" s="5" t="inlineStr">
        <is>
          <t>calculation handbook</t>
        </is>
      </c>
      <c r="I260" s="5" t="inlineStr">
        <is>
          <t>CUUR0000SEMC02</t>
        </is>
      </c>
      <c r="J260" s="5" t="inlineStr">
        <is>
          <t>CUSR0000SEMC02</t>
        </is>
      </c>
    </row>
    <row r="261">
      <c r="A261" t="inlineStr">
        <is>
          <t>SEMC03</t>
        </is>
      </c>
      <c r="B261" t="inlineStr">
        <is>
          <t>Eyeglasses and eye care</t>
        </is>
      </c>
      <c r="C261" s="19" t="inlineStr">
        <is>
          <t>GM</t>
        </is>
      </c>
      <c r="D261" s="19" t="inlineStr">
        <is>
          <t>monthly in New York/Los Angeles/Chicago; often bimonthly elsewhere</t>
        </is>
      </c>
      <c r="E261" s="19" t="inlineStr">
        <is>
          <t>cell-relative imputation for missing quotes; direct comparison/direct QA as applicable</t>
        </is>
      </c>
      <c r="F261" s="19" t="inlineStr"/>
      <c r="G261" s="5" t="inlineStr">
        <is>
          <t>factsheet/index</t>
        </is>
      </c>
      <c r="H261" s="5" t="inlineStr">
        <is>
          <t>calculation handbook</t>
        </is>
      </c>
      <c r="I261" s="5" t="inlineStr">
        <is>
          <t>CUUR0000SEMC03</t>
        </is>
      </c>
      <c r="J261" s="5" t="inlineStr">
        <is>
          <t>CUSR0000SEMC03</t>
        </is>
      </c>
    </row>
    <row r="262">
      <c r="A262" t="inlineStr">
        <is>
          <t>SEMC04</t>
        </is>
      </c>
      <c r="B262" t="inlineStr">
        <is>
          <t>Services by other medical professionals</t>
        </is>
      </c>
      <c r="C262" s="19" t="inlineStr">
        <is>
          <t>GM</t>
        </is>
      </c>
      <c r="D262" s="19" t="inlineStr">
        <is>
          <t>monthly in New York/Los Angeles/Chicago; often bimonthly elsewhere</t>
        </is>
      </c>
      <c r="E262" s="19" t="inlineStr">
        <is>
          <t>cell-relative imputation for missing quotes; direct comparison/direct QA as applicable</t>
        </is>
      </c>
      <c r="F262" s="19" t="inlineStr"/>
      <c r="G262" s="5" t="inlineStr">
        <is>
          <t>factsheet/index</t>
        </is>
      </c>
      <c r="H262" s="5" t="inlineStr">
        <is>
          <t>calculation handbook</t>
        </is>
      </c>
      <c r="I262" s="5" t="inlineStr">
        <is>
          <t>CUUR0000SEMC04</t>
        </is>
      </c>
      <c r="J262" s="5" t="inlineStr">
        <is>
          <t>CUSR0000SEMC04</t>
        </is>
      </c>
    </row>
    <row r="263">
      <c r="A263" t="inlineStr">
        <is>
          <t>SEMD</t>
        </is>
      </c>
      <c r="B263" t="inlineStr">
        <is>
          <t>Hospital and related services</t>
        </is>
      </c>
      <c r="C263" s="19" t="inlineStr">
        <is>
          <t>aggregate</t>
        </is>
      </c>
      <c r="D263" s="19" t="inlineStr">
        <is>
          <t>aggregate</t>
        </is>
      </c>
      <c r="E263" s="19" t="inlineStr">
        <is>
          <t>aggregate of component methods</t>
        </is>
      </c>
      <c r="F263" s="19" t="inlineStr"/>
      <c r="G263" s="5" t="inlineStr">
        <is>
          <t>factsheet/index</t>
        </is>
      </c>
      <c r="H263" s="5" t="inlineStr">
        <is>
          <t>calculation handbook</t>
        </is>
      </c>
      <c r="I263" s="5" t="inlineStr">
        <is>
          <t>CUUR0000SEMD</t>
        </is>
      </c>
      <c r="J263" s="5" t="inlineStr">
        <is>
          <t>CUSR0000SEMD</t>
        </is>
      </c>
    </row>
    <row r="264">
      <c r="A264" t="inlineStr">
        <is>
          <t>SEMD01</t>
        </is>
      </c>
      <c r="B264" t="inlineStr">
        <is>
          <t>Hospital services</t>
        </is>
      </c>
      <c r="C264" s="19" t="inlineStr">
        <is>
          <t>ML elements</t>
        </is>
      </c>
      <c r="D264" s="19" t="inlineStr">
        <is>
          <t>monthly</t>
        </is>
      </c>
      <c r="E264" s="19" t="inlineStr">
        <is>
          <t>BLS imputation as applicable</t>
        </is>
      </c>
      <c r="F264" s="19" t="inlineStr"/>
      <c r="G264" s="5" t="inlineStr">
        <is>
          <t>factsheet/index</t>
        </is>
      </c>
      <c r="H264" s="5" t="inlineStr">
        <is>
          <t>calculation handbook</t>
        </is>
      </c>
      <c r="I264" s="5" t="inlineStr">
        <is>
          <t>CUUR0000SEMD01</t>
        </is>
      </c>
      <c r="J264" s="5" t="inlineStr">
        <is>
          <t>CUSR0000SEMD01</t>
        </is>
      </c>
    </row>
    <row r="265">
      <c r="A265" t="inlineStr">
        <is>
          <t>SS5702</t>
        </is>
      </c>
      <c r="B265" t="inlineStr">
        <is>
          <t>Inpatient hospital services</t>
        </is>
      </c>
      <c r="C265" s="19" t="inlineStr">
        <is>
          <t>ML</t>
        </is>
      </c>
      <c r="D265" s="19" t="inlineStr">
        <is>
          <t>monthly in New York/Los Angeles/Chicago; often bimonthly elsewhere</t>
        </is>
      </c>
      <c r="E265" s="19" t="inlineStr">
        <is>
          <t>cell-relative imputation for missing quotes; direct comparison/direct QA as applicable</t>
        </is>
      </c>
      <c r="F265" s="19" t="inlineStr"/>
      <c r="G265" s="5" t="inlineStr">
        <is>
          <t>factsheet/index</t>
        </is>
      </c>
      <c r="H265" s="5" t="inlineStr">
        <is>
          <t>calculation handbook</t>
        </is>
      </c>
      <c r="I265" s="5" t="inlineStr">
        <is>
          <t>CUUR0000SS5702</t>
        </is>
      </c>
      <c r="J265" s="5" t="inlineStr">
        <is>
          <t>CUSR0000SS5702</t>
        </is>
      </c>
    </row>
    <row r="266">
      <c r="A266" t="inlineStr">
        <is>
          <t>SS5703</t>
        </is>
      </c>
      <c r="B266" t="inlineStr">
        <is>
          <t>Outpatient hospital services</t>
        </is>
      </c>
      <c r="C266" s="19" t="inlineStr">
        <is>
          <t>ML</t>
        </is>
      </c>
      <c r="D266" s="19" t="inlineStr">
        <is>
          <t>monthly in New York/Los Angeles/Chicago; often bimonthly elsewhere</t>
        </is>
      </c>
      <c r="E266" s="19" t="inlineStr">
        <is>
          <t>cell-relative imputation for missing quotes; direct comparison/direct QA as applicable</t>
        </is>
      </c>
      <c r="F266" s="19" t="inlineStr"/>
      <c r="G266" s="5" t="inlineStr">
        <is>
          <t>factsheet/index</t>
        </is>
      </c>
      <c r="H266" s="5" t="inlineStr">
        <is>
          <t>calculation handbook</t>
        </is>
      </c>
      <c r="I266" s="5" t="inlineStr">
        <is>
          <t>CUUR0000SS5703</t>
        </is>
      </c>
      <c r="J266" s="5" t="inlineStr">
        <is>
          <t>CUSR0000SS5703</t>
        </is>
      </c>
    </row>
    <row r="267">
      <c r="A267" t="inlineStr">
        <is>
          <t>SEMD02</t>
        </is>
      </c>
      <c r="B267" t="inlineStr">
        <is>
          <t>Nursing homes and adult day services</t>
        </is>
      </c>
      <c r="C267" s="19" t="inlineStr">
        <is>
          <t>GM</t>
        </is>
      </c>
      <c r="D267" s="19" t="inlineStr">
        <is>
          <t>monthly in New York/Los Angeles/Chicago; often bimonthly elsewhere</t>
        </is>
      </c>
      <c r="E267" s="19" t="inlineStr">
        <is>
          <t>cell-relative imputation for missing quotes; direct comparison/direct QA as applicable</t>
        </is>
      </c>
      <c r="F267" s="19" t="inlineStr"/>
      <c r="G267" s="5" t="inlineStr">
        <is>
          <t>factsheet/index</t>
        </is>
      </c>
      <c r="H267" s="5" t="inlineStr">
        <is>
          <t>calculation handbook</t>
        </is>
      </c>
      <c r="I267" s="5" t="inlineStr">
        <is>
          <t>CUUR0000SEMD02</t>
        </is>
      </c>
      <c r="J267" s="5" t="inlineStr">
        <is>
          <t>CUSR0000SEMD02</t>
        </is>
      </c>
    </row>
    <row r="268">
      <c r="A268" t="inlineStr">
        <is>
          <t>SEMD03</t>
        </is>
      </c>
      <c r="B268" t="inlineStr">
        <is>
          <t>Home health care</t>
        </is>
      </c>
      <c r="C268" s="19" t="inlineStr">
        <is>
          <t>GM</t>
        </is>
      </c>
      <c r="D268" s="19" t="inlineStr">
        <is>
          <t>monthly in New York/Los Angeles/Chicago; often bimonthly elsewhere</t>
        </is>
      </c>
      <c r="E268" s="19" t="inlineStr">
        <is>
          <t>cell-relative imputation for missing quotes; direct comparison/direct QA as applicable</t>
        </is>
      </c>
      <c r="F268" s="19" t="inlineStr"/>
      <c r="G268" s="5" t="inlineStr">
        <is>
          <t>factsheet/index</t>
        </is>
      </c>
      <c r="H268" s="5" t="inlineStr">
        <is>
          <t>calculation handbook</t>
        </is>
      </c>
      <c r="I268" s="5" t="inlineStr">
        <is>
          <t>CUUR0000SEMD03</t>
        </is>
      </c>
      <c r="J268" t="inlineStr"/>
    </row>
    <row r="269">
      <c r="A269" t="inlineStr">
        <is>
          <t>SEME</t>
        </is>
      </c>
      <c r="B269" t="inlineStr">
        <is>
          <t>Health insurance</t>
        </is>
      </c>
      <c r="C269" s="19" t="inlineStr">
        <is>
          <t>indirect retained-earnings method</t>
        </is>
      </c>
      <c r="D269" s="19" t="inlineStr">
        <is>
          <t>annual insurer financial data incorporated on a lagged cycle</t>
        </is>
      </c>
      <c r="E269" s="19" t="inlineStr">
        <is>
          <t>method-specific retained-earnings calculation</t>
        </is>
      </c>
      <c r="F269" s="19" t="inlineStr">
        <is>
          <t>verify current retained-earnings cadence on factsheet</t>
        </is>
      </c>
      <c r="G269" s="5" t="inlineStr">
        <is>
          <t>factsheet/index</t>
        </is>
      </c>
      <c r="H269" s="5" t="inlineStr">
        <is>
          <t>calculation handbook</t>
        </is>
      </c>
      <c r="I269" s="5" t="inlineStr">
        <is>
          <t>CUUR0000SEME</t>
        </is>
      </c>
      <c r="J269" t="inlineStr"/>
    </row>
    <row r="270">
      <c r="A270" t="inlineStr">
        <is>
          <t>SAR</t>
        </is>
      </c>
      <c r="B270" t="inlineStr">
        <is>
          <t>Recreation</t>
        </is>
      </c>
      <c r="C270" s="19" t="inlineStr">
        <is>
          <t>GM</t>
        </is>
      </c>
      <c r="D270" s="19" t="inlineStr">
        <is>
          <t>bimonthly outside New York/Los Angeles/Chicago</t>
        </is>
      </c>
      <c r="E270" s="19" t="inlineStr">
        <is>
          <t>hedonics for TVs/audio where applicable</t>
        </is>
      </c>
      <c r="F270" s="19" t="inlineStr"/>
      <c r="G270" s="5" t="inlineStr">
        <is>
          <t>factsheet/index</t>
        </is>
      </c>
      <c r="H270" s="5" t="inlineStr">
        <is>
          <t>calculation handbook</t>
        </is>
      </c>
      <c r="I270" s="5" t="inlineStr">
        <is>
          <t>CUUR0000SAR</t>
        </is>
      </c>
      <c r="J270" s="5" t="inlineStr">
        <is>
          <t>CUSR0000SAR</t>
        </is>
      </c>
    </row>
    <row r="271">
      <c r="A271" t="inlineStr">
        <is>
          <t>SERA</t>
        </is>
      </c>
      <c r="B271" t="inlineStr">
        <is>
          <t>Video and audio</t>
        </is>
      </c>
      <c r="C271" s="19" t="inlineStr">
        <is>
          <t>aggregate</t>
        </is>
      </c>
      <c r="D271" s="19" t="inlineStr">
        <is>
          <t>aggregate</t>
        </is>
      </c>
      <c r="E271" s="19" t="inlineStr">
        <is>
          <t>aggregate of component methods</t>
        </is>
      </c>
      <c r="F271" s="19" t="inlineStr"/>
      <c r="G271" s="5" t="inlineStr">
        <is>
          <t>factsheet/index</t>
        </is>
      </c>
      <c r="H271" s="5" t="inlineStr">
        <is>
          <t>calculation handbook</t>
        </is>
      </c>
      <c r="I271" s="5" t="inlineStr">
        <is>
          <t>CUUR0000SERA</t>
        </is>
      </c>
      <c r="J271" s="5" t="inlineStr">
        <is>
          <t>CUSR0000SERA</t>
        </is>
      </c>
    </row>
    <row r="272">
      <c r="A272" t="inlineStr">
        <is>
          <t>SERA01</t>
        </is>
      </c>
      <c r="B272" t="inlineStr">
        <is>
          <t>Televisions</t>
        </is>
      </c>
      <c r="C272" s="19" t="inlineStr">
        <is>
          <t>GM</t>
        </is>
      </c>
      <c r="D272" s="19" t="inlineStr">
        <is>
          <t>monthly in New York/Los Angeles/Chicago; often bimonthly elsewhere</t>
        </is>
      </c>
      <c r="E272" s="19" t="inlineStr">
        <is>
          <t>hedonic quality adjustment or hedonic imputation where applicable</t>
        </is>
      </c>
      <c r="F272" s="19" t="inlineStr"/>
      <c r="G272" s="5" t="inlineStr">
        <is>
          <t>factsheet/index</t>
        </is>
      </c>
      <c r="H272" s="5" t="inlineStr">
        <is>
          <t>calculation handbook</t>
        </is>
      </c>
      <c r="I272" s="5" t="inlineStr">
        <is>
          <t>CUUR0000SERA01</t>
        </is>
      </c>
      <c r="J272" s="5" t="inlineStr">
        <is>
          <t>CUSR0000SERA01</t>
        </is>
      </c>
    </row>
    <row r="273">
      <c r="A273" t="inlineStr">
        <is>
          <t>SERA02</t>
        </is>
      </c>
      <c r="B273" t="inlineStr">
        <is>
          <t>Cable, satellite, and live streaming television service</t>
        </is>
      </c>
      <c r="C273" s="19" t="inlineStr">
        <is>
          <t>GM</t>
        </is>
      </c>
      <c r="D273" s="19" t="inlineStr">
        <is>
          <t>monthly in New York/Los Angeles/Chicago; often bimonthly elsewhere</t>
        </is>
      </c>
      <c r="E273" s="19" t="inlineStr">
        <is>
          <t>hedonic quality adjustment or hedonic imputation where applicable</t>
        </is>
      </c>
      <c r="F273" s="19" t="inlineStr"/>
      <c r="G273" s="5" t="inlineStr">
        <is>
          <t>factsheet/index</t>
        </is>
      </c>
      <c r="H273" s="5" t="inlineStr">
        <is>
          <t>calculation handbook</t>
        </is>
      </c>
      <c r="I273" s="5" t="inlineStr">
        <is>
          <t>CUUR0000SERA02</t>
        </is>
      </c>
      <c r="J273" s="5" t="inlineStr">
        <is>
          <t>CUSR0000SERA02</t>
        </is>
      </c>
    </row>
    <row r="274">
      <c r="A274" t="inlineStr">
        <is>
          <t>SERA03</t>
        </is>
      </c>
      <c r="B274" t="inlineStr">
        <is>
          <t>Other video equipment</t>
        </is>
      </c>
      <c r="C274" s="19" t="inlineStr">
        <is>
          <t>GM</t>
        </is>
      </c>
      <c r="D274" s="19" t="inlineStr">
        <is>
          <t>monthly in New York/Los Angeles/Chicago; often bimonthly elsewhere</t>
        </is>
      </c>
      <c r="E274" s="19" t="inlineStr">
        <is>
          <t>cell-relative imputation for missing quotes; direct comparison/direct QA as applicable</t>
        </is>
      </c>
      <c r="F274" s="19" t="inlineStr"/>
      <c r="G274" s="5" t="inlineStr">
        <is>
          <t>factsheet/index</t>
        </is>
      </c>
      <c r="H274" s="5" t="inlineStr">
        <is>
          <t>calculation handbook</t>
        </is>
      </c>
      <c r="I274" s="5" t="inlineStr">
        <is>
          <t>CUUR0000SERA03</t>
        </is>
      </c>
      <c r="J274" s="5" t="inlineStr">
        <is>
          <t>CUSR0000SERA03</t>
        </is>
      </c>
    </row>
    <row r="275">
      <c r="A275" t="inlineStr">
        <is>
          <t>SERA04</t>
        </is>
      </c>
      <c r="B275" t="inlineStr">
        <is>
          <t>Purchase, subscription, and rental of video</t>
        </is>
      </c>
      <c r="C275" s="19" t="inlineStr">
        <is>
          <t>aggregate</t>
        </is>
      </c>
      <c r="D275" s="19" t="inlineStr">
        <is>
          <t>aggregate</t>
        </is>
      </c>
      <c r="E275" s="19" t="inlineStr">
        <is>
          <t>aggregate of component methods</t>
        </is>
      </c>
      <c r="F275" s="19" t="inlineStr"/>
      <c r="G275" s="5" t="inlineStr">
        <is>
          <t>factsheet/index</t>
        </is>
      </c>
      <c r="H275" s="5" t="inlineStr">
        <is>
          <t>calculation handbook</t>
        </is>
      </c>
      <c r="I275" s="5" t="inlineStr">
        <is>
          <t>CUUR0000SERA04</t>
        </is>
      </c>
      <c r="J275" t="inlineStr"/>
    </row>
    <row r="276">
      <c r="A276" t="inlineStr">
        <is>
          <t>SS31022</t>
        </is>
      </c>
      <c r="B276" t="inlineStr">
        <is>
          <t>Video discs and other media</t>
        </is>
      </c>
      <c r="C276" s="19" t="inlineStr">
        <is>
          <t>GM</t>
        </is>
      </c>
      <c r="D276" s="19" t="inlineStr">
        <is>
          <t>monthly in New York/Los Angeles/Chicago; often bimonthly elsewhere</t>
        </is>
      </c>
      <c r="E276" s="19" t="inlineStr">
        <is>
          <t>cell-relative imputation for missing quotes; direct comparison/direct QA as applicable</t>
        </is>
      </c>
      <c r="F276" s="19" t="inlineStr"/>
      <c r="G276" s="5" t="inlineStr">
        <is>
          <t>factsheet/index</t>
        </is>
      </c>
      <c r="H276" s="5" t="inlineStr">
        <is>
          <t>calculation handbook</t>
        </is>
      </c>
      <c r="I276" s="5" t="inlineStr">
        <is>
          <t>CUUR0000SS31022</t>
        </is>
      </c>
      <c r="J276" t="inlineStr"/>
    </row>
    <row r="277">
      <c r="A277" t="inlineStr">
        <is>
          <t>SS62055</t>
        </is>
      </c>
      <c r="B277" t="inlineStr">
        <is>
          <t>Subscription and rental of video and video games</t>
        </is>
      </c>
      <c r="C277" s="19" t="inlineStr">
        <is>
          <t>GM</t>
        </is>
      </c>
      <c r="D277" s="19" t="inlineStr">
        <is>
          <t>monthly in New York/Los Angeles/Chicago; often bimonthly elsewhere</t>
        </is>
      </c>
      <c r="E277" s="19" t="inlineStr">
        <is>
          <t>cell-relative imputation for missing quotes; direct comparison/direct QA as applicable</t>
        </is>
      </c>
      <c r="F277" s="19" t="inlineStr"/>
      <c r="G277" s="5" t="inlineStr">
        <is>
          <t>factsheet/index</t>
        </is>
      </c>
      <c r="H277" s="5" t="inlineStr">
        <is>
          <t>calculation handbook</t>
        </is>
      </c>
      <c r="I277" s="5" t="inlineStr">
        <is>
          <t>CUUR0000SS62055</t>
        </is>
      </c>
      <c r="J277" t="inlineStr"/>
    </row>
    <row r="278">
      <c r="A278" t="inlineStr">
        <is>
          <t>SERA05</t>
        </is>
      </c>
      <c r="B278" t="inlineStr">
        <is>
          <t>Audio equipment</t>
        </is>
      </c>
      <c r="C278" s="19" t="inlineStr">
        <is>
          <t>GM</t>
        </is>
      </c>
      <c r="D278" s="19" t="inlineStr">
        <is>
          <t>monthly in New York/Los Angeles/Chicago; often bimonthly elsewhere</t>
        </is>
      </c>
      <c r="E278" s="19" t="inlineStr">
        <is>
          <t>cell-relative imputation for missing quotes; direct comparison/direct QA as applicable</t>
        </is>
      </c>
      <c r="F278" s="19" t="inlineStr"/>
      <c r="G278" s="5" t="inlineStr">
        <is>
          <t>factsheet/index</t>
        </is>
      </c>
      <c r="H278" s="5" t="inlineStr">
        <is>
          <t>calculation handbook</t>
        </is>
      </c>
      <c r="I278" s="5" t="inlineStr">
        <is>
          <t>CUUR0000SERA05</t>
        </is>
      </c>
      <c r="J278" s="5" t="inlineStr">
        <is>
          <t>CUSR0000SERA05</t>
        </is>
      </c>
    </row>
    <row r="279">
      <c r="A279" t="inlineStr">
        <is>
          <t>SERA06</t>
        </is>
      </c>
      <c r="B279" t="inlineStr">
        <is>
          <t>Recorded music and music subscriptions</t>
        </is>
      </c>
      <c r="C279" s="19" t="inlineStr">
        <is>
          <t>GM</t>
        </is>
      </c>
      <c r="D279" s="19" t="inlineStr">
        <is>
          <t>monthly in New York/Los Angeles/Chicago; often bimonthly elsewhere</t>
        </is>
      </c>
      <c r="E279" s="19" t="inlineStr">
        <is>
          <t>cell-relative imputation for missing quotes; direct comparison/direct QA as applicable</t>
        </is>
      </c>
      <c r="F279" s="19" t="inlineStr"/>
      <c r="G279" s="5" t="inlineStr">
        <is>
          <t>factsheet/index</t>
        </is>
      </c>
      <c r="H279" s="5" t="inlineStr">
        <is>
          <t>calculation handbook</t>
        </is>
      </c>
      <c r="I279" s="5" t="inlineStr">
        <is>
          <t>CUUR0000SERA06</t>
        </is>
      </c>
      <c r="J279" t="inlineStr"/>
    </row>
    <row r="280">
      <c r="A280" t="inlineStr">
        <is>
          <t>SERB</t>
        </is>
      </c>
      <c r="B280" t="inlineStr">
        <is>
          <t>Pets, pet products and services</t>
        </is>
      </c>
      <c r="C280" s="19" t="inlineStr">
        <is>
          <t>aggregate</t>
        </is>
      </c>
      <c r="D280" s="19" t="inlineStr">
        <is>
          <t>aggregate</t>
        </is>
      </c>
      <c r="E280" s="19" t="inlineStr">
        <is>
          <t>aggregate of component methods</t>
        </is>
      </c>
      <c r="F280" s="19" t="inlineStr"/>
      <c r="G280" s="5" t="inlineStr">
        <is>
          <t>factsheet/index</t>
        </is>
      </c>
      <c r="H280" s="5" t="inlineStr">
        <is>
          <t>calculation handbook</t>
        </is>
      </c>
      <c r="I280" s="5" t="inlineStr">
        <is>
          <t>CUUR0000SERB</t>
        </is>
      </c>
      <c r="J280" s="5" t="inlineStr">
        <is>
          <t>CUSR0000SERB</t>
        </is>
      </c>
    </row>
    <row r="281">
      <c r="A281" t="inlineStr">
        <is>
          <t>SERB01</t>
        </is>
      </c>
      <c r="B281" t="inlineStr">
        <is>
          <t>Pets and pet products</t>
        </is>
      </c>
      <c r="C281" s="19" t="inlineStr">
        <is>
          <t>aggregate</t>
        </is>
      </c>
      <c r="D281" s="19" t="inlineStr">
        <is>
          <t>aggregate</t>
        </is>
      </c>
      <c r="E281" s="19" t="inlineStr">
        <is>
          <t>aggregate of component methods</t>
        </is>
      </c>
      <c r="F281" s="19" t="inlineStr"/>
      <c r="G281" s="5" t="inlineStr">
        <is>
          <t>factsheet/index</t>
        </is>
      </c>
      <c r="H281" s="5" t="inlineStr">
        <is>
          <t>calculation handbook</t>
        </is>
      </c>
      <c r="I281" s="5" t="inlineStr">
        <is>
          <t>CUUR0000SERB01</t>
        </is>
      </c>
      <c r="J281" s="5" t="inlineStr">
        <is>
          <t>CUSR0000SERB01</t>
        </is>
      </c>
    </row>
    <row r="282">
      <c r="A282" t="inlineStr">
        <is>
          <t>SS61031</t>
        </is>
      </c>
      <c r="B282" t="inlineStr">
        <is>
          <t>Pet food and treats</t>
        </is>
      </c>
      <c r="C282" s="19" t="inlineStr">
        <is>
          <t>GM</t>
        </is>
      </c>
      <c r="D282" s="19" t="inlineStr">
        <is>
          <t>monthly food collection where sampled</t>
        </is>
      </c>
      <c r="E282" s="19" t="inlineStr">
        <is>
          <t>cell-relative imputation for missing quotes; direct comparison/direct QA as applicable</t>
        </is>
      </c>
      <c r="F282" s="19" t="inlineStr"/>
      <c r="G282" s="5" t="inlineStr">
        <is>
          <t>factsheet/index</t>
        </is>
      </c>
      <c r="H282" s="5" t="inlineStr">
        <is>
          <t>calculation handbook</t>
        </is>
      </c>
      <c r="I282" s="5" t="inlineStr">
        <is>
          <t>CUUR0000SS61031</t>
        </is>
      </c>
      <c r="J282" s="5" t="inlineStr">
        <is>
          <t>CUSR0000SS61031</t>
        </is>
      </c>
    </row>
    <row r="283">
      <c r="A283" t="inlineStr">
        <is>
          <t>SS61032</t>
        </is>
      </c>
      <c r="B283" t="inlineStr">
        <is>
          <t>Purchase of pets, pet supplies, accessories</t>
        </is>
      </c>
      <c r="C283" s="19" t="inlineStr">
        <is>
          <t>GM</t>
        </is>
      </c>
      <c r="D283" s="19" t="inlineStr">
        <is>
          <t>monthly in New York/Los Angeles/Chicago; often bimonthly elsewhere</t>
        </is>
      </c>
      <c r="E283" s="19" t="inlineStr">
        <is>
          <t>cell-relative imputation for missing quotes; direct comparison/direct QA as applicable</t>
        </is>
      </c>
      <c r="F283" s="19" t="inlineStr"/>
      <c r="G283" s="5" t="inlineStr">
        <is>
          <t>factsheet/index</t>
        </is>
      </c>
      <c r="H283" s="5" t="inlineStr">
        <is>
          <t>calculation handbook</t>
        </is>
      </c>
      <c r="I283" s="5" t="inlineStr">
        <is>
          <t>CUUR0000SS61032</t>
        </is>
      </c>
      <c r="J283" s="5" t="inlineStr">
        <is>
          <t>CUSR0000SS61032</t>
        </is>
      </c>
    </row>
    <row r="284">
      <c r="A284" t="inlineStr">
        <is>
          <t>SERB02</t>
        </is>
      </c>
      <c r="B284" t="inlineStr">
        <is>
          <t>Pet services including veterinary</t>
        </is>
      </c>
      <c r="C284" s="19" t="inlineStr">
        <is>
          <t>aggregate</t>
        </is>
      </c>
      <c r="D284" s="19" t="inlineStr">
        <is>
          <t>aggregate</t>
        </is>
      </c>
      <c r="E284" s="19" t="inlineStr">
        <is>
          <t>aggregate of component methods</t>
        </is>
      </c>
      <c r="F284" s="19" t="inlineStr"/>
      <c r="G284" s="5" t="inlineStr">
        <is>
          <t>factsheet/index</t>
        </is>
      </c>
      <c r="H284" s="5" t="inlineStr">
        <is>
          <t>calculation handbook</t>
        </is>
      </c>
      <c r="I284" s="5" t="inlineStr">
        <is>
          <t>CUUR0000SERB02</t>
        </is>
      </c>
      <c r="J284" s="5" t="inlineStr">
        <is>
          <t>CUSR0000SERB02</t>
        </is>
      </c>
    </row>
    <row r="285">
      <c r="A285" t="inlineStr">
        <is>
          <t>SS62053</t>
        </is>
      </c>
      <c r="B285" t="inlineStr">
        <is>
          <t>Pet services</t>
        </is>
      </c>
      <c r="C285" s="19" t="inlineStr">
        <is>
          <t>GM</t>
        </is>
      </c>
      <c r="D285" s="19" t="inlineStr">
        <is>
          <t>monthly in New York/Los Angeles/Chicago; often bimonthly elsewhere</t>
        </is>
      </c>
      <c r="E285" s="19" t="inlineStr">
        <is>
          <t>cell-relative imputation for missing quotes; direct comparison/direct QA as applicable</t>
        </is>
      </c>
      <c r="F285" s="19" t="inlineStr"/>
      <c r="G285" s="5" t="inlineStr">
        <is>
          <t>factsheet/index</t>
        </is>
      </c>
      <c r="H285" s="5" t="inlineStr">
        <is>
          <t>calculation handbook</t>
        </is>
      </c>
      <c r="I285" s="5" t="inlineStr">
        <is>
          <t>CUUR0000SS62053</t>
        </is>
      </c>
      <c r="J285" s="5" t="inlineStr">
        <is>
          <t>CUSR0000SS62053</t>
        </is>
      </c>
    </row>
    <row r="286">
      <c r="A286" t="inlineStr">
        <is>
          <t>SS62054</t>
        </is>
      </c>
      <c r="B286" t="inlineStr">
        <is>
          <t>Veterinarian services</t>
        </is>
      </c>
      <c r="C286" s="19" t="inlineStr">
        <is>
          <t>GM</t>
        </is>
      </c>
      <c r="D286" s="19" t="inlineStr">
        <is>
          <t>monthly in New York/Los Angeles/Chicago; often bimonthly elsewhere</t>
        </is>
      </c>
      <c r="E286" s="19" t="inlineStr">
        <is>
          <t>cell-relative imputation for missing quotes; direct comparison/direct QA as applicable</t>
        </is>
      </c>
      <c r="F286" s="19" t="inlineStr"/>
      <c r="G286" s="5" t="inlineStr">
        <is>
          <t>factsheet/index</t>
        </is>
      </c>
      <c r="H286" s="5" t="inlineStr">
        <is>
          <t>calculation handbook</t>
        </is>
      </c>
      <c r="I286" s="5" t="inlineStr">
        <is>
          <t>CUUR0000SS62054</t>
        </is>
      </c>
      <c r="J286" s="5" t="inlineStr">
        <is>
          <t>CUSR0000SS62054</t>
        </is>
      </c>
    </row>
    <row r="287">
      <c r="A287" t="inlineStr">
        <is>
          <t>SERC</t>
        </is>
      </c>
      <c r="B287" t="inlineStr">
        <is>
          <t>Sporting goods</t>
        </is>
      </c>
      <c r="C287" s="19" t="inlineStr">
        <is>
          <t>aggregate</t>
        </is>
      </c>
      <c r="D287" s="19" t="inlineStr">
        <is>
          <t>aggregate</t>
        </is>
      </c>
      <c r="E287" s="19" t="inlineStr">
        <is>
          <t>aggregate of component methods</t>
        </is>
      </c>
      <c r="F287" s="19" t="inlineStr"/>
      <c r="G287" s="5" t="inlineStr">
        <is>
          <t>factsheet/index</t>
        </is>
      </c>
      <c r="H287" s="5" t="inlineStr">
        <is>
          <t>calculation handbook</t>
        </is>
      </c>
      <c r="I287" s="5" t="inlineStr">
        <is>
          <t>CUUR0000SERC</t>
        </is>
      </c>
      <c r="J287" s="5" t="inlineStr">
        <is>
          <t>CUSR0000SERC</t>
        </is>
      </c>
    </row>
    <row r="288">
      <c r="A288" t="inlineStr">
        <is>
          <t>SERC01</t>
        </is>
      </c>
      <c r="B288" t="inlineStr">
        <is>
          <t>Sports vehicles including bicycles</t>
        </is>
      </c>
      <c r="C288" s="19" t="inlineStr">
        <is>
          <t>GM</t>
        </is>
      </c>
      <c r="D288" s="19" t="inlineStr">
        <is>
          <t>monthly in New York/Los Angeles/Chicago; often bimonthly elsewhere</t>
        </is>
      </c>
      <c r="E288" s="19" t="inlineStr">
        <is>
          <t>cost/depreciation quality adjustment and class-mean imputation as applicable</t>
        </is>
      </c>
      <c r="F288" s="19" t="inlineStr"/>
      <c r="G288" s="5" t="inlineStr">
        <is>
          <t>factsheet/index</t>
        </is>
      </c>
      <c r="H288" s="5" t="inlineStr">
        <is>
          <t>calculation handbook</t>
        </is>
      </c>
      <c r="I288" s="5" t="inlineStr">
        <is>
          <t>CUUR0000SERC01</t>
        </is>
      </c>
      <c r="J288" s="5" t="inlineStr">
        <is>
          <t>CUSR0000SERC01</t>
        </is>
      </c>
    </row>
    <row r="289">
      <c r="A289" t="inlineStr">
        <is>
          <t>SERC02</t>
        </is>
      </c>
      <c r="B289" t="inlineStr">
        <is>
          <t>Sports equipment</t>
        </is>
      </c>
      <c r="C289" s="19" t="inlineStr">
        <is>
          <t>GM</t>
        </is>
      </c>
      <c r="D289" s="19" t="inlineStr">
        <is>
          <t>monthly in New York/Los Angeles/Chicago; often bimonthly elsewhere</t>
        </is>
      </c>
      <c r="E289" s="19" t="inlineStr">
        <is>
          <t>cell-relative imputation for missing quotes; direct comparison/direct QA as applicable</t>
        </is>
      </c>
      <c r="F289" s="19" t="inlineStr"/>
      <c r="G289" s="5" t="inlineStr">
        <is>
          <t>factsheet/index</t>
        </is>
      </c>
      <c r="H289" s="5" t="inlineStr">
        <is>
          <t>calculation handbook</t>
        </is>
      </c>
      <c r="I289" s="5" t="inlineStr">
        <is>
          <t>CUUR0000SERC02</t>
        </is>
      </c>
      <c r="J289" s="5" t="inlineStr">
        <is>
          <t>CUSR0000SERC02</t>
        </is>
      </c>
    </row>
    <row r="290">
      <c r="A290" t="inlineStr">
        <is>
          <t>SERD</t>
        </is>
      </c>
      <c r="B290" t="inlineStr">
        <is>
          <t>Photography</t>
        </is>
      </c>
      <c r="C290" s="19" t="inlineStr">
        <is>
          <t>aggregate</t>
        </is>
      </c>
      <c r="D290" s="19" t="inlineStr">
        <is>
          <t>aggregate</t>
        </is>
      </c>
      <c r="E290" s="19" t="inlineStr">
        <is>
          <t>aggregate of component methods</t>
        </is>
      </c>
      <c r="F290" s="19" t="inlineStr"/>
      <c r="G290" s="5" t="inlineStr">
        <is>
          <t>factsheet/index</t>
        </is>
      </c>
      <c r="H290" s="5" t="inlineStr">
        <is>
          <t>calculation handbook</t>
        </is>
      </c>
      <c r="I290" s="5" t="inlineStr">
        <is>
          <t>CUUR0000SERD</t>
        </is>
      </c>
      <c r="J290" s="5" t="inlineStr">
        <is>
          <t>CUSR0000SERD</t>
        </is>
      </c>
    </row>
    <row r="291">
      <c r="A291" t="inlineStr">
        <is>
          <t>SERD01</t>
        </is>
      </c>
      <c r="B291" t="inlineStr">
        <is>
          <t>Photographic equipment and supplies</t>
        </is>
      </c>
      <c r="C291" s="19" t="inlineStr">
        <is>
          <t>aggregate</t>
        </is>
      </c>
      <c r="D291" s="19" t="inlineStr">
        <is>
          <t>aggregate</t>
        </is>
      </c>
      <c r="E291" s="19" t="inlineStr">
        <is>
          <t>aggregate of component methods</t>
        </is>
      </c>
      <c r="F291" s="19" t="inlineStr"/>
      <c r="G291" s="5" t="inlineStr">
        <is>
          <t>factsheet/index</t>
        </is>
      </c>
      <c r="H291" s="5" t="inlineStr">
        <is>
          <t>calculation handbook</t>
        </is>
      </c>
      <c r="I291" s="5" t="inlineStr">
        <is>
          <t>CUUR0000SERD01</t>
        </is>
      </c>
      <c r="J291" s="5" t="inlineStr">
        <is>
          <t>CUSR0000SERD01</t>
        </is>
      </c>
    </row>
    <row r="292">
      <c r="A292" t="inlineStr">
        <is>
          <t>SS61021</t>
        </is>
      </c>
      <c r="B292" t="inlineStr">
        <is>
          <t>Film and photographic supplies</t>
        </is>
      </c>
      <c r="C292" s="19" t="inlineStr">
        <is>
          <t>GM</t>
        </is>
      </c>
      <c r="D292" s="19" t="inlineStr">
        <is>
          <t>monthly in New York/Los Angeles/Chicago; often bimonthly elsewhere</t>
        </is>
      </c>
      <c r="E292" s="19" t="inlineStr">
        <is>
          <t>cell-relative imputation for missing quotes; direct comparison/direct QA as applicable</t>
        </is>
      </c>
      <c r="F292" s="19" t="inlineStr"/>
      <c r="G292" s="5" t="inlineStr">
        <is>
          <t>factsheet/index</t>
        </is>
      </c>
      <c r="H292" s="5" t="inlineStr">
        <is>
          <t>calculation handbook</t>
        </is>
      </c>
      <c r="I292" s="5" t="inlineStr">
        <is>
          <t>CUUR0000SS61021</t>
        </is>
      </c>
      <c r="J292" t="inlineStr"/>
    </row>
    <row r="293">
      <c r="A293" t="inlineStr">
        <is>
          <t>SS61023</t>
        </is>
      </c>
      <c r="B293" t="inlineStr">
        <is>
          <t>Photographic equipment</t>
        </is>
      </c>
      <c r="C293" s="19" t="inlineStr">
        <is>
          <t>GM</t>
        </is>
      </c>
      <c r="D293" s="19" t="inlineStr">
        <is>
          <t>monthly in New York/Los Angeles/Chicago; often bimonthly elsewhere</t>
        </is>
      </c>
      <c r="E293" s="19" t="inlineStr">
        <is>
          <t>cell-relative imputation for missing quotes; direct comparison/direct QA as applicable</t>
        </is>
      </c>
      <c r="F293" s="19" t="inlineStr"/>
      <c r="G293" s="5" t="inlineStr">
        <is>
          <t>factsheet/index</t>
        </is>
      </c>
      <c r="H293" s="5" t="inlineStr">
        <is>
          <t>calculation handbook</t>
        </is>
      </c>
      <c r="I293" s="5" t="inlineStr">
        <is>
          <t>CUUR0000SS61023</t>
        </is>
      </c>
      <c r="J293" s="5" t="inlineStr">
        <is>
          <t>CUSR0000SS61023</t>
        </is>
      </c>
    </row>
    <row r="294">
      <c r="A294" t="inlineStr">
        <is>
          <t>SERD02</t>
        </is>
      </c>
      <c r="B294" t="inlineStr">
        <is>
          <t>Photographers and photo processing</t>
        </is>
      </c>
      <c r="C294" s="19" t="inlineStr">
        <is>
          <t>aggregate</t>
        </is>
      </c>
      <c r="D294" s="19" t="inlineStr">
        <is>
          <t>aggregate</t>
        </is>
      </c>
      <c r="E294" s="19" t="inlineStr">
        <is>
          <t>aggregate of component methods</t>
        </is>
      </c>
      <c r="F294" s="19" t="inlineStr"/>
      <c r="G294" s="5" t="inlineStr">
        <is>
          <t>factsheet/index</t>
        </is>
      </c>
      <c r="H294" s="5" t="inlineStr">
        <is>
          <t>calculation handbook</t>
        </is>
      </c>
      <c r="I294" s="5" t="inlineStr">
        <is>
          <t>CUUR0000SERD02</t>
        </is>
      </c>
      <c r="J294" t="inlineStr"/>
    </row>
    <row r="295">
      <c r="A295" t="inlineStr">
        <is>
          <t>SS62051</t>
        </is>
      </c>
      <c r="B295" t="inlineStr">
        <is>
          <t>Photographer fees</t>
        </is>
      </c>
      <c r="C295" s="19" t="inlineStr">
        <is>
          <t>GM</t>
        </is>
      </c>
      <c r="D295" s="19" t="inlineStr">
        <is>
          <t>monthly in New York/Los Angeles/Chicago; often bimonthly elsewhere</t>
        </is>
      </c>
      <c r="E295" s="19" t="inlineStr">
        <is>
          <t>cell-relative imputation for missing quotes; direct comparison/direct QA as applicable</t>
        </is>
      </c>
      <c r="F295" s="19" t="inlineStr"/>
      <c r="G295" s="5" t="inlineStr">
        <is>
          <t>factsheet/index</t>
        </is>
      </c>
      <c r="H295" s="5" t="inlineStr">
        <is>
          <t>calculation handbook</t>
        </is>
      </c>
      <c r="I295" s="5" t="inlineStr">
        <is>
          <t>CUUR0000SS62051</t>
        </is>
      </c>
      <c r="J295" t="inlineStr"/>
    </row>
    <row r="296">
      <c r="A296" t="inlineStr">
        <is>
          <t>SS62052</t>
        </is>
      </c>
      <c r="B296" t="inlineStr">
        <is>
          <t>Photo Processing</t>
        </is>
      </c>
      <c r="C296" s="19" t="inlineStr">
        <is>
          <t>GM</t>
        </is>
      </c>
      <c r="D296" s="19" t="inlineStr">
        <is>
          <t>monthly in New York/Los Angeles/Chicago; often bimonthly elsewhere</t>
        </is>
      </c>
      <c r="E296" s="19" t="inlineStr">
        <is>
          <t>cell-relative imputation for missing quotes; direct comparison/direct QA as applicable</t>
        </is>
      </c>
      <c r="F296" s="19" t="inlineStr"/>
      <c r="G296" s="5" t="inlineStr">
        <is>
          <t>factsheet/index</t>
        </is>
      </c>
      <c r="H296" s="5" t="inlineStr">
        <is>
          <t>calculation handbook</t>
        </is>
      </c>
      <c r="I296" s="5" t="inlineStr">
        <is>
          <t>CUUR0000SS62052</t>
        </is>
      </c>
      <c r="J296" t="inlineStr"/>
    </row>
    <row r="297">
      <c r="A297" t="inlineStr">
        <is>
          <t>SERE</t>
        </is>
      </c>
      <c r="B297" t="inlineStr">
        <is>
          <t>Other recreational goods</t>
        </is>
      </c>
      <c r="C297" s="19" t="inlineStr">
        <is>
          <t>aggregate</t>
        </is>
      </c>
      <c r="D297" s="19" t="inlineStr">
        <is>
          <t>aggregate</t>
        </is>
      </c>
      <c r="E297" s="19" t="inlineStr">
        <is>
          <t>aggregate of component methods</t>
        </is>
      </c>
      <c r="F297" s="19" t="inlineStr"/>
      <c r="G297" s="5" t="inlineStr">
        <is>
          <t>factsheet/index</t>
        </is>
      </c>
      <c r="H297" s="5" t="inlineStr">
        <is>
          <t>calculation handbook</t>
        </is>
      </c>
      <c r="I297" s="5" t="inlineStr">
        <is>
          <t>CUUR0000SERE</t>
        </is>
      </c>
      <c r="J297" s="5" t="inlineStr">
        <is>
          <t>CUSR0000SERE</t>
        </is>
      </c>
    </row>
    <row r="298">
      <c r="A298" t="inlineStr">
        <is>
          <t>SERE01</t>
        </is>
      </c>
      <c r="B298" t="inlineStr">
        <is>
          <t>Toys</t>
        </is>
      </c>
      <c r="C298" s="19" t="inlineStr">
        <is>
          <t>aggregate</t>
        </is>
      </c>
      <c r="D298" s="19" t="inlineStr">
        <is>
          <t>aggregate</t>
        </is>
      </c>
      <c r="E298" s="19" t="inlineStr">
        <is>
          <t>aggregate of component methods</t>
        </is>
      </c>
      <c r="F298" s="19" t="inlineStr"/>
      <c r="G298" s="5" t="inlineStr">
        <is>
          <t>factsheet/index</t>
        </is>
      </c>
      <c r="H298" s="5" t="inlineStr">
        <is>
          <t>calculation handbook</t>
        </is>
      </c>
      <c r="I298" s="5" t="inlineStr">
        <is>
          <t>CUUR0000SERE01</t>
        </is>
      </c>
      <c r="J298" s="5" t="inlineStr">
        <is>
          <t>CUSR0000SERE01</t>
        </is>
      </c>
    </row>
    <row r="299">
      <c r="A299" t="inlineStr">
        <is>
          <t>SS61011</t>
        </is>
      </c>
      <c r="B299" t="inlineStr">
        <is>
          <t>Toys, games, hobbies and playground equipment</t>
        </is>
      </c>
      <c r="C299" s="19" t="inlineStr">
        <is>
          <t>GM</t>
        </is>
      </c>
      <c r="D299" s="19" t="inlineStr">
        <is>
          <t>monthly in New York/Los Angeles/Chicago; often bimonthly elsewhere</t>
        </is>
      </c>
      <c r="E299" s="19" t="inlineStr">
        <is>
          <t>cell-relative imputation for missing quotes; direct comparison/direct QA as applicable</t>
        </is>
      </c>
      <c r="F299" s="19" t="inlineStr"/>
      <c r="G299" s="5" t="inlineStr">
        <is>
          <t>factsheet/index</t>
        </is>
      </c>
      <c r="H299" s="5" t="inlineStr">
        <is>
          <t>calculation handbook</t>
        </is>
      </c>
      <c r="I299" s="5" t="inlineStr">
        <is>
          <t>CUUR0000SS61011</t>
        </is>
      </c>
      <c r="J299" s="5" t="inlineStr">
        <is>
          <t>CUSR0000SS61011</t>
        </is>
      </c>
    </row>
    <row r="300">
      <c r="A300" t="inlineStr">
        <is>
          <t>SS31023</t>
        </is>
      </c>
      <c r="B300" t="inlineStr">
        <is>
          <t>Video game hardware, software and accessories</t>
        </is>
      </c>
      <c r="C300" s="19" t="inlineStr">
        <is>
          <t>GM</t>
        </is>
      </c>
      <c r="D300" s="19" t="inlineStr">
        <is>
          <t>monthly in New York/Los Angeles/Chicago; often bimonthly elsewhere</t>
        </is>
      </c>
      <c r="E300" s="19" t="inlineStr">
        <is>
          <t>cell-relative imputation for missing quotes; direct comparison/direct QA as applicable</t>
        </is>
      </c>
      <c r="F300" s="19" t="inlineStr"/>
      <c r="G300" s="5" t="inlineStr">
        <is>
          <t>factsheet/index</t>
        </is>
      </c>
      <c r="H300" s="5" t="inlineStr">
        <is>
          <t>calculation handbook</t>
        </is>
      </c>
      <c r="I300" s="5" t="inlineStr">
        <is>
          <t>CUUR0000SS31023</t>
        </is>
      </c>
      <c r="J300" t="inlineStr"/>
    </row>
    <row r="301">
      <c r="A301" t="inlineStr">
        <is>
          <t>SERE02</t>
        </is>
      </c>
      <c r="B301" t="inlineStr">
        <is>
          <t>Sewing machines, fabric and supplies</t>
        </is>
      </c>
      <c r="C301" s="19" t="inlineStr">
        <is>
          <t>GM</t>
        </is>
      </c>
      <c r="D301" s="19" t="inlineStr">
        <is>
          <t>monthly in New York/Los Angeles/Chicago; often bimonthly elsewhere</t>
        </is>
      </c>
      <c r="E301" s="19" t="inlineStr">
        <is>
          <t>cell-relative imputation for missing quotes; direct comparison/direct QA as applicable</t>
        </is>
      </c>
      <c r="F301" s="19" t="inlineStr"/>
      <c r="G301" s="5" t="inlineStr">
        <is>
          <t>factsheet/index</t>
        </is>
      </c>
      <c r="H301" s="5" t="inlineStr">
        <is>
          <t>calculation handbook</t>
        </is>
      </c>
      <c r="I301" s="5" t="inlineStr">
        <is>
          <t>CUUR0000SERE02</t>
        </is>
      </c>
      <c r="J301" s="5" t="inlineStr">
        <is>
          <t>CUSR0000SERE02</t>
        </is>
      </c>
    </row>
    <row r="302">
      <c r="A302" t="inlineStr">
        <is>
          <t>SERE03</t>
        </is>
      </c>
      <c r="B302" t="inlineStr">
        <is>
          <t>Music instruments and accessories</t>
        </is>
      </c>
      <c r="C302" s="19" t="inlineStr">
        <is>
          <t>GM</t>
        </is>
      </c>
      <c r="D302" s="19" t="inlineStr">
        <is>
          <t>monthly in New York/Los Angeles/Chicago; often bimonthly elsewhere</t>
        </is>
      </c>
      <c r="E302" s="19" t="inlineStr">
        <is>
          <t>cell-relative imputation for missing quotes; direct comparison/direct QA as applicable</t>
        </is>
      </c>
      <c r="F302" s="19" t="inlineStr"/>
      <c r="G302" s="5" t="inlineStr">
        <is>
          <t>factsheet/index</t>
        </is>
      </c>
      <c r="H302" s="5" t="inlineStr">
        <is>
          <t>calculation handbook</t>
        </is>
      </c>
      <c r="I302" s="5" t="inlineStr">
        <is>
          <t>CUUR0000SERE03</t>
        </is>
      </c>
      <c r="J302" s="5" t="inlineStr">
        <is>
          <t>CUSR0000SERE03</t>
        </is>
      </c>
    </row>
    <row r="303">
      <c r="A303" t="inlineStr">
        <is>
          <t>SERF</t>
        </is>
      </c>
      <c r="B303" t="inlineStr">
        <is>
          <t>Other recreation services</t>
        </is>
      </c>
      <c r="C303" s="19" t="inlineStr">
        <is>
          <t>aggregate</t>
        </is>
      </c>
      <c r="D303" s="19" t="inlineStr">
        <is>
          <t>aggregate</t>
        </is>
      </c>
      <c r="E303" s="19" t="inlineStr">
        <is>
          <t>aggregate of component methods</t>
        </is>
      </c>
      <c r="F303" s="19" t="inlineStr"/>
      <c r="G303" s="5" t="inlineStr">
        <is>
          <t>factsheet/index</t>
        </is>
      </c>
      <c r="H303" s="5" t="inlineStr">
        <is>
          <t>calculation handbook</t>
        </is>
      </c>
      <c r="I303" s="5" t="inlineStr">
        <is>
          <t>CUUR0000SERF</t>
        </is>
      </c>
      <c r="J303" s="5" t="inlineStr">
        <is>
          <t>CUSR0000SERF</t>
        </is>
      </c>
    </row>
    <row r="304">
      <c r="A304" t="inlineStr">
        <is>
          <t>SERF01</t>
        </is>
      </c>
      <c r="B304" t="inlineStr">
        <is>
          <t>Club membership for shopping clubs, fraternal, or other organizations, or participant sports fees</t>
        </is>
      </c>
      <c r="C304" s="19" t="inlineStr">
        <is>
          <t>GM</t>
        </is>
      </c>
      <c r="D304" s="19" t="inlineStr">
        <is>
          <t>monthly in New York/Los Angeles/Chicago; often bimonthly elsewhere</t>
        </is>
      </c>
      <c r="E304" s="19" t="inlineStr">
        <is>
          <t>cell-relative imputation for missing quotes; direct comparison/direct QA as applicable</t>
        </is>
      </c>
      <c r="F304" s="19" t="inlineStr"/>
      <c r="G304" s="5" t="inlineStr">
        <is>
          <t>factsheet/index</t>
        </is>
      </c>
      <c r="H304" s="5" t="inlineStr">
        <is>
          <t>calculation handbook</t>
        </is>
      </c>
      <c r="I304" s="5" t="inlineStr">
        <is>
          <t>CUUR0000SERF01</t>
        </is>
      </c>
      <c r="J304" s="5" t="inlineStr">
        <is>
          <t>CUSR0000SERF01</t>
        </is>
      </c>
    </row>
    <row r="305">
      <c r="A305" t="inlineStr">
        <is>
          <t>SERF02</t>
        </is>
      </c>
      <c r="B305" t="inlineStr">
        <is>
          <t>Admissions</t>
        </is>
      </c>
      <c r="C305" s="19" t="inlineStr">
        <is>
          <t>aggregate</t>
        </is>
      </c>
      <c r="D305" s="19" t="inlineStr">
        <is>
          <t>aggregate</t>
        </is>
      </c>
      <c r="E305" s="19" t="inlineStr">
        <is>
          <t>aggregate of component methods</t>
        </is>
      </c>
      <c r="F305" s="19" t="inlineStr"/>
      <c r="G305" s="5" t="inlineStr">
        <is>
          <t>factsheet/index</t>
        </is>
      </c>
      <c r="H305" s="5" t="inlineStr">
        <is>
          <t>calculation handbook</t>
        </is>
      </c>
      <c r="I305" s="5" t="inlineStr">
        <is>
          <t>CUUR0000SERF02</t>
        </is>
      </c>
      <c r="J305" s="5" t="inlineStr">
        <is>
          <t>CUSR0000SERF02</t>
        </is>
      </c>
    </row>
    <row r="306">
      <c r="A306" t="inlineStr">
        <is>
          <t>SS62031</t>
        </is>
      </c>
      <c r="B306" t="inlineStr">
        <is>
          <t>Admission to movies, theaters, and concerts</t>
        </is>
      </c>
      <c r="C306" s="19" t="inlineStr">
        <is>
          <t>GM</t>
        </is>
      </c>
      <c r="D306" s="19" t="inlineStr">
        <is>
          <t>monthly in New York/Los Angeles/Chicago; often bimonthly elsewhere</t>
        </is>
      </c>
      <c r="E306" s="19" t="inlineStr">
        <is>
          <t>cell-relative imputation for missing quotes; direct comparison/direct QA as applicable</t>
        </is>
      </c>
      <c r="F306" s="19" t="inlineStr"/>
      <c r="G306" s="5" t="inlineStr">
        <is>
          <t>factsheet/index</t>
        </is>
      </c>
      <c r="H306" s="5" t="inlineStr">
        <is>
          <t>calculation handbook</t>
        </is>
      </c>
      <c r="I306" s="5" t="inlineStr">
        <is>
          <t>CUUR0000SS62031</t>
        </is>
      </c>
      <c r="J306" s="5" t="inlineStr">
        <is>
          <t>CUSR0000SS62031</t>
        </is>
      </c>
    </row>
    <row r="307">
      <c r="A307" t="inlineStr">
        <is>
          <t>SS62032</t>
        </is>
      </c>
      <c r="B307" t="inlineStr">
        <is>
          <t>Admission to sporting events</t>
        </is>
      </c>
      <c r="C307" s="19" t="inlineStr">
        <is>
          <t>GM</t>
        </is>
      </c>
      <c r="D307" s="19" t="inlineStr">
        <is>
          <t>monthly in New York/Los Angeles/Chicago; often bimonthly elsewhere</t>
        </is>
      </c>
      <c r="E307" s="19" t="inlineStr">
        <is>
          <t>cell-relative imputation for missing quotes; direct comparison/direct QA as applicable</t>
        </is>
      </c>
      <c r="F307" s="19" t="inlineStr"/>
      <c r="G307" s="5" t="inlineStr">
        <is>
          <t>factsheet/index</t>
        </is>
      </c>
      <c r="H307" s="5" t="inlineStr">
        <is>
          <t>calculation handbook</t>
        </is>
      </c>
      <c r="I307" s="5" t="inlineStr">
        <is>
          <t>CUUR0000SS62032</t>
        </is>
      </c>
      <c r="J307" s="5" t="inlineStr">
        <is>
          <t>CUSR0000SS62032</t>
        </is>
      </c>
    </row>
    <row r="308">
      <c r="A308" t="inlineStr">
        <is>
          <t>SERF03</t>
        </is>
      </c>
      <c r="B308" t="inlineStr">
        <is>
          <t>Fees for lessons or instructions</t>
        </is>
      </c>
      <c r="C308" s="19" t="inlineStr">
        <is>
          <t>GM</t>
        </is>
      </c>
      <c r="D308" s="19" t="inlineStr">
        <is>
          <t>monthly in New York/Los Angeles/Chicago; often bimonthly elsewhere</t>
        </is>
      </c>
      <c r="E308" s="19" t="inlineStr">
        <is>
          <t>cell-relative imputation for missing quotes; direct comparison/direct QA as applicable</t>
        </is>
      </c>
      <c r="F308" s="19" t="inlineStr"/>
      <c r="G308" s="5" t="inlineStr">
        <is>
          <t>factsheet/index</t>
        </is>
      </c>
      <c r="H308" s="5" t="inlineStr">
        <is>
          <t>calculation handbook</t>
        </is>
      </c>
      <c r="I308" s="5" t="inlineStr">
        <is>
          <t>CUUR0000SERF03</t>
        </is>
      </c>
      <c r="J308" s="5" t="inlineStr">
        <is>
          <t>CUSR0000SERF03</t>
        </is>
      </c>
    </row>
    <row r="309">
      <c r="A309" t="inlineStr">
        <is>
          <t>SERG</t>
        </is>
      </c>
      <c r="B309" t="inlineStr">
        <is>
          <t>Recreational reading materials</t>
        </is>
      </c>
      <c r="C309" s="19" t="inlineStr">
        <is>
          <t>aggregate</t>
        </is>
      </c>
      <c r="D309" s="19" t="inlineStr">
        <is>
          <t>aggregate</t>
        </is>
      </c>
      <c r="E309" s="19" t="inlineStr">
        <is>
          <t>aggregate of component methods</t>
        </is>
      </c>
      <c r="F309" s="19" t="inlineStr"/>
      <c r="G309" s="5" t="inlineStr">
        <is>
          <t>factsheet/index</t>
        </is>
      </c>
      <c r="H309" s="5" t="inlineStr">
        <is>
          <t>calculation handbook</t>
        </is>
      </c>
      <c r="I309" s="5" t="inlineStr">
        <is>
          <t>CUUR0000SERG</t>
        </is>
      </c>
      <c r="J309" s="5" t="inlineStr">
        <is>
          <t>CUSR0000SERG</t>
        </is>
      </c>
    </row>
    <row r="310">
      <c r="A310" t="inlineStr">
        <is>
          <t>SERG01</t>
        </is>
      </c>
      <c r="B310" t="inlineStr">
        <is>
          <t>Newspapers and magazines</t>
        </is>
      </c>
      <c r="C310" s="19" t="inlineStr">
        <is>
          <t>GM</t>
        </is>
      </c>
      <c r="D310" s="19" t="inlineStr">
        <is>
          <t>monthly in New York/Los Angeles/Chicago; often bimonthly elsewhere</t>
        </is>
      </c>
      <c r="E310" s="19" t="inlineStr">
        <is>
          <t>cell-relative imputation for missing quotes; direct comparison/direct QA as applicable</t>
        </is>
      </c>
      <c r="F310" s="19" t="inlineStr"/>
      <c r="G310" s="5" t="inlineStr">
        <is>
          <t>factsheet/index</t>
        </is>
      </c>
      <c r="H310" s="5" t="inlineStr">
        <is>
          <t>calculation handbook</t>
        </is>
      </c>
      <c r="I310" s="5" t="inlineStr">
        <is>
          <t>CUUR0000SERG01</t>
        </is>
      </c>
      <c r="J310" t="inlineStr"/>
    </row>
    <row r="311">
      <c r="A311" t="inlineStr">
        <is>
          <t>SERG02</t>
        </is>
      </c>
      <c r="B311" t="inlineStr">
        <is>
          <t>Recreational books</t>
        </is>
      </c>
      <c r="C311" s="19" t="inlineStr">
        <is>
          <t>GM</t>
        </is>
      </c>
      <c r="D311" s="19" t="inlineStr">
        <is>
          <t>monthly in New York/Los Angeles/Chicago; often bimonthly elsewhere</t>
        </is>
      </c>
      <c r="E311" s="19" t="inlineStr">
        <is>
          <t>cell-relative imputation for missing quotes; direct comparison/direct QA as applicable</t>
        </is>
      </c>
      <c r="F311" s="19" t="inlineStr"/>
      <c r="G311" s="5" t="inlineStr">
        <is>
          <t>factsheet/index</t>
        </is>
      </c>
      <c r="H311" s="5" t="inlineStr">
        <is>
          <t>calculation handbook</t>
        </is>
      </c>
      <c r="I311" s="5" t="inlineStr">
        <is>
          <t>CUUR0000SERG02</t>
        </is>
      </c>
      <c r="J311" t="inlineStr"/>
    </row>
    <row r="312">
      <c r="A312" t="inlineStr">
        <is>
          <t>SAE</t>
        </is>
      </c>
      <c r="B312" t="inlineStr">
        <is>
          <t>Education and communication</t>
        </is>
      </c>
      <c r="C312" s="19" t="inlineStr">
        <is>
          <t>aggregate</t>
        </is>
      </c>
      <c r="D312" s="19" t="inlineStr">
        <is>
          <t>aggregate</t>
        </is>
      </c>
      <c r="E312" s="19" t="inlineStr">
        <is>
          <t>aggregate</t>
        </is>
      </c>
      <c r="F312" s="19" t="inlineStr"/>
      <c r="G312" s="5" t="inlineStr">
        <is>
          <t>factsheet/index</t>
        </is>
      </c>
      <c r="H312" s="5" t="inlineStr">
        <is>
          <t>calculation handbook</t>
        </is>
      </c>
      <c r="I312" s="5" t="inlineStr">
        <is>
          <t>CUUR0000SAE</t>
        </is>
      </c>
      <c r="J312" s="5" t="inlineStr">
        <is>
          <t>CUSR0000SAE</t>
        </is>
      </c>
    </row>
    <row r="313">
      <c r="A313" t="inlineStr">
        <is>
          <t>SAE1</t>
        </is>
      </c>
      <c r="B313" t="inlineStr">
        <is>
          <t>Education</t>
        </is>
      </c>
      <c r="C313" s="19" t="inlineStr">
        <is>
          <t>aggregate</t>
        </is>
      </c>
      <c r="D313" s="19" t="inlineStr">
        <is>
          <t>aggregate</t>
        </is>
      </c>
      <c r="E313" s="19" t="inlineStr">
        <is>
          <t>aggregate of component methods</t>
        </is>
      </c>
      <c r="F313" s="19" t="inlineStr"/>
      <c r="G313" s="5" t="inlineStr">
        <is>
          <t>factsheet/index</t>
        </is>
      </c>
      <c r="H313" s="5" t="inlineStr">
        <is>
          <t>calculation handbook</t>
        </is>
      </c>
      <c r="I313" s="5" t="inlineStr">
        <is>
          <t>CUUR0000SAE1</t>
        </is>
      </c>
      <c r="J313" s="5" t="inlineStr">
        <is>
          <t>CUSR0000SAE1</t>
        </is>
      </c>
    </row>
    <row r="314">
      <c r="A314" t="inlineStr">
        <is>
          <t>SEEA</t>
        </is>
      </c>
      <c r="B314" t="inlineStr">
        <is>
          <t>Educational books and supplies</t>
        </is>
      </c>
      <c r="C314" s="19" t="inlineStr">
        <is>
          <t>aggregate</t>
        </is>
      </c>
      <c r="D314" s="19" t="inlineStr">
        <is>
          <t>aggregate</t>
        </is>
      </c>
      <c r="E314" s="19" t="inlineStr">
        <is>
          <t>aggregate of component methods</t>
        </is>
      </c>
      <c r="F314" s="19" t="inlineStr"/>
      <c r="G314" s="5" t="inlineStr">
        <is>
          <t>factsheet/index</t>
        </is>
      </c>
      <c r="H314" s="5" t="inlineStr">
        <is>
          <t>calculation handbook</t>
        </is>
      </c>
      <c r="I314" s="5" t="inlineStr">
        <is>
          <t>CUUR0000SEEA</t>
        </is>
      </c>
      <c r="J314" s="5" t="inlineStr">
        <is>
          <t>CUSR0000SEEA</t>
        </is>
      </c>
    </row>
    <row r="315">
      <c r="A315" t="inlineStr">
        <is>
          <t>SSEA011</t>
        </is>
      </c>
      <c r="B315" t="inlineStr">
        <is>
          <t>College textbooks</t>
        </is>
      </c>
      <c r="C315" s="19" t="inlineStr">
        <is>
          <t>GM</t>
        </is>
      </c>
      <c r="D315" s="19" t="inlineStr">
        <is>
          <t>monthly in New York/Los Angeles/Chicago; often bimonthly elsewhere</t>
        </is>
      </c>
      <c r="E315" s="19" t="inlineStr">
        <is>
          <t>cell-relative imputation for missing quotes; direct comparison/direct QA as applicable</t>
        </is>
      </c>
      <c r="F315" s="19" t="inlineStr"/>
      <c r="G315" s="5" t="inlineStr">
        <is>
          <t>factsheet/index</t>
        </is>
      </c>
      <c r="H315" s="5" t="inlineStr">
        <is>
          <t>calculation handbook</t>
        </is>
      </c>
      <c r="I315" s="5" t="inlineStr">
        <is>
          <t>CUUR0000SSEA011</t>
        </is>
      </c>
      <c r="J315" t="inlineStr"/>
    </row>
    <row r="316">
      <c r="A316" t="inlineStr">
        <is>
          <t>SEEB</t>
        </is>
      </c>
      <c r="B316" t="inlineStr">
        <is>
          <t>Tuition, other school fees, and childcare</t>
        </is>
      </c>
      <c r="C316" s="19" t="inlineStr">
        <is>
          <t>aggregate</t>
        </is>
      </c>
      <c r="D316" s="19" t="inlineStr">
        <is>
          <t>aggregate</t>
        </is>
      </c>
      <c r="E316" s="19" t="inlineStr">
        <is>
          <t>aggregate of component methods</t>
        </is>
      </c>
      <c r="F316" s="19" t="inlineStr"/>
      <c r="G316" s="5" t="inlineStr">
        <is>
          <t>factsheet/index</t>
        </is>
      </c>
      <c r="H316" s="5" t="inlineStr">
        <is>
          <t>calculation handbook</t>
        </is>
      </c>
      <c r="I316" s="5" t="inlineStr">
        <is>
          <t>CUUR0000SEEB</t>
        </is>
      </c>
      <c r="J316" s="5" t="inlineStr">
        <is>
          <t>CUSR0000SEEB</t>
        </is>
      </c>
    </row>
    <row r="317">
      <c r="A317" t="inlineStr">
        <is>
          <t>SEEB01</t>
        </is>
      </c>
      <c r="B317" t="inlineStr">
        <is>
          <t>College tuition and fees</t>
        </is>
      </c>
      <c r="C317" s="19" t="inlineStr">
        <is>
          <t>GM</t>
        </is>
      </c>
      <c r="D317" s="19" t="inlineStr">
        <is>
          <t>annual repricing concentrated in Aug-Sep</t>
        </is>
      </c>
      <c r="E317" s="19" t="inlineStr">
        <is>
          <t>BLS direct quality adjustment/imputation as applicable</t>
        </is>
      </c>
      <c r="F317" s="19" t="inlineStr"/>
      <c r="G317" s="5" t="inlineStr">
        <is>
          <t>factsheet/index</t>
        </is>
      </c>
      <c r="H317" s="5" t="inlineStr">
        <is>
          <t>calculation handbook</t>
        </is>
      </c>
      <c r="I317" s="5" t="inlineStr">
        <is>
          <t>CUUR0000SEEB01</t>
        </is>
      </c>
      <c r="J317" s="5" t="inlineStr">
        <is>
          <t>CUSR0000SEEB01</t>
        </is>
      </c>
    </row>
    <row r="318">
      <c r="A318" t="inlineStr">
        <is>
          <t>SEEB02</t>
        </is>
      </c>
      <c r="B318" t="inlineStr">
        <is>
          <t>Elementary and high school tuition and fees</t>
        </is>
      </c>
      <c r="C318" s="19" t="inlineStr">
        <is>
          <t>GM</t>
        </is>
      </c>
      <c r="D318" s="19" t="inlineStr">
        <is>
          <t>monthly in New York/Los Angeles/Chicago; often bimonthly elsewhere</t>
        </is>
      </c>
      <c r="E318" s="19" t="inlineStr">
        <is>
          <t>cell-relative imputation for missing quotes; direct comparison/direct QA as applicable</t>
        </is>
      </c>
      <c r="F318" s="19" t="inlineStr"/>
      <c r="G318" s="5" t="inlineStr">
        <is>
          <t>factsheet/index</t>
        </is>
      </c>
      <c r="H318" s="5" t="inlineStr">
        <is>
          <t>calculation handbook</t>
        </is>
      </c>
      <c r="I318" s="5" t="inlineStr">
        <is>
          <t>CUUR0000SEEB02</t>
        </is>
      </c>
      <c r="J318" s="5" t="inlineStr">
        <is>
          <t>CUSR0000SEEB02</t>
        </is>
      </c>
    </row>
    <row r="319">
      <c r="A319" t="inlineStr">
        <is>
          <t>SEEB03</t>
        </is>
      </c>
      <c r="B319" t="inlineStr">
        <is>
          <t>Day care and preschool</t>
        </is>
      </c>
      <c r="C319" s="19" t="inlineStr">
        <is>
          <t>GM</t>
        </is>
      </c>
      <c r="D319" s="19" t="inlineStr">
        <is>
          <t>monthly in New York/Los Angeles/Chicago; often bimonthly elsewhere</t>
        </is>
      </c>
      <c r="E319" s="19" t="inlineStr">
        <is>
          <t>cell-relative imputation for missing quotes; direct comparison/direct QA as applicable</t>
        </is>
      </c>
      <c r="F319" s="19" t="inlineStr"/>
      <c r="G319" s="5" t="inlineStr">
        <is>
          <t>factsheet/index</t>
        </is>
      </c>
      <c r="H319" s="5" t="inlineStr">
        <is>
          <t>calculation handbook</t>
        </is>
      </c>
      <c r="I319" s="5" t="inlineStr">
        <is>
          <t>CUUR0000SEEB03</t>
        </is>
      </c>
      <c r="J319" s="5" t="inlineStr">
        <is>
          <t>CUSR0000SEEB03</t>
        </is>
      </c>
    </row>
    <row r="320">
      <c r="A320" t="inlineStr">
        <is>
          <t>SEEB04</t>
        </is>
      </c>
      <c r="B320" t="inlineStr">
        <is>
          <t>Technical and vocational school tuition and fixed fees</t>
        </is>
      </c>
      <c r="C320" s="19" t="inlineStr">
        <is>
          <t>GM</t>
        </is>
      </c>
      <c r="D320" s="19" t="inlineStr">
        <is>
          <t>monthly in New York/Los Angeles/Chicago; often bimonthly elsewhere</t>
        </is>
      </c>
      <c r="E320" s="19" t="inlineStr">
        <is>
          <t>cell-relative imputation for missing quotes; direct comparison/direct QA as applicable</t>
        </is>
      </c>
      <c r="F320" s="19" t="inlineStr"/>
      <c r="G320" s="5" t="inlineStr">
        <is>
          <t>factsheet/index</t>
        </is>
      </c>
      <c r="H320" s="5" t="inlineStr">
        <is>
          <t>calculation handbook</t>
        </is>
      </c>
      <c r="I320" s="5" t="inlineStr">
        <is>
          <t>CUUR0000SEEB04</t>
        </is>
      </c>
      <c r="J320" s="5" t="inlineStr">
        <is>
          <t>CUSR0000SEEB04</t>
        </is>
      </c>
    </row>
    <row r="321">
      <c r="A321" t="inlineStr">
        <is>
          <t>SAE2</t>
        </is>
      </c>
      <c r="B321" t="inlineStr">
        <is>
          <t>Communication</t>
        </is>
      </c>
      <c r="C321" s="19" t="inlineStr">
        <is>
          <t>aggregate</t>
        </is>
      </c>
      <c r="D321" s="19" t="inlineStr">
        <is>
          <t>aggregate</t>
        </is>
      </c>
      <c r="E321" s="19" t="inlineStr">
        <is>
          <t>aggregate of component methods</t>
        </is>
      </c>
      <c r="F321" s="19" t="inlineStr"/>
      <c r="G321" s="5" t="inlineStr">
        <is>
          <t>factsheet/index</t>
        </is>
      </c>
      <c r="H321" s="5" t="inlineStr">
        <is>
          <t>calculation handbook</t>
        </is>
      </c>
      <c r="I321" s="5" t="inlineStr">
        <is>
          <t>CUUR0000SAE2</t>
        </is>
      </c>
      <c r="J321" s="5" t="inlineStr">
        <is>
          <t>CUSR0000SAE2</t>
        </is>
      </c>
    </row>
    <row r="322">
      <c r="A322" t="inlineStr">
        <is>
          <t>SEEC</t>
        </is>
      </c>
      <c r="B322" t="inlineStr">
        <is>
          <t>Postage and delivery services</t>
        </is>
      </c>
      <c r="C322" s="19" t="inlineStr">
        <is>
          <t>aggregate</t>
        </is>
      </c>
      <c r="D322" s="19" t="inlineStr">
        <is>
          <t>aggregate</t>
        </is>
      </c>
      <c r="E322" s="19" t="inlineStr">
        <is>
          <t>aggregate of component methods</t>
        </is>
      </c>
      <c r="F322" s="19" t="inlineStr"/>
      <c r="G322" s="5" t="inlineStr">
        <is>
          <t>factsheet/index</t>
        </is>
      </c>
      <c r="H322" s="5" t="inlineStr">
        <is>
          <t>calculation handbook</t>
        </is>
      </c>
      <c r="I322" s="5" t="inlineStr">
        <is>
          <t>CUUR0000SEEC</t>
        </is>
      </c>
      <c r="J322" s="5" t="inlineStr">
        <is>
          <t>CUSR0000SEEC</t>
        </is>
      </c>
    </row>
    <row r="323">
      <c r="A323" t="inlineStr">
        <is>
          <t>SEEC01</t>
        </is>
      </c>
      <c r="B323" t="inlineStr">
        <is>
          <t>Postage</t>
        </is>
      </c>
      <c r="C323" s="19" t="inlineStr">
        <is>
          <t>GM</t>
        </is>
      </c>
      <c r="D323" s="19" t="inlineStr">
        <is>
          <t>monthly in New York/Los Angeles/Chicago; often bimonthly elsewhere</t>
        </is>
      </c>
      <c r="E323" s="19" t="inlineStr">
        <is>
          <t>cell-relative imputation for missing quotes; direct comparison/direct QA as applicable</t>
        </is>
      </c>
      <c r="F323" s="19" t="inlineStr"/>
      <c r="G323" s="5" t="inlineStr">
        <is>
          <t>factsheet/index</t>
        </is>
      </c>
      <c r="H323" s="5" t="inlineStr">
        <is>
          <t>calculation handbook</t>
        </is>
      </c>
      <c r="I323" s="5" t="inlineStr">
        <is>
          <t>CUUR0000SEEC01</t>
        </is>
      </c>
      <c r="J323" s="5" t="inlineStr">
        <is>
          <t>CUSR0000SEEC01</t>
        </is>
      </c>
    </row>
    <row r="324">
      <c r="A324" t="inlineStr">
        <is>
          <t>SEEC02</t>
        </is>
      </c>
      <c r="B324" t="inlineStr">
        <is>
          <t>Delivery services</t>
        </is>
      </c>
      <c r="C324" s="19" t="inlineStr">
        <is>
          <t>GM</t>
        </is>
      </c>
      <c r="D324" s="19" t="inlineStr">
        <is>
          <t>monthly in New York/Los Angeles/Chicago; often bimonthly elsewhere</t>
        </is>
      </c>
      <c r="E324" s="19" t="inlineStr">
        <is>
          <t>cell-relative imputation for missing quotes; direct comparison/direct QA as applicable</t>
        </is>
      </c>
      <c r="F324" s="19" t="inlineStr"/>
      <c r="G324" s="5" t="inlineStr">
        <is>
          <t>factsheet/index</t>
        </is>
      </c>
      <c r="H324" s="5" t="inlineStr">
        <is>
          <t>calculation handbook</t>
        </is>
      </c>
      <c r="I324" s="5" t="inlineStr">
        <is>
          <t>CUUR0000SEEC02</t>
        </is>
      </c>
      <c r="J324" s="5" t="inlineStr">
        <is>
          <t>CUSR0000SEEC02</t>
        </is>
      </c>
    </row>
    <row r="325">
      <c r="A325" t="inlineStr">
        <is>
          <t>SAE21</t>
        </is>
      </c>
      <c r="B325" t="inlineStr">
        <is>
          <t>Information and information processing</t>
        </is>
      </c>
      <c r="C325" s="19" t="inlineStr">
        <is>
          <t>aggregate</t>
        </is>
      </c>
      <c r="D325" s="19" t="inlineStr">
        <is>
          <t>aggregate</t>
        </is>
      </c>
      <c r="E325" s="19" t="inlineStr">
        <is>
          <t>aggregate of component methods</t>
        </is>
      </c>
      <c r="F325" s="19" t="inlineStr"/>
      <c r="G325" s="5" t="inlineStr">
        <is>
          <t>factsheet/index</t>
        </is>
      </c>
      <c r="H325" s="5" t="inlineStr">
        <is>
          <t>calculation handbook</t>
        </is>
      </c>
      <c r="I325" s="5" t="inlineStr">
        <is>
          <t>CUUR0000SAE21</t>
        </is>
      </c>
      <c r="J325" s="5" t="inlineStr">
        <is>
          <t>CUSR0000SAE21</t>
        </is>
      </c>
    </row>
    <row r="326">
      <c r="A326" t="inlineStr">
        <is>
          <t>SEED</t>
        </is>
      </c>
      <c r="B326" t="inlineStr">
        <is>
          <t>Telephone services</t>
        </is>
      </c>
      <c r="C326" s="19" t="inlineStr">
        <is>
          <t>aggregate</t>
        </is>
      </c>
      <c r="D326" s="19" t="inlineStr">
        <is>
          <t>aggregate</t>
        </is>
      </c>
      <c r="E326" s="19" t="inlineStr">
        <is>
          <t>aggregate of component methods</t>
        </is>
      </c>
      <c r="F326" s="19" t="inlineStr"/>
      <c r="G326" s="5" t="inlineStr">
        <is>
          <t>factsheet/index</t>
        </is>
      </c>
      <c r="H326" s="5" t="inlineStr">
        <is>
          <t>calculation handbook</t>
        </is>
      </c>
      <c r="I326" s="5" t="inlineStr">
        <is>
          <t>CUUR0000SEED</t>
        </is>
      </c>
      <c r="J326" t="inlineStr"/>
    </row>
    <row r="327">
      <c r="A327" t="inlineStr">
        <is>
          <t>SEED03</t>
        </is>
      </c>
      <c r="B327" t="inlineStr">
        <is>
          <t>Wireless telephone services</t>
        </is>
      </c>
      <c r="C327" s="19" t="inlineStr">
        <is>
          <t>GM</t>
        </is>
      </c>
      <c r="D327" s="19" t="inlineStr">
        <is>
          <t>secondary-source plan-offer plus expenditure data</t>
        </is>
      </c>
      <c r="E327" s="19" t="inlineStr">
        <is>
          <t>hedonic imputation</t>
        </is>
      </c>
      <c r="F327" s="19" t="inlineStr">
        <is>
          <t>secondary-source plan-offer plus expenditure data since July 2025 indexes</t>
        </is>
      </c>
      <c r="G327" s="5" t="inlineStr">
        <is>
          <t>factsheet/index</t>
        </is>
      </c>
      <c r="H327" s="5" t="inlineStr">
        <is>
          <t>calculation handbook</t>
        </is>
      </c>
      <c r="I327" s="5" t="inlineStr">
        <is>
          <t>CUUR0000SEED03</t>
        </is>
      </c>
      <c r="J327" t="inlineStr"/>
    </row>
    <row r="328">
      <c r="A328" t="inlineStr">
        <is>
          <t>SEED04</t>
        </is>
      </c>
      <c r="B328" t="inlineStr">
        <is>
          <t>Residential telephone services</t>
        </is>
      </c>
      <c r="C328" s="19" t="inlineStr">
        <is>
          <t>aggregate</t>
        </is>
      </c>
      <c r="D328" s="19" t="inlineStr">
        <is>
          <t>aggregate</t>
        </is>
      </c>
      <c r="E328" s="19" t="inlineStr">
        <is>
          <t>aggregate of component methods</t>
        </is>
      </c>
      <c r="F328" s="19" t="inlineStr"/>
      <c r="G328" s="5" t="inlineStr">
        <is>
          <t>factsheet/index</t>
        </is>
      </c>
      <c r="H328" s="5" t="inlineStr">
        <is>
          <t>calculation handbook</t>
        </is>
      </c>
      <c r="I328" s="5" t="inlineStr">
        <is>
          <t>CUUR0000SEED04</t>
        </is>
      </c>
      <c r="J328" t="inlineStr"/>
    </row>
    <row r="329">
      <c r="A329" t="inlineStr">
        <is>
          <t>SS27051</t>
        </is>
      </c>
      <c r="B329" t="inlineStr">
        <is>
          <t>Land-line interstate toll calls</t>
        </is>
      </c>
      <c r="C329" s="19" t="inlineStr">
        <is>
          <t>GM</t>
        </is>
      </c>
      <c r="D329" s="19" t="inlineStr">
        <is>
          <t>monthly in New York/Los Angeles/Chicago; often bimonthly elsewhere</t>
        </is>
      </c>
      <c r="E329" s="19" t="inlineStr">
        <is>
          <t>cell-relative imputation for missing quotes; direct comparison/direct QA as applicable</t>
        </is>
      </c>
      <c r="F329" s="19" t="inlineStr"/>
      <c r="G329" s="5" t="inlineStr">
        <is>
          <t>factsheet/index</t>
        </is>
      </c>
      <c r="H329" s="5" t="inlineStr">
        <is>
          <t>calculation handbook</t>
        </is>
      </c>
      <c r="I329" s="5" t="inlineStr">
        <is>
          <t>CUUR0000SS27051</t>
        </is>
      </c>
      <c r="J329" t="inlineStr"/>
    </row>
    <row r="330">
      <c r="A330" t="inlineStr">
        <is>
          <t>SS27061</t>
        </is>
      </c>
      <c r="B330" t="inlineStr">
        <is>
          <t>Land-line intrastate toll calls</t>
        </is>
      </c>
      <c r="C330" s="19" t="inlineStr">
        <is>
          <t>GM</t>
        </is>
      </c>
      <c r="D330" s="19" t="inlineStr">
        <is>
          <t>monthly in New York/Los Angeles/Chicago; often bimonthly elsewhere</t>
        </is>
      </c>
      <c r="E330" s="19" t="inlineStr">
        <is>
          <t>cell-relative imputation for missing quotes; direct comparison/direct QA as applicable</t>
        </is>
      </c>
      <c r="F330" s="19" t="inlineStr"/>
      <c r="G330" s="5" t="inlineStr">
        <is>
          <t>factsheet/index</t>
        </is>
      </c>
      <c r="H330" s="5" t="inlineStr">
        <is>
          <t>calculation handbook</t>
        </is>
      </c>
      <c r="I330" s="5" t="inlineStr">
        <is>
          <t>CUUR0000SS27061</t>
        </is>
      </c>
      <c r="J330" t="inlineStr"/>
    </row>
    <row r="331">
      <c r="A331" t="inlineStr">
        <is>
          <t>SEEE</t>
        </is>
      </c>
      <c r="B331" t="inlineStr">
        <is>
          <t>Information technology, hardware and services</t>
        </is>
      </c>
      <c r="C331" s="19" t="inlineStr">
        <is>
          <t>aggregate</t>
        </is>
      </c>
      <c r="D331" s="19" t="inlineStr">
        <is>
          <t>aggregate</t>
        </is>
      </c>
      <c r="E331" s="19" t="inlineStr">
        <is>
          <t>aggregate of component methods</t>
        </is>
      </c>
      <c r="F331" s="19" t="inlineStr"/>
      <c r="G331" s="5" t="inlineStr">
        <is>
          <t>factsheet/index</t>
        </is>
      </c>
      <c r="H331" s="5" t="inlineStr">
        <is>
          <t>calculation handbook</t>
        </is>
      </c>
      <c r="I331" s="5" t="inlineStr">
        <is>
          <t>CUUR0000SEEE</t>
        </is>
      </c>
      <c r="J331" s="5" t="inlineStr">
        <is>
          <t>CUSR0000SEEE</t>
        </is>
      </c>
    </row>
    <row r="332">
      <c r="A332" t="inlineStr">
        <is>
          <t>SEEE01</t>
        </is>
      </c>
      <c r="B332" t="inlineStr">
        <is>
          <t>Computers, peripherals, and smart home assistants</t>
        </is>
      </c>
      <c r="C332" s="19" t="inlineStr">
        <is>
          <t>GM</t>
        </is>
      </c>
      <c r="D332" s="19" t="inlineStr">
        <is>
          <t>monthly in New York/Los Angeles/Chicago; often bimonthly elsewhere</t>
        </is>
      </c>
      <c r="E332" s="19" t="inlineStr">
        <is>
          <t>hedonic quality adjustment or hedonic imputation where applicable</t>
        </is>
      </c>
      <c r="F332" s="19" t="inlineStr"/>
      <c r="G332" s="5" t="inlineStr">
        <is>
          <t>factsheet/index</t>
        </is>
      </c>
      <c r="H332" s="5" t="inlineStr">
        <is>
          <t>calculation handbook</t>
        </is>
      </c>
      <c r="I332" s="5" t="inlineStr">
        <is>
          <t>CUUR0000SEEE01</t>
        </is>
      </c>
      <c r="J332" s="5" t="inlineStr">
        <is>
          <t>CUSR0000SEEE01</t>
        </is>
      </c>
    </row>
    <row r="333">
      <c r="A333" t="inlineStr">
        <is>
          <t>SEEE02</t>
        </is>
      </c>
      <c r="B333" t="inlineStr">
        <is>
          <t>Computer software and accessories</t>
        </is>
      </c>
      <c r="C333" s="19" t="inlineStr">
        <is>
          <t>GM</t>
        </is>
      </c>
      <c r="D333" s="19" t="inlineStr">
        <is>
          <t>monthly in New York/Los Angeles/Chicago; often bimonthly elsewhere</t>
        </is>
      </c>
      <c r="E333" s="19" t="inlineStr">
        <is>
          <t>hedonic quality adjustment or hedonic imputation where applicable</t>
        </is>
      </c>
      <c r="F333" s="19" t="inlineStr"/>
      <c r="G333" s="5" t="inlineStr">
        <is>
          <t>factsheet/index</t>
        </is>
      </c>
      <c r="H333" s="5" t="inlineStr">
        <is>
          <t>calculation handbook</t>
        </is>
      </c>
      <c r="I333" s="5" t="inlineStr">
        <is>
          <t>CUUR0000SEEE02</t>
        </is>
      </c>
      <c r="J333" t="inlineStr"/>
    </row>
    <row r="334">
      <c r="A334" t="inlineStr">
        <is>
          <t>SEEE03</t>
        </is>
      </c>
      <c r="B334" t="inlineStr">
        <is>
          <t>Internet services and electronic information providers</t>
        </is>
      </c>
      <c r="C334" s="19" t="inlineStr">
        <is>
          <t>GM</t>
        </is>
      </c>
      <c r="D334" s="19" t="inlineStr">
        <is>
          <t>web collection</t>
        </is>
      </c>
      <c r="E334" s="19" t="inlineStr">
        <is>
          <t>hedonics</t>
        </is>
      </c>
      <c r="F334" s="19" t="inlineStr"/>
      <c r="G334" s="5" t="inlineStr">
        <is>
          <t>factsheet/index</t>
        </is>
      </c>
      <c r="H334" s="5" t="inlineStr">
        <is>
          <t>calculation handbook</t>
        </is>
      </c>
      <c r="I334" s="5" t="inlineStr">
        <is>
          <t>CUUR0000SEEE03</t>
        </is>
      </c>
      <c r="J334" s="5" t="inlineStr">
        <is>
          <t>CUSR0000SEEE03</t>
        </is>
      </c>
    </row>
    <row r="335">
      <c r="A335" t="inlineStr">
        <is>
          <t>SEEE04</t>
        </is>
      </c>
      <c r="B335" t="inlineStr">
        <is>
          <t>Telephone hardware, calculators, and other consumer information items</t>
        </is>
      </c>
      <c r="C335" s="19" t="inlineStr">
        <is>
          <t>GM</t>
        </is>
      </c>
      <c r="D335" s="19" t="inlineStr">
        <is>
          <t>directed substitution since 2018</t>
        </is>
      </c>
      <c r="E335" s="19" t="inlineStr">
        <is>
          <t>hedonics</t>
        </is>
      </c>
      <c r="F335" s="19" t="inlineStr"/>
      <c r="G335" s="5" t="inlineStr">
        <is>
          <t>factsheet/index</t>
        </is>
      </c>
      <c r="H335" s="5" t="inlineStr">
        <is>
          <t>calculation handbook</t>
        </is>
      </c>
      <c r="I335" s="5" t="inlineStr">
        <is>
          <t>CUUR0000SEEE04</t>
        </is>
      </c>
      <c r="J335" s="5" t="inlineStr">
        <is>
          <t>CUSR0000SEEE04</t>
        </is>
      </c>
    </row>
    <row r="336">
      <c r="A336" t="inlineStr">
        <is>
          <t>SSEE041</t>
        </is>
      </c>
      <c r="B336" t="inlineStr">
        <is>
          <t>Smartphones</t>
        </is>
      </c>
      <c r="C336" s="19" t="inlineStr">
        <is>
          <t>GM</t>
        </is>
      </c>
      <c r="D336" s="19" t="inlineStr">
        <is>
          <t>monthly in New York/Los Angeles/Chicago; often bimonthly elsewhere</t>
        </is>
      </c>
      <c r="E336" s="19" t="inlineStr">
        <is>
          <t>hedonic quality adjustment or hedonic imputation where applicable</t>
        </is>
      </c>
      <c r="F336" s="19" t="inlineStr"/>
      <c r="G336" s="5" t="inlineStr">
        <is>
          <t>factsheet/index</t>
        </is>
      </c>
      <c r="H336" s="5" t="inlineStr">
        <is>
          <t>calculation handbook</t>
        </is>
      </c>
      <c r="I336" s="5" t="inlineStr">
        <is>
          <t>CUUR0000SSEE041</t>
        </is>
      </c>
      <c r="J336" t="inlineStr"/>
    </row>
    <row r="337">
      <c r="A337" t="inlineStr">
        <is>
          <t>SAG</t>
        </is>
      </c>
      <c r="B337" t="inlineStr">
        <is>
          <t>Other goods and services</t>
        </is>
      </c>
      <c r="C337" s="19" t="inlineStr">
        <is>
          <t>aggregate</t>
        </is>
      </c>
      <c r="D337" s="19" t="inlineStr">
        <is>
          <t>aggregate</t>
        </is>
      </c>
      <c r="E337" s="19" t="inlineStr">
        <is>
          <t>aggregate</t>
        </is>
      </c>
      <c r="F337" s="19" t="inlineStr"/>
      <c r="G337" s="5" t="inlineStr">
        <is>
          <t>factsheet/index</t>
        </is>
      </c>
      <c r="H337" s="5" t="inlineStr">
        <is>
          <t>calculation handbook</t>
        </is>
      </c>
      <c r="I337" s="5" t="inlineStr">
        <is>
          <t>CUUR0000SAG</t>
        </is>
      </c>
      <c r="J337" s="5" t="inlineStr">
        <is>
          <t>CUSR0000SAG</t>
        </is>
      </c>
    </row>
    <row r="338">
      <c r="A338" t="inlineStr">
        <is>
          <t>SEGA</t>
        </is>
      </c>
      <c r="B338" t="inlineStr">
        <is>
          <t>Tobacco and smoking products</t>
        </is>
      </c>
      <c r="C338" s="19" t="inlineStr">
        <is>
          <t>GM</t>
        </is>
      </c>
      <c r="D338" s="19" t="inlineStr">
        <is>
          <t>monthly</t>
        </is>
      </c>
      <c r="E338" s="19" t="inlineStr">
        <is>
          <t>BLS direct quality adjustment/imputation as applicable</t>
        </is>
      </c>
      <c r="F338" s="19" t="inlineStr"/>
      <c r="G338" s="5" t="inlineStr">
        <is>
          <t>factsheet/index</t>
        </is>
      </c>
      <c r="H338" s="5" t="inlineStr">
        <is>
          <t>calculation handbook</t>
        </is>
      </c>
      <c r="I338" s="5" t="inlineStr">
        <is>
          <t>CUUR0000SEGA</t>
        </is>
      </c>
      <c r="J338" s="5" t="inlineStr">
        <is>
          <t>CUSR0000SEGA</t>
        </is>
      </c>
    </row>
    <row r="339">
      <c r="A339" t="inlineStr">
        <is>
          <t>SEGA01</t>
        </is>
      </c>
      <c r="B339" t="inlineStr">
        <is>
          <t>Cigarettes</t>
        </is>
      </c>
      <c r="C339" s="19" t="inlineStr">
        <is>
          <t>GM</t>
        </is>
      </c>
      <c r="D339" s="19" t="inlineStr">
        <is>
          <t>monthly in New York/Los Angeles/Chicago; often bimonthly elsewhere</t>
        </is>
      </c>
      <c r="E339" s="19" t="inlineStr">
        <is>
          <t>cell-relative imputation for missing quotes; direct comparison/direct QA as applicable</t>
        </is>
      </c>
      <c r="F339" s="19" t="inlineStr"/>
      <c r="G339" s="5" t="inlineStr">
        <is>
          <t>factsheet/index</t>
        </is>
      </c>
      <c r="H339" s="5" t="inlineStr">
        <is>
          <t>calculation handbook</t>
        </is>
      </c>
      <c r="I339" s="5" t="inlineStr">
        <is>
          <t>CUUR0000SEGA01</t>
        </is>
      </c>
      <c r="J339" s="5" t="inlineStr">
        <is>
          <t>CUSR0000SEGA01</t>
        </is>
      </c>
    </row>
    <row r="340">
      <c r="A340" t="inlineStr">
        <is>
          <t>SEGA02</t>
        </is>
      </c>
      <c r="B340" t="inlineStr">
        <is>
          <t>Tobacco products other than cigarettes</t>
        </is>
      </c>
      <c r="C340" s="19" t="inlineStr">
        <is>
          <t>GM</t>
        </is>
      </c>
      <c r="D340" s="19" t="inlineStr">
        <is>
          <t>monthly in New York/Los Angeles/Chicago; often bimonthly elsewhere</t>
        </is>
      </c>
      <c r="E340" s="19" t="inlineStr">
        <is>
          <t>cell-relative imputation for missing quotes; direct comparison/direct QA as applicable</t>
        </is>
      </c>
      <c r="F340" s="19" t="inlineStr"/>
      <c r="G340" s="5" t="inlineStr">
        <is>
          <t>factsheet/index</t>
        </is>
      </c>
      <c r="H340" s="5" t="inlineStr">
        <is>
          <t>calculation handbook</t>
        </is>
      </c>
      <c r="I340" s="5" t="inlineStr">
        <is>
          <t>CUUR0000SEGA02</t>
        </is>
      </c>
      <c r="J340" t="inlineStr"/>
    </row>
    <row r="341">
      <c r="A341" t="inlineStr">
        <is>
          <t>SAG1</t>
        </is>
      </c>
      <c r="B341" t="inlineStr">
        <is>
          <t>Personal care</t>
        </is>
      </c>
      <c r="C341" s="19" t="inlineStr">
        <is>
          <t>GM</t>
        </is>
      </c>
      <c r="D341" s="19" t="inlineStr">
        <is>
          <t>bimonthly</t>
        </is>
      </c>
      <c r="E341" s="19" t="inlineStr">
        <is>
          <t>BLS direct quality adjustment/imputation as applicable</t>
        </is>
      </c>
      <c r="F341" s="19" t="inlineStr"/>
      <c r="G341" s="5" t="inlineStr">
        <is>
          <t>factsheet/index</t>
        </is>
      </c>
      <c r="H341" s="5" t="inlineStr">
        <is>
          <t>calculation handbook</t>
        </is>
      </c>
      <c r="I341" s="5" t="inlineStr">
        <is>
          <t>CUUR0000SAG1</t>
        </is>
      </c>
      <c r="J341" s="5" t="inlineStr">
        <is>
          <t>CUSR0000SAG1</t>
        </is>
      </c>
    </row>
    <row r="342">
      <c r="A342" t="inlineStr">
        <is>
          <t>SEGB</t>
        </is>
      </c>
      <c r="B342" t="inlineStr">
        <is>
          <t>Personal care products</t>
        </is>
      </c>
      <c r="C342" s="19" t="inlineStr">
        <is>
          <t>aggregate</t>
        </is>
      </c>
      <c r="D342" s="19" t="inlineStr">
        <is>
          <t>aggregate</t>
        </is>
      </c>
      <c r="E342" s="19" t="inlineStr">
        <is>
          <t>aggregate of component methods</t>
        </is>
      </c>
      <c r="F342" s="19" t="inlineStr"/>
      <c r="G342" s="5" t="inlineStr">
        <is>
          <t>factsheet/index</t>
        </is>
      </c>
      <c r="H342" s="5" t="inlineStr">
        <is>
          <t>calculation handbook</t>
        </is>
      </c>
      <c r="I342" s="5" t="inlineStr">
        <is>
          <t>CUUR0000SEGB</t>
        </is>
      </c>
      <c r="J342" s="5" t="inlineStr">
        <is>
          <t>CUSR0000SEGB</t>
        </is>
      </c>
    </row>
    <row r="343">
      <c r="A343" t="inlineStr">
        <is>
          <t>SEGB01</t>
        </is>
      </c>
      <c r="B343" t="inlineStr">
        <is>
          <t>Hair, dental, shaving, and miscellaneous personal care products</t>
        </is>
      </c>
      <c r="C343" s="19" t="inlineStr">
        <is>
          <t>GM</t>
        </is>
      </c>
      <c r="D343" s="19" t="inlineStr">
        <is>
          <t>monthly in New York/Los Angeles/Chicago; often bimonthly elsewhere</t>
        </is>
      </c>
      <c r="E343" s="19" t="inlineStr">
        <is>
          <t>cell-relative imputation for missing quotes; direct comparison/direct QA as applicable</t>
        </is>
      </c>
      <c r="F343" s="19" t="inlineStr"/>
      <c r="G343" s="5" t="inlineStr">
        <is>
          <t>factsheet/index</t>
        </is>
      </c>
      <c r="H343" s="5" t="inlineStr">
        <is>
          <t>calculation handbook</t>
        </is>
      </c>
      <c r="I343" s="5" t="inlineStr">
        <is>
          <t>CUUR0000SEGB01</t>
        </is>
      </c>
      <c r="J343" t="inlineStr"/>
    </row>
    <row r="344">
      <c r="A344" t="inlineStr">
        <is>
          <t>SEGB02</t>
        </is>
      </c>
      <c r="B344" t="inlineStr">
        <is>
          <t>Cosmetics, perfume, bath, nail preparations and implements</t>
        </is>
      </c>
      <c r="C344" s="19" t="inlineStr">
        <is>
          <t>GM</t>
        </is>
      </c>
      <c r="D344" s="19" t="inlineStr">
        <is>
          <t>monthly in New York/Los Angeles/Chicago; often bimonthly elsewhere</t>
        </is>
      </c>
      <c r="E344" s="19" t="inlineStr">
        <is>
          <t>cell-relative imputation for missing quotes; direct comparison/direct QA as applicable</t>
        </is>
      </c>
      <c r="F344" s="19" t="inlineStr"/>
      <c r="G344" s="5" t="inlineStr">
        <is>
          <t>factsheet/index</t>
        </is>
      </c>
      <c r="H344" s="5" t="inlineStr">
        <is>
          <t>calculation handbook</t>
        </is>
      </c>
      <c r="I344" s="5" t="inlineStr">
        <is>
          <t>CUUR0000SEGB02</t>
        </is>
      </c>
      <c r="J344" t="inlineStr"/>
    </row>
    <row r="345">
      <c r="A345" t="inlineStr">
        <is>
          <t>SEGC</t>
        </is>
      </c>
      <c r="B345" t="inlineStr">
        <is>
          <t>Personal care services</t>
        </is>
      </c>
      <c r="C345" s="19" t="inlineStr">
        <is>
          <t>aggregate</t>
        </is>
      </c>
      <c r="D345" s="19" t="inlineStr">
        <is>
          <t>aggregate</t>
        </is>
      </c>
      <c r="E345" s="19" t="inlineStr">
        <is>
          <t>aggregate of component methods</t>
        </is>
      </c>
      <c r="F345" s="19" t="inlineStr"/>
      <c r="G345" s="5" t="inlineStr">
        <is>
          <t>factsheet/index</t>
        </is>
      </c>
      <c r="H345" s="5" t="inlineStr">
        <is>
          <t>calculation handbook</t>
        </is>
      </c>
      <c r="I345" s="5" t="inlineStr">
        <is>
          <t>CUUR0000SEGC</t>
        </is>
      </c>
      <c r="J345" t="inlineStr"/>
    </row>
    <row r="346">
      <c r="A346" t="inlineStr">
        <is>
          <t>SEGC01</t>
        </is>
      </c>
      <c r="B346" t="inlineStr">
        <is>
          <t>Haircuts and other personal care services</t>
        </is>
      </c>
      <c r="C346" s="19" t="inlineStr">
        <is>
          <t>GM</t>
        </is>
      </c>
      <c r="D346" s="19" t="inlineStr">
        <is>
          <t>monthly in New York/Los Angeles/Chicago; often bimonthly elsewhere</t>
        </is>
      </c>
      <c r="E346" s="19" t="inlineStr">
        <is>
          <t>cell-relative imputation for missing quotes; direct comparison/direct QA as applicable</t>
        </is>
      </c>
      <c r="F346" s="19" t="inlineStr"/>
      <c r="G346" s="5" t="inlineStr">
        <is>
          <t>factsheet/index</t>
        </is>
      </c>
      <c r="H346" s="5" t="inlineStr">
        <is>
          <t>calculation handbook</t>
        </is>
      </c>
      <c r="I346" s="5" t="inlineStr">
        <is>
          <t>CUUR0000SEGC01</t>
        </is>
      </c>
      <c r="J346" t="inlineStr"/>
    </row>
    <row r="347">
      <c r="A347" t="inlineStr">
        <is>
          <t>SEGD</t>
        </is>
      </c>
      <c r="B347" t="inlineStr">
        <is>
          <t>Miscellaneous personal services</t>
        </is>
      </c>
      <c r="C347" s="19" t="inlineStr">
        <is>
          <t>aggregate</t>
        </is>
      </c>
      <c r="D347" s="19" t="inlineStr">
        <is>
          <t>aggregate</t>
        </is>
      </c>
      <c r="E347" s="19" t="inlineStr">
        <is>
          <t>aggregate of component methods</t>
        </is>
      </c>
      <c r="F347" s="19" t="inlineStr"/>
      <c r="G347" s="5" t="inlineStr">
        <is>
          <t>factsheet/index</t>
        </is>
      </c>
      <c r="H347" s="5" t="inlineStr">
        <is>
          <t>calculation handbook</t>
        </is>
      </c>
      <c r="I347" s="5" t="inlineStr">
        <is>
          <t>CUUR0000SEGD</t>
        </is>
      </c>
      <c r="J347" s="5" t="inlineStr">
        <is>
          <t>CUSR0000SEGD</t>
        </is>
      </c>
    </row>
    <row r="348">
      <c r="A348" t="inlineStr">
        <is>
          <t>SEGD01</t>
        </is>
      </c>
      <c r="B348" t="inlineStr">
        <is>
          <t>Legal services</t>
        </is>
      </c>
      <c r="C348" s="19" t="inlineStr">
        <is>
          <t>GM</t>
        </is>
      </c>
      <c r="D348" s="19" t="inlineStr">
        <is>
          <t>monthly in New York/Los Angeles/Chicago; often bimonthly elsewhere</t>
        </is>
      </c>
      <c r="E348" s="19" t="inlineStr">
        <is>
          <t>cell-relative imputation for missing quotes; direct comparison/direct QA as applicable</t>
        </is>
      </c>
      <c r="F348" s="19" t="inlineStr"/>
      <c r="G348" s="5" t="inlineStr">
        <is>
          <t>factsheet/index</t>
        </is>
      </c>
      <c r="H348" s="5" t="inlineStr">
        <is>
          <t>calculation handbook</t>
        </is>
      </c>
      <c r="I348" s="5" t="inlineStr">
        <is>
          <t>CUUR0000SEGD01</t>
        </is>
      </c>
      <c r="J348" s="5" t="inlineStr">
        <is>
          <t>CUSR0000SEGD01</t>
        </is>
      </c>
    </row>
    <row r="349">
      <c r="A349" t="inlineStr">
        <is>
          <t>SEGD02</t>
        </is>
      </c>
      <c r="B349" t="inlineStr">
        <is>
          <t>Funeral expenses</t>
        </is>
      </c>
      <c r="C349" s="19" t="inlineStr">
        <is>
          <t>GM</t>
        </is>
      </c>
      <c r="D349" s="19" t="inlineStr">
        <is>
          <t>monthly in New York/Los Angeles/Chicago; often bimonthly elsewhere</t>
        </is>
      </c>
      <c r="E349" s="19" t="inlineStr">
        <is>
          <t>cell-relative imputation for missing quotes; direct comparison/direct QA as applicable</t>
        </is>
      </c>
      <c r="F349" s="19" t="inlineStr"/>
      <c r="G349" s="5" t="inlineStr">
        <is>
          <t>factsheet/index</t>
        </is>
      </c>
      <c r="H349" s="5" t="inlineStr">
        <is>
          <t>calculation handbook</t>
        </is>
      </c>
      <c r="I349" s="5" t="inlineStr">
        <is>
          <t>CUUR0000SEGD02</t>
        </is>
      </c>
      <c r="J349" s="5" t="inlineStr">
        <is>
          <t>CUSR0000SEGD02</t>
        </is>
      </c>
    </row>
    <row r="350">
      <c r="A350" t="inlineStr">
        <is>
          <t>SEGD03</t>
        </is>
      </c>
      <c r="B350" t="inlineStr">
        <is>
          <t>Laundry and dry cleaning services</t>
        </is>
      </c>
      <c r="C350" s="19" t="inlineStr">
        <is>
          <t>GM</t>
        </is>
      </c>
      <c r="D350" s="19" t="inlineStr">
        <is>
          <t>monthly in New York/Los Angeles/Chicago; often bimonthly elsewhere</t>
        </is>
      </c>
      <c r="E350" s="19" t="inlineStr">
        <is>
          <t>cell-relative imputation for missing quotes; direct comparison/direct QA as applicable</t>
        </is>
      </c>
      <c r="F350" s="19" t="inlineStr"/>
      <c r="G350" s="5" t="inlineStr">
        <is>
          <t>factsheet/index</t>
        </is>
      </c>
      <c r="H350" s="5" t="inlineStr">
        <is>
          <t>calculation handbook</t>
        </is>
      </c>
      <c r="I350" s="5" t="inlineStr">
        <is>
          <t>CUUR0000SEGD03</t>
        </is>
      </c>
      <c r="J350" s="5" t="inlineStr">
        <is>
          <t>CUSR0000SEGD03</t>
        </is>
      </c>
    </row>
    <row r="351">
      <c r="A351" t="inlineStr">
        <is>
          <t>SEGD04</t>
        </is>
      </c>
      <c r="B351" t="inlineStr">
        <is>
          <t>Apparel services other than laundry and dry cleaning</t>
        </is>
      </c>
      <c r="C351" s="19" t="inlineStr">
        <is>
          <t>GM</t>
        </is>
      </c>
      <c r="D351" s="19" t="inlineStr">
        <is>
          <t>monthly in New York/Los Angeles/Chicago; often bimonthly elsewhere</t>
        </is>
      </c>
      <c r="E351" s="19" t="inlineStr">
        <is>
          <t>hedonics/class-mean imputation; seasonal-item rules where applicable</t>
        </is>
      </c>
      <c r="F351" s="19" t="inlineStr"/>
      <c r="G351" s="5" t="inlineStr">
        <is>
          <t>factsheet/index</t>
        </is>
      </c>
      <c r="H351" s="5" t="inlineStr">
        <is>
          <t>calculation handbook</t>
        </is>
      </c>
      <c r="I351" s="5" t="inlineStr">
        <is>
          <t>CUUR0000SEGD04</t>
        </is>
      </c>
      <c r="J351" t="inlineStr"/>
    </row>
    <row r="352">
      <c r="A352" t="inlineStr">
        <is>
          <t>SEGD05</t>
        </is>
      </c>
      <c r="B352" t="inlineStr">
        <is>
          <t>Financial services</t>
        </is>
      </c>
      <c r="C352" s="19" t="inlineStr">
        <is>
          <t>aggregate</t>
        </is>
      </c>
      <c r="D352" s="19" t="inlineStr">
        <is>
          <t>aggregate</t>
        </is>
      </c>
      <c r="E352" s="19" t="inlineStr">
        <is>
          <t>aggregate of component methods</t>
        </is>
      </c>
      <c r="F352" s="19" t="inlineStr"/>
      <c r="G352" s="5" t="inlineStr">
        <is>
          <t>factsheet/index</t>
        </is>
      </c>
      <c r="H352" s="5" t="inlineStr">
        <is>
          <t>calculation handbook</t>
        </is>
      </c>
      <c r="I352" s="5" t="inlineStr">
        <is>
          <t>CUUR0000SEGD05</t>
        </is>
      </c>
      <c r="J352" s="5" t="inlineStr">
        <is>
          <t>CUSR0000SEGD05</t>
        </is>
      </c>
    </row>
    <row r="353">
      <c r="A353" t="inlineStr">
        <is>
          <t>SS68021</t>
        </is>
      </c>
      <c r="B353" t="inlineStr">
        <is>
          <t>Checking account and other bank services</t>
        </is>
      </c>
      <c r="C353" s="19" t="inlineStr">
        <is>
          <t>GM</t>
        </is>
      </c>
      <c r="D353" s="19" t="inlineStr">
        <is>
          <t>monthly in New York/Los Angeles/Chicago; often bimonthly elsewhere</t>
        </is>
      </c>
      <c r="E353" s="19" t="inlineStr">
        <is>
          <t>cell-relative imputation for missing quotes; direct comparison/direct QA as applicable</t>
        </is>
      </c>
      <c r="F353" s="19" t="inlineStr"/>
      <c r="G353" s="5" t="inlineStr">
        <is>
          <t>factsheet/index</t>
        </is>
      </c>
      <c r="H353" s="5" t="inlineStr">
        <is>
          <t>calculation handbook</t>
        </is>
      </c>
      <c r="I353" s="5" t="inlineStr">
        <is>
          <t>CUUR0000SS68021</t>
        </is>
      </c>
      <c r="J353" t="inlineStr"/>
    </row>
    <row r="354">
      <c r="A354" t="inlineStr">
        <is>
          <t>SS68023</t>
        </is>
      </c>
      <c r="B354" t="inlineStr">
        <is>
          <t>Tax return preparation and other accounting fees</t>
        </is>
      </c>
      <c r="C354" s="19" t="inlineStr">
        <is>
          <t>GM</t>
        </is>
      </c>
      <c r="D354" s="19" t="inlineStr">
        <is>
          <t>monthly in New York/Los Angeles/Chicago; often bimonthly elsewhere</t>
        </is>
      </c>
      <c r="E354" s="19" t="inlineStr">
        <is>
          <t>cell-relative imputation for missing quotes; direct comparison/direct QA as applicable</t>
        </is>
      </c>
      <c r="F354" s="19" t="inlineStr"/>
      <c r="G354" s="5" t="inlineStr">
        <is>
          <t>factsheet/index</t>
        </is>
      </c>
      <c r="H354" s="5" t="inlineStr">
        <is>
          <t>calculation handbook</t>
        </is>
      </c>
      <c r="I354" s="5" t="inlineStr">
        <is>
          <t>CUUR0000SS68023</t>
        </is>
      </c>
      <c r="J354" s="5" t="inlineStr">
        <is>
          <t>CUSR0000SS68023</t>
        </is>
      </c>
    </row>
    <row r="355">
      <c r="A355" t="inlineStr">
        <is>
          <t>SEGE</t>
        </is>
      </c>
      <c r="B355" t="inlineStr">
        <is>
          <t>Miscellaneous personal goods</t>
        </is>
      </c>
      <c r="C355" s="19" t="inlineStr">
        <is>
          <t>aggregate</t>
        </is>
      </c>
      <c r="D355" s="19" t="inlineStr">
        <is>
          <t>aggregate</t>
        </is>
      </c>
      <c r="E355" s="19" t="inlineStr">
        <is>
          <t>aggregate of component methods</t>
        </is>
      </c>
      <c r="F355" s="19" t="inlineStr"/>
      <c r="G355" s="5" t="inlineStr">
        <is>
          <t>factsheet/index</t>
        </is>
      </c>
      <c r="H355" s="5" t="inlineStr">
        <is>
          <t>calculation handbook</t>
        </is>
      </c>
      <c r="I355" s="5" t="inlineStr">
        <is>
          <t>CUUR0000SEGE</t>
        </is>
      </c>
      <c r="J355" s="5" t="inlineStr">
        <is>
          <t>CUSR0000SEGE</t>
        </is>
      </c>
    </row>
    <row r="356">
      <c r="A356" t="inlineStr">
        <is>
          <t>SS33032</t>
        </is>
      </c>
      <c r="B356" t="inlineStr">
        <is>
          <t>Stationery, stationery supplies, gift wrap</t>
        </is>
      </c>
      <c r="C356" s="19" t="inlineStr">
        <is>
          <t>GM</t>
        </is>
      </c>
      <c r="D356" s="19" t="inlineStr">
        <is>
          <t>monthly in New York/Los Angeles/Chicago; often bimonthly elsewhere</t>
        </is>
      </c>
      <c r="E356" s="19" t="inlineStr">
        <is>
          <t>cell-relative imputation for missing quotes; direct comparison/direct QA as applicable</t>
        </is>
      </c>
      <c r="F356" s="19" t="inlineStr"/>
      <c r="G356" s="5" t="inlineStr">
        <is>
          <t>factsheet/index</t>
        </is>
      </c>
      <c r="H356" s="5" t="inlineStr">
        <is>
          <t>calculation handbook</t>
        </is>
      </c>
      <c r="I356" s="5" t="inlineStr">
        <is>
          <t>CUUR0000SS33032</t>
        </is>
      </c>
      <c r="J356" s="5" t="inlineStr">
        <is>
          <t>CUSR0000SS33032</t>
        </is>
      </c>
    </row>
    <row r="357">
      <c r="A357" t="inlineStr">
        <is>
          <t>SSGE013</t>
        </is>
      </c>
      <c r="B357" t="inlineStr">
        <is>
          <t>Infants' equipment</t>
        </is>
      </c>
      <c r="C357" s="19" t="inlineStr">
        <is>
          <t>GM</t>
        </is>
      </c>
      <c r="D357" s="19" t="inlineStr">
        <is>
          <t>monthly in New York/Los Angeles/Chicago; often bimonthly elsewhere</t>
        </is>
      </c>
      <c r="E357" s="19" t="inlineStr">
        <is>
          <t>cell-relative imputation for missing quotes; direct comparison/direct QA as applicable</t>
        </is>
      </c>
      <c r="F357" s="19" t="inlineStr"/>
      <c r="G357" s="5" t="inlineStr">
        <is>
          <t>factsheet/index</t>
        </is>
      </c>
      <c r="H357" s="5" t="inlineStr">
        <is>
          <t>calculation handbook</t>
        </is>
      </c>
      <c r="I357" s="5" t="inlineStr">
        <is>
          <t>CUUR0000SSGE013</t>
        </is>
      </c>
      <c r="J357" t="inlineStr"/>
    </row>
    <row r="358">
      <c r="A358" t="inlineStr">
        <is>
          <t>SA0L5</t>
        </is>
      </c>
      <c r="B358" t="inlineStr">
        <is>
          <t>All items less medical care</t>
        </is>
      </c>
      <c r="C358" s="19" t="inlineStr">
        <is>
          <t>aggregate</t>
        </is>
      </c>
      <c r="D358" s="19" t="inlineStr">
        <is>
          <t>aggregate</t>
        </is>
      </c>
      <c r="E358" s="19" t="inlineStr">
        <is>
          <t>aggregate of component methods</t>
        </is>
      </c>
      <c r="F358" s="19" t="inlineStr"/>
      <c r="G358" s="5" t="inlineStr">
        <is>
          <t>factsheet/index</t>
        </is>
      </c>
      <c r="H358" s="5" t="inlineStr">
        <is>
          <t>calculation handbook</t>
        </is>
      </c>
      <c r="I358" s="5" t="inlineStr">
        <is>
          <t>CUUR0000SA0L5</t>
        </is>
      </c>
      <c r="J358" s="5" t="inlineStr">
        <is>
          <t>CUSR0000SA0L5</t>
        </is>
      </c>
    </row>
    <row r="359">
      <c r="A359" t="inlineStr">
        <is>
          <t>SA0LE</t>
        </is>
      </c>
      <c r="B359" t="inlineStr">
        <is>
          <t>All items less energy</t>
        </is>
      </c>
      <c r="C359" s="19" t="inlineStr">
        <is>
          <t>aggregate</t>
        </is>
      </c>
      <c r="D359" s="19" t="inlineStr">
        <is>
          <t>aggregate</t>
        </is>
      </c>
      <c r="E359" s="19" t="inlineStr">
        <is>
          <t>aggregate of component methods</t>
        </is>
      </c>
      <c r="F359" s="19" t="inlineStr"/>
      <c r="G359" s="5" t="inlineStr">
        <is>
          <t>factsheet/index</t>
        </is>
      </c>
      <c r="H359" s="5" t="inlineStr">
        <is>
          <t>calculation handbook</t>
        </is>
      </c>
      <c r="I359" s="5" t="inlineStr">
        <is>
          <t>CUUR0000SA0LE</t>
        </is>
      </c>
      <c r="J359" s="5" t="inlineStr">
        <is>
          <t>CUSR0000SA0LE</t>
        </is>
      </c>
    </row>
    <row r="360">
      <c r="A360" t="inlineStr">
        <is>
          <t>SA0L1</t>
        </is>
      </c>
      <c r="B360" t="inlineStr">
        <is>
          <t>All items less food</t>
        </is>
      </c>
      <c r="C360" s="19" t="inlineStr">
        <is>
          <t>aggregate</t>
        </is>
      </c>
      <c r="D360" s="19" t="inlineStr">
        <is>
          <t>aggregate</t>
        </is>
      </c>
      <c r="E360" s="19" t="inlineStr">
        <is>
          <t>aggregate of component methods</t>
        </is>
      </c>
      <c r="F360" s="19" t="inlineStr"/>
      <c r="G360" s="5" t="inlineStr">
        <is>
          <t>factsheet/index</t>
        </is>
      </c>
      <c r="H360" s="5" t="inlineStr">
        <is>
          <t>calculation handbook</t>
        </is>
      </c>
      <c r="I360" s="5" t="inlineStr">
        <is>
          <t>CUUR0000SA0L1</t>
        </is>
      </c>
      <c r="J360" s="5" t="inlineStr">
        <is>
          <t>CUSR0000SA0L1</t>
        </is>
      </c>
    </row>
    <row r="361">
      <c r="A361" t="inlineStr">
        <is>
          <t>SA0L1E</t>
        </is>
      </c>
      <c r="B361" t="inlineStr">
        <is>
          <t>All items less food and energy</t>
        </is>
      </c>
      <c r="C361" s="19" t="inlineStr">
        <is>
          <t>aggregate</t>
        </is>
      </c>
      <c r="D361" s="19" t="inlineStr">
        <is>
          <t>aggregate</t>
        </is>
      </c>
      <c r="E361" s="19" t="inlineStr">
        <is>
          <t>aggregate</t>
        </is>
      </c>
      <c r="F361" s="19" t="inlineStr"/>
      <c r="G361" s="5" t="inlineStr">
        <is>
          <t>factsheet/index</t>
        </is>
      </c>
      <c r="H361" s="5" t="inlineStr">
        <is>
          <t>calculation handbook</t>
        </is>
      </c>
      <c r="I361" s="5" t="inlineStr">
        <is>
          <t>CUUR0000SA0L1E</t>
        </is>
      </c>
      <c r="J361" s="5" t="inlineStr">
        <is>
          <t>CUSR0000SA0L1E</t>
        </is>
      </c>
    </row>
    <row r="362">
      <c r="A362" t="inlineStr">
        <is>
          <t>SA0L2</t>
        </is>
      </c>
      <c r="B362" t="inlineStr">
        <is>
          <t>All items less shelter</t>
        </is>
      </c>
      <c r="C362" s="19" t="inlineStr">
        <is>
          <t>aggregate</t>
        </is>
      </c>
      <c r="D362" s="19" t="inlineStr">
        <is>
          <t>aggregate</t>
        </is>
      </c>
      <c r="E362" s="19" t="inlineStr">
        <is>
          <t>aggregate of component methods</t>
        </is>
      </c>
      <c r="F362" s="19" t="inlineStr"/>
      <c r="G362" s="5" t="inlineStr">
        <is>
          <t>factsheet/index</t>
        </is>
      </c>
      <c r="H362" s="5" t="inlineStr">
        <is>
          <t>calculation handbook</t>
        </is>
      </c>
      <c r="I362" s="5" t="inlineStr">
        <is>
          <t>CUUR0000SA0L2</t>
        </is>
      </c>
      <c r="J362" s="5" t="inlineStr">
        <is>
          <t>CUSR0000SA0L2</t>
        </is>
      </c>
    </row>
    <row r="363">
      <c r="A363" t="inlineStr">
        <is>
          <t>SA0L12</t>
        </is>
      </c>
      <c r="B363" t="inlineStr">
        <is>
          <t>All items less food and shelter</t>
        </is>
      </c>
      <c r="C363" s="19" t="inlineStr">
        <is>
          <t>aggregate</t>
        </is>
      </c>
      <c r="D363" s="19" t="inlineStr">
        <is>
          <t>aggregate</t>
        </is>
      </c>
      <c r="E363" s="19" t="inlineStr">
        <is>
          <t>aggregate of component methods</t>
        </is>
      </c>
      <c r="F363" s="19" t="inlineStr"/>
      <c r="G363" s="5" t="inlineStr">
        <is>
          <t>factsheet/index</t>
        </is>
      </c>
      <c r="H363" s="5" t="inlineStr">
        <is>
          <t>calculation handbook</t>
        </is>
      </c>
      <c r="I363" s="5" t="inlineStr">
        <is>
          <t>CUUR0000SA0L12</t>
        </is>
      </c>
      <c r="J363" s="5" t="inlineStr">
        <is>
          <t>CUSR0000SA0L12</t>
        </is>
      </c>
    </row>
    <row r="364">
      <c r="A364" t="inlineStr">
        <is>
          <t>SA0L12E</t>
        </is>
      </c>
      <c r="B364" t="inlineStr">
        <is>
          <t>All items less food, shelter, and energy</t>
        </is>
      </c>
      <c r="C364" s="19" t="inlineStr">
        <is>
          <t>aggregate</t>
        </is>
      </c>
      <c r="D364" s="19" t="inlineStr">
        <is>
          <t>aggregate</t>
        </is>
      </c>
      <c r="E364" s="19" t="inlineStr">
        <is>
          <t>aggregate of component methods</t>
        </is>
      </c>
      <c r="F364" s="19" t="inlineStr"/>
      <c r="G364" s="5" t="inlineStr">
        <is>
          <t>factsheet/index</t>
        </is>
      </c>
      <c r="H364" s="5" t="inlineStr">
        <is>
          <t>calculation handbook</t>
        </is>
      </c>
      <c r="I364" s="5" t="inlineStr">
        <is>
          <t>CUUR0000SA0L12E</t>
        </is>
      </c>
      <c r="J364" s="5" t="inlineStr">
        <is>
          <t>CUSR0000SA0L12E</t>
        </is>
      </c>
    </row>
    <row r="365">
      <c r="A365" t="inlineStr">
        <is>
          <t>SA0L12E4</t>
        </is>
      </c>
      <c r="B365" t="inlineStr">
        <is>
          <t>All items less food, shelter, energy, and used cars and trucks</t>
        </is>
      </c>
      <c r="C365" s="19" t="inlineStr">
        <is>
          <t>aggregate</t>
        </is>
      </c>
      <c r="D365" s="19" t="inlineStr">
        <is>
          <t>aggregate</t>
        </is>
      </c>
      <c r="E365" s="19" t="inlineStr">
        <is>
          <t>aggregate of component methods</t>
        </is>
      </c>
      <c r="F365" s="19" t="inlineStr"/>
      <c r="G365" s="5" t="inlineStr">
        <is>
          <t>factsheet/index</t>
        </is>
      </c>
      <c r="H365" s="5" t="inlineStr">
        <is>
          <t>calculation handbook</t>
        </is>
      </c>
      <c r="I365" s="5" t="inlineStr">
        <is>
          <t>CUUR0000SA0L12E4</t>
        </is>
      </c>
      <c r="J365" s="5" t="inlineStr">
        <is>
          <t>CUSR0000SA0L12E4</t>
        </is>
      </c>
    </row>
    <row r="366">
      <c r="A366" t="inlineStr">
        <is>
          <t>SA311</t>
        </is>
      </c>
      <c r="B366" t="inlineStr">
        <is>
          <t>Apparel less footwear</t>
        </is>
      </c>
      <c r="C366" s="19" t="inlineStr">
        <is>
          <t>aggregate</t>
        </is>
      </c>
      <c r="D366" s="19" t="inlineStr">
        <is>
          <t>aggregate</t>
        </is>
      </c>
      <c r="E366" s="19" t="inlineStr">
        <is>
          <t>aggregate of component methods</t>
        </is>
      </c>
      <c r="F366" s="19" t="inlineStr"/>
      <c r="G366" s="5" t="inlineStr">
        <is>
          <t>factsheet/index</t>
        </is>
      </c>
      <c r="H366" s="5" t="inlineStr">
        <is>
          <t>calculation handbook</t>
        </is>
      </c>
      <c r="I366" s="5" t="inlineStr">
        <is>
          <t>CUUR0000SA311</t>
        </is>
      </c>
      <c r="J366" s="5" t="inlineStr">
        <is>
          <t>CUSR0000SA311</t>
        </is>
      </c>
    </row>
    <row r="367">
      <c r="A367" t="inlineStr">
        <is>
          <t>SAC</t>
        </is>
      </c>
      <c r="B367" t="inlineStr">
        <is>
          <t>Commodities</t>
        </is>
      </c>
      <c r="C367" s="19" t="inlineStr">
        <is>
          <t>aggregate</t>
        </is>
      </c>
      <c r="D367" s="19" t="inlineStr">
        <is>
          <t>aggregate</t>
        </is>
      </c>
      <c r="E367" s="19" t="inlineStr">
        <is>
          <t>aggregate of component methods</t>
        </is>
      </c>
      <c r="F367" s="19" t="inlineStr"/>
      <c r="G367" s="5" t="inlineStr">
        <is>
          <t>factsheet/index</t>
        </is>
      </c>
      <c r="H367" s="5" t="inlineStr">
        <is>
          <t>calculation handbook</t>
        </is>
      </c>
      <c r="I367" s="5" t="inlineStr">
        <is>
          <t>CUUR0000SAC</t>
        </is>
      </c>
      <c r="J367" s="5" t="inlineStr">
        <is>
          <t>CUSR0000SAC</t>
        </is>
      </c>
    </row>
    <row r="368">
      <c r="A368" t="inlineStr">
        <is>
          <t>SACL1</t>
        </is>
      </c>
      <c r="B368" t="inlineStr">
        <is>
          <t>Commodities less food</t>
        </is>
      </c>
      <c r="C368" s="19" t="inlineStr">
        <is>
          <t>aggregate</t>
        </is>
      </c>
      <c r="D368" s="19" t="inlineStr">
        <is>
          <t>aggregate</t>
        </is>
      </c>
      <c r="E368" s="19" t="inlineStr">
        <is>
          <t>aggregate of component methods</t>
        </is>
      </c>
      <c r="F368" s="19" t="inlineStr"/>
      <c r="G368" s="5" t="inlineStr">
        <is>
          <t>factsheet/index</t>
        </is>
      </c>
      <c r="H368" s="5" t="inlineStr">
        <is>
          <t>calculation handbook</t>
        </is>
      </c>
      <c r="I368" s="5" t="inlineStr">
        <is>
          <t>CUUR0000SACL1</t>
        </is>
      </c>
      <c r="J368" s="5" t="inlineStr">
        <is>
          <t>CUSR0000SACL1</t>
        </is>
      </c>
    </row>
    <row r="369">
      <c r="A369" t="inlineStr">
        <is>
          <t>SACL11</t>
        </is>
      </c>
      <c r="B369" t="inlineStr">
        <is>
          <t>Commodities less food and beverages</t>
        </is>
      </c>
      <c r="C369" s="19" t="inlineStr">
        <is>
          <t>aggregate</t>
        </is>
      </c>
      <c r="D369" s="19" t="inlineStr">
        <is>
          <t>aggregate</t>
        </is>
      </c>
      <c r="E369" s="19" t="inlineStr">
        <is>
          <t>aggregate of component methods</t>
        </is>
      </c>
      <c r="F369" s="19" t="inlineStr"/>
      <c r="G369" s="5" t="inlineStr">
        <is>
          <t>factsheet/index</t>
        </is>
      </c>
      <c r="H369" s="5" t="inlineStr">
        <is>
          <t>calculation handbook</t>
        </is>
      </c>
      <c r="I369" s="5" t="inlineStr">
        <is>
          <t>CUUR0000SACL11</t>
        </is>
      </c>
      <c r="J369" s="5" t="inlineStr">
        <is>
          <t>CUSR0000SACL11</t>
        </is>
      </c>
    </row>
    <row r="370">
      <c r="A370" t="inlineStr">
        <is>
          <t>SACL1E</t>
        </is>
      </c>
      <c r="B370" t="inlineStr">
        <is>
          <t>Commodities less food and energy commodities</t>
        </is>
      </c>
      <c r="C370" s="19" t="inlineStr">
        <is>
          <t>aggregate</t>
        </is>
      </c>
      <c r="D370" s="19" t="inlineStr">
        <is>
          <t>aggregate</t>
        </is>
      </c>
      <c r="E370" s="19" t="inlineStr">
        <is>
          <t>aggregate of component methods</t>
        </is>
      </c>
      <c r="F370" s="19" t="inlineStr"/>
      <c r="G370" s="5" t="inlineStr">
        <is>
          <t>factsheet/index</t>
        </is>
      </c>
      <c r="H370" s="5" t="inlineStr">
        <is>
          <t>calculation handbook</t>
        </is>
      </c>
      <c r="I370" s="5" t="inlineStr">
        <is>
          <t>CUUR0000SACL1E</t>
        </is>
      </c>
      <c r="J370" s="5" t="inlineStr">
        <is>
          <t>CUSR0000SACL1E</t>
        </is>
      </c>
    </row>
    <row r="371">
      <c r="A371" t="inlineStr">
        <is>
          <t>SACL1E4</t>
        </is>
      </c>
      <c r="B371" t="inlineStr">
        <is>
          <t>Commodities less food, energy, and used cars and trucks</t>
        </is>
      </c>
      <c r="C371" s="19" t="inlineStr">
        <is>
          <t>aggregate</t>
        </is>
      </c>
      <c r="D371" s="19" t="inlineStr">
        <is>
          <t>aggregate</t>
        </is>
      </c>
      <c r="E371" s="19" t="inlineStr">
        <is>
          <t>aggregate of component methods</t>
        </is>
      </c>
      <c r="F371" s="19" t="inlineStr"/>
      <c r="G371" s="5" t="inlineStr">
        <is>
          <t>factsheet/index</t>
        </is>
      </c>
      <c r="H371" s="5" t="inlineStr">
        <is>
          <t>calculation handbook</t>
        </is>
      </c>
      <c r="I371" s="5" t="inlineStr">
        <is>
          <t>CUUR0000SACL1E4</t>
        </is>
      </c>
      <c r="J371" s="5" t="inlineStr">
        <is>
          <t>CUSR0000SACL1E4</t>
        </is>
      </c>
    </row>
    <row r="372">
      <c r="A372" t="inlineStr">
        <is>
          <t>SAN1D</t>
        </is>
      </c>
      <c r="B372" t="inlineStr">
        <is>
          <t>Domestically produced farm food</t>
        </is>
      </c>
      <c r="C372" s="19" t="inlineStr">
        <is>
          <t>aggregate</t>
        </is>
      </c>
      <c r="D372" s="19" t="inlineStr">
        <is>
          <t>aggregate</t>
        </is>
      </c>
      <c r="E372" s="19" t="inlineStr">
        <is>
          <t>aggregate of component methods</t>
        </is>
      </c>
      <c r="F372" s="19" t="inlineStr"/>
      <c r="G372" s="5" t="inlineStr">
        <is>
          <t>factsheet/index</t>
        </is>
      </c>
      <c r="H372" s="5" t="inlineStr">
        <is>
          <t>calculation handbook</t>
        </is>
      </c>
      <c r="I372" s="5" t="inlineStr">
        <is>
          <t>CUUR0000SAN1D</t>
        </is>
      </c>
      <c r="J372" s="5" t="inlineStr">
        <is>
          <t>CUSR0000SAN1D</t>
        </is>
      </c>
    </row>
    <row r="373">
      <c r="A373" t="inlineStr">
        <is>
          <t>SAD</t>
        </is>
      </c>
      <c r="B373" t="inlineStr">
        <is>
          <t>Durables</t>
        </is>
      </c>
      <c r="C373" s="19" t="inlineStr">
        <is>
          <t>aggregate</t>
        </is>
      </c>
      <c r="D373" s="19" t="inlineStr">
        <is>
          <t>aggregate</t>
        </is>
      </c>
      <c r="E373" s="19" t="inlineStr">
        <is>
          <t>aggregate of component methods</t>
        </is>
      </c>
      <c r="F373" s="19" t="inlineStr"/>
      <c r="G373" s="5" t="inlineStr">
        <is>
          <t>factsheet/index</t>
        </is>
      </c>
      <c r="H373" s="5" t="inlineStr">
        <is>
          <t>calculation handbook</t>
        </is>
      </c>
      <c r="I373" s="5" t="inlineStr">
        <is>
          <t>CUUR0000SAD</t>
        </is>
      </c>
      <c r="J373" s="5" t="inlineStr">
        <is>
          <t>CUSR0000SAD</t>
        </is>
      </c>
    </row>
    <row r="374">
      <c r="A374" t="inlineStr">
        <is>
          <t>SAEC</t>
        </is>
      </c>
      <c r="B374" t="inlineStr">
        <is>
          <t>Education and communication commodities</t>
        </is>
      </c>
      <c r="C374" s="19" t="inlineStr">
        <is>
          <t>aggregate</t>
        </is>
      </c>
      <c r="D374" s="19" t="inlineStr">
        <is>
          <t>aggregate</t>
        </is>
      </c>
      <c r="E374" s="19" t="inlineStr">
        <is>
          <t>aggregate of component methods</t>
        </is>
      </c>
      <c r="F374" s="19" t="inlineStr"/>
      <c r="G374" s="5" t="inlineStr">
        <is>
          <t>factsheet/index</t>
        </is>
      </c>
      <c r="H374" s="5" t="inlineStr">
        <is>
          <t>calculation handbook</t>
        </is>
      </c>
      <c r="I374" s="5" t="inlineStr">
        <is>
          <t>CUUR0000SAEC</t>
        </is>
      </c>
      <c r="J374" s="5" t="inlineStr">
        <is>
          <t>CUSR0000SAEC</t>
        </is>
      </c>
    </row>
    <row r="375">
      <c r="A375" t="inlineStr">
        <is>
          <t>SAES</t>
        </is>
      </c>
      <c r="B375" t="inlineStr">
        <is>
          <t>Education and communication services</t>
        </is>
      </c>
      <c r="C375" s="19" t="inlineStr">
        <is>
          <t>aggregate</t>
        </is>
      </c>
      <c r="D375" s="19" t="inlineStr">
        <is>
          <t>aggregate</t>
        </is>
      </c>
      <c r="E375" s="19" t="inlineStr">
        <is>
          <t>aggregate of component methods</t>
        </is>
      </c>
      <c r="F375" s="19" t="inlineStr"/>
      <c r="G375" s="5" t="inlineStr">
        <is>
          <t>factsheet/index</t>
        </is>
      </c>
      <c r="H375" s="5" t="inlineStr">
        <is>
          <t>calculation handbook</t>
        </is>
      </c>
      <c r="I375" s="5" t="inlineStr">
        <is>
          <t>CUUR0000SAES</t>
        </is>
      </c>
      <c r="J375" s="5" t="inlineStr">
        <is>
          <t>CUSR0000SAES</t>
        </is>
      </c>
    </row>
    <row r="376">
      <c r="A376" t="inlineStr">
        <is>
          <t>SA0E</t>
        </is>
      </c>
      <c r="B376" t="inlineStr">
        <is>
          <t>Energy</t>
        </is>
      </c>
      <c r="C376" s="19" t="inlineStr">
        <is>
          <t>aggregate</t>
        </is>
      </c>
      <c r="D376" s="19" t="inlineStr">
        <is>
          <t>aggregate</t>
        </is>
      </c>
      <c r="E376" s="19" t="inlineStr">
        <is>
          <t>aggregate</t>
        </is>
      </c>
      <c r="F376" s="19" t="inlineStr"/>
      <c r="G376" s="5" t="inlineStr">
        <is>
          <t>factsheet/index</t>
        </is>
      </c>
      <c r="H376" s="5" t="inlineStr">
        <is>
          <t>calculation handbook</t>
        </is>
      </c>
      <c r="I376" s="5" t="inlineStr">
        <is>
          <t>CUUR0000SA0E</t>
        </is>
      </c>
      <c r="J376" s="5" t="inlineStr">
        <is>
          <t>CUSR0000SA0E</t>
        </is>
      </c>
    </row>
    <row r="377">
      <c r="A377" t="inlineStr">
        <is>
          <t>SACE</t>
        </is>
      </c>
      <c r="B377" t="inlineStr">
        <is>
          <t>Energy commodities</t>
        </is>
      </c>
      <c r="C377" s="19" t="inlineStr">
        <is>
          <t>aggregate</t>
        </is>
      </c>
      <c r="D377" s="19" t="inlineStr">
        <is>
          <t>aggregate</t>
        </is>
      </c>
      <c r="E377" s="19" t="inlineStr">
        <is>
          <t>aggregate of component methods</t>
        </is>
      </c>
      <c r="F377" s="19" t="inlineStr"/>
      <c r="G377" s="5" t="inlineStr">
        <is>
          <t>factsheet/index</t>
        </is>
      </c>
      <c r="H377" s="5" t="inlineStr">
        <is>
          <t>calculation handbook</t>
        </is>
      </c>
      <c r="I377" s="5" t="inlineStr">
        <is>
          <t>CUUR0000SACE</t>
        </is>
      </c>
      <c r="J377" s="5" t="inlineStr">
        <is>
          <t>CUSR0000SACE</t>
        </is>
      </c>
    </row>
    <row r="378">
      <c r="A378" t="inlineStr">
        <is>
          <t>SAH31</t>
        </is>
      </c>
      <c r="B378" t="inlineStr">
        <is>
          <t>Household furnishings and supplies</t>
        </is>
      </c>
      <c r="C378" s="19" t="inlineStr">
        <is>
          <t>aggregate</t>
        </is>
      </c>
      <c r="D378" s="19" t="inlineStr">
        <is>
          <t>aggregate</t>
        </is>
      </c>
      <c r="E378" s="19" t="inlineStr">
        <is>
          <t>aggregate of component methods</t>
        </is>
      </c>
      <c r="F378" s="19" t="inlineStr"/>
      <c r="G378" s="5" t="inlineStr">
        <is>
          <t>factsheet/index</t>
        </is>
      </c>
      <c r="H378" s="5" t="inlineStr">
        <is>
          <t>calculation handbook</t>
        </is>
      </c>
      <c r="I378" s="5" t="inlineStr">
        <is>
          <t>CUUR0000SAH31</t>
        </is>
      </c>
      <c r="J378" s="5" t="inlineStr">
        <is>
          <t>CUSR0000SAH31</t>
        </is>
      </c>
    </row>
    <row r="379">
      <c r="A379" t="inlineStr">
        <is>
          <t>SEEEC</t>
        </is>
      </c>
      <c r="B379" t="inlineStr">
        <is>
          <t>Information technology commodities</t>
        </is>
      </c>
      <c r="C379" s="19" t="inlineStr">
        <is>
          <t>GM</t>
        </is>
      </c>
      <c r="D379" s="19" t="inlineStr">
        <is>
          <t>monthly in New York/Los Angeles/Chicago; often bimonthly elsewhere</t>
        </is>
      </c>
      <c r="E379" s="19" t="inlineStr">
        <is>
          <t>cell-relative imputation for missing quotes; direct comparison/direct QA as applicable</t>
        </is>
      </c>
      <c r="F379" s="19" t="inlineStr"/>
      <c r="G379" s="5" t="inlineStr">
        <is>
          <t>factsheet/index</t>
        </is>
      </c>
      <c r="H379" s="5" t="inlineStr">
        <is>
          <t>calculation handbook</t>
        </is>
      </c>
      <c r="I379" s="5" t="inlineStr">
        <is>
          <t>CUUR0000SEEEC</t>
        </is>
      </c>
      <c r="J379" s="5" t="inlineStr">
        <is>
          <t>CUSR0000SEEEC</t>
        </is>
      </c>
    </row>
    <row r="380">
      <c r="A380" t="inlineStr">
        <is>
          <t>SAN</t>
        </is>
      </c>
      <c r="B380" t="inlineStr">
        <is>
          <t>Nondurables</t>
        </is>
      </c>
      <c r="C380" s="19" t="inlineStr">
        <is>
          <t>aggregate</t>
        </is>
      </c>
      <c r="D380" s="19" t="inlineStr">
        <is>
          <t>aggregate</t>
        </is>
      </c>
      <c r="E380" s="19" t="inlineStr">
        <is>
          <t>aggregate of component methods</t>
        </is>
      </c>
      <c r="F380" s="19" t="inlineStr"/>
      <c r="G380" s="5" t="inlineStr">
        <is>
          <t>factsheet/index</t>
        </is>
      </c>
      <c r="H380" s="5" t="inlineStr">
        <is>
          <t>calculation handbook</t>
        </is>
      </c>
      <c r="I380" s="5" t="inlineStr">
        <is>
          <t>CUUR0000SAN</t>
        </is>
      </c>
      <c r="J380" s="5" t="inlineStr">
        <is>
          <t>CUSR0000SAN</t>
        </is>
      </c>
    </row>
    <row r="381">
      <c r="A381" t="inlineStr">
        <is>
          <t>SANL1</t>
        </is>
      </c>
      <c r="B381" t="inlineStr">
        <is>
          <t>Nondurables less food</t>
        </is>
      </c>
      <c r="C381" s="19" t="inlineStr">
        <is>
          <t>aggregate</t>
        </is>
      </c>
      <c r="D381" s="19" t="inlineStr">
        <is>
          <t>aggregate</t>
        </is>
      </c>
      <c r="E381" s="19" t="inlineStr">
        <is>
          <t>aggregate of component methods</t>
        </is>
      </c>
      <c r="F381" s="19" t="inlineStr"/>
      <c r="G381" s="5" t="inlineStr">
        <is>
          <t>factsheet/index</t>
        </is>
      </c>
      <c r="H381" s="5" t="inlineStr">
        <is>
          <t>calculation handbook</t>
        </is>
      </c>
      <c r="I381" s="5" t="inlineStr">
        <is>
          <t>CUUR0000SANL1</t>
        </is>
      </c>
      <c r="J381" s="5" t="inlineStr">
        <is>
          <t>CUSR0000SANL1</t>
        </is>
      </c>
    </row>
    <row r="382">
      <c r="A382" t="inlineStr">
        <is>
          <t>SANL13</t>
        </is>
      </c>
      <c r="B382" t="inlineStr">
        <is>
          <t>Nondurables less food and apparel</t>
        </is>
      </c>
      <c r="C382" s="19" t="inlineStr">
        <is>
          <t>aggregate</t>
        </is>
      </c>
      <c r="D382" s="19" t="inlineStr">
        <is>
          <t>aggregate</t>
        </is>
      </c>
      <c r="E382" s="19" t="inlineStr">
        <is>
          <t>aggregate of component methods</t>
        </is>
      </c>
      <c r="F382" s="19" t="inlineStr"/>
      <c r="G382" s="5" t="inlineStr">
        <is>
          <t>factsheet/index</t>
        </is>
      </c>
      <c r="H382" s="5" t="inlineStr">
        <is>
          <t>calculation handbook</t>
        </is>
      </c>
      <c r="I382" s="5" t="inlineStr">
        <is>
          <t>CUUR0000SANL13</t>
        </is>
      </c>
      <c r="J382" s="5" t="inlineStr">
        <is>
          <t>CUSR0000SANL13</t>
        </is>
      </c>
    </row>
    <row r="383">
      <c r="A383" t="inlineStr">
        <is>
          <t>SANL11</t>
        </is>
      </c>
      <c r="B383" t="inlineStr">
        <is>
          <t>Nondurables less food and beverages</t>
        </is>
      </c>
      <c r="C383" s="19" t="inlineStr">
        <is>
          <t>aggregate</t>
        </is>
      </c>
      <c r="D383" s="19" t="inlineStr">
        <is>
          <t>aggregate</t>
        </is>
      </c>
      <c r="E383" s="19" t="inlineStr">
        <is>
          <t>aggregate of component methods</t>
        </is>
      </c>
      <c r="F383" s="19" t="inlineStr"/>
      <c r="G383" s="5" t="inlineStr">
        <is>
          <t>factsheet/index</t>
        </is>
      </c>
      <c r="H383" s="5" t="inlineStr">
        <is>
          <t>calculation handbook</t>
        </is>
      </c>
      <c r="I383" s="5" t="inlineStr">
        <is>
          <t>CUUR0000SANL11</t>
        </is>
      </c>
      <c r="J383" s="5" t="inlineStr">
        <is>
          <t>CUSR0000SANL11</t>
        </is>
      </c>
    </row>
    <row r="384">
      <c r="A384" t="inlineStr">
        <is>
          <t>SANL113</t>
        </is>
      </c>
      <c r="B384" t="inlineStr">
        <is>
          <t>Nondurables less food, beverages, and apparel</t>
        </is>
      </c>
      <c r="C384" s="19" t="inlineStr">
        <is>
          <t>aggregate</t>
        </is>
      </c>
      <c r="D384" s="19" t="inlineStr">
        <is>
          <t>aggregate</t>
        </is>
      </c>
      <c r="E384" s="19" t="inlineStr">
        <is>
          <t>aggregate of component methods</t>
        </is>
      </c>
      <c r="F384" s="19" t="inlineStr"/>
      <c r="G384" s="5" t="inlineStr">
        <is>
          <t>factsheet/index</t>
        </is>
      </c>
      <c r="H384" s="5" t="inlineStr">
        <is>
          <t>calculation handbook</t>
        </is>
      </c>
      <c r="I384" s="5" t="inlineStr">
        <is>
          <t>CUUR0000SANL113</t>
        </is>
      </c>
      <c r="J384" s="5" t="inlineStr">
        <is>
          <t>CUSR0000SANL113</t>
        </is>
      </c>
    </row>
    <row r="385">
      <c r="A385" t="inlineStr">
        <is>
          <t>SAGC</t>
        </is>
      </c>
      <c r="B385" t="inlineStr">
        <is>
          <t>Other goods</t>
        </is>
      </c>
      <c r="C385" s="19" t="inlineStr">
        <is>
          <t>aggregate</t>
        </is>
      </c>
      <c r="D385" s="19" t="inlineStr">
        <is>
          <t>aggregate</t>
        </is>
      </c>
      <c r="E385" s="19" t="inlineStr">
        <is>
          <t>aggregate of component methods</t>
        </is>
      </c>
      <c r="F385" s="19" t="inlineStr"/>
      <c r="G385" s="5" t="inlineStr">
        <is>
          <t>factsheet/index</t>
        </is>
      </c>
      <c r="H385" s="5" t="inlineStr">
        <is>
          <t>calculation handbook</t>
        </is>
      </c>
      <c r="I385" s="5" t="inlineStr">
        <is>
          <t>CUUR0000SAGC</t>
        </is>
      </c>
      <c r="J385" s="5" t="inlineStr">
        <is>
          <t>CUSR0000SAGC</t>
        </is>
      </c>
    </row>
    <row r="386">
      <c r="A386" t="inlineStr">
        <is>
          <t>SAGS</t>
        </is>
      </c>
      <c r="B386" t="inlineStr">
        <is>
          <t>Other personal services</t>
        </is>
      </c>
      <c r="C386" s="19" t="inlineStr">
        <is>
          <t>aggregate</t>
        </is>
      </c>
      <c r="D386" s="19" t="inlineStr">
        <is>
          <t>aggregate</t>
        </is>
      </c>
      <c r="E386" s="19" t="inlineStr">
        <is>
          <t>aggregate of component methods</t>
        </is>
      </c>
      <c r="F386" s="19" t="inlineStr"/>
      <c r="G386" s="5" t="inlineStr">
        <is>
          <t>factsheet/index</t>
        </is>
      </c>
      <c r="H386" s="5" t="inlineStr">
        <is>
          <t>calculation handbook</t>
        </is>
      </c>
      <c r="I386" s="5" t="inlineStr">
        <is>
          <t>CUUR0000SAGS</t>
        </is>
      </c>
      <c r="J386" t="inlineStr"/>
    </row>
    <row r="387">
      <c r="A387" t="inlineStr">
        <is>
          <t>SAS367</t>
        </is>
      </c>
      <c r="B387" t="inlineStr">
        <is>
          <t>Other services</t>
        </is>
      </c>
      <c r="C387" s="19" t="inlineStr">
        <is>
          <t>aggregate</t>
        </is>
      </c>
      <c r="D387" s="19" t="inlineStr">
        <is>
          <t>aggregate</t>
        </is>
      </c>
      <c r="E387" s="19" t="inlineStr">
        <is>
          <t>aggregate of component methods</t>
        </is>
      </c>
      <c r="F387" s="19" t="inlineStr"/>
      <c r="G387" s="5" t="inlineStr">
        <is>
          <t>factsheet/index</t>
        </is>
      </c>
      <c r="H387" s="5" t="inlineStr">
        <is>
          <t>calculation handbook</t>
        </is>
      </c>
      <c r="I387" s="5" t="inlineStr">
        <is>
          <t>CUUR0000SAS367</t>
        </is>
      </c>
      <c r="J387" s="5" t="inlineStr">
        <is>
          <t>CUSR0000SAS367</t>
        </is>
      </c>
    </row>
    <row r="388">
      <c r="A388" t="inlineStr">
        <is>
          <t>SARC</t>
        </is>
      </c>
      <c r="B388" t="inlineStr">
        <is>
          <t>Recreation commodities</t>
        </is>
      </c>
      <c r="C388" s="19" t="inlineStr">
        <is>
          <t>aggregate</t>
        </is>
      </c>
      <c r="D388" s="19" t="inlineStr">
        <is>
          <t>aggregate</t>
        </is>
      </c>
      <c r="E388" s="19" t="inlineStr">
        <is>
          <t>aggregate of component methods</t>
        </is>
      </c>
      <c r="F388" s="19" t="inlineStr"/>
      <c r="G388" s="5" t="inlineStr">
        <is>
          <t>factsheet/index</t>
        </is>
      </c>
      <c r="H388" s="5" t="inlineStr">
        <is>
          <t>calculation handbook</t>
        </is>
      </c>
      <c r="I388" s="5" t="inlineStr">
        <is>
          <t>CUUR0000SARC</t>
        </is>
      </c>
      <c r="J388" s="5" t="inlineStr">
        <is>
          <t>CUSR0000SARC</t>
        </is>
      </c>
    </row>
    <row r="389">
      <c r="A389" t="inlineStr">
        <is>
          <t>SARS</t>
        </is>
      </c>
      <c r="B389" t="inlineStr">
        <is>
          <t>Recreation services</t>
        </is>
      </c>
      <c r="C389" s="19" t="inlineStr">
        <is>
          <t>aggregate</t>
        </is>
      </c>
      <c r="D389" s="19" t="inlineStr">
        <is>
          <t>aggregate</t>
        </is>
      </c>
      <c r="E389" s="19" t="inlineStr">
        <is>
          <t>aggregate of component methods</t>
        </is>
      </c>
      <c r="F389" s="19" t="inlineStr"/>
      <c r="G389" s="5" t="inlineStr">
        <is>
          <t>factsheet/index</t>
        </is>
      </c>
      <c r="H389" s="5" t="inlineStr">
        <is>
          <t>calculation handbook</t>
        </is>
      </c>
      <c r="I389" s="5" t="inlineStr">
        <is>
          <t>CUUR0000SARS</t>
        </is>
      </c>
      <c r="J389" s="5" t="inlineStr">
        <is>
          <t>CUSR0000SARS</t>
        </is>
      </c>
    </row>
    <row r="390">
      <c r="A390" t="inlineStr">
        <is>
          <t>SAS2RS</t>
        </is>
      </c>
      <c r="B390" t="inlineStr">
        <is>
          <t>Rent of shelter</t>
        </is>
      </c>
      <c r="C390" s="19" t="inlineStr">
        <is>
          <t>aggregate</t>
        </is>
      </c>
      <c r="D390" s="19" t="inlineStr">
        <is>
          <t>aggregate</t>
        </is>
      </c>
      <c r="E390" s="19" t="inlineStr">
        <is>
          <t>aggregate of component methods</t>
        </is>
      </c>
      <c r="F390" s="19" t="inlineStr"/>
      <c r="G390" s="5" t="inlineStr">
        <is>
          <t>factsheet/index</t>
        </is>
      </c>
      <c r="H390" s="5" t="inlineStr">
        <is>
          <t>calculation handbook</t>
        </is>
      </c>
      <c r="I390" s="5" t="inlineStr">
        <is>
          <t>CUUR0000SAS2RS</t>
        </is>
      </c>
      <c r="J390" s="5" t="inlineStr">
        <is>
          <t>CUSR0000SAS2RS</t>
        </is>
      </c>
    </row>
    <row r="391">
      <c r="A391" t="inlineStr">
        <is>
          <t>SAS</t>
        </is>
      </c>
      <c r="B391" t="inlineStr">
        <is>
          <t>Services</t>
        </is>
      </c>
      <c r="C391" s="19" t="inlineStr">
        <is>
          <t>aggregate</t>
        </is>
      </c>
      <c r="D391" s="19" t="inlineStr">
        <is>
          <t>aggregate</t>
        </is>
      </c>
      <c r="E391" s="19" t="inlineStr">
        <is>
          <t>aggregate of component methods</t>
        </is>
      </c>
      <c r="F391" s="19" t="inlineStr"/>
      <c r="G391" s="5" t="inlineStr">
        <is>
          <t>factsheet/index</t>
        </is>
      </c>
      <c r="H391" s="5" t="inlineStr">
        <is>
          <t>calculation handbook</t>
        </is>
      </c>
      <c r="I391" s="5" t="inlineStr">
        <is>
          <t>CUUR0000SAS</t>
        </is>
      </c>
      <c r="J391" s="5" t="inlineStr">
        <is>
          <t>CUSR0000SAS</t>
        </is>
      </c>
    </row>
    <row r="392">
      <c r="A392" t="inlineStr">
        <is>
          <t>SASLE</t>
        </is>
      </c>
      <c r="B392" t="inlineStr">
        <is>
          <t>Services less energy services</t>
        </is>
      </c>
      <c r="C392" s="19" t="inlineStr">
        <is>
          <t>aggregate</t>
        </is>
      </c>
      <c r="D392" s="19" t="inlineStr">
        <is>
          <t>aggregate</t>
        </is>
      </c>
      <c r="E392" s="19" t="inlineStr">
        <is>
          <t>aggregate of component methods</t>
        </is>
      </c>
      <c r="F392" s="19" t="inlineStr"/>
      <c r="G392" s="5" t="inlineStr">
        <is>
          <t>factsheet/index</t>
        </is>
      </c>
      <c r="H392" s="5" t="inlineStr">
        <is>
          <t>calculation handbook</t>
        </is>
      </c>
      <c r="I392" s="5" t="inlineStr">
        <is>
          <t>CUUR0000SASLE</t>
        </is>
      </c>
      <c r="J392" s="5" t="inlineStr">
        <is>
          <t>CUSR0000SASLE</t>
        </is>
      </c>
    </row>
    <row r="393">
      <c r="A393" t="inlineStr">
        <is>
          <t>SASL5</t>
        </is>
      </c>
      <c r="B393" t="inlineStr">
        <is>
          <t>Services less medical care services</t>
        </is>
      </c>
      <c r="C393" s="19" t="inlineStr">
        <is>
          <t>aggregate</t>
        </is>
      </c>
      <c r="D393" s="19" t="inlineStr">
        <is>
          <t>aggregate</t>
        </is>
      </c>
      <c r="E393" s="19" t="inlineStr">
        <is>
          <t>aggregate of component methods</t>
        </is>
      </c>
      <c r="F393" s="19" t="inlineStr"/>
      <c r="G393" s="5" t="inlineStr">
        <is>
          <t>factsheet/index</t>
        </is>
      </c>
      <c r="H393" s="5" t="inlineStr">
        <is>
          <t>calculation handbook</t>
        </is>
      </c>
      <c r="I393" s="5" t="inlineStr">
        <is>
          <t>CUUR0000SASL5</t>
        </is>
      </c>
      <c r="J393" s="5" t="inlineStr">
        <is>
          <t>CUSR0000SASL5</t>
        </is>
      </c>
    </row>
    <row r="394">
      <c r="A394" t="inlineStr">
        <is>
          <t>SASL2RS</t>
        </is>
      </c>
      <c r="B394" t="inlineStr">
        <is>
          <t>Services less rent of shelter</t>
        </is>
      </c>
      <c r="C394" s="19" t="inlineStr">
        <is>
          <t>aggregate</t>
        </is>
      </c>
      <c r="D394" s="19" t="inlineStr">
        <is>
          <t>aggregate</t>
        </is>
      </c>
      <c r="E394" s="19" t="inlineStr">
        <is>
          <t>aggregate of component methods</t>
        </is>
      </c>
      <c r="F394" s="19" t="inlineStr"/>
      <c r="G394" s="5" t="inlineStr">
        <is>
          <t>factsheet/index</t>
        </is>
      </c>
      <c r="H394" s="5" t="inlineStr">
        <is>
          <t>calculation handbook</t>
        </is>
      </c>
      <c r="I394" s="5" t="inlineStr">
        <is>
          <t>CUUR0000SASL2RS</t>
        </is>
      </c>
      <c r="J394" s="5" t="inlineStr">
        <is>
          <t>CUSR0000SASL2RS</t>
        </is>
      </c>
    </row>
    <row r="395">
      <c r="A395" t="inlineStr">
        <is>
          <t>SATCLTB</t>
        </is>
      </c>
      <c r="B395" t="inlineStr">
        <is>
          <t>Transportation commodities less motor fuel</t>
        </is>
      </c>
      <c r="C395" s="19" t="inlineStr">
        <is>
          <t>aggregate</t>
        </is>
      </c>
      <c r="D395" s="19" t="inlineStr">
        <is>
          <t>aggregate</t>
        </is>
      </c>
      <c r="E395" s="19" t="inlineStr">
        <is>
          <t>aggregate of component methods</t>
        </is>
      </c>
      <c r="F395" s="19" t="inlineStr"/>
      <c r="G395" s="5" t="inlineStr">
        <is>
          <t>factsheet/index</t>
        </is>
      </c>
      <c r="H395" s="5" t="inlineStr">
        <is>
          <t>calculation handbook</t>
        </is>
      </c>
      <c r="I395" s="5" t="inlineStr">
        <is>
          <t>CUUR0000SATCLTB</t>
        </is>
      </c>
      <c r="J395" s="5" t="inlineStr">
        <is>
          <t>CUSR0000SATCLTB</t>
        </is>
      </c>
    </row>
    <row r="396">
      <c r="A396" t="inlineStr">
        <is>
          <t>SAS4</t>
        </is>
      </c>
      <c r="B396" t="inlineStr">
        <is>
          <t>Transportation services</t>
        </is>
      </c>
      <c r="C396" s="19" t="inlineStr">
        <is>
          <t>aggregate</t>
        </is>
      </c>
      <c r="D396" s="19" t="inlineStr">
        <is>
          <t>aggregate</t>
        </is>
      </c>
      <c r="E396" s="19" t="inlineStr">
        <is>
          <t>aggregate of component methods</t>
        </is>
      </c>
      <c r="F396" s="19" t="inlineStr"/>
      <c r="G396" s="5" t="inlineStr">
        <is>
          <t>factsheet/index</t>
        </is>
      </c>
      <c r="H396" s="5" t="inlineStr">
        <is>
          <t>calculation handbook</t>
        </is>
      </c>
      <c r="I396" s="5" t="inlineStr">
        <is>
          <t>CUUR0000SAS4</t>
        </is>
      </c>
      <c r="J396" s="5" t="inlineStr">
        <is>
          <t>CUSR0000SAS4</t>
        </is>
      </c>
    </row>
    <row r="397">
      <c r="A397" t="inlineStr">
        <is>
          <t>SAS24</t>
        </is>
      </c>
      <c r="B397" t="inlineStr">
        <is>
          <t>Utilities and public transportation</t>
        </is>
      </c>
      <c r="C397" s="19" t="inlineStr">
        <is>
          <t>aggregate</t>
        </is>
      </c>
      <c r="D397" s="19" t="inlineStr">
        <is>
          <t>aggregate</t>
        </is>
      </c>
      <c r="E397" s="19" t="inlineStr">
        <is>
          <t>aggregate of component methods</t>
        </is>
      </c>
      <c r="F397" s="19" t="inlineStr"/>
      <c r="G397" s="5" t="inlineStr">
        <is>
          <t>factsheet/index</t>
        </is>
      </c>
      <c r="H397" s="5" t="inlineStr">
        <is>
          <t>calculation handbook</t>
        </is>
      </c>
      <c r="I397" s="5" t="inlineStr">
        <is>
          <t>CUUR0000SAS24</t>
        </is>
      </c>
      <c r="J397" s="5" t="inlineStr">
        <is>
          <t>CUSR0000SAS24</t>
        </is>
      </c>
    </row>
    <row r="398">
      <c r="A398" t="inlineStr">
        <is>
          <t>SERAC</t>
        </is>
      </c>
      <c r="B398" t="inlineStr">
        <is>
          <t>Video and audio products</t>
        </is>
      </c>
      <c r="C398" s="19" t="inlineStr">
        <is>
          <t>GM</t>
        </is>
      </c>
      <c r="D398" s="19" t="inlineStr">
        <is>
          <t>monthly in New York/Los Angeles/Chicago; often bimonthly elsewhere</t>
        </is>
      </c>
      <c r="E398" s="19" t="inlineStr">
        <is>
          <t>cell-relative imputation for missing quotes; direct comparison/direct QA as applicable</t>
        </is>
      </c>
      <c r="F398" s="19" t="inlineStr"/>
      <c r="G398" s="5" t="inlineStr">
        <is>
          <t>factsheet/index</t>
        </is>
      </c>
      <c r="H398" s="5" t="inlineStr">
        <is>
          <t>calculation handbook</t>
        </is>
      </c>
      <c r="I398" s="5" t="inlineStr">
        <is>
          <t>CUUR0000SERAC</t>
        </is>
      </c>
      <c r="J398" s="5" t="inlineStr">
        <is>
          <t>CUSR0000SERAC</t>
        </is>
      </c>
    </row>
    <row r="399">
      <c r="A399" t="inlineStr">
        <is>
          <t>SERAS</t>
        </is>
      </c>
      <c r="B399" t="inlineStr">
        <is>
          <t>Video and audio services</t>
        </is>
      </c>
      <c r="C399" s="19" t="inlineStr">
        <is>
          <t>GM</t>
        </is>
      </c>
      <c r="D399" s="19" t="inlineStr">
        <is>
          <t>monthly in New York/Los Angeles/Chicago; often bimonthly elsewhere</t>
        </is>
      </c>
      <c r="E399" s="19" t="inlineStr">
        <is>
          <t>cell-relative imputation for missing quotes; direct comparison/direct QA as applicable</t>
        </is>
      </c>
      <c r="F399" s="19" t="inlineStr"/>
      <c r="G399" s="5" t="inlineStr">
        <is>
          <t>factsheet/index</t>
        </is>
      </c>
      <c r="H399" s="5" t="inlineStr">
        <is>
          <t>calculation handbook</t>
        </is>
      </c>
      <c r="I399" s="5" t="inlineStr">
        <is>
          <t>CUUR0000SERAS</t>
        </is>
      </c>
      <c r="J399" s="5" t="inlineStr">
        <is>
          <t>CUSR0000SERAS</t>
        </is>
      </c>
    </row>
    <row r="400">
      <c r="A400" t="inlineStr">
        <is>
          <t>SA0R</t>
        </is>
      </c>
      <c r="B400" t="inlineStr">
        <is>
          <t>Purchasing power of the consumer dollar</t>
        </is>
      </c>
      <c r="C400" s="19" t="inlineStr">
        <is>
          <t>aggregate</t>
        </is>
      </c>
      <c r="D400" s="19" t="inlineStr">
        <is>
          <t>aggregate</t>
        </is>
      </c>
      <c r="E400" s="19" t="inlineStr">
        <is>
          <t>aggregate of component methods</t>
        </is>
      </c>
      <c r="F400" s="19" t="inlineStr"/>
      <c r="G400" s="5" t="inlineStr">
        <is>
          <t>factsheet/index</t>
        </is>
      </c>
      <c r="H400" s="5" t="inlineStr">
        <is>
          <t>calculation handbook</t>
        </is>
      </c>
      <c r="I400" s="5" t="inlineStr">
        <is>
          <t>CUUR0000SA0R</t>
        </is>
      </c>
      <c r="J400" t="inlineStr"/>
    </row>
    <row r="401">
      <c r="A401" t="inlineStr">
        <is>
          <t>AA0R</t>
        </is>
      </c>
      <c r="B401" t="inlineStr">
        <is>
          <t>Purchasing power of the consumer dollar - old base</t>
        </is>
      </c>
      <c r="C401" s="19" t="inlineStr">
        <is>
          <t>GM</t>
        </is>
      </c>
      <c r="D401" s="19" t="inlineStr">
        <is>
          <t>monthly in New York/Los Angeles/Chicago; often bimonthly elsewhere</t>
        </is>
      </c>
      <c r="E401" s="19" t="inlineStr">
        <is>
          <t>cell-relative imputation for missing quotes; direct comparison/direct QA as applicable</t>
        </is>
      </c>
      <c r="F401" s="19" t="inlineStr"/>
      <c r="G401" s="5" t="inlineStr">
        <is>
          <t>factsheet/index</t>
        </is>
      </c>
      <c r="H401" s="5" t="inlineStr">
        <is>
          <t>calculation handbook</t>
        </is>
      </c>
      <c r="I401" s="5" t="inlineStr">
        <is>
          <t>CUUR0000AA0R</t>
        </is>
      </c>
      <c r="J401" t="inlineStr"/>
    </row>
  </sheetData>
  <autoFilter ref="A1:J40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J2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I3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I4" r:id="rId10"/>
    <hyperlink xmlns:r="http://schemas.openxmlformats.org/officeDocument/2006/relationships" ref="J4" r:id="rId11"/>
    <hyperlink xmlns:r="http://schemas.openxmlformats.org/officeDocument/2006/relationships" ref="G5" r:id="rId12"/>
    <hyperlink xmlns:r="http://schemas.openxmlformats.org/officeDocument/2006/relationships" ref="H5" r:id="rId13"/>
    <hyperlink xmlns:r="http://schemas.openxmlformats.org/officeDocument/2006/relationships" ref="I5" r:id="rId14"/>
    <hyperlink xmlns:r="http://schemas.openxmlformats.org/officeDocument/2006/relationships" ref="J5" r:id="rId15"/>
    <hyperlink xmlns:r="http://schemas.openxmlformats.org/officeDocument/2006/relationships" ref="G6" r:id="rId16"/>
    <hyperlink xmlns:r="http://schemas.openxmlformats.org/officeDocument/2006/relationships" ref="H6" r:id="rId17"/>
    <hyperlink xmlns:r="http://schemas.openxmlformats.org/officeDocument/2006/relationships" ref="I6" r:id="rId18"/>
    <hyperlink xmlns:r="http://schemas.openxmlformats.org/officeDocument/2006/relationships" ref="J6" r:id="rId19"/>
    <hyperlink xmlns:r="http://schemas.openxmlformats.org/officeDocument/2006/relationships" ref="G7" r:id="rId20"/>
    <hyperlink xmlns:r="http://schemas.openxmlformats.org/officeDocument/2006/relationships" ref="H7" r:id="rId21"/>
    <hyperlink xmlns:r="http://schemas.openxmlformats.org/officeDocument/2006/relationships" ref="I7" r:id="rId22"/>
    <hyperlink xmlns:r="http://schemas.openxmlformats.org/officeDocument/2006/relationships" ref="J7" r:id="rId23"/>
    <hyperlink xmlns:r="http://schemas.openxmlformats.org/officeDocument/2006/relationships" ref="G8" r:id="rId24"/>
    <hyperlink xmlns:r="http://schemas.openxmlformats.org/officeDocument/2006/relationships" ref="H8" r:id="rId25"/>
    <hyperlink xmlns:r="http://schemas.openxmlformats.org/officeDocument/2006/relationships" ref="I8" r:id="rId26"/>
    <hyperlink xmlns:r="http://schemas.openxmlformats.org/officeDocument/2006/relationships" ref="J8" r:id="rId27"/>
    <hyperlink xmlns:r="http://schemas.openxmlformats.org/officeDocument/2006/relationships" ref="G9" r:id="rId28"/>
    <hyperlink xmlns:r="http://schemas.openxmlformats.org/officeDocument/2006/relationships" ref="H9" r:id="rId29"/>
    <hyperlink xmlns:r="http://schemas.openxmlformats.org/officeDocument/2006/relationships" ref="I9" r:id="rId30"/>
    <hyperlink xmlns:r="http://schemas.openxmlformats.org/officeDocument/2006/relationships" ref="J9" r:id="rId31"/>
    <hyperlink xmlns:r="http://schemas.openxmlformats.org/officeDocument/2006/relationships" ref="G10" r:id="rId32"/>
    <hyperlink xmlns:r="http://schemas.openxmlformats.org/officeDocument/2006/relationships" ref="H10" r:id="rId33"/>
    <hyperlink xmlns:r="http://schemas.openxmlformats.org/officeDocument/2006/relationships" ref="I10" r:id="rId34"/>
    <hyperlink xmlns:r="http://schemas.openxmlformats.org/officeDocument/2006/relationships" ref="J10" r:id="rId35"/>
    <hyperlink xmlns:r="http://schemas.openxmlformats.org/officeDocument/2006/relationships" ref="G11" r:id="rId36"/>
    <hyperlink xmlns:r="http://schemas.openxmlformats.org/officeDocument/2006/relationships" ref="H11" r:id="rId37"/>
    <hyperlink xmlns:r="http://schemas.openxmlformats.org/officeDocument/2006/relationships" ref="I11" r:id="rId38"/>
    <hyperlink xmlns:r="http://schemas.openxmlformats.org/officeDocument/2006/relationships" ref="J11" r:id="rId39"/>
    <hyperlink xmlns:r="http://schemas.openxmlformats.org/officeDocument/2006/relationships" ref="G12" r:id="rId40"/>
    <hyperlink xmlns:r="http://schemas.openxmlformats.org/officeDocument/2006/relationships" ref="H12" r:id="rId41"/>
    <hyperlink xmlns:r="http://schemas.openxmlformats.org/officeDocument/2006/relationships" ref="I12" r:id="rId42"/>
    <hyperlink xmlns:r="http://schemas.openxmlformats.org/officeDocument/2006/relationships" ref="G13" r:id="rId43"/>
    <hyperlink xmlns:r="http://schemas.openxmlformats.org/officeDocument/2006/relationships" ref="H13" r:id="rId44"/>
    <hyperlink xmlns:r="http://schemas.openxmlformats.org/officeDocument/2006/relationships" ref="I13" r:id="rId45"/>
    <hyperlink xmlns:r="http://schemas.openxmlformats.org/officeDocument/2006/relationships" ref="J13" r:id="rId46"/>
    <hyperlink xmlns:r="http://schemas.openxmlformats.org/officeDocument/2006/relationships" ref="G14" r:id="rId47"/>
    <hyperlink xmlns:r="http://schemas.openxmlformats.org/officeDocument/2006/relationships" ref="H14" r:id="rId48"/>
    <hyperlink xmlns:r="http://schemas.openxmlformats.org/officeDocument/2006/relationships" ref="I14" r:id="rId49"/>
    <hyperlink xmlns:r="http://schemas.openxmlformats.org/officeDocument/2006/relationships" ref="J14" r:id="rId50"/>
    <hyperlink xmlns:r="http://schemas.openxmlformats.org/officeDocument/2006/relationships" ref="G15" r:id="rId51"/>
    <hyperlink xmlns:r="http://schemas.openxmlformats.org/officeDocument/2006/relationships" ref="H15" r:id="rId52"/>
    <hyperlink xmlns:r="http://schemas.openxmlformats.org/officeDocument/2006/relationships" ref="I15" r:id="rId53"/>
    <hyperlink xmlns:r="http://schemas.openxmlformats.org/officeDocument/2006/relationships" ref="G16" r:id="rId54"/>
    <hyperlink xmlns:r="http://schemas.openxmlformats.org/officeDocument/2006/relationships" ref="H16" r:id="rId55"/>
    <hyperlink xmlns:r="http://schemas.openxmlformats.org/officeDocument/2006/relationships" ref="I16" r:id="rId56"/>
    <hyperlink xmlns:r="http://schemas.openxmlformats.org/officeDocument/2006/relationships" ref="G17" r:id="rId57"/>
    <hyperlink xmlns:r="http://schemas.openxmlformats.org/officeDocument/2006/relationships" ref="H17" r:id="rId58"/>
    <hyperlink xmlns:r="http://schemas.openxmlformats.org/officeDocument/2006/relationships" ref="I17" r:id="rId59"/>
    <hyperlink xmlns:r="http://schemas.openxmlformats.org/officeDocument/2006/relationships" ref="J17" r:id="rId60"/>
    <hyperlink xmlns:r="http://schemas.openxmlformats.org/officeDocument/2006/relationships" ref="G18" r:id="rId61"/>
    <hyperlink xmlns:r="http://schemas.openxmlformats.org/officeDocument/2006/relationships" ref="H18" r:id="rId62"/>
    <hyperlink xmlns:r="http://schemas.openxmlformats.org/officeDocument/2006/relationships" ref="I18" r:id="rId63"/>
    <hyperlink xmlns:r="http://schemas.openxmlformats.org/officeDocument/2006/relationships" ref="J18" r:id="rId64"/>
    <hyperlink xmlns:r="http://schemas.openxmlformats.org/officeDocument/2006/relationships" ref="G19" r:id="rId65"/>
    <hyperlink xmlns:r="http://schemas.openxmlformats.org/officeDocument/2006/relationships" ref="H19" r:id="rId66"/>
    <hyperlink xmlns:r="http://schemas.openxmlformats.org/officeDocument/2006/relationships" ref="I19" r:id="rId67"/>
    <hyperlink xmlns:r="http://schemas.openxmlformats.org/officeDocument/2006/relationships" ref="G20" r:id="rId68"/>
    <hyperlink xmlns:r="http://schemas.openxmlformats.org/officeDocument/2006/relationships" ref="H20" r:id="rId69"/>
    <hyperlink xmlns:r="http://schemas.openxmlformats.org/officeDocument/2006/relationships" ref="I20" r:id="rId70"/>
    <hyperlink xmlns:r="http://schemas.openxmlformats.org/officeDocument/2006/relationships" ref="J20" r:id="rId71"/>
    <hyperlink xmlns:r="http://schemas.openxmlformats.org/officeDocument/2006/relationships" ref="G21" r:id="rId72"/>
    <hyperlink xmlns:r="http://schemas.openxmlformats.org/officeDocument/2006/relationships" ref="H21" r:id="rId73"/>
    <hyperlink xmlns:r="http://schemas.openxmlformats.org/officeDocument/2006/relationships" ref="I21" r:id="rId74"/>
    <hyperlink xmlns:r="http://schemas.openxmlformats.org/officeDocument/2006/relationships" ref="J21" r:id="rId75"/>
    <hyperlink xmlns:r="http://schemas.openxmlformats.org/officeDocument/2006/relationships" ref="G22" r:id="rId76"/>
    <hyperlink xmlns:r="http://schemas.openxmlformats.org/officeDocument/2006/relationships" ref="H22" r:id="rId77"/>
    <hyperlink xmlns:r="http://schemas.openxmlformats.org/officeDocument/2006/relationships" ref="I22" r:id="rId78"/>
    <hyperlink xmlns:r="http://schemas.openxmlformats.org/officeDocument/2006/relationships" ref="G23" r:id="rId79"/>
    <hyperlink xmlns:r="http://schemas.openxmlformats.org/officeDocument/2006/relationships" ref="H23" r:id="rId80"/>
    <hyperlink xmlns:r="http://schemas.openxmlformats.org/officeDocument/2006/relationships" ref="I23" r:id="rId81"/>
    <hyperlink xmlns:r="http://schemas.openxmlformats.org/officeDocument/2006/relationships" ref="J23" r:id="rId82"/>
    <hyperlink xmlns:r="http://schemas.openxmlformats.org/officeDocument/2006/relationships" ref="G24" r:id="rId83"/>
    <hyperlink xmlns:r="http://schemas.openxmlformats.org/officeDocument/2006/relationships" ref="H24" r:id="rId84"/>
    <hyperlink xmlns:r="http://schemas.openxmlformats.org/officeDocument/2006/relationships" ref="I24" r:id="rId85"/>
    <hyperlink xmlns:r="http://schemas.openxmlformats.org/officeDocument/2006/relationships" ref="J24" r:id="rId86"/>
    <hyperlink xmlns:r="http://schemas.openxmlformats.org/officeDocument/2006/relationships" ref="G25" r:id="rId87"/>
    <hyperlink xmlns:r="http://schemas.openxmlformats.org/officeDocument/2006/relationships" ref="H25" r:id="rId88"/>
    <hyperlink xmlns:r="http://schemas.openxmlformats.org/officeDocument/2006/relationships" ref="I25" r:id="rId89"/>
    <hyperlink xmlns:r="http://schemas.openxmlformats.org/officeDocument/2006/relationships" ref="J25" r:id="rId90"/>
    <hyperlink xmlns:r="http://schemas.openxmlformats.org/officeDocument/2006/relationships" ref="G26" r:id="rId91"/>
    <hyperlink xmlns:r="http://schemas.openxmlformats.org/officeDocument/2006/relationships" ref="H26" r:id="rId92"/>
    <hyperlink xmlns:r="http://schemas.openxmlformats.org/officeDocument/2006/relationships" ref="I26" r:id="rId93"/>
    <hyperlink xmlns:r="http://schemas.openxmlformats.org/officeDocument/2006/relationships" ref="J26" r:id="rId94"/>
    <hyperlink xmlns:r="http://schemas.openxmlformats.org/officeDocument/2006/relationships" ref="G27" r:id="rId95"/>
    <hyperlink xmlns:r="http://schemas.openxmlformats.org/officeDocument/2006/relationships" ref="H27" r:id="rId96"/>
    <hyperlink xmlns:r="http://schemas.openxmlformats.org/officeDocument/2006/relationships" ref="I27" r:id="rId97"/>
    <hyperlink xmlns:r="http://schemas.openxmlformats.org/officeDocument/2006/relationships" ref="J27" r:id="rId98"/>
    <hyperlink xmlns:r="http://schemas.openxmlformats.org/officeDocument/2006/relationships" ref="G28" r:id="rId99"/>
    <hyperlink xmlns:r="http://schemas.openxmlformats.org/officeDocument/2006/relationships" ref="H28" r:id="rId100"/>
    <hyperlink xmlns:r="http://schemas.openxmlformats.org/officeDocument/2006/relationships" ref="I28" r:id="rId101"/>
    <hyperlink xmlns:r="http://schemas.openxmlformats.org/officeDocument/2006/relationships" ref="J28" r:id="rId102"/>
    <hyperlink xmlns:r="http://schemas.openxmlformats.org/officeDocument/2006/relationships" ref="G29" r:id="rId103"/>
    <hyperlink xmlns:r="http://schemas.openxmlformats.org/officeDocument/2006/relationships" ref="H29" r:id="rId104"/>
    <hyperlink xmlns:r="http://schemas.openxmlformats.org/officeDocument/2006/relationships" ref="I29" r:id="rId105"/>
    <hyperlink xmlns:r="http://schemas.openxmlformats.org/officeDocument/2006/relationships" ref="J29" r:id="rId106"/>
    <hyperlink xmlns:r="http://schemas.openxmlformats.org/officeDocument/2006/relationships" ref="G30" r:id="rId107"/>
    <hyperlink xmlns:r="http://schemas.openxmlformats.org/officeDocument/2006/relationships" ref="H30" r:id="rId108"/>
    <hyperlink xmlns:r="http://schemas.openxmlformats.org/officeDocument/2006/relationships" ref="I30" r:id="rId109"/>
    <hyperlink xmlns:r="http://schemas.openxmlformats.org/officeDocument/2006/relationships" ref="J30" r:id="rId110"/>
    <hyperlink xmlns:r="http://schemas.openxmlformats.org/officeDocument/2006/relationships" ref="G31" r:id="rId111"/>
    <hyperlink xmlns:r="http://schemas.openxmlformats.org/officeDocument/2006/relationships" ref="H31" r:id="rId112"/>
    <hyperlink xmlns:r="http://schemas.openxmlformats.org/officeDocument/2006/relationships" ref="I31" r:id="rId113"/>
    <hyperlink xmlns:r="http://schemas.openxmlformats.org/officeDocument/2006/relationships" ref="J31" r:id="rId114"/>
    <hyperlink xmlns:r="http://schemas.openxmlformats.org/officeDocument/2006/relationships" ref="G32" r:id="rId115"/>
    <hyperlink xmlns:r="http://schemas.openxmlformats.org/officeDocument/2006/relationships" ref="H32" r:id="rId116"/>
    <hyperlink xmlns:r="http://schemas.openxmlformats.org/officeDocument/2006/relationships" ref="I32" r:id="rId117"/>
    <hyperlink xmlns:r="http://schemas.openxmlformats.org/officeDocument/2006/relationships" ref="G33" r:id="rId118"/>
    <hyperlink xmlns:r="http://schemas.openxmlformats.org/officeDocument/2006/relationships" ref="H33" r:id="rId119"/>
    <hyperlink xmlns:r="http://schemas.openxmlformats.org/officeDocument/2006/relationships" ref="I33" r:id="rId120"/>
    <hyperlink xmlns:r="http://schemas.openxmlformats.org/officeDocument/2006/relationships" ref="J33" r:id="rId121"/>
    <hyperlink xmlns:r="http://schemas.openxmlformats.org/officeDocument/2006/relationships" ref="G34" r:id="rId122"/>
    <hyperlink xmlns:r="http://schemas.openxmlformats.org/officeDocument/2006/relationships" ref="H34" r:id="rId123"/>
    <hyperlink xmlns:r="http://schemas.openxmlformats.org/officeDocument/2006/relationships" ref="I34" r:id="rId124"/>
    <hyperlink xmlns:r="http://schemas.openxmlformats.org/officeDocument/2006/relationships" ref="J34" r:id="rId125"/>
    <hyperlink xmlns:r="http://schemas.openxmlformats.org/officeDocument/2006/relationships" ref="G35" r:id="rId126"/>
    <hyperlink xmlns:r="http://schemas.openxmlformats.org/officeDocument/2006/relationships" ref="H35" r:id="rId127"/>
    <hyperlink xmlns:r="http://schemas.openxmlformats.org/officeDocument/2006/relationships" ref="I35" r:id="rId128"/>
    <hyperlink xmlns:r="http://schemas.openxmlformats.org/officeDocument/2006/relationships" ref="J35" r:id="rId129"/>
    <hyperlink xmlns:r="http://schemas.openxmlformats.org/officeDocument/2006/relationships" ref="G36" r:id="rId130"/>
    <hyperlink xmlns:r="http://schemas.openxmlformats.org/officeDocument/2006/relationships" ref="H36" r:id="rId131"/>
    <hyperlink xmlns:r="http://schemas.openxmlformats.org/officeDocument/2006/relationships" ref="I36" r:id="rId132"/>
    <hyperlink xmlns:r="http://schemas.openxmlformats.org/officeDocument/2006/relationships" ref="J36" r:id="rId133"/>
    <hyperlink xmlns:r="http://schemas.openxmlformats.org/officeDocument/2006/relationships" ref="G37" r:id="rId134"/>
    <hyperlink xmlns:r="http://schemas.openxmlformats.org/officeDocument/2006/relationships" ref="H37" r:id="rId135"/>
    <hyperlink xmlns:r="http://schemas.openxmlformats.org/officeDocument/2006/relationships" ref="I37" r:id="rId136"/>
    <hyperlink xmlns:r="http://schemas.openxmlformats.org/officeDocument/2006/relationships" ref="J37" r:id="rId137"/>
    <hyperlink xmlns:r="http://schemas.openxmlformats.org/officeDocument/2006/relationships" ref="G38" r:id="rId138"/>
    <hyperlink xmlns:r="http://schemas.openxmlformats.org/officeDocument/2006/relationships" ref="H38" r:id="rId139"/>
    <hyperlink xmlns:r="http://schemas.openxmlformats.org/officeDocument/2006/relationships" ref="I38" r:id="rId140"/>
    <hyperlink xmlns:r="http://schemas.openxmlformats.org/officeDocument/2006/relationships" ref="J38" r:id="rId141"/>
    <hyperlink xmlns:r="http://schemas.openxmlformats.org/officeDocument/2006/relationships" ref="G39" r:id="rId142"/>
    <hyperlink xmlns:r="http://schemas.openxmlformats.org/officeDocument/2006/relationships" ref="H39" r:id="rId143"/>
    <hyperlink xmlns:r="http://schemas.openxmlformats.org/officeDocument/2006/relationships" ref="I39" r:id="rId144"/>
    <hyperlink xmlns:r="http://schemas.openxmlformats.org/officeDocument/2006/relationships" ref="J39" r:id="rId145"/>
    <hyperlink xmlns:r="http://schemas.openxmlformats.org/officeDocument/2006/relationships" ref="G40" r:id="rId146"/>
    <hyperlink xmlns:r="http://schemas.openxmlformats.org/officeDocument/2006/relationships" ref="H40" r:id="rId147"/>
    <hyperlink xmlns:r="http://schemas.openxmlformats.org/officeDocument/2006/relationships" ref="I40" r:id="rId148"/>
    <hyperlink xmlns:r="http://schemas.openxmlformats.org/officeDocument/2006/relationships" ref="J40" r:id="rId149"/>
    <hyperlink xmlns:r="http://schemas.openxmlformats.org/officeDocument/2006/relationships" ref="G41" r:id="rId150"/>
    <hyperlink xmlns:r="http://schemas.openxmlformats.org/officeDocument/2006/relationships" ref="H41" r:id="rId151"/>
    <hyperlink xmlns:r="http://schemas.openxmlformats.org/officeDocument/2006/relationships" ref="I41" r:id="rId152"/>
    <hyperlink xmlns:r="http://schemas.openxmlformats.org/officeDocument/2006/relationships" ref="J41" r:id="rId153"/>
    <hyperlink xmlns:r="http://schemas.openxmlformats.org/officeDocument/2006/relationships" ref="G42" r:id="rId154"/>
    <hyperlink xmlns:r="http://schemas.openxmlformats.org/officeDocument/2006/relationships" ref="H42" r:id="rId155"/>
    <hyperlink xmlns:r="http://schemas.openxmlformats.org/officeDocument/2006/relationships" ref="I42" r:id="rId156"/>
    <hyperlink xmlns:r="http://schemas.openxmlformats.org/officeDocument/2006/relationships" ref="J42" r:id="rId157"/>
    <hyperlink xmlns:r="http://schemas.openxmlformats.org/officeDocument/2006/relationships" ref="G43" r:id="rId158"/>
    <hyperlink xmlns:r="http://schemas.openxmlformats.org/officeDocument/2006/relationships" ref="H43" r:id="rId159"/>
    <hyperlink xmlns:r="http://schemas.openxmlformats.org/officeDocument/2006/relationships" ref="I43" r:id="rId160"/>
    <hyperlink xmlns:r="http://schemas.openxmlformats.org/officeDocument/2006/relationships" ref="J43" r:id="rId161"/>
    <hyperlink xmlns:r="http://schemas.openxmlformats.org/officeDocument/2006/relationships" ref="G44" r:id="rId162"/>
    <hyperlink xmlns:r="http://schemas.openxmlformats.org/officeDocument/2006/relationships" ref="H44" r:id="rId163"/>
    <hyperlink xmlns:r="http://schemas.openxmlformats.org/officeDocument/2006/relationships" ref="I44" r:id="rId164"/>
    <hyperlink xmlns:r="http://schemas.openxmlformats.org/officeDocument/2006/relationships" ref="G45" r:id="rId165"/>
    <hyperlink xmlns:r="http://schemas.openxmlformats.org/officeDocument/2006/relationships" ref="H45" r:id="rId166"/>
    <hyperlink xmlns:r="http://schemas.openxmlformats.org/officeDocument/2006/relationships" ref="I45" r:id="rId167"/>
    <hyperlink xmlns:r="http://schemas.openxmlformats.org/officeDocument/2006/relationships" ref="G46" r:id="rId168"/>
    <hyperlink xmlns:r="http://schemas.openxmlformats.org/officeDocument/2006/relationships" ref="H46" r:id="rId169"/>
    <hyperlink xmlns:r="http://schemas.openxmlformats.org/officeDocument/2006/relationships" ref="I46" r:id="rId170"/>
    <hyperlink xmlns:r="http://schemas.openxmlformats.org/officeDocument/2006/relationships" ref="J46" r:id="rId171"/>
    <hyperlink xmlns:r="http://schemas.openxmlformats.org/officeDocument/2006/relationships" ref="G47" r:id="rId172"/>
    <hyperlink xmlns:r="http://schemas.openxmlformats.org/officeDocument/2006/relationships" ref="H47" r:id="rId173"/>
    <hyperlink xmlns:r="http://schemas.openxmlformats.org/officeDocument/2006/relationships" ref="I47" r:id="rId174"/>
    <hyperlink xmlns:r="http://schemas.openxmlformats.org/officeDocument/2006/relationships" ref="J47" r:id="rId175"/>
    <hyperlink xmlns:r="http://schemas.openxmlformats.org/officeDocument/2006/relationships" ref="G48" r:id="rId176"/>
    <hyperlink xmlns:r="http://schemas.openxmlformats.org/officeDocument/2006/relationships" ref="H48" r:id="rId177"/>
    <hyperlink xmlns:r="http://schemas.openxmlformats.org/officeDocument/2006/relationships" ref="I48" r:id="rId178"/>
    <hyperlink xmlns:r="http://schemas.openxmlformats.org/officeDocument/2006/relationships" ref="J48" r:id="rId179"/>
    <hyperlink xmlns:r="http://schemas.openxmlformats.org/officeDocument/2006/relationships" ref="G49" r:id="rId180"/>
    <hyperlink xmlns:r="http://schemas.openxmlformats.org/officeDocument/2006/relationships" ref="H49" r:id="rId181"/>
    <hyperlink xmlns:r="http://schemas.openxmlformats.org/officeDocument/2006/relationships" ref="I49" r:id="rId182"/>
    <hyperlink xmlns:r="http://schemas.openxmlformats.org/officeDocument/2006/relationships" ref="J49" r:id="rId183"/>
    <hyperlink xmlns:r="http://schemas.openxmlformats.org/officeDocument/2006/relationships" ref="G50" r:id="rId184"/>
    <hyperlink xmlns:r="http://schemas.openxmlformats.org/officeDocument/2006/relationships" ref="H50" r:id="rId185"/>
    <hyperlink xmlns:r="http://schemas.openxmlformats.org/officeDocument/2006/relationships" ref="I50" r:id="rId186"/>
    <hyperlink xmlns:r="http://schemas.openxmlformats.org/officeDocument/2006/relationships" ref="J50" r:id="rId187"/>
    <hyperlink xmlns:r="http://schemas.openxmlformats.org/officeDocument/2006/relationships" ref="G51" r:id="rId188"/>
    <hyperlink xmlns:r="http://schemas.openxmlformats.org/officeDocument/2006/relationships" ref="H51" r:id="rId189"/>
    <hyperlink xmlns:r="http://schemas.openxmlformats.org/officeDocument/2006/relationships" ref="I51" r:id="rId190"/>
    <hyperlink xmlns:r="http://schemas.openxmlformats.org/officeDocument/2006/relationships" ref="J51" r:id="rId191"/>
    <hyperlink xmlns:r="http://schemas.openxmlformats.org/officeDocument/2006/relationships" ref="G52" r:id="rId192"/>
    <hyperlink xmlns:r="http://schemas.openxmlformats.org/officeDocument/2006/relationships" ref="H52" r:id="rId193"/>
    <hyperlink xmlns:r="http://schemas.openxmlformats.org/officeDocument/2006/relationships" ref="I52" r:id="rId194"/>
    <hyperlink xmlns:r="http://schemas.openxmlformats.org/officeDocument/2006/relationships" ref="J52" r:id="rId195"/>
    <hyperlink xmlns:r="http://schemas.openxmlformats.org/officeDocument/2006/relationships" ref="G53" r:id="rId196"/>
    <hyperlink xmlns:r="http://schemas.openxmlformats.org/officeDocument/2006/relationships" ref="H53" r:id="rId197"/>
    <hyperlink xmlns:r="http://schemas.openxmlformats.org/officeDocument/2006/relationships" ref="I53" r:id="rId198"/>
    <hyperlink xmlns:r="http://schemas.openxmlformats.org/officeDocument/2006/relationships" ref="J53" r:id="rId199"/>
    <hyperlink xmlns:r="http://schemas.openxmlformats.org/officeDocument/2006/relationships" ref="G54" r:id="rId200"/>
    <hyperlink xmlns:r="http://schemas.openxmlformats.org/officeDocument/2006/relationships" ref="H54" r:id="rId201"/>
    <hyperlink xmlns:r="http://schemas.openxmlformats.org/officeDocument/2006/relationships" ref="I54" r:id="rId202"/>
    <hyperlink xmlns:r="http://schemas.openxmlformats.org/officeDocument/2006/relationships" ref="J54" r:id="rId203"/>
    <hyperlink xmlns:r="http://schemas.openxmlformats.org/officeDocument/2006/relationships" ref="G55" r:id="rId204"/>
    <hyperlink xmlns:r="http://schemas.openxmlformats.org/officeDocument/2006/relationships" ref="H55" r:id="rId205"/>
    <hyperlink xmlns:r="http://schemas.openxmlformats.org/officeDocument/2006/relationships" ref="I55" r:id="rId206"/>
    <hyperlink xmlns:r="http://schemas.openxmlformats.org/officeDocument/2006/relationships" ref="J55" r:id="rId207"/>
    <hyperlink xmlns:r="http://schemas.openxmlformats.org/officeDocument/2006/relationships" ref="G56" r:id="rId208"/>
    <hyperlink xmlns:r="http://schemas.openxmlformats.org/officeDocument/2006/relationships" ref="H56" r:id="rId209"/>
    <hyperlink xmlns:r="http://schemas.openxmlformats.org/officeDocument/2006/relationships" ref="I56" r:id="rId210"/>
    <hyperlink xmlns:r="http://schemas.openxmlformats.org/officeDocument/2006/relationships" ref="J56" r:id="rId211"/>
    <hyperlink xmlns:r="http://schemas.openxmlformats.org/officeDocument/2006/relationships" ref="G57" r:id="rId212"/>
    <hyperlink xmlns:r="http://schemas.openxmlformats.org/officeDocument/2006/relationships" ref="H57" r:id="rId213"/>
    <hyperlink xmlns:r="http://schemas.openxmlformats.org/officeDocument/2006/relationships" ref="I57" r:id="rId214"/>
    <hyperlink xmlns:r="http://schemas.openxmlformats.org/officeDocument/2006/relationships" ref="J57" r:id="rId215"/>
    <hyperlink xmlns:r="http://schemas.openxmlformats.org/officeDocument/2006/relationships" ref="G58" r:id="rId216"/>
    <hyperlink xmlns:r="http://schemas.openxmlformats.org/officeDocument/2006/relationships" ref="H58" r:id="rId217"/>
    <hyperlink xmlns:r="http://schemas.openxmlformats.org/officeDocument/2006/relationships" ref="I58" r:id="rId218"/>
    <hyperlink xmlns:r="http://schemas.openxmlformats.org/officeDocument/2006/relationships" ref="J58" r:id="rId219"/>
    <hyperlink xmlns:r="http://schemas.openxmlformats.org/officeDocument/2006/relationships" ref="G59" r:id="rId220"/>
    <hyperlink xmlns:r="http://schemas.openxmlformats.org/officeDocument/2006/relationships" ref="H59" r:id="rId221"/>
    <hyperlink xmlns:r="http://schemas.openxmlformats.org/officeDocument/2006/relationships" ref="I59" r:id="rId222"/>
    <hyperlink xmlns:r="http://schemas.openxmlformats.org/officeDocument/2006/relationships" ref="J59" r:id="rId223"/>
    <hyperlink xmlns:r="http://schemas.openxmlformats.org/officeDocument/2006/relationships" ref="G60" r:id="rId224"/>
    <hyperlink xmlns:r="http://schemas.openxmlformats.org/officeDocument/2006/relationships" ref="H60" r:id="rId225"/>
    <hyperlink xmlns:r="http://schemas.openxmlformats.org/officeDocument/2006/relationships" ref="I60" r:id="rId226"/>
    <hyperlink xmlns:r="http://schemas.openxmlformats.org/officeDocument/2006/relationships" ref="J60" r:id="rId227"/>
    <hyperlink xmlns:r="http://schemas.openxmlformats.org/officeDocument/2006/relationships" ref="G61" r:id="rId228"/>
    <hyperlink xmlns:r="http://schemas.openxmlformats.org/officeDocument/2006/relationships" ref="H61" r:id="rId229"/>
    <hyperlink xmlns:r="http://schemas.openxmlformats.org/officeDocument/2006/relationships" ref="I61" r:id="rId230"/>
    <hyperlink xmlns:r="http://schemas.openxmlformats.org/officeDocument/2006/relationships" ref="J61" r:id="rId231"/>
    <hyperlink xmlns:r="http://schemas.openxmlformats.org/officeDocument/2006/relationships" ref="G62" r:id="rId232"/>
    <hyperlink xmlns:r="http://schemas.openxmlformats.org/officeDocument/2006/relationships" ref="H62" r:id="rId233"/>
    <hyperlink xmlns:r="http://schemas.openxmlformats.org/officeDocument/2006/relationships" ref="I62" r:id="rId234"/>
    <hyperlink xmlns:r="http://schemas.openxmlformats.org/officeDocument/2006/relationships" ref="J62" r:id="rId235"/>
    <hyperlink xmlns:r="http://schemas.openxmlformats.org/officeDocument/2006/relationships" ref="G63" r:id="rId236"/>
    <hyperlink xmlns:r="http://schemas.openxmlformats.org/officeDocument/2006/relationships" ref="H63" r:id="rId237"/>
    <hyperlink xmlns:r="http://schemas.openxmlformats.org/officeDocument/2006/relationships" ref="I63" r:id="rId238"/>
    <hyperlink xmlns:r="http://schemas.openxmlformats.org/officeDocument/2006/relationships" ref="J63" r:id="rId239"/>
    <hyperlink xmlns:r="http://schemas.openxmlformats.org/officeDocument/2006/relationships" ref="G64" r:id="rId240"/>
    <hyperlink xmlns:r="http://schemas.openxmlformats.org/officeDocument/2006/relationships" ref="H64" r:id="rId241"/>
    <hyperlink xmlns:r="http://schemas.openxmlformats.org/officeDocument/2006/relationships" ref="I64" r:id="rId242"/>
    <hyperlink xmlns:r="http://schemas.openxmlformats.org/officeDocument/2006/relationships" ref="J64" r:id="rId243"/>
    <hyperlink xmlns:r="http://schemas.openxmlformats.org/officeDocument/2006/relationships" ref="G65" r:id="rId244"/>
    <hyperlink xmlns:r="http://schemas.openxmlformats.org/officeDocument/2006/relationships" ref="H65" r:id="rId245"/>
    <hyperlink xmlns:r="http://schemas.openxmlformats.org/officeDocument/2006/relationships" ref="I65" r:id="rId246"/>
    <hyperlink xmlns:r="http://schemas.openxmlformats.org/officeDocument/2006/relationships" ref="J65" r:id="rId247"/>
    <hyperlink xmlns:r="http://schemas.openxmlformats.org/officeDocument/2006/relationships" ref="G66" r:id="rId248"/>
    <hyperlink xmlns:r="http://schemas.openxmlformats.org/officeDocument/2006/relationships" ref="H66" r:id="rId249"/>
    <hyperlink xmlns:r="http://schemas.openxmlformats.org/officeDocument/2006/relationships" ref="I66" r:id="rId250"/>
    <hyperlink xmlns:r="http://schemas.openxmlformats.org/officeDocument/2006/relationships" ref="J66" r:id="rId251"/>
    <hyperlink xmlns:r="http://schemas.openxmlformats.org/officeDocument/2006/relationships" ref="G67" r:id="rId252"/>
    <hyperlink xmlns:r="http://schemas.openxmlformats.org/officeDocument/2006/relationships" ref="H67" r:id="rId253"/>
    <hyperlink xmlns:r="http://schemas.openxmlformats.org/officeDocument/2006/relationships" ref="I67" r:id="rId254"/>
    <hyperlink xmlns:r="http://schemas.openxmlformats.org/officeDocument/2006/relationships" ref="J67" r:id="rId255"/>
    <hyperlink xmlns:r="http://schemas.openxmlformats.org/officeDocument/2006/relationships" ref="G68" r:id="rId256"/>
    <hyperlink xmlns:r="http://schemas.openxmlformats.org/officeDocument/2006/relationships" ref="H68" r:id="rId257"/>
    <hyperlink xmlns:r="http://schemas.openxmlformats.org/officeDocument/2006/relationships" ref="I68" r:id="rId258"/>
    <hyperlink xmlns:r="http://schemas.openxmlformats.org/officeDocument/2006/relationships" ref="J68" r:id="rId259"/>
    <hyperlink xmlns:r="http://schemas.openxmlformats.org/officeDocument/2006/relationships" ref="G69" r:id="rId260"/>
    <hyperlink xmlns:r="http://schemas.openxmlformats.org/officeDocument/2006/relationships" ref="H69" r:id="rId261"/>
    <hyperlink xmlns:r="http://schemas.openxmlformats.org/officeDocument/2006/relationships" ref="I69" r:id="rId262"/>
    <hyperlink xmlns:r="http://schemas.openxmlformats.org/officeDocument/2006/relationships" ref="J69" r:id="rId263"/>
    <hyperlink xmlns:r="http://schemas.openxmlformats.org/officeDocument/2006/relationships" ref="G70" r:id="rId264"/>
    <hyperlink xmlns:r="http://schemas.openxmlformats.org/officeDocument/2006/relationships" ref="H70" r:id="rId265"/>
    <hyperlink xmlns:r="http://schemas.openxmlformats.org/officeDocument/2006/relationships" ref="I70" r:id="rId266"/>
    <hyperlink xmlns:r="http://schemas.openxmlformats.org/officeDocument/2006/relationships" ref="J70" r:id="rId267"/>
    <hyperlink xmlns:r="http://schemas.openxmlformats.org/officeDocument/2006/relationships" ref="G71" r:id="rId268"/>
    <hyperlink xmlns:r="http://schemas.openxmlformats.org/officeDocument/2006/relationships" ref="H71" r:id="rId269"/>
    <hyperlink xmlns:r="http://schemas.openxmlformats.org/officeDocument/2006/relationships" ref="I71" r:id="rId270"/>
    <hyperlink xmlns:r="http://schemas.openxmlformats.org/officeDocument/2006/relationships" ref="J71" r:id="rId271"/>
    <hyperlink xmlns:r="http://schemas.openxmlformats.org/officeDocument/2006/relationships" ref="G72" r:id="rId272"/>
    <hyperlink xmlns:r="http://schemas.openxmlformats.org/officeDocument/2006/relationships" ref="H72" r:id="rId273"/>
    <hyperlink xmlns:r="http://schemas.openxmlformats.org/officeDocument/2006/relationships" ref="I72" r:id="rId274"/>
    <hyperlink xmlns:r="http://schemas.openxmlformats.org/officeDocument/2006/relationships" ref="J72" r:id="rId275"/>
    <hyperlink xmlns:r="http://schemas.openxmlformats.org/officeDocument/2006/relationships" ref="G73" r:id="rId276"/>
    <hyperlink xmlns:r="http://schemas.openxmlformats.org/officeDocument/2006/relationships" ref="H73" r:id="rId277"/>
    <hyperlink xmlns:r="http://schemas.openxmlformats.org/officeDocument/2006/relationships" ref="I73" r:id="rId278"/>
    <hyperlink xmlns:r="http://schemas.openxmlformats.org/officeDocument/2006/relationships" ref="J73" r:id="rId279"/>
    <hyperlink xmlns:r="http://schemas.openxmlformats.org/officeDocument/2006/relationships" ref="G74" r:id="rId280"/>
    <hyperlink xmlns:r="http://schemas.openxmlformats.org/officeDocument/2006/relationships" ref="H74" r:id="rId281"/>
    <hyperlink xmlns:r="http://schemas.openxmlformats.org/officeDocument/2006/relationships" ref="I74" r:id="rId282"/>
    <hyperlink xmlns:r="http://schemas.openxmlformats.org/officeDocument/2006/relationships" ref="J74" r:id="rId283"/>
    <hyperlink xmlns:r="http://schemas.openxmlformats.org/officeDocument/2006/relationships" ref="G75" r:id="rId284"/>
    <hyperlink xmlns:r="http://schemas.openxmlformats.org/officeDocument/2006/relationships" ref="H75" r:id="rId285"/>
    <hyperlink xmlns:r="http://schemas.openxmlformats.org/officeDocument/2006/relationships" ref="I75" r:id="rId286"/>
    <hyperlink xmlns:r="http://schemas.openxmlformats.org/officeDocument/2006/relationships" ref="J75" r:id="rId287"/>
    <hyperlink xmlns:r="http://schemas.openxmlformats.org/officeDocument/2006/relationships" ref="G76" r:id="rId288"/>
    <hyperlink xmlns:r="http://schemas.openxmlformats.org/officeDocument/2006/relationships" ref="H76" r:id="rId289"/>
    <hyperlink xmlns:r="http://schemas.openxmlformats.org/officeDocument/2006/relationships" ref="I76" r:id="rId290"/>
    <hyperlink xmlns:r="http://schemas.openxmlformats.org/officeDocument/2006/relationships" ref="J76" r:id="rId291"/>
    <hyperlink xmlns:r="http://schemas.openxmlformats.org/officeDocument/2006/relationships" ref="G77" r:id="rId292"/>
    <hyperlink xmlns:r="http://schemas.openxmlformats.org/officeDocument/2006/relationships" ref="H77" r:id="rId293"/>
    <hyperlink xmlns:r="http://schemas.openxmlformats.org/officeDocument/2006/relationships" ref="I77" r:id="rId294"/>
    <hyperlink xmlns:r="http://schemas.openxmlformats.org/officeDocument/2006/relationships" ref="J77" r:id="rId295"/>
    <hyperlink xmlns:r="http://schemas.openxmlformats.org/officeDocument/2006/relationships" ref="G78" r:id="rId296"/>
    <hyperlink xmlns:r="http://schemas.openxmlformats.org/officeDocument/2006/relationships" ref="H78" r:id="rId297"/>
    <hyperlink xmlns:r="http://schemas.openxmlformats.org/officeDocument/2006/relationships" ref="I78" r:id="rId298"/>
    <hyperlink xmlns:r="http://schemas.openxmlformats.org/officeDocument/2006/relationships" ref="J78" r:id="rId299"/>
    <hyperlink xmlns:r="http://schemas.openxmlformats.org/officeDocument/2006/relationships" ref="G79" r:id="rId300"/>
    <hyperlink xmlns:r="http://schemas.openxmlformats.org/officeDocument/2006/relationships" ref="H79" r:id="rId301"/>
    <hyperlink xmlns:r="http://schemas.openxmlformats.org/officeDocument/2006/relationships" ref="I79" r:id="rId302"/>
    <hyperlink xmlns:r="http://schemas.openxmlformats.org/officeDocument/2006/relationships" ref="J79" r:id="rId303"/>
    <hyperlink xmlns:r="http://schemas.openxmlformats.org/officeDocument/2006/relationships" ref="G80" r:id="rId304"/>
    <hyperlink xmlns:r="http://schemas.openxmlformats.org/officeDocument/2006/relationships" ref="H80" r:id="rId305"/>
    <hyperlink xmlns:r="http://schemas.openxmlformats.org/officeDocument/2006/relationships" ref="I80" r:id="rId306"/>
    <hyperlink xmlns:r="http://schemas.openxmlformats.org/officeDocument/2006/relationships" ref="J80" r:id="rId307"/>
    <hyperlink xmlns:r="http://schemas.openxmlformats.org/officeDocument/2006/relationships" ref="G81" r:id="rId308"/>
    <hyperlink xmlns:r="http://schemas.openxmlformats.org/officeDocument/2006/relationships" ref="H81" r:id="rId309"/>
    <hyperlink xmlns:r="http://schemas.openxmlformats.org/officeDocument/2006/relationships" ref="I81" r:id="rId310"/>
    <hyperlink xmlns:r="http://schemas.openxmlformats.org/officeDocument/2006/relationships" ref="J81" r:id="rId311"/>
    <hyperlink xmlns:r="http://schemas.openxmlformats.org/officeDocument/2006/relationships" ref="G82" r:id="rId312"/>
    <hyperlink xmlns:r="http://schemas.openxmlformats.org/officeDocument/2006/relationships" ref="H82" r:id="rId313"/>
    <hyperlink xmlns:r="http://schemas.openxmlformats.org/officeDocument/2006/relationships" ref="I82" r:id="rId314"/>
    <hyperlink xmlns:r="http://schemas.openxmlformats.org/officeDocument/2006/relationships" ref="J82" r:id="rId315"/>
    <hyperlink xmlns:r="http://schemas.openxmlformats.org/officeDocument/2006/relationships" ref="G83" r:id="rId316"/>
    <hyperlink xmlns:r="http://schemas.openxmlformats.org/officeDocument/2006/relationships" ref="H83" r:id="rId317"/>
    <hyperlink xmlns:r="http://schemas.openxmlformats.org/officeDocument/2006/relationships" ref="I83" r:id="rId318"/>
    <hyperlink xmlns:r="http://schemas.openxmlformats.org/officeDocument/2006/relationships" ref="J83" r:id="rId319"/>
    <hyperlink xmlns:r="http://schemas.openxmlformats.org/officeDocument/2006/relationships" ref="G84" r:id="rId320"/>
    <hyperlink xmlns:r="http://schemas.openxmlformats.org/officeDocument/2006/relationships" ref="H84" r:id="rId321"/>
    <hyperlink xmlns:r="http://schemas.openxmlformats.org/officeDocument/2006/relationships" ref="I84" r:id="rId322"/>
    <hyperlink xmlns:r="http://schemas.openxmlformats.org/officeDocument/2006/relationships" ref="G85" r:id="rId323"/>
    <hyperlink xmlns:r="http://schemas.openxmlformats.org/officeDocument/2006/relationships" ref="H85" r:id="rId324"/>
    <hyperlink xmlns:r="http://schemas.openxmlformats.org/officeDocument/2006/relationships" ref="I85" r:id="rId325"/>
    <hyperlink xmlns:r="http://schemas.openxmlformats.org/officeDocument/2006/relationships" ref="J85" r:id="rId326"/>
    <hyperlink xmlns:r="http://schemas.openxmlformats.org/officeDocument/2006/relationships" ref="G86" r:id="rId327"/>
    <hyperlink xmlns:r="http://schemas.openxmlformats.org/officeDocument/2006/relationships" ref="H86" r:id="rId328"/>
    <hyperlink xmlns:r="http://schemas.openxmlformats.org/officeDocument/2006/relationships" ref="I86" r:id="rId329"/>
    <hyperlink xmlns:r="http://schemas.openxmlformats.org/officeDocument/2006/relationships" ref="J86" r:id="rId330"/>
    <hyperlink xmlns:r="http://schemas.openxmlformats.org/officeDocument/2006/relationships" ref="G87" r:id="rId331"/>
    <hyperlink xmlns:r="http://schemas.openxmlformats.org/officeDocument/2006/relationships" ref="H87" r:id="rId332"/>
    <hyperlink xmlns:r="http://schemas.openxmlformats.org/officeDocument/2006/relationships" ref="I87" r:id="rId333"/>
    <hyperlink xmlns:r="http://schemas.openxmlformats.org/officeDocument/2006/relationships" ref="J87" r:id="rId334"/>
    <hyperlink xmlns:r="http://schemas.openxmlformats.org/officeDocument/2006/relationships" ref="G88" r:id="rId335"/>
    <hyperlink xmlns:r="http://schemas.openxmlformats.org/officeDocument/2006/relationships" ref="H88" r:id="rId336"/>
    <hyperlink xmlns:r="http://schemas.openxmlformats.org/officeDocument/2006/relationships" ref="I88" r:id="rId337"/>
    <hyperlink xmlns:r="http://schemas.openxmlformats.org/officeDocument/2006/relationships" ref="G89" r:id="rId338"/>
    <hyperlink xmlns:r="http://schemas.openxmlformats.org/officeDocument/2006/relationships" ref="H89" r:id="rId339"/>
    <hyperlink xmlns:r="http://schemas.openxmlformats.org/officeDocument/2006/relationships" ref="I89" r:id="rId340"/>
    <hyperlink xmlns:r="http://schemas.openxmlformats.org/officeDocument/2006/relationships" ref="J89" r:id="rId341"/>
    <hyperlink xmlns:r="http://schemas.openxmlformats.org/officeDocument/2006/relationships" ref="G90" r:id="rId342"/>
    <hyperlink xmlns:r="http://schemas.openxmlformats.org/officeDocument/2006/relationships" ref="H90" r:id="rId343"/>
    <hyperlink xmlns:r="http://schemas.openxmlformats.org/officeDocument/2006/relationships" ref="I90" r:id="rId344"/>
    <hyperlink xmlns:r="http://schemas.openxmlformats.org/officeDocument/2006/relationships" ref="J90" r:id="rId345"/>
    <hyperlink xmlns:r="http://schemas.openxmlformats.org/officeDocument/2006/relationships" ref="G91" r:id="rId346"/>
    <hyperlink xmlns:r="http://schemas.openxmlformats.org/officeDocument/2006/relationships" ref="H91" r:id="rId347"/>
    <hyperlink xmlns:r="http://schemas.openxmlformats.org/officeDocument/2006/relationships" ref="I91" r:id="rId348"/>
    <hyperlink xmlns:r="http://schemas.openxmlformats.org/officeDocument/2006/relationships" ref="J91" r:id="rId349"/>
    <hyperlink xmlns:r="http://schemas.openxmlformats.org/officeDocument/2006/relationships" ref="G92" r:id="rId350"/>
    <hyperlink xmlns:r="http://schemas.openxmlformats.org/officeDocument/2006/relationships" ref="H92" r:id="rId351"/>
    <hyperlink xmlns:r="http://schemas.openxmlformats.org/officeDocument/2006/relationships" ref="I92" r:id="rId352"/>
    <hyperlink xmlns:r="http://schemas.openxmlformats.org/officeDocument/2006/relationships" ref="J92" r:id="rId353"/>
    <hyperlink xmlns:r="http://schemas.openxmlformats.org/officeDocument/2006/relationships" ref="G93" r:id="rId354"/>
    <hyperlink xmlns:r="http://schemas.openxmlformats.org/officeDocument/2006/relationships" ref="H93" r:id="rId355"/>
    <hyperlink xmlns:r="http://schemas.openxmlformats.org/officeDocument/2006/relationships" ref="I93" r:id="rId356"/>
    <hyperlink xmlns:r="http://schemas.openxmlformats.org/officeDocument/2006/relationships" ref="G94" r:id="rId357"/>
    <hyperlink xmlns:r="http://schemas.openxmlformats.org/officeDocument/2006/relationships" ref="H94" r:id="rId358"/>
    <hyperlink xmlns:r="http://schemas.openxmlformats.org/officeDocument/2006/relationships" ref="I94" r:id="rId359"/>
    <hyperlink xmlns:r="http://schemas.openxmlformats.org/officeDocument/2006/relationships" ref="J94" r:id="rId360"/>
    <hyperlink xmlns:r="http://schemas.openxmlformats.org/officeDocument/2006/relationships" ref="G95" r:id="rId361"/>
    <hyperlink xmlns:r="http://schemas.openxmlformats.org/officeDocument/2006/relationships" ref="H95" r:id="rId362"/>
    <hyperlink xmlns:r="http://schemas.openxmlformats.org/officeDocument/2006/relationships" ref="I95" r:id="rId363"/>
    <hyperlink xmlns:r="http://schemas.openxmlformats.org/officeDocument/2006/relationships" ref="J95" r:id="rId364"/>
    <hyperlink xmlns:r="http://schemas.openxmlformats.org/officeDocument/2006/relationships" ref="G96" r:id="rId365"/>
    <hyperlink xmlns:r="http://schemas.openxmlformats.org/officeDocument/2006/relationships" ref="H96" r:id="rId366"/>
    <hyperlink xmlns:r="http://schemas.openxmlformats.org/officeDocument/2006/relationships" ref="I96" r:id="rId367"/>
    <hyperlink xmlns:r="http://schemas.openxmlformats.org/officeDocument/2006/relationships" ref="J96" r:id="rId368"/>
    <hyperlink xmlns:r="http://schemas.openxmlformats.org/officeDocument/2006/relationships" ref="G97" r:id="rId369"/>
    <hyperlink xmlns:r="http://schemas.openxmlformats.org/officeDocument/2006/relationships" ref="H97" r:id="rId370"/>
    <hyperlink xmlns:r="http://schemas.openxmlformats.org/officeDocument/2006/relationships" ref="I97" r:id="rId371"/>
    <hyperlink xmlns:r="http://schemas.openxmlformats.org/officeDocument/2006/relationships" ref="J97" r:id="rId372"/>
    <hyperlink xmlns:r="http://schemas.openxmlformats.org/officeDocument/2006/relationships" ref="G98" r:id="rId373"/>
    <hyperlink xmlns:r="http://schemas.openxmlformats.org/officeDocument/2006/relationships" ref="H98" r:id="rId374"/>
    <hyperlink xmlns:r="http://schemas.openxmlformats.org/officeDocument/2006/relationships" ref="I98" r:id="rId375"/>
    <hyperlink xmlns:r="http://schemas.openxmlformats.org/officeDocument/2006/relationships" ref="J98" r:id="rId376"/>
    <hyperlink xmlns:r="http://schemas.openxmlformats.org/officeDocument/2006/relationships" ref="G99" r:id="rId377"/>
    <hyperlink xmlns:r="http://schemas.openxmlformats.org/officeDocument/2006/relationships" ref="H99" r:id="rId378"/>
    <hyperlink xmlns:r="http://schemas.openxmlformats.org/officeDocument/2006/relationships" ref="I99" r:id="rId379"/>
    <hyperlink xmlns:r="http://schemas.openxmlformats.org/officeDocument/2006/relationships" ref="J99" r:id="rId380"/>
    <hyperlink xmlns:r="http://schemas.openxmlformats.org/officeDocument/2006/relationships" ref="G100" r:id="rId381"/>
    <hyperlink xmlns:r="http://schemas.openxmlformats.org/officeDocument/2006/relationships" ref="H100" r:id="rId382"/>
    <hyperlink xmlns:r="http://schemas.openxmlformats.org/officeDocument/2006/relationships" ref="I100" r:id="rId383"/>
    <hyperlink xmlns:r="http://schemas.openxmlformats.org/officeDocument/2006/relationships" ref="J100" r:id="rId384"/>
    <hyperlink xmlns:r="http://schemas.openxmlformats.org/officeDocument/2006/relationships" ref="G101" r:id="rId385"/>
    <hyperlink xmlns:r="http://schemas.openxmlformats.org/officeDocument/2006/relationships" ref="H101" r:id="rId386"/>
    <hyperlink xmlns:r="http://schemas.openxmlformats.org/officeDocument/2006/relationships" ref="I101" r:id="rId387"/>
    <hyperlink xmlns:r="http://schemas.openxmlformats.org/officeDocument/2006/relationships" ref="J101" r:id="rId388"/>
    <hyperlink xmlns:r="http://schemas.openxmlformats.org/officeDocument/2006/relationships" ref="G102" r:id="rId389"/>
    <hyperlink xmlns:r="http://schemas.openxmlformats.org/officeDocument/2006/relationships" ref="H102" r:id="rId390"/>
    <hyperlink xmlns:r="http://schemas.openxmlformats.org/officeDocument/2006/relationships" ref="I102" r:id="rId391"/>
    <hyperlink xmlns:r="http://schemas.openxmlformats.org/officeDocument/2006/relationships" ref="J102" r:id="rId392"/>
    <hyperlink xmlns:r="http://schemas.openxmlformats.org/officeDocument/2006/relationships" ref="G103" r:id="rId393"/>
    <hyperlink xmlns:r="http://schemas.openxmlformats.org/officeDocument/2006/relationships" ref="H103" r:id="rId394"/>
    <hyperlink xmlns:r="http://schemas.openxmlformats.org/officeDocument/2006/relationships" ref="I103" r:id="rId395"/>
    <hyperlink xmlns:r="http://schemas.openxmlformats.org/officeDocument/2006/relationships" ref="J103" r:id="rId396"/>
    <hyperlink xmlns:r="http://schemas.openxmlformats.org/officeDocument/2006/relationships" ref="G104" r:id="rId397"/>
    <hyperlink xmlns:r="http://schemas.openxmlformats.org/officeDocument/2006/relationships" ref="H104" r:id="rId398"/>
    <hyperlink xmlns:r="http://schemas.openxmlformats.org/officeDocument/2006/relationships" ref="I104" r:id="rId399"/>
    <hyperlink xmlns:r="http://schemas.openxmlformats.org/officeDocument/2006/relationships" ref="J104" r:id="rId400"/>
    <hyperlink xmlns:r="http://schemas.openxmlformats.org/officeDocument/2006/relationships" ref="G105" r:id="rId401"/>
    <hyperlink xmlns:r="http://schemas.openxmlformats.org/officeDocument/2006/relationships" ref="H105" r:id="rId402"/>
    <hyperlink xmlns:r="http://schemas.openxmlformats.org/officeDocument/2006/relationships" ref="I105" r:id="rId403"/>
    <hyperlink xmlns:r="http://schemas.openxmlformats.org/officeDocument/2006/relationships" ref="J105" r:id="rId404"/>
    <hyperlink xmlns:r="http://schemas.openxmlformats.org/officeDocument/2006/relationships" ref="G106" r:id="rId405"/>
    <hyperlink xmlns:r="http://schemas.openxmlformats.org/officeDocument/2006/relationships" ref="H106" r:id="rId406"/>
    <hyperlink xmlns:r="http://schemas.openxmlformats.org/officeDocument/2006/relationships" ref="I106" r:id="rId407"/>
    <hyperlink xmlns:r="http://schemas.openxmlformats.org/officeDocument/2006/relationships" ref="G107" r:id="rId408"/>
    <hyperlink xmlns:r="http://schemas.openxmlformats.org/officeDocument/2006/relationships" ref="H107" r:id="rId409"/>
    <hyperlink xmlns:r="http://schemas.openxmlformats.org/officeDocument/2006/relationships" ref="I107" r:id="rId410"/>
    <hyperlink xmlns:r="http://schemas.openxmlformats.org/officeDocument/2006/relationships" ref="J107" r:id="rId411"/>
    <hyperlink xmlns:r="http://schemas.openxmlformats.org/officeDocument/2006/relationships" ref="G108" r:id="rId412"/>
    <hyperlink xmlns:r="http://schemas.openxmlformats.org/officeDocument/2006/relationships" ref="H108" r:id="rId413"/>
    <hyperlink xmlns:r="http://schemas.openxmlformats.org/officeDocument/2006/relationships" ref="I108" r:id="rId414"/>
    <hyperlink xmlns:r="http://schemas.openxmlformats.org/officeDocument/2006/relationships" ref="J108" r:id="rId415"/>
    <hyperlink xmlns:r="http://schemas.openxmlformats.org/officeDocument/2006/relationships" ref="G109" r:id="rId416"/>
    <hyperlink xmlns:r="http://schemas.openxmlformats.org/officeDocument/2006/relationships" ref="H109" r:id="rId417"/>
    <hyperlink xmlns:r="http://schemas.openxmlformats.org/officeDocument/2006/relationships" ref="I109" r:id="rId418"/>
    <hyperlink xmlns:r="http://schemas.openxmlformats.org/officeDocument/2006/relationships" ref="J109" r:id="rId419"/>
    <hyperlink xmlns:r="http://schemas.openxmlformats.org/officeDocument/2006/relationships" ref="G110" r:id="rId420"/>
    <hyperlink xmlns:r="http://schemas.openxmlformats.org/officeDocument/2006/relationships" ref="H110" r:id="rId421"/>
    <hyperlink xmlns:r="http://schemas.openxmlformats.org/officeDocument/2006/relationships" ref="I110" r:id="rId422"/>
    <hyperlink xmlns:r="http://schemas.openxmlformats.org/officeDocument/2006/relationships" ref="J110" r:id="rId423"/>
    <hyperlink xmlns:r="http://schemas.openxmlformats.org/officeDocument/2006/relationships" ref="G111" r:id="rId424"/>
    <hyperlink xmlns:r="http://schemas.openxmlformats.org/officeDocument/2006/relationships" ref="H111" r:id="rId425"/>
    <hyperlink xmlns:r="http://schemas.openxmlformats.org/officeDocument/2006/relationships" ref="I111" r:id="rId426"/>
    <hyperlink xmlns:r="http://schemas.openxmlformats.org/officeDocument/2006/relationships" ref="J111" r:id="rId427"/>
    <hyperlink xmlns:r="http://schemas.openxmlformats.org/officeDocument/2006/relationships" ref="G112" r:id="rId428"/>
    <hyperlink xmlns:r="http://schemas.openxmlformats.org/officeDocument/2006/relationships" ref="H112" r:id="rId429"/>
    <hyperlink xmlns:r="http://schemas.openxmlformats.org/officeDocument/2006/relationships" ref="I112" r:id="rId430"/>
    <hyperlink xmlns:r="http://schemas.openxmlformats.org/officeDocument/2006/relationships" ref="J112" r:id="rId431"/>
    <hyperlink xmlns:r="http://schemas.openxmlformats.org/officeDocument/2006/relationships" ref="G113" r:id="rId432"/>
    <hyperlink xmlns:r="http://schemas.openxmlformats.org/officeDocument/2006/relationships" ref="H113" r:id="rId433"/>
    <hyperlink xmlns:r="http://schemas.openxmlformats.org/officeDocument/2006/relationships" ref="I113" r:id="rId434"/>
    <hyperlink xmlns:r="http://schemas.openxmlformats.org/officeDocument/2006/relationships" ref="J113" r:id="rId435"/>
    <hyperlink xmlns:r="http://schemas.openxmlformats.org/officeDocument/2006/relationships" ref="G114" r:id="rId436"/>
    <hyperlink xmlns:r="http://schemas.openxmlformats.org/officeDocument/2006/relationships" ref="H114" r:id="rId437"/>
    <hyperlink xmlns:r="http://schemas.openxmlformats.org/officeDocument/2006/relationships" ref="I114" r:id="rId438"/>
    <hyperlink xmlns:r="http://schemas.openxmlformats.org/officeDocument/2006/relationships" ref="J114" r:id="rId439"/>
    <hyperlink xmlns:r="http://schemas.openxmlformats.org/officeDocument/2006/relationships" ref="G115" r:id="rId440"/>
    <hyperlink xmlns:r="http://schemas.openxmlformats.org/officeDocument/2006/relationships" ref="H115" r:id="rId441"/>
    <hyperlink xmlns:r="http://schemas.openxmlformats.org/officeDocument/2006/relationships" ref="I115" r:id="rId442"/>
    <hyperlink xmlns:r="http://schemas.openxmlformats.org/officeDocument/2006/relationships" ref="J115" r:id="rId443"/>
    <hyperlink xmlns:r="http://schemas.openxmlformats.org/officeDocument/2006/relationships" ref="G116" r:id="rId444"/>
    <hyperlink xmlns:r="http://schemas.openxmlformats.org/officeDocument/2006/relationships" ref="H116" r:id="rId445"/>
    <hyperlink xmlns:r="http://schemas.openxmlformats.org/officeDocument/2006/relationships" ref="I116" r:id="rId446"/>
    <hyperlink xmlns:r="http://schemas.openxmlformats.org/officeDocument/2006/relationships" ref="G117" r:id="rId447"/>
    <hyperlink xmlns:r="http://schemas.openxmlformats.org/officeDocument/2006/relationships" ref="H117" r:id="rId448"/>
    <hyperlink xmlns:r="http://schemas.openxmlformats.org/officeDocument/2006/relationships" ref="I117" r:id="rId449"/>
    <hyperlink xmlns:r="http://schemas.openxmlformats.org/officeDocument/2006/relationships" ref="J117" r:id="rId450"/>
    <hyperlink xmlns:r="http://schemas.openxmlformats.org/officeDocument/2006/relationships" ref="G118" r:id="rId451"/>
    <hyperlink xmlns:r="http://schemas.openxmlformats.org/officeDocument/2006/relationships" ref="H118" r:id="rId452"/>
    <hyperlink xmlns:r="http://schemas.openxmlformats.org/officeDocument/2006/relationships" ref="I118" r:id="rId453"/>
    <hyperlink xmlns:r="http://schemas.openxmlformats.org/officeDocument/2006/relationships" ref="J118" r:id="rId454"/>
    <hyperlink xmlns:r="http://schemas.openxmlformats.org/officeDocument/2006/relationships" ref="G119" r:id="rId455"/>
    <hyperlink xmlns:r="http://schemas.openxmlformats.org/officeDocument/2006/relationships" ref="H119" r:id="rId456"/>
    <hyperlink xmlns:r="http://schemas.openxmlformats.org/officeDocument/2006/relationships" ref="I119" r:id="rId457"/>
    <hyperlink xmlns:r="http://schemas.openxmlformats.org/officeDocument/2006/relationships" ref="J119" r:id="rId458"/>
    <hyperlink xmlns:r="http://schemas.openxmlformats.org/officeDocument/2006/relationships" ref="G120" r:id="rId459"/>
    <hyperlink xmlns:r="http://schemas.openxmlformats.org/officeDocument/2006/relationships" ref="H120" r:id="rId460"/>
    <hyperlink xmlns:r="http://schemas.openxmlformats.org/officeDocument/2006/relationships" ref="I120" r:id="rId461"/>
    <hyperlink xmlns:r="http://schemas.openxmlformats.org/officeDocument/2006/relationships" ref="J120" r:id="rId462"/>
    <hyperlink xmlns:r="http://schemas.openxmlformats.org/officeDocument/2006/relationships" ref="G121" r:id="rId463"/>
    <hyperlink xmlns:r="http://schemas.openxmlformats.org/officeDocument/2006/relationships" ref="H121" r:id="rId464"/>
    <hyperlink xmlns:r="http://schemas.openxmlformats.org/officeDocument/2006/relationships" ref="I121" r:id="rId465"/>
    <hyperlink xmlns:r="http://schemas.openxmlformats.org/officeDocument/2006/relationships" ref="G122" r:id="rId466"/>
    <hyperlink xmlns:r="http://schemas.openxmlformats.org/officeDocument/2006/relationships" ref="H122" r:id="rId467"/>
    <hyperlink xmlns:r="http://schemas.openxmlformats.org/officeDocument/2006/relationships" ref="I122" r:id="rId468"/>
    <hyperlink xmlns:r="http://schemas.openxmlformats.org/officeDocument/2006/relationships" ref="J122" r:id="rId469"/>
    <hyperlink xmlns:r="http://schemas.openxmlformats.org/officeDocument/2006/relationships" ref="G123" r:id="rId470"/>
    <hyperlink xmlns:r="http://schemas.openxmlformats.org/officeDocument/2006/relationships" ref="H123" r:id="rId471"/>
    <hyperlink xmlns:r="http://schemas.openxmlformats.org/officeDocument/2006/relationships" ref="I123" r:id="rId472"/>
    <hyperlink xmlns:r="http://schemas.openxmlformats.org/officeDocument/2006/relationships" ref="J123" r:id="rId473"/>
    <hyperlink xmlns:r="http://schemas.openxmlformats.org/officeDocument/2006/relationships" ref="G124" r:id="rId474"/>
    <hyperlink xmlns:r="http://schemas.openxmlformats.org/officeDocument/2006/relationships" ref="H124" r:id="rId475"/>
    <hyperlink xmlns:r="http://schemas.openxmlformats.org/officeDocument/2006/relationships" ref="I124" r:id="rId476"/>
    <hyperlink xmlns:r="http://schemas.openxmlformats.org/officeDocument/2006/relationships" ref="G125" r:id="rId477"/>
    <hyperlink xmlns:r="http://schemas.openxmlformats.org/officeDocument/2006/relationships" ref="H125" r:id="rId478"/>
    <hyperlink xmlns:r="http://schemas.openxmlformats.org/officeDocument/2006/relationships" ref="I125" r:id="rId479"/>
    <hyperlink xmlns:r="http://schemas.openxmlformats.org/officeDocument/2006/relationships" ref="J125" r:id="rId480"/>
    <hyperlink xmlns:r="http://schemas.openxmlformats.org/officeDocument/2006/relationships" ref="G126" r:id="rId481"/>
    <hyperlink xmlns:r="http://schemas.openxmlformats.org/officeDocument/2006/relationships" ref="H126" r:id="rId482"/>
    <hyperlink xmlns:r="http://schemas.openxmlformats.org/officeDocument/2006/relationships" ref="I126" r:id="rId483"/>
    <hyperlink xmlns:r="http://schemas.openxmlformats.org/officeDocument/2006/relationships" ref="J126" r:id="rId484"/>
    <hyperlink xmlns:r="http://schemas.openxmlformats.org/officeDocument/2006/relationships" ref="G127" r:id="rId485"/>
    <hyperlink xmlns:r="http://schemas.openxmlformats.org/officeDocument/2006/relationships" ref="H127" r:id="rId486"/>
    <hyperlink xmlns:r="http://schemas.openxmlformats.org/officeDocument/2006/relationships" ref="I127" r:id="rId487"/>
    <hyperlink xmlns:r="http://schemas.openxmlformats.org/officeDocument/2006/relationships" ref="J127" r:id="rId488"/>
    <hyperlink xmlns:r="http://schemas.openxmlformats.org/officeDocument/2006/relationships" ref="G128" r:id="rId489"/>
    <hyperlink xmlns:r="http://schemas.openxmlformats.org/officeDocument/2006/relationships" ref="H128" r:id="rId490"/>
    <hyperlink xmlns:r="http://schemas.openxmlformats.org/officeDocument/2006/relationships" ref="I128" r:id="rId491"/>
    <hyperlink xmlns:r="http://schemas.openxmlformats.org/officeDocument/2006/relationships" ref="J128" r:id="rId492"/>
    <hyperlink xmlns:r="http://schemas.openxmlformats.org/officeDocument/2006/relationships" ref="G129" r:id="rId493"/>
    <hyperlink xmlns:r="http://schemas.openxmlformats.org/officeDocument/2006/relationships" ref="H129" r:id="rId494"/>
    <hyperlink xmlns:r="http://schemas.openxmlformats.org/officeDocument/2006/relationships" ref="I129" r:id="rId495"/>
    <hyperlink xmlns:r="http://schemas.openxmlformats.org/officeDocument/2006/relationships" ref="J129" r:id="rId496"/>
    <hyperlink xmlns:r="http://schemas.openxmlformats.org/officeDocument/2006/relationships" ref="G130" r:id="rId497"/>
    <hyperlink xmlns:r="http://schemas.openxmlformats.org/officeDocument/2006/relationships" ref="H130" r:id="rId498"/>
    <hyperlink xmlns:r="http://schemas.openxmlformats.org/officeDocument/2006/relationships" ref="I130" r:id="rId499"/>
    <hyperlink xmlns:r="http://schemas.openxmlformats.org/officeDocument/2006/relationships" ref="J130" r:id="rId500"/>
    <hyperlink xmlns:r="http://schemas.openxmlformats.org/officeDocument/2006/relationships" ref="G131" r:id="rId501"/>
    <hyperlink xmlns:r="http://schemas.openxmlformats.org/officeDocument/2006/relationships" ref="H131" r:id="rId502"/>
    <hyperlink xmlns:r="http://schemas.openxmlformats.org/officeDocument/2006/relationships" ref="I131" r:id="rId503"/>
    <hyperlink xmlns:r="http://schemas.openxmlformats.org/officeDocument/2006/relationships" ref="J131" r:id="rId504"/>
    <hyperlink xmlns:r="http://schemas.openxmlformats.org/officeDocument/2006/relationships" ref="G132" r:id="rId505"/>
    <hyperlink xmlns:r="http://schemas.openxmlformats.org/officeDocument/2006/relationships" ref="H132" r:id="rId506"/>
    <hyperlink xmlns:r="http://schemas.openxmlformats.org/officeDocument/2006/relationships" ref="I132" r:id="rId507"/>
    <hyperlink xmlns:r="http://schemas.openxmlformats.org/officeDocument/2006/relationships" ref="J132" r:id="rId508"/>
    <hyperlink xmlns:r="http://schemas.openxmlformats.org/officeDocument/2006/relationships" ref="G133" r:id="rId509"/>
    <hyperlink xmlns:r="http://schemas.openxmlformats.org/officeDocument/2006/relationships" ref="H133" r:id="rId510"/>
    <hyperlink xmlns:r="http://schemas.openxmlformats.org/officeDocument/2006/relationships" ref="I133" r:id="rId511"/>
    <hyperlink xmlns:r="http://schemas.openxmlformats.org/officeDocument/2006/relationships" ref="J133" r:id="rId512"/>
    <hyperlink xmlns:r="http://schemas.openxmlformats.org/officeDocument/2006/relationships" ref="G134" r:id="rId513"/>
    <hyperlink xmlns:r="http://schemas.openxmlformats.org/officeDocument/2006/relationships" ref="H134" r:id="rId514"/>
    <hyperlink xmlns:r="http://schemas.openxmlformats.org/officeDocument/2006/relationships" ref="I134" r:id="rId515"/>
    <hyperlink xmlns:r="http://schemas.openxmlformats.org/officeDocument/2006/relationships" ref="G135" r:id="rId516"/>
    <hyperlink xmlns:r="http://schemas.openxmlformats.org/officeDocument/2006/relationships" ref="H135" r:id="rId517"/>
    <hyperlink xmlns:r="http://schemas.openxmlformats.org/officeDocument/2006/relationships" ref="I135" r:id="rId518"/>
    <hyperlink xmlns:r="http://schemas.openxmlformats.org/officeDocument/2006/relationships" ref="G136" r:id="rId519"/>
    <hyperlink xmlns:r="http://schemas.openxmlformats.org/officeDocument/2006/relationships" ref="H136" r:id="rId520"/>
    <hyperlink xmlns:r="http://schemas.openxmlformats.org/officeDocument/2006/relationships" ref="I136" r:id="rId521"/>
    <hyperlink xmlns:r="http://schemas.openxmlformats.org/officeDocument/2006/relationships" ref="J136" r:id="rId522"/>
    <hyperlink xmlns:r="http://schemas.openxmlformats.org/officeDocument/2006/relationships" ref="G137" r:id="rId523"/>
    <hyperlink xmlns:r="http://schemas.openxmlformats.org/officeDocument/2006/relationships" ref="H137" r:id="rId524"/>
    <hyperlink xmlns:r="http://schemas.openxmlformats.org/officeDocument/2006/relationships" ref="I137" r:id="rId525"/>
    <hyperlink xmlns:r="http://schemas.openxmlformats.org/officeDocument/2006/relationships" ref="J137" r:id="rId526"/>
    <hyperlink xmlns:r="http://schemas.openxmlformats.org/officeDocument/2006/relationships" ref="G138" r:id="rId527"/>
    <hyperlink xmlns:r="http://schemas.openxmlformats.org/officeDocument/2006/relationships" ref="H138" r:id="rId528"/>
    <hyperlink xmlns:r="http://schemas.openxmlformats.org/officeDocument/2006/relationships" ref="I138" r:id="rId529"/>
    <hyperlink xmlns:r="http://schemas.openxmlformats.org/officeDocument/2006/relationships" ref="J138" r:id="rId530"/>
    <hyperlink xmlns:r="http://schemas.openxmlformats.org/officeDocument/2006/relationships" ref="G139" r:id="rId531"/>
    <hyperlink xmlns:r="http://schemas.openxmlformats.org/officeDocument/2006/relationships" ref="H139" r:id="rId532"/>
    <hyperlink xmlns:r="http://schemas.openxmlformats.org/officeDocument/2006/relationships" ref="I139" r:id="rId533"/>
    <hyperlink xmlns:r="http://schemas.openxmlformats.org/officeDocument/2006/relationships" ref="J139" r:id="rId534"/>
    <hyperlink xmlns:r="http://schemas.openxmlformats.org/officeDocument/2006/relationships" ref="G140" r:id="rId535"/>
    <hyperlink xmlns:r="http://schemas.openxmlformats.org/officeDocument/2006/relationships" ref="H140" r:id="rId536"/>
    <hyperlink xmlns:r="http://schemas.openxmlformats.org/officeDocument/2006/relationships" ref="I140" r:id="rId537"/>
    <hyperlink xmlns:r="http://schemas.openxmlformats.org/officeDocument/2006/relationships" ref="J140" r:id="rId538"/>
    <hyperlink xmlns:r="http://schemas.openxmlformats.org/officeDocument/2006/relationships" ref="G141" r:id="rId539"/>
    <hyperlink xmlns:r="http://schemas.openxmlformats.org/officeDocument/2006/relationships" ref="H141" r:id="rId540"/>
    <hyperlink xmlns:r="http://schemas.openxmlformats.org/officeDocument/2006/relationships" ref="I141" r:id="rId541"/>
    <hyperlink xmlns:r="http://schemas.openxmlformats.org/officeDocument/2006/relationships" ref="J141" r:id="rId542"/>
    <hyperlink xmlns:r="http://schemas.openxmlformats.org/officeDocument/2006/relationships" ref="G142" r:id="rId543"/>
    <hyperlink xmlns:r="http://schemas.openxmlformats.org/officeDocument/2006/relationships" ref="H142" r:id="rId544"/>
    <hyperlink xmlns:r="http://schemas.openxmlformats.org/officeDocument/2006/relationships" ref="I142" r:id="rId545"/>
    <hyperlink xmlns:r="http://schemas.openxmlformats.org/officeDocument/2006/relationships" ref="J142" r:id="rId546"/>
    <hyperlink xmlns:r="http://schemas.openxmlformats.org/officeDocument/2006/relationships" ref="G143" r:id="rId547"/>
    <hyperlink xmlns:r="http://schemas.openxmlformats.org/officeDocument/2006/relationships" ref="H143" r:id="rId548"/>
    <hyperlink xmlns:r="http://schemas.openxmlformats.org/officeDocument/2006/relationships" ref="I143" r:id="rId549"/>
    <hyperlink xmlns:r="http://schemas.openxmlformats.org/officeDocument/2006/relationships" ref="J143" r:id="rId550"/>
    <hyperlink xmlns:r="http://schemas.openxmlformats.org/officeDocument/2006/relationships" ref="G144" r:id="rId551"/>
    <hyperlink xmlns:r="http://schemas.openxmlformats.org/officeDocument/2006/relationships" ref="H144" r:id="rId552"/>
    <hyperlink xmlns:r="http://schemas.openxmlformats.org/officeDocument/2006/relationships" ref="I144" r:id="rId553"/>
    <hyperlink xmlns:r="http://schemas.openxmlformats.org/officeDocument/2006/relationships" ref="J144" r:id="rId554"/>
    <hyperlink xmlns:r="http://schemas.openxmlformats.org/officeDocument/2006/relationships" ref="G145" r:id="rId555"/>
    <hyperlink xmlns:r="http://schemas.openxmlformats.org/officeDocument/2006/relationships" ref="H145" r:id="rId556"/>
    <hyperlink xmlns:r="http://schemas.openxmlformats.org/officeDocument/2006/relationships" ref="I145" r:id="rId557"/>
    <hyperlink xmlns:r="http://schemas.openxmlformats.org/officeDocument/2006/relationships" ref="G146" r:id="rId558"/>
    <hyperlink xmlns:r="http://schemas.openxmlformats.org/officeDocument/2006/relationships" ref="H146" r:id="rId559"/>
    <hyperlink xmlns:r="http://schemas.openxmlformats.org/officeDocument/2006/relationships" ref="I146" r:id="rId560"/>
    <hyperlink xmlns:r="http://schemas.openxmlformats.org/officeDocument/2006/relationships" ref="J146" r:id="rId561"/>
    <hyperlink xmlns:r="http://schemas.openxmlformats.org/officeDocument/2006/relationships" ref="G147" r:id="rId562"/>
    <hyperlink xmlns:r="http://schemas.openxmlformats.org/officeDocument/2006/relationships" ref="H147" r:id="rId563"/>
    <hyperlink xmlns:r="http://schemas.openxmlformats.org/officeDocument/2006/relationships" ref="I147" r:id="rId564"/>
    <hyperlink xmlns:r="http://schemas.openxmlformats.org/officeDocument/2006/relationships" ref="J147" r:id="rId565"/>
    <hyperlink xmlns:r="http://schemas.openxmlformats.org/officeDocument/2006/relationships" ref="G148" r:id="rId566"/>
    <hyperlink xmlns:r="http://schemas.openxmlformats.org/officeDocument/2006/relationships" ref="H148" r:id="rId567"/>
    <hyperlink xmlns:r="http://schemas.openxmlformats.org/officeDocument/2006/relationships" ref="I148" r:id="rId568"/>
    <hyperlink xmlns:r="http://schemas.openxmlformats.org/officeDocument/2006/relationships" ref="J148" r:id="rId569"/>
    <hyperlink xmlns:r="http://schemas.openxmlformats.org/officeDocument/2006/relationships" ref="G149" r:id="rId570"/>
    <hyperlink xmlns:r="http://schemas.openxmlformats.org/officeDocument/2006/relationships" ref="H149" r:id="rId571"/>
    <hyperlink xmlns:r="http://schemas.openxmlformats.org/officeDocument/2006/relationships" ref="I149" r:id="rId572"/>
    <hyperlink xmlns:r="http://schemas.openxmlformats.org/officeDocument/2006/relationships" ref="J149" r:id="rId573"/>
    <hyperlink xmlns:r="http://schemas.openxmlformats.org/officeDocument/2006/relationships" ref="G150" r:id="rId574"/>
    <hyperlink xmlns:r="http://schemas.openxmlformats.org/officeDocument/2006/relationships" ref="H150" r:id="rId575"/>
    <hyperlink xmlns:r="http://schemas.openxmlformats.org/officeDocument/2006/relationships" ref="I150" r:id="rId576"/>
    <hyperlink xmlns:r="http://schemas.openxmlformats.org/officeDocument/2006/relationships" ref="J150" r:id="rId577"/>
    <hyperlink xmlns:r="http://schemas.openxmlformats.org/officeDocument/2006/relationships" ref="G151" r:id="rId578"/>
    <hyperlink xmlns:r="http://schemas.openxmlformats.org/officeDocument/2006/relationships" ref="H151" r:id="rId579"/>
    <hyperlink xmlns:r="http://schemas.openxmlformats.org/officeDocument/2006/relationships" ref="I151" r:id="rId580"/>
    <hyperlink xmlns:r="http://schemas.openxmlformats.org/officeDocument/2006/relationships" ref="J151" r:id="rId581"/>
    <hyperlink xmlns:r="http://schemas.openxmlformats.org/officeDocument/2006/relationships" ref="G152" r:id="rId582"/>
    <hyperlink xmlns:r="http://schemas.openxmlformats.org/officeDocument/2006/relationships" ref="H152" r:id="rId583"/>
    <hyperlink xmlns:r="http://schemas.openxmlformats.org/officeDocument/2006/relationships" ref="I152" r:id="rId584"/>
    <hyperlink xmlns:r="http://schemas.openxmlformats.org/officeDocument/2006/relationships" ref="J152" r:id="rId585"/>
    <hyperlink xmlns:r="http://schemas.openxmlformats.org/officeDocument/2006/relationships" ref="G153" r:id="rId586"/>
    <hyperlink xmlns:r="http://schemas.openxmlformats.org/officeDocument/2006/relationships" ref="H153" r:id="rId587"/>
    <hyperlink xmlns:r="http://schemas.openxmlformats.org/officeDocument/2006/relationships" ref="I153" r:id="rId588"/>
    <hyperlink xmlns:r="http://schemas.openxmlformats.org/officeDocument/2006/relationships" ref="J153" r:id="rId589"/>
    <hyperlink xmlns:r="http://schemas.openxmlformats.org/officeDocument/2006/relationships" ref="G154" r:id="rId590"/>
    <hyperlink xmlns:r="http://schemas.openxmlformats.org/officeDocument/2006/relationships" ref="H154" r:id="rId591"/>
    <hyperlink xmlns:r="http://schemas.openxmlformats.org/officeDocument/2006/relationships" ref="I154" r:id="rId592"/>
    <hyperlink xmlns:r="http://schemas.openxmlformats.org/officeDocument/2006/relationships" ref="J154" r:id="rId593"/>
    <hyperlink xmlns:r="http://schemas.openxmlformats.org/officeDocument/2006/relationships" ref="G155" r:id="rId594"/>
    <hyperlink xmlns:r="http://schemas.openxmlformats.org/officeDocument/2006/relationships" ref="H155" r:id="rId595"/>
    <hyperlink xmlns:r="http://schemas.openxmlformats.org/officeDocument/2006/relationships" ref="I155" r:id="rId596"/>
    <hyperlink xmlns:r="http://schemas.openxmlformats.org/officeDocument/2006/relationships" ref="J155" r:id="rId597"/>
    <hyperlink xmlns:r="http://schemas.openxmlformats.org/officeDocument/2006/relationships" ref="G156" r:id="rId598"/>
    <hyperlink xmlns:r="http://schemas.openxmlformats.org/officeDocument/2006/relationships" ref="H156" r:id="rId599"/>
    <hyperlink xmlns:r="http://schemas.openxmlformats.org/officeDocument/2006/relationships" ref="I156" r:id="rId600"/>
    <hyperlink xmlns:r="http://schemas.openxmlformats.org/officeDocument/2006/relationships" ref="J156" r:id="rId601"/>
    <hyperlink xmlns:r="http://schemas.openxmlformats.org/officeDocument/2006/relationships" ref="G157" r:id="rId602"/>
    <hyperlink xmlns:r="http://schemas.openxmlformats.org/officeDocument/2006/relationships" ref="H157" r:id="rId603"/>
    <hyperlink xmlns:r="http://schemas.openxmlformats.org/officeDocument/2006/relationships" ref="I157" r:id="rId604"/>
    <hyperlink xmlns:r="http://schemas.openxmlformats.org/officeDocument/2006/relationships" ref="J157" r:id="rId605"/>
    <hyperlink xmlns:r="http://schemas.openxmlformats.org/officeDocument/2006/relationships" ref="G158" r:id="rId606"/>
    <hyperlink xmlns:r="http://schemas.openxmlformats.org/officeDocument/2006/relationships" ref="H158" r:id="rId607"/>
    <hyperlink xmlns:r="http://schemas.openxmlformats.org/officeDocument/2006/relationships" ref="I158" r:id="rId608"/>
    <hyperlink xmlns:r="http://schemas.openxmlformats.org/officeDocument/2006/relationships" ref="J158" r:id="rId609"/>
    <hyperlink xmlns:r="http://schemas.openxmlformats.org/officeDocument/2006/relationships" ref="G159" r:id="rId610"/>
    <hyperlink xmlns:r="http://schemas.openxmlformats.org/officeDocument/2006/relationships" ref="H159" r:id="rId611"/>
    <hyperlink xmlns:r="http://schemas.openxmlformats.org/officeDocument/2006/relationships" ref="I159" r:id="rId612"/>
    <hyperlink xmlns:r="http://schemas.openxmlformats.org/officeDocument/2006/relationships" ref="G160" r:id="rId613"/>
    <hyperlink xmlns:r="http://schemas.openxmlformats.org/officeDocument/2006/relationships" ref="H160" r:id="rId614"/>
    <hyperlink xmlns:r="http://schemas.openxmlformats.org/officeDocument/2006/relationships" ref="I160" r:id="rId615"/>
    <hyperlink xmlns:r="http://schemas.openxmlformats.org/officeDocument/2006/relationships" ref="J160" r:id="rId616"/>
    <hyperlink xmlns:r="http://schemas.openxmlformats.org/officeDocument/2006/relationships" ref="G161" r:id="rId617"/>
    <hyperlink xmlns:r="http://schemas.openxmlformats.org/officeDocument/2006/relationships" ref="H161" r:id="rId618"/>
    <hyperlink xmlns:r="http://schemas.openxmlformats.org/officeDocument/2006/relationships" ref="I161" r:id="rId619"/>
    <hyperlink xmlns:r="http://schemas.openxmlformats.org/officeDocument/2006/relationships" ref="J161" r:id="rId620"/>
    <hyperlink xmlns:r="http://schemas.openxmlformats.org/officeDocument/2006/relationships" ref="G162" r:id="rId621"/>
    <hyperlink xmlns:r="http://schemas.openxmlformats.org/officeDocument/2006/relationships" ref="H162" r:id="rId622"/>
    <hyperlink xmlns:r="http://schemas.openxmlformats.org/officeDocument/2006/relationships" ref="I162" r:id="rId623"/>
    <hyperlink xmlns:r="http://schemas.openxmlformats.org/officeDocument/2006/relationships" ref="J162" r:id="rId624"/>
    <hyperlink xmlns:r="http://schemas.openxmlformats.org/officeDocument/2006/relationships" ref="G163" r:id="rId625"/>
    <hyperlink xmlns:r="http://schemas.openxmlformats.org/officeDocument/2006/relationships" ref="H163" r:id="rId626"/>
    <hyperlink xmlns:r="http://schemas.openxmlformats.org/officeDocument/2006/relationships" ref="I163" r:id="rId627"/>
    <hyperlink xmlns:r="http://schemas.openxmlformats.org/officeDocument/2006/relationships" ref="G164" r:id="rId628"/>
    <hyperlink xmlns:r="http://schemas.openxmlformats.org/officeDocument/2006/relationships" ref="H164" r:id="rId629"/>
    <hyperlink xmlns:r="http://schemas.openxmlformats.org/officeDocument/2006/relationships" ref="I164" r:id="rId630"/>
    <hyperlink xmlns:r="http://schemas.openxmlformats.org/officeDocument/2006/relationships" ref="G165" r:id="rId631"/>
    <hyperlink xmlns:r="http://schemas.openxmlformats.org/officeDocument/2006/relationships" ref="H165" r:id="rId632"/>
    <hyperlink xmlns:r="http://schemas.openxmlformats.org/officeDocument/2006/relationships" ref="I165" r:id="rId633"/>
    <hyperlink xmlns:r="http://schemas.openxmlformats.org/officeDocument/2006/relationships" ref="J165" r:id="rId634"/>
    <hyperlink xmlns:r="http://schemas.openxmlformats.org/officeDocument/2006/relationships" ref="G166" r:id="rId635"/>
    <hyperlink xmlns:r="http://schemas.openxmlformats.org/officeDocument/2006/relationships" ref="H166" r:id="rId636"/>
    <hyperlink xmlns:r="http://schemas.openxmlformats.org/officeDocument/2006/relationships" ref="I166" r:id="rId637"/>
    <hyperlink xmlns:r="http://schemas.openxmlformats.org/officeDocument/2006/relationships" ref="G167" r:id="rId638"/>
    <hyperlink xmlns:r="http://schemas.openxmlformats.org/officeDocument/2006/relationships" ref="H167" r:id="rId639"/>
    <hyperlink xmlns:r="http://schemas.openxmlformats.org/officeDocument/2006/relationships" ref="I167" r:id="rId640"/>
    <hyperlink xmlns:r="http://schemas.openxmlformats.org/officeDocument/2006/relationships" ref="J167" r:id="rId641"/>
    <hyperlink xmlns:r="http://schemas.openxmlformats.org/officeDocument/2006/relationships" ref="G168" r:id="rId642"/>
    <hyperlink xmlns:r="http://schemas.openxmlformats.org/officeDocument/2006/relationships" ref="H168" r:id="rId643"/>
    <hyperlink xmlns:r="http://schemas.openxmlformats.org/officeDocument/2006/relationships" ref="I168" r:id="rId644"/>
    <hyperlink xmlns:r="http://schemas.openxmlformats.org/officeDocument/2006/relationships" ref="J168" r:id="rId645"/>
    <hyperlink xmlns:r="http://schemas.openxmlformats.org/officeDocument/2006/relationships" ref="G169" r:id="rId646"/>
    <hyperlink xmlns:r="http://schemas.openxmlformats.org/officeDocument/2006/relationships" ref="H169" r:id="rId647"/>
    <hyperlink xmlns:r="http://schemas.openxmlformats.org/officeDocument/2006/relationships" ref="I169" r:id="rId648"/>
    <hyperlink xmlns:r="http://schemas.openxmlformats.org/officeDocument/2006/relationships" ref="J169" r:id="rId649"/>
    <hyperlink xmlns:r="http://schemas.openxmlformats.org/officeDocument/2006/relationships" ref="G170" r:id="rId650"/>
    <hyperlink xmlns:r="http://schemas.openxmlformats.org/officeDocument/2006/relationships" ref="H170" r:id="rId651"/>
    <hyperlink xmlns:r="http://schemas.openxmlformats.org/officeDocument/2006/relationships" ref="I170" r:id="rId652"/>
    <hyperlink xmlns:r="http://schemas.openxmlformats.org/officeDocument/2006/relationships" ref="J170" r:id="rId653"/>
    <hyperlink xmlns:r="http://schemas.openxmlformats.org/officeDocument/2006/relationships" ref="G171" r:id="rId654"/>
    <hyperlink xmlns:r="http://schemas.openxmlformats.org/officeDocument/2006/relationships" ref="H171" r:id="rId655"/>
    <hyperlink xmlns:r="http://schemas.openxmlformats.org/officeDocument/2006/relationships" ref="I171" r:id="rId656"/>
    <hyperlink xmlns:r="http://schemas.openxmlformats.org/officeDocument/2006/relationships" ref="J171" r:id="rId657"/>
    <hyperlink xmlns:r="http://schemas.openxmlformats.org/officeDocument/2006/relationships" ref="G172" r:id="rId658"/>
    <hyperlink xmlns:r="http://schemas.openxmlformats.org/officeDocument/2006/relationships" ref="H172" r:id="rId659"/>
    <hyperlink xmlns:r="http://schemas.openxmlformats.org/officeDocument/2006/relationships" ref="I172" r:id="rId660"/>
    <hyperlink xmlns:r="http://schemas.openxmlformats.org/officeDocument/2006/relationships" ref="G173" r:id="rId661"/>
    <hyperlink xmlns:r="http://schemas.openxmlformats.org/officeDocument/2006/relationships" ref="H173" r:id="rId662"/>
    <hyperlink xmlns:r="http://schemas.openxmlformats.org/officeDocument/2006/relationships" ref="I173" r:id="rId663"/>
    <hyperlink xmlns:r="http://schemas.openxmlformats.org/officeDocument/2006/relationships" ref="J173" r:id="rId664"/>
    <hyperlink xmlns:r="http://schemas.openxmlformats.org/officeDocument/2006/relationships" ref="G174" r:id="rId665"/>
    <hyperlink xmlns:r="http://schemas.openxmlformats.org/officeDocument/2006/relationships" ref="H174" r:id="rId666"/>
    <hyperlink xmlns:r="http://schemas.openxmlformats.org/officeDocument/2006/relationships" ref="I174" r:id="rId667"/>
    <hyperlink xmlns:r="http://schemas.openxmlformats.org/officeDocument/2006/relationships" ref="G175" r:id="rId668"/>
    <hyperlink xmlns:r="http://schemas.openxmlformats.org/officeDocument/2006/relationships" ref="H175" r:id="rId669"/>
    <hyperlink xmlns:r="http://schemas.openxmlformats.org/officeDocument/2006/relationships" ref="I175" r:id="rId670"/>
    <hyperlink xmlns:r="http://schemas.openxmlformats.org/officeDocument/2006/relationships" ref="J175" r:id="rId671"/>
    <hyperlink xmlns:r="http://schemas.openxmlformats.org/officeDocument/2006/relationships" ref="G176" r:id="rId672"/>
    <hyperlink xmlns:r="http://schemas.openxmlformats.org/officeDocument/2006/relationships" ref="H176" r:id="rId673"/>
    <hyperlink xmlns:r="http://schemas.openxmlformats.org/officeDocument/2006/relationships" ref="I176" r:id="rId674"/>
    <hyperlink xmlns:r="http://schemas.openxmlformats.org/officeDocument/2006/relationships" ref="J176" r:id="rId675"/>
    <hyperlink xmlns:r="http://schemas.openxmlformats.org/officeDocument/2006/relationships" ref="G177" r:id="rId676"/>
    <hyperlink xmlns:r="http://schemas.openxmlformats.org/officeDocument/2006/relationships" ref="H177" r:id="rId677"/>
    <hyperlink xmlns:r="http://schemas.openxmlformats.org/officeDocument/2006/relationships" ref="I177" r:id="rId678"/>
    <hyperlink xmlns:r="http://schemas.openxmlformats.org/officeDocument/2006/relationships" ref="J177" r:id="rId679"/>
    <hyperlink xmlns:r="http://schemas.openxmlformats.org/officeDocument/2006/relationships" ref="G178" r:id="rId680"/>
    <hyperlink xmlns:r="http://schemas.openxmlformats.org/officeDocument/2006/relationships" ref="H178" r:id="rId681"/>
    <hyperlink xmlns:r="http://schemas.openxmlformats.org/officeDocument/2006/relationships" ref="I178" r:id="rId682"/>
    <hyperlink xmlns:r="http://schemas.openxmlformats.org/officeDocument/2006/relationships" ref="J178" r:id="rId683"/>
    <hyperlink xmlns:r="http://schemas.openxmlformats.org/officeDocument/2006/relationships" ref="G179" r:id="rId684"/>
    <hyperlink xmlns:r="http://schemas.openxmlformats.org/officeDocument/2006/relationships" ref="H179" r:id="rId685"/>
    <hyperlink xmlns:r="http://schemas.openxmlformats.org/officeDocument/2006/relationships" ref="I179" r:id="rId686"/>
    <hyperlink xmlns:r="http://schemas.openxmlformats.org/officeDocument/2006/relationships" ref="J179" r:id="rId687"/>
    <hyperlink xmlns:r="http://schemas.openxmlformats.org/officeDocument/2006/relationships" ref="G180" r:id="rId688"/>
    <hyperlink xmlns:r="http://schemas.openxmlformats.org/officeDocument/2006/relationships" ref="H180" r:id="rId689"/>
    <hyperlink xmlns:r="http://schemas.openxmlformats.org/officeDocument/2006/relationships" ref="I180" r:id="rId690"/>
    <hyperlink xmlns:r="http://schemas.openxmlformats.org/officeDocument/2006/relationships" ref="J180" r:id="rId691"/>
    <hyperlink xmlns:r="http://schemas.openxmlformats.org/officeDocument/2006/relationships" ref="G181" r:id="rId692"/>
    <hyperlink xmlns:r="http://schemas.openxmlformats.org/officeDocument/2006/relationships" ref="H181" r:id="rId693"/>
    <hyperlink xmlns:r="http://schemas.openxmlformats.org/officeDocument/2006/relationships" ref="I181" r:id="rId694"/>
    <hyperlink xmlns:r="http://schemas.openxmlformats.org/officeDocument/2006/relationships" ref="G182" r:id="rId695"/>
    <hyperlink xmlns:r="http://schemas.openxmlformats.org/officeDocument/2006/relationships" ref="H182" r:id="rId696"/>
    <hyperlink xmlns:r="http://schemas.openxmlformats.org/officeDocument/2006/relationships" ref="I182" r:id="rId697"/>
    <hyperlink xmlns:r="http://schemas.openxmlformats.org/officeDocument/2006/relationships" ref="J182" r:id="rId698"/>
    <hyperlink xmlns:r="http://schemas.openxmlformats.org/officeDocument/2006/relationships" ref="G183" r:id="rId699"/>
    <hyperlink xmlns:r="http://schemas.openxmlformats.org/officeDocument/2006/relationships" ref="H183" r:id="rId700"/>
    <hyperlink xmlns:r="http://schemas.openxmlformats.org/officeDocument/2006/relationships" ref="I183" r:id="rId701"/>
    <hyperlink xmlns:r="http://schemas.openxmlformats.org/officeDocument/2006/relationships" ref="G184" r:id="rId702"/>
    <hyperlink xmlns:r="http://schemas.openxmlformats.org/officeDocument/2006/relationships" ref="H184" r:id="rId703"/>
    <hyperlink xmlns:r="http://schemas.openxmlformats.org/officeDocument/2006/relationships" ref="I184" r:id="rId704"/>
    <hyperlink xmlns:r="http://schemas.openxmlformats.org/officeDocument/2006/relationships" ref="G185" r:id="rId705"/>
    <hyperlink xmlns:r="http://schemas.openxmlformats.org/officeDocument/2006/relationships" ref="H185" r:id="rId706"/>
    <hyperlink xmlns:r="http://schemas.openxmlformats.org/officeDocument/2006/relationships" ref="I185" r:id="rId707"/>
    <hyperlink xmlns:r="http://schemas.openxmlformats.org/officeDocument/2006/relationships" ref="G186" r:id="rId708"/>
    <hyperlink xmlns:r="http://schemas.openxmlformats.org/officeDocument/2006/relationships" ref="H186" r:id="rId709"/>
    <hyperlink xmlns:r="http://schemas.openxmlformats.org/officeDocument/2006/relationships" ref="I186" r:id="rId710"/>
    <hyperlink xmlns:r="http://schemas.openxmlformats.org/officeDocument/2006/relationships" ref="J186" r:id="rId711"/>
    <hyperlink xmlns:r="http://schemas.openxmlformats.org/officeDocument/2006/relationships" ref="G187" r:id="rId712"/>
    <hyperlink xmlns:r="http://schemas.openxmlformats.org/officeDocument/2006/relationships" ref="H187" r:id="rId713"/>
    <hyperlink xmlns:r="http://schemas.openxmlformats.org/officeDocument/2006/relationships" ref="I187" r:id="rId714"/>
    <hyperlink xmlns:r="http://schemas.openxmlformats.org/officeDocument/2006/relationships" ref="G188" r:id="rId715"/>
    <hyperlink xmlns:r="http://schemas.openxmlformats.org/officeDocument/2006/relationships" ref="H188" r:id="rId716"/>
    <hyperlink xmlns:r="http://schemas.openxmlformats.org/officeDocument/2006/relationships" ref="I188" r:id="rId717"/>
    <hyperlink xmlns:r="http://schemas.openxmlformats.org/officeDocument/2006/relationships" ref="J188" r:id="rId718"/>
    <hyperlink xmlns:r="http://schemas.openxmlformats.org/officeDocument/2006/relationships" ref="G189" r:id="rId719"/>
    <hyperlink xmlns:r="http://schemas.openxmlformats.org/officeDocument/2006/relationships" ref="H189" r:id="rId720"/>
    <hyperlink xmlns:r="http://schemas.openxmlformats.org/officeDocument/2006/relationships" ref="I189" r:id="rId721"/>
    <hyperlink xmlns:r="http://schemas.openxmlformats.org/officeDocument/2006/relationships" ref="J189" r:id="rId722"/>
    <hyperlink xmlns:r="http://schemas.openxmlformats.org/officeDocument/2006/relationships" ref="G190" r:id="rId723"/>
    <hyperlink xmlns:r="http://schemas.openxmlformats.org/officeDocument/2006/relationships" ref="H190" r:id="rId724"/>
    <hyperlink xmlns:r="http://schemas.openxmlformats.org/officeDocument/2006/relationships" ref="I190" r:id="rId725"/>
    <hyperlink xmlns:r="http://schemas.openxmlformats.org/officeDocument/2006/relationships" ref="J190" r:id="rId726"/>
    <hyperlink xmlns:r="http://schemas.openxmlformats.org/officeDocument/2006/relationships" ref="G191" r:id="rId727"/>
    <hyperlink xmlns:r="http://schemas.openxmlformats.org/officeDocument/2006/relationships" ref="H191" r:id="rId728"/>
    <hyperlink xmlns:r="http://schemas.openxmlformats.org/officeDocument/2006/relationships" ref="I191" r:id="rId729"/>
    <hyperlink xmlns:r="http://schemas.openxmlformats.org/officeDocument/2006/relationships" ref="J191" r:id="rId730"/>
    <hyperlink xmlns:r="http://schemas.openxmlformats.org/officeDocument/2006/relationships" ref="G192" r:id="rId731"/>
    <hyperlink xmlns:r="http://schemas.openxmlformats.org/officeDocument/2006/relationships" ref="H192" r:id="rId732"/>
    <hyperlink xmlns:r="http://schemas.openxmlformats.org/officeDocument/2006/relationships" ref="I192" r:id="rId733"/>
    <hyperlink xmlns:r="http://schemas.openxmlformats.org/officeDocument/2006/relationships" ref="J192" r:id="rId734"/>
    <hyperlink xmlns:r="http://schemas.openxmlformats.org/officeDocument/2006/relationships" ref="G193" r:id="rId735"/>
    <hyperlink xmlns:r="http://schemas.openxmlformats.org/officeDocument/2006/relationships" ref="H193" r:id="rId736"/>
    <hyperlink xmlns:r="http://schemas.openxmlformats.org/officeDocument/2006/relationships" ref="I193" r:id="rId737"/>
    <hyperlink xmlns:r="http://schemas.openxmlformats.org/officeDocument/2006/relationships" ref="J193" r:id="rId738"/>
    <hyperlink xmlns:r="http://schemas.openxmlformats.org/officeDocument/2006/relationships" ref="G194" r:id="rId739"/>
    <hyperlink xmlns:r="http://schemas.openxmlformats.org/officeDocument/2006/relationships" ref="H194" r:id="rId740"/>
    <hyperlink xmlns:r="http://schemas.openxmlformats.org/officeDocument/2006/relationships" ref="I194" r:id="rId741"/>
    <hyperlink xmlns:r="http://schemas.openxmlformats.org/officeDocument/2006/relationships" ref="J194" r:id="rId742"/>
    <hyperlink xmlns:r="http://schemas.openxmlformats.org/officeDocument/2006/relationships" ref="G195" r:id="rId743"/>
    <hyperlink xmlns:r="http://schemas.openxmlformats.org/officeDocument/2006/relationships" ref="H195" r:id="rId744"/>
    <hyperlink xmlns:r="http://schemas.openxmlformats.org/officeDocument/2006/relationships" ref="I195" r:id="rId745"/>
    <hyperlink xmlns:r="http://schemas.openxmlformats.org/officeDocument/2006/relationships" ref="J195" r:id="rId746"/>
    <hyperlink xmlns:r="http://schemas.openxmlformats.org/officeDocument/2006/relationships" ref="G196" r:id="rId747"/>
    <hyperlink xmlns:r="http://schemas.openxmlformats.org/officeDocument/2006/relationships" ref="H196" r:id="rId748"/>
    <hyperlink xmlns:r="http://schemas.openxmlformats.org/officeDocument/2006/relationships" ref="I196" r:id="rId749"/>
    <hyperlink xmlns:r="http://schemas.openxmlformats.org/officeDocument/2006/relationships" ref="J196" r:id="rId750"/>
    <hyperlink xmlns:r="http://schemas.openxmlformats.org/officeDocument/2006/relationships" ref="G197" r:id="rId751"/>
    <hyperlink xmlns:r="http://schemas.openxmlformats.org/officeDocument/2006/relationships" ref="H197" r:id="rId752"/>
    <hyperlink xmlns:r="http://schemas.openxmlformats.org/officeDocument/2006/relationships" ref="I197" r:id="rId753"/>
    <hyperlink xmlns:r="http://schemas.openxmlformats.org/officeDocument/2006/relationships" ref="J197" r:id="rId754"/>
    <hyperlink xmlns:r="http://schemas.openxmlformats.org/officeDocument/2006/relationships" ref="G198" r:id="rId755"/>
    <hyperlink xmlns:r="http://schemas.openxmlformats.org/officeDocument/2006/relationships" ref="H198" r:id="rId756"/>
    <hyperlink xmlns:r="http://schemas.openxmlformats.org/officeDocument/2006/relationships" ref="I198" r:id="rId757"/>
    <hyperlink xmlns:r="http://schemas.openxmlformats.org/officeDocument/2006/relationships" ref="J198" r:id="rId758"/>
    <hyperlink xmlns:r="http://schemas.openxmlformats.org/officeDocument/2006/relationships" ref="G199" r:id="rId759"/>
    <hyperlink xmlns:r="http://schemas.openxmlformats.org/officeDocument/2006/relationships" ref="H199" r:id="rId760"/>
    <hyperlink xmlns:r="http://schemas.openxmlformats.org/officeDocument/2006/relationships" ref="I199" r:id="rId761"/>
    <hyperlink xmlns:r="http://schemas.openxmlformats.org/officeDocument/2006/relationships" ref="J199" r:id="rId762"/>
    <hyperlink xmlns:r="http://schemas.openxmlformats.org/officeDocument/2006/relationships" ref="G200" r:id="rId763"/>
    <hyperlink xmlns:r="http://schemas.openxmlformats.org/officeDocument/2006/relationships" ref="H200" r:id="rId764"/>
    <hyperlink xmlns:r="http://schemas.openxmlformats.org/officeDocument/2006/relationships" ref="I200" r:id="rId765"/>
    <hyperlink xmlns:r="http://schemas.openxmlformats.org/officeDocument/2006/relationships" ref="J200" r:id="rId766"/>
    <hyperlink xmlns:r="http://schemas.openxmlformats.org/officeDocument/2006/relationships" ref="G201" r:id="rId767"/>
    <hyperlink xmlns:r="http://schemas.openxmlformats.org/officeDocument/2006/relationships" ref="H201" r:id="rId768"/>
    <hyperlink xmlns:r="http://schemas.openxmlformats.org/officeDocument/2006/relationships" ref="I201" r:id="rId769"/>
    <hyperlink xmlns:r="http://schemas.openxmlformats.org/officeDocument/2006/relationships" ref="J201" r:id="rId770"/>
    <hyperlink xmlns:r="http://schemas.openxmlformats.org/officeDocument/2006/relationships" ref="G202" r:id="rId771"/>
    <hyperlink xmlns:r="http://schemas.openxmlformats.org/officeDocument/2006/relationships" ref="H202" r:id="rId772"/>
    <hyperlink xmlns:r="http://schemas.openxmlformats.org/officeDocument/2006/relationships" ref="I202" r:id="rId773"/>
    <hyperlink xmlns:r="http://schemas.openxmlformats.org/officeDocument/2006/relationships" ref="J202" r:id="rId774"/>
    <hyperlink xmlns:r="http://schemas.openxmlformats.org/officeDocument/2006/relationships" ref="G203" r:id="rId775"/>
    <hyperlink xmlns:r="http://schemas.openxmlformats.org/officeDocument/2006/relationships" ref="H203" r:id="rId776"/>
    <hyperlink xmlns:r="http://schemas.openxmlformats.org/officeDocument/2006/relationships" ref="I203" r:id="rId777"/>
    <hyperlink xmlns:r="http://schemas.openxmlformats.org/officeDocument/2006/relationships" ref="J203" r:id="rId778"/>
    <hyperlink xmlns:r="http://schemas.openxmlformats.org/officeDocument/2006/relationships" ref="G204" r:id="rId779"/>
    <hyperlink xmlns:r="http://schemas.openxmlformats.org/officeDocument/2006/relationships" ref="H204" r:id="rId780"/>
    <hyperlink xmlns:r="http://schemas.openxmlformats.org/officeDocument/2006/relationships" ref="I204" r:id="rId781"/>
    <hyperlink xmlns:r="http://schemas.openxmlformats.org/officeDocument/2006/relationships" ref="J204" r:id="rId782"/>
    <hyperlink xmlns:r="http://schemas.openxmlformats.org/officeDocument/2006/relationships" ref="G205" r:id="rId783"/>
    <hyperlink xmlns:r="http://schemas.openxmlformats.org/officeDocument/2006/relationships" ref="H205" r:id="rId784"/>
    <hyperlink xmlns:r="http://schemas.openxmlformats.org/officeDocument/2006/relationships" ref="I205" r:id="rId785"/>
    <hyperlink xmlns:r="http://schemas.openxmlformats.org/officeDocument/2006/relationships" ref="J205" r:id="rId786"/>
    <hyperlink xmlns:r="http://schemas.openxmlformats.org/officeDocument/2006/relationships" ref="G206" r:id="rId787"/>
    <hyperlink xmlns:r="http://schemas.openxmlformats.org/officeDocument/2006/relationships" ref="H206" r:id="rId788"/>
    <hyperlink xmlns:r="http://schemas.openxmlformats.org/officeDocument/2006/relationships" ref="I206" r:id="rId789"/>
    <hyperlink xmlns:r="http://schemas.openxmlformats.org/officeDocument/2006/relationships" ref="J206" r:id="rId790"/>
    <hyperlink xmlns:r="http://schemas.openxmlformats.org/officeDocument/2006/relationships" ref="G207" r:id="rId791"/>
    <hyperlink xmlns:r="http://schemas.openxmlformats.org/officeDocument/2006/relationships" ref="H207" r:id="rId792"/>
    <hyperlink xmlns:r="http://schemas.openxmlformats.org/officeDocument/2006/relationships" ref="I207" r:id="rId793"/>
    <hyperlink xmlns:r="http://schemas.openxmlformats.org/officeDocument/2006/relationships" ref="J207" r:id="rId794"/>
    <hyperlink xmlns:r="http://schemas.openxmlformats.org/officeDocument/2006/relationships" ref="G208" r:id="rId795"/>
    <hyperlink xmlns:r="http://schemas.openxmlformats.org/officeDocument/2006/relationships" ref="H208" r:id="rId796"/>
    <hyperlink xmlns:r="http://schemas.openxmlformats.org/officeDocument/2006/relationships" ref="I208" r:id="rId797"/>
    <hyperlink xmlns:r="http://schemas.openxmlformats.org/officeDocument/2006/relationships" ref="J208" r:id="rId798"/>
    <hyperlink xmlns:r="http://schemas.openxmlformats.org/officeDocument/2006/relationships" ref="G209" r:id="rId799"/>
    <hyperlink xmlns:r="http://schemas.openxmlformats.org/officeDocument/2006/relationships" ref="H209" r:id="rId800"/>
    <hyperlink xmlns:r="http://schemas.openxmlformats.org/officeDocument/2006/relationships" ref="I209" r:id="rId801"/>
    <hyperlink xmlns:r="http://schemas.openxmlformats.org/officeDocument/2006/relationships" ref="J209" r:id="rId802"/>
    <hyperlink xmlns:r="http://schemas.openxmlformats.org/officeDocument/2006/relationships" ref="G210" r:id="rId803"/>
    <hyperlink xmlns:r="http://schemas.openxmlformats.org/officeDocument/2006/relationships" ref="H210" r:id="rId804"/>
    <hyperlink xmlns:r="http://schemas.openxmlformats.org/officeDocument/2006/relationships" ref="I210" r:id="rId805"/>
    <hyperlink xmlns:r="http://schemas.openxmlformats.org/officeDocument/2006/relationships" ref="J210" r:id="rId806"/>
    <hyperlink xmlns:r="http://schemas.openxmlformats.org/officeDocument/2006/relationships" ref="G211" r:id="rId807"/>
    <hyperlink xmlns:r="http://schemas.openxmlformats.org/officeDocument/2006/relationships" ref="H211" r:id="rId808"/>
    <hyperlink xmlns:r="http://schemas.openxmlformats.org/officeDocument/2006/relationships" ref="I211" r:id="rId809"/>
    <hyperlink xmlns:r="http://schemas.openxmlformats.org/officeDocument/2006/relationships" ref="J211" r:id="rId810"/>
    <hyperlink xmlns:r="http://schemas.openxmlformats.org/officeDocument/2006/relationships" ref="G212" r:id="rId811"/>
    <hyperlink xmlns:r="http://schemas.openxmlformats.org/officeDocument/2006/relationships" ref="H212" r:id="rId812"/>
    <hyperlink xmlns:r="http://schemas.openxmlformats.org/officeDocument/2006/relationships" ref="I212" r:id="rId813"/>
    <hyperlink xmlns:r="http://schemas.openxmlformats.org/officeDocument/2006/relationships" ref="J212" r:id="rId814"/>
    <hyperlink xmlns:r="http://schemas.openxmlformats.org/officeDocument/2006/relationships" ref="G213" r:id="rId815"/>
    <hyperlink xmlns:r="http://schemas.openxmlformats.org/officeDocument/2006/relationships" ref="H213" r:id="rId816"/>
    <hyperlink xmlns:r="http://schemas.openxmlformats.org/officeDocument/2006/relationships" ref="I213" r:id="rId817"/>
    <hyperlink xmlns:r="http://schemas.openxmlformats.org/officeDocument/2006/relationships" ref="J213" r:id="rId818"/>
    <hyperlink xmlns:r="http://schemas.openxmlformats.org/officeDocument/2006/relationships" ref="G214" r:id="rId819"/>
    <hyperlink xmlns:r="http://schemas.openxmlformats.org/officeDocument/2006/relationships" ref="H214" r:id="rId820"/>
    <hyperlink xmlns:r="http://schemas.openxmlformats.org/officeDocument/2006/relationships" ref="I214" r:id="rId821"/>
    <hyperlink xmlns:r="http://schemas.openxmlformats.org/officeDocument/2006/relationships" ref="J214" r:id="rId822"/>
    <hyperlink xmlns:r="http://schemas.openxmlformats.org/officeDocument/2006/relationships" ref="G215" r:id="rId823"/>
    <hyperlink xmlns:r="http://schemas.openxmlformats.org/officeDocument/2006/relationships" ref="H215" r:id="rId824"/>
    <hyperlink xmlns:r="http://schemas.openxmlformats.org/officeDocument/2006/relationships" ref="I215" r:id="rId825"/>
    <hyperlink xmlns:r="http://schemas.openxmlformats.org/officeDocument/2006/relationships" ref="J215" r:id="rId826"/>
    <hyperlink xmlns:r="http://schemas.openxmlformats.org/officeDocument/2006/relationships" ref="G216" r:id="rId827"/>
    <hyperlink xmlns:r="http://schemas.openxmlformats.org/officeDocument/2006/relationships" ref="H216" r:id="rId828"/>
    <hyperlink xmlns:r="http://schemas.openxmlformats.org/officeDocument/2006/relationships" ref="I216" r:id="rId829"/>
    <hyperlink xmlns:r="http://schemas.openxmlformats.org/officeDocument/2006/relationships" ref="J216" r:id="rId830"/>
    <hyperlink xmlns:r="http://schemas.openxmlformats.org/officeDocument/2006/relationships" ref="G217" r:id="rId831"/>
    <hyperlink xmlns:r="http://schemas.openxmlformats.org/officeDocument/2006/relationships" ref="H217" r:id="rId832"/>
    <hyperlink xmlns:r="http://schemas.openxmlformats.org/officeDocument/2006/relationships" ref="I217" r:id="rId833"/>
    <hyperlink xmlns:r="http://schemas.openxmlformats.org/officeDocument/2006/relationships" ref="J217" r:id="rId834"/>
    <hyperlink xmlns:r="http://schemas.openxmlformats.org/officeDocument/2006/relationships" ref="G218" r:id="rId835"/>
    <hyperlink xmlns:r="http://schemas.openxmlformats.org/officeDocument/2006/relationships" ref="H218" r:id="rId836"/>
    <hyperlink xmlns:r="http://schemas.openxmlformats.org/officeDocument/2006/relationships" ref="I218" r:id="rId837"/>
    <hyperlink xmlns:r="http://schemas.openxmlformats.org/officeDocument/2006/relationships" ref="J218" r:id="rId838"/>
    <hyperlink xmlns:r="http://schemas.openxmlformats.org/officeDocument/2006/relationships" ref="G219" r:id="rId839"/>
    <hyperlink xmlns:r="http://schemas.openxmlformats.org/officeDocument/2006/relationships" ref="H219" r:id="rId840"/>
    <hyperlink xmlns:r="http://schemas.openxmlformats.org/officeDocument/2006/relationships" ref="I219" r:id="rId841"/>
    <hyperlink xmlns:r="http://schemas.openxmlformats.org/officeDocument/2006/relationships" ref="J219" r:id="rId842"/>
    <hyperlink xmlns:r="http://schemas.openxmlformats.org/officeDocument/2006/relationships" ref="G220" r:id="rId843"/>
    <hyperlink xmlns:r="http://schemas.openxmlformats.org/officeDocument/2006/relationships" ref="H220" r:id="rId844"/>
    <hyperlink xmlns:r="http://schemas.openxmlformats.org/officeDocument/2006/relationships" ref="I220" r:id="rId845"/>
    <hyperlink xmlns:r="http://schemas.openxmlformats.org/officeDocument/2006/relationships" ref="J220" r:id="rId846"/>
    <hyperlink xmlns:r="http://schemas.openxmlformats.org/officeDocument/2006/relationships" ref="G221" r:id="rId847"/>
    <hyperlink xmlns:r="http://schemas.openxmlformats.org/officeDocument/2006/relationships" ref="H221" r:id="rId848"/>
    <hyperlink xmlns:r="http://schemas.openxmlformats.org/officeDocument/2006/relationships" ref="I221" r:id="rId849"/>
    <hyperlink xmlns:r="http://schemas.openxmlformats.org/officeDocument/2006/relationships" ref="J221" r:id="rId850"/>
    <hyperlink xmlns:r="http://schemas.openxmlformats.org/officeDocument/2006/relationships" ref="G222" r:id="rId851"/>
    <hyperlink xmlns:r="http://schemas.openxmlformats.org/officeDocument/2006/relationships" ref="H222" r:id="rId852"/>
    <hyperlink xmlns:r="http://schemas.openxmlformats.org/officeDocument/2006/relationships" ref="I222" r:id="rId853"/>
    <hyperlink xmlns:r="http://schemas.openxmlformats.org/officeDocument/2006/relationships" ref="J222" r:id="rId854"/>
    <hyperlink xmlns:r="http://schemas.openxmlformats.org/officeDocument/2006/relationships" ref="G223" r:id="rId855"/>
    <hyperlink xmlns:r="http://schemas.openxmlformats.org/officeDocument/2006/relationships" ref="H223" r:id="rId856"/>
    <hyperlink xmlns:r="http://schemas.openxmlformats.org/officeDocument/2006/relationships" ref="I223" r:id="rId857"/>
    <hyperlink xmlns:r="http://schemas.openxmlformats.org/officeDocument/2006/relationships" ref="J223" r:id="rId858"/>
    <hyperlink xmlns:r="http://schemas.openxmlformats.org/officeDocument/2006/relationships" ref="G224" r:id="rId859"/>
    <hyperlink xmlns:r="http://schemas.openxmlformats.org/officeDocument/2006/relationships" ref="H224" r:id="rId860"/>
    <hyperlink xmlns:r="http://schemas.openxmlformats.org/officeDocument/2006/relationships" ref="I224" r:id="rId861"/>
    <hyperlink xmlns:r="http://schemas.openxmlformats.org/officeDocument/2006/relationships" ref="J224" r:id="rId862"/>
    <hyperlink xmlns:r="http://schemas.openxmlformats.org/officeDocument/2006/relationships" ref="G225" r:id="rId863"/>
    <hyperlink xmlns:r="http://schemas.openxmlformats.org/officeDocument/2006/relationships" ref="H225" r:id="rId864"/>
    <hyperlink xmlns:r="http://schemas.openxmlformats.org/officeDocument/2006/relationships" ref="I225" r:id="rId865"/>
    <hyperlink xmlns:r="http://schemas.openxmlformats.org/officeDocument/2006/relationships" ref="J225" r:id="rId866"/>
    <hyperlink xmlns:r="http://schemas.openxmlformats.org/officeDocument/2006/relationships" ref="G226" r:id="rId867"/>
    <hyperlink xmlns:r="http://schemas.openxmlformats.org/officeDocument/2006/relationships" ref="H226" r:id="rId868"/>
    <hyperlink xmlns:r="http://schemas.openxmlformats.org/officeDocument/2006/relationships" ref="I226" r:id="rId869"/>
    <hyperlink xmlns:r="http://schemas.openxmlformats.org/officeDocument/2006/relationships" ref="J226" r:id="rId870"/>
    <hyperlink xmlns:r="http://schemas.openxmlformats.org/officeDocument/2006/relationships" ref="G227" r:id="rId871"/>
    <hyperlink xmlns:r="http://schemas.openxmlformats.org/officeDocument/2006/relationships" ref="H227" r:id="rId872"/>
    <hyperlink xmlns:r="http://schemas.openxmlformats.org/officeDocument/2006/relationships" ref="I227" r:id="rId873"/>
    <hyperlink xmlns:r="http://schemas.openxmlformats.org/officeDocument/2006/relationships" ref="J227" r:id="rId874"/>
    <hyperlink xmlns:r="http://schemas.openxmlformats.org/officeDocument/2006/relationships" ref="G228" r:id="rId875"/>
    <hyperlink xmlns:r="http://schemas.openxmlformats.org/officeDocument/2006/relationships" ref="H228" r:id="rId876"/>
    <hyperlink xmlns:r="http://schemas.openxmlformats.org/officeDocument/2006/relationships" ref="I228" r:id="rId877"/>
    <hyperlink xmlns:r="http://schemas.openxmlformats.org/officeDocument/2006/relationships" ref="J228" r:id="rId878"/>
    <hyperlink xmlns:r="http://schemas.openxmlformats.org/officeDocument/2006/relationships" ref="G229" r:id="rId879"/>
    <hyperlink xmlns:r="http://schemas.openxmlformats.org/officeDocument/2006/relationships" ref="H229" r:id="rId880"/>
    <hyperlink xmlns:r="http://schemas.openxmlformats.org/officeDocument/2006/relationships" ref="I229" r:id="rId881"/>
    <hyperlink xmlns:r="http://schemas.openxmlformats.org/officeDocument/2006/relationships" ref="J229" r:id="rId882"/>
    <hyperlink xmlns:r="http://schemas.openxmlformats.org/officeDocument/2006/relationships" ref="G230" r:id="rId883"/>
    <hyperlink xmlns:r="http://schemas.openxmlformats.org/officeDocument/2006/relationships" ref="H230" r:id="rId884"/>
    <hyperlink xmlns:r="http://schemas.openxmlformats.org/officeDocument/2006/relationships" ref="I230" r:id="rId885"/>
    <hyperlink xmlns:r="http://schemas.openxmlformats.org/officeDocument/2006/relationships" ref="G231" r:id="rId886"/>
    <hyperlink xmlns:r="http://schemas.openxmlformats.org/officeDocument/2006/relationships" ref="H231" r:id="rId887"/>
    <hyperlink xmlns:r="http://schemas.openxmlformats.org/officeDocument/2006/relationships" ref="I231" r:id="rId888"/>
    <hyperlink xmlns:r="http://schemas.openxmlformats.org/officeDocument/2006/relationships" ref="G232" r:id="rId889"/>
    <hyperlink xmlns:r="http://schemas.openxmlformats.org/officeDocument/2006/relationships" ref="H232" r:id="rId890"/>
    <hyperlink xmlns:r="http://schemas.openxmlformats.org/officeDocument/2006/relationships" ref="I232" r:id="rId891"/>
    <hyperlink xmlns:r="http://schemas.openxmlformats.org/officeDocument/2006/relationships" ref="G233" r:id="rId892"/>
    <hyperlink xmlns:r="http://schemas.openxmlformats.org/officeDocument/2006/relationships" ref="H233" r:id="rId893"/>
    <hyperlink xmlns:r="http://schemas.openxmlformats.org/officeDocument/2006/relationships" ref="I233" r:id="rId894"/>
    <hyperlink xmlns:r="http://schemas.openxmlformats.org/officeDocument/2006/relationships" ref="J233" r:id="rId895"/>
    <hyperlink xmlns:r="http://schemas.openxmlformats.org/officeDocument/2006/relationships" ref="G234" r:id="rId896"/>
    <hyperlink xmlns:r="http://schemas.openxmlformats.org/officeDocument/2006/relationships" ref="H234" r:id="rId897"/>
    <hyperlink xmlns:r="http://schemas.openxmlformats.org/officeDocument/2006/relationships" ref="I234" r:id="rId898"/>
    <hyperlink xmlns:r="http://schemas.openxmlformats.org/officeDocument/2006/relationships" ref="G235" r:id="rId899"/>
    <hyperlink xmlns:r="http://schemas.openxmlformats.org/officeDocument/2006/relationships" ref="H235" r:id="rId900"/>
    <hyperlink xmlns:r="http://schemas.openxmlformats.org/officeDocument/2006/relationships" ref="I235" r:id="rId901"/>
    <hyperlink xmlns:r="http://schemas.openxmlformats.org/officeDocument/2006/relationships" ref="G236" r:id="rId902"/>
    <hyperlink xmlns:r="http://schemas.openxmlformats.org/officeDocument/2006/relationships" ref="H236" r:id="rId903"/>
    <hyperlink xmlns:r="http://schemas.openxmlformats.org/officeDocument/2006/relationships" ref="I236" r:id="rId904"/>
    <hyperlink xmlns:r="http://schemas.openxmlformats.org/officeDocument/2006/relationships" ref="J236" r:id="rId905"/>
    <hyperlink xmlns:r="http://schemas.openxmlformats.org/officeDocument/2006/relationships" ref="G237" r:id="rId906"/>
    <hyperlink xmlns:r="http://schemas.openxmlformats.org/officeDocument/2006/relationships" ref="H237" r:id="rId907"/>
    <hyperlink xmlns:r="http://schemas.openxmlformats.org/officeDocument/2006/relationships" ref="I237" r:id="rId908"/>
    <hyperlink xmlns:r="http://schemas.openxmlformats.org/officeDocument/2006/relationships" ref="J237" r:id="rId909"/>
    <hyperlink xmlns:r="http://schemas.openxmlformats.org/officeDocument/2006/relationships" ref="G238" r:id="rId910"/>
    <hyperlink xmlns:r="http://schemas.openxmlformats.org/officeDocument/2006/relationships" ref="H238" r:id="rId911"/>
    <hyperlink xmlns:r="http://schemas.openxmlformats.org/officeDocument/2006/relationships" ref="I238" r:id="rId912"/>
    <hyperlink xmlns:r="http://schemas.openxmlformats.org/officeDocument/2006/relationships" ref="G239" r:id="rId913"/>
    <hyperlink xmlns:r="http://schemas.openxmlformats.org/officeDocument/2006/relationships" ref="H239" r:id="rId914"/>
    <hyperlink xmlns:r="http://schemas.openxmlformats.org/officeDocument/2006/relationships" ref="I239" r:id="rId915"/>
    <hyperlink xmlns:r="http://schemas.openxmlformats.org/officeDocument/2006/relationships" ref="G240" r:id="rId916"/>
    <hyperlink xmlns:r="http://schemas.openxmlformats.org/officeDocument/2006/relationships" ref="H240" r:id="rId917"/>
    <hyperlink xmlns:r="http://schemas.openxmlformats.org/officeDocument/2006/relationships" ref="I240" r:id="rId918"/>
    <hyperlink xmlns:r="http://schemas.openxmlformats.org/officeDocument/2006/relationships" ref="J240" r:id="rId919"/>
    <hyperlink xmlns:r="http://schemas.openxmlformats.org/officeDocument/2006/relationships" ref="G241" r:id="rId920"/>
    <hyperlink xmlns:r="http://schemas.openxmlformats.org/officeDocument/2006/relationships" ref="H241" r:id="rId921"/>
    <hyperlink xmlns:r="http://schemas.openxmlformats.org/officeDocument/2006/relationships" ref="I241" r:id="rId922"/>
    <hyperlink xmlns:r="http://schemas.openxmlformats.org/officeDocument/2006/relationships" ref="J241" r:id="rId923"/>
    <hyperlink xmlns:r="http://schemas.openxmlformats.org/officeDocument/2006/relationships" ref="G242" r:id="rId924"/>
    <hyperlink xmlns:r="http://schemas.openxmlformats.org/officeDocument/2006/relationships" ref="H242" r:id="rId925"/>
    <hyperlink xmlns:r="http://schemas.openxmlformats.org/officeDocument/2006/relationships" ref="I242" r:id="rId926"/>
    <hyperlink xmlns:r="http://schemas.openxmlformats.org/officeDocument/2006/relationships" ref="G243" r:id="rId927"/>
    <hyperlink xmlns:r="http://schemas.openxmlformats.org/officeDocument/2006/relationships" ref="H243" r:id="rId928"/>
    <hyperlink xmlns:r="http://schemas.openxmlformats.org/officeDocument/2006/relationships" ref="I243" r:id="rId929"/>
    <hyperlink xmlns:r="http://schemas.openxmlformats.org/officeDocument/2006/relationships" ref="J243" r:id="rId930"/>
    <hyperlink xmlns:r="http://schemas.openxmlformats.org/officeDocument/2006/relationships" ref="G244" r:id="rId931"/>
    <hyperlink xmlns:r="http://schemas.openxmlformats.org/officeDocument/2006/relationships" ref="H244" r:id="rId932"/>
    <hyperlink xmlns:r="http://schemas.openxmlformats.org/officeDocument/2006/relationships" ref="I244" r:id="rId933"/>
    <hyperlink xmlns:r="http://schemas.openxmlformats.org/officeDocument/2006/relationships" ref="J244" r:id="rId934"/>
    <hyperlink xmlns:r="http://schemas.openxmlformats.org/officeDocument/2006/relationships" ref="G245" r:id="rId935"/>
    <hyperlink xmlns:r="http://schemas.openxmlformats.org/officeDocument/2006/relationships" ref="H245" r:id="rId936"/>
    <hyperlink xmlns:r="http://schemas.openxmlformats.org/officeDocument/2006/relationships" ref="I245" r:id="rId937"/>
    <hyperlink xmlns:r="http://schemas.openxmlformats.org/officeDocument/2006/relationships" ref="J245" r:id="rId938"/>
    <hyperlink xmlns:r="http://schemas.openxmlformats.org/officeDocument/2006/relationships" ref="G246" r:id="rId939"/>
    <hyperlink xmlns:r="http://schemas.openxmlformats.org/officeDocument/2006/relationships" ref="H246" r:id="rId940"/>
    <hyperlink xmlns:r="http://schemas.openxmlformats.org/officeDocument/2006/relationships" ref="I246" r:id="rId941"/>
    <hyperlink xmlns:r="http://schemas.openxmlformats.org/officeDocument/2006/relationships" ref="G247" r:id="rId942"/>
    <hyperlink xmlns:r="http://schemas.openxmlformats.org/officeDocument/2006/relationships" ref="H247" r:id="rId943"/>
    <hyperlink xmlns:r="http://schemas.openxmlformats.org/officeDocument/2006/relationships" ref="I247" r:id="rId944"/>
    <hyperlink xmlns:r="http://schemas.openxmlformats.org/officeDocument/2006/relationships" ref="J247" r:id="rId945"/>
    <hyperlink xmlns:r="http://schemas.openxmlformats.org/officeDocument/2006/relationships" ref="G248" r:id="rId946"/>
    <hyperlink xmlns:r="http://schemas.openxmlformats.org/officeDocument/2006/relationships" ref="H248" r:id="rId947"/>
    <hyperlink xmlns:r="http://schemas.openxmlformats.org/officeDocument/2006/relationships" ref="I248" r:id="rId948"/>
    <hyperlink xmlns:r="http://schemas.openxmlformats.org/officeDocument/2006/relationships" ref="J248" r:id="rId949"/>
    <hyperlink xmlns:r="http://schemas.openxmlformats.org/officeDocument/2006/relationships" ref="G249" r:id="rId950"/>
    <hyperlink xmlns:r="http://schemas.openxmlformats.org/officeDocument/2006/relationships" ref="H249" r:id="rId951"/>
    <hyperlink xmlns:r="http://schemas.openxmlformats.org/officeDocument/2006/relationships" ref="I249" r:id="rId952"/>
    <hyperlink xmlns:r="http://schemas.openxmlformats.org/officeDocument/2006/relationships" ref="G250" r:id="rId953"/>
    <hyperlink xmlns:r="http://schemas.openxmlformats.org/officeDocument/2006/relationships" ref="H250" r:id="rId954"/>
    <hyperlink xmlns:r="http://schemas.openxmlformats.org/officeDocument/2006/relationships" ref="I250" r:id="rId955"/>
    <hyperlink xmlns:r="http://schemas.openxmlformats.org/officeDocument/2006/relationships" ref="G251" r:id="rId956"/>
    <hyperlink xmlns:r="http://schemas.openxmlformats.org/officeDocument/2006/relationships" ref="H251" r:id="rId957"/>
    <hyperlink xmlns:r="http://schemas.openxmlformats.org/officeDocument/2006/relationships" ref="I251" r:id="rId958"/>
    <hyperlink xmlns:r="http://schemas.openxmlformats.org/officeDocument/2006/relationships" ref="J251" r:id="rId959"/>
    <hyperlink xmlns:r="http://schemas.openxmlformats.org/officeDocument/2006/relationships" ref="G252" r:id="rId960"/>
    <hyperlink xmlns:r="http://schemas.openxmlformats.org/officeDocument/2006/relationships" ref="H252" r:id="rId961"/>
    <hyperlink xmlns:r="http://schemas.openxmlformats.org/officeDocument/2006/relationships" ref="I252" r:id="rId962"/>
    <hyperlink xmlns:r="http://schemas.openxmlformats.org/officeDocument/2006/relationships" ref="J252" r:id="rId963"/>
    <hyperlink xmlns:r="http://schemas.openxmlformats.org/officeDocument/2006/relationships" ref="G253" r:id="rId964"/>
    <hyperlink xmlns:r="http://schemas.openxmlformats.org/officeDocument/2006/relationships" ref="H253" r:id="rId965"/>
    <hyperlink xmlns:r="http://schemas.openxmlformats.org/officeDocument/2006/relationships" ref="I253" r:id="rId966"/>
    <hyperlink xmlns:r="http://schemas.openxmlformats.org/officeDocument/2006/relationships" ref="J253" r:id="rId967"/>
    <hyperlink xmlns:r="http://schemas.openxmlformats.org/officeDocument/2006/relationships" ref="G254" r:id="rId968"/>
    <hyperlink xmlns:r="http://schemas.openxmlformats.org/officeDocument/2006/relationships" ref="H254" r:id="rId969"/>
    <hyperlink xmlns:r="http://schemas.openxmlformats.org/officeDocument/2006/relationships" ref="I254" r:id="rId970"/>
    <hyperlink xmlns:r="http://schemas.openxmlformats.org/officeDocument/2006/relationships" ref="J254" r:id="rId971"/>
    <hyperlink xmlns:r="http://schemas.openxmlformats.org/officeDocument/2006/relationships" ref="G255" r:id="rId972"/>
    <hyperlink xmlns:r="http://schemas.openxmlformats.org/officeDocument/2006/relationships" ref="H255" r:id="rId973"/>
    <hyperlink xmlns:r="http://schemas.openxmlformats.org/officeDocument/2006/relationships" ref="I255" r:id="rId974"/>
    <hyperlink xmlns:r="http://schemas.openxmlformats.org/officeDocument/2006/relationships" ref="J255" r:id="rId975"/>
    <hyperlink xmlns:r="http://schemas.openxmlformats.org/officeDocument/2006/relationships" ref="G256" r:id="rId976"/>
    <hyperlink xmlns:r="http://schemas.openxmlformats.org/officeDocument/2006/relationships" ref="H256" r:id="rId977"/>
    <hyperlink xmlns:r="http://schemas.openxmlformats.org/officeDocument/2006/relationships" ref="I256" r:id="rId978"/>
    <hyperlink xmlns:r="http://schemas.openxmlformats.org/officeDocument/2006/relationships" ref="G257" r:id="rId979"/>
    <hyperlink xmlns:r="http://schemas.openxmlformats.org/officeDocument/2006/relationships" ref="H257" r:id="rId980"/>
    <hyperlink xmlns:r="http://schemas.openxmlformats.org/officeDocument/2006/relationships" ref="I257" r:id="rId981"/>
    <hyperlink xmlns:r="http://schemas.openxmlformats.org/officeDocument/2006/relationships" ref="J257" r:id="rId982"/>
    <hyperlink xmlns:r="http://schemas.openxmlformats.org/officeDocument/2006/relationships" ref="G258" r:id="rId983"/>
    <hyperlink xmlns:r="http://schemas.openxmlformats.org/officeDocument/2006/relationships" ref="H258" r:id="rId984"/>
    <hyperlink xmlns:r="http://schemas.openxmlformats.org/officeDocument/2006/relationships" ref="I258" r:id="rId985"/>
    <hyperlink xmlns:r="http://schemas.openxmlformats.org/officeDocument/2006/relationships" ref="J258" r:id="rId986"/>
    <hyperlink xmlns:r="http://schemas.openxmlformats.org/officeDocument/2006/relationships" ref="G259" r:id="rId987"/>
    <hyperlink xmlns:r="http://schemas.openxmlformats.org/officeDocument/2006/relationships" ref="H259" r:id="rId988"/>
    <hyperlink xmlns:r="http://schemas.openxmlformats.org/officeDocument/2006/relationships" ref="I259" r:id="rId989"/>
    <hyperlink xmlns:r="http://schemas.openxmlformats.org/officeDocument/2006/relationships" ref="J259" r:id="rId990"/>
    <hyperlink xmlns:r="http://schemas.openxmlformats.org/officeDocument/2006/relationships" ref="G260" r:id="rId991"/>
    <hyperlink xmlns:r="http://schemas.openxmlformats.org/officeDocument/2006/relationships" ref="H260" r:id="rId992"/>
    <hyperlink xmlns:r="http://schemas.openxmlformats.org/officeDocument/2006/relationships" ref="I260" r:id="rId993"/>
    <hyperlink xmlns:r="http://schemas.openxmlformats.org/officeDocument/2006/relationships" ref="J260" r:id="rId994"/>
    <hyperlink xmlns:r="http://schemas.openxmlformats.org/officeDocument/2006/relationships" ref="G261" r:id="rId995"/>
    <hyperlink xmlns:r="http://schemas.openxmlformats.org/officeDocument/2006/relationships" ref="H261" r:id="rId996"/>
    <hyperlink xmlns:r="http://schemas.openxmlformats.org/officeDocument/2006/relationships" ref="I261" r:id="rId997"/>
    <hyperlink xmlns:r="http://schemas.openxmlformats.org/officeDocument/2006/relationships" ref="J261" r:id="rId998"/>
    <hyperlink xmlns:r="http://schemas.openxmlformats.org/officeDocument/2006/relationships" ref="G262" r:id="rId999"/>
    <hyperlink xmlns:r="http://schemas.openxmlformats.org/officeDocument/2006/relationships" ref="H262" r:id="rId1000"/>
    <hyperlink xmlns:r="http://schemas.openxmlformats.org/officeDocument/2006/relationships" ref="I262" r:id="rId1001"/>
    <hyperlink xmlns:r="http://schemas.openxmlformats.org/officeDocument/2006/relationships" ref="J262" r:id="rId1002"/>
    <hyperlink xmlns:r="http://schemas.openxmlformats.org/officeDocument/2006/relationships" ref="G263" r:id="rId1003"/>
    <hyperlink xmlns:r="http://schemas.openxmlformats.org/officeDocument/2006/relationships" ref="H263" r:id="rId1004"/>
    <hyperlink xmlns:r="http://schemas.openxmlformats.org/officeDocument/2006/relationships" ref="I263" r:id="rId1005"/>
    <hyperlink xmlns:r="http://schemas.openxmlformats.org/officeDocument/2006/relationships" ref="J263" r:id="rId1006"/>
    <hyperlink xmlns:r="http://schemas.openxmlformats.org/officeDocument/2006/relationships" ref="G264" r:id="rId1007"/>
    <hyperlink xmlns:r="http://schemas.openxmlformats.org/officeDocument/2006/relationships" ref="H264" r:id="rId1008"/>
    <hyperlink xmlns:r="http://schemas.openxmlformats.org/officeDocument/2006/relationships" ref="I264" r:id="rId1009"/>
    <hyperlink xmlns:r="http://schemas.openxmlformats.org/officeDocument/2006/relationships" ref="J264" r:id="rId1010"/>
    <hyperlink xmlns:r="http://schemas.openxmlformats.org/officeDocument/2006/relationships" ref="G265" r:id="rId1011"/>
    <hyperlink xmlns:r="http://schemas.openxmlformats.org/officeDocument/2006/relationships" ref="H265" r:id="rId1012"/>
    <hyperlink xmlns:r="http://schemas.openxmlformats.org/officeDocument/2006/relationships" ref="I265" r:id="rId1013"/>
    <hyperlink xmlns:r="http://schemas.openxmlformats.org/officeDocument/2006/relationships" ref="J265" r:id="rId1014"/>
    <hyperlink xmlns:r="http://schemas.openxmlformats.org/officeDocument/2006/relationships" ref="G266" r:id="rId1015"/>
    <hyperlink xmlns:r="http://schemas.openxmlformats.org/officeDocument/2006/relationships" ref="H266" r:id="rId1016"/>
    <hyperlink xmlns:r="http://schemas.openxmlformats.org/officeDocument/2006/relationships" ref="I266" r:id="rId1017"/>
    <hyperlink xmlns:r="http://schemas.openxmlformats.org/officeDocument/2006/relationships" ref="J266" r:id="rId1018"/>
    <hyperlink xmlns:r="http://schemas.openxmlformats.org/officeDocument/2006/relationships" ref="G267" r:id="rId1019"/>
    <hyperlink xmlns:r="http://schemas.openxmlformats.org/officeDocument/2006/relationships" ref="H267" r:id="rId1020"/>
    <hyperlink xmlns:r="http://schemas.openxmlformats.org/officeDocument/2006/relationships" ref="I267" r:id="rId1021"/>
    <hyperlink xmlns:r="http://schemas.openxmlformats.org/officeDocument/2006/relationships" ref="J267" r:id="rId1022"/>
    <hyperlink xmlns:r="http://schemas.openxmlformats.org/officeDocument/2006/relationships" ref="G268" r:id="rId1023"/>
    <hyperlink xmlns:r="http://schemas.openxmlformats.org/officeDocument/2006/relationships" ref="H268" r:id="rId1024"/>
    <hyperlink xmlns:r="http://schemas.openxmlformats.org/officeDocument/2006/relationships" ref="I268" r:id="rId1025"/>
    <hyperlink xmlns:r="http://schemas.openxmlformats.org/officeDocument/2006/relationships" ref="G269" r:id="rId1026"/>
    <hyperlink xmlns:r="http://schemas.openxmlformats.org/officeDocument/2006/relationships" ref="H269" r:id="rId1027"/>
    <hyperlink xmlns:r="http://schemas.openxmlformats.org/officeDocument/2006/relationships" ref="I269" r:id="rId1028"/>
    <hyperlink xmlns:r="http://schemas.openxmlformats.org/officeDocument/2006/relationships" ref="G270" r:id="rId1029"/>
    <hyperlink xmlns:r="http://schemas.openxmlformats.org/officeDocument/2006/relationships" ref="H270" r:id="rId1030"/>
    <hyperlink xmlns:r="http://schemas.openxmlformats.org/officeDocument/2006/relationships" ref="I270" r:id="rId1031"/>
    <hyperlink xmlns:r="http://schemas.openxmlformats.org/officeDocument/2006/relationships" ref="J270" r:id="rId1032"/>
    <hyperlink xmlns:r="http://schemas.openxmlformats.org/officeDocument/2006/relationships" ref="G271" r:id="rId1033"/>
    <hyperlink xmlns:r="http://schemas.openxmlformats.org/officeDocument/2006/relationships" ref="H271" r:id="rId1034"/>
    <hyperlink xmlns:r="http://schemas.openxmlformats.org/officeDocument/2006/relationships" ref="I271" r:id="rId1035"/>
    <hyperlink xmlns:r="http://schemas.openxmlformats.org/officeDocument/2006/relationships" ref="J271" r:id="rId1036"/>
    <hyperlink xmlns:r="http://schemas.openxmlformats.org/officeDocument/2006/relationships" ref="G272" r:id="rId1037"/>
    <hyperlink xmlns:r="http://schemas.openxmlformats.org/officeDocument/2006/relationships" ref="H272" r:id="rId1038"/>
    <hyperlink xmlns:r="http://schemas.openxmlformats.org/officeDocument/2006/relationships" ref="I272" r:id="rId1039"/>
    <hyperlink xmlns:r="http://schemas.openxmlformats.org/officeDocument/2006/relationships" ref="J272" r:id="rId1040"/>
    <hyperlink xmlns:r="http://schemas.openxmlformats.org/officeDocument/2006/relationships" ref="G273" r:id="rId1041"/>
    <hyperlink xmlns:r="http://schemas.openxmlformats.org/officeDocument/2006/relationships" ref="H273" r:id="rId1042"/>
    <hyperlink xmlns:r="http://schemas.openxmlformats.org/officeDocument/2006/relationships" ref="I273" r:id="rId1043"/>
    <hyperlink xmlns:r="http://schemas.openxmlformats.org/officeDocument/2006/relationships" ref="J273" r:id="rId1044"/>
    <hyperlink xmlns:r="http://schemas.openxmlformats.org/officeDocument/2006/relationships" ref="G274" r:id="rId1045"/>
    <hyperlink xmlns:r="http://schemas.openxmlformats.org/officeDocument/2006/relationships" ref="H274" r:id="rId1046"/>
    <hyperlink xmlns:r="http://schemas.openxmlformats.org/officeDocument/2006/relationships" ref="I274" r:id="rId1047"/>
    <hyperlink xmlns:r="http://schemas.openxmlformats.org/officeDocument/2006/relationships" ref="J274" r:id="rId1048"/>
    <hyperlink xmlns:r="http://schemas.openxmlformats.org/officeDocument/2006/relationships" ref="G275" r:id="rId1049"/>
    <hyperlink xmlns:r="http://schemas.openxmlformats.org/officeDocument/2006/relationships" ref="H275" r:id="rId1050"/>
    <hyperlink xmlns:r="http://schemas.openxmlformats.org/officeDocument/2006/relationships" ref="I275" r:id="rId1051"/>
    <hyperlink xmlns:r="http://schemas.openxmlformats.org/officeDocument/2006/relationships" ref="G276" r:id="rId1052"/>
    <hyperlink xmlns:r="http://schemas.openxmlformats.org/officeDocument/2006/relationships" ref="H276" r:id="rId1053"/>
    <hyperlink xmlns:r="http://schemas.openxmlformats.org/officeDocument/2006/relationships" ref="I276" r:id="rId1054"/>
    <hyperlink xmlns:r="http://schemas.openxmlformats.org/officeDocument/2006/relationships" ref="G277" r:id="rId1055"/>
    <hyperlink xmlns:r="http://schemas.openxmlformats.org/officeDocument/2006/relationships" ref="H277" r:id="rId1056"/>
    <hyperlink xmlns:r="http://schemas.openxmlformats.org/officeDocument/2006/relationships" ref="I277" r:id="rId1057"/>
    <hyperlink xmlns:r="http://schemas.openxmlformats.org/officeDocument/2006/relationships" ref="G278" r:id="rId1058"/>
    <hyperlink xmlns:r="http://schemas.openxmlformats.org/officeDocument/2006/relationships" ref="H278" r:id="rId1059"/>
    <hyperlink xmlns:r="http://schemas.openxmlformats.org/officeDocument/2006/relationships" ref="I278" r:id="rId1060"/>
    <hyperlink xmlns:r="http://schemas.openxmlformats.org/officeDocument/2006/relationships" ref="J278" r:id="rId1061"/>
    <hyperlink xmlns:r="http://schemas.openxmlformats.org/officeDocument/2006/relationships" ref="G279" r:id="rId1062"/>
    <hyperlink xmlns:r="http://schemas.openxmlformats.org/officeDocument/2006/relationships" ref="H279" r:id="rId1063"/>
    <hyperlink xmlns:r="http://schemas.openxmlformats.org/officeDocument/2006/relationships" ref="I279" r:id="rId1064"/>
    <hyperlink xmlns:r="http://schemas.openxmlformats.org/officeDocument/2006/relationships" ref="G280" r:id="rId1065"/>
    <hyperlink xmlns:r="http://schemas.openxmlformats.org/officeDocument/2006/relationships" ref="H280" r:id="rId1066"/>
    <hyperlink xmlns:r="http://schemas.openxmlformats.org/officeDocument/2006/relationships" ref="I280" r:id="rId1067"/>
    <hyperlink xmlns:r="http://schemas.openxmlformats.org/officeDocument/2006/relationships" ref="J280" r:id="rId1068"/>
    <hyperlink xmlns:r="http://schemas.openxmlformats.org/officeDocument/2006/relationships" ref="G281" r:id="rId1069"/>
    <hyperlink xmlns:r="http://schemas.openxmlformats.org/officeDocument/2006/relationships" ref="H281" r:id="rId1070"/>
    <hyperlink xmlns:r="http://schemas.openxmlformats.org/officeDocument/2006/relationships" ref="I281" r:id="rId1071"/>
    <hyperlink xmlns:r="http://schemas.openxmlformats.org/officeDocument/2006/relationships" ref="J281" r:id="rId1072"/>
    <hyperlink xmlns:r="http://schemas.openxmlformats.org/officeDocument/2006/relationships" ref="G282" r:id="rId1073"/>
    <hyperlink xmlns:r="http://schemas.openxmlformats.org/officeDocument/2006/relationships" ref="H282" r:id="rId1074"/>
    <hyperlink xmlns:r="http://schemas.openxmlformats.org/officeDocument/2006/relationships" ref="I282" r:id="rId1075"/>
    <hyperlink xmlns:r="http://schemas.openxmlformats.org/officeDocument/2006/relationships" ref="J282" r:id="rId1076"/>
    <hyperlink xmlns:r="http://schemas.openxmlformats.org/officeDocument/2006/relationships" ref="G283" r:id="rId1077"/>
    <hyperlink xmlns:r="http://schemas.openxmlformats.org/officeDocument/2006/relationships" ref="H283" r:id="rId1078"/>
    <hyperlink xmlns:r="http://schemas.openxmlformats.org/officeDocument/2006/relationships" ref="I283" r:id="rId1079"/>
    <hyperlink xmlns:r="http://schemas.openxmlformats.org/officeDocument/2006/relationships" ref="J283" r:id="rId1080"/>
    <hyperlink xmlns:r="http://schemas.openxmlformats.org/officeDocument/2006/relationships" ref="G284" r:id="rId1081"/>
    <hyperlink xmlns:r="http://schemas.openxmlformats.org/officeDocument/2006/relationships" ref="H284" r:id="rId1082"/>
    <hyperlink xmlns:r="http://schemas.openxmlformats.org/officeDocument/2006/relationships" ref="I284" r:id="rId1083"/>
    <hyperlink xmlns:r="http://schemas.openxmlformats.org/officeDocument/2006/relationships" ref="J284" r:id="rId1084"/>
    <hyperlink xmlns:r="http://schemas.openxmlformats.org/officeDocument/2006/relationships" ref="G285" r:id="rId1085"/>
    <hyperlink xmlns:r="http://schemas.openxmlformats.org/officeDocument/2006/relationships" ref="H285" r:id="rId1086"/>
    <hyperlink xmlns:r="http://schemas.openxmlformats.org/officeDocument/2006/relationships" ref="I285" r:id="rId1087"/>
    <hyperlink xmlns:r="http://schemas.openxmlformats.org/officeDocument/2006/relationships" ref="J285" r:id="rId1088"/>
    <hyperlink xmlns:r="http://schemas.openxmlformats.org/officeDocument/2006/relationships" ref="G286" r:id="rId1089"/>
    <hyperlink xmlns:r="http://schemas.openxmlformats.org/officeDocument/2006/relationships" ref="H286" r:id="rId1090"/>
    <hyperlink xmlns:r="http://schemas.openxmlformats.org/officeDocument/2006/relationships" ref="I286" r:id="rId1091"/>
    <hyperlink xmlns:r="http://schemas.openxmlformats.org/officeDocument/2006/relationships" ref="J286" r:id="rId1092"/>
    <hyperlink xmlns:r="http://schemas.openxmlformats.org/officeDocument/2006/relationships" ref="G287" r:id="rId1093"/>
    <hyperlink xmlns:r="http://schemas.openxmlformats.org/officeDocument/2006/relationships" ref="H287" r:id="rId1094"/>
    <hyperlink xmlns:r="http://schemas.openxmlformats.org/officeDocument/2006/relationships" ref="I287" r:id="rId1095"/>
    <hyperlink xmlns:r="http://schemas.openxmlformats.org/officeDocument/2006/relationships" ref="J287" r:id="rId1096"/>
    <hyperlink xmlns:r="http://schemas.openxmlformats.org/officeDocument/2006/relationships" ref="G288" r:id="rId1097"/>
    <hyperlink xmlns:r="http://schemas.openxmlformats.org/officeDocument/2006/relationships" ref="H288" r:id="rId1098"/>
    <hyperlink xmlns:r="http://schemas.openxmlformats.org/officeDocument/2006/relationships" ref="I288" r:id="rId1099"/>
    <hyperlink xmlns:r="http://schemas.openxmlformats.org/officeDocument/2006/relationships" ref="J288" r:id="rId1100"/>
    <hyperlink xmlns:r="http://schemas.openxmlformats.org/officeDocument/2006/relationships" ref="G289" r:id="rId1101"/>
    <hyperlink xmlns:r="http://schemas.openxmlformats.org/officeDocument/2006/relationships" ref="H289" r:id="rId1102"/>
    <hyperlink xmlns:r="http://schemas.openxmlformats.org/officeDocument/2006/relationships" ref="I289" r:id="rId1103"/>
    <hyperlink xmlns:r="http://schemas.openxmlformats.org/officeDocument/2006/relationships" ref="J289" r:id="rId1104"/>
    <hyperlink xmlns:r="http://schemas.openxmlformats.org/officeDocument/2006/relationships" ref="G290" r:id="rId1105"/>
    <hyperlink xmlns:r="http://schemas.openxmlformats.org/officeDocument/2006/relationships" ref="H290" r:id="rId1106"/>
    <hyperlink xmlns:r="http://schemas.openxmlformats.org/officeDocument/2006/relationships" ref="I290" r:id="rId1107"/>
    <hyperlink xmlns:r="http://schemas.openxmlformats.org/officeDocument/2006/relationships" ref="J290" r:id="rId1108"/>
    <hyperlink xmlns:r="http://schemas.openxmlformats.org/officeDocument/2006/relationships" ref="G291" r:id="rId1109"/>
    <hyperlink xmlns:r="http://schemas.openxmlformats.org/officeDocument/2006/relationships" ref="H291" r:id="rId1110"/>
    <hyperlink xmlns:r="http://schemas.openxmlformats.org/officeDocument/2006/relationships" ref="I291" r:id="rId1111"/>
    <hyperlink xmlns:r="http://schemas.openxmlformats.org/officeDocument/2006/relationships" ref="J291" r:id="rId1112"/>
    <hyperlink xmlns:r="http://schemas.openxmlformats.org/officeDocument/2006/relationships" ref="G292" r:id="rId1113"/>
    <hyperlink xmlns:r="http://schemas.openxmlformats.org/officeDocument/2006/relationships" ref="H292" r:id="rId1114"/>
    <hyperlink xmlns:r="http://schemas.openxmlformats.org/officeDocument/2006/relationships" ref="I292" r:id="rId1115"/>
    <hyperlink xmlns:r="http://schemas.openxmlformats.org/officeDocument/2006/relationships" ref="G293" r:id="rId1116"/>
    <hyperlink xmlns:r="http://schemas.openxmlformats.org/officeDocument/2006/relationships" ref="H293" r:id="rId1117"/>
    <hyperlink xmlns:r="http://schemas.openxmlformats.org/officeDocument/2006/relationships" ref="I293" r:id="rId1118"/>
    <hyperlink xmlns:r="http://schemas.openxmlformats.org/officeDocument/2006/relationships" ref="J293" r:id="rId1119"/>
    <hyperlink xmlns:r="http://schemas.openxmlformats.org/officeDocument/2006/relationships" ref="G294" r:id="rId1120"/>
    <hyperlink xmlns:r="http://schemas.openxmlformats.org/officeDocument/2006/relationships" ref="H294" r:id="rId1121"/>
    <hyperlink xmlns:r="http://schemas.openxmlformats.org/officeDocument/2006/relationships" ref="I294" r:id="rId1122"/>
    <hyperlink xmlns:r="http://schemas.openxmlformats.org/officeDocument/2006/relationships" ref="G295" r:id="rId1123"/>
    <hyperlink xmlns:r="http://schemas.openxmlformats.org/officeDocument/2006/relationships" ref="H295" r:id="rId1124"/>
    <hyperlink xmlns:r="http://schemas.openxmlformats.org/officeDocument/2006/relationships" ref="I295" r:id="rId1125"/>
    <hyperlink xmlns:r="http://schemas.openxmlformats.org/officeDocument/2006/relationships" ref="G296" r:id="rId1126"/>
    <hyperlink xmlns:r="http://schemas.openxmlformats.org/officeDocument/2006/relationships" ref="H296" r:id="rId1127"/>
    <hyperlink xmlns:r="http://schemas.openxmlformats.org/officeDocument/2006/relationships" ref="I296" r:id="rId1128"/>
    <hyperlink xmlns:r="http://schemas.openxmlformats.org/officeDocument/2006/relationships" ref="G297" r:id="rId1129"/>
    <hyperlink xmlns:r="http://schemas.openxmlformats.org/officeDocument/2006/relationships" ref="H297" r:id="rId1130"/>
    <hyperlink xmlns:r="http://schemas.openxmlformats.org/officeDocument/2006/relationships" ref="I297" r:id="rId1131"/>
    <hyperlink xmlns:r="http://schemas.openxmlformats.org/officeDocument/2006/relationships" ref="J297" r:id="rId1132"/>
    <hyperlink xmlns:r="http://schemas.openxmlformats.org/officeDocument/2006/relationships" ref="G298" r:id="rId1133"/>
    <hyperlink xmlns:r="http://schemas.openxmlformats.org/officeDocument/2006/relationships" ref="H298" r:id="rId1134"/>
    <hyperlink xmlns:r="http://schemas.openxmlformats.org/officeDocument/2006/relationships" ref="I298" r:id="rId1135"/>
    <hyperlink xmlns:r="http://schemas.openxmlformats.org/officeDocument/2006/relationships" ref="J298" r:id="rId1136"/>
    <hyperlink xmlns:r="http://schemas.openxmlformats.org/officeDocument/2006/relationships" ref="G299" r:id="rId1137"/>
    <hyperlink xmlns:r="http://schemas.openxmlformats.org/officeDocument/2006/relationships" ref="H299" r:id="rId1138"/>
    <hyperlink xmlns:r="http://schemas.openxmlformats.org/officeDocument/2006/relationships" ref="I299" r:id="rId1139"/>
    <hyperlink xmlns:r="http://schemas.openxmlformats.org/officeDocument/2006/relationships" ref="J299" r:id="rId1140"/>
    <hyperlink xmlns:r="http://schemas.openxmlformats.org/officeDocument/2006/relationships" ref="G300" r:id="rId1141"/>
    <hyperlink xmlns:r="http://schemas.openxmlformats.org/officeDocument/2006/relationships" ref="H300" r:id="rId1142"/>
    <hyperlink xmlns:r="http://schemas.openxmlformats.org/officeDocument/2006/relationships" ref="I300" r:id="rId1143"/>
    <hyperlink xmlns:r="http://schemas.openxmlformats.org/officeDocument/2006/relationships" ref="G301" r:id="rId1144"/>
    <hyperlink xmlns:r="http://schemas.openxmlformats.org/officeDocument/2006/relationships" ref="H301" r:id="rId1145"/>
    <hyperlink xmlns:r="http://schemas.openxmlformats.org/officeDocument/2006/relationships" ref="I301" r:id="rId1146"/>
    <hyperlink xmlns:r="http://schemas.openxmlformats.org/officeDocument/2006/relationships" ref="J301" r:id="rId1147"/>
    <hyperlink xmlns:r="http://schemas.openxmlformats.org/officeDocument/2006/relationships" ref="G302" r:id="rId1148"/>
    <hyperlink xmlns:r="http://schemas.openxmlformats.org/officeDocument/2006/relationships" ref="H302" r:id="rId1149"/>
    <hyperlink xmlns:r="http://schemas.openxmlformats.org/officeDocument/2006/relationships" ref="I302" r:id="rId1150"/>
    <hyperlink xmlns:r="http://schemas.openxmlformats.org/officeDocument/2006/relationships" ref="J302" r:id="rId1151"/>
    <hyperlink xmlns:r="http://schemas.openxmlformats.org/officeDocument/2006/relationships" ref="G303" r:id="rId1152"/>
    <hyperlink xmlns:r="http://schemas.openxmlformats.org/officeDocument/2006/relationships" ref="H303" r:id="rId1153"/>
    <hyperlink xmlns:r="http://schemas.openxmlformats.org/officeDocument/2006/relationships" ref="I303" r:id="rId1154"/>
    <hyperlink xmlns:r="http://schemas.openxmlformats.org/officeDocument/2006/relationships" ref="J303" r:id="rId1155"/>
    <hyperlink xmlns:r="http://schemas.openxmlformats.org/officeDocument/2006/relationships" ref="G304" r:id="rId1156"/>
    <hyperlink xmlns:r="http://schemas.openxmlformats.org/officeDocument/2006/relationships" ref="H304" r:id="rId1157"/>
    <hyperlink xmlns:r="http://schemas.openxmlformats.org/officeDocument/2006/relationships" ref="I304" r:id="rId1158"/>
    <hyperlink xmlns:r="http://schemas.openxmlformats.org/officeDocument/2006/relationships" ref="J304" r:id="rId1159"/>
    <hyperlink xmlns:r="http://schemas.openxmlformats.org/officeDocument/2006/relationships" ref="G305" r:id="rId1160"/>
    <hyperlink xmlns:r="http://schemas.openxmlformats.org/officeDocument/2006/relationships" ref="H305" r:id="rId1161"/>
    <hyperlink xmlns:r="http://schemas.openxmlformats.org/officeDocument/2006/relationships" ref="I305" r:id="rId1162"/>
    <hyperlink xmlns:r="http://schemas.openxmlformats.org/officeDocument/2006/relationships" ref="J305" r:id="rId1163"/>
    <hyperlink xmlns:r="http://schemas.openxmlformats.org/officeDocument/2006/relationships" ref="G306" r:id="rId1164"/>
    <hyperlink xmlns:r="http://schemas.openxmlformats.org/officeDocument/2006/relationships" ref="H306" r:id="rId1165"/>
    <hyperlink xmlns:r="http://schemas.openxmlformats.org/officeDocument/2006/relationships" ref="I306" r:id="rId1166"/>
    <hyperlink xmlns:r="http://schemas.openxmlformats.org/officeDocument/2006/relationships" ref="J306" r:id="rId1167"/>
    <hyperlink xmlns:r="http://schemas.openxmlformats.org/officeDocument/2006/relationships" ref="G307" r:id="rId1168"/>
    <hyperlink xmlns:r="http://schemas.openxmlformats.org/officeDocument/2006/relationships" ref="H307" r:id="rId1169"/>
    <hyperlink xmlns:r="http://schemas.openxmlformats.org/officeDocument/2006/relationships" ref="I307" r:id="rId1170"/>
    <hyperlink xmlns:r="http://schemas.openxmlformats.org/officeDocument/2006/relationships" ref="J307" r:id="rId1171"/>
    <hyperlink xmlns:r="http://schemas.openxmlformats.org/officeDocument/2006/relationships" ref="G308" r:id="rId1172"/>
    <hyperlink xmlns:r="http://schemas.openxmlformats.org/officeDocument/2006/relationships" ref="H308" r:id="rId1173"/>
    <hyperlink xmlns:r="http://schemas.openxmlformats.org/officeDocument/2006/relationships" ref="I308" r:id="rId1174"/>
    <hyperlink xmlns:r="http://schemas.openxmlformats.org/officeDocument/2006/relationships" ref="J308" r:id="rId1175"/>
    <hyperlink xmlns:r="http://schemas.openxmlformats.org/officeDocument/2006/relationships" ref="G309" r:id="rId1176"/>
    <hyperlink xmlns:r="http://schemas.openxmlformats.org/officeDocument/2006/relationships" ref="H309" r:id="rId1177"/>
    <hyperlink xmlns:r="http://schemas.openxmlformats.org/officeDocument/2006/relationships" ref="I309" r:id="rId1178"/>
    <hyperlink xmlns:r="http://schemas.openxmlformats.org/officeDocument/2006/relationships" ref="J309" r:id="rId1179"/>
    <hyperlink xmlns:r="http://schemas.openxmlformats.org/officeDocument/2006/relationships" ref="G310" r:id="rId1180"/>
    <hyperlink xmlns:r="http://schemas.openxmlformats.org/officeDocument/2006/relationships" ref="H310" r:id="rId1181"/>
    <hyperlink xmlns:r="http://schemas.openxmlformats.org/officeDocument/2006/relationships" ref="I310" r:id="rId1182"/>
    <hyperlink xmlns:r="http://schemas.openxmlformats.org/officeDocument/2006/relationships" ref="G311" r:id="rId1183"/>
    <hyperlink xmlns:r="http://schemas.openxmlformats.org/officeDocument/2006/relationships" ref="H311" r:id="rId1184"/>
    <hyperlink xmlns:r="http://schemas.openxmlformats.org/officeDocument/2006/relationships" ref="I311" r:id="rId1185"/>
    <hyperlink xmlns:r="http://schemas.openxmlformats.org/officeDocument/2006/relationships" ref="G312" r:id="rId1186"/>
    <hyperlink xmlns:r="http://schemas.openxmlformats.org/officeDocument/2006/relationships" ref="H312" r:id="rId1187"/>
    <hyperlink xmlns:r="http://schemas.openxmlformats.org/officeDocument/2006/relationships" ref="I312" r:id="rId1188"/>
    <hyperlink xmlns:r="http://schemas.openxmlformats.org/officeDocument/2006/relationships" ref="J312" r:id="rId1189"/>
    <hyperlink xmlns:r="http://schemas.openxmlformats.org/officeDocument/2006/relationships" ref="G313" r:id="rId1190"/>
    <hyperlink xmlns:r="http://schemas.openxmlformats.org/officeDocument/2006/relationships" ref="H313" r:id="rId1191"/>
    <hyperlink xmlns:r="http://schemas.openxmlformats.org/officeDocument/2006/relationships" ref="I313" r:id="rId1192"/>
    <hyperlink xmlns:r="http://schemas.openxmlformats.org/officeDocument/2006/relationships" ref="J313" r:id="rId1193"/>
    <hyperlink xmlns:r="http://schemas.openxmlformats.org/officeDocument/2006/relationships" ref="G314" r:id="rId1194"/>
    <hyperlink xmlns:r="http://schemas.openxmlformats.org/officeDocument/2006/relationships" ref="H314" r:id="rId1195"/>
    <hyperlink xmlns:r="http://schemas.openxmlformats.org/officeDocument/2006/relationships" ref="I314" r:id="rId1196"/>
    <hyperlink xmlns:r="http://schemas.openxmlformats.org/officeDocument/2006/relationships" ref="J314" r:id="rId1197"/>
    <hyperlink xmlns:r="http://schemas.openxmlformats.org/officeDocument/2006/relationships" ref="G315" r:id="rId1198"/>
    <hyperlink xmlns:r="http://schemas.openxmlformats.org/officeDocument/2006/relationships" ref="H315" r:id="rId1199"/>
    <hyperlink xmlns:r="http://schemas.openxmlformats.org/officeDocument/2006/relationships" ref="I315" r:id="rId1200"/>
    <hyperlink xmlns:r="http://schemas.openxmlformats.org/officeDocument/2006/relationships" ref="G316" r:id="rId1201"/>
    <hyperlink xmlns:r="http://schemas.openxmlformats.org/officeDocument/2006/relationships" ref="H316" r:id="rId1202"/>
    <hyperlink xmlns:r="http://schemas.openxmlformats.org/officeDocument/2006/relationships" ref="I316" r:id="rId1203"/>
    <hyperlink xmlns:r="http://schemas.openxmlformats.org/officeDocument/2006/relationships" ref="J316" r:id="rId1204"/>
    <hyperlink xmlns:r="http://schemas.openxmlformats.org/officeDocument/2006/relationships" ref="G317" r:id="rId1205"/>
    <hyperlink xmlns:r="http://schemas.openxmlformats.org/officeDocument/2006/relationships" ref="H317" r:id="rId1206"/>
    <hyperlink xmlns:r="http://schemas.openxmlformats.org/officeDocument/2006/relationships" ref="I317" r:id="rId1207"/>
    <hyperlink xmlns:r="http://schemas.openxmlformats.org/officeDocument/2006/relationships" ref="J317" r:id="rId1208"/>
    <hyperlink xmlns:r="http://schemas.openxmlformats.org/officeDocument/2006/relationships" ref="G318" r:id="rId1209"/>
    <hyperlink xmlns:r="http://schemas.openxmlformats.org/officeDocument/2006/relationships" ref="H318" r:id="rId1210"/>
    <hyperlink xmlns:r="http://schemas.openxmlformats.org/officeDocument/2006/relationships" ref="I318" r:id="rId1211"/>
    <hyperlink xmlns:r="http://schemas.openxmlformats.org/officeDocument/2006/relationships" ref="J318" r:id="rId1212"/>
    <hyperlink xmlns:r="http://schemas.openxmlformats.org/officeDocument/2006/relationships" ref="G319" r:id="rId1213"/>
    <hyperlink xmlns:r="http://schemas.openxmlformats.org/officeDocument/2006/relationships" ref="H319" r:id="rId1214"/>
    <hyperlink xmlns:r="http://schemas.openxmlformats.org/officeDocument/2006/relationships" ref="I319" r:id="rId1215"/>
    <hyperlink xmlns:r="http://schemas.openxmlformats.org/officeDocument/2006/relationships" ref="J319" r:id="rId1216"/>
    <hyperlink xmlns:r="http://schemas.openxmlformats.org/officeDocument/2006/relationships" ref="G320" r:id="rId1217"/>
    <hyperlink xmlns:r="http://schemas.openxmlformats.org/officeDocument/2006/relationships" ref="H320" r:id="rId1218"/>
    <hyperlink xmlns:r="http://schemas.openxmlformats.org/officeDocument/2006/relationships" ref="I320" r:id="rId1219"/>
    <hyperlink xmlns:r="http://schemas.openxmlformats.org/officeDocument/2006/relationships" ref="J320" r:id="rId1220"/>
    <hyperlink xmlns:r="http://schemas.openxmlformats.org/officeDocument/2006/relationships" ref="G321" r:id="rId1221"/>
    <hyperlink xmlns:r="http://schemas.openxmlformats.org/officeDocument/2006/relationships" ref="H321" r:id="rId1222"/>
    <hyperlink xmlns:r="http://schemas.openxmlformats.org/officeDocument/2006/relationships" ref="I321" r:id="rId1223"/>
    <hyperlink xmlns:r="http://schemas.openxmlformats.org/officeDocument/2006/relationships" ref="J321" r:id="rId1224"/>
    <hyperlink xmlns:r="http://schemas.openxmlformats.org/officeDocument/2006/relationships" ref="G322" r:id="rId1225"/>
    <hyperlink xmlns:r="http://schemas.openxmlformats.org/officeDocument/2006/relationships" ref="H322" r:id="rId1226"/>
    <hyperlink xmlns:r="http://schemas.openxmlformats.org/officeDocument/2006/relationships" ref="I322" r:id="rId1227"/>
    <hyperlink xmlns:r="http://schemas.openxmlformats.org/officeDocument/2006/relationships" ref="J322" r:id="rId1228"/>
    <hyperlink xmlns:r="http://schemas.openxmlformats.org/officeDocument/2006/relationships" ref="G323" r:id="rId1229"/>
    <hyperlink xmlns:r="http://schemas.openxmlformats.org/officeDocument/2006/relationships" ref="H323" r:id="rId1230"/>
    <hyperlink xmlns:r="http://schemas.openxmlformats.org/officeDocument/2006/relationships" ref="I323" r:id="rId1231"/>
    <hyperlink xmlns:r="http://schemas.openxmlformats.org/officeDocument/2006/relationships" ref="J323" r:id="rId1232"/>
    <hyperlink xmlns:r="http://schemas.openxmlformats.org/officeDocument/2006/relationships" ref="G324" r:id="rId1233"/>
    <hyperlink xmlns:r="http://schemas.openxmlformats.org/officeDocument/2006/relationships" ref="H324" r:id="rId1234"/>
    <hyperlink xmlns:r="http://schemas.openxmlformats.org/officeDocument/2006/relationships" ref="I324" r:id="rId1235"/>
    <hyperlink xmlns:r="http://schemas.openxmlformats.org/officeDocument/2006/relationships" ref="J324" r:id="rId1236"/>
    <hyperlink xmlns:r="http://schemas.openxmlformats.org/officeDocument/2006/relationships" ref="G325" r:id="rId1237"/>
    <hyperlink xmlns:r="http://schemas.openxmlformats.org/officeDocument/2006/relationships" ref="H325" r:id="rId1238"/>
    <hyperlink xmlns:r="http://schemas.openxmlformats.org/officeDocument/2006/relationships" ref="I325" r:id="rId1239"/>
    <hyperlink xmlns:r="http://schemas.openxmlformats.org/officeDocument/2006/relationships" ref="J325" r:id="rId1240"/>
    <hyperlink xmlns:r="http://schemas.openxmlformats.org/officeDocument/2006/relationships" ref="G326" r:id="rId1241"/>
    <hyperlink xmlns:r="http://schemas.openxmlformats.org/officeDocument/2006/relationships" ref="H326" r:id="rId1242"/>
    <hyperlink xmlns:r="http://schemas.openxmlformats.org/officeDocument/2006/relationships" ref="I326" r:id="rId1243"/>
    <hyperlink xmlns:r="http://schemas.openxmlformats.org/officeDocument/2006/relationships" ref="G327" r:id="rId1244"/>
    <hyperlink xmlns:r="http://schemas.openxmlformats.org/officeDocument/2006/relationships" ref="H327" r:id="rId1245"/>
    <hyperlink xmlns:r="http://schemas.openxmlformats.org/officeDocument/2006/relationships" ref="I327" r:id="rId1246"/>
    <hyperlink xmlns:r="http://schemas.openxmlformats.org/officeDocument/2006/relationships" ref="G328" r:id="rId1247"/>
    <hyperlink xmlns:r="http://schemas.openxmlformats.org/officeDocument/2006/relationships" ref="H328" r:id="rId1248"/>
    <hyperlink xmlns:r="http://schemas.openxmlformats.org/officeDocument/2006/relationships" ref="I328" r:id="rId1249"/>
    <hyperlink xmlns:r="http://schemas.openxmlformats.org/officeDocument/2006/relationships" ref="G329" r:id="rId1250"/>
    <hyperlink xmlns:r="http://schemas.openxmlformats.org/officeDocument/2006/relationships" ref="H329" r:id="rId1251"/>
    <hyperlink xmlns:r="http://schemas.openxmlformats.org/officeDocument/2006/relationships" ref="I329" r:id="rId1252"/>
    <hyperlink xmlns:r="http://schemas.openxmlformats.org/officeDocument/2006/relationships" ref="G330" r:id="rId1253"/>
    <hyperlink xmlns:r="http://schemas.openxmlformats.org/officeDocument/2006/relationships" ref="H330" r:id="rId1254"/>
    <hyperlink xmlns:r="http://schemas.openxmlformats.org/officeDocument/2006/relationships" ref="I330" r:id="rId1255"/>
    <hyperlink xmlns:r="http://schemas.openxmlformats.org/officeDocument/2006/relationships" ref="G331" r:id="rId1256"/>
    <hyperlink xmlns:r="http://schemas.openxmlformats.org/officeDocument/2006/relationships" ref="H331" r:id="rId1257"/>
    <hyperlink xmlns:r="http://schemas.openxmlformats.org/officeDocument/2006/relationships" ref="I331" r:id="rId1258"/>
    <hyperlink xmlns:r="http://schemas.openxmlformats.org/officeDocument/2006/relationships" ref="J331" r:id="rId1259"/>
    <hyperlink xmlns:r="http://schemas.openxmlformats.org/officeDocument/2006/relationships" ref="G332" r:id="rId1260"/>
    <hyperlink xmlns:r="http://schemas.openxmlformats.org/officeDocument/2006/relationships" ref="H332" r:id="rId1261"/>
    <hyperlink xmlns:r="http://schemas.openxmlformats.org/officeDocument/2006/relationships" ref="I332" r:id="rId1262"/>
    <hyperlink xmlns:r="http://schemas.openxmlformats.org/officeDocument/2006/relationships" ref="J332" r:id="rId1263"/>
    <hyperlink xmlns:r="http://schemas.openxmlformats.org/officeDocument/2006/relationships" ref="G333" r:id="rId1264"/>
    <hyperlink xmlns:r="http://schemas.openxmlformats.org/officeDocument/2006/relationships" ref="H333" r:id="rId1265"/>
    <hyperlink xmlns:r="http://schemas.openxmlformats.org/officeDocument/2006/relationships" ref="I333" r:id="rId1266"/>
    <hyperlink xmlns:r="http://schemas.openxmlformats.org/officeDocument/2006/relationships" ref="G334" r:id="rId1267"/>
    <hyperlink xmlns:r="http://schemas.openxmlformats.org/officeDocument/2006/relationships" ref="H334" r:id="rId1268"/>
    <hyperlink xmlns:r="http://schemas.openxmlformats.org/officeDocument/2006/relationships" ref="I334" r:id="rId1269"/>
    <hyperlink xmlns:r="http://schemas.openxmlformats.org/officeDocument/2006/relationships" ref="J334" r:id="rId1270"/>
    <hyperlink xmlns:r="http://schemas.openxmlformats.org/officeDocument/2006/relationships" ref="G335" r:id="rId1271"/>
    <hyperlink xmlns:r="http://schemas.openxmlformats.org/officeDocument/2006/relationships" ref="H335" r:id="rId1272"/>
    <hyperlink xmlns:r="http://schemas.openxmlformats.org/officeDocument/2006/relationships" ref="I335" r:id="rId1273"/>
    <hyperlink xmlns:r="http://schemas.openxmlformats.org/officeDocument/2006/relationships" ref="J335" r:id="rId1274"/>
    <hyperlink xmlns:r="http://schemas.openxmlformats.org/officeDocument/2006/relationships" ref="G336" r:id="rId1275"/>
    <hyperlink xmlns:r="http://schemas.openxmlformats.org/officeDocument/2006/relationships" ref="H336" r:id="rId1276"/>
    <hyperlink xmlns:r="http://schemas.openxmlformats.org/officeDocument/2006/relationships" ref="I336" r:id="rId1277"/>
    <hyperlink xmlns:r="http://schemas.openxmlformats.org/officeDocument/2006/relationships" ref="G337" r:id="rId1278"/>
    <hyperlink xmlns:r="http://schemas.openxmlformats.org/officeDocument/2006/relationships" ref="H337" r:id="rId1279"/>
    <hyperlink xmlns:r="http://schemas.openxmlformats.org/officeDocument/2006/relationships" ref="I337" r:id="rId1280"/>
    <hyperlink xmlns:r="http://schemas.openxmlformats.org/officeDocument/2006/relationships" ref="J337" r:id="rId1281"/>
    <hyperlink xmlns:r="http://schemas.openxmlformats.org/officeDocument/2006/relationships" ref="G338" r:id="rId1282"/>
    <hyperlink xmlns:r="http://schemas.openxmlformats.org/officeDocument/2006/relationships" ref="H338" r:id="rId1283"/>
    <hyperlink xmlns:r="http://schemas.openxmlformats.org/officeDocument/2006/relationships" ref="I338" r:id="rId1284"/>
    <hyperlink xmlns:r="http://schemas.openxmlformats.org/officeDocument/2006/relationships" ref="J338" r:id="rId1285"/>
    <hyperlink xmlns:r="http://schemas.openxmlformats.org/officeDocument/2006/relationships" ref="G339" r:id="rId1286"/>
    <hyperlink xmlns:r="http://schemas.openxmlformats.org/officeDocument/2006/relationships" ref="H339" r:id="rId1287"/>
    <hyperlink xmlns:r="http://schemas.openxmlformats.org/officeDocument/2006/relationships" ref="I339" r:id="rId1288"/>
    <hyperlink xmlns:r="http://schemas.openxmlformats.org/officeDocument/2006/relationships" ref="J339" r:id="rId1289"/>
    <hyperlink xmlns:r="http://schemas.openxmlformats.org/officeDocument/2006/relationships" ref="G340" r:id="rId1290"/>
    <hyperlink xmlns:r="http://schemas.openxmlformats.org/officeDocument/2006/relationships" ref="H340" r:id="rId1291"/>
    <hyperlink xmlns:r="http://schemas.openxmlformats.org/officeDocument/2006/relationships" ref="I340" r:id="rId1292"/>
    <hyperlink xmlns:r="http://schemas.openxmlformats.org/officeDocument/2006/relationships" ref="G341" r:id="rId1293"/>
    <hyperlink xmlns:r="http://schemas.openxmlformats.org/officeDocument/2006/relationships" ref="H341" r:id="rId1294"/>
    <hyperlink xmlns:r="http://schemas.openxmlformats.org/officeDocument/2006/relationships" ref="I341" r:id="rId1295"/>
    <hyperlink xmlns:r="http://schemas.openxmlformats.org/officeDocument/2006/relationships" ref="J341" r:id="rId1296"/>
    <hyperlink xmlns:r="http://schemas.openxmlformats.org/officeDocument/2006/relationships" ref="G342" r:id="rId1297"/>
    <hyperlink xmlns:r="http://schemas.openxmlformats.org/officeDocument/2006/relationships" ref="H342" r:id="rId1298"/>
    <hyperlink xmlns:r="http://schemas.openxmlformats.org/officeDocument/2006/relationships" ref="I342" r:id="rId1299"/>
    <hyperlink xmlns:r="http://schemas.openxmlformats.org/officeDocument/2006/relationships" ref="J342" r:id="rId1300"/>
    <hyperlink xmlns:r="http://schemas.openxmlformats.org/officeDocument/2006/relationships" ref="G343" r:id="rId1301"/>
    <hyperlink xmlns:r="http://schemas.openxmlformats.org/officeDocument/2006/relationships" ref="H343" r:id="rId1302"/>
    <hyperlink xmlns:r="http://schemas.openxmlformats.org/officeDocument/2006/relationships" ref="I343" r:id="rId1303"/>
    <hyperlink xmlns:r="http://schemas.openxmlformats.org/officeDocument/2006/relationships" ref="G344" r:id="rId1304"/>
    <hyperlink xmlns:r="http://schemas.openxmlformats.org/officeDocument/2006/relationships" ref="H344" r:id="rId1305"/>
    <hyperlink xmlns:r="http://schemas.openxmlformats.org/officeDocument/2006/relationships" ref="I344" r:id="rId1306"/>
    <hyperlink xmlns:r="http://schemas.openxmlformats.org/officeDocument/2006/relationships" ref="G345" r:id="rId1307"/>
    <hyperlink xmlns:r="http://schemas.openxmlformats.org/officeDocument/2006/relationships" ref="H345" r:id="rId1308"/>
    <hyperlink xmlns:r="http://schemas.openxmlformats.org/officeDocument/2006/relationships" ref="I345" r:id="rId1309"/>
    <hyperlink xmlns:r="http://schemas.openxmlformats.org/officeDocument/2006/relationships" ref="G346" r:id="rId1310"/>
    <hyperlink xmlns:r="http://schemas.openxmlformats.org/officeDocument/2006/relationships" ref="H346" r:id="rId1311"/>
    <hyperlink xmlns:r="http://schemas.openxmlformats.org/officeDocument/2006/relationships" ref="I346" r:id="rId1312"/>
    <hyperlink xmlns:r="http://schemas.openxmlformats.org/officeDocument/2006/relationships" ref="G347" r:id="rId1313"/>
    <hyperlink xmlns:r="http://schemas.openxmlformats.org/officeDocument/2006/relationships" ref="H347" r:id="rId1314"/>
    <hyperlink xmlns:r="http://schemas.openxmlformats.org/officeDocument/2006/relationships" ref="I347" r:id="rId1315"/>
    <hyperlink xmlns:r="http://schemas.openxmlformats.org/officeDocument/2006/relationships" ref="J347" r:id="rId1316"/>
    <hyperlink xmlns:r="http://schemas.openxmlformats.org/officeDocument/2006/relationships" ref="G348" r:id="rId1317"/>
    <hyperlink xmlns:r="http://schemas.openxmlformats.org/officeDocument/2006/relationships" ref="H348" r:id="rId1318"/>
    <hyperlink xmlns:r="http://schemas.openxmlformats.org/officeDocument/2006/relationships" ref="I348" r:id="rId1319"/>
    <hyperlink xmlns:r="http://schemas.openxmlformats.org/officeDocument/2006/relationships" ref="J348" r:id="rId1320"/>
    <hyperlink xmlns:r="http://schemas.openxmlformats.org/officeDocument/2006/relationships" ref="G349" r:id="rId1321"/>
    <hyperlink xmlns:r="http://schemas.openxmlformats.org/officeDocument/2006/relationships" ref="H349" r:id="rId1322"/>
    <hyperlink xmlns:r="http://schemas.openxmlformats.org/officeDocument/2006/relationships" ref="I349" r:id="rId1323"/>
    <hyperlink xmlns:r="http://schemas.openxmlformats.org/officeDocument/2006/relationships" ref="J349" r:id="rId1324"/>
    <hyperlink xmlns:r="http://schemas.openxmlformats.org/officeDocument/2006/relationships" ref="G350" r:id="rId1325"/>
    <hyperlink xmlns:r="http://schemas.openxmlformats.org/officeDocument/2006/relationships" ref="H350" r:id="rId1326"/>
    <hyperlink xmlns:r="http://schemas.openxmlformats.org/officeDocument/2006/relationships" ref="I350" r:id="rId1327"/>
    <hyperlink xmlns:r="http://schemas.openxmlformats.org/officeDocument/2006/relationships" ref="J350" r:id="rId1328"/>
    <hyperlink xmlns:r="http://schemas.openxmlformats.org/officeDocument/2006/relationships" ref="G351" r:id="rId1329"/>
    <hyperlink xmlns:r="http://schemas.openxmlformats.org/officeDocument/2006/relationships" ref="H351" r:id="rId1330"/>
    <hyperlink xmlns:r="http://schemas.openxmlformats.org/officeDocument/2006/relationships" ref="I351" r:id="rId1331"/>
    <hyperlink xmlns:r="http://schemas.openxmlformats.org/officeDocument/2006/relationships" ref="G352" r:id="rId1332"/>
    <hyperlink xmlns:r="http://schemas.openxmlformats.org/officeDocument/2006/relationships" ref="H352" r:id="rId1333"/>
    <hyperlink xmlns:r="http://schemas.openxmlformats.org/officeDocument/2006/relationships" ref="I352" r:id="rId1334"/>
    <hyperlink xmlns:r="http://schemas.openxmlformats.org/officeDocument/2006/relationships" ref="J352" r:id="rId1335"/>
    <hyperlink xmlns:r="http://schemas.openxmlformats.org/officeDocument/2006/relationships" ref="G353" r:id="rId1336"/>
    <hyperlink xmlns:r="http://schemas.openxmlformats.org/officeDocument/2006/relationships" ref="H353" r:id="rId1337"/>
    <hyperlink xmlns:r="http://schemas.openxmlformats.org/officeDocument/2006/relationships" ref="I353" r:id="rId1338"/>
    <hyperlink xmlns:r="http://schemas.openxmlformats.org/officeDocument/2006/relationships" ref="G354" r:id="rId1339"/>
    <hyperlink xmlns:r="http://schemas.openxmlformats.org/officeDocument/2006/relationships" ref="H354" r:id="rId1340"/>
    <hyperlink xmlns:r="http://schemas.openxmlformats.org/officeDocument/2006/relationships" ref="I354" r:id="rId1341"/>
    <hyperlink xmlns:r="http://schemas.openxmlformats.org/officeDocument/2006/relationships" ref="J354" r:id="rId1342"/>
    <hyperlink xmlns:r="http://schemas.openxmlformats.org/officeDocument/2006/relationships" ref="G355" r:id="rId1343"/>
    <hyperlink xmlns:r="http://schemas.openxmlformats.org/officeDocument/2006/relationships" ref="H355" r:id="rId1344"/>
    <hyperlink xmlns:r="http://schemas.openxmlformats.org/officeDocument/2006/relationships" ref="I355" r:id="rId1345"/>
    <hyperlink xmlns:r="http://schemas.openxmlformats.org/officeDocument/2006/relationships" ref="J355" r:id="rId1346"/>
    <hyperlink xmlns:r="http://schemas.openxmlformats.org/officeDocument/2006/relationships" ref="G356" r:id="rId1347"/>
    <hyperlink xmlns:r="http://schemas.openxmlformats.org/officeDocument/2006/relationships" ref="H356" r:id="rId1348"/>
    <hyperlink xmlns:r="http://schemas.openxmlformats.org/officeDocument/2006/relationships" ref="I356" r:id="rId1349"/>
    <hyperlink xmlns:r="http://schemas.openxmlformats.org/officeDocument/2006/relationships" ref="J356" r:id="rId1350"/>
    <hyperlink xmlns:r="http://schemas.openxmlformats.org/officeDocument/2006/relationships" ref="G357" r:id="rId1351"/>
    <hyperlink xmlns:r="http://schemas.openxmlformats.org/officeDocument/2006/relationships" ref="H357" r:id="rId1352"/>
    <hyperlink xmlns:r="http://schemas.openxmlformats.org/officeDocument/2006/relationships" ref="I357" r:id="rId1353"/>
    <hyperlink xmlns:r="http://schemas.openxmlformats.org/officeDocument/2006/relationships" ref="G358" r:id="rId1354"/>
    <hyperlink xmlns:r="http://schemas.openxmlformats.org/officeDocument/2006/relationships" ref="H358" r:id="rId1355"/>
    <hyperlink xmlns:r="http://schemas.openxmlformats.org/officeDocument/2006/relationships" ref="I358" r:id="rId1356"/>
    <hyperlink xmlns:r="http://schemas.openxmlformats.org/officeDocument/2006/relationships" ref="J358" r:id="rId1357"/>
    <hyperlink xmlns:r="http://schemas.openxmlformats.org/officeDocument/2006/relationships" ref="G359" r:id="rId1358"/>
    <hyperlink xmlns:r="http://schemas.openxmlformats.org/officeDocument/2006/relationships" ref="H359" r:id="rId1359"/>
    <hyperlink xmlns:r="http://schemas.openxmlformats.org/officeDocument/2006/relationships" ref="I359" r:id="rId1360"/>
    <hyperlink xmlns:r="http://schemas.openxmlformats.org/officeDocument/2006/relationships" ref="J359" r:id="rId1361"/>
    <hyperlink xmlns:r="http://schemas.openxmlformats.org/officeDocument/2006/relationships" ref="G360" r:id="rId1362"/>
    <hyperlink xmlns:r="http://schemas.openxmlformats.org/officeDocument/2006/relationships" ref="H360" r:id="rId1363"/>
    <hyperlink xmlns:r="http://schemas.openxmlformats.org/officeDocument/2006/relationships" ref="I360" r:id="rId1364"/>
    <hyperlink xmlns:r="http://schemas.openxmlformats.org/officeDocument/2006/relationships" ref="J360" r:id="rId1365"/>
    <hyperlink xmlns:r="http://schemas.openxmlformats.org/officeDocument/2006/relationships" ref="G361" r:id="rId1366"/>
    <hyperlink xmlns:r="http://schemas.openxmlformats.org/officeDocument/2006/relationships" ref="H361" r:id="rId1367"/>
    <hyperlink xmlns:r="http://schemas.openxmlformats.org/officeDocument/2006/relationships" ref="I361" r:id="rId1368"/>
    <hyperlink xmlns:r="http://schemas.openxmlformats.org/officeDocument/2006/relationships" ref="J361" r:id="rId1369"/>
    <hyperlink xmlns:r="http://schemas.openxmlformats.org/officeDocument/2006/relationships" ref="G362" r:id="rId1370"/>
    <hyperlink xmlns:r="http://schemas.openxmlformats.org/officeDocument/2006/relationships" ref="H362" r:id="rId1371"/>
    <hyperlink xmlns:r="http://schemas.openxmlformats.org/officeDocument/2006/relationships" ref="I362" r:id="rId1372"/>
    <hyperlink xmlns:r="http://schemas.openxmlformats.org/officeDocument/2006/relationships" ref="J362" r:id="rId1373"/>
    <hyperlink xmlns:r="http://schemas.openxmlformats.org/officeDocument/2006/relationships" ref="G363" r:id="rId1374"/>
    <hyperlink xmlns:r="http://schemas.openxmlformats.org/officeDocument/2006/relationships" ref="H363" r:id="rId1375"/>
    <hyperlink xmlns:r="http://schemas.openxmlformats.org/officeDocument/2006/relationships" ref="I363" r:id="rId1376"/>
    <hyperlink xmlns:r="http://schemas.openxmlformats.org/officeDocument/2006/relationships" ref="J363" r:id="rId1377"/>
    <hyperlink xmlns:r="http://schemas.openxmlformats.org/officeDocument/2006/relationships" ref="G364" r:id="rId1378"/>
    <hyperlink xmlns:r="http://schemas.openxmlformats.org/officeDocument/2006/relationships" ref="H364" r:id="rId1379"/>
    <hyperlink xmlns:r="http://schemas.openxmlformats.org/officeDocument/2006/relationships" ref="I364" r:id="rId1380"/>
    <hyperlink xmlns:r="http://schemas.openxmlformats.org/officeDocument/2006/relationships" ref="J364" r:id="rId1381"/>
    <hyperlink xmlns:r="http://schemas.openxmlformats.org/officeDocument/2006/relationships" ref="G365" r:id="rId1382"/>
    <hyperlink xmlns:r="http://schemas.openxmlformats.org/officeDocument/2006/relationships" ref="H365" r:id="rId1383"/>
    <hyperlink xmlns:r="http://schemas.openxmlformats.org/officeDocument/2006/relationships" ref="I365" r:id="rId1384"/>
    <hyperlink xmlns:r="http://schemas.openxmlformats.org/officeDocument/2006/relationships" ref="J365" r:id="rId1385"/>
    <hyperlink xmlns:r="http://schemas.openxmlformats.org/officeDocument/2006/relationships" ref="G366" r:id="rId1386"/>
    <hyperlink xmlns:r="http://schemas.openxmlformats.org/officeDocument/2006/relationships" ref="H366" r:id="rId1387"/>
    <hyperlink xmlns:r="http://schemas.openxmlformats.org/officeDocument/2006/relationships" ref="I366" r:id="rId1388"/>
    <hyperlink xmlns:r="http://schemas.openxmlformats.org/officeDocument/2006/relationships" ref="J366" r:id="rId1389"/>
    <hyperlink xmlns:r="http://schemas.openxmlformats.org/officeDocument/2006/relationships" ref="G367" r:id="rId1390"/>
    <hyperlink xmlns:r="http://schemas.openxmlformats.org/officeDocument/2006/relationships" ref="H367" r:id="rId1391"/>
    <hyperlink xmlns:r="http://schemas.openxmlformats.org/officeDocument/2006/relationships" ref="I367" r:id="rId1392"/>
    <hyperlink xmlns:r="http://schemas.openxmlformats.org/officeDocument/2006/relationships" ref="J367" r:id="rId1393"/>
    <hyperlink xmlns:r="http://schemas.openxmlformats.org/officeDocument/2006/relationships" ref="G368" r:id="rId1394"/>
    <hyperlink xmlns:r="http://schemas.openxmlformats.org/officeDocument/2006/relationships" ref="H368" r:id="rId1395"/>
    <hyperlink xmlns:r="http://schemas.openxmlformats.org/officeDocument/2006/relationships" ref="I368" r:id="rId1396"/>
    <hyperlink xmlns:r="http://schemas.openxmlformats.org/officeDocument/2006/relationships" ref="J368" r:id="rId1397"/>
    <hyperlink xmlns:r="http://schemas.openxmlformats.org/officeDocument/2006/relationships" ref="G369" r:id="rId1398"/>
    <hyperlink xmlns:r="http://schemas.openxmlformats.org/officeDocument/2006/relationships" ref="H369" r:id="rId1399"/>
    <hyperlink xmlns:r="http://schemas.openxmlformats.org/officeDocument/2006/relationships" ref="I369" r:id="rId1400"/>
    <hyperlink xmlns:r="http://schemas.openxmlformats.org/officeDocument/2006/relationships" ref="J369" r:id="rId1401"/>
    <hyperlink xmlns:r="http://schemas.openxmlformats.org/officeDocument/2006/relationships" ref="G370" r:id="rId1402"/>
    <hyperlink xmlns:r="http://schemas.openxmlformats.org/officeDocument/2006/relationships" ref="H370" r:id="rId1403"/>
    <hyperlink xmlns:r="http://schemas.openxmlformats.org/officeDocument/2006/relationships" ref="I370" r:id="rId1404"/>
    <hyperlink xmlns:r="http://schemas.openxmlformats.org/officeDocument/2006/relationships" ref="J370" r:id="rId1405"/>
    <hyperlink xmlns:r="http://schemas.openxmlformats.org/officeDocument/2006/relationships" ref="G371" r:id="rId1406"/>
    <hyperlink xmlns:r="http://schemas.openxmlformats.org/officeDocument/2006/relationships" ref="H371" r:id="rId1407"/>
    <hyperlink xmlns:r="http://schemas.openxmlformats.org/officeDocument/2006/relationships" ref="I371" r:id="rId1408"/>
    <hyperlink xmlns:r="http://schemas.openxmlformats.org/officeDocument/2006/relationships" ref="J371" r:id="rId1409"/>
    <hyperlink xmlns:r="http://schemas.openxmlformats.org/officeDocument/2006/relationships" ref="G372" r:id="rId1410"/>
    <hyperlink xmlns:r="http://schemas.openxmlformats.org/officeDocument/2006/relationships" ref="H372" r:id="rId1411"/>
    <hyperlink xmlns:r="http://schemas.openxmlformats.org/officeDocument/2006/relationships" ref="I372" r:id="rId1412"/>
    <hyperlink xmlns:r="http://schemas.openxmlformats.org/officeDocument/2006/relationships" ref="J372" r:id="rId1413"/>
    <hyperlink xmlns:r="http://schemas.openxmlformats.org/officeDocument/2006/relationships" ref="G373" r:id="rId1414"/>
    <hyperlink xmlns:r="http://schemas.openxmlformats.org/officeDocument/2006/relationships" ref="H373" r:id="rId1415"/>
    <hyperlink xmlns:r="http://schemas.openxmlformats.org/officeDocument/2006/relationships" ref="I373" r:id="rId1416"/>
    <hyperlink xmlns:r="http://schemas.openxmlformats.org/officeDocument/2006/relationships" ref="J373" r:id="rId1417"/>
    <hyperlink xmlns:r="http://schemas.openxmlformats.org/officeDocument/2006/relationships" ref="G374" r:id="rId1418"/>
    <hyperlink xmlns:r="http://schemas.openxmlformats.org/officeDocument/2006/relationships" ref="H374" r:id="rId1419"/>
    <hyperlink xmlns:r="http://schemas.openxmlformats.org/officeDocument/2006/relationships" ref="I374" r:id="rId1420"/>
    <hyperlink xmlns:r="http://schemas.openxmlformats.org/officeDocument/2006/relationships" ref="J374" r:id="rId1421"/>
    <hyperlink xmlns:r="http://schemas.openxmlformats.org/officeDocument/2006/relationships" ref="G375" r:id="rId1422"/>
    <hyperlink xmlns:r="http://schemas.openxmlformats.org/officeDocument/2006/relationships" ref="H375" r:id="rId1423"/>
    <hyperlink xmlns:r="http://schemas.openxmlformats.org/officeDocument/2006/relationships" ref="I375" r:id="rId1424"/>
    <hyperlink xmlns:r="http://schemas.openxmlformats.org/officeDocument/2006/relationships" ref="J375" r:id="rId1425"/>
    <hyperlink xmlns:r="http://schemas.openxmlformats.org/officeDocument/2006/relationships" ref="G376" r:id="rId1426"/>
    <hyperlink xmlns:r="http://schemas.openxmlformats.org/officeDocument/2006/relationships" ref="H376" r:id="rId1427"/>
    <hyperlink xmlns:r="http://schemas.openxmlformats.org/officeDocument/2006/relationships" ref="I376" r:id="rId1428"/>
    <hyperlink xmlns:r="http://schemas.openxmlformats.org/officeDocument/2006/relationships" ref="J376" r:id="rId1429"/>
    <hyperlink xmlns:r="http://schemas.openxmlformats.org/officeDocument/2006/relationships" ref="G377" r:id="rId1430"/>
    <hyperlink xmlns:r="http://schemas.openxmlformats.org/officeDocument/2006/relationships" ref="H377" r:id="rId1431"/>
    <hyperlink xmlns:r="http://schemas.openxmlformats.org/officeDocument/2006/relationships" ref="I377" r:id="rId1432"/>
    <hyperlink xmlns:r="http://schemas.openxmlformats.org/officeDocument/2006/relationships" ref="J377" r:id="rId1433"/>
    <hyperlink xmlns:r="http://schemas.openxmlformats.org/officeDocument/2006/relationships" ref="G378" r:id="rId1434"/>
    <hyperlink xmlns:r="http://schemas.openxmlformats.org/officeDocument/2006/relationships" ref="H378" r:id="rId1435"/>
    <hyperlink xmlns:r="http://schemas.openxmlformats.org/officeDocument/2006/relationships" ref="I378" r:id="rId1436"/>
    <hyperlink xmlns:r="http://schemas.openxmlformats.org/officeDocument/2006/relationships" ref="J378" r:id="rId1437"/>
    <hyperlink xmlns:r="http://schemas.openxmlformats.org/officeDocument/2006/relationships" ref="G379" r:id="rId1438"/>
    <hyperlink xmlns:r="http://schemas.openxmlformats.org/officeDocument/2006/relationships" ref="H379" r:id="rId1439"/>
    <hyperlink xmlns:r="http://schemas.openxmlformats.org/officeDocument/2006/relationships" ref="I379" r:id="rId1440"/>
    <hyperlink xmlns:r="http://schemas.openxmlformats.org/officeDocument/2006/relationships" ref="J379" r:id="rId1441"/>
    <hyperlink xmlns:r="http://schemas.openxmlformats.org/officeDocument/2006/relationships" ref="G380" r:id="rId1442"/>
    <hyperlink xmlns:r="http://schemas.openxmlformats.org/officeDocument/2006/relationships" ref="H380" r:id="rId1443"/>
    <hyperlink xmlns:r="http://schemas.openxmlformats.org/officeDocument/2006/relationships" ref="I380" r:id="rId1444"/>
    <hyperlink xmlns:r="http://schemas.openxmlformats.org/officeDocument/2006/relationships" ref="J380" r:id="rId1445"/>
    <hyperlink xmlns:r="http://schemas.openxmlformats.org/officeDocument/2006/relationships" ref="G381" r:id="rId1446"/>
    <hyperlink xmlns:r="http://schemas.openxmlformats.org/officeDocument/2006/relationships" ref="H381" r:id="rId1447"/>
    <hyperlink xmlns:r="http://schemas.openxmlformats.org/officeDocument/2006/relationships" ref="I381" r:id="rId1448"/>
    <hyperlink xmlns:r="http://schemas.openxmlformats.org/officeDocument/2006/relationships" ref="J381" r:id="rId1449"/>
    <hyperlink xmlns:r="http://schemas.openxmlformats.org/officeDocument/2006/relationships" ref="G382" r:id="rId1450"/>
    <hyperlink xmlns:r="http://schemas.openxmlformats.org/officeDocument/2006/relationships" ref="H382" r:id="rId1451"/>
    <hyperlink xmlns:r="http://schemas.openxmlformats.org/officeDocument/2006/relationships" ref="I382" r:id="rId1452"/>
    <hyperlink xmlns:r="http://schemas.openxmlformats.org/officeDocument/2006/relationships" ref="J382" r:id="rId1453"/>
    <hyperlink xmlns:r="http://schemas.openxmlformats.org/officeDocument/2006/relationships" ref="G383" r:id="rId1454"/>
    <hyperlink xmlns:r="http://schemas.openxmlformats.org/officeDocument/2006/relationships" ref="H383" r:id="rId1455"/>
    <hyperlink xmlns:r="http://schemas.openxmlformats.org/officeDocument/2006/relationships" ref="I383" r:id="rId1456"/>
    <hyperlink xmlns:r="http://schemas.openxmlformats.org/officeDocument/2006/relationships" ref="J383" r:id="rId1457"/>
    <hyperlink xmlns:r="http://schemas.openxmlformats.org/officeDocument/2006/relationships" ref="G384" r:id="rId1458"/>
    <hyperlink xmlns:r="http://schemas.openxmlformats.org/officeDocument/2006/relationships" ref="H384" r:id="rId1459"/>
    <hyperlink xmlns:r="http://schemas.openxmlformats.org/officeDocument/2006/relationships" ref="I384" r:id="rId1460"/>
    <hyperlink xmlns:r="http://schemas.openxmlformats.org/officeDocument/2006/relationships" ref="J384" r:id="rId1461"/>
    <hyperlink xmlns:r="http://schemas.openxmlformats.org/officeDocument/2006/relationships" ref="G385" r:id="rId1462"/>
    <hyperlink xmlns:r="http://schemas.openxmlformats.org/officeDocument/2006/relationships" ref="H385" r:id="rId1463"/>
    <hyperlink xmlns:r="http://schemas.openxmlformats.org/officeDocument/2006/relationships" ref="I385" r:id="rId1464"/>
    <hyperlink xmlns:r="http://schemas.openxmlformats.org/officeDocument/2006/relationships" ref="J385" r:id="rId1465"/>
    <hyperlink xmlns:r="http://schemas.openxmlformats.org/officeDocument/2006/relationships" ref="G386" r:id="rId1466"/>
    <hyperlink xmlns:r="http://schemas.openxmlformats.org/officeDocument/2006/relationships" ref="H386" r:id="rId1467"/>
    <hyperlink xmlns:r="http://schemas.openxmlformats.org/officeDocument/2006/relationships" ref="I386" r:id="rId1468"/>
    <hyperlink xmlns:r="http://schemas.openxmlformats.org/officeDocument/2006/relationships" ref="G387" r:id="rId1469"/>
    <hyperlink xmlns:r="http://schemas.openxmlformats.org/officeDocument/2006/relationships" ref="H387" r:id="rId1470"/>
    <hyperlink xmlns:r="http://schemas.openxmlformats.org/officeDocument/2006/relationships" ref="I387" r:id="rId1471"/>
    <hyperlink xmlns:r="http://schemas.openxmlformats.org/officeDocument/2006/relationships" ref="J387" r:id="rId1472"/>
    <hyperlink xmlns:r="http://schemas.openxmlformats.org/officeDocument/2006/relationships" ref="G388" r:id="rId1473"/>
    <hyperlink xmlns:r="http://schemas.openxmlformats.org/officeDocument/2006/relationships" ref="H388" r:id="rId1474"/>
    <hyperlink xmlns:r="http://schemas.openxmlformats.org/officeDocument/2006/relationships" ref="I388" r:id="rId1475"/>
    <hyperlink xmlns:r="http://schemas.openxmlformats.org/officeDocument/2006/relationships" ref="J388" r:id="rId1476"/>
    <hyperlink xmlns:r="http://schemas.openxmlformats.org/officeDocument/2006/relationships" ref="G389" r:id="rId1477"/>
    <hyperlink xmlns:r="http://schemas.openxmlformats.org/officeDocument/2006/relationships" ref="H389" r:id="rId1478"/>
    <hyperlink xmlns:r="http://schemas.openxmlformats.org/officeDocument/2006/relationships" ref="I389" r:id="rId1479"/>
    <hyperlink xmlns:r="http://schemas.openxmlformats.org/officeDocument/2006/relationships" ref="J389" r:id="rId1480"/>
    <hyperlink xmlns:r="http://schemas.openxmlformats.org/officeDocument/2006/relationships" ref="G390" r:id="rId1481"/>
    <hyperlink xmlns:r="http://schemas.openxmlformats.org/officeDocument/2006/relationships" ref="H390" r:id="rId1482"/>
    <hyperlink xmlns:r="http://schemas.openxmlformats.org/officeDocument/2006/relationships" ref="I390" r:id="rId1483"/>
    <hyperlink xmlns:r="http://schemas.openxmlformats.org/officeDocument/2006/relationships" ref="J390" r:id="rId1484"/>
    <hyperlink xmlns:r="http://schemas.openxmlformats.org/officeDocument/2006/relationships" ref="G391" r:id="rId1485"/>
    <hyperlink xmlns:r="http://schemas.openxmlformats.org/officeDocument/2006/relationships" ref="H391" r:id="rId1486"/>
    <hyperlink xmlns:r="http://schemas.openxmlformats.org/officeDocument/2006/relationships" ref="I391" r:id="rId1487"/>
    <hyperlink xmlns:r="http://schemas.openxmlformats.org/officeDocument/2006/relationships" ref="J391" r:id="rId1488"/>
    <hyperlink xmlns:r="http://schemas.openxmlformats.org/officeDocument/2006/relationships" ref="G392" r:id="rId1489"/>
    <hyperlink xmlns:r="http://schemas.openxmlformats.org/officeDocument/2006/relationships" ref="H392" r:id="rId1490"/>
    <hyperlink xmlns:r="http://schemas.openxmlformats.org/officeDocument/2006/relationships" ref="I392" r:id="rId1491"/>
    <hyperlink xmlns:r="http://schemas.openxmlformats.org/officeDocument/2006/relationships" ref="J392" r:id="rId1492"/>
    <hyperlink xmlns:r="http://schemas.openxmlformats.org/officeDocument/2006/relationships" ref="G393" r:id="rId1493"/>
    <hyperlink xmlns:r="http://schemas.openxmlformats.org/officeDocument/2006/relationships" ref="H393" r:id="rId1494"/>
    <hyperlink xmlns:r="http://schemas.openxmlformats.org/officeDocument/2006/relationships" ref="I393" r:id="rId1495"/>
    <hyperlink xmlns:r="http://schemas.openxmlformats.org/officeDocument/2006/relationships" ref="J393" r:id="rId1496"/>
    <hyperlink xmlns:r="http://schemas.openxmlformats.org/officeDocument/2006/relationships" ref="G394" r:id="rId1497"/>
    <hyperlink xmlns:r="http://schemas.openxmlformats.org/officeDocument/2006/relationships" ref="H394" r:id="rId1498"/>
    <hyperlink xmlns:r="http://schemas.openxmlformats.org/officeDocument/2006/relationships" ref="I394" r:id="rId1499"/>
    <hyperlink xmlns:r="http://schemas.openxmlformats.org/officeDocument/2006/relationships" ref="J394" r:id="rId1500"/>
    <hyperlink xmlns:r="http://schemas.openxmlformats.org/officeDocument/2006/relationships" ref="G395" r:id="rId1501"/>
    <hyperlink xmlns:r="http://schemas.openxmlformats.org/officeDocument/2006/relationships" ref="H395" r:id="rId1502"/>
    <hyperlink xmlns:r="http://schemas.openxmlformats.org/officeDocument/2006/relationships" ref="I395" r:id="rId1503"/>
    <hyperlink xmlns:r="http://schemas.openxmlformats.org/officeDocument/2006/relationships" ref="J395" r:id="rId1504"/>
    <hyperlink xmlns:r="http://schemas.openxmlformats.org/officeDocument/2006/relationships" ref="G396" r:id="rId1505"/>
    <hyperlink xmlns:r="http://schemas.openxmlformats.org/officeDocument/2006/relationships" ref="H396" r:id="rId1506"/>
    <hyperlink xmlns:r="http://schemas.openxmlformats.org/officeDocument/2006/relationships" ref="I396" r:id="rId1507"/>
    <hyperlink xmlns:r="http://schemas.openxmlformats.org/officeDocument/2006/relationships" ref="J396" r:id="rId1508"/>
    <hyperlink xmlns:r="http://schemas.openxmlformats.org/officeDocument/2006/relationships" ref="G397" r:id="rId1509"/>
    <hyperlink xmlns:r="http://schemas.openxmlformats.org/officeDocument/2006/relationships" ref="H397" r:id="rId1510"/>
    <hyperlink xmlns:r="http://schemas.openxmlformats.org/officeDocument/2006/relationships" ref="I397" r:id="rId1511"/>
    <hyperlink xmlns:r="http://schemas.openxmlformats.org/officeDocument/2006/relationships" ref="J397" r:id="rId1512"/>
    <hyperlink xmlns:r="http://schemas.openxmlformats.org/officeDocument/2006/relationships" ref="G398" r:id="rId1513"/>
    <hyperlink xmlns:r="http://schemas.openxmlformats.org/officeDocument/2006/relationships" ref="H398" r:id="rId1514"/>
    <hyperlink xmlns:r="http://schemas.openxmlformats.org/officeDocument/2006/relationships" ref="I398" r:id="rId1515"/>
    <hyperlink xmlns:r="http://schemas.openxmlformats.org/officeDocument/2006/relationships" ref="J398" r:id="rId1516"/>
    <hyperlink xmlns:r="http://schemas.openxmlformats.org/officeDocument/2006/relationships" ref="G399" r:id="rId1517"/>
    <hyperlink xmlns:r="http://schemas.openxmlformats.org/officeDocument/2006/relationships" ref="H399" r:id="rId1518"/>
    <hyperlink xmlns:r="http://schemas.openxmlformats.org/officeDocument/2006/relationships" ref="I399" r:id="rId1519"/>
    <hyperlink xmlns:r="http://schemas.openxmlformats.org/officeDocument/2006/relationships" ref="J399" r:id="rId1520"/>
    <hyperlink xmlns:r="http://schemas.openxmlformats.org/officeDocument/2006/relationships" ref="G400" r:id="rId1521"/>
    <hyperlink xmlns:r="http://schemas.openxmlformats.org/officeDocument/2006/relationships" ref="H400" r:id="rId1522"/>
    <hyperlink xmlns:r="http://schemas.openxmlformats.org/officeDocument/2006/relationships" ref="I400" r:id="rId1523"/>
    <hyperlink xmlns:r="http://schemas.openxmlformats.org/officeDocument/2006/relationships" ref="G401" r:id="rId1524"/>
    <hyperlink xmlns:r="http://schemas.openxmlformats.org/officeDocument/2006/relationships" ref="H401" r:id="rId1525"/>
    <hyperlink xmlns:r="http://schemas.openxmlformats.org/officeDocument/2006/relationships" ref="I401" r:id="rId1526"/>
  </hyperlink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8" customWidth="1" min="3" max="3"/>
    <col width="15" customWidth="1" min="4" max="4"/>
    <col width="19" customWidth="1" min="5" max="5"/>
    <col width="19" customWidth="1" min="6" max="6"/>
    <col width="48" customWidth="1" min="7" max="7"/>
    <col width="48" customWidth="1" min="8" max="8"/>
    <col width="48" customWidth="1" min="9" max="9"/>
  </cols>
  <sheetData>
    <row r="1">
      <c r="A1" s="6" t="inlineStr">
        <is>
          <t>item_code</t>
        </is>
      </c>
      <c r="B1" s="6" t="inlineStr">
        <is>
          <t>component</t>
        </is>
      </c>
      <c r="C1" s="6" t="inlineStr">
        <is>
          <t>series_nsa</t>
        </is>
      </c>
      <c r="D1" s="6" t="inlineStr">
        <is>
          <t>December RI %</t>
        </is>
      </c>
      <c r="E1" s="6" t="inlineStr">
        <is>
          <t>December RI month</t>
        </is>
      </c>
      <c r="F1" s="6" t="inlineStr">
        <is>
          <t>CE weight vintage</t>
        </is>
      </c>
      <c r="G1" s="20" t="n">
        <v>46204</v>
      </c>
      <c r="H1" s="20" t="n">
        <v>46235</v>
      </c>
      <c r="I1" s="20" t="n">
        <v>46266</v>
      </c>
    </row>
    <row r="2">
      <c r="A2" s="3" t="inlineStr">
        <is>
          <t>SA0</t>
        </is>
      </c>
      <c r="B2" s="3" t="inlineStr">
        <is>
          <t>All items</t>
        </is>
      </c>
      <c r="C2" s="3" t="inlineStr">
        <is>
          <t>CUUR0000SA0</t>
        </is>
      </c>
      <c r="D2" s="21" t="n">
        <v>100</v>
      </c>
      <c r="E2" s="22" t="n">
        <v>45992</v>
      </c>
      <c r="F2" s="3" t="n">
        <v>2024</v>
      </c>
      <c r="G2" s="10">
        <f>IFERROR(100*($D2*(INDEX('Data_NSA'!$A:$OK,MATCH(G$1,'Data_NSA'!$A:$A,0),MATCH($C2,'Data_NSA'!$1:$1,0))/INDEX('Data_NSA'!$A:$OK,MATCH($E2,'Data_NSA'!$A:$A,0),MATCH($C2,'Data_NSA'!$1:$1,0))))/(100*(INDEX('Data_NSA'!$A:$OK,MATCH(G$1,'Data_NSA'!$A:$A,0),MATCH("CUUR0000SA0",'Data_NSA'!$1:$1,0))/INDEX('Data_NSA'!$A:$OK,MATCH($E2,'Data_NSA'!$A:$A,0),MATCH("CUUR0000SA0",'Data_NSA'!$1:$1,0)))),"")</f>
        <v/>
      </c>
      <c r="H2" s="10">
        <f>IFERROR(100*($D2*(INDEX('Data_NSA'!$A:$OK,MATCH(H$1,'Data_NSA'!$A:$A,0),MATCH($C2,'Data_NSA'!$1:$1,0))/INDEX('Data_NSA'!$A:$OK,MATCH($E2,'Data_NSA'!$A:$A,0),MATCH($C2,'Data_NSA'!$1:$1,0))))/(100*(INDEX('Data_NSA'!$A:$OK,MATCH(H$1,'Data_NSA'!$A:$A,0),MATCH("CUUR0000SA0",'Data_NSA'!$1:$1,0))/INDEX('Data_NSA'!$A:$OK,MATCH($E2,'Data_NSA'!$A:$A,0),MATCH("CUUR0000SA0",'Data_NSA'!$1:$1,0)))),"")</f>
        <v/>
      </c>
      <c r="I2" s="10">
        <f>IFERROR(100*($D2*(INDEX('Data_NSA'!$A:$OK,MATCH(I$1,'Data_NSA'!$A:$A,0),MATCH($C2,'Data_NSA'!$1:$1,0))/INDEX('Data_NSA'!$A:$OK,MATCH($E2,'Data_NSA'!$A:$A,0),MATCH($C2,'Data_NSA'!$1:$1,0))))/(100*(INDEX('Data_NSA'!$A:$OK,MATCH(I$1,'Data_NSA'!$A:$A,0),MATCH("CUUR0000SA0",'Data_NSA'!$1:$1,0))/INDEX('Data_NSA'!$A:$OK,MATCH($E2,'Data_NSA'!$A:$A,0),MATCH("CUUR0000SA0",'Data_NSA'!$1:$1,0)))),"")</f>
        <v/>
      </c>
    </row>
    <row r="3">
      <c r="A3" s="3" t="inlineStr">
        <is>
          <t>AA0</t>
        </is>
      </c>
      <c r="B3" s="3" t="inlineStr">
        <is>
          <t>All items - old base</t>
        </is>
      </c>
      <c r="C3" s="3" t="inlineStr">
        <is>
          <t>CUUR0000AA0</t>
        </is>
      </c>
      <c r="D3" s="21" t="n"/>
      <c r="E3" s="22" t="n">
        <v>45992</v>
      </c>
      <c r="F3" s="3" t="n">
        <v>2024</v>
      </c>
      <c r="G3" s="10">
        <f>IFERROR(100*($D3*(INDEX('Data_NSA'!$A:$OK,MATCH(G$1,'Data_NSA'!$A:$A,0),MATCH($C3,'Data_NSA'!$1:$1,0))/INDEX('Data_NSA'!$A:$OK,MATCH($E3,'Data_NSA'!$A:$A,0),MATCH($C3,'Data_NSA'!$1:$1,0))))/(100*(INDEX('Data_NSA'!$A:$OK,MATCH(G$1,'Data_NSA'!$A:$A,0),MATCH("CUUR0000SA0",'Data_NSA'!$1:$1,0))/INDEX('Data_NSA'!$A:$OK,MATCH($E3,'Data_NSA'!$A:$A,0),MATCH("CUUR0000SA0",'Data_NSA'!$1:$1,0)))),"")</f>
        <v/>
      </c>
      <c r="H3" s="10">
        <f>IFERROR(100*($D3*(INDEX('Data_NSA'!$A:$OK,MATCH(H$1,'Data_NSA'!$A:$A,0),MATCH($C3,'Data_NSA'!$1:$1,0))/INDEX('Data_NSA'!$A:$OK,MATCH($E3,'Data_NSA'!$A:$A,0),MATCH($C3,'Data_NSA'!$1:$1,0))))/(100*(INDEX('Data_NSA'!$A:$OK,MATCH(H$1,'Data_NSA'!$A:$A,0),MATCH("CUUR0000SA0",'Data_NSA'!$1:$1,0))/INDEX('Data_NSA'!$A:$OK,MATCH($E3,'Data_NSA'!$A:$A,0),MATCH("CUUR0000SA0",'Data_NSA'!$1:$1,0)))),"")</f>
        <v/>
      </c>
      <c r="I3" s="10">
        <f>IFERROR(100*($D3*(INDEX('Data_NSA'!$A:$OK,MATCH(I$1,'Data_NSA'!$A:$A,0),MATCH($C3,'Data_NSA'!$1:$1,0))/INDEX('Data_NSA'!$A:$OK,MATCH($E3,'Data_NSA'!$A:$A,0),MATCH($C3,'Data_NSA'!$1:$1,0))))/(100*(INDEX('Data_NSA'!$A:$OK,MATCH(I$1,'Data_NSA'!$A:$A,0),MATCH("CUUR0000SA0",'Data_NSA'!$1:$1,0))/INDEX('Data_NSA'!$A:$OK,MATCH($E3,'Data_NSA'!$A:$A,0),MATCH("CUUR0000SA0",'Data_NSA'!$1:$1,0)))),"")</f>
        <v/>
      </c>
    </row>
    <row r="4">
      <c r="A4" s="3" t="inlineStr">
        <is>
          <t>SAF</t>
        </is>
      </c>
      <c r="B4" s="3" t="inlineStr">
        <is>
          <t>Food and beverages</t>
        </is>
      </c>
      <c r="C4" s="3" t="inlineStr">
        <is>
          <t>CUUR0000SAF</t>
        </is>
      </c>
      <c r="D4" s="21" t="n">
        <v>14.539</v>
      </c>
      <c r="E4" s="22" t="n">
        <v>45992</v>
      </c>
      <c r="F4" s="3" t="n">
        <v>2024</v>
      </c>
      <c r="G4" s="10">
        <f>IFERROR(100*($D4*(INDEX('Data_NSA'!$A:$OK,MATCH(G$1,'Data_NSA'!$A:$A,0),MATCH($C4,'Data_NSA'!$1:$1,0))/INDEX('Data_NSA'!$A:$OK,MATCH($E4,'Data_NSA'!$A:$A,0),MATCH($C4,'Data_NSA'!$1:$1,0))))/(100*(INDEX('Data_NSA'!$A:$OK,MATCH(G$1,'Data_NSA'!$A:$A,0),MATCH("CUUR0000SA0",'Data_NSA'!$1:$1,0))/INDEX('Data_NSA'!$A:$OK,MATCH($E4,'Data_NSA'!$A:$A,0),MATCH("CUUR0000SA0",'Data_NSA'!$1:$1,0)))),"")</f>
        <v/>
      </c>
      <c r="H4" s="10">
        <f>IFERROR(100*($D4*(INDEX('Data_NSA'!$A:$OK,MATCH(H$1,'Data_NSA'!$A:$A,0),MATCH($C4,'Data_NSA'!$1:$1,0))/INDEX('Data_NSA'!$A:$OK,MATCH($E4,'Data_NSA'!$A:$A,0),MATCH($C4,'Data_NSA'!$1:$1,0))))/(100*(INDEX('Data_NSA'!$A:$OK,MATCH(H$1,'Data_NSA'!$A:$A,0),MATCH("CUUR0000SA0",'Data_NSA'!$1:$1,0))/INDEX('Data_NSA'!$A:$OK,MATCH($E4,'Data_NSA'!$A:$A,0),MATCH("CUUR0000SA0",'Data_NSA'!$1:$1,0)))),"")</f>
        <v/>
      </c>
      <c r="I4" s="10">
        <f>IFERROR(100*($D4*(INDEX('Data_NSA'!$A:$OK,MATCH(I$1,'Data_NSA'!$A:$A,0),MATCH($C4,'Data_NSA'!$1:$1,0))/INDEX('Data_NSA'!$A:$OK,MATCH($E4,'Data_NSA'!$A:$A,0),MATCH($C4,'Data_NSA'!$1:$1,0))))/(100*(INDEX('Data_NSA'!$A:$OK,MATCH(I$1,'Data_NSA'!$A:$A,0),MATCH("CUUR0000SA0",'Data_NSA'!$1:$1,0))/INDEX('Data_NSA'!$A:$OK,MATCH($E4,'Data_NSA'!$A:$A,0),MATCH("CUUR0000SA0",'Data_NSA'!$1:$1,0)))),"")</f>
        <v/>
      </c>
    </row>
    <row r="5">
      <c r="A5" s="3" t="inlineStr">
        <is>
          <t>SAF1</t>
        </is>
      </c>
      <c r="B5" s="3" t="inlineStr">
        <is>
          <t>Food</t>
        </is>
      </c>
      <c r="C5" s="3" t="inlineStr">
        <is>
          <t>CUUR0000SAF1</t>
        </is>
      </c>
      <c r="D5" s="21" t="n">
        <v>13.698</v>
      </c>
      <c r="E5" s="22" t="n">
        <v>45992</v>
      </c>
      <c r="F5" s="3" t="n">
        <v>2024</v>
      </c>
      <c r="G5" s="10">
        <f>IFERROR(100*($D5*(INDEX('Data_NSA'!$A:$OK,MATCH(G$1,'Data_NSA'!$A:$A,0),MATCH($C5,'Data_NSA'!$1:$1,0))/INDEX('Data_NSA'!$A:$OK,MATCH($E5,'Data_NSA'!$A:$A,0),MATCH($C5,'Data_NSA'!$1:$1,0))))/(100*(INDEX('Data_NSA'!$A:$OK,MATCH(G$1,'Data_NSA'!$A:$A,0),MATCH("CUUR0000SA0",'Data_NSA'!$1:$1,0))/INDEX('Data_NSA'!$A:$OK,MATCH($E5,'Data_NSA'!$A:$A,0),MATCH("CUUR0000SA0",'Data_NSA'!$1:$1,0)))),"")</f>
        <v/>
      </c>
      <c r="H5" s="10">
        <f>IFERROR(100*($D5*(INDEX('Data_NSA'!$A:$OK,MATCH(H$1,'Data_NSA'!$A:$A,0),MATCH($C5,'Data_NSA'!$1:$1,0))/INDEX('Data_NSA'!$A:$OK,MATCH($E5,'Data_NSA'!$A:$A,0),MATCH($C5,'Data_NSA'!$1:$1,0))))/(100*(INDEX('Data_NSA'!$A:$OK,MATCH(H$1,'Data_NSA'!$A:$A,0),MATCH("CUUR0000SA0",'Data_NSA'!$1:$1,0))/INDEX('Data_NSA'!$A:$OK,MATCH($E5,'Data_NSA'!$A:$A,0),MATCH("CUUR0000SA0",'Data_NSA'!$1:$1,0)))),"")</f>
        <v/>
      </c>
      <c r="I5" s="10">
        <f>IFERROR(100*($D5*(INDEX('Data_NSA'!$A:$OK,MATCH(I$1,'Data_NSA'!$A:$A,0),MATCH($C5,'Data_NSA'!$1:$1,0))/INDEX('Data_NSA'!$A:$OK,MATCH($E5,'Data_NSA'!$A:$A,0),MATCH($C5,'Data_NSA'!$1:$1,0))))/(100*(INDEX('Data_NSA'!$A:$OK,MATCH(I$1,'Data_NSA'!$A:$A,0),MATCH("CUUR0000SA0",'Data_NSA'!$1:$1,0))/INDEX('Data_NSA'!$A:$OK,MATCH($E5,'Data_NSA'!$A:$A,0),MATCH("CUUR0000SA0",'Data_NSA'!$1:$1,0)))),"")</f>
        <v/>
      </c>
    </row>
    <row r="6">
      <c r="A6" s="3" t="inlineStr">
        <is>
          <t>SAF11</t>
        </is>
      </c>
      <c r="B6" s="3" t="inlineStr">
        <is>
          <t>Food at home</t>
        </is>
      </c>
      <c r="C6" s="3" t="inlineStr">
        <is>
          <t>CUUR0000SAF11</t>
        </is>
      </c>
      <c r="D6" s="21" t="n">
        <v>8.324999999999999</v>
      </c>
      <c r="E6" s="22" t="n">
        <v>45992</v>
      </c>
      <c r="F6" s="3" t="n">
        <v>2024</v>
      </c>
      <c r="G6" s="10">
        <f>IFERROR(100*($D6*(INDEX('Data_NSA'!$A:$OK,MATCH(G$1,'Data_NSA'!$A:$A,0),MATCH($C6,'Data_NSA'!$1:$1,0))/INDEX('Data_NSA'!$A:$OK,MATCH($E6,'Data_NSA'!$A:$A,0),MATCH($C6,'Data_NSA'!$1:$1,0))))/(100*(INDEX('Data_NSA'!$A:$OK,MATCH(G$1,'Data_NSA'!$A:$A,0),MATCH("CUUR0000SA0",'Data_NSA'!$1:$1,0))/INDEX('Data_NSA'!$A:$OK,MATCH($E6,'Data_NSA'!$A:$A,0),MATCH("CUUR0000SA0",'Data_NSA'!$1:$1,0)))),"")</f>
        <v/>
      </c>
      <c r="H6" s="10">
        <f>IFERROR(100*($D6*(INDEX('Data_NSA'!$A:$OK,MATCH(H$1,'Data_NSA'!$A:$A,0),MATCH($C6,'Data_NSA'!$1:$1,0))/INDEX('Data_NSA'!$A:$OK,MATCH($E6,'Data_NSA'!$A:$A,0),MATCH($C6,'Data_NSA'!$1:$1,0))))/(100*(INDEX('Data_NSA'!$A:$OK,MATCH(H$1,'Data_NSA'!$A:$A,0),MATCH("CUUR0000SA0",'Data_NSA'!$1:$1,0))/INDEX('Data_NSA'!$A:$OK,MATCH($E6,'Data_NSA'!$A:$A,0),MATCH("CUUR0000SA0",'Data_NSA'!$1:$1,0)))),"")</f>
        <v/>
      </c>
      <c r="I6" s="10">
        <f>IFERROR(100*($D6*(INDEX('Data_NSA'!$A:$OK,MATCH(I$1,'Data_NSA'!$A:$A,0),MATCH($C6,'Data_NSA'!$1:$1,0))/INDEX('Data_NSA'!$A:$OK,MATCH($E6,'Data_NSA'!$A:$A,0),MATCH($C6,'Data_NSA'!$1:$1,0))))/(100*(INDEX('Data_NSA'!$A:$OK,MATCH(I$1,'Data_NSA'!$A:$A,0),MATCH("CUUR0000SA0",'Data_NSA'!$1:$1,0))/INDEX('Data_NSA'!$A:$OK,MATCH($E6,'Data_NSA'!$A:$A,0),MATCH("CUUR0000SA0",'Data_NSA'!$1:$1,0)))),"")</f>
        <v/>
      </c>
    </row>
    <row r="7">
      <c r="A7" s="3" t="inlineStr">
        <is>
          <t>SAF111</t>
        </is>
      </c>
      <c r="B7" s="3" t="inlineStr">
        <is>
          <t>Cereals and bakery products</t>
        </is>
      </c>
      <c r="C7" s="3" t="inlineStr">
        <is>
          <t>CUUR0000SAF111</t>
        </is>
      </c>
      <c r="D7" s="21" t="n">
        <v>1.035</v>
      </c>
      <c r="E7" s="22" t="n">
        <v>45992</v>
      </c>
      <c r="F7" s="3" t="n">
        <v>2024</v>
      </c>
      <c r="G7" s="10">
        <f>IFERROR(100*($D7*(INDEX('Data_NSA'!$A:$OK,MATCH(G$1,'Data_NSA'!$A:$A,0),MATCH($C7,'Data_NSA'!$1:$1,0))/INDEX('Data_NSA'!$A:$OK,MATCH($E7,'Data_NSA'!$A:$A,0),MATCH($C7,'Data_NSA'!$1:$1,0))))/(100*(INDEX('Data_NSA'!$A:$OK,MATCH(G$1,'Data_NSA'!$A:$A,0),MATCH("CUUR0000SA0",'Data_NSA'!$1:$1,0))/INDEX('Data_NSA'!$A:$OK,MATCH($E7,'Data_NSA'!$A:$A,0),MATCH("CUUR0000SA0",'Data_NSA'!$1:$1,0)))),"")</f>
        <v/>
      </c>
      <c r="H7" s="10">
        <f>IFERROR(100*($D7*(INDEX('Data_NSA'!$A:$OK,MATCH(H$1,'Data_NSA'!$A:$A,0),MATCH($C7,'Data_NSA'!$1:$1,0))/INDEX('Data_NSA'!$A:$OK,MATCH($E7,'Data_NSA'!$A:$A,0),MATCH($C7,'Data_NSA'!$1:$1,0))))/(100*(INDEX('Data_NSA'!$A:$OK,MATCH(H$1,'Data_NSA'!$A:$A,0),MATCH("CUUR0000SA0",'Data_NSA'!$1:$1,0))/INDEX('Data_NSA'!$A:$OK,MATCH($E7,'Data_NSA'!$A:$A,0),MATCH("CUUR0000SA0",'Data_NSA'!$1:$1,0)))),"")</f>
        <v/>
      </c>
      <c r="I7" s="10">
        <f>IFERROR(100*($D7*(INDEX('Data_NSA'!$A:$OK,MATCH(I$1,'Data_NSA'!$A:$A,0),MATCH($C7,'Data_NSA'!$1:$1,0))/INDEX('Data_NSA'!$A:$OK,MATCH($E7,'Data_NSA'!$A:$A,0),MATCH($C7,'Data_NSA'!$1:$1,0))))/(100*(INDEX('Data_NSA'!$A:$OK,MATCH(I$1,'Data_NSA'!$A:$A,0),MATCH("CUUR0000SA0",'Data_NSA'!$1:$1,0))/INDEX('Data_NSA'!$A:$OK,MATCH($E7,'Data_NSA'!$A:$A,0),MATCH("CUUR0000SA0",'Data_NSA'!$1:$1,0)))),"")</f>
        <v/>
      </c>
    </row>
    <row r="8">
      <c r="A8" s="3" t="inlineStr">
        <is>
          <t>SEFA</t>
        </is>
      </c>
      <c r="B8" s="3" t="inlineStr">
        <is>
          <t>Cereals and cereal products</t>
        </is>
      </c>
      <c r="C8" s="3" t="inlineStr">
        <is>
          <t>CUUR0000SEFA</t>
        </is>
      </c>
      <c r="D8" s="21" t="n">
        <v>0.315</v>
      </c>
      <c r="E8" s="22" t="n">
        <v>45992</v>
      </c>
      <c r="F8" s="3" t="n">
        <v>2024</v>
      </c>
      <c r="G8" s="10">
        <f>IFERROR(100*($D8*(INDEX('Data_NSA'!$A:$OK,MATCH(G$1,'Data_NSA'!$A:$A,0),MATCH($C8,'Data_NSA'!$1:$1,0))/INDEX('Data_NSA'!$A:$OK,MATCH($E8,'Data_NSA'!$A:$A,0),MATCH($C8,'Data_NSA'!$1:$1,0))))/(100*(INDEX('Data_NSA'!$A:$OK,MATCH(G$1,'Data_NSA'!$A:$A,0),MATCH("CUUR0000SA0",'Data_NSA'!$1:$1,0))/INDEX('Data_NSA'!$A:$OK,MATCH($E8,'Data_NSA'!$A:$A,0),MATCH("CUUR0000SA0",'Data_NSA'!$1:$1,0)))),"")</f>
        <v/>
      </c>
      <c r="H8" s="10">
        <f>IFERROR(100*($D8*(INDEX('Data_NSA'!$A:$OK,MATCH(H$1,'Data_NSA'!$A:$A,0),MATCH($C8,'Data_NSA'!$1:$1,0))/INDEX('Data_NSA'!$A:$OK,MATCH($E8,'Data_NSA'!$A:$A,0),MATCH($C8,'Data_NSA'!$1:$1,0))))/(100*(INDEX('Data_NSA'!$A:$OK,MATCH(H$1,'Data_NSA'!$A:$A,0),MATCH("CUUR0000SA0",'Data_NSA'!$1:$1,0))/INDEX('Data_NSA'!$A:$OK,MATCH($E8,'Data_NSA'!$A:$A,0),MATCH("CUUR0000SA0",'Data_NSA'!$1:$1,0)))),"")</f>
        <v/>
      </c>
      <c r="I8" s="10">
        <f>IFERROR(100*($D8*(INDEX('Data_NSA'!$A:$OK,MATCH(I$1,'Data_NSA'!$A:$A,0),MATCH($C8,'Data_NSA'!$1:$1,0))/INDEX('Data_NSA'!$A:$OK,MATCH($E8,'Data_NSA'!$A:$A,0),MATCH($C8,'Data_NSA'!$1:$1,0))))/(100*(INDEX('Data_NSA'!$A:$OK,MATCH(I$1,'Data_NSA'!$A:$A,0),MATCH("CUUR0000SA0",'Data_NSA'!$1:$1,0))/INDEX('Data_NSA'!$A:$OK,MATCH($E8,'Data_NSA'!$A:$A,0),MATCH("CUUR0000SA0",'Data_NSA'!$1:$1,0)))),"")</f>
        <v/>
      </c>
    </row>
    <row r="9">
      <c r="A9" s="3" t="inlineStr">
        <is>
          <t>SEFA01</t>
        </is>
      </c>
      <c r="B9" s="3" t="inlineStr">
        <is>
          <t>Flour and prepared flour mixes</t>
        </is>
      </c>
      <c r="C9" s="3" t="inlineStr">
        <is>
          <t>CUUR0000SEFA01</t>
        </is>
      </c>
      <c r="D9" s="21" t="n">
        <v>0.038</v>
      </c>
      <c r="E9" s="22" t="n">
        <v>45992</v>
      </c>
      <c r="F9" s="3" t="n">
        <v>2024</v>
      </c>
      <c r="G9" s="10">
        <f>IFERROR(100*($D9*(INDEX('Data_NSA'!$A:$OK,MATCH(G$1,'Data_NSA'!$A:$A,0),MATCH($C9,'Data_NSA'!$1:$1,0))/INDEX('Data_NSA'!$A:$OK,MATCH($E9,'Data_NSA'!$A:$A,0),MATCH($C9,'Data_NSA'!$1:$1,0))))/(100*(INDEX('Data_NSA'!$A:$OK,MATCH(G$1,'Data_NSA'!$A:$A,0),MATCH("CUUR0000SA0",'Data_NSA'!$1:$1,0))/INDEX('Data_NSA'!$A:$OK,MATCH($E9,'Data_NSA'!$A:$A,0),MATCH("CUUR0000SA0",'Data_NSA'!$1:$1,0)))),"")</f>
        <v/>
      </c>
      <c r="H9" s="10">
        <f>IFERROR(100*($D9*(INDEX('Data_NSA'!$A:$OK,MATCH(H$1,'Data_NSA'!$A:$A,0),MATCH($C9,'Data_NSA'!$1:$1,0))/INDEX('Data_NSA'!$A:$OK,MATCH($E9,'Data_NSA'!$A:$A,0),MATCH($C9,'Data_NSA'!$1:$1,0))))/(100*(INDEX('Data_NSA'!$A:$OK,MATCH(H$1,'Data_NSA'!$A:$A,0),MATCH("CUUR0000SA0",'Data_NSA'!$1:$1,0))/INDEX('Data_NSA'!$A:$OK,MATCH($E9,'Data_NSA'!$A:$A,0),MATCH("CUUR0000SA0",'Data_NSA'!$1:$1,0)))),"")</f>
        <v/>
      </c>
      <c r="I9" s="10">
        <f>IFERROR(100*($D9*(INDEX('Data_NSA'!$A:$OK,MATCH(I$1,'Data_NSA'!$A:$A,0),MATCH($C9,'Data_NSA'!$1:$1,0))/INDEX('Data_NSA'!$A:$OK,MATCH($E9,'Data_NSA'!$A:$A,0),MATCH($C9,'Data_NSA'!$1:$1,0))))/(100*(INDEX('Data_NSA'!$A:$OK,MATCH(I$1,'Data_NSA'!$A:$A,0),MATCH("CUUR0000SA0",'Data_NSA'!$1:$1,0))/INDEX('Data_NSA'!$A:$OK,MATCH($E9,'Data_NSA'!$A:$A,0),MATCH("CUUR0000SA0",'Data_NSA'!$1:$1,0)))),"")</f>
        <v/>
      </c>
    </row>
    <row r="10">
      <c r="A10" s="3" t="inlineStr">
        <is>
          <t>SEFA02</t>
        </is>
      </c>
      <c r="B10" s="3" t="inlineStr">
        <is>
          <t>Breakfast cereal</t>
        </is>
      </c>
      <c r="C10" s="3" t="inlineStr">
        <is>
          <t>CUUR0000SEFA02</t>
        </is>
      </c>
      <c r="D10" s="21" t="n">
        <v>0.136</v>
      </c>
      <c r="E10" s="22" t="n">
        <v>45992</v>
      </c>
      <c r="F10" s="3" t="n">
        <v>2024</v>
      </c>
      <c r="G10" s="10">
        <f>IFERROR(100*($D10*(INDEX('Data_NSA'!$A:$OK,MATCH(G$1,'Data_NSA'!$A:$A,0),MATCH($C10,'Data_NSA'!$1:$1,0))/INDEX('Data_NSA'!$A:$OK,MATCH($E10,'Data_NSA'!$A:$A,0),MATCH($C10,'Data_NSA'!$1:$1,0))))/(100*(INDEX('Data_NSA'!$A:$OK,MATCH(G$1,'Data_NSA'!$A:$A,0),MATCH("CUUR0000SA0",'Data_NSA'!$1:$1,0))/INDEX('Data_NSA'!$A:$OK,MATCH($E10,'Data_NSA'!$A:$A,0),MATCH("CUUR0000SA0",'Data_NSA'!$1:$1,0)))),"")</f>
        <v/>
      </c>
      <c r="H10" s="10">
        <f>IFERROR(100*($D10*(INDEX('Data_NSA'!$A:$OK,MATCH(H$1,'Data_NSA'!$A:$A,0),MATCH($C10,'Data_NSA'!$1:$1,0))/INDEX('Data_NSA'!$A:$OK,MATCH($E10,'Data_NSA'!$A:$A,0),MATCH($C10,'Data_NSA'!$1:$1,0))))/(100*(INDEX('Data_NSA'!$A:$OK,MATCH(H$1,'Data_NSA'!$A:$A,0),MATCH("CUUR0000SA0",'Data_NSA'!$1:$1,0))/INDEX('Data_NSA'!$A:$OK,MATCH($E10,'Data_NSA'!$A:$A,0),MATCH("CUUR0000SA0",'Data_NSA'!$1:$1,0)))),"")</f>
        <v/>
      </c>
      <c r="I10" s="10">
        <f>IFERROR(100*($D10*(INDEX('Data_NSA'!$A:$OK,MATCH(I$1,'Data_NSA'!$A:$A,0),MATCH($C10,'Data_NSA'!$1:$1,0))/INDEX('Data_NSA'!$A:$OK,MATCH($E10,'Data_NSA'!$A:$A,0),MATCH($C10,'Data_NSA'!$1:$1,0))))/(100*(INDEX('Data_NSA'!$A:$OK,MATCH(I$1,'Data_NSA'!$A:$A,0),MATCH("CUUR0000SA0",'Data_NSA'!$1:$1,0))/INDEX('Data_NSA'!$A:$OK,MATCH($E10,'Data_NSA'!$A:$A,0),MATCH("CUUR0000SA0",'Data_NSA'!$1:$1,0)))),"")</f>
        <v/>
      </c>
    </row>
    <row r="11">
      <c r="A11" s="3" t="inlineStr">
        <is>
          <t>SEFA03</t>
        </is>
      </c>
      <c r="B11" s="3" t="inlineStr">
        <is>
          <t>Rice, pasta, cornmeal</t>
        </is>
      </c>
      <c r="C11" s="3" t="inlineStr">
        <is>
          <t>CUUR0000SEFA03</t>
        </is>
      </c>
      <c r="D11" s="21" t="n">
        <v>0.141</v>
      </c>
      <c r="E11" s="22" t="n">
        <v>45992</v>
      </c>
      <c r="F11" s="3" t="n">
        <v>2024</v>
      </c>
      <c r="G11" s="10">
        <f>IFERROR(100*($D11*(INDEX('Data_NSA'!$A:$OK,MATCH(G$1,'Data_NSA'!$A:$A,0),MATCH($C11,'Data_NSA'!$1:$1,0))/INDEX('Data_NSA'!$A:$OK,MATCH($E11,'Data_NSA'!$A:$A,0),MATCH($C11,'Data_NSA'!$1:$1,0))))/(100*(INDEX('Data_NSA'!$A:$OK,MATCH(G$1,'Data_NSA'!$A:$A,0),MATCH("CUUR0000SA0",'Data_NSA'!$1:$1,0))/INDEX('Data_NSA'!$A:$OK,MATCH($E11,'Data_NSA'!$A:$A,0),MATCH("CUUR0000SA0",'Data_NSA'!$1:$1,0)))),"")</f>
        <v/>
      </c>
      <c r="H11" s="10">
        <f>IFERROR(100*($D11*(INDEX('Data_NSA'!$A:$OK,MATCH(H$1,'Data_NSA'!$A:$A,0),MATCH($C11,'Data_NSA'!$1:$1,0))/INDEX('Data_NSA'!$A:$OK,MATCH($E11,'Data_NSA'!$A:$A,0),MATCH($C11,'Data_NSA'!$1:$1,0))))/(100*(INDEX('Data_NSA'!$A:$OK,MATCH(H$1,'Data_NSA'!$A:$A,0),MATCH("CUUR0000SA0",'Data_NSA'!$1:$1,0))/INDEX('Data_NSA'!$A:$OK,MATCH($E11,'Data_NSA'!$A:$A,0),MATCH("CUUR0000SA0",'Data_NSA'!$1:$1,0)))),"")</f>
        <v/>
      </c>
      <c r="I11" s="10">
        <f>IFERROR(100*($D11*(INDEX('Data_NSA'!$A:$OK,MATCH(I$1,'Data_NSA'!$A:$A,0),MATCH($C11,'Data_NSA'!$1:$1,0))/INDEX('Data_NSA'!$A:$OK,MATCH($E11,'Data_NSA'!$A:$A,0),MATCH($C11,'Data_NSA'!$1:$1,0))))/(100*(INDEX('Data_NSA'!$A:$OK,MATCH(I$1,'Data_NSA'!$A:$A,0),MATCH("CUUR0000SA0",'Data_NSA'!$1:$1,0))/INDEX('Data_NSA'!$A:$OK,MATCH($E11,'Data_NSA'!$A:$A,0),MATCH("CUUR0000SA0",'Data_NSA'!$1:$1,0)))),"")</f>
        <v/>
      </c>
    </row>
    <row r="12">
      <c r="A12" s="3" t="inlineStr">
        <is>
          <t>SS01031</t>
        </is>
      </c>
      <c r="B12" s="3" t="inlineStr">
        <is>
          <t>Rice</t>
        </is>
      </c>
      <c r="C12" s="3" t="inlineStr">
        <is>
          <t>CUUR0000SS01031</t>
        </is>
      </c>
      <c r="D12" s="21" t="n"/>
      <c r="E12" s="22" t="n">
        <v>45992</v>
      </c>
      <c r="F12" s="3" t="n">
        <v>2024</v>
      </c>
      <c r="G12" s="10">
        <f>IFERROR(100*($D12*(INDEX('Data_NSA'!$A:$OK,MATCH(G$1,'Data_NSA'!$A:$A,0),MATCH($C12,'Data_NSA'!$1:$1,0))/INDEX('Data_NSA'!$A:$OK,MATCH($E12,'Data_NSA'!$A:$A,0),MATCH($C12,'Data_NSA'!$1:$1,0))))/(100*(INDEX('Data_NSA'!$A:$OK,MATCH(G$1,'Data_NSA'!$A:$A,0),MATCH("CUUR0000SA0",'Data_NSA'!$1:$1,0))/INDEX('Data_NSA'!$A:$OK,MATCH($E12,'Data_NSA'!$A:$A,0),MATCH("CUUR0000SA0",'Data_NSA'!$1:$1,0)))),"")</f>
        <v/>
      </c>
      <c r="H12" s="10">
        <f>IFERROR(100*($D12*(INDEX('Data_NSA'!$A:$OK,MATCH(H$1,'Data_NSA'!$A:$A,0),MATCH($C12,'Data_NSA'!$1:$1,0))/INDEX('Data_NSA'!$A:$OK,MATCH($E12,'Data_NSA'!$A:$A,0),MATCH($C12,'Data_NSA'!$1:$1,0))))/(100*(INDEX('Data_NSA'!$A:$OK,MATCH(H$1,'Data_NSA'!$A:$A,0),MATCH("CUUR0000SA0",'Data_NSA'!$1:$1,0))/INDEX('Data_NSA'!$A:$OK,MATCH($E12,'Data_NSA'!$A:$A,0),MATCH("CUUR0000SA0",'Data_NSA'!$1:$1,0)))),"")</f>
        <v/>
      </c>
      <c r="I12" s="10">
        <f>IFERROR(100*($D12*(INDEX('Data_NSA'!$A:$OK,MATCH(I$1,'Data_NSA'!$A:$A,0),MATCH($C12,'Data_NSA'!$1:$1,0))/INDEX('Data_NSA'!$A:$OK,MATCH($E12,'Data_NSA'!$A:$A,0),MATCH($C12,'Data_NSA'!$1:$1,0))))/(100*(INDEX('Data_NSA'!$A:$OK,MATCH(I$1,'Data_NSA'!$A:$A,0),MATCH("CUUR0000SA0",'Data_NSA'!$1:$1,0))/INDEX('Data_NSA'!$A:$OK,MATCH($E12,'Data_NSA'!$A:$A,0),MATCH("CUUR0000SA0",'Data_NSA'!$1:$1,0)))),"")</f>
        <v/>
      </c>
    </row>
    <row r="13">
      <c r="A13" s="3" t="inlineStr">
        <is>
          <t>SEFB</t>
        </is>
      </c>
      <c r="B13" s="3" t="inlineStr">
        <is>
          <t>Bakery products</t>
        </is>
      </c>
      <c r="C13" s="3" t="inlineStr">
        <is>
          <t>CUUR0000SEFB</t>
        </is>
      </c>
      <c r="D13" s="21" t="n">
        <v>0.721</v>
      </c>
      <c r="E13" s="22" t="n">
        <v>45992</v>
      </c>
      <c r="F13" s="3" t="n">
        <v>2024</v>
      </c>
      <c r="G13" s="10">
        <f>IFERROR(100*($D13*(INDEX('Data_NSA'!$A:$OK,MATCH(G$1,'Data_NSA'!$A:$A,0),MATCH($C13,'Data_NSA'!$1:$1,0))/INDEX('Data_NSA'!$A:$OK,MATCH($E13,'Data_NSA'!$A:$A,0),MATCH($C13,'Data_NSA'!$1:$1,0))))/(100*(INDEX('Data_NSA'!$A:$OK,MATCH(G$1,'Data_NSA'!$A:$A,0),MATCH("CUUR0000SA0",'Data_NSA'!$1:$1,0))/INDEX('Data_NSA'!$A:$OK,MATCH($E13,'Data_NSA'!$A:$A,0),MATCH("CUUR0000SA0",'Data_NSA'!$1:$1,0)))),"")</f>
        <v/>
      </c>
      <c r="H13" s="10">
        <f>IFERROR(100*($D13*(INDEX('Data_NSA'!$A:$OK,MATCH(H$1,'Data_NSA'!$A:$A,0),MATCH($C13,'Data_NSA'!$1:$1,0))/INDEX('Data_NSA'!$A:$OK,MATCH($E13,'Data_NSA'!$A:$A,0),MATCH($C13,'Data_NSA'!$1:$1,0))))/(100*(INDEX('Data_NSA'!$A:$OK,MATCH(H$1,'Data_NSA'!$A:$A,0),MATCH("CUUR0000SA0",'Data_NSA'!$1:$1,0))/INDEX('Data_NSA'!$A:$OK,MATCH($E13,'Data_NSA'!$A:$A,0),MATCH("CUUR0000SA0",'Data_NSA'!$1:$1,0)))),"")</f>
        <v/>
      </c>
      <c r="I13" s="10">
        <f>IFERROR(100*($D13*(INDEX('Data_NSA'!$A:$OK,MATCH(I$1,'Data_NSA'!$A:$A,0),MATCH($C13,'Data_NSA'!$1:$1,0))/INDEX('Data_NSA'!$A:$OK,MATCH($E13,'Data_NSA'!$A:$A,0),MATCH($C13,'Data_NSA'!$1:$1,0))))/(100*(INDEX('Data_NSA'!$A:$OK,MATCH(I$1,'Data_NSA'!$A:$A,0),MATCH("CUUR0000SA0",'Data_NSA'!$1:$1,0))/INDEX('Data_NSA'!$A:$OK,MATCH($E13,'Data_NSA'!$A:$A,0),MATCH("CUUR0000SA0",'Data_NSA'!$1:$1,0)))),"")</f>
        <v/>
      </c>
    </row>
    <row r="14">
      <c r="A14" s="3" t="inlineStr">
        <is>
          <t>SEFB01</t>
        </is>
      </c>
      <c r="B14" s="3" t="inlineStr">
        <is>
          <t>Bread</t>
        </is>
      </c>
      <c r="C14" s="3" t="inlineStr">
        <is>
          <t>CUUR0000SEFB01</t>
        </is>
      </c>
      <c r="D14" s="21" t="n">
        <v>0.175</v>
      </c>
      <c r="E14" s="22" t="n">
        <v>45992</v>
      </c>
      <c r="F14" s="3" t="n">
        <v>2024</v>
      </c>
      <c r="G14" s="10">
        <f>IFERROR(100*($D14*(INDEX('Data_NSA'!$A:$OK,MATCH(G$1,'Data_NSA'!$A:$A,0),MATCH($C14,'Data_NSA'!$1:$1,0))/INDEX('Data_NSA'!$A:$OK,MATCH($E14,'Data_NSA'!$A:$A,0),MATCH($C14,'Data_NSA'!$1:$1,0))))/(100*(INDEX('Data_NSA'!$A:$OK,MATCH(G$1,'Data_NSA'!$A:$A,0),MATCH("CUUR0000SA0",'Data_NSA'!$1:$1,0))/INDEX('Data_NSA'!$A:$OK,MATCH($E14,'Data_NSA'!$A:$A,0),MATCH("CUUR0000SA0",'Data_NSA'!$1:$1,0)))),"")</f>
        <v/>
      </c>
      <c r="H14" s="10">
        <f>IFERROR(100*($D14*(INDEX('Data_NSA'!$A:$OK,MATCH(H$1,'Data_NSA'!$A:$A,0),MATCH($C14,'Data_NSA'!$1:$1,0))/INDEX('Data_NSA'!$A:$OK,MATCH($E14,'Data_NSA'!$A:$A,0),MATCH($C14,'Data_NSA'!$1:$1,0))))/(100*(INDEX('Data_NSA'!$A:$OK,MATCH(H$1,'Data_NSA'!$A:$A,0),MATCH("CUUR0000SA0",'Data_NSA'!$1:$1,0))/INDEX('Data_NSA'!$A:$OK,MATCH($E14,'Data_NSA'!$A:$A,0),MATCH("CUUR0000SA0",'Data_NSA'!$1:$1,0)))),"")</f>
        <v/>
      </c>
      <c r="I14" s="10">
        <f>IFERROR(100*($D14*(INDEX('Data_NSA'!$A:$OK,MATCH(I$1,'Data_NSA'!$A:$A,0),MATCH($C14,'Data_NSA'!$1:$1,0))/INDEX('Data_NSA'!$A:$OK,MATCH($E14,'Data_NSA'!$A:$A,0),MATCH($C14,'Data_NSA'!$1:$1,0))))/(100*(INDEX('Data_NSA'!$A:$OK,MATCH(I$1,'Data_NSA'!$A:$A,0),MATCH("CUUR0000SA0",'Data_NSA'!$1:$1,0))/INDEX('Data_NSA'!$A:$OK,MATCH($E14,'Data_NSA'!$A:$A,0),MATCH("CUUR0000SA0",'Data_NSA'!$1:$1,0)))),"")</f>
        <v/>
      </c>
    </row>
    <row r="15">
      <c r="A15" s="3" t="inlineStr">
        <is>
          <t>SS02011</t>
        </is>
      </c>
      <c r="B15" s="3" t="inlineStr">
        <is>
          <t>White bread</t>
        </is>
      </c>
      <c r="C15" s="3" t="inlineStr">
        <is>
          <t>CUUR0000SS02011</t>
        </is>
      </c>
      <c r="D15" s="21" t="n"/>
      <c r="E15" s="22" t="n">
        <v>45992</v>
      </c>
      <c r="F15" s="3" t="n">
        <v>2024</v>
      </c>
      <c r="G15" s="10">
        <f>IFERROR(100*($D15*(INDEX('Data_NSA'!$A:$OK,MATCH(G$1,'Data_NSA'!$A:$A,0),MATCH($C15,'Data_NSA'!$1:$1,0))/INDEX('Data_NSA'!$A:$OK,MATCH($E15,'Data_NSA'!$A:$A,0),MATCH($C15,'Data_NSA'!$1:$1,0))))/(100*(INDEX('Data_NSA'!$A:$OK,MATCH(G$1,'Data_NSA'!$A:$A,0),MATCH("CUUR0000SA0",'Data_NSA'!$1:$1,0))/INDEX('Data_NSA'!$A:$OK,MATCH($E15,'Data_NSA'!$A:$A,0),MATCH("CUUR0000SA0",'Data_NSA'!$1:$1,0)))),"")</f>
        <v/>
      </c>
      <c r="H15" s="10">
        <f>IFERROR(100*($D15*(INDEX('Data_NSA'!$A:$OK,MATCH(H$1,'Data_NSA'!$A:$A,0),MATCH($C15,'Data_NSA'!$1:$1,0))/INDEX('Data_NSA'!$A:$OK,MATCH($E15,'Data_NSA'!$A:$A,0),MATCH($C15,'Data_NSA'!$1:$1,0))))/(100*(INDEX('Data_NSA'!$A:$OK,MATCH(H$1,'Data_NSA'!$A:$A,0),MATCH("CUUR0000SA0",'Data_NSA'!$1:$1,0))/INDEX('Data_NSA'!$A:$OK,MATCH($E15,'Data_NSA'!$A:$A,0),MATCH("CUUR0000SA0",'Data_NSA'!$1:$1,0)))),"")</f>
        <v/>
      </c>
      <c r="I15" s="10">
        <f>IFERROR(100*($D15*(INDEX('Data_NSA'!$A:$OK,MATCH(I$1,'Data_NSA'!$A:$A,0),MATCH($C15,'Data_NSA'!$1:$1,0))/INDEX('Data_NSA'!$A:$OK,MATCH($E15,'Data_NSA'!$A:$A,0),MATCH($C15,'Data_NSA'!$1:$1,0))))/(100*(INDEX('Data_NSA'!$A:$OK,MATCH(I$1,'Data_NSA'!$A:$A,0),MATCH("CUUR0000SA0",'Data_NSA'!$1:$1,0))/INDEX('Data_NSA'!$A:$OK,MATCH($E15,'Data_NSA'!$A:$A,0),MATCH("CUUR0000SA0",'Data_NSA'!$1:$1,0)))),"")</f>
        <v/>
      </c>
    </row>
    <row r="16">
      <c r="A16" s="3" t="inlineStr">
        <is>
          <t>SS02021</t>
        </is>
      </c>
      <c r="B16" s="3" t="inlineStr">
        <is>
          <t>Bread other than white</t>
        </is>
      </c>
      <c r="C16" s="3" t="inlineStr">
        <is>
          <t>CUUR0000SS02021</t>
        </is>
      </c>
      <c r="D16" s="21" t="n"/>
      <c r="E16" s="22" t="n">
        <v>45992</v>
      </c>
      <c r="F16" s="3" t="n">
        <v>2024</v>
      </c>
      <c r="G16" s="10">
        <f>IFERROR(100*($D16*(INDEX('Data_NSA'!$A:$OK,MATCH(G$1,'Data_NSA'!$A:$A,0),MATCH($C16,'Data_NSA'!$1:$1,0))/INDEX('Data_NSA'!$A:$OK,MATCH($E16,'Data_NSA'!$A:$A,0),MATCH($C16,'Data_NSA'!$1:$1,0))))/(100*(INDEX('Data_NSA'!$A:$OK,MATCH(G$1,'Data_NSA'!$A:$A,0),MATCH("CUUR0000SA0",'Data_NSA'!$1:$1,0))/INDEX('Data_NSA'!$A:$OK,MATCH($E16,'Data_NSA'!$A:$A,0),MATCH("CUUR0000SA0",'Data_NSA'!$1:$1,0)))),"")</f>
        <v/>
      </c>
      <c r="H16" s="10">
        <f>IFERROR(100*($D16*(INDEX('Data_NSA'!$A:$OK,MATCH(H$1,'Data_NSA'!$A:$A,0),MATCH($C16,'Data_NSA'!$1:$1,0))/INDEX('Data_NSA'!$A:$OK,MATCH($E16,'Data_NSA'!$A:$A,0),MATCH($C16,'Data_NSA'!$1:$1,0))))/(100*(INDEX('Data_NSA'!$A:$OK,MATCH(H$1,'Data_NSA'!$A:$A,0),MATCH("CUUR0000SA0",'Data_NSA'!$1:$1,0))/INDEX('Data_NSA'!$A:$OK,MATCH($E16,'Data_NSA'!$A:$A,0),MATCH("CUUR0000SA0",'Data_NSA'!$1:$1,0)))),"")</f>
        <v/>
      </c>
      <c r="I16" s="10">
        <f>IFERROR(100*($D16*(INDEX('Data_NSA'!$A:$OK,MATCH(I$1,'Data_NSA'!$A:$A,0),MATCH($C16,'Data_NSA'!$1:$1,0))/INDEX('Data_NSA'!$A:$OK,MATCH($E16,'Data_NSA'!$A:$A,0),MATCH($C16,'Data_NSA'!$1:$1,0))))/(100*(INDEX('Data_NSA'!$A:$OK,MATCH(I$1,'Data_NSA'!$A:$A,0),MATCH("CUUR0000SA0",'Data_NSA'!$1:$1,0))/INDEX('Data_NSA'!$A:$OK,MATCH($E16,'Data_NSA'!$A:$A,0),MATCH("CUUR0000SA0",'Data_NSA'!$1:$1,0)))),"")</f>
        <v/>
      </c>
    </row>
    <row r="17">
      <c r="A17" s="3" t="inlineStr">
        <is>
          <t>SEFB02</t>
        </is>
      </c>
      <c r="B17" s="3" t="inlineStr">
        <is>
          <t>Fresh biscuits, rolls, muffins</t>
        </is>
      </c>
      <c r="C17" s="3" t="inlineStr">
        <is>
          <t>CUUR0000SEFB02</t>
        </is>
      </c>
      <c r="D17" s="21" t="n">
        <v>0.12</v>
      </c>
      <c r="E17" s="22" t="n">
        <v>45992</v>
      </c>
      <c r="F17" s="3" t="n">
        <v>2024</v>
      </c>
      <c r="G17" s="10">
        <f>IFERROR(100*($D17*(INDEX('Data_NSA'!$A:$OK,MATCH(G$1,'Data_NSA'!$A:$A,0),MATCH($C17,'Data_NSA'!$1:$1,0))/INDEX('Data_NSA'!$A:$OK,MATCH($E17,'Data_NSA'!$A:$A,0),MATCH($C17,'Data_NSA'!$1:$1,0))))/(100*(INDEX('Data_NSA'!$A:$OK,MATCH(G$1,'Data_NSA'!$A:$A,0),MATCH("CUUR0000SA0",'Data_NSA'!$1:$1,0))/INDEX('Data_NSA'!$A:$OK,MATCH($E17,'Data_NSA'!$A:$A,0),MATCH("CUUR0000SA0",'Data_NSA'!$1:$1,0)))),"")</f>
        <v/>
      </c>
      <c r="H17" s="10">
        <f>IFERROR(100*($D17*(INDEX('Data_NSA'!$A:$OK,MATCH(H$1,'Data_NSA'!$A:$A,0),MATCH($C17,'Data_NSA'!$1:$1,0))/INDEX('Data_NSA'!$A:$OK,MATCH($E17,'Data_NSA'!$A:$A,0),MATCH($C17,'Data_NSA'!$1:$1,0))))/(100*(INDEX('Data_NSA'!$A:$OK,MATCH(H$1,'Data_NSA'!$A:$A,0),MATCH("CUUR0000SA0",'Data_NSA'!$1:$1,0))/INDEX('Data_NSA'!$A:$OK,MATCH($E17,'Data_NSA'!$A:$A,0),MATCH("CUUR0000SA0",'Data_NSA'!$1:$1,0)))),"")</f>
        <v/>
      </c>
      <c r="I17" s="10">
        <f>IFERROR(100*($D17*(INDEX('Data_NSA'!$A:$OK,MATCH(I$1,'Data_NSA'!$A:$A,0),MATCH($C17,'Data_NSA'!$1:$1,0))/INDEX('Data_NSA'!$A:$OK,MATCH($E17,'Data_NSA'!$A:$A,0),MATCH($C17,'Data_NSA'!$1:$1,0))))/(100*(INDEX('Data_NSA'!$A:$OK,MATCH(I$1,'Data_NSA'!$A:$A,0),MATCH("CUUR0000SA0",'Data_NSA'!$1:$1,0))/INDEX('Data_NSA'!$A:$OK,MATCH($E17,'Data_NSA'!$A:$A,0),MATCH("CUUR0000SA0",'Data_NSA'!$1:$1,0)))),"")</f>
        <v/>
      </c>
    </row>
    <row r="18">
      <c r="A18" s="3" t="inlineStr">
        <is>
          <t>SEFB03</t>
        </is>
      </c>
      <c r="B18" s="3" t="inlineStr">
        <is>
          <t>Cakes, cupcakes, and cookies</t>
        </is>
      </c>
      <c r="C18" s="3" t="inlineStr">
        <is>
          <t>CUUR0000SEFB03</t>
        </is>
      </c>
      <c r="D18" s="21" t="n">
        <v>0.21</v>
      </c>
      <c r="E18" s="22" t="n">
        <v>45992</v>
      </c>
      <c r="F18" s="3" t="n">
        <v>2024</v>
      </c>
      <c r="G18" s="10">
        <f>IFERROR(100*($D18*(INDEX('Data_NSA'!$A:$OK,MATCH(G$1,'Data_NSA'!$A:$A,0),MATCH($C18,'Data_NSA'!$1:$1,0))/INDEX('Data_NSA'!$A:$OK,MATCH($E18,'Data_NSA'!$A:$A,0),MATCH($C18,'Data_NSA'!$1:$1,0))))/(100*(INDEX('Data_NSA'!$A:$OK,MATCH(G$1,'Data_NSA'!$A:$A,0),MATCH("CUUR0000SA0",'Data_NSA'!$1:$1,0))/INDEX('Data_NSA'!$A:$OK,MATCH($E18,'Data_NSA'!$A:$A,0),MATCH("CUUR0000SA0",'Data_NSA'!$1:$1,0)))),"")</f>
        <v/>
      </c>
      <c r="H18" s="10">
        <f>IFERROR(100*($D18*(INDEX('Data_NSA'!$A:$OK,MATCH(H$1,'Data_NSA'!$A:$A,0),MATCH($C18,'Data_NSA'!$1:$1,0))/INDEX('Data_NSA'!$A:$OK,MATCH($E18,'Data_NSA'!$A:$A,0),MATCH($C18,'Data_NSA'!$1:$1,0))))/(100*(INDEX('Data_NSA'!$A:$OK,MATCH(H$1,'Data_NSA'!$A:$A,0),MATCH("CUUR0000SA0",'Data_NSA'!$1:$1,0))/INDEX('Data_NSA'!$A:$OK,MATCH($E18,'Data_NSA'!$A:$A,0),MATCH("CUUR0000SA0",'Data_NSA'!$1:$1,0)))),"")</f>
        <v/>
      </c>
      <c r="I18" s="10">
        <f>IFERROR(100*($D18*(INDEX('Data_NSA'!$A:$OK,MATCH(I$1,'Data_NSA'!$A:$A,0),MATCH($C18,'Data_NSA'!$1:$1,0))/INDEX('Data_NSA'!$A:$OK,MATCH($E18,'Data_NSA'!$A:$A,0),MATCH($C18,'Data_NSA'!$1:$1,0))))/(100*(INDEX('Data_NSA'!$A:$OK,MATCH(I$1,'Data_NSA'!$A:$A,0),MATCH("CUUR0000SA0",'Data_NSA'!$1:$1,0))/INDEX('Data_NSA'!$A:$OK,MATCH($E18,'Data_NSA'!$A:$A,0),MATCH("CUUR0000SA0",'Data_NSA'!$1:$1,0)))),"")</f>
        <v/>
      </c>
    </row>
    <row r="19">
      <c r="A19" s="3" t="inlineStr">
        <is>
          <t>SS02041</t>
        </is>
      </c>
      <c r="B19" s="3" t="inlineStr">
        <is>
          <t>Fresh cakes and cupcakes</t>
        </is>
      </c>
      <c r="C19" s="3" t="inlineStr">
        <is>
          <t>CUUR0000SS02041</t>
        </is>
      </c>
      <c r="D19" s="21" t="n"/>
      <c r="E19" s="22" t="n">
        <v>45992</v>
      </c>
      <c r="F19" s="3" t="n">
        <v>2024</v>
      </c>
      <c r="G19" s="10">
        <f>IFERROR(100*($D19*(INDEX('Data_NSA'!$A:$OK,MATCH(G$1,'Data_NSA'!$A:$A,0),MATCH($C19,'Data_NSA'!$1:$1,0))/INDEX('Data_NSA'!$A:$OK,MATCH($E19,'Data_NSA'!$A:$A,0),MATCH($C19,'Data_NSA'!$1:$1,0))))/(100*(INDEX('Data_NSA'!$A:$OK,MATCH(G$1,'Data_NSA'!$A:$A,0),MATCH("CUUR0000SA0",'Data_NSA'!$1:$1,0))/INDEX('Data_NSA'!$A:$OK,MATCH($E19,'Data_NSA'!$A:$A,0),MATCH("CUUR0000SA0",'Data_NSA'!$1:$1,0)))),"")</f>
        <v/>
      </c>
      <c r="H19" s="10">
        <f>IFERROR(100*($D19*(INDEX('Data_NSA'!$A:$OK,MATCH(H$1,'Data_NSA'!$A:$A,0),MATCH($C19,'Data_NSA'!$1:$1,0))/INDEX('Data_NSA'!$A:$OK,MATCH($E19,'Data_NSA'!$A:$A,0),MATCH($C19,'Data_NSA'!$1:$1,0))))/(100*(INDEX('Data_NSA'!$A:$OK,MATCH(H$1,'Data_NSA'!$A:$A,0),MATCH("CUUR0000SA0",'Data_NSA'!$1:$1,0))/INDEX('Data_NSA'!$A:$OK,MATCH($E19,'Data_NSA'!$A:$A,0),MATCH("CUUR0000SA0",'Data_NSA'!$1:$1,0)))),"")</f>
        <v/>
      </c>
      <c r="I19" s="10">
        <f>IFERROR(100*($D19*(INDEX('Data_NSA'!$A:$OK,MATCH(I$1,'Data_NSA'!$A:$A,0),MATCH($C19,'Data_NSA'!$1:$1,0))/INDEX('Data_NSA'!$A:$OK,MATCH($E19,'Data_NSA'!$A:$A,0),MATCH($C19,'Data_NSA'!$1:$1,0))))/(100*(INDEX('Data_NSA'!$A:$OK,MATCH(I$1,'Data_NSA'!$A:$A,0),MATCH("CUUR0000SA0",'Data_NSA'!$1:$1,0))/INDEX('Data_NSA'!$A:$OK,MATCH($E19,'Data_NSA'!$A:$A,0),MATCH("CUUR0000SA0",'Data_NSA'!$1:$1,0)))),"")</f>
        <v/>
      </c>
    </row>
    <row r="20">
      <c r="A20" s="3" t="inlineStr">
        <is>
          <t>SS02042</t>
        </is>
      </c>
      <c r="B20" s="3" t="inlineStr">
        <is>
          <t>Cookies</t>
        </is>
      </c>
      <c r="C20" s="3" t="inlineStr">
        <is>
          <t>CUUR0000SS02042</t>
        </is>
      </c>
      <c r="D20" s="21" t="n"/>
      <c r="E20" s="22" t="n">
        <v>45992</v>
      </c>
      <c r="F20" s="3" t="n">
        <v>2024</v>
      </c>
      <c r="G20" s="10">
        <f>IFERROR(100*($D20*(INDEX('Data_NSA'!$A:$OK,MATCH(G$1,'Data_NSA'!$A:$A,0),MATCH($C20,'Data_NSA'!$1:$1,0))/INDEX('Data_NSA'!$A:$OK,MATCH($E20,'Data_NSA'!$A:$A,0),MATCH($C20,'Data_NSA'!$1:$1,0))))/(100*(INDEX('Data_NSA'!$A:$OK,MATCH(G$1,'Data_NSA'!$A:$A,0),MATCH("CUUR0000SA0",'Data_NSA'!$1:$1,0))/INDEX('Data_NSA'!$A:$OK,MATCH($E20,'Data_NSA'!$A:$A,0),MATCH("CUUR0000SA0",'Data_NSA'!$1:$1,0)))),"")</f>
        <v/>
      </c>
      <c r="H20" s="10">
        <f>IFERROR(100*($D20*(INDEX('Data_NSA'!$A:$OK,MATCH(H$1,'Data_NSA'!$A:$A,0),MATCH($C20,'Data_NSA'!$1:$1,0))/INDEX('Data_NSA'!$A:$OK,MATCH($E20,'Data_NSA'!$A:$A,0),MATCH($C20,'Data_NSA'!$1:$1,0))))/(100*(INDEX('Data_NSA'!$A:$OK,MATCH(H$1,'Data_NSA'!$A:$A,0),MATCH("CUUR0000SA0",'Data_NSA'!$1:$1,0))/INDEX('Data_NSA'!$A:$OK,MATCH($E20,'Data_NSA'!$A:$A,0),MATCH("CUUR0000SA0",'Data_NSA'!$1:$1,0)))),"")</f>
        <v/>
      </c>
      <c r="I20" s="10">
        <f>IFERROR(100*($D20*(INDEX('Data_NSA'!$A:$OK,MATCH(I$1,'Data_NSA'!$A:$A,0),MATCH($C20,'Data_NSA'!$1:$1,0))/INDEX('Data_NSA'!$A:$OK,MATCH($E20,'Data_NSA'!$A:$A,0),MATCH($C20,'Data_NSA'!$1:$1,0))))/(100*(INDEX('Data_NSA'!$A:$OK,MATCH(I$1,'Data_NSA'!$A:$A,0),MATCH("CUUR0000SA0",'Data_NSA'!$1:$1,0))/INDEX('Data_NSA'!$A:$OK,MATCH($E20,'Data_NSA'!$A:$A,0),MATCH("CUUR0000SA0",'Data_NSA'!$1:$1,0)))),"")</f>
        <v/>
      </c>
    </row>
    <row r="21">
      <c r="A21" s="3" t="inlineStr">
        <is>
          <t>SEFB04</t>
        </is>
      </c>
      <c r="B21" s="3" t="inlineStr">
        <is>
          <t>Other bakery products</t>
        </is>
      </c>
      <c r="C21" s="3" t="inlineStr">
        <is>
          <t>CUUR0000SEFB04</t>
        </is>
      </c>
      <c r="D21" s="21" t="n">
        <v>0.217</v>
      </c>
      <c r="E21" s="22" t="n">
        <v>45992</v>
      </c>
      <c r="F21" s="3" t="n">
        <v>2024</v>
      </c>
      <c r="G21" s="10">
        <f>IFERROR(100*($D21*(INDEX('Data_NSA'!$A:$OK,MATCH(G$1,'Data_NSA'!$A:$A,0),MATCH($C21,'Data_NSA'!$1:$1,0))/INDEX('Data_NSA'!$A:$OK,MATCH($E21,'Data_NSA'!$A:$A,0),MATCH($C21,'Data_NSA'!$1:$1,0))))/(100*(INDEX('Data_NSA'!$A:$OK,MATCH(G$1,'Data_NSA'!$A:$A,0),MATCH("CUUR0000SA0",'Data_NSA'!$1:$1,0))/INDEX('Data_NSA'!$A:$OK,MATCH($E21,'Data_NSA'!$A:$A,0),MATCH("CUUR0000SA0",'Data_NSA'!$1:$1,0)))),"")</f>
        <v/>
      </c>
      <c r="H21" s="10">
        <f>IFERROR(100*($D21*(INDEX('Data_NSA'!$A:$OK,MATCH(H$1,'Data_NSA'!$A:$A,0),MATCH($C21,'Data_NSA'!$1:$1,0))/INDEX('Data_NSA'!$A:$OK,MATCH($E21,'Data_NSA'!$A:$A,0),MATCH($C21,'Data_NSA'!$1:$1,0))))/(100*(INDEX('Data_NSA'!$A:$OK,MATCH(H$1,'Data_NSA'!$A:$A,0),MATCH("CUUR0000SA0",'Data_NSA'!$1:$1,0))/INDEX('Data_NSA'!$A:$OK,MATCH($E21,'Data_NSA'!$A:$A,0),MATCH("CUUR0000SA0",'Data_NSA'!$1:$1,0)))),"")</f>
        <v/>
      </c>
      <c r="I21" s="10">
        <f>IFERROR(100*($D21*(INDEX('Data_NSA'!$A:$OK,MATCH(I$1,'Data_NSA'!$A:$A,0),MATCH($C21,'Data_NSA'!$1:$1,0))/INDEX('Data_NSA'!$A:$OK,MATCH($E21,'Data_NSA'!$A:$A,0),MATCH($C21,'Data_NSA'!$1:$1,0))))/(100*(INDEX('Data_NSA'!$A:$OK,MATCH(I$1,'Data_NSA'!$A:$A,0),MATCH("CUUR0000SA0",'Data_NSA'!$1:$1,0))/INDEX('Data_NSA'!$A:$OK,MATCH($E21,'Data_NSA'!$A:$A,0),MATCH("CUUR0000SA0",'Data_NSA'!$1:$1,0)))),"")</f>
        <v/>
      </c>
    </row>
    <row r="22">
      <c r="A22" s="3" t="inlineStr">
        <is>
          <t>SS02063</t>
        </is>
      </c>
      <c r="B22" s="3" t="inlineStr">
        <is>
          <t>Fresh sweetrolls, coffeecakes, doughnuts</t>
        </is>
      </c>
      <c r="C22" s="3" t="inlineStr">
        <is>
          <t>CUUR0000SS02063</t>
        </is>
      </c>
      <c r="D22" s="21" t="n"/>
      <c r="E22" s="22" t="n">
        <v>45992</v>
      </c>
      <c r="F22" s="3" t="n">
        <v>2024</v>
      </c>
      <c r="G22" s="10">
        <f>IFERROR(100*($D22*(INDEX('Data_NSA'!$A:$OK,MATCH(G$1,'Data_NSA'!$A:$A,0),MATCH($C22,'Data_NSA'!$1:$1,0))/INDEX('Data_NSA'!$A:$OK,MATCH($E22,'Data_NSA'!$A:$A,0),MATCH($C22,'Data_NSA'!$1:$1,0))))/(100*(INDEX('Data_NSA'!$A:$OK,MATCH(G$1,'Data_NSA'!$A:$A,0),MATCH("CUUR0000SA0",'Data_NSA'!$1:$1,0))/INDEX('Data_NSA'!$A:$OK,MATCH($E22,'Data_NSA'!$A:$A,0),MATCH("CUUR0000SA0",'Data_NSA'!$1:$1,0)))),"")</f>
        <v/>
      </c>
      <c r="H22" s="10">
        <f>IFERROR(100*($D22*(INDEX('Data_NSA'!$A:$OK,MATCH(H$1,'Data_NSA'!$A:$A,0),MATCH($C22,'Data_NSA'!$1:$1,0))/INDEX('Data_NSA'!$A:$OK,MATCH($E22,'Data_NSA'!$A:$A,0),MATCH($C22,'Data_NSA'!$1:$1,0))))/(100*(INDEX('Data_NSA'!$A:$OK,MATCH(H$1,'Data_NSA'!$A:$A,0),MATCH("CUUR0000SA0",'Data_NSA'!$1:$1,0))/INDEX('Data_NSA'!$A:$OK,MATCH($E22,'Data_NSA'!$A:$A,0),MATCH("CUUR0000SA0",'Data_NSA'!$1:$1,0)))),"")</f>
        <v/>
      </c>
      <c r="I22" s="10">
        <f>IFERROR(100*($D22*(INDEX('Data_NSA'!$A:$OK,MATCH(I$1,'Data_NSA'!$A:$A,0),MATCH($C22,'Data_NSA'!$1:$1,0))/INDEX('Data_NSA'!$A:$OK,MATCH($E22,'Data_NSA'!$A:$A,0),MATCH($C22,'Data_NSA'!$1:$1,0))))/(100*(INDEX('Data_NSA'!$A:$OK,MATCH(I$1,'Data_NSA'!$A:$A,0),MATCH("CUUR0000SA0",'Data_NSA'!$1:$1,0))/INDEX('Data_NSA'!$A:$OK,MATCH($E22,'Data_NSA'!$A:$A,0),MATCH("CUUR0000SA0",'Data_NSA'!$1:$1,0)))),"")</f>
        <v/>
      </c>
    </row>
    <row r="23">
      <c r="A23" s="3" t="inlineStr">
        <is>
          <t>SS0206A</t>
        </is>
      </c>
      <c r="B23" s="3" t="inlineStr">
        <is>
          <t>Crackers, bread, and cracker products</t>
        </is>
      </c>
      <c r="C23" s="3" t="inlineStr">
        <is>
          <t>CUUR0000SS0206A</t>
        </is>
      </c>
      <c r="D23" s="21" t="n"/>
      <c r="E23" s="22" t="n">
        <v>45992</v>
      </c>
      <c r="F23" s="3" t="n">
        <v>2024</v>
      </c>
      <c r="G23" s="10">
        <f>IFERROR(100*($D23*(INDEX('Data_NSA'!$A:$OK,MATCH(G$1,'Data_NSA'!$A:$A,0),MATCH($C23,'Data_NSA'!$1:$1,0))/INDEX('Data_NSA'!$A:$OK,MATCH($E23,'Data_NSA'!$A:$A,0),MATCH($C23,'Data_NSA'!$1:$1,0))))/(100*(INDEX('Data_NSA'!$A:$OK,MATCH(G$1,'Data_NSA'!$A:$A,0),MATCH("CUUR0000SA0",'Data_NSA'!$1:$1,0))/INDEX('Data_NSA'!$A:$OK,MATCH($E23,'Data_NSA'!$A:$A,0),MATCH("CUUR0000SA0",'Data_NSA'!$1:$1,0)))),"")</f>
        <v/>
      </c>
      <c r="H23" s="10">
        <f>IFERROR(100*($D23*(INDEX('Data_NSA'!$A:$OK,MATCH(H$1,'Data_NSA'!$A:$A,0),MATCH($C23,'Data_NSA'!$1:$1,0))/INDEX('Data_NSA'!$A:$OK,MATCH($E23,'Data_NSA'!$A:$A,0),MATCH($C23,'Data_NSA'!$1:$1,0))))/(100*(INDEX('Data_NSA'!$A:$OK,MATCH(H$1,'Data_NSA'!$A:$A,0),MATCH("CUUR0000SA0",'Data_NSA'!$1:$1,0))/INDEX('Data_NSA'!$A:$OK,MATCH($E23,'Data_NSA'!$A:$A,0),MATCH("CUUR0000SA0",'Data_NSA'!$1:$1,0)))),"")</f>
        <v/>
      </c>
      <c r="I23" s="10">
        <f>IFERROR(100*($D23*(INDEX('Data_NSA'!$A:$OK,MATCH(I$1,'Data_NSA'!$A:$A,0),MATCH($C23,'Data_NSA'!$1:$1,0))/INDEX('Data_NSA'!$A:$OK,MATCH($E23,'Data_NSA'!$A:$A,0),MATCH($C23,'Data_NSA'!$1:$1,0))))/(100*(INDEX('Data_NSA'!$A:$OK,MATCH(I$1,'Data_NSA'!$A:$A,0),MATCH("CUUR0000SA0",'Data_NSA'!$1:$1,0))/INDEX('Data_NSA'!$A:$OK,MATCH($E23,'Data_NSA'!$A:$A,0),MATCH("CUUR0000SA0",'Data_NSA'!$1:$1,0)))),"")</f>
        <v/>
      </c>
    </row>
    <row r="24">
      <c r="A24" s="3" t="inlineStr">
        <is>
          <t>SS0206B</t>
        </is>
      </c>
      <c r="B24" s="3" t="inlineStr">
        <is>
          <t>Frozen and refrigerated bakery products, pies, tarts, turnovers</t>
        </is>
      </c>
      <c r="C24" s="3" t="inlineStr">
        <is>
          <t>CUUR0000SS0206B</t>
        </is>
      </c>
      <c r="D24" s="21" t="n"/>
      <c r="E24" s="22" t="n">
        <v>45992</v>
      </c>
      <c r="F24" s="3" t="n">
        <v>2024</v>
      </c>
      <c r="G24" s="10">
        <f>IFERROR(100*($D24*(INDEX('Data_NSA'!$A:$OK,MATCH(G$1,'Data_NSA'!$A:$A,0),MATCH($C24,'Data_NSA'!$1:$1,0))/INDEX('Data_NSA'!$A:$OK,MATCH($E24,'Data_NSA'!$A:$A,0),MATCH($C24,'Data_NSA'!$1:$1,0))))/(100*(INDEX('Data_NSA'!$A:$OK,MATCH(G$1,'Data_NSA'!$A:$A,0),MATCH("CUUR0000SA0",'Data_NSA'!$1:$1,0))/INDEX('Data_NSA'!$A:$OK,MATCH($E24,'Data_NSA'!$A:$A,0),MATCH("CUUR0000SA0",'Data_NSA'!$1:$1,0)))),"")</f>
        <v/>
      </c>
      <c r="H24" s="10">
        <f>IFERROR(100*($D24*(INDEX('Data_NSA'!$A:$OK,MATCH(H$1,'Data_NSA'!$A:$A,0),MATCH($C24,'Data_NSA'!$1:$1,0))/INDEX('Data_NSA'!$A:$OK,MATCH($E24,'Data_NSA'!$A:$A,0),MATCH($C24,'Data_NSA'!$1:$1,0))))/(100*(INDEX('Data_NSA'!$A:$OK,MATCH(H$1,'Data_NSA'!$A:$A,0),MATCH("CUUR0000SA0",'Data_NSA'!$1:$1,0))/INDEX('Data_NSA'!$A:$OK,MATCH($E24,'Data_NSA'!$A:$A,0),MATCH("CUUR0000SA0",'Data_NSA'!$1:$1,0)))),"")</f>
        <v/>
      </c>
      <c r="I24" s="10">
        <f>IFERROR(100*($D24*(INDEX('Data_NSA'!$A:$OK,MATCH(I$1,'Data_NSA'!$A:$A,0),MATCH($C24,'Data_NSA'!$1:$1,0))/INDEX('Data_NSA'!$A:$OK,MATCH($E24,'Data_NSA'!$A:$A,0),MATCH($C24,'Data_NSA'!$1:$1,0))))/(100*(INDEX('Data_NSA'!$A:$OK,MATCH(I$1,'Data_NSA'!$A:$A,0),MATCH("CUUR0000SA0",'Data_NSA'!$1:$1,0))/INDEX('Data_NSA'!$A:$OK,MATCH($E24,'Data_NSA'!$A:$A,0),MATCH("CUUR0000SA0",'Data_NSA'!$1:$1,0)))),"")</f>
        <v/>
      </c>
    </row>
    <row r="25">
      <c r="A25" s="3" t="inlineStr">
        <is>
          <t>SAF112</t>
        </is>
      </c>
      <c r="B25" s="3" t="inlineStr">
        <is>
          <t>Meats, poultry, fish, and eggs</t>
        </is>
      </c>
      <c r="C25" s="3" t="inlineStr">
        <is>
          <t>CUUR0000SAF112</t>
        </is>
      </c>
      <c r="D25" s="21" t="n">
        <v>1.995</v>
      </c>
      <c r="E25" s="22" t="n">
        <v>45992</v>
      </c>
      <c r="F25" s="3" t="n">
        <v>2024</v>
      </c>
      <c r="G25" s="10">
        <f>IFERROR(100*($D25*(INDEX('Data_NSA'!$A:$OK,MATCH(G$1,'Data_NSA'!$A:$A,0),MATCH($C25,'Data_NSA'!$1:$1,0))/INDEX('Data_NSA'!$A:$OK,MATCH($E25,'Data_NSA'!$A:$A,0),MATCH($C25,'Data_NSA'!$1:$1,0))))/(100*(INDEX('Data_NSA'!$A:$OK,MATCH(G$1,'Data_NSA'!$A:$A,0),MATCH("CUUR0000SA0",'Data_NSA'!$1:$1,0))/INDEX('Data_NSA'!$A:$OK,MATCH($E25,'Data_NSA'!$A:$A,0),MATCH("CUUR0000SA0",'Data_NSA'!$1:$1,0)))),"")</f>
        <v/>
      </c>
      <c r="H25" s="10">
        <f>IFERROR(100*($D25*(INDEX('Data_NSA'!$A:$OK,MATCH(H$1,'Data_NSA'!$A:$A,0),MATCH($C25,'Data_NSA'!$1:$1,0))/INDEX('Data_NSA'!$A:$OK,MATCH($E25,'Data_NSA'!$A:$A,0),MATCH($C25,'Data_NSA'!$1:$1,0))))/(100*(INDEX('Data_NSA'!$A:$OK,MATCH(H$1,'Data_NSA'!$A:$A,0),MATCH("CUUR0000SA0",'Data_NSA'!$1:$1,0))/INDEX('Data_NSA'!$A:$OK,MATCH($E25,'Data_NSA'!$A:$A,0),MATCH("CUUR0000SA0",'Data_NSA'!$1:$1,0)))),"")</f>
        <v/>
      </c>
      <c r="I25" s="10">
        <f>IFERROR(100*($D25*(INDEX('Data_NSA'!$A:$OK,MATCH(I$1,'Data_NSA'!$A:$A,0),MATCH($C25,'Data_NSA'!$1:$1,0))/INDEX('Data_NSA'!$A:$OK,MATCH($E25,'Data_NSA'!$A:$A,0),MATCH($C25,'Data_NSA'!$1:$1,0))))/(100*(INDEX('Data_NSA'!$A:$OK,MATCH(I$1,'Data_NSA'!$A:$A,0),MATCH("CUUR0000SA0",'Data_NSA'!$1:$1,0))/INDEX('Data_NSA'!$A:$OK,MATCH($E25,'Data_NSA'!$A:$A,0),MATCH("CUUR0000SA0",'Data_NSA'!$1:$1,0)))),"")</f>
        <v/>
      </c>
    </row>
    <row r="26">
      <c r="A26" s="3" t="inlineStr">
        <is>
          <t>SAF1121</t>
        </is>
      </c>
      <c r="B26" s="3" t="inlineStr">
        <is>
          <t>Meats, poultry, and fish</t>
        </is>
      </c>
      <c r="C26" s="3" t="inlineStr">
        <is>
          <t>CUUR0000SAF1121</t>
        </is>
      </c>
      <c r="D26" s="21" t="n">
        <v>1.862</v>
      </c>
      <c r="E26" s="22" t="n">
        <v>45992</v>
      </c>
      <c r="F26" s="3" t="n">
        <v>2024</v>
      </c>
      <c r="G26" s="10">
        <f>IFERROR(100*($D26*(INDEX('Data_NSA'!$A:$OK,MATCH(G$1,'Data_NSA'!$A:$A,0),MATCH($C26,'Data_NSA'!$1:$1,0))/INDEX('Data_NSA'!$A:$OK,MATCH($E26,'Data_NSA'!$A:$A,0),MATCH($C26,'Data_NSA'!$1:$1,0))))/(100*(INDEX('Data_NSA'!$A:$OK,MATCH(G$1,'Data_NSA'!$A:$A,0),MATCH("CUUR0000SA0",'Data_NSA'!$1:$1,0))/INDEX('Data_NSA'!$A:$OK,MATCH($E26,'Data_NSA'!$A:$A,0),MATCH("CUUR0000SA0",'Data_NSA'!$1:$1,0)))),"")</f>
        <v/>
      </c>
      <c r="H26" s="10">
        <f>IFERROR(100*($D26*(INDEX('Data_NSA'!$A:$OK,MATCH(H$1,'Data_NSA'!$A:$A,0),MATCH($C26,'Data_NSA'!$1:$1,0))/INDEX('Data_NSA'!$A:$OK,MATCH($E26,'Data_NSA'!$A:$A,0),MATCH($C26,'Data_NSA'!$1:$1,0))))/(100*(INDEX('Data_NSA'!$A:$OK,MATCH(H$1,'Data_NSA'!$A:$A,0),MATCH("CUUR0000SA0",'Data_NSA'!$1:$1,0))/INDEX('Data_NSA'!$A:$OK,MATCH($E26,'Data_NSA'!$A:$A,0),MATCH("CUUR0000SA0",'Data_NSA'!$1:$1,0)))),"")</f>
        <v/>
      </c>
      <c r="I26" s="10">
        <f>IFERROR(100*($D26*(INDEX('Data_NSA'!$A:$OK,MATCH(I$1,'Data_NSA'!$A:$A,0),MATCH($C26,'Data_NSA'!$1:$1,0))/INDEX('Data_NSA'!$A:$OK,MATCH($E26,'Data_NSA'!$A:$A,0),MATCH($C26,'Data_NSA'!$1:$1,0))))/(100*(INDEX('Data_NSA'!$A:$OK,MATCH(I$1,'Data_NSA'!$A:$A,0),MATCH("CUUR0000SA0",'Data_NSA'!$1:$1,0))/INDEX('Data_NSA'!$A:$OK,MATCH($E26,'Data_NSA'!$A:$A,0),MATCH("CUUR0000SA0",'Data_NSA'!$1:$1,0)))),"")</f>
        <v/>
      </c>
    </row>
    <row r="27">
      <c r="A27" s="3" t="inlineStr">
        <is>
          <t>SAF11211</t>
        </is>
      </c>
      <c r="B27" s="3" t="inlineStr">
        <is>
          <t>Meats</t>
        </is>
      </c>
      <c r="C27" s="3" t="inlineStr">
        <is>
          <t>CUUR0000SAF11211</t>
        </is>
      </c>
      <c r="D27" s="21" t="n">
        <v>1.186</v>
      </c>
      <c r="E27" s="22" t="n">
        <v>45992</v>
      </c>
      <c r="F27" s="3" t="n">
        <v>2024</v>
      </c>
      <c r="G27" s="10">
        <f>IFERROR(100*($D27*(INDEX('Data_NSA'!$A:$OK,MATCH(G$1,'Data_NSA'!$A:$A,0),MATCH($C27,'Data_NSA'!$1:$1,0))/INDEX('Data_NSA'!$A:$OK,MATCH($E27,'Data_NSA'!$A:$A,0),MATCH($C27,'Data_NSA'!$1:$1,0))))/(100*(INDEX('Data_NSA'!$A:$OK,MATCH(G$1,'Data_NSA'!$A:$A,0),MATCH("CUUR0000SA0",'Data_NSA'!$1:$1,0))/INDEX('Data_NSA'!$A:$OK,MATCH($E27,'Data_NSA'!$A:$A,0),MATCH("CUUR0000SA0",'Data_NSA'!$1:$1,0)))),"")</f>
        <v/>
      </c>
      <c r="H27" s="10">
        <f>IFERROR(100*($D27*(INDEX('Data_NSA'!$A:$OK,MATCH(H$1,'Data_NSA'!$A:$A,0),MATCH($C27,'Data_NSA'!$1:$1,0))/INDEX('Data_NSA'!$A:$OK,MATCH($E27,'Data_NSA'!$A:$A,0),MATCH($C27,'Data_NSA'!$1:$1,0))))/(100*(INDEX('Data_NSA'!$A:$OK,MATCH(H$1,'Data_NSA'!$A:$A,0),MATCH("CUUR0000SA0",'Data_NSA'!$1:$1,0))/INDEX('Data_NSA'!$A:$OK,MATCH($E27,'Data_NSA'!$A:$A,0),MATCH("CUUR0000SA0",'Data_NSA'!$1:$1,0)))),"")</f>
        <v/>
      </c>
      <c r="I27" s="10">
        <f>IFERROR(100*($D27*(INDEX('Data_NSA'!$A:$OK,MATCH(I$1,'Data_NSA'!$A:$A,0),MATCH($C27,'Data_NSA'!$1:$1,0))/INDEX('Data_NSA'!$A:$OK,MATCH($E27,'Data_NSA'!$A:$A,0),MATCH($C27,'Data_NSA'!$1:$1,0))))/(100*(INDEX('Data_NSA'!$A:$OK,MATCH(I$1,'Data_NSA'!$A:$A,0),MATCH("CUUR0000SA0",'Data_NSA'!$1:$1,0))/INDEX('Data_NSA'!$A:$OK,MATCH($E27,'Data_NSA'!$A:$A,0),MATCH("CUUR0000SA0",'Data_NSA'!$1:$1,0)))),"")</f>
        <v/>
      </c>
    </row>
    <row r="28">
      <c r="A28" s="3" t="inlineStr">
        <is>
          <t>SEFC</t>
        </is>
      </c>
      <c r="B28" s="3" t="inlineStr">
        <is>
          <t>Beef and veal</t>
        </is>
      </c>
      <c r="C28" s="3" t="inlineStr">
        <is>
          <t>CUUR0000SEFC</t>
        </is>
      </c>
      <c r="D28" s="21" t="n">
        <v>0.638</v>
      </c>
      <c r="E28" s="22" t="n">
        <v>45992</v>
      </c>
      <c r="F28" s="3" t="n">
        <v>2024</v>
      </c>
      <c r="G28" s="10">
        <f>IFERROR(100*($D28*(INDEX('Data_NSA'!$A:$OK,MATCH(G$1,'Data_NSA'!$A:$A,0),MATCH($C28,'Data_NSA'!$1:$1,0))/INDEX('Data_NSA'!$A:$OK,MATCH($E28,'Data_NSA'!$A:$A,0),MATCH($C28,'Data_NSA'!$1:$1,0))))/(100*(INDEX('Data_NSA'!$A:$OK,MATCH(G$1,'Data_NSA'!$A:$A,0),MATCH("CUUR0000SA0",'Data_NSA'!$1:$1,0))/INDEX('Data_NSA'!$A:$OK,MATCH($E28,'Data_NSA'!$A:$A,0),MATCH("CUUR0000SA0",'Data_NSA'!$1:$1,0)))),"")</f>
        <v/>
      </c>
      <c r="H28" s="10">
        <f>IFERROR(100*($D28*(INDEX('Data_NSA'!$A:$OK,MATCH(H$1,'Data_NSA'!$A:$A,0),MATCH($C28,'Data_NSA'!$1:$1,0))/INDEX('Data_NSA'!$A:$OK,MATCH($E28,'Data_NSA'!$A:$A,0),MATCH($C28,'Data_NSA'!$1:$1,0))))/(100*(INDEX('Data_NSA'!$A:$OK,MATCH(H$1,'Data_NSA'!$A:$A,0),MATCH("CUUR0000SA0",'Data_NSA'!$1:$1,0))/INDEX('Data_NSA'!$A:$OK,MATCH($E28,'Data_NSA'!$A:$A,0),MATCH("CUUR0000SA0",'Data_NSA'!$1:$1,0)))),"")</f>
        <v/>
      </c>
      <c r="I28" s="10">
        <f>IFERROR(100*($D28*(INDEX('Data_NSA'!$A:$OK,MATCH(I$1,'Data_NSA'!$A:$A,0),MATCH($C28,'Data_NSA'!$1:$1,0))/INDEX('Data_NSA'!$A:$OK,MATCH($E28,'Data_NSA'!$A:$A,0),MATCH($C28,'Data_NSA'!$1:$1,0))))/(100*(INDEX('Data_NSA'!$A:$OK,MATCH(I$1,'Data_NSA'!$A:$A,0),MATCH("CUUR0000SA0",'Data_NSA'!$1:$1,0))/INDEX('Data_NSA'!$A:$OK,MATCH($E28,'Data_NSA'!$A:$A,0),MATCH("CUUR0000SA0",'Data_NSA'!$1:$1,0)))),"")</f>
        <v/>
      </c>
    </row>
    <row r="29">
      <c r="A29" s="3" t="inlineStr">
        <is>
          <t>SEFC01</t>
        </is>
      </c>
      <c r="B29" s="3" t="inlineStr">
        <is>
          <t>Uncooked ground beef</t>
        </is>
      </c>
      <c r="C29" s="3" t="inlineStr">
        <is>
          <t>CUUR0000SEFC01</t>
        </is>
      </c>
      <c r="D29" s="21" t="n">
        <v>0.236</v>
      </c>
      <c r="E29" s="22" t="n">
        <v>45992</v>
      </c>
      <c r="F29" s="3" t="n">
        <v>2024</v>
      </c>
      <c r="G29" s="10">
        <f>IFERROR(100*($D29*(INDEX('Data_NSA'!$A:$OK,MATCH(G$1,'Data_NSA'!$A:$A,0),MATCH($C29,'Data_NSA'!$1:$1,0))/INDEX('Data_NSA'!$A:$OK,MATCH($E29,'Data_NSA'!$A:$A,0),MATCH($C29,'Data_NSA'!$1:$1,0))))/(100*(INDEX('Data_NSA'!$A:$OK,MATCH(G$1,'Data_NSA'!$A:$A,0),MATCH("CUUR0000SA0",'Data_NSA'!$1:$1,0))/INDEX('Data_NSA'!$A:$OK,MATCH($E29,'Data_NSA'!$A:$A,0),MATCH("CUUR0000SA0",'Data_NSA'!$1:$1,0)))),"")</f>
        <v/>
      </c>
      <c r="H29" s="10">
        <f>IFERROR(100*($D29*(INDEX('Data_NSA'!$A:$OK,MATCH(H$1,'Data_NSA'!$A:$A,0),MATCH($C29,'Data_NSA'!$1:$1,0))/INDEX('Data_NSA'!$A:$OK,MATCH($E29,'Data_NSA'!$A:$A,0),MATCH($C29,'Data_NSA'!$1:$1,0))))/(100*(INDEX('Data_NSA'!$A:$OK,MATCH(H$1,'Data_NSA'!$A:$A,0),MATCH("CUUR0000SA0",'Data_NSA'!$1:$1,0))/INDEX('Data_NSA'!$A:$OK,MATCH($E29,'Data_NSA'!$A:$A,0),MATCH("CUUR0000SA0",'Data_NSA'!$1:$1,0)))),"")</f>
        <v/>
      </c>
      <c r="I29" s="10">
        <f>IFERROR(100*($D29*(INDEX('Data_NSA'!$A:$OK,MATCH(I$1,'Data_NSA'!$A:$A,0),MATCH($C29,'Data_NSA'!$1:$1,0))/INDEX('Data_NSA'!$A:$OK,MATCH($E29,'Data_NSA'!$A:$A,0),MATCH($C29,'Data_NSA'!$1:$1,0))))/(100*(INDEX('Data_NSA'!$A:$OK,MATCH(I$1,'Data_NSA'!$A:$A,0),MATCH("CUUR0000SA0",'Data_NSA'!$1:$1,0))/INDEX('Data_NSA'!$A:$OK,MATCH($E29,'Data_NSA'!$A:$A,0),MATCH("CUUR0000SA0",'Data_NSA'!$1:$1,0)))),"")</f>
        <v/>
      </c>
    </row>
    <row r="30">
      <c r="A30" s="3" t="inlineStr">
        <is>
          <t>SEFC02</t>
        </is>
      </c>
      <c r="B30" s="3" t="inlineStr">
        <is>
          <t>Uncooked beef roasts</t>
        </is>
      </c>
      <c r="C30" s="3" t="inlineStr">
        <is>
          <t>CUUR0000SEFC02</t>
        </is>
      </c>
      <c r="D30" s="21" t="n">
        <v>0.08699999999999999</v>
      </c>
      <c r="E30" s="22" t="n">
        <v>45992</v>
      </c>
      <c r="F30" s="3" t="n">
        <v>2024</v>
      </c>
      <c r="G30" s="10">
        <f>IFERROR(100*($D30*(INDEX('Data_NSA'!$A:$OK,MATCH(G$1,'Data_NSA'!$A:$A,0),MATCH($C30,'Data_NSA'!$1:$1,0))/INDEX('Data_NSA'!$A:$OK,MATCH($E30,'Data_NSA'!$A:$A,0),MATCH($C30,'Data_NSA'!$1:$1,0))))/(100*(INDEX('Data_NSA'!$A:$OK,MATCH(G$1,'Data_NSA'!$A:$A,0),MATCH("CUUR0000SA0",'Data_NSA'!$1:$1,0))/INDEX('Data_NSA'!$A:$OK,MATCH($E30,'Data_NSA'!$A:$A,0),MATCH("CUUR0000SA0",'Data_NSA'!$1:$1,0)))),"")</f>
        <v/>
      </c>
      <c r="H30" s="10">
        <f>IFERROR(100*($D30*(INDEX('Data_NSA'!$A:$OK,MATCH(H$1,'Data_NSA'!$A:$A,0),MATCH($C30,'Data_NSA'!$1:$1,0))/INDEX('Data_NSA'!$A:$OK,MATCH($E30,'Data_NSA'!$A:$A,0),MATCH($C30,'Data_NSA'!$1:$1,0))))/(100*(INDEX('Data_NSA'!$A:$OK,MATCH(H$1,'Data_NSA'!$A:$A,0),MATCH("CUUR0000SA0",'Data_NSA'!$1:$1,0))/INDEX('Data_NSA'!$A:$OK,MATCH($E30,'Data_NSA'!$A:$A,0),MATCH("CUUR0000SA0",'Data_NSA'!$1:$1,0)))),"")</f>
        <v/>
      </c>
      <c r="I30" s="10">
        <f>IFERROR(100*($D30*(INDEX('Data_NSA'!$A:$OK,MATCH(I$1,'Data_NSA'!$A:$A,0),MATCH($C30,'Data_NSA'!$1:$1,0))/INDEX('Data_NSA'!$A:$OK,MATCH($E30,'Data_NSA'!$A:$A,0),MATCH($C30,'Data_NSA'!$1:$1,0))))/(100*(INDEX('Data_NSA'!$A:$OK,MATCH(I$1,'Data_NSA'!$A:$A,0),MATCH("CUUR0000SA0",'Data_NSA'!$1:$1,0))/INDEX('Data_NSA'!$A:$OK,MATCH($E30,'Data_NSA'!$A:$A,0),MATCH("CUUR0000SA0",'Data_NSA'!$1:$1,0)))),"")</f>
        <v/>
      </c>
    </row>
    <row r="31">
      <c r="A31" s="3" t="inlineStr">
        <is>
          <t>SEFC03</t>
        </is>
      </c>
      <c r="B31" s="3" t="inlineStr">
        <is>
          <t>Uncooked beef steaks</t>
        </is>
      </c>
      <c r="C31" s="3" t="inlineStr">
        <is>
          <t>CUUR0000SEFC03</t>
        </is>
      </c>
      <c r="D31" s="21" t="n">
        <v>0.24</v>
      </c>
      <c r="E31" s="22" t="n">
        <v>45992</v>
      </c>
      <c r="F31" s="3" t="n">
        <v>2024</v>
      </c>
      <c r="G31" s="10">
        <f>IFERROR(100*($D31*(INDEX('Data_NSA'!$A:$OK,MATCH(G$1,'Data_NSA'!$A:$A,0),MATCH($C31,'Data_NSA'!$1:$1,0))/INDEX('Data_NSA'!$A:$OK,MATCH($E31,'Data_NSA'!$A:$A,0),MATCH($C31,'Data_NSA'!$1:$1,0))))/(100*(INDEX('Data_NSA'!$A:$OK,MATCH(G$1,'Data_NSA'!$A:$A,0),MATCH("CUUR0000SA0",'Data_NSA'!$1:$1,0))/INDEX('Data_NSA'!$A:$OK,MATCH($E31,'Data_NSA'!$A:$A,0),MATCH("CUUR0000SA0",'Data_NSA'!$1:$1,0)))),"")</f>
        <v/>
      </c>
      <c r="H31" s="10">
        <f>IFERROR(100*($D31*(INDEX('Data_NSA'!$A:$OK,MATCH(H$1,'Data_NSA'!$A:$A,0),MATCH($C31,'Data_NSA'!$1:$1,0))/INDEX('Data_NSA'!$A:$OK,MATCH($E31,'Data_NSA'!$A:$A,0),MATCH($C31,'Data_NSA'!$1:$1,0))))/(100*(INDEX('Data_NSA'!$A:$OK,MATCH(H$1,'Data_NSA'!$A:$A,0),MATCH("CUUR0000SA0",'Data_NSA'!$1:$1,0))/INDEX('Data_NSA'!$A:$OK,MATCH($E31,'Data_NSA'!$A:$A,0),MATCH("CUUR0000SA0",'Data_NSA'!$1:$1,0)))),"")</f>
        <v/>
      </c>
      <c r="I31" s="10">
        <f>IFERROR(100*($D31*(INDEX('Data_NSA'!$A:$OK,MATCH(I$1,'Data_NSA'!$A:$A,0),MATCH($C31,'Data_NSA'!$1:$1,0))/INDEX('Data_NSA'!$A:$OK,MATCH($E31,'Data_NSA'!$A:$A,0),MATCH($C31,'Data_NSA'!$1:$1,0))))/(100*(INDEX('Data_NSA'!$A:$OK,MATCH(I$1,'Data_NSA'!$A:$A,0),MATCH("CUUR0000SA0",'Data_NSA'!$1:$1,0))/INDEX('Data_NSA'!$A:$OK,MATCH($E31,'Data_NSA'!$A:$A,0),MATCH("CUUR0000SA0",'Data_NSA'!$1:$1,0)))),"")</f>
        <v/>
      </c>
    </row>
    <row r="32">
      <c r="A32" s="3" t="inlineStr">
        <is>
          <t>SEFC04</t>
        </is>
      </c>
      <c r="B32" s="3" t="inlineStr">
        <is>
          <t>Uncooked other beef and veal</t>
        </is>
      </c>
      <c r="C32" s="3" t="inlineStr">
        <is>
          <t>CUUR0000SEFC04</t>
        </is>
      </c>
      <c r="D32" s="21" t="n">
        <v>0.076</v>
      </c>
      <c r="E32" s="22" t="n">
        <v>45992</v>
      </c>
      <c r="F32" s="3" t="n">
        <v>2024</v>
      </c>
      <c r="G32" s="10">
        <f>IFERROR(100*($D32*(INDEX('Data_NSA'!$A:$OK,MATCH(G$1,'Data_NSA'!$A:$A,0),MATCH($C32,'Data_NSA'!$1:$1,0))/INDEX('Data_NSA'!$A:$OK,MATCH($E32,'Data_NSA'!$A:$A,0),MATCH($C32,'Data_NSA'!$1:$1,0))))/(100*(INDEX('Data_NSA'!$A:$OK,MATCH(G$1,'Data_NSA'!$A:$A,0),MATCH("CUUR0000SA0",'Data_NSA'!$1:$1,0))/INDEX('Data_NSA'!$A:$OK,MATCH($E32,'Data_NSA'!$A:$A,0),MATCH("CUUR0000SA0",'Data_NSA'!$1:$1,0)))),"")</f>
        <v/>
      </c>
      <c r="H32" s="10">
        <f>IFERROR(100*($D32*(INDEX('Data_NSA'!$A:$OK,MATCH(H$1,'Data_NSA'!$A:$A,0),MATCH($C32,'Data_NSA'!$1:$1,0))/INDEX('Data_NSA'!$A:$OK,MATCH($E32,'Data_NSA'!$A:$A,0),MATCH($C32,'Data_NSA'!$1:$1,0))))/(100*(INDEX('Data_NSA'!$A:$OK,MATCH(H$1,'Data_NSA'!$A:$A,0),MATCH("CUUR0000SA0",'Data_NSA'!$1:$1,0))/INDEX('Data_NSA'!$A:$OK,MATCH($E32,'Data_NSA'!$A:$A,0),MATCH("CUUR0000SA0",'Data_NSA'!$1:$1,0)))),"")</f>
        <v/>
      </c>
      <c r="I32" s="10">
        <f>IFERROR(100*($D32*(INDEX('Data_NSA'!$A:$OK,MATCH(I$1,'Data_NSA'!$A:$A,0),MATCH($C32,'Data_NSA'!$1:$1,0))/INDEX('Data_NSA'!$A:$OK,MATCH($E32,'Data_NSA'!$A:$A,0),MATCH($C32,'Data_NSA'!$1:$1,0))))/(100*(INDEX('Data_NSA'!$A:$OK,MATCH(I$1,'Data_NSA'!$A:$A,0),MATCH("CUUR0000SA0",'Data_NSA'!$1:$1,0))/INDEX('Data_NSA'!$A:$OK,MATCH($E32,'Data_NSA'!$A:$A,0),MATCH("CUUR0000SA0",'Data_NSA'!$1:$1,0)))),"")</f>
        <v/>
      </c>
    </row>
    <row r="33">
      <c r="A33" s="3" t="inlineStr">
        <is>
          <t>SEFD</t>
        </is>
      </c>
      <c r="B33" s="3" t="inlineStr">
        <is>
          <t>Pork</t>
        </is>
      </c>
      <c r="C33" s="3" t="inlineStr">
        <is>
          <t>CUUR0000SEFD</t>
        </is>
      </c>
      <c r="D33" s="21" t="n">
        <v>0.34</v>
      </c>
      <c r="E33" s="22" t="n">
        <v>45992</v>
      </c>
      <c r="F33" s="3" t="n">
        <v>2024</v>
      </c>
      <c r="G33" s="10">
        <f>IFERROR(100*($D33*(INDEX('Data_NSA'!$A:$OK,MATCH(G$1,'Data_NSA'!$A:$A,0),MATCH($C33,'Data_NSA'!$1:$1,0))/INDEX('Data_NSA'!$A:$OK,MATCH($E33,'Data_NSA'!$A:$A,0),MATCH($C33,'Data_NSA'!$1:$1,0))))/(100*(INDEX('Data_NSA'!$A:$OK,MATCH(G$1,'Data_NSA'!$A:$A,0),MATCH("CUUR0000SA0",'Data_NSA'!$1:$1,0))/INDEX('Data_NSA'!$A:$OK,MATCH($E33,'Data_NSA'!$A:$A,0),MATCH("CUUR0000SA0",'Data_NSA'!$1:$1,0)))),"")</f>
        <v/>
      </c>
      <c r="H33" s="10">
        <f>IFERROR(100*($D33*(INDEX('Data_NSA'!$A:$OK,MATCH(H$1,'Data_NSA'!$A:$A,0),MATCH($C33,'Data_NSA'!$1:$1,0))/INDEX('Data_NSA'!$A:$OK,MATCH($E33,'Data_NSA'!$A:$A,0),MATCH($C33,'Data_NSA'!$1:$1,0))))/(100*(INDEX('Data_NSA'!$A:$OK,MATCH(H$1,'Data_NSA'!$A:$A,0),MATCH("CUUR0000SA0",'Data_NSA'!$1:$1,0))/INDEX('Data_NSA'!$A:$OK,MATCH($E33,'Data_NSA'!$A:$A,0),MATCH("CUUR0000SA0",'Data_NSA'!$1:$1,0)))),"")</f>
        <v/>
      </c>
      <c r="I33" s="10">
        <f>IFERROR(100*($D33*(INDEX('Data_NSA'!$A:$OK,MATCH(I$1,'Data_NSA'!$A:$A,0),MATCH($C33,'Data_NSA'!$1:$1,0))/INDEX('Data_NSA'!$A:$OK,MATCH($E33,'Data_NSA'!$A:$A,0),MATCH($C33,'Data_NSA'!$1:$1,0))))/(100*(INDEX('Data_NSA'!$A:$OK,MATCH(I$1,'Data_NSA'!$A:$A,0),MATCH("CUUR0000SA0",'Data_NSA'!$1:$1,0))/INDEX('Data_NSA'!$A:$OK,MATCH($E33,'Data_NSA'!$A:$A,0),MATCH("CUUR0000SA0",'Data_NSA'!$1:$1,0)))),"")</f>
        <v/>
      </c>
    </row>
    <row r="34">
      <c r="A34" s="3" t="inlineStr">
        <is>
          <t>SEFD01</t>
        </is>
      </c>
      <c r="B34" s="3" t="inlineStr">
        <is>
          <t>Bacon, breakfast sausage, and related products</t>
        </is>
      </c>
      <c r="C34" s="3" t="inlineStr">
        <is>
          <t>CUUR0000SEFD01</t>
        </is>
      </c>
      <c r="D34" s="21" t="n">
        <v>0.131</v>
      </c>
      <c r="E34" s="22" t="n">
        <v>45992</v>
      </c>
      <c r="F34" s="3" t="n">
        <v>2024</v>
      </c>
      <c r="G34" s="10">
        <f>IFERROR(100*($D34*(INDEX('Data_NSA'!$A:$OK,MATCH(G$1,'Data_NSA'!$A:$A,0),MATCH($C34,'Data_NSA'!$1:$1,0))/INDEX('Data_NSA'!$A:$OK,MATCH($E34,'Data_NSA'!$A:$A,0),MATCH($C34,'Data_NSA'!$1:$1,0))))/(100*(INDEX('Data_NSA'!$A:$OK,MATCH(G$1,'Data_NSA'!$A:$A,0),MATCH("CUUR0000SA0",'Data_NSA'!$1:$1,0))/INDEX('Data_NSA'!$A:$OK,MATCH($E34,'Data_NSA'!$A:$A,0),MATCH("CUUR0000SA0",'Data_NSA'!$1:$1,0)))),"")</f>
        <v/>
      </c>
      <c r="H34" s="10">
        <f>IFERROR(100*($D34*(INDEX('Data_NSA'!$A:$OK,MATCH(H$1,'Data_NSA'!$A:$A,0),MATCH($C34,'Data_NSA'!$1:$1,0))/INDEX('Data_NSA'!$A:$OK,MATCH($E34,'Data_NSA'!$A:$A,0),MATCH($C34,'Data_NSA'!$1:$1,0))))/(100*(INDEX('Data_NSA'!$A:$OK,MATCH(H$1,'Data_NSA'!$A:$A,0),MATCH("CUUR0000SA0",'Data_NSA'!$1:$1,0))/INDEX('Data_NSA'!$A:$OK,MATCH($E34,'Data_NSA'!$A:$A,0),MATCH("CUUR0000SA0",'Data_NSA'!$1:$1,0)))),"")</f>
        <v/>
      </c>
      <c r="I34" s="10">
        <f>IFERROR(100*($D34*(INDEX('Data_NSA'!$A:$OK,MATCH(I$1,'Data_NSA'!$A:$A,0),MATCH($C34,'Data_NSA'!$1:$1,0))/INDEX('Data_NSA'!$A:$OK,MATCH($E34,'Data_NSA'!$A:$A,0),MATCH($C34,'Data_NSA'!$1:$1,0))))/(100*(INDEX('Data_NSA'!$A:$OK,MATCH(I$1,'Data_NSA'!$A:$A,0),MATCH("CUUR0000SA0",'Data_NSA'!$1:$1,0))/INDEX('Data_NSA'!$A:$OK,MATCH($E34,'Data_NSA'!$A:$A,0),MATCH("CUUR0000SA0",'Data_NSA'!$1:$1,0)))),"")</f>
        <v/>
      </c>
    </row>
    <row r="35">
      <c r="A35" s="3" t="inlineStr">
        <is>
          <t>SS04011</t>
        </is>
      </c>
      <c r="B35" s="3" t="inlineStr">
        <is>
          <t>Bacon and related products</t>
        </is>
      </c>
      <c r="C35" s="3" t="inlineStr">
        <is>
          <t>CUUR0000SS04011</t>
        </is>
      </c>
      <c r="D35" s="21" t="n"/>
      <c r="E35" s="22" t="n">
        <v>45992</v>
      </c>
      <c r="F35" s="3" t="n">
        <v>2024</v>
      </c>
      <c r="G35" s="10">
        <f>IFERROR(100*($D35*(INDEX('Data_NSA'!$A:$OK,MATCH(G$1,'Data_NSA'!$A:$A,0),MATCH($C35,'Data_NSA'!$1:$1,0))/INDEX('Data_NSA'!$A:$OK,MATCH($E35,'Data_NSA'!$A:$A,0),MATCH($C35,'Data_NSA'!$1:$1,0))))/(100*(INDEX('Data_NSA'!$A:$OK,MATCH(G$1,'Data_NSA'!$A:$A,0),MATCH("CUUR0000SA0",'Data_NSA'!$1:$1,0))/INDEX('Data_NSA'!$A:$OK,MATCH($E35,'Data_NSA'!$A:$A,0),MATCH("CUUR0000SA0",'Data_NSA'!$1:$1,0)))),"")</f>
        <v/>
      </c>
      <c r="H35" s="10">
        <f>IFERROR(100*($D35*(INDEX('Data_NSA'!$A:$OK,MATCH(H$1,'Data_NSA'!$A:$A,0),MATCH($C35,'Data_NSA'!$1:$1,0))/INDEX('Data_NSA'!$A:$OK,MATCH($E35,'Data_NSA'!$A:$A,0),MATCH($C35,'Data_NSA'!$1:$1,0))))/(100*(INDEX('Data_NSA'!$A:$OK,MATCH(H$1,'Data_NSA'!$A:$A,0),MATCH("CUUR0000SA0",'Data_NSA'!$1:$1,0))/INDEX('Data_NSA'!$A:$OK,MATCH($E35,'Data_NSA'!$A:$A,0),MATCH("CUUR0000SA0",'Data_NSA'!$1:$1,0)))),"")</f>
        <v/>
      </c>
      <c r="I35" s="10">
        <f>IFERROR(100*($D35*(INDEX('Data_NSA'!$A:$OK,MATCH(I$1,'Data_NSA'!$A:$A,0),MATCH($C35,'Data_NSA'!$1:$1,0))/INDEX('Data_NSA'!$A:$OK,MATCH($E35,'Data_NSA'!$A:$A,0),MATCH($C35,'Data_NSA'!$1:$1,0))))/(100*(INDEX('Data_NSA'!$A:$OK,MATCH(I$1,'Data_NSA'!$A:$A,0),MATCH("CUUR0000SA0",'Data_NSA'!$1:$1,0))/INDEX('Data_NSA'!$A:$OK,MATCH($E35,'Data_NSA'!$A:$A,0),MATCH("CUUR0000SA0",'Data_NSA'!$1:$1,0)))),"")</f>
        <v/>
      </c>
    </row>
    <row r="36">
      <c r="A36" s="3" t="inlineStr">
        <is>
          <t>SS04012</t>
        </is>
      </c>
      <c r="B36" s="3" t="inlineStr">
        <is>
          <t>Breakfast sausage and related products</t>
        </is>
      </c>
      <c r="C36" s="3" t="inlineStr">
        <is>
          <t>CUUR0000SS04012</t>
        </is>
      </c>
      <c r="D36" s="21" t="n"/>
      <c r="E36" s="22" t="n">
        <v>45992</v>
      </c>
      <c r="F36" s="3" t="n">
        <v>2024</v>
      </c>
      <c r="G36" s="10">
        <f>IFERROR(100*($D36*(INDEX('Data_NSA'!$A:$OK,MATCH(G$1,'Data_NSA'!$A:$A,0),MATCH($C36,'Data_NSA'!$1:$1,0))/INDEX('Data_NSA'!$A:$OK,MATCH($E36,'Data_NSA'!$A:$A,0),MATCH($C36,'Data_NSA'!$1:$1,0))))/(100*(INDEX('Data_NSA'!$A:$OK,MATCH(G$1,'Data_NSA'!$A:$A,0),MATCH("CUUR0000SA0",'Data_NSA'!$1:$1,0))/INDEX('Data_NSA'!$A:$OK,MATCH($E36,'Data_NSA'!$A:$A,0),MATCH("CUUR0000SA0",'Data_NSA'!$1:$1,0)))),"")</f>
        <v/>
      </c>
      <c r="H36" s="10">
        <f>IFERROR(100*($D36*(INDEX('Data_NSA'!$A:$OK,MATCH(H$1,'Data_NSA'!$A:$A,0),MATCH($C36,'Data_NSA'!$1:$1,0))/INDEX('Data_NSA'!$A:$OK,MATCH($E36,'Data_NSA'!$A:$A,0),MATCH($C36,'Data_NSA'!$1:$1,0))))/(100*(INDEX('Data_NSA'!$A:$OK,MATCH(H$1,'Data_NSA'!$A:$A,0),MATCH("CUUR0000SA0",'Data_NSA'!$1:$1,0))/INDEX('Data_NSA'!$A:$OK,MATCH($E36,'Data_NSA'!$A:$A,0),MATCH("CUUR0000SA0",'Data_NSA'!$1:$1,0)))),"")</f>
        <v/>
      </c>
      <c r="I36" s="10">
        <f>IFERROR(100*($D36*(INDEX('Data_NSA'!$A:$OK,MATCH(I$1,'Data_NSA'!$A:$A,0),MATCH($C36,'Data_NSA'!$1:$1,0))/INDEX('Data_NSA'!$A:$OK,MATCH($E36,'Data_NSA'!$A:$A,0),MATCH($C36,'Data_NSA'!$1:$1,0))))/(100*(INDEX('Data_NSA'!$A:$OK,MATCH(I$1,'Data_NSA'!$A:$A,0),MATCH("CUUR0000SA0",'Data_NSA'!$1:$1,0))/INDEX('Data_NSA'!$A:$OK,MATCH($E36,'Data_NSA'!$A:$A,0),MATCH("CUUR0000SA0",'Data_NSA'!$1:$1,0)))),"")</f>
        <v/>
      </c>
    </row>
    <row r="37">
      <c r="A37" s="3" t="inlineStr">
        <is>
          <t>SEFD02</t>
        </is>
      </c>
      <c r="B37" s="3" t="inlineStr">
        <is>
          <t>Ham</t>
        </is>
      </c>
      <c r="C37" s="3" t="inlineStr">
        <is>
          <t>CUUR0000SEFD02</t>
        </is>
      </c>
      <c r="D37" s="21" t="n">
        <v>0.066</v>
      </c>
      <c r="E37" s="22" t="n">
        <v>45992</v>
      </c>
      <c r="F37" s="3" t="n">
        <v>2024</v>
      </c>
      <c r="G37" s="10">
        <f>IFERROR(100*($D37*(INDEX('Data_NSA'!$A:$OK,MATCH(G$1,'Data_NSA'!$A:$A,0),MATCH($C37,'Data_NSA'!$1:$1,0))/INDEX('Data_NSA'!$A:$OK,MATCH($E37,'Data_NSA'!$A:$A,0),MATCH($C37,'Data_NSA'!$1:$1,0))))/(100*(INDEX('Data_NSA'!$A:$OK,MATCH(G$1,'Data_NSA'!$A:$A,0),MATCH("CUUR0000SA0",'Data_NSA'!$1:$1,0))/INDEX('Data_NSA'!$A:$OK,MATCH($E37,'Data_NSA'!$A:$A,0),MATCH("CUUR0000SA0",'Data_NSA'!$1:$1,0)))),"")</f>
        <v/>
      </c>
      <c r="H37" s="10">
        <f>IFERROR(100*($D37*(INDEX('Data_NSA'!$A:$OK,MATCH(H$1,'Data_NSA'!$A:$A,0),MATCH($C37,'Data_NSA'!$1:$1,0))/INDEX('Data_NSA'!$A:$OK,MATCH($E37,'Data_NSA'!$A:$A,0),MATCH($C37,'Data_NSA'!$1:$1,0))))/(100*(INDEX('Data_NSA'!$A:$OK,MATCH(H$1,'Data_NSA'!$A:$A,0),MATCH("CUUR0000SA0",'Data_NSA'!$1:$1,0))/INDEX('Data_NSA'!$A:$OK,MATCH($E37,'Data_NSA'!$A:$A,0),MATCH("CUUR0000SA0",'Data_NSA'!$1:$1,0)))),"")</f>
        <v/>
      </c>
      <c r="I37" s="10">
        <f>IFERROR(100*($D37*(INDEX('Data_NSA'!$A:$OK,MATCH(I$1,'Data_NSA'!$A:$A,0),MATCH($C37,'Data_NSA'!$1:$1,0))/INDEX('Data_NSA'!$A:$OK,MATCH($E37,'Data_NSA'!$A:$A,0),MATCH($C37,'Data_NSA'!$1:$1,0))))/(100*(INDEX('Data_NSA'!$A:$OK,MATCH(I$1,'Data_NSA'!$A:$A,0),MATCH("CUUR0000SA0",'Data_NSA'!$1:$1,0))/INDEX('Data_NSA'!$A:$OK,MATCH($E37,'Data_NSA'!$A:$A,0),MATCH("CUUR0000SA0",'Data_NSA'!$1:$1,0)))),"")</f>
        <v/>
      </c>
    </row>
    <row r="38">
      <c r="A38" s="3" t="inlineStr">
        <is>
          <t>SS04031</t>
        </is>
      </c>
      <c r="B38" s="3" t="inlineStr">
        <is>
          <t>Ham, excluding canned</t>
        </is>
      </c>
      <c r="C38" s="3" t="inlineStr">
        <is>
          <t>CUUR0000SS04031</t>
        </is>
      </c>
      <c r="D38" s="21" t="n"/>
      <c r="E38" s="22" t="n">
        <v>45992</v>
      </c>
      <c r="F38" s="3" t="n">
        <v>2024</v>
      </c>
      <c r="G38" s="10">
        <f>IFERROR(100*($D38*(INDEX('Data_NSA'!$A:$OK,MATCH(G$1,'Data_NSA'!$A:$A,0),MATCH($C38,'Data_NSA'!$1:$1,0))/INDEX('Data_NSA'!$A:$OK,MATCH($E38,'Data_NSA'!$A:$A,0),MATCH($C38,'Data_NSA'!$1:$1,0))))/(100*(INDEX('Data_NSA'!$A:$OK,MATCH(G$1,'Data_NSA'!$A:$A,0),MATCH("CUUR0000SA0",'Data_NSA'!$1:$1,0))/INDEX('Data_NSA'!$A:$OK,MATCH($E38,'Data_NSA'!$A:$A,0),MATCH("CUUR0000SA0",'Data_NSA'!$1:$1,0)))),"")</f>
        <v/>
      </c>
      <c r="H38" s="10">
        <f>IFERROR(100*($D38*(INDEX('Data_NSA'!$A:$OK,MATCH(H$1,'Data_NSA'!$A:$A,0),MATCH($C38,'Data_NSA'!$1:$1,0))/INDEX('Data_NSA'!$A:$OK,MATCH($E38,'Data_NSA'!$A:$A,0),MATCH($C38,'Data_NSA'!$1:$1,0))))/(100*(INDEX('Data_NSA'!$A:$OK,MATCH(H$1,'Data_NSA'!$A:$A,0),MATCH("CUUR0000SA0",'Data_NSA'!$1:$1,0))/INDEX('Data_NSA'!$A:$OK,MATCH($E38,'Data_NSA'!$A:$A,0),MATCH("CUUR0000SA0",'Data_NSA'!$1:$1,0)))),"")</f>
        <v/>
      </c>
      <c r="I38" s="10">
        <f>IFERROR(100*($D38*(INDEX('Data_NSA'!$A:$OK,MATCH(I$1,'Data_NSA'!$A:$A,0),MATCH($C38,'Data_NSA'!$1:$1,0))/INDEX('Data_NSA'!$A:$OK,MATCH($E38,'Data_NSA'!$A:$A,0),MATCH($C38,'Data_NSA'!$1:$1,0))))/(100*(INDEX('Data_NSA'!$A:$OK,MATCH(I$1,'Data_NSA'!$A:$A,0),MATCH("CUUR0000SA0",'Data_NSA'!$1:$1,0))/INDEX('Data_NSA'!$A:$OK,MATCH($E38,'Data_NSA'!$A:$A,0),MATCH("CUUR0000SA0",'Data_NSA'!$1:$1,0)))),"")</f>
        <v/>
      </c>
    </row>
    <row r="39">
      <c r="A39" s="3" t="inlineStr">
        <is>
          <t>SEFD03</t>
        </is>
      </c>
      <c r="B39" s="3" t="inlineStr">
        <is>
          <t>Pork chops</t>
        </is>
      </c>
      <c r="C39" s="3" t="inlineStr">
        <is>
          <t>CUUR0000SEFD03</t>
        </is>
      </c>
      <c r="D39" s="21" t="n">
        <v>0.046</v>
      </c>
      <c r="E39" s="22" t="n">
        <v>45992</v>
      </c>
      <c r="F39" s="3" t="n">
        <v>2024</v>
      </c>
      <c r="G39" s="10">
        <f>IFERROR(100*($D39*(INDEX('Data_NSA'!$A:$OK,MATCH(G$1,'Data_NSA'!$A:$A,0),MATCH($C39,'Data_NSA'!$1:$1,0))/INDEX('Data_NSA'!$A:$OK,MATCH($E39,'Data_NSA'!$A:$A,0),MATCH($C39,'Data_NSA'!$1:$1,0))))/(100*(INDEX('Data_NSA'!$A:$OK,MATCH(G$1,'Data_NSA'!$A:$A,0),MATCH("CUUR0000SA0",'Data_NSA'!$1:$1,0))/INDEX('Data_NSA'!$A:$OK,MATCH($E39,'Data_NSA'!$A:$A,0),MATCH("CUUR0000SA0",'Data_NSA'!$1:$1,0)))),"")</f>
        <v/>
      </c>
      <c r="H39" s="10">
        <f>IFERROR(100*($D39*(INDEX('Data_NSA'!$A:$OK,MATCH(H$1,'Data_NSA'!$A:$A,0),MATCH($C39,'Data_NSA'!$1:$1,0))/INDEX('Data_NSA'!$A:$OK,MATCH($E39,'Data_NSA'!$A:$A,0),MATCH($C39,'Data_NSA'!$1:$1,0))))/(100*(INDEX('Data_NSA'!$A:$OK,MATCH(H$1,'Data_NSA'!$A:$A,0),MATCH("CUUR0000SA0",'Data_NSA'!$1:$1,0))/INDEX('Data_NSA'!$A:$OK,MATCH($E39,'Data_NSA'!$A:$A,0),MATCH("CUUR0000SA0",'Data_NSA'!$1:$1,0)))),"")</f>
        <v/>
      </c>
      <c r="I39" s="10">
        <f>IFERROR(100*($D39*(INDEX('Data_NSA'!$A:$OK,MATCH(I$1,'Data_NSA'!$A:$A,0),MATCH($C39,'Data_NSA'!$1:$1,0))/INDEX('Data_NSA'!$A:$OK,MATCH($E39,'Data_NSA'!$A:$A,0),MATCH($C39,'Data_NSA'!$1:$1,0))))/(100*(INDEX('Data_NSA'!$A:$OK,MATCH(I$1,'Data_NSA'!$A:$A,0),MATCH("CUUR0000SA0",'Data_NSA'!$1:$1,0))/INDEX('Data_NSA'!$A:$OK,MATCH($E39,'Data_NSA'!$A:$A,0),MATCH("CUUR0000SA0",'Data_NSA'!$1:$1,0)))),"")</f>
        <v/>
      </c>
    </row>
    <row r="40">
      <c r="A40" s="3" t="inlineStr">
        <is>
          <t>SEFD04</t>
        </is>
      </c>
      <c r="B40" s="3" t="inlineStr">
        <is>
          <t>Other pork including roasts, steaks, and ribs</t>
        </is>
      </c>
      <c r="C40" s="3" t="inlineStr">
        <is>
          <t>CUUR0000SEFD04</t>
        </is>
      </c>
      <c r="D40" s="21" t="n">
        <v>0.097</v>
      </c>
      <c r="E40" s="22" t="n">
        <v>45992</v>
      </c>
      <c r="F40" s="3" t="n">
        <v>2024</v>
      </c>
      <c r="G40" s="10">
        <f>IFERROR(100*($D40*(INDEX('Data_NSA'!$A:$OK,MATCH(G$1,'Data_NSA'!$A:$A,0),MATCH($C40,'Data_NSA'!$1:$1,0))/INDEX('Data_NSA'!$A:$OK,MATCH($E40,'Data_NSA'!$A:$A,0),MATCH($C40,'Data_NSA'!$1:$1,0))))/(100*(INDEX('Data_NSA'!$A:$OK,MATCH(G$1,'Data_NSA'!$A:$A,0),MATCH("CUUR0000SA0",'Data_NSA'!$1:$1,0))/INDEX('Data_NSA'!$A:$OK,MATCH($E40,'Data_NSA'!$A:$A,0),MATCH("CUUR0000SA0",'Data_NSA'!$1:$1,0)))),"")</f>
        <v/>
      </c>
      <c r="H40" s="10">
        <f>IFERROR(100*($D40*(INDEX('Data_NSA'!$A:$OK,MATCH(H$1,'Data_NSA'!$A:$A,0),MATCH($C40,'Data_NSA'!$1:$1,0))/INDEX('Data_NSA'!$A:$OK,MATCH($E40,'Data_NSA'!$A:$A,0),MATCH($C40,'Data_NSA'!$1:$1,0))))/(100*(INDEX('Data_NSA'!$A:$OK,MATCH(H$1,'Data_NSA'!$A:$A,0),MATCH("CUUR0000SA0",'Data_NSA'!$1:$1,0))/INDEX('Data_NSA'!$A:$OK,MATCH($E40,'Data_NSA'!$A:$A,0),MATCH("CUUR0000SA0",'Data_NSA'!$1:$1,0)))),"")</f>
        <v/>
      </c>
      <c r="I40" s="10">
        <f>IFERROR(100*($D40*(INDEX('Data_NSA'!$A:$OK,MATCH(I$1,'Data_NSA'!$A:$A,0),MATCH($C40,'Data_NSA'!$1:$1,0))/INDEX('Data_NSA'!$A:$OK,MATCH($E40,'Data_NSA'!$A:$A,0),MATCH($C40,'Data_NSA'!$1:$1,0))))/(100*(INDEX('Data_NSA'!$A:$OK,MATCH(I$1,'Data_NSA'!$A:$A,0),MATCH("CUUR0000SA0",'Data_NSA'!$1:$1,0))/INDEX('Data_NSA'!$A:$OK,MATCH($E40,'Data_NSA'!$A:$A,0),MATCH("CUUR0000SA0",'Data_NSA'!$1:$1,0)))),"")</f>
        <v/>
      </c>
    </row>
    <row r="41">
      <c r="A41" s="3" t="inlineStr">
        <is>
          <t>SEFE</t>
        </is>
      </c>
      <c r="B41" s="3" t="inlineStr">
        <is>
          <t>Other meats</t>
        </is>
      </c>
      <c r="C41" s="3" t="inlineStr">
        <is>
          <t>CUUR0000SEFE</t>
        </is>
      </c>
      <c r="D41" s="21" t="n">
        <v>0.207</v>
      </c>
      <c r="E41" s="22" t="n">
        <v>45992</v>
      </c>
      <c r="F41" s="3" t="n">
        <v>2024</v>
      </c>
      <c r="G41" s="10">
        <f>IFERROR(100*($D41*(INDEX('Data_NSA'!$A:$OK,MATCH(G$1,'Data_NSA'!$A:$A,0),MATCH($C41,'Data_NSA'!$1:$1,0))/INDEX('Data_NSA'!$A:$OK,MATCH($E41,'Data_NSA'!$A:$A,0),MATCH($C41,'Data_NSA'!$1:$1,0))))/(100*(INDEX('Data_NSA'!$A:$OK,MATCH(G$1,'Data_NSA'!$A:$A,0),MATCH("CUUR0000SA0",'Data_NSA'!$1:$1,0))/INDEX('Data_NSA'!$A:$OK,MATCH($E41,'Data_NSA'!$A:$A,0),MATCH("CUUR0000SA0",'Data_NSA'!$1:$1,0)))),"")</f>
        <v/>
      </c>
      <c r="H41" s="10">
        <f>IFERROR(100*($D41*(INDEX('Data_NSA'!$A:$OK,MATCH(H$1,'Data_NSA'!$A:$A,0),MATCH($C41,'Data_NSA'!$1:$1,0))/INDEX('Data_NSA'!$A:$OK,MATCH($E41,'Data_NSA'!$A:$A,0),MATCH($C41,'Data_NSA'!$1:$1,0))))/(100*(INDEX('Data_NSA'!$A:$OK,MATCH(H$1,'Data_NSA'!$A:$A,0),MATCH("CUUR0000SA0",'Data_NSA'!$1:$1,0))/INDEX('Data_NSA'!$A:$OK,MATCH($E41,'Data_NSA'!$A:$A,0),MATCH("CUUR0000SA0",'Data_NSA'!$1:$1,0)))),"")</f>
        <v/>
      </c>
      <c r="I41" s="10">
        <f>IFERROR(100*($D41*(INDEX('Data_NSA'!$A:$OK,MATCH(I$1,'Data_NSA'!$A:$A,0),MATCH($C41,'Data_NSA'!$1:$1,0))/INDEX('Data_NSA'!$A:$OK,MATCH($E41,'Data_NSA'!$A:$A,0),MATCH($C41,'Data_NSA'!$1:$1,0))))/(100*(INDEX('Data_NSA'!$A:$OK,MATCH(I$1,'Data_NSA'!$A:$A,0),MATCH("CUUR0000SA0",'Data_NSA'!$1:$1,0))/INDEX('Data_NSA'!$A:$OK,MATCH($E41,'Data_NSA'!$A:$A,0),MATCH("CUUR0000SA0",'Data_NSA'!$1:$1,0)))),"")</f>
        <v/>
      </c>
    </row>
    <row r="42">
      <c r="A42" s="3" t="inlineStr">
        <is>
          <t>SS05011</t>
        </is>
      </c>
      <c r="B42" s="3" t="inlineStr">
        <is>
          <t>Frankfurters</t>
        </is>
      </c>
      <c r="C42" s="3" t="inlineStr">
        <is>
          <t>CUUR0000SS05011</t>
        </is>
      </c>
      <c r="D42" s="21" t="n"/>
      <c r="E42" s="22" t="n">
        <v>45992</v>
      </c>
      <c r="F42" s="3" t="n">
        <v>2024</v>
      </c>
      <c r="G42" s="10">
        <f>IFERROR(100*($D42*(INDEX('Data_NSA'!$A:$OK,MATCH(G$1,'Data_NSA'!$A:$A,0),MATCH($C42,'Data_NSA'!$1:$1,0))/INDEX('Data_NSA'!$A:$OK,MATCH($E42,'Data_NSA'!$A:$A,0),MATCH($C42,'Data_NSA'!$1:$1,0))))/(100*(INDEX('Data_NSA'!$A:$OK,MATCH(G$1,'Data_NSA'!$A:$A,0),MATCH("CUUR0000SA0",'Data_NSA'!$1:$1,0))/INDEX('Data_NSA'!$A:$OK,MATCH($E42,'Data_NSA'!$A:$A,0),MATCH("CUUR0000SA0",'Data_NSA'!$1:$1,0)))),"")</f>
        <v/>
      </c>
      <c r="H42" s="10">
        <f>IFERROR(100*($D42*(INDEX('Data_NSA'!$A:$OK,MATCH(H$1,'Data_NSA'!$A:$A,0),MATCH($C42,'Data_NSA'!$1:$1,0))/INDEX('Data_NSA'!$A:$OK,MATCH($E42,'Data_NSA'!$A:$A,0),MATCH($C42,'Data_NSA'!$1:$1,0))))/(100*(INDEX('Data_NSA'!$A:$OK,MATCH(H$1,'Data_NSA'!$A:$A,0),MATCH("CUUR0000SA0",'Data_NSA'!$1:$1,0))/INDEX('Data_NSA'!$A:$OK,MATCH($E42,'Data_NSA'!$A:$A,0),MATCH("CUUR0000SA0",'Data_NSA'!$1:$1,0)))),"")</f>
        <v/>
      </c>
      <c r="I42" s="10">
        <f>IFERROR(100*($D42*(INDEX('Data_NSA'!$A:$OK,MATCH(I$1,'Data_NSA'!$A:$A,0),MATCH($C42,'Data_NSA'!$1:$1,0))/INDEX('Data_NSA'!$A:$OK,MATCH($E42,'Data_NSA'!$A:$A,0),MATCH($C42,'Data_NSA'!$1:$1,0))))/(100*(INDEX('Data_NSA'!$A:$OK,MATCH(I$1,'Data_NSA'!$A:$A,0),MATCH("CUUR0000SA0",'Data_NSA'!$1:$1,0))/INDEX('Data_NSA'!$A:$OK,MATCH($E42,'Data_NSA'!$A:$A,0),MATCH("CUUR0000SA0",'Data_NSA'!$1:$1,0)))),"")</f>
        <v/>
      </c>
    </row>
    <row r="43">
      <c r="A43" s="3" t="inlineStr">
        <is>
          <t>SS0501A</t>
        </is>
      </c>
      <c r="B43" s="3" t="inlineStr">
        <is>
          <t>Lunchmeats</t>
        </is>
      </c>
      <c r="C43" s="3" t="inlineStr">
        <is>
          <t>CUUR0000SS0501A</t>
        </is>
      </c>
      <c r="D43" s="21" t="n"/>
      <c r="E43" s="22" t="n">
        <v>45992</v>
      </c>
      <c r="F43" s="3" t="n">
        <v>2024</v>
      </c>
      <c r="G43" s="10">
        <f>IFERROR(100*($D43*(INDEX('Data_NSA'!$A:$OK,MATCH(G$1,'Data_NSA'!$A:$A,0),MATCH($C43,'Data_NSA'!$1:$1,0))/INDEX('Data_NSA'!$A:$OK,MATCH($E43,'Data_NSA'!$A:$A,0),MATCH($C43,'Data_NSA'!$1:$1,0))))/(100*(INDEX('Data_NSA'!$A:$OK,MATCH(G$1,'Data_NSA'!$A:$A,0),MATCH("CUUR0000SA0",'Data_NSA'!$1:$1,0))/INDEX('Data_NSA'!$A:$OK,MATCH($E43,'Data_NSA'!$A:$A,0),MATCH("CUUR0000SA0",'Data_NSA'!$1:$1,0)))),"")</f>
        <v/>
      </c>
      <c r="H43" s="10">
        <f>IFERROR(100*($D43*(INDEX('Data_NSA'!$A:$OK,MATCH(H$1,'Data_NSA'!$A:$A,0),MATCH($C43,'Data_NSA'!$1:$1,0))/INDEX('Data_NSA'!$A:$OK,MATCH($E43,'Data_NSA'!$A:$A,0),MATCH($C43,'Data_NSA'!$1:$1,0))))/(100*(INDEX('Data_NSA'!$A:$OK,MATCH(H$1,'Data_NSA'!$A:$A,0),MATCH("CUUR0000SA0",'Data_NSA'!$1:$1,0))/INDEX('Data_NSA'!$A:$OK,MATCH($E43,'Data_NSA'!$A:$A,0),MATCH("CUUR0000SA0",'Data_NSA'!$1:$1,0)))),"")</f>
        <v/>
      </c>
      <c r="I43" s="10">
        <f>IFERROR(100*($D43*(INDEX('Data_NSA'!$A:$OK,MATCH(I$1,'Data_NSA'!$A:$A,0),MATCH($C43,'Data_NSA'!$1:$1,0))/INDEX('Data_NSA'!$A:$OK,MATCH($E43,'Data_NSA'!$A:$A,0),MATCH($C43,'Data_NSA'!$1:$1,0))))/(100*(INDEX('Data_NSA'!$A:$OK,MATCH(I$1,'Data_NSA'!$A:$A,0),MATCH("CUUR0000SA0",'Data_NSA'!$1:$1,0))/INDEX('Data_NSA'!$A:$OK,MATCH($E43,'Data_NSA'!$A:$A,0),MATCH("CUUR0000SA0",'Data_NSA'!$1:$1,0)))),"")</f>
        <v/>
      </c>
    </row>
    <row r="44">
      <c r="A44" s="3" t="inlineStr">
        <is>
          <t>SS05014</t>
        </is>
      </c>
      <c r="B44" s="3" t="inlineStr">
        <is>
          <t>Lamb and organ meats</t>
        </is>
      </c>
      <c r="C44" s="3" t="inlineStr">
        <is>
          <t>CUUR0000SS05014</t>
        </is>
      </c>
      <c r="D44" s="21" t="n"/>
      <c r="E44" s="22" t="n">
        <v>45992</v>
      </c>
      <c r="F44" s="3" t="n">
        <v>2024</v>
      </c>
      <c r="G44" s="10">
        <f>IFERROR(100*($D44*(INDEX('Data_NSA'!$A:$OK,MATCH(G$1,'Data_NSA'!$A:$A,0),MATCH($C44,'Data_NSA'!$1:$1,0))/INDEX('Data_NSA'!$A:$OK,MATCH($E44,'Data_NSA'!$A:$A,0),MATCH($C44,'Data_NSA'!$1:$1,0))))/(100*(INDEX('Data_NSA'!$A:$OK,MATCH(G$1,'Data_NSA'!$A:$A,0),MATCH("CUUR0000SA0",'Data_NSA'!$1:$1,0))/INDEX('Data_NSA'!$A:$OK,MATCH($E44,'Data_NSA'!$A:$A,0),MATCH("CUUR0000SA0",'Data_NSA'!$1:$1,0)))),"")</f>
        <v/>
      </c>
      <c r="H44" s="10">
        <f>IFERROR(100*($D44*(INDEX('Data_NSA'!$A:$OK,MATCH(H$1,'Data_NSA'!$A:$A,0),MATCH($C44,'Data_NSA'!$1:$1,0))/INDEX('Data_NSA'!$A:$OK,MATCH($E44,'Data_NSA'!$A:$A,0),MATCH($C44,'Data_NSA'!$1:$1,0))))/(100*(INDEX('Data_NSA'!$A:$OK,MATCH(H$1,'Data_NSA'!$A:$A,0),MATCH("CUUR0000SA0",'Data_NSA'!$1:$1,0))/INDEX('Data_NSA'!$A:$OK,MATCH($E44,'Data_NSA'!$A:$A,0),MATCH("CUUR0000SA0",'Data_NSA'!$1:$1,0)))),"")</f>
        <v/>
      </c>
      <c r="I44" s="10">
        <f>IFERROR(100*($D44*(INDEX('Data_NSA'!$A:$OK,MATCH(I$1,'Data_NSA'!$A:$A,0),MATCH($C44,'Data_NSA'!$1:$1,0))/INDEX('Data_NSA'!$A:$OK,MATCH($E44,'Data_NSA'!$A:$A,0),MATCH($C44,'Data_NSA'!$1:$1,0))))/(100*(INDEX('Data_NSA'!$A:$OK,MATCH(I$1,'Data_NSA'!$A:$A,0),MATCH("CUUR0000SA0",'Data_NSA'!$1:$1,0))/INDEX('Data_NSA'!$A:$OK,MATCH($E44,'Data_NSA'!$A:$A,0),MATCH("CUUR0000SA0",'Data_NSA'!$1:$1,0)))),"")</f>
        <v/>
      </c>
    </row>
    <row r="45">
      <c r="A45" s="3" t="inlineStr">
        <is>
          <t>SS05015</t>
        </is>
      </c>
      <c r="B45" s="3" t="inlineStr">
        <is>
          <t>Lamb and mutton</t>
        </is>
      </c>
      <c r="C45" s="3" t="inlineStr">
        <is>
          <t>CUUR0000SS05015</t>
        </is>
      </c>
      <c r="D45" s="21" t="n"/>
      <c r="E45" s="22" t="n">
        <v>45992</v>
      </c>
      <c r="F45" s="3" t="n">
        <v>2024</v>
      </c>
      <c r="G45" s="10">
        <f>IFERROR(100*($D45*(INDEX('Data_NSA'!$A:$OK,MATCH(G$1,'Data_NSA'!$A:$A,0),MATCH($C45,'Data_NSA'!$1:$1,0))/INDEX('Data_NSA'!$A:$OK,MATCH($E45,'Data_NSA'!$A:$A,0),MATCH($C45,'Data_NSA'!$1:$1,0))))/(100*(INDEX('Data_NSA'!$A:$OK,MATCH(G$1,'Data_NSA'!$A:$A,0),MATCH("CUUR0000SA0",'Data_NSA'!$1:$1,0))/INDEX('Data_NSA'!$A:$OK,MATCH($E45,'Data_NSA'!$A:$A,0),MATCH("CUUR0000SA0",'Data_NSA'!$1:$1,0)))),"")</f>
        <v/>
      </c>
      <c r="H45" s="10">
        <f>IFERROR(100*($D45*(INDEX('Data_NSA'!$A:$OK,MATCH(H$1,'Data_NSA'!$A:$A,0),MATCH($C45,'Data_NSA'!$1:$1,0))/INDEX('Data_NSA'!$A:$OK,MATCH($E45,'Data_NSA'!$A:$A,0),MATCH($C45,'Data_NSA'!$1:$1,0))))/(100*(INDEX('Data_NSA'!$A:$OK,MATCH(H$1,'Data_NSA'!$A:$A,0),MATCH("CUUR0000SA0",'Data_NSA'!$1:$1,0))/INDEX('Data_NSA'!$A:$OK,MATCH($E45,'Data_NSA'!$A:$A,0),MATCH("CUUR0000SA0",'Data_NSA'!$1:$1,0)))),"")</f>
        <v/>
      </c>
      <c r="I45" s="10">
        <f>IFERROR(100*($D45*(INDEX('Data_NSA'!$A:$OK,MATCH(I$1,'Data_NSA'!$A:$A,0),MATCH($C45,'Data_NSA'!$1:$1,0))/INDEX('Data_NSA'!$A:$OK,MATCH($E45,'Data_NSA'!$A:$A,0),MATCH($C45,'Data_NSA'!$1:$1,0))))/(100*(INDEX('Data_NSA'!$A:$OK,MATCH(I$1,'Data_NSA'!$A:$A,0),MATCH("CUUR0000SA0",'Data_NSA'!$1:$1,0))/INDEX('Data_NSA'!$A:$OK,MATCH($E45,'Data_NSA'!$A:$A,0),MATCH("CUUR0000SA0",'Data_NSA'!$1:$1,0)))),"")</f>
        <v/>
      </c>
    </row>
    <row r="46">
      <c r="A46" s="3" t="inlineStr">
        <is>
          <t>SEFF</t>
        </is>
      </c>
      <c r="B46" s="3" t="inlineStr">
        <is>
          <t>Poultry</t>
        </is>
      </c>
      <c r="C46" s="3" t="inlineStr">
        <is>
          <t>CUUR0000SEFF</t>
        </is>
      </c>
      <c r="D46" s="21" t="n">
        <v>0.363</v>
      </c>
      <c r="E46" s="22" t="n">
        <v>45992</v>
      </c>
      <c r="F46" s="3" t="n">
        <v>2024</v>
      </c>
      <c r="G46" s="10">
        <f>IFERROR(100*($D46*(INDEX('Data_NSA'!$A:$OK,MATCH(G$1,'Data_NSA'!$A:$A,0),MATCH($C46,'Data_NSA'!$1:$1,0))/INDEX('Data_NSA'!$A:$OK,MATCH($E46,'Data_NSA'!$A:$A,0),MATCH($C46,'Data_NSA'!$1:$1,0))))/(100*(INDEX('Data_NSA'!$A:$OK,MATCH(G$1,'Data_NSA'!$A:$A,0),MATCH("CUUR0000SA0",'Data_NSA'!$1:$1,0))/INDEX('Data_NSA'!$A:$OK,MATCH($E46,'Data_NSA'!$A:$A,0),MATCH("CUUR0000SA0",'Data_NSA'!$1:$1,0)))),"")</f>
        <v/>
      </c>
      <c r="H46" s="10">
        <f>IFERROR(100*($D46*(INDEX('Data_NSA'!$A:$OK,MATCH(H$1,'Data_NSA'!$A:$A,0),MATCH($C46,'Data_NSA'!$1:$1,0))/INDEX('Data_NSA'!$A:$OK,MATCH($E46,'Data_NSA'!$A:$A,0),MATCH($C46,'Data_NSA'!$1:$1,0))))/(100*(INDEX('Data_NSA'!$A:$OK,MATCH(H$1,'Data_NSA'!$A:$A,0),MATCH("CUUR0000SA0",'Data_NSA'!$1:$1,0))/INDEX('Data_NSA'!$A:$OK,MATCH($E46,'Data_NSA'!$A:$A,0),MATCH("CUUR0000SA0",'Data_NSA'!$1:$1,0)))),"")</f>
        <v/>
      </c>
      <c r="I46" s="10">
        <f>IFERROR(100*($D46*(INDEX('Data_NSA'!$A:$OK,MATCH(I$1,'Data_NSA'!$A:$A,0),MATCH($C46,'Data_NSA'!$1:$1,0))/INDEX('Data_NSA'!$A:$OK,MATCH($E46,'Data_NSA'!$A:$A,0),MATCH($C46,'Data_NSA'!$1:$1,0))))/(100*(INDEX('Data_NSA'!$A:$OK,MATCH(I$1,'Data_NSA'!$A:$A,0),MATCH("CUUR0000SA0",'Data_NSA'!$1:$1,0))/INDEX('Data_NSA'!$A:$OK,MATCH($E46,'Data_NSA'!$A:$A,0),MATCH("CUUR0000SA0",'Data_NSA'!$1:$1,0)))),"")</f>
        <v/>
      </c>
    </row>
    <row r="47">
      <c r="A47" s="3" t="inlineStr">
        <is>
          <t>SEFF01</t>
        </is>
      </c>
      <c r="B47" s="3" t="inlineStr">
        <is>
          <t>Chicken</t>
        </is>
      </c>
      <c r="C47" s="3" t="inlineStr">
        <is>
          <t>CUUR0000SEFF01</t>
        </is>
      </c>
      <c r="D47" s="21" t="n">
        <v>0.291</v>
      </c>
      <c r="E47" s="22" t="n">
        <v>45992</v>
      </c>
      <c r="F47" s="3" t="n">
        <v>2024</v>
      </c>
      <c r="G47" s="10">
        <f>IFERROR(100*($D47*(INDEX('Data_NSA'!$A:$OK,MATCH(G$1,'Data_NSA'!$A:$A,0),MATCH($C47,'Data_NSA'!$1:$1,0))/INDEX('Data_NSA'!$A:$OK,MATCH($E47,'Data_NSA'!$A:$A,0),MATCH($C47,'Data_NSA'!$1:$1,0))))/(100*(INDEX('Data_NSA'!$A:$OK,MATCH(G$1,'Data_NSA'!$A:$A,0),MATCH("CUUR0000SA0",'Data_NSA'!$1:$1,0))/INDEX('Data_NSA'!$A:$OK,MATCH($E47,'Data_NSA'!$A:$A,0),MATCH("CUUR0000SA0",'Data_NSA'!$1:$1,0)))),"")</f>
        <v/>
      </c>
      <c r="H47" s="10">
        <f>IFERROR(100*($D47*(INDEX('Data_NSA'!$A:$OK,MATCH(H$1,'Data_NSA'!$A:$A,0),MATCH($C47,'Data_NSA'!$1:$1,0))/INDEX('Data_NSA'!$A:$OK,MATCH($E47,'Data_NSA'!$A:$A,0),MATCH($C47,'Data_NSA'!$1:$1,0))))/(100*(INDEX('Data_NSA'!$A:$OK,MATCH(H$1,'Data_NSA'!$A:$A,0),MATCH("CUUR0000SA0",'Data_NSA'!$1:$1,0))/INDEX('Data_NSA'!$A:$OK,MATCH($E47,'Data_NSA'!$A:$A,0),MATCH("CUUR0000SA0",'Data_NSA'!$1:$1,0)))),"")</f>
        <v/>
      </c>
      <c r="I47" s="10">
        <f>IFERROR(100*($D47*(INDEX('Data_NSA'!$A:$OK,MATCH(I$1,'Data_NSA'!$A:$A,0),MATCH($C47,'Data_NSA'!$1:$1,0))/INDEX('Data_NSA'!$A:$OK,MATCH($E47,'Data_NSA'!$A:$A,0),MATCH($C47,'Data_NSA'!$1:$1,0))))/(100*(INDEX('Data_NSA'!$A:$OK,MATCH(I$1,'Data_NSA'!$A:$A,0),MATCH("CUUR0000SA0",'Data_NSA'!$1:$1,0))/INDEX('Data_NSA'!$A:$OK,MATCH($E47,'Data_NSA'!$A:$A,0),MATCH("CUUR0000SA0",'Data_NSA'!$1:$1,0)))),"")</f>
        <v/>
      </c>
    </row>
    <row r="48">
      <c r="A48" s="3" t="inlineStr">
        <is>
          <t>SS06011</t>
        </is>
      </c>
      <c r="B48" s="3" t="inlineStr">
        <is>
          <t>Fresh whole chicken</t>
        </is>
      </c>
      <c r="C48" s="3" t="inlineStr">
        <is>
          <t>CUUR0000SS06011</t>
        </is>
      </c>
      <c r="D48" s="21" t="n"/>
      <c r="E48" s="22" t="n">
        <v>45992</v>
      </c>
      <c r="F48" s="3" t="n">
        <v>2024</v>
      </c>
      <c r="G48" s="10">
        <f>IFERROR(100*($D48*(INDEX('Data_NSA'!$A:$OK,MATCH(G$1,'Data_NSA'!$A:$A,0),MATCH($C48,'Data_NSA'!$1:$1,0))/INDEX('Data_NSA'!$A:$OK,MATCH($E48,'Data_NSA'!$A:$A,0),MATCH($C48,'Data_NSA'!$1:$1,0))))/(100*(INDEX('Data_NSA'!$A:$OK,MATCH(G$1,'Data_NSA'!$A:$A,0),MATCH("CUUR0000SA0",'Data_NSA'!$1:$1,0))/INDEX('Data_NSA'!$A:$OK,MATCH($E48,'Data_NSA'!$A:$A,0),MATCH("CUUR0000SA0",'Data_NSA'!$1:$1,0)))),"")</f>
        <v/>
      </c>
      <c r="H48" s="10">
        <f>IFERROR(100*($D48*(INDEX('Data_NSA'!$A:$OK,MATCH(H$1,'Data_NSA'!$A:$A,0),MATCH($C48,'Data_NSA'!$1:$1,0))/INDEX('Data_NSA'!$A:$OK,MATCH($E48,'Data_NSA'!$A:$A,0),MATCH($C48,'Data_NSA'!$1:$1,0))))/(100*(INDEX('Data_NSA'!$A:$OK,MATCH(H$1,'Data_NSA'!$A:$A,0),MATCH("CUUR0000SA0",'Data_NSA'!$1:$1,0))/INDEX('Data_NSA'!$A:$OK,MATCH($E48,'Data_NSA'!$A:$A,0),MATCH("CUUR0000SA0",'Data_NSA'!$1:$1,0)))),"")</f>
        <v/>
      </c>
      <c r="I48" s="10">
        <f>IFERROR(100*($D48*(INDEX('Data_NSA'!$A:$OK,MATCH(I$1,'Data_NSA'!$A:$A,0),MATCH($C48,'Data_NSA'!$1:$1,0))/INDEX('Data_NSA'!$A:$OK,MATCH($E48,'Data_NSA'!$A:$A,0),MATCH($C48,'Data_NSA'!$1:$1,0))))/(100*(INDEX('Data_NSA'!$A:$OK,MATCH(I$1,'Data_NSA'!$A:$A,0),MATCH("CUUR0000SA0",'Data_NSA'!$1:$1,0))/INDEX('Data_NSA'!$A:$OK,MATCH($E48,'Data_NSA'!$A:$A,0),MATCH("CUUR0000SA0",'Data_NSA'!$1:$1,0)))),"")</f>
        <v/>
      </c>
    </row>
    <row r="49">
      <c r="A49" s="3" t="inlineStr">
        <is>
          <t>SS06021</t>
        </is>
      </c>
      <c r="B49" s="3" t="inlineStr">
        <is>
          <t>Fresh and frozen chicken parts</t>
        </is>
      </c>
      <c r="C49" s="3" t="inlineStr">
        <is>
          <t>CUUR0000SS06021</t>
        </is>
      </c>
      <c r="D49" s="21" t="n"/>
      <c r="E49" s="22" t="n">
        <v>45992</v>
      </c>
      <c r="F49" s="3" t="n">
        <v>2024</v>
      </c>
      <c r="G49" s="10">
        <f>IFERROR(100*($D49*(INDEX('Data_NSA'!$A:$OK,MATCH(G$1,'Data_NSA'!$A:$A,0),MATCH($C49,'Data_NSA'!$1:$1,0))/INDEX('Data_NSA'!$A:$OK,MATCH($E49,'Data_NSA'!$A:$A,0),MATCH($C49,'Data_NSA'!$1:$1,0))))/(100*(INDEX('Data_NSA'!$A:$OK,MATCH(G$1,'Data_NSA'!$A:$A,0),MATCH("CUUR0000SA0",'Data_NSA'!$1:$1,0))/INDEX('Data_NSA'!$A:$OK,MATCH($E49,'Data_NSA'!$A:$A,0),MATCH("CUUR0000SA0",'Data_NSA'!$1:$1,0)))),"")</f>
        <v/>
      </c>
      <c r="H49" s="10">
        <f>IFERROR(100*($D49*(INDEX('Data_NSA'!$A:$OK,MATCH(H$1,'Data_NSA'!$A:$A,0),MATCH($C49,'Data_NSA'!$1:$1,0))/INDEX('Data_NSA'!$A:$OK,MATCH($E49,'Data_NSA'!$A:$A,0),MATCH($C49,'Data_NSA'!$1:$1,0))))/(100*(INDEX('Data_NSA'!$A:$OK,MATCH(H$1,'Data_NSA'!$A:$A,0),MATCH("CUUR0000SA0",'Data_NSA'!$1:$1,0))/INDEX('Data_NSA'!$A:$OK,MATCH($E49,'Data_NSA'!$A:$A,0),MATCH("CUUR0000SA0",'Data_NSA'!$1:$1,0)))),"")</f>
        <v/>
      </c>
      <c r="I49" s="10">
        <f>IFERROR(100*($D49*(INDEX('Data_NSA'!$A:$OK,MATCH(I$1,'Data_NSA'!$A:$A,0),MATCH($C49,'Data_NSA'!$1:$1,0))/INDEX('Data_NSA'!$A:$OK,MATCH($E49,'Data_NSA'!$A:$A,0),MATCH($C49,'Data_NSA'!$1:$1,0))))/(100*(INDEX('Data_NSA'!$A:$OK,MATCH(I$1,'Data_NSA'!$A:$A,0),MATCH("CUUR0000SA0",'Data_NSA'!$1:$1,0))/INDEX('Data_NSA'!$A:$OK,MATCH($E49,'Data_NSA'!$A:$A,0),MATCH("CUUR0000SA0",'Data_NSA'!$1:$1,0)))),"")</f>
        <v/>
      </c>
    </row>
    <row r="50">
      <c r="A50" s="3" t="inlineStr">
        <is>
          <t>SEFF02</t>
        </is>
      </c>
      <c r="B50" s="3" t="inlineStr">
        <is>
          <t>Other uncooked poultry including turkey</t>
        </is>
      </c>
      <c r="C50" s="3" t="inlineStr">
        <is>
          <t>CUUR0000SEFF02</t>
        </is>
      </c>
      <c r="D50" s="21" t="n">
        <v>0.07199999999999999</v>
      </c>
      <c r="E50" s="22" t="n">
        <v>45992</v>
      </c>
      <c r="F50" s="3" t="n">
        <v>2024</v>
      </c>
      <c r="G50" s="10">
        <f>IFERROR(100*($D50*(INDEX('Data_NSA'!$A:$OK,MATCH(G$1,'Data_NSA'!$A:$A,0),MATCH($C50,'Data_NSA'!$1:$1,0))/INDEX('Data_NSA'!$A:$OK,MATCH($E50,'Data_NSA'!$A:$A,0),MATCH($C50,'Data_NSA'!$1:$1,0))))/(100*(INDEX('Data_NSA'!$A:$OK,MATCH(G$1,'Data_NSA'!$A:$A,0),MATCH("CUUR0000SA0",'Data_NSA'!$1:$1,0))/INDEX('Data_NSA'!$A:$OK,MATCH($E50,'Data_NSA'!$A:$A,0),MATCH("CUUR0000SA0",'Data_NSA'!$1:$1,0)))),"")</f>
        <v/>
      </c>
      <c r="H50" s="10">
        <f>IFERROR(100*($D50*(INDEX('Data_NSA'!$A:$OK,MATCH(H$1,'Data_NSA'!$A:$A,0),MATCH($C50,'Data_NSA'!$1:$1,0))/INDEX('Data_NSA'!$A:$OK,MATCH($E50,'Data_NSA'!$A:$A,0),MATCH($C50,'Data_NSA'!$1:$1,0))))/(100*(INDEX('Data_NSA'!$A:$OK,MATCH(H$1,'Data_NSA'!$A:$A,0),MATCH("CUUR0000SA0",'Data_NSA'!$1:$1,0))/INDEX('Data_NSA'!$A:$OK,MATCH($E50,'Data_NSA'!$A:$A,0),MATCH("CUUR0000SA0",'Data_NSA'!$1:$1,0)))),"")</f>
        <v/>
      </c>
      <c r="I50" s="10">
        <f>IFERROR(100*($D50*(INDEX('Data_NSA'!$A:$OK,MATCH(I$1,'Data_NSA'!$A:$A,0),MATCH($C50,'Data_NSA'!$1:$1,0))/INDEX('Data_NSA'!$A:$OK,MATCH($E50,'Data_NSA'!$A:$A,0),MATCH($C50,'Data_NSA'!$1:$1,0))))/(100*(INDEX('Data_NSA'!$A:$OK,MATCH(I$1,'Data_NSA'!$A:$A,0),MATCH("CUUR0000SA0",'Data_NSA'!$1:$1,0))/INDEX('Data_NSA'!$A:$OK,MATCH($E50,'Data_NSA'!$A:$A,0),MATCH("CUUR0000SA0",'Data_NSA'!$1:$1,0)))),"")</f>
        <v/>
      </c>
    </row>
    <row r="51">
      <c r="A51" s="3" t="inlineStr">
        <is>
          <t>SEFG</t>
        </is>
      </c>
      <c r="B51" s="3" t="inlineStr">
        <is>
          <t>Fish and seafood</t>
        </is>
      </c>
      <c r="C51" s="3" t="inlineStr">
        <is>
          <t>CUUR0000SEFG</t>
        </is>
      </c>
      <c r="D51" s="21" t="n">
        <v>0.314</v>
      </c>
      <c r="E51" s="22" t="n">
        <v>45992</v>
      </c>
      <c r="F51" s="3" t="n">
        <v>2024</v>
      </c>
      <c r="G51" s="10">
        <f>IFERROR(100*($D51*(INDEX('Data_NSA'!$A:$OK,MATCH(G$1,'Data_NSA'!$A:$A,0),MATCH($C51,'Data_NSA'!$1:$1,0))/INDEX('Data_NSA'!$A:$OK,MATCH($E51,'Data_NSA'!$A:$A,0),MATCH($C51,'Data_NSA'!$1:$1,0))))/(100*(INDEX('Data_NSA'!$A:$OK,MATCH(G$1,'Data_NSA'!$A:$A,0),MATCH("CUUR0000SA0",'Data_NSA'!$1:$1,0))/INDEX('Data_NSA'!$A:$OK,MATCH($E51,'Data_NSA'!$A:$A,0),MATCH("CUUR0000SA0",'Data_NSA'!$1:$1,0)))),"")</f>
        <v/>
      </c>
      <c r="H51" s="10">
        <f>IFERROR(100*($D51*(INDEX('Data_NSA'!$A:$OK,MATCH(H$1,'Data_NSA'!$A:$A,0),MATCH($C51,'Data_NSA'!$1:$1,0))/INDEX('Data_NSA'!$A:$OK,MATCH($E51,'Data_NSA'!$A:$A,0),MATCH($C51,'Data_NSA'!$1:$1,0))))/(100*(INDEX('Data_NSA'!$A:$OK,MATCH(H$1,'Data_NSA'!$A:$A,0),MATCH("CUUR0000SA0",'Data_NSA'!$1:$1,0))/INDEX('Data_NSA'!$A:$OK,MATCH($E51,'Data_NSA'!$A:$A,0),MATCH("CUUR0000SA0",'Data_NSA'!$1:$1,0)))),"")</f>
        <v/>
      </c>
      <c r="I51" s="10">
        <f>IFERROR(100*($D51*(INDEX('Data_NSA'!$A:$OK,MATCH(I$1,'Data_NSA'!$A:$A,0),MATCH($C51,'Data_NSA'!$1:$1,0))/INDEX('Data_NSA'!$A:$OK,MATCH($E51,'Data_NSA'!$A:$A,0),MATCH($C51,'Data_NSA'!$1:$1,0))))/(100*(INDEX('Data_NSA'!$A:$OK,MATCH(I$1,'Data_NSA'!$A:$A,0),MATCH("CUUR0000SA0",'Data_NSA'!$1:$1,0))/INDEX('Data_NSA'!$A:$OK,MATCH($E51,'Data_NSA'!$A:$A,0),MATCH("CUUR0000SA0",'Data_NSA'!$1:$1,0)))),"")</f>
        <v/>
      </c>
    </row>
    <row r="52">
      <c r="A52" s="3" t="inlineStr">
        <is>
          <t>SEFG01</t>
        </is>
      </c>
      <c r="B52" s="3" t="inlineStr">
        <is>
          <t>Fresh fish and seafood</t>
        </is>
      </c>
      <c r="C52" s="3" t="inlineStr">
        <is>
          <t>CUUR0000SEFG01</t>
        </is>
      </c>
      <c r="D52" s="21" t="n">
        <v>0.165</v>
      </c>
      <c r="E52" s="22" t="n">
        <v>45992</v>
      </c>
      <c r="F52" s="3" t="n">
        <v>2024</v>
      </c>
      <c r="G52" s="10">
        <f>IFERROR(100*($D52*(INDEX('Data_NSA'!$A:$OK,MATCH(G$1,'Data_NSA'!$A:$A,0),MATCH($C52,'Data_NSA'!$1:$1,0))/INDEX('Data_NSA'!$A:$OK,MATCH($E52,'Data_NSA'!$A:$A,0),MATCH($C52,'Data_NSA'!$1:$1,0))))/(100*(INDEX('Data_NSA'!$A:$OK,MATCH(G$1,'Data_NSA'!$A:$A,0),MATCH("CUUR0000SA0",'Data_NSA'!$1:$1,0))/INDEX('Data_NSA'!$A:$OK,MATCH($E52,'Data_NSA'!$A:$A,0),MATCH("CUUR0000SA0",'Data_NSA'!$1:$1,0)))),"")</f>
        <v/>
      </c>
      <c r="H52" s="10">
        <f>IFERROR(100*($D52*(INDEX('Data_NSA'!$A:$OK,MATCH(H$1,'Data_NSA'!$A:$A,0),MATCH($C52,'Data_NSA'!$1:$1,0))/INDEX('Data_NSA'!$A:$OK,MATCH($E52,'Data_NSA'!$A:$A,0),MATCH($C52,'Data_NSA'!$1:$1,0))))/(100*(INDEX('Data_NSA'!$A:$OK,MATCH(H$1,'Data_NSA'!$A:$A,0),MATCH("CUUR0000SA0",'Data_NSA'!$1:$1,0))/INDEX('Data_NSA'!$A:$OK,MATCH($E52,'Data_NSA'!$A:$A,0),MATCH("CUUR0000SA0",'Data_NSA'!$1:$1,0)))),"")</f>
        <v/>
      </c>
      <c r="I52" s="10">
        <f>IFERROR(100*($D52*(INDEX('Data_NSA'!$A:$OK,MATCH(I$1,'Data_NSA'!$A:$A,0),MATCH($C52,'Data_NSA'!$1:$1,0))/INDEX('Data_NSA'!$A:$OK,MATCH($E52,'Data_NSA'!$A:$A,0),MATCH($C52,'Data_NSA'!$1:$1,0))))/(100*(INDEX('Data_NSA'!$A:$OK,MATCH(I$1,'Data_NSA'!$A:$A,0),MATCH("CUUR0000SA0",'Data_NSA'!$1:$1,0))/INDEX('Data_NSA'!$A:$OK,MATCH($E52,'Data_NSA'!$A:$A,0),MATCH("CUUR0000SA0",'Data_NSA'!$1:$1,0)))),"")</f>
        <v/>
      </c>
    </row>
    <row r="53">
      <c r="A53" s="3" t="inlineStr">
        <is>
          <t>SEFG02</t>
        </is>
      </c>
      <c r="B53" s="3" t="inlineStr">
        <is>
          <t>Processed fish and seafood</t>
        </is>
      </c>
      <c r="C53" s="3" t="inlineStr">
        <is>
          <t>CUUR0000SEFG02</t>
        </is>
      </c>
      <c r="D53" s="21" t="n">
        <v>0.149</v>
      </c>
      <c r="E53" s="22" t="n">
        <v>45992</v>
      </c>
      <c r="F53" s="3" t="n">
        <v>2024</v>
      </c>
      <c r="G53" s="10">
        <f>IFERROR(100*($D53*(INDEX('Data_NSA'!$A:$OK,MATCH(G$1,'Data_NSA'!$A:$A,0),MATCH($C53,'Data_NSA'!$1:$1,0))/INDEX('Data_NSA'!$A:$OK,MATCH($E53,'Data_NSA'!$A:$A,0),MATCH($C53,'Data_NSA'!$1:$1,0))))/(100*(INDEX('Data_NSA'!$A:$OK,MATCH(G$1,'Data_NSA'!$A:$A,0),MATCH("CUUR0000SA0",'Data_NSA'!$1:$1,0))/INDEX('Data_NSA'!$A:$OK,MATCH($E53,'Data_NSA'!$A:$A,0),MATCH("CUUR0000SA0",'Data_NSA'!$1:$1,0)))),"")</f>
        <v/>
      </c>
      <c r="H53" s="10">
        <f>IFERROR(100*($D53*(INDEX('Data_NSA'!$A:$OK,MATCH(H$1,'Data_NSA'!$A:$A,0),MATCH($C53,'Data_NSA'!$1:$1,0))/INDEX('Data_NSA'!$A:$OK,MATCH($E53,'Data_NSA'!$A:$A,0),MATCH($C53,'Data_NSA'!$1:$1,0))))/(100*(INDEX('Data_NSA'!$A:$OK,MATCH(H$1,'Data_NSA'!$A:$A,0),MATCH("CUUR0000SA0",'Data_NSA'!$1:$1,0))/INDEX('Data_NSA'!$A:$OK,MATCH($E53,'Data_NSA'!$A:$A,0),MATCH("CUUR0000SA0",'Data_NSA'!$1:$1,0)))),"")</f>
        <v/>
      </c>
      <c r="I53" s="10">
        <f>IFERROR(100*($D53*(INDEX('Data_NSA'!$A:$OK,MATCH(I$1,'Data_NSA'!$A:$A,0),MATCH($C53,'Data_NSA'!$1:$1,0))/INDEX('Data_NSA'!$A:$OK,MATCH($E53,'Data_NSA'!$A:$A,0),MATCH($C53,'Data_NSA'!$1:$1,0))))/(100*(INDEX('Data_NSA'!$A:$OK,MATCH(I$1,'Data_NSA'!$A:$A,0),MATCH("CUUR0000SA0",'Data_NSA'!$1:$1,0))/INDEX('Data_NSA'!$A:$OK,MATCH($E53,'Data_NSA'!$A:$A,0),MATCH("CUUR0000SA0",'Data_NSA'!$1:$1,0)))),"")</f>
        <v/>
      </c>
    </row>
    <row r="54">
      <c r="A54" s="3" t="inlineStr">
        <is>
          <t>SS07011</t>
        </is>
      </c>
      <c r="B54" s="3" t="inlineStr">
        <is>
          <t>Shelf stable fish and seafood</t>
        </is>
      </c>
      <c r="C54" s="3" t="inlineStr">
        <is>
          <t>CUUR0000SS07011</t>
        </is>
      </c>
      <c r="D54" s="21" t="n"/>
      <c r="E54" s="22" t="n">
        <v>45992</v>
      </c>
      <c r="F54" s="3" t="n">
        <v>2024</v>
      </c>
      <c r="G54" s="10">
        <f>IFERROR(100*($D54*(INDEX('Data_NSA'!$A:$OK,MATCH(G$1,'Data_NSA'!$A:$A,0),MATCH($C54,'Data_NSA'!$1:$1,0))/INDEX('Data_NSA'!$A:$OK,MATCH($E54,'Data_NSA'!$A:$A,0),MATCH($C54,'Data_NSA'!$1:$1,0))))/(100*(INDEX('Data_NSA'!$A:$OK,MATCH(G$1,'Data_NSA'!$A:$A,0),MATCH("CUUR0000SA0",'Data_NSA'!$1:$1,0))/INDEX('Data_NSA'!$A:$OK,MATCH($E54,'Data_NSA'!$A:$A,0),MATCH("CUUR0000SA0",'Data_NSA'!$1:$1,0)))),"")</f>
        <v/>
      </c>
      <c r="H54" s="10">
        <f>IFERROR(100*($D54*(INDEX('Data_NSA'!$A:$OK,MATCH(H$1,'Data_NSA'!$A:$A,0),MATCH($C54,'Data_NSA'!$1:$1,0))/INDEX('Data_NSA'!$A:$OK,MATCH($E54,'Data_NSA'!$A:$A,0),MATCH($C54,'Data_NSA'!$1:$1,0))))/(100*(INDEX('Data_NSA'!$A:$OK,MATCH(H$1,'Data_NSA'!$A:$A,0),MATCH("CUUR0000SA0",'Data_NSA'!$1:$1,0))/INDEX('Data_NSA'!$A:$OK,MATCH($E54,'Data_NSA'!$A:$A,0),MATCH("CUUR0000SA0",'Data_NSA'!$1:$1,0)))),"")</f>
        <v/>
      </c>
      <c r="I54" s="10">
        <f>IFERROR(100*($D54*(INDEX('Data_NSA'!$A:$OK,MATCH(I$1,'Data_NSA'!$A:$A,0),MATCH($C54,'Data_NSA'!$1:$1,0))/INDEX('Data_NSA'!$A:$OK,MATCH($E54,'Data_NSA'!$A:$A,0),MATCH($C54,'Data_NSA'!$1:$1,0))))/(100*(INDEX('Data_NSA'!$A:$OK,MATCH(I$1,'Data_NSA'!$A:$A,0),MATCH("CUUR0000SA0",'Data_NSA'!$1:$1,0))/INDEX('Data_NSA'!$A:$OK,MATCH($E54,'Data_NSA'!$A:$A,0),MATCH("CUUR0000SA0",'Data_NSA'!$1:$1,0)))),"")</f>
        <v/>
      </c>
    </row>
    <row r="55">
      <c r="A55" s="3" t="inlineStr">
        <is>
          <t>SS07021</t>
        </is>
      </c>
      <c r="B55" s="3" t="inlineStr">
        <is>
          <t>Frozen fish and seafood</t>
        </is>
      </c>
      <c r="C55" s="3" t="inlineStr">
        <is>
          <t>CUUR0000SS07021</t>
        </is>
      </c>
      <c r="D55" s="21" t="n"/>
      <c r="E55" s="22" t="n">
        <v>45992</v>
      </c>
      <c r="F55" s="3" t="n">
        <v>2024</v>
      </c>
      <c r="G55" s="10">
        <f>IFERROR(100*($D55*(INDEX('Data_NSA'!$A:$OK,MATCH(G$1,'Data_NSA'!$A:$A,0),MATCH($C55,'Data_NSA'!$1:$1,0))/INDEX('Data_NSA'!$A:$OK,MATCH($E55,'Data_NSA'!$A:$A,0),MATCH($C55,'Data_NSA'!$1:$1,0))))/(100*(INDEX('Data_NSA'!$A:$OK,MATCH(G$1,'Data_NSA'!$A:$A,0),MATCH("CUUR0000SA0",'Data_NSA'!$1:$1,0))/INDEX('Data_NSA'!$A:$OK,MATCH($E55,'Data_NSA'!$A:$A,0),MATCH("CUUR0000SA0",'Data_NSA'!$1:$1,0)))),"")</f>
        <v/>
      </c>
      <c r="H55" s="10">
        <f>IFERROR(100*($D55*(INDEX('Data_NSA'!$A:$OK,MATCH(H$1,'Data_NSA'!$A:$A,0),MATCH($C55,'Data_NSA'!$1:$1,0))/INDEX('Data_NSA'!$A:$OK,MATCH($E55,'Data_NSA'!$A:$A,0),MATCH($C55,'Data_NSA'!$1:$1,0))))/(100*(INDEX('Data_NSA'!$A:$OK,MATCH(H$1,'Data_NSA'!$A:$A,0),MATCH("CUUR0000SA0",'Data_NSA'!$1:$1,0))/INDEX('Data_NSA'!$A:$OK,MATCH($E55,'Data_NSA'!$A:$A,0),MATCH("CUUR0000SA0",'Data_NSA'!$1:$1,0)))),"")</f>
        <v/>
      </c>
      <c r="I55" s="10">
        <f>IFERROR(100*($D55*(INDEX('Data_NSA'!$A:$OK,MATCH(I$1,'Data_NSA'!$A:$A,0),MATCH($C55,'Data_NSA'!$1:$1,0))/INDEX('Data_NSA'!$A:$OK,MATCH($E55,'Data_NSA'!$A:$A,0),MATCH($C55,'Data_NSA'!$1:$1,0))))/(100*(INDEX('Data_NSA'!$A:$OK,MATCH(I$1,'Data_NSA'!$A:$A,0),MATCH("CUUR0000SA0",'Data_NSA'!$1:$1,0))/INDEX('Data_NSA'!$A:$OK,MATCH($E55,'Data_NSA'!$A:$A,0),MATCH("CUUR0000SA0",'Data_NSA'!$1:$1,0)))),"")</f>
        <v/>
      </c>
    </row>
    <row r="56">
      <c r="A56" s="3" t="inlineStr">
        <is>
          <t>SEFH</t>
        </is>
      </c>
      <c r="B56" s="3" t="inlineStr">
        <is>
          <t>Eggs</t>
        </is>
      </c>
      <c r="C56" s="3" t="inlineStr">
        <is>
          <t>CUUR0000SEFH</t>
        </is>
      </c>
      <c r="D56" s="21" t="n">
        <v>0.133</v>
      </c>
      <c r="E56" s="22" t="n">
        <v>45992</v>
      </c>
      <c r="F56" s="3" t="n">
        <v>2024</v>
      </c>
      <c r="G56" s="10">
        <f>IFERROR(100*($D56*(INDEX('Data_NSA'!$A:$OK,MATCH(G$1,'Data_NSA'!$A:$A,0),MATCH($C56,'Data_NSA'!$1:$1,0))/INDEX('Data_NSA'!$A:$OK,MATCH($E56,'Data_NSA'!$A:$A,0),MATCH($C56,'Data_NSA'!$1:$1,0))))/(100*(INDEX('Data_NSA'!$A:$OK,MATCH(G$1,'Data_NSA'!$A:$A,0),MATCH("CUUR0000SA0",'Data_NSA'!$1:$1,0))/INDEX('Data_NSA'!$A:$OK,MATCH($E56,'Data_NSA'!$A:$A,0),MATCH("CUUR0000SA0",'Data_NSA'!$1:$1,0)))),"")</f>
        <v/>
      </c>
      <c r="H56" s="10">
        <f>IFERROR(100*($D56*(INDEX('Data_NSA'!$A:$OK,MATCH(H$1,'Data_NSA'!$A:$A,0),MATCH($C56,'Data_NSA'!$1:$1,0))/INDEX('Data_NSA'!$A:$OK,MATCH($E56,'Data_NSA'!$A:$A,0),MATCH($C56,'Data_NSA'!$1:$1,0))))/(100*(INDEX('Data_NSA'!$A:$OK,MATCH(H$1,'Data_NSA'!$A:$A,0),MATCH("CUUR0000SA0",'Data_NSA'!$1:$1,0))/INDEX('Data_NSA'!$A:$OK,MATCH($E56,'Data_NSA'!$A:$A,0),MATCH("CUUR0000SA0",'Data_NSA'!$1:$1,0)))),"")</f>
        <v/>
      </c>
      <c r="I56" s="10">
        <f>IFERROR(100*($D56*(INDEX('Data_NSA'!$A:$OK,MATCH(I$1,'Data_NSA'!$A:$A,0),MATCH($C56,'Data_NSA'!$1:$1,0))/INDEX('Data_NSA'!$A:$OK,MATCH($E56,'Data_NSA'!$A:$A,0),MATCH($C56,'Data_NSA'!$1:$1,0))))/(100*(INDEX('Data_NSA'!$A:$OK,MATCH(I$1,'Data_NSA'!$A:$A,0),MATCH("CUUR0000SA0",'Data_NSA'!$1:$1,0))/INDEX('Data_NSA'!$A:$OK,MATCH($E56,'Data_NSA'!$A:$A,0),MATCH("CUUR0000SA0",'Data_NSA'!$1:$1,0)))),"")</f>
        <v/>
      </c>
    </row>
    <row r="57">
      <c r="A57" s="3" t="inlineStr">
        <is>
          <t>SEFJ</t>
        </is>
      </c>
      <c r="B57" s="3" t="inlineStr">
        <is>
          <t>Dairy and related products</t>
        </is>
      </c>
      <c r="C57" s="3" t="inlineStr">
        <is>
          <t>CUUR0000SEFJ</t>
        </is>
      </c>
      <c r="D57" s="21" t="n">
        <v>0.758</v>
      </c>
      <c r="E57" s="22" t="n">
        <v>45992</v>
      </c>
      <c r="F57" s="3" t="n">
        <v>2024</v>
      </c>
      <c r="G57" s="10">
        <f>IFERROR(100*($D57*(INDEX('Data_NSA'!$A:$OK,MATCH(G$1,'Data_NSA'!$A:$A,0),MATCH($C57,'Data_NSA'!$1:$1,0))/INDEX('Data_NSA'!$A:$OK,MATCH($E57,'Data_NSA'!$A:$A,0),MATCH($C57,'Data_NSA'!$1:$1,0))))/(100*(INDEX('Data_NSA'!$A:$OK,MATCH(G$1,'Data_NSA'!$A:$A,0),MATCH("CUUR0000SA0",'Data_NSA'!$1:$1,0))/INDEX('Data_NSA'!$A:$OK,MATCH($E57,'Data_NSA'!$A:$A,0),MATCH("CUUR0000SA0",'Data_NSA'!$1:$1,0)))),"")</f>
        <v/>
      </c>
      <c r="H57" s="10">
        <f>IFERROR(100*($D57*(INDEX('Data_NSA'!$A:$OK,MATCH(H$1,'Data_NSA'!$A:$A,0),MATCH($C57,'Data_NSA'!$1:$1,0))/INDEX('Data_NSA'!$A:$OK,MATCH($E57,'Data_NSA'!$A:$A,0),MATCH($C57,'Data_NSA'!$1:$1,0))))/(100*(INDEX('Data_NSA'!$A:$OK,MATCH(H$1,'Data_NSA'!$A:$A,0),MATCH("CUUR0000SA0",'Data_NSA'!$1:$1,0))/INDEX('Data_NSA'!$A:$OK,MATCH($E57,'Data_NSA'!$A:$A,0),MATCH("CUUR0000SA0",'Data_NSA'!$1:$1,0)))),"")</f>
        <v/>
      </c>
      <c r="I57" s="10">
        <f>IFERROR(100*($D57*(INDEX('Data_NSA'!$A:$OK,MATCH(I$1,'Data_NSA'!$A:$A,0),MATCH($C57,'Data_NSA'!$1:$1,0))/INDEX('Data_NSA'!$A:$OK,MATCH($E57,'Data_NSA'!$A:$A,0),MATCH($C57,'Data_NSA'!$1:$1,0))))/(100*(INDEX('Data_NSA'!$A:$OK,MATCH(I$1,'Data_NSA'!$A:$A,0),MATCH("CUUR0000SA0",'Data_NSA'!$1:$1,0))/INDEX('Data_NSA'!$A:$OK,MATCH($E57,'Data_NSA'!$A:$A,0),MATCH("CUUR0000SA0",'Data_NSA'!$1:$1,0)))),"")</f>
        <v/>
      </c>
    </row>
    <row r="58">
      <c r="A58" s="3" t="inlineStr">
        <is>
          <t>SEFJ01</t>
        </is>
      </c>
      <c r="B58" s="3" t="inlineStr">
        <is>
          <t>Milk</t>
        </is>
      </c>
      <c r="C58" s="3" t="inlineStr">
        <is>
          <t>CUUR0000SEFJ01</t>
        </is>
      </c>
      <c r="D58" s="21" t="n">
        <v>0.19</v>
      </c>
      <c r="E58" s="22" t="n">
        <v>45992</v>
      </c>
      <c r="F58" s="3" t="n">
        <v>2024</v>
      </c>
      <c r="G58" s="10">
        <f>IFERROR(100*($D58*(INDEX('Data_NSA'!$A:$OK,MATCH(G$1,'Data_NSA'!$A:$A,0),MATCH($C58,'Data_NSA'!$1:$1,0))/INDEX('Data_NSA'!$A:$OK,MATCH($E58,'Data_NSA'!$A:$A,0),MATCH($C58,'Data_NSA'!$1:$1,0))))/(100*(INDEX('Data_NSA'!$A:$OK,MATCH(G$1,'Data_NSA'!$A:$A,0),MATCH("CUUR0000SA0",'Data_NSA'!$1:$1,0))/INDEX('Data_NSA'!$A:$OK,MATCH($E58,'Data_NSA'!$A:$A,0),MATCH("CUUR0000SA0",'Data_NSA'!$1:$1,0)))),"")</f>
        <v/>
      </c>
      <c r="H58" s="10">
        <f>IFERROR(100*($D58*(INDEX('Data_NSA'!$A:$OK,MATCH(H$1,'Data_NSA'!$A:$A,0),MATCH($C58,'Data_NSA'!$1:$1,0))/INDEX('Data_NSA'!$A:$OK,MATCH($E58,'Data_NSA'!$A:$A,0),MATCH($C58,'Data_NSA'!$1:$1,0))))/(100*(INDEX('Data_NSA'!$A:$OK,MATCH(H$1,'Data_NSA'!$A:$A,0),MATCH("CUUR0000SA0",'Data_NSA'!$1:$1,0))/INDEX('Data_NSA'!$A:$OK,MATCH($E58,'Data_NSA'!$A:$A,0),MATCH("CUUR0000SA0",'Data_NSA'!$1:$1,0)))),"")</f>
        <v/>
      </c>
      <c r="I58" s="10">
        <f>IFERROR(100*($D58*(INDEX('Data_NSA'!$A:$OK,MATCH(I$1,'Data_NSA'!$A:$A,0),MATCH($C58,'Data_NSA'!$1:$1,0))/INDEX('Data_NSA'!$A:$OK,MATCH($E58,'Data_NSA'!$A:$A,0),MATCH($C58,'Data_NSA'!$1:$1,0))))/(100*(INDEX('Data_NSA'!$A:$OK,MATCH(I$1,'Data_NSA'!$A:$A,0),MATCH("CUUR0000SA0",'Data_NSA'!$1:$1,0))/INDEX('Data_NSA'!$A:$OK,MATCH($E58,'Data_NSA'!$A:$A,0),MATCH("CUUR0000SA0",'Data_NSA'!$1:$1,0)))),"")</f>
        <v/>
      </c>
    </row>
    <row r="59">
      <c r="A59" s="3" t="inlineStr">
        <is>
          <t>SS09011</t>
        </is>
      </c>
      <c r="B59" s="3" t="inlineStr">
        <is>
          <t>Fresh whole milk</t>
        </is>
      </c>
      <c r="C59" s="3" t="inlineStr">
        <is>
          <t>CUUR0000SS09011</t>
        </is>
      </c>
      <c r="D59" s="21" t="n"/>
      <c r="E59" s="22" t="n">
        <v>45992</v>
      </c>
      <c r="F59" s="3" t="n">
        <v>2024</v>
      </c>
      <c r="G59" s="10">
        <f>IFERROR(100*($D59*(INDEX('Data_NSA'!$A:$OK,MATCH(G$1,'Data_NSA'!$A:$A,0),MATCH($C59,'Data_NSA'!$1:$1,0))/INDEX('Data_NSA'!$A:$OK,MATCH($E59,'Data_NSA'!$A:$A,0),MATCH($C59,'Data_NSA'!$1:$1,0))))/(100*(INDEX('Data_NSA'!$A:$OK,MATCH(G$1,'Data_NSA'!$A:$A,0),MATCH("CUUR0000SA0",'Data_NSA'!$1:$1,0))/INDEX('Data_NSA'!$A:$OK,MATCH($E59,'Data_NSA'!$A:$A,0),MATCH("CUUR0000SA0",'Data_NSA'!$1:$1,0)))),"")</f>
        <v/>
      </c>
      <c r="H59" s="10">
        <f>IFERROR(100*($D59*(INDEX('Data_NSA'!$A:$OK,MATCH(H$1,'Data_NSA'!$A:$A,0),MATCH($C59,'Data_NSA'!$1:$1,0))/INDEX('Data_NSA'!$A:$OK,MATCH($E59,'Data_NSA'!$A:$A,0),MATCH($C59,'Data_NSA'!$1:$1,0))))/(100*(INDEX('Data_NSA'!$A:$OK,MATCH(H$1,'Data_NSA'!$A:$A,0),MATCH("CUUR0000SA0",'Data_NSA'!$1:$1,0))/INDEX('Data_NSA'!$A:$OK,MATCH($E59,'Data_NSA'!$A:$A,0),MATCH("CUUR0000SA0",'Data_NSA'!$1:$1,0)))),"")</f>
        <v/>
      </c>
      <c r="I59" s="10">
        <f>IFERROR(100*($D59*(INDEX('Data_NSA'!$A:$OK,MATCH(I$1,'Data_NSA'!$A:$A,0),MATCH($C59,'Data_NSA'!$1:$1,0))/INDEX('Data_NSA'!$A:$OK,MATCH($E59,'Data_NSA'!$A:$A,0),MATCH($C59,'Data_NSA'!$1:$1,0))))/(100*(INDEX('Data_NSA'!$A:$OK,MATCH(I$1,'Data_NSA'!$A:$A,0),MATCH("CUUR0000SA0",'Data_NSA'!$1:$1,0))/INDEX('Data_NSA'!$A:$OK,MATCH($E59,'Data_NSA'!$A:$A,0),MATCH("CUUR0000SA0",'Data_NSA'!$1:$1,0)))),"")</f>
        <v/>
      </c>
    </row>
    <row r="60">
      <c r="A60" s="3" t="inlineStr">
        <is>
          <t>SS09021</t>
        </is>
      </c>
      <c r="B60" s="3" t="inlineStr">
        <is>
          <t>Fresh milk other than whole</t>
        </is>
      </c>
      <c r="C60" s="3" t="inlineStr">
        <is>
          <t>CUUR0000SS09021</t>
        </is>
      </c>
      <c r="D60" s="21" t="n"/>
      <c r="E60" s="22" t="n">
        <v>45992</v>
      </c>
      <c r="F60" s="3" t="n">
        <v>2024</v>
      </c>
      <c r="G60" s="10">
        <f>IFERROR(100*($D60*(INDEX('Data_NSA'!$A:$OK,MATCH(G$1,'Data_NSA'!$A:$A,0),MATCH($C60,'Data_NSA'!$1:$1,0))/INDEX('Data_NSA'!$A:$OK,MATCH($E60,'Data_NSA'!$A:$A,0),MATCH($C60,'Data_NSA'!$1:$1,0))))/(100*(INDEX('Data_NSA'!$A:$OK,MATCH(G$1,'Data_NSA'!$A:$A,0),MATCH("CUUR0000SA0",'Data_NSA'!$1:$1,0))/INDEX('Data_NSA'!$A:$OK,MATCH($E60,'Data_NSA'!$A:$A,0),MATCH("CUUR0000SA0",'Data_NSA'!$1:$1,0)))),"")</f>
        <v/>
      </c>
      <c r="H60" s="10">
        <f>IFERROR(100*($D60*(INDEX('Data_NSA'!$A:$OK,MATCH(H$1,'Data_NSA'!$A:$A,0),MATCH($C60,'Data_NSA'!$1:$1,0))/INDEX('Data_NSA'!$A:$OK,MATCH($E60,'Data_NSA'!$A:$A,0),MATCH($C60,'Data_NSA'!$1:$1,0))))/(100*(INDEX('Data_NSA'!$A:$OK,MATCH(H$1,'Data_NSA'!$A:$A,0),MATCH("CUUR0000SA0",'Data_NSA'!$1:$1,0))/INDEX('Data_NSA'!$A:$OK,MATCH($E60,'Data_NSA'!$A:$A,0),MATCH("CUUR0000SA0",'Data_NSA'!$1:$1,0)))),"")</f>
        <v/>
      </c>
      <c r="I60" s="10">
        <f>IFERROR(100*($D60*(INDEX('Data_NSA'!$A:$OK,MATCH(I$1,'Data_NSA'!$A:$A,0),MATCH($C60,'Data_NSA'!$1:$1,0))/INDEX('Data_NSA'!$A:$OK,MATCH($E60,'Data_NSA'!$A:$A,0),MATCH($C60,'Data_NSA'!$1:$1,0))))/(100*(INDEX('Data_NSA'!$A:$OK,MATCH(I$1,'Data_NSA'!$A:$A,0),MATCH("CUUR0000SA0",'Data_NSA'!$1:$1,0))/INDEX('Data_NSA'!$A:$OK,MATCH($E60,'Data_NSA'!$A:$A,0),MATCH("CUUR0000SA0",'Data_NSA'!$1:$1,0)))),"")</f>
        <v/>
      </c>
    </row>
    <row r="61">
      <c r="A61" s="3" t="inlineStr">
        <is>
          <t>SEFJ02</t>
        </is>
      </c>
      <c r="B61" s="3" t="inlineStr">
        <is>
          <t>Cheese and related products</t>
        </is>
      </c>
      <c r="C61" s="3" t="inlineStr">
        <is>
          <t>CUUR0000SEFJ02</t>
        </is>
      </c>
      <c r="D61" s="21" t="n">
        <v>0.261</v>
      </c>
      <c r="E61" s="22" t="n">
        <v>45992</v>
      </c>
      <c r="F61" s="3" t="n">
        <v>2024</v>
      </c>
      <c r="G61" s="10">
        <f>IFERROR(100*($D61*(INDEX('Data_NSA'!$A:$OK,MATCH(G$1,'Data_NSA'!$A:$A,0),MATCH($C61,'Data_NSA'!$1:$1,0))/INDEX('Data_NSA'!$A:$OK,MATCH($E61,'Data_NSA'!$A:$A,0),MATCH($C61,'Data_NSA'!$1:$1,0))))/(100*(INDEX('Data_NSA'!$A:$OK,MATCH(G$1,'Data_NSA'!$A:$A,0),MATCH("CUUR0000SA0",'Data_NSA'!$1:$1,0))/INDEX('Data_NSA'!$A:$OK,MATCH($E61,'Data_NSA'!$A:$A,0),MATCH("CUUR0000SA0",'Data_NSA'!$1:$1,0)))),"")</f>
        <v/>
      </c>
      <c r="H61" s="10">
        <f>IFERROR(100*($D61*(INDEX('Data_NSA'!$A:$OK,MATCH(H$1,'Data_NSA'!$A:$A,0),MATCH($C61,'Data_NSA'!$1:$1,0))/INDEX('Data_NSA'!$A:$OK,MATCH($E61,'Data_NSA'!$A:$A,0),MATCH($C61,'Data_NSA'!$1:$1,0))))/(100*(INDEX('Data_NSA'!$A:$OK,MATCH(H$1,'Data_NSA'!$A:$A,0),MATCH("CUUR0000SA0",'Data_NSA'!$1:$1,0))/INDEX('Data_NSA'!$A:$OK,MATCH($E61,'Data_NSA'!$A:$A,0),MATCH("CUUR0000SA0",'Data_NSA'!$1:$1,0)))),"")</f>
        <v/>
      </c>
      <c r="I61" s="10">
        <f>IFERROR(100*($D61*(INDEX('Data_NSA'!$A:$OK,MATCH(I$1,'Data_NSA'!$A:$A,0),MATCH($C61,'Data_NSA'!$1:$1,0))/INDEX('Data_NSA'!$A:$OK,MATCH($E61,'Data_NSA'!$A:$A,0),MATCH($C61,'Data_NSA'!$1:$1,0))))/(100*(INDEX('Data_NSA'!$A:$OK,MATCH(I$1,'Data_NSA'!$A:$A,0),MATCH("CUUR0000SA0",'Data_NSA'!$1:$1,0))/INDEX('Data_NSA'!$A:$OK,MATCH($E61,'Data_NSA'!$A:$A,0),MATCH("CUUR0000SA0",'Data_NSA'!$1:$1,0)))),"")</f>
        <v/>
      </c>
    </row>
    <row r="62">
      <c r="A62" s="3" t="inlineStr">
        <is>
          <t>SEFJ03</t>
        </is>
      </c>
      <c r="B62" s="3" t="inlineStr">
        <is>
          <t>Ice cream and related products</t>
        </is>
      </c>
      <c r="C62" s="3" t="inlineStr">
        <is>
          <t>CUUR0000SEFJ03</t>
        </is>
      </c>
      <c r="D62" s="21" t="n">
        <v>0.115</v>
      </c>
      <c r="E62" s="22" t="n">
        <v>45992</v>
      </c>
      <c r="F62" s="3" t="n">
        <v>2024</v>
      </c>
      <c r="G62" s="10">
        <f>IFERROR(100*($D62*(INDEX('Data_NSA'!$A:$OK,MATCH(G$1,'Data_NSA'!$A:$A,0),MATCH($C62,'Data_NSA'!$1:$1,0))/INDEX('Data_NSA'!$A:$OK,MATCH($E62,'Data_NSA'!$A:$A,0),MATCH($C62,'Data_NSA'!$1:$1,0))))/(100*(INDEX('Data_NSA'!$A:$OK,MATCH(G$1,'Data_NSA'!$A:$A,0),MATCH("CUUR0000SA0",'Data_NSA'!$1:$1,0))/INDEX('Data_NSA'!$A:$OK,MATCH($E62,'Data_NSA'!$A:$A,0),MATCH("CUUR0000SA0",'Data_NSA'!$1:$1,0)))),"")</f>
        <v/>
      </c>
      <c r="H62" s="10">
        <f>IFERROR(100*($D62*(INDEX('Data_NSA'!$A:$OK,MATCH(H$1,'Data_NSA'!$A:$A,0),MATCH($C62,'Data_NSA'!$1:$1,0))/INDEX('Data_NSA'!$A:$OK,MATCH($E62,'Data_NSA'!$A:$A,0),MATCH($C62,'Data_NSA'!$1:$1,0))))/(100*(INDEX('Data_NSA'!$A:$OK,MATCH(H$1,'Data_NSA'!$A:$A,0),MATCH("CUUR0000SA0",'Data_NSA'!$1:$1,0))/INDEX('Data_NSA'!$A:$OK,MATCH($E62,'Data_NSA'!$A:$A,0),MATCH("CUUR0000SA0",'Data_NSA'!$1:$1,0)))),"")</f>
        <v/>
      </c>
      <c r="I62" s="10">
        <f>IFERROR(100*($D62*(INDEX('Data_NSA'!$A:$OK,MATCH(I$1,'Data_NSA'!$A:$A,0),MATCH($C62,'Data_NSA'!$1:$1,0))/INDEX('Data_NSA'!$A:$OK,MATCH($E62,'Data_NSA'!$A:$A,0),MATCH($C62,'Data_NSA'!$1:$1,0))))/(100*(INDEX('Data_NSA'!$A:$OK,MATCH(I$1,'Data_NSA'!$A:$A,0),MATCH("CUUR0000SA0",'Data_NSA'!$1:$1,0))/INDEX('Data_NSA'!$A:$OK,MATCH($E62,'Data_NSA'!$A:$A,0),MATCH("CUUR0000SA0",'Data_NSA'!$1:$1,0)))),"")</f>
        <v/>
      </c>
    </row>
    <row r="63">
      <c r="A63" s="3" t="inlineStr">
        <is>
          <t>SEFJ04</t>
        </is>
      </c>
      <c r="B63" s="3" t="inlineStr">
        <is>
          <t>Other dairy and related products</t>
        </is>
      </c>
      <c r="C63" s="3" t="inlineStr">
        <is>
          <t>CUUR0000SEFJ04</t>
        </is>
      </c>
      <c r="D63" s="21" t="n">
        <v>0.192</v>
      </c>
      <c r="E63" s="22" t="n">
        <v>45992</v>
      </c>
      <c r="F63" s="3" t="n">
        <v>2024</v>
      </c>
      <c r="G63" s="10">
        <f>IFERROR(100*($D63*(INDEX('Data_NSA'!$A:$OK,MATCH(G$1,'Data_NSA'!$A:$A,0),MATCH($C63,'Data_NSA'!$1:$1,0))/INDEX('Data_NSA'!$A:$OK,MATCH($E63,'Data_NSA'!$A:$A,0),MATCH($C63,'Data_NSA'!$1:$1,0))))/(100*(INDEX('Data_NSA'!$A:$OK,MATCH(G$1,'Data_NSA'!$A:$A,0),MATCH("CUUR0000SA0",'Data_NSA'!$1:$1,0))/INDEX('Data_NSA'!$A:$OK,MATCH($E63,'Data_NSA'!$A:$A,0),MATCH("CUUR0000SA0",'Data_NSA'!$1:$1,0)))),"")</f>
        <v/>
      </c>
      <c r="H63" s="10">
        <f>IFERROR(100*($D63*(INDEX('Data_NSA'!$A:$OK,MATCH(H$1,'Data_NSA'!$A:$A,0),MATCH($C63,'Data_NSA'!$1:$1,0))/INDEX('Data_NSA'!$A:$OK,MATCH($E63,'Data_NSA'!$A:$A,0),MATCH($C63,'Data_NSA'!$1:$1,0))))/(100*(INDEX('Data_NSA'!$A:$OK,MATCH(H$1,'Data_NSA'!$A:$A,0),MATCH("CUUR0000SA0",'Data_NSA'!$1:$1,0))/INDEX('Data_NSA'!$A:$OK,MATCH($E63,'Data_NSA'!$A:$A,0),MATCH("CUUR0000SA0",'Data_NSA'!$1:$1,0)))),"")</f>
        <v/>
      </c>
      <c r="I63" s="10">
        <f>IFERROR(100*($D63*(INDEX('Data_NSA'!$A:$OK,MATCH(I$1,'Data_NSA'!$A:$A,0),MATCH($C63,'Data_NSA'!$1:$1,0))/INDEX('Data_NSA'!$A:$OK,MATCH($E63,'Data_NSA'!$A:$A,0),MATCH($C63,'Data_NSA'!$1:$1,0))))/(100*(INDEX('Data_NSA'!$A:$OK,MATCH(I$1,'Data_NSA'!$A:$A,0),MATCH("CUUR0000SA0",'Data_NSA'!$1:$1,0))/INDEX('Data_NSA'!$A:$OK,MATCH($E63,'Data_NSA'!$A:$A,0),MATCH("CUUR0000SA0",'Data_NSA'!$1:$1,0)))),"")</f>
        <v/>
      </c>
    </row>
    <row r="64">
      <c r="A64" s="3" t="inlineStr">
        <is>
          <t>SAF113</t>
        </is>
      </c>
      <c r="B64" s="3" t="inlineStr">
        <is>
          <t>Fruits and vegetables</t>
        </is>
      </c>
      <c r="C64" s="3" t="inlineStr">
        <is>
          <t>CUUR0000SAF113</t>
        </is>
      </c>
      <c r="D64" s="21" t="n">
        <v>1.269</v>
      </c>
      <c r="E64" s="22" t="n">
        <v>45992</v>
      </c>
      <c r="F64" s="3" t="n">
        <v>2024</v>
      </c>
      <c r="G64" s="10">
        <f>IFERROR(100*($D64*(INDEX('Data_NSA'!$A:$OK,MATCH(G$1,'Data_NSA'!$A:$A,0),MATCH($C64,'Data_NSA'!$1:$1,0))/INDEX('Data_NSA'!$A:$OK,MATCH($E64,'Data_NSA'!$A:$A,0),MATCH($C64,'Data_NSA'!$1:$1,0))))/(100*(INDEX('Data_NSA'!$A:$OK,MATCH(G$1,'Data_NSA'!$A:$A,0),MATCH("CUUR0000SA0",'Data_NSA'!$1:$1,0))/INDEX('Data_NSA'!$A:$OK,MATCH($E64,'Data_NSA'!$A:$A,0),MATCH("CUUR0000SA0",'Data_NSA'!$1:$1,0)))),"")</f>
        <v/>
      </c>
      <c r="H64" s="10">
        <f>IFERROR(100*($D64*(INDEX('Data_NSA'!$A:$OK,MATCH(H$1,'Data_NSA'!$A:$A,0),MATCH($C64,'Data_NSA'!$1:$1,0))/INDEX('Data_NSA'!$A:$OK,MATCH($E64,'Data_NSA'!$A:$A,0),MATCH($C64,'Data_NSA'!$1:$1,0))))/(100*(INDEX('Data_NSA'!$A:$OK,MATCH(H$1,'Data_NSA'!$A:$A,0),MATCH("CUUR0000SA0",'Data_NSA'!$1:$1,0))/INDEX('Data_NSA'!$A:$OK,MATCH($E64,'Data_NSA'!$A:$A,0),MATCH("CUUR0000SA0",'Data_NSA'!$1:$1,0)))),"")</f>
        <v/>
      </c>
      <c r="I64" s="10">
        <f>IFERROR(100*($D64*(INDEX('Data_NSA'!$A:$OK,MATCH(I$1,'Data_NSA'!$A:$A,0),MATCH($C64,'Data_NSA'!$1:$1,0))/INDEX('Data_NSA'!$A:$OK,MATCH($E64,'Data_NSA'!$A:$A,0),MATCH($C64,'Data_NSA'!$1:$1,0))))/(100*(INDEX('Data_NSA'!$A:$OK,MATCH(I$1,'Data_NSA'!$A:$A,0),MATCH("CUUR0000SA0",'Data_NSA'!$1:$1,0))/INDEX('Data_NSA'!$A:$OK,MATCH($E64,'Data_NSA'!$A:$A,0),MATCH("CUUR0000SA0",'Data_NSA'!$1:$1,0)))),"")</f>
        <v/>
      </c>
    </row>
    <row r="65">
      <c r="A65" s="3" t="inlineStr">
        <is>
          <t>SAF1131</t>
        </is>
      </c>
      <c r="B65" s="3" t="inlineStr">
        <is>
          <t>Fresh fruits and vegetables</t>
        </is>
      </c>
      <c r="C65" s="3" t="inlineStr">
        <is>
          <t>CUUR0000SAF1131</t>
        </is>
      </c>
      <c r="D65" s="21" t="n">
        <v>1.008</v>
      </c>
      <c r="E65" s="22" t="n">
        <v>45992</v>
      </c>
      <c r="F65" s="3" t="n">
        <v>2024</v>
      </c>
      <c r="G65" s="10">
        <f>IFERROR(100*($D65*(INDEX('Data_NSA'!$A:$OK,MATCH(G$1,'Data_NSA'!$A:$A,0),MATCH($C65,'Data_NSA'!$1:$1,0))/INDEX('Data_NSA'!$A:$OK,MATCH($E65,'Data_NSA'!$A:$A,0),MATCH($C65,'Data_NSA'!$1:$1,0))))/(100*(INDEX('Data_NSA'!$A:$OK,MATCH(G$1,'Data_NSA'!$A:$A,0),MATCH("CUUR0000SA0",'Data_NSA'!$1:$1,0))/INDEX('Data_NSA'!$A:$OK,MATCH($E65,'Data_NSA'!$A:$A,0),MATCH("CUUR0000SA0",'Data_NSA'!$1:$1,0)))),"")</f>
        <v/>
      </c>
      <c r="H65" s="10">
        <f>IFERROR(100*($D65*(INDEX('Data_NSA'!$A:$OK,MATCH(H$1,'Data_NSA'!$A:$A,0),MATCH($C65,'Data_NSA'!$1:$1,0))/INDEX('Data_NSA'!$A:$OK,MATCH($E65,'Data_NSA'!$A:$A,0),MATCH($C65,'Data_NSA'!$1:$1,0))))/(100*(INDEX('Data_NSA'!$A:$OK,MATCH(H$1,'Data_NSA'!$A:$A,0),MATCH("CUUR0000SA0",'Data_NSA'!$1:$1,0))/INDEX('Data_NSA'!$A:$OK,MATCH($E65,'Data_NSA'!$A:$A,0),MATCH("CUUR0000SA0",'Data_NSA'!$1:$1,0)))),"")</f>
        <v/>
      </c>
      <c r="I65" s="10">
        <f>IFERROR(100*($D65*(INDEX('Data_NSA'!$A:$OK,MATCH(I$1,'Data_NSA'!$A:$A,0),MATCH($C65,'Data_NSA'!$1:$1,0))/INDEX('Data_NSA'!$A:$OK,MATCH($E65,'Data_NSA'!$A:$A,0),MATCH($C65,'Data_NSA'!$1:$1,0))))/(100*(INDEX('Data_NSA'!$A:$OK,MATCH(I$1,'Data_NSA'!$A:$A,0),MATCH("CUUR0000SA0",'Data_NSA'!$1:$1,0))/INDEX('Data_NSA'!$A:$OK,MATCH($E65,'Data_NSA'!$A:$A,0),MATCH("CUUR0000SA0",'Data_NSA'!$1:$1,0)))),"")</f>
        <v/>
      </c>
    </row>
    <row r="66">
      <c r="A66" s="3" t="inlineStr">
        <is>
          <t>SEFK</t>
        </is>
      </c>
      <c r="B66" s="3" t="inlineStr">
        <is>
          <t>Fresh fruits</t>
        </is>
      </c>
      <c r="C66" s="3" t="inlineStr">
        <is>
          <t>CUUR0000SEFK</t>
        </is>
      </c>
      <c r="D66" s="21" t="n">
        <v>0.532</v>
      </c>
      <c r="E66" s="22" t="n">
        <v>45992</v>
      </c>
      <c r="F66" s="3" t="n">
        <v>2024</v>
      </c>
      <c r="G66" s="10">
        <f>IFERROR(100*($D66*(INDEX('Data_NSA'!$A:$OK,MATCH(G$1,'Data_NSA'!$A:$A,0),MATCH($C66,'Data_NSA'!$1:$1,0))/INDEX('Data_NSA'!$A:$OK,MATCH($E66,'Data_NSA'!$A:$A,0),MATCH($C66,'Data_NSA'!$1:$1,0))))/(100*(INDEX('Data_NSA'!$A:$OK,MATCH(G$1,'Data_NSA'!$A:$A,0),MATCH("CUUR0000SA0",'Data_NSA'!$1:$1,0))/INDEX('Data_NSA'!$A:$OK,MATCH($E66,'Data_NSA'!$A:$A,0),MATCH("CUUR0000SA0",'Data_NSA'!$1:$1,0)))),"")</f>
        <v/>
      </c>
      <c r="H66" s="10">
        <f>IFERROR(100*($D66*(INDEX('Data_NSA'!$A:$OK,MATCH(H$1,'Data_NSA'!$A:$A,0),MATCH($C66,'Data_NSA'!$1:$1,0))/INDEX('Data_NSA'!$A:$OK,MATCH($E66,'Data_NSA'!$A:$A,0),MATCH($C66,'Data_NSA'!$1:$1,0))))/(100*(INDEX('Data_NSA'!$A:$OK,MATCH(H$1,'Data_NSA'!$A:$A,0),MATCH("CUUR0000SA0",'Data_NSA'!$1:$1,0))/INDEX('Data_NSA'!$A:$OK,MATCH($E66,'Data_NSA'!$A:$A,0),MATCH("CUUR0000SA0",'Data_NSA'!$1:$1,0)))),"")</f>
        <v/>
      </c>
      <c r="I66" s="10">
        <f>IFERROR(100*($D66*(INDEX('Data_NSA'!$A:$OK,MATCH(I$1,'Data_NSA'!$A:$A,0),MATCH($C66,'Data_NSA'!$1:$1,0))/INDEX('Data_NSA'!$A:$OK,MATCH($E66,'Data_NSA'!$A:$A,0),MATCH($C66,'Data_NSA'!$1:$1,0))))/(100*(INDEX('Data_NSA'!$A:$OK,MATCH(I$1,'Data_NSA'!$A:$A,0),MATCH("CUUR0000SA0",'Data_NSA'!$1:$1,0))/INDEX('Data_NSA'!$A:$OK,MATCH($E66,'Data_NSA'!$A:$A,0),MATCH("CUUR0000SA0",'Data_NSA'!$1:$1,0)))),"")</f>
        <v/>
      </c>
    </row>
    <row r="67">
      <c r="A67" s="3" t="inlineStr">
        <is>
          <t>SEFK01</t>
        </is>
      </c>
      <c r="B67" s="3" t="inlineStr">
        <is>
          <t>Apples</t>
        </is>
      </c>
      <c r="C67" s="3" t="inlineStr">
        <is>
          <t>CUUR0000SEFK01</t>
        </is>
      </c>
      <c r="D67" s="21" t="n">
        <v>0.073</v>
      </c>
      <c r="E67" s="22" t="n">
        <v>45992</v>
      </c>
      <c r="F67" s="3" t="n">
        <v>2024</v>
      </c>
      <c r="G67" s="10">
        <f>IFERROR(100*($D67*(INDEX('Data_NSA'!$A:$OK,MATCH(G$1,'Data_NSA'!$A:$A,0),MATCH($C67,'Data_NSA'!$1:$1,0))/INDEX('Data_NSA'!$A:$OK,MATCH($E67,'Data_NSA'!$A:$A,0),MATCH($C67,'Data_NSA'!$1:$1,0))))/(100*(INDEX('Data_NSA'!$A:$OK,MATCH(G$1,'Data_NSA'!$A:$A,0),MATCH("CUUR0000SA0",'Data_NSA'!$1:$1,0))/INDEX('Data_NSA'!$A:$OK,MATCH($E67,'Data_NSA'!$A:$A,0),MATCH("CUUR0000SA0",'Data_NSA'!$1:$1,0)))),"")</f>
        <v/>
      </c>
      <c r="H67" s="10">
        <f>IFERROR(100*($D67*(INDEX('Data_NSA'!$A:$OK,MATCH(H$1,'Data_NSA'!$A:$A,0),MATCH($C67,'Data_NSA'!$1:$1,0))/INDEX('Data_NSA'!$A:$OK,MATCH($E67,'Data_NSA'!$A:$A,0),MATCH($C67,'Data_NSA'!$1:$1,0))))/(100*(INDEX('Data_NSA'!$A:$OK,MATCH(H$1,'Data_NSA'!$A:$A,0),MATCH("CUUR0000SA0",'Data_NSA'!$1:$1,0))/INDEX('Data_NSA'!$A:$OK,MATCH($E67,'Data_NSA'!$A:$A,0),MATCH("CUUR0000SA0",'Data_NSA'!$1:$1,0)))),"")</f>
        <v/>
      </c>
      <c r="I67" s="10">
        <f>IFERROR(100*($D67*(INDEX('Data_NSA'!$A:$OK,MATCH(I$1,'Data_NSA'!$A:$A,0),MATCH($C67,'Data_NSA'!$1:$1,0))/INDEX('Data_NSA'!$A:$OK,MATCH($E67,'Data_NSA'!$A:$A,0),MATCH($C67,'Data_NSA'!$1:$1,0))))/(100*(INDEX('Data_NSA'!$A:$OK,MATCH(I$1,'Data_NSA'!$A:$A,0),MATCH("CUUR0000SA0",'Data_NSA'!$1:$1,0))/INDEX('Data_NSA'!$A:$OK,MATCH($E67,'Data_NSA'!$A:$A,0),MATCH("CUUR0000SA0",'Data_NSA'!$1:$1,0)))),"")</f>
        <v/>
      </c>
    </row>
    <row r="68">
      <c r="A68" s="3" t="inlineStr">
        <is>
          <t>SEFK02</t>
        </is>
      </c>
      <c r="B68" s="3" t="inlineStr">
        <is>
          <t>Bananas</t>
        </is>
      </c>
      <c r="C68" s="3" t="inlineStr">
        <is>
          <t>CUUR0000SEFK02</t>
        </is>
      </c>
      <c r="D68" s="21" t="n">
        <v>0.06</v>
      </c>
      <c r="E68" s="22" t="n">
        <v>45992</v>
      </c>
      <c r="F68" s="3" t="n">
        <v>2024</v>
      </c>
      <c r="G68" s="10">
        <f>IFERROR(100*($D68*(INDEX('Data_NSA'!$A:$OK,MATCH(G$1,'Data_NSA'!$A:$A,0),MATCH($C68,'Data_NSA'!$1:$1,0))/INDEX('Data_NSA'!$A:$OK,MATCH($E68,'Data_NSA'!$A:$A,0),MATCH($C68,'Data_NSA'!$1:$1,0))))/(100*(INDEX('Data_NSA'!$A:$OK,MATCH(G$1,'Data_NSA'!$A:$A,0),MATCH("CUUR0000SA0",'Data_NSA'!$1:$1,0))/INDEX('Data_NSA'!$A:$OK,MATCH($E68,'Data_NSA'!$A:$A,0),MATCH("CUUR0000SA0",'Data_NSA'!$1:$1,0)))),"")</f>
        <v/>
      </c>
      <c r="H68" s="10">
        <f>IFERROR(100*($D68*(INDEX('Data_NSA'!$A:$OK,MATCH(H$1,'Data_NSA'!$A:$A,0),MATCH($C68,'Data_NSA'!$1:$1,0))/INDEX('Data_NSA'!$A:$OK,MATCH($E68,'Data_NSA'!$A:$A,0),MATCH($C68,'Data_NSA'!$1:$1,0))))/(100*(INDEX('Data_NSA'!$A:$OK,MATCH(H$1,'Data_NSA'!$A:$A,0),MATCH("CUUR0000SA0",'Data_NSA'!$1:$1,0))/INDEX('Data_NSA'!$A:$OK,MATCH($E68,'Data_NSA'!$A:$A,0),MATCH("CUUR0000SA0",'Data_NSA'!$1:$1,0)))),"")</f>
        <v/>
      </c>
      <c r="I68" s="10">
        <f>IFERROR(100*($D68*(INDEX('Data_NSA'!$A:$OK,MATCH(I$1,'Data_NSA'!$A:$A,0),MATCH($C68,'Data_NSA'!$1:$1,0))/INDEX('Data_NSA'!$A:$OK,MATCH($E68,'Data_NSA'!$A:$A,0),MATCH($C68,'Data_NSA'!$1:$1,0))))/(100*(INDEX('Data_NSA'!$A:$OK,MATCH(I$1,'Data_NSA'!$A:$A,0),MATCH("CUUR0000SA0",'Data_NSA'!$1:$1,0))/INDEX('Data_NSA'!$A:$OK,MATCH($E68,'Data_NSA'!$A:$A,0),MATCH("CUUR0000SA0",'Data_NSA'!$1:$1,0)))),"")</f>
        <v/>
      </c>
    </row>
    <row r="69">
      <c r="A69" s="3" t="inlineStr">
        <is>
          <t>SEFK03</t>
        </is>
      </c>
      <c r="B69" s="3" t="inlineStr">
        <is>
          <t>Citrus fruits</t>
        </is>
      </c>
      <c r="C69" s="3" t="inlineStr">
        <is>
          <t>CUUR0000SEFK03</t>
        </is>
      </c>
      <c r="D69" s="21" t="n">
        <v>0.077</v>
      </c>
      <c r="E69" s="22" t="n">
        <v>45992</v>
      </c>
      <c r="F69" s="3" t="n">
        <v>2024</v>
      </c>
      <c r="G69" s="10">
        <f>IFERROR(100*($D69*(INDEX('Data_NSA'!$A:$OK,MATCH(G$1,'Data_NSA'!$A:$A,0),MATCH($C69,'Data_NSA'!$1:$1,0))/INDEX('Data_NSA'!$A:$OK,MATCH($E69,'Data_NSA'!$A:$A,0),MATCH($C69,'Data_NSA'!$1:$1,0))))/(100*(INDEX('Data_NSA'!$A:$OK,MATCH(G$1,'Data_NSA'!$A:$A,0),MATCH("CUUR0000SA0",'Data_NSA'!$1:$1,0))/INDEX('Data_NSA'!$A:$OK,MATCH($E69,'Data_NSA'!$A:$A,0),MATCH("CUUR0000SA0",'Data_NSA'!$1:$1,0)))),"")</f>
        <v/>
      </c>
      <c r="H69" s="10">
        <f>IFERROR(100*($D69*(INDEX('Data_NSA'!$A:$OK,MATCH(H$1,'Data_NSA'!$A:$A,0),MATCH($C69,'Data_NSA'!$1:$1,0))/INDEX('Data_NSA'!$A:$OK,MATCH($E69,'Data_NSA'!$A:$A,0),MATCH($C69,'Data_NSA'!$1:$1,0))))/(100*(INDEX('Data_NSA'!$A:$OK,MATCH(H$1,'Data_NSA'!$A:$A,0),MATCH("CUUR0000SA0",'Data_NSA'!$1:$1,0))/INDEX('Data_NSA'!$A:$OK,MATCH($E69,'Data_NSA'!$A:$A,0),MATCH("CUUR0000SA0",'Data_NSA'!$1:$1,0)))),"")</f>
        <v/>
      </c>
      <c r="I69" s="10">
        <f>IFERROR(100*($D69*(INDEX('Data_NSA'!$A:$OK,MATCH(I$1,'Data_NSA'!$A:$A,0),MATCH($C69,'Data_NSA'!$1:$1,0))/INDEX('Data_NSA'!$A:$OK,MATCH($E69,'Data_NSA'!$A:$A,0),MATCH($C69,'Data_NSA'!$1:$1,0))))/(100*(INDEX('Data_NSA'!$A:$OK,MATCH(I$1,'Data_NSA'!$A:$A,0),MATCH("CUUR0000SA0",'Data_NSA'!$1:$1,0))/INDEX('Data_NSA'!$A:$OK,MATCH($E69,'Data_NSA'!$A:$A,0),MATCH("CUUR0000SA0",'Data_NSA'!$1:$1,0)))),"")</f>
        <v/>
      </c>
    </row>
    <row r="70">
      <c r="A70" s="3" t="inlineStr">
        <is>
          <t>SS11031</t>
        </is>
      </c>
      <c r="B70" s="3" t="inlineStr">
        <is>
          <t>Oranges, including tangerines</t>
        </is>
      </c>
      <c r="C70" s="3" t="inlineStr">
        <is>
          <t>CUUR0000SS11031</t>
        </is>
      </c>
      <c r="D70" s="21" t="n"/>
      <c r="E70" s="22" t="n">
        <v>45992</v>
      </c>
      <c r="F70" s="3" t="n">
        <v>2024</v>
      </c>
      <c r="G70" s="10">
        <f>IFERROR(100*($D70*(INDEX('Data_NSA'!$A:$OK,MATCH(G$1,'Data_NSA'!$A:$A,0),MATCH($C70,'Data_NSA'!$1:$1,0))/INDEX('Data_NSA'!$A:$OK,MATCH($E70,'Data_NSA'!$A:$A,0),MATCH($C70,'Data_NSA'!$1:$1,0))))/(100*(INDEX('Data_NSA'!$A:$OK,MATCH(G$1,'Data_NSA'!$A:$A,0),MATCH("CUUR0000SA0",'Data_NSA'!$1:$1,0))/INDEX('Data_NSA'!$A:$OK,MATCH($E70,'Data_NSA'!$A:$A,0),MATCH("CUUR0000SA0",'Data_NSA'!$1:$1,0)))),"")</f>
        <v/>
      </c>
      <c r="H70" s="10">
        <f>IFERROR(100*($D70*(INDEX('Data_NSA'!$A:$OK,MATCH(H$1,'Data_NSA'!$A:$A,0),MATCH($C70,'Data_NSA'!$1:$1,0))/INDEX('Data_NSA'!$A:$OK,MATCH($E70,'Data_NSA'!$A:$A,0),MATCH($C70,'Data_NSA'!$1:$1,0))))/(100*(INDEX('Data_NSA'!$A:$OK,MATCH(H$1,'Data_NSA'!$A:$A,0),MATCH("CUUR0000SA0",'Data_NSA'!$1:$1,0))/INDEX('Data_NSA'!$A:$OK,MATCH($E70,'Data_NSA'!$A:$A,0),MATCH("CUUR0000SA0",'Data_NSA'!$1:$1,0)))),"")</f>
        <v/>
      </c>
      <c r="I70" s="10">
        <f>IFERROR(100*($D70*(INDEX('Data_NSA'!$A:$OK,MATCH(I$1,'Data_NSA'!$A:$A,0),MATCH($C70,'Data_NSA'!$1:$1,0))/INDEX('Data_NSA'!$A:$OK,MATCH($E70,'Data_NSA'!$A:$A,0),MATCH($C70,'Data_NSA'!$1:$1,0))))/(100*(INDEX('Data_NSA'!$A:$OK,MATCH(I$1,'Data_NSA'!$A:$A,0),MATCH("CUUR0000SA0",'Data_NSA'!$1:$1,0))/INDEX('Data_NSA'!$A:$OK,MATCH($E70,'Data_NSA'!$A:$A,0),MATCH("CUUR0000SA0",'Data_NSA'!$1:$1,0)))),"")</f>
        <v/>
      </c>
    </row>
    <row r="71">
      <c r="A71" s="3" t="inlineStr">
        <is>
          <t>SEFK04</t>
        </is>
      </c>
      <c r="B71" s="3" t="inlineStr">
        <is>
          <t>Other fresh fruits</t>
        </is>
      </c>
      <c r="C71" s="3" t="inlineStr">
        <is>
          <t>CUUR0000SEFK04</t>
        </is>
      </c>
      <c r="D71" s="21" t="n">
        <v>0.322</v>
      </c>
      <c r="E71" s="22" t="n">
        <v>45992</v>
      </c>
      <c r="F71" s="3" t="n">
        <v>2024</v>
      </c>
      <c r="G71" s="10">
        <f>IFERROR(100*($D71*(INDEX('Data_NSA'!$A:$OK,MATCH(G$1,'Data_NSA'!$A:$A,0),MATCH($C71,'Data_NSA'!$1:$1,0))/INDEX('Data_NSA'!$A:$OK,MATCH($E71,'Data_NSA'!$A:$A,0),MATCH($C71,'Data_NSA'!$1:$1,0))))/(100*(INDEX('Data_NSA'!$A:$OK,MATCH(G$1,'Data_NSA'!$A:$A,0),MATCH("CUUR0000SA0",'Data_NSA'!$1:$1,0))/INDEX('Data_NSA'!$A:$OK,MATCH($E71,'Data_NSA'!$A:$A,0),MATCH("CUUR0000SA0",'Data_NSA'!$1:$1,0)))),"")</f>
        <v/>
      </c>
      <c r="H71" s="10">
        <f>IFERROR(100*($D71*(INDEX('Data_NSA'!$A:$OK,MATCH(H$1,'Data_NSA'!$A:$A,0),MATCH($C71,'Data_NSA'!$1:$1,0))/INDEX('Data_NSA'!$A:$OK,MATCH($E71,'Data_NSA'!$A:$A,0),MATCH($C71,'Data_NSA'!$1:$1,0))))/(100*(INDEX('Data_NSA'!$A:$OK,MATCH(H$1,'Data_NSA'!$A:$A,0),MATCH("CUUR0000SA0",'Data_NSA'!$1:$1,0))/INDEX('Data_NSA'!$A:$OK,MATCH($E71,'Data_NSA'!$A:$A,0),MATCH("CUUR0000SA0",'Data_NSA'!$1:$1,0)))),"")</f>
        <v/>
      </c>
      <c r="I71" s="10">
        <f>IFERROR(100*($D71*(INDEX('Data_NSA'!$A:$OK,MATCH(I$1,'Data_NSA'!$A:$A,0),MATCH($C71,'Data_NSA'!$1:$1,0))/INDEX('Data_NSA'!$A:$OK,MATCH($E71,'Data_NSA'!$A:$A,0),MATCH($C71,'Data_NSA'!$1:$1,0))))/(100*(INDEX('Data_NSA'!$A:$OK,MATCH(I$1,'Data_NSA'!$A:$A,0),MATCH("CUUR0000SA0",'Data_NSA'!$1:$1,0))/INDEX('Data_NSA'!$A:$OK,MATCH($E71,'Data_NSA'!$A:$A,0),MATCH("CUUR0000SA0",'Data_NSA'!$1:$1,0)))),"")</f>
        <v/>
      </c>
    </row>
    <row r="72">
      <c r="A72" s="3" t="inlineStr">
        <is>
          <t>SEFL</t>
        </is>
      </c>
      <c r="B72" s="3" t="inlineStr">
        <is>
          <t>Fresh vegetables</t>
        </is>
      </c>
      <c r="C72" s="3" t="inlineStr">
        <is>
          <t>CUUR0000SEFL</t>
        </is>
      </c>
      <c r="D72" s="21" t="n">
        <v>0.476</v>
      </c>
      <c r="E72" s="22" t="n">
        <v>45992</v>
      </c>
      <c r="F72" s="3" t="n">
        <v>2024</v>
      </c>
      <c r="G72" s="10">
        <f>IFERROR(100*($D72*(INDEX('Data_NSA'!$A:$OK,MATCH(G$1,'Data_NSA'!$A:$A,0),MATCH($C72,'Data_NSA'!$1:$1,0))/INDEX('Data_NSA'!$A:$OK,MATCH($E72,'Data_NSA'!$A:$A,0),MATCH($C72,'Data_NSA'!$1:$1,0))))/(100*(INDEX('Data_NSA'!$A:$OK,MATCH(G$1,'Data_NSA'!$A:$A,0),MATCH("CUUR0000SA0",'Data_NSA'!$1:$1,0))/INDEX('Data_NSA'!$A:$OK,MATCH($E72,'Data_NSA'!$A:$A,0),MATCH("CUUR0000SA0",'Data_NSA'!$1:$1,0)))),"")</f>
        <v/>
      </c>
      <c r="H72" s="10">
        <f>IFERROR(100*($D72*(INDEX('Data_NSA'!$A:$OK,MATCH(H$1,'Data_NSA'!$A:$A,0),MATCH($C72,'Data_NSA'!$1:$1,0))/INDEX('Data_NSA'!$A:$OK,MATCH($E72,'Data_NSA'!$A:$A,0),MATCH($C72,'Data_NSA'!$1:$1,0))))/(100*(INDEX('Data_NSA'!$A:$OK,MATCH(H$1,'Data_NSA'!$A:$A,0),MATCH("CUUR0000SA0",'Data_NSA'!$1:$1,0))/INDEX('Data_NSA'!$A:$OK,MATCH($E72,'Data_NSA'!$A:$A,0),MATCH("CUUR0000SA0",'Data_NSA'!$1:$1,0)))),"")</f>
        <v/>
      </c>
      <c r="I72" s="10">
        <f>IFERROR(100*($D72*(INDEX('Data_NSA'!$A:$OK,MATCH(I$1,'Data_NSA'!$A:$A,0),MATCH($C72,'Data_NSA'!$1:$1,0))/INDEX('Data_NSA'!$A:$OK,MATCH($E72,'Data_NSA'!$A:$A,0),MATCH($C72,'Data_NSA'!$1:$1,0))))/(100*(INDEX('Data_NSA'!$A:$OK,MATCH(I$1,'Data_NSA'!$A:$A,0),MATCH("CUUR0000SA0",'Data_NSA'!$1:$1,0))/INDEX('Data_NSA'!$A:$OK,MATCH($E72,'Data_NSA'!$A:$A,0),MATCH("CUUR0000SA0",'Data_NSA'!$1:$1,0)))),"")</f>
        <v/>
      </c>
    </row>
    <row r="73">
      <c r="A73" s="3" t="inlineStr">
        <is>
          <t>SEFL01</t>
        </is>
      </c>
      <c r="B73" s="3" t="inlineStr">
        <is>
          <t>Potatoes</t>
        </is>
      </c>
      <c r="C73" s="3" t="inlineStr">
        <is>
          <t>CUUR0000SEFL01</t>
        </is>
      </c>
      <c r="D73" s="21" t="n">
        <v>0.063</v>
      </c>
      <c r="E73" s="22" t="n">
        <v>45992</v>
      </c>
      <c r="F73" s="3" t="n">
        <v>2024</v>
      </c>
      <c r="G73" s="10">
        <f>IFERROR(100*($D73*(INDEX('Data_NSA'!$A:$OK,MATCH(G$1,'Data_NSA'!$A:$A,0),MATCH($C73,'Data_NSA'!$1:$1,0))/INDEX('Data_NSA'!$A:$OK,MATCH($E73,'Data_NSA'!$A:$A,0),MATCH($C73,'Data_NSA'!$1:$1,0))))/(100*(INDEX('Data_NSA'!$A:$OK,MATCH(G$1,'Data_NSA'!$A:$A,0),MATCH("CUUR0000SA0",'Data_NSA'!$1:$1,0))/INDEX('Data_NSA'!$A:$OK,MATCH($E73,'Data_NSA'!$A:$A,0),MATCH("CUUR0000SA0",'Data_NSA'!$1:$1,0)))),"")</f>
        <v/>
      </c>
      <c r="H73" s="10">
        <f>IFERROR(100*($D73*(INDEX('Data_NSA'!$A:$OK,MATCH(H$1,'Data_NSA'!$A:$A,0),MATCH($C73,'Data_NSA'!$1:$1,0))/INDEX('Data_NSA'!$A:$OK,MATCH($E73,'Data_NSA'!$A:$A,0),MATCH($C73,'Data_NSA'!$1:$1,0))))/(100*(INDEX('Data_NSA'!$A:$OK,MATCH(H$1,'Data_NSA'!$A:$A,0),MATCH("CUUR0000SA0",'Data_NSA'!$1:$1,0))/INDEX('Data_NSA'!$A:$OK,MATCH($E73,'Data_NSA'!$A:$A,0),MATCH("CUUR0000SA0",'Data_NSA'!$1:$1,0)))),"")</f>
        <v/>
      </c>
      <c r="I73" s="10">
        <f>IFERROR(100*($D73*(INDEX('Data_NSA'!$A:$OK,MATCH(I$1,'Data_NSA'!$A:$A,0),MATCH($C73,'Data_NSA'!$1:$1,0))/INDEX('Data_NSA'!$A:$OK,MATCH($E73,'Data_NSA'!$A:$A,0),MATCH($C73,'Data_NSA'!$1:$1,0))))/(100*(INDEX('Data_NSA'!$A:$OK,MATCH(I$1,'Data_NSA'!$A:$A,0),MATCH("CUUR0000SA0",'Data_NSA'!$1:$1,0))/INDEX('Data_NSA'!$A:$OK,MATCH($E73,'Data_NSA'!$A:$A,0),MATCH("CUUR0000SA0",'Data_NSA'!$1:$1,0)))),"")</f>
        <v/>
      </c>
    </row>
    <row r="74">
      <c r="A74" s="3" t="inlineStr">
        <is>
          <t>SEFL02</t>
        </is>
      </c>
      <c r="B74" s="3" t="inlineStr">
        <is>
          <t>Lettuce</t>
        </is>
      </c>
      <c r="C74" s="3" t="inlineStr">
        <is>
          <t>CUUR0000SEFL02</t>
        </is>
      </c>
      <c r="D74" s="21" t="n">
        <v>0.044</v>
      </c>
      <c r="E74" s="22" t="n">
        <v>45992</v>
      </c>
      <c r="F74" s="3" t="n">
        <v>2024</v>
      </c>
      <c r="G74" s="10">
        <f>IFERROR(100*($D74*(INDEX('Data_NSA'!$A:$OK,MATCH(G$1,'Data_NSA'!$A:$A,0),MATCH($C74,'Data_NSA'!$1:$1,0))/INDEX('Data_NSA'!$A:$OK,MATCH($E74,'Data_NSA'!$A:$A,0),MATCH($C74,'Data_NSA'!$1:$1,0))))/(100*(INDEX('Data_NSA'!$A:$OK,MATCH(G$1,'Data_NSA'!$A:$A,0),MATCH("CUUR0000SA0",'Data_NSA'!$1:$1,0))/INDEX('Data_NSA'!$A:$OK,MATCH($E74,'Data_NSA'!$A:$A,0),MATCH("CUUR0000SA0",'Data_NSA'!$1:$1,0)))),"")</f>
        <v/>
      </c>
      <c r="H74" s="10">
        <f>IFERROR(100*($D74*(INDEX('Data_NSA'!$A:$OK,MATCH(H$1,'Data_NSA'!$A:$A,0),MATCH($C74,'Data_NSA'!$1:$1,0))/INDEX('Data_NSA'!$A:$OK,MATCH($E74,'Data_NSA'!$A:$A,0),MATCH($C74,'Data_NSA'!$1:$1,0))))/(100*(INDEX('Data_NSA'!$A:$OK,MATCH(H$1,'Data_NSA'!$A:$A,0),MATCH("CUUR0000SA0",'Data_NSA'!$1:$1,0))/INDEX('Data_NSA'!$A:$OK,MATCH($E74,'Data_NSA'!$A:$A,0),MATCH("CUUR0000SA0",'Data_NSA'!$1:$1,0)))),"")</f>
        <v/>
      </c>
      <c r="I74" s="10">
        <f>IFERROR(100*($D74*(INDEX('Data_NSA'!$A:$OK,MATCH(I$1,'Data_NSA'!$A:$A,0),MATCH($C74,'Data_NSA'!$1:$1,0))/INDEX('Data_NSA'!$A:$OK,MATCH($E74,'Data_NSA'!$A:$A,0),MATCH($C74,'Data_NSA'!$1:$1,0))))/(100*(INDEX('Data_NSA'!$A:$OK,MATCH(I$1,'Data_NSA'!$A:$A,0),MATCH("CUUR0000SA0",'Data_NSA'!$1:$1,0))/INDEX('Data_NSA'!$A:$OK,MATCH($E74,'Data_NSA'!$A:$A,0),MATCH("CUUR0000SA0",'Data_NSA'!$1:$1,0)))),"")</f>
        <v/>
      </c>
    </row>
    <row r="75">
      <c r="A75" s="3" t="inlineStr">
        <is>
          <t>SEFL03</t>
        </is>
      </c>
      <c r="B75" s="3" t="inlineStr">
        <is>
          <t>Tomatoes</t>
        </is>
      </c>
      <c r="C75" s="3" t="inlineStr">
        <is>
          <t>CUUR0000SEFL03</t>
        </is>
      </c>
      <c r="D75" s="21" t="n">
        <v>0.063</v>
      </c>
      <c r="E75" s="22" t="n">
        <v>45992</v>
      </c>
      <c r="F75" s="3" t="n">
        <v>2024</v>
      </c>
      <c r="G75" s="10">
        <f>IFERROR(100*($D75*(INDEX('Data_NSA'!$A:$OK,MATCH(G$1,'Data_NSA'!$A:$A,0),MATCH($C75,'Data_NSA'!$1:$1,0))/INDEX('Data_NSA'!$A:$OK,MATCH($E75,'Data_NSA'!$A:$A,0),MATCH($C75,'Data_NSA'!$1:$1,0))))/(100*(INDEX('Data_NSA'!$A:$OK,MATCH(G$1,'Data_NSA'!$A:$A,0),MATCH("CUUR0000SA0",'Data_NSA'!$1:$1,0))/INDEX('Data_NSA'!$A:$OK,MATCH($E75,'Data_NSA'!$A:$A,0),MATCH("CUUR0000SA0",'Data_NSA'!$1:$1,0)))),"")</f>
        <v/>
      </c>
      <c r="H75" s="10">
        <f>IFERROR(100*($D75*(INDEX('Data_NSA'!$A:$OK,MATCH(H$1,'Data_NSA'!$A:$A,0),MATCH($C75,'Data_NSA'!$1:$1,0))/INDEX('Data_NSA'!$A:$OK,MATCH($E75,'Data_NSA'!$A:$A,0),MATCH($C75,'Data_NSA'!$1:$1,0))))/(100*(INDEX('Data_NSA'!$A:$OK,MATCH(H$1,'Data_NSA'!$A:$A,0),MATCH("CUUR0000SA0",'Data_NSA'!$1:$1,0))/INDEX('Data_NSA'!$A:$OK,MATCH($E75,'Data_NSA'!$A:$A,0),MATCH("CUUR0000SA0",'Data_NSA'!$1:$1,0)))),"")</f>
        <v/>
      </c>
      <c r="I75" s="10">
        <f>IFERROR(100*($D75*(INDEX('Data_NSA'!$A:$OK,MATCH(I$1,'Data_NSA'!$A:$A,0),MATCH($C75,'Data_NSA'!$1:$1,0))/INDEX('Data_NSA'!$A:$OK,MATCH($E75,'Data_NSA'!$A:$A,0),MATCH($C75,'Data_NSA'!$1:$1,0))))/(100*(INDEX('Data_NSA'!$A:$OK,MATCH(I$1,'Data_NSA'!$A:$A,0),MATCH("CUUR0000SA0",'Data_NSA'!$1:$1,0))/INDEX('Data_NSA'!$A:$OK,MATCH($E75,'Data_NSA'!$A:$A,0),MATCH("CUUR0000SA0",'Data_NSA'!$1:$1,0)))),"")</f>
        <v/>
      </c>
    </row>
    <row r="76">
      <c r="A76" s="3" t="inlineStr">
        <is>
          <t>SEFL04</t>
        </is>
      </c>
      <c r="B76" s="3" t="inlineStr">
        <is>
          <t>Other fresh vegetables</t>
        </is>
      </c>
      <c r="C76" s="3" t="inlineStr">
        <is>
          <t>CUUR0000SEFL04</t>
        </is>
      </c>
      <c r="D76" s="21" t="n">
        <v>0.305</v>
      </c>
      <c r="E76" s="22" t="n">
        <v>45992</v>
      </c>
      <c r="F76" s="3" t="n">
        <v>2024</v>
      </c>
      <c r="G76" s="10">
        <f>IFERROR(100*($D76*(INDEX('Data_NSA'!$A:$OK,MATCH(G$1,'Data_NSA'!$A:$A,0),MATCH($C76,'Data_NSA'!$1:$1,0))/INDEX('Data_NSA'!$A:$OK,MATCH($E76,'Data_NSA'!$A:$A,0),MATCH($C76,'Data_NSA'!$1:$1,0))))/(100*(INDEX('Data_NSA'!$A:$OK,MATCH(G$1,'Data_NSA'!$A:$A,0),MATCH("CUUR0000SA0",'Data_NSA'!$1:$1,0))/INDEX('Data_NSA'!$A:$OK,MATCH($E76,'Data_NSA'!$A:$A,0),MATCH("CUUR0000SA0",'Data_NSA'!$1:$1,0)))),"")</f>
        <v/>
      </c>
      <c r="H76" s="10">
        <f>IFERROR(100*($D76*(INDEX('Data_NSA'!$A:$OK,MATCH(H$1,'Data_NSA'!$A:$A,0),MATCH($C76,'Data_NSA'!$1:$1,0))/INDEX('Data_NSA'!$A:$OK,MATCH($E76,'Data_NSA'!$A:$A,0),MATCH($C76,'Data_NSA'!$1:$1,0))))/(100*(INDEX('Data_NSA'!$A:$OK,MATCH(H$1,'Data_NSA'!$A:$A,0),MATCH("CUUR0000SA0",'Data_NSA'!$1:$1,0))/INDEX('Data_NSA'!$A:$OK,MATCH($E76,'Data_NSA'!$A:$A,0),MATCH("CUUR0000SA0",'Data_NSA'!$1:$1,0)))),"")</f>
        <v/>
      </c>
      <c r="I76" s="10">
        <f>IFERROR(100*($D76*(INDEX('Data_NSA'!$A:$OK,MATCH(I$1,'Data_NSA'!$A:$A,0),MATCH($C76,'Data_NSA'!$1:$1,0))/INDEX('Data_NSA'!$A:$OK,MATCH($E76,'Data_NSA'!$A:$A,0),MATCH($C76,'Data_NSA'!$1:$1,0))))/(100*(INDEX('Data_NSA'!$A:$OK,MATCH(I$1,'Data_NSA'!$A:$A,0),MATCH("CUUR0000SA0",'Data_NSA'!$1:$1,0))/INDEX('Data_NSA'!$A:$OK,MATCH($E76,'Data_NSA'!$A:$A,0),MATCH("CUUR0000SA0",'Data_NSA'!$1:$1,0)))),"")</f>
        <v/>
      </c>
    </row>
    <row r="77">
      <c r="A77" s="3" t="inlineStr">
        <is>
          <t>SEFM</t>
        </is>
      </c>
      <c r="B77" s="3" t="inlineStr">
        <is>
          <t>Processed fruits and vegetables</t>
        </is>
      </c>
      <c r="C77" s="3" t="inlineStr">
        <is>
          <t>CUUR0000SEFM</t>
        </is>
      </c>
      <c r="D77" s="21" t="n">
        <v>0.262</v>
      </c>
      <c r="E77" s="22" t="n">
        <v>45992</v>
      </c>
      <c r="F77" s="3" t="n">
        <v>2024</v>
      </c>
      <c r="G77" s="10">
        <f>IFERROR(100*($D77*(INDEX('Data_NSA'!$A:$OK,MATCH(G$1,'Data_NSA'!$A:$A,0),MATCH($C77,'Data_NSA'!$1:$1,0))/INDEX('Data_NSA'!$A:$OK,MATCH($E77,'Data_NSA'!$A:$A,0),MATCH($C77,'Data_NSA'!$1:$1,0))))/(100*(INDEX('Data_NSA'!$A:$OK,MATCH(G$1,'Data_NSA'!$A:$A,0),MATCH("CUUR0000SA0",'Data_NSA'!$1:$1,0))/INDEX('Data_NSA'!$A:$OK,MATCH($E77,'Data_NSA'!$A:$A,0),MATCH("CUUR0000SA0",'Data_NSA'!$1:$1,0)))),"")</f>
        <v/>
      </c>
      <c r="H77" s="10">
        <f>IFERROR(100*($D77*(INDEX('Data_NSA'!$A:$OK,MATCH(H$1,'Data_NSA'!$A:$A,0),MATCH($C77,'Data_NSA'!$1:$1,0))/INDEX('Data_NSA'!$A:$OK,MATCH($E77,'Data_NSA'!$A:$A,0),MATCH($C77,'Data_NSA'!$1:$1,0))))/(100*(INDEX('Data_NSA'!$A:$OK,MATCH(H$1,'Data_NSA'!$A:$A,0),MATCH("CUUR0000SA0",'Data_NSA'!$1:$1,0))/INDEX('Data_NSA'!$A:$OK,MATCH($E77,'Data_NSA'!$A:$A,0),MATCH("CUUR0000SA0",'Data_NSA'!$1:$1,0)))),"")</f>
        <v/>
      </c>
      <c r="I77" s="10">
        <f>IFERROR(100*($D77*(INDEX('Data_NSA'!$A:$OK,MATCH(I$1,'Data_NSA'!$A:$A,0),MATCH($C77,'Data_NSA'!$1:$1,0))/INDEX('Data_NSA'!$A:$OK,MATCH($E77,'Data_NSA'!$A:$A,0),MATCH($C77,'Data_NSA'!$1:$1,0))))/(100*(INDEX('Data_NSA'!$A:$OK,MATCH(I$1,'Data_NSA'!$A:$A,0),MATCH("CUUR0000SA0",'Data_NSA'!$1:$1,0))/INDEX('Data_NSA'!$A:$OK,MATCH($E77,'Data_NSA'!$A:$A,0),MATCH("CUUR0000SA0",'Data_NSA'!$1:$1,0)))),"")</f>
        <v/>
      </c>
    </row>
    <row r="78">
      <c r="A78" s="3" t="inlineStr">
        <is>
          <t>SEFM01</t>
        </is>
      </c>
      <c r="B78" s="3" t="inlineStr">
        <is>
          <t>Canned fruits and vegetables</t>
        </is>
      </c>
      <c r="C78" s="3" t="inlineStr">
        <is>
          <t>CUUR0000SEFM01</t>
        </is>
      </c>
      <c r="D78" s="21" t="n">
        <v>0.096</v>
      </c>
      <c r="E78" s="22" t="n">
        <v>45992</v>
      </c>
      <c r="F78" s="3" t="n">
        <v>2024</v>
      </c>
      <c r="G78" s="10">
        <f>IFERROR(100*($D78*(INDEX('Data_NSA'!$A:$OK,MATCH(G$1,'Data_NSA'!$A:$A,0),MATCH($C78,'Data_NSA'!$1:$1,0))/INDEX('Data_NSA'!$A:$OK,MATCH($E78,'Data_NSA'!$A:$A,0),MATCH($C78,'Data_NSA'!$1:$1,0))))/(100*(INDEX('Data_NSA'!$A:$OK,MATCH(G$1,'Data_NSA'!$A:$A,0),MATCH("CUUR0000SA0",'Data_NSA'!$1:$1,0))/INDEX('Data_NSA'!$A:$OK,MATCH($E78,'Data_NSA'!$A:$A,0),MATCH("CUUR0000SA0",'Data_NSA'!$1:$1,0)))),"")</f>
        <v/>
      </c>
      <c r="H78" s="10">
        <f>IFERROR(100*($D78*(INDEX('Data_NSA'!$A:$OK,MATCH(H$1,'Data_NSA'!$A:$A,0),MATCH($C78,'Data_NSA'!$1:$1,0))/INDEX('Data_NSA'!$A:$OK,MATCH($E78,'Data_NSA'!$A:$A,0),MATCH($C78,'Data_NSA'!$1:$1,0))))/(100*(INDEX('Data_NSA'!$A:$OK,MATCH(H$1,'Data_NSA'!$A:$A,0),MATCH("CUUR0000SA0",'Data_NSA'!$1:$1,0))/INDEX('Data_NSA'!$A:$OK,MATCH($E78,'Data_NSA'!$A:$A,0),MATCH("CUUR0000SA0",'Data_NSA'!$1:$1,0)))),"")</f>
        <v/>
      </c>
      <c r="I78" s="10">
        <f>IFERROR(100*($D78*(INDEX('Data_NSA'!$A:$OK,MATCH(I$1,'Data_NSA'!$A:$A,0),MATCH($C78,'Data_NSA'!$1:$1,0))/INDEX('Data_NSA'!$A:$OK,MATCH($E78,'Data_NSA'!$A:$A,0),MATCH($C78,'Data_NSA'!$1:$1,0))))/(100*(INDEX('Data_NSA'!$A:$OK,MATCH(I$1,'Data_NSA'!$A:$A,0),MATCH("CUUR0000SA0",'Data_NSA'!$1:$1,0))/INDEX('Data_NSA'!$A:$OK,MATCH($E78,'Data_NSA'!$A:$A,0),MATCH("CUUR0000SA0",'Data_NSA'!$1:$1,0)))),"")</f>
        <v/>
      </c>
    </row>
    <row r="79">
      <c r="A79" s="3" t="inlineStr">
        <is>
          <t>SS13031</t>
        </is>
      </c>
      <c r="B79" s="3" t="inlineStr">
        <is>
          <t>Canned fruits</t>
        </is>
      </c>
      <c r="C79" s="3" t="inlineStr">
        <is>
          <t>CUUR0000SS13031</t>
        </is>
      </c>
      <c r="D79" s="21" t="n"/>
      <c r="E79" s="22" t="n">
        <v>45992</v>
      </c>
      <c r="F79" s="3" t="n">
        <v>2024</v>
      </c>
      <c r="G79" s="10">
        <f>IFERROR(100*($D79*(INDEX('Data_NSA'!$A:$OK,MATCH(G$1,'Data_NSA'!$A:$A,0),MATCH($C79,'Data_NSA'!$1:$1,0))/INDEX('Data_NSA'!$A:$OK,MATCH($E79,'Data_NSA'!$A:$A,0),MATCH($C79,'Data_NSA'!$1:$1,0))))/(100*(INDEX('Data_NSA'!$A:$OK,MATCH(G$1,'Data_NSA'!$A:$A,0),MATCH("CUUR0000SA0",'Data_NSA'!$1:$1,0))/INDEX('Data_NSA'!$A:$OK,MATCH($E79,'Data_NSA'!$A:$A,0),MATCH("CUUR0000SA0",'Data_NSA'!$1:$1,0)))),"")</f>
        <v/>
      </c>
      <c r="H79" s="10">
        <f>IFERROR(100*($D79*(INDEX('Data_NSA'!$A:$OK,MATCH(H$1,'Data_NSA'!$A:$A,0),MATCH($C79,'Data_NSA'!$1:$1,0))/INDEX('Data_NSA'!$A:$OK,MATCH($E79,'Data_NSA'!$A:$A,0),MATCH($C79,'Data_NSA'!$1:$1,0))))/(100*(INDEX('Data_NSA'!$A:$OK,MATCH(H$1,'Data_NSA'!$A:$A,0),MATCH("CUUR0000SA0",'Data_NSA'!$1:$1,0))/INDEX('Data_NSA'!$A:$OK,MATCH($E79,'Data_NSA'!$A:$A,0),MATCH("CUUR0000SA0",'Data_NSA'!$1:$1,0)))),"")</f>
        <v/>
      </c>
      <c r="I79" s="10">
        <f>IFERROR(100*($D79*(INDEX('Data_NSA'!$A:$OK,MATCH(I$1,'Data_NSA'!$A:$A,0),MATCH($C79,'Data_NSA'!$1:$1,0))/INDEX('Data_NSA'!$A:$OK,MATCH($E79,'Data_NSA'!$A:$A,0),MATCH($C79,'Data_NSA'!$1:$1,0))))/(100*(INDEX('Data_NSA'!$A:$OK,MATCH(I$1,'Data_NSA'!$A:$A,0),MATCH("CUUR0000SA0",'Data_NSA'!$1:$1,0))/INDEX('Data_NSA'!$A:$OK,MATCH($E79,'Data_NSA'!$A:$A,0),MATCH("CUUR0000SA0",'Data_NSA'!$1:$1,0)))),"")</f>
        <v/>
      </c>
    </row>
    <row r="80">
      <c r="A80" s="3" t="inlineStr">
        <is>
          <t>SS14021</t>
        </is>
      </c>
      <c r="B80" s="3" t="inlineStr">
        <is>
          <t>Canned vegetables</t>
        </is>
      </c>
      <c r="C80" s="3" t="inlineStr">
        <is>
          <t>CUUR0000SS14021</t>
        </is>
      </c>
      <c r="D80" s="21" t="n"/>
      <c r="E80" s="22" t="n">
        <v>45992</v>
      </c>
      <c r="F80" s="3" t="n">
        <v>2024</v>
      </c>
      <c r="G80" s="10">
        <f>IFERROR(100*($D80*(INDEX('Data_NSA'!$A:$OK,MATCH(G$1,'Data_NSA'!$A:$A,0),MATCH($C80,'Data_NSA'!$1:$1,0))/INDEX('Data_NSA'!$A:$OK,MATCH($E80,'Data_NSA'!$A:$A,0),MATCH($C80,'Data_NSA'!$1:$1,0))))/(100*(INDEX('Data_NSA'!$A:$OK,MATCH(G$1,'Data_NSA'!$A:$A,0),MATCH("CUUR0000SA0",'Data_NSA'!$1:$1,0))/INDEX('Data_NSA'!$A:$OK,MATCH($E80,'Data_NSA'!$A:$A,0),MATCH("CUUR0000SA0",'Data_NSA'!$1:$1,0)))),"")</f>
        <v/>
      </c>
      <c r="H80" s="10">
        <f>IFERROR(100*($D80*(INDEX('Data_NSA'!$A:$OK,MATCH(H$1,'Data_NSA'!$A:$A,0),MATCH($C80,'Data_NSA'!$1:$1,0))/INDEX('Data_NSA'!$A:$OK,MATCH($E80,'Data_NSA'!$A:$A,0),MATCH($C80,'Data_NSA'!$1:$1,0))))/(100*(INDEX('Data_NSA'!$A:$OK,MATCH(H$1,'Data_NSA'!$A:$A,0),MATCH("CUUR0000SA0",'Data_NSA'!$1:$1,0))/INDEX('Data_NSA'!$A:$OK,MATCH($E80,'Data_NSA'!$A:$A,0),MATCH("CUUR0000SA0",'Data_NSA'!$1:$1,0)))),"")</f>
        <v/>
      </c>
      <c r="I80" s="10">
        <f>IFERROR(100*($D80*(INDEX('Data_NSA'!$A:$OK,MATCH(I$1,'Data_NSA'!$A:$A,0),MATCH($C80,'Data_NSA'!$1:$1,0))/INDEX('Data_NSA'!$A:$OK,MATCH($E80,'Data_NSA'!$A:$A,0),MATCH($C80,'Data_NSA'!$1:$1,0))))/(100*(INDEX('Data_NSA'!$A:$OK,MATCH(I$1,'Data_NSA'!$A:$A,0),MATCH("CUUR0000SA0",'Data_NSA'!$1:$1,0))/INDEX('Data_NSA'!$A:$OK,MATCH($E80,'Data_NSA'!$A:$A,0),MATCH("CUUR0000SA0",'Data_NSA'!$1:$1,0)))),"")</f>
        <v/>
      </c>
    </row>
    <row r="81">
      <c r="A81" s="3" t="inlineStr">
        <is>
          <t>SEFM02</t>
        </is>
      </c>
      <c r="B81" s="3" t="inlineStr">
        <is>
          <t>Frozen fruits and vegetables</t>
        </is>
      </c>
      <c r="C81" s="3" t="inlineStr">
        <is>
          <t>CUUR0000SEFM02</t>
        </is>
      </c>
      <c r="D81" s="21" t="n">
        <v>0.08400000000000001</v>
      </c>
      <c r="E81" s="22" t="n">
        <v>45992</v>
      </c>
      <c r="F81" s="3" t="n">
        <v>2024</v>
      </c>
      <c r="G81" s="10">
        <f>IFERROR(100*($D81*(INDEX('Data_NSA'!$A:$OK,MATCH(G$1,'Data_NSA'!$A:$A,0),MATCH($C81,'Data_NSA'!$1:$1,0))/INDEX('Data_NSA'!$A:$OK,MATCH($E81,'Data_NSA'!$A:$A,0),MATCH($C81,'Data_NSA'!$1:$1,0))))/(100*(INDEX('Data_NSA'!$A:$OK,MATCH(G$1,'Data_NSA'!$A:$A,0),MATCH("CUUR0000SA0",'Data_NSA'!$1:$1,0))/INDEX('Data_NSA'!$A:$OK,MATCH($E81,'Data_NSA'!$A:$A,0),MATCH("CUUR0000SA0",'Data_NSA'!$1:$1,0)))),"")</f>
        <v/>
      </c>
      <c r="H81" s="10">
        <f>IFERROR(100*($D81*(INDEX('Data_NSA'!$A:$OK,MATCH(H$1,'Data_NSA'!$A:$A,0),MATCH($C81,'Data_NSA'!$1:$1,0))/INDEX('Data_NSA'!$A:$OK,MATCH($E81,'Data_NSA'!$A:$A,0),MATCH($C81,'Data_NSA'!$1:$1,0))))/(100*(INDEX('Data_NSA'!$A:$OK,MATCH(H$1,'Data_NSA'!$A:$A,0),MATCH("CUUR0000SA0",'Data_NSA'!$1:$1,0))/INDEX('Data_NSA'!$A:$OK,MATCH($E81,'Data_NSA'!$A:$A,0),MATCH("CUUR0000SA0",'Data_NSA'!$1:$1,0)))),"")</f>
        <v/>
      </c>
      <c r="I81" s="10">
        <f>IFERROR(100*($D81*(INDEX('Data_NSA'!$A:$OK,MATCH(I$1,'Data_NSA'!$A:$A,0),MATCH($C81,'Data_NSA'!$1:$1,0))/INDEX('Data_NSA'!$A:$OK,MATCH($E81,'Data_NSA'!$A:$A,0),MATCH($C81,'Data_NSA'!$1:$1,0))))/(100*(INDEX('Data_NSA'!$A:$OK,MATCH(I$1,'Data_NSA'!$A:$A,0),MATCH("CUUR0000SA0",'Data_NSA'!$1:$1,0))/INDEX('Data_NSA'!$A:$OK,MATCH($E81,'Data_NSA'!$A:$A,0),MATCH("CUUR0000SA0",'Data_NSA'!$1:$1,0)))),"")</f>
        <v/>
      </c>
    </row>
    <row r="82">
      <c r="A82" s="3" t="inlineStr">
        <is>
          <t>SS14011</t>
        </is>
      </c>
      <c r="B82" s="3" t="inlineStr">
        <is>
          <t>Frozen vegetables</t>
        </is>
      </c>
      <c r="C82" s="3" t="inlineStr">
        <is>
          <t>CUUR0000SS14011</t>
        </is>
      </c>
      <c r="D82" s="21" t="n"/>
      <c r="E82" s="22" t="n">
        <v>45992</v>
      </c>
      <c r="F82" s="3" t="n">
        <v>2024</v>
      </c>
      <c r="G82" s="10">
        <f>IFERROR(100*($D82*(INDEX('Data_NSA'!$A:$OK,MATCH(G$1,'Data_NSA'!$A:$A,0),MATCH($C82,'Data_NSA'!$1:$1,0))/INDEX('Data_NSA'!$A:$OK,MATCH($E82,'Data_NSA'!$A:$A,0),MATCH($C82,'Data_NSA'!$1:$1,0))))/(100*(INDEX('Data_NSA'!$A:$OK,MATCH(G$1,'Data_NSA'!$A:$A,0),MATCH("CUUR0000SA0",'Data_NSA'!$1:$1,0))/INDEX('Data_NSA'!$A:$OK,MATCH($E82,'Data_NSA'!$A:$A,0),MATCH("CUUR0000SA0",'Data_NSA'!$1:$1,0)))),"")</f>
        <v/>
      </c>
      <c r="H82" s="10">
        <f>IFERROR(100*($D82*(INDEX('Data_NSA'!$A:$OK,MATCH(H$1,'Data_NSA'!$A:$A,0),MATCH($C82,'Data_NSA'!$1:$1,0))/INDEX('Data_NSA'!$A:$OK,MATCH($E82,'Data_NSA'!$A:$A,0),MATCH($C82,'Data_NSA'!$1:$1,0))))/(100*(INDEX('Data_NSA'!$A:$OK,MATCH(H$1,'Data_NSA'!$A:$A,0),MATCH("CUUR0000SA0",'Data_NSA'!$1:$1,0))/INDEX('Data_NSA'!$A:$OK,MATCH($E82,'Data_NSA'!$A:$A,0),MATCH("CUUR0000SA0",'Data_NSA'!$1:$1,0)))),"")</f>
        <v/>
      </c>
      <c r="I82" s="10">
        <f>IFERROR(100*($D82*(INDEX('Data_NSA'!$A:$OK,MATCH(I$1,'Data_NSA'!$A:$A,0),MATCH($C82,'Data_NSA'!$1:$1,0))/INDEX('Data_NSA'!$A:$OK,MATCH($E82,'Data_NSA'!$A:$A,0),MATCH($C82,'Data_NSA'!$1:$1,0))))/(100*(INDEX('Data_NSA'!$A:$OK,MATCH(I$1,'Data_NSA'!$A:$A,0),MATCH("CUUR0000SA0",'Data_NSA'!$1:$1,0))/INDEX('Data_NSA'!$A:$OK,MATCH($E82,'Data_NSA'!$A:$A,0),MATCH("CUUR0000SA0",'Data_NSA'!$1:$1,0)))),"")</f>
        <v/>
      </c>
    </row>
    <row r="83">
      <c r="A83" s="3" t="inlineStr">
        <is>
          <t>SEFM03</t>
        </is>
      </c>
      <c r="B83" s="3" t="inlineStr">
        <is>
          <t>Other processed fruits and vegetables including dried</t>
        </is>
      </c>
      <c r="C83" s="3" t="inlineStr">
        <is>
          <t>CUUR0000SEFM03</t>
        </is>
      </c>
      <c r="D83" s="21" t="n">
        <v>0.082</v>
      </c>
      <c r="E83" s="22" t="n">
        <v>45992</v>
      </c>
      <c r="F83" s="3" t="n">
        <v>2024</v>
      </c>
      <c r="G83" s="10">
        <f>IFERROR(100*($D83*(INDEX('Data_NSA'!$A:$OK,MATCH(G$1,'Data_NSA'!$A:$A,0),MATCH($C83,'Data_NSA'!$1:$1,0))/INDEX('Data_NSA'!$A:$OK,MATCH($E83,'Data_NSA'!$A:$A,0),MATCH($C83,'Data_NSA'!$1:$1,0))))/(100*(INDEX('Data_NSA'!$A:$OK,MATCH(G$1,'Data_NSA'!$A:$A,0),MATCH("CUUR0000SA0",'Data_NSA'!$1:$1,0))/INDEX('Data_NSA'!$A:$OK,MATCH($E83,'Data_NSA'!$A:$A,0),MATCH("CUUR0000SA0",'Data_NSA'!$1:$1,0)))),"")</f>
        <v/>
      </c>
      <c r="H83" s="10">
        <f>IFERROR(100*($D83*(INDEX('Data_NSA'!$A:$OK,MATCH(H$1,'Data_NSA'!$A:$A,0),MATCH($C83,'Data_NSA'!$1:$1,0))/INDEX('Data_NSA'!$A:$OK,MATCH($E83,'Data_NSA'!$A:$A,0),MATCH($C83,'Data_NSA'!$1:$1,0))))/(100*(INDEX('Data_NSA'!$A:$OK,MATCH(H$1,'Data_NSA'!$A:$A,0),MATCH("CUUR0000SA0",'Data_NSA'!$1:$1,0))/INDEX('Data_NSA'!$A:$OK,MATCH($E83,'Data_NSA'!$A:$A,0),MATCH("CUUR0000SA0",'Data_NSA'!$1:$1,0)))),"")</f>
        <v/>
      </c>
      <c r="I83" s="10">
        <f>IFERROR(100*($D83*(INDEX('Data_NSA'!$A:$OK,MATCH(I$1,'Data_NSA'!$A:$A,0),MATCH($C83,'Data_NSA'!$1:$1,0))/INDEX('Data_NSA'!$A:$OK,MATCH($E83,'Data_NSA'!$A:$A,0),MATCH($C83,'Data_NSA'!$1:$1,0))))/(100*(INDEX('Data_NSA'!$A:$OK,MATCH(I$1,'Data_NSA'!$A:$A,0),MATCH("CUUR0000SA0",'Data_NSA'!$1:$1,0))/INDEX('Data_NSA'!$A:$OK,MATCH($E83,'Data_NSA'!$A:$A,0),MATCH("CUUR0000SA0",'Data_NSA'!$1:$1,0)))),"")</f>
        <v/>
      </c>
    </row>
    <row r="84">
      <c r="A84" s="3" t="inlineStr">
        <is>
          <t>SS14022</t>
        </is>
      </c>
      <c r="B84" s="3" t="inlineStr">
        <is>
          <t>Dried beans, peas, and lentils</t>
        </is>
      </c>
      <c r="C84" s="3" t="inlineStr">
        <is>
          <t>CUUR0000SS14022</t>
        </is>
      </c>
      <c r="D84" s="21" t="n"/>
      <c r="E84" s="22" t="n">
        <v>45992</v>
      </c>
      <c r="F84" s="3" t="n">
        <v>2024</v>
      </c>
      <c r="G84" s="10">
        <f>IFERROR(100*($D84*(INDEX('Data_NSA'!$A:$OK,MATCH(G$1,'Data_NSA'!$A:$A,0),MATCH($C84,'Data_NSA'!$1:$1,0))/INDEX('Data_NSA'!$A:$OK,MATCH($E84,'Data_NSA'!$A:$A,0),MATCH($C84,'Data_NSA'!$1:$1,0))))/(100*(INDEX('Data_NSA'!$A:$OK,MATCH(G$1,'Data_NSA'!$A:$A,0),MATCH("CUUR0000SA0",'Data_NSA'!$1:$1,0))/INDEX('Data_NSA'!$A:$OK,MATCH($E84,'Data_NSA'!$A:$A,0),MATCH("CUUR0000SA0",'Data_NSA'!$1:$1,0)))),"")</f>
        <v/>
      </c>
      <c r="H84" s="10">
        <f>IFERROR(100*($D84*(INDEX('Data_NSA'!$A:$OK,MATCH(H$1,'Data_NSA'!$A:$A,0),MATCH($C84,'Data_NSA'!$1:$1,0))/INDEX('Data_NSA'!$A:$OK,MATCH($E84,'Data_NSA'!$A:$A,0),MATCH($C84,'Data_NSA'!$1:$1,0))))/(100*(INDEX('Data_NSA'!$A:$OK,MATCH(H$1,'Data_NSA'!$A:$A,0),MATCH("CUUR0000SA0",'Data_NSA'!$1:$1,0))/INDEX('Data_NSA'!$A:$OK,MATCH($E84,'Data_NSA'!$A:$A,0),MATCH("CUUR0000SA0",'Data_NSA'!$1:$1,0)))),"")</f>
        <v/>
      </c>
      <c r="I84" s="10">
        <f>IFERROR(100*($D84*(INDEX('Data_NSA'!$A:$OK,MATCH(I$1,'Data_NSA'!$A:$A,0),MATCH($C84,'Data_NSA'!$1:$1,0))/INDEX('Data_NSA'!$A:$OK,MATCH($E84,'Data_NSA'!$A:$A,0),MATCH($C84,'Data_NSA'!$1:$1,0))))/(100*(INDEX('Data_NSA'!$A:$OK,MATCH(I$1,'Data_NSA'!$A:$A,0),MATCH("CUUR0000SA0",'Data_NSA'!$1:$1,0))/INDEX('Data_NSA'!$A:$OK,MATCH($E84,'Data_NSA'!$A:$A,0),MATCH("CUUR0000SA0",'Data_NSA'!$1:$1,0)))),"")</f>
        <v/>
      </c>
    </row>
    <row r="85">
      <c r="A85" s="3" t="inlineStr">
        <is>
          <t>SAF114</t>
        </is>
      </c>
      <c r="B85" s="3" t="inlineStr">
        <is>
          <t>Nonalcoholic beverages and beverage materials</t>
        </is>
      </c>
      <c r="C85" s="3" t="inlineStr">
        <is>
          <t>CUUR0000SAF114</t>
        </is>
      </c>
      <c r="D85" s="21" t="n">
        <v>0.995</v>
      </c>
      <c r="E85" s="22" t="n">
        <v>45992</v>
      </c>
      <c r="F85" s="3" t="n">
        <v>2024</v>
      </c>
      <c r="G85" s="10">
        <f>IFERROR(100*($D85*(INDEX('Data_NSA'!$A:$OK,MATCH(G$1,'Data_NSA'!$A:$A,0),MATCH($C85,'Data_NSA'!$1:$1,0))/INDEX('Data_NSA'!$A:$OK,MATCH($E85,'Data_NSA'!$A:$A,0),MATCH($C85,'Data_NSA'!$1:$1,0))))/(100*(INDEX('Data_NSA'!$A:$OK,MATCH(G$1,'Data_NSA'!$A:$A,0),MATCH("CUUR0000SA0",'Data_NSA'!$1:$1,0))/INDEX('Data_NSA'!$A:$OK,MATCH($E85,'Data_NSA'!$A:$A,0),MATCH("CUUR0000SA0",'Data_NSA'!$1:$1,0)))),"")</f>
        <v/>
      </c>
      <c r="H85" s="10">
        <f>IFERROR(100*($D85*(INDEX('Data_NSA'!$A:$OK,MATCH(H$1,'Data_NSA'!$A:$A,0),MATCH($C85,'Data_NSA'!$1:$1,0))/INDEX('Data_NSA'!$A:$OK,MATCH($E85,'Data_NSA'!$A:$A,0),MATCH($C85,'Data_NSA'!$1:$1,0))))/(100*(INDEX('Data_NSA'!$A:$OK,MATCH(H$1,'Data_NSA'!$A:$A,0),MATCH("CUUR0000SA0",'Data_NSA'!$1:$1,0))/INDEX('Data_NSA'!$A:$OK,MATCH($E85,'Data_NSA'!$A:$A,0),MATCH("CUUR0000SA0",'Data_NSA'!$1:$1,0)))),"")</f>
        <v/>
      </c>
      <c r="I85" s="10">
        <f>IFERROR(100*($D85*(INDEX('Data_NSA'!$A:$OK,MATCH(I$1,'Data_NSA'!$A:$A,0),MATCH($C85,'Data_NSA'!$1:$1,0))/INDEX('Data_NSA'!$A:$OK,MATCH($E85,'Data_NSA'!$A:$A,0),MATCH($C85,'Data_NSA'!$1:$1,0))))/(100*(INDEX('Data_NSA'!$A:$OK,MATCH(I$1,'Data_NSA'!$A:$A,0),MATCH("CUUR0000SA0",'Data_NSA'!$1:$1,0))/INDEX('Data_NSA'!$A:$OK,MATCH($E85,'Data_NSA'!$A:$A,0),MATCH("CUUR0000SA0",'Data_NSA'!$1:$1,0)))),"")</f>
        <v/>
      </c>
    </row>
    <row r="86">
      <c r="A86" s="3" t="inlineStr">
        <is>
          <t>SEFN</t>
        </is>
      </c>
      <c r="B86" s="3" t="inlineStr">
        <is>
          <t>Juices and nonalcoholic drinks</t>
        </is>
      </c>
      <c r="C86" s="3" t="inlineStr">
        <is>
          <t>CUUR0000SEFN</t>
        </is>
      </c>
      <c r="D86" s="21" t="n">
        <v>0.675</v>
      </c>
      <c r="E86" s="22" t="n">
        <v>45992</v>
      </c>
      <c r="F86" s="3" t="n">
        <v>2024</v>
      </c>
      <c r="G86" s="10">
        <f>IFERROR(100*($D86*(INDEX('Data_NSA'!$A:$OK,MATCH(G$1,'Data_NSA'!$A:$A,0),MATCH($C86,'Data_NSA'!$1:$1,0))/INDEX('Data_NSA'!$A:$OK,MATCH($E86,'Data_NSA'!$A:$A,0),MATCH($C86,'Data_NSA'!$1:$1,0))))/(100*(INDEX('Data_NSA'!$A:$OK,MATCH(G$1,'Data_NSA'!$A:$A,0),MATCH("CUUR0000SA0",'Data_NSA'!$1:$1,0))/INDEX('Data_NSA'!$A:$OK,MATCH($E86,'Data_NSA'!$A:$A,0),MATCH("CUUR0000SA0",'Data_NSA'!$1:$1,0)))),"")</f>
        <v/>
      </c>
      <c r="H86" s="10">
        <f>IFERROR(100*($D86*(INDEX('Data_NSA'!$A:$OK,MATCH(H$1,'Data_NSA'!$A:$A,0),MATCH($C86,'Data_NSA'!$1:$1,0))/INDEX('Data_NSA'!$A:$OK,MATCH($E86,'Data_NSA'!$A:$A,0),MATCH($C86,'Data_NSA'!$1:$1,0))))/(100*(INDEX('Data_NSA'!$A:$OK,MATCH(H$1,'Data_NSA'!$A:$A,0),MATCH("CUUR0000SA0",'Data_NSA'!$1:$1,0))/INDEX('Data_NSA'!$A:$OK,MATCH($E86,'Data_NSA'!$A:$A,0),MATCH("CUUR0000SA0",'Data_NSA'!$1:$1,0)))),"")</f>
        <v/>
      </c>
      <c r="I86" s="10">
        <f>IFERROR(100*($D86*(INDEX('Data_NSA'!$A:$OK,MATCH(I$1,'Data_NSA'!$A:$A,0),MATCH($C86,'Data_NSA'!$1:$1,0))/INDEX('Data_NSA'!$A:$OK,MATCH($E86,'Data_NSA'!$A:$A,0),MATCH($C86,'Data_NSA'!$1:$1,0))))/(100*(INDEX('Data_NSA'!$A:$OK,MATCH(I$1,'Data_NSA'!$A:$A,0),MATCH("CUUR0000SA0",'Data_NSA'!$1:$1,0))/INDEX('Data_NSA'!$A:$OK,MATCH($E86,'Data_NSA'!$A:$A,0),MATCH("CUUR0000SA0",'Data_NSA'!$1:$1,0)))),"")</f>
        <v/>
      </c>
    </row>
    <row r="87">
      <c r="A87" s="3" t="inlineStr">
        <is>
          <t>SEFN01</t>
        </is>
      </c>
      <c r="B87" s="3" t="inlineStr">
        <is>
          <t>Carbonated drinks</t>
        </is>
      </c>
      <c r="C87" s="3" t="inlineStr">
        <is>
          <t>CUUR0000SEFN01</t>
        </is>
      </c>
      <c r="D87" s="21" t="n">
        <v>0.324</v>
      </c>
      <c r="E87" s="22" t="n">
        <v>45992</v>
      </c>
      <c r="F87" s="3" t="n">
        <v>2024</v>
      </c>
      <c r="G87" s="10">
        <f>IFERROR(100*($D87*(INDEX('Data_NSA'!$A:$OK,MATCH(G$1,'Data_NSA'!$A:$A,0),MATCH($C87,'Data_NSA'!$1:$1,0))/INDEX('Data_NSA'!$A:$OK,MATCH($E87,'Data_NSA'!$A:$A,0),MATCH($C87,'Data_NSA'!$1:$1,0))))/(100*(INDEX('Data_NSA'!$A:$OK,MATCH(G$1,'Data_NSA'!$A:$A,0),MATCH("CUUR0000SA0",'Data_NSA'!$1:$1,0))/INDEX('Data_NSA'!$A:$OK,MATCH($E87,'Data_NSA'!$A:$A,0),MATCH("CUUR0000SA0",'Data_NSA'!$1:$1,0)))),"")</f>
        <v/>
      </c>
      <c r="H87" s="10">
        <f>IFERROR(100*($D87*(INDEX('Data_NSA'!$A:$OK,MATCH(H$1,'Data_NSA'!$A:$A,0),MATCH($C87,'Data_NSA'!$1:$1,0))/INDEX('Data_NSA'!$A:$OK,MATCH($E87,'Data_NSA'!$A:$A,0),MATCH($C87,'Data_NSA'!$1:$1,0))))/(100*(INDEX('Data_NSA'!$A:$OK,MATCH(H$1,'Data_NSA'!$A:$A,0),MATCH("CUUR0000SA0",'Data_NSA'!$1:$1,0))/INDEX('Data_NSA'!$A:$OK,MATCH($E87,'Data_NSA'!$A:$A,0),MATCH("CUUR0000SA0",'Data_NSA'!$1:$1,0)))),"")</f>
        <v/>
      </c>
      <c r="I87" s="10">
        <f>IFERROR(100*($D87*(INDEX('Data_NSA'!$A:$OK,MATCH(I$1,'Data_NSA'!$A:$A,0),MATCH($C87,'Data_NSA'!$1:$1,0))/INDEX('Data_NSA'!$A:$OK,MATCH($E87,'Data_NSA'!$A:$A,0),MATCH($C87,'Data_NSA'!$1:$1,0))))/(100*(INDEX('Data_NSA'!$A:$OK,MATCH(I$1,'Data_NSA'!$A:$A,0),MATCH("CUUR0000SA0",'Data_NSA'!$1:$1,0))/INDEX('Data_NSA'!$A:$OK,MATCH($E87,'Data_NSA'!$A:$A,0),MATCH("CUUR0000SA0",'Data_NSA'!$1:$1,0)))),"")</f>
        <v/>
      </c>
    </row>
    <row r="88">
      <c r="A88" s="3" t="inlineStr">
        <is>
          <t>SEFN02</t>
        </is>
      </c>
      <c r="B88" s="3" t="inlineStr">
        <is>
          <t>Frozen noncarbonated juices and drinks</t>
        </is>
      </c>
      <c r="C88" s="3" t="inlineStr">
        <is>
          <t>CUUR0000SEFN02</t>
        </is>
      </c>
      <c r="D88" s="21" t="n">
        <v>0.004</v>
      </c>
      <c r="E88" s="22" t="n">
        <v>45992</v>
      </c>
      <c r="F88" s="3" t="n">
        <v>2024</v>
      </c>
      <c r="G88" s="10">
        <f>IFERROR(100*($D88*(INDEX('Data_NSA'!$A:$OK,MATCH(G$1,'Data_NSA'!$A:$A,0),MATCH($C88,'Data_NSA'!$1:$1,0))/INDEX('Data_NSA'!$A:$OK,MATCH($E88,'Data_NSA'!$A:$A,0),MATCH($C88,'Data_NSA'!$1:$1,0))))/(100*(INDEX('Data_NSA'!$A:$OK,MATCH(G$1,'Data_NSA'!$A:$A,0),MATCH("CUUR0000SA0",'Data_NSA'!$1:$1,0))/INDEX('Data_NSA'!$A:$OK,MATCH($E88,'Data_NSA'!$A:$A,0),MATCH("CUUR0000SA0",'Data_NSA'!$1:$1,0)))),"")</f>
        <v/>
      </c>
      <c r="H88" s="10">
        <f>IFERROR(100*($D88*(INDEX('Data_NSA'!$A:$OK,MATCH(H$1,'Data_NSA'!$A:$A,0),MATCH($C88,'Data_NSA'!$1:$1,0))/INDEX('Data_NSA'!$A:$OK,MATCH($E88,'Data_NSA'!$A:$A,0),MATCH($C88,'Data_NSA'!$1:$1,0))))/(100*(INDEX('Data_NSA'!$A:$OK,MATCH(H$1,'Data_NSA'!$A:$A,0),MATCH("CUUR0000SA0",'Data_NSA'!$1:$1,0))/INDEX('Data_NSA'!$A:$OK,MATCH($E88,'Data_NSA'!$A:$A,0),MATCH("CUUR0000SA0",'Data_NSA'!$1:$1,0)))),"")</f>
        <v/>
      </c>
      <c r="I88" s="10">
        <f>IFERROR(100*($D88*(INDEX('Data_NSA'!$A:$OK,MATCH(I$1,'Data_NSA'!$A:$A,0),MATCH($C88,'Data_NSA'!$1:$1,0))/INDEX('Data_NSA'!$A:$OK,MATCH($E88,'Data_NSA'!$A:$A,0),MATCH($C88,'Data_NSA'!$1:$1,0))))/(100*(INDEX('Data_NSA'!$A:$OK,MATCH(I$1,'Data_NSA'!$A:$A,0),MATCH("CUUR0000SA0",'Data_NSA'!$1:$1,0))/INDEX('Data_NSA'!$A:$OK,MATCH($E88,'Data_NSA'!$A:$A,0),MATCH("CUUR0000SA0",'Data_NSA'!$1:$1,0)))),"")</f>
        <v/>
      </c>
    </row>
    <row r="89">
      <c r="A89" s="3" t="inlineStr">
        <is>
          <t>SEFN03</t>
        </is>
      </c>
      <c r="B89" s="3" t="inlineStr">
        <is>
          <t>Nonfrozen noncarbonated juices and drinks</t>
        </is>
      </c>
      <c r="C89" s="3" t="inlineStr">
        <is>
          <t>CUUR0000SEFN03</t>
        </is>
      </c>
      <c r="D89" s="21" t="n">
        <v>0.346</v>
      </c>
      <c r="E89" s="22" t="n">
        <v>45992</v>
      </c>
      <c r="F89" s="3" t="n">
        <v>2024</v>
      </c>
      <c r="G89" s="10">
        <f>IFERROR(100*($D89*(INDEX('Data_NSA'!$A:$OK,MATCH(G$1,'Data_NSA'!$A:$A,0),MATCH($C89,'Data_NSA'!$1:$1,0))/INDEX('Data_NSA'!$A:$OK,MATCH($E89,'Data_NSA'!$A:$A,0),MATCH($C89,'Data_NSA'!$1:$1,0))))/(100*(INDEX('Data_NSA'!$A:$OK,MATCH(G$1,'Data_NSA'!$A:$A,0),MATCH("CUUR0000SA0",'Data_NSA'!$1:$1,0))/INDEX('Data_NSA'!$A:$OK,MATCH($E89,'Data_NSA'!$A:$A,0),MATCH("CUUR0000SA0",'Data_NSA'!$1:$1,0)))),"")</f>
        <v/>
      </c>
      <c r="H89" s="10">
        <f>IFERROR(100*($D89*(INDEX('Data_NSA'!$A:$OK,MATCH(H$1,'Data_NSA'!$A:$A,0),MATCH($C89,'Data_NSA'!$1:$1,0))/INDEX('Data_NSA'!$A:$OK,MATCH($E89,'Data_NSA'!$A:$A,0),MATCH($C89,'Data_NSA'!$1:$1,0))))/(100*(INDEX('Data_NSA'!$A:$OK,MATCH(H$1,'Data_NSA'!$A:$A,0),MATCH("CUUR0000SA0",'Data_NSA'!$1:$1,0))/INDEX('Data_NSA'!$A:$OK,MATCH($E89,'Data_NSA'!$A:$A,0),MATCH("CUUR0000SA0",'Data_NSA'!$1:$1,0)))),"")</f>
        <v/>
      </c>
      <c r="I89" s="10">
        <f>IFERROR(100*($D89*(INDEX('Data_NSA'!$A:$OK,MATCH(I$1,'Data_NSA'!$A:$A,0),MATCH($C89,'Data_NSA'!$1:$1,0))/INDEX('Data_NSA'!$A:$OK,MATCH($E89,'Data_NSA'!$A:$A,0),MATCH($C89,'Data_NSA'!$1:$1,0))))/(100*(INDEX('Data_NSA'!$A:$OK,MATCH(I$1,'Data_NSA'!$A:$A,0),MATCH("CUUR0000SA0",'Data_NSA'!$1:$1,0))/INDEX('Data_NSA'!$A:$OK,MATCH($E89,'Data_NSA'!$A:$A,0),MATCH("CUUR0000SA0",'Data_NSA'!$1:$1,0)))),"")</f>
        <v/>
      </c>
    </row>
    <row r="90">
      <c r="A90" s="3" t="inlineStr">
        <is>
          <t>SEFP</t>
        </is>
      </c>
      <c r="B90" s="3" t="inlineStr">
        <is>
          <t>Beverage materials including coffee and tea</t>
        </is>
      </c>
      <c r="C90" s="3" t="inlineStr">
        <is>
          <t>CUUR0000SEFP</t>
        </is>
      </c>
      <c r="D90" s="21" t="n">
        <v>0.32</v>
      </c>
      <c r="E90" s="22" t="n">
        <v>45992</v>
      </c>
      <c r="F90" s="3" t="n">
        <v>2024</v>
      </c>
      <c r="G90" s="10">
        <f>IFERROR(100*($D90*(INDEX('Data_NSA'!$A:$OK,MATCH(G$1,'Data_NSA'!$A:$A,0),MATCH($C90,'Data_NSA'!$1:$1,0))/INDEX('Data_NSA'!$A:$OK,MATCH($E90,'Data_NSA'!$A:$A,0),MATCH($C90,'Data_NSA'!$1:$1,0))))/(100*(INDEX('Data_NSA'!$A:$OK,MATCH(G$1,'Data_NSA'!$A:$A,0),MATCH("CUUR0000SA0",'Data_NSA'!$1:$1,0))/INDEX('Data_NSA'!$A:$OK,MATCH($E90,'Data_NSA'!$A:$A,0),MATCH("CUUR0000SA0",'Data_NSA'!$1:$1,0)))),"")</f>
        <v/>
      </c>
      <c r="H90" s="10">
        <f>IFERROR(100*($D90*(INDEX('Data_NSA'!$A:$OK,MATCH(H$1,'Data_NSA'!$A:$A,0),MATCH($C90,'Data_NSA'!$1:$1,0))/INDEX('Data_NSA'!$A:$OK,MATCH($E90,'Data_NSA'!$A:$A,0),MATCH($C90,'Data_NSA'!$1:$1,0))))/(100*(INDEX('Data_NSA'!$A:$OK,MATCH(H$1,'Data_NSA'!$A:$A,0),MATCH("CUUR0000SA0",'Data_NSA'!$1:$1,0))/INDEX('Data_NSA'!$A:$OK,MATCH($E90,'Data_NSA'!$A:$A,0),MATCH("CUUR0000SA0",'Data_NSA'!$1:$1,0)))),"")</f>
        <v/>
      </c>
      <c r="I90" s="10">
        <f>IFERROR(100*($D90*(INDEX('Data_NSA'!$A:$OK,MATCH(I$1,'Data_NSA'!$A:$A,0),MATCH($C90,'Data_NSA'!$1:$1,0))/INDEX('Data_NSA'!$A:$OK,MATCH($E90,'Data_NSA'!$A:$A,0),MATCH($C90,'Data_NSA'!$1:$1,0))))/(100*(INDEX('Data_NSA'!$A:$OK,MATCH(I$1,'Data_NSA'!$A:$A,0),MATCH("CUUR0000SA0",'Data_NSA'!$1:$1,0))/INDEX('Data_NSA'!$A:$OK,MATCH($E90,'Data_NSA'!$A:$A,0),MATCH("CUUR0000SA0",'Data_NSA'!$1:$1,0)))),"")</f>
        <v/>
      </c>
    </row>
    <row r="91">
      <c r="A91" s="3" t="inlineStr">
        <is>
          <t>SEFP01</t>
        </is>
      </c>
      <c r="B91" s="3" t="inlineStr">
        <is>
          <t>Coffee</t>
        </is>
      </c>
      <c r="C91" s="3" t="inlineStr">
        <is>
          <t>CUUR0000SEFP01</t>
        </is>
      </c>
      <c r="D91" s="21" t="n">
        <v>0.221</v>
      </c>
      <c r="E91" s="22" t="n">
        <v>45992</v>
      </c>
      <c r="F91" s="3" t="n">
        <v>2024</v>
      </c>
      <c r="G91" s="10">
        <f>IFERROR(100*($D91*(INDEX('Data_NSA'!$A:$OK,MATCH(G$1,'Data_NSA'!$A:$A,0),MATCH($C91,'Data_NSA'!$1:$1,0))/INDEX('Data_NSA'!$A:$OK,MATCH($E91,'Data_NSA'!$A:$A,0),MATCH($C91,'Data_NSA'!$1:$1,0))))/(100*(INDEX('Data_NSA'!$A:$OK,MATCH(G$1,'Data_NSA'!$A:$A,0),MATCH("CUUR0000SA0",'Data_NSA'!$1:$1,0))/INDEX('Data_NSA'!$A:$OK,MATCH($E91,'Data_NSA'!$A:$A,0),MATCH("CUUR0000SA0",'Data_NSA'!$1:$1,0)))),"")</f>
        <v/>
      </c>
      <c r="H91" s="10">
        <f>IFERROR(100*($D91*(INDEX('Data_NSA'!$A:$OK,MATCH(H$1,'Data_NSA'!$A:$A,0),MATCH($C91,'Data_NSA'!$1:$1,0))/INDEX('Data_NSA'!$A:$OK,MATCH($E91,'Data_NSA'!$A:$A,0),MATCH($C91,'Data_NSA'!$1:$1,0))))/(100*(INDEX('Data_NSA'!$A:$OK,MATCH(H$1,'Data_NSA'!$A:$A,0),MATCH("CUUR0000SA0",'Data_NSA'!$1:$1,0))/INDEX('Data_NSA'!$A:$OK,MATCH($E91,'Data_NSA'!$A:$A,0),MATCH("CUUR0000SA0",'Data_NSA'!$1:$1,0)))),"")</f>
        <v/>
      </c>
      <c r="I91" s="10">
        <f>IFERROR(100*($D91*(INDEX('Data_NSA'!$A:$OK,MATCH(I$1,'Data_NSA'!$A:$A,0),MATCH($C91,'Data_NSA'!$1:$1,0))/INDEX('Data_NSA'!$A:$OK,MATCH($E91,'Data_NSA'!$A:$A,0),MATCH($C91,'Data_NSA'!$1:$1,0))))/(100*(INDEX('Data_NSA'!$A:$OK,MATCH(I$1,'Data_NSA'!$A:$A,0),MATCH("CUUR0000SA0",'Data_NSA'!$1:$1,0))/INDEX('Data_NSA'!$A:$OK,MATCH($E91,'Data_NSA'!$A:$A,0),MATCH("CUUR0000SA0",'Data_NSA'!$1:$1,0)))),"")</f>
        <v/>
      </c>
    </row>
    <row r="92">
      <c r="A92" s="3" t="inlineStr">
        <is>
          <t>SS17031</t>
        </is>
      </c>
      <c r="B92" s="3" t="inlineStr">
        <is>
          <t>Roasted coffee</t>
        </is>
      </c>
      <c r="C92" s="3" t="inlineStr">
        <is>
          <t>CUUR0000SS17031</t>
        </is>
      </c>
      <c r="D92" s="21" t="n"/>
      <c r="E92" s="22" t="n">
        <v>45992</v>
      </c>
      <c r="F92" s="3" t="n">
        <v>2024</v>
      </c>
      <c r="G92" s="10">
        <f>IFERROR(100*($D92*(INDEX('Data_NSA'!$A:$OK,MATCH(G$1,'Data_NSA'!$A:$A,0),MATCH($C92,'Data_NSA'!$1:$1,0))/INDEX('Data_NSA'!$A:$OK,MATCH($E92,'Data_NSA'!$A:$A,0),MATCH($C92,'Data_NSA'!$1:$1,0))))/(100*(INDEX('Data_NSA'!$A:$OK,MATCH(G$1,'Data_NSA'!$A:$A,0),MATCH("CUUR0000SA0",'Data_NSA'!$1:$1,0))/INDEX('Data_NSA'!$A:$OK,MATCH($E92,'Data_NSA'!$A:$A,0),MATCH("CUUR0000SA0",'Data_NSA'!$1:$1,0)))),"")</f>
        <v/>
      </c>
      <c r="H92" s="10">
        <f>IFERROR(100*($D92*(INDEX('Data_NSA'!$A:$OK,MATCH(H$1,'Data_NSA'!$A:$A,0),MATCH($C92,'Data_NSA'!$1:$1,0))/INDEX('Data_NSA'!$A:$OK,MATCH($E92,'Data_NSA'!$A:$A,0),MATCH($C92,'Data_NSA'!$1:$1,0))))/(100*(INDEX('Data_NSA'!$A:$OK,MATCH(H$1,'Data_NSA'!$A:$A,0),MATCH("CUUR0000SA0",'Data_NSA'!$1:$1,0))/INDEX('Data_NSA'!$A:$OK,MATCH($E92,'Data_NSA'!$A:$A,0),MATCH("CUUR0000SA0",'Data_NSA'!$1:$1,0)))),"")</f>
        <v/>
      </c>
      <c r="I92" s="10">
        <f>IFERROR(100*($D92*(INDEX('Data_NSA'!$A:$OK,MATCH(I$1,'Data_NSA'!$A:$A,0),MATCH($C92,'Data_NSA'!$1:$1,0))/INDEX('Data_NSA'!$A:$OK,MATCH($E92,'Data_NSA'!$A:$A,0),MATCH($C92,'Data_NSA'!$1:$1,0))))/(100*(INDEX('Data_NSA'!$A:$OK,MATCH(I$1,'Data_NSA'!$A:$A,0),MATCH("CUUR0000SA0",'Data_NSA'!$1:$1,0))/INDEX('Data_NSA'!$A:$OK,MATCH($E92,'Data_NSA'!$A:$A,0),MATCH("CUUR0000SA0",'Data_NSA'!$1:$1,0)))),"")</f>
        <v/>
      </c>
    </row>
    <row r="93">
      <c r="A93" s="3" t="inlineStr">
        <is>
          <t>SS17032</t>
        </is>
      </c>
      <c r="B93" s="3" t="inlineStr">
        <is>
          <t>Instant coffee</t>
        </is>
      </c>
      <c r="C93" s="3" t="inlineStr">
        <is>
          <t>CUUR0000SS17032</t>
        </is>
      </c>
      <c r="D93" s="21" t="n"/>
      <c r="E93" s="22" t="n">
        <v>45992</v>
      </c>
      <c r="F93" s="3" t="n">
        <v>2024</v>
      </c>
      <c r="G93" s="10">
        <f>IFERROR(100*($D93*(INDEX('Data_NSA'!$A:$OK,MATCH(G$1,'Data_NSA'!$A:$A,0),MATCH($C93,'Data_NSA'!$1:$1,0))/INDEX('Data_NSA'!$A:$OK,MATCH($E93,'Data_NSA'!$A:$A,0),MATCH($C93,'Data_NSA'!$1:$1,0))))/(100*(INDEX('Data_NSA'!$A:$OK,MATCH(G$1,'Data_NSA'!$A:$A,0),MATCH("CUUR0000SA0",'Data_NSA'!$1:$1,0))/INDEX('Data_NSA'!$A:$OK,MATCH($E93,'Data_NSA'!$A:$A,0),MATCH("CUUR0000SA0",'Data_NSA'!$1:$1,0)))),"")</f>
        <v/>
      </c>
      <c r="H93" s="10">
        <f>IFERROR(100*($D93*(INDEX('Data_NSA'!$A:$OK,MATCH(H$1,'Data_NSA'!$A:$A,0),MATCH($C93,'Data_NSA'!$1:$1,0))/INDEX('Data_NSA'!$A:$OK,MATCH($E93,'Data_NSA'!$A:$A,0),MATCH($C93,'Data_NSA'!$1:$1,0))))/(100*(INDEX('Data_NSA'!$A:$OK,MATCH(H$1,'Data_NSA'!$A:$A,0),MATCH("CUUR0000SA0",'Data_NSA'!$1:$1,0))/INDEX('Data_NSA'!$A:$OK,MATCH($E93,'Data_NSA'!$A:$A,0),MATCH("CUUR0000SA0",'Data_NSA'!$1:$1,0)))),"")</f>
        <v/>
      </c>
      <c r="I93" s="10">
        <f>IFERROR(100*($D93*(INDEX('Data_NSA'!$A:$OK,MATCH(I$1,'Data_NSA'!$A:$A,0),MATCH($C93,'Data_NSA'!$1:$1,0))/INDEX('Data_NSA'!$A:$OK,MATCH($E93,'Data_NSA'!$A:$A,0),MATCH($C93,'Data_NSA'!$1:$1,0))))/(100*(INDEX('Data_NSA'!$A:$OK,MATCH(I$1,'Data_NSA'!$A:$A,0),MATCH("CUUR0000SA0",'Data_NSA'!$1:$1,0))/INDEX('Data_NSA'!$A:$OK,MATCH($E93,'Data_NSA'!$A:$A,0),MATCH("CUUR0000SA0",'Data_NSA'!$1:$1,0)))),"")</f>
        <v/>
      </c>
    </row>
    <row r="94">
      <c r="A94" s="3" t="inlineStr">
        <is>
          <t>SEFP02</t>
        </is>
      </c>
      <c r="B94" s="3" t="inlineStr">
        <is>
          <t>Other beverage materials including tea</t>
        </is>
      </c>
      <c r="C94" s="3" t="inlineStr">
        <is>
          <t>CUUR0000SEFP02</t>
        </is>
      </c>
      <c r="D94" s="21" t="n">
        <v>0.099</v>
      </c>
      <c r="E94" s="22" t="n">
        <v>45992</v>
      </c>
      <c r="F94" s="3" t="n">
        <v>2024</v>
      </c>
      <c r="G94" s="10">
        <f>IFERROR(100*($D94*(INDEX('Data_NSA'!$A:$OK,MATCH(G$1,'Data_NSA'!$A:$A,0),MATCH($C94,'Data_NSA'!$1:$1,0))/INDEX('Data_NSA'!$A:$OK,MATCH($E94,'Data_NSA'!$A:$A,0),MATCH($C94,'Data_NSA'!$1:$1,0))))/(100*(INDEX('Data_NSA'!$A:$OK,MATCH(G$1,'Data_NSA'!$A:$A,0),MATCH("CUUR0000SA0",'Data_NSA'!$1:$1,0))/INDEX('Data_NSA'!$A:$OK,MATCH($E94,'Data_NSA'!$A:$A,0),MATCH("CUUR0000SA0",'Data_NSA'!$1:$1,0)))),"")</f>
        <v/>
      </c>
      <c r="H94" s="10">
        <f>IFERROR(100*($D94*(INDEX('Data_NSA'!$A:$OK,MATCH(H$1,'Data_NSA'!$A:$A,0),MATCH($C94,'Data_NSA'!$1:$1,0))/INDEX('Data_NSA'!$A:$OK,MATCH($E94,'Data_NSA'!$A:$A,0),MATCH($C94,'Data_NSA'!$1:$1,0))))/(100*(INDEX('Data_NSA'!$A:$OK,MATCH(H$1,'Data_NSA'!$A:$A,0),MATCH("CUUR0000SA0",'Data_NSA'!$1:$1,0))/INDEX('Data_NSA'!$A:$OK,MATCH($E94,'Data_NSA'!$A:$A,0),MATCH("CUUR0000SA0",'Data_NSA'!$1:$1,0)))),"")</f>
        <v/>
      </c>
      <c r="I94" s="10">
        <f>IFERROR(100*($D94*(INDEX('Data_NSA'!$A:$OK,MATCH(I$1,'Data_NSA'!$A:$A,0),MATCH($C94,'Data_NSA'!$1:$1,0))/INDEX('Data_NSA'!$A:$OK,MATCH($E94,'Data_NSA'!$A:$A,0),MATCH($C94,'Data_NSA'!$1:$1,0))))/(100*(INDEX('Data_NSA'!$A:$OK,MATCH(I$1,'Data_NSA'!$A:$A,0),MATCH("CUUR0000SA0",'Data_NSA'!$1:$1,0))/INDEX('Data_NSA'!$A:$OK,MATCH($E94,'Data_NSA'!$A:$A,0),MATCH("CUUR0000SA0",'Data_NSA'!$1:$1,0)))),"")</f>
        <v/>
      </c>
    </row>
    <row r="95">
      <c r="A95" s="3" t="inlineStr">
        <is>
          <t>SAF115</t>
        </is>
      </c>
      <c r="B95" s="3" t="inlineStr">
        <is>
          <t>Other food at home</t>
        </is>
      </c>
      <c r="C95" s="3" t="inlineStr">
        <is>
          <t>CUUR0000SAF115</t>
        </is>
      </c>
      <c r="D95" s="21" t="n">
        <v>2.273</v>
      </c>
      <c r="E95" s="22" t="n">
        <v>45992</v>
      </c>
      <c r="F95" s="3" t="n">
        <v>2024</v>
      </c>
      <c r="G95" s="10">
        <f>IFERROR(100*($D95*(INDEX('Data_NSA'!$A:$OK,MATCH(G$1,'Data_NSA'!$A:$A,0),MATCH($C95,'Data_NSA'!$1:$1,0))/INDEX('Data_NSA'!$A:$OK,MATCH($E95,'Data_NSA'!$A:$A,0),MATCH($C95,'Data_NSA'!$1:$1,0))))/(100*(INDEX('Data_NSA'!$A:$OK,MATCH(G$1,'Data_NSA'!$A:$A,0),MATCH("CUUR0000SA0",'Data_NSA'!$1:$1,0))/INDEX('Data_NSA'!$A:$OK,MATCH($E95,'Data_NSA'!$A:$A,0),MATCH("CUUR0000SA0",'Data_NSA'!$1:$1,0)))),"")</f>
        <v/>
      </c>
      <c r="H95" s="10">
        <f>IFERROR(100*($D95*(INDEX('Data_NSA'!$A:$OK,MATCH(H$1,'Data_NSA'!$A:$A,0),MATCH($C95,'Data_NSA'!$1:$1,0))/INDEX('Data_NSA'!$A:$OK,MATCH($E95,'Data_NSA'!$A:$A,0),MATCH($C95,'Data_NSA'!$1:$1,0))))/(100*(INDEX('Data_NSA'!$A:$OK,MATCH(H$1,'Data_NSA'!$A:$A,0),MATCH("CUUR0000SA0",'Data_NSA'!$1:$1,0))/INDEX('Data_NSA'!$A:$OK,MATCH($E95,'Data_NSA'!$A:$A,0),MATCH("CUUR0000SA0",'Data_NSA'!$1:$1,0)))),"")</f>
        <v/>
      </c>
      <c r="I95" s="10">
        <f>IFERROR(100*($D95*(INDEX('Data_NSA'!$A:$OK,MATCH(I$1,'Data_NSA'!$A:$A,0),MATCH($C95,'Data_NSA'!$1:$1,0))/INDEX('Data_NSA'!$A:$OK,MATCH($E95,'Data_NSA'!$A:$A,0),MATCH($C95,'Data_NSA'!$1:$1,0))))/(100*(INDEX('Data_NSA'!$A:$OK,MATCH(I$1,'Data_NSA'!$A:$A,0),MATCH("CUUR0000SA0",'Data_NSA'!$1:$1,0))/INDEX('Data_NSA'!$A:$OK,MATCH($E95,'Data_NSA'!$A:$A,0),MATCH("CUUR0000SA0",'Data_NSA'!$1:$1,0)))),"")</f>
        <v/>
      </c>
    </row>
    <row r="96">
      <c r="A96" s="3" t="inlineStr">
        <is>
          <t>SEFR</t>
        </is>
      </c>
      <c r="B96" s="3" t="inlineStr">
        <is>
          <t>Sugar and sweets</t>
        </is>
      </c>
      <c r="C96" s="3" t="inlineStr">
        <is>
          <t>CUUR0000SEFR</t>
        </is>
      </c>
      <c r="D96" s="21" t="n">
        <v>0.328</v>
      </c>
      <c r="E96" s="22" t="n">
        <v>45992</v>
      </c>
      <c r="F96" s="3" t="n">
        <v>2024</v>
      </c>
      <c r="G96" s="10">
        <f>IFERROR(100*($D96*(INDEX('Data_NSA'!$A:$OK,MATCH(G$1,'Data_NSA'!$A:$A,0),MATCH($C96,'Data_NSA'!$1:$1,0))/INDEX('Data_NSA'!$A:$OK,MATCH($E96,'Data_NSA'!$A:$A,0),MATCH($C96,'Data_NSA'!$1:$1,0))))/(100*(INDEX('Data_NSA'!$A:$OK,MATCH(G$1,'Data_NSA'!$A:$A,0),MATCH("CUUR0000SA0",'Data_NSA'!$1:$1,0))/INDEX('Data_NSA'!$A:$OK,MATCH($E96,'Data_NSA'!$A:$A,0),MATCH("CUUR0000SA0",'Data_NSA'!$1:$1,0)))),"")</f>
        <v/>
      </c>
      <c r="H96" s="10">
        <f>IFERROR(100*($D96*(INDEX('Data_NSA'!$A:$OK,MATCH(H$1,'Data_NSA'!$A:$A,0),MATCH($C96,'Data_NSA'!$1:$1,0))/INDEX('Data_NSA'!$A:$OK,MATCH($E96,'Data_NSA'!$A:$A,0),MATCH($C96,'Data_NSA'!$1:$1,0))))/(100*(INDEX('Data_NSA'!$A:$OK,MATCH(H$1,'Data_NSA'!$A:$A,0),MATCH("CUUR0000SA0",'Data_NSA'!$1:$1,0))/INDEX('Data_NSA'!$A:$OK,MATCH($E96,'Data_NSA'!$A:$A,0),MATCH("CUUR0000SA0",'Data_NSA'!$1:$1,0)))),"")</f>
        <v/>
      </c>
      <c r="I96" s="10">
        <f>IFERROR(100*($D96*(INDEX('Data_NSA'!$A:$OK,MATCH(I$1,'Data_NSA'!$A:$A,0),MATCH($C96,'Data_NSA'!$1:$1,0))/INDEX('Data_NSA'!$A:$OK,MATCH($E96,'Data_NSA'!$A:$A,0),MATCH($C96,'Data_NSA'!$1:$1,0))))/(100*(INDEX('Data_NSA'!$A:$OK,MATCH(I$1,'Data_NSA'!$A:$A,0),MATCH("CUUR0000SA0",'Data_NSA'!$1:$1,0))/INDEX('Data_NSA'!$A:$OK,MATCH($E96,'Data_NSA'!$A:$A,0),MATCH("CUUR0000SA0",'Data_NSA'!$1:$1,0)))),"")</f>
        <v/>
      </c>
    </row>
    <row r="97">
      <c r="A97" s="3" t="inlineStr">
        <is>
          <t>SEFR01</t>
        </is>
      </c>
      <c r="B97" s="3" t="inlineStr">
        <is>
          <t>Sugar and sugar substitutes</t>
        </is>
      </c>
      <c r="C97" s="3" t="inlineStr">
        <is>
          <t>CUUR0000SEFR01</t>
        </is>
      </c>
      <c r="D97" s="21" t="n">
        <v>0.032</v>
      </c>
      <c r="E97" s="22" t="n">
        <v>45992</v>
      </c>
      <c r="F97" s="3" t="n">
        <v>2024</v>
      </c>
      <c r="G97" s="10">
        <f>IFERROR(100*($D97*(INDEX('Data_NSA'!$A:$OK,MATCH(G$1,'Data_NSA'!$A:$A,0),MATCH($C97,'Data_NSA'!$1:$1,0))/INDEX('Data_NSA'!$A:$OK,MATCH($E97,'Data_NSA'!$A:$A,0),MATCH($C97,'Data_NSA'!$1:$1,0))))/(100*(INDEX('Data_NSA'!$A:$OK,MATCH(G$1,'Data_NSA'!$A:$A,0),MATCH("CUUR0000SA0",'Data_NSA'!$1:$1,0))/INDEX('Data_NSA'!$A:$OK,MATCH($E97,'Data_NSA'!$A:$A,0),MATCH("CUUR0000SA0",'Data_NSA'!$1:$1,0)))),"")</f>
        <v/>
      </c>
      <c r="H97" s="10">
        <f>IFERROR(100*($D97*(INDEX('Data_NSA'!$A:$OK,MATCH(H$1,'Data_NSA'!$A:$A,0),MATCH($C97,'Data_NSA'!$1:$1,0))/INDEX('Data_NSA'!$A:$OK,MATCH($E97,'Data_NSA'!$A:$A,0),MATCH($C97,'Data_NSA'!$1:$1,0))))/(100*(INDEX('Data_NSA'!$A:$OK,MATCH(H$1,'Data_NSA'!$A:$A,0),MATCH("CUUR0000SA0",'Data_NSA'!$1:$1,0))/INDEX('Data_NSA'!$A:$OK,MATCH($E97,'Data_NSA'!$A:$A,0),MATCH("CUUR0000SA0",'Data_NSA'!$1:$1,0)))),"")</f>
        <v/>
      </c>
      <c r="I97" s="10">
        <f>IFERROR(100*($D97*(INDEX('Data_NSA'!$A:$OK,MATCH(I$1,'Data_NSA'!$A:$A,0),MATCH($C97,'Data_NSA'!$1:$1,0))/INDEX('Data_NSA'!$A:$OK,MATCH($E97,'Data_NSA'!$A:$A,0),MATCH($C97,'Data_NSA'!$1:$1,0))))/(100*(INDEX('Data_NSA'!$A:$OK,MATCH(I$1,'Data_NSA'!$A:$A,0),MATCH("CUUR0000SA0",'Data_NSA'!$1:$1,0))/INDEX('Data_NSA'!$A:$OK,MATCH($E97,'Data_NSA'!$A:$A,0),MATCH("CUUR0000SA0",'Data_NSA'!$1:$1,0)))),"")</f>
        <v/>
      </c>
    </row>
    <row r="98">
      <c r="A98" s="3" t="inlineStr">
        <is>
          <t>SEFR02</t>
        </is>
      </c>
      <c r="B98" s="3" t="inlineStr">
        <is>
          <t>Candy and chewing gum</t>
        </is>
      </c>
      <c r="C98" s="3" t="inlineStr">
        <is>
          <t>CUUR0000SEFR02</t>
        </is>
      </c>
      <c r="D98" s="21" t="n">
        <v>0.241</v>
      </c>
      <c r="E98" s="22" t="n">
        <v>45992</v>
      </c>
      <c r="F98" s="3" t="n">
        <v>2024</v>
      </c>
      <c r="G98" s="10">
        <f>IFERROR(100*($D98*(INDEX('Data_NSA'!$A:$OK,MATCH(G$1,'Data_NSA'!$A:$A,0),MATCH($C98,'Data_NSA'!$1:$1,0))/INDEX('Data_NSA'!$A:$OK,MATCH($E98,'Data_NSA'!$A:$A,0),MATCH($C98,'Data_NSA'!$1:$1,0))))/(100*(INDEX('Data_NSA'!$A:$OK,MATCH(G$1,'Data_NSA'!$A:$A,0),MATCH("CUUR0000SA0",'Data_NSA'!$1:$1,0))/INDEX('Data_NSA'!$A:$OK,MATCH($E98,'Data_NSA'!$A:$A,0),MATCH("CUUR0000SA0",'Data_NSA'!$1:$1,0)))),"")</f>
        <v/>
      </c>
      <c r="H98" s="10">
        <f>IFERROR(100*($D98*(INDEX('Data_NSA'!$A:$OK,MATCH(H$1,'Data_NSA'!$A:$A,0),MATCH($C98,'Data_NSA'!$1:$1,0))/INDEX('Data_NSA'!$A:$OK,MATCH($E98,'Data_NSA'!$A:$A,0),MATCH($C98,'Data_NSA'!$1:$1,0))))/(100*(INDEX('Data_NSA'!$A:$OK,MATCH(H$1,'Data_NSA'!$A:$A,0),MATCH("CUUR0000SA0",'Data_NSA'!$1:$1,0))/INDEX('Data_NSA'!$A:$OK,MATCH($E98,'Data_NSA'!$A:$A,0),MATCH("CUUR0000SA0",'Data_NSA'!$1:$1,0)))),"")</f>
        <v/>
      </c>
      <c r="I98" s="10">
        <f>IFERROR(100*($D98*(INDEX('Data_NSA'!$A:$OK,MATCH(I$1,'Data_NSA'!$A:$A,0),MATCH($C98,'Data_NSA'!$1:$1,0))/INDEX('Data_NSA'!$A:$OK,MATCH($E98,'Data_NSA'!$A:$A,0),MATCH($C98,'Data_NSA'!$1:$1,0))))/(100*(INDEX('Data_NSA'!$A:$OK,MATCH(I$1,'Data_NSA'!$A:$A,0),MATCH("CUUR0000SA0",'Data_NSA'!$1:$1,0))/INDEX('Data_NSA'!$A:$OK,MATCH($E98,'Data_NSA'!$A:$A,0),MATCH("CUUR0000SA0",'Data_NSA'!$1:$1,0)))),"")</f>
        <v/>
      </c>
    </row>
    <row r="99">
      <c r="A99" s="3" t="inlineStr">
        <is>
          <t>SEFR03</t>
        </is>
      </c>
      <c r="B99" s="3" t="inlineStr">
        <is>
          <t>Other sweets</t>
        </is>
      </c>
      <c r="C99" s="3" t="inlineStr">
        <is>
          <t>CUUR0000SEFR03</t>
        </is>
      </c>
      <c r="D99" s="21" t="n">
        <v>0.055</v>
      </c>
      <c r="E99" s="22" t="n">
        <v>45992</v>
      </c>
      <c r="F99" s="3" t="n">
        <v>2024</v>
      </c>
      <c r="G99" s="10">
        <f>IFERROR(100*($D99*(INDEX('Data_NSA'!$A:$OK,MATCH(G$1,'Data_NSA'!$A:$A,0),MATCH($C99,'Data_NSA'!$1:$1,0))/INDEX('Data_NSA'!$A:$OK,MATCH($E99,'Data_NSA'!$A:$A,0),MATCH($C99,'Data_NSA'!$1:$1,0))))/(100*(INDEX('Data_NSA'!$A:$OK,MATCH(G$1,'Data_NSA'!$A:$A,0),MATCH("CUUR0000SA0",'Data_NSA'!$1:$1,0))/INDEX('Data_NSA'!$A:$OK,MATCH($E99,'Data_NSA'!$A:$A,0),MATCH("CUUR0000SA0",'Data_NSA'!$1:$1,0)))),"")</f>
        <v/>
      </c>
      <c r="H99" s="10">
        <f>IFERROR(100*($D99*(INDEX('Data_NSA'!$A:$OK,MATCH(H$1,'Data_NSA'!$A:$A,0),MATCH($C99,'Data_NSA'!$1:$1,0))/INDEX('Data_NSA'!$A:$OK,MATCH($E99,'Data_NSA'!$A:$A,0),MATCH($C99,'Data_NSA'!$1:$1,0))))/(100*(INDEX('Data_NSA'!$A:$OK,MATCH(H$1,'Data_NSA'!$A:$A,0),MATCH("CUUR0000SA0",'Data_NSA'!$1:$1,0))/INDEX('Data_NSA'!$A:$OK,MATCH($E99,'Data_NSA'!$A:$A,0),MATCH("CUUR0000SA0",'Data_NSA'!$1:$1,0)))),"")</f>
        <v/>
      </c>
      <c r="I99" s="10">
        <f>IFERROR(100*($D99*(INDEX('Data_NSA'!$A:$OK,MATCH(I$1,'Data_NSA'!$A:$A,0),MATCH($C99,'Data_NSA'!$1:$1,0))/INDEX('Data_NSA'!$A:$OK,MATCH($E99,'Data_NSA'!$A:$A,0),MATCH($C99,'Data_NSA'!$1:$1,0))))/(100*(INDEX('Data_NSA'!$A:$OK,MATCH(I$1,'Data_NSA'!$A:$A,0),MATCH("CUUR0000SA0",'Data_NSA'!$1:$1,0))/INDEX('Data_NSA'!$A:$OK,MATCH($E99,'Data_NSA'!$A:$A,0),MATCH("CUUR0000SA0",'Data_NSA'!$1:$1,0)))),"")</f>
        <v/>
      </c>
    </row>
    <row r="100">
      <c r="A100" s="3" t="inlineStr">
        <is>
          <t>SEFS</t>
        </is>
      </c>
      <c r="B100" s="3" t="inlineStr">
        <is>
          <t>Fats and oils</t>
        </is>
      </c>
      <c r="C100" s="3" t="inlineStr">
        <is>
          <t>CUUR0000SEFS</t>
        </is>
      </c>
      <c r="D100" s="21" t="n">
        <v>0.231</v>
      </c>
      <c r="E100" s="22" t="n">
        <v>45992</v>
      </c>
      <c r="F100" s="3" t="n">
        <v>2024</v>
      </c>
      <c r="G100" s="10">
        <f>IFERROR(100*($D100*(INDEX('Data_NSA'!$A:$OK,MATCH(G$1,'Data_NSA'!$A:$A,0),MATCH($C100,'Data_NSA'!$1:$1,0))/INDEX('Data_NSA'!$A:$OK,MATCH($E100,'Data_NSA'!$A:$A,0),MATCH($C100,'Data_NSA'!$1:$1,0))))/(100*(INDEX('Data_NSA'!$A:$OK,MATCH(G$1,'Data_NSA'!$A:$A,0),MATCH("CUUR0000SA0",'Data_NSA'!$1:$1,0))/INDEX('Data_NSA'!$A:$OK,MATCH($E100,'Data_NSA'!$A:$A,0),MATCH("CUUR0000SA0",'Data_NSA'!$1:$1,0)))),"")</f>
        <v/>
      </c>
      <c r="H100" s="10">
        <f>IFERROR(100*($D100*(INDEX('Data_NSA'!$A:$OK,MATCH(H$1,'Data_NSA'!$A:$A,0),MATCH($C100,'Data_NSA'!$1:$1,0))/INDEX('Data_NSA'!$A:$OK,MATCH($E100,'Data_NSA'!$A:$A,0),MATCH($C100,'Data_NSA'!$1:$1,0))))/(100*(INDEX('Data_NSA'!$A:$OK,MATCH(H$1,'Data_NSA'!$A:$A,0),MATCH("CUUR0000SA0",'Data_NSA'!$1:$1,0))/INDEX('Data_NSA'!$A:$OK,MATCH($E100,'Data_NSA'!$A:$A,0),MATCH("CUUR0000SA0",'Data_NSA'!$1:$1,0)))),"")</f>
        <v/>
      </c>
      <c r="I100" s="10">
        <f>IFERROR(100*($D100*(INDEX('Data_NSA'!$A:$OK,MATCH(I$1,'Data_NSA'!$A:$A,0),MATCH($C100,'Data_NSA'!$1:$1,0))/INDEX('Data_NSA'!$A:$OK,MATCH($E100,'Data_NSA'!$A:$A,0),MATCH($C100,'Data_NSA'!$1:$1,0))))/(100*(INDEX('Data_NSA'!$A:$OK,MATCH(I$1,'Data_NSA'!$A:$A,0),MATCH("CUUR0000SA0",'Data_NSA'!$1:$1,0))/INDEX('Data_NSA'!$A:$OK,MATCH($E100,'Data_NSA'!$A:$A,0),MATCH("CUUR0000SA0",'Data_NSA'!$1:$1,0)))),"")</f>
        <v/>
      </c>
    </row>
    <row r="101">
      <c r="A101" s="3" t="inlineStr">
        <is>
          <t>SEFS01</t>
        </is>
      </c>
      <c r="B101" s="3" t="inlineStr">
        <is>
          <t>Butter and margarine</t>
        </is>
      </c>
      <c r="C101" s="3" t="inlineStr">
        <is>
          <t>CUUR0000SEFS01</t>
        </is>
      </c>
      <c r="D101" s="21" t="n">
        <v>0.066</v>
      </c>
      <c r="E101" s="22" t="n">
        <v>45992</v>
      </c>
      <c r="F101" s="3" t="n">
        <v>2024</v>
      </c>
      <c r="G101" s="10">
        <f>IFERROR(100*($D101*(INDEX('Data_NSA'!$A:$OK,MATCH(G$1,'Data_NSA'!$A:$A,0),MATCH($C101,'Data_NSA'!$1:$1,0))/INDEX('Data_NSA'!$A:$OK,MATCH($E101,'Data_NSA'!$A:$A,0),MATCH($C101,'Data_NSA'!$1:$1,0))))/(100*(INDEX('Data_NSA'!$A:$OK,MATCH(G$1,'Data_NSA'!$A:$A,0),MATCH("CUUR0000SA0",'Data_NSA'!$1:$1,0))/INDEX('Data_NSA'!$A:$OK,MATCH($E101,'Data_NSA'!$A:$A,0),MATCH("CUUR0000SA0",'Data_NSA'!$1:$1,0)))),"")</f>
        <v/>
      </c>
      <c r="H101" s="10">
        <f>IFERROR(100*($D101*(INDEX('Data_NSA'!$A:$OK,MATCH(H$1,'Data_NSA'!$A:$A,0),MATCH($C101,'Data_NSA'!$1:$1,0))/INDEX('Data_NSA'!$A:$OK,MATCH($E101,'Data_NSA'!$A:$A,0),MATCH($C101,'Data_NSA'!$1:$1,0))))/(100*(INDEX('Data_NSA'!$A:$OK,MATCH(H$1,'Data_NSA'!$A:$A,0),MATCH("CUUR0000SA0",'Data_NSA'!$1:$1,0))/INDEX('Data_NSA'!$A:$OK,MATCH($E101,'Data_NSA'!$A:$A,0),MATCH("CUUR0000SA0",'Data_NSA'!$1:$1,0)))),"")</f>
        <v/>
      </c>
      <c r="I101" s="10">
        <f>IFERROR(100*($D101*(INDEX('Data_NSA'!$A:$OK,MATCH(I$1,'Data_NSA'!$A:$A,0),MATCH($C101,'Data_NSA'!$1:$1,0))/INDEX('Data_NSA'!$A:$OK,MATCH($E101,'Data_NSA'!$A:$A,0),MATCH($C101,'Data_NSA'!$1:$1,0))))/(100*(INDEX('Data_NSA'!$A:$OK,MATCH(I$1,'Data_NSA'!$A:$A,0),MATCH("CUUR0000SA0",'Data_NSA'!$1:$1,0))/INDEX('Data_NSA'!$A:$OK,MATCH($E101,'Data_NSA'!$A:$A,0),MATCH("CUUR0000SA0",'Data_NSA'!$1:$1,0)))),"")</f>
        <v/>
      </c>
    </row>
    <row r="102">
      <c r="A102" s="3" t="inlineStr">
        <is>
          <t>SS10011</t>
        </is>
      </c>
      <c r="B102" s="3" t="inlineStr">
        <is>
          <t>Butter</t>
        </is>
      </c>
      <c r="C102" s="3" t="inlineStr">
        <is>
          <t>CUUR0000SS10011</t>
        </is>
      </c>
      <c r="D102" s="21" t="n"/>
      <c r="E102" s="22" t="n">
        <v>45992</v>
      </c>
      <c r="F102" s="3" t="n">
        <v>2024</v>
      </c>
      <c r="G102" s="10">
        <f>IFERROR(100*($D102*(INDEX('Data_NSA'!$A:$OK,MATCH(G$1,'Data_NSA'!$A:$A,0),MATCH($C102,'Data_NSA'!$1:$1,0))/INDEX('Data_NSA'!$A:$OK,MATCH($E102,'Data_NSA'!$A:$A,0),MATCH($C102,'Data_NSA'!$1:$1,0))))/(100*(INDEX('Data_NSA'!$A:$OK,MATCH(G$1,'Data_NSA'!$A:$A,0),MATCH("CUUR0000SA0",'Data_NSA'!$1:$1,0))/INDEX('Data_NSA'!$A:$OK,MATCH($E102,'Data_NSA'!$A:$A,0),MATCH("CUUR0000SA0",'Data_NSA'!$1:$1,0)))),"")</f>
        <v/>
      </c>
      <c r="H102" s="10">
        <f>IFERROR(100*($D102*(INDEX('Data_NSA'!$A:$OK,MATCH(H$1,'Data_NSA'!$A:$A,0),MATCH($C102,'Data_NSA'!$1:$1,0))/INDEX('Data_NSA'!$A:$OK,MATCH($E102,'Data_NSA'!$A:$A,0),MATCH($C102,'Data_NSA'!$1:$1,0))))/(100*(INDEX('Data_NSA'!$A:$OK,MATCH(H$1,'Data_NSA'!$A:$A,0),MATCH("CUUR0000SA0",'Data_NSA'!$1:$1,0))/INDEX('Data_NSA'!$A:$OK,MATCH($E102,'Data_NSA'!$A:$A,0),MATCH("CUUR0000SA0",'Data_NSA'!$1:$1,0)))),"")</f>
        <v/>
      </c>
      <c r="I102" s="10">
        <f>IFERROR(100*($D102*(INDEX('Data_NSA'!$A:$OK,MATCH(I$1,'Data_NSA'!$A:$A,0),MATCH($C102,'Data_NSA'!$1:$1,0))/INDEX('Data_NSA'!$A:$OK,MATCH($E102,'Data_NSA'!$A:$A,0),MATCH($C102,'Data_NSA'!$1:$1,0))))/(100*(INDEX('Data_NSA'!$A:$OK,MATCH(I$1,'Data_NSA'!$A:$A,0),MATCH("CUUR0000SA0",'Data_NSA'!$1:$1,0))/INDEX('Data_NSA'!$A:$OK,MATCH($E102,'Data_NSA'!$A:$A,0),MATCH("CUUR0000SA0",'Data_NSA'!$1:$1,0)))),"")</f>
        <v/>
      </c>
    </row>
    <row r="103">
      <c r="A103" s="3" t="inlineStr">
        <is>
          <t>SS16011</t>
        </is>
      </c>
      <c r="B103" s="3" t="inlineStr">
        <is>
          <t>Margarine</t>
        </is>
      </c>
      <c r="C103" s="3" t="inlineStr">
        <is>
          <t>CUUR0000SS16011</t>
        </is>
      </c>
      <c r="D103" s="21" t="n"/>
      <c r="E103" s="22" t="n">
        <v>45992</v>
      </c>
      <c r="F103" s="3" t="n">
        <v>2024</v>
      </c>
      <c r="G103" s="10">
        <f>IFERROR(100*($D103*(INDEX('Data_NSA'!$A:$OK,MATCH(G$1,'Data_NSA'!$A:$A,0),MATCH($C103,'Data_NSA'!$1:$1,0))/INDEX('Data_NSA'!$A:$OK,MATCH($E103,'Data_NSA'!$A:$A,0),MATCH($C103,'Data_NSA'!$1:$1,0))))/(100*(INDEX('Data_NSA'!$A:$OK,MATCH(G$1,'Data_NSA'!$A:$A,0),MATCH("CUUR0000SA0",'Data_NSA'!$1:$1,0))/INDEX('Data_NSA'!$A:$OK,MATCH($E103,'Data_NSA'!$A:$A,0),MATCH("CUUR0000SA0",'Data_NSA'!$1:$1,0)))),"")</f>
        <v/>
      </c>
      <c r="H103" s="10">
        <f>IFERROR(100*($D103*(INDEX('Data_NSA'!$A:$OK,MATCH(H$1,'Data_NSA'!$A:$A,0),MATCH($C103,'Data_NSA'!$1:$1,0))/INDEX('Data_NSA'!$A:$OK,MATCH($E103,'Data_NSA'!$A:$A,0),MATCH($C103,'Data_NSA'!$1:$1,0))))/(100*(INDEX('Data_NSA'!$A:$OK,MATCH(H$1,'Data_NSA'!$A:$A,0),MATCH("CUUR0000SA0",'Data_NSA'!$1:$1,0))/INDEX('Data_NSA'!$A:$OK,MATCH($E103,'Data_NSA'!$A:$A,0),MATCH("CUUR0000SA0",'Data_NSA'!$1:$1,0)))),"")</f>
        <v/>
      </c>
      <c r="I103" s="10">
        <f>IFERROR(100*($D103*(INDEX('Data_NSA'!$A:$OK,MATCH(I$1,'Data_NSA'!$A:$A,0),MATCH($C103,'Data_NSA'!$1:$1,0))/INDEX('Data_NSA'!$A:$OK,MATCH($E103,'Data_NSA'!$A:$A,0),MATCH($C103,'Data_NSA'!$1:$1,0))))/(100*(INDEX('Data_NSA'!$A:$OK,MATCH(I$1,'Data_NSA'!$A:$A,0),MATCH("CUUR0000SA0",'Data_NSA'!$1:$1,0))/INDEX('Data_NSA'!$A:$OK,MATCH($E103,'Data_NSA'!$A:$A,0),MATCH("CUUR0000SA0",'Data_NSA'!$1:$1,0)))),"")</f>
        <v/>
      </c>
    </row>
    <row r="104">
      <c r="A104" s="3" t="inlineStr">
        <is>
          <t>SEFS02</t>
        </is>
      </c>
      <c r="B104" s="3" t="inlineStr">
        <is>
          <t>Salad dressing</t>
        </is>
      </c>
      <c r="C104" s="3" t="inlineStr">
        <is>
          <t>CUUR0000SEFS02</t>
        </is>
      </c>
      <c r="D104" s="21" t="n">
        <v>0.055</v>
      </c>
      <c r="E104" s="22" t="n">
        <v>45992</v>
      </c>
      <c r="F104" s="3" t="n">
        <v>2024</v>
      </c>
      <c r="G104" s="10">
        <f>IFERROR(100*($D104*(INDEX('Data_NSA'!$A:$OK,MATCH(G$1,'Data_NSA'!$A:$A,0),MATCH($C104,'Data_NSA'!$1:$1,0))/INDEX('Data_NSA'!$A:$OK,MATCH($E104,'Data_NSA'!$A:$A,0),MATCH($C104,'Data_NSA'!$1:$1,0))))/(100*(INDEX('Data_NSA'!$A:$OK,MATCH(G$1,'Data_NSA'!$A:$A,0),MATCH("CUUR0000SA0",'Data_NSA'!$1:$1,0))/INDEX('Data_NSA'!$A:$OK,MATCH($E104,'Data_NSA'!$A:$A,0),MATCH("CUUR0000SA0",'Data_NSA'!$1:$1,0)))),"")</f>
        <v/>
      </c>
      <c r="H104" s="10">
        <f>IFERROR(100*($D104*(INDEX('Data_NSA'!$A:$OK,MATCH(H$1,'Data_NSA'!$A:$A,0),MATCH($C104,'Data_NSA'!$1:$1,0))/INDEX('Data_NSA'!$A:$OK,MATCH($E104,'Data_NSA'!$A:$A,0),MATCH($C104,'Data_NSA'!$1:$1,0))))/(100*(INDEX('Data_NSA'!$A:$OK,MATCH(H$1,'Data_NSA'!$A:$A,0),MATCH("CUUR0000SA0",'Data_NSA'!$1:$1,0))/INDEX('Data_NSA'!$A:$OK,MATCH($E104,'Data_NSA'!$A:$A,0),MATCH("CUUR0000SA0",'Data_NSA'!$1:$1,0)))),"")</f>
        <v/>
      </c>
      <c r="I104" s="10">
        <f>IFERROR(100*($D104*(INDEX('Data_NSA'!$A:$OK,MATCH(I$1,'Data_NSA'!$A:$A,0),MATCH($C104,'Data_NSA'!$1:$1,0))/INDEX('Data_NSA'!$A:$OK,MATCH($E104,'Data_NSA'!$A:$A,0),MATCH($C104,'Data_NSA'!$1:$1,0))))/(100*(INDEX('Data_NSA'!$A:$OK,MATCH(I$1,'Data_NSA'!$A:$A,0),MATCH("CUUR0000SA0",'Data_NSA'!$1:$1,0))/INDEX('Data_NSA'!$A:$OK,MATCH($E104,'Data_NSA'!$A:$A,0),MATCH("CUUR0000SA0",'Data_NSA'!$1:$1,0)))),"")</f>
        <v/>
      </c>
    </row>
    <row r="105">
      <c r="A105" s="3" t="inlineStr">
        <is>
          <t>SEFS03</t>
        </is>
      </c>
      <c r="B105" s="3" t="inlineStr">
        <is>
          <t>Other fats and oils including peanut butter</t>
        </is>
      </c>
      <c r="C105" s="3" t="inlineStr">
        <is>
          <t>CUUR0000SEFS03</t>
        </is>
      </c>
      <c r="D105" s="21" t="n">
        <v>0.11</v>
      </c>
      <c r="E105" s="22" t="n">
        <v>45992</v>
      </c>
      <c r="F105" s="3" t="n">
        <v>2024</v>
      </c>
      <c r="G105" s="10">
        <f>IFERROR(100*($D105*(INDEX('Data_NSA'!$A:$OK,MATCH(G$1,'Data_NSA'!$A:$A,0),MATCH($C105,'Data_NSA'!$1:$1,0))/INDEX('Data_NSA'!$A:$OK,MATCH($E105,'Data_NSA'!$A:$A,0),MATCH($C105,'Data_NSA'!$1:$1,0))))/(100*(INDEX('Data_NSA'!$A:$OK,MATCH(G$1,'Data_NSA'!$A:$A,0),MATCH("CUUR0000SA0",'Data_NSA'!$1:$1,0))/INDEX('Data_NSA'!$A:$OK,MATCH($E105,'Data_NSA'!$A:$A,0),MATCH("CUUR0000SA0",'Data_NSA'!$1:$1,0)))),"")</f>
        <v/>
      </c>
      <c r="H105" s="10">
        <f>IFERROR(100*($D105*(INDEX('Data_NSA'!$A:$OK,MATCH(H$1,'Data_NSA'!$A:$A,0),MATCH($C105,'Data_NSA'!$1:$1,0))/INDEX('Data_NSA'!$A:$OK,MATCH($E105,'Data_NSA'!$A:$A,0),MATCH($C105,'Data_NSA'!$1:$1,0))))/(100*(INDEX('Data_NSA'!$A:$OK,MATCH(H$1,'Data_NSA'!$A:$A,0),MATCH("CUUR0000SA0",'Data_NSA'!$1:$1,0))/INDEX('Data_NSA'!$A:$OK,MATCH($E105,'Data_NSA'!$A:$A,0),MATCH("CUUR0000SA0",'Data_NSA'!$1:$1,0)))),"")</f>
        <v/>
      </c>
      <c r="I105" s="10">
        <f>IFERROR(100*($D105*(INDEX('Data_NSA'!$A:$OK,MATCH(I$1,'Data_NSA'!$A:$A,0),MATCH($C105,'Data_NSA'!$1:$1,0))/INDEX('Data_NSA'!$A:$OK,MATCH($E105,'Data_NSA'!$A:$A,0),MATCH($C105,'Data_NSA'!$1:$1,0))))/(100*(INDEX('Data_NSA'!$A:$OK,MATCH(I$1,'Data_NSA'!$A:$A,0),MATCH("CUUR0000SA0",'Data_NSA'!$1:$1,0))/INDEX('Data_NSA'!$A:$OK,MATCH($E105,'Data_NSA'!$A:$A,0),MATCH("CUUR0000SA0",'Data_NSA'!$1:$1,0)))),"")</f>
        <v/>
      </c>
    </row>
    <row r="106">
      <c r="A106" s="3" t="inlineStr">
        <is>
          <t>SS16014</t>
        </is>
      </c>
      <c r="B106" s="3" t="inlineStr">
        <is>
          <t>Peanut butter</t>
        </is>
      </c>
      <c r="C106" s="3" t="inlineStr">
        <is>
          <t>CUUR0000SS16014</t>
        </is>
      </c>
      <c r="D106" s="21" t="n"/>
      <c r="E106" s="22" t="n">
        <v>45992</v>
      </c>
      <c r="F106" s="3" t="n">
        <v>2024</v>
      </c>
      <c r="G106" s="10">
        <f>IFERROR(100*($D106*(INDEX('Data_NSA'!$A:$OK,MATCH(G$1,'Data_NSA'!$A:$A,0),MATCH($C106,'Data_NSA'!$1:$1,0))/INDEX('Data_NSA'!$A:$OK,MATCH($E106,'Data_NSA'!$A:$A,0),MATCH($C106,'Data_NSA'!$1:$1,0))))/(100*(INDEX('Data_NSA'!$A:$OK,MATCH(G$1,'Data_NSA'!$A:$A,0),MATCH("CUUR0000SA0",'Data_NSA'!$1:$1,0))/INDEX('Data_NSA'!$A:$OK,MATCH($E106,'Data_NSA'!$A:$A,0),MATCH("CUUR0000SA0",'Data_NSA'!$1:$1,0)))),"")</f>
        <v/>
      </c>
      <c r="H106" s="10">
        <f>IFERROR(100*($D106*(INDEX('Data_NSA'!$A:$OK,MATCH(H$1,'Data_NSA'!$A:$A,0),MATCH($C106,'Data_NSA'!$1:$1,0))/INDEX('Data_NSA'!$A:$OK,MATCH($E106,'Data_NSA'!$A:$A,0),MATCH($C106,'Data_NSA'!$1:$1,0))))/(100*(INDEX('Data_NSA'!$A:$OK,MATCH(H$1,'Data_NSA'!$A:$A,0),MATCH("CUUR0000SA0",'Data_NSA'!$1:$1,0))/INDEX('Data_NSA'!$A:$OK,MATCH($E106,'Data_NSA'!$A:$A,0),MATCH("CUUR0000SA0",'Data_NSA'!$1:$1,0)))),"")</f>
        <v/>
      </c>
      <c r="I106" s="10">
        <f>IFERROR(100*($D106*(INDEX('Data_NSA'!$A:$OK,MATCH(I$1,'Data_NSA'!$A:$A,0),MATCH($C106,'Data_NSA'!$1:$1,0))/INDEX('Data_NSA'!$A:$OK,MATCH($E106,'Data_NSA'!$A:$A,0),MATCH($C106,'Data_NSA'!$1:$1,0))))/(100*(INDEX('Data_NSA'!$A:$OK,MATCH(I$1,'Data_NSA'!$A:$A,0),MATCH("CUUR0000SA0",'Data_NSA'!$1:$1,0))/INDEX('Data_NSA'!$A:$OK,MATCH($E106,'Data_NSA'!$A:$A,0),MATCH("CUUR0000SA0",'Data_NSA'!$1:$1,0)))),"")</f>
        <v/>
      </c>
    </row>
    <row r="107">
      <c r="A107" s="3" t="inlineStr">
        <is>
          <t>SEFT</t>
        </is>
      </c>
      <c r="B107" s="3" t="inlineStr">
        <is>
          <t>Other foods</t>
        </is>
      </c>
      <c r="C107" s="3" t="inlineStr">
        <is>
          <t>CUUR0000SEFT</t>
        </is>
      </c>
      <c r="D107" s="21" t="n">
        <v>1.714</v>
      </c>
      <c r="E107" s="22" t="n">
        <v>45992</v>
      </c>
      <c r="F107" s="3" t="n">
        <v>2024</v>
      </c>
      <c r="G107" s="10">
        <f>IFERROR(100*($D107*(INDEX('Data_NSA'!$A:$OK,MATCH(G$1,'Data_NSA'!$A:$A,0),MATCH($C107,'Data_NSA'!$1:$1,0))/INDEX('Data_NSA'!$A:$OK,MATCH($E107,'Data_NSA'!$A:$A,0),MATCH($C107,'Data_NSA'!$1:$1,0))))/(100*(INDEX('Data_NSA'!$A:$OK,MATCH(G$1,'Data_NSA'!$A:$A,0),MATCH("CUUR0000SA0",'Data_NSA'!$1:$1,0))/INDEX('Data_NSA'!$A:$OK,MATCH($E107,'Data_NSA'!$A:$A,0),MATCH("CUUR0000SA0",'Data_NSA'!$1:$1,0)))),"")</f>
        <v/>
      </c>
      <c r="H107" s="10">
        <f>IFERROR(100*($D107*(INDEX('Data_NSA'!$A:$OK,MATCH(H$1,'Data_NSA'!$A:$A,0),MATCH($C107,'Data_NSA'!$1:$1,0))/INDEX('Data_NSA'!$A:$OK,MATCH($E107,'Data_NSA'!$A:$A,0),MATCH($C107,'Data_NSA'!$1:$1,0))))/(100*(INDEX('Data_NSA'!$A:$OK,MATCH(H$1,'Data_NSA'!$A:$A,0),MATCH("CUUR0000SA0",'Data_NSA'!$1:$1,0))/INDEX('Data_NSA'!$A:$OK,MATCH($E107,'Data_NSA'!$A:$A,0),MATCH("CUUR0000SA0",'Data_NSA'!$1:$1,0)))),"")</f>
        <v/>
      </c>
      <c r="I107" s="10">
        <f>IFERROR(100*($D107*(INDEX('Data_NSA'!$A:$OK,MATCH(I$1,'Data_NSA'!$A:$A,0),MATCH($C107,'Data_NSA'!$1:$1,0))/INDEX('Data_NSA'!$A:$OK,MATCH($E107,'Data_NSA'!$A:$A,0),MATCH($C107,'Data_NSA'!$1:$1,0))))/(100*(INDEX('Data_NSA'!$A:$OK,MATCH(I$1,'Data_NSA'!$A:$A,0),MATCH("CUUR0000SA0",'Data_NSA'!$1:$1,0))/INDEX('Data_NSA'!$A:$OK,MATCH($E107,'Data_NSA'!$A:$A,0),MATCH("CUUR0000SA0",'Data_NSA'!$1:$1,0)))),"")</f>
        <v/>
      </c>
    </row>
    <row r="108">
      <c r="A108" s="3" t="inlineStr">
        <is>
          <t>SEFT01</t>
        </is>
      </c>
      <c r="B108" s="3" t="inlineStr">
        <is>
          <t>Soups</t>
        </is>
      </c>
      <c r="C108" s="3" t="inlineStr">
        <is>
          <t>CUUR0000SEFT01</t>
        </is>
      </c>
      <c r="D108" s="21" t="n">
        <v>0.08500000000000001</v>
      </c>
      <c r="E108" s="22" t="n">
        <v>45992</v>
      </c>
      <c r="F108" s="3" t="n">
        <v>2024</v>
      </c>
      <c r="G108" s="10">
        <f>IFERROR(100*($D108*(INDEX('Data_NSA'!$A:$OK,MATCH(G$1,'Data_NSA'!$A:$A,0),MATCH($C108,'Data_NSA'!$1:$1,0))/INDEX('Data_NSA'!$A:$OK,MATCH($E108,'Data_NSA'!$A:$A,0),MATCH($C108,'Data_NSA'!$1:$1,0))))/(100*(INDEX('Data_NSA'!$A:$OK,MATCH(G$1,'Data_NSA'!$A:$A,0),MATCH("CUUR0000SA0",'Data_NSA'!$1:$1,0))/INDEX('Data_NSA'!$A:$OK,MATCH($E108,'Data_NSA'!$A:$A,0),MATCH("CUUR0000SA0",'Data_NSA'!$1:$1,0)))),"")</f>
        <v/>
      </c>
      <c r="H108" s="10">
        <f>IFERROR(100*($D108*(INDEX('Data_NSA'!$A:$OK,MATCH(H$1,'Data_NSA'!$A:$A,0),MATCH($C108,'Data_NSA'!$1:$1,0))/INDEX('Data_NSA'!$A:$OK,MATCH($E108,'Data_NSA'!$A:$A,0),MATCH($C108,'Data_NSA'!$1:$1,0))))/(100*(INDEX('Data_NSA'!$A:$OK,MATCH(H$1,'Data_NSA'!$A:$A,0),MATCH("CUUR0000SA0",'Data_NSA'!$1:$1,0))/INDEX('Data_NSA'!$A:$OK,MATCH($E108,'Data_NSA'!$A:$A,0),MATCH("CUUR0000SA0",'Data_NSA'!$1:$1,0)))),"")</f>
        <v/>
      </c>
      <c r="I108" s="10">
        <f>IFERROR(100*($D108*(INDEX('Data_NSA'!$A:$OK,MATCH(I$1,'Data_NSA'!$A:$A,0),MATCH($C108,'Data_NSA'!$1:$1,0))/INDEX('Data_NSA'!$A:$OK,MATCH($E108,'Data_NSA'!$A:$A,0),MATCH($C108,'Data_NSA'!$1:$1,0))))/(100*(INDEX('Data_NSA'!$A:$OK,MATCH(I$1,'Data_NSA'!$A:$A,0),MATCH("CUUR0000SA0",'Data_NSA'!$1:$1,0))/INDEX('Data_NSA'!$A:$OK,MATCH($E108,'Data_NSA'!$A:$A,0),MATCH("CUUR0000SA0",'Data_NSA'!$1:$1,0)))),"")</f>
        <v/>
      </c>
    </row>
    <row r="109">
      <c r="A109" s="3" t="inlineStr">
        <is>
          <t>SEFT02</t>
        </is>
      </c>
      <c r="B109" s="3" t="inlineStr">
        <is>
          <t>Frozen and freeze dried prepared foods</t>
        </is>
      </c>
      <c r="C109" s="3" t="inlineStr">
        <is>
          <t>CUUR0000SEFT02</t>
        </is>
      </c>
      <c r="D109" s="21" t="n">
        <v>0.305</v>
      </c>
      <c r="E109" s="22" t="n">
        <v>45992</v>
      </c>
      <c r="F109" s="3" t="n">
        <v>2024</v>
      </c>
      <c r="G109" s="10">
        <f>IFERROR(100*($D109*(INDEX('Data_NSA'!$A:$OK,MATCH(G$1,'Data_NSA'!$A:$A,0),MATCH($C109,'Data_NSA'!$1:$1,0))/INDEX('Data_NSA'!$A:$OK,MATCH($E109,'Data_NSA'!$A:$A,0),MATCH($C109,'Data_NSA'!$1:$1,0))))/(100*(INDEX('Data_NSA'!$A:$OK,MATCH(G$1,'Data_NSA'!$A:$A,0),MATCH("CUUR0000SA0",'Data_NSA'!$1:$1,0))/INDEX('Data_NSA'!$A:$OK,MATCH($E109,'Data_NSA'!$A:$A,0),MATCH("CUUR0000SA0",'Data_NSA'!$1:$1,0)))),"")</f>
        <v/>
      </c>
      <c r="H109" s="10">
        <f>IFERROR(100*($D109*(INDEX('Data_NSA'!$A:$OK,MATCH(H$1,'Data_NSA'!$A:$A,0),MATCH($C109,'Data_NSA'!$1:$1,0))/INDEX('Data_NSA'!$A:$OK,MATCH($E109,'Data_NSA'!$A:$A,0),MATCH($C109,'Data_NSA'!$1:$1,0))))/(100*(INDEX('Data_NSA'!$A:$OK,MATCH(H$1,'Data_NSA'!$A:$A,0),MATCH("CUUR0000SA0",'Data_NSA'!$1:$1,0))/INDEX('Data_NSA'!$A:$OK,MATCH($E109,'Data_NSA'!$A:$A,0),MATCH("CUUR0000SA0",'Data_NSA'!$1:$1,0)))),"")</f>
        <v/>
      </c>
      <c r="I109" s="10">
        <f>IFERROR(100*($D109*(INDEX('Data_NSA'!$A:$OK,MATCH(I$1,'Data_NSA'!$A:$A,0),MATCH($C109,'Data_NSA'!$1:$1,0))/INDEX('Data_NSA'!$A:$OK,MATCH($E109,'Data_NSA'!$A:$A,0),MATCH($C109,'Data_NSA'!$1:$1,0))))/(100*(INDEX('Data_NSA'!$A:$OK,MATCH(I$1,'Data_NSA'!$A:$A,0),MATCH("CUUR0000SA0",'Data_NSA'!$1:$1,0))/INDEX('Data_NSA'!$A:$OK,MATCH($E109,'Data_NSA'!$A:$A,0),MATCH("CUUR0000SA0",'Data_NSA'!$1:$1,0)))),"")</f>
        <v/>
      </c>
    </row>
    <row r="110">
      <c r="A110" s="3" t="inlineStr">
        <is>
          <t>SEFT03</t>
        </is>
      </c>
      <c r="B110" s="3" t="inlineStr">
        <is>
          <t>Snacks</t>
        </is>
      </c>
      <c r="C110" s="3" t="inlineStr">
        <is>
          <t>CUUR0000SEFT03</t>
        </is>
      </c>
      <c r="D110" s="21" t="n">
        <v>0.372</v>
      </c>
      <c r="E110" s="22" t="n">
        <v>45992</v>
      </c>
      <c r="F110" s="3" t="n">
        <v>2024</v>
      </c>
      <c r="G110" s="10">
        <f>IFERROR(100*($D110*(INDEX('Data_NSA'!$A:$OK,MATCH(G$1,'Data_NSA'!$A:$A,0),MATCH($C110,'Data_NSA'!$1:$1,0))/INDEX('Data_NSA'!$A:$OK,MATCH($E110,'Data_NSA'!$A:$A,0),MATCH($C110,'Data_NSA'!$1:$1,0))))/(100*(INDEX('Data_NSA'!$A:$OK,MATCH(G$1,'Data_NSA'!$A:$A,0),MATCH("CUUR0000SA0",'Data_NSA'!$1:$1,0))/INDEX('Data_NSA'!$A:$OK,MATCH($E110,'Data_NSA'!$A:$A,0),MATCH("CUUR0000SA0",'Data_NSA'!$1:$1,0)))),"")</f>
        <v/>
      </c>
      <c r="H110" s="10">
        <f>IFERROR(100*($D110*(INDEX('Data_NSA'!$A:$OK,MATCH(H$1,'Data_NSA'!$A:$A,0),MATCH($C110,'Data_NSA'!$1:$1,0))/INDEX('Data_NSA'!$A:$OK,MATCH($E110,'Data_NSA'!$A:$A,0),MATCH($C110,'Data_NSA'!$1:$1,0))))/(100*(INDEX('Data_NSA'!$A:$OK,MATCH(H$1,'Data_NSA'!$A:$A,0),MATCH("CUUR0000SA0",'Data_NSA'!$1:$1,0))/INDEX('Data_NSA'!$A:$OK,MATCH($E110,'Data_NSA'!$A:$A,0),MATCH("CUUR0000SA0",'Data_NSA'!$1:$1,0)))),"")</f>
        <v/>
      </c>
      <c r="I110" s="10">
        <f>IFERROR(100*($D110*(INDEX('Data_NSA'!$A:$OK,MATCH(I$1,'Data_NSA'!$A:$A,0),MATCH($C110,'Data_NSA'!$1:$1,0))/INDEX('Data_NSA'!$A:$OK,MATCH($E110,'Data_NSA'!$A:$A,0),MATCH($C110,'Data_NSA'!$1:$1,0))))/(100*(INDEX('Data_NSA'!$A:$OK,MATCH(I$1,'Data_NSA'!$A:$A,0),MATCH("CUUR0000SA0",'Data_NSA'!$1:$1,0))/INDEX('Data_NSA'!$A:$OK,MATCH($E110,'Data_NSA'!$A:$A,0),MATCH("CUUR0000SA0",'Data_NSA'!$1:$1,0)))),"")</f>
        <v/>
      </c>
    </row>
    <row r="111">
      <c r="A111" s="3" t="inlineStr">
        <is>
          <t>SEFT04</t>
        </is>
      </c>
      <c r="B111" s="3" t="inlineStr">
        <is>
          <t>Spices, seasonings, condiments, sauces</t>
        </is>
      </c>
      <c r="C111" s="3" t="inlineStr">
        <is>
          <t>CUUR0000SEFT04</t>
        </is>
      </c>
      <c r="D111" s="21" t="n">
        <v>0.317</v>
      </c>
      <c r="E111" s="22" t="n">
        <v>45992</v>
      </c>
      <c r="F111" s="3" t="n">
        <v>2024</v>
      </c>
      <c r="G111" s="10">
        <f>IFERROR(100*($D111*(INDEX('Data_NSA'!$A:$OK,MATCH(G$1,'Data_NSA'!$A:$A,0),MATCH($C111,'Data_NSA'!$1:$1,0))/INDEX('Data_NSA'!$A:$OK,MATCH($E111,'Data_NSA'!$A:$A,0),MATCH($C111,'Data_NSA'!$1:$1,0))))/(100*(INDEX('Data_NSA'!$A:$OK,MATCH(G$1,'Data_NSA'!$A:$A,0),MATCH("CUUR0000SA0",'Data_NSA'!$1:$1,0))/INDEX('Data_NSA'!$A:$OK,MATCH($E111,'Data_NSA'!$A:$A,0),MATCH("CUUR0000SA0",'Data_NSA'!$1:$1,0)))),"")</f>
        <v/>
      </c>
      <c r="H111" s="10">
        <f>IFERROR(100*($D111*(INDEX('Data_NSA'!$A:$OK,MATCH(H$1,'Data_NSA'!$A:$A,0),MATCH($C111,'Data_NSA'!$1:$1,0))/INDEX('Data_NSA'!$A:$OK,MATCH($E111,'Data_NSA'!$A:$A,0),MATCH($C111,'Data_NSA'!$1:$1,0))))/(100*(INDEX('Data_NSA'!$A:$OK,MATCH(H$1,'Data_NSA'!$A:$A,0),MATCH("CUUR0000SA0",'Data_NSA'!$1:$1,0))/INDEX('Data_NSA'!$A:$OK,MATCH($E111,'Data_NSA'!$A:$A,0),MATCH("CUUR0000SA0",'Data_NSA'!$1:$1,0)))),"")</f>
        <v/>
      </c>
      <c r="I111" s="10">
        <f>IFERROR(100*($D111*(INDEX('Data_NSA'!$A:$OK,MATCH(I$1,'Data_NSA'!$A:$A,0),MATCH($C111,'Data_NSA'!$1:$1,0))/INDEX('Data_NSA'!$A:$OK,MATCH($E111,'Data_NSA'!$A:$A,0),MATCH($C111,'Data_NSA'!$1:$1,0))))/(100*(INDEX('Data_NSA'!$A:$OK,MATCH(I$1,'Data_NSA'!$A:$A,0),MATCH("CUUR0000SA0",'Data_NSA'!$1:$1,0))/INDEX('Data_NSA'!$A:$OK,MATCH($E111,'Data_NSA'!$A:$A,0),MATCH("CUUR0000SA0",'Data_NSA'!$1:$1,0)))),"")</f>
        <v/>
      </c>
    </row>
    <row r="112">
      <c r="A112" s="3" t="inlineStr">
        <is>
          <t>SS18041</t>
        </is>
      </c>
      <c r="B112" s="3" t="inlineStr">
        <is>
          <t>Salt and other seasonings and spices</t>
        </is>
      </c>
      <c r="C112" s="3" t="inlineStr">
        <is>
          <t>CUUR0000SS18041</t>
        </is>
      </c>
      <c r="D112" s="21" t="n"/>
      <c r="E112" s="22" t="n">
        <v>45992</v>
      </c>
      <c r="F112" s="3" t="n">
        <v>2024</v>
      </c>
      <c r="G112" s="10">
        <f>IFERROR(100*($D112*(INDEX('Data_NSA'!$A:$OK,MATCH(G$1,'Data_NSA'!$A:$A,0),MATCH($C112,'Data_NSA'!$1:$1,0))/INDEX('Data_NSA'!$A:$OK,MATCH($E112,'Data_NSA'!$A:$A,0),MATCH($C112,'Data_NSA'!$1:$1,0))))/(100*(INDEX('Data_NSA'!$A:$OK,MATCH(G$1,'Data_NSA'!$A:$A,0),MATCH("CUUR0000SA0",'Data_NSA'!$1:$1,0))/INDEX('Data_NSA'!$A:$OK,MATCH($E112,'Data_NSA'!$A:$A,0),MATCH("CUUR0000SA0",'Data_NSA'!$1:$1,0)))),"")</f>
        <v/>
      </c>
      <c r="H112" s="10">
        <f>IFERROR(100*($D112*(INDEX('Data_NSA'!$A:$OK,MATCH(H$1,'Data_NSA'!$A:$A,0),MATCH($C112,'Data_NSA'!$1:$1,0))/INDEX('Data_NSA'!$A:$OK,MATCH($E112,'Data_NSA'!$A:$A,0),MATCH($C112,'Data_NSA'!$1:$1,0))))/(100*(INDEX('Data_NSA'!$A:$OK,MATCH(H$1,'Data_NSA'!$A:$A,0),MATCH("CUUR0000SA0",'Data_NSA'!$1:$1,0))/INDEX('Data_NSA'!$A:$OK,MATCH($E112,'Data_NSA'!$A:$A,0),MATCH("CUUR0000SA0",'Data_NSA'!$1:$1,0)))),"")</f>
        <v/>
      </c>
      <c r="I112" s="10">
        <f>IFERROR(100*($D112*(INDEX('Data_NSA'!$A:$OK,MATCH(I$1,'Data_NSA'!$A:$A,0),MATCH($C112,'Data_NSA'!$1:$1,0))/INDEX('Data_NSA'!$A:$OK,MATCH($E112,'Data_NSA'!$A:$A,0),MATCH($C112,'Data_NSA'!$1:$1,0))))/(100*(INDEX('Data_NSA'!$A:$OK,MATCH(I$1,'Data_NSA'!$A:$A,0),MATCH("CUUR0000SA0",'Data_NSA'!$1:$1,0))/INDEX('Data_NSA'!$A:$OK,MATCH($E112,'Data_NSA'!$A:$A,0),MATCH("CUUR0000SA0",'Data_NSA'!$1:$1,0)))),"")</f>
        <v/>
      </c>
    </row>
    <row r="113">
      <c r="A113" s="3" t="inlineStr">
        <is>
          <t>SS18042</t>
        </is>
      </c>
      <c r="B113" s="3" t="inlineStr">
        <is>
          <t>Olives, pickles, relishes</t>
        </is>
      </c>
      <c r="C113" s="3" t="inlineStr">
        <is>
          <t>CUUR0000SS18042</t>
        </is>
      </c>
      <c r="D113" s="21" t="n"/>
      <c r="E113" s="22" t="n">
        <v>45992</v>
      </c>
      <c r="F113" s="3" t="n">
        <v>2024</v>
      </c>
      <c r="G113" s="10">
        <f>IFERROR(100*($D113*(INDEX('Data_NSA'!$A:$OK,MATCH(G$1,'Data_NSA'!$A:$A,0),MATCH($C113,'Data_NSA'!$1:$1,0))/INDEX('Data_NSA'!$A:$OK,MATCH($E113,'Data_NSA'!$A:$A,0),MATCH($C113,'Data_NSA'!$1:$1,0))))/(100*(INDEX('Data_NSA'!$A:$OK,MATCH(G$1,'Data_NSA'!$A:$A,0),MATCH("CUUR0000SA0",'Data_NSA'!$1:$1,0))/INDEX('Data_NSA'!$A:$OK,MATCH($E113,'Data_NSA'!$A:$A,0),MATCH("CUUR0000SA0",'Data_NSA'!$1:$1,0)))),"")</f>
        <v/>
      </c>
      <c r="H113" s="10">
        <f>IFERROR(100*($D113*(INDEX('Data_NSA'!$A:$OK,MATCH(H$1,'Data_NSA'!$A:$A,0),MATCH($C113,'Data_NSA'!$1:$1,0))/INDEX('Data_NSA'!$A:$OK,MATCH($E113,'Data_NSA'!$A:$A,0),MATCH($C113,'Data_NSA'!$1:$1,0))))/(100*(INDEX('Data_NSA'!$A:$OK,MATCH(H$1,'Data_NSA'!$A:$A,0),MATCH("CUUR0000SA0",'Data_NSA'!$1:$1,0))/INDEX('Data_NSA'!$A:$OK,MATCH($E113,'Data_NSA'!$A:$A,0),MATCH("CUUR0000SA0",'Data_NSA'!$1:$1,0)))),"")</f>
        <v/>
      </c>
      <c r="I113" s="10">
        <f>IFERROR(100*($D113*(INDEX('Data_NSA'!$A:$OK,MATCH(I$1,'Data_NSA'!$A:$A,0),MATCH($C113,'Data_NSA'!$1:$1,0))/INDEX('Data_NSA'!$A:$OK,MATCH($E113,'Data_NSA'!$A:$A,0),MATCH($C113,'Data_NSA'!$1:$1,0))))/(100*(INDEX('Data_NSA'!$A:$OK,MATCH(I$1,'Data_NSA'!$A:$A,0),MATCH("CUUR0000SA0",'Data_NSA'!$1:$1,0))/INDEX('Data_NSA'!$A:$OK,MATCH($E113,'Data_NSA'!$A:$A,0),MATCH("CUUR0000SA0",'Data_NSA'!$1:$1,0)))),"")</f>
        <v/>
      </c>
    </row>
    <row r="114">
      <c r="A114" s="3" t="inlineStr">
        <is>
          <t>SS18043</t>
        </is>
      </c>
      <c r="B114" s="3" t="inlineStr">
        <is>
          <t>Sauces and gravies</t>
        </is>
      </c>
      <c r="C114" s="3" t="inlineStr">
        <is>
          <t>CUUR0000SS18043</t>
        </is>
      </c>
      <c r="D114" s="21" t="n"/>
      <c r="E114" s="22" t="n">
        <v>45992</v>
      </c>
      <c r="F114" s="3" t="n">
        <v>2024</v>
      </c>
      <c r="G114" s="10">
        <f>IFERROR(100*($D114*(INDEX('Data_NSA'!$A:$OK,MATCH(G$1,'Data_NSA'!$A:$A,0),MATCH($C114,'Data_NSA'!$1:$1,0))/INDEX('Data_NSA'!$A:$OK,MATCH($E114,'Data_NSA'!$A:$A,0),MATCH($C114,'Data_NSA'!$1:$1,0))))/(100*(INDEX('Data_NSA'!$A:$OK,MATCH(G$1,'Data_NSA'!$A:$A,0),MATCH("CUUR0000SA0",'Data_NSA'!$1:$1,0))/INDEX('Data_NSA'!$A:$OK,MATCH($E114,'Data_NSA'!$A:$A,0),MATCH("CUUR0000SA0",'Data_NSA'!$1:$1,0)))),"")</f>
        <v/>
      </c>
      <c r="H114" s="10">
        <f>IFERROR(100*($D114*(INDEX('Data_NSA'!$A:$OK,MATCH(H$1,'Data_NSA'!$A:$A,0),MATCH($C114,'Data_NSA'!$1:$1,0))/INDEX('Data_NSA'!$A:$OK,MATCH($E114,'Data_NSA'!$A:$A,0),MATCH($C114,'Data_NSA'!$1:$1,0))))/(100*(INDEX('Data_NSA'!$A:$OK,MATCH(H$1,'Data_NSA'!$A:$A,0),MATCH("CUUR0000SA0",'Data_NSA'!$1:$1,0))/INDEX('Data_NSA'!$A:$OK,MATCH($E114,'Data_NSA'!$A:$A,0),MATCH("CUUR0000SA0",'Data_NSA'!$1:$1,0)))),"")</f>
        <v/>
      </c>
      <c r="I114" s="10">
        <f>IFERROR(100*($D114*(INDEX('Data_NSA'!$A:$OK,MATCH(I$1,'Data_NSA'!$A:$A,0),MATCH($C114,'Data_NSA'!$1:$1,0))/INDEX('Data_NSA'!$A:$OK,MATCH($E114,'Data_NSA'!$A:$A,0),MATCH($C114,'Data_NSA'!$1:$1,0))))/(100*(INDEX('Data_NSA'!$A:$OK,MATCH(I$1,'Data_NSA'!$A:$A,0),MATCH("CUUR0000SA0",'Data_NSA'!$1:$1,0))/INDEX('Data_NSA'!$A:$OK,MATCH($E114,'Data_NSA'!$A:$A,0),MATCH("CUUR0000SA0",'Data_NSA'!$1:$1,0)))),"")</f>
        <v/>
      </c>
    </row>
    <row r="115">
      <c r="A115" s="3" t="inlineStr">
        <is>
          <t>SS1804B</t>
        </is>
      </c>
      <c r="B115" s="3" t="inlineStr">
        <is>
          <t>Other condiments</t>
        </is>
      </c>
      <c r="C115" s="3" t="inlineStr">
        <is>
          <t>CUUR0000SS1804B</t>
        </is>
      </c>
      <c r="D115" s="21" t="n"/>
      <c r="E115" s="22" t="n">
        <v>45992</v>
      </c>
      <c r="F115" s="3" t="n">
        <v>2024</v>
      </c>
      <c r="G115" s="10">
        <f>IFERROR(100*($D115*(INDEX('Data_NSA'!$A:$OK,MATCH(G$1,'Data_NSA'!$A:$A,0),MATCH($C115,'Data_NSA'!$1:$1,0))/INDEX('Data_NSA'!$A:$OK,MATCH($E115,'Data_NSA'!$A:$A,0),MATCH($C115,'Data_NSA'!$1:$1,0))))/(100*(INDEX('Data_NSA'!$A:$OK,MATCH(G$1,'Data_NSA'!$A:$A,0),MATCH("CUUR0000SA0",'Data_NSA'!$1:$1,0))/INDEX('Data_NSA'!$A:$OK,MATCH($E115,'Data_NSA'!$A:$A,0),MATCH("CUUR0000SA0",'Data_NSA'!$1:$1,0)))),"")</f>
        <v/>
      </c>
      <c r="H115" s="10">
        <f>IFERROR(100*($D115*(INDEX('Data_NSA'!$A:$OK,MATCH(H$1,'Data_NSA'!$A:$A,0),MATCH($C115,'Data_NSA'!$1:$1,0))/INDEX('Data_NSA'!$A:$OK,MATCH($E115,'Data_NSA'!$A:$A,0),MATCH($C115,'Data_NSA'!$1:$1,0))))/(100*(INDEX('Data_NSA'!$A:$OK,MATCH(H$1,'Data_NSA'!$A:$A,0),MATCH("CUUR0000SA0",'Data_NSA'!$1:$1,0))/INDEX('Data_NSA'!$A:$OK,MATCH($E115,'Data_NSA'!$A:$A,0),MATCH("CUUR0000SA0",'Data_NSA'!$1:$1,0)))),"")</f>
        <v/>
      </c>
      <c r="I115" s="10">
        <f>IFERROR(100*($D115*(INDEX('Data_NSA'!$A:$OK,MATCH(I$1,'Data_NSA'!$A:$A,0),MATCH($C115,'Data_NSA'!$1:$1,0))/INDEX('Data_NSA'!$A:$OK,MATCH($E115,'Data_NSA'!$A:$A,0),MATCH($C115,'Data_NSA'!$1:$1,0))))/(100*(INDEX('Data_NSA'!$A:$OK,MATCH(I$1,'Data_NSA'!$A:$A,0),MATCH("CUUR0000SA0",'Data_NSA'!$1:$1,0))/INDEX('Data_NSA'!$A:$OK,MATCH($E115,'Data_NSA'!$A:$A,0),MATCH("CUUR0000SA0",'Data_NSA'!$1:$1,0)))),"")</f>
        <v/>
      </c>
    </row>
    <row r="116">
      <c r="A116" s="3" t="inlineStr">
        <is>
          <t>SEFT05</t>
        </is>
      </c>
      <c r="B116" s="3" t="inlineStr">
        <is>
          <t>Baby food and formula</t>
        </is>
      </c>
      <c r="C116" s="3" t="inlineStr">
        <is>
          <t>CUUR0000SEFT05</t>
        </is>
      </c>
      <c r="D116" s="21" t="n">
        <v>0.053</v>
      </c>
      <c r="E116" s="22" t="n">
        <v>45992</v>
      </c>
      <c r="F116" s="3" t="n">
        <v>2024</v>
      </c>
      <c r="G116" s="10">
        <f>IFERROR(100*($D116*(INDEX('Data_NSA'!$A:$OK,MATCH(G$1,'Data_NSA'!$A:$A,0),MATCH($C116,'Data_NSA'!$1:$1,0))/INDEX('Data_NSA'!$A:$OK,MATCH($E116,'Data_NSA'!$A:$A,0),MATCH($C116,'Data_NSA'!$1:$1,0))))/(100*(INDEX('Data_NSA'!$A:$OK,MATCH(G$1,'Data_NSA'!$A:$A,0),MATCH("CUUR0000SA0",'Data_NSA'!$1:$1,0))/INDEX('Data_NSA'!$A:$OK,MATCH($E116,'Data_NSA'!$A:$A,0),MATCH("CUUR0000SA0",'Data_NSA'!$1:$1,0)))),"")</f>
        <v/>
      </c>
      <c r="H116" s="10">
        <f>IFERROR(100*($D116*(INDEX('Data_NSA'!$A:$OK,MATCH(H$1,'Data_NSA'!$A:$A,0),MATCH($C116,'Data_NSA'!$1:$1,0))/INDEX('Data_NSA'!$A:$OK,MATCH($E116,'Data_NSA'!$A:$A,0),MATCH($C116,'Data_NSA'!$1:$1,0))))/(100*(INDEX('Data_NSA'!$A:$OK,MATCH(H$1,'Data_NSA'!$A:$A,0),MATCH("CUUR0000SA0",'Data_NSA'!$1:$1,0))/INDEX('Data_NSA'!$A:$OK,MATCH($E116,'Data_NSA'!$A:$A,0),MATCH("CUUR0000SA0",'Data_NSA'!$1:$1,0)))),"")</f>
        <v/>
      </c>
      <c r="I116" s="10">
        <f>IFERROR(100*($D116*(INDEX('Data_NSA'!$A:$OK,MATCH(I$1,'Data_NSA'!$A:$A,0),MATCH($C116,'Data_NSA'!$1:$1,0))/INDEX('Data_NSA'!$A:$OK,MATCH($E116,'Data_NSA'!$A:$A,0),MATCH($C116,'Data_NSA'!$1:$1,0))))/(100*(INDEX('Data_NSA'!$A:$OK,MATCH(I$1,'Data_NSA'!$A:$A,0),MATCH("CUUR0000SA0",'Data_NSA'!$1:$1,0))/INDEX('Data_NSA'!$A:$OK,MATCH($E116,'Data_NSA'!$A:$A,0),MATCH("CUUR0000SA0",'Data_NSA'!$1:$1,0)))),"")</f>
        <v/>
      </c>
    </row>
    <row r="117">
      <c r="A117" s="3" t="inlineStr">
        <is>
          <t>SEFT06</t>
        </is>
      </c>
      <c r="B117" s="3" t="inlineStr">
        <is>
          <t>Other miscellaneous foods</t>
        </is>
      </c>
      <c r="C117" s="3" t="inlineStr">
        <is>
          <t>CUUR0000SEFT06</t>
        </is>
      </c>
      <c r="D117" s="21" t="n">
        <v>0.582</v>
      </c>
      <c r="E117" s="22" t="n">
        <v>45992</v>
      </c>
      <c r="F117" s="3" t="n">
        <v>2024</v>
      </c>
      <c r="G117" s="10">
        <f>IFERROR(100*($D117*(INDEX('Data_NSA'!$A:$OK,MATCH(G$1,'Data_NSA'!$A:$A,0),MATCH($C117,'Data_NSA'!$1:$1,0))/INDEX('Data_NSA'!$A:$OK,MATCH($E117,'Data_NSA'!$A:$A,0),MATCH($C117,'Data_NSA'!$1:$1,0))))/(100*(INDEX('Data_NSA'!$A:$OK,MATCH(G$1,'Data_NSA'!$A:$A,0),MATCH("CUUR0000SA0",'Data_NSA'!$1:$1,0))/INDEX('Data_NSA'!$A:$OK,MATCH($E117,'Data_NSA'!$A:$A,0),MATCH("CUUR0000SA0",'Data_NSA'!$1:$1,0)))),"")</f>
        <v/>
      </c>
      <c r="H117" s="10">
        <f>IFERROR(100*($D117*(INDEX('Data_NSA'!$A:$OK,MATCH(H$1,'Data_NSA'!$A:$A,0),MATCH($C117,'Data_NSA'!$1:$1,0))/INDEX('Data_NSA'!$A:$OK,MATCH($E117,'Data_NSA'!$A:$A,0),MATCH($C117,'Data_NSA'!$1:$1,0))))/(100*(INDEX('Data_NSA'!$A:$OK,MATCH(H$1,'Data_NSA'!$A:$A,0),MATCH("CUUR0000SA0",'Data_NSA'!$1:$1,0))/INDEX('Data_NSA'!$A:$OK,MATCH($E117,'Data_NSA'!$A:$A,0),MATCH("CUUR0000SA0",'Data_NSA'!$1:$1,0)))),"")</f>
        <v/>
      </c>
      <c r="I117" s="10">
        <f>IFERROR(100*($D117*(INDEX('Data_NSA'!$A:$OK,MATCH(I$1,'Data_NSA'!$A:$A,0),MATCH($C117,'Data_NSA'!$1:$1,0))/INDEX('Data_NSA'!$A:$OK,MATCH($E117,'Data_NSA'!$A:$A,0),MATCH($C117,'Data_NSA'!$1:$1,0))))/(100*(INDEX('Data_NSA'!$A:$OK,MATCH(I$1,'Data_NSA'!$A:$A,0),MATCH("CUUR0000SA0",'Data_NSA'!$1:$1,0))/INDEX('Data_NSA'!$A:$OK,MATCH($E117,'Data_NSA'!$A:$A,0),MATCH("CUUR0000SA0",'Data_NSA'!$1:$1,0)))),"")</f>
        <v/>
      </c>
    </row>
    <row r="118">
      <c r="A118" s="3" t="inlineStr">
        <is>
          <t>SS18064</t>
        </is>
      </c>
      <c r="B118" s="3" t="inlineStr">
        <is>
          <t>Prepared salads</t>
        </is>
      </c>
      <c r="C118" s="3" t="inlineStr">
        <is>
          <t>CUUR0000SS18064</t>
        </is>
      </c>
      <c r="D118" s="21" t="n"/>
      <c r="E118" s="22" t="n">
        <v>45992</v>
      </c>
      <c r="F118" s="3" t="n">
        <v>2024</v>
      </c>
      <c r="G118" s="10">
        <f>IFERROR(100*($D118*(INDEX('Data_NSA'!$A:$OK,MATCH(G$1,'Data_NSA'!$A:$A,0),MATCH($C118,'Data_NSA'!$1:$1,0))/INDEX('Data_NSA'!$A:$OK,MATCH($E118,'Data_NSA'!$A:$A,0),MATCH($C118,'Data_NSA'!$1:$1,0))))/(100*(INDEX('Data_NSA'!$A:$OK,MATCH(G$1,'Data_NSA'!$A:$A,0),MATCH("CUUR0000SA0",'Data_NSA'!$1:$1,0))/INDEX('Data_NSA'!$A:$OK,MATCH($E118,'Data_NSA'!$A:$A,0),MATCH("CUUR0000SA0",'Data_NSA'!$1:$1,0)))),"")</f>
        <v/>
      </c>
      <c r="H118" s="10">
        <f>IFERROR(100*($D118*(INDEX('Data_NSA'!$A:$OK,MATCH(H$1,'Data_NSA'!$A:$A,0),MATCH($C118,'Data_NSA'!$1:$1,0))/INDEX('Data_NSA'!$A:$OK,MATCH($E118,'Data_NSA'!$A:$A,0),MATCH($C118,'Data_NSA'!$1:$1,0))))/(100*(INDEX('Data_NSA'!$A:$OK,MATCH(H$1,'Data_NSA'!$A:$A,0),MATCH("CUUR0000SA0",'Data_NSA'!$1:$1,0))/INDEX('Data_NSA'!$A:$OK,MATCH($E118,'Data_NSA'!$A:$A,0),MATCH("CUUR0000SA0",'Data_NSA'!$1:$1,0)))),"")</f>
        <v/>
      </c>
      <c r="I118" s="10">
        <f>IFERROR(100*($D118*(INDEX('Data_NSA'!$A:$OK,MATCH(I$1,'Data_NSA'!$A:$A,0),MATCH($C118,'Data_NSA'!$1:$1,0))/INDEX('Data_NSA'!$A:$OK,MATCH($E118,'Data_NSA'!$A:$A,0),MATCH($C118,'Data_NSA'!$1:$1,0))))/(100*(INDEX('Data_NSA'!$A:$OK,MATCH(I$1,'Data_NSA'!$A:$A,0),MATCH("CUUR0000SA0",'Data_NSA'!$1:$1,0))/INDEX('Data_NSA'!$A:$OK,MATCH($E118,'Data_NSA'!$A:$A,0),MATCH("CUUR0000SA0",'Data_NSA'!$1:$1,0)))),"")</f>
        <v/>
      </c>
    </row>
    <row r="119">
      <c r="A119" s="3" t="inlineStr">
        <is>
          <t>SEFV</t>
        </is>
      </c>
      <c r="B119" s="3" t="inlineStr">
        <is>
          <t>Food away from home</t>
        </is>
      </c>
      <c r="C119" s="3" t="inlineStr">
        <is>
          <t>CUUR0000SEFV</t>
        </is>
      </c>
      <c r="D119" s="21" t="n">
        <v>5.373</v>
      </c>
      <c r="E119" s="22" t="n">
        <v>45992</v>
      </c>
      <c r="F119" s="3" t="n">
        <v>2024</v>
      </c>
      <c r="G119" s="10">
        <f>IFERROR(100*($D119*(INDEX('Data_NSA'!$A:$OK,MATCH(G$1,'Data_NSA'!$A:$A,0),MATCH($C119,'Data_NSA'!$1:$1,0))/INDEX('Data_NSA'!$A:$OK,MATCH($E119,'Data_NSA'!$A:$A,0),MATCH($C119,'Data_NSA'!$1:$1,0))))/(100*(INDEX('Data_NSA'!$A:$OK,MATCH(G$1,'Data_NSA'!$A:$A,0),MATCH("CUUR0000SA0",'Data_NSA'!$1:$1,0))/INDEX('Data_NSA'!$A:$OK,MATCH($E119,'Data_NSA'!$A:$A,0),MATCH("CUUR0000SA0",'Data_NSA'!$1:$1,0)))),"")</f>
        <v/>
      </c>
      <c r="H119" s="10">
        <f>IFERROR(100*($D119*(INDEX('Data_NSA'!$A:$OK,MATCH(H$1,'Data_NSA'!$A:$A,0),MATCH($C119,'Data_NSA'!$1:$1,0))/INDEX('Data_NSA'!$A:$OK,MATCH($E119,'Data_NSA'!$A:$A,0),MATCH($C119,'Data_NSA'!$1:$1,0))))/(100*(INDEX('Data_NSA'!$A:$OK,MATCH(H$1,'Data_NSA'!$A:$A,0),MATCH("CUUR0000SA0",'Data_NSA'!$1:$1,0))/INDEX('Data_NSA'!$A:$OK,MATCH($E119,'Data_NSA'!$A:$A,0),MATCH("CUUR0000SA0",'Data_NSA'!$1:$1,0)))),"")</f>
        <v/>
      </c>
      <c r="I119" s="10">
        <f>IFERROR(100*($D119*(INDEX('Data_NSA'!$A:$OK,MATCH(I$1,'Data_NSA'!$A:$A,0),MATCH($C119,'Data_NSA'!$1:$1,0))/INDEX('Data_NSA'!$A:$OK,MATCH($E119,'Data_NSA'!$A:$A,0),MATCH($C119,'Data_NSA'!$1:$1,0))))/(100*(INDEX('Data_NSA'!$A:$OK,MATCH(I$1,'Data_NSA'!$A:$A,0),MATCH("CUUR0000SA0",'Data_NSA'!$1:$1,0))/INDEX('Data_NSA'!$A:$OK,MATCH($E119,'Data_NSA'!$A:$A,0),MATCH("CUUR0000SA0",'Data_NSA'!$1:$1,0)))),"")</f>
        <v/>
      </c>
    </row>
    <row r="120">
      <c r="A120" s="3" t="inlineStr">
        <is>
          <t>SEFV01</t>
        </is>
      </c>
      <c r="B120" s="3" t="inlineStr">
        <is>
          <t>Full service meals and snacks</t>
        </is>
      </c>
      <c r="C120" s="3" t="inlineStr">
        <is>
          <t>CUUR0000SEFV01</t>
        </is>
      </c>
      <c r="D120" s="21" t="n">
        <v>2.386</v>
      </c>
      <c r="E120" s="22" t="n">
        <v>45992</v>
      </c>
      <c r="F120" s="3" t="n">
        <v>2024</v>
      </c>
      <c r="G120" s="10">
        <f>IFERROR(100*($D120*(INDEX('Data_NSA'!$A:$OK,MATCH(G$1,'Data_NSA'!$A:$A,0),MATCH($C120,'Data_NSA'!$1:$1,0))/INDEX('Data_NSA'!$A:$OK,MATCH($E120,'Data_NSA'!$A:$A,0),MATCH($C120,'Data_NSA'!$1:$1,0))))/(100*(INDEX('Data_NSA'!$A:$OK,MATCH(G$1,'Data_NSA'!$A:$A,0),MATCH("CUUR0000SA0",'Data_NSA'!$1:$1,0))/INDEX('Data_NSA'!$A:$OK,MATCH($E120,'Data_NSA'!$A:$A,0),MATCH("CUUR0000SA0",'Data_NSA'!$1:$1,0)))),"")</f>
        <v/>
      </c>
      <c r="H120" s="10">
        <f>IFERROR(100*($D120*(INDEX('Data_NSA'!$A:$OK,MATCH(H$1,'Data_NSA'!$A:$A,0),MATCH($C120,'Data_NSA'!$1:$1,0))/INDEX('Data_NSA'!$A:$OK,MATCH($E120,'Data_NSA'!$A:$A,0),MATCH($C120,'Data_NSA'!$1:$1,0))))/(100*(INDEX('Data_NSA'!$A:$OK,MATCH(H$1,'Data_NSA'!$A:$A,0),MATCH("CUUR0000SA0",'Data_NSA'!$1:$1,0))/INDEX('Data_NSA'!$A:$OK,MATCH($E120,'Data_NSA'!$A:$A,0),MATCH("CUUR0000SA0",'Data_NSA'!$1:$1,0)))),"")</f>
        <v/>
      </c>
      <c r="I120" s="10">
        <f>IFERROR(100*($D120*(INDEX('Data_NSA'!$A:$OK,MATCH(I$1,'Data_NSA'!$A:$A,0),MATCH($C120,'Data_NSA'!$1:$1,0))/INDEX('Data_NSA'!$A:$OK,MATCH($E120,'Data_NSA'!$A:$A,0),MATCH($C120,'Data_NSA'!$1:$1,0))))/(100*(INDEX('Data_NSA'!$A:$OK,MATCH(I$1,'Data_NSA'!$A:$A,0),MATCH("CUUR0000SA0",'Data_NSA'!$1:$1,0))/INDEX('Data_NSA'!$A:$OK,MATCH($E120,'Data_NSA'!$A:$A,0),MATCH("CUUR0000SA0",'Data_NSA'!$1:$1,0)))),"")</f>
        <v/>
      </c>
    </row>
    <row r="121">
      <c r="A121" s="3" t="inlineStr">
        <is>
          <t>SEFV02</t>
        </is>
      </c>
      <c r="B121" s="3" t="inlineStr">
        <is>
          <t>Limited service meals and snacks</t>
        </is>
      </c>
      <c r="C121" s="3" t="inlineStr">
        <is>
          <t>CUUR0000SEFV02</t>
        </is>
      </c>
      <c r="D121" s="21" t="n">
        <v>2.684</v>
      </c>
      <c r="E121" s="22" t="n">
        <v>45992</v>
      </c>
      <c r="F121" s="3" t="n">
        <v>2024</v>
      </c>
      <c r="G121" s="10">
        <f>IFERROR(100*($D121*(INDEX('Data_NSA'!$A:$OK,MATCH(G$1,'Data_NSA'!$A:$A,0),MATCH($C121,'Data_NSA'!$1:$1,0))/INDEX('Data_NSA'!$A:$OK,MATCH($E121,'Data_NSA'!$A:$A,0),MATCH($C121,'Data_NSA'!$1:$1,0))))/(100*(INDEX('Data_NSA'!$A:$OK,MATCH(G$1,'Data_NSA'!$A:$A,0),MATCH("CUUR0000SA0",'Data_NSA'!$1:$1,0))/INDEX('Data_NSA'!$A:$OK,MATCH($E121,'Data_NSA'!$A:$A,0),MATCH("CUUR0000SA0",'Data_NSA'!$1:$1,0)))),"")</f>
        <v/>
      </c>
      <c r="H121" s="10">
        <f>IFERROR(100*($D121*(INDEX('Data_NSA'!$A:$OK,MATCH(H$1,'Data_NSA'!$A:$A,0),MATCH($C121,'Data_NSA'!$1:$1,0))/INDEX('Data_NSA'!$A:$OK,MATCH($E121,'Data_NSA'!$A:$A,0),MATCH($C121,'Data_NSA'!$1:$1,0))))/(100*(INDEX('Data_NSA'!$A:$OK,MATCH(H$1,'Data_NSA'!$A:$A,0),MATCH("CUUR0000SA0",'Data_NSA'!$1:$1,0))/INDEX('Data_NSA'!$A:$OK,MATCH($E121,'Data_NSA'!$A:$A,0),MATCH("CUUR0000SA0",'Data_NSA'!$1:$1,0)))),"")</f>
        <v/>
      </c>
      <c r="I121" s="10">
        <f>IFERROR(100*($D121*(INDEX('Data_NSA'!$A:$OK,MATCH(I$1,'Data_NSA'!$A:$A,0),MATCH($C121,'Data_NSA'!$1:$1,0))/INDEX('Data_NSA'!$A:$OK,MATCH($E121,'Data_NSA'!$A:$A,0),MATCH($C121,'Data_NSA'!$1:$1,0))))/(100*(INDEX('Data_NSA'!$A:$OK,MATCH(I$1,'Data_NSA'!$A:$A,0),MATCH("CUUR0000SA0",'Data_NSA'!$1:$1,0))/INDEX('Data_NSA'!$A:$OK,MATCH($E121,'Data_NSA'!$A:$A,0),MATCH("CUUR0000SA0",'Data_NSA'!$1:$1,0)))),"")</f>
        <v/>
      </c>
    </row>
    <row r="122">
      <c r="A122" s="3" t="inlineStr">
        <is>
          <t>SEFV03</t>
        </is>
      </c>
      <c r="B122" s="3" t="inlineStr">
        <is>
          <t>Food at employee sites and schools</t>
        </is>
      </c>
      <c r="C122" s="3" t="inlineStr">
        <is>
          <t>CUUR0000SEFV03</t>
        </is>
      </c>
      <c r="D122" s="21" t="n">
        <v>0.065</v>
      </c>
      <c r="E122" s="22" t="n">
        <v>45992</v>
      </c>
      <c r="F122" s="3" t="n">
        <v>2024</v>
      </c>
      <c r="G122" s="10">
        <f>IFERROR(100*($D122*(INDEX('Data_NSA'!$A:$OK,MATCH(G$1,'Data_NSA'!$A:$A,0),MATCH($C122,'Data_NSA'!$1:$1,0))/INDEX('Data_NSA'!$A:$OK,MATCH($E122,'Data_NSA'!$A:$A,0),MATCH($C122,'Data_NSA'!$1:$1,0))))/(100*(INDEX('Data_NSA'!$A:$OK,MATCH(G$1,'Data_NSA'!$A:$A,0),MATCH("CUUR0000SA0",'Data_NSA'!$1:$1,0))/INDEX('Data_NSA'!$A:$OK,MATCH($E122,'Data_NSA'!$A:$A,0),MATCH("CUUR0000SA0",'Data_NSA'!$1:$1,0)))),"")</f>
        <v/>
      </c>
      <c r="H122" s="10">
        <f>IFERROR(100*($D122*(INDEX('Data_NSA'!$A:$OK,MATCH(H$1,'Data_NSA'!$A:$A,0),MATCH($C122,'Data_NSA'!$1:$1,0))/INDEX('Data_NSA'!$A:$OK,MATCH($E122,'Data_NSA'!$A:$A,0),MATCH($C122,'Data_NSA'!$1:$1,0))))/(100*(INDEX('Data_NSA'!$A:$OK,MATCH(H$1,'Data_NSA'!$A:$A,0),MATCH("CUUR0000SA0",'Data_NSA'!$1:$1,0))/INDEX('Data_NSA'!$A:$OK,MATCH($E122,'Data_NSA'!$A:$A,0),MATCH("CUUR0000SA0",'Data_NSA'!$1:$1,0)))),"")</f>
        <v/>
      </c>
      <c r="I122" s="10">
        <f>IFERROR(100*($D122*(INDEX('Data_NSA'!$A:$OK,MATCH(I$1,'Data_NSA'!$A:$A,0),MATCH($C122,'Data_NSA'!$1:$1,0))/INDEX('Data_NSA'!$A:$OK,MATCH($E122,'Data_NSA'!$A:$A,0),MATCH($C122,'Data_NSA'!$1:$1,0))))/(100*(INDEX('Data_NSA'!$A:$OK,MATCH(I$1,'Data_NSA'!$A:$A,0),MATCH("CUUR0000SA0",'Data_NSA'!$1:$1,0))/INDEX('Data_NSA'!$A:$OK,MATCH($E122,'Data_NSA'!$A:$A,0),MATCH("CUUR0000SA0",'Data_NSA'!$1:$1,0)))),"")</f>
        <v/>
      </c>
    </row>
    <row r="123">
      <c r="A123" s="3" t="inlineStr">
        <is>
          <t>SSFV031A</t>
        </is>
      </c>
      <c r="B123" s="3" t="inlineStr">
        <is>
          <t>Food at elementary and secondary schools</t>
        </is>
      </c>
      <c r="C123" s="3" t="inlineStr">
        <is>
          <t>CUUR0000SSFV031A</t>
        </is>
      </c>
      <c r="D123" s="21" t="n"/>
      <c r="E123" s="22" t="n">
        <v>45992</v>
      </c>
      <c r="F123" s="3" t="n">
        <v>2024</v>
      </c>
      <c r="G123" s="10">
        <f>IFERROR(100*($D123*(INDEX('Data_NSA'!$A:$OK,MATCH(G$1,'Data_NSA'!$A:$A,0),MATCH($C123,'Data_NSA'!$1:$1,0))/INDEX('Data_NSA'!$A:$OK,MATCH($E123,'Data_NSA'!$A:$A,0),MATCH($C123,'Data_NSA'!$1:$1,0))))/(100*(INDEX('Data_NSA'!$A:$OK,MATCH(G$1,'Data_NSA'!$A:$A,0),MATCH("CUUR0000SA0",'Data_NSA'!$1:$1,0))/INDEX('Data_NSA'!$A:$OK,MATCH($E123,'Data_NSA'!$A:$A,0),MATCH("CUUR0000SA0",'Data_NSA'!$1:$1,0)))),"")</f>
        <v/>
      </c>
      <c r="H123" s="10">
        <f>IFERROR(100*($D123*(INDEX('Data_NSA'!$A:$OK,MATCH(H$1,'Data_NSA'!$A:$A,0),MATCH($C123,'Data_NSA'!$1:$1,0))/INDEX('Data_NSA'!$A:$OK,MATCH($E123,'Data_NSA'!$A:$A,0),MATCH($C123,'Data_NSA'!$1:$1,0))))/(100*(INDEX('Data_NSA'!$A:$OK,MATCH(H$1,'Data_NSA'!$A:$A,0),MATCH("CUUR0000SA0",'Data_NSA'!$1:$1,0))/INDEX('Data_NSA'!$A:$OK,MATCH($E123,'Data_NSA'!$A:$A,0),MATCH("CUUR0000SA0",'Data_NSA'!$1:$1,0)))),"")</f>
        <v/>
      </c>
      <c r="I123" s="10">
        <f>IFERROR(100*($D123*(INDEX('Data_NSA'!$A:$OK,MATCH(I$1,'Data_NSA'!$A:$A,0),MATCH($C123,'Data_NSA'!$1:$1,0))/INDEX('Data_NSA'!$A:$OK,MATCH($E123,'Data_NSA'!$A:$A,0),MATCH($C123,'Data_NSA'!$1:$1,0))))/(100*(INDEX('Data_NSA'!$A:$OK,MATCH(I$1,'Data_NSA'!$A:$A,0),MATCH("CUUR0000SA0",'Data_NSA'!$1:$1,0))/INDEX('Data_NSA'!$A:$OK,MATCH($E123,'Data_NSA'!$A:$A,0),MATCH("CUUR0000SA0",'Data_NSA'!$1:$1,0)))),"")</f>
        <v/>
      </c>
    </row>
    <row r="124">
      <c r="A124" s="3" t="inlineStr">
        <is>
          <t>SEFV04</t>
        </is>
      </c>
      <c r="B124" s="3" t="inlineStr">
        <is>
          <t>Food from vending machines and mobile vendors</t>
        </is>
      </c>
      <c r="C124" s="3" t="inlineStr">
        <is>
          <t>CUUR0000SEFV04</t>
        </is>
      </c>
      <c r="D124" s="21" t="n">
        <v>0.054</v>
      </c>
      <c r="E124" s="22" t="n">
        <v>45992</v>
      </c>
      <c r="F124" s="3" t="n">
        <v>2024</v>
      </c>
      <c r="G124" s="10">
        <f>IFERROR(100*($D124*(INDEX('Data_NSA'!$A:$OK,MATCH(G$1,'Data_NSA'!$A:$A,0),MATCH($C124,'Data_NSA'!$1:$1,0))/INDEX('Data_NSA'!$A:$OK,MATCH($E124,'Data_NSA'!$A:$A,0),MATCH($C124,'Data_NSA'!$1:$1,0))))/(100*(INDEX('Data_NSA'!$A:$OK,MATCH(G$1,'Data_NSA'!$A:$A,0),MATCH("CUUR0000SA0",'Data_NSA'!$1:$1,0))/INDEX('Data_NSA'!$A:$OK,MATCH($E124,'Data_NSA'!$A:$A,0),MATCH("CUUR0000SA0",'Data_NSA'!$1:$1,0)))),"")</f>
        <v/>
      </c>
      <c r="H124" s="10">
        <f>IFERROR(100*($D124*(INDEX('Data_NSA'!$A:$OK,MATCH(H$1,'Data_NSA'!$A:$A,0),MATCH($C124,'Data_NSA'!$1:$1,0))/INDEX('Data_NSA'!$A:$OK,MATCH($E124,'Data_NSA'!$A:$A,0),MATCH($C124,'Data_NSA'!$1:$1,0))))/(100*(INDEX('Data_NSA'!$A:$OK,MATCH(H$1,'Data_NSA'!$A:$A,0),MATCH("CUUR0000SA0",'Data_NSA'!$1:$1,0))/INDEX('Data_NSA'!$A:$OK,MATCH($E124,'Data_NSA'!$A:$A,0),MATCH("CUUR0000SA0",'Data_NSA'!$1:$1,0)))),"")</f>
        <v/>
      </c>
      <c r="I124" s="10">
        <f>IFERROR(100*($D124*(INDEX('Data_NSA'!$A:$OK,MATCH(I$1,'Data_NSA'!$A:$A,0),MATCH($C124,'Data_NSA'!$1:$1,0))/INDEX('Data_NSA'!$A:$OK,MATCH($E124,'Data_NSA'!$A:$A,0),MATCH($C124,'Data_NSA'!$1:$1,0))))/(100*(INDEX('Data_NSA'!$A:$OK,MATCH(I$1,'Data_NSA'!$A:$A,0),MATCH("CUUR0000SA0",'Data_NSA'!$1:$1,0))/INDEX('Data_NSA'!$A:$OK,MATCH($E124,'Data_NSA'!$A:$A,0),MATCH("CUUR0000SA0",'Data_NSA'!$1:$1,0)))),"")</f>
        <v/>
      </c>
    </row>
    <row r="125">
      <c r="A125" s="3" t="inlineStr">
        <is>
          <t>SEFV05</t>
        </is>
      </c>
      <c r="B125" s="3" t="inlineStr">
        <is>
          <t>Other food away from home</t>
        </is>
      </c>
      <c r="C125" s="3" t="inlineStr">
        <is>
          <t>CUUR0000SEFV05</t>
        </is>
      </c>
      <c r="D125" s="21" t="n">
        <v>0.185</v>
      </c>
      <c r="E125" s="22" t="n">
        <v>45992</v>
      </c>
      <c r="F125" s="3" t="n">
        <v>2024</v>
      </c>
      <c r="G125" s="10">
        <f>IFERROR(100*($D125*(INDEX('Data_NSA'!$A:$OK,MATCH(G$1,'Data_NSA'!$A:$A,0),MATCH($C125,'Data_NSA'!$1:$1,0))/INDEX('Data_NSA'!$A:$OK,MATCH($E125,'Data_NSA'!$A:$A,0),MATCH($C125,'Data_NSA'!$1:$1,0))))/(100*(INDEX('Data_NSA'!$A:$OK,MATCH(G$1,'Data_NSA'!$A:$A,0),MATCH("CUUR0000SA0",'Data_NSA'!$1:$1,0))/INDEX('Data_NSA'!$A:$OK,MATCH($E125,'Data_NSA'!$A:$A,0),MATCH("CUUR0000SA0",'Data_NSA'!$1:$1,0)))),"")</f>
        <v/>
      </c>
      <c r="H125" s="10">
        <f>IFERROR(100*($D125*(INDEX('Data_NSA'!$A:$OK,MATCH(H$1,'Data_NSA'!$A:$A,0),MATCH($C125,'Data_NSA'!$1:$1,0))/INDEX('Data_NSA'!$A:$OK,MATCH($E125,'Data_NSA'!$A:$A,0),MATCH($C125,'Data_NSA'!$1:$1,0))))/(100*(INDEX('Data_NSA'!$A:$OK,MATCH(H$1,'Data_NSA'!$A:$A,0),MATCH("CUUR0000SA0",'Data_NSA'!$1:$1,0))/INDEX('Data_NSA'!$A:$OK,MATCH($E125,'Data_NSA'!$A:$A,0),MATCH("CUUR0000SA0",'Data_NSA'!$1:$1,0)))),"")</f>
        <v/>
      </c>
      <c r="I125" s="10">
        <f>IFERROR(100*($D125*(INDEX('Data_NSA'!$A:$OK,MATCH(I$1,'Data_NSA'!$A:$A,0),MATCH($C125,'Data_NSA'!$1:$1,0))/INDEX('Data_NSA'!$A:$OK,MATCH($E125,'Data_NSA'!$A:$A,0),MATCH($C125,'Data_NSA'!$1:$1,0))))/(100*(INDEX('Data_NSA'!$A:$OK,MATCH(I$1,'Data_NSA'!$A:$A,0),MATCH("CUUR0000SA0",'Data_NSA'!$1:$1,0))/INDEX('Data_NSA'!$A:$OK,MATCH($E125,'Data_NSA'!$A:$A,0),MATCH("CUUR0000SA0",'Data_NSA'!$1:$1,0)))),"")</f>
        <v/>
      </c>
    </row>
    <row r="126">
      <c r="A126" s="3" t="inlineStr">
        <is>
          <t>SAF116</t>
        </is>
      </c>
      <c r="B126" s="3" t="inlineStr">
        <is>
          <t>Alcoholic beverages</t>
        </is>
      </c>
      <c r="C126" s="3" t="inlineStr">
        <is>
          <t>CUUR0000SAF116</t>
        </is>
      </c>
      <c r="D126" s="21" t="n">
        <v>0.84</v>
      </c>
      <c r="E126" s="22" t="n">
        <v>45992</v>
      </c>
      <c r="F126" s="3" t="n">
        <v>2024</v>
      </c>
      <c r="G126" s="10">
        <f>IFERROR(100*($D126*(INDEX('Data_NSA'!$A:$OK,MATCH(G$1,'Data_NSA'!$A:$A,0),MATCH($C126,'Data_NSA'!$1:$1,0))/INDEX('Data_NSA'!$A:$OK,MATCH($E126,'Data_NSA'!$A:$A,0),MATCH($C126,'Data_NSA'!$1:$1,0))))/(100*(INDEX('Data_NSA'!$A:$OK,MATCH(G$1,'Data_NSA'!$A:$A,0),MATCH("CUUR0000SA0",'Data_NSA'!$1:$1,0))/INDEX('Data_NSA'!$A:$OK,MATCH($E126,'Data_NSA'!$A:$A,0),MATCH("CUUR0000SA0",'Data_NSA'!$1:$1,0)))),"")</f>
        <v/>
      </c>
      <c r="H126" s="10">
        <f>IFERROR(100*($D126*(INDEX('Data_NSA'!$A:$OK,MATCH(H$1,'Data_NSA'!$A:$A,0),MATCH($C126,'Data_NSA'!$1:$1,0))/INDEX('Data_NSA'!$A:$OK,MATCH($E126,'Data_NSA'!$A:$A,0),MATCH($C126,'Data_NSA'!$1:$1,0))))/(100*(INDEX('Data_NSA'!$A:$OK,MATCH(H$1,'Data_NSA'!$A:$A,0),MATCH("CUUR0000SA0",'Data_NSA'!$1:$1,0))/INDEX('Data_NSA'!$A:$OK,MATCH($E126,'Data_NSA'!$A:$A,0),MATCH("CUUR0000SA0",'Data_NSA'!$1:$1,0)))),"")</f>
        <v/>
      </c>
      <c r="I126" s="10">
        <f>IFERROR(100*($D126*(INDEX('Data_NSA'!$A:$OK,MATCH(I$1,'Data_NSA'!$A:$A,0),MATCH($C126,'Data_NSA'!$1:$1,0))/INDEX('Data_NSA'!$A:$OK,MATCH($E126,'Data_NSA'!$A:$A,0),MATCH($C126,'Data_NSA'!$1:$1,0))))/(100*(INDEX('Data_NSA'!$A:$OK,MATCH(I$1,'Data_NSA'!$A:$A,0),MATCH("CUUR0000SA0",'Data_NSA'!$1:$1,0))/INDEX('Data_NSA'!$A:$OK,MATCH($E126,'Data_NSA'!$A:$A,0),MATCH("CUUR0000SA0",'Data_NSA'!$1:$1,0)))),"")</f>
        <v/>
      </c>
    </row>
    <row r="127">
      <c r="A127" s="3" t="inlineStr">
        <is>
          <t>SEFW</t>
        </is>
      </c>
      <c r="B127" s="3" t="inlineStr">
        <is>
          <t>Alcoholic beverages at home</t>
        </is>
      </c>
      <c r="C127" s="3" t="inlineStr">
        <is>
          <t>CUUR0000SEFW</t>
        </is>
      </c>
      <c r="D127" s="21" t="n">
        <v>0.397</v>
      </c>
      <c r="E127" s="22" t="n">
        <v>45992</v>
      </c>
      <c r="F127" s="3" t="n">
        <v>2024</v>
      </c>
      <c r="G127" s="10">
        <f>IFERROR(100*($D127*(INDEX('Data_NSA'!$A:$OK,MATCH(G$1,'Data_NSA'!$A:$A,0),MATCH($C127,'Data_NSA'!$1:$1,0))/INDEX('Data_NSA'!$A:$OK,MATCH($E127,'Data_NSA'!$A:$A,0),MATCH($C127,'Data_NSA'!$1:$1,0))))/(100*(INDEX('Data_NSA'!$A:$OK,MATCH(G$1,'Data_NSA'!$A:$A,0),MATCH("CUUR0000SA0",'Data_NSA'!$1:$1,0))/INDEX('Data_NSA'!$A:$OK,MATCH($E127,'Data_NSA'!$A:$A,0),MATCH("CUUR0000SA0",'Data_NSA'!$1:$1,0)))),"")</f>
        <v/>
      </c>
      <c r="H127" s="10">
        <f>IFERROR(100*($D127*(INDEX('Data_NSA'!$A:$OK,MATCH(H$1,'Data_NSA'!$A:$A,0),MATCH($C127,'Data_NSA'!$1:$1,0))/INDEX('Data_NSA'!$A:$OK,MATCH($E127,'Data_NSA'!$A:$A,0),MATCH($C127,'Data_NSA'!$1:$1,0))))/(100*(INDEX('Data_NSA'!$A:$OK,MATCH(H$1,'Data_NSA'!$A:$A,0),MATCH("CUUR0000SA0",'Data_NSA'!$1:$1,0))/INDEX('Data_NSA'!$A:$OK,MATCH($E127,'Data_NSA'!$A:$A,0),MATCH("CUUR0000SA0",'Data_NSA'!$1:$1,0)))),"")</f>
        <v/>
      </c>
      <c r="I127" s="10">
        <f>IFERROR(100*($D127*(INDEX('Data_NSA'!$A:$OK,MATCH(I$1,'Data_NSA'!$A:$A,0),MATCH($C127,'Data_NSA'!$1:$1,0))/INDEX('Data_NSA'!$A:$OK,MATCH($E127,'Data_NSA'!$A:$A,0),MATCH($C127,'Data_NSA'!$1:$1,0))))/(100*(INDEX('Data_NSA'!$A:$OK,MATCH(I$1,'Data_NSA'!$A:$A,0),MATCH("CUUR0000SA0",'Data_NSA'!$1:$1,0))/INDEX('Data_NSA'!$A:$OK,MATCH($E127,'Data_NSA'!$A:$A,0),MATCH("CUUR0000SA0",'Data_NSA'!$1:$1,0)))),"")</f>
        <v/>
      </c>
    </row>
    <row r="128">
      <c r="A128" s="3" t="inlineStr">
        <is>
          <t>SEFW01</t>
        </is>
      </c>
      <c r="B128" s="3" t="inlineStr">
        <is>
          <t>Beer, ale, and other malt beverages at home</t>
        </is>
      </c>
      <c r="C128" s="3" t="inlineStr">
        <is>
          <t>CUUR0000SEFW01</t>
        </is>
      </c>
      <c r="D128" s="21" t="n">
        <v>0.135</v>
      </c>
      <c r="E128" s="22" t="n">
        <v>45992</v>
      </c>
      <c r="F128" s="3" t="n">
        <v>2024</v>
      </c>
      <c r="G128" s="10">
        <f>IFERROR(100*($D128*(INDEX('Data_NSA'!$A:$OK,MATCH(G$1,'Data_NSA'!$A:$A,0),MATCH($C128,'Data_NSA'!$1:$1,0))/INDEX('Data_NSA'!$A:$OK,MATCH($E128,'Data_NSA'!$A:$A,0),MATCH($C128,'Data_NSA'!$1:$1,0))))/(100*(INDEX('Data_NSA'!$A:$OK,MATCH(G$1,'Data_NSA'!$A:$A,0),MATCH("CUUR0000SA0",'Data_NSA'!$1:$1,0))/INDEX('Data_NSA'!$A:$OK,MATCH($E128,'Data_NSA'!$A:$A,0),MATCH("CUUR0000SA0",'Data_NSA'!$1:$1,0)))),"")</f>
        <v/>
      </c>
      <c r="H128" s="10">
        <f>IFERROR(100*($D128*(INDEX('Data_NSA'!$A:$OK,MATCH(H$1,'Data_NSA'!$A:$A,0),MATCH($C128,'Data_NSA'!$1:$1,0))/INDEX('Data_NSA'!$A:$OK,MATCH($E128,'Data_NSA'!$A:$A,0),MATCH($C128,'Data_NSA'!$1:$1,0))))/(100*(INDEX('Data_NSA'!$A:$OK,MATCH(H$1,'Data_NSA'!$A:$A,0),MATCH("CUUR0000SA0",'Data_NSA'!$1:$1,0))/INDEX('Data_NSA'!$A:$OK,MATCH($E128,'Data_NSA'!$A:$A,0),MATCH("CUUR0000SA0",'Data_NSA'!$1:$1,0)))),"")</f>
        <v/>
      </c>
      <c r="I128" s="10">
        <f>IFERROR(100*($D128*(INDEX('Data_NSA'!$A:$OK,MATCH(I$1,'Data_NSA'!$A:$A,0),MATCH($C128,'Data_NSA'!$1:$1,0))/INDEX('Data_NSA'!$A:$OK,MATCH($E128,'Data_NSA'!$A:$A,0),MATCH($C128,'Data_NSA'!$1:$1,0))))/(100*(INDEX('Data_NSA'!$A:$OK,MATCH(I$1,'Data_NSA'!$A:$A,0),MATCH("CUUR0000SA0",'Data_NSA'!$1:$1,0))/INDEX('Data_NSA'!$A:$OK,MATCH($E128,'Data_NSA'!$A:$A,0),MATCH("CUUR0000SA0",'Data_NSA'!$1:$1,0)))),"")</f>
        <v/>
      </c>
    </row>
    <row r="129">
      <c r="A129" s="3" t="inlineStr">
        <is>
          <t>SEFW02</t>
        </is>
      </c>
      <c r="B129" s="3" t="inlineStr">
        <is>
          <t>Distilled spirits at home</t>
        </is>
      </c>
      <c r="C129" s="3" t="inlineStr">
        <is>
          <t>CUUR0000SEFW02</t>
        </is>
      </c>
      <c r="D129" s="21" t="n">
        <v>0.09</v>
      </c>
      <c r="E129" s="22" t="n">
        <v>45992</v>
      </c>
      <c r="F129" s="3" t="n">
        <v>2024</v>
      </c>
      <c r="G129" s="10">
        <f>IFERROR(100*($D129*(INDEX('Data_NSA'!$A:$OK,MATCH(G$1,'Data_NSA'!$A:$A,0),MATCH($C129,'Data_NSA'!$1:$1,0))/INDEX('Data_NSA'!$A:$OK,MATCH($E129,'Data_NSA'!$A:$A,0),MATCH($C129,'Data_NSA'!$1:$1,0))))/(100*(INDEX('Data_NSA'!$A:$OK,MATCH(G$1,'Data_NSA'!$A:$A,0),MATCH("CUUR0000SA0",'Data_NSA'!$1:$1,0))/INDEX('Data_NSA'!$A:$OK,MATCH($E129,'Data_NSA'!$A:$A,0),MATCH("CUUR0000SA0",'Data_NSA'!$1:$1,0)))),"")</f>
        <v/>
      </c>
      <c r="H129" s="10">
        <f>IFERROR(100*($D129*(INDEX('Data_NSA'!$A:$OK,MATCH(H$1,'Data_NSA'!$A:$A,0),MATCH($C129,'Data_NSA'!$1:$1,0))/INDEX('Data_NSA'!$A:$OK,MATCH($E129,'Data_NSA'!$A:$A,0),MATCH($C129,'Data_NSA'!$1:$1,0))))/(100*(INDEX('Data_NSA'!$A:$OK,MATCH(H$1,'Data_NSA'!$A:$A,0),MATCH("CUUR0000SA0",'Data_NSA'!$1:$1,0))/INDEX('Data_NSA'!$A:$OK,MATCH($E129,'Data_NSA'!$A:$A,0),MATCH("CUUR0000SA0",'Data_NSA'!$1:$1,0)))),"")</f>
        <v/>
      </c>
      <c r="I129" s="10">
        <f>IFERROR(100*($D129*(INDEX('Data_NSA'!$A:$OK,MATCH(I$1,'Data_NSA'!$A:$A,0),MATCH($C129,'Data_NSA'!$1:$1,0))/INDEX('Data_NSA'!$A:$OK,MATCH($E129,'Data_NSA'!$A:$A,0),MATCH($C129,'Data_NSA'!$1:$1,0))))/(100*(INDEX('Data_NSA'!$A:$OK,MATCH(I$1,'Data_NSA'!$A:$A,0),MATCH("CUUR0000SA0",'Data_NSA'!$1:$1,0))/INDEX('Data_NSA'!$A:$OK,MATCH($E129,'Data_NSA'!$A:$A,0),MATCH("CUUR0000SA0",'Data_NSA'!$1:$1,0)))),"")</f>
        <v/>
      </c>
    </row>
    <row r="130">
      <c r="A130" s="3" t="inlineStr">
        <is>
          <t>SS20021</t>
        </is>
      </c>
      <c r="B130" s="3" t="inlineStr">
        <is>
          <t>Whiskey at home</t>
        </is>
      </c>
      <c r="C130" s="3" t="inlineStr">
        <is>
          <t>CUUR0000SS20021</t>
        </is>
      </c>
      <c r="D130" s="21" t="n"/>
      <c r="E130" s="22" t="n">
        <v>45992</v>
      </c>
      <c r="F130" s="3" t="n">
        <v>2024</v>
      </c>
      <c r="G130" s="10">
        <f>IFERROR(100*($D130*(INDEX('Data_NSA'!$A:$OK,MATCH(G$1,'Data_NSA'!$A:$A,0),MATCH($C130,'Data_NSA'!$1:$1,0))/INDEX('Data_NSA'!$A:$OK,MATCH($E130,'Data_NSA'!$A:$A,0),MATCH($C130,'Data_NSA'!$1:$1,0))))/(100*(INDEX('Data_NSA'!$A:$OK,MATCH(G$1,'Data_NSA'!$A:$A,0),MATCH("CUUR0000SA0",'Data_NSA'!$1:$1,0))/INDEX('Data_NSA'!$A:$OK,MATCH($E130,'Data_NSA'!$A:$A,0),MATCH("CUUR0000SA0",'Data_NSA'!$1:$1,0)))),"")</f>
        <v/>
      </c>
      <c r="H130" s="10">
        <f>IFERROR(100*($D130*(INDEX('Data_NSA'!$A:$OK,MATCH(H$1,'Data_NSA'!$A:$A,0),MATCH($C130,'Data_NSA'!$1:$1,0))/INDEX('Data_NSA'!$A:$OK,MATCH($E130,'Data_NSA'!$A:$A,0),MATCH($C130,'Data_NSA'!$1:$1,0))))/(100*(INDEX('Data_NSA'!$A:$OK,MATCH(H$1,'Data_NSA'!$A:$A,0),MATCH("CUUR0000SA0",'Data_NSA'!$1:$1,0))/INDEX('Data_NSA'!$A:$OK,MATCH($E130,'Data_NSA'!$A:$A,0),MATCH("CUUR0000SA0",'Data_NSA'!$1:$1,0)))),"")</f>
        <v/>
      </c>
      <c r="I130" s="10">
        <f>IFERROR(100*($D130*(INDEX('Data_NSA'!$A:$OK,MATCH(I$1,'Data_NSA'!$A:$A,0),MATCH($C130,'Data_NSA'!$1:$1,0))/INDEX('Data_NSA'!$A:$OK,MATCH($E130,'Data_NSA'!$A:$A,0),MATCH($C130,'Data_NSA'!$1:$1,0))))/(100*(INDEX('Data_NSA'!$A:$OK,MATCH(I$1,'Data_NSA'!$A:$A,0),MATCH("CUUR0000SA0",'Data_NSA'!$1:$1,0))/INDEX('Data_NSA'!$A:$OK,MATCH($E130,'Data_NSA'!$A:$A,0),MATCH("CUUR0000SA0",'Data_NSA'!$1:$1,0)))),"")</f>
        <v/>
      </c>
    </row>
    <row r="131">
      <c r="A131" s="3" t="inlineStr">
        <is>
          <t>SS20022</t>
        </is>
      </c>
      <c r="B131" s="3" t="inlineStr">
        <is>
          <t>Distilled spirits, excluding whiskey, at home</t>
        </is>
      </c>
      <c r="C131" s="3" t="inlineStr">
        <is>
          <t>CUUR0000SS20022</t>
        </is>
      </c>
      <c r="D131" s="21" t="n"/>
      <c r="E131" s="22" t="n">
        <v>45992</v>
      </c>
      <c r="F131" s="3" t="n">
        <v>2024</v>
      </c>
      <c r="G131" s="10">
        <f>IFERROR(100*($D131*(INDEX('Data_NSA'!$A:$OK,MATCH(G$1,'Data_NSA'!$A:$A,0),MATCH($C131,'Data_NSA'!$1:$1,0))/INDEX('Data_NSA'!$A:$OK,MATCH($E131,'Data_NSA'!$A:$A,0),MATCH($C131,'Data_NSA'!$1:$1,0))))/(100*(INDEX('Data_NSA'!$A:$OK,MATCH(G$1,'Data_NSA'!$A:$A,0),MATCH("CUUR0000SA0",'Data_NSA'!$1:$1,0))/INDEX('Data_NSA'!$A:$OK,MATCH($E131,'Data_NSA'!$A:$A,0),MATCH("CUUR0000SA0",'Data_NSA'!$1:$1,0)))),"")</f>
        <v/>
      </c>
      <c r="H131" s="10">
        <f>IFERROR(100*($D131*(INDEX('Data_NSA'!$A:$OK,MATCH(H$1,'Data_NSA'!$A:$A,0),MATCH($C131,'Data_NSA'!$1:$1,0))/INDEX('Data_NSA'!$A:$OK,MATCH($E131,'Data_NSA'!$A:$A,0),MATCH($C131,'Data_NSA'!$1:$1,0))))/(100*(INDEX('Data_NSA'!$A:$OK,MATCH(H$1,'Data_NSA'!$A:$A,0),MATCH("CUUR0000SA0",'Data_NSA'!$1:$1,0))/INDEX('Data_NSA'!$A:$OK,MATCH($E131,'Data_NSA'!$A:$A,0),MATCH("CUUR0000SA0",'Data_NSA'!$1:$1,0)))),"")</f>
        <v/>
      </c>
      <c r="I131" s="10">
        <f>IFERROR(100*($D131*(INDEX('Data_NSA'!$A:$OK,MATCH(I$1,'Data_NSA'!$A:$A,0),MATCH($C131,'Data_NSA'!$1:$1,0))/INDEX('Data_NSA'!$A:$OK,MATCH($E131,'Data_NSA'!$A:$A,0),MATCH($C131,'Data_NSA'!$1:$1,0))))/(100*(INDEX('Data_NSA'!$A:$OK,MATCH(I$1,'Data_NSA'!$A:$A,0),MATCH("CUUR0000SA0",'Data_NSA'!$1:$1,0))/INDEX('Data_NSA'!$A:$OK,MATCH($E131,'Data_NSA'!$A:$A,0),MATCH("CUUR0000SA0",'Data_NSA'!$1:$1,0)))),"")</f>
        <v/>
      </c>
    </row>
    <row r="132">
      <c r="A132" s="3" t="inlineStr">
        <is>
          <t>SEFW03</t>
        </is>
      </c>
      <c r="B132" s="3" t="inlineStr">
        <is>
          <t>Wine at home</t>
        </is>
      </c>
      <c r="C132" s="3" t="inlineStr">
        <is>
          <t>CUUR0000SEFW03</t>
        </is>
      </c>
      <c r="D132" s="21" t="n">
        <v>0.172</v>
      </c>
      <c r="E132" s="22" t="n">
        <v>45992</v>
      </c>
      <c r="F132" s="3" t="n">
        <v>2024</v>
      </c>
      <c r="G132" s="10">
        <f>IFERROR(100*($D132*(INDEX('Data_NSA'!$A:$OK,MATCH(G$1,'Data_NSA'!$A:$A,0),MATCH($C132,'Data_NSA'!$1:$1,0))/INDEX('Data_NSA'!$A:$OK,MATCH($E132,'Data_NSA'!$A:$A,0),MATCH($C132,'Data_NSA'!$1:$1,0))))/(100*(INDEX('Data_NSA'!$A:$OK,MATCH(G$1,'Data_NSA'!$A:$A,0),MATCH("CUUR0000SA0",'Data_NSA'!$1:$1,0))/INDEX('Data_NSA'!$A:$OK,MATCH($E132,'Data_NSA'!$A:$A,0),MATCH("CUUR0000SA0",'Data_NSA'!$1:$1,0)))),"")</f>
        <v/>
      </c>
      <c r="H132" s="10">
        <f>IFERROR(100*($D132*(INDEX('Data_NSA'!$A:$OK,MATCH(H$1,'Data_NSA'!$A:$A,0),MATCH($C132,'Data_NSA'!$1:$1,0))/INDEX('Data_NSA'!$A:$OK,MATCH($E132,'Data_NSA'!$A:$A,0),MATCH($C132,'Data_NSA'!$1:$1,0))))/(100*(INDEX('Data_NSA'!$A:$OK,MATCH(H$1,'Data_NSA'!$A:$A,0),MATCH("CUUR0000SA0",'Data_NSA'!$1:$1,0))/INDEX('Data_NSA'!$A:$OK,MATCH($E132,'Data_NSA'!$A:$A,0),MATCH("CUUR0000SA0",'Data_NSA'!$1:$1,0)))),"")</f>
        <v/>
      </c>
      <c r="I132" s="10">
        <f>IFERROR(100*($D132*(INDEX('Data_NSA'!$A:$OK,MATCH(I$1,'Data_NSA'!$A:$A,0),MATCH($C132,'Data_NSA'!$1:$1,0))/INDEX('Data_NSA'!$A:$OK,MATCH($E132,'Data_NSA'!$A:$A,0),MATCH($C132,'Data_NSA'!$1:$1,0))))/(100*(INDEX('Data_NSA'!$A:$OK,MATCH(I$1,'Data_NSA'!$A:$A,0),MATCH("CUUR0000SA0",'Data_NSA'!$1:$1,0))/INDEX('Data_NSA'!$A:$OK,MATCH($E132,'Data_NSA'!$A:$A,0),MATCH("CUUR0000SA0",'Data_NSA'!$1:$1,0)))),"")</f>
        <v/>
      </c>
    </row>
    <row r="133">
      <c r="A133" s="3" t="inlineStr">
        <is>
          <t>SEFX</t>
        </is>
      </c>
      <c r="B133" s="3" t="inlineStr">
        <is>
          <t>Alcoholic beverages away from home</t>
        </is>
      </c>
      <c r="C133" s="3" t="inlineStr">
        <is>
          <t>CUUR0000SEFX</t>
        </is>
      </c>
      <c r="D133" s="21" t="n">
        <v>0.443</v>
      </c>
      <c r="E133" s="22" t="n">
        <v>45992</v>
      </c>
      <c r="F133" s="3" t="n">
        <v>2024</v>
      </c>
      <c r="G133" s="10">
        <f>IFERROR(100*($D133*(INDEX('Data_NSA'!$A:$OK,MATCH(G$1,'Data_NSA'!$A:$A,0),MATCH($C133,'Data_NSA'!$1:$1,0))/INDEX('Data_NSA'!$A:$OK,MATCH($E133,'Data_NSA'!$A:$A,0),MATCH($C133,'Data_NSA'!$1:$1,0))))/(100*(INDEX('Data_NSA'!$A:$OK,MATCH(G$1,'Data_NSA'!$A:$A,0),MATCH("CUUR0000SA0",'Data_NSA'!$1:$1,0))/INDEX('Data_NSA'!$A:$OK,MATCH($E133,'Data_NSA'!$A:$A,0),MATCH("CUUR0000SA0",'Data_NSA'!$1:$1,0)))),"")</f>
        <v/>
      </c>
      <c r="H133" s="10">
        <f>IFERROR(100*($D133*(INDEX('Data_NSA'!$A:$OK,MATCH(H$1,'Data_NSA'!$A:$A,0),MATCH($C133,'Data_NSA'!$1:$1,0))/INDEX('Data_NSA'!$A:$OK,MATCH($E133,'Data_NSA'!$A:$A,0),MATCH($C133,'Data_NSA'!$1:$1,0))))/(100*(INDEX('Data_NSA'!$A:$OK,MATCH(H$1,'Data_NSA'!$A:$A,0),MATCH("CUUR0000SA0",'Data_NSA'!$1:$1,0))/INDEX('Data_NSA'!$A:$OK,MATCH($E133,'Data_NSA'!$A:$A,0),MATCH("CUUR0000SA0",'Data_NSA'!$1:$1,0)))),"")</f>
        <v/>
      </c>
      <c r="I133" s="10">
        <f>IFERROR(100*($D133*(INDEX('Data_NSA'!$A:$OK,MATCH(I$1,'Data_NSA'!$A:$A,0),MATCH($C133,'Data_NSA'!$1:$1,0))/INDEX('Data_NSA'!$A:$OK,MATCH($E133,'Data_NSA'!$A:$A,0),MATCH($C133,'Data_NSA'!$1:$1,0))))/(100*(INDEX('Data_NSA'!$A:$OK,MATCH(I$1,'Data_NSA'!$A:$A,0),MATCH("CUUR0000SA0",'Data_NSA'!$1:$1,0))/INDEX('Data_NSA'!$A:$OK,MATCH($E133,'Data_NSA'!$A:$A,0),MATCH("CUUR0000SA0",'Data_NSA'!$1:$1,0)))),"")</f>
        <v/>
      </c>
    </row>
    <row r="134">
      <c r="A134" s="3" t="inlineStr">
        <is>
          <t>SS20051</t>
        </is>
      </c>
      <c r="B134" s="3" t="inlineStr">
        <is>
          <t>Beer, ale, and other malt beverages away from home</t>
        </is>
      </c>
      <c r="C134" s="3" t="inlineStr">
        <is>
          <t>CUUR0000SS20051</t>
        </is>
      </c>
      <c r="D134" s="21" t="n"/>
      <c r="E134" s="22" t="n">
        <v>45992</v>
      </c>
      <c r="F134" s="3" t="n">
        <v>2024</v>
      </c>
      <c r="G134" s="10">
        <f>IFERROR(100*($D134*(INDEX('Data_NSA'!$A:$OK,MATCH(G$1,'Data_NSA'!$A:$A,0),MATCH($C134,'Data_NSA'!$1:$1,0))/INDEX('Data_NSA'!$A:$OK,MATCH($E134,'Data_NSA'!$A:$A,0),MATCH($C134,'Data_NSA'!$1:$1,0))))/(100*(INDEX('Data_NSA'!$A:$OK,MATCH(G$1,'Data_NSA'!$A:$A,0),MATCH("CUUR0000SA0",'Data_NSA'!$1:$1,0))/INDEX('Data_NSA'!$A:$OK,MATCH($E134,'Data_NSA'!$A:$A,0),MATCH("CUUR0000SA0",'Data_NSA'!$1:$1,0)))),"")</f>
        <v/>
      </c>
      <c r="H134" s="10">
        <f>IFERROR(100*($D134*(INDEX('Data_NSA'!$A:$OK,MATCH(H$1,'Data_NSA'!$A:$A,0),MATCH($C134,'Data_NSA'!$1:$1,0))/INDEX('Data_NSA'!$A:$OK,MATCH($E134,'Data_NSA'!$A:$A,0),MATCH($C134,'Data_NSA'!$1:$1,0))))/(100*(INDEX('Data_NSA'!$A:$OK,MATCH(H$1,'Data_NSA'!$A:$A,0),MATCH("CUUR0000SA0",'Data_NSA'!$1:$1,0))/INDEX('Data_NSA'!$A:$OK,MATCH($E134,'Data_NSA'!$A:$A,0),MATCH("CUUR0000SA0",'Data_NSA'!$1:$1,0)))),"")</f>
        <v/>
      </c>
      <c r="I134" s="10">
        <f>IFERROR(100*($D134*(INDEX('Data_NSA'!$A:$OK,MATCH(I$1,'Data_NSA'!$A:$A,0),MATCH($C134,'Data_NSA'!$1:$1,0))/INDEX('Data_NSA'!$A:$OK,MATCH($E134,'Data_NSA'!$A:$A,0),MATCH($C134,'Data_NSA'!$1:$1,0))))/(100*(INDEX('Data_NSA'!$A:$OK,MATCH(I$1,'Data_NSA'!$A:$A,0),MATCH("CUUR0000SA0",'Data_NSA'!$1:$1,0))/INDEX('Data_NSA'!$A:$OK,MATCH($E134,'Data_NSA'!$A:$A,0),MATCH("CUUR0000SA0",'Data_NSA'!$1:$1,0)))),"")</f>
        <v/>
      </c>
    </row>
    <row r="135">
      <c r="A135" s="3" t="inlineStr">
        <is>
          <t>SS20052</t>
        </is>
      </c>
      <c r="B135" s="3" t="inlineStr">
        <is>
          <t>Wine away from home</t>
        </is>
      </c>
      <c r="C135" s="3" t="inlineStr">
        <is>
          <t>CUUR0000SS20052</t>
        </is>
      </c>
      <c r="D135" s="21" t="n"/>
      <c r="E135" s="22" t="n">
        <v>45992</v>
      </c>
      <c r="F135" s="3" t="n">
        <v>2024</v>
      </c>
      <c r="G135" s="10">
        <f>IFERROR(100*($D135*(INDEX('Data_NSA'!$A:$OK,MATCH(G$1,'Data_NSA'!$A:$A,0),MATCH($C135,'Data_NSA'!$1:$1,0))/INDEX('Data_NSA'!$A:$OK,MATCH($E135,'Data_NSA'!$A:$A,0),MATCH($C135,'Data_NSA'!$1:$1,0))))/(100*(INDEX('Data_NSA'!$A:$OK,MATCH(G$1,'Data_NSA'!$A:$A,0),MATCH("CUUR0000SA0",'Data_NSA'!$1:$1,0))/INDEX('Data_NSA'!$A:$OK,MATCH($E135,'Data_NSA'!$A:$A,0),MATCH("CUUR0000SA0",'Data_NSA'!$1:$1,0)))),"")</f>
        <v/>
      </c>
      <c r="H135" s="10">
        <f>IFERROR(100*($D135*(INDEX('Data_NSA'!$A:$OK,MATCH(H$1,'Data_NSA'!$A:$A,0),MATCH($C135,'Data_NSA'!$1:$1,0))/INDEX('Data_NSA'!$A:$OK,MATCH($E135,'Data_NSA'!$A:$A,0),MATCH($C135,'Data_NSA'!$1:$1,0))))/(100*(INDEX('Data_NSA'!$A:$OK,MATCH(H$1,'Data_NSA'!$A:$A,0),MATCH("CUUR0000SA0",'Data_NSA'!$1:$1,0))/INDEX('Data_NSA'!$A:$OK,MATCH($E135,'Data_NSA'!$A:$A,0),MATCH("CUUR0000SA0",'Data_NSA'!$1:$1,0)))),"")</f>
        <v/>
      </c>
      <c r="I135" s="10">
        <f>IFERROR(100*($D135*(INDEX('Data_NSA'!$A:$OK,MATCH(I$1,'Data_NSA'!$A:$A,0),MATCH($C135,'Data_NSA'!$1:$1,0))/INDEX('Data_NSA'!$A:$OK,MATCH($E135,'Data_NSA'!$A:$A,0),MATCH($C135,'Data_NSA'!$1:$1,0))))/(100*(INDEX('Data_NSA'!$A:$OK,MATCH(I$1,'Data_NSA'!$A:$A,0),MATCH("CUUR0000SA0",'Data_NSA'!$1:$1,0))/INDEX('Data_NSA'!$A:$OK,MATCH($E135,'Data_NSA'!$A:$A,0),MATCH("CUUR0000SA0",'Data_NSA'!$1:$1,0)))),"")</f>
        <v/>
      </c>
    </row>
    <row r="136">
      <c r="A136" s="3" t="inlineStr">
        <is>
          <t>SS20053</t>
        </is>
      </c>
      <c r="B136" s="3" t="inlineStr">
        <is>
          <t>Distilled spirits away from home</t>
        </is>
      </c>
      <c r="C136" s="3" t="inlineStr">
        <is>
          <t>CUUR0000SS20053</t>
        </is>
      </c>
      <c r="D136" s="21" t="n"/>
      <c r="E136" s="22" t="n">
        <v>45992</v>
      </c>
      <c r="F136" s="3" t="n">
        <v>2024</v>
      </c>
      <c r="G136" s="10">
        <f>IFERROR(100*($D136*(INDEX('Data_NSA'!$A:$OK,MATCH(G$1,'Data_NSA'!$A:$A,0),MATCH($C136,'Data_NSA'!$1:$1,0))/INDEX('Data_NSA'!$A:$OK,MATCH($E136,'Data_NSA'!$A:$A,0),MATCH($C136,'Data_NSA'!$1:$1,0))))/(100*(INDEX('Data_NSA'!$A:$OK,MATCH(G$1,'Data_NSA'!$A:$A,0),MATCH("CUUR0000SA0",'Data_NSA'!$1:$1,0))/INDEX('Data_NSA'!$A:$OK,MATCH($E136,'Data_NSA'!$A:$A,0),MATCH("CUUR0000SA0",'Data_NSA'!$1:$1,0)))),"")</f>
        <v/>
      </c>
      <c r="H136" s="10">
        <f>IFERROR(100*($D136*(INDEX('Data_NSA'!$A:$OK,MATCH(H$1,'Data_NSA'!$A:$A,0),MATCH($C136,'Data_NSA'!$1:$1,0))/INDEX('Data_NSA'!$A:$OK,MATCH($E136,'Data_NSA'!$A:$A,0),MATCH($C136,'Data_NSA'!$1:$1,0))))/(100*(INDEX('Data_NSA'!$A:$OK,MATCH(H$1,'Data_NSA'!$A:$A,0),MATCH("CUUR0000SA0",'Data_NSA'!$1:$1,0))/INDEX('Data_NSA'!$A:$OK,MATCH($E136,'Data_NSA'!$A:$A,0),MATCH("CUUR0000SA0",'Data_NSA'!$1:$1,0)))),"")</f>
        <v/>
      </c>
      <c r="I136" s="10">
        <f>IFERROR(100*($D136*(INDEX('Data_NSA'!$A:$OK,MATCH(I$1,'Data_NSA'!$A:$A,0),MATCH($C136,'Data_NSA'!$1:$1,0))/INDEX('Data_NSA'!$A:$OK,MATCH($E136,'Data_NSA'!$A:$A,0),MATCH($C136,'Data_NSA'!$1:$1,0))))/(100*(INDEX('Data_NSA'!$A:$OK,MATCH(I$1,'Data_NSA'!$A:$A,0),MATCH("CUUR0000SA0",'Data_NSA'!$1:$1,0))/INDEX('Data_NSA'!$A:$OK,MATCH($E136,'Data_NSA'!$A:$A,0),MATCH("CUUR0000SA0",'Data_NSA'!$1:$1,0)))),"")</f>
        <v/>
      </c>
    </row>
    <row r="137">
      <c r="A137" s="3" t="inlineStr">
        <is>
          <t>SAH</t>
        </is>
      </c>
      <c r="B137" s="3" t="inlineStr">
        <is>
          <t>Housing</t>
        </is>
      </c>
      <c r="C137" s="3" t="inlineStr">
        <is>
          <t>CUUR0000SAH</t>
        </is>
      </c>
      <c r="D137" s="21" t="n">
        <v>44.469</v>
      </c>
      <c r="E137" s="22" t="n">
        <v>45992</v>
      </c>
      <c r="F137" s="3" t="n">
        <v>2024</v>
      </c>
      <c r="G137" s="10">
        <f>IFERROR(100*($D137*(INDEX('Data_NSA'!$A:$OK,MATCH(G$1,'Data_NSA'!$A:$A,0),MATCH($C137,'Data_NSA'!$1:$1,0))/INDEX('Data_NSA'!$A:$OK,MATCH($E137,'Data_NSA'!$A:$A,0),MATCH($C137,'Data_NSA'!$1:$1,0))))/(100*(INDEX('Data_NSA'!$A:$OK,MATCH(G$1,'Data_NSA'!$A:$A,0),MATCH("CUUR0000SA0",'Data_NSA'!$1:$1,0))/INDEX('Data_NSA'!$A:$OK,MATCH($E137,'Data_NSA'!$A:$A,0),MATCH("CUUR0000SA0",'Data_NSA'!$1:$1,0)))),"")</f>
        <v/>
      </c>
      <c r="H137" s="10">
        <f>IFERROR(100*($D137*(INDEX('Data_NSA'!$A:$OK,MATCH(H$1,'Data_NSA'!$A:$A,0),MATCH($C137,'Data_NSA'!$1:$1,0))/INDEX('Data_NSA'!$A:$OK,MATCH($E137,'Data_NSA'!$A:$A,0),MATCH($C137,'Data_NSA'!$1:$1,0))))/(100*(INDEX('Data_NSA'!$A:$OK,MATCH(H$1,'Data_NSA'!$A:$A,0),MATCH("CUUR0000SA0",'Data_NSA'!$1:$1,0))/INDEX('Data_NSA'!$A:$OK,MATCH($E137,'Data_NSA'!$A:$A,0),MATCH("CUUR0000SA0",'Data_NSA'!$1:$1,0)))),"")</f>
        <v/>
      </c>
      <c r="I137" s="10">
        <f>IFERROR(100*($D137*(INDEX('Data_NSA'!$A:$OK,MATCH(I$1,'Data_NSA'!$A:$A,0),MATCH($C137,'Data_NSA'!$1:$1,0))/INDEX('Data_NSA'!$A:$OK,MATCH($E137,'Data_NSA'!$A:$A,0),MATCH($C137,'Data_NSA'!$1:$1,0))))/(100*(INDEX('Data_NSA'!$A:$OK,MATCH(I$1,'Data_NSA'!$A:$A,0),MATCH("CUUR0000SA0",'Data_NSA'!$1:$1,0))/INDEX('Data_NSA'!$A:$OK,MATCH($E137,'Data_NSA'!$A:$A,0),MATCH("CUUR0000SA0",'Data_NSA'!$1:$1,0)))),"")</f>
        <v/>
      </c>
    </row>
    <row r="138">
      <c r="A138" s="3" t="inlineStr">
        <is>
          <t>SAH1</t>
        </is>
      </c>
      <c r="B138" s="3" t="inlineStr">
        <is>
          <t>Shelter</t>
        </is>
      </c>
      <c r="C138" s="3" t="inlineStr">
        <is>
          <t>CUUR0000SAH1</t>
        </is>
      </c>
      <c r="D138" s="21" t="n">
        <v>35.625</v>
      </c>
      <c r="E138" s="22" t="n">
        <v>45992</v>
      </c>
      <c r="F138" s="3" t="n">
        <v>2024</v>
      </c>
      <c r="G138" s="10">
        <f>IFERROR(100*($D138*(INDEX('Data_NSA'!$A:$OK,MATCH(G$1,'Data_NSA'!$A:$A,0),MATCH($C138,'Data_NSA'!$1:$1,0))/INDEX('Data_NSA'!$A:$OK,MATCH($E138,'Data_NSA'!$A:$A,0),MATCH($C138,'Data_NSA'!$1:$1,0))))/(100*(INDEX('Data_NSA'!$A:$OK,MATCH(G$1,'Data_NSA'!$A:$A,0),MATCH("CUUR0000SA0",'Data_NSA'!$1:$1,0))/INDEX('Data_NSA'!$A:$OK,MATCH($E138,'Data_NSA'!$A:$A,0),MATCH("CUUR0000SA0",'Data_NSA'!$1:$1,0)))),"")</f>
        <v/>
      </c>
      <c r="H138" s="10">
        <f>IFERROR(100*($D138*(INDEX('Data_NSA'!$A:$OK,MATCH(H$1,'Data_NSA'!$A:$A,0),MATCH($C138,'Data_NSA'!$1:$1,0))/INDEX('Data_NSA'!$A:$OK,MATCH($E138,'Data_NSA'!$A:$A,0),MATCH($C138,'Data_NSA'!$1:$1,0))))/(100*(INDEX('Data_NSA'!$A:$OK,MATCH(H$1,'Data_NSA'!$A:$A,0),MATCH("CUUR0000SA0",'Data_NSA'!$1:$1,0))/INDEX('Data_NSA'!$A:$OK,MATCH($E138,'Data_NSA'!$A:$A,0),MATCH("CUUR0000SA0",'Data_NSA'!$1:$1,0)))),"")</f>
        <v/>
      </c>
      <c r="I138" s="10">
        <f>IFERROR(100*($D138*(INDEX('Data_NSA'!$A:$OK,MATCH(I$1,'Data_NSA'!$A:$A,0),MATCH($C138,'Data_NSA'!$1:$1,0))/INDEX('Data_NSA'!$A:$OK,MATCH($E138,'Data_NSA'!$A:$A,0),MATCH($C138,'Data_NSA'!$1:$1,0))))/(100*(INDEX('Data_NSA'!$A:$OK,MATCH(I$1,'Data_NSA'!$A:$A,0),MATCH("CUUR0000SA0",'Data_NSA'!$1:$1,0))/INDEX('Data_NSA'!$A:$OK,MATCH($E138,'Data_NSA'!$A:$A,0),MATCH("CUUR0000SA0",'Data_NSA'!$1:$1,0)))),"")</f>
        <v/>
      </c>
    </row>
    <row r="139">
      <c r="A139" s="3" t="inlineStr">
        <is>
          <t>SEHA</t>
        </is>
      </c>
      <c r="B139" s="3" t="inlineStr">
        <is>
          <t>Rent of primary residence</t>
        </is>
      </c>
      <c r="C139" s="3" t="inlineStr">
        <is>
          <t>CUUR0000SEHA</t>
        </is>
      </c>
      <c r="D139" s="21" t="n">
        <v>7.84</v>
      </c>
      <c r="E139" s="22" t="n">
        <v>45992</v>
      </c>
      <c r="F139" s="3" t="n">
        <v>2024</v>
      </c>
      <c r="G139" s="10">
        <f>IFERROR(100*($D139*(INDEX('Data_NSA'!$A:$OK,MATCH(G$1,'Data_NSA'!$A:$A,0),MATCH($C139,'Data_NSA'!$1:$1,0))/INDEX('Data_NSA'!$A:$OK,MATCH($E139,'Data_NSA'!$A:$A,0),MATCH($C139,'Data_NSA'!$1:$1,0))))/(100*(INDEX('Data_NSA'!$A:$OK,MATCH(G$1,'Data_NSA'!$A:$A,0),MATCH("CUUR0000SA0",'Data_NSA'!$1:$1,0))/INDEX('Data_NSA'!$A:$OK,MATCH($E139,'Data_NSA'!$A:$A,0),MATCH("CUUR0000SA0",'Data_NSA'!$1:$1,0)))),"")</f>
        <v/>
      </c>
      <c r="H139" s="10">
        <f>IFERROR(100*($D139*(INDEX('Data_NSA'!$A:$OK,MATCH(H$1,'Data_NSA'!$A:$A,0),MATCH($C139,'Data_NSA'!$1:$1,0))/INDEX('Data_NSA'!$A:$OK,MATCH($E139,'Data_NSA'!$A:$A,0),MATCH($C139,'Data_NSA'!$1:$1,0))))/(100*(INDEX('Data_NSA'!$A:$OK,MATCH(H$1,'Data_NSA'!$A:$A,0),MATCH("CUUR0000SA0",'Data_NSA'!$1:$1,0))/INDEX('Data_NSA'!$A:$OK,MATCH($E139,'Data_NSA'!$A:$A,0),MATCH("CUUR0000SA0",'Data_NSA'!$1:$1,0)))),"")</f>
        <v/>
      </c>
      <c r="I139" s="10">
        <f>IFERROR(100*($D139*(INDEX('Data_NSA'!$A:$OK,MATCH(I$1,'Data_NSA'!$A:$A,0),MATCH($C139,'Data_NSA'!$1:$1,0))/INDEX('Data_NSA'!$A:$OK,MATCH($E139,'Data_NSA'!$A:$A,0),MATCH($C139,'Data_NSA'!$1:$1,0))))/(100*(INDEX('Data_NSA'!$A:$OK,MATCH(I$1,'Data_NSA'!$A:$A,0),MATCH("CUUR0000SA0",'Data_NSA'!$1:$1,0))/INDEX('Data_NSA'!$A:$OK,MATCH($E139,'Data_NSA'!$A:$A,0),MATCH("CUUR0000SA0",'Data_NSA'!$1:$1,0)))),"")</f>
        <v/>
      </c>
    </row>
    <row r="140">
      <c r="A140" s="3" t="inlineStr">
        <is>
          <t>SEHB</t>
        </is>
      </c>
      <c r="B140" s="3" t="inlineStr">
        <is>
          <t>Lodging away from home</t>
        </is>
      </c>
      <c r="C140" s="3" t="inlineStr">
        <is>
          <t>CUUR0000SEHB</t>
        </is>
      </c>
      <c r="D140" s="21" t="n">
        <v>1.289</v>
      </c>
      <c r="E140" s="22" t="n">
        <v>45992</v>
      </c>
      <c r="F140" s="3" t="n">
        <v>2024</v>
      </c>
      <c r="G140" s="10">
        <f>IFERROR(100*($D140*(INDEX('Data_NSA'!$A:$OK,MATCH(G$1,'Data_NSA'!$A:$A,0),MATCH($C140,'Data_NSA'!$1:$1,0))/INDEX('Data_NSA'!$A:$OK,MATCH($E140,'Data_NSA'!$A:$A,0),MATCH($C140,'Data_NSA'!$1:$1,0))))/(100*(INDEX('Data_NSA'!$A:$OK,MATCH(G$1,'Data_NSA'!$A:$A,0),MATCH("CUUR0000SA0",'Data_NSA'!$1:$1,0))/INDEX('Data_NSA'!$A:$OK,MATCH($E140,'Data_NSA'!$A:$A,0),MATCH("CUUR0000SA0",'Data_NSA'!$1:$1,0)))),"")</f>
        <v/>
      </c>
      <c r="H140" s="10">
        <f>IFERROR(100*($D140*(INDEX('Data_NSA'!$A:$OK,MATCH(H$1,'Data_NSA'!$A:$A,0),MATCH($C140,'Data_NSA'!$1:$1,0))/INDEX('Data_NSA'!$A:$OK,MATCH($E140,'Data_NSA'!$A:$A,0),MATCH($C140,'Data_NSA'!$1:$1,0))))/(100*(INDEX('Data_NSA'!$A:$OK,MATCH(H$1,'Data_NSA'!$A:$A,0),MATCH("CUUR0000SA0",'Data_NSA'!$1:$1,0))/INDEX('Data_NSA'!$A:$OK,MATCH($E140,'Data_NSA'!$A:$A,0),MATCH("CUUR0000SA0",'Data_NSA'!$1:$1,0)))),"")</f>
        <v/>
      </c>
      <c r="I140" s="10">
        <f>IFERROR(100*($D140*(INDEX('Data_NSA'!$A:$OK,MATCH(I$1,'Data_NSA'!$A:$A,0),MATCH($C140,'Data_NSA'!$1:$1,0))/INDEX('Data_NSA'!$A:$OK,MATCH($E140,'Data_NSA'!$A:$A,0),MATCH($C140,'Data_NSA'!$1:$1,0))))/(100*(INDEX('Data_NSA'!$A:$OK,MATCH(I$1,'Data_NSA'!$A:$A,0),MATCH("CUUR0000SA0",'Data_NSA'!$1:$1,0))/INDEX('Data_NSA'!$A:$OK,MATCH($E140,'Data_NSA'!$A:$A,0),MATCH("CUUR0000SA0",'Data_NSA'!$1:$1,0)))),"")</f>
        <v/>
      </c>
    </row>
    <row r="141">
      <c r="A141" s="3" t="inlineStr">
        <is>
          <t>SEHB01</t>
        </is>
      </c>
      <c r="B141" s="3" t="inlineStr">
        <is>
          <t>Lodging while at school</t>
        </is>
      </c>
      <c r="C141" s="3" t="inlineStr">
        <is>
          <t>CUUR0000SEHB01</t>
        </is>
      </c>
      <c r="D141" s="21" t="n"/>
      <c r="E141" s="22" t="n">
        <v>45992</v>
      </c>
      <c r="F141" s="3" t="n">
        <v>2024</v>
      </c>
      <c r="G141" s="10">
        <f>IFERROR(100*($D141*(INDEX('Data_NSA'!$A:$OK,MATCH(G$1,'Data_NSA'!$A:$A,0),MATCH($C141,'Data_NSA'!$1:$1,0))/INDEX('Data_NSA'!$A:$OK,MATCH($E141,'Data_NSA'!$A:$A,0),MATCH($C141,'Data_NSA'!$1:$1,0))))/(100*(INDEX('Data_NSA'!$A:$OK,MATCH(G$1,'Data_NSA'!$A:$A,0),MATCH("CUUR0000SA0",'Data_NSA'!$1:$1,0))/INDEX('Data_NSA'!$A:$OK,MATCH($E141,'Data_NSA'!$A:$A,0),MATCH("CUUR0000SA0",'Data_NSA'!$1:$1,0)))),"")</f>
        <v/>
      </c>
      <c r="H141" s="10">
        <f>IFERROR(100*($D141*(INDEX('Data_NSA'!$A:$OK,MATCH(H$1,'Data_NSA'!$A:$A,0),MATCH($C141,'Data_NSA'!$1:$1,0))/INDEX('Data_NSA'!$A:$OK,MATCH($E141,'Data_NSA'!$A:$A,0),MATCH($C141,'Data_NSA'!$1:$1,0))))/(100*(INDEX('Data_NSA'!$A:$OK,MATCH(H$1,'Data_NSA'!$A:$A,0),MATCH("CUUR0000SA0",'Data_NSA'!$1:$1,0))/INDEX('Data_NSA'!$A:$OK,MATCH($E141,'Data_NSA'!$A:$A,0),MATCH("CUUR0000SA0",'Data_NSA'!$1:$1,0)))),"")</f>
        <v/>
      </c>
      <c r="I141" s="10">
        <f>IFERROR(100*($D141*(INDEX('Data_NSA'!$A:$OK,MATCH(I$1,'Data_NSA'!$A:$A,0),MATCH($C141,'Data_NSA'!$1:$1,0))/INDEX('Data_NSA'!$A:$OK,MATCH($E141,'Data_NSA'!$A:$A,0),MATCH($C141,'Data_NSA'!$1:$1,0))))/(100*(INDEX('Data_NSA'!$A:$OK,MATCH(I$1,'Data_NSA'!$A:$A,0),MATCH("CUUR0000SA0",'Data_NSA'!$1:$1,0))/INDEX('Data_NSA'!$A:$OK,MATCH($E141,'Data_NSA'!$A:$A,0),MATCH("CUUR0000SA0",'Data_NSA'!$1:$1,0)))),"")</f>
        <v/>
      </c>
    </row>
    <row r="142">
      <c r="A142" s="3" t="inlineStr">
        <is>
          <t>SEHB02</t>
        </is>
      </c>
      <c r="B142" s="3" t="inlineStr">
        <is>
          <t>Other lodging away from home including hotels and motels</t>
        </is>
      </c>
      <c r="C142" s="3" t="inlineStr">
        <is>
          <t>CUUR0000SEHB02</t>
        </is>
      </c>
      <c r="D142" s="21" t="n">
        <v>1.068</v>
      </c>
      <c r="E142" s="22" t="n">
        <v>45992</v>
      </c>
      <c r="F142" s="3" t="n">
        <v>2024</v>
      </c>
      <c r="G142" s="10">
        <f>IFERROR(100*($D142*(INDEX('Data_NSA'!$A:$OK,MATCH(G$1,'Data_NSA'!$A:$A,0),MATCH($C142,'Data_NSA'!$1:$1,0))/INDEX('Data_NSA'!$A:$OK,MATCH($E142,'Data_NSA'!$A:$A,0),MATCH($C142,'Data_NSA'!$1:$1,0))))/(100*(INDEX('Data_NSA'!$A:$OK,MATCH(G$1,'Data_NSA'!$A:$A,0),MATCH("CUUR0000SA0",'Data_NSA'!$1:$1,0))/INDEX('Data_NSA'!$A:$OK,MATCH($E142,'Data_NSA'!$A:$A,0),MATCH("CUUR0000SA0",'Data_NSA'!$1:$1,0)))),"")</f>
        <v/>
      </c>
      <c r="H142" s="10">
        <f>IFERROR(100*($D142*(INDEX('Data_NSA'!$A:$OK,MATCH(H$1,'Data_NSA'!$A:$A,0),MATCH($C142,'Data_NSA'!$1:$1,0))/INDEX('Data_NSA'!$A:$OK,MATCH($E142,'Data_NSA'!$A:$A,0),MATCH($C142,'Data_NSA'!$1:$1,0))))/(100*(INDEX('Data_NSA'!$A:$OK,MATCH(H$1,'Data_NSA'!$A:$A,0),MATCH("CUUR0000SA0",'Data_NSA'!$1:$1,0))/INDEX('Data_NSA'!$A:$OK,MATCH($E142,'Data_NSA'!$A:$A,0),MATCH("CUUR0000SA0",'Data_NSA'!$1:$1,0)))),"")</f>
        <v/>
      </c>
      <c r="I142" s="10">
        <f>IFERROR(100*($D142*(INDEX('Data_NSA'!$A:$OK,MATCH(I$1,'Data_NSA'!$A:$A,0),MATCH($C142,'Data_NSA'!$1:$1,0))/INDEX('Data_NSA'!$A:$OK,MATCH($E142,'Data_NSA'!$A:$A,0),MATCH($C142,'Data_NSA'!$1:$1,0))))/(100*(INDEX('Data_NSA'!$A:$OK,MATCH(I$1,'Data_NSA'!$A:$A,0),MATCH("CUUR0000SA0",'Data_NSA'!$1:$1,0))/INDEX('Data_NSA'!$A:$OK,MATCH($E142,'Data_NSA'!$A:$A,0),MATCH("CUUR0000SA0",'Data_NSA'!$1:$1,0)))),"")</f>
        <v/>
      </c>
    </row>
    <row r="143">
      <c r="A143" s="3" t="inlineStr">
        <is>
          <t>SEHC</t>
        </is>
      </c>
      <c r="B143" s="3" t="inlineStr">
        <is>
          <t>Owners' equivalent rent of residences</t>
        </is>
      </c>
      <c r="C143" s="3" t="inlineStr">
        <is>
          <t>CUUR0000SEHC</t>
        </is>
      </c>
      <c r="D143" s="21" t="n">
        <v>26.204</v>
      </c>
      <c r="E143" s="22" t="n">
        <v>45992</v>
      </c>
      <c r="F143" s="3" t="n">
        <v>2024</v>
      </c>
      <c r="G143" s="10">
        <f>IFERROR(100*($D143*(INDEX('Data_NSA'!$A:$OK,MATCH(G$1,'Data_NSA'!$A:$A,0),MATCH($C143,'Data_NSA'!$1:$1,0))/INDEX('Data_NSA'!$A:$OK,MATCH($E143,'Data_NSA'!$A:$A,0),MATCH($C143,'Data_NSA'!$1:$1,0))))/(100*(INDEX('Data_NSA'!$A:$OK,MATCH(G$1,'Data_NSA'!$A:$A,0),MATCH("CUUR0000SA0",'Data_NSA'!$1:$1,0))/INDEX('Data_NSA'!$A:$OK,MATCH($E143,'Data_NSA'!$A:$A,0),MATCH("CUUR0000SA0",'Data_NSA'!$1:$1,0)))),"")</f>
        <v/>
      </c>
      <c r="H143" s="10">
        <f>IFERROR(100*($D143*(INDEX('Data_NSA'!$A:$OK,MATCH(H$1,'Data_NSA'!$A:$A,0),MATCH($C143,'Data_NSA'!$1:$1,0))/INDEX('Data_NSA'!$A:$OK,MATCH($E143,'Data_NSA'!$A:$A,0),MATCH($C143,'Data_NSA'!$1:$1,0))))/(100*(INDEX('Data_NSA'!$A:$OK,MATCH(H$1,'Data_NSA'!$A:$A,0),MATCH("CUUR0000SA0",'Data_NSA'!$1:$1,0))/INDEX('Data_NSA'!$A:$OK,MATCH($E143,'Data_NSA'!$A:$A,0),MATCH("CUUR0000SA0",'Data_NSA'!$1:$1,0)))),"")</f>
        <v/>
      </c>
      <c r="I143" s="10">
        <f>IFERROR(100*($D143*(INDEX('Data_NSA'!$A:$OK,MATCH(I$1,'Data_NSA'!$A:$A,0),MATCH($C143,'Data_NSA'!$1:$1,0))/INDEX('Data_NSA'!$A:$OK,MATCH($E143,'Data_NSA'!$A:$A,0),MATCH($C143,'Data_NSA'!$1:$1,0))))/(100*(INDEX('Data_NSA'!$A:$OK,MATCH(I$1,'Data_NSA'!$A:$A,0),MATCH("CUUR0000SA0",'Data_NSA'!$1:$1,0))/INDEX('Data_NSA'!$A:$OK,MATCH($E143,'Data_NSA'!$A:$A,0),MATCH("CUUR0000SA0",'Data_NSA'!$1:$1,0)))),"")</f>
        <v/>
      </c>
    </row>
    <row r="144">
      <c r="A144" s="3" t="inlineStr">
        <is>
          <t>SEHC01</t>
        </is>
      </c>
      <c r="B144" s="3" t="inlineStr">
        <is>
          <t>Owners' equivalent rent of primary residence</t>
        </is>
      </c>
      <c r="C144" s="3" t="inlineStr">
        <is>
          <t>CUUR0000SEHC01</t>
        </is>
      </c>
      <c r="D144" s="21" t="n">
        <v>25.23</v>
      </c>
      <c r="E144" s="22" t="n">
        <v>45992</v>
      </c>
      <c r="F144" s="3" t="n">
        <v>2024</v>
      </c>
      <c r="G144" s="10">
        <f>IFERROR(100*($D144*(INDEX('Data_NSA'!$A:$OK,MATCH(G$1,'Data_NSA'!$A:$A,0),MATCH($C144,'Data_NSA'!$1:$1,0))/INDEX('Data_NSA'!$A:$OK,MATCH($E144,'Data_NSA'!$A:$A,0),MATCH($C144,'Data_NSA'!$1:$1,0))))/(100*(INDEX('Data_NSA'!$A:$OK,MATCH(G$1,'Data_NSA'!$A:$A,0),MATCH("CUUR0000SA0",'Data_NSA'!$1:$1,0))/INDEX('Data_NSA'!$A:$OK,MATCH($E144,'Data_NSA'!$A:$A,0),MATCH("CUUR0000SA0",'Data_NSA'!$1:$1,0)))),"")</f>
        <v/>
      </c>
      <c r="H144" s="10">
        <f>IFERROR(100*($D144*(INDEX('Data_NSA'!$A:$OK,MATCH(H$1,'Data_NSA'!$A:$A,0),MATCH($C144,'Data_NSA'!$1:$1,0))/INDEX('Data_NSA'!$A:$OK,MATCH($E144,'Data_NSA'!$A:$A,0),MATCH($C144,'Data_NSA'!$1:$1,0))))/(100*(INDEX('Data_NSA'!$A:$OK,MATCH(H$1,'Data_NSA'!$A:$A,0),MATCH("CUUR0000SA0",'Data_NSA'!$1:$1,0))/INDEX('Data_NSA'!$A:$OK,MATCH($E144,'Data_NSA'!$A:$A,0),MATCH("CUUR0000SA0",'Data_NSA'!$1:$1,0)))),"")</f>
        <v/>
      </c>
      <c r="I144" s="10">
        <f>IFERROR(100*($D144*(INDEX('Data_NSA'!$A:$OK,MATCH(I$1,'Data_NSA'!$A:$A,0),MATCH($C144,'Data_NSA'!$1:$1,0))/INDEX('Data_NSA'!$A:$OK,MATCH($E144,'Data_NSA'!$A:$A,0),MATCH($C144,'Data_NSA'!$1:$1,0))))/(100*(INDEX('Data_NSA'!$A:$OK,MATCH(I$1,'Data_NSA'!$A:$A,0),MATCH("CUUR0000SA0",'Data_NSA'!$1:$1,0))/INDEX('Data_NSA'!$A:$OK,MATCH($E144,'Data_NSA'!$A:$A,0),MATCH("CUUR0000SA0",'Data_NSA'!$1:$1,0)))),"")</f>
        <v/>
      </c>
    </row>
    <row r="145">
      <c r="A145" s="3" t="inlineStr">
        <is>
          <t>SEHD</t>
        </is>
      </c>
      <c r="B145" s="3" t="inlineStr">
        <is>
          <t>Tenants' and household insurance</t>
        </is>
      </c>
      <c r="C145" s="3" t="inlineStr">
        <is>
          <t>CUUR0000SEHD</t>
        </is>
      </c>
      <c r="D145" s="21" t="n">
        <v>0.292</v>
      </c>
      <c r="E145" s="22" t="n">
        <v>45992</v>
      </c>
      <c r="F145" s="3" t="n">
        <v>2024</v>
      </c>
      <c r="G145" s="10">
        <f>IFERROR(100*($D145*(INDEX('Data_NSA'!$A:$OK,MATCH(G$1,'Data_NSA'!$A:$A,0),MATCH($C145,'Data_NSA'!$1:$1,0))/INDEX('Data_NSA'!$A:$OK,MATCH($E145,'Data_NSA'!$A:$A,0),MATCH($C145,'Data_NSA'!$1:$1,0))))/(100*(INDEX('Data_NSA'!$A:$OK,MATCH(G$1,'Data_NSA'!$A:$A,0),MATCH("CUUR0000SA0",'Data_NSA'!$1:$1,0))/INDEX('Data_NSA'!$A:$OK,MATCH($E145,'Data_NSA'!$A:$A,0),MATCH("CUUR0000SA0",'Data_NSA'!$1:$1,0)))),"")</f>
        <v/>
      </c>
      <c r="H145" s="10">
        <f>IFERROR(100*($D145*(INDEX('Data_NSA'!$A:$OK,MATCH(H$1,'Data_NSA'!$A:$A,0),MATCH($C145,'Data_NSA'!$1:$1,0))/INDEX('Data_NSA'!$A:$OK,MATCH($E145,'Data_NSA'!$A:$A,0),MATCH($C145,'Data_NSA'!$1:$1,0))))/(100*(INDEX('Data_NSA'!$A:$OK,MATCH(H$1,'Data_NSA'!$A:$A,0),MATCH("CUUR0000SA0",'Data_NSA'!$1:$1,0))/INDEX('Data_NSA'!$A:$OK,MATCH($E145,'Data_NSA'!$A:$A,0),MATCH("CUUR0000SA0",'Data_NSA'!$1:$1,0)))),"")</f>
        <v/>
      </c>
      <c r="I145" s="10">
        <f>IFERROR(100*($D145*(INDEX('Data_NSA'!$A:$OK,MATCH(I$1,'Data_NSA'!$A:$A,0),MATCH($C145,'Data_NSA'!$1:$1,0))/INDEX('Data_NSA'!$A:$OK,MATCH($E145,'Data_NSA'!$A:$A,0),MATCH($C145,'Data_NSA'!$1:$1,0))))/(100*(INDEX('Data_NSA'!$A:$OK,MATCH(I$1,'Data_NSA'!$A:$A,0),MATCH("CUUR0000SA0",'Data_NSA'!$1:$1,0))/INDEX('Data_NSA'!$A:$OK,MATCH($E145,'Data_NSA'!$A:$A,0),MATCH("CUUR0000SA0",'Data_NSA'!$1:$1,0)))),"")</f>
        <v/>
      </c>
    </row>
    <row r="146">
      <c r="A146" s="3" t="inlineStr">
        <is>
          <t>SAH2</t>
        </is>
      </c>
      <c r="B146" s="3" t="inlineStr">
        <is>
          <t>Fuels and utilities</t>
        </is>
      </c>
      <c r="C146" s="3" t="inlineStr">
        <is>
          <t>CUUR0000SAH2</t>
        </is>
      </c>
      <c r="D146" s="21" t="n">
        <v>4.546</v>
      </c>
      <c r="E146" s="22" t="n">
        <v>45992</v>
      </c>
      <c r="F146" s="3" t="n">
        <v>2024</v>
      </c>
      <c r="G146" s="10">
        <f>IFERROR(100*($D146*(INDEX('Data_NSA'!$A:$OK,MATCH(G$1,'Data_NSA'!$A:$A,0),MATCH($C146,'Data_NSA'!$1:$1,0))/INDEX('Data_NSA'!$A:$OK,MATCH($E146,'Data_NSA'!$A:$A,0),MATCH($C146,'Data_NSA'!$1:$1,0))))/(100*(INDEX('Data_NSA'!$A:$OK,MATCH(G$1,'Data_NSA'!$A:$A,0),MATCH("CUUR0000SA0",'Data_NSA'!$1:$1,0))/INDEX('Data_NSA'!$A:$OK,MATCH($E146,'Data_NSA'!$A:$A,0),MATCH("CUUR0000SA0",'Data_NSA'!$1:$1,0)))),"")</f>
        <v/>
      </c>
      <c r="H146" s="10">
        <f>IFERROR(100*($D146*(INDEX('Data_NSA'!$A:$OK,MATCH(H$1,'Data_NSA'!$A:$A,0),MATCH($C146,'Data_NSA'!$1:$1,0))/INDEX('Data_NSA'!$A:$OK,MATCH($E146,'Data_NSA'!$A:$A,0),MATCH($C146,'Data_NSA'!$1:$1,0))))/(100*(INDEX('Data_NSA'!$A:$OK,MATCH(H$1,'Data_NSA'!$A:$A,0),MATCH("CUUR0000SA0",'Data_NSA'!$1:$1,0))/INDEX('Data_NSA'!$A:$OK,MATCH($E146,'Data_NSA'!$A:$A,0),MATCH("CUUR0000SA0",'Data_NSA'!$1:$1,0)))),"")</f>
        <v/>
      </c>
      <c r="I146" s="10">
        <f>IFERROR(100*($D146*(INDEX('Data_NSA'!$A:$OK,MATCH(I$1,'Data_NSA'!$A:$A,0),MATCH($C146,'Data_NSA'!$1:$1,0))/INDEX('Data_NSA'!$A:$OK,MATCH($E146,'Data_NSA'!$A:$A,0),MATCH($C146,'Data_NSA'!$1:$1,0))))/(100*(INDEX('Data_NSA'!$A:$OK,MATCH(I$1,'Data_NSA'!$A:$A,0),MATCH("CUUR0000SA0",'Data_NSA'!$1:$1,0))/INDEX('Data_NSA'!$A:$OK,MATCH($E146,'Data_NSA'!$A:$A,0),MATCH("CUUR0000SA0",'Data_NSA'!$1:$1,0)))),"")</f>
        <v/>
      </c>
    </row>
    <row r="147">
      <c r="A147" s="3" t="inlineStr">
        <is>
          <t>SAH21</t>
        </is>
      </c>
      <c r="B147" s="3" t="inlineStr">
        <is>
          <t>Household energy</t>
        </is>
      </c>
      <c r="C147" s="3" t="inlineStr">
        <is>
          <t>CUUR0000SAH21</t>
        </is>
      </c>
      <c r="D147" s="21" t="n">
        <v>3.402</v>
      </c>
      <c r="E147" s="22" t="n">
        <v>45992</v>
      </c>
      <c r="F147" s="3" t="n">
        <v>2024</v>
      </c>
      <c r="G147" s="10">
        <f>IFERROR(100*($D147*(INDEX('Data_NSA'!$A:$OK,MATCH(G$1,'Data_NSA'!$A:$A,0),MATCH($C147,'Data_NSA'!$1:$1,0))/INDEX('Data_NSA'!$A:$OK,MATCH($E147,'Data_NSA'!$A:$A,0),MATCH($C147,'Data_NSA'!$1:$1,0))))/(100*(INDEX('Data_NSA'!$A:$OK,MATCH(G$1,'Data_NSA'!$A:$A,0),MATCH("CUUR0000SA0",'Data_NSA'!$1:$1,0))/INDEX('Data_NSA'!$A:$OK,MATCH($E147,'Data_NSA'!$A:$A,0),MATCH("CUUR0000SA0",'Data_NSA'!$1:$1,0)))),"")</f>
        <v/>
      </c>
      <c r="H147" s="10">
        <f>IFERROR(100*($D147*(INDEX('Data_NSA'!$A:$OK,MATCH(H$1,'Data_NSA'!$A:$A,0),MATCH($C147,'Data_NSA'!$1:$1,0))/INDEX('Data_NSA'!$A:$OK,MATCH($E147,'Data_NSA'!$A:$A,0),MATCH($C147,'Data_NSA'!$1:$1,0))))/(100*(INDEX('Data_NSA'!$A:$OK,MATCH(H$1,'Data_NSA'!$A:$A,0),MATCH("CUUR0000SA0",'Data_NSA'!$1:$1,0))/INDEX('Data_NSA'!$A:$OK,MATCH($E147,'Data_NSA'!$A:$A,0),MATCH("CUUR0000SA0",'Data_NSA'!$1:$1,0)))),"")</f>
        <v/>
      </c>
      <c r="I147" s="10">
        <f>IFERROR(100*($D147*(INDEX('Data_NSA'!$A:$OK,MATCH(I$1,'Data_NSA'!$A:$A,0),MATCH($C147,'Data_NSA'!$1:$1,0))/INDEX('Data_NSA'!$A:$OK,MATCH($E147,'Data_NSA'!$A:$A,0),MATCH($C147,'Data_NSA'!$1:$1,0))))/(100*(INDEX('Data_NSA'!$A:$OK,MATCH(I$1,'Data_NSA'!$A:$A,0),MATCH("CUUR0000SA0",'Data_NSA'!$1:$1,0))/INDEX('Data_NSA'!$A:$OK,MATCH($E147,'Data_NSA'!$A:$A,0),MATCH("CUUR0000SA0",'Data_NSA'!$1:$1,0)))),"")</f>
        <v/>
      </c>
    </row>
    <row r="148">
      <c r="A148" s="3" t="inlineStr">
        <is>
          <t>SEHE</t>
        </is>
      </c>
      <c r="B148" s="3" t="inlineStr">
        <is>
          <t>Fuel oil and other fuels</t>
        </is>
      </c>
      <c r="C148" s="3" t="inlineStr">
        <is>
          <t>CUUR0000SEHE</t>
        </is>
      </c>
      <c r="D148" s="21" t="n">
        <v>0.14</v>
      </c>
      <c r="E148" s="22" t="n">
        <v>45992</v>
      </c>
      <c r="F148" s="3" t="n">
        <v>2024</v>
      </c>
      <c r="G148" s="10">
        <f>IFERROR(100*($D148*(INDEX('Data_NSA'!$A:$OK,MATCH(G$1,'Data_NSA'!$A:$A,0),MATCH($C148,'Data_NSA'!$1:$1,0))/INDEX('Data_NSA'!$A:$OK,MATCH($E148,'Data_NSA'!$A:$A,0),MATCH($C148,'Data_NSA'!$1:$1,0))))/(100*(INDEX('Data_NSA'!$A:$OK,MATCH(G$1,'Data_NSA'!$A:$A,0),MATCH("CUUR0000SA0",'Data_NSA'!$1:$1,0))/INDEX('Data_NSA'!$A:$OK,MATCH($E148,'Data_NSA'!$A:$A,0),MATCH("CUUR0000SA0",'Data_NSA'!$1:$1,0)))),"")</f>
        <v/>
      </c>
      <c r="H148" s="10">
        <f>IFERROR(100*($D148*(INDEX('Data_NSA'!$A:$OK,MATCH(H$1,'Data_NSA'!$A:$A,0),MATCH($C148,'Data_NSA'!$1:$1,0))/INDEX('Data_NSA'!$A:$OK,MATCH($E148,'Data_NSA'!$A:$A,0),MATCH($C148,'Data_NSA'!$1:$1,0))))/(100*(INDEX('Data_NSA'!$A:$OK,MATCH(H$1,'Data_NSA'!$A:$A,0),MATCH("CUUR0000SA0",'Data_NSA'!$1:$1,0))/INDEX('Data_NSA'!$A:$OK,MATCH($E148,'Data_NSA'!$A:$A,0),MATCH("CUUR0000SA0",'Data_NSA'!$1:$1,0)))),"")</f>
        <v/>
      </c>
      <c r="I148" s="10">
        <f>IFERROR(100*($D148*(INDEX('Data_NSA'!$A:$OK,MATCH(I$1,'Data_NSA'!$A:$A,0),MATCH($C148,'Data_NSA'!$1:$1,0))/INDEX('Data_NSA'!$A:$OK,MATCH($E148,'Data_NSA'!$A:$A,0),MATCH($C148,'Data_NSA'!$1:$1,0))))/(100*(INDEX('Data_NSA'!$A:$OK,MATCH(I$1,'Data_NSA'!$A:$A,0),MATCH("CUUR0000SA0",'Data_NSA'!$1:$1,0))/INDEX('Data_NSA'!$A:$OK,MATCH($E148,'Data_NSA'!$A:$A,0),MATCH("CUUR0000SA0",'Data_NSA'!$1:$1,0)))),"")</f>
        <v/>
      </c>
    </row>
    <row r="149">
      <c r="A149" s="3" t="inlineStr">
        <is>
          <t>SEHE01</t>
        </is>
      </c>
      <c r="B149" s="3" t="inlineStr">
        <is>
          <t>Fuel oil</t>
        </is>
      </c>
      <c r="C149" s="3" t="inlineStr">
        <is>
          <t>CUUR0000SEHE01</t>
        </is>
      </c>
      <c r="D149" s="21" t="n">
        <v>0.083</v>
      </c>
      <c r="E149" s="22" t="n">
        <v>45992</v>
      </c>
      <c r="F149" s="3" t="n">
        <v>2024</v>
      </c>
      <c r="G149" s="10">
        <f>IFERROR(100*($D149*(INDEX('Data_NSA'!$A:$OK,MATCH(G$1,'Data_NSA'!$A:$A,0),MATCH($C149,'Data_NSA'!$1:$1,0))/INDEX('Data_NSA'!$A:$OK,MATCH($E149,'Data_NSA'!$A:$A,0),MATCH($C149,'Data_NSA'!$1:$1,0))))/(100*(INDEX('Data_NSA'!$A:$OK,MATCH(G$1,'Data_NSA'!$A:$A,0),MATCH("CUUR0000SA0",'Data_NSA'!$1:$1,0))/INDEX('Data_NSA'!$A:$OK,MATCH($E149,'Data_NSA'!$A:$A,0),MATCH("CUUR0000SA0",'Data_NSA'!$1:$1,0)))),"")</f>
        <v/>
      </c>
      <c r="H149" s="10">
        <f>IFERROR(100*($D149*(INDEX('Data_NSA'!$A:$OK,MATCH(H$1,'Data_NSA'!$A:$A,0),MATCH($C149,'Data_NSA'!$1:$1,0))/INDEX('Data_NSA'!$A:$OK,MATCH($E149,'Data_NSA'!$A:$A,0),MATCH($C149,'Data_NSA'!$1:$1,0))))/(100*(INDEX('Data_NSA'!$A:$OK,MATCH(H$1,'Data_NSA'!$A:$A,0),MATCH("CUUR0000SA0",'Data_NSA'!$1:$1,0))/INDEX('Data_NSA'!$A:$OK,MATCH($E149,'Data_NSA'!$A:$A,0),MATCH("CUUR0000SA0",'Data_NSA'!$1:$1,0)))),"")</f>
        <v/>
      </c>
      <c r="I149" s="10">
        <f>IFERROR(100*($D149*(INDEX('Data_NSA'!$A:$OK,MATCH(I$1,'Data_NSA'!$A:$A,0),MATCH($C149,'Data_NSA'!$1:$1,0))/INDEX('Data_NSA'!$A:$OK,MATCH($E149,'Data_NSA'!$A:$A,0),MATCH($C149,'Data_NSA'!$1:$1,0))))/(100*(INDEX('Data_NSA'!$A:$OK,MATCH(I$1,'Data_NSA'!$A:$A,0),MATCH("CUUR0000SA0",'Data_NSA'!$1:$1,0))/INDEX('Data_NSA'!$A:$OK,MATCH($E149,'Data_NSA'!$A:$A,0),MATCH("CUUR0000SA0",'Data_NSA'!$1:$1,0)))),"")</f>
        <v/>
      </c>
    </row>
    <row r="150">
      <c r="A150" s="3" t="inlineStr">
        <is>
          <t>SEHE02</t>
        </is>
      </c>
      <c r="B150" s="3" t="inlineStr">
        <is>
          <t>Propane, kerosene, and firewood</t>
        </is>
      </c>
      <c r="C150" s="3" t="inlineStr">
        <is>
          <t>CUUR0000SEHE02</t>
        </is>
      </c>
      <c r="D150" s="21" t="n">
        <v>0.057</v>
      </c>
      <c r="E150" s="22" t="n">
        <v>45992</v>
      </c>
      <c r="F150" s="3" t="n">
        <v>2024</v>
      </c>
      <c r="G150" s="10">
        <f>IFERROR(100*($D150*(INDEX('Data_NSA'!$A:$OK,MATCH(G$1,'Data_NSA'!$A:$A,0),MATCH($C150,'Data_NSA'!$1:$1,0))/INDEX('Data_NSA'!$A:$OK,MATCH($E150,'Data_NSA'!$A:$A,0),MATCH($C150,'Data_NSA'!$1:$1,0))))/(100*(INDEX('Data_NSA'!$A:$OK,MATCH(G$1,'Data_NSA'!$A:$A,0),MATCH("CUUR0000SA0",'Data_NSA'!$1:$1,0))/INDEX('Data_NSA'!$A:$OK,MATCH($E150,'Data_NSA'!$A:$A,0),MATCH("CUUR0000SA0",'Data_NSA'!$1:$1,0)))),"")</f>
        <v/>
      </c>
      <c r="H150" s="10">
        <f>IFERROR(100*($D150*(INDEX('Data_NSA'!$A:$OK,MATCH(H$1,'Data_NSA'!$A:$A,0),MATCH($C150,'Data_NSA'!$1:$1,0))/INDEX('Data_NSA'!$A:$OK,MATCH($E150,'Data_NSA'!$A:$A,0),MATCH($C150,'Data_NSA'!$1:$1,0))))/(100*(INDEX('Data_NSA'!$A:$OK,MATCH(H$1,'Data_NSA'!$A:$A,0),MATCH("CUUR0000SA0",'Data_NSA'!$1:$1,0))/INDEX('Data_NSA'!$A:$OK,MATCH($E150,'Data_NSA'!$A:$A,0),MATCH("CUUR0000SA0",'Data_NSA'!$1:$1,0)))),"")</f>
        <v/>
      </c>
      <c r="I150" s="10">
        <f>IFERROR(100*($D150*(INDEX('Data_NSA'!$A:$OK,MATCH(I$1,'Data_NSA'!$A:$A,0),MATCH($C150,'Data_NSA'!$1:$1,0))/INDEX('Data_NSA'!$A:$OK,MATCH($E150,'Data_NSA'!$A:$A,0),MATCH($C150,'Data_NSA'!$1:$1,0))))/(100*(INDEX('Data_NSA'!$A:$OK,MATCH(I$1,'Data_NSA'!$A:$A,0),MATCH("CUUR0000SA0",'Data_NSA'!$1:$1,0))/INDEX('Data_NSA'!$A:$OK,MATCH($E150,'Data_NSA'!$A:$A,0),MATCH("CUUR0000SA0",'Data_NSA'!$1:$1,0)))),"")</f>
        <v/>
      </c>
    </row>
    <row r="151">
      <c r="A151" s="3" t="inlineStr">
        <is>
          <t>SEHF</t>
        </is>
      </c>
      <c r="B151" s="3" t="inlineStr">
        <is>
          <t>Energy services</t>
        </is>
      </c>
      <c r="C151" s="3" t="inlineStr">
        <is>
          <t>CUUR0000SEHF</t>
        </is>
      </c>
      <c r="D151" s="21" t="n">
        <v>3.262</v>
      </c>
      <c r="E151" s="22" t="n">
        <v>45992</v>
      </c>
      <c r="F151" s="3" t="n">
        <v>2024</v>
      </c>
      <c r="G151" s="10">
        <f>IFERROR(100*($D151*(INDEX('Data_NSA'!$A:$OK,MATCH(G$1,'Data_NSA'!$A:$A,0),MATCH($C151,'Data_NSA'!$1:$1,0))/INDEX('Data_NSA'!$A:$OK,MATCH($E151,'Data_NSA'!$A:$A,0),MATCH($C151,'Data_NSA'!$1:$1,0))))/(100*(INDEX('Data_NSA'!$A:$OK,MATCH(G$1,'Data_NSA'!$A:$A,0),MATCH("CUUR0000SA0",'Data_NSA'!$1:$1,0))/INDEX('Data_NSA'!$A:$OK,MATCH($E151,'Data_NSA'!$A:$A,0),MATCH("CUUR0000SA0",'Data_NSA'!$1:$1,0)))),"")</f>
        <v/>
      </c>
      <c r="H151" s="10">
        <f>IFERROR(100*($D151*(INDEX('Data_NSA'!$A:$OK,MATCH(H$1,'Data_NSA'!$A:$A,0),MATCH($C151,'Data_NSA'!$1:$1,0))/INDEX('Data_NSA'!$A:$OK,MATCH($E151,'Data_NSA'!$A:$A,0),MATCH($C151,'Data_NSA'!$1:$1,0))))/(100*(INDEX('Data_NSA'!$A:$OK,MATCH(H$1,'Data_NSA'!$A:$A,0),MATCH("CUUR0000SA0",'Data_NSA'!$1:$1,0))/INDEX('Data_NSA'!$A:$OK,MATCH($E151,'Data_NSA'!$A:$A,0),MATCH("CUUR0000SA0",'Data_NSA'!$1:$1,0)))),"")</f>
        <v/>
      </c>
      <c r="I151" s="10">
        <f>IFERROR(100*($D151*(INDEX('Data_NSA'!$A:$OK,MATCH(I$1,'Data_NSA'!$A:$A,0),MATCH($C151,'Data_NSA'!$1:$1,0))/INDEX('Data_NSA'!$A:$OK,MATCH($E151,'Data_NSA'!$A:$A,0),MATCH($C151,'Data_NSA'!$1:$1,0))))/(100*(INDEX('Data_NSA'!$A:$OK,MATCH(I$1,'Data_NSA'!$A:$A,0),MATCH("CUUR0000SA0",'Data_NSA'!$1:$1,0))/INDEX('Data_NSA'!$A:$OK,MATCH($E151,'Data_NSA'!$A:$A,0),MATCH("CUUR0000SA0",'Data_NSA'!$1:$1,0)))),"")</f>
        <v/>
      </c>
    </row>
    <row r="152">
      <c r="A152" s="3" t="inlineStr">
        <is>
          <t>SEHF01</t>
        </is>
      </c>
      <c r="B152" s="3" t="inlineStr">
        <is>
          <t>Electricity</t>
        </is>
      </c>
      <c r="C152" s="3" t="inlineStr">
        <is>
          <t>CUUR0000SEHF01</t>
        </is>
      </c>
      <c r="D152" s="21" t="n">
        <v>2.489</v>
      </c>
      <c r="E152" s="22" t="n">
        <v>45992</v>
      </c>
      <c r="F152" s="3" t="n">
        <v>2024</v>
      </c>
      <c r="G152" s="10">
        <f>IFERROR(100*($D152*(INDEX('Data_NSA'!$A:$OK,MATCH(G$1,'Data_NSA'!$A:$A,0),MATCH($C152,'Data_NSA'!$1:$1,0))/INDEX('Data_NSA'!$A:$OK,MATCH($E152,'Data_NSA'!$A:$A,0),MATCH($C152,'Data_NSA'!$1:$1,0))))/(100*(INDEX('Data_NSA'!$A:$OK,MATCH(G$1,'Data_NSA'!$A:$A,0),MATCH("CUUR0000SA0",'Data_NSA'!$1:$1,0))/INDEX('Data_NSA'!$A:$OK,MATCH($E152,'Data_NSA'!$A:$A,0),MATCH("CUUR0000SA0",'Data_NSA'!$1:$1,0)))),"")</f>
        <v/>
      </c>
      <c r="H152" s="10">
        <f>IFERROR(100*($D152*(INDEX('Data_NSA'!$A:$OK,MATCH(H$1,'Data_NSA'!$A:$A,0),MATCH($C152,'Data_NSA'!$1:$1,0))/INDEX('Data_NSA'!$A:$OK,MATCH($E152,'Data_NSA'!$A:$A,0),MATCH($C152,'Data_NSA'!$1:$1,0))))/(100*(INDEX('Data_NSA'!$A:$OK,MATCH(H$1,'Data_NSA'!$A:$A,0),MATCH("CUUR0000SA0",'Data_NSA'!$1:$1,0))/INDEX('Data_NSA'!$A:$OK,MATCH($E152,'Data_NSA'!$A:$A,0),MATCH("CUUR0000SA0",'Data_NSA'!$1:$1,0)))),"")</f>
        <v/>
      </c>
      <c r="I152" s="10">
        <f>IFERROR(100*($D152*(INDEX('Data_NSA'!$A:$OK,MATCH(I$1,'Data_NSA'!$A:$A,0),MATCH($C152,'Data_NSA'!$1:$1,0))/INDEX('Data_NSA'!$A:$OK,MATCH($E152,'Data_NSA'!$A:$A,0),MATCH($C152,'Data_NSA'!$1:$1,0))))/(100*(INDEX('Data_NSA'!$A:$OK,MATCH(I$1,'Data_NSA'!$A:$A,0),MATCH("CUUR0000SA0",'Data_NSA'!$1:$1,0))/INDEX('Data_NSA'!$A:$OK,MATCH($E152,'Data_NSA'!$A:$A,0),MATCH("CUUR0000SA0",'Data_NSA'!$1:$1,0)))),"")</f>
        <v/>
      </c>
    </row>
    <row r="153">
      <c r="A153" s="3" t="inlineStr">
        <is>
          <t>SEHF02</t>
        </is>
      </c>
      <c r="B153" s="3" t="inlineStr">
        <is>
          <t>Utility (piped) gas service</t>
        </is>
      </c>
      <c r="C153" s="3" t="inlineStr">
        <is>
          <t>CUUR0000SEHF02</t>
        </is>
      </c>
      <c r="D153" s="21" t="n">
        <v>0.773</v>
      </c>
      <c r="E153" s="22" t="n">
        <v>45992</v>
      </c>
      <c r="F153" s="3" t="n">
        <v>2024</v>
      </c>
      <c r="G153" s="10">
        <f>IFERROR(100*($D153*(INDEX('Data_NSA'!$A:$OK,MATCH(G$1,'Data_NSA'!$A:$A,0),MATCH($C153,'Data_NSA'!$1:$1,0))/INDEX('Data_NSA'!$A:$OK,MATCH($E153,'Data_NSA'!$A:$A,0),MATCH($C153,'Data_NSA'!$1:$1,0))))/(100*(INDEX('Data_NSA'!$A:$OK,MATCH(G$1,'Data_NSA'!$A:$A,0),MATCH("CUUR0000SA0",'Data_NSA'!$1:$1,0))/INDEX('Data_NSA'!$A:$OK,MATCH($E153,'Data_NSA'!$A:$A,0),MATCH("CUUR0000SA0",'Data_NSA'!$1:$1,0)))),"")</f>
        <v/>
      </c>
      <c r="H153" s="10">
        <f>IFERROR(100*($D153*(INDEX('Data_NSA'!$A:$OK,MATCH(H$1,'Data_NSA'!$A:$A,0),MATCH($C153,'Data_NSA'!$1:$1,0))/INDEX('Data_NSA'!$A:$OK,MATCH($E153,'Data_NSA'!$A:$A,0),MATCH($C153,'Data_NSA'!$1:$1,0))))/(100*(INDEX('Data_NSA'!$A:$OK,MATCH(H$1,'Data_NSA'!$A:$A,0),MATCH("CUUR0000SA0",'Data_NSA'!$1:$1,0))/INDEX('Data_NSA'!$A:$OK,MATCH($E153,'Data_NSA'!$A:$A,0),MATCH("CUUR0000SA0",'Data_NSA'!$1:$1,0)))),"")</f>
        <v/>
      </c>
      <c r="I153" s="10">
        <f>IFERROR(100*($D153*(INDEX('Data_NSA'!$A:$OK,MATCH(I$1,'Data_NSA'!$A:$A,0),MATCH($C153,'Data_NSA'!$1:$1,0))/INDEX('Data_NSA'!$A:$OK,MATCH($E153,'Data_NSA'!$A:$A,0),MATCH($C153,'Data_NSA'!$1:$1,0))))/(100*(INDEX('Data_NSA'!$A:$OK,MATCH(I$1,'Data_NSA'!$A:$A,0),MATCH("CUUR0000SA0",'Data_NSA'!$1:$1,0))/INDEX('Data_NSA'!$A:$OK,MATCH($E153,'Data_NSA'!$A:$A,0),MATCH("CUUR0000SA0",'Data_NSA'!$1:$1,0)))),"")</f>
        <v/>
      </c>
    </row>
    <row r="154">
      <c r="A154" s="3" t="inlineStr">
        <is>
          <t>SEHG</t>
        </is>
      </c>
      <c r="B154" s="3" t="inlineStr">
        <is>
          <t>Water and sewer and trash collection services</t>
        </is>
      </c>
      <c r="C154" s="3" t="inlineStr">
        <is>
          <t>CUUR0000SEHG</t>
        </is>
      </c>
      <c r="D154" s="21" t="n">
        <v>1.144</v>
      </c>
      <c r="E154" s="22" t="n">
        <v>45992</v>
      </c>
      <c r="F154" s="3" t="n">
        <v>2024</v>
      </c>
      <c r="G154" s="10">
        <f>IFERROR(100*($D154*(INDEX('Data_NSA'!$A:$OK,MATCH(G$1,'Data_NSA'!$A:$A,0),MATCH($C154,'Data_NSA'!$1:$1,0))/INDEX('Data_NSA'!$A:$OK,MATCH($E154,'Data_NSA'!$A:$A,0),MATCH($C154,'Data_NSA'!$1:$1,0))))/(100*(INDEX('Data_NSA'!$A:$OK,MATCH(G$1,'Data_NSA'!$A:$A,0),MATCH("CUUR0000SA0",'Data_NSA'!$1:$1,0))/INDEX('Data_NSA'!$A:$OK,MATCH($E154,'Data_NSA'!$A:$A,0),MATCH("CUUR0000SA0",'Data_NSA'!$1:$1,0)))),"")</f>
        <v/>
      </c>
      <c r="H154" s="10">
        <f>IFERROR(100*($D154*(INDEX('Data_NSA'!$A:$OK,MATCH(H$1,'Data_NSA'!$A:$A,0),MATCH($C154,'Data_NSA'!$1:$1,0))/INDEX('Data_NSA'!$A:$OK,MATCH($E154,'Data_NSA'!$A:$A,0),MATCH($C154,'Data_NSA'!$1:$1,0))))/(100*(INDEX('Data_NSA'!$A:$OK,MATCH(H$1,'Data_NSA'!$A:$A,0),MATCH("CUUR0000SA0",'Data_NSA'!$1:$1,0))/INDEX('Data_NSA'!$A:$OK,MATCH($E154,'Data_NSA'!$A:$A,0),MATCH("CUUR0000SA0",'Data_NSA'!$1:$1,0)))),"")</f>
        <v/>
      </c>
      <c r="I154" s="10">
        <f>IFERROR(100*($D154*(INDEX('Data_NSA'!$A:$OK,MATCH(I$1,'Data_NSA'!$A:$A,0),MATCH($C154,'Data_NSA'!$1:$1,0))/INDEX('Data_NSA'!$A:$OK,MATCH($E154,'Data_NSA'!$A:$A,0),MATCH($C154,'Data_NSA'!$1:$1,0))))/(100*(INDEX('Data_NSA'!$A:$OK,MATCH(I$1,'Data_NSA'!$A:$A,0),MATCH("CUUR0000SA0",'Data_NSA'!$1:$1,0))/INDEX('Data_NSA'!$A:$OK,MATCH($E154,'Data_NSA'!$A:$A,0),MATCH("CUUR0000SA0",'Data_NSA'!$1:$1,0)))),"")</f>
        <v/>
      </c>
    </row>
    <row r="155">
      <c r="A155" s="3" t="inlineStr">
        <is>
          <t>SEHG01</t>
        </is>
      </c>
      <c r="B155" s="3" t="inlineStr">
        <is>
          <t>Water and sewerage maintenance</t>
        </is>
      </c>
      <c r="C155" s="3" t="inlineStr">
        <is>
          <t>CUUR0000SEHG01</t>
        </is>
      </c>
      <c r="D155" s="21" t="n">
        <v>0.783</v>
      </c>
      <c r="E155" s="22" t="n">
        <v>45992</v>
      </c>
      <c r="F155" s="3" t="n">
        <v>2024</v>
      </c>
      <c r="G155" s="10">
        <f>IFERROR(100*($D155*(INDEX('Data_NSA'!$A:$OK,MATCH(G$1,'Data_NSA'!$A:$A,0),MATCH($C155,'Data_NSA'!$1:$1,0))/INDEX('Data_NSA'!$A:$OK,MATCH($E155,'Data_NSA'!$A:$A,0),MATCH($C155,'Data_NSA'!$1:$1,0))))/(100*(INDEX('Data_NSA'!$A:$OK,MATCH(G$1,'Data_NSA'!$A:$A,0),MATCH("CUUR0000SA0",'Data_NSA'!$1:$1,0))/INDEX('Data_NSA'!$A:$OK,MATCH($E155,'Data_NSA'!$A:$A,0),MATCH("CUUR0000SA0",'Data_NSA'!$1:$1,0)))),"")</f>
        <v/>
      </c>
      <c r="H155" s="10">
        <f>IFERROR(100*($D155*(INDEX('Data_NSA'!$A:$OK,MATCH(H$1,'Data_NSA'!$A:$A,0),MATCH($C155,'Data_NSA'!$1:$1,0))/INDEX('Data_NSA'!$A:$OK,MATCH($E155,'Data_NSA'!$A:$A,0),MATCH($C155,'Data_NSA'!$1:$1,0))))/(100*(INDEX('Data_NSA'!$A:$OK,MATCH(H$1,'Data_NSA'!$A:$A,0),MATCH("CUUR0000SA0",'Data_NSA'!$1:$1,0))/INDEX('Data_NSA'!$A:$OK,MATCH($E155,'Data_NSA'!$A:$A,0),MATCH("CUUR0000SA0",'Data_NSA'!$1:$1,0)))),"")</f>
        <v/>
      </c>
      <c r="I155" s="10">
        <f>IFERROR(100*($D155*(INDEX('Data_NSA'!$A:$OK,MATCH(I$1,'Data_NSA'!$A:$A,0),MATCH($C155,'Data_NSA'!$1:$1,0))/INDEX('Data_NSA'!$A:$OK,MATCH($E155,'Data_NSA'!$A:$A,0),MATCH($C155,'Data_NSA'!$1:$1,0))))/(100*(INDEX('Data_NSA'!$A:$OK,MATCH(I$1,'Data_NSA'!$A:$A,0),MATCH("CUUR0000SA0",'Data_NSA'!$1:$1,0))/INDEX('Data_NSA'!$A:$OK,MATCH($E155,'Data_NSA'!$A:$A,0),MATCH("CUUR0000SA0",'Data_NSA'!$1:$1,0)))),"")</f>
        <v/>
      </c>
    </row>
    <row r="156">
      <c r="A156" s="3" t="inlineStr">
        <is>
          <t>SEHG02</t>
        </is>
      </c>
      <c r="B156" s="3" t="inlineStr">
        <is>
          <t>Garbage and trash collection</t>
        </is>
      </c>
      <c r="C156" s="3" t="inlineStr">
        <is>
          <t>CUUR0000SEHG02</t>
        </is>
      </c>
      <c r="D156" s="21" t="n">
        <v>0.361</v>
      </c>
      <c r="E156" s="22" t="n">
        <v>45992</v>
      </c>
      <c r="F156" s="3" t="n">
        <v>2024</v>
      </c>
      <c r="G156" s="10">
        <f>IFERROR(100*($D156*(INDEX('Data_NSA'!$A:$OK,MATCH(G$1,'Data_NSA'!$A:$A,0),MATCH($C156,'Data_NSA'!$1:$1,0))/INDEX('Data_NSA'!$A:$OK,MATCH($E156,'Data_NSA'!$A:$A,0),MATCH($C156,'Data_NSA'!$1:$1,0))))/(100*(INDEX('Data_NSA'!$A:$OK,MATCH(G$1,'Data_NSA'!$A:$A,0),MATCH("CUUR0000SA0",'Data_NSA'!$1:$1,0))/INDEX('Data_NSA'!$A:$OK,MATCH($E156,'Data_NSA'!$A:$A,0),MATCH("CUUR0000SA0",'Data_NSA'!$1:$1,0)))),"")</f>
        <v/>
      </c>
      <c r="H156" s="10">
        <f>IFERROR(100*($D156*(INDEX('Data_NSA'!$A:$OK,MATCH(H$1,'Data_NSA'!$A:$A,0),MATCH($C156,'Data_NSA'!$1:$1,0))/INDEX('Data_NSA'!$A:$OK,MATCH($E156,'Data_NSA'!$A:$A,0),MATCH($C156,'Data_NSA'!$1:$1,0))))/(100*(INDEX('Data_NSA'!$A:$OK,MATCH(H$1,'Data_NSA'!$A:$A,0),MATCH("CUUR0000SA0",'Data_NSA'!$1:$1,0))/INDEX('Data_NSA'!$A:$OK,MATCH($E156,'Data_NSA'!$A:$A,0),MATCH("CUUR0000SA0",'Data_NSA'!$1:$1,0)))),"")</f>
        <v/>
      </c>
      <c r="I156" s="10">
        <f>IFERROR(100*($D156*(INDEX('Data_NSA'!$A:$OK,MATCH(I$1,'Data_NSA'!$A:$A,0),MATCH($C156,'Data_NSA'!$1:$1,0))/INDEX('Data_NSA'!$A:$OK,MATCH($E156,'Data_NSA'!$A:$A,0),MATCH($C156,'Data_NSA'!$1:$1,0))))/(100*(INDEX('Data_NSA'!$A:$OK,MATCH(I$1,'Data_NSA'!$A:$A,0),MATCH("CUUR0000SA0",'Data_NSA'!$1:$1,0))/INDEX('Data_NSA'!$A:$OK,MATCH($E156,'Data_NSA'!$A:$A,0),MATCH("CUUR0000SA0",'Data_NSA'!$1:$1,0)))),"")</f>
        <v/>
      </c>
    </row>
    <row r="157">
      <c r="A157" s="3" t="inlineStr">
        <is>
          <t>SAH3</t>
        </is>
      </c>
      <c r="B157" s="3" t="inlineStr">
        <is>
          <t>Household furnishings and operations</t>
        </is>
      </c>
      <c r="C157" s="3" t="inlineStr">
        <is>
          <t>CUUR0000SAH3</t>
        </is>
      </c>
      <c r="D157" s="21" t="n">
        <v>4.298</v>
      </c>
      <c r="E157" s="22" t="n">
        <v>45992</v>
      </c>
      <c r="F157" s="3" t="n">
        <v>2024</v>
      </c>
      <c r="G157" s="10">
        <f>IFERROR(100*($D157*(INDEX('Data_NSA'!$A:$OK,MATCH(G$1,'Data_NSA'!$A:$A,0),MATCH($C157,'Data_NSA'!$1:$1,0))/INDEX('Data_NSA'!$A:$OK,MATCH($E157,'Data_NSA'!$A:$A,0),MATCH($C157,'Data_NSA'!$1:$1,0))))/(100*(INDEX('Data_NSA'!$A:$OK,MATCH(G$1,'Data_NSA'!$A:$A,0),MATCH("CUUR0000SA0",'Data_NSA'!$1:$1,0))/INDEX('Data_NSA'!$A:$OK,MATCH($E157,'Data_NSA'!$A:$A,0),MATCH("CUUR0000SA0",'Data_NSA'!$1:$1,0)))),"")</f>
        <v/>
      </c>
      <c r="H157" s="10">
        <f>IFERROR(100*($D157*(INDEX('Data_NSA'!$A:$OK,MATCH(H$1,'Data_NSA'!$A:$A,0),MATCH($C157,'Data_NSA'!$1:$1,0))/INDEX('Data_NSA'!$A:$OK,MATCH($E157,'Data_NSA'!$A:$A,0),MATCH($C157,'Data_NSA'!$1:$1,0))))/(100*(INDEX('Data_NSA'!$A:$OK,MATCH(H$1,'Data_NSA'!$A:$A,0),MATCH("CUUR0000SA0",'Data_NSA'!$1:$1,0))/INDEX('Data_NSA'!$A:$OK,MATCH($E157,'Data_NSA'!$A:$A,0),MATCH("CUUR0000SA0",'Data_NSA'!$1:$1,0)))),"")</f>
        <v/>
      </c>
      <c r="I157" s="10">
        <f>IFERROR(100*($D157*(INDEX('Data_NSA'!$A:$OK,MATCH(I$1,'Data_NSA'!$A:$A,0),MATCH($C157,'Data_NSA'!$1:$1,0))/INDEX('Data_NSA'!$A:$OK,MATCH($E157,'Data_NSA'!$A:$A,0),MATCH($C157,'Data_NSA'!$1:$1,0))))/(100*(INDEX('Data_NSA'!$A:$OK,MATCH(I$1,'Data_NSA'!$A:$A,0),MATCH("CUUR0000SA0",'Data_NSA'!$1:$1,0))/INDEX('Data_NSA'!$A:$OK,MATCH($E157,'Data_NSA'!$A:$A,0),MATCH("CUUR0000SA0",'Data_NSA'!$1:$1,0)))),"")</f>
        <v/>
      </c>
    </row>
    <row r="158">
      <c r="A158" s="3" t="inlineStr">
        <is>
          <t>SEHH</t>
        </is>
      </c>
      <c r="B158" s="3" t="inlineStr">
        <is>
          <t>Window and floor coverings and other linens</t>
        </is>
      </c>
      <c r="C158" s="3" t="inlineStr">
        <is>
          <t>CUUR0000SEHH</t>
        </is>
      </c>
      <c r="D158" s="21" t="n">
        <v>0.238</v>
      </c>
      <c r="E158" s="22" t="n">
        <v>45992</v>
      </c>
      <c r="F158" s="3" t="n">
        <v>2024</v>
      </c>
      <c r="G158" s="10">
        <f>IFERROR(100*($D158*(INDEX('Data_NSA'!$A:$OK,MATCH(G$1,'Data_NSA'!$A:$A,0),MATCH($C158,'Data_NSA'!$1:$1,0))/INDEX('Data_NSA'!$A:$OK,MATCH($E158,'Data_NSA'!$A:$A,0),MATCH($C158,'Data_NSA'!$1:$1,0))))/(100*(INDEX('Data_NSA'!$A:$OK,MATCH(G$1,'Data_NSA'!$A:$A,0),MATCH("CUUR0000SA0",'Data_NSA'!$1:$1,0))/INDEX('Data_NSA'!$A:$OK,MATCH($E158,'Data_NSA'!$A:$A,0),MATCH("CUUR0000SA0",'Data_NSA'!$1:$1,0)))),"")</f>
        <v/>
      </c>
      <c r="H158" s="10">
        <f>IFERROR(100*($D158*(INDEX('Data_NSA'!$A:$OK,MATCH(H$1,'Data_NSA'!$A:$A,0),MATCH($C158,'Data_NSA'!$1:$1,0))/INDEX('Data_NSA'!$A:$OK,MATCH($E158,'Data_NSA'!$A:$A,0),MATCH($C158,'Data_NSA'!$1:$1,0))))/(100*(INDEX('Data_NSA'!$A:$OK,MATCH(H$1,'Data_NSA'!$A:$A,0),MATCH("CUUR0000SA0",'Data_NSA'!$1:$1,0))/INDEX('Data_NSA'!$A:$OK,MATCH($E158,'Data_NSA'!$A:$A,0),MATCH("CUUR0000SA0",'Data_NSA'!$1:$1,0)))),"")</f>
        <v/>
      </c>
      <c r="I158" s="10">
        <f>IFERROR(100*($D158*(INDEX('Data_NSA'!$A:$OK,MATCH(I$1,'Data_NSA'!$A:$A,0),MATCH($C158,'Data_NSA'!$1:$1,0))/INDEX('Data_NSA'!$A:$OK,MATCH($E158,'Data_NSA'!$A:$A,0),MATCH($C158,'Data_NSA'!$1:$1,0))))/(100*(INDEX('Data_NSA'!$A:$OK,MATCH(I$1,'Data_NSA'!$A:$A,0),MATCH("CUUR0000SA0",'Data_NSA'!$1:$1,0))/INDEX('Data_NSA'!$A:$OK,MATCH($E158,'Data_NSA'!$A:$A,0),MATCH("CUUR0000SA0",'Data_NSA'!$1:$1,0)))),"")</f>
        <v/>
      </c>
    </row>
    <row r="159">
      <c r="A159" s="3" t="inlineStr">
        <is>
          <t>SEHH01</t>
        </is>
      </c>
      <c r="B159" s="3" t="inlineStr">
        <is>
          <t>Floor coverings</t>
        </is>
      </c>
      <c r="C159" s="3" t="inlineStr">
        <is>
          <t>CUUR0000SEHH01</t>
        </is>
      </c>
      <c r="D159" s="21" t="n">
        <v>0.07000000000000001</v>
      </c>
      <c r="E159" s="22" t="n">
        <v>45992</v>
      </c>
      <c r="F159" s="3" t="n">
        <v>2024</v>
      </c>
      <c r="G159" s="10">
        <f>IFERROR(100*($D159*(INDEX('Data_NSA'!$A:$OK,MATCH(G$1,'Data_NSA'!$A:$A,0),MATCH($C159,'Data_NSA'!$1:$1,0))/INDEX('Data_NSA'!$A:$OK,MATCH($E159,'Data_NSA'!$A:$A,0),MATCH($C159,'Data_NSA'!$1:$1,0))))/(100*(INDEX('Data_NSA'!$A:$OK,MATCH(G$1,'Data_NSA'!$A:$A,0),MATCH("CUUR0000SA0",'Data_NSA'!$1:$1,0))/INDEX('Data_NSA'!$A:$OK,MATCH($E159,'Data_NSA'!$A:$A,0),MATCH("CUUR0000SA0",'Data_NSA'!$1:$1,0)))),"")</f>
        <v/>
      </c>
      <c r="H159" s="10">
        <f>IFERROR(100*($D159*(INDEX('Data_NSA'!$A:$OK,MATCH(H$1,'Data_NSA'!$A:$A,0),MATCH($C159,'Data_NSA'!$1:$1,0))/INDEX('Data_NSA'!$A:$OK,MATCH($E159,'Data_NSA'!$A:$A,0),MATCH($C159,'Data_NSA'!$1:$1,0))))/(100*(INDEX('Data_NSA'!$A:$OK,MATCH(H$1,'Data_NSA'!$A:$A,0),MATCH("CUUR0000SA0",'Data_NSA'!$1:$1,0))/INDEX('Data_NSA'!$A:$OK,MATCH($E159,'Data_NSA'!$A:$A,0),MATCH("CUUR0000SA0",'Data_NSA'!$1:$1,0)))),"")</f>
        <v/>
      </c>
      <c r="I159" s="10">
        <f>IFERROR(100*($D159*(INDEX('Data_NSA'!$A:$OK,MATCH(I$1,'Data_NSA'!$A:$A,0),MATCH($C159,'Data_NSA'!$1:$1,0))/INDEX('Data_NSA'!$A:$OK,MATCH($E159,'Data_NSA'!$A:$A,0),MATCH($C159,'Data_NSA'!$1:$1,0))))/(100*(INDEX('Data_NSA'!$A:$OK,MATCH(I$1,'Data_NSA'!$A:$A,0),MATCH("CUUR0000SA0",'Data_NSA'!$1:$1,0))/INDEX('Data_NSA'!$A:$OK,MATCH($E159,'Data_NSA'!$A:$A,0),MATCH("CUUR0000SA0",'Data_NSA'!$1:$1,0)))),"")</f>
        <v/>
      </c>
    </row>
    <row r="160">
      <c r="A160" s="3" t="inlineStr">
        <is>
          <t>SEHH02</t>
        </is>
      </c>
      <c r="B160" s="3" t="inlineStr">
        <is>
          <t>Window coverings</t>
        </is>
      </c>
      <c r="C160" s="3" t="inlineStr">
        <is>
          <t>CUUR0000SEHH02</t>
        </is>
      </c>
      <c r="D160" s="21" t="n">
        <v>0.046</v>
      </c>
      <c r="E160" s="22" t="n">
        <v>45992</v>
      </c>
      <c r="F160" s="3" t="n">
        <v>2024</v>
      </c>
      <c r="G160" s="10">
        <f>IFERROR(100*($D160*(INDEX('Data_NSA'!$A:$OK,MATCH(G$1,'Data_NSA'!$A:$A,0),MATCH($C160,'Data_NSA'!$1:$1,0))/INDEX('Data_NSA'!$A:$OK,MATCH($E160,'Data_NSA'!$A:$A,0),MATCH($C160,'Data_NSA'!$1:$1,0))))/(100*(INDEX('Data_NSA'!$A:$OK,MATCH(G$1,'Data_NSA'!$A:$A,0),MATCH("CUUR0000SA0",'Data_NSA'!$1:$1,0))/INDEX('Data_NSA'!$A:$OK,MATCH($E160,'Data_NSA'!$A:$A,0),MATCH("CUUR0000SA0",'Data_NSA'!$1:$1,0)))),"")</f>
        <v/>
      </c>
      <c r="H160" s="10">
        <f>IFERROR(100*($D160*(INDEX('Data_NSA'!$A:$OK,MATCH(H$1,'Data_NSA'!$A:$A,0),MATCH($C160,'Data_NSA'!$1:$1,0))/INDEX('Data_NSA'!$A:$OK,MATCH($E160,'Data_NSA'!$A:$A,0),MATCH($C160,'Data_NSA'!$1:$1,0))))/(100*(INDEX('Data_NSA'!$A:$OK,MATCH(H$1,'Data_NSA'!$A:$A,0),MATCH("CUUR0000SA0",'Data_NSA'!$1:$1,0))/INDEX('Data_NSA'!$A:$OK,MATCH($E160,'Data_NSA'!$A:$A,0),MATCH("CUUR0000SA0",'Data_NSA'!$1:$1,0)))),"")</f>
        <v/>
      </c>
      <c r="I160" s="10">
        <f>IFERROR(100*($D160*(INDEX('Data_NSA'!$A:$OK,MATCH(I$1,'Data_NSA'!$A:$A,0),MATCH($C160,'Data_NSA'!$1:$1,0))/INDEX('Data_NSA'!$A:$OK,MATCH($E160,'Data_NSA'!$A:$A,0),MATCH($C160,'Data_NSA'!$1:$1,0))))/(100*(INDEX('Data_NSA'!$A:$OK,MATCH(I$1,'Data_NSA'!$A:$A,0),MATCH("CUUR0000SA0",'Data_NSA'!$1:$1,0))/INDEX('Data_NSA'!$A:$OK,MATCH($E160,'Data_NSA'!$A:$A,0),MATCH("CUUR0000SA0",'Data_NSA'!$1:$1,0)))),"")</f>
        <v/>
      </c>
    </row>
    <row r="161">
      <c r="A161" s="3" t="inlineStr">
        <is>
          <t>SEHH03</t>
        </is>
      </c>
      <c r="B161" s="3" t="inlineStr">
        <is>
          <t>Other linens</t>
        </is>
      </c>
      <c r="C161" s="3" t="inlineStr">
        <is>
          <t>CUUR0000SEHH03</t>
        </is>
      </c>
      <c r="D161" s="21" t="n">
        <v>0.123</v>
      </c>
      <c r="E161" s="22" t="n">
        <v>45992</v>
      </c>
      <c r="F161" s="3" t="n">
        <v>2024</v>
      </c>
      <c r="G161" s="10">
        <f>IFERROR(100*($D161*(INDEX('Data_NSA'!$A:$OK,MATCH(G$1,'Data_NSA'!$A:$A,0),MATCH($C161,'Data_NSA'!$1:$1,0))/INDEX('Data_NSA'!$A:$OK,MATCH($E161,'Data_NSA'!$A:$A,0),MATCH($C161,'Data_NSA'!$1:$1,0))))/(100*(INDEX('Data_NSA'!$A:$OK,MATCH(G$1,'Data_NSA'!$A:$A,0),MATCH("CUUR0000SA0",'Data_NSA'!$1:$1,0))/INDEX('Data_NSA'!$A:$OK,MATCH($E161,'Data_NSA'!$A:$A,0),MATCH("CUUR0000SA0",'Data_NSA'!$1:$1,0)))),"")</f>
        <v/>
      </c>
      <c r="H161" s="10">
        <f>IFERROR(100*($D161*(INDEX('Data_NSA'!$A:$OK,MATCH(H$1,'Data_NSA'!$A:$A,0),MATCH($C161,'Data_NSA'!$1:$1,0))/INDEX('Data_NSA'!$A:$OK,MATCH($E161,'Data_NSA'!$A:$A,0),MATCH($C161,'Data_NSA'!$1:$1,0))))/(100*(INDEX('Data_NSA'!$A:$OK,MATCH(H$1,'Data_NSA'!$A:$A,0),MATCH("CUUR0000SA0",'Data_NSA'!$1:$1,0))/INDEX('Data_NSA'!$A:$OK,MATCH($E161,'Data_NSA'!$A:$A,0),MATCH("CUUR0000SA0",'Data_NSA'!$1:$1,0)))),"")</f>
        <v/>
      </c>
      <c r="I161" s="10">
        <f>IFERROR(100*($D161*(INDEX('Data_NSA'!$A:$OK,MATCH(I$1,'Data_NSA'!$A:$A,0),MATCH($C161,'Data_NSA'!$1:$1,0))/INDEX('Data_NSA'!$A:$OK,MATCH($E161,'Data_NSA'!$A:$A,0),MATCH($C161,'Data_NSA'!$1:$1,0))))/(100*(INDEX('Data_NSA'!$A:$OK,MATCH(I$1,'Data_NSA'!$A:$A,0),MATCH("CUUR0000SA0",'Data_NSA'!$1:$1,0))/INDEX('Data_NSA'!$A:$OK,MATCH($E161,'Data_NSA'!$A:$A,0),MATCH("CUUR0000SA0",'Data_NSA'!$1:$1,0)))),"")</f>
        <v/>
      </c>
    </row>
    <row r="162">
      <c r="A162" s="3" t="inlineStr">
        <is>
          <t>SEHJ</t>
        </is>
      </c>
      <c r="B162" s="3" t="inlineStr">
        <is>
          <t>Furniture and bedding</t>
        </is>
      </c>
      <c r="C162" s="3" t="inlineStr">
        <is>
          <t>CUUR0000SEHJ</t>
        </is>
      </c>
      <c r="D162" s="21" t="n">
        <v>0.884</v>
      </c>
      <c r="E162" s="22" t="n">
        <v>45992</v>
      </c>
      <c r="F162" s="3" t="n">
        <v>2024</v>
      </c>
      <c r="G162" s="10">
        <f>IFERROR(100*($D162*(INDEX('Data_NSA'!$A:$OK,MATCH(G$1,'Data_NSA'!$A:$A,0),MATCH($C162,'Data_NSA'!$1:$1,0))/INDEX('Data_NSA'!$A:$OK,MATCH($E162,'Data_NSA'!$A:$A,0),MATCH($C162,'Data_NSA'!$1:$1,0))))/(100*(INDEX('Data_NSA'!$A:$OK,MATCH(G$1,'Data_NSA'!$A:$A,0),MATCH("CUUR0000SA0",'Data_NSA'!$1:$1,0))/INDEX('Data_NSA'!$A:$OK,MATCH($E162,'Data_NSA'!$A:$A,0),MATCH("CUUR0000SA0",'Data_NSA'!$1:$1,0)))),"")</f>
        <v/>
      </c>
      <c r="H162" s="10">
        <f>IFERROR(100*($D162*(INDEX('Data_NSA'!$A:$OK,MATCH(H$1,'Data_NSA'!$A:$A,0),MATCH($C162,'Data_NSA'!$1:$1,0))/INDEX('Data_NSA'!$A:$OK,MATCH($E162,'Data_NSA'!$A:$A,0),MATCH($C162,'Data_NSA'!$1:$1,0))))/(100*(INDEX('Data_NSA'!$A:$OK,MATCH(H$1,'Data_NSA'!$A:$A,0),MATCH("CUUR0000SA0",'Data_NSA'!$1:$1,0))/INDEX('Data_NSA'!$A:$OK,MATCH($E162,'Data_NSA'!$A:$A,0),MATCH("CUUR0000SA0",'Data_NSA'!$1:$1,0)))),"")</f>
        <v/>
      </c>
      <c r="I162" s="10">
        <f>IFERROR(100*($D162*(INDEX('Data_NSA'!$A:$OK,MATCH(I$1,'Data_NSA'!$A:$A,0),MATCH($C162,'Data_NSA'!$1:$1,0))/INDEX('Data_NSA'!$A:$OK,MATCH($E162,'Data_NSA'!$A:$A,0),MATCH($C162,'Data_NSA'!$1:$1,0))))/(100*(INDEX('Data_NSA'!$A:$OK,MATCH(I$1,'Data_NSA'!$A:$A,0),MATCH("CUUR0000SA0",'Data_NSA'!$1:$1,0))/INDEX('Data_NSA'!$A:$OK,MATCH($E162,'Data_NSA'!$A:$A,0),MATCH("CUUR0000SA0",'Data_NSA'!$1:$1,0)))),"")</f>
        <v/>
      </c>
    </row>
    <row r="163">
      <c r="A163" s="3" t="inlineStr">
        <is>
          <t>SEHJ01</t>
        </is>
      </c>
      <c r="B163" s="3" t="inlineStr">
        <is>
          <t>Bedroom furniture</t>
        </is>
      </c>
      <c r="C163" s="3" t="inlineStr">
        <is>
          <t>CUUR0000SEHJ01</t>
        </is>
      </c>
      <c r="D163" s="21" t="n">
        <v>0.305</v>
      </c>
      <c r="E163" s="22" t="n">
        <v>45992</v>
      </c>
      <c r="F163" s="3" t="n">
        <v>2024</v>
      </c>
      <c r="G163" s="10">
        <f>IFERROR(100*($D163*(INDEX('Data_NSA'!$A:$OK,MATCH(G$1,'Data_NSA'!$A:$A,0),MATCH($C163,'Data_NSA'!$1:$1,0))/INDEX('Data_NSA'!$A:$OK,MATCH($E163,'Data_NSA'!$A:$A,0),MATCH($C163,'Data_NSA'!$1:$1,0))))/(100*(INDEX('Data_NSA'!$A:$OK,MATCH(G$1,'Data_NSA'!$A:$A,0),MATCH("CUUR0000SA0",'Data_NSA'!$1:$1,0))/INDEX('Data_NSA'!$A:$OK,MATCH($E163,'Data_NSA'!$A:$A,0),MATCH("CUUR0000SA0",'Data_NSA'!$1:$1,0)))),"")</f>
        <v/>
      </c>
      <c r="H163" s="10">
        <f>IFERROR(100*($D163*(INDEX('Data_NSA'!$A:$OK,MATCH(H$1,'Data_NSA'!$A:$A,0),MATCH($C163,'Data_NSA'!$1:$1,0))/INDEX('Data_NSA'!$A:$OK,MATCH($E163,'Data_NSA'!$A:$A,0),MATCH($C163,'Data_NSA'!$1:$1,0))))/(100*(INDEX('Data_NSA'!$A:$OK,MATCH(H$1,'Data_NSA'!$A:$A,0),MATCH("CUUR0000SA0",'Data_NSA'!$1:$1,0))/INDEX('Data_NSA'!$A:$OK,MATCH($E163,'Data_NSA'!$A:$A,0),MATCH("CUUR0000SA0",'Data_NSA'!$1:$1,0)))),"")</f>
        <v/>
      </c>
      <c r="I163" s="10">
        <f>IFERROR(100*($D163*(INDEX('Data_NSA'!$A:$OK,MATCH(I$1,'Data_NSA'!$A:$A,0),MATCH($C163,'Data_NSA'!$1:$1,0))/INDEX('Data_NSA'!$A:$OK,MATCH($E163,'Data_NSA'!$A:$A,0),MATCH($C163,'Data_NSA'!$1:$1,0))))/(100*(INDEX('Data_NSA'!$A:$OK,MATCH(I$1,'Data_NSA'!$A:$A,0),MATCH("CUUR0000SA0",'Data_NSA'!$1:$1,0))/INDEX('Data_NSA'!$A:$OK,MATCH($E163,'Data_NSA'!$A:$A,0),MATCH("CUUR0000SA0",'Data_NSA'!$1:$1,0)))),"")</f>
        <v/>
      </c>
    </row>
    <row r="164">
      <c r="A164" s="3" t="inlineStr">
        <is>
          <t>SEHJ02</t>
        </is>
      </c>
      <c r="B164" s="3" t="inlineStr">
        <is>
          <t>Living room, kitchen, and dining room furniture</t>
        </is>
      </c>
      <c r="C164" s="3" t="inlineStr">
        <is>
          <t>CUUR0000SEHJ02</t>
        </is>
      </c>
      <c r="D164" s="21" t="n">
        <v>0.438</v>
      </c>
      <c r="E164" s="22" t="n">
        <v>45992</v>
      </c>
      <c r="F164" s="3" t="n">
        <v>2024</v>
      </c>
      <c r="G164" s="10">
        <f>IFERROR(100*($D164*(INDEX('Data_NSA'!$A:$OK,MATCH(G$1,'Data_NSA'!$A:$A,0),MATCH($C164,'Data_NSA'!$1:$1,0))/INDEX('Data_NSA'!$A:$OK,MATCH($E164,'Data_NSA'!$A:$A,0),MATCH($C164,'Data_NSA'!$1:$1,0))))/(100*(INDEX('Data_NSA'!$A:$OK,MATCH(G$1,'Data_NSA'!$A:$A,0),MATCH("CUUR0000SA0",'Data_NSA'!$1:$1,0))/INDEX('Data_NSA'!$A:$OK,MATCH($E164,'Data_NSA'!$A:$A,0),MATCH("CUUR0000SA0",'Data_NSA'!$1:$1,0)))),"")</f>
        <v/>
      </c>
      <c r="H164" s="10">
        <f>IFERROR(100*($D164*(INDEX('Data_NSA'!$A:$OK,MATCH(H$1,'Data_NSA'!$A:$A,0),MATCH($C164,'Data_NSA'!$1:$1,0))/INDEX('Data_NSA'!$A:$OK,MATCH($E164,'Data_NSA'!$A:$A,0),MATCH($C164,'Data_NSA'!$1:$1,0))))/(100*(INDEX('Data_NSA'!$A:$OK,MATCH(H$1,'Data_NSA'!$A:$A,0),MATCH("CUUR0000SA0",'Data_NSA'!$1:$1,0))/INDEX('Data_NSA'!$A:$OK,MATCH($E164,'Data_NSA'!$A:$A,0),MATCH("CUUR0000SA0",'Data_NSA'!$1:$1,0)))),"")</f>
        <v/>
      </c>
      <c r="I164" s="10">
        <f>IFERROR(100*($D164*(INDEX('Data_NSA'!$A:$OK,MATCH(I$1,'Data_NSA'!$A:$A,0),MATCH($C164,'Data_NSA'!$1:$1,0))/INDEX('Data_NSA'!$A:$OK,MATCH($E164,'Data_NSA'!$A:$A,0),MATCH($C164,'Data_NSA'!$1:$1,0))))/(100*(INDEX('Data_NSA'!$A:$OK,MATCH(I$1,'Data_NSA'!$A:$A,0),MATCH("CUUR0000SA0",'Data_NSA'!$1:$1,0))/INDEX('Data_NSA'!$A:$OK,MATCH($E164,'Data_NSA'!$A:$A,0),MATCH("CUUR0000SA0",'Data_NSA'!$1:$1,0)))),"")</f>
        <v/>
      </c>
    </row>
    <row r="165">
      <c r="A165" s="3" t="inlineStr">
        <is>
          <t>SEHJ03</t>
        </is>
      </c>
      <c r="B165" s="3" t="inlineStr">
        <is>
          <t>Other furniture</t>
        </is>
      </c>
      <c r="C165" s="3" t="inlineStr">
        <is>
          <t>CUUR0000SEHJ03</t>
        </is>
      </c>
      <c r="D165" s="21" t="n">
        <v>0.136</v>
      </c>
      <c r="E165" s="22" t="n">
        <v>45992</v>
      </c>
      <c r="F165" s="3" t="n">
        <v>2024</v>
      </c>
      <c r="G165" s="10">
        <f>IFERROR(100*($D165*(INDEX('Data_NSA'!$A:$OK,MATCH(G$1,'Data_NSA'!$A:$A,0),MATCH($C165,'Data_NSA'!$1:$1,0))/INDEX('Data_NSA'!$A:$OK,MATCH($E165,'Data_NSA'!$A:$A,0),MATCH($C165,'Data_NSA'!$1:$1,0))))/(100*(INDEX('Data_NSA'!$A:$OK,MATCH(G$1,'Data_NSA'!$A:$A,0),MATCH("CUUR0000SA0",'Data_NSA'!$1:$1,0))/INDEX('Data_NSA'!$A:$OK,MATCH($E165,'Data_NSA'!$A:$A,0),MATCH("CUUR0000SA0",'Data_NSA'!$1:$1,0)))),"")</f>
        <v/>
      </c>
      <c r="H165" s="10">
        <f>IFERROR(100*($D165*(INDEX('Data_NSA'!$A:$OK,MATCH(H$1,'Data_NSA'!$A:$A,0),MATCH($C165,'Data_NSA'!$1:$1,0))/INDEX('Data_NSA'!$A:$OK,MATCH($E165,'Data_NSA'!$A:$A,0),MATCH($C165,'Data_NSA'!$1:$1,0))))/(100*(INDEX('Data_NSA'!$A:$OK,MATCH(H$1,'Data_NSA'!$A:$A,0),MATCH("CUUR0000SA0",'Data_NSA'!$1:$1,0))/INDEX('Data_NSA'!$A:$OK,MATCH($E165,'Data_NSA'!$A:$A,0),MATCH("CUUR0000SA0",'Data_NSA'!$1:$1,0)))),"")</f>
        <v/>
      </c>
      <c r="I165" s="10">
        <f>IFERROR(100*($D165*(INDEX('Data_NSA'!$A:$OK,MATCH(I$1,'Data_NSA'!$A:$A,0),MATCH($C165,'Data_NSA'!$1:$1,0))/INDEX('Data_NSA'!$A:$OK,MATCH($E165,'Data_NSA'!$A:$A,0),MATCH($C165,'Data_NSA'!$1:$1,0))))/(100*(INDEX('Data_NSA'!$A:$OK,MATCH(I$1,'Data_NSA'!$A:$A,0),MATCH("CUUR0000SA0",'Data_NSA'!$1:$1,0))/INDEX('Data_NSA'!$A:$OK,MATCH($E165,'Data_NSA'!$A:$A,0),MATCH("CUUR0000SA0",'Data_NSA'!$1:$1,0)))),"")</f>
        <v/>
      </c>
    </row>
    <row r="166">
      <c r="A166" s="3" t="inlineStr">
        <is>
          <t>SSHJ031</t>
        </is>
      </c>
      <c r="B166" s="3" t="inlineStr">
        <is>
          <t>Infants' furniture</t>
        </is>
      </c>
      <c r="C166" s="3" t="inlineStr">
        <is>
          <t>CUUR0000SSHJ031</t>
        </is>
      </c>
      <c r="D166" s="21" t="n"/>
      <c r="E166" s="22" t="n">
        <v>45992</v>
      </c>
      <c r="F166" s="3" t="n">
        <v>2024</v>
      </c>
      <c r="G166" s="10">
        <f>IFERROR(100*($D166*(INDEX('Data_NSA'!$A:$OK,MATCH(G$1,'Data_NSA'!$A:$A,0),MATCH($C166,'Data_NSA'!$1:$1,0))/INDEX('Data_NSA'!$A:$OK,MATCH($E166,'Data_NSA'!$A:$A,0),MATCH($C166,'Data_NSA'!$1:$1,0))))/(100*(INDEX('Data_NSA'!$A:$OK,MATCH(G$1,'Data_NSA'!$A:$A,0),MATCH("CUUR0000SA0",'Data_NSA'!$1:$1,0))/INDEX('Data_NSA'!$A:$OK,MATCH($E166,'Data_NSA'!$A:$A,0),MATCH("CUUR0000SA0",'Data_NSA'!$1:$1,0)))),"")</f>
        <v/>
      </c>
      <c r="H166" s="10">
        <f>IFERROR(100*($D166*(INDEX('Data_NSA'!$A:$OK,MATCH(H$1,'Data_NSA'!$A:$A,0),MATCH($C166,'Data_NSA'!$1:$1,0))/INDEX('Data_NSA'!$A:$OK,MATCH($E166,'Data_NSA'!$A:$A,0),MATCH($C166,'Data_NSA'!$1:$1,0))))/(100*(INDEX('Data_NSA'!$A:$OK,MATCH(H$1,'Data_NSA'!$A:$A,0),MATCH("CUUR0000SA0",'Data_NSA'!$1:$1,0))/INDEX('Data_NSA'!$A:$OK,MATCH($E166,'Data_NSA'!$A:$A,0),MATCH("CUUR0000SA0",'Data_NSA'!$1:$1,0)))),"")</f>
        <v/>
      </c>
      <c r="I166" s="10">
        <f>IFERROR(100*($D166*(INDEX('Data_NSA'!$A:$OK,MATCH(I$1,'Data_NSA'!$A:$A,0),MATCH($C166,'Data_NSA'!$1:$1,0))/INDEX('Data_NSA'!$A:$OK,MATCH($E166,'Data_NSA'!$A:$A,0),MATCH($C166,'Data_NSA'!$1:$1,0))))/(100*(INDEX('Data_NSA'!$A:$OK,MATCH(I$1,'Data_NSA'!$A:$A,0),MATCH("CUUR0000SA0",'Data_NSA'!$1:$1,0))/INDEX('Data_NSA'!$A:$OK,MATCH($E166,'Data_NSA'!$A:$A,0),MATCH("CUUR0000SA0",'Data_NSA'!$1:$1,0)))),"")</f>
        <v/>
      </c>
    </row>
    <row r="167">
      <c r="A167" s="3" t="inlineStr">
        <is>
          <t>SEHK</t>
        </is>
      </c>
      <c r="B167" s="3" t="inlineStr">
        <is>
          <t>Appliances</t>
        </is>
      </c>
      <c r="C167" s="3" t="inlineStr">
        <is>
          <t>CUUR0000SEHK</t>
        </is>
      </c>
      <c r="D167" s="21" t="n">
        <v>0.191</v>
      </c>
      <c r="E167" s="22" t="n">
        <v>45992</v>
      </c>
      <c r="F167" s="3" t="n">
        <v>2024</v>
      </c>
      <c r="G167" s="10">
        <f>IFERROR(100*($D167*(INDEX('Data_NSA'!$A:$OK,MATCH(G$1,'Data_NSA'!$A:$A,0),MATCH($C167,'Data_NSA'!$1:$1,0))/INDEX('Data_NSA'!$A:$OK,MATCH($E167,'Data_NSA'!$A:$A,0),MATCH($C167,'Data_NSA'!$1:$1,0))))/(100*(INDEX('Data_NSA'!$A:$OK,MATCH(G$1,'Data_NSA'!$A:$A,0),MATCH("CUUR0000SA0",'Data_NSA'!$1:$1,0))/INDEX('Data_NSA'!$A:$OK,MATCH($E167,'Data_NSA'!$A:$A,0),MATCH("CUUR0000SA0",'Data_NSA'!$1:$1,0)))),"")</f>
        <v/>
      </c>
      <c r="H167" s="10">
        <f>IFERROR(100*($D167*(INDEX('Data_NSA'!$A:$OK,MATCH(H$1,'Data_NSA'!$A:$A,0),MATCH($C167,'Data_NSA'!$1:$1,0))/INDEX('Data_NSA'!$A:$OK,MATCH($E167,'Data_NSA'!$A:$A,0),MATCH($C167,'Data_NSA'!$1:$1,0))))/(100*(INDEX('Data_NSA'!$A:$OK,MATCH(H$1,'Data_NSA'!$A:$A,0),MATCH("CUUR0000SA0",'Data_NSA'!$1:$1,0))/INDEX('Data_NSA'!$A:$OK,MATCH($E167,'Data_NSA'!$A:$A,0),MATCH("CUUR0000SA0",'Data_NSA'!$1:$1,0)))),"")</f>
        <v/>
      </c>
      <c r="I167" s="10">
        <f>IFERROR(100*($D167*(INDEX('Data_NSA'!$A:$OK,MATCH(I$1,'Data_NSA'!$A:$A,0),MATCH($C167,'Data_NSA'!$1:$1,0))/INDEX('Data_NSA'!$A:$OK,MATCH($E167,'Data_NSA'!$A:$A,0),MATCH($C167,'Data_NSA'!$1:$1,0))))/(100*(INDEX('Data_NSA'!$A:$OK,MATCH(I$1,'Data_NSA'!$A:$A,0),MATCH("CUUR0000SA0",'Data_NSA'!$1:$1,0))/INDEX('Data_NSA'!$A:$OK,MATCH($E167,'Data_NSA'!$A:$A,0),MATCH("CUUR0000SA0",'Data_NSA'!$1:$1,0)))),"")</f>
        <v/>
      </c>
    </row>
    <row r="168">
      <c r="A168" s="3" t="inlineStr">
        <is>
          <t>SEHK01</t>
        </is>
      </c>
      <c r="B168" s="3" t="inlineStr">
        <is>
          <t>Major appliances</t>
        </is>
      </c>
      <c r="C168" s="3" t="inlineStr">
        <is>
          <t>CUUR0000SEHK01</t>
        </is>
      </c>
      <c r="D168" s="21" t="n">
        <v>0.065</v>
      </c>
      <c r="E168" s="22" t="n">
        <v>45992</v>
      </c>
      <c r="F168" s="3" t="n">
        <v>2024</v>
      </c>
      <c r="G168" s="10">
        <f>IFERROR(100*($D168*(INDEX('Data_NSA'!$A:$OK,MATCH(G$1,'Data_NSA'!$A:$A,0),MATCH($C168,'Data_NSA'!$1:$1,0))/INDEX('Data_NSA'!$A:$OK,MATCH($E168,'Data_NSA'!$A:$A,0),MATCH($C168,'Data_NSA'!$1:$1,0))))/(100*(INDEX('Data_NSA'!$A:$OK,MATCH(G$1,'Data_NSA'!$A:$A,0),MATCH("CUUR0000SA0",'Data_NSA'!$1:$1,0))/INDEX('Data_NSA'!$A:$OK,MATCH($E168,'Data_NSA'!$A:$A,0),MATCH("CUUR0000SA0",'Data_NSA'!$1:$1,0)))),"")</f>
        <v/>
      </c>
      <c r="H168" s="10">
        <f>IFERROR(100*($D168*(INDEX('Data_NSA'!$A:$OK,MATCH(H$1,'Data_NSA'!$A:$A,0),MATCH($C168,'Data_NSA'!$1:$1,0))/INDEX('Data_NSA'!$A:$OK,MATCH($E168,'Data_NSA'!$A:$A,0),MATCH($C168,'Data_NSA'!$1:$1,0))))/(100*(INDEX('Data_NSA'!$A:$OK,MATCH(H$1,'Data_NSA'!$A:$A,0),MATCH("CUUR0000SA0",'Data_NSA'!$1:$1,0))/INDEX('Data_NSA'!$A:$OK,MATCH($E168,'Data_NSA'!$A:$A,0),MATCH("CUUR0000SA0",'Data_NSA'!$1:$1,0)))),"")</f>
        <v/>
      </c>
      <c r="I168" s="10">
        <f>IFERROR(100*($D168*(INDEX('Data_NSA'!$A:$OK,MATCH(I$1,'Data_NSA'!$A:$A,0),MATCH($C168,'Data_NSA'!$1:$1,0))/INDEX('Data_NSA'!$A:$OK,MATCH($E168,'Data_NSA'!$A:$A,0),MATCH($C168,'Data_NSA'!$1:$1,0))))/(100*(INDEX('Data_NSA'!$A:$OK,MATCH(I$1,'Data_NSA'!$A:$A,0),MATCH("CUUR0000SA0",'Data_NSA'!$1:$1,0))/INDEX('Data_NSA'!$A:$OK,MATCH($E168,'Data_NSA'!$A:$A,0),MATCH("CUUR0000SA0",'Data_NSA'!$1:$1,0)))),"")</f>
        <v/>
      </c>
    </row>
    <row r="169">
      <c r="A169" s="3" t="inlineStr">
        <is>
          <t>SS30021</t>
        </is>
      </c>
      <c r="B169" s="3" t="inlineStr">
        <is>
          <t>Laundry equipment</t>
        </is>
      </c>
      <c r="C169" s="3" t="inlineStr">
        <is>
          <t>CUUR0000SS30021</t>
        </is>
      </c>
      <c r="D169" s="21" t="n"/>
      <c r="E169" s="22" t="n">
        <v>45992</v>
      </c>
      <c r="F169" s="3" t="n">
        <v>2024</v>
      </c>
      <c r="G169" s="10">
        <f>IFERROR(100*($D169*(INDEX('Data_NSA'!$A:$OK,MATCH(G$1,'Data_NSA'!$A:$A,0),MATCH($C169,'Data_NSA'!$1:$1,0))/INDEX('Data_NSA'!$A:$OK,MATCH($E169,'Data_NSA'!$A:$A,0),MATCH($C169,'Data_NSA'!$1:$1,0))))/(100*(INDEX('Data_NSA'!$A:$OK,MATCH(G$1,'Data_NSA'!$A:$A,0),MATCH("CUUR0000SA0",'Data_NSA'!$1:$1,0))/INDEX('Data_NSA'!$A:$OK,MATCH($E169,'Data_NSA'!$A:$A,0),MATCH("CUUR0000SA0",'Data_NSA'!$1:$1,0)))),"")</f>
        <v/>
      </c>
      <c r="H169" s="10">
        <f>IFERROR(100*($D169*(INDEX('Data_NSA'!$A:$OK,MATCH(H$1,'Data_NSA'!$A:$A,0),MATCH($C169,'Data_NSA'!$1:$1,0))/INDEX('Data_NSA'!$A:$OK,MATCH($E169,'Data_NSA'!$A:$A,0),MATCH($C169,'Data_NSA'!$1:$1,0))))/(100*(INDEX('Data_NSA'!$A:$OK,MATCH(H$1,'Data_NSA'!$A:$A,0),MATCH("CUUR0000SA0",'Data_NSA'!$1:$1,0))/INDEX('Data_NSA'!$A:$OK,MATCH($E169,'Data_NSA'!$A:$A,0),MATCH("CUUR0000SA0",'Data_NSA'!$1:$1,0)))),"")</f>
        <v/>
      </c>
      <c r="I169" s="10">
        <f>IFERROR(100*($D169*(INDEX('Data_NSA'!$A:$OK,MATCH(I$1,'Data_NSA'!$A:$A,0),MATCH($C169,'Data_NSA'!$1:$1,0))/INDEX('Data_NSA'!$A:$OK,MATCH($E169,'Data_NSA'!$A:$A,0),MATCH($C169,'Data_NSA'!$1:$1,0))))/(100*(INDEX('Data_NSA'!$A:$OK,MATCH(I$1,'Data_NSA'!$A:$A,0),MATCH("CUUR0000SA0",'Data_NSA'!$1:$1,0))/INDEX('Data_NSA'!$A:$OK,MATCH($E169,'Data_NSA'!$A:$A,0),MATCH("CUUR0000SA0",'Data_NSA'!$1:$1,0)))),"")</f>
        <v/>
      </c>
    </row>
    <row r="170">
      <c r="A170" s="3" t="inlineStr">
        <is>
          <t>SEHK02</t>
        </is>
      </c>
      <c r="B170" s="3" t="inlineStr">
        <is>
          <t>Other appliances</t>
        </is>
      </c>
      <c r="C170" s="3" t="inlineStr">
        <is>
          <t>CUUR0000SEHK02</t>
        </is>
      </c>
      <c r="D170" s="21" t="n">
        <v>0.123</v>
      </c>
      <c r="E170" s="22" t="n">
        <v>45992</v>
      </c>
      <c r="F170" s="3" t="n">
        <v>2024</v>
      </c>
      <c r="G170" s="10">
        <f>IFERROR(100*($D170*(INDEX('Data_NSA'!$A:$OK,MATCH(G$1,'Data_NSA'!$A:$A,0),MATCH($C170,'Data_NSA'!$1:$1,0))/INDEX('Data_NSA'!$A:$OK,MATCH($E170,'Data_NSA'!$A:$A,0),MATCH($C170,'Data_NSA'!$1:$1,0))))/(100*(INDEX('Data_NSA'!$A:$OK,MATCH(G$1,'Data_NSA'!$A:$A,0),MATCH("CUUR0000SA0",'Data_NSA'!$1:$1,0))/INDEX('Data_NSA'!$A:$OK,MATCH($E170,'Data_NSA'!$A:$A,0),MATCH("CUUR0000SA0",'Data_NSA'!$1:$1,0)))),"")</f>
        <v/>
      </c>
      <c r="H170" s="10">
        <f>IFERROR(100*($D170*(INDEX('Data_NSA'!$A:$OK,MATCH(H$1,'Data_NSA'!$A:$A,0),MATCH($C170,'Data_NSA'!$1:$1,0))/INDEX('Data_NSA'!$A:$OK,MATCH($E170,'Data_NSA'!$A:$A,0),MATCH($C170,'Data_NSA'!$1:$1,0))))/(100*(INDEX('Data_NSA'!$A:$OK,MATCH(H$1,'Data_NSA'!$A:$A,0),MATCH("CUUR0000SA0",'Data_NSA'!$1:$1,0))/INDEX('Data_NSA'!$A:$OK,MATCH($E170,'Data_NSA'!$A:$A,0),MATCH("CUUR0000SA0",'Data_NSA'!$1:$1,0)))),"")</f>
        <v/>
      </c>
      <c r="I170" s="10">
        <f>IFERROR(100*($D170*(INDEX('Data_NSA'!$A:$OK,MATCH(I$1,'Data_NSA'!$A:$A,0),MATCH($C170,'Data_NSA'!$1:$1,0))/INDEX('Data_NSA'!$A:$OK,MATCH($E170,'Data_NSA'!$A:$A,0),MATCH($C170,'Data_NSA'!$1:$1,0))))/(100*(INDEX('Data_NSA'!$A:$OK,MATCH(I$1,'Data_NSA'!$A:$A,0),MATCH("CUUR0000SA0",'Data_NSA'!$1:$1,0))/INDEX('Data_NSA'!$A:$OK,MATCH($E170,'Data_NSA'!$A:$A,0),MATCH("CUUR0000SA0",'Data_NSA'!$1:$1,0)))),"")</f>
        <v/>
      </c>
    </row>
    <row r="171">
      <c r="A171" s="3" t="inlineStr">
        <is>
          <t>SEHL</t>
        </is>
      </c>
      <c r="B171" s="3" t="inlineStr">
        <is>
          <t>Other household equipment and furnishings</t>
        </is>
      </c>
      <c r="C171" s="3" t="inlineStr">
        <is>
          <t>CUUR0000SEHL</t>
        </is>
      </c>
      <c r="D171" s="21" t="n">
        <v>0.5659999999999999</v>
      </c>
      <c r="E171" s="22" t="n">
        <v>45992</v>
      </c>
      <c r="F171" s="3" t="n">
        <v>2024</v>
      </c>
      <c r="G171" s="10">
        <f>IFERROR(100*($D171*(INDEX('Data_NSA'!$A:$OK,MATCH(G$1,'Data_NSA'!$A:$A,0),MATCH($C171,'Data_NSA'!$1:$1,0))/INDEX('Data_NSA'!$A:$OK,MATCH($E171,'Data_NSA'!$A:$A,0),MATCH($C171,'Data_NSA'!$1:$1,0))))/(100*(INDEX('Data_NSA'!$A:$OK,MATCH(G$1,'Data_NSA'!$A:$A,0),MATCH("CUUR0000SA0",'Data_NSA'!$1:$1,0))/INDEX('Data_NSA'!$A:$OK,MATCH($E171,'Data_NSA'!$A:$A,0),MATCH("CUUR0000SA0",'Data_NSA'!$1:$1,0)))),"")</f>
        <v/>
      </c>
      <c r="H171" s="10">
        <f>IFERROR(100*($D171*(INDEX('Data_NSA'!$A:$OK,MATCH(H$1,'Data_NSA'!$A:$A,0),MATCH($C171,'Data_NSA'!$1:$1,0))/INDEX('Data_NSA'!$A:$OK,MATCH($E171,'Data_NSA'!$A:$A,0),MATCH($C171,'Data_NSA'!$1:$1,0))))/(100*(INDEX('Data_NSA'!$A:$OK,MATCH(H$1,'Data_NSA'!$A:$A,0),MATCH("CUUR0000SA0",'Data_NSA'!$1:$1,0))/INDEX('Data_NSA'!$A:$OK,MATCH($E171,'Data_NSA'!$A:$A,0),MATCH("CUUR0000SA0",'Data_NSA'!$1:$1,0)))),"")</f>
        <v/>
      </c>
      <c r="I171" s="10">
        <f>IFERROR(100*($D171*(INDEX('Data_NSA'!$A:$OK,MATCH(I$1,'Data_NSA'!$A:$A,0),MATCH($C171,'Data_NSA'!$1:$1,0))/INDEX('Data_NSA'!$A:$OK,MATCH($E171,'Data_NSA'!$A:$A,0),MATCH($C171,'Data_NSA'!$1:$1,0))))/(100*(INDEX('Data_NSA'!$A:$OK,MATCH(I$1,'Data_NSA'!$A:$A,0),MATCH("CUUR0000SA0",'Data_NSA'!$1:$1,0))/INDEX('Data_NSA'!$A:$OK,MATCH($E171,'Data_NSA'!$A:$A,0),MATCH("CUUR0000SA0",'Data_NSA'!$1:$1,0)))),"")</f>
        <v/>
      </c>
    </row>
    <row r="172">
      <c r="A172" s="3" t="inlineStr">
        <is>
          <t>SEHL01</t>
        </is>
      </c>
      <c r="B172" s="3" t="inlineStr">
        <is>
          <t>Clocks, lamps, and decorator items</t>
        </is>
      </c>
      <c r="C172" s="3" t="inlineStr">
        <is>
          <t>CUUR0000SEHL01</t>
        </is>
      </c>
      <c r="D172" s="21" t="n">
        <v>0.329</v>
      </c>
      <c r="E172" s="22" t="n">
        <v>45992</v>
      </c>
      <c r="F172" s="3" t="n">
        <v>2024</v>
      </c>
      <c r="G172" s="10">
        <f>IFERROR(100*($D172*(INDEX('Data_NSA'!$A:$OK,MATCH(G$1,'Data_NSA'!$A:$A,0),MATCH($C172,'Data_NSA'!$1:$1,0))/INDEX('Data_NSA'!$A:$OK,MATCH($E172,'Data_NSA'!$A:$A,0),MATCH($C172,'Data_NSA'!$1:$1,0))))/(100*(INDEX('Data_NSA'!$A:$OK,MATCH(G$1,'Data_NSA'!$A:$A,0),MATCH("CUUR0000SA0",'Data_NSA'!$1:$1,0))/INDEX('Data_NSA'!$A:$OK,MATCH($E172,'Data_NSA'!$A:$A,0),MATCH("CUUR0000SA0",'Data_NSA'!$1:$1,0)))),"")</f>
        <v/>
      </c>
      <c r="H172" s="10">
        <f>IFERROR(100*($D172*(INDEX('Data_NSA'!$A:$OK,MATCH(H$1,'Data_NSA'!$A:$A,0),MATCH($C172,'Data_NSA'!$1:$1,0))/INDEX('Data_NSA'!$A:$OK,MATCH($E172,'Data_NSA'!$A:$A,0),MATCH($C172,'Data_NSA'!$1:$1,0))))/(100*(INDEX('Data_NSA'!$A:$OK,MATCH(H$1,'Data_NSA'!$A:$A,0),MATCH("CUUR0000SA0",'Data_NSA'!$1:$1,0))/INDEX('Data_NSA'!$A:$OK,MATCH($E172,'Data_NSA'!$A:$A,0),MATCH("CUUR0000SA0",'Data_NSA'!$1:$1,0)))),"")</f>
        <v/>
      </c>
      <c r="I172" s="10">
        <f>IFERROR(100*($D172*(INDEX('Data_NSA'!$A:$OK,MATCH(I$1,'Data_NSA'!$A:$A,0),MATCH($C172,'Data_NSA'!$1:$1,0))/INDEX('Data_NSA'!$A:$OK,MATCH($E172,'Data_NSA'!$A:$A,0),MATCH($C172,'Data_NSA'!$1:$1,0))))/(100*(INDEX('Data_NSA'!$A:$OK,MATCH(I$1,'Data_NSA'!$A:$A,0),MATCH("CUUR0000SA0",'Data_NSA'!$1:$1,0))/INDEX('Data_NSA'!$A:$OK,MATCH($E172,'Data_NSA'!$A:$A,0),MATCH("CUUR0000SA0",'Data_NSA'!$1:$1,0)))),"")</f>
        <v/>
      </c>
    </row>
    <row r="173">
      <c r="A173" s="3" t="inlineStr">
        <is>
          <t>SEHL02</t>
        </is>
      </c>
      <c r="B173" s="3" t="inlineStr">
        <is>
          <t>Indoor plants and flowers</t>
        </is>
      </c>
      <c r="C173" s="3" t="inlineStr">
        <is>
          <t>CUUR0000SEHL02</t>
        </is>
      </c>
      <c r="D173" s="21" t="n">
        <v>0.121</v>
      </c>
      <c r="E173" s="22" t="n">
        <v>45992</v>
      </c>
      <c r="F173" s="3" t="n">
        <v>2024</v>
      </c>
      <c r="G173" s="10">
        <f>IFERROR(100*($D173*(INDEX('Data_NSA'!$A:$OK,MATCH(G$1,'Data_NSA'!$A:$A,0),MATCH($C173,'Data_NSA'!$1:$1,0))/INDEX('Data_NSA'!$A:$OK,MATCH($E173,'Data_NSA'!$A:$A,0),MATCH($C173,'Data_NSA'!$1:$1,0))))/(100*(INDEX('Data_NSA'!$A:$OK,MATCH(G$1,'Data_NSA'!$A:$A,0),MATCH("CUUR0000SA0",'Data_NSA'!$1:$1,0))/INDEX('Data_NSA'!$A:$OK,MATCH($E173,'Data_NSA'!$A:$A,0),MATCH("CUUR0000SA0",'Data_NSA'!$1:$1,0)))),"")</f>
        <v/>
      </c>
      <c r="H173" s="10">
        <f>IFERROR(100*($D173*(INDEX('Data_NSA'!$A:$OK,MATCH(H$1,'Data_NSA'!$A:$A,0),MATCH($C173,'Data_NSA'!$1:$1,0))/INDEX('Data_NSA'!$A:$OK,MATCH($E173,'Data_NSA'!$A:$A,0),MATCH($C173,'Data_NSA'!$1:$1,0))))/(100*(INDEX('Data_NSA'!$A:$OK,MATCH(H$1,'Data_NSA'!$A:$A,0),MATCH("CUUR0000SA0",'Data_NSA'!$1:$1,0))/INDEX('Data_NSA'!$A:$OK,MATCH($E173,'Data_NSA'!$A:$A,0),MATCH("CUUR0000SA0",'Data_NSA'!$1:$1,0)))),"")</f>
        <v/>
      </c>
      <c r="I173" s="10">
        <f>IFERROR(100*($D173*(INDEX('Data_NSA'!$A:$OK,MATCH(I$1,'Data_NSA'!$A:$A,0),MATCH($C173,'Data_NSA'!$1:$1,0))/INDEX('Data_NSA'!$A:$OK,MATCH($E173,'Data_NSA'!$A:$A,0),MATCH($C173,'Data_NSA'!$1:$1,0))))/(100*(INDEX('Data_NSA'!$A:$OK,MATCH(I$1,'Data_NSA'!$A:$A,0),MATCH("CUUR0000SA0",'Data_NSA'!$1:$1,0))/INDEX('Data_NSA'!$A:$OK,MATCH($E173,'Data_NSA'!$A:$A,0),MATCH("CUUR0000SA0",'Data_NSA'!$1:$1,0)))),"")</f>
        <v/>
      </c>
    </row>
    <row r="174">
      <c r="A174" s="3" t="inlineStr">
        <is>
          <t>SEHL03</t>
        </is>
      </c>
      <c r="B174" s="3" t="inlineStr">
        <is>
          <t>Dishes and flatware</t>
        </is>
      </c>
      <c r="C174" s="3" t="inlineStr">
        <is>
          <t>CUUR0000SEHL03</t>
        </is>
      </c>
      <c r="D174" s="21" t="n">
        <v>0.043</v>
      </c>
      <c r="E174" s="22" t="n">
        <v>45992</v>
      </c>
      <c r="F174" s="3" t="n">
        <v>2024</v>
      </c>
      <c r="G174" s="10">
        <f>IFERROR(100*($D174*(INDEX('Data_NSA'!$A:$OK,MATCH(G$1,'Data_NSA'!$A:$A,0),MATCH($C174,'Data_NSA'!$1:$1,0))/INDEX('Data_NSA'!$A:$OK,MATCH($E174,'Data_NSA'!$A:$A,0),MATCH($C174,'Data_NSA'!$1:$1,0))))/(100*(INDEX('Data_NSA'!$A:$OK,MATCH(G$1,'Data_NSA'!$A:$A,0),MATCH("CUUR0000SA0",'Data_NSA'!$1:$1,0))/INDEX('Data_NSA'!$A:$OK,MATCH($E174,'Data_NSA'!$A:$A,0),MATCH("CUUR0000SA0",'Data_NSA'!$1:$1,0)))),"")</f>
        <v/>
      </c>
      <c r="H174" s="10">
        <f>IFERROR(100*($D174*(INDEX('Data_NSA'!$A:$OK,MATCH(H$1,'Data_NSA'!$A:$A,0),MATCH($C174,'Data_NSA'!$1:$1,0))/INDEX('Data_NSA'!$A:$OK,MATCH($E174,'Data_NSA'!$A:$A,0),MATCH($C174,'Data_NSA'!$1:$1,0))))/(100*(INDEX('Data_NSA'!$A:$OK,MATCH(H$1,'Data_NSA'!$A:$A,0),MATCH("CUUR0000SA0",'Data_NSA'!$1:$1,0))/INDEX('Data_NSA'!$A:$OK,MATCH($E174,'Data_NSA'!$A:$A,0),MATCH("CUUR0000SA0",'Data_NSA'!$1:$1,0)))),"")</f>
        <v/>
      </c>
      <c r="I174" s="10">
        <f>IFERROR(100*($D174*(INDEX('Data_NSA'!$A:$OK,MATCH(I$1,'Data_NSA'!$A:$A,0),MATCH($C174,'Data_NSA'!$1:$1,0))/INDEX('Data_NSA'!$A:$OK,MATCH($E174,'Data_NSA'!$A:$A,0),MATCH($C174,'Data_NSA'!$1:$1,0))))/(100*(INDEX('Data_NSA'!$A:$OK,MATCH(I$1,'Data_NSA'!$A:$A,0),MATCH("CUUR0000SA0",'Data_NSA'!$1:$1,0))/INDEX('Data_NSA'!$A:$OK,MATCH($E174,'Data_NSA'!$A:$A,0),MATCH("CUUR0000SA0",'Data_NSA'!$1:$1,0)))),"")</f>
        <v/>
      </c>
    </row>
    <row r="175">
      <c r="A175" s="3" t="inlineStr">
        <is>
          <t>SEHL04</t>
        </is>
      </c>
      <c r="B175" s="3" t="inlineStr">
        <is>
          <t>Nonelectric cookware and tableware</t>
        </is>
      </c>
      <c r="C175" s="3" t="inlineStr">
        <is>
          <t>CUUR0000SEHL04</t>
        </is>
      </c>
      <c r="D175" s="21" t="n">
        <v>0.07199999999999999</v>
      </c>
      <c r="E175" s="22" t="n">
        <v>45992</v>
      </c>
      <c r="F175" s="3" t="n">
        <v>2024</v>
      </c>
      <c r="G175" s="10">
        <f>IFERROR(100*($D175*(INDEX('Data_NSA'!$A:$OK,MATCH(G$1,'Data_NSA'!$A:$A,0),MATCH($C175,'Data_NSA'!$1:$1,0))/INDEX('Data_NSA'!$A:$OK,MATCH($E175,'Data_NSA'!$A:$A,0),MATCH($C175,'Data_NSA'!$1:$1,0))))/(100*(INDEX('Data_NSA'!$A:$OK,MATCH(G$1,'Data_NSA'!$A:$A,0),MATCH("CUUR0000SA0",'Data_NSA'!$1:$1,0))/INDEX('Data_NSA'!$A:$OK,MATCH($E175,'Data_NSA'!$A:$A,0),MATCH("CUUR0000SA0",'Data_NSA'!$1:$1,0)))),"")</f>
        <v/>
      </c>
      <c r="H175" s="10">
        <f>IFERROR(100*($D175*(INDEX('Data_NSA'!$A:$OK,MATCH(H$1,'Data_NSA'!$A:$A,0),MATCH($C175,'Data_NSA'!$1:$1,0))/INDEX('Data_NSA'!$A:$OK,MATCH($E175,'Data_NSA'!$A:$A,0),MATCH($C175,'Data_NSA'!$1:$1,0))))/(100*(INDEX('Data_NSA'!$A:$OK,MATCH(H$1,'Data_NSA'!$A:$A,0),MATCH("CUUR0000SA0",'Data_NSA'!$1:$1,0))/INDEX('Data_NSA'!$A:$OK,MATCH($E175,'Data_NSA'!$A:$A,0),MATCH("CUUR0000SA0",'Data_NSA'!$1:$1,0)))),"")</f>
        <v/>
      </c>
      <c r="I175" s="10">
        <f>IFERROR(100*($D175*(INDEX('Data_NSA'!$A:$OK,MATCH(I$1,'Data_NSA'!$A:$A,0),MATCH($C175,'Data_NSA'!$1:$1,0))/INDEX('Data_NSA'!$A:$OK,MATCH($E175,'Data_NSA'!$A:$A,0),MATCH($C175,'Data_NSA'!$1:$1,0))))/(100*(INDEX('Data_NSA'!$A:$OK,MATCH(I$1,'Data_NSA'!$A:$A,0),MATCH("CUUR0000SA0",'Data_NSA'!$1:$1,0))/INDEX('Data_NSA'!$A:$OK,MATCH($E175,'Data_NSA'!$A:$A,0),MATCH("CUUR0000SA0",'Data_NSA'!$1:$1,0)))),"")</f>
        <v/>
      </c>
    </row>
    <row r="176">
      <c r="A176" s="3" t="inlineStr">
        <is>
          <t>SEHM</t>
        </is>
      </c>
      <c r="B176" s="3" t="inlineStr">
        <is>
          <t>Tools, hardware, outdoor equipment and supplies</t>
        </is>
      </c>
      <c r="C176" s="3" t="inlineStr">
        <is>
          <t>CUUR0000SEHM</t>
        </is>
      </c>
      <c r="D176" s="21" t="n">
        <v>0.6909999999999999</v>
      </c>
      <c r="E176" s="22" t="n">
        <v>45992</v>
      </c>
      <c r="F176" s="3" t="n">
        <v>2024</v>
      </c>
      <c r="G176" s="10">
        <f>IFERROR(100*($D176*(INDEX('Data_NSA'!$A:$OK,MATCH(G$1,'Data_NSA'!$A:$A,0),MATCH($C176,'Data_NSA'!$1:$1,0))/INDEX('Data_NSA'!$A:$OK,MATCH($E176,'Data_NSA'!$A:$A,0),MATCH($C176,'Data_NSA'!$1:$1,0))))/(100*(INDEX('Data_NSA'!$A:$OK,MATCH(G$1,'Data_NSA'!$A:$A,0),MATCH("CUUR0000SA0",'Data_NSA'!$1:$1,0))/INDEX('Data_NSA'!$A:$OK,MATCH($E176,'Data_NSA'!$A:$A,0),MATCH("CUUR0000SA0",'Data_NSA'!$1:$1,0)))),"")</f>
        <v/>
      </c>
      <c r="H176" s="10">
        <f>IFERROR(100*($D176*(INDEX('Data_NSA'!$A:$OK,MATCH(H$1,'Data_NSA'!$A:$A,0),MATCH($C176,'Data_NSA'!$1:$1,0))/INDEX('Data_NSA'!$A:$OK,MATCH($E176,'Data_NSA'!$A:$A,0),MATCH($C176,'Data_NSA'!$1:$1,0))))/(100*(INDEX('Data_NSA'!$A:$OK,MATCH(H$1,'Data_NSA'!$A:$A,0),MATCH("CUUR0000SA0",'Data_NSA'!$1:$1,0))/INDEX('Data_NSA'!$A:$OK,MATCH($E176,'Data_NSA'!$A:$A,0),MATCH("CUUR0000SA0",'Data_NSA'!$1:$1,0)))),"")</f>
        <v/>
      </c>
      <c r="I176" s="10">
        <f>IFERROR(100*($D176*(INDEX('Data_NSA'!$A:$OK,MATCH(I$1,'Data_NSA'!$A:$A,0),MATCH($C176,'Data_NSA'!$1:$1,0))/INDEX('Data_NSA'!$A:$OK,MATCH($E176,'Data_NSA'!$A:$A,0),MATCH($C176,'Data_NSA'!$1:$1,0))))/(100*(INDEX('Data_NSA'!$A:$OK,MATCH(I$1,'Data_NSA'!$A:$A,0),MATCH("CUUR0000SA0",'Data_NSA'!$1:$1,0))/INDEX('Data_NSA'!$A:$OK,MATCH($E176,'Data_NSA'!$A:$A,0),MATCH("CUUR0000SA0",'Data_NSA'!$1:$1,0)))),"")</f>
        <v/>
      </c>
    </row>
    <row r="177">
      <c r="A177" s="3" t="inlineStr">
        <is>
          <t>SEHM01</t>
        </is>
      </c>
      <c r="B177" s="3" t="inlineStr">
        <is>
          <t>Tools, hardware and supplies</t>
        </is>
      </c>
      <c r="C177" s="3" t="inlineStr">
        <is>
          <t>CUUR0000SEHM01</t>
        </is>
      </c>
      <c r="D177" s="21" t="n">
        <v>0.21</v>
      </c>
      <c r="E177" s="22" t="n">
        <v>45992</v>
      </c>
      <c r="F177" s="3" t="n">
        <v>2024</v>
      </c>
      <c r="G177" s="10">
        <f>IFERROR(100*($D177*(INDEX('Data_NSA'!$A:$OK,MATCH(G$1,'Data_NSA'!$A:$A,0),MATCH($C177,'Data_NSA'!$1:$1,0))/INDEX('Data_NSA'!$A:$OK,MATCH($E177,'Data_NSA'!$A:$A,0),MATCH($C177,'Data_NSA'!$1:$1,0))))/(100*(INDEX('Data_NSA'!$A:$OK,MATCH(G$1,'Data_NSA'!$A:$A,0),MATCH("CUUR0000SA0",'Data_NSA'!$1:$1,0))/INDEX('Data_NSA'!$A:$OK,MATCH($E177,'Data_NSA'!$A:$A,0),MATCH("CUUR0000SA0",'Data_NSA'!$1:$1,0)))),"")</f>
        <v/>
      </c>
      <c r="H177" s="10">
        <f>IFERROR(100*($D177*(INDEX('Data_NSA'!$A:$OK,MATCH(H$1,'Data_NSA'!$A:$A,0),MATCH($C177,'Data_NSA'!$1:$1,0))/INDEX('Data_NSA'!$A:$OK,MATCH($E177,'Data_NSA'!$A:$A,0),MATCH($C177,'Data_NSA'!$1:$1,0))))/(100*(INDEX('Data_NSA'!$A:$OK,MATCH(H$1,'Data_NSA'!$A:$A,0),MATCH("CUUR0000SA0",'Data_NSA'!$1:$1,0))/INDEX('Data_NSA'!$A:$OK,MATCH($E177,'Data_NSA'!$A:$A,0),MATCH("CUUR0000SA0",'Data_NSA'!$1:$1,0)))),"")</f>
        <v/>
      </c>
      <c r="I177" s="10">
        <f>IFERROR(100*($D177*(INDEX('Data_NSA'!$A:$OK,MATCH(I$1,'Data_NSA'!$A:$A,0),MATCH($C177,'Data_NSA'!$1:$1,0))/INDEX('Data_NSA'!$A:$OK,MATCH($E177,'Data_NSA'!$A:$A,0),MATCH($C177,'Data_NSA'!$1:$1,0))))/(100*(INDEX('Data_NSA'!$A:$OK,MATCH(I$1,'Data_NSA'!$A:$A,0),MATCH("CUUR0000SA0",'Data_NSA'!$1:$1,0))/INDEX('Data_NSA'!$A:$OK,MATCH($E177,'Data_NSA'!$A:$A,0),MATCH("CUUR0000SA0",'Data_NSA'!$1:$1,0)))),"")</f>
        <v/>
      </c>
    </row>
    <row r="178">
      <c r="A178" s="3" t="inlineStr">
        <is>
          <t>SEHM02</t>
        </is>
      </c>
      <c r="B178" s="3" t="inlineStr">
        <is>
          <t>Outdoor equipment and supplies</t>
        </is>
      </c>
      <c r="C178" s="3" t="inlineStr">
        <is>
          <t>CUUR0000SEHM02</t>
        </is>
      </c>
      <c r="D178" s="21" t="n">
        <v>0.3</v>
      </c>
      <c r="E178" s="22" t="n">
        <v>45992</v>
      </c>
      <c r="F178" s="3" t="n">
        <v>2024</v>
      </c>
      <c r="G178" s="10">
        <f>IFERROR(100*($D178*(INDEX('Data_NSA'!$A:$OK,MATCH(G$1,'Data_NSA'!$A:$A,0),MATCH($C178,'Data_NSA'!$1:$1,0))/INDEX('Data_NSA'!$A:$OK,MATCH($E178,'Data_NSA'!$A:$A,0),MATCH($C178,'Data_NSA'!$1:$1,0))))/(100*(INDEX('Data_NSA'!$A:$OK,MATCH(G$1,'Data_NSA'!$A:$A,0),MATCH("CUUR0000SA0",'Data_NSA'!$1:$1,0))/INDEX('Data_NSA'!$A:$OK,MATCH($E178,'Data_NSA'!$A:$A,0),MATCH("CUUR0000SA0",'Data_NSA'!$1:$1,0)))),"")</f>
        <v/>
      </c>
      <c r="H178" s="10">
        <f>IFERROR(100*($D178*(INDEX('Data_NSA'!$A:$OK,MATCH(H$1,'Data_NSA'!$A:$A,0),MATCH($C178,'Data_NSA'!$1:$1,0))/INDEX('Data_NSA'!$A:$OK,MATCH($E178,'Data_NSA'!$A:$A,0),MATCH($C178,'Data_NSA'!$1:$1,0))))/(100*(INDEX('Data_NSA'!$A:$OK,MATCH(H$1,'Data_NSA'!$A:$A,0),MATCH("CUUR0000SA0",'Data_NSA'!$1:$1,0))/INDEX('Data_NSA'!$A:$OK,MATCH($E178,'Data_NSA'!$A:$A,0),MATCH("CUUR0000SA0",'Data_NSA'!$1:$1,0)))),"")</f>
        <v/>
      </c>
      <c r="I178" s="10">
        <f>IFERROR(100*($D178*(INDEX('Data_NSA'!$A:$OK,MATCH(I$1,'Data_NSA'!$A:$A,0),MATCH($C178,'Data_NSA'!$1:$1,0))/INDEX('Data_NSA'!$A:$OK,MATCH($E178,'Data_NSA'!$A:$A,0),MATCH($C178,'Data_NSA'!$1:$1,0))))/(100*(INDEX('Data_NSA'!$A:$OK,MATCH(I$1,'Data_NSA'!$A:$A,0),MATCH("CUUR0000SA0",'Data_NSA'!$1:$1,0))/INDEX('Data_NSA'!$A:$OK,MATCH($E178,'Data_NSA'!$A:$A,0),MATCH("CUUR0000SA0",'Data_NSA'!$1:$1,0)))),"")</f>
        <v/>
      </c>
    </row>
    <row r="179">
      <c r="A179" s="3" t="inlineStr">
        <is>
          <t>SEHN</t>
        </is>
      </c>
      <c r="B179" s="3" t="inlineStr">
        <is>
          <t>Housekeeping supplies</t>
        </is>
      </c>
      <c r="C179" s="3" t="inlineStr">
        <is>
          <t>CUUR0000SEHN</t>
        </is>
      </c>
      <c r="D179" s="21" t="n">
        <v>0.847</v>
      </c>
      <c r="E179" s="22" t="n">
        <v>45992</v>
      </c>
      <c r="F179" s="3" t="n">
        <v>2024</v>
      </c>
      <c r="G179" s="10">
        <f>IFERROR(100*($D179*(INDEX('Data_NSA'!$A:$OK,MATCH(G$1,'Data_NSA'!$A:$A,0),MATCH($C179,'Data_NSA'!$1:$1,0))/INDEX('Data_NSA'!$A:$OK,MATCH($E179,'Data_NSA'!$A:$A,0),MATCH($C179,'Data_NSA'!$1:$1,0))))/(100*(INDEX('Data_NSA'!$A:$OK,MATCH(G$1,'Data_NSA'!$A:$A,0),MATCH("CUUR0000SA0",'Data_NSA'!$1:$1,0))/INDEX('Data_NSA'!$A:$OK,MATCH($E179,'Data_NSA'!$A:$A,0),MATCH("CUUR0000SA0",'Data_NSA'!$1:$1,0)))),"")</f>
        <v/>
      </c>
      <c r="H179" s="10">
        <f>IFERROR(100*($D179*(INDEX('Data_NSA'!$A:$OK,MATCH(H$1,'Data_NSA'!$A:$A,0),MATCH($C179,'Data_NSA'!$1:$1,0))/INDEX('Data_NSA'!$A:$OK,MATCH($E179,'Data_NSA'!$A:$A,0),MATCH($C179,'Data_NSA'!$1:$1,0))))/(100*(INDEX('Data_NSA'!$A:$OK,MATCH(H$1,'Data_NSA'!$A:$A,0),MATCH("CUUR0000SA0",'Data_NSA'!$1:$1,0))/INDEX('Data_NSA'!$A:$OK,MATCH($E179,'Data_NSA'!$A:$A,0),MATCH("CUUR0000SA0",'Data_NSA'!$1:$1,0)))),"")</f>
        <v/>
      </c>
      <c r="I179" s="10">
        <f>IFERROR(100*($D179*(INDEX('Data_NSA'!$A:$OK,MATCH(I$1,'Data_NSA'!$A:$A,0),MATCH($C179,'Data_NSA'!$1:$1,0))/INDEX('Data_NSA'!$A:$OK,MATCH($E179,'Data_NSA'!$A:$A,0),MATCH($C179,'Data_NSA'!$1:$1,0))))/(100*(INDEX('Data_NSA'!$A:$OK,MATCH(I$1,'Data_NSA'!$A:$A,0),MATCH("CUUR0000SA0",'Data_NSA'!$1:$1,0))/INDEX('Data_NSA'!$A:$OK,MATCH($E179,'Data_NSA'!$A:$A,0),MATCH("CUUR0000SA0",'Data_NSA'!$1:$1,0)))),"")</f>
        <v/>
      </c>
    </row>
    <row r="180">
      <c r="A180" s="3" t="inlineStr">
        <is>
          <t>SEHN01</t>
        </is>
      </c>
      <c r="B180" s="3" t="inlineStr">
        <is>
          <t>Household cleaning products</t>
        </is>
      </c>
      <c r="C180" s="3" t="inlineStr">
        <is>
          <t>CUUR0000SEHN01</t>
        </is>
      </c>
      <c r="D180" s="21" t="n">
        <v>0.308</v>
      </c>
      <c r="E180" s="22" t="n">
        <v>45992</v>
      </c>
      <c r="F180" s="3" t="n">
        <v>2024</v>
      </c>
      <c r="G180" s="10">
        <f>IFERROR(100*($D180*(INDEX('Data_NSA'!$A:$OK,MATCH(G$1,'Data_NSA'!$A:$A,0),MATCH($C180,'Data_NSA'!$1:$1,0))/INDEX('Data_NSA'!$A:$OK,MATCH($E180,'Data_NSA'!$A:$A,0),MATCH($C180,'Data_NSA'!$1:$1,0))))/(100*(INDEX('Data_NSA'!$A:$OK,MATCH(G$1,'Data_NSA'!$A:$A,0),MATCH("CUUR0000SA0",'Data_NSA'!$1:$1,0))/INDEX('Data_NSA'!$A:$OK,MATCH($E180,'Data_NSA'!$A:$A,0),MATCH("CUUR0000SA0",'Data_NSA'!$1:$1,0)))),"")</f>
        <v/>
      </c>
      <c r="H180" s="10">
        <f>IFERROR(100*($D180*(INDEX('Data_NSA'!$A:$OK,MATCH(H$1,'Data_NSA'!$A:$A,0),MATCH($C180,'Data_NSA'!$1:$1,0))/INDEX('Data_NSA'!$A:$OK,MATCH($E180,'Data_NSA'!$A:$A,0),MATCH($C180,'Data_NSA'!$1:$1,0))))/(100*(INDEX('Data_NSA'!$A:$OK,MATCH(H$1,'Data_NSA'!$A:$A,0),MATCH("CUUR0000SA0",'Data_NSA'!$1:$1,0))/INDEX('Data_NSA'!$A:$OK,MATCH($E180,'Data_NSA'!$A:$A,0),MATCH("CUUR0000SA0",'Data_NSA'!$1:$1,0)))),"")</f>
        <v/>
      </c>
      <c r="I180" s="10">
        <f>IFERROR(100*($D180*(INDEX('Data_NSA'!$A:$OK,MATCH(I$1,'Data_NSA'!$A:$A,0),MATCH($C180,'Data_NSA'!$1:$1,0))/INDEX('Data_NSA'!$A:$OK,MATCH($E180,'Data_NSA'!$A:$A,0),MATCH($C180,'Data_NSA'!$1:$1,0))))/(100*(INDEX('Data_NSA'!$A:$OK,MATCH(I$1,'Data_NSA'!$A:$A,0),MATCH("CUUR0000SA0",'Data_NSA'!$1:$1,0))/INDEX('Data_NSA'!$A:$OK,MATCH($E180,'Data_NSA'!$A:$A,0),MATCH("CUUR0000SA0",'Data_NSA'!$1:$1,0)))),"")</f>
        <v/>
      </c>
    </row>
    <row r="181">
      <c r="A181" s="3" t="inlineStr">
        <is>
          <t>SEHN02</t>
        </is>
      </c>
      <c r="B181" s="3" t="inlineStr">
        <is>
          <t>Household paper products</t>
        </is>
      </c>
      <c r="C181" s="3" t="inlineStr">
        <is>
          <t>CUUR0000SEHN02</t>
        </is>
      </c>
      <c r="D181" s="21" t="n">
        <v>0.175</v>
      </c>
      <c r="E181" s="22" t="n">
        <v>45992</v>
      </c>
      <c r="F181" s="3" t="n">
        <v>2024</v>
      </c>
      <c r="G181" s="10">
        <f>IFERROR(100*($D181*(INDEX('Data_NSA'!$A:$OK,MATCH(G$1,'Data_NSA'!$A:$A,0),MATCH($C181,'Data_NSA'!$1:$1,0))/INDEX('Data_NSA'!$A:$OK,MATCH($E181,'Data_NSA'!$A:$A,0),MATCH($C181,'Data_NSA'!$1:$1,0))))/(100*(INDEX('Data_NSA'!$A:$OK,MATCH(G$1,'Data_NSA'!$A:$A,0),MATCH("CUUR0000SA0",'Data_NSA'!$1:$1,0))/INDEX('Data_NSA'!$A:$OK,MATCH($E181,'Data_NSA'!$A:$A,0),MATCH("CUUR0000SA0",'Data_NSA'!$1:$1,0)))),"")</f>
        <v/>
      </c>
      <c r="H181" s="10">
        <f>IFERROR(100*($D181*(INDEX('Data_NSA'!$A:$OK,MATCH(H$1,'Data_NSA'!$A:$A,0),MATCH($C181,'Data_NSA'!$1:$1,0))/INDEX('Data_NSA'!$A:$OK,MATCH($E181,'Data_NSA'!$A:$A,0),MATCH($C181,'Data_NSA'!$1:$1,0))))/(100*(INDEX('Data_NSA'!$A:$OK,MATCH(H$1,'Data_NSA'!$A:$A,0),MATCH("CUUR0000SA0",'Data_NSA'!$1:$1,0))/INDEX('Data_NSA'!$A:$OK,MATCH($E181,'Data_NSA'!$A:$A,0),MATCH("CUUR0000SA0",'Data_NSA'!$1:$1,0)))),"")</f>
        <v/>
      </c>
      <c r="I181" s="10">
        <f>IFERROR(100*($D181*(INDEX('Data_NSA'!$A:$OK,MATCH(I$1,'Data_NSA'!$A:$A,0),MATCH($C181,'Data_NSA'!$1:$1,0))/INDEX('Data_NSA'!$A:$OK,MATCH($E181,'Data_NSA'!$A:$A,0),MATCH($C181,'Data_NSA'!$1:$1,0))))/(100*(INDEX('Data_NSA'!$A:$OK,MATCH(I$1,'Data_NSA'!$A:$A,0),MATCH("CUUR0000SA0",'Data_NSA'!$1:$1,0))/INDEX('Data_NSA'!$A:$OK,MATCH($E181,'Data_NSA'!$A:$A,0),MATCH("CUUR0000SA0",'Data_NSA'!$1:$1,0)))),"")</f>
        <v/>
      </c>
    </row>
    <row r="182">
      <c r="A182" s="3" t="inlineStr">
        <is>
          <t>SEHN03</t>
        </is>
      </c>
      <c r="B182" s="3" t="inlineStr">
        <is>
          <t>Miscellaneous household products</t>
        </is>
      </c>
      <c r="C182" s="3" t="inlineStr">
        <is>
          <t>CUUR0000SEHN03</t>
        </is>
      </c>
      <c r="D182" s="21" t="n">
        <v>0.364</v>
      </c>
      <c r="E182" s="22" t="n">
        <v>45992</v>
      </c>
      <c r="F182" s="3" t="n">
        <v>2024</v>
      </c>
      <c r="G182" s="10">
        <f>IFERROR(100*($D182*(INDEX('Data_NSA'!$A:$OK,MATCH(G$1,'Data_NSA'!$A:$A,0),MATCH($C182,'Data_NSA'!$1:$1,0))/INDEX('Data_NSA'!$A:$OK,MATCH($E182,'Data_NSA'!$A:$A,0),MATCH($C182,'Data_NSA'!$1:$1,0))))/(100*(INDEX('Data_NSA'!$A:$OK,MATCH(G$1,'Data_NSA'!$A:$A,0),MATCH("CUUR0000SA0",'Data_NSA'!$1:$1,0))/INDEX('Data_NSA'!$A:$OK,MATCH($E182,'Data_NSA'!$A:$A,0),MATCH("CUUR0000SA0",'Data_NSA'!$1:$1,0)))),"")</f>
        <v/>
      </c>
      <c r="H182" s="10">
        <f>IFERROR(100*($D182*(INDEX('Data_NSA'!$A:$OK,MATCH(H$1,'Data_NSA'!$A:$A,0),MATCH($C182,'Data_NSA'!$1:$1,0))/INDEX('Data_NSA'!$A:$OK,MATCH($E182,'Data_NSA'!$A:$A,0),MATCH($C182,'Data_NSA'!$1:$1,0))))/(100*(INDEX('Data_NSA'!$A:$OK,MATCH(H$1,'Data_NSA'!$A:$A,0),MATCH("CUUR0000SA0",'Data_NSA'!$1:$1,0))/INDEX('Data_NSA'!$A:$OK,MATCH($E182,'Data_NSA'!$A:$A,0),MATCH("CUUR0000SA0",'Data_NSA'!$1:$1,0)))),"")</f>
        <v/>
      </c>
      <c r="I182" s="10">
        <f>IFERROR(100*($D182*(INDEX('Data_NSA'!$A:$OK,MATCH(I$1,'Data_NSA'!$A:$A,0),MATCH($C182,'Data_NSA'!$1:$1,0))/INDEX('Data_NSA'!$A:$OK,MATCH($E182,'Data_NSA'!$A:$A,0),MATCH($C182,'Data_NSA'!$1:$1,0))))/(100*(INDEX('Data_NSA'!$A:$OK,MATCH(I$1,'Data_NSA'!$A:$A,0),MATCH("CUUR0000SA0",'Data_NSA'!$1:$1,0))/INDEX('Data_NSA'!$A:$OK,MATCH($E182,'Data_NSA'!$A:$A,0),MATCH("CUUR0000SA0",'Data_NSA'!$1:$1,0)))),"")</f>
        <v/>
      </c>
    </row>
    <row r="183">
      <c r="A183" s="3" t="inlineStr">
        <is>
          <t>SEHP</t>
        </is>
      </c>
      <c r="B183" s="3" t="inlineStr">
        <is>
          <t>Household operations</t>
        </is>
      </c>
      <c r="C183" s="3" t="inlineStr">
        <is>
          <t>CUUR0000SEHP</t>
        </is>
      </c>
      <c r="D183" s="21" t="n">
        <v>0.881</v>
      </c>
      <c r="E183" s="22" t="n">
        <v>45992</v>
      </c>
      <c r="F183" s="3" t="n">
        <v>2024</v>
      </c>
      <c r="G183" s="10">
        <f>IFERROR(100*($D183*(INDEX('Data_NSA'!$A:$OK,MATCH(G$1,'Data_NSA'!$A:$A,0),MATCH($C183,'Data_NSA'!$1:$1,0))/INDEX('Data_NSA'!$A:$OK,MATCH($E183,'Data_NSA'!$A:$A,0),MATCH($C183,'Data_NSA'!$1:$1,0))))/(100*(INDEX('Data_NSA'!$A:$OK,MATCH(G$1,'Data_NSA'!$A:$A,0),MATCH("CUUR0000SA0",'Data_NSA'!$1:$1,0))/INDEX('Data_NSA'!$A:$OK,MATCH($E183,'Data_NSA'!$A:$A,0),MATCH("CUUR0000SA0",'Data_NSA'!$1:$1,0)))),"")</f>
        <v/>
      </c>
      <c r="H183" s="10">
        <f>IFERROR(100*($D183*(INDEX('Data_NSA'!$A:$OK,MATCH(H$1,'Data_NSA'!$A:$A,0),MATCH($C183,'Data_NSA'!$1:$1,0))/INDEX('Data_NSA'!$A:$OK,MATCH($E183,'Data_NSA'!$A:$A,0),MATCH($C183,'Data_NSA'!$1:$1,0))))/(100*(INDEX('Data_NSA'!$A:$OK,MATCH(H$1,'Data_NSA'!$A:$A,0),MATCH("CUUR0000SA0",'Data_NSA'!$1:$1,0))/INDEX('Data_NSA'!$A:$OK,MATCH($E183,'Data_NSA'!$A:$A,0),MATCH("CUUR0000SA0",'Data_NSA'!$1:$1,0)))),"")</f>
        <v/>
      </c>
      <c r="I183" s="10">
        <f>IFERROR(100*($D183*(INDEX('Data_NSA'!$A:$OK,MATCH(I$1,'Data_NSA'!$A:$A,0),MATCH($C183,'Data_NSA'!$1:$1,0))/INDEX('Data_NSA'!$A:$OK,MATCH($E183,'Data_NSA'!$A:$A,0),MATCH($C183,'Data_NSA'!$1:$1,0))))/(100*(INDEX('Data_NSA'!$A:$OK,MATCH(I$1,'Data_NSA'!$A:$A,0),MATCH("CUUR0000SA0",'Data_NSA'!$1:$1,0))/INDEX('Data_NSA'!$A:$OK,MATCH($E183,'Data_NSA'!$A:$A,0),MATCH("CUUR0000SA0",'Data_NSA'!$1:$1,0)))),"")</f>
        <v/>
      </c>
    </row>
    <row r="184">
      <c r="A184" s="3" t="inlineStr">
        <is>
          <t>SEHP01</t>
        </is>
      </c>
      <c r="B184" s="3" t="inlineStr">
        <is>
          <t>Domestic services</t>
        </is>
      </c>
      <c r="C184" s="3" t="inlineStr">
        <is>
          <t>CUUR0000SEHP01</t>
        </is>
      </c>
      <c r="D184" s="21" t="n">
        <v>0.277</v>
      </c>
      <c r="E184" s="22" t="n">
        <v>45992</v>
      </c>
      <c r="F184" s="3" t="n">
        <v>2024</v>
      </c>
      <c r="G184" s="10">
        <f>IFERROR(100*($D184*(INDEX('Data_NSA'!$A:$OK,MATCH(G$1,'Data_NSA'!$A:$A,0),MATCH($C184,'Data_NSA'!$1:$1,0))/INDEX('Data_NSA'!$A:$OK,MATCH($E184,'Data_NSA'!$A:$A,0),MATCH($C184,'Data_NSA'!$1:$1,0))))/(100*(INDEX('Data_NSA'!$A:$OK,MATCH(G$1,'Data_NSA'!$A:$A,0),MATCH("CUUR0000SA0",'Data_NSA'!$1:$1,0))/INDEX('Data_NSA'!$A:$OK,MATCH($E184,'Data_NSA'!$A:$A,0),MATCH("CUUR0000SA0",'Data_NSA'!$1:$1,0)))),"")</f>
        <v/>
      </c>
      <c r="H184" s="10">
        <f>IFERROR(100*($D184*(INDEX('Data_NSA'!$A:$OK,MATCH(H$1,'Data_NSA'!$A:$A,0),MATCH($C184,'Data_NSA'!$1:$1,0))/INDEX('Data_NSA'!$A:$OK,MATCH($E184,'Data_NSA'!$A:$A,0),MATCH($C184,'Data_NSA'!$1:$1,0))))/(100*(INDEX('Data_NSA'!$A:$OK,MATCH(H$1,'Data_NSA'!$A:$A,0),MATCH("CUUR0000SA0",'Data_NSA'!$1:$1,0))/INDEX('Data_NSA'!$A:$OK,MATCH($E184,'Data_NSA'!$A:$A,0),MATCH("CUUR0000SA0",'Data_NSA'!$1:$1,0)))),"")</f>
        <v/>
      </c>
      <c r="I184" s="10">
        <f>IFERROR(100*($D184*(INDEX('Data_NSA'!$A:$OK,MATCH(I$1,'Data_NSA'!$A:$A,0),MATCH($C184,'Data_NSA'!$1:$1,0))/INDEX('Data_NSA'!$A:$OK,MATCH($E184,'Data_NSA'!$A:$A,0),MATCH($C184,'Data_NSA'!$1:$1,0))))/(100*(INDEX('Data_NSA'!$A:$OK,MATCH(I$1,'Data_NSA'!$A:$A,0),MATCH("CUUR0000SA0",'Data_NSA'!$1:$1,0))/INDEX('Data_NSA'!$A:$OK,MATCH($E184,'Data_NSA'!$A:$A,0),MATCH("CUUR0000SA0",'Data_NSA'!$1:$1,0)))),"")</f>
        <v/>
      </c>
    </row>
    <row r="185">
      <c r="A185" s="3" t="inlineStr">
        <is>
          <t>SEHP02</t>
        </is>
      </c>
      <c r="B185" s="3" t="inlineStr">
        <is>
          <t>Gardening and lawncare services</t>
        </is>
      </c>
      <c r="C185" s="3" t="inlineStr">
        <is>
          <t>CUUR0000SEHP02</t>
        </is>
      </c>
      <c r="D185" s="21" t="n">
        <v>0.363</v>
      </c>
      <c r="E185" s="22" t="n">
        <v>45992</v>
      </c>
      <c r="F185" s="3" t="n">
        <v>2024</v>
      </c>
      <c r="G185" s="10">
        <f>IFERROR(100*($D185*(INDEX('Data_NSA'!$A:$OK,MATCH(G$1,'Data_NSA'!$A:$A,0),MATCH($C185,'Data_NSA'!$1:$1,0))/INDEX('Data_NSA'!$A:$OK,MATCH($E185,'Data_NSA'!$A:$A,0),MATCH($C185,'Data_NSA'!$1:$1,0))))/(100*(INDEX('Data_NSA'!$A:$OK,MATCH(G$1,'Data_NSA'!$A:$A,0),MATCH("CUUR0000SA0",'Data_NSA'!$1:$1,0))/INDEX('Data_NSA'!$A:$OK,MATCH($E185,'Data_NSA'!$A:$A,0),MATCH("CUUR0000SA0",'Data_NSA'!$1:$1,0)))),"")</f>
        <v/>
      </c>
      <c r="H185" s="10">
        <f>IFERROR(100*($D185*(INDEX('Data_NSA'!$A:$OK,MATCH(H$1,'Data_NSA'!$A:$A,0),MATCH($C185,'Data_NSA'!$1:$1,0))/INDEX('Data_NSA'!$A:$OK,MATCH($E185,'Data_NSA'!$A:$A,0),MATCH($C185,'Data_NSA'!$1:$1,0))))/(100*(INDEX('Data_NSA'!$A:$OK,MATCH(H$1,'Data_NSA'!$A:$A,0),MATCH("CUUR0000SA0",'Data_NSA'!$1:$1,0))/INDEX('Data_NSA'!$A:$OK,MATCH($E185,'Data_NSA'!$A:$A,0),MATCH("CUUR0000SA0",'Data_NSA'!$1:$1,0)))),"")</f>
        <v/>
      </c>
      <c r="I185" s="10">
        <f>IFERROR(100*($D185*(INDEX('Data_NSA'!$A:$OK,MATCH(I$1,'Data_NSA'!$A:$A,0),MATCH($C185,'Data_NSA'!$1:$1,0))/INDEX('Data_NSA'!$A:$OK,MATCH($E185,'Data_NSA'!$A:$A,0),MATCH($C185,'Data_NSA'!$1:$1,0))))/(100*(INDEX('Data_NSA'!$A:$OK,MATCH(I$1,'Data_NSA'!$A:$A,0),MATCH("CUUR0000SA0",'Data_NSA'!$1:$1,0))/INDEX('Data_NSA'!$A:$OK,MATCH($E185,'Data_NSA'!$A:$A,0),MATCH("CUUR0000SA0",'Data_NSA'!$1:$1,0)))),"")</f>
        <v/>
      </c>
    </row>
    <row r="186">
      <c r="A186" s="3" t="inlineStr">
        <is>
          <t>SEHP03</t>
        </is>
      </c>
      <c r="B186" s="3" t="inlineStr">
        <is>
          <t>Moving, storage, freight expense</t>
        </is>
      </c>
      <c r="C186" s="3" t="inlineStr">
        <is>
          <t>CUUR0000SEHP03</t>
        </is>
      </c>
      <c r="D186" s="21" t="n">
        <v>0.067</v>
      </c>
      <c r="E186" s="22" t="n">
        <v>45992</v>
      </c>
      <c r="F186" s="3" t="n">
        <v>2024</v>
      </c>
      <c r="G186" s="10">
        <f>IFERROR(100*($D186*(INDEX('Data_NSA'!$A:$OK,MATCH(G$1,'Data_NSA'!$A:$A,0),MATCH($C186,'Data_NSA'!$1:$1,0))/INDEX('Data_NSA'!$A:$OK,MATCH($E186,'Data_NSA'!$A:$A,0),MATCH($C186,'Data_NSA'!$1:$1,0))))/(100*(INDEX('Data_NSA'!$A:$OK,MATCH(G$1,'Data_NSA'!$A:$A,0),MATCH("CUUR0000SA0",'Data_NSA'!$1:$1,0))/INDEX('Data_NSA'!$A:$OK,MATCH($E186,'Data_NSA'!$A:$A,0),MATCH("CUUR0000SA0",'Data_NSA'!$1:$1,0)))),"")</f>
        <v/>
      </c>
      <c r="H186" s="10">
        <f>IFERROR(100*($D186*(INDEX('Data_NSA'!$A:$OK,MATCH(H$1,'Data_NSA'!$A:$A,0),MATCH($C186,'Data_NSA'!$1:$1,0))/INDEX('Data_NSA'!$A:$OK,MATCH($E186,'Data_NSA'!$A:$A,0),MATCH($C186,'Data_NSA'!$1:$1,0))))/(100*(INDEX('Data_NSA'!$A:$OK,MATCH(H$1,'Data_NSA'!$A:$A,0),MATCH("CUUR0000SA0",'Data_NSA'!$1:$1,0))/INDEX('Data_NSA'!$A:$OK,MATCH($E186,'Data_NSA'!$A:$A,0),MATCH("CUUR0000SA0",'Data_NSA'!$1:$1,0)))),"")</f>
        <v/>
      </c>
      <c r="I186" s="10">
        <f>IFERROR(100*($D186*(INDEX('Data_NSA'!$A:$OK,MATCH(I$1,'Data_NSA'!$A:$A,0),MATCH($C186,'Data_NSA'!$1:$1,0))/INDEX('Data_NSA'!$A:$OK,MATCH($E186,'Data_NSA'!$A:$A,0),MATCH($C186,'Data_NSA'!$1:$1,0))))/(100*(INDEX('Data_NSA'!$A:$OK,MATCH(I$1,'Data_NSA'!$A:$A,0),MATCH("CUUR0000SA0",'Data_NSA'!$1:$1,0))/INDEX('Data_NSA'!$A:$OK,MATCH($E186,'Data_NSA'!$A:$A,0),MATCH("CUUR0000SA0",'Data_NSA'!$1:$1,0)))),"")</f>
        <v/>
      </c>
    </row>
    <row r="187">
      <c r="A187" s="3" t="inlineStr">
        <is>
          <t>SEHP04</t>
        </is>
      </c>
      <c r="B187" s="3" t="inlineStr">
        <is>
          <t>Repair of household items</t>
        </is>
      </c>
      <c r="C187" s="3" t="inlineStr">
        <is>
          <t>CUUR0000SEHP04</t>
        </is>
      </c>
      <c r="D187" s="21" t="n">
        <v>0.097</v>
      </c>
      <c r="E187" s="22" t="n">
        <v>45992</v>
      </c>
      <c r="F187" s="3" t="n">
        <v>2024</v>
      </c>
      <c r="G187" s="10">
        <f>IFERROR(100*($D187*(INDEX('Data_NSA'!$A:$OK,MATCH(G$1,'Data_NSA'!$A:$A,0),MATCH($C187,'Data_NSA'!$1:$1,0))/INDEX('Data_NSA'!$A:$OK,MATCH($E187,'Data_NSA'!$A:$A,0),MATCH($C187,'Data_NSA'!$1:$1,0))))/(100*(INDEX('Data_NSA'!$A:$OK,MATCH(G$1,'Data_NSA'!$A:$A,0),MATCH("CUUR0000SA0",'Data_NSA'!$1:$1,0))/INDEX('Data_NSA'!$A:$OK,MATCH($E187,'Data_NSA'!$A:$A,0),MATCH("CUUR0000SA0",'Data_NSA'!$1:$1,0)))),"")</f>
        <v/>
      </c>
      <c r="H187" s="10">
        <f>IFERROR(100*($D187*(INDEX('Data_NSA'!$A:$OK,MATCH(H$1,'Data_NSA'!$A:$A,0),MATCH($C187,'Data_NSA'!$1:$1,0))/INDEX('Data_NSA'!$A:$OK,MATCH($E187,'Data_NSA'!$A:$A,0),MATCH($C187,'Data_NSA'!$1:$1,0))))/(100*(INDEX('Data_NSA'!$A:$OK,MATCH(H$1,'Data_NSA'!$A:$A,0),MATCH("CUUR0000SA0",'Data_NSA'!$1:$1,0))/INDEX('Data_NSA'!$A:$OK,MATCH($E187,'Data_NSA'!$A:$A,0),MATCH("CUUR0000SA0",'Data_NSA'!$1:$1,0)))),"")</f>
        <v/>
      </c>
      <c r="I187" s="10">
        <f>IFERROR(100*($D187*(INDEX('Data_NSA'!$A:$OK,MATCH(I$1,'Data_NSA'!$A:$A,0),MATCH($C187,'Data_NSA'!$1:$1,0))/INDEX('Data_NSA'!$A:$OK,MATCH($E187,'Data_NSA'!$A:$A,0),MATCH($C187,'Data_NSA'!$1:$1,0))))/(100*(INDEX('Data_NSA'!$A:$OK,MATCH(I$1,'Data_NSA'!$A:$A,0),MATCH("CUUR0000SA0",'Data_NSA'!$1:$1,0))/INDEX('Data_NSA'!$A:$OK,MATCH($E187,'Data_NSA'!$A:$A,0),MATCH("CUUR0000SA0",'Data_NSA'!$1:$1,0)))),"")</f>
        <v/>
      </c>
    </row>
    <row r="188">
      <c r="A188" s="3" t="inlineStr">
        <is>
          <t>SAA</t>
        </is>
      </c>
      <c r="B188" s="3" t="inlineStr">
        <is>
          <t>Apparel</t>
        </is>
      </c>
      <c r="C188" s="3" t="inlineStr">
        <is>
          <t>CUUR0000SAA</t>
        </is>
      </c>
      <c r="D188" s="21" t="n">
        <v>2.368</v>
      </c>
      <c r="E188" s="22" t="n">
        <v>45992</v>
      </c>
      <c r="F188" s="3" t="n">
        <v>2024</v>
      </c>
      <c r="G188" s="10">
        <f>IFERROR(100*($D188*(INDEX('Data_NSA'!$A:$OK,MATCH(G$1,'Data_NSA'!$A:$A,0),MATCH($C188,'Data_NSA'!$1:$1,0))/INDEX('Data_NSA'!$A:$OK,MATCH($E188,'Data_NSA'!$A:$A,0),MATCH($C188,'Data_NSA'!$1:$1,0))))/(100*(INDEX('Data_NSA'!$A:$OK,MATCH(G$1,'Data_NSA'!$A:$A,0),MATCH("CUUR0000SA0",'Data_NSA'!$1:$1,0))/INDEX('Data_NSA'!$A:$OK,MATCH($E188,'Data_NSA'!$A:$A,0),MATCH("CUUR0000SA0",'Data_NSA'!$1:$1,0)))),"")</f>
        <v/>
      </c>
      <c r="H188" s="10">
        <f>IFERROR(100*($D188*(INDEX('Data_NSA'!$A:$OK,MATCH(H$1,'Data_NSA'!$A:$A,0),MATCH($C188,'Data_NSA'!$1:$1,0))/INDEX('Data_NSA'!$A:$OK,MATCH($E188,'Data_NSA'!$A:$A,0),MATCH($C188,'Data_NSA'!$1:$1,0))))/(100*(INDEX('Data_NSA'!$A:$OK,MATCH(H$1,'Data_NSA'!$A:$A,0),MATCH("CUUR0000SA0",'Data_NSA'!$1:$1,0))/INDEX('Data_NSA'!$A:$OK,MATCH($E188,'Data_NSA'!$A:$A,0),MATCH("CUUR0000SA0",'Data_NSA'!$1:$1,0)))),"")</f>
        <v/>
      </c>
      <c r="I188" s="10">
        <f>IFERROR(100*($D188*(INDEX('Data_NSA'!$A:$OK,MATCH(I$1,'Data_NSA'!$A:$A,0),MATCH($C188,'Data_NSA'!$1:$1,0))/INDEX('Data_NSA'!$A:$OK,MATCH($E188,'Data_NSA'!$A:$A,0),MATCH($C188,'Data_NSA'!$1:$1,0))))/(100*(INDEX('Data_NSA'!$A:$OK,MATCH(I$1,'Data_NSA'!$A:$A,0),MATCH("CUUR0000SA0",'Data_NSA'!$1:$1,0))/INDEX('Data_NSA'!$A:$OK,MATCH($E188,'Data_NSA'!$A:$A,0),MATCH("CUUR0000SA0",'Data_NSA'!$1:$1,0)))),"")</f>
        <v/>
      </c>
    </row>
    <row r="189">
      <c r="A189" s="3" t="inlineStr">
        <is>
          <t>SAA1</t>
        </is>
      </c>
      <c r="B189" s="3" t="inlineStr">
        <is>
          <t>Men's and boys' apparel</t>
        </is>
      </c>
      <c r="C189" s="3" t="inlineStr">
        <is>
          <t>CUUR0000SAA1</t>
        </is>
      </c>
      <c r="D189" s="21" t="n">
        <v>0.588</v>
      </c>
      <c r="E189" s="22" t="n">
        <v>45992</v>
      </c>
      <c r="F189" s="3" t="n">
        <v>2024</v>
      </c>
      <c r="G189" s="10">
        <f>IFERROR(100*($D189*(INDEX('Data_NSA'!$A:$OK,MATCH(G$1,'Data_NSA'!$A:$A,0),MATCH($C189,'Data_NSA'!$1:$1,0))/INDEX('Data_NSA'!$A:$OK,MATCH($E189,'Data_NSA'!$A:$A,0),MATCH($C189,'Data_NSA'!$1:$1,0))))/(100*(INDEX('Data_NSA'!$A:$OK,MATCH(G$1,'Data_NSA'!$A:$A,0),MATCH("CUUR0000SA0",'Data_NSA'!$1:$1,0))/INDEX('Data_NSA'!$A:$OK,MATCH($E189,'Data_NSA'!$A:$A,0),MATCH("CUUR0000SA0",'Data_NSA'!$1:$1,0)))),"")</f>
        <v/>
      </c>
      <c r="H189" s="10">
        <f>IFERROR(100*($D189*(INDEX('Data_NSA'!$A:$OK,MATCH(H$1,'Data_NSA'!$A:$A,0),MATCH($C189,'Data_NSA'!$1:$1,0))/INDEX('Data_NSA'!$A:$OK,MATCH($E189,'Data_NSA'!$A:$A,0),MATCH($C189,'Data_NSA'!$1:$1,0))))/(100*(INDEX('Data_NSA'!$A:$OK,MATCH(H$1,'Data_NSA'!$A:$A,0),MATCH("CUUR0000SA0",'Data_NSA'!$1:$1,0))/INDEX('Data_NSA'!$A:$OK,MATCH($E189,'Data_NSA'!$A:$A,0),MATCH("CUUR0000SA0",'Data_NSA'!$1:$1,0)))),"")</f>
        <v/>
      </c>
      <c r="I189" s="10">
        <f>IFERROR(100*($D189*(INDEX('Data_NSA'!$A:$OK,MATCH(I$1,'Data_NSA'!$A:$A,0),MATCH($C189,'Data_NSA'!$1:$1,0))/INDEX('Data_NSA'!$A:$OK,MATCH($E189,'Data_NSA'!$A:$A,0),MATCH($C189,'Data_NSA'!$1:$1,0))))/(100*(INDEX('Data_NSA'!$A:$OK,MATCH(I$1,'Data_NSA'!$A:$A,0),MATCH("CUUR0000SA0",'Data_NSA'!$1:$1,0))/INDEX('Data_NSA'!$A:$OK,MATCH($E189,'Data_NSA'!$A:$A,0),MATCH("CUUR0000SA0",'Data_NSA'!$1:$1,0)))),"")</f>
        <v/>
      </c>
    </row>
    <row r="190">
      <c r="A190" s="3" t="inlineStr">
        <is>
          <t>SEAA</t>
        </is>
      </c>
      <c r="B190" s="3" t="inlineStr">
        <is>
          <t>Men's apparel</t>
        </is>
      </c>
      <c r="C190" s="3" t="inlineStr">
        <is>
          <t>CUUR0000SEAA</t>
        </is>
      </c>
      <c r="D190" s="21" t="n">
        <v>0.472</v>
      </c>
      <c r="E190" s="22" t="n">
        <v>45992</v>
      </c>
      <c r="F190" s="3" t="n">
        <v>2024</v>
      </c>
      <c r="G190" s="10">
        <f>IFERROR(100*($D190*(INDEX('Data_NSA'!$A:$OK,MATCH(G$1,'Data_NSA'!$A:$A,0),MATCH($C190,'Data_NSA'!$1:$1,0))/INDEX('Data_NSA'!$A:$OK,MATCH($E190,'Data_NSA'!$A:$A,0),MATCH($C190,'Data_NSA'!$1:$1,0))))/(100*(INDEX('Data_NSA'!$A:$OK,MATCH(G$1,'Data_NSA'!$A:$A,0),MATCH("CUUR0000SA0",'Data_NSA'!$1:$1,0))/INDEX('Data_NSA'!$A:$OK,MATCH($E190,'Data_NSA'!$A:$A,0),MATCH("CUUR0000SA0",'Data_NSA'!$1:$1,0)))),"")</f>
        <v/>
      </c>
      <c r="H190" s="10">
        <f>IFERROR(100*($D190*(INDEX('Data_NSA'!$A:$OK,MATCH(H$1,'Data_NSA'!$A:$A,0),MATCH($C190,'Data_NSA'!$1:$1,0))/INDEX('Data_NSA'!$A:$OK,MATCH($E190,'Data_NSA'!$A:$A,0),MATCH($C190,'Data_NSA'!$1:$1,0))))/(100*(INDEX('Data_NSA'!$A:$OK,MATCH(H$1,'Data_NSA'!$A:$A,0),MATCH("CUUR0000SA0",'Data_NSA'!$1:$1,0))/INDEX('Data_NSA'!$A:$OK,MATCH($E190,'Data_NSA'!$A:$A,0),MATCH("CUUR0000SA0",'Data_NSA'!$1:$1,0)))),"")</f>
        <v/>
      </c>
      <c r="I190" s="10">
        <f>IFERROR(100*($D190*(INDEX('Data_NSA'!$A:$OK,MATCH(I$1,'Data_NSA'!$A:$A,0),MATCH($C190,'Data_NSA'!$1:$1,0))/INDEX('Data_NSA'!$A:$OK,MATCH($E190,'Data_NSA'!$A:$A,0),MATCH($C190,'Data_NSA'!$1:$1,0))))/(100*(INDEX('Data_NSA'!$A:$OK,MATCH(I$1,'Data_NSA'!$A:$A,0),MATCH("CUUR0000SA0",'Data_NSA'!$1:$1,0))/INDEX('Data_NSA'!$A:$OK,MATCH($E190,'Data_NSA'!$A:$A,0),MATCH("CUUR0000SA0",'Data_NSA'!$1:$1,0)))),"")</f>
        <v/>
      </c>
    </row>
    <row r="191">
      <c r="A191" s="3" t="inlineStr">
        <is>
          <t>SEAA01</t>
        </is>
      </c>
      <c r="B191" s="3" t="inlineStr">
        <is>
          <t>Men's suits, sport coats, and outerwear</t>
        </is>
      </c>
      <c r="C191" s="3" t="inlineStr">
        <is>
          <t>CUUR0000SEAA01</t>
        </is>
      </c>
      <c r="D191" s="21" t="n">
        <v>0.097</v>
      </c>
      <c r="E191" s="22" t="n">
        <v>45992</v>
      </c>
      <c r="F191" s="3" t="n">
        <v>2024</v>
      </c>
      <c r="G191" s="10">
        <f>IFERROR(100*($D191*(INDEX('Data_NSA'!$A:$OK,MATCH(G$1,'Data_NSA'!$A:$A,0),MATCH($C191,'Data_NSA'!$1:$1,0))/INDEX('Data_NSA'!$A:$OK,MATCH($E191,'Data_NSA'!$A:$A,0),MATCH($C191,'Data_NSA'!$1:$1,0))))/(100*(INDEX('Data_NSA'!$A:$OK,MATCH(G$1,'Data_NSA'!$A:$A,0),MATCH("CUUR0000SA0",'Data_NSA'!$1:$1,0))/INDEX('Data_NSA'!$A:$OK,MATCH($E191,'Data_NSA'!$A:$A,0),MATCH("CUUR0000SA0",'Data_NSA'!$1:$1,0)))),"")</f>
        <v/>
      </c>
      <c r="H191" s="10">
        <f>IFERROR(100*($D191*(INDEX('Data_NSA'!$A:$OK,MATCH(H$1,'Data_NSA'!$A:$A,0),MATCH($C191,'Data_NSA'!$1:$1,0))/INDEX('Data_NSA'!$A:$OK,MATCH($E191,'Data_NSA'!$A:$A,0),MATCH($C191,'Data_NSA'!$1:$1,0))))/(100*(INDEX('Data_NSA'!$A:$OK,MATCH(H$1,'Data_NSA'!$A:$A,0),MATCH("CUUR0000SA0",'Data_NSA'!$1:$1,0))/INDEX('Data_NSA'!$A:$OK,MATCH($E191,'Data_NSA'!$A:$A,0),MATCH("CUUR0000SA0",'Data_NSA'!$1:$1,0)))),"")</f>
        <v/>
      </c>
      <c r="I191" s="10">
        <f>IFERROR(100*($D191*(INDEX('Data_NSA'!$A:$OK,MATCH(I$1,'Data_NSA'!$A:$A,0),MATCH($C191,'Data_NSA'!$1:$1,0))/INDEX('Data_NSA'!$A:$OK,MATCH($E191,'Data_NSA'!$A:$A,0),MATCH($C191,'Data_NSA'!$1:$1,0))))/(100*(INDEX('Data_NSA'!$A:$OK,MATCH(I$1,'Data_NSA'!$A:$A,0),MATCH("CUUR0000SA0",'Data_NSA'!$1:$1,0))/INDEX('Data_NSA'!$A:$OK,MATCH($E191,'Data_NSA'!$A:$A,0),MATCH("CUUR0000SA0",'Data_NSA'!$1:$1,0)))),"")</f>
        <v/>
      </c>
    </row>
    <row r="192">
      <c r="A192" s="3" t="inlineStr">
        <is>
          <t>SEAA02</t>
        </is>
      </c>
      <c r="B192" s="3" t="inlineStr">
        <is>
          <t>Men's underwear, nightwear, swimwear and accessories</t>
        </is>
      </c>
      <c r="C192" s="3" t="inlineStr">
        <is>
          <t>CUUR0000SEAA02</t>
        </is>
      </c>
      <c r="D192" s="21" t="n">
        <v>0.13</v>
      </c>
      <c r="E192" s="22" t="n">
        <v>45992</v>
      </c>
      <c r="F192" s="3" t="n">
        <v>2024</v>
      </c>
      <c r="G192" s="10">
        <f>IFERROR(100*($D192*(INDEX('Data_NSA'!$A:$OK,MATCH(G$1,'Data_NSA'!$A:$A,0),MATCH($C192,'Data_NSA'!$1:$1,0))/INDEX('Data_NSA'!$A:$OK,MATCH($E192,'Data_NSA'!$A:$A,0),MATCH($C192,'Data_NSA'!$1:$1,0))))/(100*(INDEX('Data_NSA'!$A:$OK,MATCH(G$1,'Data_NSA'!$A:$A,0),MATCH("CUUR0000SA0",'Data_NSA'!$1:$1,0))/INDEX('Data_NSA'!$A:$OK,MATCH($E192,'Data_NSA'!$A:$A,0),MATCH("CUUR0000SA0",'Data_NSA'!$1:$1,0)))),"")</f>
        <v/>
      </c>
      <c r="H192" s="10">
        <f>IFERROR(100*($D192*(INDEX('Data_NSA'!$A:$OK,MATCH(H$1,'Data_NSA'!$A:$A,0),MATCH($C192,'Data_NSA'!$1:$1,0))/INDEX('Data_NSA'!$A:$OK,MATCH($E192,'Data_NSA'!$A:$A,0),MATCH($C192,'Data_NSA'!$1:$1,0))))/(100*(INDEX('Data_NSA'!$A:$OK,MATCH(H$1,'Data_NSA'!$A:$A,0),MATCH("CUUR0000SA0",'Data_NSA'!$1:$1,0))/INDEX('Data_NSA'!$A:$OK,MATCH($E192,'Data_NSA'!$A:$A,0),MATCH("CUUR0000SA0",'Data_NSA'!$1:$1,0)))),"")</f>
        <v/>
      </c>
      <c r="I192" s="10">
        <f>IFERROR(100*($D192*(INDEX('Data_NSA'!$A:$OK,MATCH(I$1,'Data_NSA'!$A:$A,0),MATCH($C192,'Data_NSA'!$1:$1,0))/INDEX('Data_NSA'!$A:$OK,MATCH($E192,'Data_NSA'!$A:$A,0),MATCH($C192,'Data_NSA'!$1:$1,0))))/(100*(INDEX('Data_NSA'!$A:$OK,MATCH(I$1,'Data_NSA'!$A:$A,0),MATCH("CUUR0000SA0",'Data_NSA'!$1:$1,0))/INDEX('Data_NSA'!$A:$OK,MATCH($E192,'Data_NSA'!$A:$A,0),MATCH("CUUR0000SA0",'Data_NSA'!$1:$1,0)))),"")</f>
        <v/>
      </c>
    </row>
    <row r="193">
      <c r="A193" s="3" t="inlineStr">
        <is>
          <t>SEAA03</t>
        </is>
      </c>
      <c r="B193" s="3" t="inlineStr">
        <is>
          <t>Men's shirts and sweaters</t>
        </is>
      </c>
      <c r="C193" s="3" t="inlineStr">
        <is>
          <t>CUUR0000SEAA03</t>
        </is>
      </c>
      <c r="D193" s="21" t="n">
        <v>0.126</v>
      </c>
      <c r="E193" s="22" t="n">
        <v>45992</v>
      </c>
      <c r="F193" s="3" t="n">
        <v>2024</v>
      </c>
      <c r="G193" s="10">
        <f>IFERROR(100*($D193*(INDEX('Data_NSA'!$A:$OK,MATCH(G$1,'Data_NSA'!$A:$A,0),MATCH($C193,'Data_NSA'!$1:$1,0))/INDEX('Data_NSA'!$A:$OK,MATCH($E193,'Data_NSA'!$A:$A,0),MATCH($C193,'Data_NSA'!$1:$1,0))))/(100*(INDEX('Data_NSA'!$A:$OK,MATCH(G$1,'Data_NSA'!$A:$A,0),MATCH("CUUR0000SA0",'Data_NSA'!$1:$1,0))/INDEX('Data_NSA'!$A:$OK,MATCH($E193,'Data_NSA'!$A:$A,0),MATCH("CUUR0000SA0",'Data_NSA'!$1:$1,0)))),"")</f>
        <v/>
      </c>
      <c r="H193" s="10">
        <f>IFERROR(100*($D193*(INDEX('Data_NSA'!$A:$OK,MATCH(H$1,'Data_NSA'!$A:$A,0),MATCH($C193,'Data_NSA'!$1:$1,0))/INDEX('Data_NSA'!$A:$OK,MATCH($E193,'Data_NSA'!$A:$A,0),MATCH($C193,'Data_NSA'!$1:$1,0))))/(100*(INDEX('Data_NSA'!$A:$OK,MATCH(H$1,'Data_NSA'!$A:$A,0),MATCH("CUUR0000SA0",'Data_NSA'!$1:$1,0))/INDEX('Data_NSA'!$A:$OK,MATCH($E193,'Data_NSA'!$A:$A,0),MATCH("CUUR0000SA0",'Data_NSA'!$1:$1,0)))),"")</f>
        <v/>
      </c>
      <c r="I193" s="10">
        <f>IFERROR(100*($D193*(INDEX('Data_NSA'!$A:$OK,MATCH(I$1,'Data_NSA'!$A:$A,0),MATCH($C193,'Data_NSA'!$1:$1,0))/INDEX('Data_NSA'!$A:$OK,MATCH($E193,'Data_NSA'!$A:$A,0),MATCH($C193,'Data_NSA'!$1:$1,0))))/(100*(INDEX('Data_NSA'!$A:$OK,MATCH(I$1,'Data_NSA'!$A:$A,0),MATCH("CUUR0000SA0",'Data_NSA'!$1:$1,0))/INDEX('Data_NSA'!$A:$OK,MATCH($E193,'Data_NSA'!$A:$A,0),MATCH("CUUR0000SA0",'Data_NSA'!$1:$1,0)))),"")</f>
        <v/>
      </c>
    </row>
    <row r="194">
      <c r="A194" s="3" t="inlineStr">
        <is>
          <t>SEAA04</t>
        </is>
      </c>
      <c r="B194" s="3" t="inlineStr">
        <is>
          <t>Men's pants and shorts</t>
        </is>
      </c>
      <c r="C194" s="3" t="inlineStr">
        <is>
          <t>CUUR0000SEAA04</t>
        </is>
      </c>
      <c r="D194" s="21" t="n">
        <v>0.115</v>
      </c>
      <c r="E194" s="22" t="n">
        <v>45992</v>
      </c>
      <c r="F194" s="3" t="n">
        <v>2024</v>
      </c>
      <c r="G194" s="10">
        <f>IFERROR(100*($D194*(INDEX('Data_NSA'!$A:$OK,MATCH(G$1,'Data_NSA'!$A:$A,0),MATCH($C194,'Data_NSA'!$1:$1,0))/INDEX('Data_NSA'!$A:$OK,MATCH($E194,'Data_NSA'!$A:$A,0),MATCH($C194,'Data_NSA'!$1:$1,0))))/(100*(INDEX('Data_NSA'!$A:$OK,MATCH(G$1,'Data_NSA'!$A:$A,0),MATCH("CUUR0000SA0",'Data_NSA'!$1:$1,0))/INDEX('Data_NSA'!$A:$OK,MATCH($E194,'Data_NSA'!$A:$A,0),MATCH("CUUR0000SA0",'Data_NSA'!$1:$1,0)))),"")</f>
        <v/>
      </c>
      <c r="H194" s="10">
        <f>IFERROR(100*($D194*(INDEX('Data_NSA'!$A:$OK,MATCH(H$1,'Data_NSA'!$A:$A,0),MATCH($C194,'Data_NSA'!$1:$1,0))/INDEX('Data_NSA'!$A:$OK,MATCH($E194,'Data_NSA'!$A:$A,0),MATCH($C194,'Data_NSA'!$1:$1,0))))/(100*(INDEX('Data_NSA'!$A:$OK,MATCH(H$1,'Data_NSA'!$A:$A,0),MATCH("CUUR0000SA0",'Data_NSA'!$1:$1,0))/INDEX('Data_NSA'!$A:$OK,MATCH($E194,'Data_NSA'!$A:$A,0),MATCH("CUUR0000SA0",'Data_NSA'!$1:$1,0)))),"")</f>
        <v/>
      </c>
      <c r="I194" s="10">
        <f>IFERROR(100*($D194*(INDEX('Data_NSA'!$A:$OK,MATCH(I$1,'Data_NSA'!$A:$A,0),MATCH($C194,'Data_NSA'!$1:$1,0))/INDEX('Data_NSA'!$A:$OK,MATCH($E194,'Data_NSA'!$A:$A,0),MATCH($C194,'Data_NSA'!$1:$1,0))))/(100*(INDEX('Data_NSA'!$A:$OK,MATCH(I$1,'Data_NSA'!$A:$A,0),MATCH("CUUR0000SA0",'Data_NSA'!$1:$1,0))/INDEX('Data_NSA'!$A:$OK,MATCH($E194,'Data_NSA'!$A:$A,0),MATCH("CUUR0000SA0",'Data_NSA'!$1:$1,0)))),"")</f>
        <v/>
      </c>
    </row>
    <row r="195">
      <c r="A195" s="3" t="inlineStr">
        <is>
          <t>SEAB</t>
        </is>
      </c>
      <c r="B195" s="3" t="inlineStr">
        <is>
          <t>Boys' apparel</t>
        </is>
      </c>
      <c r="C195" s="3" t="inlineStr">
        <is>
          <t>CUUR0000SEAB</t>
        </is>
      </c>
      <c r="D195" s="21" t="n">
        <v>0.116</v>
      </c>
      <c r="E195" s="22" t="n">
        <v>45992</v>
      </c>
      <c r="F195" s="3" t="n">
        <v>2024</v>
      </c>
      <c r="G195" s="10">
        <f>IFERROR(100*($D195*(INDEX('Data_NSA'!$A:$OK,MATCH(G$1,'Data_NSA'!$A:$A,0),MATCH($C195,'Data_NSA'!$1:$1,0))/INDEX('Data_NSA'!$A:$OK,MATCH($E195,'Data_NSA'!$A:$A,0),MATCH($C195,'Data_NSA'!$1:$1,0))))/(100*(INDEX('Data_NSA'!$A:$OK,MATCH(G$1,'Data_NSA'!$A:$A,0),MATCH("CUUR0000SA0",'Data_NSA'!$1:$1,0))/INDEX('Data_NSA'!$A:$OK,MATCH($E195,'Data_NSA'!$A:$A,0),MATCH("CUUR0000SA0",'Data_NSA'!$1:$1,0)))),"")</f>
        <v/>
      </c>
      <c r="H195" s="10">
        <f>IFERROR(100*($D195*(INDEX('Data_NSA'!$A:$OK,MATCH(H$1,'Data_NSA'!$A:$A,0),MATCH($C195,'Data_NSA'!$1:$1,0))/INDEX('Data_NSA'!$A:$OK,MATCH($E195,'Data_NSA'!$A:$A,0),MATCH($C195,'Data_NSA'!$1:$1,0))))/(100*(INDEX('Data_NSA'!$A:$OK,MATCH(H$1,'Data_NSA'!$A:$A,0),MATCH("CUUR0000SA0",'Data_NSA'!$1:$1,0))/INDEX('Data_NSA'!$A:$OK,MATCH($E195,'Data_NSA'!$A:$A,0),MATCH("CUUR0000SA0",'Data_NSA'!$1:$1,0)))),"")</f>
        <v/>
      </c>
      <c r="I195" s="10">
        <f>IFERROR(100*($D195*(INDEX('Data_NSA'!$A:$OK,MATCH(I$1,'Data_NSA'!$A:$A,0),MATCH($C195,'Data_NSA'!$1:$1,0))/INDEX('Data_NSA'!$A:$OK,MATCH($E195,'Data_NSA'!$A:$A,0),MATCH($C195,'Data_NSA'!$1:$1,0))))/(100*(INDEX('Data_NSA'!$A:$OK,MATCH(I$1,'Data_NSA'!$A:$A,0),MATCH("CUUR0000SA0",'Data_NSA'!$1:$1,0))/INDEX('Data_NSA'!$A:$OK,MATCH($E195,'Data_NSA'!$A:$A,0),MATCH("CUUR0000SA0",'Data_NSA'!$1:$1,0)))),"")</f>
        <v/>
      </c>
    </row>
    <row r="196">
      <c r="A196" s="3" t="inlineStr">
        <is>
          <t>SAA2</t>
        </is>
      </c>
      <c r="B196" s="3" t="inlineStr">
        <is>
          <t>Women's and girls' apparel</t>
        </is>
      </c>
      <c r="C196" s="3" t="inlineStr">
        <is>
          <t>CUUR0000SAA2</t>
        </is>
      </c>
      <c r="D196" s="21" t="n">
        <v>0.928</v>
      </c>
      <c r="E196" s="22" t="n">
        <v>45992</v>
      </c>
      <c r="F196" s="3" t="n">
        <v>2024</v>
      </c>
      <c r="G196" s="10">
        <f>IFERROR(100*($D196*(INDEX('Data_NSA'!$A:$OK,MATCH(G$1,'Data_NSA'!$A:$A,0),MATCH($C196,'Data_NSA'!$1:$1,0))/INDEX('Data_NSA'!$A:$OK,MATCH($E196,'Data_NSA'!$A:$A,0),MATCH($C196,'Data_NSA'!$1:$1,0))))/(100*(INDEX('Data_NSA'!$A:$OK,MATCH(G$1,'Data_NSA'!$A:$A,0),MATCH("CUUR0000SA0",'Data_NSA'!$1:$1,0))/INDEX('Data_NSA'!$A:$OK,MATCH($E196,'Data_NSA'!$A:$A,0),MATCH("CUUR0000SA0",'Data_NSA'!$1:$1,0)))),"")</f>
        <v/>
      </c>
      <c r="H196" s="10">
        <f>IFERROR(100*($D196*(INDEX('Data_NSA'!$A:$OK,MATCH(H$1,'Data_NSA'!$A:$A,0),MATCH($C196,'Data_NSA'!$1:$1,0))/INDEX('Data_NSA'!$A:$OK,MATCH($E196,'Data_NSA'!$A:$A,0),MATCH($C196,'Data_NSA'!$1:$1,0))))/(100*(INDEX('Data_NSA'!$A:$OK,MATCH(H$1,'Data_NSA'!$A:$A,0),MATCH("CUUR0000SA0",'Data_NSA'!$1:$1,0))/INDEX('Data_NSA'!$A:$OK,MATCH($E196,'Data_NSA'!$A:$A,0),MATCH("CUUR0000SA0",'Data_NSA'!$1:$1,0)))),"")</f>
        <v/>
      </c>
      <c r="I196" s="10">
        <f>IFERROR(100*($D196*(INDEX('Data_NSA'!$A:$OK,MATCH(I$1,'Data_NSA'!$A:$A,0),MATCH($C196,'Data_NSA'!$1:$1,0))/INDEX('Data_NSA'!$A:$OK,MATCH($E196,'Data_NSA'!$A:$A,0),MATCH($C196,'Data_NSA'!$1:$1,0))))/(100*(INDEX('Data_NSA'!$A:$OK,MATCH(I$1,'Data_NSA'!$A:$A,0),MATCH("CUUR0000SA0",'Data_NSA'!$1:$1,0))/INDEX('Data_NSA'!$A:$OK,MATCH($E196,'Data_NSA'!$A:$A,0),MATCH("CUUR0000SA0",'Data_NSA'!$1:$1,0)))),"")</f>
        <v/>
      </c>
    </row>
    <row r="197">
      <c r="A197" s="3" t="inlineStr">
        <is>
          <t>SEAC</t>
        </is>
      </c>
      <c r="B197" s="3" t="inlineStr">
        <is>
          <t>Women's apparel</t>
        </is>
      </c>
      <c r="C197" s="3" t="inlineStr">
        <is>
          <t>CUUR0000SEAC</t>
        </is>
      </c>
      <c r="D197" s="21" t="n">
        <v>0.787</v>
      </c>
      <c r="E197" s="22" t="n">
        <v>45992</v>
      </c>
      <c r="F197" s="3" t="n">
        <v>2024</v>
      </c>
      <c r="G197" s="10">
        <f>IFERROR(100*($D197*(INDEX('Data_NSA'!$A:$OK,MATCH(G$1,'Data_NSA'!$A:$A,0),MATCH($C197,'Data_NSA'!$1:$1,0))/INDEX('Data_NSA'!$A:$OK,MATCH($E197,'Data_NSA'!$A:$A,0),MATCH($C197,'Data_NSA'!$1:$1,0))))/(100*(INDEX('Data_NSA'!$A:$OK,MATCH(G$1,'Data_NSA'!$A:$A,0),MATCH("CUUR0000SA0",'Data_NSA'!$1:$1,0))/INDEX('Data_NSA'!$A:$OK,MATCH($E197,'Data_NSA'!$A:$A,0),MATCH("CUUR0000SA0",'Data_NSA'!$1:$1,0)))),"")</f>
        <v/>
      </c>
      <c r="H197" s="10">
        <f>IFERROR(100*($D197*(INDEX('Data_NSA'!$A:$OK,MATCH(H$1,'Data_NSA'!$A:$A,0),MATCH($C197,'Data_NSA'!$1:$1,0))/INDEX('Data_NSA'!$A:$OK,MATCH($E197,'Data_NSA'!$A:$A,0),MATCH($C197,'Data_NSA'!$1:$1,0))))/(100*(INDEX('Data_NSA'!$A:$OK,MATCH(H$1,'Data_NSA'!$A:$A,0),MATCH("CUUR0000SA0",'Data_NSA'!$1:$1,0))/INDEX('Data_NSA'!$A:$OK,MATCH($E197,'Data_NSA'!$A:$A,0),MATCH("CUUR0000SA0",'Data_NSA'!$1:$1,0)))),"")</f>
        <v/>
      </c>
      <c r="I197" s="10">
        <f>IFERROR(100*($D197*(INDEX('Data_NSA'!$A:$OK,MATCH(I$1,'Data_NSA'!$A:$A,0),MATCH($C197,'Data_NSA'!$1:$1,0))/INDEX('Data_NSA'!$A:$OK,MATCH($E197,'Data_NSA'!$A:$A,0),MATCH($C197,'Data_NSA'!$1:$1,0))))/(100*(INDEX('Data_NSA'!$A:$OK,MATCH(I$1,'Data_NSA'!$A:$A,0),MATCH("CUUR0000SA0",'Data_NSA'!$1:$1,0))/INDEX('Data_NSA'!$A:$OK,MATCH($E197,'Data_NSA'!$A:$A,0),MATCH("CUUR0000SA0",'Data_NSA'!$1:$1,0)))),"")</f>
        <v/>
      </c>
    </row>
    <row r="198">
      <c r="A198" s="3" t="inlineStr">
        <is>
          <t>SEAC01</t>
        </is>
      </c>
      <c r="B198" s="3" t="inlineStr">
        <is>
          <t>Women's outerwear</t>
        </is>
      </c>
      <c r="C198" s="3" t="inlineStr">
        <is>
          <t>CUUR0000SEAC01</t>
        </is>
      </c>
      <c r="D198" s="21" t="n">
        <v>0.068</v>
      </c>
      <c r="E198" s="22" t="n">
        <v>45992</v>
      </c>
      <c r="F198" s="3" t="n">
        <v>2024</v>
      </c>
      <c r="G198" s="10">
        <f>IFERROR(100*($D198*(INDEX('Data_NSA'!$A:$OK,MATCH(G$1,'Data_NSA'!$A:$A,0),MATCH($C198,'Data_NSA'!$1:$1,0))/INDEX('Data_NSA'!$A:$OK,MATCH($E198,'Data_NSA'!$A:$A,0),MATCH($C198,'Data_NSA'!$1:$1,0))))/(100*(INDEX('Data_NSA'!$A:$OK,MATCH(G$1,'Data_NSA'!$A:$A,0),MATCH("CUUR0000SA0",'Data_NSA'!$1:$1,0))/INDEX('Data_NSA'!$A:$OK,MATCH($E198,'Data_NSA'!$A:$A,0),MATCH("CUUR0000SA0",'Data_NSA'!$1:$1,0)))),"")</f>
        <v/>
      </c>
      <c r="H198" s="10">
        <f>IFERROR(100*($D198*(INDEX('Data_NSA'!$A:$OK,MATCH(H$1,'Data_NSA'!$A:$A,0),MATCH($C198,'Data_NSA'!$1:$1,0))/INDEX('Data_NSA'!$A:$OK,MATCH($E198,'Data_NSA'!$A:$A,0),MATCH($C198,'Data_NSA'!$1:$1,0))))/(100*(INDEX('Data_NSA'!$A:$OK,MATCH(H$1,'Data_NSA'!$A:$A,0),MATCH("CUUR0000SA0",'Data_NSA'!$1:$1,0))/INDEX('Data_NSA'!$A:$OK,MATCH($E198,'Data_NSA'!$A:$A,0),MATCH("CUUR0000SA0",'Data_NSA'!$1:$1,0)))),"")</f>
        <v/>
      </c>
      <c r="I198" s="10">
        <f>IFERROR(100*($D198*(INDEX('Data_NSA'!$A:$OK,MATCH(I$1,'Data_NSA'!$A:$A,0),MATCH($C198,'Data_NSA'!$1:$1,0))/INDEX('Data_NSA'!$A:$OK,MATCH($E198,'Data_NSA'!$A:$A,0),MATCH($C198,'Data_NSA'!$1:$1,0))))/(100*(INDEX('Data_NSA'!$A:$OK,MATCH(I$1,'Data_NSA'!$A:$A,0),MATCH("CUUR0000SA0",'Data_NSA'!$1:$1,0))/INDEX('Data_NSA'!$A:$OK,MATCH($E198,'Data_NSA'!$A:$A,0),MATCH("CUUR0000SA0",'Data_NSA'!$1:$1,0)))),"")</f>
        <v/>
      </c>
    </row>
    <row r="199">
      <c r="A199" s="3" t="inlineStr">
        <is>
          <t>SEAC02</t>
        </is>
      </c>
      <c r="B199" s="3" t="inlineStr">
        <is>
          <t>Women's dresses</t>
        </is>
      </c>
      <c r="C199" s="3" t="inlineStr">
        <is>
          <t>CUUR0000SEAC02</t>
        </is>
      </c>
      <c r="D199" s="21" t="n">
        <v>0.104</v>
      </c>
      <c r="E199" s="22" t="n">
        <v>45992</v>
      </c>
      <c r="F199" s="3" t="n">
        <v>2024</v>
      </c>
      <c r="G199" s="10">
        <f>IFERROR(100*($D199*(INDEX('Data_NSA'!$A:$OK,MATCH(G$1,'Data_NSA'!$A:$A,0),MATCH($C199,'Data_NSA'!$1:$1,0))/INDEX('Data_NSA'!$A:$OK,MATCH($E199,'Data_NSA'!$A:$A,0),MATCH($C199,'Data_NSA'!$1:$1,0))))/(100*(INDEX('Data_NSA'!$A:$OK,MATCH(G$1,'Data_NSA'!$A:$A,0),MATCH("CUUR0000SA0",'Data_NSA'!$1:$1,0))/INDEX('Data_NSA'!$A:$OK,MATCH($E199,'Data_NSA'!$A:$A,0),MATCH("CUUR0000SA0",'Data_NSA'!$1:$1,0)))),"")</f>
        <v/>
      </c>
      <c r="H199" s="10">
        <f>IFERROR(100*($D199*(INDEX('Data_NSA'!$A:$OK,MATCH(H$1,'Data_NSA'!$A:$A,0),MATCH($C199,'Data_NSA'!$1:$1,0))/INDEX('Data_NSA'!$A:$OK,MATCH($E199,'Data_NSA'!$A:$A,0),MATCH($C199,'Data_NSA'!$1:$1,0))))/(100*(INDEX('Data_NSA'!$A:$OK,MATCH(H$1,'Data_NSA'!$A:$A,0),MATCH("CUUR0000SA0",'Data_NSA'!$1:$1,0))/INDEX('Data_NSA'!$A:$OK,MATCH($E199,'Data_NSA'!$A:$A,0),MATCH("CUUR0000SA0",'Data_NSA'!$1:$1,0)))),"")</f>
        <v/>
      </c>
      <c r="I199" s="10">
        <f>IFERROR(100*($D199*(INDEX('Data_NSA'!$A:$OK,MATCH(I$1,'Data_NSA'!$A:$A,0),MATCH($C199,'Data_NSA'!$1:$1,0))/INDEX('Data_NSA'!$A:$OK,MATCH($E199,'Data_NSA'!$A:$A,0),MATCH($C199,'Data_NSA'!$1:$1,0))))/(100*(INDEX('Data_NSA'!$A:$OK,MATCH(I$1,'Data_NSA'!$A:$A,0),MATCH("CUUR0000SA0",'Data_NSA'!$1:$1,0))/INDEX('Data_NSA'!$A:$OK,MATCH($E199,'Data_NSA'!$A:$A,0),MATCH("CUUR0000SA0",'Data_NSA'!$1:$1,0)))),"")</f>
        <v/>
      </c>
    </row>
    <row r="200">
      <c r="A200" s="3" t="inlineStr">
        <is>
          <t>SEAC03</t>
        </is>
      </c>
      <c r="B200" s="3" t="inlineStr">
        <is>
          <t>Women's suits and separates</t>
        </is>
      </c>
      <c r="C200" s="3" t="inlineStr">
        <is>
          <t>CUUR0000SEAC03</t>
        </is>
      </c>
      <c r="D200" s="21" t="n">
        <v>0.366</v>
      </c>
      <c r="E200" s="22" t="n">
        <v>45992</v>
      </c>
      <c r="F200" s="3" t="n">
        <v>2024</v>
      </c>
      <c r="G200" s="10">
        <f>IFERROR(100*($D200*(INDEX('Data_NSA'!$A:$OK,MATCH(G$1,'Data_NSA'!$A:$A,0),MATCH($C200,'Data_NSA'!$1:$1,0))/INDEX('Data_NSA'!$A:$OK,MATCH($E200,'Data_NSA'!$A:$A,0),MATCH($C200,'Data_NSA'!$1:$1,0))))/(100*(INDEX('Data_NSA'!$A:$OK,MATCH(G$1,'Data_NSA'!$A:$A,0),MATCH("CUUR0000SA0",'Data_NSA'!$1:$1,0))/INDEX('Data_NSA'!$A:$OK,MATCH($E200,'Data_NSA'!$A:$A,0),MATCH("CUUR0000SA0",'Data_NSA'!$1:$1,0)))),"")</f>
        <v/>
      </c>
      <c r="H200" s="10">
        <f>IFERROR(100*($D200*(INDEX('Data_NSA'!$A:$OK,MATCH(H$1,'Data_NSA'!$A:$A,0),MATCH($C200,'Data_NSA'!$1:$1,0))/INDEX('Data_NSA'!$A:$OK,MATCH($E200,'Data_NSA'!$A:$A,0),MATCH($C200,'Data_NSA'!$1:$1,0))))/(100*(INDEX('Data_NSA'!$A:$OK,MATCH(H$1,'Data_NSA'!$A:$A,0),MATCH("CUUR0000SA0",'Data_NSA'!$1:$1,0))/INDEX('Data_NSA'!$A:$OK,MATCH($E200,'Data_NSA'!$A:$A,0),MATCH("CUUR0000SA0",'Data_NSA'!$1:$1,0)))),"")</f>
        <v/>
      </c>
      <c r="I200" s="10">
        <f>IFERROR(100*($D200*(INDEX('Data_NSA'!$A:$OK,MATCH(I$1,'Data_NSA'!$A:$A,0),MATCH($C200,'Data_NSA'!$1:$1,0))/INDEX('Data_NSA'!$A:$OK,MATCH($E200,'Data_NSA'!$A:$A,0),MATCH($C200,'Data_NSA'!$1:$1,0))))/(100*(INDEX('Data_NSA'!$A:$OK,MATCH(I$1,'Data_NSA'!$A:$A,0),MATCH("CUUR0000SA0",'Data_NSA'!$1:$1,0))/INDEX('Data_NSA'!$A:$OK,MATCH($E200,'Data_NSA'!$A:$A,0),MATCH("CUUR0000SA0",'Data_NSA'!$1:$1,0)))),"")</f>
        <v/>
      </c>
    </row>
    <row r="201">
      <c r="A201" s="3" t="inlineStr">
        <is>
          <t>SEAC04</t>
        </is>
      </c>
      <c r="B201" s="3" t="inlineStr">
        <is>
          <t>Women's underwear, nightwear, swimwear and accessories</t>
        </is>
      </c>
      <c r="C201" s="3" t="inlineStr">
        <is>
          <t>CUUR0000SEAC04</t>
        </is>
      </c>
      <c r="D201" s="21" t="n">
        <v>0.234</v>
      </c>
      <c r="E201" s="22" t="n">
        <v>45992</v>
      </c>
      <c r="F201" s="3" t="n">
        <v>2024</v>
      </c>
      <c r="G201" s="10">
        <f>IFERROR(100*($D201*(INDEX('Data_NSA'!$A:$OK,MATCH(G$1,'Data_NSA'!$A:$A,0),MATCH($C201,'Data_NSA'!$1:$1,0))/INDEX('Data_NSA'!$A:$OK,MATCH($E201,'Data_NSA'!$A:$A,0),MATCH($C201,'Data_NSA'!$1:$1,0))))/(100*(INDEX('Data_NSA'!$A:$OK,MATCH(G$1,'Data_NSA'!$A:$A,0),MATCH("CUUR0000SA0",'Data_NSA'!$1:$1,0))/INDEX('Data_NSA'!$A:$OK,MATCH($E201,'Data_NSA'!$A:$A,0),MATCH("CUUR0000SA0",'Data_NSA'!$1:$1,0)))),"")</f>
        <v/>
      </c>
      <c r="H201" s="10">
        <f>IFERROR(100*($D201*(INDEX('Data_NSA'!$A:$OK,MATCH(H$1,'Data_NSA'!$A:$A,0),MATCH($C201,'Data_NSA'!$1:$1,0))/INDEX('Data_NSA'!$A:$OK,MATCH($E201,'Data_NSA'!$A:$A,0),MATCH($C201,'Data_NSA'!$1:$1,0))))/(100*(INDEX('Data_NSA'!$A:$OK,MATCH(H$1,'Data_NSA'!$A:$A,0),MATCH("CUUR0000SA0",'Data_NSA'!$1:$1,0))/INDEX('Data_NSA'!$A:$OK,MATCH($E201,'Data_NSA'!$A:$A,0),MATCH("CUUR0000SA0",'Data_NSA'!$1:$1,0)))),"")</f>
        <v/>
      </c>
      <c r="I201" s="10">
        <f>IFERROR(100*($D201*(INDEX('Data_NSA'!$A:$OK,MATCH(I$1,'Data_NSA'!$A:$A,0),MATCH($C201,'Data_NSA'!$1:$1,0))/INDEX('Data_NSA'!$A:$OK,MATCH($E201,'Data_NSA'!$A:$A,0),MATCH($C201,'Data_NSA'!$1:$1,0))))/(100*(INDEX('Data_NSA'!$A:$OK,MATCH(I$1,'Data_NSA'!$A:$A,0),MATCH("CUUR0000SA0",'Data_NSA'!$1:$1,0))/INDEX('Data_NSA'!$A:$OK,MATCH($E201,'Data_NSA'!$A:$A,0),MATCH("CUUR0000SA0",'Data_NSA'!$1:$1,0)))),"")</f>
        <v/>
      </c>
    </row>
    <row r="202">
      <c r="A202" s="3" t="inlineStr">
        <is>
          <t>SEAD</t>
        </is>
      </c>
      <c r="B202" s="3" t="inlineStr">
        <is>
          <t>Girls' apparel</t>
        </is>
      </c>
      <c r="C202" s="3" t="inlineStr">
        <is>
          <t>CUUR0000SEAD</t>
        </is>
      </c>
      <c r="D202" s="21" t="n">
        <v>0.141</v>
      </c>
      <c r="E202" s="22" t="n">
        <v>45992</v>
      </c>
      <c r="F202" s="3" t="n">
        <v>2024</v>
      </c>
      <c r="G202" s="10">
        <f>IFERROR(100*($D202*(INDEX('Data_NSA'!$A:$OK,MATCH(G$1,'Data_NSA'!$A:$A,0),MATCH($C202,'Data_NSA'!$1:$1,0))/INDEX('Data_NSA'!$A:$OK,MATCH($E202,'Data_NSA'!$A:$A,0),MATCH($C202,'Data_NSA'!$1:$1,0))))/(100*(INDEX('Data_NSA'!$A:$OK,MATCH(G$1,'Data_NSA'!$A:$A,0),MATCH("CUUR0000SA0",'Data_NSA'!$1:$1,0))/INDEX('Data_NSA'!$A:$OK,MATCH($E202,'Data_NSA'!$A:$A,0),MATCH("CUUR0000SA0",'Data_NSA'!$1:$1,0)))),"")</f>
        <v/>
      </c>
      <c r="H202" s="10">
        <f>IFERROR(100*($D202*(INDEX('Data_NSA'!$A:$OK,MATCH(H$1,'Data_NSA'!$A:$A,0),MATCH($C202,'Data_NSA'!$1:$1,0))/INDEX('Data_NSA'!$A:$OK,MATCH($E202,'Data_NSA'!$A:$A,0),MATCH($C202,'Data_NSA'!$1:$1,0))))/(100*(INDEX('Data_NSA'!$A:$OK,MATCH(H$1,'Data_NSA'!$A:$A,0),MATCH("CUUR0000SA0",'Data_NSA'!$1:$1,0))/INDEX('Data_NSA'!$A:$OK,MATCH($E202,'Data_NSA'!$A:$A,0),MATCH("CUUR0000SA0",'Data_NSA'!$1:$1,0)))),"")</f>
        <v/>
      </c>
      <c r="I202" s="10">
        <f>IFERROR(100*($D202*(INDEX('Data_NSA'!$A:$OK,MATCH(I$1,'Data_NSA'!$A:$A,0),MATCH($C202,'Data_NSA'!$1:$1,0))/INDEX('Data_NSA'!$A:$OK,MATCH($E202,'Data_NSA'!$A:$A,0),MATCH($C202,'Data_NSA'!$1:$1,0))))/(100*(INDEX('Data_NSA'!$A:$OK,MATCH(I$1,'Data_NSA'!$A:$A,0),MATCH("CUUR0000SA0",'Data_NSA'!$1:$1,0))/INDEX('Data_NSA'!$A:$OK,MATCH($E202,'Data_NSA'!$A:$A,0),MATCH("CUUR0000SA0",'Data_NSA'!$1:$1,0)))),"")</f>
        <v/>
      </c>
    </row>
    <row r="203">
      <c r="A203" s="3" t="inlineStr">
        <is>
          <t>SEAE</t>
        </is>
      </c>
      <c r="B203" s="3" t="inlineStr">
        <is>
          <t>Footwear</t>
        </is>
      </c>
      <c r="C203" s="3" t="inlineStr">
        <is>
          <t>CUUR0000SEAE</t>
        </is>
      </c>
      <c r="D203" s="21" t="n">
        <v>0.585</v>
      </c>
      <c r="E203" s="22" t="n">
        <v>45992</v>
      </c>
      <c r="F203" s="3" t="n">
        <v>2024</v>
      </c>
      <c r="G203" s="10">
        <f>IFERROR(100*($D203*(INDEX('Data_NSA'!$A:$OK,MATCH(G$1,'Data_NSA'!$A:$A,0),MATCH($C203,'Data_NSA'!$1:$1,0))/INDEX('Data_NSA'!$A:$OK,MATCH($E203,'Data_NSA'!$A:$A,0),MATCH($C203,'Data_NSA'!$1:$1,0))))/(100*(INDEX('Data_NSA'!$A:$OK,MATCH(G$1,'Data_NSA'!$A:$A,0),MATCH("CUUR0000SA0",'Data_NSA'!$1:$1,0))/INDEX('Data_NSA'!$A:$OK,MATCH($E203,'Data_NSA'!$A:$A,0),MATCH("CUUR0000SA0",'Data_NSA'!$1:$1,0)))),"")</f>
        <v/>
      </c>
      <c r="H203" s="10">
        <f>IFERROR(100*($D203*(INDEX('Data_NSA'!$A:$OK,MATCH(H$1,'Data_NSA'!$A:$A,0),MATCH($C203,'Data_NSA'!$1:$1,0))/INDEX('Data_NSA'!$A:$OK,MATCH($E203,'Data_NSA'!$A:$A,0),MATCH($C203,'Data_NSA'!$1:$1,0))))/(100*(INDEX('Data_NSA'!$A:$OK,MATCH(H$1,'Data_NSA'!$A:$A,0),MATCH("CUUR0000SA0",'Data_NSA'!$1:$1,0))/INDEX('Data_NSA'!$A:$OK,MATCH($E203,'Data_NSA'!$A:$A,0),MATCH("CUUR0000SA0",'Data_NSA'!$1:$1,0)))),"")</f>
        <v/>
      </c>
      <c r="I203" s="10">
        <f>IFERROR(100*($D203*(INDEX('Data_NSA'!$A:$OK,MATCH(I$1,'Data_NSA'!$A:$A,0),MATCH($C203,'Data_NSA'!$1:$1,0))/INDEX('Data_NSA'!$A:$OK,MATCH($E203,'Data_NSA'!$A:$A,0),MATCH($C203,'Data_NSA'!$1:$1,0))))/(100*(INDEX('Data_NSA'!$A:$OK,MATCH(I$1,'Data_NSA'!$A:$A,0),MATCH("CUUR0000SA0",'Data_NSA'!$1:$1,0))/INDEX('Data_NSA'!$A:$OK,MATCH($E203,'Data_NSA'!$A:$A,0),MATCH("CUUR0000SA0",'Data_NSA'!$1:$1,0)))),"")</f>
        <v/>
      </c>
    </row>
    <row r="204">
      <c r="A204" s="3" t="inlineStr">
        <is>
          <t>SEAE01</t>
        </is>
      </c>
      <c r="B204" s="3" t="inlineStr">
        <is>
          <t>Men's footwear</t>
        </is>
      </c>
      <c r="C204" s="3" t="inlineStr">
        <is>
          <t>CUUR0000SEAE01</t>
        </is>
      </c>
      <c r="D204" s="21" t="n">
        <v>0.191</v>
      </c>
      <c r="E204" s="22" t="n">
        <v>45992</v>
      </c>
      <c r="F204" s="3" t="n">
        <v>2024</v>
      </c>
      <c r="G204" s="10">
        <f>IFERROR(100*($D204*(INDEX('Data_NSA'!$A:$OK,MATCH(G$1,'Data_NSA'!$A:$A,0),MATCH($C204,'Data_NSA'!$1:$1,0))/INDEX('Data_NSA'!$A:$OK,MATCH($E204,'Data_NSA'!$A:$A,0),MATCH($C204,'Data_NSA'!$1:$1,0))))/(100*(INDEX('Data_NSA'!$A:$OK,MATCH(G$1,'Data_NSA'!$A:$A,0),MATCH("CUUR0000SA0",'Data_NSA'!$1:$1,0))/INDEX('Data_NSA'!$A:$OK,MATCH($E204,'Data_NSA'!$A:$A,0),MATCH("CUUR0000SA0",'Data_NSA'!$1:$1,0)))),"")</f>
        <v/>
      </c>
      <c r="H204" s="10">
        <f>IFERROR(100*($D204*(INDEX('Data_NSA'!$A:$OK,MATCH(H$1,'Data_NSA'!$A:$A,0),MATCH($C204,'Data_NSA'!$1:$1,0))/INDEX('Data_NSA'!$A:$OK,MATCH($E204,'Data_NSA'!$A:$A,0),MATCH($C204,'Data_NSA'!$1:$1,0))))/(100*(INDEX('Data_NSA'!$A:$OK,MATCH(H$1,'Data_NSA'!$A:$A,0),MATCH("CUUR0000SA0",'Data_NSA'!$1:$1,0))/INDEX('Data_NSA'!$A:$OK,MATCH($E204,'Data_NSA'!$A:$A,0),MATCH("CUUR0000SA0",'Data_NSA'!$1:$1,0)))),"")</f>
        <v/>
      </c>
      <c r="I204" s="10">
        <f>IFERROR(100*($D204*(INDEX('Data_NSA'!$A:$OK,MATCH(I$1,'Data_NSA'!$A:$A,0),MATCH($C204,'Data_NSA'!$1:$1,0))/INDEX('Data_NSA'!$A:$OK,MATCH($E204,'Data_NSA'!$A:$A,0),MATCH($C204,'Data_NSA'!$1:$1,0))))/(100*(INDEX('Data_NSA'!$A:$OK,MATCH(I$1,'Data_NSA'!$A:$A,0),MATCH("CUUR0000SA0",'Data_NSA'!$1:$1,0))/INDEX('Data_NSA'!$A:$OK,MATCH($E204,'Data_NSA'!$A:$A,0),MATCH("CUUR0000SA0",'Data_NSA'!$1:$1,0)))),"")</f>
        <v/>
      </c>
    </row>
    <row r="205">
      <c r="A205" s="3" t="inlineStr">
        <is>
          <t>SEAE02</t>
        </is>
      </c>
      <c r="B205" s="3" t="inlineStr">
        <is>
          <t>Boys' and girls' footwear</t>
        </is>
      </c>
      <c r="C205" s="3" t="inlineStr">
        <is>
          <t>CUUR0000SEAE02</t>
        </is>
      </c>
      <c r="D205" s="21" t="n">
        <v>0.124</v>
      </c>
      <c r="E205" s="22" t="n">
        <v>45992</v>
      </c>
      <c r="F205" s="3" t="n">
        <v>2024</v>
      </c>
      <c r="G205" s="10">
        <f>IFERROR(100*($D205*(INDEX('Data_NSA'!$A:$OK,MATCH(G$1,'Data_NSA'!$A:$A,0),MATCH($C205,'Data_NSA'!$1:$1,0))/INDEX('Data_NSA'!$A:$OK,MATCH($E205,'Data_NSA'!$A:$A,0),MATCH($C205,'Data_NSA'!$1:$1,0))))/(100*(INDEX('Data_NSA'!$A:$OK,MATCH(G$1,'Data_NSA'!$A:$A,0),MATCH("CUUR0000SA0",'Data_NSA'!$1:$1,0))/INDEX('Data_NSA'!$A:$OK,MATCH($E205,'Data_NSA'!$A:$A,0),MATCH("CUUR0000SA0",'Data_NSA'!$1:$1,0)))),"")</f>
        <v/>
      </c>
      <c r="H205" s="10">
        <f>IFERROR(100*($D205*(INDEX('Data_NSA'!$A:$OK,MATCH(H$1,'Data_NSA'!$A:$A,0),MATCH($C205,'Data_NSA'!$1:$1,0))/INDEX('Data_NSA'!$A:$OK,MATCH($E205,'Data_NSA'!$A:$A,0),MATCH($C205,'Data_NSA'!$1:$1,0))))/(100*(INDEX('Data_NSA'!$A:$OK,MATCH(H$1,'Data_NSA'!$A:$A,0),MATCH("CUUR0000SA0",'Data_NSA'!$1:$1,0))/INDEX('Data_NSA'!$A:$OK,MATCH($E205,'Data_NSA'!$A:$A,0),MATCH("CUUR0000SA0",'Data_NSA'!$1:$1,0)))),"")</f>
        <v/>
      </c>
      <c r="I205" s="10">
        <f>IFERROR(100*($D205*(INDEX('Data_NSA'!$A:$OK,MATCH(I$1,'Data_NSA'!$A:$A,0),MATCH($C205,'Data_NSA'!$1:$1,0))/INDEX('Data_NSA'!$A:$OK,MATCH($E205,'Data_NSA'!$A:$A,0),MATCH($C205,'Data_NSA'!$1:$1,0))))/(100*(INDEX('Data_NSA'!$A:$OK,MATCH(I$1,'Data_NSA'!$A:$A,0),MATCH("CUUR0000SA0",'Data_NSA'!$1:$1,0))/INDEX('Data_NSA'!$A:$OK,MATCH($E205,'Data_NSA'!$A:$A,0),MATCH("CUUR0000SA0",'Data_NSA'!$1:$1,0)))),"")</f>
        <v/>
      </c>
    </row>
    <row r="206">
      <c r="A206" s="3" t="inlineStr">
        <is>
          <t>SEAE03</t>
        </is>
      </c>
      <c r="B206" s="3" t="inlineStr">
        <is>
          <t>Women's footwear</t>
        </is>
      </c>
      <c r="C206" s="3" t="inlineStr">
        <is>
          <t>CUUR0000SEAE03</t>
        </is>
      </c>
      <c r="D206" s="21" t="n">
        <v>0.269</v>
      </c>
      <c r="E206" s="22" t="n">
        <v>45992</v>
      </c>
      <c r="F206" s="3" t="n">
        <v>2024</v>
      </c>
      <c r="G206" s="10">
        <f>IFERROR(100*($D206*(INDEX('Data_NSA'!$A:$OK,MATCH(G$1,'Data_NSA'!$A:$A,0),MATCH($C206,'Data_NSA'!$1:$1,0))/INDEX('Data_NSA'!$A:$OK,MATCH($E206,'Data_NSA'!$A:$A,0),MATCH($C206,'Data_NSA'!$1:$1,0))))/(100*(INDEX('Data_NSA'!$A:$OK,MATCH(G$1,'Data_NSA'!$A:$A,0),MATCH("CUUR0000SA0",'Data_NSA'!$1:$1,0))/INDEX('Data_NSA'!$A:$OK,MATCH($E206,'Data_NSA'!$A:$A,0),MATCH("CUUR0000SA0",'Data_NSA'!$1:$1,0)))),"")</f>
        <v/>
      </c>
      <c r="H206" s="10">
        <f>IFERROR(100*($D206*(INDEX('Data_NSA'!$A:$OK,MATCH(H$1,'Data_NSA'!$A:$A,0),MATCH($C206,'Data_NSA'!$1:$1,0))/INDEX('Data_NSA'!$A:$OK,MATCH($E206,'Data_NSA'!$A:$A,0),MATCH($C206,'Data_NSA'!$1:$1,0))))/(100*(INDEX('Data_NSA'!$A:$OK,MATCH(H$1,'Data_NSA'!$A:$A,0),MATCH("CUUR0000SA0",'Data_NSA'!$1:$1,0))/INDEX('Data_NSA'!$A:$OK,MATCH($E206,'Data_NSA'!$A:$A,0),MATCH("CUUR0000SA0",'Data_NSA'!$1:$1,0)))),"")</f>
        <v/>
      </c>
      <c r="I206" s="10">
        <f>IFERROR(100*($D206*(INDEX('Data_NSA'!$A:$OK,MATCH(I$1,'Data_NSA'!$A:$A,0),MATCH($C206,'Data_NSA'!$1:$1,0))/INDEX('Data_NSA'!$A:$OK,MATCH($E206,'Data_NSA'!$A:$A,0),MATCH($C206,'Data_NSA'!$1:$1,0))))/(100*(INDEX('Data_NSA'!$A:$OK,MATCH(I$1,'Data_NSA'!$A:$A,0),MATCH("CUUR0000SA0",'Data_NSA'!$1:$1,0))/INDEX('Data_NSA'!$A:$OK,MATCH($E206,'Data_NSA'!$A:$A,0),MATCH("CUUR0000SA0",'Data_NSA'!$1:$1,0)))),"")</f>
        <v/>
      </c>
    </row>
    <row r="207">
      <c r="A207" s="3" t="inlineStr">
        <is>
          <t>SEAF</t>
        </is>
      </c>
      <c r="B207" s="3" t="inlineStr">
        <is>
          <t>Infants' and toddlers' apparel</t>
        </is>
      </c>
      <c r="C207" s="3" t="inlineStr">
        <is>
          <t>CUUR0000SEAF</t>
        </is>
      </c>
      <c r="D207" s="21" t="n">
        <v>0.103</v>
      </c>
      <c r="E207" s="22" t="n">
        <v>45992</v>
      </c>
      <c r="F207" s="3" t="n">
        <v>2024</v>
      </c>
      <c r="G207" s="10">
        <f>IFERROR(100*($D207*(INDEX('Data_NSA'!$A:$OK,MATCH(G$1,'Data_NSA'!$A:$A,0),MATCH($C207,'Data_NSA'!$1:$1,0))/INDEX('Data_NSA'!$A:$OK,MATCH($E207,'Data_NSA'!$A:$A,0),MATCH($C207,'Data_NSA'!$1:$1,0))))/(100*(INDEX('Data_NSA'!$A:$OK,MATCH(G$1,'Data_NSA'!$A:$A,0),MATCH("CUUR0000SA0",'Data_NSA'!$1:$1,0))/INDEX('Data_NSA'!$A:$OK,MATCH($E207,'Data_NSA'!$A:$A,0),MATCH("CUUR0000SA0",'Data_NSA'!$1:$1,0)))),"")</f>
        <v/>
      </c>
      <c r="H207" s="10">
        <f>IFERROR(100*($D207*(INDEX('Data_NSA'!$A:$OK,MATCH(H$1,'Data_NSA'!$A:$A,0),MATCH($C207,'Data_NSA'!$1:$1,0))/INDEX('Data_NSA'!$A:$OK,MATCH($E207,'Data_NSA'!$A:$A,0),MATCH($C207,'Data_NSA'!$1:$1,0))))/(100*(INDEX('Data_NSA'!$A:$OK,MATCH(H$1,'Data_NSA'!$A:$A,0),MATCH("CUUR0000SA0",'Data_NSA'!$1:$1,0))/INDEX('Data_NSA'!$A:$OK,MATCH($E207,'Data_NSA'!$A:$A,0),MATCH("CUUR0000SA0",'Data_NSA'!$1:$1,0)))),"")</f>
        <v/>
      </c>
      <c r="I207" s="10">
        <f>IFERROR(100*($D207*(INDEX('Data_NSA'!$A:$OK,MATCH(I$1,'Data_NSA'!$A:$A,0),MATCH($C207,'Data_NSA'!$1:$1,0))/INDEX('Data_NSA'!$A:$OK,MATCH($E207,'Data_NSA'!$A:$A,0),MATCH($C207,'Data_NSA'!$1:$1,0))))/(100*(INDEX('Data_NSA'!$A:$OK,MATCH(I$1,'Data_NSA'!$A:$A,0),MATCH("CUUR0000SA0",'Data_NSA'!$1:$1,0))/INDEX('Data_NSA'!$A:$OK,MATCH($E207,'Data_NSA'!$A:$A,0),MATCH("CUUR0000SA0",'Data_NSA'!$1:$1,0)))),"")</f>
        <v/>
      </c>
    </row>
    <row r="208">
      <c r="A208" s="3" t="inlineStr">
        <is>
          <t>SEAG</t>
        </is>
      </c>
      <c r="B208" s="3" t="inlineStr">
        <is>
          <t>Jewelry and watches</t>
        </is>
      </c>
      <c r="C208" s="3" t="inlineStr">
        <is>
          <t>CUUR0000SEAG</t>
        </is>
      </c>
      <c r="D208" s="21" t="n">
        <v>0.163</v>
      </c>
      <c r="E208" s="22" t="n">
        <v>45992</v>
      </c>
      <c r="F208" s="3" t="n">
        <v>2024</v>
      </c>
      <c r="G208" s="10">
        <f>IFERROR(100*($D208*(INDEX('Data_NSA'!$A:$OK,MATCH(G$1,'Data_NSA'!$A:$A,0),MATCH($C208,'Data_NSA'!$1:$1,0))/INDEX('Data_NSA'!$A:$OK,MATCH($E208,'Data_NSA'!$A:$A,0),MATCH($C208,'Data_NSA'!$1:$1,0))))/(100*(INDEX('Data_NSA'!$A:$OK,MATCH(G$1,'Data_NSA'!$A:$A,0),MATCH("CUUR0000SA0",'Data_NSA'!$1:$1,0))/INDEX('Data_NSA'!$A:$OK,MATCH($E208,'Data_NSA'!$A:$A,0),MATCH("CUUR0000SA0",'Data_NSA'!$1:$1,0)))),"")</f>
        <v/>
      </c>
      <c r="H208" s="10">
        <f>IFERROR(100*($D208*(INDEX('Data_NSA'!$A:$OK,MATCH(H$1,'Data_NSA'!$A:$A,0),MATCH($C208,'Data_NSA'!$1:$1,0))/INDEX('Data_NSA'!$A:$OK,MATCH($E208,'Data_NSA'!$A:$A,0),MATCH($C208,'Data_NSA'!$1:$1,0))))/(100*(INDEX('Data_NSA'!$A:$OK,MATCH(H$1,'Data_NSA'!$A:$A,0),MATCH("CUUR0000SA0",'Data_NSA'!$1:$1,0))/INDEX('Data_NSA'!$A:$OK,MATCH($E208,'Data_NSA'!$A:$A,0),MATCH("CUUR0000SA0",'Data_NSA'!$1:$1,0)))),"")</f>
        <v/>
      </c>
      <c r="I208" s="10">
        <f>IFERROR(100*($D208*(INDEX('Data_NSA'!$A:$OK,MATCH(I$1,'Data_NSA'!$A:$A,0),MATCH($C208,'Data_NSA'!$1:$1,0))/INDEX('Data_NSA'!$A:$OK,MATCH($E208,'Data_NSA'!$A:$A,0),MATCH($C208,'Data_NSA'!$1:$1,0))))/(100*(INDEX('Data_NSA'!$A:$OK,MATCH(I$1,'Data_NSA'!$A:$A,0),MATCH("CUUR0000SA0",'Data_NSA'!$1:$1,0))/INDEX('Data_NSA'!$A:$OK,MATCH($E208,'Data_NSA'!$A:$A,0),MATCH("CUUR0000SA0",'Data_NSA'!$1:$1,0)))),"")</f>
        <v/>
      </c>
    </row>
    <row r="209">
      <c r="A209" s="3" t="inlineStr">
        <is>
          <t>SEAG01</t>
        </is>
      </c>
      <c r="B209" s="3" t="inlineStr">
        <is>
          <t>Watches</t>
        </is>
      </c>
      <c r="C209" s="3" t="inlineStr">
        <is>
          <t>CUUR0000SEAG01</t>
        </is>
      </c>
      <c r="D209" s="21" t="n">
        <v>0.035</v>
      </c>
      <c r="E209" s="22" t="n">
        <v>45992</v>
      </c>
      <c r="F209" s="3" t="n">
        <v>2024</v>
      </c>
      <c r="G209" s="10">
        <f>IFERROR(100*($D209*(INDEX('Data_NSA'!$A:$OK,MATCH(G$1,'Data_NSA'!$A:$A,0),MATCH($C209,'Data_NSA'!$1:$1,0))/INDEX('Data_NSA'!$A:$OK,MATCH($E209,'Data_NSA'!$A:$A,0),MATCH($C209,'Data_NSA'!$1:$1,0))))/(100*(INDEX('Data_NSA'!$A:$OK,MATCH(G$1,'Data_NSA'!$A:$A,0),MATCH("CUUR0000SA0",'Data_NSA'!$1:$1,0))/INDEX('Data_NSA'!$A:$OK,MATCH($E209,'Data_NSA'!$A:$A,0),MATCH("CUUR0000SA0",'Data_NSA'!$1:$1,0)))),"")</f>
        <v/>
      </c>
      <c r="H209" s="10">
        <f>IFERROR(100*($D209*(INDEX('Data_NSA'!$A:$OK,MATCH(H$1,'Data_NSA'!$A:$A,0),MATCH($C209,'Data_NSA'!$1:$1,0))/INDEX('Data_NSA'!$A:$OK,MATCH($E209,'Data_NSA'!$A:$A,0),MATCH($C209,'Data_NSA'!$1:$1,0))))/(100*(INDEX('Data_NSA'!$A:$OK,MATCH(H$1,'Data_NSA'!$A:$A,0),MATCH("CUUR0000SA0",'Data_NSA'!$1:$1,0))/INDEX('Data_NSA'!$A:$OK,MATCH($E209,'Data_NSA'!$A:$A,0),MATCH("CUUR0000SA0",'Data_NSA'!$1:$1,0)))),"")</f>
        <v/>
      </c>
      <c r="I209" s="10">
        <f>IFERROR(100*($D209*(INDEX('Data_NSA'!$A:$OK,MATCH(I$1,'Data_NSA'!$A:$A,0),MATCH($C209,'Data_NSA'!$1:$1,0))/INDEX('Data_NSA'!$A:$OK,MATCH($E209,'Data_NSA'!$A:$A,0),MATCH($C209,'Data_NSA'!$1:$1,0))))/(100*(INDEX('Data_NSA'!$A:$OK,MATCH(I$1,'Data_NSA'!$A:$A,0),MATCH("CUUR0000SA0",'Data_NSA'!$1:$1,0))/INDEX('Data_NSA'!$A:$OK,MATCH($E209,'Data_NSA'!$A:$A,0),MATCH("CUUR0000SA0",'Data_NSA'!$1:$1,0)))),"")</f>
        <v/>
      </c>
    </row>
    <row r="210">
      <c r="A210" s="3" t="inlineStr">
        <is>
          <t>SEAG02</t>
        </is>
      </c>
      <c r="B210" s="3" t="inlineStr">
        <is>
          <t>Jewelry</t>
        </is>
      </c>
      <c r="C210" s="3" t="inlineStr">
        <is>
          <t>CUUR0000SEAG02</t>
        </is>
      </c>
      <c r="D210" s="21" t="n">
        <v>0.128</v>
      </c>
      <c r="E210" s="22" t="n">
        <v>45992</v>
      </c>
      <c r="F210" s="3" t="n">
        <v>2024</v>
      </c>
      <c r="G210" s="10">
        <f>IFERROR(100*($D210*(INDEX('Data_NSA'!$A:$OK,MATCH(G$1,'Data_NSA'!$A:$A,0),MATCH($C210,'Data_NSA'!$1:$1,0))/INDEX('Data_NSA'!$A:$OK,MATCH($E210,'Data_NSA'!$A:$A,0),MATCH($C210,'Data_NSA'!$1:$1,0))))/(100*(INDEX('Data_NSA'!$A:$OK,MATCH(G$1,'Data_NSA'!$A:$A,0),MATCH("CUUR0000SA0",'Data_NSA'!$1:$1,0))/INDEX('Data_NSA'!$A:$OK,MATCH($E210,'Data_NSA'!$A:$A,0),MATCH("CUUR0000SA0",'Data_NSA'!$1:$1,0)))),"")</f>
        <v/>
      </c>
      <c r="H210" s="10">
        <f>IFERROR(100*($D210*(INDEX('Data_NSA'!$A:$OK,MATCH(H$1,'Data_NSA'!$A:$A,0),MATCH($C210,'Data_NSA'!$1:$1,0))/INDEX('Data_NSA'!$A:$OK,MATCH($E210,'Data_NSA'!$A:$A,0),MATCH($C210,'Data_NSA'!$1:$1,0))))/(100*(INDEX('Data_NSA'!$A:$OK,MATCH(H$1,'Data_NSA'!$A:$A,0),MATCH("CUUR0000SA0",'Data_NSA'!$1:$1,0))/INDEX('Data_NSA'!$A:$OK,MATCH($E210,'Data_NSA'!$A:$A,0),MATCH("CUUR0000SA0",'Data_NSA'!$1:$1,0)))),"")</f>
        <v/>
      </c>
      <c r="I210" s="10">
        <f>IFERROR(100*($D210*(INDEX('Data_NSA'!$A:$OK,MATCH(I$1,'Data_NSA'!$A:$A,0),MATCH($C210,'Data_NSA'!$1:$1,0))/INDEX('Data_NSA'!$A:$OK,MATCH($E210,'Data_NSA'!$A:$A,0),MATCH($C210,'Data_NSA'!$1:$1,0))))/(100*(INDEX('Data_NSA'!$A:$OK,MATCH(I$1,'Data_NSA'!$A:$A,0),MATCH("CUUR0000SA0",'Data_NSA'!$1:$1,0))/INDEX('Data_NSA'!$A:$OK,MATCH($E210,'Data_NSA'!$A:$A,0),MATCH("CUUR0000SA0",'Data_NSA'!$1:$1,0)))),"")</f>
        <v/>
      </c>
    </row>
    <row r="211">
      <c r="A211" s="3" t="inlineStr">
        <is>
          <t>SAT</t>
        </is>
      </c>
      <c r="B211" s="3" t="inlineStr">
        <is>
          <t>Transportation</t>
        </is>
      </c>
      <c r="C211" s="3" t="inlineStr">
        <is>
          <t>CUUR0000SAT</t>
        </is>
      </c>
      <c r="D211" s="21" t="n">
        <v>16.316</v>
      </c>
      <c r="E211" s="22" t="n">
        <v>45992</v>
      </c>
      <c r="F211" s="3" t="n">
        <v>2024</v>
      </c>
      <c r="G211" s="10">
        <f>IFERROR(100*($D211*(INDEX('Data_NSA'!$A:$OK,MATCH(G$1,'Data_NSA'!$A:$A,0),MATCH($C211,'Data_NSA'!$1:$1,0))/INDEX('Data_NSA'!$A:$OK,MATCH($E211,'Data_NSA'!$A:$A,0),MATCH($C211,'Data_NSA'!$1:$1,0))))/(100*(INDEX('Data_NSA'!$A:$OK,MATCH(G$1,'Data_NSA'!$A:$A,0),MATCH("CUUR0000SA0",'Data_NSA'!$1:$1,0))/INDEX('Data_NSA'!$A:$OK,MATCH($E211,'Data_NSA'!$A:$A,0),MATCH("CUUR0000SA0",'Data_NSA'!$1:$1,0)))),"")</f>
        <v/>
      </c>
      <c r="H211" s="10">
        <f>IFERROR(100*($D211*(INDEX('Data_NSA'!$A:$OK,MATCH(H$1,'Data_NSA'!$A:$A,0),MATCH($C211,'Data_NSA'!$1:$1,0))/INDEX('Data_NSA'!$A:$OK,MATCH($E211,'Data_NSA'!$A:$A,0),MATCH($C211,'Data_NSA'!$1:$1,0))))/(100*(INDEX('Data_NSA'!$A:$OK,MATCH(H$1,'Data_NSA'!$A:$A,0),MATCH("CUUR0000SA0",'Data_NSA'!$1:$1,0))/INDEX('Data_NSA'!$A:$OK,MATCH($E211,'Data_NSA'!$A:$A,0),MATCH("CUUR0000SA0",'Data_NSA'!$1:$1,0)))),"")</f>
        <v/>
      </c>
      <c r="I211" s="10">
        <f>IFERROR(100*($D211*(INDEX('Data_NSA'!$A:$OK,MATCH(I$1,'Data_NSA'!$A:$A,0),MATCH($C211,'Data_NSA'!$1:$1,0))/INDEX('Data_NSA'!$A:$OK,MATCH($E211,'Data_NSA'!$A:$A,0),MATCH($C211,'Data_NSA'!$1:$1,0))))/(100*(INDEX('Data_NSA'!$A:$OK,MATCH(I$1,'Data_NSA'!$A:$A,0),MATCH("CUUR0000SA0",'Data_NSA'!$1:$1,0))/INDEX('Data_NSA'!$A:$OK,MATCH($E211,'Data_NSA'!$A:$A,0),MATCH("CUUR0000SA0",'Data_NSA'!$1:$1,0)))),"")</f>
        <v/>
      </c>
    </row>
    <row r="212">
      <c r="A212" s="3" t="inlineStr">
        <is>
          <t>SAT1</t>
        </is>
      </c>
      <c r="B212" s="3" t="inlineStr">
        <is>
          <t>Private transportation</t>
        </is>
      </c>
      <c r="C212" s="3" t="inlineStr">
        <is>
          <t>CUUR0000SAT1</t>
        </is>
      </c>
      <c r="D212" s="21" t="n">
        <v>14.832</v>
      </c>
      <c r="E212" s="22" t="n">
        <v>45992</v>
      </c>
      <c r="F212" s="3" t="n">
        <v>2024</v>
      </c>
      <c r="G212" s="10">
        <f>IFERROR(100*($D212*(INDEX('Data_NSA'!$A:$OK,MATCH(G$1,'Data_NSA'!$A:$A,0),MATCH($C212,'Data_NSA'!$1:$1,0))/INDEX('Data_NSA'!$A:$OK,MATCH($E212,'Data_NSA'!$A:$A,0),MATCH($C212,'Data_NSA'!$1:$1,0))))/(100*(INDEX('Data_NSA'!$A:$OK,MATCH(G$1,'Data_NSA'!$A:$A,0),MATCH("CUUR0000SA0",'Data_NSA'!$1:$1,0))/INDEX('Data_NSA'!$A:$OK,MATCH($E212,'Data_NSA'!$A:$A,0),MATCH("CUUR0000SA0",'Data_NSA'!$1:$1,0)))),"")</f>
        <v/>
      </c>
      <c r="H212" s="10">
        <f>IFERROR(100*($D212*(INDEX('Data_NSA'!$A:$OK,MATCH(H$1,'Data_NSA'!$A:$A,0),MATCH($C212,'Data_NSA'!$1:$1,0))/INDEX('Data_NSA'!$A:$OK,MATCH($E212,'Data_NSA'!$A:$A,0),MATCH($C212,'Data_NSA'!$1:$1,0))))/(100*(INDEX('Data_NSA'!$A:$OK,MATCH(H$1,'Data_NSA'!$A:$A,0),MATCH("CUUR0000SA0",'Data_NSA'!$1:$1,0))/INDEX('Data_NSA'!$A:$OK,MATCH($E212,'Data_NSA'!$A:$A,0),MATCH("CUUR0000SA0",'Data_NSA'!$1:$1,0)))),"")</f>
        <v/>
      </c>
      <c r="I212" s="10">
        <f>IFERROR(100*($D212*(INDEX('Data_NSA'!$A:$OK,MATCH(I$1,'Data_NSA'!$A:$A,0),MATCH($C212,'Data_NSA'!$1:$1,0))/INDEX('Data_NSA'!$A:$OK,MATCH($E212,'Data_NSA'!$A:$A,0),MATCH($C212,'Data_NSA'!$1:$1,0))))/(100*(INDEX('Data_NSA'!$A:$OK,MATCH(I$1,'Data_NSA'!$A:$A,0),MATCH("CUUR0000SA0",'Data_NSA'!$1:$1,0))/INDEX('Data_NSA'!$A:$OK,MATCH($E212,'Data_NSA'!$A:$A,0),MATCH("CUUR0000SA0",'Data_NSA'!$1:$1,0)))),"")</f>
        <v/>
      </c>
    </row>
    <row r="213">
      <c r="A213" s="3" t="inlineStr">
        <is>
          <t>SETA</t>
        </is>
      </c>
      <c r="B213" s="3" t="inlineStr">
        <is>
          <t>New and used motor vehicles</t>
        </is>
      </c>
      <c r="C213" s="3" t="inlineStr">
        <is>
          <t>CUUR0000SETA</t>
        </is>
      </c>
      <c r="D213" s="21" t="n">
        <v>7.204</v>
      </c>
      <c r="E213" s="22" t="n">
        <v>45992</v>
      </c>
      <c r="F213" s="3" t="n">
        <v>2024</v>
      </c>
      <c r="G213" s="10">
        <f>IFERROR(100*($D213*(INDEX('Data_NSA'!$A:$OK,MATCH(G$1,'Data_NSA'!$A:$A,0),MATCH($C213,'Data_NSA'!$1:$1,0))/INDEX('Data_NSA'!$A:$OK,MATCH($E213,'Data_NSA'!$A:$A,0),MATCH($C213,'Data_NSA'!$1:$1,0))))/(100*(INDEX('Data_NSA'!$A:$OK,MATCH(G$1,'Data_NSA'!$A:$A,0),MATCH("CUUR0000SA0",'Data_NSA'!$1:$1,0))/INDEX('Data_NSA'!$A:$OK,MATCH($E213,'Data_NSA'!$A:$A,0),MATCH("CUUR0000SA0",'Data_NSA'!$1:$1,0)))),"")</f>
        <v/>
      </c>
      <c r="H213" s="10">
        <f>IFERROR(100*($D213*(INDEX('Data_NSA'!$A:$OK,MATCH(H$1,'Data_NSA'!$A:$A,0),MATCH($C213,'Data_NSA'!$1:$1,0))/INDEX('Data_NSA'!$A:$OK,MATCH($E213,'Data_NSA'!$A:$A,0),MATCH($C213,'Data_NSA'!$1:$1,0))))/(100*(INDEX('Data_NSA'!$A:$OK,MATCH(H$1,'Data_NSA'!$A:$A,0),MATCH("CUUR0000SA0",'Data_NSA'!$1:$1,0))/INDEX('Data_NSA'!$A:$OK,MATCH($E213,'Data_NSA'!$A:$A,0),MATCH("CUUR0000SA0",'Data_NSA'!$1:$1,0)))),"")</f>
        <v/>
      </c>
      <c r="I213" s="10">
        <f>IFERROR(100*($D213*(INDEX('Data_NSA'!$A:$OK,MATCH(I$1,'Data_NSA'!$A:$A,0),MATCH($C213,'Data_NSA'!$1:$1,0))/INDEX('Data_NSA'!$A:$OK,MATCH($E213,'Data_NSA'!$A:$A,0),MATCH($C213,'Data_NSA'!$1:$1,0))))/(100*(INDEX('Data_NSA'!$A:$OK,MATCH(I$1,'Data_NSA'!$A:$A,0),MATCH("CUUR0000SA0",'Data_NSA'!$1:$1,0))/INDEX('Data_NSA'!$A:$OK,MATCH($E213,'Data_NSA'!$A:$A,0),MATCH("CUUR0000SA0",'Data_NSA'!$1:$1,0)))),"")</f>
        <v/>
      </c>
    </row>
    <row r="214">
      <c r="A214" s="3" t="inlineStr">
        <is>
          <t>SETA01</t>
        </is>
      </c>
      <c r="B214" s="3" t="inlineStr">
        <is>
          <t>New vehicles</t>
        </is>
      </c>
      <c r="C214" s="3" t="inlineStr">
        <is>
          <t>CUUR0000SETA01</t>
        </is>
      </c>
      <c r="D214" s="21" t="n">
        <v>3.838</v>
      </c>
      <c r="E214" s="22" t="n">
        <v>45992</v>
      </c>
      <c r="F214" s="3" t="n">
        <v>2024</v>
      </c>
      <c r="G214" s="10">
        <f>IFERROR(100*($D214*(INDEX('Data_NSA'!$A:$OK,MATCH(G$1,'Data_NSA'!$A:$A,0),MATCH($C214,'Data_NSA'!$1:$1,0))/INDEX('Data_NSA'!$A:$OK,MATCH($E214,'Data_NSA'!$A:$A,0),MATCH($C214,'Data_NSA'!$1:$1,0))))/(100*(INDEX('Data_NSA'!$A:$OK,MATCH(G$1,'Data_NSA'!$A:$A,0),MATCH("CUUR0000SA0",'Data_NSA'!$1:$1,0))/INDEX('Data_NSA'!$A:$OK,MATCH($E214,'Data_NSA'!$A:$A,0),MATCH("CUUR0000SA0",'Data_NSA'!$1:$1,0)))),"")</f>
        <v/>
      </c>
      <c r="H214" s="10">
        <f>IFERROR(100*($D214*(INDEX('Data_NSA'!$A:$OK,MATCH(H$1,'Data_NSA'!$A:$A,0),MATCH($C214,'Data_NSA'!$1:$1,0))/INDEX('Data_NSA'!$A:$OK,MATCH($E214,'Data_NSA'!$A:$A,0),MATCH($C214,'Data_NSA'!$1:$1,0))))/(100*(INDEX('Data_NSA'!$A:$OK,MATCH(H$1,'Data_NSA'!$A:$A,0),MATCH("CUUR0000SA0",'Data_NSA'!$1:$1,0))/INDEX('Data_NSA'!$A:$OK,MATCH($E214,'Data_NSA'!$A:$A,0),MATCH("CUUR0000SA0",'Data_NSA'!$1:$1,0)))),"")</f>
        <v/>
      </c>
      <c r="I214" s="10">
        <f>IFERROR(100*($D214*(INDEX('Data_NSA'!$A:$OK,MATCH(I$1,'Data_NSA'!$A:$A,0),MATCH($C214,'Data_NSA'!$1:$1,0))/INDEX('Data_NSA'!$A:$OK,MATCH($E214,'Data_NSA'!$A:$A,0),MATCH($C214,'Data_NSA'!$1:$1,0))))/(100*(INDEX('Data_NSA'!$A:$OK,MATCH(I$1,'Data_NSA'!$A:$A,0),MATCH("CUUR0000SA0",'Data_NSA'!$1:$1,0))/INDEX('Data_NSA'!$A:$OK,MATCH($E214,'Data_NSA'!$A:$A,0),MATCH("CUUR0000SA0",'Data_NSA'!$1:$1,0)))),"")</f>
        <v/>
      </c>
    </row>
    <row r="215">
      <c r="A215" s="3" t="inlineStr">
        <is>
          <t>SS4501A</t>
        </is>
      </c>
      <c r="B215" s="3" t="inlineStr">
        <is>
          <t>New cars and trucks</t>
        </is>
      </c>
      <c r="C215" s="3" t="inlineStr">
        <is>
          <t>CUUR0000SS4501A</t>
        </is>
      </c>
      <c r="D215" s="21" t="n"/>
      <c r="E215" s="22" t="n">
        <v>45992</v>
      </c>
      <c r="F215" s="3" t="n">
        <v>2024</v>
      </c>
      <c r="G215" s="10">
        <f>IFERROR(100*($D215*(INDEX('Data_NSA'!$A:$OK,MATCH(G$1,'Data_NSA'!$A:$A,0),MATCH($C215,'Data_NSA'!$1:$1,0))/INDEX('Data_NSA'!$A:$OK,MATCH($E215,'Data_NSA'!$A:$A,0),MATCH($C215,'Data_NSA'!$1:$1,0))))/(100*(INDEX('Data_NSA'!$A:$OK,MATCH(G$1,'Data_NSA'!$A:$A,0),MATCH("CUUR0000SA0",'Data_NSA'!$1:$1,0))/INDEX('Data_NSA'!$A:$OK,MATCH($E215,'Data_NSA'!$A:$A,0),MATCH("CUUR0000SA0",'Data_NSA'!$1:$1,0)))),"")</f>
        <v/>
      </c>
      <c r="H215" s="10">
        <f>IFERROR(100*($D215*(INDEX('Data_NSA'!$A:$OK,MATCH(H$1,'Data_NSA'!$A:$A,0),MATCH($C215,'Data_NSA'!$1:$1,0))/INDEX('Data_NSA'!$A:$OK,MATCH($E215,'Data_NSA'!$A:$A,0),MATCH($C215,'Data_NSA'!$1:$1,0))))/(100*(INDEX('Data_NSA'!$A:$OK,MATCH(H$1,'Data_NSA'!$A:$A,0),MATCH("CUUR0000SA0",'Data_NSA'!$1:$1,0))/INDEX('Data_NSA'!$A:$OK,MATCH($E215,'Data_NSA'!$A:$A,0),MATCH("CUUR0000SA0",'Data_NSA'!$1:$1,0)))),"")</f>
        <v/>
      </c>
      <c r="I215" s="10">
        <f>IFERROR(100*($D215*(INDEX('Data_NSA'!$A:$OK,MATCH(I$1,'Data_NSA'!$A:$A,0),MATCH($C215,'Data_NSA'!$1:$1,0))/INDEX('Data_NSA'!$A:$OK,MATCH($E215,'Data_NSA'!$A:$A,0),MATCH($C215,'Data_NSA'!$1:$1,0))))/(100*(INDEX('Data_NSA'!$A:$OK,MATCH(I$1,'Data_NSA'!$A:$A,0),MATCH("CUUR0000SA0",'Data_NSA'!$1:$1,0))/INDEX('Data_NSA'!$A:$OK,MATCH($E215,'Data_NSA'!$A:$A,0),MATCH("CUUR0000SA0",'Data_NSA'!$1:$1,0)))),"")</f>
        <v/>
      </c>
    </row>
    <row r="216">
      <c r="A216" s="3" t="inlineStr">
        <is>
          <t>SS45011</t>
        </is>
      </c>
      <c r="B216" s="3" t="inlineStr">
        <is>
          <t>New cars</t>
        </is>
      </c>
      <c r="C216" s="3" t="inlineStr">
        <is>
          <t>CUUR0000SS45011</t>
        </is>
      </c>
      <c r="D216" s="21" t="n"/>
      <c r="E216" s="22" t="n">
        <v>45992</v>
      </c>
      <c r="F216" s="3" t="n">
        <v>2024</v>
      </c>
      <c r="G216" s="10">
        <f>IFERROR(100*($D216*(INDEX('Data_NSA'!$A:$OK,MATCH(G$1,'Data_NSA'!$A:$A,0),MATCH($C216,'Data_NSA'!$1:$1,0))/INDEX('Data_NSA'!$A:$OK,MATCH($E216,'Data_NSA'!$A:$A,0),MATCH($C216,'Data_NSA'!$1:$1,0))))/(100*(INDEX('Data_NSA'!$A:$OK,MATCH(G$1,'Data_NSA'!$A:$A,0),MATCH("CUUR0000SA0",'Data_NSA'!$1:$1,0))/INDEX('Data_NSA'!$A:$OK,MATCH($E216,'Data_NSA'!$A:$A,0),MATCH("CUUR0000SA0",'Data_NSA'!$1:$1,0)))),"")</f>
        <v/>
      </c>
      <c r="H216" s="10">
        <f>IFERROR(100*($D216*(INDEX('Data_NSA'!$A:$OK,MATCH(H$1,'Data_NSA'!$A:$A,0),MATCH($C216,'Data_NSA'!$1:$1,0))/INDEX('Data_NSA'!$A:$OK,MATCH($E216,'Data_NSA'!$A:$A,0),MATCH($C216,'Data_NSA'!$1:$1,0))))/(100*(INDEX('Data_NSA'!$A:$OK,MATCH(H$1,'Data_NSA'!$A:$A,0),MATCH("CUUR0000SA0",'Data_NSA'!$1:$1,0))/INDEX('Data_NSA'!$A:$OK,MATCH($E216,'Data_NSA'!$A:$A,0),MATCH("CUUR0000SA0",'Data_NSA'!$1:$1,0)))),"")</f>
        <v/>
      </c>
      <c r="I216" s="10">
        <f>IFERROR(100*($D216*(INDEX('Data_NSA'!$A:$OK,MATCH(I$1,'Data_NSA'!$A:$A,0),MATCH($C216,'Data_NSA'!$1:$1,0))/INDEX('Data_NSA'!$A:$OK,MATCH($E216,'Data_NSA'!$A:$A,0),MATCH($C216,'Data_NSA'!$1:$1,0))))/(100*(INDEX('Data_NSA'!$A:$OK,MATCH(I$1,'Data_NSA'!$A:$A,0),MATCH("CUUR0000SA0",'Data_NSA'!$1:$1,0))/INDEX('Data_NSA'!$A:$OK,MATCH($E216,'Data_NSA'!$A:$A,0),MATCH("CUUR0000SA0",'Data_NSA'!$1:$1,0)))),"")</f>
        <v/>
      </c>
    </row>
    <row r="217">
      <c r="A217" s="3" t="inlineStr">
        <is>
          <t>SS45021</t>
        </is>
      </c>
      <c r="B217" s="3" t="inlineStr">
        <is>
          <t>New trucks</t>
        </is>
      </c>
      <c r="C217" s="3" t="inlineStr">
        <is>
          <t>CUUR0000SS45021</t>
        </is>
      </c>
      <c r="D217" s="21" t="n"/>
      <c r="E217" s="22" t="n">
        <v>45992</v>
      </c>
      <c r="F217" s="3" t="n">
        <v>2024</v>
      </c>
      <c r="G217" s="10">
        <f>IFERROR(100*($D217*(INDEX('Data_NSA'!$A:$OK,MATCH(G$1,'Data_NSA'!$A:$A,0),MATCH($C217,'Data_NSA'!$1:$1,0))/INDEX('Data_NSA'!$A:$OK,MATCH($E217,'Data_NSA'!$A:$A,0),MATCH($C217,'Data_NSA'!$1:$1,0))))/(100*(INDEX('Data_NSA'!$A:$OK,MATCH(G$1,'Data_NSA'!$A:$A,0),MATCH("CUUR0000SA0",'Data_NSA'!$1:$1,0))/INDEX('Data_NSA'!$A:$OK,MATCH($E217,'Data_NSA'!$A:$A,0),MATCH("CUUR0000SA0",'Data_NSA'!$1:$1,0)))),"")</f>
        <v/>
      </c>
      <c r="H217" s="10">
        <f>IFERROR(100*($D217*(INDEX('Data_NSA'!$A:$OK,MATCH(H$1,'Data_NSA'!$A:$A,0),MATCH($C217,'Data_NSA'!$1:$1,0))/INDEX('Data_NSA'!$A:$OK,MATCH($E217,'Data_NSA'!$A:$A,0),MATCH($C217,'Data_NSA'!$1:$1,0))))/(100*(INDEX('Data_NSA'!$A:$OK,MATCH(H$1,'Data_NSA'!$A:$A,0),MATCH("CUUR0000SA0",'Data_NSA'!$1:$1,0))/INDEX('Data_NSA'!$A:$OK,MATCH($E217,'Data_NSA'!$A:$A,0),MATCH("CUUR0000SA0",'Data_NSA'!$1:$1,0)))),"")</f>
        <v/>
      </c>
      <c r="I217" s="10">
        <f>IFERROR(100*($D217*(INDEX('Data_NSA'!$A:$OK,MATCH(I$1,'Data_NSA'!$A:$A,0),MATCH($C217,'Data_NSA'!$1:$1,0))/INDEX('Data_NSA'!$A:$OK,MATCH($E217,'Data_NSA'!$A:$A,0),MATCH($C217,'Data_NSA'!$1:$1,0))))/(100*(INDEX('Data_NSA'!$A:$OK,MATCH(I$1,'Data_NSA'!$A:$A,0),MATCH("CUUR0000SA0",'Data_NSA'!$1:$1,0))/INDEX('Data_NSA'!$A:$OK,MATCH($E217,'Data_NSA'!$A:$A,0),MATCH("CUUR0000SA0",'Data_NSA'!$1:$1,0)))),"")</f>
        <v/>
      </c>
    </row>
    <row r="218">
      <c r="A218" s="3" t="inlineStr">
        <is>
          <t>SS45031</t>
        </is>
      </c>
      <c r="B218" s="3" t="inlineStr">
        <is>
          <t>New motorcycles</t>
        </is>
      </c>
      <c r="C218" s="3" t="inlineStr">
        <is>
          <t>CUUR0000SS45031</t>
        </is>
      </c>
      <c r="D218" s="21" t="n"/>
      <c r="E218" s="22" t="n">
        <v>45992</v>
      </c>
      <c r="F218" s="3" t="n">
        <v>2024</v>
      </c>
      <c r="G218" s="10">
        <f>IFERROR(100*($D218*(INDEX('Data_NSA'!$A:$OK,MATCH(G$1,'Data_NSA'!$A:$A,0),MATCH($C218,'Data_NSA'!$1:$1,0))/INDEX('Data_NSA'!$A:$OK,MATCH($E218,'Data_NSA'!$A:$A,0),MATCH($C218,'Data_NSA'!$1:$1,0))))/(100*(INDEX('Data_NSA'!$A:$OK,MATCH(G$1,'Data_NSA'!$A:$A,0),MATCH("CUUR0000SA0",'Data_NSA'!$1:$1,0))/INDEX('Data_NSA'!$A:$OK,MATCH($E218,'Data_NSA'!$A:$A,0),MATCH("CUUR0000SA0",'Data_NSA'!$1:$1,0)))),"")</f>
        <v/>
      </c>
      <c r="H218" s="10">
        <f>IFERROR(100*($D218*(INDEX('Data_NSA'!$A:$OK,MATCH(H$1,'Data_NSA'!$A:$A,0),MATCH($C218,'Data_NSA'!$1:$1,0))/INDEX('Data_NSA'!$A:$OK,MATCH($E218,'Data_NSA'!$A:$A,0),MATCH($C218,'Data_NSA'!$1:$1,0))))/(100*(INDEX('Data_NSA'!$A:$OK,MATCH(H$1,'Data_NSA'!$A:$A,0),MATCH("CUUR0000SA0",'Data_NSA'!$1:$1,0))/INDEX('Data_NSA'!$A:$OK,MATCH($E218,'Data_NSA'!$A:$A,0),MATCH("CUUR0000SA0",'Data_NSA'!$1:$1,0)))),"")</f>
        <v/>
      </c>
      <c r="I218" s="10">
        <f>IFERROR(100*($D218*(INDEX('Data_NSA'!$A:$OK,MATCH(I$1,'Data_NSA'!$A:$A,0),MATCH($C218,'Data_NSA'!$1:$1,0))/INDEX('Data_NSA'!$A:$OK,MATCH($E218,'Data_NSA'!$A:$A,0),MATCH($C218,'Data_NSA'!$1:$1,0))))/(100*(INDEX('Data_NSA'!$A:$OK,MATCH(I$1,'Data_NSA'!$A:$A,0),MATCH("CUUR0000SA0",'Data_NSA'!$1:$1,0))/INDEX('Data_NSA'!$A:$OK,MATCH($E218,'Data_NSA'!$A:$A,0),MATCH("CUUR0000SA0",'Data_NSA'!$1:$1,0)))),"")</f>
        <v/>
      </c>
    </row>
    <row r="219">
      <c r="A219" s="3" t="inlineStr">
        <is>
          <t>SETA02</t>
        </is>
      </c>
      <c r="B219" s="3" t="inlineStr">
        <is>
          <t>Used cars and trucks</t>
        </is>
      </c>
      <c r="C219" s="3" t="inlineStr">
        <is>
          <t>CUUR0000SETA02</t>
        </is>
      </c>
      <c r="D219" s="21" t="n">
        <v>2.759</v>
      </c>
      <c r="E219" s="22" t="n">
        <v>45992</v>
      </c>
      <c r="F219" s="3" t="n">
        <v>2024</v>
      </c>
      <c r="G219" s="10">
        <f>IFERROR(100*($D219*(INDEX('Data_NSA'!$A:$OK,MATCH(G$1,'Data_NSA'!$A:$A,0),MATCH($C219,'Data_NSA'!$1:$1,0))/INDEX('Data_NSA'!$A:$OK,MATCH($E219,'Data_NSA'!$A:$A,0),MATCH($C219,'Data_NSA'!$1:$1,0))))/(100*(INDEX('Data_NSA'!$A:$OK,MATCH(G$1,'Data_NSA'!$A:$A,0),MATCH("CUUR0000SA0",'Data_NSA'!$1:$1,0))/INDEX('Data_NSA'!$A:$OK,MATCH($E219,'Data_NSA'!$A:$A,0),MATCH("CUUR0000SA0",'Data_NSA'!$1:$1,0)))),"")</f>
        <v/>
      </c>
      <c r="H219" s="10">
        <f>IFERROR(100*($D219*(INDEX('Data_NSA'!$A:$OK,MATCH(H$1,'Data_NSA'!$A:$A,0),MATCH($C219,'Data_NSA'!$1:$1,0))/INDEX('Data_NSA'!$A:$OK,MATCH($E219,'Data_NSA'!$A:$A,0),MATCH($C219,'Data_NSA'!$1:$1,0))))/(100*(INDEX('Data_NSA'!$A:$OK,MATCH(H$1,'Data_NSA'!$A:$A,0),MATCH("CUUR0000SA0",'Data_NSA'!$1:$1,0))/INDEX('Data_NSA'!$A:$OK,MATCH($E219,'Data_NSA'!$A:$A,0),MATCH("CUUR0000SA0",'Data_NSA'!$1:$1,0)))),"")</f>
        <v/>
      </c>
      <c r="I219" s="10">
        <f>IFERROR(100*($D219*(INDEX('Data_NSA'!$A:$OK,MATCH(I$1,'Data_NSA'!$A:$A,0),MATCH($C219,'Data_NSA'!$1:$1,0))/INDEX('Data_NSA'!$A:$OK,MATCH($E219,'Data_NSA'!$A:$A,0),MATCH($C219,'Data_NSA'!$1:$1,0))))/(100*(INDEX('Data_NSA'!$A:$OK,MATCH(I$1,'Data_NSA'!$A:$A,0),MATCH("CUUR0000SA0",'Data_NSA'!$1:$1,0))/INDEX('Data_NSA'!$A:$OK,MATCH($E219,'Data_NSA'!$A:$A,0),MATCH("CUUR0000SA0",'Data_NSA'!$1:$1,0)))),"")</f>
        <v/>
      </c>
    </row>
    <row r="220">
      <c r="A220" s="3" t="inlineStr">
        <is>
          <t>SETA03</t>
        </is>
      </c>
      <c r="B220" s="3" t="inlineStr">
        <is>
          <t>Leased cars and trucks</t>
        </is>
      </c>
      <c r="C220" s="3" t="inlineStr">
        <is>
          <t>CUUR0000SETA03</t>
        </is>
      </c>
      <c r="D220" s="21" t="n">
        <v>0.394</v>
      </c>
      <c r="E220" s="22" t="n">
        <v>45992</v>
      </c>
      <c r="F220" s="3" t="n">
        <v>2024</v>
      </c>
      <c r="G220" s="10">
        <f>IFERROR(100*($D220*(INDEX('Data_NSA'!$A:$OK,MATCH(G$1,'Data_NSA'!$A:$A,0),MATCH($C220,'Data_NSA'!$1:$1,0))/INDEX('Data_NSA'!$A:$OK,MATCH($E220,'Data_NSA'!$A:$A,0),MATCH($C220,'Data_NSA'!$1:$1,0))))/(100*(INDEX('Data_NSA'!$A:$OK,MATCH(G$1,'Data_NSA'!$A:$A,0),MATCH("CUUR0000SA0",'Data_NSA'!$1:$1,0))/INDEX('Data_NSA'!$A:$OK,MATCH($E220,'Data_NSA'!$A:$A,0),MATCH("CUUR0000SA0",'Data_NSA'!$1:$1,0)))),"")</f>
        <v/>
      </c>
      <c r="H220" s="10">
        <f>IFERROR(100*($D220*(INDEX('Data_NSA'!$A:$OK,MATCH(H$1,'Data_NSA'!$A:$A,0),MATCH($C220,'Data_NSA'!$1:$1,0))/INDEX('Data_NSA'!$A:$OK,MATCH($E220,'Data_NSA'!$A:$A,0),MATCH($C220,'Data_NSA'!$1:$1,0))))/(100*(INDEX('Data_NSA'!$A:$OK,MATCH(H$1,'Data_NSA'!$A:$A,0),MATCH("CUUR0000SA0",'Data_NSA'!$1:$1,0))/INDEX('Data_NSA'!$A:$OK,MATCH($E220,'Data_NSA'!$A:$A,0),MATCH("CUUR0000SA0",'Data_NSA'!$1:$1,0)))),"")</f>
        <v/>
      </c>
      <c r="I220" s="10">
        <f>IFERROR(100*($D220*(INDEX('Data_NSA'!$A:$OK,MATCH(I$1,'Data_NSA'!$A:$A,0),MATCH($C220,'Data_NSA'!$1:$1,0))/INDEX('Data_NSA'!$A:$OK,MATCH($E220,'Data_NSA'!$A:$A,0),MATCH($C220,'Data_NSA'!$1:$1,0))))/(100*(INDEX('Data_NSA'!$A:$OK,MATCH(I$1,'Data_NSA'!$A:$A,0),MATCH("CUUR0000SA0",'Data_NSA'!$1:$1,0))/INDEX('Data_NSA'!$A:$OK,MATCH($E220,'Data_NSA'!$A:$A,0),MATCH("CUUR0000SA0",'Data_NSA'!$1:$1,0)))),"")</f>
        <v/>
      </c>
    </row>
    <row r="221">
      <c r="A221" s="3" t="inlineStr">
        <is>
          <t>SETA04</t>
        </is>
      </c>
      <c r="B221" s="3" t="inlineStr">
        <is>
          <t>Car and truck rental</t>
        </is>
      </c>
      <c r="C221" s="3" t="inlineStr">
        <is>
          <t>CUUR0000SETA04</t>
        </is>
      </c>
      <c r="D221" s="21" t="n">
        <v>0.138</v>
      </c>
      <c r="E221" s="22" t="n">
        <v>45992</v>
      </c>
      <c r="F221" s="3" t="n">
        <v>2024</v>
      </c>
      <c r="G221" s="10">
        <f>IFERROR(100*($D221*(INDEX('Data_NSA'!$A:$OK,MATCH(G$1,'Data_NSA'!$A:$A,0),MATCH($C221,'Data_NSA'!$1:$1,0))/INDEX('Data_NSA'!$A:$OK,MATCH($E221,'Data_NSA'!$A:$A,0),MATCH($C221,'Data_NSA'!$1:$1,0))))/(100*(INDEX('Data_NSA'!$A:$OK,MATCH(G$1,'Data_NSA'!$A:$A,0),MATCH("CUUR0000SA0",'Data_NSA'!$1:$1,0))/INDEX('Data_NSA'!$A:$OK,MATCH($E221,'Data_NSA'!$A:$A,0),MATCH("CUUR0000SA0",'Data_NSA'!$1:$1,0)))),"")</f>
        <v/>
      </c>
      <c r="H221" s="10">
        <f>IFERROR(100*($D221*(INDEX('Data_NSA'!$A:$OK,MATCH(H$1,'Data_NSA'!$A:$A,0),MATCH($C221,'Data_NSA'!$1:$1,0))/INDEX('Data_NSA'!$A:$OK,MATCH($E221,'Data_NSA'!$A:$A,0),MATCH($C221,'Data_NSA'!$1:$1,0))))/(100*(INDEX('Data_NSA'!$A:$OK,MATCH(H$1,'Data_NSA'!$A:$A,0),MATCH("CUUR0000SA0",'Data_NSA'!$1:$1,0))/INDEX('Data_NSA'!$A:$OK,MATCH($E221,'Data_NSA'!$A:$A,0),MATCH("CUUR0000SA0",'Data_NSA'!$1:$1,0)))),"")</f>
        <v/>
      </c>
      <c r="I221" s="10">
        <f>IFERROR(100*($D221*(INDEX('Data_NSA'!$A:$OK,MATCH(I$1,'Data_NSA'!$A:$A,0),MATCH($C221,'Data_NSA'!$1:$1,0))/INDEX('Data_NSA'!$A:$OK,MATCH($E221,'Data_NSA'!$A:$A,0),MATCH($C221,'Data_NSA'!$1:$1,0))))/(100*(INDEX('Data_NSA'!$A:$OK,MATCH(I$1,'Data_NSA'!$A:$A,0),MATCH("CUUR0000SA0",'Data_NSA'!$1:$1,0))/INDEX('Data_NSA'!$A:$OK,MATCH($E221,'Data_NSA'!$A:$A,0),MATCH("CUUR0000SA0",'Data_NSA'!$1:$1,0)))),"")</f>
        <v/>
      </c>
    </row>
    <row r="222">
      <c r="A222" s="3" t="inlineStr">
        <is>
          <t>SETB</t>
        </is>
      </c>
      <c r="B222" s="3" t="inlineStr">
        <is>
          <t>Motor fuel</t>
        </is>
      </c>
      <c r="C222" s="3" t="inlineStr">
        <is>
          <t>CUUR0000SETB</t>
        </is>
      </c>
      <c r="D222" s="21" t="n">
        <v>2.981</v>
      </c>
      <c r="E222" s="22" t="n">
        <v>45992</v>
      </c>
      <c r="F222" s="3" t="n">
        <v>2024</v>
      </c>
      <c r="G222" s="10">
        <f>IFERROR(100*($D222*(INDEX('Data_NSA'!$A:$OK,MATCH(G$1,'Data_NSA'!$A:$A,0),MATCH($C222,'Data_NSA'!$1:$1,0))/INDEX('Data_NSA'!$A:$OK,MATCH($E222,'Data_NSA'!$A:$A,0),MATCH($C222,'Data_NSA'!$1:$1,0))))/(100*(INDEX('Data_NSA'!$A:$OK,MATCH(G$1,'Data_NSA'!$A:$A,0),MATCH("CUUR0000SA0",'Data_NSA'!$1:$1,0))/INDEX('Data_NSA'!$A:$OK,MATCH($E222,'Data_NSA'!$A:$A,0),MATCH("CUUR0000SA0",'Data_NSA'!$1:$1,0)))),"")</f>
        <v/>
      </c>
      <c r="H222" s="10">
        <f>IFERROR(100*($D222*(INDEX('Data_NSA'!$A:$OK,MATCH(H$1,'Data_NSA'!$A:$A,0),MATCH($C222,'Data_NSA'!$1:$1,0))/INDEX('Data_NSA'!$A:$OK,MATCH($E222,'Data_NSA'!$A:$A,0),MATCH($C222,'Data_NSA'!$1:$1,0))))/(100*(INDEX('Data_NSA'!$A:$OK,MATCH(H$1,'Data_NSA'!$A:$A,0),MATCH("CUUR0000SA0",'Data_NSA'!$1:$1,0))/INDEX('Data_NSA'!$A:$OK,MATCH($E222,'Data_NSA'!$A:$A,0),MATCH("CUUR0000SA0",'Data_NSA'!$1:$1,0)))),"")</f>
        <v/>
      </c>
      <c r="I222" s="10">
        <f>IFERROR(100*($D222*(INDEX('Data_NSA'!$A:$OK,MATCH(I$1,'Data_NSA'!$A:$A,0),MATCH($C222,'Data_NSA'!$1:$1,0))/INDEX('Data_NSA'!$A:$OK,MATCH($E222,'Data_NSA'!$A:$A,0),MATCH($C222,'Data_NSA'!$1:$1,0))))/(100*(INDEX('Data_NSA'!$A:$OK,MATCH(I$1,'Data_NSA'!$A:$A,0),MATCH("CUUR0000SA0",'Data_NSA'!$1:$1,0))/INDEX('Data_NSA'!$A:$OK,MATCH($E222,'Data_NSA'!$A:$A,0),MATCH("CUUR0000SA0",'Data_NSA'!$1:$1,0)))),"")</f>
        <v/>
      </c>
    </row>
    <row r="223">
      <c r="A223" s="3" t="inlineStr">
        <is>
          <t>SETB01</t>
        </is>
      </c>
      <c r="B223" s="3" t="inlineStr">
        <is>
          <t>Gasoline (all types)</t>
        </is>
      </c>
      <c r="C223" s="3" t="inlineStr">
        <is>
          <t>CUUR0000SETB01</t>
        </is>
      </c>
      <c r="D223" s="21" t="n">
        <v>2.895</v>
      </c>
      <c r="E223" s="22" t="n">
        <v>45992</v>
      </c>
      <c r="F223" s="3" t="n">
        <v>2024</v>
      </c>
      <c r="G223" s="10">
        <f>IFERROR(100*($D223*(INDEX('Data_NSA'!$A:$OK,MATCH(G$1,'Data_NSA'!$A:$A,0),MATCH($C223,'Data_NSA'!$1:$1,0))/INDEX('Data_NSA'!$A:$OK,MATCH($E223,'Data_NSA'!$A:$A,0),MATCH($C223,'Data_NSA'!$1:$1,0))))/(100*(INDEX('Data_NSA'!$A:$OK,MATCH(G$1,'Data_NSA'!$A:$A,0),MATCH("CUUR0000SA0",'Data_NSA'!$1:$1,0))/INDEX('Data_NSA'!$A:$OK,MATCH($E223,'Data_NSA'!$A:$A,0),MATCH("CUUR0000SA0",'Data_NSA'!$1:$1,0)))),"")</f>
        <v/>
      </c>
      <c r="H223" s="10">
        <f>IFERROR(100*($D223*(INDEX('Data_NSA'!$A:$OK,MATCH(H$1,'Data_NSA'!$A:$A,0),MATCH($C223,'Data_NSA'!$1:$1,0))/INDEX('Data_NSA'!$A:$OK,MATCH($E223,'Data_NSA'!$A:$A,0),MATCH($C223,'Data_NSA'!$1:$1,0))))/(100*(INDEX('Data_NSA'!$A:$OK,MATCH(H$1,'Data_NSA'!$A:$A,0),MATCH("CUUR0000SA0",'Data_NSA'!$1:$1,0))/INDEX('Data_NSA'!$A:$OK,MATCH($E223,'Data_NSA'!$A:$A,0),MATCH("CUUR0000SA0",'Data_NSA'!$1:$1,0)))),"")</f>
        <v/>
      </c>
      <c r="I223" s="10">
        <f>IFERROR(100*($D223*(INDEX('Data_NSA'!$A:$OK,MATCH(I$1,'Data_NSA'!$A:$A,0),MATCH($C223,'Data_NSA'!$1:$1,0))/INDEX('Data_NSA'!$A:$OK,MATCH($E223,'Data_NSA'!$A:$A,0),MATCH($C223,'Data_NSA'!$1:$1,0))))/(100*(INDEX('Data_NSA'!$A:$OK,MATCH(I$1,'Data_NSA'!$A:$A,0),MATCH("CUUR0000SA0",'Data_NSA'!$1:$1,0))/INDEX('Data_NSA'!$A:$OK,MATCH($E223,'Data_NSA'!$A:$A,0),MATCH("CUUR0000SA0",'Data_NSA'!$1:$1,0)))),"")</f>
        <v/>
      </c>
    </row>
    <row r="224">
      <c r="A224" s="3" t="inlineStr">
        <is>
          <t>SS47014</t>
        </is>
      </c>
      <c r="B224" s="3" t="inlineStr">
        <is>
          <t>Gasoline, unleaded regular</t>
        </is>
      </c>
      <c r="C224" s="3" t="inlineStr">
        <is>
          <t>CUUR0000SS47014</t>
        </is>
      </c>
      <c r="D224" s="21" t="n"/>
      <c r="E224" s="22" t="n">
        <v>45992</v>
      </c>
      <c r="F224" s="3" t="n">
        <v>2024</v>
      </c>
      <c r="G224" s="10">
        <f>IFERROR(100*($D224*(INDEX('Data_NSA'!$A:$OK,MATCH(G$1,'Data_NSA'!$A:$A,0),MATCH($C224,'Data_NSA'!$1:$1,0))/INDEX('Data_NSA'!$A:$OK,MATCH($E224,'Data_NSA'!$A:$A,0),MATCH($C224,'Data_NSA'!$1:$1,0))))/(100*(INDEX('Data_NSA'!$A:$OK,MATCH(G$1,'Data_NSA'!$A:$A,0),MATCH("CUUR0000SA0",'Data_NSA'!$1:$1,0))/INDEX('Data_NSA'!$A:$OK,MATCH($E224,'Data_NSA'!$A:$A,0),MATCH("CUUR0000SA0",'Data_NSA'!$1:$1,0)))),"")</f>
        <v/>
      </c>
      <c r="H224" s="10">
        <f>IFERROR(100*($D224*(INDEX('Data_NSA'!$A:$OK,MATCH(H$1,'Data_NSA'!$A:$A,0),MATCH($C224,'Data_NSA'!$1:$1,0))/INDEX('Data_NSA'!$A:$OK,MATCH($E224,'Data_NSA'!$A:$A,0),MATCH($C224,'Data_NSA'!$1:$1,0))))/(100*(INDEX('Data_NSA'!$A:$OK,MATCH(H$1,'Data_NSA'!$A:$A,0),MATCH("CUUR0000SA0",'Data_NSA'!$1:$1,0))/INDEX('Data_NSA'!$A:$OK,MATCH($E224,'Data_NSA'!$A:$A,0),MATCH("CUUR0000SA0",'Data_NSA'!$1:$1,0)))),"")</f>
        <v/>
      </c>
      <c r="I224" s="10">
        <f>IFERROR(100*($D224*(INDEX('Data_NSA'!$A:$OK,MATCH(I$1,'Data_NSA'!$A:$A,0),MATCH($C224,'Data_NSA'!$1:$1,0))/INDEX('Data_NSA'!$A:$OK,MATCH($E224,'Data_NSA'!$A:$A,0),MATCH($C224,'Data_NSA'!$1:$1,0))))/(100*(INDEX('Data_NSA'!$A:$OK,MATCH(I$1,'Data_NSA'!$A:$A,0),MATCH("CUUR0000SA0",'Data_NSA'!$1:$1,0))/INDEX('Data_NSA'!$A:$OK,MATCH($E224,'Data_NSA'!$A:$A,0),MATCH("CUUR0000SA0",'Data_NSA'!$1:$1,0)))),"")</f>
        <v/>
      </c>
    </row>
    <row r="225">
      <c r="A225" s="3" t="inlineStr">
        <is>
          <t>SS47015</t>
        </is>
      </c>
      <c r="B225" s="3" t="inlineStr">
        <is>
          <t>Gasoline, unleaded midgrade</t>
        </is>
      </c>
      <c r="C225" s="3" t="inlineStr">
        <is>
          <t>CUUR0000SS47015</t>
        </is>
      </c>
      <c r="D225" s="21" t="n"/>
      <c r="E225" s="22" t="n">
        <v>45992</v>
      </c>
      <c r="F225" s="3" t="n">
        <v>2024</v>
      </c>
      <c r="G225" s="10">
        <f>IFERROR(100*($D225*(INDEX('Data_NSA'!$A:$OK,MATCH(G$1,'Data_NSA'!$A:$A,0),MATCH($C225,'Data_NSA'!$1:$1,0))/INDEX('Data_NSA'!$A:$OK,MATCH($E225,'Data_NSA'!$A:$A,0),MATCH($C225,'Data_NSA'!$1:$1,0))))/(100*(INDEX('Data_NSA'!$A:$OK,MATCH(G$1,'Data_NSA'!$A:$A,0),MATCH("CUUR0000SA0",'Data_NSA'!$1:$1,0))/INDEX('Data_NSA'!$A:$OK,MATCH($E225,'Data_NSA'!$A:$A,0),MATCH("CUUR0000SA0",'Data_NSA'!$1:$1,0)))),"")</f>
        <v/>
      </c>
      <c r="H225" s="10">
        <f>IFERROR(100*($D225*(INDEX('Data_NSA'!$A:$OK,MATCH(H$1,'Data_NSA'!$A:$A,0),MATCH($C225,'Data_NSA'!$1:$1,0))/INDEX('Data_NSA'!$A:$OK,MATCH($E225,'Data_NSA'!$A:$A,0),MATCH($C225,'Data_NSA'!$1:$1,0))))/(100*(INDEX('Data_NSA'!$A:$OK,MATCH(H$1,'Data_NSA'!$A:$A,0),MATCH("CUUR0000SA0",'Data_NSA'!$1:$1,0))/INDEX('Data_NSA'!$A:$OK,MATCH($E225,'Data_NSA'!$A:$A,0),MATCH("CUUR0000SA0",'Data_NSA'!$1:$1,0)))),"")</f>
        <v/>
      </c>
      <c r="I225" s="10">
        <f>IFERROR(100*($D225*(INDEX('Data_NSA'!$A:$OK,MATCH(I$1,'Data_NSA'!$A:$A,0),MATCH($C225,'Data_NSA'!$1:$1,0))/INDEX('Data_NSA'!$A:$OK,MATCH($E225,'Data_NSA'!$A:$A,0),MATCH($C225,'Data_NSA'!$1:$1,0))))/(100*(INDEX('Data_NSA'!$A:$OK,MATCH(I$1,'Data_NSA'!$A:$A,0),MATCH("CUUR0000SA0",'Data_NSA'!$1:$1,0))/INDEX('Data_NSA'!$A:$OK,MATCH($E225,'Data_NSA'!$A:$A,0),MATCH("CUUR0000SA0",'Data_NSA'!$1:$1,0)))),"")</f>
        <v/>
      </c>
    </row>
    <row r="226">
      <c r="A226" s="3" t="inlineStr">
        <is>
          <t>SS47016</t>
        </is>
      </c>
      <c r="B226" s="3" t="inlineStr">
        <is>
          <t>Gasoline, unleaded premium</t>
        </is>
      </c>
      <c r="C226" s="3" t="inlineStr">
        <is>
          <t>CUUR0000SS47016</t>
        </is>
      </c>
      <c r="D226" s="21" t="n"/>
      <c r="E226" s="22" t="n">
        <v>45992</v>
      </c>
      <c r="F226" s="3" t="n">
        <v>2024</v>
      </c>
      <c r="G226" s="10">
        <f>IFERROR(100*($D226*(INDEX('Data_NSA'!$A:$OK,MATCH(G$1,'Data_NSA'!$A:$A,0),MATCH($C226,'Data_NSA'!$1:$1,0))/INDEX('Data_NSA'!$A:$OK,MATCH($E226,'Data_NSA'!$A:$A,0),MATCH($C226,'Data_NSA'!$1:$1,0))))/(100*(INDEX('Data_NSA'!$A:$OK,MATCH(G$1,'Data_NSA'!$A:$A,0),MATCH("CUUR0000SA0",'Data_NSA'!$1:$1,0))/INDEX('Data_NSA'!$A:$OK,MATCH($E226,'Data_NSA'!$A:$A,0),MATCH("CUUR0000SA0",'Data_NSA'!$1:$1,0)))),"")</f>
        <v/>
      </c>
      <c r="H226" s="10">
        <f>IFERROR(100*($D226*(INDEX('Data_NSA'!$A:$OK,MATCH(H$1,'Data_NSA'!$A:$A,0),MATCH($C226,'Data_NSA'!$1:$1,0))/INDEX('Data_NSA'!$A:$OK,MATCH($E226,'Data_NSA'!$A:$A,0),MATCH($C226,'Data_NSA'!$1:$1,0))))/(100*(INDEX('Data_NSA'!$A:$OK,MATCH(H$1,'Data_NSA'!$A:$A,0),MATCH("CUUR0000SA0",'Data_NSA'!$1:$1,0))/INDEX('Data_NSA'!$A:$OK,MATCH($E226,'Data_NSA'!$A:$A,0),MATCH("CUUR0000SA0",'Data_NSA'!$1:$1,0)))),"")</f>
        <v/>
      </c>
      <c r="I226" s="10">
        <f>IFERROR(100*($D226*(INDEX('Data_NSA'!$A:$OK,MATCH(I$1,'Data_NSA'!$A:$A,0),MATCH($C226,'Data_NSA'!$1:$1,0))/INDEX('Data_NSA'!$A:$OK,MATCH($E226,'Data_NSA'!$A:$A,0),MATCH($C226,'Data_NSA'!$1:$1,0))))/(100*(INDEX('Data_NSA'!$A:$OK,MATCH(I$1,'Data_NSA'!$A:$A,0),MATCH("CUUR0000SA0",'Data_NSA'!$1:$1,0))/INDEX('Data_NSA'!$A:$OK,MATCH($E226,'Data_NSA'!$A:$A,0),MATCH("CUUR0000SA0",'Data_NSA'!$1:$1,0)))),"")</f>
        <v/>
      </c>
    </row>
    <row r="227">
      <c r="A227" s="3" t="inlineStr">
        <is>
          <t>SETB02</t>
        </is>
      </c>
      <c r="B227" s="3" t="inlineStr">
        <is>
          <t>Other motor fuels</t>
        </is>
      </c>
      <c r="C227" s="3" t="inlineStr">
        <is>
          <t>CUUR0000SETB02</t>
        </is>
      </c>
      <c r="D227" s="21" t="n">
        <v>0.08599999999999999</v>
      </c>
      <c r="E227" s="22" t="n">
        <v>45992</v>
      </c>
      <c r="F227" s="3" t="n">
        <v>2024</v>
      </c>
      <c r="G227" s="10">
        <f>IFERROR(100*($D227*(INDEX('Data_NSA'!$A:$OK,MATCH(G$1,'Data_NSA'!$A:$A,0),MATCH($C227,'Data_NSA'!$1:$1,0))/INDEX('Data_NSA'!$A:$OK,MATCH($E227,'Data_NSA'!$A:$A,0),MATCH($C227,'Data_NSA'!$1:$1,0))))/(100*(INDEX('Data_NSA'!$A:$OK,MATCH(G$1,'Data_NSA'!$A:$A,0),MATCH("CUUR0000SA0",'Data_NSA'!$1:$1,0))/INDEX('Data_NSA'!$A:$OK,MATCH($E227,'Data_NSA'!$A:$A,0),MATCH("CUUR0000SA0",'Data_NSA'!$1:$1,0)))),"")</f>
        <v/>
      </c>
      <c r="H227" s="10">
        <f>IFERROR(100*($D227*(INDEX('Data_NSA'!$A:$OK,MATCH(H$1,'Data_NSA'!$A:$A,0),MATCH($C227,'Data_NSA'!$1:$1,0))/INDEX('Data_NSA'!$A:$OK,MATCH($E227,'Data_NSA'!$A:$A,0),MATCH($C227,'Data_NSA'!$1:$1,0))))/(100*(INDEX('Data_NSA'!$A:$OK,MATCH(H$1,'Data_NSA'!$A:$A,0),MATCH("CUUR0000SA0",'Data_NSA'!$1:$1,0))/INDEX('Data_NSA'!$A:$OK,MATCH($E227,'Data_NSA'!$A:$A,0),MATCH("CUUR0000SA0",'Data_NSA'!$1:$1,0)))),"")</f>
        <v/>
      </c>
      <c r="I227" s="10">
        <f>IFERROR(100*($D227*(INDEX('Data_NSA'!$A:$OK,MATCH(I$1,'Data_NSA'!$A:$A,0),MATCH($C227,'Data_NSA'!$1:$1,0))/INDEX('Data_NSA'!$A:$OK,MATCH($E227,'Data_NSA'!$A:$A,0),MATCH($C227,'Data_NSA'!$1:$1,0))))/(100*(INDEX('Data_NSA'!$A:$OK,MATCH(I$1,'Data_NSA'!$A:$A,0),MATCH("CUUR0000SA0",'Data_NSA'!$1:$1,0))/INDEX('Data_NSA'!$A:$OK,MATCH($E227,'Data_NSA'!$A:$A,0),MATCH("CUUR0000SA0",'Data_NSA'!$1:$1,0)))),"")</f>
        <v/>
      </c>
    </row>
    <row r="228">
      <c r="A228" s="3" t="inlineStr">
        <is>
          <t>SETC</t>
        </is>
      </c>
      <c r="B228" s="3" t="inlineStr">
        <is>
          <t>Motor vehicle parts and equipment</t>
        </is>
      </c>
      <c r="C228" s="3" t="inlineStr">
        <is>
          <t>CUUR0000SETC</t>
        </is>
      </c>
      <c r="D228" s="21" t="n">
        <v>0.349</v>
      </c>
      <c r="E228" s="22" t="n">
        <v>45992</v>
      </c>
      <c r="F228" s="3" t="n">
        <v>2024</v>
      </c>
      <c r="G228" s="10">
        <f>IFERROR(100*($D228*(INDEX('Data_NSA'!$A:$OK,MATCH(G$1,'Data_NSA'!$A:$A,0),MATCH($C228,'Data_NSA'!$1:$1,0))/INDEX('Data_NSA'!$A:$OK,MATCH($E228,'Data_NSA'!$A:$A,0),MATCH($C228,'Data_NSA'!$1:$1,0))))/(100*(INDEX('Data_NSA'!$A:$OK,MATCH(G$1,'Data_NSA'!$A:$A,0),MATCH("CUUR0000SA0",'Data_NSA'!$1:$1,0))/INDEX('Data_NSA'!$A:$OK,MATCH($E228,'Data_NSA'!$A:$A,0),MATCH("CUUR0000SA0",'Data_NSA'!$1:$1,0)))),"")</f>
        <v/>
      </c>
      <c r="H228" s="10">
        <f>IFERROR(100*($D228*(INDEX('Data_NSA'!$A:$OK,MATCH(H$1,'Data_NSA'!$A:$A,0),MATCH($C228,'Data_NSA'!$1:$1,0))/INDEX('Data_NSA'!$A:$OK,MATCH($E228,'Data_NSA'!$A:$A,0),MATCH($C228,'Data_NSA'!$1:$1,0))))/(100*(INDEX('Data_NSA'!$A:$OK,MATCH(H$1,'Data_NSA'!$A:$A,0),MATCH("CUUR0000SA0",'Data_NSA'!$1:$1,0))/INDEX('Data_NSA'!$A:$OK,MATCH($E228,'Data_NSA'!$A:$A,0),MATCH("CUUR0000SA0",'Data_NSA'!$1:$1,0)))),"")</f>
        <v/>
      </c>
      <c r="I228" s="10">
        <f>IFERROR(100*($D228*(INDEX('Data_NSA'!$A:$OK,MATCH(I$1,'Data_NSA'!$A:$A,0),MATCH($C228,'Data_NSA'!$1:$1,0))/INDEX('Data_NSA'!$A:$OK,MATCH($E228,'Data_NSA'!$A:$A,0),MATCH($C228,'Data_NSA'!$1:$1,0))))/(100*(INDEX('Data_NSA'!$A:$OK,MATCH(I$1,'Data_NSA'!$A:$A,0),MATCH("CUUR0000SA0",'Data_NSA'!$1:$1,0))/INDEX('Data_NSA'!$A:$OK,MATCH($E228,'Data_NSA'!$A:$A,0),MATCH("CUUR0000SA0",'Data_NSA'!$1:$1,0)))),"")</f>
        <v/>
      </c>
    </row>
    <row r="229">
      <c r="A229" s="3" t="inlineStr">
        <is>
          <t>SETC01</t>
        </is>
      </c>
      <c r="B229" s="3" t="inlineStr">
        <is>
          <t>Tires</t>
        </is>
      </c>
      <c r="C229" s="3" t="inlineStr">
        <is>
          <t>CUUR0000SETC01</t>
        </is>
      </c>
      <c r="D229" s="21" t="n">
        <v>0.293</v>
      </c>
      <c r="E229" s="22" t="n">
        <v>45992</v>
      </c>
      <c r="F229" s="3" t="n">
        <v>2024</v>
      </c>
      <c r="G229" s="10">
        <f>IFERROR(100*($D229*(INDEX('Data_NSA'!$A:$OK,MATCH(G$1,'Data_NSA'!$A:$A,0),MATCH($C229,'Data_NSA'!$1:$1,0))/INDEX('Data_NSA'!$A:$OK,MATCH($E229,'Data_NSA'!$A:$A,0),MATCH($C229,'Data_NSA'!$1:$1,0))))/(100*(INDEX('Data_NSA'!$A:$OK,MATCH(G$1,'Data_NSA'!$A:$A,0),MATCH("CUUR0000SA0",'Data_NSA'!$1:$1,0))/INDEX('Data_NSA'!$A:$OK,MATCH($E229,'Data_NSA'!$A:$A,0),MATCH("CUUR0000SA0",'Data_NSA'!$1:$1,0)))),"")</f>
        <v/>
      </c>
      <c r="H229" s="10">
        <f>IFERROR(100*($D229*(INDEX('Data_NSA'!$A:$OK,MATCH(H$1,'Data_NSA'!$A:$A,0),MATCH($C229,'Data_NSA'!$1:$1,0))/INDEX('Data_NSA'!$A:$OK,MATCH($E229,'Data_NSA'!$A:$A,0),MATCH($C229,'Data_NSA'!$1:$1,0))))/(100*(INDEX('Data_NSA'!$A:$OK,MATCH(H$1,'Data_NSA'!$A:$A,0),MATCH("CUUR0000SA0",'Data_NSA'!$1:$1,0))/INDEX('Data_NSA'!$A:$OK,MATCH($E229,'Data_NSA'!$A:$A,0),MATCH("CUUR0000SA0",'Data_NSA'!$1:$1,0)))),"")</f>
        <v/>
      </c>
      <c r="I229" s="10">
        <f>IFERROR(100*($D229*(INDEX('Data_NSA'!$A:$OK,MATCH(I$1,'Data_NSA'!$A:$A,0),MATCH($C229,'Data_NSA'!$1:$1,0))/INDEX('Data_NSA'!$A:$OK,MATCH($E229,'Data_NSA'!$A:$A,0),MATCH($C229,'Data_NSA'!$1:$1,0))))/(100*(INDEX('Data_NSA'!$A:$OK,MATCH(I$1,'Data_NSA'!$A:$A,0),MATCH("CUUR0000SA0",'Data_NSA'!$1:$1,0))/INDEX('Data_NSA'!$A:$OK,MATCH($E229,'Data_NSA'!$A:$A,0),MATCH("CUUR0000SA0",'Data_NSA'!$1:$1,0)))),"")</f>
        <v/>
      </c>
    </row>
    <row r="230">
      <c r="A230" s="3" t="inlineStr">
        <is>
          <t>SETC02</t>
        </is>
      </c>
      <c r="B230" s="3" t="inlineStr">
        <is>
          <t>Vehicle accessories other than tires</t>
        </is>
      </c>
      <c r="C230" s="3" t="inlineStr">
        <is>
          <t>CUUR0000SETC02</t>
        </is>
      </c>
      <c r="D230" s="21" t="n">
        <v>0.056</v>
      </c>
      <c r="E230" s="22" t="n">
        <v>45992</v>
      </c>
      <c r="F230" s="3" t="n">
        <v>2024</v>
      </c>
      <c r="G230" s="10">
        <f>IFERROR(100*($D230*(INDEX('Data_NSA'!$A:$OK,MATCH(G$1,'Data_NSA'!$A:$A,0),MATCH($C230,'Data_NSA'!$1:$1,0))/INDEX('Data_NSA'!$A:$OK,MATCH($E230,'Data_NSA'!$A:$A,0),MATCH($C230,'Data_NSA'!$1:$1,0))))/(100*(INDEX('Data_NSA'!$A:$OK,MATCH(G$1,'Data_NSA'!$A:$A,0),MATCH("CUUR0000SA0",'Data_NSA'!$1:$1,0))/INDEX('Data_NSA'!$A:$OK,MATCH($E230,'Data_NSA'!$A:$A,0),MATCH("CUUR0000SA0",'Data_NSA'!$1:$1,0)))),"")</f>
        <v/>
      </c>
      <c r="H230" s="10">
        <f>IFERROR(100*($D230*(INDEX('Data_NSA'!$A:$OK,MATCH(H$1,'Data_NSA'!$A:$A,0),MATCH($C230,'Data_NSA'!$1:$1,0))/INDEX('Data_NSA'!$A:$OK,MATCH($E230,'Data_NSA'!$A:$A,0),MATCH($C230,'Data_NSA'!$1:$1,0))))/(100*(INDEX('Data_NSA'!$A:$OK,MATCH(H$1,'Data_NSA'!$A:$A,0),MATCH("CUUR0000SA0",'Data_NSA'!$1:$1,0))/INDEX('Data_NSA'!$A:$OK,MATCH($E230,'Data_NSA'!$A:$A,0),MATCH("CUUR0000SA0",'Data_NSA'!$1:$1,0)))),"")</f>
        <v/>
      </c>
      <c r="I230" s="10">
        <f>IFERROR(100*($D230*(INDEX('Data_NSA'!$A:$OK,MATCH(I$1,'Data_NSA'!$A:$A,0),MATCH($C230,'Data_NSA'!$1:$1,0))/INDEX('Data_NSA'!$A:$OK,MATCH($E230,'Data_NSA'!$A:$A,0),MATCH($C230,'Data_NSA'!$1:$1,0))))/(100*(INDEX('Data_NSA'!$A:$OK,MATCH(I$1,'Data_NSA'!$A:$A,0),MATCH("CUUR0000SA0",'Data_NSA'!$1:$1,0))/INDEX('Data_NSA'!$A:$OK,MATCH($E230,'Data_NSA'!$A:$A,0),MATCH("CUUR0000SA0",'Data_NSA'!$1:$1,0)))),"")</f>
        <v/>
      </c>
    </row>
    <row r="231">
      <c r="A231" s="3" t="inlineStr">
        <is>
          <t>SS48021</t>
        </is>
      </c>
      <c r="B231" s="3" t="inlineStr">
        <is>
          <t>Vehicle parts and equipment other than tires</t>
        </is>
      </c>
      <c r="C231" s="3" t="inlineStr">
        <is>
          <t>CUUR0000SS48021</t>
        </is>
      </c>
      <c r="D231" s="21" t="n"/>
      <c r="E231" s="22" t="n">
        <v>45992</v>
      </c>
      <c r="F231" s="3" t="n">
        <v>2024</v>
      </c>
      <c r="G231" s="10">
        <f>IFERROR(100*($D231*(INDEX('Data_NSA'!$A:$OK,MATCH(G$1,'Data_NSA'!$A:$A,0),MATCH($C231,'Data_NSA'!$1:$1,0))/INDEX('Data_NSA'!$A:$OK,MATCH($E231,'Data_NSA'!$A:$A,0),MATCH($C231,'Data_NSA'!$1:$1,0))))/(100*(INDEX('Data_NSA'!$A:$OK,MATCH(G$1,'Data_NSA'!$A:$A,0),MATCH("CUUR0000SA0",'Data_NSA'!$1:$1,0))/INDEX('Data_NSA'!$A:$OK,MATCH($E231,'Data_NSA'!$A:$A,0),MATCH("CUUR0000SA0",'Data_NSA'!$1:$1,0)))),"")</f>
        <v/>
      </c>
      <c r="H231" s="10">
        <f>IFERROR(100*($D231*(INDEX('Data_NSA'!$A:$OK,MATCH(H$1,'Data_NSA'!$A:$A,0),MATCH($C231,'Data_NSA'!$1:$1,0))/INDEX('Data_NSA'!$A:$OK,MATCH($E231,'Data_NSA'!$A:$A,0),MATCH($C231,'Data_NSA'!$1:$1,0))))/(100*(INDEX('Data_NSA'!$A:$OK,MATCH(H$1,'Data_NSA'!$A:$A,0),MATCH("CUUR0000SA0",'Data_NSA'!$1:$1,0))/INDEX('Data_NSA'!$A:$OK,MATCH($E231,'Data_NSA'!$A:$A,0),MATCH("CUUR0000SA0",'Data_NSA'!$1:$1,0)))),"")</f>
        <v/>
      </c>
      <c r="I231" s="10">
        <f>IFERROR(100*($D231*(INDEX('Data_NSA'!$A:$OK,MATCH(I$1,'Data_NSA'!$A:$A,0),MATCH($C231,'Data_NSA'!$1:$1,0))/INDEX('Data_NSA'!$A:$OK,MATCH($E231,'Data_NSA'!$A:$A,0),MATCH($C231,'Data_NSA'!$1:$1,0))))/(100*(INDEX('Data_NSA'!$A:$OK,MATCH(I$1,'Data_NSA'!$A:$A,0),MATCH("CUUR0000SA0",'Data_NSA'!$1:$1,0))/INDEX('Data_NSA'!$A:$OK,MATCH($E231,'Data_NSA'!$A:$A,0),MATCH("CUUR0000SA0",'Data_NSA'!$1:$1,0)))),"")</f>
        <v/>
      </c>
    </row>
    <row r="232">
      <c r="A232" s="3" t="inlineStr">
        <is>
          <t>SS47021</t>
        </is>
      </c>
      <c r="B232" s="3" t="inlineStr">
        <is>
          <t>Motor oil, coolant, and fluids</t>
        </is>
      </c>
      <c r="C232" s="3" t="inlineStr">
        <is>
          <t>CUUR0000SS47021</t>
        </is>
      </c>
      <c r="D232" s="21" t="n"/>
      <c r="E232" s="22" t="n">
        <v>45992</v>
      </c>
      <c r="F232" s="3" t="n">
        <v>2024</v>
      </c>
      <c r="G232" s="10">
        <f>IFERROR(100*($D232*(INDEX('Data_NSA'!$A:$OK,MATCH(G$1,'Data_NSA'!$A:$A,0),MATCH($C232,'Data_NSA'!$1:$1,0))/INDEX('Data_NSA'!$A:$OK,MATCH($E232,'Data_NSA'!$A:$A,0),MATCH($C232,'Data_NSA'!$1:$1,0))))/(100*(INDEX('Data_NSA'!$A:$OK,MATCH(G$1,'Data_NSA'!$A:$A,0),MATCH("CUUR0000SA0",'Data_NSA'!$1:$1,0))/INDEX('Data_NSA'!$A:$OK,MATCH($E232,'Data_NSA'!$A:$A,0),MATCH("CUUR0000SA0",'Data_NSA'!$1:$1,0)))),"")</f>
        <v/>
      </c>
      <c r="H232" s="10">
        <f>IFERROR(100*($D232*(INDEX('Data_NSA'!$A:$OK,MATCH(H$1,'Data_NSA'!$A:$A,0),MATCH($C232,'Data_NSA'!$1:$1,0))/INDEX('Data_NSA'!$A:$OK,MATCH($E232,'Data_NSA'!$A:$A,0),MATCH($C232,'Data_NSA'!$1:$1,0))))/(100*(INDEX('Data_NSA'!$A:$OK,MATCH(H$1,'Data_NSA'!$A:$A,0),MATCH("CUUR0000SA0",'Data_NSA'!$1:$1,0))/INDEX('Data_NSA'!$A:$OK,MATCH($E232,'Data_NSA'!$A:$A,0),MATCH("CUUR0000SA0",'Data_NSA'!$1:$1,0)))),"")</f>
        <v/>
      </c>
      <c r="I232" s="10">
        <f>IFERROR(100*($D232*(INDEX('Data_NSA'!$A:$OK,MATCH(I$1,'Data_NSA'!$A:$A,0),MATCH($C232,'Data_NSA'!$1:$1,0))/INDEX('Data_NSA'!$A:$OK,MATCH($E232,'Data_NSA'!$A:$A,0),MATCH($C232,'Data_NSA'!$1:$1,0))))/(100*(INDEX('Data_NSA'!$A:$OK,MATCH(I$1,'Data_NSA'!$A:$A,0),MATCH("CUUR0000SA0",'Data_NSA'!$1:$1,0))/INDEX('Data_NSA'!$A:$OK,MATCH($E232,'Data_NSA'!$A:$A,0),MATCH("CUUR0000SA0",'Data_NSA'!$1:$1,0)))),"")</f>
        <v/>
      </c>
    </row>
    <row r="233">
      <c r="A233" s="3" t="inlineStr">
        <is>
          <t>SETD</t>
        </is>
      </c>
      <c r="B233" s="3" t="inlineStr">
        <is>
          <t>Motor vehicle maintenance and repair</t>
        </is>
      </c>
      <c r="C233" s="3" t="inlineStr">
        <is>
          <t>CUUR0000SETD</t>
        </is>
      </c>
      <c r="D233" s="21" t="n">
        <v>1.039</v>
      </c>
      <c r="E233" s="22" t="n">
        <v>45992</v>
      </c>
      <c r="F233" s="3" t="n">
        <v>2024</v>
      </c>
      <c r="G233" s="10">
        <f>IFERROR(100*($D233*(INDEX('Data_NSA'!$A:$OK,MATCH(G$1,'Data_NSA'!$A:$A,0),MATCH($C233,'Data_NSA'!$1:$1,0))/INDEX('Data_NSA'!$A:$OK,MATCH($E233,'Data_NSA'!$A:$A,0),MATCH($C233,'Data_NSA'!$1:$1,0))))/(100*(INDEX('Data_NSA'!$A:$OK,MATCH(G$1,'Data_NSA'!$A:$A,0),MATCH("CUUR0000SA0",'Data_NSA'!$1:$1,0))/INDEX('Data_NSA'!$A:$OK,MATCH($E233,'Data_NSA'!$A:$A,0),MATCH("CUUR0000SA0",'Data_NSA'!$1:$1,0)))),"")</f>
        <v/>
      </c>
      <c r="H233" s="10">
        <f>IFERROR(100*($D233*(INDEX('Data_NSA'!$A:$OK,MATCH(H$1,'Data_NSA'!$A:$A,0),MATCH($C233,'Data_NSA'!$1:$1,0))/INDEX('Data_NSA'!$A:$OK,MATCH($E233,'Data_NSA'!$A:$A,0),MATCH($C233,'Data_NSA'!$1:$1,0))))/(100*(INDEX('Data_NSA'!$A:$OK,MATCH(H$1,'Data_NSA'!$A:$A,0),MATCH("CUUR0000SA0",'Data_NSA'!$1:$1,0))/INDEX('Data_NSA'!$A:$OK,MATCH($E233,'Data_NSA'!$A:$A,0),MATCH("CUUR0000SA0",'Data_NSA'!$1:$1,0)))),"")</f>
        <v/>
      </c>
      <c r="I233" s="10">
        <f>IFERROR(100*($D233*(INDEX('Data_NSA'!$A:$OK,MATCH(I$1,'Data_NSA'!$A:$A,0),MATCH($C233,'Data_NSA'!$1:$1,0))/INDEX('Data_NSA'!$A:$OK,MATCH($E233,'Data_NSA'!$A:$A,0),MATCH($C233,'Data_NSA'!$1:$1,0))))/(100*(INDEX('Data_NSA'!$A:$OK,MATCH(I$1,'Data_NSA'!$A:$A,0),MATCH("CUUR0000SA0",'Data_NSA'!$1:$1,0))/INDEX('Data_NSA'!$A:$OK,MATCH($E233,'Data_NSA'!$A:$A,0),MATCH("CUUR0000SA0",'Data_NSA'!$1:$1,0)))),"")</f>
        <v/>
      </c>
    </row>
    <row r="234">
      <c r="A234" s="3" t="inlineStr">
        <is>
          <t>SETD01</t>
        </is>
      </c>
      <c r="B234" s="3" t="inlineStr">
        <is>
          <t>Motor vehicle body work</t>
        </is>
      </c>
      <c r="C234" s="3" t="inlineStr">
        <is>
          <t>CUUR0000SETD01</t>
        </is>
      </c>
      <c r="D234" s="21" t="n">
        <v>0.058</v>
      </c>
      <c r="E234" s="22" t="n">
        <v>45992</v>
      </c>
      <c r="F234" s="3" t="n">
        <v>2024</v>
      </c>
      <c r="G234" s="10">
        <f>IFERROR(100*($D234*(INDEX('Data_NSA'!$A:$OK,MATCH(G$1,'Data_NSA'!$A:$A,0),MATCH($C234,'Data_NSA'!$1:$1,0))/INDEX('Data_NSA'!$A:$OK,MATCH($E234,'Data_NSA'!$A:$A,0),MATCH($C234,'Data_NSA'!$1:$1,0))))/(100*(INDEX('Data_NSA'!$A:$OK,MATCH(G$1,'Data_NSA'!$A:$A,0),MATCH("CUUR0000SA0",'Data_NSA'!$1:$1,0))/INDEX('Data_NSA'!$A:$OK,MATCH($E234,'Data_NSA'!$A:$A,0),MATCH("CUUR0000SA0",'Data_NSA'!$1:$1,0)))),"")</f>
        <v/>
      </c>
      <c r="H234" s="10">
        <f>IFERROR(100*($D234*(INDEX('Data_NSA'!$A:$OK,MATCH(H$1,'Data_NSA'!$A:$A,0),MATCH($C234,'Data_NSA'!$1:$1,0))/INDEX('Data_NSA'!$A:$OK,MATCH($E234,'Data_NSA'!$A:$A,0),MATCH($C234,'Data_NSA'!$1:$1,0))))/(100*(INDEX('Data_NSA'!$A:$OK,MATCH(H$1,'Data_NSA'!$A:$A,0),MATCH("CUUR0000SA0",'Data_NSA'!$1:$1,0))/INDEX('Data_NSA'!$A:$OK,MATCH($E234,'Data_NSA'!$A:$A,0),MATCH("CUUR0000SA0",'Data_NSA'!$1:$1,0)))),"")</f>
        <v/>
      </c>
      <c r="I234" s="10">
        <f>IFERROR(100*($D234*(INDEX('Data_NSA'!$A:$OK,MATCH(I$1,'Data_NSA'!$A:$A,0),MATCH($C234,'Data_NSA'!$1:$1,0))/INDEX('Data_NSA'!$A:$OK,MATCH($E234,'Data_NSA'!$A:$A,0),MATCH($C234,'Data_NSA'!$1:$1,0))))/(100*(INDEX('Data_NSA'!$A:$OK,MATCH(I$1,'Data_NSA'!$A:$A,0),MATCH("CUUR0000SA0",'Data_NSA'!$1:$1,0))/INDEX('Data_NSA'!$A:$OK,MATCH($E234,'Data_NSA'!$A:$A,0),MATCH("CUUR0000SA0",'Data_NSA'!$1:$1,0)))),"")</f>
        <v/>
      </c>
    </row>
    <row r="235">
      <c r="A235" s="3" t="inlineStr">
        <is>
          <t>SETD02</t>
        </is>
      </c>
      <c r="B235" s="3" t="inlineStr">
        <is>
          <t>Motor vehicle maintenance and servicing</t>
        </is>
      </c>
      <c r="C235" s="3" t="inlineStr">
        <is>
          <t>CUUR0000SETD02</t>
        </is>
      </c>
      <c r="D235" s="21" t="n">
        <v>0.514</v>
      </c>
      <c r="E235" s="22" t="n">
        <v>45992</v>
      </c>
      <c r="F235" s="3" t="n">
        <v>2024</v>
      </c>
      <c r="G235" s="10">
        <f>IFERROR(100*($D235*(INDEX('Data_NSA'!$A:$OK,MATCH(G$1,'Data_NSA'!$A:$A,0),MATCH($C235,'Data_NSA'!$1:$1,0))/INDEX('Data_NSA'!$A:$OK,MATCH($E235,'Data_NSA'!$A:$A,0),MATCH($C235,'Data_NSA'!$1:$1,0))))/(100*(INDEX('Data_NSA'!$A:$OK,MATCH(G$1,'Data_NSA'!$A:$A,0),MATCH("CUUR0000SA0",'Data_NSA'!$1:$1,0))/INDEX('Data_NSA'!$A:$OK,MATCH($E235,'Data_NSA'!$A:$A,0),MATCH("CUUR0000SA0",'Data_NSA'!$1:$1,0)))),"")</f>
        <v/>
      </c>
      <c r="H235" s="10">
        <f>IFERROR(100*($D235*(INDEX('Data_NSA'!$A:$OK,MATCH(H$1,'Data_NSA'!$A:$A,0),MATCH($C235,'Data_NSA'!$1:$1,0))/INDEX('Data_NSA'!$A:$OK,MATCH($E235,'Data_NSA'!$A:$A,0),MATCH($C235,'Data_NSA'!$1:$1,0))))/(100*(INDEX('Data_NSA'!$A:$OK,MATCH(H$1,'Data_NSA'!$A:$A,0),MATCH("CUUR0000SA0",'Data_NSA'!$1:$1,0))/INDEX('Data_NSA'!$A:$OK,MATCH($E235,'Data_NSA'!$A:$A,0),MATCH("CUUR0000SA0",'Data_NSA'!$1:$1,0)))),"")</f>
        <v/>
      </c>
      <c r="I235" s="10">
        <f>IFERROR(100*($D235*(INDEX('Data_NSA'!$A:$OK,MATCH(I$1,'Data_NSA'!$A:$A,0),MATCH($C235,'Data_NSA'!$1:$1,0))/INDEX('Data_NSA'!$A:$OK,MATCH($E235,'Data_NSA'!$A:$A,0),MATCH($C235,'Data_NSA'!$1:$1,0))))/(100*(INDEX('Data_NSA'!$A:$OK,MATCH(I$1,'Data_NSA'!$A:$A,0),MATCH("CUUR0000SA0",'Data_NSA'!$1:$1,0))/INDEX('Data_NSA'!$A:$OK,MATCH($E235,'Data_NSA'!$A:$A,0),MATCH("CUUR0000SA0",'Data_NSA'!$1:$1,0)))),"")</f>
        <v/>
      </c>
    </row>
    <row r="236">
      <c r="A236" s="3" t="inlineStr">
        <is>
          <t>SETD03</t>
        </is>
      </c>
      <c r="B236" s="3" t="inlineStr">
        <is>
          <t>Motor vehicle repair</t>
        </is>
      </c>
      <c r="C236" s="3" t="inlineStr">
        <is>
          <t>CUUR0000SETD03</t>
        </is>
      </c>
      <c r="D236" s="21" t="n">
        <v>0.399</v>
      </c>
      <c r="E236" s="22" t="n">
        <v>45992</v>
      </c>
      <c r="F236" s="3" t="n">
        <v>2024</v>
      </c>
      <c r="G236" s="10">
        <f>IFERROR(100*($D236*(INDEX('Data_NSA'!$A:$OK,MATCH(G$1,'Data_NSA'!$A:$A,0),MATCH($C236,'Data_NSA'!$1:$1,0))/INDEX('Data_NSA'!$A:$OK,MATCH($E236,'Data_NSA'!$A:$A,0),MATCH($C236,'Data_NSA'!$1:$1,0))))/(100*(INDEX('Data_NSA'!$A:$OK,MATCH(G$1,'Data_NSA'!$A:$A,0),MATCH("CUUR0000SA0",'Data_NSA'!$1:$1,0))/INDEX('Data_NSA'!$A:$OK,MATCH($E236,'Data_NSA'!$A:$A,0),MATCH("CUUR0000SA0",'Data_NSA'!$1:$1,0)))),"")</f>
        <v/>
      </c>
      <c r="H236" s="10">
        <f>IFERROR(100*($D236*(INDEX('Data_NSA'!$A:$OK,MATCH(H$1,'Data_NSA'!$A:$A,0),MATCH($C236,'Data_NSA'!$1:$1,0))/INDEX('Data_NSA'!$A:$OK,MATCH($E236,'Data_NSA'!$A:$A,0),MATCH($C236,'Data_NSA'!$1:$1,0))))/(100*(INDEX('Data_NSA'!$A:$OK,MATCH(H$1,'Data_NSA'!$A:$A,0),MATCH("CUUR0000SA0",'Data_NSA'!$1:$1,0))/INDEX('Data_NSA'!$A:$OK,MATCH($E236,'Data_NSA'!$A:$A,0),MATCH("CUUR0000SA0",'Data_NSA'!$1:$1,0)))),"")</f>
        <v/>
      </c>
      <c r="I236" s="10">
        <f>IFERROR(100*($D236*(INDEX('Data_NSA'!$A:$OK,MATCH(I$1,'Data_NSA'!$A:$A,0),MATCH($C236,'Data_NSA'!$1:$1,0))/INDEX('Data_NSA'!$A:$OK,MATCH($E236,'Data_NSA'!$A:$A,0),MATCH($C236,'Data_NSA'!$1:$1,0))))/(100*(INDEX('Data_NSA'!$A:$OK,MATCH(I$1,'Data_NSA'!$A:$A,0),MATCH("CUUR0000SA0",'Data_NSA'!$1:$1,0))/INDEX('Data_NSA'!$A:$OK,MATCH($E236,'Data_NSA'!$A:$A,0),MATCH("CUUR0000SA0",'Data_NSA'!$1:$1,0)))),"")</f>
        <v/>
      </c>
    </row>
    <row r="237">
      <c r="A237" s="3" t="inlineStr">
        <is>
          <t>SETE</t>
        </is>
      </c>
      <c r="B237" s="3" t="inlineStr">
        <is>
          <t>Motor vehicle insurance</t>
        </is>
      </c>
      <c r="C237" s="3" t="inlineStr">
        <is>
          <t>CUUR0000SETE</t>
        </is>
      </c>
      <c r="D237" s="21" t="n">
        <v>2.754</v>
      </c>
      <c r="E237" s="22" t="n">
        <v>45992</v>
      </c>
      <c r="F237" s="3" t="n">
        <v>2024</v>
      </c>
      <c r="G237" s="10">
        <f>IFERROR(100*($D237*(INDEX('Data_NSA'!$A:$OK,MATCH(G$1,'Data_NSA'!$A:$A,0),MATCH($C237,'Data_NSA'!$1:$1,0))/INDEX('Data_NSA'!$A:$OK,MATCH($E237,'Data_NSA'!$A:$A,0),MATCH($C237,'Data_NSA'!$1:$1,0))))/(100*(INDEX('Data_NSA'!$A:$OK,MATCH(G$1,'Data_NSA'!$A:$A,0),MATCH("CUUR0000SA0",'Data_NSA'!$1:$1,0))/INDEX('Data_NSA'!$A:$OK,MATCH($E237,'Data_NSA'!$A:$A,0),MATCH("CUUR0000SA0",'Data_NSA'!$1:$1,0)))),"")</f>
        <v/>
      </c>
      <c r="H237" s="10">
        <f>IFERROR(100*($D237*(INDEX('Data_NSA'!$A:$OK,MATCH(H$1,'Data_NSA'!$A:$A,0),MATCH($C237,'Data_NSA'!$1:$1,0))/INDEX('Data_NSA'!$A:$OK,MATCH($E237,'Data_NSA'!$A:$A,0),MATCH($C237,'Data_NSA'!$1:$1,0))))/(100*(INDEX('Data_NSA'!$A:$OK,MATCH(H$1,'Data_NSA'!$A:$A,0),MATCH("CUUR0000SA0",'Data_NSA'!$1:$1,0))/INDEX('Data_NSA'!$A:$OK,MATCH($E237,'Data_NSA'!$A:$A,0),MATCH("CUUR0000SA0",'Data_NSA'!$1:$1,0)))),"")</f>
        <v/>
      </c>
      <c r="I237" s="10">
        <f>IFERROR(100*($D237*(INDEX('Data_NSA'!$A:$OK,MATCH(I$1,'Data_NSA'!$A:$A,0),MATCH($C237,'Data_NSA'!$1:$1,0))/INDEX('Data_NSA'!$A:$OK,MATCH($E237,'Data_NSA'!$A:$A,0),MATCH($C237,'Data_NSA'!$1:$1,0))))/(100*(INDEX('Data_NSA'!$A:$OK,MATCH(I$1,'Data_NSA'!$A:$A,0),MATCH("CUUR0000SA0",'Data_NSA'!$1:$1,0))/INDEX('Data_NSA'!$A:$OK,MATCH($E237,'Data_NSA'!$A:$A,0),MATCH("CUUR0000SA0",'Data_NSA'!$1:$1,0)))),"")</f>
        <v/>
      </c>
    </row>
    <row r="238">
      <c r="A238" s="3" t="inlineStr">
        <is>
          <t>SETF</t>
        </is>
      </c>
      <c r="B238" s="3" t="inlineStr">
        <is>
          <t>Motor vehicle fees</t>
        </is>
      </c>
      <c r="C238" s="3" t="inlineStr">
        <is>
          <t>CUUR0000SETF</t>
        </is>
      </c>
      <c r="D238" s="21" t="n">
        <v>0.505</v>
      </c>
      <c r="E238" s="22" t="n">
        <v>45992</v>
      </c>
      <c r="F238" s="3" t="n">
        <v>2024</v>
      </c>
      <c r="G238" s="10">
        <f>IFERROR(100*($D238*(INDEX('Data_NSA'!$A:$OK,MATCH(G$1,'Data_NSA'!$A:$A,0),MATCH($C238,'Data_NSA'!$1:$1,0))/INDEX('Data_NSA'!$A:$OK,MATCH($E238,'Data_NSA'!$A:$A,0),MATCH($C238,'Data_NSA'!$1:$1,0))))/(100*(INDEX('Data_NSA'!$A:$OK,MATCH(G$1,'Data_NSA'!$A:$A,0),MATCH("CUUR0000SA0",'Data_NSA'!$1:$1,0))/INDEX('Data_NSA'!$A:$OK,MATCH($E238,'Data_NSA'!$A:$A,0),MATCH("CUUR0000SA0",'Data_NSA'!$1:$1,0)))),"")</f>
        <v/>
      </c>
      <c r="H238" s="10">
        <f>IFERROR(100*($D238*(INDEX('Data_NSA'!$A:$OK,MATCH(H$1,'Data_NSA'!$A:$A,0),MATCH($C238,'Data_NSA'!$1:$1,0))/INDEX('Data_NSA'!$A:$OK,MATCH($E238,'Data_NSA'!$A:$A,0),MATCH($C238,'Data_NSA'!$1:$1,0))))/(100*(INDEX('Data_NSA'!$A:$OK,MATCH(H$1,'Data_NSA'!$A:$A,0),MATCH("CUUR0000SA0",'Data_NSA'!$1:$1,0))/INDEX('Data_NSA'!$A:$OK,MATCH($E238,'Data_NSA'!$A:$A,0),MATCH("CUUR0000SA0",'Data_NSA'!$1:$1,0)))),"")</f>
        <v/>
      </c>
      <c r="I238" s="10">
        <f>IFERROR(100*($D238*(INDEX('Data_NSA'!$A:$OK,MATCH(I$1,'Data_NSA'!$A:$A,0),MATCH($C238,'Data_NSA'!$1:$1,0))/INDEX('Data_NSA'!$A:$OK,MATCH($E238,'Data_NSA'!$A:$A,0),MATCH($C238,'Data_NSA'!$1:$1,0))))/(100*(INDEX('Data_NSA'!$A:$OK,MATCH(I$1,'Data_NSA'!$A:$A,0),MATCH("CUUR0000SA0",'Data_NSA'!$1:$1,0))/INDEX('Data_NSA'!$A:$OK,MATCH($E238,'Data_NSA'!$A:$A,0),MATCH("CUUR0000SA0",'Data_NSA'!$1:$1,0)))),"")</f>
        <v/>
      </c>
    </row>
    <row r="239">
      <c r="A239" s="3" t="inlineStr">
        <is>
          <t>SETF01</t>
        </is>
      </c>
      <c r="B239" s="3" t="inlineStr">
        <is>
          <t>State motor vehicle registration and license fees</t>
        </is>
      </c>
      <c r="C239" s="3" t="inlineStr">
        <is>
          <t>CUUR0000SETF01</t>
        </is>
      </c>
      <c r="D239" s="21" t="n">
        <v>0.296</v>
      </c>
      <c r="E239" s="22" t="n">
        <v>45992</v>
      </c>
      <c r="F239" s="3" t="n">
        <v>2024</v>
      </c>
      <c r="G239" s="10">
        <f>IFERROR(100*($D239*(INDEX('Data_NSA'!$A:$OK,MATCH(G$1,'Data_NSA'!$A:$A,0),MATCH($C239,'Data_NSA'!$1:$1,0))/INDEX('Data_NSA'!$A:$OK,MATCH($E239,'Data_NSA'!$A:$A,0),MATCH($C239,'Data_NSA'!$1:$1,0))))/(100*(INDEX('Data_NSA'!$A:$OK,MATCH(G$1,'Data_NSA'!$A:$A,0),MATCH("CUUR0000SA0",'Data_NSA'!$1:$1,0))/INDEX('Data_NSA'!$A:$OK,MATCH($E239,'Data_NSA'!$A:$A,0),MATCH("CUUR0000SA0",'Data_NSA'!$1:$1,0)))),"")</f>
        <v/>
      </c>
      <c r="H239" s="10">
        <f>IFERROR(100*($D239*(INDEX('Data_NSA'!$A:$OK,MATCH(H$1,'Data_NSA'!$A:$A,0),MATCH($C239,'Data_NSA'!$1:$1,0))/INDEX('Data_NSA'!$A:$OK,MATCH($E239,'Data_NSA'!$A:$A,0),MATCH($C239,'Data_NSA'!$1:$1,0))))/(100*(INDEX('Data_NSA'!$A:$OK,MATCH(H$1,'Data_NSA'!$A:$A,0),MATCH("CUUR0000SA0",'Data_NSA'!$1:$1,0))/INDEX('Data_NSA'!$A:$OK,MATCH($E239,'Data_NSA'!$A:$A,0),MATCH("CUUR0000SA0",'Data_NSA'!$1:$1,0)))),"")</f>
        <v/>
      </c>
      <c r="I239" s="10">
        <f>IFERROR(100*($D239*(INDEX('Data_NSA'!$A:$OK,MATCH(I$1,'Data_NSA'!$A:$A,0),MATCH($C239,'Data_NSA'!$1:$1,0))/INDEX('Data_NSA'!$A:$OK,MATCH($E239,'Data_NSA'!$A:$A,0),MATCH($C239,'Data_NSA'!$1:$1,0))))/(100*(INDEX('Data_NSA'!$A:$OK,MATCH(I$1,'Data_NSA'!$A:$A,0),MATCH("CUUR0000SA0",'Data_NSA'!$1:$1,0))/INDEX('Data_NSA'!$A:$OK,MATCH($E239,'Data_NSA'!$A:$A,0),MATCH("CUUR0000SA0",'Data_NSA'!$1:$1,0)))),"")</f>
        <v/>
      </c>
    </row>
    <row r="240">
      <c r="A240" s="3" t="inlineStr">
        <is>
          <t>SETF03</t>
        </is>
      </c>
      <c r="B240" s="3" t="inlineStr">
        <is>
          <t>Parking and other fees</t>
        </is>
      </c>
      <c r="C240" s="3" t="inlineStr">
        <is>
          <t>CUUR0000SETF03</t>
        </is>
      </c>
      <c r="D240" s="21" t="n">
        <v>0.189</v>
      </c>
      <c r="E240" s="22" t="n">
        <v>45992</v>
      </c>
      <c r="F240" s="3" t="n">
        <v>2024</v>
      </c>
      <c r="G240" s="10">
        <f>IFERROR(100*($D240*(INDEX('Data_NSA'!$A:$OK,MATCH(G$1,'Data_NSA'!$A:$A,0),MATCH($C240,'Data_NSA'!$1:$1,0))/INDEX('Data_NSA'!$A:$OK,MATCH($E240,'Data_NSA'!$A:$A,0),MATCH($C240,'Data_NSA'!$1:$1,0))))/(100*(INDEX('Data_NSA'!$A:$OK,MATCH(G$1,'Data_NSA'!$A:$A,0),MATCH("CUUR0000SA0",'Data_NSA'!$1:$1,0))/INDEX('Data_NSA'!$A:$OK,MATCH($E240,'Data_NSA'!$A:$A,0),MATCH("CUUR0000SA0",'Data_NSA'!$1:$1,0)))),"")</f>
        <v/>
      </c>
      <c r="H240" s="10">
        <f>IFERROR(100*($D240*(INDEX('Data_NSA'!$A:$OK,MATCH(H$1,'Data_NSA'!$A:$A,0),MATCH($C240,'Data_NSA'!$1:$1,0))/INDEX('Data_NSA'!$A:$OK,MATCH($E240,'Data_NSA'!$A:$A,0),MATCH($C240,'Data_NSA'!$1:$1,0))))/(100*(INDEX('Data_NSA'!$A:$OK,MATCH(H$1,'Data_NSA'!$A:$A,0),MATCH("CUUR0000SA0",'Data_NSA'!$1:$1,0))/INDEX('Data_NSA'!$A:$OK,MATCH($E240,'Data_NSA'!$A:$A,0),MATCH("CUUR0000SA0",'Data_NSA'!$1:$1,0)))),"")</f>
        <v/>
      </c>
      <c r="I240" s="10">
        <f>IFERROR(100*($D240*(INDEX('Data_NSA'!$A:$OK,MATCH(I$1,'Data_NSA'!$A:$A,0),MATCH($C240,'Data_NSA'!$1:$1,0))/INDEX('Data_NSA'!$A:$OK,MATCH($E240,'Data_NSA'!$A:$A,0),MATCH($C240,'Data_NSA'!$1:$1,0))))/(100*(INDEX('Data_NSA'!$A:$OK,MATCH(I$1,'Data_NSA'!$A:$A,0),MATCH("CUUR0000SA0",'Data_NSA'!$1:$1,0))/INDEX('Data_NSA'!$A:$OK,MATCH($E240,'Data_NSA'!$A:$A,0),MATCH("CUUR0000SA0",'Data_NSA'!$1:$1,0)))),"")</f>
        <v/>
      </c>
    </row>
    <row r="241">
      <c r="A241" s="3" t="inlineStr">
        <is>
          <t>SS52051</t>
        </is>
      </c>
      <c r="B241" s="3" t="inlineStr">
        <is>
          <t>Parking fees and tolls</t>
        </is>
      </c>
      <c r="C241" s="3" t="inlineStr">
        <is>
          <t>CUUR0000SS52051</t>
        </is>
      </c>
      <c r="D241" s="21" t="n"/>
      <c r="E241" s="22" t="n">
        <v>45992</v>
      </c>
      <c r="F241" s="3" t="n">
        <v>2024</v>
      </c>
      <c r="G241" s="10">
        <f>IFERROR(100*($D241*(INDEX('Data_NSA'!$A:$OK,MATCH(G$1,'Data_NSA'!$A:$A,0),MATCH($C241,'Data_NSA'!$1:$1,0))/INDEX('Data_NSA'!$A:$OK,MATCH($E241,'Data_NSA'!$A:$A,0),MATCH($C241,'Data_NSA'!$1:$1,0))))/(100*(INDEX('Data_NSA'!$A:$OK,MATCH(G$1,'Data_NSA'!$A:$A,0),MATCH("CUUR0000SA0",'Data_NSA'!$1:$1,0))/INDEX('Data_NSA'!$A:$OK,MATCH($E241,'Data_NSA'!$A:$A,0),MATCH("CUUR0000SA0",'Data_NSA'!$1:$1,0)))),"")</f>
        <v/>
      </c>
      <c r="H241" s="10">
        <f>IFERROR(100*($D241*(INDEX('Data_NSA'!$A:$OK,MATCH(H$1,'Data_NSA'!$A:$A,0),MATCH($C241,'Data_NSA'!$1:$1,0))/INDEX('Data_NSA'!$A:$OK,MATCH($E241,'Data_NSA'!$A:$A,0),MATCH($C241,'Data_NSA'!$1:$1,0))))/(100*(INDEX('Data_NSA'!$A:$OK,MATCH(H$1,'Data_NSA'!$A:$A,0),MATCH("CUUR0000SA0",'Data_NSA'!$1:$1,0))/INDEX('Data_NSA'!$A:$OK,MATCH($E241,'Data_NSA'!$A:$A,0),MATCH("CUUR0000SA0",'Data_NSA'!$1:$1,0)))),"")</f>
        <v/>
      </c>
      <c r="I241" s="10">
        <f>IFERROR(100*($D241*(INDEX('Data_NSA'!$A:$OK,MATCH(I$1,'Data_NSA'!$A:$A,0),MATCH($C241,'Data_NSA'!$1:$1,0))/INDEX('Data_NSA'!$A:$OK,MATCH($E241,'Data_NSA'!$A:$A,0),MATCH($C241,'Data_NSA'!$1:$1,0))))/(100*(INDEX('Data_NSA'!$A:$OK,MATCH(I$1,'Data_NSA'!$A:$A,0),MATCH("CUUR0000SA0",'Data_NSA'!$1:$1,0))/INDEX('Data_NSA'!$A:$OK,MATCH($E241,'Data_NSA'!$A:$A,0),MATCH("CUUR0000SA0",'Data_NSA'!$1:$1,0)))),"")</f>
        <v/>
      </c>
    </row>
    <row r="242">
      <c r="A242" s="3" t="inlineStr">
        <is>
          <t>SS62011</t>
        </is>
      </c>
      <c r="B242" s="3" t="inlineStr">
        <is>
          <t>Automobile service clubs</t>
        </is>
      </c>
      <c r="C242" s="3" t="inlineStr">
        <is>
          <t>CUUR0000SS62011</t>
        </is>
      </c>
      <c r="D242" s="21" t="n"/>
      <c r="E242" s="22" t="n">
        <v>45992</v>
      </c>
      <c r="F242" s="3" t="n">
        <v>2024</v>
      </c>
      <c r="G242" s="10">
        <f>IFERROR(100*($D242*(INDEX('Data_NSA'!$A:$OK,MATCH(G$1,'Data_NSA'!$A:$A,0),MATCH($C242,'Data_NSA'!$1:$1,0))/INDEX('Data_NSA'!$A:$OK,MATCH($E242,'Data_NSA'!$A:$A,0),MATCH($C242,'Data_NSA'!$1:$1,0))))/(100*(INDEX('Data_NSA'!$A:$OK,MATCH(G$1,'Data_NSA'!$A:$A,0),MATCH("CUUR0000SA0",'Data_NSA'!$1:$1,0))/INDEX('Data_NSA'!$A:$OK,MATCH($E242,'Data_NSA'!$A:$A,0),MATCH("CUUR0000SA0",'Data_NSA'!$1:$1,0)))),"")</f>
        <v/>
      </c>
      <c r="H242" s="10">
        <f>IFERROR(100*($D242*(INDEX('Data_NSA'!$A:$OK,MATCH(H$1,'Data_NSA'!$A:$A,0),MATCH($C242,'Data_NSA'!$1:$1,0))/INDEX('Data_NSA'!$A:$OK,MATCH($E242,'Data_NSA'!$A:$A,0),MATCH($C242,'Data_NSA'!$1:$1,0))))/(100*(INDEX('Data_NSA'!$A:$OK,MATCH(H$1,'Data_NSA'!$A:$A,0),MATCH("CUUR0000SA0",'Data_NSA'!$1:$1,0))/INDEX('Data_NSA'!$A:$OK,MATCH($E242,'Data_NSA'!$A:$A,0),MATCH("CUUR0000SA0",'Data_NSA'!$1:$1,0)))),"")</f>
        <v/>
      </c>
      <c r="I242" s="10">
        <f>IFERROR(100*($D242*(INDEX('Data_NSA'!$A:$OK,MATCH(I$1,'Data_NSA'!$A:$A,0),MATCH($C242,'Data_NSA'!$1:$1,0))/INDEX('Data_NSA'!$A:$OK,MATCH($E242,'Data_NSA'!$A:$A,0),MATCH($C242,'Data_NSA'!$1:$1,0))))/(100*(INDEX('Data_NSA'!$A:$OK,MATCH(I$1,'Data_NSA'!$A:$A,0),MATCH("CUUR0000SA0",'Data_NSA'!$1:$1,0))/INDEX('Data_NSA'!$A:$OK,MATCH($E242,'Data_NSA'!$A:$A,0),MATCH("CUUR0000SA0",'Data_NSA'!$1:$1,0)))),"")</f>
        <v/>
      </c>
    </row>
    <row r="243">
      <c r="A243" s="3" t="inlineStr">
        <is>
          <t>SETG</t>
        </is>
      </c>
      <c r="B243" s="3" t="inlineStr">
        <is>
          <t>Public transportation</t>
        </is>
      </c>
      <c r="C243" s="3" t="inlineStr">
        <is>
          <t>CUUR0000SETG</t>
        </is>
      </c>
      <c r="D243" s="21" t="n">
        <v>1.485</v>
      </c>
      <c r="E243" s="22" t="n">
        <v>45992</v>
      </c>
      <c r="F243" s="3" t="n">
        <v>2024</v>
      </c>
      <c r="G243" s="10">
        <f>IFERROR(100*($D243*(INDEX('Data_NSA'!$A:$OK,MATCH(G$1,'Data_NSA'!$A:$A,0),MATCH($C243,'Data_NSA'!$1:$1,0))/INDEX('Data_NSA'!$A:$OK,MATCH($E243,'Data_NSA'!$A:$A,0),MATCH($C243,'Data_NSA'!$1:$1,0))))/(100*(INDEX('Data_NSA'!$A:$OK,MATCH(G$1,'Data_NSA'!$A:$A,0),MATCH("CUUR0000SA0",'Data_NSA'!$1:$1,0))/INDEX('Data_NSA'!$A:$OK,MATCH($E243,'Data_NSA'!$A:$A,0),MATCH("CUUR0000SA0",'Data_NSA'!$1:$1,0)))),"")</f>
        <v/>
      </c>
      <c r="H243" s="10">
        <f>IFERROR(100*($D243*(INDEX('Data_NSA'!$A:$OK,MATCH(H$1,'Data_NSA'!$A:$A,0),MATCH($C243,'Data_NSA'!$1:$1,0))/INDEX('Data_NSA'!$A:$OK,MATCH($E243,'Data_NSA'!$A:$A,0),MATCH($C243,'Data_NSA'!$1:$1,0))))/(100*(INDEX('Data_NSA'!$A:$OK,MATCH(H$1,'Data_NSA'!$A:$A,0),MATCH("CUUR0000SA0",'Data_NSA'!$1:$1,0))/INDEX('Data_NSA'!$A:$OK,MATCH($E243,'Data_NSA'!$A:$A,0),MATCH("CUUR0000SA0",'Data_NSA'!$1:$1,0)))),"")</f>
        <v/>
      </c>
      <c r="I243" s="10">
        <f>IFERROR(100*($D243*(INDEX('Data_NSA'!$A:$OK,MATCH(I$1,'Data_NSA'!$A:$A,0),MATCH($C243,'Data_NSA'!$1:$1,0))/INDEX('Data_NSA'!$A:$OK,MATCH($E243,'Data_NSA'!$A:$A,0),MATCH($C243,'Data_NSA'!$1:$1,0))))/(100*(INDEX('Data_NSA'!$A:$OK,MATCH(I$1,'Data_NSA'!$A:$A,0),MATCH("CUUR0000SA0",'Data_NSA'!$1:$1,0))/INDEX('Data_NSA'!$A:$OK,MATCH($E243,'Data_NSA'!$A:$A,0),MATCH("CUUR0000SA0",'Data_NSA'!$1:$1,0)))),"")</f>
        <v/>
      </c>
    </row>
    <row r="244">
      <c r="A244" s="3" t="inlineStr">
        <is>
          <t>SETG01</t>
        </is>
      </c>
      <c r="B244" s="3" t="inlineStr">
        <is>
          <t>Airline fares</t>
        </is>
      </c>
      <c r="C244" s="3" t="inlineStr">
        <is>
          <t>CUUR0000SETG01</t>
        </is>
      </c>
      <c r="D244" s="21" t="n">
        <v>0.881</v>
      </c>
      <c r="E244" s="22" t="n">
        <v>45992</v>
      </c>
      <c r="F244" s="3" t="n">
        <v>2024</v>
      </c>
      <c r="G244" s="10">
        <f>IFERROR(100*($D244*(INDEX('Data_NSA'!$A:$OK,MATCH(G$1,'Data_NSA'!$A:$A,0),MATCH($C244,'Data_NSA'!$1:$1,0))/INDEX('Data_NSA'!$A:$OK,MATCH($E244,'Data_NSA'!$A:$A,0),MATCH($C244,'Data_NSA'!$1:$1,0))))/(100*(INDEX('Data_NSA'!$A:$OK,MATCH(G$1,'Data_NSA'!$A:$A,0),MATCH("CUUR0000SA0",'Data_NSA'!$1:$1,0))/INDEX('Data_NSA'!$A:$OK,MATCH($E244,'Data_NSA'!$A:$A,0),MATCH("CUUR0000SA0",'Data_NSA'!$1:$1,0)))),"")</f>
        <v/>
      </c>
      <c r="H244" s="10">
        <f>IFERROR(100*($D244*(INDEX('Data_NSA'!$A:$OK,MATCH(H$1,'Data_NSA'!$A:$A,0),MATCH($C244,'Data_NSA'!$1:$1,0))/INDEX('Data_NSA'!$A:$OK,MATCH($E244,'Data_NSA'!$A:$A,0),MATCH($C244,'Data_NSA'!$1:$1,0))))/(100*(INDEX('Data_NSA'!$A:$OK,MATCH(H$1,'Data_NSA'!$A:$A,0),MATCH("CUUR0000SA0",'Data_NSA'!$1:$1,0))/INDEX('Data_NSA'!$A:$OK,MATCH($E244,'Data_NSA'!$A:$A,0),MATCH("CUUR0000SA0",'Data_NSA'!$1:$1,0)))),"")</f>
        <v/>
      </c>
      <c r="I244" s="10">
        <f>IFERROR(100*($D244*(INDEX('Data_NSA'!$A:$OK,MATCH(I$1,'Data_NSA'!$A:$A,0),MATCH($C244,'Data_NSA'!$1:$1,0))/INDEX('Data_NSA'!$A:$OK,MATCH($E244,'Data_NSA'!$A:$A,0),MATCH($C244,'Data_NSA'!$1:$1,0))))/(100*(INDEX('Data_NSA'!$A:$OK,MATCH(I$1,'Data_NSA'!$A:$A,0),MATCH("CUUR0000SA0",'Data_NSA'!$1:$1,0))/INDEX('Data_NSA'!$A:$OK,MATCH($E244,'Data_NSA'!$A:$A,0),MATCH("CUUR0000SA0",'Data_NSA'!$1:$1,0)))),"")</f>
        <v/>
      </c>
    </row>
    <row r="245">
      <c r="A245" s="3" t="inlineStr">
        <is>
          <t>SETG02</t>
        </is>
      </c>
      <c r="B245" s="3" t="inlineStr">
        <is>
          <t>Other intercity transportation</t>
        </is>
      </c>
      <c r="C245" s="3" t="inlineStr">
        <is>
          <t>CUUR0000SETG02</t>
        </is>
      </c>
      <c r="D245" s="21" t="n">
        <v>0.244</v>
      </c>
      <c r="E245" s="22" t="n">
        <v>45992</v>
      </c>
      <c r="F245" s="3" t="n">
        <v>2024</v>
      </c>
      <c r="G245" s="10">
        <f>IFERROR(100*($D245*(INDEX('Data_NSA'!$A:$OK,MATCH(G$1,'Data_NSA'!$A:$A,0),MATCH($C245,'Data_NSA'!$1:$1,0))/INDEX('Data_NSA'!$A:$OK,MATCH($E245,'Data_NSA'!$A:$A,0),MATCH($C245,'Data_NSA'!$1:$1,0))))/(100*(INDEX('Data_NSA'!$A:$OK,MATCH(G$1,'Data_NSA'!$A:$A,0),MATCH("CUUR0000SA0",'Data_NSA'!$1:$1,0))/INDEX('Data_NSA'!$A:$OK,MATCH($E245,'Data_NSA'!$A:$A,0),MATCH("CUUR0000SA0",'Data_NSA'!$1:$1,0)))),"")</f>
        <v/>
      </c>
      <c r="H245" s="10">
        <f>IFERROR(100*($D245*(INDEX('Data_NSA'!$A:$OK,MATCH(H$1,'Data_NSA'!$A:$A,0),MATCH($C245,'Data_NSA'!$1:$1,0))/INDEX('Data_NSA'!$A:$OK,MATCH($E245,'Data_NSA'!$A:$A,0),MATCH($C245,'Data_NSA'!$1:$1,0))))/(100*(INDEX('Data_NSA'!$A:$OK,MATCH(H$1,'Data_NSA'!$A:$A,0),MATCH("CUUR0000SA0",'Data_NSA'!$1:$1,0))/INDEX('Data_NSA'!$A:$OK,MATCH($E245,'Data_NSA'!$A:$A,0),MATCH("CUUR0000SA0",'Data_NSA'!$1:$1,0)))),"")</f>
        <v/>
      </c>
      <c r="I245" s="10">
        <f>IFERROR(100*($D245*(INDEX('Data_NSA'!$A:$OK,MATCH(I$1,'Data_NSA'!$A:$A,0),MATCH($C245,'Data_NSA'!$1:$1,0))/INDEX('Data_NSA'!$A:$OK,MATCH($E245,'Data_NSA'!$A:$A,0),MATCH($C245,'Data_NSA'!$1:$1,0))))/(100*(INDEX('Data_NSA'!$A:$OK,MATCH(I$1,'Data_NSA'!$A:$A,0),MATCH("CUUR0000SA0",'Data_NSA'!$1:$1,0))/INDEX('Data_NSA'!$A:$OK,MATCH($E245,'Data_NSA'!$A:$A,0),MATCH("CUUR0000SA0",'Data_NSA'!$1:$1,0)))),"")</f>
        <v/>
      </c>
    </row>
    <row r="246">
      <c r="A246" s="3" t="inlineStr">
        <is>
          <t>SS53021</t>
        </is>
      </c>
      <c r="B246" s="3" t="inlineStr">
        <is>
          <t>Intercity bus fare</t>
        </is>
      </c>
      <c r="C246" s="3" t="inlineStr">
        <is>
          <t>CUUR0000SS53021</t>
        </is>
      </c>
      <c r="D246" s="21" t="n"/>
      <c r="E246" s="22" t="n">
        <v>45992</v>
      </c>
      <c r="F246" s="3" t="n">
        <v>2024</v>
      </c>
      <c r="G246" s="10">
        <f>IFERROR(100*($D246*(INDEX('Data_NSA'!$A:$OK,MATCH(G$1,'Data_NSA'!$A:$A,0),MATCH($C246,'Data_NSA'!$1:$1,0))/INDEX('Data_NSA'!$A:$OK,MATCH($E246,'Data_NSA'!$A:$A,0),MATCH($C246,'Data_NSA'!$1:$1,0))))/(100*(INDEX('Data_NSA'!$A:$OK,MATCH(G$1,'Data_NSA'!$A:$A,0),MATCH("CUUR0000SA0",'Data_NSA'!$1:$1,0))/INDEX('Data_NSA'!$A:$OK,MATCH($E246,'Data_NSA'!$A:$A,0),MATCH("CUUR0000SA0",'Data_NSA'!$1:$1,0)))),"")</f>
        <v/>
      </c>
      <c r="H246" s="10">
        <f>IFERROR(100*($D246*(INDEX('Data_NSA'!$A:$OK,MATCH(H$1,'Data_NSA'!$A:$A,0),MATCH($C246,'Data_NSA'!$1:$1,0))/INDEX('Data_NSA'!$A:$OK,MATCH($E246,'Data_NSA'!$A:$A,0),MATCH($C246,'Data_NSA'!$1:$1,0))))/(100*(INDEX('Data_NSA'!$A:$OK,MATCH(H$1,'Data_NSA'!$A:$A,0),MATCH("CUUR0000SA0",'Data_NSA'!$1:$1,0))/INDEX('Data_NSA'!$A:$OK,MATCH($E246,'Data_NSA'!$A:$A,0),MATCH("CUUR0000SA0",'Data_NSA'!$1:$1,0)))),"")</f>
        <v/>
      </c>
      <c r="I246" s="10">
        <f>IFERROR(100*($D246*(INDEX('Data_NSA'!$A:$OK,MATCH(I$1,'Data_NSA'!$A:$A,0),MATCH($C246,'Data_NSA'!$1:$1,0))/INDEX('Data_NSA'!$A:$OK,MATCH($E246,'Data_NSA'!$A:$A,0),MATCH($C246,'Data_NSA'!$1:$1,0))))/(100*(INDEX('Data_NSA'!$A:$OK,MATCH(I$1,'Data_NSA'!$A:$A,0),MATCH("CUUR0000SA0",'Data_NSA'!$1:$1,0))/INDEX('Data_NSA'!$A:$OK,MATCH($E246,'Data_NSA'!$A:$A,0),MATCH("CUUR0000SA0",'Data_NSA'!$1:$1,0)))),"")</f>
        <v/>
      </c>
    </row>
    <row r="247">
      <c r="A247" s="3" t="inlineStr">
        <is>
          <t>SS53022</t>
        </is>
      </c>
      <c r="B247" s="3" t="inlineStr">
        <is>
          <t>Intercity train fare</t>
        </is>
      </c>
      <c r="C247" s="3" t="inlineStr">
        <is>
          <t>CUUR0000SS53022</t>
        </is>
      </c>
      <c r="D247" s="21" t="n"/>
      <c r="E247" s="22" t="n">
        <v>45992</v>
      </c>
      <c r="F247" s="3" t="n">
        <v>2024</v>
      </c>
      <c r="G247" s="10">
        <f>IFERROR(100*($D247*(INDEX('Data_NSA'!$A:$OK,MATCH(G$1,'Data_NSA'!$A:$A,0),MATCH($C247,'Data_NSA'!$1:$1,0))/INDEX('Data_NSA'!$A:$OK,MATCH($E247,'Data_NSA'!$A:$A,0),MATCH($C247,'Data_NSA'!$1:$1,0))))/(100*(INDEX('Data_NSA'!$A:$OK,MATCH(G$1,'Data_NSA'!$A:$A,0),MATCH("CUUR0000SA0",'Data_NSA'!$1:$1,0))/INDEX('Data_NSA'!$A:$OK,MATCH($E247,'Data_NSA'!$A:$A,0),MATCH("CUUR0000SA0",'Data_NSA'!$1:$1,0)))),"")</f>
        <v/>
      </c>
      <c r="H247" s="10">
        <f>IFERROR(100*($D247*(INDEX('Data_NSA'!$A:$OK,MATCH(H$1,'Data_NSA'!$A:$A,0),MATCH($C247,'Data_NSA'!$1:$1,0))/INDEX('Data_NSA'!$A:$OK,MATCH($E247,'Data_NSA'!$A:$A,0),MATCH($C247,'Data_NSA'!$1:$1,0))))/(100*(INDEX('Data_NSA'!$A:$OK,MATCH(H$1,'Data_NSA'!$A:$A,0),MATCH("CUUR0000SA0",'Data_NSA'!$1:$1,0))/INDEX('Data_NSA'!$A:$OK,MATCH($E247,'Data_NSA'!$A:$A,0),MATCH("CUUR0000SA0",'Data_NSA'!$1:$1,0)))),"")</f>
        <v/>
      </c>
      <c r="I247" s="10">
        <f>IFERROR(100*($D247*(INDEX('Data_NSA'!$A:$OK,MATCH(I$1,'Data_NSA'!$A:$A,0),MATCH($C247,'Data_NSA'!$1:$1,0))/INDEX('Data_NSA'!$A:$OK,MATCH($E247,'Data_NSA'!$A:$A,0),MATCH($C247,'Data_NSA'!$1:$1,0))))/(100*(INDEX('Data_NSA'!$A:$OK,MATCH(I$1,'Data_NSA'!$A:$A,0),MATCH("CUUR0000SA0",'Data_NSA'!$1:$1,0))/INDEX('Data_NSA'!$A:$OK,MATCH($E247,'Data_NSA'!$A:$A,0),MATCH("CUUR0000SA0",'Data_NSA'!$1:$1,0)))),"")</f>
        <v/>
      </c>
    </row>
    <row r="248">
      <c r="A248" s="3" t="inlineStr">
        <is>
          <t>SS53023</t>
        </is>
      </c>
      <c r="B248" s="3" t="inlineStr">
        <is>
          <t>Ship fare</t>
        </is>
      </c>
      <c r="C248" s="3" t="inlineStr">
        <is>
          <t>CUUR0000SS53023</t>
        </is>
      </c>
      <c r="D248" s="21" t="n"/>
      <c r="E248" s="22" t="n">
        <v>45992</v>
      </c>
      <c r="F248" s="3" t="n">
        <v>2024</v>
      </c>
      <c r="G248" s="10">
        <f>IFERROR(100*($D248*(INDEX('Data_NSA'!$A:$OK,MATCH(G$1,'Data_NSA'!$A:$A,0),MATCH($C248,'Data_NSA'!$1:$1,0))/INDEX('Data_NSA'!$A:$OK,MATCH($E248,'Data_NSA'!$A:$A,0),MATCH($C248,'Data_NSA'!$1:$1,0))))/(100*(INDEX('Data_NSA'!$A:$OK,MATCH(G$1,'Data_NSA'!$A:$A,0),MATCH("CUUR0000SA0",'Data_NSA'!$1:$1,0))/INDEX('Data_NSA'!$A:$OK,MATCH($E248,'Data_NSA'!$A:$A,0),MATCH("CUUR0000SA0",'Data_NSA'!$1:$1,0)))),"")</f>
        <v/>
      </c>
      <c r="H248" s="10">
        <f>IFERROR(100*($D248*(INDEX('Data_NSA'!$A:$OK,MATCH(H$1,'Data_NSA'!$A:$A,0),MATCH($C248,'Data_NSA'!$1:$1,0))/INDEX('Data_NSA'!$A:$OK,MATCH($E248,'Data_NSA'!$A:$A,0),MATCH($C248,'Data_NSA'!$1:$1,0))))/(100*(INDEX('Data_NSA'!$A:$OK,MATCH(H$1,'Data_NSA'!$A:$A,0),MATCH("CUUR0000SA0",'Data_NSA'!$1:$1,0))/INDEX('Data_NSA'!$A:$OK,MATCH($E248,'Data_NSA'!$A:$A,0),MATCH("CUUR0000SA0",'Data_NSA'!$1:$1,0)))),"")</f>
        <v/>
      </c>
      <c r="I248" s="10">
        <f>IFERROR(100*($D248*(INDEX('Data_NSA'!$A:$OK,MATCH(I$1,'Data_NSA'!$A:$A,0),MATCH($C248,'Data_NSA'!$1:$1,0))/INDEX('Data_NSA'!$A:$OK,MATCH($E248,'Data_NSA'!$A:$A,0),MATCH($C248,'Data_NSA'!$1:$1,0))))/(100*(INDEX('Data_NSA'!$A:$OK,MATCH(I$1,'Data_NSA'!$A:$A,0),MATCH("CUUR0000SA0",'Data_NSA'!$1:$1,0))/INDEX('Data_NSA'!$A:$OK,MATCH($E248,'Data_NSA'!$A:$A,0),MATCH("CUUR0000SA0",'Data_NSA'!$1:$1,0)))),"")</f>
        <v/>
      </c>
    </row>
    <row r="249">
      <c r="A249" s="3" t="inlineStr">
        <is>
          <t>SETG03</t>
        </is>
      </c>
      <c r="B249" s="3" t="inlineStr">
        <is>
          <t>Intracity transportation</t>
        </is>
      </c>
      <c r="C249" s="3" t="inlineStr">
        <is>
          <t>CUUR0000SETG03</t>
        </is>
      </c>
      <c r="D249" s="21" t="n">
        <v>0.355</v>
      </c>
      <c r="E249" s="22" t="n">
        <v>45992</v>
      </c>
      <c r="F249" s="3" t="n">
        <v>2024</v>
      </c>
      <c r="G249" s="10">
        <f>IFERROR(100*($D249*(INDEX('Data_NSA'!$A:$OK,MATCH(G$1,'Data_NSA'!$A:$A,0),MATCH($C249,'Data_NSA'!$1:$1,0))/INDEX('Data_NSA'!$A:$OK,MATCH($E249,'Data_NSA'!$A:$A,0),MATCH($C249,'Data_NSA'!$1:$1,0))))/(100*(INDEX('Data_NSA'!$A:$OK,MATCH(G$1,'Data_NSA'!$A:$A,0),MATCH("CUUR0000SA0",'Data_NSA'!$1:$1,0))/INDEX('Data_NSA'!$A:$OK,MATCH($E249,'Data_NSA'!$A:$A,0),MATCH("CUUR0000SA0",'Data_NSA'!$1:$1,0)))),"")</f>
        <v/>
      </c>
      <c r="H249" s="10">
        <f>IFERROR(100*($D249*(INDEX('Data_NSA'!$A:$OK,MATCH(H$1,'Data_NSA'!$A:$A,0),MATCH($C249,'Data_NSA'!$1:$1,0))/INDEX('Data_NSA'!$A:$OK,MATCH($E249,'Data_NSA'!$A:$A,0),MATCH($C249,'Data_NSA'!$1:$1,0))))/(100*(INDEX('Data_NSA'!$A:$OK,MATCH(H$1,'Data_NSA'!$A:$A,0),MATCH("CUUR0000SA0",'Data_NSA'!$1:$1,0))/INDEX('Data_NSA'!$A:$OK,MATCH($E249,'Data_NSA'!$A:$A,0),MATCH("CUUR0000SA0",'Data_NSA'!$1:$1,0)))),"")</f>
        <v/>
      </c>
      <c r="I249" s="10">
        <f>IFERROR(100*($D249*(INDEX('Data_NSA'!$A:$OK,MATCH(I$1,'Data_NSA'!$A:$A,0),MATCH($C249,'Data_NSA'!$1:$1,0))/INDEX('Data_NSA'!$A:$OK,MATCH($E249,'Data_NSA'!$A:$A,0),MATCH($C249,'Data_NSA'!$1:$1,0))))/(100*(INDEX('Data_NSA'!$A:$OK,MATCH(I$1,'Data_NSA'!$A:$A,0),MATCH("CUUR0000SA0",'Data_NSA'!$1:$1,0))/INDEX('Data_NSA'!$A:$OK,MATCH($E249,'Data_NSA'!$A:$A,0),MATCH("CUUR0000SA0",'Data_NSA'!$1:$1,0)))),"")</f>
        <v/>
      </c>
    </row>
    <row r="250">
      <c r="A250" s="3" t="inlineStr">
        <is>
          <t>SS53031</t>
        </is>
      </c>
      <c r="B250" s="3" t="inlineStr">
        <is>
          <t>Intracity mass transit</t>
        </is>
      </c>
      <c r="C250" s="3" t="inlineStr">
        <is>
          <t>CUUR0000SS53031</t>
        </is>
      </c>
      <c r="D250" s="21" t="n"/>
      <c r="E250" s="22" t="n">
        <v>45992</v>
      </c>
      <c r="F250" s="3" t="n">
        <v>2024</v>
      </c>
      <c r="G250" s="10">
        <f>IFERROR(100*($D250*(INDEX('Data_NSA'!$A:$OK,MATCH(G$1,'Data_NSA'!$A:$A,0),MATCH($C250,'Data_NSA'!$1:$1,0))/INDEX('Data_NSA'!$A:$OK,MATCH($E250,'Data_NSA'!$A:$A,0),MATCH($C250,'Data_NSA'!$1:$1,0))))/(100*(INDEX('Data_NSA'!$A:$OK,MATCH(G$1,'Data_NSA'!$A:$A,0),MATCH("CUUR0000SA0",'Data_NSA'!$1:$1,0))/INDEX('Data_NSA'!$A:$OK,MATCH($E250,'Data_NSA'!$A:$A,0),MATCH("CUUR0000SA0",'Data_NSA'!$1:$1,0)))),"")</f>
        <v/>
      </c>
      <c r="H250" s="10">
        <f>IFERROR(100*($D250*(INDEX('Data_NSA'!$A:$OK,MATCH(H$1,'Data_NSA'!$A:$A,0),MATCH($C250,'Data_NSA'!$1:$1,0))/INDEX('Data_NSA'!$A:$OK,MATCH($E250,'Data_NSA'!$A:$A,0),MATCH($C250,'Data_NSA'!$1:$1,0))))/(100*(INDEX('Data_NSA'!$A:$OK,MATCH(H$1,'Data_NSA'!$A:$A,0),MATCH("CUUR0000SA0",'Data_NSA'!$1:$1,0))/INDEX('Data_NSA'!$A:$OK,MATCH($E250,'Data_NSA'!$A:$A,0),MATCH("CUUR0000SA0",'Data_NSA'!$1:$1,0)))),"")</f>
        <v/>
      </c>
      <c r="I250" s="10">
        <f>IFERROR(100*($D250*(INDEX('Data_NSA'!$A:$OK,MATCH(I$1,'Data_NSA'!$A:$A,0),MATCH($C250,'Data_NSA'!$1:$1,0))/INDEX('Data_NSA'!$A:$OK,MATCH($E250,'Data_NSA'!$A:$A,0),MATCH($C250,'Data_NSA'!$1:$1,0))))/(100*(INDEX('Data_NSA'!$A:$OK,MATCH(I$1,'Data_NSA'!$A:$A,0),MATCH("CUUR0000SA0",'Data_NSA'!$1:$1,0))/INDEX('Data_NSA'!$A:$OK,MATCH($E250,'Data_NSA'!$A:$A,0),MATCH("CUUR0000SA0",'Data_NSA'!$1:$1,0)))),"")</f>
        <v/>
      </c>
    </row>
    <row r="251">
      <c r="A251" s="3" t="inlineStr">
        <is>
          <t>SAM</t>
        </is>
      </c>
      <c r="B251" s="3" t="inlineStr">
        <is>
          <t>Medical care</t>
        </is>
      </c>
      <c r="C251" s="3" t="inlineStr">
        <is>
          <t>CUUR0000SAM</t>
        </is>
      </c>
      <c r="D251" s="21" t="n">
        <v>8.423</v>
      </c>
      <c r="E251" s="22" t="n">
        <v>45992</v>
      </c>
      <c r="F251" s="3" t="n">
        <v>2024</v>
      </c>
      <c r="G251" s="10">
        <f>IFERROR(100*($D251*(INDEX('Data_NSA'!$A:$OK,MATCH(G$1,'Data_NSA'!$A:$A,0),MATCH($C251,'Data_NSA'!$1:$1,0))/INDEX('Data_NSA'!$A:$OK,MATCH($E251,'Data_NSA'!$A:$A,0),MATCH($C251,'Data_NSA'!$1:$1,0))))/(100*(INDEX('Data_NSA'!$A:$OK,MATCH(G$1,'Data_NSA'!$A:$A,0),MATCH("CUUR0000SA0",'Data_NSA'!$1:$1,0))/INDEX('Data_NSA'!$A:$OK,MATCH($E251,'Data_NSA'!$A:$A,0),MATCH("CUUR0000SA0",'Data_NSA'!$1:$1,0)))),"")</f>
        <v/>
      </c>
      <c r="H251" s="10">
        <f>IFERROR(100*($D251*(INDEX('Data_NSA'!$A:$OK,MATCH(H$1,'Data_NSA'!$A:$A,0),MATCH($C251,'Data_NSA'!$1:$1,0))/INDEX('Data_NSA'!$A:$OK,MATCH($E251,'Data_NSA'!$A:$A,0),MATCH($C251,'Data_NSA'!$1:$1,0))))/(100*(INDEX('Data_NSA'!$A:$OK,MATCH(H$1,'Data_NSA'!$A:$A,0),MATCH("CUUR0000SA0",'Data_NSA'!$1:$1,0))/INDEX('Data_NSA'!$A:$OK,MATCH($E251,'Data_NSA'!$A:$A,0),MATCH("CUUR0000SA0",'Data_NSA'!$1:$1,0)))),"")</f>
        <v/>
      </c>
      <c r="I251" s="10">
        <f>IFERROR(100*($D251*(INDEX('Data_NSA'!$A:$OK,MATCH(I$1,'Data_NSA'!$A:$A,0),MATCH($C251,'Data_NSA'!$1:$1,0))/INDEX('Data_NSA'!$A:$OK,MATCH($E251,'Data_NSA'!$A:$A,0),MATCH($C251,'Data_NSA'!$1:$1,0))))/(100*(INDEX('Data_NSA'!$A:$OK,MATCH(I$1,'Data_NSA'!$A:$A,0),MATCH("CUUR0000SA0",'Data_NSA'!$1:$1,0))/INDEX('Data_NSA'!$A:$OK,MATCH($E251,'Data_NSA'!$A:$A,0),MATCH("CUUR0000SA0",'Data_NSA'!$1:$1,0)))),"")</f>
        <v/>
      </c>
    </row>
    <row r="252">
      <c r="A252" s="3" t="inlineStr">
        <is>
          <t>SAM1</t>
        </is>
      </c>
      <c r="B252" s="3" t="inlineStr">
        <is>
          <t>Medical care commodities</t>
        </is>
      </c>
      <c r="C252" s="3" t="inlineStr">
        <is>
          <t>CUUR0000SAM1</t>
        </is>
      </c>
      <c r="D252" s="21" t="n">
        <v>1.489</v>
      </c>
      <c r="E252" s="22" t="n">
        <v>45992</v>
      </c>
      <c r="F252" s="3" t="n">
        <v>2024</v>
      </c>
      <c r="G252" s="10">
        <f>IFERROR(100*($D252*(INDEX('Data_NSA'!$A:$OK,MATCH(G$1,'Data_NSA'!$A:$A,0),MATCH($C252,'Data_NSA'!$1:$1,0))/INDEX('Data_NSA'!$A:$OK,MATCH($E252,'Data_NSA'!$A:$A,0),MATCH($C252,'Data_NSA'!$1:$1,0))))/(100*(INDEX('Data_NSA'!$A:$OK,MATCH(G$1,'Data_NSA'!$A:$A,0),MATCH("CUUR0000SA0",'Data_NSA'!$1:$1,0))/INDEX('Data_NSA'!$A:$OK,MATCH($E252,'Data_NSA'!$A:$A,0),MATCH("CUUR0000SA0",'Data_NSA'!$1:$1,0)))),"")</f>
        <v/>
      </c>
      <c r="H252" s="10">
        <f>IFERROR(100*($D252*(INDEX('Data_NSA'!$A:$OK,MATCH(H$1,'Data_NSA'!$A:$A,0),MATCH($C252,'Data_NSA'!$1:$1,0))/INDEX('Data_NSA'!$A:$OK,MATCH($E252,'Data_NSA'!$A:$A,0),MATCH($C252,'Data_NSA'!$1:$1,0))))/(100*(INDEX('Data_NSA'!$A:$OK,MATCH(H$1,'Data_NSA'!$A:$A,0),MATCH("CUUR0000SA0",'Data_NSA'!$1:$1,0))/INDEX('Data_NSA'!$A:$OK,MATCH($E252,'Data_NSA'!$A:$A,0),MATCH("CUUR0000SA0",'Data_NSA'!$1:$1,0)))),"")</f>
        <v/>
      </c>
      <c r="I252" s="10">
        <f>IFERROR(100*($D252*(INDEX('Data_NSA'!$A:$OK,MATCH(I$1,'Data_NSA'!$A:$A,0),MATCH($C252,'Data_NSA'!$1:$1,0))/INDEX('Data_NSA'!$A:$OK,MATCH($E252,'Data_NSA'!$A:$A,0),MATCH($C252,'Data_NSA'!$1:$1,0))))/(100*(INDEX('Data_NSA'!$A:$OK,MATCH(I$1,'Data_NSA'!$A:$A,0),MATCH("CUUR0000SA0",'Data_NSA'!$1:$1,0))/INDEX('Data_NSA'!$A:$OK,MATCH($E252,'Data_NSA'!$A:$A,0),MATCH("CUUR0000SA0",'Data_NSA'!$1:$1,0)))),"")</f>
        <v/>
      </c>
    </row>
    <row r="253">
      <c r="A253" s="3" t="inlineStr">
        <is>
          <t>SEMF</t>
        </is>
      </c>
      <c r="B253" s="3" t="inlineStr">
        <is>
          <t>Medicinal drugs</t>
        </is>
      </c>
      <c r="C253" s="3" t="inlineStr">
        <is>
          <t>CUUR0000SEMF</t>
        </is>
      </c>
      <c r="D253" s="21" t="n">
        <v>1.354</v>
      </c>
      <c r="E253" s="22" t="n">
        <v>45992</v>
      </c>
      <c r="F253" s="3" t="n">
        <v>2024</v>
      </c>
      <c r="G253" s="10">
        <f>IFERROR(100*($D253*(INDEX('Data_NSA'!$A:$OK,MATCH(G$1,'Data_NSA'!$A:$A,0),MATCH($C253,'Data_NSA'!$1:$1,0))/INDEX('Data_NSA'!$A:$OK,MATCH($E253,'Data_NSA'!$A:$A,0),MATCH($C253,'Data_NSA'!$1:$1,0))))/(100*(INDEX('Data_NSA'!$A:$OK,MATCH(G$1,'Data_NSA'!$A:$A,0),MATCH("CUUR0000SA0",'Data_NSA'!$1:$1,0))/INDEX('Data_NSA'!$A:$OK,MATCH($E253,'Data_NSA'!$A:$A,0),MATCH("CUUR0000SA0",'Data_NSA'!$1:$1,0)))),"")</f>
        <v/>
      </c>
      <c r="H253" s="10">
        <f>IFERROR(100*($D253*(INDEX('Data_NSA'!$A:$OK,MATCH(H$1,'Data_NSA'!$A:$A,0),MATCH($C253,'Data_NSA'!$1:$1,0))/INDEX('Data_NSA'!$A:$OK,MATCH($E253,'Data_NSA'!$A:$A,0),MATCH($C253,'Data_NSA'!$1:$1,0))))/(100*(INDEX('Data_NSA'!$A:$OK,MATCH(H$1,'Data_NSA'!$A:$A,0),MATCH("CUUR0000SA0",'Data_NSA'!$1:$1,0))/INDEX('Data_NSA'!$A:$OK,MATCH($E253,'Data_NSA'!$A:$A,0),MATCH("CUUR0000SA0",'Data_NSA'!$1:$1,0)))),"")</f>
        <v/>
      </c>
      <c r="I253" s="10">
        <f>IFERROR(100*($D253*(INDEX('Data_NSA'!$A:$OK,MATCH(I$1,'Data_NSA'!$A:$A,0),MATCH($C253,'Data_NSA'!$1:$1,0))/INDEX('Data_NSA'!$A:$OK,MATCH($E253,'Data_NSA'!$A:$A,0),MATCH($C253,'Data_NSA'!$1:$1,0))))/(100*(INDEX('Data_NSA'!$A:$OK,MATCH(I$1,'Data_NSA'!$A:$A,0),MATCH("CUUR0000SA0",'Data_NSA'!$1:$1,0))/INDEX('Data_NSA'!$A:$OK,MATCH($E253,'Data_NSA'!$A:$A,0),MATCH("CUUR0000SA0",'Data_NSA'!$1:$1,0)))),"")</f>
        <v/>
      </c>
    </row>
    <row r="254">
      <c r="A254" s="3" t="inlineStr">
        <is>
          <t>SEMF01</t>
        </is>
      </c>
      <c r="B254" s="3" t="inlineStr">
        <is>
          <t>Prescription drugs</t>
        </is>
      </c>
      <c r="C254" s="3" t="inlineStr">
        <is>
          <t>CUUR0000SEMF01</t>
        </is>
      </c>
      <c r="D254" s="21" t="n">
        <v>0.973</v>
      </c>
      <c r="E254" s="22" t="n">
        <v>45992</v>
      </c>
      <c r="F254" s="3" t="n">
        <v>2024</v>
      </c>
      <c r="G254" s="10">
        <f>IFERROR(100*($D254*(INDEX('Data_NSA'!$A:$OK,MATCH(G$1,'Data_NSA'!$A:$A,0),MATCH($C254,'Data_NSA'!$1:$1,0))/INDEX('Data_NSA'!$A:$OK,MATCH($E254,'Data_NSA'!$A:$A,0),MATCH($C254,'Data_NSA'!$1:$1,0))))/(100*(INDEX('Data_NSA'!$A:$OK,MATCH(G$1,'Data_NSA'!$A:$A,0),MATCH("CUUR0000SA0",'Data_NSA'!$1:$1,0))/INDEX('Data_NSA'!$A:$OK,MATCH($E254,'Data_NSA'!$A:$A,0),MATCH("CUUR0000SA0",'Data_NSA'!$1:$1,0)))),"")</f>
        <v/>
      </c>
      <c r="H254" s="10">
        <f>IFERROR(100*($D254*(INDEX('Data_NSA'!$A:$OK,MATCH(H$1,'Data_NSA'!$A:$A,0),MATCH($C254,'Data_NSA'!$1:$1,0))/INDEX('Data_NSA'!$A:$OK,MATCH($E254,'Data_NSA'!$A:$A,0),MATCH($C254,'Data_NSA'!$1:$1,0))))/(100*(INDEX('Data_NSA'!$A:$OK,MATCH(H$1,'Data_NSA'!$A:$A,0),MATCH("CUUR0000SA0",'Data_NSA'!$1:$1,0))/INDEX('Data_NSA'!$A:$OK,MATCH($E254,'Data_NSA'!$A:$A,0),MATCH("CUUR0000SA0",'Data_NSA'!$1:$1,0)))),"")</f>
        <v/>
      </c>
      <c r="I254" s="10">
        <f>IFERROR(100*($D254*(INDEX('Data_NSA'!$A:$OK,MATCH(I$1,'Data_NSA'!$A:$A,0),MATCH($C254,'Data_NSA'!$1:$1,0))/INDEX('Data_NSA'!$A:$OK,MATCH($E254,'Data_NSA'!$A:$A,0),MATCH($C254,'Data_NSA'!$1:$1,0))))/(100*(INDEX('Data_NSA'!$A:$OK,MATCH(I$1,'Data_NSA'!$A:$A,0),MATCH("CUUR0000SA0",'Data_NSA'!$1:$1,0))/INDEX('Data_NSA'!$A:$OK,MATCH($E254,'Data_NSA'!$A:$A,0),MATCH("CUUR0000SA0",'Data_NSA'!$1:$1,0)))),"")</f>
        <v/>
      </c>
    </row>
    <row r="255">
      <c r="A255" s="3" t="inlineStr">
        <is>
          <t>SEMF02</t>
        </is>
      </c>
      <c r="B255" s="3" t="inlineStr">
        <is>
          <t>Nonprescription drugs</t>
        </is>
      </c>
      <c r="C255" s="3" t="inlineStr">
        <is>
          <t>CUUR0000SEMF02</t>
        </is>
      </c>
      <c r="D255" s="21" t="n">
        <v>0.381</v>
      </c>
      <c r="E255" s="22" t="n">
        <v>45992</v>
      </c>
      <c r="F255" s="3" t="n">
        <v>2024</v>
      </c>
      <c r="G255" s="10">
        <f>IFERROR(100*($D255*(INDEX('Data_NSA'!$A:$OK,MATCH(G$1,'Data_NSA'!$A:$A,0),MATCH($C255,'Data_NSA'!$1:$1,0))/INDEX('Data_NSA'!$A:$OK,MATCH($E255,'Data_NSA'!$A:$A,0),MATCH($C255,'Data_NSA'!$1:$1,0))))/(100*(INDEX('Data_NSA'!$A:$OK,MATCH(G$1,'Data_NSA'!$A:$A,0),MATCH("CUUR0000SA0",'Data_NSA'!$1:$1,0))/INDEX('Data_NSA'!$A:$OK,MATCH($E255,'Data_NSA'!$A:$A,0),MATCH("CUUR0000SA0",'Data_NSA'!$1:$1,0)))),"")</f>
        <v/>
      </c>
      <c r="H255" s="10">
        <f>IFERROR(100*($D255*(INDEX('Data_NSA'!$A:$OK,MATCH(H$1,'Data_NSA'!$A:$A,0),MATCH($C255,'Data_NSA'!$1:$1,0))/INDEX('Data_NSA'!$A:$OK,MATCH($E255,'Data_NSA'!$A:$A,0),MATCH($C255,'Data_NSA'!$1:$1,0))))/(100*(INDEX('Data_NSA'!$A:$OK,MATCH(H$1,'Data_NSA'!$A:$A,0),MATCH("CUUR0000SA0",'Data_NSA'!$1:$1,0))/INDEX('Data_NSA'!$A:$OK,MATCH($E255,'Data_NSA'!$A:$A,0),MATCH("CUUR0000SA0",'Data_NSA'!$1:$1,0)))),"")</f>
        <v/>
      </c>
      <c r="I255" s="10">
        <f>IFERROR(100*($D255*(INDEX('Data_NSA'!$A:$OK,MATCH(I$1,'Data_NSA'!$A:$A,0),MATCH($C255,'Data_NSA'!$1:$1,0))/INDEX('Data_NSA'!$A:$OK,MATCH($E255,'Data_NSA'!$A:$A,0),MATCH($C255,'Data_NSA'!$1:$1,0))))/(100*(INDEX('Data_NSA'!$A:$OK,MATCH(I$1,'Data_NSA'!$A:$A,0),MATCH("CUUR0000SA0",'Data_NSA'!$1:$1,0))/INDEX('Data_NSA'!$A:$OK,MATCH($E255,'Data_NSA'!$A:$A,0),MATCH("CUUR0000SA0",'Data_NSA'!$1:$1,0)))),"")</f>
        <v/>
      </c>
    </row>
    <row r="256">
      <c r="A256" s="3" t="inlineStr">
        <is>
          <t>SEMG</t>
        </is>
      </c>
      <c r="B256" s="3" t="inlineStr">
        <is>
          <t>Medical equipment and supplies</t>
        </is>
      </c>
      <c r="C256" s="3" t="inlineStr">
        <is>
          <t>CUUR0000SEMG</t>
        </is>
      </c>
      <c r="D256" s="21" t="n">
        <v>0.135</v>
      </c>
      <c r="E256" s="22" t="n">
        <v>45992</v>
      </c>
      <c r="F256" s="3" t="n">
        <v>2024</v>
      </c>
      <c r="G256" s="10">
        <f>IFERROR(100*($D256*(INDEX('Data_NSA'!$A:$OK,MATCH(G$1,'Data_NSA'!$A:$A,0),MATCH($C256,'Data_NSA'!$1:$1,0))/INDEX('Data_NSA'!$A:$OK,MATCH($E256,'Data_NSA'!$A:$A,0),MATCH($C256,'Data_NSA'!$1:$1,0))))/(100*(INDEX('Data_NSA'!$A:$OK,MATCH(G$1,'Data_NSA'!$A:$A,0),MATCH("CUUR0000SA0",'Data_NSA'!$1:$1,0))/INDEX('Data_NSA'!$A:$OK,MATCH($E256,'Data_NSA'!$A:$A,0),MATCH("CUUR0000SA0",'Data_NSA'!$1:$1,0)))),"")</f>
        <v/>
      </c>
      <c r="H256" s="10">
        <f>IFERROR(100*($D256*(INDEX('Data_NSA'!$A:$OK,MATCH(H$1,'Data_NSA'!$A:$A,0),MATCH($C256,'Data_NSA'!$1:$1,0))/INDEX('Data_NSA'!$A:$OK,MATCH($E256,'Data_NSA'!$A:$A,0),MATCH($C256,'Data_NSA'!$1:$1,0))))/(100*(INDEX('Data_NSA'!$A:$OK,MATCH(H$1,'Data_NSA'!$A:$A,0),MATCH("CUUR0000SA0",'Data_NSA'!$1:$1,0))/INDEX('Data_NSA'!$A:$OK,MATCH($E256,'Data_NSA'!$A:$A,0),MATCH("CUUR0000SA0",'Data_NSA'!$1:$1,0)))),"")</f>
        <v/>
      </c>
      <c r="I256" s="10">
        <f>IFERROR(100*($D256*(INDEX('Data_NSA'!$A:$OK,MATCH(I$1,'Data_NSA'!$A:$A,0),MATCH($C256,'Data_NSA'!$1:$1,0))/INDEX('Data_NSA'!$A:$OK,MATCH($E256,'Data_NSA'!$A:$A,0),MATCH($C256,'Data_NSA'!$1:$1,0))))/(100*(INDEX('Data_NSA'!$A:$OK,MATCH(I$1,'Data_NSA'!$A:$A,0),MATCH("CUUR0000SA0",'Data_NSA'!$1:$1,0))/INDEX('Data_NSA'!$A:$OK,MATCH($E256,'Data_NSA'!$A:$A,0),MATCH("CUUR0000SA0",'Data_NSA'!$1:$1,0)))),"")</f>
        <v/>
      </c>
    </row>
    <row r="257">
      <c r="A257" s="3" t="inlineStr">
        <is>
          <t>SAM2</t>
        </is>
      </c>
      <c r="B257" s="3" t="inlineStr">
        <is>
          <t>Medical care services</t>
        </is>
      </c>
      <c r="C257" s="3" t="inlineStr">
        <is>
          <t>CUUR0000SAM2</t>
        </is>
      </c>
      <c r="D257" s="21" t="n">
        <v>6.935</v>
      </c>
      <c r="E257" s="22" t="n">
        <v>45992</v>
      </c>
      <c r="F257" s="3" t="n">
        <v>2024</v>
      </c>
      <c r="G257" s="10">
        <f>IFERROR(100*($D257*(INDEX('Data_NSA'!$A:$OK,MATCH(G$1,'Data_NSA'!$A:$A,0),MATCH($C257,'Data_NSA'!$1:$1,0))/INDEX('Data_NSA'!$A:$OK,MATCH($E257,'Data_NSA'!$A:$A,0),MATCH($C257,'Data_NSA'!$1:$1,0))))/(100*(INDEX('Data_NSA'!$A:$OK,MATCH(G$1,'Data_NSA'!$A:$A,0),MATCH("CUUR0000SA0",'Data_NSA'!$1:$1,0))/INDEX('Data_NSA'!$A:$OK,MATCH($E257,'Data_NSA'!$A:$A,0),MATCH("CUUR0000SA0",'Data_NSA'!$1:$1,0)))),"")</f>
        <v/>
      </c>
      <c r="H257" s="10">
        <f>IFERROR(100*($D257*(INDEX('Data_NSA'!$A:$OK,MATCH(H$1,'Data_NSA'!$A:$A,0),MATCH($C257,'Data_NSA'!$1:$1,0))/INDEX('Data_NSA'!$A:$OK,MATCH($E257,'Data_NSA'!$A:$A,0),MATCH($C257,'Data_NSA'!$1:$1,0))))/(100*(INDEX('Data_NSA'!$A:$OK,MATCH(H$1,'Data_NSA'!$A:$A,0),MATCH("CUUR0000SA0",'Data_NSA'!$1:$1,0))/INDEX('Data_NSA'!$A:$OK,MATCH($E257,'Data_NSA'!$A:$A,0),MATCH("CUUR0000SA0",'Data_NSA'!$1:$1,0)))),"")</f>
        <v/>
      </c>
      <c r="I257" s="10">
        <f>IFERROR(100*($D257*(INDEX('Data_NSA'!$A:$OK,MATCH(I$1,'Data_NSA'!$A:$A,0),MATCH($C257,'Data_NSA'!$1:$1,0))/INDEX('Data_NSA'!$A:$OK,MATCH($E257,'Data_NSA'!$A:$A,0),MATCH($C257,'Data_NSA'!$1:$1,0))))/(100*(INDEX('Data_NSA'!$A:$OK,MATCH(I$1,'Data_NSA'!$A:$A,0),MATCH("CUUR0000SA0",'Data_NSA'!$1:$1,0))/INDEX('Data_NSA'!$A:$OK,MATCH($E257,'Data_NSA'!$A:$A,0),MATCH("CUUR0000SA0",'Data_NSA'!$1:$1,0)))),"")</f>
        <v/>
      </c>
    </row>
    <row r="258">
      <c r="A258" s="3" t="inlineStr">
        <is>
          <t>SEMC</t>
        </is>
      </c>
      <c r="B258" s="3" t="inlineStr">
        <is>
          <t>Professional services</t>
        </is>
      </c>
      <c r="C258" s="3" t="inlineStr">
        <is>
          <t>CUUR0000SEMC</t>
        </is>
      </c>
      <c r="D258" s="21" t="n">
        <v>3.426</v>
      </c>
      <c r="E258" s="22" t="n">
        <v>45992</v>
      </c>
      <c r="F258" s="3" t="n">
        <v>2024</v>
      </c>
      <c r="G258" s="10">
        <f>IFERROR(100*($D258*(INDEX('Data_NSA'!$A:$OK,MATCH(G$1,'Data_NSA'!$A:$A,0),MATCH($C258,'Data_NSA'!$1:$1,0))/INDEX('Data_NSA'!$A:$OK,MATCH($E258,'Data_NSA'!$A:$A,0),MATCH($C258,'Data_NSA'!$1:$1,0))))/(100*(INDEX('Data_NSA'!$A:$OK,MATCH(G$1,'Data_NSA'!$A:$A,0),MATCH("CUUR0000SA0",'Data_NSA'!$1:$1,0))/INDEX('Data_NSA'!$A:$OK,MATCH($E258,'Data_NSA'!$A:$A,0),MATCH("CUUR0000SA0",'Data_NSA'!$1:$1,0)))),"")</f>
        <v/>
      </c>
      <c r="H258" s="10">
        <f>IFERROR(100*($D258*(INDEX('Data_NSA'!$A:$OK,MATCH(H$1,'Data_NSA'!$A:$A,0),MATCH($C258,'Data_NSA'!$1:$1,0))/INDEX('Data_NSA'!$A:$OK,MATCH($E258,'Data_NSA'!$A:$A,0),MATCH($C258,'Data_NSA'!$1:$1,0))))/(100*(INDEX('Data_NSA'!$A:$OK,MATCH(H$1,'Data_NSA'!$A:$A,0),MATCH("CUUR0000SA0",'Data_NSA'!$1:$1,0))/INDEX('Data_NSA'!$A:$OK,MATCH($E258,'Data_NSA'!$A:$A,0),MATCH("CUUR0000SA0",'Data_NSA'!$1:$1,0)))),"")</f>
        <v/>
      </c>
      <c r="I258" s="10">
        <f>IFERROR(100*($D258*(INDEX('Data_NSA'!$A:$OK,MATCH(I$1,'Data_NSA'!$A:$A,0),MATCH($C258,'Data_NSA'!$1:$1,0))/INDEX('Data_NSA'!$A:$OK,MATCH($E258,'Data_NSA'!$A:$A,0),MATCH($C258,'Data_NSA'!$1:$1,0))))/(100*(INDEX('Data_NSA'!$A:$OK,MATCH(I$1,'Data_NSA'!$A:$A,0),MATCH("CUUR0000SA0",'Data_NSA'!$1:$1,0))/INDEX('Data_NSA'!$A:$OK,MATCH($E258,'Data_NSA'!$A:$A,0),MATCH("CUUR0000SA0",'Data_NSA'!$1:$1,0)))),"")</f>
        <v/>
      </c>
    </row>
    <row r="259">
      <c r="A259" s="3" t="inlineStr">
        <is>
          <t>SEMC01</t>
        </is>
      </c>
      <c r="B259" s="3" t="inlineStr">
        <is>
          <t>Physicians' services</t>
        </is>
      </c>
      <c r="C259" s="3" t="inlineStr">
        <is>
          <t>CUUR0000SEMC01</t>
        </is>
      </c>
      <c r="D259" s="21" t="n">
        <v>1.684</v>
      </c>
      <c r="E259" s="22" t="n">
        <v>45992</v>
      </c>
      <c r="F259" s="3" t="n">
        <v>2024</v>
      </c>
      <c r="G259" s="10">
        <f>IFERROR(100*($D259*(INDEX('Data_NSA'!$A:$OK,MATCH(G$1,'Data_NSA'!$A:$A,0),MATCH($C259,'Data_NSA'!$1:$1,0))/INDEX('Data_NSA'!$A:$OK,MATCH($E259,'Data_NSA'!$A:$A,0),MATCH($C259,'Data_NSA'!$1:$1,0))))/(100*(INDEX('Data_NSA'!$A:$OK,MATCH(G$1,'Data_NSA'!$A:$A,0),MATCH("CUUR0000SA0",'Data_NSA'!$1:$1,0))/INDEX('Data_NSA'!$A:$OK,MATCH($E259,'Data_NSA'!$A:$A,0),MATCH("CUUR0000SA0",'Data_NSA'!$1:$1,0)))),"")</f>
        <v/>
      </c>
      <c r="H259" s="10">
        <f>IFERROR(100*($D259*(INDEX('Data_NSA'!$A:$OK,MATCH(H$1,'Data_NSA'!$A:$A,0),MATCH($C259,'Data_NSA'!$1:$1,0))/INDEX('Data_NSA'!$A:$OK,MATCH($E259,'Data_NSA'!$A:$A,0),MATCH($C259,'Data_NSA'!$1:$1,0))))/(100*(INDEX('Data_NSA'!$A:$OK,MATCH(H$1,'Data_NSA'!$A:$A,0),MATCH("CUUR0000SA0",'Data_NSA'!$1:$1,0))/INDEX('Data_NSA'!$A:$OK,MATCH($E259,'Data_NSA'!$A:$A,0),MATCH("CUUR0000SA0",'Data_NSA'!$1:$1,0)))),"")</f>
        <v/>
      </c>
      <c r="I259" s="10">
        <f>IFERROR(100*($D259*(INDEX('Data_NSA'!$A:$OK,MATCH(I$1,'Data_NSA'!$A:$A,0),MATCH($C259,'Data_NSA'!$1:$1,0))/INDEX('Data_NSA'!$A:$OK,MATCH($E259,'Data_NSA'!$A:$A,0),MATCH($C259,'Data_NSA'!$1:$1,0))))/(100*(INDEX('Data_NSA'!$A:$OK,MATCH(I$1,'Data_NSA'!$A:$A,0),MATCH("CUUR0000SA0",'Data_NSA'!$1:$1,0))/INDEX('Data_NSA'!$A:$OK,MATCH($E259,'Data_NSA'!$A:$A,0),MATCH("CUUR0000SA0",'Data_NSA'!$1:$1,0)))),"")</f>
        <v/>
      </c>
    </row>
    <row r="260">
      <c r="A260" s="3" t="inlineStr">
        <is>
          <t>SEMC02</t>
        </is>
      </c>
      <c r="B260" s="3" t="inlineStr">
        <is>
          <t>Dental services</t>
        </is>
      </c>
      <c r="C260" s="3" t="inlineStr">
        <is>
          <t>CUUR0000SEMC02</t>
        </is>
      </c>
      <c r="D260" s="21" t="n">
        <v>0.904</v>
      </c>
      <c r="E260" s="22" t="n">
        <v>45992</v>
      </c>
      <c r="F260" s="3" t="n">
        <v>2024</v>
      </c>
      <c r="G260" s="10">
        <f>IFERROR(100*($D260*(INDEX('Data_NSA'!$A:$OK,MATCH(G$1,'Data_NSA'!$A:$A,0),MATCH($C260,'Data_NSA'!$1:$1,0))/INDEX('Data_NSA'!$A:$OK,MATCH($E260,'Data_NSA'!$A:$A,0),MATCH($C260,'Data_NSA'!$1:$1,0))))/(100*(INDEX('Data_NSA'!$A:$OK,MATCH(G$1,'Data_NSA'!$A:$A,0),MATCH("CUUR0000SA0",'Data_NSA'!$1:$1,0))/INDEX('Data_NSA'!$A:$OK,MATCH($E260,'Data_NSA'!$A:$A,0),MATCH("CUUR0000SA0",'Data_NSA'!$1:$1,0)))),"")</f>
        <v/>
      </c>
      <c r="H260" s="10">
        <f>IFERROR(100*($D260*(INDEX('Data_NSA'!$A:$OK,MATCH(H$1,'Data_NSA'!$A:$A,0),MATCH($C260,'Data_NSA'!$1:$1,0))/INDEX('Data_NSA'!$A:$OK,MATCH($E260,'Data_NSA'!$A:$A,0),MATCH($C260,'Data_NSA'!$1:$1,0))))/(100*(INDEX('Data_NSA'!$A:$OK,MATCH(H$1,'Data_NSA'!$A:$A,0),MATCH("CUUR0000SA0",'Data_NSA'!$1:$1,0))/INDEX('Data_NSA'!$A:$OK,MATCH($E260,'Data_NSA'!$A:$A,0),MATCH("CUUR0000SA0",'Data_NSA'!$1:$1,0)))),"")</f>
        <v/>
      </c>
      <c r="I260" s="10">
        <f>IFERROR(100*($D260*(INDEX('Data_NSA'!$A:$OK,MATCH(I$1,'Data_NSA'!$A:$A,0),MATCH($C260,'Data_NSA'!$1:$1,0))/INDEX('Data_NSA'!$A:$OK,MATCH($E260,'Data_NSA'!$A:$A,0),MATCH($C260,'Data_NSA'!$1:$1,0))))/(100*(INDEX('Data_NSA'!$A:$OK,MATCH(I$1,'Data_NSA'!$A:$A,0),MATCH("CUUR0000SA0",'Data_NSA'!$1:$1,0))/INDEX('Data_NSA'!$A:$OK,MATCH($E260,'Data_NSA'!$A:$A,0),MATCH("CUUR0000SA0",'Data_NSA'!$1:$1,0)))),"")</f>
        <v/>
      </c>
    </row>
    <row r="261">
      <c r="A261" s="3" t="inlineStr">
        <is>
          <t>SEMC03</t>
        </is>
      </c>
      <c r="B261" s="3" t="inlineStr">
        <is>
          <t>Eyeglasses and eye care</t>
        </is>
      </c>
      <c r="C261" s="3" t="inlineStr">
        <is>
          <t>CUUR0000SEMC03</t>
        </is>
      </c>
      <c r="D261" s="21" t="n">
        <v>0.327</v>
      </c>
      <c r="E261" s="22" t="n">
        <v>45992</v>
      </c>
      <c r="F261" s="3" t="n">
        <v>2024</v>
      </c>
      <c r="G261" s="10">
        <f>IFERROR(100*($D261*(INDEX('Data_NSA'!$A:$OK,MATCH(G$1,'Data_NSA'!$A:$A,0),MATCH($C261,'Data_NSA'!$1:$1,0))/INDEX('Data_NSA'!$A:$OK,MATCH($E261,'Data_NSA'!$A:$A,0),MATCH($C261,'Data_NSA'!$1:$1,0))))/(100*(INDEX('Data_NSA'!$A:$OK,MATCH(G$1,'Data_NSA'!$A:$A,0),MATCH("CUUR0000SA0",'Data_NSA'!$1:$1,0))/INDEX('Data_NSA'!$A:$OK,MATCH($E261,'Data_NSA'!$A:$A,0),MATCH("CUUR0000SA0",'Data_NSA'!$1:$1,0)))),"")</f>
        <v/>
      </c>
      <c r="H261" s="10">
        <f>IFERROR(100*($D261*(INDEX('Data_NSA'!$A:$OK,MATCH(H$1,'Data_NSA'!$A:$A,0),MATCH($C261,'Data_NSA'!$1:$1,0))/INDEX('Data_NSA'!$A:$OK,MATCH($E261,'Data_NSA'!$A:$A,0),MATCH($C261,'Data_NSA'!$1:$1,0))))/(100*(INDEX('Data_NSA'!$A:$OK,MATCH(H$1,'Data_NSA'!$A:$A,0),MATCH("CUUR0000SA0",'Data_NSA'!$1:$1,0))/INDEX('Data_NSA'!$A:$OK,MATCH($E261,'Data_NSA'!$A:$A,0),MATCH("CUUR0000SA0",'Data_NSA'!$1:$1,0)))),"")</f>
        <v/>
      </c>
      <c r="I261" s="10">
        <f>IFERROR(100*($D261*(INDEX('Data_NSA'!$A:$OK,MATCH(I$1,'Data_NSA'!$A:$A,0),MATCH($C261,'Data_NSA'!$1:$1,0))/INDEX('Data_NSA'!$A:$OK,MATCH($E261,'Data_NSA'!$A:$A,0),MATCH($C261,'Data_NSA'!$1:$1,0))))/(100*(INDEX('Data_NSA'!$A:$OK,MATCH(I$1,'Data_NSA'!$A:$A,0),MATCH("CUUR0000SA0",'Data_NSA'!$1:$1,0))/INDEX('Data_NSA'!$A:$OK,MATCH($E261,'Data_NSA'!$A:$A,0),MATCH("CUUR0000SA0",'Data_NSA'!$1:$1,0)))),"")</f>
        <v/>
      </c>
    </row>
    <row r="262">
      <c r="A262" s="3" t="inlineStr">
        <is>
          <t>SEMC04</t>
        </is>
      </c>
      <c r="B262" s="3" t="inlineStr">
        <is>
          <t>Services by other medical professionals</t>
        </is>
      </c>
      <c r="C262" s="3" t="inlineStr">
        <is>
          <t>CUUR0000SEMC04</t>
        </is>
      </c>
      <c r="D262" s="21" t="n">
        <v>0.511</v>
      </c>
      <c r="E262" s="22" t="n">
        <v>45992</v>
      </c>
      <c r="F262" s="3" t="n">
        <v>2024</v>
      </c>
      <c r="G262" s="10">
        <f>IFERROR(100*($D262*(INDEX('Data_NSA'!$A:$OK,MATCH(G$1,'Data_NSA'!$A:$A,0),MATCH($C262,'Data_NSA'!$1:$1,0))/INDEX('Data_NSA'!$A:$OK,MATCH($E262,'Data_NSA'!$A:$A,0),MATCH($C262,'Data_NSA'!$1:$1,0))))/(100*(INDEX('Data_NSA'!$A:$OK,MATCH(G$1,'Data_NSA'!$A:$A,0),MATCH("CUUR0000SA0",'Data_NSA'!$1:$1,0))/INDEX('Data_NSA'!$A:$OK,MATCH($E262,'Data_NSA'!$A:$A,0),MATCH("CUUR0000SA0",'Data_NSA'!$1:$1,0)))),"")</f>
        <v/>
      </c>
      <c r="H262" s="10">
        <f>IFERROR(100*($D262*(INDEX('Data_NSA'!$A:$OK,MATCH(H$1,'Data_NSA'!$A:$A,0),MATCH($C262,'Data_NSA'!$1:$1,0))/INDEX('Data_NSA'!$A:$OK,MATCH($E262,'Data_NSA'!$A:$A,0),MATCH($C262,'Data_NSA'!$1:$1,0))))/(100*(INDEX('Data_NSA'!$A:$OK,MATCH(H$1,'Data_NSA'!$A:$A,0),MATCH("CUUR0000SA0",'Data_NSA'!$1:$1,0))/INDEX('Data_NSA'!$A:$OK,MATCH($E262,'Data_NSA'!$A:$A,0),MATCH("CUUR0000SA0",'Data_NSA'!$1:$1,0)))),"")</f>
        <v/>
      </c>
      <c r="I262" s="10">
        <f>IFERROR(100*($D262*(INDEX('Data_NSA'!$A:$OK,MATCH(I$1,'Data_NSA'!$A:$A,0),MATCH($C262,'Data_NSA'!$1:$1,0))/INDEX('Data_NSA'!$A:$OK,MATCH($E262,'Data_NSA'!$A:$A,0),MATCH($C262,'Data_NSA'!$1:$1,0))))/(100*(INDEX('Data_NSA'!$A:$OK,MATCH(I$1,'Data_NSA'!$A:$A,0),MATCH("CUUR0000SA0",'Data_NSA'!$1:$1,0))/INDEX('Data_NSA'!$A:$OK,MATCH($E262,'Data_NSA'!$A:$A,0),MATCH("CUUR0000SA0",'Data_NSA'!$1:$1,0)))),"")</f>
        <v/>
      </c>
    </row>
    <row r="263">
      <c r="A263" s="3" t="inlineStr">
        <is>
          <t>SEMD</t>
        </is>
      </c>
      <c r="B263" s="3" t="inlineStr">
        <is>
          <t>Hospital and related services</t>
        </is>
      </c>
      <c r="C263" s="3" t="inlineStr">
        <is>
          <t>CUUR0000SEMD</t>
        </is>
      </c>
      <c r="D263" s="21" t="n">
        <v>2.618</v>
      </c>
      <c r="E263" s="22" t="n">
        <v>45992</v>
      </c>
      <c r="F263" s="3" t="n">
        <v>2024</v>
      </c>
      <c r="G263" s="10">
        <f>IFERROR(100*($D263*(INDEX('Data_NSA'!$A:$OK,MATCH(G$1,'Data_NSA'!$A:$A,0),MATCH($C263,'Data_NSA'!$1:$1,0))/INDEX('Data_NSA'!$A:$OK,MATCH($E263,'Data_NSA'!$A:$A,0),MATCH($C263,'Data_NSA'!$1:$1,0))))/(100*(INDEX('Data_NSA'!$A:$OK,MATCH(G$1,'Data_NSA'!$A:$A,0),MATCH("CUUR0000SA0",'Data_NSA'!$1:$1,0))/INDEX('Data_NSA'!$A:$OK,MATCH($E263,'Data_NSA'!$A:$A,0),MATCH("CUUR0000SA0",'Data_NSA'!$1:$1,0)))),"")</f>
        <v/>
      </c>
      <c r="H263" s="10">
        <f>IFERROR(100*($D263*(INDEX('Data_NSA'!$A:$OK,MATCH(H$1,'Data_NSA'!$A:$A,0),MATCH($C263,'Data_NSA'!$1:$1,0))/INDEX('Data_NSA'!$A:$OK,MATCH($E263,'Data_NSA'!$A:$A,0),MATCH($C263,'Data_NSA'!$1:$1,0))))/(100*(INDEX('Data_NSA'!$A:$OK,MATCH(H$1,'Data_NSA'!$A:$A,0),MATCH("CUUR0000SA0",'Data_NSA'!$1:$1,0))/INDEX('Data_NSA'!$A:$OK,MATCH($E263,'Data_NSA'!$A:$A,0),MATCH("CUUR0000SA0",'Data_NSA'!$1:$1,0)))),"")</f>
        <v/>
      </c>
      <c r="I263" s="10">
        <f>IFERROR(100*($D263*(INDEX('Data_NSA'!$A:$OK,MATCH(I$1,'Data_NSA'!$A:$A,0),MATCH($C263,'Data_NSA'!$1:$1,0))/INDEX('Data_NSA'!$A:$OK,MATCH($E263,'Data_NSA'!$A:$A,0),MATCH($C263,'Data_NSA'!$1:$1,0))))/(100*(INDEX('Data_NSA'!$A:$OK,MATCH(I$1,'Data_NSA'!$A:$A,0),MATCH("CUUR0000SA0",'Data_NSA'!$1:$1,0))/INDEX('Data_NSA'!$A:$OK,MATCH($E263,'Data_NSA'!$A:$A,0),MATCH("CUUR0000SA0",'Data_NSA'!$1:$1,0)))),"")</f>
        <v/>
      </c>
    </row>
    <row r="264">
      <c r="A264" s="3" t="inlineStr">
        <is>
          <t>SEMD01</t>
        </is>
      </c>
      <c r="B264" s="3" t="inlineStr">
        <is>
          <t>Hospital services</t>
        </is>
      </c>
      <c r="C264" s="3" t="inlineStr">
        <is>
          <t>CUUR0000SEMD01</t>
        </is>
      </c>
      <c r="D264" s="21" t="n">
        <v>2.167</v>
      </c>
      <c r="E264" s="22" t="n">
        <v>45992</v>
      </c>
      <c r="F264" s="3" t="n">
        <v>2024</v>
      </c>
      <c r="G264" s="10">
        <f>IFERROR(100*($D264*(INDEX('Data_NSA'!$A:$OK,MATCH(G$1,'Data_NSA'!$A:$A,0),MATCH($C264,'Data_NSA'!$1:$1,0))/INDEX('Data_NSA'!$A:$OK,MATCH($E264,'Data_NSA'!$A:$A,0),MATCH($C264,'Data_NSA'!$1:$1,0))))/(100*(INDEX('Data_NSA'!$A:$OK,MATCH(G$1,'Data_NSA'!$A:$A,0),MATCH("CUUR0000SA0",'Data_NSA'!$1:$1,0))/INDEX('Data_NSA'!$A:$OK,MATCH($E264,'Data_NSA'!$A:$A,0),MATCH("CUUR0000SA0",'Data_NSA'!$1:$1,0)))),"")</f>
        <v/>
      </c>
      <c r="H264" s="10">
        <f>IFERROR(100*($D264*(INDEX('Data_NSA'!$A:$OK,MATCH(H$1,'Data_NSA'!$A:$A,0),MATCH($C264,'Data_NSA'!$1:$1,0))/INDEX('Data_NSA'!$A:$OK,MATCH($E264,'Data_NSA'!$A:$A,0),MATCH($C264,'Data_NSA'!$1:$1,0))))/(100*(INDEX('Data_NSA'!$A:$OK,MATCH(H$1,'Data_NSA'!$A:$A,0),MATCH("CUUR0000SA0",'Data_NSA'!$1:$1,0))/INDEX('Data_NSA'!$A:$OK,MATCH($E264,'Data_NSA'!$A:$A,0),MATCH("CUUR0000SA0",'Data_NSA'!$1:$1,0)))),"")</f>
        <v/>
      </c>
      <c r="I264" s="10">
        <f>IFERROR(100*($D264*(INDEX('Data_NSA'!$A:$OK,MATCH(I$1,'Data_NSA'!$A:$A,0),MATCH($C264,'Data_NSA'!$1:$1,0))/INDEX('Data_NSA'!$A:$OK,MATCH($E264,'Data_NSA'!$A:$A,0),MATCH($C264,'Data_NSA'!$1:$1,0))))/(100*(INDEX('Data_NSA'!$A:$OK,MATCH(I$1,'Data_NSA'!$A:$A,0),MATCH("CUUR0000SA0",'Data_NSA'!$1:$1,0))/INDEX('Data_NSA'!$A:$OK,MATCH($E264,'Data_NSA'!$A:$A,0),MATCH("CUUR0000SA0",'Data_NSA'!$1:$1,0)))),"")</f>
        <v/>
      </c>
    </row>
    <row r="265">
      <c r="A265" s="3" t="inlineStr">
        <is>
          <t>SS5702</t>
        </is>
      </c>
      <c r="B265" s="3" t="inlineStr">
        <is>
          <t>Inpatient hospital services</t>
        </is>
      </c>
      <c r="C265" s="3" t="inlineStr">
        <is>
          <t>CUUR0000SS5702</t>
        </is>
      </c>
      <c r="D265" s="21" t="n"/>
      <c r="E265" s="22" t="n">
        <v>45992</v>
      </c>
      <c r="F265" s="3" t="n">
        <v>2024</v>
      </c>
      <c r="G265" s="10">
        <f>IFERROR(100*($D265*(INDEX('Data_NSA'!$A:$OK,MATCH(G$1,'Data_NSA'!$A:$A,0),MATCH($C265,'Data_NSA'!$1:$1,0))/INDEX('Data_NSA'!$A:$OK,MATCH($E265,'Data_NSA'!$A:$A,0),MATCH($C265,'Data_NSA'!$1:$1,0))))/(100*(INDEX('Data_NSA'!$A:$OK,MATCH(G$1,'Data_NSA'!$A:$A,0),MATCH("CUUR0000SA0",'Data_NSA'!$1:$1,0))/INDEX('Data_NSA'!$A:$OK,MATCH($E265,'Data_NSA'!$A:$A,0),MATCH("CUUR0000SA0",'Data_NSA'!$1:$1,0)))),"")</f>
        <v/>
      </c>
      <c r="H265" s="10">
        <f>IFERROR(100*($D265*(INDEX('Data_NSA'!$A:$OK,MATCH(H$1,'Data_NSA'!$A:$A,0),MATCH($C265,'Data_NSA'!$1:$1,0))/INDEX('Data_NSA'!$A:$OK,MATCH($E265,'Data_NSA'!$A:$A,0),MATCH($C265,'Data_NSA'!$1:$1,0))))/(100*(INDEX('Data_NSA'!$A:$OK,MATCH(H$1,'Data_NSA'!$A:$A,0),MATCH("CUUR0000SA0",'Data_NSA'!$1:$1,0))/INDEX('Data_NSA'!$A:$OK,MATCH($E265,'Data_NSA'!$A:$A,0),MATCH("CUUR0000SA0",'Data_NSA'!$1:$1,0)))),"")</f>
        <v/>
      </c>
      <c r="I265" s="10">
        <f>IFERROR(100*($D265*(INDEX('Data_NSA'!$A:$OK,MATCH(I$1,'Data_NSA'!$A:$A,0),MATCH($C265,'Data_NSA'!$1:$1,0))/INDEX('Data_NSA'!$A:$OK,MATCH($E265,'Data_NSA'!$A:$A,0),MATCH($C265,'Data_NSA'!$1:$1,0))))/(100*(INDEX('Data_NSA'!$A:$OK,MATCH(I$1,'Data_NSA'!$A:$A,0),MATCH("CUUR0000SA0",'Data_NSA'!$1:$1,0))/INDEX('Data_NSA'!$A:$OK,MATCH($E265,'Data_NSA'!$A:$A,0),MATCH("CUUR0000SA0",'Data_NSA'!$1:$1,0)))),"")</f>
        <v/>
      </c>
    </row>
    <row r="266">
      <c r="A266" s="3" t="inlineStr">
        <is>
          <t>SS5703</t>
        </is>
      </c>
      <c r="B266" s="3" t="inlineStr">
        <is>
          <t>Outpatient hospital services</t>
        </is>
      </c>
      <c r="C266" s="3" t="inlineStr">
        <is>
          <t>CUUR0000SS5703</t>
        </is>
      </c>
      <c r="D266" s="21" t="n"/>
      <c r="E266" s="22" t="n">
        <v>45992</v>
      </c>
      <c r="F266" s="3" t="n">
        <v>2024</v>
      </c>
      <c r="G266" s="10">
        <f>IFERROR(100*($D266*(INDEX('Data_NSA'!$A:$OK,MATCH(G$1,'Data_NSA'!$A:$A,0),MATCH($C266,'Data_NSA'!$1:$1,0))/INDEX('Data_NSA'!$A:$OK,MATCH($E266,'Data_NSA'!$A:$A,0),MATCH($C266,'Data_NSA'!$1:$1,0))))/(100*(INDEX('Data_NSA'!$A:$OK,MATCH(G$1,'Data_NSA'!$A:$A,0),MATCH("CUUR0000SA0",'Data_NSA'!$1:$1,0))/INDEX('Data_NSA'!$A:$OK,MATCH($E266,'Data_NSA'!$A:$A,0),MATCH("CUUR0000SA0",'Data_NSA'!$1:$1,0)))),"")</f>
        <v/>
      </c>
      <c r="H266" s="10">
        <f>IFERROR(100*($D266*(INDEX('Data_NSA'!$A:$OK,MATCH(H$1,'Data_NSA'!$A:$A,0),MATCH($C266,'Data_NSA'!$1:$1,0))/INDEX('Data_NSA'!$A:$OK,MATCH($E266,'Data_NSA'!$A:$A,0),MATCH($C266,'Data_NSA'!$1:$1,0))))/(100*(INDEX('Data_NSA'!$A:$OK,MATCH(H$1,'Data_NSA'!$A:$A,0),MATCH("CUUR0000SA0",'Data_NSA'!$1:$1,0))/INDEX('Data_NSA'!$A:$OK,MATCH($E266,'Data_NSA'!$A:$A,0),MATCH("CUUR0000SA0",'Data_NSA'!$1:$1,0)))),"")</f>
        <v/>
      </c>
      <c r="I266" s="10">
        <f>IFERROR(100*($D266*(INDEX('Data_NSA'!$A:$OK,MATCH(I$1,'Data_NSA'!$A:$A,0),MATCH($C266,'Data_NSA'!$1:$1,0))/INDEX('Data_NSA'!$A:$OK,MATCH($E266,'Data_NSA'!$A:$A,0),MATCH($C266,'Data_NSA'!$1:$1,0))))/(100*(INDEX('Data_NSA'!$A:$OK,MATCH(I$1,'Data_NSA'!$A:$A,0),MATCH("CUUR0000SA0",'Data_NSA'!$1:$1,0))/INDEX('Data_NSA'!$A:$OK,MATCH($E266,'Data_NSA'!$A:$A,0),MATCH("CUUR0000SA0",'Data_NSA'!$1:$1,0)))),"")</f>
        <v/>
      </c>
    </row>
    <row r="267">
      <c r="A267" s="3" t="inlineStr">
        <is>
          <t>SEMD02</t>
        </is>
      </c>
      <c r="B267" s="3" t="inlineStr">
        <is>
          <t>Nursing homes and adult day services</t>
        </is>
      </c>
      <c r="C267" s="3" t="inlineStr">
        <is>
          <t>CUUR0000SEMD02</t>
        </is>
      </c>
      <c r="D267" s="21" t="n">
        <v>0.221</v>
      </c>
      <c r="E267" s="22" t="n">
        <v>45992</v>
      </c>
      <c r="F267" s="3" t="n">
        <v>2024</v>
      </c>
      <c r="G267" s="10">
        <f>IFERROR(100*($D267*(INDEX('Data_NSA'!$A:$OK,MATCH(G$1,'Data_NSA'!$A:$A,0),MATCH($C267,'Data_NSA'!$1:$1,0))/INDEX('Data_NSA'!$A:$OK,MATCH($E267,'Data_NSA'!$A:$A,0),MATCH($C267,'Data_NSA'!$1:$1,0))))/(100*(INDEX('Data_NSA'!$A:$OK,MATCH(G$1,'Data_NSA'!$A:$A,0),MATCH("CUUR0000SA0",'Data_NSA'!$1:$1,0))/INDEX('Data_NSA'!$A:$OK,MATCH($E267,'Data_NSA'!$A:$A,0),MATCH("CUUR0000SA0",'Data_NSA'!$1:$1,0)))),"")</f>
        <v/>
      </c>
      <c r="H267" s="10">
        <f>IFERROR(100*($D267*(INDEX('Data_NSA'!$A:$OK,MATCH(H$1,'Data_NSA'!$A:$A,0),MATCH($C267,'Data_NSA'!$1:$1,0))/INDEX('Data_NSA'!$A:$OK,MATCH($E267,'Data_NSA'!$A:$A,0),MATCH($C267,'Data_NSA'!$1:$1,0))))/(100*(INDEX('Data_NSA'!$A:$OK,MATCH(H$1,'Data_NSA'!$A:$A,0),MATCH("CUUR0000SA0",'Data_NSA'!$1:$1,0))/INDEX('Data_NSA'!$A:$OK,MATCH($E267,'Data_NSA'!$A:$A,0),MATCH("CUUR0000SA0",'Data_NSA'!$1:$1,0)))),"")</f>
        <v/>
      </c>
      <c r="I267" s="10">
        <f>IFERROR(100*($D267*(INDEX('Data_NSA'!$A:$OK,MATCH(I$1,'Data_NSA'!$A:$A,0),MATCH($C267,'Data_NSA'!$1:$1,0))/INDEX('Data_NSA'!$A:$OK,MATCH($E267,'Data_NSA'!$A:$A,0),MATCH($C267,'Data_NSA'!$1:$1,0))))/(100*(INDEX('Data_NSA'!$A:$OK,MATCH(I$1,'Data_NSA'!$A:$A,0),MATCH("CUUR0000SA0",'Data_NSA'!$1:$1,0))/INDEX('Data_NSA'!$A:$OK,MATCH($E267,'Data_NSA'!$A:$A,0),MATCH("CUUR0000SA0",'Data_NSA'!$1:$1,0)))),"")</f>
        <v/>
      </c>
    </row>
    <row r="268">
      <c r="A268" s="3" t="inlineStr">
        <is>
          <t>SEMD03</t>
        </is>
      </c>
      <c r="B268" s="3" t="inlineStr">
        <is>
          <t>Home health care</t>
        </is>
      </c>
      <c r="C268" s="3" t="inlineStr">
        <is>
          <t>CUUR0000SEMD03</t>
        </is>
      </c>
      <c r="D268" s="21" t="n"/>
      <c r="E268" s="22" t="n">
        <v>45992</v>
      </c>
      <c r="F268" s="3" t="n">
        <v>2024</v>
      </c>
      <c r="G268" s="10">
        <f>IFERROR(100*($D268*(INDEX('Data_NSA'!$A:$OK,MATCH(G$1,'Data_NSA'!$A:$A,0),MATCH($C268,'Data_NSA'!$1:$1,0))/INDEX('Data_NSA'!$A:$OK,MATCH($E268,'Data_NSA'!$A:$A,0),MATCH($C268,'Data_NSA'!$1:$1,0))))/(100*(INDEX('Data_NSA'!$A:$OK,MATCH(G$1,'Data_NSA'!$A:$A,0),MATCH("CUUR0000SA0",'Data_NSA'!$1:$1,0))/INDEX('Data_NSA'!$A:$OK,MATCH($E268,'Data_NSA'!$A:$A,0),MATCH("CUUR0000SA0",'Data_NSA'!$1:$1,0)))),"")</f>
        <v/>
      </c>
      <c r="H268" s="10">
        <f>IFERROR(100*($D268*(INDEX('Data_NSA'!$A:$OK,MATCH(H$1,'Data_NSA'!$A:$A,0),MATCH($C268,'Data_NSA'!$1:$1,0))/INDEX('Data_NSA'!$A:$OK,MATCH($E268,'Data_NSA'!$A:$A,0),MATCH($C268,'Data_NSA'!$1:$1,0))))/(100*(INDEX('Data_NSA'!$A:$OK,MATCH(H$1,'Data_NSA'!$A:$A,0),MATCH("CUUR0000SA0",'Data_NSA'!$1:$1,0))/INDEX('Data_NSA'!$A:$OK,MATCH($E268,'Data_NSA'!$A:$A,0),MATCH("CUUR0000SA0",'Data_NSA'!$1:$1,0)))),"")</f>
        <v/>
      </c>
      <c r="I268" s="10">
        <f>IFERROR(100*($D268*(INDEX('Data_NSA'!$A:$OK,MATCH(I$1,'Data_NSA'!$A:$A,0),MATCH($C268,'Data_NSA'!$1:$1,0))/INDEX('Data_NSA'!$A:$OK,MATCH($E268,'Data_NSA'!$A:$A,0),MATCH($C268,'Data_NSA'!$1:$1,0))))/(100*(INDEX('Data_NSA'!$A:$OK,MATCH(I$1,'Data_NSA'!$A:$A,0),MATCH("CUUR0000SA0",'Data_NSA'!$1:$1,0))/INDEX('Data_NSA'!$A:$OK,MATCH($E268,'Data_NSA'!$A:$A,0),MATCH("CUUR0000SA0",'Data_NSA'!$1:$1,0)))),"")</f>
        <v/>
      </c>
    </row>
    <row r="269">
      <c r="A269" s="3" t="inlineStr">
        <is>
          <t>SEME</t>
        </is>
      </c>
      <c r="B269" s="3" t="inlineStr">
        <is>
          <t>Health insurance</t>
        </is>
      </c>
      <c r="C269" s="3" t="inlineStr">
        <is>
          <t>CUUR0000SEME</t>
        </is>
      </c>
      <c r="D269" s="21" t="n">
        <v>0.89</v>
      </c>
      <c r="E269" s="22" t="n">
        <v>45992</v>
      </c>
      <c r="F269" s="3" t="n">
        <v>2024</v>
      </c>
      <c r="G269" s="10">
        <f>IFERROR(100*($D269*(INDEX('Data_NSA'!$A:$OK,MATCH(G$1,'Data_NSA'!$A:$A,0),MATCH($C269,'Data_NSA'!$1:$1,0))/INDEX('Data_NSA'!$A:$OK,MATCH($E269,'Data_NSA'!$A:$A,0),MATCH($C269,'Data_NSA'!$1:$1,0))))/(100*(INDEX('Data_NSA'!$A:$OK,MATCH(G$1,'Data_NSA'!$A:$A,0),MATCH("CUUR0000SA0",'Data_NSA'!$1:$1,0))/INDEX('Data_NSA'!$A:$OK,MATCH($E269,'Data_NSA'!$A:$A,0),MATCH("CUUR0000SA0",'Data_NSA'!$1:$1,0)))),"")</f>
        <v/>
      </c>
      <c r="H269" s="10">
        <f>IFERROR(100*($D269*(INDEX('Data_NSA'!$A:$OK,MATCH(H$1,'Data_NSA'!$A:$A,0),MATCH($C269,'Data_NSA'!$1:$1,0))/INDEX('Data_NSA'!$A:$OK,MATCH($E269,'Data_NSA'!$A:$A,0),MATCH($C269,'Data_NSA'!$1:$1,0))))/(100*(INDEX('Data_NSA'!$A:$OK,MATCH(H$1,'Data_NSA'!$A:$A,0),MATCH("CUUR0000SA0",'Data_NSA'!$1:$1,0))/INDEX('Data_NSA'!$A:$OK,MATCH($E269,'Data_NSA'!$A:$A,0),MATCH("CUUR0000SA0",'Data_NSA'!$1:$1,0)))),"")</f>
        <v/>
      </c>
      <c r="I269" s="10">
        <f>IFERROR(100*($D269*(INDEX('Data_NSA'!$A:$OK,MATCH(I$1,'Data_NSA'!$A:$A,0),MATCH($C269,'Data_NSA'!$1:$1,0))/INDEX('Data_NSA'!$A:$OK,MATCH($E269,'Data_NSA'!$A:$A,0),MATCH($C269,'Data_NSA'!$1:$1,0))))/(100*(INDEX('Data_NSA'!$A:$OK,MATCH(I$1,'Data_NSA'!$A:$A,0),MATCH("CUUR0000SA0",'Data_NSA'!$1:$1,0))/INDEX('Data_NSA'!$A:$OK,MATCH($E269,'Data_NSA'!$A:$A,0),MATCH("CUUR0000SA0",'Data_NSA'!$1:$1,0)))),"")</f>
        <v/>
      </c>
    </row>
    <row r="270">
      <c r="A270" s="3" t="inlineStr">
        <is>
          <t>SAR</t>
        </is>
      </c>
      <c r="B270" s="3" t="inlineStr">
        <is>
          <t>Recreation</t>
        </is>
      </c>
      <c r="C270" s="3" t="inlineStr">
        <is>
          <t>CUUR0000SAR</t>
        </is>
      </c>
      <c r="D270" s="21" t="n">
        <v>5.137</v>
      </c>
      <c r="E270" s="22" t="n">
        <v>45992</v>
      </c>
      <c r="F270" s="3" t="n">
        <v>2024</v>
      </c>
      <c r="G270" s="10">
        <f>IFERROR(100*($D270*(INDEX('Data_NSA'!$A:$OK,MATCH(G$1,'Data_NSA'!$A:$A,0),MATCH($C270,'Data_NSA'!$1:$1,0))/INDEX('Data_NSA'!$A:$OK,MATCH($E270,'Data_NSA'!$A:$A,0),MATCH($C270,'Data_NSA'!$1:$1,0))))/(100*(INDEX('Data_NSA'!$A:$OK,MATCH(G$1,'Data_NSA'!$A:$A,0),MATCH("CUUR0000SA0",'Data_NSA'!$1:$1,0))/INDEX('Data_NSA'!$A:$OK,MATCH($E270,'Data_NSA'!$A:$A,0),MATCH("CUUR0000SA0",'Data_NSA'!$1:$1,0)))),"")</f>
        <v/>
      </c>
      <c r="H270" s="10">
        <f>IFERROR(100*($D270*(INDEX('Data_NSA'!$A:$OK,MATCH(H$1,'Data_NSA'!$A:$A,0),MATCH($C270,'Data_NSA'!$1:$1,0))/INDEX('Data_NSA'!$A:$OK,MATCH($E270,'Data_NSA'!$A:$A,0),MATCH($C270,'Data_NSA'!$1:$1,0))))/(100*(INDEX('Data_NSA'!$A:$OK,MATCH(H$1,'Data_NSA'!$A:$A,0),MATCH("CUUR0000SA0",'Data_NSA'!$1:$1,0))/INDEX('Data_NSA'!$A:$OK,MATCH($E270,'Data_NSA'!$A:$A,0),MATCH("CUUR0000SA0",'Data_NSA'!$1:$1,0)))),"")</f>
        <v/>
      </c>
      <c r="I270" s="10">
        <f>IFERROR(100*($D270*(INDEX('Data_NSA'!$A:$OK,MATCH(I$1,'Data_NSA'!$A:$A,0),MATCH($C270,'Data_NSA'!$1:$1,0))/INDEX('Data_NSA'!$A:$OK,MATCH($E270,'Data_NSA'!$A:$A,0),MATCH($C270,'Data_NSA'!$1:$1,0))))/(100*(INDEX('Data_NSA'!$A:$OK,MATCH(I$1,'Data_NSA'!$A:$A,0),MATCH("CUUR0000SA0",'Data_NSA'!$1:$1,0))/INDEX('Data_NSA'!$A:$OK,MATCH($E270,'Data_NSA'!$A:$A,0),MATCH("CUUR0000SA0",'Data_NSA'!$1:$1,0)))),"")</f>
        <v/>
      </c>
    </row>
    <row r="271">
      <c r="A271" s="3" t="inlineStr">
        <is>
          <t>SERA</t>
        </is>
      </c>
      <c r="B271" s="3" t="inlineStr">
        <is>
          <t>Video and audio</t>
        </is>
      </c>
      <c r="C271" s="3" t="inlineStr">
        <is>
          <t>CUUR0000SERA</t>
        </is>
      </c>
      <c r="D271" s="21" t="n">
        <v>1.053</v>
      </c>
      <c r="E271" s="22" t="n">
        <v>45992</v>
      </c>
      <c r="F271" s="3" t="n">
        <v>2024</v>
      </c>
      <c r="G271" s="10">
        <f>IFERROR(100*($D271*(INDEX('Data_NSA'!$A:$OK,MATCH(G$1,'Data_NSA'!$A:$A,0),MATCH($C271,'Data_NSA'!$1:$1,0))/INDEX('Data_NSA'!$A:$OK,MATCH($E271,'Data_NSA'!$A:$A,0),MATCH($C271,'Data_NSA'!$1:$1,0))))/(100*(INDEX('Data_NSA'!$A:$OK,MATCH(G$1,'Data_NSA'!$A:$A,0),MATCH("CUUR0000SA0",'Data_NSA'!$1:$1,0))/INDEX('Data_NSA'!$A:$OK,MATCH($E271,'Data_NSA'!$A:$A,0),MATCH("CUUR0000SA0",'Data_NSA'!$1:$1,0)))),"")</f>
        <v/>
      </c>
      <c r="H271" s="10">
        <f>IFERROR(100*($D271*(INDEX('Data_NSA'!$A:$OK,MATCH(H$1,'Data_NSA'!$A:$A,0),MATCH($C271,'Data_NSA'!$1:$1,0))/INDEX('Data_NSA'!$A:$OK,MATCH($E271,'Data_NSA'!$A:$A,0),MATCH($C271,'Data_NSA'!$1:$1,0))))/(100*(INDEX('Data_NSA'!$A:$OK,MATCH(H$1,'Data_NSA'!$A:$A,0),MATCH("CUUR0000SA0",'Data_NSA'!$1:$1,0))/INDEX('Data_NSA'!$A:$OK,MATCH($E271,'Data_NSA'!$A:$A,0),MATCH("CUUR0000SA0",'Data_NSA'!$1:$1,0)))),"")</f>
        <v/>
      </c>
      <c r="I271" s="10">
        <f>IFERROR(100*($D271*(INDEX('Data_NSA'!$A:$OK,MATCH(I$1,'Data_NSA'!$A:$A,0),MATCH($C271,'Data_NSA'!$1:$1,0))/INDEX('Data_NSA'!$A:$OK,MATCH($E271,'Data_NSA'!$A:$A,0),MATCH($C271,'Data_NSA'!$1:$1,0))))/(100*(INDEX('Data_NSA'!$A:$OK,MATCH(I$1,'Data_NSA'!$A:$A,0),MATCH("CUUR0000SA0",'Data_NSA'!$1:$1,0))/INDEX('Data_NSA'!$A:$OK,MATCH($E271,'Data_NSA'!$A:$A,0),MATCH("CUUR0000SA0",'Data_NSA'!$1:$1,0)))),"")</f>
        <v/>
      </c>
    </row>
    <row r="272">
      <c r="A272" s="3" t="inlineStr">
        <is>
          <t>SERA01</t>
        </is>
      </c>
      <c r="B272" s="3" t="inlineStr">
        <is>
          <t>Televisions</t>
        </is>
      </c>
      <c r="C272" s="3" t="inlineStr">
        <is>
          <t>CUUR0000SERA01</t>
        </is>
      </c>
      <c r="D272" s="21" t="n">
        <v>0.107</v>
      </c>
      <c r="E272" s="22" t="n">
        <v>45992</v>
      </c>
      <c r="F272" s="3" t="n">
        <v>2024</v>
      </c>
      <c r="G272" s="10">
        <f>IFERROR(100*($D272*(INDEX('Data_NSA'!$A:$OK,MATCH(G$1,'Data_NSA'!$A:$A,0),MATCH($C272,'Data_NSA'!$1:$1,0))/INDEX('Data_NSA'!$A:$OK,MATCH($E272,'Data_NSA'!$A:$A,0),MATCH($C272,'Data_NSA'!$1:$1,0))))/(100*(INDEX('Data_NSA'!$A:$OK,MATCH(G$1,'Data_NSA'!$A:$A,0),MATCH("CUUR0000SA0",'Data_NSA'!$1:$1,0))/INDEX('Data_NSA'!$A:$OK,MATCH($E272,'Data_NSA'!$A:$A,0),MATCH("CUUR0000SA0",'Data_NSA'!$1:$1,0)))),"")</f>
        <v/>
      </c>
      <c r="H272" s="10">
        <f>IFERROR(100*($D272*(INDEX('Data_NSA'!$A:$OK,MATCH(H$1,'Data_NSA'!$A:$A,0),MATCH($C272,'Data_NSA'!$1:$1,0))/INDEX('Data_NSA'!$A:$OK,MATCH($E272,'Data_NSA'!$A:$A,0),MATCH($C272,'Data_NSA'!$1:$1,0))))/(100*(INDEX('Data_NSA'!$A:$OK,MATCH(H$1,'Data_NSA'!$A:$A,0),MATCH("CUUR0000SA0",'Data_NSA'!$1:$1,0))/INDEX('Data_NSA'!$A:$OK,MATCH($E272,'Data_NSA'!$A:$A,0),MATCH("CUUR0000SA0",'Data_NSA'!$1:$1,0)))),"")</f>
        <v/>
      </c>
      <c r="I272" s="10">
        <f>IFERROR(100*($D272*(INDEX('Data_NSA'!$A:$OK,MATCH(I$1,'Data_NSA'!$A:$A,0),MATCH($C272,'Data_NSA'!$1:$1,0))/INDEX('Data_NSA'!$A:$OK,MATCH($E272,'Data_NSA'!$A:$A,0),MATCH($C272,'Data_NSA'!$1:$1,0))))/(100*(INDEX('Data_NSA'!$A:$OK,MATCH(I$1,'Data_NSA'!$A:$A,0),MATCH("CUUR0000SA0",'Data_NSA'!$1:$1,0))/INDEX('Data_NSA'!$A:$OK,MATCH($E272,'Data_NSA'!$A:$A,0),MATCH("CUUR0000SA0",'Data_NSA'!$1:$1,0)))),"")</f>
        <v/>
      </c>
    </row>
    <row r="273">
      <c r="A273" s="3" t="inlineStr">
        <is>
          <t>SERA02</t>
        </is>
      </c>
      <c r="B273" s="3" t="inlineStr">
        <is>
          <t>Cable, satellite, and live streaming television service</t>
        </is>
      </c>
      <c r="C273" s="3" t="inlineStr">
        <is>
          <t>CUUR0000SERA02</t>
        </is>
      </c>
      <c r="D273" s="21" t="n">
        <v>0.606</v>
      </c>
      <c r="E273" s="22" t="n">
        <v>45992</v>
      </c>
      <c r="F273" s="3" t="n">
        <v>2024</v>
      </c>
      <c r="G273" s="10">
        <f>IFERROR(100*($D273*(INDEX('Data_NSA'!$A:$OK,MATCH(G$1,'Data_NSA'!$A:$A,0),MATCH($C273,'Data_NSA'!$1:$1,0))/INDEX('Data_NSA'!$A:$OK,MATCH($E273,'Data_NSA'!$A:$A,0),MATCH($C273,'Data_NSA'!$1:$1,0))))/(100*(INDEX('Data_NSA'!$A:$OK,MATCH(G$1,'Data_NSA'!$A:$A,0),MATCH("CUUR0000SA0",'Data_NSA'!$1:$1,0))/INDEX('Data_NSA'!$A:$OK,MATCH($E273,'Data_NSA'!$A:$A,0),MATCH("CUUR0000SA0",'Data_NSA'!$1:$1,0)))),"")</f>
        <v/>
      </c>
      <c r="H273" s="10">
        <f>IFERROR(100*($D273*(INDEX('Data_NSA'!$A:$OK,MATCH(H$1,'Data_NSA'!$A:$A,0),MATCH($C273,'Data_NSA'!$1:$1,0))/INDEX('Data_NSA'!$A:$OK,MATCH($E273,'Data_NSA'!$A:$A,0),MATCH($C273,'Data_NSA'!$1:$1,0))))/(100*(INDEX('Data_NSA'!$A:$OK,MATCH(H$1,'Data_NSA'!$A:$A,0),MATCH("CUUR0000SA0",'Data_NSA'!$1:$1,0))/INDEX('Data_NSA'!$A:$OK,MATCH($E273,'Data_NSA'!$A:$A,0),MATCH("CUUR0000SA0",'Data_NSA'!$1:$1,0)))),"")</f>
        <v/>
      </c>
      <c r="I273" s="10">
        <f>IFERROR(100*($D273*(INDEX('Data_NSA'!$A:$OK,MATCH(I$1,'Data_NSA'!$A:$A,0),MATCH($C273,'Data_NSA'!$1:$1,0))/INDEX('Data_NSA'!$A:$OK,MATCH($E273,'Data_NSA'!$A:$A,0),MATCH($C273,'Data_NSA'!$1:$1,0))))/(100*(INDEX('Data_NSA'!$A:$OK,MATCH(I$1,'Data_NSA'!$A:$A,0),MATCH("CUUR0000SA0",'Data_NSA'!$1:$1,0))/INDEX('Data_NSA'!$A:$OK,MATCH($E273,'Data_NSA'!$A:$A,0),MATCH("CUUR0000SA0",'Data_NSA'!$1:$1,0)))),"")</f>
        <v/>
      </c>
    </row>
    <row r="274">
      <c r="A274" s="3" t="inlineStr">
        <is>
          <t>SERA03</t>
        </is>
      </c>
      <c r="B274" s="3" t="inlineStr">
        <is>
          <t>Other video equipment</t>
        </is>
      </c>
      <c r="C274" s="3" t="inlineStr">
        <is>
          <t>CUUR0000SERA03</t>
        </is>
      </c>
      <c r="D274" s="21" t="n">
        <v>0.017</v>
      </c>
      <c r="E274" s="22" t="n">
        <v>45992</v>
      </c>
      <c r="F274" s="3" t="n">
        <v>2024</v>
      </c>
      <c r="G274" s="10">
        <f>IFERROR(100*($D274*(INDEX('Data_NSA'!$A:$OK,MATCH(G$1,'Data_NSA'!$A:$A,0),MATCH($C274,'Data_NSA'!$1:$1,0))/INDEX('Data_NSA'!$A:$OK,MATCH($E274,'Data_NSA'!$A:$A,0),MATCH($C274,'Data_NSA'!$1:$1,0))))/(100*(INDEX('Data_NSA'!$A:$OK,MATCH(G$1,'Data_NSA'!$A:$A,0),MATCH("CUUR0000SA0",'Data_NSA'!$1:$1,0))/INDEX('Data_NSA'!$A:$OK,MATCH($E274,'Data_NSA'!$A:$A,0),MATCH("CUUR0000SA0",'Data_NSA'!$1:$1,0)))),"")</f>
        <v/>
      </c>
      <c r="H274" s="10">
        <f>IFERROR(100*($D274*(INDEX('Data_NSA'!$A:$OK,MATCH(H$1,'Data_NSA'!$A:$A,0),MATCH($C274,'Data_NSA'!$1:$1,0))/INDEX('Data_NSA'!$A:$OK,MATCH($E274,'Data_NSA'!$A:$A,0),MATCH($C274,'Data_NSA'!$1:$1,0))))/(100*(INDEX('Data_NSA'!$A:$OK,MATCH(H$1,'Data_NSA'!$A:$A,0),MATCH("CUUR0000SA0",'Data_NSA'!$1:$1,0))/INDEX('Data_NSA'!$A:$OK,MATCH($E274,'Data_NSA'!$A:$A,0),MATCH("CUUR0000SA0",'Data_NSA'!$1:$1,0)))),"")</f>
        <v/>
      </c>
      <c r="I274" s="10">
        <f>IFERROR(100*($D274*(INDEX('Data_NSA'!$A:$OK,MATCH(I$1,'Data_NSA'!$A:$A,0),MATCH($C274,'Data_NSA'!$1:$1,0))/INDEX('Data_NSA'!$A:$OK,MATCH($E274,'Data_NSA'!$A:$A,0),MATCH($C274,'Data_NSA'!$1:$1,0))))/(100*(INDEX('Data_NSA'!$A:$OK,MATCH(I$1,'Data_NSA'!$A:$A,0),MATCH("CUUR0000SA0",'Data_NSA'!$1:$1,0))/INDEX('Data_NSA'!$A:$OK,MATCH($E274,'Data_NSA'!$A:$A,0),MATCH("CUUR0000SA0",'Data_NSA'!$1:$1,0)))),"")</f>
        <v/>
      </c>
    </row>
    <row r="275">
      <c r="A275" s="3" t="inlineStr">
        <is>
          <t>SERA04</t>
        </is>
      </c>
      <c r="B275" s="3" t="inlineStr">
        <is>
          <t>Purchase, subscription, and rental of video</t>
        </is>
      </c>
      <c r="C275" s="3" t="inlineStr">
        <is>
          <t>CUUR0000SERA04</t>
        </is>
      </c>
      <c r="D275" s="21" t="n">
        <v>0.188</v>
      </c>
      <c r="E275" s="22" t="n">
        <v>45992</v>
      </c>
      <c r="F275" s="3" t="n">
        <v>2024</v>
      </c>
      <c r="G275" s="10">
        <f>IFERROR(100*($D275*(INDEX('Data_NSA'!$A:$OK,MATCH(G$1,'Data_NSA'!$A:$A,0),MATCH($C275,'Data_NSA'!$1:$1,0))/INDEX('Data_NSA'!$A:$OK,MATCH($E275,'Data_NSA'!$A:$A,0),MATCH($C275,'Data_NSA'!$1:$1,0))))/(100*(INDEX('Data_NSA'!$A:$OK,MATCH(G$1,'Data_NSA'!$A:$A,0),MATCH("CUUR0000SA0",'Data_NSA'!$1:$1,0))/INDEX('Data_NSA'!$A:$OK,MATCH($E275,'Data_NSA'!$A:$A,0),MATCH("CUUR0000SA0",'Data_NSA'!$1:$1,0)))),"")</f>
        <v/>
      </c>
      <c r="H275" s="10">
        <f>IFERROR(100*($D275*(INDEX('Data_NSA'!$A:$OK,MATCH(H$1,'Data_NSA'!$A:$A,0),MATCH($C275,'Data_NSA'!$1:$1,0))/INDEX('Data_NSA'!$A:$OK,MATCH($E275,'Data_NSA'!$A:$A,0),MATCH($C275,'Data_NSA'!$1:$1,0))))/(100*(INDEX('Data_NSA'!$A:$OK,MATCH(H$1,'Data_NSA'!$A:$A,0),MATCH("CUUR0000SA0",'Data_NSA'!$1:$1,0))/INDEX('Data_NSA'!$A:$OK,MATCH($E275,'Data_NSA'!$A:$A,0),MATCH("CUUR0000SA0",'Data_NSA'!$1:$1,0)))),"")</f>
        <v/>
      </c>
      <c r="I275" s="10">
        <f>IFERROR(100*($D275*(INDEX('Data_NSA'!$A:$OK,MATCH(I$1,'Data_NSA'!$A:$A,0),MATCH($C275,'Data_NSA'!$1:$1,0))/INDEX('Data_NSA'!$A:$OK,MATCH($E275,'Data_NSA'!$A:$A,0),MATCH($C275,'Data_NSA'!$1:$1,0))))/(100*(INDEX('Data_NSA'!$A:$OK,MATCH(I$1,'Data_NSA'!$A:$A,0),MATCH("CUUR0000SA0",'Data_NSA'!$1:$1,0))/INDEX('Data_NSA'!$A:$OK,MATCH($E275,'Data_NSA'!$A:$A,0),MATCH("CUUR0000SA0",'Data_NSA'!$1:$1,0)))),"")</f>
        <v/>
      </c>
    </row>
    <row r="276">
      <c r="A276" s="3" t="inlineStr">
        <is>
          <t>SS31022</t>
        </is>
      </c>
      <c r="B276" s="3" t="inlineStr">
        <is>
          <t>Video discs and other media</t>
        </is>
      </c>
      <c r="C276" s="3" t="inlineStr">
        <is>
          <t>CUUR0000SS31022</t>
        </is>
      </c>
      <c r="D276" s="21" t="n"/>
      <c r="E276" s="22" t="n">
        <v>45992</v>
      </c>
      <c r="F276" s="3" t="n">
        <v>2024</v>
      </c>
      <c r="G276" s="10">
        <f>IFERROR(100*($D276*(INDEX('Data_NSA'!$A:$OK,MATCH(G$1,'Data_NSA'!$A:$A,0),MATCH($C276,'Data_NSA'!$1:$1,0))/INDEX('Data_NSA'!$A:$OK,MATCH($E276,'Data_NSA'!$A:$A,0),MATCH($C276,'Data_NSA'!$1:$1,0))))/(100*(INDEX('Data_NSA'!$A:$OK,MATCH(G$1,'Data_NSA'!$A:$A,0),MATCH("CUUR0000SA0",'Data_NSA'!$1:$1,0))/INDEX('Data_NSA'!$A:$OK,MATCH($E276,'Data_NSA'!$A:$A,0),MATCH("CUUR0000SA0",'Data_NSA'!$1:$1,0)))),"")</f>
        <v/>
      </c>
      <c r="H276" s="10">
        <f>IFERROR(100*($D276*(INDEX('Data_NSA'!$A:$OK,MATCH(H$1,'Data_NSA'!$A:$A,0),MATCH($C276,'Data_NSA'!$1:$1,0))/INDEX('Data_NSA'!$A:$OK,MATCH($E276,'Data_NSA'!$A:$A,0),MATCH($C276,'Data_NSA'!$1:$1,0))))/(100*(INDEX('Data_NSA'!$A:$OK,MATCH(H$1,'Data_NSA'!$A:$A,0),MATCH("CUUR0000SA0",'Data_NSA'!$1:$1,0))/INDEX('Data_NSA'!$A:$OK,MATCH($E276,'Data_NSA'!$A:$A,0),MATCH("CUUR0000SA0",'Data_NSA'!$1:$1,0)))),"")</f>
        <v/>
      </c>
      <c r="I276" s="10">
        <f>IFERROR(100*($D276*(INDEX('Data_NSA'!$A:$OK,MATCH(I$1,'Data_NSA'!$A:$A,0),MATCH($C276,'Data_NSA'!$1:$1,0))/INDEX('Data_NSA'!$A:$OK,MATCH($E276,'Data_NSA'!$A:$A,0),MATCH($C276,'Data_NSA'!$1:$1,0))))/(100*(INDEX('Data_NSA'!$A:$OK,MATCH(I$1,'Data_NSA'!$A:$A,0),MATCH("CUUR0000SA0",'Data_NSA'!$1:$1,0))/INDEX('Data_NSA'!$A:$OK,MATCH($E276,'Data_NSA'!$A:$A,0),MATCH("CUUR0000SA0",'Data_NSA'!$1:$1,0)))),"")</f>
        <v/>
      </c>
    </row>
    <row r="277">
      <c r="A277" s="3" t="inlineStr">
        <is>
          <t>SS62055</t>
        </is>
      </c>
      <c r="B277" s="3" t="inlineStr">
        <is>
          <t>Subscription and rental of video and video games</t>
        </is>
      </c>
      <c r="C277" s="3" t="inlineStr">
        <is>
          <t>CUUR0000SS62055</t>
        </is>
      </c>
      <c r="D277" s="21" t="n"/>
      <c r="E277" s="22" t="n">
        <v>45992</v>
      </c>
      <c r="F277" s="3" t="n">
        <v>2024</v>
      </c>
      <c r="G277" s="10">
        <f>IFERROR(100*($D277*(INDEX('Data_NSA'!$A:$OK,MATCH(G$1,'Data_NSA'!$A:$A,0),MATCH($C277,'Data_NSA'!$1:$1,0))/INDEX('Data_NSA'!$A:$OK,MATCH($E277,'Data_NSA'!$A:$A,0),MATCH($C277,'Data_NSA'!$1:$1,0))))/(100*(INDEX('Data_NSA'!$A:$OK,MATCH(G$1,'Data_NSA'!$A:$A,0),MATCH("CUUR0000SA0",'Data_NSA'!$1:$1,0))/INDEX('Data_NSA'!$A:$OK,MATCH($E277,'Data_NSA'!$A:$A,0),MATCH("CUUR0000SA0",'Data_NSA'!$1:$1,0)))),"")</f>
        <v/>
      </c>
      <c r="H277" s="10">
        <f>IFERROR(100*($D277*(INDEX('Data_NSA'!$A:$OK,MATCH(H$1,'Data_NSA'!$A:$A,0),MATCH($C277,'Data_NSA'!$1:$1,0))/INDEX('Data_NSA'!$A:$OK,MATCH($E277,'Data_NSA'!$A:$A,0),MATCH($C277,'Data_NSA'!$1:$1,0))))/(100*(INDEX('Data_NSA'!$A:$OK,MATCH(H$1,'Data_NSA'!$A:$A,0),MATCH("CUUR0000SA0",'Data_NSA'!$1:$1,0))/INDEX('Data_NSA'!$A:$OK,MATCH($E277,'Data_NSA'!$A:$A,0),MATCH("CUUR0000SA0",'Data_NSA'!$1:$1,0)))),"")</f>
        <v/>
      </c>
      <c r="I277" s="10">
        <f>IFERROR(100*($D277*(INDEX('Data_NSA'!$A:$OK,MATCH(I$1,'Data_NSA'!$A:$A,0),MATCH($C277,'Data_NSA'!$1:$1,0))/INDEX('Data_NSA'!$A:$OK,MATCH($E277,'Data_NSA'!$A:$A,0),MATCH($C277,'Data_NSA'!$1:$1,0))))/(100*(INDEX('Data_NSA'!$A:$OK,MATCH(I$1,'Data_NSA'!$A:$A,0),MATCH("CUUR0000SA0",'Data_NSA'!$1:$1,0))/INDEX('Data_NSA'!$A:$OK,MATCH($E277,'Data_NSA'!$A:$A,0),MATCH("CUUR0000SA0",'Data_NSA'!$1:$1,0)))),"")</f>
        <v/>
      </c>
    </row>
    <row r="278">
      <c r="A278" s="3" t="inlineStr">
        <is>
          <t>SERA05</t>
        </is>
      </c>
      <c r="B278" s="3" t="inlineStr">
        <is>
          <t>Audio equipment</t>
        </is>
      </c>
      <c r="C278" s="3" t="inlineStr">
        <is>
          <t>CUUR0000SERA05</t>
        </is>
      </c>
      <c r="D278" s="21" t="n">
        <v>0.046</v>
      </c>
      <c r="E278" s="22" t="n">
        <v>45992</v>
      </c>
      <c r="F278" s="3" t="n">
        <v>2024</v>
      </c>
      <c r="G278" s="10">
        <f>IFERROR(100*($D278*(INDEX('Data_NSA'!$A:$OK,MATCH(G$1,'Data_NSA'!$A:$A,0),MATCH($C278,'Data_NSA'!$1:$1,0))/INDEX('Data_NSA'!$A:$OK,MATCH($E278,'Data_NSA'!$A:$A,0),MATCH($C278,'Data_NSA'!$1:$1,0))))/(100*(INDEX('Data_NSA'!$A:$OK,MATCH(G$1,'Data_NSA'!$A:$A,0),MATCH("CUUR0000SA0",'Data_NSA'!$1:$1,0))/INDEX('Data_NSA'!$A:$OK,MATCH($E278,'Data_NSA'!$A:$A,0),MATCH("CUUR0000SA0",'Data_NSA'!$1:$1,0)))),"")</f>
        <v/>
      </c>
      <c r="H278" s="10">
        <f>IFERROR(100*($D278*(INDEX('Data_NSA'!$A:$OK,MATCH(H$1,'Data_NSA'!$A:$A,0),MATCH($C278,'Data_NSA'!$1:$1,0))/INDEX('Data_NSA'!$A:$OK,MATCH($E278,'Data_NSA'!$A:$A,0),MATCH($C278,'Data_NSA'!$1:$1,0))))/(100*(INDEX('Data_NSA'!$A:$OK,MATCH(H$1,'Data_NSA'!$A:$A,0),MATCH("CUUR0000SA0",'Data_NSA'!$1:$1,0))/INDEX('Data_NSA'!$A:$OK,MATCH($E278,'Data_NSA'!$A:$A,0),MATCH("CUUR0000SA0",'Data_NSA'!$1:$1,0)))),"")</f>
        <v/>
      </c>
      <c r="I278" s="10">
        <f>IFERROR(100*($D278*(INDEX('Data_NSA'!$A:$OK,MATCH(I$1,'Data_NSA'!$A:$A,0),MATCH($C278,'Data_NSA'!$1:$1,0))/INDEX('Data_NSA'!$A:$OK,MATCH($E278,'Data_NSA'!$A:$A,0),MATCH($C278,'Data_NSA'!$1:$1,0))))/(100*(INDEX('Data_NSA'!$A:$OK,MATCH(I$1,'Data_NSA'!$A:$A,0),MATCH("CUUR0000SA0",'Data_NSA'!$1:$1,0))/INDEX('Data_NSA'!$A:$OK,MATCH($E278,'Data_NSA'!$A:$A,0),MATCH("CUUR0000SA0",'Data_NSA'!$1:$1,0)))),"")</f>
        <v/>
      </c>
    </row>
    <row r="279">
      <c r="A279" s="3" t="inlineStr">
        <is>
          <t>SERA06</t>
        </is>
      </c>
      <c r="B279" s="3" t="inlineStr">
        <is>
          <t>Recorded music and music subscriptions</t>
        </is>
      </c>
      <c r="C279" s="3" t="inlineStr">
        <is>
          <t>CUUR0000SERA06</t>
        </is>
      </c>
      <c r="D279" s="21" t="n">
        <v>0.082</v>
      </c>
      <c r="E279" s="22" t="n">
        <v>45992</v>
      </c>
      <c r="F279" s="3" t="n">
        <v>2024</v>
      </c>
      <c r="G279" s="10">
        <f>IFERROR(100*($D279*(INDEX('Data_NSA'!$A:$OK,MATCH(G$1,'Data_NSA'!$A:$A,0),MATCH($C279,'Data_NSA'!$1:$1,0))/INDEX('Data_NSA'!$A:$OK,MATCH($E279,'Data_NSA'!$A:$A,0),MATCH($C279,'Data_NSA'!$1:$1,0))))/(100*(INDEX('Data_NSA'!$A:$OK,MATCH(G$1,'Data_NSA'!$A:$A,0),MATCH("CUUR0000SA0",'Data_NSA'!$1:$1,0))/INDEX('Data_NSA'!$A:$OK,MATCH($E279,'Data_NSA'!$A:$A,0),MATCH("CUUR0000SA0",'Data_NSA'!$1:$1,0)))),"")</f>
        <v/>
      </c>
      <c r="H279" s="10">
        <f>IFERROR(100*($D279*(INDEX('Data_NSA'!$A:$OK,MATCH(H$1,'Data_NSA'!$A:$A,0),MATCH($C279,'Data_NSA'!$1:$1,0))/INDEX('Data_NSA'!$A:$OK,MATCH($E279,'Data_NSA'!$A:$A,0),MATCH($C279,'Data_NSA'!$1:$1,0))))/(100*(INDEX('Data_NSA'!$A:$OK,MATCH(H$1,'Data_NSA'!$A:$A,0),MATCH("CUUR0000SA0",'Data_NSA'!$1:$1,0))/INDEX('Data_NSA'!$A:$OK,MATCH($E279,'Data_NSA'!$A:$A,0),MATCH("CUUR0000SA0",'Data_NSA'!$1:$1,0)))),"")</f>
        <v/>
      </c>
      <c r="I279" s="10">
        <f>IFERROR(100*($D279*(INDEX('Data_NSA'!$A:$OK,MATCH(I$1,'Data_NSA'!$A:$A,0),MATCH($C279,'Data_NSA'!$1:$1,0))/INDEX('Data_NSA'!$A:$OK,MATCH($E279,'Data_NSA'!$A:$A,0),MATCH($C279,'Data_NSA'!$1:$1,0))))/(100*(INDEX('Data_NSA'!$A:$OK,MATCH(I$1,'Data_NSA'!$A:$A,0),MATCH("CUUR0000SA0",'Data_NSA'!$1:$1,0))/INDEX('Data_NSA'!$A:$OK,MATCH($E279,'Data_NSA'!$A:$A,0),MATCH("CUUR0000SA0",'Data_NSA'!$1:$1,0)))),"")</f>
        <v/>
      </c>
    </row>
    <row r="280">
      <c r="A280" s="3" t="inlineStr">
        <is>
          <t>SERB</t>
        </is>
      </c>
      <c r="B280" s="3" t="inlineStr">
        <is>
          <t>Pets, pet products and services</t>
        </is>
      </c>
      <c r="C280" s="3" t="inlineStr">
        <is>
          <t>CUUR0000SERB</t>
        </is>
      </c>
      <c r="D280" s="21" t="n">
        <v>1.158</v>
      </c>
      <c r="E280" s="22" t="n">
        <v>45992</v>
      </c>
      <c r="F280" s="3" t="n">
        <v>2024</v>
      </c>
      <c r="G280" s="10">
        <f>IFERROR(100*($D280*(INDEX('Data_NSA'!$A:$OK,MATCH(G$1,'Data_NSA'!$A:$A,0),MATCH($C280,'Data_NSA'!$1:$1,0))/INDEX('Data_NSA'!$A:$OK,MATCH($E280,'Data_NSA'!$A:$A,0),MATCH($C280,'Data_NSA'!$1:$1,0))))/(100*(INDEX('Data_NSA'!$A:$OK,MATCH(G$1,'Data_NSA'!$A:$A,0),MATCH("CUUR0000SA0",'Data_NSA'!$1:$1,0))/INDEX('Data_NSA'!$A:$OK,MATCH($E280,'Data_NSA'!$A:$A,0),MATCH("CUUR0000SA0",'Data_NSA'!$1:$1,0)))),"")</f>
        <v/>
      </c>
      <c r="H280" s="10">
        <f>IFERROR(100*($D280*(INDEX('Data_NSA'!$A:$OK,MATCH(H$1,'Data_NSA'!$A:$A,0),MATCH($C280,'Data_NSA'!$1:$1,0))/INDEX('Data_NSA'!$A:$OK,MATCH($E280,'Data_NSA'!$A:$A,0),MATCH($C280,'Data_NSA'!$1:$1,0))))/(100*(INDEX('Data_NSA'!$A:$OK,MATCH(H$1,'Data_NSA'!$A:$A,0),MATCH("CUUR0000SA0",'Data_NSA'!$1:$1,0))/INDEX('Data_NSA'!$A:$OK,MATCH($E280,'Data_NSA'!$A:$A,0),MATCH("CUUR0000SA0",'Data_NSA'!$1:$1,0)))),"")</f>
        <v/>
      </c>
      <c r="I280" s="10">
        <f>IFERROR(100*($D280*(INDEX('Data_NSA'!$A:$OK,MATCH(I$1,'Data_NSA'!$A:$A,0),MATCH($C280,'Data_NSA'!$1:$1,0))/INDEX('Data_NSA'!$A:$OK,MATCH($E280,'Data_NSA'!$A:$A,0),MATCH($C280,'Data_NSA'!$1:$1,0))))/(100*(INDEX('Data_NSA'!$A:$OK,MATCH(I$1,'Data_NSA'!$A:$A,0),MATCH("CUUR0000SA0",'Data_NSA'!$1:$1,0))/INDEX('Data_NSA'!$A:$OK,MATCH($E280,'Data_NSA'!$A:$A,0),MATCH("CUUR0000SA0",'Data_NSA'!$1:$1,0)))),"")</f>
        <v/>
      </c>
    </row>
    <row r="281">
      <c r="A281" s="3" t="inlineStr">
        <is>
          <t>SERB01</t>
        </is>
      </c>
      <c r="B281" s="3" t="inlineStr">
        <is>
          <t>Pets and pet products</t>
        </is>
      </c>
      <c r="C281" s="3" t="inlineStr">
        <is>
          <t>CUUR0000SERB01</t>
        </is>
      </c>
      <c r="D281" s="21" t="n">
        <v>0.612</v>
      </c>
      <c r="E281" s="22" t="n">
        <v>45992</v>
      </c>
      <c r="F281" s="3" t="n">
        <v>2024</v>
      </c>
      <c r="G281" s="10">
        <f>IFERROR(100*($D281*(INDEX('Data_NSA'!$A:$OK,MATCH(G$1,'Data_NSA'!$A:$A,0),MATCH($C281,'Data_NSA'!$1:$1,0))/INDEX('Data_NSA'!$A:$OK,MATCH($E281,'Data_NSA'!$A:$A,0),MATCH($C281,'Data_NSA'!$1:$1,0))))/(100*(INDEX('Data_NSA'!$A:$OK,MATCH(G$1,'Data_NSA'!$A:$A,0),MATCH("CUUR0000SA0",'Data_NSA'!$1:$1,0))/INDEX('Data_NSA'!$A:$OK,MATCH($E281,'Data_NSA'!$A:$A,0),MATCH("CUUR0000SA0",'Data_NSA'!$1:$1,0)))),"")</f>
        <v/>
      </c>
      <c r="H281" s="10">
        <f>IFERROR(100*($D281*(INDEX('Data_NSA'!$A:$OK,MATCH(H$1,'Data_NSA'!$A:$A,0),MATCH($C281,'Data_NSA'!$1:$1,0))/INDEX('Data_NSA'!$A:$OK,MATCH($E281,'Data_NSA'!$A:$A,0),MATCH($C281,'Data_NSA'!$1:$1,0))))/(100*(INDEX('Data_NSA'!$A:$OK,MATCH(H$1,'Data_NSA'!$A:$A,0),MATCH("CUUR0000SA0",'Data_NSA'!$1:$1,0))/INDEX('Data_NSA'!$A:$OK,MATCH($E281,'Data_NSA'!$A:$A,0),MATCH("CUUR0000SA0",'Data_NSA'!$1:$1,0)))),"")</f>
        <v/>
      </c>
      <c r="I281" s="10">
        <f>IFERROR(100*($D281*(INDEX('Data_NSA'!$A:$OK,MATCH(I$1,'Data_NSA'!$A:$A,0),MATCH($C281,'Data_NSA'!$1:$1,0))/INDEX('Data_NSA'!$A:$OK,MATCH($E281,'Data_NSA'!$A:$A,0),MATCH($C281,'Data_NSA'!$1:$1,0))))/(100*(INDEX('Data_NSA'!$A:$OK,MATCH(I$1,'Data_NSA'!$A:$A,0),MATCH("CUUR0000SA0",'Data_NSA'!$1:$1,0))/INDEX('Data_NSA'!$A:$OK,MATCH($E281,'Data_NSA'!$A:$A,0),MATCH("CUUR0000SA0",'Data_NSA'!$1:$1,0)))),"")</f>
        <v/>
      </c>
    </row>
    <row r="282">
      <c r="A282" s="3" t="inlineStr">
        <is>
          <t>SS61031</t>
        </is>
      </c>
      <c r="B282" s="3" t="inlineStr">
        <is>
          <t>Pet food and treats</t>
        </is>
      </c>
      <c r="C282" s="3" t="inlineStr">
        <is>
          <t>CUUR0000SS61031</t>
        </is>
      </c>
      <c r="D282" s="21" t="n"/>
      <c r="E282" s="22" t="n">
        <v>45992</v>
      </c>
      <c r="F282" s="3" t="n">
        <v>2024</v>
      </c>
      <c r="G282" s="10">
        <f>IFERROR(100*($D282*(INDEX('Data_NSA'!$A:$OK,MATCH(G$1,'Data_NSA'!$A:$A,0),MATCH($C282,'Data_NSA'!$1:$1,0))/INDEX('Data_NSA'!$A:$OK,MATCH($E282,'Data_NSA'!$A:$A,0),MATCH($C282,'Data_NSA'!$1:$1,0))))/(100*(INDEX('Data_NSA'!$A:$OK,MATCH(G$1,'Data_NSA'!$A:$A,0),MATCH("CUUR0000SA0",'Data_NSA'!$1:$1,0))/INDEX('Data_NSA'!$A:$OK,MATCH($E282,'Data_NSA'!$A:$A,0),MATCH("CUUR0000SA0",'Data_NSA'!$1:$1,0)))),"")</f>
        <v/>
      </c>
      <c r="H282" s="10">
        <f>IFERROR(100*($D282*(INDEX('Data_NSA'!$A:$OK,MATCH(H$1,'Data_NSA'!$A:$A,0),MATCH($C282,'Data_NSA'!$1:$1,0))/INDEX('Data_NSA'!$A:$OK,MATCH($E282,'Data_NSA'!$A:$A,0),MATCH($C282,'Data_NSA'!$1:$1,0))))/(100*(INDEX('Data_NSA'!$A:$OK,MATCH(H$1,'Data_NSA'!$A:$A,0),MATCH("CUUR0000SA0",'Data_NSA'!$1:$1,0))/INDEX('Data_NSA'!$A:$OK,MATCH($E282,'Data_NSA'!$A:$A,0),MATCH("CUUR0000SA0",'Data_NSA'!$1:$1,0)))),"")</f>
        <v/>
      </c>
      <c r="I282" s="10">
        <f>IFERROR(100*($D282*(INDEX('Data_NSA'!$A:$OK,MATCH(I$1,'Data_NSA'!$A:$A,0),MATCH($C282,'Data_NSA'!$1:$1,0))/INDEX('Data_NSA'!$A:$OK,MATCH($E282,'Data_NSA'!$A:$A,0),MATCH($C282,'Data_NSA'!$1:$1,0))))/(100*(INDEX('Data_NSA'!$A:$OK,MATCH(I$1,'Data_NSA'!$A:$A,0),MATCH("CUUR0000SA0",'Data_NSA'!$1:$1,0))/INDEX('Data_NSA'!$A:$OK,MATCH($E282,'Data_NSA'!$A:$A,0),MATCH("CUUR0000SA0",'Data_NSA'!$1:$1,0)))),"")</f>
        <v/>
      </c>
    </row>
    <row r="283">
      <c r="A283" s="3" t="inlineStr">
        <is>
          <t>SS61032</t>
        </is>
      </c>
      <c r="B283" s="3" t="inlineStr">
        <is>
          <t>Purchase of pets, pet supplies, accessories</t>
        </is>
      </c>
      <c r="C283" s="3" t="inlineStr">
        <is>
          <t>CUUR0000SS61032</t>
        </is>
      </c>
      <c r="D283" s="21" t="n"/>
      <c r="E283" s="22" t="n">
        <v>45992</v>
      </c>
      <c r="F283" s="3" t="n">
        <v>2024</v>
      </c>
      <c r="G283" s="10">
        <f>IFERROR(100*($D283*(INDEX('Data_NSA'!$A:$OK,MATCH(G$1,'Data_NSA'!$A:$A,0),MATCH($C283,'Data_NSA'!$1:$1,0))/INDEX('Data_NSA'!$A:$OK,MATCH($E283,'Data_NSA'!$A:$A,0),MATCH($C283,'Data_NSA'!$1:$1,0))))/(100*(INDEX('Data_NSA'!$A:$OK,MATCH(G$1,'Data_NSA'!$A:$A,0),MATCH("CUUR0000SA0",'Data_NSA'!$1:$1,0))/INDEX('Data_NSA'!$A:$OK,MATCH($E283,'Data_NSA'!$A:$A,0),MATCH("CUUR0000SA0",'Data_NSA'!$1:$1,0)))),"")</f>
        <v/>
      </c>
      <c r="H283" s="10">
        <f>IFERROR(100*($D283*(INDEX('Data_NSA'!$A:$OK,MATCH(H$1,'Data_NSA'!$A:$A,0),MATCH($C283,'Data_NSA'!$1:$1,0))/INDEX('Data_NSA'!$A:$OK,MATCH($E283,'Data_NSA'!$A:$A,0),MATCH($C283,'Data_NSA'!$1:$1,0))))/(100*(INDEX('Data_NSA'!$A:$OK,MATCH(H$1,'Data_NSA'!$A:$A,0),MATCH("CUUR0000SA0",'Data_NSA'!$1:$1,0))/INDEX('Data_NSA'!$A:$OK,MATCH($E283,'Data_NSA'!$A:$A,0),MATCH("CUUR0000SA0",'Data_NSA'!$1:$1,0)))),"")</f>
        <v/>
      </c>
      <c r="I283" s="10">
        <f>IFERROR(100*($D283*(INDEX('Data_NSA'!$A:$OK,MATCH(I$1,'Data_NSA'!$A:$A,0),MATCH($C283,'Data_NSA'!$1:$1,0))/INDEX('Data_NSA'!$A:$OK,MATCH($E283,'Data_NSA'!$A:$A,0),MATCH($C283,'Data_NSA'!$1:$1,0))))/(100*(INDEX('Data_NSA'!$A:$OK,MATCH(I$1,'Data_NSA'!$A:$A,0),MATCH("CUUR0000SA0",'Data_NSA'!$1:$1,0))/INDEX('Data_NSA'!$A:$OK,MATCH($E283,'Data_NSA'!$A:$A,0),MATCH("CUUR0000SA0",'Data_NSA'!$1:$1,0)))),"")</f>
        <v/>
      </c>
    </row>
    <row r="284">
      <c r="A284" s="3" t="inlineStr">
        <is>
          <t>SERB02</t>
        </is>
      </c>
      <c r="B284" s="3" t="inlineStr">
        <is>
          <t>Pet services including veterinary</t>
        </is>
      </c>
      <c r="C284" s="3" t="inlineStr">
        <is>
          <t>CUUR0000SERB02</t>
        </is>
      </c>
      <c r="D284" s="21" t="n">
        <v>0.546</v>
      </c>
      <c r="E284" s="22" t="n">
        <v>45992</v>
      </c>
      <c r="F284" s="3" t="n">
        <v>2024</v>
      </c>
      <c r="G284" s="10">
        <f>IFERROR(100*($D284*(INDEX('Data_NSA'!$A:$OK,MATCH(G$1,'Data_NSA'!$A:$A,0),MATCH($C284,'Data_NSA'!$1:$1,0))/INDEX('Data_NSA'!$A:$OK,MATCH($E284,'Data_NSA'!$A:$A,0),MATCH($C284,'Data_NSA'!$1:$1,0))))/(100*(INDEX('Data_NSA'!$A:$OK,MATCH(G$1,'Data_NSA'!$A:$A,0),MATCH("CUUR0000SA0",'Data_NSA'!$1:$1,0))/INDEX('Data_NSA'!$A:$OK,MATCH($E284,'Data_NSA'!$A:$A,0),MATCH("CUUR0000SA0",'Data_NSA'!$1:$1,0)))),"")</f>
        <v/>
      </c>
      <c r="H284" s="10">
        <f>IFERROR(100*($D284*(INDEX('Data_NSA'!$A:$OK,MATCH(H$1,'Data_NSA'!$A:$A,0),MATCH($C284,'Data_NSA'!$1:$1,0))/INDEX('Data_NSA'!$A:$OK,MATCH($E284,'Data_NSA'!$A:$A,0),MATCH($C284,'Data_NSA'!$1:$1,0))))/(100*(INDEX('Data_NSA'!$A:$OK,MATCH(H$1,'Data_NSA'!$A:$A,0),MATCH("CUUR0000SA0",'Data_NSA'!$1:$1,0))/INDEX('Data_NSA'!$A:$OK,MATCH($E284,'Data_NSA'!$A:$A,0),MATCH("CUUR0000SA0",'Data_NSA'!$1:$1,0)))),"")</f>
        <v/>
      </c>
      <c r="I284" s="10">
        <f>IFERROR(100*($D284*(INDEX('Data_NSA'!$A:$OK,MATCH(I$1,'Data_NSA'!$A:$A,0),MATCH($C284,'Data_NSA'!$1:$1,0))/INDEX('Data_NSA'!$A:$OK,MATCH($E284,'Data_NSA'!$A:$A,0),MATCH($C284,'Data_NSA'!$1:$1,0))))/(100*(INDEX('Data_NSA'!$A:$OK,MATCH(I$1,'Data_NSA'!$A:$A,0),MATCH("CUUR0000SA0",'Data_NSA'!$1:$1,0))/INDEX('Data_NSA'!$A:$OK,MATCH($E284,'Data_NSA'!$A:$A,0),MATCH("CUUR0000SA0",'Data_NSA'!$1:$1,0)))),"")</f>
        <v/>
      </c>
    </row>
    <row r="285">
      <c r="A285" s="3" t="inlineStr">
        <is>
          <t>SS62053</t>
        </is>
      </c>
      <c r="B285" s="3" t="inlineStr">
        <is>
          <t>Pet services</t>
        </is>
      </c>
      <c r="C285" s="3" t="inlineStr">
        <is>
          <t>CUUR0000SS62053</t>
        </is>
      </c>
      <c r="D285" s="21" t="n"/>
      <c r="E285" s="22" t="n">
        <v>45992</v>
      </c>
      <c r="F285" s="3" t="n">
        <v>2024</v>
      </c>
      <c r="G285" s="10">
        <f>IFERROR(100*($D285*(INDEX('Data_NSA'!$A:$OK,MATCH(G$1,'Data_NSA'!$A:$A,0),MATCH($C285,'Data_NSA'!$1:$1,0))/INDEX('Data_NSA'!$A:$OK,MATCH($E285,'Data_NSA'!$A:$A,0),MATCH($C285,'Data_NSA'!$1:$1,0))))/(100*(INDEX('Data_NSA'!$A:$OK,MATCH(G$1,'Data_NSA'!$A:$A,0),MATCH("CUUR0000SA0",'Data_NSA'!$1:$1,0))/INDEX('Data_NSA'!$A:$OK,MATCH($E285,'Data_NSA'!$A:$A,0),MATCH("CUUR0000SA0",'Data_NSA'!$1:$1,0)))),"")</f>
        <v/>
      </c>
      <c r="H285" s="10">
        <f>IFERROR(100*($D285*(INDEX('Data_NSA'!$A:$OK,MATCH(H$1,'Data_NSA'!$A:$A,0),MATCH($C285,'Data_NSA'!$1:$1,0))/INDEX('Data_NSA'!$A:$OK,MATCH($E285,'Data_NSA'!$A:$A,0),MATCH($C285,'Data_NSA'!$1:$1,0))))/(100*(INDEX('Data_NSA'!$A:$OK,MATCH(H$1,'Data_NSA'!$A:$A,0),MATCH("CUUR0000SA0",'Data_NSA'!$1:$1,0))/INDEX('Data_NSA'!$A:$OK,MATCH($E285,'Data_NSA'!$A:$A,0),MATCH("CUUR0000SA0",'Data_NSA'!$1:$1,0)))),"")</f>
        <v/>
      </c>
      <c r="I285" s="10">
        <f>IFERROR(100*($D285*(INDEX('Data_NSA'!$A:$OK,MATCH(I$1,'Data_NSA'!$A:$A,0),MATCH($C285,'Data_NSA'!$1:$1,0))/INDEX('Data_NSA'!$A:$OK,MATCH($E285,'Data_NSA'!$A:$A,0),MATCH($C285,'Data_NSA'!$1:$1,0))))/(100*(INDEX('Data_NSA'!$A:$OK,MATCH(I$1,'Data_NSA'!$A:$A,0),MATCH("CUUR0000SA0",'Data_NSA'!$1:$1,0))/INDEX('Data_NSA'!$A:$OK,MATCH($E285,'Data_NSA'!$A:$A,0),MATCH("CUUR0000SA0",'Data_NSA'!$1:$1,0)))),"")</f>
        <v/>
      </c>
    </row>
    <row r="286">
      <c r="A286" s="3" t="inlineStr">
        <is>
          <t>SS62054</t>
        </is>
      </c>
      <c r="B286" s="3" t="inlineStr">
        <is>
          <t>Veterinarian services</t>
        </is>
      </c>
      <c r="C286" s="3" t="inlineStr">
        <is>
          <t>CUUR0000SS62054</t>
        </is>
      </c>
      <c r="D286" s="21" t="n"/>
      <c r="E286" s="22" t="n">
        <v>45992</v>
      </c>
      <c r="F286" s="3" t="n">
        <v>2024</v>
      </c>
      <c r="G286" s="10">
        <f>IFERROR(100*($D286*(INDEX('Data_NSA'!$A:$OK,MATCH(G$1,'Data_NSA'!$A:$A,0),MATCH($C286,'Data_NSA'!$1:$1,0))/INDEX('Data_NSA'!$A:$OK,MATCH($E286,'Data_NSA'!$A:$A,0),MATCH($C286,'Data_NSA'!$1:$1,0))))/(100*(INDEX('Data_NSA'!$A:$OK,MATCH(G$1,'Data_NSA'!$A:$A,0),MATCH("CUUR0000SA0",'Data_NSA'!$1:$1,0))/INDEX('Data_NSA'!$A:$OK,MATCH($E286,'Data_NSA'!$A:$A,0),MATCH("CUUR0000SA0",'Data_NSA'!$1:$1,0)))),"")</f>
        <v/>
      </c>
      <c r="H286" s="10">
        <f>IFERROR(100*($D286*(INDEX('Data_NSA'!$A:$OK,MATCH(H$1,'Data_NSA'!$A:$A,0),MATCH($C286,'Data_NSA'!$1:$1,0))/INDEX('Data_NSA'!$A:$OK,MATCH($E286,'Data_NSA'!$A:$A,0),MATCH($C286,'Data_NSA'!$1:$1,0))))/(100*(INDEX('Data_NSA'!$A:$OK,MATCH(H$1,'Data_NSA'!$A:$A,0),MATCH("CUUR0000SA0",'Data_NSA'!$1:$1,0))/INDEX('Data_NSA'!$A:$OK,MATCH($E286,'Data_NSA'!$A:$A,0),MATCH("CUUR0000SA0",'Data_NSA'!$1:$1,0)))),"")</f>
        <v/>
      </c>
      <c r="I286" s="10">
        <f>IFERROR(100*($D286*(INDEX('Data_NSA'!$A:$OK,MATCH(I$1,'Data_NSA'!$A:$A,0),MATCH($C286,'Data_NSA'!$1:$1,0))/INDEX('Data_NSA'!$A:$OK,MATCH($E286,'Data_NSA'!$A:$A,0),MATCH($C286,'Data_NSA'!$1:$1,0))))/(100*(INDEX('Data_NSA'!$A:$OK,MATCH(I$1,'Data_NSA'!$A:$A,0),MATCH("CUUR0000SA0",'Data_NSA'!$1:$1,0))/INDEX('Data_NSA'!$A:$OK,MATCH($E286,'Data_NSA'!$A:$A,0),MATCH("CUUR0000SA0",'Data_NSA'!$1:$1,0)))),"")</f>
        <v/>
      </c>
    </row>
    <row r="287">
      <c r="A287" s="3" t="inlineStr">
        <is>
          <t>SERC</t>
        </is>
      </c>
      <c r="B287" s="3" t="inlineStr">
        <is>
          <t>Sporting goods</t>
        </is>
      </c>
      <c r="C287" s="3" t="inlineStr">
        <is>
          <t>CUUR0000SERC</t>
        </is>
      </c>
      <c r="D287" s="21" t="n">
        <v>0.526</v>
      </c>
      <c r="E287" s="22" t="n">
        <v>45992</v>
      </c>
      <c r="F287" s="3" t="n">
        <v>2024</v>
      </c>
      <c r="G287" s="10">
        <f>IFERROR(100*($D287*(INDEX('Data_NSA'!$A:$OK,MATCH(G$1,'Data_NSA'!$A:$A,0),MATCH($C287,'Data_NSA'!$1:$1,0))/INDEX('Data_NSA'!$A:$OK,MATCH($E287,'Data_NSA'!$A:$A,0),MATCH($C287,'Data_NSA'!$1:$1,0))))/(100*(INDEX('Data_NSA'!$A:$OK,MATCH(G$1,'Data_NSA'!$A:$A,0),MATCH("CUUR0000SA0",'Data_NSA'!$1:$1,0))/INDEX('Data_NSA'!$A:$OK,MATCH($E287,'Data_NSA'!$A:$A,0),MATCH("CUUR0000SA0",'Data_NSA'!$1:$1,0)))),"")</f>
        <v/>
      </c>
      <c r="H287" s="10">
        <f>IFERROR(100*($D287*(INDEX('Data_NSA'!$A:$OK,MATCH(H$1,'Data_NSA'!$A:$A,0),MATCH($C287,'Data_NSA'!$1:$1,0))/INDEX('Data_NSA'!$A:$OK,MATCH($E287,'Data_NSA'!$A:$A,0),MATCH($C287,'Data_NSA'!$1:$1,0))))/(100*(INDEX('Data_NSA'!$A:$OK,MATCH(H$1,'Data_NSA'!$A:$A,0),MATCH("CUUR0000SA0",'Data_NSA'!$1:$1,0))/INDEX('Data_NSA'!$A:$OK,MATCH($E287,'Data_NSA'!$A:$A,0),MATCH("CUUR0000SA0",'Data_NSA'!$1:$1,0)))),"")</f>
        <v/>
      </c>
      <c r="I287" s="10">
        <f>IFERROR(100*($D287*(INDEX('Data_NSA'!$A:$OK,MATCH(I$1,'Data_NSA'!$A:$A,0),MATCH($C287,'Data_NSA'!$1:$1,0))/INDEX('Data_NSA'!$A:$OK,MATCH($E287,'Data_NSA'!$A:$A,0),MATCH($C287,'Data_NSA'!$1:$1,0))))/(100*(INDEX('Data_NSA'!$A:$OK,MATCH(I$1,'Data_NSA'!$A:$A,0),MATCH("CUUR0000SA0",'Data_NSA'!$1:$1,0))/INDEX('Data_NSA'!$A:$OK,MATCH($E287,'Data_NSA'!$A:$A,0),MATCH("CUUR0000SA0",'Data_NSA'!$1:$1,0)))),"")</f>
        <v/>
      </c>
    </row>
    <row r="288">
      <c r="A288" s="3" t="inlineStr">
        <is>
          <t>SERC01</t>
        </is>
      </c>
      <c r="B288" s="3" t="inlineStr">
        <is>
          <t>Sports vehicles including bicycles</t>
        </is>
      </c>
      <c r="C288" s="3" t="inlineStr">
        <is>
          <t>CUUR0000SERC01</t>
        </is>
      </c>
      <c r="D288" s="21" t="n">
        <v>0.284</v>
      </c>
      <c r="E288" s="22" t="n">
        <v>45992</v>
      </c>
      <c r="F288" s="3" t="n">
        <v>2024</v>
      </c>
      <c r="G288" s="10">
        <f>IFERROR(100*($D288*(INDEX('Data_NSA'!$A:$OK,MATCH(G$1,'Data_NSA'!$A:$A,0),MATCH($C288,'Data_NSA'!$1:$1,0))/INDEX('Data_NSA'!$A:$OK,MATCH($E288,'Data_NSA'!$A:$A,0),MATCH($C288,'Data_NSA'!$1:$1,0))))/(100*(INDEX('Data_NSA'!$A:$OK,MATCH(G$1,'Data_NSA'!$A:$A,0),MATCH("CUUR0000SA0",'Data_NSA'!$1:$1,0))/INDEX('Data_NSA'!$A:$OK,MATCH($E288,'Data_NSA'!$A:$A,0),MATCH("CUUR0000SA0",'Data_NSA'!$1:$1,0)))),"")</f>
        <v/>
      </c>
      <c r="H288" s="10">
        <f>IFERROR(100*($D288*(INDEX('Data_NSA'!$A:$OK,MATCH(H$1,'Data_NSA'!$A:$A,0),MATCH($C288,'Data_NSA'!$1:$1,0))/INDEX('Data_NSA'!$A:$OK,MATCH($E288,'Data_NSA'!$A:$A,0),MATCH($C288,'Data_NSA'!$1:$1,0))))/(100*(INDEX('Data_NSA'!$A:$OK,MATCH(H$1,'Data_NSA'!$A:$A,0),MATCH("CUUR0000SA0",'Data_NSA'!$1:$1,0))/INDEX('Data_NSA'!$A:$OK,MATCH($E288,'Data_NSA'!$A:$A,0),MATCH("CUUR0000SA0",'Data_NSA'!$1:$1,0)))),"")</f>
        <v/>
      </c>
      <c r="I288" s="10">
        <f>IFERROR(100*($D288*(INDEX('Data_NSA'!$A:$OK,MATCH(I$1,'Data_NSA'!$A:$A,0),MATCH($C288,'Data_NSA'!$1:$1,0))/INDEX('Data_NSA'!$A:$OK,MATCH($E288,'Data_NSA'!$A:$A,0),MATCH($C288,'Data_NSA'!$1:$1,0))))/(100*(INDEX('Data_NSA'!$A:$OK,MATCH(I$1,'Data_NSA'!$A:$A,0),MATCH("CUUR0000SA0",'Data_NSA'!$1:$1,0))/INDEX('Data_NSA'!$A:$OK,MATCH($E288,'Data_NSA'!$A:$A,0),MATCH("CUUR0000SA0",'Data_NSA'!$1:$1,0)))),"")</f>
        <v/>
      </c>
    </row>
    <row r="289">
      <c r="A289" s="3" t="inlineStr">
        <is>
          <t>SERC02</t>
        </is>
      </c>
      <c r="B289" s="3" t="inlineStr">
        <is>
          <t>Sports equipment</t>
        </is>
      </c>
      <c r="C289" s="3" t="inlineStr">
        <is>
          <t>CUUR0000SERC02</t>
        </is>
      </c>
      <c r="D289" s="21" t="n">
        <v>0.231</v>
      </c>
      <c r="E289" s="22" t="n">
        <v>45992</v>
      </c>
      <c r="F289" s="3" t="n">
        <v>2024</v>
      </c>
      <c r="G289" s="10">
        <f>IFERROR(100*($D289*(INDEX('Data_NSA'!$A:$OK,MATCH(G$1,'Data_NSA'!$A:$A,0),MATCH($C289,'Data_NSA'!$1:$1,0))/INDEX('Data_NSA'!$A:$OK,MATCH($E289,'Data_NSA'!$A:$A,0),MATCH($C289,'Data_NSA'!$1:$1,0))))/(100*(INDEX('Data_NSA'!$A:$OK,MATCH(G$1,'Data_NSA'!$A:$A,0),MATCH("CUUR0000SA0",'Data_NSA'!$1:$1,0))/INDEX('Data_NSA'!$A:$OK,MATCH($E289,'Data_NSA'!$A:$A,0),MATCH("CUUR0000SA0",'Data_NSA'!$1:$1,0)))),"")</f>
        <v/>
      </c>
      <c r="H289" s="10">
        <f>IFERROR(100*($D289*(INDEX('Data_NSA'!$A:$OK,MATCH(H$1,'Data_NSA'!$A:$A,0),MATCH($C289,'Data_NSA'!$1:$1,0))/INDEX('Data_NSA'!$A:$OK,MATCH($E289,'Data_NSA'!$A:$A,0),MATCH($C289,'Data_NSA'!$1:$1,0))))/(100*(INDEX('Data_NSA'!$A:$OK,MATCH(H$1,'Data_NSA'!$A:$A,0),MATCH("CUUR0000SA0",'Data_NSA'!$1:$1,0))/INDEX('Data_NSA'!$A:$OK,MATCH($E289,'Data_NSA'!$A:$A,0),MATCH("CUUR0000SA0",'Data_NSA'!$1:$1,0)))),"")</f>
        <v/>
      </c>
      <c r="I289" s="10">
        <f>IFERROR(100*($D289*(INDEX('Data_NSA'!$A:$OK,MATCH(I$1,'Data_NSA'!$A:$A,0),MATCH($C289,'Data_NSA'!$1:$1,0))/INDEX('Data_NSA'!$A:$OK,MATCH($E289,'Data_NSA'!$A:$A,0),MATCH($C289,'Data_NSA'!$1:$1,0))))/(100*(INDEX('Data_NSA'!$A:$OK,MATCH(I$1,'Data_NSA'!$A:$A,0),MATCH("CUUR0000SA0",'Data_NSA'!$1:$1,0))/INDEX('Data_NSA'!$A:$OK,MATCH($E289,'Data_NSA'!$A:$A,0),MATCH("CUUR0000SA0",'Data_NSA'!$1:$1,0)))),"")</f>
        <v/>
      </c>
    </row>
    <row r="290">
      <c r="A290" s="3" t="inlineStr">
        <is>
          <t>SERD</t>
        </is>
      </c>
      <c r="B290" s="3" t="inlineStr">
        <is>
          <t>Photography</t>
        </is>
      </c>
      <c r="C290" s="3" t="inlineStr">
        <is>
          <t>CUUR0000SERD</t>
        </is>
      </c>
      <c r="D290" s="21" t="n">
        <v>0.064</v>
      </c>
      <c r="E290" s="22" t="n">
        <v>45992</v>
      </c>
      <c r="F290" s="3" t="n">
        <v>2024</v>
      </c>
      <c r="G290" s="10">
        <f>IFERROR(100*($D290*(INDEX('Data_NSA'!$A:$OK,MATCH(G$1,'Data_NSA'!$A:$A,0),MATCH($C290,'Data_NSA'!$1:$1,0))/INDEX('Data_NSA'!$A:$OK,MATCH($E290,'Data_NSA'!$A:$A,0),MATCH($C290,'Data_NSA'!$1:$1,0))))/(100*(INDEX('Data_NSA'!$A:$OK,MATCH(G$1,'Data_NSA'!$A:$A,0),MATCH("CUUR0000SA0",'Data_NSA'!$1:$1,0))/INDEX('Data_NSA'!$A:$OK,MATCH($E290,'Data_NSA'!$A:$A,0),MATCH("CUUR0000SA0",'Data_NSA'!$1:$1,0)))),"")</f>
        <v/>
      </c>
      <c r="H290" s="10">
        <f>IFERROR(100*($D290*(INDEX('Data_NSA'!$A:$OK,MATCH(H$1,'Data_NSA'!$A:$A,0),MATCH($C290,'Data_NSA'!$1:$1,0))/INDEX('Data_NSA'!$A:$OK,MATCH($E290,'Data_NSA'!$A:$A,0),MATCH($C290,'Data_NSA'!$1:$1,0))))/(100*(INDEX('Data_NSA'!$A:$OK,MATCH(H$1,'Data_NSA'!$A:$A,0),MATCH("CUUR0000SA0",'Data_NSA'!$1:$1,0))/INDEX('Data_NSA'!$A:$OK,MATCH($E290,'Data_NSA'!$A:$A,0),MATCH("CUUR0000SA0",'Data_NSA'!$1:$1,0)))),"")</f>
        <v/>
      </c>
      <c r="I290" s="10">
        <f>IFERROR(100*($D290*(INDEX('Data_NSA'!$A:$OK,MATCH(I$1,'Data_NSA'!$A:$A,0),MATCH($C290,'Data_NSA'!$1:$1,0))/INDEX('Data_NSA'!$A:$OK,MATCH($E290,'Data_NSA'!$A:$A,0),MATCH($C290,'Data_NSA'!$1:$1,0))))/(100*(INDEX('Data_NSA'!$A:$OK,MATCH(I$1,'Data_NSA'!$A:$A,0),MATCH("CUUR0000SA0",'Data_NSA'!$1:$1,0))/INDEX('Data_NSA'!$A:$OK,MATCH($E290,'Data_NSA'!$A:$A,0),MATCH("CUUR0000SA0",'Data_NSA'!$1:$1,0)))),"")</f>
        <v/>
      </c>
    </row>
    <row r="291">
      <c r="A291" s="3" t="inlineStr">
        <is>
          <t>SERD01</t>
        </is>
      </c>
      <c r="B291" s="3" t="inlineStr">
        <is>
          <t>Photographic equipment and supplies</t>
        </is>
      </c>
      <c r="C291" s="3" t="inlineStr">
        <is>
          <t>CUUR0000SERD01</t>
        </is>
      </c>
      <c r="D291" s="21" t="n">
        <v>0.026</v>
      </c>
      <c r="E291" s="22" t="n">
        <v>45992</v>
      </c>
      <c r="F291" s="3" t="n">
        <v>2024</v>
      </c>
      <c r="G291" s="10">
        <f>IFERROR(100*($D291*(INDEX('Data_NSA'!$A:$OK,MATCH(G$1,'Data_NSA'!$A:$A,0),MATCH($C291,'Data_NSA'!$1:$1,0))/INDEX('Data_NSA'!$A:$OK,MATCH($E291,'Data_NSA'!$A:$A,0),MATCH($C291,'Data_NSA'!$1:$1,0))))/(100*(INDEX('Data_NSA'!$A:$OK,MATCH(G$1,'Data_NSA'!$A:$A,0),MATCH("CUUR0000SA0",'Data_NSA'!$1:$1,0))/INDEX('Data_NSA'!$A:$OK,MATCH($E291,'Data_NSA'!$A:$A,0),MATCH("CUUR0000SA0",'Data_NSA'!$1:$1,0)))),"")</f>
        <v/>
      </c>
      <c r="H291" s="10">
        <f>IFERROR(100*($D291*(INDEX('Data_NSA'!$A:$OK,MATCH(H$1,'Data_NSA'!$A:$A,0),MATCH($C291,'Data_NSA'!$1:$1,0))/INDEX('Data_NSA'!$A:$OK,MATCH($E291,'Data_NSA'!$A:$A,0),MATCH($C291,'Data_NSA'!$1:$1,0))))/(100*(INDEX('Data_NSA'!$A:$OK,MATCH(H$1,'Data_NSA'!$A:$A,0),MATCH("CUUR0000SA0",'Data_NSA'!$1:$1,0))/INDEX('Data_NSA'!$A:$OK,MATCH($E291,'Data_NSA'!$A:$A,0),MATCH("CUUR0000SA0",'Data_NSA'!$1:$1,0)))),"")</f>
        <v/>
      </c>
      <c r="I291" s="10">
        <f>IFERROR(100*($D291*(INDEX('Data_NSA'!$A:$OK,MATCH(I$1,'Data_NSA'!$A:$A,0),MATCH($C291,'Data_NSA'!$1:$1,0))/INDEX('Data_NSA'!$A:$OK,MATCH($E291,'Data_NSA'!$A:$A,0),MATCH($C291,'Data_NSA'!$1:$1,0))))/(100*(INDEX('Data_NSA'!$A:$OK,MATCH(I$1,'Data_NSA'!$A:$A,0),MATCH("CUUR0000SA0",'Data_NSA'!$1:$1,0))/INDEX('Data_NSA'!$A:$OK,MATCH($E291,'Data_NSA'!$A:$A,0),MATCH("CUUR0000SA0",'Data_NSA'!$1:$1,0)))),"")</f>
        <v/>
      </c>
    </row>
    <row r="292">
      <c r="A292" s="3" t="inlineStr">
        <is>
          <t>SS61021</t>
        </is>
      </c>
      <c r="B292" s="3" t="inlineStr">
        <is>
          <t>Film and photographic supplies</t>
        </is>
      </c>
      <c r="C292" s="3" t="inlineStr">
        <is>
          <t>CUUR0000SS61021</t>
        </is>
      </c>
      <c r="D292" s="21" t="n"/>
      <c r="E292" s="22" t="n">
        <v>45992</v>
      </c>
      <c r="F292" s="3" t="n">
        <v>2024</v>
      </c>
      <c r="G292" s="10">
        <f>IFERROR(100*($D292*(INDEX('Data_NSA'!$A:$OK,MATCH(G$1,'Data_NSA'!$A:$A,0),MATCH($C292,'Data_NSA'!$1:$1,0))/INDEX('Data_NSA'!$A:$OK,MATCH($E292,'Data_NSA'!$A:$A,0),MATCH($C292,'Data_NSA'!$1:$1,0))))/(100*(INDEX('Data_NSA'!$A:$OK,MATCH(G$1,'Data_NSA'!$A:$A,0),MATCH("CUUR0000SA0",'Data_NSA'!$1:$1,0))/INDEX('Data_NSA'!$A:$OK,MATCH($E292,'Data_NSA'!$A:$A,0),MATCH("CUUR0000SA0",'Data_NSA'!$1:$1,0)))),"")</f>
        <v/>
      </c>
      <c r="H292" s="10">
        <f>IFERROR(100*($D292*(INDEX('Data_NSA'!$A:$OK,MATCH(H$1,'Data_NSA'!$A:$A,0),MATCH($C292,'Data_NSA'!$1:$1,0))/INDEX('Data_NSA'!$A:$OK,MATCH($E292,'Data_NSA'!$A:$A,0),MATCH($C292,'Data_NSA'!$1:$1,0))))/(100*(INDEX('Data_NSA'!$A:$OK,MATCH(H$1,'Data_NSA'!$A:$A,0),MATCH("CUUR0000SA0",'Data_NSA'!$1:$1,0))/INDEX('Data_NSA'!$A:$OK,MATCH($E292,'Data_NSA'!$A:$A,0),MATCH("CUUR0000SA0",'Data_NSA'!$1:$1,0)))),"")</f>
        <v/>
      </c>
      <c r="I292" s="10">
        <f>IFERROR(100*($D292*(INDEX('Data_NSA'!$A:$OK,MATCH(I$1,'Data_NSA'!$A:$A,0),MATCH($C292,'Data_NSA'!$1:$1,0))/INDEX('Data_NSA'!$A:$OK,MATCH($E292,'Data_NSA'!$A:$A,0),MATCH($C292,'Data_NSA'!$1:$1,0))))/(100*(INDEX('Data_NSA'!$A:$OK,MATCH(I$1,'Data_NSA'!$A:$A,0),MATCH("CUUR0000SA0",'Data_NSA'!$1:$1,0))/INDEX('Data_NSA'!$A:$OK,MATCH($E292,'Data_NSA'!$A:$A,0),MATCH("CUUR0000SA0",'Data_NSA'!$1:$1,0)))),"")</f>
        <v/>
      </c>
    </row>
    <row r="293">
      <c r="A293" s="3" t="inlineStr">
        <is>
          <t>SS61023</t>
        </is>
      </c>
      <c r="B293" s="3" t="inlineStr">
        <is>
          <t>Photographic equipment</t>
        </is>
      </c>
      <c r="C293" s="3" t="inlineStr">
        <is>
          <t>CUUR0000SS61023</t>
        </is>
      </c>
      <c r="D293" s="21" t="n"/>
      <c r="E293" s="22" t="n">
        <v>45992</v>
      </c>
      <c r="F293" s="3" t="n">
        <v>2024</v>
      </c>
      <c r="G293" s="10">
        <f>IFERROR(100*($D293*(INDEX('Data_NSA'!$A:$OK,MATCH(G$1,'Data_NSA'!$A:$A,0),MATCH($C293,'Data_NSA'!$1:$1,0))/INDEX('Data_NSA'!$A:$OK,MATCH($E293,'Data_NSA'!$A:$A,0),MATCH($C293,'Data_NSA'!$1:$1,0))))/(100*(INDEX('Data_NSA'!$A:$OK,MATCH(G$1,'Data_NSA'!$A:$A,0),MATCH("CUUR0000SA0",'Data_NSA'!$1:$1,0))/INDEX('Data_NSA'!$A:$OK,MATCH($E293,'Data_NSA'!$A:$A,0),MATCH("CUUR0000SA0",'Data_NSA'!$1:$1,0)))),"")</f>
        <v/>
      </c>
      <c r="H293" s="10">
        <f>IFERROR(100*($D293*(INDEX('Data_NSA'!$A:$OK,MATCH(H$1,'Data_NSA'!$A:$A,0),MATCH($C293,'Data_NSA'!$1:$1,0))/INDEX('Data_NSA'!$A:$OK,MATCH($E293,'Data_NSA'!$A:$A,0),MATCH($C293,'Data_NSA'!$1:$1,0))))/(100*(INDEX('Data_NSA'!$A:$OK,MATCH(H$1,'Data_NSA'!$A:$A,0),MATCH("CUUR0000SA0",'Data_NSA'!$1:$1,0))/INDEX('Data_NSA'!$A:$OK,MATCH($E293,'Data_NSA'!$A:$A,0),MATCH("CUUR0000SA0",'Data_NSA'!$1:$1,0)))),"")</f>
        <v/>
      </c>
      <c r="I293" s="10">
        <f>IFERROR(100*($D293*(INDEX('Data_NSA'!$A:$OK,MATCH(I$1,'Data_NSA'!$A:$A,0),MATCH($C293,'Data_NSA'!$1:$1,0))/INDEX('Data_NSA'!$A:$OK,MATCH($E293,'Data_NSA'!$A:$A,0),MATCH($C293,'Data_NSA'!$1:$1,0))))/(100*(INDEX('Data_NSA'!$A:$OK,MATCH(I$1,'Data_NSA'!$A:$A,0),MATCH("CUUR0000SA0",'Data_NSA'!$1:$1,0))/INDEX('Data_NSA'!$A:$OK,MATCH($E293,'Data_NSA'!$A:$A,0),MATCH("CUUR0000SA0",'Data_NSA'!$1:$1,0)))),"")</f>
        <v/>
      </c>
    </row>
    <row r="294">
      <c r="A294" s="3" t="inlineStr">
        <is>
          <t>SERD02</t>
        </is>
      </c>
      <c r="B294" s="3" t="inlineStr">
        <is>
          <t>Photographers and photo processing</t>
        </is>
      </c>
      <c r="C294" s="3" t="inlineStr">
        <is>
          <t>CUUR0000SERD02</t>
        </is>
      </c>
      <c r="D294" s="21" t="n">
        <v>0.037</v>
      </c>
      <c r="E294" s="22" t="n">
        <v>45992</v>
      </c>
      <c r="F294" s="3" t="n">
        <v>2024</v>
      </c>
      <c r="G294" s="10">
        <f>IFERROR(100*($D294*(INDEX('Data_NSA'!$A:$OK,MATCH(G$1,'Data_NSA'!$A:$A,0),MATCH($C294,'Data_NSA'!$1:$1,0))/INDEX('Data_NSA'!$A:$OK,MATCH($E294,'Data_NSA'!$A:$A,0),MATCH($C294,'Data_NSA'!$1:$1,0))))/(100*(INDEX('Data_NSA'!$A:$OK,MATCH(G$1,'Data_NSA'!$A:$A,0),MATCH("CUUR0000SA0",'Data_NSA'!$1:$1,0))/INDEX('Data_NSA'!$A:$OK,MATCH($E294,'Data_NSA'!$A:$A,0),MATCH("CUUR0000SA0",'Data_NSA'!$1:$1,0)))),"")</f>
        <v/>
      </c>
      <c r="H294" s="10">
        <f>IFERROR(100*($D294*(INDEX('Data_NSA'!$A:$OK,MATCH(H$1,'Data_NSA'!$A:$A,0),MATCH($C294,'Data_NSA'!$1:$1,0))/INDEX('Data_NSA'!$A:$OK,MATCH($E294,'Data_NSA'!$A:$A,0),MATCH($C294,'Data_NSA'!$1:$1,0))))/(100*(INDEX('Data_NSA'!$A:$OK,MATCH(H$1,'Data_NSA'!$A:$A,0),MATCH("CUUR0000SA0",'Data_NSA'!$1:$1,0))/INDEX('Data_NSA'!$A:$OK,MATCH($E294,'Data_NSA'!$A:$A,0),MATCH("CUUR0000SA0",'Data_NSA'!$1:$1,0)))),"")</f>
        <v/>
      </c>
      <c r="I294" s="10">
        <f>IFERROR(100*($D294*(INDEX('Data_NSA'!$A:$OK,MATCH(I$1,'Data_NSA'!$A:$A,0),MATCH($C294,'Data_NSA'!$1:$1,0))/INDEX('Data_NSA'!$A:$OK,MATCH($E294,'Data_NSA'!$A:$A,0),MATCH($C294,'Data_NSA'!$1:$1,0))))/(100*(INDEX('Data_NSA'!$A:$OK,MATCH(I$1,'Data_NSA'!$A:$A,0),MATCH("CUUR0000SA0",'Data_NSA'!$1:$1,0))/INDEX('Data_NSA'!$A:$OK,MATCH($E294,'Data_NSA'!$A:$A,0),MATCH("CUUR0000SA0",'Data_NSA'!$1:$1,0)))),"")</f>
        <v/>
      </c>
    </row>
    <row r="295">
      <c r="A295" s="3" t="inlineStr">
        <is>
          <t>SS62051</t>
        </is>
      </c>
      <c r="B295" s="3" t="inlineStr">
        <is>
          <t>Photographer fees</t>
        </is>
      </c>
      <c r="C295" s="3" t="inlineStr">
        <is>
          <t>CUUR0000SS62051</t>
        </is>
      </c>
      <c r="D295" s="21" t="n"/>
      <c r="E295" s="22" t="n">
        <v>45992</v>
      </c>
      <c r="F295" s="3" t="n">
        <v>2024</v>
      </c>
      <c r="G295" s="10">
        <f>IFERROR(100*($D295*(INDEX('Data_NSA'!$A:$OK,MATCH(G$1,'Data_NSA'!$A:$A,0),MATCH($C295,'Data_NSA'!$1:$1,0))/INDEX('Data_NSA'!$A:$OK,MATCH($E295,'Data_NSA'!$A:$A,0),MATCH($C295,'Data_NSA'!$1:$1,0))))/(100*(INDEX('Data_NSA'!$A:$OK,MATCH(G$1,'Data_NSA'!$A:$A,0),MATCH("CUUR0000SA0",'Data_NSA'!$1:$1,0))/INDEX('Data_NSA'!$A:$OK,MATCH($E295,'Data_NSA'!$A:$A,0),MATCH("CUUR0000SA0",'Data_NSA'!$1:$1,0)))),"")</f>
        <v/>
      </c>
      <c r="H295" s="10">
        <f>IFERROR(100*($D295*(INDEX('Data_NSA'!$A:$OK,MATCH(H$1,'Data_NSA'!$A:$A,0),MATCH($C295,'Data_NSA'!$1:$1,0))/INDEX('Data_NSA'!$A:$OK,MATCH($E295,'Data_NSA'!$A:$A,0),MATCH($C295,'Data_NSA'!$1:$1,0))))/(100*(INDEX('Data_NSA'!$A:$OK,MATCH(H$1,'Data_NSA'!$A:$A,0),MATCH("CUUR0000SA0",'Data_NSA'!$1:$1,0))/INDEX('Data_NSA'!$A:$OK,MATCH($E295,'Data_NSA'!$A:$A,0),MATCH("CUUR0000SA0",'Data_NSA'!$1:$1,0)))),"")</f>
        <v/>
      </c>
      <c r="I295" s="10">
        <f>IFERROR(100*($D295*(INDEX('Data_NSA'!$A:$OK,MATCH(I$1,'Data_NSA'!$A:$A,0),MATCH($C295,'Data_NSA'!$1:$1,0))/INDEX('Data_NSA'!$A:$OK,MATCH($E295,'Data_NSA'!$A:$A,0),MATCH($C295,'Data_NSA'!$1:$1,0))))/(100*(INDEX('Data_NSA'!$A:$OK,MATCH(I$1,'Data_NSA'!$A:$A,0),MATCH("CUUR0000SA0",'Data_NSA'!$1:$1,0))/INDEX('Data_NSA'!$A:$OK,MATCH($E295,'Data_NSA'!$A:$A,0),MATCH("CUUR0000SA0",'Data_NSA'!$1:$1,0)))),"")</f>
        <v/>
      </c>
    </row>
    <row r="296">
      <c r="A296" s="3" t="inlineStr">
        <is>
          <t>SS62052</t>
        </is>
      </c>
      <c r="B296" s="3" t="inlineStr">
        <is>
          <t>Photo Processing</t>
        </is>
      </c>
      <c r="C296" s="3" t="inlineStr">
        <is>
          <t>CUUR0000SS62052</t>
        </is>
      </c>
      <c r="D296" s="21" t="n"/>
      <c r="E296" s="22" t="n">
        <v>45992</v>
      </c>
      <c r="F296" s="3" t="n">
        <v>2024</v>
      </c>
      <c r="G296" s="10">
        <f>IFERROR(100*($D296*(INDEX('Data_NSA'!$A:$OK,MATCH(G$1,'Data_NSA'!$A:$A,0),MATCH($C296,'Data_NSA'!$1:$1,0))/INDEX('Data_NSA'!$A:$OK,MATCH($E296,'Data_NSA'!$A:$A,0),MATCH($C296,'Data_NSA'!$1:$1,0))))/(100*(INDEX('Data_NSA'!$A:$OK,MATCH(G$1,'Data_NSA'!$A:$A,0),MATCH("CUUR0000SA0",'Data_NSA'!$1:$1,0))/INDEX('Data_NSA'!$A:$OK,MATCH($E296,'Data_NSA'!$A:$A,0),MATCH("CUUR0000SA0",'Data_NSA'!$1:$1,0)))),"")</f>
        <v/>
      </c>
      <c r="H296" s="10">
        <f>IFERROR(100*($D296*(INDEX('Data_NSA'!$A:$OK,MATCH(H$1,'Data_NSA'!$A:$A,0),MATCH($C296,'Data_NSA'!$1:$1,0))/INDEX('Data_NSA'!$A:$OK,MATCH($E296,'Data_NSA'!$A:$A,0),MATCH($C296,'Data_NSA'!$1:$1,0))))/(100*(INDEX('Data_NSA'!$A:$OK,MATCH(H$1,'Data_NSA'!$A:$A,0),MATCH("CUUR0000SA0",'Data_NSA'!$1:$1,0))/INDEX('Data_NSA'!$A:$OK,MATCH($E296,'Data_NSA'!$A:$A,0),MATCH("CUUR0000SA0",'Data_NSA'!$1:$1,0)))),"")</f>
        <v/>
      </c>
      <c r="I296" s="10">
        <f>IFERROR(100*($D296*(INDEX('Data_NSA'!$A:$OK,MATCH(I$1,'Data_NSA'!$A:$A,0),MATCH($C296,'Data_NSA'!$1:$1,0))/INDEX('Data_NSA'!$A:$OK,MATCH($E296,'Data_NSA'!$A:$A,0),MATCH($C296,'Data_NSA'!$1:$1,0))))/(100*(INDEX('Data_NSA'!$A:$OK,MATCH(I$1,'Data_NSA'!$A:$A,0),MATCH("CUUR0000SA0",'Data_NSA'!$1:$1,0))/INDEX('Data_NSA'!$A:$OK,MATCH($E296,'Data_NSA'!$A:$A,0),MATCH("CUUR0000SA0",'Data_NSA'!$1:$1,0)))),"")</f>
        <v/>
      </c>
    </row>
    <row r="297">
      <c r="A297" s="3" t="inlineStr">
        <is>
          <t>SERE</t>
        </is>
      </c>
      <c r="B297" s="3" t="inlineStr">
        <is>
          <t>Other recreational goods</t>
        </is>
      </c>
      <c r="C297" s="3" t="inlineStr">
        <is>
          <t>CUUR0000SERE</t>
        </is>
      </c>
      <c r="D297" s="21" t="n">
        <v>0.38</v>
      </c>
      <c r="E297" s="22" t="n">
        <v>45992</v>
      </c>
      <c r="F297" s="3" t="n">
        <v>2024</v>
      </c>
      <c r="G297" s="10">
        <f>IFERROR(100*($D297*(INDEX('Data_NSA'!$A:$OK,MATCH(G$1,'Data_NSA'!$A:$A,0),MATCH($C297,'Data_NSA'!$1:$1,0))/INDEX('Data_NSA'!$A:$OK,MATCH($E297,'Data_NSA'!$A:$A,0),MATCH($C297,'Data_NSA'!$1:$1,0))))/(100*(INDEX('Data_NSA'!$A:$OK,MATCH(G$1,'Data_NSA'!$A:$A,0),MATCH("CUUR0000SA0",'Data_NSA'!$1:$1,0))/INDEX('Data_NSA'!$A:$OK,MATCH($E297,'Data_NSA'!$A:$A,0),MATCH("CUUR0000SA0",'Data_NSA'!$1:$1,0)))),"")</f>
        <v/>
      </c>
      <c r="H297" s="10">
        <f>IFERROR(100*($D297*(INDEX('Data_NSA'!$A:$OK,MATCH(H$1,'Data_NSA'!$A:$A,0),MATCH($C297,'Data_NSA'!$1:$1,0))/INDEX('Data_NSA'!$A:$OK,MATCH($E297,'Data_NSA'!$A:$A,0),MATCH($C297,'Data_NSA'!$1:$1,0))))/(100*(INDEX('Data_NSA'!$A:$OK,MATCH(H$1,'Data_NSA'!$A:$A,0),MATCH("CUUR0000SA0",'Data_NSA'!$1:$1,0))/INDEX('Data_NSA'!$A:$OK,MATCH($E297,'Data_NSA'!$A:$A,0),MATCH("CUUR0000SA0",'Data_NSA'!$1:$1,0)))),"")</f>
        <v/>
      </c>
      <c r="I297" s="10">
        <f>IFERROR(100*($D297*(INDEX('Data_NSA'!$A:$OK,MATCH(I$1,'Data_NSA'!$A:$A,0),MATCH($C297,'Data_NSA'!$1:$1,0))/INDEX('Data_NSA'!$A:$OK,MATCH($E297,'Data_NSA'!$A:$A,0),MATCH($C297,'Data_NSA'!$1:$1,0))))/(100*(INDEX('Data_NSA'!$A:$OK,MATCH(I$1,'Data_NSA'!$A:$A,0),MATCH("CUUR0000SA0",'Data_NSA'!$1:$1,0))/INDEX('Data_NSA'!$A:$OK,MATCH($E297,'Data_NSA'!$A:$A,0),MATCH("CUUR0000SA0",'Data_NSA'!$1:$1,0)))),"")</f>
        <v/>
      </c>
    </row>
    <row r="298">
      <c r="A298" s="3" t="inlineStr">
        <is>
          <t>SERE01</t>
        </is>
      </c>
      <c r="B298" s="3" t="inlineStr">
        <is>
          <t>Toys</t>
        </is>
      </c>
      <c r="C298" s="3" t="inlineStr">
        <is>
          <t>CUUR0000SERE01</t>
        </is>
      </c>
      <c r="D298" s="21" t="n">
        <v>0.293</v>
      </c>
      <c r="E298" s="22" t="n">
        <v>45992</v>
      </c>
      <c r="F298" s="3" t="n">
        <v>2024</v>
      </c>
      <c r="G298" s="10">
        <f>IFERROR(100*($D298*(INDEX('Data_NSA'!$A:$OK,MATCH(G$1,'Data_NSA'!$A:$A,0),MATCH($C298,'Data_NSA'!$1:$1,0))/INDEX('Data_NSA'!$A:$OK,MATCH($E298,'Data_NSA'!$A:$A,0),MATCH($C298,'Data_NSA'!$1:$1,0))))/(100*(INDEX('Data_NSA'!$A:$OK,MATCH(G$1,'Data_NSA'!$A:$A,0),MATCH("CUUR0000SA0",'Data_NSA'!$1:$1,0))/INDEX('Data_NSA'!$A:$OK,MATCH($E298,'Data_NSA'!$A:$A,0),MATCH("CUUR0000SA0",'Data_NSA'!$1:$1,0)))),"")</f>
        <v/>
      </c>
      <c r="H298" s="10">
        <f>IFERROR(100*($D298*(INDEX('Data_NSA'!$A:$OK,MATCH(H$1,'Data_NSA'!$A:$A,0),MATCH($C298,'Data_NSA'!$1:$1,0))/INDEX('Data_NSA'!$A:$OK,MATCH($E298,'Data_NSA'!$A:$A,0),MATCH($C298,'Data_NSA'!$1:$1,0))))/(100*(INDEX('Data_NSA'!$A:$OK,MATCH(H$1,'Data_NSA'!$A:$A,0),MATCH("CUUR0000SA0",'Data_NSA'!$1:$1,0))/INDEX('Data_NSA'!$A:$OK,MATCH($E298,'Data_NSA'!$A:$A,0),MATCH("CUUR0000SA0",'Data_NSA'!$1:$1,0)))),"")</f>
        <v/>
      </c>
      <c r="I298" s="10">
        <f>IFERROR(100*($D298*(INDEX('Data_NSA'!$A:$OK,MATCH(I$1,'Data_NSA'!$A:$A,0),MATCH($C298,'Data_NSA'!$1:$1,0))/INDEX('Data_NSA'!$A:$OK,MATCH($E298,'Data_NSA'!$A:$A,0),MATCH($C298,'Data_NSA'!$1:$1,0))))/(100*(INDEX('Data_NSA'!$A:$OK,MATCH(I$1,'Data_NSA'!$A:$A,0),MATCH("CUUR0000SA0",'Data_NSA'!$1:$1,0))/INDEX('Data_NSA'!$A:$OK,MATCH($E298,'Data_NSA'!$A:$A,0),MATCH("CUUR0000SA0",'Data_NSA'!$1:$1,0)))),"")</f>
        <v/>
      </c>
    </row>
    <row r="299">
      <c r="A299" s="3" t="inlineStr">
        <is>
          <t>SS61011</t>
        </is>
      </c>
      <c r="B299" s="3" t="inlineStr">
        <is>
          <t>Toys, games, hobbies and playground equipment</t>
        </is>
      </c>
      <c r="C299" s="3" t="inlineStr">
        <is>
          <t>CUUR0000SS61011</t>
        </is>
      </c>
      <c r="D299" s="21" t="n"/>
      <c r="E299" s="22" t="n">
        <v>45992</v>
      </c>
      <c r="F299" s="3" t="n">
        <v>2024</v>
      </c>
      <c r="G299" s="10">
        <f>IFERROR(100*($D299*(INDEX('Data_NSA'!$A:$OK,MATCH(G$1,'Data_NSA'!$A:$A,0),MATCH($C299,'Data_NSA'!$1:$1,0))/INDEX('Data_NSA'!$A:$OK,MATCH($E299,'Data_NSA'!$A:$A,0),MATCH($C299,'Data_NSA'!$1:$1,0))))/(100*(INDEX('Data_NSA'!$A:$OK,MATCH(G$1,'Data_NSA'!$A:$A,0),MATCH("CUUR0000SA0",'Data_NSA'!$1:$1,0))/INDEX('Data_NSA'!$A:$OK,MATCH($E299,'Data_NSA'!$A:$A,0),MATCH("CUUR0000SA0",'Data_NSA'!$1:$1,0)))),"")</f>
        <v/>
      </c>
      <c r="H299" s="10">
        <f>IFERROR(100*($D299*(INDEX('Data_NSA'!$A:$OK,MATCH(H$1,'Data_NSA'!$A:$A,0),MATCH($C299,'Data_NSA'!$1:$1,0))/INDEX('Data_NSA'!$A:$OK,MATCH($E299,'Data_NSA'!$A:$A,0),MATCH($C299,'Data_NSA'!$1:$1,0))))/(100*(INDEX('Data_NSA'!$A:$OK,MATCH(H$1,'Data_NSA'!$A:$A,0),MATCH("CUUR0000SA0",'Data_NSA'!$1:$1,0))/INDEX('Data_NSA'!$A:$OK,MATCH($E299,'Data_NSA'!$A:$A,0),MATCH("CUUR0000SA0",'Data_NSA'!$1:$1,0)))),"")</f>
        <v/>
      </c>
      <c r="I299" s="10">
        <f>IFERROR(100*($D299*(INDEX('Data_NSA'!$A:$OK,MATCH(I$1,'Data_NSA'!$A:$A,0),MATCH($C299,'Data_NSA'!$1:$1,0))/INDEX('Data_NSA'!$A:$OK,MATCH($E299,'Data_NSA'!$A:$A,0),MATCH($C299,'Data_NSA'!$1:$1,0))))/(100*(INDEX('Data_NSA'!$A:$OK,MATCH(I$1,'Data_NSA'!$A:$A,0),MATCH("CUUR0000SA0",'Data_NSA'!$1:$1,0))/INDEX('Data_NSA'!$A:$OK,MATCH($E299,'Data_NSA'!$A:$A,0),MATCH("CUUR0000SA0",'Data_NSA'!$1:$1,0)))),"")</f>
        <v/>
      </c>
    </row>
    <row r="300">
      <c r="A300" s="3" t="inlineStr">
        <is>
          <t>SS31023</t>
        </is>
      </c>
      <c r="B300" s="3" t="inlineStr">
        <is>
          <t>Video game hardware, software and accessories</t>
        </is>
      </c>
      <c r="C300" s="3" t="inlineStr">
        <is>
          <t>CUUR0000SS31023</t>
        </is>
      </c>
      <c r="D300" s="21" t="n"/>
      <c r="E300" s="22" t="n">
        <v>45992</v>
      </c>
      <c r="F300" s="3" t="n">
        <v>2024</v>
      </c>
      <c r="G300" s="10">
        <f>IFERROR(100*($D300*(INDEX('Data_NSA'!$A:$OK,MATCH(G$1,'Data_NSA'!$A:$A,0),MATCH($C300,'Data_NSA'!$1:$1,0))/INDEX('Data_NSA'!$A:$OK,MATCH($E300,'Data_NSA'!$A:$A,0),MATCH($C300,'Data_NSA'!$1:$1,0))))/(100*(INDEX('Data_NSA'!$A:$OK,MATCH(G$1,'Data_NSA'!$A:$A,0),MATCH("CUUR0000SA0",'Data_NSA'!$1:$1,0))/INDEX('Data_NSA'!$A:$OK,MATCH($E300,'Data_NSA'!$A:$A,0),MATCH("CUUR0000SA0",'Data_NSA'!$1:$1,0)))),"")</f>
        <v/>
      </c>
      <c r="H300" s="10">
        <f>IFERROR(100*($D300*(INDEX('Data_NSA'!$A:$OK,MATCH(H$1,'Data_NSA'!$A:$A,0),MATCH($C300,'Data_NSA'!$1:$1,0))/INDEX('Data_NSA'!$A:$OK,MATCH($E300,'Data_NSA'!$A:$A,0),MATCH($C300,'Data_NSA'!$1:$1,0))))/(100*(INDEX('Data_NSA'!$A:$OK,MATCH(H$1,'Data_NSA'!$A:$A,0),MATCH("CUUR0000SA0",'Data_NSA'!$1:$1,0))/INDEX('Data_NSA'!$A:$OK,MATCH($E300,'Data_NSA'!$A:$A,0),MATCH("CUUR0000SA0",'Data_NSA'!$1:$1,0)))),"")</f>
        <v/>
      </c>
      <c r="I300" s="10">
        <f>IFERROR(100*($D300*(INDEX('Data_NSA'!$A:$OK,MATCH(I$1,'Data_NSA'!$A:$A,0),MATCH($C300,'Data_NSA'!$1:$1,0))/INDEX('Data_NSA'!$A:$OK,MATCH($E300,'Data_NSA'!$A:$A,0),MATCH($C300,'Data_NSA'!$1:$1,0))))/(100*(INDEX('Data_NSA'!$A:$OK,MATCH(I$1,'Data_NSA'!$A:$A,0),MATCH("CUUR0000SA0",'Data_NSA'!$1:$1,0))/INDEX('Data_NSA'!$A:$OK,MATCH($E300,'Data_NSA'!$A:$A,0),MATCH("CUUR0000SA0",'Data_NSA'!$1:$1,0)))),"")</f>
        <v/>
      </c>
    </row>
    <row r="301">
      <c r="A301" s="3" t="inlineStr">
        <is>
          <t>SERE02</t>
        </is>
      </c>
      <c r="B301" s="3" t="inlineStr">
        <is>
          <t>Sewing machines, fabric and supplies</t>
        </is>
      </c>
      <c r="C301" s="3" t="inlineStr">
        <is>
          <t>CUUR0000SERE02</t>
        </is>
      </c>
      <c r="D301" s="21" t="n">
        <v>0.029</v>
      </c>
      <c r="E301" s="22" t="n">
        <v>45992</v>
      </c>
      <c r="F301" s="3" t="n">
        <v>2024</v>
      </c>
      <c r="G301" s="10">
        <f>IFERROR(100*($D301*(INDEX('Data_NSA'!$A:$OK,MATCH(G$1,'Data_NSA'!$A:$A,0),MATCH($C301,'Data_NSA'!$1:$1,0))/INDEX('Data_NSA'!$A:$OK,MATCH($E301,'Data_NSA'!$A:$A,0),MATCH($C301,'Data_NSA'!$1:$1,0))))/(100*(INDEX('Data_NSA'!$A:$OK,MATCH(G$1,'Data_NSA'!$A:$A,0),MATCH("CUUR0000SA0",'Data_NSA'!$1:$1,0))/INDEX('Data_NSA'!$A:$OK,MATCH($E301,'Data_NSA'!$A:$A,0),MATCH("CUUR0000SA0",'Data_NSA'!$1:$1,0)))),"")</f>
        <v/>
      </c>
      <c r="H301" s="10">
        <f>IFERROR(100*($D301*(INDEX('Data_NSA'!$A:$OK,MATCH(H$1,'Data_NSA'!$A:$A,0),MATCH($C301,'Data_NSA'!$1:$1,0))/INDEX('Data_NSA'!$A:$OK,MATCH($E301,'Data_NSA'!$A:$A,0),MATCH($C301,'Data_NSA'!$1:$1,0))))/(100*(INDEX('Data_NSA'!$A:$OK,MATCH(H$1,'Data_NSA'!$A:$A,0),MATCH("CUUR0000SA0",'Data_NSA'!$1:$1,0))/INDEX('Data_NSA'!$A:$OK,MATCH($E301,'Data_NSA'!$A:$A,0),MATCH("CUUR0000SA0",'Data_NSA'!$1:$1,0)))),"")</f>
        <v/>
      </c>
      <c r="I301" s="10">
        <f>IFERROR(100*($D301*(INDEX('Data_NSA'!$A:$OK,MATCH(I$1,'Data_NSA'!$A:$A,0),MATCH($C301,'Data_NSA'!$1:$1,0))/INDEX('Data_NSA'!$A:$OK,MATCH($E301,'Data_NSA'!$A:$A,0),MATCH($C301,'Data_NSA'!$1:$1,0))))/(100*(INDEX('Data_NSA'!$A:$OK,MATCH(I$1,'Data_NSA'!$A:$A,0),MATCH("CUUR0000SA0",'Data_NSA'!$1:$1,0))/INDEX('Data_NSA'!$A:$OK,MATCH($E301,'Data_NSA'!$A:$A,0),MATCH("CUUR0000SA0",'Data_NSA'!$1:$1,0)))),"")</f>
        <v/>
      </c>
    </row>
    <row r="302">
      <c r="A302" s="3" t="inlineStr">
        <is>
          <t>SERE03</t>
        </is>
      </c>
      <c r="B302" s="3" t="inlineStr">
        <is>
          <t>Music instruments and accessories</t>
        </is>
      </c>
      <c r="C302" s="3" t="inlineStr">
        <is>
          <t>CUUR0000SERE03</t>
        </is>
      </c>
      <c r="D302" s="21" t="n">
        <v>0.043</v>
      </c>
      <c r="E302" s="22" t="n">
        <v>45992</v>
      </c>
      <c r="F302" s="3" t="n">
        <v>2024</v>
      </c>
      <c r="G302" s="10">
        <f>IFERROR(100*($D302*(INDEX('Data_NSA'!$A:$OK,MATCH(G$1,'Data_NSA'!$A:$A,0),MATCH($C302,'Data_NSA'!$1:$1,0))/INDEX('Data_NSA'!$A:$OK,MATCH($E302,'Data_NSA'!$A:$A,0),MATCH($C302,'Data_NSA'!$1:$1,0))))/(100*(INDEX('Data_NSA'!$A:$OK,MATCH(G$1,'Data_NSA'!$A:$A,0),MATCH("CUUR0000SA0",'Data_NSA'!$1:$1,0))/INDEX('Data_NSA'!$A:$OK,MATCH($E302,'Data_NSA'!$A:$A,0),MATCH("CUUR0000SA0",'Data_NSA'!$1:$1,0)))),"")</f>
        <v/>
      </c>
      <c r="H302" s="10">
        <f>IFERROR(100*($D302*(INDEX('Data_NSA'!$A:$OK,MATCH(H$1,'Data_NSA'!$A:$A,0),MATCH($C302,'Data_NSA'!$1:$1,0))/INDEX('Data_NSA'!$A:$OK,MATCH($E302,'Data_NSA'!$A:$A,0),MATCH($C302,'Data_NSA'!$1:$1,0))))/(100*(INDEX('Data_NSA'!$A:$OK,MATCH(H$1,'Data_NSA'!$A:$A,0),MATCH("CUUR0000SA0",'Data_NSA'!$1:$1,0))/INDEX('Data_NSA'!$A:$OK,MATCH($E302,'Data_NSA'!$A:$A,0),MATCH("CUUR0000SA0",'Data_NSA'!$1:$1,0)))),"")</f>
        <v/>
      </c>
      <c r="I302" s="10">
        <f>IFERROR(100*($D302*(INDEX('Data_NSA'!$A:$OK,MATCH(I$1,'Data_NSA'!$A:$A,0),MATCH($C302,'Data_NSA'!$1:$1,0))/INDEX('Data_NSA'!$A:$OK,MATCH($E302,'Data_NSA'!$A:$A,0),MATCH($C302,'Data_NSA'!$1:$1,0))))/(100*(INDEX('Data_NSA'!$A:$OK,MATCH(I$1,'Data_NSA'!$A:$A,0),MATCH("CUUR0000SA0",'Data_NSA'!$1:$1,0))/INDEX('Data_NSA'!$A:$OK,MATCH($E302,'Data_NSA'!$A:$A,0),MATCH("CUUR0000SA0",'Data_NSA'!$1:$1,0)))),"")</f>
        <v/>
      </c>
    </row>
    <row r="303">
      <c r="A303" s="3" t="inlineStr">
        <is>
          <t>SERF</t>
        </is>
      </c>
      <c r="B303" s="3" t="inlineStr">
        <is>
          <t>Other recreation services</t>
        </is>
      </c>
      <c r="C303" s="3" t="inlineStr">
        <is>
          <t>CUUR0000SERF</t>
        </is>
      </c>
      <c r="D303" s="21" t="n">
        <v>1.841</v>
      </c>
      <c r="E303" s="22" t="n">
        <v>45992</v>
      </c>
      <c r="F303" s="3" t="n">
        <v>2024</v>
      </c>
      <c r="G303" s="10">
        <f>IFERROR(100*($D303*(INDEX('Data_NSA'!$A:$OK,MATCH(G$1,'Data_NSA'!$A:$A,0),MATCH($C303,'Data_NSA'!$1:$1,0))/INDEX('Data_NSA'!$A:$OK,MATCH($E303,'Data_NSA'!$A:$A,0),MATCH($C303,'Data_NSA'!$1:$1,0))))/(100*(INDEX('Data_NSA'!$A:$OK,MATCH(G$1,'Data_NSA'!$A:$A,0),MATCH("CUUR0000SA0",'Data_NSA'!$1:$1,0))/INDEX('Data_NSA'!$A:$OK,MATCH($E303,'Data_NSA'!$A:$A,0),MATCH("CUUR0000SA0",'Data_NSA'!$1:$1,0)))),"")</f>
        <v/>
      </c>
      <c r="H303" s="10">
        <f>IFERROR(100*($D303*(INDEX('Data_NSA'!$A:$OK,MATCH(H$1,'Data_NSA'!$A:$A,0),MATCH($C303,'Data_NSA'!$1:$1,0))/INDEX('Data_NSA'!$A:$OK,MATCH($E303,'Data_NSA'!$A:$A,0),MATCH($C303,'Data_NSA'!$1:$1,0))))/(100*(INDEX('Data_NSA'!$A:$OK,MATCH(H$1,'Data_NSA'!$A:$A,0),MATCH("CUUR0000SA0",'Data_NSA'!$1:$1,0))/INDEX('Data_NSA'!$A:$OK,MATCH($E303,'Data_NSA'!$A:$A,0),MATCH("CUUR0000SA0",'Data_NSA'!$1:$1,0)))),"")</f>
        <v/>
      </c>
      <c r="I303" s="10">
        <f>IFERROR(100*($D303*(INDEX('Data_NSA'!$A:$OK,MATCH(I$1,'Data_NSA'!$A:$A,0),MATCH($C303,'Data_NSA'!$1:$1,0))/INDEX('Data_NSA'!$A:$OK,MATCH($E303,'Data_NSA'!$A:$A,0),MATCH($C303,'Data_NSA'!$1:$1,0))))/(100*(INDEX('Data_NSA'!$A:$OK,MATCH(I$1,'Data_NSA'!$A:$A,0),MATCH("CUUR0000SA0",'Data_NSA'!$1:$1,0))/INDEX('Data_NSA'!$A:$OK,MATCH($E303,'Data_NSA'!$A:$A,0),MATCH("CUUR0000SA0",'Data_NSA'!$1:$1,0)))),"")</f>
        <v/>
      </c>
    </row>
    <row r="304">
      <c r="A304" s="3" t="inlineStr">
        <is>
          <t>SERF01</t>
        </is>
      </c>
      <c r="B304" s="3" t="inlineStr">
        <is>
          <t>Club membership for shopping clubs, fraternal, or other organizations, or participant sports fees</t>
        </is>
      </c>
      <c r="C304" s="3" t="inlineStr">
        <is>
          <t>CUUR0000SERF01</t>
        </is>
      </c>
      <c r="D304" s="21" t="n">
        <v>0.766</v>
      </c>
      <c r="E304" s="22" t="n">
        <v>45992</v>
      </c>
      <c r="F304" s="3" t="n">
        <v>2024</v>
      </c>
      <c r="G304" s="10">
        <f>IFERROR(100*($D304*(INDEX('Data_NSA'!$A:$OK,MATCH(G$1,'Data_NSA'!$A:$A,0),MATCH($C304,'Data_NSA'!$1:$1,0))/INDEX('Data_NSA'!$A:$OK,MATCH($E304,'Data_NSA'!$A:$A,0),MATCH($C304,'Data_NSA'!$1:$1,0))))/(100*(INDEX('Data_NSA'!$A:$OK,MATCH(G$1,'Data_NSA'!$A:$A,0),MATCH("CUUR0000SA0",'Data_NSA'!$1:$1,0))/INDEX('Data_NSA'!$A:$OK,MATCH($E304,'Data_NSA'!$A:$A,0),MATCH("CUUR0000SA0",'Data_NSA'!$1:$1,0)))),"")</f>
        <v/>
      </c>
      <c r="H304" s="10">
        <f>IFERROR(100*($D304*(INDEX('Data_NSA'!$A:$OK,MATCH(H$1,'Data_NSA'!$A:$A,0),MATCH($C304,'Data_NSA'!$1:$1,0))/INDEX('Data_NSA'!$A:$OK,MATCH($E304,'Data_NSA'!$A:$A,0),MATCH($C304,'Data_NSA'!$1:$1,0))))/(100*(INDEX('Data_NSA'!$A:$OK,MATCH(H$1,'Data_NSA'!$A:$A,0),MATCH("CUUR0000SA0",'Data_NSA'!$1:$1,0))/INDEX('Data_NSA'!$A:$OK,MATCH($E304,'Data_NSA'!$A:$A,0),MATCH("CUUR0000SA0",'Data_NSA'!$1:$1,0)))),"")</f>
        <v/>
      </c>
      <c r="I304" s="10">
        <f>IFERROR(100*($D304*(INDEX('Data_NSA'!$A:$OK,MATCH(I$1,'Data_NSA'!$A:$A,0),MATCH($C304,'Data_NSA'!$1:$1,0))/INDEX('Data_NSA'!$A:$OK,MATCH($E304,'Data_NSA'!$A:$A,0),MATCH($C304,'Data_NSA'!$1:$1,0))))/(100*(INDEX('Data_NSA'!$A:$OK,MATCH(I$1,'Data_NSA'!$A:$A,0),MATCH("CUUR0000SA0",'Data_NSA'!$1:$1,0))/INDEX('Data_NSA'!$A:$OK,MATCH($E304,'Data_NSA'!$A:$A,0),MATCH("CUUR0000SA0",'Data_NSA'!$1:$1,0)))),"")</f>
        <v/>
      </c>
    </row>
    <row r="305">
      <c r="A305" s="3" t="inlineStr">
        <is>
          <t>SERF02</t>
        </is>
      </c>
      <c r="B305" s="3" t="inlineStr">
        <is>
          <t>Admissions</t>
        </is>
      </c>
      <c r="C305" s="3" t="inlineStr">
        <is>
          <t>CUUR0000SERF02</t>
        </is>
      </c>
      <c r="D305" s="21" t="n">
        <v>0.704</v>
      </c>
      <c r="E305" s="22" t="n">
        <v>45992</v>
      </c>
      <c r="F305" s="3" t="n">
        <v>2024</v>
      </c>
      <c r="G305" s="10">
        <f>IFERROR(100*($D305*(INDEX('Data_NSA'!$A:$OK,MATCH(G$1,'Data_NSA'!$A:$A,0),MATCH($C305,'Data_NSA'!$1:$1,0))/INDEX('Data_NSA'!$A:$OK,MATCH($E305,'Data_NSA'!$A:$A,0),MATCH($C305,'Data_NSA'!$1:$1,0))))/(100*(INDEX('Data_NSA'!$A:$OK,MATCH(G$1,'Data_NSA'!$A:$A,0),MATCH("CUUR0000SA0",'Data_NSA'!$1:$1,0))/INDEX('Data_NSA'!$A:$OK,MATCH($E305,'Data_NSA'!$A:$A,0),MATCH("CUUR0000SA0",'Data_NSA'!$1:$1,0)))),"")</f>
        <v/>
      </c>
      <c r="H305" s="10">
        <f>IFERROR(100*($D305*(INDEX('Data_NSA'!$A:$OK,MATCH(H$1,'Data_NSA'!$A:$A,0),MATCH($C305,'Data_NSA'!$1:$1,0))/INDEX('Data_NSA'!$A:$OK,MATCH($E305,'Data_NSA'!$A:$A,0),MATCH($C305,'Data_NSA'!$1:$1,0))))/(100*(INDEX('Data_NSA'!$A:$OK,MATCH(H$1,'Data_NSA'!$A:$A,0),MATCH("CUUR0000SA0",'Data_NSA'!$1:$1,0))/INDEX('Data_NSA'!$A:$OK,MATCH($E305,'Data_NSA'!$A:$A,0),MATCH("CUUR0000SA0",'Data_NSA'!$1:$1,0)))),"")</f>
        <v/>
      </c>
      <c r="I305" s="10">
        <f>IFERROR(100*($D305*(INDEX('Data_NSA'!$A:$OK,MATCH(I$1,'Data_NSA'!$A:$A,0),MATCH($C305,'Data_NSA'!$1:$1,0))/INDEX('Data_NSA'!$A:$OK,MATCH($E305,'Data_NSA'!$A:$A,0),MATCH($C305,'Data_NSA'!$1:$1,0))))/(100*(INDEX('Data_NSA'!$A:$OK,MATCH(I$1,'Data_NSA'!$A:$A,0),MATCH("CUUR0000SA0",'Data_NSA'!$1:$1,0))/INDEX('Data_NSA'!$A:$OK,MATCH($E305,'Data_NSA'!$A:$A,0),MATCH("CUUR0000SA0",'Data_NSA'!$1:$1,0)))),"")</f>
        <v/>
      </c>
    </row>
    <row r="306">
      <c r="A306" s="3" t="inlineStr">
        <is>
          <t>SS62031</t>
        </is>
      </c>
      <c r="B306" s="3" t="inlineStr">
        <is>
          <t>Admission to movies, theaters, and concerts</t>
        </is>
      </c>
      <c r="C306" s="3" t="inlineStr">
        <is>
          <t>CUUR0000SS62031</t>
        </is>
      </c>
      <c r="D306" s="21" t="n"/>
      <c r="E306" s="22" t="n">
        <v>45992</v>
      </c>
      <c r="F306" s="3" t="n">
        <v>2024</v>
      </c>
      <c r="G306" s="10">
        <f>IFERROR(100*($D306*(INDEX('Data_NSA'!$A:$OK,MATCH(G$1,'Data_NSA'!$A:$A,0),MATCH($C306,'Data_NSA'!$1:$1,0))/INDEX('Data_NSA'!$A:$OK,MATCH($E306,'Data_NSA'!$A:$A,0),MATCH($C306,'Data_NSA'!$1:$1,0))))/(100*(INDEX('Data_NSA'!$A:$OK,MATCH(G$1,'Data_NSA'!$A:$A,0),MATCH("CUUR0000SA0",'Data_NSA'!$1:$1,0))/INDEX('Data_NSA'!$A:$OK,MATCH($E306,'Data_NSA'!$A:$A,0),MATCH("CUUR0000SA0",'Data_NSA'!$1:$1,0)))),"")</f>
        <v/>
      </c>
      <c r="H306" s="10">
        <f>IFERROR(100*($D306*(INDEX('Data_NSA'!$A:$OK,MATCH(H$1,'Data_NSA'!$A:$A,0),MATCH($C306,'Data_NSA'!$1:$1,0))/INDEX('Data_NSA'!$A:$OK,MATCH($E306,'Data_NSA'!$A:$A,0),MATCH($C306,'Data_NSA'!$1:$1,0))))/(100*(INDEX('Data_NSA'!$A:$OK,MATCH(H$1,'Data_NSA'!$A:$A,0),MATCH("CUUR0000SA0",'Data_NSA'!$1:$1,0))/INDEX('Data_NSA'!$A:$OK,MATCH($E306,'Data_NSA'!$A:$A,0),MATCH("CUUR0000SA0",'Data_NSA'!$1:$1,0)))),"")</f>
        <v/>
      </c>
      <c r="I306" s="10">
        <f>IFERROR(100*($D306*(INDEX('Data_NSA'!$A:$OK,MATCH(I$1,'Data_NSA'!$A:$A,0),MATCH($C306,'Data_NSA'!$1:$1,0))/INDEX('Data_NSA'!$A:$OK,MATCH($E306,'Data_NSA'!$A:$A,0),MATCH($C306,'Data_NSA'!$1:$1,0))))/(100*(INDEX('Data_NSA'!$A:$OK,MATCH(I$1,'Data_NSA'!$A:$A,0),MATCH("CUUR0000SA0",'Data_NSA'!$1:$1,0))/INDEX('Data_NSA'!$A:$OK,MATCH($E306,'Data_NSA'!$A:$A,0),MATCH("CUUR0000SA0",'Data_NSA'!$1:$1,0)))),"")</f>
        <v/>
      </c>
    </row>
    <row r="307">
      <c r="A307" s="3" t="inlineStr">
        <is>
          <t>SS62032</t>
        </is>
      </c>
      <c r="B307" s="3" t="inlineStr">
        <is>
          <t>Admission to sporting events</t>
        </is>
      </c>
      <c r="C307" s="3" t="inlineStr">
        <is>
          <t>CUUR0000SS62032</t>
        </is>
      </c>
      <c r="D307" s="21" t="n"/>
      <c r="E307" s="22" t="n">
        <v>45992</v>
      </c>
      <c r="F307" s="3" t="n">
        <v>2024</v>
      </c>
      <c r="G307" s="10">
        <f>IFERROR(100*($D307*(INDEX('Data_NSA'!$A:$OK,MATCH(G$1,'Data_NSA'!$A:$A,0),MATCH($C307,'Data_NSA'!$1:$1,0))/INDEX('Data_NSA'!$A:$OK,MATCH($E307,'Data_NSA'!$A:$A,0),MATCH($C307,'Data_NSA'!$1:$1,0))))/(100*(INDEX('Data_NSA'!$A:$OK,MATCH(G$1,'Data_NSA'!$A:$A,0),MATCH("CUUR0000SA0",'Data_NSA'!$1:$1,0))/INDEX('Data_NSA'!$A:$OK,MATCH($E307,'Data_NSA'!$A:$A,0),MATCH("CUUR0000SA0",'Data_NSA'!$1:$1,0)))),"")</f>
        <v/>
      </c>
      <c r="H307" s="10">
        <f>IFERROR(100*($D307*(INDEX('Data_NSA'!$A:$OK,MATCH(H$1,'Data_NSA'!$A:$A,0),MATCH($C307,'Data_NSA'!$1:$1,0))/INDEX('Data_NSA'!$A:$OK,MATCH($E307,'Data_NSA'!$A:$A,0),MATCH($C307,'Data_NSA'!$1:$1,0))))/(100*(INDEX('Data_NSA'!$A:$OK,MATCH(H$1,'Data_NSA'!$A:$A,0),MATCH("CUUR0000SA0",'Data_NSA'!$1:$1,0))/INDEX('Data_NSA'!$A:$OK,MATCH($E307,'Data_NSA'!$A:$A,0),MATCH("CUUR0000SA0",'Data_NSA'!$1:$1,0)))),"")</f>
        <v/>
      </c>
      <c r="I307" s="10">
        <f>IFERROR(100*($D307*(INDEX('Data_NSA'!$A:$OK,MATCH(I$1,'Data_NSA'!$A:$A,0),MATCH($C307,'Data_NSA'!$1:$1,0))/INDEX('Data_NSA'!$A:$OK,MATCH($E307,'Data_NSA'!$A:$A,0),MATCH($C307,'Data_NSA'!$1:$1,0))))/(100*(INDEX('Data_NSA'!$A:$OK,MATCH(I$1,'Data_NSA'!$A:$A,0),MATCH("CUUR0000SA0",'Data_NSA'!$1:$1,0))/INDEX('Data_NSA'!$A:$OK,MATCH($E307,'Data_NSA'!$A:$A,0),MATCH("CUUR0000SA0",'Data_NSA'!$1:$1,0)))),"")</f>
        <v/>
      </c>
    </row>
    <row r="308">
      <c r="A308" s="3" t="inlineStr">
        <is>
          <t>SERF03</t>
        </is>
      </c>
      <c r="B308" s="3" t="inlineStr">
        <is>
          <t>Fees for lessons or instructions</t>
        </is>
      </c>
      <c r="C308" s="3" t="inlineStr">
        <is>
          <t>CUUR0000SERF03</t>
        </is>
      </c>
      <c r="D308" s="21" t="n">
        <v>0.158</v>
      </c>
      <c r="E308" s="22" t="n">
        <v>45992</v>
      </c>
      <c r="F308" s="3" t="n">
        <v>2024</v>
      </c>
      <c r="G308" s="10">
        <f>IFERROR(100*($D308*(INDEX('Data_NSA'!$A:$OK,MATCH(G$1,'Data_NSA'!$A:$A,0),MATCH($C308,'Data_NSA'!$1:$1,0))/INDEX('Data_NSA'!$A:$OK,MATCH($E308,'Data_NSA'!$A:$A,0),MATCH($C308,'Data_NSA'!$1:$1,0))))/(100*(INDEX('Data_NSA'!$A:$OK,MATCH(G$1,'Data_NSA'!$A:$A,0),MATCH("CUUR0000SA0",'Data_NSA'!$1:$1,0))/INDEX('Data_NSA'!$A:$OK,MATCH($E308,'Data_NSA'!$A:$A,0),MATCH("CUUR0000SA0",'Data_NSA'!$1:$1,0)))),"")</f>
        <v/>
      </c>
      <c r="H308" s="10">
        <f>IFERROR(100*($D308*(INDEX('Data_NSA'!$A:$OK,MATCH(H$1,'Data_NSA'!$A:$A,0),MATCH($C308,'Data_NSA'!$1:$1,0))/INDEX('Data_NSA'!$A:$OK,MATCH($E308,'Data_NSA'!$A:$A,0),MATCH($C308,'Data_NSA'!$1:$1,0))))/(100*(INDEX('Data_NSA'!$A:$OK,MATCH(H$1,'Data_NSA'!$A:$A,0),MATCH("CUUR0000SA0",'Data_NSA'!$1:$1,0))/INDEX('Data_NSA'!$A:$OK,MATCH($E308,'Data_NSA'!$A:$A,0),MATCH("CUUR0000SA0",'Data_NSA'!$1:$1,0)))),"")</f>
        <v/>
      </c>
      <c r="I308" s="10">
        <f>IFERROR(100*($D308*(INDEX('Data_NSA'!$A:$OK,MATCH(I$1,'Data_NSA'!$A:$A,0),MATCH($C308,'Data_NSA'!$1:$1,0))/INDEX('Data_NSA'!$A:$OK,MATCH($E308,'Data_NSA'!$A:$A,0),MATCH($C308,'Data_NSA'!$1:$1,0))))/(100*(INDEX('Data_NSA'!$A:$OK,MATCH(I$1,'Data_NSA'!$A:$A,0),MATCH("CUUR0000SA0",'Data_NSA'!$1:$1,0))/INDEX('Data_NSA'!$A:$OK,MATCH($E308,'Data_NSA'!$A:$A,0),MATCH("CUUR0000SA0",'Data_NSA'!$1:$1,0)))),"")</f>
        <v/>
      </c>
    </row>
    <row r="309">
      <c r="A309" s="3" t="inlineStr">
        <is>
          <t>SERG</t>
        </is>
      </c>
      <c r="B309" s="3" t="inlineStr">
        <is>
          <t>Recreational reading materials</t>
        </is>
      </c>
      <c r="C309" s="3" t="inlineStr">
        <is>
          <t>CUUR0000SERG</t>
        </is>
      </c>
      <c r="D309" s="21" t="n">
        <v>0.114</v>
      </c>
      <c r="E309" s="22" t="n">
        <v>45992</v>
      </c>
      <c r="F309" s="3" t="n">
        <v>2024</v>
      </c>
      <c r="G309" s="10">
        <f>IFERROR(100*($D309*(INDEX('Data_NSA'!$A:$OK,MATCH(G$1,'Data_NSA'!$A:$A,0),MATCH($C309,'Data_NSA'!$1:$1,0))/INDEX('Data_NSA'!$A:$OK,MATCH($E309,'Data_NSA'!$A:$A,0),MATCH($C309,'Data_NSA'!$1:$1,0))))/(100*(INDEX('Data_NSA'!$A:$OK,MATCH(G$1,'Data_NSA'!$A:$A,0),MATCH("CUUR0000SA0",'Data_NSA'!$1:$1,0))/INDEX('Data_NSA'!$A:$OK,MATCH($E309,'Data_NSA'!$A:$A,0),MATCH("CUUR0000SA0",'Data_NSA'!$1:$1,0)))),"")</f>
        <v/>
      </c>
      <c r="H309" s="10">
        <f>IFERROR(100*($D309*(INDEX('Data_NSA'!$A:$OK,MATCH(H$1,'Data_NSA'!$A:$A,0),MATCH($C309,'Data_NSA'!$1:$1,0))/INDEX('Data_NSA'!$A:$OK,MATCH($E309,'Data_NSA'!$A:$A,0),MATCH($C309,'Data_NSA'!$1:$1,0))))/(100*(INDEX('Data_NSA'!$A:$OK,MATCH(H$1,'Data_NSA'!$A:$A,0),MATCH("CUUR0000SA0",'Data_NSA'!$1:$1,0))/INDEX('Data_NSA'!$A:$OK,MATCH($E309,'Data_NSA'!$A:$A,0),MATCH("CUUR0000SA0",'Data_NSA'!$1:$1,0)))),"")</f>
        <v/>
      </c>
      <c r="I309" s="10">
        <f>IFERROR(100*($D309*(INDEX('Data_NSA'!$A:$OK,MATCH(I$1,'Data_NSA'!$A:$A,0),MATCH($C309,'Data_NSA'!$1:$1,0))/INDEX('Data_NSA'!$A:$OK,MATCH($E309,'Data_NSA'!$A:$A,0),MATCH($C309,'Data_NSA'!$1:$1,0))))/(100*(INDEX('Data_NSA'!$A:$OK,MATCH(I$1,'Data_NSA'!$A:$A,0),MATCH("CUUR0000SA0",'Data_NSA'!$1:$1,0))/INDEX('Data_NSA'!$A:$OK,MATCH($E309,'Data_NSA'!$A:$A,0),MATCH("CUUR0000SA0",'Data_NSA'!$1:$1,0)))),"")</f>
        <v/>
      </c>
    </row>
    <row r="310">
      <c r="A310" s="3" t="inlineStr">
        <is>
          <t>SERG01</t>
        </is>
      </c>
      <c r="B310" s="3" t="inlineStr">
        <is>
          <t>Newspapers and magazines</t>
        </is>
      </c>
      <c r="C310" s="3" t="inlineStr">
        <is>
          <t>CUUR0000SERG01</t>
        </is>
      </c>
      <c r="D310" s="21" t="n">
        <v>0.054</v>
      </c>
      <c r="E310" s="22" t="n">
        <v>45992</v>
      </c>
      <c r="F310" s="3" t="n">
        <v>2024</v>
      </c>
      <c r="G310" s="10">
        <f>IFERROR(100*($D310*(INDEX('Data_NSA'!$A:$OK,MATCH(G$1,'Data_NSA'!$A:$A,0),MATCH($C310,'Data_NSA'!$1:$1,0))/INDEX('Data_NSA'!$A:$OK,MATCH($E310,'Data_NSA'!$A:$A,0),MATCH($C310,'Data_NSA'!$1:$1,0))))/(100*(INDEX('Data_NSA'!$A:$OK,MATCH(G$1,'Data_NSA'!$A:$A,0),MATCH("CUUR0000SA0",'Data_NSA'!$1:$1,0))/INDEX('Data_NSA'!$A:$OK,MATCH($E310,'Data_NSA'!$A:$A,0),MATCH("CUUR0000SA0",'Data_NSA'!$1:$1,0)))),"")</f>
        <v/>
      </c>
      <c r="H310" s="10">
        <f>IFERROR(100*($D310*(INDEX('Data_NSA'!$A:$OK,MATCH(H$1,'Data_NSA'!$A:$A,0),MATCH($C310,'Data_NSA'!$1:$1,0))/INDEX('Data_NSA'!$A:$OK,MATCH($E310,'Data_NSA'!$A:$A,0),MATCH($C310,'Data_NSA'!$1:$1,0))))/(100*(INDEX('Data_NSA'!$A:$OK,MATCH(H$1,'Data_NSA'!$A:$A,0),MATCH("CUUR0000SA0",'Data_NSA'!$1:$1,0))/INDEX('Data_NSA'!$A:$OK,MATCH($E310,'Data_NSA'!$A:$A,0),MATCH("CUUR0000SA0",'Data_NSA'!$1:$1,0)))),"")</f>
        <v/>
      </c>
      <c r="I310" s="10">
        <f>IFERROR(100*($D310*(INDEX('Data_NSA'!$A:$OK,MATCH(I$1,'Data_NSA'!$A:$A,0),MATCH($C310,'Data_NSA'!$1:$1,0))/INDEX('Data_NSA'!$A:$OK,MATCH($E310,'Data_NSA'!$A:$A,0),MATCH($C310,'Data_NSA'!$1:$1,0))))/(100*(INDEX('Data_NSA'!$A:$OK,MATCH(I$1,'Data_NSA'!$A:$A,0),MATCH("CUUR0000SA0",'Data_NSA'!$1:$1,0))/INDEX('Data_NSA'!$A:$OK,MATCH($E310,'Data_NSA'!$A:$A,0),MATCH("CUUR0000SA0",'Data_NSA'!$1:$1,0)))),"")</f>
        <v/>
      </c>
    </row>
    <row r="311">
      <c r="A311" s="3" t="inlineStr">
        <is>
          <t>SERG02</t>
        </is>
      </c>
      <c r="B311" s="3" t="inlineStr">
        <is>
          <t>Recreational books</t>
        </is>
      </c>
      <c r="C311" s="3" t="inlineStr">
        <is>
          <t>CUUR0000SERG02</t>
        </is>
      </c>
      <c r="D311" s="21" t="n">
        <v>0.06</v>
      </c>
      <c r="E311" s="22" t="n">
        <v>45992</v>
      </c>
      <c r="F311" s="3" t="n">
        <v>2024</v>
      </c>
      <c r="G311" s="10">
        <f>IFERROR(100*($D311*(INDEX('Data_NSA'!$A:$OK,MATCH(G$1,'Data_NSA'!$A:$A,0),MATCH($C311,'Data_NSA'!$1:$1,0))/INDEX('Data_NSA'!$A:$OK,MATCH($E311,'Data_NSA'!$A:$A,0),MATCH($C311,'Data_NSA'!$1:$1,0))))/(100*(INDEX('Data_NSA'!$A:$OK,MATCH(G$1,'Data_NSA'!$A:$A,0),MATCH("CUUR0000SA0",'Data_NSA'!$1:$1,0))/INDEX('Data_NSA'!$A:$OK,MATCH($E311,'Data_NSA'!$A:$A,0),MATCH("CUUR0000SA0",'Data_NSA'!$1:$1,0)))),"")</f>
        <v/>
      </c>
      <c r="H311" s="10">
        <f>IFERROR(100*($D311*(INDEX('Data_NSA'!$A:$OK,MATCH(H$1,'Data_NSA'!$A:$A,0),MATCH($C311,'Data_NSA'!$1:$1,0))/INDEX('Data_NSA'!$A:$OK,MATCH($E311,'Data_NSA'!$A:$A,0),MATCH($C311,'Data_NSA'!$1:$1,0))))/(100*(INDEX('Data_NSA'!$A:$OK,MATCH(H$1,'Data_NSA'!$A:$A,0),MATCH("CUUR0000SA0",'Data_NSA'!$1:$1,0))/INDEX('Data_NSA'!$A:$OK,MATCH($E311,'Data_NSA'!$A:$A,0),MATCH("CUUR0000SA0",'Data_NSA'!$1:$1,0)))),"")</f>
        <v/>
      </c>
      <c r="I311" s="10">
        <f>IFERROR(100*($D311*(INDEX('Data_NSA'!$A:$OK,MATCH(I$1,'Data_NSA'!$A:$A,0),MATCH($C311,'Data_NSA'!$1:$1,0))/INDEX('Data_NSA'!$A:$OK,MATCH($E311,'Data_NSA'!$A:$A,0),MATCH($C311,'Data_NSA'!$1:$1,0))))/(100*(INDEX('Data_NSA'!$A:$OK,MATCH(I$1,'Data_NSA'!$A:$A,0),MATCH("CUUR0000SA0",'Data_NSA'!$1:$1,0))/INDEX('Data_NSA'!$A:$OK,MATCH($E311,'Data_NSA'!$A:$A,0),MATCH("CUUR0000SA0",'Data_NSA'!$1:$1,0)))),"")</f>
        <v/>
      </c>
    </row>
    <row r="312">
      <c r="A312" s="3" t="inlineStr">
        <is>
          <t>SAE</t>
        </is>
      </c>
      <c r="B312" s="3" t="inlineStr">
        <is>
          <t>Education and communication</t>
        </is>
      </c>
      <c r="C312" s="3" t="inlineStr">
        <is>
          <t>CUUR0000SAE</t>
        </is>
      </c>
      <c r="D312" s="21" t="n">
        <v>5.846</v>
      </c>
      <c r="E312" s="22" t="n">
        <v>45992</v>
      </c>
      <c r="F312" s="3" t="n">
        <v>2024</v>
      </c>
      <c r="G312" s="10">
        <f>IFERROR(100*($D312*(INDEX('Data_NSA'!$A:$OK,MATCH(G$1,'Data_NSA'!$A:$A,0),MATCH($C312,'Data_NSA'!$1:$1,0))/INDEX('Data_NSA'!$A:$OK,MATCH($E312,'Data_NSA'!$A:$A,0),MATCH($C312,'Data_NSA'!$1:$1,0))))/(100*(INDEX('Data_NSA'!$A:$OK,MATCH(G$1,'Data_NSA'!$A:$A,0),MATCH("CUUR0000SA0",'Data_NSA'!$1:$1,0))/INDEX('Data_NSA'!$A:$OK,MATCH($E312,'Data_NSA'!$A:$A,0),MATCH("CUUR0000SA0",'Data_NSA'!$1:$1,0)))),"")</f>
        <v/>
      </c>
      <c r="H312" s="10">
        <f>IFERROR(100*($D312*(INDEX('Data_NSA'!$A:$OK,MATCH(H$1,'Data_NSA'!$A:$A,0),MATCH($C312,'Data_NSA'!$1:$1,0))/INDEX('Data_NSA'!$A:$OK,MATCH($E312,'Data_NSA'!$A:$A,0),MATCH($C312,'Data_NSA'!$1:$1,0))))/(100*(INDEX('Data_NSA'!$A:$OK,MATCH(H$1,'Data_NSA'!$A:$A,0),MATCH("CUUR0000SA0",'Data_NSA'!$1:$1,0))/INDEX('Data_NSA'!$A:$OK,MATCH($E312,'Data_NSA'!$A:$A,0),MATCH("CUUR0000SA0",'Data_NSA'!$1:$1,0)))),"")</f>
        <v/>
      </c>
      <c r="I312" s="10">
        <f>IFERROR(100*($D312*(INDEX('Data_NSA'!$A:$OK,MATCH(I$1,'Data_NSA'!$A:$A,0),MATCH($C312,'Data_NSA'!$1:$1,0))/INDEX('Data_NSA'!$A:$OK,MATCH($E312,'Data_NSA'!$A:$A,0),MATCH($C312,'Data_NSA'!$1:$1,0))))/(100*(INDEX('Data_NSA'!$A:$OK,MATCH(I$1,'Data_NSA'!$A:$A,0),MATCH("CUUR0000SA0",'Data_NSA'!$1:$1,0))/INDEX('Data_NSA'!$A:$OK,MATCH($E312,'Data_NSA'!$A:$A,0),MATCH("CUUR0000SA0",'Data_NSA'!$1:$1,0)))),"")</f>
        <v/>
      </c>
    </row>
    <row r="313">
      <c r="A313" s="3" t="inlineStr">
        <is>
          <t>SAE1</t>
        </is>
      </c>
      <c r="B313" s="3" t="inlineStr">
        <is>
          <t>Education</t>
        </is>
      </c>
      <c r="C313" s="3" t="inlineStr">
        <is>
          <t>CUUR0000SAE1</t>
        </is>
      </c>
      <c r="D313" s="21" t="n">
        <v>2.602</v>
      </c>
      <c r="E313" s="22" t="n">
        <v>45992</v>
      </c>
      <c r="F313" s="3" t="n">
        <v>2024</v>
      </c>
      <c r="G313" s="10">
        <f>IFERROR(100*($D313*(INDEX('Data_NSA'!$A:$OK,MATCH(G$1,'Data_NSA'!$A:$A,0),MATCH($C313,'Data_NSA'!$1:$1,0))/INDEX('Data_NSA'!$A:$OK,MATCH($E313,'Data_NSA'!$A:$A,0),MATCH($C313,'Data_NSA'!$1:$1,0))))/(100*(INDEX('Data_NSA'!$A:$OK,MATCH(G$1,'Data_NSA'!$A:$A,0),MATCH("CUUR0000SA0",'Data_NSA'!$1:$1,0))/INDEX('Data_NSA'!$A:$OK,MATCH($E313,'Data_NSA'!$A:$A,0),MATCH("CUUR0000SA0",'Data_NSA'!$1:$1,0)))),"")</f>
        <v/>
      </c>
      <c r="H313" s="10">
        <f>IFERROR(100*($D313*(INDEX('Data_NSA'!$A:$OK,MATCH(H$1,'Data_NSA'!$A:$A,0),MATCH($C313,'Data_NSA'!$1:$1,0))/INDEX('Data_NSA'!$A:$OK,MATCH($E313,'Data_NSA'!$A:$A,0),MATCH($C313,'Data_NSA'!$1:$1,0))))/(100*(INDEX('Data_NSA'!$A:$OK,MATCH(H$1,'Data_NSA'!$A:$A,0),MATCH("CUUR0000SA0",'Data_NSA'!$1:$1,0))/INDEX('Data_NSA'!$A:$OK,MATCH($E313,'Data_NSA'!$A:$A,0),MATCH("CUUR0000SA0",'Data_NSA'!$1:$1,0)))),"")</f>
        <v/>
      </c>
      <c r="I313" s="10">
        <f>IFERROR(100*($D313*(INDEX('Data_NSA'!$A:$OK,MATCH(I$1,'Data_NSA'!$A:$A,0),MATCH($C313,'Data_NSA'!$1:$1,0))/INDEX('Data_NSA'!$A:$OK,MATCH($E313,'Data_NSA'!$A:$A,0),MATCH($C313,'Data_NSA'!$1:$1,0))))/(100*(INDEX('Data_NSA'!$A:$OK,MATCH(I$1,'Data_NSA'!$A:$A,0),MATCH("CUUR0000SA0",'Data_NSA'!$1:$1,0))/INDEX('Data_NSA'!$A:$OK,MATCH($E313,'Data_NSA'!$A:$A,0),MATCH("CUUR0000SA0",'Data_NSA'!$1:$1,0)))),"")</f>
        <v/>
      </c>
    </row>
    <row r="314">
      <c r="A314" s="3" t="inlineStr">
        <is>
          <t>SEEA</t>
        </is>
      </c>
      <c r="B314" s="3" t="inlineStr">
        <is>
          <t>Educational books and supplies</t>
        </is>
      </c>
      <c r="C314" s="3" t="inlineStr">
        <is>
          <t>CUUR0000SEEA</t>
        </is>
      </c>
      <c r="D314" s="21" t="n">
        <v>0.038</v>
      </c>
      <c r="E314" s="22" t="n">
        <v>45992</v>
      </c>
      <c r="F314" s="3" t="n">
        <v>2024</v>
      </c>
      <c r="G314" s="10">
        <f>IFERROR(100*($D314*(INDEX('Data_NSA'!$A:$OK,MATCH(G$1,'Data_NSA'!$A:$A,0),MATCH($C314,'Data_NSA'!$1:$1,0))/INDEX('Data_NSA'!$A:$OK,MATCH($E314,'Data_NSA'!$A:$A,0),MATCH($C314,'Data_NSA'!$1:$1,0))))/(100*(INDEX('Data_NSA'!$A:$OK,MATCH(G$1,'Data_NSA'!$A:$A,0),MATCH("CUUR0000SA0",'Data_NSA'!$1:$1,0))/INDEX('Data_NSA'!$A:$OK,MATCH($E314,'Data_NSA'!$A:$A,0),MATCH("CUUR0000SA0",'Data_NSA'!$1:$1,0)))),"")</f>
        <v/>
      </c>
      <c r="H314" s="10">
        <f>IFERROR(100*($D314*(INDEX('Data_NSA'!$A:$OK,MATCH(H$1,'Data_NSA'!$A:$A,0),MATCH($C314,'Data_NSA'!$1:$1,0))/INDEX('Data_NSA'!$A:$OK,MATCH($E314,'Data_NSA'!$A:$A,0),MATCH($C314,'Data_NSA'!$1:$1,0))))/(100*(INDEX('Data_NSA'!$A:$OK,MATCH(H$1,'Data_NSA'!$A:$A,0),MATCH("CUUR0000SA0",'Data_NSA'!$1:$1,0))/INDEX('Data_NSA'!$A:$OK,MATCH($E314,'Data_NSA'!$A:$A,0),MATCH("CUUR0000SA0",'Data_NSA'!$1:$1,0)))),"")</f>
        <v/>
      </c>
      <c r="I314" s="10">
        <f>IFERROR(100*($D314*(INDEX('Data_NSA'!$A:$OK,MATCH(I$1,'Data_NSA'!$A:$A,0),MATCH($C314,'Data_NSA'!$1:$1,0))/INDEX('Data_NSA'!$A:$OK,MATCH($E314,'Data_NSA'!$A:$A,0),MATCH($C314,'Data_NSA'!$1:$1,0))))/(100*(INDEX('Data_NSA'!$A:$OK,MATCH(I$1,'Data_NSA'!$A:$A,0),MATCH("CUUR0000SA0",'Data_NSA'!$1:$1,0))/INDEX('Data_NSA'!$A:$OK,MATCH($E314,'Data_NSA'!$A:$A,0),MATCH("CUUR0000SA0",'Data_NSA'!$1:$1,0)))),"")</f>
        <v/>
      </c>
    </row>
    <row r="315">
      <c r="A315" s="3" t="inlineStr">
        <is>
          <t>SSEA011</t>
        </is>
      </c>
      <c r="B315" s="3" t="inlineStr">
        <is>
          <t>College textbooks</t>
        </is>
      </c>
      <c r="C315" s="3" t="inlineStr">
        <is>
          <t>CUUR0000SSEA011</t>
        </is>
      </c>
      <c r="D315" s="21" t="n"/>
      <c r="E315" s="22" t="n">
        <v>45992</v>
      </c>
      <c r="F315" s="3" t="n">
        <v>2024</v>
      </c>
      <c r="G315" s="10">
        <f>IFERROR(100*($D315*(INDEX('Data_NSA'!$A:$OK,MATCH(G$1,'Data_NSA'!$A:$A,0),MATCH($C315,'Data_NSA'!$1:$1,0))/INDEX('Data_NSA'!$A:$OK,MATCH($E315,'Data_NSA'!$A:$A,0),MATCH($C315,'Data_NSA'!$1:$1,0))))/(100*(INDEX('Data_NSA'!$A:$OK,MATCH(G$1,'Data_NSA'!$A:$A,0),MATCH("CUUR0000SA0",'Data_NSA'!$1:$1,0))/INDEX('Data_NSA'!$A:$OK,MATCH($E315,'Data_NSA'!$A:$A,0),MATCH("CUUR0000SA0",'Data_NSA'!$1:$1,0)))),"")</f>
        <v/>
      </c>
      <c r="H315" s="10">
        <f>IFERROR(100*($D315*(INDEX('Data_NSA'!$A:$OK,MATCH(H$1,'Data_NSA'!$A:$A,0),MATCH($C315,'Data_NSA'!$1:$1,0))/INDEX('Data_NSA'!$A:$OK,MATCH($E315,'Data_NSA'!$A:$A,0),MATCH($C315,'Data_NSA'!$1:$1,0))))/(100*(INDEX('Data_NSA'!$A:$OK,MATCH(H$1,'Data_NSA'!$A:$A,0),MATCH("CUUR0000SA0",'Data_NSA'!$1:$1,0))/INDEX('Data_NSA'!$A:$OK,MATCH($E315,'Data_NSA'!$A:$A,0),MATCH("CUUR0000SA0",'Data_NSA'!$1:$1,0)))),"")</f>
        <v/>
      </c>
      <c r="I315" s="10">
        <f>IFERROR(100*($D315*(INDEX('Data_NSA'!$A:$OK,MATCH(I$1,'Data_NSA'!$A:$A,0),MATCH($C315,'Data_NSA'!$1:$1,0))/INDEX('Data_NSA'!$A:$OK,MATCH($E315,'Data_NSA'!$A:$A,0),MATCH($C315,'Data_NSA'!$1:$1,0))))/(100*(INDEX('Data_NSA'!$A:$OK,MATCH(I$1,'Data_NSA'!$A:$A,0),MATCH("CUUR0000SA0",'Data_NSA'!$1:$1,0))/INDEX('Data_NSA'!$A:$OK,MATCH($E315,'Data_NSA'!$A:$A,0),MATCH("CUUR0000SA0",'Data_NSA'!$1:$1,0)))),"")</f>
        <v/>
      </c>
    </row>
    <row r="316">
      <c r="A316" s="3" t="inlineStr">
        <is>
          <t>SEEB</t>
        </is>
      </c>
      <c r="B316" s="3" t="inlineStr">
        <is>
          <t>Tuition, other school fees, and childcare</t>
        </is>
      </c>
      <c r="C316" s="3" t="inlineStr">
        <is>
          <t>CUUR0000SEEB</t>
        </is>
      </c>
      <c r="D316" s="21" t="n">
        <v>2.564</v>
      </c>
      <c r="E316" s="22" t="n">
        <v>45992</v>
      </c>
      <c r="F316" s="3" t="n">
        <v>2024</v>
      </c>
      <c r="G316" s="10">
        <f>IFERROR(100*($D316*(INDEX('Data_NSA'!$A:$OK,MATCH(G$1,'Data_NSA'!$A:$A,0),MATCH($C316,'Data_NSA'!$1:$1,0))/INDEX('Data_NSA'!$A:$OK,MATCH($E316,'Data_NSA'!$A:$A,0),MATCH($C316,'Data_NSA'!$1:$1,0))))/(100*(INDEX('Data_NSA'!$A:$OK,MATCH(G$1,'Data_NSA'!$A:$A,0),MATCH("CUUR0000SA0",'Data_NSA'!$1:$1,0))/INDEX('Data_NSA'!$A:$OK,MATCH($E316,'Data_NSA'!$A:$A,0),MATCH("CUUR0000SA0",'Data_NSA'!$1:$1,0)))),"")</f>
        <v/>
      </c>
      <c r="H316" s="10">
        <f>IFERROR(100*($D316*(INDEX('Data_NSA'!$A:$OK,MATCH(H$1,'Data_NSA'!$A:$A,0),MATCH($C316,'Data_NSA'!$1:$1,0))/INDEX('Data_NSA'!$A:$OK,MATCH($E316,'Data_NSA'!$A:$A,0),MATCH($C316,'Data_NSA'!$1:$1,0))))/(100*(INDEX('Data_NSA'!$A:$OK,MATCH(H$1,'Data_NSA'!$A:$A,0),MATCH("CUUR0000SA0",'Data_NSA'!$1:$1,0))/INDEX('Data_NSA'!$A:$OK,MATCH($E316,'Data_NSA'!$A:$A,0),MATCH("CUUR0000SA0",'Data_NSA'!$1:$1,0)))),"")</f>
        <v/>
      </c>
      <c r="I316" s="10">
        <f>IFERROR(100*($D316*(INDEX('Data_NSA'!$A:$OK,MATCH(I$1,'Data_NSA'!$A:$A,0),MATCH($C316,'Data_NSA'!$1:$1,0))/INDEX('Data_NSA'!$A:$OK,MATCH($E316,'Data_NSA'!$A:$A,0),MATCH($C316,'Data_NSA'!$1:$1,0))))/(100*(INDEX('Data_NSA'!$A:$OK,MATCH(I$1,'Data_NSA'!$A:$A,0),MATCH("CUUR0000SA0",'Data_NSA'!$1:$1,0))/INDEX('Data_NSA'!$A:$OK,MATCH($E316,'Data_NSA'!$A:$A,0),MATCH("CUUR0000SA0",'Data_NSA'!$1:$1,0)))),"")</f>
        <v/>
      </c>
    </row>
    <row r="317">
      <c r="A317" s="3" t="inlineStr">
        <is>
          <t>SEEB01</t>
        </is>
      </c>
      <c r="B317" s="3" t="inlineStr">
        <is>
          <t>College tuition and fees</t>
        </is>
      </c>
      <c r="C317" s="3" t="inlineStr">
        <is>
          <t>CUUR0000SEEB01</t>
        </is>
      </c>
      <c r="D317" s="21" t="n">
        <v>1.351</v>
      </c>
      <c r="E317" s="22" t="n">
        <v>45992</v>
      </c>
      <c r="F317" s="3" t="n">
        <v>2024</v>
      </c>
      <c r="G317" s="10">
        <f>IFERROR(100*($D317*(INDEX('Data_NSA'!$A:$OK,MATCH(G$1,'Data_NSA'!$A:$A,0),MATCH($C317,'Data_NSA'!$1:$1,0))/INDEX('Data_NSA'!$A:$OK,MATCH($E317,'Data_NSA'!$A:$A,0),MATCH($C317,'Data_NSA'!$1:$1,0))))/(100*(INDEX('Data_NSA'!$A:$OK,MATCH(G$1,'Data_NSA'!$A:$A,0),MATCH("CUUR0000SA0",'Data_NSA'!$1:$1,0))/INDEX('Data_NSA'!$A:$OK,MATCH($E317,'Data_NSA'!$A:$A,0),MATCH("CUUR0000SA0",'Data_NSA'!$1:$1,0)))),"")</f>
        <v/>
      </c>
      <c r="H317" s="10">
        <f>IFERROR(100*($D317*(INDEX('Data_NSA'!$A:$OK,MATCH(H$1,'Data_NSA'!$A:$A,0),MATCH($C317,'Data_NSA'!$1:$1,0))/INDEX('Data_NSA'!$A:$OK,MATCH($E317,'Data_NSA'!$A:$A,0),MATCH($C317,'Data_NSA'!$1:$1,0))))/(100*(INDEX('Data_NSA'!$A:$OK,MATCH(H$1,'Data_NSA'!$A:$A,0),MATCH("CUUR0000SA0",'Data_NSA'!$1:$1,0))/INDEX('Data_NSA'!$A:$OK,MATCH($E317,'Data_NSA'!$A:$A,0),MATCH("CUUR0000SA0",'Data_NSA'!$1:$1,0)))),"")</f>
        <v/>
      </c>
      <c r="I317" s="10">
        <f>IFERROR(100*($D317*(INDEX('Data_NSA'!$A:$OK,MATCH(I$1,'Data_NSA'!$A:$A,0),MATCH($C317,'Data_NSA'!$1:$1,0))/INDEX('Data_NSA'!$A:$OK,MATCH($E317,'Data_NSA'!$A:$A,0),MATCH($C317,'Data_NSA'!$1:$1,0))))/(100*(INDEX('Data_NSA'!$A:$OK,MATCH(I$1,'Data_NSA'!$A:$A,0),MATCH("CUUR0000SA0",'Data_NSA'!$1:$1,0))/INDEX('Data_NSA'!$A:$OK,MATCH($E317,'Data_NSA'!$A:$A,0),MATCH("CUUR0000SA0",'Data_NSA'!$1:$1,0)))),"")</f>
        <v/>
      </c>
    </row>
    <row r="318">
      <c r="A318" s="3" t="inlineStr">
        <is>
          <t>SEEB02</t>
        </is>
      </c>
      <c r="B318" s="3" t="inlineStr">
        <is>
          <t>Elementary and high school tuition and fees</t>
        </is>
      </c>
      <c r="C318" s="3" t="inlineStr">
        <is>
          <t>CUUR0000SEEB02</t>
        </is>
      </c>
      <c r="D318" s="21" t="n">
        <v>0.408</v>
      </c>
      <c r="E318" s="22" t="n">
        <v>45992</v>
      </c>
      <c r="F318" s="3" t="n">
        <v>2024</v>
      </c>
      <c r="G318" s="10">
        <f>IFERROR(100*($D318*(INDEX('Data_NSA'!$A:$OK,MATCH(G$1,'Data_NSA'!$A:$A,0),MATCH($C318,'Data_NSA'!$1:$1,0))/INDEX('Data_NSA'!$A:$OK,MATCH($E318,'Data_NSA'!$A:$A,0),MATCH($C318,'Data_NSA'!$1:$1,0))))/(100*(INDEX('Data_NSA'!$A:$OK,MATCH(G$1,'Data_NSA'!$A:$A,0),MATCH("CUUR0000SA0",'Data_NSA'!$1:$1,0))/INDEX('Data_NSA'!$A:$OK,MATCH($E318,'Data_NSA'!$A:$A,0),MATCH("CUUR0000SA0",'Data_NSA'!$1:$1,0)))),"")</f>
        <v/>
      </c>
      <c r="H318" s="10">
        <f>IFERROR(100*($D318*(INDEX('Data_NSA'!$A:$OK,MATCH(H$1,'Data_NSA'!$A:$A,0),MATCH($C318,'Data_NSA'!$1:$1,0))/INDEX('Data_NSA'!$A:$OK,MATCH($E318,'Data_NSA'!$A:$A,0),MATCH($C318,'Data_NSA'!$1:$1,0))))/(100*(INDEX('Data_NSA'!$A:$OK,MATCH(H$1,'Data_NSA'!$A:$A,0),MATCH("CUUR0000SA0",'Data_NSA'!$1:$1,0))/INDEX('Data_NSA'!$A:$OK,MATCH($E318,'Data_NSA'!$A:$A,0),MATCH("CUUR0000SA0",'Data_NSA'!$1:$1,0)))),"")</f>
        <v/>
      </c>
      <c r="I318" s="10">
        <f>IFERROR(100*($D318*(INDEX('Data_NSA'!$A:$OK,MATCH(I$1,'Data_NSA'!$A:$A,0),MATCH($C318,'Data_NSA'!$1:$1,0))/INDEX('Data_NSA'!$A:$OK,MATCH($E318,'Data_NSA'!$A:$A,0),MATCH($C318,'Data_NSA'!$1:$1,0))))/(100*(INDEX('Data_NSA'!$A:$OK,MATCH(I$1,'Data_NSA'!$A:$A,0),MATCH("CUUR0000SA0",'Data_NSA'!$1:$1,0))/INDEX('Data_NSA'!$A:$OK,MATCH($E318,'Data_NSA'!$A:$A,0),MATCH("CUUR0000SA0",'Data_NSA'!$1:$1,0)))),"")</f>
        <v/>
      </c>
    </row>
    <row r="319">
      <c r="A319" s="3" t="inlineStr">
        <is>
          <t>SEEB03</t>
        </is>
      </c>
      <c r="B319" s="3" t="inlineStr">
        <is>
          <t>Day care and preschool</t>
        </is>
      </c>
      <c r="C319" s="3" t="inlineStr">
        <is>
          <t>CUUR0000SEEB03</t>
        </is>
      </c>
      <c r="D319" s="21" t="n">
        <v>0.699</v>
      </c>
      <c r="E319" s="22" t="n">
        <v>45992</v>
      </c>
      <c r="F319" s="3" t="n">
        <v>2024</v>
      </c>
      <c r="G319" s="10">
        <f>IFERROR(100*($D319*(INDEX('Data_NSA'!$A:$OK,MATCH(G$1,'Data_NSA'!$A:$A,0),MATCH($C319,'Data_NSA'!$1:$1,0))/INDEX('Data_NSA'!$A:$OK,MATCH($E319,'Data_NSA'!$A:$A,0),MATCH($C319,'Data_NSA'!$1:$1,0))))/(100*(INDEX('Data_NSA'!$A:$OK,MATCH(G$1,'Data_NSA'!$A:$A,0),MATCH("CUUR0000SA0",'Data_NSA'!$1:$1,0))/INDEX('Data_NSA'!$A:$OK,MATCH($E319,'Data_NSA'!$A:$A,0),MATCH("CUUR0000SA0",'Data_NSA'!$1:$1,0)))),"")</f>
        <v/>
      </c>
      <c r="H319" s="10">
        <f>IFERROR(100*($D319*(INDEX('Data_NSA'!$A:$OK,MATCH(H$1,'Data_NSA'!$A:$A,0),MATCH($C319,'Data_NSA'!$1:$1,0))/INDEX('Data_NSA'!$A:$OK,MATCH($E319,'Data_NSA'!$A:$A,0),MATCH($C319,'Data_NSA'!$1:$1,0))))/(100*(INDEX('Data_NSA'!$A:$OK,MATCH(H$1,'Data_NSA'!$A:$A,0),MATCH("CUUR0000SA0",'Data_NSA'!$1:$1,0))/INDEX('Data_NSA'!$A:$OK,MATCH($E319,'Data_NSA'!$A:$A,0),MATCH("CUUR0000SA0",'Data_NSA'!$1:$1,0)))),"")</f>
        <v/>
      </c>
      <c r="I319" s="10">
        <f>IFERROR(100*($D319*(INDEX('Data_NSA'!$A:$OK,MATCH(I$1,'Data_NSA'!$A:$A,0),MATCH($C319,'Data_NSA'!$1:$1,0))/INDEX('Data_NSA'!$A:$OK,MATCH($E319,'Data_NSA'!$A:$A,0),MATCH($C319,'Data_NSA'!$1:$1,0))))/(100*(INDEX('Data_NSA'!$A:$OK,MATCH(I$1,'Data_NSA'!$A:$A,0),MATCH("CUUR0000SA0",'Data_NSA'!$1:$1,0))/INDEX('Data_NSA'!$A:$OK,MATCH($E319,'Data_NSA'!$A:$A,0),MATCH("CUUR0000SA0",'Data_NSA'!$1:$1,0)))),"")</f>
        <v/>
      </c>
    </row>
    <row r="320">
      <c r="A320" s="3" t="inlineStr">
        <is>
          <t>SEEB04</t>
        </is>
      </c>
      <c r="B320" s="3" t="inlineStr">
        <is>
          <t>Technical and vocational school tuition and fixed fees</t>
        </is>
      </c>
      <c r="C320" s="3" t="inlineStr">
        <is>
          <t>CUUR0000SEEB04</t>
        </is>
      </c>
      <c r="D320" s="21" t="n"/>
      <c r="E320" s="22" t="n">
        <v>45992</v>
      </c>
      <c r="F320" s="3" t="n">
        <v>2024</v>
      </c>
      <c r="G320" s="10">
        <f>IFERROR(100*($D320*(INDEX('Data_NSA'!$A:$OK,MATCH(G$1,'Data_NSA'!$A:$A,0),MATCH($C320,'Data_NSA'!$1:$1,0))/INDEX('Data_NSA'!$A:$OK,MATCH($E320,'Data_NSA'!$A:$A,0),MATCH($C320,'Data_NSA'!$1:$1,0))))/(100*(INDEX('Data_NSA'!$A:$OK,MATCH(G$1,'Data_NSA'!$A:$A,0),MATCH("CUUR0000SA0",'Data_NSA'!$1:$1,0))/INDEX('Data_NSA'!$A:$OK,MATCH($E320,'Data_NSA'!$A:$A,0),MATCH("CUUR0000SA0",'Data_NSA'!$1:$1,0)))),"")</f>
        <v/>
      </c>
      <c r="H320" s="10">
        <f>IFERROR(100*($D320*(INDEX('Data_NSA'!$A:$OK,MATCH(H$1,'Data_NSA'!$A:$A,0),MATCH($C320,'Data_NSA'!$1:$1,0))/INDEX('Data_NSA'!$A:$OK,MATCH($E320,'Data_NSA'!$A:$A,0),MATCH($C320,'Data_NSA'!$1:$1,0))))/(100*(INDEX('Data_NSA'!$A:$OK,MATCH(H$1,'Data_NSA'!$A:$A,0),MATCH("CUUR0000SA0",'Data_NSA'!$1:$1,0))/INDEX('Data_NSA'!$A:$OK,MATCH($E320,'Data_NSA'!$A:$A,0),MATCH("CUUR0000SA0",'Data_NSA'!$1:$1,0)))),"")</f>
        <v/>
      </c>
      <c r="I320" s="10">
        <f>IFERROR(100*($D320*(INDEX('Data_NSA'!$A:$OK,MATCH(I$1,'Data_NSA'!$A:$A,0),MATCH($C320,'Data_NSA'!$1:$1,0))/INDEX('Data_NSA'!$A:$OK,MATCH($E320,'Data_NSA'!$A:$A,0),MATCH($C320,'Data_NSA'!$1:$1,0))))/(100*(INDEX('Data_NSA'!$A:$OK,MATCH(I$1,'Data_NSA'!$A:$A,0),MATCH("CUUR0000SA0",'Data_NSA'!$1:$1,0))/INDEX('Data_NSA'!$A:$OK,MATCH($E320,'Data_NSA'!$A:$A,0),MATCH("CUUR0000SA0",'Data_NSA'!$1:$1,0)))),"")</f>
        <v/>
      </c>
    </row>
    <row r="321">
      <c r="A321" s="3" t="inlineStr">
        <is>
          <t>SAE2</t>
        </is>
      </c>
      <c r="B321" s="3" t="inlineStr">
        <is>
          <t>Communication</t>
        </is>
      </c>
      <c r="C321" s="3" t="inlineStr">
        <is>
          <t>CUUR0000SAE2</t>
        </is>
      </c>
      <c r="D321" s="21" t="n">
        <v>3.244</v>
      </c>
      <c r="E321" s="22" t="n">
        <v>45992</v>
      </c>
      <c r="F321" s="3" t="n">
        <v>2024</v>
      </c>
      <c r="G321" s="10">
        <f>IFERROR(100*($D321*(INDEX('Data_NSA'!$A:$OK,MATCH(G$1,'Data_NSA'!$A:$A,0),MATCH($C321,'Data_NSA'!$1:$1,0))/INDEX('Data_NSA'!$A:$OK,MATCH($E321,'Data_NSA'!$A:$A,0),MATCH($C321,'Data_NSA'!$1:$1,0))))/(100*(INDEX('Data_NSA'!$A:$OK,MATCH(G$1,'Data_NSA'!$A:$A,0),MATCH("CUUR0000SA0",'Data_NSA'!$1:$1,0))/INDEX('Data_NSA'!$A:$OK,MATCH($E321,'Data_NSA'!$A:$A,0),MATCH("CUUR0000SA0",'Data_NSA'!$1:$1,0)))),"")</f>
        <v/>
      </c>
      <c r="H321" s="10">
        <f>IFERROR(100*($D321*(INDEX('Data_NSA'!$A:$OK,MATCH(H$1,'Data_NSA'!$A:$A,0),MATCH($C321,'Data_NSA'!$1:$1,0))/INDEX('Data_NSA'!$A:$OK,MATCH($E321,'Data_NSA'!$A:$A,0),MATCH($C321,'Data_NSA'!$1:$1,0))))/(100*(INDEX('Data_NSA'!$A:$OK,MATCH(H$1,'Data_NSA'!$A:$A,0),MATCH("CUUR0000SA0",'Data_NSA'!$1:$1,0))/INDEX('Data_NSA'!$A:$OK,MATCH($E321,'Data_NSA'!$A:$A,0),MATCH("CUUR0000SA0",'Data_NSA'!$1:$1,0)))),"")</f>
        <v/>
      </c>
      <c r="I321" s="10">
        <f>IFERROR(100*($D321*(INDEX('Data_NSA'!$A:$OK,MATCH(I$1,'Data_NSA'!$A:$A,0),MATCH($C321,'Data_NSA'!$1:$1,0))/INDEX('Data_NSA'!$A:$OK,MATCH($E321,'Data_NSA'!$A:$A,0),MATCH($C321,'Data_NSA'!$1:$1,0))))/(100*(INDEX('Data_NSA'!$A:$OK,MATCH(I$1,'Data_NSA'!$A:$A,0),MATCH("CUUR0000SA0",'Data_NSA'!$1:$1,0))/INDEX('Data_NSA'!$A:$OK,MATCH($E321,'Data_NSA'!$A:$A,0),MATCH("CUUR0000SA0",'Data_NSA'!$1:$1,0)))),"")</f>
        <v/>
      </c>
    </row>
    <row r="322">
      <c r="A322" s="3" t="inlineStr">
        <is>
          <t>SEEC</t>
        </is>
      </c>
      <c r="B322" s="3" t="inlineStr">
        <is>
          <t>Postage and delivery services</t>
        </is>
      </c>
      <c r="C322" s="3" t="inlineStr">
        <is>
          <t>CUUR0000SEEC</t>
        </is>
      </c>
      <c r="D322" s="21" t="n">
        <v>0.064</v>
      </c>
      <c r="E322" s="22" t="n">
        <v>45992</v>
      </c>
      <c r="F322" s="3" t="n">
        <v>2024</v>
      </c>
      <c r="G322" s="10">
        <f>IFERROR(100*($D322*(INDEX('Data_NSA'!$A:$OK,MATCH(G$1,'Data_NSA'!$A:$A,0),MATCH($C322,'Data_NSA'!$1:$1,0))/INDEX('Data_NSA'!$A:$OK,MATCH($E322,'Data_NSA'!$A:$A,0),MATCH($C322,'Data_NSA'!$1:$1,0))))/(100*(INDEX('Data_NSA'!$A:$OK,MATCH(G$1,'Data_NSA'!$A:$A,0),MATCH("CUUR0000SA0",'Data_NSA'!$1:$1,0))/INDEX('Data_NSA'!$A:$OK,MATCH($E322,'Data_NSA'!$A:$A,0),MATCH("CUUR0000SA0",'Data_NSA'!$1:$1,0)))),"")</f>
        <v/>
      </c>
      <c r="H322" s="10">
        <f>IFERROR(100*($D322*(INDEX('Data_NSA'!$A:$OK,MATCH(H$1,'Data_NSA'!$A:$A,0),MATCH($C322,'Data_NSA'!$1:$1,0))/INDEX('Data_NSA'!$A:$OK,MATCH($E322,'Data_NSA'!$A:$A,0),MATCH($C322,'Data_NSA'!$1:$1,0))))/(100*(INDEX('Data_NSA'!$A:$OK,MATCH(H$1,'Data_NSA'!$A:$A,0),MATCH("CUUR0000SA0",'Data_NSA'!$1:$1,0))/INDEX('Data_NSA'!$A:$OK,MATCH($E322,'Data_NSA'!$A:$A,0),MATCH("CUUR0000SA0",'Data_NSA'!$1:$1,0)))),"")</f>
        <v/>
      </c>
      <c r="I322" s="10">
        <f>IFERROR(100*($D322*(INDEX('Data_NSA'!$A:$OK,MATCH(I$1,'Data_NSA'!$A:$A,0),MATCH($C322,'Data_NSA'!$1:$1,0))/INDEX('Data_NSA'!$A:$OK,MATCH($E322,'Data_NSA'!$A:$A,0),MATCH($C322,'Data_NSA'!$1:$1,0))))/(100*(INDEX('Data_NSA'!$A:$OK,MATCH(I$1,'Data_NSA'!$A:$A,0),MATCH("CUUR0000SA0",'Data_NSA'!$1:$1,0))/INDEX('Data_NSA'!$A:$OK,MATCH($E322,'Data_NSA'!$A:$A,0),MATCH("CUUR0000SA0",'Data_NSA'!$1:$1,0)))),"")</f>
        <v/>
      </c>
    </row>
    <row r="323">
      <c r="A323" s="3" t="inlineStr">
        <is>
          <t>SEEC01</t>
        </is>
      </c>
      <c r="B323" s="3" t="inlineStr">
        <is>
          <t>Postage</t>
        </is>
      </c>
      <c r="C323" s="3" t="inlineStr">
        <is>
          <t>CUUR0000SEEC01</t>
        </is>
      </c>
      <c r="D323" s="21" t="n">
        <v>0.059</v>
      </c>
      <c r="E323" s="22" t="n">
        <v>45992</v>
      </c>
      <c r="F323" s="3" t="n">
        <v>2024</v>
      </c>
      <c r="G323" s="10">
        <f>IFERROR(100*($D323*(INDEX('Data_NSA'!$A:$OK,MATCH(G$1,'Data_NSA'!$A:$A,0),MATCH($C323,'Data_NSA'!$1:$1,0))/INDEX('Data_NSA'!$A:$OK,MATCH($E323,'Data_NSA'!$A:$A,0),MATCH($C323,'Data_NSA'!$1:$1,0))))/(100*(INDEX('Data_NSA'!$A:$OK,MATCH(G$1,'Data_NSA'!$A:$A,0),MATCH("CUUR0000SA0",'Data_NSA'!$1:$1,0))/INDEX('Data_NSA'!$A:$OK,MATCH($E323,'Data_NSA'!$A:$A,0),MATCH("CUUR0000SA0",'Data_NSA'!$1:$1,0)))),"")</f>
        <v/>
      </c>
      <c r="H323" s="10">
        <f>IFERROR(100*($D323*(INDEX('Data_NSA'!$A:$OK,MATCH(H$1,'Data_NSA'!$A:$A,0),MATCH($C323,'Data_NSA'!$1:$1,0))/INDEX('Data_NSA'!$A:$OK,MATCH($E323,'Data_NSA'!$A:$A,0),MATCH($C323,'Data_NSA'!$1:$1,0))))/(100*(INDEX('Data_NSA'!$A:$OK,MATCH(H$1,'Data_NSA'!$A:$A,0),MATCH("CUUR0000SA0",'Data_NSA'!$1:$1,0))/INDEX('Data_NSA'!$A:$OK,MATCH($E323,'Data_NSA'!$A:$A,0),MATCH("CUUR0000SA0",'Data_NSA'!$1:$1,0)))),"")</f>
        <v/>
      </c>
      <c r="I323" s="10">
        <f>IFERROR(100*($D323*(INDEX('Data_NSA'!$A:$OK,MATCH(I$1,'Data_NSA'!$A:$A,0),MATCH($C323,'Data_NSA'!$1:$1,0))/INDEX('Data_NSA'!$A:$OK,MATCH($E323,'Data_NSA'!$A:$A,0),MATCH($C323,'Data_NSA'!$1:$1,0))))/(100*(INDEX('Data_NSA'!$A:$OK,MATCH(I$1,'Data_NSA'!$A:$A,0),MATCH("CUUR0000SA0",'Data_NSA'!$1:$1,0))/INDEX('Data_NSA'!$A:$OK,MATCH($E323,'Data_NSA'!$A:$A,0),MATCH("CUUR0000SA0",'Data_NSA'!$1:$1,0)))),"")</f>
        <v/>
      </c>
    </row>
    <row r="324">
      <c r="A324" s="3" t="inlineStr">
        <is>
          <t>SEEC02</t>
        </is>
      </c>
      <c r="B324" s="3" t="inlineStr">
        <is>
          <t>Delivery services</t>
        </is>
      </c>
      <c r="C324" s="3" t="inlineStr">
        <is>
          <t>CUUR0000SEEC02</t>
        </is>
      </c>
      <c r="D324" s="21" t="n">
        <v>0.005</v>
      </c>
      <c r="E324" s="22" t="n">
        <v>45992</v>
      </c>
      <c r="F324" s="3" t="n">
        <v>2024</v>
      </c>
      <c r="G324" s="10">
        <f>IFERROR(100*($D324*(INDEX('Data_NSA'!$A:$OK,MATCH(G$1,'Data_NSA'!$A:$A,0),MATCH($C324,'Data_NSA'!$1:$1,0))/INDEX('Data_NSA'!$A:$OK,MATCH($E324,'Data_NSA'!$A:$A,0),MATCH($C324,'Data_NSA'!$1:$1,0))))/(100*(INDEX('Data_NSA'!$A:$OK,MATCH(G$1,'Data_NSA'!$A:$A,0),MATCH("CUUR0000SA0",'Data_NSA'!$1:$1,0))/INDEX('Data_NSA'!$A:$OK,MATCH($E324,'Data_NSA'!$A:$A,0),MATCH("CUUR0000SA0",'Data_NSA'!$1:$1,0)))),"")</f>
        <v/>
      </c>
      <c r="H324" s="10">
        <f>IFERROR(100*($D324*(INDEX('Data_NSA'!$A:$OK,MATCH(H$1,'Data_NSA'!$A:$A,0),MATCH($C324,'Data_NSA'!$1:$1,0))/INDEX('Data_NSA'!$A:$OK,MATCH($E324,'Data_NSA'!$A:$A,0),MATCH($C324,'Data_NSA'!$1:$1,0))))/(100*(INDEX('Data_NSA'!$A:$OK,MATCH(H$1,'Data_NSA'!$A:$A,0),MATCH("CUUR0000SA0",'Data_NSA'!$1:$1,0))/INDEX('Data_NSA'!$A:$OK,MATCH($E324,'Data_NSA'!$A:$A,0),MATCH("CUUR0000SA0",'Data_NSA'!$1:$1,0)))),"")</f>
        <v/>
      </c>
      <c r="I324" s="10">
        <f>IFERROR(100*($D324*(INDEX('Data_NSA'!$A:$OK,MATCH(I$1,'Data_NSA'!$A:$A,0),MATCH($C324,'Data_NSA'!$1:$1,0))/INDEX('Data_NSA'!$A:$OK,MATCH($E324,'Data_NSA'!$A:$A,0),MATCH($C324,'Data_NSA'!$1:$1,0))))/(100*(INDEX('Data_NSA'!$A:$OK,MATCH(I$1,'Data_NSA'!$A:$A,0),MATCH("CUUR0000SA0",'Data_NSA'!$1:$1,0))/INDEX('Data_NSA'!$A:$OK,MATCH($E324,'Data_NSA'!$A:$A,0),MATCH("CUUR0000SA0",'Data_NSA'!$1:$1,0)))),"")</f>
        <v/>
      </c>
    </row>
    <row r="325">
      <c r="A325" s="3" t="inlineStr">
        <is>
          <t>SAE21</t>
        </is>
      </c>
      <c r="B325" s="3" t="inlineStr">
        <is>
          <t>Information and information processing</t>
        </is>
      </c>
      <c r="C325" s="3" t="inlineStr">
        <is>
          <t>CUUR0000SAE21</t>
        </is>
      </c>
      <c r="D325" s="21" t="n">
        <v>3.181</v>
      </c>
      <c r="E325" s="22" t="n">
        <v>45992</v>
      </c>
      <c r="F325" s="3" t="n">
        <v>2024</v>
      </c>
      <c r="G325" s="10">
        <f>IFERROR(100*($D325*(INDEX('Data_NSA'!$A:$OK,MATCH(G$1,'Data_NSA'!$A:$A,0),MATCH($C325,'Data_NSA'!$1:$1,0))/INDEX('Data_NSA'!$A:$OK,MATCH($E325,'Data_NSA'!$A:$A,0),MATCH($C325,'Data_NSA'!$1:$1,0))))/(100*(INDEX('Data_NSA'!$A:$OK,MATCH(G$1,'Data_NSA'!$A:$A,0),MATCH("CUUR0000SA0",'Data_NSA'!$1:$1,0))/INDEX('Data_NSA'!$A:$OK,MATCH($E325,'Data_NSA'!$A:$A,0),MATCH("CUUR0000SA0",'Data_NSA'!$1:$1,0)))),"")</f>
        <v/>
      </c>
      <c r="H325" s="10">
        <f>IFERROR(100*($D325*(INDEX('Data_NSA'!$A:$OK,MATCH(H$1,'Data_NSA'!$A:$A,0),MATCH($C325,'Data_NSA'!$1:$1,0))/INDEX('Data_NSA'!$A:$OK,MATCH($E325,'Data_NSA'!$A:$A,0),MATCH($C325,'Data_NSA'!$1:$1,0))))/(100*(INDEX('Data_NSA'!$A:$OK,MATCH(H$1,'Data_NSA'!$A:$A,0),MATCH("CUUR0000SA0",'Data_NSA'!$1:$1,0))/INDEX('Data_NSA'!$A:$OK,MATCH($E325,'Data_NSA'!$A:$A,0),MATCH("CUUR0000SA0",'Data_NSA'!$1:$1,0)))),"")</f>
        <v/>
      </c>
      <c r="I325" s="10">
        <f>IFERROR(100*($D325*(INDEX('Data_NSA'!$A:$OK,MATCH(I$1,'Data_NSA'!$A:$A,0),MATCH($C325,'Data_NSA'!$1:$1,0))/INDEX('Data_NSA'!$A:$OK,MATCH($E325,'Data_NSA'!$A:$A,0),MATCH($C325,'Data_NSA'!$1:$1,0))))/(100*(INDEX('Data_NSA'!$A:$OK,MATCH(I$1,'Data_NSA'!$A:$A,0),MATCH("CUUR0000SA0",'Data_NSA'!$1:$1,0))/INDEX('Data_NSA'!$A:$OK,MATCH($E325,'Data_NSA'!$A:$A,0),MATCH("CUUR0000SA0",'Data_NSA'!$1:$1,0)))),"")</f>
        <v/>
      </c>
    </row>
    <row r="326">
      <c r="A326" s="3" t="inlineStr">
        <is>
          <t>SEED</t>
        </is>
      </c>
      <c r="B326" s="3" t="inlineStr">
        <is>
          <t>Telephone services</t>
        </is>
      </c>
      <c r="C326" s="3" t="inlineStr">
        <is>
          <t>CUUR0000SEED</t>
        </is>
      </c>
      <c r="D326" s="21" t="n">
        <v>1.466</v>
      </c>
      <c r="E326" s="22" t="n">
        <v>45992</v>
      </c>
      <c r="F326" s="3" t="n">
        <v>2024</v>
      </c>
      <c r="G326" s="10">
        <f>IFERROR(100*($D326*(INDEX('Data_NSA'!$A:$OK,MATCH(G$1,'Data_NSA'!$A:$A,0),MATCH($C326,'Data_NSA'!$1:$1,0))/INDEX('Data_NSA'!$A:$OK,MATCH($E326,'Data_NSA'!$A:$A,0),MATCH($C326,'Data_NSA'!$1:$1,0))))/(100*(INDEX('Data_NSA'!$A:$OK,MATCH(G$1,'Data_NSA'!$A:$A,0),MATCH("CUUR0000SA0",'Data_NSA'!$1:$1,0))/INDEX('Data_NSA'!$A:$OK,MATCH($E326,'Data_NSA'!$A:$A,0),MATCH("CUUR0000SA0",'Data_NSA'!$1:$1,0)))),"")</f>
        <v/>
      </c>
      <c r="H326" s="10">
        <f>IFERROR(100*($D326*(INDEX('Data_NSA'!$A:$OK,MATCH(H$1,'Data_NSA'!$A:$A,0),MATCH($C326,'Data_NSA'!$1:$1,0))/INDEX('Data_NSA'!$A:$OK,MATCH($E326,'Data_NSA'!$A:$A,0),MATCH($C326,'Data_NSA'!$1:$1,0))))/(100*(INDEX('Data_NSA'!$A:$OK,MATCH(H$1,'Data_NSA'!$A:$A,0),MATCH("CUUR0000SA0",'Data_NSA'!$1:$1,0))/INDEX('Data_NSA'!$A:$OK,MATCH($E326,'Data_NSA'!$A:$A,0),MATCH("CUUR0000SA0",'Data_NSA'!$1:$1,0)))),"")</f>
        <v/>
      </c>
      <c r="I326" s="10">
        <f>IFERROR(100*($D326*(INDEX('Data_NSA'!$A:$OK,MATCH(I$1,'Data_NSA'!$A:$A,0),MATCH($C326,'Data_NSA'!$1:$1,0))/INDEX('Data_NSA'!$A:$OK,MATCH($E326,'Data_NSA'!$A:$A,0),MATCH($C326,'Data_NSA'!$1:$1,0))))/(100*(INDEX('Data_NSA'!$A:$OK,MATCH(I$1,'Data_NSA'!$A:$A,0),MATCH("CUUR0000SA0",'Data_NSA'!$1:$1,0))/INDEX('Data_NSA'!$A:$OK,MATCH($E326,'Data_NSA'!$A:$A,0),MATCH("CUUR0000SA0",'Data_NSA'!$1:$1,0)))),"")</f>
        <v/>
      </c>
    </row>
    <row r="327">
      <c r="A327" s="3" t="inlineStr">
        <is>
          <t>SEED03</t>
        </is>
      </c>
      <c r="B327" s="3" t="inlineStr">
        <is>
          <t>Wireless telephone services</t>
        </is>
      </c>
      <c r="C327" s="3" t="inlineStr">
        <is>
          <t>CUUR0000SEED03</t>
        </is>
      </c>
      <c r="D327" s="21" t="n">
        <v>1.34</v>
      </c>
      <c r="E327" s="22" t="n">
        <v>45992</v>
      </c>
      <c r="F327" s="3" t="n">
        <v>2024</v>
      </c>
      <c r="G327" s="10">
        <f>IFERROR(100*($D327*(INDEX('Data_NSA'!$A:$OK,MATCH(G$1,'Data_NSA'!$A:$A,0),MATCH($C327,'Data_NSA'!$1:$1,0))/INDEX('Data_NSA'!$A:$OK,MATCH($E327,'Data_NSA'!$A:$A,0),MATCH($C327,'Data_NSA'!$1:$1,0))))/(100*(INDEX('Data_NSA'!$A:$OK,MATCH(G$1,'Data_NSA'!$A:$A,0),MATCH("CUUR0000SA0",'Data_NSA'!$1:$1,0))/INDEX('Data_NSA'!$A:$OK,MATCH($E327,'Data_NSA'!$A:$A,0),MATCH("CUUR0000SA0",'Data_NSA'!$1:$1,0)))),"")</f>
        <v/>
      </c>
      <c r="H327" s="10">
        <f>IFERROR(100*($D327*(INDEX('Data_NSA'!$A:$OK,MATCH(H$1,'Data_NSA'!$A:$A,0),MATCH($C327,'Data_NSA'!$1:$1,0))/INDEX('Data_NSA'!$A:$OK,MATCH($E327,'Data_NSA'!$A:$A,0),MATCH($C327,'Data_NSA'!$1:$1,0))))/(100*(INDEX('Data_NSA'!$A:$OK,MATCH(H$1,'Data_NSA'!$A:$A,0),MATCH("CUUR0000SA0",'Data_NSA'!$1:$1,0))/INDEX('Data_NSA'!$A:$OK,MATCH($E327,'Data_NSA'!$A:$A,0),MATCH("CUUR0000SA0",'Data_NSA'!$1:$1,0)))),"")</f>
        <v/>
      </c>
      <c r="I327" s="10">
        <f>IFERROR(100*($D327*(INDEX('Data_NSA'!$A:$OK,MATCH(I$1,'Data_NSA'!$A:$A,0),MATCH($C327,'Data_NSA'!$1:$1,0))/INDEX('Data_NSA'!$A:$OK,MATCH($E327,'Data_NSA'!$A:$A,0),MATCH($C327,'Data_NSA'!$1:$1,0))))/(100*(INDEX('Data_NSA'!$A:$OK,MATCH(I$1,'Data_NSA'!$A:$A,0),MATCH("CUUR0000SA0",'Data_NSA'!$1:$1,0))/INDEX('Data_NSA'!$A:$OK,MATCH($E327,'Data_NSA'!$A:$A,0),MATCH("CUUR0000SA0",'Data_NSA'!$1:$1,0)))),"")</f>
        <v/>
      </c>
    </row>
    <row r="328">
      <c r="A328" s="3" t="inlineStr">
        <is>
          <t>SEED04</t>
        </is>
      </c>
      <c r="B328" s="3" t="inlineStr">
        <is>
          <t>Residential telephone services</t>
        </is>
      </c>
      <c r="C328" s="3" t="inlineStr">
        <is>
          <t>CUUR0000SEED04</t>
        </is>
      </c>
      <c r="D328" s="21" t="n">
        <v>0.126</v>
      </c>
      <c r="E328" s="22" t="n">
        <v>45992</v>
      </c>
      <c r="F328" s="3" t="n">
        <v>2024</v>
      </c>
      <c r="G328" s="10">
        <f>IFERROR(100*($D328*(INDEX('Data_NSA'!$A:$OK,MATCH(G$1,'Data_NSA'!$A:$A,0),MATCH($C328,'Data_NSA'!$1:$1,0))/INDEX('Data_NSA'!$A:$OK,MATCH($E328,'Data_NSA'!$A:$A,0),MATCH($C328,'Data_NSA'!$1:$1,0))))/(100*(INDEX('Data_NSA'!$A:$OK,MATCH(G$1,'Data_NSA'!$A:$A,0),MATCH("CUUR0000SA0",'Data_NSA'!$1:$1,0))/INDEX('Data_NSA'!$A:$OK,MATCH($E328,'Data_NSA'!$A:$A,0),MATCH("CUUR0000SA0",'Data_NSA'!$1:$1,0)))),"")</f>
        <v/>
      </c>
      <c r="H328" s="10">
        <f>IFERROR(100*($D328*(INDEX('Data_NSA'!$A:$OK,MATCH(H$1,'Data_NSA'!$A:$A,0),MATCH($C328,'Data_NSA'!$1:$1,0))/INDEX('Data_NSA'!$A:$OK,MATCH($E328,'Data_NSA'!$A:$A,0),MATCH($C328,'Data_NSA'!$1:$1,0))))/(100*(INDEX('Data_NSA'!$A:$OK,MATCH(H$1,'Data_NSA'!$A:$A,0),MATCH("CUUR0000SA0",'Data_NSA'!$1:$1,0))/INDEX('Data_NSA'!$A:$OK,MATCH($E328,'Data_NSA'!$A:$A,0),MATCH("CUUR0000SA0",'Data_NSA'!$1:$1,0)))),"")</f>
        <v/>
      </c>
      <c r="I328" s="10">
        <f>IFERROR(100*($D328*(INDEX('Data_NSA'!$A:$OK,MATCH(I$1,'Data_NSA'!$A:$A,0),MATCH($C328,'Data_NSA'!$1:$1,0))/INDEX('Data_NSA'!$A:$OK,MATCH($E328,'Data_NSA'!$A:$A,0),MATCH($C328,'Data_NSA'!$1:$1,0))))/(100*(INDEX('Data_NSA'!$A:$OK,MATCH(I$1,'Data_NSA'!$A:$A,0),MATCH("CUUR0000SA0",'Data_NSA'!$1:$1,0))/INDEX('Data_NSA'!$A:$OK,MATCH($E328,'Data_NSA'!$A:$A,0),MATCH("CUUR0000SA0",'Data_NSA'!$1:$1,0)))),"")</f>
        <v/>
      </c>
    </row>
    <row r="329">
      <c r="A329" s="3" t="inlineStr">
        <is>
          <t>SS27051</t>
        </is>
      </c>
      <c r="B329" s="3" t="inlineStr">
        <is>
          <t>Land-line interstate toll calls</t>
        </is>
      </c>
      <c r="C329" s="3" t="inlineStr">
        <is>
          <t>CUUR0000SS27051</t>
        </is>
      </c>
      <c r="D329" s="21" t="n"/>
      <c r="E329" s="22" t="n">
        <v>45992</v>
      </c>
      <c r="F329" s="3" t="n">
        <v>2024</v>
      </c>
      <c r="G329" s="10">
        <f>IFERROR(100*($D329*(INDEX('Data_NSA'!$A:$OK,MATCH(G$1,'Data_NSA'!$A:$A,0),MATCH($C329,'Data_NSA'!$1:$1,0))/INDEX('Data_NSA'!$A:$OK,MATCH($E329,'Data_NSA'!$A:$A,0),MATCH($C329,'Data_NSA'!$1:$1,0))))/(100*(INDEX('Data_NSA'!$A:$OK,MATCH(G$1,'Data_NSA'!$A:$A,0),MATCH("CUUR0000SA0",'Data_NSA'!$1:$1,0))/INDEX('Data_NSA'!$A:$OK,MATCH($E329,'Data_NSA'!$A:$A,0),MATCH("CUUR0000SA0",'Data_NSA'!$1:$1,0)))),"")</f>
        <v/>
      </c>
      <c r="H329" s="10">
        <f>IFERROR(100*($D329*(INDEX('Data_NSA'!$A:$OK,MATCH(H$1,'Data_NSA'!$A:$A,0),MATCH($C329,'Data_NSA'!$1:$1,0))/INDEX('Data_NSA'!$A:$OK,MATCH($E329,'Data_NSA'!$A:$A,0),MATCH($C329,'Data_NSA'!$1:$1,0))))/(100*(INDEX('Data_NSA'!$A:$OK,MATCH(H$1,'Data_NSA'!$A:$A,0),MATCH("CUUR0000SA0",'Data_NSA'!$1:$1,0))/INDEX('Data_NSA'!$A:$OK,MATCH($E329,'Data_NSA'!$A:$A,0),MATCH("CUUR0000SA0",'Data_NSA'!$1:$1,0)))),"")</f>
        <v/>
      </c>
      <c r="I329" s="10">
        <f>IFERROR(100*($D329*(INDEX('Data_NSA'!$A:$OK,MATCH(I$1,'Data_NSA'!$A:$A,0),MATCH($C329,'Data_NSA'!$1:$1,0))/INDEX('Data_NSA'!$A:$OK,MATCH($E329,'Data_NSA'!$A:$A,0),MATCH($C329,'Data_NSA'!$1:$1,0))))/(100*(INDEX('Data_NSA'!$A:$OK,MATCH(I$1,'Data_NSA'!$A:$A,0),MATCH("CUUR0000SA0",'Data_NSA'!$1:$1,0))/INDEX('Data_NSA'!$A:$OK,MATCH($E329,'Data_NSA'!$A:$A,0),MATCH("CUUR0000SA0",'Data_NSA'!$1:$1,0)))),"")</f>
        <v/>
      </c>
    </row>
    <row r="330">
      <c r="A330" s="3" t="inlineStr">
        <is>
          <t>SS27061</t>
        </is>
      </c>
      <c r="B330" s="3" t="inlineStr">
        <is>
          <t>Land-line intrastate toll calls</t>
        </is>
      </c>
      <c r="C330" s="3" t="inlineStr">
        <is>
          <t>CUUR0000SS27061</t>
        </is>
      </c>
      <c r="D330" s="21" t="n"/>
      <c r="E330" s="22" t="n">
        <v>45992</v>
      </c>
      <c r="F330" s="3" t="n">
        <v>2024</v>
      </c>
      <c r="G330" s="10">
        <f>IFERROR(100*($D330*(INDEX('Data_NSA'!$A:$OK,MATCH(G$1,'Data_NSA'!$A:$A,0),MATCH($C330,'Data_NSA'!$1:$1,0))/INDEX('Data_NSA'!$A:$OK,MATCH($E330,'Data_NSA'!$A:$A,0),MATCH($C330,'Data_NSA'!$1:$1,0))))/(100*(INDEX('Data_NSA'!$A:$OK,MATCH(G$1,'Data_NSA'!$A:$A,0),MATCH("CUUR0000SA0",'Data_NSA'!$1:$1,0))/INDEX('Data_NSA'!$A:$OK,MATCH($E330,'Data_NSA'!$A:$A,0),MATCH("CUUR0000SA0",'Data_NSA'!$1:$1,0)))),"")</f>
        <v/>
      </c>
      <c r="H330" s="10">
        <f>IFERROR(100*($D330*(INDEX('Data_NSA'!$A:$OK,MATCH(H$1,'Data_NSA'!$A:$A,0),MATCH($C330,'Data_NSA'!$1:$1,0))/INDEX('Data_NSA'!$A:$OK,MATCH($E330,'Data_NSA'!$A:$A,0),MATCH($C330,'Data_NSA'!$1:$1,0))))/(100*(INDEX('Data_NSA'!$A:$OK,MATCH(H$1,'Data_NSA'!$A:$A,0),MATCH("CUUR0000SA0",'Data_NSA'!$1:$1,0))/INDEX('Data_NSA'!$A:$OK,MATCH($E330,'Data_NSA'!$A:$A,0),MATCH("CUUR0000SA0",'Data_NSA'!$1:$1,0)))),"")</f>
        <v/>
      </c>
      <c r="I330" s="10">
        <f>IFERROR(100*($D330*(INDEX('Data_NSA'!$A:$OK,MATCH(I$1,'Data_NSA'!$A:$A,0),MATCH($C330,'Data_NSA'!$1:$1,0))/INDEX('Data_NSA'!$A:$OK,MATCH($E330,'Data_NSA'!$A:$A,0),MATCH($C330,'Data_NSA'!$1:$1,0))))/(100*(INDEX('Data_NSA'!$A:$OK,MATCH(I$1,'Data_NSA'!$A:$A,0),MATCH("CUUR0000SA0",'Data_NSA'!$1:$1,0))/INDEX('Data_NSA'!$A:$OK,MATCH($E330,'Data_NSA'!$A:$A,0),MATCH("CUUR0000SA0",'Data_NSA'!$1:$1,0)))),"")</f>
        <v/>
      </c>
    </row>
    <row r="331">
      <c r="A331" s="3" t="inlineStr">
        <is>
          <t>SEEE</t>
        </is>
      </c>
      <c r="B331" s="3" t="inlineStr">
        <is>
          <t>Information technology, hardware and services</t>
        </is>
      </c>
      <c r="C331" s="3" t="inlineStr">
        <is>
          <t>CUUR0000SEEE</t>
        </is>
      </c>
      <c r="D331" s="21" t="n">
        <v>1.714</v>
      </c>
      <c r="E331" s="22" t="n">
        <v>45992</v>
      </c>
      <c r="F331" s="3" t="n">
        <v>2024</v>
      </c>
      <c r="G331" s="10">
        <f>IFERROR(100*($D331*(INDEX('Data_NSA'!$A:$OK,MATCH(G$1,'Data_NSA'!$A:$A,0),MATCH($C331,'Data_NSA'!$1:$1,0))/INDEX('Data_NSA'!$A:$OK,MATCH($E331,'Data_NSA'!$A:$A,0),MATCH($C331,'Data_NSA'!$1:$1,0))))/(100*(INDEX('Data_NSA'!$A:$OK,MATCH(G$1,'Data_NSA'!$A:$A,0),MATCH("CUUR0000SA0",'Data_NSA'!$1:$1,0))/INDEX('Data_NSA'!$A:$OK,MATCH($E331,'Data_NSA'!$A:$A,0),MATCH("CUUR0000SA0",'Data_NSA'!$1:$1,0)))),"")</f>
        <v/>
      </c>
      <c r="H331" s="10">
        <f>IFERROR(100*($D331*(INDEX('Data_NSA'!$A:$OK,MATCH(H$1,'Data_NSA'!$A:$A,0),MATCH($C331,'Data_NSA'!$1:$1,0))/INDEX('Data_NSA'!$A:$OK,MATCH($E331,'Data_NSA'!$A:$A,0),MATCH($C331,'Data_NSA'!$1:$1,0))))/(100*(INDEX('Data_NSA'!$A:$OK,MATCH(H$1,'Data_NSA'!$A:$A,0),MATCH("CUUR0000SA0",'Data_NSA'!$1:$1,0))/INDEX('Data_NSA'!$A:$OK,MATCH($E331,'Data_NSA'!$A:$A,0),MATCH("CUUR0000SA0",'Data_NSA'!$1:$1,0)))),"")</f>
        <v/>
      </c>
      <c r="I331" s="10">
        <f>IFERROR(100*($D331*(INDEX('Data_NSA'!$A:$OK,MATCH(I$1,'Data_NSA'!$A:$A,0),MATCH($C331,'Data_NSA'!$1:$1,0))/INDEX('Data_NSA'!$A:$OK,MATCH($E331,'Data_NSA'!$A:$A,0),MATCH($C331,'Data_NSA'!$1:$1,0))))/(100*(INDEX('Data_NSA'!$A:$OK,MATCH(I$1,'Data_NSA'!$A:$A,0),MATCH("CUUR0000SA0",'Data_NSA'!$1:$1,0))/INDEX('Data_NSA'!$A:$OK,MATCH($E331,'Data_NSA'!$A:$A,0),MATCH("CUUR0000SA0",'Data_NSA'!$1:$1,0)))),"")</f>
        <v/>
      </c>
    </row>
    <row r="332">
      <c r="A332" s="3" t="inlineStr">
        <is>
          <t>SEEE01</t>
        </is>
      </c>
      <c r="B332" s="3" t="inlineStr">
        <is>
          <t>Computers, peripherals, and smart home assistants</t>
        </is>
      </c>
      <c r="C332" s="3" t="inlineStr">
        <is>
          <t>CUUR0000SEEE01</t>
        </is>
      </c>
      <c r="D332" s="21" t="n">
        <v>0.293</v>
      </c>
      <c r="E332" s="22" t="n">
        <v>45992</v>
      </c>
      <c r="F332" s="3" t="n">
        <v>2024</v>
      </c>
      <c r="G332" s="10">
        <f>IFERROR(100*($D332*(INDEX('Data_NSA'!$A:$OK,MATCH(G$1,'Data_NSA'!$A:$A,0),MATCH($C332,'Data_NSA'!$1:$1,0))/INDEX('Data_NSA'!$A:$OK,MATCH($E332,'Data_NSA'!$A:$A,0),MATCH($C332,'Data_NSA'!$1:$1,0))))/(100*(INDEX('Data_NSA'!$A:$OK,MATCH(G$1,'Data_NSA'!$A:$A,0),MATCH("CUUR0000SA0",'Data_NSA'!$1:$1,0))/INDEX('Data_NSA'!$A:$OK,MATCH($E332,'Data_NSA'!$A:$A,0),MATCH("CUUR0000SA0",'Data_NSA'!$1:$1,0)))),"")</f>
        <v/>
      </c>
      <c r="H332" s="10">
        <f>IFERROR(100*($D332*(INDEX('Data_NSA'!$A:$OK,MATCH(H$1,'Data_NSA'!$A:$A,0),MATCH($C332,'Data_NSA'!$1:$1,0))/INDEX('Data_NSA'!$A:$OK,MATCH($E332,'Data_NSA'!$A:$A,0),MATCH($C332,'Data_NSA'!$1:$1,0))))/(100*(INDEX('Data_NSA'!$A:$OK,MATCH(H$1,'Data_NSA'!$A:$A,0),MATCH("CUUR0000SA0",'Data_NSA'!$1:$1,0))/INDEX('Data_NSA'!$A:$OK,MATCH($E332,'Data_NSA'!$A:$A,0),MATCH("CUUR0000SA0",'Data_NSA'!$1:$1,0)))),"")</f>
        <v/>
      </c>
      <c r="I332" s="10">
        <f>IFERROR(100*($D332*(INDEX('Data_NSA'!$A:$OK,MATCH(I$1,'Data_NSA'!$A:$A,0),MATCH($C332,'Data_NSA'!$1:$1,0))/INDEX('Data_NSA'!$A:$OK,MATCH($E332,'Data_NSA'!$A:$A,0),MATCH($C332,'Data_NSA'!$1:$1,0))))/(100*(INDEX('Data_NSA'!$A:$OK,MATCH(I$1,'Data_NSA'!$A:$A,0),MATCH("CUUR0000SA0",'Data_NSA'!$1:$1,0))/INDEX('Data_NSA'!$A:$OK,MATCH($E332,'Data_NSA'!$A:$A,0),MATCH("CUUR0000SA0",'Data_NSA'!$1:$1,0)))),"")</f>
        <v/>
      </c>
    </row>
    <row r="333">
      <c r="A333" s="3" t="inlineStr">
        <is>
          <t>SEEE02</t>
        </is>
      </c>
      <c r="B333" s="3" t="inlineStr">
        <is>
          <t>Computer software and accessories</t>
        </is>
      </c>
      <c r="C333" s="3" t="inlineStr">
        <is>
          <t>CUUR0000SEEE02</t>
        </is>
      </c>
      <c r="D333" s="21" t="n">
        <v>0.027</v>
      </c>
      <c r="E333" s="22" t="n">
        <v>45992</v>
      </c>
      <c r="F333" s="3" t="n">
        <v>2024</v>
      </c>
      <c r="G333" s="10">
        <f>IFERROR(100*($D333*(INDEX('Data_NSA'!$A:$OK,MATCH(G$1,'Data_NSA'!$A:$A,0),MATCH($C333,'Data_NSA'!$1:$1,0))/INDEX('Data_NSA'!$A:$OK,MATCH($E333,'Data_NSA'!$A:$A,0),MATCH($C333,'Data_NSA'!$1:$1,0))))/(100*(INDEX('Data_NSA'!$A:$OK,MATCH(G$1,'Data_NSA'!$A:$A,0),MATCH("CUUR0000SA0",'Data_NSA'!$1:$1,0))/INDEX('Data_NSA'!$A:$OK,MATCH($E333,'Data_NSA'!$A:$A,0),MATCH("CUUR0000SA0",'Data_NSA'!$1:$1,0)))),"")</f>
        <v/>
      </c>
      <c r="H333" s="10">
        <f>IFERROR(100*($D333*(INDEX('Data_NSA'!$A:$OK,MATCH(H$1,'Data_NSA'!$A:$A,0),MATCH($C333,'Data_NSA'!$1:$1,0))/INDEX('Data_NSA'!$A:$OK,MATCH($E333,'Data_NSA'!$A:$A,0),MATCH($C333,'Data_NSA'!$1:$1,0))))/(100*(INDEX('Data_NSA'!$A:$OK,MATCH(H$1,'Data_NSA'!$A:$A,0),MATCH("CUUR0000SA0",'Data_NSA'!$1:$1,0))/INDEX('Data_NSA'!$A:$OK,MATCH($E333,'Data_NSA'!$A:$A,0),MATCH("CUUR0000SA0",'Data_NSA'!$1:$1,0)))),"")</f>
        <v/>
      </c>
      <c r="I333" s="10">
        <f>IFERROR(100*($D333*(INDEX('Data_NSA'!$A:$OK,MATCH(I$1,'Data_NSA'!$A:$A,0),MATCH($C333,'Data_NSA'!$1:$1,0))/INDEX('Data_NSA'!$A:$OK,MATCH($E333,'Data_NSA'!$A:$A,0),MATCH($C333,'Data_NSA'!$1:$1,0))))/(100*(INDEX('Data_NSA'!$A:$OK,MATCH(I$1,'Data_NSA'!$A:$A,0),MATCH("CUUR0000SA0",'Data_NSA'!$1:$1,0))/INDEX('Data_NSA'!$A:$OK,MATCH($E333,'Data_NSA'!$A:$A,0),MATCH("CUUR0000SA0",'Data_NSA'!$1:$1,0)))),"")</f>
        <v/>
      </c>
    </row>
    <row r="334">
      <c r="A334" s="3" t="inlineStr">
        <is>
          <t>SEEE03</t>
        </is>
      </c>
      <c r="B334" s="3" t="inlineStr">
        <is>
          <t>Internet services and electronic information providers</t>
        </is>
      </c>
      <c r="C334" s="3" t="inlineStr">
        <is>
          <t>CUUR0000SEEE03</t>
        </is>
      </c>
      <c r="D334" s="21" t="n">
        <v>0.923</v>
      </c>
      <c r="E334" s="22" t="n">
        <v>45992</v>
      </c>
      <c r="F334" s="3" t="n">
        <v>2024</v>
      </c>
      <c r="G334" s="10">
        <f>IFERROR(100*($D334*(INDEX('Data_NSA'!$A:$OK,MATCH(G$1,'Data_NSA'!$A:$A,0),MATCH($C334,'Data_NSA'!$1:$1,0))/INDEX('Data_NSA'!$A:$OK,MATCH($E334,'Data_NSA'!$A:$A,0),MATCH($C334,'Data_NSA'!$1:$1,0))))/(100*(INDEX('Data_NSA'!$A:$OK,MATCH(G$1,'Data_NSA'!$A:$A,0),MATCH("CUUR0000SA0",'Data_NSA'!$1:$1,0))/INDEX('Data_NSA'!$A:$OK,MATCH($E334,'Data_NSA'!$A:$A,0),MATCH("CUUR0000SA0",'Data_NSA'!$1:$1,0)))),"")</f>
        <v/>
      </c>
      <c r="H334" s="10">
        <f>IFERROR(100*($D334*(INDEX('Data_NSA'!$A:$OK,MATCH(H$1,'Data_NSA'!$A:$A,0),MATCH($C334,'Data_NSA'!$1:$1,0))/INDEX('Data_NSA'!$A:$OK,MATCH($E334,'Data_NSA'!$A:$A,0),MATCH($C334,'Data_NSA'!$1:$1,0))))/(100*(INDEX('Data_NSA'!$A:$OK,MATCH(H$1,'Data_NSA'!$A:$A,0),MATCH("CUUR0000SA0",'Data_NSA'!$1:$1,0))/INDEX('Data_NSA'!$A:$OK,MATCH($E334,'Data_NSA'!$A:$A,0),MATCH("CUUR0000SA0",'Data_NSA'!$1:$1,0)))),"")</f>
        <v/>
      </c>
      <c r="I334" s="10">
        <f>IFERROR(100*($D334*(INDEX('Data_NSA'!$A:$OK,MATCH(I$1,'Data_NSA'!$A:$A,0),MATCH($C334,'Data_NSA'!$1:$1,0))/INDEX('Data_NSA'!$A:$OK,MATCH($E334,'Data_NSA'!$A:$A,0),MATCH($C334,'Data_NSA'!$1:$1,0))))/(100*(INDEX('Data_NSA'!$A:$OK,MATCH(I$1,'Data_NSA'!$A:$A,0),MATCH("CUUR0000SA0",'Data_NSA'!$1:$1,0))/INDEX('Data_NSA'!$A:$OK,MATCH($E334,'Data_NSA'!$A:$A,0),MATCH("CUUR0000SA0",'Data_NSA'!$1:$1,0)))),"")</f>
        <v/>
      </c>
    </row>
    <row r="335">
      <c r="A335" s="3" t="inlineStr">
        <is>
          <t>SEEE04</t>
        </is>
      </c>
      <c r="B335" s="3" t="inlineStr">
        <is>
          <t>Telephone hardware, calculators, and other consumer information items</t>
        </is>
      </c>
      <c r="C335" s="3" t="inlineStr">
        <is>
          <t>CUUR0000SEEE04</t>
        </is>
      </c>
      <c r="D335" s="21" t="n">
        <v>0.461</v>
      </c>
      <c r="E335" s="22" t="n">
        <v>45992</v>
      </c>
      <c r="F335" s="3" t="n">
        <v>2024</v>
      </c>
      <c r="G335" s="10">
        <f>IFERROR(100*($D335*(INDEX('Data_NSA'!$A:$OK,MATCH(G$1,'Data_NSA'!$A:$A,0),MATCH($C335,'Data_NSA'!$1:$1,0))/INDEX('Data_NSA'!$A:$OK,MATCH($E335,'Data_NSA'!$A:$A,0),MATCH($C335,'Data_NSA'!$1:$1,0))))/(100*(INDEX('Data_NSA'!$A:$OK,MATCH(G$1,'Data_NSA'!$A:$A,0),MATCH("CUUR0000SA0",'Data_NSA'!$1:$1,0))/INDEX('Data_NSA'!$A:$OK,MATCH($E335,'Data_NSA'!$A:$A,0),MATCH("CUUR0000SA0",'Data_NSA'!$1:$1,0)))),"")</f>
        <v/>
      </c>
      <c r="H335" s="10">
        <f>IFERROR(100*($D335*(INDEX('Data_NSA'!$A:$OK,MATCH(H$1,'Data_NSA'!$A:$A,0),MATCH($C335,'Data_NSA'!$1:$1,0))/INDEX('Data_NSA'!$A:$OK,MATCH($E335,'Data_NSA'!$A:$A,0),MATCH($C335,'Data_NSA'!$1:$1,0))))/(100*(INDEX('Data_NSA'!$A:$OK,MATCH(H$1,'Data_NSA'!$A:$A,0),MATCH("CUUR0000SA0",'Data_NSA'!$1:$1,0))/INDEX('Data_NSA'!$A:$OK,MATCH($E335,'Data_NSA'!$A:$A,0),MATCH("CUUR0000SA0",'Data_NSA'!$1:$1,0)))),"")</f>
        <v/>
      </c>
      <c r="I335" s="10">
        <f>IFERROR(100*($D335*(INDEX('Data_NSA'!$A:$OK,MATCH(I$1,'Data_NSA'!$A:$A,0),MATCH($C335,'Data_NSA'!$1:$1,0))/INDEX('Data_NSA'!$A:$OK,MATCH($E335,'Data_NSA'!$A:$A,0),MATCH($C335,'Data_NSA'!$1:$1,0))))/(100*(INDEX('Data_NSA'!$A:$OK,MATCH(I$1,'Data_NSA'!$A:$A,0),MATCH("CUUR0000SA0",'Data_NSA'!$1:$1,0))/INDEX('Data_NSA'!$A:$OK,MATCH($E335,'Data_NSA'!$A:$A,0),MATCH("CUUR0000SA0",'Data_NSA'!$1:$1,0)))),"")</f>
        <v/>
      </c>
    </row>
    <row r="336">
      <c r="A336" s="3" t="inlineStr">
        <is>
          <t>SSEE041</t>
        </is>
      </c>
      <c r="B336" s="3" t="inlineStr">
        <is>
          <t>Smartphones</t>
        </is>
      </c>
      <c r="C336" s="3" t="inlineStr">
        <is>
          <t>CUUR0000SSEE041</t>
        </is>
      </c>
      <c r="D336" s="21" t="n"/>
      <c r="E336" s="22" t="n">
        <v>45992</v>
      </c>
      <c r="F336" s="3" t="n">
        <v>2024</v>
      </c>
      <c r="G336" s="10">
        <f>IFERROR(100*($D336*(INDEX('Data_NSA'!$A:$OK,MATCH(G$1,'Data_NSA'!$A:$A,0),MATCH($C336,'Data_NSA'!$1:$1,0))/INDEX('Data_NSA'!$A:$OK,MATCH($E336,'Data_NSA'!$A:$A,0),MATCH($C336,'Data_NSA'!$1:$1,0))))/(100*(INDEX('Data_NSA'!$A:$OK,MATCH(G$1,'Data_NSA'!$A:$A,0),MATCH("CUUR0000SA0",'Data_NSA'!$1:$1,0))/INDEX('Data_NSA'!$A:$OK,MATCH($E336,'Data_NSA'!$A:$A,0),MATCH("CUUR0000SA0",'Data_NSA'!$1:$1,0)))),"")</f>
        <v/>
      </c>
      <c r="H336" s="10">
        <f>IFERROR(100*($D336*(INDEX('Data_NSA'!$A:$OK,MATCH(H$1,'Data_NSA'!$A:$A,0),MATCH($C336,'Data_NSA'!$1:$1,0))/INDEX('Data_NSA'!$A:$OK,MATCH($E336,'Data_NSA'!$A:$A,0),MATCH($C336,'Data_NSA'!$1:$1,0))))/(100*(INDEX('Data_NSA'!$A:$OK,MATCH(H$1,'Data_NSA'!$A:$A,0),MATCH("CUUR0000SA0",'Data_NSA'!$1:$1,0))/INDEX('Data_NSA'!$A:$OK,MATCH($E336,'Data_NSA'!$A:$A,0),MATCH("CUUR0000SA0",'Data_NSA'!$1:$1,0)))),"")</f>
        <v/>
      </c>
      <c r="I336" s="10">
        <f>IFERROR(100*($D336*(INDEX('Data_NSA'!$A:$OK,MATCH(I$1,'Data_NSA'!$A:$A,0),MATCH($C336,'Data_NSA'!$1:$1,0))/INDEX('Data_NSA'!$A:$OK,MATCH($E336,'Data_NSA'!$A:$A,0),MATCH($C336,'Data_NSA'!$1:$1,0))))/(100*(INDEX('Data_NSA'!$A:$OK,MATCH(I$1,'Data_NSA'!$A:$A,0),MATCH("CUUR0000SA0",'Data_NSA'!$1:$1,0))/INDEX('Data_NSA'!$A:$OK,MATCH($E336,'Data_NSA'!$A:$A,0),MATCH("CUUR0000SA0",'Data_NSA'!$1:$1,0)))),"")</f>
        <v/>
      </c>
    </row>
    <row r="337">
      <c r="A337" s="3" t="inlineStr">
        <is>
          <t>SAG</t>
        </is>
      </c>
      <c r="B337" s="3" t="inlineStr">
        <is>
          <t>Other goods and services</t>
        </is>
      </c>
      <c r="C337" s="3" t="inlineStr">
        <is>
          <t>CUUR0000SAG</t>
        </is>
      </c>
      <c r="D337" s="21" t="n">
        <v>2.902</v>
      </c>
      <c r="E337" s="22" t="n">
        <v>45992</v>
      </c>
      <c r="F337" s="3" t="n">
        <v>2024</v>
      </c>
      <c r="G337" s="10">
        <f>IFERROR(100*($D337*(INDEX('Data_NSA'!$A:$OK,MATCH(G$1,'Data_NSA'!$A:$A,0),MATCH($C337,'Data_NSA'!$1:$1,0))/INDEX('Data_NSA'!$A:$OK,MATCH($E337,'Data_NSA'!$A:$A,0),MATCH($C337,'Data_NSA'!$1:$1,0))))/(100*(INDEX('Data_NSA'!$A:$OK,MATCH(G$1,'Data_NSA'!$A:$A,0),MATCH("CUUR0000SA0",'Data_NSA'!$1:$1,0))/INDEX('Data_NSA'!$A:$OK,MATCH($E337,'Data_NSA'!$A:$A,0),MATCH("CUUR0000SA0",'Data_NSA'!$1:$1,0)))),"")</f>
        <v/>
      </c>
      <c r="H337" s="10">
        <f>IFERROR(100*($D337*(INDEX('Data_NSA'!$A:$OK,MATCH(H$1,'Data_NSA'!$A:$A,0),MATCH($C337,'Data_NSA'!$1:$1,0))/INDEX('Data_NSA'!$A:$OK,MATCH($E337,'Data_NSA'!$A:$A,0),MATCH($C337,'Data_NSA'!$1:$1,0))))/(100*(INDEX('Data_NSA'!$A:$OK,MATCH(H$1,'Data_NSA'!$A:$A,0),MATCH("CUUR0000SA0",'Data_NSA'!$1:$1,0))/INDEX('Data_NSA'!$A:$OK,MATCH($E337,'Data_NSA'!$A:$A,0),MATCH("CUUR0000SA0",'Data_NSA'!$1:$1,0)))),"")</f>
        <v/>
      </c>
      <c r="I337" s="10">
        <f>IFERROR(100*($D337*(INDEX('Data_NSA'!$A:$OK,MATCH(I$1,'Data_NSA'!$A:$A,0),MATCH($C337,'Data_NSA'!$1:$1,0))/INDEX('Data_NSA'!$A:$OK,MATCH($E337,'Data_NSA'!$A:$A,0),MATCH($C337,'Data_NSA'!$1:$1,0))))/(100*(INDEX('Data_NSA'!$A:$OK,MATCH(I$1,'Data_NSA'!$A:$A,0),MATCH("CUUR0000SA0",'Data_NSA'!$1:$1,0))/INDEX('Data_NSA'!$A:$OK,MATCH($E337,'Data_NSA'!$A:$A,0),MATCH("CUUR0000SA0",'Data_NSA'!$1:$1,0)))),"")</f>
        <v/>
      </c>
    </row>
    <row r="338">
      <c r="A338" s="3" t="inlineStr">
        <is>
          <t>SEGA</t>
        </is>
      </c>
      <c r="B338" s="3" t="inlineStr">
        <is>
          <t>Tobacco and smoking products</t>
        </is>
      </c>
      <c r="C338" s="3" t="inlineStr">
        <is>
          <t>CUUR0000SEGA</t>
        </is>
      </c>
      <c r="D338" s="21" t="n">
        <v>0.445</v>
      </c>
      <c r="E338" s="22" t="n">
        <v>45992</v>
      </c>
      <c r="F338" s="3" t="n">
        <v>2024</v>
      </c>
      <c r="G338" s="10">
        <f>IFERROR(100*($D338*(INDEX('Data_NSA'!$A:$OK,MATCH(G$1,'Data_NSA'!$A:$A,0),MATCH($C338,'Data_NSA'!$1:$1,0))/INDEX('Data_NSA'!$A:$OK,MATCH($E338,'Data_NSA'!$A:$A,0),MATCH($C338,'Data_NSA'!$1:$1,0))))/(100*(INDEX('Data_NSA'!$A:$OK,MATCH(G$1,'Data_NSA'!$A:$A,0),MATCH("CUUR0000SA0",'Data_NSA'!$1:$1,0))/INDEX('Data_NSA'!$A:$OK,MATCH($E338,'Data_NSA'!$A:$A,0),MATCH("CUUR0000SA0",'Data_NSA'!$1:$1,0)))),"")</f>
        <v/>
      </c>
      <c r="H338" s="10">
        <f>IFERROR(100*($D338*(INDEX('Data_NSA'!$A:$OK,MATCH(H$1,'Data_NSA'!$A:$A,0),MATCH($C338,'Data_NSA'!$1:$1,0))/INDEX('Data_NSA'!$A:$OK,MATCH($E338,'Data_NSA'!$A:$A,0),MATCH($C338,'Data_NSA'!$1:$1,0))))/(100*(INDEX('Data_NSA'!$A:$OK,MATCH(H$1,'Data_NSA'!$A:$A,0),MATCH("CUUR0000SA0",'Data_NSA'!$1:$1,0))/INDEX('Data_NSA'!$A:$OK,MATCH($E338,'Data_NSA'!$A:$A,0),MATCH("CUUR0000SA0",'Data_NSA'!$1:$1,0)))),"")</f>
        <v/>
      </c>
      <c r="I338" s="10">
        <f>IFERROR(100*($D338*(INDEX('Data_NSA'!$A:$OK,MATCH(I$1,'Data_NSA'!$A:$A,0),MATCH($C338,'Data_NSA'!$1:$1,0))/INDEX('Data_NSA'!$A:$OK,MATCH($E338,'Data_NSA'!$A:$A,0),MATCH($C338,'Data_NSA'!$1:$1,0))))/(100*(INDEX('Data_NSA'!$A:$OK,MATCH(I$1,'Data_NSA'!$A:$A,0),MATCH("CUUR0000SA0",'Data_NSA'!$1:$1,0))/INDEX('Data_NSA'!$A:$OK,MATCH($E338,'Data_NSA'!$A:$A,0),MATCH("CUUR0000SA0",'Data_NSA'!$1:$1,0)))),"")</f>
        <v/>
      </c>
    </row>
    <row r="339">
      <c r="A339" s="3" t="inlineStr">
        <is>
          <t>SEGA01</t>
        </is>
      </c>
      <c r="B339" s="3" t="inlineStr">
        <is>
          <t>Cigarettes</t>
        </is>
      </c>
      <c r="C339" s="3" t="inlineStr">
        <is>
          <t>CUUR0000SEGA01</t>
        </is>
      </c>
      <c r="D339" s="21" t="n">
        <v>0.327</v>
      </c>
      <c r="E339" s="22" t="n">
        <v>45992</v>
      </c>
      <c r="F339" s="3" t="n">
        <v>2024</v>
      </c>
      <c r="G339" s="10">
        <f>IFERROR(100*($D339*(INDEX('Data_NSA'!$A:$OK,MATCH(G$1,'Data_NSA'!$A:$A,0),MATCH($C339,'Data_NSA'!$1:$1,0))/INDEX('Data_NSA'!$A:$OK,MATCH($E339,'Data_NSA'!$A:$A,0),MATCH($C339,'Data_NSA'!$1:$1,0))))/(100*(INDEX('Data_NSA'!$A:$OK,MATCH(G$1,'Data_NSA'!$A:$A,0),MATCH("CUUR0000SA0",'Data_NSA'!$1:$1,0))/INDEX('Data_NSA'!$A:$OK,MATCH($E339,'Data_NSA'!$A:$A,0),MATCH("CUUR0000SA0",'Data_NSA'!$1:$1,0)))),"")</f>
        <v/>
      </c>
      <c r="H339" s="10">
        <f>IFERROR(100*($D339*(INDEX('Data_NSA'!$A:$OK,MATCH(H$1,'Data_NSA'!$A:$A,0),MATCH($C339,'Data_NSA'!$1:$1,0))/INDEX('Data_NSA'!$A:$OK,MATCH($E339,'Data_NSA'!$A:$A,0),MATCH($C339,'Data_NSA'!$1:$1,0))))/(100*(INDEX('Data_NSA'!$A:$OK,MATCH(H$1,'Data_NSA'!$A:$A,0),MATCH("CUUR0000SA0",'Data_NSA'!$1:$1,0))/INDEX('Data_NSA'!$A:$OK,MATCH($E339,'Data_NSA'!$A:$A,0),MATCH("CUUR0000SA0",'Data_NSA'!$1:$1,0)))),"")</f>
        <v/>
      </c>
      <c r="I339" s="10">
        <f>IFERROR(100*($D339*(INDEX('Data_NSA'!$A:$OK,MATCH(I$1,'Data_NSA'!$A:$A,0),MATCH($C339,'Data_NSA'!$1:$1,0))/INDEX('Data_NSA'!$A:$OK,MATCH($E339,'Data_NSA'!$A:$A,0),MATCH($C339,'Data_NSA'!$1:$1,0))))/(100*(INDEX('Data_NSA'!$A:$OK,MATCH(I$1,'Data_NSA'!$A:$A,0),MATCH("CUUR0000SA0",'Data_NSA'!$1:$1,0))/INDEX('Data_NSA'!$A:$OK,MATCH($E339,'Data_NSA'!$A:$A,0),MATCH("CUUR0000SA0",'Data_NSA'!$1:$1,0)))),"")</f>
        <v/>
      </c>
    </row>
    <row r="340">
      <c r="A340" s="3" t="inlineStr">
        <is>
          <t>SEGA02</t>
        </is>
      </c>
      <c r="B340" s="3" t="inlineStr">
        <is>
          <t>Tobacco products other than cigarettes</t>
        </is>
      </c>
      <c r="C340" s="3" t="inlineStr">
        <is>
          <t>CUUR0000SEGA02</t>
        </is>
      </c>
      <c r="D340" s="21" t="n">
        <v>0.114</v>
      </c>
      <c r="E340" s="22" t="n">
        <v>45992</v>
      </c>
      <c r="F340" s="3" t="n">
        <v>2024</v>
      </c>
      <c r="G340" s="10">
        <f>IFERROR(100*($D340*(INDEX('Data_NSA'!$A:$OK,MATCH(G$1,'Data_NSA'!$A:$A,0),MATCH($C340,'Data_NSA'!$1:$1,0))/INDEX('Data_NSA'!$A:$OK,MATCH($E340,'Data_NSA'!$A:$A,0),MATCH($C340,'Data_NSA'!$1:$1,0))))/(100*(INDEX('Data_NSA'!$A:$OK,MATCH(G$1,'Data_NSA'!$A:$A,0),MATCH("CUUR0000SA0",'Data_NSA'!$1:$1,0))/INDEX('Data_NSA'!$A:$OK,MATCH($E340,'Data_NSA'!$A:$A,0),MATCH("CUUR0000SA0",'Data_NSA'!$1:$1,0)))),"")</f>
        <v/>
      </c>
      <c r="H340" s="10">
        <f>IFERROR(100*($D340*(INDEX('Data_NSA'!$A:$OK,MATCH(H$1,'Data_NSA'!$A:$A,0),MATCH($C340,'Data_NSA'!$1:$1,0))/INDEX('Data_NSA'!$A:$OK,MATCH($E340,'Data_NSA'!$A:$A,0),MATCH($C340,'Data_NSA'!$1:$1,0))))/(100*(INDEX('Data_NSA'!$A:$OK,MATCH(H$1,'Data_NSA'!$A:$A,0),MATCH("CUUR0000SA0",'Data_NSA'!$1:$1,0))/INDEX('Data_NSA'!$A:$OK,MATCH($E340,'Data_NSA'!$A:$A,0),MATCH("CUUR0000SA0",'Data_NSA'!$1:$1,0)))),"")</f>
        <v/>
      </c>
      <c r="I340" s="10">
        <f>IFERROR(100*($D340*(INDEX('Data_NSA'!$A:$OK,MATCH(I$1,'Data_NSA'!$A:$A,0),MATCH($C340,'Data_NSA'!$1:$1,0))/INDEX('Data_NSA'!$A:$OK,MATCH($E340,'Data_NSA'!$A:$A,0),MATCH($C340,'Data_NSA'!$1:$1,0))))/(100*(INDEX('Data_NSA'!$A:$OK,MATCH(I$1,'Data_NSA'!$A:$A,0),MATCH("CUUR0000SA0",'Data_NSA'!$1:$1,0))/INDEX('Data_NSA'!$A:$OK,MATCH($E340,'Data_NSA'!$A:$A,0),MATCH("CUUR0000SA0",'Data_NSA'!$1:$1,0)))),"")</f>
        <v/>
      </c>
    </row>
    <row r="341">
      <c r="A341" s="3" t="inlineStr">
        <is>
          <t>SAG1</t>
        </is>
      </c>
      <c r="B341" s="3" t="inlineStr">
        <is>
          <t>Personal care</t>
        </is>
      </c>
      <c r="C341" s="3" t="inlineStr">
        <is>
          <t>CUUR0000SAG1</t>
        </is>
      </c>
      <c r="D341" s="21" t="n">
        <v>2.456</v>
      </c>
      <c r="E341" s="22" t="n">
        <v>45992</v>
      </c>
      <c r="F341" s="3" t="n">
        <v>2024</v>
      </c>
      <c r="G341" s="10">
        <f>IFERROR(100*($D341*(INDEX('Data_NSA'!$A:$OK,MATCH(G$1,'Data_NSA'!$A:$A,0),MATCH($C341,'Data_NSA'!$1:$1,0))/INDEX('Data_NSA'!$A:$OK,MATCH($E341,'Data_NSA'!$A:$A,0),MATCH($C341,'Data_NSA'!$1:$1,0))))/(100*(INDEX('Data_NSA'!$A:$OK,MATCH(G$1,'Data_NSA'!$A:$A,0),MATCH("CUUR0000SA0",'Data_NSA'!$1:$1,0))/INDEX('Data_NSA'!$A:$OK,MATCH($E341,'Data_NSA'!$A:$A,0),MATCH("CUUR0000SA0",'Data_NSA'!$1:$1,0)))),"")</f>
        <v/>
      </c>
      <c r="H341" s="10">
        <f>IFERROR(100*($D341*(INDEX('Data_NSA'!$A:$OK,MATCH(H$1,'Data_NSA'!$A:$A,0),MATCH($C341,'Data_NSA'!$1:$1,0))/INDEX('Data_NSA'!$A:$OK,MATCH($E341,'Data_NSA'!$A:$A,0),MATCH($C341,'Data_NSA'!$1:$1,0))))/(100*(INDEX('Data_NSA'!$A:$OK,MATCH(H$1,'Data_NSA'!$A:$A,0),MATCH("CUUR0000SA0",'Data_NSA'!$1:$1,0))/INDEX('Data_NSA'!$A:$OK,MATCH($E341,'Data_NSA'!$A:$A,0),MATCH("CUUR0000SA0",'Data_NSA'!$1:$1,0)))),"")</f>
        <v/>
      </c>
      <c r="I341" s="10">
        <f>IFERROR(100*($D341*(INDEX('Data_NSA'!$A:$OK,MATCH(I$1,'Data_NSA'!$A:$A,0),MATCH($C341,'Data_NSA'!$1:$1,0))/INDEX('Data_NSA'!$A:$OK,MATCH($E341,'Data_NSA'!$A:$A,0),MATCH($C341,'Data_NSA'!$1:$1,0))))/(100*(INDEX('Data_NSA'!$A:$OK,MATCH(I$1,'Data_NSA'!$A:$A,0),MATCH("CUUR0000SA0",'Data_NSA'!$1:$1,0))/INDEX('Data_NSA'!$A:$OK,MATCH($E341,'Data_NSA'!$A:$A,0),MATCH("CUUR0000SA0",'Data_NSA'!$1:$1,0)))),"")</f>
        <v/>
      </c>
    </row>
    <row r="342">
      <c r="A342" s="3" t="inlineStr">
        <is>
          <t>SEGB</t>
        </is>
      </c>
      <c r="B342" s="3" t="inlineStr">
        <is>
          <t>Personal care products</t>
        </is>
      </c>
      <c r="C342" s="3" t="inlineStr">
        <is>
          <t>CUUR0000SEGB</t>
        </is>
      </c>
      <c r="D342" s="21" t="n">
        <v>0.674</v>
      </c>
      <c r="E342" s="22" t="n">
        <v>45992</v>
      </c>
      <c r="F342" s="3" t="n">
        <v>2024</v>
      </c>
      <c r="G342" s="10">
        <f>IFERROR(100*($D342*(INDEX('Data_NSA'!$A:$OK,MATCH(G$1,'Data_NSA'!$A:$A,0),MATCH($C342,'Data_NSA'!$1:$1,0))/INDEX('Data_NSA'!$A:$OK,MATCH($E342,'Data_NSA'!$A:$A,0),MATCH($C342,'Data_NSA'!$1:$1,0))))/(100*(INDEX('Data_NSA'!$A:$OK,MATCH(G$1,'Data_NSA'!$A:$A,0),MATCH("CUUR0000SA0",'Data_NSA'!$1:$1,0))/INDEX('Data_NSA'!$A:$OK,MATCH($E342,'Data_NSA'!$A:$A,0),MATCH("CUUR0000SA0",'Data_NSA'!$1:$1,0)))),"")</f>
        <v/>
      </c>
      <c r="H342" s="10">
        <f>IFERROR(100*($D342*(INDEX('Data_NSA'!$A:$OK,MATCH(H$1,'Data_NSA'!$A:$A,0),MATCH($C342,'Data_NSA'!$1:$1,0))/INDEX('Data_NSA'!$A:$OK,MATCH($E342,'Data_NSA'!$A:$A,0),MATCH($C342,'Data_NSA'!$1:$1,0))))/(100*(INDEX('Data_NSA'!$A:$OK,MATCH(H$1,'Data_NSA'!$A:$A,0),MATCH("CUUR0000SA0",'Data_NSA'!$1:$1,0))/INDEX('Data_NSA'!$A:$OK,MATCH($E342,'Data_NSA'!$A:$A,0),MATCH("CUUR0000SA0",'Data_NSA'!$1:$1,0)))),"")</f>
        <v/>
      </c>
      <c r="I342" s="10">
        <f>IFERROR(100*($D342*(INDEX('Data_NSA'!$A:$OK,MATCH(I$1,'Data_NSA'!$A:$A,0),MATCH($C342,'Data_NSA'!$1:$1,0))/INDEX('Data_NSA'!$A:$OK,MATCH($E342,'Data_NSA'!$A:$A,0),MATCH($C342,'Data_NSA'!$1:$1,0))))/(100*(INDEX('Data_NSA'!$A:$OK,MATCH(I$1,'Data_NSA'!$A:$A,0),MATCH("CUUR0000SA0",'Data_NSA'!$1:$1,0))/INDEX('Data_NSA'!$A:$OK,MATCH($E342,'Data_NSA'!$A:$A,0),MATCH("CUUR0000SA0",'Data_NSA'!$1:$1,0)))),"")</f>
        <v/>
      </c>
    </row>
    <row r="343">
      <c r="A343" s="3" t="inlineStr">
        <is>
          <t>SEGB01</t>
        </is>
      </c>
      <c r="B343" s="3" t="inlineStr">
        <is>
          <t>Hair, dental, shaving, and miscellaneous personal care products</t>
        </is>
      </c>
      <c r="C343" s="3" t="inlineStr">
        <is>
          <t>CUUR0000SEGB01</t>
        </is>
      </c>
      <c r="D343" s="21" t="n">
        <v>0.324</v>
      </c>
      <c r="E343" s="22" t="n">
        <v>45992</v>
      </c>
      <c r="F343" s="3" t="n">
        <v>2024</v>
      </c>
      <c r="G343" s="10">
        <f>IFERROR(100*($D343*(INDEX('Data_NSA'!$A:$OK,MATCH(G$1,'Data_NSA'!$A:$A,0),MATCH($C343,'Data_NSA'!$1:$1,0))/INDEX('Data_NSA'!$A:$OK,MATCH($E343,'Data_NSA'!$A:$A,0),MATCH($C343,'Data_NSA'!$1:$1,0))))/(100*(INDEX('Data_NSA'!$A:$OK,MATCH(G$1,'Data_NSA'!$A:$A,0),MATCH("CUUR0000SA0",'Data_NSA'!$1:$1,0))/INDEX('Data_NSA'!$A:$OK,MATCH($E343,'Data_NSA'!$A:$A,0),MATCH("CUUR0000SA0",'Data_NSA'!$1:$1,0)))),"")</f>
        <v/>
      </c>
      <c r="H343" s="10">
        <f>IFERROR(100*($D343*(INDEX('Data_NSA'!$A:$OK,MATCH(H$1,'Data_NSA'!$A:$A,0),MATCH($C343,'Data_NSA'!$1:$1,0))/INDEX('Data_NSA'!$A:$OK,MATCH($E343,'Data_NSA'!$A:$A,0),MATCH($C343,'Data_NSA'!$1:$1,0))))/(100*(INDEX('Data_NSA'!$A:$OK,MATCH(H$1,'Data_NSA'!$A:$A,0),MATCH("CUUR0000SA0",'Data_NSA'!$1:$1,0))/INDEX('Data_NSA'!$A:$OK,MATCH($E343,'Data_NSA'!$A:$A,0),MATCH("CUUR0000SA0",'Data_NSA'!$1:$1,0)))),"")</f>
        <v/>
      </c>
      <c r="I343" s="10">
        <f>IFERROR(100*($D343*(INDEX('Data_NSA'!$A:$OK,MATCH(I$1,'Data_NSA'!$A:$A,0),MATCH($C343,'Data_NSA'!$1:$1,0))/INDEX('Data_NSA'!$A:$OK,MATCH($E343,'Data_NSA'!$A:$A,0),MATCH($C343,'Data_NSA'!$1:$1,0))))/(100*(INDEX('Data_NSA'!$A:$OK,MATCH(I$1,'Data_NSA'!$A:$A,0),MATCH("CUUR0000SA0",'Data_NSA'!$1:$1,0))/INDEX('Data_NSA'!$A:$OK,MATCH($E343,'Data_NSA'!$A:$A,0),MATCH("CUUR0000SA0",'Data_NSA'!$1:$1,0)))),"")</f>
        <v/>
      </c>
    </row>
    <row r="344">
      <c r="A344" s="3" t="inlineStr">
        <is>
          <t>SEGB02</t>
        </is>
      </c>
      <c r="B344" s="3" t="inlineStr">
        <is>
          <t>Cosmetics, perfume, bath, nail preparations and implements</t>
        </is>
      </c>
      <c r="C344" s="3" t="inlineStr">
        <is>
          <t>CUUR0000SEGB02</t>
        </is>
      </c>
      <c r="D344" s="21" t="n">
        <v>0.34</v>
      </c>
      <c r="E344" s="22" t="n">
        <v>45992</v>
      </c>
      <c r="F344" s="3" t="n">
        <v>2024</v>
      </c>
      <c r="G344" s="10">
        <f>IFERROR(100*($D344*(INDEX('Data_NSA'!$A:$OK,MATCH(G$1,'Data_NSA'!$A:$A,0),MATCH($C344,'Data_NSA'!$1:$1,0))/INDEX('Data_NSA'!$A:$OK,MATCH($E344,'Data_NSA'!$A:$A,0),MATCH($C344,'Data_NSA'!$1:$1,0))))/(100*(INDEX('Data_NSA'!$A:$OK,MATCH(G$1,'Data_NSA'!$A:$A,0),MATCH("CUUR0000SA0",'Data_NSA'!$1:$1,0))/INDEX('Data_NSA'!$A:$OK,MATCH($E344,'Data_NSA'!$A:$A,0),MATCH("CUUR0000SA0",'Data_NSA'!$1:$1,0)))),"")</f>
        <v/>
      </c>
      <c r="H344" s="10">
        <f>IFERROR(100*($D344*(INDEX('Data_NSA'!$A:$OK,MATCH(H$1,'Data_NSA'!$A:$A,0),MATCH($C344,'Data_NSA'!$1:$1,0))/INDEX('Data_NSA'!$A:$OK,MATCH($E344,'Data_NSA'!$A:$A,0),MATCH($C344,'Data_NSA'!$1:$1,0))))/(100*(INDEX('Data_NSA'!$A:$OK,MATCH(H$1,'Data_NSA'!$A:$A,0),MATCH("CUUR0000SA0",'Data_NSA'!$1:$1,0))/INDEX('Data_NSA'!$A:$OK,MATCH($E344,'Data_NSA'!$A:$A,0),MATCH("CUUR0000SA0",'Data_NSA'!$1:$1,0)))),"")</f>
        <v/>
      </c>
      <c r="I344" s="10">
        <f>IFERROR(100*($D344*(INDEX('Data_NSA'!$A:$OK,MATCH(I$1,'Data_NSA'!$A:$A,0),MATCH($C344,'Data_NSA'!$1:$1,0))/INDEX('Data_NSA'!$A:$OK,MATCH($E344,'Data_NSA'!$A:$A,0),MATCH($C344,'Data_NSA'!$1:$1,0))))/(100*(INDEX('Data_NSA'!$A:$OK,MATCH(I$1,'Data_NSA'!$A:$A,0),MATCH("CUUR0000SA0",'Data_NSA'!$1:$1,0))/INDEX('Data_NSA'!$A:$OK,MATCH($E344,'Data_NSA'!$A:$A,0),MATCH("CUUR0000SA0",'Data_NSA'!$1:$1,0)))),"")</f>
        <v/>
      </c>
    </row>
    <row r="345">
      <c r="A345" s="3" t="inlineStr">
        <is>
          <t>SEGC</t>
        </is>
      </c>
      <c r="B345" s="3" t="inlineStr">
        <is>
          <t>Personal care services</t>
        </is>
      </c>
      <c r="C345" s="3" t="inlineStr">
        <is>
          <t>CUUR0000SEGC</t>
        </is>
      </c>
      <c r="D345" s="21" t="n">
        <v>0.676</v>
      </c>
      <c r="E345" s="22" t="n">
        <v>45992</v>
      </c>
      <c r="F345" s="3" t="n">
        <v>2024</v>
      </c>
      <c r="G345" s="10">
        <f>IFERROR(100*($D345*(INDEX('Data_NSA'!$A:$OK,MATCH(G$1,'Data_NSA'!$A:$A,0),MATCH($C345,'Data_NSA'!$1:$1,0))/INDEX('Data_NSA'!$A:$OK,MATCH($E345,'Data_NSA'!$A:$A,0),MATCH($C345,'Data_NSA'!$1:$1,0))))/(100*(INDEX('Data_NSA'!$A:$OK,MATCH(G$1,'Data_NSA'!$A:$A,0),MATCH("CUUR0000SA0",'Data_NSA'!$1:$1,0))/INDEX('Data_NSA'!$A:$OK,MATCH($E345,'Data_NSA'!$A:$A,0),MATCH("CUUR0000SA0",'Data_NSA'!$1:$1,0)))),"")</f>
        <v/>
      </c>
      <c r="H345" s="10">
        <f>IFERROR(100*($D345*(INDEX('Data_NSA'!$A:$OK,MATCH(H$1,'Data_NSA'!$A:$A,0),MATCH($C345,'Data_NSA'!$1:$1,0))/INDEX('Data_NSA'!$A:$OK,MATCH($E345,'Data_NSA'!$A:$A,0),MATCH($C345,'Data_NSA'!$1:$1,0))))/(100*(INDEX('Data_NSA'!$A:$OK,MATCH(H$1,'Data_NSA'!$A:$A,0),MATCH("CUUR0000SA0",'Data_NSA'!$1:$1,0))/INDEX('Data_NSA'!$A:$OK,MATCH($E345,'Data_NSA'!$A:$A,0),MATCH("CUUR0000SA0",'Data_NSA'!$1:$1,0)))),"")</f>
        <v/>
      </c>
      <c r="I345" s="10">
        <f>IFERROR(100*($D345*(INDEX('Data_NSA'!$A:$OK,MATCH(I$1,'Data_NSA'!$A:$A,0),MATCH($C345,'Data_NSA'!$1:$1,0))/INDEX('Data_NSA'!$A:$OK,MATCH($E345,'Data_NSA'!$A:$A,0),MATCH($C345,'Data_NSA'!$1:$1,0))))/(100*(INDEX('Data_NSA'!$A:$OK,MATCH(I$1,'Data_NSA'!$A:$A,0),MATCH("CUUR0000SA0",'Data_NSA'!$1:$1,0))/INDEX('Data_NSA'!$A:$OK,MATCH($E345,'Data_NSA'!$A:$A,0),MATCH("CUUR0000SA0",'Data_NSA'!$1:$1,0)))),"")</f>
        <v/>
      </c>
    </row>
    <row r="346">
      <c r="A346" s="3" t="inlineStr">
        <is>
          <t>SEGC01</t>
        </is>
      </c>
      <c r="B346" s="3" t="inlineStr">
        <is>
          <t>Haircuts and other personal care services</t>
        </is>
      </c>
      <c r="C346" s="3" t="inlineStr">
        <is>
          <t>CUUR0000SEGC01</t>
        </is>
      </c>
      <c r="D346" s="21" t="n">
        <v>0.676</v>
      </c>
      <c r="E346" s="22" t="n">
        <v>45992</v>
      </c>
      <c r="F346" s="3" t="n">
        <v>2024</v>
      </c>
      <c r="G346" s="10">
        <f>IFERROR(100*($D346*(INDEX('Data_NSA'!$A:$OK,MATCH(G$1,'Data_NSA'!$A:$A,0),MATCH($C346,'Data_NSA'!$1:$1,0))/INDEX('Data_NSA'!$A:$OK,MATCH($E346,'Data_NSA'!$A:$A,0),MATCH($C346,'Data_NSA'!$1:$1,0))))/(100*(INDEX('Data_NSA'!$A:$OK,MATCH(G$1,'Data_NSA'!$A:$A,0),MATCH("CUUR0000SA0",'Data_NSA'!$1:$1,0))/INDEX('Data_NSA'!$A:$OK,MATCH($E346,'Data_NSA'!$A:$A,0),MATCH("CUUR0000SA0",'Data_NSA'!$1:$1,0)))),"")</f>
        <v/>
      </c>
      <c r="H346" s="10">
        <f>IFERROR(100*($D346*(INDEX('Data_NSA'!$A:$OK,MATCH(H$1,'Data_NSA'!$A:$A,0),MATCH($C346,'Data_NSA'!$1:$1,0))/INDEX('Data_NSA'!$A:$OK,MATCH($E346,'Data_NSA'!$A:$A,0),MATCH($C346,'Data_NSA'!$1:$1,0))))/(100*(INDEX('Data_NSA'!$A:$OK,MATCH(H$1,'Data_NSA'!$A:$A,0),MATCH("CUUR0000SA0",'Data_NSA'!$1:$1,0))/INDEX('Data_NSA'!$A:$OK,MATCH($E346,'Data_NSA'!$A:$A,0),MATCH("CUUR0000SA0",'Data_NSA'!$1:$1,0)))),"")</f>
        <v/>
      </c>
      <c r="I346" s="10">
        <f>IFERROR(100*($D346*(INDEX('Data_NSA'!$A:$OK,MATCH(I$1,'Data_NSA'!$A:$A,0),MATCH($C346,'Data_NSA'!$1:$1,0))/INDEX('Data_NSA'!$A:$OK,MATCH($E346,'Data_NSA'!$A:$A,0),MATCH($C346,'Data_NSA'!$1:$1,0))))/(100*(INDEX('Data_NSA'!$A:$OK,MATCH(I$1,'Data_NSA'!$A:$A,0),MATCH("CUUR0000SA0",'Data_NSA'!$1:$1,0))/INDEX('Data_NSA'!$A:$OK,MATCH($E346,'Data_NSA'!$A:$A,0),MATCH("CUUR0000SA0",'Data_NSA'!$1:$1,0)))),"")</f>
        <v/>
      </c>
    </row>
    <row r="347">
      <c r="A347" s="3" t="inlineStr">
        <is>
          <t>SEGD</t>
        </is>
      </c>
      <c r="B347" s="3" t="inlineStr">
        <is>
          <t>Miscellaneous personal services</t>
        </is>
      </c>
      <c r="C347" s="3" t="inlineStr">
        <is>
          <t>CUUR0000SEGD</t>
        </is>
      </c>
      <c r="D347" s="21" t="n">
        <v>0.922</v>
      </c>
      <c r="E347" s="22" t="n">
        <v>45992</v>
      </c>
      <c r="F347" s="3" t="n">
        <v>2024</v>
      </c>
      <c r="G347" s="10">
        <f>IFERROR(100*($D347*(INDEX('Data_NSA'!$A:$OK,MATCH(G$1,'Data_NSA'!$A:$A,0),MATCH($C347,'Data_NSA'!$1:$1,0))/INDEX('Data_NSA'!$A:$OK,MATCH($E347,'Data_NSA'!$A:$A,0),MATCH($C347,'Data_NSA'!$1:$1,0))))/(100*(INDEX('Data_NSA'!$A:$OK,MATCH(G$1,'Data_NSA'!$A:$A,0),MATCH("CUUR0000SA0",'Data_NSA'!$1:$1,0))/INDEX('Data_NSA'!$A:$OK,MATCH($E347,'Data_NSA'!$A:$A,0),MATCH("CUUR0000SA0",'Data_NSA'!$1:$1,0)))),"")</f>
        <v/>
      </c>
      <c r="H347" s="10">
        <f>IFERROR(100*($D347*(INDEX('Data_NSA'!$A:$OK,MATCH(H$1,'Data_NSA'!$A:$A,0),MATCH($C347,'Data_NSA'!$1:$1,0))/INDEX('Data_NSA'!$A:$OK,MATCH($E347,'Data_NSA'!$A:$A,0),MATCH($C347,'Data_NSA'!$1:$1,0))))/(100*(INDEX('Data_NSA'!$A:$OK,MATCH(H$1,'Data_NSA'!$A:$A,0),MATCH("CUUR0000SA0",'Data_NSA'!$1:$1,0))/INDEX('Data_NSA'!$A:$OK,MATCH($E347,'Data_NSA'!$A:$A,0),MATCH("CUUR0000SA0",'Data_NSA'!$1:$1,0)))),"")</f>
        <v/>
      </c>
      <c r="I347" s="10">
        <f>IFERROR(100*($D347*(INDEX('Data_NSA'!$A:$OK,MATCH(I$1,'Data_NSA'!$A:$A,0),MATCH($C347,'Data_NSA'!$1:$1,0))/INDEX('Data_NSA'!$A:$OK,MATCH($E347,'Data_NSA'!$A:$A,0),MATCH($C347,'Data_NSA'!$1:$1,0))))/(100*(INDEX('Data_NSA'!$A:$OK,MATCH(I$1,'Data_NSA'!$A:$A,0),MATCH("CUUR0000SA0",'Data_NSA'!$1:$1,0))/INDEX('Data_NSA'!$A:$OK,MATCH($E347,'Data_NSA'!$A:$A,0),MATCH("CUUR0000SA0",'Data_NSA'!$1:$1,0)))),"")</f>
        <v/>
      </c>
    </row>
    <row r="348">
      <c r="A348" s="3" t="inlineStr">
        <is>
          <t>SEGD01</t>
        </is>
      </c>
      <c r="B348" s="3" t="inlineStr">
        <is>
          <t>Legal services</t>
        </is>
      </c>
      <c r="C348" s="3" t="inlineStr">
        <is>
          <t>CUUR0000SEGD01</t>
        </is>
      </c>
      <c r="D348" s="21" t="n">
        <v>0.27</v>
      </c>
      <c r="E348" s="22" t="n">
        <v>45992</v>
      </c>
      <c r="F348" s="3" t="n">
        <v>2024</v>
      </c>
      <c r="G348" s="10">
        <f>IFERROR(100*($D348*(INDEX('Data_NSA'!$A:$OK,MATCH(G$1,'Data_NSA'!$A:$A,0),MATCH($C348,'Data_NSA'!$1:$1,0))/INDEX('Data_NSA'!$A:$OK,MATCH($E348,'Data_NSA'!$A:$A,0),MATCH($C348,'Data_NSA'!$1:$1,0))))/(100*(INDEX('Data_NSA'!$A:$OK,MATCH(G$1,'Data_NSA'!$A:$A,0),MATCH("CUUR0000SA0",'Data_NSA'!$1:$1,0))/INDEX('Data_NSA'!$A:$OK,MATCH($E348,'Data_NSA'!$A:$A,0),MATCH("CUUR0000SA0",'Data_NSA'!$1:$1,0)))),"")</f>
        <v/>
      </c>
      <c r="H348" s="10">
        <f>IFERROR(100*($D348*(INDEX('Data_NSA'!$A:$OK,MATCH(H$1,'Data_NSA'!$A:$A,0),MATCH($C348,'Data_NSA'!$1:$1,0))/INDEX('Data_NSA'!$A:$OK,MATCH($E348,'Data_NSA'!$A:$A,0),MATCH($C348,'Data_NSA'!$1:$1,0))))/(100*(INDEX('Data_NSA'!$A:$OK,MATCH(H$1,'Data_NSA'!$A:$A,0),MATCH("CUUR0000SA0",'Data_NSA'!$1:$1,0))/INDEX('Data_NSA'!$A:$OK,MATCH($E348,'Data_NSA'!$A:$A,0),MATCH("CUUR0000SA0",'Data_NSA'!$1:$1,0)))),"")</f>
        <v/>
      </c>
      <c r="I348" s="10">
        <f>IFERROR(100*($D348*(INDEX('Data_NSA'!$A:$OK,MATCH(I$1,'Data_NSA'!$A:$A,0),MATCH($C348,'Data_NSA'!$1:$1,0))/INDEX('Data_NSA'!$A:$OK,MATCH($E348,'Data_NSA'!$A:$A,0),MATCH($C348,'Data_NSA'!$1:$1,0))))/(100*(INDEX('Data_NSA'!$A:$OK,MATCH(I$1,'Data_NSA'!$A:$A,0),MATCH("CUUR0000SA0",'Data_NSA'!$1:$1,0))/INDEX('Data_NSA'!$A:$OK,MATCH($E348,'Data_NSA'!$A:$A,0),MATCH("CUUR0000SA0",'Data_NSA'!$1:$1,0)))),"")</f>
        <v/>
      </c>
    </row>
    <row r="349">
      <c r="A349" s="3" t="inlineStr">
        <is>
          <t>SEGD02</t>
        </is>
      </c>
      <c r="B349" s="3" t="inlineStr">
        <is>
          <t>Funeral expenses</t>
        </is>
      </c>
      <c r="C349" s="3" t="inlineStr">
        <is>
          <t>CUUR0000SEGD02</t>
        </is>
      </c>
      <c r="D349" s="21" t="n">
        <v>0.166</v>
      </c>
      <c r="E349" s="22" t="n">
        <v>45992</v>
      </c>
      <c r="F349" s="3" t="n">
        <v>2024</v>
      </c>
      <c r="G349" s="10">
        <f>IFERROR(100*($D349*(INDEX('Data_NSA'!$A:$OK,MATCH(G$1,'Data_NSA'!$A:$A,0),MATCH($C349,'Data_NSA'!$1:$1,0))/INDEX('Data_NSA'!$A:$OK,MATCH($E349,'Data_NSA'!$A:$A,0),MATCH($C349,'Data_NSA'!$1:$1,0))))/(100*(INDEX('Data_NSA'!$A:$OK,MATCH(G$1,'Data_NSA'!$A:$A,0),MATCH("CUUR0000SA0",'Data_NSA'!$1:$1,0))/INDEX('Data_NSA'!$A:$OK,MATCH($E349,'Data_NSA'!$A:$A,0),MATCH("CUUR0000SA0",'Data_NSA'!$1:$1,0)))),"")</f>
        <v/>
      </c>
      <c r="H349" s="10">
        <f>IFERROR(100*($D349*(INDEX('Data_NSA'!$A:$OK,MATCH(H$1,'Data_NSA'!$A:$A,0),MATCH($C349,'Data_NSA'!$1:$1,0))/INDEX('Data_NSA'!$A:$OK,MATCH($E349,'Data_NSA'!$A:$A,0),MATCH($C349,'Data_NSA'!$1:$1,0))))/(100*(INDEX('Data_NSA'!$A:$OK,MATCH(H$1,'Data_NSA'!$A:$A,0),MATCH("CUUR0000SA0",'Data_NSA'!$1:$1,0))/INDEX('Data_NSA'!$A:$OK,MATCH($E349,'Data_NSA'!$A:$A,0),MATCH("CUUR0000SA0",'Data_NSA'!$1:$1,0)))),"")</f>
        <v/>
      </c>
      <c r="I349" s="10">
        <f>IFERROR(100*($D349*(INDEX('Data_NSA'!$A:$OK,MATCH(I$1,'Data_NSA'!$A:$A,0),MATCH($C349,'Data_NSA'!$1:$1,0))/INDEX('Data_NSA'!$A:$OK,MATCH($E349,'Data_NSA'!$A:$A,0),MATCH($C349,'Data_NSA'!$1:$1,0))))/(100*(INDEX('Data_NSA'!$A:$OK,MATCH(I$1,'Data_NSA'!$A:$A,0),MATCH("CUUR0000SA0",'Data_NSA'!$1:$1,0))/INDEX('Data_NSA'!$A:$OK,MATCH($E349,'Data_NSA'!$A:$A,0),MATCH("CUUR0000SA0",'Data_NSA'!$1:$1,0)))),"")</f>
        <v/>
      </c>
    </row>
    <row r="350">
      <c r="A350" s="3" t="inlineStr">
        <is>
          <t>SEGD03</t>
        </is>
      </c>
      <c r="B350" s="3" t="inlineStr">
        <is>
          <t>Laundry and dry cleaning services</t>
        </is>
      </c>
      <c r="C350" s="3" t="inlineStr">
        <is>
          <t>CUUR0000SEGD03</t>
        </is>
      </c>
      <c r="D350" s="21" t="n">
        <v>0.129</v>
      </c>
      <c r="E350" s="22" t="n">
        <v>45992</v>
      </c>
      <c r="F350" s="3" t="n">
        <v>2024</v>
      </c>
      <c r="G350" s="10">
        <f>IFERROR(100*($D350*(INDEX('Data_NSA'!$A:$OK,MATCH(G$1,'Data_NSA'!$A:$A,0),MATCH($C350,'Data_NSA'!$1:$1,0))/INDEX('Data_NSA'!$A:$OK,MATCH($E350,'Data_NSA'!$A:$A,0),MATCH($C350,'Data_NSA'!$1:$1,0))))/(100*(INDEX('Data_NSA'!$A:$OK,MATCH(G$1,'Data_NSA'!$A:$A,0),MATCH("CUUR0000SA0",'Data_NSA'!$1:$1,0))/INDEX('Data_NSA'!$A:$OK,MATCH($E350,'Data_NSA'!$A:$A,0),MATCH("CUUR0000SA0",'Data_NSA'!$1:$1,0)))),"")</f>
        <v/>
      </c>
      <c r="H350" s="10">
        <f>IFERROR(100*($D350*(INDEX('Data_NSA'!$A:$OK,MATCH(H$1,'Data_NSA'!$A:$A,0),MATCH($C350,'Data_NSA'!$1:$1,0))/INDEX('Data_NSA'!$A:$OK,MATCH($E350,'Data_NSA'!$A:$A,0),MATCH($C350,'Data_NSA'!$1:$1,0))))/(100*(INDEX('Data_NSA'!$A:$OK,MATCH(H$1,'Data_NSA'!$A:$A,0),MATCH("CUUR0000SA0",'Data_NSA'!$1:$1,0))/INDEX('Data_NSA'!$A:$OK,MATCH($E350,'Data_NSA'!$A:$A,0),MATCH("CUUR0000SA0",'Data_NSA'!$1:$1,0)))),"")</f>
        <v/>
      </c>
      <c r="I350" s="10">
        <f>IFERROR(100*($D350*(INDEX('Data_NSA'!$A:$OK,MATCH(I$1,'Data_NSA'!$A:$A,0),MATCH($C350,'Data_NSA'!$1:$1,0))/INDEX('Data_NSA'!$A:$OK,MATCH($E350,'Data_NSA'!$A:$A,0),MATCH($C350,'Data_NSA'!$1:$1,0))))/(100*(INDEX('Data_NSA'!$A:$OK,MATCH(I$1,'Data_NSA'!$A:$A,0),MATCH("CUUR0000SA0",'Data_NSA'!$1:$1,0))/INDEX('Data_NSA'!$A:$OK,MATCH($E350,'Data_NSA'!$A:$A,0),MATCH("CUUR0000SA0",'Data_NSA'!$1:$1,0)))),"")</f>
        <v/>
      </c>
    </row>
    <row r="351">
      <c r="A351" s="3" t="inlineStr">
        <is>
          <t>SEGD04</t>
        </is>
      </c>
      <c r="B351" s="3" t="inlineStr">
        <is>
          <t>Apparel services other than laundry and dry cleaning</t>
        </is>
      </c>
      <c r="C351" s="3" t="inlineStr">
        <is>
          <t>CUUR0000SEGD04</t>
        </is>
      </c>
      <c r="D351" s="21" t="n">
        <v>0.029</v>
      </c>
      <c r="E351" s="22" t="n">
        <v>45992</v>
      </c>
      <c r="F351" s="3" t="n">
        <v>2024</v>
      </c>
      <c r="G351" s="10">
        <f>IFERROR(100*($D351*(INDEX('Data_NSA'!$A:$OK,MATCH(G$1,'Data_NSA'!$A:$A,0),MATCH($C351,'Data_NSA'!$1:$1,0))/INDEX('Data_NSA'!$A:$OK,MATCH($E351,'Data_NSA'!$A:$A,0),MATCH($C351,'Data_NSA'!$1:$1,0))))/(100*(INDEX('Data_NSA'!$A:$OK,MATCH(G$1,'Data_NSA'!$A:$A,0),MATCH("CUUR0000SA0",'Data_NSA'!$1:$1,0))/INDEX('Data_NSA'!$A:$OK,MATCH($E351,'Data_NSA'!$A:$A,0),MATCH("CUUR0000SA0",'Data_NSA'!$1:$1,0)))),"")</f>
        <v/>
      </c>
      <c r="H351" s="10">
        <f>IFERROR(100*($D351*(INDEX('Data_NSA'!$A:$OK,MATCH(H$1,'Data_NSA'!$A:$A,0),MATCH($C351,'Data_NSA'!$1:$1,0))/INDEX('Data_NSA'!$A:$OK,MATCH($E351,'Data_NSA'!$A:$A,0),MATCH($C351,'Data_NSA'!$1:$1,0))))/(100*(INDEX('Data_NSA'!$A:$OK,MATCH(H$1,'Data_NSA'!$A:$A,0),MATCH("CUUR0000SA0",'Data_NSA'!$1:$1,0))/INDEX('Data_NSA'!$A:$OK,MATCH($E351,'Data_NSA'!$A:$A,0),MATCH("CUUR0000SA0",'Data_NSA'!$1:$1,0)))),"")</f>
        <v/>
      </c>
      <c r="I351" s="10">
        <f>IFERROR(100*($D351*(INDEX('Data_NSA'!$A:$OK,MATCH(I$1,'Data_NSA'!$A:$A,0),MATCH($C351,'Data_NSA'!$1:$1,0))/INDEX('Data_NSA'!$A:$OK,MATCH($E351,'Data_NSA'!$A:$A,0),MATCH($C351,'Data_NSA'!$1:$1,0))))/(100*(INDEX('Data_NSA'!$A:$OK,MATCH(I$1,'Data_NSA'!$A:$A,0),MATCH("CUUR0000SA0",'Data_NSA'!$1:$1,0))/INDEX('Data_NSA'!$A:$OK,MATCH($E351,'Data_NSA'!$A:$A,0),MATCH("CUUR0000SA0",'Data_NSA'!$1:$1,0)))),"")</f>
        <v/>
      </c>
    </row>
    <row r="352">
      <c r="A352" s="3" t="inlineStr">
        <is>
          <t>SEGD05</t>
        </is>
      </c>
      <c r="B352" s="3" t="inlineStr">
        <is>
          <t>Financial services</t>
        </is>
      </c>
      <c r="C352" s="3" t="inlineStr">
        <is>
          <t>CUUR0000SEGD05</t>
        </is>
      </c>
      <c r="D352" s="21" t="n">
        <v>0.236</v>
      </c>
      <c r="E352" s="22" t="n">
        <v>45992</v>
      </c>
      <c r="F352" s="3" t="n">
        <v>2024</v>
      </c>
      <c r="G352" s="10">
        <f>IFERROR(100*($D352*(INDEX('Data_NSA'!$A:$OK,MATCH(G$1,'Data_NSA'!$A:$A,0),MATCH($C352,'Data_NSA'!$1:$1,0))/INDEX('Data_NSA'!$A:$OK,MATCH($E352,'Data_NSA'!$A:$A,0),MATCH($C352,'Data_NSA'!$1:$1,0))))/(100*(INDEX('Data_NSA'!$A:$OK,MATCH(G$1,'Data_NSA'!$A:$A,0),MATCH("CUUR0000SA0",'Data_NSA'!$1:$1,0))/INDEX('Data_NSA'!$A:$OK,MATCH($E352,'Data_NSA'!$A:$A,0),MATCH("CUUR0000SA0",'Data_NSA'!$1:$1,0)))),"")</f>
        <v/>
      </c>
      <c r="H352" s="10">
        <f>IFERROR(100*($D352*(INDEX('Data_NSA'!$A:$OK,MATCH(H$1,'Data_NSA'!$A:$A,0),MATCH($C352,'Data_NSA'!$1:$1,0))/INDEX('Data_NSA'!$A:$OK,MATCH($E352,'Data_NSA'!$A:$A,0),MATCH($C352,'Data_NSA'!$1:$1,0))))/(100*(INDEX('Data_NSA'!$A:$OK,MATCH(H$1,'Data_NSA'!$A:$A,0),MATCH("CUUR0000SA0",'Data_NSA'!$1:$1,0))/INDEX('Data_NSA'!$A:$OK,MATCH($E352,'Data_NSA'!$A:$A,0),MATCH("CUUR0000SA0",'Data_NSA'!$1:$1,0)))),"")</f>
        <v/>
      </c>
      <c r="I352" s="10">
        <f>IFERROR(100*($D352*(INDEX('Data_NSA'!$A:$OK,MATCH(I$1,'Data_NSA'!$A:$A,0),MATCH($C352,'Data_NSA'!$1:$1,0))/INDEX('Data_NSA'!$A:$OK,MATCH($E352,'Data_NSA'!$A:$A,0),MATCH($C352,'Data_NSA'!$1:$1,0))))/(100*(INDEX('Data_NSA'!$A:$OK,MATCH(I$1,'Data_NSA'!$A:$A,0),MATCH("CUUR0000SA0",'Data_NSA'!$1:$1,0))/INDEX('Data_NSA'!$A:$OK,MATCH($E352,'Data_NSA'!$A:$A,0),MATCH("CUUR0000SA0",'Data_NSA'!$1:$1,0)))),"")</f>
        <v/>
      </c>
    </row>
    <row r="353">
      <c r="A353" s="3" t="inlineStr">
        <is>
          <t>SS68021</t>
        </is>
      </c>
      <c r="B353" s="3" t="inlineStr">
        <is>
          <t>Checking account and other bank services</t>
        </is>
      </c>
      <c r="C353" s="3" t="inlineStr">
        <is>
          <t>CUUR0000SS68021</t>
        </is>
      </c>
      <c r="D353" s="21" t="n"/>
      <c r="E353" s="22" t="n">
        <v>45992</v>
      </c>
      <c r="F353" s="3" t="n">
        <v>2024</v>
      </c>
      <c r="G353" s="10">
        <f>IFERROR(100*($D353*(INDEX('Data_NSA'!$A:$OK,MATCH(G$1,'Data_NSA'!$A:$A,0),MATCH($C353,'Data_NSA'!$1:$1,0))/INDEX('Data_NSA'!$A:$OK,MATCH($E353,'Data_NSA'!$A:$A,0),MATCH($C353,'Data_NSA'!$1:$1,0))))/(100*(INDEX('Data_NSA'!$A:$OK,MATCH(G$1,'Data_NSA'!$A:$A,0),MATCH("CUUR0000SA0",'Data_NSA'!$1:$1,0))/INDEX('Data_NSA'!$A:$OK,MATCH($E353,'Data_NSA'!$A:$A,0),MATCH("CUUR0000SA0",'Data_NSA'!$1:$1,0)))),"")</f>
        <v/>
      </c>
      <c r="H353" s="10">
        <f>IFERROR(100*($D353*(INDEX('Data_NSA'!$A:$OK,MATCH(H$1,'Data_NSA'!$A:$A,0),MATCH($C353,'Data_NSA'!$1:$1,0))/INDEX('Data_NSA'!$A:$OK,MATCH($E353,'Data_NSA'!$A:$A,0),MATCH($C353,'Data_NSA'!$1:$1,0))))/(100*(INDEX('Data_NSA'!$A:$OK,MATCH(H$1,'Data_NSA'!$A:$A,0),MATCH("CUUR0000SA0",'Data_NSA'!$1:$1,0))/INDEX('Data_NSA'!$A:$OK,MATCH($E353,'Data_NSA'!$A:$A,0),MATCH("CUUR0000SA0",'Data_NSA'!$1:$1,0)))),"")</f>
        <v/>
      </c>
      <c r="I353" s="10">
        <f>IFERROR(100*($D353*(INDEX('Data_NSA'!$A:$OK,MATCH(I$1,'Data_NSA'!$A:$A,0),MATCH($C353,'Data_NSA'!$1:$1,0))/INDEX('Data_NSA'!$A:$OK,MATCH($E353,'Data_NSA'!$A:$A,0),MATCH($C353,'Data_NSA'!$1:$1,0))))/(100*(INDEX('Data_NSA'!$A:$OK,MATCH(I$1,'Data_NSA'!$A:$A,0),MATCH("CUUR0000SA0",'Data_NSA'!$1:$1,0))/INDEX('Data_NSA'!$A:$OK,MATCH($E353,'Data_NSA'!$A:$A,0),MATCH("CUUR0000SA0",'Data_NSA'!$1:$1,0)))),"")</f>
        <v/>
      </c>
    </row>
    <row r="354">
      <c r="A354" s="3" t="inlineStr">
        <is>
          <t>SS68023</t>
        </is>
      </c>
      <c r="B354" s="3" t="inlineStr">
        <is>
          <t>Tax return preparation and other accounting fees</t>
        </is>
      </c>
      <c r="C354" s="3" t="inlineStr">
        <is>
          <t>CUUR0000SS68023</t>
        </is>
      </c>
      <c r="D354" s="21" t="n"/>
      <c r="E354" s="22" t="n">
        <v>45992</v>
      </c>
      <c r="F354" s="3" t="n">
        <v>2024</v>
      </c>
      <c r="G354" s="10">
        <f>IFERROR(100*($D354*(INDEX('Data_NSA'!$A:$OK,MATCH(G$1,'Data_NSA'!$A:$A,0),MATCH($C354,'Data_NSA'!$1:$1,0))/INDEX('Data_NSA'!$A:$OK,MATCH($E354,'Data_NSA'!$A:$A,0),MATCH($C354,'Data_NSA'!$1:$1,0))))/(100*(INDEX('Data_NSA'!$A:$OK,MATCH(G$1,'Data_NSA'!$A:$A,0),MATCH("CUUR0000SA0",'Data_NSA'!$1:$1,0))/INDEX('Data_NSA'!$A:$OK,MATCH($E354,'Data_NSA'!$A:$A,0),MATCH("CUUR0000SA0",'Data_NSA'!$1:$1,0)))),"")</f>
        <v/>
      </c>
      <c r="H354" s="10">
        <f>IFERROR(100*($D354*(INDEX('Data_NSA'!$A:$OK,MATCH(H$1,'Data_NSA'!$A:$A,0),MATCH($C354,'Data_NSA'!$1:$1,0))/INDEX('Data_NSA'!$A:$OK,MATCH($E354,'Data_NSA'!$A:$A,0),MATCH($C354,'Data_NSA'!$1:$1,0))))/(100*(INDEX('Data_NSA'!$A:$OK,MATCH(H$1,'Data_NSA'!$A:$A,0),MATCH("CUUR0000SA0",'Data_NSA'!$1:$1,0))/INDEX('Data_NSA'!$A:$OK,MATCH($E354,'Data_NSA'!$A:$A,0),MATCH("CUUR0000SA0",'Data_NSA'!$1:$1,0)))),"")</f>
        <v/>
      </c>
      <c r="I354" s="10">
        <f>IFERROR(100*($D354*(INDEX('Data_NSA'!$A:$OK,MATCH(I$1,'Data_NSA'!$A:$A,0),MATCH($C354,'Data_NSA'!$1:$1,0))/INDEX('Data_NSA'!$A:$OK,MATCH($E354,'Data_NSA'!$A:$A,0),MATCH($C354,'Data_NSA'!$1:$1,0))))/(100*(INDEX('Data_NSA'!$A:$OK,MATCH(I$1,'Data_NSA'!$A:$A,0),MATCH("CUUR0000SA0",'Data_NSA'!$1:$1,0))/INDEX('Data_NSA'!$A:$OK,MATCH($E354,'Data_NSA'!$A:$A,0),MATCH("CUUR0000SA0",'Data_NSA'!$1:$1,0)))),"")</f>
        <v/>
      </c>
    </row>
    <row r="355">
      <c r="A355" s="3" t="inlineStr">
        <is>
          <t>SEGE</t>
        </is>
      </c>
      <c r="B355" s="3" t="inlineStr">
        <is>
          <t>Miscellaneous personal goods</t>
        </is>
      </c>
      <c r="C355" s="3" t="inlineStr">
        <is>
          <t>CUUR0000SEGE</t>
        </is>
      </c>
      <c r="D355" s="21" t="n">
        <v>0.184</v>
      </c>
      <c r="E355" s="22" t="n">
        <v>45992</v>
      </c>
      <c r="F355" s="3" t="n">
        <v>2024</v>
      </c>
      <c r="G355" s="10">
        <f>IFERROR(100*($D355*(INDEX('Data_NSA'!$A:$OK,MATCH(G$1,'Data_NSA'!$A:$A,0),MATCH($C355,'Data_NSA'!$1:$1,0))/INDEX('Data_NSA'!$A:$OK,MATCH($E355,'Data_NSA'!$A:$A,0),MATCH($C355,'Data_NSA'!$1:$1,0))))/(100*(INDEX('Data_NSA'!$A:$OK,MATCH(G$1,'Data_NSA'!$A:$A,0),MATCH("CUUR0000SA0",'Data_NSA'!$1:$1,0))/INDEX('Data_NSA'!$A:$OK,MATCH($E355,'Data_NSA'!$A:$A,0),MATCH("CUUR0000SA0",'Data_NSA'!$1:$1,0)))),"")</f>
        <v/>
      </c>
      <c r="H355" s="10">
        <f>IFERROR(100*($D355*(INDEX('Data_NSA'!$A:$OK,MATCH(H$1,'Data_NSA'!$A:$A,0),MATCH($C355,'Data_NSA'!$1:$1,0))/INDEX('Data_NSA'!$A:$OK,MATCH($E355,'Data_NSA'!$A:$A,0),MATCH($C355,'Data_NSA'!$1:$1,0))))/(100*(INDEX('Data_NSA'!$A:$OK,MATCH(H$1,'Data_NSA'!$A:$A,0),MATCH("CUUR0000SA0",'Data_NSA'!$1:$1,0))/INDEX('Data_NSA'!$A:$OK,MATCH($E355,'Data_NSA'!$A:$A,0),MATCH("CUUR0000SA0",'Data_NSA'!$1:$1,0)))),"")</f>
        <v/>
      </c>
      <c r="I355" s="10">
        <f>IFERROR(100*($D355*(INDEX('Data_NSA'!$A:$OK,MATCH(I$1,'Data_NSA'!$A:$A,0),MATCH($C355,'Data_NSA'!$1:$1,0))/INDEX('Data_NSA'!$A:$OK,MATCH($E355,'Data_NSA'!$A:$A,0),MATCH($C355,'Data_NSA'!$1:$1,0))))/(100*(INDEX('Data_NSA'!$A:$OK,MATCH(I$1,'Data_NSA'!$A:$A,0),MATCH("CUUR0000SA0",'Data_NSA'!$1:$1,0))/INDEX('Data_NSA'!$A:$OK,MATCH($E355,'Data_NSA'!$A:$A,0),MATCH("CUUR0000SA0",'Data_NSA'!$1:$1,0)))),"")</f>
        <v/>
      </c>
    </row>
    <row r="356">
      <c r="A356" s="3" t="inlineStr">
        <is>
          <t>SS33032</t>
        </is>
      </c>
      <c r="B356" s="3" t="inlineStr">
        <is>
          <t>Stationery, stationery supplies, gift wrap</t>
        </is>
      </c>
      <c r="C356" s="3" t="inlineStr">
        <is>
          <t>CUUR0000SS33032</t>
        </is>
      </c>
      <c r="D356" s="21" t="n"/>
      <c r="E356" s="22" t="n">
        <v>45992</v>
      </c>
      <c r="F356" s="3" t="n">
        <v>2024</v>
      </c>
      <c r="G356" s="10">
        <f>IFERROR(100*($D356*(INDEX('Data_NSA'!$A:$OK,MATCH(G$1,'Data_NSA'!$A:$A,0),MATCH($C356,'Data_NSA'!$1:$1,0))/INDEX('Data_NSA'!$A:$OK,MATCH($E356,'Data_NSA'!$A:$A,0),MATCH($C356,'Data_NSA'!$1:$1,0))))/(100*(INDEX('Data_NSA'!$A:$OK,MATCH(G$1,'Data_NSA'!$A:$A,0),MATCH("CUUR0000SA0",'Data_NSA'!$1:$1,0))/INDEX('Data_NSA'!$A:$OK,MATCH($E356,'Data_NSA'!$A:$A,0),MATCH("CUUR0000SA0",'Data_NSA'!$1:$1,0)))),"")</f>
        <v/>
      </c>
      <c r="H356" s="10">
        <f>IFERROR(100*($D356*(INDEX('Data_NSA'!$A:$OK,MATCH(H$1,'Data_NSA'!$A:$A,0),MATCH($C356,'Data_NSA'!$1:$1,0))/INDEX('Data_NSA'!$A:$OK,MATCH($E356,'Data_NSA'!$A:$A,0),MATCH($C356,'Data_NSA'!$1:$1,0))))/(100*(INDEX('Data_NSA'!$A:$OK,MATCH(H$1,'Data_NSA'!$A:$A,0),MATCH("CUUR0000SA0",'Data_NSA'!$1:$1,0))/INDEX('Data_NSA'!$A:$OK,MATCH($E356,'Data_NSA'!$A:$A,0),MATCH("CUUR0000SA0",'Data_NSA'!$1:$1,0)))),"")</f>
        <v/>
      </c>
      <c r="I356" s="10">
        <f>IFERROR(100*($D356*(INDEX('Data_NSA'!$A:$OK,MATCH(I$1,'Data_NSA'!$A:$A,0),MATCH($C356,'Data_NSA'!$1:$1,0))/INDEX('Data_NSA'!$A:$OK,MATCH($E356,'Data_NSA'!$A:$A,0),MATCH($C356,'Data_NSA'!$1:$1,0))))/(100*(INDEX('Data_NSA'!$A:$OK,MATCH(I$1,'Data_NSA'!$A:$A,0),MATCH("CUUR0000SA0",'Data_NSA'!$1:$1,0))/INDEX('Data_NSA'!$A:$OK,MATCH($E356,'Data_NSA'!$A:$A,0),MATCH("CUUR0000SA0",'Data_NSA'!$1:$1,0)))),"")</f>
        <v/>
      </c>
    </row>
    <row r="357">
      <c r="A357" s="3" t="inlineStr">
        <is>
          <t>SSGE013</t>
        </is>
      </c>
      <c r="B357" s="3" t="inlineStr">
        <is>
          <t>Infants' equipment</t>
        </is>
      </c>
      <c r="C357" s="3" t="inlineStr">
        <is>
          <t>CUUR0000SSGE013</t>
        </is>
      </c>
      <c r="D357" s="21" t="n"/>
      <c r="E357" s="22" t="n">
        <v>45992</v>
      </c>
      <c r="F357" s="3" t="n">
        <v>2024</v>
      </c>
      <c r="G357" s="10">
        <f>IFERROR(100*($D357*(INDEX('Data_NSA'!$A:$OK,MATCH(G$1,'Data_NSA'!$A:$A,0),MATCH($C357,'Data_NSA'!$1:$1,0))/INDEX('Data_NSA'!$A:$OK,MATCH($E357,'Data_NSA'!$A:$A,0),MATCH($C357,'Data_NSA'!$1:$1,0))))/(100*(INDEX('Data_NSA'!$A:$OK,MATCH(G$1,'Data_NSA'!$A:$A,0),MATCH("CUUR0000SA0",'Data_NSA'!$1:$1,0))/INDEX('Data_NSA'!$A:$OK,MATCH($E357,'Data_NSA'!$A:$A,0),MATCH("CUUR0000SA0",'Data_NSA'!$1:$1,0)))),"")</f>
        <v/>
      </c>
      <c r="H357" s="10">
        <f>IFERROR(100*($D357*(INDEX('Data_NSA'!$A:$OK,MATCH(H$1,'Data_NSA'!$A:$A,0),MATCH($C357,'Data_NSA'!$1:$1,0))/INDEX('Data_NSA'!$A:$OK,MATCH($E357,'Data_NSA'!$A:$A,0),MATCH($C357,'Data_NSA'!$1:$1,0))))/(100*(INDEX('Data_NSA'!$A:$OK,MATCH(H$1,'Data_NSA'!$A:$A,0),MATCH("CUUR0000SA0",'Data_NSA'!$1:$1,0))/INDEX('Data_NSA'!$A:$OK,MATCH($E357,'Data_NSA'!$A:$A,0),MATCH("CUUR0000SA0",'Data_NSA'!$1:$1,0)))),"")</f>
        <v/>
      </c>
      <c r="I357" s="10">
        <f>IFERROR(100*($D357*(INDEX('Data_NSA'!$A:$OK,MATCH(I$1,'Data_NSA'!$A:$A,0),MATCH($C357,'Data_NSA'!$1:$1,0))/INDEX('Data_NSA'!$A:$OK,MATCH($E357,'Data_NSA'!$A:$A,0),MATCH($C357,'Data_NSA'!$1:$1,0))))/(100*(INDEX('Data_NSA'!$A:$OK,MATCH(I$1,'Data_NSA'!$A:$A,0),MATCH("CUUR0000SA0",'Data_NSA'!$1:$1,0))/INDEX('Data_NSA'!$A:$OK,MATCH($E357,'Data_NSA'!$A:$A,0),MATCH("CUUR0000SA0",'Data_NSA'!$1:$1,0)))),"")</f>
        <v/>
      </c>
    </row>
    <row r="358">
      <c r="A358" s="3" t="inlineStr">
        <is>
          <t>SA0L5</t>
        </is>
      </c>
      <c r="B358" s="3" t="inlineStr">
        <is>
          <t>All items less medical care</t>
        </is>
      </c>
      <c r="C358" s="3" t="inlineStr">
        <is>
          <t>CUUR0000SA0L5</t>
        </is>
      </c>
      <c r="D358" s="21" t="n">
        <v>91.577</v>
      </c>
      <c r="E358" s="22" t="n">
        <v>45992</v>
      </c>
      <c r="F358" s="3" t="n">
        <v>2024</v>
      </c>
      <c r="G358" s="10">
        <f>IFERROR(100*($D358*(INDEX('Data_NSA'!$A:$OK,MATCH(G$1,'Data_NSA'!$A:$A,0),MATCH($C358,'Data_NSA'!$1:$1,0))/INDEX('Data_NSA'!$A:$OK,MATCH($E358,'Data_NSA'!$A:$A,0),MATCH($C358,'Data_NSA'!$1:$1,0))))/(100*(INDEX('Data_NSA'!$A:$OK,MATCH(G$1,'Data_NSA'!$A:$A,0),MATCH("CUUR0000SA0",'Data_NSA'!$1:$1,0))/INDEX('Data_NSA'!$A:$OK,MATCH($E358,'Data_NSA'!$A:$A,0),MATCH("CUUR0000SA0",'Data_NSA'!$1:$1,0)))),"")</f>
        <v/>
      </c>
      <c r="H358" s="10">
        <f>IFERROR(100*($D358*(INDEX('Data_NSA'!$A:$OK,MATCH(H$1,'Data_NSA'!$A:$A,0),MATCH($C358,'Data_NSA'!$1:$1,0))/INDEX('Data_NSA'!$A:$OK,MATCH($E358,'Data_NSA'!$A:$A,0),MATCH($C358,'Data_NSA'!$1:$1,0))))/(100*(INDEX('Data_NSA'!$A:$OK,MATCH(H$1,'Data_NSA'!$A:$A,0),MATCH("CUUR0000SA0",'Data_NSA'!$1:$1,0))/INDEX('Data_NSA'!$A:$OK,MATCH($E358,'Data_NSA'!$A:$A,0),MATCH("CUUR0000SA0",'Data_NSA'!$1:$1,0)))),"")</f>
        <v/>
      </c>
      <c r="I358" s="10">
        <f>IFERROR(100*($D358*(INDEX('Data_NSA'!$A:$OK,MATCH(I$1,'Data_NSA'!$A:$A,0),MATCH($C358,'Data_NSA'!$1:$1,0))/INDEX('Data_NSA'!$A:$OK,MATCH($E358,'Data_NSA'!$A:$A,0),MATCH($C358,'Data_NSA'!$1:$1,0))))/(100*(INDEX('Data_NSA'!$A:$OK,MATCH(I$1,'Data_NSA'!$A:$A,0),MATCH("CUUR0000SA0",'Data_NSA'!$1:$1,0))/INDEX('Data_NSA'!$A:$OK,MATCH($E358,'Data_NSA'!$A:$A,0),MATCH("CUUR0000SA0",'Data_NSA'!$1:$1,0)))),"")</f>
        <v/>
      </c>
    </row>
    <row r="359">
      <c r="A359" s="3" t="inlineStr">
        <is>
          <t>SA0LE</t>
        </is>
      </c>
      <c r="B359" s="3" t="inlineStr">
        <is>
          <t>All items less energy</t>
        </is>
      </c>
      <c r="C359" s="3" t="inlineStr">
        <is>
          <t>CUUR0000SA0LE</t>
        </is>
      </c>
      <c r="D359" s="21" t="n">
        <v>93.617</v>
      </c>
      <c r="E359" s="22" t="n">
        <v>45992</v>
      </c>
      <c r="F359" s="3" t="n">
        <v>2024</v>
      </c>
      <c r="G359" s="10">
        <f>IFERROR(100*($D359*(INDEX('Data_NSA'!$A:$OK,MATCH(G$1,'Data_NSA'!$A:$A,0),MATCH($C359,'Data_NSA'!$1:$1,0))/INDEX('Data_NSA'!$A:$OK,MATCH($E359,'Data_NSA'!$A:$A,0),MATCH($C359,'Data_NSA'!$1:$1,0))))/(100*(INDEX('Data_NSA'!$A:$OK,MATCH(G$1,'Data_NSA'!$A:$A,0),MATCH("CUUR0000SA0",'Data_NSA'!$1:$1,0))/INDEX('Data_NSA'!$A:$OK,MATCH($E359,'Data_NSA'!$A:$A,0),MATCH("CUUR0000SA0",'Data_NSA'!$1:$1,0)))),"")</f>
        <v/>
      </c>
      <c r="H359" s="10">
        <f>IFERROR(100*($D359*(INDEX('Data_NSA'!$A:$OK,MATCH(H$1,'Data_NSA'!$A:$A,0),MATCH($C359,'Data_NSA'!$1:$1,0))/INDEX('Data_NSA'!$A:$OK,MATCH($E359,'Data_NSA'!$A:$A,0),MATCH($C359,'Data_NSA'!$1:$1,0))))/(100*(INDEX('Data_NSA'!$A:$OK,MATCH(H$1,'Data_NSA'!$A:$A,0),MATCH("CUUR0000SA0",'Data_NSA'!$1:$1,0))/INDEX('Data_NSA'!$A:$OK,MATCH($E359,'Data_NSA'!$A:$A,0),MATCH("CUUR0000SA0",'Data_NSA'!$1:$1,0)))),"")</f>
        <v/>
      </c>
      <c r="I359" s="10">
        <f>IFERROR(100*($D359*(INDEX('Data_NSA'!$A:$OK,MATCH(I$1,'Data_NSA'!$A:$A,0),MATCH($C359,'Data_NSA'!$1:$1,0))/INDEX('Data_NSA'!$A:$OK,MATCH($E359,'Data_NSA'!$A:$A,0),MATCH($C359,'Data_NSA'!$1:$1,0))))/(100*(INDEX('Data_NSA'!$A:$OK,MATCH(I$1,'Data_NSA'!$A:$A,0),MATCH("CUUR0000SA0",'Data_NSA'!$1:$1,0))/INDEX('Data_NSA'!$A:$OK,MATCH($E359,'Data_NSA'!$A:$A,0),MATCH("CUUR0000SA0",'Data_NSA'!$1:$1,0)))),"")</f>
        <v/>
      </c>
    </row>
    <row r="360">
      <c r="A360" s="3" t="inlineStr">
        <is>
          <t>SA0L1</t>
        </is>
      </c>
      <c r="B360" s="3" t="inlineStr">
        <is>
          <t>All items less food</t>
        </is>
      </c>
      <c r="C360" s="3" t="inlineStr">
        <is>
          <t>CUUR0000SA0L1</t>
        </is>
      </c>
      <c r="D360" s="21" t="n">
        <v>86.30200000000001</v>
      </c>
      <c r="E360" s="22" t="n">
        <v>45992</v>
      </c>
      <c r="F360" s="3" t="n">
        <v>2024</v>
      </c>
      <c r="G360" s="10">
        <f>IFERROR(100*($D360*(INDEX('Data_NSA'!$A:$OK,MATCH(G$1,'Data_NSA'!$A:$A,0),MATCH($C360,'Data_NSA'!$1:$1,0))/INDEX('Data_NSA'!$A:$OK,MATCH($E360,'Data_NSA'!$A:$A,0),MATCH($C360,'Data_NSA'!$1:$1,0))))/(100*(INDEX('Data_NSA'!$A:$OK,MATCH(G$1,'Data_NSA'!$A:$A,0),MATCH("CUUR0000SA0",'Data_NSA'!$1:$1,0))/INDEX('Data_NSA'!$A:$OK,MATCH($E360,'Data_NSA'!$A:$A,0),MATCH("CUUR0000SA0",'Data_NSA'!$1:$1,0)))),"")</f>
        <v/>
      </c>
      <c r="H360" s="10">
        <f>IFERROR(100*($D360*(INDEX('Data_NSA'!$A:$OK,MATCH(H$1,'Data_NSA'!$A:$A,0),MATCH($C360,'Data_NSA'!$1:$1,0))/INDEX('Data_NSA'!$A:$OK,MATCH($E360,'Data_NSA'!$A:$A,0),MATCH($C360,'Data_NSA'!$1:$1,0))))/(100*(INDEX('Data_NSA'!$A:$OK,MATCH(H$1,'Data_NSA'!$A:$A,0),MATCH("CUUR0000SA0",'Data_NSA'!$1:$1,0))/INDEX('Data_NSA'!$A:$OK,MATCH($E360,'Data_NSA'!$A:$A,0),MATCH("CUUR0000SA0",'Data_NSA'!$1:$1,0)))),"")</f>
        <v/>
      </c>
      <c r="I360" s="10">
        <f>IFERROR(100*($D360*(INDEX('Data_NSA'!$A:$OK,MATCH(I$1,'Data_NSA'!$A:$A,0),MATCH($C360,'Data_NSA'!$1:$1,0))/INDEX('Data_NSA'!$A:$OK,MATCH($E360,'Data_NSA'!$A:$A,0),MATCH($C360,'Data_NSA'!$1:$1,0))))/(100*(INDEX('Data_NSA'!$A:$OK,MATCH(I$1,'Data_NSA'!$A:$A,0),MATCH("CUUR0000SA0",'Data_NSA'!$1:$1,0))/INDEX('Data_NSA'!$A:$OK,MATCH($E360,'Data_NSA'!$A:$A,0),MATCH("CUUR0000SA0",'Data_NSA'!$1:$1,0)))),"")</f>
        <v/>
      </c>
    </row>
    <row r="361">
      <c r="A361" s="3" t="inlineStr">
        <is>
          <t>SA0L1E</t>
        </is>
      </c>
      <c r="B361" s="3" t="inlineStr">
        <is>
          <t>All items less food and energy</t>
        </is>
      </c>
      <c r="C361" s="3" t="inlineStr">
        <is>
          <t>CUUR0000SA0L1E</t>
        </is>
      </c>
      <c r="D361" s="21" t="n">
        <v>79.919</v>
      </c>
      <c r="E361" s="22" t="n">
        <v>45992</v>
      </c>
      <c r="F361" s="3" t="n">
        <v>2024</v>
      </c>
      <c r="G361" s="10">
        <f>IFERROR(100*($D361*(INDEX('Data_NSA'!$A:$OK,MATCH(G$1,'Data_NSA'!$A:$A,0),MATCH($C361,'Data_NSA'!$1:$1,0))/INDEX('Data_NSA'!$A:$OK,MATCH($E361,'Data_NSA'!$A:$A,0),MATCH($C361,'Data_NSA'!$1:$1,0))))/(100*(INDEX('Data_NSA'!$A:$OK,MATCH(G$1,'Data_NSA'!$A:$A,0),MATCH("CUUR0000SA0",'Data_NSA'!$1:$1,0))/INDEX('Data_NSA'!$A:$OK,MATCH($E361,'Data_NSA'!$A:$A,0),MATCH("CUUR0000SA0",'Data_NSA'!$1:$1,0)))),"")</f>
        <v/>
      </c>
      <c r="H361" s="10">
        <f>IFERROR(100*($D361*(INDEX('Data_NSA'!$A:$OK,MATCH(H$1,'Data_NSA'!$A:$A,0),MATCH($C361,'Data_NSA'!$1:$1,0))/INDEX('Data_NSA'!$A:$OK,MATCH($E361,'Data_NSA'!$A:$A,0),MATCH($C361,'Data_NSA'!$1:$1,0))))/(100*(INDEX('Data_NSA'!$A:$OK,MATCH(H$1,'Data_NSA'!$A:$A,0),MATCH("CUUR0000SA0",'Data_NSA'!$1:$1,0))/INDEX('Data_NSA'!$A:$OK,MATCH($E361,'Data_NSA'!$A:$A,0),MATCH("CUUR0000SA0",'Data_NSA'!$1:$1,0)))),"")</f>
        <v/>
      </c>
      <c r="I361" s="10">
        <f>IFERROR(100*($D361*(INDEX('Data_NSA'!$A:$OK,MATCH(I$1,'Data_NSA'!$A:$A,0),MATCH($C361,'Data_NSA'!$1:$1,0))/INDEX('Data_NSA'!$A:$OK,MATCH($E361,'Data_NSA'!$A:$A,0),MATCH($C361,'Data_NSA'!$1:$1,0))))/(100*(INDEX('Data_NSA'!$A:$OK,MATCH(I$1,'Data_NSA'!$A:$A,0),MATCH("CUUR0000SA0",'Data_NSA'!$1:$1,0))/INDEX('Data_NSA'!$A:$OK,MATCH($E361,'Data_NSA'!$A:$A,0),MATCH("CUUR0000SA0",'Data_NSA'!$1:$1,0)))),"")</f>
        <v/>
      </c>
    </row>
    <row r="362">
      <c r="A362" s="3" t="inlineStr">
        <is>
          <t>SA0L2</t>
        </is>
      </c>
      <c r="B362" s="3" t="inlineStr">
        <is>
          <t>All items less shelter</t>
        </is>
      </c>
      <c r="C362" s="3" t="inlineStr">
        <is>
          <t>CUUR0000SA0L2</t>
        </is>
      </c>
      <c r="D362" s="21" t="n">
        <v>64.375</v>
      </c>
      <c r="E362" s="22" t="n">
        <v>45992</v>
      </c>
      <c r="F362" s="3" t="n">
        <v>2024</v>
      </c>
      <c r="G362" s="10">
        <f>IFERROR(100*($D362*(INDEX('Data_NSA'!$A:$OK,MATCH(G$1,'Data_NSA'!$A:$A,0),MATCH($C362,'Data_NSA'!$1:$1,0))/INDEX('Data_NSA'!$A:$OK,MATCH($E362,'Data_NSA'!$A:$A,0),MATCH($C362,'Data_NSA'!$1:$1,0))))/(100*(INDEX('Data_NSA'!$A:$OK,MATCH(G$1,'Data_NSA'!$A:$A,0),MATCH("CUUR0000SA0",'Data_NSA'!$1:$1,0))/INDEX('Data_NSA'!$A:$OK,MATCH($E362,'Data_NSA'!$A:$A,0),MATCH("CUUR0000SA0",'Data_NSA'!$1:$1,0)))),"")</f>
        <v/>
      </c>
      <c r="H362" s="10">
        <f>IFERROR(100*($D362*(INDEX('Data_NSA'!$A:$OK,MATCH(H$1,'Data_NSA'!$A:$A,0),MATCH($C362,'Data_NSA'!$1:$1,0))/INDEX('Data_NSA'!$A:$OK,MATCH($E362,'Data_NSA'!$A:$A,0),MATCH($C362,'Data_NSA'!$1:$1,0))))/(100*(INDEX('Data_NSA'!$A:$OK,MATCH(H$1,'Data_NSA'!$A:$A,0),MATCH("CUUR0000SA0",'Data_NSA'!$1:$1,0))/INDEX('Data_NSA'!$A:$OK,MATCH($E362,'Data_NSA'!$A:$A,0),MATCH("CUUR0000SA0",'Data_NSA'!$1:$1,0)))),"")</f>
        <v/>
      </c>
      <c r="I362" s="10">
        <f>IFERROR(100*($D362*(INDEX('Data_NSA'!$A:$OK,MATCH(I$1,'Data_NSA'!$A:$A,0),MATCH($C362,'Data_NSA'!$1:$1,0))/INDEX('Data_NSA'!$A:$OK,MATCH($E362,'Data_NSA'!$A:$A,0),MATCH($C362,'Data_NSA'!$1:$1,0))))/(100*(INDEX('Data_NSA'!$A:$OK,MATCH(I$1,'Data_NSA'!$A:$A,0),MATCH("CUUR0000SA0",'Data_NSA'!$1:$1,0))/INDEX('Data_NSA'!$A:$OK,MATCH($E362,'Data_NSA'!$A:$A,0),MATCH("CUUR0000SA0",'Data_NSA'!$1:$1,0)))),"")</f>
        <v/>
      </c>
    </row>
    <row r="363">
      <c r="A363" s="3" t="inlineStr">
        <is>
          <t>SA0L12</t>
        </is>
      </c>
      <c r="B363" s="3" t="inlineStr">
        <is>
          <t>All items less food and shelter</t>
        </is>
      </c>
      <c r="C363" s="3" t="inlineStr">
        <is>
          <t>CUUR0000SA0L12</t>
        </is>
      </c>
      <c r="D363" s="21" t="n"/>
      <c r="E363" s="22" t="n">
        <v>45992</v>
      </c>
      <c r="F363" s="3" t="n">
        <v>2024</v>
      </c>
      <c r="G363" s="10">
        <f>IFERROR(100*($D363*(INDEX('Data_NSA'!$A:$OK,MATCH(G$1,'Data_NSA'!$A:$A,0),MATCH($C363,'Data_NSA'!$1:$1,0))/INDEX('Data_NSA'!$A:$OK,MATCH($E363,'Data_NSA'!$A:$A,0),MATCH($C363,'Data_NSA'!$1:$1,0))))/(100*(INDEX('Data_NSA'!$A:$OK,MATCH(G$1,'Data_NSA'!$A:$A,0),MATCH("CUUR0000SA0",'Data_NSA'!$1:$1,0))/INDEX('Data_NSA'!$A:$OK,MATCH($E363,'Data_NSA'!$A:$A,0),MATCH("CUUR0000SA0",'Data_NSA'!$1:$1,0)))),"")</f>
        <v/>
      </c>
      <c r="H363" s="10">
        <f>IFERROR(100*($D363*(INDEX('Data_NSA'!$A:$OK,MATCH(H$1,'Data_NSA'!$A:$A,0),MATCH($C363,'Data_NSA'!$1:$1,0))/INDEX('Data_NSA'!$A:$OK,MATCH($E363,'Data_NSA'!$A:$A,0),MATCH($C363,'Data_NSA'!$1:$1,0))))/(100*(INDEX('Data_NSA'!$A:$OK,MATCH(H$1,'Data_NSA'!$A:$A,0),MATCH("CUUR0000SA0",'Data_NSA'!$1:$1,0))/INDEX('Data_NSA'!$A:$OK,MATCH($E363,'Data_NSA'!$A:$A,0),MATCH("CUUR0000SA0",'Data_NSA'!$1:$1,0)))),"")</f>
        <v/>
      </c>
      <c r="I363" s="10">
        <f>IFERROR(100*($D363*(INDEX('Data_NSA'!$A:$OK,MATCH(I$1,'Data_NSA'!$A:$A,0),MATCH($C363,'Data_NSA'!$1:$1,0))/INDEX('Data_NSA'!$A:$OK,MATCH($E363,'Data_NSA'!$A:$A,0),MATCH($C363,'Data_NSA'!$1:$1,0))))/(100*(INDEX('Data_NSA'!$A:$OK,MATCH(I$1,'Data_NSA'!$A:$A,0),MATCH("CUUR0000SA0",'Data_NSA'!$1:$1,0))/INDEX('Data_NSA'!$A:$OK,MATCH($E363,'Data_NSA'!$A:$A,0),MATCH("CUUR0000SA0",'Data_NSA'!$1:$1,0)))),"")</f>
        <v/>
      </c>
    </row>
    <row r="364">
      <c r="A364" s="3" t="inlineStr">
        <is>
          <t>SA0L12E</t>
        </is>
      </c>
      <c r="B364" s="3" t="inlineStr">
        <is>
          <t>All items less food, shelter, and energy</t>
        </is>
      </c>
      <c r="C364" s="3" t="inlineStr">
        <is>
          <t>CUUR0000SA0L12E</t>
        </is>
      </c>
      <c r="D364" s="21" t="n"/>
      <c r="E364" s="22" t="n">
        <v>45992</v>
      </c>
      <c r="F364" s="3" t="n">
        <v>2024</v>
      </c>
      <c r="G364" s="10">
        <f>IFERROR(100*($D364*(INDEX('Data_NSA'!$A:$OK,MATCH(G$1,'Data_NSA'!$A:$A,0),MATCH($C364,'Data_NSA'!$1:$1,0))/INDEX('Data_NSA'!$A:$OK,MATCH($E364,'Data_NSA'!$A:$A,0),MATCH($C364,'Data_NSA'!$1:$1,0))))/(100*(INDEX('Data_NSA'!$A:$OK,MATCH(G$1,'Data_NSA'!$A:$A,0),MATCH("CUUR0000SA0",'Data_NSA'!$1:$1,0))/INDEX('Data_NSA'!$A:$OK,MATCH($E364,'Data_NSA'!$A:$A,0),MATCH("CUUR0000SA0",'Data_NSA'!$1:$1,0)))),"")</f>
        <v/>
      </c>
      <c r="H364" s="10">
        <f>IFERROR(100*($D364*(INDEX('Data_NSA'!$A:$OK,MATCH(H$1,'Data_NSA'!$A:$A,0),MATCH($C364,'Data_NSA'!$1:$1,0))/INDEX('Data_NSA'!$A:$OK,MATCH($E364,'Data_NSA'!$A:$A,0),MATCH($C364,'Data_NSA'!$1:$1,0))))/(100*(INDEX('Data_NSA'!$A:$OK,MATCH(H$1,'Data_NSA'!$A:$A,0),MATCH("CUUR0000SA0",'Data_NSA'!$1:$1,0))/INDEX('Data_NSA'!$A:$OK,MATCH($E364,'Data_NSA'!$A:$A,0),MATCH("CUUR0000SA0",'Data_NSA'!$1:$1,0)))),"")</f>
        <v/>
      </c>
      <c r="I364" s="10">
        <f>IFERROR(100*($D364*(INDEX('Data_NSA'!$A:$OK,MATCH(I$1,'Data_NSA'!$A:$A,0),MATCH($C364,'Data_NSA'!$1:$1,0))/INDEX('Data_NSA'!$A:$OK,MATCH($E364,'Data_NSA'!$A:$A,0),MATCH($C364,'Data_NSA'!$1:$1,0))))/(100*(INDEX('Data_NSA'!$A:$OK,MATCH(I$1,'Data_NSA'!$A:$A,0),MATCH("CUUR0000SA0",'Data_NSA'!$1:$1,0))/INDEX('Data_NSA'!$A:$OK,MATCH($E364,'Data_NSA'!$A:$A,0),MATCH("CUUR0000SA0",'Data_NSA'!$1:$1,0)))),"")</f>
        <v/>
      </c>
    </row>
    <row r="365">
      <c r="A365" s="3" t="inlineStr">
        <is>
          <t>SA0L12E4</t>
        </is>
      </c>
      <c r="B365" s="3" t="inlineStr">
        <is>
          <t>All items less food, shelter, energy, and used cars and trucks</t>
        </is>
      </c>
      <c r="C365" s="3" t="inlineStr">
        <is>
          <t>CUUR0000SA0L12E4</t>
        </is>
      </c>
      <c r="D365" s="21" t="n"/>
      <c r="E365" s="22" t="n">
        <v>45992</v>
      </c>
      <c r="F365" s="3" t="n">
        <v>2024</v>
      </c>
      <c r="G365" s="10">
        <f>IFERROR(100*($D365*(INDEX('Data_NSA'!$A:$OK,MATCH(G$1,'Data_NSA'!$A:$A,0),MATCH($C365,'Data_NSA'!$1:$1,0))/INDEX('Data_NSA'!$A:$OK,MATCH($E365,'Data_NSA'!$A:$A,0),MATCH($C365,'Data_NSA'!$1:$1,0))))/(100*(INDEX('Data_NSA'!$A:$OK,MATCH(G$1,'Data_NSA'!$A:$A,0),MATCH("CUUR0000SA0",'Data_NSA'!$1:$1,0))/INDEX('Data_NSA'!$A:$OK,MATCH($E365,'Data_NSA'!$A:$A,0),MATCH("CUUR0000SA0",'Data_NSA'!$1:$1,0)))),"")</f>
        <v/>
      </c>
      <c r="H365" s="10">
        <f>IFERROR(100*($D365*(INDEX('Data_NSA'!$A:$OK,MATCH(H$1,'Data_NSA'!$A:$A,0),MATCH($C365,'Data_NSA'!$1:$1,0))/INDEX('Data_NSA'!$A:$OK,MATCH($E365,'Data_NSA'!$A:$A,0),MATCH($C365,'Data_NSA'!$1:$1,0))))/(100*(INDEX('Data_NSA'!$A:$OK,MATCH(H$1,'Data_NSA'!$A:$A,0),MATCH("CUUR0000SA0",'Data_NSA'!$1:$1,0))/INDEX('Data_NSA'!$A:$OK,MATCH($E365,'Data_NSA'!$A:$A,0),MATCH("CUUR0000SA0",'Data_NSA'!$1:$1,0)))),"")</f>
        <v/>
      </c>
      <c r="I365" s="10">
        <f>IFERROR(100*($D365*(INDEX('Data_NSA'!$A:$OK,MATCH(I$1,'Data_NSA'!$A:$A,0),MATCH($C365,'Data_NSA'!$1:$1,0))/INDEX('Data_NSA'!$A:$OK,MATCH($E365,'Data_NSA'!$A:$A,0),MATCH($C365,'Data_NSA'!$1:$1,0))))/(100*(INDEX('Data_NSA'!$A:$OK,MATCH(I$1,'Data_NSA'!$A:$A,0),MATCH("CUUR0000SA0",'Data_NSA'!$1:$1,0))/INDEX('Data_NSA'!$A:$OK,MATCH($E365,'Data_NSA'!$A:$A,0),MATCH("CUUR0000SA0",'Data_NSA'!$1:$1,0)))),"")</f>
        <v/>
      </c>
    </row>
    <row r="366">
      <c r="A366" s="3" t="inlineStr">
        <is>
          <t>SA311</t>
        </is>
      </c>
      <c r="B366" s="3" t="inlineStr">
        <is>
          <t>Apparel less footwear</t>
        </is>
      </c>
      <c r="C366" s="3" t="inlineStr">
        <is>
          <t>CUUR0000SA311</t>
        </is>
      </c>
      <c r="D366" s="21" t="n">
        <v>1.783</v>
      </c>
      <c r="E366" s="22" t="n">
        <v>45992</v>
      </c>
      <c r="F366" s="3" t="n">
        <v>2024</v>
      </c>
      <c r="G366" s="10">
        <f>IFERROR(100*($D366*(INDEX('Data_NSA'!$A:$OK,MATCH(G$1,'Data_NSA'!$A:$A,0),MATCH($C366,'Data_NSA'!$1:$1,0))/INDEX('Data_NSA'!$A:$OK,MATCH($E366,'Data_NSA'!$A:$A,0),MATCH($C366,'Data_NSA'!$1:$1,0))))/(100*(INDEX('Data_NSA'!$A:$OK,MATCH(G$1,'Data_NSA'!$A:$A,0),MATCH("CUUR0000SA0",'Data_NSA'!$1:$1,0))/INDEX('Data_NSA'!$A:$OK,MATCH($E366,'Data_NSA'!$A:$A,0),MATCH("CUUR0000SA0",'Data_NSA'!$1:$1,0)))),"")</f>
        <v/>
      </c>
      <c r="H366" s="10">
        <f>IFERROR(100*($D366*(INDEX('Data_NSA'!$A:$OK,MATCH(H$1,'Data_NSA'!$A:$A,0),MATCH($C366,'Data_NSA'!$1:$1,0))/INDEX('Data_NSA'!$A:$OK,MATCH($E366,'Data_NSA'!$A:$A,0),MATCH($C366,'Data_NSA'!$1:$1,0))))/(100*(INDEX('Data_NSA'!$A:$OK,MATCH(H$1,'Data_NSA'!$A:$A,0),MATCH("CUUR0000SA0",'Data_NSA'!$1:$1,0))/INDEX('Data_NSA'!$A:$OK,MATCH($E366,'Data_NSA'!$A:$A,0),MATCH("CUUR0000SA0",'Data_NSA'!$1:$1,0)))),"")</f>
        <v/>
      </c>
      <c r="I366" s="10">
        <f>IFERROR(100*($D366*(INDEX('Data_NSA'!$A:$OK,MATCH(I$1,'Data_NSA'!$A:$A,0),MATCH($C366,'Data_NSA'!$1:$1,0))/INDEX('Data_NSA'!$A:$OK,MATCH($E366,'Data_NSA'!$A:$A,0),MATCH($C366,'Data_NSA'!$1:$1,0))))/(100*(INDEX('Data_NSA'!$A:$OK,MATCH(I$1,'Data_NSA'!$A:$A,0),MATCH("CUUR0000SA0",'Data_NSA'!$1:$1,0))/INDEX('Data_NSA'!$A:$OK,MATCH($E366,'Data_NSA'!$A:$A,0),MATCH("CUUR0000SA0",'Data_NSA'!$1:$1,0)))),"")</f>
        <v/>
      </c>
    </row>
    <row r="367">
      <c r="A367" s="3" t="inlineStr">
        <is>
          <t>SAC</t>
        </is>
      </c>
      <c r="B367" s="3" t="inlineStr">
        <is>
          <t>Commodities</t>
        </is>
      </c>
      <c r="C367" s="3" t="inlineStr">
        <is>
          <t>CUUR0000SAC</t>
        </is>
      </c>
      <c r="D367" s="21" t="n">
        <v>35.994</v>
      </c>
      <c r="E367" s="22" t="n">
        <v>45992</v>
      </c>
      <c r="F367" s="3" t="n">
        <v>2024</v>
      </c>
      <c r="G367" s="10">
        <f>IFERROR(100*($D367*(INDEX('Data_NSA'!$A:$OK,MATCH(G$1,'Data_NSA'!$A:$A,0),MATCH($C367,'Data_NSA'!$1:$1,0))/INDEX('Data_NSA'!$A:$OK,MATCH($E367,'Data_NSA'!$A:$A,0),MATCH($C367,'Data_NSA'!$1:$1,0))))/(100*(INDEX('Data_NSA'!$A:$OK,MATCH(G$1,'Data_NSA'!$A:$A,0),MATCH("CUUR0000SA0",'Data_NSA'!$1:$1,0))/INDEX('Data_NSA'!$A:$OK,MATCH($E367,'Data_NSA'!$A:$A,0),MATCH("CUUR0000SA0",'Data_NSA'!$1:$1,0)))),"")</f>
        <v/>
      </c>
      <c r="H367" s="10">
        <f>IFERROR(100*($D367*(INDEX('Data_NSA'!$A:$OK,MATCH(H$1,'Data_NSA'!$A:$A,0),MATCH($C367,'Data_NSA'!$1:$1,0))/INDEX('Data_NSA'!$A:$OK,MATCH($E367,'Data_NSA'!$A:$A,0),MATCH($C367,'Data_NSA'!$1:$1,0))))/(100*(INDEX('Data_NSA'!$A:$OK,MATCH(H$1,'Data_NSA'!$A:$A,0),MATCH("CUUR0000SA0",'Data_NSA'!$1:$1,0))/INDEX('Data_NSA'!$A:$OK,MATCH($E367,'Data_NSA'!$A:$A,0),MATCH("CUUR0000SA0",'Data_NSA'!$1:$1,0)))),"")</f>
        <v/>
      </c>
      <c r="I367" s="10">
        <f>IFERROR(100*($D367*(INDEX('Data_NSA'!$A:$OK,MATCH(I$1,'Data_NSA'!$A:$A,0),MATCH($C367,'Data_NSA'!$1:$1,0))/INDEX('Data_NSA'!$A:$OK,MATCH($E367,'Data_NSA'!$A:$A,0),MATCH($C367,'Data_NSA'!$1:$1,0))))/(100*(INDEX('Data_NSA'!$A:$OK,MATCH(I$1,'Data_NSA'!$A:$A,0),MATCH("CUUR0000SA0",'Data_NSA'!$1:$1,0))/INDEX('Data_NSA'!$A:$OK,MATCH($E367,'Data_NSA'!$A:$A,0),MATCH("CUUR0000SA0",'Data_NSA'!$1:$1,0)))),"")</f>
        <v/>
      </c>
    </row>
    <row r="368">
      <c r="A368" s="3" t="inlineStr">
        <is>
          <t>SACL1</t>
        </is>
      </c>
      <c r="B368" s="3" t="inlineStr">
        <is>
          <t>Commodities less food</t>
        </is>
      </c>
      <c r="C368" s="3" t="inlineStr">
        <is>
          <t>CUUR0000SACL1</t>
        </is>
      </c>
      <c r="D368" s="21" t="n">
        <v>22.296</v>
      </c>
      <c r="E368" s="22" t="n">
        <v>45992</v>
      </c>
      <c r="F368" s="3" t="n">
        <v>2024</v>
      </c>
      <c r="G368" s="10">
        <f>IFERROR(100*($D368*(INDEX('Data_NSA'!$A:$OK,MATCH(G$1,'Data_NSA'!$A:$A,0),MATCH($C368,'Data_NSA'!$1:$1,0))/INDEX('Data_NSA'!$A:$OK,MATCH($E368,'Data_NSA'!$A:$A,0),MATCH($C368,'Data_NSA'!$1:$1,0))))/(100*(INDEX('Data_NSA'!$A:$OK,MATCH(G$1,'Data_NSA'!$A:$A,0),MATCH("CUUR0000SA0",'Data_NSA'!$1:$1,0))/INDEX('Data_NSA'!$A:$OK,MATCH($E368,'Data_NSA'!$A:$A,0),MATCH("CUUR0000SA0",'Data_NSA'!$1:$1,0)))),"")</f>
        <v/>
      </c>
      <c r="H368" s="10">
        <f>IFERROR(100*($D368*(INDEX('Data_NSA'!$A:$OK,MATCH(H$1,'Data_NSA'!$A:$A,0),MATCH($C368,'Data_NSA'!$1:$1,0))/INDEX('Data_NSA'!$A:$OK,MATCH($E368,'Data_NSA'!$A:$A,0),MATCH($C368,'Data_NSA'!$1:$1,0))))/(100*(INDEX('Data_NSA'!$A:$OK,MATCH(H$1,'Data_NSA'!$A:$A,0),MATCH("CUUR0000SA0",'Data_NSA'!$1:$1,0))/INDEX('Data_NSA'!$A:$OK,MATCH($E368,'Data_NSA'!$A:$A,0),MATCH("CUUR0000SA0",'Data_NSA'!$1:$1,0)))),"")</f>
        <v/>
      </c>
      <c r="I368" s="10">
        <f>IFERROR(100*($D368*(INDEX('Data_NSA'!$A:$OK,MATCH(I$1,'Data_NSA'!$A:$A,0),MATCH($C368,'Data_NSA'!$1:$1,0))/INDEX('Data_NSA'!$A:$OK,MATCH($E368,'Data_NSA'!$A:$A,0),MATCH($C368,'Data_NSA'!$1:$1,0))))/(100*(INDEX('Data_NSA'!$A:$OK,MATCH(I$1,'Data_NSA'!$A:$A,0),MATCH("CUUR0000SA0",'Data_NSA'!$1:$1,0))/INDEX('Data_NSA'!$A:$OK,MATCH($E368,'Data_NSA'!$A:$A,0),MATCH("CUUR0000SA0",'Data_NSA'!$1:$1,0)))),"")</f>
        <v/>
      </c>
    </row>
    <row r="369">
      <c r="A369" s="3" t="inlineStr">
        <is>
          <t>SACL11</t>
        </is>
      </c>
      <c r="B369" s="3" t="inlineStr">
        <is>
          <t>Commodities less food and beverages</t>
        </is>
      </c>
      <c r="C369" s="3" t="inlineStr">
        <is>
          <t>CUUR0000SACL11</t>
        </is>
      </c>
      <c r="D369" s="21" t="n">
        <v>21.456</v>
      </c>
      <c r="E369" s="22" t="n">
        <v>45992</v>
      </c>
      <c r="F369" s="3" t="n">
        <v>2024</v>
      </c>
      <c r="G369" s="10">
        <f>IFERROR(100*($D369*(INDEX('Data_NSA'!$A:$OK,MATCH(G$1,'Data_NSA'!$A:$A,0),MATCH($C369,'Data_NSA'!$1:$1,0))/INDEX('Data_NSA'!$A:$OK,MATCH($E369,'Data_NSA'!$A:$A,0),MATCH($C369,'Data_NSA'!$1:$1,0))))/(100*(INDEX('Data_NSA'!$A:$OK,MATCH(G$1,'Data_NSA'!$A:$A,0),MATCH("CUUR0000SA0",'Data_NSA'!$1:$1,0))/INDEX('Data_NSA'!$A:$OK,MATCH($E369,'Data_NSA'!$A:$A,0),MATCH("CUUR0000SA0",'Data_NSA'!$1:$1,0)))),"")</f>
        <v/>
      </c>
      <c r="H369" s="10">
        <f>IFERROR(100*($D369*(INDEX('Data_NSA'!$A:$OK,MATCH(H$1,'Data_NSA'!$A:$A,0),MATCH($C369,'Data_NSA'!$1:$1,0))/INDEX('Data_NSA'!$A:$OK,MATCH($E369,'Data_NSA'!$A:$A,0),MATCH($C369,'Data_NSA'!$1:$1,0))))/(100*(INDEX('Data_NSA'!$A:$OK,MATCH(H$1,'Data_NSA'!$A:$A,0),MATCH("CUUR0000SA0",'Data_NSA'!$1:$1,0))/INDEX('Data_NSA'!$A:$OK,MATCH($E369,'Data_NSA'!$A:$A,0),MATCH("CUUR0000SA0",'Data_NSA'!$1:$1,0)))),"")</f>
        <v/>
      </c>
      <c r="I369" s="10">
        <f>IFERROR(100*($D369*(INDEX('Data_NSA'!$A:$OK,MATCH(I$1,'Data_NSA'!$A:$A,0),MATCH($C369,'Data_NSA'!$1:$1,0))/INDEX('Data_NSA'!$A:$OK,MATCH($E369,'Data_NSA'!$A:$A,0),MATCH($C369,'Data_NSA'!$1:$1,0))))/(100*(INDEX('Data_NSA'!$A:$OK,MATCH(I$1,'Data_NSA'!$A:$A,0),MATCH("CUUR0000SA0",'Data_NSA'!$1:$1,0))/INDEX('Data_NSA'!$A:$OK,MATCH($E369,'Data_NSA'!$A:$A,0),MATCH("CUUR0000SA0",'Data_NSA'!$1:$1,0)))),"")</f>
        <v/>
      </c>
    </row>
    <row r="370">
      <c r="A370" s="3" t="inlineStr">
        <is>
          <t>SACL1E</t>
        </is>
      </c>
      <c r="B370" s="3" t="inlineStr">
        <is>
          <t>Commodities less food and energy commodities</t>
        </is>
      </c>
      <c r="C370" s="3" t="inlineStr">
        <is>
          <t>CUUR0000SACL1E</t>
        </is>
      </c>
      <c r="D370" s="21" t="n">
        <v>19.176</v>
      </c>
      <c r="E370" s="22" t="n">
        <v>45992</v>
      </c>
      <c r="F370" s="3" t="n">
        <v>2024</v>
      </c>
      <c r="G370" s="10">
        <f>IFERROR(100*($D370*(INDEX('Data_NSA'!$A:$OK,MATCH(G$1,'Data_NSA'!$A:$A,0),MATCH($C370,'Data_NSA'!$1:$1,0))/INDEX('Data_NSA'!$A:$OK,MATCH($E370,'Data_NSA'!$A:$A,0),MATCH($C370,'Data_NSA'!$1:$1,0))))/(100*(INDEX('Data_NSA'!$A:$OK,MATCH(G$1,'Data_NSA'!$A:$A,0),MATCH("CUUR0000SA0",'Data_NSA'!$1:$1,0))/INDEX('Data_NSA'!$A:$OK,MATCH($E370,'Data_NSA'!$A:$A,0),MATCH("CUUR0000SA0",'Data_NSA'!$1:$1,0)))),"")</f>
        <v/>
      </c>
      <c r="H370" s="10">
        <f>IFERROR(100*($D370*(INDEX('Data_NSA'!$A:$OK,MATCH(H$1,'Data_NSA'!$A:$A,0),MATCH($C370,'Data_NSA'!$1:$1,0))/INDEX('Data_NSA'!$A:$OK,MATCH($E370,'Data_NSA'!$A:$A,0),MATCH($C370,'Data_NSA'!$1:$1,0))))/(100*(INDEX('Data_NSA'!$A:$OK,MATCH(H$1,'Data_NSA'!$A:$A,0),MATCH("CUUR0000SA0",'Data_NSA'!$1:$1,0))/INDEX('Data_NSA'!$A:$OK,MATCH($E370,'Data_NSA'!$A:$A,0),MATCH("CUUR0000SA0",'Data_NSA'!$1:$1,0)))),"")</f>
        <v/>
      </c>
      <c r="I370" s="10">
        <f>IFERROR(100*($D370*(INDEX('Data_NSA'!$A:$OK,MATCH(I$1,'Data_NSA'!$A:$A,0),MATCH($C370,'Data_NSA'!$1:$1,0))/INDEX('Data_NSA'!$A:$OK,MATCH($E370,'Data_NSA'!$A:$A,0),MATCH($C370,'Data_NSA'!$1:$1,0))))/(100*(INDEX('Data_NSA'!$A:$OK,MATCH(I$1,'Data_NSA'!$A:$A,0),MATCH("CUUR0000SA0",'Data_NSA'!$1:$1,0))/INDEX('Data_NSA'!$A:$OK,MATCH($E370,'Data_NSA'!$A:$A,0),MATCH("CUUR0000SA0",'Data_NSA'!$1:$1,0)))),"")</f>
        <v/>
      </c>
    </row>
    <row r="371">
      <c r="A371" s="3" t="inlineStr">
        <is>
          <t>SACL1E4</t>
        </is>
      </c>
      <c r="B371" s="3" t="inlineStr">
        <is>
          <t>Commodities less food, energy, and used cars and trucks</t>
        </is>
      </c>
      <c r="C371" s="3" t="inlineStr">
        <is>
          <t>CUUR0000SACL1E4</t>
        </is>
      </c>
      <c r="D371" s="21" t="n"/>
      <c r="E371" s="22" t="n">
        <v>45992</v>
      </c>
      <c r="F371" s="3" t="n">
        <v>2024</v>
      </c>
      <c r="G371" s="10">
        <f>IFERROR(100*($D371*(INDEX('Data_NSA'!$A:$OK,MATCH(G$1,'Data_NSA'!$A:$A,0),MATCH($C371,'Data_NSA'!$1:$1,0))/INDEX('Data_NSA'!$A:$OK,MATCH($E371,'Data_NSA'!$A:$A,0),MATCH($C371,'Data_NSA'!$1:$1,0))))/(100*(INDEX('Data_NSA'!$A:$OK,MATCH(G$1,'Data_NSA'!$A:$A,0),MATCH("CUUR0000SA0",'Data_NSA'!$1:$1,0))/INDEX('Data_NSA'!$A:$OK,MATCH($E371,'Data_NSA'!$A:$A,0),MATCH("CUUR0000SA0",'Data_NSA'!$1:$1,0)))),"")</f>
        <v/>
      </c>
      <c r="H371" s="10">
        <f>IFERROR(100*($D371*(INDEX('Data_NSA'!$A:$OK,MATCH(H$1,'Data_NSA'!$A:$A,0),MATCH($C371,'Data_NSA'!$1:$1,0))/INDEX('Data_NSA'!$A:$OK,MATCH($E371,'Data_NSA'!$A:$A,0),MATCH($C371,'Data_NSA'!$1:$1,0))))/(100*(INDEX('Data_NSA'!$A:$OK,MATCH(H$1,'Data_NSA'!$A:$A,0),MATCH("CUUR0000SA0",'Data_NSA'!$1:$1,0))/INDEX('Data_NSA'!$A:$OK,MATCH($E371,'Data_NSA'!$A:$A,0),MATCH("CUUR0000SA0",'Data_NSA'!$1:$1,0)))),"")</f>
        <v/>
      </c>
      <c r="I371" s="10">
        <f>IFERROR(100*($D371*(INDEX('Data_NSA'!$A:$OK,MATCH(I$1,'Data_NSA'!$A:$A,0),MATCH($C371,'Data_NSA'!$1:$1,0))/INDEX('Data_NSA'!$A:$OK,MATCH($E371,'Data_NSA'!$A:$A,0),MATCH($C371,'Data_NSA'!$1:$1,0))))/(100*(INDEX('Data_NSA'!$A:$OK,MATCH(I$1,'Data_NSA'!$A:$A,0),MATCH("CUUR0000SA0",'Data_NSA'!$1:$1,0))/INDEX('Data_NSA'!$A:$OK,MATCH($E371,'Data_NSA'!$A:$A,0),MATCH("CUUR0000SA0",'Data_NSA'!$1:$1,0)))),"")</f>
        <v/>
      </c>
    </row>
    <row r="372">
      <c r="A372" s="3" t="inlineStr">
        <is>
          <t>SAN1D</t>
        </is>
      </c>
      <c r="B372" s="3" t="inlineStr">
        <is>
          <t>Domestically produced farm food</t>
        </is>
      </c>
      <c r="C372" s="3" t="inlineStr">
        <is>
          <t>CUUR0000SAN1D</t>
        </is>
      </c>
      <c r="D372" s="21" t="n">
        <v>6.957</v>
      </c>
      <c r="E372" s="22" t="n">
        <v>45992</v>
      </c>
      <c r="F372" s="3" t="n">
        <v>2024</v>
      </c>
      <c r="G372" s="10">
        <f>IFERROR(100*($D372*(INDEX('Data_NSA'!$A:$OK,MATCH(G$1,'Data_NSA'!$A:$A,0),MATCH($C372,'Data_NSA'!$1:$1,0))/INDEX('Data_NSA'!$A:$OK,MATCH($E372,'Data_NSA'!$A:$A,0),MATCH($C372,'Data_NSA'!$1:$1,0))))/(100*(INDEX('Data_NSA'!$A:$OK,MATCH(G$1,'Data_NSA'!$A:$A,0),MATCH("CUUR0000SA0",'Data_NSA'!$1:$1,0))/INDEX('Data_NSA'!$A:$OK,MATCH($E372,'Data_NSA'!$A:$A,0),MATCH("CUUR0000SA0",'Data_NSA'!$1:$1,0)))),"")</f>
        <v/>
      </c>
      <c r="H372" s="10">
        <f>IFERROR(100*($D372*(INDEX('Data_NSA'!$A:$OK,MATCH(H$1,'Data_NSA'!$A:$A,0),MATCH($C372,'Data_NSA'!$1:$1,0))/INDEX('Data_NSA'!$A:$OK,MATCH($E372,'Data_NSA'!$A:$A,0),MATCH($C372,'Data_NSA'!$1:$1,0))))/(100*(INDEX('Data_NSA'!$A:$OK,MATCH(H$1,'Data_NSA'!$A:$A,0),MATCH("CUUR0000SA0",'Data_NSA'!$1:$1,0))/INDEX('Data_NSA'!$A:$OK,MATCH($E372,'Data_NSA'!$A:$A,0),MATCH("CUUR0000SA0",'Data_NSA'!$1:$1,0)))),"")</f>
        <v/>
      </c>
      <c r="I372" s="10">
        <f>IFERROR(100*($D372*(INDEX('Data_NSA'!$A:$OK,MATCH(I$1,'Data_NSA'!$A:$A,0),MATCH($C372,'Data_NSA'!$1:$1,0))/INDEX('Data_NSA'!$A:$OK,MATCH($E372,'Data_NSA'!$A:$A,0),MATCH($C372,'Data_NSA'!$1:$1,0))))/(100*(INDEX('Data_NSA'!$A:$OK,MATCH(I$1,'Data_NSA'!$A:$A,0),MATCH("CUUR0000SA0",'Data_NSA'!$1:$1,0))/INDEX('Data_NSA'!$A:$OK,MATCH($E372,'Data_NSA'!$A:$A,0),MATCH("CUUR0000SA0",'Data_NSA'!$1:$1,0)))),"")</f>
        <v/>
      </c>
    </row>
    <row r="373">
      <c r="A373" s="3" t="inlineStr">
        <is>
          <t>SAD</t>
        </is>
      </c>
      <c r="B373" s="3" t="inlineStr">
        <is>
          <t>Durables</t>
        </is>
      </c>
      <c r="C373" s="3" t="inlineStr">
        <is>
          <t>CUUR0000SAD</t>
        </is>
      </c>
      <c r="D373" s="21" t="n">
        <v>10.831</v>
      </c>
      <c r="E373" s="22" t="n">
        <v>45992</v>
      </c>
      <c r="F373" s="3" t="n">
        <v>2024</v>
      </c>
      <c r="G373" s="10">
        <f>IFERROR(100*($D373*(INDEX('Data_NSA'!$A:$OK,MATCH(G$1,'Data_NSA'!$A:$A,0),MATCH($C373,'Data_NSA'!$1:$1,0))/INDEX('Data_NSA'!$A:$OK,MATCH($E373,'Data_NSA'!$A:$A,0),MATCH($C373,'Data_NSA'!$1:$1,0))))/(100*(INDEX('Data_NSA'!$A:$OK,MATCH(G$1,'Data_NSA'!$A:$A,0),MATCH("CUUR0000SA0",'Data_NSA'!$1:$1,0))/INDEX('Data_NSA'!$A:$OK,MATCH($E373,'Data_NSA'!$A:$A,0),MATCH("CUUR0000SA0",'Data_NSA'!$1:$1,0)))),"")</f>
        <v/>
      </c>
      <c r="H373" s="10">
        <f>IFERROR(100*($D373*(INDEX('Data_NSA'!$A:$OK,MATCH(H$1,'Data_NSA'!$A:$A,0),MATCH($C373,'Data_NSA'!$1:$1,0))/INDEX('Data_NSA'!$A:$OK,MATCH($E373,'Data_NSA'!$A:$A,0),MATCH($C373,'Data_NSA'!$1:$1,0))))/(100*(INDEX('Data_NSA'!$A:$OK,MATCH(H$1,'Data_NSA'!$A:$A,0),MATCH("CUUR0000SA0",'Data_NSA'!$1:$1,0))/INDEX('Data_NSA'!$A:$OK,MATCH($E373,'Data_NSA'!$A:$A,0),MATCH("CUUR0000SA0",'Data_NSA'!$1:$1,0)))),"")</f>
        <v/>
      </c>
      <c r="I373" s="10">
        <f>IFERROR(100*($D373*(INDEX('Data_NSA'!$A:$OK,MATCH(I$1,'Data_NSA'!$A:$A,0),MATCH($C373,'Data_NSA'!$1:$1,0))/INDEX('Data_NSA'!$A:$OK,MATCH($E373,'Data_NSA'!$A:$A,0),MATCH($C373,'Data_NSA'!$1:$1,0))))/(100*(INDEX('Data_NSA'!$A:$OK,MATCH(I$1,'Data_NSA'!$A:$A,0),MATCH("CUUR0000SA0",'Data_NSA'!$1:$1,0))/INDEX('Data_NSA'!$A:$OK,MATCH($E373,'Data_NSA'!$A:$A,0),MATCH("CUUR0000SA0",'Data_NSA'!$1:$1,0)))),"")</f>
        <v/>
      </c>
    </row>
    <row r="374">
      <c r="A374" s="3" t="inlineStr">
        <is>
          <t>SAEC</t>
        </is>
      </c>
      <c r="B374" s="3" t="inlineStr">
        <is>
          <t>Education and communication commodities</t>
        </is>
      </c>
      <c r="C374" s="3" t="inlineStr">
        <is>
          <t>CUUR0000SAEC</t>
        </is>
      </c>
      <c r="D374" s="21" t="n"/>
      <c r="E374" s="22" t="n">
        <v>45992</v>
      </c>
      <c r="F374" s="3" t="n">
        <v>2024</v>
      </c>
      <c r="G374" s="10">
        <f>IFERROR(100*($D374*(INDEX('Data_NSA'!$A:$OK,MATCH(G$1,'Data_NSA'!$A:$A,0),MATCH($C374,'Data_NSA'!$1:$1,0))/INDEX('Data_NSA'!$A:$OK,MATCH($E374,'Data_NSA'!$A:$A,0),MATCH($C374,'Data_NSA'!$1:$1,0))))/(100*(INDEX('Data_NSA'!$A:$OK,MATCH(G$1,'Data_NSA'!$A:$A,0),MATCH("CUUR0000SA0",'Data_NSA'!$1:$1,0))/INDEX('Data_NSA'!$A:$OK,MATCH($E374,'Data_NSA'!$A:$A,0),MATCH("CUUR0000SA0",'Data_NSA'!$1:$1,0)))),"")</f>
        <v/>
      </c>
      <c r="H374" s="10">
        <f>IFERROR(100*($D374*(INDEX('Data_NSA'!$A:$OK,MATCH(H$1,'Data_NSA'!$A:$A,0),MATCH($C374,'Data_NSA'!$1:$1,0))/INDEX('Data_NSA'!$A:$OK,MATCH($E374,'Data_NSA'!$A:$A,0),MATCH($C374,'Data_NSA'!$1:$1,0))))/(100*(INDEX('Data_NSA'!$A:$OK,MATCH(H$1,'Data_NSA'!$A:$A,0),MATCH("CUUR0000SA0",'Data_NSA'!$1:$1,0))/INDEX('Data_NSA'!$A:$OK,MATCH($E374,'Data_NSA'!$A:$A,0),MATCH("CUUR0000SA0",'Data_NSA'!$1:$1,0)))),"")</f>
        <v/>
      </c>
      <c r="I374" s="10">
        <f>IFERROR(100*($D374*(INDEX('Data_NSA'!$A:$OK,MATCH(I$1,'Data_NSA'!$A:$A,0),MATCH($C374,'Data_NSA'!$1:$1,0))/INDEX('Data_NSA'!$A:$OK,MATCH($E374,'Data_NSA'!$A:$A,0),MATCH($C374,'Data_NSA'!$1:$1,0))))/(100*(INDEX('Data_NSA'!$A:$OK,MATCH(I$1,'Data_NSA'!$A:$A,0),MATCH("CUUR0000SA0",'Data_NSA'!$1:$1,0))/INDEX('Data_NSA'!$A:$OK,MATCH($E374,'Data_NSA'!$A:$A,0),MATCH("CUUR0000SA0",'Data_NSA'!$1:$1,0)))),"")</f>
        <v/>
      </c>
    </row>
    <row r="375">
      <c r="A375" s="3" t="inlineStr">
        <is>
          <t>SAES</t>
        </is>
      </c>
      <c r="B375" s="3" t="inlineStr">
        <is>
          <t>Education and communication services</t>
        </is>
      </c>
      <c r="C375" s="3" t="inlineStr">
        <is>
          <t>CUUR0000SAES</t>
        </is>
      </c>
      <c r="D375" s="21" t="n"/>
      <c r="E375" s="22" t="n">
        <v>45992</v>
      </c>
      <c r="F375" s="3" t="n">
        <v>2024</v>
      </c>
      <c r="G375" s="10">
        <f>IFERROR(100*($D375*(INDEX('Data_NSA'!$A:$OK,MATCH(G$1,'Data_NSA'!$A:$A,0),MATCH($C375,'Data_NSA'!$1:$1,0))/INDEX('Data_NSA'!$A:$OK,MATCH($E375,'Data_NSA'!$A:$A,0),MATCH($C375,'Data_NSA'!$1:$1,0))))/(100*(INDEX('Data_NSA'!$A:$OK,MATCH(G$1,'Data_NSA'!$A:$A,0),MATCH("CUUR0000SA0",'Data_NSA'!$1:$1,0))/INDEX('Data_NSA'!$A:$OK,MATCH($E375,'Data_NSA'!$A:$A,0),MATCH("CUUR0000SA0",'Data_NSA'!$1:$1,0)))),"")</f>
        <v/>
      </c>
      <c r="H375" s="10">
        <f>IFERROR(100*($D375*(INDEX('Data_NSA'!$A:$OK,MATCH(H$1,'Data_NSA'!$A:$A,0),MATCH($C375,'Data_NSA'!$1:$1,0))/INDEX('Data_NSA'!$A:$OK,MATCH($E375,'Data_NSA'!$A:$A,0),MATCH($C375,'Data_NSA'!$1:$1,0))))/(100*(INDEX('Data_NSA'!$A:$OK,MATCH(H$1,'Data_NSA'!$A:$A,0),MATCH("CUUR0000SA0",'Data_NSA'!$1:$1,0))/INDEX('Data_NSA'!$A:$OK,MATCH($E375,'Data_NSA'!$A:$A,0),MATCH("CUUR0000SA0",'Data_NSA'!$1:$1,0)))),"")</f>
        <v/>
      </c>
      <c r="I375" s="10">
        <f>IFERROR(100*($D375*(INDEX('Data_NSA'!$A:$OK,MATCH(I$1,'Data_NSA'!$A:$A,0),MATCH($C375,'Data_NSA'!$1:$1,0))/INDEX('Data_NSA'!$A:$OK,MATCH($E375,'Data_NSA'!$A:$A,0),MATCH($C375,'Data_NSA'!$1:$1,0))))/(100*(INDEX('Data_NSA'!$A:$OK,MATCH(I$1,'Data_NSA'!$A:$A,0),MATCH("CUUR0000SA0",'Data_NSA'!$1:$1,0))/INDEX('Data_NSA'!$A:$OK,MATCH($E375,'Data_NSA'!$A:$A,0),MATCH("CUUR0000SA0",'Data_NSA'!$1:$1,0)))),"")</f>
        <v/>
      </c>
    </row>
    <row r="376">
      <c r="A376" s="3" t="inlineStr">
        <is>
          <t>SA0E</t>
        </is>
      </c>
      <c r="B376" s="3" t="inlineStr">
        <is>
          <t>Energy</t>
        </is>
      </c>
      <c r="C376" s="3" t="inlineStr">
        <is>
          <t>CUUR0000SA0E</t>
        </is>
      </c>
      <c r="D376" s="21" t="n">
        <v>6.383</v>
      </c>
      <c r="E376" s="22" t="n">
        <v>45992</v>
      </c>
      <c r="F376" s="3" t="n">
        <v>2024</v>
      </c>
      <c r="G376" s="10">
        <f>IFERROR(100*($D376*(INDEX('Data_NSA'!$A:$OK,MATCH(G$1,'Data_NSA'!$A:$A,0),MATCH($C376,'Data_NSA'!$1:$1,0))/INDEX('Data_NSA'!$A:$OK,MATCH($E376,'Data_NSA'!$A:$A,0),MATCH($C376,'Data_NSA'!$1:$1,0))))/(100*(INDEX('Data_NSA'!$A:$OK,MATCH(G$1,'Data_NSA'!$A:$A,0),MATCH("CUUR0000SA0",'Data_NSA'!$1:$1,0))/INDEX('Data_NSA'!$A:$OK,MATCH($E376,'Data_NSA'!$A:$A,0),MATCH("CUUR0000SA0",'Data_NSA'!$1:$1,0)))),"")</f>
        <v/>
      </c>
      <c r="H376" s="10">
        <f>IFERROR(100*($D376*(INDEX('Data_NSA'!$A:$OK,MATCH(H$1,'Data_NSA'!$A:$A,0),MATCH($C376,'Data_NSA'!$1:$1,0))/INDEX('Data_NSA'!$A:$OK,MATCH($E376,'Data_NSA'!$A:$A,0),MATCH($C376,'Data_NSA'!$1:$1,0))))/(100*(INDEX('Data_NSA'!$A:$OK,MATCH(H$1,'Data_NSA'!$A:$A,0),MATCH("CUUR0000SA0",'Data_NSA'!$1:$1,0))/INDEX('Data_NSA'!$A:$OK,MATCH($E376,'Data_NSA'!$A:$A,0),MATCH("CUUR0000SA0",'Data_NSA'!$1:$1,0)))),"")</f>
        <v/>
      </c>
      <c r="I376" s="10">
        <f>IFERROR(100*($D376*(INDEX('Data_NSA'!$A:$OK,MATCH(I$1,'Data_NSA'!$A:$A,0),MATCH($C376,'Data_NSA'!$1:$1,0))/INDEX('Data_NSA'!$A:$OK,MATCH($E376,'Data_NSA'!$A:$A,0),MATCH($C376,'Data_NSA'!$1:$1,0))))/(100*(INDEX('Data_NSA'!$A:$OK,MATCH(I$1,'Data_NSA'!$A:$A,0),MATCH("CUUR0000SA0",'Data_NSA'!$1:$1,0))/INDEX('Data_NSA'!$A:$OK,MATCH($E376,'Data_NSA'!$A:$A,0),MATCH("CUUR0000SA0",'Data_NSA'!$1:$1,0)))),"")</f>
        <v/>
      </c>
    </row>
    <row r="377">
      <c r="A377" s="3" t="inlineStr">
        <is>
          <t>SACE</t>
        </is>
      </c>
      <c r="B377" s="3" t="inlineStr">
        <is>
          <t>Energy commodities</t>
        </is>
      </c>
      <c r="C377" s="3" t="inlineStr">
        <is>
          <t>CUUR0000SACE</t>
        </is>
      </c>
      <c r="D377" s="21" t="n">
        <v>3.12</v>
      </c>
      <c r="E377" s="22" t="n">
        <v>45992</v>
      </c>
      <c r="F377" s="3" t="n">
        <v>2024</v>
      </c>
      <c r="G377" s="10">
        <f>IFERROR(100*($D377*(INDEX('Data_NSA'!$A:$OK,MATCH(G$1,'Data_NSA'!$A:$A,0),MATCH($C377,'Data_NSA'!$1:$1,0))/INDEX('Data_NSA'!$A:$OK,MATCH($E377,'Data_NSA'!$A:$A,0),MATCH($C377,'Data_NSA'!$1:$1,0))))/(100*(INDEX('Data_NSA'!$A:$OK,MATCH(G$1,'Data_NSA'!$A:$A,0),MATCH("CUUR0000SA0",'Data_NSA'!$1:$1,0))/INDEX('Data_NSA'!$A:$OK,MATCH($E377,'Data_NSA'!$A:$A,0),MATCH("CUUR0000SA0",'Data_NSA'!$1:$1,0)))),"")</f>
        <v/>
      </c>
      <c r="H377" s="10">
        <f>IFERROR(100*($D377*(INDEX('Data_NSA'!$A:$OK,MATCH(H$1,'Data_NSA'!$A:$A,0),MATCH($C377,'Data_NSA'!$1:$1,0))/INDEX('Data_NSA'!$A:$OK,MATCH($E377,'Data_NSA'!$A:$A,0),MATCH($C377,'Data_NSA'!$1:$1,0))))/(100*(INDEX('Data_NSA'!$A:$OK,MATCH(H$1,'Data_NSA'!$A:$A,0),MATCH("CUUR0000SA0",'Data_NSA'!$1:$1,0))/INDEX('Data_NSA'!$A:$OK,MATCH($E377,'Data_NSA'!$A:$A,0),MATCH("CUUR0000SA0",'Data_NSA'!$1:$1,0)))),"")</f>
        <v/>
      </c>
      <c r="I377" s="10">
        <f>IFERROR(100*($D377*(INDEX('Data_NSA'!$A:$OK,MATCH(I$1,'Data_NSA'!$A:$A,0),MATCH($C377,'Data_NSA'!$1:$1,0))/INDEX('Data_NSA'!$A:$OK,MATCH($E377,'Data_NSA'!$A:$A,0),MATCH($C377,'Data_NSA'!$1:$1,0))))/(100*(INDEX('Data_NSA'!$A:$OK,MATCH(I$1,'Data_NSA'!$A:$A,0),MATCH("CUUR0000SA0",'Data_NSA'!$1:$1,0))/INDEX('Data_NSA'!$A:$OK,MATCH($E377,'Data_NSA'!$A:$A,0),MATCH("CUUR0000SA0",'Data_NSA'!$1:$1,0)))),"")</f>
        <v/>
      </c>
    </row>
    <row r="378">
      <c r="A378" s="3" t="inlineStr">
        <is>
          <t>SAH31</t>
        </is>
      </c>
      <c r="B378" s="3" t="inlineStr">
        <is>
          <t>Household furnishings and supplies</t>
        </is>
      </c>
      <c r="C378" s="3" t="inlineStr">
        <is>
          <t>CUUR0000SAH31</t>
        </is>
      </c>
      <c r="D378" s="21" t="n"/>
      <c r="E378" s="22" t="n">
        <v>45992</v>
      </c>
      <c r="F378" s="3" t="n">
        <v>2024</v>
      </c>
      <c r="G378" s="10">
        <f>IFERROR(100*($D378*(INDEX('Data_NSA'!$A:$OK,MATCH(G$1,'Data_NSA'!$A:$A,0),MATCH($C378,'Data_NSA'!$1:$1,0))/INDEX('Data_NSA'!$A:$OK,MATCH($E378,'Data_NSA'!$A:$A,0),MATCH($C378,'Data_NSA'!$1:$1,0))))/(100*(INDEX('Data_NSA'!$A:$OK,MATCH(G$1,'Data_NSA'!$A:$A,0),MATCH("CUUR0000SA0",'Data_NSA'!$1:$1,0))/INDEX('Data_NSA'!$A:$OK,MATCH($E378,'Data_NSA'!$A:$A,0),MATCH("CUUR0000SA0",'Data_NSA'!$1:$1,0)))),"")</f>
        <v/>
      </c>
      <c r="H378" s="10">
        <f>IFERROR(100*($D378*(INDEX('Data_NSA'!$A:$OK,MATCH(H$1,'Data_NSA'!$A:$A,0),MATCH($C378,'Data_NSA'!$1:$1,0))/INDEX('Data_NSA'!$A:$OK,MATCH($E378,'Data_NSA'!$A:$A,0),MATCH($C378,'Data_NSA'!$1:$1,0))))/(100*(INDEX('Data_NSA'!$A:$OK,MATCH(H$1,'Data_NSA'!$A:$A,0),MATCH("CUUR0000SA0",'Data_NSA'!$1:$1,0))/INDEX('Data_NSA'!$A:$OK,MATCH($E378,'Data_NSA'!$A:$A,0),MATCH("CUUR0000SA0",'Data_NSA'!$1:$1,0)))),"")</f>
        <v/>
      </c>
      <c r="I378" s="10">
        <f>IFERROR(100*($D378*(INDEX('Data_NSA'!$A:$OK,MATCH(I$1,'Data_NSA'!$A:$A,0),MATCH($C378,'Data_NSA'!$1:$1,0))/INDEX('Data_NSA'!$A:$OK,MATCH($E378,'Data_NSA'!$A:$A,0),MATCH($C378,'Data_NSA'!$1:$1,0))))/(100*(INDEX('Data_NSA'!$A:$OK,MATCH(I$1,'Data_NSA'!$A:$A,0),MATCH("CUUR0000SA0",'Data_NSA'!$1:$1,0))/INDEX('Data_NSA'!$A:$OK,MATCH($E378,'Data_NSA'!$A:$A,0),MATCH("CUUR0000SA0",'Data_NSA'!$1:$1,0)))),"")</f>
        <v/>
      </c>
    </row>
    <row r="379">
      <c r="A379" s="3" t="inlineStr">
        <is>
          <t>SEEEC</t>
        </is>
      </c>
      <c r="B379" s="3" t="inlineStr">
        <is>
          <t>Information technology commodities</t>
        </is>
      </c>
      <c r="C379" s="3" t="inlineStr">
        <is>
          <t>CUUR0000SEEEC</t>
        </is>
      </c>
      <c r="D379" s="21" t="n"/>
      <c r="E379" s="22" t="n">
        <v>45992</v>
      </c>
      <c r="F379" s="3" t="n">
        <v>2024</v>
      </c>
      <c r="G379" s="10">
        <f>IFERROR(100*($D379*(INDEX('Data_NSA'!$A:$OK,MATCH(G$1,'Data_NSA'!$A:$A,0),MATCH($C379,'Data_NSA'!$1:$1,0))/INDEX('Data_NSA'!$A:$OK,MATCH($E379,'Data_NSA'!$A:$A,0),MATCH($C379,'Data_NSA'!$1:$1,0))))/(100*(INDEX('Data_NSA'!$A:$OK,MATCH(G$1,'Data_NSA'!$A:$A,0),MATCH("CUUR0000SA0",'Data_NSA'!$1:$1,0))/INDEX('Data_NSA'!$A:$OK,MATCH($E379,'Data_NSA'!$A:$A,0),MATCH("CUUR0000SA0",'Data_NSA'!$1:$1,0)))),"")</f>
        <v/>
      </c>
      <c r="H379" s="10">
        <f>IFERROR(100*($D379*(INDEX('Data_NSA'!$A:$OK,MATCH(H$1,'Data_NSA'!$A:$A,0),MATCH($C379,'Data_NSA'!$1:$1,0))/INDEX('Data_NSA'!$A:$OK,MATCH($E379,'Data_NSA'!$A:$A,0),MATCH($C379,'Data_NSA'!$1:$1,0))))/(100*(INDEX('Data_NSA'!$A:$OK,MATCH(H$1,'Data_NSA'!$A:$A,0),MATCH("CUUR0000SA0",'Data_NSA'!$1:$1,0))/INDEX('Data_NSA'!$A:$OK,MATCH($E379,'Data_NSA'!$A:$A,0),MATCH("CUUR0000SA0",'Data_NSA'!$1:$1,0)))),"")</f>
        <v/>
      </c>
      <c r="I379" s="10">
        <f>IFERROR(100*($D379*(INDEX('Data_NSA'!$A:$OK,MATCH(I$1,'Data_NSA'!$A:$A,0),MATCH($C379,'Data_NSA'!$1:$1,0))/INDEX('Data_NSA'!$A:$OK,MATCH($E379,'Data_NSA'!$A:$A,0),MATCH($C379,'Data_NSA'!$1:$1,0))))/(100*(INDEX('Data_NSA'!$A:$OK,MATCH(I$1,'Data_NSA'!$A:$A,0),MATCH("CUUR0000SA0",'Data_NSA'!$1:$1,0))/INDEX('Data_NSA'!$A:$OK,MATCH($E379,'Data_NSA'!$A:$A,0),MATCH("CUUR0000SA0",'Data_NSA'!$1:$1,0)))),"")</f>
        <v/>
      </c>
    </row>
    <row r="380">
      <c r="A380" s="3" t="inlineStr">
        <is>
          <t>SAN</t>
        </is>
      </c>
      <c r="B380" s="3" t="inlineStr">
        <is>
          <t>Nondurables</t>
        </is>
      </c>
      <c r="C380" s="3" t="inlineStr">
        <is>
          <t>CUUR0000SAN</t>
        </is>
      </c>
      <c r="D380" s="21" t="n">
        <v>25.163</v>
      </c>
      <c r="E380" s="22" t="n">
        <v>45992</v>
      </c>
      <c r="F380" s="3" t="n">
        <v>2024</v>
      </c>
      <c r="G380" s="10">
        <f>IFERROR(100*($D380*(INDEX('Data_NSA'!$A:$OK,MATCH(G$1,'Data_NSA'!$A:$A,0),MATCH($C380,'Data_NSA'!$1:$1,0))/INDEX('Data_NSA'!$A:$OK,MATCH($E380,'Data_NSA'!$A:$A,0),MATCH($C380,'Data_NSA'!$1:$1,0))))/(100*(INDEX('Data_NSA'!$A:$OK,MATCH(G$1,'Data_NSA'!$A:$A,0),MATCH("CUUR0000SA0",'Data_NSA'!$1:$1,0))/INDEX('Data_NSA'!$A:$OK,MATCH($E380,'Data_NSA'!$A:$A,0),MATCH("CUUR0000SA0",'Data_NSA'!$1:$1,0)))),"")</f>
        <v/>
      </c>
      <c r="H380" s="10">
        <f>IFERROR(100*($D380*(INDEX('Data_NSA'!$A:$OK,MATCH(H$1,'Data_NSA'!$A:$A,0),MATCH($C380,'Data_NSA'!$1:$1,0))/INDEX('Data_NSA'!$A:$OK,MATCH($E380,'Data_NSA'!$A:$A,0),MATCH($C380,'Data_NSA'!$1:$1,0))))/(100*(INDEX('Data_NSA'!$A:$OK,MATCH(H$1,'Data_NSA'!$A:$A,0),MATCH("CUUR0000SA0",'Data_NSA'!$1:$1,0))/INDEX('Data_NSA'!$A:$OK,MATCH($E380,'Data_NSA'!$A:$A,0),MATCH("CUUR0000SA0",'Data_NSA'!$1:$1,0)))),"")</f>
        <v/>
      </c>
      <c r="I380" s="10">
        <f>IFERROR(100*($D380*(INDEX('Data_NSA'!$A:$OK,MATCH(I$1,'Data_NSA'!$A:$A,0),MATCH($C380,'Data_NSA'!$1:$1,0))/INDEX('Data_NSA'!$A:$OK,MATCH($E380,'Data_NSA'!$A:$A,0),MATCH($C380,'Data_NSA'!$1:$1,0))))/(100*(INDEX('Data_NSA'!$A:$OK,MATCH(I$1,'Data_NSA'!$A:$A,0),MATCH("CUUR0000SA0",'Data_NSA'!$1:$1,0))/INDEX('Data_NSA'!$A:$OK,MATCH($E380,'Data_NSA'!$A:$A,0),MATCH("CUUR0000SA0",'Data_NSA'!$1:$1,0)))),"")</f>
        <v/>
      </c>
    </row>
    <row r="381">
      <c r="A381" s="3" t="inlineStr">
        <is>
          <t>SANL1</t>
        </is>
      </c>
      <c r="B381" s="3" t="inlineStr">
        <is>
          <t>Nondurables less food</t>
        </is>
      </c>
      <c r="C381" s="3" t="inlineStr">
        <is>
          <t>CUUR0000SANL1</t>
        </is>
      </c>
      <c r="D381" s="21" t="n">
        <v>11.465</v>
      </c>
      <c r="E381" s="22" t="n">
        <v>45992</v>
      </c>
      <c r="F381" s="3" t="n">
        <v>2024</v>
      </c>
      <c r="G381" s="10">
        <f>IFERROR(100*($D381*(INDEX('Data_NSA'!$A:$OK,MATCH(G$1,'Data_NSA'!$A:$A,0),MATCH($C381,'Data_NSA'!$1:$1,0))/INDEX('Data_NSA'!$A:$OK,MATCH($E381,'Data_NSA'!$A:$A,0),MATCH($C381,'Data_NSA'!$1:$1,0))))/(100*(INDEX('Data_NSA'!$A:$OK,MATCH(G$1,'Data_NSA'!$A:$A,0),MATCH("CUUR0000SA0",'Data_NSA'!$1:$1,0))/INDEX('Data_NSA'!$A:$OK,MATCH($E381,'Data_NSA'!$A:$A,0),MATCH("CUUR0000SA0",'Data_NSA'!$1:$1,0)))),"")</f>
        <v/>
      </c>
      <c r="H381" s="10">
        <f>IFERROR(100*($D381*(INDEX('Data_NSA'!$A:$OK,MATCH(H$1,'Data_NSA'!$A:$A,0),MATCH($C381,'Data_NSA'!$1:$1,0))/INDEX('Data_NSA'!$A:$OK,MATCH($E381,'Data_NSA'!$A:$A,0),MATCH($C381,'Data_NSA'!$1:$1,0))))/(100*(INDEX('Data_NSA'!$A:$OK,MATCH(H$1,'Data_NSA'!$A:$A,0),MATCH("CUUR0000SA0",'Data_NSA'!$1:$1,0))/INDEX('Data_NSA'!$A:$OK,MATCH($E381,'Data_NSA'!$A:$A,0),MATCH("CUUR0000SA0",'Data_NSA'!$1:$1,0)))),"")</f>
        <v/>
      </c>
      <c r="I381" s="10">
        <f>IFERROR(100*($D381*(INDEX('Data_NSA'!$A:$OK,MATCH(I$1,'Data_NSA'!$A:$A,0),MATCH($C381,'Data_NSA'!$1:$1,0))/INDEX('Data_NSA'!$A:$OK,MATCH($E381,'Data_NSA'!$A:$A,0),MATCH($C381,'Data_NSA'!$1:$1,0))))/(100*(INDEX('Data_NSA'!$A:$OK,MATCH(I$1,'Data_NSA'!$A:$A,0),MATCH("CUUR0000SA0",'Data_NSA'!$1:$1,0))/INDEX('Data_NSA'!$A:$OK,MATCH($E381,'Data_NSA'!$A:$A,0),MATCH("CUUR0000SA0",'Data_NSA'!$1:$1,0)))),"")</f>
        <v/>
      </c>
    </row>
    <row r="382">
      <c r="A382" s="3" t="inlineStr">
        <is>
          <t>SANL13</t>
        </is>
      </c>
      <c r="B382" s="3" t="inlineStr">
        <is>
          <t>Nondurables less food and apparel</t>
        </is>
      </c>
      <c r="C382" s="3" t="inlineStr">
        <is>
          <t>CUUR0000SANL13</t>
        </is>
      </c>
      <c r="D382" s="21" t="n">
        <v>9.098000000000001</v>
      </c>
      <c r="E382" s="22" t="n">
        <v>45992</v>
      </c>
      <c r="F382" s="3" t="n">
        <v>2024</v>
      </c>
      <c r="G382" s="10">
        <f>IFERROR(100*($D382*(INDEX('Data_NSA'!$A:$OK,MATCH(G$1,'Data_NSA'!$A:$A,0),MATCH($C382,'Data_NSA'!$1:$1,0))/INDEX('Data_NSA'!$A:$OK,MATCH($E382,'Data_NSA'!$A:$A,0),MATCH($C382,'Data_NSA'!$1:$1,0))))/(100*(INDEX('Data_NSA'!$A:$OK,MATCH(G$1,'Data_NSA'!$A:$A,0),MATCH("CUUR0000SA0",'Data_NSA'!$1:$1,0))/INDEX('Data_NSA'!$A:$OK,MATCH($E382,'Data_NSA'!$A:$A,0),MATCH("CUUR0000SA0",'Data_NSA'!$1:$1,0)))),"")</f>
        <v/>
      </c>
      <c r="H382" s="10">
        <f>IFERROR(100*($D382*(INDEX('Data_NSA'!$A:$OK,MATCH(H$1,'Data_NSA'!$A:$A,0),MATCH($C382,'Data_NSA'!$1:$1,0))/INDEX('Data_NSA'!$A:$OK,MATCH($E382,'Data_NSA'!$A:$A,0),MATCH($C382,'Data_NSA'!$1:$1,0))))/(100*(INDEX('Data_NSA'!$A:$OK,MATCH(H$1,'Data_NSA'!$A:$A,0),MATCH("CUUR0000SA0",'Data_NSA'!$1:$1,0))/INDEX('Data_NSA'!$A:$OK,MATCH($E382,'Data_NSA'!$A:$A,0),MATCH("CUUR0000SA0",'Data_NSA'!$1:$1,0)))),"")</f>
        <v/>
      </c>
      <c r="I382" s="10">
        <f>IFERROR(100*($D382*(INDEX('Data_NSA'!$A:$OK,MATCH(I$1,'Data_NSA'!$A:$A,0),MATCH($C382,'Data_NSA'!$1:$1,0))/INDEX('Data_NSA'!$A:$OK,MATCH($E382,'Data_NSA'!$A:$A,0),MATCH($C382,'Data_NSA'!$1:$1,0))))/(100*(INDEX('Data_NSA'!$A:$OK,MATCH(I$1,'Data_NSA'!$A:$A,0),MATCH("CUUR0000SA0",'Data_NSA'!$1:$1,0))/INDEX('Data_NSA'!$A:$OK,MATCH($E382,'Data_NSA'!$A:$A,0),MATCH("CUUR0000SA0",'Data_NSA'!$1:$1,0)))),"")</f>
        <v/>
      </c>
    </row>
    <row r="383">
      <c r="A383" s="3" t="inlineStr">
        <is>
          <t>SANL11</t>
        </is>
      </c>
      <c r="B383" s="3" t="inlineStr">
        <is>
          <t>Nondurables less food and beverages</t>
        </is>
      </c>
      <c r="C383" s="3" t="inlineStr">
        <is>
          <t>CUUR0000SANL11</t>
        </is>
      </c>
      <c r="D383" s="21" t="n">
        <v>10.625</v>
      </c>
      <c r="E383" s="22" t="n">
        <v>45992</v>
      </c>
      <c r="F383" s="3" t="n">
        <v>2024</v>
      </c>
      <c r="G383" s="10">
        <f>IFERROR(100*($D383*(INDEX('Data_NSA'!$A:$OK,MATCH(G$1,'Data_NSA'!$A:$A,0),MATCH($C383,'Data_NSA'!$1:$1,0))/INDEX('Data_NSA'!$A:$OK,MATCH($E383,'Data_NSA'!$A:$A,0),MATCH($C383,'Data_NSA'!$1:$1,0))))/(100*(INDEX('Data_NSA'!$A:$OK,MATCH(G$1,'Data_NSA'!$A:$A,0),MATCH("CUUR0000SA0",'Data_NSA'!$1:$1,0))/INDEX('Data_NSA'!$A:$OK,MATCH($E383,'Data_NSA'!$A:$A,0),MATCH("CUUR0000SA0",'Data_NSA'!$1:$1,0)))),"")</f>
        <v/>
      </c>
      <c r="H383" s="10">
        <f>IFERROR(100*($D383*(INDEX('Data_NSA'!$A:$OK,MATCH(H$1,'Data_NSA'!$A:$A,0),MATCH($C383,'Data_NSA'!$1:$1,0))/INDEX('Data_NSA'!$A:$OK,MATCH($E383,'Data_NSA'!$A:$A,0),MATCH($C383,'Data_NSA'!$1:$1,0))))/(100*(INDEX('Data_NSA'!$A:$OK,MATCH(H$1,'Data_NSA'!$A:$A,0),MATCH("CUUR0000SA0",'Data_NSA'!$1:$1,0))/INDEX('Data_NSA'!$A:$OK,MATCH($E383,'Data_NSA'!$A:$A,0),MATCH("CUUR0000SA0",'Data_NSA'!$1:$1,0)))),"")</f>
        <v/>
      </c>
      <c r="I383" s="10">
        <f>IFERROR(100*($D383*(INDEX('Data_NSA'!$A:$OK,MATCH(I$1,'Data_NSA'!$A:$A,0),MATCH($C383,'Data_NSA'!$1:$1,0))/INDEX('Data_NSA'!$A:$OK,MATCH($E383,'Data_NSA'!$A:$A,0),MATCH($C383,'Data_NSA'!$1:$1,0))))/(100*(INDEX('Data_NSA'!$A:$OK,MATCH(I$1,'Data_NSA'!$A:$A,0),MATCH("CUUR0000SA0",'Data_NSA'!$1:$1,0))/INDEX('Data_NSA'!$A:$OK,MATCH($E383,'Data_NSA'!$A:$A,0),MATCH("CUUR0000SA0",'Data_NSA'!$1:$1,0)))),"")</f>
        <v/>
      </c>
    </row>
    <row r="384">
      <c r="A384" s="3" t="inlineStr">
        <is>
          <t>SANL113</t>
        </is>
      </c>
      <c r="B384" s="3" t="inlineStr">
        <is>
          <t>Nondurables less food, beverages, and apparel</t>
        </is>
      </c>
      <c r="C384" s="3" t="inlineStr">
        <is>
          <t>CUUR0000SANL113</t>
        </is>
      </c>
      <c r="D384" s="21" t="n">
        <v>8.257</v>
      </c>
      <c r="E384" s="22" t="n">
        <v>45992</v>
      </c>
      <c r="F384" s="3" t="n">
        <v>2024</v>
      </c>
      <c r="G384" s="10">
        <f>IFERROR(100*($D384*(INDEX('Data_NSA'!$A:$OK,MATCH(G$1,'Data_NSA'!$A:$A,0),MATCH($C384,'Data_NSA'!$1:$1,0))/INDEX('Data_NSA'!$A:$OK,MATCH($E384,'Data_NSA'!$A:$A,0),MATCH($C384,'Data_NSA'!$1:$1,0))))/(100*(INDEX('Data_NSA'!$A:$OK,MATCH(G$1,'Data_NSA'!$A:$A,0),MATCH("CUUR0000SA0",'Data_NSA'!$1:$1,0))/INDEX('Data_NSA'!$A:$OK,MATCH($E384,'Data_NSA'!$A:$A,0),MATCH("CUUR0000SA0",'Data_NSA'!$1:$1,0)))),"")</f>
        <v/>
      </c>
      <c r="H384" s="10">
        <f>IFERROR(100*($D384*(INDEX('Data_NSA'!$A:$OK,MATCH(H$1,'Data_NSA'!$A:$A,0),MATCH($C384,'Data_NSA'!$1:$1,0))/INDEX('Data_NSA'!$A:$OK,MATCH($E384,'Data_NSA'!$A:$A,0),MATCH($C384,'Data_NSA'!$1:$1,0))))/(100*(INDEX('Data_NSA'!$A:$OK,MATCH(H$1,'Data_NSA'!$A:$A,0),MATCH("CUUR0000SA0",'Data_NSA'!$1:$1,0))/INDEX('Data_NSA'!$A:$OK,MATCH($E384,'Data_NSA'!$A:$A,0),MATCH("CUUR0000SA0",'Data_NSA'!$1:$1,0)))),"")</f>
        <v/>
      </c>
      <c r="I384" s="10">
        <f>IFERROR(100*($D384*(INDEX('Data_NSA'!$A:$OK,MATCH(I$1,'Data_NSA'!$A:$A,0),MATCH($C384,'Data_NSA'!$1:$1,0))/INDEX('Data_NSA'!$A:$OK,MATCH($E384,'Data_NSA'!$A:$A,0),MATCH($C384,'Data_NSA'!$1:$1,0))))/(100*(INDEX('Data_NSA'!$A:$OK,MATCH(I$1,'Data_NSA'!$A:$A,0),MATCH("CUUR0000SA0",'Data_NSA'!$1:$1,0))/INDEX('Data_NSA'!$A:$OK,MATCH($E384,'Data_NSA'!$A:$A,0),MATCH("CUUR0000SA0",'Data_NSA'!$1:$1,0)))),"")</f>
        <v/>
      </c>
    </row>
    <row r="385">
      <c r="A385" s="3" t="inlineStr">
        <is>
          <t>SAGC</t>
        </is>
      </c>
      <c r="B385" s="3" t="inlineStr">
        <is>
          <t>Other goods</t>
        </is>
      </c>
      <c r="C385" s="3" t="inlineStr">
        <is>
          <t>CUUR0000SAGC</t>
        </is>
      </c>
      <c r="D385" s="21" t="n"/>
      <c r="E385" s="22" t="n">
        <v>45992</v>
      </c>
      <c r="F385" s="3" t="n">
        <v>2024</v>
      </c>
      <c r="G385" s="10">
        <f>IFERROR(100*($D385*(INDEX('Data_NSA'!$A:$OK,MATCH(G$1,'Data_NSA'!$A:$A,0),MATCH($C385,'Data_NSA'!$1:$1,0))/INDEX('Data_NSA'!$A:$OK,MATCH($E385,'Data_NSA'!$A:$A,0),MATCH($C385,'Data_NSA'!$1:$1,0))))/(100*(INDEX('Data_NSA'!$A:$OK,MATCH(G$1,'Data_NSA'!$A:$A,0),MATCH("CUUR0000SA0",'Data_NSA'!$1:$1,0))/INDEX('Data_NSA'!$A:$OK,MATCH($E385,'Data_NSA'!$A:$A,0),MATCH("CUUR0000SA0",'Data_NSA'!$1:$1,0)))),"")</f>
        <v/>
      </c>
      <c r="H385" s="10">
        <f>IFERROR(100*($D385*(INDEX('Data_NSA'!$A:$OK,MATCH(H$1,'Data_NSA'!$A:$A,0),MATCH($C385,'Data_NSA'!$1:$1,0))/INDEX('Data_NSA'!$A:$OK,MATCH($E385,'Data_NSA'!$A:$A,0),MATCH($C385,'Data_NSA'!$1:$1,0))))/(100*(INDEX('Data_NSA'!$A:$OK,MATCH(H$1,'Data_NSA'!$A:$A,0),MATCH("CUUR0000SA0",'Data_NSA'!$1:$1,0))/INDEX('Data_NSA'!$A:$OK,MATCH($E385,'Data_NSA'!$A:$A,0),MATCH("CUUR0000SA0",'Data_NSA'!$1:$1,0)))),"")</f>
        <v/>
      </c>
      <c r="I385" s="10">
        <f>IFERROR(100*($D385*(INDEX('Data_NSA'!$A:$OK,MATCH(I$1,'Data_NSA'!$A:$A,0),MATCH($C385,'Data_NSA'!$1:$1,0))/INDEX('Data_NSA'!$A:$OK,MATCH($E385,'Data_NSA'!$A:$A,0),MATCH($C385,'Data_NSA'!$1:$1,0))))/(100*(INDEX('Data_NSA'!$A:$OK,MATCH(I$1,'Data_NSA'!$A:$A,0),MATCH("CUUR0000SA0",'Data_NSA'!$1:$1,0))/INDEX('Data_NSA'!$A:$OK,MATCH($E385,'Data_NSA'!$A:$A,0),MATCH("CUUR0000SA0",'Data_NSA'!$1:$1,0)))),"")</f>
        <v/>
      </c>
    </row>
    <row r="386">
      <c r="A386" s="3" t="inlineStr">
        <is>
          <t>SAGS</t>
        </is>
      </c>
      <c r="B386" s="3" t="inlineStr">
        <is>
          <t>Other personal services</t>
        </is>
      </c>
      <c r="C386" s="3" t="inlineStr">
        <is>
          <t>CUUR0000SAGS</t>
        </is>
      </c>
      <c r="D386" s="21" t="n"/>
      <c r="E386" s="22" t="n">
        <v>45992</v>
      </c>
      <c r="F386" s="3" t="n">
        <v>2024</v>
      </c>
      <c r="G386" s="10">
        <f>IFERROR(100*($D386*(INDEX('Data_NSA'!$A:$OK,MATCH(G$1,'Data_NSA'!$A:$A,0),MATCH($C386,'Data_NSA'!$1:$1,0))/INDEX('Data_NSA'!$A:$OK,MATCH($E386,'Data_NSA'!$A:$A,0),MATCH($C386,'Data_NSA'!$1:$1,0))))/(100*(INDEX('Data_NSA'!$A:$OK,MATCH(G$1,'Data_NSA'!$A:$A,0),MATCH("CUUR0000SA0",'Data_NSA'!$1:$1,0))/INDEX('Data_NSA'!$A:$OK,MATCH($E386,'Data_NSA'!$A:$A,0),MATCH("CUUR0000SA0",'Data_NSA'!$1:$1,0)))),"")</f>
        <v/>
      </c>
      <c r="H386" s="10">
        <f>IFERROR(100*($D386*(INDEX('Data_NSA'!$A:$OK,MATCH(H$1,'Data_NSA'!$A:$A,0),MATCH($C386,'Data_NSA'!$1:$1,0))/INDEX('Data_NSA'!$A:$OK,MATCH($E386,'Data_NSA'!$A:$A,0),MATCH($C386,'Data_NSA'!$1:$1,0))))/(100*(INDEX('Data_NSA'!$A:$OK,MATCH(H$1,'Data_NSA'!$A:$A,0),MATCH("CUUR0000SA0",'Data_NSA'!$1:$1,0))/INDEX('Data_NSA'!$A:$OK,MATCH($E386,'Data_NSA'!$A:$A,0),MATCH("CUUR0000SA0",'Data_NSA'!$1:$1,0)))),"")</f>
        <v/>
      </c>
      <c r="I386" s="10">
        <f>IFERROR(100*($D386*(INDEX('Data_NSA'!$A:$OK,MATCH(I$1,'Data_NSA'!$A:$A,0),MATCH($C386,'Data_NSA'!$1:$1,0))/INDEX('Data_NSA'!$A:$OK,MATCH($E386,'Data_NSA'!$A:$A,0),MATCH($C386,'Data_NSA'!$1:$1,0))))/(100*(INDEX('Data_NSA'!$A:$OK,MATCH(I$1,'Data_NSA'!$A:$A,0),MATCH("CUUR0000SA0",'Data_NSA'!$1:$1,0))/INDEX('Data_NSA'!$A:$OK,MATCH($E386,'Data_NSA'!$A:$A,0),MATCH("CUUR0000SA0",'Data_NSA'!$1:$1,0)))),"")</f>
        <v/>
      </c>
    </row>
    <row r="387">
      <c r="A387" s="3" t="inlineStr">
        <is>
          <t>SAS367</t>
        </is>
      </c>
      <c r="B387" s="3" t="inlineStr">
        <is>
          <t>Other services</t>
        </is>
      </c>
      <c r="C387" s="3" t="inlineStr">
        <is>
          <t>CUUR0000SAS367</t>
        </is>
      </c>
      <c r="D387" s="21" t="n">
        <v>9.845000000000001</v>
      </c>
      <c r="E387" s="22" t="n">
        <v>45992</v>
      </c>
      <c r="F387" s="3" t="n">
        <v>2024</v>
      </c>
      <c r="G387" s="10">
        <f>IFERROR(100*($D387*(INDEX('Data_NSA'!$A:$OK,MATCH(G$1,'Data_NSA'!$A:$A,0),MATCH($C387,'Data_NSA'!$1:$1,0))/INDEX('Data_NSA'!$A:$OK,MATCH($E387,'Data_NSA'!$A:$A,0),MATCH($C387,'Data_NSA'!$1:$1,0))))/(100*(INDEX('Data_NSA'!$A:$OK,MATCH(G$1,'Data_NSA'!$A:$A,0),MATCH("CUUR0000SA0",'Data_NSA'!$1:$1,0))/INDEX('Data_NSA'!$A:$OK,MATCH($E387,'Data_NSA'!$A:$A,0),MATCH("CUUR0000SA0",'Data_NSA'!$1:$1,0)))),"")</f>
        <v/>
      </c>
      <c r="H387" s="10">
        <f>IFERROR(100*($D387*(INDEX('Data_NSA'!$A:$OK,MATCH(H$1,'Data_NSA'!$A:$A,0),MATCH($C387,'Data_NSA'!$1:$1,0))/INDEX('Data_NSA'!$A:$OK,MATCH($E387,'Data_NSA'!$A:$A,0),MATCH($C387,'Data_NSA'!$1:$1,0))))/(100*(INDEX('Data_NSA'!$A:$OK,MATCH(H$1,'Data_NSA'!$A:$A,0),MATCH("CUUR0000SA0",'Data_NSA'!$1:$1,0))/INDEX('Data_NSA'!$A:$OK,MATCH($E387,'Data_NSA'!$A:$A,0),MATCH("CUUR0000SA0",'Data_NSA'!$1:$1,0)))),"")</f>
        <v/>
      </c>
      <c r="I387" s="10">
        <f>IFERROR(100*($D387*(INDEX('Data_NSA'!$A:$OK,MATCH(I$1,'Data_NSA'!$A:$A,0),MATCH($C387,'Data_NSA'!$1:$1,0))/INDEX('Data_NSA'!$A:$OK,MATCH($E387,'Data_NSA'!$A:$A,0),MATCH($C387,'Data_NSA'!$1:$1,0))))/(100*(INDEX('Data_NSA'!$A:$OK,MATCH(I$1,'Data_NSA'!$A:$A,0),MATCH("CUUR0000SA0",'Data_NSA'!$1:$1,0))/INDEX('Data_NSA'!$A:$OK,MATCH($E387,'Data_NSA'!$A:$A,0),MATCH("CUUR0000SA0",'Data_NSA'!$1:$1,0)))),"")</f>
        <v/>
      </c>
    </row>
    <row r="388">
      <c r="A388" s="3" t="inlineStr">
        <is>
          <t>SARC</t>
        </is>
      </c>
      <c r="B388" s="3" t="inlineStr">
        <is>
          <t>Recreation commodities</t>
        </is>
      </c>
      <c r="C388" s="3" t="inlineStr">
        <is>
          <t>CUUR0000SARC</t>
        </is>
      </c>
      <c r="D388" s="21" t="n"/>
      <c r="E388" s="22" t="n">
        <v>45992</v>
      </c>
      <c r="F388" s="3" t="n">
        <v>2024</v>
      </c>
      <c r="G388" s="10">
        <f>IFERROR(100*($D388*(INDEX('Data_NSA'!$A:$OK,MATCH(G$1,'Data_NSA'!$A:$A,0),MATCH($C388,'Data_NSA'!$1:$1,0))/INDEX('Data_NSA'!$A:$OK,MATCH($E388,'Data_NSA'!$A:$A,0),MATCH($C388,'Data_NSA'!$1:$1,0))))/(100*(INDEX('Data_NSA'!$A:$OK,MATCH(G$1,'Data_NSA'!$A:$A,0),MATCH("CUUR0000SA0",'Data_NSA'!$1:$1,0))/INDEX('Data_NSA'!$A:$OK,MATCH($E388,'Data_NSA'!$A:$A,0),MATCH("CUUR0000SA0",'Data_NSA'!$1:$1,0)))),"")</f>
        <v/>
      </c>
      <c r="H388" s="10">
        <f>IFERROR(100*($D388*(INDEX('Data_NSA'!$A:$OK,MATCH(H$1,'Data_NSA'!$A:$A,0),MATCH($C388,'Data_NSA'!$1:$1,0))/INDEX('Data_NSA'!$A:$OK,MATCH($E388,'Data_NSA'!$A:$A,0),MATCH($C388,'Data_NSA'!$1:$1,0))))/(100*(INDEX('Data_NSA'!$A:$OK,MATCH(H$1,'Data_NSA'!$A:$A,0),MATCH("CUUR0000SA0",'Data_NSA'!$1:$1,0))/INDEX('Data_NSA'!$A:$OK,MATCH($E388,'Data_NSA'!$A:$A,0),MATCH("CUUR0000SA0",'Data_NSA'!$1:$1,0)))),"")</f>
        <v/>
      </c>
      <c r="I388" s="10">
        <f>IFERROR(100*($D388*(INDEX('Data_NSA'!$A:$OK,MATCH(I$1,'Data_NSA'!$A:$A,0),MATCH($C388,'Data_NSA'!$1:$1,0))/INDEX('Data_NSA'!$A:$OK,MATCH($E388,'Data_NSA'!$A:$A,0),MATCH($C388,'Data_NSA'!$1:$1,0))))/(100*(INDEX('Data_NSA'!$A:$OK,MATCH(I$1,'Data_NSA'!$A:$A,0),MATCH("CUUR0000SA0",'Data_NSA'!$1:$1,0))/INDEX('Data_NSA'!$A:$OK,MATCH($E388,'Data_NSA'!$A:$A,0),MATCH("CUUR0000SA0",'Data_NSA'!$1:$1,0)))),"")</f>
        <v/>
      </c>
    </row>
    <row r="389">
      <c r="A389" s="3" t="inlineStr">
        <is>
          <t>SARS</t>
        </is>
      </c>
      <c r="B389" s="3" t="inlineStr">
        <is>
          <t>Recreation services</t>
        </is>
      </c>
      <c r="C389" s="3" t="inlineStr">
        <is>
          <t>CUUR0000SARS</t>
        </is>
      </c>
      <c r="D389" s="21" t="n"/>
      <c r="E389" s="22" t="n">
        <v>45992</v>
      </c>
      <c r="F389" s="3" t="n">
        <v>2024</v>
      </c>
      <c r="G389" s="10">
        <f>IFERROR(100*($D389*(INDEX('Data_NSA'!$A:$OK,MATCH(G$1,'Data_NSA'!$A:$A,0),MATCH($C389,'Data_NSA'!$1:$1,0))/INDEX('Data_NSA'!$A:$OK,MATCH($E389,'Data_NSA'!$A:$A,0),MATCH($C389,'Data_NSA'!$1:$1,0))))/(100*(INDEX('Data_NSA'!$A:$OK,MATCH(G$1,'Data_NSA'!$A:$A,0),MATCH("CUUR0000SA0",'Data_NSA'!$1:$1,0))/INDEX('Data_NSA'!$A:$OK,MATCH($E389,'Data_NSA'!$A:$A,0),MATCH("CUUR0000SA0",'Data_NSA'!$1:$1,0)))),"")</f>
        <v/>
      </c>
      <c r="H389" s="10">
        <f>IFERROR(100*($D389*(INDEX('Data_NSA'!$A:$OK,MATCH(H$1,'Data_NSA'!$A:$A,0),MATCH($C389,'Data_NSA'!$1:$1,0))/INDEX('Data_NSA'!$A:$OK,MATCH($E389,'Data_NSA'!$A:$A,0),MATCH($C389,'Data_NSA'!$1:$1,0))))/(100*(INDEX('Data_NSA'!$A:$OK,MATCH(H$1,'Data_NSA'!$A:$A,0),MATCH("CUUR0000SA0",'Data_NSA'!$1:$1,0))/INDEX('Data_NSA'!$A:$OK,MATCH($E389,'Data_NSA'!$A:$A,0),MATCH("CUUR0000SA0",'Data_NSA'!$1:$1,0)))),"")</f>
        <v/>
      </c>
      <c r="I389" s="10">
        <f>IFERROR(100*($D389*(INDEX('Data_NSA'!$A:$OK,MATCH(I$1,'Data_NSA'!$A:$A,0),MATCH($C389,'Data_NSA'!$1:$1,0))/INDEX('Data_NSA'!$A:$OK,MATCH($E389,'Data_NSA'!$A:$A,0),MATCH($C389,'Data_NSA'!$1:$1,0))))/(100*(INDEX('Data_NSA'!$A:$OK,MATCH(I$1,'Data_NSA'!$A:$A,0),MATCH("CUUR0000SA0",'Data_NSA'!$1:$1,0))/INDEX('Data_NSA'!$A:$OK,MATCH($E389,'Data_NSA'!$A:$A,0),MATCH("CUUR0000SA0",'Data_NSA'!$1:$1,0)))),"")</f>
        <v/>
      </c>
    </row>
    <row r="390">
      <c r="A390" s="3" t="inlineStr">
        <is>
          <t>SAS2RS</t>
        </is>
      </c>
      <c r="B390" s="3" t="inlineStr">
        <is>
          <t>Rent of shelter</t>
        </is>
      </c>
      <c r="C390" s="3" t="inlineStr">
        <is>
          <t>CUUR0000SAS2RS</t>
        </is>
      </c>
      <c r="D390" s="21" t="n">
        <v>35.333</v>
      </c>
      <c r="E390" s="22" t="n">
        <v>45992</v>
      </c>
      <c r="F390" s="3" t="n">
        <v>2024</v>
      </c>
      <c r="G390" s="10">
        <f>IFERROR(100*($D390*(INDEX('Data_NSA'!$A:$OK,MATCH(G$1,'Data_NSA'!$A:$A,0),MATCH($C390,'Data_NSA'!$1:$1,0))/INDEX('Data_NSA'!$A:$OK,MATCH($E390,'Data_NSA'!$A:$A,0),MATCH($C390,'Data_NSA'!$1:$1,0))))/(100*(INDEX('Data_NSA'!$A:$OK,MATCH(G$1,'Data_NSA'!$A:$A,0),MATCH("CUUR0000SA0",'Data_NSA'!$1:$1,0))/INDEX('Data_NSA'!$A:$OK,MATCH($E390,'Data_NSA'!$A:$A,0),MATCH("CUUR0000SA0",'Data_NSA'!$1:$1,0)))),"")</f>
        <v/>
      </c>
      <c r="H390" s="10">
        <f>IFERROR(100*($D390*(INDEX('Data_NSA'!$A:$OK,MATCH(H$1,'Data_NSA'!$A:$A,0),MATCH($C390,'Data_NSA'!$1:$1,0))/INDEX('Data_NSA'!$A:$OK,MATCH($E390,'Data_NSA'!$A:$A,0),MATCH($C390,'Data_NSA'!$1:$1,0))))/(100*(INDEX('Data_NSA'!$A:$OK,MATCH(H$1,'Data_NSA'!$A:$A,0),MATCH("CUUR0000SA0",'Data_NSA'!$1:$1,0))/INDEX('Data_NSA'!$A:$OK,MATCH($E390,'Data_NSA'!$A:$A,0),MATCH("CUUR0000SA0",'Data_NSA'!$1:$1,0)))),"")</f>
        <v/>
      </c>
      <c r="I390" s="10">
        <f>IFERROR(100*($D390*(INDEX('Data_NSA'!$A:$OK,MATCH(I$1,'Data_NSA'!$A:$A,0),MATCH($C390,'Data_NSA'!$1:$1,0))/INDEX('Data_NSA'!$A:$OK,MATCH($E390,'Data_NSA'!$A:$A,0),MATCH($C390,'Data_NSA'!$1:$1,0))))/(100*(INDEX('Data_NSA'!$A:$OK,MATCH(I$1,'Data_NSA'!$A:$A,0),MATCH("CUUR0000SA0",'Data_NSA'!$1:$1,0))/INDEX('Data_NSA'!$A:$OK,MATCH($E390,'Data_NSA'!$A:$A,0),MATCH("CUUR0000SA0",'Data_NSA'!$1:$1,0)))),"")</f>
        <v/>
      </c>
    </row>
    <row r="391">
      <c r="A391" s="3" t="inlineStr">
        <is>
          <t>SAS</t>
        </is>
      </c>
      <c r="B391" s="3" t="inlineStr">
        <is>
          <t>Services</t>
        </is>
      </c>
      <c r="C391" s="3" t="inlineStr">
        <is>
          <t>CUUR0000SAS</t>
        </is>
      </c>
      <c r="D391" s="21" t="n">
        <v>64.006</v>
      </c>
      <c r="E391" s="22" t="n">
        <v>45992</v>
      </c>
      <c r="F391" s="3" t="n">
        <v>2024</v>
      </c>
      <c r="G391" s="10">
        <f>IFERROR(100*($D391*(INDEX('Data_NSA'!$A:$OK,MATCH(G$1,'Data_NSA'!$A:$A,0),MATCH($C391,'Data_NSA'!$1:$1,0))/INDEX('Data_NSA'!$A:$OK,MATCH($E391,'Data_NSA'!$A:$A,0),MATCH($C391,'Data_NSA'!$1:$1,0))))/(100*(INDEX('Data_NSA'!$A:$OK,MATCH(G$1,'Data_NSA'!$A:$A,0),MATCH("CUUR0000SA0",'Data_NSA'!$1:$1,0))/INDEX('Data_NSA'!$A:$OK,MATCH($E391,'Data_NSA'!$A:$A,0),MATCH("CUUR0000SA0",'Data_NSA'!$1:$1,0)))),"")</f>
        <v/>
      </c>
      <c r="H391" s="10">
        <f>IFERROR(100*($D391*(INDEX('Data_NSA'!$A:$OK,MATCH(H$1,'Data_NSA'!$A:$A,0),MATCH($C391,'Data_NSA'!$1:$1,0))/INDEX('Data_NSA'!$A:$OK,MATCH($E391,'Data_NSA'!$A:$A,0),MATCH($C391,'Data_NSA'!$1:$1,0))))/(100*(INDEX('Data_NSA'!$A:$OK,MATCH(H$1,'Data_NSA'!$A:$A,0),MATCH("CUUR0000SA0",'Data_NSA'!$1:$1,0))/INDEX('Data_NSA'!$A:$OK,MATCH($E391,'Data_NSA'!$A:$A,0),MATCH("CUUR0000SA0",'Data_NSA'!$1:$1,0)))),"")</f>
        <v/>
      </c>
      <c r="I391" s="10">
        <f>IFERROR(100*($D391*(INDEX('Data_NSA'!$A:$OK,MATCH(I$1,'Data_NSA'!$A:$A,0),MATCH($C391,'Data_NSA'!$1:$1,0))/INDEX('Data_NSA'!$A:$OK,MATCH($E391,'Data_NSA'!$A:$A,0),MATCH($C391,'Data_NSA'!$1:$1,0))))/(100*(INDEX('Data_NSA'!$A:$OK,MATCH(I$1,'Data_NSA'!$A:$A,0),MATCH("CUUR0000SA0",'Data_NSA'!$1:$1,0))/INDEX('Data_NSA'!$A:$OK,MATCH($E391,'Data_NSA'!$A:$A,0),MATCH("CUUR0000SA0",'Data_NSA'!$1:$1,0)))),"")</f>
        <v/>
      </c>
    </row>
    <row r="392">
      <c r="A392" s="3" t="inlineStr">
        <is>
          <t>SASLE</t>
        </is>
      </c>
      <c r="B392" s="3" t="inlineStr">
        <is>
          <t>Services less energy services</t>
        </is>
      </c>
      <c r="C392" s="3" t="inlineStr">
        <is>
          <t>CUUR0000SASLE</t>
        </is>
      </c>
      <c r="D392" s="21" t="n">
        <v>60.744</v>
      </c>
      <c r="E392" s="22" t="n">
        <v>45992</v>
      </c>
      <c r="F392" s="3" t="n">
        <v>2024</v>
      </c>
      <c r="G392" s="10">
        <f>IFERROR(100*($D392*(INDEX('Data_NSA'!$A:$OK,MATCH(G$1,'Data_NSA'!$A:$A,0),MATCH($C392,'Data_NSA'!$1:$1,0))/INDEX('Data_NSA'!$A:$OK,MATCH($E392,'Data_NSA'!$A:$A,0),MATCH($C392,'Data_NSA'!$1:$1,0))))/(100*(INDEX('Data_NSA'!$A:$OK,MATCH(G$1,'Data_NSA'!$A:$A,0),MATCH("CUUR0000SA0",'Data_NSA'!$1:$1,0))/INDEX('Data_NSA'!$A:$OK,MATCH($E392,'Data_NSA'!$A:$A,0),MATCH("CUUR0000SA0",'Data_NSA'!$1:$1,0)))),"")</f>
        <v/>
      </c>
      <c r="H392" s="10">
        <f>IFERROR(100*($D392*(INDEX('Data_NSA'!$A:$OK,MATCH(H$1,'Data_NSA'!$A:$A,0),MATCH($C392,'Data_NSA'!$1:$1,0))/INDEX('Data_NSA'!$A:$OK,MATCH($E392,'Data_NSA'!$A:$A,0),MATCH($C392,'Data_NSA'!$1:$1,0))))/(100*(INDEX('Data_NSA'!$A:$OK,MATCH(H$1,'Data_NSA'!$A:$A,0),MATCH("CUUR0000SA0",'Data_NSA'!$1:$1,0))/INDEX('Data_NSA'!$A:$OK,MATCH($E392,'Data_NSA'!$A:$A,0),MATCH("CUUR0000SA0",'Data_NSA'!$1:$1,0)))),"")</f>
        <v/>
      </c>
      <c r="I392" s="10">
        <f>IFERROR(100*($D392*(INDEX('Data_NSA'!$A:$OK,MATCH(I$1,'Data_NSA'!$A:$A,0),MATCH($C392,'Data_NSA'!$1:$1,0))/INDEX('Data_NSA'!$A:$OK,MATCH($E392,'Data_NSA'!$A:$A,0),MATCH($C392,'Data_NSA'!$1:$1,0))))/(100*(INDEX('Data_NSA'!$A:$OK,MATCH(I$1,'Data_NSA'!$A:$A,0),MATCH("CUUR0000SA0",'Data_NSA'!$1:$1,0))/INDEX('Data_NSA'!$A:$OK,MATCH($E392,'Data_NSA'!$A:$A,0),MATCH("CUUR0000SA0",'Data_NSA'!$1:$1,0)))),"")</f>
        <v/>
      </c>
    </row>
    <row r="393">
      <c r="A393" s="3" t="inlineStr">
        <is>
          <t>SASL5</t>
        </is>
      </c>
      <c r="B393" s="3" t="inlineStr">
        <is>
          <t>Services less medical care services</t>
        </is>
      </c>
      <c r="C393" s="3" t="inlineStr">
        <is>
          <t>CUUR0000SASL5</t>
        </is>
      </c>
      <c r="D393" s="21" t="n">
        <v>57.071</v>
      </c>
      <c r="E393" s="22" t="n">
        <v>45992</v>
      </c>
      <c r="F393" s="3" t="n">
        <v>2024</v>
      </c>
      <c r="G393" s="10">
        <f>IFERROR(100*($D393*(INDEX('Data_NSA'!$A:$OK,MATCH(G$1,'Data_NSA'!$A:$A,0),MATCH($C393,'Data_NSA'!$1:$1,0))/INDEX('Data_NSA'!$A:$OK,MATCH($E393,'Data_NSA'!$A:$A,0),MATCH($C393,'Data_NSA'!$1:$1,0))))/(100*(INDEX('Data_NSA'!$A:$OK,MATCH(G$1,'Data_NSA'!$A:$A,0),MATCH("CUUR0000SA0",'Data_NSA'!$1:$1,0))/INDEX('Data_NSA'!$A:$OK,MATCH($E393,'Data_NSA'!$A:$A,0),MATCH("CUUR0000SA0",'Data_NSA'!$1:$1,0)))),"")</f>
        <v/>
      </c>
      <c r="H393" s="10">
        <f>IFERROR(100*($D393*(INDEX('Data_NSA'!$A:$OK,MATCH(H$1,'Data_NSA'!$A:$A,0),MATCH($C393,'Data_NSA'!$1:$1,0))/INDEX('Data_NSA'!$A:$OK,MATCH($E393,'Data_NSA'!$A:$A,0),MATCH($C393,'Data_NSA'!$1:$1,0))))/(100*(INDEX('Data_NSA'!$A:$OK,MATCH(H$1,'Data_NSA'!$A:$A,0),MATCH("CUUR0000SA0",'Data_NSA'!$1:$1,0))/INDEX('Data_NSA'!$A:$OK,MATCH($E393,'Data_NSA'!$A:$A,0),MATCH("CUUR0000SA0",'Data_NSA'!$1:$1,0)))),"")</f>
        <v/>
      </c>
      <c r="I393" s="10">
        <f>IFERROR(100*($D393*(INDEX('Data_NSA'!$A:$OK,MATCH(I$1,'Data_NSA'!$A:$A,0),MATCH($C393,'Data_NSA'!$1:$1,0))/INDEX('Data_NSA'!$A:$OK,MATCH($E393,'Data_NSA'!$A:$A,0),MATCH($C393,'Data_NSA'!$1:$1,0))))/(100*(INDEX('Data_NSA'!$A:$OK,MATCH(I$1,'Data_NSA'!$A:$A,0),MATCH("CUUR0000SA0",'Data_NSA'!$1:$1,0))/INDEX('Data_NSA'!$A:$OK,MATCH($E393,'Data_NSA'!$A:$A,0),MATCH("CUUR0000SA0",'Data_NSA'!$1:$1,0)))),"")</f>
        <v/>
      </c>
    </row>
    <row r="394">
      <c r="A394" s="3" t="inlineStr">
        <is>
          <t>SASL2RS</t>
        </is>
      </c>
      <c r="B394" s="3" t="inlineStr">
        <is>
          <t>Services less rent of shelter</t>
        </is>
      </c>
      <c r="C394" s="3" t="inlineStr">
        <is>
          <t>CUUR0000SASL2RS</t>
        </is>
      </c>
      <c r="D394" s="21" t="n">
        <v>28.673</v>
      </c>
      <c r="E394" s="22" t="n">
        <v>45992</v>
      </c>
      <c r="F394" s="3" t="n">
        <v>2024</v>
      </c>
      <c r="G394" s="10">
        <f>IFERROR(100*($D394*(INDEX('Data_NSA'!$A:$OK,MATCH(G$1,'Data_NSA'!$A:$A,0),MATCH($C394,'Data_NSA'!$1:$1,0))/INDEX('Data_NSA'!$A:$OK,MATCH($E394,'Data_NSA'!$A:$A,0),MATCH($C394,'Data_NSA'!$1:$1,0))))/(100*(INDEX('Data_NSA'!$A:$OK,MATCH(G$1,'Data_NSA'!$A:$A,0),MATCH("CUUR0000SA0",'Data_NSA'!$1:$1,0))/INDEX('Data_NSA'!$A:$OK,MATCH($E394,'Data_NSA'!$A:$A,0),MATCH("CUUR0000SA0",'Data_NSA'!$1:$1,0)))),"")</f>
        <v/>
      </c>
      <c r="H394" s="10">
        <f>IFERROR(100*($D394*(INDEX('Data_NSA'!$A:$OK,MATCH(H$1,'Data_NSA'!$A:$A,0),MATCH($C394,'Data_NSA'!$1:$1,0))/INDEX('Data_NSA'!$A:$OK,MATCH($E394,'Data_NSA'!$A:$A,0),MATCH($C394,'Data_NSA'!$1:$1,0))))/(100*(INDEX('Data_NSA'!$A:$OK,MATCH(H$1,'Data_NSA'!$A:$A,0),MATCH("CUUR0000SA0",'Data_NSA'!$1:$1,0))/INDEX('Data_NSA'!$A:$OK,MATCH($E394,'Data_NSA'!$A:$A,0),MATCH("CUUR0000SA0",'Data_NSA'!$1:$1,0)))),"")</f>
        <v/>
      </c>
      <c r="I394" s="10">
        <f>IFERROR(100*($D394*(INDEX('Data_NSA'!$A:$OK,MATCH(I$1,'Data_NSA'!$A:$A,0),MATCH($C394,'Data_NSA'!$1:$1,0))/INDEX('Data_NSA'!$A:$OK,MATCH($E394,'Data_NSA'!$A:$A,0),MATCH($C394,'Data_NSA'!$1:$1,0))))/(100*(INDEX('Data_NSA'!$A:$OK,MATCH(I$1,'Data_NSA'!$A:$A,0),MATCH("CUUR0000SA0",'Data_NSA'!$1:$1,0))/INDEX('Data_NSA'!$A:$OK,MATCH($E394,'Data_NSA'!$A:$A,0),MATCH("CUUR0000SA0",'Data_NSA'!$1:$1,0)))),"")</f>
        <v/>
      </c>
    </row>
    <row r="395">
      <c r="A395" s="3" t="inlineStr">
        <is>
          <t>SATCLTB</t>
        </is>
      </c>
      <c r="B395" s="3" t="inlineStr">
        <is>
          <t>Transportation commodities less motor fuel</t>
        </is>
      </c>
      <c r="C395" s="3" t="inlineStr">
        <is>
          <t>CUUR0000SATCLTB</t>
        </is>
      </c>
      <c r="D395" s="21" t="n"/>
      <c r="E395" s="22" t="n">
        <v>45992</v>
      </c>
      <c r="F395" s="3" t="n">
        <v>2024</v>
      </c>
      <c r="G395" s="10">
        <f>IFERROR(100*($D395*(INDEX('Data_NSA'!$A:$OK,MATCH(G$1,'Data_NSA'!$A:$A,0),MATCH($C395,'Data_NSA'!$1:$1,0))/INDEX('Data_NSA'!$A:$OK,MATCH($E395,'Data_NSA'!$A:$A,0),MATCH($C395,'Data_NSA'!$1:$1,0))))/(100*(INDEX('Data_NSA'!$A:$OK,MATCH(G$1,'Data_NSA'!$A:$A,0),MATCH("CUUR0000SA0",'Data_NSA'!$1:$1,0))/INDEX('Data_NSA'!$A:$OK,MATCH($E395,'Data_NSA'!$A:$A,0),MATCH("CUUR0000SA0",'Data_NSA'!$1:$1,0)))),"")</f>
        <v/>
      </c>
      <c r="H395" s="10">
        <f>IFERROR(100*($D395*(INDEX('Data_NSA'!$A:$OK,MATCH(H$1,'Data_NSA'!$A:$A,0),MATCH($C395,'Data_NSA'!$1:$1,0))/INDEX('Data_NSA'!$A:$OK,MATCH($E395,'Data_NSA'!$A:$A,0),MATCH($C395,'Data_NSA'!$1:$1,0))))/(100*(INDEX('Data_NSA'!$A:$OK,MATCH(H$1,'Data_NSA'!$A:$A,0),MATCH("CUUR0000SA0",'Data_NSA'!$1:$1,0))/INDEX('Data_NSA'!$A:$OK,MATCH($E395,'Data_NSA'!$A:$A,0),MATCH("CUUR0000SA0",'Data_NSA'!$1:$1,0)))),"")</f>
        <v/>
      </c>
      <c r="I395" s="10">
        <f>IFERROR(100*($D395*(INDEX('Data_NSA'!$A:$OK,MATCH(I$1,'Data_NSA'!$A:$A,0),MATCH($C395,'Data_NSA'!$1:$1,0))/INDEX('Data_NSA'!$A:$OK,MATCH($E395,'Data_NSA'!$A:$A,0),MATCH($C395,'Data_NSA'!$1:$1,0))))/(100*(INDEX('Data_NSA'!$A:$OK,MATCH(I$1,'Data_NSA'!$A:$A,0),MATCH("CUUR0000SA0",'Data_NSA'!$1:$1,0))/INDEX('Data_NSA'!$A:$OK,MATCH($E395,'Data_NSA'!$A:$A,0),MATCH("CUUR0000SA0",'Data_NSA'!$1:$1,0)))),"")</f>
        <v/>
      </c>
    </row>
    <row r="396">
      <c r="A396" s="3" t="inlineStr">
        <is>
          <t>SAS4</t>
        </is>
      </c>
      <c r="B396" s="3" t="inlineStr">
        <is>
          <t>Transportation services</t>
        </is>
      </c>
      <c r="C396" s="3" t="inlineStr">
        <is>
          <t>CUUR0000SAS4</t>
        </is>
      </c>
      <c r="D396" s="21" t="n">
        <v>6.315</v>
      </c>
      <c r="E396" s="22" t="n">
        <v>45992</v>
      </c>
      <c r="F396" s="3" t="n">
        <v>2024</v>
      </c>
      <c r="G396" s="10">
        <f>IFERROR(100*($D396*(INDEX('Data_NSA'!$A:$OK,MATCH(G$1,'Data_NSA'!$A:$A,0),MATCH($C396,'Data_NSA'!$1:$1,0))/INDEX('Data_NSA'!$A:$OK,MATCH($E396,'Data_NSA'!$A:$A,0),MATCH($C396,'Data_NSA'!$1:$1,0))))/(100*(INDEX('Data_NSA'!$A:$OK,MATCH(G$1,'Data_NSA'!$A:$A,0),MATCH("CUUR0000SA0",'Data_NSA'!$1:$1,0))/INDEX('Data_NSA'!$A:$OK,MATCH($E396,'Data_NSA'!$A:$A,0),MATCH("CUUR0000SA0",'Data_NSA'!$1:$1,0)))),"")</f>
        <v/>
      </c>
      <c r="H396" s="10">
        <f>IFERROR(100*($D396*(INDEX('Data_NSA'!$A:$OK,MATCH(H$1,'Data_NSA'!$A:$A,0),MATCH($C396,'Data_NSA'!$1:$1,0))/INDEX('Data_NSA'!$A:$OK,MATCH($E396,'Data_NSA'!$A:$A,0),MATCH($C396,'Data_NSA'!$1:$1,0))))/(100*(INDEX('Data_NSA'!$A:$OK,MATCH(H$1,'Data_NSA'!$A:$A,0),MATCH("CUUR0000SA0",'Data_NSA'!$1:$1,0))/INDEX('Data_NSA'!$A:$OK,MATCH($E396,'Data_NSA'!$A:$A,0),MATCH("CUUR0000SA0",'Data_NSA'!$1:$1,0)))),"")</f>
        <v/>
      </c>
      <c r="I396" s="10">
        <f>IFERROR(100*($D396*(INDEX('Data_NSA'!$A:$OK,MATCH(I$1,'Data_NSA'!$A:$A,0),MATCH($C396,'Data_NSA'!$1:$1,0))/INDEX('Data_NSA'!$A:$OK,MATCH($E396,'Data_NSA'!$A:$A,0),MATCH($C396,'Data_NSA'!$1:$1,0))))/(100*(INDEX('Data_NSA'!$A:$OK,MATCH(I$1,'Data_NSA'!$A:$A,0),MATCH("CUUR0000SA0",'Data_NSA'!$1:$1,0))/INDEX('Data_NSA'!$A:$OK,MATCH($E396,'Data_NSA'!$A:$A,0),MATCH("CUUR0000SA0",'Data_NSA'!$1:$1,0)))),"")</f>
        <v/>
      </c>
    </row>
    <row r="397">
      <c r="A397" s="3" t="inlineStr">
        <is>
          <t>SAS24</t>
        </is>
      </c>
      <c r="B397" s="3" t="inlineStr">
        <is>
          <t>Utilities and public transportation</t>
        </is>
      </c>
      <c r="C397" s="3" t="inlineStr">
        <is>
          <t>CUUR0000SAS24</t>
        </is>
      </c>
      <c r="D397" s="21" t="n">
        <v>7.963</v>
      </c>
      <c r="E397" s="22" t="n">
        <v>45992</v>
      </c>
      <c r="F397" s="3" t="n">
        <v>2024</v>
      </c>
      <c r="G397" s="10">
        <f>IFERROR(100*($D397*(INDEX('Data_NSA'!$A:$OK,MATCH(G$1,'Data_NSA'!$A:$A,0),MATCH($C397,'Data_NSA'!$1:$1,0))/INDEX('Data_NSA'!$A:$OK,MATCH($E397,'Data_NSA'!$A:$A,0),MATCH($C397,'Data_NSA'!$1:$1,0))))/(100*(INDEX('Data_NSA'!$A:$OK,MATCH(G$1,'Data_NSA'!$A:$A,0),MATCH("CUUR0000SA0",'Data_NSA'!$1:$1,0))/INDEX('Data_NSA'!$A:$OK,MATCH($E397,'Data_NSA'!$A:$A,0),MATCH("CUUR0000SA0",'Data_NSA'!$1:$1,0)))),"")</f>
        <v/>
      </c>
      <c r="H397" s="10">
        <f>IFERROR(100*($D397*(INDEX('Data_NSA'!$A:$OK,MATCH(H$1,'Data_NSA'!$A:$A,0),MATCH($C397,'Data_NSA'!$1:$1,0))/INDEX('Data_NSA'!$A:$OK,MATCH($E397,'Data_NSA'!$A:$A,0),MATCH($C397,'Data_NSA'!$1:$1,0))))/(100*(INDEX('Data_NSA'!$A:$OK,MATCH(H$1,'Data_NSA'!$A:$A,0),MATCH("CUUR0000SA0",'Data_NSA'!$1:$1,0))/INDEX('Data_NSA'!$A:$OK,MATCH($E397,'Data_NSA'!$A:$A,0),MATCH("CUUR0000SA0",'Data_NSA'!$1:$1,0)))),"")</f>
        <v/>
      </c>
      <c r="I397" s="10">
        <f>IFERROR(100*($D397*(INDEX('Data_NSA'!$A:$OK,MATCH(I$1,'Data_NSA'!$A:$A,0),MATCH($C397,'Data_NSA'!$1:$1,0))/INDEX('Data_NSA'!$A:$OK,MATCH($E397,'Data_NSA'!$A:$A,0),MATCH($C397,'Data_NSA'!$1:$1,0))))/(100*(INDEX('Data_NSA'!$A:$OK,MATCH(I$1,'Data_NSA'!$A:$A,0),MATCH("CUUR0000SA0",'Data_NSA'!$1:$1,0))/INDEX('Data_NSA'!$A:$OK,MATCH($E397,'Data_NSA'!$A:$A,0),MATCH("CUUR0000SA0",'Data_NSA'!$1:$1,0)))),"")</f>
        <v/>
      </c>
    </row>
    <row r="398">
      <c r="A398" s="3" t="inlineStr">
        <is>
          <t>SERAC</t>
        </is>
      </c>
      <c r="B398" s="3" t="inlineStr">
        <is>
          <t>Video and audio products</t>
        </is>
      </c>
      <c r="C398" s="3" t="inlineStr">
        <is>
          <t>CUUR0000SERAC</t>
        </is>
      </c>
      <c r="D398" s="21" t="n"/>
      <c r="E398" s="22" t="n">
        <v>45992</v>
      </c>
      <c r="F398" s="3" t="n">
        <v>2024</v>
      </c>
      <c r="G398" s="10">
        <f>IFERROR(100*($D398*(INDEX('Data_NSA'!$A:$OK,MATCH(G$1,'Data_NSA'!$A:$A,0),MATCH($C398,'Data_NSA'!$1:$1,0))/INDEX('Data_NSA'!$A:$OK,MATCH($E398,'Data_NSA'!$A:$A,0),MATCH($C398,'Data_NSA'!$1:$1,0))))/(100*(INDEX('Data_NSA'!$A:$OK,MATCH(G$1,'Data_NSA'!$A:$A,0),MATCH("CUUR0000SA0",'Data_NSA'!$1:$1,0))/INDEX('Data_NSA'!$A:$OK,MATCH($E398,'Data_NSA'!$A:$A,0),MATCH("CUUR0000SA0",'Data_NSA'!$1:$1,0)))),"")</f>
        <v/>
      </c>
      <c r="H398" s="10">
        <f>IFERROR(100*($D398*(INDEX('Data_NSA'!$A:$OK,MATCH(H$1,'Data_NSA'!$A:$A,0),MATCH($C398,'Data_NSA'!$1:$1,0))/INDEX('Data_NSA'!$A:$OK,MATCH($E398,'Data_NSA'!$A:$A,0),MATCH($C398,'Data_NSA'!$1:$1,0))))/(100*(INDEX('Data_NSA'!$A:$OK,MATCH(H$1,'Data_NSA'!$A:$A,0),MATCH("CUUR0000SA0",'Data_NSA'!$1:$1,0))/INDEX('Data_NSA'!$A:$OK,MATCH($E398,'Data_NSA'!$A:$A,0),MATCH("CUUR0000SA0",'Data_NSA'!$1:$1,0)))),"")</f>
        <v/>
      </c>
      <c r="I398" s="10">
        <f>IFERROR(100*($D398*(INDEX('Data_NSA'!$A:$OK,MATCH(I$1,'Data_NSA'!$A:$A,0),MATCH($C398,'Data_NSA'!$1:$1,0))/INDEX('Data_NSA'!$A:$OK,MATCH($E398,'Data_NSA'!$A:$A,0),MATCH($C398,'Data_NSA'!$1:$1,0))))/(100*(INDEX('Data_NSA'!$A:$OK,MATCH(I$1,'Data_NSA'!$A:$A,0),MATCH("CUUR0000SA0",'Data_NSA'!$1:$1,0))/INDEX('Data_NSA'!$A:$OK,MATCH($E398,'Data_NSA'!$A:$A,0),MATCH("CUUR0000SA0",'Data_NSA'!$1:$1,0)))),"")</f>
        <v/>
      </c>
    </row>
    <row r="399">
      <c r="A399" s="3" t="inlineStr">
        <is>
          <t>SERAS</t>
        </is>
      </c>
      <c r="B399" s="3" t="inlineStr">
        <is>
          <t>Video and audio services</t>
        </is>
      </c>
      <c r="C399" s="3" t="inlineStr">
        <is>
          <t>CUUR0000SERAS</t>
        </is>
      </c>
      <c r="D399" s="21" t="n"/>
      <c r="E399" s="22" t="n">
        <v>45992</v>
      </c>
      <c r="F399" s="3" t="n">
        <v>2024</v>
      </c>
      <c r="G399" s="10">
        <f>IFERROR(100*($D399*(INDEX('Data_NSA'!$A:$OK,MATCH(G$1,'Data_NSA'!$A:$A,0),MATCH($C399,'Data_NSA'!$1:$1,0))/INDEX('Data_NSA'!$A:$OK,MATCH($E399,'Data_NSA'!$A:$A,0),MATCH($C399,'Data_NSA'!$1:$1,0))))/(100*(INDEX('Data_NSA'!$A:$OK,MATCH(G$1,'Data_NSA'!$A:$A,0),MATCH("CUUR0000SA0",'Data_NSA'!$1:$1,0))/INDEX('Data_NSA'!$A:$OK,MATCH($E399,'Data_NSA'!$A:$A,0),MATCH("CUUR0000SA0",'Data_NSA'!$1:$1,0)))),"")</f>
        <v/>
      </c>
      <c r="H399" s="10">
        <f>IFERROR(100*($D399*(INDEX('Data_NSA'!$A:$OK,MATCH(H$1,'Data_NSA'!$A:$A,0),MATCH($C399,'Data_NSA'!$1:$1,0))/INDEX('Data_NSA'!$A:$OK,MATCH($E399,'Data_NSA'!$A:$A,0),MATCH($C399,'Data_NSA'!$1:$1,0))))/(100*(INDEX('Data_NSA'!$A:$OK,MATCH(H$1,'Data_NSA'!$A:$A,0),MATCH("CUUR0000SA0",'Data_NSA'!$1:$1,0))/INDEX('Data_NSA'!$A:$OK,MATCH($E399,'Data_NSA'!$A:$A,0),MATCH("CUUR0000SA0",'Data_NSA'!$1:$1,0)))),"")</f>
        <v/>
      </c>
      <c r="I399" s="10">
        <f>IFERROR(100*($D399*(INDEX('Data_NSA'!$A:$OK,MATCH(I$1,'Data_NSA'!$A:$A,0),MATCH($C399,'Data_NSA'!$1:$1,0))/INDEX('Data_NSA'!$A:$OK,MATCH($E399,'Data_NSA'!$A:$A,0),MATCH($C399,'Data_NSA'!$1:$1,0))))/(100*(INDEX('Data_NSA'!$A:$OK,MATCH(I$1,'Data_NSA'!$A:$A,0),MATCH("CUUR0000SA0",'Data_NSA'!$1:$1,0))/INDEX('Data_NSA'!$A:$OK,MATCH($E399,'Data_NSA'!$A:$A,0),MATCH("CUUR0000SA0",'Data_NSA'!$1:$1,0)))),"")</f>
        <v/>
      </c>
    </row>
    <row r="400">
      <c r="A400" s="3" t="inlineStr">
        <is>
          <t>SA0R</t>
        </is>
      </c>
      <c r="B400" s="3" t="inlineStr">
        <is>
          <t>Purchasing power of the consumer dollar</t>
        </is>
      </c>
      <c r="C400" s="3" t="inlineStr">
        <is>
          <t>CUUR0000SA0R</t>
        </is>
      </c>
      <c r="D400" s="21" t="n"/>
      <c r="E400" s="22" t="n">
        <v>45992</v>
      </c>
      <c r="F400" s="3" t="n">
        <v>2024</v>
      </c>
      <c r="G400" s="10">
        <f>IFERROR(100*($D400*(INDEX('Data_NSA'!$A:$OK,MATCH(G$1,'Data_NSA'!$A:$A,0),MATCH($C400,'Data_NSA'!$1:$1,0))/INDEX('Data_NSA'!$A:$OK,MATCH($E400,'Data_NSA'!$A:$A,0),MATCH($C400,'Data_NSA'!$1:$1,0))))/(100*(INDEX('Data_NSA'!$A:$OK,MATCH(G$1,'Data_NSA'!$A:$A,0),MATCH("CUUR0000SA0",'Data_NSA'!$1:$1,0))/INDEX('Data_NSA'!$A:$OK,MATCH($E400,'Data_NSA'!$A:$A,0),MATCH("CUUR0000SA0",'Data_NSA'!$1:$1,0)))),"")</f>
        <v/>
      </c>
      <c r="H400" s="10">
        <f>IFERROR(100*($D400*(INDEX('Data_NSA'!$A:$OK,MATCH(H$1,'Data_NSA'!$A:$A,0),MATCH($C400,'Data_NSA'!$1:$1,0))/INDEX('Data_NSA'!$A:$OK,MATCH($E400,'Data_NSA'!$A:$A,0),MATCH($C400,'Data_NSA'!$1:$1,0))))/(100*(INDEX('Data_NSA'!$A:$OK,MATCH(H$1,'Data_NSA'!$A:$A,0),MATCH("CUUR0000SA0",'Data_NSA'!$1:$1,0))/INDEX('Data_NSA'!$A:$OK,MATCH($E400,'Data_NSA'!$A:$A,0),MATCH("CUUR0000SA0",'Data_NSA'!$1:$1,0)))),"")</f>
        <v/>
      </c>
      <c r="I400" s="10">
        <f>IFERROR(100*($D400*(INDEX('Data_NSA'!$A:$OK,MATCH(I$1,'Data_NSA'!$A:$A,0),MATCH($C400,'Data_NSA'!$1:$1,0))/INDEX('Data_NSA'!$A:$OK,MATCH($E400,'Data_NSA'!$A:$A,0),MATCH($C400,'Data_NSA'!$1:$1,0))))/(100*(INDEX('Data_NSA'!$A:$OK,MATCH(I$1,'Data_NSA'!$A:$A,0),MATCH("CUUR0000SA0",'Data_NSA'!$1:$1,0))/INDEX('Data_NSA'!$A:$OK,MATCH($E400,'Data_NSA'!$A:$A,0),MATCH("CUUR0000SA0",'Data_NSA'!$1:$1,0)))),"")</f>
        <v/>
      </c>
    </row>
    <row r="401">
      <c r="A401" s="3" t="inlineStr">
        <is>
          <t>AA0R</t>
        </is>
      </c>
      <c r="B401" s="3" t="inlineStr">
        <is>
          <t>Purchasing power of the consumer dollar - old base</t>
        </is>
      </c>
      <c r="C401" s="3" t="inlineStr">
        <is>
          <t>CUUR0000AA0R</t>
        </is>
      </c>
      <c r="D401" s="21" t="n"/>
      <c r="E401" s="22" t="n">
        <v>45992</v>
      </c>
      <c r="F401" s="3" t="n">
        <v>2024</v>
      </c>
      <c r="G401" s="10">
        <f>IFERROR(100*($D401*(INDEX('Data_NSA'!$A:$OK,MATCH(G$1,'Data_NSA'!$A:$A,0),MATCH($C401,'Data_NSA'!$1:$1,0))/INDEX('Data_NSA'!$A:$OK,MATCH($E401,'Data_NSA'!$A:$A,0),MATCH($C401,'Data_NSA'!$1:$1,0))))/(100*(INDEX('Data_NSA'!$A:$OK,MATCH(G$1,'Data_NSA'!$A:$A,0),MATCH("CUUR0000SA0",'Data_NSA'!$1:$1,0))/INDEX('Data_NSA'!$A:$OK,MATCH($E401,'Data_NSA'!$A:$A,0),MATCH("CUUR0000SA0",'Data_NSA'!$1:$1,0)))),"")</f>
        <v/>
      </c>
      <c r="H401" s="10">
        <f>IFERROR(100*($D401*(INDEX('Data_NSA'!$A:$OK,MATCH(H$1,'Data_NSA'!$A:$A,0),MATCH($C401,'Data_NSA'!$1:$1,0))/INDEX('Data_NSA'!$A:$OK,MATCH($E401,'Data_NSA'!$A:$A,0),MATCH($C401,'Data_NSA'!$1:$1,0))))/(100*(INDEX('Data_NSA'!$A:$OK,MATCH(H$1,'Data_NSA'!$A:$A,0),MATCH("CUUR0000SA0",'Data_NSA'!$1:$1,0))/INDEX('Data_NSA'!$A:$OK,MATCH($E401,'Data_NSA'!$A:$A,0),MATCH("CUUR0000SA0",'Data_NSA'!$1:$1,0)))),"")</f>
        <v/>
      </c>
      <c r="I401" s="10">
        <f>IFERROR(100*($D401*(INDEX('Data_NSA'!$A:$OK,MATCH(I$1,'Data_NSA'!$A:$A,0),MATCH($C401,'Data_NSA'!$1:$1,0))/INDEX('Data_NSA'!$A:$OK,MATCH($E401,'Data_NSA'!$A:$A,0),MATCH($C401,'Data_NSA'!$1:$1,0))))/(100*(INDEX('Data_NSA'!$A:$OK,MATCH(I$1,'Data_NSA'!$A:$A,0),MATCH("CUUR0000SA0",'Data_NSA'!$1:$1,0))/INDEX('Data_NSA'!$A:$OK,MATCH($E401,'Data_NSA'!$A:$A,0),MATCH("CUUR0000SA0",'Data_NSA'!$1:$1,0)))),"")</f>
        <v/>
      </c>
    </row>
  </sheetData>
  <autoFilter ref="A1:I40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4" customWidth="1" min="2" max="2"/>
    <col width="10" customWidth="1" min="3" max="3"/>
    <col width="18" customWidth="1" min="4" max="4"/>
    <col width="18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  <col width="32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  <col width="32" customWidth="1" min="26" max="26"/>
  </cols>
  <sheetData>
    <row r="1">
      <c r="A1" s="1" t="inlineStr">
        <is>
          <t>Latest 3 Published Months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24" t="n">
        <v>46204</v>
      </c>
      <c r="O2" s="24" t="n">
        <v>46235</v>
      </c>
      <c r="U2" s="24" t="n">
        <v>46266</v>
      </c>
    </row>
    <row r="3">
      <c r="A3" s="6" t="inlineStr">
        <is>
          <t>item_code</t>
        </is>
      </c>
      <c r="B3" s="6" t="inlineStr">
        <is>
          <t>component</t>
        </is>
      </c>
      <c r="C3" s="6" t="inlineStr">
        <is>
          <t>parent</t>
        </is>
      </c>
      <c r="D3" s="6" t="inlineStr">
        <is>
          <t>series_nsa</t>
        </is>
      </c>
      <c r="E3" s="6" t="inlineStr">
        <is>
          <t>series_sa</t>
        </is>
      </c>
      <c r="F3" s="6" t="inlineStr">
        <is>
          <t>formula</t>
        </is>
      </c>
      <c r="G3" s="6" t="inlineStr">
        <is>
          <t>collection</t>
        </is>
      </c>
      <c r="H3" s="6" t="inlineStr">
        <is>
          <t>Dec RI %</t>
        </is>
      </c>
      <c r="I3" s="6" t="inlineStr">
        <is>
          <t>NSA index</t>
        </is>
      </c>
      <c r="J3" s="6" t="inlineStr">
        <is>
          <t>SA index</t>
        </is>
      </c>
      <c r="K3" s="6" t="inlineStr">
        <is>
          <t>SA m/m %</t>
        </is>
      </c>
      <c r="L3" s="6" t="inlineStr">
        <is>
          <t>NSA y/y %</t>
        </is>
      </c>
      <c r="M3" s="6" t="inlineStr">
        <is>
          <t>RI weight</t>
        </is>
      </c>
      <c r="N3" s="6" t="inlineStr">
        <is>
          <t>SA contrib pp</t>
        </is>
      </c>
      <c r="O3" s="6" t="inlineStr">
        <is>
          <t>NSA index</t>
        </is>
      </c>
      <c r="P3" s="6" t="inlineStr">
        <is>
          <t>SA index</t>
        </is>
      </c>
      <c r="Q3" s="6" t="inlineStr">
        <is>
          <t>SA m/m %</t>
        </is>
      </c>
      <c r="R3" s="6" t="inlineStr">
        <is>
          <t>NSA y/y %</t>
        </is>
      </c>
      <c r="S3" s="6" t="inlineStr">
        <is>
          <t>RI weight</t>
        </is>
      </c>
      <c r="T3" s="6" t="inlineStr">
        <is>
          <t>SA contrib pp</t>
        </is>
      </c>
      <c r="U3" s="6" t="inlineStr">
        <is>
          <t>NSA index</t>
        </is>
      </c>
      <c r="V3" s="6" t="inlineStr">
        <is>
          <t>SA index</t>
        </is>
      </c>
      <c r="W3" s="6" t="inlineStr">
        <is>
          <t>SA m/m %</t>
        </is>
      </c>
      <c r="X3" s="6" t="inlineStr">
        <is>
          <t>NSA y/y %</t>
        </is>
      </c>
      <c r="Y3" s="6" t="inlineStr">
        <is>
          <t>RI weight</t>
        </is>
      </c>
      <c r="Z3" s="6" t="inlineStr">
        <is>
          <t>SA contrib pp</t>
        </is>
      </c>
    </row>
    <row r="4">
      <c r="A4" s="3" t="inlineStr">
        <is>
          <t>SA0</t>
        </is>
      </c>
      <c r="B4" s="3" t="inlineStr">
        <is>
          <t>All items</t>
        </is>
      </c>
      <c r="C4" s="3" t="n"/>
      <c r="D4" s="3" t="inlineStr">
        <is>
          <t>CUUR0000SA0</t>
        </is>
      </c>
      <c r="E4" s="3" t="inlineStr">
        <is>
          <t>CUSR0000SA0</t>
        </is>
      </c>
      <c r="F4" s="3" t="inlineStr">
        <is>
          <t>aggregate</t>
        </is>
      </c>
      <c r="G4" s="3" t="inlineStr">
        <is>
          <t>aggregate</t>
        </is>
      </c>
      <c r="H4" s="10">
        <f>IFERROR(INDEX(Weights!$D:$D,MATCH($A4,Weights!$A:$A,0)),"")</f>
        <v/>
      </c>
      <c r="I4" s="10">
        <f>IFERROR(INDEX('Data_NSA'!$A:$OK,MATCH(I$2,'Data_NSA'!$A:$A,0),MATCH($D4,'Data_NSA'!$1:$1,0)),"")</f>
        <v/>
      </c>
      <c r="J4" s="10">
        <f>IF($E4="","",IFERROR(INDEX('Data_SA'!$A:$LO,MATCH(I$2,'Data_SA'!$A:$A,0),MATCH($E4,'Data_SA'!$1:$1,0)),""))</f>
        <v/>
      </c>
      <c r="K4" s="7">
        <f>IF($E4="","",IFERROR(INDEX('Data_SA'!$A:$LO,MATCH(I$2,'Data_SA'!$A:$A,0),MATCH($E4,'Data_SA'!$1:$1,0))/INDEX('Data_SA'!$A:$LO,MATCH(EDATE(I$2,-1),'Data_SA'!$A:$A,0),MATCH($E4,'Data_SA'!$1:$1,0))-1,""))</f>
        <v/>
      </c>
      <c r="L4" s="7">
        <f>IFERROR(INDEX('Data_NSA'!$A:$OK,MATCH(I$2,'Data_NSA'!$A:$A,0),MATCH($D4,'Data_NSA'!$1:$1,0))/INDEX('Data_NSA'!$A:$OK,MATCH(EDATE(I$2,-12),'Data_NSA'!$A:$A,0),MATCH($D4,'Data_NSA'!$1:$1,0))-1,"")</f>
        <v/>
      </c>
      <c r="M4" s="10">
        <f>IFERROR(INDEX('Weights'!$G:$I,MATCH($A4,'Weights'!$A:$A,0),MATCH(I$2,'Weights'!$G$1:$I$1,0)),"")</f>
        <v/>
      </c>
      <c r="N4" s="10">
        <f>IF($E4="","",IFERROR(100*(INDEX('Weights'!$D:$D,MATCH($A4,'Weights'!$A:$A,0))*(INDEX('Data_NSA'!$A:$OK,MATCH(EDATE(I$2,-1),'Data_NSA'!$A:$A,0),MATCH($D4,'Data_NSA'!$1:$1,0))/INDEX('Data_NSA'!$A:$OK,MATCH(INDEX('Weights'!$E:$E,MATCH($A4,'Weights'!$A:$A,0)),'Data_NSA'!$A:$A,0),MATCH($D4,'Data_NSA'!$1:$1,0))))/(100*(INDEX('Data_NSA'!$A:$OK,MATCH(EDATE(I$2,-1),'Data_NSA'!$A:$A,0),MATCH("CUUR0000SA0",'Data_NSA'!$1:$1,0))/INDEX('Data_NSA'!$A:$OK,MATCH(INDEX('Weights'!$E:$E,MATCH($A4,'Weights'!$A:$A,0)),'Data_NSA'!$A:$A,0),MATCH("CUUR0000SA0",'Data_NSA'!$1:$1,0))))*(INDEX('Data_SA'!$A:$LO,MATCH(I$2,'Data_SA'!$A:$A,0),MATCH($E4,'Data_SA'!$1:$1,0))/INDEX('Data_SA'!$A:$LO,MATCH(EDATE(I$2,-1),'Data_SA'!$A:$A,0),MATCH($E4,'Data_SA'!$1:$1,0))-1),""))</f>
        <v/>
      </c>
      <c r="O4" s="10">
        <f>IFERROR(INDEX('Data_NSA'!$A:$OK,MATCH(O$2,'Data_NSA'!$A:$A,0),MATCH($D4,'Data_NSA'!$1:$1,0)),"")</f>
        <v/>
      </c>
      <c r="P4" s="10">
        <f>IF($E4="","",IFERROR(INDEX('Data_SA'!$A:$LO,MATCH(O$2,'Data_SA'!$A:$A,0),MATCH($E4,'Data_SA'!$1:$1,0)),""))</f>
        <v/>
      </c>
      <c r="Q4" s="7">
        <f>IF($E4="","",IFERROR(INDEX('Data_SA'!$A:$LO,MATCH(O$2,'Data_SA'!$A:$A,0),MATCH($E4,'Data_SA'!$1:$1,0))/INDEX('Data_SA'!$A:$LO,MATCH(EDATE(O$2,-1),'Data_SA'!$A:$A,0),MATCH($E4,'Data_SA'!$1:$1,0))-1,""))</f>
        <v/>
      </c>
      <c r="R4" s="7">
        <f>IFERROR(INDEX('Data_NSA'!$A:$OK,MATCH(O$2,'Data_NSA'!$A:$A,0),MATCH($D4,'Data_NSA'!$1:$1,0))/INDEX('Data_NSA'!$A:$OK,MATCH(EDATE(O$2,-12),'Data_NSA'!$A:$A,0),MATCH($D4,'Data_NSA'!$1:$1,0))-1,"")</f>
        <v/>
      </c>
      <c r="S4" s="10">
        <f>IFERROR(INDEX('Weights'!$G:$I,MATCH($A4,'Weights'!$A:$A,0),MATCH(O$2,'Weights'!$G$1:$I$1,0)),"")</f>
        <v/>
      </c>
      <c r="T4" s="10">
        <f>IF($E4="","",IFERROR(100*(INDEX('Weights'!$D:$D,MATCH($A4,'Weights'!$A:$A,0))*(INDEX('Data_NSA'!$A:$OK,MATCH(EDATE(O$2,-1),'Data_NSA'!$A:$A,0),MATCH($D4,'Data_NSA'!$1:$1,0))/INDEX('Data_NSA'!$A:$OK,MATCH(INDEX('Weights'!$E:$E,MATCH($A4,'Weights'!$A:$A,0)),'Data_NSA'!$A:$A,0),MATCH($D4,'Data_NSA'!$1:$1,0))))/(100*(INDEX('Data_NSA'!$A:$OK,MATCH(EDATE(O$2,-1),'Data_NSA'!$A:$A,0),MATCH("CUUR0000SA0",'Data_NSA'!$1:$1,0))/INDEX('Data_NSA'!$A:$OK,MATCH(INDEX('Weights'!$E:$E,MATCH($A4,'Weights'!$A:$A,0)),'Data_NSA'!$A:$A,0),MATCH("CUUR0000SA0",'Data_NSA'!$1:$1,0))))*(INDEX('Data_SA'!$A:$LO,MATCH(O$2,'Data_SA'!$A:$A,0),MATCH($E4,'Data_SA'!$1:$1,0))/INDEX('Data_SA'!$A:$LO,MATCH(EDATE(O$2,-1),'Data_SA'!$A:$A,0),MATCH($E4,'Data_SA'!$1:$1,0))-1),""))</f>
        <v/>
      </c>
      <c r="U4" s="10">
        <f>IFERROR(INDEX('Data_NSA'!$A:$OK,MATCH(U$2,'Data_NSA'!$A:$A,0),MATCH($D4,'Data_NSA'!$1:$1,0)),"")</f>
        <v/>
      </c>
      <c r="V4" s="10">
        <f>IF($E4="","",IFERROR(INDEX('Data_SA'!$A:$LO,MATCH(U$2,'Data_SA'!$A:$A,0),MATCH($E4,'Data_SA'!$1:$1,0)),""))</f>
        <v/>
      </c>
      <c r="W4" s="7">
        <f>IF($E4="","",IFERROR(INDEX('Data_SA'!$A:$LO,MATCH(U$2,'Data_SA'!$A:$A,0),MATCH($E4,'Data_SA'!$1:$1,0))/INDEX('Data_SA'!$A:$LO,MATCH(EDATE(U$2,-1),'Data_SA'!$A:$A,0),MATCH($E4,'Data_SA'!$1:$1,0))-1,""))</f>
        <v/>
      </c>
      <c r="X4" s="7">
        <f>IFERROR(INDEX('Data_NSA'!$A:$OK,MATCH(U$2,'Data_NSA'!$A:$A,0),MATCH($D4,'Data_NSA'!$1:$1,0))/INDEX('Data_NSA'!$A:$OK,MATCH(EDATE(U$2,-12),'Data_NSA'!$A:$A,0),MATCH($D4,'Data_NSA'!$1:$1,0))-1,"")</f>
        <v/>
      </c>
      <c r="Y4" s="10">
        <f>IFERROR(INDEX('Weights'!$G:$I,MATCH($A4,'Weights'!$A:$A,0),MATCH(U$2,'Weights'!$G$1:$I$1,0)),"")</f>
        <v/>
      </c>
      <c r="Z4" s="10">
        <f>IF($E4="","",IFERROR(100*(INDEX('Weights'!$D:$D,MATCH($A4,'Weights'!$A:$A,0))*(INDEX('Data_NSA'!$A:$OK,MATCH(EDATE(U$2,-1),'Data_NSA'!$A:$A,0),MATCH($D4,'Data_NSA'!$1:$1,0))/INDEX('Data_NSA'!$A:$OK,MATCH(INDEX('Weights'!$E:$E,MATCH($A4,'Weights'!$A:$A,0)),'Data_NSA'!$A:$A,0),MATCH($D4,'Data_NSA'!$1:$1,0))))/(100*(INDEX('Data_NSA'!$A:$OK,MATCH(EDATE(U$2,-1),'Data_NSA'!$A:$A,0),MATCH("CUUR0000SA0",'Data_NSA'!$1:$1,0))/INDEX('Data_NSA'!$A:$OK,MATCH(INDEX('Weights'!$E:$E,MATCH($A4,'Weights'!$A:$A,0)),'Data_NSA'!$A:$A,0),MATCH("CUUR0000SA0",'Data_NSA'!$1:$1,0))))*(INDEX('Data_SA'!$A:$LO,MATCH(U$2,'Data_SA'!$A:$A,0),MATCH($E4,'Data_SA'!$1:$1,0))/INDEX('Data_SA'!$A:$LO,MATCH(EDATE(U$2,-1),'Data_SA'!$A:$A,0),MATCH($E4,'Data_SA'!$1:$1,0))-1),""))</f>
        <v/>
      </c>
    </row>
    <row r="5">
      <c r="A5" s="3" t="inlineStr">
        <is>
          <t>AA0</t>
        </is>
      </c>
      <c r="B5" s="3" t="inlineStr">
        <is>
          <t>All items - old base</t>
        </is>
      </c>
      <c r="C5" s="3" t="inlineStr">
        <is>
          <t>SA0</t>
        </is>
      </c>
      <c r="D5" s="3" t="inlineStr">
        <is>
          <t>CUUR0000AA0</t>
        </is>
      </c>
      <c r="E5" s="3" t="inlineStr"/>
      <c r="F5" s="3" t="inlineStr">
        <is>
          <t>GM</t>
        </is>
      </c>
      <c r="G5" s="3" t="inlineStr">
        <is>
          <t>monthly in New York/Los Angeles/Chicago; often bimonthly elsewhere</t>
        </is>
      </c>
      <c r="H5" s="10">
        <f>IFERROR(INDEX(Weights!$D:$D,MATCH($A5,Weights!$A:$A,0)),"")</f>
        <v/>
      </c>
      <c r="I5" s="10">
        <f>IFERROR(INDEX('Data_NSA'!$A:$OK,MATCH(I$2,'Data_NSA'!$A:$A,0),MATCH($D5,'Data_NSA'!$1:$1,0)),"")</f>
        <v/>
      </c>
      <c r="J5" s="10">
        <f>IF($E5="","",IFERROR(INDEX('Data_SA'!$A:$LO,MATCH(I$2,'Data_SA'!$A:$A,0),MATCH($E5,'Data_SA'!$1:$1,0)),""))</f>
        <v/>
      </c>
      <c r="K5" s="7">
        <f>IF($E5="","",IFERROR(INDEX('Data_SA'!$A:$LO,MATCH(I$2,'Data_SA'!$A:$A,0),MATCH($E5,'Data_SA'!$1:$1,0))/INDEX('Data_SA'!$A:$LO,MATCH(EDATE(I$2,-1),'Data_SA'!$A:$A,0),MATCH($E5,'Data_SA'!$1:$1,0))-1,""))</f>
        <v/>
      </c>
      <c r="L5" s="7">
        <f>IFERROR(INDEX('Data_NSA'!$A:$OK,MATCH(I$2,'Data_NSA'!$A:$A,0),MATCH($D5,'Data_NSA'!$1:$1,0))/INDEX('Data_NSA'!$A:$OK,MATCH(EDATE(I$2,-12),'Data_NSA'!$A:$A,0),MATCH($D5,'Data_NSA'!$1:$1,0))-1,"")</f>
        <v/>
      </c>
      <c r="M5" s="10">
        <f>IFERROR(INDEX('Weights'!$G:$I,MATCH($A5,'Weights'!$A:$A,0),MATCH(I$2,'Weights'!$G$1:$I$1,0)),"")</f>
        <v/>
      </c>
      <c r="N5" s="10">
        <f>IF($E5="","",IFERROR(100*(INDEX('Weights'!$D:$D,MATCH($A5,'Weights'!$A:$A,0))*(INDEX('Data_NSA'!$A:$OK,MATCH(EDATE(I$2,-1),'Data_NSA'!$A:$A,0),MATCH($D5,'Data_NSA'!$1:$1,0))/INDEX('Data_NSA'!$A:$OK,MATCH(INDEX('Weights'!$E:$E,MATCH($A5,'Weights'!$A:$A,0)),'Data_NSA'!$A:$A,0),MATCH($D5,'Data_NSA'!$1:$1,0))))/(100*(INDEX('Data_NSA'!$A:$OK,MATCH(EDATE(I$2,-1),'Data_NSA'!$A:$A,0),MATCH("CUUR0000SA0",'Data_NSA'!$1:$1,0))/INDEX('Data_NSA'!$A:$OK,MATCH(INDEX('Weights'!$E:$E,MATCH($A5,'Weights'!$A:$A,0)),'Data_NSA'!$A:$A,0),MATCH("CUUR0000SA0",'Data_NSA'!$1:$1,0))))*(INDEX('Data_SA'!$A:$LO,MATCH(I$2,'Data_SA'!$A:$A,0),MATCH($E5,'Data_SA'!$1:$1,0))/INDEX('Data_SA'!$A:$LO,MATCH(EDATE(I$2,-1),'Data_SA'!$A:$A,0),MATCH($E5,'Data_SA'!$1:$1,0))-1),""))</f>
        <v/>
      </c>
      <c r="O5" s="10">
        <f>IFERROR(INDEX('Data_NSA'!$A:$OK,MATCH(O$2,'Data_NSA'!$A:$A,0),MATCH($D5,'Data_NSA'!$1:$1,0)),"")</f>
        <v/>
      </c>
      <c r="P5" s="10">
        <f>IF($E5="","",IFERROR(INDEX('Data_SA'!$A:$LO,MATCH(O$2,'Data_SA'!$A:$A,0),MATCH($E5,'Data_SA'!$1:$1,0)),""))</f>
        <v/>
      </c>
      <c r="Q5" s="7">
        <f>IF($E5="","",IFERROR(INDEX('Data_SA'!$A:$LO,MATCH(O$2,'Data_SA'!$A:$A,0),MATCH($E5,'Data_SA'!$1:$1,0))/INDEX('Data_SA'!$A:$LO,MATCH(EDATE(O$2,-1),'Data_SA'!$A:$A,0),MATCH($E5,'Data_SA'!$1:$1,0))-1,""))</f>
        <v/>
      </c>
      <c r="R5" s="7">
        <f>IFERROR(INDEX('Data_NSA'!$A:$OK,MATCH(O$2,'Data_NSA'!$A:$A,0),MATCH($D5,'Data_NSA'!$1:$1,0))/INDEX('Data_NSA'!$A:$OK,MATCH(EDATE(O$2,-12),'Data_NSA'!$A:$A,0),MATCH($D5,'Data_NSA'!$1:$1,0))-1,"")</f>
        <v/>
      </c>
      <c r="S5" s="10">
        <f>IFERROR(INDEX('Weights'!$G:$I,MATCH($A5,'Weights'!$A:$A,0),MATCH(O$2,'Weights'!$G$1:$I$1,0)),"")</f>
        <v/>
      </c>
      <c r="T5" s="10">
        <f>IF($E5="","",IFERROR(100*(INDEX('Weights'!$D:$D,MATCH($A5,'Weights'!$A:$A,0))*(INDEX('Data_NSA'!$A:$OK,MATCH(EDATE(O$2,-1),'Data_NSA'!$A:$A,0),MATCH($D5,'Data_NSA'!$1:$1,0))/INDEX('Data_NSA'!$A:$OK,MATCH(INDEX('Weights'!$E:$E,MATCH($A5,'Weights'!$A:$A,0)),'Data_NSA'!$A:$A,0),MATCH($D5,'Data_NSA'!$1:$1,0))))/(100*(INDEX('Data_NSA'!$A:$OK,MATCH(EDATE(O$2,-1),'Data_NSA'!$A:$A,0),MATCH("CUUR0000SA0",'Data_NSA'!$1:$1,0))/INDEX('Data_NSA'!$A:$OK,MATCH(INDEX('Weights'!$E:$E,MATCH($A5,'Weights'!$A:$A,0)),'Data_NSA'!$A:$A,0),MATCH("CUUR0000SA0",'Data_NSA'!$1:$1,0))))*(INDEX('Data_SA'!$A:$LO,MATCH(O$2,'Data_SA'!$A:$A,0),MATCH($E5,'Data_SA'!$1:$1,0))/INDEX('Data_SA'!$A:$LO,MATCH(EDATE(O$2,-1),'Data_SA'!$A:$A,0),MATCH($E5,'Data_SA'!$1:$1,0))-1),""))</f>
        <v/>
      </c>
      <c r="U5" s="10">
        <f>IFERROR(INDEX('Data_NSA'!$A:$OK,MATCH(U$2,'Data_NSA'!$A:$A,0),MATCH($D5,'Data_NSA'!$1:$1,0)),"")</f>
        <v/>
      </c>
      <c r="V5" s="10">
        <f>IF($E5="","",IFERROR(INDEX('Data_SA'!$A:$LO,MATCH(U$2,'Data_SA'!$A:$A,0),MATCH($E5,'Data_SA'!$1:$1,0)),""))</f>
        <v/>
      </c>
      <c r="W5" s="7">
        <f>IF($E5="","",IFERROR(INDEX('Data_SA'!$A:$LO,MATCH(U$2,'Data_SA'!$A:$A,0),MATCH($E5,'Data_SA'!$1:$1,0))/INDEX('Data_SA'!$A:$LO,MATCH(EDATE(U$2,-1),'Data_SA'!$A:$A,0),MATCH($E5,'Data_SA'!$1:$1,0))-1,""))</f>
        <v/>
      </c>
      <c r="X5" s="7">
        <f>IFERROR(INDEX('Data_NSA'!$A:$OK,MATCH(U$2,'Data_NSA'!$A:$A,0),MATCH($D5,'Data_NSA'!$1:$1,0))/INDEX('Data_NSA'!$A:$OK,MATCH(EDATE(U$2,-12),'Data_NSA'!$A:$A,0),MATCH($D5,'Data_NSA'!$1:$1,0))-1,"")</f>
        <v/>
      </c>
      <c r="Y5" s="10">
        <f>IFERROR(INDEX('Weights'!$G:$I,MATCH($A5,'Weights'!$A:$A,0),MATCH(U$2,'Weights'!$G$1:$I$1,0)),"")</f>
        <v/>
      </c>
      <c r="Z5" s="10">
        <f>IF($E5="","",IFERROR(100*(INDEX('Weights'!$D:$D,MATCH($A5,'Weights'!$A:$A,0))*(INDEX('Data_NSA'!$A:$OK,MATCH(EDATE(U$2,-1),'Data_NSA'!$A:$A,0),MATCH($D5,'Data_NSA'!$1:$1,0))/INDEX('Data_NSA'!$A:$OK,MATCH(INDEX('Weights'!$E:$E,MATCH($A5,'Weights'!$A:$A,0)),'Data_NSA'!$A:$A,0),MATCH($D5,'Data_NSA'!$1:$1,0))))/(100*(INDEX('Data_NSA'!$A:$OK,MATCH(EDATE(U$2,-1),'Data_NSA'!$A:$A,0),MATCH("CUUR0000SA0",'Data_NSA'!$1:$1,0))/INDEX('Data_NSA'!$A:$OK,MATCH(INDEX('Weights'!$E:$E,MATCH($A5,'Weights'!$A:$A,0)),'Data_NSA'!$A:$A,0),MATCH("CUUR0000SA0",'Data_NSA'!$1:$1,0))))*(INDEX('Data_SA'!$A:$LO,MATCH(U$2,'Data_SA'!$A:$A,0),MATCH($E5,'Data_SA'!$1:$1,0))/INDEX('Data_SA'!$A:$LO,MATCH(EDATE(U$2,-1),'Data_SA'!$A:$A,0),MATCH($E5,'Data_SA'!$1:$1,0))-1),""))</f>
        <v/>
      </c>
    </row>
    <row r="6">
      <c r="A6" s="3" t="inlineStr">
        <is>
          <t>SAF</t>
        </is>
      </c>
      <c r="B6" s="3" t="inlineStr">
        <is>
          <t>Food and beverages</t>
        </is>
      </c>
      <c r="C6" s="3" t="inlineStr">
        <is>
          <t>SA0</t>
        </is>
      </c>
      <c r="D6" s="3" t="inlineStr">
        <is>
          <t>CUUR0000SAF</t>
        </is>
      </c>
      <c r="E6" s="3" t="inlineStr">
        <is>
          <t>CUSR0000SAF</t>
        </is>
      </c>
      <c r="F6" s="3" t="inlineStr">
        <is>
          <t>aggregate</t>
        </is>
      </c>
      <c r="G6" s="3" t="inlineStr">
        <is>
          <t>aggregate</t>
        </is>
      </c>
      <c r="H6" s="10">
        <f>IFERROR(INDEX(Weights!$D:$D,MATCH($A6,Weights!$A:$A,0)),"")</f>
        <v/>
      </c>
      <c r="I6" s="10">
        <f>IFERROR(INDEX('Data_NSA'!$A:$OK,MATCH(I$2,'Data_NSA'!$A:$A,0),MATCH($D6,'Data_NSA'!$1:$1,0)),"")</f>
        <v/>
      </c>
      <c r="J6" s="10">
        <f>IF($E6="","",IFERROR(INDEX('Data_SA'!$A:$LO,MATCH(I$2,'Data_SA'!$A:$A,0),MATCH($E6,'Data_SA'!$1:$1,0)),""))</f>
        <v/>
      </c>
      <c r="K6" s="7">
        <f>IF($E6="","",IFERROR(INDEX('Data_SA'!$A:$LO,MATCH(I$2,'Data_SA'!$A:$A,0),MATCH($E6,'Data_SA'!$1:$1,0))/INDEX('Data_SA'!$A:$LO,MATCH(EDATE(I$2,-1),'Data_SA'!$A:$A,0),MATCH($E6,'Data_SA'!$1:$1,0))-1,""))</f>
        <v/>
      </c>
      <c r="L6" s="7">
        <f>IFERROR(INDEX('Data_NSA'!$A:$OK,MATCH(I$2,'Data_NSA'!$A:$A,0),MATCH($D6,'Data_NSA'!$1:$1,0))/INDEX('Data_NSA'!$A:$OK,MATCH(EDATE(I$2,-12),'Data_NSA'!$A:$A,0),MATCH($D6,'Data_NSA'!$1:$1,0))-1,"")</f>
        <v/>
      </c>
      <c r="M6" s="10">
        <f>IFERROR(INDEX('Weights'!$G:$I,MATCH($A6,'Weights'!$A:$A,0),MATCH(I$2,'Weights'!$G$1:$I$1,0)),"")</f>
        <v/>
      </c>
      <c r="N6" s="10">
        <f>IF($E6="","",IFERROR(100*(INDEX('Weights'!$D:$D,MATCH($A6,'Weights'!$A:$A,0))*(INDEX('Data_NSA'!$A:$OK,MATCH(EDATE(I$2,-1),'Data_NSA'!$A:$A,0),MATCH($D6,'Data_NSA'!$1:$1,0))/INDEX('Data_NSA'!$A:$OK,MATCH(INDEX('Weights'!$E:$E,MATCH($A6,'Weights'!$A:$A,0)),'Data_NSA'!$A:$A,0),MATCH($D6,'Data_NSA'!$1:$1,0))))/(100*(INDEX('Data_NSA'!$A:$OK,MATCH(EDATE(I$2,-1),'Data_NSA'!$A:$A,0),MATCH("CUUR0000SA0",'Data_NSA'!$1:$1,0))/INDEX('Data_NSA'!$A:$OK,MATCH(INDEX('Weights'!$E:$E,MATCH($A6,'Weights'!$A:$A,0)),'Data_NSA'!$A:$A,0),MATCH("CUUR0000SA0",'Data_NSA'!$1:$1,0))))*(INDEX('Data_SA'!$A:$LO,MATCH(I$2,'Data_SA'!$A:$A,0),MATCH($E6,'Data_SA'!$1:$1,0))/INDEX('Data_SA'!$A:$LO,MATCH(EDATE(I$2,-1),'Data_SA'!$A:$A,0),MATCH($E6,'Data_SA'!$1:$1,0))-1),""))</f>
        <v/>
      </c>
      <c r="O6" s="10">
        <f>IFERROR(INDEX('Data_NSA'!$A:$OK,MATCH(O$2,'Data_NSA'!$A:$A,0),MATCH($D6,'Data_NSA'!$1:$1,0)),"")</f>
        <v/>
      </c>
      <c r="P6" s="10">
        <f>IF($E6="","",IFERROR(INDEX('Data_SA'!$A:$LO,MATCH(O$2,'Data_SA'!$A:$A,0),MATCH($E6,'Data_SA'!$1:$1,0)),""))</f>
        <v/>
      </c>
      <c r="Q6" s="7">
        <f>IF($E6="","",IFERROR(INDEX('Data_SA'!$A:$LO,MATCH(O$2,'Data_SA'!$A:$A,0),MATCH($E6,'Data_SA'!$1:$1,0))/INDEX('Data_SA'!$A:$LO,MATCH(EDATE(O$2,-1),'Data_SA'!$A:$A,0),MATCH($E6,'Data_SA'!$1:$1,0))-1,""))</f>
        <v/>
      </c>
      <c r="R6" s="7">
        <f>IFERROR(INDEX('Data_NSA'!$A:$OK,MATCH(O$2,'Data_NSA'!$A:$A,0),MATCH($D6,'Data_NSA'!$1:$1,0))/INDEX('Data_NSA'!$A:$OK,MATCH(EDATE(O$2,-12),'Data_NSA'!$A:$A,0),MATCH($D6,'Data_NSA'!$1:$1,0))-1,"")</f>
        <v/>
      </c>
      <c r="S6" s="10">
        <f>IFERROR(INDEX('Weights'!$G:$I,MATCH($A6,'Weights'!$A:$A,0),MATCH(O$2,'Weights'!$G$1:$I$1,0)),"")</f>
        <v/>
      </c>
      <c r="T6" s="10">
        <f>IF($E6="","",IFERROR(100*(INDEX('Weights'!$D:$D,MATCH($A6,'Weights'!$A:$A,0))*(INDEX('Data_NSA'!$A:$OK,MATCH(EDATE(O$2,-1),'Data_NSA'!$A:$A,0),MATCH($D6,'Data_NSA'!$1:$1,0))/INDEX('Data_NSA'!$A:$OK,MATCH(INDEX('Weights'!$E:$E,MATCH($A6,'Weights'!$A:$A,0)),'Data_NSA'!$A:$A,0),MATCH($D6,'Data_NSA'!$1:$1,0))))/(100*(INDEX('Data_NSA'!$A:$OK,MATCH(EDATE(O$2,-1),'Data_NSA'!$A:$A,0),MATCH("CUUR0000SA0",'Data_NSA'!$1:$1,0))/INDEX('Data_NSA'!$A:$OK,MATCH(INDEX('Weights'!$E:$E,MATCH($A6,'Weights'!$A:$A,0)),'Data_NSA'!$A:$A,0),MATCH("CUUR0000SA0",'Data_NSA'!$1:$1,0))))*(INDEX('Data_SA'!$A:$LO,MATCH(O$2,'Data_SA'!$A:$A,0),MATCH($E6,'Data_SA'!$1:$1,0))/INDEX('Data_SA'!$A:$LO,MATCH(EDATE(O$2,-1),'Data_SA'!$A:$A,0),MATCH($E6,'Data_SA'!$1:$1,0))-1),""))</f>
        <v/>
      </c>
      <c r="U6" s="10">
        <f>IFERROR(INDEX('Data_NSA'!$A:$OK,MATCH(U$2,'Data_NSA'!$A:$A,0),MATCH($D6,'Data_NSA'!$1:$1,0)),"")</f>
        <v/>
      </c>
      <c r="V6" s="10">
        <f>IF($E6="","",IFERROR(INDEX('Data_SA'!$A:$LO,MATCH(U$2,'Data_SA'!$A:$A,0),MATCH($E6,'Data_SA'!$1:$1,0)),""))</f>
        <v/>
      </c>
      <c r="W6" s="7">
        <f>IF($E6="","",IFERROR(INDEX('Data_SA'!$A:$LO,MATCH(U$2,'Data_SA'!$A:$A,0),MATCH($E6,'Data_SA'!$1:$1,0))/INDEX('Data_SA'!$A:$LO,MATCH(EDATE(U$2,-1),'Data_SA'!$A:$A,0),MATCH($E6,'Data_SA'!$1:$1,0))-1,""))</f>
        <v/>
      </c>
      <c r="X6" s="7">
        <f>IFERROR(INDEX('Data_NSA'!$A:$OK,MATCH(U$2,'Data_NSA'!$A:$A,0),MATCH($D6,'Data_NSA'!$1:$1,0))/INDEX('Data_NSA'!$A:$OK,MATCH(EDATE(U$2,-12),'Data_NSA'!$A:$A,0),MATCH($D6,'Data_NSA'!$1:$1,0))-1,"")</f>
        <v/>
      </c>
      <c r="Y6" s="10">
        <f>IFERROR(INDEX('Weights'!$G:$I,MATCH($A6,'Weights'!$A:$A,0),MATCH(U$2,'Weights'!$G$1:$I$1,0)),"")</f>
        <v/>
      </c>
      <c r="Z6" s="10">
        <f>IF($E6="","",IFERROR(100*(INDEX('Weights'!$D:$D,MATCH($A6,'Weights'!$A:$A,0))*(INDEX('Data_NSA'!$A:$OK,MATCH(EDATE(U$2,-1),'Data_NSA'!$A:$A,0),MATCH($D6,'Data_NSA'!$1:$1,0))/INDEX('Data_NSA'!$A:$OK,MATCH(INDEX('Weights'!$E:$E,MATCH($A6,'Weights'!$A:$A,0)),'Data_NSA'!$A:$A,0),MATCH($D6,'Data_NSA'!$1:$1,0))))/(100*(INDEX('Data_NSA'!$A:$OK,MATCH(EDATE(U$2,-1),'Data_NSA'!$A:$A,0),MATCH("CUUR0000SA0",'Data_NSA'!$1:$1,0))/INDEX('Data_NSA'!$A:$OK,MATCH(INDEX('Weights'!$E:$E,MATCH($A6,'Weights'!$A:$A,0)),'Data_NSA'!$A:$A,0),MATCH("CUUR0000SA0",'Data_NSA'!$1:$1,0))))*(INDEX('Data_SA'!$A:$LO,MATCH(U$2,'Data_SA'!$A:$A,0),MATCH($E6,'Data_SA'!$1:$1,0))/INDEX('Data_SA'!$A:$LO,MATCH(EDATE(U$2,-1),'Data_SA'!$A:$A,0),MATCH($E6,'Data_SA'!$1:$1,0))-1),""))</f>
        <v/>
      </c>
    </row>
    <row r="7">
      <c r="A7" s="3" t="inlineStr">
        <is>
          <t>SAF1</t>
        </is>
      </c>
      <c r="B7" s="3" t="inlineStr">
        <is>
          <t>Food</t>
        </is>
      </c>
      <c r="C7" s="3" t="inlineStr">
        <is>
          <t>SAF</t>
        </is>
      </c>
      <c r="D7" s="3" t="inlineStr">
        <is>
          <t>CUUR0000SAF1</t>
        </is>
      </c>
      <c r="E7" s="3" t="inlineStr">
        <is>
          <t>CUSR0000SAF1</t>
        </is>
      </c>
      <c r="F7" s="3" t="inlineStr">
        <is>
          <t>aggregate</t>
        </is>
      </c>
      <c r="G7" s="3" t="inlineStr">
        <is>
          <t>aggregate</t>
        </is>
      </c>
      <c r="H7" s="10">
        <f>IFERROR(INDEX(Weights!$D:$D,MATCH($A7,Weights!$A:$A,0)),"")</f>
        <v/>
      </c>
      <c r="I7" s="10">
        <f>IFERROR(INDEX('Data_NSA'!$A:$OK,MATCH(I$2,'Data_NSA'!$A:$A,0),MATCH($D7,'Data_NSA'!$1:$1,0)),"")</f>
        <v/>
      </c>
      <c r="J7" s="10">
        <f>IF($E7="","",IFERROR(INDEX('Data_SA'!$A:$LO,MATCH(I$2,'Data_SA'!$A:$A,0),MATCH($E7,'Data_SA'!$1:$1,0)),""))</f>
        <v/>
      </c>
      <c r="K7" s="7">
        <f>IF($E7="","",IFERROR(INDEX('Data_SA'!$A:$LO,MATCH(I$2,'Data_SA'!$A:$A,0),MATCH($E7,'Data_SA'!$1:$1,0))/INDEX('Data_SA'!$A:$LO,MATCH(EDATE(I$2,-1),'Data_SA'!$A:$A,0),MATCH($E7,'Data_SA'!$1:$1,0))-1,""))</f>
        <v/>
      </c>
      <c r="L7" s="7">
        <f>IFERROR(INDEX('Data_NSA'!$A:$OK,MATCH(I$2,'Data_NSA'!$A:$A,0),MATCH($D7,'Data_NSA'!$1:$1,0))/INDEX('Data_NSA'!$A:$OK,MATCH(EDATE(I$2,-12),'Data_NSA'!$A:$A,0),MATCH($D7,'Data_NSA'!$1:$1,0))-1,"")</f>
        <v/>
      </c>
      <c r="M7" s="10">
        <f>IFERROR(INDEX('Weights'!$G:$I,MATCH($A7,'Weights'!$A:$A,0),MATCH(I$2,'Weights'!$G$1:$I$1,0)),"")</f>
        <v/>
      </c>
      <c r="N7" s="10">
        <f>IF($E7="","",IFERROR(100*(INDEX('Weights'!$D:$D,MATCH($A7,'Weights'!$A:$A,0))*(INDEX('Data_NSA'!$A:$OK,MATCH(EDATE(I$2,-1),'Data_NSA'!$A:$A,0),MATCH($D7,'Data_NSA'!$1:$1,0))/INDEX('Data_NSA'!$A:$OK,MATCH(INDEX('Weights'!$E:$E,MATCH($A7,'Weights'!$A:$A,0)),'Data_NSA'!$A:$A,0),MATCH($D7,'Data_NSA'!$1:$1,0))))/(100*(INDEX('Data_NSA'!$A:$OK,MATCH(EDATE(I$2,-1),'Data_NSA'!$A:$A,0),MATCH("CUUR0000SA0",'Data_NSA'!$1:$1,0))/INDEX('Data_NSA'!$A:$OK,MATCH(INDEX('Weights'!$E:$E,MATCH($A7,'Weights'!$A:$A,0)),'Data_NSA'!$A:$A,0),MATCH("CUUR0000SA0",'Data_NSA'!$1:$1,0))))*(INDEX('Data_SA'!$A:$LO,MATCH(I$2,'Data_SA'!$A:$A,0),MATCH($E7,'Data_SA'!$1:$1,0))/INDEX('Data_SA'!$A:$LO,MATCH(EDATE(I$2,-1),'Data_SA'!$A:$A,0),MATCH($E7,'Data_SA'!$1:$1,0))-1),""))</f>
        <v/>
      </c>
      <c r="O7" s="10">
        <f>IFERROR(INDEX('Data_NSA'!$A:$OK,MATCH(O$2,'Data_NSA'!$A:$A,0),MATCH($D7,'Data_NSA'!$1:$1,0)),"")</f>
        <v/>
      </c>
      <c r="P7" s="10">
        <f>IF($E7="","",IFERROR(INDEX('Data_SA'!$A:$LO,MATCH(O$2,'Data_SA'!$A:$A,0),MATCH($E7,'Data_SA'!$1:$1,0)),""))</f>
        <v/>
      </c>
      <c r="Q7" s="7">
        <f>IF($E7="","",IFERROR(INDEX('Data_SA'!$A:$LO,MATCH(O$2,'Data_SA'!$A:$A,0),MATCH($E7,'Data_SA'!$1:$1,0))/INDEX('Data_SA'!$A:$LO,MATCH(EDATE(O$2,-1),'Data_SA'!$A:$A,0),MATCH($E7,'Data_SA'!$1:$1,0))-1,""))</f>
        <v/>
      </c>
      <c r="R7" s="7">
        <f>IFERROR(INDEX('Data_NSA'!$A:$OK,MATCH(O$2,'Data_NSA'!$A:$A,0),MATCH($D7,'Data_NSA'!$1:$1,0))/INDEX('Data_NSA'!$A:$OK,MATCH(EDATE(O$2,-12),'Data_NSA'!$A:$A,0),MATCH($D7,'Data_NSA'!$1:$1,0))-1,"")</f>
        <v/>
      </c>
      <c r="S7" s="10">
        <f>IFERROR(INDEX('Weights'!$G:$I,MATCH($A7,'Weights'!$A:$A,0),MATCH(O$2,'Weights'!$G$1:$I$1,0)),"")</f>
        <v/>
      </c>
      <c r="T7" s="10">
        <f>IF($E7="","",IFERROR(100*(INDEX('Weights'!$D:$D,MATCH($A7,'Weights'!$A:$A,0))*(INDEX('Data_NSA'!$A:$OK,MATCH(EDATE(O$2,-1),'Data_NSA'!$A:$A,0),MATCH($D7,'Data_NSA'!$1:$1,0))/INDEX('Data_NSA'!$A:$OK,MATCH(INDEX('Weights'!$E:$E,MATCH($A7,'Weights'!$A:$A,0)),'Data_NSA'!$A:$A,0),MATCH($D7,'Data_NSA'!$1:$1,0))))/(100*(INDEX('Data_NSA'!$A:$OK,MATCH(EDATE(O$2,-1),'Data_NSA'!$A:$A,0),MATCH("CUUR0000SA0",'Data_NSA'!$1:$1,0))/INDEX('Data_NSA'!$A:$OK,MATCH(INDEX('Weights'!$E:$E,MATCH($A7,'Weights'!$A:$A,0)),'Data_NSA'!$A:$A,0),MATCH("CUUR0000SA0",'Data_NSA'!$1:$1,0))))*(INDEX('Data_SA'!$A:$LO,MATCH(O$2,'Data_SA'!$A:$A,0),MATCH($E7,'Data_SA'!$1:$1,0))/INDEX('Data_SA'!$A:$LO,MATCH(EDATE(O$2,-1),'Data_SA'!$A:$A,0),MATCH($E7,'Data_SA'!$1:$1,0))-1),""))</f>
        <v/>
      </c>
      <c r="U7" s="10">
        <f>IFERROR(INDEX('Data_NSA'!$A:$OK,MATCH(U$2,'Data_NSA'!$A:$A,0),MATCH($D7,'Data_NSA'!$1:$1,0)),"")</f>
        <v/>
      </c>
      <c r="V7" s="10">
        <f>IF($E7="","",IFERROR(INDEX('Data_SA'!$A:$LO,MATCH(U$2,'Data_SA'!$A:$A,0),MATCH($E7,'Data_SA'!$1:$1,0)),""))</f>
        <v/>
      </c>
      <c r="W7" s="7">
        <f>IF($E7="","",IFERROR(INDEX('Data_SA'!$A:$LO,MATCH(U$2,'Data_SA'!$A:$A,0),MATCH($E7,'Data_SA'!$1:$1,0))/INDEX('Data_SA'!$A:$LO,MATCH(EDATE(U$2,-1),'Data_SA'!$A:$A,0),MATCH($E7,'Data_SA'!$1:$1,0))-1,""))</f>
        <v/>
      </c>
      <c r="X7" s="7">
        <f>IFERROR(INDEX('Data_NSA'!$A:$OK,MATCH(U$2,'Data_NSA'!$A:$A,0),MATCH($D7,'Data_NSA'!$1:$1,0))/INDEX('Data_NSA'!$A:$OK,MATCH(EDATE(U$2,-12),'Data_NSA'!$A:$A,0),MATCH($D7,'Data_NSA'!$1:$1,0))-1,"")</f>
        <v/>
      </c>
      <c r="Y7" s="10">
        <f>IFERROR(INDEX('Weights'!$G:$I,MATCH($A7,'Weights'!$A:$A,0),MATCH(U$2,'Weights'!$G$1:$I$1,0)),"")</f>
        <v/>
      </c>
      <c r="Z7" s="10">
        <f>IF($E7="","",IFERROR(100*(INDEX('Weights'!$D:$D,MATCH($A7,'Weights'!$A:$A,0))*(INDEX('Data_NSA'!$A:$OK,MATCH(EDATE(U$2,-1),'Data_NSA'!$A:$A,0),MATCH($D7,'Data_NSA'!$1:$1,0))/INDEX('Data_NSA'!$A:$OK,MATCH(INDEX('Weights'!$E:$E,MATCH($A7,'Weights'!$A:$A,0)),'Data_NSA'!$A:$A,0),MATCH($D7,'Data_NSA'!$1:$1,0))))/(100*(INDEX('Data_NSA'!$A:$OK,MATCH(EDATE(U$2,-1),'Data_NSA'!$A:$A,0),MATCH("CUUR0000SA0",'Data_NSA'!$1:$1,0))/INDEX('Data_NSA'!$A:$OK,MATCH(INDEX('Weights'!$E:$E,MATCH($A7,'Weights'!$A:$A,0)),'Data_NSA'!$A:$A,0),MATCH("CUUR0000SA0",'Data_NSA'!$1:$1,0))))*(INDEX('Data_SA'!$A:$LO,MATCH(U$2,'Data_SA'!$A:$A,0),MATCH($E7,'Data_SA'!$1:$1,0))/INDEX('Data_SA'!$A:$LO,MATCH(EDATE(U$2,-1),'Data_SA'!$A:$A,0),MATCH($E7,'Data_SA'!$1:$1,0))-1),""))</f>
        <v/>
      </c>
    </row>
    <row r="8">
      <c r="A8" s="3" t="inlineStr">
        <is>
          <t>SAF11</t>
        </is>
      </c>
      <c r="B8" s="3" t="inlineStr">
        <is>
          <t>Food at home</t>
        </is>
      </c>
      <c r="C8" s="3" t="inlineStr">
        <is>
          <t>SAF1</t>
        </is>
      </c>
      <c r="D8" s="3" t="inlineStr">
        <is>
          <t>CUUR0000SAF11</t>
        </is>
      </c>
      <c r="E8" s="3" t="inlineStr">
        <is>
          <t>CUSR0000SAF11</t>
        </is>
      </c>
      <c r="F8" s="3" t="inlineStr">
        <is>
          <t>GM</t>
        </is>
      </c>
      <c r="G8" s="3" t="inlineStr">
        <is>
          <t>direct collection; monthly in all areas</t>
        </is>
      </c>
      <c r="H8" s="10">
        <f>IFERROR(INDEX(Weights!$D:$D,MATCH($A8,Weights!$A:$A,0)),"")</f>
        <v/>
      </c>
      <c r="I8" s="10">
        <f>IFERROR(INDEX('Data_NSA'!$A:$OK,MATCH(I$2,'Data_NSA'!$A:$A,0),MATCH($D8,'Data_NSA'!$1:$1,0)),"")</f>
        <v/>
      </c>
      <c r="J8" s="10">
        <f>IF($E8="","",IFERROR(INDEX('Data_SA'!$A:$LO,MATCH(I$2,'Data_SA'!$A:$A,0),MATCH($E8,'Data_SA'!$1:$1,0)),""))</f>
        <v/>
      </c>
      <c r="K8" s="7">
        <f>IF($E8="","",IFERROR(INDEX('Data_SA'!$A:$LO,MATCH(I$2,'Data_SA'!$A:$A,0),MATCH($E8,'Data_SA'!$1:$1,0))/INDEX('Data_SA'!$A:$LO,MATCH(EDATE(I$2,-1),'Data_SA'!$A:$A,0),MATCH($E8,'Data_SA'!$1:$1,0))-1,""))</f>
        <v/>
      </c>
      <c r="L8" s="7">
        <f>IFERROR(INDEX('Data_NSA'!$A:$OK,MATCH(I$2,'Data_NSA'!$A:$A,0),MATCH($D8,'Data_NSA'!$1:$1,0))/INDEX('Data_NSA'!$A:$OK,MATCH(EDATE(I$2,-12),'Data_NSA'!$A:$A,0),MATCH($D8,'Data_NSA'!$1:$1,0))-1,"")</f>
        <v/>
      </c>
      <c r="M8" s="10">
        <f>IFERROR(INDEX('Weights'!$G:$I,MATCH($A8,'Weights'!$A:$A,0),MATCH(I$2,'Weights'!$G$1:$I$1,0)),"")</f>
        <v/>
      </c>
      <c r="N8" s="10">
        <f>IF($E8="","",IFERROR(100*(INDEX('Weights'!$D:$D,MATCH($A8,'Weights'!$A:$A,0))*(INDEX('Data_NSA'!$A:$OK,MATCH(EDATE(I$2,-1),'Data_NSA'!$A:$A,0),MATCH($D8,'Data_NSA'!$1:$1,0))/INDEX('Data_NSA'!$A:$OK,MATCH(INDEX('Weights'!$E:$E,MATCH($A8,'Weights'!$A:$A,0)),'Data_NSA'!$A:$A,0),MATCH($D8,'Data_NSA'!$1:$1,0))))/(100*(INDEX('Data_NSA'!$A:$OK,MATCH(EDATE(I$2,-1),'Data_NSA'!$A:$A,0),MATCH("CUUR0000SA0",'Data_NSA'!$1:$1,0))/INDEX('Data_NSA'!$A:$OK,MATCH(INDEX('Weights'!$E:$E,MATCH($A8,'Weights'!$A:$A,0)),'Data_NSA'!$A:$A,0),MATCH("CUUR0000SA0",'Data_NSA'!$1:$1,0))))*(INDEX('Data_SA'!$A:$LO,MATCH(I$2,'Data_SA'!$A:$A,0),MATCH($E8,'Data_SA'!$1:$1,0))/INDEX('Data_SA'!$A:$LO,MATCH(EDATE(I$2,-1),'Data_SA'!$A:$A,0),MATCH($E8,'Data_SA'!$1:$1,0))-1),""))</f>
        <v/>
      </c>
      <c r="O8" s="10">
        <f>IFERROR(INDEX('Data_NSA'!$A:$OK,MATCH(O$2,'Data_NSA'!$A:$A,0),MATCH($D8,'Data_NSA'!$1:$1,0)),"")</f>
        <v/>
      </c>
      <c r="P8" s="10">
        <f>IF($E8="","",IFERROR(INDEX('Data_SA'!$A:$LO,MATCH(O$2,'Data_SA'!$A:$A,0),MATCH($E8,'Data_SA'!$1:$1,0)),""))</f>
        <v/>
      </c>
      <c r="Q8" s="7">
        <f>IF($E8="","",IFERROR(INDEX('Data_SA'!$A:$LO,MATCH(O$2,'Data_SA'!$A:$A,0),MATCH($E8,'Data_SA'!$1:$1,0))/INDEX('Data_SA'!$A:$LO,MATCH(EDATE(O$2,-1),'Data_SA'!$A:$A,0),MATCH($E8,'Data_SA'!$1:$1,0))-1,""))</f>
        <v/>
      </c>
      <c r="R8" s="7">
        <f>IFERROR(INDEX('Data_NSA'!$A:$OK,MATCH(O$2,'Data_NSA'!$A:$A,0),MATCH($D8,'Data_NSA'!$1:$1,0))/INDEX('Data_NSA'!$A:$OK,MATCH(EDATE(O$2,-12),'Data_NSA'!$A:$A,0),MATCH($D8,'Data_NSA'!$1:$1,0))-1,"")</f>
        <v/>
      </c>
      <c r="S8" s="10">
        <f>IFERROR(INDEX('Weights'!$G:$I,MATCH($A8,'Weights'!$A:$A,0),MATCH(O$2,'Weights'!$G$1:$I$1,0)),"")</f>
        <v/>
      </c>
      <c r="T8" s="10">
        <f>IF($E8="","",IFERROR(100*(INDEX('Weights'!$D:$D,MATCH($A8,'Weights'!$A:$A,0))*(INDEX('Data_NSA'!$A:$OK,MATCH(EDATE(O$2,-1),'Data_NSA'!$A:$A,0),MATCH($D8,'Data_NSA'!$1:$1,0))/INDEX('Data_NSA'!$A:$OK,MATCH(INDEX('Weights'!$E:$E,MATCH($A8,'Weights'!$A:$A,0)),'Data_NSA'!$A:$A,0),MATCH($D8,'Data_NSA'!$1:$1,0))))/(100*(INDEX('Data_NSA'!$A:$OK,MATCH(EDATE(O$2,-1),'Data_NSA'!$A:$A,0),MATCH("CUUR0000SA0",'Data_NSA'!$1:$1,0))/INDEX('Data_NSA'!$A:$OK,MATCH(INDEX('Weights'!$E:$E,MATCH($A8,'Weights'!$A:$A,0)),'Data_NSA'!$A:$A,0),MATCH("CUUR0000SA0",'Data_NSA'!$1:$1,0))))*(INDEX('Data_SA'!$A:$LO,MATCH(O$2,'Data_SA'!$A:$A,0),MATCH($E8,'Data_SA'!$1:$1,0))/INDEX('Data_SA'!$A:$LO,MATCH(EDATE(O$2,-1),'Data_SA'!$A:$A,0),MATCH($E8,'Data_SA'!$1:$1,0))-1),""))</f>
        <v/>
      </c>
      <c r="U8" s="10">
        <f>IFERROR(INDEX('Data_NSA'!$A:$OK,MATCH(U$2,'Data_NSA'!$A:$A,0),MATCH($D8,'Data_NSA'!$1:$1,0)),"")</f>
        <v/>
      </c>
      <c r="V8" s="10">
        <f>IF($E8="","",IFERROR(INDEX('Data_SA'!$A:$LO,MATCH(U$2,'Data_SA'!$A:$A,0),MATCH($E8,'Data_SA'!$1:$1,0)),""))</f>
        <v/>
      </c>
      <c r="W8" s="7">
        <f>IF($E8="","",IFERROR(INDEX('Data_SA'!$A:$LO,MATCH(U$2,'Data_SA'!$A:$A,0),MATCH($E8,'Data_SA'!$1:$1,0))/INDEX('Data_SA'!$A:$LO,MATCH(EDATE(U$2,-1),'Data_SA'!$A:$A,0),MATCH($E8,'Data_SA'!$1:$1,0))-1,""))</f>
        <v/>
      </c>
      <c r="X8" s="7">
        <f>IFERROR(INDEX('Data_NSA'!$A:$OK,MATCH(U$2,'Data_NSA'!$A:$A,0),MATCH($D8,'Data_NSA'!$1:$1,0))/INDEX('Data_NSA'!$A:$OK,MATCH(EDATE(U$2,-12),'Data_NSA'!$A:$A,0),MATCH($D8,'Data_NSA'!$1:$1,0))-1,"")</f>
        <v/>
      </c>
      <c r="Y8" s="10">
        <f>IFERROR(INDEX('Weights'!$G:$I,MATCH($A8,'Weights'!$A:$A,0),MATCH(U$2,'Weights'!$G$1:$I$1,0)),"")</f>
        <v/>
      </c>
      <c r="Z8" s="10">
        <f>IF($E8="","",IFERROR(100*(INDEX('Weights'!$D:$D,MATCH($A8,'Weights'!$A:$A,0))*(INDEX('Data_NSA'!$A:$OK,MATCH(EDATE(U$2,-1),'Data_NSA'!$A:$A,0),MATCH($D8,'Data_NSA'!$1:$1,0))/INDEX('Data_NSA'!$A:$OK,MATCH(INDEX('Weights'!$E:$E,MATCH($A8,'Weights'!$A:$A,0)),'Data_NSA'!$A:$A,0),MATCH($D8,'Data_NSA'!$1:$1,0))))/(100*(INDEX('Data_NSA'!$A:$OK,MATCH(EDATE(U$2,-1),'Data_NSA'!$A:$A,0),MATCH("CUUR0000SA0",'Data_NSA'!$1:$1,0))/INDEX('Data_NSA'!$A:$OK,MATCH(INDEX('Weights'!$E:$E,MATCH($A8,'Weights'!$A:$A,0)),'Data_NSA'!$A:$A,0),MATCH("CUUR0000SA0",'Data_NSA'!$1:$1,0))))*(INDEX('Data_SA'!$A:$LO,MATCH(U$2,'Data_SA'!$A:$A,0),MATCH($E8,'Data_SA'!$1:$1,0))/INDEX('Data_SA'!$A:$LO,MATCH(EDATE(U$2,-1),'Data_SA'!$A:$A,0),MATCH($E8,'Data_SA'!$1:$1,0))-1),""))</f>
        <v/>
      </c>
    </row>
    <row r="9">
      <c r="A9" s="3" t="inlineStr">
        <is>
          <t>SAF111</t>
        </is>
      </c>
      <c r="B9" s="3" t="inlineStr">
        <is>
          <t>Cereals and bakery products</t>
        </is>
      </c>
      <c r="C9" s="3" t="inlineStr">
        <is>
          <t>SAF11</t>
        </is>
      </c>
      <c r="D9" s="3" t="inlineStr">
        <is>
          <t>CUUR0000SAF111</t>
        </is>
      </c>
      <c r="E9" s="3" t="inlineStr">
        <is>
          <t>CUSR0000SAF111</t>
        </is>
      </c>
      <c r="F9" s="3" t="inlineStr">
        <is>
          <t>GM</t>
        </is>
      </c>
      <c r="G9" s="3" t="inlineStr">
        <is>
          <t>monthly</t>
        </is>
      </c>
      <c r="H9" s="10">
        <f>IFERROR(INDEX(Weights!$D:$D,MATCH($A9,Weights!$A:$A,0)),"")</f>
        <v/>
      </c>
      <c r="I9" s="10">
        <f>IFERROR(INDEX('Data_NSA'!$A:$OK,MATCH(I$2,'Data_NSA'!$A:$A,0),MATCH($D9,'Data_NSA'!$1:$1,0)),"")</f>
        <v/>
      </c>
      <c r="J9" s="10">
        <f>IF($E9="","",IFERROR(INDEX('Data_SA'!$A:$LO,MATCH(I$2,'Data_SA'!$A:$A,0),MATCH($E9,'Data_SA'!$1:$1,0)),""))</f>
        <v/>
      </c>
      <c r="K9" s="7">
        <f>IF($E9="","",IFERROR(INDEX('Data_SA'!$A:$LO,MATCH(I$2,'Data_SA'!$A:$A,0),MATCH($E9,'Data_SA'!$1:$1,0))/INDEX('Data_SA'!$A:$LO,MATCH(EDATE(I$2,-1),'Data_SA'!$A:$A,0),MATCH($E9,'Data_SA'!$1:$1,0))-1,""))</f>
        <v/>
      </c>
      <c r="L9" s="7">
        <f>IFERROR(INDEX('Data_NSA'!$A:$OK,MATCH(I$2,'Data_NSA'!$A:$A,0),MATCH($D9,'Data_NSA'!$1:$1,0))/INDEX('Data_NSA'!$A:$OK,MATCH(EDATE(I$2,-12),'Data_NSA'!$A:$A,0),MATCH($D9,'Data_NSA'!$1:$1,0))-1,"")</f>
        <v/>
      </c>
      <c r="M9" s="10">
        <f>IFERROR(INDEX('Weights'!$G:$I,MATCH($A9,'Weights'!$A:$A,0),MATCH(I$2,'Weights'!$G$1:$I$1,0)),"")</f>
        <v/>
      </c>
      <c r="N9" s="10">
        <f>IF($E9="","",IFERROR(100*(INDEX('Weights'!$D:$D,MATCH($A9,'Weights'!$A:$A,0))*(INDEX('Data_NSA'!$A:$OK,MATCH(EDATE(I$2,-1),'Data_NSA'!$A:$A,0),MATCH($D9,'Data_NSA'!$1:$1,0))/INDEX('Data_NSA'!$A:$OK,MATCH(INDEX('Weights'!$E:$E,MATCH($A9,'Weights'!$A:$A,0)),'Data_NSA'!$A:$A,0),MATCH($D9,'Data_NSA'!$1:$1,0))))/(100*(INDEX('Data_NSA'!$A:$OK,MATCH(EDATE(I$2,-1),'Data_NSA'!$A:$A,0),MATCH("CUUR0000SA0",'Data_NSA'!$1:$1,0))/INDEX('Data_NSA'!$A:$OK,MATCH(INDEX('Weights'!$E:$E,MATCH($A9,'Weights'!$A:$A,0)),'Data_NSA'!$A:$A,0),MATCH("CUUR0000SA0",'Data_NSA'!$1:$1,0))))*(INDEX('Data_SA'!$A:$LO,MATCH(I$2,'Data_SA'!$A:$A,0),MATCH($E9,'Data_SA'!$1:$1,0))/INDEX('Data_SA'!$A:$LO,MATCH(EDATE(I$2,-1),'Data_SA'!$A:$A,0),MATCH($E9,'Data_SA'!$1:$1,0))-1),""))</f>
        <v/>
      </c>
      <c r="O9" s="10">
        <f>IFERROR(INDEX('Data_NSA'!$A:$OK,MATCH(O$2,'Data_NSA'!$A:$A,0),MATCH($D9,'Data_NSA'!$1:$1,0)),"")</f>
        <v/>
      </c>
      <c r="P9" s="10">
        <f>IF($E9="","",IFERROR(INDEX('Data_SA'!$A:$LO,MATCH(O$2,'Data_SA'!$A:$A,0),MATCH($E9,'Data_SA'!$1:$1,0)),""))</f>
        <v/>
      </c>
      <c r="Q9" s="7">
        <f>IF($E9="","",IFERROR(INDEX('Data_SA'!$A:$LO,MATCH(O$2,'Data_SA'!$A:$A,0),MATCH($E9,'Data_SA'!$1:$1,0))/INDEX('Data_SA'!$A:$LO,MATCH(EDATE(O$2,-1),'Data_SA'!$A:$A,0),MATCH($E9,'Data_SA'!$1:$1,0))-1,""))</f>
        <v/>
      </c>
      <c r="R9" s="7">
        <f>IFERROR(INDEX('Data_NSA'!$A:$OK,MATCH(O$2,'Data_NSA'!$A:$A,0),MATCH($D9,'Data_NSA'!$1:$1,0))/INDEX('Data_NSA'!$A:$OK,MATCH(EDATE(O$2,-12),'Data_NSA'!$A:$A,0),MATCH($D9,'Data_NSA'!$1:$1,0))-1,"")</f>
        <v/>
      </c>
      <c r="S9" s="10">
        <f>IFERROR(INDEX('Weights'!$G:$I,MATCH($A9,'Weights'!$A:$A,0),MATCH(O$2,'Weights'!$G$1:$I$1,0)),"")</f>
        <v/>
      </c>
      <c r="T9" s="10">
        <f>IF($E9="","",IFERROR(100*(INDEX('Weights'!$D:$D,MATCH($A9,'Weights'!$A:$A,0))*(INDEX('Data_NSA'!$A:$OK,MATCH(EDATE(O$2,-1),'Data_NSA'!$A:$A,0),MATCH($D9,'Data_NSA'!$1:$1,0))/INDEX('Data_NSA'!$A:$OK,MATCH(INDEX('Weights'!$E:$E,MATCH($A9,'Weights'!$A:$A,0)),'Data_NSA'!$A:$A,0),MATCH($D9,'Data_NSA'!$1:$1,0))))/(100*(INDEX('Data_NSA'!$A:$OK,MATCH(EDATE(O$2,-1),'Data_NSA'!$A:$A,0),MATCH("CUUR0000SA0",'Data_NSA'!$1:$1,0))/INDEX('Data_NSA'!$A:$OK,MATCH(INDEX('Weights'!$E:$E,MATCH($A9,'Weights'!$A:$A,0)),'Data_NSA'!$A:$A,0),MATCH("CUUR0000SA0",'Data_NSA'!$1:$1,0))))*(INDEX('Data_SA'!$A:$LO,MATCH(O$2,'Data_SA'!$A:$A,0),MATCH($E9,'Data_SA'!$1:$1,0))/INDEX('Data_SA'!$A:$LO,MATCH(EDATE(O$2,-1),'Data_SA'!$A:$A,0),MATCH($E9,'Data_SA'!$1:$1,0))-1),""))</f>
        <v/>
      </c>
      <c r="U9" s="10">
        <f>IFERROR(INDEX('Data_NSA'!$A:$OK,MATCH(U$2,'Data_NSA'!$A:$A,0),MATCH($D9,'Data_NSA'!$1:$1,0)),"")</f>
        <v/>
      </c>
      <c r="V9" s="10">
        <f>IF($E9="","",IFERROR(INDEX('Data_SA'!$A:$LO,MATCH(U$2,'Data_SA'!$A:$A,0),MATCH($E9,'Data_SA'!$1:$1,0)),""))</f>
        <v/>
      </c>
      <c r="W9" s="7">
        <f>IF($E9="","",IFERROR(INDEX('Data_SA'!$A:$LO,MATCH(U$2,'Data_SA'!$A:$A,0),MATCH($E9,'Data_SA'!$1:$1,0))/INDEX('Data_SA'!$A:$LO,MATCH(EDATE(U$2,-1),'Data_SA'!$A:$A,0),MATCH($E9,'Data_SA'!$1:$1,0))-1,""))</f>
        <v/>
      </c>
      <c r="X9" s="7">
        <f>IFERROR(INDEX('Data_NSA'!$A:$OK,MATCH(U$2,'Data_NSA'!$A:$A,0),MATCH($D9,'Data_NSA'!$1:$1,0))/INDEX('Data_NSA'!$A:$OK,MATCH(EDATE(U$2,-12),'Data_NSA'!$A:$A,0),MATCH($D9,'Data_NSA'!$1:$1,0))-1,"")</f>
        <v/>
      </c>
      <c r="Y9" s="10">
        <f>IFERROR(INDEX('Weights'!$G:$I,MATCH($A9,'Weights'!$A:$A,0),MATCH(U$2,'Weights'!$G$1:$I$1,0)),"")</f>
        <v/>
      </c>
      <c r="Z9" s="10">
        <f>IF($E9="","",IFERROR(100*(INDEX('Weights'!$D:$D,MATCH($A9,'Weights'!$A:$A,0))*(INDEX('Data_NSA'!$A:$OK,MATCH(EDATE(U$2,-1),'Data_NSA'!$A:$A,0),MATCH($D9,'Data_NSA'!$1:$1,0))/INDEX('Data_NSA'!$A:$OK,MATCH(INDEX('Weights'!$E:$E,MATCH($A9,'Weights'!$A:$A,0)),'Data_NSA'!$A:$A,0),MATCH($D9,'Data_NSA'!$1:$1,0))))/(100*(INDEX('Data_NSA'!$A:$OK,MATCH(EDATE(U$2,-1),'Data_NSA'!$A:$A,0),MATCH("CUUR0000SA0",'Data_NSA'!$1:$1,0))/INDEX('Data_NSA'!$A:$OK,MATCH(INDEX('Weights'!$E:$E,MATCH($A9,'Weights'!$A:$A,0)),'Data_NSA'!$A:$A,0),MATCH("CUUR0000SA0",'Data_NSA'!$1:$1,0))))*(INDEX('Data_SA'!$A:$LO,MATCH(U$2,'Data_SA'!$A:$A,0),MATCH($E9,'Data_SA'!$1:$1,0))/INDEX('Data_SA'!$A:$LO,MATCH(EDATE(U$2,-1),'Data_SA'!$A:$A,0),MATCH($E9,'Data_SA'!$1:$1,0))-1),""))</f>
        <v/>
      </c>
    </row>
    <row r="10">
      <c r="A10" s="3" t="inlineStr">
        <is>
          <t>SEFA</t>
        </is>
      </c>
      <c r="B10" s="3" t="inlineStr">
        <is>
          <t>Cereals and cereal products</t>
        </is>
      </c>
      <c r="C10" s="3" t="inlineStr">
        <is>
          <t>SAF111</t>
        </is>
      </c>
      <c r="D10" s="3" t="inlineStr">
        <is>
          <t>CUUR0000SEFA</t>
        </is>
      </c>
      <c r="E10" s="3" t="inlineStr">
        <is>
          <t>CUSR0000SEFA</t>
        </is>
      </c>
      <c r="F10" s="3" t="inlineStr">
        <is>
          <t>aggregate</t>
        </is>
      </c>
      <c r="G10" s="3" t="inlineStr">
        <is>
          <t>aggregate</t>
        </is>
      </c>
      <c r="H10" s="10">
        <f>IFERROR(INDEX(Weights!$D:$D,MATCH($A10,Weights!$A:$A,0)),"")</f>
        <v/>
      </c>
      <c r="I10" s="10">
        <f>IFERROR(INDEX('Data_NSA'!$A:$OK,MATCH(I$2,'Data_NSA'!$A:$A,0),MATCH($D10,'Data_NSA'!$1:$1,0)),"")</f>
        <v/>
      </c>
      <c r="J10" s="10">
        <f>IF($E10="","",IFERROR(INDEX('Data_SA'!$A:$LO,MATCH(I$2,'Data_SA'!$A:$A,0),MATCH($E10,'Data_SA'!$1:$1,0)),""))</f>
        <v/>
      </c>
      <c r="K10" s="7">
        <f>IF($E10="","",IFERROR(INDEX('Data_SA'!$A:$LO,MATCH(I$2,'Data_SA'!$A:$A,0),MATCH($E10,'Data_SA'!$1:$1,0))/INDEX('Data_SA'!$A:$LO,MATCH(EDATE(I$2,-1),'Data_SA'!$A:$A,0),MATCH($E10,'Data_SA'!$1:$1,0))-1,""))</f>
        <v/>
      </c>
      <c r="L10" s="7">
        <f>IFERROR(INDEX('Data_NSA'!$A:$OK,MATCH(I$2,'Data_NSA'!$A:$A,0),MATCH($D10,'Data_NSA'!$1:$1,0))/INDEX('Data_NSA'!$A:$OK,MATCH(EDATE(I$2,-12),'Data_NSA'!$A:$A,0),MATCH($D10,'Data_NSA'!$1:$1,0))-1,"")</f>
        <v/>
      </c>
      <c r="M10" s="10">
        <f>IFERROR(INDEX('Weights'!$G:$I,MATCH($A10,'Weights'!$A:$A,0),MATCH(I$2,'Weights'!$G$1:$I$1,0)),"")</f>
        <v/>
      </c>
      <c r="N10" s="10">
        <f>IF($E10="","",IFERROR(100*(INDEX('Weights'!$D:$D,MATCH($A10,'Weights'!$A:$A,0))*(INDEX('Data_NSA'!$A:$OK,MATCH(EDATE(I$2,-1),'Data_NSA'!$A:$A,0),MATCH($D10,'Data_NSA'!$1:$1,0))/INDEX('Data_NSA'!$A:$OK,MATCH(INDEX('Weights'!$E:$E,MATCH($A10,'Weights'!$A:$A,0)),'Data_NSA'!$A:$A,0),MATCH($D10,'Data_NSA'!$1:$1,0))))/(100*(INDEX('Data_NSA'!$A:$OK,MATCH(EDATE(I$2,-1),'Data_NSA'!$A:$A,0),MATCH("CUUR0000SA0",'Data_NSA'!$1:$1,0))/INDEX('Data_NSA'!$A:$OK,MATCH(INDEX('Weights'!$E:$E,MATCH($A10,'Weights'!$A:$A,0)),'Data_NSA'!$A:$A,0),MATCH("CUUR0000SA0",'Data_NSA'!$1:$1,0))))*(INDEX('Data_SA'!$A:$LO,MATCH(I$2,'Data_SA'!$A:$A,0),MATCH($E10,'Data_SA'!$1:$1,0))/INDEX('Data_SA'!$A:$LO,MATCH(EDATE(I$2,-1),'Data_SA'!$A:$A,0),MATCH($E10,'Data_SA'!$1:$1,0))-1),""))</f>
        <v/>
      </c>
      <c r="O10" s="10">
        <f>IFERROR(INDEX('Data_NSA'!$A:$OK,MATCH(O$2,'Data_NSA'!$A:$A,0),MATCH($D10,'Data_NSA'!$1:$1,0)),"")</f>
        <v/>
      </c>
      <c r="P10" s="10">
        <f>IF($E10="","",IFERROR(INDEX('Data_SA'!$A:$LO,MATCH(O$2,'Data_SA'!$A:$A,0),MATCH($E10,'Data_SA'!$1:$1,0)),""))</f>
        <v/>
      </c>
      <c r="Q10" s="7">
        <f>IF($E10="","",IFERROR(INDEX('Data_SA'!$A:$LO,MATCH(O$2,'Data_SA'!$A:$A,0),MATCH($E10,'Data_SA'!$1:$1,0))/INDEX('Data_SA'!$A:$LO,MATCH(EDATE(O$2,-1),'Data_SA'!$A:$A,0),MATCH($E10,'Data_SA'!$1:$1,0))-1,""))</f>
        <v/>
      </c>
      <c r="R10" s="7">
        <f>IFERROR(INDEX('Data_NSA'!$A:$OK,MATCH(O$2,'Data_NSA'!$A:$A,0),MATCH($D10,'Data_NSA'!$1:$1,0))/INDEX('Data_NSA'!$A:$OK,MATCH(EDATE(O$2,-12),'Data_NSA'!$A:$A,0),MATCH($D10,'Data_NSA'!$1:$1,0))-1,"")</f>
        <v/>
      </c>
      <c r="S10" s="10">
        <f>IFERROR(INDEX('Weights'!$G:$I,MATCH($A10,'Weights'!$A:$A,0),MATCH(O$2,'Weights'!$G$1:$I$1,0)),"")</f>
        <v/>
      </c>
      <c r="T10" s="10">
        <f>IF($E10="","",IFERROR(100*(INDEX('Weights'!$D:$D,MATCH($A10,'Weights'!$A:$A,0))*(INDEX('Data_NSA'!$A:$OK,MATCH(EDATE(O$2,-1),'Data_NSA'!$A:$A,0),MATCH($D10,'Data_NSA'!$1:$1,0))/INDEX('Data_NSA'!$A:$OK,MATCH(INDEX('Weights'!$E:$E,MATCH($A10,'Weights'!$A:$A,0)),'Data_NSA'!$A:$A,0),MATCH($D10,'Data_NSA'!$1:$1,0))))/(100*(INDEX('Data_NSA'!$A:$OK,MATCH(EDATE(O$2,-1),'Data_NSA'!$A:$A,0),MATCH("CUUR0000SA0",'Data_NSA'!$1:$1,0))/INDEX('Data_NSA'!$A:$OK,MATCH(INDEX('Weights'!$E:$E,MATCH($A10,'Weights'!$A:$A,0)),'Data_NSA'!$A:$A,0),MATCH("CUUR0000SA0",'Data_NSA'!$1:$1,0))))*(INDEX('Data_SA'!$A:$LO,MATCH(O$2,'Data_SA'!$A:$A,0),MATCH($E10,'Data_SA'!$1:$1,0))/INDEX('Data_SA'!$A:$LO,MATCH(EDATE(O$2,-1),'Data_SA'!$A:$A,0),MATCH($E10,'Data_SA'!$1:$1,0))-1),""))</f>
        <v/>
      </c>
      <c r="U10" s="10">
        <f>IFERROR(INDEX('Data_NSA'!$A:$OK,MATCH(U$2,'Data_NSA'!$A:$A,0),MATCH($D10,'Data_NSA'!$1:$1,0)),"")</f>
        <v/>
      </c>
      <c r="V10" s="10">
        <f>IF($E10="","",IFERROR(INDEX('Data_SA'!$A:$LO,MATCH(U$2,'Data_SA'!$A:$A,0),MATCH($E10,'Data_SA'!$1:$1,0)),""))</f>
        <v/>
      </c>
      <c r="W10" s="7">
        <f>IF($E10="","",IFERROR(INDEX('Data_SA'!$A:$LO,MATCH(U$2,'Data_SA'!$A:$A,0),MATCH($E10,'Data_SA'!$1:$1,0))/INDEX('Data_SA'!$A:$LO,MATCH(EDATE(U$2,-1),'Data_SA'!$A:$A,0),MATCH($E10,'Data_SA'!$1:$1,0))-1,""))</f>
        <v/>
      </c>
      <c r="X10" s="7">
        <f>IFERROR(INDEX('Data_NSA'!$A:$OK,MATCH(U$2,'Data_NSA'!$A:$A,0),MATCH($D10,'Data_NSA'!$1:$1,0))/INDEX('Data_NSA'!$A:$OK,MATCH(EDATE(U$2,-12),'Data_NSA'!$A:$A,0),MATCH($D10,'Data_NSA'!$1:$1,0))-1,"")</f>
        <v/>
      </c>
      <c r="Y10" s="10">
        <f>IFERROR(INDEX('Weights'!$G:$I,MATCH($A10,'Weights'!$A:$A,0),MATCH(U$2,'Weights'!$G$1:$I$1,0)),"")</f>
        <v/>
      </c>
      <c r="Z10" s="10">
        <f>IF($E10="","",IFERROR(100*(INDEX('Weights'!$D:$D,MATCH($A10,'Weights'!$A:$A,0))*(INDEX('Data_NSA'!$A:$OK,MATCH(EDATE(U$2,-1),'Data_NSA'!$A:$A,0),MATCH($D10,'Data_NSA'!$1:$1,0))/INDEX('Data_NSA'!$A:$OK,MATCH(INDEX('Weights'!$E:$E,MATCH($A10,'Weights'!$A:$A,0)),'Data_NSA'!$A:$A,0),MATCH($D10,'Data_NSA'!$1:$1,0))))/(100*(INDEX('Data_NSA'!$A:$OK,MATCH(EDATE(U$2,-1),'Data_NSA'!$A:$A,0),MATCH("CUUR0000SA0",'Data_NSA'!$1:$1,0))/INDEX('Data_NSA'!$A:$OK,MATCH(INDEX('Weights'!$E:$E,MATCH($A10,'Weights'!$A:$A,0)),'Data_NSA'!$A:$A,0),MATCH("CUUR0000SA0",'Data_NSA'!$1:$1,0))))*(INDEX('Data_SA'!$A:$LO,MATCH(U$2,'Data_SA'!$A:$A,0),MATCH($E10,'Data_SA'!$1:$1,0))/INDEX('Data_SA'!$A:$LO,MATCH(EDATE(U$2,-1),'Data_SA'!$A:$A,0),MATCH($E10,'Data_SA'!$1:$1,0))-1),""))</f>
        <v/>
      </c>
    </row>
    <row r="11">
      <c r="A11" s="3" t="inlineStr">
        <is>
          <t>SEFA01</t>
        </is>
      </c>
      <c r="B11" s="3" t="inlineStr">
        <is>
          <t>Flour and prepared flour mixes</t>
        </is>
      </c>
      <c r="C11" s="3" t="inlineStr">
        <is>
          <t>SEFA</t>
        </is>
      </c>
      <c r="D11" s="3" t="inlineStr">
        <is>
          <t>CUUR0000SEFA01</t>
        </is>
      </c>
      <c r="E11" s="3" t="inlineStr">
        <is>
          <t>CUSR0000SEFA01</t>
        </is>
      </c>
      <c r="F11" s="3" t="inlineStr">
        <is>
          <t>GM</t>
        </is>
      </c>
      <c r="G11" s="3" t="inlineStr">
        <is>
          <t>monthly food collection where sampled</t>
        </is>
      </c>
      <c r="H11" s="10">
        <f>IFERROR(INDEX(Weights!$D:$D,MATCH($A11,Weights!$A:$A,0)),"")</f>
        <v/>
      </c>
      <c r="I11" s="10">
        <f>IFERROR(INDEX('Data_NSA'!$A:$OK,MATCH(I$2,'Data_NSA'!$A:$A,0),MATCH($D11,'Data_NSA'!$1:$1,0)),"")</f>
        <v/>
      </c>
      <c r="J11" s="10">
        <f>IF($E11="","",IFERROR(INDEX('Data_SA'!$A:$LO,MATCH(I$2,'Data_SA'!$A:$A,0),MATCH($E11,'Data_SA'!$1:$1,0)),""))</f>
        <v/>
      </c>
      <c r="K11" s="7">
        <f>IF($E11="","",IFERROR(INDEX('Data_SA'!$A:$LO,MATCH(I$2,'Data_SA'!$A:$A,0),MATCH($E11,'Data_SA'!$1:$1,0))/INDEX('Data_SA'!$A:$LO,MATCH(EDATE(I$2,-1),'Data_SA'!$A:$A,0),MATCH($E11,'Data_SA'!$1:$1,0))-1,""))</f>
        <v/>
      </c>
      <c r="L11" s="7">
        <f>IFERROR(INDEX('Data_NSA'!$A:$OK,MATCH(I$2,'Data_NSA'!$A:$A,0),MATCH($D11,'Data_NSA'!$1:$1,0))/INDEX('Data_NSA'!$A:$OK,MATCH(EDATE(I$2,-12),'Data_NSA'!$A:$A,0),MATCH($D11,'Data_NSA'!$1:$1,0))-1,"")</f>
        <v/>
      </c>
      <c r="M11" s="10">
        <f>IFERROR(INDEX('Weights'!$G:$I,MATCH($A11,'Weights'!$A:$A,0),MATCH(I$2,'Weights'!$G$1:$I$1,0)),"")</f>
        <v/>
      </c>
      <c r="N11" s="10">
        <f>IF($E11="","",IFERROR(100*(INDEX('Weights'!$D:$D,MATCH($A11,'Weights'!$A:$A,0))*(INDEX('Data_NSA'!$A:$OK,MATCH(EDATE(I$2,-1),'Data_NSA'!$A:$A,0),MATCH($D11,'Data_NSA'!$1:$1,0))/INDEX('Data_NSA'!$A:$OK,MATCH(INDEX('Weights'!$E:$E,MATCH($A11,'Weights'!$A:$A,0)),'Data_NSA'!$A:$A,0),MATCH($D11,'Data_NSA'!$1:$1,0))))/(100*(INDEX('Data_NSA'!$A:$OK,MATCH(EDATE(I$2,-1),'Data_NSA'!$A:$A,0),MATCH("CUUR0000SA0",'Data_NSA'!$1:$1,0))/INDEX('Data_NSA'!$A:$OK,MATCH(INDEX('Weights'!$E:$E,MATCH($A11,'Weights'!$A:$A,0)),'Data_NSA'!$A:$A,0),MATCH("CUUR0000SA0",'Data_NSA'!$1:$1,0))))*(INDEX('Data_SA'!$A:$LO,MATCH(I$2,'Data_SA'!$A:$A,0),MATCH($E11,'Data_SA'!$1:$1,0))/INDEX('Data_SA'!$A:$LO,MATCH(EDATE(I$2,-1),'Data_SA'!$A:$A,0),MATCH($E11,'Data_SA'!$1:$1,0))-1),""))</f>
        <v/>
      </c>
      <c r="O11" s="10">
        <f>IFERROR(INDEX('Data_NSA'!$A:$OK,MATCH(O$2,'Data_NSA'!$A:$A,0),MATCH($D11,'Data_NSA'!$1:$1,0)),"")</f>
        <v/>
      </c>
      <c r="P11" s="10">
        <f>IF($E11="","",IFERROR(INDEX('Data_SA'!$A:$LO,MATCH(O$2,'Data_SA'!$A:$A,0),MATCH($E11,'Data_SA'!$1:$1,0)),""))</f>
        <v/>
      </c>
      <c r="Q11" s="7">
        <f>IF($E11="","",IFERROR(INDEX('Data_SA'!$A:$LO,MATCH(O$2,'Data_SA'!$A:$A,0),MATCH($E11,'Data_SA'!$1:$1,0))/INDEX('Data_SA'!$A:$LO,MATCH(EDATE(O$2,-1),'Data_SA'!$A:$A,0),MATCH($E11,'Data_SA'!$1:$1,0))-1,""))</f>
        <v/>
      </c>
      <c r="R11" s="7">
        <f>IFERROR(INDEX('Data_NSA'!$A:$OK,MATCH(O$2,'Data_NSA'!$A:$A,0),MATCH($D11,'Data_NSA'!$1:$1,0))/INDEX('Data_NSA'!$A:$OK,MATCH(EDATE(O$2,-12),'Data_NSA'!$A:$A,0),MATCH($D11,'Data_NSA'!$1:$1,0))-1,"")</f>
        <v/>
      </c>
      <c r="S11" s="10">
        <f>IFERROR(INDEX('Weights'!$G:$I,MATCH($A11,'Weights'!$A:$A,0),MATCH(O$2,'Weights'!$G$1:$I$1,0)),"")</f>
        <v/>
      </c>
      <c r="T11" s="10">
        <f>IF($E11="","",IFERROR(100*(INDEX('Weights'!$D:$D,MATCH($A11,'Weights'!$A:$A,0))*(INDEX('Data_NSA'!$A:$OK,MATCH(EDATE(O$2,-1),'Data_NSA'!$A:$A,0),MATCH($D11,'Data_NSA'!$1:$1,0))/INDEX('Data_NSA'!$A:$OK,MATCH(INDEX('Weights'!$E:$E,MATCH($A11,'Weights'!$A:$A,0)),'Data_NSA'!$A:$A,0),MATCH($D11,'Data_NSA'!$1:$1,0))))/(100*(INDEX('Data_NSA'!$A:$OK,MATCH(EDATE(O$2,-1),'Data_NSA'!$A:$A,0),MATCH("CUUR0000SA0",'Data_NSA'!$1:$1,0))/INDEX('Data_NSA'!$A:$OK,MATCH(INDEX('Weights'!$E:$E,MATCH($A11,'Weights'!$A:$A,0)),'Data_NSA'!$A:$A,0),MATCH("CUUR0000SA0",'Data_NSA'!$1:$1,0))))*(INDEX('Data_SA'!$A:$LO,MATCH(O$2,'Data_SA'!$A:$A,0),MATCH($E11,'Data_SA'!$1:$1,0))/INDEX('Data_SA'!$A:$LO,MATCH(EDATE(O$2,-1),'Data_SA'!$A:$A,0),MATCH($E11,'Data_SA'!$1:$1,0))-1),""))</f>
        <v/>
      </c>
      <c r="U11" s="10">
        <f>IFERROR(INDEX('Data_NSA'!$A:$OK,MATCH(U$2,'Data_NSA'!$A:$A,0),MATCH($D11,'Data_NSA'!$1:$1,0)),"")</f>
        <v/>
      </c>
      <c r="V11" s="10">
        <f>IF($E11="","",IFERROR(INDEX('Data_SA'!$A:$LO,MATCH(U$2,'Data_SA'!$A:$A,0),MATCH($E11,'Data_SA'!$1:$1,0)),""))</f>
        <v/>
      </c>
      <c r="W11" s="7">
        <f>IF($E11="","",IFERROR(INDEX('Data_SA'!$A:$LO,MATCH(U$2,'Data_SA'!$A:$A,0),MATCH($E11,'Data_SA'!$1:$1,0))/INDEX('Data_SA'!$A:$LO,MATCH(EDATE(U$2,-1),'Data_SA'!$A:$A,0),MATCH($E11,'Data_SA'!$1:$1,0))-1,""))</f>
        <v/>
      </c>
      <c r="X11" s="7">
        <f>IFERROR(INDEX('Data_NSA'!$A:$OK,MATCH(U$2,'Data_NSA'!$A:$A,0),MATCH($D11,'Data_NSA'!$1:$1,0))/INDEX('Data_NSA'!$A:$OK,MATCH(EDATE(U$2,-12),'Data_NSA'!$A:$A,0),MATCH($D11,'Data_NSA'!$1:$1,0))-1,"")</f>
        <v/>
      </c>
      <c r="Y11" s="10">
        <f>IFERROR(INDEX('Weights'!$G:$I,MATCH($A11,'Weights'!$A:$A,0),MATCH(U$2,'Weights'!$G$1:$I$1,0)),"")</f>
        <v/>
      </c>
      <c r="Z11" s="10">
        <f>IF($E11="","",IFERROR(100*(INDEX('Weights'!$D:$D,MATCH($A11,'Weights'!$A:$A,0))*(INDEX('Data_NSA'!$A:$OK,MATCH(EDATE(U$2,-1),'Data_NSA'!$A:$A,0),MATCH($D11,'Data_NSA'!$1:$1,0))/INDEX('Data_NSA'!$A:$OK,MATCH(INDEX('Weights'!$E:$E,MATCH($A11,'Weights'!$A:$A,0)),'Data_NSA'!$A:$A,0),MATCH($D11,'Data_NSA'!$1:$1,0))))/(100*(INDEX('Data_NSA'!$A:$OK,MATCH(EDATE(U$2,-1),'Data_NSA'!$A:$A,0),MATCH("CUUR0000SA0",'Data_NSA'!$1:$1,0))/INDEX('Data_NSA'!$A:$OK,MATCH(INDEX('Weights'!$E:$E,MATCH($A11,'Weights'!$A:$A,0)),'Data_NSA'!$A:$A,0),MATCH("CUUR0000SA0",'Data_NSA'!$1:$1,0))))*(INDEX('Data_SA'!$A:$LO,MATCH(U$2,'Data_SA'!$A:$A,0),MATCH($E11,'Data_SA'!$1:$1,0))/INDEX('Data_SA'!$A:$LO,MATCH(EDATE(U$2,-1),'Data_SA'!$A:$A,0),MATCH($E11,'Data_SA'!$1:$1,0))-1),""))</f>
        <v/>
      </c>
    </row>
    <row r="12">
      <c r="A12" s="3" t="inlineStr">
        <is>
          <t>SEFA02</t>
        </is>
      </c>
      <c r="B12" s="3" t="inlineStr">
        <is>
          <t>Breakfast cereal</t>
        </is>
      </c>
      <c r="C12" s="3" t="inlineStr">
        <is>
          <t>SEFA</t>
        </is>
      </c>
      <c r="D12" s="3" t="inlineStr">
        <is>
          <t>CUUR0000SEFA02</t>
        </is>
      </c>
      <c r="E12" s="3" t="inlineStr">
        <is>
          <t>CUSR0000SEFA02</t>
        </is>
      </c>
      <c r="F12" s="3" t="inlineStr">
        <is>
          <t>GM</t>
        </is>
      </c>
      <c r="G12" s="3" t="inlineStr">
        <is>
          <t>monthly food collection where sampled</t>
        </is>
      </c>
      <c r="H12" s="10">
        <f>IFERROR(INDEX(Weights!$D:$D,MATCH($A12,Weights!$A:$A,0)),"")</f>
        <v/>
      </c>
      <c r="I12" s="10">
        <f>IFERROR(INDEX('Data_NSA'!$A:$OK,MATCH(I$2,'Data_NSA'!$A:$A,0),MATCH($D12,'Data_NSA'!$1:$1,0)),"")</f>
        <v/>
      </c>
      <c r="J12" s="10">
        <f>IF($E12="","",IFERROR(INDEX('Data_SA'!$A:$LO,MATCH(I$2,'Data_SA'!$A:$A,0),MATCH($E12,'Data_SA'!$1:$1,0)),""))</f>
        <v/>
      </c>
      <c r="K12" s="7">
        <f>IF($E12="","",IFERROR(INDEX('Data_SA'!$A:$LO,MATCH(I$2,'Data_SA'!$A:$A,0),MATCH($E12,'Data_SA'!$1:$1,0))/INDEX('Data_SA'!$A:$LO,MATCH(EDATE(I$2,-1),'Data_SA'!$A:$A,0),MATCH($E12,'Data_SA'!$1:$1,0))-1,""))</f>
        <v/>
      </c>
      <c r="L12" s="7">
        <f>IFERROR(INDEX('Data_NSA'!$A:$OK,MATCH(I$2,'Data_NSA'!$A:$A,0),MATCH($D12,'Data_NSA'!$1:$1,0))/INDEX('Data_NSA'!$A:$OK,MATCH(EDATE(I$2,-12),'Data_NSA'!$A:$A,0),MATCH($D12,'Data_NSA'!$1:$1,0))-1,"")</f>
        <v/>
      </c>
      <c r="M12" s="10">
        <f>IFERROR(INDEX('Weights'!$G:$I,MATCH($A12,'Weights'!$A:$A,0),MATCH(I$2,'Weights'!$G$1:$I$1,0)),"")</f>
        <v/>
      </c>
      <c r="N12" s="10">
        <f>IF($E12="","",IFERROR(100*(INDEX('Weights'!$D:$D,MATCH($A12,'Weights'!$A:$A,0))*(INDEX('Data_NSA'!$A:$OK,MATCH(EDATE(I$2,-1),'Data_NSA'!$A:$A,0),MATCH($D12,'Data_NSA'!$1:$1,0))/INDEX('Data_NSA'!$A:$OK,MATCH(INDEX('Weights'!$E:$E,MATCH($A12,'Weights'!$A:$A,0)),'Data_NSA'!$A:$A,0),MATCH($D12,'Data_NSA'!$1:$1,0))))/(100*(INDEX('Data_NSA'!$A:$OK,MATCH(EDATE(I$2,-1),'Data_NSA'!$A:$A,0),MATCH("CUUR0000SA0",'Data_NSA'!$1:$1,0))/INDEX('Data_NSA'!$A:$OK,MATCH(INDEX('Weights'!$E:$E,MATCH($A12,'Weights'!$A:$A,0)),'Data_NSA'!$A:$A,0),MATCH("CUUR0000SA0",'Data_NSA'!$1:$1,0))))*(INDEX('Data_SA'!$A:$LO,MATCH(I$2,'Data_SA'!$A:$A,0),MATCH($E12,'Data_SA'!$1:$1,0))/INDEX('Data_SA'!$A:$LO,MATCH(EDATE(I$2,-1),'Data_SA'!$A:$A,0),MATCH($E12,'Data_SA'!$1:$1,0))-1),""))</f>
        <v/>
      </c>
      <c r="O12" s="10">
        <f>IFERROR(INDEX('Data_NSA'!$A:$OK,MATCH(O$2,'Data_NSA'!$A:$A,0),MATCH($D12,'Data_NSA'!$1:$1,0)),"")</f>
        <v/>
      </c>
      <c r="P12" s="10">
        <f>IF($E12="","",IFERROR(INDEX('Data_SA'!$A:$LO,MATCH(O$2,'Data_SA'!$A:$A,0),MATCH($E12,'Data_SA'!$1:$1,0)),""))</f>
        <v/>
      </c>
      <c r="Q12" s="7">
        <f>IF($E12="","",IFERROR(INDEX('Data_SA'!$A:$LO,MATCH(O$2,'Data_SA'!$A:$A,0),MATCH($E12,'Data_SA'!$1:$1,0))/INDEX('Data_SA'!$A:$LO,MATCH(EDATE(O$2,-1),'Data_SA'!$A:$A,0),MATCH($E12,'Data_SA'!$1:$1,0))-1,""))</f>
        <v/>
      </c>
      <c r="R12" s="7">
        <f>IFERROR(INDEX('Data_NSA'!$A:$OK,MATCH(O$2,'Data_NSA'!$A:$A,0),MATCH($D12,'Data_NSA'!$1:$1,0))/INDEX('Data_NSA'!$A:$OK,MATCH(EDATE(O$2,-12),'Data_NSA'!$A:$A,0),MATCH($D12,'Data_NSA'!$1:$1,0))-1,"")</f>
        <v/>
      </c>
      <c r="S12" s="10">
        <f>IFERROR(INDEX('Weights'!$G:$I,MATCH($A12,'Weights'!$A:$A,0),MATCH(O$2,'Weights'!$G$1:$I$1,0)),"")</f>
        <v/>
      </c>
      <c r="T12" s="10">
        <f>IF($E12="","",IFERROR(100*(INDEX('Weights'!$D:$D,MATCH($A12,'Weights'!$A:$A,0))*(INDEX('Data_NSA'!$A:$OK,MATCH(EDATE(O$2,-1),'Data_NSA'!$A:$A,0),MATCH($D12,'Data_NSA'!$1:$1,0))/INDEX('Data_NSA'!$A:$OK,MATCH(INDEX('Weights'!$E:$E,MATCH($A12,'Weights'!$A:$A,0)),'Data_NSA'!$A:$A,0),MATCH($D12,'Data_NSA'!$1:$1,0))))/(100*(INDEX('Data_NSA'!$A:$OK,MATCH(EDATE(O$2,-1),'Data_NSA'!$A:$A,0),MATCH("CUUR0000SA0",'Data_NSA'!$1:$1,0))/INDEX('Data_NSA'!$A:$OK,MATCH(INDEX('Weights'!$E:$E,MATCH($A12,'Weights'!$A:$A,0)),'Data_NSA'!$A:$A,0),MATCH("CUUR0000SA0",'Data_NSA'!$1:$1,0))))*(INDEX('Data_SA'!$A:$LO,MATCH(O$2,'Data_SA'!$A:$A,0),MATCH($E12,'Data_SA'!$1:$1,0))/INDEX('Data_SA'!$A:$LO,MATCH(EDATE(O$2,-1),'Data_SA'!$A:$A,0),MATCH($E12,'Data_SA'!$1:$1,0))-1),""))</f>
        <v/>
      </c>
      <c r="U12" s="10">
        <f>IFERROR(INDEX('Data_NSA'!$A:$OK,MATCH(U$2,'Data_NSA'!$A:$A,0),MATCH($D12,'Data_NSA'!$1:$1,0)),"")</f>
        <v/>
      </c>
      <c r="V12" s="10">
        <f>IF($E12="","",IFERROR(INDEX('Data_SA'!$A:$LO,MATCH(U$2,'Data_SA'!$A:$A,0),MATCH($E12,'Data_SA'!$1:$1,0)),""))</f>
        <v/>
      </c>
      <c r="W12" s="7">
        <f>IF($E12="","",IFERROR(INDEX('Data_SA'!$A:$LO,MATCH(U$2,'Data_SA'!$A:$A,0),MATCH($E12,'Data_SA'!$1:$1,0))/INDEX('Data_SA'!$A:$LO,MATCH(EDATE(U$2,-1),'Data_SA'!$A:$A,0),MATCH($E12,'Data_SA'!$1:$1,0))-1,""))</f>
        <v/>
      </c>
      <c r="X12" s="7">
        <f>IFERROR(INDEX('Data_NSA'!$A:$OK,MATCH(U$2,'Data_NSA'!$A:$A,0),MATCH($D12,'Data_NSA'!$1:$1,0))/INDEX('Data_NSA'!$A:$OK,MATCH(EDATE(U$2,-12),'Data_NSA'!$A:$A,0),MATCH($D12,'Data_NSA'!$1:$1,0))-1,"")</f>
        <v/>
      </c>
      <c r="Y12" s="10">
        <f>IFERROR(INDEX('Weights'!$G:$I,MATCH($A12,'Weights'!$A:$A,0),MATCH(U$2,'Weights'!$G$1:$I$1,0)),"")</f>
        <v/>
      </c>
      <c r="Z12" s="10">
        <f>IF($E12="","",IFERROR(100*(INDEX('Weights'!$D:$D,MATCH($A12,'Weights'!$A:$A,0))*(INDEX('Data_NSA'!$A:$OK,MATCH(EDATE(U$2,-1),'Data_NSA'!$A:$A,0),MATCH($D12,'Data_NSA'!$1:$1,0))/INDEX('Data_NSA'!$A:$OK,MATCH(INDEX('Weights'!$E:$E,MATCH($A12,'Weights'!$A:$A,0)),'Data_NSA'!$A:$A,0),MATCH($D12,'Data_NSA'!$1:$1,0))))/(100*(INDEX('Data_NSA'!$A:$OK,MATCH(EDATE(U$2,-1),'Data_NSA'!$A:$A,0),MATCH("CUUR0000SA0",'Data_NSA'!$1:$1,0))/INDEX('Data_NSA'!$A:$OK,MATCH(INDEX('Weights'!$E:$E,MATCH($A12,'Weights'!$A:$A,0)),'Data_NSA'!$A:$A,0),MATCH("CUUR0000SA0",'Data_NSA'!$1:$1,0))))*(INDEX('Data_SA'!$A:$LO,MATCH(U$2,'Data_SA'!$A:$A,0),MATCH($E12,'Data_SA'!$1:$1,0))/INDEX('Data_SA'!$A:$LO,MATCH(EDATE(U$2,-1),'Data_SA'!$A:$A,0),MATCH($E12,'Data_SA'!$1:$1,0))-1),""))</f>
        <v/>
      </c>
    </row>
    <row r="13">
      <c r="A13" s="3" t="inlineStr">
        <is>
          <t>SEFA03</t>
        </is>
      </c>
      <c r="B13" s="3" t="inlineStr">
        <is>
          <t>Rice, pasta, cornmeal</t>
        </is>
      </c>
      <c r="C13" s="3" t="inlineStr">
        <is>
          <t>SEFA</t>
        </is>
      </c>
      <c r="D13" s="3" t="inlineStr">
        <is>
          <t>CUUR0000SEFA03</t>
        </is>
      </c>
      <c r="E13" s="3" t="inlineStr">
        <is>
          <t>CUSR0000SEFA03</t>
        </is>
      </c>
      <c r="F13" s="3" t="inlineStr">
        <is>
          <t>aggregate</t>
        </is>
      </c>
      <c r="G13" s="3" t="inlineStr">
        <is>
          <t>aggregate</t>
        </is>
      </c>
      <c r="H13" s="10">
        <f>IFERROR(INDEX(Weights!$D:$D,MATCH($A13,Weights!$A:$A,0)),"")</f>
        <v/>
      </c>
      <c r="I13" s="10">
        <f>IFERROR(INDEX('Data_NSA'!$A:$OK,MATCH(I$2,'Data_NSA'!$A:$A,0),MATCH($D13,'Data_NSA'!$1:$1,0)),"")</f>
        <v/>
      </c>
      <c r="J13" s="10">
        <f>IF($E13="","",IFERROR(INDEX('Data_SA'!$A:$LO,MATCH(I$2,'Data_SA'!$A:$A,0),MATCH($E13,'Data_SA'!$1:$1,0)),""))</f>
        <v/>
      </c>
      <c r="K13" s="7">
        <f>IF($E13="","",IFERROR(INDEX('Data_SA'!$A:$LO,MATCH(I$2,'Data_SA'!$A:$A,0),MATCH($E13,'Data_SA'!$1:$1,0))/INDEX('Data_SA'!$A:$LO,MATCH(EDATE(I$2,-1),'Data_SA'!$A:$A,0),MATCH($E13,'Data_SA'!$1:$1,0))-1,""))</f>
        <v/>
      </c>
      <c r="L13" s="7">
        <f>IFERROR(INDEX('Data_NSA'!$A:$OK,MATCH(I$2,'Data_NSA'!$A:$A,0),MATCH($D13,'Data_NSA'!$1:$1,0))/INDEX('Data_NSA'!$A:$OK,MATCH(EDATE(I$2,-12),'Data_NSA'!$A:$A,0),MATCH($D13,'Data_NSA'!$1:$1,0))-1,"")</f>
        <v/>
      </c>
      <c r="M13" s="10">
        <f>IFERROR(INDEX('Weights'!$G:$I,MATCH($A13,'Weights'!$A:$A,0),MATCH(I$2,'Weights'!$G$1:$I$1,0)),"")</f>
        <v/>
      </c>
      <c r="N13" s="10">
        <f>IF($E13="","",IFERROR(100*(INDEX('Weights'!$D:$D,MATCH($A13,'Weights'!$A:$A,0))*(INDEX('Data_NSA'!$A:$OK,MATCH(EDATE(I$2,-1),'Data_NSA'!$A:$A,0),MATCH($D13,'Data_NSA'!$1:$1,0))/INDEX('Data_NSA'!$A:$OK,MATCH(INDEX('Weights'!$E:$E,MATCH($A13,'Weights'!$A:$A,0)),'Data_NSA'!$A:$A,0),MATCH($D13,'Data_NSA'!$1:$1,0))))/(100*(INDEX('Data_NSA'!$A:$OK,MATCH(EDATE(I$2,-1),'Data_NSA'!$A:$A,0),MATCH("CUUR0000SA0",'Data_NSA'!$1:$1,0))/INDEX('Data_NSA'!$A:$OK,MATCH(INDEX('Weights'!$E:$E,MATCH($A13,'Weights'!$A:$A,0)),'Data_NSA'!$A:$A,0),MATCH("CUUR0000SA0",'Data_NSA'!$1:$1,0))))*(INDEX('Data_SA'!$A:$LO,MATCH(I$2,'Data_SA'!$A:$A,0),MATCH($E13,'Data_SA'!$1:$1,0))/INDEX('Data_SA'!$A:$LO,MATCH(EDATE(I$2,-1),'Data_SA'!$A:$A,0),MATCH($E13,'Data_SA'!$1:$1,0))-1),""))</f>
        <v/>
      </c>
      <c r="O13" s="10">
        <f>IFERROR(INDEX('Data_NSA'!$A:$OK,MATCH(O$2,'Data_NSA'!$A:$A,0),MATCH($D13,'Data_NSA'!$1:$1,0)),"")</f>
        <v/>
      </c>
      <c r="P13" s="10">
        <f>IF($E13="","",IFERROR(INDEX('Data_SA'!$A:$LO,MATCH(O$2,'Data_SA'!$A:$A,0),MATCH($E13,'Data_SA'!$1:$1,0)),""))</f>
        <v/>
      </c>
      <c r="Q13" s="7">
        <f>IF($E13="","",IFERROR(INDEX('Data_SA'!$A:$LO,MATCH(O$2,'Data_SA'!$A:$A,0),MATCH($E13,'Data_SA'!$1:$1,0))/INDEX('Data_SA'!$A:$LO,MATCH(EDATE(O$2,-1),'Data_SA'!$A:$A,0),MATCH($E13,'Data_SA'!$1:$1,0))-1,""))</f>
        <v/>
      </c>
      <c r="R13" s="7">
        <f>IFERROR(INDEX('Data_NSA'!$A:$OK,MATCH(O$2,'Data_NSA'!$A:$A,0),MATCH($D13,'Data_NSA'!$1:$1,0))/INDEX('Data_NSA'!$A:$OK,MATCH(EDATE(O$2,-12),'Data_NSA'!$A:$A,0),MATCH($D13,'Data_NSA'!$1:$1,0))-1,"")</f>
        <v/>
      </c>
      <c r="S13" s="10">
        <f>IFERROR(INDEX('Weights'!$G:$I,MATCH($A13,'Weights'!$A:$A,0),MATCH(O$2,'Weights'!$G$1:$I$1,0)),"")</f>
        <v/>
      </c>
      <c r="T13" s="10">
        <f>IF($E13="","",IFERROR(100*(INDEX('Weights'!$D:$D,MATCH($A13,'Weights'!$A:$A,0))*(INDEX('Data_NSA'!$A:$OK,MATCH(EDATE(O$2,-1),'Data_NSA'!$A:$A,0),MATCH($D13,'Data_NSA'!$1:$1,0))/INDEX('Data_NSA'!$A:$OK,MATCH(INDEX('Weights'!$E:$E,MATCH($A13,'Weights'!$A:$A,0)),'Data_NSA'!$A:$A,0),MATCH($D13,'Data_NSA'!$1:$1,0))))/(100*(INDEX('Data_NSA'!$A:$OK,MATCH(EDATE(O$2,-1),'Data_NSA'!$A:$A,0),MATCH("CUUR0000SA0",'Data_NSA'!$1:$1,0))/INDEX('Data_NSA'!$A:$OK,MATCH(INDEX('Weights'!$E:$E,MATCH($A13,'Weights'!$A:$A,0)),'Data_NSA'!$A:$A,0),MATCH("CUUR0000SA0",'Data_NSA'!$1:$1,0))))*(INDEX('Data_SA'!$A:$LO,MATCH(O$2,'Data_SA'!$A:$A,0),MATCH($E13,'Data_SA'!$1:$1,0))/INDEX('Data_SA'!$A:$LO,MATCH(EDATE(O$2,-1),'Data_SA'!$A:$A,0),MATCH($E13,'Data_SA'!$1:$1,0))-1),""))</f>
        <v/>
      </c>
      <c r="U13" s="10">
        <f>IFERROR(INDEX('Data_NSA'!$A:$OK,MATCH(U$2,'Data_NSA'!$A:$A,0),MATCH($D13,'Data_NSA'!$1:$1,0)),"")</f>
        <v/>
      </c>
      <c r="V13" s="10">
        <f>IF($E13="","",IFERROR(INDEX('Data_SA'!$A:$LO,MATCH(U$2,'Data_SA'!$A:$A,0),MATCH($E13,'Data_SA'!$1:$1,0)),""))</f>
        <v/>
      </c>
      <c r="W13" s="7">
        <f>IF($E13="","",IFERROR(INDEX('Data_SA'!$A:$LO,MATCH(U$2,'Data_SA'!$A:$A,0),MATCH($E13,'Data_SA'!$1:$1,0))/INDEX('Data_SA'!$A:$LO,MATCH(EDATE(U$2,-1),'Data_SA'!$A:$A,0),MATCH($E13,'Data_SA'!$1:$1,0))-1,""))</f>
        <v/>
      </c>
      <c r="X13" s="7">
        <f>IFERROR(INDEX('Data_NSA'!$A:$OK,MATCH(U$2,'Data_NSA'!$A:$A,0),MATCH($D13,'Data_NSA'!$1:$1,0))/INDEX('Data_NSA'!$A:$OK,MATCH(EDATE(U$2,-12),'Data_NSA'!$A:$A,0),MATCH($D13,'Data_NSA'!$1:$1,0))-1,"")</f>
        <v/>
      </c>
      <c r="Y13" s="10">
        <f>IFERROR(INDEX('Weights'!$G:$I,MATCH($A13,'Weights'!$A:$A,0),MATCH(U$2,'Weights'!$G$1:$I$1,0)),"")</f>
        <v/>
      </c>
      <c r="Z13" s="10">
        <f>IF($E13="","",IFERROR(100*(INDEX('Weights'!$D:$D,MATCH($A13,'Weights'!$A:$A,0))*(INDEX('Data_NSA'!$A:$OK,MATCH(EDATE(U$2,-1),'Data_NSA'!$A:$A,0),MATCH($D13,'Data_NSA'!$1:$1,0))/INDEX('Data_NSA'!$A:$OK,MATCH(INDEX('Weights'!$E:$E,MATCH($A13,'Weights'!$A:$A,0)),'Data_NSA'!$A:$A,0),MATCH($D13,'Data_NSA'!$1:$1,0))))/(100*(INDEX('Data_NSA'!$A:$OK,MATCH(EDATE(U$2,-1),'Data_NSA'!$A:$A,0),MATCH("CUUR0000SA0",'Data_NSA'!$1:$1,0))/INDEX('Data_NSA'!$A:$OK,MATCH(INDEX('Weights'!$E:$E,MATCH($A13,'Weights'!$A:$A,0)),'Data_NSA'!$A:$A,0),MATCH("CUUR0000SA0",'Data_NSA'!$1:$1,0))))*(INDEX('Data_SA'!$A:$LO,MATCH(U$2,'Data_SA'!$A:$A,0),MATCH($E13,'Data_SA'!$1:$1,0))/INDEX('Data_SA'!$A:$LO,MATCH(EDATE(U$2,-1),'Data_SA'!$A:$A,0),MATCH($E13,'Data_SA'!$1:$1,0))-1),""))</f>
        <v/>
      </c>
    </row>
    <row r="14">
      <c r="A14" s="3" t="inlineStr">
        <is>
          <t>SS01031</t>
        </is>
      </c>
      <c r="B14" s="3" t="inlineStr">
        <is>
          <t>Rice</t>
        </is>
      </c>
      <c r="C14" s="3" t="inlineStr">
        <is>
          <t>SEFA03</t>
        </is>
      </c>
      <c r="D14" s="3" t="inlineStr">
        <is>
          <t>CUUR0000SS01031</t>
        </is>
      </c>
      <c r="E14" s="3" t="inlineStr"/>
      <c r="F14" s="3" t="inlineStr">
        <is>
          <t>GM</t>
        </is>
      </c>
      <c r="G14" s="3" t="inlineStr">
        <is>
          <t>monthly in New York/Los Angeles/Chicago; often bimonthly elsewhere</t>
        </is>
      </c>
      <c r="H14" s="10">
        <f>IFERROR(INDEX(Weights!$D:$D,MATCH($A14,Weights!$A:$A,0)),"")</f>
        <v/>
      </c>
      <c r="I14" s="10">
        <f>IFERROR(INDEX('Data_NSA'!$A:$OK,MATCH(I$2,'Data_NSA'!$A:$A,0),MATCH($D14,'Data_NSA'!$1:$1,0)),"")</f>
        <v/>
      </c>
      <c r="J14" s="10">
        <f>IF($E14="","",IFERROR(INDEX('Data_SA'!$A:$LO,MATCH(I$2,'Data_SA'!$A:$A,0),MATCH($E14,'Data_SA'!$1:$1,0)),""))</f>
        <v/>
      </c>
      <c r="K14" s="7">
        <f>IF($E14="","",IFERROR(INDEX('Data_SA'!$A:$LO,MATCH(I$2,'Data_SA'!$A:$A,0),MATCH($E14,'Data_SA'!$1:$1,0))/INDEX('Data_SA'!$A:$LO,MATCH(EDATE(I$2,-1),'Data_SA'!$A:$A,0),MATCH($E14,'Data_SA'!$1:$1,0))-1,""))</f>
        <v/>
      </c>
      <c r="L14" s="7">
        <f>IFERROR(INDEX('Data_NSA'!$A:$OK,MATCH(I$2,'Data_NSA'!$A:$A,0),MATCH($D14,'Data_NSA'!$1:$1,0))/INDEX('Data_NSA'!$A:$OK,MATCH(EDATE(I$2,-12),'Data_NSA'!$A:$A,0),MATCH($D14,'Data_NSA'!$1:$1,0))-1,"")</f>
        <v/>
      </c>
      <c r="M14" s="10">
        <f>IFERROR(INDEX('Weights'!$G:$I,MATCH($A14,'Weights'!$A:$A,0),MATCH(I$2,'Weights'!$G$1:$I$1,0)),"")</f>
        <v/>
      </c>
      <c r="N14" s="10">
        <f>IF($E14="","",IFERROR(100*(INDEX('Weights'!$D:$D,MATCH($A14,'Weights'!$A:$A,0))*(INDEX('Data_NSA'!$A:$OK,MATCH(EDATE(I$2,-1),'Data_NSA'!$A:$A,0),MATCH($D14,'Data_NSA'!$1:$1,0))/INDEX('Data_NSA'!$A:$OK,MATCH(INDEX('Weights'!$E:$E,MATCH($A14,'Weights'!$A:$A,0)),'Data_NSA'!$A:$A,0),MATCH($D14,'Data_NSA'!$1:$1,0))))/(100*(INDEX('Data_NSA'!$A:$OK,MATCH(EDATE(I$2,-1),'Data_NSA'!$A:$A,0),MATCH("CUUR0000SA0",'Data_NSA'!$1:$1,0))/INDEX('Data_NSA'!$A:$OK,MATCH(INDEX('Weights'!$E:$E,MATCH($A14,'Weights'!$A:$A,0)),'Data_NSA'!$A:$A,0),MATCH("CUUR0000SA0",'Data_NSA'!$1:$1,0))))*(INDEX('Data_SA'!$A:$LO,MATCH(I$2,'Data_SA'!$A:$A,0),MATCH($E14,'Data_SA'!$1:$1,0))/INDEX('Data_SA'!$A:$LO,MATCH(EDATE(I$2,-1),'Data_SA'!$A:$A,0),MATCH($E14,'Data_SA'!$1:$1,0))-1),""))</f>
        <v/>
      </c>
      <c r="O14" s="10">
        <f>IFERROR(INDEX('Data_NSA'!$A:$OK,MATCH(O$2,'Data_NSA'!$A:$A,0),MATCH($D14,'Data_NSA'!$1:$1,0)),"")</f>
        <v/>
      </c>
      <c r="P14" s="10">
        <f>IF($E14="","",IFERROR(INDEX('Data_SA'!$A:$LO,MATCH(O$2,'Data_SA'!$A:$A,0),MATCH($E14,'Data_SA'!$1:$1,0)),""))</f>
        <v/>
      </c>
      <c r="Q14" s="7">
        <f>IF($E14="","",IFERROR(INDEX('Data_SA'!$A:$LO,MATCH(O$2,'Data_SA'!$A:$A,0),MATCH($E14,'Data_SA'!$1:$1,0))/INDEX('Data_SA'!$A:$LO,MATCH(EDATE(O$2,-1),'Data_SA'!$A:$A,0),MATCH($E14,'Data_SA'!$1:$1,0))-1,""))</f>
        <v/>
      </c>
      <c r="R14" s="7">
        <f>IFERROR(INDEX('Data_NSA'!$A:$OK,MATCH(O$2,'Data_NSA'!$A:$A,0),MATCH($D14,'Data_NSA'!$1:$1,0))/INDEX('Data_NSA'!$A:$OK,MATCH(EDATE(O$2,-12),'Data_NSA'!$A:$A,0),MATCH($D14,'Data_NSA'!$1:$1,0))-1,"")</f>
        <v/>
      </c>
      <c r="S14" s="10">
        <f>IFERROR(INDEX('Weights'!$G:$I,MATCH($A14,'Weights'!$A:$A,0),MATCH(O$2,'Weights'!$G$1:$I$1,0)),"")</f>
        <v/>
      </c>
      <c r="T14" s="10">
        <f>IF($E14="","",IFERROR(100*(INDEX('Weights'!$D:$D,MATCH($A14,'Weights'!$A:$A,0))*(INDEX('Data_NSA'!$A:$OK,MATCH(EDATE(O$2,-1),'Data_NSA'!$A:$A,0),MATCH($D14,'Data_NSA'!$1:$1,0))/INDEX('Data_NSA'!$A:$OK,MATCH(INDEX('Weights'!$E:$E,MATCH($A14,'Weights'!$A:$A,0)),'Data_NSA'!$A:$A,0),MATCH($D14,'Data_NSA'!$1:$1,0))))/(100*(INDEX('Data_NSA'!$A:$OK,MATCH(EDATE(O$2,-1),'Data_NSA'!$A:$A,0),MATCH("CUUR0000SA0",'Data_NSA'!$1:$1,0))/INDEX('Data_NSA'!$A:$OK,MATCH(INDEX('Weights'!$E:$E,MATCH($A14,'Weights'!$A:$A,0)),'Data_NSA'!$A:$A,0),MATCH("CUUR0000SA0",'Data_NSA'!$1:$1,0))))*(INDEX('Data_SA'!$A:$LO,MATCH(O$2,'Data_SA'!$A:$A,0),MATCH($E14,'Data_SA'!$1:$1,0))/INDEX('Data_SA'!$A:$LO,MATCH(EDATE(O$2,-1),'Data_SA'!$A:$A,0),MATCH($E14,'Data_SA'!$1:$1,0))-1),""))</f>
        <v/>
      </c>
      <c r="U14" s="10">
        <f>IFERROR(INDEX('Data_NSA'!$A:$OK,MATCH(U$2,'Data_NSA'!$A:$A,0),MATCH($D14,'Data_NSA'!$1:$1,0)),"")</f>
        <v/>
      </c>
      <c r="V14" s="10">
        <f>IF($E14="","",IFERROR(INDEX('Data_SA'!$A:$LO,MATCH(U$2,'Data_SA'!$A:$A,0),MATCH($E14,'Data_SA'!$1:$1,0)),""))</f>
        <v/>
      </c>
      <c r="W14" s="7">
        <f>IF($E14="","",IFERROR(INDEX('Data_SA'!$A:$LO,MATCH(U$2,'Data_SA'!$A:$A,0),MATCH($E14,'Data_SA'!$1:$1,0))/INDEX('Data_SA'!$A:$LO,MATCH(EDATE(U$2,-1),'Data_SA'!$A:$A,0),MATCH($E14,'Data_SA'!$1:$1,0))-1,""))</f>
        <v/>
      </c>
      <c r="X14" s="7">
        <f>IFERROR(INDEX('Data_NSA'!$A:$OK,MATCH(U$2,'Data_NSA'!$A:$A,0),MATCH($D14,'Data_NSA'!$1:$1,0))/INDEX('Data_NSA'!$A:$OK,MATCH(EDATE(U$2,-12),'Data_NSA'!$A:$A,0),MATCH($D14,'Data_NSA'!$1:$1,0))-1,"")</f>
        <v/>
      </c>
      <c r="Y14" s="10">
        <f>IFERROR(INDEX('Weights'!$G:$I,MATCH($A14,'Weights'!$A:$A,0),MATCH(U$2,'Weights'!$G$1:$I$1,0)),"")</f>
        <v/>
      </c>
      <c r="Z14" s="10">
        <f>IF($E14="","",IFERROR(100*(INDEX('Weights'!$D:$D,MATCH($A14,'Weights'!$A:$A,0))*(INDEX('Data_NSA'!$A:$OK,MATCH(EDATE(U$2,-1),'Data_NSA'!$A:$A,0),MATCH($D14,'Data_NSA'!$1:$1,0))/INDEX('Data_NSA'!$A:$OK,MATCH(INDEX('Weights'!$E:$E,MATCH($A14,'Weights'!$A:$A,0)),'Data_NSA'!$A:$A,0),MATCH($D14,'Data_NSA'!$1:$1,0))))/(100*(INDEX('Data_NSA'!$A:$OK,MATCH(EDATE(U$2,-1),'Data_NSA'!$A:$A,0),MATCH("CUUR0000SA0",'Data_NSA'!$1:$1,0))/INDEX('Data_NSA'!$A:$OK,MATCH(INDEX('Weights'!$E:$E,MATCH($A14,'Weights'!$A:$A,0)),'Data_NSA'!$A:$A,0),MATCH("CUUR0000SA0",'Data_NSA'!$1:$1,0))))*(INDEX('Data_SA'!$A:$LO,MATCH(U$2,'Data_SA'!$A:$A,0),MATCH($E14,'Data_SA'!$1:$1,0))/INDEX('Data_SA'!$A:$LO,MATCH(EDATE(U$2,-1),'Data_SA'!$A:$A,0),MATCH($E14,'Data_SA'!$1:$1,0))-1),""))</f>
        <v/>
      </c>
    </row>
    <row r="15">
      <c r="A15" s="3" t="inlineStr">
        <is>
          <t>SEFB</t>
        </is>
      </c>
      <c r="B15" s="3" t="inlineStr">
        <is>
          <t>Bakery products</t>
        </is>
      </c>
      <c r="C15" s="3" t="inlineStr">
        <is>
          <t>SAF111</t>
        </is>
      </c>
      <c r="D15" s="3" t="inlineStr">
        <is>
          <t>CUUR0000SEFB</t>
        </is>
      </c>
      <c r="E15" s="3" t="inlineStr">
        <is>
          <t>CUSR0000SEFB</t>
        </is>
      </c>
      <c r="F15" s="3" t="inlineStr">
        <is>
          <t>aggregate</t>
        </is>
      </c>
      <c r="G15" s="3" t="inlineStr">
        <is>
          <t>aggregate</t>
        </is>
      </c>
      <c r="H15" s="10">
        <f>IFERROR(INDEX(Weights!$D:$D,MATCH($A15,Weights!$A:$A,0)),"")</f>
        <v/>
      </c>
      <c r="I15" s="10">
        <f>IFERROR(INDEX('Data_NSA'!$A:$OK,MATCH(I$2,'Data_NSA'!$A:$A,0),MATCH($D15,'Data_NSA'!$1:$1,0)),"")</f>
        <v/>
      </c>
      <c r="J15" s="10">
        <f>IF($E15="","",IFERROR(INDEX('Data_SA'!$A:$LO,MATCH(I$2,'Data_SA'!$A:$A,0),MATCH($E15,'Data_SA'!$1:$1,0)),""))</f>
        <v/>
      </c>
      <c r="K15" s="7">
        <f>IF($E15="","",IFERROR(INDEX('Data_SA'!$A:$LO,MATCH(I$2,'Data_SA'!$A:$A,0),MATCH($E15,'Data_SA'!$1:$1,0))/INDEX('Data_SA'!$A:$LO,MATCH(EDATE(I$2,-1),'Data_SA'!$A:$A,0),MATCH($E15,'Data_SA'!$1:$1,0))-1,""))</f>
        <v/>
      </c>
      <c r="L15" s="7">
        <f>IFERROR(INDEX('Data_NSA'!$A:$OK,MATCH(I$2,'Data_NSA'!$A:$A,0),MATCH($D15,'Data_NSA'!$1:$1,0))/INDEX('Data_NSA'!$A:$OK,MATCH(EDATE(I$2,-12),'Data_NSA'!$A:$A,0),MATCH($D15,'Data_NSA'!$1:$1,0))-1,"")</f>
        <v/>
      </c>
      <c r="M15" s="10">
        <f>IFERROR(INDEX('Weights'!$G:$I,MATCH($A15,'Weights'!$A:$A,0),MATCH(I$2,'Weights'!$G$1:$I$1,0)),"")</f>
        <v/>
      </c>
      <c r="N15" s="10">
        <f>IF($E15="","",IFERROR(100*(INDEX('Weights'!$D:$D,MATCH($A15,'Weights'!$A:$A,0))*(INDEX('Data_NSA'!$A:$OK,MATCH(EDATE(I$2,-1),'Data_NSA'!$A:$A,0),MATCH($D15,'Data_NSA'!$1:$1,0))/INDEX('Data_NSA'!$A:$OK,MATCH(INDEX('Weights'!$E:$E,MATCH($A15,'Weights'!$A:$A,0)),'Data_NSA'!$A:$A,0),MATCH($D15,'Data_NSA'!$1:$1,0))))/(100*(INDEX('Data_NSA'!$A:$OK,MATCH(EDATE(I$2,-1),'Data_NSA'!$A:$A,0),MATCH("CUUR0000SA0",'Data_NSA'!$1:$1,0))/INDEX('Data_NSA'!$A:$OK,MATCH(INDEX('Weights'!$E:$E,MATCH($A15,'Weights'!$A:$A,0)),'Data_NSA'!$A:$A,0),MATCH("CUUR0000SA0",'Data_NSA'!$1:$1,0))))*(INDEX('Data_SA'!$A:$LO,MATCH(I$2,'Data_SA'!$A:$A,0),MATCH($E15,'Data_SA'!$1:$1,0))/INDEX('Data_SA'!$A:$LO,MATCH(EDATE(I$2,-1),'Data_SA'!$A:$A,0),MATCH($E15,'Data_SA'!$1:$1,0))-1),""))</f>
        <v/>
      </c>
      <c r="O15" s="10">
        <f>IFERROR(INDEX('Data_NSA'!$A:$OK,MATCH(O$2,'Data_NSA'!$A:$A,0),MATCH($D15,'Data_NSA'!$1:$1,0)),"")</f>
        <v/>
      </c>
      <c r="P15" s="10">
        <f>IF($E15="","",IFERROR(INDEX('Data_SA'!$A:$LO,MATCH(O$2,'Data_SA'!$A:$A,0),MATCH($E15,'Data_SA'!$1:$1,0)),""))</f>
        <v/>
      </c>
      <c r="Q15" s="7">
        <f>IF($E15="","",IFERROR(INDEX('Data_SA'!$A:$LO,MATCH(O$2,'Data_SA'!$A:$A,0),MATCH($E15,'Data_SA'!$1:$1,0))/INDEX('Data_SA'!$A:$LO,MATCH(EDATE(O$2,-1),'Data_SA'!$A:$A,0),MATCH($E15,'Data_SA'!$1:$1,0))-1,""))</f>
        <v/>
      </c>
      <c r="R15" s="7">
        <f>IFERROR(INDEX('Data_NSA'!$A:$OK,MATCH(O$2,'Data_NSA'!$A:$A,0),MATCH($D15,'Data_NSA'!$1:$1,0))/INDEX('Data_NSA'!$A:$OK,MATCH(EDATE(O$2,-12),'Data_NSA'!$A:$A,0),MATCH($D15,'Data_NSA'!$1:$1,0))-1,"")</f>
        <v/>
      </c>
      <c r="S15" s="10">
        <f>IFERROR(INDEX('Weights'!$G:$I,MATCH($A15,'Weights'!$A:$A,0),MATCH(O$2,'Weights'!$G$1:$I$1,0)),"")</f>
        <v/>
      </c>
      <c r="T15" s="10">
        <f>IF($E15="","",IFERROR(100*(INDEX('Weights'!$D:$D,MATCH($A15,'Weights'!$A:$A,0))*(INDEX('Data_NSA'!$A:$OK,MATCH(EDATE(O$2,-1),'Data_NSA'!$A:$A,0),MATCH($D15,'Data_NSA'!$1:$1,0))/INDEX('Data_NSA'!$A:$OK,MATCH(INDEX('Weights'!$E:$E,MATCH($A15,'Weights'!$A:$A,0)),'Data_NSA'!$A:$A,0),MATCH($D15,'Data_NSA'!$1:$1,0))))/(100*(INDEX('Data_NSA'!$A:$OK,MATCH(EDATE(O$2,-1),'Data_NSA'!$A:$A,0),MATCH("CUUR0000SA0",'Data_NSA'!$1:$1,0))/INDEX('Data_NSA'!$A:$OK,MATCH(INDEX('Weights'!$E:$E,MATCH($A15,'Weights'!$A:$A,0)),'Data_NSA'!$A:$A,0),MATCH("CUUR0000SA0",'Data_NSA'!$1:$1,0))))*(INDEX('Data_SA'!$A:$LO,MATCH(O$2,'Data_SA'!$A:$A,0),MATCH($E15,'Data_SA'!$1:$1,0))/INDEX('Data_SA'!$A:$LO,MATCH(EDATE(O$2,-1),'Data_SA'!$A:$A,0),MATCH($E15,'Data_SA'!$1:$1,0))-1),""))</f>
        <v/>
      </c>
      <c r="U15" s="10">
        <f>IFERROR(INDEX('Data_NSA'!$A:$OK,MATCH(U$2,'Data_NSA'!$A:$A,0),MATCH($D15,'Data_NSA'!$1:$1,0)),"")</f>
        <v/>
      </c>
      <c r="V15" s="10">
        <f>IF($E15="","",IFERROR(INDEX('Data_SA'!$A:$LO,MATCH(U$2,'Data_SA'!$A:$A,0),MATCH($E15,'Data_SA'!$1:$1,0)),""))</f>
        <v/>
      </c>
      <c r="W15" s="7">
        <f>IF($E15="","",IFERROR(INDEX('Data_SA'!$A:$LO,MATCH(U$2,'Data_SA'!$A:$A,0),MATCH($E15,'Data_SA'!$1:$1,0))/INDEX('Data_SA'!$A:$LO,MATCH(EDATE(U$2,-1),'Data_SA'!$A:$A,0),MATCH($E15,'Data_SA'!$1:$1,0))-1,""))</f>
        <v/>
      </c>
      <c r="X15" s="7">
        <f>IFERROR(INDEX('Data_NSA'!$A:$OK,MATCH(U$2,'Data_NSA'!$A:$A,0),MATCH($D15,'Data_NSA'!$1:$1,0))/INDEX('Data_NSA'!$A:$OK,MATCH(EDATE(U$2,-12),'Data_NSA'!$A:$A,0),MATCH($D15,'Data_NSA'!$1:$1,0))-1,"")</f>
        <v/>
      </c>
      <c r="Y15" s="10">
        <f>IFERROR(INDEX('Weights'!$G:$I,MATCH($A15,'Weights'!$A:$A,0),MATCH(U$2,'Weights'!$G$1:$I$1,0)),"")</f>
        <v/>
      </c>
      <c r="Z15" s="10">
        <f>IF($E15="","",IFERROR(100*(INDEX('Weights'!$D:$D,MATCH($A15,'Weights'!$A:$A,0))*(INDEX('Data_NSA'!$A:$OK,MATCH(EDATE(U$2,-1),'Data_NSA'!$A:$A,0),MATCH($D15,'Data_NSA'!$1:$1,0))/INDEX('Data_NSA'!$A:$OK,MATCH(INDEX('Weights'!$E:$E,MATCH($A15,'Weights'!$A:$A,0)),'Data_NSA'!$A:$A,0),MATCH($D15,'Data_NSA'!$1:$1,0))))/(100*(INDEX('Data_NSA'!$A:$OK,MATCH(EDATE(U$2,-1),'Data_NSA'!$A:$A,0),MATCH("CUUR0000SA0",'Data_NSA'!$1:$1,0))/INDEX('Data_NSA'!$A:$OK,MATCH(INDEX('Weights'!$E:$E,MATCH($A15,'Weights'!$A:$A,0)),'Data_NSA'!$A:$A,0),MATCH("CUUR0000SA0",'Data_NSA'!$1:$1,0))))*(INDEX('Data_SA'!$A:$LO,MATCH(U$2,'Data_SA'!$A:$A,0),MATCH($E15,'Data_SA'!$1:$1,0))/INDEX('Data_SA'!$A:$LO,MATCH(EDATE(U$2,-1),'Data_SA'!$A:$A,0),MATCH($E15,'Data_SA'!$1:$1,0))-1),""))</f>
        <v/>
      </c>
    </row>
    <row r="16">
      <c r="A16" s="3" t="inlineStr">
        <is>
          <t>SEFB01</t>
        </is>
      </c>
      <c r="B16" s="3" t="inlineStr">
        <is>
          <t>Bread</t>
        </is>
      </c>
      <c r="C16" s="3" t="inlineStr">
        <is>
          <t>SEFB</t>
        </is>
      </c>
      <c r="D16" s="3" t="inlineStr">
        <is>
          <t>CUUR0000SEFB01</t>
        </is>
      </c>
      <c r="E16" s="3" t="inlineStr">
        <is>
          <t>CUSR0000SEFB01</t>
        </is>
      </c>
      <c r="F16" s="3" t="inlineStr">
        <is>
          <t>aggregate</t>
        </is>
      </c>
      <c r="G16" s="3" t="inlineStr">
        <is>
          <t>aggregate</t>
        </is>
      </c>
      <c r="H16" s="10">
        <f>IFERROR(INDEX(Weights!$D:$D,MATCH($A16,Weights!$A:$A,0)),"")</f>
        <v/>
      </c>
      <c r="I16" s="10">
        <f>IFERROR(INDEX('Data_NSA'!$A:$OK,MATCH(I$2,'Data_NSA'!$A:$A,0),MATCH($D16,'Data_NSA'!$1:$1,0)),"")</f>
        <v/>
      </c>
      <c r="J16" s="10">
        <f>IF($E16="","",IFERROR(INDEX('Data_SA'!$A:$LO,MATCH(I$2,'Data_SA'!$A:$A,0),MATCH($E16,'Data_SA'!$1:$1,0)),""))</f>
        <v/>
      </c>
      <c r="K16" s="7">
        <f>IF($E16="","",IFERROR(INDEX('Data_SA'!$A:$LO,MATCH(I$2,'Data_SA'!$A:$A,0),MATCH($E16,'Data_SA'!$1:$1,0))/INDEX('Data_SA'!$A:$LO,MATCH(EDATE(I$2,-1),'Data_SA'!$A:$A,0),MATCH($E16,'Data_SA'!$1:$1,0))-1,""))</f>
        <v/>
      </c>
      <c r="L16" s="7">
        <f>IFERROR(INDEX('Data_NSA'!$A:$OK,MATCH(I$2,'Data_NSA'!$A:$A,0),MATCH($D16,'Data_NSA'!$1:$1,0))/INDEX('Data_NSA'!$A:$OK,MATCH(EDATE(I$2,-12),'Data_NSA'!$A:$A,0),MATCH($D16,'Data_NSA'!$1:$1,0))-1,"")</f>
        <v/>
      </c>
      <c r="M16" s="10">
        <f>IFERROR(INDEX('Weights'!$G:$I,MATCH($A16,'Weights'!$A:$A,0),MATCH(I$2,'Weights'!$G$1:$I$1,0)),"")</f>
        <v/>
      </c>
      <c r="N16" s="10">
        <f>IF($E16="","",IFERROR(100*(INDEX('Weights'!$D:$D,MATCH($A16,'Weights'!$A:$A,0))*(INDEX('Data_NSA'!$A:$OK,MATCH(EDATE(I$2,-1),'Data_NSA'!$A:$A,0),MATCH($D16,'Data_NSA'!$1:$1,0))/INDEX('Data_NSA'!$A:$OK,MATCH(INDEX('Weights'!$E:$E,MATCH($A16,'Weights'!$A:$A,0)),'Data_NSA'!$A:$A,0),MATCH($D16,'Data_NSA'!$1:$1,0))))/(100*(INDEX('Data_NSA'!$A:$OK,MATCH(EDATE(I$2,-1),'Data_NSA'!$A:$A,0),MATCH("CUUR0000SA0",'Data_NSA'!$1:$1,0))/INDEX('Data_NSA'!$A:$OK,MATCH(INDEX('Weights'!$E:$E,MATCH($A16,'Weights'!$A:$A,0)),'Data_NSA'!$A:$A,0),MATCH("CUUR0000SA0",'Data_NSA'!$1:$1,0))))*(INDEX('Data_SA'!$A:$LO,MATCH(I$2,'Data_SA'!$A:$A,0),MATCH($E16,'Data_SA'!$1:$1,0))/INDEX('Data_SA'!$A:$LO,MATCH(EDATE(I$2,-1),'Data_SA'!$A:$A,0),MATCH($E16,'Data_SA'!$1:$1,0))-1),""))</f>
        <v/>
      </c>
      <c r="O16" s="10">
        <f>IFERROR(INDEX('Data_NSA'!$A:$OK,MATCH(O$2,'Data_NSA'!$A:$A,0),MATCH($D16,'Data_NSA'!$1:$1,0)),"")</f>
        <v/>
      </c>
      <c r="P16" s="10">
        <f>IF($E16="","",IFERROR(INDEX('Data_SA'!$A:$LO,MATCH(O$2,'Data_SA'!$A:$A,0),MATCH($E16,'Data_SA'!$1:$1,0)),""))</f>
        <v/>
      </c>
      <c r="Q16" s="7">
        <f>IF($E16="","",IFERROR(INDEX('Data_SA'!$A:$LO,MATCH(O$2,'Data_SA'!$A:$A,0),MATCH($E16,'Data_SA'!$1:$1,0))/INDEX('Data_SA'!$A:$LO,MATCH(EDATE(O$2,-1),'Data_SA'!$A:$A,0),MATCH($E16,'Data_SA'!$1:$1,0))-1,""))</f>
        <v/>
      </c>
      <c r="R16" s="7">
        <f>IFERROR(INDEX('Data_NSA'!$A:$OK,MATCH(O$2,'Data_NSA'!$A:$A,0),MATCH($D16,'Data_NSA'!$1:$1,0))/INDEX('Data_NSA'!$A:$OK,MATCH(EDATE(O$2,-12),'Data_NSA'!$A:$A,0),MATCH($D16,'Data_NSA'!$1:$1,0))-1,"")</f>
        <v/>
      </c>
      <c r="S16" s="10">
        <f>IFERROR(INDEX('Weights'!$G:$I,MATCH($A16,'Weights'!$A:$A,0),MATCH(O$2,'Weights'!$G$1:$I$1,0)),"")</f>
        <v/>
      </c>
      <c r="T16" s="10">
        <f>IF($E16="","",IFERROR(100*(INDEX('Weights'!$D:$D,MATCH($A16,'Weights'!$A:$A,0))*(INDEX('Data_NSA'!$A:$OK,MATCH(EDATE(O$2,-1),'Data_NSA'!$A:$A,0),MATCH($D16,'Data_NSA'!$1:$1,0))/INDEX('Data_NSA'!$A:$OK,MATCH(INDEX('Weights'!$E:$E,MATCH($A16,'Weights'!$A:$A,0)),'Data_NSA'!$A:$A,0),MATCH($D16,'Data_NSA'!$1:$1,0))))/(100*(INDEX('Data_NSA'!$A:$OK,MATCH(EDATE(O$2,-1),'Data_NSA'!$A:$A,0),MATCH("CUUR0000SA0",'Data_NSA'!$1:$1,0))/INDEX('Data_NSA'!$A:$OK,MATCH(INDEX('Weights'!$E:$E,MATCH($A16,'Weights'!$A:$A,0)),'Data_NSA'!$A:$A,0),MATCH("CUUR0000SA0",'Data_NSA'!$1:$1,0))))*(INDEX('Data_SA'!$A:$LO,MATCH(O$2,'Data_SA'!$A:$A,0),MATCH($E16,'Data_SA'!$1:$1,0))/INDEX('Data_SA'!$A:$LO,MATCH(EDATE(O$2,-1),'Data_SA'!$A:$A,0),MATCH($E16,'Data_SA'!$1:$1,0))-1),""))</f>
        <v/>
      </c>
      <c r="U16" s="10">
        <f>IFERROR(INDEX('Data_NSA'!$A:$OK,MATCH(U$2,'Data_NSA'!$A:$A,0),MATCH($D16,'Data_NSA'!$1:$1,0)),"")</f>
        <v/>
      </c>
      <c r="V16" s="10">
        <f>IF($E16="","",IFERROR(INDEX('Data_SA'!$A:$LO,MATCH(U$2,'Data_SA'!$A:$A,0),MATCH($E16,'Data_SA'!$1:$1,0)),""))</f>
        <v/>
      </c>
      <c r="W16" s="7">
        <f>IF($E16="","",IFERROR(INDEX('Data_SA'!$A:$LO,MATCH(U$2,'Data_SA'!$A:$A,0),MATCH($E16,'Data_SA'!$1:$1,0))/INDEX('Data_SA'!$A:$LO,MATCH(EDATE(U$2,-1),'Data_SA'!$A:$A,0),MATCH($E16,'Data_SA'!$1:$1,0))-1,""))</f>
        <v/>
      </c>
      <c r="X16" s="7">
        <f>IFERROR(INDEX('Data_NSA'!$A:$OK,MATCH(U$2,'Data_NSA'!$A:$A,0),MATCH($D16,'Data_NSA'!$1:$1,0))/INDEX('Data_NSA'!$A:$OK,MATCH(EDATE(U$2,-12),'Data_NSA'!$A:$A,0),MATCH($D16,'Data_NSA'!$1:$1,0))-1,"")</f>
        <v/>
      </c>
      <c r="Y16" s="10">
        <f>IFERROR(INDEX('Weights'!$G:$I,MATCH($A16,'Weights'!$A:$A,0),MATCH(U$2,'Weights'!$G$1:$I$1,0)),"")</f>
        <v/>
      </c>
      <c r="Z16" s="10">
        <f>IF($E16="","",IFERROR(100*(INDEX('Weights'!$D:$D,MATCH($A16,'Weights'!$A:$A,0))*(INDEX('Data_NSA'!$A:$OK,MATCH(EDATE(U$2,-1),'Data_NSA'!$A:$A,0),MATCH($D16,'Data_NSA'!$1:$1,0))/INDEX('Data_NSA'!$A:$OK,MATCH(INDEX('Weights'!$E:$E,MATCH($A16,'Weights'!$A:$A,0)),'Data_NSA'!$A:$A,0),MATCH($D16,'Data_NSA'!$1:$1,0))))/(100*(INDEX('Data_NSA'!$A:$OK,MATCH(EDATE(U$2,-1),'Data_NSA'!$A:$A,0),MATCH("CUUR0000SA0",'Data_NSA'!$1:$1,0))/INDEX('Data_NSA'!$A:$OK,MATCH(INDEX('Weights'!$E:$E,MATCH($A16,'Weights'!$A:$A,0)),'Data_NSA'!$A:$A,0),MATCH("CUUR0000SA0",'Data_NSA'!$1:$1,0))))*(INDEX('Data_SA'!$A:$LO,MATCH(U$2,'Data_SA'!$A:$A,0),MATCH($E16,'Data_SA'!$1:$1,0))/INDEX('Data_SA'!$A:$LO,MATCH(EDATE(U$2,-1),'Data_SA'!$A:$A,0),MATCH($E16,'Data_SA'!$1:$1,0))-1),""))</f>
        <v/>
      </c>
    </row>
    <row r="17">
      <c r="A17" s="3" t="inlineStr">
        <is>
          <t>SS02011</t>
        </is>
      </c>
      <c r="B17" s="3" t="inlineStr">
        <is>
          <t>White bread</t>
        </is>
      </c>
      <c r="C17" s="3" t="inlineStr">
        <is>
          <t>SEFB01</t>
        </is>
      </c>
      <c r="D17" s="3" t="inlineStr">
        <is>
          <t>CUUR0000SS02011</t>
        </is>
      </c>
      <c r="E17" s="3" t="inlineStr"/>
      <c r="F17" s="3" t="inlineStr">
        <is>
          <t>GM</t>
        </is>
      </c>
      <c r="G17" s="3" t="inlineStr">
        <is>
          <t>monthly in New York/Los Angeles/Chicago; often bimonthly elsewhere</t>
        </is>
      </c>
      <c r="H17" s="10">
        <f>IFERROR(INDEX(Weights!$D:$D,MATCH($A17,Weights!$A:$A,0)),"")</f>
        <v/>
      </c>
      <c r="I17" s="10">
        <f>IFERROR(INDEX('Data_NSA'!$A:$OK,MATCH(I$2,'Data_NSA'!$A:$A,0),MATCH($D17,'Data_NSA'!$1:$1,0)),"")</f>
        <v/>
      </c>
      <c r="J17" s="10">
        <f>IF($E17="","",IFERROR(INDEX('Data_SA'!$A:$LO,MATCH(I$2,'Data_SA'!$A:$A,0),MATCH($E17,'Data_SA'!$1:$1,0)),""))</f>
        <v/>
      </c>
      <c r="K17" s="7">
        <f>IF($E17="","",IFERROR(INDEX('Data_SA'!$A:$LO,MATCH(I$2,'Data_SA'!$A:$A,0),MATCH($E17,'Data_SA'!$1:$1,0))/INDEX('Data_SA'!$A:$LO,MATCH(EDATE(I$2,-1),'Data_SA'!$A:$A,0),MATCH($E17,'Data_SA'!$1:$1,0))-1,""))</f>
        <v/>
      </c>
      <c r="L17" s="7">
        <f>IFERROR(INDEX('Data_NSA'!$A:$OK,MATCH(I$2,'Data_NSA'!$A:$A,0),MATCH($D17,'Data_NSA'!$1:$1,0))/INDEX('Data_NSA'!$A:$OK,MATCH(EDATE(I$2,-12),'Data_NSA'!$A:$A,0),MATCH($D17,'Data_NSA'!$1:$1,0))-1,"")</f>
        <v/>
      </c>
      <c r="M17" s="10">
        <f>IFERROR(INDEX('Weights'!$G:$I,MATCH($A17,'Weights'!$A:$A,0),MATCH(I$2,'Weights'!$G$1:$I$1,0)),"")</f>
        <v/>
      </c>
      <c r="N17" s="10">
        <f>IF($E17="","",IFERROR(100*(INDEX('Weights'!$D:$D,MATCH($A17,'Weights'!$A:$A,0))*(INDEX('Data_NSA'!$A:$OK,MATCH(EDATE(I$2,-1),'Data_NSA'!$A:$A,0),MATCH($D17,'Data_NSA'!$1:$1,0))/INDEX('Data_NSA'!$A:$OK,MATCH(INDEX('Weights'!$E:$E,MATCH($A17,'Weights'!$A:$A,0)),'Data_NSA'!$A:$A,0),MATCH($D17,'Data_NSA'!$1:$1,0))))/(100*(INDEX('Data_NSA'!$A:$OK,MATCH(EDATE(I$2,-1),'Data_NSA'!$A:$A,0),MATCH("CUUR0000SA0",'Data_NSA'!$1:$1,0))/INDEX('Data_NSA'!$A:$OK,MATCH(INDEX('Weights'!$E:$E,MATCH($A17,'Weights'!$A:$A,0)),'Data_NSA'!$A:$A,0),MATCH("CUUR0000SA0",'Data_NSA'!$1:$1,0))))*(INDEX('Data_SA'!$A:$LO,MATCH(I$2,'Data_SA'!$A:$A,0),MATCH($E17,'Data_SA'!$1:$1,0))/INDEX('Data_SA'!$A:$LO,MATCH(EDATE(I$2,-1),'Data_SA'!$A:$A,0),MATCH($E17,'Data_SA'!$1:$1,0))-1),""))</f>
        <v/>
      </c>
      <c r="O17" s="10">
        <f>IFERROR(INDEX('Data_NSA'!$A:$OK,MATCH(O$2,'Data_NSA'!$A:$A,0),MATCH($D17,'Data_NSA'!$1:$1,0)),"")</f>
        <v/>
      </c>
      <c r="P17" s="10">
        <f>IF($E17="","",IFERROR(INDEX('Data_SA'!$A:$LO,MATCH(O$2,'Data_SA'!$A:$A,0),MATCH($E17,'Data_SA'!$1:$1,0)),""))</f>
        <v/>
      </c>
      <c r="Q17" s="7">
        <f>IF($E17="","",IFERROR(INDEX('Data_SA'!$A:$LO,MATCH(O$2,'Data_SA'!$A:$A,0),MATCH($E17,'Data_SA'!$1:$1,0))/INDEX('Data_SA'!$A:$LO,MATCH(EDATE(O$2,-1),'Data_SA'!$A:$A,0),MATCH($E17,'Data_SA'!$1:$1,0))-1,""))</f>
        <v/>
      </c>
      <c r="R17" s="7">
        <f>IFERROR(INDEX('Data_NSA'!$A:$OK,MATCH(O$2,'Data_NSA'!$A:$A,0),MATCH($D17,'Data_NSA'!$1:$1,0))/INDEX('Data_NSA'!$A:$OK,MATCH(EDATE(O$2,-12),'Data_NSA'!$A:$A,0),MATCH($D17,'Data_NSA'!$1:$1,0))-1,"")</f>
        <v/>
      </c>
      <c r="S17" s="10">
        <f>IFERROR(INDEX('Weights'!$G:$I,MATCH($A17,'Weights'!$A:$A,0),MATCH(O$2,'Weights'!$G$1:$I$1,0)),"")</f>
        <v/>
      </c>
      <c r="T17" s="10">
        <f>IF($E17="","",IFERROR(100*(INDEX('Weights'!$D:$D,MATCH($A17,'Weights'!$A:$A,0))*(INDEX('Data_NSA'!$A:$OK,MATCH(EDATE(O$2,-1),'Data_NSA'!$A:$A,0),MATCH($D17,'Data_NSA'!$1:$1,0))/INDEX('Data_NSA'!$A:$OK,MATCH(INDEX('Weights'!$E:$E,MATCH($A17,'Weights'!$A:$A,0)),'Data_NSA'!$A:$A,0),MATCH($D17,'Data_NSA'!$1:$1,0))))/(100*(INDEX('Data_NSA'!$A:$OK,MATCH(EDATE(O$2,-1),'Data_NSA'!$A:$A,0),MATCH("CUUR0000SA0",'Data_NSA'!$1:$1,0))/INDEX('Data_NSA'!$A:$OK,MATCH(INDEX('Weights'!$E:$E,MATCH($A17,'Weights'!$A:$A,0)),'Data_NSA'!$A:$A,0),MATCH("CUUR0000SA0",'Data_NSA'!$1:$1,0))))*(INDEX('Data_SA'!$A:$LO,MATCH(O$2,'Data_SA'!$A:$A,0),MATCH($E17,'Data_SA'!$1:$1,0))/INDEX('Data_SA'!$A:$LO,MATCH(EDATE(O$2,-1),'Data_SA'!$A:$A,0),MATCH($E17,'Data_SA'!$1:$1,0))-1),""))</f>
        <v/>
      </c>
      <c r="U17" s="10">
        <f>IFERROR(INDEX('Data_NSA'!$A:$OK,MATCH(U$2,'Data_NSA'!$A:$A,0),MATCH($D17,'Data_NSA'!$1:$1,0)),"")</f>
        <v/>
      </c>
      <c r="V17" s="10">
        <f>IF($E17="","",IFERROR(INDEX('Data_SA'!$A:$LO,MATCH(U$2,'Data_SA'!$A:$A,0),MATCH($E17,'Data_SA'!$1:$1,0)),""))</f>
        <v/>
      </c>
      <c r="W17" s="7">
        <f>IF($E17="","",IFERROR(INDEX('Data_SA'!$A:$LO,MATCH(U$2,'Data_SA'!$A:$A,0),MATCH($E17,'Data_SA'!$1:$1,0))/INDEX('Data_SA'!$A:$LO,MATCH(EDATE(U$2,-1),'Data_SA'!$A:$A,0),MATCH($E17,'Data_SA'!$1:$1,0))-1,""))</f>
        <v/>
      </c>
      <c r="X17" s="7">
        <f>IFERROR(INDEX('Data_NSA'!$A:$OK,MATCH(U$2,'Data_NSA'!$A:$A,0),MATCH($D17,'Data_NSA'!$1:$1,0))/INDEX('Data_NSA'!$A:$OK,MATCH(EDATE(U$2,-12),'Data_NSA'!$A:$A,0),MATCH($D17,'Data_NSA'!$1:$1,0))-1,"")</f>
        <v/>
      </c>
      <c r="Y17" s="10">
        <f>IFERROR(INDEX('Weights'!$G:$I,MATCH($A17,'Weights'!$A:$A,0),MATCH(U$2,'Weights'!$G$1:$I$1,0)),"")</f>
        <v/>
      </c>
      <c r="Z17" s="10">
        <f>IF($E17="","",IFERROR(100*(INDEX('Weights'!$D:$D,MATCH($A17,'Weights'!$A:$A,0))*(INDEX('Data_NSA'!$A:$OK,MATCH(EDATE(U$2,-1),'Data_NSA'!$A:$A,0),MATCH($D17,'Data_NSA'!$1:$1,0))/INDEX('Data_NSA'!$A:$OK,MATCH(INDEX('Weights'!$E:$E,MATCH($A17,'Weights'!$A:$A,0)),'Data_NSA'!$A:$A,0),MATCH($D17,'Data_NSA'!$1:$1,0))))/(100*(INDEX('Data_NSA'!$A:$OK,MATCH(EDATE(U$2,-1),'Data_NSA'!$A:$A,0),MATCH("CUUR0000SA0",'Data_NSA'!$1:$1,0))/INDEX('Data_NSA'!$A:$OK,MATCH(INDEX('Weights'!$E:$E,MATCH($A17,'Weights'!$A:$A,0)),'Data_NSA'!$A:$A,0),MATCH("CUUR0000SA0",'Data_NSA'!$1:$1,0))))*(INDEX('Data_SA'!$A:$LO,MATCH(U$2,'Data_SA'!$A:$A,0),MATCH($E17,'Data_SA'!$1:$1,0))/INDEX('Data_SA'!$A:$LO,MATCH(EDATE(U$2,-1),'Data_SA'!$A:$A,0),MATCH($E17,'Data_SA'!$1:$1,0))-1),""))</f>
        <v/>
      </c>
    </row>
    <row r="18">
      <c r="A18" s="3" t="inlineStr">
        <is>
          <t>SS02021</t>
        </is>
      </c>
      <c r="B18" s="3" t="inlineStr">
        <is>
          <t>Bread other than white</t>
        </is>
      </c>
      <c r="C18" s="3" t="inlineStr">
        <is>
          <t>SEFB01</t>
        </is>
      </c>
      <c r="D18" s="3" t="inlineStr">
        <is>
          <t>CUUR0000SS02021</t>
        </is>
      </c>
      <c r="E18" s="3" t="inlineStr"/>
      <c r="F18" s="3" t="inlineStr">
        <is>
          <t>GM</t>
        </is>
      </c>
      <c r="G18" s="3" t="inlineStr">
        <is>
          <t>monthly in New York/Los Angeles/Chicago; often bimonthly elsewhere</t>
        </is>
      </c>
      <c r="H18" s="10">
        <f>IFERROR(INDEX(Weights!$D:$D,MATCH($A18,Weights!$A:$A,0)),"")</f>
        <v/>
      </c>
      <c r="I18" s="10">
        <f>IFERROR(INDEX('Data_NSA'!$A:$OK,MATCH(I$2,'Data_NSA'!$A:$A,0),MATCH($D18,'Data_NSA'!$1:$1,0)),"")</f>
        <v/>
      </c>
      <c r="J18" s="10">
        <f>IF($E18="","",IFERROR(INDEX('Data_SA'!$A:$LO,MATCH(I$2,'Data_SA'!$A:$A,0),MATCH($E18,'Data_SA'!$1:$1,0)),""))</f>
        <v/>
      </c>
      <c r="K18" s="7">
        <f>IF($E18="","",IFERROR(INDEX('Data_SA'!$A:$LO,MATCH(I$2,'Data_SA'!$A:$A,0),MATCH($E18,'Data_SA'!$1:$1,0))/INDEX('Data_SA'!$A:$LO,MATCH(EDATE(I$2,-1),'Data_SA'!$A:$A,0),MATCH($E18,'Data_SA'!$1:$1,0))-1,""))</f>
        <v/>
      </c>
      <c r="L18" s="7">
        <f>IFERROR(INDEX('Data_NSA'!$A:$OK,MATCH(I$2,'Data_NSA'!$A:$A,0),MATCH($D18,'Data_NSA'!$1:$1,0))/INDEX('Data_NSA'!$A:$OK,MATCH(EDATE(I$2,-12),'Data_NSA'!$A:$A,0),MATCH($D18,'Data_NSA'!$1:$1,0))-1,"")</f>
        <v/>
      </c>
      <c r="M18" s="10">
        <f>IFERROR(INDEX('Weights'!$G:$I,MATCH($A18,'Weights'!$A:$A,0),MATCH(I$2,'Weights'!$G$1:$I$1,0)),"")</f>
        <v/>
      </c>
      <c r="N18" s="10">
        <f>IF($E18="","",IFERROR(100*(INDEX('Weights'!$D:$D,MATCH($A18,'Weights'!$A:$A,0))*(INDEX('Data_NSA'!$A:$OK,MATCH(EDATE(I$2,-1),'Data_NSA'!$A:$A,0),MATCH($D18,'Data_NSA'!$1:$1,0))/INDEX('Data_NSA'!$A:$OK,MATCH(INDEX('Weights'!$E:$E,MATCH($A18,'Weights'!$A:$A,0)),'Data_NSA'!$A:$A,0),MATCH($D18,'Data_NSA'!$1:$1,0))))/(100*(INDEX('Data_NSA'!$A:$OK,MATCH(EDATE(I$2,-1),'Data_NSA'!$A:$A,0),MATCH("CUUR0000SA0",'Data_NSA'!$1:$1,0))/INDEX('Data_NSA'!$A:$OK,MATCH(INDEX('Weights'!$E:$E,MATCH($A18,'Weights'!$A:$A,0)),'Data_NSA'!$A:$A,0),MATCH("CUUR0000SA0",'Data_NSA'!$1:$1,0))))*(INDEX('Data_SA'!$A:$LO,MATCH(I$2,'Data_SA'!$A:$A,0),MATCH($E18,'Data_SA'!$1:$1,0))/INDEX('Data_SA'!$A:$LO,MATCH(EDATE(I$2,-1),'Data_SA'!$A:$A,0),MATCH($E18,'Data_SA'!$1:$1,0))-1),""))</f>
        <v/>
      </c>
      <c r="O18" s="10">
        <f>IFERROR(INDEX('Data_NSA'!$A:$OK,MATCH(O$2,'Data_NSA'!$A:$A,0),MATCH($D18,'Data_NSA'!$1:$1,0)),"")</f>
        <v/>
      </c>
      <c r="P18" s="10">
        <f>IF($E18="","",IFERROR(INDEX('Data_SA'!$A:$LO,MATCH(O$2,'Data_SA'!$A:$A,0),MATCH($E18,'Data_SA'!$1:$1,0)),""))</f>
        <v/>
      </c>
      <c r="Q18" s="7">
        <f>IF($E18="","",IFERROR(INDEX('Data_SA'!$A:$LO,MATCH(O$2,'Data_SA'!$A:$A,0),MATCH($E18,'Data_SA'!$1:$1,0))/INDEX('Data_SA'!$A:$LO,MATCH(EDATE(O$2,-1),'Data_SA'!$A:$A,0),MATCH($E18,'Data_SA'!$1:$1,0))-1,""))</f>
        <v/>
      </c>
      <c r="R18" s="7">
        <f>IFERROR(INDEX('Data_NSA'!$A:$OK,MATCH(O$2,'Data_NSA'!$A:$A,0),MATCH($D18,'Data_NSA'!$1:$1,0))/INDEX('Data_NSA'!$A:$OK,MATCH(EDATE(O$2,-12),'Data_NSA'!$A:$A,0),MATCH($D18,'Data_NSA'!$1:$1,0))-1,"")</f>
        <v/>
      </c>
      <c r="S18" s="10">
        <f>IFERROR(INDEX('Weights'!$G:$I,MATCH($A18,'Weights'!$A:$A,0),MATCH(O$2,'Weights'!$G$1:$I$1,0)),"")</f>
        <v/>
      </c>
      <c r="T18" s="10">
        <f>IF($E18="","",IFERROR(100*(INDEX('Weights'!$D:$D,MATCH($A18,'Weights'!$A:$A,0))*(INDEX('Data_NSA'!$A:$OK,MATCH(EDATE(O$2,-1),'Data_NSA'!$A:$A,0),MATCH($D18,'Data_NSA'!$1:$1,0))/INDEX('Data_NSA'!$A:$OK,MATCH(INDEX('Weights'!$E:$E,MATCH($A18,'Weights'!$A:$A,0)),'Data_NSA'!$A:$A,0),MATCH($D18,'Data_NSA'!$1:$1,0))))/(100*(INDEX('Data_NSA'!$A:$OK,MATCH(EDATE(O$2,-1),'Data_NSA'!$A:$A,0),MATCH("CUUR0000SA0",'Data_NSA'!$1:$1,0))/INDEX('Data_NSA'!$A:$OK,MATCH(INDEX('Weights'!$E:$E,MATCH($A18,'Weights'!$A:$A,0)),'Data_NSA'!$A:$A,0),MATCH("CUUR0000SA0",'Data_NSA'!$1:$1,0))))*(INDEX('Data_SA'!$A:$LO,MATCH(O$2,'Data_SA'!$A:$A,0),MATCH($E18,'Data_SA'!$1:$1,0))/INDEX('Data_SA'!$A:$LO,MATCH(EDATE(O$2,-1),'Data_SA'!$A:$A,0),MATCH($E18,'Data_SA'!$1:$1,0))-1),""))</f>
        <v/>
      </c>
      <c r="U18" s="10">
        <f>IFERROR(INDEX('Data_NSA'!$A:$OK,MATCH(U$2,'Data_NSA'!$A:$A,0),MATCH($D18,'Data_NSA'!$1:$1,0)),"")</f>
        <v/>
      </c>
      <c r="V18" s="10">
        <f>IF($E18="","",IFERROR(INDEX('Data_SA'!$A:$LO,MATCH(U$2,'Data_SA'!$A:$A,0),MATCH($E18,'Data_SA'!$1:$1,0)),""))</f>
        <v/>
      </c>
      <c r="W18" s="7">
        <f>IF($E18="","",IFERROR(INDEX('Data_SA'!$A:$LO,MATCH(U$2,'Data_SA'!$A:$A,0),MATCH($E18,'Data_SA'!$1:$1,0))/INDEX('Data_SA'!$A:$LO,MATCH(EDATE(U$2,-1),'Data_SA'!$A:$A,0),MATCH($E18,'Data_SA'!$1:$1,0))-1,""))</f>
        <v/>
      </c>
      <c r="X18" s="7">
        <f>IFERROR(INDEX('Data_NSA'!$A:$OK,MATCH(U$2,'Data_NSA'!$A:$A,0),MATCH($D18,'Data_NSA'!$1:$1,0))/INDEX('Data_NSA'!$A:$OK,MATCH(EDATE(U$2,-12),'Data_NSA'!$A:$A,0),MATCH($D18,'Data_NSA'!$1:$1,0))-1,"")</f>
        <v/>
      </c>
      <c r="Y18" s="10">
        <f>IFERROR(INDEX('Weights'!$G:$I,MATCH($A18,'Weights'!$A:$A,0),MATCH(U$2,'Weights'!$G$1:$I$1,0)),"")</f>
        <v/>
      </c>
      <c r="Z18" s="10">
        <f>IF($E18="","",IFERROR(100*(INDEX('Weights'!$D:$D,MATCH($A18,'Weights'!$A:$A,0))*(INDEX('Data_NSA'!$A:$OK,MATCH(EDATE(U$2,-1),'Data_NSA'!$A:$A,0),MATCH($D18,'Data_NSA'!$1:$1,0))/INDEX('Data_NSA'!$A:$OK,MATCH(INDEX('Weights'!$E:$E,MATCH($A18,'Weights'!$A:$A,0)),'Data_NSA'!$A:$A,0),MATCH($D18,'Data_NSA'!$1:$1,0))))/(100*(INDEX('Data_NSA'!$A:$OK,MATCH(EDATE(U$2,-1),'Data_NSA'!$A:$A,0),MATCH("CUUR0000SA0",'Data_NSA'!$1:$1,0))/INDEX('Data_NSA'!$A:$OK,MATCH(INDEX('Weights'!$E:$E,MATCH($A18,'Weights'!$A:$A,0)),'Data_NSA'!$A:$A,0),MATCH("CUUR0000SA0",'Data_NSA'!$1:$1,0))))*(INDEX('Data_SA'!$A:$LO,MATCH(U$2,'Data_SA'!$A:$A,0),MATCH($E18,'Data_SA'!$1:$1,0))/INDEX('Data_SA'!$A:$LO,MATCH(EDATE(U$2,-1),'Data_SA'!$A:$A,0),MATCH($E18,'Data_SA'!$1:$1,0))-1),""))</f>
        <v/>
      </c>
    </row>
    <row r="19">
      <c r="A19" s="3" t="inlineStr">
        <is>
          <t>SEFB02</t>
        </is>
      </c>
      <c r="B19" s="3" t="inlineStr">
        <is>
          <t>Fresh biscuits, rolls, muffins</t>
        </is>
      </c>
      <c r="C19" s="3" t="inlineStr">
        <is>
          <t>SEFB</t>
        </is>
      </c>
      <c r="D19" s="3" t="inlineStr">
        <is>
          <t>CUUR0000SEFB02</t>
        </is>
      </c>
      <c r="E19" s="3" t="inlineStr">
        <is>
          <t>CUSR0000SEFB02</t>
        </is>
      </c>
      <c r="F19" s="3" t="inlineStr">
        <is>
          <t>GM</t>
        </is>
      </c>
      <c r="G19" s="3" t="inlineStr">
        <is>
          <t>monthly food collection where sampled</t>
        </is>
      </c>
      <c r="H19" s="10">
        <f>IFERROR(INDEX(Weights!$D:$D,MATCH($A19,Weights!$A:$A,0)),"")</f>
        <v/>
      </c>
      <c r="I19" s="10">
        <f>IFERROR(INDEX('Data_NSA'!$A:$OK,MATCH(I$2,'Data_NSA'!$A:$A,0),MATCH($D19,'Data_NSA'!$1:$1,0)),"")</f>
        <v/>
      </c>
      <c r="J19" s="10">
        <f>IF($E19="","",IFERROR(INDEX('Data_SA'!$A:$LO,MATCH(I$2,'Data_SA'!$A:$A,0),MATCH($E19,'Data_SA'!$1:$1,0)),""))</f>
        <v/>
      </c>
      <c r="K19" s="7">
        <f>IF($E19="","",IFERROR(INDEX('Data_SA'!$A:$LO,MATCH(I$2,'Data_SA'!$A:$A,0),MATCH($E19,'Data_SA'!$1:$1,0))/INDEX('Data_SA'!$A:$LO,MATCH(EDATE(I$2,-1),'Data_SA'!$A:$A,0),MATCH($E19,'Data_SA'!$1:$1,0))-1,""))</f>
        <v/>
      </c>
      <c r="L19" s="7">
        <f>IFERROR(INDEX('Data_NSA'!$A:$OK,MATCH(I$2,'Data_NSA'!$A:$A,0),MATCH($D19,'Data_NSA'!$1:$1,0))/INDEX('Data_NSA'!$A:$OK,MATCH(EDATE(I$2,-12),'Data_NSA'!$A:$A,0),MATCH($D19,'Data_NSA'!$1:$1,0))-1,"")</f>
        <v/>
      </c>
      <c r="M19" s="10">
        <f>IFERROR(INDEX('Weights'!$G:$I,MATCH($A19,'Weights'!$A:$A,0),MATCH(I$2,'Weights'!$G$1:$I$1,0)),"")</f>
        <v/>
      </c>
      <c r="N19" s="10">
        <f>IF($E19="","",IFERROR(100*(INDEX('Weights'!$D:$D,MATCH($A19,'Weights'!$A:$A,0))*(INDEX('Data_NSA'!$A:$OK,MATCH(EDATE(I$2,-1),'Data_NSA'!$A:$A,0),MATCH($D19,'Data_NSA'!$1:$1,0))/INDEX('Data_NSA'!$A:$OK,MATCH(INDEX('Weights'!$E:$E,MATCH($A19,'Weights'!$A:$A,0)),'Data_NSA'!$A:$A,0),MATCH($D19,'Data_NSA'!$1:$1,0))))/(100*(INDEX('Data_NSA'!$A:$OK,MATCH(EDATE(I$2,-1),'Data_NSA'!$A:$A,0),MATCH("CUUR0000SA0",'Data_NSA'!$1:$1,0))/INDEX('Data_NSA'!$A:$OK,MATCH(INDEX('Weights'!$E:$E,MATCH($A19,'Weights'!$A:$A,0)),'Data_NSA'!$A:$A,0),MATCH("CUUR0000SA0",'Data_NSA'!$1:$1,0))))*(INDEX('Data_SA'!$A:$LO,MATCH(I$2,'Data_SA'!$A:$A,0),MATCH($E19,'Data_SA'!$1:$1,0))/INDEX('Data_SA'!$A:$LO,MATCH(EDATE(I$2,-1),'Data_SA'!$A:$A,0),MATCH($E19,'Data_SA'!$1:$1,0))-1),""))</f>
        <v/>
      </c>
      <c r="O19" s="10">
        <f>IFERROR(INDEX('Data_NSA'!$A:$OK,MATCH(O$2,'Data_NSA'!$A:$A,0),MATCH($D19,'Data_NSA'!$1:$1,0)),"")</f>
        <v/>
      </c>
      <c r="P19" s="10">
        <f>IF($E19="","",IFERROR(INDEX('Data_SA'!$A:$LO,MATCH(O$2,'Data_SA'!$A:$A,0),MATCH($E19,'Data_SA'!$1:$1,0)),""))</f>
        <v/>
      </c>
      <c r="Q19" s="7">
        <f>IF($E19="","",IFERROR(INDEX('Data_SA'!$A:$LO,MATCH(O$2,'Data_SA'!$A:$A,0),MATCH($E19,'Data_SA'!$1:$1,0))/INDEX('Data_SA'!$A:$LO,MATCH(EDATE(O$2,-1),'Data_SA'!$A:$A,0),MATCH($E19,'Data_SA'!$1:$1,0))-1,""))</f>
        <v/>
      </c>
      <c r="R19" s="7">
        <f>IFERROR(INDEX('Data_NSA'!$A:$OK,MATCH(O$2,'Data_NSA'!$A:$A,0),MATCH($D19,'Data_NSA'!$1:$1,0))/INDEX('Data_NSA'!$A:$OK,MATCH(EDATE(O$2,-12),'Data_NSA'!$A:$A,0),MATCH($D19,'Data_NSA'!$1:$1,0))-1,"")</f>
        <v/>
      </c>
      <c r="S19" s="10">
        <f>IFERROR(INDEX('Weights'!$G:$I,MATCH($A19,'Weights'!$A:$A,0),MATCH(O$2,'Weights'!$G$1:$I$1,0)),"")</f>
        <v/>
      </c>
      <c r="T19" s="10">
        <f>IF($E19="","",IFERROR(100*(INDEX('Weights'!$D:$D,MATCH($A19,'Weights'!$A:$A,0))*(INDEX('Data_NSA'!$A:$OK,MATCH(EDATE(O$2,-1),'Data_NSA'!$A:$A,0),MATCH($D19,'Data_NSA'!$1:$1,0))/INDEX('Data_NSA'!$A:$OK,MATCH(INDEX('Weights'!$E:$E,MATCH($A19,'Weights'!$A:$A,0)),'Data_NSA'!$A:$A,0),MATCH($D19,'Data_NSA'!$1:$1,0))))/(100*(INDEX('Data_NSA'!$A:$OK,MATCH(EDATE(O$2,-1),'Data_NSA'!$A:$A,0),MATCH("CUUR0000SA0",'Data_NSA'!$1:$1,0))/INDEX('Data_NSA'!$A:$OK,MATCH(INDEX('Weights'!$E:$E,MATCH($A19,'Weights'!$A:$A,0)),'Data_NSA'!$A:$A,0),MATCH("CUUR0000SA0",'Data_NSA'!$1:$1,0))))*(INDEX('Data_SA'!$A:$LO,MATCH(O$2,'Data_SA'!$A:$A,0),MATCH($E19,'Data_SA'!$1:$1,0))/INDEX('Data_SA'!$A:$LO,MATCH(EDATE(O$2,-1),'Data_SA'!$A:$A,0),MATCH($E19,'Data_SA'!$1:$1,0))-1),""))</f>
        <v/>
      </c>
      <c r="U19" s="10">
        <f>IFERROR(INDEX('Data_NSA'!$A:$OK,MATCH(U$2,'Data_NSA'!$A:$A,0),MATCH($D19,'Data_NSA'!$1:$1,0)),"")</f>
        <v/>
      </c>
      <c r="V19" s="10">
        <f>IF($E19="","",IFERROR(INDEX('Data_SA'!$A:$LO,MATCH(U$2,'Data_SA'!$A:$A,0),MATCH($E19,'Data_SA'!$1:$1,0)),""))</f>
        <v/>
      </c>
      <c r="W19" s="7">
        <f>IF($E19="","",IFERROR(INDEX('Data_SA'!$A:$LO,MATCH(U$2,'Data_SA'!$A:$A,0),MATCH($E19,'Data_SA'!$1:$1,0))/INDEX('Data_SA'!$A:$LO,MATCH(EDATE(U$2,-1),'Data_SA'!$A:$A,0),MATCH($E19,'Data_SA'!$1:$1,0))-1,""))</f>
        <v/>
      </c>
      <c r="X19" s="7">
        <f>IFERROR(INDEX('Data_NSA'!$A:$OK,MATCH(U$2,'Data_NSA'!$A:$A,0),MATCH($D19,'Data_NSA'!$1:$1,0))/INDEX('Data_NSA'!$A:$OK,MATCH(EDATE(U$2,-12),'Data_NSA'!$A:$A,0),MATCH($D19,'Data_NSA'!$1:$1,0))-1,"")</f>
        <v/>
      </c>
      <c r="Y19" s="10">
        <f>IFERROR(INDEX('Weights'!$G:$I,MATCH($A19,'Weights'!$A:$A,0),MATCH(U$2,'Weights'!$G$1:$I$1,0)),"")</f>
        <v/>
      </c>
      <c r="Z19" s="10">
        <f>IF($E19="","",IFERROR(100*(INDEX('Weights'!$D:$D,MATCH($A19,'Weights'!$A:$A,0))*(INDEX('Data_NSA'!$A:$OK,MATCH(EDATE(U$2,-1),'Data_NSA'!$A:$A,0),MATCH($D19,'Data_NSA'!$1:$1,0))/INDEX('Data_NSA'!$A:$OK,MATCH(INDEX('Weights'!$E:$E,MATCH($A19,'Weights'!$A:$A,0)),'Data_NSA'!$A:$A,0),MATCH($D19,'Data_NSA'!$1:$1,0))))/(100*(INDEX('Data_NSA'!$A:$OK,MATCH(EDATE(U$2,-1),'Data_NSA'!$A:$A,0),MATCH("CUUR0000SA0",'Data_NSA'!$1:$1,0))/INDEX('Data_NSA'!$A:$OK,MATCH(INDEX('Weights'!$E:$E,MATCH($A19,'Weights'!$A:$A,0)),'Data_NSA'!$A:$A,0),MATCH("CUUR0000SA0",'Data_NSA'!$1:$1,0))))*(INDEX('Data_SA'!$A:$LO,MATCH(U$2,'Data_SA'!$A:$A,0),MATCH($E19,'Data_SA'!$1:$1,0))/INDEX('Data_SA'!$A:$LO,MATCH(EDATE(U$2,-1),'Data_SA'!$A:$A,0),MATCH($E19,'Data_SA'!$1:$1,0))-1),""))</f>
        <v/>
      </c>
    </row>
    <row r="20">
      <c r="A20" s="3" t="inlineStr">
        <is>
          <t>SEFB03</t>
        </is>
      </c>
      <c r="B20" s="3" t="inlineStr">
        <is>
          <t>Cakes, cupcakes, and cookies</t>
        </is>
      </c>
      <c r="C20" s="3" t="inlineStr">
        <is>
          <t>SEFB</t>
        </is>
      </c>
      <c r="D20" s="3" t="inlineStr">
        <is>
          <t>CUUR0000SEFB03</t>
        </is>
      </c>
      <c r="E20" s="3" t="inlineStr">
        <is>
          <t>CUSR0000SEFB03</t>
        </is>
      </c>
      <c r="F20" s="3" t="inlineStr">
        <is>
          <t>aggregate</t>
        </is>
      </c>
      <c r="G20" s="3" t="inlineStr">
        <is>
          <t>aggregate</t>
        </is>
      </c>
      <c r="H20" s="10">
        <f>IFERROR(INDEX(Weights!$D:$D,MATCH($A20,Weights!$A:$A,0)),"")</f>
        <v/>
      </c>
      <c r="I20" s="10">
        <f>IFERROR(INDEX('Data_NSA'!$A:$OK,MATCH(I$2,'Data_NSA'!$A:$A,0),MATCH($D20,'Data_NSA'!$1:$1,0)),"")</f>
        <v/>
      </c>
      <c r="J20" s="10">
        <f>IF($E20="","",IFERROR(INDEX('Data_SA'!$A:$LO,MATCH(I$2,'Data_SA'!$A:$A,0),MATCH($E20,'Data_SA'!$1:$1,0)),""))</f>
        <v/>
      </c>
      <c r="K20" s="7">
        <f>IF($E20="","",IFERROR(INDEX('Data_SA'!$A:$LO,MATCH(I$2,'Data_SA'!$A:$A,0),MATCH($E20,'Data_SA'!$1:$1,0))/INDEX('Data_SA'!$A:$LO,MATCH(EDATE(I$2,-1),'Data_SA'!$A:$A,0),MATCH($E20,'Data_SA'!$1:$1,0))-1,""))</f>
        <v/>
      </c>
      <c r="L20" s="7">
        <f>IFERROR(INDEX('Data_NSA'!$A:$OK,MATCH(I$2,'Data_NSA'!$A:$A,0),MATCH($D20,'Data_NSA'!$1:$1,0))/INDEX('Data_NSA'!$A:$OK,MATCH(EDATE(I$2,-12),'Data_NSA'!$A:$A,0),MATCH($D20,'Data_NSA'!$1:$1,0))-1,"")</f>
        <v/>
      </c>
      <c r="M20" s="10">
        <f>IFERROR(INDEX('Weights'!$G:$I,MATCH($A20,'Weights'!$A:$A,0),MATCH(I$2,'Weights'!$G$1:$I$1,0)),"")</f>
        <v/>
      </c>
      <c r="N20" s="10">
        <f>IF($E20="","",IFERROR(100*(INDEX('Weights'!$D:$D,MATCH($A20,'Weights'!$A:$A,0))*(INDEX('Data_NSA'!$A:$OK,MATCH(EDATE(I$2,-1),'Data_NSA'!$A:$A,0),MATCH($D20,'Data_NSA'!$1:$1,0))/INDEX('Data_NSA'!$A:$OK,MATCH(INDEX('Weights'!$E:$E,MATCH($A20,'Weights'!$A:$A,0)),'Data_NSA'!$A:$A,0),MATCH($D20,'Data_NSA'!$1:$1,0))))/(100*(INDEX('Data_NSA'!$A:$OK,MATCH(EDATE(I$2,-1),'Data_NSA'!$A:$A,0),MATCH("CUUR0000SA0",'Data_NSA'!$1:$1,0))/INDEX('Data_NSA'!$A:$OK,MATCH(INDEX('Weights'!$E:$E,MATCH($A20,'Weights'!$A:$A,0)),'Data_NSA'!$A:$A,0),MATCH("CUUR0000SA0",'Data_NSA'!$1:$1,0))))*(INDEX('Data_SA'!$A:$LO,MATCH(I$2,'Data_SA'!$A:$A,0),MATCH($E20,'Data_SA'!$1:$1,0))/INDEX('Data_SA'!$A:$LO,MATCH(EDATE(I$2,-1),'Data_SA'!$A:$A,0),MATCH($E20,'Data_SA'!$1:$1,0))-1),""))</f>
        <v/>
      </c>
      <c r="O20" s="10">
        <f>IFERROR(INDEX('Data_NSA'!$A:$OK,MATCH(O$2,'Data_NSA'!$A:$A,0),MATCH($D20,'Data_NSA'!$1:$1,0)),"")</f>
        <v/>
      </c>
      <c r="P20" s="10">
        <f>IF($E20="","",IFERROR(INDEX('Data_SA'!$A:$LO,MATCH(O$2,'Data_SA'!$A:$A,0),MATCH($E20,'Data_SA'!$1:$1,0)),""))</f>
        <v/>
      </c>
      <c r="Q20" s="7">
        <f>IF($E20="","",IFERROR(INDEX('Data_SA'!$A:$LO,MATCH(O$2,'Data_SA'!$A:$A,0),MATCH($E20,'Data_SA'!$1:$1,0))/INDEX('Data_SA'!$A:$LO,MATCH(EDATE(O$2,-1),'Data_SA'!$A:$A,0),MATCH($E20,'Data_SA'!$1:$1,0))-1,""))</f>
        <v/>
      </c>
      <c r="R20" s="7">
        <f>IFERROR(INDEX('Data_NSA'!$A:$OK,MATCH(O$2,'Data_NSA'!$A:$A,0),MATCH($D20,'Data_NSA'!$1:$1,0))/INDEX('Data_NSA'!$A:$OK,MATCH(EDATE(O$2,-12),'Data_NSA'!$A:$A,0),MATCH($D20,'Data_NSA'!$1:$1,0))-1,"")</f>
        <v/>
      </c>
      <c r="S20" s="10">
        <f>IFERROR(INDEX('Weights'!$G:$I,MATCH($A20,'Weights'!$A:$A,0),MATCH(O$2,'Weights'!$G$1:$I$1,0)),"")</f>
        <v/>
      </c>
      <c r="T20" s="10">
        <f>IF($E20="","",IFERROR(100*(INDEX('Weights'!$D:$D,MATCH($A20,'Weights'!$A:$A,0))*(INDEX('Data_NSA'!$A:$OK,MATCH(EDATE(O$2,-1),'Data_NSA'!$A:$A,0),MATCH($D20,'Data_NSA'!$1:$1,0))/INDEX('Data_NSA'!$A:$OK,MATCH(INDEX('Weights'!$E:$E,MATCH($A20,'Weights'!$A:$A,0)),'Data_NSA'!$A:$A,0),MATCH($D20,'Data_NSA'!$1:$1,0))))/(100*(INDEX('Data_NSA'!$A:$OK,MATCH(EDATE(O$2,-1),'Data_NSA'!$A:$A,0),MATCH("CUUR0000SA0",'Data_NSA'!$1:$1,0))/INDEX('Data_NSA'!$A:$OK,MATCH(INDEX('Weights'!$E:$E,MATCH($A20,'Weights'!$A:$A,0)),'Data_NSA'!$A:$A,0),MATCH("CUUR0000SA0",'Data_NSA'!$1:$1,0))))*(INDEX('Data_SA'!$A:$LO,MATCH(O$2,'Data_SA'!$A:$A,0),MATCH($E20,'Data_SA'!$1:$1,0))/INDEX('Data_SA'!$A:$LO,MATCH(EDATE(O$2,-1),'Data_SA'!$A:$A,0),MATCH($E20,'Data_SA'!$1:$1,0))-1),""))</f>
        <v/>
      </c>
      <c r="U20" s="10">
        <f>IFERROR(INDEX('Data_NSA'!$A:$OK,MATCH(U$2,'Data_NSA'!$A:$A,0),MATCH($D20,'Data_NSA'!$1:$1,0)),"")</f>
        <v/>
      </c>
      <c r="V20" s="10">
        <f>IF($E20="","",IFERROR(INDEX('Data_SA'!$A:$LO,MATCH(U$2,'Data_SA'!$A:$A,0),MATCH($E20,'Data_SA'!$1:$1,0)),""))</f>
        <v/>
      </c>
      <c r="W20" s="7">
        <f>IF($E20="","",IFERROR(INDEX('Data_SA'!$A:$LO,MATCH(U$2,'Data_SA'!$A:$A,0),MATCH($E20,'Data_SA'!$1:$1,0))/INDEX('Data_SA'!$A:$LO,MATCH(EDATE(U$2,-1),'Data_SA'!$A:$A,0),MATCH($E20,'Data_SA'!$1:$1,0))-1,""))</f>
        <v/>
      </c>
      <c r="X20" s="7">
        <f>IFERROR(INDEX('Data_NSA'!$A:$OK,MATCH(U$2,'Data_NSA'!$A:$A,0),MATCH($D20,'Data_NSA'!$1:$1,0))/INDEX('Data_NSA'!$A:$OK,MATCH(EDATE(U$2,-12),'Data_NSA'!$A:$A,0),MATCH($D20,'Data_NSA'!$1:$1,0))-1,"")</f>
        <v/>
      </c>
      <c r="Y20" s="10">
        <f>IFERROR(INDEX('Weights'!$G:$I,MATCH($A20,'Weights'!$A:$A,0),MATCH(U$2,'Weights'!$G$1:$I$1,0)),"")</f>
        <v/>
      </c>
      <c r="Z20" s="10">
        <f>IF($E20="","",IFERROR(100*(INDEX('Weights'!$D:$D,MATCH($A20,'Weights'!$A:$A,0))*(INDEX('Data_NSA'!$A:$OK,MATCH(EDATE(U$2,-1),'Data_NSA'!$A:$A,0),MATCH($D20,'Data_NSA'!$1:$1,0))/INDEX('Data_NSA'!$A:$OK,MATCH(INDEX('Weights'!$E:$E,MATCH($A20,'Weights'!$A:$A,0)),'Data_NSA'!$A:$A,0),MATCH($D20,'Data_NSA'!$1:$1,0))))/(100*(INDEX('Data_NSA'!$A:$OK,MATCH(EDATE(U$2,-1),'Data_NSA'!$A:$A,0),MATCH("CUUR0000SA0",'Data_NSA'!$1:$1,0))/INDEX('Data_NSA'!$A:$OK,MATCH(INDEX('Weights'!$E:$E,MATCH($A20,'Weights'!$A:$A,0)),'Data_NSA'!$A:$A,0),MATCH("CUUR0000SA0",'Data_NSA'!$1:$1,0))))*(INDEX('Data_SA'!$A:$LO,MATCH(U$2,'Data_SA'!$A:$A,0),MATCH($E20,'Data_SA'!$1:$1,0))/INDEX('Data_SA'!$A:$LO,MATCH(EDATE(U$2,-1),'Data_SA'!$A:$A,0),MATCH($E20,'Data_SA'!$1:$1,0))-1),""))</f>
        <v/>
      </c>
    </row>
    <row r="21">
      <c r="A21" s="3" t="inlineStr">
        <is>
          <t>SS02041</t>
        </is>
      </c>
      <c r="B21" s="3" t="inlineStr">
        <is>
          <t>Fresh cakes and cupcakes</t>
        </is>
      </c>
      <c r="C21" s="3" t="inlineStr">
        <is>
          <t>SEFB03</t>
        </is>
      </c>
      <c r="D21" s="3" t="inlineStr">
        <is>
          <t>CUUR0000SS02041</t>
        </is>
      </c>
      <c r="E21" s="3" t="inlineStr"/>
      <c r="F21" s="3" t="inlineStr">
        <is>
          <t>GM</t>
        </is>
      </c>
      <c r="G21" s="3" t="inlineStr">
        <is>
          <t>monthly in New York/Los Angeles/Chicago; often bimonthly elsewhere</t>
        </is>
      </c>
      <c r="H21" s="10">
        <f>IFERROR(INDEX(Weights!$D:$D,MATCH($A21,Weights!$A:$A,0)),"")</f>
        <v/>
      </c>
      <c r="I21" s="10">
        <f>IFERROR(INDEX('Data_NSA'!$A:$OK,MATCH(I$2,'Data_NSA'!$A:$A,0),MATCH($D21,'Data_NSA'!$1:$1,0)),"")</f>
        <v/>
      </c>
      <c r="J21" s="10">
        <f>IF($E21="","",IFERROR(INDEX('Data_SA'!$A:$LO,MATCH(I$2,'Data_SA'!$A:$A,0),MATCH($E21,'Data_SA'!$1:$1,0)),""))</f>
        <v/>
      </c>
      <c r="K21" s="7">
        <f>IF($E21="","",IFERROR(INDEX('Data_SA'!$A:$LO,MATCH(I$2,'Data_SA'!$A:$A,0),MATCH($E21,'Data_SA'!$1:$1,0))/INDEX('Data_SA'!$A:$LO,MATCH(EDATE(I$2,-1),'Data_SA'!$A:$A,0),MATCH($E21,'Data_SA'!$1:$1,0))-1,""))</f>
        <v/>
      </c>
      <c r="L21" s="7">
        <f>IFERROR(INDEX('Data_NSA'!$A:$OK,MATCH(I$2,'Data_NSA'!$A:$A,0),MATCH($D21,'Data_NSA'!$1:$1,0))/INDEX('Data_NSA'!$A:$OK,MATCH(EDATE(I$2,-12),'Data_NSA'!$A:$A,0),MATCH($D21,'Data_NSA'!$1:$1,0))-1,"")</f>
        <v/>
      </c>
      <c r="M21" s="10">
        <f>IFERROR(INDEX('Weights'!$G:$I,MATCH($A21,'Weights'!$A:$A,0),MATCH(I$2,'Weights'!$G$1:$I$1,0)),"")</f>
        <v/>
      </c>
      <c r="N21" s="10">
        <f>IF($E21="","",IFERROR(100*(INDEX('Weights'!$D:$D,MATCH($A21,'Weights'!$A:$A,0))*(INDEX('Data_NSA'!$A:$OK,MATCH(EDATE(I$2,-1),'Data_NSA'!$A:$A,0),MATCH($D21,'Data_NSA'!$1:$1,0))/INDEX('Data_NSA'!$A:$OK,MATCH(INDEX('Weights'!$E:$E,MATCH($A21,'Weights'!$A:$A,0)),'Data_NSA'!$A:$A,0),MATCH($D21,'Data_NSA'!$1:$1,0))))/(100*(INDEX('Data_NSA'!$A:$OK,MATCH(EDATE(I$2,-1),'Data_NSA'!$A:$A,0),MATCH("CUUR0000SA0",'Data_NSA'!$1:$1,0))/INDEX('Data_NSA'!$A:$OK,MATCH(INDEX('Weights'!$E:$E,MATCH($A21,'Weights'!$A:$A,0)),'Data_NSA'!$A:$A,0),MATCH("CUUR0000SA0",'Data_NSA'!$1:$1,0))))*(INDEX('Data_SA'!$A:$LO,MATCH(I$2,'Data_SA'!$A:$A,0),MATCH($E21,'Data_SA'!$1:$1,0))/INDEX('Data_SA'!$A:$LO,MATCH(EDATE(I$2,-1),'Data_SA'!$A:$A,0),MATCH($E21,'Data_SA'!$1:$1,0))-1),""))</f>
        <v/>
      </c>
      <c r="O21" s="10">
        <f>IFERROR(INDEX('Data_NSA'!$A:$OK,MATCH(O$2,'Data_NSA'!$A:$A,0),MATCH($D21,'Data_NSA'!$1:$1,0)),"")</f>
        <v/>
      </c>
      <c r="P21" s="10">
        <f>IF($E21="","",IFERROR(INDEX('Data_SA'!$A:$LO,MATCH(O$2,'Data_SA'!$A:$A,0),MATCH($E21,'Data_SA'!$1:$1,0)),""))</f>
        <v/>
      </c>
      <c r="Q21" s="7">
        <f>IF($E21="","",IFERROR(INDEX('Data_SA'!$A:$LO,MATCH(O$2,'Data_SA'!$A:$A,0),MATCH($E21,'Data_SA'!$1:$1,0))/INDEX('Data_SA'!$A:$LO,MATCH(EDATE(O$2,-1),'Data_SA'!$A:$A,0),MATCH($E21,'Data_SA'!$1:$1,0))-1,""))</f>
        <v/>
      </c>
      <c r="R21" s="7">
        <f>IFERROR(INDEX('Data_NSA'!$A:$OK,MATCH(O$2,'Data_NSA'!$A:$A,0),MATCH($D21,'Data_NSA'!$1:$1,0))/INDEX('Data_NSA'!$A:$OK,MATCH(EDATE(O$2,-12),'Data_NSA'!$A:$A,0),MATCH($D21,'Data_NSA'!$1:$1,0))-1,"")</f>
        <v/>
      </c>
      <c r="S21" s="10">
        <f>IFERROR(INDEX('Weights'!$G:$I,MATCH($A21,'Weights'!$A:$A,0),MATCH(O$2,'Weights'!$G$1:$I$1,0)),"")</f>
        <v/>
      </c>
      <c r="T21" s="10">
        <f>IF($E21="","",IFERROR(100*(INDEX('Weights'!$D:$D,MATCH($A21,'Weights'!$A:$A,0))*(INDEX('Data_NSA'!$A:$OK,MATCH(EDATE(O$2,-1),'Data_NSA'!$A:$A,0),MATCH($D21,'Data_NSA'!$1:$1,0))/INDEX('Data_NSA'!$A:$OK,MATCH(INDEX('Weights'!$E:$E,MATCH($A21,'Weights'!$A:$A,0)),'Data_NSA'!$A:$A,0),MATCH($D21,'Data_NSA'!$1:$1,0))))/(100*(INDEX('Data_NSA'!$A:$OK,MATCH(EDATE(O$2,-1),'Data_NSA'!$A:$A,0),MATCH("CUUR0000SA0",'Data_NSA'!$1:$1,0))/INDEX('Data_NSA'!$A:$OK,MATCH(INDEX('Weights'!$E:$E,MATCH($A21,'Weights'!$A:$A,0)),'Data_NSA'!$A:$A,0),MATCH("CUUR0000SA0",'Data_NSA'!$1:$1,0))))*(INDEX('Data_SA'!$A:$LO,MATCH(O$2,'Data_SA'!$A:$A,0),MATCH($E21,'Data_SA'!$1:$1,0))/INDEX('Data_SA'!$A:$LO,MATCH(EDATE(O$2,-1),'Data_SA'!$A:$A,0),MATCH($E21,'Data_SA'!$1:$1,0))-1),""))</f>
        <v/>
      </c>
      <c r="U21" s="10">
        <f>IFERROR(INDEX('Data_NSA'!$A:$OK,MATCH(U$2,'Data_NSA'!$A:$A,0),MATCH($D21,'Data_NSA'!$1:$1,0)),"")</f>
        <v/>
      </c>
      <c r="V21" s="10">
        <f>IF($E21="","",IFERROR(INDEX('Data_SA'!$A:$LO,MATCH(U$2,'Data_SA'!$A:$A,0),MATCH($E21,'Data_SA'!$1:$1,0)),""))</f>
        <v/>
      </c>
      <c r="W21" s="7">
        <f>IF($E21="","",IFERROR(INDEX('Data_SA'!$A:$LO,MATCH(U$2,'Data_SA'!$A:$A,0),MATCH($E21,'Data_SA'!$1:$1,0))/INDEX('Data_SA'!$A:$LO,MATCH(EDATE(U$2,-1),'Data_SA'!$A:$A,0),MATCH($E21,'Data_SA'!$1:$1,0))-1,""))</f>
        <v/>
      </c>
      <c r="X21" s="7">
        <f>IFERROR(INDEX('Data_NSA'!$A:$OK,MATCH(U$2,'Data_NSA'!$A:$A,0),MATCH($D21,'Data_NSA'!$1:$1,0))/INDEX('Data_NSA'!$A:$OK,MATCH(EDATE(U$2,-12),'Data_NSA'!$A:$A,0),MATCH($D21,'Data_NSA'!$1:$1,0))-1,"")</f>
        <v/>
      </c>
      <c r="Y21" s="10">
        <f>IFERROR(INDEX('Weights'!$G:$I,MATCH($A21,'Weights'!$A:$A,0),MATCH(U$2,'Weights'!$G$1:$I$1,0)),"")</f>
        <v/>
      </c>
      <c r="Z21" s="10">
        <f>IF($E21="","",IFERROR(100*(INDEX('Weights'!$D:$D,MATCH($A21,'Weights'!$A:$A,0))*(INDEX('Data_NSA'!$A:$OK,MATCH(EDATE(U$2,-1),'Data_NSA'!$A:$A,0),MATCH($D21,'Data_NSA'!$1:$1,0))/INDEX('Data_NSA'!$A:$OK,MATCH(INDEX('Weights'!$E:$E,MATCH($A21,'Weights'!$A:$A,0)),'Data_NSA'!$A:$A,0),MATCH($D21,'Data_NSA'!$1:$1,0))))/(100*(INDEX('Data_NSA'!$A:$OK,MATCH(EDATE(U$2,-1),'Data_NSA'!$A:$A,0),MATCH("CUUR0000SA0",'Data_NSA'!$1:$1,0))/INDEX('Data_NSA'!$A:$OK,MATCH(INDEX('Weights'!$E:$E,MATCH($A21,'Weights'!$A:$A,0)),'Data_NSA'!$A:$A,0),MATCH("CUUR0000SA0",'Data_NSA'!$1:$1,0))))*(INDEX('Data_SA'!$A:$LO,MATCH(U$2,'Data_SA'!$A:$A,0),MATCH($E21,'Data_SA'!$1:$1,0))/INDEX('Data_SA'!$A:$LO,MATCH(EDATE(U$2,-1),'Data_SA'!$A:$A,0),MATCH($E21,'Data_SA'!$1:$1,0))-1),""))</f>
        <v/>
      </c>
    </row>
    <row r="22">
      <c r="A22" s="3" t="inlineStr">
        <is>
          <t>SS02042</t>
        </is>
      </c>
      <c r="B22" s="3" t="inlineStr">
        <is>
          <t>Cookies</t>
        </is>
      </c>
      <c r="C22" s="3" t="inlineStr">
        <is>
          <t>SEFB03</t>
        </is>
      </c>
      <c r="D22" s="3" t="inlineStr">
        <is>
          <t>CUUR0000SS02042</t>
        </is>
      </c>
      <c r="E22" s="3" t="inlineStr">
        <is>
          <t>CUSR0000SS02042</t>
        </is>
      </c>
      <c r="F22" s="3" t="inlineStr">
        <is>
          <t>GM</t>
        </is>
      </c>
      <c r="G22" s="3" t="inlineStr">
        <is>
          <t>monthly in New York/Los Angeles/Chicago; often bimonthly elsewhere</t>
        </is>
      </c>
      <c r="H22" s="10">
        <f>IFERROR(INDEX(Weights!$D:$D,MATCH($A22,Weights!$A:$A,0)),"")</f>
        <v/>
      </c>
      <c r="I22" s="10">
        <f>IFERROR(INDEX('Data_NSA'!$A:$OK,MATCH(I$2,'Data_NSA'!$A:$A,0),MATCH($D22,'Data_NSA'!$1:$1,0)),"")</f>
        <v/>
      </c>
      <c r="J22" s="10">
        <f>IF($E22="","",IFERROR(INDEX('Data_SA'!$A:$LO,MATCH(I$2,'Data_SA'!$A:$A,0),MATCH($E22,'Data_SA'!$1:$1,0)),""))</f>
        <v/>
      </c>
      <c r="K22" s="7">
        <f>IF($E22="","",IFERROR(INDEX('Data_SA'!$A:$LO,MATCH(I$2,'Data_SA'!$A:$A,0),MATCH($E22,'Data_SA'!$1:$1,0))/INDEX('Data_SA'!$A:$LO,MATCH(EDATE(I$2,-1),'Data_SA'!$A:$A,0),MATCH($E22,'Data_SA'!$1:$1,0))-1,""))</f>
        <v/>
      </c>
      <c r="L22" s="7">
        <f>IFERROR(INDEX('Data_NSA'!$A:$OK,MATCH(I$2,'Data_NSA'!$A:$A,0),MATCH($D22,'Data_NSA'!$1:$1,0))/INDEX('Data_NSA'!$A:$OK,MATCH(EDATE(I$2,-12),'Data_NSA'!$A:$A,0),MATCH($D22,'Data_NSA'!$1:$1,0))-1,"")</f>
        <v/>
      </c>
      <c r="M22" s="10">
        <f>IFERROR(INDEX('Weights'!$G:$I,MATCH($A22,'Weights'!$A:$A,0),MATCH(I$2,'Weights'!$G$1:$I$1,0)),"")</f>
        <v/>
      </c>
      <c r="N22" s="10">
        <f>IF($E22="","",IFERROR(100*(INDEX('Weights'!$D:$D,MATCH($A22,'Weights'!$A:$A,0))*(INDEX('Data_NSA'!$A:$OK,MATCH(EDATE(I$2,-1),'Data_NSA'!$A:$A,0),MATCH($D22,'Data_NSA'!$1:$1,0))/INDEX('Data_NSA'!$A:$OK,MATCH(INDEX('Weights'!$E:$E,MATCH($A22,'Weights'!$A:$A,0)),'Data_NSA'!$A:$A,0),MATCH($D22,'Data_NSA'!$1:$1,0))))/(100*(INDEX('Data_NSA'!$A:$OK,MATCH(EDATE(I$2,-1),'Data_NSA'!$A:$A,0),MATCH("CUUR0000SA0",'Data_NSA'!$1:$1,0))/INDEX('Data_NSA'!$A:$OK,MATCH(INDEX('Weights'!$E:$E,MATCH($A22,'Weights'!$A:$A,0)),'Data_NSA'!$A:$A,0),MATCH("CUUR0000SA0",'Data_NSA'!$1:$1,0))))*(INDEX('Data_SA'!$A:$LO,MATCH(I$2,'Data_SA'!$A:$A,0),MATCH($E22,'Data_SA'!$1:$1,0))/INDEX('Data_SA'!$A:$LO,MATCH(EDATE(I$2,-1),'Data_SA'!$A:$A,0),MATCH($E22,'Data_SA'!$1:$1,0))-1),""))</f>
        <v/>
      </c>
      <c r="O22" s="10">
        <f>IFERROR(INDEX('Data_NSA'!$A:$OK,MATCH(O$2,'Data_NSA'!$A:$A,0),MATCH($D22,'Data_NSA'!$1:$1,0)),"")</f>
        <v/>
      </c>
      <c r="P22" s="10">
        <f>IF($E22="","",IFERROR(INDEX('Data_SA'!$A:$LO,MATCH(O$2,'Data_SA'!$A:$A,0),MATCH($E22,'Data_SA'!$1:$1,0)),""))</f>
        <v/>
      </c>
      <c r="Q22" s="7">
        <f>IF($E22="","",IFERROR(INDEX('Data_SA'!$A:$LO,MATCH(O$2,'Data_SA'!$A:$A,0),MATCH($E22,'Data_SA'!$1:$1,0))/INDEX('Data_SA'!$A:$LO,MATCH(EDATE(O$2,-1),'Data_SA'!$A:$A,0),MATCH($E22,'Data_SA'!$1:$1,0))-1,""))</f>
        <v/>
      </c>
      <c r="R22" s="7">
        <f>IFERROR(INDEX('Data_NSA'!$A:$OK,MATCH(O$2,'Data_NSA'!$A:$A,0),MATCH($D22,'Data_NSA'!$1:$1,0))/INDEX('Data_NSA'!$A:$OK,MATCH(EDATE(O$2,-12),'Data_NSA'!$A:$A,0),MATCH($D22,'Data_NSA'!$1:$1,0))-1,"")</f>
        <v/>
      </c>
      <c r="S22" s="10">
        <f>IFERROR(INDEX('Weights'!$G:$I,MATCH($A22,'Weights'!$A:$A,0),MATCH(O$2,'Weights'!$G$1:$I$1,0)),"")</f>
        <v/>
      </c>
      <c r="T22" s="10">
        <f>IF($E22="","",IFERROR(100*(INDEX('Weights'!$D:$D,MATCH($A22,'Weights'!$A:$A,0))*(INDEX('Data_NSA'!$A:$OK,MATCH(EDATE(O$2,-1),'Data_NSA'!$A:$A,0),MATCH($D22,'Data_NSA'!$1:$1,0))/INDEX('Data_NSA'!$A:$OK,MATCH(INDEX('Weights'!$E:$E,MATCH($A22,'Weights'!$A:$A,0)),'Data_NSA'!$A:$A,0),MATCH($D22,'Data_NSA'!$1:$1,0))))/(100*(INDEX('Data_NSA'!$A:$OK,MATCH(EDATE(O$2,-1),'Data_NSA'!$A:$A,0),MATCH("CUUR0000SA0",'Data_NSA'!$1:$1,0))/INDEX('Data_NSA'!$A:$OK,MATCH(INDEX('Weights'!$E:$E,MATCH($A22,'Weights'!$A:$A,0)),'Data_NSA'!$A:$A,0),MATCH("CUUR0000SA0",'Data_NSA'!$1:$1,0))))*(INDEX('Data_SA'!$A:$LO,MATCH(O$2,'Data_SA'!$A:$A,0),MATCH($E22,'Data_SA'!$1:$1,0))/INDEX('Data_SA'!$A:$LO,MATCH(EDATE(O$2,-1),'Data_SA'!$A:$A,0),MATCH($E22,'Data_SA'!$1:$1,0))-1),""))</f>
        <v/>
      </c>
      <c r="U22" s="10">
        <f>IFERROR(INDEX('Data_NSA'!$A:$OK,MATCH(U$2,'Data_NSA'!$A:$A,0),MATCH($D22,'Data_NSA'!$1:$1,0)),"")</f>
        <v/>
      </c>
      <c r="V22" s="10">
        <f>IF($E22="","",IFERROR(INDEX('Data_SA'!$A:$LO,MATCH(U$2,'Data_SA'!$A:$A,0),MATCH($E22,'Data_SA'!$1:$1,0)),""))</f>
        <v/>
      </c>
      <c r="W22" s="7">
        <f>IF($E22="","",IFERROR(INDEX('Data_SA'!$A:$LO,MATCH(U$2,'Data_SA'!$A:$A,0),MATCH($E22,'Data_SA'!$1:$1,0))/INDEX('Data_SA'!$A:$LO,MATCH(EDATE(U$2,-1),'Data_SA'!$A:$A,0),MATCH($E22,'Data_SA'!$1:$1,0))-1,""))</f>
        <v/>
      </c>
      <c r="X22" s="7">
        <f>IFERROR(INDEX('Data_NSA'!$A:$OK,MATCH(U$2,'Data_NSA'!$A:$A,0),MATCH($D22,'Data_NSA'!$1:$1,0))/INDEX('Data_NSA'!$A:$OK,MATCH(EDATE(U$2,-12),'Data_NSA'!$A:$A,0),MATCH($D22,'Data_NSA'!$1:$1,0))-1,"")</f>
        <v/>
      </c>
      <c r="Y22" s="10">
        <f>IFERROR(INDEX('Weights'!$G:$I,MATCH($A22,'Weights'!$A:$A,0),MATCH(U$2,'Weights'!$G$1:$I$1,0)),"")</f>
        <v/>
      </c>
      <c r="Z22" s="10">
        <f>IF($E22="","",IFERROR(100*(INDEX('Weights'!$D:$D,MATCH($A22,'Weights'!$A:$A,0))*(INDEX('Data_NSA'!$A:$OK,MATCH(EDATE(U$2,-1),'Data_NSA'!$A:$A,0),MATCH($D22,'Data_NSA'!$1:$1,0))/INDEX('Data_NSA'!$A:$OK,MATCH(INDEX('Weights'!$E:$E,MATCH($A22,'Weights'!$A:$A,0)),'Data_NSA'!$A:$A,0),MATCH($D22,'Data_NSA'!$1:$1,0))))/(100*(INDEX('Data_NSA'!$A:$OK,MATCH(EDATE(U$2,-1),'Data_NSA'!$A:$A,0),MATCH("CUUR0000SA0",'Data_NSA'!$1:$1,0))/INDEX('Data_NSA'!$A:$OK,MATCH(INDEX('Weights'!$E:$E,MATCH($A22,'Weights'!$A:$A,0)),'Data_NSA'!$A:$A,0),MATCH("CUUR0000SA0",'Data_NSA'!$1:$1,0))))*(INDEX('Data_SA'!$A:$LO,MATCH(U$2,'Data_SA'!$A:$A,0),MATCH($E22,'Data_SA'!$1:$1,0))/INDEX('Data_SA'!$A:$LO,MATCH(EDATE(U$2,-1),'Data_SA'!$A:$A,0),MATCH($E22,'Data_SA'!$1:$1,0))-1),""))</f>
        <v/>
      </c>
    </row>
    <row r="23">
      <c r="A23" s="3" t="inlineStr">
        <is>
          <t>SEFB04</t>
        </is>
      </c>
      <c r="B23" s="3" t="inlineStr">
        <is>
          <t>Other bakery products</t>
        </is>
      </c>
      <c r="C23" s="3" t="inlineStr">
        <is>
          <t>SEFB</t>
        </is>
      </c>
      <c r="D23" s="3" t="inlineStr">
        <is>
          <t>CUUR0000SEFB04</t>
        </is>
      </c>
      <c r="E23" s="3" t="inlineStr">
        <is>
          <t>CUSR0000SEFB04</t>
        </is>
      </c>
      <c r="F23" s="3" t="inlineStr">
        <is>
          <t>aggregate</t>
        </is>
      </c>
      <c r="G23" s="3" t="inlineStr">
        <is>
          <t>aggregate</t>
        </is>
      </c>
      <c r="H23" s="10">
        <f>IFERROR(INDEX(Weights!$D:$D,MATCH($A23,Weights!$A:$A,0)),"")</f>
        <v/>
      </c>
      <c r="I23" s="10">
        <f>IFERROR(INDEX('Data_NSA'!$A:$OK,MATCH(I$2,'Data_NSA'!$A:$A,0),MATCH($D23,'Data_NSA'!$1:$1,0)),"")</f>
        <v/>
      </c>
      <c r="J23" s="10">
        <f>IF($E23="","",IFERROR(INDEX('Data_SA'!$A:$LO,MATCH(I$2,'Data_SA'!$A:$A,0),MATCH($E23,'Data_SA'!$1:$1,0)),""))</f>
        <v/>
      </c>
      <c r="K23" s="7">
        <f>IF($E23="","",IFERROR(INDEX('Data_SA'!$A:$LO,MATCH(I$2,'Data_SA'!$A:$A,0),MATCH($E23,'Data_SA'!$1:$1,0))/INDEX('Data_SA'!$A:$LO,MATCH(EDATE(I$2,-1),'Data_SA'!$A:$A,0),MATCH($E23,'Data_SA'!$1:$1,0))-1,""))</f>
        <v/>
      </c>
      <c r="L23" s="7">
        <f>IFERROR(INDEX('Data_NSA'!$A:$OK,MATCH(I$2,'Data_NSA'!$A:$A,0),MATCH($D23,'Data_NSA'!$1:$1,0))/INDEX('Data_NSA'!$A:$OK,MATCH(EDATE(I$2,-12),'Data_NSA'!$A:$A,0),MATCH($D23,'Data_NSA'!$1:$1,0))-1,"")</f>
        <v/>
      </c>
      <c r="M23" s="10">
        <f>IFERROR(INDEX('Weights'!$G:$I,MATCH($A23,'Weights'!$A:$A,0),MATCH(I$2,'Weights'!$G$1:$I$1,0)),"")</f>
        <v/>
      </c>
      <c r="N23" s="10">
        <f>IF($E23="","",IFERROR(100*(INDEX('Weights'!$D:$D,MATCH($A23,'Weights'!$A:$A,0))*(INDEX('Data_NSA'!$A:$OK,MATCH(EDATE(I$2,-1),'Data_NSA'!$A:$A,0),MATCH($D23,'Data_NSA'!$1:$1,0))/INDEX('Data_NSA'!$A:$OK,MATCH(INDEX('Weights'!$E:$E,MATCH($A23,'Weights'!$A:$A,0)),'Data_NSA'!$A:$A,0),MATCH($D23,'Data_NSA'!$1:$1,0))))/(100*(INDEX('Data_NSA'!$A:$OK,MATCH(EDATE(I$2,-1),'Data_NSA'!$A:$A,0),MATCH("CUUR0000SA0",'Data_NSA'!$1:$1,0))/INDEX('Data_NSA'!$A:$OK,MATCH(INDEX('Weights'!$E:$E,MATCH($A23,'Weights'!$A:$A,0)),'Data_NSA'!$A:$A,0),MATCH("CUUR0000SA0",'Data_NSA'!$1:$1,0))))*(INDEX('Data_SA'!$A:$LO,MATCH(I$2,'Data_SA'!$A:$A,0),MATCH($E23,'Data_SA'!$1:$1,0))/INDEX('Data_SA'!$A:$LO,MATCH(EDATE(I$2,-1),'Data_SA'!$A:$A,0),MATCH($E23,'Data_SA'!$1:$1,0))-1),""))</f>
        <v/>
      </c>
      <c r="O23" s="10">
        <f>IFERROR(INDEX('Data_NSA'!$A:$OK,MATCH(O$2,'Data_NSA'!$A:$A,0),MATCH($D23,'Data_NSA'!$1:$1,0)),"")</f>
        <v/>
      </c>
      <c r="P23" s="10">
        <f>IF($E23="","",IFERROR(INDEX('Data_SA'!$A:$LO,MATCH(O$2,'Data_SA'!$A:$A,0),MATCH($E23,'Data_SA'!$1:$1,0)),""))</f>
        <v/>
      </c>
      <c r="Q23" s="7">
        <f>IF($E23="","",IFERROR(INDEX('Data_SA'!$A:$LO,MATCH(O$2,'Data_SA'!$A:$A,0),MATCH($E23,'Data_SA'!$1:$1,0))/INDEX('Data_SA'!$A:$LO,MATCH(EDATE(O$2,-1),'Data_SA'!$A:$A,0),MATCH($E23,'Data_SA'!$1:$1,0))-1,""))</f>
        <v/>
      </c>
      <c r="R23" s="7">
        <f>IFERROR(INDEX('Data_NSA'!$A:$OK,MATCH(O$2,'Data_NSA'!$A:$A,0),MATCH($D23,'Data_NSA'!$1:$1,0))/INDEX('Data_NSA'!$A:$OK,MATCH(EDATE(O$2,-12),'Data_NSA'!$A:$A,0),MATCH($D23,'Data_NSA'!$1:$1,0))-1,"")</f>
        <v/>
      </c>
      <c r="S23" s="10">
        <f>IFERROR(INDEX('Weights'!$G:$I,MATCH($A23,'Weights'!$A:$A,0),MATCH(O$2,'Weights'!$G$1:$I$1,0)),"")</f>
        <v/>
      </c>
      <c r="T23" s="10">
        <f>IF($E23="","",IFERROR(100*(INDEX('Weights'!$D:$D,MATCH($A23,'Weights'!$A:$A,0))*(INDEX('Data_NSA'!$A:$OK,MATCH(EDATE(O$2,-1),'Data_NSA'!$A:$A,0),MATCH($D23,'Data_NSA'!$1:$1,0))/INDEX('Data_NSA'!$A:$OK,MATCH(INDEX('Weights'!$E:$E,MATCH($A23,'Weights'!$A:$A,0)),'Data_NSA'!$A:$A,0),MATCH($D23,'Data_NSA'!$1:$1,0))))/(100*(INDEX('Data_NSA'!$A:$OK,MATCH(EDATE(O$2,-1),'Data_NSA'!$A:$A,0),MATCH("CUUR0000SA0",'Data_NSA'!$1:$1,0))/INDEX('Data_NSA'!$A:$OK,MATCH(INDEX('Weights'!$E:$E,MATCH($A23,'Weights'!$A:$A,0)),'Data_NSA'!$A:$A,0),MATCH("CUUR0000SA0",'Data_NSA'!$1:$1,0))))*(INDEX('Data_SA'!$A:$LO,MATCH(O$2,'Data_SA'!$A:$A,0),MATCH($E23,'Data_SA'!$1:$1,0))/INDEX('Data_SA'!$A:$LO,MATCH(EDATE(O$2,-1),'Data_SA'!$A:$A,0),MATCH($E23,'Data_SA'!$1:$1,0))-1),""))</f>
        <v/>
      </c>
      <c r="U23" s="10">
        <f>IFERROR(INDEX('Data_NSA'!$A:$OK,MATCH(U$2,'Data_NSA'!$A:$A,0),MATCH($D23,'Data_NSA'!$1:$1,0)),"")</f>
        <v/>
      </c>
      <c r="V23" s="10">
        <f>IF($E23="","",IFERROR(INDEX('Data_SA'!$A:$LO,MATCH(U$2,'Data_SA'!$A:$A,0),MATCH($E23,'Data_SA'!$1:$1,0)),""))</f>
        <v/>
      </c>
      <c r="W23" s="7">
        <f>IF($E23="","",IFERROR(INDEX('Data_SA'!$A:$LO,MATCH(U$2,'Data_SA'!$A:$A,0),MATCH($E23,'Data_SA'!$1:$1,0))/INDEX('Data_SA'!$A:$LO,MATCH(EDATE(U$2,-1),'Data_SA'!$A:$A,0),MATCH($E23,'Data_SA'!$1:$1,0))-1,""))</f>
        <v/>
      </c>
      <c r="X23" s="7">
        <f>IFERROR(INDEX('Data_NSA'!$A:$OK,MATCH(U$2,'Data_NSA'!$A:$A,0),MATCH($D23,'Data_NSA'!$1:$1,0))/INDEX('Data_NSA'!$A:$OK,MATCH(EDATE(U$2,-12),'Data_NSA'!$A:$A,0),MATCH($D23,'Data_NSA'!$1:$1,0))-1,"")</f>
        <v/>
      </c>
      <c r="Y23" s="10">
        <f>IFERROR(INDEX('Weights'!$G:$I,MATCH($A23,'Weights'!$A:$A,0),MATCH(U$2,'Weights'!$G$1:$I$1,0)),"")</f>
        <v/>
      </c>
      <c r="Z23" s="10">
        <f>IF($E23="","",IFERROR(100*(INDEX('Weights'!$D:$D,MATCH($A23,'Weights'!$A:$A,0))*(INDEX('Data_NSA'!$A:$OK,MATCH(EDATE(U$2,-1),'Data_NSA'!$A:$A,0),MATCH($D23,'Data_NSA'!$1:$1,0))/INDEX('Data_NSA'!$A:$OK,MATCH(INDEX('Weights'!$E:$E,MATCH($A23,'Weights'!$A:$A,0)),'Data_NSA'!$A:$A,0),MATCH($D23,'Data_NSA'!$1:$1,0))))/(100*(INDEX('Data_NSA'!$A:$OK,MATCH(EDATE(U$2,-1),'Data_NSA'!$A:$A,0),MATCH("CUUR0000SA0",'Data_NSA'!$1:$1,0))/INDEX('Data_NSA'!$A:$OK,MATCH(INDEX('Weights'!$E:$E,MATCH($A23,'Weights'!$A:$A,0)),'Data_NSA'!$A:$A,0),MATCH("CUUR0000SA0",'Data_NSA'!$1:$1,0))))*(INDEX('Data_SA'!$A:$LO,MATCH(U$2,'Data_SA'!$A:$A,0),MATCH($E23,'Data_SA'!$1:$1,0))/INDEX('Data_SA'!$A:$LO,MATCH(EDATE(U$2,-1),'Data_SA'!$A:$A,0),MATCH($E23,'Data_SA'!$1:$1,0))-1),""))</f>
        <v/>
      </c>
    </row>
    <row r="24">
      <c r="A24" s="3" t="inlineStr">
        <is>
          <t>SS02063</t>
        </is>
      </c>
      <c r="B24" s="3" t="inlineStr">
        <is>
          <t>Fresh sweetrolls, coffeecakes, doughnuts</t>
        </is>
      </c>
      <c r="C24" s="3" t="inlineStr">
        <is>
          <t>SEFB04</t>
        </is>
      </c>
      <c r="D24" s="3" t="inlineStr">
        <is>
          <t>CUUR0000SS02063</t>
        </is>
      </c>
      <c r="E24" s="3" t="inlineStr"/>
      <c r="F24" s="3" t="inlineStr">
        <is>
          <t>GM</t>
        </is>
      </c>
      <c r="G24" s="3" t="inlineStr">
        <is>
          <t>monthly in New York/Los Angeles/Chicago; often bimonthly elsewhere</t>
        </is>
      </c>
      <c r="H24" s="10">
        <f>IFERROR(INDEX(Weights!$D:$D,MATCH($A24,Weights!$A:$A,0)),"")</f>
        <v/>
      </c>
      <c r="I24" s="10">
        <f>IFERROR(INDEX('Data_NSA'!$A:$OK,MATCH(I$2,'Data_NSA'!$A:$A,0),MATCH($D24,'Data_NSA'!$1:$1,0)),"")</f>
        <v/>
      </c>
      <c r="J24" s="10">
        <f>IF($E24="","",IFERROR(INDEX('Data_SA'!$A:$LO,MATCH(I$2,'Data_SA'!$A:$A,0),MATCH($E24,'Data_SA'!$1:$1,0)),""))</f>
        <v/>
      </c>
      <c r="K24" s="7">
        <f>IF($E24="","",IFERROR(INDEX('Data_SA'!$A:$LO,MATCH(I$2,'Data_SA'!$A:$A,0),MATCH($E24,'Data_SA'!$1:$1,0))/INDEX('Data_SA'!$A:$LO,MATCH(EDATE(I$2,-1),'Data_SA'!$A:$A,0),MATCH($E24,'Data_SA'!$1:$1,0))-1,""))</f>
        <v/>
      </c>
      <c r="L24" s="7">
        <f>IFERROR(INDEX('Data_NSA'!$A:$OK,MATCH(I$2,'Data_NSA'!$A:$A,0),MATCH($D24,'Data_NSA'!$1:$1,0))/INDEX('Data_NSA'!$A:$OK,MATCH(EDATE(I$2,-12),'Data_NSA'!$A:$A,0),MATCH($D24,'Data_NSA'!$1:$1,0))-1,"")</f>
        <v/>
      </c>
      <c r="M24" s="10">
        <f>IFERROR(INDEX('Weights'!$G:$I,MATCH($A24,'Weights'!$A:$A,0),MATCH(I$2,'Weights'!$G$1:$I$1,0)),"")</f>
        <v/>
      </c>
      <c r="N24" s="10">
        <f>IF($E24="","",IFERROR(100*(INDEX('Weights'!$D:$D,MATCH($A24,'Weights'!$A:$A,0))*(INDEX('Data_NSA'!$A:$OK,MATCH(EDATE(I$2,-1),'Data_NSA'!$A:$A,0),MATCH($D24,'Data_NSA'!$1:$1,0))/INDEX('Data_NSA'!$A:$OK,MATCH(INDEX('Weights'!$E:$E,MATCH($A24,'Weights'!$A:$A,0)),'Data_NSA'!$A:$A,0),MATCH($D24,'Data_NSA'!$1:$1,0))))/(100*(INDEX('Data_NSA'!$A:$OK,MATCH(EDATE(I$2,-1),'Data_NSA'!$A:$A,0),MATCH("CUUR0000SA0",'Data_NSA'!$1:$1,0))/INDEX('Data_NSA'!$A:$OK,MATCH(INDEX('Weights'!$E:$E,MATCH($A24,'Weights'!$A:$A,0)),'Data_NSA'!$A:$A,0),MATCH("CUUR0000SA0",'Data_NSA'!$1:$1,0))))*(INDEX('Data_SA'!$A:$LO,MATCH(I$2,'Data_SA'!$A:$A,0),MATCH($E24,'Data_SA'!$1:$1,0))/INDEX('Data_SA'!$A:$LO,MATCH(EDATE(I$2,-1),'Data_SA'!$A:$A,0),MATCH($E24,'Data_SA'!$1:$1,0))-1),""))</f>
        <v/>
      </c>
      <c r="O24" s="10">
        <f>IFERROR(INDEX('Data_NSA'!$A:$OK,MATCH(O$2,'Data_NSA'!$A:$A,0),MATCH($D24,'Data_NSA'!$1:$1,0)),"")</f>
        <v/>
      </c>
      <c r="P24" s="10">
        <f>IF($E24="","",IFERROR(INDEX('Data_SA'!$A:$LO,MATCH(O$2,'Data_SA'!$A:$A,0),MATCH($E24,'Data_SA'!$1:$1,0)),""))</f>
        <v/>
      </c>
      <c r="Q24" s="7">
        <f>IF($E24="","",IFERROR(INDEX('Data_SA'!$A:$LO,MATCH(O$2,'Data_SA'!$A:$A,0),MATCH($E24,'Data_SA'!$1:$1,0))/INDEX('Data_SA'!$A:$LO,MATCH(EDATE(O$2,-1),'Data_SA'!$A:$A,0),MATCH($E24,'Data_SA'!$1:$1,0))-1,""))</f>
        <v/>
      </c>
      <c r="R24" s="7">
        <f>IFERROR(INDEX('Data_NSA'!$A:$OK,MATCH(O$2,'Data_NSA'!$A:$A,0),MATCH($D24,'Data_NSA'!$1:$1,0))/INDEX('Data_NSA'!$A:$OK,MATCH(EDATE(O$2,-12),'Data_NSA'!$A:$A,0),MATCH($D24,'Data_NSA'!$1:$1,0))-1,"")</f>
        <v/>
      </c>
      <c r="S24" s="10">
        <f>IFERROR(INDEX('Weights'!$G:$I,MATCH($A24,'Weights'!$A:$A,0),MATCH(O$2,'Weights'!$G$1:$I$1,0)),"")</f>
        <v/>
      </c>
      <c r="T24" s="10">
        <f>IF($E24="","",IFERROR(100*(INDEX('Weights'!$D:$D,MATCH($A24,'Weights'!$A:$A,0))*(INDEX('Data_NSA'!$A:$OK,MATCH(EDATE(O$2,-1),'Data_NSA'!$A:$A,0),MATCH($D24,'Data_NSA'!$1:$1,0))/INDEX('Data_NSA'!$A:$OK,MATCH(INDEX('Weights'!$E:$E,MATCH($A24,'Weights'!$A:$A,0)),'Data_NSA'!$A:$A,0),MATCH($D24,'Data_NSA'!$1:$1,0))))/(100*(INDEX('Data_NSA'!$A:$OK,MATCH(EDATE(O$2,-1),'Data_NSA'!$A:$A,0),MATCH("CUUR0000SA0",'Data_NSA'!$1:$1,0))/INDEX('Data_NSA'!$A:$OK,MATCH(INDEX('Weights'!$E:$E,MATCH($A24,'Weights'!$A:$A,0)),'Data_NSA'!$A:$A,0),MATCH("CUUR0000SA0",'Data_NSA'!$1:$1,0))))*(INDEX('Data_SA'!$A:$LO,MATCH(O$2,'Data_SA'!$A:$A,0),MATCH($E24,'Data_SA'!$1:$1,0))/INDEX('Data_SA'!$A:$LO,MATCH(EDATE(O$2,-1),'Data_SA'!$A:$A,0),MATCH($E24,'Data_SA'!$1:$1,0))-1),""))</f>
        <v/>
      </c>
      <c r="U24" s="10">
        <f>IFERROR(INDEX('Data_NSA'!$A:$OK,MATCH(U$2,'Data_NSA'!$A:$A,0),MATCH($D24,'Data_NSA'!$1:$1,0)),"")</f>
        <v/>
      </c>
      <c r="V24" s="10">
        <f>IF($E24="","",IFERROR(INDEX('Data_SA'!$A:$LO,MATCH(U$2,'Data_SA'!$A:$A,0),MATCH($E24,'Data_SA'!$1:$1,0)),""))</f>
        <v/>
      </c>
      <c r="W24" s="7">
        <f>IF($E24="","",IFERROR(INDEX('Data_SA'!$A:$LO,MATCH(U$2,'Data_SA'!$A:$A,0),MATCH($E24,'Data_SA'!$1:$1,0))/INDEX('Data_SA'!$A:$LO,MATCH(EDATE(U$2,-1),'Data_SA'!$A:$A,0),MATCH($E24,'Data_SA'!$1:$1,0))-1,""))</f>
        <v/>
      </c>
      <c r="X24" s="7">
        <f>IFERROR(INDEX('Data_NSA'!$A:$OK,MATCH(U$2,'Data_NSA'!$A:$A,0),MATCH($D24,'Data_NSA'!$1:$1,0))/INDEX('Data_NSA'!$A:$OK,MATCH(EDATE(U$2,-12),'Data_NSA'!$A:$A,0),MATCH($D24,'Data_NSA'!$1:$1,0))-1,"")</f>
        <v/>
      </c>
      <c r="Y24" s="10">
        <f>IFERROR(INDEX('Weights'!$G:$I,MATCH($A24,'Weights'!$A:$A,0),MATCH(U$2,'Weights'!$G$1:$I$1,0)),"")</f>
        <v/>
      </c>
      <c r="Z24" s="10">
        <f>IF($E24="","",IFERROR(100*(INDEX('Weights'!$D:$D,MATCH($A24,'Weights'!$A:$A,0))*(INDEX('Data_NSA'!$A:$OK,MATCH(EDATE(U$2,-1),'Data_NSA'!$A:$A,0),MATCH($D24,'Data_NSA'!$1:$1,0))/INDEX('Data_NSA'!$A:$OK,MATCH(INDEX('Weights'!$E:$E,MATCH($A24,'Weights'!$A:$A,0)),'Data_NSA'!$A:$A,0),MATCH($D24,'Data_NSA'!$1:$1,0))))/(100*(INDEX('Data_NSA'!$A:$OK,MATCH(EDATE(U$2,-1),'Data_NSA'!$A:$A,0),MATCH("CUUR0000SA0",'Data_NSA'!$1:$1,0))/INDEX('Data_NSA'!$A:$OK,MATCH(INDEX('Weights'!$E:$E,MATCH($A24,'Weights'!$A:$A,0)),'Data_NSA'!$A:$A,0),MATCH("CUUR0000SA0",'Data_NSA'!$1:$1,0))))*(INDEX('Data_SA'!$A:$LO,MATCH(U$2,'Data_SA'!$A:$A,0),MATCH($E24,'Data_SA'!$1:$1,0))/INDEX('Data_SA'!$A:$LO,MATCH(EDATE(U$2,-1),'Data_SA'!$A:$A,0),MATCH($E24,'Data_SA'!$1:$1,0))-1),""))</f>
        <v/>
      </c>
    </row>
    <row r="25">
      <c r="A25" s="3" t="inlineStr">
        <is>
          <t>SS0206A</t>
        </is>
      </c>
      <c r="B25" s="3" t="inlineStr">
        <is>
          <t>Crackers, bread, and cracker products</t>
        </is>
      </c>
      <c r="C25" s="3" t="inlineStr">
        <is>
          <t>SEFB04</t>
        </is>
      </c>
      <c r="D25" s="3" t="inlineStr">
        <is>
          <t>CUUR0000SS0206A</t>
        </is>
      </c>
      <c r="E25" s="3" t="inlineStr">
        <is>
          <t>CUSR0000SS0206A</t>
        </is>
      </c>
      <c r="F25" s="3" t="inlineStr">
        <is>
          <t>GM</t>
        </is>
      </c>
      <c r="G25" s="3" t="inlineStr">
        <is>
          <t>monthly in New York/Los Angeles/Chicago; often bimonthly elsewhere</t>
        </is>
      </c>
      <c r="H25" s="10">
        <f>IFERROR(INDEX(Weights!$D:$D,MATCH($A25,Weights!$A:$A,0)),"")</f>
        <v/>
      </c>
      <c r="I25" s="10">
        <f>IFERROR(INDEX('Data_NSA'!$A:$OK,MATCH(I$2,'Data_NSA'!$A:$A,0),MATCH($D25,'Data_NSA'!$1:$1,0)),"")</f>
        <v/>
      </c>
      <c r="J25" s="10">
        <f>IF($E25="","",IFERROR(INDEX('Data_SA'!$A:$LO,MATCH(I$2,'Data_SA'!$A:$A,0),MATCH($E25,'Data_SA'!$1:$1,0)),""))</f>
        <v/>
      </c>
      <c r="K25" s="7">
        <f>IF($E25="","",IFERROR(INDEX('Data_SA'!$A:$LO,MATCH(I$2,'Data_SA'!$A:$A,0),MATCH($E25,'Data_SA'!$1:$1,0))/INDEX('Data_SA'!$A:$LO,MATCH(EDATE(I$2,-1),'Data_SA'!$A:$A,0),MATCH($E25,'Data_SA'!$1:$1,0))-1,""))</f>
        <v/>
      </c>
      <c r="L25" s="7">
        <f>IFERROR(INDEX('Data_NSA'!$A:$OK,MATCH(I$2,'Data_NSA'!$A:$A,0),MATCH($D25,'Data_NSA'!$1:$1,0))/INDEX('Data_NSA'!$A:$OK,MATCH(EDATE(I$2,-12),'Data_NSA'!$A:$A,0),MATCH($D25,'Data_NSA'!$1:$1,0))-1,"")</f>
        <v/>
      </c>
      <c r="M25" s="10">
        <f>IFERROR(INDEX('Weights'!$G:$I,MATCH($A25,'Weights'!$A:$A,0),MATCH(I$2,'Weights'!$G$1:$I$1,0)),"")</f>
        <v/>
      </c>
      <c r="N25" s="10">
        <f>IF($E25="","",IFERROR(100*(INDEX('Weights'!$D:$D,MATCH($A25,'Weights'!$A:$A,0))*(INDEX('Data_NSA'!$A:$OK,MATCH(EDATE(I$2,-1),'Data_NSA'!$A:$A,0),MATCH($D25,'Data_NSA'!$1:$1,0))/INDEX('Data_NSA'!$A:$OK,MATCH(INDEX('Weights'!$E:$E,MATCH($A25,'Weights'!$A:$A,0)),'Data_NSA'!$A:$A,0),MATCH($D25,'Data_NSA'!$1:$1,0))))/(100*(INDEX('Data_NSA'!$A:$OK,MATCH(EDATE(I$2,-1),'Data_NSA'!$A:$A,0),MATCH("CUUR0000SA0",'Data_NSA'!$1:$1,0))/INDEX('Data_NSA'!$A:$OK,MATCH(INDEX('Weights'!$E:$E,MATCH($A25,'Weights'!$A:$A,0)),'Data_NSA'!$A:$A,0),MATCH("CUUR0000SA0",'Data_NSA'!$1:$1,0))))*(INDEX('Data_SA'!$A:$LO,MATCH(I$2,'Data_SA'!$A:$A,0),MATCH($E25,'Data_SA'!$1:$1,0))/INDEX('Data_SA'!$A:$LO,MATCH(EDATE(I$2,-1),'Data_SA'!$A:$A,0),MATCH($E25,'Data_SA'!$1:$1,0))-1),""))</f>
        <v/>
      </c>
      <c r="O25" s="10">
        <f>IFERROR(INDEX('Data_NSA'!$A:$OK,MATCH(O$2,'Data_NSA'!$A:$A,0),MATCH($D25,'Data_NSA'!$1:$1,0)),"")</f>
        <v/>
      </c>
      <c r="P25" s="10">
        <f>IF($E25="","",IFERROR(INDEX('Data_SA'!$A:$LO,MATCH(O$2,'Data_SA'!$A:$A,0),MATCH($E25,'Data_SA'!$1:$1,0)),""))</f>
        <v/>
      </c>
      <c r="Q25" s="7">
        <f>IF($E25="","",IFERROR(INDEX('Data_SA'!$A:$LO,MATCH(O$2,'Data_SA'!$A:$A,0),MATCH($E25,'Data_SA'!$1:$1,0))/INDEX('Data_SA'!$A:$LO,MATCH(EDATE(O$2,-1),'Data_SA'!$A:$A,0),MATCH($E25,'Data_SA'!$1:$1,0))-1,""))</f>
        <v/>
      </c>
      <c r="R25" s="7">
        <f>IFERROR(INDEX('Data_NSA'!$A:$OK,MATCH(O$2,'Data_NSA'!$A:$A,0),MATCH($D25,'Data_NSA'!$1:$1,0))/INDEX('Data_NSA'!$A:$OK,MATCH(EDATE(O$2,-12),'Data_NSA'!$A:$A,0),MATCH($D25,'Data_NSA'!$1:$1,0))-1,"")</f>
        <v/>
      </c>
      <c r="S25" s="10">
        <f>IFERROR(INDEX('Weights'!$G:$I,MATCH($A25,'Weights'!$A:$A,0),MATCH(O$2,'Weights'!$G$1:$I$1,0)),"")</f>
        <v/>
      </c>
      <c r="T25" s="10">
        <f>IF($E25="","",IFERROR(100*(INDEX('Weights'!$D:$D,MATCH($A25,'Weights'!$A:$A,0))*(INDEX('Data_NSA'!$A:$OK,MATCH(EDATE(O$2,-1),'Data_NSA'!$A:$A,0),MATCH($D25,'Data_NSA'!$1:$1,0))/INDEX('Data_NSA'!$A:$OK,MATCH(INDEX('Weights'!$E:$E,MATCH($A25,'Weights'!$A:$A,0)),'Data_NSA'!$A:$A,0),MATCH($D25,'Data_NSA'!$1:$1,0))))/(100*(INDEX('Data_NSA'!$A:$OK,MATCH(EDATE(O$2,-1),'Data_NSA'!$A:$A,0),MATCH("CUUR0000SA0",'Data_NSA'!$1:$1,0))/INDEX('Data_NSA'!$A:$OK,MATCH(INDEX('Weights'!$E:$E,MATCH($A25,'Weights'!$A:$A,0)),'Data_NSA'!$A:$A,0),MATCH("CUUR0000SA0",'Data_NSA'!$1:$1,0))))*(INDEX('Data_SA'!$A:$LO,MATCH(O$2,'Data_SA'!$A:$A,0),MATCH($E25,'Data_SA'!$1:$1,0))/INDEX('Data_SA'!$A:$LO,MATCH(EDATE(O$2,-1),'Data_SA'!$A:$A,0),MATCH($E25,'Data_SA'!$1:$1,0))-1),""))</f>
        <v/>
      </c>
      <c r="U25" s="10">
        <f>IFERROR(INDEX('Data_NSA'!$A:$OK,MATCH(U$2,'Data_NSA'!$A:$A,0),MATCH($D25,'Data_NSA'!$1:$1,0)),"")</f>
        <v/>
      </c>
      <c r="V25" s="10">
        <f>IF($E25="","",IFERROR(INDEX('Data_SA'!$A:$LO,MATCH(U$2,'Data_SA'!$A:$A,0),MATCH($E25,'Data_SA'!$1:$1,0)),""))</f>
        <v/>
      </c>
      <c r="W25" s="7">
        <f>IF($E25="","",IFERROR(INDEX('Data_SA'!$A:$LO,MATCH(U$2,'Data_SA'!$A:$A,0),MATCH($E25,'Data_SA'!$1:$1,0))/INDEX('Data_SA'!$A:$LO,MATCH(EDATE(U$2,-1),'Data_SA'!$A:$A,0),MATCH($E25,'Data_SA'!$1:$1,0))-1,""))</f>
        <v/>
      </c>
      <c r="X25" s="7">
        <f>IFERROR(INDEX('Data_NSA'!$A:$OK,MATCH(U$2,'Data_NSA'!$A:$A,0),MATCH($D25,'Data_NSA'!$1:$1,0))/INDEX('Data_NSA'!$A:$OK,MATCH(EDATE(U$2,-12),'Data_NSA'!$A:$A,0),MATCH($D25,'Data_NSA'!$1:$1,0))-1,"")</f>
        <v/>
      </c>
      <c r="Y25" s="10">
        <f>IFERROR(INDEX('Weights'!$G:$I,MATCH($A25,'Weights'!$A:$A,0),MATCH(U$2,'Weights'!$G$1:$I$1,0)),"")</f>
        <v/>
      </c>
      <c r="Z25" s="10">
        <f>IF($E25="","",IFERROR(100*(INDEX('Weights'!$D:$D,MATCH($A25,'Weights'!$A:$A,0))*(INDEX('Data_NSA'!$A:$OK,MATCH(EDATE(U$2,-1),'Data_NSA'!$A:$A,0),MATCH($D25,'Data_NSA'!$1:$1,0))/INDEX('Data_NSA'!$A:$OK,MATCH(INDEX('Weights'!$E:$E,MATCH($A25,'Weights'!$A:$A,0)),'Data_NSA'!$A:$A,0),MATCH($D25,'Data_NSA'!$1:$1,0))))/(100*(INDEX('Data_NSA'!$A:$OK,MATCH(EDATE(U$2,-1),'Data_NSA'!$A:$A,0),MATCH("CUUR0000SA0",'Data_NSA'!$1:$1,0))/INDEX('Data_NSA'!$A:$OK,MATCH(INDEX('Weights'!$E:$E,MATCH($A25,'Weights'!$A:$A,0)),'Data_NSA'!$A:$A,0),MATCH("CUUR0000SA0",'Data_NSA'!$1:$1,0))))*(INDEX('Data_SA'!$A:$LO,MATCH(U$2,'Data_SA'!$A:$A,0),MATCH($E25,'Data_SA'!$1:$1,0))/INDEX('Data_SA'!$A:$LO,MATCH(EDATE(U$2,-1),'Data_SA'!$A:$A,0),MATCH($E25,'Data_SA'!$1:$1,0))-1),""))</f>
        <v/>
      </c>
    </row>
    <row r="26">
      <c r="A26" s="3" t="inlineStr">
        <is>
          <t>SS0206B</t>
        </is>
      </c>
      <c r="B26" s="3" t="inlineStr">
        <is>
          <t>Frozen and refrigerated bakery products, pies, tarts, turnovers</t>
        </is>
      </c>
      <c r="C26" s="3" t="inlineStr">
        <is>
          <t>SEFB04</t>
        </is>
      </c>
      <c r="D26" s="3" t="inlineStr">
        <is>
          <t>CUUR0000SS0206B</t>
        </is>
      </c>
      <c r="E26" s="3" t="inlineStr">
        <is>
          <t>CUSR0000SS0206B</t>
        </is>
      </c>
      <c r="F26" s="3" t="inlineStr">
        <is>
          <t>GM</t>
        </is>
      </c>
      <c r="G26" s="3" t="inlineStr">
        <is>
          <t>monthly in New York/Los Angeles/Chicago; often bimonthly elsewhere</t>
        </is>
      </c>
      <c r="H26" s="10">
        <f>IFERROR(INDEX(Weights!$D:$D,MATCH($A26,Weights!$A:$A,0)),"")</f>
        <v/>
      </c>
      <c r="I26" s="10">
        <f>IFERROR(INDEX('Data_NSA'!$A:$OK,MATCH(I$2,'Data_NSA'!$A:$A,0),MATCH($D26,'Data_NSA'!$1:$1,0)),"")</f>
        <v/>
      </c>
      <c r="J26" s="10">
        <f>IF($E26="","",IFERROR(INDEX('Data_SA'!$A:$LO,MATCH(I$2,'Data_SA'!$A:$A,0),MATCH($E26,'Data_SA'!$1:$1,0)),""))</f>
        <v/>
      </c>
      <c r="K26" s="7">
        <f>IF($E26="","",IFERROR(INDEX('Data_SA'!$A:$LO,MATCH(I$2,'Data_SA'!$A:$A,0),MATCH($E26,'Data_SA'!$1:$1,0))/INDEX('Data_SA'!$A:$LO,MATCH(EDATE(I$2,-1),'Data_SA'!$A:$A,0),MATCH($E26,'Data_SA'!$1:$1,0))-1,""))</f>
        <v/>
      </c>
      <c r="L26" s="7">
        <f>IFERROR(INDEX('Data_NSA'!$A:$OK,MATCH(I$2,'Data_NSA'!$A:$A,0),MATCH($D26,'Data_NSA'!$1:$1,0))/INDEX('Data_NSA'!$A:$OK,MATCH(EDATE(I$2,-12),'Data_NSA'!$A:$A,0),MATCH($D26,'Data_NSA'!$1:$1,0))-1,"")</f>
        <v/>
      </c>
      <c r="M26" s="10">
        <f>IFERROR(INDEX('Weights'!$G:$I,MATCH($A26,'Weights'!$A:$A,0),MATCH(I$2,'Weights'!$G$1:$I$1,0)),"")</f>
        <v/>
      </c>
      <c r="N26" s="10">
        <f>IF($E26="","",IFERROR(100*(INDEX('Weights'!$D:$D,MATCH($A26,'Weights'!$A:$A,0))*(INDEX('Data_NSA'!$A:$OK,MATCH(EDATE(I$2,-1),'Data_NSA'!$A:$A,0),MATCH($D26,'Data_NSA'!$1:$1,0))/INDEX('Data_NSA'!$A:$OK,MATCH(INDEX('Weights'!$E:$E,MATCH($A26,'Weights'!$A:$A,0)),'Data_NSA'!$A:$A,0),MATCH($D26,'Data_NSA'!$1:$1,0))))/(100*(INDEX('Data_NSA'!$A:$OK,MATCH(EDATE(I$2,-1),'Data_NSA'!$A:$A,0),MATCH("CUUR0000SA0",'Data_NSA'!$1:$1,0))/INDEX('Data_NSA'!$A:$OK,MATCH(INDEX('Weights'!$E:$E,MATCH($A26,'Weights'!$A:$A,0)),'Data_NSA'!$A:$A,0),MATCH("CUUR0000SA0",'Data_NSA'!$1:$1,0))))*(INDEX('Data_SA'!$A:$LO,MATCH(I$2,'Data_SA'!$A:$A,0),MATCH($E26,'Data_SA'!$1:$1,0))/INDEX('Data_SA'!$A:$LO,MATCH(EDATE(I$2,-1),'Data_SA'!$A:$A,0),MATCH($E26,'Data_SA'!$1:$1,0))-1),""))</f>
        <v/>
      </c>
      <c r="O26" s="10">
        <f>IFERROR(INDEX('Data_NSA'!$A:$OK,MATCH(O$2,'Data_NSA'!$A:$A,0),MATCH($D26,'Data_NSA'!$1:$1,0)),"")</f>
        <v/>
      </c>
      <c r="P26" s="10">
        <f>IF($E26="","",IFERROR(INDEX('Data_SA'!$A:$LO,MATCH(O$2,'Data_SA'!$A:$A,0),MATCH($E26,'Data_SA'!$1:$1,0)),""))</f>
        <v/>
      </c>
      <c r="Q26" s="7">
        <f>IF($E26="","",IFERROR(INDEX('Data_SA'!$A:$LO,MATCH(O$2,'Data_SA'!$A:$A,0),MATCH($E26,'Data_SA'!$1:$1,0))/INDEX('Data_SA'!$A:$LO,MATCH(EDATE(O$2,-1),'Data_SA'!$A:$A,0),MATCH($E26,'Data_SA'!$1:$1,0))-1,""))</f>
        <v/>
      </c>
      <c r="R26" s="7">
        <f>IFERROR(INDEX('Data_NSA'!$A:$OK,MATCH(O$2,'Data_NSA'!$A:$A,0),MATCH($D26,'Data_NSA'!$1:$1,0))/INDEX('Data_NSA'!$A:$OK,MATCH(EDATE(O$2,-12),'Data_NSA'!$A:$A,0),MATCH($D26,'Data_NSA'!$1:$1,0))-1,"")</f>
        <v/>
      </c>
      <c r="S26" s="10">
        <f>IFERROR(INDEX('Weights'!$G:$I,MATCH($A26,'Weights'!$A:$A,0),MATCH(O$2,'Weights'!$G$1:$I$1,0)),"")</f>
        <v/>
      </c>
      <c r="T26" s="10">
        <f>IF($E26="","",IFERROR(100*(INDEX('Weights'!$D:$D,MATCH($A26,'Weights'!$A:$A,0))*(INDEX('Data_NSA'!$A:$OK,MATCH(EDATE(O$2,-1),'Data_NSA'!$A:$A,0),MATCH($D26,'Data_NSA'!$1:$1,0))/INDEX('Data_NSA'!$A:$OK,MATCH(INDEX('Weights'!$E:$E,MATCH($A26,'Weights'!$A:$A,0)),'Data_NSA'!$A:$A,0),MATCH($D26,'Data_NSA'!$1:$1,0))))/(100*(INDEX('Data_NSA'!$A:$OK,MATCH(EDATE(O$2,-1),'Data_NSA'!$A:$A,0),MATCH("CUUR0000SA0",'Data_NSA'!$1:$1,0))/INDEX('Data_NSA'!$A:$OK,MATCH(INDEX('Weights'!$E:$E,MATCH($A26,'Weights'!$A:$A,0)),'Data_NSA'!$A:$A,0),MATCH("CUUR0000SA0",'Data_NSA'!$1:$1,0))))*(INDEX('Data_SA'!$A:$LO,MATCH(O$2,'Data_SA'!$A:$A,0),MATCH($E26,'Data_SA'!$1:$1,0))/INDEX('Data_SA'!$A:$LO,MATCH(EDATE(O$2,-1),'Data_SA'!$A:$A,0),MATCH($E26,'Data_SA'!$1:$1,0))-1),""))</f>
        <v/>
      </c>
      <c r="U26" s="10">
        <f>IFERROR(INDEX('Data_NSA'!$A:$OK,MATCH(U$2,'Data_NSA'!$A:$A,0),MATCH($D26,'Data_NSA'!$1:$1,0)),"")</f>
        <v/>
      </c>
      <c r="V26" s="10">
        <f>IF($E26="","",IFERROR(INDEX('Data_SA'!$A:$LO,MATCH(U$2,'Data_SA'!$A:$A,0),MATCH($E26,'Data_SA'!$1:$1,0)),""))</f>
        <v/>
      </c>
      <c r="W26" s="7">
        <f>IF($E26="","",IFERROR(INDEX('Data_SA'!$A:$LO,MATCH(U$2,'Data_SA'!$A:$A,0),MATCH($E26,'Data_SA'!$1:$1,0))/INDEX('Data_SA'!$A:$LO,MATCH(EDATE(U$2,-1),'Data_SA'!$A:$A,0),MATCH($E26,'Data_SA'!$1:$1,0))-1,""))</f>
        <v/>
      </c>
      <c r="X26" s="7">
        <f>IFERROR(INDEX('Data_NSA'!$A:$OK,MATCH(U$2,'Data_NSA'!$A:$A,0),MATCH($D26,'Data_NSA'!$1:$1,0))/INDEX('Data_NSA'!$A:$OK,MATCH(EDATE(U$2,-12),'Data_NSA'!$A:$A,0),MATCH($D26,'Data_NSA'!$1:$1,0))-1,"")</f>
        <v/>
      </c>
      <c r="Y26" s="10">
        <f>IFERROR(INDEX('Weights'!$G:$I,MATCH($A26,'Weights'!$A:$A,0),MATCH(U$2,'Weights'!$G$1:$I$1,0)),"")</f>
        <v/>
      </c>
      <c r="Z26" s="10">
        <f>IF($E26="","",IFERROR(100*(INDEX('Weights'!$D:$D,MATCH($A26,'Weights'!$A:$A,0))*(INDEX('Data_NSA'!$A:$OK,MATCH(EDATE(U$2,-1),'Data_NSA'!$A:$A,0),MATCH($D26,'Data_NSA'!$1:$1,0))/INDEX('Data_NSA'!$A:$OK,MATCH(INDEX('Weights'!$E:$E,MATCH($A26,'Weights'!$A:$A,0)),'Data_NSA'!$A:$A,0),MATCH($D26,'Data_NSA'!$1:$1,0))))/(100*(INDEX('Data_NSA'!$A:$OK,MATCH(EDATE(U$2,-1),'Data_NSA'!$A:$A,0),MATCH("CUUR0000SA0",'Data_NSA'!$1:$1,0))/INDEX('Data_NSA'!$A:$OK,MATCH(INDEX('Weights'!$E:$E,MATCH($A26,'Weights'!$A:$A,0)),'Data_NSA'!$A:$A,0),MATCH("CUUR0000SA0",'Data_NSA'!$1:$1,0))))*(INDEX('Data_SA'!$A:$LO,MATCH(U$2,'Data_SA'!$A:$A,0),MATCH($E26,'Data_SA'!$1:$1,0))/INDEX('Data_SA'!$A:$LO,MATCH(EDATE(U$2,-1),'Data_SA'!$A:$A,0),MATCH($E26,'Data_SA'!$1:$1,0))-1),""))</f>
        <v/>
      </c>
    </row>
    <row r="27">
      <c r="A27" s="3" t="inlineStr">
        <is>
          <t>SAF112</t>
        </is>
      </c>
      <c r="B27" s="3" t="inlineStr">
        <is>
          <t>Meats, poultry, fish, and eggs</t>
        </is>
      </c>
      <c r="C27" s="3" t="inlineStr">
        <is>
          <t>SAF11</t>
        </is>
      </c>
      <c r="D27" s="3" t="inlineStr">
        <is>
          <t>CUUR0000SAF112</t>
        </is>
      </c>
      <c r="E27" s="3" t="inlineStr">
        <is>
          <t>CUSR0000SAF112</t>
        </is>
      </c>
      <c r="F27" s="3" t="inlineStr">
        <is>
          <t>GM</t>
        </is>
      </c>
      <c r="G27" s="3" t="inlineStr">
        <is>
          <t>monthly</t>
        </is>
      </c>
      <c r="H27" s="10">
        <f>IFERROR(INDEX(Weights!$D:$D,MATCH($A27,Weights!$A:$A,0)),"")</f>
        <v/>
      </c>
      <c r="I27" s="10">
        <f>IFERROR(INDEX('Data_NSA'!$A:$OK,MATCH(I$2,'Data_NSA'!$A:$A,0),MATCH($D27,'Data_NSA'!$1:$1,0)),"")</f>
        <v/>
      </c>
      <c r="J27" s="10">
        <f>IF($E27="","",IFERROR(INDEX('Data_SA'!$A:$LO,MATCH(I$2,'Data_SA'!$A:$A,0),MATCH($E27,'Data_SA'!$1:$1,0)),""))</f>
        <v/>
      </c>
      <c r="K27" s="7">
        <f>IF($E27="","",IFERROR(INDEX('Data_SA'!$A:$LO,MATCH(I$2,'Data_SA'!$A:$A,0),MATCH($E27,'Data_SA'!$1:$1,0))/INDEX('Data_SA'!$A:$LO,MATCH(EDATE(I$2,-1),'Data_SA'!$A:$A,0),MATCH($E27,'Data_SA'!$1:$1,0))-1,""))</f>
        <v/>
      </c>
      <c r="L27" s="7">
        <f>IFERROR(INDEX('Data_NSA'!$A:$OK,MATCH(I$2,'Data_NSA'!$A:$A,0),MATCH($D27,'Data_NSA'!$1:$1,0))/INDEX('Data_NSA'!$A:$OK,MATCH(EDATE(I$2,-12),'Data_NSA'!$A:$A,0),MATCH($D27,'Data_NSA'!$1:$1,0))-1,"")</f>
        <v/>
      </c>
      <c r="M27" s="10">
        <f>IFERROR(INDEX('Weights'!$G:$I,MATCH($A27,'Weights'!$A:$A,0),MATCH(I$2,'Weights'!$G$1:$I$1,0)),"")</f>
        <v/>
      </c>
      <c r="N27" s="10">
        <f>IF($E27="","",IFERROR(100*(INDEX('Weights'!$D:$D,MATCH($A27,'Weights'!$A:$A,0))*(INDEX('Data_NSA'!$A:$OK,MATCH(EDATE(I$2,-1),'Data_NSA'!$A:$A,0),MATCH($D27,'Data_NSA'!$1:$1,0))/INDEX('Data_NSA'!$A:$OK,MATCH(INDEX('Weights'!$E:$E,MATCH($A27,'Weights'!$A:$A,0)),'Data_NSA'!$A:$A,0),MATCH($D27,'Data_NSA'!$1:$1,0))))/(100*(INDEX('Data_NSA'!$A:$OK,MATCH(EDATE(I$2,-1),'Data_NSA'!$A:$A,0),MATCH("CUUR0000SA0",'Data_NSA'!$1:$1,0))/INDEX('Data_NSA'!$A:$OK,MATCH(INDEX('Weights'!$E:$E,MATCH($A27,'Weights'!$A:$A,0)),'Data_NSA'!$A:$A,0),MATCH("CUUR0000SA0",'Data_NSA'!$1:$1,0))))*(INDEX('Data_SA'!$A:$LO,MATCH(I$2,'Data_SA'!$A:$A,0),MATCH($E27,'Data_SA'!$1:$1,0))/INDEX('Data_SA'!$A:$LO,MATCH(EDATE(I$2,-1),'Data_SA'!$A:$A,0),MATCH($E27,'Data_SA'!$1:$1,0))-1),""))</f>
        <v/>
      </c>
      <c r="O27" s="10">
        <f>IFERROR(INDEX('Data_NSA'!$A:$OK,MATCH(O$2,'Data_NSA'!$A:$A,0),MATCH($D27,'Data_NSA'!$1:$1,0)),"")</f>
        <v/>
      </c>
      <c r="P27" s="10">
        <f>IF($E27="","",IFERROR(INDEX('Data_SA'!$A:$LO,MATCH(O$2,'Data_SA'!$A:$A,0),MATCH($E27,'Data_SA'!$1:$1,0)),""))</f>
        <v/>
      </c>
      <c r="Q27" s="7">
        <f>IF($E27="","",IFERROR(INDEX('Data_SA'!$A:$LO,MATCH(O$2,'Data_SA'!$A:$A,0),MATCH($E27,'Data_SA'!$1:$1,0))/INDEX('Data_SA'!$A:$LO,MATCH(EDATE(O$2,-1),'Data_SA'!$A:$A,0),MATCH($E27,'Data_SA'!$1:$1,0))-1,""))</f>
        <v/>
      </c>
      <c r="R27" s="7">
        <f>IFERROR(INDEX('Data_NSA'!$A:$OK,MATCH(O$2,'Data_NSA'!$A:$A,0),MATCH($D27,'Data_NSA'!$1:$1,0))/INDEX('Data_NSA'!$A:$OK,MATCH(EDATE(O$2,-12),'Data_NSA'!$A:$A,0),MATCH($D27,'Data_NSA'!$1:$1,0))-1,"")</f>
        <v/>
      </c>
      <c r="S27" s="10">
        <f>IFERROR(INDEX('Weights'!$G:$I,MATCH($A27,'Weights'!$A:$A,0),MATCH(O$2,'Weights'!$G$1:$I$1,0)),"")</f>
        <v/>
      </c>
      <c r="T27" s="10">
        <f>IF($E27="","",IFERROR(100*(INDEX('Weights'!$D:$D,MATCH($A27,'Weights'!$A:$A,0))*(INDEX('Data_NSA'!$A:$OK,MATCH(EDATE(O$2,-1),'Data_NSA'!$A:$A,0),MATCH($D27,'Data_NSA'!$1:$1,0))/INDEX('Data_NSA'!$A:$OK,MATCH(INDEX('Weights'!$E:$E,MATCH($A27,'Weights'!$A:$A,0)),'Data_NSA'!$A:$A,0),MATCH($D27,'Data_NSA'!$1:$1,0))))/(100*(INDEX('Data_NSA'!$A:$OK,MATCH(EDATE(O$2,-1),'Data_NSA'!$A:$A,0),MATCH("CUUR0000SA0",'Data_NSA'!$1:$1,0))/INDEX('Data_NSA'!$A:$OK,MATCH(INDEX('Weights'!$E:$E,MATCH($A27,'Weights'!$A:$A,0)),'Data_NSA'!$A:$A,0),MATCH("CUUR0000SA0",'Data_NSA'!$1:$1,0))))*(INDEX('Data_SA'!$A:$LO,MATCH(O$2,'Data_SA'!$A:$A,0),MATCH($E27,'Data_SA'!$1:$1,0))/INDEX('Data_SA'!$A:$LO,MATCH(EDATE(O$2,-1),'Data_SA'!$A:$A,0),MATCH($E27,'Data_SA'!$1:$1,0))-1),""))</f>
        <v/>
      </c>
      <c r="U27" s="10">
        <f>IFERROR(INDEX('Data_NSA'!$A:$OK,MATCH(U$2,'Data_NSA'!$A:$A,0),MATCH($D27,'Data_NSA'!$1:$1,0)),"")</f>
        <v/>
      </c>
      <c r="V27" s="10">
        <f>IF($E27="","",IFERROR(INDEX('Data_SA'!$A:$LO,MATCH(U$2,'Data_SA'!$A:$A,0),MATCH($E27,'Data_SA'!$1:$1,0)),""))</f>
        <v/>
      </c>
      <c r="W27" s="7">
        <f>IF($E27="","",IFERROR(INDEX('Data_SA'!$A:$LO,MATCH(U$2,'Data_SA'!$A:$A,0),MATCH($E27,'Data_SA'!$1:$1,0))/INDEX('Data_SA'!$A:$LO,MATCH(EDATE(U$2,-1),'Data_SA'!$A:$A,0),MATCH($E27,'Data_SA'!$1:$1,0))-1,""))</f>
        <v/>
      </c>
      <c r="X27" s="7">
        <f>IFERROR(INDEX('Data_NSA'!$A:$OK,MATCH(U$2,'Data_NSA'!$A:$A,0),MATCH($D27,'Data_NSA'!$1:$1,0))/INDEX('Data_NSA'!$A:$OK,MATCH(EDATE(U$2,-12),'Data_NSA'!$A:$A,0),MATCH($D27,'Data_NSA'!$1:$1,0))-1,"")</f>
        <v/>
      </c>
      <c r="Y27" s="10">
        <f>IFERROR(INDEX('Weights'!$G:$I,MATCH($A27,'Weights'!$A:$A,0),MATCH(U$2,'Weights'!$G$1:$I$1,0)),"")</f>
        <v/>
      </c>
      <c r="Z27" s="10">
        <f>IF($E27="","",IFERROR(100*(INDEX('Weights'!$D:$D,MATCH($A27,'Weights'!$A:$A,0))*(INDEX('Data_NSA'!$A:$OK,MATCH(EDATE(U$2,-1),'Data_NSA'!$A:$A,0),MATCH($D27,'Data_NSA'!$1:$1,0))/INDEX('Data_NSA'!$A:$OK,MATCH(INDEX('Weights'!$E:$E,MATCH($A27,'Weights'!$A:$A,0)),'Data_NSA'!$A:$A,0),MATCH($D27,'Data_NSA'!$1:$1,0))))/(100*(INDEX('Data_NSA'!$A:$OK,MATCH(EDATE(U$2,-1),'Data_NSA'!$A:$A,0),MATCH("CUUR0000SA0",'Data_NSA'!$1:$1,0))/INDEX('Data_NSA'!$A:$OK,MATCH(INDEX('Weights'!$E:$E,MATCH($A27,'Weights'!$A:$A,0)),'Data_NSA'!$A:$A,0),MATCH("CUUR0000SA0",'Data_NSA'!$1:$1,0))))*(INDEX('Data_SA'!$A:$LO,MATCH(U$2,'Data_SA'!$A:$A,0),MATCH($E27,'Data_SA'!$1:$1,0))/INDEX('Data_SA'!$A:$LO,MATCH(EDATE(U$2,-1),'Data_SA'!$A:$A,0),MATCH($E27,'Data_SA'!$1:$1,0))-1),""))</f>
        <v/>
      </c>
    </row>
    <row r="28">
      <c r="A28" s="3" t="inlineStr">
        <is>
          <t>SAF1121</t>
        </is>
      </c>
      <c r="B28" s="3" t="inlineStr">
        <is>
          <t>Meats, poultry, and fish</t>
        </is>
      </c>
      <c r="C28" s="3" t="inlineStr">
        <is>
          <t>SAF112</t>
        </is>
      </c>
      <c r="D28" s="3" t="inlineStr">
        <is>
          <t>CUUR0000SAF1121</t>
        </is>
      </c>
      <c r="E28" s="3" t="inlineStr">
        <is>
          <t>CUSR0000SAF1121</t>
        </is>
      </c>
      <c r="F28" s="3" t="inlineStr">
        <is>
          <t>aggregate</t>
        </is>
      </c>
      <c r="G28" s="3" t="inlineStr">
        <is>
          <t>aggregate</t>
        </is>
      </c>
      <c r="H28" s="10">
        <f>IFERROR(INDEX(Weights!$D:$D,MATCH($A28,Weights!$A:$A,0)),"")</f>
        <v/>
      </c>
      <c r="I28" s="10">
        <f>IFERROR(INDEX('Data_NSA'!$A:$OK,MATCH(I$2,'Data_NSA'!$A:$A,0),MATCH($D28,'Data_NSA'!$1:$1,0)),"")</f>
        <v/>
      </c>
      <c r="J28" s="10">
        <f>IF($E28="","",IFERROR(INDEX('Data_SA'!$A:$LO,MATCH(I$2,'Data_SA'!$A:$A,0),MATCH($E28,'Data_SA'!$1:$1,0)),""))</f>
        <v/>
      </c>
      <c r="K28" s="7">
        <f>IF($E28="","",IFERROR(INDEX('Data_SA'!$A:$LO,MATCH(I$2,'Data_SA'!$A:$A,0),MATCH($E28,'Data_SA'!$1:$1,0))/INDEX('Data_SA'!$A:$LO,MATCH(EDATE(I$2,-1),'Data_SA'!$A:$A,0),MATCH($E28,'Data_SA'!$1:$1,0))-1,""))</f>
        <v/>
      </c>
      <c r="L28" s="7">
        <f>IFERROR(INDEX('Data_NSA'!$A:$OK,MATCH(I$2,'Data_NSA'!$A:$A,0),MATCH($D28,'Data_NSA'!$1:$1,0))/INDEX('Data_NSA'!$A:$OK,MATCH(EDATE(I$2,-12),'Data_NSA'!$A:$A,0),MATCH($D28,'Data_NSA'!$1:$1,0))-1,"")</f>
        <v/>
      </c>
      <c r="M28" s="10">
        <f>IFERROR(INDEX('Weights'!$G:$I,MATCH($A28,'Weights'!$A:$A,0),MATCH(I$2,'Weights'!$G$1:$I$1,0)),"")</f>
        <v/>
      </c>
      <c r="N28" s="10">
        <f>IF($E28="","",IFERROR(100*(INDEX('Weights'!$D:$D,MATCH($A28,'Weights'!$A:$A,0))*(INDEX('Data_NSA'!$A:$OK,MATCH(EDATE(I$2,-1),'Data_NSA'!$A:$A,0),MATCH($D28,'Data_NSA'!$1:$1,0))/INDEX('Data_NSA'!$A:$OK,MATCH(INDEX('Weights'!$E:$E,MATCH($A28,'Weights'!$A:$A,0)),'Data_NSA'!$A:$A,0),MATCH($D28,'Data_NSA'!$1:$1,0))))/(100*(INDEX('Data_NSA'!$A:$OK,MATCH(EDATE(I$2,-1),'Data_NSA'!$A:$A,0),MATCH("CUUR0000SA0",'Data_NSA'!$1:$1,0))/INDEX('Data_NSA'!$A:$OK,MATCH(INDEX('Weights'!$E:$E,MATCH($A28,'Weights'!$A:$A,0)),'Data_NSA'!$A:$A,0),MATCH("CUUR0000SA0",'Data_NSA'!$1:$1,0))))*(INDEX('Data_SA'!$A:$LO,MATCH(I$2,'Data_SA'!$A:$A,0),MATCH($E28,'Data_SA'!$1:$1,0))/INDEX('Data_SA'!$A:$LO,MATCH(EDATE(I$2,-1),'Data_SA'!$A:$A,0),MATCH($E28,'Data_SA'!$1:$1,0))-1),""))</f>
        <v/>
      </c>
      <c r="O28" s="10">
        <f>IFERROR(INDEX('Data_NSA'!$A:$OK,MATCH(O$2,'Data_NSA'!$A:$A,0),MATCH($D28,'Data_NSA'!$1:$1,0)),"")</f>
        <v/>
      </c>
      <c r="P28" s="10">
        <f>IF($E28="","",IFERROR(INDEX('Data_SA'!$A:$LO,MATCH(O$2,'Data_SA'!$A:$A,0),MATCH($E28,'Data_SA'!$1:$1,0)),""))</f>
        <v/>
      </c>
      <c r="Q28" s="7">
        <f>IF($E28="","",IFERROR(INDEX('Data_SA'!$A:$LO,MATCH(O$2,'Data_SA'!$A:$A,0),MATCH($E28,'Data_SA'!$1:$1,0))/INDEX('Data_SA'!$A:$LO,MATCH(EDATE(O$2,-1),'Data_SA'!$A:$A,0),MATCH($E28,'Data_SA'!$1:$1,0))-1,""))</f>
        <v/>
      </c>
      <c r="R28" s="7">
        <f>IFERROR(INDEX('Data_NSA'!$A:$OK,MATCH(O$2,'Data_NSA'!$A:$A,0),MATCH($D28,'Data_NSA'!$1:$1,0))/INDEX('Data_NSA'!$A:$OK,MATCH(EDATE(O$2,-12),'Data_NSA'!$A:$A,0),MATCH($D28,'Data_NSA'!$1:$1,0))-1,"")</f>
        <v/>
      </c>
      <c r="S28" s="10">
        <f>IFERROR(INDEX('Weights'!$G:$I,MATCH($A28,'Weights'!$A:$A,0),MATCH(O$2,'Weights'!$G$1:$I$1,0)),"")</f>
        <v/>
      </c>
      <c r="T28" s="10">
        <f>IF($E28="","",IFERROR(100*(INDEX('Weights'!$D:$D,MATCH($A28,'Weights'!$A:$A,0))*(INDEX('Data_NSA'!$A:$OK,MATCH(EDATE(O$2,-1),'Data_NSA'!$A:$A,0),MATCH($D28,'Data_NSA'!$1:$1,0))/INDEX('Data_NSA'!$A:$OK,MATCH(INDEX('Weights'!$E:$E,MATCH($A28,'Weights'!$A:$A,0)),'Data_NSA'!$A:$A,0),MATCH($D28,'Data_NSA'!$1:$1,0))))/(100*(INDEX('Data_NSA'!$A:$OK,MATCH(EDATE(O$2,-1),'Data_NSA'!$A:$A,0),MATCH("CUUR0000SA0",'Data_NSA'!$1:$1,0))/INDEX('Data_NSA'!$A:$OK,MATCH(INDEX('Weights'!$E:$E,MATCH($A28,'Weights'!$A:$A,0)),'Data_NSA'!$A:$A,0),MATCH("CUUR0000SA0",'Data_NSA'!$1:$1,0))))*(INDEX('Data_SA'!$A:$LO,MATCH(O$2,'Data_SA'!$A:$A,0),MATCH($E28,'Data_SA'!$1:$1,0))/INDEX('Data_SA'!$A:$LO,MATCH(EDATE(O$2,-1),'Data_SA'!$A:$A,0),MATCH($E28,'Data_SA'!$1:$1,0))-1),""))</f>
        <v/>
      </c>
      <c r="U28" s="10">
        <f>IFERROR(INDEX('Data_NSA'!$A:$OK,MATCH(U$2,'Data_NSA'!$A:$A,0),MATCH($D28,'Data_NSA'!$1:$1,0)),"")</f>
        <v/>
      </c>
      <c r="V28" s="10">
        <f>IF($E28="","",IFERROR(INDEX('Data_SA'!$A:$LO,MATCH(U$2,'Data_SA'!$A:$A,0),MATCH($E28,'Data_SA'!$1:$1,0)),""))</f>
        <v/>
      </c>
      <c r="W28" s="7">
        <f>IF($E28="","",IFERROR(INDEX('Data_SA'!$A:$LO,MATCH(U$2,'Data_SA'!$A:$A,0),MATCH($E28,'Data_SA'!$1:$1,0))/INDEX('Data_SA'!$A:$LO,MATCH(EDATE(U$2,-1),'Data_SA'!$A:$A,0),MATCH($E28,'Data_SA'!$1:$1,0))-1,""))</f>
        <v/>
      </c>
      <c r="X28" s="7">
        <f>IFERROR(INDEX('Data_NSA'!$A:$OK,MATCH(U$2,'Data_NSA'!$A:$A,0),MATCH($D28,'Data_NSA'!$1:$1,0))/INDEX('Data_NSA'!$A:$OK,MATCH(EDATE(U$2,-12),'Data_NSA'!$A:$A,0),MATCH($D28,'Data_NSA'!$1:$1,0))-1,"")</f>
        <v/>
      </c>
      <c r="Y28" s="10">
        <f>IFERROR(INDEX('Weights'!$G:$I,MATCH($A28,'Weights'!$A:$A,0),MATCH(U$2,'Weights'!$G$1:$I$1,0)),"")</f>
        <v/>
      </c>
      <c r="Z28" s="10">
        <f>IF($E28="","",IFERROR(100*(INDEX('Weights'!$D:$D,MATCH($A28,'Weights'!$A:$A,0))*(INDEX('Data_NSA'!$A:$OK,MATCH(EDATE(U$2,-1),'Data_NSA'!$A:$A,0),MATCH($D28,'Data_NSA'!$1:$1,0))/INDEX('Data_NSA'!$A:$OK,MATCH(INDEX('Weights'!$E:$E,MATCH($A28,'Weights'!$A:$A,0)),'Data_NSA'!$A:$A,0),MATCH($D28,'Data_NSA'!$1:$1,0))))/(100*(INDEX('Data_NSA'!$A:$OK,MATCH(EDATE(U$2,-1),'Data_NSA'!$A:$A,0),MATCH("CUUR0000SA0",'Data_NSA'!$1:$1,0))/INDEX('Data_NSA'!$A:$OK,MATCH(INDEX('Weights'!$E:$E,MATCH($A28,'Weights'!$A:$A,0)),'Data_NSA'!$A:$A,0),MATCH("CUUR0000SA0",'Data_NSA'!$1:$1,0))))*(INDEX('Data_SA'!$A:$LO,MATCH(U$2,'Data_SA'!$A:$A,0),MATCH($E28,'Data_SA'!$1:$1,0))/INDEX('Data_SA'!$A:$LO,MATCH(EDATE(U$2,-1),'Data_SA'!$A:$A,0),MATCH($E28,'Data_SA'!$1:$1,0))-1),""))</f>
        <v/>
      </c>
    </row>
    <row r="29">
      <c r="A29" s="3" t="inlineStr">
        <is>
          <t>SAF11211</t>
        </is>
      </c>
      <c r="B29" s="3" t="inlineStr">
        <is>
          <t>Meats</t>
        </is>
      </c>
      <c r="C29" s="3" t="inlineStr">
        <is>
          <t>SAF1121</t>
        </is>
      </c>
      <c r="D29" s="3" t="inlineStr">
        <is>
          <t>CUUR0000SAF11211</t>
        </is>
      </c>
      <c r="E29" s="3" t="inlineStr">
        <is>
          <t>CUSR0000SAF11211</t>
        </is>
      </c>
      <c r="F29" s="3" t="inlineStr">
        <is>
          <t>aggregate</t>
        </is>
      </c>
      <c r="G29" s="3" t="inlineStr">
        <is>
          <t>aggregate</t>
        </is>
      </c>
      <c r="H29" s="10">
        <f>IFERROR(INDEX(Weights!$D:$D,MATCH($A29,Weights!$A:$A,0)),"")</f>
        <v/>
      </c>
      <c r="I29" s="10">
        <f>IFERROR(INDEX('Data_NSA'!$A:$OK,MATCH(I$2,'Data_NSA'!$A:$A,0),MATCH($D29,'Data_NSA'!$1:$1,0)),"")</f>
        <v/>
      </c>
      <c r="J29" s="10">
        <f>IF($E29="","",IFERROR(INDEX('Data_SA'!$A:$LO,MATCH(I$2,'Data_SA'!$A:$A,0),MATCH($E29,'Data_SA'!$1:$1,0)),""))</f>
        <v/>
      </c>
      <c r="K29" s="7">
        <f>IF($E29="","",IFERROR(INDEX('Data_SA'!$A:$LO,MATCH(I$2,'Data_SA'!$A:$A,0),MATCH($E29,'Data_SA'!$1:$1,0))/INDEX('Data_SA'!$A:$LO,MATCH(EDATE(I$2,-1),'Data_SA'!$A:$A,0),MATCH($E29,'Data_SA'!$1:$1,0))-1,""))</f>
        <v/>
      </c>
      <c r="L29" s="7">
        <f>IFERROR(INDEX('Data_NSA'!$A:$OK,MATCH(I$2,'Data_NSA'!$A:$A,0),MATCH($D29,'Data_NSA'!$1:$1,0))/INDEX('Data_NSA'!$A:$OK,MATCH(EDATE(I$2,-12),'Data_NSA'!$A:$A,0),MATCH($D29,'Data_NSA'!$1:$1,0))-1,"")</f>
        <v/>
      </c>
      <c r="M29" s="10">
        <f>IFERROR(INDEX('Weights'!$G:$I,MATCH($A29,'Weights'!$A:$A,0),MATCH(I$2,'Weights'!$G$1:$I$1,0)),"")</f>
        <v/>
      </c>
      <c r="N29" s="10">
        <f>IF($E29="","",IFERROR(100*(INDEX('Weights'!$D:$D,MATCH($A29,'Weights'!$A:$A,0))*(INDEX('Data_NSA'!$A:$OK,MATCH(EDATE(I$2,-1),'Data_NSA'!$A:$A,0),MATCH($D29,'Data_NSA'!$1:$1,0))/INDEX('Data_NSA'!$A:$OK,MATCH(INDEX('Weights'!$E:$E,MATCH($A29,'Weights'!$A:$A,0)),'Data_NSA'!$A:$A,0),MATCH($D29,'Data_NSA'!$1:$1,0))))/(100*(INDEX('Data_NSA'!$A:$OK,MATCH(EDATE(I$2,-1),'Data_NSA'!$A:$A,0),MATCH("CUUR0000SA0",'Data_NSA'!$1:$1,0))/INDEX('Data_NSA'!$A:$OK,MATCH(INDEX('Weights'!$E:$E,MATCH($A29,'Weights'!$A:$A,0)),'Data_NSA'!$A:$A,0),MATCH("CUUR0000SA0",'Data_NSA'!$1:$1,0))))*(INDEX('Data_SA'!$A:$LO,MATCH(I$2,'Data_SA'!$A:$A,0),MATCH($E29,'Data_SA'!$1:$1,0))/INDEX('Data_SA'!$A:$LO,MATCH(EDATE(I$2,-1),'Data_SA'!$A:$A,0),MATCH($E29,'Data_SA'!$1:$1,0))-1),""))</f>
        <v/>
      </c>
      <c r="O29" s="10">
        <f>IFERROR(INDEX('Data_NSA'!$A:$OK,MATCH(O$2,'Data_NSA'!$A:$A,0),MATCH($D29,'Data_NSA'!$1:$1,0)),"")</f>
        <v/>
      </c>
      <c r="P29" s="10">
        <f>IF($E29="","",IFERROR(INDEX('Data_SA'!$A:$LO,MATCH(O$2,'Data_SA'!$A:$A,0),MATCH($E29,'Data_SA'!$1:$1,0)),""))</f>
        <v/>
      </c>
      <c r="Q29" s="7">
        <f>IF($E29="","",IFERROR(INDEX('Data_SA'!$A:$LO,MATCH(O$2,'Data_SA'!$A:$A,0),MATCH($E29,'Data_SA'!$1:$1,0))/INDEX('Data_SA'!$A:$LO,MATCH(EDATE(O$2,-1),'Data_SA'!$A:$A,0),MATCH($E29,'Data_SA'!$1:$1,0))-1,""))</f>
        <v/>
      </c>
      <c r="R29" s="7">
        <f>IFERROR(INDEX('Data_NSA'!$A:$OK,MATCH(O$2,'Data_NSA'!$A:$A,0),MATCH($D29,'Data_NSA'!$1:$1,0))/INDEX('Data_NSA'!$A:$OK,MATCH(EDATE(O$2,-12),'Data_NSA'!$A:$A,0),MATCH($D29,'Data_NSA'!$1:$1,0))-1,"")</f>
        <v/>
      </c>
      <c r="S29" s="10">
        <f>IFERROR(INDEX('Weights'!$G:$I,MATCH($A29,'Weights'!$A:$A,0),MATCH(O$2,'Weights'!$G$1:$I$1,0)),"")</f>
        <v/>
      </c>
      <c r="T29" s="10">
        <f>IF($E29="","",IFERROR(100*(INDEX('Weights'!$D:$D,MATCH($A29,'Weights'!$A:$A,0))*(INDEX('Data_NSA'!$A:$OK,MATCH(EDATE(O$2,-1),'Data_NSA'!$A:$A,0),MATCH($D29,'Data_NSA'!$1:$1,0))/INDEX('Data_NSA'!$A:$OK,MATCH(INDEX('Weights'!$E:$E,MATCH($A29,'Weights'!$A:$A,0)),'Data_NSA'!$A:$A,0),MATCH($D29,'Data_NSA'!$1:$1,0))))/(100*(INDEX('Data_NSA'!$A:$OK,MATCH(EDATE(O$2,-1),'Data_NSA'!$A:$A,0),MATCH("CUUR0000SA0",'Data_NSA'!$1:$1,0))/INDEX('Data_NSA'!$A:$OK,MATCH(INDEX('Weights'!$E:$E,MATCH($A29,'Weights'!$A:$A,0)),'Data_NSA'!$A:$A,0),MATCH("CUUR0000SA0",'Data_NSA'!$1:$1,0))))*(INDEX('Data_SA'!$A:$LO,MATCH(O$2,'Data_SA'!$A:$A,0),MATCH($E29,'Data_SA'!$1:$1,0))/INDEX('Data_SA'!$A:$LO,MATCH(EDATE(O$2,-1),'Data_SA'!$A:$A,0),MATCH($E29,'Data_SA'!$1:$1,0))-1),""))</f>
        <v/>
      </c>
      <c r="U29" s="10">
        <f>IFERROR(INDEX('Data_NSA'!$A:$OK,MATCH(U$2,'Data_NSA'!$A:$A,0),MATCH($D29,'Data_NSA'!$1:$1,0)),"")</f>
        <v/>
      </c>
      <c r="V29" s="10">
        <f>IF($E29="","",IFERROR(INDEX('Data_SA'!$A:$LO,MATCH(U$2,'Data_SA'!$A:$A,0),MATCH($E29,'Data_SA'!$1:$1,0)),""))</f>
        <v/>
      </c>
      <c r="W29" s="7">
        <f>IF($E29="","",IFERROR(INDEX('Data_SA'!$A:$LO,MATCH(U$2,'Data_SA'!$A:$A,0),MATCH($E29,'Data_SA'!$1:$1,0))/INDEX('Data_SA'!$A:$LO,MATCH(EDATE(U$2,-1),'Data_SA'!$A:$A,0),MATCH($E29,'Data_SA'!$1:$1,0))-1,""))</f>
        <v/>
      </c>
      <c r="X29" s="7">
        <f>IFERROR(INDEX('Data_NSA'!$A:$OK,MATCH(U$2,'Data_NSA'!$A:$A,0),MATCH($D29,'Data_NSA'!$1:$1,0))/INDEX('Data_NSA'!$A:$OK,MATCH(EDATE(U$2,-12),'Data_NSA'!$A:$A,0),MATCH($D29,'Data_NSA'!$1:$1,0))-1,"")</f>
        <v/>
      </c>
      <c r="Y29" s="10">
        <f>IFERROR(INDEX('Weights'!$G:$I,MATCH($A29,'Weights'!$A:$A,0),MATCH(U$2,'Weights'!$G$1:$I$1,0)),"")</f>
        <v/>
      </c>
      <c r="Z29" s="10">
        <f>IF($E29="","",IFERROR(100*(INDEX('Weights'!$D:$D,MATCH($A29,'Weights'!$A:$A,0))*(INDEX('Data_NSA'!$A:$OK,MATCH(EDATE(U$2,-1),'Data_NSA'!$A:$A,0),MATCH($D29,'Data_NSA'!$1:$1,0))/INDEX('Data_NSA'!$A:$OK,MATCH(INDEX('Weights'!$E:$E,MATCH($A29,'Weights'!$A:$A,0)),'Data_NSA'!$A:$A,0),MATCH($D29,'Data_NSA'!$1:$1,0))))/(100*(INDEX('Data_NSA'!$A:$OK,MATCH(EDATE(U$2,-1),'Data_NSA'!$A:$A,0),MATCH("CUUR0000SA0",'Data_NSA'!$1:$1,0))/INDEX('Data_NSA'!$A:$OK,MATCH(INDEX('Weights'!$E:$E,MATCH($A29,'Weights'!$A:$A,0)),'Data_NSA'!$A:$A,0),MATCH("CUUR0000SA0",'Data_NSA'!$1:$1,0))))*(INDEX('Data_SA'!$A:$LO,MATCH(U$2,'Data_SA'!$A:$A,0),MATCH($E29,'Data_SA'!$1:$1,0))/INDEX('Data_SA'!$A:$LO,MATCH(EDATE(U$2,-1),'Data_SA'!$A:$A,0),MATCH($E29,'Data_SA'!$1:$1,0))-1),""))</f>
        <v/>
      </c>
    </row>
    <row r="30">
      <c r="A30" s="3" t="inlineStr">
        <is>
          <t>SEFC</t>
        </is>
      </c>
      <c r="B30" s="3" t="inlineStr">
        <is>
          <t>Beef and veal</t>
        </is>
      </c>
      <c r="C30" s="3" t="inlineStr">
        <is>
          <t>SAF11211</t>
        </is>
      </c>
      <c r="D30" s="3" t="inlineStr">
        <is>
          <t>CUUR0000SEFC</t>
        </is>
      </c>
      <c r="E30" s="3" t="inlineStr">
        <is>
          <t>CUSR0000SEFC</t>
        </is>
      </c>
      <c r="F30" s="3" t="inlineStr">
        <is>
          <t>aggregate</t>
        </is>
      </c>
      <c r="G30" s="3" t="inlineStr">
        <is>
          <t>aggregate</t>
        </is>
      </c>
      <c r="H30" s="10">
        <f>IFERROR(INDEX(Weights!$D:$D,MATCH($A30,Weights!$A:$A,0)),"")</f>
        <v/>
      </c>
      <c r="I30" s="10">
        <f>IFERROR(INDEX('Data_NSA'!$A:$OK,MATCH(I$2,'Data_NSA'!$A:$A,0),MATCH($D30,'Data_NSA'!$1:$1,0)),"")</f>
        <v/>
      </c>
      <c r="J30" s="10">
        <f>IF($E30="","",IFERROR(INDEX('Data_SA'!$A:$LO,MATCH(I$2,'Data_SA'!$A:$A,0),MATCH($E30,'Data_SA'!$1:$1,0)),""))</f>
        <v/>
      </c>
      <c r="K30" s="7">
        <f>IF($E30="","",IFERROR(INDEX('Data_SA'!$A:$LO,MATCH(I$2,'Data_SA'!$A:$A,0),MATCH($E30,'Data_SA'!$1:$1,0))/INDEX('Data_SA'!$A:$LO,MATCH(EDATE(I$2,-1),'Data_SA'!$A:$A,0),MATCH($E30,'Data_SA'!$1:$1,0))-1,""))</f>
        <v/>
      </c>
      <c r="L30" s="7">
        <f>IFERROR(INDEX('Data_NSA'!$A:$OK,MATCH(I$2,'Data_NSA'!$A:$A,0),MATCH($D30,'Data_NSA'!$1:$1,0))/INDEX('Data_NSA'!$A:$OK,MATCH(EDATE(I$2,-12),'Data_NSA'!$A:$A,0),MATCH($D30,'Data_NSA'!$1:$1,0))-1,"")</f>
        <v/>
      </c>
      <c r="M30" s="10">
        <f>IFERROR(INDEX('Weights'!$G:$I,MATCH($A30,'Weights'!$A:$A,0),MATCH(I$2,'Weights'!$G$1:$I$1,0)),"")</f>
        <v/>
      </c>
      <c r="N30" s="10">
        <f>IF($E30="","",IFERROR(100*(INDEX('Weights'!$D:$D,MATCH($A30,'Weights'!$A:$A,0))*(INDEX('Data_NSA'!$A:$OK,MATCH(EDATE(I$2,-1),'Data_NSA'!$A:$A,0),MATCH($D30,'Data_NSA'!$1:$1,0))/INDEX('Data_NSA'!$A:$OK,MATCH(INDEX('Weights'!$E:$E,MATCH($A30,'Weights'!$A:$A,0)),'Data_NSA'!$A:$A,0),MATCH($D30,'Data_NSA'!$1:$1,0))))/(100*(INDEX('Data_NSA'!$A:$OK,MATCH(EDATE(I$2,-1),'Data_NSA'!$A:$A,0),MATCH("CUUR0000SA0",'Data_NSA'!$1:$1,0))/INDEX('Data_NSA'!$A:$OK,MATCH(INDEX('Weights'!$E:$E,MATCH($A30,'Weights'!$A:$A,0)),'Data_NSA'!$A:$A,0),MATCH("CUUR0000SA0",'Data_NSA'!$1:$1,0))))*(INDEX('Data_SA'!$A:$LO,MATCH(I$2,'Data_SA'!$A:$A,0),MATCH($E30,'Data_SA'!$1:$1,0))/INDEX('Data_SA'!$A:$LO,MATCH(EDATE(I$2,-1),'Data_SA'!$A:$A,0),MATCH($E30,'Data_SA'!$1:$1,0))-1),""))</f>
        <v/>
      </c>
      <c r="O30" s="10">
        <f>IFERROR(INDEX('Data_NSA'!$A:$OK,MATCH(O$2,'Data_NSA'!$A:$A,0),MATCH($D30,'Data_NSA'!$1:$1,0)),"")</f>
        <v/>
      </c>
      <c r="P30" s="10">
        <f>IF($E30="","",IFERROR(INDEX('Data_SA'!$A:$LO,MATCH(O$2,'Data_SA'!$A:$A,0),MATCH($E30,'Data_SA'!$1:$1,0)),""))</f>
        <v/>
      </c>
      <c r="Q30" s="7">
        <f>IF($E30="","",IFERROR(INDEX('Data_SA'!$A:$LO,MATCH(O$2,'Data_SA'!$A:$A,0),MATCH($E30,'Data_SA'!$1:$1,0))/INDEX('Data_SA'!$A:$LO,MATCH(EDATE(O$2,-1),'Data_SA'!$A:$A,0),MATCH($E30,'Data_SA'!$1:$1,0))-1,""))</f>
        <v/>
      </c>
      <c r="R30" s="7">
        <f>IFERROR(INDEX('Data_NSA'!$A:$OK,MATCH(O$2,'Data_NSA'!$A:$A,0),MATCH($D30,'Data_NSA'!$1:$1,0))/INDEX('Data_NSA'!$A:$OK,MATCH(EDATE(O$2,-12),'Data_NSA'!$A:$A,0),MATCH($D30,'Data_NSA'!$1:$1,0))-1,"")</f>
        <v/>
      </c>
      <c r="S30" s="10">
        <f>IFERROR(INDEX('Weights'!$G:$I,MATCH($A30,'Weights'!$A:$A,0),MATCH(O$2,'Weights'!$G$1:$I$1,0)),"")</f>
        <v/>
      </c>
      <c r="T30" s="10">
        <f>IF($E30="","",IFERROR(100*(INDEX('Weights'!$D:$D,MATCH($A30,'Weights'!$A:$A,0))*(INDEX('Data_NSA'!$A:$OK,MATCH(EDATE(O$2,-1),'Data_NSA'!$A:$A,0),MATCH($D30,'Data_NSA'!$1:$1,0))/INDEX('Data_NSA'!$A:$OK,MATCH(INDEX('Weights'!$E:$E,MATCH($A30,'Weights'!$A:$A,0)),'Data_NSA'!$A:$A,0),MATCH($D30,'Data_NSA'!$1:$1,0))))/(100*(INDEX('Data_NSA'!$A:$OK,MATCH(EDATE(O$2,-1),'Data_NSA'!$A:$A,0),MATCH("CUUR0000SA0",'Data_NSA'!$1:$1,0))/INDEX('Data_NSA'!$A:$OK,MATCH(INDEX('Weights'!$E:$E,MATCH($A30,'Weights'!$A:$A,0)),'Data_NSA'!$A:$A,0),MATCH("CUUR0000SA0",'Data_NSA'!$1:$1,0))))*(INDEX('Data_SA'!$A:$LO,MATCH(O$2,'Data_SA'!$A:$A,0),MATCH($E30,'Data_SA'!$1:$1,0))/INDEX('Data_SA'!$A:$LO,MATCH(EDATE(O$2,-1),'Data_SA'!$A:$A,0),MATCH($E30,'Data_SA'!$1:$1,0))-1),""))</f>
        <v/>
      </c>
      <c r="U30" s="10">
        <f>IFERROR(INDEX('Data_NSA'!$A:$OK,MATCH(U$2,'Data_NSA'!$A:$A,0),MATCH($D30,'Data_NSA'!$1:$1,0)),"")</f>
        <v/>
      </c>
      <c r="V30" s="10">
        <f>IF($E30="","",IFERROR(INDEX('Data_SA'!$A:$LO,MATCH(U$2,'Data_SA'!$A:$A,0),MATCH($E30,'Data_SA'!$1:$1,0)),""))</f>
        <v/>
      </c>
      <c r="W30" s="7">
        <f>IF($E30="","",IFERROR(INDEX('Data_SA'!$A:$LO,MATCH(U$2,'Data_SA'!$A:$A,0),MATCH($E30,'Data_SA'!$1:$1,0))/INDEX('Data_SA'!$A:$LO,MATCH(EDATE(U$2,-1),'Data_SA'!$A:$A,0),MATCH($E30,'Data_SA'!$1:$1,0))-1,""))</f>
        <v/>
      </c>
      <c r="X30" s="7">
        <f>IFERROR(INDEX('Data_NSA'!$A:$OK,MATCH(U$2,'Data_NSA'!$A:$A,0),MATCH($D30,'Data_NSA'!$1:$1,0))/INDEX('Data_NSA'!$A:$OK,MATCH(EDATE(U$2,-12),'Data_NSA'!$A:$A,0),MATCH($D30,'Data_NSA'!$1:$1,0))-1,"")</f>
        <v/>
      </c>
      <c r="Y30" s="10">
        <f>IFERROR(INDEX('Weights'!$G:$I,MATCH($A30,'Weights'!$A:$A,0),MATCH(U$2,'Weights'!$G$1:$I$1,0)),"")</f>
        <v/>
      </c>
      <c r="Z30" s="10">
        <f>IF($E30="","",IFERROR(100*(INDEX('Weights'!$D:$D,MATCH($A30,'Weights'!$A:$A,0))*(INDEX('Data_NSA'!$A:$OK,MATCH(EDATE(U$2,-1),'Data_NSA'!$A:$A,0),MATCH($D30,'Data_NSA'!$1:$1,0))/INDEX('Data_NSA'!$A:$OK,MATCH(INDEX('Weights'!$E:$E,MATCH($A30,'Weights'!$A:$A,0)),'Data_NSA'!$A:$A,0),MATCH($D30,'Data_NSA'!$1:$1,0))))/(100*(INDEX('Data_NSA'!$A:$OK,MATCH(EDATE(U$2,-1),'Data_NSA'!$A:$A,0),MATCH("CUUR0000SA0",'Data_NSA'!$1:$1,0))/INDEX('Data_NSA'!$A:$OK,MATCH(INDEX('Weights'!$E:$E,MATCH($A30,'Weights'!$A:$A,0)),'Data_NSA'!$A:$A,0),MATCH("CUUR0000SA0",'Data_NSA'!$1:$1,0))))*(INDEX('Data_SA'!$A:$LO,MATCH(U$2,'Data_SA'!$A:$A,0),MATCH($E30,'Data_SA'!$1:$1,0))/INDEX('Data_SA'!$A:$LO,MATCH(EDATE(U$2,-1),'Data_SA'!$A:$A,0),MATCH($E30,'Data_SA'!$1:$1,0))-1),""))</f>
        <v/>
      </c>
    </row>
    <row r="31">
      <c r="A31" s="3" t="inlineStr">
        <is>
          <t>SEFC01</t>
        </is>
      </c>
      <c r="B31" s="3" t="inlineStr">
        <is>
          <t>Uncooked ground beef</t>
        </is>
      </c>
      <c r="C31" s="3" t="inlineStr">
        <is>
          <t>SEFC</t>
        </is>
      </c>
      <c r="D31" s="3" t="inlineStr">
        <is>
          <t>CUUR0000SEFC01</t>
        </is>
      </c>
      <c r="E31" s="3" t="inlineStr">
        <is>
          <t>CUSR0000SEFC01</t>
        </is>
      </c>
      <c r="F31" s="3" t="inlineStr">
        <is>
          <t>GM</t>
        </is>
      </c>
      <c r="G31" s="3" t="inlineStr">
        <is>
          <t>monthly food collection where sampled</t>
        </is>
      </c>
      <c r="H31" s="10">
        <f>IFERROR(INDEX(Weights!$D:$D,MATCH($A31,Weights!$A:$A,0)),"")</f>
        <v/>
      </c>
      <c r="I31" s="10">
        <f>IFERROR(INDEX('Data_NSA'!$A:$OK,MATCH(I$2,'Data_NSA'!$A:$A,0),MATCH($D31,'Data_NSA'!$1:$1,0)),"")</f>
        <v/>
      </c>
      <c r="J31" s="10">
        <f>IF($E31="","",IFERROR(INDEX('Data_SA'!$A:$LO,MATCH(I$2,'Data_SA'!$A:$A,0),MATCH($E31,'Data_SA'!$1:$1,0)),""))</f>
        <v/>
      </c>
      <c r="K31" s="7">
        <f>IF($E31="","",IFERROR(INDEX('Data_SA'!$A:$LO,MATCH(I$2,'Data_SA'!$A:$A,0),MATCH($E31,'Data_SA'!$1:$1,0))/INDEX('Data_SA'!$A:$LO,MATCH(EDATE(I$2,-1),'Data_SA'!$A:$A,0),MATCH($E31,'Data_SA'!$1:$1,0))-1,""))</f>
        <v/>
      </c>
      <c r="L31" s="7">
        <f>IFERROR(INDEX('Data_NSA'!$A:$OK,MATCH(I$2,'Data_NSA'!$A:$A,0),MATCH($D31,'Data_NSA'!$1:$1,0))/INDEX('Data_NSA'!$A:$OK,MATCH(EDATE(I$2,-12),'Data_NSA'!$A:$A,0),MATCH($D31,'Data_NSA'!$1:$1,0))-1,"")</f>
        <v/>
      </c>
      <c r="M31" s="10">
        <f>IFERROR(INDEX('Weights'!$G:$I,MATCH($A31,'Weights'!$A:$A,0),MATCH(I$2,'Weights'!$G$1:$I$1,0)),"")</f>
        <v/>
      </c>
      <c r="N31" s="10">
        <f>IF($E31="","",IFERROR(100*(INDEX('Weights'!$D:$D,MATCH($A31,'Weights'!$A:$A,0))*(INDEX('Data_NSA'!$A:$OK,MATCH(EDATE(I$2,-1),'Data_NSA'!$A:$A,0),MATCH($D31,'Data_NSA'!$1:$1,0))/INDEX('Data_NSA'!$A:$OK,MATCH(INDEX('Weights'!$E:$E,MATCH($A31,'Weights'!$A:$A,0)),'Data_NSA'!$A:$A,0),MATCH($D31,'Data_NSA'!$1:$1,0))))/(100*(INDEX('Data_NSA'!$A:$OK,MATCH(EDATE(I$2,-1),'Data_NSA'!$A:$A,0),MATCH("CUUR0000SA0",'Data_NSA'!$1:$1,0))/INDEX('Data_NSA'!$A:$OK,MATCH(INDEX('Weights'!$E:$E,MATCH($A31,'Weights'!$A:$A,0)),'Data_NSA'!$A:$A,0),MATCH("CUUR0000SA0",'Data_NSA'!$1:$1,0))))*(INDEX('Data_SA'!$A:$LO,MATCH(I$2,'Data_SA'!$A:$A,0),MATCH($E31,'Data_SA'!$1:$1,0))/INDEX('Data_SA'!$A:$LO,MATCH(EDATE(I$2,-1),'Data_SA'!$A:$A,0),MATCH($E31,'Data_SA'!$1:$1,0))-1),""))</f>
        <v/>
      </c>
      <c r="O31" s="10">
        <f>IFERROR(INDEX('Data_NSA'!$A:$OK,MATCH(O$2,'Data_NSA'!$A:$A,0),MATCH($D31,'Data_NSA'!$1:$1,0)),"")</f>
        <v/>
      </c>
      <c r="P31" s="10">
        <f>IF($E31="","",IFERROR(INDEX('Data_SA'!$A:$LO,MATCH(O$2,'Data_SA'!$A:$A,0),MATCH($E31,'Data_SA'!$1:$1,0)),""))</f>
        <v/>
      </c>
      <c r="Q31" s="7">
        <f>IF($E31="","",IFERROR(INDEX('Data_SA'!$A:$LO,MATCH(O$2,'Data_SA'!$A:$A,0),MATCH($E31,'Data_SA'!$1:$1,0))/INDEX('Data_SA'!$A:$LO,MATCH(EDATE(O$2,-1),'Data_SA'!$A:$A,0),MATCH($E31,'Data_SA'!$1:$1,0))-1,""))</f>
        <v/>
      </c>
      <c r="R31" s="7">
        <f>IFERROR(INDEX('Data_NSA'!$A:$OK,MATCH(O$2,'Data_NSA'!$A:$A,0),MATCH($D31,'Data_NSA'!$1:$1,0))/INDEX('Data_NSA'!$A:$OK,MATCH(EDATE(O$2,-12),'Data_NSA'!$A:$A,0),MATCH($D31,'Data_NSA'!$1:$1,0))-1,"")</f>
        <v/>
      </c>
      <c r="S31" s="10">
        <f>IFERROR(INDEX('Weights'!$G:$I,MATCH($A31,'Weights'!$A:$A,0),MATCH(O$2,'Weights'!$G$1:$I$1,0)),"")</f>
        <v/>
      </c>
      <c r="T31" s="10">
        <f>IF($E31="","",IFERROR(100*(INDEX('Weights'!$D:$D,MATCH($A31,'Weights'!$A:$A,0))*(INDEX('Data_NSA'!$A:$OK,MATCH(EDATE(O$2,-1),'Data_NSA'!$A:$A,0),MATCH($D31,'Data_NSA'!$1:$1,0))/INDEX('Data_NSA'!$A:$OK,MATCH(INDEX('Weights'!$E:$E,MATCH($A31,'Weights'!$A:$A,0)),'Data_NSA'!$A:$A,0),MATCH($D31,'Data_NSA'!$1:$1,0))))/(100*(INDEX('Data_NSA'!$A:$OK,MATCH(EDATE(O$2,-1),'Data_NSA'!$A:$A,0),MATCH("CUUR0000SA0",'Data_NSA'!$1:$1,0))/INDEX('Data_NSA'!$A:$OK,MATCH(INDEX('Weights'!$E:$E,MATCH($A31,'Weights'!$A:$A,0)),'Data_NSA'!$A:$A,0),MATCH("CUUR0000SA0",'Data_NSA'!$1:$1,0))))*(INDEX('Data_SA'!$A:$LO,MATCH(O$2,'Data_SA'!$A:$A,0),MATCH($E31,'Data_SA'!$1:$1,0))/INDEX('Data_SA'!$A:$LO,MATCH(EDATE(O$2,-1),'Data_SA'!$A:$A,0),MATCH($E31,'Data_SA'!$1:$1,0))-1),""))</f>
        <v/>
      </c>
      <c r="U31" s="10">
        <f>IFERROR(INDEX('Data_NSA'!$A:$OK,MATCH(U$2,'Data_NSA'!$A:$A,0),MATCH($D31,'Data_NSA'!$1:$1,0)),"")</f>
        <v/>
      </c>
      <c r="V31" s="10">
        <f>IF($E31="","",IFERROR(INDEX('Data_SA'!$A:$LO,MATCH(U$2,'Data_SA'!$A:$A,0),MATCH($E31,'Data_SA'!$1:$1,0)),""))</f>
        <v/>
      </c>
      <c r="W31" s="7">
        <f>IF($E31="","",IFERROR(INDEX('Data_SA'!$A:$LO,MATCH(U$2,'Data_SA'!$A:$A,0),MATCH($E31,'Data_SA'!$1:$1,0))/INDEX('Data_SA'!$A:$LO,MATCH(EDATE(U$2,-1),'Data_SA'!$A:$A,0),MATCH($E31,'Data_SA'!$1:$1,0))-1,""))</f>
        <v/>
      </c>
      <c r="X31" s="7">
        <f>IFERROR(INDEX('Data_NSA'!$A:$OK,MATCH(U$2,'Data_NSA'!$A:$A,0),MATCH($D31,'Data_NSA'!$1:$1,0))/INDEX('Data_NSA'!$A:$OK,MATCH(EDATE(U$2,-12),'Data_NSA'!$A:$A,0),MATCH($D31,'Data_NSA'!$1:$1,0))-1,"")</f>
        <v/>
      </c>
      <c r="Y31" s="10">
        <f>IFERROR(INDEX('Weights'!$G:$I,MATCH($A31,'Weights'!$A:$A,0),MATCH(U$2,'Weights'!$G$1:$I$1,0)),"")</f>
        <v/>
      </c>
      <c r="Z31" s="10">
        <f>IF($E31="","",IFERROR(100*(INDEX('Weights'!$D:$D,MATCH($A31,'Weights'!$A:$A,0))*(INDEX('Data_NSA'!$A:$OK,MATCH(EDATE(U$2,-1),'Data_NSA'!$A:$A,0),MATCH($D31,'Data_NSA'!$1:$1,0))/INDEX('Data_NSA'!$A:$OK,MATCH(INDEX('Weights'!$E:$E,MATCH($A31,'Weights'!$A:$A,0)),'Data_NSA'!$A:$A,0),MATCH($D31,'Data_NSA'!$1:$1,0))))/(100*(INDEX('Data_NSA'!$A:$OK,MATCH(EDATE(U$2,-1),'Data_NSA'!$A:$A,0),MATCH("CUUR0000SA0",'Data_NSA'!$1:$1,0))/INDEX('Data_NSA'!$A:$OK,MATCH(INDEX('Weights'!$E:$E,MATCH($A31,'Weights'!$A:$A,0)),'Data_NSA'!$A:$A,0),MATCH("CUUR0000SA0",'Data_NSA'!$1:$1,0))))*(INDEX('Data_SA'!$A:$LO,MATCH(U$2,'Data_SA'!$A:$A,0),MATCH($E31,'Data_SA'!$1:$1,0))/INDEX('Data_SA'!$A:$LO,MATCH(EDATE(U$2,-1),'Data_SA'!$A:$A,0),MATCH($E31,'Data_SA'!$1:$1,0))-1),""))</f>
        <v/>
      </c>
    </row>
    <row r="32">
      <c r="A32" s="3" t="inlineStr">
        <is>
          <t>SEFC02</t>
        </is>
      </c>
      <c r="B32" s="3" t="inlineStr">
        <is>
          <t>Uncooked beef roasts</t>
        </is>
      </c>
      <c r="C32" s="3" t="inlineStr">
        <is>
          <t>SEFC</t>
        </is>
      </c>
      <c r="D32" s="3" t="inlineStr">
        <is>
          <t>CUUR0000SEFC02</t>
        </is>
      </c>
      <c r="E32" s="3" t="inlineStr">
        <is>
          <t>CUSR0000SEFC02</t>
        </is>
      </c>
      <c r="F32" s="3" t="inlineStr">
        <is>
          <t>GM</t>
        </is>
      </c>
      <c r="G32" s="3" t="inlineStr">
        <is>
          <t>monthly food collection where sampled</t>
        </is>
      </c>
      <c r="H32" s="10">
        <f>IFERROR(INDEX(Weights!$D:$D,MATCH($A32,Weights!$A:$A,0)),"")</f>
        <v/>
      </c>
      <c r="I32" s="10">
        <f>IFERROR(INDEX('Data_NSA'!$A:$OK,MATCH(I$2,'Data_NSA'!$A:$A,0),MATCH($D32,'Data_NSA'!$1:$1,0)),"")</f>
        <v/>
      </c>
      <c r="J32" s="10">
        <f>IF($E32="","",IFERROR(INDEX('Data_SA'!$A:$LO,MATCH(I$2,'Data_SA'!$A:$A,0),MATCH($E32,'Data_SA'!$1:$1,0)),""))</f>
        <v/>
      </c>
      <c r="K32" s="7">
        <f>IF($E32="","",IFERROR(INDEX('Data_SA'!$A:$LO,MATCH(I$2,'Data_SA'!$A:$A,0),MATCH($E32,'Data_SA'!$1:$1,0))/INDEX('Data_SA'!$A:$LO,MATCH(EDATE(I$2,-1),'Data_SA'!$A:$A,0),MATCH($E32,'Data_SA'!$1:$1,0))-1,""))</f>
        <v/>
      </c>
      <c r="L32" s="7">
        <f>IFERROR(INDEX('Data_NSA'!$A:$OK,MATCH(I$2,'Data_NSA'!$A:$A,0),MATCH($D32,'Data_NSA'!$1:$1,0))/INDEX('Data_NSA'!$A:$OK,MATCH(EDATE(I$2,-12),'Data_NSA'!$A:$A,0),MATCH($D32,'Data_NSA'!$1:$1,0))-1,"")</f>
        <v/>
      </c>
      <c r="M32" s="10">
        <f>IFERROR(INDEX('Weights'!$G:$I,MATCH($A32,'Weights'!$A:$A,0),MATCH(I$2,'Weights'!$G$1:$I$1,0)),"")</f>
        <v/>
      </c>
      <c r="N32" s="10">
        <f>IF($E32="","",IFERROR(100*(INDEX('Weights'!$D:$D,MATCH($A32,'Weights'!$A:$A,0))*(INDEX('Data_NSA'!$A:$OK,MATCH(EDATE(I$2,-1),'Data_NSA'!$A:$A,0),MATCH($D32,'Data_NSA'!$1:$1,0))/INDEX('Data_NSA'!$A:$OK,MATCH(INDEX('Weights'!$E:$E,MATCH($A32,'Weights'!$A:$A,0)),'Data_NSA'!$A:$A,0),MATCH($D32,'Data_NSA'!$1:$1,0))))/(100*(INDEX('Data_NSA'!$A:$OK,MATCH(EDATE(I$2,-1),'Data_NSA'!$A:$A,0),MATCH("CUUR0000SA0",'Data_NSA'!$1:$1,0))/INDEX('Data_NSA'!$A:$OK,MATCH(INDEX('Weights'!$E:$E,MATCH($A32,'Weights'!$A:$A,0)),'Data_NSA'!$A:$A,0),MATCH("CUUR0000SA0",'Data_NSA'!$1:$1,0))))*(INDEX('Data_SA'!$A:$LO,MATCH(I$2,'Data_SA'!$A:$A,0),MATCH($E32,'Data_SA'!$1:$1,0))/INDEX('Data_SA'!$A:$LO,MATCH(EDATE(I$2,-1),'Data_SA'!$A:$A,0),MATCH($E32,'Data_SA'!$1:$1,0))-1),""))</f>
        <v/>
      </c>
      <c r="O32" s="10">
        <f>IFERROR(INDEX('Data_NSA'!$A:$OK,MATCH(O$2,'Data_NSA'!$A:$A,0),MATCH($D32,'Data_NSA'!$1:$1,0)),"")</f>
        <v/>
      </c>
      <c r="P32" s="10">
        <f>IF($E32="","",IFERROR(INDEX('Data_SA'!$A:$LO,MATCH(O$2,'Data_SA'!$A:$A,0),MATCH($E32,'Data_SA'!$1:$1,0)),""))</f>
        <v/>
      </c>
      <c r="Q32" s="7">
        <f>IF($E32="","",IFERROR(INDEX('Data_SA'!$A:$LO,MATCH(O$2,'Data_SA'!$A:$A,0),MATCH($E32,'Data_SA'!$1:$1,0))/INDEX('Data_SA'!$A:$LO,MATCH(EDATE(O$2,-1),'Data_SA'!$A:$A,0),MATCH($E32,'Data_SA'!$1:$1,0))-1,""))</f>
        <v/>
      </c>
      <c r="R32" s="7">
        <f>IFERROR(INDEX('Data_NSA'!$A:$OK,MATCH(O$2,'Data_NSA'!$A:$A,0),MATCH($D32,'Data_NSA'!$1:$1,0))/INDEX('Data_NSA'!$A:$OK,MATCH(EDATE(O$2,-12),'Data_NSA'!$A:$A,0),MATCH($D32,'Data_NSA'!$1:$1,0))-1,"")</f>
        <v/>
      </c>
      <c r="S32" s="10">
        <f>IFERROR(INDEX('Weights'!$G:$I,MATCH($A32,'Weights'!$A:$A,0),MATCH(O$2,'Weights'!$G$1:$I$1,0)),"")</f>
        <v/>
      </c>
      <c r="T32" s="10">
        <f>IF($E32="","",IFERROR(100*(INDEX('Weights'!$D:$D,MATCH($A32,'Weights'!$A:$A,0))*(INDEX('Data_NSA'!$A:$OK,MATCH(EDATE(O$2,-1),'Data_NSA'!$A:$A,0),MATCH($D32,'Data_NSA'!$1:$1,0))/INDEX('Data_NSA'!$A:$OK,MATCH(INDEX('Weights'!$E:$E,MATCH($A32,'Weights'!$A:$A,0)),'Data_NSA'!$A:$A,0),MATCH($D32,'Data_NSA'!$1:$1,0))))/(100*(INDEX('Data_NSA'!$A:$OK,MATCH(EDATE(O$2,-1),'Data_NSA'!$A:$A,0),MATCH("CUUR0000SA0",'Data_NSA'!$1:$1,0))/INDEX('Data_NSA'!$A:$OK,MATCH(INDEX('Weights'!$E:$E,MATCH($A32,'Weights'!$A:$A,0)),'Data_NSA'!$A:$A,0),MATCH("CUUR0000SA0",'Data_NSA'!$1:$1,0))))*(INDEX('Data_SA'!$A:$LO,MATCH(O$2,'Data_SA'!$A:$A,0),MATCH($E32,'Data_SA'!$1:$1,0))/INDEX('Data_SA'!$A:$LO,MATCH(EDATE(O$2,-1),'Data_SA'!$A:$A,0),MATCH($E32,'Data_SA'!$1:$1,0))-1),""))</f>
        <v/>
      </c>
      <c r="U32" s="10">
        <f>IFERROR(INDEX('Data_NSA'!$A:$OK,MATCH(U$2,'Data_NSA'!$A:$A,0),MATCH($D32,'Data_NSA'!$1:$1,0)),"")</f>
        <v/>
      </c>
      <c r="V32" s="10">
        <f>IF($E32="","",IFERROR(INDEX('Data_SA'!$A:$LO,MATCH(U$2,'Data_SA'!$A:$A,0),MATCH($E32,'Data_SA'!$1:$1,0)),""))</f>
        <v/>
      </c>
      <c r="W32" s="7">
        <f>IF($E32="","",IFERROR(INDEX('Data_SA'!$A:$LO,MATCH(U$2,'Data_SA'!$A:$A,0),MATCH($E32,'Data_SA'!$1:$1,0))/INDEX('Data_SA'!$A:$LO,MATCH(EDATE(U$2,-1),'Data_SA'!$A:$A,0),MATCH($E32,'Data_SA'!$1:$1,0))-1,""))</f>
        <v/>
      </c>
      <c r="X32" s="7">
        <f>IFERROR(INDEX('Data_NSA'!$A:$OK,MATCH(U$2,'Data_NSA'!$A:$A,0),MATCH($D32,'Data_NSA'!$1:$1,0))/INDEX('Data_NSA'!$A:$OK,MATCH(EDATE(U$2,-12),'Data_NSA'!$A:$A,0),MATCH($D32,'Data_NSA'!$1:$1,0))-1,"")</f>
        <v/>
      </c>
      <c r="Y32" s="10">
        <f>IFERROR(INDEX('Weights'!$G:$I,MATCH($A32,'Weights'!$A:$A,0),MATCH(U$2,'Weights'!$G$1:$I$1,0)),"")</f>
        <v/>
      </c>
      <c r="Z32" s="10">
        <f>IF($E32="","",IFERROR(100*(INDEX('Weights'!$D:$D,MATCH($A32,'Weights'!$A:$A,0))*(INDEX('Data_NSA'!$A:$OK,MATCH(EDATE(U$2,-1),'Data_NSA'!$A:$A,0),MATCH($D32,'Data_NSA'!$1:$1,0))/INDEX('Data_NSA'!$A:$OK,MATCH(INDEX('Weights'!$E:$E,MATCH($A32,'Weights'!$A:$A,0)),'Data_NSA'!$A:$A,0),MATCH($D32,'Data_NSA'!$1:$1,0))))/(100*(INDEX('Data_NSA'!$A:$OK,MATCH(EDATE(U$2,-1),'Data_NSA'!$A:$A,0),MATCH("CUUR0000SA0",'Data_NSA'!$1:$1,0))/INDEX('Data_NSA'!$A:$OK,MATCH(INDEX('Weights'!$E:$E,MATCH($A32,'Weights'!$A:$A,0)),'Data_NSA'!$A:$A,0),MATCH("CUUR0000SA0",'Data_NSA'!$1:$1,0))))*(INDEX('Data_SA'!$A:$LO,MATCH(U$2,'Data_SA'!$A:$A,0),MATCH($E32,'Data_SA'!$1:$1,0))/INDEX('Data_SA'!$A:$LO,MATCH(EDATE(U$2,-1),'Data_SA'!$A:$A,0),MATCH($E32,'Data_SA'!$1:$1,0))-1),""))</f>
        <v/>
      </c>
    </row>
    <row r="33">
      <c r="A33" s="3" t="inlineStr">
        <is>
          <t>SEFC03</t>
        </is>
      </c>
      <c r="B33" s="3" t="inlineStr">
        <is>
          <t>Uncooked beef steaks</t>
        </is>
      </c>
      <c r="C33" s="3" t="inlineStr">
        <is>
          <t>SEFC</t>
        </is>
      </c>
      <c r="D33" s="3" t="inlineStr">
        <is>
          <t>CUUR0000SEFC03</t>
        </is>
      </c>
      <c r="E33" s="3" t="inlineStr">
        <is>
          <t>CUSR0000SEFC03</t>
        </is>
      </c>
      <c r="F33" s="3" t="inlineStr">
        <is>
          <t>GM</t>
        </is>
      </c>
      <c r="G33" s="3" t="inlineStr">
        <is>
          <t>monthly food collection where sampled</t>
        </is>
      </c>
      <c r="H33" s="10">
        <f>IFERROR(INDEX(Weights!$D:$D,MATCH($A33,Weights!$A:$A,0)),"")</f>
        <v/>
      </c>
      <c r="I33" s="10">
        <f>IFERROR(INDEX('Data_NSA'!$A:$OK,MATCH(I$2,'Data_NSA'!$A:$A,0),MATCH($D33,'Data_NSA'!$1:$1,0)),"")</f>
        <v/>
      </c>
      <c r="J33" s="10">
        <f>IF($E33="","",IFERROR(INDEX('Data_SA'!$A:$LO,MATCH(I$2,'Data_SA'!$A:$A,0),MATCH($E33,'Data_SA'!$1:$1,0)),""))</f>
        <v/>
      </c>
      <c r="K33" s="7">
        <f>IF($E33="","",IFERROR(INDEX('Data_SA'!$A:$LO,MATCH(I$2,'Data_SA'!$A:$A,0),MATCH($E33,'Data_SA'!$1:$1,0))/INDEX('Data_SA'!$A:$LO,MATCH(EDATE(I$2,-1),'Data_SA'!$A:$A,0),MATCH($E33,'Data_SA'!$1:$1,0))-1,""))</f>
        <v/>
      </c>
      <c r="L33" s="7">
        <f>IFERROR(INDEX('Data_NSA'!$A:$OK,MATCH(I$2,'Data_NSA'!$A:$A,0),MATCH($D33,'Data_NSA'!$1:$1,0))/INDEX('Data_NSA'!$A:$OK,MATCH(EDATE(I$2,-12),'Data_NSA'!$A:$A,0),MATCH($D33,'Data_NSA'!$1:$1,0))-1,"")</f>
        <v/>
      </c>
      <c r="M33" s="10">
        <f>IFERROR(INDEX('Weights'!$G:$I,MATCH($A33,'Weights'!$A:$A,0),MATCH(I$2,'Weights'!$G$1:$I$1,0)),"")</f>
        <v/>
      </c>
      <c r="N33" s="10">
        <f>IF($E33="","",IFERROR(100*(INDEX('Weights'!$D:$D,MATCH($A33,'Weights'!$A:$A,0))*(INDEX('Data_NSA'!$A:$OK,MATCH(EDATE(I$2,-1),'Data_NSA'!$A:$A,0),MATCH($D33,'Data_NSA'!$1:$1,0))/INDEX('Data_NSA'!$A:$OK,MATCH(INDEX('Weights'!$E:$E,MATCH($A33,'Weights'!$A:$A,0)),'Data_NSA'!$A:$A,0),MATCH($D33,'Data_NSA'!$1:$1,0))))/(100*(INDEX('Data_NSA'!$A:$OK,MATCH(EDATE(I$2,-1),'Data_NSA'!$A:$A,0),MATCH("CUUR0000SA0",'Data_NSA'!$1:$1,0))/INDEX('Data_NSA'!$A:$OK,MATCH(INDEX('Weights'!$E:$E,MATCH($A33,'Weights'!$A:$A,0)),'Data_NSA'!$A:$A,0),MATCH("CUUR0000SA0",'Data_NSA'!$1:$1,0))))*(INDEX('Data_SA'!$A:$LO,MATCH(I$2,'Data_SA'!$A:$A,0),MATCH($E33,'Data_SA'!$1:$1,0))/INDEX('Data_SA'!$A:$LO,MATCH(EDATE(I$2,-1),'Data_SA'!$A:$A,0),MATCH($E33,'Data_SA'!$1:$1,0))-1),""))</f>
        <v/>
      </c>
      <c r="O33" s="10">
        <f>IFERROR(INDEX('Data_NSA'!$A:$OK,MATCH(O$2,'Data_NSA'!$A:$A,0),MATCH($D33,'Data_NSA'!$1:$1,0)),"")</f>
        <v/>
      </c>
      <c r="P33" s="10">
        <f>IF($E33="","",IFERROR(INDEX('Data_SA'!$A:$LO,MATCH(O$2,'Data_SA'!$A:$A,0),MATCH($E33,'Data_SA'!$1:$1,0)),""))</f>
        <v/>
      </c>
      <c r="Q33" s="7">
        <f>IF($E33="","",IFERROR(INDEX('Data_SA'!$A:$LO,MATCH(O$2,'Data_SA'!$A:$A,0),MATCH($E33,'Data_SA'!$1:$1,0))/INDEX('Data_SA'!$A:$LO,MATCH(EDATE(O$2,-1),'Data_SA'!$A:$A,0),MATCH($E33,'Data_SA'!$1:$1,0))-1,""))</f>
        <v/>
      </c>
      <c r="R33" s="7">
        <f>IFERROR(INDEX('Data_NSA'!$A:$OK,MATCH(O$2,'Data_NSA'!$A:$A,0),MATCH($D33,'Data_NSA'!$1:$1,0))/INDEX('Data_NSA'!$A:$OK,MATCH(EDATE(O$2,-12),'Data_NSA'!$A:$A,0),MATCH($D33,'Data_NSA'!$1:$1,0))-1,"")</f>
        <v/>
      </c>
      <c r="S33" s="10">
        <f>IFERROR(INDEX('Weights'!$G:$I,MATCH($A33,'Weights'!$A:$A,0),MATCH(O$2,'Weights'!$G$1:$I$1,0)),"")</f>
        <v/>
      </c>
      <c r="T33" s="10">
        <f>IF($E33="","",IFERROR(100*(INDEX('Weights'!$D:$D,MATCH($A33,'Weights'!$A:$A,0))*(INDEX('Data_NSA'!$A:$OK,MATCH(EDATE(O$2,-1),'Data_NSA'!$A:$A,0),MATCH($D33,'Data_NSA'!$1:$1,0))/INDEX('Data_NSA'!$A:$OK,MATCH(INDEX('Weights'!$E:$E,MATCH($A33,'Weights'!$A:$A,0)),'Data_NSA'!$A:$A,0),MATCH($D33,'Data_NSA'!$1:$1,0))))/(100*(INDEX('Data_NSA'!$A:$OK,MATCH(EDATE(O$2,-1),'Data_NSA'!$A:$A,0),MATCH("CUUR0000SA0",'Data_NSA'!$1:$1,0))/INDEX('Data_NSA'!$A:$OK,MATCH(INDEX('Weights'!$E:$E,MATCH($A33,'Weights'!$A:$A,0)),'Data_NSA'!$A:$A,0),MATCH("CUUR0000SA0",'Data_NSA'!$1:$1,0))))*(INDEX('Data_SA'!$A:$LO,MATCH(O$2,'Data_SA'!$A:$A,0),MATCH($E33,'Data_SA'!$1:$1,0))/INDEX('Data_SA'!$A:$LO,MATCH(EDATE(O$2,-1),'Data_SA'!$A:$A,0),MATCH($E33,'Data_SA'!$1:$1,0))-1),""))</f>
        <v/>
      </c>
      <c r="U33" s="10">
        <f>IFERROR(INDEX('Data_NSA'!$A:$OK,MATCH(U$2,'Data_NSA'!$A:$A,0),MATCH($D33,'Data_NSA'!$1:$1,0)),"")</f>
        <v/>
      </c>
      <c r="V33" s="10">
        <f>IF($E33="","",IFERROR(INDEX('Data_SA'!$A:$LO,MATCH(U$2,'Data_SA'!$A:$A,0),MATCH($E33,'Data_SA'!$1:$1,0)),""))</f>
        <v/>
      </c>
      <c r="W33" s="7">
        <f>IF($E33="","",IFERROR(INDEX('Data_SA'!$A:$LO,MATCH(U$2,'Data_SA'!$A:$A,0),MATCH($E33,'Data_SA'!$1:$1,0))/INDEX('Data_SA'!$A:$LO,MATCH(EDATE(U$2,-1),'Data_SA'!$A:$A,0),MATCH($E33,'Data_SA'!$1:$1,0))-1,""))</f>
        <v/>
      </c>
      <c r="X33" s="7">
        <f>IFERROR(INDEX('Data_NSA'!$A:$OK,MATCH(U$2,'Data_NSA'!$A:$A,0),MATCH($D33,'Data_NSA'!$1:$1,0))/INDEX('Data_NSA'!$A:$OK,MATCH(EDATE(U$2,-12),'Data_NSA'!$A:$A,0),MATCH($D33,'Data_NSA'!$1:$1,0))-1,"")</f>
        <v/>
      </c>
      <c r="Y33" s="10">
        <f>IFERROR(INDEX('Weights'!$G:$I,MATCH($A33,'Weights'!$A:$A,0),MATCH(U$2,'Weights'!$G$1:$I$1,0)),"")</f>
        <v/>
      </c>
      <c r="Z33" s="10">
        <f>IF($E33="","",IFERROR(100*(INDEX('Weights'!$D:$D,MATCH($A33,'Weights'!$A:$A,0))*(INDEX('Data_NSA'!$A:$OK,MATCH(EDATE(U$2,-1),'Data_NSA'!$A:$A,0),MATCH($D33,'Data_NSA'!$1:$1,0))/INDEX('Data_NSA'!$A:$OK,MATCH(INDEX('Weights'!$E:$E,MATCH($A33,'Weights'!$A:$A,0)),'Data_NSA'!$A:$A,0),MATCH($D33,'Data_NSA'!$1:$1,0))))/(100*(INDEX('Data_NSA'!$A:$OK,MATCH(EDATE(U$2,-1),'Data_NSA'!$A:$A,0),MATCH("CUUR0000SA0",'Data_NSA'!$1:$1,0))/INDEX('Data_NSA'!$A:$OK,MATCH(INDEX('Weights'!$E:$E,MATCH($A33,'Weights'!$A:$A,0)),'Data_NSA'!$A:$A,0),MATCH("CUUR0000SA0",'Data_NSA'!$1:$1,0))))*(INDEX('Data_SA'!$A:$LO,MATCH(U$2,'Data_SA'!$A:$A,0),MATCH($E33,'Data_SA'!$1:$1,0))/INDEX('Data_SA'!$A:$LO,MATCH(EDATE(U$2,-1),'Data_SA'!$A:$A,0),MATCH($E33,'Data_SA'!$1:$1,0))-1),""))</f>
        <v/>
      </c>
    </row>
    <row r="34">
      <c r="A34" s="3" t="inlineStr">
        <is>
          <t>SEFC04</t>
        </is>
      </c>
      <c r="B34" s="3" t="inlineStr">
        <is>
          <t>Uncooked other beef and veal</t>
        </is>
      </c>
      <c r="C34" s="3" t="inlineStr">
        <is>
          <t>SEFC</t>
        </is>
      </c>
      <c r="D34" s="3" t="inlineStr">
        <is>
          <t>CUUR0000SEFC04</t>
        </is>
      </c>
      <c r="E34" s="3" t="inlineStr"/>
      <c r="F34" s="3" t="inlineStr">
        <is>
          <t>GM</t>
        </is>
      </c>
      <c r="G34" s="3" t="inlineStr">
        <is>
          <t>monthly food collection where sampled</t>
        </is>
      </c>
      <c r="H34" s="10">
        <f>IFERROR(INDEX(Weights!$D:$D,MATCH($A34,Weights!$A:$A,0)),"")</f>
        <v/>
      </c>
      <c r="I34" s="10">
        <f>IFERROR(INDEX('Data_NSA'!$A:$OK,MATCH(I$2,'Data_NSA'!$A:$A,0),MATCH($D34,'Data_NSA'!$1:$1,0)),"")</f>
        <v/>
      </c>
      <c r="J34" s="10">
        <f>IF($E34="","",IFERROR(INDEX('Data_SA'!$A:$LO,MATCH(I$2,'Data_SA'!$A:$A,0),MATCH($E34,'Data_SA'!$1:$1,0)),""))</f>
        <v/>
      </c>
      <c r="K34" s="7">
        <f>IF($E34="","",IFERROR(INDEX('Data_SA'!$A:$LO,MATCH(I$2,'Data_SA'!$A:$A,0),MATCH($E34,'Data_SA'!$1:$1,0))/INDEX('Data_SA'!$A:$LO,MATCH(EDATE(I$2,-1),'Data_SA'!$A:$A,0),MATCH($E34,'Data_SA'!$1:$1,0))-1,""))</f>
        <v/>
      </c>
      <c r="L34" s="7">
        <f>IFERROR(INDEX('Data_NSA'!$A:$OK,MATCH(I$2,'Data_NSA'!$A:$A,0),MATCH($D34,'Data_NSA'!$1:$1,0))/INDEX('Data_NSA'!$A:$OK,MATCH(EDATE(I$2,-12),'Data_NSA'!$A:$A,0),MATCH($D34,'Data_NSA'!$1:$1,0))-1,"")</f>
        <v/>
      </c>
      <c r="M34" s="10">
        <f>IFERROR(INDEX('Weights'!$G:$I,MATCH($A34,'Weights'!$A:$A,0),MATCH(I$2,'Weights'!$G$1:$I$1,0)),"")</f>
        <v/>
      </c>
      <c r="N34" s="10">
        <f>IF($E34="","",IFERROR(100*(INDEX('Weights'!$D:$D,MATCH($A34,'Weights'!$A:$A,0))*(INDEX('Data_NSA'!$A:$OK,MATCH(EDATE(I$2,-1),'Data_NSA'!$A:$A,0),MATCH($D34,'Data_NSA'!$1:$1,0))/INDEX('Data_NSA'!$A:$OK,MATCH(INDEX('Weights'!$E:$E,MATCH($A34,'Weights'!$A:$A,0)),'Data_NSA'!$A:$A,0),MATCH($D34,'Data_NSA'!$1:$1,0))))/(100*(INDEX('Data_NSA'!$A:$OK,MATCH(EDATE(I$2,-1),'Data_NSA'!$A:$A,0),MATCH("CUUR0000SA0",'Data_NSA'!$1:$1,0))/INDEX('Data_NSA'!$A:$OK,MATCH(INDEX('Weights'!$E:$E,MATCH($A34,'Weights'!$A:$A,0)),'Data_NSA'!$A:$A,0),MATCH("CUUR0000SA0",'Data_NSA'!$1:$1,0))))*(INDEX('Data_SA'!$A:$LO,MATCH(I$2,'Data_SA'!$A:$A,0),MATCH($E34,'Data_SA'!$1:$1,0))/INDEX('Data_SA'!$A:$LO,MATCH(EDATE(I$2,-1),'Data_SA'!$A:$A,0),MATCH($E34,'Data_SA'!$1:$1,0))-1),""))</f>
        <v/>
      </c>
      <c r="O34" s="10">
        <f>IFERROR(INDEX('Data_NSA'!$A:$OK,MATCH(O$2,'Data_NSA'!$A:$A,0),MATCH($D34,'Data_NSA'!$1:$1,0)),"")</f>
        <v/>
      </c>
      <c r="P34" s="10">
        <f>IF($E34="","",IFERROR(INDEX('Data_SA'!$A:$LO,MATCH(O$2,'Data_SA'!$A:$A,0),MATCH($E34,'Data_SA'!$1:$1,0)),""))</f>
        <v/>
      </c>
      <c r="Q34" s="7">
        <f>IF($E34="","",IFERROR(INDEX('Data_SA'!$A:$LO,MATCH(O$2,'Data_SA'!$A:$A,0),MATCH($E34,'Data_SA'!$1:$1,0))/INDEX('Data_SA'!$A:$LO,MATCH(EDATE(O$2,-1),'Data_SA'!$A:$A,0),MATCH($E34,'Data_SA'!$1:$1,0))-1,""))</f>
        <v/>
      </c>
      <c r="R34" s="7">
        <f>IFERROR(INDEX('Data_NSA'!$A:$OK,MATCH(O$2,'Data_NSA'!$A:$A,0),MATCH($D34,'Data_NSA'!$1:$1,0))/INDEX('Data_NSA'!$A:$OK,MATCH(EDATE(O$2,-12),'Data_NSA'!$A:$A,0),MATCH($D34,'Data_NSA'!$1:$1,0))-1,"")</f>
        <v/>
      </c>
      <c r="S34" s="10">
        <f>IFERROR(INDEX('Weights'!$G:$I,MATCH($A34,'Weights'!$A:$A,0),MATCH(O$2,'Weights'!$G$1:$I$1,0)),"")</f>
        <v/>
      </c>
      <c r="T34" s="10">
        <f>IF($E34="","",IFERROR(100*(INDEX('Weights'!$D:$D,MATCH($A34,'Weights'!$A:$A,0))*(INDEX('Data_NSA'!$A:$OK,MATCH(EDATE(O$2,-1),'Data_NSA'!$A:$A,0),MATCH($D34,'Data_NSA'!$1:$1,0))/INDEX('Data_NSA'!$A:$OK,MATCH(INDEX('Weights'!$E:$E,MATCH($A34,'Weights'!$A:$A,0)),'Data_NSA'!$A:$A,0),MATCH($D34,'Data_NSA'!$1:$1,0))))/(100*(INDEX('Data_NSA'!$A:$OK,MATCH(EDATE(O$2,-1),'Data_NSA'!$A:$A,0),MATCH("CUUR0000SA0",'Data_NSA'!$1:$1,0))/INDEX('Data_NSA'!$A:$OK,MATCH(INDEX('Weights'!$E:$E,MATCH($A34,'Weights'!$A:$A,0)),'Data_NSA'!$A:$A,0),MATCH("CUUR0000SA0",'Data_NSA'!$1:$1,0))))*(INDEX('Data_SA'!$A:$LO,MATCH(O$2,'Data_SA'!$A:$A,0),MATCH($E34,'Data_SA'!$1:$1,0))/INDEX('Data_SA'!$A:$LO,MATCH(EDATE(O$2,-1),'Data_SA'!$A:$A,0),MATCH($E34,'Data_SA'!$1:$1,0))-1),""))</f>
        <v/>
      </c>
      <c r="U34" s="10">
        <f>IFERROR(INDEX('Data_NSA'!$A:$OK,MATCH(U$2,'Data_NSA'!$A:$A,0),MATCH($D34,'Data_NSA'!$1:$1,0)),"")</f>
        <v/>
      </c>
      <c r="V34" s="10">
        <f>IF($E34="","",IFERROR(INDEX('Data_SA'!$A:$LO,MATCH(U$2,'Data_SA'!$A:$A,0),MATCH($E34,'Data_SA'!$1:$1,0)),""))</f>
        <v/>
      </c>
      <c r="W34" s="7">
        <f>IF($E34="","",IFERROR(INDEX('Data_SA'!$A:$LO,MATCH(U$2,'Data_SA'!$A:$A,0),MATCH($E34,'Data_SA'!$1:$1,0))/INDEX('Data_SA'!$A:$LO,MATCH(EDATE(U$2,-1),'Data_SA'!$A:$A,0),MATCH($E34,'Data_SA'!$1:$1,0))-1,""))</f>
        <v/>
      </c>
      <c r="X34" s="7">
        <f>IFERROR(INDEX('Data_NSA'!$A:$OK,MATCH(U$2,'Data_NSA'!$A:$A,0),MATCH($D34,'Data_NSA'!$1:$1,0))/INDEX('Data_NSA'!$A:$OK,MATCH(EDATE(U$2,-12),'Data_NSA'!$A:$A,0),MATCH($D34,'Data_NSA'!$1:$1,0))-1,"")</f>
        <v/>
      </c>
      <c r="Y34" s="10">
        <f>IFERROR(INDEX('Weights'!$G:$I,MATCH($A34,'Weights'!$A:$A,0),MATCH(U$2,'Weights'!$G$1:$I$1,0)),"")</f>
        <v/>
      </c>
      <c r="Z34" s="10">
        <f>IF($E34="","",IFERROR(100*(INDEX('Weights'!$D:$D,MATCH($A34,'Weights'!$A:$A,0))*(INDEX('Data_NSA'!$A:$OK,MATCH(EDATE(U$2,-1),'Data_NSA'!$A:$A,0),MATCH($D34,'Data_NSA'!$1:$1,0))/INDEX('Data_NSA'!$A:$OK,MATCH(INDEX('Weights'!$E:$E,MATCH($A34,'Weights'!$A:$A,0)),'Data_NSA'!$A:$A,0),MATCH($D34,'Data_NSA'!$1:$1,0))))/(100*(INDEX('Data_NSA'!$A:$OK,MATCH(EDATE(U$2,-1),'Data_NSA'!$A:$A,0),MATCH("CUUR0000SA0",'Data_NSA'!$1:$1,0))/INDEX('Data_NSA'!$A:$OK,MATCH(INDEX('Weights'!$E:$E,MATCH($A34,'Weights'!$A:$A,0)),'Data_NSA'!$A:$A,0),MATCH("CUUR0000SA0",'Data_NSA'!$1:$1,0))))*(INDEX('Data_SA'!$A:$LO,MATCH(U$2,'Data_SA'!$A:$A,0),MATCH($E34,'Data_SA'!$1:$1,0))/INDEX('Data_SA'!$A:$LO,MATCH(EDATE(U$2,-1),'Data_SA'!$A:$A,0),MATCH($E34,'Data_SA'!$1:$1,0))-1),""))</f>
        <v/>
      </c>
    </row>
    <row r="35">
      <c r="A35" s="3" t="inlineStr">
        <is>
          <t>SEFD</t>
        </is>
      </c>
      <c r="B35" s="3" t="inlineStr">
        <is>
          <t>Pork</t>
        </is>
      </c>
      <c r="C35" s="3" t="inlineStr">
        <is>
          <t>SAF11211</t>
        </is>
      </c>
      <c r="D35" s="3" t="inlineStr">
        <is>
          <t>CUUR0000SEFD</t>
        </is>
      </c>
      <c r="E35" s="3" t="inlineStr">
        <is>
          <t>CUSR0000SEFD</t>
        </is>
      </c>
      <c r="F35" s="3" t="inlineStr">
        <is>
          <t>aggregate</t>
        </is>
      </c>
      <c r="G35" s="3" t="inlineStr">
        <is>
          <t>aggregate</t>
        </is>
      </c>
      <c r="H35" s="10">
        <f>IFERROR(INDEX(Weights!$D:$D,MATCH($A35,Weights!$A:$A,0)),"")</f>
        <v/>
      </c>
      <c r="I35" s="10">
        <f>IFERROR(INDEX('Data_NSA'!$A:$OK,MATCH(I$2,'Data_NSA'!$A:$A,0),MATCH($D35,'Data_NSA'!$1:$1,0)),"")</f>
        <v/>
      </c>
      <c r="J35" s="10">
        <f>IF($E35="","",IFERROR(INDEX('Data_SA'!$A:$LO,MATCH(I$2,'Data_SA'!$A:$A,0),MATCH($E35,'Data_SA'!$1:$1,0)),""))</f>
        <v/>
      </c>
      <c r="K35" s="7">
        <f>IF($E35="","",IFERROR(INDEX('Data_SA'!$A:$LO,MATCH(I$2,'Data_SA'!$A:$A,0),MATCH($E35,'Data_SA'!$1:$1,0))/INDEX('Data_SA'!$A:$LO,MATCH(EDATE(I$2,-1),'Data_SA'!$A:$A,0),MATCH($E35,'Data_SA'!$1:$1,0))-1,""))</f>
        <v/>
      </c>
      <c r="L35" s="7">
        <f>IFERROR(INDEX('Data_NSA'!$A:$OK,MATCH(I$2,'Data_NSA'!$A:$A,0),MATCH($D35,'Data_NSA'!$1:$1,0))/INDEX('Data_NSA'!$A:$OK,MATCH(EDATE(I$2,-12),'Data_NSA'!$A:$A,0),MATCH($D35,'Data_NSA'!$1:$1,0))-1,"")</f>
        <v/>
      </c>
      <c r="M35" s="10">
        <f>IFERROR(INDEX('Weights'!$G:$I,MATCH($A35,'Weights'!$A:$A,0),MATCH(I$2,'Weights'!$G$1:$I$1,0)),"")</f>
        <v/>
      </c>
      <c r="N35" s="10">
        <f>IF($E35="","",IFERROR(100*(INDEX('Weights'!$D:$D,MATCH($A35,'Weights'!$A:$A,0))*(INDEX('Data_NSA'!$A:$OK,MATCH(EDATE(I$2,-1),'Data_NSA'!$A:$A,0),MATCH($D35,'Data_NSA'!$1:$1,0))/INDEX('Data_NSA'!$A:$OK,MATCH(INDEX('Weights'!$E:$E,MATCH($A35,'Weights'!$A:$A,0)),'Data_NSA'!$A:$A,0),MATCH($D35,'Data_NSA'!$1:$1,0))))/(100*(INDEX('Data_NSA'!$A:$OK,MATCH(EDATE(I$2,-1),'Data_NSA'!$A:$A,0),MATCH("CUUR0000SA0",'Data_NSA'!$1:$1,0))/INDEX('Data_NSA'!$A:$OK,MATCH(INDEX('Weights'!$E:$E,MATCH($A35,'Weights'!$A:$A,0)),'Data_NSA'!$A:$A,0),MATCH("CUUR0000SA0",'Data_NSA'!$1:$1,0))))*(INDEX('Data_SA'!$A:$LO,MATCH(I$2,'Data_SA'!$A:$A,0),MATCH($E35,'Data_SA'!$1:$1,0))/INDEX('Data_SA'!$A:$LO,MATCH(EDATE(I$2,-1),'Data_SA'!$A:$A,0),MATCH($E35,'Data_SA'!$1:$1,0))-1),""))</f>
        <v/>
      </c>
      <c r="O35" s="10">
        <f>IFERROR(INDEX('Data_NSA'!$A:$OK,MATCH(O$2,'Data_NSA'!$A:$A,0),MATCH($D35,'Data_NSA'!$1:$1,0)),"")</f>
        <v/>
      </c>
      <c r="P35" s="10">
        <f>IF($E35="","",IFERROR(INDEX('Data_SA'!$A:$LO,MATCH(O$2,'Data_SA'!$A:$A,0),MATCH($E35,'Data_SA'!$1:$1,0)),""))</f>
        <v/>
      </c>
      <c r="Q35" s="7">
        <f>IF($E35="","",IFERROR(INDEX('Data_SA'!$A:$LO,MATCH(O$2,'Data_SA'!$A:$A,0),MATCH($E35,'Data_SA'!$1:$1,0))/INDEX('Data_SA'!$A:$LO,MATCH(EDATE(O$2,-1),'Data_SA'!$A:$A,0),MATCH($E35,'Data_SA'!$1:$1,0))-1,""))</f>
        <v/>
      </c>
      <c r="R35" s="7">
        <f>IFERROR(INDEX('Data_NSA'!$A:$OK,MATCH(O$2,'Data_NSA'!$A:$A,0),MATCH($D35,'Data_NSA'!$1:$1,0))/INDEX('Data_NSA'!$A:$OK,MATCH(EDATE(O$2,-12),'Data_NSA'!$A:$A,0),MATCH($D35,'Data_NSA'!$1:$1,0))-1,"")</f>
        <v/>
      </c>
      <c r="S35" s="10">
        <f>IFERROR(INDEX('Weights'!$G:$I,MATCH($A35,'Weights'!$A:$A,0),MATCH(O$2,'Weights'!$G$1:$I$1,0)),"")</f>
        <v/>
      </c>
      <c r="T35" s="10">
        <f>IF($E35="","",IFERROR(100*(INDEX('Weights'!$D:$D,MATCH($A35,'Weights'!$A:$A,0))*(INDEX('Data_NSA'!$A:$OK,MATCH(EDATE(O$2,-1),'Data_NSA'!$A:$A,0),MATCH($D35,'Data_NSA'!$1:$1,0))/INDEX('Data_NSA'!$A:$OK,MATCH(INDEX('Weights'!$E:$E,MATCH($A35,'Weights'!$A:$A,0)),'Data_NSA'!$A:$A,0),MATCH($D35,'Data_NSA'!$1:$1,0))))/(100*(INDEX('Data_NSA'!$A:$OK,MATCH(EDATE(O$2,-1),'Data_NSA'!$A:$A,0),MATCH("CUUR0000SA0",'Data_NSA'!$1:$1,0))/INDEX('Data_NSA'!$A:$OK,MATCH(INDEX('Weights'!$E:$E,MATCH($A35,'Weights'!$A:$A,0)),'Data_NSA'!$A:$A,0),MATCH("CUUR0000SA0",'Data_NSA'!$1:$1,0))))*(INDEX('Data_SA'!$A:$LO,MATCH(O$2,'Data_SA'!$A:$A,0),MATCH($E35,'Data_SA'!$1:$1,0))/INDEX('Data_SA'!$A:$LO,MATCH(EDATE(O$2,-1),'Data_SA'!$A:$A,0),MATCH($E35,'Data_SA'!$1:$1,0))-1),""))</f>
        <v/>
      </c>
      <c r="U35" s="10">
        <f>IFERROR(INDEX('Data_NSA'!$A:$OK,MATCH(U$2,'Data_NSA'!$A:$A,0),MATCH($D35,'Data_NSA'!$1:$1,0)),"")</f>
        <v/>
      </c>
      <c r="V35" s="10">
        <f>IF($E35="","",IFERROR(INDEX('Data_SA'!$A:$LO,MATCH(U$2,'Data_SA'!$A:$A,0),MATCH($E35,'Data_SA'!$1:$1,0)),""))</f>
        <v/>
      </c>
      <c r="W35" s="7">
        <f>IF($E35="","",IFERROR(INDEX('Data_SA'!$A:$LO,MATCH(U$2,'Data_SA'!$A:$A,0),MATCH($E35,'Data_SA'!$1:$1,0))/INDEX('Data_SA'!$A:$LO,MATCH(EDATE(U$2,-1),'Data_SA'!$A:$A,0),MATCH($E35,'Data_SA'!$1:$1,0))-1,""))</f>
        <v/>
      </c>
      <c r="X35" s="7">
        <f>IFERROR(INDEX('Data_NSA'!$A:$OK,MATCH(U$2,'Data_NSA'!$A:$A,0),MATCH($D35,'Data_NSA'!$1:$1,0))/INDEX('Data_NSA'!$A:$OK,MATCH(EDATE(U$2,-12),'Data_NSA'!$A:$A,0),MATCH($D35,'Data_NSA'!$1:$1,0))-1,"")</f>
        <v/>
      </c>
      <c r="Y35" s="10">
        <f>IFERROR(INDEX('Weights'!$G:$I,MATCH($A35,'Weights'!$A:$A,0),MATCH(U$2,'Weights'!$G$1:$I$1,0)),"")</f>
        <v/>
      </c>
      <c r="Z35" s="10">
        <f>IF($E35="","",IFERROR(100*(INDEX('Weights'!$D:$D,MATCH($A35,'Weights'!$A:$A,0))*(INDEX('Data_NSA'!$A:$OK,MATCH(EDATE(U$2,-1),'Data_NSA'!$A:$A,0),MATCH($D35,'Data_NSA'!$1:$1,0))/INDEX('Data_NSA'!$A:$OK,MATCH(INDEX('Weights'!$E:$E,MATCH($A35,'Weights'!$A:$A,0)),'Data_NSA'!$A:$A,0),MATCH($D35,'Data_NSA'!$1:$1,0))))/(100*(INDEX('Data_NSA'!$A:$OK,MATCH(EDATE(U$2,-1),'Data_NSA'!$A:$A,0),MATCH("CUUR0000SA0",'Data_NSA'!$1:$1,0))/INDEX('Data_NSA'!$A:$OK,MATCH(INDEX('Weights'!$E:$E,MATCH($A35,'Weights'!$A:$A,0)),'Data_NSA'!$A:$A,0),MATCH("CUUR0000SA0",'Data_NSA'!$1:$1,0))))*(INDEX('Data_SA'!$A:$LO,MATCH(U$2,'Data_SA'!$A:$A,0),MATCH($E35,'Data_SA'!$1:$1,0))/INDEX('Data_SA'!$A:$LO,MATCH(EDATE(U$2,-1),'Data_SA'!$A:$A,0),MATCH($E35,'Data_SA'!$1:$1,0))-1),""))</f>
        <v/>
      </c>
    </row>
    <row r="36">
      <c r="A36" s="3" t="inlineStr">
        <is>
          <t>SEFD01</t>
        </is>
      </c>
      <c r="B36" s="3" t="inlineStr">
        <is>
          <t>Bacon, breakfast sausage, and related products</t>
        </is>
      </c>
      <c r="C36" s="3" t="inlineStr">
        <is>
          <t>SEFD</t>
        </is>
      </c>
      <c r="D36" s="3" t="inlineStr">
        <is>
          <t>CUUR0000SEFD01</t>
        </is>
      </c>
      <c r="E36" s="3" t="inlineStr">
        <is>
          <t>CUSR0000SEFD01</t>
        </is>
      </c>
      <c r="F36" s="3" t="inlineStr">
        <is>
          <t>aggregate</t>
        </is>
      </c>
      <c r="G36" s="3" t="inlineStr">
        <is>
          <t>aggregate</t>
        </is>
      </c>
      <c r="H36" s="10">
        <f>IFERROR(INDEX(Weights!$D:$D,MATCH($A36,Weights!$A:$A,0)),"")</f>
        <v/>
      </c>
      <c r="I36" s="10">
        <f>IFERROR(INDEX('Data_NSA'!$A:$OK,MATCH(I$2,'Data_NSA'!$A:$A,0),MATCH($D36,'Data_NSA'!$1:$1,0)),"")</f>
        <v/>
      </c>
      <c r="J36" s="10">
        <f>IF($E36="","",IFERROR(INDEX('Data_SA'!$A:$LO,MATCH(I$2,'Data_SA'!$A:$A,0),MATCH($E36,'Data_SA'!$1:$1,0)),""))</f>
        <v/>
      </c>
      <c r="K36" s="7">
        <f>IF($E36="","",IFERROR(INDEX('Data_SA'!$A:$LO,MATCH(I$2,'Data_SA'!$A:$A,0),MATCH($E36,'Data_SA'!$1:$1,0))/INDEX('Data_SA'!$A:$LO,MATCH(EDATE(I$2,-1),'Data_SA'!$A:$A,0),MATCH($E36,'Data_SA'!$1:$1,0))-1,""))</f>
        <v/>
      </c>
      <c r="L36" s="7">
        <f>IFERROR(INDEX('Data_NSA'!$A:$OK,MATCH(I$2,'Data_NSA'!$A:$A,0),MATCH($D36,'Data_NSA'!$1:$1,0))/INDEX('Data_NSA'!$A:$OK,MATCH(EDATE(I$2,-12),'Data_NSA'!$A:$A,0),MATCH($D36,'Data_NSA'!$1:$1,0))-1,"")</f>
        <v/>
      </c>
      <c r="M36" s="10">
        <f>IFERROR(INDEX('Weights'!$G:$I,MATCH($A36,'Weights'!$A:$A,0),MATCH(I$2,'Weights'!$G$1:$I$1,0)),"")</f>
        <v/>
      </c>
      <c r="N36" s="10">
        <f>IF($E36="","",IFERROR(100*(INDEX('Weights'!$D:$D,MATCH($A36,'Weights'!$A:$A,0))*(INDEX('Data_NSA'!$A:$OK,MATCH(EDATE(I$2,-1),'Data_NSA'!$A:$A,0),MATCH($D36,'Data_NSA'!$1:$1,0))/INDEX('Data_NSA'!$A:$OK,MATCH(INDEX('Weights'!$E:$E,MATCH($A36,'Weights'!$A:$A,0)),'Data_NSA'!$A:$A,0),MATCH($D36,'Data_NSA'!$1:$1,0))))/(100*(INDEX('Data_NSA'!$A:$OK,MATCH(EDATE(I$2,-1),'Data_NSA'!$A:$A,0),MATCH("CUUR0000SA0",'Data_NSA'!$1:$1,0))/INDEX('Data_NSA'!$A:$OK,MATCH(INDEX('Weights'!$E:$E,MATCH($A36,'Weights'!$A:$A,0)),'Data_NSA'!$A:$A,0),MATCH("CUUR0000SA0",'Data_NSA'!$1:$1,0))))*(INDEX('Data_SA'!$A:$LO,MATCH(I$2,'Data_SA'!$A:$A,0),MATCH($E36,'Data_SA'!$1:$1,0))/INDEX('Data_SA'!$A:$LO,MATCH(EDATE(I$2,-1),'Data_SA'!$A:$A,0),MATCH($E36,'Data_SA'!$1:$1,0))-1),""))</f>
        <v/>
      </c>
      <c r="O36" s="10">
        <f>IFERROR(INDEX('Data_NSA'!$A:$OK,MATCH(O$2,'Data_NSA'!$A:$A,0),MATCH($D36,'Data_NSA'!$1:$1,0)),"")</f>
        <v/>
      </c>
      <c r="P36" s="10">
        <f>IF($E36="","",IFERROR(INDEX('Data_SA'!$A:$LO,MATCH(O$2,'Data_SA'!$A:$A,0),MATCH($E36,'Data_SA'!$1:$1,0)),""))</f>
        <v/>
      </c>
      <c r="Q36" s="7">
        <f>IF($E36="","",IFERROR(INDEX('Data_SA'!$A:$LO,MATCH(O$2,'Data_SA'!$A:$A,0),MATCH($E36,'Data_SA'!$1:$1,0))/INDEX('Data_SA'!$A:$LO,MATCH(EDATE(O$2,-1),'Data_SA'!$A:$A,0),MATCH($E36,'Data_SA'!$1:$1,0))-1,""))</f>
        <v/>
      </c>
      <c r="R36" s="7">
        <f>IFERROR(INDEX('Data_NSA'!$A:$OK,MATCH(O$2,'Data_NSA'!$A:$A,0),MATCH($D36,'Data_NSA'!$1:$1,0))/INDEX('Data_NSA'!$A:$OK,MATCH(EDATE(O$2,-12),'Data_NSA'!$A:$A,0),MATCH($D36,'Data_NSA'!$1:$1,0))-1,"")</f>
        <v/>
      </c>
      <c r="S36" s="10">
        <f>IFERROR(INDEX('Weights'!$G:$I,MATCH($A36,'Weights'!$A:$A,0),MATCH(O$2,'Weights'!$G$1:$I$1,0)),"")</f>
        <v/>
      </c>
      <c r="T36" s="10">
        <f>IF($E36="","",IFERROR(100*(INDEX('Weights'!$D:$D,MATCH($A36,'Weights'!$A:$A,0))*(INDEX('Data_NSA'!$A:$OK,MATCH(EDATE(O$2,-1),'Data_NSA'!$A:$A,0),MATCH($D36,'Data_NSA'!$1:$1,0))/INDEX('Data_NSA'!$A:$OK,MATCH(INDEX('Weights'!$E:$E,MATCH($A36,'Weights'!$A:$A,0)),'Data_NSA'!$A:$A,0),MATCH($D36,'Data_NSA'!$1:$1,0))))/(100*(INDEX('Data_NSA'!$A:$OK,MATCH(EDATE(O$2,-1),'Data_NSA'!$A:$A,0),MATCH("CUUR0000SA0",'Data_NSA'!$1:$1,0))/INDEX('Data_NSA'!$A:$OK,MATCH(INDEX('Weights'!$E:$E,MATCH($A36,'Weights'!$A:$A,0)),'Data_NSA'!$A:$A,0),MATCH("CUUR0000SA0",'Data_NSA'!$1:$1,0))))*(INDEX('Data_SA'!$A:$LO,MATCH(O$2,'Data_SA'!$A:$A,0),MATCH($E36,'Data_SA'!$1:$1,0))/INDEX('Data_SA'!$A:$LO,MATCH(EDATE(O$2,-1),'Data_SA'!$A:$A,0),MATCH($E36,'Data_SA'!$1:$1,0))-1),""))</f>
        <v/>
      </c>
      <c r="U36" s="10">
        <f>IFERROR(INDEX('Data_NSA'!$A:$OK,MATCH(U$2,'Data_NSA'!$A:$A,0),MATCH($D36,'Data_NSA'!$1:$1,0)),"")</f>
        <v/>
      </c>
      <c r="V36" s="10">
        <f>IF($E36="","",IFERROR(INDEX('Data_SA'!$A:$LO,MATCH(U$2,'Data_SA'!$A:$A,0),MATCH($E36,'Data_SA'!$1:$1,0)),""))</f>
        <v/>
      </c>
      <c r="W36" s="7">
        <f>IF($E36="","",IFERROR(INDEX('Data_SA'!$A:$LO,MATCH(U$2,'Data_SA'!$A:$A,0),MATCH($E36,'Data_SA'!$1:$1,0))/INDEX('Data_SA'!$A:$LO,MATCH(EDATE(U$2,-1),'Data_SA'!$A:$A,0),MATCH($E36,'Data_SA'!$1:$1,0))-1,""))</f>
        <v/>
      </c>
      <c r="X36" s="7">
        <f>IFERROR(INDEX('Data_NSA'!$A:$OK,MATCH(U$2,'Data_NSA'!$A:$A,0),MATCH($D36,'Data_NSA'!$1:$1,0))/INDEX('Data_NSA'!$A:$OK,MATCH(EDATE(U$2,-12),'Data_NSA'!$A:$A,0),MATCH($D36,'Data_NSA'!$1:$1,0))-1,"")</f>
        <v/>
      </c>
      <c r="Y36" s="10">
        <f>IFERROR(INDEX('Weights'!$G:$I,MATCH($A36,'Weights'!$A:$A,0),MATCH(U$2,'Weights'!$G$1:$I$1,0)),"")</f>
        <v/>
      </c>
      <c r="Z36" s="10">
        <f>IF($E36="","",IFERROR(100*(INDEX('Weights'!$D:$D,MATCH($A36,'Weights'!$A:$A,0))*(INDEX('Data_NSA'!$A:$OK,MATCH(EDATE(U$2,-1),'Data_NSA'!$A:$A,0),MATCH($D36,'Data_NSA'!$1:$1,0))/INDEX('Data_NSA'!$A:$OK,MATCH(INDEX('Weights'!$E:$E,MATCH($A36,'Weights'!$A:$A,0)),'Data_NSA'!$A:$A,0),MATCH($D36,'Data_NSA'!$1:$1,0))))/(100*(INDEX('Data_NSA'!$A:$OK,MATCH(EDATE(U$2,-1),'Data_NSA'!$A:$A,0),MATCH("CUUR0000SA0",'Data_NSA'!$1:$1,0))/INDEX('Data_NSA'!$A:$OK,MATCH(INDEX('Weights'!$E:$E,MATCH($A36,'Weights'!$A:$A,0)),'Data_NSA'!$A:$A,0),MATCH("CUUR0000SA0",'Data_NSA'!$1:$1,0))))*(INDEX('Data_SA'!$A:$LO,MATCH(U$2,'Data_SA'!$A:$A,0),MATCH($E36,'Data_SA'!$1:$1,0))/INDEX('Data_SA'!$A:$LO,MATCH(EDATE(U$2,-1),'Data_SA'!$A:$A,0),MATCH($E36,'Data_SA'!$1:$1,0))-1),""))</f>
        <v/>
      </c>
    </row>
    <row r="37">
      <c r="A37" s="3" t="inlineStr">
        <is>
          <t>SS04011</t>
        </is>
      </c>
      <c r="B37" s="3" t="inlineStr">
        <is>
          <t>Bacon and related products</t>
        </is>
      </c>
      <c r="C37" s="3" t="inlineStr">
        <is>
          <t>SEFD01</t>
        </is>
      </c>
      <c r="D37" s="3" t="inlineStr">
        <is>
          <t>CUUR0000SS04011</t>
        </is>
      </c>
      <c r="E37" s="3" t="inlineStr">
        <is>
          <t>CUSR0000SS04011</t>
        </is>
      </c>
      <c r="F37" s="3" t="inlineStr">
        <is>
          <t>GM</t>
        </is>
      </c>
      <c r="G37" s="3" t="inlineStr">
        <is>
          <t>monthly in New York/Los Angeles/Chicago; often bimonthly elsewhere</t>
        </is>
      </c>
      <c r="H37" s="10">
        <f>IFERROR(INDEX(Weights!$D:$D,MATCH($A37,Weights!$A:$A,0)),"")</f>
        <v/>
      </c>
      <c r="I37" s="10">
        <f>IFERROR(INDEX('Data_NSA'!$A:$OK,MATCH(I$2,'Data_NSA'!$A:$A,0),MATCH($D37,'Data_NSA'!$1:$1,0)),"")</f>
        <v/>
      </c>
      <c r="J37" s="10">
        <f>IF($E37="","",IFERROR(INDEX('Data_SA'!$A:$LO,MATCH(I$2,'Data_SA'!$A:$A,0),MATCH($E37,'Data_SA'!$1:$1,0)),""))</f>
        <v/>
      </c>
      <c r="K37" s="7">
        <f>IF($E37="","",IFERROR(INDEX('Data_SA'!$A:$LO,MATCH(I$2,'Data_SA'!$A:$A,0),MATCH($E37,'Data_SA'!$1:$1,0))/INDEX('Data_SA'!$A:$LO,MATCH(EDATE(I$2,-1),'Data_SA'!$A:$A,0),MATCH($E37,'Data_SA'!$1:$1,0))-1,""))</f>
        <v/>
      </c>
      <c r="L37" s="7">
        <f>IFERROR(INDEX('Data_NSA'!$A:$OK,MATCH(I$2,'Data_NSA'!$A:$A,0),MATCH($D37,'Data_NSA'!$1:$1,0))/INDEX('Data_NSA'!$A:$OK,MATCH(EDATE(I$2,-12),'Data_NSA'!$A:$A,0),MATCH($D37,'Data_NSA'!$1:$1,0))-1,"")</f>
        <v/>
      </c>
      <c r="M37" s="10">
        <f>IFERROR(INDEX('Weights'!$G:$I,MATCH($A37,'Weights'!$A:$A,0),MATCH(I$2,'Weights'!$G$1:$I$1,0)),"")</f>
        <v/>
      </c>
      <c r="N37" s="10">
        <f>IF($E37="","",IFERROR(100*(INDEX('Weights'!$D:$D,MATCH($A37,'Weights'!$A:$A,0))*(INDEX('Data_NSA'!$A:$OK,MATCH(EDATE(I$2,-1),'Data_NSA'!$A:$A,0),MATCH($D37,'Data_NSA'!$1:$1,0))/INDEX('Data_NSA'!$A:$OK,MATCH(INDEX('Weights'!$E:$E,MATCH($A37,'Weights'!$A:$A,0)),'Data_NSA'!$A:$A,0),MATCH($D37,'Data_NSA'!$1:$1,0))))/(100*(INDEX('Data_NSA'!$A:$OK,MATCH(EDATE(I$2,-1),'Data_NSA'!$A:$A,0),MATCH("CUUR0000SA0",'Data_NSA'!$1:$1,0))/INDEX('Data_NSA'!$A:$OK,MATCH(INDEX('Weights'!$E:$E,MATCH($A37,'Weights'!$A:$A,0)),'Data_NSA'!$A:$A,0),MATCH("CUUR0000SA0",'Data_NSA'!$1:$1,0))))*(INDEX('Data_SA'!$A:$LO,MATCH(I$2,'Data_SA'!$A:$A,0),MATCH($E37,'Data_SA'!$1:$1,0))/INDEX('Data_SA'!$A:$LO,MATCH(EDATE(I$2,-1),'Data_SA'!$A:$A,0),MATCH($E37,'Data_SA'!$1:$1,0))-1),""))</f>
        <v/>
      </c>
      <c r="O37" s="10">
        <f>IFERROR(INDEX('Data_NSA'!$A:$OK,MATCH(O$2,'Data_NSA'!$A:$A,0),MATCH($D37,'Data_NSA'!$1:$1,0)),"")</f>
        <v/>
      </c>
      <c r="P37" s="10">
        <f>IF($E37="","",IFERROR(INDEX('Data_SA'!$A:$LO,MATCH(O$2,'Data_SA'!$A:$A,0),MATCH($E37,'Data_SA'!$1:$1,0)),""))</f>
        <v/>
      </c>
      <c r="Q37" s="7">
        <f>IF($E37="","",IFERROR(INDEX('Data_SA'!$A:$LO,MATCH(O$2,'Data_SA'!$A:$A,0),MATCH($E37,'Data_SA'!$1:$1,0))/INDEX('Data_SA'!$A:$LO,MATCH(EDATE(O$2,-1),'Data_SA'!$A:$A,0),MATCH($E37,'Data_SA'!$1:$1,0))-1,""))</f>
        <v/>
      </c>
      <c r="R37" s="7">
        <f>IFERROR(INDEX('Data_NSA'!$A:$OK,MATCH(O$2,'Data_NSA'!$A:$A,0),MATCH($D37,'Data_NSA'!$1:$1,0))/INDEX('Data_NSA'!$A:$OK,MATCH(EDATE(O$2,-12),'Data_NSA'!$A:$A,0),MATCH($D37,'Data_NSA'!$1:$1,0))-1,"")</f>
        <v/>
      </c>
      <c r="S37" s="10">
        <f>IFERROR(INDEX('Weights'!$G:$I,MATCH($A37,'Weights'!$A:$A,0),MATCH(O$2,'Weights'!$G$1:$I$1,0)),"")</f>
        <v/>
      </c>
      <c r="T37" s="10">
        <f>IF($E37="","",IFERROR(100*(INDEX('Weights'!$D:$D,MATCH($A37,'Weights'!$A:$A,0))*(INDEX('Data_NSA'!$A:$OK,MATCH(EDATE(O$2,-1),'Data_NSA'!$A:$A,0),MATCH($D37,'Data_NSA'!$1:$1,0))/INDEX('Data_NSA'!$A:$OK,MATCH(INDEX('Weights'!$E:$E,MATCH($A37,'Weights'!$A:$A,0)),'Data_NSA'!$A:$A,0),MATCH($D37,'Data_NSA'!$1:$1,0))))/(100*(INDEX('Data_NSA'!$A:$OK,MATCH(EDATE(O$2,-1),'Data_NSA'!$A:$A,0),MATCH("CUUR0000SA0",'Data_NSA'!$1:$1,0))/INDEX('Data_NSA'!$A:$OK,MATCH(INDEX('Weights'!$E:$E,MATCH($A37,'Weights'!$A:$A,0)),'Data_NSA'!$A:$A,0),MATCH("CUUR0000SA0",'Data_NSA'!$1:$1,0))))*(INDEX('Data_SA'!$A:$LO,MATCH(O$2,'Data_SA'!$A:$A,0),MATCH($E37,'Data_SA'!$1:$1,0))/INDEX('Data_SA'!$A:$LO,MATCH(EDATE(O$2,-1),'Data_SA'!$A:$A,0),MATCH($E37,'Data_SA'!$1:$1,0))-1),""))</f>
        <v/>
      </c>
      <c r="U37" s="10">
        <f>IFERROR(INDEX('Data_NSA'!$A:$OK,MATCH(U$2,'Data_NSA'!$A:$A,0),MATCH($D37,'Data_NSA'!$1:$1,0)),"")</f>
        <v/>
      </c>
      <c r="V37" s="10">
        <f>IF($E37="","",IFERROR(INDEX('Data_SA'!$A:$LO,MATCH(U$2,'Data_SA'!$A:$A,0),MATCH($E37,'Data_SA'!$1:$1,0)),""))</f>
        <v/>
      </c>
      <c r="W37" s="7">
        <f>IF($E37="","",IFERROR(INDEX('Data_SA'!$A:$LO,MATCH(U$2,'Data_SA'!$A:$A,0),MATCH($E37,'Data_SA'!$1:$1,0))/INDEX('Data_SA'!$A:$LO,MATCH(EDATE(U$2,-1),'Data_SA'!$A:$A,0),MATCH($E37,'Data_SA'!$1:$1,0))-1,""))</f>
        <v/>
      </c>
      <c r="X37" s="7">
        <f>IFERROR(INDEX('Data_NSA'!$A:$OK,MATCH(U$2,'Data_NSA'!$A:$A,0),MATCH($D37,'Data_NSA'!$1:$1,0))/INDEX('Data_NSA'!$A:$OK,MATCH(EDATE(U$2,-12),'Data_NSA'!$A:$A,0),MATCH($D37,'Data_NSA'!$1:$1,0))-1,"")</f>
        <v/>
      </c>
      <c r="Y37" s="10">
        <f>IFERROR(INDEX('Weights'!$G:$I,MATCH($A37,'Weights'!$A:$A,0),MATCH(U$2,'Weights'!$G$1:$I$1,0)),"")</f>
        <v/>
      </c>
      <c r="Z37" s="10">
        <f>IF($E37="","",IFERROR(100*(INDEX('Weights'!$D:$D,MATCH($A37,'Weights'!$A:$A,0))*(INDEX('Data_NSA'!$A:$OK,MATCH(EDATE(U$2,-1),'Data_NSA'!$A:$A,0),MATCH($D37,'Data_NSA'!$1:$1,0))/INDEX('Data_NSA'!$A:$OK,MATCH(INDEX('Weights'!$E:$E,MATCH($A37,'Weights'!$A:$A,0)),'Data_NSA'!$A:$A,0),MATCH($D37,'Data_NSA'!$1:$1,0))))/(100*(INDEX('Data_NSA'!$A:$OK,MATCH(EDATE(U$2,-1),'Data_NSA'!$A:$A,0),MATCH("CUUR0000SA0",'Data_NSA'!$1:$1,0))/INDEX('Data_NSA'!$A:$OK,MATCH(INDEX('Weights'!$E:$E,MATCH($A37,'Weights'!$A:$A,0)),'Data_NSA'!$A:$A,0),MATCH("CUUR0000SA0",'Data_NSA'!$1:$1,0))))*(INDEX('Data_SA'!$A:$LO,MATCH(U$2,'Data_SA'!$A:$A,0),MATCH($E37,'Data_SA'!$1:$1,0))/INDEX('Data_SA'!$A:$LO,MATCH(EDATE(U$2,-1),'Data_SA'!$A:$A,0),MATCH($E37,'Data_SA'!$1:$1,0))-1),""))</f>
        <v/>
      </c>
    </row>
    <row r="38">
      <c r="A38" s="3" t="inlineStr">
        <is>
          <t>SS04012</t>
        </is>
      </c>
      <c r="B38" s="3" t="inlineStr">
        <is>
          <t>Breakfast sausage and related products</t>
        </is>
      </c>
      <c r="C38" s="3" t="inlineStr">
        <is>
          <t>SEFD01</t>
        </is>
      </c>
      <c r="D38" s="3" t="inlineStr">
        <is>
          <t>CUUR0000SS04012</t>
        </is>
      </c>
      <c r="E38" s="3" t="inlineStr">
        <is>
          <t>CUSR0000SS04012</t>
        </is>
      </c>
      <c r="F38" s="3" t="inlineStr">
        <is>
          <t>GM</t>
        </is>
      </c>
      <c r="G38" s="3" t="inlineStr">
        <is>
          <t>monthly in New York/Los Angeles/Chicago; often bimonthly elsewhere</t>
        </is>
      </c>
      <c r="H38" s="10">
        <f>IFERROR(INDEX(Weights!$D:$D,MATCH($A38,Weights!$A:$A,0)),"")</f>
        <v/>
      </c>
      <c r="I38" s="10">
        <f>IFERROR(INDEX('Data_NSA'!$A:$OK,MATCH(I$2,'Data_NSA'!$A:$A,0),MATCH($D38,'Data_NSA'!$1:$1,0)),"")</f>
        <v/>
      </c>
      <c r="J38" s="10">
        <f>IF($E38="","",IFERROR(INDEX('Data_SA'!$A:$LO,MATCH(I$2,'Data_SA'!$A:$A,0),MATCH($E38,'Data_SA'!$1:$1,0)),""))</f>
        <v/>
      </c>
      <c r="K38" s="7">
        <f>IF($E38="","",IFERROR(INDEX('Data_SA'!$A:$LO,MATCH(I$2,'Data_SA'!$A:$A,0),MATCH($E38,'Data_SA'!$1:$1,0))/INDEX('Data_SA'!$A:$LO,MATCH(EDATE(I$2,-1),'Data_SA'!$A:$A,0),MATCH($E38,'Data_SA'!$1:$1,0))-1,""))</f>
        <v/>
      </c>
      <c r="L38" s="7">
        <f>IFERROR(INDEX('Data_NSA'!$A:$OK,MATCH(I$2,'Data_NSA'!$A:$A,0),MATCH($D38,'Data_NSA'!$1:$1,0))/INDEX('Data_NSA'!$A:$OK,MATCH(EDATE(I$2,-12),'Data_NSA'!$A:$A,0),MATCH($D38,'Data_NSA'!$1:$1,0))-1,"")</f>
        <v/>
      </c>
      <c r="M38" s="10">
        <f>IFERROR(INDEX('Weights'!$G:$I,MATCH($A38,'Weights'!$A:$A,0),MATCH(I$2,'Weights'!$G$1:$I$1,0)),"")</f>
        <v/>
      </c>
      <c r="N38" s="10">
        <f>IF($E38="","",IFERROR(100*(INDEX('Weights'!$D:$D,MATCH($A38,'Weights'!$A:$A,0))*(INDEX('Data_NSA'!$A:$OK,MATCH(EDATE(I$2,-1),'Data_NSA'!$A:$A,0),MATCH($D38,'Data_NSA'!$1:$1,0))/INDEX('Data_NSA'!$A:$OK,MATCH(INDEX('Weights'!$E:$E,MATCH($A38,'Weights'!$A:$A,0)),'Data_NSA'!$A:$A,0),MATCH($D38,'Data_NSA'!$1:$1,0))))/(100*(INDEX('Data_NSA'!$A:$OK,MATCH(EDATE(I$2,-1),'Data_NSA'!$A:$A,0),MATCH("CUUR0000SA0",'Data_NSA'!$1:$1,0))/INDEX('Data_NSA'!$A:$OK,MATCH(INDEX('Weights'!$E:$E,MATCH($A38,'Weights'!$A:$A,0)),'Data_NSA'!$A:$A,0),MATCH("CUUR0000SA0",'Data_NSA'!$1:$1,0))))*(INDEX('Data_SA'!$A:$LO,MATCH(I$2,'Data_SA'!$A:$A,0),MATCH($E38,'Data_SA'!$1:$1,0))/INDEX('Data_SA'!$A:$LO,MATCH(EDATE(I$2,-1),'Data_SA'!$A:$A,0),MATCH($E38,'Data_SA'!$1:$1,0))-1),""))</f>
        <v/>
      </c>
      <c r="O38" s="10">
        <f>IFERROR(INDEX('Data_NSA'!$A:$OK,MATCH(O$2,'Data_NSA'!$A:$A,0),MATCH($D38,'Data_NSA'!$1:$1,0)),"")</f>
        <v/>
      </c>
      <c r="P38" s="10">
        <f>IF($E38="","",IFERROR(INDEX('Data_SA'!$A:$LO,MATCH(O$2,'Data_SA'!$A:$A,0),MATCH($E38,'Data_SA'!$1:$1,0)),""))</f>
        <v/>
      </c>
      <c r="Q38" s="7">
        <f>IF($E38="","",IFERROR(INDEX('Data_SA'!$A:$LO,MATCH(O$2,'Data_SA'!$A:$A,0),MATCH($E38,'Data_SA'!$1:$1,0))/INDEX('Data_SA'!$A:$LO,MATCH(EDATE(O$2,-1),'Data_SA'!$A:$A,0),MATCH($E38,'Data_SA'!$1:$1,0))-1,""))</f>
        <v/>
      </c>
      <c r="R38" s="7">
        <f>IFERROR(INDEX('Data_NSA'!$A:$OK,MATCH(O$2,'Data_NSA'!$A:$A,0),MATCH($D38,'Data_NSA'!$1:$1,0))/INDEX('Data_NSA'!$A:$OK,MATCH(EDATE(O$2,-12),'Data_NSA'!$A:$A,0),MATCH($D38,'Data_NSA'!$1:$1,0))-1,"")</f>
        <v/>
      </c>
      <c r="S38" s="10">
        <f>IFERROR(INDEX('Weights'!$G:$I,MATCH($A38,'Weights'!$A:$A,0),MATCH(O$2,'Weights'!$G$1:$I$1,0)),"")</f>
        <v/>
      </c>
      <c r="T38" s="10">
        <f>IF($E38="","",IFERROR(100*(INDEX('Weights'!$D:$D,MATCH($A38,'Weights'!$A:$A,0))*(INDEX('Data_NSA'!$A:$OK,MATCH(EDATE(O$2,-1),'Data_NSA'!$A:$A,0),MATCH($D38,'Data_NSA'!$1:$1,0))/INDEX('Data_NSA'!$A:$OK,MATCH(INDEX('Weights'!$E:$E,MATCH($A38,'Weights'!$A:$A,0)),'Data_NSA'!$A:$A,0),MATCH($D38,'Data_NSA'!$1:$1,0))))/(100*(INDEX('Data_NSA'!$A:$OK,MATCH(EDATE(O$2,-1),'Data_NSA'!$A:$A,0),MATCH("CUUR0000SA0",'Data_NSA'!$1:$1,0))/INDEX('Data_NSA'!$A:$OK,MATCH(INDEX('Weights'!$E:$E,MATCH($A38,'Weights'!$A:$A,0)),'Data_NSA'!$A:$A,0),MATCH("CUUR0000SA0",'Data_NSA'!$1:$1,0))))*(INDEX('Data_SA'!$A:$LO,MATCH(O$2,'Data_SA'!$A:$A,0),MATCH($E38,'Data_SA'!$1:$1,0))/INDEX('Data_SA'!$A:$LO,MATCH(EDATE(O$2,-1),'Data_SA'!$A:$A,0),MATCH($E38,'Data_SA'!$1:$1,0))-1),""))</f>
        <v/>
      </c>
      <c r="U38" s="10">
        <f>IFERROR(INDEX('Data_NSA'!$A:$OK,MATCH(U$2,'Data_NSA'!$A:$A,0),MATCH($D38,'Data_NSA'!$1:$1,0)),"")</f>
        <v/>
      </c>
      <c r="V38" s="10">
        <f>IF($E38="","",IFERROR(INDEX('Data_SA'!$A:$LO,MATCH(U$2,'Data_SA'!$A:$A,0),MATCH($E38,'Data_SA'!$1:$1,0)),""))</f>
        <v/>
      </c>
      <c r="W38" s="7">
        <f>IF($E38="","",IFERROR(INDEX('Data_SA'!$A:$LO,MATCH(U$2,'Data_SA'!$A:$A,0),MATCH($E38,'Data_SA'!$1:$1,0))/INDEX('Data_SA'!$A:$LO,MATCH(EDATE(U$2,-1),'Data_SA'!$A:$A,0),MATCH($E38,'Data_SA'!$1:$1,0))-1,""))</f>
        <v/>
      </c>
      <c r="X38" s="7">
        <f>IFERROR(INDEX('Data_NSA'!$A:$OK,MATCH(U$2,'Data_NSA'!$A:$A,0),MATCH($D38,'Data_NSA'!$1:$1,0))/INDEX('Data_NSA'!$A:$OK,MATCH(EDATE(U$2,-12),'Data_NSA'!$A:$A,0),MATCH($D38,'Data_NSA'!$1:$1,0))-1,"")</f>
        <v/>
      </c>
      <c r="Y38" s="10">
        <f>IFERROR(INDEX('Weights'!$G:$I,MATCH($A38,'Weights'!$A:$A,0),MATCH(U$2,'Weights'!$G$1:$I$1,0)),"")</f>
        <v/>
      </c>
      <c r="Z38" s="10">
        <f>IF($E38="","",IFERROR(100*(INDEX('Weights'!$D:$D,MATCH($A38,'Weights'!$A:$A,0))*(INDEX('Data_NSA'!$A:$OK,MATCH(EDATE(U$2,-1),'Data_NSA'!$A:$A,0),MATCH($D38,'Data_NSA'!$1:$1,0))/INDEX('Data_NSA'!$A:$OK,MATCH(INDEX('Weights'!$E:$E,MATCH($A38,'Weights'!$A:$A,0)),'Data_NSA'!$A:$A,0),MATCH($D38,'Data_NSA'!$1:$1,0))))/(100*(INDEX('Data_NSA'!$A:$OK,MATCH(EDATE(U$2,-1),'Data_NSA'!$A:$A,0),MATCH("CUUR0000SA0",'Data_NSA'!$1:$1,0))/INDEX('Data_NSA'!$A:$OK,MATCH(INDEX('Weights'!$E:$E,MATCH($A38,'Weights'!$A:$A,0)),'Data_NSA'!$A:$A,0),MATCH("CUUR0000SA0",'Data_NSA'!$1:$1,0))))*(INDEX('Data_SA'!$A:$LO,MATCH(U$2,'Data_SA'!$A:$A,0),MATCH($E38,'Data_SA'!$1:$1,0))/INDEX('Data_SA'!$A:$LO,MATCH(EDATE(U$2,-1),'Data_SA'!$A:$A,0),MATCH($E38,'Data_SA'!$1:$1,0))-1),""))</f>
        <v/>
      </c>
    </row>
    <row r="39">
      <c r="A39" s="3" t="inlineStr">
        <is>
          <t>SEFD02</t>
        </is>
      </c>
      <c r="B39" s="3" t="inlineStr">
        <is>
          <t>Ham</t>
        </is>
      </c>
      <c r="C39" s="3" t="inlineStr">
        <is>
          <t>SEFD</t>
        </is>
      </c>
      <c r="D39" s="3" t="inlineStr">
        <is>
          <t>CUUR0000SEFD02</t>
        </is>
      </c>
      <c r="E39" s="3" t="inlineStr">
        <is>
          <t>CUSR0000SEFD02</t>
        </is>
      </c>
      <c r="F39" s="3" t="inlineStr">
        <is>
          <t>aggregate</t>
        </is>
      </c>
      <c r="G39" s="3" t="inlineStr">
        <is>
          <t>aggregate</t>
        </is>
      </c>
      <c r="H39" s="10">
        <f>IFERROR(INDEX(Weights!$D:$D,MATCH($A39,Weights!$A:$A,0)),"")</f>
        <v/>
      </c>
      <c r="I39" s="10">
        <f>IFERROR(INDEX('Data_NSA'!$A:$OK,MATCH(I$2,'Data_NSA'!$A:$A,0),MATCH($D39,'Data_NSA'!$1:$1,0)),"")</f>
        <v/>
      </c>
      <c r="J39" s="10">
        <f>IF($E39="","",IFERROR(INDEX('Data_SA'!$A:$LO,MATCH(I$2,'Data_SA'!$A:$A,0),MATCH($E39,'Data_SA'!$1:$1,0)),""))</f>
        <v/>
      </c>
      <c r="K39" s="7">
        <f>IF($E39="","",IFERROR(INDEX('Data_SA'!$A:$LO,MATCH(I$2,'Data_SA'!$A:$A,0),MATCH($E39,'Data_SA'!$1:$1,0))/INDEX('Data_SA'!$A:$LO,MATCH(EDATE(I$2,-1),'Data_SA'!$A:$A,0),MATCH($E39,'Data_SA'!$1:$1,0))-1,""))</f>
        <v/>
      </c>
      <c r="L39" s="7">
        <f>IFERROR(INDEX('Data_NSA'!$A:$OK,MATCH(I$2,'Data_NSA'!$A:$A,0),MATCH($D39,'Data_NSA'!$1:$1,0))/INDEX('Data_NSA'!$A:$OK,MATCH(EDATE(I$2,-12),'Data_NSA'!$A:$A,0),MATCH($D39,'Data_NSA'!$1:$1,0))-1,"")</f>
        <v/>
      </c>
      <c r="M39" s="10">
        <f>IFERROR(INDEX('Weights'!$G:$I,MATCH($A39,'Weights'!$A:$A,0),MATCH(I$2,'Weights'!$G$1:$I$1,0)),"")</f>
        <v/>
      </c>
      <c r="N39" s="10">
        <f>IF($E39="","",IFERROR(100*(INDEX('Weights'!$D:$D,MATCH($A39,'Weights'!$A:$A,0))*(INDEX('Data_NSA'!$A:$OK,MATCH(EDATE(I$2,-1),'Data_NSA'!$A:$A,0),MATCH($D39,'Data_NSA'!$1:$1,0))/INDEX('Data_NSA'!$A:$OK,MATCH(INDEX('Weights'!$E:$E,MATCH($A39,'Weights'!$A:$A,0)),'Data_NSA'!$A:$A,0),MATCH($D39,'Data_NSA'!$1:$1,0))))/(100*(INDEX('Data_NSA'!$A:$OK,MATCH(EDATE(I$2,-1),'Data_NSA'!$A:$A,0),MATCH("CUUR0000SA0",'Data_NSA'!$1:$1,0))/INDEX('Data_NSA'!$A:$OK,MATCH(INDEX('Weights'!$E:$E,MATCH($A39,'Weights'!$A:$A,0)),'Data_NSA'!$A:$A,0),MATCH("CUUR0000SA0",'Data_NSA'!$1:$1,0))))*(INDEX('Data_SA'!$A:$LO,MATCH(I$2,'Data_SA'!$A:$A,0),MATCH($E39,'Data_SA'!$1:$1,0))/INDEX('Data_SA'!$A:$LO,MATCH(EDATE(I$2,-1),'Data_SA'!$A:$A,0),MATCH($E39,'Data_SA'!$1:$1,0))-1),""))</f>
        <v/>
      </c>
      <c r="O39" s="10">
        <f>IFERROR(INDEX('Data_NSA'!$A:$OK,MATCH(O$2,'Data_NSA'!$A:$A,0),MATCH($D39,'Data_NSA'!$1:$1,0)),"")</f>
        <v/>
      </c>
      <c r="P39" s="10">
        <f>IF($E39="","",IFERROR(INDEX('Data_SA'!$A:$LO,MATCH(O$2,'Data_SA'!$A:$A,0),MATCH($E39,'Data_SA'!$1:$1,0)),""))</f>
        <v/>
      </c>
      <c r="Q39" s="7">
        <f>IF($E39="","",IFERROR(INDEX('Data_SA'!$A:$LO,MATCH(O$2,'Data_SA'!$A:$A,0),MATCH($E39,'Data_SA'!$1:$1,0))/INDEX('Data_SA'!$A:$LO,MATCH(EDATE(O$2,-1),'Data_SA'!$A:$A,0),MATCH($E39,'Data_SA'!$1:$1,0))-1,""))</f>
        <v/>
      </c>
      <c r="R39" s="7">
        <f>IFERROR(INDEX('Data_NSA'!$A:$OK,MATCH(O$2,'Data_NSA'!$A:$A,0),MATCH($D39,'Data_NSA'!$1:$1,0))/INDEX('Data_NSA'!$A:$OK,MATCH(EDATE(O$2,-12),'Data_NSA'!$A:$A,0),MATCH($D39,'Data_NSA'!$1:$1,0))-1,"")</f>
        <v/>
      </c>
      <c r="S39" s="10">
        <f>IFERROR(INDEX('Weights'!$G:$I,MATCH($A39,'Weights'!$A:$A,0),MATCH(O$2,'Weights'!$G$1:$I$1,0)),"")</f>
        <v/>
      </c>
      <c r="T39" s="10">
        <f>IF($E39="","",IFERROR(100*(INDEX('Weights'!$D:$D,MATCH($A39,'Weights'!$A:$A,0))*(INDEX('Data_NSA'!$A:$OK,MATCH(EDATE(O$2,-1),'Data_NSA'!$A:$A,0),MATCH($D39,'Data_NSA'!$1:$1,0))/INDEX('Data_NSA'!$A:$OK,MATCH(INDEX('Weights'!$E:$E,MATCH($A39,'Weights'!$A:$A,0)),'Data_NSA'!$A:$A,0),MATCH($D39,'Data_NSA'!$1:$1,0))))/(100*(INDEX('Data_NSA'!$A:$OK,MATCH(EDATE(O$2,-1),'Data_NSA'!$A:$A,0),MATCH("CUUR0000SA0",'Data_NSA'!$1:$1,0))/INDEX('Data_NSA'!$A:$OK,MATCH(INDEX('Weights'!$E:$E,MATCH($A39,'Weights'!$A:$A,0)),'Data_NSA'!$A:$A,0),MATCH("CUUR0000SA0",'Data_NSA'!$1:$1,0))))*(INDEX('Data_SA'!$A:$LO,MATCH(O$2,'Data_SA'!$A:$A,0),MATCH($E39,'Data_SA'!$1:$1,0))/INDEX('Data_SA'!$A:$LO,MATCH(EDATE(O$2,-1),'Data_SA'!$A:$A,0),MATCH($E39,'Data_SA'!$1:$1,0))-1),""))</f>
        <v/>
      </c>
      <c r="U39" s="10">
        <f>IFERROR(INDEX('Data_NSA'!$A:$OK,MATCH(U$2,'Data_NSA'!$A:$A,0),MATCH($D39,'Data_NSA'!$1:$1,0)),"")</f>
        <v/>
      </c>
      <c r="V39" s="10">
        <f>IF($E39="","",IFERROR(INDEX('Data_SA'!$A:$LO,MATCH(U$2,'Data_SA'!$A:$A,0),MATCH($E39,'Data_SA'!$1:$1,0)),""))</f>
        <v/>
      </c>
      <c r="W39" s="7">
        <f>IF($E39="","",IFERROR(INDEX('Data_SA'!$A:$LO,MATCH(U$2,'Data_SA'!$A:$A,0),MATCH($E39,'Data_SA'!$1:$1,0))/INDEX('Data_SA'!$A:$LO,MATCH(EDATE(U$2,-1),'Data_SA'!$A:$A,0),MATCH($E39,'Data_SA'!$1:$1,0))-1,""))</f>
        <v/>
      </c>
      <c r="X39" s="7">
        <f>IFERROR(INDEX('Data_NSA'!$A:$OK,MATCH(U$2,'Data_NSA'!$A:$A,0),MATCH($D39,'Data_NSA'!$1:$1,0))/INDEX('Data_NSA'!$A:$OK,MATCH(EDATE(U$2,-12),'Data_NSA'!$A:$A,0),MATCH($D39,'Data_NSA'!$1:$1,0))-1,"")</f>
        <v/>
      </c>
      <c r="Y39" s="10">
        <f>IFERROR(INDEX('Weights'!$G:$I,MATCH($A39,'Weights'!$A:$A,0),MATCH(U$2,'Weights'!$G$1:$I$1,0)),"")</f>
        <v/>
      </c>
      <c r="Z39" s="10">
        <f>IF($E39="","",IFERROR(100*(INDEX('Weights'!$D:$D,MATCH($A39,'Weights'!$A:$A,0))*(INDEX('Data_NSA'!$A:$OK,MATCH(EDATE(U$2,-1),'Data_NSA'!$A:$A,0),MATCH($D39,'Data_NSA'!$1:$1,0))/INDEX('Data_NSA'!$A:$OK,MATCH(INDEX('Weights'!$E:$E,MATCH($A39,'Weights'!$A:$A,0)),'Data_NSA'!$A:$A,0),MATCH($D39,'Data_NSA'!$1:$1,0))))/(100*(INDEX('Data_NSA'!$A:$OK,MATCH(EDATE(U$2,-1),'Data_NSA'!$A:$A,0),MATCH("CUUR0000SA0",'Data_NSA'!$1:$1,0))/INDEX('Data_NSA'!$A:$OK,MATCH(INDEX('Weights'!$E:$E,MATCH($A39,'Weights'!$A:$A,0)),'Data_NSA'!$A:$A,0),MATCH("CUUR0000SA0",'Data_NSA'!$1:$1,0))))*(INDEX('Data_SA'!$A:$LO,MATCH(U$2,'Data_SA'!$A:$A,0),MATCH($E39,'Data_SA'!$1:$1,0))/INDEX('Data_SA'!$A:$LO,MATCH(EDATE(U$2,-1),'Data_SA'!$A:$A,0),MATCH($E39,'Data_SA'!$1:$1,0))-1),""))</f>
        <v/>
      </c>
    </row>
    <row r="40">
      <c r="A40" s="3" t="inlineStr">
        <is>
          <t>SS04031</t>
        </is>
      </c>
      <c r="B40" s="3" t="inlineStr">
        <is>
          <t>Ham, excluding canned</t>
        </is>
      </c>
      <c r="C40" s="3" t="inlineStr">
        <is>
          <t>SEFD02</t>
        </is>
      </c>
      <c r="D40" s="3" t="inlineStr">
        <is>
          <t>CUUR0000SS04031</t>
        </is>
      </c>
      <c r="E40" s="3" t="inlineStr">
        <is>
          <t>CUSR0000SS04031</t>
        </is>
      </c>
      <c r="F40" s="3" t="inlineStr">
        <is>
          <t>GM</t>
        </is>
      </c>
      <c r="G40" s="3" t="inlineStr">
        <is>
          <t>monthly in New York/Los Angeles/Chicago; often bimonthly elsewhere</t>
        </is>
      </c>
      <c r="H40" s="10">
        <f>IFERROR(INDEX(Weights!$D:$D,MATCH($A40,Weights!$A:$A,0)),"")</f>
        <v/>
      </c>
      <c r="I40" s="10">
        <f>IFERROR(INDEX('Data_NSA'!$A:$OK,MATCH(I$2,'Data_NSA'!$A:$A,0),MATCH($D40,'Data_NSA'!$1:$1,0)),"")</f>
        <v/>
      </c>
      <c r="J40" s="10">
        <f>IF($E40="","",IFERROR(INDEX('Data_SA'!$A:$LO,MATCH(I$2,'Data_SA'!$A:$A,0),MATCH($E40,'Data_SA'!$1:$1,0)),""))</f>
        <v/>
      </c>
      <c r="K40" s="7">
        <f>IF($E40="","",IFERROR(INDEX('Data_SA'!$A:$LO,MATCH(I$2,'Data_SA'!$A:$A,0),MATCH($E40,'Data_SA'!$1:$1,0))/INDEX('Data_SA'!$A:$LO,MATCH(EDATE(I$2,-1),'Data_SA'!$A:$A,0),MATCH($E40,'Data_SA'!$1:$1,0))-1,""))</f>
        <v/>
      </c>
      <c r="L40" s="7">
        <f>IFERROR(INDEX('Data_NSA'!$A:$OK,MATCH(I$2,'Data_NSA'!$A:$A,0),MATCH($D40,'Data_NSA'!$1:$1,0))/INDEX('Data_NSA'!$A:$OK,MATCH(EDATE(I$2,-12),'Data_NSA'!$A:$A,0),MATCH($D40,'Data_NSA'!$1:$1,0))-1,"")</f>
        <v/>
      </c>
      <c r="M40" s="10">
        <f>IFERROR(INDEX('Weights'!$G:$I,MATCH($A40,'Weights'!$A:$A,0),MATCH(I$2,'Weights'!$G$1:$I$1,0)),"")</f>
        <v/>
      </c>
      <c r="N40" s="10">
        <f>IF($E40="","",IFERROR(100*(INDEX('Weights'!$D:$D,MATCH($A40,'Weights'!$A:$A,0))*(INDEX('Data_NSA'!$A:$OK,MATCH(EDATE(I$2,-1),'Data_NSA'!$A:$A,0),MATCH($D40,'Data_NSA'!$1:$1,0))/INDEX('Data_NSA'!$A:$OK,MATCH(INDEX('Weights'!$E:$E,MATCH($A40,'Weights'!$A:$A,0)),'Data_NSA'!$A:$A,0),MATCH($D40,'Data_NSA'!$1:$1,0))))/(100*(INDEX('Data_NSA'!$A:$OK,MATCH(EDATE(I$2,-1),'Data_NSA'!$A:$A,0),MATCH("CUUR0000SA0",'Data_NSA'!$1:$1,0))/INDEX('Data_NSA'!$A:$OK,MATCH(INDEX('Weights'!$E:$E,MATCH($A40,'Weights'!$A:$A,0)),'Data_NSA'!$A:$A,0),MATCH("CUUR0000SA0",'Data_NSA'!$1:$1,0))))*(INDEX('Data_SA'!$A:$LO,MATCH(I$2,'Data_SA'!$A:$A,0),MATCH($E40,'Data_SA'!$1:$1,0))/INDEX('Data_SA'!$A:$LO,MATCH(EDATE(I$2,-1),'Data_SA'!$A:$A,0),MATCH($E40,'Data_SA'!$1:$1,0))-1),""))</f>
        <v/>
      </c>
      <c r="O40" s="10">
        <f>IFERROR(INDEX('Data_NSA'!$A:$OK,MATCH(O$2,'Data_NSA'!$A:$A,0),MATCH($D40,'Data_NSA'!$1:$1,0)),"")</f>
        <v/>
      </c>
      <c r="P40" s="10">
        <f>IF($E40="","",IFERROR(INDEX('Data_SA'!$A:$LO,MATCH(O$2,'Data_SA'!$A:$A,0),MATCH($E40,'Data_SA'!$1:$1,0)),""))</f>
        <v/>
      </c>
      <c r="Q40" s="7">
        <f>IF($E40="","",IFERROR(INDEX('Data_SA'!$A:$LO,MATCH(O$2,'Data_SA'!$A:$A,0),MATCH($E40,'Data_SA'!$1:$1,0))/INDEX('Data_SA'!$A:$LO,MATCH(EDATE(O$2,-1),'Data_SA'!$A:$A,0),MATCH($E40,'Data_SA'!$1:$1,0))-1,""))</f>
        <v/>
      </c>
      <c r="R40" s="7">
        <f>IFERROR(INDEX('Data_NSA'!$A:$OK,MATCH(O$2,'Data_NSA'!$A:$A,0),MATCH($D40,'Data_NSA'!$1:$1,0))/INDEX('Data_NSA'!$A:$OK,MATCH(EDATE(O$2,-12),'Data_NSA'!$A:$A,0),MATCH($D40,'Data_NSA'!$1:$1,0))-1,"")</f>
        <v/>
      </c>
      <c r="S40" s="10">
        <f>IFERROR(INDEX('Weights'!$G:$I,MATCH($A40,'Weights'!$A:$A,0),MATCH(O$2,'Weights'!$G$1:$I$1,0)),"")</f>
        <v/>
      </c>
      <c r="T40" s="10">
        <f>IF($E40="","",IFERROR(100*(INDEX('Weights'!$D:$D,MATCH($A40,'Weights'!$A:$A,0))*(INDEX('Data_NSA'!$A:$OK,MATCH(EDATE(O$2,-1),'Data_NSA'!$A:$A,0),MATCH($D40,'Data_NSA'!$1:$1,0))/INDEX('Data_NSA'!$A:$OK,MATCH(INDEX('Weights'!$E:$E,MATCH($A40,'Weights'!$A:$A,0)),'Data_NSA'!$A:$A,0),MATCH($D40,'Data_NSA'!$1:$1,0))))/(100*(INDEX('Data_NSA'!$A:$OK,MATCH(EDATE(O$2,-1),'Data_NSA'!$A:$A,0),MATCH("CUUR0000SA0",'Data_NSA'!$1:$1,0))/INDEX('Data_NSA'!$A:$OK,MATCH(INDEX('Weights'!$E:$E,MATCH($A40,'Weights'!$A:$A,0)),'Data_NSA'!$A:$A,0),MATCH("CUUR0000SA0",'Data_NSA'!$1:$1,0))))*(INDEX('Data_SA'!$A:$LO,MATCH(O$2,'Data_SA'!$A:$A,0),MATCH($E40,'Data_SA'!$1:$1,0))/INDEX('Data_SA'!$A:$LO,MATCH(EDATE(O$2,-1),'Data_SA'!$A:$A,0),MATCH($E40,'Data_SA'!$1:$1,0))-1),""))</f>
        <v/>
      </c>
      <c r="U40" s="10">
        <f>IFERROR(INDEX('Data_NSA'!$A:$OK,MATCH(U$2,'Data_NSA'!$A:$A,0),MATCH($D40,'Data_NSA'!$1:$1,0)),"")</f>
        <v/>
      </c>
      <c r="V40" s="10">
        <f>IF($E40="","",IFERROR(INDEX('Data_SA'!$A:$LO,MATCH(U$2,'Data_SA'!$A:$A,0),MATCH($E40,'Data_SA'!$1:$1,0)),""))</f>
        <v/>
      </c>
      <c r="W40" s="7">
        <f>IF($E40="","",IFERROR(INDEX('Data_SA'!$A:$LO,MATCH(U$2,'Data_SA'!$A:$A,0),MATCH($E40,'Data_SA'!$1:$1,0))/INDEX('Data_SA'!$A:$LO,MATCH(EDATE(U$2,-1),'Data_SA'!$A:$A,0),MATCH($E40,'Data_SA'!$1:$1,0))-1,""))</f>
        <v/>
      </c>
      <c r="X40" s="7">
        <f>IFERROR(INDEX('Data_NSA'!$A:$OK,MATCH(U$2,'Data_NSA'!$A:$A,0),MATCH($D40,'Data_NSA'!$1:$1,0))/INDEX('Data_NSA'!$A:$OK,MATCH(EDATE(U$2,-12),'Data_NSA'!$A:$A,0),MATCH($D40,'Data_NSA'!$1:$1,0))-1,"")</f>
        <v/>
      </c>
      <c r="Y40" s="10">
        <f>IFERROR(INDEX('Weights'!$G:$I,MATCH($A40,'Weights'!$A:$A,0),MATCH(U$2,'Weights'!$G$1:$I$1,0)),"")</f>
        <v/>
      </c>
      <c r="Z40" s="10">
        <f>IF($E40="","",IFERROR(100*(INDEX('Weights'!$D:$D,MATCH($A40,'Weights'!$A:$A,0))*(INDEX('Data_NSA'!$A:$OK,MATCH(EDATE(U$2,-1),'Data_NSA'!$A:$A,0),MATCH($D40,'Data_NSA'!$1:$1,0))/INDEX('Data_NSA'!$A:$OK,MATCH(INDEX('Weights'!$E:$E,MATCH($A40,'Weights'!$A:$A,0)),'Data_NSA'!$A:$A,0),MATCH($D40,'Data_NSA'!$1:$1,0))))/(100*(INDEX('Data_NSA'!$A:$OK,MATCH(EDATE(U$2,-1),'Data_NSA'!$A:$A,0),MATCH("CUUR0000SA0",'Data_NSA'!$1:$1,0))/INDEX('Data_NSA'!$A:$OK,MATCH(INDEX('Weights'!$E:$E,MATCH($A40,'Weights'!$A:$A,0)),'Data_NSA'!$A:$A,0),MATCH("CUUR0000SA0",'Data_NSA'!$1:$1,0))))*(INDEX('Data_SA'!$A:$LO,MATCH(U$2,'Data_SA'!$A:$A,0),MATCH($E40,'Data_SA'!$1:$1,0))/INDEX('Data_SA'!$A:$LO,MATCH(EDATE(U$2,-1),'Data_SA'!$A:$A,0),MATCH($E40,'Data_SA'!$1:$1,0))-1),""))</f>
        <v/>
      </c>
    </row>
    <row r="41">
      <c r="A41" s="3" t="inlineStr">
        <is>
          <t>SEFD03</t>
        </is>
      </c>
      <c r="B41" s="3" t="inlineStr">
        <is>
          <t>Pork chops</t>
        </is>
      </c>
      <c r="C41" s="3" t="inlineStr">
        <is>
          <t>SEFD</t>
        </is>
      </c>
      <c r="D41" s="3" t="inlineStr">
        <is>
          <t>CUUR0000SEFD03</t>
        </is>
      </c>
      <c r="E41" s="3" t="inlineStr">
        <is>
          <t>CUSR0000SEFD03</t>
        </is>
      </c>
      <c r="F41" s="3" t="inlineStr">
        <is>
          <t>GM</t>
        </is>
      </c>
      <c r="G41" s="3" t="inlineStr">
        <is>
          <t>monthly food collection where sampled</t>
        </is>
      </c>
      <c r="H41" s="10">
        <f>IFERROR(INDEX(Weights!$D:$D,MATCH($A41,Weights!$A:$A,0)),"")</f>
        <v/>
      </c>
      <c r="I41" s="10">
        <f>IFERROR(INDEX('Data_NSA'!$A:$OK,MATCH(I$2,'Data_NSA'!$A:$A,0),MATCH($D41,'Data_NSA'!$1:$1,0)),"")</f>
        <v/>
      </c>
      <c r="J41" s="10">
        <f>IF($E41="","",IFERROR(INDEX('Data_SA'!$A:$LO,MATCH(I$2,'Data_SA'!$A:$A,0),MATCH($E41,'Data_SA'!$1:$1,0)),""))</f>
        <v/>
      </c>
      <c r="K41" s="7">
        <f>IF($E41="","",IFERROR(INDEX('Data_SA'!$A:$LO,MATCH(I$2,'Data_SA'!$A:$A,0),MATCH($E41,'Data_SA'!$1:$1,0))/INDEX('Data_SA'!$A:$LO,MATCH(EDATE(I$2,-1),'Data_SA'!$A:$A,0),MATCH($E41,'Data_SA'!$1:$1,0))-1,""))</f>
        <v/>
      </c>
      <c r="L41" s="7">
        <f>IFERROR(INDEX('Data_NSA'!$A:$OK,MATCH(I$2,'Data_NSA'!$A:$A,0),MATCH($D41,'Data_NSA'!$1:$1,0))/INDEX('Data_NSA'!$A:$OK,MATCH(EDATE(I$2,-12),'Data_NSA'!$A:$A,0),MATCH($D41,'Data_NSA'!$1:$1,0))-1,"")</f>
        <v/>
      </c>
      <c r="M41" s="10">
        <f>IFERROR(INDEX('Weights'!$G:$I,MATCH($A41,'Weights'!$A:$A,0),MATCH(I$2,'Weights'!$G$1:$I$1,0)),"")</f>
        <v/>
      </c>
      <c r="N41" s="10">
        <f>IF($E41="","",IFERROR(100*(INDEX('Weights'!$D:$D,MATCH($A41,'Weights'!$A:$A,0))*(INDEX('Data_NSA'!$A:$OK,MATCH(EDATE(I$2,-1),'Data_NSA'!$A:$A,0),MATCH($D41,'Data_NSA'!$1:$1,0))/INDEX('Data_NSA'!$A:$OK,MATCH(INDEX('Weights'!$E:$E,MATCH($A41,'Weights'!$A:$A,0)),'Data_NSA'!$A:$A,0),MATCH($D41,'Data_NSA'!$1:$1,0))))/(100*(INDEX('Data_NSA'!$A:$OK,MATCH(EDATE(I$2,-1),'Data_NSA'!$A:$A,0),MATCH("CUUR0000SA0",'Data_NSA'!$1:$1,0))/INDEX('Data_NSA'!$A:$OK,MATCH(INDEX('Weights'!$E:$E,MATCH($A41,'Weights'!$A:$A,0)),'Data_NSA'!$A:$A,0),MATCH("CUUR0000SA0",'Data_NSA'!$1:$1,0))))*(INDEX('Data_SA'!$A:$LO,MATCH(I$2,'Data_SA'!$A:$A,0),MATCH($E41,'Data_SA'!$1:$1,0))/INDEX('Data_SA'!$A:$LO,MATCH(EDATE(I$2,-1),'Data_SA'!$A:$A,0),MATCH($E41,'Data_SA'!$1:$1,0))-1),""))</f>
        <v/>
      </c>
      <c r="O41" s="10">
        <f>IFERROR(INDEX('Data_NSA'!$A:$OK,MATCH(O$2,'Data_NSA'!$A:$A,0),MATCH($D41,'Data_NSA'!$1:$1,0)),"")</f>
        <v/>
      </c>
      <c r="P41" s="10">
        <f>IF($E41="","",IFERROR(INDEX('Data_SA'!$A:$LO,MATCH(O$2,'Data_SA'!$A:$A,0),MATCH($E41,'Data_SA'!$1:$1,0)),""))</f>
        <v/>
      </c>
      <c r="Q41" s="7">
        <f>IF($E41="","",IFERROR(INDEX('Data_SA'!$A:$LO,MATCH(O$2,'Data_SA'!$A:$A,0),MATCH($E41,'Data_SA'!$1:$1,0))/INDEX('Data_SA'!$A:$LO,MATCH(EDATE(O$2,-1),'Data_SA'!$A:$A,0),MATCH($E41,'Data_SA'!$1:$1,0))-1,""))</f>
        <v/>
      </c>
      <c r="R41" s="7">
        <f>IFERROR(INDEX('Data_NSA'!$A:$OK,MATCH(O$2,'Data_NSA'!$A:$A,0),MATCH($D41,'Data_NSA'!$1:$1,0))/INDEX('Data_NSA'!$A:$OK,MATCH(EDATE(O$2,-12),'Data_NSA'!$A:$A,0),MATCH($D41,'Data_NSA'!$1:$1,0))-1,"")</f>
        <v/>
      </c>
      <c r="S41" s="10">
        <f>IFERROR(INDEX('Weights'!$G:$I,MATCH($A41,'Weights'!$A:$A,0),MATCH(O$2,'Weights'!$G$1:$I$1,0)),"")</f>
        <v/>
      </c>
      <c r="T41" s="10">
        <f>IF($E41="","",IFERROR(100*(INDEX('Weights'!$D:$D,MATCH($A41,'Weights'!$A:$A,0))*(INDEX('Data_NSA'!$A:$OK,MATCH(EDATE(O$2,-1),'Data_NSA'!$A:$A,0),MATCH($D41,'Data_NSA'!$1:$1,0))/INDEX('Data_NSA'!$A:$OK,MATCH(INDEX('Weights'!$E:$E,MATCH($A41,'Weights'!$A:$A,0)),'Data_NSA'!$A:$A,0),MATCH($D41,'Data_NSA'!$1:$1,0))))/(100*(INDEX('Data_NSA'!$A:$OK,MATCH(EDATE(O$2,-1),'Data_NSA'!$A:$A,0),MATCH("CUUR0000SA0",'Data_NSA'!$1:$1,0))/INDEX('Data_NSA'!$A:$OK,MATCH(INDEX('Weights'!$E:$E,MATCH($A41,'Weights'!$A:$A,0)),'Data_NSA'!$A:$A,0),MATCH("CUUR0000SA0",'Data_NSA'!$1:$1,0))))*(INDEX('Data_SA'!$A:$LO,MATCH(O$2,'Data_SA'!$A:$A,0),MATCH($E41,'Data_SA'!$1:$1,0))/INDEX('Data_SA'!$A:$LO,MATCH(EDATE(O$2,-1),'Data_SA'!$A:$A,0),MATCH($E41,'Data_SA'!$1:$1,0))-1),""))</f>
        <v/>
      </c>
      <c r="U41" s="10">
        <f>IFERROR(INDEX('Data_NSA'!$A:$OK,MATCH(U$2,'Data_NSA'!$A:$A,0),MATCH($D41,'Data_NSA'!$1:$1,0)),"")</f>
        <v/>
      </c>
      <c r="V41" s="10">
        <f>IF($E41="","",IFERROR(INDEX('Data_SA'!$A:$LO,MATCH(U$2,'Data_SA'!$A:$A,0),MATCH($E41,'Data_SA'!$1:$1,0)),""))</f>
        <v/>
      </c>
      <c r="W41" s="7">
        <f>IF($E41="","",IFERROR(INDEX('Data_SA'!$A:$LO,MATCH(U$2,'Data_SA'!$A:$A,0),MATCH($E41,'Data_SA'!$1:$1,0))/INDEX('Data_SA'!$A:$LO,MATCH(EDATE(U$2,-1),'Data_SA'!$A:$A,0),MATCH($E41,'Data_SA'!$1:$1,0))-1,""))</f>
        <v/>
      </c>
      <c r="X41" s="7">
        <f>IFERROR(INDEX('Data_NSA'!$A:$OK,MATCH(U$2,'Data_NSA'!$A:$A,0),MATCH($D41,'Data_NSA'!$1:$1,0))/INDEX('Data_NSA'!$A:$OK,MATCH(EDATE(U$2,-12),'Data_NSA'!$A:$A,0),MATCH($D41,'Data_NSA'!$1:$1,0))-1,"")</f>
        <v/>
      </c>
      <c r="Y41" s="10">
        <f>IFERROR(INDEX('Weights'!$G:$I,MATCH($A41,'Weights'!$A:$A,0),MATCH(U$2,'Weights'!$G$1:$I$1,0)),"")</f>
        <v/>
      </c>
      <c r="Z41" s="10">
        <f>IF($E41="","",IFERROR(100*(INDEX('Weights'!$D:$D,MATCH($A41,'Weights'!$A:$A,0))*(INDEX('Data_NSA'!$A:$OK,MATCH(EDATE(U$2,-1),'Data_NSA'!$A:$A,0),MATCH($D41,'Data_NSA'!$1:$1,0))/INDEX('Data_NSA'!$A:$OK,MATCH(INDEX('Weights'!$E:$E,MATCH($A41,'Weights'!$A:$A,0)),'Data_NSA'!$A:$A,0),MATCH($D41,'Data_NSA'!$1:$1,0))))/(100*(INDEX('Data_NSA'!$A:$OK,MATCH(EDATE(U$2,-1),'Data_NSA'!$A:$A,0),MATCH("CUUR0000SA0",'Data_NSA'!$1:$1,0))/INDEX('Data_NSA'!$A:$OK,MATCH(INDEX('Weights'!$E:$E,MATCH($A41,'Weights'!$A:$A,0)),'Data_NSA'!$A:$A,0),MATCH("CUUR0000SA0",'Data_NSA'!$1:$1,0))))*(INDEX('Data_SA'!$A:$LO,MATCH(U$2,'Data_SA'!$A:$A,0),MATCH($E41,'Data_SA'!$1:$1,0))/INDEX('Data_SA'!$A:$LO,MATCH(EDATE(U$2,-1),'Data_SA'!$A:$A,0),MATCH($E41,'Data_SA'!$1:$1,0))-1),""))</f>
        <v/>
      </c>
    </row>
    <row r="42">
      <c r="A42" s="3" t="inlineStr">
        <is>
          <t>SEFD04</t>
        </is>
      </c>
      <c r="B42" s="3" t="inlineStr">
        <is>
          <t>Other pork including roasts, steaks, and ribs</t>
        </is>
      </c>
      <c r="C42" s="3" t="inlineStr">
        <is>
          <t>SEFD</t>
        </is>
      </c>
      <c r="D42" s="3" t="inlineStr">
        <is>
          <t>CUUR0000SEFD04</t>
        </is>
      </c>
      <c r="E42" s="3" t="inlineStr">
        <is>
          <t>CUSR0000SEFD04</t>
        </is>
      </c>
      <c r="F42" s="3" t="inlineStr">
        <is>
          <t>GM</t>
        </is>
      </c>
      <c r="G42" s="3" t="inlineStr">
        <is>
          <t>monthly food collection where sampled</t>
        </is>
      </c>
      <c r="H42" s="10">
        <f>IFERROR(INDEX(Weights!$D:$D,MATCH($A42,Weights!$A:$A,0)),"")</f>
        <v/>
      </c>
      <c r="I42" s="10">
        <f>IFERROR(INDEX('Data_NSA'!$A:$OK,MATCH(I$2,'Data_NSA'!$A:$A,0),MATCH($D42,'Data_NSA'!$1:$1,0)),"")</f>
        <v/>
      </c>
      <c r="J42" s="10">
        <f>IF($E42="","",IFERROR(INDEX('Data_SA'!$A:$LO,MATCH(I$2,'Data_SA'!$A:$A,0),MATCH($E42,'Data_SA'!$1:$1,0)),""))</f>
        <v/>
      </c>
      <c r="K42" s="7">
        <f>IF($E42="","",IFERROR(INDEX('Data_SA'!$A:$LO,MATCH(I$2,'Data_SA'!$A:$A,0),MATCH($E42,'Data_SA'!$1:$1,0))/INDEX('Data_SA'!$A:$LO,MATCH(EDATE(I$2,-1),'Data_SA'!$A:$A,0),MATCH($E42,'Data_SA'!$1:$1,0))-1,""))</f>
        <v/>
      </c>
      <c r="L42" s="7">
        <f>IFERROR(INDEX('Data_NSA'!$A:$OK,MATCH(I$2,'Data_NSA'!$A:$A,0),MATCH($D42,'Data_NSA'!$1:$1,0))/INDEX('Data_NSA'!$A:$OK,MATCH(EDATE(I$2,-12),'Data_NSA'!$A:$A,0),MATCH($D42,'Data_NSA'!$1:$1,0))-1,"")</f>
        <v/>
      </c>
      <c r="M42" s="10">
        <f>IFERROR(INDEX('Weights'!$G:$I,MATCH($A42,'Weights'!$A:$A,0),MATCH(I$2,'Weights'!$G$1:$I$1,0)),"")</f>
        <v/>
      </c>
      <c r="N42" s="10">
        <f>IF($E42="","",IFERROR(100*(INDEX('Weights'!$D:$D,MATCH($A42,'Weights'!$A:$A,0))*(INDEX('Data_NSA'!$A:$OK,MATCH(EDATE(I$2,-1),'Data_NSA'!$A:$A,0),MATCH($D42,'Data_NSA'!$1:$1,0))/INDEX('Data_NSA'!$A:$OK,MATCH(INDEX('Weights'!$E:$E,MATCH($A42,'Weights'!$A:$A,0)),'Data_NSA'!$A:$A,0),MATCH($D42,'Data_NSA'!$1:$1,0))))/(100*(INDEX('Data_NSA'!$A:$OK,MATCH(EDATE(I$2,-1),'Data_NSA'!$A:$A,0),MATCH("CUUR0000SA0",'Data_NSA'!$1:$1,0))/INDEX('Data_NSA'!$A:$OK,MATCH(INDEX('Weights'!$E:$E,MATCH($A42,'Weights'!$A:$A,0)),'Data_NSA'!$A:$A,0),MATCH("CUUR0000SA0",'Data_NSA'!$1:$1,0))))*(INDEX('Data_SA'!$A:$LO,MATCH(I$2,'Data_SA'!$A:$A,0),MATCH($E42,'Data_SA'!$1:$1,0))/INDEX('Data_SA'!$A:$LO,MATCH(EDATE(I$2,-1),'Data_SA'!$A:$A,0),MATCH($E42,'Data_SA'!$1:$1,0))-1),""))</f>
        <v/>
      </c>
      <c r="O42" s="10">
        <f>IFERROR(INDEX('Data_NSA'!$A:$OK,MATCH(O$2,'Data_NSA'!$A:$A,0),MATCH($D42,'Data_NSA'!$1:$1,0)),"")</f>
        <v/>
      </c>
      <c r="P42" s="10">
        <f>IF($E42="","",IFERROR(INDEX('Data_SA'!$A:$LO,MATCH(O$2,'Data_SA'!$A:$A,0),MATCH($E42,'Data_SA'!$1:$1,0)),""))</f>
        <v/>
      </c>
      <c r="Q42" s="7">
        <f>IF($E42="","",IFERROR(INDEX('Data_SA'!$A:$LO,MATCH(O$2,'Data_SA'!$A:$A,0),MATCH($E42,'Data_SA'!$1:$1,0))/INDEX('Data_SA'!$A:$LO,MATCH(EDATE(O$2,-1),'Data_SA'!$A:$A,0),MATCH($E42,'Data_SA'!$1:$1,0))-1,""))</f>
        <v/>
      </c>
      <c r="R42" s="7">
        <f>IFERROR(INDEX('Data_NSA'!$A:$OK,MATCH(O$2,'Data_NSA'!$A:$A,0),MATCH($D42,'Data_NSA'!$1:$1,0))/INDEX('Data_NSA'!$A:$OK,MATCH(EDATE(O$2,-12),'Data_NSA'!$A:$A,0),MATCH($D42,'Data_NSA'!$1:$1,0))-1,"")</f>
        <v/>
      </c>
      <c r="S42" s="10">
        <f>IFERROR(INDEX('Weights'!$G:$I,MATCH($A42,'Weights'!$A:$A,0),MATCH(O$2,'Weights'!$G$1:$I$1,0)),"")</f>
        <v/>
      </c>
      <c r="T42" s="10">
        <f>IF($E42="","",IFERROR(100*(INDEX('Weights'!$D:$D,MATCH($A42,'Weights'!$A:$A,0))*(INDEX('Data_NSA'!$A:$OK,MATCH(EDATE(O$2,-1),'Data_NSA'!$A:$A,0),MATCH($D42,'Data_NSA'!$1:$1,0))/INDEX('Data_NSA'!$A:$OK,MATCH(INDEX('Weights'!$E:$E,MATCH($A42,'Weights'!$A:$A,0)),'Data_NSA'!$A:$A,0),MATCH($D42,'Data_NSA'!$1:$1,0))))/(100*(INDEX('Data_NSA'!$A:$OK,MATCH(EDATE(O$2,-1),'Data_NSA'!$A:$A,0),MATCH("CUUR0000SA0",'Data_NSA'!$1:$1,0))/INDEX('Data_NSA'!$A:$OK,MATCH(INDEX('Weights'!$E:$E,MATCH($A42,'Weights'!$A:$A,0)),'Data_NSA'!$A:$A,0),MATCH("CUUR0000SA0",'Data_NSA'!$1:$1,0))))*(INDEX('Data_SA'!$A:$LO,MATCH(O$2,'Data_SA'!$A:$A,0),MATCH($E42,'Data_SA'!$1:$1,0))/INDEX('Data_SA'!$A:$LO,MATCH(EDATE(O$2,-1),'Data_SA'!$A:$A,0),MATCH($E42,'Data_SA'!$1:$1,0))-1),""))</f>
        <v/>
      </c>
      <c r="U42" s="10">
        <f>IFERROR(INDEX('Data_NSA'!$A:$OK,MATCH(U$2,'Data_NSA'!$A:$A,0),MATCH($D42,'Data_NSA'!$1:$1,0)),"")</f>
        <v/>
      </c>
      <c r="V42" s="10">
        <f>IF($E42="","",IFERROR(INDEX('Data_SA'!$A:$LO,MATCH(U$2,'Data_SA'!$A:$A,0),MATCH($E42,'Data_SA'!$1:$1,0)),""))</f>
        <v/>
      </c>
      <c r="W42" s="7">
        <f>IF($E42="","",IFERROR(INDEX('Data_SA'!$A:$LO,MATCH(U$2,'Data_SA'!$A:$A,0),MATCH($E42,'Data_SA'!$1:$1,0))/INDEX('Data_SA'!$A:$LO,MATCH(EDATE(U$2,-1),'Data_SA'!$A:$A,0),MATCH($E42,'Data_SA'!$1:$1,0))-1,""))</f>
        <v/>
      </c>
      <c r="X42" s="7">
        <f>IFERROR(INDEX('Data_NSA'!$A:$OK,MATCH(U$2,'Data_NSA'!$A:$A,0),MATCH($D42,'Data_NSA'!$1:$1,0))/INDEX('Data_NSA'!$A:$OK,MATCH(EDATE(U$2,-12),'Data_NSA'!$A:$A,0),MATCH($D42,'Data_NSA'!$1:$1,0))-1,"")</f>
        <v/>
      </c>
      <c r="Y42" s="10">
        <f>IFERROR(INDEX('Weights'!$G:$I,MATCH($A42,'Weights'!$A:$A,0),MATCH(U$2,'Weights'!$G$1:$I$1,0)),"")</f>
        <v/>
      </c>
      <c r="Z42" s="10">
        <f>IF($E42="","",IFERROR(100*(INDEX('Weights'!$D:$D,MATCH($A42,'Weights'!$A:$A,0))*(INDEX('Data_NSA'!$A:$OK,MATCH(EDATE(U$2,-1),'Data_NSA'!$A:$A,0),MATCH($D42,'Data_NSA'!$1:$1,0))/INDEX('Data_NSA'!$A:$OK,MATCH(INDEX('Weights'!$E:$E,MATCH($A42,'Weights'!$A:$A,0)),'Data_NSA'!$A:$A,0),MATCH($D42,'Data_NSA'!$1:$1,0))))/(100*(INDEX('Data_NSA'!$A:$OK,MATCH(EDATE(U$2,-1),'Data_NSA'!$A:$A,0),MATCH("CUUR0000SA0",'Data_NSA'!$1:$1,0))/INDEX('Data_NSA'!$A:$OK,MATCH(INDEX('Weights'!$E:$E,MATCH($A42,'Weights'!$A:$A,0)),'Data_NSA'!$A:$A,0),MATCH("CUUR0000SA0",'Data_NSA'!$1:$1,0))))*(INDEX('Data_SA'!$A:$LO,MATCH(U$2,'Data_SA'!$A:$A,0),MATCH($E42,'Data_SA'!$1:$1,0))/INDEX('Data_SA'!$A:$LO,MATCH(EDATE(U$2,-1),'Data_SA'!$A:$A,0),MATCH($E42,'Data_SA'!$1:$1,0))-1),""))</f>
        <v/>
      </c>
    </row>
    <row r="43">
      <c r="A43" s="3" t="inlineStr">
        <is>
          <t>SEFE</t>
        </is>
      </c>
      <c r="B43" s="3" t="inlineStr">
        <is>
          <t>Other meats</t>
        </is>
      </c>
      <c r="C43" s="3" t="inlineStr">
        <is>
          <t>SAF11211</t>
        </is>
      </c>
      <c r="D43" s="3" t="inlineStr">
        <is>
          <t>CUUR0000SEFE</t>
        </is>
      </c>
      <c r="E43" s="3" t="inlineStr">
        <is>
          <t>CUSR0000SEFE</t>
        </is>
      </c>
      <c r="F43" s="3" t="inlineStr">
        <is>
          <t>aggregate</t>
        </is>
      </c>
      <c r="G43" s="3" t="inlineStr">
        <is>
          <t>aggregate</t>
        </is>
      </c>
      <c r="H43" s="10">
        <f>IFERROR(INDEX(Weights!$D:$D,MATCH($A43,Weights!$A:$A,0)),"")</f>
        <v/>
      </c>
      <c r="I43" s="10">
        <f>IFERROR(INDEX('Data_NSA'!$A:$OK,MATCH(I$2,'Data_NSA'!$A:$A,0),MATCH($D43,'Data_NSA'!$1:$1,0)),"")</f>
        <v/>
      </c>
      <c r="J43" s="10">
        <f>IF($E43="","",IFERROR(INDEX('Data_SA'!$A:$LO,MATCH(I$2,'Data_SA'!$A:$A,0),MATCH($E43,'Data_SA'!$1:$1,0)),""))</f>
        <v/>
      </c>
      <c r="K43" s="7">
        <f>IF($E43="","",IFERROR(INDEX('Data_SA'!$A:$LO,MATCH(I$2,'Data_SA'!$A:$A,0),MATCH($E43,'Data_SA'!$1:$1,0))/INDEX('Data_SA'!$A:$LO,MATCH(EDATE(I$2,-1),'Data_SA'!$A:$A,0),MATCH($E43,'Data_SA'!$1:$1,0))-1,""))</f>
        <v/>
      </c>
      <c r="L43" s="7">
        <f>IFERROR(INDEX('Data_NSA'!$A:$OK,MATCH(I$2,'Data_NSA'!$A:$A,0),MATCH($D43,'Data_NSA'!$1:$1,0))/INDEX('Data_NSA'!$A:$OK,MATCH(EDATE(I$2,-12),'Data_NSA'!$A:$A,0),MATCH($D43,'Data_NSA'!$1:$1,0))-1,"")</f>
        <v/>
      </c>
      <c r="M43" s="10">
        <f>IFERROR(INDEX('Weights'!$G:$I,MATCH($A43,'Weights'!$A:$A,0),MATCH(I$2,'Weights'!$G$1:$I$1,0)),"")</f>
        <v/>
      </c>
      <c r="N43" s="10">
        <f>IF($E43="","",IFERROR(100*(INDEX('Weights'!$D:$D,MATCH($A43,'Weights'!$A:$A,0))*(INDEX('Data_NSA'!$A:$OK,MATCH(EDATE(I$2,-1),'Data_NSA'!$A:$A,0),MATCH($D43,'Data_NSA'!$1:$1,0))/INDEX('Data_NSA'!$A:$OK,MATCH(INDEX('Weights'!$E:$E,MATCH($A43,'Weights'!$A:$A,0)),'Data_NSA'!$A:$A,0),MATCH($D43,'Data_NSA'!$1:$1,0))))/(100*(INDEX('Data_NSA'!$A:$OK,MATCH(EDATE(I$2,-1),'Data_NSA'!$A:$A,0),MATCH("CUUR0000SA0",'Data_NSA'!$1:$1,0))/INDEX('Data_NSA'!$A:$OK,MATCH(INDEX('Weights'!$E:$E,MATCH($A43,'Weights'!$A:$A,0)),'Data_NSA'!$A:$A,0),MATCH("CUUR0000SA0",'Data_NSA'!$1:$1,0))))*(INDEX('Data_SA'!$A:$LO,MATCH(I$2,'Data_SA'!$A:$A,0),MATCH($E43,'Data_SA'!$1:$1,0))/INDEX('Data_SA'!$A:$LO,MATCH(EDATE(I$2,-1),'Data_SA'!$A:$A,0),MATCH($E43,'Data_SA'!$1:$1,0))-1),""))</f>
        <v/>
      </c>
      <c r="O43" s="10">
        <f>IFERROR(INDEX('Data_NSA'!$A:$OK,MATCH(O$2,'Data_NSA'!$A:$A,0),MATCH($D43,'Data_NSA'!$1:$1,0)),"")</f>
        <v/>
      </c>
      <c r="P43" s="10">
        <f>IF($E43="","",IFERROR(INDEX('Data_SA'!$A:$LO,MATCH(O$2,'Data_SA'!$A:$A,0),MATCH($E43,'Data_SA'!$1:$1,0)),""))</f>
        <v/>
      </c>
      <c r="Q43" s="7">
        <f>IF($E43="","",IFERROR(INDEX('Data_SA'!$A:$LO,MATCH(O$2,'Data_SA'!$A:$A,0),MATCH($E43,'Data_SA'!$1:$1,0))/INDEX('Data_SA'!$A:$LO,MATCH(EDATE(O$2,-1),'Data_SA'!$A:$A,0),MATCH($E43,'Data_SA'!$1:$1,0))-1,""))</f>
        <v/>
      </c>
      <c r="R43" s="7">
        <f>IFERROR(INDEX('Data_NSA'!$A:$OK,MATCH(O$2,'Data_NSA'!$A:$A,0),MATCH($D43,'Data_NSA'!$1:$1,0))/INDEX('Data_NSA'!$A:$OK,MATCH(EDATE(O$2,-12),'Data_NSA'!$A:$A,0),MATCH($D43,'Data_NSA'!$1:$1,0))-1,"")</f>
        <v/>
      </c>
      <c r="S43" s="10">
        <f>IFERROR(INDEX('Weights'!$G:$I,MATCH($A43,'Weights'!$A:$A,0),MATCH(O$2,'Weights'!$G$1:$I$1,0)),"")</f>
        <v/>
      </c>
      <c r="T43" s="10">
        <f>IF($E43="","",IFERROR(100*(INDEX('Weights'!$D:$D,MATCH($A43,'Weights'!$A:$A,0))*(INDEX('Data_NSA'!$A:$OK,MATCH(EDATE(O$2,-1),'Data_NSA'!$A:$A,0),MATCH($D43,'Data_NSA'!$1:$1,0))/INDEX('Data_NSA'!$A:$OK,MATCH(INDEX('Weights'!$E:$E,MATCH($A43,'Weights'!$A:$A,0)),'Data_NSA'!$A:$A,0),MATCH($D43,'Data_NSA'!$1:$1,0))))/(100*(INDEX('Data_NSA'!$A:$OK,MATCH(EDATE(O$2,-1),'Data_NSA'!$A:$A,0),MATCH("CUUR0000SA0",'Data_NSA'!$1:$1,0))/INDEX('Data_NSA'!$A:$OK,MATCH(INDEX('Weights'!$E:$E,MATCH($A43,'Weights'!$A:$A,0)),'Data_NSA'!$A:$A,0),MATCH("CUUR0000SA0",'Data_NSA'!$1:$1,0))))*(INDEX('Data_SA'!$A:$LO,MATCH(O$2,'Data_SA'!$A:$A,0),MATCH($E43,'Data_SA'!$1:$1,0))/INDEX('Data_SA'!$A:$LO,MATCH(EDATE(O$2,-1),'Data_SA'!$A:$A,0),MATCH($E43,'Data_SA'!$1:$1,0))-1),""))</f>
        <v/>
      </c>
      <c r="U43" s="10">
        <f>IFERROR(INDEX('Data_NSA'!$A:$OK,MATCH(U$2,'Data_NSA'!$A:$A,0),MATCH($D43,'Data_NSA'!$1:$1,0)),"")</f>
        <v/>
      </c>
      <c r="V43" s="10">
        <f>IF($E43="","",IFERROR(INDEX('Data_SA'!$A:$LO,MATCH(U$2,'Data_SA'!$A:$A,0),MATCH($E43,'Data_SA'!$1:$1,0)),""))</f>
        <v/>
      </c>
      <c r="W43" s="7">
        <f>IF($E43="","",IFERROR(INDEX('Data_SA'!$A:$LO,MATCH(U$2,'Data_SA'!$A:$A,0),MATCH($E43,'Data_SA'!$1:$1,0))/INDEX('Data_SA'!$A:$LO,MATCH(EDATE(U$2,-1),'Data_SA'!$A:$A,0),MATCH($E43,'Data_SA'!$1:$1,0))-1,""))</f>
        <v/>
      </c>
      <c r="X43" s="7">
        <f>IFERROR(INDEX('Data_NSA'!$A:$OK,MATCH(U$2,'Data_NSA'!$A:$A,0),MATCH($D43,'Data_NSA'!$1:$1,0))/INDEX('Data_NSA'!$A:$OK,MATCH(EDATE(U$2,-12),'Data_NSA'!$A:$A,0),MATCH($D43,'Data_NSA'!$1:$1,0))-1,"")</f>
        <v/>
      </c>
      <c r="Y43" s="10">
        <f>IFERROR(INDEX('Weights'!$G:$I,MATCH($A43,'Weights'!$A:$A,0),MATCH(U$2,'Weights'!$G$1:$I$1,0)),"")</f>
        <v/>
      </c>
      <c r="Z43" s="10">
        <f>IF($E43="","",IFERROR(100*(INDEX('Weights'!$D:$D,MATCH($A43,'Weights'!$A:$A,0))*(INDEX('Data_NSA'!$A:$OK,MATCH(EDATE(U$2,-1),'Data_NSA'!$A:$A,0),MATCH($D43,'Data_NSA'!$1:$1,0))/INDEX('Data_NSA'!$A:$OK,MATCH(INDEX('Weights'!$E:$E,MATCH($A43,'Weights'!$A:$A,0)),'Data_NSA'!$A:$A,0),MATCH($D43,'Data_NSA'!$1:$1,0))))/(100*(INDEX('Data_NSA'!$A:$OK,MATCH(EDATE(U$2,-1),'Data_NSA'!$A:$A,0),MATCH("CUUR0000SA0",'Data_NSA'!$1:$1,0))/INDEX('Data_NSA'!$A:$OK,MATCH(INDEX('Weights'!$E:$E,MATCH($A43,'Weights'!$A:$A,0)),'Data_NSA'!$A:$A,0),MATCH("CUUR0000SA0",'Data_NSA'!$1:$1,0))))*(INDEX('Data_SA'!$A:$LO,MATCH(U$2,'Data_SA'!$A:$A,0),MATCH($E43,'Data_SA'!$1:$1,0))/INDEX('Data_SA'!$A:$LO,MATCH(EDATE(U$2,-1),'Data_SA'!$A:$A,0),MATCH($E43,'Data_SA'!$1:$1,0))-1),""))</f>
        <v/>
      </c>
    </row>
    <row r="44">
      <c r="A44" s="3" t="inlineStr">
        <is>
          <t>SS05011</t>
        </is>
      </c>
      <c r="B44" s="3" t="inlineStr">
        <is>
          <t>Frankfurters</t>
        </is>
      </c>
      <c r="C44" s="3" t="inlineStr">
        <is>
          <t>SEFE</t>
        </is>
      </c>
      <c r="D44" s="3" t="inlineStr">
        <is>
          <t>CUUR0000SS05011</t>
        </is>
      </c>
      <c r="E44" s="3" t="inlineStr">
        <is>
          <t>CUSR0000SS05011</t>
        </is>
      </c>
      <c r="F44" s="3" t="inlineStr">
        <is>
          <t>GM</t>
        </is>
      </c>
      <c r="G44" s="3" t="inlineStr">
        <is>
          <t>monthly in New York/Los Angeles/Chicago; often bimonthly elsewhere</t>
        </is>
      </c>
      <c r="H44" s="10">
        <f>IFERROR(INDEX(Weights!$D:$D,MATCH($A44,Weights!$A:$A,0)),"")</f>
        <v/>
      </c>
      <c r="I44" s="10">
        <f>IFERROR(INDEX('Data_NSA'!$A:$OK,MATCH(I$2,'Data_NSA'!$A:$A,0),MATCH($D44,'Data_NSA'!$1:$1,0)),"")</f>
        <v/>
      </c>
      <c r="J44" s="10">
        <f>IF($E44="","",IFERROR(INDEX('Data_SA'!$A:$LO,MATCH(I$2,'Data_SA'!$A:$A,0),MATCH($E44,'Data_SA'!$1:$1,0)),""))</f>
        <v/>
      </c>
      <c r="K44" s="7">
        <f>IF($E44="","",IFERROR(INDEX('Data_SA'!$A:$LO,MATCH(I$2,'Data_SA'!$A:$A,0),MATCH($E44,'Data_SA'!$1:$1,0))/INDEX('Data_SA'!$A:$LO,MATCH(EDATE(I$2,-1),'Data_SA'!$A:$A,0),MATCH($E44,'Data_SA'!$1:$1,0))-1,""))</f>
        <v/>
      </c>
      <c r="L44" s="7">
        <f>IFERROR(INDEX('Data_NSA'!$A:$OK,MATCH(I$2,'Data_NSA'!$A:$A,0),MATCH($D44,'Data_NSA'!$1:$1,0))/INDEX('Data_NSA'!$A:$OK,MATCH(EDATE(I$2,-12),'Data_NSA'!$A:$A,0),MATCH($D44,'Data_NSA'!$1:$1,0))-1,"")</f>
        <v/>
      </c>
      <c r="M44" s="10">
        <f>IFERROR(INDEX('Weights'!$G:$I,MATCH($A44,'Weights'!$A:$A,0),MATCH(I$2,'Weights'!$G$1:$I$1,0)),"")</f>
        <v/>
      </c>
      <c r="N44" s="10">
        <f>IF($E44="","",IFERROR(100*(INDEX('Weights'!$D:$D,MATCH($A44,'Weights'!$A:$A,0))*(INDEX('Data_NSA'!$A:$OK,MATCH(EDATE(I$2,-1),'Data_NSA'!$A:$A,0),MATCH($D44,'Data_NSA'!$1:$1,0))/INDEX('Data_NSA'!$A:$OK,MATCH(INDEX('Weights'!$E:$E,MATCH($A44,'Weights'!$A:$A,0)),'Data_NSA'!$A:$A,0),MATCH($D44,'Data_NSA'!$1:$1,0))))/(100*(INDEX('Data_NSA'!$A:$OK,MATCH(EDATE(I$2,-1),'Data_NSA'!$A:$A,0),MATCH("CUUR0000SA0",'Data_NSA'!$1:$1,0))/INDEX('Data_NSA'!$A:$OK,MATCH(INDEX('Weights'!$E:$E,MATCH($A44,'Weights'!$A:$A,0)),'Data_NSA'!$A:$A,0),MATCH("CUUR0000SA0",'Data_NSA'!$1:$1,0))))*(INDEX('Data_SA'!$A:$LO,MATCH(I$2,'Data_SA'!$A:$A,0),MATCH($E44,'Data_SA'!$1:$1,0))/INDEX('Data_SA'!$A:$LO,MATCH(EDATE(I$2,-1),'Data_SA'!$A:$A,0),MATCH($E44,'Data_SA'!$1:$1,0))-1),""))</f>
        <v/>
      </c>
      <c r="O44" s="10">
        <f>IFERROR(INDEX('Data_NSA'!$A:$OK,MATCH(O$2,'Data_NSA'!$A:$A,0),MATCH($D44,'Data_NSA'!$1:$1,0)),"")</f>
        <v/>
      </c>
      <c r="P44" s="10">
        <f>IF($E44="","",IFERROR(INDEX('Data_SA'!$A:$LO,MATCH(O$2,'Data_SA'!$A:$A,0),MATCH($E44,'Data_SA'!$1:$1,0)),""))</f>
        <v/>
      </c>
      <c r="Q44" s="7">
        <f>IF($E44="","",IFERROR(INDEX('Data_SA'!$A:$LO,MATCH(O$2,'Data_SA'!$A:$A,0),MATCH($E44,'Data_SA'!$1:$1,0))/INDEX('Data_SA'!$A:$LO,MATCH(EDATE(O$2,-1),'Data_SA'!$A:$A,0),MATCH($E44,'Data_SA'!$1:$1,0))-1,""))</f>
        <v/>
      </c>
      <c r="R44" s="7">
        <f>IFERROR(INDEX('Data_NSA'!$A:$OK,MATCH(O$2,'Data_NSA'!$A:$A,0),MATCH($D44,'Data_NSA'!$1:$1,0))/INDEX('Data_NSA'!$A:$OK,MATCH(EDATE(O$2,-12),'Data_NSA'!$A:$A,0),MATCH($D44,'Data_NSA'!$1:$1,0))-1,"")</f>
        <v/>
      </c>
      <c r="S44" s="10">
        <f>IFERROR(INDEX('Weights'!$G:$I,MATCH($A44,'Weights'!$A:$A,0),MATCH(O$2,'Weights'!$G$1:$I$1,0)),"")</f>
        <v/>
      </c>
      <c r="T44" s="10">
        <f>IF($E44="","",IFERROR(100*(INDEX('Weights'!$D:$D,MATCH($A44,'Weights'!$A:$A,0))*(INDEX('Data_NSA'!$A:$OK,MATCH(EDATE(O$2,-1),'Data_NSA'!$A:$A,0),MATCH($D44,'Data_NSA'!$1:$1,0))/INDEX('Data_NSA'!$A:$OK,MATCH(INDEX('Weights'!$E:$E,MATCH($A44,'Weights'!$A:$A,0)),'Data_NSA'!$A:$A,0),MATCH($D44,'Data_NSA'!$1:$1,0))))/(100*(INDEX('Data_NSA'!$A:$OK,MATCH(EDATE(O$2,-1),'Data_NSA'!$A:$A,0),MATCH("CUUR0000SA0",'Data_NSA'!$1:$1,0))/INDEX('Data_NSA'!$A:$OK,MATCH(INDEX('Weights'!$E:$E,MATCH($A44,'Weights'!$A:$A,0)),'Data_NSA'!$A:$A,0),MATCH("CUUR0000SA0",'Data_NSA'!$1:$1,0))))*(INDEX('Data_SA'!$A:$LO,MATCH(O$2,'Data_SA'!$A:$A,0),MATCH($E44,'Data_SA'!$1:$1,0))/INDEX('Data_SA'!$A:$LO,MATCH(EDATE(O$2,-1),'Data_SA'!$A:$A,0),MATCH($E44,'Data_SA'!$1:$1,0))-1),""))</f>
        <v/>
      </c>
      <c r="U44" s="10">
        <f>IFERROR(INDEX('Data_NSA'!$A:$OK,MATCH(U$2,'Data_NSA'!$A:$A,0),MATCH($D44,'Data_NSA'!$1:$1,0)),"")</f>
        <v/>
      </c>
      <c r="V44" s="10">
        <f>IF($E44="","",IFERROR(INDEX('Data_SA'!$A:$LO,MATCH(U$2,'Data_SA'!$A:$A,0),MATCH($E44,'Data_SA'!$1:$1,0)),""))</f>
        <v/>
      </c>
      <c r="W44" s="7">
        <f>IF($E44="","",IFERROR(INDEX('Data_SA'!$A:$LO,MATCH(U$2,'Data_SA'!$A:$A,0),MATCH($E44,'Data_SA'!$1:$1,0))/INDEX('Data_SA'!$A:$LO,MATCH(EDATE(U$2,-1),'Data_SA'!$A:$A,0),MATCH($E44,'Data_SA'!$1:$1,0))-1,""))</f>
        <v/>
      </c>
      <c r="X44" s="7">
        <f>IFERROR(INDEX('Data_NSA'!$A:$OK,MATCH(U$2,'Data_NSA'!$A:$A,0),MATCH($D44,'Data_NSA'!$1:$1,0))/INDEX('Data_NSA'!$A:$OK,MATCH(EDATE(U$2,-12),'Data_NSA'!$A:$A,0),MATCH($D44,'Data_NSA'!$1:$1,0))-1,"")</f>
        <v/>
      </c>
      <c r="Y44" s="10">
        <f>IFERROR(INDEX('Weights'!$G:$I,MATCH($A44,'Weights'!$A:$A,0),MATCH(U$2,'Weights'!$G$1:$I$1,0)),"")</f>
        <v/>
      </c>
      <c r="Z44" s="10">
        <f>IF($E44="","",IFERROR(100*(INDEX('Weights'!$D:$D,MATCH($A44,'Weights'!$A:$A,0))*(INDEX('Data_NSA'!$A:$OK,MATCH(EDATE(U$2,-1),'Data_NSA'!$A:$A,0),MATCH($D44,'Data_NSA'!$1:$1,0))/INDEX('Data_NSA'!$A:$OK,MATCH(INDEX('Weights'!$E:$E,MATCH($A44,'Weights'!$A:$A,0)),'Data_NSA'!$A:$A,0),MATCH($D44,'Data_NSA'!$1:$1,0))))/(100*(INDEX('Data_NSA'!$A:$OK,MATCH(EDATE(U$2,-1),'Data_NSA'!$A:$A,0),MATCH("CUUR0000SA0",'Data_NSA'!$1:$1,0))/INDEX('Data_NSA'!$A:$OK,MATCH(INDEX('Weights'!$E:$E,MATCH($A44,'Weights'!$A:$A,0)),'Data_NSA'!$A:$A,0),MATCH("CUUR0000SA0",'Data_NSA'!$1:$1,0))))*(INDEX('Data_SA'!$A:$LO,MATCH(U$2,'Data_SA'!$A:$A,0),MATCH($E44,'Data_SA'!$1:$1,0))/INDEX('Data_SA'!$A:$LO,MATCH(EDATE(U$2,-1),'Data_SA'!$A:$A,0),MATCH($E44,'Data_SA'!$1:$1,0))-1),""))</f>
        <v/>
      </c>
    </row>
    <row r="45">
      <c r="A45" s="3" t="inlineStr">
        <is>
          <t>SS0501A</t>
        </is>
      </c>
      <c r="B45" s="3" t="inlineStr">
        <is>
          <t>Lunchmeats</t>
        </is>
      </c>
      <c r="C45" s="3" t="inlineStr">
        <is>
          <t>SEFE</t>
        </is>
      </c>
      <c r="D45" s="3" t="inlineStr">
        <is>
          <t>CUUR0000SS0501A</t>
        </is>
      </c>
      <c r="E45" s="3" t="inlineStr">
        <is>
          <t>CUSR0000SS0501A</t>
        </is>
      </c>
      <c r="F45" s="3" t="inlineStr">
        <is>
          <t>GM</t>
        </is>
      </c>
      <c r="G45" s="3" t="inlineStr">
        <is>
          <t>monthly in New York/Los Angeles/Chicago; often bimonthly elsewhere</t>
        </is>
      </c>
      <c r="H45" s="10">
        <f>IFERROR(INDEX(Weights!$D:$D,MATCH($A45,Weights!$A:$A,0)),"")</f>
        <v/>
      </c>
      <c r="I45" s="10">
        <f>IFERROR(INDEX('Data_NSA'!$A:$OK,MATCH(I$2,'Data_NSA'!$A:$A,0),MATCH($D45,'Data_NSA'!$1:$1,0)),"")</f>
        <v/>
      </c>
      <c r="J45" s="10">
        <f>IF($E45="","",IFERROR(INDEX('Data_SA'!$A:$LO,MATCH(I$2,'Data_SA'!$A:$A,0),MATCH($E45,'Data_SA'!$1:$1,0)),""))</f>
        <v/>
      </c>
      <c r="K45" s="7">
        <f>IF($E45="","",IFERROR(INDEX('Data_SA'!$A:$LO,MATCH(I$2,'Data_SA'!$A:$A,0),MATCH($E45,'Data_SA'!$1:$1,0))/INDEX('Data_SA'!$A:$LO,MATCH(EDATE(I$2,-1),'Data_SA'!$A:$A,0),MATCH($E45,'Data_SA'!$1:$1,0))-1,""))</f>
        <v/>
      </c>
      <c r="L45" s="7">
        <f>IFERROR(INDEX('Data_NSA'!$A:$OK,MATCH(I$2,'Data_NSA'!$A:$A,0),MATCH($D45,'Data_NSA'!$1:$1,0))/INDEX('Data_NSA'!$A:$OK,MATCH(EDATE(I$2,-12),'Data_NSA'!$A:$A,0),MATCH($D45,'Data_NSA'!$1:$1,0))-1,"")</f>
        <v/>
      </c>
      <c r="M45" s="10">
        <f>IFERROR(INDEX('Weights'!$G:$I,MATCH($A45,'Weights'!$A:$A,0),MATCH(I$2,'Weights'!$G$1:$I$1,0)),"")</f>
        <v/>
      </c>
      <c r="N45" s="10">
        <f>IF($E45="","",IFERROR(100*(INDEX('Weights'!$D:$D,MATCH($A45,'Weights'!$A:$A,0))*(INDEX('Data_NSA'!$A:$OK,MATCH(EDATE(I$2,-1),'Data_NSA'!$A:$A,0),MATCH($D45,'Data_NSA'!$1:$1,0))/INDEX('Data_NSA'!$A:$OK,MATCH(INDEX('Weights'!$E:$E,MATCH($A45,'Weights'!$A:$A,0)),'Data_NSA'!$A:$A,0),MATCH($D45,'Data_NSA'!$1:$1,0))))/(100*(INDEX('Data_NSA'!$A:$OK,MATCH(EDATE(I$2,-1),'Data_NSA'!$A:$A,0),MATCH("CUUR0000SA0",'Data_NSA'!$1:$1,0))/INDEX('Data_NSA'!$A:$OK,MATCH(INDEX('Weights'!$E:$E,MATCH($A45,'Weights'!$A:$A,0)),'Data_NSA'!$A:$A,0),MATCH("CUUR0000SA0",'Data_NSA'!$1:$1,0))))*(INDEX('Data_SA'!$A:$LO,MATCH(I$2,'Data_SA'!$A:$A,0),MATCH($E45,'Data_SA'!$1:$1,0))/INDEX('Data_SA'!$A:$LO,MATCH(EDATE(I$2,-1),'Data_SA'!$A:$A,0),MATCH($E45,'Data_SA'!$1:$1,0))-1),""))</f>
        <v/>
      </c>
      <c r="O45" s="10">
        <f>IFERROR(INDEX('Data_NSA'!$A:$OK,MATCH(O$2,'Data_NSA'!$A:$A,0),MATCH($D45,'Data_NSA'!$1:$1,0)),"")</f>
        <v/>
      </c>
      <c r="P45" s="10">
        <f>IF($E45="","",IFERROR(INDEX('Data_SA'!$A:$LO,MATCH(O$2,'Data_SA'!$A:$A,0),MATCH($E45,'Data_SA'!$1:$1,0)),""))</f>
        <v/>
      </c>
      <c r="Q45" s="7">
        <f>IF($E45="","",IFERROR(INDEX('Data_SA'!$A:$LO,MATCH(O$2,'Data_SA'!$A:$A,0),MATCH($E45,'Data_SA'!$1:$1,0))/INDEX('Data_SA'!$A:$LO,MATCH(EDATE(O$2,-1),'Data_SA'!$A:$A,0),MATCH($E45,'Data_SA'!$1:$1,0))-1,""))</f>
        <v/>
      </c>
      <c r="R45" s="7">
        <f>IFERROR(INDEX('Data_NSA'!$A:$OK,MATCH(O$2,'Data_NSA'!$A:$A,0),MATCH($D45,'Data_NSA'!$1:$1,0))/INDEX('Data_NSA'!$A:$OK,MATCH(EDATE(O$2,-12),'Data_NSA'!$A:$A,0),MATCH($D45,'Data_NSA'!$1:$1,0))-1,"")</f>
        <v/>
      </c>
      <c r="S45" s="10">
        <f>IFERROR(INDEX('Weights'!$G:$I,MATCH($A45,'Weights'!$A:$A,0),MATCH(O$2,'Weights'!$G$1:$I$1,0)),"")</f>
        <v/>
      </c>
      <c r="T45" s="10">
        <f>IF($E45="","",IFERROR(100*(INDEX('Weights'!$D:$D,MATCH($A45,'Weights'!$A:$A,0))*(INDEX('Data_NSA'!$A:$OK,MATCH(EDATE(O$2,-1),'Data_NSA'!$A:$A,0),MATCH($D45,'Data_NSA'!$1:$1,0))/INDEX('Data_NSA'!$A:$OK,MATCH(INDEX('Weights'!$E:$E,MATCH($A45,'Weights'!$A:$A,0)),'Data_NSA'!$A:$A,0),MATCH($D45,'Data_NSA'!$1:$1,0))))/(100*(INDEX('Data_NSA'!$A:$OK,MATCH(EDATE(O$2,-1),'Data_NSA'!$A:$A,0),MATCH("CUUR0000SA0",'Data_NSA'!$1:$1,0))/INDEX('Data_NSA'!$A:$OK,MATCH(INDEX('Weights'!$E:$E,MATCH($A45,'Weights'!$A:$A,0)),'Data_NSA'!$A:$A,0),MATCH("CUUR0000SA0",'Data_NSA'!$1:$1,0))))*(INDEX('Data_SA'!$A:$LO,MATCH(O$2,'Data_SA'!$A:$A,0),MATCH($E45,'Data_SA'!$1:$1,0))/INDEX('Data_SA'!$A:$LO,MATCH(EDATE(O$2,-1),'Data_SA'!$A:$A,0),MATCH($E45,'Data_SA'!$1:$1,0))-1),""))</f>
        <v/>
      </c>
      <c r="U45" s="10">
        <f>IFERROR(INDEX('Data_NSA'!$A:$OK,MATCH(U$2,'Data_NSA'!$A:$A,0),MATCH($D45,'Data_NSA'!$1:$1,0)),"")</f>
        <v/>
      </c>
      <c r="V45" s="10">
        <f>IF($E45="","",IFERROR(INDEX('Data_SA'!$A:$LO,MATCH(U$2,'Data_SA'!$A:$A,0),MATCH($E45,'Data_SA'!$1:$1,0)),""))</f>
        <v/>
      </c>
      <c r="W45" s="7">
        <f>IF($E45="","",IFERROR(INDEX('Data_SA'!$A:$LO,MATCH(U$2,'Data_SA'!$A:$A,0),MATCH($E45,'Data_SA'!$1:$1,0))/INDEX('Data_SA'!$A:$LO,MATCH(EDATE(U$2,-1),'Data_SA'!$A:$A,0),MATCH($E45,'Data_SA'!$1:$1,0))-1,""))</f>
        <v/>
      </c>
      <c r="X45" s="7">
        <f>IFERROR(INDEX('Data_NSA'!$A:$OK,MATCH(U$2,'Data_NSA'!$A:$A,0),MATCH($D45,'Data_NSA'!$1:$1,0))/INDEX('Data_NSA'!$A:$OK,MATCH(EDATE(U$2,-12),'Data_NSA'!$A:$A,0),MATCH($D45,'Data_NSA'!$1:$1,0))-1,"")</f>
        <v/>
      </c>
      <c r="Y45" s="10">
        <f>IFERROR(INDEX('Weights'!$G:$I,MATCH($A45,'Weights'!$A:$A,0),MATCH(U$2,'Weights'!$G$1:$I$1,0)),"")</f>
        <v/>
      </c>
      <c r="Z45" s="10">
        <f>IF($E45="","",IFERROR(100*(INDEX('Weights'!$D:$D,MATCH($A45,'Weights'!$A:$A,0))*(INDEX('Data_NSA'!$A:$OK,MATCH(EDATE(U$2,-1),'Data_NSA'!$A:$A,0),MATCH($D45,'Data_NSA'!$1:$1,0))/INDEX('Data_NSA'!$A:$OK,MATCH(INDEX('Weights'!$E:$E,MATCH($A45,'Weights'!$A:$A,0)),'Data_NSA'!$A:$A,0),MATCH($D45,'Data_NSA'!$1:$1,0))))/(100*(INDEX('Data_NSA'!$A:$OK,MATCH(EDATE(U$2,-1),'Data_NSA'!$A:$A,0),MATCH("CUUR0000SA0",'Data_NSA'!$1:$1,0))/INDEX('Data_NSA'!$A:$OK,MATCH(INDEX('Weights'!$E:$E,MATCH($A45,'Weights'!$A:$A,0)),'Data_NSA'!$A:$A,0),MATCH("CUUR0000SA0",'Data_NSA'!$1:$1,0))))*(INDEX('Data_SA'!$A:$LO,MATCH(U$2,'Data_SA'!$A:$A,0),MATCH($E45,'Data_SA'!$1:$1,0))/INDEX('Data_SA'!$A:$LO,MATCH(EDATE(U$2,-1),'Data_SA'!$A:$A,0),MATCH($E45,'Data_SA'!$1:$1,0))-1),""))</f>
        <v/>
      </c>
    </row>
    <row r="46">
      <c r="A46" s="3" t="inlineStr">
        <is>
          <t>SS05014</t>
        </is>
      </c>
      <c r="B46" s="3" t="inlineStr">
        <is>
          <t>Lamb and organ meats</t>
        </is>
      </c>
      <c r="C46" s="3" t="inlineStr">
        <is>
          <t>SEFE</t>
        </is>
      </c>
      <c r="D46" s="3" t="inlineStr">
        <is>
          <t>CUUR0000SS05014</t>
        </is>
      </c>
      <c r="E46" s="3" t="inlineStr"/>
      <c r="F46" s="3" t="inlineStr">
        <is>
          <t>GM</t>
        </is>
      </c>
      <c r="G46" s="3" t="inlineStr">
        <is>
          <t>monthly in New York/Los Angeles/Chicago; often bimonthly elsewhere</t>
        </is>
      </c>
      <c r="H46" s="10">
        <f>IFERROR(INDEX(Weights!$D:$D,MATCH($A46,Weights!$A:$A,0)),"")</f>
        <v/>
      </c>
      <c r="I46" s="10">
        <f>IFERROR(INDEX('Data_NSA'!$A:$OK,MATCH(I$2,'Data_NSA'!$A:$A,0),MATCH($D46,'Data_NSA'!$1:$1,0)),"")</f>
        <v/>
      </c>
      <c r="J46" s="10">
        <f>IF($E46="","",IFERROR(INDEX('Data_SA'!$A:$LO,MATCH(I$2,'Data_SA'!$A:$A,0),MATCH($E46,'Data_SA'!$1:$1,0)),""))</f>
        <v/>
      </c>
      <c r="K46" s="7">
        <f>IF($E46="","",IFERROR(INDEX('Data_SA'!$A:$LO,MATCH(I$2,'Data_SA'!$A:$A,0),MATCH($E46,'Data_SA'!$1:$1,0))/INDEX('Data_SA'!$A:$LO,MATCH(EDATE(I$2,-1),'Data_SA'!$A:$A,0),MATCH($E46,'Data_SA'!$1:$1,0))-1,""))</f>
        <v/>
      </c>
      <c r="L46" s="7">
        <f>IFERROR(INDEX('Data_NSA'!$A:$OK,MATCH(I$2,'Data_NSA'!$A:$A,0),MATCH($D46,'Data_NSA'!$1:$1,0))/INDEX('Data_NSA'!$A:$OK,MATCH(EDATE(I$2,-12),'Data_NSA'!$A:$A,0),MATCH($D46,'Data_NSA'!$1:$1,0))-1,"")</f>
        <v/>
      </c>
      <c r="M46" s="10">
        <f>IFERROR(INDEX('Weights'!$G:$I,MATCH($A46,'Weights'!$A:$A,0),MATCH(I$2,'Weights'!$G$1:$I$1,0)),"")</f>
        <v/>
      </c>
      <c r="N46" s="10">
        <f>IF($E46="","",IFERROR(100*(INDEX('Weights'!$D:$D,MATCH($A46,'Weights'!$A:$A,0))*(INDEX('Data_NSA'!$A:$OK,MATCH(EDATE(I$2,-1),'Data_NSA'!$A:$A,0),MATCH($D46,'Data_NSA'!$1:$1,0))/INDEX('Data_NSA'!$A:$OK,MATCH(INDEX('Weights'!$E:$E,MATCH($A46,'Weights'!$A:$A,0)),'Data_NSA'!$A:$A,0),MATCH($D46,'Data_NSA'!$1:$1,0))))/(100*(INDEX('Data_NSA'!$A:$OK,MATCH(EDATE(I$2,-1),'Data_NSA'!$A:$A,0),MATCH("CUUR0000SA0",'Data_NSA'!$1:$1,0))/INDEX('Data_NSA'!$A:$OK,MATCH(INDEX('Weights'!$E:$E,MATCH($A46,'Weights'!$A:$A,0)),'Data_NSA'!$A:$A,0),MATCH("CUUR0000SA0",'Data_NSA'!$1:$1,0))))*(INDEX('Data_SA'!$A:$LO,MATCH(I$2,'Data_SA'!$A:$A,0),MATCH($E46,'Data_SA'!$1:$1,0))/INDEX('Data_SA'!$A:$LO,MATCH(EDATE(I$2,-1),'Data_SA'!$A:$A,0),MATCH($E46,'Data_SA'!$1:$1,0))-1),""))</f>
        <v/>
      </c>
      <c r="O46" s="10">
        <f>IFERROR(INDEX('Data_NSA'!$A:$OK,MATCH(O$2,'Data_NSA'!$A:$A,0),MATCH($D46,'Data_NSA'!$1:$1,0)),"")</f>
        <v/>
      </c>
      <c r="P46" s="10">
        <f>IF($E46="","",IFERROR(INDEX('Data_SA'!$A:$LO,MATCH(O$2,'Data_SA'!$A:$A,0),MATCH($E46,'Data_SA'!$1:$1,0)),""))</f>
        <v/>
      </c>
      <c r="Q46" s="7">
        <f>IF($E46="","",IFERROR(INDEX('Data_SA'!$A:$LO,MATCH(O$2,'Data_SA'!$A:$A,0),MATCH($E46,'Data_SA'!$1:$1,0))/INDEX('Data_SA'!$A:$LO,MATCH(EDATE(O$2,-1),'Data_SA'!$A:$A,0),MATCH($E46,'Data_SA'!$1:$1,0))-1,""))</f>
        <v/>
      </c>
      <c r="R46" s="7">
        <f>IFERROR(INDEX('Data_NSA'!$A:$OK,MATCH(O$2,'Data_NSA'!$A:$A,0),MATCH($D46,'Data_NSA'!$1:$1,0))/INDEX('Data_NSA'!$A:$OK,MATCH(EDATE(O$2,-12),'Data_NSA'!$A:$A,0),MATCH($D46,'Data_NSA'!$1:$1,0))-1,"")</f>
        <v/>
      </c>
      <c r="S46" s="10">
        <f>IFERROR(INDEX('Weights'!$G:$I,MATCH($A46,'Weights'!$A:$A,0),MATCH(O$2,'Weights'!$G$1:$I$1,0)),"")</f>
        <v/>
      </c>
      <c r="T46" s="10">
        <f>IF($E46="","",IFERROR(100*(INDEX('Weights'!$D:$D,MATCH($A46,'Weights'!$A:$A,0))*(INDEX('Data_NSA'!$A:$OK,MATCH(EDATE(O$2,-1),'Data_NSA'!$A:$A,0),MATCH($D46,'Data_NSA'!$1:$1,0))/INDEX('Data_NSA'!$A:$OK,MATCH(INDEX('Weights'!$E:$E,MATCH($A46,'Weights'!$A:$A,0)),'Data_NSA'!$A:$A,0),MATCH($D46,'Data_NSA'!$1:$1,0))))/(100*(INDEX('Data_NSA'!$A:$OK,MATCH(EDATE(O$2,-1),'Data_NSA'!$A:$A,0),MATCH("CUUR0000SA0",'Data_NSA'!$1:$1,0))/INDEX('Data_NSA'!$A:$OK,MATCH(INDEX('Weights'!$E:$E,MATCH($A46,'Weights'!$A:$A,0)),'Data_NSA'!$A:$A,0),MATCH("CUUR0000SA0",'Data_NSA'!$1:$1,0))))*(INDEX('Data_SA'!$A:$LO,MATCH(O$2,'Data_SA'!$A:$A,0),MATCH($E46,'Data_SA'!$1:$1,0))/INDEX('Data_SA'!$A:$LO,MATCH(EDATE(O$2,-1),'Data_SA'!$A:$A,0),MATCH($E46,'Data_SA'!$1:$1,0))-1),""))</f>
        <v/>
      </c>
      <c r="U46" s="10">
        <f>IFERROR(INDEX('Data_NSA'!$A:$OK,MATCH(U$2,'Data_NSA'!$A:$A,0),MATCH($D46,'Data_NSA'!$1:$1,0)),"")</f>
        <v/>
      </c>
      <c r="V46" s="10">
        <f>IF($E46="","",IFERROR(INDEX('Data_SA'!$A:$LO,MATCH(U$2,'Data_SA'!$A:$A,0),MATCH($E46,'Data_SA'!$1:$1,0)),""))</f>
        <v/>
      </c>
      <c r="W46" s="7">
        <f>IF($E46="","",IFERROR(INDEX('Data_SA'!$A:$LO,MATCH(U$2,'Data_SA'!$A:$A,0),MATCH($E46,'Data_SA'!$1:$1,0))/INDEX('Data_SA'!$A:$LO,MATCH(EDATE(U$2,-1),'Data_SA'!$A:$A,0),MATCH($E46,'Data_SA'!$1:$1,0))-1,""))</f>
        <v/>
      </c>
      <c r="X46" s="7">
        <f>IFERROR(INDEX('Data_NSA'!$A:$OK,MATCH(U$2,'Data_NSA'!$A:$A,0),MATCH($D46,'Data_NSA'!$1:$1,0))/INDEX('Data_NSA'!$A:$OK,MATCH(EDATE(U$2,-12),'Data_NSA'!$A:$A,0),MATCH($D46,'Data_NSA'!$1:$1,0))-1,"")</f>
        <v/>
      </c>
      <c r="Y46" s="10">
        <f>IFERROR(INDEX('Weights'!$G:$I,MATCH($A46,'Weights'!$A:$A,0),MATCH(U$2,'Weights'!$G$1:$I$1,0)),"")</f>
        <v/>
      </c>
      <c r="Z46" s="10">
        <f>IF($E46="","",IFERROR(100*(INDEX('Weights'!$D:$D,MATCH($A46,'Weights'!$A:$A,0))*(INDEX('Data_NSA'!$A:$OK,MATCH(EDATE(U$2,-1),'Data_NSA'!$A:$A,0),MATCH($D46,'Data_NSA'!$1:$1,0))/INDEX('Data_NSA'!$A:$OK,MATCH(INDEX('Weights'!$E:$E,MATCH($A46,'Weights'!$A:$A,0)),'Data_NSA'!$A:$A,0),MATCH($D46,'Data_NSA'!$1:$1,0))))/(100*(INDEX('Data_NSA'!$A:$OK,MATCH(EDATE(U$2,-1),'Data_NSA'!$A:$A,0),MATCH("CUUR0000SA0",'Data_NSA'!$1:$1,0))/INDEX('Data_NSA'!$A:$OK,MATCH(INDEX('Weights'!$E:$E,MATCH($A46,'Weights'!$A:$A,0)),'Data_NSA'!$A:$A,0),MATCH("CUUR0000SA0",'Data_NSA'!$1:$1,0))))*(INDEX('Data_SA'!$A:$LO,MATCH(U$2,'Data_SA'!$A:$A,0),MATCH($E46,'Data_SA'!$1:$1,0))/INDEX('Data_SA'!$A:$LO,MATCH(EDATE(U$2,-1),'Data_SA'!$A:$A,0),MATCH($E46,'Data_SA'!$1:$1,0))-1),""))</f>
        <v/>
      </c>
    </row>
    <row r="47">
      <c r="A47" s="3" t="inlineStr">
        <is>
          <t>SS05015</t>
        </is>
      </c>
      <c r="B47" s="3" t="inlineStr">
        <is>
          <t>Lamb and mutton</t>
        </is>
      </c>
      <c r="C47" s="3" t="inlineStr">
        <is>
          <t>SEFE</t>
        </is>
      </c>
      <c r="D47" s="3" t="inlineStr">
        <is>
          <t>CUUR0000SS05015</t>
        </is>
      </c>
      <c r="E47" s="3" t="inlineStr"/>
      <c r="F47" s="3" t="inlineStr">
        <is>
          <t>GM</t>
        </is>
      </c>
      <c r="G47" s="3" t="inlineStr">
        <is>
          <t>monthly in New York/Los Angeles/Chicago; often bimonthly elsewhere</t>
        </is>
      </c>
      <c r="H47" s="10">
        <f>IFERROR(INDEX(Weights!$D:$D,MATCH($A47,Weights!$A:$A,0)),"")</f>
        <v/>
      </c>
      <c r="I47" s="10">
        <f>IFERROR(INDEX('Data_NSA'!$A:$OK,MATCH(I$2,'Data_NSA'!$A:$A,0),MATCH($D47,'Data_NSA'!$1:$1,0)),"")</f>
        <v/>
      </c>
      <c r="J47" s="10">
        <f>IF($E47="","",IFERROR(INDEX('Data_SA'!$A:$LO,MATCH(I$2,'Data_SA'!$A:$A,0),MATCH($E47,'Data_SA'!$1:$1,0)),""))</f>
        <v/>
      </c>
      <c r="K47" s="7">
        <f>IF($E47="","",IFERROR(INDEX('Data_SA'!$A:$LO,MATCH(I$2,'Data_SA'!$A:$A,0),MATCH($E47,'Data_SA'!$1:$1,0))/INDEX('Data_SA'!$A:$LO,MATCH(EDATE(I$2,-1),'Data_SA'!$A:$A,0),MATCH($E47,'Data_SA'!$1:$1,0))-1,""))</f>
        <v/>
      </c>
      <c r="L47" s="7">
        <f>IFERROR(INDEX('Data_NSA'!$A:$OK,MATCH(I$2,'Data_NSA'!$A:$A,0),MATCH($D47,'Data_NSA'!$1:$1,0))/INDEX('Data_NSA'!$A:$OK,MATCH(EDATE(I$2,-12),'Data_NSA'!$A:$A,0),MATCH($D47,'Data_NSA'!$1:$1,0))-1,"")</f>
        <v/>
      </c>
      <c r="M47" s="10">
        <f>IFERROR(INDEX('Weights'!$G:$I,MATCH($A47,'Weights'!$A:$A,0),MATCH(I$2,'Weights'!$G$1:$I$1,0)),"")</f>
        <v/>
      </c>
      <c r="N47" s="10">
        <f>IF($E47="","",IFERROR(100*(INDEX('Weights'!$D:$D,MATCH($A47,'Weights'!$A:$A,0))*(INDEX('Data_NSA'!$A:$OK,MATCH(EDATE(I$2,-1),'Data_NSA'!$A:$A,0),MATCH($D47,'Data_NSA'!$1:$1,0))/INDEX('Data_NSA'!$A:$OK,MATCH(INDEX('Weights'!$E:$E,MATCH($A47,'Weights'!$A:$A,0)),'Data_NSA'!$A:$A,0),MATCH($D47,'Data_NSA'!$1:$1,0))))/(100*(INDEX('Data_NSA'!$A:$OK,MATCH(EDATE(I$2,-1),'Data_NSA'!$A:$A,0),MATCH("CUUR0000SA0",'Data_NSA'!$1:$1,0))/INDEX('Data_NSA'!$A:$OK,MATCH(INDEX('Weights'!$E:$E,MATCH($A47,'Weights'!$A:$A,0)),'Data_NSA'!$A:$A,0),MATCH("CUUR0000SA0",'Data_NSA'!$1:$1,0))))*(INDEX('Data_SA'!$A:$LO,MATCH(I$2,'Data_SA'!$A:$A,0),MATCH($E47,'Data_SA'!$1:$1,0))/INDEX('Data_SA'!$A:$LO,MATCH(EDATE(I$2,-1),'Data_SA'!$A:$A,0),MATCH($E47,'Data_SA'!$1:$1,0))-1),""))</f>
        <v/>
      </c>
      <c r="O47" s="10">
        <f>IFERROR(INDEX('Data_NSA'!$A:$OK,MATCH(O$2,'Data_NSA'!$A:$A,0),MATCH($D47,'Data_NSA'!$1:$1,0)),"")</f>
        <v/>
      </c>
      <c r="P47" s="10">
        <f>IF($E47="","",IFERROR(INDEX('Data_SA'!$A:$LO,MATCH(O$2,'Data_SA'!$A:$A,0),MATCH($E47,'Data_SA'!$1:$1,0)),""))</f>
        <v/>
      </c>
      <c r="Q47" s="7">
        <f>IF($E47="","",IFERROR(INDEX('Data_SA'!$A:$LO,MATCH(O$2,'Data_SA'!$A:$A,0),MATCH($E47,'Data_SA'!$1:$1,0))/INDEX('Data_SA'!$A:$LO,MATCH(EDATE(O$2,-1),'Data_SA'!$A:$A,0),MATCH($E47,'Data_SA'!$1:$1,0))-1,""))</f>
        <v/>
      </c>
      <c r="R47" s="7">
        <f>IFERROR(INDEX('Data_NSA'!$A:$OK,MATCH(O$2,'Data_NSA'!$A:$A,0),MATCH($D47,'Data_NSA'!$1:$1,0))/INDEX('Data_NSA'!$A:$OK,MATCH(EDATE(O$2,-12),'Data_NSA'!$A:$A,0),MATCH($D47,'Data_NSA'!$1:$1,0))-1,"")</f>
        <v/>
      </c>
      <c r="S47" s="10">
        <f>IFERROR(INDEX('Weights'!$G:$I,MATCH($A47,'Weights'!$A:$A,0),MATCH(O$2,'Weights'!$G$1:$I$1,0)),"")</f>
        <v/>
      </c>
      <c r="T47" s="10">
        <f>IF($E47="","",IFERROR(100*(INDEX('Weights'!$D:$D,MATCH($A47,'Weights'!$A:$A,0))*(INDEX('Data_NSA'!$A:$OK,MATCH(EDATE(O$2,-1),'Data_NSA'!$A:$A,0),MATCH($D47,'Data_NSA'!$1:$1,0))/INDEX('Data_NSA'!$A:$OK,MATCH(INDEX('Weights'!$E:$E,MATCH($A47,'Weights'!$A:$A,0)),'Data_NSA'!$A:$A,0),MATCH($D47,'Data_NSA'!$1:$1,0))))/(100*(INDEX('Data_NSA'!$A:$OK,MATCH(EDATE(O$2,-1),'Data_NSA'!$A:$A,0),MATCH("CUUR0000SA0",'Data_NSA'!$1:$1,0))/INDEX('Data_NSA'!$A:$OK,MATCH(INDEX('Weights'!$E:$E,MATCH($A47,'Weights'!$A:$A,0)),'Data_NSA'!$A:$A,0),MATCH("CUUR0000SA0",'Data_NSA'!$1:$1,0))))*(INDEX('Data_SA'!$A:$LO,MATCH(O$2,'Data_SA'!$A:$A,0),MATCH($E47,'Data_SA'!$1:$1,0))/INDEX('Data_SA'!$A:$LO,MATCH(EDATE(O$2,-1),'Data_SA'!$A:$A,0),MATCH($E47,'Data_SA'!$1:$1,0))-1),""))</f>
        <v/>
      </c>
      <c r="U47" s="10">
        <f>IFERROR(INDEX('Data_NSA'!$A:$OK,MATCH(U$2,'Data_NSA'!$A:$A,0),MATCH($D47,'Data_NSA'!$1:$1,0)),"")</f>
        <v/>
      </c>
      <c r="V47" s="10">
        <f>IF($E47="","",IFERROR(INDEX('Data_SA'!$A:$LO,MATCH(U$2,'Data_SA'!$A:$A,0),MATCH($E47,'Data_SA'!$1:$1,0)),""))</f>
        <v/>
      </c>
      <c r="W47" s="7">
        <f>IF($E47="","",IFERROR(INDEX('Data_SA'!$A:$LO,MATCH(U$2,'Data_SA'!$A:$A,0),MATCH($E47,'Data_SA'!$1:$1,0))/INDEX('Data_SA'!$A:$LO,MATCH(EDATE(U$2,-1),'Data_SA'!$A:$A,0),MATCH($E47,'Data_SA'!$1:$1,0))-1,""))</f>
        <v/>
      </c>
      <c r="X47" s="7">
        <f>IFERROR(INDEX('Data_NSA'!$A:$OK,MATCH(U$2,'Data_NSA'!$A:$A,0),MATCH($D47,'Data_NSA'!$1:$1,0))/INDEX('Data_NSA'!$A:$OK,MATCH(EDATE(U$2,-12),'Data_NSA'!$A:$A,0),MATCH($D47,'Data_NSA'!$1:$1,0))-1,"")</f>
        <v/>
      </c>
      <c r="Y47" s="10">
        <f>IFERROR(INDEX('Weights'!$G:$I,MATCH($A47,'Weights'!$A:$A,0),MATCH(U$2,'Weights'!$G$1:$I$1,0)),"")</f>
        <v/>
      </c>
      <c r="Z47" s="10">
        <f>IF($E47="","",IFERROR(100*(INDEX('Weights'!$D:$D,MATCH($A47,'Weights'!$A:$A,0))*(INDEX('Data_NSA'!$A:$OK,MATCH(EDATE(U$2,-1),'Data_NSA'!$A:$A,0),MATCH($D47,'Data_NSA'!$1:$1,0))/INDEX('Data_NSA'!$A:$OK,MATCH(INDEX('Weights'!$E:$E,MATCH($A47,'Weights'!$A:$A,0)),'Data_NSA'!$A:$A,0),MATCH($D47,'Data_NSA'!$1:$1,0))))/(100*(INDEX('Data_NSA'!$A:$OK,MATCH(EDATE(U$2,-1),'Data_NSA'!$A:$A,0),MATCH("CUUR0000SA0",'Data_NSA'!$1:$1,0))/INDEX('Data_NSA'!$A:$OK,MATCH(INDEX('Weights'!$E:$E,MATCH($A47,'Weights'!$A:$A,0)),'Data_NSA'!$A:$A,0),MATCH("CUUR0000SA0",'Data_NSA'!$1:$1,0))))*(INDEX('Data_SA'!$A:$LO,MATCH(U$2,'Data_SA'!$A:$A,0),MATCH($E47,'Data_SA'!$1:$1,0))/INDEX('Data_SA'!$A:$LO,MATCH(EDATE(U$2,-1),'Data_SA'!$A:$A,0),MATCH($E47,'Data_SA'!$1:$1,0))-1),""))</f>
        <v/>
      </c>
    </row>
    <row r="48">
      <c r="A48" s="3" t="inlineStr">
        <is>
          <t>SEFF</t>
        </is>
      </c>
      <c r="B48" s="3" t="inlineStr">
        <is>
          <t>Poultry</t>
        </is>
      </c>
      <c r="C48" s="3" t="inlineStr">
        <is>
          <t>SAF11211</t>
        </is>
      </c>
      <c r="D48" s="3" t="inlineStr">
        <is>
          <t>CUUR0000SEFF</t>
        </is>
      </c>
      <c r="E48" s="3" t="inlineStr">
        <is>
          <t>CUSR0000SEFF</t>
        </is>
      </c>
      <c r="F48" s="3" t="inlineStr">
        <is>
          <t>aggregate</t>
        </is>
      </c>
      <c r="G48" s="3" t="inlineStr">
        <is>
          <t>aggregate</t>
        </is>
      </c>
      <c r="H48" s="10">
        <f>IFERROR(INDEX(Weights!$D:$D,MATCH($A48,Weights!$A:$A,0)),"")</f>
        <v/>
      </c>
      <c r="I48" s="10">
        <f>IFERROR(INDEX('Data_NSA'!$A:$OK,MATCH(I$2,'Data_NSA'!$A:$A,0),MATCH($D48,'Data_NSA'!$1:$1,0)),"")</f>
        <v/>
      </c>
      <c r="J48" s="10">
        <f>IF($E48="","",IFERROR(INDEX('Data_SA'!$A:$LO,MATCH(I$2,'Data_SA'!$A:$A,0),MATCH($E48,'Data_SA'!$1:$1,0)),""))</f>
        <v/>
      </c>
      <c r="K48" s="7">
        <f>IF($E48="","",IFERROR(INDEX('Data_SA'!$A:$LO,MATCH(I$2,'Data_SA'!$A:$A,0),MATCH($E48,'Data_SA'!$1:$1,0))/INDEX('Data_SA'!$A:$LO,MATCH(EDATE(I$2,-1),'Data_SA'!$A:$A,0),MATCH($E48,'Data_SA'!$1:$1,0))-1,""))</f>
        <v/>
      </c>
      <c r="L48" s="7">
        <f>IFERROR(INDEX('Data_NSA'!$A:$OK,MATCH(I$2,'Data_NSA'!$A:$A,0),MATCH($D48,'Data_NSA'!$1:$1,0))/INDEX('Data_NSA'!$A:$OK,MATCH(EDATE(I$2,-12),'Data_NSA'!$A:$A,0),MATCH($D48,'Data_NSA'!$1:$1,0))-1,"")</f>
        <v/>
      </c>
      <c r="M48" s="10">
        <f>IFERROR(INDEX('Weights'!$G:$I,MATCH($A48,'Weights'!$A:$A,0),MATCH(I$2,'Weights'!$G$1:$I$1,0)),"")</f>
        <v/>
      </c>
      <c r="N48" s="10">
        <f>IF($E48="","",IFERROR(100*(INDEX('Weights'!$D:$D,MATCH($A48,'Weights'!$A:$A,0))*(INDEX('Data_NSA'!$A:$OK,MATCH(EDATE(I$2,-1),'Data_NSA'!$A:$A,0),MATCH($D48,'Data_NSA'!$1:$1,0))/INDEX('Data_NSA'!$A:$OK,MATCH(INDEX('Weights'!$E:$E,MATCH($A48,'Weights'!$A:$A,0)),'Data_NSA'!$A:$A,0),MATCH($D48,'Data_NSA'!$1:$1,0))))/(100*(INDEX('Data_NSA'!$A:$OK,MATCH(EDATE(I$2,-1),'Data_NSA'!$A:$A,0),MATCH("CUUR0000SA0",'Data_NSA'!$1:$1,0))/INDEX('Data_NSA'!$A:$OK,MATCH(INDEX('Weights'!$E:$E,MATCH($A48,'Weights'!$A:$A,0)),'Data_NSA'!$A:$A,0),MATCH("CUUR0000SA0",'Data_NSA'!$1:$1,0))))*(INDEX('Data_SA'!$A:$LO,MATCH(I$2,'Data_SA'!$A:$A,0),MATCH($E48,'Data_SA'!$1:$1,0))/INDEX('Data_SA'!$A:$LO,MATCH(EDATE(I$2,-1),'Data_SA'!$A:$A,0),MATCH($E48,'Data_SA'!$1:$1,0))-1),""))</f>
        <v/>
      </c>
      <c r="O48" s="10">
        <f>IFERROR(INDEX('Data_NSA'!$A:$OK,MATCH(O$2,'Data_NSA'!$A:$A,0),MATCH($D48,'Data_NSA'!$1:$1,0)),"")</f>
        <v/>
      </c>
      <c r="P48" s="10">
        <f>IF($E48="","",IFERROR(INDEX('Data_SA'!$A:$LO,MATCH(O$2,'Data_SA'!$A:$A,0),MATCH($E48,'Data_SA'!$1:$1,0)),""))</f>
        <v/>
      </c>
      <c r="Q48" s="7">
        <f>IF($E48="","",IFERROR(INDEX('Data_SA'!$A:$LO,MATCH(O$2,'Data_SA'!$A:$A,0),MATCH($E48,'Data_SA'!$1:$1,0))/INDEX('Data_SA'!$A:$LO,MATCH(EDATE(O$2,-1),'Data_SA'!$A:$A,0),MATCH($E48,'Data_SA'!$1:$1,0))-1,""))</f>
        <v/>
      </c>
      <c r="R48" s="7">
        <f>IFERROR(INDEX('Data_NSA'!$A:$OK,MATCH(O$2,'Data_NSA'!$A:$A,0),MATCH($D48,'Data_NSA'!$1:$1,0))/INDEX('Data_NSA'!$A:$OK,MATCH(EDATE(O$2,-12),'Data_NSA'!$A:$A,0),MATCH($D48,'Data_NSA'!$1:$1,0))-1,"")</f>
        <v/>
      </c>
      <c r="S48" s="10">
        <f>IFERROR(INDEX('Weights'!$G:$I,MATCH($A48,'Weights'!$A:$A,0),MATCH(O$2,'Weights'!$G$1:$I$1,0)),"")</f>
        <v/>
      </c>
      <c r="T48" s="10">
        <f>IF($E48="","",IFERROR(100*(INDEX('Weights'!$D:$D,MATCH($A48,'Weights'!$A:$A,0))*(INDEX('Data_NSA'!$A:$OK,MATCH(EDATE(O$2,-1),'Data_NSA'!$A:$A,0),MATCH($D48,'Data_NSA'!$1:$1,0))/INDEX('Data_NSA'!$A:$OK,MATCH(INDEX('Weights'!$E:$E,MATCH($A48,'Weights'!$A:$A,0)),'Data_NSA'!$A:$A,0),MATCH($D48,'Data_NSA'!$1:$1,0))))/(100*(INDEX('Data_NSA'!$A:$OK,MATCH(EDATE(O$2,-1),'Data_NSA'!$A:$A,0),MATCH("CUUR0000SA0",'Data_NSA'!$1:$1,0))/INDEX('Data_NSA'!$A:$OK,MATCH(INDEX('Weights'!$E:$E,MATCH($A48,'Weights'!$A:$A,0)),'Data_NSA'!$A:$A,0),MATCH("CUUR0000SA0",'Data_NSA'!$1:$1,0))))*(INDEX('Data_SA'!$A:$LO,MATCH(O$2,'Data_SA'!$A:$A,0),MATCH($E48,'Data_SA'!$1:$1,0))/INDEX('Data_SA'!$A:$LO,MATCH(EDATE(O$2,-1),'Data_SA'!$A:$A,0),MATCH($E48,'Data_SA'!$1:$1,0))-1),""))</f>
        <v/>
      </c>
      <c r="U48" s="10">
        <f>IFERROR(INDEX('Data_NSA'!$A:$OK,MATCH(U$2,'Data_NSA'!$A:$A,0),MATCH($D48,'Data_NSA'!$1:$1,0)),"")</f>
        <v/>
      </c>
      <c r="V48" s="10">
        <f>IF($E48="","",IFERROR(INDEX('Data_SA'!$A:$LO,MATCH(U$2,'Data_SA'!$A:$A,0),MATCH($E48,'Data_SA'!$1:$1,0)),""))</f>
        <v/>
      </c>
      <c r="W48" s="7">
        <f>IF($E48="","",IFERROR(INDEX('Data_SA'!$A:$LO,MATCH(U$2,'Data_SA'!$A:$A,0),MATCH($E48,'Data_SA'!$1:$1,0))/INDEX('Data_SA'!$A:$LO,MATCH(EDATE(U$2,-1),'Data_SA'!$A:$A,0),MATCH($E48,'Data_SA'!$1:$1,0))-1,""))</f>
        <v/>
      </c>
      <c r="X48" s="7">
        <f>IFERROR(INDEX('Data_NSA'!$A:$OK,MATCH(U$2,'Data_NSA'!$A:$A,0),MATCH($D48,'Data_NSA'!$1:$1,0))/INDEX('Data_NSA'!$A:$OK,MATCH(EDATE(U$2,-12),'Data_NSA'!$A:$A,0),MATCH($D48,'Data_NSA'!$1:$1,0))-1,"")</f>
        <v/>
      </c>
      <c r="Y48" s="10">
        <f>IFERROR(INDEX('Weights'!$G:$I,MATCH($A48,'Weights'!$A:$A,0),MATCH(U$2,'Weights'!$G$1:$I$1,0)),"")</f>
        <v/>
      </c>
      <c r="Z48" s="10">
        <f>IF($E48="","",IFERROR(100*(INDEX('Weights'!$D:$D,MATCH($A48,'Weights'!$A:$A,0))*(INDEX('Data_NSA'!$A:$OK,MATCH(EDATE(U$2,-1),'Data_NSA'!$A:$A,0),MATCH($D48,'Data_NSA'!$1:$1,0))/INDEX('Data_NSA'!$A:$OK,MATCH(INDEX('Weights'!$E:$E,MATCH($A48,'Weights'!$A:$A,0)),'Data_NSA'!$A:$A,0),MATCH($D48,'Data_NSA'!$1:$1,0))))/(100*(INDEX('Data_NSA'!$A:$OK,MATCH(EDATE(U$2,-1),'Data_NSA'!$A:$A,0),MATCH("CUUR0000SA0",'Data_NSA'!$1:$1,0))/INDEX('Data_NSA'!$A:$OK,MATCH(INDEX('Weights'!$E:$E,MATCH($A48,'Weights'!$A:$A,0)),'Data_NSA'!$A:$A,0),MATCH("CUUR0000SA0",'Data_NSA'!$1:$1,0))))*(INDEX('Data_SA'!$A:$LO,MATCH(U$2,'Data_SA'!$A:$A,0),MATCH($E48,'Data_SA'!$1:$1,0))/INDEX('Data_SA'!$A:$LO,MATCH(EDATE(U$2,-1),'Data_SA'!$A:$A,0),MATCH($E48,'Data_SA'!$1:$1,0))-1),""))</f>
        <v/>
      </c>
    </row>
    <row r="49">
      <c r="A49" s="3" t="inlineStr">
        <is>
          <t>SEFF01</t>
        </is>
      </c>
      <c r="B49" s="3" t="inlineStr">
        <is>
          <t>Chicken</t>
        </is>
      </c>
      <c r="C49" s="3" t="inlineStr">
        <is>
          <t>SEFF</t>
        </is>
      </c>
      <c r="D49" s="3" t="inlineStr">
        <is>
          <t>CUUR0000SEFF01</t>
        </is>
      </c>
      <c r="E49" s="3" t="inlineStr">
        <is>
          <t>CUSR0000SEFF01</t>
        </is>
      </c>
      <c r="F49" s="3" t="inlineStr">
        <is>
          <t>GM</t>
        </is>
      </c>
      <c r="G49" s="3" t="inlineStr">
        <is>
          <t>monthly food collection where sampled</t>
        </is>
      </c>
      <c r="H49" s="10">
        <f>IFERROR(INDEX(Weights!$D:$D,MATCH($A49,Weights!$A:$A,0)),"")</f>
        <v/>
      </c>
      <c r="I49" s="10">
        <f>IFERROR(INDEX('Data_NSA'!$A:$OK,MATCH(I$2,'Data_NSA'!$A:$A,0),MATCH($D49,'Data_NSA'!$1:$1,0)),"")</f>
        <v/>
      </c>
      <c r="J49" s="10">
        <f>IF($E49="","",IFERROR(INDEX('Data_SA'!$A:$LO,MATCH(I$2,'Data_SA'!$A:$A,0),MATCH($E49,'Data_SA'!$1:$1,0)),""))</f>
        <v/>
      </c>
      <c r="K49" s="7">
        <f>IF($E49="","",IFERROR(INDEX('Data_SA'!$A:$LO,MATCH(I$2,'Data_SA'!$A:$A,0),MATCH($E49,'Data_SA'!$1:$1,0))/INDEX('Data_SA'!$A:$LO,MATCH(EDATE(I$2,-1),'Data_SA'!$A:$A,0),MATCH($E49,'Data_SA'!$1:$1,0))-1,""))</f>
        <v/>
      </c>
      <c r="L49" s="7">
        <f>IFERROR(INDEX('Data_NSA'!$A:$OK,MATCH(I$2,'Data_NSA'!$A:$A,0),MATCH($D49,'Data_NSA'!$1:$1,0))/INDEX('Data_NSA'!$A:$OK,MATCH(EDATE(I$2,-12),'Data_NSA'!$A:$A,0),MATCH($D49,'Data_NSA'!$1:$1,0))-1,"")</f>
        <v/>
      </c>
      <c r="M49" s="10">
        <f>IFERROR(INDEX('Weights'!$G:$I,MATCH($A49,'Weights'!$A:$A,0),MATCH(I$2,'Weights'!$G$1:$I$1,0)),"")</f>
        <v/>
      </c>
      <c r="N49" s="10">
        <f>IF($E49="","",IFERROR(100*(INDEX('Weights'!$D:$D,MATCH($A49,'Weights'!$A:$A,0))*(INDEX('Data_NSA'!$A:$OK,MATCH(EDATE(I$2,-1),'Data_NSA'!$A:$A,0),MATCH($D49,'Data_NSA'!$1:$1,0))/INDEX('Data_NSA'!$A:$OK,MATCH(INDEX('Weights'!$E:$E,MATCH($A49,'Weights'!$A:$A,0)),'Data_NSA'!$A:$A,0),MATCH($D49,'Data_NSA'!$1:$1,0))))/(100*(INDEX('Data_NSA'!$A:$OK,MATCH(EDATE(I$2,-1),'Data_NSA'!$A:$A,0),MATCH("CUUR0000SA0",'Data_NSA'!$1:$1,0))/INDEX('Data_NSA'!$A:$OK,MATCH(INDEX('Weights'!$E:$E,MATCH($A49,'Weights'!$A:$A,0)),'Data_NSA'!$A:$A,0),MATCH("CUUR0000SA0",'Data_NSA'!$1:$1,0))))*(INDEX('Data_SA'!$A:$LO,MATCH(I$2,'Data_SA'!$A:$A,0),MATCH($E49,'Data_SA'!$1:$1,0))/INDEX('Data_SA'!$A:$LO,MATCH(EDATE(I$2,-1),'Data_SA'!$A:$A,0),MATCH($E49,'Data_SA'!$1:$1,0))-1),""))</f>
        <v/>
      </c>
      <c r="O49" s="10">
        <f>IFERROR(INDEX('Data_NSA'!$A:$OK,MATCH(O$2,'Data_NSA'!$A:$A,0),MATCH($D49,'Data_NSA'!$1:$1,0)),"")</f>
        <v/>
      </c>
      <c r="P49" s="10">
        <f>IF($E49="","",IFERROR(INDEX('Data_SA'!$A:$LO,MATCH(O$2,'Data_SA'!$A:$A,0),MATCH($E49,'Data_SA'!$1:$1,0)),""))</f>
        <v/>
      </c>
      <c r="Q49" s="7">
        <f>IF($E49="","",IFERROR(INDEX('Data_SA'!$A:$LO,MATCH(O$2,'Data_SA'!$A:$A,0),MATCH($E49,'Data_SA'!$1:$1,0))/INDEX('Data_SA'!$A:$LO,MATCH(EDATE(O$2,-1),'Data_SA'!$A:$A,0),MATCH($E49,'Data_SA'!$1:$1,0))-1,""))</f>
        <v/>
      </c>
      <c r="R49" s="7">
        <f>IFERROR(INDEX('Data_NSA'!$A:$OK,MATCH(O$2,'Data_NSA'!$A:$A,0),MATCH($D49,'Data_NSA'!$1:$1,0))/INDEX('Data_NSA'!$A:$OK,MATCH(EDATE(O$2,-12),'Data_NSA'!$A:$A,0),MATCH($D49,'Data_NSA'!$1:$1,0))-1,"")</f>
        <v/>
      </c>
      <c r="S49" s="10">
        <f>IFERROR(INDEX('Weights'!$G:$I,MATCH($A49,'Weights'!$A:$A,0),MATCH(O$2,'Weights'!$G$1:$I$1,0)),"")</f>
        <v/>
      </c>
      <c r="T49" s="10">
        <f>IF($E49="","",IFERROR(100*(INDEX('Weights'!$D:$D,MATCH($A49,'Weights'!$A:$A,0))*(INDEX('Data_NSA'!$A:$OK,MATCH(EDATE(O$2,-1),'Data_NSA'!$A:$A,0),MATCH($D49,'Data_NSA'!$1:$1,0))/INDEX('Data_NSA'!$A:$OK,MATCH(INDEX('Weights'!$E:$E,MATCH($A49,'Weights'!$A:$A,0)),'Data_NSA'!$A:$A,0),MATCH($D49,'Data_NSA'!$1:$1,0))))/(100*(INDEX('Data_NSA'!$A:$OK,MATCH(EDATE(O$2,-1),'Data_NSA'!$A:$A,0),MATCH("CUUR0000SA0",'Data_NSA'!$1:$1,0))/INDEX('Data_NSA'!$A:$OK,MATCH(INDEX('Weights'!$E:$E,MATCH($A49,'Weights'!$A:$A,0)),'Data_NSA'!$A:$A,0),MATCH("CUUR0000SA0",'Data_NSA'!$1:$1,0))))*(INDEX('Data_SA'!$A:$LO,MATCH(O$2,'Data_SA'!$A:$A,0),MATCH($E49,'Data_SA'!$1:$1,0))/INDEX('Data_SA'!$A:$LO,MATCH(EDATE(O$2,-1),'Data_SA'!$A:$A,0),MATCH($E49,'Data_SA'!$1:$1,0))-1),""))</f>
        <v/>
      </c>
      <c r="U49" s="10">
        <f>IFERROR(INDEX('Data_NSA'!$A:$OK,MATCH(U$2,'Data_NSA'!$A:$A,0),MATCH($D49,'Data_NSA'!$1:$1,0)),"")</f>
        <v/>
      </c>
      <c r="V49" s="10">
        <f>IF($E49="","",IFERROR(INDEX('Data_SA'!$A:$LO,MATCH(U$2,'Data_SA'!$A:$A,0),MATCH($E49,'Data_SA'!$1:$1,0)),""))</f>
        <v/>
      </c>
      <c r="W49" s="7">
        <f>IF($E49="","",IFERROR(INDEX('Data_SA'!$A:$LO,MATCH(U$2,'Data_SA'!$A:$A,0),MATCH($E49,'Data_SA'!$1:$1,0))/INDEX('Data_SA'!$A:$LO,MATCH(EDATE(U$2,-1),'Data_SA'!$A:$A,0),MATCH($E49,'Data_SA'!$1:$1,0))-1,""))</f>
        <v/>
      </c>
      <c r="X49" s="7">
        <f>IFERROR(INDEX('Data_NSA'!$A:$OK,MATCH(U$2,'Data_NSA'!$A:$A,0),MATCH($D49,'Data_NSA'!$1:$1,0))/INDEX('Data_NSA'!$A:$OK,MATCH(EDATE(U$2,-12),'Data_NSA'!$A:$A,0),MATCH($D49,'Data_NSA'!$1:$1,0))-1,"")</f>
        <v/>
      </c>
      <c r="Y49" s="10">
        <f>IFERROR(INDEX('Weights'!$G:$I,MATCH($A49,'Weights'!$A:$A,0),MATCH(U$2,'Weights'!$G$1:$I$1,0)),"")</f>
        <v/>
      </c>
      <c r="Z49" s="10">
        <f>IF($E49="","",IFERROR(100*(INDEX('Weights'!$D:$D,MATCH($A49,'Weights'!$A:$A,0))*(INDEX('Data_NSA'!$A:$OK,MATCH(EDATE(U$2,-1),'Data_NSA'!$A:$A,0),MATCH($D49,'Data_NSA'!$1:$1,0))/INDEX('Data_NSA'!$A:$OK,MATCH(INDEX('Weights'!$E:$E,MATCH($A49,'Weights'!$A:$A,0)),'Data_NSA'!$A:$A,0),MATCH($D49,'Data_NSA'!$1:$1,0))))/(100*(INDEX('Data_NSA'!$A:$OK,MATCH(EDATE(U$2,-1),'Data_NSA'!$A:$A,0),MATCH("CUUR0000SA0",'Data_NSA'!$1:$1,0))/INDEX('Data_NSA'!$A:$OK,MATCH(INDEX('Weights'!$E:$E,MATCH($A49,'Weights'!$A:$A,0)),'Data_NSA'!$A:$A,0),MATCH("CUUR0000SA0",'Data_NSA'!$1:$1,0))))*(INDEX('Data_SA'!$A:$LO,MATCH(U$2,'Data_SA'!$A:$A,0),MATCH($E49,'Data_SA'!$1:$1,0))/INDEX('Data_SA'!$A:$LO,MATCH(EDATE(U$2,-1),'Data_SA'!$A:$A,0),MATCH($E49,'Data_SA'!$1:$1,0))-1),""))</f>
        <v/>
      </c>
    </row>
    <row r="50">
      <c r="A50" s="3" t="inlineStr">
        <is>
          <t>SS06011</t>
        </is>
      </c>
      <c r="B50" s="3" t="inlineStr">
        <is>
          <t>Fresh whole chicken</t>
        </is>
      </c>
      <c r="C50" s="3" t="inlineStr">
        <is>
          <t>SEFF</t>
        </is>
      </c>
      <c r="D50" s="3" t="inlineStr">
        <is>
          <t>CUUR0000SS06011</t>
        </is>
      </c>
      <c r="E50" s="3" t="inlineStr">
        <is>
          <t>CUSR0000SS06011</t>
        </is>
      </c>
      <c r="F50" s="3" t="inlineStr">
        <is>
          <t>GM</t>
        </is>
      </c>
      <c r="G50" s="3" t="inlineStr">
        <is>
          <t>monthly in New York/Los Angeles/Chicago; often bimonthly elsewhere</t>
        </is>
      </c>
      <c r="H50" s="10">
        <f>IFERROR(INDEX(Weights!$D:$D,MATCH($A50,Weights!$A:$A,0)),"")</f>
        <v/>
      </c>
      <c r="I50" s="10">
        <f>IFERROR(INDEX('Data_NSA'!$A:$OK,MATCH(I$2,'Data_NSA'!$A:$A,0),MATCH($D50,'Data_NSA'!$1:$1,0)),"")</f>
        <v/>
      </c>
      <c r="J50" s="10">
        <f>IF($E50="","",IFERROR(INDEX('Data_SA'!$A:$LO,MATCH(I$2,'Data_SA'!$A:$A,0),MATCH($E50,'Data_SA'!$1:$1,0)),""))</f>
        <v/>
      </c>
      <c r="K50" s="7">
        <f>IF($E50="","",IFERROR(INDEX('Data_SA'!$A:$LO,MATCH(I$2,'Data_SA'!$A:$A,0),MATCH($E50,'Data_SA'!$1:$1,0))/INDEX('Data_SA'!$A:$LO,MATCH(EDATE(I$2,-1),'Data_SA'!$A:$A,0),MATCH($E50,'Data_SA'!$1:$1,0))-1,""))</f>
        <v/>
      </c>
      <c r="L50" s="7">
        <f>IFERROR(INDEX('Data_NSA'!$A:$OK,MATCH(I$2,'Data_NSA'!$A:$A,0),MATCH($D50,'Data_NSA'!$1:$1,0))/INDEX('Data_NSA'!$A:$OK,MATCH(EDATE(I$2,-12),'Data_NSA'!$A:$A,0),MATCH($D50,'Data_NSA'!$1:$1,0))-1,"")</f>
        <v/>
      </c>
      <c r="M50" s="10">
        <f>IFERROR(INDEX('Weights'!$G:$I,MATCH($A50,'Weights'!$A:$A,0),MATCH(I$2,'Weights'!$G$1:$I$1,0)),"")</f>
        <v/>
      </c>
      <c r="N50" s="10">
        <f>IF($E50="","",IFERROR(100*(INDEX('Weights'!$D:$D,MATCH($A50,'Weights'!$A:$A,0))*(INDEX('Data_NSA'!$A:$OK,MATCH(EDATE(I$2,-1),'Data_NSA'!$A:$A,0),MATCH($D50,'Data_NSA'!$1:$1,0))/INDEX('Data_NSA'!$A:$OK,MATCH(INDEX('Weights'!$E:$E,MATCH($A50,'Weights'!$A:$A,0)),'Data_NSA'!$A:$A,0),MATCH($D50,'Data_NSA'!$1:$1,0))))/(100*(INDEX('Data_NSA'!$A:$OK,MATCH(EDATE(I$2,-1),'Data_NSA'!$A:$A,0),MATCH("CUUR0000SA0",'Data_NSA'!$1:$1,0))/INDEX('Data_NSA'!$A:$OK,MATCH(INDEX('Weights'!$E:$E,MATCH($A50,'Weights'!$A:$A,0)),'Data_NSA'!$A:$A,0),MATCH("CUUR0000SA0",'Data_NSA'!$1:$1,0))))*(INDEX('Data_SA'!$A:$LO,MATCH(I$2,'Data_SA'!$A:$A,0),MATCH($E50,'Data_SA'!$1:$1,0))/INDEX('Data_SA'!$A:$LO,MATCH(EDATE(I$2,-1),'Data_SA'!$A:$A,0),MATCH($E50,'Data_SA'!$1:$1,0))-1),""))</f>
        <v/>
      </c>
      <c r="O50" s="10">
        <f>IFERROR(INDEX('Data_NSA'!$A:$OK,MATCH(O$2,'Data_NSA'!$A:$A,0),MATCH($D50,'Data_NSA'!$1:$1,0)),"")</f>
        <v/>
      </c>
      <c r="P50" s="10">
        <f>IF($E50="","",IFERROR(INDEX('Data_SA'!$A:$LO,MATCH(O$2,'Data_SA'!$A:$A,0),MATCH($E50,'Data_SA'!$1:$1,0)),""))</f>
        <v/>
      </c>
      <c r="Q50" s="7">
        <f>IF($E50="","",IFERROR(INDEX('Data_SA'!$A:$LO,MATCH(O$2,'Data_SA'!$A:$A,0),MATCH($E50,'Data_SA'!$1:$1,0))/INDEX('Data_SA'!$A:$LO,MATCH(EDATE(O$2,-1),'Data_SA'!$A:$A,0),MATCH($E50,'Data_SA'!$1:$1,0))-1,""))</f>
        <v/>
      </c>
      <c r="R50" s="7">
        <f>IFERROR(INDEX('Data_NSA'!$A:$OK,MATCH(O$2,'Data_NSA'!$A:$A,0),MATCH($D50,'Data_NSA'!$1:$1,0))/INDEX('Data_NSA'!$A:$OK,MATCH(EDATE(O$2,-12),'Data_NSA'!$A:$A,0),MATCH($D50,'Data_NSA'!$1:$1,0))-1,"")</f>
        <v/>
      </c>
      <c r="S50" s="10">
        <f>IFERROR(INDEX('Weights'!$G:$I,MATCH($A50,'Weights'!$A:$A,0),MATCH(O$2,'Weights'!$G$1:$I$1,0)),"")</f>
        <v/>
      </c>
      <c r="T50" s="10">
        <f>IF($E50="","",IFERROR(100*(INDEX('Weights'!$D:$D,MATCH($A50,'Weights'!$A:$A,0))*(INDEX('Data_NSA'!$A:$OK,MATCH(EDATE(O$2,-1),'Data_NSA'!$A:$A,0),MATCH($D50,'Data_NSA'!$1:$1,0))/INDEX('Data_NSA'!$A:$OK,MATCH(INDEX('Weights'!$E:$E,MATCH($A50,'Weights'!$A:$A,0)),'Data_NSA'!$A:$A,0),MATCH($D50,'Data_NSA'!$1:$1,0))))/(100*(INDEX('Data_NSA'!$A:$OK,MATCH(EDATE(O$2,-1),'Data_NSA'!$A:$A,0),MATCH("CUUR0000SA0",'Data_NSA'!$1:$1,0))/INDEX('Data_NSA'!$A:$OK,MATCH(INDEX('Weights'!$E:$E,MATCH($A50,'Weights'!$A:$A,0)),'Data_NSA'!$A:$A,0),MATCH("CUUR0000SA0",'Data_NSA'!$1:$1,0))))*(INDEX('Data_SA'!$A:$LO,MATCH(O$2,'Data_SA'!$A:$A,0),MATCH($E50,'Data_SA'!$1:$1,0))/INDEX('Data_SA'!$A:$LO,MATCH(EDATE(O$2,-1),'Data_SA'!$A:$A,0),MATCH($E50,'Data_SA'!$1:$1,0))-1),""))</f>
        <v/>
      </c>
      <c r="U50" s="10">
        <f>IFERROR(INDEX('Data_NSA'!$A:$OK,MATCH(U$2,'Data_NSA'!$A:$A,0),MATCH($D50,'Data_NSA'!$1:$1,0)),"")</f>
        <v/>
      </c>
      <c r="V50" s="10">
        <f>IF($E50="","",IFERROR(INDEX('Data_SA'!$A:$LO,MATCH(U$2,'Data_SA'!$A:$A,0),MATCH($E50,'Data_SA'!$1:$1,0)),""))</f>
        <v/>
      </c>
      <c r="W50" s="7">
        <f>IF($E50="","",IFERROR(INDEX('Data_SA'!$A:$LO,MATCH(U$2,'Data_SA'!$A:$A,0),MATCH($E50,'Data_SA'!$1:$1,0))/INDEX('Data_SA'!$A:$LO,MATCH(EDATE(U$2,-1),'Data_SA'!$A:$A,0),MATCH($E50,'Data_SA'!$1:$1,0))-1,""))</f>
        <v/>
      </c>
      <c r="X50" s="7">
        <f>IFERROR(INDEX('Data_NSA'!$A:$OK,MATCH(U$2,'Data_NSA'!$A:$A,0),MATCH($D50,'Data_NSA'!$1:$1,0))/INDEX('Data_NSA'!$A:$OK,MATCH(EDATE(U$2,-12),'Data_NSA'!$A:$A,0),MATCH($D50,'Data_NSA'!$1:$1,0))-1,"")</f>
        <v/>
      </c>
      <c r="Y50" s="10">
        <f>IFERROR(INDEX('Weights'!$G:$I,MATCH($A50,'Weights'!$A:$A,0),MATCH(U$2,'Weights'!$G$1:$I$1,0)),"")</f>
        <v/>
      </c>
      <c r="Z50" s="10">
        <f>IF($E50="","",IFERROR(100*(INDEX('Weights'!$D:$D,MATCH($A50,'Weights'!$A:$A,0))*(INDEX('Data_NSA'!$A:$OK,MATCH(EDATE(U$2,-1),'Data_NSA'!$A:$A,0),MATCH($D50,'Data_NSA'!$1:$1,0))/INDEX('Data_NSA'!$A:$OK,MATCH(INDEX('Weights'!$E:$E,MATCH($A50,'Weights'!$A:$A,0)),'Data_NSA'!$A:$A,0),MATCH($D50,'Data_NSA'!$1:$1,0))))/(100*(INDEX('Data_NSA'!$A:$OK,MATCH(EDATE(U$2,-1),'Data_NSA'!$A:$A,0),MATCH("CUUR0000SA0",'Data_NSA'!$1:$1,0))/INDEX('Data_NSA'!$A:$OK,MATCH(INDEX('Weights'!$E:$E,MATCH($A50,'Weights'!$A:$A,0)),'Data_NSA'!$A:$A,0),MATCH("CUUR0000SA0",'Data_NSA'!$1:$1,0))))*(INDEX('Data_SA'!$A:$LO,MATCH(U$2,'Data_SA'!$A:$A,0),MATCH($E50,'Data_SA'!$1:$1,0))/INDEX('Data_SA'!$A:$LO,MATCH(EDATE(U$2,-1),'Data_SA'!$A:$A,0),MATCH($E50,'Data_SA'!$1:$1,0))-1),""))</f>
        <v/>
      </c>
    </row>
    <row r="51">
      <c r="A51" s="3" t="inlineStr">
        <is>
          <t>SS06021</t>
        </is>
      </c>
      <c r="B51" s="3" t="inlineStr">
        <is>
          <t>Fresh and frozen chicken parts</t>
        </is>
      </c>
      <c r="C51" s="3" t="inlineStr">
        <is>
          <t>SEFF</t>
        </is>
      </c>
      <c r="D51" s="3" t="inlineStr">
        <is>
          <t>CUUR0000SS06021</t>
        </is>
      </c>
      <c r="E51" s="3" t="inlineStr">
        <is>
          <t>CUSR0000SS06021</t>
        </is>
      </c>
      <c r="F51" s="3" t="inlineStr">
        <is>
          <t>GM</t>
        </is>
      </c>
      <c r="G51" s="3" t="inlineStr">
        <is>
          <t>monthly in New York/Los Angeles/Chicago; often bimonthly elsewhere</t>
        </is>
      </c>
      <c r="H51" s="10">
        <f>IFERROR(INDEX(Weights!$D:$D,MATCH($A51,Weights!$A:$A,0)),"")</f>
        <v/>
      </c>
      <c r="I51" s="10">
        <f>IFERROR(INDEX('Data_NSA'!$A:$OK,MATCH(I$2,'Data_NSA'!$A:$A,0),MATCH($D51,'Data_NSA'!$1:$1,0)),"")</f>
        <v/>
      </c>
      <c r="J51" s="10">
        <f>IF($E51="","",IFERROR(INDEX('Data_SA'!$A:$LO,MATCH(I$2,'Data_SA'!$A:$A,0),MATCH($E51,'Data_SA'!$1:$1,0)),""))</f>
        <v/>
      </c>
      <c r="K51" s="7">
        <f>IF($E51="","",IFERROR(INDEX('Data_SA'!$A:$LO,MATCH(I$2,'Data_SA'!$A:$A,0),MATCH($E51,'Data_SA'!$1:$1,0))/INDEX('Data_SA'!$A:$LO,MATCH(EDATE(I$2,-1),'Data_SA'!$A:$A,0),MATCH($E51,'Data_SA'!$1:$1,0))-1,""))</f>
        <v/>
      </c>
      <c r="L51" s="7">
        <f>IFERROR(INDEX('Data_NSA'!$A:$OK,MATCH(I$2,'Data_NSA'!$A:$A,0),MATCH($D51,'Data_NSA'!$1:$1,0))/INDEX('Data_NSA'!$A:$OK,MATCH(EDATE(I$2,-12),'Data_NSA'!$A:$A,0),MATCH($D51,'Data_NSA'!$1:$1,0))-1,"")</f>
        <v/>
      </c>
      <c r="M51" s="10">
        <f>IFERROR(INDEX('Weights'!$G:$I,MATCH($A51,'Weights'!$A:$A,0),MATCH(I$2,'Weights'!$G$1:$I$1,0)),"")</f>
        <v/>
      </c>
      <c r="N51" s="10">
        <f>IF($E51="","",IFERROR(100*(INDEX('Weights'!$D:$D,MATCH($A51,'Weights'!$A:$A,0))*(INDEX('Data_NSA'!$A:$OK,MATCH(EDATE(I$2,-1),'Data_NSA'!$A:$A,0),MATCH($D51,'Data_NSA'!$1:$1,0))/INDEX('Data_NSA'!$A:$OK,MATCH(INDEX('Weights'!$E:$E,MATCH($A51,'Weights'!$A:$A,0)),'Data_NSA'!$A:$A,0),MATCH($D51,'Data_NSA'!$1:$1,0))))/(100*(INDEX('Data_NSA'!$A:$OK,MATCH(EDATE(I$2,-1),'Data_NSA'!$A:$A,0),MATCH("CUUR0000SA0",'Data_NSA'!$1:$1,0))/INDEX('Data_NSA'!$A:$OK,MATCH(INDEX('Weights'!$E:$E,MATCH($A51,'Weights'!$A:$A,0)),'Data_NSA'!$A:$A,0),MATCH("CUUR0000SA0",'Data_NSA'!$1:$1,0))))*(INDEX('Data_SA'!$A:$LO,MATCH(I$2,'Data_SA'!$A:$A,0),MATCH($E51,'Data_SA'!$1:$1,0))/INDEX('Data_SA'!$A:$LO,MATCH(EDATE(I$2,-1),'Data_SA'!$A:$A,0),MATCH($E51,'Data_SA'!$1:$1,0))-1),""))</f>
        <v/>
      </c>
      <c r="O51" s="10">
        <f>IFERROR(INDEX('Data_NSA'!$A:$OK,MATCH(O$2,'Data_NSA'!$A:$A,0),MATCH($D51,'Data_NSA'!$1:$1,0)),"")</f>
        <v/>
      </c>
      <c r="P51" s="10">
        <f>IF($E51="","",IFERROR(INDEX('Data_SA'!$A:$LO,MATCH(O$2,'Data_SA'!$A:$A,0),MATCH($E51,'Data_SA'!$1:$1,0)),""))</f>
        <v/>
      </c>
      <c r="Q51" s="7">
        <f>IF($E51="","",IFERROR(INDEX('Data_SA'!$A:$LO,MATCH(O$2,'Data_SA'!$A:$A,0),MATCH($E51,'Data_SA'!$1:$1,0))/INDEX('Data_SA'!$A:$LO,MATCH(EDATE(O$2,-1),'Data_SA'!$A:$A,0),MATCH($E51,'Data_SA'!$1:$1,0))-1,""))</f>
        <v/>
      </c>
      <c r="R51" s="7">
        <f>IFERROR(INDEX('Data_NSA'!$A:$OK,MATCH(O$2,'Data_NSA'!$A:$A,0),MATCH($D51,'Data_NSA'!$1:$1,0))/INDEX('Data_NSA'!$A:$OK,MATCH(EDATE(O$2,-12),'Data_NSA'!$A:$A,0),MATCH($D51,'Data_NSA'!$1:$1,0))-1,"")</f>
        <v/>
      </c>
      <c r="S51" s="10">
        <f>IFERROR(INDEX('Weights'!$G:$I,MATCH($A51,'Weights'!$A:$A,0),MATCH(O$2,'Weights'!$G$1:$I$1,0)),"")</f>
        <v/>
      </c>
      <c r="T51" s="10">
        <f>IF($E51="","",IFERROR(100*(INDEX('Weights'!$D:$D,MATCH($A51,'Weights'!$A:$A,0))*(INDEX('Data_NSA'!$A:$OK,MATCH(EDATE(O$2,-1),'Data_NSA'!$A:$A,0),MATCH($D51,'Data_NSA'!$1:$1,0))/INDEX('Data_NSA'!$A:$OK,MATCH(INDEX('Weights'!$E:$E,MATCH($A51,'Weights'!$A:$A,0)),'Data_NSA'!$A:$A,0),MATCH($D51,'Data_NSA'!$1:$1,0))))/(100*(INDEX('Data_NSA'!$A:$OK,MATCH(EDATE(O$2,-1),'Data_NSA'!$A:$A,0),MATCH("CUUR0000SA0",'Data_NSA'!$1:$1,0))/INDEX('Data_NSA'!$A:$OK,MATCH(INDEX('Weights'!$E:$E,MATCH($A51,'Weights'!$A:$A,0)),'Data_NSA'!$A:$A,0),MATCH("CUUR0000SA0",'Data_NSA'!$1:$1,0))))*(INDEX('Data_SA'!$A:$LO,MATCH(O$2,'Data_SA'!$A:$A,0),MATCH($E51,'Data_SA'!$1:$1,0))/INDEX('Data_SA'!$A:$LO,MATCH(EDATE(O$2,-1),'Data_SA'!$A:$A,0),MATCH($E51,'Data_SA'!$1:$1,0))-1),""))</f>
        <v/>
      </c>
      <c r="U51" s="10">
        <f>IFERROR(INDEX('Data_NSA'!$A:$OK,MATCH(U$2,'Data_NSA'!$A:$A,0),MATCH($D51,'Data_NSA'!$1:$1,0)),"")</f>
        <v/>
      </c>
      <c r="V51" s="10">
        <f>IF($E51="","",IFERROR(INDEX('Data_SA'!$A:$LO,MATCH(U$2,'Data_SA'!$A:$A,0),MATCH($E51,'Data_SA'!$1:$1,0)),""))</f>
        <v/>
      </c>
      <c r="W51" s="7">
        <f>IF($E51="","",IFERROR(INDEX('Data_SA'!$A:$LO,MATCH(U$2,'Data_SA'!$A:$A,0),MATCH($E51,'Data_SA'!$1:$1,0))/INDEX('Data_SA'!$A:$LO,MATCH(EDATE(U$2,-1),'Data_SA'!$A:$A,0),MATCH($E51,'Data_SA'!$1:$1,0))-1,""))</f>
        <v/>
      </c>
      <c r="X51" s="7">
        <f>IFERROR(INDEX('Data_NSA'!$A:$OK,MATCH(U$2,'Data_NSA'!$A:$A,0),MATCH($D51,'Data_NSA'!$1:$1,0))/INDEX('Data_NSA'!$A:$OK,MATCH(EDATE(U$2,-12),'Data_NSA'!$A:$A,0),MATCH($D51,'Data_NSA'!$1:$1,0))-1,"")</f>
        <v/>
      </c>
      <c r="Y51" s="10">
        <f>IFERROR(INDEX('Weights'!$G:$I,MATCH($A51,'Weights'!$A:$A,0),MATCH(U$2,'Weights'!$G$1:$I$1,0)),"")</f>
        <v/>
      </c>
      <c r="Z51" s="10">
        <f>IF($E51="","",IFERROR(100*(INDEX('Weights'!$D:$D,MATCH($A51,'Weights'!$A:$A,0))*(INDEX('Data_NSA'!$A:$OK,MATCH(EDATE(U$2,-1),'Data_NSA'!$A:$A,0),MATCH($D51,'Data_NSA'!$1:$1,0))/INDEX('Data_NSA'!$A:$OK,MATCH(INDEX('Weights'!$E:$E,MATCH($A51,'Weights'!$A:$A,0)),'Data_NSA'!$A:$A,0),MATCH($D51,'Data_NSA'!$1:$1,0))))/(100*(INDEX('Data_NSA'!$A:$OK,MATCH(EDATE(U$2,-1),'Data_NSA'!$A:$A,0),MATCH("CUUR0000SA0",'Data_NSA'!$1:$1,0))/INDEX('Data_NSA'!$A:$OK,MATCH(INDEX('Weights'!$E:$E,MATCH($A51,'Weights'!$A:$A,0)),'Data_NSA'!$A:$A,0),MATCH("CUUR0000SA0",'Data_NSA'!$1:$1,0))))*(INDEX('Data_SA'!$A:$LO,MATCH(U$2,'Data_SA'!$A:$A,0),MATCH($E51,'Data_SA'!$1:$1,0))/INDEX('Data_SA'!$A:$LO,MATCH(EDATE(U$2,-1),'Data_SA'!$A:$A,0),MATCH($E51,'Data_SA'!$1:$1,0))-1),""))</f>
        <v/>
      </c>
    </row>
    <row r="52">
      <c r="A52" s="3" t="inlineStr">
        <is>
          <t>SEFF02</t>
        </is>
      </c>
      <c r="B52" s="3" t="inlineStr">
        <is>
          <t>Other uncooked poultry including turkey</t>
        </is>
      </c>
      <c r="C52" s="3" t="inlineStr">
        <is>
          <t>SAF11211</t>
        </is>
      </c>
      <c r="D52" s="3" t="inlineStr">
        <is>
          <t>CUUR0000SEFF02</t>
        </is>
      </c>
      <c r="E52" s="3" t="inlineStr">
        <is>
          <t>CUSR0000SEFF02</t>
        </is>
      </c>
      <c r="F52" s="3" t="inlineStr">
        <is>
          <t>GM</t>
        </is>
      </c>
      <c r="G52" s="3" t="inlineStr">
        <is>
          <t>monthly food collection where sampled</t>
        </is>
      </c>
      <c r="H52" s="10">
        <f>IFERROR(INDEX(Weights!$D:$D,MATCH($A52,Weights!$A:$A,0)),"")</f>
        <v/>
      </c>
      <c r="I52" s="10">
        <f>IFERROR(INDEX('Data_NSA'!$A:$OK,MATCH(I$2,'Data_NSA'!$A:$A,0),MATCH($D52,'Data_NSA'!$1:$1,0)),"")</f>
        <v/>
      </c>
      <c r="J52" s="10">
        <f>IF($E52="","",IFERROR(INDEX('Data_SA'!$A:$LO,MATCH(I$2,'Data_SA'!$A:$A,0),MATCH($E52,'Data_SA'!$1:$1,0)),""))</f>
        <v/>
      </c>
      <c r="K52" s="7">
        <f>IF($E52="","",IFERROR(INDEX('Data_SA'!$A:$LO,MATCH(I$2,'Data_SA'!$A:$A,0),MATCH($E52,'Data_SA'!$1:$1,0))/INDEX('Data_SA'!$A:$LO,MATCH(EDATE(I$2,-1),'Data_SA'!$A:$A,0),MATCH($E52,'Data_SA'!$1:$1,0))-1,""))</f>
        <v/>
      </c>
      <c r="L52" s="7">
        <f>IFERROR(INDEX('Data_NSA'!$A:$OK,MATCH(I$2,'Data_NSA'!$A:$A,0),MATCH($D52,'Data_NSA'!$1:$1,0))/INDEX('Data_NSA'!$A:$OK,MATCH(EDATE(I$2,-12),'Data_NSA'!$A:$A,0),MATCH($D52,'Data_NSA'!$1:$1,0))-1,"")</f>
        <v/>
      </c>
      <c r="M52" s="10">
        <f>IFERROR(INDEX('Weights'!$G:$I,MATCH($A52,'Weights'!$A:$A,0),MATCH(I$2,'Weights'!$G$1:$I$1,0)),"")</f>
        <v/>
      </c>
      <c r="N52" s="10">
        <f>IF($E52="","",IFERROR(100*(INDEX('Weights'!$D:$D,MATCH($A52,'Weights'!$A:$A,0))*(INDEX('Data_NSA'!$A:$OK,MATCH(EDATE(I$2,-1),'Data_NSA'!$A:$A,0),MATCH($D52,'Data_NSA'!$1:$1,0))/INDEX('Data_NSA'!$A:$OK,MATCH(INDEX('Weights'!$E:$E,MATCH($A52,'Weights'!$A:$A,0)),'Data_NSA'!$A:$A,0),MATCH($D52,'Data_NSA'!$1:$1,0))))/(100*(INDEX('Data_NSA'!$A:$OK,MATCH(EDATE(I$2,-1),'Data_NSA'!$A:$A,0),MATCH("CUUR0000SA0",'Data_NSA'!$1:$1,0))/INDEX('Data_NSA'!$A:$OK,MATCH(INDEX('Weights'!$E:$E,MATCH($A52,'Weights'!$A:$A,0)),'Data_NSA'!$A:$A,0),MATCH("CUUR0000SA0",'Data_NSA'!$1:$1,0))))*(INDEX('Data_SA'!$A:$LO,MATCH(I$2,'Data_SA'!$A:$A,0),MATCH($E52,'Data_SA'!$1:$1,0))/INDEX('Data_SA'!$A:$LO,MATCH(EDATE(I$2,-1),'Data_SA'!$A:$A,0),MATCH($E52,'Data_SA'!$1:$1,0))-1),""))</f>
        <v/>
      </c>
      <c r="O52" s="10">
        <f>IFERROR(INDEX('Data_NSA'!$A:$OK,MATCH(O$2,'Data_NSA'!$A:$A,0),MATCH($D52,'Data_NSA'!$1:$1,0)),"")</f>
        <v/>
      </c>
      <c r="P52" s="10">
        <f>IF($E52="","",IFERROR(INDEX('Data_SA'!$A:$LO,MATCH(O$2,'Data_SA'!$A:$A,0),MATCH($E52,'Data_SA'!$1:$1,0)),""))</f>
        <v/>
      </c>
      <c r="Q52" s="7">
        <f>IF($E52="","",IFERROR(INDEX('Data_SA'!$A:$LO,MATCH(O$2,'Data_SA'!$A:$A,0),MATCH($E52,'Data_SA'!$1:$1,0))/INDEX('Data_SA'!$A:$LO,MATCH(EDATE(O$2,-1),'Data_SA'!$A:$A,0),MATCH($E52,'Data_SA'!$1:$1,0))-1,""))</f>
        <v/>
      </c>
      <c r="R52" s="7">
        <f>IFERROR(INDEX('Data_NSA'!$A:$OK,MATCH(O$2,'Data_NSA'!$A:$A,0),MATCH($D52,'Data_NSA'!$1:$1,0))/INDEX('Data_NSA'!$A:$OK,MATCH(EDATE(O$2,-12),'Data_NSA'!$A:$A,0),MATCH($D52,'Data_NSA'!$1:$1,0))-1,"")</f>
        <v/>
      </c>
      <c r="S52" s="10">
        <f>IFERROR(INDEX('Weights'!$G:$I,MATCH($A52,'Weights'!$A:$A,0),MATCH(O$2,'Weights'!$G$1:$I$1,0)),"")</f>
        <v/>
      </c>
      <c r="T52" s="10">
        <f>IF($E52="","",IFERROR(100*(INDEX('Weights'!$D:$D,MATCH($A52,'Weights'!$A:$A,0))*(INDEX('Data_NSA'!$A:$OK,MATCH(EDATE(O$2,-1),'Data_NSA'!$A:$A,0),MATCH($D52,'Data_NSA'!$1:$1,0))/INDEX('Data_NSA'!$A:$OK,MATCH(INDEX('Weights'!$E:$E,MATCH($A52,'Weights'!$A:$A,0)),'Data_NSA'!$A:$A,0),MATCH($D52,'Data_NSA'!$1:$1,0))))/(100*(INDEX('Data_NSA'!$A:$OK,MATCH(EDATE(O$2,-1),'Data_NSA'!$A:$A,0),MATCH("CUUR0000SA0",'Data_NSA'!$1:$1,0))/INDEX('Data_NSA'!$A:$OK,MATCH(INDEX('Weights'!$E:$E,MATCH($A52,'Weights'!$A:$A,0)),'Data_NSA'!$A:$A,0),MATCH("CUUR0000SA0",'Data_NSA'!$1:$1,0))))*(INDEX('Data_SA'!$A:$LO,MATCH(O$2,'Data_SA'!$A:$A,0),MATCH($E52,'Data_SA'!$1:$1,0))/INDEX('Data_SA'!$A:$LO,MATCH(EDATE(O$2,-1),'Data_SA'!$A:$A,0),MATCH($E52,'Data_SA'!$1:$1,0))-1),""))</f>
        <v/>
      </c>
      <c r="U52" s="10">
        <f>IFERROR(INDEX('Data_NSA'!$A:$OK,MATCH(U$2,'Data_NSA'!$A:$A,0),MATCH($D52,'Data_NSA'!$1:$1,0)),"")</f>
        <v/>
      </c>
      <c r="V52" s="10">
        <f>IF($E52="","",IFERROR(INDEX('Data_SA'!$A:$LO,MATCH(U$2,'Data_SA'!$A:$A,0),MATCH($E52,'Data_SA'!$1:$1,0)),""))</f>
        <v/>
      </c>
      <c r="W52" s="7">
        <f>IF($E52="","",IFERROR(INDEX('Data_SA'!$A:$LO,MATCH(U$2,'Data_SA'!$A:$A,0),MATCH($E52,'Data_SA'!$1:$1,0))/INDEX('Data_SA'!$A:$LO,MATCH(EDATE(U$2,-1),'Data_SA'!$A:$A,0),MATCH($E52,'Data_SA'!$1:$1,0))-1,""))</f>
        <v/>
      </c>
      <c r="X52" s="7">
        <f>IFERROR(INDEX('Data_NSA'!$A:$OK,MATCH(U$2,'Data_NSA'!$A:$A,0),MATCH($D52,'Data_NSA'!$1:$1,0))/INDEX('Data_NSA'!$A:$OK,MATCH(EDATE(U$2,-12),'Data_NSA'!$A:$A,0),MATCH($D52,'Data_NSA'!$1:$1,0))-1,"")</f>
        <v/>
      </c>
      <c r="Y52" s="10">
        <f>IFERROR(INDEX('Weights'!$G:$I,MATCH($A52,'Weights'!$A:$A,0),MATCH(U$2,'Weights'!$G$1:$I$1,0)),"")</f>
        <v/>
      </c>
      <c r="Z52" s="10">
        <f>IF($E52="","",IFERROR(100*(INDEX('Weights'!$D:$D,MATCH($A52,'Weights'!$A:$A,0))*(INDEX('Data_NSA'!$A:$OK,MATCH(EDATE(U$2,-1),'Data_NSA'!$A:$A,0),MATCH($D52,'Data_NSA'!$1:$1,0))/INDEX('Data_NSA'!$A:$OK,MATCH(INDEX('Weights'!$E:$E,MATCH($A52,'Weights'!$A:$A,0)),'Data_NSA'!$A:$A,0),MATCH($D52,'Data_NSA'!$1:$1,0))))/(100*(INDEX('Data_NSA'!$A:$OK,MATCH(EDATE(U$2,-1),'Data_NSA'!$A:$A,0),MATCH("CUUR0000SA0",'Data_NSA'!$1:$1,0))/INDEX('Data_NSA'!$A:$OK,MATCH(INDEX('Weights'!$E:$E,MATCH($A52,'Weights'!$A:$A,0)),'Data_NSA'!$A:$A,0),MATCH("CUUR0000SA0",'Data_NSA'!$1:$1,0))))*(INDEX('Data_SA'!$A:$LO,MATCH(U$2,'Data_SA'!$A:$A,0),MATCH($E52,'Data_SA'!$1:$1,0))/INDEX('Data_SA'!$A:$LO,MATCH(EDATE(U$2,-1),'Data_SA'!$A:$A,0),MATCH($E52,'Data_SA'!$1:$1,0))-1),""))</f>
        <v/>
      </c>
    </row>
    <row r="53">
      <c r="A53" s="3" t="inlineStr">
        <is>
          <t>SEFG</t>
        </is>
      </c>
      <c r="B53" s="3" t="inlineStr">
        <is>
          <t>Fish and seafood</t>
        </is>
      </c>
      <c r="C53" s="3" t="inlineStr">
        <is>
          <t>SAF1121</t>
        </is>
      </c>
      <c r="D53" s="3" t="inlineStr">
        <is>
          <t>CUUR0000SEFG</t>
        </is>
      </c>
      <c r="E53" s="3" t="inlineStr">
        <is>
          <t>CUSR0000SEFG</t>
        </is>
      </c>
      <c r="F53" s="3" t="inlineStr">
        <is>
          <t>aggregate</t>
        </is>
      </c>
      <c r="G53" s="3" t="inlineStr">
        <is>
          <t>aggregate</t>
        </is>
      </c>
      <c r="H53" s="10">
        <f>IFERROR(INDEX(Weights!$D:$D,MATCH($A53,Weights!$A:$A,0)),"")</f>
        <v/>
      </c>
      <c r="I53" s="10">
        <f>IFERROR(INDEX('Data_NSA'!$A:$OK,MATCH(I$2,'Data_NSA'!$A:$A,0),MATCH($D53,'Data_NSA'!$1:$1,0)),"")</f>
        <v/>
      </c>
      <c r="J53" s="10">
        <f>IF($E53="","",IFERROR(INDEX('Data_SA'!$A:$LO,MATCH(I$2,'Data_SA'!$A:$A,0),MATCH($E53,'Data_SA'!$1:$1,0)),""))</f>
        <v/>
      </c>
      <c r="K53" s="7">
        <f>IF($E53="","",IFERROR(INDEX('Data_SA'!$A:$LO,MATCH(I$2,'Data_SA'!$A:$A,0),MATCH($E53,'Data_SA'!$1:$1,0))/INDEX('Data_SA'!$A:$LO,MATCH(EDATE(I$2,-1),'Data_SA'!$A:$A,0),MATCH($E53,'Data_SA'!$1:$1,0))-1,""))</f>
        <v/>
      </c>
      <c r="L53" s="7">
        <f>IFERROR(INDEX('Data_NSA'!$A:$OK,MATCH(I$2,'Data_NSA'!$A:$A,0),MATCH($D53,'Data_NSA'!$1:$1,0))/INDEX('Data_NSA'!$A:$OK,MATCH(EDATE(I$2,-12),'Data_NSA'!$A:$A,0),MATCH($D53,'Data_NSA'!$1:$1,0))-1,"")</f>
        <v/>
      </c>
      <c r="M53" s="10">
        <f>IFERROR(INDEX('Weights'!$G:$I,MATCH($A53,'Weights'!$A:$A,0),MATCH(I$2,'Weights'!$G$1:$I$1,0)),"")</f>
        <v/>
      </c>
      <c r="N53" s="10">
        <f>IF($E53="","",IFERROR(100*(INDEX('Weights'!$D:$D,MATCH($A53,'Weights'!$A:$A,0))*(INDEX('Data_NSA'!$A:$OK,MATCH(EDATE(I$2,-1),'Data_NSA'!$A:$A,0),MATCH($D53,'Data_NSA'!$1:$1,0))/INDEX('Data_NSA'!$A:$OK,MATCH(INDEX('Weights'!$E:$E,MATCH($A53,'Weights'!$A:$A,0)),'Data_NSA'!$A:$A,0),MATCH($D53,'Data_NSA'!$1:$1,0))))/(100*(INDEX('Data_NSA'!$A:$OK,MATCH(EDATE(I$2,-1),'Data_NSA'!$A:$A,0),MATCH("CUUR0000SA0",'Data_NSA'!$1:$1,0))/INDEX('Data_NSA'!$A:$OK,MATCH(INDEX('Weights'!$E:$E,MATCH($A53,'Weights'!$A:$A,0)),'Data_NSA'!$A:$A,0),MATCH("CUUR0000SA0",'Data_NSA'!$1:$1,0))))*(INDEX('Data_SA'!$A:$LO,MATCH(I$2,'Data_SA'!$A:$A,0),MATCH($E53,'Data_SA'!$1:$1,0))/INDEX('Data_SA'!$A:$LO,MATCH(EDATE(I$2,-1),'Data_SA'!$A:$A,0),MATCH($E53,'Data_SA'!$1:$1,0))-1),""))</f>
        <v/>
      </c>
      <c r="O53" s="10">
        <f>IFERROR(INDEX('Data_NSA'!$A:$OK,MATCH(O$2,'Data_NSA'!$A:$A,0),MATCH($D53,'Data_NSA'!$1:$1,0)),"")</f>
        <v/>
      </c>
      <c r="P53" s="10">
        <f>IF($E53="","",IFERROR(INDEX('Data_SA'!$A:$LO,MATCH(O$2,'Data_SA'!$A:$A,0),MATCH($E53,'Data_SA'!$1:$1,0)),""))</f>
        <v/>
      </c>
      <c r="Q53" s="7">
        <f>IF($E53="","",IFERROR(INDEX('Data_SA'!$A:$LO,MATCH(O$2,'Data_SA'!$A:$A,0),MATCH($E53,'Data_SA'!$1:$1,0))/INDEX('Data_SA'!$A:$LO,MATCH(EDATE(O$2,-1),'Data_SA'!$A:$A,0),MATCH($E53,'Data_SA'!$1:$1,0))-1,""))</f>
        <v/>
      </c>
      <c r="R53" s="7">
        <f>IFERROR(INDEX('Data_NSA'!$A:$OK,MATCH(O$2,'Data_NSA'!$A:$A,0),MATCH($D53,'Data_NSA'!$1:$1,0))/INDEX('Data_NSA'!$A:$OK,MATCH(EDATE(O$2,-12),'Data_NSA'!$A:$A,0),MATCH($D53,'Data_NSA'!$1:$1,0))-1,"")</f>
        <v/>
      </c>
      <c r="S53" s="10">
        <f>IFERROR(INDEX('Weights'!$G:$I,MATCH($A53,'Weights'!$A:$A,0),MATCH(O$2,'Weights'!$G$1:$I$1,0)),"")</f>
        <v/>
      </c>
      <c r="T53" s="10">
        <f>IF($E53="","",IFERROR(100*(INDEX('Weights'!$D:$D,MATCH($A53,'Weights'!$A:$A,0))*(INDEX('Data_NSA'!$A:$OK,MATCH(EDATE(O$2,-1),'Data_NSA'!$A:$A,0),MATCH($D53,'Data_NSA'!$1:$1,0))/INDEX('Data_NSA'!$A:$OK,MATCH(INDEX('Weights'!$E:$E,MATCH($A53,'Weights'!$A:$A,0)),'Data_NSA'!$A:$A,0),MATCH($D53,'Data_NSA'!$1:$1,0))))/(100*(INDEX('Data_NSA'!$A:$OK,MATCH(EDATE(O$2,-1),'Data_NSA'!$A:$A,0),MATCH("CUUR0000SA0",'Data_NSA'!$1:$1,0))/INDEX('Data_NSA'!$A:$OK,MATCH(INDEX('Weights'!$E:$E,MATCH($A53,'Weights'!$A:$A,0)),'Data_NSA'!$A:$A,0),MATCH("CUUR0000SA0",'Data_NSA'!$1:$1,0))))*(INDEX('Data_SA'!$A:$LO,MATCH(O$2,'Data_SA'!$A:$A,0),MATCH($E53,'Data_SA'!$1:$1,0))/INDEX('Data_SA'!$A:$LO,MATCH(EDATE(O$2,-1),'Data_SA'!$A:$A,0),MATCH($E53,'Data_SA'!$1:$1,0))-1),""))</f>
        <v/>
      </c>
      <c r="U53" s="10">
        <f>IFERROR(INDEX('Data_NSA'!$A:$OK,MATCH(U$2,'Data_NSA'!$A:$A,0),MATCH($D53,'Data_NSA'!$1:$1,0)),"")</f>
        <v/>
      </c>
      <c r="V53" s="10">
        <f>IF($E53="","",IFERROR(INDEX('Data_SA'!$A:$LO,MATCH(U$2,'Data_SA'!$A:$A,0),MATCH($E53,'Data_SA'!$1:$1,0)),""))</f>
        <v/>
      </c>
      <c r="W53" s="7">
        <f>IF($E53="","",IFERROR(INDEX('Data_SA'!$A:$LO,MATCH(U$2,'Data_SA'!$A:$A,0),MATCH($E53,'Data_SA'!$1:$1,0))/INDEX('Data_SA'!$A:$LO,MATCH(EDATE(U$2,-1),'Data_SA'!$A:$A,0),MATCH($E53,'Data_SA'!$1:$1,0))-1,""))</f>
        <v/>
      </c>
      <c r="X53" s="7">
        <f>IFERROR(INDEX('Data_NSA'!$A:$OK,MATCH(U$2,'Data_NSA'!$A:$A,0),MATCH($D53,'Data_NSA'!$1:$1,0))/INDEX('Data_NSA'!$A:$OK,MATCH(EDATE(U$2,-12),'Data_NSA'!$A:$A,0),MATCH($D53,'Data_NSA'!$1:$1,0))-1,"")</f>
        <v/>
      </c>
      <c r="Y53" s="10">
        <f>IFERROR(INDEX('Weights'!$G:$I,MATCH($A53,'Weights'!$A:$A,0),MATCH(U$2,'Weights'!$G$1:$I$1,0)),"")</f>
        <v/>
      </c>
      <c r="Z53" s="10">
        <f>IF($E53="","",IFERROR(100*(INDEX('Weights'!$D:$D,MATCH($A53,'Weights'!$A:$A,0))*(INDEX('Data_NSA'!$A:$OK,MATCH(EDATE(U$2,-1),'Data_NSA'!$A:$A,0),MATCH($D53,'Data_NSA'!$1:$1,0))/INDEX('Data_NSA'!$A:$OK,MATCH(INDEX('Weights'!$E:$E,MATCH($A53,'Weights'!$A:$A,0)),'Data_NSA'!$A:$A,0),MATCH($D53,'Data_NSA'!$1:$1,0))))/(100*(INDEX('Data_NSA'!$A:$OK,MATCH(EDATE(U$2,-1),'Data_NSA'!$A:$A,0),MATCH("CUUR0000SA0",'Data_NSA'!$1:$1,0))/INDEX('Data_NSA'!$A:$OK,MATCH(INDEX('Weights'!$E:$E,MATCH($A53,'Weights'!$A:$A,0)),'Data_NSA'!$A:$A,0),MATCH("CUUR0000SA0",'Data_NSA'!$1:$1,0))))*(INDEX('Data_SA'!$A:$LO,MATCH(U$2,'Data_SA'!$A:$A,0),MATCH($E53,'Data_SA'!$1:$1,0))/INDEX('Data_SA'!$A:$LO,MATCH(EDATE(U$2,-1),'Data_SA'!$A:$A,0),MATCH($E53,'Data_SA'!$1:$1,0))-1),""))</f>
        <v/>
      </c>
    </row>
    <row r="54">
      <c r="A54" s="3" t="inlineStr">
        <is>
          <t>SEFG01</t>
        </is>
      </c>
      <c r="B54" s="3" t="inlineStr">
        <is>
          <t>Fresh fish and seafood</t>
        </is>
      </c>
      <c r="C54" s="3" t="inlineStr">
        <is>
          <t>SEFG</t>
        </is>
      </c>
      <c r="D54" s="3" t="inlineStr">
        <is>
          <t>CUUR0000SEFG01</t>
        </is>
      </c>
      <c r="E54" s="3" t="inlineStr">
        <is>
          <t>CUSR0000SEFG01</t>
        </is>
      </c>
      <c r="F54" s="3" t="inlineStr">
        <is>
          <t>GM</t>
        </is>
      </c>
      <c r="G54" s="3" t="inlineStr">
        <is>
          <t>monthly food collection where sampled</t>
        </is>
      </c>
      <c r="H54" s="10">
        <f>IFERROR(INDEX(Weights!$D:$D,MATCH($A54,Weights!$A:$A,0)),"")</f>
        <v/>
      </c>
      <c r="I54" s="10">
        <f>IFERROR(INDEX('Data_NSA'!$A:$OK,MATCH(I$2,'Data_NSA'!$A:$A,0),MATCH($D54,'Data_NSA'!$1:$1,0)),"")</f>
        <v/>
      </c>
      <c r="J54" s="10">
        <f>IF($E54="","",IFERROR(INDEX('Data_SA'!$A:$LO,MATCH(I$2,'Data_SA'!$A:$A,0),MATCH($E54,'Data_SA'!$1:$1,0)),""))</f>
        <v/>
      </c>
      <c r="K54" s="7">
        <f>IF($E54="","",IFERROR(INDEX('Data_SA'!$A:$LO,MATCH(I$2,'Data_SA'!$A:$A,0),MATCH($E54,'Data_SA'!$1:$1,0))/INDEX('Data_SA'!$A:$LO,MATCH(EDATE(I$2,-1),'Data_SA'!$A:$A,0),MATCH($E54,'Data_SA'!$1:$1,0))-1,""))</f>
        <v/>
      </c>
      <c r="L54" s="7">
        <f>IFERROR(INDEX('Data_NSA'!$A:$OK,MATCH(I$2,'Data_NSA'!$A:$A,0),MATCH($D54,'Data_NSA'!$1:$1,0))/INDEX('Data_NSA'!$A:$OK,MATCH(EDATE(I$2,-12),'Data_NSA'!$A:$A,0),MATCH($D54,'Data_NSA'!$1:$1,0))-1,"")</f>
        <v/>
      </c>
      <c r="M54" s="10">
        <f>IFERROR(INDEX('Weights'!$G:$I,MATCH($A54,'Weights'!$A:$A,0),MATCH(I$2,'Weights'!$G$1:$I$1,0)),"")</f>
        <v/>
      </c>
      <c r="N54" s="10">
        <f>IF($E54="","",IFERROR(100*(INDEX('Weights'!$D:$D,MATCH($A54,'Weights'!$A:$A,0))*(INDEX('Data_NSA'!$A:$OK,MATCH(EDATE(I$2,-1),'Data_NSA'!$A:$A,0),MATCH($D54,'Data_NSA'!$1:$1,0))/INDEX('Data_NSA'!$A:$OK,MATCH(INDEX('Weights'!$E:$E,MATCH($A54,'Weights'!$A:$A,0)),'Data_NSA'!$A:$A,0),MATCH($D54,'Data_NSA'!$1:$1,0))))/(100*(INDEX('Data_NSA'!$A:$OK,MATCH(EDATE(I$2,-1),'Data_NSA'!$A:$A,0),MATCH("CUUR0000SA0",'Data_NSA'!$1:$1,0))/INDEX('Data_NSA'!$A:$OK,MATCH(INDEX('Weights'!$E:$E,MATCH($A54,'Weights'!$A:$A,0)),'Data_NSA'!$A:$A,0),MATCH("CUUR0000SA0",'Data_NSA'!$1:$1,0))))*(INDEX('Data_SA'!$A:$LO,MATCH(I$2,'Data_SA'!$A:$A,0),MATCH($E54,'Data_SA'!$1:$1,0))/INDEX('Data_SA'!$A:$LO,MATCH(EDATE(I$2,-1),'Data_SA'!$A:$A,0),MATCH($E54,'Data_SA'!$1:$1,0))-1),""))</f>
        <v/>
      </c>
      <c r="O54" s="10">
        <f>IFERROR(INDEX('Data_NSA'!$A:$OK,MATCH(O$2,'Data_NSA'!$A:$A,0),MATCH($D54,'Data_NSA'!$1:$1,0)),"")</f>
        <v/>
      </c>
      <c r="P54" s="10">
        <f>IF($E54="","",IFERROR(INDEX('Data_SA'!$A:$LO,MATCH(O$2,'Data_SA'!$A:$A,0),MATCH($E54,'Data_SA'!$1:$1,0)),""))</f>
        <v/>
      </c>
      <c r="Q54" s="7">
        <f>IF($E54="","",IFERROR(INDEX('Data_SA'!$A:$LO,MATCH(O$2,'Data_SA'!$A:$A,0),MATCH($E54,'Data_SA'!$1:$1,0))/INDEX('Data_SA'!$A:$LO,MATCH(EDATE(O$2,-1),'Data_SA'!$A:$A,0),MATCH($E54,'Data_SA'!$1:$1,0))-1,""))</f>
        <v/>
      </c>
      <c r="R54" s="7">
        <f>IFERROR(INDEX('Data_NSA'!$A:$OK,MATCH(O$2,'Data_NSA'!$A:$A,0),MATCH($D54,'Data_NSA'!$1:$1,0))/INDEX('Data_NSA'!$A:$OK,MATCH(EDATE(O$2,-12),'Data_NSA'!$A:$A,0),MATCH($D54,'Data_NSA'!$1:$1,0))-1,"")</f>
        <v/>
      </c>
      <c r="S54" s="10">
        <f>IFERROR(INDEX('Weights'!$G:$I,MATCH($A54,'Weights'!$A:$A,0),MATCH(O$2,'Weights'!$G$1:$I$1,0)),"")</f>
        <v/>
      </c>
      <c r="T54" s="10">
        <f>IF($E54="","",IFERROR(100*(INDEX('Weights'!$D:$D,MATCH($A54,'Weights'!$A:$A,0))*(INDEX('Data_NSA'!$A:$OK,MATCH(EDATE(O$2,-1),'Data_NSA'!$A:$A,0),MATCH($D54,'Data_NSA'!$1:$1,0))/INDEX('Data_NSA'!$A:$OK,MATCH(INDEX('Weights'!$E:$E,MATCH($A54,'Weights'!$A:$A,0)),'Data_NSA'!$A:$A,0),MATCH($D54,'Data_NSA'!$1:$1,0))))/(100*(INDEX('Data_NSA'!$A:$OK,MATCH(EDATE(O$2,-1),'Data_NSA'!$A:$A,0),MATCH("CUUR0000SA0",'Data_NSA'!$1:$1,0))/INDEX('Data_NSA'!$A:$OK,MATCH(INDEX('Weights'!$E:$E,MATCH($A54,'Weights'!$A:$A,0)),'Data_NSA'!$A:$A,0),MATCH("CUUR0000SA0",'Data_NSA'!$1:$1,0))))*(INDEX('Data_SA'!$A:$LO,MATCH(O$2,'Data_SA'!$A:$A,0),MATCH($E54,'Data_SA'!$1:$1,0))/INDEX('Data_SA'!$A:$LO,MATCH(EDATE(O$2,-1),'Data_SA'!$A:$A,0),MATCH($E54,'Data_SA'!$1:$1,0))-1),""))</f>
        <v/>
      </c>
      <c r="U54" s="10">
        <f>IFERROR(INDEX('Data_NSA'!$A:$OK,MATCH(U$2,'Data_NSA'!$A:$A,0),MATCH($D54,'Data_NSA'!$1:$1,0)),"")</f>
        <v/>
      </c>
      <c r="V54" s="10">
        <f>IF($E54="","",IFERROR(INDEX('Data_SA'!$A:$LO,MATCH(U$2,'Data_SA'!$A:$A,0),MATCH($E54,'Data_SA'!$1:$1,0)),""))</f>
        <v/>
      </c>
      <c r="W54" s="7">
        <f>IF($E54="","",IFERROR(INDEX('Data_SA'!$A:$LO,MATCH(U$2,'Data_SA'!$A:$A,0),MATCH($E54,'Data_SA'!$1:$1,0))/INDEX('Data_SA'!$A:$LO,MATCH(EDATE(U$2,-1),'Data_SA'!$A:$A,0),MATCH($E54,'Data_SA'!$1:$1,0))-1,""))</f>
        <v/>
      </c>
      <c r="X54" s="7">
        <f>IFERROR(INDEX('Data_NSA'!$A:$OK,MATCH(U$2,'Data_NSA'!$A:$A,0),MATCH($D54,'Data_NSA'!$1:$1,0))/INDEX('Data_NSA'!$A:$OK,MATCH(EDATE(U$2,-12),'Data_NSA'!$A:$A,0),MATCH($D54,'Data_NSA'!$1:$1,0))-1,"")</f>
        <v/>
      </c>
      <c r="Y54" s="10">
        <f>IFERROR(INDEX('Weights'!$G:$I,MATCH($A54,'Weights'!$A:$A,0),MATCH(U$2,'Weights'!$G$1:$I$1,0)),"")</f>
        <v/>
      </c>
      <c r="Z54" s="10">
        <f>IF($E54="","",IFERROR(100*(INDEX('Weights'!$D:$D,MATCH($A54,'Weights'!$A:$A,0))*(INDEX('Data_NSA'!$A:$OK,MATCH(EDATE(U$2,-1),'Data_NSA'!$A:$A,0),MATCH($D54,'Data_NSA'!$1:$1,0))/INDEX('Data_NSA'!$A:$OK,MATCH(INDEX('Weights'!$E:$E,MATCH($A54,'Weights'!$A:$A,0)),'Data_NSA'!$A:$A,0),MATCH($D54,'Data_NSA'!$1:$1,0))))/(100*(INDEX('Data_NSA'!$A:$OK,MATCH(EDATE(U$2,-1),'Data_NSA'!$A:$A,0),MATCH("CUUR0000SA0",'Data_NSA'!$1:$1,0))/INDEX('Data_NSA'!$A:$OK,MATCH(INDEX('Weights'!$E:$E,MATCH($A54,'Weights'!$A:$A,0)),'Data_NSA'!$A:$A,0),MATCH("CUUR0000SA0",'Data_NSA'!$1:$1,0))))*(INDEX('Data_SA'!$A:$LO,MATCH(U$2,'Data_SA'!$A:$A,0),MATCH($E54,'Data_SA'!$1:$1,0))/INDEX('Data_SA'!$A:$LO,MATCH(EDATE(U$2,-1),'Data_SA'!$A:$A,0),MATCH($E54,'Data_SA'!$1:$1,0))-1),""))</f>
        <v/>
      </c>
    </row>
    <row r="55">
      <c r="A55" s="3" t="inlineStr">
        <is>
          <t>SEFG02</t>
        </is>
      </c>
      <c r="B55" s="3" t="inlineStr">
        <is>
          <t>Processed fish and seafood</t>
        </is>
      </c>
      <c r="C55" s="3" t="inlineStr">
        <is>
          <t>SEFG</t>
        </is>
      </c>
      <c r="D55" s="3" t="inlineStr">
        <is>
          <t>CUUR0000SEFG02</t>
        </is>
      </c>
      <c r="E55" s="3" t="inlineStr">
        <is>
          <t>CUSR0000SEFG02</t>
        </is>
      </c>
      <c r="F55" s="3" t="inlineStr">
        <is>
          <t>aggregate</t>
        </is>
      </c>
      <c r="G55" s="3" t="inlineStr">
        <is>
          <t>aggregate</t>
        </is>
      </c>
      <c r="H55" s="10">
        <f>IFERROR(INDEX(Weights!$D:$D,MATCH($A55,Weights!$A:$A,0)),"")</f>
        <v/>
      </c>
      <c r="I55" s="10">
        <f>IFERROR(INDEX('Data_NSA'!$A:$OK,MATCH(I$2,'Data_NSA'!$A:$A,0),MATCH($D55,'Data_NSA'!$1:$1,0)),"")</f>
        <v/>
      </c>
      <c r="J55" s="10">
        <f>IF($E55="","",IFERROR(INDEX('Data_SA'!$A:$LO,MATCH(I$2,'Data_SA'!$A:$A,0),MATCH($E55,'Data_SA'!$1:$1,0)),""))</f>
        <v/>
      </c>
      <c r="K55" s="7">
        <f>IF($E55="","",IFERROR(INDEX('Data_SA'!$A:$LO,MATCH(I$2,'Data_SA'!$A:$A,0),MATCH($E55,'Data_SA'!$1:$1,0))/INDEX('Data_SA'!$A:$LO,MATCH(EDATE(I$2,-1),'Data_SA'!$A:$A,0),MATCH($E55,'Data_SA'!$1:$1,0))-1,""))</f>
        <v/>
      </c>
      <c r="L55" s="7">
        <f>IFERROR(INDEX('Data_NSA'!$A:$OK,MATCH(I$2,'Data_NSA'!$A:$A,0),MATCH($D55,'Data_NSA'!$1:$1,0))/INDEX('Data_NSA'!$A:$OK,MATCH(EDATE(I$2,-12),'Data_NSA'!$A:$A,0),MATCH($D55,'Data_NSA'!$1:$1,0))-1,"")</f>
        <v/>
      </c>
      <c r="M55" s="10">
        <f>IFERROR(INDEX('Weights'!$G:$I,MATCH($A55,'Weights'!$A:$A,0),MATCH(I$2,'Weights'!$G$1:$I$1,0)),"")</f>
        <v/>
      </c>
      <c r="N55" s="10">
        <f>IF($E55="","",IFERROR(100*(INDEX('Weights'!$D:$D,MATCH($A55,'Weights'!$A:$A,0))*(INDEX('Data_NSA'!$A:$OK,MATCH(EDATE(I$2,-1),'Data_NSA'!$A:$A,0),MATCH($D55,'Data_NSA'!$1:$1,0))/INDEX('Data_NSA'!$A:$OK,MATCH(INDEX('Weights'!$E:$E,MATCH($A55,'Weights'!$A:$A,0)),'Data_NSA'!$A:$A,0),MATCH($D55,'Data_NSA'!$1:$1,0))))/(100*(INDEX('Data_NSA'!$A:$OK,MATCH(EDATE(I$2,-1),'Data_NSA'!$A:$A,0),MATCH("CUUR0000SA0",'Data_NSA'!$1:$1,0))/INDEX('Data_NSA'!$A:$OK,MATCH(INDEX('Weights'!$E:$E,MATCH($A55,'Weights'!$A:$A,0)),'Data_NSA'!$A:$A,0),MATCH("CUUR0000SA0",'Data_NSA'!$1:$1,0))))*(INDEX('Data_SA'!$A:$LO,MATCH(I$2,'Data_SA'!$A:$A,0),MATCH($E55,'Data_SA'!$1:$1,0))/INDEX('Data_SA'!$A:$LO,MATCH(EDATE(I$2,-1),'Data_SA'!$A:$A,0),MATCH($E55,'Data_SA'!$1:$1,0))-1),""))</f>
        <v/>
      </c>
      <c r="O55" s="10">
        <f>IFERROR(INDEX('Data_NSA'!$A:$OK,MATCH(O$2,'Data_NSA'!$A:$A,0),MATCH($D55,'Data_NSA'!$1:$1,0)),"")</f>
        <v/>
      </c>
      <c r="P55" s="10">
        <f>IF($E55="","",IFERROR(INDEX('Data_SA'!$A:$LO,MATCH(O$2,'Data_SA'!$A:$A,0),MATCH($E55,'Data_SA'!$1:$1,0)),""))</f>
        <v/>
      </c>
      <c r="Q55" s="7">
        <f>IF($E55="","",IFERROR(INDEX('Data_SA'!$A:$LO,MATCH(O$2,'Data_SA'!$A:$A,0),MATCH($E55,'Data_SA'!$1:$1,0))/INDEX('Data_SA'!$A:$LO,MATCH(EDATE(O$2,-1),'Data_SA'!$A:$A,0),MATCH($E55,'Data_SA'!$1:$1,0))-1,""))</f>
        <v/>
      </c>
      <c r="R55" s="7">
        <f>IFERROR(INDEX('Data_NSA'!$A:$OK,MATCH(O$2,'Data_NSA'!$A:$A,0),MATCH($D55,'Data_NSA'!$1:$1,0))/INDEX('Data_NSA'!$A:$OK,MATCH(EDATE(O$2,-12),'Data_NSA'!$A:$A,0),MATCH($D55,'Data_NSA'!$1:$1,0))-1,"")</f>
        <v/>
      </c>
      <c r="S55" s="10">
        <f>IFERROR(INDEX('Weights'!$G:$I,MATCH($A55,'Weights'!$A:$A,0),MATCH(O$2,'Weights'!$G$1:$I$1,0)),"")</f>
        <v/>
      </c>
      <c r="T55" s="10">
        <f>IF($E55="","",IFERROR(100*(INDEX('Weights'!$D:$D,MATCH($A55,'Weights'!$A:$A,0))*(INDEX('Data_NSA'!$A:$OK,MATCH(EDATE(O$2,-1),'Data_NSA'!$A:$A,0),MATCH($D55,'Data_NSA'!$1:$1,0))/INDEX('Data_NSA'!$A:$OK,MATCH(INDEX('Weights'!$E:$E,MATCH($A55,'Weights'!$A:$A,0)),'Data_NSA'!$A:$A,0),MATCH($D55,'Data_NSA'!$1:$1,0))))/(100*(INDEX('Data_NSA'!$A:$OK,MATCH(EDATE(O$2,-1),'Data_NSA'!$A:$A,0),MATCH("CUUR0000SA0",'Data_NSA'!$1:$1,0))/INDEX('Data_NSA'!$A:$OK,MATCH(INDEX('Weights'!$E:$E,MATCH($A55,'Weights'!$A:$A,0)),'Data_NSA'!$A:$A,0),MATCH("CUUR0000SA0",'Data_NSA'!$1:$1,0))))*(INDEX('Data_SA'!$A:$LO,MATCH(O$2,'Data_SA'!$A:$A,0),MATCH($E55,'Data_SA'!$1:$1,0))/INDEX('Data_SA'!$A:$LO,MATCH(EDATE(O$2,-1),'Data_SA'!$A:$A,0),MATCH($E55,'Data_SA'!$1:$1,0))-1),""))</f>
        <v/>
      </c>
      <c r="U55" s="10">
        <f>IFERROR(INDEX('Data_NSA'!$A:$OK,MATCH(U$2,'Data_NSA'!$A:$A,0),MATCH($D55,'Data_NSA'!$1:$1,0)),"")</f>
        <v/>
      </c>
      <c r="V55" s="10">
        <f>IF($E55="","",IFERROR(INDEX('Data_SA'!$A:$LO,MATCH(U$2,'Data_SA'!$A:$A,0),MATCH($E55,'Data_SA'!$1:$1,0)),""))</f>
        <v/>
      </c>
      <c r="W55" s="7">
        <f>IF($E55="","",IFERROR(INDEX('Data_SA'!$A:$LO,MATCH(U$2,'Data_SA'!$A:$A,0),MATCH($E55,'Data_SA'!$1:$1,0))/INDEX('Data_SA'!$A:$LO,MATCH(EDATE(U$2,-1),'Data_SA'!$A:$A,0),MATCH($E55,'Data_SA'!$1:$1,0))-1,""))</f>
        <v/>
      </c>
      <c r="X55" s="7">
        <f>IFERROR(INDEX('Data_NSA'!$A:$OK,MATCH(U$2,'Data_NSA'!$A:$A,0),MATCH($D55,'Data_NSA'!$1:$1,0))/INDEX('Data_NSA'!$A:$OK,MATCH(EDATE(U$2,-12),'Data_NSA'!$A:$A,0),MATCH($D55,'Data_NSA'!$1:$1,0))-1,"")</f>
        <v/>
      </c>
      <c r="Y55" s="10">
        <f>IFERROR(INDEX('Weights'!$G:$I,MATCH($A55,'Weights'!$A:$A,0),MATCH(U$2,'Weights'!$G$1:$I$1,0)),"")</f>
        <v/>
      </c>
      <c r="Z55" s="10">
        <f>IF($E55="","",IFERROR(100*(INDEX('Weights'!$D:$D,MATCH($A55,'Weights'!$A:$A,0))*(INDEX('Data_NSA'!$A:$OK,MATCH(EDATE(U$2,-1),'Data_NSA'!$A:$A,0),MATCH($D55,'Data_NSA'!$1:$1,0))/INDEX('Data_NSA'!$A:$OK,MATCH(INDEX('Weights'!$E:$E,MATCH($A55,'Weights'!$A:$A,0)),'Data_NSA'!$A:$A,0),MATCH($D55,'Data_NSA'!$1:$1,0))))/(100*(INDEX('Data_NSA'!$A:$OK,MATCH(EDATE(U$2,-1),'Data_NSA'!$A:$A,0),MATCH("CUUR0000SA0",'Data_NSA'!$1:$1,0))/INDEX('Data_NSA'!$A:$OK,MATCH(INDEX('Weights'!$E:$E,MATCH($A55,'Weights'!$A:$A,0)),'Data_NSA'!$A:$A,0),MATCH("CUUR0000SA0",'Data_NSA'!$1:$1,0))))*(INDEX('Data_SA'!$A:$LO,MATCH(U$2,'Data_SA'!$A:$A,0),MATCH($E55,'Data_SA'!$1:$1,0))/INDEX('Data_SA'!$A:$LO,MATCH(EDATE(U$2,-1),'Data_SA'!$A:$A,0),MATCH($E55,'Data_SA'!$1:$1,0))-1),""))</f>
        <v/>
      </c>
    </row>
    <row r="56">
      <c r="A56" s="3" t="inlineStr">
        <is>
          <t>SS07011</t>
        </is>
      </c>
      <c r="B56" s="3" t="inlineStr">
        <is>
          <t>Shelf stable fish and seafood</t>
        </is>
      </c>
      <c r="C56" s="3" t="inlineStr">
        <is>
          <t>SEFG02</t>
        </is>
      </c>
      <c r="D56" s="3" t="inlineStr">
        <is>
          <t>CUUR0000SS07011</t>
        </is>
      </c>
      <c r="E56" s="3" t="inlineStr">
        <is>
          <t>CUSR0000SS07011</t>
        </is>
      </c>
      <c r="F56" s="3" t="inlineStr">
        <is>
          <t>GM</t>
        </is>
      </c>
      <c r="G56" s="3" t="inlineStr">
        <is>
          <t>monthly food collection where sampled</t>
        </is>
      </c>
      <c r="H56" s="10">
        <f>IFERROR(INDEX(Weights!$D:$D,MATCH($A56,Weights!$A:$A,0)),"")</f>
        <v/>
      </c>
      <c r="I56" s="10">
        <f>IFERROR(INDEX('Data_NSA'!$A:$OK,MATCH(I$2,'Data_NSA'!$A:$A,0),MATCH($D56,'Data_NSA'!$1:$1,0)),"")</f>
        <v/>
      </c>
      <c r="J56" s="10">
        <f>IF($E56="","",IFERROR(INDEX('Data_SA'!$A:$LO,MATCH(I$2,'Data_SA'!$A:$A,0),MATCH($E56,'Data_SA'!$1:$1,0)),""))</f>
        <v/>
      </c>
      <c r="K56" s="7">
        <f>IF($E56="","",IFERROR(INDEX('Data_SA'!$A:$LO,MATCH(I$2,'Data_SA'!$A:$A,0),MATCH($E56,'Data_SA'!$1:$1,0))/INDEX('Data_SA'!$A:$LO,MATCH(EDATE(I$2,-1),'Data_SA'!$A:$A,0),MATCH($E56,'Data_SA'!$1:$1,0))-1,""))</f>
        <v/>
      </c>
      <c r="L56" s="7">
        <f>IFERROR(INDEX('Data_NSA'!$A:$OK,MATCH(I$2,'Data_NSA'!$A:$A,0),MATCH($D56,'Data_NSA'!$1:$1,0))/INDEX('Data_NSA'!$A:$OK,MATCH(EDATE(I$2,-12),'Data_NSA'!$A:$A,0),MATCH($D56,'Data_NSA'!$1:$1,0))-1,"")</f>
        <v/>
      </c>
      <c r="M56" s="10">
        <f>IFERROR(INDEX('Weights'!$G:$I,MATCH($A56,'Weights'!$A:$A,0),MATCH(I$2,'Weights'!$G$1:$I$1,0)),"")</f>
        <v/>
      </c>
      <c r="N56" s="10">
        <f>IF($E56="","",IFERROR(100*(INDEX('Weights'!$D:$D,MATCH($A56,'Weights'!$A:$A,0))*(INDEX('Data_NSA'!$A:$OK,MATCH(EDATE(I$2,-1),'Data_NSA'!$A:$A,0),MATCH($D56,'Data_NSA'!$1:$1,0))/INDEX('Data_NSA'!$A:$OK,MATCH(INDEX('Weights'!$E:$E,MATCH($A56,'Weights'!$A:$A,0)),'Data_NSA'!$A:$A,0),MATCH($D56,'Data_NSA'!$1:$1,0))))/(100*(INDEX('Data_NSA'!$A:$OK,MATCH(EDATE(I$2,-1),'Data_NSA'!$A:$A,0),MATCH("CUUR0000SA0",'Data_NSA'!$1:$1,0))/INDEX('Data_NSA'!$A:$OK,MATCH(INDEX('Weights'!$E:$E,MATCH($A56,'Weights'!$A:$A,0)),'Data_NSA'!$A:$A,0),MATCH("CUUR0000SA0",'Data_NSA'!$1:$1,0))))*(INDEX('Data_SA'!$A:$LO,MATCH(I$2,'Data_SA'!$A:$A,0),MATCH($E56,'Data_SA'!$1:$1,0))/INDEX('Data_SA'!$A:$LO,MATCH(EDATE(I$2,-1),'Data_SA'!$A:$A,0),MATCH($E56,'Data_SA'!$1:$1,0))-1),""))</f>
        <v/>
      </c>
      <c r="O56" s="10">
        <f>IFERROR(INDEX('Data_NSA'!$A:$OK,MATCH(O$2,'Data_NSA'!$A:$A,0),MATCH($D56,'Data_NSA'!$1:$1,0)),"")</f>
        <v/>
      </c>
      <c r="P56" s="10">
        <f>IF($E56="","",IFERROR(INDEX('Data_SA'!$A:$LO,MATCH(O$2,'Data_SA'!$A:$A,0),MATCH($E56,'Data_SA'!$1:$1,0)),""))</f>
        <v/>
      </c>
      <c r="Q56" s="7">
        <f>IF($E56="","",IFERROR(INDEX('Data_SA'!$A:$LO,MATCH(O$2,'Data_SA'!$A:$A,0),MATCH($E56,'Data_SA'!$1:$1,0))/INDEX('Data_SA'!$A:$LO,MATCH(EDATE(O$2,-1),'Data_SA'!$A:$A,0),MATCH($E56,'Data_SA'!$1:$1,0))-1,""))</f>
        <v/>
      </c>
      <c r="R56" s="7">
        <f>IFERROR(INDEX('Data_NSA'!$A:$OK,MATCH(O$2,'Data_NSA'!$A:$A,0),MATCH($D56,'Data_NSA'!$1:$1,0))/INDEX('Data_NSA'!$A:$OK,MATCH(EDATE(O$2,-12),'Data_NSA'!$A:$A,0),MATCH($D56,'Data_NSA'!$1:$1,0))-1,"")</f>
        <v/>
      </c>
      <c r="S56" s="10">
        <f>IFERROR(INDEX('Weights'!$G:$I,MATCH($A56,'Weights'!$A:$A,0),MATCH(O$2,'Weights'!$G$1:$I$1,0)),"")</f>
        <v/>
      </c>
      <c r="T56" s="10">
        <f>IF($E56="","",IFERROR(100*(INDEX('Weights'!$D:$D,MATCH($A56,'Weights'!$A:$A,0))*(INDEX('Data_NSA'!$A:$OK,MATCH(EDATE(O$2,-1),'Data_NSA'!$A:$A,0),MATCH($D56,'Data_NSA'!$1:$1,0))/INDEX('Data_NSA'!$A:$OK,MATCH(INDEX('Weights'!$E:$E,MATCH($A56,'Weights'!$A:$A,0)),'Data_NSA'!$A:$A,0),MATCH($D56,'Data_NSA'!$1:$1,0))))/(100*(INDEX('Data_NSA'!$A:$OK,MATCH(EDATE(O$2,-1),'Data_NSA'!$A:$A,0),MATCH("CUUR0000SA0",'Data_NSA'!$1:$1,0))/INDEX('Data_NSA'!$A:$OK,MATCH(INDEX('Weights'!$E:$E,MATCH($A56,'Weights'!$A:$A,0)),'Data_NSA'!$A:$A,0),MATCH("CUUR0000SA0",'Data_NSA'!$1:$1,0))))*(INDEX('Data_SA'!$A:$LO,MATCH(O$2,'Data_SA'!$A:$A,0),MATCH($E56,'Data_SA'!$1:$1,0))/INDEX('Data_SA'!$A:$LO,MATCH(EDATE(O$2,-1),'Data_SA'!$A:$A,0),MATCH($E56,'Data_SA'!$1:$1,0))-1),""))</f>
        <v/>
      </c>
      <c r="U56" s="10">
        <f>IFERROR(INDEX('Data_NSA'!$A:$OK,MATCH(U$2,'Data_NSA'!$A:$A,0),MATCH($D56,'Data_NSA'!$1:$1,0)),"")</f>
        <v/>
      </c>
      <c r="V56" s="10">
        <f>IF($E56="","",IFERROR(INDEX('Data_SA'!$A:$LO,MATCH(U$2,'Data_SA'!$A:$A,0),MATCH($E56,'Data_SA'!$1:$1,0)),""))</f>
        <v/>
      </c>
      <c r="W56" s="7">
        <f>IF($E56="","",IFERROR(INDEX('Data_SA'!$A:$LO,MATCH(U$2,'Data_SA'!$A:$A,0),MATCH($E56,'Data_SA'!$1:$1,0))/INDEX('Data_SA'!$A:$LO,MATCH(EDATE(U$2,-1),'Data_SA'!$A:$A,0),MATCH($E56,'Data_SA'!$1:$1,0))-1,""))</f>
        <v/>
      </c>
      <c r="X56" s="7">
        <f>IFERROR(INDEX('Data_NSA'!$A:$OK,MATCH(U$2,'Data_NSA'!$A:$A,0),MATCH($D56,'Data_NSA'!$1:$1,0))/INDEX('Data_NSA'!$A:$OK,MATCH(EDATE(U$2,-12),'Data_NSA'!$A:$A,0),MATCH($D56,'Data_NSA'!$1:$1,0))-1,"")</f>
        <v/>
      </c>
      <c r="Y56" s="10">
        <f>IFERROR(INDEX('Weights'!$G:$I,MATCH($A56,'Weights'!$A:$A,0),MATCH(U$2,'Weights'!$G$1:$I$1,0)),"")</f>
        <v/>
      </c>
      <c r="Z56" s="10">
        <f>IF($E56="","",IFERROR(100*(INDEX('Weights'!$D:$D,MATCH($A56,'Weights'!$A:$A,0))*(INDEX('Data_NSA'!$A:$OK,MATCH(EDATE(U$2,-1),'Data_NSA'!$A:$A,0),MATCH($D56,'Data_NSA'!$1:$1,0))/INDEX('Data_NSA'!$A:$OK,MATCH(INDEX('Weights'!$E:$E,MATCH($A56,'Weights'!$A:$A,0)),'Data_NSA'!$A:$A,0),MATCH($D56,'Data_NSA'!$1:$1,0))))/(100*(INDEX('Data_NSA'!$A:$OK,MATCH(EDATE(U$2,-1),'Data_NSA'!$A:$A,0),MATCH("CUUR0000SA0",'Data_NSA'!$1:$1,0))/INDEX('Data_NSA'!$A:$OK,MATCH(INDEX('Weights'!$E:$E,MATCH($A56,'Weights'!$A:$A,0)),'Data_NSA'!$A:$A,0),MATCH("CUUR0000SA0",'Data_NSA'!$1:$1,0))))*(INDEX('Data_SA'!$A:$LO,MATCH(U$2,'Data_SA'!$A:$A,0),MATCH($E56,'Data_SA'!$1:$1,0))/INDEX('Data_SA'!$A:$LO,MATCH(EDATE(U$2,-1),'Data_SA'!$A:$A,0),MATCH($E56,'Data_SA'!$1:$1,0))-1),""))</f>
        <v/>
      </c>
    </row>
    <row r="57">
      <c r="A57" s="3" t="inlineStr">
        <is>
          <t>SS07021</t>
        </is>
      </c>
      <c r="B57" s="3" t="inlineStr">
        <is>
          <t>Frozen fish and seafood</t>
        </is>
      </c>
      <c r="C57" s="3" t="inlineStr">
        <is>
          <t>SEFG02</t>
        </is>
      </c>
      <c r="D57" s="3" t="inlineStr">
        <is>
          <t>CUUR0000SS07021</t>
        </is>
      </c>
      <c r="E57" s="3" t="inlineStr">
        <is>
          <t>CUSR0000SS07021</t>
        </is>
      </c>
      <c r="F57" s="3" t="inlineStr">
        <is>
          <t>GM</t>
        </is>
      </c>
      <c r="G57" s="3" t="inlineStr">
        <is>
          <t>monthly food collection where sampled</t>
        </is>
      </c>
      <c r="H57" s="10">
        <f>IFERROR(INDEX(Weights!$D:$D,MATCH($A57,Weights!$A:$A,0)),"")</f>
        <v/>
      </c>
      <c r="I57" s="10">
        <f>IFERROR(INDEX('Data_NSA'!$A:$OK,MATCH(I$2,'Data_NSA'!$A:$A,0),MATCH($D57,'Data_NSA'!$1:$1,0)),"")</f>
        <v/>
      </c>
      <c r="J57" s="10">
        <f>IF($E57="","",IFERROR(INDEX('Data_SA'!$A:$LO,MATCH(I$2,'Data_SA'!$A:$A,0),MATCH($E57,'Data_SA'!$1:$1,0)),""))</f>
        <v/>
      </c>
      <c r="K57" s="7">
        <f>IF($E57="","",IFERROR(INDEX('Data_SA'!$A:$LO,MATCH(I$2,'Data_SA'!$A:$A,0),MATCH($E57,'Data_SA'!$1:$1,0))/INDEX('Data_SA'!$A:$LO,MATCH(EDATE(I$2,-1),'Data_SA'!$A:$A,0),MATCH($E57,'Data_SA'!$1:$1,0))-1,""))</f>
        <v/>
      </c>
      <c r="L57" s="7">
        <f>IFERROR(INDEX('Data_NSA'!$A:$OK,MATCH(I$2,'Data_NSA'!$A:$A,0),MATCH($D57,'Data_NSA'!$1:$1,0))/INDEX('Data_NSA'!$A:$OK,MATCH(EDATE(I$2,-12),'Data_NSA'!$A:$A,0),MATCH($D57,'Data_NSA'!$1:$1,0))-1,"")</f>
        <v/>
      </c>
      <c r="M57" s="10">
        <f>IFERROR(INDEX('Weights'!$G:$I,MATCH($A57,'Weights'!$A:$A,0),MATCH(I$2,'Weights'!$G$1:$I$1,0)),"")</f>
        <v/>
      </c>
      <c r="N57" s="10">
        <f>IF($E57="","",IFERROR(100*(INDEX('Weights'!$D:$D,MATCH($A57,'Weights'!$A:$A,0))*(INDEX('Data_NSA'!$A:$OK,MATCH(EDATE(I$2,-1),'Data_NSA'!$A:$A,0),MATCH($D57,'Data_NSA'!$1:$1,0))/INDEX('Data_NSA'!$A:$OK,MATCH(INDEX('Weights'!$E:$E,MATCH($A57,'Weights'!$A:$A,0)),'Data_NSA'!$A:$A,0),MATCH($D57,'Data_NSA'!$1:$1,0))))/(100*(INDEX('Data_NSA'!$A:$OK,MATCH(EDATE(I$2,-1),'Data_NSA'!$A:$A,0),MATCH("CUUR0000SA0",'Data_NSA'!$1:$1,0))/INDEX('Data_NSA'!$A:$OK,MATCH(INDEX('Weights'!$E:$E,MATCH($A57,'Weights'!$A:$A,0)),'Data_NSA'!$A:$A,0),MATCH("CUUR0000SA0",'Data_NSA'!$1:$1,0))))*(INDEX('Data_SA'!$A:$LO,MATCH(I$2,'Data_SA'!$A:$A,0),MATCH($E57,'Data_SA'!$1:$1,0))/INDEX('Data_SA'!$A:$LO,MATCH(EDATE(I$2,-1),'Data_SA'!$A:$A,0),MATCH($E57,'Data_SA'!$1:$1,0))-1),""))</f>
        <v/>
      </c>
      <c r="O57" s="10">
        <f>IFERROR(INDEX('Data_NSA'!$A:$OK,MATCH(O$2,'Data_NSA'!$A:$A,0),MATCH($D57,'Data_NSA'!$1:$1,0)),"")</f>
        <v/>
      </c>
      <c r="P57" s="10">
        <f>IF($E57="","",IFERROR(INDEX('Data_SA'!$A:$LO,MATCH(O$2,'Data_SA'!$A:$A,0),MATCH($E57,'Data_SA'!$1:$1,0)),""))</f>
        <v/>
      </c>
      <c r="Q57" s="7">
        <f>IF($E57="","",IFERROR(INDEX('Data_SA'!$A:$LO,MATCH(O$2,'Data_SA'!$A:$A,0),MATCH($E57,'Data_SA'!$1:$1,0))/INDEX('Data_SA'!$A:$LO,MATCH(EDATE(O$2,-1),'Data_SA'!$A:$A,0),MATCH($E57,'Data_SA'!$1:$1,0))-1,""))</f>
        <v/>
      </c>
      <c r="R57" s="7">
        <f>IFERROR(INDEX('Data_NSA'!$A:$OK,MATCH(O$2,'Data_NSA'!$A:$A,0),MATCH($D57,'Data_NSA'!$1:$1,0))/INDEX('Data_NSA'!$A:$OK,MATCH(EDATE(O$2,-12),'Data_NSA'!$A:$A,0),MATCH($D57,'Data_NSA'!$1:$1,0))-1,"")</f>
        <v/>
      </c>
      <c r="S57" s="10">
        <f>IFERROR(INDEX('Weights'!$G:$I,MATCH($A57,'Weights'!$A:$A,0),MATCH(O$2,'Weights'!$G$1:$I$1,0)),"")</f>
        <v/>
      </c>
      <c r="T57" s="10">
        <f>IF($E57="","",IFERROR(100*(INDEX('Weights'!$D:$D,MATCH($A57,'Weights'!$A:$A,0))*(INDEX('Data_NSA'!$A:$OK,MATCH(EDATE(O$2,-1),'Data_NSA'!$A:$A,0),MATCH($D57,'Data_NSA'!$1:$1,0))/INDEX('Data_NSA'!$A:$OK,MATCH(INDEX('Weights'!$E:$E,MATCH($A57,'Weights'!$A:$A,0)),'Data_NSA'!$A:$A,0),MATCH($D57,'Data_NSA'!$1:$1,0))))/(100*(INDEX('Data_NSA'!$A:$OK,MATCH(EDATE(O$2,-1),'Data_NSA'!$A:$A,0),MATCH("CUUR0000SA0",'Data_NSA'!$1:$1,0))/INDEX('Data_NSA'!$A:$OK,MATCH(INDEX('Weights'!$E:$E,MATCH($A57,'Weights'!$A:$A,0)),'Data_NSA'!$A:$A,0),MATCH("CUUR0000SA0",'Data_NSA'!$1:$1,0))))*(INDEX('Data_SA'!$A:$LO,MATCH(O$2,'Data_SA'!$A:$A,0),MATCH($E57,'Data_SA'!$1:$1,0))/INDEX('Data_SA'!$A:$LO,MATCH(EDATE(O$2,-1),'Data_SA'!$A:$A,0),MATCH($E57,'Data_SA'!$1:$1,0))-1),""))</f>
        <v/>
      </c>
      <c r="U57" s="10">
        <f>IFERROR(INDEX('Data_NSA'!$A:$OK,MATCH(U$2,'Data_NSA'!$A:$A,0),MATCH($D57,'Data_NSA'!$1:$1,0)),"")</f>
        <v/>
      </c>
      <c r="V57" s="10">
        <f>IF($E57="","",IFERROR(INDEX('Data_SA'!$A:$LO,MATCH(U$2,'Data_SA'!$A:$A,0),MATCH($E57,'Data_SA'!$1:$1,0)),""))</f>
        <v/>
      </c>
      <c r="W57" s="7">
        <f>IF($E57="","",IFERROR(INDEX('Data_SA'!$A:$LO,MATCH(U$2,'Data_SA'!$A:$A,0),MATCH($E57,'Data_SA'!$1:$1,0))/INDEX('Data_SA'!$A:$LO,MATCH(EDATE(U$2,-1),'Data_SA'!$A:$A,0),MATCH($E57,'Data_SA'!$1:$1,0))-1,""))</f>
        <v/>
      </c>
      <c r="X57" s="7">
        <f>IFERROR(INDEX('Data_NSA'!$A:$OK,MATCH(U$2,'Data_NSA'!$A:$A,0),MATCH($D57,'Data_NSA'!$1:$1,0))/INDEX('Data_NSA'!$A:$OK,MATCH(EDATE(U$2,-12),'Data_NSA'!$A:$A,0),MATCH($D57,'Data_NSA'!$1:$1,0))-1,"")</f>
        <v/>
      </c>
      <c r="Y57" s="10">
        <f>IFERROR(INDEX('Weights'!$G:$I,MATCH($A57,'Weights'!$A:$A,0),MATCH(U$2,'Weights'!$G$1:$I$1,0)),"")</f>
        <v/>
      </c>
      <c r="Z57" s="10">
        <f>IF($E57="","",IFERROR(100*(INDEX('Weights'!$D:$D,MATCH($A57,'Weights'!$A:$A,0))*(INDEX('Data_NSA'!$A:$OK,MATCH(EDATE(U$2,-1),'Data_NSA'!$A:$A,0),MATCH($D57,'Data_NSA'!$1:$1,0))/INDEX('Data_NSA'!$A:$OK,MATCH(INDEX('Weights'!$E:$E,MATCH($A57,'Weights'!$A:$A,0)),'Data_NSA'!$A:$A,0),MATCH($D57,'Data_NSA'!$1:$1,0))))/(100*(INDEX('Data_NSA'!$A:$OK,MATCH(EDATE(U$2,-1),'Data_NSA'!$A:$A,0),MATCH("CUUR0000SA0",'Data_NSA'!$1:$1,0))/INDEX('Data_NSA'!$A:$OK,MATCH(INDEX('Weights'!$E:$E,MATCH($A57,'Weights'!$A:$A,0)),'Data_NSA'!$A:$A,0),MATCH("CUUR0000SA0",'Data_NSA'!$1:$1,0))))*(INDEX('Data_SA'!$A:$LO,MATCH(U$2,'Data_SA'!$A:$A,0),MATCH($E57,'Data_SA'!$1:$1,0))/INDEX('Data_SA'!$A:$LO,MATCH(EDATE(U$2,-1),'Data_SA'!$A:$A,0),MATCH($E57,'Data_SA'!$1:$1,0))-1),""))</f>
        <v/>
      </c>
    </row>
    <row r="58">
      <c r="A58" s="3" t="inlineStr">
        <is>
          <t>SEFH</t>
        </is>
      </c>
      <c r="B58" s="3" t="inlineStr">
        <is>
          <t>Eggs</t>
        </is>
      </c>
      <c r="C58" s="3" t="inlineStr">
        <is>
          <t>SAF112</t>
        </is>
      </c>
      <c r="D58" s="3" t="inlineStr">
        <is>
          <t>CUUR0000SEFH</t>
        </is>
      </c>
      <c r="E58" s="3" t="inlineStr">
        <is>
          <t>CUSR0000SEFH</t>
        </is>
      </c>
      <c r="F58" s="3" t="inlineStr">
        <is>
          <t>GM</t>
        </is>
      </c>
      <c r="G58" s="3" t="inlineStr">
        <is>
          <t>monthly food collection where sampled</t>
        </is>
      </c>
      <c r="H58" s="10">
        <f>IFERROR(INDEX(Weights!$D:$D,MATCH($A58,Weights!$A:$A,0)),"")</f>
        <v/>
      </c>
      <c r="I58" s="10">
        <f>IFERROR(INDEX('Data_NSA'!$A:$OK,MATCH(I$2,'Data_NSA'!$A:$A,0),MATCH($D58,'Data_NSA'!$1:$1,0)),"")</f>
        <v/>
      </c>
      <c r="J58" s="10">
        <f>IF($E58="","",IFERROR(INDEX('Data_SA'!$A:$LO,MATCH(I$2,'Data_SA'!$A:$A,0),MATCH($E58,'Data_SA'!$1:$1,0)),""))</f>
        <v/>
      </c>
      <c r="K58" s="7">
        <f>IF($E58="","",IFERROR(INDEX('Data_SA'!$A:$LO,MATCH(I$2,'Data_SA'!$A:$A,0),MATCH($E58,'Data_SA'!$1:$1,0))/INDEX('Data_SA'!$A:$LO,MATCH(EDATE(I$2,-1),'Data_SA'!$A:$A,0),MATCH($E58,'Data_SA'!$1:$1,0))-1,""))</f>
        <v/>
      </c>
      <c r="L58" s="7">
        <f>IFERROR(INDEX('Data_NSA'!$A:$OK,MATCH(I$2,'Data_NSA'!$A:$A,0),MATCH($D58,'Data_NSA'!$1:$1,0))/INDEX('Data_NSA'!$A:$OK,MATCH(EDATE(I$2,-12),'Data_NSA'!$A:$A,0),MATCH($D58,'Data_NSA'!$1:$1,0))-1,"")</f>
        <v/>
      </c>
      <c r="M58" s="10">
        <f>IFERROR(INDEX('Weights'!$G:$I,MATCH($A58,'Weights'!$A:$A,0),MATCH(I$2,'Weights'!$G$1:$I$1,0)),"")</f>
        <v/>
      </c>
      <c r="N58" s="10">
        <f>IF($E58="","",IFERROR(100*(INDEX('Weights'!$D:$D,MATCH($A58,'Weights'!$A:$A,0))*(INDEX('Data_NSA'!$A:$OK,MATCH(EDATE(I$2,-1),'Data_NSA'!$A:$A,0),MATCH($D58,'Data_NSA'!$1:$1,0))/INDEX('Data_NSA'!$A:$OK,MATCH(INDEX('Weights'!$E:$E,MATCH($A58,'Weights'!$A:$A,0)),'Data_NSA'!$A:$A,0),MATCH($D58,'Data_NSA'!$1:$1,0))))/(100*(INDEX('Data_NSA'!$A:$OK,MATCH(EDATE(I$2,-1),'Data_NSA'!$A:$A,0),MATCH("CUUR0000SA0",'Data_NSA'!$1:$1,0))/INDEX('Data_NSA'!$A:$OK,MATCH(INDEX('Weights'!$E:$E,MATCH($A58,'Weights'!$A:$A,0)),'Data_NSA'!$A:$A,0),MATCH("CUUR0000SA0",'Data_NSA'!$1:$1,0))))*(INDEX('Data_SA'!$A:$LO,MATCH(I$2,'Data_SA'!$A:$A,0),MATCH($E58,'Data_SA'!$1:$1,0))/INDEX('Data_SA'!$A:$LO,MATCH(EDATE(I$2,-1),'Data_SA'!$A:$A,0),MATCH($E58,'Data_SA'!$1:$1,0))-1),""))</f>
        <v/>
      </c>
      <c r="O58" s="10">
        <f>IFERROR(INDEX('Data_NSA'!$A:$OK,MATCH(O$2,'Data_NSA'!$A:$A,0),MATCH($D58,'Data_NSA'!$1:$1,0)),"")</f>
        <v/>
      </c>
      <c r="P58" s="10">
        <f>IF($E58="","",IFERROR(INDEX('Data_SA'!$A:$LO,MATCH(O$2,'Data_SA'!$A:$A,0),MATCH($E58,'Data_SA'!$1:$1,0)),""))</f>
        <v/>
      </c>
      <c r="Q58" s="7">
        <f>IF($E58="","",IFERROR(INDEX('Data_SA'!$A:$LO,MATCH(O$2,'Data_SA'!$A:$A,0),MATCH($E58,'Data_SA'!$1:$1,0))/INDEX('Data_SA'!$A:$LO,MATCH(EDATE(O$2,-1),'Data_SA'!$A:$A,0),MATCH($E58,'Data_SA'!$1:$1,0))-1,""))</f>
        <v/>
      </c>
      <c r="R58" s="7">
        <f>IFERROR(INDEX('Data_NSA'!$A:$OK,MATCH(O$2,'Data_NSA'!$A:$A,0),MATCH($D58,'Data_NSA'!$1:$1,0))/INDEX('Data_NSA'!$A:$OK,MATCH(EDATE(O$2,-12),'Data_NSA'!$A:$A,0),MATCH($D58,'Data_NSA'!$1:$1,0))-1,"")</f>
        <v/>
      </c>
      <c r="S58" s="10">
        <f>IFERROR(INDEX('Weights'!$G:$I,MATCH($A58,'Weights'!$A:$A,0),MATCH(O$2,'Weights'!$G$1:$I$1,0)),"")</f>
        <v/>
      </c>
      <c r="T58" s="10">
        <f>IF($E58="","",IFERROR(100*(INDEX('Weights'!$D:$D,MATCH($A58,'Weights'!$A:$A,0))*(INDEX('Data_NSA'!$A:$OK,MATCH(EDATE(O$2,-1),'Data_NSA'!$A:$A,0),MATCH($D58,'Data_NSA'!$1:$1,0))/INDEX('Data_NSA'!$A:$OK,MATCH(INDEX('Weights'!$E:$E,MATCH($A58,'Weights'!$A:$A,0)),'Data_NSA'!$A:$A,0),MATCH($D58,'Data_NSA'!$1:$1,0))))/(100*(INDEX('Data_NSA'!$A:$OK,MATCH(EDATE(O$2,-1),'Data_NSA'!$A:$A,0),MATCH("CUUR0000SA0",'Data_NSA'!$1:$1,0))/INDEX('Data_NSA'!$A:$OK,MATCH(INDEX('Weights'!$E:$E,MATCH($A58,'Weights'!$A:$A,0)),'Data_NSA'!$A:$A,0),MATCH("CUUR0000SA0",'Data_NSA'!$1:$1,0))))*(INDEX('Data_SA'!$A:$LO,MATCH(O$2,'Data_SA'!$A:$A,0),MATCH($E58,'Data_SA'!$1:$1,0))/INDEX('Data_SA'!$A:$LO,MATCH(EDATE(O$2,-1),'Data_SA'!$A:$A,0),MATCH($E58,'Data_SA'!$1:$1,0))-1),""))</f>
        <v/>
      </c>
      <c r="U58" s="10">
        <f>IFERROR(INDEX('Data_NSA'!$A:$OK,MATCH(U$2,'Data_NSA'!$A:$A,0),MATCH($D58,'Data_NSA'!$1:$1,0)),"")</f>
        <v/>
      </c>
      <c r="V58" s="10">
        <f>IF($E58="","",IFERROR(INDEX('Data_SA'!$A:$LO,MATCH(U$2,'Data_SA'!$A:$A,0),MATCH($E58,'Data_SA'!$1:$1,0)),""))</f>
        <v/>
      </c>
      <c r="W58" s="7">
        <f>IF($E58="","",IFERROR(INDEX('Data_SA'!$A:$LO,MATCH(U$2,'Data_SA'!$A:$A,0),MATCH($E58,'Data_SA'!$1:$1,0))/INDEX('Data_SA'!$A:$LO,MATCH(EDATE(U$2,-1),'Data_SA'!$A:$A,0),MATCH($E58,'Data_SA'!$1:$1,0))-1,""))</f>
        <v/>
      </c>
      <c r="X58" s="7">
        <f>IFERROR(INDEX('Data_NSA'!$A:$OK,MATCH(U$2,'Data_NSA'!$A:$A,0),MATCH($D58,'Data_NSA'!$1:$1,0))/INDEX('Data_NSA'!$A:$OK,MATCH(EDATE(U$2,-12),'Data_NSA'!$A:$A,0),MATCH($D58,'Data_NSA'!$1:$1,0))-1,"")</f>
        <v/>
      </c>
      <c r="Y58" s="10">
        <f>IFERROR(INDEX('Weights'!$G:$I,MATCH($A58,'Weights'!$A:$A,0),MATCH(U$2,'Weights'!$G$1:$I$1,0)),"")</f>
        <v/>
      </c>
      <c r="Z58" s="10">
        <f>IF($E58="","",IFERROR(100*(INDEX('Weights'!$D:$D,MATCH($A58,'Weights'!$A:$A,0))*(INDEX('Data_NSA'!$A:$OK,MATCH(EDATE(U$2,-1),'Data_NSA'!$A:$A,0),MATCH($D58,'Data_NSA'!$1:$1,0))/INDEX('Data_NSA'!$A:$OK,MATCH(INDEX('Weights'!$E:$E,MATCH($A58,'Weights'!$A:$A,0)),'Data_NSA'!$A:$A,0),MATCH($D58,'Data_NSA'!$1:$1,0))))/(100*(INDEX('Data_NSA'!$A:$OK,MATCH(EDATE(U$2,-1),'Data_NSA'!$A:$A,0),MATCH("CUUR0000SA0",'Data_NSA'!$1:$1,0))/INDEX('Data_NSA'!$A:$OK,MATCH(INDEX('Weights'!$E:$E,MATCH($A58,'Weights'!$A:$A,0)),'Data_NSA'!$A:$A,0),MATCH("CUUR0000SA0",'Data_NSA'!$1:$1,0))))*(INDEX('Data_SA'!$A:$LO,MATCH(U$2,'Data_SA'!$A:$A,0),MATCH($E58,'Data_SA'!$1:$1,0))/INDEX('Data_SA'!$A:$LO,MATCH(EDATE(U$2,-1),'Data_SA'!$A:$A,0),MATCH($E58,'Data_SA'!$1:$1,0))-1),""))</f>
        <v/>
      </c>
    </row>
    <row r="59">
      <c r="A59" s="3" t="inlineStr">
        <is>
          <t>SEFJ</t>
        </is>
      </c>
      <c r="B59" s="3" t="inlineStr">
        <is>
          <t>Dairy and related products</t>
        </is>
      </c>
      <c r="C59" s="3" t="inlineStr">
        <is>
          <t>SAF11</t>
        </is>
      </c>
      <c r="D59" s="3" t="inlineStr">
        <is>
          <t>CUUR0000SEFJ</t>
        </is>
      </c>
      <c r="E59" s="3" t="inlineStr">
        <is>
          <t>CUSR0000SEFJ</t>
        </is>
      </c>
      <c r="F59" s="3" t="inlineStr">
        <is>
          <t>GM</t>
        </is>
      </c>
      <c r="G59" s="3" t="inlineStr">
        <is>
          <t>monthly</t>
        </is>
      </c>
      <c r="H59" s="10">
        <f>IFERROR(INDEX(Weights!$D:$D,MATCH($A59,Weights!$A:$A,0)),"")</f>
        <v/>
      </c>
      <c r="I59" s="10">
        <f>IFERROR(INDEX('Data_NSA'!$A:$OK,MATCH(I$2,'Data_NSA'!$A:$A,0),MATCH($D59,'Data_NSA'!$1:$1,0)),"")</f>
        <v/>
      </c>
      <c r="J59" s="10">
        <f>IF($E59="","",IFERROR(INDEX('Data_SA'!$A:$LO,MATCH(I$2,'Data_SA'!$A:$A,0),MATCH($E59,'Data_SA'!$1:$1,0)),""))</f>
        <v/>
      </c>
      <c r="K59" s="7">
        <f>IF($E59="","",IFERROR(INDEX('Data_SA'!$A:$LO,MATCH(I$2,'Data_SA'!$A:$A,0),MATCH($E59,'Data_SA'!$1:$1,0))/INDEX('Data_SA'!$A:$LO,MATCH(EDATE(I$2,-1),'Data_SA'!$A:$A,0),MATCH($E59,'Data_SA'!$1:$1,0))-1,""))</f>
        <v/>
      </c>
      <c r="L59" s="7">
        <f>IFERROR(INDEX('Data_NSA'!$A:$OK,MATCH(I$2,'Data_NSA'!$A:$A,0),MATCH($D59,'Data_NSA'!$1:$1,0))/INDEX('Data_NSA'!$A:$OK,MATCH(EDATE(I$2,-12),'Data_NSA'!$A:$A,0),MATCH($D59,'Data_NSA'!$1:$1,0))-1,"")</f>
        <v/>
      </c>
      <c r="M59" s="10">
        <f>IFERROR(INDEX('Weights'!$G:$I,MATCH($A59,'Weights'!$A:$A,0),MATCH(I$2,'Weights'!$G$1:$I$1,0)),"")</f>
        <v/>
      </c>
      <c r="N59" s="10">
        <f>IF($E59="","",IFERROR(100*(INDEX('Weights'!$D:$D,MATCH($A59,'Weights'!$A:$A,0))*(INDEX('Data_NSA'!$A:$OK,MATCH(EDATE(I$2,-1),'Data_NSA'!$A:$A,0),MATCH($D59,'Data_NSA'!$1:$1,0))/INDEX('Data_NSA'!$A:$OK,MATCH(INDEX('Weights'!$E:$E,MATCH($A59,'Weights'!$A:$A,0)),'Data_NSA'!$A:$A,0),MATCH($D59,'Data_NSA'!$1:$1,0))))/(100*(INDEX('Data_NSA'!$A:$OK,MATCH(EDATE(I$2,-1),'Data_NSA'!$A:$A,0),MATCH("CUUR0000SA0",'Data_NSA'!$1:$1,0))/INDEX('Data_NSA'!$A:$OK,MATCH(INDEX('Weights'!$E:$E,MATCH($A59,'Weights'!$A:$A,0)),'Data_NSA'!$A:$A,0),MATCH("CUUR0000SA0",'Data_NSA'!$1:$1,0))))*(INDEX('Data_SA'!$A:$LO,MATCH(I$2,'Data_SA'!$A:$A,0),MATCH($E59,'Data_SA'!$1:$1,0))/INDEX('Data_SA'!$A:$LO,MATCH(EDATE(I$2,-1),'Data_SA'!$A:$A,0),MATCH($E59,'Data_SA'!$1:$1,0))-1),""))</f>
        <v/>
      </c>
      <c r="O59" s="10">
        <f>IFERROR(INDEX('Data_NSA'!$A:$OK,MATCH(O$2,'Data_NSA'!$A:$A,0),MATCH($D59,'Data_NSA'!$1:$1,0)),"")</f>
        <v/>
      </c>
      <c r="P59" s="10">
        <f>IF($E59="","",IFERROR(INDEX('Data_SA'!$A:$LO,MATCH(O$2,'Data_SA'!$A:$A,0),MATCH($E59,'Data_SA'!$1:$1,0)),""))</f>
        <v/>
      </c>
      <c r="Q59" s="7">
        <f>IF($E59="","",IFERROR(INDEX('Data_SA'!$A:$LO,MATCH(O$2,'Data_SA'!$A:$A,0),MATCH($E59,'Data_SA'!$1:$1,0))/INDEX('Data_SA'!$A:$LO,MATCH(EDATE(O$2,-1),'Data_SA'!$A:$A,0),MATCH($E59,'Data_SA'!$1:$1,0))-1,""))</f>
        <v/>
      </c>
      <c r="R59" s="7">
        <f>IFERROR(INDEX('Data_NSA'!$A:$OK,MATCH(O$2,'Data_NSA'!$A:$A,0),MATCH($D59,'Data_NSA'!$1:$1,0))/INDEX('Data_NSA'!$A:$OK,MATCH(EDATE(O$2,-12),'Data_NSA'!$A:$A,0),MATCH($D59,'Data_NSA'!$1:$1,0))-1,"")</f>
        <v/>
      </c>
      <c r="S59" s="10">
        <f>IFERROR(INDEX('Weights'!$G:$I,MATCH($A59,'Weights'!$A:$A,0),MATCH(O$2,'Weights'!$G$1:$I$1,0)),"")</f>
        <v/>
      </c>
      <c r="T59" s="10">
        <f>IF($E59="","",IFERROR(100*(INDEX('Weights'!$D:$D,MATCH($A59,'Weights'!$A:$A,0))*(INDEX('Data_NSA'!$A:$OK,MATCH(EDATE(O$2,-1),'Data_NSA'!$A:$A,0),MATCH($D59,'Data_NSA'!$1:$1,0))/INDEX('Data_NSA'!$A:$OK,MATCH(INDEX('Weights'!$E:$E,MATCH($A59,'Weights'!$A:$A,0)),'Data_NSA'!$A:$A,0),MATCH($D59,'Data_NSA'!$1:$1,0))))/(100*(INDEX('Data_NSA'!$A:$OK,MATCH(EDATE(O$2,-1),'Data_NSA'!$A:$A,0),MATCH("CUUR0000SA0",'Data_NSA'!$1:$1,0))/INDEX('Data_NSA'!$A:$OK,MATCH(INDEX('Weights'!$E:$E,MATCH($A59,'Weights'!$A:$A,0)),'Data_NSA'!$A:$A,0),MATCH("CUUR0000SA0",'Data_NSA'!$1:$1,0))))*(INDEX('Data_SA'!$A:$LO,MATCH(O$2,'Data_SA'!$A:$A,0),MATCH($E59,'Data_SA'!$1:$1,0))/INDEX('Data_SA'!$A:$LO,MATCH(EDATE(O$2,-1),'Data_SA'!$A:$A,0),MATCH($E59,'Data_SA'!$1:$1,0))-1),""))</f>
        <v/>
      </c>
      <c r="U59" s="10">
        <f>IFERROR(INDEX('Data_NSA'!$A:$OK,MATCH(U$2,'Data_NSA'!$A:$A,0),MATCH($D59,'Data_NSA'!$1:$1,0)),"")</f>
        <v/>
      </c>
      <c r="V59" s="10">
        <f>IF($E59="","",IFERROR(INDEX('Data_SA'!$A:$LO,MATCH(U$2,'Data_SA'!$A:$A,0),MATCH($E59,'Data_SA'!$1:$1,0)),""))</f>
        <v/>
      </c>
      <c r="W59" s="7">
        <f>IF($E59="","",IFERROR(INDEX('Data_SA'!$A:$LO,MATCH(U$2,'Data_SA'!$A:$A,0),MATCH($E59,'Data_SA'!$1:$1,0))/INDEX('Data_SA'!$A:$LO,MATCH(EDATE(U$2,-1),'Data_SA'!$A:$A,0),MATCH($E59,'Data_SA'!$1:$1,0))-1,""))</f>
        <v/>
      </c>
      <c r="X59" s="7">
        <f>IFERROR(INDEX('Data_NSA'!$A:$OK,MATCH(U$2,'Data_NSA'!$A:$A,0),MATCH($D59,'Data_NSA'!$1:$1,0))/INDEX('Data_NSA'!$A:$OK,MATCH(EDATE(U$2,-12),'Data_NSA'!$A:$A,0),MATCH($D59,'Data_NSA'!$1:$1,0))-1,"")</f>
        <v/>
      </c>
      <c r="Y59" s="10">
        <f>IFERROR(INDEX('Weights'!$G:$I,MATCH($A59,'Weights'!$A:$A,0),MATCH(U$2,'Weights'!$G$1:$I$1,0)),"")</f>
        <v/>
      </c>
      <c r="Z59" s="10">
        <f>IF($E59="","",IFERROR(100*(INDEX('Weights'!$D:$D,MATCH($A59,'Weights'!$A:$A,0))*(INDEX('Data_NSA'!$A:$OK,MATCH(EDATE(U$2,-1),'Data_NSA'!$A:$A,0),MATCH($D59,'Data_NSA'!$1:$1,0))/INDEX('Data_NSA'!$A:$OK,MATCH(INDEX('Weights'!$E:$E,MATCH($A59,'Weights'!$A:$A,0)),'Data_NSA'!$A:$A,0),MATCH($D59,'Data_NSA'!$1:$1,0))))/(100*(INDEX('Data_NSA'!$A:$OK,MATCH(EDATE(U$2,-1),'Data_NSA'!$A:$A,0),MATCH("CUUR0000SA0",'Data_NSA'!$1:$1,0))/INDEX('Data_NSA'!$A:$OK,MATCH(INDEX('Weights'!$E:$E,MATCH($A59,'Weights'!$A:$A,0)),'Data_NSA'!$A:$A,0),MATCH("CUUR0000SA0",'Data_NSA'!$1:$1,0))))*(INDEX('Data_SA'!$A:$LO,MATCH(U$2,'Data_SA'!$A:$A,0),MATCH($E59,'Data_SA'!$1:$1,0))/INDEX('Data_SA'!$A:$LO,MATCH(EDATE(U$2,-1),'Data_SA'!$A:$A,0),MATCH($E59,'Data_SA'!$1:$1,0))-1),""))</f>
        <v/>
      </c>
    </row>
    <row r="60">
      <c r="A60" s="3" t="inlineStr">
        <is>
          <t>SEFJ01</t>
        </is>
      </c>
      <c r="B60" s="3" t="inlineStr">
        <is>
          <t>Milk</t>
        </is>
      </c>
      <c r="C60" s="3" t="inlineStr">
        <is>
          <t>SEFJ</t>
        </is>
      </c>
      <c r="D60" s="3" t="inlineStr">
        <is>
          <t>CUUR0000SEFJ01</t>
        </is>
      </c>
      <c r="E60" s="3" t="inlineStr">
        <is>
          <t>CUSR0000SEFJ01</t>
        </is>
      </c>
      <c r="F60" s="3" t="inlineStr">
        <is>
          <t>aggregate</t>
        </is>
      </c>
      <c r="G60" s="3" t="inlineStr">
        <is>
          <t>aggregate</t>
        </is>
      </c>
      <c r="H60" s="10">
        <f>IFERROR(INDEX(Weights!$D:$D,MATCH($A60,Weights!$A:$A,0)),"")</f>
        <v/>
      </c>
      <c r="I60" s="10">
        <f>IFERROR(INDEX('Data_NSA'!$A:$OK,MATCH(I$2,'Data_NSA'!$A:$A,0),MATCH($D60,'Data_NSA'!$1:$1,0)),"")</f>
        <v/>
      </c>
      <c r="J60" s="10">
        <f>IF($E60="","",IFERROR(INDEX('Data_SA'!$A:$LO,MATCH(I$2,'Data_SA'!$A:$A,0),MATCH($E60,'Data_SA'!$1:$1,0)),""))</f>
        <v/>
      </c>
      <c r="K60" s="7">
        <f>IF($E60="","",IFERROR(INDEX('Data_SA'!$A:$LO,MATCH(I$2,'Data_SA'!$A:$A,0),MATCH($E60,'Data_SA'!$1:$1,0))/INDEX('Data_SA'!$A:$LO,MATCH(EDATE(I$2,-1),'Data_SA'!$A:$A,0),MATCH($E60,'Data_SA'!$1:$1,0))-1,""))</f>
        <v/>
      </c>
      <c r="L60" s="7">
        <f>IFERROR(INDEX('Data_NSA'!$A:$OK,MATCH(I$2,'Data_NSA'!$A:$A,0),MATCH($D60,'Data_NSA'!$1:$1,0))/INDEX('Data_NSA'!$A:$OK,MATCH(EDATE(I$2,-12),'Data_NSA'!$A:$A,0),MATCH($D60,'Data_NSA'!$1:$1,0))-1,"")</f>
        <v/>
      </c>
      <c r="M60" s="10">
        <f>IFERROR(INDEX('Weights'!$G:$I,MATCH($A60,'Weights'!$A:$A,0),MATCH(I$2,'Weights'!$G$1:$I$1,0)),"")</f>
        <v/>
      </c>
      <c r="N60" s="10">
        <f>IF($E60="","",IFERROR(100*(INDEX('Weights'!$D:$D,MATCH($A60,'Weights'!$A:$A,0))*(INDEX('Data_NSA'!$A:$OK,MATCH(EDATE(I$2,-1),'Data_NSA'!$A:$A,0),MATCH($D60,'Data_NSA'!$1:$1,0))/INDEX('Data_NSA'!$A:$OK,MATCH(INDEX('Weights'!$E:$E,MATCH($A60,'Weights'!$A:$A,0)),'Data_NSA'!$A:$A,0),MATCH($D60,'Data_NSA'!$1:$1,0))))/(100*(INDEX('Data_NSA'!$A:$OK,MATCH(EDATE(I$2,-1),'Data_NSA'!$A:$A,0),MATCH("CUUR0000SA0",'Data_NSA'!$1:$1,0))/INDEX('Data_NSA'!$A:$OK,MATCH(INDEX('Weights'!$E:$E,MATCH($A60,'Weights'!$A:$A,0)),'Data_NSA'!$A:$A,0),MATCH("CUUR0000SA0",'Data_NSA'!$1:$1,0))))*(INDEX('Data_SA'!$A:$LO,MATCH(I$2,'Data_SA'!$A:$A,0),MATCH($E60,'Data_SA'!$1:$1,0))/INDEX('Data_SA'!$A:$LO,MATCH(EDATE(I$2,-1),'Data_SA'!$A:$A,0),MATCH($E60,'Data_SA'!$1:$1,0))-1),""))</f>
        <v/>
      </c>
      <c r="O60" s="10">
        <f>IFERROR(INDEX('Data_NSA'!$A:$OK,MATCH(O$2,'Data_NSA'!$A:$A,0),MATCH($D60,'Data_NSA'!$1:$1,0)),"")</f>
        <v/>
      </c>
      <c r="P60" s="10">
        <f>IF($E60="","",IFERROR(INDEX('Data_SA'!$A:$LO,MATCH(O$2,'Data_SA'!$A:$A,0),MATCH($E60,'Data_SA'!$1:$1,0)),""))</f>
        <v/>
      </c>
      <c r="Q60" s="7">
        <f>IF($E60="","",IFERROR(INDEX('Data_SA'!$A:$LO,MATCH(O$2,'Data_SA'!$A:$A,0),MATCH($E60,'Data_SA'!$1:$1,0))/INDEX('Data_SA'!$A:$LO,MATCH(EDATE(O$2,-1),'Data_SA'!$A:$A,0),MATCH($E60,'Data_SA'!$1:$1,0))-1,""))</f>
        <v/>
      </c>
      <c r="R60" s="7">
        <f>IFERROR(INDEX('Data_NSA'!$A:$OK,MATCH(O$2,'Data_NSA'!$A:$A,0),MATCH($D60,'Data_NSA'!$1:$1,0))/INDEX('Data_NSA'!$A:$OK,MATCH(EDATE(O$2,-12),'Data_NSA'!$A:$A,0),MATCH($D60,'Data_NSA'!$1:$1,0))-1,"")</f>
        <v/>
      </c>
      <c r="S60" s="10">
        <f>IFERROR(INDEX('Weights'!$G:$I,MATCH($A60,'Weights'!$A:$A,0),MATCH(O$2,'Weights'!$G$1:$I$1,0)),"")</f>
        <v/>
      </c>
      <c r="T60" s="10">
        <f>IF($E60="","",IFERROR(100*(INDEX('Weights'!$D:$D,MATCH($A60,'Weights'!$A:$A,0))*(INDEX('Data_NSA'!$A:$OK,MATCH(EDATE(O$2,-1),'Data_NSA'!$A:$A,0),MATCH($D60,'Data_NSA'!$1:$1,0))/INDEX('Data_NSA'!$A:$OK,MATCH(INDEX('Weights'!$E:$E,MATCH($A60,'Weights'!$A:$A,0)),'Data_NSA'!$A:$A,0),MATCH($D60,'Data_NSA'!$1:$1,0))))/(100*(INDEX('Data_NSA'!$A:$OK,MATCH(EDATE(O$2,-1),'Data_NSA'!$A:$A,0),MATCH("CUUR0000SA0",'Data_NSA'!$1:$1,0))/INDEX('Data_NSA'!$A:$OK,MATCH(INDEX('Weights'!$E:$E,MATCH($A60,'Weights'!$A:$A,0)),'Data_NSA'!$A:$A,0),MATCH("CUUR0000SA0",'Data_NSA'!$1:$1,0))))*(INDEX('Data_SA'!$A:$LO,MATCH(O$2,'Data_SA'!$A:$A,0),MATCH($E60,'Data_SA'!$1:$1,0))/INDEX('Data_SA'!$A:$LO,MATCH(EDATE(O$2,-1),'Data_SA'!$A:$A,0),MATCH($E60,'Data_SA'!$1:$1,0))-1),""))</f>
        <v/>
      </c>
      <c r="U60" s="10">
        <f>IFERROR(INDEX('Data_NSA'!$A:$OK,MATCH(U$2,'Data_NSA'!$A:$A,0),MATCH($D60,'Data_NSA'!$1:$1,0)),"")</f>
        <v/>
      </c>
      <c r="V60" s="10">
        <f>IF($E60="","",IFERROR(INDEX('Data_SA'!$A:$LO,MATCH(U$2,'Data_SA'!$A:$A,0),MATCH($E60,'Data_SA'!$1:$1,0)),""))</f>
        <v/>
      </c>
      <c r="W60" s="7">
        <f>IF($E60="","",IFERROR(INDEX('Data_SA'!$A:$LO,MATCH(U$2,'Data_SA'!$A:$A,0),MATCH($E60,'Data_SA'!$1:$1,0))/INDEX('Data_SA'!$A:$LO,MATCH(EDATE(U$2,-1),'Data_SA'!$A:$A,0),MATCH($E60,'Data_SA'!$1:$1,0))-1,""))</f>
        <v/>
      </c>
      <c r="X60" s="7">
        <f>IFERROR(INDEX('Data_NSA'!$A:$OK,MATCH(U$2,'Data_NSA'!$A:$A,0),MATCH($D60,'Data_NSA'!$1:$1,0))/INDEX('Data_NSA'!$A:$OK,MATCH(EDATE(U$2,-12),'Data_NSA'!$A:$A,0),MATCH($D60,'Data_NSA'!$1:$1,0))-1,"")</f>
        <v/>
      </c>
      <c r="Y60" s="10">
        <f>IFERROR(INDEX('Weights'!$G:$I,MATCH($A60,'Weights'!$A:$A,0),MATCH(U$2,'Weights'!$G$1:$I$1,0)),"")</f>
        <v/>
      </c>
      <c r="Z60" s="10">
        <f>IF($E60="","",IFERROR(100*(INDEX('Weights'!$D:$D,MATCH($A60,'Weights'!$A:$A,0))*(INDEX('Data_NSA'!$A:$OK,MATCH(EDATE(U$2,-1),'Data_NSA'!$A:$A,0),MATCH($D60,'Data_NSA'!$1:$1,0))/INDEX('Data_NSA'!$A:$OK,MATCH(INDEX('Weights'!$E:$E,MATCH($A60,'Weights'!$A:$A,0)),'Data_NSA'!$A:$A,0),MATCH($D60,'Data_NSA'!$1:$1,0))))/(100*(INDEX('Data_NSA'!$A:$OK,MATCH(EDATE(U$2,-1),'Data_NSA'!$A:$A,0),MATCH("CUUR0000SA0",'Data_NSA'!$1:$1,0))/INDEX('Data_NSA'!$A:$OK,MATCH(INDEX('Weights'!$E:$E,MATCH($A60,'Weights'!$A:$A,0)),'Data_NSA'!$A:$A,0),MATCH("CUUR0000SA0",'Data_NSA'!$1:$1,0))))*(INDEX('Data_SA'!$A:$LO,MATCH(U$2,'Data_SA'!$A:$A,0),MATCH($E60,'Data_SA'!$1:$1,0))/INDEX('Data_SA'!$A:$LO,MATCH(EDATE(U$2,-1),'Data_SA'!$A:$A,0),MATCH($E60,'Data_SA'!$1:$1,0))-1),""))</f>
        <v/>
      </c>
    </row>
    <row r="61">
      <c r="A61" s="3" t="inlineStr">
        <is>
          <t>SS09011</t>
        </is>
      </c>
      <c r="B61" s="3" t="inlineStr">
        <is>
          <t>Fresh whole milk</t>
        </is>
      </c>
      <c r="C61" s="3" t="inlineStr">
        <is>
          <t>SEFJ01</t>
        </is>
      </c>
      <c r="D61" s="3" t="inlineStr">
        <is>
          <t>CUUR0000SS09011</t>
        </is>
      </c>
      <c r="E61" s="3" t="inlineStr">
        <is>
          <t>CUSR0000SS09011</t>
        </is>
      </c>
      <c r="F61" s="3" t="inlineStr">
        <is>
          <t>GM</t>
        </is>
      </c>
      <c r="G61" s="3" t="inlineStr">
        <is>
          <t>monthly in New York/Los Angeles/Chicago; often bimonthly elsewhere</t>
        </is>
      </c>
      <c r="H61" s="10">
        <f>IFERROR(INDEX(Weights!$D:$D,MATCH($A61,Weights!$A:$A,0)),"")</f>
        <v/>
      </c>
      <c r="I61" s="10">
        <f>IFERROR(INDEX('Data_NSA'!$A:$OK,MATCH(I$2,'Data_NSA'!$A:$A,0),MATCH($D61,'Data_NSA'!$1:$1,0)),"")</f>
        <v/>
      </c>
      <c r="J61" s="10">
        <f>IF($E61="","",IFERROR(INDEX('Data_SA'!$A:$LO,MATCH(I$2,'Data_SA'!$A:$A,0),MATCH($E61,'Data_SA'!$1:$1,0)),""))</f>
        <v/>
      </c>
      <c r="K61" s="7">
        <f>IF($E61="","",IFERROR(INDEX('Data_SA'!$A:$LO,MATCH(I$2,'Data_SA'!$A:$A,0),MATCH($E61,'Data_SA'!$1:$1,0))/INDEX('Data_SA'!$A:$LO,MATCH(EDATE(I$2,-1),'Data_SA'!$A:$A,0),MATCH($E61,'Data_SA'!$1:$1,0))-1,""))</f>
        <v/>
      </c>
      <c r="L61" s="7">
        <f>IFERROR(INDEX('Data_NSA'!$A:$OK,MATCH(I$2,'Data_NSA'!$A:$A,0),MATCH($D61,'Data_NSA'!$1:$1,0))/INDEX('Data_NSA'!$A:$OK,MATCH(EDATE(I$2,-12),'Data_NSA'!$A:$A,0),MATCH($D61,'Data_NSA'!$1:$1,0))-1,"")</f>
        <v/>
      </c>
      <c r="M61" s="10">
        <f>IFERROR(INDEX('Weights'!$G:$I,MATCH($A61,'Weights'!$A:$A,0),MATCH(I$2,'Weights'!$G$1:$I$1,0)),"")</f>
        <v/>
      </c>
      <c r="N61" s="10">
        <f>IF($E61="","",IFERROR(100*(INDEX('Weights'!$D:$D,MATCH($A61,'Weights'!$A:$A,0))*(INDEX('Data_NSA'!$A:$OK,MATCH(EDATE(I$2,-1),'Data_NSA'!$A:$A,0),MATCH($D61,'Data_NSA'!$1:$1,0))/INDEX('Data_NSA'!$A:$OK,MATCH(INDEX('Weights'!$E:$E,MATCH($A61,'Weights'!$A:$A,0)),'Data_NSA'!$A:$A,0),MATCH($D61,'Data_NSA'!$1:$1,0))))/(100*(INDEX('Data_NSA'!$A:$OK,MATCH(EDATE(I$2,-1),'Data_NSA'!$A:$A,0),MATCH("CUUR0000SA0",'Data_NSA'!$1:$1,0))/INDEX('Data_NSA'!$A:$OK,MATCH(INDEX('Weights'!$E:$E,MATCH($A61,'Weights'!$A:$A,0)),'Data_NSA'!$A:$A,0),MATCH("CUUR0000SA0",'Data_NSA'!$1:$1,0))))*(INDEX('Data_SA'!$A:$LO,MATCH(I$2,'Data_SA'!$A:$A,0),MATCH($E61,'Data_SA'!$1:$1,0))/INDEX('Data_SA'!$A:$LO,MATCH(EDATE(I$2,-1),'Data_SA'!$A:$A,0),MATCH($E61,'Data_SA'!$1:$1,0))-1),""))</f>
        <v/>
      </c>
      <c r="O61" s="10">
        <f>IFERROR(INDEX('Data_NSA'!$A:$OK,MATCH(O$2,'Data_NSA'!$A:$A,0),MATCH($D61,'Data_NSA'!$1:$1,0)),"")</f>
        <v/>
      </c>
      <c r="P61" s="10">
        <f>IF($E61="","",IFERROR(INDEX('Data_SA'!$A:$LO,MATCH(O$2,'Data_SA'!$A:$A,0),MATCH($E61,'Data_SA'!$1:$1,0)),""))</f>
        <v/>
      </c>
      <c r="Q61" s="7">
        <f>IF($E61="","",IFERROR(INDEX('Data_SA'!$A:$LO,MATCH(O$2,'Data_SA'!$A:$A,0),MATCH($E61,'Data_SA'!$1:$1,0))/INDEX('Data_SA'!$A:$LO,MATCH(EDATE(O$2,-1),'Data_SA'!$A:$A,0),MATCH($E61,'Data_SA'!$1:$1,0))-1,""))</f>
        <v/>
      </c>
      <c r="R61" s="7">
        <f>IFERROR(INDEX('Data_NSA'!$A:$OK,MATCH(O$2,'Data_NSA'!$A:$A,0),MATCH($D61,'Data_NSA'!$1:$1,0))/INDEX('Data_NSA'!$A:$OK,MATCH(EDATE(O$2,-12),'Data_NSA'!$A:$A,0),MATCH($D61,'Data_NSA'!$1:$1,0))-1,"")</f>
        <v/>
      </c>
      <c r="S61" s="10">
        <f>IFERROR(INDEX('Weights'!$G:$I,MATCH($A61,'Weights'!$A:$A,0),MATCH(O$2,'Weights'!$G$1:$I$1,0)),"")</f>
        <v/>
      </c>
      <c r="T61" s="10">
        <f>IF($E61="","",IFERROR(100*(INDEX('Weights'!$D:$D,MATCH($A61,'Weights'!$A:$A,0))*(INDEX('Data_NSA'!$A:$OK,MATCH(EDATE(O$2,-1),'Data_NSA'!$A:$A,0),MATCH($D61,'Data_NSA'!$1:$1,0))/INDEX('Data_NSA'!$A:$OK,MATCH(INDEX('Weights'!$E:$E,MATCH($A61,'Weights'!$A:$A,0)),'Data_NSA'!$A:$A,0),MATCH($D61,'Data_NSA'!$1:$1,0))))/(100*(INDEX('Data_NSA'!$A:$OK,MATCH(EDATE(O$2,-1),'Data_NSA'!$A:$A,0),MATCH("CUUR0000SA0",'Data_NSA'!$1:$1,0))/INDEX('Data_NSA'!$A:$OK,MATCH(INDEX('Weights'!$E:$E,MATCH($A61,'Weights'!$A:$A,0)),'Data_NSA'!$A:$A,0),MATCH("CUUR0000SA0",'Data_NSA'!$1:$1,0))))*(INDEX('Data_SA'!$A:$LO,MATCH(O$2,'Data_SA'!$A:$A,0),MATCH($E61,'Data_SA'!$1:$1,0))/INDEX('Data_SA'!$A:$LO,MATCH(EDATE(O$2,-1),'Data_SA'!$A:$A,0),MATCH($E61,'Data_SA'!$1:$1,0))-1),""))</f>
        <v/>
      </c>
      <c r="U61" s="10">
        <f>IFERROR(INDEX('Data_NSA'!$A:$OK,MATCH(U$2,'Data_NSA'!$A:$A,0),MATCH($D61,'Data_NSA'!$1:$1,0)),"")</f>
        <v/>
      </c>
      <c r="V61" s="10">
        <f>IF($E61="","",IFERROR(INDEX('Data_SA'!$A:$LO,MATCH(U$2,'Data_SA'!$A:$A,0),MATCH($E61,'Data_SA'!$1:$1,0)),""))</f>
        <v/>
      </c>
      <c r="W61" s="7">
        <f>IF($E61="","",IFERROR(INDEX('Data_SA'!$A:$LO,MATCH(U$2,'Data_SA'!$A:$A,0),MATCH($E61,'Data_SA'!$1:$1,0))/INDEX('Data_SA'!$A:$LO,MATCH(EDATE(U$2,-1),'Data_SA'!$A:$A,0),MATCH($E61,'Data_SA'!$1:$1,0))-1,""))</f>
        <v/>
      </c>
      <c r="X61" s="7">
        <f>IFERROR(INDEX('Data_NSA'!$A:$OK,MATCH(U$2,'Data_NSA'!$A:$A,0),MATCH($D61,'Data_NSA'!$1:$1,0))/INDEX('Data_NSA'!$A:$OK,MATCH(EDATE(U$2,-12),'Data_NSA'!$A:$A,0),MATCH($D61,'Data_NSA'!$1:$1,0))-1,"")</f>
        <v/>
      </c>
      <c r="Y61" s="10">
        <f>IFERROR(INDEX('Weights'!$G:$I,MATCH($A61,'Weights'!$A:$A,0),MATCH(U$2,'Weights'!$G$1:$I$1,0)),"")</f>
        <v/>
      </c>
      <c r="Z61" s="10">
        <f>IF($E61="","",IFERROR(100*(INDEX('Weights'!$D:$D,MATCH($A61,'Weights'!$A:$A,0))*(INDEX('Data_NSA'!$A:$OK,MATCH(EDATE(U$2,-1),'Data_NSA'!$A:$A,0),MATCH($D61,'Data_NSA'!$1:$1,0))/INDEX('Data_NSA'!$A:$OK,MATCH(INDEX('Weights'!$E:$E,MATCH($A61,'Weights'!$A:$A,0)),'Data_NSA'!$A:$A,0),MATCH($D61,'Data_NSA'!$1:$1,0))))/(100*(INDEX('Data_NSA'!$A:$OK,MATCH(EDATE(U$2,-1),'Data_NSA'!$A:$A,0),MATCH("CUUR0000SA0",'Data_NSA'!$1:$1,0))/INDEX('Data_NSA'!$A:$OK,MATCH(INDEX('Weights'!$E:$E,MATCH($A61,'Weights'!$A:$A,0)),'Data_NSA'!$A:$A,0),MATCH("CUUR0000SA0",'Data_NSA'!$1:$1,0))))*(INDEX('Data_SA'!$A:$LO,MATCH(U$2,'Data_SA'!$A:$A,0),MATCH($E61,'Data_SA'!$1:$1,0))/INDEX('Data_SA'!$A:$LO,MATCH(EDATE(U$2,-1),'Data_SA'!$A:$A,0),MATCH($E61,'Data_SA'!$1:$1,0))-1),""))</f>
        <v/>
      </c>
    </row>
    <row r="62">
      <c r="A62" s="3" t="inlineStr">
        <is>
          <t>SS09021</t>
        </is>
      </c>
      <c r="B62" s="3" t="inlineStr">
        <is>
          <t>Fresh milk other than whole</t>
        </is>
      </c>
      <c r="C62" s="3" t="inlineStr">
        <is>
          <t>SEFJ01</t>
        </is>
      </c>
      <c r="D62" s="3" t="inlineStr">
        <is>
          <t>CUUR0000SS09021</t>
        </is>
      </c>
      <c r="E62" s="3" t="inlineStr">
        <is>
          <t>CUSR0000SS09021</t>
        </is>
      </c>
      <c r="F62" s="3" t="inlineStr">
        <is>
          <t>GM</t>
        </is>
      </c>
      <c r="G62" s="3" t="inlineStr">
        <is>
          <t>monthly in New York/Los Angeles/Chicago; often bimonthly elsewhere</t>
        </is>
      </c>
      <c r="H62" s="10">
        <f>IFERROR(INDEX(Weights!$D:$D,MATCH($A62,Weights!$A:$A,0)),"")</f>
        <v/>
      </c>
      <c r="I62" s="10">
        <f>IFERROR(INDEX('Data_NSA'!$A:$OK,MATCH(I$2,'Data_NSA'!$A:$A,0),MATCH($D62,'Data_NSA'!$1:$1,0)),"")</f>
        <v/>
      </c>
      <c r="J62" s="10">
        <f>IF($E62="","",IFERROR(INDEX('Data_SA'!$A:$LO,MATCH(I$2,'Data_SA'!$A:$A,0),MATCH($E62,'Data_SA'!$1:$1,0)),""))</f>
        <v/>
      </c>
      <c r="K62" s="7">
        <f>IF($E62="","",IFERROR(INDEX('Data_SA'!$A:$LO,MATCH(I$2,'Data_SA'!$A:$A,0),MATCH($E62,'Data_SA'!$1:$1,0))/INDEX('Data_SA'!$A:$LO,MATCH(EDATE(I$2,-1),'Data_SA'!$A:$A,0),MATCH($E62,'Data_SA'!$1:$1,0))-1,""))</f>
        <v/>
      </c>
      <c r="L62" s="7">
        <f>IFERROR(INDEX('Data_NSA'!$A:$OK,MATCH(I$2,'Data_NSA'!$A:$A,0),MATCH($D62,'Data_NSA'!$1:$1,0))/INDEX('Data_NSA'!$A:$OK,MATCH(EDATE(I$2,-12),'Data_NSA'!$A:$A,0),MATCH($D62,'Data_NSA'!$1:$1,0))-1,"")</f>
        <v/>
      </c>
      <c r="M62" s="10">
        <f>IFERROR(INDEX('Weights'!$G:$I,MATCH($A62,'Weights'!$A:$A,0),MATCH(I$2,'Weights'!$G$1:$I$1,0)),"")</f>
        <v/>
      </c>
      <c r="N62" s="10">
        <f>IF($E62="","",IFERROR(100*(INDEX('Weights'!$D:$D,MATCH($A62,'Weights'!$A:$A,0))*(INDEX('Data_NSA'!$A:$OK,MATCH(EDATE(I$2,-1),'Data_NSA'!$A:$A,0),MATCH($D62,'Data_NSA'!$1:$1,0))/INDEX('Data_NSA'!$A:$OK,MATCH(INDEX('Weights'!$E:$E,MATCH($A62,'Weights'!$A:$A,0)),'Data_NSA'!$A:$A,0),MATCH($D62,'Data_NSA'!$1:$1,0))))/(100*(INDEX('Data_NSA'!$A:$OK,MATCH(EDATE(I$2,-1),'Data_NSA'!$A:$A,0),MATCH("CUUR0000SA0",'Data_NSA'!$1:$1,0))/INDEX('Data_NSA'!$A:$OK,MATCH(INDEX('Weights'!$E:$E,MATCH($A62,'Weights'!$A:$A,0)),'Data_NSA'!$A:$A,0),MATCH("CUUR0000SA0",'Data_NSA'!$1:$1,0))))*(INDEX('Data_SA'!$A:$LO,MATCH(I$2,'Data_SA'!$A:$A,0),MATCH($E62,'Data_SA'!$1:$1,0))/INDEX('Data_SA'!$A:$LO,MATCH(EDATE(I$2,-1),'Data_SA'!$A:$A,0),MATCH($E62,'Data_SA'!$1:$1,0))-1),""))</f>
        <v/>
      </c>
      <c r="O62" s="10">
        <f>IFERROR(INDEX('Data_NSA'!$A:$OK,MATCH(O$2,'Data_NSA'!$A:$A,0),MATCH($D62,'Data_NSA'!$1:$1,0)),"")</f>
        <v/>
      </c>
      <c r="P62" s="10">
        <f>IF($E62="","",IFERROR(INDEX('Data_SA'!$A:$LO,MATCH(O$2,'Data_SA'!$A:$A,0),MATCH($E62,'Data_SA'!$1:$1,0)),""))</f>
        <v/>
      </c>
      <c r="Q62" s="7">
        <f>IF($E62="","",IFERROR(INDEX('Data_SA'!$A:$LO,MATCH(O$2,'Data_SA'!$A:$A,0),MATCH($E62,'Data_SA'!$1:$1,0))/INDEX('Data_SA'!$A:$LO,MATCH(EDATE(O$2,-1),'Data_SA'!$A:$A,0),MATCH($E62,'Data_SA'!$1:$1,0))-1,""))</f>
        <v/>
      </c>
      <c r="R62" s="7">
        <f>IFERROR(INDEX('Data_NSA'!$A:$OK,MATCH(O$2,'Data_NSA'!$A:$A,0),MATCH($D62,'Data_NSA'!$1:$1,0))/INDEX('Data_NSA'!$A:$OK,MATCH(EDATE(O$2,-12),'Data_NSA'!$A:$A,0),MATCH($D62,'Data_NSA'!$1:$1,0))-1,"")</f>
        <v/>
      </c>
      <c r="S62" s="10">
        <f>IFERROR(INDEX('Weights'!$G:$I,MATCH($A62,'Weights'!$A:$A,0),MATCH(O$2,'Weights'!$G$1:$I$1,0)),"")</f>
        <v/>
      </c>
      <c r="T62" s="10">
        <f>IF($E62="","",IFERROR(100*(INDEX('Weights'!$D:$D,MATCH($A62,'Weights'!$A:$A,0))*(INDEX('Data_NSA'!$A:$OK,MATCH(EDATE(O$2,-1),'Data_NSA'!$A:$A,0),MATCH($D62,'Data_NSA'!$1:$1,0))/INDEX('Data_NSA'!$A:$OK,MATCH(INDEX('Weights'!$E:$E,MATCH($A62,'Weights'!$A:$A,0)),'Data_NSA'!$A:$A,0),MATCH($D62,'Data_NSA'!$1:$1,0))))/(100*(INDEX('Data_NSA'!$A:$OK,MATCH(EDATE(O$2,-1),'Data_NSA'!$A:$A,0),MATCH("CUUR0000SA0",'Data_NSA'!$1:$1,0))/INDEX('Data_NSA'!$A:$OK,MATCH(INDEX('Weights'!$E:$E,MATCH($A62,'Weights'!$A:$A,0)),'Data_NSA'!$A:$A,0),MATCH("CUUR0000SA0",'Data_NSA'!$1:$1,0))))*(INDEX('Data_SA'!$A:$LO,MATCH(O$2,'Data_SA'!$A:$A,0),MATCH($E62,'Data_SA'!$1:$1,0))/INDEX('Data_SA'!$A:$LO,MATCH(EDATE(O$2,-1),'Data_SA'!$A:$A,0),MATCH($E62,'Data_SA'!$1:$1,0))-1),""))</f>
        <v/>
      </c>
      <c r="U62" s="10">
        <f>IFERROR(INDEX('Data_NSA'!$A:$OK,MATCH(U$2,'Data_NSA'!$A:$A,0),MATCH($D62,'Data_NSA'!$1:$1,0)),"")</f>
        <v/>
      </c>
      <c r="V62" s="10">
        <f>IF($E62="","",IFERROR(INDEX('Data_SA'!$A:$LO,MATCH(U$2,'Data_SA'!$A:$A,0),MATCH($E62,'Data_SA'!$1:$1,0)),""))</f>
        <v/>
      </c>
      <c r="W62" s="7">
        <f>IF($E62="","",IFERROR(INDEX('Data_SA'!$A:$LO,MATCH(U$2,'Data_SA'!$A:$A,0),MATCH($E62,'Data_SA'!$1:$1,0))/INDEX('Data_SA'!$A:$LO,MATCH(EDATE(U$2,-1),'Data_SA'!$A:$A,0),MATCH($E62,'Data_SA'!$1:$1,0))-1,""))</f>
        <v/>
      </c>
      <c r="X62" s="7">
        <f>IFERROR(INDEX('Data_NSA'!$A:$OK,MATCH(U$2,'Data_NSA'!$A:$A,0),MATCH($D62,'Data_NSA'!$1:$1,0))/INDEX('Data_NSA'!$A:$OK,MATCH(EDATE(U$2,-12),'Data_NSA'!$A:$A,0),MATCH($D62,'Data_NSA'!$1:$1,0))-1,"")</f>
        <v/>
      </c>
      <c r="Y62" s="10">
        <f>IFERROR(INDEX('Weights'!$G:$I,MATCH($A62,'Weights'!$A:$A,0),MATCH(U$2,'Weights'!$G$1:$I$1,0)),"")</f>
        <v/>
      </c>
      <c r="Z62" s="10">
        <f>IF($E62="","",IFERROR(100*(INDEX('Weights'!$D:$D,MATCH($A62,'Weights'!$A:$A,0))*(INDEX('Data_NSA'!$A:$OK,MATCH(EDATE(U$2,-1),'Data_NSA'!$A:$A,0),MATCH($D62,'Data_NSA'!$1:$1,0))/INDEX('Data_NSA'!$A:$OK,MATCH(INDEX('Weights'!$E:$E,MATCH($A62,'Weights'!$A:$A,0)),'Data_NSA'!$A:$A,0),MATCH($D62,'Data_NSA'!$1:$1,0))))/(100*(INDEX('Data_NSA'!$A:$OK,MATCH(EDATE(U$2,-1),'Data_NSA'!$A:$A,0),MATCH("CUUR0000SA0",'Data_NSA'!$1:$1,0))/INDEX('Data_NSA'!$A:$OK,MATCH(INDEX('Weights'!$E:$E,MATCH($A62,'Weights'!$A:$A,0)),'Data_NSA'!$A:$A,0),MATCH("CUUR0000SA0",'Data_NSA'!$1:$1,0))))*(INDEX('Data_SA'!$A:$LO,MATCH(U$2,'Data_SA'!$A:$A,0),MATCH($E62,'Data_SA'!$1:$1,0))/INDEX('Data_SA'!$A:$LO,MATCH(EDATE(U$2,-1),'Data_SA'!$A:$A,0),MATCH($E62,'Data_SA'!$1:$1,0))-1),""))</f>
        <v/>
      </c>
    </row>
    <row r="63">
      <c r="A63" s="3" t="inlineStr">
        <is>
          <t>SEFJ02</t>
        </is>
      </c>
      <c r="B63" s="3" t="inlineStr">
        <is>
          <t>Cheese and related products</t>
        </is>
      </c>
      <c r="C63" s="3" t="inlineStr">
        <is>
          <t>SEFJ</t>
        </is>
      </c>
      <c r="D63" s="3" t="inlineStr">
        <is>
          <t>CUUR0000SEFJ02</t>
        </is>
      </c>
      <c r="E63" s="3" t="inlineStr">
        <is>
          <t>CUSR0000SEFJ02</t>
        </is>
      </c>
      <c r="F63" s="3" t="inlineStr">
        <is>
          <t>GM</t>
        </is>
      </c>
      <c r="G63" s="3" t="inlineStr">
        <is>
          <t>monthly food collection where sampled</t>
        </is>
      </c>
      <c r="H63" s="10">
        <f>IFERROR(INDEX(Weights!$D:$D,MATCH($A63,Weights!$A:$A,0)),"")</f>
        <v/>
      </c>
      <c r="I63" s="10">
        <f>IFERROR(INDEX('Data_NSA'!$A:$OK,MATCH(I$2,'Data_NSA'!$A:$A,0),MATCH($D63,'Data_NSA'!$1:$1,0)),"")</f>
        <v/>
      </c>
      <c r="J63" s="10">
        <f>IF($E63="","",IFERROR(INDEX('Data_SA'!$A:$LO,MATCH(I$2,'Data_SA'!$A:$A,0),MATCH($E63,'Data_SA'!$1:$1,0)),""))</f>
        <v/>
      </c>
      <c r="K63" s="7">
        <f>IF($E63="","",IFERROR(INDEX('Data_SA'!$A:$LO,MATCH(I$2,'Data_SA'!$A:$A,0),MATCH($E63,'Data_SA'!$1:$1,0))/INDEX('Data_SA'!$A:$LO,MATCH(EDATE(I$2,-1),'Data_SA'!$A:$A,0),MATCH($E63,'Data_SA'!$1:$1,0))-1,""))</f>
        <v/>
      </c>
      <c r="L63" s="7">
        <f>IFERROR(INDEX('Data_NSA'!$A:$OK,MATCH(I$2,'Data_NSA'!$A:$A,0),MATCH($D63,'Data_NSA'!$1:$1,0))/INDEX('Data_NSA'!$A:$OK,MATCH(EDATE(I$2,-12),'Data_NSA'!$A:$A,0),MATCH($D63,'Data_NSA'!$1:$1,0))-1,"")</f>
        <v/>
      </c>
      <c r="M63" s="10">
        <f>IFERROR(INDEX('Weights'!$G:$I,MATCH($A63,'Weights'!$A:$A,0),MATCH(I$2,'Weights'!$G$1:$I$1,0)),"")</f>
        <v/>
      </c>
      <c r="N63" s="10">
        <f>IF($E63="","",IFERROR(100*(INDEX('Weights'!$D:$D,MATCH($A63,'Weights'!$A:$A,0))*(INDEX('Data_NSA'!$A:$OK,MATCH(EDATE(I$2,-1),'Data_NSA'!$A:$A,0),MATCH($D63,'Data_NSA'!$1:$1,0))/INDEX('Data_NSA'!$A:$OK,MATCH(INDEX('Weights'!$E:$E,MATCH($A63,'Weights'!$A:$A,0)),'Data_NSA'!$A:$A,0),MATCH($D63,'Data_NSA'!$1:$1,0))))/(100*(INDEX('Data_NSA'!$A:$OK,MATCH(EDATE(I$2,-1),'Data_NSA'!$A:$A,0),MATCH("CUUR0000SA0",'Data_NSA'!$1:$1,0))/INDEX('Data_NSA'!$A:$OK,MATCH(INDEX('Weights'!$E:$E,MATCH($A63,'Weights'!$A:$A,0)),'Data_NSA'!$A:$A,0),MATCH("CUUR0000SA0",'Data_NSA'!$1:$1,0))))*(INDEX('Data_SA'!$A:$LO,MATCH(I$2,'Data_SA'!$A:$A,0),MATCH($E63,'Data_SA'!$1:$1,0))/INDEX('Data_SA'!$A:$LO,MATCH(EDATE(I$2,-1),'Data_SA'!$A:$A,0),MATCH($E63,'Data_SA'!$1:$1,0))-1),""))</f>
        <v/>
      </c>
      <c r="O63" s="10">
        <f>IFERROR(INDEX('Data_NSA'!$A:$OK,MATCH(O$2,'Data_NSA'!$A:$A,0),MATCH($D63,'Data_NSA'!$1:$1,0)),"")</f>
        <v/>
      </c>
      <c r="P63" s="10">
        <f>IF($E63="","",IFERROR(INDEX('Data_SA'!$A:$LO,MATCH(O$2,'Data_SA'!$A:$A,0),MATCH($E63,'Data_SA'!$1:$1,0)),""))</f>
        <v/>
      </c>
      <c r="Q63" s="7">
        <f>IF($E63="","",IFERROR(INDEX('Data_SA'!$A:$LO,MATCH(O$2,'Data_SA'!$A:$A,0),MATCH($E63,'Data_SA'!$1:$1,0))/INDEX('Data_SA'!$A:$LO,MATCH(EDATE(O$2,-1),'Data_SA'!$A:$A,0),MATCH($E63,'Data_SA'!$1:$1,0))-1,""))</f>
        <v/>
      </c>
      <c r="R63" s="7">
        <f>IFERROR(INDEX('Data_NSA'!$A:$OK,MATCH(O$2,'Data_NSA'!$A:$A,0),MATCH($D63,'Data_NSA'!$1:$1,0))/INDEX('Data_NSA'!$A:$OK,MATCH(EDATE(O$2,-12),'Data_NSA'!$A:$A,0),MATCH($D63,'Data_NSA'!$1:$1,0))-1,"")</f>
        <v/>
      </c>
      <c r="S63" s="10">
        <f>IFERROR(INDEX('Weights'!$G:$I,MATCH($A63,'Weights'!$A:$A,0),MATCH(O$2,'Weights'!$G$1:$I$1,0)),"")</f>
        <v/>
      </c>
      <c r="T63" s="10">
        <f>IF($E63="","",IFERROR(100*(INDEX('Weights'!$D:$D,MATCH($A63,'Weights'!$A:$A,0))*(INDEX('Data_NSA'!$A:$OK,MATCH(EDATE(O$2,-1),'Data_NSA'!$A:$A,0),MATCH($D63,'Data_NSA'!$1:$1,0))/INDEX('Data_NSA'!$A:$OK,MATCH(INDEX('Weights'!$E:$E,MATCH($A63,'Weights'!$A:$A,0)),'Data_NSA'!$A:$A,0),MATCH($D63,'Data_NSA'!$1:$1,0))))/(100*(INDEX('Data_NSA'!$A:$OK,MATCH(EDATE(O$2,-1),'Data_NSA'!$A:$A,0),MATCH("CUUR0000SA0",'Data_NSA'!$1:$1,0))/INDEX('Data_NSA'!$A:$OK,MATCH(INDEX('Weights'!$E:$E,MATCH($A63,'Weights'!$A:$A,0)),'Data_NSA'!$A:$A,0),MATCH("CUUR0000SA0",'Data_NSA'!$1:$1,0))))*(INDEX('Data_SA'!$A:$LO,MATCH(O$2,'Data_SA'!$A:$A,0),MATCH($E63,'Data_SA'!$1:$1,0))/INDEX('Data_SA'!$A:$LO,MATCH(EDATE(O$2,-1),'Data_SA'!$A:$A,0),MATCH($E63,'Data_SA'!$1:$1,0))-1),""))</f>
        <v/>
      </c>
      <c r="U63" s="10">
        <f>IFERROR(INDEX('Data_NSA'!$A:$OK,MATCH(U$2,'Data_NSA'!$A:$A,0),MATCH($D63,'Data_NSA'!$1:$1,0)),"")</f>
        <v/>
      </c>
      <c r="V63" s="10">
        <f>IF($E63="","",IFERROR(INDEX('Data_SA'!$A:$LO,MATCH(U$2,'Data_SA'!$A:$A,0),MATCH($E63,'Data_SA'!$1:$1,0)),""))</f>
        <v/>
      </c>
      <c r="W63" s="7">
        <f>IF($E63="","",IFERROR(INDEX('Data_SA'!$A:$LO,MATCH(U$2,'Data_SA'!$A:$A,0),MATCH($E63,'Data_SA'!$1:$1,0))/INDEX('Data_SA'!$A:$LO,MATCH(EDATE(U$2,-1),'Data_SA'!$A:$A,0),MATCH($E63,'Data_SA'!$1:$1,0))-1,""))</f>
        <v/>
      </c>
      <c r="X63" s="7">
        <f>IFERROR(INDEX('Data_NSA'!$A:$OK,MATCH(U$2,'Data_NSA'!$A:$A,0),MATCH($D63,'Data_NSA'!$1:$1,0))/INDEX('Data_NSA'!$A:$OK,MATCH(EDATE(U$2,-12),'Data_NSA'!$A:$A,0),MATCH($D63,'Data_NSA'!$1:$1,0))-1,"")</f>
        <v/>
      </c>
      <c r="Y63" s="10">
        <f>IFERROR(INDEX('Weights'!$G:$I,MATCH($A63,'Weights'!$A:$A,0),MATCH(U$2,'Weights'!$G$1:$I$1,0)),"")</f>
        <v/>
      </c>
      <c r="Z63" s="10">
        <f>IF($E63="","",IFERROR(100*(INDEX('Weights'!$D:$D,MATCH($A63,'Weights'!$A:$A,0))*(INDEX('Data_NSA'!$A:$OK,MATCH(EDATE(U$2,-1),'Data_NSA'!$A:$A,0),MATCH($D63,'Data_NSA'!$1:$1,0))/INDEX('Data_NSA'!$A:$OK,MATCH(INDEX('Weights'!$E:$E,MATCH($A63,'Weights'!$A:$A,0)),'Data_NSA'!$A:$A,0),MATCH($D63,'Data_NSA'!$1:$1,0))))/(100*(INDEX('Data_NSA'!$A:$OK,MATCH(EDATE(U$2,-1),'Data_NSA'!$A:$A,0),MATCH("CUUR0000SA0",'Data_NSA'!$1:$1,0))/INDEX('Data_NSA'!$A:$OK,MATCH(INDEX('Weights'!$E:$E,MATCH($A63,'Weights'!$A:$A,0)),'Data_NSA'!$A:$A,0),MATCH("CUUR0000SA0",'Data_NSA'!$1:$1,0))))*(INDEX('Data_SA'!$A:$LO,MATCH(U$2,'Data_SA'!$A:$A,0),MATCH($E63,'Data_SA'!$1:$1,0))/INDEX('Data_SA'!$A:$LO,MATCH(EDATE(U$2,-1),'Data_SA'!$A:$A,0),MATCH($E63,'Data_SA'!$1:$1,0))-1),""))</f>
        <v/>
      </c>
    </row>
    <row r="64">
      <c r="A64" s="3" t="inlineStr">
        <is>
          <t>SEFJ03</t>
        </is>
      </c>
      <c r="B64" s="3" t="inlineStr">
        <is>
          <t>Ice cream and related products</t>
        </is>
      </c>
      <c r="C64" s="3" t="inlineStr">
        <is>
          <t>SEFJ</t>
        </is>
      </c>
      <c r="D64" s="3" t="inlineStr">
        <is>
          <t>CUUR0000SEFJ03</t>
        </is>
      </c>
      <c r="E64" s="3" t="inlineStr">
        <is>
          <t>CUSR0000SEFJ03</t>
        </is>
      </c>
      <c r="F64" s="3" t="inlineStr">
        <is>
          <t>GM</t>
        </is>
      </c>
      <c r="G64" s="3" t="inlineStr">
        <is>
          <t>monthly food collection where sampled</t>
        </is>
      </c>
      <c r="H64" s="10">
        <f>IFERROR(INDEX(Weights!$D:$D,MATCH($A64,Weights!$A:$A,0)),"")</f>
        <v/>
      </c>
      <c r="I64" s="10">
        <f>IFERROR(INDEX('Data_NSA'!$A:$OK,MATCH(I$2,'Data_NSA'!$A:$A,0),MATCH($D64,'Data_NSA'!$1:$1,0)),"")</f>
        <v/>
      </c>
      <c r="J64" s="10">
        <f>IF($E64="","",IFERROR(INDEX('Data_SA'!$A:$LO,MATCH(I$2,'Data_SA'!$A:$A,0),MATCH($E64,'Data_SA'!$1:$1,0)),""))</f>
        <v/>
      </c>
      <c r="K64" s="7">
        <f>IF($E64="","",IFERROR(INDEX('Data_SA'!$A:$LO,MATCH(I$2,'Data_SA'!$A:$A,0),MATCH($E64,'Data_SA'!$1:$1,0))/INDEX('Data_SA'!$A:$LO,MATCH(EDATE(I$2,-1),'Data_SA'!$A:$A,0),MATCH($E64,'Data_SA'!$1:$1,0))-1,""))</f>
        <v/>
      </c>
      <c r="L64" s="7">
        <f>IFERROR(INDEX('Data_NSA'!$A:$OK,MATCH(I$2,'Data_NSA'!$A:$A,0),MATCH($D64,'Data_NSA'!$1:$1,0))/INDEX('Data_NSA'!$A:$OK,MATCH(EDATE(I$2,-12),'Data_NSA'!$A:$A,0),MATCH($D64,'Data_NSA'!$1:$1,0))-1,"")</f>
        <v/>
      </c>
      <c r="M64" s="10">
        <f>IFERROR(INDEX('Weights'!$G:$I,MATCH($A64,'Weights'!$A:$A,0),MATCH(I$2,'Weights'!$G$1:$I$1,0)),"")</f>
        <v/>
      </c>
      <c r="N64" s="10">
        <f>IF($E64="","",IFERROR(100*(INDEX('Weights'!$D:$D,MATCH($A64,'Weights'!$A:$A,0))*(INDEX('Data_NSA'!$A:$OK,MATCH(EDATE(I$2,-1),'Data_NSA'!$A:$A,0),MATCH($D64,'Data_NSA'!$1:$1,0))/INDEX('Data_NSA'!$A:$OK,MATCH(INDEX('Weights'!$E:$E,MATCH($A64,'Weights'!$A:$A,0)),'Data_NSA'!$A:$A,0),MATCH($D64,'Data_NSA'!$1:$1,0))))/(100*(INDEX('Data_NSA'!$A:$OK,MATCH(EDATE(I$2,-1),'Data_NSA'!$A:$A,0),MATCH("CUUR0000SA0",'Data_NSA'!$1:$1,0))/INDEX('Data_NSA'!$A:$OK,MATCH(INDEX('Weights'!$E:$E,MATCH($A64,'Weights'!$A:$A,0)),'Data_NSA'!$A:$A,0),MATCH("CUUR0000SA0",'Data_NSA'!$1:$1,0))))*(INDEX('Data_SA'!$A:$LO,MATCH(I$2,'Data_SA'!$A:$A,0),MATCH($E64,'Data_SA'!$1:$1,0))/INDEX('Data_SA'!$A:$LO,MATCH(EDATE(I$2,-1),'Data_SA'!$A:$A,0),MATCH($E64,'Data_SA'!$1:$1,0))-1),""))</f>
        <v/>
      </c>
      <c r="O64" s="10">
        <f>IFERROR(INDEX('Data_NSA'!$A:$OK,MATCH(O$2,'Data_NSA'!$A:$A,0),MATCH($D64,'Data_NSA'!$1:$1,0)),"")</f>
        <v/>
      </c>
      <c r="P64" s="10">
        <f>IF($E64="","",IFERROR(INDEX('Data_SA'!$A:$LO,MATCH(O$2,'Data_SA'!$A:$A,0),MATCH($E64,'Data_SA'!$1:$1,0)),""))</f>
        <v/>
      </c>
      <c r="Q64" s="7">
        <f>IF($E64="","",IFERROR(INDEX('Data_SA'!$A:$LO,MATCH(O$2,'Data_SA'!$A:$A,0),MATCH($E64,'Data_SA'!$1:$1,0))/INDEX('Data_SA'!$A:$LO,MATCH(EDATE(O$2,-1),'Data_SA'!$A:$A,0),MATCH($E64,'Data_SA'!$1:$1,0))-1,""))</f>
        <v/>
      </c>
      <c r="R64" s="7">
        <f>IFERROR(INDEX('Data_NSA'!$A:$OK,MATCH(O$2,'Data_NSA'!$A:$A,0),MATCH($D64,'Data_NSA'!$1:$1,0))/INDEX('Data_NSA'!$A:$OK,MATCH(EDATE(O$2,-12),'Data_NSA'!$A:$A,0),MATCH($D64,'Data_NSA'!$1:$1,0))-1,"")</f>
        <v/>
      </c>
      <c r="S64" s="10">
        <f>IFERROR(INDEX('Weights'!$G:$I,MATCH($A64,'Weights'!$A:$A,0),MATCH(O$2,'Weights'!$G$1:$I$1,0)),"")</f>
        <v/>
      </c>
      <c r="T64" s="10">
        <f>IF($E64="","",IFERROR(100*(INDEX('Weights'!$D:$D,MATCH($A64,'Weights'!$A:$A,0))*(INDEX('Data_NSA'!$A:$OK,MATCH(EDATE(O$2,-1),'Data_NSA'!$A:$A,0),MATCH($D64,'Data_NSA'!$1:$1,0))/INDEX('Data_NSA'!$A:$OK,MATCH(INDEX('Weights'!$E:$E,MATCH($A64,'Weights'!$A:$A,0)),'Data_NSA'!$A:$A,0),MATCH($D64,'Data_NSA'!$1:$1,0))))/(100*(INDEX('Data_NSA'!$A:$OK,MATCH(EDATE(O$2,-1),'Data_NSA'!$A:$A,0),MATCH("CUUR0000SA0",'Data_NSA'!$1:$1,0))/INDEX('Data_NSA'!$A:$OK,MATCH(INDEX('Weights'!$E:$E,MATCH($A64,'Weights'!$A:$A,0)),'Data_NSA'!$A:$A,0),MATCH("CUUR0000SA0",'Data_NSA'!$1:$1,0))))*(INDEX('Data_SA'!$A:$LO,MATCH(O$2,'Data_SA'!$A:$A,0),MATCH($E64,'Data_SA'!$1:$1,0))/INDEX('Data_SA'!$A:$LO,MATCH(EDATE(O$2,-1),'Data_SA'!$A:$A,0),MATCH($E64,'Data_SA'!$1:$1,0))-1),""))</f>
        <v/>
      </c>
      <c r="U64" s="10">
        <f>IFERROR(INDEX('Data_NSA'!$A:$OK,MATCH(U$2,'Data_NSA'!$A:$A,0),MATCH($D64,'Data_NSA'!$1:$1,0)),"")</f>
        <v/>
      </c>
      <c r="V64" s="10">
        <f>IF($E64="","",IFERROR(INDEX('Data_SA'!$A:$LO,MATCH(U$2,'Data_SA'!$A:$A,0),MATCH($E64,'Data_SA'!$1:$1,0)),""))</f>
        <v/>
      </c>
      <c r="W64" s="7">
        <f>IF($E64="","",IFERROR(INDEX('Data_SA'!$A:$LO,MATCH(U$2,'Data_SA'!$A:$A,0),MATCH($E64,'Data_SA'!$1:$1,0))/INDEX('Data_SA'!$A:$LO,MATCH(EDATE(U$2,-1),'Data_SA'!$A:$A,0),MATCH($E64,'Data_SA'!$1:$1,0))-1,""))</f>
        <v/>
      </c>
      <c r="X64" s="7">
        <f>IFERROR(INDEX('Data_NSA'!$A:$OK,MATCH(U$2,'Data_NSA'!$A:$A,0),MATCH($D64,'Data_NSA'!$1:$1,0))/INDEX('Data_NSA'!$A:$OK,MATCH(EDATE(U$2,-12),'Data_NSA'!$A:$A,0),MATCH($D64,'Data_NSA'!$1:$1,0))-1,"")</f>
        <v/>
      </c>
      <c r="Y64" s="10">
        <f>IFERROR(INDEX('Weights'!$G:$I,MATCH($A64,'Weights'!$A:$A,0),MATCH(U$2,'Weights'!$G$1:$I$1,0)),"")</f>
        <v/>
      </c>
      <c r="Z64" s="10">
        <f>IF($E64="","",IFERROR(100*(INDEX('Weights'!$D:$D,MATCH($A64,'Weights'!$A:$A,0))*(INDEX('Data_NSA'!$A:$OK,MATCH(EDATE(U$2,-1),'Data_NSA'!$A:$A,0),MATCH($D64,'Data_NSA'!$1:$1,0))/INDEX('Data_NSA'!$A:$OK,MATCH(INDEX('Weights'!$E:$E,MATCH($A64,'Weights'!$A:$A,0)),'Data_NSA'!$A:$A,0),MATCH($D64,'Data_NSA'!$1:$1,0))))/(100*(INDEX('Data_NSA'!$A:$OK,MATCH(EDATE(U$2,-1),'Data_NSA'!$A:$A,0),MATCH("CUUR0000SA0",'Data_NSA'!$1:$1,0))/INDEX('Data_NSA'!$A:$OK,MATCH(INDEX('Weights'!$E:$E,MATCH($A64,'Weights'!$A:$A,0)),'Data_NSA'!$A:$A,0),MATCH("CUUR0000SA0",'Data_NSA'!$1:$1,0))))*(INDEX('Data_SA'!$A:$LO,MATCH(U$2,'Data_SA'!$A:$A,0),MATCH($E64,'Data_SA'!$1:$1,0))/INDEX('Data_SA'!$A:$LO,MATCH(EDATE(U$2,-1),'Data_SA'!$A:$A,0),MATCH($E64,'Data_SA'!$1:$1,0))-1),""))</f>
        <v/>
      </c>
    </row>
    <row r="65">
      <c r="A65" s="3" t="inlineStr">
        <is>
          <t>SEFJ04</t>
        </is>
      </c>
      <c r="B65" s="3" t="inlineStr">
        <is>
          <t>Other dairy and related products</t>
        </is>
      </c>
      <c r="C65" s="3" t="inlineStr">
        <is>
          <t>SEFJ</t>
        </is>
      </c>
      <c r="D65" s="3" t="inlineStr">
        <is>
          <t>CUUR0000SEFJ04</t>
        </is>
      </c>
      <c r="E65" s="3" t="inlineStr">
        <is>
          <t>CUSR0000SEFJ04</t>
        </is>
      </c>
      <c r="F65" s="3" t="inlineStr">
        <is>
          <t>GM</t>
        </is>
      </c>
      <c r="G65" s="3" t="inlineStr">
        <is>
          <t>monthly food collection where sampled</t>
        </is>
      </c>
      <c r="H65" s="10">
        <f>IFERROR(INDEX(Weights!$D:$D,MATCH($A65,Weights!$A:$A,0)),"")</f>
        <v/>
      </c>
      <c r="I65" s="10">
        <f>IFERROR(INDEX('Data_NSA'!$A:$OK,MATCH(I$2,'Data_NSA'!$A:$A,0),MATCH($D65,'Data_NSA'!$1:$1,0)),"")</f>
        <v/>
      </c>
      <c r="J65" s="10">
        <f>IF($E65="","",IFERROR(INDEX('Data_SA'!$A:$LO,MATCH(I$2,'Data_SA'!$A:$A,0),MATCH($E65,'Data_SA'!$1:$1,0)),""))</f>
        <v/>
      </c>
      <c r="K65" s="7">
        <f>IF($E65="","",IFERROR(INDEX('Data_SA'!$A:$LO,MATCH(I$2,'Data_SA'!$A:$A,0),MATCH($E65,'Data_SA'!$1:$1,0))/INDEX('Data_SA'!$A:$LO,MATCH(EDATE(I$2,-1),'Data_SA'!$A:$A,0),MATCH($E65,'Data_SA'!$1:$1,0))-1,""))</f>
        <v/>
      </c>
      <c r="L65" s="7">
        <f>IFERROR(INDEX('Data_NSA'!$A:$OK,MATCH(I$2,'Data_NSA'!$A:$A,0),MATCH($D65,'Data_NSA'!$1:$1,0))/INDEX('Data_NSA'!$A:$OK,MATCH(EDATE(I$2,-12),'Data_NSA'!$A:$A,0),MATCH($D65,'Data_NSA'!$1:$1,0))-1,"")</f>
        <v/>
      </c>
      <c r="M65" s="10">
        <f>IFERROR(INDEX('Weights'!$G:$I,MATCH($A65,'Weights'!$A:$A,0),MATCH(I$2,'Weights'!$G$1:$I$1,0)),"")</f>
        <v/>
      </c>
      <c r="N65" s="10">
        <f>IF($E65="","",IFERROR(100*(INDEX('Weights'!$D:$D,MATCH($A65,'Weights'!$A:$A,0))*(INDEX('Data_NSA'!$A:$OK,MATCH(EDATE(I$2,-1),'Data_NSA'!$A:$A,0),MATCH($D65,'Data_NSA'!$1:$1,0))/INDEX('Data_NSA'!$A:$OK,MATCH(INDEX('Weights'!$E:$E,MATCH($A65,'Weights'!$A:$A,0)),'Data_NSA'!$A:$A,0),MATCH($D65,'Data_NSA'!$1:$1,0))))/(100*(INDEX('Data_NSA'!$A:$OK,MATCH(EDATE(I$2,-1),'Data_NSA'!$A:$A,0),MATCH("CUUR0000SA0",'Data_NSA'!$1:$1,0))/INDEX('Data_NSA'!$A:$OK,MATCH(INDEX('Weights'!$E:$E,MATCH($A65,'Weights'!$A:$A,0)),'Data_NSA'!$A:$A,0),MATCH("CUUR0000SA0",'Data_NSA'!$1:$1,0))))*(INDEX('Data_SA'!$A:$LO,MATCH(I$2,'Data_SA'!$A:$A,0),MATCH($E65,'Data_SA'!$1:$1,0))/INDEX('Data_SA'!$A:$LO,MATCH(EDATE(I$2,-1),'Data_SA'!$A:$A,0),MATCH($E65,'Data_SA'!$1:$1,0))-1),""))</f>
        <v/>
      </c>
      <c r="O65" s="10">
        <f>IFERROR(INDEX('Data_NSA'!$A:$OK,MATCH(O$2,'Data_NSA'!$A:$A,0),MATCH($D65,'Data_NSA'!$1:$1,0)),"")</f>
        <v/>
      </c>
      <c r="P65" s="10">
        <f>IF($E65="","",IFERROR(INDEX('Data_SA'!$A:$LO,MATCH(O$2,'Data_SA'!$A:$A,0),MATCH($E65,'Data_SA'!$1:$1,0)),""))</f>
        <v/>
      </c>
      <c r="Q65" s="7">
        <f>IF($E65="","",IFERROR(INDEX('Data_SA'!$A:$LO,MATCH(O$2,'Data_SA'!$A:$A,0),MATCH($E65,'Data_SA'!$1:$1,0))/INDEX('Data_SA'!$A:$LO,MATCH(EDATE(O$2,-1),'Data_SA'!$A:$A,0),MATCH($E65,'Data_SA'!$1:$1,0))-1,""))</f>
        <v/>
      </c>
      <c r="R65" s="7">
        <f>IFERROR(INDEX('Data_NSA'!$A:$OK,MATCH(O$2,'Data_NSA'!$A:$A,0),MATCH($D65,'Data_NSA'!$1:$1,0))/INDEX('Data_NSA'!$A:$OK,MATCH(EDATE(O$2,-12),'Data_NSA'!$A:$A,0),MATCH($D65,'Data_NSA'!$1:$1,0))-1,"")</f>
        <v/>
      </c>
      <c r="S65" s="10">
        <f>IFERROR(INDEX('Weights'!$G:$I,MATCH($A65,'Weights'!$A:$A,0),MATCH(O$2,'Weights'!$G$1:$I$1,0)),"")</f>
        <v/>
      </c>
      <c r="T65" s="10">
        <f>IF($E65="","",IFERROR(100*(INDEX('Weights'!$D:$D,MATCH($A65,'Weights'!$A:$A,0))*(INDEX('Data_NSA'!$A:$OK,MATCH(EDATE(O$2,-1),'Data_NSA'!$A:$A,0),MATCH($D65,'Data_NSA'!$1:$1,0))/INDEX('Data_NSA'!$A:$OK,MATCH(INDEX('Weights'!$E:$E,MATCH($A65,'Weights'!$A:$A,0)),'Data_NSA'!$A:$A,0),MATCH($D65,'Data_NSA'!$1:$1,0))))/(100*(INDEX('Data_NSA'!$A:$OK,MATCH(EDATE(O$2,-1),'Data_NSA'!$A:$A,0),MATCH("CUUR0000SA0",'Data_NSA'!$1:$1,0))/INDEX('Data_NSA'!$A:$OK,MATCH(INDEX('Weights'!$E:$E,MATCH($A65,'Weights'!$A:$A,0)),'Data_NSA'!$A:$A,0),MATCH("CUUR0000SA0",'Data_NSA'!$1:$1,0))))*(INDEX('Data_SA'!$A:$LO,MATCH(O$2,'Data_SA'!$A:$A,0),MATCH($E65,'Data_SA'!$1:$1,0))/INDEX('Data_SA'!$A:$LO,MATCH(EDATE(O$2,-1),'Data_SA'!$A:$A,0),MATCH($E65,'Data_SA'!$1:$1,0))-1),""))</f>
        <v/>
      </c>
      <c r="U65" s="10">
        <f>IFERROR(INDEX('Data_NSA'!$A:$OK,MATCH(U$2,'Data_NSA'!$A:$A,0),MATCH($D65,'Data_NSA'!$1:$1,0)),"")</f>
        <v/>
      </c>
      <c r="V65" s="10">
        <f>IF($E65="","",IFERROR(INDEX('Data_SA'!$A:$LO,MATCH(U$2,'Data_SA'!$A:$A,0),MATCH($E65,'Data_SA'!$1:$1,0)),""))</f>
        <v/>
      </c>
      <c r="W65" s="7">
        <f>IF($E65="","",IFERROR(INDEX('Data_SA'!$A:$LO,MATCH(U$2,'Data_SA'!$A:$A,0),MATCH($E65,'Data_SA'!$1:$1,0))/INDEX('Data_SA'!$A:$LO,MATCH(EDATE(U$2,-1),'Data_SA'!$A:$A,0),MATCH($E65,'Data_SA'!$1:$1,0))-1,""))</f>
        <v/>
      </c>
      <c r="X65" s="7">
        <f>IFERROR(INDEX('Data_NSA'!$A:$OK,MATCH(U$2,'Data_NSA'!$A:$A,0),MATCH($D65,'Data_NSA'!$1:$1,0))/INDEX('Data_NSA'!$A:$OK,MATCH(EDATE(U$2,-12),'Data_NSA'!$A:$A,0),MATCH($D65,'Data_NSA'!$1:$1,0))-1,"")</f>
        <v/>
      </c>
      <c r="Y65" s="10">
        <f>IFERROR(INDEX('Weights'!$G:$I,MATCH($A65,'Weights'!$A:$A,0),MATCH(U$2,'Weights'!$G$1:$I$1,0)),"")</f>
        <v/>
      </c>
      <c r="Z65" s="10">
        <f>IF($E65="","",IFERROR(100*(INDEX('Weights'!$D:$D,MATCH($A65,'Weights'!$A:$A,0))*(INDEX('Data_NSA'!$A:$OK,MATCH(EDATE(U$2,-1),'Data_NSA'!$A:$A,0),MATCH($D65,'Data_NSA'!$1:$1,0))/INDEX('Data_NSA'!$A:$OK,MATCH(INDEX('Weights'!$E:$E,MATCH($A65,'Weights'!$A:$A,0)),'Data_NSA'!$A:$A,0),MATCH($D65,'Data_NSA'!$1:$1,0))))/(100*(INDEX('Data_NSA'!$A:$OK,MATCH(EDATE(U$2,-1),'Data_NSA'!$A:$A,0),MATCH("CUUR0000SA0",'Data_NSA'!$1:$1,0))/INDEX('Data_NSA'!$A:$OK,MATCH(INDEX('Weights'!$E:$E,MATCH($A65,'Weights'!$A:$A,0)),'Data_NSA'!$A:$A,0),MATCH("CUUR0000SA0",'Data_NSA'!$1:$1,0))))*(INDEX('Data_SA'!$A:$LO,MATCH(U$2,'Data_SA'!$A:$A,0),MATCH($E65,'Data_SA'!$1:$1,0))/INDEX('Data_SA'!$A:$LO,MATCH(EDATE(U$2,-1),'Data_SA'!$A:$A,0),MATCH($E65,'Data_SA'!$1:$1,0))-1),""))</f>
        <v/>
      </c>
    </row>
    <row r="66">
      <c r="A66" s="3" t="inlineStr">
        <is>
          <t>SAF113</t>
        </is>
      </c>
      <c r="B66" s="3" t="inlineStr">
        <is>
          <t>Fruits and vegetables</t>
        </is>
      </c>
      <c r="C66" s="3" t="inlineStr">
        <is>
          <t>SAF11</t>
        </is>
      </c>
      <c r="D66" s="3" t="inlineStr">
        <is>
          <t>CUUR0000SAF113</t>
        </is>
      </c>
      <c r="E66" s="3" t="inlineStr">
        <is>
          <t>CUSR0000SAF113</t>
        </is>
      </c>
      <c r="F66" s="3" t="inlineStr">
        <is>
          <t>GM</t>
        </is>
      </c>
      <c r="G66" s="3" t="inlineStr">
        <is>
          <t>monthly</t>
        </is>
      </c>
      <c r="H66" s="10">
        <f>IFERROR(INDEX(Weights!$D:$D,MATCH($A66,Weights!$A:$A,0)),"")</f>
        <v/>
      </c>
      <c r="I66" s="10">
        <f>IFERROR(INDEX('Data_NSA'!$A:$OK,MATCH(I$2,'Data_NSA'!$A:$A,0),MATCH($D66,'Data_NSA'!$1:$1,0)),"")</f>
        <v/>
      </c>
      <c r="J66" s="10">
        <f>IF($E66="","",IFERROR(INDEX('Data_SA'!$A:$LO,MATCH(I$2,'Data_SA'!$A:$A,0),MATCH($E66,'Data_SA'!$1:$1,0)),""))</f>
        <v/>
      </c>
      <c r="K66" s="7">
        <f>IF($E66="","",IFERROR(INDEX('Data_SA'!$A:$LO,MATCH(I$2,'Data_SA'!$A:$A,0),MATCH($E66,'Data_SA'!$1:$1,0))/INDEX('Data_SA'!$A:$LO,MATCH(EDATE(I$2,-1),'Data_SA'!$A:$A,0),MATCH($E66,'Data_SA'!$1:$1,0))-1,""))</f>
        <v/>
      </c>
      <c r="L66" s="7">
        <f>IFERROR(INDEX('Data_NSA'!$A:$OK,MATCH(I$2,'Data_NSA'!$A:$A,0),MATCH($D66,'Data_NSA'!$1:$1,0))/INDEX('Data_NSA'!$A:$OK,MATCH(EDATE(I$2,-12),'Data_NSA'!$A:$A,0),MATCH($D66,'Data_NSA'!$1:$1,0))-1,"")</f>
        <v/>
      </c>
      <c r="M66" s="10">
        <f>IFERROR(INDEX('Weights'!$G:$I,MATCH($A66,'Weights'!$A:$A,0),MATCH(I$2,'Weights'!$G$1:$I$1,0)),"")</f>
        <v/>
      </c>
      <c r="N66" s="10">
        <f>IF($E66="","",IFERROR(100*(INDEX('Weights'!$D:$D,MATCH($A66,'Weights'!$A:$A,0))*(INDEX('Data_NSA'!$A:$OK,MATCH(EDATE(I$2,-1),'Data_NSA'!$A:$A,0),MATCH($D66,'Data_NSA'!$1:$1,0))/INDEX('Data_NSA'!$A:$OK,MATCH(INDEX('Weights'!$E:$E,MATCH($A66,'Weights'!$A:$A,0)),'Data_NSA'!$A:$A,0),MATCH($D66,'Data_NSA'!$1:$1,0))))/(100*(INDEX('Data_NSA'!$A:$OK,MATCH(EDATE(I$2,-1),'Data_NSA'!$A:$A,0),MATCH("CUUR0000SA0",'Data_NSA'!$1:$1,0))/INDEX('Data_NSA'!$A:$OK,MATCH(INDEX('Weights'!$E:$E,MATCH($A66,'Weights'!$A:$A,0)),'Data_NSA'!$A:$A,0),MATCH("CUUR0000SA0",'Data_NSA'!$1:$1,0))))*(INDEX('Data_SA'!$A:$LO,MATCH(I$2,'Data_SA'!$A:$A,0),MATCH($E66,'Data_SA'!$1:$1,0))/INDEX('Data_SA'!$A:$LO,MATCH(EDATE(I$2,-1),'Data_SA'!$A:$A,0),MATCH($E66,'Data_SA'!$1:$1,0))-1),""))</f>
        <v/>
      </c>
      <c r="O66" s="10">
        <f>IFERROR(INDEX('Data_NSA'!$A:$OK,MATCH(O$2,'Data_NSA'!$A:$A,0),MATCH($D66,'Data_NSA'!$1:$1,0)),"")</f>
        <v/>
      </c>
      <c r="P66" s="10">
        <f>IF($E66="","",IFERROR(INDEX('Data_SA'!$A:$LO,MATCH(O$2,'Data_SA'!$A:$A,0),MATCH($E66,'Data_SA'!$1:$1,0)),""))</f>
        <v/>
      </c>
      <c r="Q66" s="7">
        <f>IF($E66="","",IFERROR(INDEX('Data_SA'!$A:$LO,MATCH(O$2,'Data_SA'!$A:$A,0),MATCH($E66,'Data_SA'!$1:$1,0))/INDEX('Data_SA'!$A:$LO,MATCH(EDATE(O$2,-1),'Data_SA'!$A:$A,0),MATCH($E66,'Data_SA'!$1:$1,0))-1,""))</f>
        <v/>
      </c>
      <c r="R66" s="7">
        <f>IFERROR(INDEX('Data_NSA'!$A:$OK,MATCH(O$2,'Data_NSA'!$A:$A,0),MATCH($D66,'Data_NSA'!$1:$1,0))/INDEX('Data_NSA'!$A:$OK,MATCH(EDATE(O$2,-12),'Data_NSA'!$A:$A,0),MATCH($D66,'Data_NSA'!$1:$1,0))-1,"")</f>
        <v/>
      </c>
      <c r="S66" s="10">
        <f>IFERROR(INDEX('Weights'!$G:$I,MATCH($A66,'Weights'!$A:$A,0),MATCH(O$2,'Weights'!$G$1:$I$1,0)),"")</f>
        <v/>
      </c>
      <c r="T66" s="10">
        <f>IF($E66="","",IFERROR(100*(INDEX('Weights'!$D:$D,MATCH($A66,'Weights'!$A:$A,0))*(INDEX('Data_NSA'!$A:$OK,MATCH(EDATE(O$2,-1),'Data_NSA'!$A:$A,0),MATCH($D66,'Data_NSA'!$1:$1,0))/INDEX('Data_NSA'!$A:$OK,MATCH(INDEX('Weights'!$E:$E,MATCH($A66,'Weights'!$A:$A,0)),'Data_NSA'!$A:$A,0),MATCH($D66,'Data_NSA'!$1:$1,0))))/(100*(INDEX('Data_NSA'!$A:$OK,MATCH(EDATE(O$2,-1),'Data_NSA'!$A:$A,0),MATCH("CUUR0000SA0",'Data_NSA'!$1:$1,0))/INDEX('Data_NSA'!$A:$OK,MATCH(INDEX('Weights'!$E:$E,MATCH($A66,'Weights'!$A:$A,0)),'Data_NSA'!$A:$A,0),MATCH("CUUR0000SA0",'Data_NSA'!$1:$1,0))))*(INDEX('Data_SA'!$A:$LO,MATCH(O$2,'Data_SA'!$A:$A,0),MATCH($E66,'Data_SA'!$1:$1,0))/INDEX('Data_SA'!$A:$LO,MATCH(EDATE(O$2,-1),'Data_SA'!$A:$A,0),MATCH($E66,'Data_SA'!$1:$1,0))-1),""))</f>
        <v/>
      </c>
      <c r="U66" s="10">
        <f>IFERROR(INDEX('Data_NSA'!$A:$OK,MATCH(U$2,'Data_NSA'!$A:$A,0),MATCH($D66,'Data_NSA'!$1:$1,0)),"")</f>
        <v/>
      </c>
      <c r="V66" s="10">
        <f>IF($E66="","",IFERROR(INDEX('Data_SA'!$A:$LO,MATCH(U$2,'Data_SA'!$A:$A,0),MATCH($E66,'Data_SA'!$1:$1,0)),""))</f>
        <v/>
      </c>
      <c r="W66" s="7">
        <f>IF($E66="","",IFERROR(INDEX('Data_SA'!$A:$LO,MATCH(U$2,'Data_SA'!$A:$A,0),MATCH($E66,'Data_SA'!$1:$1,0))/INDEX('Data_SA'!$A:$LO,MATCH(EDATE(U$2,-1),'Data_SA'!$A:$A,0),MATCH($E66,'Data_SA'!$1:$1,0))-1,""))</f>
        <v/>
      </c>
      <c r="X66" s="7">
        <f>IFERROR(INDEX('Data_NSA'!$A:$OK,MATCH(U$2,'Data_NSA'!$A:$A,0),MATCH($D66,'Data_NSA'!$1:$1,0))/INDEX('Data_NSA'!$A:$OK,MATCH(EDATE(U$2,-12),'Data_NSA'!$A:$A,0),MATCH($D66,'Data_NSA'!$1:$1,0))-1,"")</f>
        <v/>
      </c>
      <c r="Y66" s="10">
        <f>IFERROR(INDEX('Weights'!$G:$I,MATCH($A66,'Weights'!$A:$A,0),MATCH(U$2,'Weights'!$G$1:$I$1,0)),"")</f>
        <v/>
      </c>
      <c r="Z66" s="10">
        <f>IF($E66="","",IFERROR(100*(INDEX('Weights'!$D:$D,MATCH($A66,'Weights'!$A:$A,0))*(INDEX('Data_NSA'!$A:$OK,MATCH(EDATE(U$2,-1),'Data_NSA'!$A:$A,0),MATCH($D66,'Data_NSA'!$1:$1,0))/INDEX('Data_NSA'!$A:$OK,MATCH(INDEX('Weights'!$E:$E,MATCH($A66,'Weights'!$A:$A,0)),'Data_NSA'!$A:$A,0),MATCH($D66,'Data_NSA'!$1:$1,0))))/(100*(INDEX('Data_NSA'!$A:$OK,MATCH(EDATE(U$2,-1),'Data_NSA'!$A:$A,0),MATCH("CUUR0000SA0",'Data_NSA'!$1:$1,0))/INDEX('Data_NSA'!$A:$OK,MATCH(INDEX('Weights'!$E:$E,MATCH($A66,'Weights'!$A:$A,0)),'Data_NSA'!$A:$A,0),MATCH("CUUR0000SA0",'Data_NSA'!$1:$1,0))))*(INDEX('Data_SA'!$A:$LO,MATCH(U$2,'Data_SA'!$A:$A,0),MATCH($E66,'Data_SA'!$1:$1,0))/INDEX('Data_SA'!$A:$LO,MATCH(EDATE(U$2,-1),'Data_SA'!$A:$A,0),MATCH($E66,'Data_SA'!$1:$1,0))-1),""))</f>
        <v/>
      </c>
    </row>
    <row r="67">
      <c r="A67" s="3" t="inlineStr">
        <is>
          <t>SAF1131</t>
        </is>
      </c>
      <c r="B67" s="3" t="inlineStr">
        <is>
          <t>Fresh fruits and vegetables</t>
        </is>
      </c>
      <c r="C67" s="3" t="inlineStr">
        <is>
          <t>SAF113</t>
        </is>
      </c>
      <c r="D67" s="3" t="inlineStr">
        <is>
          <t>CUUR0000SAF1131</t>
        </is>
      </c>
      <c r="E67" s="3" t="inlineStr">
        <is>
          <t>CUSR0000SAF1131</t>
        </is>
      </c>
      <c r="F67" s="3" t="inlineStr">
        <is>
          <t>aggregate</t>
        </is>
      </c>
      <c r="G67" s="3" t="inlineStr">
        <is>
          <t>aggregate</t>
        </is>
      </c>
      <c r="H67" s="10">
        <f>IFERROR(INDEX(Weights!$D:$D,MATCH($A67,Weights!$A:$A,0)),"")</f>
        <v/>
      </c>
      <c r="I67" s="10">
        <f>IFERROR(INDEX('Data_NSA'!$A:$OK,MATCH(I$2,'Data_NSA'!$A:$A,0),MATCH($D67,'Data_NSA'!$1:$1,0)),"")</f>
        <v/>
      </c>
      <c r="J67" s="10">
        <f>IF($E67="","",IFERROR(INDEX('Data_SA'!$A:$LO,MATCH(I$2,'Data_SA'!$A:$A,0),MATCH($E67,'Data_SA'!$1:$1,0)),""))</f>
        <v/>
      </c>
      <c r="K67" s="7">
        <f>IF($E67="","",IFERROR(INDEX('Data_SA'!$A:$LO,MATCH(I$2,'Data_SA'!$A:$A,0),MATCH($E67,'Data_SA'!$1:$1,0))/INDEX('Data_SA'!$A:$LO,MATCH(EDATE(I$2,-1),'Data_SA'!$A:$A,0),MATCH($E67,'Data_SA'!$1:$1,0))-1,""))</f>
        <v/>
      </c>
      <c r="L67" s="7">
        <f>IFERROR(INDEX('Data_NSA'!$A:$OK,MATCH(I$2,'Data_NSA'!$A:$A,0),MATCH($D67,'Data_NSA'!$1:$1,0))/INDEX('Data_NSA'!$A:$OK,MATCH(EDATE(I$2,-12),'Data_NSA'!$A:$A,0),MATCH($D67,'Data_NSA'!$1:$1,0))-1,"")</f>
        <v/>
      </c>
      <c r="M67" s="10">
        <f>IFERROR(INDEX('Weights'!$G:$I,MATCH($A67,'Weights'!$A:$A,0),MATCH(I$2,'Weights'!$G$1:$I$1,0)),"")</f>
        <v/>
      </c>
      <c r="N67" s="10">
        <f>IF($E67="","",IFERROR(100*(INDEX('Weights'!$D:$D,MATCH($A67,'Weights'!$A:$A,0))*(INDEX('Data_NSA'!$A:$OK,MATCH(EDATE(I$2,-1),'Data_NSA'!$A:$A,0),MATCH($D67,'Data_NSA'!$1:$1,0))/INDEX('Data_NSA'!$A:$OK,MATCH(INDEX('Weights'!$E:$E,MATCH($A67,'Weights'!$A:$A,0)),'Data_NSA'!$A:$A,0),MATCH($D67,'Data_NSA'!$1:$1,0))))/(100*(INDEX('Data_NSA'!$A:$OK,MATCH(EDATE(I$2,-1),'Data_NSA'!$A:$A,0),MATCH("CUUR0000SA0",'Data_NSA'!$1:$1,0))/INDEX('Data_NSA'!$A:$OK,MATCH(INDEX('Weights'!$E:$E,MATCH($A67,'Weights'!$A:$A,0)),'Data_NSA'!$A:$A,0),MATCH("CUUR0000SA0",'Data_NSA'!$1:$1,0))))*(INDEX('Data_SA'!$A:$LO,MATCH(I$2,'Data_SA'!$A:$A,0),MATCH($E67,'Data_SA'!$1:$1,0))/INDEX('Data_SA'!$A:$LO,MATCH(EDATE(I$2,-1),'Data_SA'!$A:$A,0),MATCH($E67,'Data_SA'!$1:$1,0))-1),""))</f>
        <v/>
      </c>
      <c r="O67" s="10">
        <f>IFERROR(INDEX('Data_NSA'!$A:$OK,MATCH(O$2,'Data_NSA'!$A:$A,0),MATCH($D67,'Data_NSA'!$1:$1,0)),"")</f>
        <v/>
      </c>
      <c r="P67" s="10">
        <f>IF($E67="","",IFERROR(INDEX('Data_SA'!$A:$LO,MATCH(O$2,'Data_SA'!$A:$A,0),MATCH($E67,'Data_SA'!$1:$1,0)),""))</f>
        <v/>
      </c>
      <c r="Q67" s="7">
        <f>IF($E67="","",IFERROR(INDEX('Data_SA'!$A:$LO,MATCH(O$2,'Data_SA'!$A:$A,0),MATCH($E67,'Data_SA'!$1:$1,0))/INDEX('Data_SA'!$A:$LO,MATCH(EDATE(O$2,-1),'Data_SA'!$A:$A,0),MATCH($E67,'Data_SA'!$1:$1,0))-1,""))</f>
        <v/>
      </c>
      <c r="R67" s="7">
        <f>IFERROR(INDEX('Data_NSA'!$A:$OK,MATCH(O$2,'Data_NSA'!$A:$A,0),MATCH($D67,'Data_NSA'!$1:$1,0))/INDEX('Data_NSA'!$A:$OK,MATCH(EDATE(O$2,-12),'Data_NSA'!$A:$A,0),MATCH($D67,'Data_NSA'!$1:$1,0))-1,"")</f>
        <v/>
      </c>
      <c r="S67" s="10">
        <f>IFERROR(INDEX('Weights'!$G:$I,MATCH($A67,'Weights'!$A:$A,0),MATCH(O$2,'Weights'!$G$1:$I$1,0)),"")</f>
        <v/>
      </c>
      <c r="T67" s="10">
        <f>IF($E67="","",IFERROR(100*(INDEX('Weights'!$D:$D,MATCH($A67,'Weights'!$A:$A,0))*(INDEX('Data_NSA'!$A:$OK,MATCH(EDATE(O$2,-1),'Data_NSA'!$A:$A,0),MATCH($D67,'Data_NSA'!$1:$1,0))/INDEX('Data_NSA'!$A:$OK,MATCH(INDEX('Weights'!$E:$E,MATCH($A67,'Weights'!$A:$A,0)),'Data_NSA'!$A:$A,0),MATCH($D67,'Data_NSA'!$1:$1,0))))/(100*(INDEX('Data_NSA'!$A:$OK,MATCH(EDATE(O$2,-1),'Data_NSA'!$A:$A,0),MATCH("CUUR0000SA0",'Data_NSA'!$1:$1,0))/INDEX('Data_NSA'!$A:$OK,MATCH(INDEX('Weights'!$E:$E,MATCH($A67,'Weights'!$A:$A,0)),'Data_NSA'!$A:$A,0),MATCH("CUUR0000SA0",'Data_NSA'!$1:$1,0))))*(INDEX('Data_SA'!$A:$LO,MATCH(O$2,'Data_SA'!$A:$A,0),MATCH($E67,'Data_SA'!$1:$1,0))/INDEX('Data_SA'!$A:$LO,MATCH(EDATE(O$2,-1),'Data_SA'!$A:$A,0),MATCH($E67,'Data_SA'!$1:$1,0))-1),""))</f>
        <v/>
      </c>
      <c r="U67" s="10">
        <f>IFERROR(INDEX('Data_NSA'!$A:$OK,MATCH(U$2,'Data_NSA'!$A:$A,0),MATCH($D67,'Data_NSA'!$1:$1,0)),"")</f>
        <v/>
      </c>
      <c r="V67" s="10">
        <f>IF($E67="","",IFERROR(INDEX('Data_SA'!$A:$LO,MATCH(U$2,'Data_SA'!$A:$A,0),MATCH($E67,'Data_SA'!$1:$1,0)),""))</f>
        <v/>
      </c>
      <c r="W67" s="7">
        <f>IF($E67="","",IFERROR(INDEX('Data_SA'!$A:$LO,MATCH(U$2,'Data_SA'!$A:$A,0),MATCH($E67,'Data_SA'!$1:$1,0))/INDEX('Data_SA'!$A:$LO,MATCH(EDATE(U$2,-1),'Data_SA'!$A:$A,0),MATCH($E67,'Data_SA'!$1:$1,0))-1,""))</f>
        <v/>
      </c>
      <c r="X67" s="7">
        <f>IFERROR(INDEX('Data_NSA'!$A:$OK,MATCH(U$2,'Data_NSA'!$A:$A,0),MATCH($D67,'Data_NSA'!$1:$1,0))/INDEX('Data_NSA'!$A:$OK,MATCH(EDATE(U$2,-12),'Data_NSA'!$A:$A,0),MATCH($D67,'Data_NSA'!$1:$1,0))-1,"")</f>
        <v/>
      </c>
      <c r="Y67" s="10">
        <f>IFERROR(INDEX('Weights'!$G:$I,MATCH($A67,'Weights'!$A:$A,0),MATCH(U$2,'Weights'!$G$1:$I$1,0)),"")</f>
        <v/>
      </c>
      <c r="Z67" s="10">
        <f>IF($E67="","",IFERROR(100*(INDEX('Weights'!$D:$D,MATCH($A67,'Weights'!$A:$A,0))*(INDEX('Data_NSA'!$A:$OK,MATCH(EDATE(U$2,-1),'Data_NSA'!$A:$A,0),MATCH($D67,'Data_NSA'!$1:$1,0))/INDEX('Data_NSA'!$A:$OK,MATCH(INDEX('Weights'!$E:$E,MATCH($A67,'Weights'!$A:$A,0)),'Data_NSA'!$A:$A,0),MATCH($D67,'Data_NSA'!$1:$1,0))))/(100*(INDEX('Data_NSA'!$A:$OK,MATCH(EDATE(U$2,-1),'Data_NSA'!$A:$A,0),MATCH("CUUR0000SA0",'Data_NSA'!$1:$1,0))/INDEX('Data_NSA'!$A:$OK,MATCH(INDEX('Weights'!$E:$E,MATCH($A67,'Weights'!$A:$A,0)),'Data_NSA'!$A:$A,0),MATCH("CUUR0000SA0",'Data_NSA'!$1:$1,0))))*(INDEX('Data_SA'!$A:$LO,MATCH(U$2,'Data_SA'!$A:$A,0),MATCH($E67,'Data_SA'!$1:$1,0))/INDEX('Data_SA'!$A:$LO,MATCH(EDATE(U$2,-1),'Data_SA'!$A:$A,0),MATCH($E67,'Data_SA'!$1:$1,0))-1),""))</f>
        <v/>
      </c>
    </row>
    <row r="68">
      <c r="A68" s="3" t="inlineStr">
        <is>
          <t>SEFK</t>
        </is>
      </c>
      <c r="B68" s="3" t="inlineStr">
        <is>
          <t>Fresh fruits</t>
        </is>
      </c>
      <c r="C68" s="3" t="inlineStr">
        <is>
          <t>SAF1131</t>
        </is>
      </c>
      <c r="D68" s="3" t="inlineStr">
        <is>
          <t>CUUR0000SEFK</t>
        </is>
      </c>
      <c r="E68" s="3" t="inlineStr">
        <is>
          <t>CUSR0000SEFK</t>
        </is>
      </c>
      <c r="F68" s="3" t="inlineStr">
        <is>
          <t>aggregate</t>
        </is>
      </c>
      <c r="G68" s="3" t="inlineStr">
        <is>
          <t>aggregate</t>
        </is>
      </c>
      <c r="H68" s="10">
        <f>IFERROR(INDEX(Weights!$D:$D,MATCH($A68,Weights!$A:$A,0)),"")</f>
        <v/>
      </c>
      <c r="I68" s="10">
        <f>IFERROR(INDEX('Data_NSA'!$A:$OK,MATCH(I$2,'Data_NSA'!$A:$A,0),MATCH($D68,'Data_NSA'!$1:$1,0)),"")</f>
        <v/>
      </c>
      <c r="J68" s="10">
        <f>IF($E68="","",IFERROR(INDEX('Data_SA'!$A:$LO,MATCH(I$2,'Data_SA'!$A:$A,0),MATCH($E68,'Data_SA'!$1:$1,0)),""))</f>
        <v/>
      </c>
      <c r="K68" s="7">
        <f>IF($E68="","",IFERROR(INDEX('Data_SA'!$A:$LO,MATCH(I$2,'Data_SA'!$A:$A,0),MATCH($E68,'Data_SA'!$1:$1,0))/INDEX('Data_SA'!$A:$LO,MATCH(EDATE(I$2,-1),'Data_SA'!$A:$A,0),MATCH($E68,'Data_SA'!$1:$1,0))-1,""))</f>
        <v/>
      </c>
      <c r="L68" s="7">
        <f>IFERROR(INDEX('Data_NSA'!$A:$OK,MATCH(I$2,'Data_NSA'!$A:$A,0),MATCH($D68,'Data_NSA'!$1:$1,0))/INDEX('Data_NSA'!$A:$OK,MATCH(EDATE(I$2,-12),'Data_NSA'!$A:$A,0),MATCH($D68,'Data_NSA'!$1:$1,0))-1,"")</f>
        <v/>
      </c>
      <c r="M68" s="10">
        <f>IFERROR(INDEX('Weights'!$G:$I,MATCH($A68,'Weights'!$A:$A,0),MATCH(I$2,'Weights'!$G$1:$I$1,0)),"")</f>
        <v/>
      </c>
      <c r="N68" s="10">
        <f>IF($E68="","",IFERROR(100*(INDEX('Weights'!$D:$D,MATCH($A68,'Weights'!$A:$A,0))*(INDEX('Data_NSA'!$A:$OK,MATCH(EDATE(I$2,-1),'Data_NSA'!$A:$A,0),MATCH($D68,'Data_NSA'!$1:$1,0))/INDEX('Data_NSA'!$A:$OK,MATCH(INDEX('Weights'!$E:$E,MATCH($A68,'Weights'!$A:$A,0)),'Data_NSA'!$A:$A,0),MATCH($D68,'Data_NSA'!$1:$1,0))))/(100*(INDEX('Data_NSA'!$A:$OK,MATCH(EDATE(I$2,-1),'Data_NSA'!$A:$A,0),MATCH("CUUR0000SA0",'Data_NSA'!$1:$1,0))/INDEX('Data_NSA'!$A:$OK,MATCH(INDEX('Weights'!$E:$E,MATCH($A68,'Weights'!$A:$A,0)),'Data_NSA'!$A:$A,0),MATCH("CUUR0000SA0",'Data_NSA'!$1:$1,0))))*(INDEX('Data_SA'!$A:$LO,MATCH(I$2,'Data_SA'!$A:$A,0),MATCH($E68,'Data_SA'!$1:$1,0))/INDEX('Data_SA'!$A:$LO,MATCH(EDATE(I$2,-1),'Data_SA'!$A:$A,0),MATCH($E68,'Data_SA'!$1:$1,0))-1),""))</f>
        <v/>
      </c>
      <c r="O68" s="10">
        <f>IFERROR(INDEX('Data_NSA'!$A:$OK,MATCH(O$2,'Data_NSA'!$A:$A,0),MATCH($D68,'Data_NSA'!$1:$1,0)),"")</f>
        <v/>
      </c>
      <c r="P68" s="10">
        <f>IF($E68="","",IFERROR(INDEX('Data_SA'!$A:$LO,MATCH(O$2,'Data_SA'!$A:$A,0),MATCH($E68,'Data_SA'!$1:$1,0)),""))</f>
        <v/>
      </c>
      <c r="Q68" s="7">
        <f>IF($E68="","",IFERROR(INDEX('Data_SA'!$A:$LO,MATCH(O$2,'Data_SA'!$A:$A,0),MATCH($E68,'Data_SA'!$1:$1,0))/INDEX('Data_SA'!$A:$LO,MATCH(EDATE(O$2,-1),'Data_SA'!$A:$A,0),MATCH($E68,'Data_SA'!$1:$1,0))-1,""))</f>
        <v/>
      </c>
      <c r="R68" s="7">
        <f>IFERROR(INDEX('Data_NSA'!$A:$OK,MATCH(O$2,'Data_NSA'!$A:$A,0),MATCH($D68,'Data_NSA'!$1:$1,0))/INDEX('Data_NSA'!$A:$OK,MATCH(EDATE(O$2,-12),'Data_NSA'!$A:$A,0),MATCH($D68,'Data_NSA'!$1:$1,0))-1,"")</f>
        <v/>
      </c>
      <c r="S68" s="10">
        <f>IFERROR(INDEX('Weights'!$G:$I,MATCH($A68,'Weights'!$A:$A,0),MATCH(O$2,'Weights'!$G$1:$I$1,0)),"")</f>
        <v/>
      </c>
      <c r="T68" s="10">
        <f>IF($E68="","",IFERROR(100*(INDEX('Weights'!$D:$D,MATCH($A68,'Weights'!$A:$A,0))*(INDEX('Data_NSA'!$A:$OK,MATCH(EDATE(O$2,-1),'Data_NSA'!$A:$A,0),MATCH($D68,'Data_NSA'!$1:$1,0))/INDEX('Data_NSA'!$A:$OK,MATCH(INDEX('Weights'!$E:$E,MATCH($A68,'Weights'!$A:$A,0)),'Data_NSA'!$A:$A,0),MATCH($D68,'Data_NSA'!$1:$1,0))))/(100*(INDEX('Data_NSA'!$A:$OK,MATCH(EDATE(O$2,-1),'Data_NSA'!$A:$A,0),MATCH("CUUR0000SA0",'Data_NSA'!$1:$1,0))/INDEX('Data_NSA'!$A:$OK,MATCH(INDEX('Weights'!$E:$E,MATCH($A68,'Weights'!$A:$A,0)),'Data_NSA'!$A:$A,0),MATCH("CUUR0000SA0",'Data_NSA'!$1:$1,0))))*(INDEX('Data_SA'!$A:$LO,MATCH(O$2,'Data_SA'!$A:$A,0),MATCH($E68,'Data_SA'!$1:$1,0))/INDEX('Data_SA'!$A:$LO,MATCH(EDATE(O$2,-1),'Data_SA'!$A:$A,0),MATCH($E68,'Data_SA'!$1:$1,0))-1),""))</f>
        <v/>
      </c>
      <c r="U68" s="10">
        <f>IFERROR(INDEX('Data_NSA'!$A:$OK,MATCH(U$2,'Data_NSA'!$A:$A,0),MATCH($D68,'Data_NSA'!$1:$1,0)),"")</f>
        <v/>
      </c>
      <c r="V68" s="10">
        <f>IF($E68="","",IFERROR(INDEX('Data_SA'!$A:$LO,MATCH(U$2,'Data_SA'!$A:$A,0),MATCH($E68,'Data_SA'!$1:$1,0)),""))</f>
        <v/>
      </c>
      <c r="W68" s="7">
        <f>IF($E68="","",IFERROR(INDEX('Data_SA'!$A:$LO,MATCH(U$2,'Data_SA'!$A:$A,0),MATCH($E68,'Data_SA'!$1:$1,0))/INDEX('Data_SA'!$A:$LO,MATCH(EDATE(U$2,-1),'Data_SA'!$A:$A,0),MATCH($E68,'Data_SA'!$1:$1,0))-1,""))</f>
        <v/>
      </c>
      <c r="X68" s="7">
        <f>IFERROR(INDEX('Data_NSA'!$A:$OK,MATCH(U$2,'Data_NSA'!$A:$A,0),MATCH($D68,'Data_NSA'!$1:$1,0))/INDEX('Data_NSA'!$A:$OK,MATCH(EDATE(U$2,-12),'Data_NSA'!$A:$A,0),MATCH($D68,'Data_NSA'!$1:$1,0))-1,"")</f>
        <v/>
      </c>
      <c r="Y68" s="10">
        <f>IFERROR(INDEX('Weights'!$G:$I,MATCH($A68,'Weights'!$A:$A,0),MATCH(U$2,'Weights'!$G$1:$I$1,0)),"")</f>
        <v/>
      </c>
      <c r="Z68" s="10">
        <f>IF($E68="","",IFERROR(100*(INDEX('Weights'!$D:$D,MATCH($A68,'Weights'!$A:$A,0))*(INDEX('Data_NSA'!$A:$OK,MATCH(EDATE(U$2,-1),'Data_NSA'!$A:$A,0),MATCH($D68,'Data_NSA'!$1:$1,0))/INDEX('Data_NSA'!$A:$OK,MATCH(INDEX('Weights'!$E:$E,MATCH($A68,'Weights'!$A:$A,0)),'Data_NSA'!$A:$A,0),MATCH($D68,'Data_NSA'!$1:$1,0))))/(100*(INDEX('Data_NSA'!$A:$OK,MATCH(EDATE(U$2,-1),'Data_NSA'!$A:$A,0),MATCH("CUUR0000SA0",'Data_NSA'!$1:$1,0))/INDEX('Data_NSA'!$A:$OK,MATCH(INDEX('Weights'!$E:$E,MATCH($A68,'Weights'!$A:$A,0)),'Data_NSA'!$A:$A,0),MATCH("CUUR0000SA0",'Data_NSA'!$1:$1,0))))*(INDEX('Data_SA'!$A:$LO,MATCH(U$2,'Data_SA'!$A:$A,0),MATCH($E68,'Data_SA'!$1:$1,0))/INDEX('Data_SA'!$A:$LO,MATCH(EDATE(U$2,-1),'Data_SA'!$A:$A,0),MATCH($E68,'Data_SA'!$1:$1,0))-1),""))</f>
        <v/>
      </c>
    </row>
    <row r="69">
      <c r="A69" s="3" t="inlineStr">
        <is>
          <t>SEFK01</t>
        </is>
      </c>
      <c r="B69" s="3" t="inlineStr">
        <is>
          <t>Apples</t>
        </is>
      </c>
      <c r="C69" s="3" t="inlineStr">
        <is>
          <t>SEFK</t>
        </is>
      </c>
      <c r="D69" s="3" t="inlineStr">
        <is>
          <t>CUUR0000SEFK01</t>
        </is>
      </c>
      <c r="E69" s="3" t="inlineStr">
        <is>
          <t>CUSR0000SEFK01</t>
        </is>
      </c>
      <c r="F69" s="3" t="inlineStr">
        <is>
          <t>GM</t>
        </is>
      </c>
      <c r="G69" s="3" t="inlineStr">
        <is>
          <t>monthly food collection where sampled</t>
        </is>
      </c>
      <c r="H69" s="10">
        <f>IFERROR(INDEX(Weights!$D:$D,MATCH($A69,Weights!$A:$A,0)),"")</f>
        <v/>
      </c>
      <c r="I69" s="10">
        <f>IFERROR(INDEX('Data_NSA'!$A:$OK,MATCH(I$2,'Data_NSA'!$A:$A,0),MATCH($D69,'Data_NSA'!$1:$1,0)),"")</f>
        <v/>
      </c>
      <c r="J69" s="10">
        <f>IF($E69="","",IFERROR(INDEX('Data_SA'!$A:$LO,MATCH(I$2,'Data_SA'!$A:$A,0),MATCH($E69,'Data_SA'!$1:$1,0)),""))</f>
        <v/>
      </c>
      <c r="K69" s="7">
        <f>IF($E69="","",IFERROR(INDEX('Data_SA'!$A:$LO,MATCH(I$2,'Data_SA'!$A:$A,0),MATCH($E69,'Data_SA'!$1:$1,0))/INDEX('Data_SA'!$A:$LO,MATCH(EDATE(I$2,-1),'Data_SA'!$A:$A,0),MATCH($E69,'Data_SA'!$1:$1,0))-1,""))</f>
        <v/>
      </c>
      <c r="L69" s="7">
        <f>IFERROR(INDEX('Data_NSA'!$A:$OK,MATCH(I$2,'Data_NSA'!$A:$A,0),MATCH($D69,'Data_NSA'!$1:$1,0))/INDEX('Data_NSA'!$A:$OK,MATCH(EDATE(I$2,-12),'Data_NSA'!$A:$A,0),MATCH($D69,'Data_NSA'!$1:$1,0))-1,"")</f>
        <v/>
      </c>
      <c r="M69" s="10">
        <f>IFERROR(INDEX('Weights'!$G:$I,MATCH($A69,'Weights'!$A:$A,0),MATCH(I$2,'Weights'!$G$1:$I$1,0)),"")</f>
        <v/>
      </c>
      <c r="N69" s="10">
        <f>IF($E69="","",IFERROR(100*(INDEX('Weights'!$D:$D,MATCH($A69,'Weights'!$A:$A,0))*(INDEX('Data_NSA'!$A:$OK,MATCH(EDATE(I$2,-1),'Data_NSA'!$A:$A,0),MATCH($D69,'Data_NSA'!$1:$1,0))/INDEX('Data_NSA'!$A:$OK,MATCH(INDEX('Weights'!$E:$E,MATCH($A69,'Weights'!$A:$A,0)),'Data_NSA'!$A:$A,0),MATCH($D69,'Data_NSA'!$1:$1,0))))/(100*(INDEX('Data_NSA'!$A:$OK,MATCH(EDATE(I$2,-1),'Data_NSA'!$A:$A,0),MATCH("CUUR0000SA0",'Data_NSA'!$1:$1,0))/INDEX('Data_NSA'!$A:$OK,MATCH(INDEX('Weights'!$E:$E,MATCH($A69,'Weights'!$A:$A,0)),'Data_NSA'!$A:$A,0),MATCH("CUUR0000SA0",'Data_NSA'!$1:$1,0))))*(INDEX('Data_SA'!$A:$LO,MATCH(I$2,'Data_SA'!$A:$A,0),MATCH($E69,'Data_SA'!$1:$1,0))/INDEX('Data_SA'!$A:$LO,MATCH(EDATE(I$2,-1),'Data_SA'!$A:$A,0),MATCH($E69,'Data_SA'!$1:$1,0))-1),""))</f>
        <v/>
      </c>
      <c r="O69" s="10">
        <f>IFERROR(INDEX('Data_NSA'!$A:$OK,MATCH(O$2,'Data_NSA'!$A:$A,0),MATCH($D69,'Data_NSA'!$1:$1,0)),"")</f>
        <v/>
      </c>
      <c r="P69" s="10">
        <f>IF($E69="","",IFERROR(INDEX('Data_SA'!$A:$LO,MATCH(O$2,'Data_SA'!$A:$A,0),MATCH($E69,'Data_SA'!$1:$1,0)),""))</f>
        <v/>
      </c>
      <c r="Q69" s="7">
        <f>IF($E69="","",IFERROR(INDEX('Data_SA'!$A:$LO,MATCH(O$2,'Data_SA'!$A:$A,0),MATCH($E69,'Data_SA'!$1:$1,0))/INDEX('Data_SA'!$A:$LO,MATCH(EDATE(O$2,-1),'Data_SA'!$A:$A,0),MATCH($E69,'Data_SA'!$1:$1,0))-1,""))</f>
        <v/>
      </c>
      <c r="R69" s="7">
        <f>IFERROR(INDEX('Data_NSA'!$A:$OK,MATCH(O$2,'Data_NSA'!$A:$A,0),MATCH($D69,'Data_NSA'!$1:$1,0))/INDEX('Data_NSA'!$A:$OK,MATCH(EDATE(O$2,-12),'Data_NSA'!$A:$A,0),MATCH($D69,'Data_NSA'!$1:$1,0))-1,"")</f>
        <v/>
      </c>
      <c r="S69" s="10">
        <f>IFERROR(INDEX('Weights'!$G:$I,MATCH($A69,'Weights'!$A:$A,0),MATCH(O$2,'Weights'!$G$1:$I$1,0)),"")</f>
        <v/>
      </c>
      <c r="T69" s="10">
        <f>IF($E69="","",IFERROR(100*(INDEX('Weights'!$D:$D,MATCH($A69,'Weights'!$A:$A,0))*(INDEX('Data_NSA'!$A:$OK,MATCH(EDATE(O$2,-1),'Data_NSA'!$A:$A,0),MATCH($D69,'Data_NSA'!$1:$1,0))/INDEX('Data_NSA'!$A:$OK,MATCH(INDEX('Weights'!$E:$E,MATCH($A69,'Weights'!$A:$A,0)),'Data_NSA'!$A:$A,0),MATCH($D69,'Data_NSA'!$1:$1,0))))/(100*(INDEX('Data_NSA'!$A:$OK,MATCH(EDATE(O$2,-1),'Data_NSA'!$A:$A,0),MATCH("CUUR0000SA0",'Data_NSA'!$1:$1,0))/INDEX('Data_NSA'!$A:$OK,MATCH(INDEX('Weights'!$E:$E,MATCH($A69,'Weights'!$A:$A,0)),'Data_NSA'!$A:$A,0),MATCH("CUUR0000SA0",'Data_NSA'!$1:$1,0))))*(INDEX('Data_SA'!$A:$LO,MATCH(O$2,'Data_SA'!$A:$A,0),MATCH($E69,'Data_SA'!$1:$1,0))/INDEX('Data_SA'!$A:$LO,MATCH(EDATE(O$2,-1),'Data_SA'!$A:$A,0),MATCH($E69,'Data_SA'!$1:$1,0))-1),""))</f>
        <v/>
      </c>
      <c r="U69" s="10">
        <f>IFERROR(INDEX('Data_NSA'!$A:$OK,MATCH(U$2,'Data_NSA'!$A:$A,0),MATCH($D69,'Data_NSA'!$1:$1,0)),"")</f>
        <v/>
      </c>
      <c r="V69" s="10">
        <f>IF($E69="","",IFERROR(INDEX('Data_SA'!$A:$LO,MATCH(U$2,'Data_SA'!$A:$A,0),MATCH($E69,'Data_SA'!$1:$1,0)),""))</f>
        <v/>
      </c>
      <c r="W69" s="7">
        <f>IF($E69="","",IFERROR(INDEX('Data_SA'!$A:$LO,MATCH(U$2,'Data_SA'!$A:$A,0),MATCH($E69,'Data_SA'!$1:$1,0))/INDEX('Data_SA'!$A:$LO,MATCH(EDATE(U$2,-1),'Data_SA'!$A:$A,0),MATCH($E69,'Data_SA'!$1:$1,0))-1,""))</f>
        <v/>
      </c>
      <c r="X69" s="7">
        <f>IFERROR(INDEX('Data_NSA'!$A:$OK,MATCH(U$2,'Data_NSA'!$A:$A,0),MATCH($D69,'Data_NSA'!$1:$1,0))/INDEX('Data_NSA'!$A:$OK,MATCH(EDATE(U$2,-12),'Data_NSA'!$A:$A,0),MATCH($D69,'Data_NSA'!$1:$1,0))-1,"")</f>
        <v/>
      </c>
      <c r="Y69" s="10">
        <f>IFERROR(INDEX('Weights'!$G:$I,MATCH($A69,'Weights'!$A:$A,0),MATCH(U$2,'Weights'!$G$1:$I$1,0)),"")</f>
        <v/>
      </c>
      <c r="Z69" s="10">
        <f>IF($E69="","",IFERROR(100*(INDEX('Weights'!$D:$D,MATCH($A69,'Weights'!$A:$A,0))*(INDEX('Data_NSA'!$A:$OK,MATCH(EDATE(U$2,-1),'Data_NSA'!$A:$A,0),MATCH($D69,'Data_NSA'!$1:$1,0))/INDEX('Data_NSA'!$A:$OK,MATCH(INDEX('Weights'!$E:$E,MATCH($A69,'Weights'!$A:$A,0)),'Data_NSA'!$A:$A,0),MATCH($D69,'Data_NSA'!$1:$1,0))))/(100*(INDEX('Data_NSA'!$A:$OK,MATCH(EDATE(U$2,-1),'Data_NSA'!$A:$A,0),MATCH("CUUR0000SA0",'Data_NSA'!$1:$1,0))/INDEX('Data_NSA'!$A:$OK,MATCH(INDEX('Weights'!$E:$E,MATCH($A69,'Weights'!$A:$A,0)),'Data_NSA'!$A:$A,0),MATCH("CUUR0000SA0",'Data_NSA'!$1:$1,0))))*(INDEX('Data_SA'!$A:$LO,MATCH(U$2,'Data_SA'!$A:$A,0),MATCH($E69,'Data_SA'!$1:$1,0))/INDEX('Data_SA'!$A:$LO,MATCH(EDATE(U$2,-1),'Data_SA'!$A:$A,0),MATCH($E69,'Data_SA'!$1:$1,0))-1),""))</f>
        <v/>
      </c>
    </row>
    <row r="70">
      <c r="A70" s="3" t="inlineStr">
        <is>
          <t>SEFK02</t>
        </is>
      </c>
      <c r="B70" s="3" t="inlineStr">
        <is>
          <t>Bananas</t>
        </is>
      </c>
      <c r="C70" s="3" t="inlineStr">
        <is>
          <t>SEFK</t>
        </is>
      </c>
      <c r="D70" s="3" t="inlineStr">
        <is>
          <t>CUUR0000SEFK02</t>
        </is>
      </c>
      <c r="E70" s="3" t="inlineStr">
        <is>
          <t>CUSR0000SEFK02</t>
        </is>
      </c>
      <c r="F70" s="3" t="inlineStr">
        <is>
          <t>GM</t>
        </is>
      </c>
      <c r="G70" s="3" t="inlineStr">
        <is>
          <t>monthly food collection where sampled</t>
        </is>
      </c>
      <c r="H70" s="10">
        <f>IFERROR(INDEX(Weights!$D:$D,MATCH($A70,Weights!$A:$A,0)),"")</f>
        <v/>
      </c>
      <c r="I70" s="10">
        <f>IFERROR(INDEX('Data_NSA'!$A:$OK,MATCH(I$2,'Data_NSA'!$A:$A,0),MATCH($D70,'Data_NSA'!$1:$1,0)),"")</f>
        <v/>
      </c>
      <c r="J70" s="10">
        <f>IF($E70="","",IFERROR(INDEX('Data_SA'!$A:$LO,MATCH(I$2,'Data_SA'!$A:$A,0),MATCH($E70,'Data_SA'!$1:$1,0)),""))</f>
        <v/>
      </c>
      <c r="K70" s="7">
        <f>IF($E70="","",IFERROR(INDEX('Data_SA'!$A:$LO,MATCH(I$2,'Data_SA'!$A:$A,0),MATCH($E70,'Data_SA'!$1:$1,0))/INDEX('Data_SA'!$A:$LO,MATCH(EDATE(I$2,-1),'Data_SA'!$A:$A,0),MATCH($E70,'Data_SA'!$1:$1,0))-1,""))</f>
        <v/>
      </c>
      <c r="L70" s="7">
        <f>IFERROR(INDEX('Data_NSA'!$A:$OK,MATCH(I$2,'Data_NSA'!$A:$A,0),MATCH($D70,'Data_NSA'!$1:$1,0))/INDEX('Data_NSA'!$A:$OK,MATCH(EDATE(I$2,-12),'Data_NSA'!$A:$A,0),MATCH($D70,'Data_NSA'!$1:$1,0))-1,"")</f>
        <v/>
      </c>
      <c r="M70" s="10">
        <f>IFERROR(INDEX('Weights'!$G:$I,MATCH($A70,'Weights'!$A:$A,0),MATCH(I$2,'Weights'!$G$1:$I$1,0)),"")</f>
        <v/>
      </c>
      <c r="N70" s="10">
        <f>IF($E70="","",IFERROR(100*(INDEX('Weights'!$D:$D,MATCH($A70,'Weights'!$A:$A,0))*(INDEX('Data_NSA'!$A:$OK,MATCH(EDATE(I$2,-1),'Data_NSA'!$A:$A,0),MATCH($D70,'Data_NSA'!$1:$1,0))/INDEX('Data_NSA'!$A:$OK,MATCH(INDEX('Weights'!$E:$E,MATCH($A70,'Weights'!$A:$A,0)),'Data_NSA'!$A:$A,0),MATCH($D70,'Data_NSA'!$1:$1,0))))/(100*(INDEX('Data_NSA'!$A:$OK,MATCH(EDATE(I$2,-1),'Data_NSA'!$A:$A,0),MATCH("CUUR0000SA0",'Data_NSA'!$1:$1,0))/INDEX('Data_NSA'!$A:$OK,MATCH(INDEX('Weights'!$E:$E,MATCH($A70,'Weights'!$A:$A,0)),'Data_NSA'!$A:$A,0),MATCH("CUUR0000SA0",'Data_NSA'!$1:$1,0))))*(INDEX('Data_SA'!$A:$LO,MATCH(I$2,'Data_SA'!$A:$A,0),MATCH($E70,'Data_SA'!$1:$1,0))/INDEX('Data_SA'!$A:$LO,MATCH(EDATE(I$2,-1),'Data_SA'!$A:$A,0),MATCH($E70,'Data_SA'!$1:$1,0))-1),""))</f>
        <v/>
      </c>
      <c r="O70" s="10">
        <f>IFERROR(INDEX('Data_NSA'!$A:$OK,MATCH(O$2,'Data_NSA'!$A:$A,0),MATCH($D70,'Data_NSA'!$1:$1,0)),"")</f>
        <v/>
      </c>
      <c r="P70" s="10">
        <f>IF($E70="","",IFERROR(INDEX('Data_SA'!$A:$LO,MATCH(O$2,'Data_SA'!$A:$A,0),MATCH($E70,'Data_SA'!$1:$1,0)),""))</f>
        <v/>
      </c>
      <c r="Q70" s="7">
        <f>IF($E70="","",IFERROR(INDEX('Data_SA'!$A:$LO,MATCH(O$2,'Data_SA'!$A:$A,0),MATCH($E70,'Data_SA'!$1:$1,0))/INDEX('Data_SA'!$A:$LO,MATCH(EDATE(O$2,-1),'Data_SA'!$A:$A,0),MATCH($E70,'Data_SA'!$1:$1,0))-1,""))</f>
        <v/>
      </c>
      <c r="R70" s="7">
        <f>IFERROR(INDEX('Data_NSA'!$A:$OK,MATCH(O$2,'Data_NSA'!$A:$A,0),MATCH($D70,'Data_NSA'!$1:$1,0))/INDEX('Data_NSA'!$A:$OK,MATCH(EDATE(O$2,-12),'Data_NSA'!$A:$A,0),MATCH($D70,'Data_NSA'!$1:$1,0))-1,"")</f>
        <v/>
      </c>
      <c r="S70" s="10">
        <f>IFERROR(INDEX('Weights'!$G:$I,MATCH($A70,'Weights'!$A:$A,0),MATCH(O$2,'Weights'!$G$1:$I$1,0)),"")</f>
        <v/>
      </c>
      <c r="T70" s="10">
        <f>IF($E70="","",IFERROR(100*(INDEX('Weights'!$D:$D,MATCH($A70,'Weights'!$A:$A,0))*(INDEX('Data_NSA'!$A:$OK,MATCH(EDATE(O$2,-1),'Data_NSA'!$A:$A,0),MATCH($D70,'Data_NSA'!$1:$1,0))/INDEX('Data_NSA'!$A:$OK,MATCH(INDEX('Weights'!$E:$E,MATCH($A70,'Weights'!$A:$A,0)),'Data_NSA'!$A:$A,0),MATCH($D70,'Data_NSA'!$1:$1,0))))/(100*(INDEX('Data_NSA'!$A:$OK,MATCH(EDATE(O$2,-1),'Data_NSA'!$A:$A,0),MATCH("CUUR0000SA0",'Data_NSA'!$1:$1,0))/INDEX('Data_NSA'!$A:$OK,MATCH(INDEX('Weights'!$E:$E,MATCH($A70,'Weights'!$A:$A,0)),'Data_NSA'!$A:$A,0),MATCH("CUUR0000SA0",'Data_NSA'!$1:$1,0))))*(INDEX('Data_SA'!$A:$LO,MATCH(O$2,'Data_SA'!$A:$A,0),MATCH($E70,'Data_SA'!$1:$1,0))/INDEX('Data_SA'!$A:$LO,MATCH(EDATE(O$2,-1),'Data_SA'!$A:$A,0),MATCH($E70,'Data_SA'!$1:$1,0))-1),""))</f>
        <v/>
      </c>
      <c r="U70" s="10">
        <f>IFERROR(INDEX('Data_NSA'!$A:$OK,MATCH(U$2,'Data_NSA'!$A:$A,0),MATCH($D70,'Data_NSA'!$1:$1,0)),"")</f>
        <v/>
      </c>
      <c r="V70" s="10">
        <f>IF($E70="","",IFERROR(INDEX('Data_SA'!$A:$LO,MATCH(U$2,'Data_SA'!$A:$A,0),MATCH($E70,'Data_SA'!$1:$1,0)),""))</f>
        <v/>
      </c>
      <c r="W70" s="7">
        <f>IF($E70="","",IFERROR(INDEX('Data_SA'!$A:$LO,MATCH(U$2,'Data_SA'!$A:$A,0),MATCH($E70,'Data_SA'!$1:$1,0))/INDEX('Data_SA'!$A:$LO,MATCH(EDATE(U$2,-1),'Data_SA'!$A:$A,0),MATCH($E70,'Data_SA'!$1:$1,0))-1,""))</f>
        <v/>
      </c>
      <c r="X70" s="7">
        <f>IFERROR(INDEX('Data_NSA'!$A:$OK,MATCH(U$2,'Data_NSA'!$A:$A,0),MATCH($D70,'Data_NSA'!$1:$1,0))/INDEX('Data_NSA'!$A:$OK,MATCH(EDATE(U$2,-12),'Data_NSA'!$A:$A,0),MATCH($D70,'Data_NSA'!$1:$1,0))-1,"")</f>
        <v/>
      </c>
      <c r="Y70" s="10">
        <f>IFERROR(INDEX('Weights'!$G:$I,MATCH($A70,'Weights'!$A:$A,0),MATCH(U$2,'Weights'!$G$1:$I$1,0)),"")</f>
        <v/>
      </c>
      <c r="Z70" s="10">
        <f>IF($E70="","",IFERROR(100*(INDEX('Weights'!$D:$D,MATCH($A70,'Weights'!$A:$A,0))*(INDEX('Data_NSA'!$A:$OK,MATCH(EDATE(U$2,-1),'Data_NSA'!$A:$A,0),MATCH($D70,'Data_NSA'!$1:$1,0))/INDEX('Data_NSA'!$A:$OK,MATCH(INDEX('Weights'!$E:$E,MATCH($A70,'Weights'!$A:$A,0)),'Data_NSA'!$A:$A,0),MATCH($D70,'Data_NSA'!$1:$1,0))))/(100*(INDEX('Data_NSA'!$A:$OK,MATCH(EDATE(U$2,-1),'Data_NSA'!$A:$A,0),MATCH("CUUR0000SA0",'Data_NSA'!$1:$1,0))/INDEX('Data_NSA'!$A:$OK,MATCH(INDEX('Weights'!$E:$E,MATCH($A70,'Weights'!$A:$A,0)),'Data_NSA'!$A:$A,0),MATCH("CUUR0000SA0",'Data_NSA'!$1:$1,0))))*(INDEX('Data_SA'!$A:$LO,MATCH(U$2,'Data_SA'!$A:$A,0),MATCH($E70,'Data_SA'!$1:$1,0))/INDEX('Data_SA'!$A:$LO,MATCH(EDATE(U$2,-1),'Data_SA'!$A:$A,0),MATCH($E70,'Data_SA'!$1:$1,0))-1),""))</f>
        <v/>
      </c>
    </row>
    <row r="71">
      <c r="A71" s="3" t="inlineStr">
        <is>
          <t>SEFK03</t>
        </is>
      </c>
      <c r="B71" s="3" t="inlineStr">
        <is>
          <t>Citrus fruits</t>
        </is>
      </c>
      <c r="C71" s="3" t="inlineStr">
        <is>
          <t>SEFK</t>
        </is>
      </c>
      <c r="D71" s="3" t="inlineStr">
        <is>
          <t>CUUR0000SEFK03</t>
        </is>
      </c>
      <c r="E71" s="3" t="inlineStr">
        <is>
          <t>CUSR0000SEFK03</t>
        </is>
      </c>
      <c r="F71" s="3" t="inlineStr">
        <is>
          <t>aggregate</t>
        </is>
      </c>
      <c r="G71" s="3" t="inlineStr">
        <is>
          <t>aggregate</t>
        </is>
      </c>
      <c r="H71" s="10">
        <f>IFERROR(INDEX(Weights!$D:$D,MATCH($A71,Weights!$A:$A,0)),"")</f>
        <v/>
      </c>
      <c r="I71" s="10">
        <f>IFERROR(INDEX('Data_NSA'!$A:$OK,MATCH(I$2,'Data_NSA'!$A:$A,0),MATCH($D71,'Data_NSA'!$1:$1,0)),"")</f>
        <v/>
      </c>
      <c r="J71" s="10">
        <f>IF($E71="","",IFERROR(INDEX('Data_SA'!$A:$LO,MATCH(I$2,'Data_SA'!$A:$A,0),MATCH($E71,'Data_SA'!$1:$1,0)),""))</f>
        <v/>
      </c>
      <c r="K71" s="7">
        <f>IF($E71="","",IFERROR(INDEX('Data_SA'!$A:$LO,MATCH(I$2,'Data_SA'!$A:$A,0),MATCH($E71,'Data_SA'!$1:$1,0))/INDEX('Data_SA'!$A:$LO,MATCH(EDATE(I$2,-1),'Data_SA'!$A:$A,0),MATCH($E71,'Data_SA'!$1:$1,0))-1,""))</f>
        <v/>
      </c>
      <c r="L71" s="7">
        <f>IFERROR(INDEX('Data_NSA'!$A:$OK,MATCH(I$2,'Data_NSA'!$A:$A,0),MATCH($D71,'Data_NSA'!$1:$1,0))/INDEX('Data_NSA'!$A:$OK,MATCH(EDATE(I$2,-12),'Data_NSA'!$A:$A,0),MATCH($D71,'Data_NSA'!$1:$1,0))-1,"")</f>
        <v/>
      </c>
      <c r="M71" s="10">
        <f>IFERROR(INDEX('Weights'!$G:$I,MATCH($A71,'Weights'!$A:$A,0),MATCH(I$2,'Weights'!$G$1:$I$1,0)),"")</f>
        <v/>
      </c>
      <c r="N71" s="10">
        <f>IF($E71="","",IFERROR(100*(INDEX('Weights'!$D:$D,MATCH($A71,'Weights'!$A:$A,0))*(INDEX('Data_NSA'!$A:$OK,MATCH(EDATE(I$2,-1),'Data_NSA'!$A:$A,0),MATCH($D71,'Data_NSA'!$1:$1,0))/INDEX('Data_NSA'!$A:$OK,MATCH(INDEX('Weights'!$E:$E,MATCH($A71,'Weights'!$A:$A,0)),'Data_NSA'!$A:$A,0),MATCH($D71,'Data_NSA'!$1:$1,0))))/(100*(INDEX('Data_NSA'!$A:$OK,MATCH(EDATE(I$2,-1),'Data_NSA'!$A:$A,0),MATCH("CUUR0000SA0",'Data_NSA'!$1:$1,0))/INDEX('Data_NSA'!$A:$OK,MATCH(INDEX('Weights'!$E:$E,MATCH($A71,'Weights'!$A:$A,0)),'Data_NSA'!$A:$A,0),MATCH("CUUR0000SA0",'Data_NSA'!$1:$1,0))))*(INDEX('Data_SA'!$A:$LO,MATCH(I$2,'Data_SA'!$A:$A,0),MATCH($E71,'Data_SA'!$1:$1,0))/INDEX('Data_SA'!$A:$LO,MATCH(EDATE(I$2,-1),'Data_SA'!$A:$A,0),MATCH($E71,'Data_SA'!$1:$1,0))-1),""))</f>
        <v/>
      </c>
      <c r="O71" s="10">
        <f>IFERROR(INDEX('Data_NSA'!$A:$OK,MATCH(O$2,'Data_NSA'!$A:$A,0),MATCH($D71,'Data_NSA'!$1:$1,0)),"")</f>
        <v/>
      </c>
      <c r="P71" s="10">
        <f>IF($E71="","",IFERROR(INDEX('Data_SA'!$A:$LO,MATCH(O$2,'Data_SA'!$A:$A,0),MATCH($E71,'Data_SA'!$1:$1,0)),""))</f>
        <v/>
      </c>
      <c r="Q71" s="7">
        <f>IF($E71="","",IFERROR(INDEX('Data_SA'!$A:$LO,MATCH(O$2,'Data_SA'!$A:$A,0),MATCH($E71,'Data_SA'!$1:$1,0))/INDEX('Data_SA'!$A:$LO,MATCH(EDATE(O$2,-1),'Data_SA'!$A:$A,0),MATCH($E71,'Data_SA'!$1:$1,0))-1,""))</f>
        <v/>
      </c>
      <c r="R71" s="7">
        <f>IFERROR(INDEX('Data_NSA'!$A:$OK,MATCH(O$2,'Data_NSA'!$A:$A,0),MATCH($D71,'Data_NSA'!$1:$1,0))/INDEX('Data_NSA'!$A:$OK,MATCH(EDATE(O$2,-12),'Data_NSA'!$A:$A,0),MATCH($D71,'Data_NSA'!$1:$1,0))-1,"")</f>
        <v/>
      </c>
      <c r="S71" s="10">
        <f>IFERROR(INDEX('Weights'!$G:$I,MATCH($A71,'Weights'!$A:$A,0),MATCH(O$2,'Weights'!$G$1:$I$1,0)),"")</f>
        <v/>
      </c>
      <c r="T71" s="10">
        <f>IF($E71="","",IFERROR(100*(INDEX('Weights'!$D:$D,MATCH($A71,'Weights'!$A:$A,0))*(INDEX('Data_NSA'!$A:$OK,MATCH(EDATE(O$2,-1),'Data_NSA'!$A:$A,0),MATCH($D71,'Data_NSA'!$1:$1,0))/INDEX('Data_NSA'!$A:$OK,MATCH(INDEX('Weights'!$E:$E,MATCH($A71,'Weights'!$A:$A,0)),'Data_NSA'!$A:$A,0),MATCH($D71,'Data_NSA'!$1:$1,0))))/(100*(INDEX('Data_NSA'!$A:$OK,MATCH(EDATE(O$2,-1),'Data_NSA'!$A:$A,0),MATCH("CUUR0000SA0",'Data_NSA'!$1:$1,0))/INDEX('Data_NSA'!$A:$OK,MATCH(INDEX('Weights'!$E:$E,MATCH($A71,'Weights'!$A:$A,0)),'Data_NSA'!$A:$A,0),MATCH("CUUR0000SA0",'Data_NSA'!$1:$1,0))))*(INDEX('Data_SA'!$A:$LO,MATCH(O$2,'Data_SA'!$A:$A,0),MATCH($E71,'Data_SA'!$1:$1,0))/INDEX('Data_SA'!$A:$LO,MATCH(EDATE(O$2,-1),'Data_SA'!$A:$A,0),MATCH($E71,'Data_SA'!$1:$1,0))-1),""))</f>
        <v/>
      </c>
      <c r="U71" s="10">
        <f>IFERROR(INDEX('Data_NSA'!$A:$OK,MATCH(U$2,'Data_NSA'!$A:$A,0),MATCH($D71,'Data_NSA'!$1:$1,0)),"")</f>
        <v/>
      </c>
      <c r="V71" s="10">
        <f>IF($E71="","",IFERROR(INDEX('Data_SA'!$A:$LO,MATCH(U$2,'Data_SA'!$A:$A,0),MATCH($E71,'Data_SA'!$1:$1,0)),""))</f>
        <v/>
      </c>
      <c r="W71" s="7">
        <f>IF($E71="","",IFERROR(INDEX('Data_SA'!$A:$LO,MATCH(U$2,'Data_SA'!$A:$A,0),MATCH($E71,'Data_SA'!$1:$1,0))/INDEX('Data_SA'!$A:$LO,MATCH(EDATE(U$2,-1),'Data_SA'!$A:$A,0),MATCH($E71,'Data_SA'!$1:$1,0))-1,""))</f>
        <v/>
      </c>
      <c r="X71" s="7">
        <f>IFERROR(INDEX('Data_NSA'!$A:$OK,MATCH(U$2,'Data_NSA'!$A:$A,0),MATCH($D71,'Data_NSA'!$1:$1,0))/INDEX('Data_NSA'!$A:$OK,MATCH(EDATE(U$2,-12),'Data_NSA'!$A:$A,0),MATCH($D71,'Data_NSA'!$1:$1,0))-1,"")</f>
        <v/>
      </c>
      <c r="Y71" s="10">
        <f>IFERROR(INDEX('Weights'!$G:$I,MATCH($A71,'Weights'!$A:$A,0),MATCH(U$2,'Weights'!$G$1:$I$1,0)),"")</f>
        <v/>
      </c>
      <c r="Z71" s="10">
        <f>IF($E71="","",IFERROR(100*(INDEX('Weights'!$D:$D,MATCH($A71,'Weights'!$A:$A,0))*(INDEX('Data_NSA'!$A:$OK,MATCH(EDATE(U$2,-1),'Data_NSA'!$A:$A,0),MATCH($D71,'Data_NSA'!$1:$1,0))/INDEX('Data_NSA'!$A:$OK,MATCH(INDEX('Weights'!$E:$E,MATCH($A71,'Weights'!$A:$A,0)),'Data_NSA'!$A:$A,0),MATCH($D71,'Data_NSA'!$1:$1,0))))/(100*(INDEX('Data_NSA'!$A:$OK,MATCH(EDATE(U$2,-1),'Data_NSA'!$A:$A,0),MATCH("CUUR0000SA0",'Data_NSA'!$1:$1,0))/INDEX('Data_NSA'!$A:$OK,MATCH(INDEX('Weights'!$E:$E,MATCH($A71,'Weights'!$A:$A,0)),'Data_NSA'!$A:$A,0),MATCH("CUUR0000SA0",'Data_NSA'!$1:$1,0))))*(INDEX('Data_SA'!$A:$LO,MATCH(U$2,'Data_SA'!$A:$A,0),MATCH($E71,'Data_SA'!$1:$1,0))/INDEX('Data_SA'!$A:$LO,MATCH(EDATE(U$2,-1),'Data_SA'!$A:$A,0),MATCH($E71,'Data_SA'!$1:$1,0))-1),""))</f>
        <v/>
      </c>
    </row>
    <row r="72">
      <c r="A72" s="3" t="inlineStr">
        <is>
          <t>SS11031</t>
        </is>
      </c>
      <c r="B72" s="3" t="inlineStr">
        <is>
          <t>Oranges, including tangerines</t>
        </is>
      </c>
      <c r="C72" s="3" t="inlineStr">
        <is>
          <t>SEFK03</t>
        </is>
      </c>
      <c r="D72" s="3" t="inlineStr">
        <is>
          <t>CUUR0000SS11031</t>
        </is>
      </c>
      <c r="E72" s="3" t="inlineStr">
        <is>
          <t>CUSR0000SS11031</t>
        </is>
      </c>
      <c r="F72" s="3" t="inlineStr">
        <is>
          <t>GM</t>
        </is>
      </c>
      <c r="G72" s="3" t="inlineStr">
        <is>
          <t>monthly in New York/Los Angeles/Chicago; often bimonthly elsewhere</t>
        </is>
      </c>
      <c r="H72" s="10">
        <f>IFERROR(INDEX(Weights!$D:$D,MATCH($A72,Weights!$A:$A,0)),"")</f>
        <v/>
      </c>
      <c r="I72" s="10">
        <f>IFERROR(INDEX('Data_NSA'!$A:$OK,MATCH(I$2,'Data_NSA'!$A:$A,0),MATCH($D72,'Data_NSA'!$1:$1,0)),"")</f>
        <v/>
      </c>
      <c r="J72" s="10">
        <f>IF($E72="","",IFERROR(INDEX('Data_SA'!$A:$LO,MATCH(I$2,'Data_SA'!$A:$A,0),MATCH($E72,'Data_SA'!$1:$1,0)),""))</f>
        <v/>
      </c>
      <c r="K72" s="7">
        <f>IF($E72="","",IFERROR(INDEX('Data_SA'!$A:$LO,MATCH(I$2,'Data_SA'!$A:$A,0),MATCH($E72,'Data_SA'!$1:$1,0))/INDEX('Data_SA'!$A:$LO,MATCH(EDATE(I$2,-1),'Data_SA'!$A:$A,0),MATCH($E72,'Data_SA'!$1:$1,0))-1,""))</f>
        <v/>
      </c>
      <c r="L72" s="7">
        <f>IFERROR(INDEX('Data_NSA'!$A:$OK,MATCH(I$2,'Data_NSA'!$A:$A,0),MATCH($D72,'Data_NSA'!$1:$1,0))/INDEX('Data_NSA'!$A:$OK,MATCH(EDATE(I$2,-12),'Data_NSA'!$A:$A,0),MATCH($D72,'Data_NSA'!$1:$1,0))-1,"")</f>
        <v/>
      </c>
      <c r="M72" s="10">
        <f>IFERROR(INDEX('Weights'!$G:$I,MATCH($A72,'Weights'!$A:$A,0),MATCH(I$2,'Weights'!$G$1:$I$1,0)),"")</f>
        <v/>
      </c>
      <c r="N72" s="10">
        <f>IF($E72="","",IFERROR(100*(INDEX('Weights'!$D:$D,MATCH($A72,'Weights'!$A:$A,0))*(INDEX('Data_NSA'!$A:$OK,MATCH(EDATE(I$2,-1),'Data_NSA'!$A:$A,0),MATCH($D72,'Data_NSA'!$1:$1,0))/INDEX('Data_NSA'!$A:$OK,MATCH(INDEX('Weights'!$E:$E,MATCH($A72,'Weights'!$A:$A,0)),'Data_NSA'!$A:$A,0),MATCH($D72,'Data_NSA'!$1:$1,0))))/(100*(INDEX('Data_NSA'!$A:$OK,MATCH(EDATE(I$2,-1),'Data_NSA'!$A:$A,0),MATCH("CUUR0000SA0",'Data_NSA'!$1:$1,0))/INDEX('Data_NSA'!$A:$OK,MATCH(INDEX('Weights'!$E:$E,MATCH($A72,'Weights'!$A:$A,0)),'Data_NSA'!$A:$A,0),MATCH("CUUR0000SA0",'Data_NSA'!$1:$1,0))))*(INDEX('Data_SA'!$A:$LO,MATCH(I$2,'Data_SA'!$A:$A,0),MATCH($E72,'Data_SA'!$1:$1,0))/INDEX('Data_SA'!$A:$LO,MATCH(EDATE(I$2,-1),'Data_SA'!$A:$A,0),MATCH($E72,'Data_SA'!$1:$1,0))-1),""))</f>
        <v/>
      </c>
      <c r="O72" s="10">
        <f>IFERROR(INDEX('Data_NSA'!$A:$OK,MATCH(O$2,'Data_NSA'!$A:$A,0),MATCH($D72,'Data_NSA'!$1:$1,0)),"")</f>
        <v/>
      </c>
      <c r="P72" s="10">
        <f>IF($E72="","",IFERROR(INDEX('Data_SA'!$A:$LO,MATCH(O$2,'Data_SA'!$A:$A,0),MATCH($E72,'Data_SA'!$1:$1,0)),""))</f>
        <v/>
      </c>
      <c r="Q72" s="7">
        <f>IF($E72="","",IFERROR(INDEX('Data_SA'!$A:$LO,MATCH(O$2,'Data_SA'!$A:$A,0),MATCH($E72,'Data_SA'!$1:$1,0))/INDEX('Data_SA'!$A:$LO,MATCH(EDATE(O$2,-1),'Data_SA'!$A:$A,0),MATCH($E72,'Data_SA'!$1:$1,0))-1,""))</f>
        <v/>
      </c>
      <c r="R72" s="7">
        <f>IFERROR(INDEX('Data_NSA'!$A:$OK,MATCH(O$2,'Data_NSA'!$A:$A,0),MATCH($D72,'Data_NSA'!$1:$1,0))/INDEX('Data_NSA'!$A:$OK,MATCH(EDATE(O$2,-12),'Data_NSA'!$A:$A,0),MATCH($D72,'Data_NSA'!$1:$1,0))-1,"")</f>
        <v/>
      </c>
      <c r="S72" s="10">
        <f>IFERROR(INDEX('Weights'!$G:$I,MATCH($A72,'Weights'!$A:$A,0),MATCH(O$2,'Weights'!$G$1:$I$1,0)),"")</f>
        <v/>
      </c>
      <c r="T72" s="10">
        <f>IF($E72="","",IFERROR(100*(INDEX('Weights'!$D:$D,MATCH($A72,'Weights'!$A:$A,0))*(INDEX('Data_NSA'!$A:$OK,MATCH(EDATE(O$2,-1),'Data_NSA'!$A:$A,0),MATCH($D72,'Data_NSA'!$1:$1,0))/INDEX('Data_NSA'!$A:$OK,MATCH(INDEX('Weights'!$E:$E,MATCH($A72,'Weights'!$A:$A,0)),'Data_NSA'!$A:$A,0),MATCH($D72,'Data_NSA'!$1:$1,0))))/(100*(INDEX('Data_NSA'!$A:$OK,MATCH(EDATE(O$2,-1),'Data_NSA'!$A:$A,0),MATCH("CUUR0000SA0",'Data_NSA'!$1:$1,0))/INDEX('Data_NSA'!$A:$OK,MATCH(INDEX('Weights'!$E:$E,MATCH($A72,'Weights'!$A:$A,0)),'Data_NSA'!$A:$A,0),MATCH("CUUR0000SA0",'Data_NSA'!$1:$1,0))))*(INDEX('Data_SA'!$A:$LO,MATCH(O$2,'Data_SA'!$A:$A,0),MATCH($E72,'Data_SA'!$1:$1,0))/INDEX('Data_SA'!$A:$LO,MATCH(EDATE(O$2,-1),'Data_SA'!$A:$A,0),MATCH($E72,'Data_SA'!$1:$1,0))-1),""))</f>
        <v/>
      </c>
      <c r="U72" s="10">
        <f>IFERROR(INDEX('Data_NSA'!$A:$OK,MATCH(U$2,'Data_NSA'!$A:$A,0),MATCH($D72,'Data_NSA'!$1:$1,0)),"")</f>
        <v/>
      </c>
      <c r="V72" s="10">
        <f>IF($E72="","",IFERROR(INDEX('Data_SA'!$A:$LO,MATCH(U$2,'Data_SA'!$A:$A,0),MATCH($E72,'Data_SA'!$1:$1,0)),""))</f>
        <v/>
      </c>
      <c r="W72" s="7">
        <f>IF($E72="","",IFERROR(INDEX('Data_SA'!$A:$LO,MATCH(U$2,'Data_SA'!$A:$A,0),MATCH($E72,'Data_SA'!$1:$1,0))/INDEX('Data_SA'!$A:$LO,MATCH(EDATE(U$2,-1),'Data_SA'!$A:$A,0),MATCH($E72,'Data_SA'!$1:$1,0))-1,""))</f>
        <v/>
      </c>
      <c r="X72" s="7">
        <f>IFERROR(INDEX('Data_NSA'!$A:$OK,MATCH(U$2,'Data_NSA'!$A:$A,0),MATCH($D72,'Data_NSA'!$1:$1,0))/INDEX('Data_NSA'!$A:$OK,MATCH(EDATE(U$2,-12),'Data_NSA'!$A:$A,0),MATCH($D72,'Data_NSA'!$1:$1,0))-1,"")</f>
        <v/>
      </c>
      <c r="Y72" s="10">
        <f>IFERROR(INDEX('Weights'!$G:$I,MATCH($A72,'Weights'!$A:$A,0),MATCH(U$2,'Weights'!$G$1:$I$1,0)),"")</f>
        <v/>
      </c>
      <c r="Z72" s="10">
        <f>IF($E72="","",IFERROR(100*(INDEX('Weights'!$D:$D,MATCH($A72,'Weights'!$A:$A,0))*(INDEX('Data_NSA'!$A:$OK,MATCH(EDATE(U$2,-1),'Data_NSA'!$A:$A,0),MATCH($D72,'Data_NSA'!$1:$1,0))/INDEX('Data_NSA'!$A:$OK,MATCH(INDEX('Weights'!$E:$E,MATCH($A72,'Weights'!$A:$A,0)),'Data_NSA'!$A:$A,0),MATCH($D72,'Data_NSA'!$1:$1,0))))/(100*(INDEX('Data_NSA'!$A:$OK,MATCH(EDATE(U$2,-1),'Data_NSA'!$A:$A,0),MATCH("CUUR0000SA0",'Data_NSA'!$1:$1,0))/INDEX('Data_NSA'!$A:$OK,MATCH(INDEX('Weights'!$E:$E,MATCH($A72,'Weights'!$A:$A,0)),'Data_NSA'!$A:$A,0),MATCH("CUUR0000SA0",'Data_NSA'!$1:$1,0))))*(INDEX('Data_SA'!$A:$LO,MATCH(U$2,'Data_SA'!$A:$A,0),MATCH($E72,'Data_SA'!$1:$1,0))/INDEX('Data_SA'!$A:$LO,MATCH(EDATE(U$2,-1),'Data_SA'!$A:$A,0),MATCH($E72,'Data_SA'!$1:$1,0))-1),""))</f>
        <v/>
      </c>
    </row>
    <row r="73">
      <c r="A73" s="3" t="inlineStr">
        <is>
          <t>SEFK04</t>
        </is>
      </c>
      <c r="B73" s="3" t="inlineStr">
        <is>
          <t>Other fresh fruits</t>
        </is>
      </c>
      <c r="C73" s="3" t="inlineStr">
        <is>
          <t>SEFK</t>
        </is>
      </c>
      <c r="D73" s="3" t="inlineStr">
        <is>
          <t>CUUR0000SEFK04</t>
        </is>
      </c>
      <c r="E73" s="3" t="inlineStr">
        <is>
          <t>CUSR0000SEFK04</t>
        </is>
      </c>
      <c r="F73" s="3" t="inlineStr">
        <is>
          <t>GM</t>
        </is>
      </c>
      <c r="G73" s="3" t="inlineStr">
        <is>
          <t>monthly food collection where sampled</t>
        </is>
      </c>
      <c r="H73" s="10">
        <f>IFERROR(INDEX(Weights!$D:$D,MATCH($A73,Weights!$A:$A,0)),"")</f>
        <v/>
      </c>
      <c r="I73" s="10">
        <f>IFERROR(INDEX('Data_NSA'!$A:$OK,MATCH(I$2,'Data_NSA'!$A:$A,0),MATCH($D73,'Data_NSA'!$1:$1,0)),"")</f>
        <v/>
      </c>
      <c r="J73" s="10">
        <f>IF($E73="","",IFERROR(INDEX('Data_SA'!$A:$LO,MATCH(I$2,'Data_SA'!$A:$A,0),MATCH($E73,'Data_SA'!$1:$1,0)),""))</f>
        <v/>
      </c>
      <c r="K73" s="7">
        <f>IF($E73="","",IFERROR(INDEX('Data_SA'!$A:$LO,MATCH(I$2,'Data_SA'!$A:$A,0),MATCH($E73,'Data_SA'!$1:$1,0))/INDEX('Data_SA'!$A:$LO,MATCH(EDATE(I$2,-1),'Data_SA'!$A:$A,0),MATCH($E73,'Data_SA'!$1:$1,0))-1,""))</f>
        <v/>
      </c>
      <c r="L73" s="7">
        <f>IFERROR(INDEX('Data_NSA'!$A:$OK,MATCH(I$2,'Data_NSA'!$A:$A,0),MATCH($D73,'Data_NSA'!$1:$1,0))/INDEX('Data_NSA'!$A:$OK,MATCH(EDATE(I$2,-12),'Data_NSA'!$A:$A,0),MATCH($D73,'Data_NSA'!$1:$1,0))-1,"")</f>
        <v/>
      </c>
      <c r="M73" s="10">
        <f>IFERROR(INDEX('Weights'!$G:$I,MATCH($A73,'Weights'!$A:$A,0),MATCH(I$2,'Weights'!$G$1:$I$1,0)),"")</f>
        <v/>
      </c>
      <c r="N73" s="10">
        <f>IF($E73="","",IFERROR(100*(INDEX('Weights'!$D:$D,MATCH($A73,'Weights'!$A:$A,0))*(INDEX('Data_NSA'!$A:$OK,MATCH(EDATE(I$2,-1),'Data_NSA'!$A:$A,0),MATCH($D73,'Data_NSA'!$1:$1,0))/INDEX('Data_NSA'!$A:$OK,MATCH(INDEX('Weights'!$E:$E,MATCH($A73,'Weights'!$A:$A,0)),'Data_NSA'!$A:$A,0),MATCH($D73,'Data_NSA'!$1:$1,0))))/(100*(INDEX('Data_NSA'!$A:$OK,MATCH(EDATE(I$2,-1),'Data_NSA'!$A:$A,0),MATCH("CUUR0000SA0",'Data_NSA'!$1:$1,0))/INDEX('Data_NSA'!$A:$OK,MATCH(INDEX('Weights'!$E:$E,MATCH($A73,'Weights'!$A:$A,0)),'Data_NSA'!$A:$A,0),MATCH("CUUR0000SA0",'Data_NSA'!$1:$1,0))))*(INDEX('Data_SA'!$A:$LO,MATCH(I$2,'Data_SA'!$A:$A,0),MATCH($E73,'Data_SA'!$1:$1,0))/INDEX('Data_SA'!$A:$LO,MATCH(EDATE(I$2,-1),'Data_SA'!$A:$A,0),MATCH($E73,'Data_SA'!$1:$1,0))-1),""))</f>
        <v/>
      </c>
      <c r="O73" s="10">
        <f>IFERROR(INDEX('Data_NSA'!$A:$OK,MATCH(O$2,'Data_NSA'!$A:$A,0),MATCH($D73,'Data_NSA'!$1:$1,0)),"")</f>
        <v/>
      </c>
      <c r="P73" s="10">
        <f>IF($E73="","",IFERROR(INDEX('Data_SA'!$A:$LO,MATCH(O$2,'Data_SA'!$A:$A,0),MATCH($E73,'Data_SA'!$1:$1,0)),""))</f>
        <v/>
      </c>
      <c r="Q73" s="7">
        <f>IF($E73="","",IFERROR(INDEX('Data_SA'!$A:$LO,MATCH(O$2,'Data_SA'!$A:$A,0),MATCH($E73,'Data_SA'!$1:$1,0))/INDEX('Data_SA'!$A:$LO,MATCH(EDATE(O$2,-1),'Data_SA'!$A:$A,0),MATCH($E73,'Data_SA'!$1:$1,0))-1,""))</f>
        <v/>
      </c>
      <c r="R73" s="7">
        <f>IFERROR(INDEX('Data_NSA'!$A:$OK,MATCH(O$2,'Data_NSA'!$A:$A,0),MATCH($D73,'Data_NSA'!$1:$1,0))/INDEX('Data_NSA'!$A:$OK,MATCH(EDATE(O$2,-12),'Data_NSA'!$A:$A,0),MATCH($D73,'Data_NSA'!$1:$1,0))-1,"")</f>
        <v/>
      </c>
      <c r="S73" s="10">
        <f>IFERROR(INDEX('Weights'!$G:$I,MATCH($A73,'Weights'!$A:$A,0),MATCH(O$2,'Weights'!$G$1:$I$1,0)),"")</f>
        <v/>
      </c>
      <c r="T73" s="10">
        <f>IF($E73="","",IFERROR(100*(INDEX('Weights'!$D:$D,MATCH($A73,'Weights'!$A:$A,0))*(INDEX('Data_NSA'!$A:$OK,MATCH(EDATE(O$2,-1),'Data_NSA'!$A:$A,0),MATCH($D73,'Data_NSA'!$1:$1,0))/INDEX('Data_NSA'!$A:$OK,MATCH(INDEX('Weights'!$E:$E,MATCH($A73,'Weights'!$A:$A,0)),'Data_NSA'!$A:$A,0),MATCH($D73,'Data_NSA'!$1:$1,0))))/(100*(INDEX('Data_NSA'!$A:$OK,MATCH(EDATE(O$2,-1),'Data_NSA'!$A:$A,0),MATCH("CUUR0000SA0",'Data_NSA'!$1:$1,0))/INDEX('Data_NSA'!$A:$OK,MATCH(INDEX('Weights'!$E:$E,MATCH($A73,'Weights'!$A:$A,0)),'Data_NSA'!$A:$A,0),MATCH("CUUR0000SA0",'Data_NSA'!$1:$1,0))))*(INDEX('Data_SA'!$A:$LO,MATCH(O$2,'Data_SA'!$A:$A,0),MATCH($E73,'Data_SA'!$1:$1,0))/INDEX('Data_SA'!$A:$LO,MATCH(EDATE(O$2,-1),'Data_SA'!$A:$A,0),MATCH($E73,'Data_SA'!$1:$1,0))-1),""))</f>
        <v/>
      </c>
      <c r="U73" s="10">
        <f>IFERROR(INDEX('Data_NSA'!$A:$OK,MATCH(U$2,'Data_NSA'!$A:$A,0),MATCH($D73,'Data_NSA'!$1:$1,0)),"")</f>
        <v/>
      </c>
      <c r="V73" s="10">
        <f>IF($E73="","",IFERROR(INDEX('Data_SA'!$A:$LO,MATCH(U$2,'Data_SA'!$A:$A,0),MATCH($E73,'Data_SA'!$1:$1,0)),""))</f>
        <v/>
      </c>
      <c r="W73" s="7">
        <f>IF($E73="","",IFERROR(INDEX('Data_SA'!$A:$LO,MATCH(U$2,'Data_SA'!$A:$A,0),MATCH($E73,'Data_SA'!$1:$1,0))/INDEX('Data_SA'!$A:$LO,MATCH(EDATE(U$2,-1),'Data_SA'!$A:$A,0),MATCH($E73,'Data_SA'!$1:$1,0))-1,""))</f>
        <v/>
      </c>
      <c r="X73" s="7">
        <f>IFERROR(INDEX('Data_NSA'!$A:$OK,MATCH(U$2,'Data_NSA'!$A:$A,0),MATCH($D73,'Data_NSA'!$1:$1,0))/INDEX('Data_NSA'!$A:$OK,MATCH(EDATE(U$2,-12),'Data_NSA'!$A:$A,0),MATCH($D73,'Data_NSA'!$1:$1,0))-1,"")</f>
        <v/>
      </c>
      <c r="Y73" s="10">
        <f>IFERROR(INDEX('Weights'!$G:$I,MATCH($A73,'Weights'!$A:$A,0),MATCH(U$2,'Weights'!$G$1:$I$1,0)),"")</f>
        <v/>
      </c>
      <c r="Z73" s="10">
        <f>IF($E73="","",IFERROR(100*(INDEX('Weights'!$D:$D,MATCH($A73,'Weights'!$A:$A,0))*(INDEX('Data_NSA'!$A:$OK,MATCH(EDATE(U$2,-1),'Data_NSA'!$A:$A,0),MATCH($D73,'Data_NSA'!$1:$1,0))/INDEX('Data_NSA'!$A:$OK,MATCH(INDEX('Weights'!$E:$E,MATCH($A73,'Weights'!$A:$A,0)),'Data_NSA'!$A:$A,0),MATCH($D73,'Data_NSA'!$1:$1,0))))/(100*(INDEX('Data_NSA'!$A:$OK,MATCH(EDATE(U$2,-1),'Data_NSA'!$A:$A,0),MATCH("CUUR0000SA0",'Data_NSA'!$1:$1,0))/INDEX('Data_NSA'!$A:$OK,MATCH(INDEX('Weights'!$E:$E,MATCH($A73,'Weights'!$A:$A,0)),'Data_NSA'!$A:$A,0),MATCH("CUUR0000SA0",'Data_NSA'!$1:$1,0))))*(INDEX('Data_SA'!$A:$LO,MATCH(U$2,'Data_SA'!$A:$A,0),MATCH($E73,'Data_SA'!$1:$1,0))/INDEX('Data_SA'!$A:$LO,MATCH(EDATE(U$2,-1),'Data_SA'!$A:$A,0),MATCH($E73,'Data_SA'!$1:$1,0))-1),""))</f>
        <v/>
      </c>
    </row>
    <row r="74">
      <c r="A74" s="3" t="inlineStr">
        <is>
          <t>SEFL</t>
        </is>
      </c>
      <c r="B74" s="3" t="inlineStr">
        <is>
          <t>Fresh vegetables</t>
        </is>
      </c>
      <c r="C74" s="3" t="inlineStr">
        <is>
          <t>SAF1131</t>
        </is>
      </c>
      <c r="D74" s="3" t="inlineStr">
        <is>
          <t>CUUR0000SEFL</t>
        </is>
      </c>
      <c r="E74" s="3" t="inlineStr">
        <is>
          <t>CUSR0000SEFL</t>
        </is>
      </c>
      <c r="F74" s="3" t="inlineStr">
        <is>
          <t>aggregate</t>
        </is>
      </c>
      <c r="G74" s="3" t="inlineStr">
        <is>
          <t>aggregate</t>
        </is>
      </c>
      <c r="H74" s="10">
        <f>IFERROR(INDEX(Weights!$D:$D,MATCH($A74,Weights!$A:$A,0)),"")</f>
        <v/>
      </c>
      <c r="I74" s="10">
        <f>IFERROR(INDEX('Data_NSA'!$A:$OK,MATCH(I$2,'Data_NSA'!$A:$A,0),MATCH($D74,'Data_NSA'!$1:$1,0)),"")</f>
        <v/>
      </c>
      <c r="J74" s="10">
        <f>IF($E74="","",IFERROR(INDEX('Data_SA'!$A:$LO,MATCH(I$2,'Data_SA'!$A:$A,0),MATCH($E74,'Data_SA'!$1:$1,0)),""))</f>
        <v/>
      </c>
      <c r="K74" s="7">
        <f>IF($E74="","",IFERROR(INDEX('Data_SA'!$A:$LO,MATCH(I$2,'Data_SA'!$A:$A,0),MATCH($E74,'Data_SA'!$1:$1,0))/INDEX('Data_SA'!$A:$LO,MATCH(EDATE(I$2,-1),'Data_SA'!$A:$A,0),MATCH($E74,'Data_SA'!$1:$1,0))-1,""))</f>
        <v/>
      </c>
      <c r="L74" s="7">
        <f>IFERROR(INDEX('Data_NSA'!$A:$OK,MATCH(I$2,'Data_NSA'!$A:$A,0),MATCH($D74,'Data_NSA'!$1:$1,0))/INDEX('Data_NSA'!$A:$OK,MATCH(EDATE(I$2,-12),'Data_NSA'!$A:$A,0),MATCH($D74,'Data_NSA'!$1:$1,0))-1,"")</f>
        <v/>
      </c>
      <c r="M74" s="10">
        <f>IFERROR(INDEX('Weights'!$G:$I,MATCH($A74,'Weights'!$A:$A,0),MATCH(I$2,'Weights'!$G$1:$I$1,0)),"")</f>
        <v/>
      </c>
      <c r="N74" s="10">
        <f>IF($E74="","",IFERROR(100*(INDEX('Weights'!$D:$D,MATCH($A74,'Weights'!$A:$A,0))*(INDEX('Data_NSA'!$A:$OK,MATCH(EDATE(I$2,-1),'Data_NSA'!$A:$A,0),MATCH($D74,'Data_NSA'!$1:$1,0))/INDEX('Data_NSA'!$A:$OK,MATCH(INDEX('Weights'!$E:$E,MATCH($A74,'Weights'!$A:$A,0)),'Data_NSA'!$A:$A,0),MATCH($D74,'Data_NSA'!$1:$1,0))))/(100*(INDEX('Data_NSA'!$A:$OK,MATCH(EDATE(I$2,-1),'Data_NSA'!$A:$A,0),MATCH("CUUR0000SA0",'Data_NSA'!$1:$1,0))/INDEX('Data_NSA'!$A:$OK,MATCH(INDEX('Weights'!$E:$E,MATCH($A74,'Weights'!$A:$A,0)),'Data_NSA'!$A:$A,0),MATCH("CUUR0000SA0",'Data_NSA'!$1:$1,0))))*(INDEX('Data_SA'!$A:$LO,MATCH(I$2,'Data_SA'!$A:$A,0),MATCH($E74,'Data_SA'!$1:$1,0))/INDEX('Data_SA'!$A:$LO,MATCH(EDATE(I$2,-1),'Data_SA'!$A:$A,0),MATCH($E74,'Data_SA'!$1:$1,0))-1),""))</f>
        <v/>
      </c>
      <c r="O74" s="10">
        <f>IFERROR(INDEX('Data_NSA'!$A:$OK,MATCH(O$2,'Data_NSA'!$A:$A,0),MATCH($D74,'Data_NSA'!$1:$1,0)),"")</f>
        <v/>
      </c>
      <c r="P74" s="10">
        <f>IF($E74="","",IFERROR(INDEX('Data_SA'!$A:$LO,MATCH(O$2,'Data_SA'!$A:$A,0),MATCH($E74,'Data_SA'!$1:$1,0)),""))</f>
        <v/>
      </c>
      <c r="Q74" s="7">
        <f>IF($E74="","",IFERROR(INDEX('Data_SA'!$A:$LO,MATCH(O$2,'Data_SA'!$A:$A,0),MATCH($E74,'Data_SA'!$1:$1,0))/INDEX('Data_SA'!$A:$LO,MATCH(EDATE(O$2,-1),'Data_SA'!$A:$A,0),MATCH($E74,'Data_SA'!$1:$1,0))-1,""))</f>
        <v/>
      </c>
      <c r="R74" s="7">
        <f>IFERROR(INDEX('Data_NSA'!$A:$OK,MATCH(O$2,'Data_NSA'!$A:$A,0),MATCH($D74,'Data_NSA'!$1:$1,0))/INDEX('Data_NSA'!$A:$OK,MATCH(EDATE(O$2,-12),'Data_NSA'!$A:$A,0),MATCH($D74,'Data_NSA'!$1:$1,0))-1,"")</f>
        <v/>
      </c>
      <c r="S74" s="10">
        <f>IFERROR(INDEX('Weights'!$G:$I,MATCH($A74,'Weights'!$A:$A,0),MATCH(O$2,'Weights'!$G$1:$I$1,0)),"")</f>
        <v/>
      </c>
      <c r="T74" s="10">
        <f>IF($E74="","",IFERROR(100*(INDEX('Weights'!$D:$D,MATCH($A74,'Weights'!$A:$A,0))*(INDEX('Data_NSA'!$A:$OK,MATCH(EDATE(O$2,-1),'Data_NSA'!$A:$A,0),MATCH($D74,'Data_NSA'!$1:$1,0))/INDEX('Data_NSA'!$A:$OK,MATCH(INDEX('Weights'!$E:$E,MATCH($A74,'Weights'!$A:$A,0)),'Data_NSA'!$A:$A,0),MATCH($D74,'Data_NSA'!$1:$1,0))))/(100*(INDEX('Data_NSA'!$A:$OK,MATCH(EDATE(O$2,-1),'Data_NSA'!$A:$A,0),MATCH("CUUR0000SA0",'Data_NSA'!$1:$1,0))/INDEX('Data_NSA'!$A:$OK,MATCH(INDEX('Weights'!$E:$E,MATCH($A74,'Weights'!$A:$A,0)),'Data_NSA'!$A:$A,0),MATCH("CUUR0000SA0",'Data_NSA'!$1:$1,0))))*(INDEX('Data_SA'!$A:$LO,MATCH(O$2,'Data_SA'!$A:$A,0),MATCH($E74,'Data_SA'!$1:$1,0))/INDEX('Data_SA'!$A:$LO,MATCH(EDATE(O$2,-1),'Data_SA'!$A:$A,0),MATCH($E74,'Data_SA'!$1:$1,0))-1),""))</f>
        <v/>
      </c>
      <c r="U74" s="10">
        <f>IFERROR(INDEX('Data_NSA'!$A:$OK,MATCH(U$2,'Data_NSA'!$A:$A,0),MATCH($D74,'Data_NSA'!$1:$1,0)),"")</f>
        <v/>
      </c>
      <c r="V74" s="10">
        <f>IF($E74="","",IFERROR(INDEX('Data_SA'!$A:$LO,MATCH(U$2,'Data_SA'!$A:$A,0),MATCH($E74,'Data_SA'!$1:$1,0)),""))</f>
        <v/>
      </c>
      <c r="W74" s="7">
        <f>IF($E74="","",IFERROR(INDEX('Data_SA'!$A:$LO,MATCH(U$2,'Data_SA'!$A:$A,0),MATCH($E74,'Data_SA'!$1:$1,0))/INDEX('Data_SA'!$A:$LO,MATCH(EDATE(U$2,-1),'Data_SA'!$A:$A,0),MATCH($E74,'Data_SA'!$1:$1,0))-1,""))</f>
        <v/>
      </c>
      <c r="X74" s="7">
        <f>IFERROR(INDEX('Data_NSA'!$A:$OK,MATCH(U$2,'Data_NSA'!$A:$A,0),MATCH($D74,'Data_NSA'!$1:$1,0))/INDEX('Data_NSA'!$A:$OK,MATCH(EDATE(U$2,-12),'Data_NSA'!$A:$A,0),MATCH($D74,'Data_NSA'!$1:$1,0))-1,"")</f>
        <v/>
      </c>
      <c r="Y74" s="10">
        <f>IFERROR(INDEX('Weights'!$G:$I,MATCH($A74,'Weights'!$A:$A,0),MATCH(U$2,'Weights'!$G$1:$I$1,0)),"")</f>
        <v/>
      </c>
      <c r="Z74" s="10">
        <f>IF($E74="","",IFERROR(100*(INDEX('Weights'!$D:$D,MATCH($A74,'Weights'!$A:$A,0))*(INDEX('Data_NSA'!$A:$OK,MATCH(EDATE(U$2,-1),'Data_NSA'!$A:$A,0),MATCH($D74,'Data_NSA'!$1:$1,0))/INDEX('Data_NSA'!$A:$OK,MATCH(INDEX('Weights'!$E:$E,MATCH($A74,'Weights'!$A:$A,0)),'Data_NSA'!$A:$A,0),MATCH($D74,'Data_NSA'!$1:$1,0))))/(100*(INDEX('Data_NSA'!$A:$OK,MATCH(EDATE(U$2,-1),'Data_NSA'!$A:$A,0),MATCH("CUUR0000SA0",'Data_NSA'!$1:$1,0))/INDEX('Data_NSA'!$A:$OK,MATCH(INDEX('Weights'!$E:$E,MATCH($A74,'Weights'!$A:$A,0)),'Data_NSA'!$A:$A,0),MATCH("CUUR0000SA0",'Data_NSA'!$1:$1,0))))*(INDEX('Data_SA'!$A:$LO,MATCH(U$2,'Data_SA'!$A:$A,0),MATCH($E74,'Data_SA'!$1:$1,0))/INDEX('Data_SA'!$A:$LO,MATCH(EDATE(U$2,-1),'Data_SA'!$A:$A,0),MATCH($E74,'Data_SA'!$1:$1,0))-1),""))</f>
        <v/>
      </c>
    </row>
    <row r="75">
      <c r="A75" s="3" t="inlineStr">
        <is>
          <t>SEFL01</t>
        </is>
      </c>
      <c r="B75" s="3" t="inlineStr">
        <is>
          <t>Potatoes</t>
        </is>
      </c>
      <c r="C75" s="3" t="inlineStr">
        <is>
          <t>SEFL</t>
        </is>
      </c>
      <c r="D75" s="3" t="inlineStr">
        <is>
          <t>CUUR0000SEFL01</t>
        </is>
      </c>
      <c r="E75" s="3" t="inlineStr">
        <is>
          <t>CUSR0000SEFL01</t>
        </is>
      </c>
      <c r="F75" s="3" t="inlineStr">
        <is>
          <t>GM</t>
        </is>
      </c>
      <c r="G75" s="3" t="inlineStr">
        <is>
          <t>monthly food collection where sampled</t>
        </is>
      </c>
      <c r="H75" s="10">
        <f>IFERROR(INDEX(Weights!$D:$D,MATCH($A75,Weights!$A:$A,0)),"")</f>
        <v/>
      </c>
      <c r="I75" s="10">
        <f>IFERROR(INDEX('Data_NSA'!$A:$OK,MATCH(I$2,'Data_NSA'!$A:$A,0),MATCH($D75,'Data_NSA'!$1:$1,0)),"")</f>
        <v/>
      </c>
      <c r="J75" s="10">
        <f>IF($E75="","",IFERROR(INDEX('Data_SA'!$A:$LO,MATCH(I$2,'Data_SA'!$A:$A,0),MATCH($E75,'Data_SA'!$1:$1,0)),""))</f>
        <v/>
      </c>
      <c r="K75" s="7">
        <f>IF($E75="","",IFERROR(INDEX('Data_SA'!$A:$LO,MATCH(I$2,'Data_SA'!$A:$A,0),MATCH($E75,'Data_SA'!$1:$1,0))/INDEX('Data_SA'!$A:$LO,MATCH(EDATE(I$2,-1),'Data_SA'!$A:$A,0),MATCH($E75,'Data_SA'!$1:$1,0))-1,""))</f>
        <v/>
      </c>
      <c r="L75" s="7">
        <f>IFERROR(INDEX('Data_NSA'!$A:$OK,MATCH(I$2,'Data_NSA'!$A:$A,0),MATCH($D75,'Data_NSA'!$1:$1,0))/INDEX('Data_NSA'!$A:$OK,MATCH(EDATE(I$2,-12),'Data_NSA'!$A:$A,0),MATCH($D75,'Data_NSA'!$1:$1,0))-1,"")</f>
        <v/>
      </c>
      <c r="M75" s="10">
        <f>IFERROR(INDEX('Weights'!$G:$I,MATCH($A75,'Weights'!$A:$A,0),MATCH(I$2,'Weights'!$G$1:$I$1,0)),"")</f>
        <v/>
      </c>
      <c r="N75" s="10">
        <f>IF($E75="","",IFERROR(100*(INDEX('Weights'!$D:$D,MATCH($A75,'Weights'!$A:$A,0))*(INDEX('Data_NSA'!$A:$OK,MATCH(EDATE(I$2,-1),'Data_NSA'!$A:$A,0),MATCH($D75,'Data_NSA'!$1:$1,0))/INDEX('Data_NSA'!$A:$OK,MATCH(INDEX('Weights'!$E:$E,MATCH($A75,'Weights'!$A:$A,0)),'Data_NSA'!$A:$A,0),MATCH($D75,'Data_NSA'!$1:$1,0))))/(100*(INDEX('Data_NSA'!$A:$OK,MATCH(EDATE(I$2,-1),'Data_NSA'!$A:$A,0),MATCH("CUUR0000SA0",'Data_NSA'!$1:$1,0))/INDEX('Data_NSA'!$A:$OK,MATCH(INDEX('Weights'!$E:$E,MATCH($A75,'Weights'!$A:$A,0)),'Data_NSA'!$A:$A,0),MATCH("CUUR0000SA0",'Data_NSA'!$1:$1,0))))*(INDEX('Data_SA'!$A:$LO,MATCH(I$2,'Data_SA'!$A:$A,0),MATCH($E75,'Data_SA'!$1:$1,0))/INDEX('Data_SA'!$A:$LO,MATCH(EDATE(I$2,-1),'Data_SA'!$A:$A,0),MATCH($E75,'Data_SA'!$1:$1,0))-1),""))</f>
        <v/>
      </c>
      <c r="O75" s="10">
        <f>IFERROR(INDEX('Data_NSA'!$A:$OK,MATCH(O$2,'Data_NSA'!$A:$A,0),MATCH($D75,'Data_NSA'!$1:$1,0)),"")</f>
        <v/>
      </c>
      <c r="P75" s="10">
        <f>IF($E75="","",IFERROR(INDEX('Data_SA'!$A:$LO,MATCH(O$2,'Data_SA'!$A:$A,0),MATCH($E75,'Data_SA'!$1:$1,0)),""))</f>
        <v/>
      </c>
      <c r="Q75" s="7">
        <f>IF($E75="","",IFERROR(INDEX('Data_SA'!$A:$LO,MATCH(O$2,'Data_SA'!$A:$A,0),MATCH($E75,'Data_SA'!$1:$1,0))/INDEX('Data_SA'!$A:$LO,MATCH(EDATE(O$2,-1),'Data_SA'!$A:$A,0),MATCH($E75,'Data_SA'!$1:$1,0))-1,""))</f>
        <v/>
      </c>
      <c r="R75" s="7">
        <f>IFERROR(INDEX('Data_NSA'!$A:$OK,MATCH(O$2,'Data_NSA'!$A:$A,0),MATCH($D75,'Data_NSA'!$1:$1,0))/INDEX('Data_NSA'!$A:$OK,MATCH(EDATE(O$2,-12),'Data_NSA'!$A:$A,0),MATCH($D75,'Data_NSA'!$1:$1,0))-1,"")</f>
        <v/>
      </c>
      <c r="S75" s="10">
        <f>IFERROR(INDEX('Weights'!$G:$I,MATCH($A75,'Weights'!$A:$A,0),MATCH(O$2,'Weights'!$G$1:$I$1,0)),"")</f>
        <v/>
      </c>
      <c r="T75" s="10">
        <f>IF($E75="","",IFERROR(100*(INDEX('Weights'!$D:$D,MATCH($A75,'Weights'!$A:$A,0))*(INDEX('Data_NSA'!$A:$OK,MATCH(EDATE(O$2,-1),'Data_NSA'!$A:$A,0),MATCH($D75,'Data_NSA'!$1:$1,0))/INDEX('Data_NSA'!$A:$OK,MATCH(INDEX('Weights'!$E:$E,MATCH($A75,'Weights'!$A:$A,0)),'Data_NSA'!$A:$A,0),MATCH($D75,'Data_NSA'!$1:$1,0))))/(100*(INDEX('Data_NSA'!$A:$OK,MATCH(EDATE(O$2,-1),'Data_NSA'!$A:$A,0),MATCH("CUUR0000SA0",'Data_NSA'!$1:$1,0))/INDEX('Data_NSA'!$A:$OK,MATCH(INDEX('Weights'!$E:$E,MATCH($A75,'Weights'!$A:$A,0)),'Data_NSA'!$A:$A,0),MATCH("CUUR0000SA0",'Data_NSA'!$1:$1,0))))*(INDEX('Data_SA'!$A:$LO,MATCH(O$2,'Data_SA'!$A:$A,0),MATCH($E75,'Data_SA'!$1:$1,0))/INDEX('Data_SA'!$A:$LO,MATCH(EDATE(O$2,-1),'Data_SA'!$A:$A,0),MATCH($E75,'Data_SA'!$1:$1,0))-1),""))</f>
        <v/>
      </c>
      <c r="U75" s="10">
        <f>IFERROR(INDEX('Data_NSA'!$A:$OK,MATCH(U$2,'Data_NSA'!$A:$A,0),MATCH($D75,'Data_NSA'!$1:$1,0)),"")</f>
        <v/>
      </c>
      <c r="V75" s="10">
        <f>IF($E75="","",IFERROR(INDEX('Data_SA'!$A:$LO,MATCH(U$2,'Data_SA'!$A:$A,0),MATCH($E75,'Data_SA'!$1:$1,0)),""))</f>
        <v/>
      </c>
      <c r="W75" s="7">
        <f>IF($E75="","",IFERROR(INDEX('Data_SA'!$A:$LO,MATCH(U$2,'Data_SA'!$A:$A,0),MATCH($E75,'Data_SA'!$1:$1,0))/INDEX('Data_SA'!$A:$LO,MATCH(EDATE(U$2,-1),'Data_SA'!$A:$A,0),MATCH($E75,'Data_SA'!$1:$1,0))-1,""))</f>
        <v/>
      </c>
      <c r="X75" s="7">
        <f>IFERROR(INDEX('Data_NSA'!$A:$OK,MATCH(U$2,'Data_NSA'!$A:$A,0),MATCH($D75,'Data_NSA'!$1:$1,0))/INDEX('Data_NSA'!$A:$OK,MATCH(EDATE(U$2,-12),'Data_NSA'!$A:$A,0),MATCH($D75,'Data_NSA'!$1:$1,0))-1,"")</f>
        <v/>
      </c>
      <c r="Y75" s="10">
        <f>IFERROR(INDEX('Weights'!$G:$I,MATCH($A75,'Weights'!$A:$A,0),MATCH(U$2,'Weights'!$G$1:$I$1,0)),"")</f>
        <v/>
      </c>
      <c r="Z75" s="10">
        <f>IF($E75="","",IFERROR(100*(INDEX('Weights'!$D:$D,MATCH($A75,'Weights'!$A:$A,0))*(INDEX('Data_NSA'!$A:$OK,MATCH(EDATE(U$2,-1),'Data_NSA'!$A:$A,0),MATCH($D75,'Data_NSA'!$1:$1,0))/INDEX('Data_NSA'!$A:$OK,MATCH(INDEX('Weights'!$E:$E,MATCH($A75,'Weights'!$A:$A,0)),'Data_NSA'!$A:$A,0),MATCH($D75,'Data_NSA'!$1:$1,0))))/(100*(INDEX('Data_NSA'!$A:$OK,MATCH(EDATE(U$2,-1),'Data_NSA'!$A:$A,0),MATCH("CUUR0000SA0",'Data_NSA'!$1:$1,0))/INDEX('Data_NSA'!$A:$OK,MATCH(INDEX('Weights'!$E:$E,MATCH($A75,'Weights'!$A:$A,0)),'Data_NSA'!$A:$A,0),MATCH("CUUR0000SA0",'Data_NSA'!$1:$1,0))))*(INDEX('Data_SA'!$A:$LO,MATCH(U$2,'Data_SA'!$A:$A,0),MATCH($E75,'Data_SA'!$1:$1,0))/INDEX('Data_SA'!$A:$LO,MATCH(EDATE(U$2,-1),'Data_SA'!$A:$A,0),MATCH($E75,'Data_SA'!$1:$1,0))-1),""))</f>
        <v/>
      </c>
    </row>
    <row r="76">
      <c r="A76" s="3" t="inlineStr">
        <is>
          <t>SEFL02</t>
        </is>
      </c>
      <c r="B76" s="3" t="inlineStr">
        <is>
          <t>Lettuce</t>
        </is>
      </c>
      <c r="C76" s="3" t="inlineStr">
        <is>
          <t>SEFL</t>
        </is>
      </c>
      <c r="D76" s="3" t="inlineStr">
        <is>
          <t>CUUR0000SEFL02</t>
        </is>
      </c>
      <c r="E76" s="3" t="inlineStr">
        <is>
          <t>CUSR0000SEFL02</t>
        </is>
      </c>
      <c r="F76" s="3" t="inlineStr">
        <is>
          <t>GM</t>
        </is>
      </c>
      <c r="G76" s="3" t="inlineStr">
        <is>
          <t>monthly food collection where sampled</t>
        </is>
      </c>
      <c r="H76" s="10">
        <f>IFERROR(INDEX(Weights!$D:$D,MATCH($A76,Weights!$A:$A,0)),"")</f>
        <v/>
      </c>
      <c r="I76" s="10">
        <f>IFERROR(INDEX('Data_NSA'!$A:$OK,MATCH(I$2,'Data_NSA'!$A:$A,0),MATCH($D76,'Data_NSA'!$1:$1,0)),"")</f>
        <v/>
      </c>
      <c r="J76" s="10">
        <f>IF($E76="","",IFERROR(INDEX('Data_SA'!$A:$LO,MATCH(I$2,'Data_SA'!$A:$A,0),MATCH($E76,'Data_SA'!$1:$1,0)),""))</f>
        <v/>
      </c>
      <c r="K76" s="7">
        <f>IF($E76="","",IFERROR(INDEX('Data_SA'!$A:$LO,MATCH(I$2,'Data_SA'!$A:$A,0),MATCH($E76,'Data_SA'!$1:$1,0))/INDEX('Data_SA'!$A:$LO,MATCH(EDATE(I$2,-1),'Data_SA'!$A:$A,0),MATCH($E76,'Data_SA'!$1:$1,0))-1,""))</f>
        <v/>
      </c>
      <c r="L76" s="7">
        <f>IFERROR(INDEX('Data_NSA'!$A:$OK,MATCH(I$2,'Data_NSA'!$A:$A,0),MATCH($D76,'Data_NSA'!$1:$1,0))/INDEX('Data_NSA'!$A:$OK,MATCH(EDATE(I$2,-12),'Data_NSA'!$A:$A,0),MATCH($D76,'Data_NSA'!$1:$1,0))-1,"")</f>
        <v/>
      </c>
      <c r="M76" s="10">
        <f>IFERROR(INDEX('Weights'!$G:$I,MATCH($A76,'Weights'!$A:$A,0),MATCH(I$2,'Weights'!$G$1:$I$1,0)),"")</f>
        <v/>
      </c>
      <c r="N76" s="10">
        <f>IF($E76="","",IFERROR(100*(INDEX('Weights'!$D:$D,MATCH($A76,'Weights'!$A:$A,0))*(INDEX('Data_NSA'!$A:$OK,MATCH(EDATE(I$2,-1),'Data_NSA'!$A:$A,0),MATCH($D76,'Data_NSA'!$1:$1,0))/INDEX('Data_NSA'!$A:$OK,MATCH(INDEX('Weights'!$E:$E,MATCH($A76,'Weights'!$A:$A,0)),'Data_NSA'!$A:$A,0),MATCH($D76,'Data_NSA'!$1:$1,0))))/(100*(INDEX('Data_NSA'!$A:$OK,MATCH(EDATE(I$2,-1),'Data_NSA'!$A:$A,0),MATCH("CUUR0000SA0",'Data_NSA'!$1:$1,0))/INDEX('Data_NSA'!$A:$OK,MATCH(INDEX('Weights'!$E:$E,MATCH($A76,'Weights'!$A:$A,0)),'Data_NSA'!$A:$A,0),MATCH("CUUR0000SA0",'Data_NSA'!$1:$1,0))))*(INDEX('Data_SA'!$A:$LO,MATCH(I$2,'Data_SA'!$A:$A,0),MATCH($E76,'Data_SA'!$1:$1,0))/INDEX('Data_SA'!$A:$LO,MATCH(EDATE(I$2,-1),'Data_SA'!$A:$A,0),MATCH($E76,'Data_SA'!$1:$1,0))-1),""))</f>
        <v/>
      </c>
      <c r="O76" s="10">
        <f>IFERROR(INDEX('Data_NSA'!$A:$OK,MATCH(O$2,'Data_NSA'!$A:$A,0),MATCH($D76,'Data_NSA'!$1:$1,0)),"")</f>
        <v/>
      </c>
      <c r="P76" s="10">
        <f>IF($E76="","",IFERROR(INDEX('Data_SA'!$A:$LO,MATCH(O$2,'Data_SA'!$A:$A,0),MATCH($E76,'Data_SA'!$1:$1,0)),""))</f>
        <v/>
      </c>
      <c r="Q76" s="7">
        <f>IF($E76="","",IFERROR(INDEX('Data_SA'!$A:$LO,MATCH(O$2,'Data_SA'!$A:$A,0),MATCH($E76,'Data_SA'!$1:$1,0))/INDEX('Data_SA'!$A:$LO,MATCH(EDATE(O$2,-1),'Data_SA'!$A:$A,0),MATCH($E76,'Data_SA'!$1:$1,0))-1,""))</f>
        <v/>
      </c>
      <c r="R76" s="7">
        <f>IFERROR(INDEX('Data_NSA'!$A:$OK,MATCH(O$2,'Data_NSA'!$A:$A,0),MATCH($D76,'Data_NSA'!$1:$1,0))/INDEX('Data_NSA'!$A:$OK,MATCH(EDATE(O$2,-12),'Data_NSA'!$A:$A,0),MATCH($D76,'Data_NSA'!$1:$1,0))-1,"")</f>
        <v/>
      </c>
      <c r="S76" s="10">
        <f>IFERROR(INDEX('Weights'!$G:$I,MATCH($A76,'Weights'!$A:$A,0),MATCH(O$2,'Weights'!$G$1:$I$1,0)),"")</f>
        <v/>
      </c>
      <c r="T76" s="10">
        <f>IF($E76="","",IFERROR(100*(INDEX('Weights'!$D:$D,MATCH($A76,'Weights'!$A:$A,0))*(INDEX('Data_NSA'!$A:$OK,MATCH(EDATE(O$2,-1),'Data_NSA'!$A:$A,0),MATCH($D76,'Data_NSA'!$1:$1,0))/INDEX('Data_NSA'!$A:$OK,MATCH(INDEX('Weights'!$E:$E,MATCH($A76,'Weights'!$A:$A,0)),'Data_NSA'!$A:$A,0),MATCH($D76,'Data_NSA'!$1:$1,0))))/(100*(INDEX('Data_NSA'!$A:$OK,MATCH(EDATE(O$2,-1),'Data_NSA'!$A:$A,0),MATCH("CUUR0000SA0",'Data_NSA'!$1:$1,0))/INDEX('Data_NSA'!$A:$OK,MATCH(INDEX('Weights'!$E:$E,MATCH($A76,'Weights'!$A:$A,0)),'Data_NSA'!$A:$A,0),MATCH("CUUR0000SA0",'Data_NSA'!$1:$1,0))))*(INDEX('Data_SA'!$A:$LO,MATCH(O$2,'Data_SA'!$A:$A,0),MATCH($E76,'Data_SA'!$1:$1,0))/INDEX('Data_SA'!$A:$LO,MATCH(EDATE(O$2,-1),'Data_SA'!$A:$A,0),MATCH($E76,'Data_SA'!$1:$1,0))-1),""))</f>
        <v/>
      </c>
      <c r="U76" s="10">
        <f>IFERROR(INDEX('Data_NSA'!$A:$OK,MATCH(U$2,'Data_NSA'!$A:$A,0),MATCH($D76,'Data_NSA'!$1:$1,0)),"")</f>
        <v/>
      </c>
      <c r="V76" s="10">
        <f>IF($E76="","",IFERROR(INDEX('Data_SA'!$A:$LO,MATCH(U$2,'Data_SA'!$A:$A,0),MATCH($E76,'Data_SA'!$1:$1,0)),""))</f>
        <v/>
      </c>
      <c r="W76" s="7">
        <f>IF($E76="","",IFERROR(INDEX('Data_SA'!$A:$LO,MATCH(U$2,'Data_SA'!$A:$A,0),MATCH($E76,'Data_SA'!$1:$1,0))/INDEX('Data_SA'!$A:$LO,MATCH(EDATE(U$2,-1),'Data_SA'!$A:$A,0),MATCH($E76,'Data_SA'!$1:$1,0))-1,""))</f>
        <v/>
      </c>
      <c r="X76" s="7">
        <f>IFERROR(INDEX('Data_NSA'!$A:$OK,MATCH(U$2,'Data_NSA'!$A:$A,0),MATCH($D76,'Data_NSA'!$1:$1,0))/INDEX('Data_NSA'!$A:$OK,MATCH(EDATE(U$2,-12),'Data_NSA'!$A:$A,0),MATCH($D76,'Data_NSA'!$1:$1,0))-1,"")</f>
        <v/>
      </c>
      <c r="Y76" s="10">
        <f>IFERROR(INDEX('Weights'!$G:$I,MATCH($A76,'Weights'!$A:$A,0),MATCH(U$2,'Weights'!$G$1:$I$1,0)),"")</f>
        <v/>
      </c>
      <c r="Z76" s="10">
        <f>IF($E76="","",IFERROR(100*(INDEX('Weights'!$D:$D,MATCH($A76,'Weights'!$A:$A,0))*(INDEX('Data_NSA'!$A:$OK,MATCH(EDATE(U$2,-1),'Data_NSA'!$A:$A,0),MATCH($D76,'Data_NSA'!$1:$1,0))/INDEX('Data_NSA'!$A:$OK,MATCH(INDEX('Weights'!$E:$E,MATCH($A76,'Weights'!$A:$A,0)),'Data_NSA'!$A:$A,0),MATCH($D76,'Data_NSA'!$1:$1,0))))/(100*(INDEX('Data_NSA'!$A:$OK,MATCH(EDATE(U$2,-1),'Data_NSA'!$A:$A,0),MATCH("CUUR0000SA0",'Data_NSA'!$1:$1,0))/INDEX('Data_NSA'!$A:$OK,MATCH(INDEX('Weights'!$E:$E,MATCH($A76,'Weights'!$A:$A,0)),'Data_NSA'!$A:$A,0),MATCH("CUUR0000SA0",'Data_NSA'!$1:$1,0))))*(INDEX('Data_SA'!$A:$LO,MATCH(U$2,'Data_SA'!$A:$A,0),MATCH($E76,'Data_SA'!$1:$1,0))/INDEX('Data_SA'!$A:$LO,MATCH(EDATE(U$2,-1),'Data_SA'!$A:$A,0),MATCH($E76,'Data_SA'!$1:$1,0))-1),""))</f>
        <v/>
      </c>
    </row>
    <row r="77">
      <c r="A77" s="3" t="inlineStr">
        <is>
          <t>SEFL03</t>
        </is>
      </c>
      <c r="B77" s="3" t="inlineStr">
        <is>
          <t>Tomatoes</t>
        </is>
      </c>
      <c r="C77" s="3" t="inlineStr">
        <is>
          <t>SEFL</t>
        </is>
      </c>
      <c r="D77" s="3" t="inlineStr">
        <is>
          <t>CUUR0000SEFL03</t>
        </is>
      </c>
      <c r="E77" s="3" t="inlineStr">
        <is>
          <t>CUSR0000SEFL03</t>
        </is>
      </c>
      <c r="F77" s="3" t="inlineStr">
        <is>
          <t>GM</t>
        </is>
      </c>
      <c r="G77" s="3" t="inlineStr">
        <is>
          <t>monthly food collection where sampled</t>
        </is>
      </c>
      <c r="H77" s="10">
        <f>IFERROR(INDEX(Weights!$D:$D,MATCH($A77,Weights!$A:$A,0)),"")</f>
        <v/>
      </c>
      <c r="I77" s="10">
        <f>IFERROR(INDEX('Data_NSA'!$A:$OK,MATCH(I$2,'Data_NSA'!$A:$A,0),MATCH($D77,'Data_NSA'!$1:$1,0)),"")</f>
        <v/>
      </c>
      <c r="J77" s="10">
        <f>IF($E77="","",IFERROR(INDEX('Data_SA'!$A:$LO,MATCH(I$2,'Data_SA'!$A:$A,0),MATCH($E77,'Data_SA'!$1:$1,0)),""))</f>
        <v/>
      </c>
      <c r="K77" s="7">
        <f>IF($E77="","",IFERROR(INDEX('Data_SA'!$A:$LO,MATCH(I$2,'Data_SA'!$A:$A,0),MATCH($E77,'Data_SA'!$1:$1,0))/INDEX('Data_SA'!$A:$LO,MATCH(EDATE(I$2,-1),'Data_SA'!$A:$A,0),MATCH($E77,'Data_SA'!$1:$1,0))-1,""))</f>
        <v/>
      </c>
      <c r="L77" s="7">
        <f>IFERROR(INDEX('Data_NSA'!$A:$OK,MATCH(I$2,'Data_NSA'!$A:$A,0),MATCH($D77,'Data_NSA'!$1:$1,0))/INDEX('Data_NSA'!$A:$OK,MATCH(EDATE(I$2,-12),'Data_NSA'!$A:$A,0),MATCH($D77,'Data_NSA'!$1:$1,0))-1,"")</f>
        <v/>
      </c>
      <c r="M77" s="10">
        <f>IFERROR(INDEX('Weights'!$G:$I,MATCH($A77,'Weights'!$A:$A,0),MATCH(I$2,'Weights'!$G$1:$I$1,0)),"")</f>
        <v/>
      </c>
      <c r="N77" s="10">
        <f>IF($E77="","",IFERROR(100*(INDEX('Weights'!$D:$D,MATCH($A77,'Weights'!$A:$A,0))*(INDEX('Data_NSA'!$A:$OK,MATCH(EDATE(I$2,-1),'Data_NSA'!$A:$A,0),MATCH($D77,'Data_NSA'!$1:$1,0))/INDEX('Data_NSA'!$A:$OK,MATCH(INDEX('Weights'!$E:$E,MATCH($A77,'Weights'!$A:$A,0)),'Data_NSA'!$A:$A,0),MATCH($D77,'Data_NSA'!$1:$1,0))))/(100*(INDEX('Data_NSA'!$A:$OK,MATCH(EDATE(I$2,-1),'Data_NSA'!$A:$A,0),MATCH("CUUR0000SA0",'Data_NSA'!$1:$1,0))/INDEX('Data_NSA'!$A:$OK,MATCH(INDEX('Weights'!$E:$E,MATCH($A77,'Weights'!$A:$A,0)),'Data_NSA'!$A:$A,0),MATCH("CUUR0000SA0",'Data_NSA'!$1:$1,0))))*(INDEX('Data_SA'!$A:$LO,MATCH(I$2,'Data_SA'!$A:$A,0),MATCH($E77,'Data_SA'!$1:$1,0))/INDEX('Data_SA'!$A:$LO,MATCH(EDATE(I$2,-1),'Data_SA'!$A:$A,0),MATCH($E77,'Data_SA'!$1:$1,0))-1),""))</f>
        <v/>
      </c>
      <c r="O77" s="10">
        <f>IFERROR(INDEX('Data_NSA'!$A:$OK,MATCH(O$2,'Data_NSA'!$A:$A,0),MATCH($D77,'Data_NSA'!$1:$1,0)),"")</f>
        <v/>
      </c>
      <c r="P77" s="10">
        <f>IF($E77="","",IFERROR(INDEX('Data_SA'!$A:$LO,MATCH(O$2,'Data_SA'!$A:$A,0),MATCH($E77,'Data_SA'!$1:$1,0)),""))</f>
        <v/>
      </c>
      <c r="Q77" s="7">
        <f>IF($E77="","",IFERROR(INDEX('Data_SA'!$A:$LO,MATCH(O$2,'Data_SA'!$A:$A,0),MATCH($E77,'Data_SA'!$1:$1,0))/INDEX('Data_SA'!$A:$LO,MATCH(EDATE(O$2,-1),'Data_SA'!$A:$A,0),MATCH($E77,'Data_SA'!$1:$1,0))-1,""))</f>
        <v/>
      </c>
      <c r="R77" s="7">
        <f>IFERROR(INDEX('Data_NSA'!$A:$OK,MATCH(O$2,'Data_NSA'!$A:$A,0),MATCH($D77,'Data_NSA'!$1:$1,0))/INDEX('Data_NSA'!$A:$OK,MATCH(EDATE(O$2,-12),'Data_NSA'!$A:$A,0),MATCH($D77,'Data_NSA'!$1:$1,0))-1,"")</f>
        <v/>
      </c>
      <c r="S77" s="10">
        <f>IFERROR(INDEX('Weights'!$G:$I,MATCH($A77,'Weights'!$A:$A,0),MATCH(O$2,'Weights'!$G$1:$I$1,0)),"")</f>
        <v/>
      </c>
      <c r="T77" s="10">
        <f>IF($E77="","",IFERROR(100*(INDEX('Weights'!$D:$D,MATCH($A77,'Weights'!$A:$A,0))*(INDEX('Data_NSA'!$A:$OK,MATCH(EDATE(O$2,-1),'Data_NSA'!$A:$A,0),MATCH($D77,'Data_NSA'!$1:$1,0))/INDEX('Data_NSA'!$A:$OK,MATCH(INDEX('Weights'!$E:$E,MATCH($A77,'Weights'!$A:$A,0)),'Data_NSA'!$A:$A,0),MATCH($D77,'Data_NSA'!$1:$1,0))))/(100*(INDEX('Data_NSA'!$A:$OK,MATCH(EDATE(O$2,-1),'Data_NSA'!$A:$A,0),MATCH("CUUR0000SA0",'Data_NSA'!$1:$1,0))/INDEX('Data_NSA'!$A:$OK,MATCH(INDEX('Weights'!$E:$E,MATCH($A77,'Weights'!$A:$A,0)),'Data_NSA'!$A:$A,0),MATCH("CUUR0000SA0",'Data_NSA'!$1:$1,0))))*(INDEX('Data_SA'!$A:$LO,MATCH(O$2,'Data_SA'!$A:$A,0),MATCH($E77,'Data_SA'!$1:$1,0))/INDEX('Data_SA'!$A:$LO,MATCH(EDATE(O$2,-1),'Data_SA'!$A:$A,0),MATCH($E77,'Data_SA'!$1:$1,0))-1),""))</f>
        <v/>
      </c>
      <c r="U77" s="10">
        <f>IFERROR(INDEX('Data_NSA'!$A:$OK,MATCH(U$2,'Data_NSA'!$A:$A,0),MATCH($D77,'Data_NSA'!$1:$1,0)),"")</f>
        <v/>
      </c>
      <c r="V77" s="10">
        <f>IF($E77="","",IFERROR(INDEX('Data_SA'!$A:$LO,MATCH(U$2,'Data_SA'!$A:$A,0),MATCH($E77,'Data_SA'!$1:$1,0)),""))</f>
        <v/>
      </c>
      <c r="W77" s="7">
        <f>IF($E77="","",IFERROR(INDEX('Data_SA'!$A:$LO,MATCH(U$2,'Data_SA'!$A:$A,0),MATCH($E77,'Data_SA'!$1:$1,0))/INDEX('Data_SA'!$A:$LO,MATCH(EDATE(U$2,-1),'Data_SA'!$A:$A,0),MATCH($E77,'Data_SA'!$1:$1,0))-1,""))</f>
        <v/>
      </c>
      <c r="X77" s="7">
        <f>IFERROR(INDEX('Data_NSA'!$A:$OK,MATCH(U$2,'Data_NSA'!$A:$A,0),MATCH($D77,'Data_NSA'!$1:$1,0))/INDEX('Data_NSA'!$A:$OK,MATCH(EDATE(U$2,-12),'Data_NSA'!$A:$A,0),MATCH($D77,'Data_NSA'!$1:$1,0))-1,"")</f>
        <v/>
      </c>
      <c r="Y77" s="10">
        <f>IFERROR(INDEX('Weights'!$G:$I,MATCH($A77,'Weights'!$A:$A,0),MATCH(U$2,'Weights'!$G$1:$I$1,0)),"")</f>
        <v/>
      </c>
      <c r="Z77" s="10">
        <f>IF($E77="","",IFERROR(100*(INDEX('Weights'!$D:$D,MATCH($A77,'Weights'!$A:$A,0))*(INDEX('Data_NSA'!$A:$OK,MATCH(EDATE(U$2,-1),'Data_NSA'!$A:$A,0),MATCH($D77,'Data_NSA'!$1:$1,0))/INDEX('Data_NSA'!$A:$OK,MATCH(INDEX('Weights'!$E:$E,MATCH($A77,'Weights'!$A:$A,0)),'Data_NSA'!$A:$A,0),MATCH($D77,'Data_NSA'!$1:$1,0))))/(100*(INDEX('Data_NSA'!$A:$OK,MATCH(EDATE(U$2,-1),'Data_NSA'!$A:$A,0),MATCH("CUUR0000SA0",'Data_NSA'!$1:$1,0))/INDEX('Data_NSA'!$A:$OK,MATCH(INDEX('Weights'!$E:$E,MATCH($A77,'Weights'!$A:$A,0)),'Data_NSA'!$A:$A,0),MATCH("CUUR0000SA0",'Data_NSA'!$1:$1,0))))*(INDEX('Data_SA'!$A:$LO,MATCH(U$2,'Data_SA'!$A:$A,0),MATCH($E77,'Data_SA'!$1:$1,0))/INDEX('Data_SA'!$A:$LO,MATCH(EDATE(U$2,-1),'Data_SA'!$A:$A,0),MATCH($E77,'Data_SA'!$1:$1,0))-1),""))</f>
        <v/>
      </c>
    </row>
    <row r="78">
      <c r="A78" s="3" t="inlineStr">
        <is>
          <t>SEFL04</t>
        </is>
      </c>
      <c r="B78" s="3" t="inlineStr">
        <is>
          <t>Other fresh vegetables</t>
        </is>
      </c>
      <c r="C78" s="3" t="inlineStr">
        <is>
          <t>SEFL</t>
        </is>
      </c>
      <c r="D78" s="3" t="inlineStr">
        <is>
          <t>CUUR0000SEFL04</t>
        </is>
      </c>
      <c r="E78" s="3" t="inlineStr">
        <is>
          <t>CUSR0000SEFL04</t>
        </is>
      </c>
      <c r="F78" s="3" t="inlineStr">
        <is>
          <t>GM</t>
        </is>
      </c>
      <c r="G78" s="3" t="inlineStr">
        <is>
          <t>monthly food collection where sampled</t>
        </is>
      </c>
      <c r="H78" s="10">
        <f>IFERROR(INDEX(Weights!$D:$D,MATCH($A78,Weights!$A:$A,0)),"")</f>
        <v/>
      </c>
      <c r="I78" s="10">
        <f>IFERROR(INDEX('Data_NSA'!$A:$OK,MATCH(I$2,'Data_NSA'!$A:$A,0),MATCH($D78,'Data_NSA'!$1:$1,0)),"")</f>
        <v/>
      </c>
      <c r="J78" s="10">
        <f>IF($E78="","",IFERROR(INDEX('Data_SA'!$A:$LO,MATCH(I$2,'Data_SA'!$A:$A,0),MATCH($E78,'Data_SA'!$1:$1,0)),""))</f>
        <v/>
      </c>
      <c r="K78" s="7">
        <f>IF($E78="","",IFERROR(INDEX('Data_SA'!$A:$LO,MATCH(I$2,'Data_SA'!$A:$A,0),MATCH($E78,'Data_SA'!$1:$1,0))/INDEX('Data_SA'!$A:$LO,MATCH(EDATE(I$2,-1),'Data_SA'!$A:$A,0),MATCH($E78,'Data_SA'!$1:$1,0))-1,""))</f>
        <v/>
      </c>
      <c r="L78" s="7">
        <f>IFERROR(INDEX('Data_NSA'!$A:$OK,MATCH(I$2,'Data_NSA'!$A:$A,0),MATCH($D78,'Data_NSA'!$1:$1,0))/INDEX('Data_NSA'!$A:$OK,MATCH(EDATE(I$2,-12),'Data_NSA'!$A:$A,0),MATCH($D78,'Data_NSA'!$1:$1,0))-1,"")</f>
        <v/>
      </c>
      <c r="M78" s="10">
        <f>IFERROR(INDEX('Weights'!$G:$I,MATCH($A78,'Weights'!$A:$A,0),MATCH(I$2,'Weights'!$G$1:$I$1,0)),"")</f>
        <v/>
      </c>
      <c r="N78" s="10">
        <f>IF($E78="","",IFERROR(100*(INDEX('Weights'!$D:$D,MATCH($A78,'Weights'!$A:$A,0))*(INDEX('Data_NSA'!$A:$OK,MATCH(EDATE(I$2,-1),'Data_NSA'!$A:$A,0),MATCH($D78,'Data_NSA'!$1:$1,0))/INDEX('Data_NSA'!$A:$OK,MATCH(INDEX('Weights'!$E:$E,MATCH($A78,'Weights'!$A:$A,0)),'Data_NSA'!$A:$A,0),MATCH($D78,'Data_NSA'!$1:$1,0))))/(100*(INDEX('Data_NSA'!$A:$OK,MATCH(EDATE(I$2,-1),'Data_NSA'!$A:$A,0),MATCH("CUUR0000SA0",'Data_NSA'!$1:$1,0))/INDEX('Data_NSA'!$A:$OK,MATCH(INDEX('Weights'!$E:$E,MATCH($A78,'Weights'!$A:$A,0)),'Data_NSA'!$A:$A,0),MATCH("CUUR0000SA0",'Data_NSA'!$1:$1,0))))*(INDEX('Data_SA'!$A:$LO,MATCH(I$2,'Data_SA'!$A:$A,0),MATCH($E78,'Data_SA'!$1:$1,0))/INDEX('Data_SA'!$A:$LO,MATCH(EDATE(I$2,-1),'Data_SA'!$A:$A,0),MATCH($E78,'Data_SA'!$1:$1,0))-1),""))</f>
        <v/>
      </c>
      <c r="O78" s="10">
        <f>IFERROR(INDEX('Data_NSA'!$A:$OK,MATCH(O$2,'Data_NSA'!$A:$A,0),MATCH($D78,'Data_NSA'!$1:$1,0)),"")</f>
        <v/>
      </c>
      <c r="P78" s="10">
        <f>IF($E78="","",IFERROR(INDEX('Data_SA'!$A:$LO,MATCH(O$2,'Data_SA'!$A:$A,0),MATCH($E78,'Data_SA'!$1:$1,0)),""))</f>
        <v/>
      </c>
      <c r="Q78" s="7">
        <f>IF($E78="","",IFERROR(INDEX('Data_SA'!$A:$LO,MATCH(O$2,'Data_SA'!$A:$A,0),MATCH($E78,'Data_SA'!$1:$1,0))/INDEX('Data_SA'!$A:$LO,MATCH(EDATE(O$2,-1),'Data_SA'!$A:$A,0),MATCH($E78,'Data_SA'!$1:$1,0))-1,""))</f>
        <v/>
      </c>
      <c r="R78" s="7">
        <f>IFERROR(INDEX('Data_NSA'!$A:$OK,MATCH(O$2,'Data_NSA'!$A:$A,0),MATCH($D78,'Data_NSA'!$1:$1,0))/INDEX('Data_NSA'!$A:$OK,MATCH(EDATE(O$2,-12),'Data_NSA'!$A:$A,0),MATCH($D78,'Data_NSA'!$1:$1,0))-1,"")</f>
        <v/>
      </c>
      <c r="S78" s="10">
        <f>IFERROR(INDEX('Weights'!$G:$I,MATCH($A78,'Weights'!$A:$A,0),MATCH(O$2,'Weights'!$G$1:$I$1,0)),"")</f>
        <v/>
      </c>
      <c r="T78" s="10">
        <f>IF($E78="","",IFERROR(100*(INDEX('Weights'!$D:$D,MATCH($A78,'Weights'!$A:$A,0))*(INDEX('Data_NSA'!$A:$OK,MATCH(EDATE(O$2,-1),'Data_NSA'!$A:$A,0),MATCH($D78,'Data_NSA'!$1:$1,0))/INDEX('Data_NSA'!$A:$OK,MATCH(INDEX('Weights'!$E:$E,MATCH($A78,'Weights'!$A:$A,0)),'Data_NSA'!$A:$A,0),MATCH($D78,'Data_NSA'!$1:$1,0))))/(100*(INDEX('Data_NSA'!$A:$OK,MATCH(EDATE(O$2,-1),'Data_NSA'!$A:$A,0),MATCH("CUUR0000SA0",'Data_NSA'!$1:$1,0))/INDEX('Data_NSA'!$A:$OK,MATCH(INDEX('Weights'!$E:$E,MATCH($A78,'Weights'!$A:$A,0)),'Data_NSA'!$A:$A,0),MATCH("CUUR0000SA0",'Data_NSA'!$1:$1,0))))*(INDEX('Data_SA'!$A:$LO,MATCH(O$2,'Data_SA'!$A:$A,0),MATCH($E78,'Data_SA'!$1:$1,0))/INDEX('Data_SA'!$A:$LO,MATCH(EDATE(O$2,-1),'Data_SA'!$A:$A,0),MATCH($E78,'Data_SA'!$1:$1,0))-1),""))</f>
        <v/>
      </c>
      <c r="U78" s="10">
        <f>IFERROR(INDEX('Data_NSA'!$A:$OK,MATCH(U$2,'Data_NSA'!$A:$A,0),MATCH($D78,'Data_NSA'!$1:$1,0)),"")</f>
        <v/>
      </c>
      <c r="V78" s="10">
        <f>IF($E78="","",IFERROR(INDEX('Data_SA'!$A:$LO,MATCH(U$2,'Data_SA'!$A:$A,0),MATCH($E78,'Data_SA'!$1:$1,0)),""))</f>
        <v/>
      </c>
      <c r="W78" s="7">
        <f>IF($E78="","",IFERROR(INDEX('Data_SA'!$A:$LO,MATCH(U$2,'Data_SA'!$A:$A,0),MATCH($E78,'Data_SA'!$1:$1,0))/INDEX('Data_SA'!$A:$LO,MATCH(EDATE(U$2,-1),'Data_SA'!$A:$A,0),MATCH($E78,'Data_SA'!$1:$1,0))-1,""))</f>
        <v/>
      </c>
      <c r="X78" s="7">
        <f>IFERROR(INDEX('Data_NSA'!$A:$OK,MATCH(U$2,'Data_NSA'!$A:$A,0),MATCH($D78,'Data_NSA'!$1:$1,0))/INDEX('Data_NSA'!$A:$OK,MATCH(EDATE(U$2,-12),'Data_NSA'!$A:$A,0),MATCH($D78,'Data_NSA'!$1:$1,0))-1,"")</f>
        <v/>
      </c>
      <c r="Y78" s="10">
        <f>IFERROR(INDEX('Weights'!$G:$I,MATCH($A78,'Weights'!$A:$A,0),MATCH(U$2,'Weights'!$G$1:$I$1,0)),"")</f>
        <v/>
      </c>
      <c r="Z78" s="10">
        <f>IF($E78="","",IFERROR(100*(INDEX('Weights'!$D:$D,MATCH($A78,'Weights'!$A:$A,0))*(INDEX('Data_NSA'!$A:$OK,MATCH(EDATE(U$2,-1),'Data_NSA'!$A:$A,0),MATCH($D78,'Data_NSA'!$1:$1,0))/INDEX('Data_NSA'!$A:$OK,MATCH(INDEX('Weights'!$E:$E,MATCH($A78,'Weights'!$A:$A,0)),'Data_NSA'!$A:$A,0),MATCH($D78,'Data_NSA'!$1:$1,0))))/(100*(INDEX('Data_NSA'!$A:$OK,MATCH(EDATE(U$2,-1),'Data_NSA'!$A:$A,0),MATCH("CUUR0000SA0",'Data_NSA'!$1:$1,0))/INDEX('Data_NSA'!$A:$OK,MATCH(INDEX('Weights'!$E:$E,MATCH($A78,'Weights'!$A:$A,0)),'Data_NSA'!$A:$A,0),MATCH("CUUR0000SA0",'Data_NSA'!$1:$1,0))))*(INDEX('Data_SA'!$A:$LO,MATCH(U$2,'Data_SA'!$A:$A,0),MATCH($E78,'Data_SA'!$1:$1,0))/INDEX('Data_SA'!$A:$LO,MATCH(EDATE(U$2,-1),'Data_SA'!$A:$A,0),MATCH($E78,'Data_SA'!$1:$1,0))-1),""))</f>
        <v/>
      </c>
    </row>
    <row r="79">
      <c r="A79" s="3" t="inlineStr">
        <is>
          <t>SEFM</t>
        </is>
      </c>
      <c r="B79" s="3" t="inlineStr">
        <is>
          <t>Processed fruits and vegetables</t>
        </is>
      </c>
      <c r="C79" s="3" t="inlineStr">
        <is>
          <t>SAF113</t>
        </is>
      </c>
      <c r="D79" s="3" t="inlineStr">
        <is>
          <t>CUUR0000SEFM</t>
        </is>
      </c>
      <c r="E79" s="3" t="inlineStr">
        <is>
          <t>CUSR0000SEFM</t>
        </is>
      </c>
      <c r="F79" s="3" t="inlineStr">
        <is>
          <t>aggregate</t>
        </is>
      </c>
      <c r="G79" s="3" t="inlineStr">
        <is>
          <t>aggregate</t>
        </is>
      </c>
      <c r="H79" s="10">
        <f>IFERROR(INDEX(Weights!$D:$D,MATCH($A79,Weights!$A:$A,0)),"")</f>
        <v/>
      </c>
      <c r="I79" s="10">
        <f>IFERROR(INDEX('Data_NSA'!$A:$OK,MATCH(I$2,'Data_NSA'!$A:$A,0),MATCH($D79,'Data_NSA'!$1:$1,0)),"")</f>
        <v/>
      </c>
      <c r="J79" s="10">
        <f>IF($E79="","",IFERROR(INDEX('Data_SA'!$A:$LO,MATCH(I$2,'Data_SA'!$A:$A,0),MATCH($E79,'Data_SA'!$1:$1,0)),""))</f>
        <v/>
      </c>
      <c r="K79" s="7">
        <f>IF($E79="","",IFERROR(INDEX('Data_SA'!$A:$LO,MATCH(I$2,'Data_SA'!$A:$A,0),MATCH($E79,'Data_SA'!$1:$1,0))/INDEX('Data_SA'!$A:$LO,MATCH(EDATE(I$2,-1),'Data_SA'!$A:$A,0),MATCH($E79,'Data_SA'!$1:$1,0))-1,""))</f>
        <v/>
      </c>
      <c r="L79" s="7">
        <f>IFERROR(INDEX('Data_NSA'!$A:$OK,MATCH(I$2,'Data_NSA'!$A:$A,0),MATCH($D79,'Data_NSA'!$1:$1,0))/INDEX('Data_NSA'!$A:$OK,MATCH(EDATE(I$2,-12),'Data_NSA'!$A:$A,0),MATCH($D79,'Data_NSA'!$1:$1,0))-1,"")</f>
        <v/>
      </c>
      <c r="M79" s="10">
        <f>IFERROR(INDEX('Weights'!$G:$I,MATCH($A79,'Weights'!$A:$A,0),MATCH(I$2,'Weights'!$G$1:$I$1,0)),"")</f>
        <v/>
      </c>
      <c r="N79" s="10">
        <f>IF($E79="","",IFERROR(100*(INDEX('Weights'!$D:$D,MATCH($A79,'Weights'!$A:$A,0))*(INDEX('Data_NSA'!$A:$OK,MATCH(EDATE(I$2,-1),'Data_NSA'!$A:$A,0),MATCH($D79,'Data_NSA'!$1:$1,0))/INDEX('Data_NSA'!$A:$OK,MATCH(INDEX('Weights'!$E:$E,MATCH($A79,'Weights'!$A:$A,0)),'Data_NSA'!$A:$A,0),MATCH($D79,'Data_NSA'!$1:$1,0))))/(100*(INDEX('Data_NSA'!$A:$OK,MATCH(EDATE(I$2,-1),'Data_NSA'!$A:$A,0),MATCH("CUUR0000SA0",'Data_NSA'!$1:$1,0))/INDEX('Data_NSA'!$A:$OK,MATCH(INDEX('Weights'!$E:$E,MATCH($A79,'Weights'!$A:$A,0)),'Data_NSA'!$A:$A,0),MATCH("CUUR0000SA0",'Data_NSA'!$1:$1,0))))*(INDEX('Data_SA'!$A:$LO,MATCH(I$2,'Data_SA'!$A:$A,0),MATCH($E79,'Data_SA'!$1:$1,0))/INDEX('Data_SA'!$A:$LO,MATCH(EDATE(I$2,-1),'Data_SA'!$A:$A,0),MATCH($E79,'Data_SA'!$1:$1,0))-1),""))</f>
        <v/>
      </c>
      <c r="O79" s="10">
        <f>IFERROR(INDEX('Data_NSA'!$A:$OK,MATCH(O$2,'Data_NSA'!$A:$A,0),MATCH($D79,'Data_NSA'!$1:$1,0)),"")</f>
        <v/>
      </c>
      <c r="P79" s="10">
        <f>IF($E79="","",IFERROR(INDEX('Data_SA'!$A:$LO,MATCH(O$2,'Data_SA'!$A:$A,0),MATCH($E79,'Data_SA'!$1:$1,0)),""))</f>
        <v/>
      </c>
      <c r="Q79" s="7">
        <f>IF($E79="","",IFERROR(INDEX('Data_SA'!$A:$LO,MATCH(O$2,'Data_SA'!$A:$A,0),MATCH($E79,'Data_SA'!$1:$1,0))/INDEX('Data_SA'!$A:$LO,MATCH(EDATE(O$2,-1),'Data_SA'!$A:$A,0),MATCH($E79,'Data_SA'!$1:$1,0))-1,""))</f>
        <v/>
      </c>
      <c r="R79" s="7">
        <f>IFERROR(INDEX('Data_NSA'!$A:$OK,MATCH(O$2,'Data_NSA'!$A:$A,0),MATCH($D79,'Data_NSA'!$1:$1,0))/INDEX('Data_NSA'!$A:$OK,MATCH(EDATE(O$2,-12),'Data_NSA'!$A:$A,0),MATCH($D79,'Data_NSA'!$1:$1,0))-1,"")</f>
        <v/>
      </c>
      <c r="S79" s="10">
        <f>IFERROR(INDEX('Weights'!$G:$I,MATCH($A79,'Weights'!$A:$A,0),MATCH(O$2,'Weights'!$G$1:$I$1,0)),"")</f>
        <v/>
      </c>
      <c r="T79" s="10">
        <f>IF($E79="","",IFERROR(100*(INDEX('Weights'!$D:$D,MATCH($A79,'Weights'!$A:$A,0))*(INDEX('Data_NSA'!$A:$OK,MATCH(EDATE(O$2,-1),'Data_NSA'!$A:$A,0),MATCH($D79,'Data_NSA'!$1:$1,0))/INDEX('Data_NSA'!$A:$OK,MATCH(INDEX('Weights'!$E:$E,MATCH($A79,'Weights'!$A:$A,0)),'Data_NSA'!$A:$A,0),MATCH($D79,'Data_NSA'!$1:$1,0))))/(100*(INDEX('Data_NSA'!$A:$OK,MATCH(EDATE(O$2,-1),'Data_NSA'!$A:$A,0),MATCH("CUUR0000SA0",'Data_NSA'!$1:$1,0))/INDEX('Data_NSA'!$A:$OK,MATCH(INDEX('Weights'!$E:$E,MATCH($A79,'Weights'!$A:$A,0)),'Data_NSA'!$A:$A,0),MATCH("CUUR0000SA0",'Data_NSA'!$1:$1,0))))*(INDEX('Data_SA'!$A:$LO,MATCH(O$2,'Data_SA'!$A:$A,0),MATCH($E79,'Data_SA'!$1:$1,0))/INDEX('Data_SA'!$A:$LO,MATCH(EDATE(O$2,-1),'Data_SA'!$A:$A,0),MATCH($E79,'Data_SA'!$1:$1,0))-1),""))</f>
        <v/>
      </c>
      <c r="U79" s="10">
        <f>IFERROR(INDEX('Data_NSA'!$A:$OK,MATCH(U$2,'Data_NSA'!$A:$A,0),MATCH($D79,'Data_NSA'!$1:$1,0)),"")</f>
        <v/>
      </c>
      <c r="V79" s="10">
        <f>IF($E79="","",IFERROR(INDEX('Data_SA'!$A:$LO,MATCH(U$2,'Data_SA'!$A:$A,0),MATCH($E79,'Data_SA'!$1:$1,0)),""))</f>
        <v/>
      </c>
      <c r="W79" s="7">
        <f>IF($E79="","",IFERROR(INDEX('Data_SA'!$A:$LO,MATCH(U$2,'Data_SA'!$A:$A,0),MATCH($E79,'Data_SA'!$1:$1,0))/INDEX('Data_SA'!$A:$LO,MATCH(EDATE(U$2,-1),'Data_SA'!$A:$A,0),MATCH($E79,'Data_SA'!$1:$1,0))-1,""))</f>
        <v/>
      </c>
      <c r="X79" s="7">
        <f>IFERROR(INDEX('Data_NSA'!$A:$OK,MATCH(U$2,'Data_NSA'!$A:$A,0),MATCH($D79,'Data_NSA'!$1:$1,0))/INDEX('Data_NSA'!$A:$OK,MATCH(EDATE(U$2,-12),'Data_NSA'!$A:$A,0),MATCH($D79,'Data_NSA'!$1:$1,0))-1,"")</f>
        <v/>
      </c>
      <c r="Y79" s="10">
        <f>IFERROR(INDEX('Weights'!$G:$I,MATCH($A79,'Weights'!$A:$A,0),MATCH(U$2,'Weights'!$G$1:$I$1,0)),"")</f>
        <v/>
      </c>
      <c r="Z79" s="10">
        <f>IF($E79="","",IFERROR(100*(INDEX('Weights'!$D:$D,MATCH($A79,'Weights'!$A:$A,0))*(INDEX('Data_NSA'!$A:$OK,MATCH(EDATE(U$2,-1),'Data_NSA'!$A:$A,0),MATCH($D79,'Data_NSA'!$1:$1,0))/INDEX('Data_NSA'!$A:$OK,MATCH(INDEX('Weights'!$E:$E,MATCH($A79,'Weights'!$A:$A,0)),'Data_NSA'!$A:$A,0),MATCH($D79,'Data_NSA'!$1:$1,0))))/(100*(INDEX('Data_NSA'!$A:$OK,MATCH(EDATE(U$2,-1),'Data_NSA'!$A:$A,0),MATCH("CUUR0000SA0",'Data_NSA'!$1:$1,0))/INDEX('Data_NSA'!$A:$OK,MATCH(INDEX('Weights'!$E:$E,MATCH($A79,'Weights'!$A:$A,0)),'Data_NSA'!$A:$A,0),MATCH("CUUR0000SA0",'Data_NSA'!$1:$1,0))))*(INDEX('Data_SA'!$A:$LO,MATCH(U$2,'Data_SA'!$A:$A,0),MATCH($E79,'Data_SA'!$1:$1,0))/INDEX('Data_SA'!$A:$LO,MATCH(EDATE(U$2,-1),'Data_SA'!$A:$A,0),MATCH($E79,'Data_SA'!$1:$1,0))-1),""))</f>
        <v/>
      </c>
    </row>
    <row r="80">
      <c r="A80" s="3" t="inlineStr">
        <is>
          <t>SEFM01</t>
        </is>
      </c>
      <c r="B80" s="3" t="inlineStr">
        <is>
          <t>Canned fruits and vegetables</t>
        </is>
      </c>
      <c r="C80" s="3" t="inlineStr">
        <is>
          <t>SEFM</t>
        </is>
      </c>
      <c r="D80" s="3" t="inlineStr">
        <is>
          <t>CUUR0000SEFM01</t>
        </is>
      </c>
      <c r="E80" s="3" t="inlineStr">
        <is>
          <t>CUSR0000SEFM01</t>
        </is>
      </c>
      <c r="F80" s="3" t="inlineStr">
        <is>
          <t>aggregate</t>
        </is>
      </c>
      <c r="G80" s="3" t="inlineStr">
        <is>
          <t>aggregate</t>
        </is>
      </c>
      <c r="H80" s="10">
        <f>IFERROR(INDEX(Weights!$D:$D,MATCH($A80,Weights!$A:$A,0)),"")</f>
        <v/>
      </c>
      <c r="I80" s="10">
        <f>IFERROR(INDEX('Data_NSA'!$A:$OK,MATCH(I$2,'Data_NSA'!$A:$A,0),MATCH($D80,'Data_NSA'!$1:$1,0)),"")</f>
        <v/>
      </c>
      <c r="J80" s="10">
        <f>IF($E80="","",IFERROR(INDEX('Data_SA'!$A:$LO,MATCH(I$2,'Data_SA'!$A:$A,0),MATCH($E80,'Data_SA'!$1:$1,0)),""))</f>
        <v/>
      </c>
      <c r="K80" s="7">
        <f>IF($E80="","",IFERROR(INDEX('Data_SA'!$A:$LO,MATCH(I$2,'Data_SA'!$A:$A,0),MATCH($E80,'Data_SA'!$1:$1,0))/INDEX('Data_SA'!$A:$LO,MATCH(EDATE(I$2,-1),'Data_SA'!$A:$A,0),MATCH($E80,'Data_SA'!$1:$1,0))-1,""))</f>
        <v/>
      </c>
      <c r="L80" s="7">
        <f>IFERROR(INDEX('Data_NSA'!$A:$OK,MATCH(I$2,'Data_NSA'!$A:$A,0),MATCH($D80,'Data_NSA'!$1:$1,0))/INDEX('Data_NSA'!$A:$OK,MATCH(EDATE(I$2,-12),'Data_NSA'!$A:$A,0),MATCH($D80,'Data_NSA'!$1:$1,0))-1,"")</f>
        <v/>
      </c>
      <c r="M80" s="10">
        <f>IFERROR(INDEX('Weights'!$G:$I,MATCH($A80,'Weights'!$A:$A,0),MATCH(I$2,'Weights'!$G$1:$I$1,0)),"")</f>
        <v/>
      </c>
      <c r="N80" s="10">
        <f>IF($E80="","",IFERROR(100*(INDEX('Weights'!$D:$D,MATCH($A80,'Weights'!$A:$A,0))*(INDEX('Data_NSA'!$A:$OK,MATCH(EDATE(I$2,-1),'Data_NSA'!$A:$A,0),MATCH($D80,'Data_NSA'!$1:$1,0))/INDEX('Data_NSA'!$A:$OK,MATCH(INDEX('Weights'!$E:$E,MATCH($A80,'Weights'!$A:$A,0)),'Data_NSA'!$A:$A,0),MATCH($D80,'Data_NSA'!$1:$1,0))))/(100*(INDEX('Data_NSA'!$A:$OK,MATCH(EDATE(I$2,-1),'Data_NSA'!$A:$A,0),MATCH("CUUR0000SA0",'Data_NSA'!$1:$1,0))/INDEX('Data_NSA'!$A:$OK,MATCH(INDEX('Weights'!$E:$E,MATCH($A80,'Weights'!$A:$A,0)),'Data_NSA'!$A:$A,0),MATCH("CUUR0000SA0",'Data_NSA'!$1:$1,0))))*(INDEX('Data_SA'!$A:$LO,MATCH(I$2,'Data_SA'!$A:$A,0),MATCH($E80,'Data_SA'!$1:$1,0))/INDEX('Data_SA'!$A:$LO,MATCH(EDATE(I$2,-1),'Data_SA'!$A:$A,0),MATCH($E80,'Data_SA'!$1:$1,0))-1),""))</f>
        <v/>
      </c>
      <c r="O80" s="10">
        <f>IFERROR(INDEX('Data_NSA'!$A:$OK,MATCH(O$2,'Data_NSA'!$A:$A,0),MATCH($D80,'Data_NSA'!$1:$1,0)),"")</f>
        <v/>
      </c>
      <c r="P80" s="10">
        <f>IF($E80="","",IFERROR(INDEX('Data_SA'!$A:$LO,MATCH(O$2,'Data_SA'!$A:$A,0),MATCH($E80,'Data_SA'!$1:$1,0)),""))</f>
        <v/>
      </c>
      <c r="Q80" s="7">
        <f>IF($E80="","",IFERROR(INDEX('Data_SA'!$A:$LO,MATCH(O$2,'Data_SA'!$A:$A,0),MATCH($E80,'Data_SA'!$1:$1,0))/INDEX('Data_SA'!$A:$LO,MATCH(EDATE(O$2,-1),'Data_SA'!$A:$A,0),MATCH($E80,'Data_SA'!$1:$1,0))-1,""))</f>
        <v/>
      </c>
      <c r="R80" s="7">
        <f>IFERROR(INDEX('Data_NSA'!$A:$OK,MATCH(O$2,'Data_NSA'!$A:$A,0),MATCH($D80,'Data_NSA'!$1:$1,0))/INDEX('Data_NSA'!$A:$OK,MATCH(EDATE(O$2,-12),'Data_NSA'!$A:$A,0),MATCH($D80,'Data_NSA'!$1:$1,0))-1,"")</f>
        <v/>
      </c>
      <c r="S80" s="10">
        <f>IFERROR(INDEX('Weights'!$G:$I,MATCH($A80,'Weights'!$A:$A,0),MATCH(O$2,'Weights'!$G$1:$I$1,0)),"")</f>
        <v/>
      </c>
      <c r="T80" s="10">
        <f>IF($E80="","",IFERROR(100*(INDEX('Weights'!$D:$D,MATCH($A80,'Weights'!$A:$A,0))*(INDEX('Data_NSA'!$A:$OK,MATCH(EDATE(O$2,-1),'Data_NSA'!$A:$A,0),MATCH($D80,'Data_NSA'!$1:$1,0))/INDEX('Data_NSA'!$A:$OK,MATCH(INDEX('Weights'!$E:$E,MATCH($A80,'Weights'!$A:$A,0)),'Data_NSA'!$A:$A,0),MATCH($D80,'Data_NSA'!$1:$1,0))))/(100*(INDEX('Data_NSA'!$A:$OK,MATCH(EDATE(O$2,-1),'Data_NSA'!$A:$A,0),MATCH("CUUR0000SA0",'Data_NSA'!$1:$1,0))/INDEX('Data_NSA'!$A:$OK,MATCH(INDEX('Weights'!$E:$E,MATCH($A80,'Weights'!$A:$A,0)),'Data_NSA'!$A:$A,0),MATCH("CUUR0000SA0",'Data_NSA'!$1:$1,0))))*(INDEX('Data_SA'!$A:$LO,MATCH(O$2,'Data_SA'!$A:$A,0),MATCH($E80,'Data_SA'!$1:$1,0))/INDEX('Data_SA'!$A:$LO,MATCH(EDATE(O$2,-1),'Data_SA'!$A:$A,0),MATCH($E80,'Data_SA'!$1:$1,0))-1),""))</f>
        <v/>
      </c>
      <c r="U80" s="10">
        <f>IFERROR(INDEX('Data_NSA'!$A:$OK,MATCH(U$2,'Data_NSA'!$A:$A,0),MATCH($D80,'Data_NSA'!$1:$1,0)),"")</f>
        <v/>
      </c>
      <c r="V80" s="10">
        <f>IF($E80="","",IFERROR(INDEX('Data_SA'!$A:$LO,MATCH(U$2,'Data_SA'!$A:$A,0),MATCH($E80,'Data_SA'!$1:$1,0)),""))</f>
        <v/>
      </c>
      <c r="W80" s="7">
        <f>IF($E80="","",IFERROR(INDEX('Data_SA'!$A:$LO,MATCH(U$2,'Data_SA'!$A:$A,0),MATCH($E80,'Data_SA'!$1:$1,0))/INDEX('Data_SA'!$A:$LO,MATCH(EDATE(U$2,-1),'Data_SA'!$A:$A,0),MATCH($E80,'Data_SA'!$1:$1,0))-1,""))</f>
        <v/>
      </c>
      <c r="X80" s="7">
        <f>IFERROR(INDEX('Data_NSA'!$A:$OK,MATCH(U$2,'Data_NSA'!$A:$A,0),MATCH($D80,'Data_NSA'!$1:$1,0))/INDEX('Data_NSA'!$A:$OK,MATCH(EDATE(U$2,-12),'Data_NSA'!$A:$A,0),MATCH($D80,'Data_NSA'!$1:$1,0))-1,"")</f>
        <v/>
      </c>
      <c r="Y80" s="10">
        <f>IFERROR(INDEX('Weights'!$G:$I,MATCH($A80,'Weights'!$A:$A,0),MATCH(U$2,'Weights'!$G$1:$I$1,0)),"")</f>
        <v/>
      </c>
      <c r="Z80" s="10">
        <f>IF($E80="","",IFERROR(100*(INDEX('Weights'!$D:$D,MATCH($A80,'Weights'!$A:$A,0))*(INDEX('Data_NSA'!$A:$OK,MATCH(EDATE(U$2,-1),'Data_NSA'!$A:$A,0),MATCH($D80,'Data_NSA'!$1:$1,0))/INDEX('Data_NSA'!$A:$OK,MATCH(INDEX('Weights'!$E:$E,MATCH($A80,'Weights'!$A:$A,0)),'Data_NSA'!$A:$A,0),MATCH($D80,'Data_NSA'!$1:$1,0))))/(100*(INDEX('Data_NSA'!$A:$OK,MATCH(EDATE(U$2,-1),'Data_NSA'!$A:$A,0),MATCH("CUUR0000SA0",'Data_NSA'!$1:$1,0))/INDEX('Data_NSA'!$A:$OK,MATCH(INDEX('Weights'!$E:$E,MATCH($A80,'Weights'!$A:$A,0)),'Data_NSA'!$A:$A,0),MATCH("CUUR0000SA0",'Data_NSA'!$1:$1,0))))*(INDEX('Data_SA'!$A:$LO,MATCH(U$2,'Data_SA'!$A:$A,0),MATCH($E80,'Data_SA'!$1:$1,0))/INDEX('Data_SA'!$A:$LO,MATCH(EDATE(U$2,-1),'Data_SA'!$A:$A,0),MATCH($E80,'Data_SA'!$1:$1,0))-1),""))</f>
        <v/>
      </c>
    </row>
    <row r="81">
      <c r="A81" s="3" t="inlineStr">
        <is>
          <t>SS13031</t>
        </is>
      </c>
      <c r="B81" s="3" t="inlineStr">
        <is>
          <t>Canned fruits</t>
        </is>
      </c>
      <c r="C81" s="3" t="inlineStr">
        <is>
          <t>SEFM01</t>
        </is>
      </c>
      <c r="D81" s="3" t="inlineStr">
        <is>
          <t>CUUR0000SS13031</t>
        </is>
      </c>
      <c r="E81" s="3" t="inlineStr">
        <is>
          <t>CUSR0000SS13031</t>
        </is>
      </c>
      <c r="F81" s="3" t="inlineStr">
        <is>
          <t>GM</t>
        </is>
      </c>
      <c r="G81" s="3" t="inlineStr">
        <is>
          <t>monthly in New York/Los Angeles/Chicago; often bimonthly elsewhere</t>
        </is>
      </c>
      <c r="H81" s="10">
        <f>IFERROR(INDEX(Weights!$D:$D,MATCH($A81,Weights!$A:$A,0)),"")</f>
        <v/>
      </c>
      <c r="I81" s="10">
        <f>IFERROR(INDEX('Data_NSA'!$A:$OK,MATCH(I$2,'Data_NSA'!$A:$A,0),MATCH($D81,'Data_NSA'!$1:$1,0)),"")</f>
        <v/>
      </c>
      <c r="J81" s="10">
        <f>IF($E81="","",IFERROR(INDEX('Data_SA'!$A:$LO,MATCH(I$2,'Data_SA'!$A:$A,0),MATCH($E81,'Data_SA'!$1:$1,0)),""))</f>
        <v/>
      </c>
      <c r="K81" s="7">
        <f>IF($E81="","",IFERROR(INDEX('Data_SA'!$A:$LO,MATCH(I$2,'Data_SA'!$A:$A,0),MATCH($E81,'Data_SA'!$1:$1,0))/INDEX('Data_SA'!$A:$LO,MATCH(EDATE(I$2,-1),'Data_SA'!$A:$A,0),MATCH($E81,'Data_SA'!$1:$1,0))-1,""))</f>
        <v/>
      </c>
      <c r="L81" s="7">
        <f>IFERROR(INDEX('Data_NSA'!$A:$OK,MATCH(I$2,'Data_NSA'!$A:$A,0),MATCH($D81,'Data_NSA'!$1:$1,0))/INDEX('Data_NSA'!$A:$OK,MATCH(EDATE(I$2,-12),'Data_NSA'!$A:$A,0),MATCH($D81,'Data_NSA'!$1:$1,0))-1,"")</f>
        <v/>
      </c>
      <c r="M81" s="10">
        <f>IFERROR(INDEX('Weights'!$G:$I,MATCH($A81,'Weights'!$A:$A,0),MATCH(I$2,'Weights'!$G$1:$I$1,0)),"")</f>
        <v/>
      </c>
      <c r="N81" s="10">
        <f>IF($E81="","",IFERROR(100*(INDEX('Weights'!$D:$D,MATCH($A81,'Weights'!$A:$A,0))*(INDEX('Data_NSA'!$A:$OK,MATCH(EDATE(I$2,-1),'Data_NSA'!$A:$A,0),MATCH($D81,'Data_NSA'!$1:$1,0))/INDEX('Data_NSA'!$A:$OK,MATCH(INDEX('Weights'!$E:$E,MATCH($A81,'Weights'!$A:$A,0)),'Data_NSA'!$A:$A,0),MATCH($D81,'Data_NSA'!$1:$1,0))))/(100*(INDEX('Data_NSA'!$A:$OK,MATCH(EDATE(I$2,-1),'Data_NSA'!$A:$A,0),MATCH("CUUR0000SA0",'Data_NSA'!$1:$1,0))/INDEX('Data_NSA'!$A:$OK,MATCH(INDEX('Weights'!$E:$E,MATCH($A81,'Weights'!$A:$A,0)),'Data_NSA'!$A:$A,0),MATCH("CUUR0000SA0",'Data_NSA'!$1:$1,0))))*(INDEX('Data_SA'!$A:$LO,MATCH(I$2,'Data_SA'!$A:$A,0),MATCH($E81,'Data_SA'!$1:$1,0))/INDEX('Data_SA'!$A:$LO,MATCH(EDATE(I$2,-1),'Data_SA'!$A:$A,0),MATCH($E81,'Data_SA'!$1:$1,0))-1),""))</f>
        <v/>
      </c>
      <c r="O81" s="10">
        <f>IFERROR(INDEX('Data_NSA'!$A:$OK,MATCH(O$2,'Data_NSA'!$A:$A,0),MATCH($D81,'Data_NSA'!$1:$1,0)),"")</f>
        <v/>
      </c>
      <c r="P81" s="10">
        <f>IF($E81="","",IFERROR(INDEX('Data_SA'!$A:$LO,MATCH(O$2,'Data_SA'!$A:$A,0),MATCH($E81,'Data_SA'!$1:$1,0)),""))</f>
        <v/>
      </c>
      <c r="Q81" s="7">
        <f>IF($E81="","",IFERROR(INDEX('Data_SA'!$A:$LO,MATCH(O$2,'Data_SA'!$A:$A,0),MATCH($E81,'Data_SA'!$1:$1,0))/INDEX('Data_SA'!$A:$LO,MATCH(EDATE(O$2,-1),'Data_SA'!$A:$A,0),MATCH($E81,'Data_SA'!$1:$1,0))-1,""))</f>
        <v/>
      </c>
      <c r="R81" s="7">
        <f>IFERROR(INDEX('Data_NSA'!$A:$OK,MATCH(O$2,'Data_NSA'!$A:$A,0),MATCH($D81,'Data_NSA'!$1:$1,0))/INDEX('Data_NSA'!$A:$OK,MATCH(EDATE(O$2,-12),'Data_NSA'!$A:$A,0),MATCH($D81,'Data_NSA'!$1:$1,0))-1,"")</f>
        <v/>
      </c>
      <c r="S81" s="10">
        <f>IFERROR(INDEX('Weights'!$G:$I,MATCH($A81,'Weights'!$A:$A,0),MATCH(O$2,'Weights'!$G$1:$I$1,0)),"")</f>
        <v/>
      </c>
      <c r="T81" s="10">
        <f>IF($E81="","",IFERROR(100*(INDEX('Weights'!$D:$D,MATCH($A81,'Weights'!$A:$A,0))*(INDEX('Data_NSA'!$A:$OK,MATCH(EDATE(O$2,-1),'Data_NSA'!$A:$A,0),MATCH($D81,'Data_NSA'!$1:$1,0))/INDEX('Data_NSA'!$A:$OK,MATCH(INDEX('Weights'!$E:$E,MATCH($A81,'Weights'!$A:$A,0)),'Data_NSA'!$A:$A,0),MATCH($D81,'Data_NSA'!$1:$1,0))))/(100*(INDEX('Data_NSA'!$A:$OK,MATCH(EDATE(O$2,-1),'Data_NSA'!$A:$A,0),MATCH("CUUR0000SA0",'Data_NSA'!$1:$1,0))/INDEX('Data_NSA'!$A:$OK,MATCH(INDEX('Weights'!$E:$E,MATCH($A81,'Weights'!$A:$A,0)),'Data_NSA'!$A:$A,0),MATCH("CUUR0000SA0",'Data_NSA'!$1:$1,0))))*(INDEX('Data_SA'!$A:$LO,MATCH(O$2,'Data_SA'!$A:$A,0),MATCH($E81,'Data_SA'!$1:$1,0))/INDEX('Data_SA'!$A:$LO,MATCH(EDATE(O$2,-1),'Data_SA'!$A:$A,0),MATCH($E81,'Data_SA'!$1:$1,0))-1),""))</f>
        <v/>
      </c>
      <c r="U81" s="10">
        <f>IFERROR(INDEX('Data_NSA'!$A:$OK,MATCH(U$2,'Data_NSA'!$A:$A,0),MATCH($D81,'Data_NSA'!$1:$1,0)),"")</f>
        <v/>
      </c>
      <c r="V81" s="10">
        <f>IF($E81="","",IFERROR(INDEX('Data_SA'!$A:$LO,MATCH(U$2,'Data_SA'!$A:$A,0),MATCH($E81,'Data_SA'!$1:$1,0)),""))</f>
        <v/>
      </c>
      <c r="W81" s="7">
        <f>IF($E81="","",IFERROR(INDEX('Data_SA'!$A:$LO,MATCH(U$2,'Data_SA'!$A:$A,0),MATCH($E81,'Data_SA'!$1:$1,0))/INDEX('Data_SA'!$A:$LO,MATCH(EDATE(U$2,-1),'Data_SA'!$A:$A,0),MATCH($E81,'Data_SA'!$1:$1,0))-1,""))</f>
        <v/>
      </c>
      <c r="X81" s="7">
        <f>IFERROR(INDEX('Data_NSA'!$A:$OK,MATCH(U$2,'Data_NSA'!$A:$A,0),MATCH($D81,'Data_NSA'!$1:$1,0))/INDEX('Data_NSA'!$A:$OK,MATCH(EDATE(U$2,-12),'Data_NSA'!$A:$A,0),MATCH($D81,'Data_NSA'!$1:$1,0))-1,"")</f>
        <v/>
      </c>
      <c r="Y81" s="10">
        <f>IFERROR(INDEX('Weights'!$G:$I,MATCH($A81,'Weights'!$A:$A,0),MATCH(U$2,'Weights'!$G$1:$I$1,0)),"")</f>
        <v/>
      </c>
      <c r="Z81" s="10">
        <f>IF($E81="","",IFERROR(100*(INDEX('Weights'!$D:$D,MATCH($A81,'Weights'!$A:$A,0))*(INDEX('Data_NSA'!$A:$OK,MATCH(EDATE(U$2,-1),'Data_NSA'!$A:$A,0),MATCH($D81,'Data_NSA'!$1:$1,0))/INDEX('Data_NSA'!$A:$OK,MATCH(INDEX('Weights'!$E:$E,MATCH($A81,'Weights'!$A:$A,0)),'Data_NSA'!$A:$A,0),MATCH($D81,'Data_NSA'!$1:$1,0))))/(100*(INDEX('Data_NSA'!$A:$OK,MATCH(EDATE(U$2,-1),'Data_NSA'!$A:$A,0),MATCH("CUUR0000SA0",'Data_NSA'!$1:$1,0))/INDEX('Data_NSA'!$A:$OK,MATCH(INDEX('Weights'!$E:$E,MATCH($A81,'Weights'!$A:$A,0)),'Data_NSA'!$A:$A,0),MATCH("CUUR0000SA0",'Data_NSA'!$1:$1,0))))*(INDEX('Data_SA'!$A:$LO,MATCH(U$2,'Data_SA'!$A:$A,0),MATCH($E81,'Data_SA'!$1:$1,0))/INDEX('Data_SA'!$A:$LO,MATCH(EDATE(U$2,-1),'Data_SA'!$A:$A,0),MATCH($E81,'Data_SA'!$1:$1,0))-1),""))</f>
        <v/>
      </c>
    </row>
    <row r="82">
      <c r="A82" s="3" t="inlineStr">
        <is>
          <t>SS14021</t>
        </is>
      </c>
      <c r="B82" s="3" t="inlineStr">
        <is>
          <t>Canned vegetables</t>
        </is>
      </c>
      <c r="C82" s="3" t="inlineStr">
        <is>
          <t>SEFM01</t>
        </is>
      </c>
      <c r="D82" s="3" t="inlineStr">
        <is>
          <t>CUUR0000SS14021</t>
        </is>
      </c>
      <c r="E82" s="3" t="inlineStr">
        <is>
          <t>CUSR0000SS14021</t>
        </is>
      </c>
      <c r="F82" s="3" t="inlineStr">
        <is>
          <t>GM</t>
        </is>
      </c>
      <c r="G82" s="3" t="inlineStr">
        <is>
          <t>monthly in New York/Los Angeles/Chicago; often bimonthly elsewhere</t>
        </is>
      </c>
      <c r="H82" s="10">
        <f>IFERROR(INDEX(Weights!$D:$D,MATCH($A82,Weights!$A:$A,0)),"")</f>
        <v/>
      </c>
      <c r="I82" s="10">
        <f>IFERROR(INDEX('Data_NSA'!$A:$OK,MATCH(I$2,'Data_NSA'!$A:$A,0),MATCH($D82,'Data_NSA'!$1:$1,0)),"")</f>
        <v/>
      </c>
      <c r="J82" s="10">
        <f>IF($E82="","",IFERROR(INDEX('Data_SA'!$A:$LO,MATCH(I$2,'Data_SA'!$A:$A,0),MATCH($E82,'Data_SA'!$1:$1,0)),""))</f>
        <v/>
      </c>
      <c r="K82" s="7">
        <f>IF($E82="","",IFERROR(INDEX('Data_SA'!$A:$LO,MATCH(I$2,'Data_SA'!$A:$A,0),MATCH($E82,'Data_SA'!$1:$1,0))/INDEX('Data_SA'!$A:$LO,MATCH(EDATE(I$2,-1),'Data_SA'!$A:$A,0),MATCH($E82,'Data_SA'!$1:$1,0))-1,""))</f>
        <v/>
      </c>
      <c r="L82" s="7">
        <f>IFERROR(INDEX('Data_NSA'!$A:$OK,MATCH(I$2,'Data_NSA'!$A:$A,0),MATCH($D82,'Data_NSA'!$1:$1,0))/INDEX('Data_NSA'!$A:$OK,MATCH(EDATE(I$2,-12),'Data_NSA'!$A:$A,0),MATCH($D82,'Data_NSA'!$1:$1,0))-1,"")</f>
        <v/>
      </c>
      <c r="M82" s="10">
        <f>IFERROR(INDEX('Weights'!$G:$I,MATCH($A82,'Weights'!$A:$A,0),MATCH(I$2,'Weights'!$G$1:$I$1,0)),"")</f>
        <v/>
      </c>
      <c r="N82" s="10">
        <f>IF($E82="","",IFERROR(100*(INDEX('Weights'!$D:$D,MATCH($A82,'Weights'!$A:$A,0))*(INDEX('Data_NSA'!$A:$OK,MATCH(EDATE(I$2,-1),'Data_NSA'!$A:$A,0),MATCH($D82,'Data_NSA'!$1:$1,0))/INDEX('Data_NSA'!$A:$OK,MATCH(INDEX('Weights'!$E:$E,MATCH($A82,'Weights'!$A:$A,0)),'Data_NSA'!$A:$A,0),MATCH($D82,'Data_NSA'!$1:$1,0))))/(100*(INDEX('Data_NSA'!$A:$OK,MATCH(EDATE(I$2,-1),'Data_NSA'!$A:$A,0),MATCH("CUUR0000SA0",'Data_NSA'!$1:$1,0))/INDEX('Data_NSA'!$A:$OK,MATCH(INDEX('Weights'!$E:$E,MATCH($A82,'Weights'!$A:$A,0)),'Data_NSA'!$A:$A,0),MATCH("CUUR0000SA0",'Data_NSA'!$1:$1,0))))*(INDEX('Data_SA'!$A:$LO,MATCH(I$2,'Data_SA'!$A:$A,0),MATCH($E82,'Data_SA'!$1:$1,0))/INDEX('Data_SA'!$A:$LO,MATCH(EDATE(I$2,-1),'Data_SA'!$A:$A,0),MATCH($E82,'Data_SA'!$1:$1,0))-1),""))</f>
        <v/>
      </c>
      <c r="O82" s="10">
        <f>IFERROR(INDEX('Data_NSA'!$A:$OK,MATCH(O$2,'Data_NSA'!$A:$A,0),MATCH($D82,'Data_NSA'!$1:$1,0)),"")</f>
        <v/>
      </c>
      <c r="P82" s="10">
        <f>IF($E82="","",IFERROR(INDEX('Data_SA'!$A:$LO,MATCH(O$2,'Data_SA'!$A:$A,0),MATCH($E82,'Data_SA'!$1:$1,0)),""))</f>
        <v/>
      </c>
      <c r="Q82" s="7">
        <f>IF($E82="","",IFERROR(INDEX('Data_SA'!$A:$LO,MATCH(O$2,'Data_SA'!$A:$A,0),MATCH($E82,'Data_SA'!$1:$1,0))/INDEX('Data_SA'!$A:$LO,MATCH(EDATE(O$2,-1),'Data_SA'!$A:$A,0),MATCH($E82,'Data_SA'!$1:$1,0))-1,""))</f>
        <v/>
      </c>
      <c r="R82" s="7">
        <f>IFERROR(INDEX('Data_NSA'!$A:$OK,MATCH(O$2,'Data_NSA'!$A:$A,0),MATCH($D82,'Data_NSA'!$1:$1,0))/INDEX('Data_NSA'!$A:$OK,MATCH(EDATE(O$2,-12),'Data_NSA'!$A:$A,0),MATCH($D82,'Data_NSA'!$1:$1,0))-1,"")</f>
        <v/>
      </c>
      <c r="S82" s="10">
        <f>IFERROR(INDEX('Weights'!$G:$I,MATCH($A82,'Weights'!$A:$A,0),MATCH(O$2,'Weights'!$G$1:$I$1,0)),"")</f>
        <v/>
      </c>
      <c r="T82" s="10">
        <f>IF($E82="","",IFERROR(100*(INDEX('Weights'!$D:$D,MATCH($A82,'Weights'!$A:$A,0))*(INDEX('Data_NSA'!$A:$OK,MATCH(EDATE(O$2,-1),'Data_NSA'!$A:$A,0),MATCH($D82,'Data_NSA'!$1:$1,0))/INDEX('Data_NSA'!$A:$OK,MATCH(INDEX('Weights'!$E:$E,MATCH($A82,'Weights'!$A:$A,0)),'Data_NSA'!$A:$A,0),MATCH($D82,'Data_NSA'!$1:$1,0))))/(100*(INDEX('Data_NSA'!$A:$OK,MATCH(EDATE(O$2,-1),'Data_NSA'!$A:$A,0),MATCH("CUUR0000SA0",'Data_NSA'!$1:$1,0))/INDEX('Data_NSA'!$A:$OK,MATCH(INDEX('Weights'!$E:$E,MATCH($A82,'Weights'!$A:$A,0)),'Data_NSA'!$A:$A,0),MATCH("CUUR0000SA0",'Data_NSA'!$1:$1,0))))*(INDEX('Data_SA'!$A:$LO,MATCH(O$2,'Data_SA'!$A:$A,0),MATCH($E82,'Data_SA'!$1:$1,0))/INDEX('Data_SA'!$A:$LO,MATCH(EDATE(O$2,-1),'Data_SA'!$A:$A,0),MATCH($E82,'Data_SA'!$1:$1,0))-1),""))</f>
        <v/>
      </c>
      <c r="U82" s="10">
        <f>IFERROR(INDEX('Data_NSA'!$A:$OK,MATCH(U$2,'Data_NSA'!$A:$A,0),MATCH($D82,'Data_NSA'!$1:$1,0)),"")</f>
        <v/>
      </c>
      <c r="V82" s="10">
        <f>IF($E82="","",IFERROR(INDEX('Data_SA'!$A:$LO,MATCH(U$2,'Data_SA'!$A:$A,0),MATCH($E82,'Data_SA'!$1:$1,0)),""))</f>
        <v/>
      </c>
      <c r="W82" s="7">
        <f>IF($E82="","",IFERROR(INDEX('Data_SA'!$A:$LO,MATCH(U$2,'Data_SA'!$A:$A,0),MATCH($E82,'Data_SA'!$1:$1,0))/INDEX('Data_SA'!$A:$LO,MATCH(EDATE(U$2,-1),'Data_SA'!$A:$A,0),MATCH($E82,'Data_SA'!$1:$1,0))-1,""))</f>
        <v/>
      </c>
      <c r="X82" s="7">
        <f>IFERROR(INDEX('Data_NSA'!$A:$OK,MATCH(U$2,'Data_NSA'!$A:$A,0),MATCH($D82,'Data_NSA'!$1:$1,0))/INDEX('Data_NSA'!$A:$OK,MATCH(EDATE(U$2,-12),'Data_NSA'!$A:$A,0),MATCH($D82,'Data_NSA'!$1:$1,0))-1,"")</f>
        <v/>
      </c>
      <c r="Y82" s="10">
        <f>IFERROR(INDEX('Weights'!$G:$I,MATCH($A82,'Weights'!$A:$A,0),MATCH(U$2,'Weights'!$G$1:$I$1,0)),"")</f>
        <v/>
      </c>
      <c r="Z82" s="10">
        <f>IF($E82="","",IFERROR(100*(INDEX('Weights'!$D:$D,MATCH($A82,'Weights'!$A:$A,0))*(INDEX('Data_NSA'!$A:$OK,MATCH(EDATE(U$2,-1),'Data_NSA'!$A:$A,0),MATCH($D82,'Data_NSA'!$1:$1,0))/INDEX('Data_NSA'!$A:$OK,MATCH(INDEX('Weights'!$E:$E,MATCH($A82,'Weights'!$A:$A,0)),'Data_NSA'!$A:$A,0),MATCH($D82,'Data_NSA'!$1:$1,0))))/(100*(INDEX('Data_NSA'!$A:$OK,MATCH(EDATE(U$2,-1),'Data_NSA'!$A:$A,0),MATCH("CUUR0000SA0",'Data_NSA'!$1:$1,0))/INDEX('Data_NSA'!$A:$OK,MATCH(INDEX('Weights'!$E:$E,MATCH($A82,'Weights'!$A:$A,0)),'Data_NSA'!$A:$A,0),MATCH("CUUR0000SA0",'Data_NSA'!$1:$1,0))))*(INDEX('Data_SA'!$A:$LO,MATCH(U$2,'Data_SA'!$A:$A,0),MATCH($E82,'Data_SA'!$1:$1,0))/INDEX('Data_SA'!$A:$LO,MATCH(EDATE(U$2,-1),'Data_SA'!$A:$A,0),MATCH($E82,'Data_SA'!$1:$1,0))-1),""))</f>
        <v/>
      </c>
    </row>
    <row r="83">
      <c r="A83" s="3" t="inlineStr">
        <is>
          <t>SEFM02</t>
        </is>
      </c>
      <c r="B83" s="3" t="inlineStr">
        <is>
          <t>Frozen fruits and vegetables</t>
        </is>
      </c>
      <c r="C83" s="3" t="inlineStr">
        <is>
          <t>SEFM</t>
        </is>
      </c>
      <c r="D83" s="3" t="inlineStr">
        <is>
          <t>CUUR0000SEFM02</t>
        </is>
      </c>
      <c r="E83" s="3" t="inlineStr">
        <is>
          <t>CUSR0000SEFM02</t>
        </is>
      </c>
      <c r="F83" s="3" t="inlineStr">
        <is>
          <t>aggregate</t>
        </is>
      </c>
      <c r="G83" s="3" t="inlineStr">
        <is>
          <t>aggregate</t>
        </is>
      </c>
      <c r="H83" s="10">
        <f>IFERROR(INDEX(Weights!$D:$D,MATCH($A83,Weights!$A:$A,0)),"")</f>
        <v/>
      </c>
      <c r="I83" s="10">
        <f>IFERROR(INDEX('Data_NSA'!$A:$OK,MATCH(I$2,'Data_NSA'!$A:$A,0),MATCH($D83,'Data_NSA'!$1:$1,0)),"")</f>
        <v/>
      </c>
      <c r="J83" s="10">
        <f>IF($E83="","",IFERROR(INDEX('Data_SA'!$A:$LO,MATCH(I$2,'Data_SA'!$A:$A,0),MATCH($E83,'Data_SA'!$1:$1,0)),""))</f>
        <v/>
      </c>
      <c r="K83" s="7">
        <f>IF($E83="","",IFERROR(INDEX('Data_SA'!$A:$LO,MATCH(I$2,'Data_SA'!$A:$A,0),MATCH($E83,'Data_SA'!$1:$1,0))/INDEX('Data_SA'!$A:$LO,MATCH(EDATE(I$2,-1),'Data_SA'!$A:$A,0),MATCH($E83,'Data_SA'!$1:$1,0))-1,""))</f>
        <v/>
      </c>
      <c r="L83" s="7">
        <f>IFERROR(INDEX('Data_NSA'!$A:$OK,MATCH(I$2,'Data_NSA'!$A:$A,0),MATCH($D83,'Data_NSA'!$1:$1,0))/INDEX('Data_NSA'!$A:$OK,MATCH(EDATE(I$2,-12),'Data_NSA'!$A:$A,0),MATCH($D83,'Data_NSA'!$1:$1,0))-1,"")</f>
        <v/>
      </c>
      <c r="M83" s="10">
        <f>IFERROR(INDEX('Weights'!$G:$I,MATCH($A83,'Weights'!$A:$A,0),MATCH(I$2,'Weights'!$G$1:$I$1,0)),"")</f>
        <v/>
      </c>
      <c r="N83" s="10">
        <f>IF($E83="","",IFERROR(100*(INDEX('Weights'!$D:$D,MATCH($A83,'Weights'!$A:$A,0))*(INDEX('Data_NSA'!$A:$OK,MATCH(EDATE(I$2,-1),'Data_NSA'!$A:$A,0),MATCH($D83,'Data_NSA'!$1:$1,0))/INDEX('Data_NSA'!$A:$OK,MATCH(INDEX('Weights'!$E:$E,MATCH($A83,'Weights'!$A:$A,0)),'Data_NSA'!$A:$A,0),MATCH($D83,'Data_NSA'!$1:$1,0))))/(100*(INDEX('Data_NSA'!$A:$OK,MATCH(EDATE(I$2,-1),'Data_NSA'!$A:$A,0),MATCH("CUUR0000SA0",'Data_NSA'!$1:$1,0))/INDEX('Data_NSA'!$A:$OK,MATCH(INDEX('Weights'!$E:$E,MATCH($A83,'Weights'!$A:$A,0)),'Data_NSA'!$A:$A,0),MATCH("CUUR0000SA0",'Data_NSA'!$1:$1,0))))*(INDEX('Data_SA'!$A:$LO,MATCH(I$2,'Data_SA'!$A:$A,0),MATCH($E83,'Data_SA'!$1:$1,0))/INDEX('Data_SA'!$A:$LO,MATCH(EDATE(I$2,-1),'Data_SA'!$A:$A,0),MATCH($E83,'Data_SA'!$1:$1,0))-1),""))</f>
        <v/>
      </c>
      <c r="O83" s="10">
        <f>IFERROR(INDEX('Data_NSA'!$A:$OK,MATCH(O$2,'Data_NSA'!$A:$A,0),MATCH($D83,'Data_NSA'!$1:$1,0)),"")</f>
        <v/>
      </c>
      <c r="P83" s="10">
        <f>IF($E83="","",IFERROR(INDEX('Data_SA'!$A:$LO,MATCH(O$2,'Data_SA'!$A:$A,0),MATCH($E83,'Data_SA'!$1:$1,0)),""))</f>
        <v/>
      </c>
      <c r="Q83" s="7">
        <f>IF($E83="","",IFERROR(INDEX('Data_SA'!$A:$LO,MATCH(O$2,'Data_SA'!$A:$A,0),MATCH($E83,'Data_SA'!$1:$1,0))/INDEX('Data_SA'!$A:$LO,MATCH(EDATE(O$2,-1),'Data_SA'!$A:$A,0),MATCH($E83,'Data_SA'!$1:$1,0))-1,""))</f>
        <v/>
      </c>
      <c r="R83" s="7">
        <f>IFERROR(INDEX('Data_NSA'!$A:$OK,MATCH(O$2,'Data_NSA'!$A:$A,0),MATCH($D83,'Data_NSA'!$1:$1,0))/INDEX('Data_NSA'!$A:$OK,MATCH(EDATE(O$2,-12),'Data_NSA'!$A:$A,0),MATCH($D83,'Data_NSA'!$1:$1,0))-1,"")</f>
        <v/>
      </c>
      <c r="S83" s="10">
        <f>IFERROR(INDEX('Weights'!$G:$I,MATCH($A83,'Weights'!$A:$A,0),MATCH(O$2,'Weights'!$G$1:$I$1,0)),"")</f>
        <v/>
      </c>
      <c r="T83" s="10">
        <f>IF($E83="","",IFERROR(100*(INDEX('Weights'!$D:$D,MATCH($A83,'Weights'!$A:$A,0))*(INDEX('Data_NSA'!$A:$OK,MATCH(EDATE(O$2,-1),'Data_NSA'!$A:$A,0),MATCH($D83,'Data_NSA'!$1:$1,0))/INDEX('Data_NSA'!$A:$OK,MATCH(INDEX('Weights'!$E:$E,MATCH($A83,'Weights'!$A:$A,0)),'Data_NSA'!$A:$A,0),MATCH($D83,'Data_NSA'!$1:$1,0))))/(100*(INDEX('Data_NSA'!$A:$OK,MATCH(EDATE(O$2,-1),'Data_NSA'!$A:$A,0),MATCH("CUUR0000SA0",'Data_NSA'!$1:$1,0))/INDEX('Data_NSA'!$A:$OK,MATCH(INDEX('Weights'!$E:$E,MATCH($A83,'Weights'!$A:$A,0)),'Data_NSA'!$A:$A,0),MATCH("CUUR0000SA0",'Data_NSA'!$1:$1,0))))*(INDEX('Data_SA'!$A:$LO,MATCH(O$2,'Data_SA'!$A:$A,0),MATCH($E83,'Data_SA'!$1:$1,0))/INDEX('Data_SA'!$A:$LO,MATCH(EDATE(O$2,-1),'Data_SA'!$A:$A,0),MATCH($E83,'Data_SA'!$1:$1,0))-1),""))</f>
        <v/>
      </c>
      <c r="U83" s="10">
        <f>IFERROR(INDEX('Data_NSA'!$A:$OK,MATCH(U$2,'Data_NSA'!$A:$A,0),MATCH($D83,'Data_NSA'!$1:$1,0)),"")</f>
        <v/>
      </c>
      <c r="V83" s="10">
        <f>IF($E83="","",IFERROR(INDEX('Data_SA'!$A:$LO,MATCH(U$2,'Data_SA'!$A:$A,0),MATCH($E83,'Data_SA'!$1:$1,0)),""))</f>
        <v/>
      </c>
      <c r="W83" s="7">
        <f>IF($E83="","",IFERROR(INDEX('Data_SA'!$A:$LO,MATCH(U$2,'Data_SA'!$A:$A,0),MATCH($E83,'Data_SA'!$1:$1,0))/INDEX('Data_SA'!$A:$LO,MATCH(EDATE(U$2,-1),'Data_SA'!$A:$A,0),MATCH($E83,'Data_SA'!$1:$1,0))-1,""))</f>
        <v/>
      </c>
      <c r="X83" s="7">
        <f>IFERROR(INDEX('Data_NSA'!$A:$OK,MATCH(U$2,'Data_NSA'!$A:$A,0),MATCH($D83,'Data_NSA'!$1:$1,0))/INDEX('Data_NSA'!$A:$OK,MATCH(EDATE(U$2,-12),'Data_NSA'!$A:$A,0),MATCH($D83,'Data_NSA'!$1:$1,0))-1,"")</f>
        <v/>
      </c>
      <c r="Y83" s="10">
        <f>IFERROR(INDEX('Weights'!$G:$I,MATCH($A83,'Weights'!$A:$A,0),MATCH(U$2,'Weights'!$G$1:$I$1,0)),"")</f>
        <v/>
      </c>
      <c r="Z83" s="10">
        <f>IF($E83="","",IFERROR(100*(INDEX('Weights'!$D:$D,MATCH($A83,'Weights'!$A:$A,0))*(INDEX('Data_NSA'!$A:$OK,MATCH(EDATE(U$2,-1),'Data_NSA'!$A:$A,0),MATCH($D83,'Data_NSA'!$1:$1,0))/INDEX('Data_NSA'!$A:$OK,MATCH(INDEX('Weights'!$E:$E,MATCH($A83,'Weights'!$A:$A,0)),'Data_NSA'!$A:$A,0),MATCH($D83,'Data_NSA'!$1:$1,0))))/(100*(INDEX('Data_NSA'!$A:$OK,MATCH(EDATE(U$2,-1),'Data_NSA'!$A:$A,0),MATCH("CUUR0000SA0",'Data_NSA'!$1:$1,0))/INDEX('Data_NSA'!$A:$OK,MATCH(INDEX('Weights'!$E:$E,MATCH($A83,'Weights'!$A:$A,0)),'Data_NSA'!$A:$A,0),MATCH("CUUR0000SA0",'Data_NSA'!$1:$1,0))))*(INDEX('Data_SA'!$A:$LO,MATCH(U$2,'Data_SA'!$A:$A,0),MATCH($E83,'Data_SA'!$1:$1,0))/INDEX('Data_SA'!$A:$LO,MATCH(EDATE(U$2,-1),'Data_SA'!$A:$A,0),MATCH($E83,'Data_SA'!$1:$1,0))-1),""))</f>
        <v/>
      </c>
    </row>
    <row r="84">
      <c r="A84" s="3" t="inlineStr">
        <is>
          <t>SS14011</t>
        </is>
      </c>
      <c r="B84" s="3" t="inlineStr">
        <is>
          <t>Frozen vegetables</t>
        </is>
      </c>
      <c r="C84" s="3" t="inlineStr">
        <is>
          <t>SEFM02</t>
        </is>
      </c>
      <c r="D84" s="3" t="inlineStr">
        <is>
          <t>CUUR0000SS14011</t>
        </is>
      </c>
      <c r="E84" s="3" t="inlineStr">
        <is>
          <t>CUSR0000SS14011</t>
        </is>
      </c>
      <c r="F84" s="3" t="inlineStr">
        <is>
          <t>GM</t>
        </is>
      </c>
      <c r="G84" s="3" t="inlineStr">
        <is>
          <t>monthly in New York/Los Angeles/Chicago; often bimonthly elsewhere</t>
        </is>
      </c>
      <c r="H84" s="10">
        <f>IFERROR(INDEX(Weights!$D:$D,MATCH($A84,Weights!$A:$A,0)),"")</f>
        <v/>
      </c>
      <c r="I84" s="10">
        <f>IFERROR(INDEX('Data_NSA'!$A:$OK,MATCH(I$2,'Data_NSA'!$A:$A,0),MATCH($D84,'Data_NSA'!$1:$1,0)),"")</f>
        <v/>
      </c>
      <c r="J84" s="10">
        <f>IF($E84="","",IFERROR(INDEX('Data_SA'!$A:$LO,MATCH(I$2,'Data_SA'!$A:$A,0),MATCH($E84,'Data_SA'!$1:$1,0)),""))</f>
        <v/>
      </c>
      <c r="K84" s="7">
        <f>IF($E84="","",IFERROR(INDEX('Data_SA'!$A:$LO,MATCH(I$2,'Data_SA'!$A:$A,0),MATCH($E84,'Data_SA'!$1:$1,0))/INDEX('Data_SA'!$A:$LO,MATCH(EDATE(I$2,-1),'Data_SA'!$A:$A,0),MATCH($E84,'Data_SA'!$1:$1,0))-1,""))</f>
        <v/>
      </c>
      <c r="L84" s="7">
        <f>IFERROR(INDEX('Data_NSA'!$A:$OK,MATCH(I$2,'Data_NSA'!$A:$A,0),MATCH($D84,'Data_NSA'!$1:$1,0))/INDEX('Data_NSA'!$A:$OK,MATCH(EDATE(I$2,-12),'Data_NSA'!$A:$A,0),MATCH($D84,'Data_NSA'!$1:$1,0))-1,"")</f>
        <v/>
      </c>
      <c r="M84" s="10">
        <f>IFERROR(INDEX('Weights'!$G:$I,MATCH($A84,'Weights'!$A:$A,0),MATCH(I$2,'Weights'!$G$1:$I$1,0)),"")</f>
        <v/>
      </c>
      <c r="N84" s="10">
        <f>IF($E84="","",IFERROR(100*(INDEX('Weights'!$D:$D,MATCH($A84,'Weights'!$A:$A,0))*(INDEX('Data_NSA'!$A:$OK,MATCH(EDATE(I$2,-1),'Data_NSA'!$A:$A,0),MATCH($D84,'Data_NSA'!$1:$1,0))/INDEX('Data_NSA'!$A:$OK,MATCH(INDEX('Weights'!$E:$E,MATCH($A84,'Weights'!$A:$A,0)),'Data_NSA'!$A:$A,0),MATCH($D84,'Data_NSA'!$1:$1,0))))/(100*(INDEX('Data_NSA'!$A:$OK,MATCH(EDATE(I$2,-1),'Data_NSA'!$A:$A,0),MATCH("CUUR0000SA0",'Data_NSA'!$1:$1,0))/INDEX('Data_NSA'!$A:$OK,MATCH(INDEX('Weights'!$E:$E,MATCH($A84,'Weights'!$A:$A,0)),'Data_NSA'!$A:$A,0),MATCH("CUUR0000SA0",'Data_NSA'!$1:$1,0))))*(INDEX('Data_SA'!$A:$LO,MATCH(I$2,'Data_SA'!$A:$A,0),MATCH($E84,'Data_SA'!$1:$1,0))/INDEX('Data_SA'!$A:$LO,MATCH(EDATE(I$2,-1),'Data_SA'!$A:$A,0),MATCH($E84,'Data_SA'!$1:$1,0))-1),""))</f>
        <v/>
      </c>
      <c r="O84" s="10">
        <f>IFERROR(INDEX('Data_NSA'!$A:$OK,MATCH(O$2,'Data_NSA'!$A:$A,0),MATCH($D84,'Data_NSA'!$1:$1,0)),"")</f>
        <v/>
      </c>
      <c r="P84" s="10">
        <f>IF($E84="","",IFERROR(INDEX('Data_SA'!$A:$LO,MATCH(O$2,'Data_SA'!$A:$A,0),MATCH($E84,'Data_SA'!$1:$1,0)),""))</f>
        <v/>
      </c>
      <c r="Q84" s="7">
        <f>IF($E84="","",IFERROR(INDEX('Data_SA'!$A:$LO,MATCH(O$2,'Data_SA'!$A:$A,0),MATCH($E84,'Data_SA'!$1:$1,0))/INDEX('Data_SA'!$A:$LO,MATCH(EDATE(O$2,-1),'Data_SA'!$A:$A,0),MATCH($E84,'Data_SA'!$1:$1,0))-1,""))</f>
        <v/>
      </c>
      <c r="R84" s="7">
        <f>IFERROR(INDEX('Data_NSA'!$A:$OK,MATCH(O$2,'Data_NSA'!$A:$A,0),MATCH($D84,'Data_NSA'!$1:$1,0))/INDEX('Data_NSA'!$A:$OK,MATCH(EDATE(O$2,-12),'Data_NSA'!$A:$A,0),MATCH($D84,'Data_NSA'!$1:$1,0))-1,"")</f>
        <v/>
      </c>
      <c r="S84" s="10">
        <f>IFERROR(INDEX('Weights'!$G:$I,MATCH($A84,'Weights'!$A:$A,0),MATCH(O$2,'Weights'!$G$1:$I$1,0)),"")</f>
        <v/>
      </c>
      <c r="T84" s="10">
        <f>IF($E84="","",IFERROR(100*(INDEX('Weights'!$D:$D,MATCH($A84,'Weights'!$A:$A,0))*(INDEX('Data_NSA'!$A:$OK,MATCH(EDATE(O$2,-1),'Data_NSA'!$A:$A,0),MATCH($D84,'Data_NSA'!$1:$1,0))/INDEX('Data_NSA'!$A:$OK,MATCH(INDEX('Weights'!$E:$E,MATCH($A84,'Weights'!$A:$A,0)),'Data_NSA'!$A:$A,0),MATCH($D84,'Data_NSA'!$1:$1,0))))/(100*(INDEX('Data_NSA'!$A:$OK,MATCH(EDATE(O$2,-1),'Data_NSA'!$A:$A,0),MATCH("CUUR0000SA0",'Data_NSA'!$1:$1,0))/INDEX('Data_NSA'!$A:$OK,MATCH(INDEX('Weights'!$E:$E,MATCH($A84,'Weights'!$A:$A,0)),'Data_NSA'!$A:$A,0),MATCH("CUUR0000SA0",'Data_NSA'!$1:$1,0))))*(INDEX('Data_SA'!$A:$LO,MATCH(O$2,'Data_SA'!$A:$A,0),MATCH($E84,'Data_SA'!$1:$1,0))/INDEX('Data_SA'!$A:$LO,MATCH(EDATE(O$2,-1),'Data_SA'!$A:$A,0),MATCH($E84,'Data_SA'!$1:$1,0))-1),""))</f>
        <v/>
      </c>
      <c r="U84" s="10">
        <f>IFERROR(INDEX('Data_NSA'!$A:$OK,MATCH(U$2,'Data_NSA'!$A:$A,0),MATCH($D84,'Data_NSA'!$1:$1,0)),"")</f>
        <v/>
      </c>
      <c r="V84" s="10">
        <f>IF($E84="","",IFERROR(INDEX('Data_SA'!$A:$LO,MATCH(U$2,'Data_SA'!$A:$A,0),MATCH($E84,'Data_SA'!$1:$1,0)),""))</f>
        <v/>
      </c>
      <c r="W84" s="7">
        <f>IF($E84="","",IFERROR(INDEX('Data_SA'!$A:$LO,MATCH(U$2,'Data_SA'!$A:$A,0),MATCH($E84,'Data_SA'!$1:$1,0))/INDEX('Data_SA'!$A:$LO,MATCH(EDATE(U$2,-1),'Data_SA'!$A:$A,0),MATCH($E84,'Data_SA'!$1:$1,0))-1,""))</f>
        <v/>
      </c>
      <c r="X84" s="7">
        <f>IFERROR(INDEX('Data_NSA'!$A:$OK,MATCH(U$2,'Data_NSA'!$A:$A,0),MATCH($D84,'Data_NSA'!$1:$1,0))/INDEX('Data_NSA'!$A:$OK,MATCH(EDATE(U$2,-12),'Data_NSA'!$A:$A,0),MATCH($D84,'Data_NSA'!$1:$1,0))-1,"")</f>
        <v/>
      </c>
      <c r="Y84" s="10">
        <f>IFERROR(INDEX('Weights'!$G:$I,MATCH($A84,'Weights'!$A:$A,0),MATCH(U$2,'Weights'!$G$1:$I$1,0)),"")</f>
        <v/>
      </c>
      <c r="Z84" s="10">
        <f>IF($E84="","",IFERROR(100*(INDEX('Weights'!$D:$D,MATCH($A84,'Weights'!$A:$A,0))*(INDEX('Data_NSA'!$A:$OK,MATCH(EDATE(U$2,-1),'Data_NSA'!$A:$A,0),MATCH($D84,'Data_NSA'!$1:$1,0))/INDEX('Data_NSA'!$A:$OK,MATCH(INDEX('Weights'!$E:$E,MATCH($A84,'Weights'!$A:$A,0)),'Data_NSA'!$A:$A,0),MATCH($D84,'Data_NSA'!$1:$1,0))))/(100*(INDEX('Data_NSA'!$A:$OK,MATCH(EDATE(U$2,-1),'Data_NSA'!$A:$A,0),MATCH("CUUR0000SA0",'Data_NSA'!$1:$1,0))/INDEX('Data_NSA'!$A:$OK,MATCH(INDEX('Weights'!$E:$E,MATCH($A84,'Weights'!$A:$A,0)),'Data_NSA'!$A:$A,0),MATCH("CUUR0000SA0",'Data_NSA'!$1:$1,0))))*(INDEX('Data_SA'!$A:$LO,MATCH(U$2,'Data_SA'!$A:$A,0),MATCH($E84,'Data_SA'!$1:$1,0))/INDEX('Data_SA'!$A:$LO,MATCH(EDATE(U$2,-1),'Data_SA'!$A:$A,0),MATCH($E84,'Data_SA'!$1:$1,0))-1),""))</f>
        <v/>
      </c>
    </row>
    <row r="85">
      <c r="A85" s="3" t="inlineStr">
        <is>
          <t>SEFM03</t>
        </is>
      </c>
      <c r="B85" s="3" t="inlineStr">
        <is>
          <t>Other processed fruits and vegetables including dried</t>
        </is>
      </c>
      <c r="C85" s="3" t="inlineStr">
        <is>
          <t>SEFM</t>
        </is>
      </c>
      <c r="D85" s="3" t="inlineStr">
        <is>
          <t>CUUR0000SEFM03</t>
        </is>
      </c>
      <c r="E85" s="3" t="inlineStr">
        <is>
          <t>CUSR0000SEFM03</t>
        </is>
      </c>
      <c r="F85" s="3" t="inlineStr">
        <is>
          <t>aggregate</t>
        </is>
      </c>
      <c r="G85" s="3" t="inlineStr">
        <is>
          <t>aggregate</t>
        </is>
      </c>
      <c r="H85" s="10">
        <f>IFERROR(INDEX(Weights!$D:$D,MATCH($A85,Weights!$A:$A,0)),"")</f>
        <v/>
      </c>
      <c r="I85" s="10">
        <f>IFERROR(INDEX('Data_NSA'!$A:$OK,MATCH(I$2,'Data_NSA'!$A:$A,0),MATCH($D85,'Data_NSA'!$1:$1,0)),"")</f>
        <v/>
      </c>
      <c r="J85" s="10">
        <f>IF($E85="","",IFERROR(INDEX('Data_SA'!$A:$LO,MATCH(I$2,'Data_SA'!$A:$A,0),MATCH($E85,'Data_SA'!$1:$1,0)),""))</f>
        <v/>
      </c>
      <c r="K85" s="7">
        <f>IF($E85="","",IFERROR(INDEX('Data_SA'!$A:$LO,MATCH(I$2,'Data_SA'!$A:$A,0),MATCH($E85,'Data_SA'!$1:$1,0))/INDEX('Data_SA'!$A:$LO,MATCH(EDATE(I$2,-1),'Data_SA'!$A:$A,0),MATCH($E85,'Data_SA'!$1:$1,0))-1,""))</f>
        <v/>
      </c>
      <c r="L85" s="7">
        <f>IFERROR(INDEX('Data_NSA'!$A:$OK,MATCH(I$2,'Data_NSA'!$A:$A,0),MATCH($D85,'Data_NSA'!$1:$1,0))/INDEX('Data_NSA'!$A:$OK,MATCH(EDATE(I$2,-12),'Data_NSA'!$A:$A,0),MATCH($D85,'Data_NSA'!$1:$1,0))-1,"")</f>
        <v/>
      </c>
      <c r="M85" s="10">
        <f>IFERROR(INDEX('Weights'!$G:$I,MATCH($A85,'Weights'!$A:$A,0),MATCH(I$2,'Weights'!$G$1:$I$1,0)),"")</f>
        <v/>
      </c>
      <c r="N85" s="10">
        <f>IF($E85="","",IFERROR(100*(INDEX('Weights'!$D:$D,MATCH($A85,'Weights'!$A:$A,0))*(INDEX('Data_NSA'!$A:$OK,MATCH(EDATE(I$2,-1),'Data_NSA'!$A:$A,0),MATCH($D85,'Data_NSA'!$1:$1,0))/INDEX('Data_NSA'!$A:$OK,MATCH(INDEX('Weights'!$E:$E,MATCH($A85,'Weights'!$A:$A,0)),'Data_NSA'!$A:$A,0),MATCH($D85,'Data_NSA'!$1:$1,0))))/(100*(INDEX('Data_NSA'!$A:$OK,MATCH(EDATE(I$2,-1),'Data_NSA'!$A:$A,0),MATCH("CUUR0000SA0",'Data_NSA'!$1:$1,0))/INDEX('Data_NSA'!$A:$OK,MATCH(INDEX('Weights'!$E:$E,MATCH($A85,'Weights'!$A:$A,0)),'Data_NSA'!$A:$A,0),MATCH("CUUR0000SA0",'Data_NSA'!$1:$1,0))))*(INDEX('Data_SA'!$A:$LO,MATCH(I$2,'Data_SA'!$A:$A,0),MATCH($E85,'Data_SA'!$1:$1,0))/INDEX('Data_SA'!$A:$LO,MATCH(EDATE(I$2,-1),'Data_SA'!$A:$A,0),MATCH($E85,'Data_SA'!$1:$1,0))-1),""))</f>
        <v/>
      </c>
      <c r="O85" s="10">
        <f>IFERROR(INDEX('Data_NSA'!$A:$OK,MATCH(O$2,'Data_NSA'!$A:$A,0),MATCH($D85,'Data_NSA'!$1:$1,0)),"")</f>
        <v/>
      </c>
      <c r="P85" s="10">
        <f>IF($E85="","",IFERROR(INDEX('Data_SA'!$A:$LO,MATCH(O$2,'Data_SA'!$A:$A,0),MATCH($E85,'Data_SA'!$1:$1,0)),""))</f>
        <v/>
      </c>
      <c r="Q85" s="7">
        <f>IF($E85="","",IFERROR(INDEX('Data_SA'!$A:$LO,MATCH(O$2,'Data_SA'!$A:$A,0),MATCH($E85,'Data_SA'!$1:$1,0))/INDEX('Data_SA'!$A:$LO,MATCH(EDATE(O$2,-1),'Data_SA'!$A:$A,0),MATCH($E85,'Data_SA'!$1:$1,0))-1,""))</f>
        <v/>
      </c>
      <c r="R85" s="7">
        <f>IFERROR(INDEX('Data_NSA'!$A:$OK,MATCH(O$2,'Data_NSA'!$A:$A,0),MATCH($D85,'Data_NSA'!$1:$1,0))/INDEX('Data_NSA'!$A:$OK,MATCH(EDATE(O$2,-12),'Data_NSA'!$A:$A,0),MATCH($D85,'Data_NSA'!$1:$1,0))-1,"")</f>
        <v/>
      </c>
      <c r="S85" s="10">
        <f>IFERROR(INDEX('Weights'!$G:$I,MATCH($A85,'Weights'!$A:$A,0),MATCH(O$2,'Weights'!$G$1:$I$1,0)),"")</f>
        <v/>
      </c>
      <c r="T85" s="10">
        <f>IF($E85="","",IFERROR(100*(INDEX('Weights'!$D:$D,MATCH($A85,'Weights'!$A:$A,0))*(INDEX('Data_NSA'!$A:$OK,MATCH(EDATE(O$2,-1),'Data_NSA'!$A:$A,0),MATCH($D85,'Data_NSA'!$1:$1,0))/INDEX('Data_NSA'!$A:$OK,MATCH(INDEX('Weights'!$E:$E,MATCH($A85,'Weights'!$A:$A,0)),'Data_NSA'!$A:$A,0),MATCH($D85,'Data_NSA'!$1:$1,0))))/(100*(INDEX('Data_NSA'!$A:$OK,MATCH(EDATE(O$2,-1),'Data_NSA'!$A:$A,0),MATCH("CUUR0000SA0",'Data_NSA'!$1:$1,0))/INDEX('Data_NSA'!$A:$OK,MATCH(INDEX('Weights'!$E:$E,MATCH($A85,'Weights'!$A:$A,0)),'Data_NSA'!$A:$A,0),MATCH("CUUR0000SA0",'Data_NSA'!$1:$1,0))))*(INDEX('Data_SA'!$A:$LO,MATCH(O$2,'Data_SA'!$A:$A,0),MATCH($E85,'Data_SA'!$1:$1,0))/INDEX('Data_SA'!$A:$LO,MATCH(EDATE(O$2,-1),'Data_SA'!$A:$A,0),MATCH($E85,'Data_SA'!$1:$1,0))-1),""))</f>
        <v/>
      </c>
      <c r="U85" s="10">
        <f>IFERROR(INDEX('Data_NSA'!$A:$OK,MATCH(U$2,'Data_NSA'!$A:$A,0),MATCH($D85,'Data_NSA'!$1:$1,0)),"")</f>
        <v/>
      </c>
      <c r="V85" s="10">
        <f>IF($E85="","",IFERROR(INDEX('Data_SA'!$A:$LO,MATCH(U$2,'Data_SA'!$A:$A,0),MATCH($E85,'Data_SA'!$1:$1,0)),""))</f>
        <v/>
      </c>
      <c r="W85" s="7">
        <f>IF($E85="","",IFERROR(INDEX('Data_SA'!$A:$LO,MATCH(U$2,'Data_SA'!$A:$A,0),MATCH($E85,'Data_SA'!$1:$1,0))/INDEX('Data_SA'!$A:$LO,MATCH(EDATE(U$2,-1),'Data_SA'!$A:$A,0),MATCH($E85,'Data_SA'!$1:$1,0))-1,""))</f>
        <v/>
      </c>
      <c r="X85" s="7">
        <f>IFERROR(INDEX('Data_NSA'!$A:$OK,MATCH(U$2,'Data_NSA'!$A:$A,0),MATCH($D85,'Data_NSA'!$1:$1,0))/INDEX('Data_NSA'!$A:$OK,MATCH(EDATE(U$2,-12),'Data_NSA'!$A:$A,0),MATCH($D85,'Data_NSA'!$1:$1,0))-1,"")</f>
        <v/>
      </c>
      <c r="Y85" s="10">
        <f>IFERROR(INDEX('Weights'!$G:$I,MATCH($A85,'Weights'!$A:$A,0),MATCH(U$2,'Weights'!$G$1:$I$1,0)),"")</f>
        <v/>
      </c>
      <c r="Z85" s="10">
        <f>IF($E85="","",IFERROR(100*(INDEX('Weights'!$D:$D,MATCH($A85,'Weights'!$A:$A,0))*(INDEX('Data_NSA'!$A:$OK,MATCH(EDATE(U$2,-1),'Data_NSA'!$A:$A,0),MATCH($D85,'Data_NSA'!$1:$1,0))/INDEX('Data_NSA'!$A:$OK,MATCH(INDEX('Weights'!$E:$E,MATCH($A85,'Weights'!$A:$A,0)),'Data_NSA'!$A:$A,0),MATCH($D85,'Data_NSA'!$1:$1,0))))/(100*(INDEX('Data_NSA'!$A:$OK,MATCH(EDATE(U$2,-1),'Data_NSA'!$A:$A,0),MATCH("CUUR0000SA0",'Data_NSA'!$1:$1,0))/INDEX('Data_NSA'!$A:$OK,MATCH(INDEX('Weights'!$E:$E,MATCH($A85,'Weights'!$A:$A,0)),'Data_NSA'!$A:$A,0),MATCH("CUUR0000SA0",'Data_NSA'!$1:$1,0))))*(INDEX('Data_SA'!$A:$LO,MATCH(U$2,'Data_SA'!$A:$A,0),MATCH($E85,'Data_SA'!$1:$1,0))/INDEX('Data_SA'!$A:$LO,MATCH(EDATE(U$2,-1),'Data_SA'!$A:$A,0),MATCH($E85,'Data_SA'!$1:$1,0))-1),""))</f>
        <v/>
      </c>
    </row>
    <row r="86">
      <c r="A86" s="3" t="inlineStr">
        <is>
          <t>SS14022</t>
        </is>
      </c>
      <c r="B86" s="3" t="inlineStr">
        <is>
          <t>Dried beans, peas, and lentils</t>
        </is>
      </c>
      <c r="C86" s="3" t="inlineStr">
        <is>
          <t>SEFM03</t>
        </is>
      </c>
      <c r="D86" s="3" t="inlineStr">
        <is>
          <t>CUUR0000SS14022</t>
        </is>
      </c>
      <c r="E86" s="3" t="inlineStr"/>
      <c r="F86" s="3" t="inlineStr">
        <is>
          <t>GM</t>
        </is>
      </c>
      <c r="G86" s="3" t="inlineStr">
        <is>
          <t>monthly in New York/Los Angeles/Chicago; often bimonthly elsewhere</t>
        </is>
      </c>
      <c r="H86" s="10">
        <f>IFERROR(INDEX(Weights!$D:$D,MATCH($A86,Weights!$A:$A,0)),"")</f>
        <v/>
      </c>
      <c r="I86" s="10">
        <f>IFERROR(INDEX('Data_NSA'!$A:$OK,MATCH(I$2,'Data_NSA'!$A:$A,0),MATCH($D86,'Data_NSA'!$1:$1,0)),"")</f>
        <v/>
      </c>
      <c r="J86" s="10">
        <f>IF($E86="","",IFERROR(INDEX('Data_SA'!$A:$LO,MATCH(I$2,'Data_SA'!$A:$A,0),MATCH($E86,'Data_SA'!$1:$1,0)),""))</f>
        <v/>
      </c>
      <c r="K86" s="7">
        <f>IF($E86="","",IFERROR(INDEX('Data_SA'!$A:$LO,MATCH(I$2,'Data_SA'!$A:$A,0),MATCH($E86,'Data_SA'!$1:$1,0))/INDEX('Data_SA'!$A:$LO,MATCH(EDATE(I$2,-1),'Data_SA'!$A:$A,0),MATCH($E86,'Data_SA'!$1:$1,0))-1,""))</f>
        <v/>
      </c>
      <c r="L86" s="7">
        <f>IFERROR(INDEX('Data_NSA'!$A:$OK,MATCH(I$2,'Data_NSA'!$A:$A,0),MATCH($D86,'Data_NSA'!$1:$1,0))/INDEX('Data_NSA'!$A:$OK,MATCH(EDATE(I$2,-12),'Data_NSA'!$A:$A,0),MATCH($D86,'Data_NSA'!$1:$1,0))-1,"")</f>
        <v/>
      </c>
      <c r="M86" s="10">
        <f>IFERROR(INDEX('Weights'!$G:$I,MATCH($A86,'Weights'!$A:$A,0),MATCH(I$2,'Weights'!$G$1:$I$1,0)),"")</f>
        <v/>
      </c>
      <c r="N86" s="10">
        <f>IF($E86="","",IFERROR(100*(INDEX('Weights'!$D:$D,MATCH($A86,'Weights'!$A:$A,0))*(INDEX('Data_NSA'!$A:$OK,MATCH(EDATE(I$2,-1),'Data_NSA'!$A:$A,0),MATCH($D86,'Data_NSA'!$1:$1,0))/INDEX('Data_NSA'!$A:$OK,MATCH(INDEX('Weights'!$E:$E,MATCH($A86,'Weights'!$A:$A,0)),'Data_NSA'!$A:$A,0),MATCH($D86,'Data_NSA'!$1:$1,0))))/(100*(INDEX('Data_NSA'!$A:$OK,MATCH(EDATE(I$2,-1),'Data_NSA'!$A:$A,0),MATCH("CUUR0000SA0",'Data_NSA'!$1:$1,0))/INDEX('Data_NSA'!$A:$OK,MATCH(INDEX('Weights'!$E:$E,MATCH($A86,'Weights'!$A:$A,0)),'Data_NSA'!$A:$A,0),MATCH("CUUR0000SA0",'Data_NSA'!$1:$1,0))))*(INDEX('Data_SA'!$A:$LO,MATCH(I$2,'Data_SA'!$A:$A,0),MATCH($E86,'Data_SA'!$1:$1,0))/INDEX('Data_SA'!$A:$LO,MATCH(EDATE(I$2,-1),'Data_SA'!$A:$A,0),MATCH($E86,'Data_SA'!$1:$1,0))-1),""))</f>
        <v/>
      </c>
      <c r="O86" s="10">
        <f>IFERROR(INDEX('Data_NSA'!$A:$OK,MATCH(O$2,'Data_NSA'!$A:$A,0),MATCH($D86,'Data_NSA'!$1:$1,0)),"")</f>
        <v/>
      </c>
      <c r="P86" s="10">
        <f>IF($E86="","",IFERROR(INDEX('Data_SA'!$A:$LO,MATCH(O$2,'Data_SA'!$A:$A,0),MATCH($E86,'Data_SA'!$1:$1,0)),""))</f>
        <v/>
      </c>
      <c r="Q86" s="7">
        <f>IF($E86="","",IFERROR(INDEX('Data_SA'!$A:$LO,MATCH(O$2,'Data_SA'!$A:$A,0),MATCH($E86,'Data_SA'!$1:$1,0))/INDEX('Data_SA'!$A:$LO,MATCH(EDATE(O$2,-1),'Data_SA'!$A:$A,0),MATCH($E86,'Data_SA'!$1:$1,0))-1,""))</f>
        <v/>
      </c>
      <c r="R86" s="7">
        <f>IFERROR(INDEX('Data_NSA'!$A:$OK,MATCH(O$2,'Data_NSA'!$A:$A,0),MATCH($D86,'Data_NSA'!$1:$1,0))/INDEX('Data_NSA'!$A:$OK,MATCH(EDATE(O$2,-12),'Data_NSA'!$A:$A,0),MATCH($D86,'Data_NSA'!$1:$1,0))-1,"")</f>
        <v/>
      </c>
      <c r="S86" s="10">
        <f>IFERROR(INDEX('Weights'!$G:$I,MATCH($A86,'Weights'!$A:$A,0),MATCH(O$2,'Weights'!$G$1:$I$1,0)),"")</f>
        <v/>
      </c>
      <c r="T86" s="10">
        <f>IF($E86="","",IFERROR(100*(INDEX('Weights'!$D:$D,MATCH($A86,'Weights'!$A:$A,0))*(INDEX('Data_NSA'!$A:$OK,MATCH(EDATE(O$2,-1),'Data_NSA'!$A:$A,0),MATCH($D86,'Data_NSA'!$1:$1,0))/INDEX('Data_NSA'!$A:$OK,MATCH(INDEX('Weights'!$E:$E,MATCH($A86,'Weights'!$A:$A,0)),'Data_NSA'!$A:$A,0),MATCH($D86,'Data_NSA'!$1:$1,0))))/(100*(INDEX('Data_NSA'!$A:$OK,MATCH(EDATE(O$2,-1),'Data_NSA'!$A:$A,0),MATCH("CUUR0000SA0",'Data_NSA'!$1:$1,0))/INDEX('Data_NSA'!$A:$OK,MATCH(INDEX('Weights'!$E:$E,MATCH($A86,'Weights'!$A:$A,0)),'Data_NSA'!$A:$A,0),MATCH("CUUR0000SA0",'Data_NSA'!$1:$1,0))))*(INDEX('Data_SA'!$A:$LO,MATCH(O$2,'Data_SA'!$A:$A,0),MATCH($E86,'Data_SA'!$1:$1,0))/INDEX('Data_SA'!$A:$LO,MATCH(EDATE(O$2,-1),'Data_SA'!$A:$A,0),MATCH($E86,'Data_SA'!$1:$1,0))-1),""))</f>
        <v/>
      </c>
      <c r="U86" s="10">
        <f>IFERROR(INDEX('Data_NSA'!$A:$OK,MATCH(U$2,'Data_NSA'!$A:$A,0),MATCH($D86,'Data_NSA'!$1:$1,0)),"")</f>
        <v/>
      </c>
      <c r="V86" s="10">
        <f>IF($E86="","",IFERROR(INDEX('Data_SA'!$A:$LO,MATCH(U$2,'Data_SA'!$A:$A,0),MATCH($E86,'Data_SA'!$1:$1,0)),""))</f>
        <v/>
      </c>
      <c r="W86" s="7">
        <f>IF($E86="","",IFERROR(INDEX('Data_SA'!$A:$LO,MATCH(U$2,'Data_SA'!$A:$A,0),MATCH($E86,'Data_SA'!$1:$1,0))/INDEX('Data_SA'!$A:$LO,MATCH(EDATE(U$2,-1),'Data_SA'!$A:$A,0),MATCH($E86,'Data_SA'!$1:$1,0))-1,""))</f>
        <v/>
      </c>
      <c r="X86" s="7">
        <f>IFERROR(INDEX('Data_NSA'!$A:$OK,MATCH(U$2,'Data_NSA'!$A:$A,0),MATCH($D86,'Data_NSA'!$1:$1,0))/INDEX('Data_NSA'!$A:$OK,MATCH(EDATE(U$2,-12),'Data_NSA'!$A:$A,0),MATCH($D86,'Data_NSA'!$1:$1,0))-1,"")</f>
        <v/>
      </c>
      <c r="Y86" s="10">
        <f>IFERROR(INDEX('Weights'!$G:$I,MATCH($A86,'Weights'!$A:$A,0),MATCH(U$2,'Weights'!$G$1:$I$1,0)),"")</f>
        <v/>
      </c>
      <c r="Z86" s="10">
        <f>IF($E86="","",IFERROR(100*(INDEX('Weights'!$D:$D,MATCH($A86,'Weights'!$A:$A,0))*(INDEX('Data_NSA'!$A:$OK,MATCH(EDATE(U$2,-1),'Data_NSA'!$A:$A,0),MATCH($D86,'Data_NSA'!$1:$1,0))/INDEX('Data_NSA'!$A:$OK,MATCH(INDEX('Weights'!$E:$E,MATCH($A86,'Weights'!$A:$A,0)),'Data_NSA'!$A:$A,0),MATCH($D86,'Data_NSA'!$1:$1,0))))/(100*(INDEX('Data_NSA'!$A:$OK,MATCH(EDATE(U$2,-1),'Data_NSA'!$A:$A,0),MATCH("CUUR0000SA0",'Data_NSA'!$1:$1,0))/INDEX('Data_NSA'!$A:$OK,MATCH(INDEX('Weights'!$E:$E,MATCH($A86,'Weights'!$A:$A,0)),'Data_NSA'!$A:$A,0),MATCH("CUUR0000SA0",'Data_NSA'!$1:$1,0))))*(INDEX('Data_SA'!$A:$LO,MATCH(U$2,'Data_SA'!$A:$A,0),MATCH($E86,'Data_SA'!$1:$1,0))/INDEX('Data_SA'!$A:$LO,MATCH(EDATE(U$2,-1),'Data_SA'!$A:$A,0),MATCH($E86,'Data_SA'!$1:$1,0))-1),""))</f>
        <v/>
      </c>
    </row>
    <row r="87">
      <c r="A87" s="3" t="inlineStr">
        <is>
          <t>SAF114</t>
        </is>
      </c>
      <c r="B87" s="3" t="inlineStr">
        <is>
          <t>Nonalcoholic beverages and beverage materials</t>
        </is>
      </c>
      <c r="C87" s="3" t="inlineStr">
        <is>
          <t>SAF11</t>
        </is>
      </c>
      <c r="D87" s="3" t="inlineStr">
        <is>
          <t>CUUR0000SAF114</t>
        </is>
      </c>
      <c r="E87" s="3" t="inlineStr">
        <is>
          <t>CUSR0000SAF114</t>
        </is>
      </c>
      <c r="F87" s="3" t="inlineStr">
        <is>
          <t>GM</t>
        </is>
      </c>
      <c r="G87" s="3" t="inlineStr">
        <is>
          <t>monthly</t>
        </is>
      </c>
      <c r="H87" s="10">
        <f>IFERROR(INDEX(Weights!$D:$D,MATCH($A87,Weights!$A:$A,0)),"")</f>
        <v/>
      </c>
      <c r="I87" s="10">
        <f>IFERROR(INDEX('Data_NSA'!$A:$OK,MATCH(I$2,'Data_NSA'!$A:$A,0),MATCH($D87,'Data_NSA'!$1:$1,0)),"")</f>
        <v/>
      </c>
      <c r="J87" s="10">
        <f>IF($E87="","",IFERROR(INDEX('Data_SA'!$A:$LO,MATCH(I$2,'Data_SA'!$A:$A,0),MATCH($E87,'Data_SA'!$1:$1,0)),""))</f>
        <v/>
      </c>
      <c r="K87" s="7">
        <f>IF($E87="","",IFERROR(INDEX('Data_SA'!$A:$LO,MATCH(I$2,'Data_SA'!$A:$A,0),MATCH($E87,'Data_SA'!$1:$1,0))/INDEX('Data_SA'!$A:$LO,MATCH(EDATE(I$2,-1),'Data_SA'!$A:$A,0),MATCH($E87,'Data_SA'!$1:$1,0))-1,""))</f>
        <v/>
      </c>
      <c r="L87" s="7">
        <f>IFERROR(INDEX('Data_NSA'!$A:$OK,MATCH(I$2,'Data_NSA'!$A:$A,0),MATCH($D87,'Data_NSA'!$1:$1,0))/INDEX('Data_NSA'!$A:$OK,MATCH(EDATE(I$2,-12),'Data_NSA'!$A:$A,0),MATCH($D87,'Data_NSA'!$1:$1,0))-1,"")</f>
        <v/>
      </c>
      <c r="M87" s="10">
        <f>IFERROR(INDEX('Weights'!$G:$I,MATCH($A87,'Weights'!$A:$A,0),MATCH(I$2,'Weights'!$G$1:$I$1,0)),"")</f>
        <v/>
      </c>
      <c r="N87" s="10">
        <f>IF($E87="","",IFERROR(100*(INDEX('Weights'!$D:$D,MATCH($A87,'Weights'!$A:$A,0))*(INDEX('Data_NSA'!$A:$OK,MATCH(EDATE(I$2,-1),'Data_NSA'!$A:$A,0),MATCH($D87,'Data_NSA'!$1:$1,0))/INDEX('Data_NSA'!$A:$OK,MATCH(INDEX('Weights'!$E:$E,MATCH($A87,'Weights'!$A:$A,0)),'Data_NSA'!$A:$A,0),MATCH($D87,'Data_NSA'!$1:$1,0))))/(100*(INDEX('Data_NSA'!$A:$OK,MATCH(EDATE(I$2,-1),'Data_NSA'!$A:$A,0),MATCH("CUUR0000SA0",'Data_NSA'!$1:$1,0))/INDEX('Data_NSA'!$A:$OK,MATCH(INDEX('Weights'!$E:$E,MATCH($A87,'Weights'!$A:$A,0)),'Data_NSA'!$A:$A,0),MATCH("CUUR0000SA0",'Data_NSA'!$1:$1,0))))*(INDEX('Data_SA'!$A:$LO,MATCH(I$2,'Data_SA'!$A:$A,0),MATCH($E87,'Data_SA'!$1:$1,0))/INDEX('Data_SA'!$A:$LO,MATCH(EDATE(I$2,-1),'Data_SA'!$A:$A,0),MATCH($E87,'Data_SA'!$1:$1,0))-1),""))</f>
        <v/>
      </c>
      <c r="O87" s="10">
        <f>IFERROR(INDEX('Data_NSA'!$A:$OK,MATCH(O$2,'Data_NSA'!$A:$A,0),MATCH($D87,'Data_NSA'!$1:$1,0)),"")</f>
        <v/>
      </c>
      <c r="P87" s="10">
        <f>IF($E87="","",IFERROR(INDEX('Data_SA'!$A:$LO,MATCH(O$2,'Data_SA'!$A:$A,0),MATCH($E87,'Data_SA'!$1:$1,0)),""))</f>
        <v/>
      </c>
      <c r="Q87" s="7">
        <f>IF($E87="","",IFERROR(INDEX('Data_SA'!$A:$LO,MATCH(O$2,'Data_SA'!$A:$A,0),MATCH($E87,'Data_SA'!$1:$1,0))/INDEX('Data_SA'!$A:$LO,MATCH(EDATE(O$2,-1),'Data_SA'!$A:$A,0),MATCH($E87,'Data_SA'!$1:$1,0))-1,""))</f>
        <v/>
      </c>
      <c r="R87" s="7">
        <f>IFERROR(INDEX('Data_NSA'!$A:$OK,MATCH(O$2,'Data_NSA'!$A:$A,0),MATCH($D87,'Data_NSA'!$1:$1,0))/INDEX('Data_NSA'!$A:$OK,MATCH(EDATE(O$2,-12),'Data_NSA'!$A:$A,0),MATCH($D87,'Data_NSA'!$1:$1,0))-1,"")</f>
        <v/>
      </c>
      <c r="S87" s="10">
        <f>IFERROR(INDEX('Weights'!$G:$I,MATCH($A87,'Weights'!$A:$A,0),MATCH(O$2,'Weights'!$G$1:$I$1,0)),"")</f>
        <v/>
      </c>
      <c r="T87" s="10">
        <f>IF($E87="","",IFERROR(100*(INDEX('Weights'!$D:$D,MATCH($A87,'Weights'!$A:$A,0))*(INDEX('Data_NSA'!$A:$OK,MATCH(EDATE(O$2,-1),'Data_NSA'!$A:$A,0),MATCH($D87,'Data_NSA'!$1:$1,0))/INDEX('Data_NSA'!$A:$OK,MATCH(INDEX('Weights'!$E:$E,MATCH($A87,'Weights'!$A:$A,0)),'Data_NSA'!$A:$A,0),MATCH($D87,'Data_NSA'!$1:$1,0))))/(100*(INDEX('Data_NSA'!$A:$OK,MATCH(EDATE(O$2,-1),'Data_NSA'!$A:$A,0),MATCH("CUUR0000SA0",'Data_NSA'!$1:$1,0))/INDEX('Data_NSA'!$A:$OK,MATCH(INDEX('Weights'!$E:$E,MATCH($A87,'Weights'!$A:$A,0)),'Data_NSA'!$A:$A,0),MATCH("CUUR0000SA0",'Data_NSA'!$1:$1,0))))*(INDEX('Data_SA'!$A:$LO,MATCH(O$2,'Data_SA'!$A:$A,0),MATCH($E87,'Data_SA'!$1:$1,0))/INDEX('Data_SA'!$A:$LO,MATCH(EDATE(O$2,-1),'Data_SA'!$A:$A,0),MATCH($E87,'Data_SA'!$1:$1,0))-1),""))</f>
        <v/>
      </c>
      <c r="U87" s="10">
        <f>IFERROR(INDEX('Data_NSA'!$A:$OK,MATCH(U$2,'Data_NSA'!$A:$A,0),MATCH($D87,'Data_NSA'!$1:$1,0)),"")</f>
        <v/>
      </c>
      <c r="V87" s="10">
        <f>IF($E87="","",IFERROR(INDEX('Data_SA'!$A:$LO,MATCH(U$2,'Data_SA'!$A:$A,0),MATCH($E87,'Data_SA'!$1:$1,0)),""))</f>
        <v/>
      </c>
      <c r="W87" s="7">
        <f>IF($E87="","",IFERROR(INDEX('Data_SA'!$A:$LO,MATCH(U$2,'Data_SA'!$A:$A,0),MATCH($E87,'Data_SA'!$1:$1,0))/INDEX('Data_SA'!$A:$LO,MATCH(EDATE(U$2,-1),'Data_SA'!$A:$A,0),MATCH($E87,'Data_SA'!$1:$1,0))-1,""))</f>
        <v/>
      </c>
      <c r="X87" s="7">
        <f>IFERROR(INDEX('Data_NSA'!$A:$OK,MATCH(U$2,'Data_NSA'!$A:$A,0),MATCH($D87,'Data_NSA'!$1:$1,0))/INDEX('Data_NSA'!$A:$OK,MATCH(EDATE(U$2,-12),'Data_NSA'!$A:$A,0),MATCH($D87,'Data_NSA'!$1:$1,0))-1,"")</f>
        <v/>
      </c>
      <c r="Y87" s="10">
        <f>IFERROR(INDEX('Weights'!$G:$I,MATCH($A87,'Weights'!$A:$A,0),MATCH(U$2,'Weights'!$G$1:$I$1,0)),"")</f>
        <v/>
      </c>
      <c r="Z87" s="10">
        <f>IF($E87="","",IFERROR(100*(INDEX('Weights'!$D:$D,MATCH($A87,'Weights'!$A:$A,0))*(INDEX('Data_NSA'!$A:$OK,MATCH(EDATE(U$2,-1),'Data_NSA'!$A:$A,0),MATCH($D87,'Data_NSA'!$1:$1,0))/INDEX('Data_NSA'!$A:$OK,MATCH(INDEX('Weights'!$E:$E,MATCH($A87,'Weights'!$A:$A,0)),'Data_NSA'!$A:$A,0),MATCH($D87,'Data_NSA'!$1:$1,0))))/(100*(INDEX('Data_NSA'!$A:$OK,MATCH(EDATE(U$2,-1),'Data_NSA'!$A:$A,0),MATCH("CUUR0000SA0",'Data_NSA'!$1:$1,0))/INDEX('Data_NSA'!$A:$OK,MATCH(INDEX('Weights'!$E:$E,MATCH($A87,'Weights'!$A:$A,0)),'Data_NSA'!$A:$A,0),MATCH("CUUR0000SA0",'Data_NSA'!$1:$1,0))))*(INDEX('Data_SA'!$A:$LO,MATCH(U$2,'Data_SA'!$A:$A,0),MATCH($E87,'Data_SA'!$1:$1,0))/INDEX('Data_SA'!$A:$LO,MATCH(EDATE(U$2,-1),'Data_SA'!$A:$A,0),MATCH($E87,'Data_SA'!$1:$1,0))-1),""))</f>
        <v/>
      </c>
    </row>
    <row r="88">
      <c r="A88" s="3" t="inlineStr">
        <is>
          <t>SEFN</t>
        </is>
      </c>
      <c r="B88" s="3" t="inlineStr">
        <is>
          <t>Juices and nonalcoholic drinks</t>
        </is>
      </c>
      <c r="C88" s="3" t="inlineStr">
        <is>
          <t>SAF114</t>
        </is>
      </c>
      <c r="D88" s="3" t="inlineStr">
        <is>
          <t>CUUR0000SEFN</t>
        </is>
      </c>
      <c r="E88" s="3" t="inlineStr">
        <is>
          <t>CUSR0000SEFN</t>
        </is>
      </c>
      <c r="F88" s="3" t="inlineStr">
        <is>
          <t>aggregate</t>
        </is>
      </c>
      <c r="G88" s="3" t="inlineStr">
        <is>
          <t>aggregate</t>
        </is>
      </c>
      <c r="H88" s="10">
        <f>IFERROR(INDEX(Weights!$D:$D,MATCH($A88,Weights!$A:$A,0)),"")</f>
        <v/>
      </c>
      <c r="I88" s="10">
        <f>IFERROR(INDEX('Data_NSA'!$A:$OK,MATCH(I$2,'Data_NSA'!$A:$A,0),MATCH($D88,'Data_NSA'!$1:$1,0)),"")</f>
        <v/>
      </c>
      <c r="J88" s="10">
        <f>IF($E88="","",IFERROR(INDEX('Data_SA'!$A:$LO,MATCH(I$2,'Data_SA'!$A:$A,0),MATCH($E88,'Data_SA'!$1:$1,0)),""))</f>
        <v/>
      </c>
      <c r="K88" s="7">
        <f>IF($E88="","",IFERROR(INDEX('Data_SA'!$A:$LO,MATCH(I$2,'Data_SA'!$A:$A,0),MATCH($E88,'Data_SA'!$1:$1,0))/INDEX('Data_SA'!$A:$LO,MATCH(EDATE(I$2,-1),'Data_SA'!$A:$A,0),MATCH($E88,'Data_SA'!$1:$1,0))-1,""))</f>
        <v/>
      </c>
      <c r="L88" s="7">
        <f>IFERROR(INDEX('Data_NSA'!$A:$OK,MATCH(I$2,'Data_NSA'!$A:$A,0),MATCH($D88,'Data_NSA'!$1:$1,0))/INDEX('Data_NSA'!$A:$OK,MATCH(EDATE(I$2,-12),'Data_NSA'!$A:$A,0),MATCH($D88,'Data_NSA'!$1:$1,0))-1,"")</f>
        <v/>
      </c>
      <c r="M88" s="10">
        <f>IFERROR(INDEX('Weights'!$G:$I,MATCH($A88,'Weights'!$A:$A,0),MATCH(I$2,'Weights'!$G$1:$I$1,0)),"")</f>
        <v/>
      </c>
      <c r="N88" s="10">
        <f>IF($E88="","",IFERROR(100*(INDEX('Weights'!$D:$D,MATCH($A88,'Weights'!$A:$A,0))*(INDEX('Data_NSA'!$A:$OK,MATCH(EDATE(I$2,-1),'Data_NSA'!$A:$A,0),MATCH($D88,'Data_NSA'!$1:$1,0))/INDEX('Data_NSA'!$A:$OK,MATCH(INDEX('Weights'!$E:$E,MATCH($A88,'Weights'!$A:$A,0)),'Data_NSA'!$A:$A,0),MATCH($D88,'Data_NSA'!$1:$1,0))))/(100*(INDEX('Data_NSA'!$A:$OK,MATCH(EDATE(I$2,-1),'Data_NSA'!$A:$A,0),MATCH("CUUR0000SA0",'Data_NSA'!$1:$1,0))/INDEX('Data_NSA'!$A:$OK,MATCH(INDEX('Weights'!$E:$E,MATCH($A88,'Weights'!$A:$A,0)),'Data_NSA'!$A:$A,0),MATCH("CUUR0000SA0",'Data_NSA'!$1:$1,0))))*(INDEX('Data_SA'!$A:$LO,MATCH(I$2,'Data_SA'!$A:$A,0),MATCH($E88,'Data_SA'!$1:$1,0))/INDEX('Data_SA'!$A:$LO,MATCH(EDATE(I$2,-1),'Data_SA'!$A:$A,0),MATCH($E88,'Data_SA'!$1:$1,0))-1),""))</f>
        <v/>
      </c>
      <c r="O88" s="10">
        <f>IFERROR(INDEX('Data_NSA'!$A:$OK,MATCH(O$2,'Data_NSA'!$A:$A,0),MATCH($D88,'Data_NSA'!$1:$1,0)),"")</f>
        <v/>
      </c>
      <c r="P88" s="10">
        <f>IF($E88="","",IFERROR(INDEX('Data_SA'!$A:$LO,MATCH(O$2,'Data_SA'!$A:$A,0),MATCH($E88,'Data_SA'!$1:$1,0)),""))</f>
        <v/>
      </c>
      <c r="Q88" s="7">
        <f>IF($E88="","",IFERROR(INDEX('Data_SA'!$A:$LO,MATCH(O$2,'Data_SA'!$A:$A,0),MATCH($E88,'Data_SA'!$1:$1,0))/INDEX('Data_SA'!$A:$LO,MATCH(EDATE(O$2,-1),'Data_SA'!$A:$A,0),MATCH($E88,'Data_SA'!$1:$1,0))-1,""))</f>
        <v/>
      </c>
      <c r="R88" s="7">
        <f>IFERROR(INDEX('Data_NSA'!$A:$OK,MATCH(O$2,'Data_NSA'!$A:$A,0),MATCH($D88,'Data_NSA'!$1:$1,0))/INDEX('Data_NSA'!$A:$OK,MATCH(EDATE(O$2,-12),'Data_NSA'!$A:$A,0),MATCH($D88,'Data_NSA'!$1:$1,0))-1,"")</f>
        <v/>
      </c>
      <c r="S88" s="10">
        <f>IFERROR(INDEX('Weights'!$G:$I,MATCH($A88,'Weights'!$A:$A,0),MATCH(O$2,'Weights'!$G$1:$I$1,0)),"")</f>
        <v/>
      </c>
      <c r="T88" s="10">
        <f>IF($E88="","",IFERROR(100*(INDEX('Weights'!$D:$D,MATCH($A88,'Weights'!$A:$A,0))*(INDEX('Data_NSA'!$A:$OK,MATCH(EDATE(O$2,-1),'Data_NSA'!$A:$A,0),MATCH($D88,'Data_NSA'!$1:$1,0))/INDEX('Data_NSA'!$A:$OK,MATCH(INDEX('Weights'!$E:$E,MATCH($A88,'Weights'!$A:$A,0)),'Data_NSA'!$A:$A,0),MATCH($D88,'Data_NSA'!$1:$1,0))))/(100*(INDEX('Data_NSA'!$A:$OK,MATCH(EDATE(O$2,-1),'Data_NSA'!$A:$A,0),MATCH("CUUR0000SA0",'Data_NSA'!$1:$1,0))/INDEX('Data_NSA'!$A:$OK,MATCH(INDEX('Weights'!$E:$E,MATCH($A88,'Weights'!$A:$A,0)),'Data_NSA'!$A:$A,0),MATCH("CUUR0000SA0",'Data_NSA'!$1:$1,0))))*(INDEX('Data_SA'!$A:$LO,MATCH(O$2,'Data_SA'!$A:$A,0),MATCH($E88,'Data_SA'!$1:$1,0))/INDEX('Data_SA'!$A:$LO,MATCH(EDATE(O$2,-1),'Data_SA'!$A:$A,0),MATCH($E88,'Data_SA'!$1:$1,0))-1),""))</f>
        <v/>
      </c>
      <c r="U88" s="10">
        <f>IFERROR(INDEX('Data_NSA'!$A:$OK,MATCH(U$2,'Data_NSA'!$A:$A,0),MATCH($D88,'Data_NSA'!$1:$1,0)),"")</f>
        <v/>
      </c>
      <c r="V88" s="10">
        <f>IF($E88="","",IFERROR(INDEX('Data_SA'!$A:$LO,MATCH(U$2,'Data_SA'!$A:$A,0),MATCH($E88,'Data_SA'!$1:$1,0)),""))</f>
        <v/>
      </c>
      <c r="W88" s="7">
        <f>IF($E88="","",IFERROR(INDEX('Data_SA'!$A:$LO,MATCH(U$2,'Data_SA'!$A:$A,0),MATCH($E88,'Data_SA'!$1:$1,0))/INDEX('Data_SA'!$A:$LO,MATCH(EDATE(U$2,-1),'Data_SA'!$A:$A,0),MATCH($E88,'Data_SA'!$1:$1,0))-1,""))</f>
        <v/>
      </c>
      <c r="X88" s="7">
        <f>IFERROR(INDEX('Data_NSA'!$A:$OK,MATCH(U$2,'Data_NSA'!$A:$A,0),MATCH($D88,'Data_NSA'!$1:$1,0))/INDEX('Data_NSA'!$A:$OK,MATCH(EDATE(U$2,-12),'Data_NSA'!$A:$A,0),MATCH($D88,'Data_NSA'!$1:$1,0))-1,"")</f>
        <v/>
      </c>
      <c r="Y88" s="10">
        <f>IFERROR(INDEX('Weights'!$G:$I,MATCH($A88,'Weights'!$A:$A,0),MATCH(U$2,'Weights'!$G$1:$I$1,0)),"")</f>
        <v/>
      </c>
      <c r="Z88" s="10">
        <f>IF($E88="","",IFERROR(100*(INDEX('Weights'!$D:$D,MATCH($A88,'Weights'!$A:$A,0))*(INDEX('Data_NSA'!$A:$OK,MATCH(EDATE(U$2,-1),'Data_NSA'!$A:$A,0),MATCH($D88,'Data_NSA'!$1:$1,0))/INDEX('Data_NSA'!$A:$OK,MATCH(INDEX('Weights'!$E:$E,MATCH($A88,'Weights'!$A:$A,0)),'Data_NSA'!$A:$A,0),MATCH($D88,'Data_NSA'!$1:$1,0))))/(100*(INDEX('Data_NSA'!$A:$OK,MATCH(EDATE(U$2,-1),'Data_NSA'!$A:$A,0),MATCH("CUUR0000SA0",'Data_NSA'!$1:$1,0))/INDEX('Data_NSA'!$A:$OK,MATCH(INDEX('Weights'!$E:$E,MATCH($A88,'Weights'!$A:$A,0)),'Data_NSA'!$A:$A,0),MATCH("CUUR0000SA0",'Data_NSA'!$1:$1,0))))*(INDEX('Data_SA'!$A:$LO,MATCH(U$2,'Data_SA'!$A:$A,0),MATCH($E88,'Data_SA'!$1:$1,0))/INDEX('Data_SA'!$A:$LO,MATCH(EDATE(U$2,-1),'Data_SA'!$A:$A,0),MATCH($E88,'Data_SA'!$1:$1,0))-1),""))</f>
        <v/>
      </c>
    </row>
    <row r="89">
      <c r="A89" s="3" t="inlineStr">
        <is>
          <t>SEFN01</t>
        </is>
      </c>
      <c r="B89" s="3" t="inlineStr">
        <is>
          <t>Carbonated drinks</t>
        </is>
      </c>
      <c r="C89" s="3" t="inlineStr">
        <is>
          <t>SEFN</t>
        </is>
      </c>
      <c r="D89" s="3" t="inlineStr">
        <is>
          <t>CUUR0000SEFN01</t>
        </is>
      </c>
      <c r="E89" s="3" t="inlineStr">
        <is>
          <t>CUSR0000SEFN01</t>
        </is>
      </c>
      <c r="F89" s="3" t="inlineStr">
        <is>
          <t>GM</t>
        </is>
      </c>
      <c r="G89" s="3" t="inlineStr">
        <is>
          <t>monthly food collection where sampled</t>
        </is>
      </c>
      <c r="H89" s="10">
        <f>IFERROR(INDEX(Weights!$D:$D,MATCH($A89,Weights!$A:$A,0)),"")</f>
        <v/>
      </c>
      <c r="I89" s="10">
        <f>IFERROR(INDEX('Data_NSA'!$A:$OK,MATCH(I$2,'Data_NSA'!$A:$A,0),MATCH($D89,'Data_NSA'!$1:$1,0)),"")</f>
        <v/>
      </c>
      <c r="J89" s="10">
        <f>IF($E89="","",IFERROR(INDEX('Data_SA'!$A:$LO,MATCH(I$2,'Data_SA'!$A:$A,0),MATCH($E89,'Data_SA'!$1:$1,0)),""))</f>
        <v/>
      </c>
      <c r="K89" s="7">
        <f>IF($E89="","",IFERROR(INDEX('Data_SA'!$A:$LO,MATCH(I$2,'Data_SA'!$A:$A,0),MATCH($E89,'Data_SA'!$1:$1,0))/INDEX('Data_SA'!$A:$LO,MATCH(EDATE(I$2,-1),'Data_SA'!$A:$A,0),MATCH($E89,'Data_SA'!$1:$1,0))-1,""))</f>
        <v/>
      </c>
      <c r="L89" s="7">
        <f>IFERROR(INDEX('Data_NSA'!$A:$OK,MATCH(I$2,'Data_NSA'!$A:$A,0),MATCH($D89,'Data_NSA'!$1:$1,0))/INDEX('Data_NSA'!$A:$OK,MATCH(EDATE(I$2,-12),'Data_NSA'!$A:$A,0),MATCH($D89,'Data_NSA'!$1:$1,0))-1,"")</f>
        <v/>
      </c>
      <c r="M89" s="10">
        <f>IFERROR(INDEX('Weights'!$G:$I,MATCH($A89,'Weights'!$A:$A,0),MATCH(I$2,'Weights'!$G$1:$I$1,0)),"")</f>
        <v/>
      </c>
      <c r="N89" s="10">
        <f>IF($E89="","",IFERROR(100*(INDEX('Weights'!$D:$D,MATCH($A89,'Weights'!$A:$A,0))*(INDEX('Data_NSA'!$A:$OK,MATCH(EDATE(I$2,-1),'Data_NSA'!$A:$A,0),MATCH($D89,'Data_NSA'!$1:$1,0))/INDEX('Data_NSA'!$A:$OK,MATCH(INDEX('Weights'!$E:$E,MATCH($A89,'Weights'!$A:$A,0)),'Data_NSA'!$A:$A,0),MATCH($D89,'Data_NSA'!$1:$1,0))))/(100*(INDEX('Data_NSA'!$A:$OK,MATCH(EDATE(I$2,-1),'Data_NSA'!$A:$A,0),MATCH("CUUR0000SA0",'Data_NSA'!$1:$1,0))/INDEX('Data_NSA'!$A:$OK,MATCH(INDEX('Weights'!$E:$E,MATCH($A89,'Weights'!$A:$A,0)),'Data_NSA'!$A:$A,0),MATCH("CUUR0000SA0",'Data_NSA'!$1:$1,0))))*(INDEX('Data_SA'!$A:$LO,MATCH(I$2,'Data_SA'!$A:$A,0),MATCH($E89,'Data_SA'!$1:$1,0))/INDEX('Data_SA'!$A:$LO,MATCH(EDATE(I$2,-1),'Data_SA'!$A:$A,0),MATCH($E89,'Data_SA'!$1:$1,0))-1),""))</f>
        <v/>
      </c>
      <c r="O89" s="10">
        <f>IFERROR(INDEX('Data_NSA'!$A:$OK,MATCH(O$2,'Data_NSA'!$A:$A,0),MATCH($D89,'Data_NSA'!$1:$1,0)),"")</f>
        <v/>
      </c>
      <c r="P89" s="10">
        <f>IF($E89="","",IFERROR(INDEX('Data_SA'!$A:$LO,MATCH(O$2,'Data_SA'!$A:$A,0),MATCH($E89,'Data_SA'!$1:$1,0)),""))</f>
        <v/>
      </c>
      <c r="Q89" s="7">
        <f>IF($E89="","",IFERROR(INDEX('Data_SA'!$A:$LO,MATCH(O$2,'Data_SA'!$A:$A,0),MATCH($E89,'Data_SA'!$1:$1,0))/INDEX('Data_SA'!$A:$LO,MATCH(EDATE(O$2,-1),'Data_SA'!$A:$A,0),MATCH($E89,'Data_SA'!$1:$1,0))-1,""))</f>
        <v/>
      </c>
      <c r="R89" s="7">
        <f>IFERROR(INDEX('Data_NSA'!$A:$OK,MATCH(O$2,'Data_NSA'!$A:$A,0),MATCH($D89,'Data_NSA'!$1:$1,0))/INDEX('Data_NSA'!$A:$OK,MATCH(EDATE(O$2,-12),'Data_NSA'!$A:$A,0),MATCH($D89,'Data_NSA'!$1:$1,0))-1,"")</f>
        <v/>
      </c>
      <c r="S89" s="10">
        <f>IFERROR(INDEX('Weights'!$G:$I,MATCH($A89,'Weights'!$A:$A,0),MATCH(O$2,'Weights'!$G$1:$I$1,0)),"")</f>
        <v/>
      </c>
      <c r="T89" s="10">
        <f>IF($E89="","",IFERROR(100*(INDEX('Weights'!$D:$D,MATCH($A89,'Weights'!$A:$A,0))*(INDEX('Data_NSA'!$A:$OK,MATCH(EDATE(O$2,-1),'Data_NSA'!$A:$A,0),MATCH($D89,'Data_NSA'!$1:$1,0))/INDEX('Data_NSA'!$A:$OK,MATCH(INDEX('Weights'!$E:$E,MATCH($A89,'Weights'!$A:$A,0)),'Data_NSA'!$A:$A,0),MATCH($D89,'Data_NSA'!$1:$1,0))))/(100*(INDEX('Data_NSA'!$A:$OK,MATCH(EDATE(O$2,-1),'Data_NSA'!$A:$A,0),MATCH("CUUR0000SA0",'Data_NSA'!$1:$1,0))/INDEX('Data_NSA'!$A:$OK,MATCH(INDEX('Weights'!$E:$E,MATCH($A89,'Weights'!$A:$A,0)),'Data_NSA'!$A:$A,0),MATCH("CUUR0000SA0",'Data_NSA'!$1:$1,0))))*(INDEX('Data_SA'!$A:$LO,MATCH(O$2,'Data_SA'!$A:$A,0),MATCH($E89,'Data_SA'!$1:$1,0))/INDEX('Data_SA'!$A:$LO,MATCH(EDATE(O$2,-1),'Data_SA'!$A:$A,0),MATCH($E89,'Data_SA'!$1:$1,0))-1),""))</f>
        <v/>
      </c>
      <c r="U89" s="10">
        <f>IFERROR(INDEX('Data_NSA'!$A:$OK,MATCH(U$2,'Data_NSA'!$A:$A,0),MATCH($D89,'Data_NSA'!$1:$1,0)),"")</f>
        <v/>
      </c>
      <c r="V89" s="10">
        <f>IF($E89="","",IFERROR(INDEX('Data_SA'!$A:$LO,MATCH(U$2,'Data_SA'!$A:$A,0),MATCH($E89,'Data_SA'!$1:$1,0)),""))</f>
        <v/>
      </c>
      <c r="W89" s="7">
        <f>IF($E89="","",IFERROR(INDEX('Data_SA'!$A:$LO,MATCH(U$2,'Data_SA'!$A:$A,0),MATCH($E89,'Data_SA'!$1:$1,0))/INDEX('Data_SA'!$A:$LO,MATCH(EDATE(U$2,-1),'Data_SA'!$A:$A,0),MATCH($E89,'Data_SA'!$1:$1,0))-1,""))</f>
        <v/>
      </c>
      <c r="X89" s="7">
        <f>IFERROR(INDEX('Data_NSA'!$A:$OK,MATCH(U$2,'Data_NSA'!$A:$A,0),MATCH($D89,'Data_NSA'!$1:$1,0))/INDEX('Data_NSA'!$A:$OK,MATCH(EDATE(U$2,-12),'Data_NSA'!$A:$A,0),MATCH($D89,'Data_NSA'!$1:$1,0))-1,"")</f>
        <v/>
      </c>
      <c r="Y89" s="10">
        <f>IFERROR(INDEX('Weights'!$G:$I,MATCH($A89,'Weights'!$A:$A,0),MATCH(U$2,'Weights'!$G$1:$I$1,0)),"")</f>
        <v/>
      </c>
      <c r="Z89" s="10">
        <f>IF($E89="","",IFERROR(100*(INDEX('Weights'!$D:$D,MATCH($A89,'Weights'!$A:$A,0))*(INDEX('Data_NSA'!$A:$OK,MATCH(EDATE(U$2,-1),'Data_NSA'!$A:$A,0),MATCH($D89,'Data_NSA'!$1:$1,0))/INDEX('Data_NSA'!$A:$OK,MATCH(INDEX('Weights'!$E:$E,MATCH($A89,'Weights'!$A:$A,0)),'Data_NSA'!$A:$A,0),MATCH($D89,'Data_NSA'!$1:$1,0))))/(100*(INDEX('Data_NSA'!$A:$OK,MATCH(EDATE(U$2,-1),'Data_NSA'!$A:$A,0),MATCH("CUUR0000SA0",'Data_NSA'!$1:$1,0))/INDEX('Data_NSA'!$A:$OK,MATCH(INDEX('Weights'!$E:$E,MATCH($A89,'Weights'!$A:$A,0)),'Data_NSA'!$A:$A,0),MATCH("CUUR0000SA0",'Data_NSA'!$1:$1,0))))*(INDEX('Data_SA'!$A:$LO,MATCH(U$2,'Data_SA'!$A:$A,0),MATCH($E89,'Data_SA'!$1:$1,0))/INDEX('Data_SA'!$A:$LO,MATCH(EDATE(U$2,-1),'Data_SA'!$A:$A,0),MATCH($E89,'Data_SA'!$1:$1,0))-1),""))</f>
        <v/>
      </c>
    </row>
    <row r="90">
      <c r="A90" s="3" t="inlineStr">
        <is>
          <t>SEFN02</t>
        </is>
      </c>
      <c r="B90" s="3" t="inlineStr">
        <is>
          <t>Frozen noncarbonated juices and drinks</t>
        </is>
      </c>
      <c r="C90" s="3" t="inlineStr">
        <is>
          <t>SEFN</t>
        </is>
      </c>
      <c r="D90" s="3" t="inlineStr">
        <is>
          <t>CUUR0000SEFN02</t>
        </is>
      </c>
      <c r="E90" s="3" t="inlineStr"/>
      <c r="F90" s="3" t="inlineStr">
        <is>
          <t>GM</t>
        </is>
      </c>
      <c r="G90" s="3" t="inlineStr">
        <is>
          <t>monthly food collection where sampled</t>
        </is>
      </c>
      <c r="H90" s="10">
        <f>IFERROR(INDEX(Weights!$D:$D,MATCH($A90,Weights!$A:$A,0)),"")</f>
        <v/>
      </c>
      <c r="I90" s="10">
        <f>IFERROR(INDEX('Data_NSA'!$A:$OK,MATCH(I$2,'Data_NSA'!$A:$A,0),MATCH($D90,'Data_NSA'!$1:$1,0)),"")</f>
        <v/>
      </c>
      <c r="J90" s="10">
        <f>IF($E90="","",IFERROR(INDEX('Data_SA'!$A:$LO,MATCH(I$2,'Data_SA'!$A:$A,0),MATCH($E90,'Data_SA'!$1:$1,0)),""))</f>
        <v/>
      </c>
      <c r="K90" s="7">
        <f>IF($E90="","",IFERROR(INDEX('Data_SA'!$A:$LO,MATCH(I$2,'Data_SA'!$A:$A,0),MATCH($E90,'Data_SA'!$1:$1,0))/INDEX('Data_SA'!$A:$LO,MATCH(EDATE(I$2,-1),'Data_SA'!$A:$A,0),MATCH($E90,'Data_SA'!$1:$1,0))-1,""))</f>
        <v/>
      </c>
      <c r="L90" s="7">
        <f>IFERROR(INDEX('Data_NSA'!$A:$OK,MATCH(I$2,'Data_NSA'!$A:$A,0),MATCH($D90,'Data_NSA'!$1:$1,0))/INDEX('Data_NSA'!$A:$OK,MATCH(EDATE(I$2,-12),'Data_NSA'!$A:$A,0),MATCH($D90,'Data_NSA'!$1:$1,0))-1,"")</f>
        <v/>
      </c>
      <c r="M90" s="10">
        <f>IFERROR(INDEX('Weights'!$G:$I,MATCH($A90,'Weights'!$A:$A,0),MATCH(I$2,'Weights'!$G$1:$I$1,0)),"")</f>
        <v/>
      </c>
      <c r="N90" s="10">
        <f>IF($E90="","",IFERROR(100*(INDEX('Weights'!$D:$D,MATCH($A90,'Weights'!$A:$A,0))*(INDEX('Data_NSA'!$A:$OK,MATCH(EDATE(I$2,-1),'Data_NSA'!$A:$A,0),MATCH($D90,'Data_NSA'!$1:$1,0))/INDEX('Data_NSA'!$A:$OK,MATCH(INDEX('Weights'!$E:$E,MATCH($A90,'Weights'!$A:$A,0)),'Data_NSA'!$A:$A,0),MATCH($D90,'Data_NSA'!$1:$1,0))))/(100*(INDEX('Data_NSA'!$A:$OK,MATCH(EDATE(I$2,-1),'Data_NSA'!$A:$A,0),MATCH("CUUR0000SA0",'Data_NSA'!$1:$1,0))/INDEX('Data_NSA'!$A:$OK,MATCH(INDEX('Weights'!$E:$E,MATCH($A90,'Weights'!$A:$A,0)),'Data_NSA'!$A:$A,0),MATCH("CUUR0000SA0",'Data_NSA'!$1:$1,0))))*(INDEX('Data_SA'!$A:$LO,MATCH(I$2,'Data_SA'!$A:$A,0),MATCH($E90,'Data_SA'!$1:$1,0))/INDEX('Data_SA'!$A:$LO,MATCH(EDATE(I$2,-1),'Data_SA'!$A:$A,0),MATCH($E90,'Data_SA'!$1:$1,0))-1),""))</f>
        <v/>
      </c>
      <c r="O90" s="10">
        <f>IFERROR(INDEX('Data_NSA'!$A:$OK,MATCH(O$2,'Data_NSA'!$A:$A,0),MATCH($D90,'Data_NSA'!$1:$1,0)),"")</f>
        <v/>
      </c>
      <c r="P90" s="10">
        <f>IF($E90="","",IFERROR(INDEX('Data_SA'!$A:$LO,MATCH(O$2,'Data_SA'!$A:$A,0),MATCH($E90,'Data_SA'!$1:$1,0)),""))</f>
        <v/>
      </c>
      <c r="Q90" s="7">
        <f>IF($E90="","",IFERROR(INDEX('Data_SA'!$A:$LO,MATCH(O$2,'Data_SA'!$A:$A,0),MATCH($E90,'Data_SA'!$1:$1,0))/INDEX('Data_SA'!$A:$LO,MATCH(EDATE(O$2,-1),'Data_SA'!$A:$A,0),MATCH($E90,'Data_SA'!$1:$1,0))-1,""))</f>
        <v/>
      </c>
      <c r="R90" s="7">
        <f>IFERROR(INDEX('Data_NSA'!$A:$OK,MATCH(O$2,'Data_NSA'!$A:$A,0),MATCH($D90,'Data_NSA'!$1:$1,0))/INDEX('Data_NSA'!$A:$OK,MATCH(EDATE(O$2,-12),'Data_NSA'!$A:$A,0),MATCH($D90,'Data_NSA'!$1:$1,0))-1,"")</f>
        <v/>
      </c>
      <c r="S90" s="10">
        <f>IFERROR(INDEX('Weights'!$G:$I,MATCH($A90,'Weights'!$A:$A,0),MATCH(O$2,'Weights'!$G$1:$I$1,0)),"")</f>
        <v/>
      </c>
      <c r="T90" s="10">
        <f>IF($E90="","",IFERROR(100*(INDEX('Weights'!$D:$D,MATCH($A90,'Weights'!$A:$A,0))*(INDEX('Data_NSA'!$A:$OK,MATCH(EDATE(O$2,-1),'Data_NSA'!$A:$A,0),MATCH($D90,'Data_NSA'!$1:$1,0))/INDEX('Data_NSA'!$A:$OK,MATCH(INDEX('Weights'!$E:$E,MATCH($A90,'Weights'!$A:$A,0)),'Data_NSA'!$A:$A,0),MATCH($D90,'Data_NSA'!$1:$1,0))))/(100*(INDEX('Data_NSA'!$A:$OK,MATCH(EDATE(O$2,-1),'Data_NSA'!$A:$A,0),MATCH("CUUR0000SA0",'Data_NSA'!$1:$1,0))/INDEX('Data_NSA'!$A:$OK,MATCH(INDEX('Weights'!$E:$E,MATCH($A90,'Weights'!$A:$A,0)),'Data_NSA'!$A:$A,0),MATCH("CUUR0000SA0",'Data_NSA'!$1:$1,0))))*(INDEX('Data_SA'!$A:$LO,MATCH(O$2,'Data_SA'!$A:$A,0),MATCH($E90,'Data_SA'!$1:$1,0))/INDEX('Data_SA'!$A:$LO,MATCH(EDATE(O$2,-1),'Data_SA'!$A:$A,0),MATCH($E90,'Data_SA'!$1:$1,0))-1),""))</f>
        <v/>
      </c>
      <c r="U90" s="10">
        <f>IFERROR(INDEX('Data_NSA'!$A:$OK,MATCH(U$2,'Data_NSA'!$A:$A,0),MATCH($D90,'Data_NSA'!$1:$1,0)),"")</f>
        <v/>
      </c>
      <c r="V90" s="10">
        <f>IF($E90="","",IFERROR(INDEX('Data_SA'!$A:$LO,MATCH(U$2,'Data_SA'!$A:$A,0),MATCH($E90,'Data_SA'!$1:$1,0)),""))</f>
        <v/>
      </c>
      <c r="W90" s="7">
        <f>IF($E90="","",IFERROR(INDEX('Data_SA'!$A:$LO,MATCH(U$2,'Data_SA'!$A:$A,0),MATCH($E90,'Data_SA'!$1:$1,0))/INDEX('Data_SA'!$A:$LO,MATCH(EDATE(U$2,-1),'Data_SA'!$A:$A,0),MATCH($E90,'Data_SA'!$1:$1,0))-1,""))</f>
        <v/>
      </c>
      <c r="X90" s="7">
        <f>IFERROR(INDEX('Data_NSA'!$A:$OK,MATCH(U$2,'Data_NSA'!$A:$A,0),MATCH($D90,'Data_NSA'!$1:$1,0))/INDEX('Data_NSA'!$A:$OK,MATCH(EDATE(U$2,-12),'Data_NSA'!$A:$A,0),MATCH($D90,'Data_NSA'!$1:$1,0))-1,"")</f>
        <v/>
      </c>
      <c r="Y90" s="10">
        <f>IFERROR(INDEX('Weights'!$G:$I,MATCH($A90,'Weights'!$A:$A,0),MATCH(U$2,'Weights'!$G$1:$I$1,0)),"")</f>
        <v/>
      </c>
      <c r="Z90" s="10">
        <f>IF($E90="","",IFERROR(100*(INDEX('Weights'!$D:$D,MATCH($A90,'Weights'!$A:$A,0))*(INDEX('Data_NSA'!$A:$OK,MATCH(EDATE(U$2,-1),'Data_NSA'!$A:$A,0),MATCH($D90,'Data_NSA'!$1:$1,0))/INDEX('Data_NSA'!$A:$OK,MATCH(INDEX('Weights'!$E:$E,MATCH($A90,'Weights'!$A:$A,0)),'Data_NSA'!$A:$A,0),MATCH($D90,'Data_NSA'!$1:$1,0))))/(100*(INDEX('Data_NSA'!$A:$OK,MATCH(EDATE(U$2,-1),'Data_NSA'!$A:$A,0),MATCH("CUUR0000SA0",'Data_NSA'!$1:$1,0))/INDEX('Data_NSA'!$A:$OK,MATCH(INDEX('Weights'!$E:$E,MATCH($A90,'Weights'!$A:$A,0)),'Data_NSA'!$A:$A,0),MATCH("CUUR0000SA0",'Data_NSA'!$1:$1,0))))*(INDEX('Data_SA'!$A:$LO,MATCH(U$2,'Data_SA'!$A:$A,0),MATCH($E90,'Data_SA'!$1:$1,0))/INDEX('Data_SA'!$A:$LO,MATCH(EDATE(U$2,-1),'Data_SA'!$A:$A,0),MATCH($E90,'Data_SA'!$1:$1,0))-1),""))</f>
        <v/>
      </c>
    </row>
    <row r="91">
      <c r="A91" s="3" t="inlineStr">
        <is>
          <t>SEFN03</t>
        </is>
      </c>
      <c r="B91" s="3" t="inlineStr">
        <is>
          <t>Nonfrozen noncarbonated juices and drinks</t>
        </is>
      </c>
      <c r="C91" s="3" t="inlineStr">
        <is>
          <t>SEFN</t>
        </is>
      </c>
      <c r="D91" s="3" t="inlineStr">
        <is>
          <t>CUUR0000SEFN03</t>
        </is>
      </c>
      <c r="E91" s="3" t="inlineStr">
        <is>
          <t>CUSR0000SEFN03</t>
        </is>
      </c>
      <c r="F91" s="3" t="inlineStr">
        <is>
          <t>GM</t>
        </is>
      </c>
      <c r="G91" s="3" t="inlineStr">
        <is>
          <t>monthly food collection where sampled</t>
        </is>
      </c>
      <c r="H91" s="10">
        <f>IFERROR(INDEX(Weights!$D:$D,MATCH($A91,Weights!$A:$A,0)),"")</f>
        <v/>
      </c>
      <c r="I91" s="10">
        <f>IFERROR(INDEX('Data_NSA'!$A:$OK,MATCH(I$2,'Data_NSA'!$A:$A,0),MATCH($D91,'Data_NSA'!$1:$1,0)),"")</f>
        <v/>
      </c>
      <c r="J91" s="10">
        <f>IF($E91="","",IFERROR(INDEX('Data_SA'!$A:$LO,MATCH(I$2,'Data_SA'!$A:$A,0),MATCH($E91,'Data_SA'!$1:$1,0)),""))</f>
        <v/>
      </c>
      <c r="K91" s="7">
        <f>IF($E91="","",IFERROR(INDEX('Data_SA'!$A:$LO,MATCH(I$2,'Data_SA'!$A:$A,0),MATCH($E91,'Data_SA'!$1:$1,0))/INDEX('Data_SA'!$A:$LO,MATCH(EDATE(I$2,-1),'Data_SA'!$A:$A,0),MATCH($E91,'Data_SA'!$1:$1,0))-1,""))</f>
        <v/>
      </c>
      <c r="L91" s="7">
        <f>IFERROR(INDEX('Data_NSA'!$A:$OK,MATCH(I$2,'Data_NSA'!$A:$A,0),MATCH($D91,'Data_NSA'!$1:$1,0))/INDEX('Data_NSA'!$A:$OK,MATCH(EDATE(I$2,-12),'Data_NSA'!$A:$A,0),MATCH($D91,'Data_NSA'!$1:$1,0))-1,"")</f>
        <v/>
      </c>
      <c r="M91" s="10">
        <f>IFERROR(INDEX('Weights'!$G:$I,MATCH($A91,'Weights'!$A:$A,0),MATCH(I$2,'Weights'!$G$1:$I$1,0)),"")</f>
        <v/>
      </c>
      <c r="N91" s="10">
        <f>IF($E91="","",IFERROR(100*(INDEX('Weights'!$D:$D,MATCH($A91,'Weights'!$A:$A,0))*(INDEX('Data_NSA'!$A:$OK,MATCH(EDATE(I$2,-1),'Data_NSA'!$A:$A,0),MATCH($D91,'Data_NSA'!$1:$1,0))/INDEX('Data_NSA'!$A:$OK,MATCH(INDEX('Weights'!$E:$E,MATCH($A91,'Weights'!$A:$A,0)),'Data_NSA'!$A:$A,0),MATCH($D91,'Data_NSA'!$1:$1,0))))/(100*(INDEX('Data_NSA'!$A:$OK,MATCH(EDATE(I$2,-1),'Data_NSA'!$A:$A,0),MATCH("CUUR0000SA0",'Data_NSA'!$1:$1,0))/INDEX('Data_NSA'!$A:$OK,MATCH(INDEX('Weights'!$E:$E,MATCH($A91,'Weights'!$A:$A,0)),'Data_NSA'!$A:$A,0),MATCH("CUUR0000SA0",'Data_NSA'!$1:$1,0))))*(INDEX('Data_SA'!$A:$LO,MATCH(I$2,'Data_SA'!$A:$A,0),MATCH($E91,'Data_SA'!$1:$1,0))/INDEX('Data_SA'!$A:$LO,MATCH(EDATE(I$2,-1),'Data_SA'!$A:$A,0),MATCH($E91,'Data_SA'!$1:$1,0))-1),""))</f>
        <v/>
      </c>
      <c r="O91" s="10">
        <f>IFERROR(INDEX('Data_NSA'!$A:$OK,MATCH(O$2,'Data_NSA'!$A:$A,0),MATCH($D91,'Data_NSA'!$1:$1,0)),"")</f>
        <v/>
      </c>
      <c r="P91" s="10">
        <f>IF($E91="","",IFERROR(INDEX('Data_SA'!$A:$LO,MATCH(O$2,'Data_SA'!$A:$A,0),MATCH($E91,'Data_SA'!$1:$1,0)),""))</f>
        <v/>
      </c>
      <c r="Q91" s="7">
        <f>IF($E91="","",IFERROR(INDEX('Data_SA'!$A:$LO,MATCH(O$2,'Data_SA'!$A:$A,0),MATCH($E91,'Data_SA'!$1:$1,0))/INDEX('Data_SA'!$A:$LO,MATCH(EDATE(O$2,-1),'Data_SA'!$A:$A,0),MATCH($E91,'Data_SA'!$1:$1,0))-1,""))</f>
        <v/>
      </c>
      <c r="R91" s="7">
        <f>IFERROR(INDEX('Data_NSA'!$A:$OK,MATCH(O$2,'Data_NSA'!$A:$A,0),MATCH($D91,'Data_NSA'!$1:$1,0))/INDEX('Data_NSA'!$A:$OK,MATCH(EDATE(O$2,-12),'Data_NSA'!$A:$A,0),MATCH($D91,'Data_NSA'!$1:$1,0))-1,"")</f>
        <v/>
      </c>
      <c r="S91" s="10">
        <f>IFERROR(INDEX('Weights'!$G:$I,MATCH($A91,'Weights'!$A:$A,0),MATCH(O$2,'Weights'!$G$1:$I$1,0)),"")</f>
        <v/>
      </c>
      <c r="T91" s="10">
        <f>IF($E91="","",IFERROR(100*(INDEX('Weights'!$D:$D,MATCH($A91,'Weights'!$A:$A,0))*(INDEX('Data_NSA'!$A:$OK,MATCH(EDATE(O$2,-1),'Data_NSA'!$A:$A,0),MATCH($D91,'Data_NSA'!$1:$1,0))/INDEX('Data_NSA'!$A:$OK,MATCH(INDEX('Weights'!$E:$E,MATCH($A91,'Weights'!$A:$A,0)),'Data_NSA'!$A:$A,0),MATCH($D91,'Data_NSA'!$1:$1,0))))/(100*(INDEX('Data_NSA'!$A:$OK,MATCH(EDATE(O$2,-1),'Data_NSA'!$A:$A,0),MATCH("CUUR0000SA0",'Data_NSA'!$1:$1,0))/INDEX('Data_NSA'!$A:$OK,MATCH(INDEX('Weights'!$E:$E,MATCH($A91,'Weights'!$A:$A,0)),'Data_NSA'!$A:$A,0),MATCH("CUUR0000SA0",'Data_NSA'!$1:$1,0))))*(INDEX('Data_SA'!$A:$LO,MATCH(O$2,'Data_SA'!$A:$A,0),MATCH($E91,'Data_SA'!$1:$1,0))/INDEX('Data_SA'!$A:$LO,MATCH(EDATE(O$2,-1),'Data_SA'!$A:$A,0),MATCH($E91,'Data_SA'!$1:$1,0))-1),""))</f>
        <v/>
      </c>
      <c r="U91" s="10">
        <f>IFERROR(INDEX('Data_NSA'!$A:$OK,MATCH(U$2,'Data_NSA'!$A:$A,0),MATCH($D91,'Data_NSA'!$1:$1,0)),"")</f>
        <v/>
      </c>
      <c r="V91" s="10">
        <f>IF($E91="","",IFERROR(INDEX('Data_SA'!$A:$LO,MATCH(U$2,'Data_SA'!$A:$A,0),MATCH($E91,'Data_SA'!$1:$1,0)),""))</f>
        <v/>
      </c>
      <c r="W91" s="7">
        <f>IF($E91="","",IFERROR(INDEX('Data_SA'!$A:$LO,MATCH(U$2,'Data_SA'!$A:$A,0),MATCH($E91,'Data_SA'!$1:$1,0))/INDEX('Data_SA'!$A:$LO,MATCH(EDATE(U$2,-1),'Data_SA'!$A:$A,0),MATCH($E91,'Data_SA'!$1:$1,0))-1,""))</f>
        <v/>
      </c>
      <c r="X91" s="7">
        <f>IFERROR(INDEX('Data_NSA'!$A:$OK,MATCH(U$2,'Data_NSA'!$A:$A,0),MATCH($D91,'Data_NSA'!$1:$1,0))/INDEX('Data_NSA'!$A:$OK,MATCH(EDATE(U$2,-12),'Data_NSA'!$A:$A,0),MATCH($D91,'Data_NSA'!$1:$1,0))-1,"")</f>
        <v/>
      </c>
      <c r="Y91" s="10">
        <f>IFERROR(INDEX('Weights'!$G:$I,MATCH($A91,'Weights'!$A:$A,0),MATCH(U$2,'Weights'!$G$1:$I$1,0)),"")</f>
        <v/>
      </c>
      <c r="Z91" s="10">
        <f>IF($E91="","",IFERROR(100*(INDEX('Weights'!$D:$D,MATCH($A91,'Weights'!$A:$A,0))*(INDEX('Data_NSA'!$A:$OK,MATCH(EDATE(U$2,-1),'Data_NSA'!$A:$A,0),MATCH($D91,'Data_NSA'!$1:$1,0))/INDEX('Data_NSA'!$A:$OK,MATCH(INDEX('Weights'!$E:$E,MATCH($A91,'Weights'!$A:$A,0)),'Data_NSA'!$A:$A,0),MATCH($D91,'Data_NSA'!$1:$1,0))))/(100*(INDEX('Data_NSA'!$A:$OK,MATCH(EDATE(U$2,-1),'Data_NSA'!$A:$A,0),MATCH("CUUR0000SA0",'Data_NSA'!$1:$1,0))/INDEX('Data_NSA'!$A:$OK,MATCH(INDEX('Weights'!$E:$E,MATCH($A91,'Weights'!$A:$A,0)),'Data_NSA'!$A:$A,0),MATCH("CUUR0000SA0",'Data_NSA'!$1:$1,0))))*(INDEX('Data_SA'!$A:$LO,MATCH(U$2,'Data_SA'!$A:$A,0),MATCH($E91,'Data_SA'!$1:$1,0))/INDEX('Data_SA'!$A:$LO,MATCH(EDATE(U$2,-1),'Data_SA'!$A:$A,0),MATCH($E91,'Data_SA'!$1:$1,0))-1),""))</f>
        <v/>
      </c>
    </row>
    <row r="92">
      <c r="A92" s="3" t="inlineStr">
        <is>
          <t>SEFP</t>
        </is>
      </c>
      <c r="B92" s="3" t="inlineStr">
        <is>
          <t>Beverage materials including coffee and tea</t>
        </is>
      </c>
      <c r="C92" s="3" t="inlineStr">
        <is>
          <t>SAF114</t>
        </is>
      </c>
      <c r="D92" s="3" t="inlineStr">
        <is>
          <t>CUUR0000SEFP</t>
        </is>
      </c>
      <c r="E92" s="3" t="inlineStr">
        <is>
          <t>CUSR0000SEFP</t>
        </is>
      </c>
      <c r="F92" s="3" t="inlineStr">
        <is>
          <t>aggregate</t>
        </is>
      </c>
      <c r="G92" s="3" t="inlineStr">
        <is>
          <t>aggregate</t>
        </is>
      </c>
      <c r="H92" s="10">
        <f>IFERROR(INDEX(Weights!$D:$D,MATCH($A92,Weights!$A:$A,0)),"")</f>
        <v/>
      </c>
      <c r="I92" s="10">
        <f>IFERROR(INDEX('Data_NSA'!$A:$OK,MATCH(I$2,'Data_NSA'!$A:$A,0),MATCH($D92,'Data_NSA'!$1:$1,0)),"")</f>
        <v/>
      </c>
      <c r="J92" s="10">
        <f>IF($E92="","",IFERROR(INDEX('Data_SA'!$A:$LO,MATCH(I$2,'Data_SA'!$A:$A,0),MATCH($E92,'Data_SA'!$1:$1,0)),""))</f>
        <v/>
      </c>
      <c r="K92" s="7">
        <f>IF($E92="","",IFERROR(INDEX('Data_SA'!$A:$LO,MATCH(I$2,'Data_SA'!$A:$A,0),MATCH($E92,'Data_SA'!$1:$1,0))/INDEX('Data_SA'!$A:$LO,MATCH(EDATE(I$2,-1),'Data_SA'!$A:$A,0),MATCH($E92,'Data_SA'!$1:$1,0))-1,""))</f>
        <v/>
      </c>
      <c r="L92" s="7">
        <f>IFERROR(INDEX('Data_NSA'!$A:$OK,MATCH(I$2,'Data_NSA'!$A:$A,0),MATCH($D92,'Data_NSA'!$1:$1,0))/INDEX('Data_NSA'!$A:$OK,MATCH(EDATE(I$2,-12),'Data_NSA'!$A:$A,0),MATCH($D92,'Data_NSA'!$1:$1,0))-1,"")</f>
        <v/>
      </c>
      <c r="M92" s="10">
        <f>IFERROR(INDEX('Weights'!$G:$I,MATCH($A92,'Weights'!$A:$A,0),MATCH(I$2,'Weights'!$G$1:$I$1,0)),"")</f>
        <v/>
      </c>
      <c r="N92" s="10">
        <f>IF($E92="","",IFERROR(100*(INDEX('Weights'!$D:$D,MATCH($A92,'Weights'!$A:$A,0))*(INDEX('Data_NSA'!$A:$OK,MATCH(EDATE(I$2,-1),'Data_NSA'!$A:$A,0),MATCH($D92,'Data_NSA'!$1:$1,0))/INDEX('Data_NSA'!$A:$OK,MATCH(INDEX('Weights'!$E:$E,MATCH($A92,'Weights'!$A:$A,0)),'Data_NSA'!$A:$A,0),MATCH($D92,'Data_NSA'!$1:$1,0))))/(100*(INDEX('Data_NSA'!$A:$OK,MATCH(EDATE(I$2,-1),'Data_NSA'!$A:$A,0),MATCH("CUUR0000SA0",'Data_NSA'!$1:$1,0))/INDEX('Data_NSA'!$A:$OK,MATCH(INDEX('Weights'!$E:$E,MATCH($A92,'Weights'!$A:$A,0)),'Data_NSA'!$A:$A,0),MATCH("CUUR0000SA0",'Data_NSA'!$1:$1,0))))*(INDEX('Data_SA'!$A:$LO,MATCH(I$2,'Data_SA'!$A:$A,0),MATCH($E92,'Data_SA'!$1:$1,0))/INDEX('Data_SA'!$A:$LO,MATCH(EDATE(I$2,-1),'Data_SA'!$A:$A,0),MATCH($E92,'Data_SA'!$1:$1,0))-1),""))</f>
        <v/>
      </c>
      <c r="O92" s="10">
        <f>IFERROR(INDEX('Data_NSA'!$A:$OK,MATCH(O$2,'Data_NSA'!$A:$A,0),MATCH($D92,'Data_NSA'!$1:$1,0)),"")</f>
        <v/>
      </c>
      <c r="P92" s="10">
        <f>IF($E92="","",IFERROR(INDEX('Data_SA'!$A:$LO,MATCH(O$2,'Data_SA'!$A:$A,0),MATCH($E92,'Data_SA'!$1:$1,0)),""))</f>
        <v/>
      </c>
      <c r="Q92" s="7">
        <f>IF($E92="","",IFERROR(INDEX('Data_SA'!$A:$LO,MATCH(O$2,'Data_SA'!$A:$A,0),MATCH($E92,'Data_SA'!$1:$1,0))/INDEX('Data_SA'!$A:$LO,MATCH(EDATE(O$2,-1),'Data_SA'!$A:$A,0),MATCH($E92,'Data_SA'!$1:$1,0))-1,""))</f>
        <v/>
      </c>
      <c r="R92" s="7">
        <f>IFERROR(INDEX('Data_NSA'!$A:$OK,MATCH(O$2,'Data_NSA'!$A:$A,0),MATCH($D92,'Data_NSA'!$1:$1,0))/INDEX('Data_NSA'!$A:$OK,MATCH(EDATE(O$2,-12),'Data_NSA'!$A:$A,0),MATCH($D92,'Data_NSA'!$1:$1,0))-1,"")</f>
        <v/>
      </c>
      <c r="S92" s="10">
        <f>IFERROR(INDEX('Weights'!$G:$I,MATCH($A92,'Weights'!$A:$A,0),MATCH(O$2,'Weights'!$G$1:$I$1,0)),"")</f>
        <v/>
      </c>
      <c r="T92" s="10">
        <f>IF($E92="","",IFERROR(100*(INDEX('Weights'!$D:$D,MATCH($A92,'Weights'!$A:$A,0))*(INDEX('Data_NSA'!$A:$OK,MATCH(EDATE(O$2,-1),'Data_NSA'!$A:$A,0),MATCH($D92,'Data_NSA'!$1:$1,0))/INDEX('Data_NSA'!$A:$OK,MATCH(INDEX('Weights'!$E:$E,MATCH($A92,'Weights'!$A:$A,0)),'Data_NSA'!$A:$A,0),MATCH($D92,'Data_NSA'!$1:$1,0))))/(100*(INDEX('Data_NSA'!$A:$OK,MATCH(EDATE(O$2,-1),'Data_NSA'!$A:$A,0),MATCH("CUUR0000SA0",'Data_NSA'!$1:$1,0))/INDEX('Data_NSA'!$A:$OK,MATCH(INDEX('Weights'!$E:$E,MATCH($A92,'Weights'!$A:$A,0)),'Data_NSA'!$A:$A,0),MATCH("CUUR0000SA0",'Data_NSA'!$1:$1,0))))*(INDEX('Data_SA'!$A:$LO,MATCH(O$2,'Data_SA'!$A:$A,0),MATCH($E92,'Data_SA'!$1:$1,0))/INDEX('Data_SA'!$A:$LO,MATCH(EDATE(O$2,-1),'Data_SA'!$A:$A,0),MATCH($E92,'Data_SA'!$1:$1,0))-1),""))</f>
        <v/>
      </c>
      <c r="U92" s="10">
        <f>IFERROR(INDEX('Data_NSA'!$A:$OK,MATCH(U$2,'Data_NSA'!$A:$A,0),MATCH($D92,'Data_NSA'!$1:$1,0)),"")</f>
        <v/>
      </c>
      <c r="V92" s="10">
        <f>IF($E92="","",IFERROR(INDEX('Data_SA'!$A:$LO,MATCH(U$2,'Data_SA'!$A:$A,0),MATCH($E92,'Data_SA'!$1:$1,0)),""))</f>
        <v/>
      </c>
      <c r="W92" s="7">
        <f>IF($E92="","",IFERROR(INDEX('Data_SA'!$A:$LO,MATCH(U$2,'Data_SA'!$A:$A,0),MATCH($E92,'Data_SA'!$1:$1,0))/INDEX('Data_SA'!$A:$LO,MATCH(EDATE(U$2,-1),'Data_SA'!$A:$A,0),MATCH($E92,'Data_SA'!$1:$1,0))-1,""))</f>
        <v/>
      </c>
      <c r="X92" s="7">
        <f>IFERROR(INDEX('Data_NSA'!$A:$OK,MATCH(U$2,'Data_NSA'!$A:$A,0),MATCH($D92,'Data_NSA'!$1:$1,0))/INDEX('Data_NSA'!$A:$OK,MATCH(EDATE(U$2,-12),'Data_NSA'!$A:$A,0),MATCH($D92,'Data_NSA'!$1:$1,0))-1,"")</f>
        <v/>
      </c>
      <c r="Y92" s="10">
        <f>IFERROR(INDEX('Weights'!$G:$I,MATCH($A92,'Weights'!$A:$A,0),MATCH(U$2,'Weights'!$G$1:$I$1,0)),"")</f>
        <v/>
      </c>
      <c r="Z92" s="10">
        <f>IF($E92="","",IFERROR(100*(INDEX('Weights'!$D:$D,MATCH($A92,'Weights'!$A:$A,0))*(INDEX('Data_NSA'!$A:$OK,MATCH(EDATE(U$2,-1),'Data_NSA'!$A:$A,0),MATCH($D92,'Data_NSA'!$1:$1,0))/INDEX('Data_NSA'!$A:$OK,MATCH(INDEX('Weights'!$E:$E,MATCH($A92,'Weights'!$A:$A,0)),'Data_NSA'!$A:$A,0),MATCH($D92,'Data_NSA'!$1:$1,0))))/(100*(INDEX('Data_NSA'!$A:$OK,MATCH(EDATE(U$2,-1),'Data_NSA'!$A:$A,0),MATCH("CUUR0000SA0",'Data_NSA'!$1:$1,0))/INDEX('Data_NSA'!$A:$OK,MATCH(INDEX('Weights'!$E:$E,MATCH($A92,'Weights'!$A:$A,0)),'Data_NSA'!$A:$A,0),MATCH("CUUR0000SA0",'Data_NSA'!$1:$1,0))))*(INDEX('Data_SA'!$A:$LO,MATCH(U$2,'Data_SA'!$A:$A,0),MATCH($E92,'Data_SA'!$1:$1,0))/INDEX('Data_SA'!$A:$LO,MATCH(EDATE(U$2,-1),'Data_SA'!$A:$A,0),MATCH($E92,'Data_SA'!$1:$1,0))-1),""))</f>
        <v/>
      </c>
    </row>
    <row r="93">
      <c r="A93" s="3" t="inlineStr">
        <is>
          <t>SEFP01</t>
        </is>
      </c>
      <c r="B93" s="3" t="inlineStr">
        <is>
          <t>Coffee</t>
        </is>
      </c>
      <c r="C93" s="3" t="inlineStr">
        <is>
          <t>SEFP</t>
        </is>
      </c>
      <c r="D93" s="3" t="inlineStr">
        <is>
          <t>CUUR0000SEFP01</t>
        </is>
      </c>
      <c r="E93" s="3" t="inlineStr">
        <is>
          <t>CUSR0000SEFP01</t>
        </is>
      </c>
      <c r="F93" s="3" t="inlineStr">
        <is>
          <t>aggregate</t>
        </is>
      </c>
      <c r="G93" s="3" t="inlineStr">
        <is>
          <t>aggregate</t>
        </is>
      </c>
      <c r="H93" s="10">
        <f>IFERROR(INDEX(Weights!$D:$D,MATCH($A93,Weights!$A:$A,0)),"")</f>
        <v/>
      </c>
      <c r="I93" s="10">
        <f>IFERROR(INDEX('Data_NSA'!$A:$OK,MATCH(I$2,'Data_NSA'!$A:$A,0),MATCH($D93,'Data_NSA'!$1:$1,0)),"")</f>
        <v/>
      </c>
      <c r="J93" s="10">
        <f>IF($E93="","",IFERROR(INDEX('Data_SA'!$A:$LO,MATCH(I$2,'Data_SA'!$A:$A,0),MATCH($E93,'Data_SA'!$1:$1,0)),""))</f>
        <v/>
      </c>
      <c r="K93" s="7">
        <f>IF($E93="","",IFERROR(INDEX('Data_SA'!$A:$LO,MATCH(I$2,'Data_SA'!$A:$A,0),MATCH($E93,'Data_SA'!$1:$1,0))/INDEX('Data_SA'!$A:$LO,MATCH(EDATE(I$2,-1),'Data_SA'!$A:$A,0),MATCH($E93,'Data_SA'!$1:$1,0))-1,""))</f>
        <v/>
      </c>
      <c r="L93" s="7">
        <f>IFERROR(INDEX('Data_NSA'!$A:$OK,MATCH(I$2,'Data_NSA'!$A:$A,0),MATCH($D93,'Data_NSA'!$1:$1,0))/INDEX('Data_NSA'!$A:$OK,MATCH(EDATE(I$2,-12),'Data_NSA'!$A:$A,0),MATCH($D93,'Data_NSA'!$1:$1,0))-1,"")</f>
        <v/>
      </c>
      <c r="M93" s="10">
        <f>IFERROR(INDEX('Weights'!$G:$I,MATCH($A93,'Weights'!$A:$A,0),MATCH(I$2,'Weights'!$G$1:$I$1,0)),"")</f>
        <v/>
      </c>
      <c r="N93" s="10">
        <f>IF($E93="","",IFERROR(100*(INDEX('Weights'!$D:$D,MATCH($A93,'Weights'!$A:$A,0))*(INDEX('Data_NSA'!$A:$OK,MATCH(EDATE(I$2,-1),'Data_NSA'!$A:$A,0),MATCH($D93,'Data_NSA'!$1:$1,0))/INDEX('Data_NSA'!$A:$OK,MATCH(INDEX('Weights'!$E:$E,MATCH($A93,'Weights'!$A:$A,0)),'Data_NSA'!$A:$A,0),MATCH($D93,'Data_NSA'!$1:$1,0))))/(100*(INDEX('Data_NSA'!$A:$OK,MATCH(EDATE(I$2,-1),'Data_NSA'!$A:$A,0),MATCH("CUUR0000SA0",'Data_NSA'!$1:$1,0))/INDEX('Data_NSA'!$A:$OK,MATCH(INDEX('Weights'!$E:$E,MATCH($A93,'Weights'!$A:$A,0)),'Data_NSA'!$A:$A,0),MATCH("CUUR0000SA0",'Data_NSA'!$1:$1,0))))*(INDEX('Data_SA'!$A:$LO,MATCH(I$2,'Data_SA'!$A:$A,0),MATCH($E93,'Data_SA'!$1:$1,0))/INDEX('Data_SA'!$A:$LO,MATCH(EDATE(I$2,-1),'Data_SA'!$A:$A,0),MATCH($E93,'Data_SA'!$1:$1,0))-1),""))</f>
        <v/>
      </c>
      <c r="O93" s="10">
        <f>IFERROR(INDEX('Data_NSA'!$A:$OK,MATCH(O$2,'Data_NSA'!$A:$A,0),MATCH($D93,'Data_NSA'!$1:$1,0)),"")</f>
        <v/>
      </c>
      <c r="P93" s="10">
        <f>IF($E93="","",IFERROR(INDEX('Data_SA'!$A:$LO,MATCH(O$2,'Data_SA'!$A:$A,0),MATCH($E93,'Data_SA'!$1:$1,0)),""))</f>
        <v/>
      </c>
      <c r="Q93" s="7">
        <f>IF($E93="","",IFERROR(INDEX('Data_SA'!$A:$LO,MATCH(O$2,'Data_SA'!$A:$A,0),MATCH($E93,'Data_SA'!$1:$1,0))/INDEX('Data_SA'!$A:$LO,MATCH(EDATE(O$2,-1),'Data_SA'!$A:$A,0),MATCH($E93,'Data_SA'!$1:$1,0))-1,""))</f>
        <v/>
      </c>
      <c r="R93" s="7">
        <f>IFERROR(INDEX('Data_NSA'!$A:$OK,MATCH(O$2,'Data_NSA'!$A:$A,0),MATCH($D93,'Data_NSA'!$1:$1,0))/INDEX('Data_NSA'!$A:$OK,MATCH(EDATE(O$2,-12),'Data_NSA'!$A:$A,0),MATCH($D93,'Data_NSA'!$1:$1,0))-1,"")</f>
        <v/>
      </c>
      <c r="S93" s="10">
        <f>IFERROR(INDEX('Weights'!$G:$I,MATCH($A93,'Weights'!$A:$A,0),MATCH(O$2,'Weights'!$G$1:$I$1,0)),"")</f>
        <v/>
      </c>
      <c r="T93" s="10">
        <f>IF($E93="","",IFERROR(100*(INDEX('Weights'!$D:$D,MATCH($A93,'Weights'!$A:$A,0))*(INDEX('Data_NSA'!$A:$OK,MATCH(EDATE(O$2,-1),'Data_NSA'!$A:$A,0),MATCH($D93,'Data_NSA'!$1:$1,0))/INDEX('Data_NSA'!$A:$OK,MATCH(INDEX('Weights'!$E:$E,MATCH($A93,'Weights'!$A:$A,0)),'Data_NSA'!$A:$A,0),MATCH($D93,'Data_NSA'!$1:$1,0))))/(100*(INDEX('Data_NSA'!$A:$OK,MATCH(EDATE(O$2,-1),'Data_NSA'!$A:$A,0),MATCH("CUUR0000SA0",'Data_NSA'!$1:$1,0))/INDEX('Data_NSA'!$A:$OK,MATCH(INDEX('Weights'!$E:$E,MATCH($A93,'Weights'!$A:$A,0)),'Data_NSA'!$A:$A,0),MATCH("CUUR0000SA0",'Data_NSA'!$1:$1,0))))*(INDEX('Data_SA'!$A:$LO,MATCH(O$2,'Data_SA'!$A:$A,0),MATCH($E93,'Data_SA'!$1:$1,0))/INDEX('Data_SA'!$A:$LO,MATCH(EDATE(O$2,-1),'Data_SA'!$A:$A,0),MATCH($E93,'Data_SA'!$1:$1,0))-1),""))</f>
        <v/>
      </c>
      <c r="U93" s="10">
        <f>IFERROR(INDEX('Data_NSA'!$A:$OK,MATCH(U$2,'Data_NSA'!$A:$A,0),MATCH($D93,'Data_NSA'!$1:$1,0)),"")</f>
        <v/>
      </c>
      <c r="V93" s="10">
        <f>IF($E93="","",IFERROR(INDEX('Data_SA'!$A:$LO,MATCH(U$2,'Data_SA'!$A:$A,0),MATCH($E93,'Data_SA'!$1:$1,0)),""))</f>
        <v/>
      </c>
      <c r="W93" s="7">
        <f>IF($E93="","",IFERROR(INDEX('Data_SA'!$A:$LO,MATCH(U$2,'Data_SA'!$A:$A,0),MATCH($E93,'Data_SA'!$1:$1,0))/INDEX('Data_SA'!$A:$LO,MATCH(EDATE(U$2,-1),'Data_SA'!$A:$A,0),MATCH($E93,'Data_SA'!$1:$1,0))-1,""))</f>
        <v/>
      </c>
      <c r="X93" s="7">
        <f>IFERROR(INDEX('Data_NSA'!$A:$OK,MATCH(U$2,'Data_NSA'!$A:$A,0),MATCH($D93,'Data_NSA'!$1:$1,0))/INDEX('Data_NSA'!$A:$OK,MATCH(EDATE(U$2,-12),'Data_NSA'!$A:$A,0),MATCH($D93,'Data_NSA'!$1:$1,0))-1,"")</f>
        <v/>
      </c>
      <c r="Y93" s="10">
        <f>IFERROR(INDEX('Weights'!$G:$I,MATCH($A93,'Weights'!$A:$A,0),MATCH(U$2,'Weights'!$G$1:$I$1,0)),"")</f>
        <v/>
      </c>
      <c r="Z93" s="10">
        <f>IF($E93="","",IFERROR(100*(INDEX('Weights'!$D:$D,MATCH($A93,'Weights'!$A:$A,0))*(INDEX('Data_NSA'!$A:$OK,MATCH(EDATE(U$2,-1),'Data_NSA'!$A:$A,0),MATCH($D93,'Data_NSA'!$1:$1,0))/INDEX('Data_NSA'!$A:$OK,MATCH(INDEX('Weights'!$E:$E,MATCH($A93,'Weights'!$A:$A,0)),'Data_NSA'!$A:$A,0),MATCH($D93,'Data_NSA'!$1:$1,0))))/(100*(INDEX('Data_NSA'!$A:$OK,MATCH(EDATE(U$2,-1),'Data_NSA'!$A:$A,0),MATCH("CUUR0000SA0",'Data_NSA'!$1:$1,0))/INDEX('Data_NSA'!$A:$OK,MATCH(INDEX('Weights'!$E:$E,MATCH($A93,'Weights'!$A:$A,0)),'Data_NSA'!$A:$A,0),MATCH("CUUR0000SA0",'Data_NSA'!$1:$1,0))))*(INDEX('Data_SA'!$A:$LO,MATCH(U$2,'Data_SA'!$A:$A,0),MATCH($E93,'Data_SA'!$1:$1,0))/INDEX('Data_SA'!$A:$LO,MATCH(EDATE(U$2,-1),'Data_SA'!$A:$A,0),MATCH($E93,'Data_SA'!$1:$1,0))-1),""))</f>
        <v/>
      </c>
    </row>
    <row r="94">
      <c r="A94" s="3" t="inlineStr">
        <is>
          <t>SS17031</t>
        </is>
      </c>
      <c r="B94" s="3" t="inlineStr">
        <is>
          <t>Roasted coffee</t>
        </is>
      </c>
      <c r="C94" s="3" t="inlineStr">
        <is>
          <t>SEFP01</t>
        </is>
      </c>
      <c r="D94" s="3" t="inlineStr">
        <is>
          <t>CUUR0000SS17031</t>
        </is>
      </c>
      <c r="E94" s="3" t="inlineStr">
        <is>
          <t>CUSR0000SS17031</t>
        </is>
      </c>
      <c r="F94" s="3" t="inlineStr">
        <is>
          <t>GM</t>
        </is>
      </c>
      <c r="G94" s="3" t="inlineStr">
        <is>
          <t>monthly in New York/Los Angeles/Chicago; often bimonthly elsewhere</t>
        </is>
      </c>
      <c r="H94" s="10">
        <f>IFERROR(INDEX(Weights!$D:$D,MATCH($A94,Weights!$A:$A,0)),"")</f>
        <v/>
      </c>
      <c r="I94" s="10">
        <f>IFERROR(INDEX('Data_NSA'!$A:$OK,MATCH(I$2,'Data_NSA'!$A:$A,0),MATCH($D94,'Data_NSA'!$1:$1,0)),"")</f>
        <v/>
      </c>
      <c r="J94" s="10">
        <f>IF($E94="","",IFERROR(INDEX('Data_SA'!$A:$LO,MATCH(I$2,'Data_SA'!$A:$A,0),MATCH($E94,'Data_SA'!$1:$1,0)),""))</f>
        <v/>
      </c>
      <c r="K94" s="7">
        <f>IF($E94="","",IFERROR(INDEX('Data_SA'!$A:$LO,MATCH(I$2,'Data_SA'!$A:$A,0),MATCH($E94,'Data_SA'!$1:$1,0))/INDEX('Data_SA'!$A:$LO,MATCH(EDATE(I$2,-1),'Data_SA'!$A:$A,0),MATCH($E94,'Data_SA'!$1:$1,0))-1,""))</f>
        <v/>
      </c>
      <c r="L94" s="7">
        <f>IFERROR(INDEX('Data_NSA'!$A:$OK,MATCH(I$2,'Data_NSA'!$A:$A,0),MATCH($D94,'Data_NSA'!$1:$1,0))/INDEX('Data_NSA'!$A:$OK,MATCH(EDATE(I$2,-12),'Data_NSA'!$A:$A,0),MATCH($D94,'Data_NSA'!$1:$1,0))-1,"")</f>
        <v/>
      </c>
      <c r="M94" s="10">
        <f>IFERROR(INDEX('Weights'!$G:$I,MATCH($A94,'Weights'!$A:$A,0),MATCH(I$2,'Weights'!$G$1:$I$1,0)),"")</f>
        <v/>
      </c>
      <c r="N94" s="10">
        <f>IF($E94="","",IFERROR(100*(INDEX('Weights'!$D:$D,MATCH($A94,'Weights'!$A:$A,0))*(INDEX('Data_NSA'!$A:$OK,MATCH(EDATE(I$2,-1),'Data_NSA'!$A:$A,0),MATCH($D94,'Data_NSA'!$1:$1,0))/INDEX('Data_NSA'!$A:$OK,MATCH(INDEX('Weights'!$E:$E,MATCH($A94,'Weights'!$A:$A,0)),'Data_NSA'!$A:$A,0),MATCH($D94,'Data_NSA'!$1:$1,0))))/(100*(INDEX('Data_NSA'!$A:$OK,MATCH(EDATE(I$2,-1),'Data_NSA'!$A:$A,0),MATCH("CUUR0000SA0",'Data_NSA'!$1:$1,0))/INDEX('Data_NSA'!$A:$OK,MATCH(INDEX('Weights'!$E:$E,MATCH($A94,'Weights'!$A:$A,0)),'Data_NSA'!$A:$A,0),MATCH("CUUR0000SA0",'Data_NSA'!$1:$1,0))))*(INDEX('Data_SA'!$A:$LO,MATCH(I$2,'Data_SA'!$A:$A,0),MATCH($E94,'Data_SA'!$1:$1,0))/INDEX('Data_SA'!$A:$LO,MATCH(EDATE(I$2,-1),'Data_SA'!$A:$A,0),MATCH($E94,'Data_SA'!$1:$1,0))-1),""))</f>
        <v/>
      </c>
      <c r="O94" s="10">
        <f>IFERROR(INDEX('Data_NSA'!$A:$OK,MATCH(O$2,'Data_NSA'!$A:$A,0),MATCH($D94,'Data_NSA'!$1:$1,0)),"")</f>
        <v/>
      </c>
      <c r="P94" s="10">
        <f>IF($E94="","",IFERROR(INDEX('Data_SA'!$A:$LO,MATCH(O$2,'Data_SA'!$A:$A,0),MATCH($E94,'Data_SA'!$1:$1,0)),""))</f>
        <v/>
      </c>
      <c r="Q94" s="7">
        <f>IF($E94="","",IFERROR(INDEX('Data_SA'!$A:$LO,MATCH(O$2,'Data_SA'!$A:$A,0),MATCH($E94,'Data_SA'!$1:$1,0))/INDEX('Data_SA'!$A:$LO,MATCH(EDATE(O$2,-1),'Data_SA'!$A:$A,0),MATCH($E94,'Data_SA'!$1:$1,0))-1,""))</f>
        <v/>
      </c>
      <c r="R94" s="7">
        <f>IFERROR(INDEX('Data_NSA'!$A:$OK,MATCH(O$2,'Data_NSA'!$A:$A,0),MATCH($D94,'Data_NSA'!$1:$1,0))/INDEX('Data_NSA'!$A:$OK,MATCH(EDATE(O$2,-12),'Data_NSA'!$A:$A,0),MATCH($D94,'Data_NSA'!$1:$1,0))-1,"")</f>
        <v/>
      </c>
      <c r="S94" s="10">
        <f>IFERROR(INDEX('Weights'!$G:$I,MATCH($A94,'Weights'!$A:$A,0),MATCH(O$2,'Weights'!$G$1:$I$1,0)),"")</f>
        <v/>
      </c>
      <c r="T94" s="10">
        <f>IF($E94="","",IFERROR(100*(INDEX('Weights'!$D:$D,MATCH($A94,'Weights'!$A:$A,0))*(INDEX('Data_NSA'!$A:$OK,MATCH(EDATE(O$2,-1),'Data_NSA'!$A:$A,0),MATCH($D94,'Data_NSA'!$1:$1,0))/INDEX('Data_NSA'!$A:$OK,MATCH(INDEX('Weights'!$E:$E,MATCH($A94,'Weights'!$A:$A,0)),'Data_NSA'!$A:$A,0),MATCH($D94,'Data_NSA'!$1:$1,0))))/(100*(INDEX('Data_NSA'!$A:$OK,MATCH(EDATE(O$2,-1),'Data_NSA'!$A:$A,0),MATCH("CUUR0000SA0",'Data_NSA'!$1:$1,0))/INDEX('Data_NSA'!$A:$OK,MATCH(INDEX('Weights'!$E:$E,MATCH($A94,'Weights'!$A:$A,0)),'Data_NSA'!$A:$A,0),MATCH("CUUR0000SA0",'Data_NSA'!$1:$1,0))))*(INDEX('Data_SA'!$A:$LO,MATCH(O$2,'Data_SA'!$A:$A,0),MATCH($E94,'Data_SA'!$1:$1,0))/INDEX('Data_SA'!$A:$LO,MATCH(EDATE(O$2,-1),'Data_SA'!$A:$A,0),MATCH($E94,'Data_SA'!$1:$1,0))-1),""))</f>
        <v/>
      </c>
      <c r="U94" s="10">
        <f>IFERROR(INDEX('Data_NSA'!$A:$OK,MATCH(U$2,'Data_NSA'!$A:$A,0),MATCH($D94,'Data_NSA'!$1:$1,0)),"")</f>
        <v/>
      </c>
      <c r="V94" s="10">
        <f>IF($E94="","",IFERROR(INDEX('Data_SA'!$A:$LO,MATCH(U$2,'Data_SA'!$A:$A,0),MATCH($E94,'Data_SA'!$1:$1,0)),""))</f>
        <v/>
      </c>
      <c r="W94" s="7">
        <f>IF($E94="","",IFERROR(INDEX('Data_SA'!$A:$LO,MATCH(U$2,'Data_SA'!$A:$A,0),MATCH($E94,'Data_SA'!$1:$1,0))/INDEX('Data_SA'!$A:$LO,MATCH(EDATE(U$2,-1),'Data_SA'!$A:$A,0),MATCH($E94,'Data_SA'!$1:$1,0))-1,""))</f>
        <v/>
      </c>
      <c r="X94" s="7">
        <f>IFERROR(INDEX('Data_NSA'!$A:$OK,MATCH(U$2,'Data_NSA'!$A:$A,0),MATCH($D94,'Data_NSA'!$1:$1,0))/INDEX('Data_NSA'!$A:$OK,MATCH(EDATE(U$2,-12),'Data_NSA'!$A:$A,0),MATCH($D94,'Data_NSA'!$1:$1,0))-1,"")</f>
        <v/>
      </c>
      <c r="Y94" s="10">
        <f>IFERROR(INDEX('Weights'!$G:$I,MATCH($A94,'Weights'!$A:$A,0),MATCH(U$2,'Weights'!$G$1:$I$1,0)),"")</f>
        <v/>
      </c>
      <c r="Z94" s="10">
        <f>IF($E94="","",IFERROR(100*(INDEX('Weights'!$D:$D,MATCH($A94,'Weights'!$A:$A,0))*(INDEX('Data_NSA'!$A:$OK,MATCH(EDATE(U$2,-1),'Data_NSA'!$A:$A,0),MATCH($D94,'Data_NSA'!$1:$1,0))/INDEX('Data_NSA'!$A:$OK,MATCH(INDEX('Weights'!$E:$E,MATCH($A94,'Weights'!$A:$A,0)),'Data_NSA'!$A:$A,0),MATCH($D94,'Data_NSA'!$1:$1,0))))/(100*(INDEX('Data_NSA'!$A:$OK,MATCH(EDATE(U$2,-1),'Data_NSA'!$A:$A,0),MATCH("CUUR0000SA0",'Data_NSA'!$1:$1,0))/INDEX('Data_NSA'!$A:$OK,MATCH(INDEX('Weights'!$E:$E,MATCH($A94,'Weights'!$A:$A,0)),'Data_NSA'!$A:$A,0),MATCH("CUUR0000SA0",'Data_NSA'!$1:$1,0))))*(INDEX('Data_SA'!$A:$LO,MATCH(U$2,'Data_SA'!$A:$A,0),MATCH($E94,'Data_SA'!$1:$1,0))/INDEX('Data_SA'!$A:$LO,MATCH(EDATE(U$2,-1),'Data_SA'!$A:$A,0),MATCH($E94,'Data_SA'!$1:$1,0))-1),""))</f>
        <v/>
      </c>
    </row>
    <row r="95">
      <c r="A95" s="3" t="inlineStr">
        <is>
          <t>SS17032</t>
        </is>
      </c>
      <c r="B95" s="3" t="inlineStr">
        <is>
          <t>Instant coffee</t>
        </is>
      </c>
      <c r="C95" s="3" t="inlineStr">
        <is>
          <t>SEFP01</t>
        </is>
      </c>
      <c r="D95" s="3" t="inlineStr">
        <is>
          <t>CUUR0000SS17032</t>
        </is>
      </c>
      <c r="E95" s="3" t="inlineStr"/>
      <c r="F95" s="3" t="inlineStr">
        <is>
          <t>GM</t>
        </is>
      </c>
      <c r="G95" s="3" t="inlineStr">
        <is>
          <t>monthly in New York/Los Angeles/Chicago; often bimonthly elsewhere</t>
        </is>
      </c>
      <c r="H95" s="10">
        <f>IFERROR(INDEX(Weights!$D:$D,MATCH($A95,Weights!$A:$A,0)),"")</f>
        <v/>
      </c>
      <c r="I95" s="10">
        <f>IFERROR(INDEX('Data_NSA'!$A:$OK,MATCH(I$2,'Data_NSA'!$A:$A,0),MATCH($D95,'Data_NSA'!$1:$1,0)),"")</f>
        <v/>
      </c>
      <c r="J95" s="10">
        <f>IF($E95="","",IFERROR(INDEX('Data_SA'!$A:$LO,MATCH(I$2,'Data_SA'!$A:$A,0),MATCH($E95,'Data_SA'!$1:$1,0)),""))</f>
        <v/>
      </c>
      <c r="K95" s="7">
        <f>IF($E95="","",IFERROR(INDEX('Data_SA'!$A:$LO,MATCH(I$2,'Data_SA'!$A:$A,0),MATCH($E95,'Data_SA'!$1:$1,0))/INDEX('Data_SA'!$A:$LO,MATCH(EDATE(I$2,-1),'Data_SA'!$A:$A,0),MATCH($E95,'Data_SA'!$1:$1,0))-1,""))</f>
        <v/>
      </c>
      <c r="L95" s="7">
        <f>IFERROR(INDEX('Data_NSA'!$A:$OK,MATCH(I$2,'Data_NSA'!$A:$A,0),MATCH($D95,'Data_NSA'!$1:$1,0))/INDEX('Data_NSA'!$A:$OK,MATCH(EDATE(I$2,-12),'Data_NSA'!$A:$A,0),MATCH($D95,'Data_NSA'!$1:$1,0))-1,"")</f>
        <v/>
      </c>
      <c r="M95" s="10">
        <f>IFERROR(INDEX('Weights'!$G:$I,MATCH($A95,'Weights'!$A:$A,0),MATCH(I$2,'Weights'!$G$1:$I$1,0)),"")</f>
        <v/>
      </c>
      <c r="N95" s="10">
        <f>IF($E95="","",IFERROR(100*(INDEX('Weights'!$D:$D,MATCH($A95,'Weights'!$A:$A,0))*(INDEX('Data_NSA'!$A:$OK,MATCH(EDATE(I$2,-1),'Data_NSA'!$A:$A,0),MATCH($D95,'Data_NSA'!$1:$1,0))/INDEX('Data_NSA'!$A:$OK,MATCH(INDEX('Weights'!$E:$E,MATCH($A95,'Weights'!$A:$A,0)),'Data_NSA'!$A:$A,0),MATCH($D95,'Data_NSA'!$1:$1,0))))/(100*(INDEX('Data_NSA'!$A:$OK,MATCH(EDATE(I$2,-1),'Data_NSA'!$A:$A,0),MATCH("CUUR0000SA0",'Data_NSA'!$1:$1,0))/INDEX('Data_NSA'!$A:$OK,MATCH(INDEX('Weights'!$E:$E,MATCH($A95,'Weights'!$A:$A,0)),'Data_NSA'!$A:$A,0),MATCH("CUUR0000SA0",'Data_NSA'!$1:$1,0))))*(INDEX('Data_SA'!$A:$LO,MATCH(I$2,'Data_SA'!$A:$A,0),MATCH($E95,'Data_SA'!$1:$1,0))/INDEX('Data_SA'!$A:$LO,MATCH(EDATE(I$2,-1),'Data_SA'!$A:$A,0),MATCH($E95,'Data_SA'!$1:$1,0))-1),""))</f>
        <v/>
      </c>
      <c r="O95" s="10">
        <f>IFERROR(INDEX('Data_NSA'!$A:$OK,MATCH(O$2,'Data_NSA'!$A:$A,0),MATCH($D95,'Data_NSA'!$1:$1,0)),"")</f>
        <v/>
      </c>
      <c r="P95" s="10">
        <f>IF($E95="","",IFERROR(INDEX('Data_SA'!$A:$LO,MATCH(O$2,'Data_SA'!$A:$A,0),MATCH($E95,'Data_SA'!$1:$1,0)),""))</f>
        <v/>
      </c>
      <c r="Q95" s="7">
        <f>IF($E95="","",IFERROR(INDEX('Data_SA'!$A:$LO,MATCH(O$2,'Data_SA'!$A:$A,0),MATCH($E95,'Data_SA'!$1:$1,0))/INDEX('Data_SA'!$A:$LO,MATCH(EDATE(O$2,-1),'Data_SA'!$A:$A,0),MATCH($E95,'Data_SA'!$1:$1,0))-1,""))</f>
        <v/>
      </c>
      <c r="R95" s="7">
        <f>IFERROR(INDEX('Data_NSA'!$A:$OK,MATCH(O$2,'Data_NSA'!$A:$A,0),MATCH($D95,'Data_NSA'!$1:$1,0))/INDEX('Data_NSA'!$A:$OK,MATCH(EDATE(O$2,-12),'Data_NSA'!$A:$A,0),MATCH($D95,'Data_NSA'!$1:$1,0))-1,"")</f>
        <v/>
      </c>
      <c r="S95" s="10">
        <f>IFERROR(INDEX('Weights'!$G:$I,MATCH($A95,'Weights'!$A:$A,0),MATCH(O$2,'Weights'!$G$1:$I$1,0)),"")</f>
        <v/>
      </c>
      <c r="T95" s="10">
        <f>IF($E95="","",IFERROR(100*(INDEX('Weights'!$D:$D,MATCH($A95,'Weights'!$A:$A,0))*(INDEX('Data_NSA'!$A:$OK,MATCH(EDATE(O$2,-1),'Data_NSA'!$A:$A,0),MATCH($D95,'Data_NSA'!$1:$1,0))/INDEX('Data_NSA'!$A:$OK,MATCH(INDEX('Weights'!$E:$E,MATCH($A95,'Weights'!$A:$A,0)),'Data_NSA'!$A:$A,0),MATCH($D95,'Data_NSA'!$1:$1,0))))/(100*(INDEX('Data_NSA'!$A:$OK,MATCH(EDATE(O$2,-1),'Data_NSA'!$A:$A,0),MATCH("CUUR0000SA0",'Data_NSA'!$1:$1,0))/INDEX('Data_NSA'!$A:$OK,MATCH(INDEX('Weights'!$E:$E,MATCH($A95,'Weights'!$A:$A,0)),'Data_NSA'!$A:$A,0),MATCH("CUUR0000SA0",'Data_NSA'!$1:$1,0))))*(INDEX('Data_SA'!$A:$LO,MATCH(O$2,'Data_SA'!$A:$A,0),MATCH($E95,'Data_SA'!$1:$1,0))/INDEX('Data_SA'!$A:$LO,MATCH(EDATE(O$2,-1),'Data_SA'!$A:$A,0),MATCH($E95,'Data_SA'!$1:$1,0))-1),""))</f>
        <v/>
      </c>
      <c r="U95" s="10">
        <f>IFERROR(INDEX('Data_NSA'!$A:$OK,MATCH(U$2,'Data_NSA'!$A:$A,0),MATCH($D95,'Data_NSA'!$1:$1,0)),"")</f>
        <v/>
      </c>
      <c r="V95" s="10">
        <f>IF($E95="","",IFERROR(INDEX('Data_SA'!$A:$LO,MATCH(U$2,'Data_SA'!$A:$A,0),MATCH($E95,'Data_SA'!$1:$1,0)),""))</f>
        <v/>
      </c>
      <c r="W95" s="7">
        <f>IF($E95="","",IFERROR(INDEX('Data_SA'!$A:$LO,MATCH(U$2,'Data_SA'!$A:$A,0),MATCH($E95,'Data_SA'!$1:$1,0))/INDEX('Data_SA'!$A:$LO,MATCH(EDATE(U$2,-1),'Data_SA'!$A:$A,0),MATCH($E95,'Data_SA'!$1:$1,0))-1,""))</f>
        <v/>
      </c>
      <c r="X95" s="7">
        <f>IFERROR(INDEX('Data_NSA'!$A:$OK,MATCH(U$2,'Data_NSA'!$A:$A,0),MATCH($D95,'Data_NSA'!$1:$1,0))/INDEX('Data_NSA'!$A:$OK,MATCH(EDATE(U$2,-12),'Data_NSA'!$A:$A,0),MATCH($D95,'Data_NSA'!$1:$1,0))-1,"")</f>
        <v/>
      </c>
      <c r="Y95" s="10">
        <f>IFERROR(INDEX('Weights'!$G:$I,MATCH($A95,'Weights'!$A:$A,0),MATCH(U$2,'Weights'!$G$1:$I$1,0)),"")</f>
        <v/>
      </c>
      <c r="Z95" s="10">
        <f>IF($E95="","",IFERROR(100*(INDEX('Weights'!$D:$D,MATCH($A95,'Weights'!$A:$A,0))*(INDEX('Data_NSA'!$A:$OK,MATCH(EDATE(U$2,-1),'Data_NSA'!$A:$A,0),MATCH($D95,'Data_NSA'!$1:$1,0))/INDEX('Data_NSA'!$A:$OK,MATCH(INDEX('Weights'!$E:$E,MATCH($A95,'Weights'!$A:$A,0)),'Data_NSA'!$A:$A,0),MATCH($D95,'Data_NSA'!$1:$1,0))))/(100*(INDEX('Data_NSA'!$A:$OK,MATCH(EDATE(U$2,-1),'Data_NSA'!$A:$A,0),MATCH("CUUR0000SA0",'Data_NSA'!$1:$1,0))/INDEX('Data_NSA'!$A:$OK,MATCH(INDEX('Weights'!$E:$E,MATCH($A95,'Weights'!$A:$A,0)),'Data_NSA'!$A:$A,0),MATCH("CUUR0000SA0",'Data_NSA'!$1:$1,0))))*(INDEX('Data_SA'!$A:$LO,MATCH(U$2,'Data_SA'!$A:$A,0),MATCH($E95,'Data_SA'!$1:$1,0))/INDEX('Data_SA'!$A:$LO,MATCH(EDATE(U$2,-1),'Data_SA'!$A:$A,0),MATCH($E95,'Data_SA'!$1:$1,0))-1),""))</f>
        <v/>
      </c>
    </row>
    <row r="96">
      <c r="A96" s="3" t="inlineStr">
        <is>
          <t>SEFP02</t>
        </is>
      </c>
      <c r="B96" s="3" t="inlineStr">
        <is>
          <t>Other beverage materials including tea</t>
        </is>
      </c>
      <c r="C96" s="3" t="inlineStr">
        <is>
          <t>SEFP</t>
        </is>
      </c>
      <c r="D96" s="3" t="inlineStr">
        <is>
          <t>CUUR0000SEFP02</t>
        </is>
      </c>
      <c r="E96" s="3" t="inlineStr">
        <is>
          <t>CUSR0000SEFP02</t>
        </is>
      </c>
      <c r="F96" s="3" t="inlineStr">
        <is>
          <t>GM</t>
        </is>
      </c>
      <c r="G96" s="3" t="inlineStr">
        <is>
          <t>monthly food collection where sampled</t>
        </is>
      </c>
      <c r="H96" s="10">
        <f>IFERROR(INDEX(Weights!$D:$D,MATCH($A96,Weights!$A:$A,0)),"")</f>
        <v/>
      </c>
      <c r="I96" s="10">
        <f>IFERROR(INDEX('Data_NSA'!$A:$OK,MATCH(I$2,'Data_NSA'!$A:$A,0),MATCH($D96,'Data_NSA'!$1:$1,0)),"")</f>
        <v/>
      </c>
      <c r="J96" s="10">
        <f>IF($E96="","",IFERROR(INDEX('Data_SA'!$A:$LO,MATCH(I$2,'Data_SA'!$A:$A,0),MATCH($E96,'Data_SA'!$1:$1,0)),""))</f>
        <v/>
      </c>
      <c r="K96" s="7">
        <f>IF($E96="","",IFERROR(INDEX('Data_SA'!$A:$LO,MATCH(I$2,'Data_SA'!$A:$A,0),MATCH($E96,'Data_SA'!$1:$1,0))/INDEX('Data_SA'!$A:$LO,MATCH(EDATE(I$2,-1),'Data_SA'!$A:$A,0),MATCH($E96,'Data_SA'!$1:$1,0))-1,""))</f>
        <v/>
      </c>
      <c r="L96" s="7">
        <f>IFERROR(INDEX('Data_NSA'!$A:$OK,MATCH(I$2,'Data_NSA'!$A:$A,0),MATCH($D96,'Data_NSA'!$1:$1,0))/INDEX('Data_NSA'!$A:$OK,MATCH(EDATE(I$2,-12),'Data_NSA'!$A:$A,0),MATCH($D96,'Data_NSA'!$1:$1,0))-1,"")</f>
        <v/>
      </c>
      <c r="M96" s="10">
        <f>IFERROR(INDEX('Weights'!$G:$I,MATCH($A96,'Weights'!$A:$A,0),MATCH(I$2,'Weights'!$G$1:$I$1,0)),"")</f>
        <v/>
      </c>
      <c r="N96" s="10">
        <f>IF($E96="","",IFERROR(100*(INDEX('Weights'!$D:$D,MATCH($A96,'Weights'!$A:$A,0))*(INDEX('Data_NSA'!$A:$OK,MATCH(EDATE(I$2,-1),'Data_NSA'!$A:$A,0),MATCH($D96,'Data_NSA'!$1:$1,0))/INDEX('Data_NSA'!$A:$OK,MATCH(INDEX('Weights'!$E:$E,MATCH($A96,'Weights'!$A:$A,0)),'Data_NSA'!$A:$A,0),MATCH($D96,'Data_NSA'!$1:$1,0))))/(100*(INDEX('Data_NSA'!$A:$OK,MATCH(EDATE(I$2,-1),'Data_NSA'!$A:$A,0),MATCH("CUUR0000SA0",'Data_NSA'!$1:$1,0))/INDEX('Data_NSA'!$A:$OK,MATCH(INDEX('Weights'!$E:$E,MATCH($A96,'Weights'!$A:$A,0)),'Data_NSA'!$A:$A,0),MATCH("CUUR0000SA0",'Data_NSA'!$1:$1,0))))*(INDEX('Data_SA'!$A:$LO,MATCH(I$2,'Data_SA'!$A:$A,0),MATCH($E96,'Data_SA'!$1:$1,0))/INDEX('Data_SA'!$A:$LO,MATCH(EDATE(I$2,-1),'Data_SA'!$A:$A,0),MATCH($E96,'Data_SA'!$1:$1,0))-1),""))</f>
        <v/>
      </c>
      <c r="O96" s="10">
        <f>IFERROR(INDEX('Data_NSA'!$A:$OK,MATCH(O$2,'Data_NSA'!$A:$A,0),MATCH($D96,'Data_NSA'!$1:$1,0)),"")</f>
        <v/>
      </c>
      <c r="P96" s="10">
        <f>IF($E96="","",IFERROR(INDEX('Data_SA'!$A:$LO,MATCH(O$2,'Data_SA'!$A:$A,0),MATCH($E96,'Data_SA'!$1:$1,0)),""))</f>
        <v/>
      </c>
      <c r="Q96" s="7">
        <f>IF($E96="","",IFERROR(INDEX('Data_SA'!$A:$LO,MATCH(O$2,'Data_SA'!$A:$A,0),MATCH($E96,'Data_SA'!$1:$1,0))/INDEX('Data_SA'!$A:$LO,MATCH(EDATE(O$2,-1),'Data_SA'!$A:$A,0),MATCH($E96,'Data_SA'!$1:$1,0))-1,""))</f>
        <v/>
      </c>
      <c r="R96" s="7">
        <f>IFERROR(INDEX('Data_NSA'!$A:$OK,MATCH(O$2,'Data_NSA'!$A:$A,0),MATCH($D96,'Data_NSA'!$1:$1,0))/INDEX('Data_NSA'!$A:$OK,MATCH(EDATE(O$2,-12),'Data_NSA'!$A:$A,0),MATCH($D96,'Data_NSA'!$1:$1,0))-1,"")</f>
        <v/>
      </c>
      <c r="S96" s="10">
        <f>IFERROR(INDEX('Weights'!$G:$I,MATCH($A96,'Weights'!$A:$A,0),MATCH(O$2,'Weights'!$G$1:$I$1,0)),"")</f>
        <v/>
      </c>
      <c r="T96" s="10">
        <f>IF($E96="","",IFERROR(100*(INDEX('Weights'!$D:$D,MATCH($A96,'Weights'!$A:$A,0))*(INDEX('Data_NSA'!$A:$OK,MATCH(EDATE(O$2,-1),'Data_NSA'!$A:$A,0),MATCH($D96,'Data_NSA'!$1:$1,0))/INDEX('Data_NSA'!$A:$OK,MATCH(INDEX('Weights'!$E:$E,MATCH($A96,'Weights'!$A:$A,0)),'Data_NSA'!$A:$A,0),MATCH($D96,'Data_NSA'!$1:$1,0))))/(100*(INDEX('Data_NSA'!$A:$OK,MATCH(EDATE(O$2,-1),'Data_NSA'!$A:$A,0),MATCH("CUUR0000SA0",'Data_NSA'!$1:$1,0))/INDEX('Data_NSA'!$A:$OK,MATCH(INDEX('Weights'!$E:$E,MATCH($A96,'Weights'!$A:$A,0)),'Data_NSA'!$A:$A,0),MATCH("CUUR0000SA0",'Data_NSA'!$1:$1,0))))*(INDEX('Data_SA'!$A:$LO,MATCH(O$2,'Data_SA'!$A:$A,0),MATCH($E96,'Data_SA'!$1:$1,0))/INDEX('Data_SA'!$A:$LO,MATCH(EDATE(O$2,-1),'Data_SA'!$A:$A,0),MATCH($E96,'Data_SA'!$1:$1,0))-1),""))</f>
        <v/>
      </c>
      <c r="U96" s="10">
        <f>IFERROR(INDEX('Data_NSA'!$A:$OK,MATCH(U$2,'Data_NSA'!$A:$A,0),MATCH($D96,'Data_NSA'!$1:$1,0)),"")</f>
        <v/>
      </c>
      <c r="V96" s="10">
        <f>IF($E96="","",IFERROR(INDEX('Data_SA'!$A:$LO,MATCH(U$2,'Data_SA'!$A:$A,0),MATCH($E96,'Data_SA'!$1:$1,0)),""))</f>
        <v/>
      </c>
      <c r="W96" s="7">
        <f>IF($E96="","",IFERROR(INDEX('Data_SA'!$A:$LO,MATCH(U$2,'Data_SA'!$A:$A,0),MATCH($E96,'Data_SA'!$1:$1,0))/INDEX('Data_SA'!$A:$LO,MATCH(EDATE(U$2,-1),'Data_SA'!$A:$A,0),MATCH($E96,'Data_SA'!$1:$1,0))-1,""))</f>
        <v/>
      </c>
      <c r="X96" s="7">
        <f>IFERROR(INDEX('Data_NSA'!$A:$OK,MATCH(U$2,'Data_NSA'!$A:$A,0),MATCH($D96,'Data_NSA'!$1:$1,0))/INDEX('Data_NSA'!$A:$OK,MATCH(EDATE(U$2,-12),'Data_NSA'!$A:$A,0),MATCH($D96,'Data_NSA'!$1:$1,0))-1,"")</f>
        <v/>
      </c>
      <c r="Y96" s="10">
        <f>IFERROR(INDEX('Weights'!$G:$I,MATCH($A96,'Weights'!$A:$A,0),MATCH(U$2,'Weights'!$G$1:$I$1,0)),"")</f>
        <v/>
      </c>
      <c r="Z96" s="10">
        <f>IF($E96="","",IFERROR(100*(INDEX('Weights'!$D:$D,MATCH($A96,'Weights'!$A:$A,0))*(INDEX('Data_NSA'!$A:$OK,MATCH(EDATE(U$2,-1),'Data_NSA'!$A:$A,0),MATCH($D96,'Data_NSA'!$1:$1,0))/INDEX('Data_NSA'!$A:$OK,MATCH(INDEX('Weights'!$E:$E,MATCH($A96,'Weights'!$A:$A,0)),'Data_NSA'!$A:$A,0),MATCH($D96,'Data_NSA'!$1:$1,0))))/(100*(INDEX('Data_NSA'!$A:$OK,MATCH(EDATE(U$2,-1),'Data_NSA'!$A:$A,0),MATCH("CUUR0000SA0",'Data_NSA'!$1:$1,0))/INDEX('Data_NSA'!$A:$OK,MATCH(INDEX('Weights'!$E:$E,MATCH($A96,'Weights'!$A:$A,0)),'Data_NSA'!$A:$A,0),MATCH("CUUR0000SA0",'Data_NSA'!$1:$1,0))))*(INDEX('Data_SA'!$A:$LO,MATCH(U$2,'Data_SA'!$A:$A,0),MATCH($E96,'Data_SA'!$1:$1,0))/INDEX('Data_SA'!$A:$LO,MATCH(EDATE(U$2,-1),'Data_SA'!$A:$A,0),MATCH($E96,'Data_SA'!$1:$1,0))-1),""))</f>
        <v/>
      </c>
    </row>
    <row r="97">
      <c r="A97" s="3" t="inlineStr">
        <is>
          <t>SAF115</t>
        </is>
      </c>
      <c r="B97" s="3" t="inlineStr">
        <is>
          <t>Other food at home</t>
        </is>
      </c>
      <c r="C97" s="3" t="inlineStr">
        <is>
          <t>SAF11</t>
        </is>
      </c>
      <c r="D97" s="3" t="inlineStr">
        <is>
          <t>CUUR0000SAF115</t>
        </is>
      </c>
      <c r="E97" s="3" t="inlineStr">
        <is>
          <t>CUSR0000SAF115</t>
        </is>
      </c>
      <c r="F97" s="3" t="inlineStr">
        <is>
          <t>GM</t>
        </is>
      </c>
      <c r="G97" s="3" t="inlineStr">
        <is>
          <t>monthly</t>
        </is>
      </c>
      <c r="H97" s="10">
        <f>IFERROR(INDEX(Weights!$D:$D,MATCH($A97,Weights!$A:$A,0)),"")</f>
        <v/>
      </c>
      <c r="I97" s="10">
        <f>IFERROR(INDEX('Data_NSA'!$A:$OK,MATCH(I$2,'Data_NSA'!$A:$A,0),MATCH($D97,'Data_NSA'!$1:$1,0)),"")</f>
        <v/>
      </c>
      <c r="J97" s="10">
        <f>IF($E97="","",IFERROR(INDEX('Data_SA'!$A:$LO,MATCH(I$2,'Data_SA'!$A:$A,0),MATCH($E97,'Data_SA'!$1:$1,0)),""))</f>
        <v/>
      </c>
      <c r="K97" s="7">
        <f>IF($E97="","",IFERROR(INDEX('Data_SA'!$A:$LO,MATCH(I$2,'Data_SA'!$A:$A,0),MATCH($E97,'Data_SA'!$1:$1,0))/INDEX('Data_SA'!$A:$LO,MATCH(EDATE(I$2,-1),'Data_SA'!$A:$A,0),MATCH($E97,'Data_SA'!$1:$1,0))-1,""))</f>
        <v/>
      </c>
      <c r="L97" s="7">
        <f>IFERROR(INDEX('Data_NSA'!$A:$OK,MATCH(I$2,'Data_NSA'!$A:$A,0),MATCH($D97,'Data_NSA'!$1:$1,0))/INDEX('Data_NSA'!$A:$OK,MATCH(EDATE(I$2,-12),'Data_NSA'!$A:$A,0),MATCH($D97,'Data_NSA'!$1:$1,0))-1,"")</f>
        <v/>
      </c>
      <c r="M97" s="10">
        <f>IFERROR(INDEX('Weights'!$G:$I,MATCH($A97,'Weights'!$A:$A,0),MATCH(I$2,'Weights'!$G$1:$I$1,0)),"")</f>
        <v/>
      </c>
      <c r="N97" s="10">
        <f>IF($E97="","",IFERROR(100*(INDEX('Weights'!$D:$D,MATCH($A97,'Weights'!$A:$A,0))*(INDEX('Data_NSA'!$A:$OK,MATCH(EDATE(I$2,-1),'Data_NSA'!$A:$A,0),MATCH($D97,'Data_NSA'!$1:$1,0))/INDEX('Data_NSA'!$A:$OK,MATCH(INDEX('Weights'!$E:$E,MATCH($A97,'Weights'!$A:$A,0)),'Data_NSA'!$A:$A,0),MATCH($D97,'Data_NSA'!$1:$1,0))))/(100*(INDEX('Data_NSA'!$A:$OK,MATCH(EDATE(I$2,-1),'Data_NSA'!$A:$A,0),MATCH("CUUR0000SA0",'Data_NSA'!$1:$1,0))/INDEX('Data_NSA'!$A:$OK,MATCH(INDEX('Weights'!$E:$E,MATCH($A97,'Weights'!$A:$A,0)),'Data_NSA'!$A:$A,0),MATCH("CUUR0000SA0",'Data_NSA'!$1:$1,0))))*(INDEX('Data_SA'!$A:$LO,MATCH(I$2,'Data_SA'!$A:$A,0),MATCH($E97,'Data_SA'!$1:$1,0))/INDEX('Data_SA'!$A:$LO,MATCH(EDATE(I$2,-1),'Data_SA'!$A:$A,0),MATCH($E97,'Data_SA'!$1:$1,0))-1),""))</f>
        <v/>
      </c>
      <c r="O97" s="10">
        <f>IFERROR(INDEX('Data_NSA'!$A:$OK,MATCH(O$2,'Data_NSA'!$A:$A,0),MATCH($D97,'Data_NSA'!$1:$1,0)),"")</f>
        <v/>
      </c>
      <c r="P97" s="10">
        <f>IF($E97="","",IFERROR(INDEX('Data_SA'!$A:$LO,MATCH(O$2,'Data_SA'!$A:$A,0),MATCH($E97,'Data_SA'!$1:$1,0)),""))</f>
        <v/>
      </c>
      <c r="Q97" s="7">
        <f>IF($E97="","",IFERROR(INDEX('Data_SA'!$A:$LO,MATCH(O$2,'Data_SA'!$A:$A,0),MATCH($E97,'Data_SA'!$1:$1,0))/INDEX('Data_SA'!$A:$LO,MATCH(EDATE(O$2,-1),'Data_SA'!$A:$A,0),MATCH($E97,'Data_SA'!$1:$1,0))-1,""))</f>
        <v/>
      </c>
      <c r="R97" s="7">
        <f>IFERROR(INDEX('Data_NSA'!$A:$OK,MATCH(O$2,'Data_NSA'!$A:$A,0),MATCH($D97,'Data_NSA'!$1:$1,0))/INDEX('Data_NSA'!$A:$OK,MATCH(EDATE(O$2,-12),'Data_NSA'!$A:$A,0),MATCH($D97,'Data_NSA'!$1:$1,0))-1,"")</f>
        <v/>
      </c>
      <c r="S97" s="10">
        <f>IFERROR(INDEX('Weights'!$G:$I,MATCH($A97,'Weights'!$A:$A,0),MATCH(O$2,'Weights'!$G$1:$I$1,0)),"")</f>
        <v/>
      </c>
      <c r="T97" s="10">
        <f>IF($E97="","",IFERROR(100*(INDEX('Weights'!$D:$D,MATCH($A97,'Weights'!$A:$A,0))*(INDEX('Data_NSA'!$A:$OK,MATCH(EDATE(O$2,-1),'Data_NSA'!$A:$A,0),MATCH($D97,'Data_NSA'!$1:$1,0))/INDEX('Data_NSA'!$A:$OK,MATCH(INDEX('Weights'!$E:$E,MATCH($A97,'Weights'!$A:$A,0)),'Data_NSA'!$A:$A,0),MATCH($D97,'Data_NSA'!$1:$1,0))))/(100*(INDEX('Data_NSA'!$A:$OK,MATCH(EDATE(O$2,-1),'Data_NSA'!$A:$A,0),MATCH("CUUR0000SA0",'Data_NSA'!$1:$1,0))/INDEX('Data_NSA'!$A:$OK,MATCH(INDEX('Weights'!$E:$E,MATCH($A97,'Weights'!$A:$A,0)),'Data_NSA'!$A:$A,0),MATCH("CUUR0000SA0",'Data_NSA'!$1:$1,0))))*(INDEX('Data_SA'!$A:$LO,MATCH(O$2,'Data_SA'!$A:$A,0),MATCH($E97,'Data_SA'!$1:$1,0))/INDEX('Data_SA'!$A:$LO,MATCH(EDATE(O$2,-1),'Data_SA'!$A:$A,0),MATCH($E97,'Data_SA'!$1:$1,0))-1),""))</f>
        <v/>
      </c>
      <c r="U97" s="10">
        <f>IFERROR(INDEX('Data_NSA'!$A:$OK,MATCH(U$2,'Data_NSA'!$A:$A,0),MATCH($D97,'Data_NSA'!$1:$1,0)),"")</f>
        <v/>
      </c>
      <c r="V97" s="10">
        <f>IF($E97="","",IFERROR(INDEX('Data_SA'!$A:$LO,MATCH(U$2,'Data_SA'!$A:$A,0),MATCH($E97,'Data_SA'!$1:$1,0)),""))</f>
        <v/>
      </c>
      <c r="W97" s="7">
        <f>IF($E97="","",IFERROR(INDEX('Data_SA'!$A:$LO,MATCH(U$2,'Data_SA'!$A:$A,0),MATCH($E97,'Data_SA'!$1:$1,0))/INDEX('Data_SA'!$A:$LO,MATCH(EDATE(U$2,-1),'Data_SA'!$A:$A,0),MATCH($E97,'Data_SA'!$1:$1,0))-1,""))</f>
        <v/>
      </c>
      <c r="X97" s="7">
        <f>IFERROR(INDEX('Data_NSA'!$A:$OK,MATCH(U$2,'Data_NSA'!$A:$A,0),MATCH($D97,'Data_NSA'!$1:$1,0))/INDEX('Data_NSA'!$A:$OK,MATCH(EDATE(U$2,-12),'Data_NSA'!$A:$A,0),MATCH($D97,'Data_NSA'!$1:$1,0))-1,"")</f>
        <v/>
      </c>
      <c r="Y97" s="10">
        <f>IFERROR(INDEX('Weights'!$G:$I,MATCH($A97,'Weights'!$A:$A,0),MATCH(U$2,'Weights'!$G$1:$I$1,0)),"")</f>
        <v/>
      </c>
      <c r="Z97" s="10">
        <f>IF($E97="","",IFERROR(100*(INDEX('Weights'!$D:$D,MATCH($A97,'Weights'!$A:$A,0))*(INDEX('Data_NSA'!$A:$OK,MATCH(EDATE(U$2,-1),'Data_NSA'!$A:$A,0),MATCH($D97,'Data_NSA'!$1:$1,0))/INDEX('Data_NSA'!$A:$OK,MATCH(INDEX('Weights'!$E:$E,MATCH($A97,'Weights'!$A:$A,0)),'Data_NSA'!$A:$A,0),MATCH($D97,'Data_NSA'!$1:$1,0))))/(100*(INDEX('Data_NSA'!$A:$OK,MATCH(EDATE(U$2,-1),'Data_NSA'!$A:$A,0),MATCH("CUUR0000SA0",'Data_NSA'!$1:$1,0))/INDEX('Data_NSA'!$A:$OK,MATCH(INDEX('Weights'!$E:$E,MATCH($A97,'Weights'!$A:$A,0)),'Data_NSA'!$A:$A,0),MATCH("CUUR0000SA0",'Data_NSA'!$1:$1,0))))*(INDEX('Data_SA'!$A:$LO,MATCH(U$2,'Data_SA'!$A:$A,0),MATCH($E97,'Data_SA'!$1:$1,0))/INDEX('Data_SA'!$A:$LO,MATCH(EDATE(U$2,-1),'Data_SA'!$A:$A,0),MATCH($E97,'Data_SA'!$1:$1,0))-1),""))</f>
        <v/>
      </c>
    </row>
    <row r="98">
      <c r="A98" s="3" t="inlineStr">
        <is>
          <t>SEFR</t>
        </is>
      </c>
      <c r="B98" s="3" t="inlineStr">
        <is>
          <t>Sugar and sweets</t>
        </is>
      </c>
      <c r="C98" s="3" t="inlineStr">
        <is>
          <t>SAF115</t>
        </is>
      </c>
      <c r="D98" s="3" t="inlineStr">
        <is>
          <t>CUUR0000SEFR</t>
        </is>
      </c>
      <c r="E98" s="3" t="inlineStr">
        <is>
          <t>CUSR0000SEFR</t>
        </is>
      </c>
      <c r="F98" s="3" t="inlineStr">
        <is>
          <t>aggregate</t>
        </is>
      </c>
      <c r="G98" s="3" t="inlineStr">
        <is>
          <t>aggregate</t>
        </is>
      </c>
      <c r="H98" s="10">
        <f>IFERROR(INDEX(Weights!$D:$D,MATCH($A98,Weights!$A:$A,0)),"")</f>
        <v/>
      </c>
      <c r="I98" s="10">
        <f>IFERROR(INDEX('Data_NSA'!$A:$OK,MATCH(I$2,'Data_NSA'!$A:$A,0),MATCH($D98,'Data_NSA'!$1:$1,0)),"")</f>
        <v/>
      </c>
      <c r="J98" s="10">
        <f>IF($E98="","",IFERROR(INDEX('Data_SA'!$A:$LO,MATCH(I$2,'Data_SA'!$A:$A,0),MATCH($E98,'Data_SA'!$1:$1,0)),""))</f>
        <v/>
      </c>
      <c r="K98" s="7">
        <f>IF($E98="","",IFERROR(INDEX('Data_SA'!$A:$LO,MATCH(I$2,'Data_SA'!$A:$A,0),MATCH($E98,'Data_SA'!$1:$1,0))/INDEX('Data_SA'!$A:$LO,MATCH(EDATE(I$2,-1),'Data_SA'!$A:$A,0),MATCH($E98,'Data_SA'!$1:$1,0))-1,""))</f>
        <v/>
      </c>
      <c r="L98" s="7">
        <f>IFERROR(INDEX('Data_NSA'!$A:$OK,MATCH(I$2,'Data_NSA'!$A:$A,0),MATCH($D98,'Data_NSA'!$1:$1,0))/INDEX('Data_NSA'!$A:$OK,MATCH(EDATE(I$2,-12),'Data_NSA'!$A:$A,0),MATCH($D98,'Data_NSA'!$1:$1,0))-1,"")</f>
        <v/>
      </c>
      <c r="M98" s="10">
        <f>IFERROR(INDEX('Weights'!$G:$I,MATCH($A98,'Weights'!$A:$A,0),MATCH(I$2,'Weights'!$G$1:$I$1,0)),"")</f>
        <v/>
      </c>
      <c r="N98" s="10">
        <f>IF($E98="","",IFERROR(100*(INDEX('Weights'!$D:$D,MATCH($A98,'Weights'!$A:$A,0))*(INDEX('Data_NSA'!$A:$OK,MATCH(EDATE(I$2,-1),'Data_NSA'!$A:$A,0),MATCH($D98,'Data_NSA'!$1:$1,0))/INDEX('Data_NSA'!$A:$OK,MATCH(INDEX('Weights'!$E:$E,MATCH($A98,'Weights'!$A:$A,0)),'Data_NSA'!$A:$A,0),MATCH($D98,'Data_NSA'!$1:$1,0))))/(100*(INDEX('Data_NSA'!$A:$OK,MATCH(EDATE(I$2,-1),'Data_NSA'!$A:$A,0),MATCH("CUUR0000SA0",'Data_NSA'!$1:$1,0))/INDEX('Data_NSA'!$A:$OK,MATCH(INDEX('Weights'!$E:$E,MATCH($A98,'Weights'!$A:$A,0)),'Data_NSA'!$A:$A,0),MATCH("CUUR0000SA0",'Data_NSA'!$1:$1,0))))*(INDEX('Data_SA'!$A:$LO,MATCH(I$2,'Data_SA'!$A:$A,0),MATCH($E98,'Data_SA'!$1:$1,0))/INDEX('Data_SA'!$A:$LO,MATCH(EDATE(I$2,-1),'Data_SA'!$A:$A,0),MATCH($E98,'Data_SA'!$1:$1,0))-1),""))</f>
        <v/>
      </c>
      <c r="O98" s="10">
        <f>IFERROR(INDEX('Data_NSA'!$A:$OK,MATCH(O$2,'Data_NSA'!$A:$A,0),MATCH($D98,'Data_NSA'!$1:$1,0)),"")</f>
        <v/>
      </c>
      <c r="P98" s="10">
        <f>IF($E98="","",IFERROR(INDEX('Data_SA'!$A:$LO,MATCH(O$2,'Data_SA'!$A:$A,0),MATCH($E98,'Data_SA'!$1:$1,0)),""))</f>
        <v/>
      </c>
      <c r="Q98" s="7">
        <f>IF($E98="","",IFERROR(INDEX('Data_SA'!$A:$LO,MATCH(O$2,'Data_SA'!$A:$A,0),MATCH($E98,'Data_SA'!$1:$1,0))/INDEX('Data_SA'!$A:$LO,MATCH(EDATE(O$2,-1),'Data_SA'!$A:$A,0),MATCH($E98,'Data_SA'!$1:$1,0))-1,""))</f>
        <v/>
      </c>
      <c r="R98" s="7">
        <f>IFERROR(INDEX('Data_NSA'!$A:$OK,MATCH(O$2,'Data_NSA'!$A:$A,0),MATCH($D98,'Data_NSA'!$1:$1,0))/INDEX('Data_NSA'!$A:$OK,MATCH(EDATE(O$2,-12),'Data_NSA'!$A:$A,0),MATCH($D98,'Data_NSA'!$1:$1,0))-1,"")</f>
        <v/>
      </c>
      <c r="S98" s="10">
        <f>IFERROR(INDEX('Weights'!$G:$I,MATCH($A98,'Weights'!$A:$A,0),MATCH(O$2,'Weights'!$G$1:$I$1,0)),"")</f>
        <v/>
      </c>
      <c r="T98" s="10">
        <f>IF($E98="","",IFERROR(100*(INDEX('Weights'!$D:$D,MATCH($A98,'Weights'!$A:$A,0))*(INDEX('Data_NSA'!$A:$OK,MATCH(EDATE(O$2,-1),'Data_NSA'!$A:$A,0),MATCH($D98,'Data_NSA'!$1:$1,0))/INDEX('Data_NSA'!$A:$OK,MATCH(INDEX('Weights'!$E:$E,MATCH($A98,'Weights'!$A:$A,0)),'Data_NSA'!$A:$A,0),MATCH($D98,'Data_NSA'!$1:$1,0))))/(100*(INDEX('Data_NSA'!$A:$OK,MATCH(EDATE(O$2,-1),'Data_NSA'!$A:$A,0),MATCH("CUUR0000SA0",'Data_NSA'!$1:$1,0))/INDEX('Data_NSA'!$A:$OK,MATCH(INDEX('Weights'!$E:$E,MATCH($A98,'Weights'!$A:$A,0)),'Data_NSA'!$A:$A,0),MATCH("CUUR0000SA0",'Data_NSA'!$1:$1,0))))*(INDEX('Data_SA'!$A:$LO,MATCH(O$2,'Data_SA'!$A:$A,0),MATCH($E98,'Data_SA'!$1:$1,0))/INDEX('Data_SA'!$A:$LO,MATCH(EDATE(O$2,-1),'Data_SA'!$A:$A,0),MATCH($E98,'Data_SA'!$1:$1,0))-1),""))</f>
        <v/>
      </c>
      <c r="U98" s="10">
        <f>IFERROR(INDEX('Data_NSA'!$A:$OK,MATCH(U$2,'Data_NSA'!$A:$A,0),MATCH($D98,'Data_NSA'!$1:$1,0)),"")</f>
        <v/>
      </c>
      <c r="V98" s="10">
        <f>IF($E98="","",IFERROR(INDEX('Data_SA'!$A:$LO,MATCH(U$2,'Data_SA'!$A:$A,0),MATCH($E98,'Data_SA'!$1:$1,0)),""))</f>
        <v/>
      </c>
      <c r="W98" s="7">
        <f>IF($E98="","",IFERROR(INDEX('Data_SA'!$A:$LO,MATCH(U$2,'Data_SA'!$A:$A,0),MATCH($E98,'Data_SA'!$1:$1,0))/INDEX('Data_SA'!$A:$LO,MATCH(EDATE(U$2,-1),'Data_SA'!$A:$A,0),MATCH($E98,'Data_SA'!$1:$1,0))-1,""))</f>
        <v/>
      </c>
      <c r="X98" s="7">
        <f>IFERROR(INDEX('Data_NSA'!$A:$OK,MATCH(U$2,'Data_NSA'!$A:$A,0),MATCH($D98,'Data_NSA'!$1:$1,0))/INDEX('Data_NSA'!$A:$OK,MATCH(EDATE(U$2,-12),'Data_NSA'!$A:$A,0),MATCH($D98,'Data_NSA'!$1:$1,0))-1,"")</f>
        <v/>
      </c>
      <c r="Y98" s="10">
        <f>IFERROR(INDEX('Weights'!$G:$I,MATCH($A98,'Weights'!$A:$A,0),MATCH(U$2,'Weights'!$G$1:$I$1,0)),"")</f>
        <v/>
      </c>
      <c r="Z98" s="10">
        <f>IF($E98="","",IFERROR(100*(INDEX('Weights'!$D:$D,MATCH($A98,'Weights'!$A:$A,0))*(INDEX('Data_NSA'!$A:$OK,MATCH(EDATE(U$2,-1),'Data_NSA'!$A:$A,0),MATCH($D98,'Data_NSA'!$1:$1,0))/INDEX('Data_NSA'!$A:$OK,MATCH(INDEX('Weights'!$E:$E,MATCH($A98,'Weights'!$A:$A,0)),'Data_NSA'!$A:$A,0),MATCH($D98,'Data_NSA'!$1:$1,0))))/(100*(INDEX('Data_NSA'!$A:$OK,MATCH(EDATE(U$2,-1),'Data_NSA'!$A:$A,0),MATCH("CUUR0000SA0",'Data_NSA'!$1:$1,0))/INDEX('Data_NSA'!$A:$OK,MATCH(INDEX('Weights'!$E:$E,MATCH($A98,'Weights'!$A:$A,0)),'Data_NSA'!$A:$A,0),MATCH("CUUR0000SA0",'Data_NSA'!$1:$1,0))))*(INDEX('Data_SA'!$A:$LO,MATCH(U$2,'Data_SA'!$A:$A,0),MATCH($E98,'Data_SA'!$1:$1,0))/INDEX('Data_SA'!$A:$LO,MATCH(EDATE(U$2,-1),'Data_SA'!$A:$A,0),MATCH($E98,'Data_SA'!$1:$1,0))-1),""))</f>
        <v/>
      </c>
    </row>
    <row r="99">
      <c r="A99" s="3" t="inlineStr">
        <is>
          <t>SEFR01</t>
        </is>
      </c>
      <c r="B99" s="3" t="inlineStr">
        <is>
          <t>Sugar and sugar substitutes</t>
        </is>
      </c>
      <c r="C99" s="3" t="inlineStr">
        <is>
          <t>SEFR</t>
        </is>
      </c>
      <c r="D99" s="3" t="inlineStr">
        <is>
          <t>CUUR0000SEFR01</t>
        </is>
      </c>
      <c r="E99" s="3" t="inlineStr">
        <is>
          <t>CUSR0000SEFR01</t>
        </is>
      </c>
      <c r="F99" s="3" t="inlineStr">
        <is>
          <t>GM</t>
        </is>
      </c>
      <c r="G99" s="3" t="inlineStr">
        <is>
          <t>monthly food collection where sampled</t>
        </is>
      </c>
      <c r="H99" s="10">
        <f>IFERROR(INDEX(Weights!$D:$D,MATCH($A99,Weights!$A:$A,0)),"")</f>
        <v/>
      </c>
      <c r="I99" s="10">
        <f>IFERROR(INDEX('Data_NSA'!$A:$OK,MATCH(I$2,'Data_NSA'!$A:$A,0),MATCH($D99,'Data_NSA'!$1:$1,0)),"")</f>
        <v/>
      </c>
      <c r="J99" s="10">
        <f>IF($E99="","",IFERROR(INDEX('Data_SA'!$A:$LO,MATCH(I$2,'Data_SA'!$A:$A,0),MATCH($E99,'Data_SA'!$1:$1,0)),""))</f>
        <v/>
      </c>
      <c r="K99" s="7">
        <f>IF($E99="","",IFERROR(INDEX('Data_SA'!$A:$LO,MATCH(I$2,'Data_SA'!$A:$A,0),MATCH($E99,'Data_SA'!$1:$1,0))/INDEX('Data_SA'!$A:$LO,MATCH(EDATE(I$2,-1),'Data_SA'!$A:$A,0),MATCH($E99,'Data_SA'!$1:$1,0))-1,""))</f>
        <v/>
      </c>
      <c r="L99" s="7">
        <f>IFERROR(INDEX('Data_NSA'!$A:$OK,MATCH(I$2,'Data_NSA'!$A:$A,0),MATCH($D99,'Data_NSA'!$1:$1,0))/INDEX('Data_NSA'!$A:$OK,MATCH(EDATE(I$2,-12),'Data_NSA'!$A:$A,0),MATCH($D99,'Data_NSA'!$1:$1,0))-1,"")</f>
        <v/>
      </c>
      <c r="M99" s="10">
        <f>IFERROR(INDEX('Weights'!$G:$I,MATCH($A99,'Weights'!$A:$A,0),MATCH(I$2,'Weights'!$G$1:$I$1,0)),"")</f>
        <v/>
      </c>
      <c r="N99" s="10">
        <f>IF($E99="","",IFERROR(100*(INDEX('Weights'!$D:$D,MATCH($A99,'Weights'!$A:$A,0))*(INDEX('Data_NSA'!$A:$OK,MATCH(EDATE(I$2,-1),'Data_NSA'!$A:$A,0),MATCH($D99,'Data_NSA'!$1:$1,0))/INDEX('Data_NSA'!$A:$OK,MATCH(INDEX('Weights'!$E:$E,MATCH($A99,'Weights'!$A:$A,0)),'Data_NSA'!$A:$A,0),MATCH($D99,'Data_NSA'!$1:$1,0))))/(100*(INDEX('Data_NSA'!$A:$OK,MATCH(EDATE(I$2,-1),'Data_NSA'!$A:$A,0),MATCH("CUUR0000SA0",'Data_NSA'!$1:$1,0))/INDEX('Data_NSA'!$A:$OK,MATCH(INDEX('Weights'!$E:$E,MATCH($A99,'Weights'!$A:$A,0)),'Data_NSA'!$A:$A,0),MATCH("CUUR0000SA0",'Data_NSA'!$1:$1,0))))*(INDEX('Data_SA'!$A:$LO,MATCH(I$2,'Data_SA'!$A:$A,0),MATCH($E99,'Data_SA'!$1:$1,0))/INDEX('Data_SA'!$A:$LO,MATCH(EDATE(I$2,-1),'Data_SA'!$A:$A,0),MATCH($E99,'Data_SA'!$1:$1,0))-1),""))</f>
        <v/>
      </c>
      <c r="O99" s="10">
        <f>IFERROR(INDEX('Data_NSA'!$A:$OK,MATCH(O$2,'Data_NSA'!$A:$A,0),MATCH($D99,'Data_NSA'!$1:$1,0)),"")</f>
        <v/>
      </c>
      <c r="P99" s="10">
        <f>IF($E99="","",IFERROR(INDEX('Data_SA'!$A:$LO,MATCH(O$2,'Data_SA'!$A:$A,0),MATCH($E99,'Data_SA'!$1:$1,0)),""))</f>
        <v/>
      </c>
      <c r="Q99" s="7">
        <f>IF($E99="","",IFERROR(INDEX('Data_SA'!$A:$LO,MATCH(O$2,'Data_SA'!$A:$A,0),MATCH($E99,'Data_SA'!$1:$1,0))/INDEX('Data_SA'!$A:$LO,MATCH(EDATE(O$2,-1),'Data_SA'!$A:$A,0),MATCH($E99,'Data_SA'!$1:$1,0))-1,""))</f>
        <v/>
      </c>
      <c r="R99" s="7">
        <f>IFERROR(INDEX('Data_NSA'!$A:$OK,MATCH(O$2,'Data_NSA'!$A:$A,0),MATCH($D99,'Data_NSA'!$1:$1,0))/INDEX('Data_NSA'!$A:$OK,MATCH(EDATE(O$2,-12),'Data_NSA'!$A:$A,0),MATCH($D99,'Data_NSA'!$1:$1,0))-1,"")</f>
        <v/>
      </c>
      <c r="S99" s="10">
        <f>IFERROR(INDEX('Weights'!$G:$I,MATCH($A99,'Weights'!$A:$A,0),MATCH(O$2,'Weights'!$G$1:$I$1,0)),"")</f>
        <v/>
      </c>
      <c r="T99" s="10">
        <f>IF($E99="","",IFERROR(100*(INDEX('Weights'!$D:$D,MATCH($A99,'Weights'!$A:$A,0))*(INDEX('Data_NSA'!$A:$OK,MATCH(EDATE(O$2,-1),'Data_NSA'!$A:$A,0),MATCH($D99,'Data_NSA'!$1:$1,0))/INDEX('Data_NSA'!$A:$OK,MATCH(INDEX('Weights'!$E:$E,MATCH($A99,'Weights'!$A:$A,0)),'Data_NSA'!$A:$A,0),MATCH($D99,'Data_NSA'!$1:$1,0))))/(100*(INDEX('Data_NSA'!$A:$OK,MATCH(EDATE(O$2,-1),'Data_NSA'!$A:$A,0),MATCH("CUUR0000SA0",'Data_NSA'!$1:$1,0))/INDEX('Data_NSA'!$A:$OK,MATCH(INDEX('Weights'!$E:$E,MATCH($A99,'Weights'!$A:$A,0)),'Data_NSA'!$A:$A,0),MATCH("CUUR0000SA0",'Data_NSA'!$1:$1,0))))*(INDEX('Data_SA'!$A:$LO,MATCH(O$2,'Data_SA'!$A:$A,0),MATCH($E99,'Data_SA'!$1:$1,0))/INDEX('Data_SA'!$A:$LO,MATCH(EDATE(O$2,-1),'Data_SA'!$A:$A,0),MATCH($E99,'Data_SA'!$1:$1,0))-1),""))</f>
        <v/>
      </c>
      <c r="U99" s="10">
        <f>IFERROR(INDEX('Data_NSA'!$A:$OK,MATCH(U$2,'Data_NSA'!$A:$A,0),MATCH($D99,'Data_NSA'!$1:$1,0)),"")</f>
        <v/>
      </c>
      <c r="V99" s="10">
        <f>IF($E99="","",IFERROR(INDEX('Data_SA'!$A:$LO,MATCH(U$2,'Data_SA'!$A:$A,0),MATCH($E99,'Data_SA'!$1:$1,0)),""))</f>
        <v/>
      </c>
      <c r="W99" s="7">
        <f>IF($E99="","",IFERROR(INDEX('Data_SA'!$A:$LO,MATCH(U$2,'Data_SA'!$A:$A,0),MATCH($E99,'Data_SA'!$1:$1,0))/INDEX('Data_SA'!$A:$LO,MATCH(EDATE(U$2,-1),'Data_SA'!$A:$A,0),MATCH($E99,'Data_SA'!$1:$1,0))-1,""))</f>
        <v/>
      </c>
      <c r="X99" s="7">
        <f>IFERROR(INDEX('Data_NSA'!$A:$OK,MATCH(U$2,'Data_NSA'!$A:$A,0),MATCH($D99,'Data_NSA'!$1:$1,0))/INDEX('Data_NSA'!$A:$OK,MATCH(EDATE(U$2,-12),'Data_NSA'!$A:$A,0),MATCH($D99,'Data_NSA'!$1:$1,0))-1,"")</f>
        <v/>
      </c>
      <c r="Y99" s="10">
        <f>IFERROR(INDEX('Weights'!$G:$I,MATCH($A99,'Weights'!$A:$A,0),MATCH(U$2,'Weights'!$G$1:$I$1,0)),"")</f>
        <v/>
      </c>
      <c r="Z99" s="10">
        <f>IF($E99="","",IFERROR(100*(INDEX('Weights'!$D:$D,MATCH($A99,'Weights'!$A:$A,0))*(INDEX('Data_NSA'!$A:$OK,MATCH(EDATE(U$2,-1),'Data_NSA'!$A:$A,0),MATCH($D99,'Data_NSA'!$1:$1,0))/INDEX('Data_NSA'!$A:$OK,MATCH(INDEX('Weights'!$E:$E,MATCH($A99,'Weights'!$A:$A,0)),'Data_NSA'!$A:$A,0),MATCH($D99,'Data_NSA'!$1:$1,0))))/(100*(INDEX('Data_NSA'!$A:$OK,MATCH(EDATE(U$2,-1),'Data_NSA'!$A:$A,0),MATCH("CUUR0000SA0",'Data_NSA'!$1:$1,0))/INDEX('Data_NSA'!$A:$OK,MATCH(INDEX('Weights'!$E:$E,MATCH($A99,'Weights'!$A:$A,0)),'Data_NSA'!$A:$A,0),MATCH("CUUR0000SA0",'Data_NSA'!$1:$1,0))))*(INDEX('Data_SA'!$A:$LO,MATCH(U$2,'Data_SA'!$A:$A,0),MATCH($E99,'Data_SA'!$1:$1,0))/INDEX('Data_SA'!$A:$LO,MATCH(EDATE(U$2,-1),'Data_SA'!$A:$A,0),MATCH($E99,'Data_SA'!$1:$1,0))-1),""))</f>
        <v/>
      </c>
    </row>
    <row r="100">
      <c r="A100" s="3" t="inlineStr">
        <is>
          <t>SEFR02</t>
        </is>
      </c>
      <c r="B100" s="3" t="inlineStr">
        <is>
          <t>Candy and chewing gum</t>
        </is>
      </c>
      <c r="C100" s="3" t="inlineStr">
        <is>
          <t>SEFR</t>
        </is>
      </c>
      <c r="D100" s="3" t="inlineStr">
        <is>
          <t>CUUR0000SEFR02</t>
        </is>
      </c>
      <c r="E100" s="3" t="inlineStr">
        <is>
          <t>CUSR0000SEFR02</t>
        </is>
      </c>
      <c r="F100" s="3" t="inlineStr">
        <is>
          <t>GM</t>
        </is>
      </c>
      <c r="G100" s="3" t="inlineStr">
        <is>
          <t>monthly food collection where sampled</t>
        </is>
      </c>
      <c r="H100" s="10">
        <f>IFERROR(INDEX(Weights!$D:$D,MATCH($A100,Weights!$A:$A,0)),"")</f>
        <v/>
      </c>
      <c r="I100" s="10">
        <f>IFERROR(INDEX('Data_NSA'!$A:$OK,MATCH(I$2,'Data_NSA'!$A:$A,0),MATCH($D100,'Data_NSA'!$1:$1,0)),"")</f>
        <v/>
      </c>
      <c r="J100" s="10">
        <f>IF($E100="","",IFERROR(INDEX('Data_SA'!$A:$LO,MATCH(I$2,'Data_SA'!$A:$A,0),MATCH($E100,'Data_SA'!$1:$1,0)),""))</f>
        <v/>
      </c>
      <c r="K100" s="7">
        <f>IF($E100="","",IFERROR(INDEX('Data_SA'!$A:$LO,MATCH(I$2,'Data_SA'!$A:$A,0),MATCH($E100,'Data_SA'!$1:$1,0))/INDEX('Data_SA'!$A:$LO,MATCH(EDATE(I$2,-1),'Data_SA'!$A:$A,0),MATCH($E100,'Data_SA'!$1:$1,0))-1,""))</f>
        <v/>
      </c>
      <c r="L100" s="7">
        <f>IFERROR(INDEX('Data_NSA'!$A:$OK,MATCH(I$2,'Data_NSA'!$A:$A,0),MATCH($D100,'Data_NSA'!$1:$1,0))/INDEX('Data_NSA'!$A:$OK,MATCH(EDATE(I$2,-12),'Data_NSA'!$A:$A,0),MATCH($D100,'Data_NSA'!$1:$1,0))-1,"")</f>
        <v/>
      </c>
      <c r="M100" s="10">
        <f>IFERROR(INDEX('Weights'!$G:$I,MATCH($A100,'Weights'!$A:$A,0),MATCH(I$2,'Weights'!$G$1:$I$1,0)),"")</f>
        <v/>
      </c>
      <c r="N100" s="10">
        <f>IF($E100="","",IFERROR(100*(INDEX('Weights'!$D:$D,MATCH($A100,'Weights'!$A:$A,0))*(INDEX('Data_NSA'!$A:$OK,MATCH(EDATE(I$2,-1),'Data_NSA'!$A:$A,0),MATCH($D100,'Data_NSA'!$1:$1,0))/INDEX('Data_NSA'!$A:$OK,MATCH(INDEX('Weights'!$E:$E,MATCH($A100,'Weights'!$A:$A,0)),'Data_NSA'!$A:$A,0),MATCH($D100,'Data_NSA'!$1:$1,0))))/(100*(INDEX('Data_NSA'!$A:$OK,MATCH(EDATE(I$2,-1),'Data_NSA'!$A:$A,0),MATCH("CUUR0000SA0",'Data_NSA'!$1:$1,0))/INDEX('Data_NSA'!$A:$OK,MATCH(INDEX('Weights'!$E:$E,MATCH($A100,'Weights'!$A:$A,0)),'Data_NSA'!$A:$A,0),MATCH("CUUR0000SA0",'Data_NSA'!$1:$1,0))))*(INDEX('Data_SA'!$A:$LO,MATCH(I$2,'Data_SA'!$A:$A,0),MATCH($E100,'Data_SA'!$1:$1,0))/INDEX('Data_SA'!$A:$LO,MATCH(EDATE(I$2,-1),'Data_SA'!$A:$A,0),MATCH($E100,'Data_SA'!$1:$1,0))-1),""))</f>
        <v/>
      </c>
      <c r="O100" s="10">
        <f>IFERROR(INDEX('Data_NSA'!$A:$OK,MATCH(O$2,'Data_NSA'!$A:$A,0),MATCH($D100,'Data_NSA'!$1:$1,0)),"")</f>
        <v/>
      </c>
      <c r="P100" s="10">
        <f>IF($E100="","",IFERROR(INDEX('Data_SA'!$A:$LO,MATCH(O$2,'Data_SA'!$A:$A,0),MATCH($E100,'Data_SA'!$1:$1,0)),""))</f>
        <v/>
      </c>
      <c r="Q100" s="7">
        <f>IF($E100="","",IFERROR(INDEX('Data_SA'!$A:$LO,MATCH(O$2,'Data_SA'!$A:$A,0),MATCH($E100,'Data_SA'!$1:$1,0))/INDEX('Data_SA'!$A:$LO,MATCH(EDATE(O$2,-1),'Data_SA'!$A:$A,0),MATCH($E100,'Data_SA'!$1:$1,0))-1,""))</f>
        <v/>
      </c>
      <c r="R100" s="7">
        <f>IFERROR(INDEX('Data_NSA'!$A:$OK,MATCH(O$2,'Data_NSA'!$A:$A,0),MATCH($D100,'Data_NSA'!$1:$1,0))/INDEX('Data_NSA'!$A:$OK,MATCH(EDATE(O$2,-12),'Data_NSA'!$A:$A,0),MATCH($D100,'Data_NSA'!$1:$1,0))-1,"")</f>
        <v/>
      </c>
      <c r="S100" s="10">
        <f>IFERROR(INDEX('Weights'!$G:$I,MATCH($A100,'Weights'!$A:$A,0),MATCH(O$2,'Weights'!$G$1:$I$1,0)),"")</f>
        <v/>
      </c>
      <c r="T100" s="10">
        <f>IF($E100="","",IFERROR(100*(INDEX('Weights'!$D:$D,MATCH($A100,'Weights'!$A:$A,0))*(INDEX('Data_NSA'!$A:$OK,MATCH(EDATE(O$2,-1),'Data_NSA'!$A:$A,0),MATCH($D100,'Data_NSA'!$1:$1,0))/INDEX('Data_NSA'!$A:$OK,MATCH(INDEX('Weights'!$E:$E,MATCH($A100,'Weights'!$A:$A,0)),'Data_NSA'!$A:$A,0),MATCH($D100,'Data_NSA'!$1:$1,0))))/(100*(INDEX('Data_NSA'!$A:$OK,MATCH(EDATE(O$2,-1),'Data_NSA'!$A:$A,0),MATCH("CUUR0000SA0",'Data_NSA'!$1:$1,0))/INDEX('Data_NSA'!$A:$OK,MATCH(INDEX('Weights'!$E:$E,MATCH($A100,'Weights'!$A:$A,0)),'Data_NSA'!$A:$A,0),MATCH("CUUR0000SA0",'Data_NSA'!$1:$1,0))))*(INDEX('Data_SA'!$A:$LO,MATCH(O$2,'Data_SA'!$A:$A,0),MATCH($E100,'Data_SA'!$1:$1,0))/INDEX('Data_SA'!$A:$LO,MATCH(EDATE(O$2,-1),'Data_SA'!$A:$A,0),MATCH($E100,'Data_SA'!$1:$1,0))-1),""))</f>
        <v/>
      </c>
      <c r="U100" s="10">
        <f>IFERROR(INDEX('Data_NSA'!$A:$OK,MATCH(U$2,'Data_NSA'!$A:$A,0),MATCH($D100,'Data_NSA'!$1:$1,0)),"")</f>
        <v/>
      </c>
      <c r="V100" s="10">
        <f>IF($E100="","",IFERROR(INDEX('Data_SA'!$A:$LO,MATCH(U$2,'Data_SA'!$A:$A,0),MATCH($E100,'Data_SA'!$1:$1,0)),""))</f>
        <v/>
      </c>
      <c r="W100" s="7">
        <f>IF($E100="","",IFERROR(INDEX('Data_SA'!$A:$LO,MATCH(U$2,'Data_SA'!$A:$A,0),MATCH($E100,'Data_SA'!$1:$1,0))/INDEX('Data_SA'!$A:$LO,MATCH(EDATE(U$2,-1),'Data_SA'!$A:$A,0),MATCH($E100,'Data_SA'!$1:$1,0))-1,""))</f>
        <v/>
      </c>
      <c r="X100" s="7">
        <f>IFERROR(INDEX('Data_NSA'!$A:$OK,MATCH(U$2,'Data_NSA'!$A:$A,0),MATCH($D100,'Data_NSA'!$1:$1,0))/INDEX('Data_NSA'!$A:$OK,MATCH(EDATE(U$2,-12),'Data_NSA'!$A:$A,0),MATCH($D100,'Data_NSA'!$1:$1,0))-1,"")</f>
        <v/>
      </c>
      <c r="Y100" s="10">
        <f>IFERROR(INDEX('Weights'!$G:$I,MATCH($A100,'Weights'!$A:$A,0),MATCH(U$2,'Weights'!$G$1:$I$1,0)),"")</f>
        <v/>
      </c>
      <c r="Z100" s="10">
        <f>IF($E100="","",IFERROR(100*(INDEX('Weights'!$D:$D,MATCH($A100,'Weights'!$A:$A,0))*(INDEX('Data_NSA'!$A:$OK,MATCH(EDATE(U$2,-1),'Data_NSA'!$A:$A,0),MATCH($D100,'Data_NSA'!$1:$1,0))/INDEX('Data_NSA'!$A:$OK,MATCH(INDEX('Weights'!$E:$E,MATCH($A100,'Weights'!$A:$A,0)),'Data_NSA'!$A:$A,0),MATCH($D100,'Data_NSA'!$1:$1,0))))/(100*(INDEX('Data_NSA'!$A:$OK,MATCH(EDATE(U$2,-1),'Data_NSA'!$A:$A,0),MATCH("CUUR0000SA0",'Data_NSA'!$1:$1,0))/INDEX('Data_NSA'!$A:$OK,MATCH(INDEX('Weights'!$E:$E,MATCH($A100,'Weights'!$A:$A,0)),'Data_NSA'!$A:$A,0),MATCH("CUUR0000SA0",'Data_NSA'!$1:$1,0))))*(INDEX('Data_SA'!$A:$LO,MATCH(U$2,'Data_SA'!$A:$A,0),MATCH($E100,'Data_SA'!$1:$1,0))/INDEX('Data_SA'!$A:$LO,MATCH(EDATE(U$2,-1),'Data_SA'!$A:$A,0),MATCH($E100,'Data_SA'!$1:$1,0))-1),""))</f>
        <v/>
      </c>
    </row>
    <row r="101">
      <c r="A101" s="3" t="inlineStr">
        <is>
          <t>SEFR03</t>
        </is>
      </c>
      <c r="B101" s="3" t="inlineStr">
        <is>
          <t>Other sweets</t>
        </is>
      </c>
      <c r="C101" s="3" t="inlineStr">
        <is>
          <t>SEFR</t>
        </is>
      </c>
      <c r="D101" s="3" t="inlineStr">
        <is>
          <t>CUUR0000SEFR03</t>
        </is>
      </c>
      <c r="E101" s="3" t="inlineStr">
        <is>
          <t>CUSR0000SEFR03</t>
        </is>
      </c>
      <c r="F101" s="3" t="inlineStr">
        <is>
          <t>GM</t>
        </is>
      </c>
      <c r="G101" s="3" t="inlineStr">
        <is>
          <t>monthly food collection where sampled</t>
        </is>
      </c>
      <c r="H101" s="10">
        <f>IFERROR(INDEX(Weights!$D:$D,MATCH($A101,Weights!$A:$A,0)),"")</f>
        <v/>
      </c>
      <c r="I101" s="10">
        <f>IFERROR(INDEX('Data_NSA'!$A:$OK,MATCH(I$2,'Data_NSA'!$A:$A,0),MATCH($D101,'Data_NSA'!$1:$1,0)),"")</f>
        <v/>
      </c>
      <c r="J101" s="10">
        <f>IF($E101="","",IFERROR(INDEX('Data_SA'!$A:$LO,MATCH(I$2,'Data_SA'!$A:$A,0),MATCH($E101,'Data_SA'!$1:$1,0)),""))</f>
        <v/>
      </c>
      <c r="K101" s="7">
        <f>IF($E101="","",IFERROR(INDEX('Data_SA'!$A:$LO,MATCH(I$2,'Data_SA'!$A:$A,0),MATCH($E101,'Data_SA'!$1:$1,0))/INDEX('Data_SA'!$A:$LO,MATCH(EDATE(I$2,-1),'Data_SA'!$A:$A,0),MATCH($E101,'Data_SA'!$1:$1,0))-1,""))</f>
        <v/>
      </c>
      <c r="L101" s="7">
        <f>IFERROR(INDEX('Data_NSA'!$A:$OK,MATCH(I$2,'Data_NSA'!$A:$A,0),MATCH($D101,'Data_NSA'!$1:$1,0))/INDEX('Data_NSA'!$A:$OK,MATCH(EDATE(I$2,-12),'Data_NSA'!$A:$A,0),MATCH($D101,'Data_NSA'!$1:$1,0))-1,"")</f>
        <v/>
      </c>
      <c r="M101" s="10">
        <f>IFERROR(INDEX('Weights'!$G:$I,MATCH($A101,'Weights'!$A:$A,0),MATCH(I$2,'Weights'!$G$1:$I$1,0)),"")</f>
        <v/>
      </c>
      <c r="N101" s="10">
        <f>IF($E101="","",IFERROR(100*(INDEX('Weights'!$D:$D,MATCH($A101,'Weights'!$A:$A,0))*(INDEX('Data_NSA'!$A:$OK,MATCH(EDATE(I$2,-1),'Data_NSA'!$A:$A,0),MATCH($D101,'Data_NSA'!$1:$1,0))/INDEX('Data_NSA'!$A:$OK,MATCH(INDEX('Weights'!$E:$E,MATCH($A101,'Weights'!$A:$A,0)),'Data_NSA'!$A:$A,0),MATCH($D101,'Data_NSA'!$1:$1,0))))/(100*(INDEX('Data_NSA'!$A:$OK,MATCH(EDATE(I$2,-1),'Data_NSA'!$A:$A,0),MATCH("CUUR0000SA0",'Data_NSA'!$1:$1,0))/INDEX('Data_NSA'!$A:$OK,MATCH(INDEX('Weights'!$E:$E,MATCH($A101,'Weights'!$A:$A,0)),'Data_NSA'!$A:$A,0),MATCH("CUUR0000SA0",'Data_NSA'!$1:$1,0))))*(INDEX('Data_SA'!$A:$LO,MATCH(I$2,'Data_SA'!$A:$A,0),MATCH($E101,'Data_SA'!$1:$1,0))/INDEX('Data_SA'!$A:$LO,MATCH(EDATE(I$2,-1),'Data_SA'!$A:$A,0),MATCH($E101,'Data_SA'!$1:$1,0))-1),""))</f>
        <v/>
      </c>
      <c r="O101" s="10">
        <f>IFERROR(INDEX('Data_NSA'!$A:$OK,MATCH(O$2,'Data_NSA'!$A:$A,0),MATCH($D101,'Data_NSA'!$1:$1,0)),"")</f>
        <v/>
      </c>
      <c r="P101" s="10">
        <f>IF($E101="","",IFERROR(INDEX('Data_SA'!$A:$LO,MATCH(O$2,'Data_SA'!$A:$A,0),MATCH($E101,'Data_SA'!$1:$1,0)),""))</f>
        <v/>
      </c>
      <c r="Q101" s="7">
        <f>IF($E101="","",IFERROR(INDEX('Data_SA'!$A:$LO,MATCH(O$2,'Data_SA'!$A:$A,0),MATCH($E101,'Data_SA'!$1:$1,0))/INDEX('Data_SA'!$A:$LO,MATCH(EDATE(O$2,-1),'Data_SA'!$A:$A,0),MATCH($E101,'Data_SA'!$1:$1,0))-1,""))</f>
        <v/>
      </c>
      <c r="R101" s="7">
        <f>IFERROR(INDEX('Data_NSA'!$A:$OK,MATCH(O$2,'Data_NSA'!$A:$A,0),MATCH($D101,'Data_NSA'!$1:$1,0))/INDEX('Data_NSA'!$A:$OK,MATCH(EDATE(O$2,-12),'Data_NSA'!$A:$A,0),MATCH($D101,'Data_NSA'!$1:$1,0))-1,"")</f>
        <v/>
      </c>
      <c r="S101" s="10">
        <f>IFERROR(INDEX('Weights'!$G:$I,MATCH($A101,'Weights'!$A:$A,0),MATCH(O$2,'Weights'!$G$1:$I$1,0)),"")</f>
        <v/>
      </c>
      <c r="T101" s="10">
        <f>IF($E101="","",IFERROR(100*(INDEX('Weights'!$D:$D,MATCH($A101,'Weights'!$A:$A,0))*(INDEX('Data_NSA'!$A:$OK,MATCH(EDATE(O$2,-1),'Data_NSA'!$A:$A,0),MATCH($D101,'Data_NSA'!$1:$1,0))/INDEX('Data_NSA'!$A:$OK,MATCH(INDEX('Weights'!$E:$E,MATCH($A101,'Weights'!$A:$A,0)),'Data_NSA'!$A:$A,0),MATCH($D101,'Data_NSA'!$1:$1,0))))/(100*(INDEX('Data_NSA'!$A:$OK,MATCH(EDATE(O$2,-1),'Data_NSA'!$A:$A,0),MATCH("CUUR0000SA0",'Data_NSA'!$1:$1,0))/INDEX('Data_NSA'!$A:$OK,MATCH(INDEX('Weights'!$E:$E,MATCH($A101,'Weights'!$A:$A,0)),'Data_NSA'!$A:$A,0),MATCH("CUUR0000SA0",'Data_NSA'!$1:$1,0))))*(INDEX('Data_SA'!$A:$LO,MATCH(O$2,'Data_SA'!$A:$A,0),MATCH($E101,'Data_SA'!$1:$1,0))/INDEX('Data_SA'!$A:$LO,MATCH(EDATE(O$2,-1),'Data_SA'!$A:$A,0),MATCH($E101,'Data_SA'!$1:$1,0))-1),""))</f>
        <v/>
      </c>
      <c r="U101" s="10">
        <f>IFERROR(INDEX('Data_NSA'!$A:$OK,MATCH(U$2,'Data_NSA'!$A:$A,0),MATCH($D101,'Data_NSA'!$1:$1,0)),"")</f>
        <v/>
      </c>
      <c r="V101" s="10">
        <f>IF($E101="","",IFERROR(INDEX('Data_SA'!$A:$LO,MATCH(U$2,'Data_SA'!$A:$A,0),MATCH($E101,'Data_SA'!$1:$1,0)),""))</f>
        <v/>
      </c>
      <c r="W101" s="7">
        <f>IF($E101="","",IFERROR(INDEX('Data_SA'!$A:$LO,MATCH(U$2,'Data_SA'!$A:$A,0),MATCH($E101,'Data_SA'!$1:$1,0))/INDEX('Data_SA'!$A:$LO,MATCH(EDATE(U$2,-1),'Data_SA'!$A:$A,0),MATCH($E101,'Data_SA'!$1:$1,0))-1,""))</f>
        <v/>
      </c>
      <c r="X101" s="7">
        <f>IFERROR(INDEX('Data_NSA'!$A:$OK,MATCH(U$2,'Data_NSA'!$A:$A,0),MATCH($D101,'Data_NSA'!$1:$1,0))/INDEX('Data_NSA'!$A:$OK,MATCH(EDATE(U$2,-12),'Data_NSA'!$A:$A,0),MATCH($D101,'Data_NSA'!$1:$1,0))-1,"")</f>
        <v/>
      </c>
      <c r="Y101" s="10">
        <f>IFERROR(INDEX('Weights'!$G:$I,MATCH($A101,'Weights'!$A:$A,0),MATCH(U$2,'Weights'!$G$1:$I$1,0)),"")</f>
        <v/>
      </c>
      <c r="Z101" s="10">
        <f>IF($E101="","",IFERROR(100*(INDEX('Weights'!$D:$D,MATCH($A101,'Weights'!$A:$A,0))*(INDEX('Data_NSA'!$A:$OK,MATCH(EDATE(U$2,-1),'Data_NSA'!$A:$A,0),MATCH($D101,'Data_NSA'!$1:$1,0))/INDEX('Data_NSA'!$A:$OK,MATCH(INDEX('Weights'!$E:$E,MATCH($A101,'Weights'!$A:$A,0)),'Data_NSA'!$A:$A,0),MATCH($D101,'Data_NSA'!$1:$1,0))))/(100*(INDEX('Data_NSA'!$A:$OK,MATCH(EDATE(U$2,-1),'Data_NSA'!$A:$A,0),MATCH("CUUR0000SA0",'Data_NSA'!$1:$1,0))/INDEX('Data_NSA'!$A:$OK,MATCH(INDEX('Weights'!$E:$E,MATCH($A101,'Weights'!$A:$A,0)),'Data_NSA'!$A:$A,0),MATCH("CUUR0000SA0",'Data_NSA'!$1:$1,0))))*(INDEX('Data_SA'!$A:$LO,MATCH(U$2,'Data_SA'!$A:$A,0),MATCH($E101,'Data_SA'!$1:$1,0))/INDEX('Data_SA'!$A:$LO,MATCH(EDATE(U$2,-1),'Data_SA'!$A:$A,0),MATCH($E101,'Data_SA'!$1:$1,0))-1),""))</f>
        <v/>
      </c>
    </row>
    <row r="102">
      <c r="A102" s="3" t="inlineStr">
        <is>
          <t>SEFS</t>
        </is>
      </c>
      <c r="B102" s="3" t="inlineStr">
        <is>
          <t>Fats and oils</t>
        </is>
      </c>
      <c r="C102" s="3" t="inlineStr">
        <is>
          <t>SAF115</t>
        </is>
      </c>
      <c r="D102" s="3" t="inlineStr">
        <is>
          <t>CUUR0000SEFS</t>
        </is>
      </c>
      <c r="E102" s="3" t="inlineStr">
        <is>
          <t>CUSR0000SEFS</t>
        </is>
      </c>
      <c r="F102" s="3" t="inlineStr">
        <is>
          <t>aggregate</t>
        </is>
      </c>
      <c r="G102" s="3" t="inlineStr">
        <is>
          <t>aggregate</t>
        </is>
      </c>
      <c r="H102" s="10">
        <f>IFERROR(INDEX(Weights!$D:$D,MATCH($A102,Weights!$A:$A,0)),"")</f>
        <v/>
      </c>
      <c r="I102" s="10">
        <f>IFERROR(INDEX('Data_NSA'!$A:$OK,MATCH(I$2,'Data_NSA'!$A:$A,0),MATCH($D102,'Data_NSA'!$1:$1,0)),"")</f>
        <v/>
      </c>
      <c r="J102" s="10">
        <f>IF($E102="","",IFERROR(INDEX('Data_SA'!$A:$LO,MATCH(I$2,'Data_SA'!$A:$A,0),MATCH($E102,'Data_SA'!$1:$1,0)),""))</f>
        <v/>
      </c>
      <c r="K102" s="7">
        <f>IF($E102="","",IFERROR(INDEX('Data_SA'!$A:$LO,MATCH(I$2,'Data_SA'!$A:$A,0),MATCH($E102,'Data_SA'!$1:$1,0))/INDEX('Data_SA'!$A:$LO,MATCH(EDATE(I$2,-1),'Data_SA'!$A:$A,0),MATCH($E102,'Data_SA'!$1:$1,0))-1,""))</f>
        <v/>
      </c>
      <c r="L102" s="7">
        <f>IFERROR(INDEX('Data_NSA'!$A:$OK,MATCH(I$2,'Data_NSA'!$A:$A,0),MATCH($D102,'Data_NSA'!$1:$1,0))/INDEX('Data_NSA'!$A:$OK,MATCH(EDATE(I$2,-12),'Data_NSA'!$A:$A,0),MATCH($D102,'Data_NSA'!$1:$1,0))-1,"")</f>
        <v/>
      </c>
      <c r="M102" s="10">
        <f>IFERROR(INDEX('Weights'!$G:$I,MATCH($A102,'Weights'!$A:$A,0),MATCH(I$2,'Weights'!$G$1:$I$1,0)),"")</f>
        <v/>
      </c>
      <c r="N102" s="10">
        <f>IF($E102="","",IFERROR(100*(INDEX('Weights'!$D:$D,MATCH($A102,'Weights'!$A:$A,0))*(INDEX('Data_NSA'!$A:$OK,MATCH(EDATE(I$2,-1),'Data_NSA'!$A:$A,0),MATCH($D102,'Data_NSA'!$1:$1,0))/INDEX('Data_NSA'!$A:$OK,MATCH(INDEX('Weights'!$E:$E,MATCH($A102,'Weights'!$A:$A,0)),'Data_NSA'!$A:$A,0),MATCH($D102,'Data_NSA'!$1:$1,0))))/(100*(INDEX('Data_NSA'!$A:$OK,MATCH(EDATE(I$2,-1),'Data_NSA'!$A:$A,0),MATCH("CUUR0000SA0",'Data_NSA'!$1:$1,0))/INDEX('Data_NSA'!$A:$OK,MATCH(INDEX('Weights'!$E:$E,MATCH($A102,'Weights'!$A:$A,0)),'Data_NSA'!$A:$A,0),MATCH("CUUR0000SA0",'Data_NSA'!$1:$1,0))))*(INDEX('Data_SA'!$A:$LO,MATCH(I$2,'Data_SA'!$A:$A,0),MATCH($E102,'Data_SA'!$1:$1,0))/INDEX('Data_SA'!$A:$LO,MATCH(EDATE(I$2,-1),'Data_SA'!$A:$A,0),MATCH($E102,'Data_SA'!$1:$1,0))-1),""))</f>
        <v/>
      </c>
      <c r="O102" s="10">
        <f>IFERROR(INDEX('Data_NSA'!$A:$OK,MATCH(O$2,'Data_NSA'!$A:$A,0),MATCH($D102,'Data_NSA'!$1:$1,0)),"")</f>
        <v/>
      </c>
      <c r="P102" s="10">
        <f>IF($E102="","",IFERROR(INDEX('Data_SA'!$A:$LO,MATCH(O$2,'Data_SA'!$A:$A,0),MATCH($E102,'Data_SA'!$1:$1,0)),""))</f>
        <v/>
      </c>
      <c r="Q102" s="7">
        <f>IF($E102="","",IFERROR(INDEX('Data_SA'!$A:$LO,MATCH(O$2,'Data_SA'!$A:$A,0),MATCH($E102,'Data_SA'!$1:$1,0))/INDEX('Data_SA'!$A:$LO,MATCH(EDATE(O$2,-1),'Data_SA'!$A:$A,0),MATCH($E102,'Data_SA'!$1:$1,0))-1,""))</f>
        <v/>
      </c>
      <c r="R102" s="7">
        <f>IFERROR(INDEX('Data_NSA'!$A:$OK,MATCH(O$2,'Data_NSA'!$A:$A,0),MATCH($D102,'Data_NSA'!$1:$1,0))/INDEX('Data_NSA'!$A:$OK,MATCH(EDATE(O$2,-12),'Data_NSA'!$A:$A,0),MATCH($D102,'Data_NSA'!$1:$1,0))-1,"")</f>
        <v/>
      </c>
      <c r="S102" s="10">
        <f>IFERROR(INDEX('Weights'!$G:$I,MATCH($A102,'Weights'!$A:$A,0),MATCH(O$2,'Weights'!$G$1:$I$1,0)),"")</f>
        <v/>
      </c>
      <c r="T102" s="10">
        <f>IF($E102="","",IFERROR(100*(INDEX('Weights'!$D:$D,MATCH($A102,'Weights'!$A:$A,0))*(INDEX('Data_NSA'!$A:$OK,MATCH(EDATE(O$2,-1),'Data_NSA'!$A:$A,0),MATCH($D102,'Data_NSA'!$1:$1,0))/INDEX('Data_NSA'!$A:$OK,MATCH(INDEX('Weights'!$E:$E,MATCH($A102,'Weights'!$A:$A,0)),'Data_NSA'!$A:$A,0),MATCH($D102,'Data_NSA'!$1:$1,0))))/(100*(INDEX('Data_NSA'!$A:$OK,MATCH(EDATE(O$2,-1),'Data_NSA'!$A:$A,0),MATCH("CUUR0000SA0",'Data_NSA'!$1:$1,0))/INDEX('Data_NSA'!$A:$OK,MATCH(INDEX('Weights'!$E:$E,MATCH($A102,'Weights'!$A:$A,0)),'Data_NSA'!$A:$A,0),MATCH("CUUR0000SA0",'Data_NSA'!$1:$1,0))))*(INDEX('Data_SA'!$A:$LO,MATCH(O$2,'Data_SA'!$A:$A,0),MATCH($E102,'Data_SA'!$1:$1,0))/INDEX('Data_SA'!$A:$LO,MATCH(EDATE(O$2,-1),'Data_SA'!$A:$A,0),MATCH($E102,'Data_SA'!$1:$1,0))-1),""))</f>
        <v/>
      </c>
      <c r="U102" s="10">
        <f>IFERROR(INDEX('Data_NSA'!$A:$OK,MATCH(U$2,'Data_NSA'!$A:$A,0),MATCH($D102,'Data_NSA'!$1:$1,0)),"")</f>
        <v/>
      </c>
      <c r="V102" s="10">
        <f>IF($E102="","",IFERROR(INDEX('Data_SA'!$A:$LO,MATCH(U$2,'Data_SA'!$A:$A,0),MATCH($E102,'Data_SA'!$1:$1,0)),""))</f>
        <v/>
      </c>
      <c r="W102" s="7">
        <f>IF($E102="","",IFERROR(INDEX('Data_SA'!$A:$LO,MATCH(U$2,'Data_SA'!$A:$A,0),MATCH($E102,'Data_SA'!$1:$1,0))/INDEX('Data_SA'!$A:$LO,MATCH(EDATE(U$2,-1),'Data_SA'!$A:$A,0),MATCH($E102,'Data_SA'!$1:$1,0))-1,""))</f>
        <v/>
      </c>
      <c r="X102" s="7">
        <f>IFERROR(INDEX('Data_NSA'!$A:$OK,MATCH(U$2,'Data_NSA'!$A:$A,0),MATCH($D102,'Data_NSA'!$1:$1,0))/INDEX('Data_NSA'!$A:$OK,MATCH(EDATE(U$2,-12),'Data_NSA'!$A:$A,0),MATCH($D102,'Data_NSA'!$1:$1,0))-1,"")</f>
        <v/>
      </c>
      <c r="Y102" s="10">
        <f>IFERROR(INDEX('Weights'!$G:$I,MATCH($A102,'Weights'!$A:$A,0),MATCH(U$2,'Weights'!$G$1:$I$1,0)),"")</f>
        <v/>
      </c>
      <c r="Z102" s="10">
        <f>IF($E102="","",IFERROR(100*(INDEX('Weights'!$D:$D,MATCH($A102,'Weights'!$A:$A,0))*(INDEX('Data_NSA'!$A:$OK,MATCH(EDATE(U$2,-1),'Data_NSA'!$A:$A,0),MATCH($D102,'Data_NSA'!$1:$1,0))/INDEX('Data_NSA'!$A:$OK,MATCH(INDEX('Weights'!$E:$E,MATCH($A102,'Weights'!$A:$A,0)),'Data_NSA'!$A:$A,0),MATCH($D102,'Data_NSA'!$1:$1,0))))/(100*(INDEX('Data_NSA'!$A:$OK,MATCH(EDATE(U$2,-1),'Data_NSA'!$A:$A,0),MATCH("CUUR0000SA0",'Data_NSA'!$1:$1,0))/INDEX('Data_NSA'!$A:$OK,MATCH(INDEX('Weights'!$E:$E,MATCH($A102,'Weights'!$A:$A,0)),'Data_NSA'!$A:$A,0),MATCH("CUUR0000SA0",'Data_NSA'!$1:$1,0))))*(INDEX('Data_SA'!$A:$LO,MATCH(U$2,'Data_SA'!$A:$A,0),MATCH($E102,'Data_SA'!$1:$1,0))/INDEX('Data_SA'!$A:$LO,MATCH(EDATE(U$2,-1),'Data_SA'!$A:$A,0),MATCH($E102,'Data_SA'!$1:$1,0))-1),""))</f>
        <v/>
      </c>
    </row>
    <row r="103">
      <c r="A103" s="3" t="inlineStr">
        <is>
          <t>SEFS01</t>
        </is>
      </c>
      <c r="B103" s="3" t="inlineStr">
        <is>
          <t>Butter and margarine</t>
        </is>
      </c>
      <c r="C103" s="3" t="inlineStr">
        <is>
          <t>SEFS</t>
        </is>
      </c>
      <c r="D103" s="3" t="inlineStr">
        <is>
          <t>CUUR0000SEFS01</t>
        </is>
      </c>
      <c r="E103" s="3" t="inlineStr">
        <is>
          <t>CUSR0000SEFS01</t>
        </is>
      </c>
      <c r="F103" s="3" t="inlineStr">
        <is>
          <t>aggregate</t>
        </is>
      </c>
      <c r="G103" s="3" t="inlineStr">
        <is>
          <t>aggregate</t>
        </is>
      </c>
      <c r="H103" s="10">
        <f>IFERROR(INDEX(Weights!$D:$D,MATCH($A103,Weights!$A:$A,0)),"")</f>
        <v/>
      </c>
      <c r="I103" s="10">
        <f>IFERROR(INDEX('Data_NSA'!$A:$OK,MATCH(I$2,'Data_NSA'!$A:$A,0),MATCH($D103,'Data_NSA'!$1:$1,0)),"")</f>
        <v/>
      </c>
      <c r="J103" s="10">
        <f>IF($E103="","",IFERROR(INDEX('Data_SA'!$A:$LO,MATCH(I$2,'Data_SA'!$A:$A,0),MATCH($E103,'Data_SA'!$1:$1,0)),""))</f>
        <v/>
      </c>
      <c r="K103" s="7">
        <f>IF($E103="","",IFERROR(INDEX('Data_SA'!$A:$LO,MATCH(I$2,'Data_SA'!$A:$A,0),MATCH($E103,'Data_SA'!$1:$1,0))/INDEX('Data_SA'!$A:$LO,MATCH(EDATE(I$2,-1),'Data_SA'!$A:$A,0),MATCH($E103,'Data_SA'!$1:$1,0))-1,""))</f>
        <v/>
      </c>
      <c r="L103" s="7">
        <f>IFERROR(INDEX('Data_NSA'!$A:$OK,MATCH(I$2,'Data_NSA'!$A:$A,0),MATCH($D103,'Data_NSA'!$1:$1,0))/INDEX('Data_NSA'!$A:$OK,MATCH(EDATE(I$2,-12),'Data_NSA'!$A:$A,0),MATCH($D103,'Data_NSA'!$1:$1,0))-1,"")</f>
        <v/>
      </c>
      <c r="M103" s="10">
        <f>IFERROR(INDEX('Weights'!$G:$I,MATCH($A103,'Weights'!$A:$A,0),MATCH(I$2,'Weights'!$G$1:$I$1,0)),"")</f>
        <v/>
      </c>
      <c r="N103" s="10">
        <f>IF($E103="","",IFERROR(100*(INDEX('Weights'!$D:$D,MATCH($A103,'Weights'!$A:$A,0))*(INDEX('Data_NSA'!$A:$OK,MATCH(EDATE(I$2,-1),'Data_NSA'!$A:$A,0),MATCH($D103,'Data_NSA'!$1:$1,0))/INDEX('Data_NSA'!$A:$OK,MATCH(INDEX('Weights'!$E:$E,MATCH($A103,'Weights'!$A:$A,0)),'Data_NSA'!$A:$A,0),MATCH($D103,'Data_NSA'!$1:$1,0))))/(100*(INDEX('Data_NSA'!$A:$OK,MATCH(EDATE(I$2,-1),'Data_NSA'!$A:$A,0),MATCH("CUUR0000SA0",'Data_NSA'!$1:$1,0))/INDEX('Data_NSA'!$A:$OK,MATCH(INDEX('Weights'!$E:$E,MATCH($A103,'Weights'!$A:$A,0)),'Data_NSA'!$A:$A,0),MATCH("CUUR0000SA0",'Data_NSA'!$1:$1,0))))*(INDEX('Data_SA'!$A:$LO,MATCH(I$2,'Data_SA'!$A:$A,0),MATCH($E103,'Data_SA'!$1:$1,0))/INDEX('Data_SA'!$A:$LO,MATCH(EDATE(I$2,-1),'Data_SA'!$A:$A,0),MATCH($E103,'Data_SA'!$1:$1,0))-1),""))</f>
        <v/>
      </c>
      <c r="O103" s="10">
        <f>IFERROR(INDEX('Data_NSA'!$A:$OK,MATCH(O$2,'Data_NSA'!$A:$A,0),MATCH($D103,'Data_NSA'!$1:$1,0)),"")</f>
        <v/>
      </c>
      <c r="P103" s="10">
        <f>IF($E103="","",IFERROR(INDEX('Data_SA'!$A:$LO,MATCH(O$2,'Data_SA'!$A:$A,0),MATCH($E103,'Data_SA'!$1:$1,0)),""))</f>
        <v/>
      </c>
      <c r="Q103" s="7">
        <f>IF($E103="","",IFERROR(INDEX('Data_SA'!$A:$LO,MATCH(O$2,'Data_SA'!$A:$A,0),MATCH($E103,'Data_SA'!$1:$1,0))/INDEX('Data_SA'!$A:$LO,MATCH(EDATE(O$2,-1),'Data_SA'!$A:$A,0),MATCH($E103,'Data_SA'!$1:$1,0))-1,""))</f>
        <v/>
      </c>
      <c r="R103" s="7">
        <f>IFERROR(INDEX('Data_NSA'!$A:$OK,MATCH(O$2,'Data_NSA'!$A:$A,0),MATCH($D103,'Data_NSA'!$1:$1,0))/INDEX('Data_NSA'!$A:$OK,MATCH(EDATE(O$2,-12),'Data_NSA'!$A:$A,0),MATCH($D103,'Data_NSA'!$1:$1,0))-1,"")</f>
        <v/>
      </c>
      <c r="S103" s="10">
        <f>IFERROR(INDEX('Weights'!$G:$I,MATCH($A103,'Weights'!$A:$A,0),MATCH(O$2,'Weights'!$G$1:$I$1,0)),"")</f>
        <v/>
      </c>
      <c r="T103" s="10">
        <f>IF($E103="","",IFERROR(100*(INDEX('Weights'!$D:$D,MATCH($A103,'Weights'!$A:$A,0))*(INDEX('Data_NSA'!$A:$OK,MATCH(EDATE(O$2,-1),'Data_NSA'!$A:$A,0),MATCH($D103,'Data_NSA'!$1:$1,0))/INDEX('Data_NSA'!$A:$OK,MATCH(INDEX('Weights'!$E:$E,MATCH($A103,'Weights'!$A:$A,0)),'Data_NSA'!$A:$A,0),MATCH($D103,'Data_NSA'!$1:$1,0))))/(100*(INDEX('Data_NSA'!$A:$OK,MATCH(EDATE(O$2,-1),'Data_NSA'!$A:$A,0),MATCH("CUUR0000SA0",'Data_NSA'!$1:$1,0))/INDEX('Data_NSA'!$A:$OK,MATCH(INDEX('Weights'!$E:$E,MATCH($A103,'Weights'!$A:$A,0)),'Data_NSA'!$A:$A,0),MATCH("CUUR0000SA0",'Data_NSA'!$1:$1,0))))*(INDEX('Data_SA'!$A:$LO,MATCH(O$2,'Data_SA'!$A:$A,0),MATCH($E103,'Data_SA'!$1:$1,0))/INDEX('Data_SA'!$A:$LO,MATCH(EDATE(O$2,-1),'Data_SA'!$A:$A,0),MATCH($E103,'Data_SA'!$1:$1,0))-1),""))</f>
        <v/>
      </c>
      <c r="U103" s="10">
        <f>IFERROR(INDEX('Data_NSA'!$A:$OK,MATCH(U$2,'Data_NSA'!$A:$A,0),MATCH($D103,'Data_NSA'!$1:$1,0)),"")</f>
        <v/>
      </c>
      <c r="V103" s="10">
        <f>IF($E103="","",IFERROR(INDEX('Data_SA'!$A:$LO,MATCH(U$2,'Data_SA'!$A:$A,0),MATCH($E103,'Data_SA'!$1:$1,0)),""))</f>
        <v/>
      </c>
      <c r="W103" s="7">
        <f>IF($E103="","",IFERROR(INDEX('Data_SA'!$A:$LO,MATCH(U$2,'Data_SA'!$A:$A,0),MATCH($E103,'Data_SA'!$1:$1,0))/INDEX('Data_SA'!$A:$LO,MATCH(EDATE(U$2,-1),'Data_SA'!$A:$A,0),MATCH($E103,'Data_SA'!$1:$1,0))-1,""))</f>
        <v/>
      </c>
      <c r="X103" s="7">
        <f>IFERROR(INDEX('Data_NSA'!$A:$OK,MATCH(U$2,'Data_NSA'!$A:$A,0),MATCH($D103,'Data_NSA'!$1:$1,0))/INDEX('Data_NSA'!$A:$OK,MATCH(EDATE(U$2,-12),'Data_NSA'!$A:$A,0),MATCH($D103,'Data_NSA'!$1:$1,0))-1,"")</f>
        <v/>
      </c>
      <c r="Y103" s="10">
        <f>IFERROR(INDEX('Weights'!$G:$I,MATCH($A103,'Weights'!$A:$A,0),MATCH(U$2,'Weights'!$G$1:$I$1,0)),"")</f>
        <v/>
      </c>
      <c r="Z103" s="10">
        <f>IF($E103="","",IFERROR(100*(INDEX('Weights'!$D:$D,MATCH($A103,'Weights'!$A:$A,0))*(INDEX('Data_NSA'!$A:$OK,MATCH(EDATE(U$2,-1),'Data_NSA'!$A:$A,0),MATCH($D103,'Data_NSA'!$1:$1,0))/INDEX('Data_NSA'!$A:$OK,MATCH(INDEX('Weights'!$E:$E,MATCH($A103,'Weights'!$A:$A,0)),'Data_NSA'!$A:$A,0),MATCH($D103,'Data_NSA'!$1:$1,0))))/(100*(INDEX('Data_NSA'!$A:$OK,MATCH(EDATE(U$2,-1),'Data_NSA'!$A:$A,0),MATCH("CUUR0000SA0",'Data_NSA'!$1:$1,0))/INDEX('Data_NSA'!$A:$OK,MATCH(INDEX('Weights'!$E:$E,MATCH($A103,'Weights'!$A:$A,0)),'Data_NSA'!$A:$A,0),MATCH("CUUR0000SA0",'Data_NSA'!$1:$1,0))))*(INDEX('Data_SA'!$A:$LO,MATCH(U$2,'Data_SA'!$A:$A,0),MATCH($E103,'Data_SA'!$1:$1,0))/INDEX('Data_SA'!$A:$LO,MATCH(EDATE(U$2,-1),'Data_SA'!$A:$A,0),MATCH($E103,'Data_SA'!$1:$1,0))-1),""))</f>
        <v/>
      </c>
    </row>
    <row r="104">
      <c r="A104" s="3" t="inlineStr">
        <is>
          <t>SS10011</t>
        </is>
      </c>
      <c r="B104" s="3" t="inlineStr">
        <is>
          <t>Butter</t>
        </is>
      </c>
      <c r="C104" s="3" t="inlineStr">
        <is>
          <t>SEFS01</t>
        </is>
      </c>
      <c r="D104" s="3" t="inlineStr">
        <is>
          <t>CUUR0000SS10011</t>
        </is>
      </c>
      <c r="E104" s="3" t="inlineStr">
        <is>
          <t>CUSR0000SS10011</t>
        </is>
      </c>
      <c r="F104" s="3" t="inlineStr">
        <is>
          <t>GM</t>
        </is>
      </c>
      <c r="G104" s="3" t="inlineStr">
        <is>
          <t>monthly in New York/Los Angeles/Chicago; often bimonthly elsewhere</t>
        </is>
      </c>
      <c r="H104" s="10">
        <f>IFERROR(INDEX(Weights!$D:$D,MATCH($A104,Weights!$A:$A,0)),"")</f>
        <v/>
      </c>
      <c r="I104" s="10">
        <f>IFERROR(INDEX('Data_NSA'!$A:$OK,MATCH(I$2,'Data_NSA'!$A:$A,0),MATCH($D104,'Data_NSA'!$1:$1,0)),"")</f>
        <v/>
      </c>
      <c r="J104" s="10">
        <f>IF($E104="","",IFERROR(INDEX('Data_SA'!$A:$LO,MATCH(I$2,'Data_SA'!$A:$A,0),MATCH($E104,'Data_SA'!$1:$1,0)),""))</f>
        <v/>
      </c>
      <c r="K104" s="7">
        <f>IF($E104="","",IFERROR(INDEX('Data_SA'!$A:$LO,MATCH(I$2,'Data_SA'!$A:$A,0),MATCH($E104,'Data_SA'!$1:$1,0))/INDEX('Data_SA'!$A:$LO,MATCH(EDATE(I$2,-1),'Data_SA'!$A:$A,0),MATCH($E104,'Data_SA'!$1:$1,0))-1,""))</f>
        <v/>
      </c>
      <c r="L104" s="7">
        <f>IFERROR(INDEX('Data_NSA'!$A:$OK,MATCH(I$2,'Data_NSA'!$A:$A,0),MATCH($D104,'Data_NSA'!$1:$1,0))/INDEX('Data_NSA'!$A:$OK,MATCH(EDATE(I$2,-12),'Data_NSA'!$A:$A,0),MATCH($D104,'Data_NSA'!$1:$1,0))-1,"")</f>
        <v/>
      </c>
      <c r="M104" s="10">
        <f>IFERROR(INDEX('Weights'!$G:$I,MATCH($A104,'Weights'!$A:$A,0),MATCH(I$2,'Weights'!$G$1:$I$1,0)),"")</f>
        <v/>
      </c>
      <c r="N104" s="10">
        <f>IF($E104="","",IFERROR(100*(INDEX('Weights'!$D:$D,MATCH($A104,'Weights'!$A:$A,0))*(INDEX('Data_NSA'!$A:$OK,MATCH(EDATE(I$2,-1),'Data_NSA'!$A:$A,0),MATCH($D104,'Data_NSA'!$1:$1,0))/INDEX('Data_NSA'!$A:$OK,MATCH(INDEX('Weights'!$E:$E,MATCH($A104,'Weights'!$A:$A,0)),'Data_NSA'!$A:$A,0),MATCH($D104,'Data_NSA'!$1:$1,0))))/(100*(INDEX('Data_NSA'!$A:$OK,MATCH(EDATE(I$2,-1),'Data_NSA'!$A:$A,0),MATCH("CUUR0000SA0",'Data_NSA'!$1:$1,0))/INDEX('Data_NSA'!$A:$OK,MATCH(INDEX('Weights'!$E:$E,MATCH($A104,'Weights'!$A:$A,0)),'Data_NSA'!$A:$A,0),MATCH("CUUR0000SA0",'Data_NSA'!$1:$1,0))))*(INDEX('Data_SA'!$A:$LO,MATCH(I$2,'Data_SA'!$A:$A,0),MATCH($E104,'Data_SA'!$1:$1,0))/INDEX('Data_SA'!$A:$LO,MATCH(EDATE(I$2,-1),'Data_SA'!$A:$A,0),MATCH($E104,'Data_SA'!$1:$1,0))-1),""))</f>
        <v/>
      </c>
      <c r="O104" s="10">
        <f>IFERROR(INDEX('Data_NSA'!$A:$OK,MATCH(O$2,'Data_NSA'!$A:$A,0),MATCH($D104,'Data_NSA'!$1:$1,0)),"")</f>
        <v/>
      </c>
      <c r="P104" s="10">
        <f>IF($E104="","",IFERROR(INDEX('Data_SA'!$A:$LO,MATCH(O$2,'Data_SA'!$A:$A,0),MATCH($E104,'Data_SA'!$1:$1,0)),""))</f>
        <v/>
      </c>
      <c r="Q104" s="7">
        <f>IF($E104="","",IFERROR(INDEX('Data_SA'!$A:$LO,MATCH(O$2,'Data_SA'!$A:$A,0),MATCH($E104,'Data_SA'!$1:$1,0))/INDEX('Data_SA'!$A:$LO,MATCH(EDATE(O$2,-1),'Data_SA'!$A:$A,0),MATCH($E104,'Data_SA'!$1:$1,0))-1,""))</f>
        <v/>
      </c>
      <c r="R104" s="7">
        <f>IFERROR(INDEX('Data_NSA'!$A:$OK,MATCH(O$2,'Data_NSA'!$A:$A,0),MATCH($D104,'Data_NSA'!$1:$1,0))/INDEX('Data_NSA'!$A:$OK,MATCH(EDATE(O$2,-12),'Data_NSA'!$A:$A,0),MATCH($D104,'Data_NSA'!$1:$1,0))-1,"")</f>
        <v/>
      </c>
      <c r="S104" s="10">
        <f>IFERROR(INDEX('Weights'!$G:$I,MATCH($A104,'Weights'!$A:$A,0),MATCH(O$2,'Weights'!$G$1:$I$1,0)),"")</f>
        <v/>
      </c>
      <c r="T104" s="10">
        <f>IF($E104="","",IFERROR(100*(INDEX('Weights'!$D:$D,MATCH($A104,'Weights'!$A:$A,0))*(INDEX('Data_NSA'!$A:$OK,MATCH(EDATE(O$2,-1),'Data_NSA'!$A:$A,0),MATCH($D104,'Data_NSA'!$1:$1,0))/INDEX('Data_NSA'!$A:$OK,MATCH(INDEX('Weights'!$E:$E,MATCH($A104,'Weights'!$A:$A,0)),'Data_NSA'!$A:$A,0),MATCH($D104,'Data_NSA'!$1:$1,0))))/(100*(INDEX('Data_NSA'!$A:$OK,MATCH(EDATE(O$2,-1),'Data_NSA'!$A:$A,0),MATCH("CUUR0000SA0",'Data_NSA'!$1:$1,0))/INDEX('Data_NSA'!$A:$OK,MATCH(INDEX('Weights'!$E:$E,MATCH($A104,'Weights'!$A:$A,0)),'Data_NSA'!$A:$A,0),MATCH("CUUR0000SA0",'Data_NSA'!$1:$1,0))))*(INDEX('Data_SA'!$A:$LO,MATCH(O$2,'Data_SA'!$A:$A,0),MATCH($E104,'Data_SA'!$1:$1,0))/INDEX('Data_SA'!$A:$LO,MATCH(EDATE(O$2,-1),'Data_SA'!$A:$A,0),MATCH($E104,'Data_SA'!$1:$1,0))-1),""))</f>
        <v/>
      </c>
      <c r="U104" s="10">
        <f>IFERROR(INDEX('Data_NSA'!$A:$OK,MATCH(U$2,'Data_NSA'!$A:$A,0),MATCH($D104,'Data_NSA'!$1:$1,0)),"")</f>
        <v/>
      </c>
      <c r="V104" s="10">
        <f>IF($E104="","",IFERROR(INDEX('Data_SA'!$A:$LO,MATCH(U$2,'Data_SA'!$A:$A,0),MATCH($E104,'Data_SA'!$1:$1,0)),""))</f>
        <v/>
      </c>
      <c r="W104" s="7">
        <f>IF($E104="","",IFERROR(INDEX('Data_SA'!$A:$LO,MATCH(U$2,'Data_SA'!$A:$A,0),MATCH($E104,'Data_SA'!$1:$1,0))/INDEX('Data_SA'!$A:$LO,MATCH(EDATE(U$2,-1),'Data_SA'!$A:$A,0),MATCH($E104,'Data_SA'!$1:$1,0))-1,""))</f>
        <v/>
      </c>
      <c r="X104" s="7">
        <f>IFERROR(INDEX('Data_NSA'!$A:$OK,MATCH(U$2,'Data_NSA'!$A:$A,0),MATCH($D104,'Data_NSA'!$1:$1,0))/INDEX('Data_NSA'!$A:$OK,MATCH(EDATE(U$2,-12),'Data_NSA'!$A:$A,0),MATCH($D104,'Data_NSA'!$1:$1,0))-1,"")</f>
        <v/>
      </c>
      <c r="Y104" s="10">
        <f>IFERROR(INDEX('Weights'!$G:$I,MATCH($A104,'Weights'!$A:$A,0),MATCH(U$2,'Weights'!$G$1:$I$1,0)),"")</f>
        <v/>
      </c>
      <c r="Z104" s="10">
        <f>IF($E104="","",IFERROR(100*(INDEX('Weights'!$D:$D,MATCH($A104,'Weights'!$A:$A,0))*(INDEX('Data_NSA'!$A:$OK,MATCH(EDATE(U$2,-1),'Data_NSA'!$A:$A,0),MATCH($D104,'Data_NSA'!$1:$1,0))/INDEX('Data_NSA'!$A:$OK,MATCH(INDEX('Weights'!$E:$E,MATCH($A104,'Weights'!$A:$A,0)),'Data_NSA'!$A:$A,0),MATCH($D104,'Data_NSA'!$1:$1,0))))/(100*(INDEX('Data_NSA'!$A:$OK,MATCH(EDATE(U$2,-1),'Data_NSA'!$A:$A,0),MATCH("CUUR0000SA0",'Data_NSA'!$1:$1,0))/INDEX('Data_NSA'!$A:$OK,MATCH(INDEX('Weights'!$E:$E,MATCH($A104,'Weights'!$A:$A,0)),'Data_NSA'!$A:$A,0),MATCH("CUUR0000SA0",'Data_NSA'!$1:$1,0))))*(INDEX('Data_SA'!$A:$LO,MATCH(U$2,'Data_SA'!$A:$A,0),MATCH($E104,'Data_SA'!$1:$1,0))/INDEX('Data_SA'!$A:$LO,MATCH(EDATE(U$2,-1),'Data_SA'!$A:$A,0),MATCH($E104,'Data_SA'!$1:$1,0))-1),""))</f>
        <v/>
      </c>
    </row>
    <row r="105">
      <c r="A105" s="3" t="inlineStr">
        <is>
          <t>SS16011</t>
        </is>
      </c>
      <c r="B105" s="3" t="inlineStr">
        <is>
          <t>Margarine</t>
        </is>
      </c>
      <c r="C105" s="3" t="inlineStr">
        <is>
          <t>SEFS01</t>
        </is>
      </c>
      <c r="D105" s="3" t="inlineStr">
        <is>
          <t>CUUR0000SS16011</t>
        </is>
      </c>
      <c r="E105" s="3" t="inlineStr">
        <is>
          <t>CUSR0000SS16011</t>
        </is>
      </c>
      <c r="F105" s="3" t="inlineStr">
        <is>
          <t>GM</t>
        </is>
      </c>
      <c r="G105" s="3" t="inlineStr">
        <is>
          <t>monthly in New York/Los Angeles/Chicago; often bimonthly elsewhere</t>
        </is>
      </c>
      <c r="H105" s="10">
        <f>IFERROR(INDEX(Weights!$D:$D,MATCH($A105,Weights!$A:$A,0)),"")</f>
        <v/>
      </c>
      <c r="I105" s="10">
        <f>IFERROR(INDEX('Data_NSA'!$A:$OK,MATCH(I$2,'Data_NSA'!$A:$A,0),MATCH($D105,'Data_NSA'!$1:$1,0)),"")</f>
        <v/>
      </c>
      <c r="J105" s="10">
        <f>IF($E105="","",IFERROR(INDEX('Data_SA'!$A:$LO,MATCH(I$2,'Data_SA'!$A:$A,0),MATCH($E105,'Data_SA'!$1:$1,0)),""))</f>
        <v/>
      </c>
      <c r="K105" s="7">
        <f>IF($E105="","",IFERROR(INDEX('Data_SA'!$A:$LO,MATCH(I$2,'Data_SA'!$A:$A,0),MATCH($E105,'Data_SA'!$1:$1,0))/INDEX('Data_SA'!$A:$LO,MATCH(EDATE(I$2,-1),'Data_SA'!$A:$A,0),MATCH($E105,'Data_SA'!$1:$1,0))-1,""))</f>
        <v/>
      </c>
      <c r="L105" s="7">
        <f>IFERROR(INDEX('Data_NSA'!$A:$OK,MATCH(I$2,'Data_NSA'!$A:$A,0),MATCH($D105,'Data_NSA'!$1:$1,0))/INDEX('Data_NSA'!$A:$OK,MATCH(EDATE(I$2,-12),'Data_NSA'!$A:$A,0),MATCH($D105,'Data_NSA'!$1:$1,0))-1,"")</f>
        <v/>
      </c>
      <c r="M105" s="10">
        <f>IFERROR(INDEX('Weights'!$G:$I,MATCH($A105,'Weights'!$A:$A,0),MATCH(I$2,'Weights'!$G$1:$I$1,0)),"")</f>
        <v/>
      </c>
      <c r="N105" s="10">
        <f>IF($E105="","",IFERROR(100*(INDEX('Weights'!$D:$D,MATCH($A105,'Weights'!$A:$A,0))*(INDEX('Data_NSA'!$A:$OK,MATCH(EDATE(I$2,-1),'Data_NSA'!$A:$A,0),MATCH($D105,'Data_NSA'!$1:$1,0))/INDEX('Data_NSA'!$A:$OK,MATCH(INDEX('Weights'!$E:$E,MATCH($A105,'Weights'!$A:$A,0)),'Data_NSA'!$A:$A,0),MATCH($D105,'Data_NSA'!$1:$1,0))))/(100*(INDEX('Data_NSA'!$A:$OK,MATCH(EDATE(I$2,-1),'Data_NSA'!$A:$A,0),MATCH("CUUR0000SA0",'Data_NSA'!$1:$1,0))/INDEX('Data_NSA'!$A:$OK,MATCH(INDEX('Weights'!$E:$E,MATCH($A105,'Weights'!$A:$A,0)),'Data_NSA'!$A:$A,0),MATCH("CUUR0000SA0",'Data_NSA'!$1:$1,0))))*(INDEX('Data_SA'!$A:$LO,MATCH(I$2,'Data_SA'!$A:$A,0),MATCH($E105,'Data_SA'!$1:$1,0))/INDEX('Data_SA'!$A:$LO,MATCH(EDATE(I$2,-1),'Data_SA'!$A:$A,0),MATCH($E105,'Data_SA'!$1:$1,0))-1),""))</f>
        <v/>
      </c>
      <c r="O105" s="10">
        <f>IFERROR(INDEX('Data_NSA'!$A:$OK,MATCH(O$2,'Data_NSA'!$A:$A,0),MATCH($D105,'Data_NSA'!$1:$1,0)),"")</f>
        <v/>
      </c>
      <c r="P105" s="10">
        <f>IF($E105="","",IFERROR(INDEX('Data_SA'!$A:$LO,MATCH(O$2,'Data_SA'!$A:$A,0),MATCH($E105,'Data_SA'!$1:$1,0)),""))</f>
        <v/>
      </c>
      <c r="Q105" s="7">
        <f>IF($E105="","",IFERROR(INDEX('Data_SA'!$A:$LO,MATCH(O$2,'Data_SA'!$A:$A,0),MATCH($E105,'Data_SA'!$1:$1,0))/INDEX('Data_SA'!$A:$LO,MATCH(EDATE(O$2,-1),'Data_SA'!$A:$A,0),MATCH($E105,'Data_SA'!$1:$1,0))-1,""))</f>
        <v/>
      </c>
      <c r="R105" s="7">
        <f>IFERROR(INDEX('Data_NSA'!$A:$OK,MATCH(O$2,'Data_NSA'!$A:$A,0),MATCH($D105,'Data_NSA'!$1:$1,0))/INDEX('Data_NSA'!$A:$OK,MATCH(EDATE(O$2,-12),'Data_NSA'!$A:$A,0),MATCH($D105,'Data_NSA'!$1:$1,0))-1,"")</f>
        <v/>
      </c>
      <c r="S105" s="10">
        <f>IFERROR(INDEX('Weights'!$G:$I,MATCH($A105,'Weights'!$A:$A,0),MATCH(O$2,'Weights'!$G$1:$I$1,0)),"")</f>
        <v/>
      </c>
      <c r="T105" s="10">
        <f>IF($E105="","",IFERROR(100*(INDEX('Weights'!$D:$D,MATCH($A105,'Weights'!$A:$A,0))*(INDEX('Data_NSA'!$A:$OK,MATCH(EDATE(O$2,-1),'Data_NSA'!$A:$A,0),MATCH($D105,'Data_NSA'!$1:$1,0))/INDEX('Data_NSA'!$A:$OK,MATCH(INDEX('Weights'!$E:$E,MATCH($A105,'Weights'!$A:$A,0)),'Data_NSA'!$A:$A,0),MATCH($D105,'Data_NSA'!$1:$1,0))))/(100*(INDEX('Data_NSA'!$A:$OK,MATCH(EDATE(O$2,-1),'Data_NSA'!$A:$A,0),MATCH("CUUR0000SA0",'Data_NSA'!$1:$1,0))/INDEX('Data_NSA'!$A:$OK,MATCH(INDEX('Weights'!$E:$E,MATCH($A105,'Weights'!$A:$A,0)),'Data_NSA'!$A:$A,0),MATCH("CUUR0000SA0",'Data_NSA'!$1:$1,0))))*(INDEX('Data_SA'!$A:$LO,MATCH(O$2,'Data_SA'!$A:$A,0),MATCH($E105,'Data_SA'!$1:$1,0))/INDEX('Data_SA'!$A:$LO,MATCH(EDATE(O$2,-1),'Data_SA'!$A:$A,0),MATCH($E105,'Data_SA'!$1:$1,0))-1),""))</f>
        <v/>
      </c>
      <c r="U105" s="10">
        <f>IFERROR(INDEX('Data_NSA'!$A:$OK,MATCH(U$2,'Data_NSA'!$A:$A,0),MATCH($D105,'Data_NSA'!$1:$1,0)),"")</f>
        <v/>
      </c>
      <c r="V105" s="10">
        <f>IF($E105="","",IFERROR(INDEX('Data_SA'!$A:$LO,MATCH(U$2,'Data_SA'!$A:$A,0),MATCH($E105,'Data_SA'!$1:$1,0)),""))</f>
        <v/>
      </c>
      <c r="W105" s="7">
        <f>IF($E105="","",IFERROR(INDEX('Data_SA'!$A:$LO,MATCH(U$2,'Data_SA'!$A:$A,0),MATCH($E105,'Data_SA'!$1:$1,0))/INDEX('Data_SA'!$A:$LO,MATCH(EDATE(U$2,-1),'Data_SA'!$A:$A,0),MATCH($E105,'Data_SA'!$1:$1,0))-1,""))</f>
        <v/>
      </c>
      <c r="X105" s="7">
        <f>IFERROR(INDEX('Data_NSA'!$A:$OK,MATCH(U$2,'Data_NSA'!$A:$A,0),MATCH($D105,'Data_NSA'!$1:$1,0))/INDEX('Data_NSA'!$A:$OK,MATCH(EDATE(U$2,-12),'Data_NSA'!$A:$A,0),MATCH($D105,'Data_NSA'!$1:$1,0))-1,"")</f>
        <v/>
      </c>
      <c r="Y105" s="10">
        <f>IFERROR(INDEX('Weights'!$G:$I,MATCH($A105,'Weights'!$A:$A,0),MATCH(U$2,'Weights'!$G$1:$I$1,0)),"")</f>
        <v/>
      </c>
      <c r="Z105" s="10">
        <f>IF($E105="","",IFERROR(100*(INDEX('Weights'!$D:$D,MATCH($A105,'Weights'!$A:$A,0))*(INDEX('Data_NSA'!$A:$OK,MATCH(EDATE(U$2,-1),'Data_NSA'!$A:$A,0),MATCH($D105,'Data_NSA'!$1:$1,0))/INDEX('Data_NSA'!$A:$OK,MATCH(INDEX('Weights'!$E:$E,MATCH($A105,'Weights'!$A:$A,0)),'Data_NSA'!$A:$A,0),MATCH($D105,'Data_NSA'!$1:$1,0))))/(100*(INDEX('Data_NSA'!$A:$OK,MATCH(EDATE(U$2,-1),'Data_NSA'!$A:$A,0),MATCH("CUUR0000SA0",'Data_NSA'!$1:$1,0))/INDEX('Data_NSA'!$A:$OK,MATCH(INDEX('Weights'!$E:$E,MATCH($A105,'Weights'!$A:$A,0)),'Data_NSA'!$A:$A,0),MATCH("CUUR0000SA0",'Data_NSA'!$1:$1,0))))*(INDEX('Data_SA'!$A:$LO,MATCH(U$2,'Data_SA'!$A:$A,0),MATCH($E105,'Data_SA'!$1:$1,0))/INDEX('Data_SA'!$A:$LO,MATCH(EDATE(U$2,-1),'Data_SA'!$A:$A,0),MATCH($E105,'Data_SA'!$1:$1,0))-1),""))</f>
        <v/>
      </c>
    </row>
    <row r="106">
      <c r="A106" s="3" t="inlineStr">
        <is>
          <t>SEFS02</t>
        </is>
      </c>
      <c r="B106" s="3" t="inlineStr">
        <is>
          <t>Salad dressing</t>
        </is>
      </c>
      <c r="C106" s="3" t="inlineStr">
        <is>
          <t>SEFS</t>
        </is>
      </c>
      <c r="D106" s="3" t="inlineStr">
        <is>
          <t>CUUR0000SEFS02</t>
        </is>
      </c>
      <c r="E106" s="3" t="inlineStr">
        <is>
          <t>CUSR0000SEFS02</t>
        </is>
      </c>
      <c r="F106" s="3" t="inlineStr">
        <is>
          <t>GM</t>
        </is>
      </c>
      <c r="G106" s="3" t="inlineStr">
        <is>
          <t>monthly food collection where sampled</t>
        </is>
      </c>
      <c r="H106" s="10">
        <f>IFERROR(INDEX(Weights!$D:$D,MATCH($A106,Weights!$A:$A,0)),"")</f>
        <v/>
      </c>
      <c r="I106" s="10">
        <f>IFERROR(INDEX('Data_NSA'!$A:$OK,MATCH(I$2,'Data_NSA'!$A:$A,0),MATCH($D106,'Data_NSA'!$1:$1,0)),"")</f>
        <v/>
      </c>
      <c r="J106" s="10">
        <f>IF($E106="","",IFERROR(INDEX('Data_SA'!$A:$LO,MATCH(I$2,'Data_SA'!$A:$A,0),MATCH($E106,'Data_SA'!$1:$1,0)),""))</f>
        <v/>
      </c>
      <c r="K106" s="7">
        <f>IF($E106="","",IFERROR(INDEX('Data_SA'!$A:$LO,MATCH(I$2,'Data_SA'!$A:$A,0),MATCH($E106,'Data_SA'!$1:$1,0))/INDEX('Data_SA'!$A:$LO,MATCH(EDATE(I$2,-1),'Data_SA'!$A:$A,0),MATCH($E106,'Data_SA'!$1:$1,0))-1,""))</f>
        <v/>
      </c>
      <c r="L106" s="7">
        <f>IFERROR(INDEX('Data_NSA'!$A:$OK,MATCH(I$2,'Data_NSA'!$A:$A,0),MATCH($D106,'Data_NSA'!$1:$1,0))/INDEX('Data_NSA'!$A:$OK,MATCH(EDATE(I$2,-12),'Data_NSA'!$A:$A,0),MATCH($D106,'Data_NSA'!$1:$1,0))-1,"")</f>
        <v/>
      </c>
      <c r="M106" s="10">
        <f>IFERROR(INDEX('Weights'!$G:$I,MATCH($A106,'Weights'!$A:$A,0),MATCH(I$2,'Weights'!$G$1:$I$1,0)),"")</f>
        <v/>
      </c>
      <c r="N106" s="10">
        <f>IF($E106="","",IFERROR(100*(INDEX('Weights'!$D:$D,MATCH($A106,'Weights'!$A:$A,0))*(INDEX('Data_NSA'!$A:$OK,MATCH(EDATE(I$2,-1),'Data_NSA'!$A:$A,0),MATCH($D106,'Data_NSA'!$1:$1,0))/INDEX('Data_NSA'!$A:$OK,MATCH(INDEX('Weights'!$E:$E,MATCH($A106,'Weights'!$A:$A,0)),'Data_NSA'!$A:$A,0),MATCH($D106,'Data_NSA'!$1:$1,0))))/(100*(INDEX('Data_NSA'!$A:$OK,MATCH(EDATE(I$2,-1),'Data_NSA'!$A:$A,0),MATCH("CUUR0000SA0",'Data_NSA'!$1:$1,0))/INDEX('Data_NSA'!$A:$OK,MATCH(INDEX('Weights'!$E:$E,MATCH($A106,'Weights'!$A:$A,0)),'Data_NSA'!$A:$A,0),MATCH("CUUR0000SA0",'Data_NSA'!$1:$1,0))))*(INDEX('Data_SA'!$A:$LO,MATCH(I$2,'Data_SA'!$A:$A,0),MATCH($E106,'Data_SA'!$1:$1,0))/INDEX('Data_SA'!$A:$LO,MATCH(EDATE(I$2,-1),'Data_SA'!$A:$A,0),MATCH($E106,'Data_SA'!$1:$1,0))-1),""))</f>
        <v/>
      </c>
      <c r="O106" s="10">
        <f>IFERROR(INDEX('Data_NSA'!$A:$OK,MATCH(O$2,'Data_NSA'!$A:$A,0),MATCH($D106,'Data_NSA'!$1:$1,0)),"")</f>
        <v/>
      </c>
      <c r="P106" s="10">
        <f>IF($E106="","",IFERROR(INDEX('Data_SA'!$A:$LO,MATCH(O$2,'Data_SA'!$A:$A,0),MATCH($E106,'Data_SA'!$1:$1,0)),""))</f>
        <v/>
      </c>
      <c r="Q106" s="7">
        <f>IF($E106="","",IFERROR(INDEX('Data_SA'!$A:$LO,MATCH(O$2,'Data_SA'!$A:$A,0),MATCH($E106,'Data_SA'!$1:$1,0))/INDEX('Data_SA'!$A:$LO,MATCH(EDATE(O$2,-1),'Data_SA'!$A:$A,0),MATCH($E106,'Data_SA'!$1:$1,0))-1,""))</f>
        <v/>
      </c>
      <c r="R106" s="7">
        <f>IFERROR(INDEX('Data_NSA'!$A:$OK,MATCH(O$2,'Data_NSA'!$A:$A,0),MATCH($D106,'Data_NSA'!$1:$1,0))/INDEX('Data_NSA'!$A:$OK,MATCH(EDATE(O$2,-12),'Data_NSA'!$A:$A,0),MATCH($D106,'Data_NSA'!$1:$1,0))-1,"")</f>
        <v/>
      </c>
      <c r="S106" s="10">
        <f>IFERROR(INDEX('Weights'!$G:$I,MATCH($A106,'Weights'!$A:$A,0),MATCH(O$2,'Weights'!$G$1:$I$1,0)),"")</f>
        <v/>
      </c>
      <c r="T106" s="10">
        <f>IF($E106="","",IFERROR(100*(INDEX('Weights'!$D:$D,MATCH($A106,'Weights'!$A:$A,0))*(INDEX('Data_NSA'!$A:$OK,MATCH(EDATE(O$2,-1),'Data_NSA'!$A:$A,0),MATCH($D106,'Data_NSA'!$1:$1,0))/INDEX('Data_NSA'!$A:$OK,MATCH(INDEX('Weights'!$E:$E,MATCH($A106,'Weights'!$A:$A,0)),'Data_NSA'!$A:$A,0),MATCH($D106,'Data_NSA'!$1:$1,0))))/(100*(INDEX('Data_NSA'!$A:$OK,MATCH(EDATE(O$2,-1),'Data_NSA'!$A:$A,0),MATCH("CUUR0000SA0",'Data_NSA'!$1:$1,0))/INDEX('Data_NSA'!$A:$OK,MATCH(INDEX('Weights'!$E:$E,MATCH($A106,'Weights'!$A:$A,0)),'Data_NSA'!$A:$A,0),MATCH("CUUR0000SA0",'Data_NSA'!$1:$1,0))))*(INDEX('Data_SA'!$A:$LO,MATCH(O$2,'Data_SA'!$A:$A,0),MATCH($E106,'Data_SA'!$1:$1,0))/INDEX('Data_SA'!$A:$LO,MATCH(EDATE(O$2,-1),'Data_SA'!$A:$A,0),MATCH($E106,'Data_SA'!$1:$1,0))-1),""))</f>
        <v/>
      </c>
      <c r="U106" s="10">
        <f>IFERROR(INDEX('Data_NSA'!$A:$OK,MATCH(U$2,'Data_NSA'!$A:$A,0),MATCH($D106,'Data_NSA'!$1:$1,0)),"")</f>
        <v/>
      </c>
      <c r="V106" s="10">
        <f>IF($E106="","",IFERROR(INDEX('Data_SA'!$A:$LO,MATCH(U$2,'Data_SA'!$A:$A,0),MATCH($E106,'Data_SA'!$1:$1,0)),""))</f>
        <v/>
      </c>
      <c r="W106" s="7">
        <f>IF($E106="","",IFERROR(INDEX('Data_SA'!$A:$LO,MATCH(U$2,'Data_SA'!$A:$A,0),MATCH($E106,'Data_SA'!$1:$1,0))/INDEX('Data_SA'!$A:$LO,MATCH(EDATE(U$2,-1),'Data_SA'!$A:$A,0),MATCH($E106,'Data_SA'!$1:$1,0))-1,""))</f>
        <v/>
      </c>
      <c r="X106" s="7">
        <f>IFERROR(INDEX('Data_NSA'!$A:$OK,MATCH(U$2,'Data_NSA'!$A:$A,0),MATCH($D106,'Data_NSA'!$1:$1,0))/INDEX('Data_NSA'!$A:$OK,MATCH(EDATE(U$2,-12),'Data_NSA'!$A:$A,0),MATCH($D106,'Data_NSA'!$1:$1,0))-1,"")</f>
        <v/>
      </c>
      <c r="Y106" s="10">
        <f>IFERROR(INDEX('Weights'!$G:$I,MATCH($A106,'Weights'!$A:$A,0),MATCH(U$2,'Weights'!$G$1:$I$1,0)),"")</f>
        <v/>
      </c>
      <c r="Z106" s="10">
        <f>IF($E106="","",IFERROR(100*(INDEX('Weights'!$D:$D,MATCH($A106,'Weights'!$A:$A,0))*(INDEX('Data_NSA'!$A:$OK,MATCH(EDATE(U$2,-1),'Data_NSA'!$A:$A,0),MATCH($D106,'Data_NSA'!$1:$1,0))/INDEX('Data_NSA'!$A:$OK,MATCH(INDEX('Weights'!$E:$E,MATCH($A106,'Weights'!$A:$A,0)),'Data_NSA'!$A:$A,0),MATCH($D106,'Data_NSA'!$1:$1,0))))/(100*(INDEX('Data_NSA'!$A:$OK,MATCH(EDATE(U$2,-1),'Data_NSA'!$A:$A,0),MATCH("CUUR0000SA0",'Data_NSA'!$1:$1,0))/INDEX('Data_NSA'!$A:$OK,MATCH(INDEX('Weights'!$E:$E,MATCH($A106,'Weights'!$A:$A,0)),'Data_NSA'!$A:$A,0),MATCH("CUUR0000SA0",'Data_NSA'!$1:$1,0))))*(INDEX('Data_SA'!$A:$LO,MATCH(U$2,'Data_SA'!$A:$A,0),MATCH($E106,'Data_SA'!$1:$1,0))/INDEX('Data_SA'!$A:$LO,MATCH(EDATE(U$2,-1),'Data_SA'!$A:$A,0),MATCH($E106,'Data_SA'!$1:$1,0))-1),""))</f>
        <v/>
      </c>
    </row>
    <row r="107">
      <c r="A107" s="3" t="inlineStr">
        <is>
          <t>SEFS03</t>
        </is>
      </c>
      <c r="B107" s="3" t="inlineStr">
        <is>
          <t>Other fats and oils including peanut butter</t>
        </is>
      </c>
      <c r="C107" s="3" t="inlineStr">
        <is>
          <t>SEFS</t>
        </is>
      </c>
      <c r="D107" s="3" t="inlineStr">
        <is>
          <t>CUUR0000SEFS03</t>
        </is>
      </c>
      <c r="E107" s="3" t="inlineStr">
        <is>
          <t>CUSR0000SEFS03</t>
        </is>
      </c>
      <c r="F107" s="3" t="inlineStr">
        <is>
          <t>aggregate</t>
        </is>
      </c>
      <c r="G107" s="3" t="inlineStr">
        <is>
          <t>aggregate</t>
        </is>
      </c>
      <c r="H107" s="10">
        <f>IFERROR(INDEX(Weights!$D:$D,MATCH($A107,Weights!$A:$A,0)),"")</f>
        <v/>
      </c>
      <c r="I107" s="10">
        <f>IFERROR(INDEX('Data_NSA'!$A:$OK,MATCH(I$2,'Data_NSA'!$A:$A,0),MATCH($D107,'Data_NSA'!$1:$1,0)),"")</f>
        <v/>
      </c>
      <c r="J107" s="10">
        <f>IF($E107="","",IFERROR(INDEX('Data_SA'!$A:$LO,MATCH(I$2,'Data_SA'!$A:$A,0),MATCH($E107,'Data_SA'!$1:$1,0)),""))</f>
        <v/>
      </c>
      <c r="K107" s="7">
        <f>IF($E107="","",IFERROR(INDEX('Data_SA'!$A:$LO,MATCH(I$2,'Data_SA'!$A:$A,0),MATCH($E107,'Data_SA'!$1:$1,0))/INDEX('Data_SA'!$A:$LO,MATCH(EDATE(I$2,-1),'Data_SA'!$A:$A,0),MATCH($E107,'Data_SA'!$1:$1,0))-1,""))</f>
        <v/>
      </c>
      <c r="L107" s="7">
        <f>IFERROR(INDEX('Data_NSA'!$A:$OK,MATCH(I$2,'Data_NSA'!$A:$A,0),MATCH($D107,'Data_NSA'!$1:$1,0))/INDEX('Data_NSA'!$A:$OK,MATCH(EDATE(I$2,-12),'Data_NSA'!$A:$A,0),MATCH($D107,'Data_NSA'!$1:$1,0))-1,"")</f>
        <v/>
      </c>
      <c r="M107" s="10">
        <f>IFERROR(INDEX('Weights'!$G:$I,MATCH($A107,'Weights'!$A:$A,0),MATCH(I$2,'Weights'!$G$1:$I$1,0)),"")</f>
        <v/>
      </c>
      <c r="N107" s="10">
        <f>IF($E107="","",IFERROR(100*(INDEX('Weights'!$D:$D,MATCH($A107,'Weights'!$A:$A,0))*(INDEX('Data_NSA'!$A:$OK,MATCH(EDATE(I$2,-1),'Data_NSA'!$A:$A,0),MATCH($D107,'Data_NSA'!$1:$1,0))/INDEX('Data_NSA'!$A:$OK,MATCH(INDEX('Weights'!$E:$E,MATCH($A107,'Weights'!$A:$A,0)),'Data_NSA'!$A:$A,0),MATCH($D107,'Data_NSA'!$1:$1,0))))/(100*(INDEX('Data_NSA'!$A:$OK,MATCH(EDATE(I$2,-1),'Data_NSA'!$A:$A,0),MATCH("CUUR0000SA0",'Data_NSA'!$1:$1,0))/INDEX('Data_NSA'!$A:$OK,MATCH(INDEX('Weights'!$E:$E,MATCH($A107,'Weights'!$A:$A,0)),'Data_NSA'!$A:$A,0),MATCH("CUUR0000SA0",'Data_NSA'!$1:$1,0))))*(INDEX('Data_SA'!$A:$LO,MATCH(I$2,'Data_SA'!$A:$A,0),MATCH($E107,'Data_SA'!$1:$1,0))/INDEX('Data_SA'!$A:$LO,MATCH(EDATE(I$2,-1),'Data_SA'!$A:$A,0),MATCH($E107,'Data_SA'!$1:$1,0))-1),""))</f>
        <v/>
      </c>
      <c r="O107" s="10">
        <f>IFERROR(INDEX('Data_NSA'!$A:$OK,MATCH(O$2,'Data_NSA'!$A:$A,0),MATCH($D107,'Data_NSA'!$1:$1,0)),"")</f>
        <v/>
      </c>
      <c r="P107" s="10">
        <f>IF($E107="","",IFERROR(INDEX('Data_SA'!$A:$LO,MATCH(O$2,'Data_SA'!$A:$A,0),MATCH($E107,'Data_SA'!$1:$1,0)),""))</f>
        <v/>
      </c>
      <c r="Q107" s="7">
        <f>IF($E107="","",IFERROR(INDEX('Data_SA'!$A:$LO,MATCH(O$2,'Data_SA'!$A:$A,0),MATCH($E107,'Data_SA'!$1:$1,0))/INDEX('Data_SA'!$A:$LO,MATCH(EDATE(O$2,-1),'Data_SA'!$A:$A,0),MATCH($E107,'Data_SA'!$1:$1,0))-1,""))</f>
        <v/>
      </c>
      <c r="R107" s="7">
        <f>IFERROR(INDEX('Data_NSA'!$A:$OK,MATCH(O$2,'Data_NSA'!$A:$A,0),MATCH($D107,'Data_NSA'!$1:$1,0))/INDEX('Data_NSA'!$A:$OK,MATCH(EDATE(O$2,-12),'Data_NSA'!$A:$A,0),MATCH($D107,'Data_NSA'!$1:$1,0))-1,"")</f>
        <v/>
      </c>
      <c r="S107" s="10">
        <f>IFERROR(INDEX('Weights'!$G:$I,MATCH($A107,'Weights'!$A:$A,0),MATCH(O$2,'Weights'!$G$1:$I$1,0)),"")</f>
        <v/>
      </c>
      <c r="T107" s="10">
        <f>IF($E107="","",IFERROR(100*(INDEX('Weights'!$D:$D,MATCH($A107,'Weights'!$A:$A,0))*(INDEX('Data_NSA'!$A:$OK,MATCH(EDATE(O$2,-1),'Data_NSA'!$A:$A,0),MATCH($D107,'Data_NSA'!$1:$1,0))/INDEX('Data_NSA'!$A:$OK,MATCH(INDEX('Weights'!$E:$E,MATCH($A107,'Weights'!$A:$A,0)),'Data_NSA'!$A:$A,0),MATCH($D107,'Data_NSA'!$1:$1,0))))/(100*(INDEX('Data_NSA'!$A:$OK,MATCH(EDATE(O$2,-1),'Data_NSA'!$A:$A,0),MATCH("CUUR0000SA0",'Data_NSA'!$1:$1,0))/INDEX('Data_NSA'!$A:$OK,MATCH(INDEX('Weights'!$E:$E,MATCH($A107,'Weights'!$A:$A,0)),'Data_NSA'!$A:$A,0),MATCH("CUUR0000SA0",'Data_NSA'!$1:$1,0))))*(INDEX('Data_SA'!$A:$LO,MATCH(O$2,'Data_SA'!$A:$A,0),MATCH($E107,'Data_SA'!$1:$1,0))/INDEX('Data_SA'!$A:$LO,MATCH(EDATE(O$2,-1),'Data_SA'!$A:$A,0),MATCH($E107,'Data_SA'!$1:$1,0))-1),""))</f>
        <v/>
      </c>
      <c r="U107" s="10">
        <f>IFERROR(INDEX('Data_NSA'!$A:$OK,MATCH(U$2,'Data_NSA'!$A:$A,0),MATCH($D107,'Data_NSA'!$1:$1,0)),"")</f>
        <v/>
      </c>
      <c r="V107" s="10">
        <f>IF($E107="","",IFERROR(INDEX('Data_SA'!$A:$LO,MATCH(U$2,'Data_SA'!$A:$A,0),MATCH($E107,'Data_SA'!$1:$1,0)),""))</f>
        <v/>
      </c>
      <c r="W107" s="7">
        <f>IF($E107="","",IFERROR(INDEX('Data_SA'!$A:$LO,MATCH(U$2,'Data_SA'!$A:$A,0),MATCH($E107,'Data_SA'!$1:$1,0))/INDEX('Data_SA'!$A:$LO,MATCH(EDATE(U$2,-1),'Data_SA'!$A:$A,0),MATCH($E107,'Data_SA'!$1:$1,0))-1,""))</f>
        <v/>
      </c>
      <c r="X107" s="7">
        <f>IFERROR(INDEX('Data_NSA'!$A:$OK,MATCH(U$2,'Data_NSA'!$A:$A,0),MATCH($D107,'Data_NSA'!$1:$1,0))/INDEX('Data_NSA'!$A:$OK,MATCH(EDATE(U$2,-12),'Data_NSA'!$A:$A,0),MATCH($D107,'Data_NSA'!$1:$1,0))-1,"")</f>
        <v/>
      </c>
      <c r="Y107" s="10">
        <f>IFERROR(INDEX('Weights'!$G:$I,MATCH($A107,'Weights'!$A:$A,0),MATCH(U$2,'Weights'!$G$1:$I$1,0)),"")</f>
        <v/>
      </c>
      <c r="Z107" s="10">
        <f>IF($E107="","",IFERROR(100*(INDEX('Weights'!$D:$D,MATCH($A107,'Weights'!$A:$A,0))*(INDEX('Data_NSA'!$A:$OK,MATCH(EDATE(U$2,-1),'Data_NSA'!$A:$A,0),MATCH($D107,'Data_NSA'!$1:$1,0))/INDEX('Data_NSA'!$A:$OK,MATCH(INDEX('Weights'!$E:$E,MATCH($A107,'Weights'!$A:$A,0)),'Data_NSA'!$A:$A,0),MATCH($D107,'Data_NSA'!$1:$1,0))))/(100*(INDEX('Data_NSA'!$A:$OK,MATCH(EDATE(U$2,-1),'Data_NSA'!$A:$A,0),MATCH("CUUR0000SA0",'Data_NSA'!$1:$1,0))/INDEX('Data_NSA'!$A:$OK,MATCH(INDEX('Weights'!$E:$E,MATCH($A107,'Weights'!$A:$A,0)),'Data_NSA'!$A:$A,0),MATCH("CUUR0000SA0",'Data_NSA'!$1:$1,0))))*(INDEX('Data_SA'!$A:$LO,MATCH(U$2,'Data_SA'!$A:$A,0),MATCH($E107,'Data_SA'!$1:$1,0))/INDEX('Data_SA'!$A:$LO,MATCH(EDATE(U$2,-1),'Data_SA'!$A:$A,0),MATCH($E107,'Data_SA'!$1:$1,0))-1),""))</f>
        <v/>
      </c>
    </row>
    <row r="108">
      <c r="A108" s="3" t="inlineStr">
        <is>
          <t>SS16014</t>
        </is>
      </c>
      <c r="B108" s="3" t="inlineStr">
        <is>
          <t>Peanut butter</t>
        </is>
      </c>
      <c r="C108" s="3" t="inlineStr">
        <is>
          <t>SEFS03</t>
        </is>
      </c>
      <c r="D108" s="3" t="inlineStr">
        <is>
          <t>CUUR0000SS16014</t>
        </is>
      </c>
      <c r="E108" s="3" t="inlineStr"/>
      <c r="F108" s="3" t="inlineStr">
        <is>
          <t>GM</t>
        </is>
      </c>
      <c r="G108" s="3" t="inlineStr">
        <is>
          <t>monthly in New York/Los Angeles/Chicago; often bimonthly elsewhere</t>
        </is>
      </c>
      <c r="H108" s="10">
        <f>IFERROR(INDEX(Weights!$D:$D,MATCH($A108,Weights!$A:$A,0)),"")</f>
        <v/>
      </c>
      <c r="I108" s="10">
        <f>IFERROR(INDEX('Data_NSA'!$A:$OK,MATCH(I$2,'Data_NSA'!$A:$A,0),MATCH($D108,'Data_NSA'!$1:$1,0)),"")</f>
        <v/>
      </c>
      <c r="J108" s="10">
        <f>IF($E108="","",IFERROR(INDEX('Data_SA'!$A:$LO,MATCH(I$2,'Data_SA'!$A:$A,0),MATCH($E108,'Data_SA'!$1:$1,0)),""))</f>
        <v/>
      </c>
      <c r="K108" s="7">
        <f>IF($E108="","",IFERROR(INDEX('Data_SA'!$A:$LO,MATCH(I$2,'Data_SA'!$A:$A,0),MATCH($E108,'Data_SA'!$1:$1,0))/INDEX('Data_SA'!$A:$LO,MATCH(EDATE(I$2,-1),'Data_SA'!$A:$A,0),MATCH($E108,'Data_SA'!$1:$1,0))-1,""))</f>
        <v/>
      </c>
      <c r="L108" s="7">
        <f>IFERROR(INDEX('Data_NSA'!$A:$OK,MATCH(I$2,'Data_NSA'!$A:$A,0),MATCH($D108,'Data_NSA'!$1:$1,0))/INDEX('Data_NSA'!$A:$OK,MATCH(EDATE(I$2,-12),'Data_NSA'!$A:$A,0),MATCH($D108,'Data_NSA'!$1:$1,0))-1,"")</f>
        <v/>
      </c>
      <c r="M108" s="10">
        <f>IFERROR(INDEX('Weights'!$G:$I,MATCH($A108,'Weights'!$A:$A,0),MATCH(I$2,'Weights'!$G$1:$I$1,0)),"")</f>
        <v/>
      </c>
      <c r="N108" s="10">
        <f>IF($E108="","",IFERROR(100*(INDEX('Weights'!$D:$D,MATCH($A108,'Weights'!$A:$A,0))*(INDEX('Data_NSA'!$A:$OK,MATCH(EDATE(I$2,-1),'Data_NSA'!$A:$A,0),MATCH($D108,'Data_NSA'!$1:$1,0))/INDEX('Data_NSA'!$A:$OK,MATCH(INDEX('Weights'!$E:$E,MATCH($A108,'Weights'!$A:$A,0)),'Data_NSA'!$A:$A,0),MATCH($D108,'Data_NSA'!$1:$1,0))))/(100*(INDEX('Data_NSA'!$A:$OK,MATCH(EDATE(I$2,-1),'Data_NSA'!$A:$A,0),MATCH("CUUR0000SA0",'Data_NSA'!$1:$1,0))/INDEX('Data_NSA'!$A:$OK,MATCH(INDEX('Weights'!$E:$E,MATCH($A108,'Weights'!$A:$A,0)),'Data_NSA'!$A:$A,0),MATCH("CUUR0000SA0",'Data_NSA'!$1:$1,0))))*(INDEX('Data_SA'!$A:$LO,MATCH(I$2,'Data_SA'!$A:$A,0),MATCH($E108,'Data_SA'!$1:$1,0))/INDEX('Data_SA'!$A:$LO,MATCH(EDATE(I$2,-1),'Data_SA'!$A:$A,0),MATCH($E108,'Data_SA'!$1:$1,0))-1),""))</f>
        <v/>
      </c>
      <c r="O108" s="10">
        <f>IFERROR(INDEX('Data_NSA'!$A:$OK,MATCH(O$2,'Data_NSA'!$A:$A,0),MATCH($D108,'Data_NSA'!$1:$1,0)),"")</f>
        <v/>
      </c>
      <c r="P108" s="10">
        <f>IF($E108="","",IFERROR(INDEX('Data_SA'!$A:$LO,MATCH(O$2,'Data_SA'!$A:$A,0),MATCH($E108,'Data_SA'!$1:$1,0)),""))</f>
        <v/>
      </c>
      <c r="Q108" s="7">
        <f>IF($E108="","",IFERROR(INDEX('Data_SA'!$A:$LO,MATCH(O$2,'Data_SA'!$A:$A,0),MATCH($E108,'Data_SA'!$1:$1,0))/INDEX('Data_SA'!$A:$LO,MATCH(EDATE(O$2,-1),'Data_SA'!$A:$A,0),MATCH($E108,'Data_SA'!$1:$1,0))-1,""))</f>
        <v/>
      </c>
      <c r="R108" s="7">
        <f>IFERROR(INDEX('Data_NSA'!$A:$OK,MATCH(O$2,'Data_NSA'!$A:$A,0),MATCH($D108,'Data_NSA'!$1:$1,0))/INDEX('Data_NSA'!$A:$OK,MATCH(EDATE(O$2,-12),'Data_NSA'!$A:$A,0),MATCH($D108,'Data_NSA'!$1:$1,0))-1,"")</f>
        <v/>
      </c>
      <c r="S108" s="10">
        <f>IFERROR(INDEX('Weights'!$G:$I,MATCH($A108,'Weights'!$A:$A,0),MATCH(O$2,'Weights'!$G$1:$I$1,0)),"")</f>
        <v/>
      </c>
      <c r="T108" s="10">
        <f>IF($E108="","",IFERROR(100*(INDEX('Weights'!$D:$D,MATCH($A108,'Weights'!$A:$A,0))*(INDEX('Data_NSA'!$A:$OK,MATCH(EDATE(O$2,-1),'Data_NSA'!$A:$A,0),MATCH($D108,'Data_NSA'!$1:$1,0))/INDEX('Data_NSA'!$A:$OK,MATCH(INDEX('Weights'!$E:$E,MATCH($A108,'Weights'!$A:$A,0)),'Data_NSA'!$A:$A,0),MATCH($D108,'Data_NSA'!$1:$1,0))))/(100*(INDEX('Data_NSA'!$A:$OK,MATCH(EDATE(O$2,-1),'Data_NSA'!$A:$A,0),MATCH("CUUR0000SA0",'Data_NSA'!$1:$1,0))/INDEX('Data_NSA'!$A:$OK,MATCH(INDEX('Weights'!$E:$E,MATCH($A108,'Weights'!$A:$A,0)),'Data_NSA'!$A:$A,0),MATCH("CUUR0000SA0",'Data_NSA'!$1:$1,0))))*(INDEX('Data_SA'!$A:$LO,MATCH(O$2,'Data_SA'!$A:$A,0),MATCH($E108,'Data_SA'!$1:$1,0))/INDEX('Data_SA'!$A:$LO,MATCH(EDATE(O$2,-1),'Data_SA'!$A:$A,0),MATCH($E108,'Data_SA'!$1:$1,0))-1),""))</f>
        <v/>
      </c>
      <c r="U108" s="10">
        <f>IFERROR(INDEX('Data_NSA'!$A:$OK,MATCH(U$2,'Data_NSA'!$A:$A,0),MATCH($D108,'Data_NSA'!$1:$1,0)),"")</f>
        <v/>
      </c>
      <c r="V108" s="10">
        <f>IF($E108="","",IFERROR(INDEX('Data_SA'!$A:$LO,MATCH(U$2,'Data_SA'!$A:$A,0),MATCH($E108,'Data_SA'!$1:$1,0)),""))</f>
        <v/>
      </c>
      <c r="W108" s="7">
        <f>IF($E108="","",IFERROR(INDEX('Data_SA'!$A:$LO,MATCH(U$2,'Data_SA'!$A:$A,0),MATCH($E108,'Data_SA'!$1:$1,0))/INDEX('Data_SA'!$A:$LO,MATCH(EDATE(U$2,-1),'Data_SA'!$A:$A,0),MATCH($E108,'Data_SA'!$1:$1,0))-1,""))</f>
        <v/>
      </c>
      <c r="X108" s="7">
        <f>IFERROR(INDEX('Data_NSA'!$A:$OK,MATCH(U$2,'Data_NSA'!$A:$A,0),MATCH($D108,'Data_NSA'!$1:$1,0))/INDEX('Data_NSA'!$A:$OK,MATCH(EDATE(U$2,-12),'Data_NSA'!$A:$A,0),MATCH($D108,'Data_NSA'!$1:$1,0))-1,"")</f>
        <v/>
      </c>
      <c r="Y108" s="10">
        <f>IFERROR(INDEX('Weights'!$G:$I,MATCH($A108,'Weights'!$A:$A,0),MATCH(U$2,'Weights'!$G$1:$I$1,0)),"")</f>
        <v/>
      </c>
      <c r="Z108" s="10">
        <f>IF($E108="","",IFERROR(100*(INDEX('Weights'!$D:$D,MATCH($A108,'Weights'!$A:$A,0))*(INDEX('Data_NSA'!$A:$OK,MATCH(EDATE(U$2,-1),'Data_NSA'!$A:$A,0),MATCH($D108,'Data_NSA'!$1:$1,0))/INDEX('Data_NSA'!$A:$OK,MATCH(INDEX('Weights'!$E:$E,MATCH($A108,'Weights'!$A:$A,0)),'Data_NSA'!$A:$A,0),MATCH($D108,'Data_NSA'!$1:$1,0))))/(100*(INDEX('Data_NSA'!$A:$OK,MATCH(EDATE(U$2,-1),'Data_NSA'!$A:$A,0),MATCH("CUUR0000SA0",'Data_NSA'!$1:$1,0))/INDEX('Data_NSA'!$A:$OK,MATCH(INDEX('Weights'!$E:$E,MATCH($A108,'Weights'!$A:$A,0)),'Data_NSA'!$A:$A,0),MATCH("CUUR0000SA0",'Data_NSA'!$1:$1,0))))*(INDEX('Data_SA'!$A:$LO,MATCH(U$2,'Data_SA'!$A:$A,0),MATCH($E108,'Data_SA'!$1:$1,0))/INDEX('Data_SA'!$A:$LO,MATCH(EDATE(U$2,-1),'Data_SA'!$A:$A,0),MATCH($E108,'Data_SA'!$1:$1,0))-1),""))</f>
        <v/>
      </c>
    </row>
    <row r="109">
      <c r="A109" s="3" t="inlineStr">
        <is>
          <t>SEFT</t>
        </is>
      </c>
      <c r="B109" s="3" t="inlineStr">
        <is>
          <t>Other foods</t>
        </is>
      </c>
      <c r="C109" s="3" t="inlineStr">
        <is>
          <t>SAF115</t>
        </is>
      </c>
      <c r="D109" s="3" t="inlineStr">
        <is>
          <t>CUUR0000SEFT</t>
        </is>
      </c>
      <c r="E109" s="3" t="inlineStr">
        <is>
          <t>CUSR0000SEFT</t>
        </is>
      </c>
      <c r="F109" s="3" t="inlineStr">
        <is>
          <t>aggregate</t>
        </is>
      </c>
      <c r="G109" s="3" t="inlineStr">
        <is>
          <t>aggregate</t>
        </is>
      </c>
      <c r="H109" s="10">
        <f>IFERROR(INDEX(Weights!$D:$D,MATCH($A109,Weights!$A:$A,0)),"")</f>
        <v/>
      </c>
      <c r="I109" s="10">
        <f>IFERROR(INDEX('Data_NSA'!$A:$OK,MATCH(I$2,'Data_NSA'!$A:$A,0),MATCH($D109,'Data_NSA'!$1:$1,0)),"")</f>
        <v/>
      </c>
      <c r="J109" s="10">
        <f>IF($E109="","",IFERROR(INDEX('Data_SA'!$A:$LO,MATCH(I$2,'Data_SA'!$A:$A,0),MATCH($E109,'Data_SA'!$1:$1,0)),""))</f>
        <v/>
      </c>
      <c r="K109" s="7">
        <f>IF($E109="","",IFERROR(INDEX('Data_SA'!$A:$LO,MATCH(I$2,'Data_SA'!$A:$A,0),MATCH($E109,'Data_SA'!$1:$1,0))/INDEX('Data_SA'!$A:$LO,MATCH(EDATE(I$2,-1),'Data_SA'!$A:$A,0),MATCH($E109,'Data_SA'!$1:$1,0))-1,""))</f>
        <v/>
      </c>
      <c r="L109" s="7">
        <f>IFERROR(INDEX('Data_NSA'!$A:$OK,MATCH(I$2,'Data_NSA'!$A:$A,0),MATCH($D109,'Data_NSA'!$1:$1,0))/INDEX('Data_NSA'!$A:$OK,MATCH(EDATE(I$2,-12),'Data_NSA'!$A:$A,0),MATCH($D109,'Data_NSA'!$1:$1,0))-1,"")</f>
        <v/>
      </c>
      <c r="M109" s="10">
        <f>IFERROR(INDEX('Weights'!$G:$I,MATCH($A109,'Weights'!$A:$A,0),MATCH(I$2,'Weights'!$G$1:$I$1,0)),"")</f>
        <v/>
      </c>
      <c r="N109" s="10">
        <f>IF($E109="","",IFERROR(100*(INDEX('Weights'!$D:$D,MATCH($A109,'Weights'!$A:$A,0))*(INDEX('Data_NSA'!$A:$OK,MATCH(EDATE(I$2,-1),'Data_NSA'!$A:$A,0),MATCH($D109,'Data_NSA'!$1:$1,0))/INDEX('Data_NSA'!$A:$OK,MATCH(INDEX('Weights'!$E:$E,MATCH($A109,'Weights'!$A:$A,0)),'Data_NSA'!$A:$A,0),MATCH($D109,'Data_NSA'!$1:$1,0))))/(100*(INDEX('Data_NSA'!$A:$OK,MATCH(EDATE(I$2,-1),'Data_NSA'!$A:$A,0),MATCH("CUUR0000SA0",'Data_NSA'!$1:$1,0))/INDEX('Data_NSA'!$A:$OK,MATCH(INDEX('Weights'!$E:$E,MATCH($A109,'Weights'!$A:$A,0)),'Data_NSA'!$A:$A,0),MATCH("CUUR0000SA0",'Data_NSA'!$1:$1,0))))*(INDEX('Data_SA'!$A:$LO,MATCH(I$2,'Data_SA'!$A:$A,0),MATCH($E109,'Data_SA'!$1:$1,0))/INDEX('Data_SA'!$A:$LO,MATCH(EDATE(I$2,-1),'Data_SA'!$A:$A,0),MATCH($E109,'Data_SA'!$1:$1,0))-1),""))</f>
        <v/>
      </c>
      <c r="O109" s="10">
        <f>IFERROR(INDEX('Data_NSA'!$A:$OK,MATCH(O$2,'Data_NSA'!$A:$A,0),MATCH($D109,'Data_NSA'!$1:$1,0)),"")</f>
        <v/>
      </c>
      <c r="P109" s="10">
        <f>IF($E109="","",IFERROR(INDEX('Data_SA'!$A:$LO,MATCH(O$2,'Data_SA'!$A:$A,0),MATCH($E109,'Data_SA'!$1:$1,0)),""))</f>
        <v/>
      </c>
      <c r="Q109" s="7">
        <f>IF($E109="","",IFERROR(INDEX('Data_SA'!$A:$LO,MATCH(O$2,'Data_SA'!$A:$A,0),MATCH($E109,'Data_SA'!$1:$1,0))/INDEX('Data_SA'!$A:$LO,MATCH(EDATE(O$2,-1),'Data_SA'!$A:$A,0),MATCH($E109,'Data_SA'!$1:$1,0))-1,""))</f>
        <v/>
      </c>
      <c r="R109" s="7">
        <f>IFERROR(INDEX('Data_NSA'!$A:$OK,MATCH(O$2,'Data_NSA'!$A:$A,0),MATCH($D109,'Data_NSA'!$1:$1,0))/INDEX('Data_NSA'!$A:$OK,MATCH(EDATE(O$2,-12),'Data_NSA'!$A:$A,0),MATCH($D109,'Data_NSA'!$1:$1,0))-1,"")</f>
        <v/>
      </c>
      <c r="S109" s="10">
        <f>IFERROR(INDEX('Weights'!$G:$I,MATCH($A109,'Weights'!$A:$A,0),MATCH(O$2,'Weights'!$G$1:$I$1,0)),"")</f>
        <v/>
      </c>
      <c r="T109" s="10">
        <f>IF($E109="","",IFERROR(100*(INDEX('Weights'!$D:$D,MATCH($A109,'Weights'!$A:$A,0))*(INDEX('Data_NSA'!$A:$OK,MATCH(EDATE(O$2,-1),'Data_NSA'!$A:$A,0),MATCH($D109,'Data_NSA'!$1:$1,0))/INDEX('Data_NSA'!$A:$OK,MATCH(INDEX('Weights'!$E:$E,MATCH($A109,'Weights'!$A:$A,0)),'Data_NSA'!$A:$A,0),MATCH($D109,'Data_NSA'!$1:$1,0))))/(100*(INDEX('Data_NSA'!$A:$OK,MATCH(EDATE(O$2,-1),'Data_NSA'!$A:$A,0),MATCH("CUUR0000SA0",'Data_NSA'!$1:$1,0))/INDEX('Data_NSA'!$A:$OK,MATCH(INDEX('Weights'!$E:$E,MATCH($A109,'Weights'!$A:$A,0)),'Data_NSA'!$A:$A,0),MATCH("CUUR0000SA0",'Data_NSA'!$1:$1,0))))*(INDEX('Data_SA'!$A:$LO,MATCH(O$2,'Data_SA'!$A:$A,0),MATCH($E109,'Data_SA'!$1:$1,0))/INDEX('Data_SA'!$A:$LO,MATCH(EDATE(O$2,-1),'Data_SA'!$A:$A,0),MATCH($E109,'Data_SA'!$1:$1,0))-1),""))</f>
        <v/>
      </c>
      <c r="U109" s="10">
        <f>IFERROR(INDEX('Data_NSA'!$A:$OK,MATCH(U$2,'Data_NSA'!$A:$A,0),MATCH($D109,'Data_NSA'!$1:$1,0)),"")</f>
        <v/>
      </c>
      <c r="V109" s="10">
        <f>IF($E109="","",IFERROR(INDEX('Data_SA'!$A:$LO,MATCH(U$2,'Data_SA'!$A:$A,0),MATCH($E109,'Data_SA'!$1:$1,0)),""))</f>
        <v/>
      </c>
      <c r="W109" s="7">
        <f>IF($E109="","",IFERROR(INDEX('Data_SA'!$A:$LO,MATCH(U$2,'Data_SA'!$A:$A,0),MATCH($E109,'Data_SA'!$1:$1,0))/INDEX('Data_SA'!$A:$LO,MATCH(EDATE(U$2,-1),'Data_SA'!$A:$A,0),MATCH($E109,'Data_SA'!$1:$1,0))-1,""))</f>
        <v/>
      </c>
      <c r="X109" s="7">
        <f>IFERROR(INDEX('Data_NSA'!$A:$OK,MATCH(U$2,'Data_NSA'!$A:$A,0),MATCH($D109,'Data_NSA'!$1:$1,0))/INDEX('Data_NSA'!$A:$OK,MATCH(EDATE(U$2,-12),'Data_NSA'!$A:$A,0),MATCH($D109,'Data_NSA'!$1:$1,0))-1,"")</f>
        <v/>
      </c>
      <c r="Y109" s="10">
        <f>IFERROR(INDEX('Weights'!$G:$I,MATCH($A109,'Weights'!$A:$A,0),MATCH(U$2,'Weights'!$G$1:$I$1,0)),"")</f>
        <v/>
      </c>
      <c r="Z109" s="10">
        <f>IF($E109="","",IFERROR(100*(INDEX('Weights'!$D:$D,MATCH($A109,'Weights'!$A:$A,0))*(INDEX('Data_NSA'!$A:$OK,MATCH(EDATE(U$2,-1),'Data_NSA'!$A:$A,0),MATCH($D109,'Data_NSA'!$1:$1,0))/INDEX('Data_NSA'!$A:$OK,MATCH(INDEX('Weights'!$E:$E,MATCH($A109,'Weights'!$A:$A,0)),'Data_NSA'!$A:$A,0),MATCH($D109,'Data_NSA'!$1:$1,0))))/(100*(INDEX('Data_NSA'!$A:$OK,MATCH(EDATE(U$2,-1),'Data_NSA'!$A:$A,0),MATCH("CUUR0000SA0",'Data_NSA'!$1:$1,0))/INDEX('Data_NSA'!$A:$OK,MATCH(INDEX('Weights'!$E:$E,MATCH($A109,'Weights'!$A:$A,0)),'Data_NSA'!$A:$A,0),MATCH("CUUR0000SA0",'Data_NSA'!$1:$1,0))))*(INDEX('Data_SA'!$A:$LO,MATCH(U$2,'Data_SA'!$A:$A,0),MATCH($E109,'Data_SA'!$1:$1,0))/INDEX('Data_SA'!$A:$LO,MATCH(EDATE(U$2,-1),'Data_SA'!$A:$A,0),MATCH($E109,'Data_SA'!$1:$1,0))-1),""))</f>
        <v/>
      </c>
    </row>
    <row r="110">
      <c r="A110" s="3" t="inlineStr">
        <is>
          <t>SEFT01</t>
        </is>
      </c>
      <c r="B110" s="3" t="inlineStr">
        <is>
          <t>Soups</t>
        </is>
      </c>
      <c r="C110" s="3" t="inlineStr">
        <is>
          <t>SEFT</t>
        </is>
      </c>
      <c r="D110" s="3" t="inlineStr">
        <is>
          <t>CUUR0000SEFT01</t>
        </is>
      </c>
      <c r="E110" s="3" t="inlineStr">
        <is>
          <t>CUSR0000SEFT01</t>
        </is>
      </c>
      <c r="F110" s="3" t="inlineStr">
        <is>
          <t>GM</t>
        </is>
      </c>
      <c r="G110" s="3" t="inlineStr">
        <is>
          <t>monthly food collection where sampled</t>
        </is>
      </c>
      <c r="H110" s="10">
        <f>IFERROR(INDEX(Weights!$D:$D,MATCH($A110,Weights!$A:$A,0)),"")</f>
        <v/>
      </c>
      <c r="I110" s="10">
        <f>IFERROR(INDEX('Data_NSA'!$A:$OK,MATCH(I$2,'Data_NSA'!$A:$A,0),MATCH($D110,'Data_NSA'!$1:$1,0)),"")</f>
        <v/>
      </c>
      <c r="J110" s="10">
        <f>IF($E110="","",IFERROR(INDEX('Data_SA'!$A:$LO,MATCH(I$2,'Data_SA'!$A:$A,0),MATCH($E110,'Data_SA'!$1:$1,0)),""))</f>
        <v/>
      </c>
      <c r="K110" s="7">
        <f>IF($E110="","",IFERROR(INDEX('Data_SA'!$A:$LO,MATCH(I$2,'Data_SA'!$A:$A,0),MATCH($E110,'Data_SA'!$1:$1,0))/INDEX('Data_SA'!$A:$LO,MATCH(EDATE(I$2,-1),'Data_SA'!$A:$A,0),MATCH($E110,'Data_SA'!$1:$1,0))-1,""))</f>
        <v/>
      </c>
      <c r="L110" s="7">
        <f>IFERROR(INDEX('Data_NSA'!$A:$OK,MATCH(I$2,'Data_NSA'!$A:$A,0),MATCH($D110,'Data_NSA'!$1:$1,0))/INDEX('Data_NSA'!$A:$OK,MATCH(EDATE(I$2,-12),'Data_NSA'!$A:$A,0),MATCH($D110,'Data_NSA'!$1:$1,0))-1,"")</f>
        <v/>
      </c>
      <c r="M110" s="10">
        <f>IFERROR(INDEX('Weights'!$G:$I,MATCH($A110,'Weights'!$A:$A,0),MATCH(I$2,'Weights'!$G$1:$I$1,0)),"")</f>
        <v/>
      </c>
      <c r="N110" s="10">
        <f>IF($E110="","",IFERROR(100*(INDEX('Weights'!$D:$D,MATCH($A110,'Weights'!$A:$A,0))*(INDEX('Data_NSA'!$A:$OK,MATCH(EDATE(I$2,-1),'Data_NSA'!$A:$A,0),MATCH($D110,'Data_NSA'!$1:$1,0))/INDEX('Data_NSA'!$A:$OK,MATCH(INDEX('Weights'!$E:$E,MATCH($A110,'Weights'!$A:$A,0)),'Data_NSA'!$A:$A,0),MATCH($D110,'Data_NSA'!$1:$1,0))))/(100*(INDEX('Data_NSA'!$A:$OK,MATCH(EDATE(I$2,-1),'Data_NSA'!$A:$A,0),MATCH("CUUR0000SA0",'Data_NSA'!$1:$1,0))/INDEX('Data_NSA'!$A:$OK,MATCH(INDEX('Weights'!$E:$E,MATCH($A110,'Weights'!$A:$A,0)),'Data_NSA'!$A:$A,0),MATCH("CUUR0000SA0",'Data_NSA'!$1:$1,0))))*(INDEX('Data_SA'!$A:$LO,MATCH(I$2,'Data_SA'!$A:$A,0),MATCH($E110,'Data_SA'!$1:$1,0))/INDEX('Data_SA'!$A:$LO,MATCH(EDATE(I$2,-1),'Data_SA'!$A:$A,0),MATCH($E110,'Data_SA'!$1:$1,0))-1),""))</f>
        <v/>
      </c>
      <c r="O110" s="10">
        <f>IFERROR(INDEX('Data_NSA'!$A:$OK,MATCH(O$2,'Data_NSA'!$A:$A,0),MATCH($D110,'Data_NSA'!$1:$1,0)),"")</f>
        <v/>
      </c>
      <c r="P110" s="10">
        <f>IF($E110="","",IFERROR(INDEX('Data_SA'!$A:$LO,MATCH(O$2,'Data_SA'!$A:$A,0),MATCH($E110,'Data_SA'!$1:$1,0)),""))</f>
        <v/>
      </c>
      <c r="Q110" s="7">
        <f>IF($E110="","",IFERROR(INDEX('Data_SA'!$A:$LO,MATCH(O$2,'Data_SA'!$A:$A,0),MATCH($E110,'Data_SA'!$1:$1,0))/INDEX('Data_SA'!$A:$LO,MATCH(EDATE(O$2,-1),'Data_SA'!$A:$A,0),MATCH($E110,'Data_SA'!$1:$1,0))-1,""))</f>
        <v/>
      </c>
      <c r="R110" s="7">
        <f>IFERROR(INDEX('Data_NSA'!$A:$OK,MATCH(O$2,'Data_NSA'!$A:$A,0),MATCH($D110,'Data_NSA'!$1:$1,0))/INDEX('Data_NSA'!$A:$OK,MATCH(EDATE(O$2,-12),'Data_NSA'!$A:$A,0),MATCH($D110,'Data_NSA'!$1:$1,0))-1,"")</f>
        <v/>
      </c>
      <c r="S110" s="10">
        <f>IFERROR(INDEX('Weights'!$G:$I,MATCH($A110,'Weights'!$A:$A,0),MATCH(O$2,'Weights'!$G$1:$I$1,0)),"")</f>
        <v/>
      </c>
      <c r="T110" s="10">
        <f>IF($E110="","",IFERROR(100*(INDEX('Weights'!$D:$D,MATCH($A110,'Weights'!$A:$A,0))*(INDEX('Data_NSA'!$A:$OK,MATCH(EDATE(O$2,-1),'Data_NSA'!$A:$A,0),MATCH($D110,'Data_NSA'!$1:$1,0))/INDEX('Data_NSA'!$A:$OK,MATCH(INDEX('Weights'!$E:$E,MATCH($A110,'Weights'!$A:$A,0)),'Data_NSA'!$A:$A,0),MATCH($D110,'Data_NSA'!$1:$1,0))))/(100*(INDEX('Data_NSA'!$A:$OK,MATCH(EDATE(O$2,-1),'Data_NSA'!$A:$A,0),MATCH("CUUR0000SA0",'Data_NSA'!$1:$1,0))/INDEX('Data_NSA'!$A:$OK,MATCH(INDEX('Weights'!$E:$E,MATCH($A110,'Weights'!$A:$A,0)),'Data_NSA'!$A:$A,0),MATCH("CUUR0000SA0",'Data_NSA'!$1:$1,0))))*(INDEX('Data_SA'!$A:$LO,MATCH(O$2,'Data_SA'!$A:$A,0),MATCH($E110,'Data_SA'!$1:$1,0))/INDEX('Data_SA'!$A:$LO,MATCH(EDATE(O$2,-1),'Data_SA'!$A:$A,0),MATCH($E110,'Data_SA'!$1:$1,0))-1),""))</f>
        <v/>
      </c>
      <c r="U110" s="10">
        <f>IFERROR(INDEX('Data_NSA'!$A:$OK,MATCH(U$2,'Data_NSA'!$A:$A,0),MATCH($D110,'Data_NSA'!$1:$1,0)),"")</f>
        <v/>
      </c>
      <c r="V110" s="10">
        <f>IF($E110="","",IFERROR(INDEX('Data_SA'!$A:$LO,MATCH(U$2,'Data_SA'!$A:$A,0),MATCH($E110,'Data_SA'!$1:$1,0)),""))</f>
        <v/>
      </c>
      <c r="W110" s="7">
        <f>IF($E110="","",IFERROR(INDEX('Data_SA'!$A:$LO,MATCH(U$2,'Data_SA'!$A:$A,0),MATCH($E110,'Data_SA'!$1:$1,0))/INDEX('Data_SA'!$A:$LO,MATCH(EDATE(U$2,-1),'Data_SA'!$A:$A,0),MATCH($E110,'Data_SA'!$1:$1,0))-1,""))</f>
        <v/>
      </c>
      <c r="X110" s="7">
        <f>IFERROR(INDEX('Data_NSA'!$A:$OK,MATCH(U$2,'Data_NSA'!$A:$A,0),MATCH($D110,'Data_NSA'!$1:$1,0))/INDEX('Data_NSA'!$A:$OK,MATCH(EDATE(U$2,-12),'Data_NSA'!$A:$A,0),MATCH($D110,'Data_NSA'!$1:$1,0))-1,"")</f>
        <v/>
      </c>
      <c r="Y110" s="10">
        <f>IFERROR(INDEX('Weights'!$G:$I,MATCH($A110,'Weights'!$A:$A,0),MATCH(U$2,'Weights'!$G$1:$I$1,0)),"")</f>
        <v/>
      </c>
      <c r="Z110" s="10">
        <f>IF($E110="","",IFERROR(100*(INDEX('Weights'!$D:$D,MATCH($A110,'Weights'!$A:$A,0))*(INDEX('Data_NSA'!$A:$OK,MATCH(EDATE(U$2,-1),'Data_NSA'!$A:$A,0),MATCH($D110,'Data_NSA'!$1:$1,0))/INDEX('Data_NSA'!$A:$OK,MATCH(INDEX('Weights'!$E:$E,MATCH($A110,'Weights'!$A:$A,0)),'Data_NSA'!$A:$A,0),MATCH($D110,'Data_NSA'!$1:$1,0))))/(100*(INDEX('Data_NSA'!$A:$OK,MATCH(EDATE(U$2,-1),'Data_NSA'!$A:$A,0),MATCH("CUUR0000SA0",'Data_NSA'!$1:$1,0))/INDEX('Data_NSA'!$A:$OK,MATCH(INDEX('Weights'!$E:$E,MATCH($A110,'Weights'!$A:$A,0)),'Data_NSA'!$A:$A,0),MATCH("CUUR0000SA0",'Data_NSA'!$1:$1,0))))*(INDEX('Data_SA'!$A:$LO,MATCH(U$2,'Data_SA'!$A:$A,0),MATCH($E110,'Data_SA'!$1:$1,0))/INDEX('Data_SA'!$A:$LO,MATCH(EDATE(U$2,-1),'Data_SA'!$A:$A,0),MATCH($E110,'Data_SA'!$1:$1,0))-1),""))</f>
        <v/>
      </c>
    </row>
    <row r="111">
      <c r="A111" s="3" t="inlineStr">
        <is>
          <t>SEFT02</t>
        </is>
      </c>
      <c r="B111" s="3" t="inlineStr">
        <is>
          <t>Frozen and freeze dried prepared foods</t>
        </is>
      </c>
      <c r="C111" s="3" t="inlineStr">
        <is>
          <t>SEFT</t>
        </is>
      </c>
      <c r="D111" s="3" t="inlineStr">
        <is>
          <t>CUUR0000SEFT02</t>
        </is>
      </c>
      <c r="E111" s="3" t="inlineStr">
        <is>
          <t>CUSR0000SEFT02</t>
        </is>
      </c>
      <c r="F111" s="3" t="inlineStr">
        <is>
          <t>GM</t>
        </is>
      </c>
      <c r="G111" s="3" t="inlineStr">
        <is>
          <t>monthly food collection where sampled</t>
        </is>
      </c>
      <c r="H111" s="10">
        <f>IFERROR(INDEX(Weights!$D:$D,MATCH($A111,Weights!$A:$A,0)),"")</f>
        <v/>
      </c>
      <c r="I111" s="10">
        <f>IFERROR(INDEX('Data_NSA'!$A:$OK,MATCH(I$2,'Data_NSA'!$A:$A,0),MATCH($D111,'Data_NSA'!$1:$1,0)),"")</f>
        <v/>
      </c>
      <c r="J111" s="10">
        <f>IF($E111="","",IFERROR(INDEX('Data_SA'!$A:$LO,MATCH(I$2,'Data_SA'!$A:$A,0),MATCH($E111,'Data_SA'!$1:$1,0)),""))</f>
        <v/>
      </c>
      <c r="K111" s="7">
        <f>IF($E111="","",IFERROR(INDEX('Data_SA'!$A:$LO,MATCH(I$2,'Data_SA'!$A:$A,0),MATCH($E111,'Data_SA'!$1:$1,0))/INDEX('Data_SA'!$A:$LO,MATCH(EDATE(I$2,-1),'Data_SA'!$A:$A,0),MATCH($E111,'Data_SA'!$1:$1,0))-1,""))</f>
        <v/>
      </c>
      <c r="L111" s="7">
        <f>IFERROR(INDEX('Data_NSA'!$A:$OK,MATCH(I$2,'Data_NSA'!$A:$A,0),MATCH($D111,'Data_NSA'!$1:$1,0))/INDEX('Data_NSA'!$A:$OK,MATCH(EDATE(I$2,-12),'Data_NSA'!$A:$A,0),MATCH($D111,'Data_NSA'!$1:$1,0))-1,"")</f>
        <v/>
      </c>
      <c r="M111" s="10">
        <f>IFERROR(INDEX('Weights'!$G:$I,MATCH($A111,'Weights'!$A:$A,0),MATCH(I$2,'Weights'!$G$1:$I$1,0)),"")</f>
        <v/>
      </c>
      <c r="N111" s="10">
        <f>IF($E111="","",IFERROR(100*(INDEX('Weights'!$D:$D,MATCH($A111,'Weights'!$A:$A,0))*(INDEX('Data_NSA'!$A:$OK,MATCH(EDATE(I$2,-1),'Data_NSA'!$A:$A,0),MATCH($D111,'Data_NSA'!$1:$1,0))/INDEX('Data_NSA'!$A:$OK,MATCH(INDEX('Weights'!$E:$E,MATCH($A111,'Weights'!$A:$A,0)),'Data_NSA'!$A:$A,0),MATCH($D111,'Data_NSA'!$1:$1,0))))/(100*(INDEX('Data_NSA'!$A:$OK,MATCH(EDATE(I$2,-1),'Data_NSA'!$A:$A,0),MATCH("CUUR0000SA0",'Data_NSA'!$1:$1,0))/INDEX('Data_NSA'!$A:$OK,MATCH(INDEX('Weights'!$E:$E,MATCH($A111,'Weights'!$A:$A,0)),'Data_NSA'!$A:$A,0),MATCH("CUUR0000SA0",'Data_NSA'!$1:$1,0))))*(INDEX('Data_SA'!$A:$LO,MATCH(I$2,'Data_SA'!$A:$A,0),MATCH($E111,'Data_SA'!$1:$1,0))/INDEX('Data_SA'!$A:$LO,MATCH(EDATE(I$2,-1),'Data_SA'!$A:$A,0),MATCH($E111,'Data_SA'!$1:$1,0))-1),""))</f>
        <v/>
      </c>
      <c r="O111" s="10">
        <f>IFERROR(INDEX('Data_NSA'!$A:$OK,MATCH(O$2,'Data_NSA'!$A:$A,0),MATCH($D111,'Data_NSA'!$1:$1,0)),"")</f>
        <v/>
      </c>
      <c r="P111" s="10">
        <f>IF($E111="","",IFERROR(INDEX('Data_SA'!$A:$LO,MATCH(O$2,'Data_SA'!$A:$A,0),MATCH($E111,'Data_SA'!$1:$1,0)),""))</f>
        <v/>
      </c>
      <c r="Q111" s="7">
        <f>IF($E111="","",IFERROR(INDEX('Data_SA'!$A:$LO,MATCH(O$2,'Data_SA'!$A:$A,0),MATCH($E111,'Data_SA'!$1:$1,0))/INDEX('Data_SA'!$A:$LO,MATCH(EDATE(O$2,-1),'Data_SA'!$A:$A,0),MATCH($E111,'Data_SA'!$1:$1,0))-1,""))</f>
        <v/>
      </c>
      <c r="R111" s="7">
        <f>IFERROR(INDEX('Data_NSA'!$A:$OK,MATCH(O$2,'Data_NSA'!$A:$A,0),MATCH($D111,'Data_NSA'!$1:$1,0))/INDEX('Data_NSA'!$A:$OK,MATCH(EDATE(O$2,-12),'Data_NSA'!$A:$A,0),MATCH($D111,'Data_NSA'!$1:$1,0))-1,"")</f>
        <v/>
      </c>
      <c r="S111" s="10">
        <f>IFERROR(INDEX('Weights'!$G:$I,MATCH($A111,'Weights'!$A:$A,0),MATCH(O$2,'Weights'!$G$1:$I$1,0)),"")</f>
        <v/>
      </c>
      <c r="T111" s="10">
        <f>IF($E111="","",IFERROR(100*(INDEX('Weights'!$D:$D,MATCH($A111,'Weights'!$A:$A,0))*(INDEX('Data_NSA'!$A:$OK,MATCH(EDATE(O$2,-1),'Data_NSA'!$A:$A,0),MATCH($D111,'Data_NSA'!$1:$1,0))/INDEX('Data_NSA'!$A:$OK,MATCH(INDEX('Weights'!$E:$E,MATCH($A111,'Weights'!$A:$A,0)),'Data_NSA'!$A:$A,0),MATCH($D111,'Data_NSA'!$1:$1,0))))/(100*(INDEX('Data_NSA'!$A:$OK,MATCH(EDATE(O$2,-1),'Data_NSA'!$A:$A,0),MATCH("CUUR0000SA0",'Data_NSA'!$1:$1,0))/INDEX('Data_NSA'!$A:$OK,MATCH(INDEX('Weights'!$E:$E,MATCH($A111,'Weights'!$A:$A,0)),'Data_NSA'!$A:$A,0),MATCH("CUUR0000SA0",'Data_NSA'!$1:$1,0))))*(INDEX('Data_SA'!$A:$LO,MATCH(O$2,'Data_SA'!$A:$A,0),MATCH($E111,'Data_SA'!$1:$1,0))/INDEX('Data_SA'!$A:$LO,MATCH(EDATE(O$2,-1),'Data_SA'!$A:$A,0),MATCH($E111,'Data_SA'!$1:$1,0))-1),""))</f>
        <v/>
      </c>
      <c r="U111" s="10">
        <f>IFERROR(INDEX('Data_NSA'!$A:$OK,MATCH(U$2,'Data_NSA'!$A:$A,0),MATCH($D111,'Data_NSA'!$1:$1,0)),"")</f>
        <v/>
      </c>
      <c r="V111" s="10">
        <f>IF($E111="","",IFERROR(INDEX('Data_SA'!$A:$LO,MATCH(U$2,'Data_SA'!$A:$A,0),MATCH($E111,'Data_SA'!$1:$1,0)),""))</f>
        <v/>
      </c>
      <c r="W111" s="7">
        <f>IF($E111="","",IFERROR(INDEX('Data_SA'!$A:$LO,MATCH(U$2,'Data_SA'!$A:$A,0),MATCH($E111,'Data_SA'!$1:$1,0))/INDEX('Data_SA'!$A:$LO,MATCH(EDATE(U$2,-1),'Data_SA'!$A:$A,0),MATCH($E111,'Data_SA'!$1:$1,0))-1,""))</f>
        <v/>
      </c>
      <c r="X111" s="7">
        <f>IFERROR(INDEX('Data_NSA'!$A:$OK,MATCH(U$2,'Data_NSA'!$A:$A,0),MATCH($D111,'Data_NSA'!$1:$1,0))/INDEX('Data_NSA'!$A:$OK,MATCH(EDATE(U$2,-12),'Data_NSA'!$A:$A,0),MATCH($D111,'Data_NSA'!$1:$1,0))-1,"")</f>
        <v/>
      </c>
      <c r="Y111" s="10">
        <f>IFERROR(INDEX('Weights'!$G:$I,MATCH($A111,'Weights'!$A:$A,0),MATCH(U$2,'Weights'!$G$1:$I$1,0)),"")</f>
        <v/>
      </c>
      <c r="Z111" s="10">
        <f>IF($E111="","",IFERROR(100*(INDEX('Weights'!$D:$D,MATCH($A111,'Weights'!$A:$A,0))*(INDEX('Data_NSA'!$A:$OK,MATCH(EDATE(U$2,-1),'Data_NSA'!$A:$A,0),MATCH($D111,'Data_NSA'!$1:$1,0))/INDEX('Data_NSA'!$A:$OK,MATCH(INDEX('Weights'!$E:$E,MATCH($A111,'Weights'!$A:$A,0)),'Data_NSA'!$A:$A,0),MATCH($D111,'Data_NSA'!$1:$1,0))))/(100*(INDEX('Data_NSA'!$A:$OK,MATCH(EDATE(U$2,-1),'Data_NSA'!$A:$A,0),MATCH("CUUR0000SA0",'Data_NSA'!$1:$1,0))/INDEX('Data_NSA'!$A:$OK,MATCH(INDEX('Weights'!$E:$E,MATCH($A111,'Weights'!$A:$A,0)),'Data_NSA'!$A:$A,0),MATCH("CUUR0000SA0",'Data_NSA'!$1:$1,0))))*(INDEX('Data_SA'!$A:$LO,MATCH(U$2,'Data_SA'!$A:$A,0),MATCH($E111,'Data_SA'!$1:$1,0))/INDEX('Data_SA'!$A:$LO,MATCH(EDATE(U$2,-1),'Data_SA'!$A:$A,0),MATCH($E111,'Data_SA'!$1:$1,0))-1),""))</f>
        <v/>
      </c>
    </row>
    <row r="112">
      <c r="A112" s="3" t="inlineStr">
        <is>
          <t>SEFT03</t>
        </is>
      </c>
      <c r="B112" s="3" t="inlineStr">
        <is>
          <t>Snacks</t>
        </is>
      </c>
      <c r="C112" s="3" t="inlineStr">
        <is>
          <t>SEFT</t>
        </is>
      </c>
      <c r="D112" s="3" t="inlineStr">
        <is>
          <t>CUUR0000SEFT03</t>
        </is>
      </c>
      <c r="E112" s="3" t="inlineStr">
        <is>
          <t>CUSR0000SEFT03</t>
        </is>
      </c>
      <c r="F112" s="3" t="inlineStr">
        <is>
          <t>GM</t>
        </is>
      </c>
      <c r="G112" s="3" t="inlineStr">
        <is>
          <t>monthly food collection where sampled</t>
        </is>
      </c>
      <c r="H112" s="10">
        <f>IFERROR(INDEX(Weights!$D:$D,MATCH($A112,Weights!$A:$A,0)),"")</f>
        <v/>
      </c>
      <c r="I112" s="10">
        <f>IFERROR(INDEX('Data_NSA'!$A:$OK,MATCH(I$2,'Data_NSA'!$A:$A,0),MATCH($D112,'Data_NSA'!$1:$1,0)),"")</f>
        <v/>
      </c>
      <c r="J112" s="10">
        <f>IF($E112="","",IFERROR(INDEX('Data_SA'!$A:$LO,MATCH(I$2,'Data_SA'!$A:$A,0),MATCH($E112,'Data_SA'!$1:$1,0)),""))</f>
        <v/>
      </c>
      <c r="K112" s="7">
        <f>IF($E112="","",IFERROR(INDEX('Data_SA'!$A:$LO,MATCH(I$2,'Data_SA'!$A:$A,0),MATCH($E112,'Data_SA'!$1:$1,0))/INDEX('Data_SA'!$A:$LO,MATCH(EDATE(I$2,-1),'Data_SA'!$A:$A,0),MATCH($E112,'Data_SA'!$1:$1,0))-1,""))</f>
        <v/>
      </c>
      <c r="L112" s="7">
        <f>IFERROR(INDEX('Data_NSA'!$A:$OK,MATCH(I$2,'Data_NSA'!$A:$A,0),MATCH($D112,'Data_NSA'!$1:$1,0))/INDEX('Data_NSA'!$A:$OK,MATCH(EDATE(I$2,-12),'Data_NSA'!$A:$A,0),MATCH($D112,'Data_NSA'!$1:$1,0))-1,"")</f>
        <v/>
      </c>
      <c r="M112" s="10">
        <f>IFERROR(INDEX('Weights'!$G:$I,MATCH($A112,'Weights'!$A:$A,0),MATCH(I$2,'Weights'!$G$1:$I$1,0)),"")</f>
        <v/>
      </c>
      <c r="N112" s="10">
        <f>IF($E112="","",IFERROR(100*(INDEX('Weights'!$D:$D,MATCH($A112,'Weights'!$A:$A,0))*(INDEX('Data_NSA'!$A:$OK,MATCH(EDATE(I$2,-1),'Data_NSA'!$A:$A,0),MATCH($D112,'Data_NSA'!$1:$1,0))/INDEX('Data_NSA'!$A:$OK,MATCH(INDEX('Weights'!$E:$E,MATCH($A112,'Weights'!$A:$A,0)),'Data_NSA'!$A:$A,0),MATCH($D112,'Data_NSA'!$1:$1,0))))/(100*(INDEX('Data_NSA'!$A:$OK,MATCH(EDATE(I$2,-1),'Data_NSA'!$A:$A,0),MATCH("CUUR0000SA0",'Data_NSA'!$1:$1,0))/INDEX('Data_NSA'!$A:$OK,MATCH(INDEX('Weights'!$E:$E,MATCH($A112,'Weights'!$A:$A,0)),'Data_NSA'!$A:$A,0),MATCH("CUUR0000SA0",'Data_NSA'!$1:$1,0))))*(INDEX('Data_SA'!$A:$LO,MATCH(I$2,'Data_SA'!$A:$A,0),MATCH($E112,'Data_SA'!$1:$1,0))/INDEX('Data_SA'!$A:$LO,MATCH(EDATE(I$2,-1),'Data_SA'!$A:$A,0),MATCH($E112,'Data_SA'!$1:$1,0))-1),""))</f>
        <v/>
      </c>
      <c r="O112" s="10">
        <f>IFERROR(INDEX('Data_NSA'!$A:$OK,MATCH(O$2,'Data_NSA'!$A:$A,0),MATCH($D112,'Data_NSA'!$1:$1,0)),"")</f>
        <v/>
      </c>
      <c r="P112" s="10">
        <f>IF($E112="","",IFERROR(INDEX('Data_SA'!$A:$LO,MATCH(O$2,'Data_SA'!$A:$A,0),MATCH($E112,'Data_SA'!$1:$1,0)),""))</f>
        <v/>
      </c>
      <c r="Q112" s="7">
        <f>IF($E112="","",IFERROR(INDEX('Data_SA'!$A:$LO,MATCH(O$2,'Data_SA'!$A:$A,0),MATCH($E112,'Data_SA'!$1:$1,0))/INDEX('Data_SA'!$A:$LO,MATCH(EDATE(O$2,-1),'Data_SA'!$A:$A,0),MATCH($E112,'Data_SA'!$1:$1,0))-1,""))</f>
        <v/>
      </c>
      <c r="R112" s="7">
        <f>IFERROR(INDEX('Data_NSA'!$A:$OK,MATCH(O$2,'Data_NSA'!$A:$A,0),MATCH($D112,'Data_NSA'!$1:$1,0))/INDEX('Data_NSA'!$A:$OK,MATCH(EDATE(O$2,-12),'Data_NSA'!$A:$A,0),MATCH($D112,'Data_NSA'!$1:$1,0))-1,"")</f>
        <v/>
      </c>
      <c r="S112" s="10">
        <f>IFERROR(INDEX('Weights'!$G:$I,MATCH($A112,'Weights'!$A:$A,0),MATCH(O$2,'Weights'!$G$1:$I$1,0)),"")</f>
        <v/>
      </c>
      <c r="T112" s="10">
        <f>IF($E112="","",IFERROR(100*(INDEX('Weights'!$D:$D,MATCH($A112,'Weights'!$A:$A,0))*(INDEX('Data_NSA'!$A:$OK,MATCH(EDATE(O$2,-1),'Data_NSA'!$A:$A,0),MATCH($D112,'Data_NSA'!$1:$1,0))/INDEX('Data_NSA'!$A:$OK,MATCH(INDEX('Weights'!$E:$E,MATCH($A112,'Weights'!$A:$A,0)),'Data_NSA'!$A:$A,0),MATCH($D112,'Data_NSA'!$1:$1,0))))/(100*(INDEX('Data_NSA'!$A:$OK,MATCH(EDATE(O$2,-1),'Data_NSA'!$A:$A,0),MATCH("CUUR0000SA0",'Data_NSA'!$1:$1,0))/INDEX('Data_NSA'!$A:$OK,MATCH(INDEX('Weights'!$E:$E,MATCH($A112,'Weights'!$A:$A,0)),'Data_NSA'!$A:$A,0),MATCH("CUUR0000SA0",'Data_NSA'!$1:$1,0))))*(INDEX('Data_SA'!$A:$LO,MATCH(O$2,'Data_SA'!$A:$A,0),MATCH($E112,'Data_SA'!$1:$1,0))/INDEX('Data_SA'!$A:$LO,MATCH(EDATE(O$2,-1),'Data_SA'!$A:$A,0),MATCH($E112,'Data_SA'!$1:$1,0))-1),""))</f>
        <v/>
      </c>
      <c r="U112" s="10">
        <f>IFERROR(INDEX('Data_NSA'!$A:$OK,MATCH(U$2,'Data_NSA'!$A:$A,0),MATCH($D112,'Data_NSA'!$1:$1,0)),"")</f>
        <v/>
      </c>
      <c r="V112" s="10">
        <f>IF($E112="","",IFERROR(INDEX('Data_SA'!$A:$LO,MATCH(U$2,'Data_SA'!$A:$A,0),MATCH($E112,'Data_SA'!$1:$1,0)),""))</f>
        <v/>
      </c>
      <c r="W112" s="7">
        <f>IF($E112="","",IFERROR(INDEX('Data_SA'!$A:$LO,MATCH(U$2,'Data_SA'!$A:$A,0),MATCH($E112,'Data_SA'!$1:$1,0))/INDEX('Data_SA'!$A:$LO,MATCH(EDATE(U$2,-1),'Data_SA'!$A:$A,0),MATCH($E112,'Data_SA'!$1:$1,0))-1,""))</f>
        <v/>
      </c>
      <c r="X112" s="7">
        <f>IFERROR(INDEX('Data_NSA'!$A:$OK,MATCH(U$2,'Data_NSA'!$A:$A,0),MATCH($D112,'Data_NSA'!$1:$1,0))/INDEX('Data_NSA'!$A:$OK,MATCH(EDATE(U$2,-12),'Data_NSA'!$A:$A,0),MATCH($D112,'Data_NSA'!$1:$1,0))-1,"")</f>
        <v/>
      </c>
      <c r="Y112" s="10">
        <f>IFERROR(INDEX('Weights'!$G:$I,MATCH($A112,'Weights'!$A:$A,0),MATCH(U$2,'Weights'!$G$1:$I$1,0)),"")</f>
        <v/>
      </c>
      <c r="Z112" s="10">
        <f>IF($E112="","",IFERROR(100*(INDEX('Weights'!$D:$D,MATCH($A112,'Weights'!$A:$A,0))*(INDEX('Data_NSA'!$A:$OK,MATCH(EDATE(U$2,-1),'Data_NSA'!$A:$A,0),MATCH($D112,'Data_NSA'!$1:$1,0))/INDEX('Data_NSA'!$A:$OK,MATCH(INDEX('Weights'!$E:$E,MATCH($A112,'Weights'!$A:$A,0)),'Data_NSA'!$A:$A,0),MATCH($D112,'Data_NSA'!$1:$1,0))))/(100*(INDEX('Data_NSA'!$A:$OK,MATCH(EDATE(U$2,-1),'Data_NSA'!$A:$A,0),MATCH("CUUR0000SA0",'Data_NSA'!$1:$1,0))/INDEX('Data_NSA'!$A:$OK,MATCH(INDEX('Weights'!$E:$E,MATCH($A112,'Weights'!$A:$A,0)),'Data_NSA'!$A:$A,0),MATCH("CUUR0000SA0",'Data_NSA'!$1:$1,0))))*(INDEX('Data_SA'!$A:$LO,MATCH(U$2,'Data_SA'!$A:$A,0),MATCH($E112,'Data_SA'!$1:$1,0))/INDEX('Data_SA'!$A:$LO,MATCH(EDATE(U$2,-1),'Data_SA'!$A:$A,0),MATCH($E112,'Data_SA'!$1:$1,0))-1),""))</f>
        <v/>
      </c>
    </row>
    <row r="113">
      <c r="A113" s="3" t="inlineStr">
        <is>
          <t>SEFT04</t>
        </is>
      </c>
      <c r="B113" s="3" t="inlineStr">
        <is>
          <t>Spices, seasonings, condiments, sauces</t>
        </is>
      </c>
      <c r="C113" s="3" t="inlineStr">
        <is>
          <t>SEFT</t>
        </is>
      </c>
      <c r="D113" s="3" t="inlineStr">
        <is>
          <t>CUUR0000SEFT04</t>
        </is>
      </c>
      <c r="E113" s="3" t="inlineStr">
        <is>
          <t>CUSR0000SEFT04</t>
        </is>
      </c>
      <c r="F113" s="3" t="inlineStr">
        <is>
          <t>aggregate</t>
        </is>
      </c>
      <c r="G113" s="3" t="inlineStr">
        <is>
          <t>aggregate</t>
        </is>
      </c>
      <c r="H113" s="10">
        <f>IFERROR(INDEX(Weights!$D:$D,MATCH($A113,Weights!$A:$A,0)),"")</f>
        <v/>
      </c>
      <c r="I113" s="10">
        <f>IFERROR(INDEX('Data_NSA'!$A:$OK,MATCH(I$2,'Data_NSA'!$A:$A,0),MATCH($D113,'Data_NSA'!$1:$1,0)),"")</f>
        <v/>
      </c>
      <c r="J113" s="10">
        <f>IF($E113="","",IFERROR(INDEX('Data_SA'!$A:$LO,MATCH(I$2,'Data_SA'!$A:$A,0),MATCH($E113,'Data_SA'!$1:$1,0)),""))</f>
        <v/>
      </c>
      <c r="K113" s="7">
        <f>IF($E113="","",IFERROR(INDEX('Data_SA'!$A:$LO,MATCH(I$2,'Data_SA'!$A:$A,0),MATCH($E113,'Data_SA'!$1:$1,0))/INDEX('Data_SA'!$A:$LO,MATCH(EDATE(I$2,-1),'Data_SA'!$A:$A,0),MATCH($E113,'Data_SA'!$1:$1,0))-1,""))</f>
        <v/>
      </c>
      <c r="L113" s="7">
        <f>IFERROR(INDEX('Data_NSA'!$A:$OK,MATCH(I$2,'Data_NSA'!$A:$A,0),MATCH($D113,'Data_NSA'!$1:$1,0))/INDEX('Data_NSA'!$A:$OK,MATCH(EDATE(I$2,-12),'Data_NSA'!$A:$A,0),MATCH($D113,'Data_NSA'!$1:$1,0))-1,"")</f>
        <v/>
      </c>
      <c r="M113" s="10">
        <f>IFERROR(INDEX('Weights'!$G:$I,MATCH($A113,'Weights'!$A:$A,0),MATCH(I$2,'Weights'!$G$1:$I$1,0)),"")</f>
        <v/>
      </c>
      <c r="N113" s="10">
        <f>IF($E113="","",IFERROR(100*(INDEX('Weights'!$D:$D,MATCH($A113,'Weights'!$A:$A,0))*(INDEX('Data_NSA'!$A:$OK,MATCH(EDATE(I$2,-1),'Data_NSA'!$A:$A,0),MATCH($D113,'Data_NSA'!$1:$1,0))/INDEX('Data_NSA'!$A:$OK,MATCH(INDEX('Weights'!$E:$E,MATCH($A113,'Weights'!$A:$A,0)),'Data_NSA'!$A:$A,0),MATCH($D113,'Data_NSA'!$1:$1,0))))/(100*(INDEX('Data_NSA'!$A:$OK,MATCH(EDATE(I$2,-1),'Data_NSA'!$A:$A,0),MATCH("CUUR0000SA0",'Data_NSA'!$1:$1,0))/INDEX('Data_NSA'!$A:$OK,MATCH(INDEX('Weights'!$E:$E,MATCH($A113,'Weights'!$A:$A,0)),'Data_NSA'!$A:$A,0),MATCH("CUUR0000SA0",'Data_NSA'!$1:$1,0))))*(INDEX('Data_SA'!$A:$LO,MATCH(I$2,'Data_SA'!$A:$A,0),MATCH($E113,'Data_SA'!$1:$1,0))/INDEX('Data_SA'!$A:$LO,MATCH(EDATE(I$2,-1),'Data_SA'!$A:$A,0),MATCH($E113,'Data_SA'!$1:$1,0))-1),""))</f>
        <v/>
      </c>
      <c r="O113" s="10">
        <f>IFERROR(INDEX('Data_NSA'!$A:$OK,MATCH(O$2,'Data_NSA'!$A:$A,0),MATCH($D113,'Data_NSA'!$1:$1,0)),"")</f>
        <v/>
      </c>
      <c r="P113" s="10">
        <f>IF($E113="","",IFERROR(INDEX('Data_SA'!$A:$LO,MATCH(O$2,'Data_SA'!$A:$A,0),MATCH($E113,'Data_SA'!$1:$1,0)),""))</f>
        <v/>
      </c>
      <c r="Q113" s="7">
        <f>IF($E113="","",IFERROR(INDEX('Data_SA'!$A:$LO,MATCH(O$2,'Data_SA'!$A:$A,0),MATCH($E113,'Data_SA'!$1:$1,0))/INDEX('Data_SA'!$A:$LO,MATCH(EDATE(O$2,-1),'Data_SA'!$A:$A,0),MATCH($E113,'Data_SA'!$1:$1,0))-1,""))</f>
        <v/>
      </c>
      <c r="R113" s="7">
        <f>IFERROR(INDEX('Data_NSA'!$A:$OK,MATCH(O$2,'Data_NSA'!$A:$A,0),MATCH($D113,'Data_NSA'!$1:$1,0))/INDEX('Data_NSA'!$A:$OK,MATCH(EDATE(O$2,-12),'Data_NSA'!$A:$A,0),MATCH($D113,'Data_NSA'!$1:$1,0))-1,"")</f>
        <v/>
      </c>
      <c r="S113" s="10">
        <f>IFERROR(INDEX('Weights'!$G:$I,MATCH($A113,'Weights'!$A:$A,0),MATCH(O$2,'Weights'!$G$1:$I$1,0)),"")</f>
        <v/>
      </c>
      <c r="T113" s="10">
        <f>IF($E113="","",IFERROR(100*(INDEX('Weights'!$D:$D,MATCH($A113,'Weights'!$A:$A,0))*(INDEX('Data_NSA'!$A:$OK,MATCH(EDATE(O$2,-1),'Data_NSA'!$A:$A,0),MATCH($D113,'Data_NSA'!$1:$1,0))/INDEX('Data_NSA'!$A:$OK,MATCH(INDEX('Weights'!$E:$E,MATCH($A113,'Weights'!$A:$A,0)),'Data_NSA'!$A:$A,0),MATCH($D113,'Data_NSA'!$1:$1,0))))/(100*(INDEX('Data_NSA'!$A:$OK,MATCH(EDATE(O$2,-1),'Data_NSA'!$A:$A,0),MATCH("CUUR0000SA0",'Data_NSA'!$1:$1,0))/INDEX('Data_NSA'!$A:$OK,MATCH(INDEX('Weights'!$E:$E,MATCH($A113,'Weights'!$A:$A,0)),'Data_NSA'!$A:$A,0),MATCH("CUUR0000SA0",'Data_NSA'!$1:$1,0))))*(INDEX('Data_SA'!$A:$LO,MATCH(O$2,'Data_SA'!$A:$A,0),MATCH($E113,'Data_SA'!$1:$1,0))/INDEX('Data_SA'!$A:$LO,MATCH(EDATE(O$2,-1),'Data_SA'!$A:$A,0),MATCH($E113,'Data_SA'!$1:$1,0))-1),""))</f>
        <v/>
      </c>
      <c r="U113" s="10">
        <f>IFERROR(INDEX('Data_NSA'!$A:$OK,MATCH(U$2,'Data_NSA'!$A:$A,0),MATCH($D113,'Data_NSA'!$1:$1,0)),"")</f>
        <v/>
      </c>
      <c r="V113" s="10">
        <f>IF($E113="","",IFERROR(INDEX('Data_SA'!$A:$LO,MATCH(U$2,'Data_SA'!$A:$A,0),MATCH($E113,'Data_SA'!$1:$1,0)),""))</f>
        <v/>
      </c>
      <c r="W113" s="7">
        <f>IF($E113="","",IFERROR(INDEX('Data_SA'!$A:$LO,MATCH(U$2,'Data_SA'!$A:$A,0),MATCH($E113,'Data_SA'!$1:$1,0))/INDEX('Data_SA'!$A:$LO,MATCH(EDATE(U$2,-1),'Data_SA'!$A:$A,0),MATCH($E113,'Data_SA'!$1:$1,0))-1,""))</f>
        <v/>
      </c>
      <c r="X113" s="7">
        <f>IFERROR(INDEX('Data_NSA'!$A:$OK,MATCH(U$2,'Data_NSA'!$A:$A,0),MATCH($D113,'Data_NSA'!$1:$1,0))/INDEX('Data_NSA'!$A:$OK,MATCH(EDATE(U$2,-12),'Data_NSA'!$A:$A,0),MATCH($D113,'Data_NSA'!$1:$1,0))-1,"")</f>
        <v/>
      </c>
      <c r="Y113" s="10">
        <f>IFERROR(INDEX('Weights'!$G:$I,MATCH($A113,'Weights'!$A:$A,0),MATCH(U$2,'Weights'!$G$1:$I$1,0)),"")</f>
        <v/>
      </c>
      <c r="Z113" s="10">
        <f>IF($E113="","",IFERROR(100*(INDEX('Weights'!$D:$D,MATCH($A113,'Weights'!$A:$A,0))*(INDEX('Data_NSA'!$A:$OK,MATCH(EDATE(U$2,-1),'Data_NSA'!$A:$A,0),MATCH($D113,'Data_NSA'!$1:$1,0))/INDEX('Data_NSA'!$A:$OK,MATCH(INDEX('Weights'!$E:$E,MATCH($A113,'Weights'!$A:$A,0)),'Data_NSA'!$A:$A,0),MATCH($D113,'Data_NSA'!$1:$1,0))))/(100*(INDEX('Data_NSA'!$A:$OK,MATCH(EDATE(U$2,-1),'Data_NSA'!$A:$A,0),MATCH("CUUR0000SA0",'Data_NSA'!$1:$1,0))/INDEX('Data_NSA'!$A:$OK,MATCH(INDEX('Weights'!$E:$E,MATCH($A113,'Weights'!$A:$A,0)),'Data_NSA'!$A:$A,0),MATCH("CUUR0000SA0",'Data_NSA'!$1:$1,0))))*(INDEX('Data_SA'!$A:$LO,MATCH(U$2,'Data_SA'!$A:$A,0),MATCH($E113,'Data_SA'!$1:$1,0))/INDEX('Data_SA'!$A:$LO,MATCH(EDATE(U$2,-1),'Data_SA'!$A:$A,0),MATCH($E113,'Data_SA'!$1:$1,0))-1),""))</f>
        <v/>
      </c>
    </row>
    <row r="114">
      <c r="A114" s="3" t="inlineStr">
        <is>
          <t>SS18041</t>
        </is>
      </c>
      <c r="B114" s="3" t="inlineStr">
        <is>
          <t>Salt and other seasonings and spices</t>
        </is>
      </c>
      <c r="C114" s="3" t="inlineStr">
        <is>
          <t>SEFT04</t>
        </is>
      </c>
      <c r="D114" s="3" t="inlineStr">
        <is>
          <t>CUUR0000SS18041</t>
        </is>
      </c>
      <c r="E114" s="3" t="inlineStr">
        <is>
          <t>CUSR0000SS18041</t>
        </is>
      </c>
      <c r="F114" s="3" t="inlineStr">
        <is>
          <t>GM</t>
        </is>
      </c>
      <c r="G114" s="3" t="inlineStr">
        <is>
          <t>monthly in New York/Los Angeles/Chicago; often bimonthly elsewhere</t>
        </is>
      </c>
      <c r="H114" s="10">
        <f>IFERROR(INDEX(Weights!$D:$D,MATCH($A114,Weights!$A:$A,0)),"")</f>
        <v/>
      </c>
      <c r="I114" s="10">
        <f>IFERROR(INDEX('Data_NSA'!$A:$OK,MATCH(I$2,'Data_NSA'!$A:$A,0),MATCH($D114,'Data_NSA'!$1:$1,0)),"")</f>
        <v/>
      </c>
      <c r="J114" s="10">
        <f>IF($E114="","",IFERROR(INDEX('Data_SA'!$A:$LO,MATCH(I$2,'Data_SA'!$A:$A,0),MATCH($E114,'Data_SA'!$1:$1,0)),""))</f>
        <v/>
      </c>
      <c r="K114" s="7">
        <f>IF($E114="","",IFERROR(INDEX('Data_SA'!$A:$LO,MATCH(I$2,'Data_SA'!$A:$A,0),MATCH($E114,'Data_SA'!$1:$1,0))/INDEX('Data_SA'!$A:$LO,MATCH(EDATE(I$2,-1),'Data_SA'!$A:$A,0),MATCH($E114,'Data_SA'!$1:$1,0))-1,""))</f>
        <v/>
      </c>
      <c r="L114" s="7">
        <f>IFERROR(INDEX('Data_NSA'!$A:$OK,MATCH(I$2,'Data_NSA'!$A:$A,0),MATCH($D114,'Data_NSA'!$1:$1,0))/INDEX('Data_NSA'!$A:$OK,MATCH(EDATE(I$2,-12),'Data_NSA'!$A:$A,0),MATCH($D114,'Data_NSA'!$1:$1,0))-1,"")</f>
        <v/>
      </c>
      <c r="M114" s="10">
        <f>IFERROR(INDEX('Weights'!$G:$I,MATCH($A114,'Weights'!$A:$A,0),MATCH(I$2,'Weights'!$G$1:$I$1,0)),"")</f>
        <v/>
      </c>
      <c r="N114" s="10">
        <f>IF($E114="","",IFERROR(100*(INDEX('Weights'!$D:$D,MATCH($A114,'Weights'!$A:$A,0))*(INDEX('Data_NSA'!$A:$OK,MATCH(EDATE(I$2,-1),'Data_NSA'!$A:$A,0),MATCH($D114,'Data_NSA'!$1:$1,0))/INDEX('Data_NSA'!$A:$OK,MATCH(INDEX('Weights'!$E:$E,MATCH($A114,'Weights'!$A:$A,0)),'Data_NSA'!$A:$A,0),MATCH($D114,'Data_NSA'!$1:$1,0))))/(100*(INDEX('Data_NSA'!$A:$OK,MATCH(EDATE(I$2,-1),'Data_NSA'!$A:$A,0),MATCH("CUUR0000SA0",'Data_NSA'!$1:$1,0))/INDEX('Data_NSA'!$A:$OK,MATCH(INDEX('Weights'!$E:$E,MATCH($A114,'Weights'!$A:$A,0)),'Data_NSA'!$A:$A,0),MATCH("CUUR0000SA0",'Data_NSA'!$1:$1,0))))*(INDEX('Data_SA'!$A:$LO,MATCH(I$2,'Data_SA'!$A:$A,0),MATCH($E114,'Data_SA'!$1:$1,0))/INDEX('Data_SA'!$A:$LO,MATCH(EDATE(I$2,-1),'Data_SA'!$A:$A,0),MATCH($E114,'Data_SA'!$1:$1,0))-1),""))</f>
        <v/>
      </c>
      <c r="O114" s="10">
        <f>IFERROR(INDEX('Data_NSA'!$A:$OK,MATCH(O$2,'Data_NSA'!$A:$A,0),MATCH($D114,'Data_NSA'!$1:$1,0)),"")</f>
        <v/>
      </c>
      <c r="P114" s="10">
        <f>IF($E114="","",IFERROR(INDEX('Data_SA'!$A:$LO,MATCH(O$2,'Data_SA'!$A:$A,0),MATCH($E114,'Data_SA'!$1:$1,0)),""))</f>
        <v/>
      </c>
      <c r="Q114" s="7">
        <f>IF($E114="","",IFERROR(INDEX('Data_SA'!$A:$LO,MATCH(O$2,'Data_SA'!$A:$A,0),MATCH($E114,'Data_SA'!$1:$1,0))/INDEX('Data_SA'!$A:$LO,MATCH(EDATE(O$2,-1),'Data_SA'!$A:$A,0),MATCH($E114,'Data_SA'!$1:$1,0))-1,""))</f>
        <v/>
      </c>
      <c r="R114" s="7">
        <f>IFERROR(INDEX('Data_NSA'!$A:$OK,MATCH(O$2,'Data_NSA'!$A:$A,0),MATCH($D114,'Data_NSA'!$1:$1,0))/INDEX('Data_NSA'!$A:$OK,MATCH(EDATE(O$2,-12),'Data_NSA'!$A:$A,0),MATCH($D114,'Data_NSA'!$1:$1,0))-1,"")</f>
        <v/>
      </c>
      <c r="S114" s="10">
        <f>IFERROR(INDEX('Weights'!$G:$I,MATCH($A114,'Weights'!$A:$A,0),MATCH(O$2,'Weights'!$G$1:$I$1,0)),"")</f>
        <v/>
      </c>
      <c r="T114" s="10">
        <f>IF($E114="","",IFERROR(100*(INDEX('Weights'!$D:$D,MATCH($A114,'Weights'!$A:$A,0))*(INDEX('Data_NSA'!$A:$OK,MATCH(EDATE(O$2,-1),'Data_NSA'!$A:$A,0),MATCH($D114,'Data_NSA'!$1:$1,0))/INDEX('Data_NSA'!$A:$OK,MATCH(INDEX('Weights'!$E:$E,MATCH($A114,'Weights'!$A:$A,0)),'Data_NSA'!$A:$A,0),MATCH($D114,'Data_NSA'!$1:$1,0))))/(100*(INDEX('Data_NSA'!$A:$OK,MATCH(EDATE(O$2,-1),'Data_NSA'!$A:$A,0),MATCH("CUUR0000SA0",'Data_NSA'!$1:$1,0))/INDEX('Data_NSA'!$A:$OK,MATCH(INDEX('Weights'!$E:$E,MATCH($A114,'Weights'!$A:$A,0)),'Data_NSA'!$A:$A,0),MATCH("CUUR0000SA0",'Data_NSA'!$1:$1,0))))*(INDEX('Data_SA'!$A:$LO,MATCH(O$2,'Data_SA'!$A:$A,0),MATCH($E114,'Data_SA'!$1:$1,0))/INDEX('Data_SA'!$A:$LO,MATCH(EDATE(O$2,-1),'Data_SA'!$A:$A,0),MATCH($E114,'Data_SA'!$1:$1,0))-1),""))</f>
        <v/>
      </c>
      <c r="U114" s="10">
        <f>IFERROR(INDEX('Data_NSA'!$A:$OK,MATCH(U$2,'Data_NSA'!$A:$A,0),MATCH($D114,'Data_NSA'!$1:$1,0)),"")</f>
        <v/>
      </c>
      <c r="V114" s="10">
        <f>IF($E114="","",IFERROR(INDEX('Data_SA'!$A:$LO,MATCH(U$2,'Data_SA'!$A:$A,0),MATCH($E114,'Data_SA'!$1:$1,0)),""))</f>
        <v/>
      </c>
      <c r="W114" s="7">
        <f>IF($E114="","",IFERROR(INDEX('Data_SA'!$A:$LO,MATCH(U$2,'Data_SA'!$A:$A,0),MATCH($E114,'Data_SA'!$1:$1,0))/INDEX('Data_SA'!$A:$LO,MATCH(EDATE(U$2,-1),'Data_SA'!$A:$A,0),MATCH($E114,'Data_SA'!$1:$1,0))-1,""))</f>
        <v/>
      </c>
      <c r="X114" s="7">
        <f>IFERROR(INDEX('Data_NSA'!$A:$OK,MATCH(U$2,'Data_NSA'!$A:$A,0),MATCH($D114,'Data_NSA'!$1:$1,0))/INDEX('Data_NSA'!$A:$OK,MATCH(EDATE(U$2,-12),'Data_NSA'!$A:$A,0),MATCH($D114,'Data_NSA'!$1:$1,0))-1,"")</f>
        <v/>
      </c>
      <c r="Y114" s="10">
        <f>IFERROR(INDEX('Weights'!$G:$I,MATCH($A114,'Weights'!$A:$A,0),MATCH(U$2,'Weights'!$G$1:$I$1,0)),"")</f>
        <v/>
      </c>
      <c r="Z114" s="10">
        <f>IF($E114="","",IFERROR(100*(INDEX('Weights'!$D:$D,MATCH($A114,'Weights'!$A:$A,0))*(INDEX('Data_NSA'!$A:$OK,MATCH(EDATE(U$2,-1),'Data_NSA'!$A:$A,0),MATCH($D114,'Data_NSA'!$1:$1,0))/INDEX('Data_NSA'!$A:$OK,MATCH(INDEX('Weights'!$E:$E,MATCH($A114,'Weights'!$A:$A,0)),'Data_NSA'!$A:$A,0),MATCH($D114,'Data_NSA'!$1:$1,0))))/(100*(INDEX('Data_NSA'!$A:$OK,MATCH(EDATE(U$2,-1),'Data_NSA'!$A:$A,0),MATCH("CUUR0000SA0",'Data_NSA'!$1:$1,0))/INDEX('Data_NSA'!$A:$OK,MATCH(INDEX('Weights'!$E:$E,MATCH($A114,'Weights'!$A:$A,0)),'Data_NSA'!$A:$A,0),MATCH("CUUR0000SA0",'Data_NSA'!$1:$1,0))))*(INDEX('Data_SA'!$A:$LO,MATCH(U$2,'Data_SA'!$A:$A,0),MATCH($E114,'Data_SA'!$1:$1,0))/INDEX('Data_SA'!$A:$LO,MATCH(EDATE(U$2,-1),'Data_SA'!$A:$A,0),MATCH($E114,'Data_SA'!$1:$1,0))-1),""))</f>
        <v/>
      </c>
    </row>
    <row r="115">
      <c r="A115" s="3" t="inlineStr">
        <is>
          <t>SS18042</t>
        </is>
      </c>
      <c r="B115" s="3" t="inlineStr">
        <is>
          <t>Olives, pickles, relishes</t>
        </is>
      </c>
      <c r="C115" s="3" t="inlineStr">
        <is>
          <t>SEFT04</t>
        </is>
      </c>
      <c r="D115" s="3" t="inlineStr">
        <is>
          <t>CUUR0000SS18042</t>
        </is>
      </c>
      <c r="E115" s="3" t="inlineStr">
        <is>
          <t>CUSR0000SS18042</t>
        </is>
      </c>
      <c r="F115" s="3" t="inlineStr">
        <is>
          <t>GM</t>
        </is>
      </c>
      <c r="G115" s="3" t="inlineStr">
        <is>
          <t>monthly in New York/Los Angeles/Chicago; often bimonthly elsewhere</t>
        </is>
      </c>
      <c r="H115" s="10">
        <f>IFERROR(INDEX(Weights!$D:$D,MATCH($A115,Weights!$A:$A,0)),"")</f>
        <v/>
      </c>
      <c r="I115" s="10">
        <f>IFERROR(INDEX('Data_NSA'!$A:$OK,MATCH(I$2,'Data_NSA'!$A:$A,0),MATCH($D115,'Data_NSA'!$1:$1,0)),"")</f>
        <v/>
      </c>
      <c r="J115" s="10">
        <f>IF($E115="","",IFERROR(INDEX('Data_SA'!$A:$LO,MATCH(I$2,'Data_SA'!$A:$A,0),MATCH($E115,'Data_SA'!$1:$1,0)),""))</f>
        <v/>
      </c>
      <c r="K115" s="7">
        <f>IF($E115="","",IFERROR(INDEX('Data_SA'!$A:$LO,MATCH(I$2,'Data_SA'!$A:$A,0),MATCH($E115,'Data_SA'!$1:$1,0))/INDEX('Data_SA'!$A:$LO,MATCH(EDATE(I$2,-1),'Data_SA'!$A:$A,0),MATCH($E115,'Data_SA'!$1:$1,0))-1,""))</f>
        <v/>
      </c>
      <c r="L115" s="7">
        <f>IFERROR(INDEX('Data_NSA'!$A:$OK,MATCH(I$2,'Data_NSA'!$A:$A,0),MATCH($D115,'Data_NSA'!$1:$1,0))/INDEX('Data_NSA'!$A:$OK,MATCH(EDATE(I$2,-12),'Data_NSA'!$A:$A,0),MATCH($D115,'Data_NSA'!$1:$1,0))-1,"")</f>
        <v/>
      </c>
      <c r="M115" s="10">
        <f>IFERROR(INDEX('Weights'!$G:$I,MATCH($A115,'Weights'!$A:$A,0),MATCH(I$2,'Weights'!$G$1:$I$1,0)),"")</f>
        <v/>
      </c>
      <c r="N115" s="10">
        <f>IF($E115="","",IFERROR(100*(INDEX('Weights'!$D:$D,MATCH($A115,'Weights'!$A:$A,0))*(INDEX('Data_NSA'!$A:$OK,MATCH(EDATE(I$2,-1),'Data_NSA'!$A:$A,0),MATCH($D115,'Data_NSA'!$1:$1,0))/INDEX('Data_NSA'!$A:$OK,MATCH(INDEX('Weights'!$E:$E,MATCH($A115,'Weights'!$A:$A,0)),'Data_NSA'!$A:$A,0),MATCH($D115,'Data_NSA'!$1:$1,0))))/(100*(INDEX('Data_NSA'!$A:$OK,MATCH(EDATE(I$2,-1),'Data_NSA'!$A:$A,0),MATCH("CUUR0000SA0",'Data_NSA'!$1:$1,0))/INDEX('Data_NSA'!$A:$OK,MATCH(INDEX('Weights'!$E:$E,MATCH($A115,'Weights'!$A:$A,0)),'Data_NSA'!$A:$A,0),MATCH("CUUR0000SA0",'Data_NSA'!$1:$1,0))))*(INDEX('Data_SA'!$A:$LO,MATCH(I$2,'Data_SA'!$A:$A,0),MATCH($E115,'Data_SA'!$1:$1,0))/INDEX('Data_SA'!$A:$LO,MATCH(EDATE(I$2,-1),'Data_SA'!$A:$A,0),MATCH($E115,'Data_SA'!$1:$1,0))-1),""))</f>
        <v/>
      </c>
      <c r="O115" s="10">
        <f>IFERROR(INDEX('Data_NSA'!$A:$OK,MATCH(O$2,'Data_NSA'!$A:$A,0),MATCH($D115,'Data_NSA'!$1:$1,0)),"")</f>
        <v/>
      </c>
      <c r="P115" s="10">
        <f>IF($E115="","",IFERROR(INDEX('Data_SA'!$A:$LO,MATCH(O$2,'Data_SA'!$A:$A,0),MATCH($E115,'Data_SA'!$1:$1,0)),""))</f>
        <v/>
      </c>
      <c r="Q115" s="7">
        <f>IF($E115="","",IFERROR(INDEX('Data_SA'!$A:$LO,MATCH(O$2,'Data_SA'!$A:$A,0),MATCH($E115,'Data_SA'!$1:$1,0))/INDEX('Data_SA'!$A:$LO,MATCH(EDATE(O$2,-1),'Data_SA'!$A:$A,0),MATCH($E115,'Data_SA'!$1:$1,0))-1,""))</f>
        <v/>
      </c>
      <c r="R115" s="7">
        <f>IFERROR(INDEX('Data_NSA'!$A:$OK,MATCH(O$2,'Data_NSA'!$A:$A,0),MATCH($D115,'Data_NSA'!$1:$1,0))/INDEX('Data_NSA'!$A:$OK,MATCH(EDATE(O$2,-12),'Data_NSA'!$A:$A,0),MATCH($D115,'Data_NSA'!$1:$1,0))-1,"")</f>
        <v/>
      </c>
      <c r="S115" s="10">
        <f>IFERROR(INDEX('Weights'!$G:$I,MATCH($A115,'Weights'!$A:$A,0),MATCH(O$2,'Weights'!$G$1:$I$1,0)),"")</f>
        <v/>
      </c>
      <c r="T115" s="10">
        <f>IF($E115="","",IFERROR(100*(INDEX('Weights'!$D:$D,MATCH($A115,'Weights'!$A:$A,0))*(INDEX('Data_NSA'!$A:$OK,MATCH(EDATE(O$2,-1),'Data_NSA'!$A:$A,0),MATCH($D115,'Data_NSA'!$1:$1,0))/INDEX('Data_NSA'!$A:$OK,MATCH(INDEX('Weights'!$E:$E,MATCH($A115,'Weights'!$A:$A,0)),'Data_NSA'!$A:$A,0),MATCH($D115,'Data_NSA'!$1:$1,0))))/(100*(INDEX('Data_NSA'!$A:$OK,MATCH(EDATE(O$2,-1),'Data_NSA'!$A:$A,0),MATCH("CUUR0000SA0",'Data_NSA'!$1:$1,0))/INDEX('Data_NSA'!$A:$OK,MATCH(INDEX('Weights'!$E:$E,MATCH($A115,'Weights'!$A:$A,0)),'Data_NSA'!$A:$A,0),MATCH("CUUR0000SA0",'Data_NSA'!$1:$1,0))))*(INDEX('Data_SA'!$A:$LO,MATCH(O$2,'Data_SA'!$A:$A,0),MATCH($E115,'Data_SA'!$1:$1,0))/INDEX('Data_SA'!$A:$LO,MATCH(EDATE(O$2,-1),'Data_SA'!$A:$A,0),MATCH($E115,'Data_SA'!$1:$1,0))-1),""))</f>
        <v/>
      </c>
      <c r="U115" s="10">
        <f>IFERROR(INDEX('Data_NSA'!$A:$OK,MATCH(U$2,'Data_NSA'!$A:$A,0),MATCH($D115,'Data_NSA'!$1:$1,0)),"")</f>
        <v/>
      </c>
      <c r="V115" s="10">
        <f>IF($E115="","",IFERROR(INDEX('Data_SA'!$A:$LO,MATCH(U$2,'Data_SA'!$A:$A,0),MATCH($E115,'Data_SA'!$1:$1,0)),""))</f>
        <v/>
      </c>
      <c r="W115" s="7">
        <f>IF($E115="","",IFERROR(INDEX('Data_SA'!$A:$LO,MATCH(U$2,'Data_SA'!$A:$A,0),MATCH($E115,'Data_SA'!$1:$1,0))/INDEX('Data_SA'!$A:$LO,MATCH(EDATE(U$2,-1),'Data_SA'!$A:$A,0),MATCH($E115,'Data_SA'!$1:$1,0))-1,""))</f>
        <v/>
      </c>
      <c r="X115" s="7">
        <f>IFERROR(INDEX('Data_NSA'!$A:$OK,MATCH(U$2,'Data_NSA'!$A:$A,0),MATCH($D115,'Data_NSA'!$1:$1,0))/INDEX('Data_NSA'!$A:$OK,MATCH(EDATE(U$2,-12),'Data_NSA'!$A:$A,0),MATCH($D115,'Data_NSA'!$1:$1,0))-1,"")</f>
        <v/>
      </c>
      <c r="Y115" s="10">
        <f>IFERROR(INDEX('Weights'!$G:$I,MATCH($A115,'Weights'!$A:$A,0),MATCH(U$2,'Weights'!$G$1:$I$1,0)),"")</f>
        <v/>
      </c>
      <c r="Z115" s="10">
        <f>IF($E115="","",IFERROR(100*(INDEX('Weights'!$D:$D,MATCH($A115,'Weights'!$A:$A,0))*(INDEX('Data_NSA'!$A:$OK,MATCH(EDATE(U$2,-1),'Data_NSA'!$A:$A,0),MATCH($D115,'Data_NSA'!$1:$1,0))/INDEX('Data_NSA'!$A:$OK,MATCH(INDEX('Weights'!$E:$E,MATCH($A115,'Weights'!$A:$A,0)),'Data_NSA'!$A:$A,0),MATCH($D115,'Data_NSA'!$1:$1,0))))/(100*(INDEX('Data_NSA'!$A:$OK,MATCH(EDATE(U$2,-1),'Data_NSA'!$A:$A,0),MATCH("CUUR0000SA0",'Data_NSA'!$1:$1,0))/INDEX('Data_NSA'!$A:$OK,MATCH(INDEX('Weights'!$E:$E,MATCH($A115,'Weights'!$A:$A,0)),'Data_NSA'!$A:$A,0),MATCH("CUUR0000SA0",'Data_NSA'!$1:$1,0))))*(INDEX('Data_SA'!$A:$LO,MATCH(U$2,'Data_SA'!$A:$A,0),MATCH($E115,'Data_SA'!$1:$1,0))/INDEX('Data_SA'!$A:$LO,MATCH(EDATE(U$2,-1),'Data_SA'!$A:$A,0),MATCH($E115,'Data_SA'!$1:$1,0))-1),""))</f>
        <v/>
      </c>
    </row>
    <row r="116">
      <c r="A116" s="3" t="inlineStr">
        <is>
          <t>SS18043</t>
        </is>
      </c>
      <c r="B116" s="3" t="inlineStr">
        <is>
          <t>Sauces and gravies</t>
        </is>
      </c>
      <c r="C116" s="3" t="inlineStr">
        <is>
          <t>SEFT04</t>
        </is>
      </c>
      <c r="D116" s="3" t="inlineStr">
        <is>
          <t>CUUR0000SS18043</t>
        </is>
      </c>
      <c r="E116" s="3" t="inlineStr">
        <is>
          <t>CUSR0000SS18043</t>
        </is>
      </c>
      <c r="F116" s="3" t="inlineStr">
        <is>
          <t>GM</t>
        </is>
      </c>
      <c r="G116" s="3" t="inlineStr">
        <is>
          <t>monthly in New York/Los Angeles/Chicago; often bimonthly elsewhere</t>
        </is>
      </c>
      <c r="H116" s="10">
        <f>IFERROR(INDEX(Weights!$D:$D,MATCH($A116,Weights!$A:$A,0)),"")</f>
        <v/>
      </c>
      <c r="I116" s="10">
        <f>IFERROR(INDEX('Data_NSA'!$A:$OK,MATCH(I$2,'Data_NSA'!$A:$A,0),MATCH($D116,'Data_NSA'!$1:$1,0)),"")</f>
        <v/>
      </c>
      <c r="J116" s="10">
        <f>IF($E116="","",IFERROR(INDEX('Data_SA'!$A:$LO,MATCH(I$2,'Data_SA'!$A:$A,0),MATCH($E116,'Data_SA'!$1:$1,0)),""))</f>
        <v/>
      </c>
      <c r="K116" s="7">
        <f>IF($E116="","",IFERROR(INDEX('Data_SA'!$A:$LO,MATCH(I$2,'Data_SA'!$A:$A,0),MATCH($E116,'Data_SA'!$1:$1,0))/INDEX('Data_SA'!$A:$LO,MATCH(EDATE(I$2,-1),'Data_SA'!$A:$A,0),MATCH($E116,'Data_SA'!$1:$1,0))-1,""))</f>
        <v/>
      </c>
      <c r="L116" s="7">
        <f>IFERROR(INDEX('Data_NSA'!$A:$OK,MATCH(I$2,'Data_NSA'!$A:$A,0),MATCH($D116,'Data_NSA'!$1:$1,0))/INDEX('Data_NSA'!$A:$OK,MATCH(EDATE(I$2,-12),'Data_NSA'!$A:$A,0),MATCH($D116,'Data_NSA'!$1:$1,0))-1,"")</f>
        <v/>
      </c>
      <c r="M116" s="10">
        <f>IFERROR(INDEX('Weights'!$G:$I,MATCH($A116,'Weights'!$A:$A,0),MATCH(I$2,'Weights'!$G$1:$I$1,0)),"")</f>
        <v/>
      </c>
      <c r="N116" s="10">
        <f>IF($E116="","",IFERROR(100*(INDEX('Weights'!$D:$D,MATCH($A116,'Weights'!$A:$A,0))*(INDEX('Data_NSA'!$A:$OK,MATCH(EDATE(I$2,-1),'Data_NSA'!$A:$A,0),MATCH($D116,'Data_NSA'!$1:$1,0))/INDEX('Data_NSA'!$A:$OK,MATCH(INDEX('Weights'!$E:$E,MATCH($A116,'Weights'!$A:$A,0)),'Data_NSA'!$A:$A,0),MATCH($D116,'Data_NSA'!$1:$1,0))))/(100*(INDEX('Data_NSA'!$A:$OK,MATCH(EDATE(I$2,-1),'Data_NSA'!$A:$A,0),MATCH("CUUR0000SA0",'Data_NSA'!$1:$1,0))/INDEX('Data_NSA'!$A:$OK,MATCH(INDEX('Weights'!$E:$E,MATCH($A116,'Weights'!$A:$A,0)),'Data_NSA'!$A:$A,0),MATCH("CUUR0000SA0",'Data_NSA'!$1:$1,0))))*(INDEX('Data_SA'!$A:$LO,MATCH(I$2,'Data_SA'!$A:$A,0),MATCH($E116,'Data_SA'!$1:$1,0))/INDEX('Data_SA'!$A:$LO,MATCH(EDATE(I$2,-1),'Data_SA'!$A:$A,0),MATCH($E116,'Data_SA'!$1:$1,0))-1),""))</f>
        <v/>
      </c>
      <c r="O116" s="10">
        <f>IFERROR(INDEX('Data_NSA'!$A:$OK,MATCH(O$2,'Data_NSA'!$A:$A,0),MATCH($D116,'Data_NSA'!$1:$1,0)),"")</f>
        <v/>
      </c>
      <c r="P116" s="10">
        <f>IF($E116="","",IFERROR(INDEX('Data_SA'!$A:$LO,MATCH(O$2,'Data_SA'!$A:$A,0),MATCH($E116,'Data_SA'!$1:$1,0)),""))</f>
        <v/>
      </c>
      <c r="Q116" s="7">
        <f>IF($E116="","",IFERROR(INDEX('Data_SA'!$A:$LO,MATCH(O$2,'Data_SA'!$A:$A,0),MATCH($E116,'Data_SA'!$1:$1,0))/INDEX('Data_SA'!$A:$LO,MATCH(EDATE(O$2,-1),'Data_SA'!$A:$A,0),MATCH($E116,'Data_SA'!$1:$1,0))-1,""))</f>
        <v/>
      </c>
      <c r="R116" s="7">
        <f>IFERROR(INDEX('Data_NSA'!$A:$OK,MATCH(O$2,'Data_NSA'!$A:$A,0),MATCH($D116,'Data_NSA'!$1:$1,0))/INDEX('Data_NSA'!$A:$OK,MATCH(EDATE(O$2,-12),'Data_NSA'!$A:$A,0),MATCH($D116,'Data_NSA'!$1:$1,0))-1,"")</f>
        <v/>
      </c>
      <c r="S116" s="10">
        <f>IFERROR(INDEX('Weights'!$G:$I,MATCH($A116,'Weights'!$A:$A,0),MATCH(O$2,'Weights'!$G$1:$I$1,0)),"")</f>
        <v/>
      </c>
      <c r="T116" s="10">
        <f>IF($E116="","",IFERROR(100*(INDEX('Weights'!$D:$D,MATCH($A116,'Weights'!$A:$A,0))*(INDEX('Data_NSA'!$A:$OK,MATCH(EDATE(O$2,-1),'Data_NSA'!$A:$A,0),MATCH($D116,'Data_NSA'!$1:$1,0))/INDEX('Data_NSA'!$A:$OK,MATCH(INDEX('Weights'!$E:$E,MATCH($A116,'Weights'!$A:$A,0)),'Data_NSA'!$A:$A,0),MATCH($D116,'Data_NSA'!$1:$1,0))))/(100*(INDEX('Data_NSA'!$A:$OK,MATCH(EDATE(O$2,-1),'Data_NSA'!$A:$A,0),MATCH("CUUR0000SA0",'Data_NSA'!$1:$1,0))/INDEX('Data_NSA'!$A:$OK,MATCH(INDEX('Weights'!$E:$E,MATCH($A116,'Weights'!$A:$A,0)),'Data_NSA'!$A:$A,0),MATCH("CUUR0000SA0",'Data_NSA'!$1:$1,0))))*(INDEX('Data_SA'!$A:$LO,MATCH(O$2,'Data_SA'!$A:$A,0),MATCH($E116,'Data_SA'!$1:$1,0))/INDEX('Data_SA'!$A:$LO,MATCH(EDATE(O$2,-1),'Data_SA'!$A:$A,0),MATCH($E116,'Data_SA'!$1:$1,0))-1),""))</f>
        <v/>
      </c>
      <c r="U116" s="10">
        <f>IFERROR(INDEX('Data_NSA'!$A:$OK,MATCH(U$2,'Data_NSA'!$A:$A,0),MATCH($D116,'Data_NSA'!$1:$1,0)),"")</f>
        <v/>
      </c>
      <c r="V116" s="10">
        <f>IF($E116="","",IFERROR(INDEX('Data_SA'!$A:$LO,MATCH(U$2,'Data_SA'!$A:$A,0),MATCH($E116,'Data_SA'!$1:$1,0)),""))</f>
        <v/>
      </c>
      <c r="W116" s="7">
        <f>IF($E116="","",IFERROR(INDEX('Data_SA'!$A:$LO,MATCH(U$2,'Data_SA'!$A:$A,0),MATCH($E116,'Data_SA'!$1:$1,0))/INDEX('Data_SA'!$A:$LO,MATCH(EDATE(U$2,-1),'Data_SA'!$A:$A,0),MATCH($E116,'Data_SA'!$1:$1,0))-1,""))</f>
        <v/>
      </c>
      <c r="X116" s="7">
        <f>IFERROR(INDEX('Data_NSA'!$A:$OK,MATCH(U$2,'Data_NSA'!$A:$A,0),MATCH($D116,'Data_NSA'!$1:$1,0))/INDEX('Data_NSA'!$A:$OK,MATCH(EDATE(U$2,-12),'Data_NSA'!$A:$A,0),MATCH($D116,'Data_NSA'!$1:$1,0))-1,"")</f>
        <v/>
      </c>
      <c r="Y116" s="10">
        <f>IFERROR(INDEX('Weights'!$G:$I,MATCH($A116,'Weights'!$A:$A,0),MATCH(U$2,'Weights'!$G$1:$I$1,0)),"")</f>
        <v/>
      </c>
      <c r="Z116" s="10">
        <f>IF($E116="","",IFERROR(100*(INDEX('Weights'!$D:$D,MATCH($A116,'Weights'!$A:$A,0))*(INDEX('Data_NSA'!$A:$OK,MATCH(EDATE(U$2,-1),'Data_NSA'!$A:$A,0),MATCH($D116,'Data_NSA'!$1:$1,0))/INDEX('Data_NSA'!$A:$OK,MATCH(INDEX('Weights'!$E:$E,MATCH($A116,'Weights'!$A:$A,0)),'Data_NSA'!$A:$A,0),MATCH($D116,'Data_NSA'!$1:$1,0))))/(100*(INDEX('Data_NSA'!$A:$OK,MATCH(EDATE(U$2,-1),'Data_NSA'!$A:$A,0),MATCH("CUUR0000SA0",'Data_NSA'!$1:$1,0))/INDEX('Data_NSA'!$A:$OK,MATCH(INDEX('Weights'!$E:$E,MATCH($A116,'Weights'!$A:$A,0)),'Data_NSA'!$A:$A,0),MATCH("CUUR0000SA0",'Data_NSA'!$1:$1,0))))*(INDEX('Data_SA'!$A:$LO,MATCH(U$2,'Data_SA'!$A:$A,0),MATCH($E116,'Data_SA'!$1:$1,0))/INDEX('Data_SA'!$A:$LO,MATCH(EDATE(U$2,-1),'Data_SA'!$A:$A,0),MATCH($E116,'Data_SA'!$1:$1,0))-1),""))</f>
        <v/>
      </c>
    </row>
    <row r="117">
      <c r="A117" s="3" t="inlineStr">
        <is>
          <t>SS1804B</t>
        </is>
      </c>
      <c r="B117" s="3" t="inlineStr">
        <is>
          <t>Other condiments</t>
        </is>
      </c>
      <c r="C117" s="3" t="inlineStr">
        <is>
          <t>SEFT04</t>
        </is>
      </c>
      <c r="D117" s="3" t="inlineStr">
        <is>
          <t>CUUR0000SS1804B</t>
        </is>
      </c>
      <c r="E117" s="3" t="inlineStr">
        <is>
          <t>CUSR0000SS1804B</t>
        </is>
      </c>
      <c r="F117" s="3" t="inlineStr">
        <is>
          <t>GM</t>
        </is>
      </c>
      <c r="G117" s="3" t="inlineStr">
        <is>
          <t>monthly in New York/Los Angeles/Chicago; often bimonthly elsewhere</t>
        </is>
      </c>
      <c r="H117" s="10">
        <f>IFERROR(INDEX(Weights!$D:$D,MATCH($A117,Weights!$A:$A,0)),"")</f>
        <v/>
      </c>
      <c r="I117" s="10">
        <f>IFERROR(INDEX('Data_NSA'!$A:$OK,MATCH(I$2,'Data_NSA'!$A:$A,0),MATCH($D117,'Data_NSA'!$1:$1,0)),"")</f>
        <v/>
      </c>
      <c r="J117" s="10">
        <f>IF($E117="","",IFERROR(INDEX('Data_SA'!$A:$LO,MATCH(I$2,'Data_SA'!$A:$A,0),MATCH($E117,'Data_SA'!$1:$1,0)),""))</f>
        <v/>
      </c>
      <c r="K117" s="7">
        <f>IF($E117="","",IFERROR(INDEX('Data_SA'!$A:$LO,MATCH(I$2,'Data_SA'!$A:$A,0),MATCH($E117,'Data_SA'!$1:$1,0))/INDEX('Data_SA'!$A:$LO,MATCH(EDATE(I$2,-1),'Data_SA'!$A:$A,0),MATCH($E117,'Data_SA'!$1:$1,0))-1,""))</f>
        <v/>
      </c>
      <c r="L117" s="7">
        <f>IFERROR(INDEX('Data_NSA'!$A:$OK,MATCH(I$2,'Data_NSA'!$A:$A,0),MATCH($D117,'Data_NSA'!$1:$1,0))/INDEX('Data_NSA'!$A:$OK,MATCH(EDATE(I$2,-12),'Data_NSA'!$A:$A,0),MATCH($D117,'Data_NSA'!$1:$1,0))-1,"")</f>
        <v/>
      </c>
      <c r="M117" s="10">
        <f>IFERROR(INDEX('Weights'!$G:$I,MATCH($A117,'Weights'!$A:$A,0),MATCH(I$2,'Weights'!$G$1:$I$1,0)),"")</f>
        <v/>
      </c>
      <c r="N117" s="10">
        <f>IF($E117="","",IFERROR(100*(INDEX('Weights'!$D:$D,MATCH($A117,'Weights'!$A:$A,0))*(INDEX('Data_NSA'!$A:$OK,MATCH(EDATE(I$2,-1),'Data_NSA'!$A:$A,0),MATCH($D117,'Data_NSA'!$1:$1,0))/INDEX('Data_NSA'!$A:$OK,MATCH(INDEX('Weights'!$E:$E,MATCH($A117,'Weights'!$A:$A,0)),'Data_NSA'!$A:$A,0),MATCH($D117,'Data_NSA'!$1:$1,0))))/(100*(INDEX('Data_NSA'!$A:$OK,MATCH(EDATE(I$2,-1),'Data_NSA'!$A:$A,0),MATCH("CUUR0000SA0",'Data_NSA'!$1:$1,0))/INDEX('Data_NSA'!$A:$OK,MATCH(INDEX('Weights'!$E:$E,MATCH($A117,'Weights'!$A:$A,0)),'Data_NSA'!$A:$A,0),MATCH("CUUR0000SA0",'Data_NSA'!$1:$1,0))))*(INDEX('Data_SA'!$A:$LO,MATCH(I$2,'Data_SA'!$A:$A,0),MATCH($E117,'Data_SA'!$1:$1,0))/INDEX('Data_SA'!$A:$LO,MATCH(EDATE(I$2,-1),'Data_SA'!$A:$A,0),MATCH($E117,'Data_SA'!$1:$1,0))-1),""))</f>
        <v/>
      </c>
      <c r="O117" s="10">
        <f>IFERROR(INDEX('Data_NSA'!$A:$OK,MATCH(O$2,'Data_NSA'!$A:$A,0),MATCH($D117,'Data_NSA'!$1:$1,0)),"")</f>
        <v/>
      </c>
      <c r="P117" s="10">
        <f>IF($E117="","",IFERROR(INDEX('Data_SA'!$A:$LO,MATCH(O$2,'Data_SA'!$A:$A,0),MATCH($E117,'Data_SA'!$1:$1,0)),""))</f>
        <v/>
      </c>
      <c r="Q117" s="7">
        <f>IF($E117="","",IFERROR(INDEX('Data_SA'!$A:$LO,MATCH(O$2,'Data_SA'!$A:$A,0),MATCH($E117,'Data_SA'!$1:$1,0))/INDEX('Data_SA'!$A:$LO,MATCH(EDATE(O$2,-1),'Data_SA'!$A:$A,0),MATCH($E117,'Data_SA'!$1:$1,0))-1,""))</f>
        <v/>
      </c>
      <c r="R117" s="7">
        <f>IFERROR(INDEX('Data_NSA'!$A:$OK,MATCH(O$2,'Data_NSA'!$A:$A,0),MATCH($D117,'Data_NSA'!$1:$1,0))/INDEX('Data_NSA'!$A:$OK,MATCH(EDATE(O$2,-12),'Data_NSA'!$A:$A,0),MATCH($D117,'Data_NSA'!$1:$1,0))-1,"")</f>
        <v/>
      </c>
      <c r="S117" s="10">
        <f>IFERROR(INDEX('Weights'!$G:$I,MATCH($A117,'Weights'!$A:$A,0),MATCH(O$2,'Weights'!$G$1:$I$1,0)),"")</f>
        <v/>
      </c>
      <c r="T117" s="10">
        <f>IF($E117="","",IFERROR(100*(INDEX('Weights'!$D:$D,MATCH($A117,'Weights'!$A:$A,0))*(INDEX('Data_NSA'!$A:$OK,MATCH(EDATE(O$2,-1),'Data_NSA'!$A:$A,0),MATCH($D117,'Data_NSA'!$1:$1,0))/INDEX('Data_NSA'!$A:$OK,MATCH(INDEX('Weights'!$E:$E,MATCH($A117,'Weights'!$A:$A,0)),'Data_NSA'!$A:$A,0),MATCH($D117,'Data_NSA'!$1:$1,0))))/(100*(INDEX('Data_NSA'!$A:$OK,MATCH(EDATE(O$2,-1),'Data_NSA'!$A:$A,0),MATCH("CUUR0000SA0",'Data_NSA'!$1:$1,0))/INDEX('Data_NSA'!$A:$OK,MATCH(INDEX('Weights'!$E:$E,MATCH($A117,'Weights'!$A:$A,0)),'Data_NSA'!$A:$A,0),MATCH("CUUR0000SA0",'Data_NSA'!$1:$1,0))))*(INDEX('Data_SA'!$A:$LO,MATCH(O$2,'Data_SA'!$A:$A,0),MATCH($E117,'Data_SA'!$1:$1,0))/INDEX('Data_SA'!$A:$LO,MATCH(EDATE(O$2,-1),'Data_SA'!$A:$A,0),MATCH($E117,'Data_SA'!$1:$1,0))-1),""))</f>
        <v/>
      </c>
      <c r="U117" s="10">
        <f>IFERROR(INDEX('Data_NSA'!$A:$OK,MATCH(U$2,'Data_NSA'!$A:$A,0),MATCH($D117,'Data_NSA'!$1:$1,0)),"")</f>
        <v/>
      </c>
      <c r="V117" s="10">
        <f>IF($E117="","",IFERROR(INDEX('Data_SA'!$A:$LO,MATCH(U$2,'Data_SA'!$A:$A,0),MATCH($E117,'Data_SA'!$1:$1,0)),""))</f>
        <v/>
      </c>
      <c r="W117" s="7">
        <f>IF($E117="","",IFERROR(INDEX('Data_SA'!$A:$LO,MATCH(U$2,'Data_SA'!$A:$A,0),MATCH($E117,'Data_SA'!$1:$1,0))/INDEX('Data_SA'!$A:$LO,MATCH(EDATE(U$2,-1),'Data_SA'!$A:$A,0),MATCH($E117,'Data_SA'!$1:$1,0))-1,""))</f>
        <v/>
      </c>
      <c r="X117" s="7">
        <f>IFERROR(INDEX('Data_NSA'!$A:$OK,MATCH(U$2,'Data_NSA'!$A:$A,0),MATCH($D117,'Data_NSA'!$1:$1,0))/INDEX('Data_NSA'!$A:$OK,MATCH(EDATE(U$2,-12),'Data_NSA'!$A:$A,0),MATCH($D117,'Data_NSA'!$1:$1,0))-1,"")</f>
        <v/>
      </c>
      <c r="Y117" s="10">
        <f>IFERROR(INDEX('Weights'!$G:$I,MATCH($A117,'Weights'!$A:$A,0),MATCH(U$2,'Weights'!$G$1:$I$1,0)),"")</f>
        <v/>
      </c>
      <c r="Z117" s="10">
        <f>IF($E117="","",IFERROR(100*(INDEX('Weights'!$D:$D,MATCH($A117,'Weights'!$A:$A,0))*(INDEX('Data_NSA'!$A:$OK,MATCH(EDATE(U$2,-1),'Data_NSA'!$A:$A,0),MATCH($D117,'Data_NSA'!$1:$1,0))/INDEX('Data_NSA'!$A:$OK,MATCH(INDEX('Weights'!$E:$E,MATCH($A117,'Weights'!$A:$A,0)),'Data_NSA'!$A:$A,0),MATCH($D117,'Data_NSA'!$1:$1,0))))/(100*(INDEX('Data_NSA'!$A:$OK,MATCH(EDATE(U$2,-1),'Data_NSA'!$A:$A,0),MATCH("CUUR0000SA0",'Data_NSA'!$1:$1,0))/INDEX('Data_NSA'!$A:$OK,MATCH(INDEX('Weights'!$E:$E,MATCH($A117,'Weights'!$A:$A,0)),'Data_NSA'!$A:$A,0),MATCH("CUUR0000SA0",'Data_NSA'!$1:$1,0))))*(INDEX('Data_SA'!$A:$LO,MATCH(U$2,'Data_SA'!$A:$A,0),MATCH($E117,'Data_SA'!$1:$1,0))/INDEX('Data_SA'!$A:$LO,MATCH(EDATE(U$2,-1),'Data_SA'!$A:$A,0),MATCH($E117,'Data_SA'!$1:$1,0))-1),""))</f>
        <v/>
      </c>
    </row>
    <row r="118">
      <c r="A118" s="3" t="inlineStr">
        <is>
          <t>SEFT05</t>
        </is>
      </c>
      <c r="B118" s="3" t="inlineStr">
        <is>
          <t>Baby food and formula</t>
        </is>
      </c>
      <c r="C118" s="3" t="inlineStr">
        <is>
          <t>SEFT</t>
        </is>
      </c>
      <c r="D118" s="3" t="inlineStr">
        <is>
          <t>CUUR0000SEFT05</t>
        </is>
      </c>
      <c r="E118" s="3" t="inlineStr"/>
      <c r="F118" s="3" t="inlineStr">
        <is>
          <t>GM</t>
        </is>
      </c>
      <c r="G118" s="3" t="inlineStr">
        <is>
          <t>monthly food collection where sampled</t>
        </is>
      </c>
      <c r="H118" s="10">
        <f>IFERROR(INDEX(Weights!$D:$D,MATCH($A118,Weights!$A:$A,0)),"")</f>
        <v/>
      </c>
      <c r="I118" s="10">
        <f>IFERROR(INDEX('Data_NSA'!$A:$OK,MATCH(I$2,'Data_NSA'!$A:$A,0),MATCH($D118,'Data_NSA'!$1:$1,0)),"")</f>
        <v/>
      </c>
      <c r="J118" s="10">
        <f>IF($E118="","",IFERROR(INDEX('Data_SA'!$A:$LO,MATCH(I$2,'Data_SA'!$A:$A,0),MATCH($E118,'Data_SA'!$1:$1,0)),""))</f>
        <v/>
      </c>
      <c r="K118" s="7">
        <f>IF($E118="","",IFERROR(INDEX('Data_SA'!$A:$LO,MATCH(I$2,'Data_SA'!$A:$A,0),MATCH($E118,'Data_SA'!$1:$1,0))/INDEX('Data_SA'!$A:$LO,MATCH(EDATE(I$2,-1),'Data_SA'!$A:$A,0),MATCH($E118,'Data_SA'!$1:$1,0))-1,""))</f>
        <v/>
      </c>
      <c r="L118" s="7">
        <f>IFERROR(INDEX('Data_NSA'!$A:$OK,MATCH(I$2,'Data_NSA'!$A:$A,0),MATCH($D118,'Data_NSA'!$1:$1,0))/INDEX('Data_NSA'!$A:$OK,MATCH(EDATE(I$2,-12),'Data_NSA'!$A:$A,0),MATCH($D118,'Data_NSA'!$1:$1,0))-1,"")</f>
        <v/>
      </c>
      <c r="M118" s="10">
        <f>IFERROR(INDEX('Weights'!$G:$I,MATCH($A118,'Weights'!$A:$A,0),MATCH(I$2,'Weights'!$G$1:$I$1,0)),"")</f>
        <v/>
      </c>
      <c r="N118" s="10">
        <f>IF($E118="","",IFERROR(100*(INDEX('Weights'!$D:$D,MATCH($A118,'Weights'!$A:$A,0))*(INDEX('Data_NSA'!$A:$OK,MATCH(EDATE(I$2,-1),'Data_NSA'!$A:$A,0),MATCH($D118,'Data_NSA'!$1:$1,0))/INDEX('Data_NSA'!$A:$OK,MATCH(INDEX('Weights'!$E:$E,MATCH($A118,'Weights'!$A:$A,0)),'Data_NSA'!$A:$A,0),MATCH($D118,'Data_NSA'!$1:$1,0))))/(100*(INDEX('Data_NSA'!$A:$OK,MATCH(EDATE(I$2,-1),'Data_NSA'!$A:$A,0),MATCH("CUUR0000SA0",'Data_NSA'!$1:$1,0))/INDEX('Data_NSA'!$A:$OK,MATCH(INDEX('Weights'!$E:$E,MATCH($A118,'Weights'!$A:$A,0)),'Data_NSA'!$A:$A,0),MATCH("CUUR0000SA0",'Data_NSA'!$1:$1,0))))*(INDEX('Data_SA'!$A:$LO,MATCH(I$2,'Data_SA'!$A:$A,0),MATCH($E118,'Data_SA'!$1:$1,0))/INDEX('Data_SA'!$A:$LO,MATCH(EDATE(I$2,-1),'Data_SA'!$A:$A,0),MATCH($E118,'Data_SA'!$1:$1,0))-1),""))</f>
        <v/>
      </c>
      <c r="O118" s="10">
        <f>IFERROR(INDEX('Data_NSA'!$A:$OK,MATCH(O$2,'Data_NSA'!$A:$A,0),MATCH($D118,'Data_NSA'!$1:$1,0)),"")</f>
        <v/>
      </c>
      <c r="P118" s="10">
        <f>IF($E118="","",IFERROR(INDEX('Data_SA'!$A:$LO,MATCH(O$2,'Data_SA'!$A:$A,0),MATCH($E118,'Data_SA'!$1:$1,0)),""))</f>
        <v/>
      </c>
      <c r="Q118" s="7">
        <f>IF($E118="","",IFERROR(INDEX('Data_SA'!$A:$LO,MATCH(O$2,'Data_SA'!$A:$A,0),MATCH($E118,'Data_SA'!$1:$1,0))/INDEX('Data_SA'!$A:$LO,MATCH(EDATE(O$2,-1),'Data_SA'!$A:$A,0),MATCH($E118,'Data_SA'!$1:$1,0))-1,""))</f>
        <v/>
      </c>
      <c r="R118" s="7">
        <f>IFERROR(INDEX('Data_NSA'!$A:$OK,MATCH(O$2,'Data_NSA'!$A:$A,0),MATCH($D118,'Data_NSA'!$1:$1,0))/INDEX('Data_NSA'!$A:$OK,MATCH(EDATE(O$2,-12),'Data_NSA'!$A:$A,0),MATCH($D118,'Data_NSA'!$1:$1,0))-1,"")</f>
        <v/>
      </c>
      <c r="S118" s="10">
        <f>IFERROR(INDEX('Weights'!$G:$I,MATCH($A118,'Weights'!$A:$A,0),MATCH(O$2,'Weights'!$G$1:$I$1,0)),"")</f>
        <v/>
      </c>
      <c r="T118" s="10">
        <f>IF($E118="","",IFERROR(100*(INDEX('Weights'!$D:$D,MATCH($A118,'Weights'!$A:$A,0))*(INDEX('Data_NSA'!$A:$OK,MATCH(EDATE(O$2,-1),'Data_NSA'!$A:$A,0),MATCH($D118,'Data_NSA'!$1:$1,0))/INDEX('Data_NSA'!$A:$OK,MATCH(INDEX('Weights'!$E:$E,MATCH($A118,'Weights'!$A:$A,0)),'Data_NSA'!$A:$A,0),MATCH($D118,'Data_NSA'!$1:$1,0))))/(100*(INDEX('Data_NSA'!$A:$OK,MATCH(EDATE(O$2,-1),'Data_NSA'!$A:$A,0),MATCH("CUUR0000SA0",'Data_NSA'!$1:$1,0))/INDEX('Data_NSA'!$A:$OK,MATCH(INDEX('Weights'!$E:$E,MATCH($A118,'Weights'!$A:$A,0)),'Data_NSA'!$A:$A,0),MATCH("CUUR0000SA0",'Data_NSA'!$1:$1,0))))*(INDEX('Data_SA'!$A:$LO,MATCH(O$2,'Data_SA'!$A:$A,0),MATCH($E118,'Data_SA'!$1:$1,0))/INDEX('Data_SA'!$A:$LO,MATCH(EDATE(O$2,-1),'Data_SA'!$A:$A,0),MATCH($E118,'Data_SA'!$1:$1,0))-1),""))</f>
        <v/>
      </c>
      <c r="U118" s="10">
        <f>IFERROR(INDEX('Data_NSA'!$A:$OK,MATCH(U$2,'Data_NSA'!$A:$A,0),MATCH($D118,'Data_NSA'!$1:$1,0)),"")</f>
        <v/>
      </c>
      <c r="V118" s="10">
        <f>IF($E118="","",IFERROR(INDEX('Data_SA'!$A:$LO,MATCH(U$2,'Data_SA'!$A:$A,0),MATCH($E118,'Data_SA'!$1:$1,0)),""))</f>
        <v/>
      </c>
      <c r="W118" s="7">
        <f>IF($E118="","",IFERROR(INDEX('Data_SA'!$A:$LO,MATCH(U$2,'Data_SA'!$A:$A,0),MATCH($E118,'Data_SA'!$1:$1,0))/INDEX('Data_SA'!$A:$LO,MATCH(EDATE(U$2,-1),'Data_SA'!$A:$A,0),MATCH($E118,'Data_SA'!$1:$1,0))-1,""))</f>
        <v/>
      </c>
      <c r="X118" s="7">
        <f>IFERROR(INDEX('Data_NSA'!$A:$OK,MATCH(U$2,'Data_NSA'!$A:$A,0),MATCH($D118,'Data_NSA'!$1:$1,0))/INDEX('Data_NSA'!$A:$OK,MATCH(EDATE(U$2,-12),'Data_NSA'!$A:$A,0),MATCH($D118,'Data_NSA'!$1:$1,0))-1,"")</f>
        <v/>
      </c>
      <c r="Y118" s="10">
        <f>IFERROR(INDEX('Weights'!$G:$I,MATCH($A118,'Weights'!$A:$A,0),MATCH(U$2,'Weights'!$G$1:$I$1,0)),"")</f>
        <v/>
      </c>
      <c r="Z118" s="10">
        <f>IF($E118="","",IFERROR(100*(INDEX('Weights'!$D:$D,MATCH($A118,'Weights'!$A:$A,0))*(INDEX('Data_NSA'!$A:$OK,MATCH(EDATE(U$2,-1),'Data_NSA'!$A:$A,0),MATCH($D118,'Data_NSA'!$1:$1,0))/INDEX('Data_NSA'!$A:$OK,MATCH(INDEX('Weights'!$E:$E,MATCH($A118,'Weights'!$A:$A,0)),'Data_NSA'!$A:$A,0),MATCH($D118,'Data_NSA'!$1:$1,0))))/(100*(INDEX('Data_NSA'!$A:$OK,MATCH(EDATE(U$2,-1),'Data_NSA'!$A:$A,0),MATCH("CUUR0000SA0",'Data_NSA'!$1:$1,0))/INDEX('Data_NSA'!$A:$OK,MATCH(INDEX('Weights'!$E:$E,MATCH($A118,'Weights'!$A:$A,0)),'Data_NSA'!$A:$A,0),MATCH("CUUR0000SA0",'Data_NSA'!$1:$1,0))))*(INDEX('Data_SA'!$A:$LO,MATCH(U$2,'Data_SA'!$A:$A,0),MATCH($E118,'Data_SA'!$1:$1,0))/INDEX('Data_SA'!$A:$LO,MATCH(EDATE(U$2,-1),'Data_SA'!$A:$A,0),MATCH($E118,'Data_SA'!$1:$1,0))-1),""))</f>
        <v/>
      </c>
    </row>
    <row r="119">
      <c r="A119" s="3" t="inlineStr">
        <is>
          <t>SEFT06</t>
        </is>
      </c>
      <c r="B119" s="3" t="inlineStr">
        <is>
          <t>Other miscellaneous foods</t>
        </is>
      </c>
      <c r="C119" s="3" t="inlineStr">
        <is>
          <t>SEFT</t>
        </is>
      </c>
      <c r="D119" s="3" t="inlineStr">
        <is>
          <t>CUUR0000SEFT06</t>
        </is>
      </c>
      <c r="E119" s="3" t="inlineStr">
        <is>
          <t>CUSR0000SEFT06</t>
        </is>
      </c>
      <c r="F119" s="3" t="inlineStr">
        <is>
          <t>aggregate</t>
        </is>
      </c>
      <c r="G119" s="3" t="inlineStr">
        <is>
          <t>aggregate</t>
        </is>
      </c>
      <c r="H119" s="10">
        <f>IFERROR(INDEX(Weights!$D:$D,MATCH($A119,Weights!$A:$A,0)),"")</f>
        <v/>
      </c>
      <c r="I119" s="10">
        <f>IFERROR(INDEX('Data_NSA'!$A:$OK,MATCH(I$2,'Data_NSA'!$A:$A,0),MATCH($D119,'Data_NSA'!$1:$1,0)),"")</f>
        <v/>
      </c>
      <c r="J119" s="10">
        <f>IF($E119="","",IFERROR(INDEX('Data_SA'!$A:$LO,MATCH(I$2,'Data_SA'!$A:$A,0),MATCH($E119,'Data_SA'!$1:$1,0)),""))</f>
        <v/>
      </c>
      <c r="K119" s="7">
        <f>IF($E119="","",IFERROR(INDEX('Data_SA'!$A:$LO,MATCH(I$2,'Data_SA'!$A:$A,0),MATCH($E119,'Data_SA'!$1:$1,0))/INDEX('Data_SA'!$A:$LO,MATCH(EDATE(I$2,-1),'Data_SA'!$A:$A,0),MATCH($E119,'Data_SA'!$1:$1,0))-1,""))</f>
        <v/>
      </c>
      <c r="L119" s="7">
        <f>IFERROR(INDEX('Data_NSA'!$A:$OK,MATCH(I$2,'Data_NSA'!$A:$A,0),MATCH($D119,'Data_NSA'!$1:$1,0))/INDEX('Data_NSA'!$A:$OK,MATCH(EDATE(I$2,-12),'Data_NSA'!$A:$A,0),MATCH($D119,'Data_NSA'!$1:$1,0))-1,"")</f>
        <v/>
      </c>
      <c r="M119" s="10">
        <f>IFERROR(INDEX('Weights'!$G:$I,MATCH($A119,'Weights'!$A:$A,0),MATCH(I$2,'Weights'!$G$1:$I$1,0)),"")</f>
        <v/>
      </c>
      <c r="N119" s="10">
        <f>IF($E119="","",IFERROR(100*(INDEX('Weights'!$D:$D,MATCH($A119,'Weights'!$A:$A,0))*(INDEX('Data_NSA'!$A:$OK,MATCH(EDATE(I$2,-1),'Data_NSA'!$A:$A,0),MATCH($D119,'Data_NSA'!$1:$1,0))/INDEX('Data_NSA'!$A:$OK,MATCH(INDEX('Weights'!$E:$E,MATCH($A119,'Weights'!$A:$A,0)),'Data_NSA'!$A:$A,0),MATCH($D119,'Data_NSA'!$1:$1,0))))/(100*(INDEX('Data_NSA'!$A:$OK,MATCH(EDATE(I$2,-1),'Data_NSA'!$A:$A,0),MATCH("CUUR0000SA0",'Data_NSA'!$1:$1,0))/INDEX('Data_NSA'!$A:$OK,MATCH(INDEX('Weights'!$E:$E,MATCH($A119,'Weights'!$A:$A,0)),'Data_NSA'!$A:$A,0),MATCH("CUUR0000SA0",'Data_NSA'!$1:$1,0))))*(INDEX('Data_SA'!$A:$LO,MATCH(I$2,'Data_SA'!$A:$A,0),MATCH($E119,'Data_SA'!$1:$1,0))/INDEX('Data_SA'!$A:$LO,MATCH(EDATE(I$2,-1),'Data_SA'!$A:$A,0),MATCH($E119,'Data_SA'!$1:$1,0))-1),""))</f>
        <v/>
      </c>
      <c r="O119" s="10">
        <f>IFERROR(INDEX('Data_NSA'!$A:$OK,MATCH(O$2,'Data_NSA'!$A:$A,0),MATCH($D119,'Data_NSA'!$1:$1,0)),"")</f>
        <v/>
      </c>
      <c r="P119" s="10">
        <f>IF($E119="","",IFERROR(INDEX('Data_SA'!$A:$LO,MATCH(O$2,'Data_SA'!$A:$A,0),MATCH($E119,'Data_SA'!$1:$1,0)),""))</f>
        <v/>
      </c>
      <c r="Q119" s="7">
        <f>IF($E119="","",IFERROR(INDEX('Data_SA'!$A:$LO,MATCH(O$2,'Data_SA'!$A:$A,0),MATCH($E119,'Data_SA'!$1:$1,0))/INDEX('Data_SA'!$A:$LO,MATCH(EDATE(O$2,-1),'Data_SA'!$A:$A,0),MATCH($E119,'Data_SA'!$1:$1,0))-1,""))</f>
        <v/>
      </c>
      <c r="R119" s="7">
        <f>IFERROR(INDEX('Data_NSA'!$A:$OK,MATCH(O$2,'Data_NSA'!$A:$A,0),MATCH($D119,'Data_NSA'!$1:$1,0))/INDEX('Data_NSA'!$A:$OK,MATCH(EDATE(O$2,-12),'Data_NSA'!$A:$A,0),MATCH($D119,'Data_NSA'!$1:$1,0))-1,"")</f>
        <v/>
      </c>
      <c r="S119" s="10">
        <f>IFERROR(INDEX('Weights'!$G:$I,MATCH($A119,'Weights'!$A:$A,0),MATCH(O$2,'Weights'!$G$1:$I$1,0)),"")</f>
        <v/>
      </c>
      <c r="T119" s="10">
        <f>IF($E119="","",IFERROR(100*(INDEX('Weights'!$D:$D,MATCH($A119,'Weights'!$A:$A,0))*(INDEX('Data_NSA'!$A:$OK,MATCH(EDATE(O$2,-1),'Data_NSA'!$A:$A,0),MATCH($D119,'Data_NSA'!$1:$1,0))/INDEX('Data_NSA'!$A:$OK,MATCH(INDEX('Weights'!$E:$E,MATCH($A119,'Weights'!$A:$A,0)),'Data_NSA'!$A:$A,0),MATCH($D119,'Data_NSA'!$1:$1,0))))/(100*(INDEX('Data_NSA'!$A:$OK,MATCH(EDATE(O$2,-1),'Data_NSA'!$A:$A,0),MATCH("CUUR0000SA0",'Data_NSA'!$1:$1,0))/INDEX('Data_NSA'!$A:$OK,MATCH(INDEX('Weights'!$E:$E,MATCH($A119,'Weights'!$A:$A,0)),'Data_NSA'!$A:$A,0),MATCH("CUUR0000SA0",'Data_NSA'!$1:$1,0))))*(INDEX('Data_SA'!$A:$LO,MATCH(O$2,'Data_SA'!$A:$A,0),MATCH($E119,'Data_SA'!$1:$1,0))/INDEX('Data_SA'!$A:$LO,MATCH(EDATE(O$2,-1),'Data_SA'!$A:$A,0),MATCH($E119,'Data_SA'!$1:$1,0))-1),""))</f>
        <v/>
      </c>
      <c r="U119" s="10">
        <f>IFERROR(INDEX('Data_NSA'!$A:$OK,MATCH(U$2,'Data_NSA'!$A:$A,0),MATCH($D119,'Data_NSA'!$1:$1,0)),"")</f>
        <v/>
      </c>
      <c r="V119" s="10">
        <f>IF($E119="","",IFERROR(INDEX('Data_SA'!$A:$LO,MATCH(U$2,'Data_SA'!$A:$A,0),MATCH($E119,'Data_SA'!$1:$1,0)),""))</f>
        <v/>
      </c>
      <c r="W119" s="7">
        <f>IF($E119="","",IFERROR(INDEX('Data_SA'!$A:$LO,MATCH(U$2,'Data_SA'!$A:$A,0),MATCH($E119,'Data_SA'!$1:$1,0))/INDEX('Data_SA'!$A:$LO,MATCH(EDATE(U$2,-1),'Data_SA'!$A:$A,0),MATCH($E119,'Data_SA'!$1:$1,0))-1,""))</f>
        <v/>
      </c>
      <c r="X119" s="7">
        <f>IFERROR(INDEX('Data_NSA'!$A:$OK,MATCH(U$2,'Data_NSA'!$A:$A,0),MATCH($D119,'Data_NSA'!$1:$1,0))/INDEX('Data_NSA'!$A:$OK,MATCH(EDATE(U$2,-12),'Data_NSA'!$A:$A,0),MATCH($D119,'Data_NSA'!$1:$1,0))-1,"")</f>
        <v/>
      </c>
      <c r="Y119" s="10">
        <f>IFERROR(INDEX('Weights'!$G:$I,MATCH($A119,'Weights'!$A:$A,0),MATCH(U$2,'Weights'!$G$1:$I$1,0)),"")</f>
        <v/>
      </c>
      <c r="Z119" s="10">
        <f>IF($E119="","",IFERROR(100*(INDEX('Weights'!$D:$D,MATCH($A119,'Weights'!$A:$A,0))*(INDEX('Data_NSA'!$A:$OK,MATCH(EDATE(U$2,-1),'Data_NSA'!$A:$A,0),MATCH($D119,'Data_NSA'!$1:$1,0))/INDEX('Data_NSA'!$A:$OK,MATCH(INDEX('Weights'!$E:$E,MATCH($A119,'Weights'!$A:$A,0)),'Data_NSA'!$A:$A,0),MATCH($D119,'Data_NSA'!$1:$1,0))))/(100*(INDEX('Data_NSA'!$A:$OK,MATCH(EDATE(U$2,-1),'Data_NSA'!$A:$A,0),MATCH("CUUR0000SA0",'Data_NSA'!$1:$1,0))/INDEX('Data_NSA'!$A:$OK,MATCH(INDEX('Weights'!$E:$E,MATCH($A119,'Weights'!$A:$A,0)),'Data_NSA'!$A:$A,0),MATCH("CUUR0000SA0",'Data_NSA'!$1:$1,0))))*(INDEX('Data_SA'!$A:$LO,MATCH(U$2,'Data_SA'!$A:$A,0),MATCH($E119,'Data_SA'!$1:$1,0))/INDEX('Data_SA'!$A:$LO,MATCH(EDATE(U$2,-1),'Data_SA'!$A:$A,0),MATCH($E119,'Data_SA'!$1:$1,0))-1),""))</f>
        <v/>
      </c>
    </row>
    <row r="120">
      <c r="A120" s="3" t="inlineStr">
        <is>
          <t>SS18064</t>
        </is>
      </c>
      <c r="B120" s="3" t="inlineStr">
        <is>
          <t>Prepared salads</t>
        </is>
      </c>
      <c r="C120" s="3" t="inlineStr">
        <is>
          <t>SEFT06</t>
        </is>
      </c>
      <c r="D120" s="3" t="inlineStr">
        <is>
          <t>CUUR0000SS18064</t>
        </is>
      </c>
      <c r="E120" s="3" t="inlineStr">
        <is>
          <t>CUSR0000SS18064</t>
        </is>
      </c>
      <c r="F120" s="3" t="inlineStr">
        <is>
          <t>GM</t>
        </is>
      </c>
      <c r="G120" s="3" t="inlineStr">
        <is>
          <t>monthly in New York/Los Angeles/Chicago; often bimonthly elsewhere</t>
        </is>
      </c>
      <c r="H120" s="10">
        <f>IFERROR(INDEX(Weights!$D:$D,MATCH($A120,Weights!$A:$A,0)),"")</f>
        <v/>
      </c>
      <c r="I120" s="10">
        <f>IFERROR(INDEX('Data_NSA'!$A:$OK,MATCH(I$2,'Data_NSA'!$A:$A,0),MATCH($D120,'Data_NSA'!$1:$1,0)),"")</f>
        <v/>
      </c>
      <c r="J120" s="10">
        <f>IF($E120="","",IFERROR(INDEX('Data_SA'!$A:$LO,MATCH(I$2,'Data_SA'!$A:$A,0),MATCH($E120,'Data_SA'!$1:$1,0)),""))</f>
        <v/>
      </c>
      <c r="K120" s="7">
        <f>IF($E120="","",IFERROR(INDEX('Data_SA'!$A:$LO,MATCH(I$2,'Data_SA'!$A:$A,0),MATCH($E120,'Data_SA'!$1:$1,0))/INDEX('Data_SA'!$A:$LO,MATCH(EDATE(I$2,-1),'Data_SA'!$A:$A,0),MATCH($E120,'Data_SA'!$1:$1,0))-1,""))</f>
        <v/>
      </c>
      <c r="L120" s="7">
        <f>IFERROR(INDEX('Data_NSA'!$A:$OK,MATCH(I$2,'Data_NSA'!$A:$A,0),MATCH($D120,'Data_NSA'!$1:$1,0))/INDEX('Data_NSA'!$A:$OK,MATCH(EDATE(I$2,-12),'Data_NSA'!$A:$A,0),MATCH($D120,'Data_NSA'!$1:$1,0))-1,"")</f>
        <v/>
      </c>
      <c r="M120" s="10">
        <f>IFERROR(INDEX('Weights'!$G:$I,MATCH($A120,'Weights'!$A:$A,0),MATCH(I$2,'Weights'!$G$1:$I$1,0)),"")</f>
        <v/>
      </c>
      <c r="N120" s="10">
        <f>IF($E120="","",IFERROR(100*(INDEX('Weights'!$D:$D,MATCH($A120,'Weights'!$A:$A,0))*(INDEX('Data_NSA'!$A:$OK,MATCH(EDATE(I$2,-1),'Data_NSA'!$A:$A,0),MATCH($D120,'Data_NSA'!$1:$1,0))/INDEX('Data_NSA'!$A:$OK,MATCH(INDEX('Weights'!$E:$E,MATCH($A120,'Weights'!$A:$A,0)),'Data_NSA'!$A:$A,0),MATCH($D120,'Data_NSA'!$1:$1,0))))/(100*(INDEX('Data_NSA'!$A:$OK,MATCH(EDATE(I$2,-1),'Data_NSA'!$A:$A,0),MATCH("CUUR0000SA0",'Data_NSA'!$1:$1,0))/INDEX('Data_NSA'!$A:$OK,MATCH(INDEX('Weights'!$E:$E,MATCH($A120,'Weights'!$A:$A,0)),'Data_NSA'!$A:$A,0),MATCH("CUUR0000SA0",'Data_NSA'!$1:$1,0))))*(INDEX('Data_SA'!$A:$LO,MATCH(I$2,'Data_SA'!$A:$A,0),MATCH($E120,'Data_SA'!$1:$1,0))/INDEX('Data_SA'!$A:$LO,MATCH(EDATE(I$2,-1),'Data_SA'!$A:$A,0),MATCH($E120,'Data_SA'!$1:$1,0))-1),""))</f>
        <v/>
      </c>
      <c r="O120" s="10">
        <f>IFERROR(INDEX('Data_NSA'!$A:$OK,MATCH(O$2,'Data_NSA'!$A:$A,0),MATCH($D120,'Data_NSA'!$1:$1,0)),"")</f>
        <v/>
      </c>
      <c r="P120" s="10">
        <f>IF($E120="","",IFERROR(INDEX('Data_SA'!$A:$LO,MATCH(O$2,'Data_SA'!$A:$A,0),MATCH($E120,'Data_SA'!$1:$1,0)),""))</f>
        <v/>
      </c>
      <c r="Q120" s="7">
        <f>IF($E120="","",IFERROR(INDEX('Data_SA'!$A:$LO,MATCH(O$2,'Data_SA'!$A:$A,0),MATCH($E120,'Data_SA'!$1:$1,0))/INDEX('Data_SA'!$A:$LO,MATCH(EDATE(O$2,-1),'Data_SA'!$A:$A,0),MATCH($E120,'Data_SA'!$1:$1,0))-1,""))</f>
        <v/>
      </c>
      <c r="R120" s="7">
        <f>IFERROR(INDEX('Data_NSA'!$A:$OK,MATCH(O$2,'Data_NSA'!$A:$A,0),MATCH($D120,'Data_NSA'!$1:$1,0))/INDEX('Data_NSA'!$A:$OK,MATCH(EDATE(O$2,-12),'Data_NSA'!$A:$A,0),MATCH($D120,'Data_NSA'!$1:$1,0))-1,"")</f>
        <v/>
      </c>
      <c r="S120" s="10">
        <f>IFERROR(INDEX('Weights'!$G:$I,MATCH($A120,'Weights'!$A:$A,0),MATCH(O$2,'Weights'!$G$1:$I$1,0)),"")</f>
        <v/>
      </c>
      <c r="T120" s="10">
        <f>IF($E120="","",IFERROR(100*(INDEX('Weights'!$D:$D,MATCH($A120,'Weights'!$A:$A,0))*(INDEX('Data_NSA'!$A:$OK,MATCH(EDATE(O$2,-1),'Data_NSA'!$A:$A,0),MATCH($D120,'Data_NSA'!$1:$1,0))/INDEX('Data_NSA'!$A:$OK,MATCH(INDEX('Weights'!$E:$E,MATCH($A120,'Weights'!$A:$A,0)),'Data_NSA'!$A:$A,0),MATCH($D120,'Data_NSA'!$1:$1,0))))/(100*(INDEX('Data_NSA'!$A:$OK,MATCH(EDATE(O$2,-1),'Data_NSA'!$A:$A,0),MATCH("CUUR0000SA0",'Data_NSA'!$1:$1,0))/INDEX('Data_NSA'!$A:$OK,MATCH(INDEX('Weights'!$E:$E,MATCH($A120,'Weights'!$A:$A,0)),'Data_NSA'!$A:$A,0),MATCH("CUUR0000SA0",'Data_NSA'!$1:$1,0))))*(INDEX('Data_SA'!$A:$LO,MATCH(O$2,'Data_SA'!$A:$A,0),MATCH($E120,'Data_SA'!$1:$1,0))/INDEX('Data_SA'!$A:$LO,MATCH(EDATE(O$2,-1),'Data_SA'!$A:$A,0),MATCH($E120,'Data_SA'!$1:$1,0))-1),""))</f>
        <v/>
      </c>
      <c r="U120" s="10">
        <f>IFERROR(INDEX('Data_NSA'!$A:$OK,MATCH(U$2,'Data_NSA'!$A:$A,0),MATCH($D120,'Data_NSA'!$1:$1,0)),"")</f>
        <v/>
      </c>
      <c r="V120" s="10">
        <f>IF($E120="","",IFERROR(INDEX('Data_SA'!$A:$LO,MATCH(U$2,'Data_SA'!$A:$A,0),MATCH($E120,'Data_SA'!$1:$1,0)),""))</f>
        <v/>
      </c>
      <c r="W120" s="7">
        <f>IF($E120="","",IFERROR(INDEX('Data_SA'!$A:$LO,MATCH(U$2,'Data_SA'!$A:$A,0),MATCH($E120,'Data_SA'!$1:$1,0))/INDEX('Data_SA'!$A:$LO,MATCH(EDATE(U$2,-1),'Data_SA'!$A:$A,0),MATCH($E120,'Data_SA'!$1:$1,0))-1,""))</f>
        <v/>
      </c>
      <c r="X120" s="7">
        <f>IFERROR(INDEX('Data_NSA'!$A:$OK,MATCH(U$2,'Data_NSA'!$A:$A,0),MATCH($D120,'Data_NSA'!$1:$1,0))/INDEX('Data_NSA'!$A:$OK,MATCH(EDATE(U$2,-12),'Data_NSA'!$A:$A,0),MATCH($D120,'Data_NSA'!$1:$1,0))-1,"")</f>
        <v/>
      </c>
      <c r="Y120" s="10">
        <f>IFERROR(INDEX('Weights'!$G:$I,MATCH($A120,'Weights'!$A:$A,0),MATCH(U$2,'Weights'!$G$1:$I$1,0)),"")</f>
        <v/>
      </c>
      <c r="Z120" s="10">
        <f>IF($E120="","",IFERROR(100*(INDEX('Weights'!$D:$D,MATCH($A120,'Weights'!$A:$A,0))*(INDEX('Data_NSA'!$A:$OK,MATCH(EDATE(U$2,-1),'Data_NSA'!$A:$A,0),MATCH($D120,'Data_NSA'!$1:$1,0))/INDEX('Data_NSA'!$A:$OK,MATCH(INDEX('Weights'!$E:$E,MATCH($A120,'Weights'!$A:$A,0)),'Data_NSA'!$A:$A,0),MATCH($D120,'Data_NSA'!$1:$1,0))))/(100*(INDEX('Data_NSA'!$A:$OK,MATCH(EDATE(U$2,-1),'Data_NSA'!$A:$A,0),MATCH("CUUR0000SA0",'Data_NSA'!$1:$1,0))/INDEX('Data_NSA'!$A:$OK,MATCH(INDEX('Weights'!$E:$E,MATCH($A120,'Weights'!$A:$A,0)),'Data_NSA'!$A:$A,0),MATCH("CUUR0000SA0",'Data_NSA'!$1:$1,0))))*(INDEX('Data_SA'!$A:$LO,MATCH(U$2,'Data_SA'!$A:$A,0),MATCH($E120,'Data_SA'!$1:$1,0))/INDEX('Data_SA'!$A:$LO,MATCH(EDATE(U$2,-1),'Data_SA'!$A:$A,0),MATCH($E120,'Data_SA'!$1:$1,0))-1),""))</f>
        <v/>
      </c>
    </row>
    <row r="121">
      <c r="A121" s="3" t="inlineStr">
        <is>
          <t>SEFV</t>
        </is>
      </c>
      <c r="B121" s="3" t="inlineStr">
        <is>
          <t>Food away from home</t>
        </is>
      </c>
      <c r="C121" s="3" t="inlineStr">
        <is>
          <t>SAF1</t>
        </is>
      </c>
      <c r="D121" s="3" t="inlineStr">
        <is>
          <t>CUUR0000SEFV</t>
        </is>
      </c>
      <c r="E121" s="3" t="inlineStr">
        <is>
          <t>CUSR0000SEFV</t>
        </is>
      </c>
      <c r="F121" s="3" t="inlineStr">
        <is>
          <t>GM</t>
        </is>
      </c>
      <c r="G121" s="3" t="inlineStr">
        <is>
          <t>monthly</t>
        </is>
      </c>
      <c r="H121" s="10">
        <f>IFERROR(INDEX(Weights!$D:$D,MATCH($A121,Weights!$A:$A,0)),"")</f>
        <v/>
      </c>
      <c r="I121" s="10">
        <f>IFERROR(INDEX('Data_NSA'!$A:$OK,MATCH(I$2,'Data_NSA'!$A:$A,0),MATCH($D121,'Data_NSA'!$1:$1,0)),"")</f>
        <v/>
      </c>
      <c r="J121" s="10">
        <f>IF($E121="","",IFERROR(INDEX('Data_SA'!$A:$LO,MATCH(I$2,'Data_SA'!$A:$A,0),MATCH($E121,'Data_SA'!$1:$1,0)),""))</f>
        <v/>
      </c>
      <c r="K121" s="7">
        <f>IF($E121="","",IFERROR(INDEX('Data_SA'!$A:$LO,MATCH(I$2,'Data_SA'!$A:$A,0),MATCH($E121,'Data_SA'!$1:$1,0))/INDEX('Data_SA'!$A:$LO,MATCH(EDATE(I$2,-1),'Data_SA'!$A:$A,0),MATCH($E121,'Data_SA'!$1:$1,0))-1,""))</f>
        <v/>
      </c>
      <c r="L121" s="7">
        <f>IFERROR(INDEX('Data_NSA'!$A:$OK,MATCH(I$2,'Data_NSA'!$A:$A,0),MATCH($D121,'Data_NSA'!$1:$1,0))/INDEX('Data_NSA'!$A:$OK,MATCH(EDATE(I$2,-12),'Data_NSA'!$A:$A,0),MATCH($D121,'Data_NSA'!$1:$1,0))-1,"")</f>
        <v/>
      </c>
      <c r="M121" s="10">
        <f>IFERROR(INDEX('Weights'!$G:$I,MATCH($A121,'Weights'!$A:$A,0),MATCH(I$2,'Weights'!$G$1:$I$1,0)),"")</f>
        <v/>
      </c>
      <c r="N121" s="10">
        <f>IF($E121="","",IFERROR(100*(INDEX('Weights'!$D:$D,MATCH($A121,'Weights'!$A:$A,0))*(INDEX('Data_NSA'!$A:$OK,MATCH(EDATE(I$2,-1),'Data_NSA'!$A:$A,0),MATCH($D121,'Data_NSA'!$1:$1,0))/INDEX('Data_NSA'!$A:$OK,MATCH(INDEX('Weights'!$E:$E,MATCH($A121,'Weights'!$A:$A,0)),'Data_NSA'!$A:$A,0),MATCH($D121,'Data_NSA'!$1:$1,0))))/(100*(INDEX('Data_NSA'!$A:$OK,MATCH(EDATE(I$2,-1),'Data_NSA'!$A:$A,0),MATCH("CUUR0000SA0",'Data_NSA'!$1:$1,0))/INDEX('Data_NSA'!$A:$OK,MATCH(INDEX('Weights'!$E:$E,MATCH($A121,'Weights'!$A:$A,0)),'Data_NSA'!$A:$A,0),MATCH("CUUR0000SA0",'Data_NSA'!$1:$1,0))))*(INDEX('Data_SA'!$A:$LO,MATCH(I$2,'Data_SA'!$A:$A,0),MATCH($E121,'Data_SA'!$1:$1,0))/INDEX('Data_SA'!$A:$LO,MATCH(EDATE(I$2,-1),'Data_SA'!$A:$A,0),MATCH($E121,'Data_SA'!$1:$1,0))-1),""))</f>
        <v/>
      </c>
      <c r="O121" s="10">
        <f>IFERROR(INDEX('Data_NSA'!$A:$OK,MATCH(O$2,'Data_NSA'!$A:$A,0),MATCH($D121,'Data_NSA'!$1:$1,0)),"")</f>
        <v/>
      </c>
      <c r="P121" s="10">
        <f>IF($E121="","",IFERROR(INDEX('Data_SA'!$A:$LO,MATCH(O$2,'Data_SA'!$A:$A,0),MATCH($E121,'Data_SA'!$1:$1,0)),""))</f>
        <v/>
      </c>
      <c r="Q121" s="7">
        <f>IF($E121="","",IFERROR(INDEX('Data_SA'!$A:$LO,MATCH(O$2,'Data_SA'!$A:$A,0),MATCH($E121,'Data_SA'!$1:$1,0))/INDEX('Data_SA'!$A:$LO,MATCH(EDATE(O$2,-1),'Data_SA'!$A:$A,0),MATCH($E121,'Data_SA'!$1:$1,0))-1,""))</f>
        <v/>
      </c>
      <c r="R121" s="7">
        <f>IFERROR(INDEX('Data_NSA'!$A:$OK,MATCH(O$2,'Data_NSA'!$A:$A,0),MATCH($D121,'Data_NSA'!$1:$1,0))/INDEX('Data_NSA'!$A:$OK,MATCH(EDATE(O$2,-12),'Data_NSA'!$A:$A,0),MATCH($D121,'Data_NSA'!$1:$1,0))-1,"")</f>
        <v/>
      </c>
      <c r="S121" s="10">
        <f>IFERROR(INDEX('Weights'!$G:$I,MATCH($A121,'Weights'!$A:$A,0),MATCH(O$2,'Weights'!$G$1:$I$1,0)),"")</f>
        <v/>
      </c>
      <c r="T121" s="10">
        <f>IF($E121="","",IFERROR(100*(INDEX('Weights'!$D:$D,MATCH($A121,'Weights'!$A:$A,0))*(INDEX('Data_NSA'!$A:$OK,MATCH(EDATE(O$2,-1),'Data_NSA'!$A:$A,0),MATCH($D121,'Data_NSA'!$1:$1,0))/INDEX('Data_NSA'!$A:$OK,MATCH(INDEX('Weights'!$E:$E,MATCH($A121,'Weights'!$A:$A,0)),'Data_NSA'!$A:$A,0),MATCH($D121,'Data_NSA'!$1:$1,0))))/(100*(INDEX('Data_NSA'!$A:$OK,MATCH(EDATE(O$2,-1),'Data_NSA'!$A:$A,0),MATCH("CUUR0000SA0",'Data_NSA'!$1:$1,0))/INDEX('Data_NSA'!$A:$OK,MATCH(INDEX('Weights'!$E:$E,MATCH($A121,'Weights'!$A:$A,0)),'Data_NSA'!$A:$A,0),MATCH("CUUR0000SA0",'Data_NSA'!$1:$1,0))))*(INDEX('Data_SA'!$A:$LO,MATCH(O$2,'Data_SA'!$A:$A,0),MATCH($E121,'Data_SA'!$1:$1,0))/INDEX('Data_SA'!$A:$LO,MATCH(EDATE(O$2,-1),'Data_SA'!$A:$A,0),MATCH($E121,'Data_SA'!$1:$1,0))-1),""))</f>
        <v/>
      </c>
      <c r="U121" s="10">
        <f>IFERROR(INDEX('Data_NSA'!$A:$OK,MATCH(U$2,'Data_NSA'!$A:$A,0),MATCH($D121,'Data_NSA'!$1:$1,0)),"")</f>
        <v/>
      </c>
      <c r="V121" s="10">
        <f>IF($E121="","",IFERROR(INDEX('Data_SA'!$A:$LO,MATCH(U$2,'Data_SA'!$A:$A,0),MATCH($E121,'Data_SA'!$1:$1,0)),""))</f>
        <v/>
      </c>
      <c r="W121" s="7">
        <f>IF($E121="","",IFERROR(INDEX('Data_SA'!$A:$LO,MATCH(U$2,'Data_SA'!$A:$A,0),MATCH($E121,'Data_SA'!$1:$1,0))/INDEX('Data_SA'!$A:$LO,MATCH(EDATE(U$2,-1),'Data_SA'!$A:$A,0),MATCH($E121,'Data_SA'!$1:$1,0))-1,""))</f>
        <v/>
      </c>
      <c r="X121" s="7">
        <f>IFERROR(INDEX('Data_NSA'!$A:$OK,MATCH(U$2,'Data_NSA'!$A:$A,0),MATCH($D121,'Data_NSA'!$1:$1,0))/INDEX('Data_NSA'!$A:$OK,MATCH(EDATE(U$2,-12),'Data_NSA'!$A:$A,0),MATCH($D121,'Data_NSA'!$1:$1,0))-1,"")</f>
        <v/>
      </c>
      <c r="Y121" s="10">
        <f>IFERROR(INDEX('Weights'!$G:$I,MATCH($A121,'Weights'!$A:$A,0),MATCH(U$2,'Weights'!$G$1:$I$1,0)),"")</f>
        <v/>
      </c>
      <c r="Z121" s="10">
        <f>IF($E121="","",IFERROR(100*(INDEX('Weights'!$D:$D,MATCH($A121,'Weights'!$A:$A,0))*(INDEX('Data_NSA'!$A:$OK,MATCH(EDATE(U$2,-1),'Data_NSA'!$A:$A,0),MATCH($D121,'Data_NSA'!$1:$1,0))/INDEX('Data_NSA'!$A:$OK,MATCH(INDEX('Weights'!$E:$E,MATCH($A121,'Weights'!$A:$A,0)),'Data_NSA'!$A:$A,0),MATCH($D121,'Data_NSA'!$1:$1,0))))/(100*(INDEX('Data_NSA'!$A:$OK,MATCH(EDATE(U$2,-1),'Data_NSA'!$A:$A,0),MATCH("CUUR0000SA0",'Data_NSA'!$1:$1,0))/INDEX('Data_NSA'!$A:$OK,MATCH(INDEX('Weights'!$E:$E,MATCH($A121,'Weights'!$A:$A,0)),'Data_NSA'!$A:$A,0),MATCH("CUUR0000SA0",'Data_NSA'!$1:$1,0))))*(INDEX('Data_SA'!$A:$LO,MATCH(U$2,'Data_SA'!$A:$A,0),MATCH($E121,'Data_SA'!$1:$1,0))/INDEX('Data_SA'!$A:$LO,MATCH(EDATE(U$2,-1),'Data_SA'!$A:$A,0),MATCH($E121,'Data_SA'!$1:$1,0))-1),""))</f>
        <v/>
      </c>
    </row>
    <row r="122">
      <c r="A122" s="3" t="inlineStr">
        <is>
          <t>SEFV01</t>
        </is>
      </c>
      <c r="B122" s="3" t="inlineStr">
        <is>
          <t>Full service meals and snacks</t>
        </is>
      </c>
      <c r="C122" s="3" t="inlineStr">
        <is>
          <t>SEFV</t>
        </is>
      </c>
      <c r="D122" s="3" t="inlineStr">
        <is>
          <t>CUUR0000SEFV01</t>
        </is>
      </c>
      <c r="E122" s="3" t="inlineStr">
        <is>
          <t>CUSR0000SEFV01</t>
        </is>
      </c>
      <c r="F122" s="3" t="inlineStr">
        <is>
          <t>GM</t>
        </is>
      </c>
      <c r="G122" s="3" t="inlineStr">
        <is>
          <t>monthly food collection where sampled</t>
        </is>
      </c>
      <c r="H122" s="10">
        <f>IFERROR(INDEX(Weights!$D:$D,MATCH($A122,Weights!$A:$A,0)),"")</f>
        <v/>
      </c>
      <c r="I122" s="10">
        <f>IFERROR(INDEX('Data_NSA'!$A:$OK,MATCH(I$2,'Data_NSA'!$A:$A,0),MATCH($D122,'Data_NSA'!$1:$1,0)),"")</f>
        <v/>
      </c>
      <c r="J122" s="10">
        <f>IF($E122="","",IFERROR(INDEX('Data_SA'!$A:$LO,MATCH(I$2,'Data_SA'!$A:$A,0),MATCH($E122,'Data_SA'!$1:$1,0)),""))</f>
        <v/>
      </c>
      <c r="K122" s="7">
        <f>IF($E122="","",IFERROR(INDEX('Data_SA'!$A:$LO,MATCH(I$2,'Data_SA'!$A:$A,0),MATCH($E122,'Data_SA'!$1:$1,0))/INDEX('Data_SA'!$A:$LO,MATCH(EDATE(I$2,-1),'Data_SA'!$A:$A,0),MATCH($E122,'Data_SA'!$1:$1,0))-1,""))</f>
        <v/>
      </c>
      <c r="L122" s="7">
        <f>IFERROR(INDEX('Data_NSA'!$A:$OK,MATCH(I$2,'Data_NSA'!$A:$A,0),MATCH($D122,'Data_NSA'!$1:$1,0))/INDEX('Data_NSA'!$A:$OK,MATCH(EDATE(I$2,-12),'Data_NSA'!$A:$A,0),MATCH($D122,'Data_NSA'!$1:$1,0))-1,"")</f>
        <v/>
      </c>
      <c r="M122" s="10">
        <f>IFERROR(INDEX('Weights'!$G:$I,MATCH($A122,'Weights'!$A:$A,0),MATCH(I$2,'Weights'!$G$1:$I$1,0)),"")</f>
        <v/>
      </c>
      <c r="N122" s="10">
        <f>IF($E122="","",IFERROR(100*(INDEX('Weights'!$D:$D,MATCH($A122,'Weights'!$A:$A,0))*(INDEX('Data_NSA'!$A:$OK,MATCH(EDATE(I$2,-1),'Data_NSA'!$A:$A,0),MATCH($D122,'Data_NSA'!$1:$1,0))/INDEX('Data_NSA'!$A:$OK,MATCH(INDEX('Weights'!$E:$E,MATCH($A122,'Weights'!$A:$A,0)),'Data_NSA'!$A:$A,0),MATCH($D122,'Data_NSA'!$1:$1,0))))/(100*(INDEX('Data_NSA'!$A:$OK,MATCH(EDATE(I$2,-1),'Data_NSA'!$A:$A,0),MATCH("CUUR0000SA0",'Data_NSA'!$1:$1,0))/INDEX('Data_NSA'!$A:$OK,MATCH(INDEX('Weights'!$E:$E,MATCH($A122,'Weights'!$A:$A,0)),'Data_NSA'!$A:$A,0),MATCH("CUUR0000SA0",'Data_NSA'!$1:$1,0))))*(INDEX('Data_SA'!$A:$LO,MATCH(I$2,'Data_SA'!$A:$A,0),MATCH($E122,'Data_SA'!$1:$1,0))/INDEX('Data_SA'!$A:$LO,MATCH(EDATE(I$2,-1),'Data_SA'!$A:$A,0),MATCH($E122,'Data_SA'!$1:$1,0))-1),""))</f>
        <v/>
      </c>
      <c r="O122" s="10">
        <f>IFERROR(INDEX('Data_NSA'!$A:$OK,MATCH(O$2,'Data_NSA'!$A:$A,0),MATCH($D122,'Data_NSA'!$1:$1,0)),"")</f>
        <v/>
      </c>
      <c r="P122" s="10">
        <f>IF($E122="","",IFERROR(INDEX('Data_SA'!$A:$LO,MATCH(O$2,'Data_SA'!$A:$A,0),MATCH($E122,'Data_SA'!$1:$1,0)),""))</f>
        <v/>
      </c>
      <c r="Q122" s="7">
        <f>IF($E122="","",IFERROR(INDEX('Data_SA'!$A:$LO,MATCH(O$2,'Data_SA'!$A:$A,0),MATCH($E122,'Data_SA'!$1:$1,0))/INDEX('Data_SA'!$A:$LO,MATCH(EDATE(O$2,-1),'Data_SA'!$A:$A,0),MATCH($E122,'Data_SA'!$1:$1,0))-1,""))</f>
        <v/>
      </c>
      <c r="R122" s="7">
        <f>IFERROR(INDEX('Data_NSA'!$A:$OK,MATCH(O$2,'Data_NSA'!$A:$A,0),MATCH($D122,'Data_NSA'!$1:$1,0))/INDEX('Data_NSA'!$A:$OK,MATCH(EDATE(O$2,-12),'Data_NSA'!$A:$A,0),MATCH($D122,'Data_NSA'!$1:$1,0))-1,"")</f>
        <v/>
      </c>
      <c r="S122" s="10">
        <f>IFERROR(INDEX('Weights'!$G:$I,MATCH($A122,'Weights'!$A:$A,0),MATCH(O$2,'Weights'!$G$1:$I$1,0)),"")</f>
        <v/>
      </c>
      <c r="T122" s="10">
        <f>IF($E122="","",IFERROR(100*(INDEX('Weights'!$D:$D,MATCH($A122,'Weights'!$A:$A,0))*(INDEX('Data_NSA'!$A:$OK,MATCH(EDATE(O$2,-1),'Data_NSA'!$A:$A,0),MATCH($D122,'Data_NSA'!$1:$1,0))/INDEX('Data_NSA'!$A:$OK,MATCH(INDEX('Weights'!$E:$E,MATCH($A122,'Weights'!$A:$A,0)),'Data_NSA'!$A:$A,0),MATCH($D122,'Data_NSA'!$1:$1,0))))/(100*(INDEX('Data_NSA'!$A:$OK,MATCH(EDATE(O$2,-1),'Data_NSA'!$A:$A,0),MATCH("CUUR0000SA0",'Data_NSA'!$1:$1,0))/INDEX('Data_NSA'!$A:$OK,MATCH(INDEX('Weights'!$E:$E,MATCH($A122,'Weights'!$A:$A,0)),'Data_NSA'!$A:$A,0),MATCH("CUUR0000SA0",'Data_NSA'!$1:$1,0))))*(INDEX('Data_SA'!$A:$LO,MATCH(O$2,'Data_SA'!$A:$A,0),MATCH($E122,'Data_SA'!$1:$1,0))/INDEX('Data_SA'!$A:$LO,MATCH(EDATE(O$2,-1),'Data_SA'!$A:$A,0),MATCH($E122,'Data_SA'!$1:$1,0))-1),""))</f>
        <v/>
      </c>
      <c r="U122" s="10">
        <f>IFERROR(INDEX('Data_NSA'!$A:$OK,MATCH(U$2,'Data_NSA'!$A:$A,0),MATCH($D122,'Data_NSA'!$1:$1,0)),"")</f>
        <v/>
      </c>
      <c r="V122" s="10">
        <f>IF($E122="","",IFERROR(INDEX('Data_SA'!$A:$LO,MATCH(U$2,'Data_SA'!$A:$A,0),MATCH($E122,'Data_SA'!$1:$1,0)),""))</f>
        <v/>
      </c>
      <c r="W122" s="7">
        <f>IF($E122="","",IFERROR(INDEX('Data_SA'!$A:$LO,MATCH(U$2,'Data_SA'!$A:$A,0),MATCH($E122,'Data_SA'!$1:$1,0))/INDEX('Data_SA'!$A:$LO,MATCH(EDATE(U$2,-1),'Data_SA'!$A:$A,0),MATCH($E122,'Data_SA'!$1:$1,0))-1,""))</f>
        <v/>
      </c>
      <c r="X122" s="7">
        <f>IFERROR(INDEX('Data_NSA'!$A:$OK,MATCH(U$2,'Data_NSA'!$A:$A,0),MATCH($D122,'Data_NSA'!$1:$1,0))/INDEX('Data_NSA'!$A:$OK,MATCH(EDATE(U$2,-12),'Data_NSA'!$A:$A,0),MATCH($D122,'Data_NSA'!$1:$1,0))-1,"")</f>
        <v/>
      </c>
      <c r="Y122" s="10">
        <f>IFERROR(INDEX('Weights'!$G:$I,MATCH($A122,'Weights'!$A:$A,0),MATCH(U$2,'Weights'!$G$1:$I$1,0)),"")</f>
        <v/>
      </c>
      <c r="Z122" s="10">
        <f>IF($E122="","",IFERROR(100*(INDEX('Weights'!$D:$D,MATCH($A122,'Weights'!$A:$A,0))*(INDEX('Data_NSA'!$A:$OK,MATCH(EDATE(U$2,-1),'Data_NSA'!$A:$A,0),MATCH($D122,'Data_NSA'!$1:$1,0))/INDEX('Data_NSA'!$A:$OK,MATCH(INDEX('Weights'!$E:$E,MATCH($A122,'Weights'!$A:$A,0)),'Data_NSA'!$A:$A,0),MATCH($D122,'Data_NSA'!$1:$1,0))))/(100*(INDEX('Data_NSA'!$A:$OK,MATCH(EDATE(U$2,-1),'Data_NSA'!$A:$A,0),MATCH("CUUR0000SA0",'Data_NSA'!$1:$1,0))/INDEX('Data_NSA'!$A:$OK,MATCH(INDEX('Weights'!$E:$E,MATCH($A122,'Weights'!$A:$A,0)),'Data_NSA'!$A:$A,0),MATCH("CUUR0000SA0",'Data_NSA'!$1:$1,0))))*(INDEX('Data_SA'!$A:$LO,MATCH(U$2,'Data_SA'!$A:$A,0),MATCH($E122,'Data_SA'!$1:$1,0))/INDEX('Data_SA'!$A:$LO,MATCH(EDATE(U$2,-1),'Data_SA'!$A:$A,0),MATCH($E122,'Data_SA'!$1:$1,0))-1),""))</f>
        <v/>
      </c>
    </row>
    <row r="123">
      <c r="A123" s="3" t="inlineStr">
        <is>
          <t>SEFV02</t>
        </is>
      </c>
      <c r="B123" s="3" t="inlineStr">
        <is>
          <t>Limited service meals and snacks</t>
        </is>
      </c>
      <c r="C123" s="3" t="inlineStr">
        <is>
          <t>SEFV</t>
        </is>
      </c>
      <c r="D123" s="3" t="inlineStr">
        <is>
          <t>CUUR0000SEFV02</t>
        </is>
      </c>
      <c r="E123" s="3" t="inlineStr"/>
      <c r="F123" s="3" t="inlineStr">
        <is>
          <t>GM</t>
        </is>
      </c>
      <c r="G123" s="3" t="inlineStr">
        <is>
          <t>monthly food collection where sampled</t>
        </is>
      </c>
      <c r="H123" s="10">
        <f>IFERROR(INDEX(Weights!$D:$D,MATCH($A123,Weights!$A:$A,0)),"")</f>
        <v/>
      </c>
      <c r="I123" s="10">
        <f>IFERROR(INDEX('Data_NSA'!$A:$OK,MATCH(I$2,'Data_NSA'!$A:$A,0),MATCH($D123,'Data_NSA'!$1:$1,0)),"")</f>
        <v/>
      </c>
      <c r="J123" s="10">
        <f>IF($E123="","",IFERROR(INDEX('Data_SA'!$A:$LO,MATCH(I$2,'Data_SA'!$A:$A,0),MATCH($E123,'Data_SA'!$1:$1,0)),""))</f>
        <v/>
      </c>
      <c r="K123" s="7">
        <f>IF($E123="","",IFERROR(INDEX('Data_SA'!$A:$LO,MATCH(I$2,'Data_SA'!$A:$A,0),MATCH($E123,'Data_SA'!$1:$1,0))/INDEX('Data_SA'!$A:$LO,MATCH(EDATE(I$2,-1),'Data_SA'!$A:$A,0),MATCH($E123,'Data_SA'!$1:$1,0))-1,""))</f>
        <v/>
      </c>
      <c r="L123" s="7">
        <f>IFERROR(INDEX('Data_NSA'!$A:$OK,MATCH(I$2,'Data_NSA'!$A:$A,0),MATCH($D123,'Data_NSA'!$1:$1,0))/INDEX('Data_NSA'!$A:$OK,MATCH(EDATE(I$2,-12),'Data_NSA'!$A:$A,0),MATCH($D123,'Data_NSA'!$1:$1,0))-1,"")</f>
        <v/>
      </c>
      <c r="M123" s="10">
        <f>IFERROR(INDEX('Weights'!$G:$I,MATCH($A123,'Weights'!$A:$A,0),MATCH(I$2,'Weights'!$G$1:$I$1,0)),"")</f>
        <v/>
      </c>
      <c r="N123" s="10">
        <f>IF($E123="","",IFERROR(100*(INDEX('Weights'!$D:$D,MATCH($A123,'Weights'!$A:$A,0))*(INDEX('Data_NSA'!$A:$OK,MATCH(EDATE(I$2,-1),'Data_NSA'!$A:$A,0),MATCH($D123,'Data_NSA'!$1:$1,0))/INDEX('Data_NSA'!$A:$OK,MATCH(INDEX('Weights'!$E:$E,MATCH($A123,'Weights'!$A:$A,0)),'Data_NSA'!$A:$A,0),MATCH($D123,'Data_NSA'!$1:$1,0))))/(100*(INDEX('Data_NSA'!$A:$OK,MATCH(EDATE(I$2,-1),'Data_NSA'!$A:$A,0),MATCH("CUUR0000SA0",'Data_NSA'!$1:$1,0))/INDEX('Data_NSA'!$A:$OK,MATCH(INDEX('Weights'!$E:$E,MATCH($A123,'Weights'!$A:$A,0)),'Data_NSA'!$A:$A,0),MATCH("CUUR0000SA0",'Data_NSA'!$1:$1,0))))*(INDEX('Data_SA'!$A:$LO,MATCH(I$2,'Data_SA'!$A:$A,0),MATCH($E123,'Data_SA'!$1:$1,0))/INDEX('Data_SA'!$A:$LO,MATCH(EDATE(I$2,-1),'Data_SA'!$A:$A,0),MATCH($E123,'Data_SA'!$1:$1,0))-1),""))</f>
        <v/>
      </c>
      <c r="O123" s="10">
        <f>IFERROR(INDEX('Data_NSA'!$A:$OK,MATCH(O$2,'Data_NSA'!$A:$A,0),MATCH($D123,'Data_NSA'!$1:$1,0)),"")</f>
        <v/>
      </c>
      <c r="P123" s="10">
        <f>IF($E123="","",IFERROR(INDEX('Data_SA'!$A:$LO,MATCH(O$2,'Data_SA'!$A:$A,0),MATCH($E123,'Data_SA'!$1:$1,0)),""))</f>
        <v/>
      </c>
      <c r="Q123" s="7">
        <f>IF($E123="","",IFERROR(INDEX('Data_SA'!$A:$LO,MATCH(O$2,'Data_SA'!$A:$A,0),MATCH($E123,'Data_SA'!$1:$1,0))/INDEX('Data_SA'!$A:$LO,MATCH(EDATE(O$2,-1),'Data_SA'!$A:$A,0),MATCH($E123,'Data_SA'!$1:$1,0))-1,""))</f>
        <v/>
      </c>
      <c r="R123" s="7">
        <f>IFERROR(INDEX('Data_NSA'!$A:$OK,MATCH(O$2,'Data_NSA'!$A:$A,0),MATCH($D123,'Data_NSA'!$1:$1,0))/INDEX('Data_NSA'!$A:$OK,MATCH(EDATE(O$2,-12),'Data_NSA'!$A:$A,0),MATCH($D123,'Data_NSA'!$1:$1,0))-1,"")</f>
        <v/>
      </c>
      <c r="S123" s="10">
        <f>IFERROR(INDEX('Weights'!$G:$I,MATCH($A123,'Weights'!$A:$A,0),MATCH(O$2,'Weights'!$G$1:$I$1,0)),"")</f>
        <v/>
      </c>
      <c r="T123" s="10">
        <f>IF($E123="","",IFERROR(100*(INDEX('Weights'!$D:$D,MATCH($A123,'Weights'!$A:$A,0))*(INDEX('Data_NSA'!$A:$OK,MATCH(EDATE(O$2,-1),'Data_NSA'!$A:$A,0),MATCH($D123,'Data_NSA'!$1:$1,0))/INDEX('Data_NSA'!$A:$OK,MATCH(INDEX('Weights'!$E:$E,MATCH($A123,'Weights'!$A:$A,0)),'Data_NSA'!$A:$A,0),MATCH($D123,'Data_NSA'!$1:$1,0))))/(100*(INDEX('Data_NSA'!$A:$OK,MATCH(EDATE(O$2,-1),'Data_NSA'!$A:$A,0),MATCH("CUUR0000SA0",'Data_NSA'!$1:$1,0))/INDEX('Data_NSA'!$A:$OK,MATCH(INDEX('Weights'!$E:$E,MATCH($A123,'Weights'!$A:$A,0)),'Data_NSA'!$A:$A,0),MATCH("CUUR0000SA0",'Data_NSA'!$1:$1,0))))*(INDEX('Data_SA'!$A:$LO,MATCH(O$2,'Data_SA'!$A:$A,0),MATCH($E123,'Data_SA'!$1:$1,0))/INDEX('Data_SA'!$A:$LO,MATCH(EDATE(O$2,-1),'Data_SA'!$A:$A,0),MATCH($E123,'Data_SA'!$1:$1,0))-1),""))</f>
        <v/>
      </c>
      <c r="U123" s="10">
        <f>IFERROR(INDEX('Data_NSA'!$A:$OK,MATCH(U$2,'Data_NSA'!$A:$A,0),MATCH($D123,'Data_NSA'!$1:$1,0)),"")</f>
        <v/>
      </c>
      <c r="V123" s="10">
        <f>IF($E123="","",IFERROR(INDEX('Data_SA'!$A:$LO,MATCH(U$2,'Data_SA'!$A:$A,0),MATCH($E123,'Data_SA'!$1:$1,0)),""))</f>
        <v/>
      </c>
      <c r="W123" s="7">
        <f>IF($E123="","",IFERROR(INDEX('Data_SA'!$A:$LO,MATCH(U$2,'Data_SA'!$A:$A,0),MATCH($E123,'Data_SA'!$1:$1,0))/INDEX('Data_SA'!$A:$LO,MATCH(EDATE(U$2,-1),'Data_SA'!$A:$A,0),MATCH($E123,'Data_SA'!$1:$1,0))-1,""))</f>
        <v/>
      </c>
      <c r="X123" s="7">
        <f>IFERROR(INDEX('Data_NSA'!$A:$OK,MATCH(U$2,'Data_NSA'!$A:$A,0),MATCH($D123,'Data_NSA'!$1:$1,0))/INDEX('Data_NSA'!$A:$OK,MATCH(EDATE(U$2,-12),'Data_NSA'!$A:$A,0),MATCH($D123,'Data_NSA'!$1:$1,0))-1,"")</f>
        <v/>
      </c>
      <c r="Y123" s="10">
        <f>IFERROR(INDEX('Weights'!$G:$I,MATCH($A123,'Weights'!$A:$A,0),MATCH(U$2,'Weights'!$G$1:$I$1,0)),"")</f>
        <v/>
      </c>
      <c r="Z123" s="10">
        <f>IF($E123="","",IFERROR(100*(INDEX('Weights'!$D:$D,MATCH($A123,'Weights'!$A:$A,0))*(INDEX('Data_NSA'!$A:$OK,MATCH(EDATE(U$2,-1),'Data_NSA'!$A:$A,0),MATCH($D123,'Data_NSA'!$1:$1,0))/INDEX('Data_NSA'!$A:$OK,MATCH(INDEX('Weights'!$E:$E,MATCH($A123,'Weights'!$A:$A,0)),'Data_NSA'!$A:$A,0),MATCH($D123,'Data_NSA'!$1:$1,0))))/(100*(INDEX('Data_NSA'!$A:$OK,MATCH(EDATE(U$2,-1),'Data_NSA'!$A:$A,0),MATCH("CUUR0000SA0",'Data_NSA'!$1:$1,0))/INDEX('Data_NSA'!$A:$OK,MATCH(INDEX('Weights'!$E:$E,MATCH($A123,'Weights'!$A:$A,0)),'Data_NSA'!$A:$A,0),MATCH("CUUR0000SA0",'Data_NSA'!$1:$1,0))))*(INDEX('Data_SA'!$A:$LO,MATCH(U$2,'Data_SA'!$A:$A,0),MATCH($E123,'Data_SA'!$1:$1,0))/INDEX('Data_SA'!$A:$LO,MATCH(EDATE(U$2,-1),'Data_SA'!$A:$A,0),MATCH($E123,'Data_SA'!$1:$1,0))-1),""))</f>
        <v/>
      </c>
    </row>
    <row r="124">
      <c r="A124" s="3" t="inlineStr">
        <is>
          <t>SEFV03</t>
        </is>
      </c>
      <c r="B124" s="3" t="inlineStr">
        <is>
          <t>Food at employee sites and schools</t>
        </is>
      </c>
      <c r="C124" s="3" t="inlineStr">
        <is>
          <t>SEFV</t>
        </is>
      </c>
      <c r="D124" s="3" t="inlineStr">
        <is>
          <t>CUUR0000SEFV03</t>
        </is>
      </c>
      <c r="E124" s="3" t="inlineStr">
        <is>
          <t>CUSR0000SEFV03</t>
        </is>
      </c>
      <c r="F124" s="3" t="inlineStr">
        <is>
          <t>GM</t>
        </is>
      </c>
      <c r="G124" s="3" t="inlineStr">
        <is>
          <t>monthly food collection where sampled</t>
        </is>
      </c>
      <c r="H124" s="10">
        <f>IFERROR(INDEX(Weights!$D:$D,MATCH($A124,Weights!$A:$A,0)),"")</f>
        <v/>
      </c>
      <c r="I124" s="10">
        <f>IFERROR(INDEX('Data_NSA'!$A:$OK,MATCH(I$2,'Data_NSA'!$A:$A,0),MATCH($D124,'Data_NSA'!$1:$1,0)),"")</f>
        <v/>
      </c>
      <c r="J124" s="10">
        <f>IF($E124="","",IFERROR(INDEX('Data_SA'!$A:$LO,MATCH(I$2,'Data_SA'!$A:$A,0),MATCH($E124,'Data_SA'!$1:$1,0)),""))</f>
        <v/>
      </c>
      <c r="K124" s="7">
        <f>IF($E124="","",IFERROR(INDEX('Data_SA'!$A:$LO,MATCH(I$2,'Data_SA'!$A:$A,0),MATCH($E124,'Data_SA'!$1:$1,0))/INDEX('Data_SA'!$A:$LO,MATCH(EDATE(I$2,-1),'Data_SA'!$A:$A,0),MATCH($E124,'Data_SA'!$1:$1,0))-1,""))</f>
        <v/>
      </c>
      <c r="L124" s="7">
        <f>IFERROR(INDEX('Data_NSA'!$A:$OK,MATCH(I$2,'Data_NSA'!$A:$A,0),MATCH($D124,'Data_NSA'!$1:$1,0))/INDEX('Data_NSA'!$A:$OK,MATCH(EDATE(I$2,-12),'Data_NSA'!$A:$A,0),MATCH($D124,'Data_NSA'!$1:$1,0))-1,"")</f>
        <v/>
      </c>
      <c r="M124" s="10">
        <f>IFERROR(INDEX('Weights'!$G:$I,MATCH($A124,'Weights'!$A:$A,0),MATCH(I$2,'Weights'!$G$1:$I$1,0)),"")</f>
        <v/>
      </c>
      <c r="N124" s="10">
        <f>IF($E124="","",IFERROR(100*(INDEX('Weights'!$D:$D,MATCH($A124,'Weights'!$A:$A,0))*(INDEX('Data_NSA'!$A:$OK,MATCH(EDATE(I$2,-1),'Data_NSA'!$A:$A,0),MATCH($D124,'Data_NSA'!$1:$1,0))/INDEX('Data_NSA'!$A:$OK,MATCH(INDEX('Weights'!$E:$E,MATCH($A124,'Weights'!$A:$A,0)),'Data_NSA'!$A:$A,0),MATCH($D124,'Data_NSA'!$1:$1,0))))/(100*(INDEX('Data_NSA'!$A:$OK,MATCH(EDATE(I$2,-1),'Data_NSA'!$A:$A,0),MATCH("CUUR0000SA0",'Data_NSA'!$1:$1,0))/INDEX('Data_NSA'!$A:$OK,MATCH(INDEX('Weights'!$E:$E,MATCH($A124,'Weights'!$A:$A,0)),'Data_NSA'!$A:$A,0),MATCH("CUUR0000SA0",'Data_NSA'!$1:$1,0))))*(INDEX('Data_SA'!$A:$LO,MATCH(I$2,'Data_SA'!$A:$A,0),MATCH($E124,'Data_SA'!$1:$1,0))/INDEX('Data_SA'!$A:$LO,MATCH(EDATE(I$2,-1),'Data_SA'!$A:$A,0),MATCH($E124,'Data_SA'!$1:$1,0))-1),""))</f>
        <v/>
      </c>
      <c r="O124" s="10">
        <f>IFERROR(INDEX('Data_NSA'!$A:$OK,MATCH(O$2,'Data_NSA'!$A:$A,0),MATCH($D124,'Data_NSA'!$1:$1,0)),"")</f>
        <v/>
      </c>
      <c r="P124" s="10">
        <f>IF($E124="","",IFERROR(INDEX('Data_SA'!$A:$LO,MATCH(O$2,'Data_SA'!$A:$A,0),MATCH($E124,'Data_SA'!$1:$1,0)),""))</f>
        <v/>
      </c>
      <c r="Q124" s="7">
        <f>IF($E124="","",IFERROR(INDEX('Data_SA'!$A:$LO,MATCH(O$2,'Data_SA'!$A:$A,0),MATCH($E124,'Data_SA'!$1:$1,0))/INDEX('Data_SA'!$A:$LO,MATCH(EDATE(O$2,-1),'Data_SA'!$A:$A,0),MATCH($E124,'Data_SA'!$1:$1,0))-1,""))</f>
        <v/>
      </c>
      <c r="R124" s="7">
        <f>IFERROR(INDEX('Data_NSA'!$A:$OK,MATCH(O$2,'Data_NSA'!$A:$A,0),MATCH($D124,'Data_NSA'!$1:$1,0))/INDEX('Data_NSA'!$A:$OK,MATCH(EDATE(O$2,-12),'Data_NSA'!$A:$A,0),MATCH($D124,'Data_NSA'!$1:$1,0))-1,"")</f>
        <v/>
      </c>
      <c r="S124" s="10">
        <f>IFERROR(INDEX('Weights'!$G:$I,MATCH($A124,'Weights'!$A:$A,0),MATCH(O$2,'Weights'!$G$1:$I$1,0)),"")</f>
        <v/>
      </c>
      <c r="T124" s="10">
        <f>IF($E124="","",IFERROR(100*(INDEX('Weights'!$D:$D,MATCH($A124,'Weights'!$A:$A,0))*(INDEX('Data_NSA'!$A:$OK,MATCH(EDATE(O$2,-1),'Data_NSA'!$A:$A,0),MATCH($D124,'Data_NSA'!$1:$1,0))/INDEX('Data_NSA'!$A:$OK,MATCH(INDEX('Weights'!$E:$E,MATCH($A124,'Weights'!$A:$A,0)),'Data_NSA'!$A:$A,0),MATCH($D124,'Data_NSA'!$1:$1,0))))/(100*(INDEX('Data_NSA'!$A:$OK,MATCH(EDATE(O$2,-1),'Data_NSA'!$A:$A,0),MATCH("CUUR0000SA0",'Data_NSA'!$1:$1,0))/INDEX('Data_NSA'!$A:$OK,MATCH(INDEX('Weights'!$E:$E,MATCH($A124,'Weights'!$A:$A,0)),'Data_NSA'!$A:$A,0),MATCH("CUUR0000SA0",'Data_NSA'!$1:$1,0))))*(INDEX('Data_SA'!$A:$LO,MATCH(O$2,'Data_SA'!$A:$A,0),MATCH($E124,'Data_SA'!$1:$1,0))/INDEX('Data_SA'!$A:$LO,MATCH(EDATE(O$2,-1),'Data_SA'!$A:$A,0),MATCH($E124,'Data_SA'!$1:$1,0))-1),""))</f>
        <v/>
      </c>
      <c r="U124" s="10">
        <f>IFERROR(INDEX('Data_NSA'!$A:$OK,MATCH(U$2,'Data_NSA'!$A:$A,0),MATCH($D124,'Data_NSA'!$1:$1,0)),"")</f>
        <v/>
      </c>
      <c r="V124" s="10">
        <f>IF($E124="","",IFERROR(INDEX('Data_SA'!$A:$LO,MATCH(U$2,'Data_SA'!$A:$A,0),MATCH($E124,'Data_SA'!$1:$1,0)),""))</f>
        <v/>
      </c>
      <c r="W124" s="7">
        <f>IF($E124="","",IFERROR(INDEX('Data_SA'!$A:$LO,MATCH(U$2,'Data_SA'!$A:$A,0),MATCH($E124,'Data_SA'!$1:$1,0))/INDEX('Data_SA'!$A:$LO,MATCH(EDATE(U$2,-1),'Data_SA'!$A:$A,0),MATCH($E124,'Data_SA'!$1:$1,0))-1,""))</f>
        <v/>
      </c>
      <c r="X124" s="7">
        <f>IFERROR(INDEX('Data_NSA'!$A:$OK,MATCH(U$2,'Data_NSA'!$A:$A,0),MATCH($D124,'Data_NSA'!$1:$1,0))/INDEX('Data_NSA'!$A:$OK,MATCH(EDATE(U$2,-12),'Data_NSA'!$A:$A,0),MATCH($D124,'Data_NSA'!$1:$1,0))-1,"")</f>
        <v/>
      </c>
      <c r="Y124" s="10">
        <f>IFERROR(INDEX('Weights'!$G:$I,MATCH($A124,'Weights'!$A:$A,0),MATCH(U$2,'Weights'!$G$1:$I$1,0)),"")</f>
        <v/>
      </c>
      <c r="Z124" s="10">
        <f>IF($E124="","",IFERROR(100*(INDEX('Weights'!$D:$D,MATCH($A124,'Weights'!$A:$A,0))*(INDEX('Data_NSA'!$A:$OK,MATCH(EDATE(U$2,-1),'Data_NSA'!$A:$A,0),MATCH($D124,'Data_NSA'!$1:$1,0))/INDEX('Data_NSA'!$A:$OK,MATCH(INDEX('Weights'!$E:$E,MATCH($A124,'Weights'!$A:$A,0)),'Data_NSA'!$A:$A,0),MATCH($D124,'Data_NSA'!$1:$1,0))))/(100*(INDEX('Data_NSA'!$A:$OK,MATCH(EDATE(U$2,-1),'Data_NSA'!$A:$A,0),MATCH("CUUR0000SA0",'Data_NSA'!$1:$1,0))/INDEX('Data_NSA'!$A:$OK,MATCH(INDEX('Weights'!$E:$E,MATCH($A124,'Weights'!$A:$A,0)),'Data_NSA'!$A:$A,0),MATCH("CUUR0000SA0",'Data_NSA'!$1:$1,0))))*(INDEX('Data_SA'!$A:$LO,MATCH(U$2,'Data_SA'!$A:$A,0),MATCH($E124,'Data_SA'!$1:$1,0))/INDEX('Data_SA'!$A:$LO,MATCH(EDATE(U$2,-1),'Data_SA'!$A:$A,0),MATCH($E124,'Data_SA'!$1:$1,0))-1),""))</f>
        <v/>
      </c>
    </row>
    <row r="125">
      <c r="A125" s="3" t="inlineStr">
        <is>
          <t>SSFV031A</t>
        </is>
      </c>
      <c r="B125" s="3" t="inlineStr">
        <is>
          <t>Food at elementary and secondary schools</t>
        </is>
      </c>
      <c r="C125" s="3" t="inlineStr">
        <is>
          <t>SEFV</t>
        </is>
      </c>
      <c r="D125" s="3" t="inlineStr">
        <is>
          <t>CUUR0000SSFV031A</t>
        </is>
      </c>
      <c r="E125" s="3" t="inlineStr">
        <is>
          <t>CUSR0000SSFV031A</t>
        </is>
      </c>
      <c r="F125" s="3" t="inlineStr">
        <is>
          <t>GM</t>
        </is>
      </c>
      <c r="G125" s="3" t="inlineStr">
        <is>
          <t>monthly food collection where sampled</t>
        </is>
      </c>
      <c r="H125" s="10">
        <f>IFERROR(INDEX(Weights!$D:$D,MATCH($A125,Weights!$A:$A,0)),"")</f>
        <v/>
      </c>
      <c r="I125" s="10">
        <f>IFERROR(INDEX('Data_NSA'!$A:$OK,MATCH(I$2,'Data_NSA'!$A:$A,0),MATCH($D125,'Data_NSA'!$1:$1,0)),"")</f>
        <v/>
      </c>
      <c r="J125" s="10">
        <f>IF($E125="","",IFERROR(INDEX('Data_SA'!$A:$LO,MATCH(I$2,'Data_SA'!$A:$A,0),MATCH($E125,'Data_SA'!$1:$1,0)),""))</f>
        <v/>
      </c>
      <c r="K125" s="7">
        <f>IF($E125="","",IFERROR(INDEX('Data_SA'!$A:$LO,MATCH(I$2,'Data_SA'!$A:$A,0),MATCH($E125,'Data_SA'!$1:$1,0))/INDEX('Data_SA'!$A:$LO,MATCH(EDATE(I$2,-1),'Data_SA'!$A:$A,0),MATCH($E125,'Data_SA'!$1:$1,0))-1,""))</f>
        <v/>
      </c>
      <c r="L125" s="7">
        <f>IFERROR(INDEX('Data_NSA'!$A:$OK,MATCH(I$2,'Data_NSA'!$A:$A,0),MATCH($D125,'Data_NSA'!$1:$1,0))/INDEX('Data_NSA'!$A:$OK,MATCH(EDATE(I$2,-12),'Data_NSA'!$A:$A,0),MATCH($D125,'Data_NSA'!$1:$1,0))-1,"")</f>
        <v/>
      </c>
      <c r="M125" s="10">
        <f>IFERROR(INDEX('Weights'!$G:$I,MATCH($A125,'Weights'!$A:$A,0),MATCH(I$2,'Weights'!$G$1:$I$1,0)),"")</f>
        <v/>
      </c>
      <c r="N125" s="10">
        <f>IF($E125="","",IFERROR(100*(INDEX('Weights'!$D:$D,MATCH($A125,'Weights'!$A:$A,0))*(INDEX('Data_NSA'!$A:$OK,MATCH(EDATE(I$2,-1),'Data_NSA'!$A:$A,0),MATCH($D125,'Data_NSA'!$1:$1,0))/INDEX('Data_NSA'!$A:$OK,MATCH(INDEX('Weights'!$E:$E,MATCH($A125,'Weights'!$A:$A,0)),'Data_NSA'!$A:$A,0),MATCH($D125,'Data_NSA'!$1:$1,0))))/(100*(INDEX('Data_NSA'!$A:$OK,MATCH(EDATE(I$2,-1),'Data_NSA'!$A:$A,0),MATCH("CUUR0000SA0",'Data_NSA'!$1:$1,0))/INDEX('Data_NSA'!$A:$OK,MATCH(INDEX('Weights'!$E:$E,MATCH($A125,'Weights'!$A:$A,0)),'Data_NSA'!$A:$A,0),MATCH("CUUR0000SA0",'Data_NSA'!$1:$1,0))))*(INDEX('Data_SA'!$A:$LO,MATCH(I$2,'Data_SA'!$A:$A,0),MATCH($E125,'Data_SA'!$1:$1,0))/INDEX('Data_SA'!$A:$LO,MATCH(EDATE(I$2,-1),'Data_SA'!$A:$A,0),MATCH($E125,'Data_SA'!$1:$1,0))-1),""))</f>
        <v/>
      </c>
      <c r="O125" s="10">
        <f>IFERROR(INDEX('Data_NSA'!$A:$OK,MATCH(O$2,'Data_NSA'!$A:$A,0),MATCH($D125,'Data_NSA'!$1:$1,0)),"")</f>
        <v/>
      </c>
      <c r="P125" s="10">
        <f>IF($E125="","",IFERROR(INDEX('Data_SA'!$A:$LO,MATCH(O$2,'Data_SA'!$A:$A,0),MATCH($E125,'Data_SA'!$1:$1,0)),""))</f>
        <v/>
      </c>
      <c r="Q125" s="7">
        <f>IF($E125="","",IFERROR(INDEX('Data_SA'!$A:$LO,MATCH(O$2,'Data_SA'!$A:$A,0),MATCH($E125,'Data_SA'!$1:$1,0))/INDEX('Data_SA'!$A:$LO,MATCH(EDATE(O$2,-1),'Data_SA'!$A:$A,0),MATCH($E125,'Data_SA'!$1:$1,0))-1,""))</f>
        <v/>
      </c>
      <c r="R125" s="7">
        <f>IFERROR(INDEX('Data_NSA'!$A:$OK,MATCH(O$2,'Data_NSA'!$A:$A,0),MATCH($D125,'Data_NSA'!$1:$1,0))/INDEX('Data_NSA'!$A:$OK,MATCH(EDATE(O$2,-12),'Data_NSA'!$A:$A,0),MATCH($D125,'Data_NSA'!$1:$1,0))-1,"")</f>
        <v/>
      </c>
      <c r="S125" s="10">
        <f>IFERROR(INDEX('Weights'!$G:$I,MATCH($A125,'Weights'!$A:$A,0),MATCH(O$2,'Weights'!$G$1:$I$1,0)),"")</f>
        <v/>
      </c>
      <c r="T125" s="10">
        <f>IF($E125="","",IFERROR(100*(INDEX('Weights'!$D:$D,MATCH($A125,'Weights'!$A:$A,0))*(INDEX('Data_NSA'!$A:$OK,MATCH(EDATE(O$2,-1),'Data_NSA'!$A:$A,0),MATCH($D125,'Data_NSA'!$1:$1,0))/INDEX('Data_NSA'!$A:$OK,MATCH(INDEX('Weights'!$E:$E,MATCH($A125,'Weights'!$A:$A,0)),'Data_NSA'!$A:$A,0),MATCH($D125,'Data_NSA'!$1:$1,0))))/(100*(INDEX('Data_NSA'!$A:$OK,MATCH(EDATE(O$2,-1),'Data_NSA'!$A:$A,0),MATCH("CUUR0000SA0",'Data_NSA'!$1:$1,0))/INDEX('Data_NSA'!$A:$OK,MATCH(INDEX('Weights'!$E:$E,MATCH($A125,'Weights'!$A:$A,0)),'Data_NSA'!$A:$A,0),MATCH("CUUR0000SA0",'Data_NSA'!$1:$1,0))))*(INDEX('Data_SA'!$A:$LO,MATCH(O$2,'Data_SA'!$A:$A,0),MATCH($E125,'Data_SA'!$1:$1,0))/INDEX('Data_SA'!$A:$LO,MATCH(EDATE(O$2,-1),'Data_SA'!$A:$A,0),MATCH($E125,'Data_SA'!$1:$1,0))-1),""))</f>
        <v/>
      </c>
      <c r="U125" s="10">
        <f>IFERROR(INDEX('Data_NSA'!$A:$OK,MATCH(U$2,'Data_NSA'!$A:$A,0),MATCH($D125,'Data_NSA'!$1:$1,0)),"")</f>
        <v/>
      </c>
      <c r="V125" s="10">
        <f>IF($E125="","",IFERROR(INDEX('Data_SA'!$A:$LO,MATCH(U$2,'Data_SA'!$A:$A,0),MATCH($E125,'Data_SA'!$1:$1,0)),""))</f>
        <v/>
      </c>
      <c r="W125" s="7">
        <f>IF($E125="","",IFERROR(INDEX('Data_SA'!$A:$LO,MATCH(U$2,'Data_SA'!$A:$A,0),MATCH($E125,'Data_SA'!$1:$1,0))/INDEX('Data_SA'!$A:$LO,MATCH(EDATE(U$2,-1),'Data_SA'!$A:$A,0),MATCH($E125,'Data_SA'!$1:$1,0))-1,""))</f>
        <v/>
      </c>
      <c r="X125" s="7">
        <f>IFERROR(INDEX('Data_NSA'!$A:$OK,MATCH(U$2,'Data_NSA'!$A:$A,0),MATCH($D125,'Data_NSA'!$1:$1,0))/INDEX('Data_NSA'!$A:$OK,MATCH(EDATE(U$2,-12),'Data_NSA'!$A:$A,0),MATCH($D125,'Data_NSA'!$1:$1,0))-1,"")</f>
        <v/>
      </c>
      <c r="Y125" s="10">
        <f>IFERROR(INDEX('Weights'!$G:$I,MATCH($A125,'Weights'!$A:$A,0),MATCH(U$2,'Weights'!$G$1:$I$1,0)),"")</f>
        <v/>
      </c>
      <c r="Z125" s="10">
        <f>IF($E125="","",IFERROR(100*(INDEX('Weights'!$D:$D,MATCH($A125,'Weights'!$A:$A,0))*(INDEX('Data_NSA'!$A:$OK,MATCH(EDATE(U$2,-1),'Data_NSA'!$A:$A,0),MATCH($D125,'Data_NSA'!$1:$1,0))/INDEX('Data_NSA'!$A:$OK,MATCH(INDEX('Weights'!$E:$E,MATCH($A125,'Weights'!$A:$A,0)),'Data_NSA'!$A:$A,0),MATCH($D125,'Data_NSA'!$1:$1,0))))/(100*(INDEX('Data_NSA'!$A:$OK,MATCH(EDATE(U$2,-1),'Data_NSA'!$A:$A,0),MATCH("CUUR0000SA0",'Data_NSA'!$1:$1,0))/INDEX('Data_NSA'!$A:$OK,MATCH(INDEX('Weights'!$E:$E,MATCH($A125,'Weights'!$A:$A,0)),'Data_NSA'!$A:$A,0),MATCH("CUUR0000SA0",'Data_NSA'!$1:$1,0))))*(INDEX('Data_SA'!$A:$LO,MATCH(U$2,'Data_SA'!$A:$A,0),MATCH($E125,'Data_SA'!$1:$1,0))/INDEX('Data_SA'!$A:$LO,MATCH(EDATE(U$2,-1),'Data_SA'!$A:$A,0),MATCH($E125,'Data_SA'!$1:$1,0))-1),""))</f>
        <v/>
      </c>
    </row>
    <row r="126">
      <c r="A126" s="3" t="inlineStr">
        <is>
          <t>SEFV04</t>
        </is>
      </c>
      <c r="B126" s="3" t="inlineStr">
        <is>
          <t>Food from vending machines and mobile vendors</t>
        </is>
      </c>
      <c r="C126" s="3" t="inlineStr">
        <is>
          <t>SEFV</t>
        </is>
      </c>
      <c r="D126" s="3" t="inlineStr">
        <is>
          <t>CUUR0000SEFV04</t>
        </is>
      </c>
      <c r="E126" s="3" t="inlineStr"/>
      <c r="F126" s="3" t="inlineStr">
        <is>
          <t>GM</t>
        </is>
      </c>
      <c r="G126" s="3" t="inlineStr">
        <is>
          <t>monthly food collection where sampled</t>
        </is>
      </c>
      <c r="H126" s="10">
        <f>IFERROR(INDEX(Weights!$D:$D,MATCH($A126,Weights!$A:$A,0)),"")</f>
        <v/>
      </c>
      <c r="I126" s="10">
        <f>IFERROR(INDEX('Data_NSA'!$A:$OK,MATCH(I$2,'Data_NSA'!$A:$A,0),MATCH($D126,'Data_NSA'!$1:$1,0)),"")</f>
        <v/>
      </c>
      <c r="J126" s="10">
        <f>IF($E126="","",IFERROR(INDEX('Data_SA'!$A:$LO,MATCH(I$2,'Data_SA'!$A:$A,0),MATCH($E126,'Data_SA'!$1:$1,0)),""))</f>
        <v/>
      </c>
      <c r="K126" s="7">
        <f>IF($E126="","",IFERROR(INDEX('Data_SA'!$A:$LO,MATCH(I$2,'Data_SA'!$A:$A,0),MATCH($E126,'Data_SA'!$1:$1,0))/INDEX('Data_SA'!$A:$LO,MATCH(EDATE(I$2,-1),'Data_SA'!$A:$A,0),MATCH($E126,'Data_SA'!$1:$1,0))-1,""))</f>
        <v/>
      </c>
      <c r="L126" s="7">
        <f>IFERROR(INDEX('Data_NSA'!$A:$OK,MATCH(I$2,'Data_NSA'!$A:$A,0),MATCH($D126,'Data_NSA'!$1:$1,0))/INDEX('Data_NSA'!$A:$OK,MATCH(EDATE(I$2,-12),'Data_NSA'!$A:$A,0),MATCH($D126,'Data_NSA'!$1:$1,0))-1,"")</f>
        <v/>
      </c>
      <c r="M126" s="10">
        <f>IFERROR(INDEX('Weights'!$G:$I,MATCH($A126,'Weights'!$A:$A,0),MATCH(I$2,'Weights'!$G$1:$I$1,0)),"")</f>
        <v/>
      </c>
      <c r="N126" s="10">
        <f>IF($E126="","",IFERROR(100*(INDEX('Weights'!$D:$D,MATCH($A126,'Weights'!$A:$A,0))*(INDEX('Data_NSA'!$A:$OK,MATCH(EDATE(I$2,-1),'Data_NSA'!$A:$A,0),MATCH($D126,'Data_NSA'!$1:$1,0))/INDEX('Data_NSA'!$A:$OK,MATCH(INDEX('Weights'!$E:$E,MATCH($A126,'Weights'!$A:$A,0)),'Data_NSA'!$A:$A,0),MATCH($D126,'Data_NSA'!$1:$1,0))))/(100*(INDEX('Data_NSA'!$A:$OK,MATCH(EDATE(I$2,-1),'Data_NSA'!$A:$A,0),MATCH("CUUR0000SA0",'Data_NSA'!$1:$1,0))/INDEX('Data_NSA'!$A:$OK,MATCH(INDEX('Weights'!$E:$E,MATCH($A126,'Weights'!$A:$A,0)),'Data_NSA'!$A:$A,0),MATCH("CUUR0000SA0",'Data_NSA'!$1:$1,0))))*(INDEX('Data_SA'!$A:$LO,MATCH(I$2,'Data_SA'!$A:$A,0),MATCH($E126,'Data_SA'!$1:$1,0))/INDEX('Data_SA'!$A:$LO,MATCH(EDATE(I$2,-1),'Data_SA'!$A:$A,0),MATCH($E126,'Data_SA'!$1:$1,0))-1),""))</f>
        <v/>
      </c>
      <c r="O126" s="10">
        <f>IFERROR(INDEX('Data_NSA'!$A:$OK,MATCH(O$2,'Data_NSA'!$A:$A,0),MATCH($D126,'Data_NSA'!$1:$1,0)),"")</f>
        <v/>
      </c>
      <c r="P126" s="10">
        <f>IF($E126="","",IFERROR(INDEX('Data_SA'!$A:$LO,MATCH(O$2,'Data_SA'!$A:$A,0),MATCH($E126,'Data_SA'!$1:$1,0)),""))</f>
        <v/>
      </c>
      <c r="Q126" s="7">
        <f>IF($E126="","",IFERROR(INDEX('Data_SA'!$A:$LO,MATCH(O$2,'Data_SA'!$A:$A,0),MATCH($E126,'Data_SA'!$1:$1,0))/INDEX('Data_SA'!$A:$LO,MATCH(EDATE(O$2,-1),'Data_SA'!$A:$A,0),MATCH($E126,'Data_SA'!$1:$1,0))-1,""))</f>
        <v/>
      </c>
      <c r="R126" s="7">
        <f>IFERROR(INDEX('Data_NSA'!$A:$OK,MATCH(O$2,'Data_NSA'!$A:$A,0),MATCH($D126,'Data_NSA'!$1:$1,0))/INDEX('Data_NSA'!$A:$OK,MATCH(EDATE(O$2,-12),'Data_NSA'!$A:$A,0),MATCH($D126,'Data_NSA'!$1:$1,0))-1,"")</f>
        <v/>
      </c>
      <c r="S126" s="10">
        <f>IFERROR(INDEX('Weights'!$G:$I,MATCH($A126,'Weights'!$A:$A,0),MATCH(O$2,'Weights'!$G$1:$I$1,0)),"")</f>
        <v/>
      </c>
      <c r="T126" s="10">
        <f>IF($E126="","",IFERROR(100*(INDEX('Weights'!$D:$D,MATCH($A126,'Weights'!$A:$A,0))*(INDEX('Data_NSA'!$A:$OK,MATCH(EDATE(O$2,-1),'Data_NSA'!$A:$A,0),MATCH($D126,'Data_NSA'!$1:$1,0))/INDEX('Data_NSA'!$A:$OK,MATCH(INDEX('Weights'!$E:$E,MATCH($A126,'Weights'!$A:$A,0)),'Data_NSA'!$A:$A,0),MATCH($D126,'Data_NSA'!$1:$1,0))))/(100*(INDEX('Data_NSA'!$A:$OK,MATCH(EDATE(O$2,-1),'Data_NSA'!$A:$A,0),MATCH("CUUR0000SA0",'Data_NSA'!$1:$1,0))/INDEX('Data_NSA'!$A:$OK,MATCH(INDEX('Weights'!$E:$E,MATCH($A126,'Weights'!$A:$A,0)),'Data_NSA'!$A:$A,0),MATCH("CUUR0000SA0",'Data_NSA'!$1:$1,0))))*(INDEX('Data_SA'!$A:$LO,MATCH(O$2,'Data_SA'!$A:$A,0),MATCH($E126,'Data_SA'!$1:$1,0))/INDEX('Data_SA'!$A:$LO,MATCH(EDATE(O$2,-1),'Data_SA'!$A:$A,0),MATCH($E126,'Data_SA'!$1:$1,0))-1),""))</f>
        <v/>
      </c>
      <c r="U126" s="10">
        <f>IFERROR(INDEX('Data_NSA'!$A:$OK,MATCH(U$2,'Data_NSA'!$A:$A,0),MATCH($D126,'Data_NSA'!$1:$1,0)),"")</f>
        <v/>
      </c>
      <c r="V126" s="10">
        <f>IF($E126="","",IFERROR(INDEX('Data_SA'!$A:$LO,MATCH(U$2,'Data_SA'!$A:$A,0),MATCH($E126,'Data_SA'!$1:$1,0)),""))</f>
        <v/>
      </c>
      <c r="W126" s="7">
        <f>IF($E126="","",IFERROR(INDEX('Data_SA'!$A:$LO,MATCH(U$2,'Data_SA'!$A:$A,0),MATCH($E126,'Data_SA'!$1:$1,0))/INDEX('Data_SA'!$A:$LO,MATCH(EDATE(U$2,-1),'Data_SA'!$A:$A,0),MATCH($E126,'Data_SA'!$1:$1,0))-1,""))</f>
        <v/>
      </c>
      <c r="X126" s="7">
        <f>IFERROR(INDEX('Data_NSA'!$A:$OK,MATCH(U$2,'Data_NSA'!$A:$A,0),MATCH($D126,'Data_NSA'!$1:$1,0))/INDEX('Data_NSA'!$A:$OK,MATCH(EDATE(U$2,-12),'Data_NSA'!$A:$A,0),MATCH($D126,'Data_NSA'!$1:$1,0))-1,"")</f>
        <v/>
      </c>
      <c r="Y126" s="10">
        <f>IFERROR(INDEX('Weights'!$G:$I,MATCH($A126,'Weights'!$A:$A,0),MATCH(U$2,'Weights'!$G$1:$I$1,0)),"")</f>
        <v/>
      </c>
      <c r="Z126" s="10">
        <f>IF($E126="","",IFERROR(100*(INDEX('Weights'!$D:$D,MATCH($A126,'Weights'!$A:$A,0))*(INDEX('Data_NSA'!$A:$OK,MATCH(EDATE(U$2,-1),'Data_NSA'!$A:$A,0),MATCH($D126,'Data_NSA'!$1:$1,0))/INDEX('Data_NSA'!$A:$OK,MATCH(INDEX('Weights'!$E:$E,MATCH($A126,'Weights'!$A:$A,0)),'Data_NSA'!$A:$A,0),MATCH($D126,'Data_NSA'!$1:$1,0))))/(100*(INDEX('Data_NSA'!$A:$OK,MATCH(EDATE(U$2,-1),'Data_NSA'!$A:$A,0),MATCH("CUUR0000SA0",'Data_NSA'!$1:$1,0))/INDEX('Data_NSA'!$A:$OK,MATCH(INDEX('Weights'!$E:$E,MATCH($A126,'Weights'!$A:$A,0)),'Data_NSA'!$A:$A,0),MATCH("CUUR0000SA0",'Data_NSA'!$1:$1,0))))*(INDEX('Data_SA'!$A:$LO,MATCH(U$2,'Data_SA'!$A:$A,0),MATCH($E126,'Data_SA'!$1:$1,0))/INDEX('Data_SA'!$A:$LO,MATCH(EDATE(U$2,-1),'Data_SA'!$A:$A,0),MATCH($E126,'Data_SA'!$1:$1,0))-1),""))</f>
        <v/>
      </c>
    </row>
    <row r="127">
      <c r="A127" s="3" t="inlineStr">
        <is>
          <t>SEFV05</t>
        </is>
      </c>
      <c r="B127" s="3" t="inlineStr">
        <is>
          <t>Other food away from home</t>
        </is>
      </c>
      <c r="C127" s="3" t="inlineStr">
        <is>
          <t>SEFV</t>
        </is>
      </c>
      <c r="D127" s="3" t="inlineStr">
        <is>
          <t>CUUR0000SEFV05</t>
        </is>
      </c>
      <c r="E127" s="3" t="inlineStr">
        <is>
          <t>CUSR0000SEFV05</t>
        </is>
      </c>
      <c r="F127" s="3" t="inlineStr">
        <is>
          <t>GM</t>
        </is>
      </c>
      <c r="G127" s="3" t="inlineStr">
        <is>
          <t>monthly food collection where sampled</t>
        </is>
      </c>
      <c r="H127" s="10">
        <f>IFERROR(INDEX(Weights!$D:$D,MATCH($A127,Weights!$A:$A,0)),"")</f>
        <v/>
      </c>
      <c r="I127" s="10">
        <f>IFERROR(INDEX('Data_NSA'!$A:$OK,MATCH(I$2,'Data_NSA'!$A:$A,0),MATCH($D127,'Data_NSA'!$1:$1,0)),"")</f>
        <v/>
      </c>
      <c r="J127" s="10">
        <f>IF($E127="","",IFERROR(INDEX('Data_SA'!$A:$LO,MATCH(I$2,'Data_SA'!$A:$A,0),MATCH($E127,'Data_SA'!$1:$1,0)),""))</f>
        <v/>
      </c>
      <c r="K127" s="7">
        <f>IF($E127="","",IFERROR(INDEX('Data_SA'!$A:$LO,MATCH(I$2,'Data_SA'!$A:$A,0),MATCH($E127,'Data_SA'!$1:$1,0))/INDEX('Data_SA'!$A:$LO,MATCH(EDATE(I$2,-1),'Data_SA'!$A:$A,0),MATCH($E127,'Data_SA'!$1:$1,0))-1,""))</f>
        <v/>
      </c>
      <c r="L127" s="7">
        <f>IFERROR(INDEX('Data_NSA'!$A:$OK,MATCH(I$2,'Data_NSA'!$A:$A,0),MATCH($D127,'Data_NSA'!$1:$1,0))/INDEX('Data_NSA'!$A:$OK,MATCH(EDATE(I$2,-12),'Data_NSA'!$A:$A,0),MATCH($D127,'Data_NSA'!$1:$1,0))-1,"")</f>
        <v/>
      </c>
      <c r="M127" s="10">
        <f>IFERROR(INDEX('Weights'!$G:$I,MATCH($A127,'Weights'!$A:$A,0),MATCH(I$2,'Weights'!$G$1:$I$1,0)),"")</f>
        <v/>
      </c>
      <c r="N127" s="10">
        <f>IF($E127="","",IFERROR(100*(INDEX('Weights'!$D:$D,MATCH($A127,'Weights'!$A:$A,0))*(INDEX('Data_NSA'!$A:$OK,MATCH(EDATE(I$2,-1),'Data_NSA'!$A:$A,0),MATCH($D127,'Data_NSA'!$1:$1,0))/INDEX('Data_NSA'!$A:$OK,MATCH(INDEX('Weights'!$E:$E,MATCH($A127,'Weights'!$A:$A,0)),'Data_NSA'!$A:$A,0),MATCH($D127,'Data_NSA'!$1:$1,0))))/(100*(INDEX('Data_NSA'!$A:$OK,MATCH(EDATE(I$2,-1),'Data_NSA'!$A:$A,0),MATCH("CUUR0000SA0",'Data_NSA'!$1:$1,0))/INDEX('Data_NSA'!$A:$OK,MATCH(INDEX('Weights'!$E:$E,MATCH($A127,'Weights'!$A:$A,0)),'Data_NSA'!$A:$A,0),MATCH("CUUR0000SA0",'Data_NSA'!$1:$1,0))))*(INDEX('Data_SA'!$A:$LO,MATCH(I$2,'Data_SA'!$A:$A,0),MATCH($E127,'Data_SA'!$1:$1,0))/INDEX('Data_SA'!$A:$LO,MATCH(EDATE(I$2,-1),'Data_SA'!$A:$A,0),MATCH($E127,'Data_SA'!$1:$1,0))-1),""))</f>
        <v/>
      </c>
      <c r="O127" s="10">
        <f>IFERROR(INDEX('Data_NSA'!$A:$OK,MATCH(O$2,'Data_NSA'!$A:$A,0),MATCH($D127,'Data_NSA'!$1:$1,0)),"")</f>
        <v/>
      </c>
      <c r="P127" s="10">
        <f>IF($E127="","",IFERROR(INDEX('Data_SA'!$A:$LO,MATCH(O$2,'Data_SA'!$A:$A,0),MATCH($E127,'Data_SA'!$1:$1,0)),""))</f>
        <v/>
      </c>
      <c r="Q127" s="7">
        <f>IF($E127="","",IFERROR(INDEX('Data_SA'!$A:$LO,MATCH(O$2,'Data_SA'!$A:$A,0),MATCH($E127,'Data_SA'!$1:$1,0))/INDEX('Data_SA'!$A:$LO,MATCH(EDATE(O$2,-1),'Data_SA'!$A:$A,0),MATCH($E127,'Data_SA'!$1:$1,0))-1,""))</f>
        <v/>
      </c>
      <c r="R127" s="7">
        <f>IFERROR(INDEX('Data_NSA'!$A:$OK,MATCH(O$2,'Data_NSA'!$A:$A,0),MATCH($D127,'Data_NSA'!$1:$1,0))/INDEX('Data_NSA'!$A:$OK,MATCH(EDATE(O$2,-12),'Data_NSA'!$A:$A,0),MATCH($D127,'Data_NSA'!$1:$1,0))-1,"")</f>
        <v/>
      </c>
      <c r="S127" s="10">
        <f>IFERROR(INDEX('Weights'!$G:$I,MATCH($A127,'Weights'!$A:$A,0),MATCH(O$2,'Weights'!$G$1:$I$1,0)),"")</f>
        <v/>
      </c>
      <c r="T127" s="10">
        <f>IF($E127="","",IFERROR(100*(INDEX('Weights'!$D:$D,MATCH($A127,'Weights'!$A:$A,0))*(INDEX('Data_NSA'!$A:$OK,MATCH(EDATE(O$2,-1),'Data_NSA'!$A:$A,0),MATCH($D127,'Data_NSA'!$1:$1,0))/INDEX('Data_NSA'!$A:$OK,MATCH(INDEX('Weights'!$E:$E,MATCH($A127,'Weights'!$A:$A,0)),'Data_NSA'!$A:$A,0),MATCH($D127,'Data_NSA'!$1:$1,0))))/(100*(INDEX('Data_NSA'!$A:$OK,MATCH(EDATE(O$2,-1),'Data_NSA'!$A:$A,0),MATCH("CUUR0000SA0",'Data_NSA'!$1:$1,0))/INDEX('Data_NSA'!$A:$OK,MATCH(INDEX('Weights'!$E:$E,MATCH($A127,'Weights'!$A:$A,0)),'Data_NSA'!$A:$A,0),MATCH("CUUR0000SA0",'Data_NSA'!$1:$1,0))))*(INDEX('Data_SA'!$A:$LO,MATCH(O$2,'Data_SA'!$A:$A,0),MATCH($E127,'Data_SA'!$1:$1,0))/INDEX('Data_SA'!$A:$LO,MATCH(EDATE(O$2,-1),'Data_SA'!$A:$A,0),MATCH($E127,'Data_SA'!$1:$1,0))-1),""))</f>
        <v/>
      </c>
      <c r="U127" s="10">
        <f>IFERROR(INDEX('Data_NSA'!$A:$OK,MATCH(U$2,'Data_NSA'!$A:$A,0),MATCH($D127,'Data_NSA'!$1:$1,0)),"")</f>
        <v/>
      </c>
      <c r="V127" s="10">
        <f>IF($E127="","",IFERROR(INDEX('Data_SA'!$A:$LO,MATCH(U$2,'Data_SA'!$A:$A,0),MATCH($E127,'Data_SA'!$1:$1,0)),""))</f>
        <v/>
      </c>
      <c r="W127" s="7">
        <f>IF($E127="","",IFERROR(INDEX('Data_SA'!$A:$LO,MATCH(U$2,'Data_SA'!$A:$A,0),MATCH($E127,'Data_SA'!$1:$1,0))/INDEX('Data_SA'!$A:$LO,MATCH(EDATE(U$2,-1),'Data_SA'!$A:$A,0),MATCH($E127,'Data_SA'!$1:$1,0))-1,""))</f>
        <v/>
      </c>
      <c r="X127" s="7">
        <f>IFERROR(INDEX('Data_NSA'!$A:$OK,MATCH(U$2,'Data_NSA'!$A:$A,0),MATCH($D127,'Data_NSA'!$1:$1,0))/INDEX('Data_NSA'!$A:$OK,MATCH(EDATE(U$2,-12),'Data_NSA'!$A:$A,0),MATCH($D127,'Data_NSA'!$1:$1,0))-1,"")</f>
        <v/>
      </c>
      <c r="Y127" s="10">
        <f>IFERROR(INDEX('Weights'!$G:$I,MATCH($A127,'Weights'!$A:$A,0),MATCH(U$2,'Weights'!$G$1:$I$1,0)),"")</f>
        <v/>
      </c>
      <c r="Z127" s="10">
        <f>IF($E127="","",IFERROR(100*(INDEX('Weights'!$D:$D,MATCH($A127,'Weights'!$A:$A,0))*(INDEX('Data_NSA'!$A:$OK,MATCH(EDATE(U$2,-1),'Data_NSA'!$A:$A,0),MATCH($D127,'Data_NSA'!$1:$1,0))/INDEX('Data_NSA'!$A:$OK,MATCH(INDEX('Weights'!$E:$E,MATCH($A127,'Weights'!$A:$A,0)),'Data_NSA'!$A:$A,0),MATCH($D127,'Data_NSA'!$1:$1,0))))/(100*(INDEX('Data_NSA'!$A:$OK,MATCH(EDATE(U$2,-1),'Data_NSA'!$A:$A,0),MATCH("CUUR0000SA0",'Data_NSA'!$1:$1,0))/INDEX('Data_NSA'!$A:$OK,MATCH(INDEX('Weights'!$E:$E,MATCH($A127,'Weights'!$A:$A,0)),'Data_NSA'!$A:$A,0),MATCH("CUUR0000SA0",'Data_NSA'!$1:$1,0))))*(INDEX('Data_SA'!$A:$LO,MATCH(U$2,'Data_SA'!$A:$A,0),MATCH($E127,'Data_SA'!$1:$1,0))/INDEX('Data_SA'!$A:$LO,MATCH(EDATE(U$2,-1),'Data_SA'!$A:$A,0),MATCH($E127,'Data_SA'!$1:$1,0))-1),""))</f>
        <v/>
      </c>
    </row>
    <row r="128">
      <c r="A128" s="3" t="inlineStr">
        <is>
          <t>SAF116</t>
        </is>
      </c>
      <c r="B128" s="3" t="inlineStr">
        <is>
          <t>Alcoholic beverages</t>
        </is>
      </c>
      <c r="C128" s="3" t="inlineStr">
        <is>
          <t>SAF1</t>
        </is>
      </c>
      <c r="D128" s="3" t="inlineStr">
        <is>
          <t>CUUR0000SAF116</t>
        </is>
      </c>
      <c r="E128" s="3" t="inlineStr">
        <is>
          <t>CUSR0000SAF116</t>
        </is>
      </c>
      <c r="F128" s="3" t="inlineStr">
        <is>
          <t>GM</t>
        </is>
      </c>
      <c r="G128" s="3" t="inlineStr">
        <is>
          <t>mixed</t>
        </is>
      </c>
      <c r="H128" s="10">
        <f>IFERROR(INDEX(Weights!$D:$D,MATCH($A128,Weights!$A:$A,0)),"")</f>
        <v/>
      </c>
      <c r="I128" s="10">
        <f>IFERROR(INDEX('Data_NSA'!$A:$OK,MATCH(I$2,'Data_NSA'!$A:$A,0),MATCH($D128,'Data_NSA'!$1:$1,0)),"")</f>
        <v/>
      </c>
      <c r="J128" s="10">
        <f>IF($E128="","",IFERROR(INDEX('Data_SA'!$A:$LO,MATCH(I$2,'Data_SA'!$A:$A,0),MATCH($E128,'Data_SA'!$1:$1,0)),""))</f>
        <v/>
      </c>
      <c r="K128" s="7">
        <f>IF($E128="","",IFERROR(INDEX('Data_SA'!$A:$LO,MATCH(I$2,'Data_SA'!$A:$A,0),MATCH($E128,'Data_SA'!$1:$1,0))/INDEX('Data_SA'!$A:$LO,MATCH(EDATE(I$2,-1),'Data_SA'!$A:$A,0),MATCH($E128,'Data_SA'!$1:$1,0))-1,""))</f>
        <v/>
      </c>
      <c r="L128" s="7">
        <f>IFERROR(INDEX('Data_NSA'!$A:$OK,MATCH(I$2,'Data_NSA'!$A:$A,0),MATCH($D128,'Data_NSA'!$1:$1,0))/INDEX('Data_NSA'!$A:$OK,MATCH(EDATE(I$2,-12),'Data_NSA'!$A:$A,0),MATCH($D128,'Data_NSA'!$1:$1,0))-1,"")</f>
        <v/>
      </c>
      <c r="M128" s="10">
        <f>IFERROR(INDEX('Weights'!$G:$I,MATCH($A128,'Weights'!$A:$A,0),MATCH(I$2,'Weights'!$G$1:$I$1,0)),"")</f>
        <v/>
      </c>
      <c r="N128" s="10">
        <f>IF($E128="","",IFERROR(100*(INDEX('Weights'!$D:$D,MATCH($A128,'Weights'!$A:$A,0))*(INDEX('Data_NSA'!$A:$OK,MATCH(EDATE(I$2,-1),'Data_NSA'!$A:$A,0),MATCH($D128,'Data_NSA'!$1:$1,0))/INDEX('Data_NSA'!$A:$OK,MATCH(INDEX('Weights'!$E:$E,MATCH($A128,'Weights'!$A:$A,0)),'Data_NSA'!$A:$A,0),MATCH($D128,'Data_NSA'!$1:$1,0))))/(100*(INDEX('Data_NSA'!$A:$OK,MATCH(EDATE(I$2,-1),'Data_NSA'!$A:$A,0),MATCH("CUUR0000SA0",'Data_NSA'!$1:$1,0))/INDEX('Data_NSA'!$A:$OK,MATCH(INDEX('Weights'!$E:$E,MATCH($A128,'Weights'!$A:$A,0)),'Data_NSA'!$A:$A,0),MATCH("CUUR0000SA0",'Data_NSA'!$1:$1,0))))*(INDEX('Data_SA'!$A:$LO,MATCH(I$2,'Data_SA'!$A:$A,0),MATCH($E128,'Data_SA'!$1:$1,0))/INDEX('Data_SA'!$A:$LO,MATCH(EDATE(I$2,-1),'Data_SA'!$A:$A,0),MATCH($E128,'Data_SA'!$1:$1,0))-1),""))</f>
        <v/>
      </c>
      <c r="O128" s="10">
        <f>IFERROR(INDEX('Data_NSA'!$A:$OK,MATCH(O$2,'Data_NSA'!$A:$A,0),MATCH($D128,'Data_NSA'!$1:$1,0)),"")</f>
        <v/>
      </c>
      <c r="P128" s="10">
        <f>IF($E128="","",IFERROR(INDEX('Data_SA'!$A:$LO,MATCH(O$2,'Data_SA'!$A:$A,0),MATCH($E128,'Data_SA'!$1:$1,0)),""))</f>
        <v/>
      </c>
      <c r="Q128" s="7">
        <f>IF($E128="","",IFERROR(INDEX('Data_SA'!$A:$LO,MATCH(O$2,'Data_SA'!$A:$A,0),MATCH($E128,'Data_SA'!$1:$1,0))/INDEX('Data_SA'!$A:$LO,MATCH(EDATE(O$2,-1),'Data_SA'!$A:$A,0),MATCH($E128,'Data_SA'!$1:$1,0))-1,""))</f>
        <v/>
      </c>
      <c r="R128" s="7">
        <f>IFERROR(INDEX('Data_NSA'!$A:$OK,MATCH(O$2,'Data_NSA'!$A:$A,0),MATCH($D128,'Data_NSA'!$1:$1,0))/INDEX('Data_NSA'!$A:$OK,MATCH(EDATE(O$2,-12),'Data_NSA'!$A:$A,0),MATCH($D128,'Data_NSA'!$1:$1,0))-1,"")</f>
        <v/>
      </c>
      <c r="S128" s="10">
        <f>IFERROR(INDEX('Weights'!$G:$I,MATCH($A128,'Weights'!$A:$A,0),MATCH(O$2,'Weights'!$G$1:$I$1,0)),"")</f>
        <v/>
      </c>
      <c r="T128" s="10">
        <f>IF($E128="","",IFERROR(100*(INDEX('Weights'!$D:$D,MATCH($A128,'Weights'!$A:$A,0))*(INDEX('Data_NSA'!$A:$OK,MATCH(EDATE(O$2,-1),'Data_NSA'!$A:$A,0),MATCH($D128,'Data_NSA'!$1:$1,0))/INDEX('Data_NSA'!$A:$OK,MATCH(INDEX('Weights'!$E:$E,MATCH($A128,'Weights'!$A:$A,0)),'Data_NSA'!$A:$A,0),MATCH($D128,'Data_NSA'!$1:$1,0))))/(100*(INDEX('Data_NSA'!$A:$OK,MATCH(EDATE(O$2,-1),'Data_NSA'!$A:$A,0),MATCH("CUUR0000SA0",'Data_NSA'!$1:$1,0))/INDEX('Data_NSA'!$A:$OK,MATCH(INDEX('Weights'!$E:$E,MATCH($A128,'Weights'!$A:$A,0)),'Data_NSA'!$A:$A,0),MATCH("CUUR0000SA0",'Data_NSA'!$1:$1,0))))*(INDEX('Data_SA'!$A:$LO,MATCH(O$2,'Data_SA'!$A:$A,0),MATCH($E128,'Data_SA'!$1:$1,0))/INDEX('Data_SA'!$A:$LO,MATCH(EDATE(O$2,-1),'Data_SA'!$A:$A,0),MATCH($E128,'Data_SA'!$1:$1,0))-1),""))</f>
        <v/>
      </c>
      <c r="U128" s="10">
        <f>IFERROR(INDEX('Data_NSA'!$A:$OK,MATCH(U$2,'Data_NSA'!$A:$A,0),MATCH($D128,'Data_NSA'!$1:$1,0)),"")</f>
        <v/>
      </c>
      <c r="V128" s="10">
        <f>IF($E128="","",IFERROR(INDEX('Data_SA'!$A:$LO,MATCH(U$2,'Data_SA'!$A:$A,0),MATCH($E128,'Data_SA'!$1:$1,0)),""))</f>
        <v/>
      </c>
      <c r="W128" s="7">
        <f>IF($E128="","",IFERROR(INDEX('Data_SA'!$A:$LO,MATCH(U$2,'Data_SA'!$A:$A,0),MATCH($E128,'Data_SA'!$1:$1,0))/INDEX('Data_SA'!$A:$LO,MATCH(EDATE(U$2,-1),'Data_SA'!$A:$A,0),MATCH($E128,'Data_SA'!$1:$1,0))-1,""))</f>
        <v/>
      </c>
      <c r="X128" s="7">
        <f>IFERROR(INDEX('Data_NSA'!$A:$OK,MATCH(U$2,'Data_NSA'!$A:$A,0),MATCH($D128,'Data_NSA'!$1:$1,0))/INDEX('Data_NSA'!$A:$OK,MATCH(EDATE(U$2,-12),'Data_NSA'!$A:$A,0),MATCH($D128,'Data_NSA'!$1:$1,0))-1,"")</f>
        <v/>
      </c>
      <c r="Y128" s="10">
        <f>IFERROR(INDEX('Weights'!$G:$I,MATCH($A128,'Weights'!$A:$A,0),MATCH(U$2,'Weights'!$G$1:$I$1,0)),"")</f>
        <v/>
      </c>
      <c r="Z128" s="10">
        <f>IF($E128="","",IFERROR(100*(INDEX('Weights'!$D:$D,MATCH($A128,'Weights'!$A:$A,0))*(INDEX('Data_NSA'!$A:$OK,MATCH(EDATE(U$2,-1),'Data_NSA'!$A:$A,0),MATCH($D128,'Data_NSA'!$1:$1,0))/INDEX('Data_NSA'!$A:$OK,MATCH(INDEX('Weights'!$E:$E,MATCH($A128,'Weights'!$A:$A,0)),'Data_NSA'!$A:$A,0),MATCH($D128,'Data_NSA'!$1:$1,0))))/(100*(INDEX('Data_NSA'!$A:$OK,MATCH(EDATE(U$2,-1),'Data_NSA'!$A:$A,0),MATCH("CUUR0000SA0",'Data_NSA'!$1:$1,0))/INDEX('Data_NSA'!$A:$OK,MATCH(INDEX('Weights'!$E:$E,MATCH($A128,'Weights'!$A:$A,0)),'Data_NSA'!$A:$A,0),MATCH("CUUR0000SA0",'Data_NSA'!$1:$1,0))))*(INDEX('Data_SA'!$A:$LO,MATCH(U$2,'Data_SA'!$A:$A,0),MATCH($E128,'Data_SA'!$1:$1,0))/INDEX('Data_SA'!$A:$LO,MATCH(EDATE(U$2,-1),'Data_SA'!$A:$A,0),MATCH($E128,'Data_SA'!$1:$1,0))-1),""))</f>
        <v/>
      </c>
    </row>
    <row r="129">
      <c r="A129" s="3" t="inlineStr">
        <is>
          <t>SEFW</t>
        </is>
      </c>
      <c r="B129" s="3" t="inlineStr">
        <is>
          <t>Alcoholic beverages at home</t>
        </is>
      </c>
      <c r="C129" s="3" t="inlineStr">
        <is>
          <t>SAF116</t>
        </is>
      </c>
      <c r="D129" s="3" t="inlineStr">
        <is>
          <t>CUUR0000SEFW</t>
        </is>
      </c>
      <c r="E129" s="3" t="inlineStr">
        <is>
          <t>CUSR0000SEFW</t>
        </is>
      </c>
      <c r="F129" s="3" t="inlineStr">
        <is>
          <t>aggregate</t>
        </is>
      </c>
      <c r="G129" s="3" t="inlineStr">
        <is>
          <t>aggregate</t>
        </is>
      </c>
      <c r="H129" s="10">
        <f>IFERROR(INDEX(Weights!$D:$D,MATCH($A129,Weights!$A:$A,0)),"")</f>
        <v/>
      </c>
      <c r="I129" s="10">
        <f>IFERROR(INDEX('Data_NSA'!$A:$OK,MATCH(I$2,'Data_NSA'!$A:$A,0),MATCH($D129,'Data_NSA'!$1:$1,0)),"")</f>
        <v/>
      </c>
      <c r="J129" s="10">
        <f>IF($E129="","",IFERROR(INDEX('Data_SA'!$A:$LO,MATCH(I$2,'Data_SA'!$A:$A,0),MATCH($E129,'Data_SA'!$1:$1,0)),""))</f>
        <v/>
      </c>
      <c r="K129" s="7">
        <f>IF($E129="","",IFERROR(INDEX('Data_SA'!$A:$LO,MATCH(I$2,'Data_SA'!$A:$A,0),MATCH($E129,'Data_SA'!$1:$1,0))/INDEX('Data_SA'!$A:$LO,MATCH(EDATE(I$2,-1),'Data_SA'!$A:$A,0),MATCH($E129,'Data_SA'!$1:$1,0))-1,""))</f>
        <v/>
      </c>
      <c r="L129" s="7">
        <f>IFERROR(INDEX('Data_NSA'!$A:$OK,MATCH(I$2,'Data_NSA'!$A:$A,0),MATCH($D129,'Data_NSA'!$1:$1,0))/INDEX('Data_NSA'!$A:$OK,MATCH(EDATE(I$2,-12),'Data_NSA'!$A:$A,0),MATCH($D129,'Data_NSA'!$1:$1,0))-1,"")</f>
        <v/>
      </c>
      <c r="M129" s="10">
        <f>IFERROR(INDEX('Weights'!$G:$I,MATCH($A129,'Weights'!$A:$A,0),MATCH(I$2,'Weights'!$G$1:$I$1,0)),"")</f>
        <v/>
      </c>
      <c r="N129" s="10">
        <f>IF($E129="","",IFERROR(100*(INDEX('Weights'!$D:$D,MATCH($A129,'Weights'!$A:$A,0))*(INDEX('Data_NSA'!$A:$OK,MATCH(EDATE(I$2,-1),'Data_NSA'!$A:$A,0),MATCH($D129,'Data_NSA'!$1:$1,0))/INDEX('Data_NSA'!$A:$OK,MATCH(INDEX('Weights'!$E:$E,MATCH($A129,'Weights'!$A:$A,0)),'Data_NSA'!$A:$A,0),MATCH($D129,'Data_NSA'!$1:$1,0))))/(100*(INDEX('Data_NSA'!$A:$OK,MATCH(EDATE(I$2,-1),'Data_NSA'!$A:$A,0),MATCH("CUUR0000SA0",'Data_NSA'!$1:$1,0))/INDEX('Data_NSA'!$A:$OK,MATCH(INDEX('Weights'!$E:$E,MATCH($A129,'Weights'!$A:$A,0)),'Data_NSA'!$A:$A,0),MATCH("CUUR0000SA0",'Data_NSA'!$1:$1,0))))*(INDEX('Data_SA'!$A:$LO,MATCH(I$2,'Data_SA'!$A:$A,0),MATCH($E129,'Data_SA'!$1:$1,0))/INDEX('Data_SA'!$A:$LO,MATCH(EDATE(I$2,-1),'Data_SA'!$A:$A,0),MATCH($E129,'Data_SA'!$1:$1,0))-1),""))</f>
        <v/>
      </c>
      <c r="O129" s="10">
        <f>IFERROR(INDEX('Data_NSA'!$A:$OK,MATCH(O$2,'Data_NSA'!$A:$A,0),MATCH($D129,'Data_NSA'!$1:$1,0)),"")</f>
        <v/>
      </c>
      <c r="P129" s="10">
        <f>IF($E129="","",IFERROR(INDEX('Data_SA'!$A:$LO,MATCH(O$2,'Data_SA'!$A:$A,0),MATCH($E129,'Data_SA'!$1:$1,0)),""))</f>
        <v/>
      </c>
      <c r="Q129" s="7">
        <f>IF($E129="","",IFERROR(INDEX('Data_SA'!$A:$LO,MATCH(O$2,'Data_SA'!$A:$A,0),MATCH($E129,'Data_SA'!$1:$1,0))/INDEX('Data_SA'!$A:$LO,MATCH(EDATE(O$2,-1),'Data_SA'!$A:$A,0),MATCH($E129,'Data_SA'!$1:$1,0))-1,""))</f>
        <v/>
      </c>
      <c r="R129" s="7">
        <f>IFERROR(INDEX('Data_NSA'!$A:$OK,MATCH(O$2,'Data_NSA'!$A:$A,0),MATCH($D129,'Data_NSA'!$1:$1,0))/INDEX('Data_NSA'!$A:$OK,MATCH(EDATE(O$2,-12),'Data_NSA'!$A:$A,0),MATCH($D129,'Data_NSA'!$1:$1,0))-1,"")</f>
        <v/>
      </c>
      <c r="S129" s="10">
        <f>IFERROR(INDEX('Weights'!$G:$I,MATCH($A129,'Weights'!$A:$A,0),MATCH(O$2,'Weights'!$G$1:$I$1,0)),"")</f>
        <v/>
      </c>
      <c r="T129" s="10">
        <f>IF($E129="","",IFERROR(100*(INDEX('Weights'!$D:$D,MATCH($A129,'Weights'!$A:$A,0))*(INDEX('Data_NSA'!$A:$OK,MATCH(EDATE(O$2,-1),'Data_NSA'!$A:$A,0),MATCH($D129,'Data_NSA'!$1:$1,0))/INDEX('Data_NSA'!$A:$OK,MATCH(INDEX('Weights'!$E:$E,MATCH($A129,'Weights'!$A:$A,0)),'Data_NSA'!$A:$A,0),MATCH($D129,'Data_NSA'!$1:$1,0))))/(100*(INDEX('Data_NSA'!$A:$OK,MATCH(EDATE(O$2,-1),'Data_NSA'!$A:$A,0),MATCH("CUUR0000SA0",'Data_NSA'!$1:$1,0))/INDEX('Data_NSA'!$A:$OK,MATCH(INDEX('Weights'!$E:$E,MATCH($A129,'Weights'!$A:$A,0)),'Data_NSA'!$A:$A,0),MATCH("CUUR0000SA0",'Data_NSA'!$1:$1,0))))*(INDEX('Data_SA'!$A:$LO,MATCH(O$2,'Data_SA'!$A:$A,0),MATCH($E129,'Data_SA'!$1:$1,0))/INDEX('Data_SA'!$A:$LO,MATCH(EDATE(O$2,-1),'Data_SA'!$A:$A,0),MATCH($E129,'Data_SA'!$1:$1,0))-1),""))</f>
        <v/>
      </c>
      <c r="U129" s="10">
        <f>IFERROR(INDEX('Data_NSA'!$A:$OK,MATCH(U$2,'Data_NSA'!$A:$A,0),MATCH($D129,'Data_NSA'!$1:$1,0)),"")</f>
        <v/>
      </c>
      <c r="V129" s="10">
        <f>IF($E129="","",IFERROR(INDEX('Data_SA'!$A:$LO,MATCH(U$2,'Data_SA'!$A:$A,0),MATCH($E129,'Data_SA'!$1:$1,0)),""))</f>
        <v/>
      </c>
      <c r="W129" s="7">
        <f>IF($E129="","",IFERROR(INDEX('Data_SA'!$A:$LO,MATCH(U$2,'Data_SA'!$A:$A,0),MATCH($E129,'Data_SA'!$1:$1,0))/INDEX('Data_SA'!$A:$LO,MATCH(EDATE(U$2,-1),'Data_SA'!$A:$A,0),MATCH($E129,'Data_SA'!$1:$1,0))-1,""))</f>
        <v/>
      </c>
      <c r="X129" s="7">
        <f>IFERROR(INDEX('Data_NSA'!$A:$OK,MATCH(U$2,'Data_NSA'!$A:$A,0),MATCH($D129,'Data_NSA'!$1:$1,0))/INDEX('Data_NSA'!$A:$OK,MATCH(EDATE(U$2,-12),'Data_NSA'!$A:$A,0),MATCH($D129,'Data_NSA'!$1:$1,0))-1,"")</f>
        <v/>
      </c>
      <c r="Y129" s="10">
        <f>IFERROR(INDEX('Weights'!$G:$I,MATCH($A129,'Weights'!$A:$A,0),MATCH(U$2,'Weights'!$G$1:$I$1,0)),"")</f>
        <v/>
      </c>
      <c r="Z129" s="10">
        <f>IF($E129="","",IFERROR(100*(INDEX('Weights'!$D:$D,MATCH($A129,'Weights'!$A:$A,0))*(INDEX('Data_NSA'!$A:$OK,MATCH(EDATE(U$2,-1),'Data_NSA'!$A:$A,0),MATCH($D129,'Data_NSA'!$1:$1,0))/INDEX('Data_NSA'!$A:$OK,MATCH(INDEX('Weights'!$E:$E,MATCH($A129,'Weights'!$A:$A,0)),'Data_NSA'!$A:$A,0),MATCH($D129,'Data_NSA'!$1:$1,0))))/(100*(INDEX('Data_NSA'!$A:$OK,MATCH(EDATE(U$2,-1),'Data_NSA'!$A:$A,0),MATCH("CUUR0000SA0",'Data_NSA'!$1:$1,0))/INDEX('Data_NSA'!$A:$OK,MATCH(INDEX('Weights'!$E:$E,MATCH($A129,'Weights'!$A:$A,0)),'Data_NSA'!$A:$A,0),MATCH("CUUR0000SA0",'Data_NSA'!$1:$1,0))))*(INDEX('Data_SA'!$A:$LO,MATCH(U$2,'Data_SA'!$A:$A,0),MATCH($E129,'Data_SA'!$1:$1,0))/INDEX('Data_SA'!$A:$LO,MATCH(EDATE(U$2,-1),'Data_SA'!$A:$A,0),MATCH($E129,'Data_SA'!$1:$1,0))-1),""))</f>
        <v/>
      </c>
    </row>
    <row r="130">
      <c r="A130" s="3" t="inlineStr">
        <is>
          <t>SEFW01</t>
        </is>
      </c>
      <c r="B130" s="3" t="inlineStr">
        <is>
          <t>Beer, ale, and other malt beverages at home</t>
        </is>
      </c>
      <c r="C130" s="3" t="inlineStr">
        <is>
          <t>SEFW</t>
        </is>
      </c>
      <c r="D130" s="3" t="inlineStr">
        <is>
          <t>CUUR0000SEFW01</t>
        </is>
      </c>
      <c r="E130" s="3" t="inlineStr">
        <is>
          <t>CUSR0000SEFW01</t>
        </is>
      </c>
      <c r="F130" s="3" t="inlineStr">
        <is>
          <t>GM</t>
        </is>
      </c>
      <c r="G130" s="3" t="inlineStr">
        <is>
          <t>monthly food collection where sampled</t>
        </is>
      </c>
      <c r="H130" s="10">
        <f>IFERROR(INDEX(Weights!$D:$D,MATCH($A130,Weights!$A:$A,0)),"")</f>
        <v/>
      </c>
      <c r="I130" s="10">
        <f>IFERROR(INDEX('Data_NSA'!$A:$OK,MATCH(I$2,'Data_NSA'!$A:$A,0),MATCH($D130,'Data_NSA'!$1:$1,0)),"")</f>
        <v/>
      </c>
      <c r="J130" s="10">
        <f>IF($E130="","",IFERROR(INDEX('Data_SA'!$A:$LO,MATCH(I$2,'Data_SA'!$A:$A,0),MATCH($E130,'Data_SA'!$1:$1,0)),""))</f>
        <v/>
      </c>
      <c r="K130" s="7">
        <f>IF($E130="","",IFERROR(INDEX('Data_SA'!$A:$LO,MATCH(I$2,'Data_SA'!$A:$A,0),MATCH($E130,'Data_SA'!$1:$1,0))/INDEX('Data_SA'!$A:$LO,MATCH(EDATE(I$2,-1),'Data_SA'!$A:$A,0),MATCH($E130,'Data_SA'!$1:$1,0))-1,""))</f>
        <v/>
      </c>
      <c r="L130" s="7">
        <f>IFERROR(INDEX('Data_NSA'!$A:$OK,MATCH(I$2,'Data_NSA'!$A:$A,0),MATCH($D130,'Data_NSA'!$1:$1,0))/INDEX('Data_NSA'!$A:$OK,MATCH(EDATE(I$2,-12),'Data_NSA'!$A:$A,0),MATCH($D130,'Data_NSA'!$1:$1,0))-1,"")</f>
        <v/>
      </c>
      <c r="M130" s="10">
        <f>IFERROR(INDEX('Weights'!$G:$I,MATCH($A130,'Weights'!$A:$A,0),MATCH(I$2,'Weights'!$G$1:$I$1,0)),"")</f>
        <v/>
      </c>
      <c r="N130" s="10">
        <f>IF($E130="","",IFERROR(100*(INDEX('Weights'!$D:$D,MATCH($A130,'Weights'!$A:$A,0))*(INDEX('Data_NSA'!$A:$OK,MATCH(EDATE(I$2,-1),'Data_NSA'!$A:$A,0),MATCH($D130,'Data_NSA'!$1:$1,0))/INDEX('Data_NSA'!$A:$OK,MATCH(INDEX('Weights'!$E:$E,MATCH($A130,'Weights'!$A:$A,0)),'Data_NSA'!$A:$A,0),MATCH($D130,'Data_NSA'!$1:$1,0))))/(100*(INDEX('Data_NSA'!$A:$OK,MATCH(EDATE(I$2,-1),'Data_NSA'!$A:$A,0),MATCH("CUUR0000SA0",'Data_NSA'!$1:$1,0))/INDEX('Data_NSA'!$A:$OK,MATCH(INDEX('Weights'!$E:$E,MATCH($A130,'Weights'!$A:$A,0)),'Data_NSA'!$A:$A,0),MATCH("CUUR0000SA0",'Data_NSA'!$1:$1,0))))*(INDEX('Data_SA'!$A:$LO,MATCH(I$2,'Data_SA'!$A:$A,0),MATCH($E130,'Data_SA'!$1:$1,0))/INDEX('Data_SA'!$A:$LO,MATCH(EDATE(I$2,-1),'Data_SA'!$A:$A,0),MATCH($E130,'Data_SA'!$1:$1,0))-1),""))</f>
        <v/>
      </c>
      <c r="O130" s="10">
        <f>IFERROR(INDEX('Data_NSA'!$A:$OK,MATCH(O$2,'Data_NSA'!$A:$A,0),MATCH($D130,'Data_NSA'!$1:$1,0)),"")</f>
        <v/>
      </c>
      <c r="P130" s="10">
        <f>IF($E130="","",IFERROR(INDEX('Data_SA'!$A:$LO,MATCH(O$2,'Data_SA'!$A:$A,0),MATCH($E130,'Data_SA'!$1:$1,0)),""))</f>
        <v/>
      </c>
      <c r="Q130" s="7">
        <f>IF($E130="","",IFERROR(INDEX('Data_SA'!$A:$LO,MATCH(O$2,'Data_SA'!$A:$A,0),MATCH($E130,'Data_SA'!$1:$1,0))/INDEX('Data_SA'!$A:$LO,MATCH(EDATE(O$2,-1),'Data_SA'!$A:$A,0),MATCH($E130,'Data_SA'!$1:$1,0))-1,""))</f>
        <v/>
      </c>
      <c r="R130" s="7">
        <f>IFERROR(INDEX('Data_NSA'!$A:$OK,MATCH(O$2,'Data_NSA'!$A:$A,0),MATCH($D130,'Data_NSA'!$1:$1,0))/INDEX('Data_NSA'!$A:$OK,MATCH(EDATE(O$2,-12),'Data_NSA'!$A:$A,0),MATCH($D130,'Data_NSA'!$1:$1,0))-1,"")</f>
        <v/>
      </c>
      <c r="S130" s="10">
        <f>IFERROR(INDEX('Weights'!$G:$I,MATCH($A130,'Weights'!$A:$A,0),MATCH(O$2,'Weights'!$G$1:$I$1,0)),"")</f>
        <v/>
      </c>
      <c r="T130" s="10">
        <f>IF($E130="","",IFERROR(100*(INDEX('Weights'!$D:$D,MATCH($A130,'Weights'!$A:$A,0))*(INDEX('Data_NSA'!$A:$OK,MATCH(EDATE(O$2,-1),'Data_NSA'!$A:$A,0),MATCH($D130,'Data_NSA'!$1:$1,0))/INDEX('Data_NSA'!$A:$OK,MATCH(INDEX('Weights'!$E:$E,MATCH($A130,'Weights'!$A:$A,0)),'Data_NSA'!$A:$A,0),MATCH($D130,'Data_NSA'!$1:$1,0))))/(100*(INDEX('Data_NSA'!$A:$OK,MATCH(EDATE(O$2,-1),'Data_NSA'!$A:$A,0),MATCH("CUUR0000SA0",'Data_NSA'!$1:$1,0))/INDEX('Data_NSA'!$A:$OK,MATCH(INDEX('Weights'!$E:$E,MATCH($A130,'Weights'!$A:$A,0)),'Data_NSA'!$A:$A,0),MATCH("CUUR0000SA0",'Data_NSA'!$1:$1,0))))*(INDEX('Data_SA'!$A:$LO,MATCH(O$2,'Data_SA'!$A:$A,0),MATCH($E130,'Data_SA'!$1:$1,0))/INDEX('Data_SA'!$A:$LO,MATCH(EDATE(O$2,-1),'Data_SA'!$A:$A,0),MATCH($E130,'Data_SA'!$1:$1,0))-1),""))</f>
        <v/>
      </c>
      <c r="U130" s="10">
        <f>IFERROR(INDEX('Data_NSA'!$A:$OK,MATCH(U$2,'Data_NSA'!$A:$A,0),MATCH($D130,'Data_NSA'!$1:$1,0)),"")</f>
        <v/>
      </c>
      <c r="V130" s="10">
        <f>IF($E130="","",IFERROR(INDEX('Data_SA'!$A:$LO,MATCH(U$2,'Data_SA'!$A:$A,0),MATCH($E130,'Data_SA'!$1:$1,0)),""))</f>
        <v/>
      </c>
      <c r="W130" s="7">
        <f>IF($E130="","",IFERROR(INDEX('Data_SA'!$A:$LO,MATCH(U$2,'Data_SA'!$A:$A,0),MATCH($E130,'Data_SA'!$1:$1,0))/INDEX('Data_SA'!$A:$LO,MATCH(EDATE(U$2,-1),'Data_SA'!$A:$A,0),MATCH($E130,'Data_SA'!$1:$1,0))-1,""))</f>
        <v/>
      </c>
      <c r="X130" s="7">
        <f>IFERROR(INDEX('Data_NSA'!$A:$OK,MATCH(U$2,'Data_NSA'!$A:$A,0),MATCH($D130,'Data_NSA'!$1:$1,0))/INDEX('Data_NSA'!$A:$OK,MATCH(EDATE(U$2,-12),'Data_NSA'!$A:$A,0),MATCH($D130,'Data_NSA'!$1:$1,0))-1,"")</f>
        <v/>
      </c>
      <c r="Y130" s="10">
        <f>IFERROR(INDEX('Weights'!$G:$I,MATCH($A130,'Weights'!$A:$A,0),MATCH(U$2,'Weights'!$G$1:$I$1,0)),"")</f>
        <v/>
      </c>
      <c r="Z130" s="10">
        <f>IF($E130="","",IFERROR(100*(INDEX('Weights'!$D:$D,MATCH($A130,'Weights'!$A:$A,0))*(INDEX('Data_NSA'!$A:$OK,MATCH(EDATE(U$2,-1),'Data_NSA'!$A:$A,0),MATCH($D130,'Data_NSA'!$1:$1,0))/INDEX('Data_NSA'!$A:$OK,MATCH(INDEX('Weights'!$E:$E,MATCH($A130,'Weights'!$A:$A,0)),'Data_NSA'!$A:$A,0),MATCH($D130,'Data_NSA'!$1:$1,0))))/(100*(INDEX('Data_NSA'!$A:$OK,MATCH(EDATE(U$2,-1),'Data_NSA'!$A:$A,0),MATCH("CUUR0000SA0",'Data_NSA'!$1:$1,0))/INDEX('Data_NSA'!$A:$OK,MATCH(INDEX('Weights'!$E:$E,MATCH($A130,'Weights'!$A:$A,0)),'Data_NSA'!$A:$A,0),MATCH("CUUR0000SA0",'Data_NSA'!$1:$1,0))))*(INDEX('Data_SA'!$A:$LO,MATCH(U$2,'Data_SA'!$A:$A,0),MATCH($E130,'Data_SA'!$1:$1,0))/INDEX('Data_SA'!$A:$LO,MATCH(EDATE(U$2,-1),'Data_SA'!$A:$A,0),MATCH($E130,'Data_SA'!$1:$1,0))-1),""))</f>
        <v/>
      </c>
    </row>
    <row r="131">
      <c r="A131" s="3" t="inlineStr">
        <is>
          <t>SEFW02</t>
        </is>
      </c>
      <c r="B131" s="3" t="inlineStr">
        <is>
          <t>Distilled spirits at home</t>
        </is>
      </c>
      <c r="C131" s="3" t="inlineStr">
        <is>
          <t>SEFW</t>
        </is>
      </c>
      <c r="D131" s="3" t="inlineStr">
        <is>
          <t>CUUR0000SEFW02</t>
        </is>
      </c>
      <c r="E131" s="3" t="inlineStr">
        <is>
          <t>CUSR0000SEFW02</t>
        </is>
      </c>
      <c r="F131" s="3" t="inlineStr">
        <is>
          <t>aggregate</t>
        </is>
      </c>
      <c r="G131" s="3" t="inlineStr">
        <is>
          <t>aggregate</t>
        </is>
      </c>
      <c r="H131" s="10">
        <f>IFERROR(INDEX(Weights!$D:$D,MATCH($A131,Weights!$A:$A,0)),"")</f>
        <v/>
      </c>
      <c r="I131" s="10">
        <f>IFERROR(INDEX('Data_NSA'!$A:$OK,MATCH(I$2,'Data_NSA'!$A:$A,0),MATCH($D131,'Data_NSA'!$1:$1,0)),"")</f>
        <v/>
      </c>
      <c r="J131" s="10">
        <f>IF($E131="","",IFERROR(INDEX('Data_SA'!$A:$LO,MATCH(I$2,'Data_SA'!$A:$A,0),MATCH($E131,'Data_SA'!$1:$1,0)),""))</f>
        <v/>
      </c>
      <c r="K131" s="7">
        <f>IF($E131="","",IFERROR(INDEX('Data_SA'!$A:$LO,MATCH(I$2,'Data_SA'!$A:$A,0),MATCH($E131,'Data_SA'!$1:$1,0))/INDEX('Data_SA'!$A:$LO,MATCH(EDATE(I$2,-1),'Data_SA'!$A:$A,0),MATCH($E131,'Data_SA'!$1:$1,0))-1,""))</f>
        <v/>
      </c>
      <c r="L131" s="7">
        <f>IFERROR(INDEX('Data_NSA'!$A:$OK,MATCH(I$2,'Data_NSA'!$A:$A,0),MATCH($D131,'Data_NSA'!$1:$1,0))/INDEX('Data_NSA'!$A:$OK,MATCH(EDATE(I$2,-12),'Data_NSA'!$A:$A,0),MATCH($D131,'Data_NSA'!$1:$1,0))-1,"")</f>
        <v/>
      </c>
      <c r="M131" s="10">
        <f>IFERROR(INDEX('Weights'!$G:$I,MATCH($A131,'Weights'!$A:$A,0),MATCH(I$2,'Weights'!$G$1:$I$1,0)),"")</f>
        <v/>
      </c>
      <c r="N131" s="10">
        <f>IF($E131="","",IFERROR(100*(INDEX('Weights'!$D:$D,MATCH($A131,'Weights'!$A:$A,0))*(INDEX('Data_NSA'!$A:$OK,MATCH(EDATE(I$2,-1),'Data_NSA'!$A:$A,0),MATCH($D131,'Data_NSA'!$1:$1,0))/INDEX('Data_NSA'!$A:$OK,MATCH(INDEX('Weights'!$E:$E,MATCH($A131,'Weights'!$A:$A,0)),'Data_NSA'!$A:$A,0),MATCH($D131,'Data_NSA'!$1:$1,0))))/(100*(INDEX('Data_NSA'!$A:$OK,MATCH(EDATE(I$2,-1),'Data_NSA'!$A:$A,0),MATCH("CUUR0000SA0",'Data_NSA'!$1:$1,0))/INDEX('Data_NSA'!$A:$OK,MATCH(INDEX('Weights'!$E:$E,MATCH($A131,'Weights'!$A:$A,0)),'Data_NSA'!$A:$A,0),MATCH("CUUR0000SA0",'Data_NSA'!$1:$1,0))))*(INDEX('Data_SA'!$A:$LO,MATCH(I$2,'Data_SA'!$A:$A,0),MATCH($E131,'Data_SA'!$1:$1,0))/INDEX('Data_SA'!$A:$LO,MATCH(EDATE(I$2,-1),'Data_SA'!$A:$A,0),MATCH($E131,'Data_SA'!$1:$1,0))-1),""))</f>
        <v/>
      </c>
      <c r="O131" s="10">
        <f>IFERROR(INDEX('Data_NSA'!$A:$OK,MATCH(O$2,'Data_NSA'!$A:$A,0),MATCH($D131,'Data_NSA'!$1:$1,0)),"")</f>
        <v/>
      </c>
      <c r="P131" s="10">
        <f>IF($E131="","",IFERROR(INDEX('Data_SA'!$A:$LO,MATCH(O$2,'Data_SA'!$A:$A,0),MATCH($E131,'Data_SA'!$1:$1,0)),""))</f>
        <v/>
      </c>
      <c r="Q131" s="7">
        <f>IF($E131="","",IFERROR(INDEX('Data_SA'!$A:$LO,MATCH(O$2,'Data_SA'!$A:$A,0),MATCH($E131,'Data_SA'!$1:$1,0))/INDEX('Data_SA'!$A:$LO,MATCH(EDATE(O$2,-1),'Data_SA'!$A:$A,0),MATCH($E131,'Data_SA'!$1:$1,0))-1,""))</f>
        <v/>
      </c>
      <c r="R131" s="7">
        <f>IFERROR(INDEX('Data_NSA'!$A:$OK,MATCH(O$2,'Data_NSA'!$A:$A,0),MATCH($D131,'Data_NSA'!$1:$1,0))/INDEX('Data_NSA'!$A:$OK,MATCH(EDATE(O$2,-12),'Data_NSA'!$A:$A,0),MATCH($D131,'Data_NSA'!$1:$1,0))-1,"")</f>
        <v/>
      </c>
      <c r="S131" s="10">
        <f>IFERROR(INDEX('Weights'!$G:$I,MATCH($A131,'Weights'!$A:$A,0),MATCH(O$2,'Weights'!$G$1:$I$1,0)),"")</f>
        <v/>
      </c>
      <c r="T131" s="10">
        <f>IF($E131="","",IFERROR(100*(INDEX('Weights'!$D:$D,MATCH($A131,'Weights'!$A:$A,0))*(INDEX('Data_NSA'!$A:$OK,MATCH(EDATE(O$2,-1),'Data_NSA'!$A:$A,0),MATCH($D131,'Data_NSA'!$1:$1,0))/INDEX('Data_NSA'!$A:$OK,MATCH(INDEX('Weights'!$E:$E,MATCH($A131,'Weights'!$A:$A,0)),'Data_NSA'!$A:$A,0),MATCH($D131,'Data_NSA'!$1:$1,0))))/(100*(INDEX('Data_NSA'!$A:$OK,MATCH(EDATE(O$2,-1),'Data_NSA'!$A:$A,0),MATCH("CUUR0000SA0",'Data_NSA'!$1:$1,0))/INDEX('Data_NSA'!$A:$OK,MATCH(INDEX('Weights'!$E:$E,MATCH($A131,'Weights'!$A:$A,0)),'Data_NSA'!$A:$A,0),MATCH("CUUR0000SA0",'Data_NSA'!$1:$1,0))))*(INDEX('Data_SA'!$A:$LO,MATCH(O$2,'Data_SA'!$A:$A,0),MATCH($E131,'Data_SA'!$1:$1,0))/INDEX('Data_SA'!$A:$LO,MATCH(EDATE(O$2,-1),'Data_SA'!$A:$A,0),MATCH($E131,'Data_SA'!$1:$1,0))-1),""))</f>
        <v/>
      </c>
      <c r="U131" s="10">
        <f>IFERROR(INDEX('Data_NSA'!$A:$OK,MATCH(U$2,'Data_NSA'!$A:$A,0),MATCH($D131,'Data_NSA'!$1:$1,0)),"")</f>
        <v/>
      </c>
      <c r="V131" s="10">
        <f>IF($E131="","",IFERROR(INDEX('Data_SA'!$A:$LO,MATCH(U$2,'Data_SA'!$A:$A,0),MATCH($E131,'Data_SA'!$1:$1,0)),""))</f>
        <v/>
      </c>
      <c r="W131" s="7">
        <f>IF($E131="","",IFERROR(INDEX('Data_SA'!$A:$LO,MATCH(U$2,'Data_SA'!$A:$A,0),MATCH($E131,'Data_SA'!$1:$1,0))/INDEX('Data_SA'!$A:$LO,MATCH(EDATE(U$2,-1),'Data_SA'!$A:$A,0),MATCH($E131,'Data_SA'!$1:$1,0))-1,""))</f>
        <v/>
      </c>
      <c r="X131" s="7">
        <f>IFERROR(INDEX('Data_NSA'!$A:$OK,MATCH(U$2,'Data_NSA'!$A:$A,0),MATCH($D131,'Data_NSA'!$1:$1,0))/INDEX('Data_NSA'!$A:$OK,MATCH(EDATE(U$2,-12),'Data_NSA'!$A:$A,0),MATCH($D131,'Data_NSA'!$1:$1,0))-1,"")</f>
        <v/>
      </c>
      <c r="Y131" s="10">
        <f>IFERROR(INDEX('Weights'!$G:$I,MATCH($A131,'Weights'!$A:$A,0),MATCH(U$2,'Weights'!$G$1:$I$1,0)),"")</f>
        <v/>
      </c>
      <c r="Z131" s="10">
        <f>IF($E131="","",IFERROR(100*(INDEX('Weights'!$D:$D,MATCH($A131,'Weights'!$A:$A,0))*(INDEX('Data_NSA'!$A:$OK,MATCH(EDATE(U$2,-1),'Data_NSA'!$A:$A,0),MATCH($D131,'Data_NSA'!$1:$1,0))/INDEX('Data_NSA'!$A:$OK,MATCH(INDEX('Weights'!$E:$E,MATCH($A131,'Weights'!$A:$A,0)),'Data_NSA'!$A:$A,0),MATCH($D131,'Data_NSA'!$1:$1,0))))/(100*(INDEX('Data_NSA'!$A:$OK,MATCH(EDATE(U$2,-1),'Data_NSA'!$A:$A,0),MATCH("CUUR0000SA0",'Data_NSA'!$1:$1,0))/INDEX('Data_NSA'!$A:$OK,MATCH(INDEX('Weights'!$E:$E,MATCH($A131,'Weights'!$A:$A,0)),'Data_NSA'!$A:$A,0),MATCH("CUUR0000SA0",'Data_NSA'!$1:$1,0))))*(INDEX('Data_SA'!$A:$LO,MATCH(U$2,'Data_SA'!$A:$A,0),MATCH($E131,'Data_SA'!$1:$1,0))/INDEX('Data_SA'!$A:$LO,MATCH(EDATE(U$2,-1),'Data_SA'!$A:$A,0),MATCH($E131,'Data_SA'!$1:$1,0))-1),""))</f>
        <v/>
      </c>
    </row>
    <row r="132">
      <c r="A132" s="3" t="inlineStr">
        <is>
          <t>SS20021</t>
        </is>
      </c>
      <c r="B132" s="3" t="inlineStr">
        <is>
          <t>Whiskey at home</t>
        </is>
      </c>
      <c r="C132" s="3" t="inlineStr">
        <is>
          <t>SEFW02</t>
        </is>
      </c>
      <c r="D132" s="3" t="inlineStr">
        <is>
          <t>CUUR0000SS20021</t>
        </is>
      </c>
      <c r="E132" s="3" t="inlineStr">
        <is>
          <t>CUSR0000SS20021</t>
        </is>
      </c>
      <c r="F132" s="3" t="inlineStr">
        <is>
          <t>GM</t>
        </is>
      </c>
      <c r="G132" s="3" t="inlineStr">
        <is>
          <t>monthly in New York/Los Angeles/Chicago; often bimonthly elsewhere</t>
        </is>
      </c>
      <c r="H132" s="10">
        <f>IFERROR(INDEX(Weights!$D:$D,MATCH($A132,Weights!$A:$A,0)),"")</f>
        <v/>
      </c>
      <c r="I132" s="10">
        <f>IFERROR(INDEX('Data_NSA'!$A:$OK,MATCH(I$2,'Data_NSA'!$A:$A,0),MATCH($D132,'Data_NSA'!$1:$1,0)),"")</f>
        <v/>
      </c>
      <c r="J132" s="10">
        <f>IF($E132="","",IFERROR(INDEX('Data_SA'!$A:$LO,MATCH(I$2,'Data_SA'!$A:$A,0),MATCH($E132,'Data_SA'!$1:$1,0)),""))</f>
        <v/>
      </c>
      <c r="K132" s="7">
        <f>IF($E132="","",IFERROR(INDEX('Data_SA'!$A:$LO,MATCH(I$2,'Data_SA'!$A:$A,0),MATCH($E132,'Data_SA'!$1:$1,0))/INDEX('Data_SA'!$A:$LO,MATCH(EDATE(I$2,-1),'Data_SA'!$A:$A,0),MATCH($E132,'Data_SA'!$1:$1,0))-1,""))</f>
        <v/>
      </c>
      <c r="L132" s="7">
        <f>IFERROR(INDEX('Data_NSA'!$A:$OK,MATCH(I$2,'Data_NSA'!$A:$A,0),MATCH($D132,'Data_NSA'!$1:$1,0))/INDEX('Data_NSA'!$A:$OK,MATCH(EDATE(I$2,-12),'Data_NSA'!$A:$A,0),MATCH($D132,'Data_NSA'!$1:$1,0))-1,"")</f>
        <v/>
      </c>
      <c r="M132" s="10">
        <f>IFERROR(INDEX('Weights'!$G:$I,MATCH($A132,'Weights'!$A:$A,0),MATCH(I$2,'Weights'!$G$1:$I$1,0)),"")</f>
        <v/>
      </c>
      <c r="N132" s="10">
        <f>IF($E132="","",IFERROR(100*(INDEX('Weights'!$D:$D,MATCH($A132,'Weights'!$A:$A,0))*(INDEX('Data_NSA'!$A:$OK,MATCH(EDATE(I$2,-1),'Data_NSA'!$A:$A,0),MATCH($D132,'Data_NSA'!$1:$1,0))/INDEX('Data_NSA'!$A:$OK,MATCH(INDEX('Weights'!$E:$E,MATCH($A132,'Weights'!$A:$A,0)),'Data_NSA'!$A:$A,0),MATCH($D132,'Data_NSA'!$1:$1,0))))/(100*(INDEX('Data_NSA'!$A:$OK,MATCH(EDATE(I$2,-1),'Data_NSA'!$A:$A,0),MATCH("CUUR0000SA0",'Data_NSA'!$1:$1,0))/INDEX('Data_NSA'!$A:$OK,MATCH(INDEX('Weights'!$E:$E,MATCH($A132,'Weights'!$A:$A,0)),'Data_NSA'!$A:$A,0),MATCH("CUUR0000SA0",'Data_NSA'!$1:$1,0))))*(INDEX('Data_SA'!$A:$LO,MATCH(I$2,'Data_SA'!$A:$A,0),MATCH($E132,'Data_SA'!$1:$1,0))/INDEX('Data_SA'!$A:$LO,MATCH(EDATE(I$2,-1),'Data_SA'!$A:$A,0),MATCH($E132,'Data_SA'!$1:$1,0))-1),""))</f>
        <v/>
      </c>
      <c r="O132" s="10">
        <f>IFERROR(INDEX('Data_NSA'!$A:$OK,MATCH(O$2,'Data_NSA'!$A:$A,0),MATCH($D132,'Data_NSA'!$1:$1,0)),"")</f>
        <v/>
      </c>
      <c r="P132" s="10">
        <f>IF($E132="","",IFERROR(INDEX('Data_SA'!$A:$LO,MATCH(O$2,'Data_SA'!$A:$A,0),MATCH($E132,'Data_SA'!$1:$1,0)),""))</f>
        <v/>
      </c>
      <c r="Q132" s="7">
        <f>IF($E132="","",IFERROR(INDEX('Data_SA'!$A:$LO,MATCH(O$2,'Data_SA'!$A:$A,0),MATCH($E132,'Data_SA'!$1:$1,0))/INDEX('Data_SA'!$A:$LO,MATCH(EDATE(O$2,-1),'Data_SA'!$A:$A,0),MATCH($E132,'Data_SA'!$1:$1,0))-1,""))</f>
        <v/>
      </c>
      <c r="R132" s="7">
        <f>IFERROR(INDEX('Data_NSA'!$A:$OK,MATCH(O$2,'Data_NSA'!$A:$A,0),MATCH($D132,'Data_NSA'!$1:$1,0))/INDEX('Data_NSA'!$A:$OK,MATCH(EDATE(O$2,-12),'Data_NSA'!$A:$A,0),MATCH($D132,'Data_NSA'!$1:$1,0))-1,"")</f>
        <v/>
      </c>
      <c r="S132" s="10">
        <f>IFERROR(INDEX('Weights'!$G:$I,MATCH($A132,'Weights'!$A:$A,0),MATCH(O$2,'Weights'!$G$1:$I$1,0)),"")</f>
        <v/>
      </c>
      <c r="T132" s="10">
        <f>IF($E132="","",IFERROR(100*(INDEX('Weights'!$D:$D,MATCH($A132,'Weights'!$A:$A,0))*(INDEX('Data_NSA'!$A:$OK,MATCH(EDATE(O$2,-1),'Data_NSA'!$A:$A,0),MATCH($D132,'Data_NSA'!$1:$1,0))/INDEX('Data_NSA'!$A:$OK,MATCH(INDEX('Weights'!$E:$E,MATCH($A132,'Weights'!$A:$A,0)),'Data_NSA'!$A:$A,0),MATCH($D132,'Data_NSA'!$1:$1,0))))/(100*(INDEX('Data_NSA'!$A:$OK,MATCH(EDATE(O$2,-1),'Data_NSA'!$A:$A,0),MATCH("CUUR0000SA0",'Data_NSA'!$1:$1,0))/INDEX('Data_NSA'!$A:$OK,MATCH(INDEX('Weights'!$E:$E,MATCH($A132,'Weights'!$A:$A,0)),'Data_NSA'!$A:$A,0),MATCH("CUUR0000SA0",'Data_NSA'!$1:$1,0))))*(INDEX('Data_SA'!$A:$LO,MATCH(O$2,'Data_SA'!$A:$A,0),MATCH($E132,'Data_SA'!$1:$1,0))/INDEX('Data_SA'!$A:$LO,MATCH(EDATE(O$2,-1),'Data_SA'!$A:$A,0),MATCH($E132,'Data_SA'!$1:$1,0))-1),""))</f>
        <v/>
      </c>
      <c r="U132" s="10">
        <f>IFERROR(INDEX('Data_NSA'!$A:$OK,MATCH(U$2,'Data_NSA'!$A:$A,0),MATCH($D132,'Data_NSA'!$1:$1,0)),"")</f>
        <v/>
      </c>
      <c r="V132" s="10">
        <f>IF($E132="","",IFERROR(INDEX('Data_SA'!$A:$LO,MATCH(U$2,'Data_SA'!$A:$A,0),MATCH($E132,'Data_SA'!$1:$1,0)),""))</f>
        <v/>
      </c>
      <c r="W132" s="7">
        <f>IF($E132="","",IFERROR(INDEX('Data_SA'!$A:$LO,MATCH(U$2,'Data_SA'!$A:$A,0),MATCH($E132,'Data_SA'!$1:$1,0))/INDEX('Data_SA'!$A:$LO,MATCH(EDATE(U$2,-1),'Data_SA'!$A:$A,0),MATCH($E132,'Data_SA'!$1:$1,0))-1,""))</f>
        <v/>
      </c>
      <c r="X132" s="7">
        <f>IFERROR(INDEX('Data_NSA'!$A:$OK,MATCH(U$2,'Data_NSA'!$A:$A,0),MATCH($D132,'Data_NSA'!$1:$1,0))/INDEX('Data_NSA'!$A:$OK,MATCH(EDATE(U$2,-12),'Data_NSA'!$A:$A,0),MATCH($D132,'Data_NSA'!$1:$1,0))-1,"")</f>
        <v/>
      </c>
      <c r="Y132" s="10">
        <f>IFERROR(INDEX('Weights'!$G:$I,MATCH($A132,'Weights'!$A:$A,0),MATCH(U$2,'Weights'!$G$1:$I$1,0)),"")</f>
        <v/>
      </c>
      <c r="Z132" s="10">
        <f>IF($E132="","",IFERROR(100*(INDEX('Weights'!$D:$D,MATCH($A132,'Weights'!$A:$A,0))*(INDEX('Data_NSA'!$A:$OK,MATCH(EDATE(U$2,-1),'Data_NSA'!$A:$A,0),MATCH($D132,'Data_NSA'!$1:$1,0))/INDEX('Data_NSA'!$A:$OK,MATCH(INDEX('Weights'!$E:$E,MATCH($A132,'Weights'!$A:$A,0)),'Data_NSA'!$A:$A,0),MATCH($D132,'Data_NSA'!$1:$1,0))))/(100*(INDEX('Data_NSA'!$A:$OK,MATCH(EDATE(U$2,-1),'Data_NSA'!$A:$A,0),MATCH("CUUR0000SA0",'Data_NSA'!$1:$1,0))/INDEX('Data_NSA'!$A:$OK,MATCH(INDEX('Weights'!$E:$E,MATCH($A132,'Weights'!$A:$A,0)),'Data_NSA'!$A:$A,0),MATCH("CUUR0000SA0",'Data_NSA'!$1:$1,0))))*(INDEX('Data_SA'!$A:$LO,MATCH(U$2,'Data_SA'!$A:$A,0),MATCH($E132,'Data_SA'!$1:$1,0))/INDEX('Data_SA'!$A:$LO,MATCH(EDATE(U$2,-1),'Data_SA'!$A:$A,0),MATCH($E132,'Data_SA'!$1:$1,0))-1),""))</f>
        <v/>
      </c>
    </row>
    <row r="133">
      <c r="A133" s="3" t="inlineStr">
        <is>
          <t>SS20022</t>
        </is>
      </c>
      <c r="B133" s="3" t="inlineStr">
        <is>
          <t>Distilled spirits, excluding whiskey, at home</t>
        </is>
      </c>
      <c r="C133" s="3" t="inlineStr">
        <is>
          <t>SEFW02</t>
        </is>
      </c>
      <c r="D133" s="3" t="inlineStr">
        <is>
          <t>CUUR0000SS20022</t>
        </is>
      </c>
      <c r="E133" s="3" t="inlineStr">
        <is>
          <t>CUSR0000SS20022</t>
        </is>
      </c>
      <c r="F133" s="3" t="inlineStr">
        <is>
          <t>GM</t>
        </is>
      </c>
      <c r="G133" s="3" t="inlineStr">
        <is>
          <t>monthly in New York/Los Angeles/Chicago; often bimonthly elsewhere</t>
        </is>
      </c>
      <c r="H133" s="10">
        <f>IFERROR(INDEX(Weights!$D:$D,MATCH($A133,Weights!$A:$A,0)),"")</f>
        <v/>
      </c>
      <c r="I133" s="10">
        <f>IFERROR(INDEX('Data_NSA'!$A:$OK,MATCH(I$2,'Data_NSA'!$A:$A,0),MATCH($D133,'Data_NSA'!$1:$1,0)),"")</f>
        <v/>
      </c>
      <c r="J133" s="10">
        <f>IF($E133="","",IFERROR(INDEX('Data_SA'!$A:$LO,MATCH(I$2,'Data_SA'!$A:$A,0),MATCH($E133,'Data_SA'!$1:$1,0)),""))</f>
        <v/>
      </c>
      <c r="K133" s="7">
        <f>IF($E133="","",IFERROR(INDEX('Data_SA'!$A:$LO,MATCH(I$2,'Data_SA'!$A:$A,0),MATCH($E133,'Data_SA'!$1:$1,0))/INDEX('Data_SA'!$A:$LO,MATCH(EDATE(I$2,-1),'Data_SA'!$A:$A,0),MATCH($E133,'Data_SA'!$1:$1,0))-1,""))</f>
        <v/>
      </c>
      <c r="L133" s="7">
        <f>IFERROR(INDEX('Data_NSA'!$A:$OK,MATCH(I$2,'Data_NSA'!$A:$A,0),MATCH($D133,'Data_NSA'!$1:$1,0))/INDEX('Data_NSA'!$A:$OK,MATCH(EDATE(I$2,-12),'Data_NSA'!$A:$A,0),MATCH($D133,'Data_NSA'!$1:$1,0))-1,"")</f>
        <v/>
      </c>
      <c r="M133" s="10">
        <f>IFERROR(INDEX('Weights'!$G:$I,MATCH($A133,'Weights'!$A:$A,0),MATCH(I$2,'Weights'!$G$1:$I$1,0)),"")</f>
        <v/>
      </c>
      <c r="N133" s="10">
        <f>IF($E133="","",IFERROR(100*(INDEX('Weights'!$D:$D,MATCH($A133,'Weights'!$A:$A,0))*(INDEX('Data_NSA'!$A:$OK,MATCH(EDATE(I$2,-1),'Data_NSA'!$A:$A,0),MATCH($D133,'Data_NSA'!$1:$1,0))/INDEX('Data_NSA'!$A:$OK,MATCH(INDEX('Weights'!$E:$E,MATCH($A133,'Weights'!$A:$A,0)),'Data_NSA'!$A:$A,0),MATCH($D133,'Data_NSA'!$1:$1,0))))/(100*(INDEX('Data_NSA'!$A:$OK,MATCH(EDATE(I$2,-1),'Data_NSA'!$A:$A,0),MATCH("CUUR0000SA0",'Data_NSA'!$1:$1,0))/INDEX('Data_NSA'!$A:$OK,MATCH(INDEX('Weights'!$E:$E,MATCH($A133,'Weights'!$A:$A,0)),'Data_NSA'!$A:$A,0),MATCH("CUUR0000SA0",'Data_NSA'!$1:$1,0))))*(INDEX('Data_SA'!$A:$LO,MATCH(I$2,'Data_SA'!$A:$A,0),MATCH($E133,'Data_SA'!$1:$1,0))/INDEX('Data_SA'!$A:$LO,MATCH(EDATE(I$2,-1),'Data_SA'!$A:$A,0),MATCH($E133,'Data_SA'!$1:$1,0))-1),""))</f>
        <v/>
      </c>
      <c r="O133" s="10">
        <f>IFERROR(INDEX('Data_NSA'!$A:$OK,MATCH(O$2,'Data_NSA'!$A:$A,0),MATCH($D133,'Data_NSA'!$1:$1,0)),"")</f>
        <v/>
      </c>
      <c r="P133" s="10">
        <f>IF($E133="","",IFERROR(INDEX('Data_SA'!$A:$LO,MATCH(O$2,'Data_SA'!$A:$A,0),MATCH($E133,'Data_SA'!$1:$1,0)),""))</f>
        <v/>
      </c>
      <c r="Q133" s="7">
        <f>IF($E133="","",IFERROR(INDEX('Data_SA'!$A:$LO,MATCH(O$2,'Data_SA'!$A:$A,0),MATCH($E133,'Data_SA'!$1:$1,0))/INDEX('Data_SA'!$A:$LO,MATCH(EDATE(O$2,-1),'Data_SA'!$A:$A,0),MATCH($E133,'Data_SA'!$1:$1,0))-1,""))</f>
        <v/>
      </c>
      <c r="R133" s="7">
        <f>IFERROR(INDEX('Data_NSA'!$A:$OK,MATCH(O$2,'Data_NSA'!$A:$A,0),MATCH($D133,'Data_NSA'!$1:$1,0))/INDEX('Data_NSA'!$A:$OK,MATCH(EDATE(O$2,-12),'Data_NSA'!$A:$A,0),MATCH($D133,'Data_NSA'!$1:$1,0))-1,"")</f>
        <v/>
      </c>
      <c r="S133" s="10">
        <f>IFERROR(INDEX('Weights'!$G:$I,MATCH($A133,'Weights'!$A:$A,0),MATCH(O$2,'Weights'!$G$1:$I$1,0)),"")</f>
        <v/>
      </c>
      <c r="T133" s="10">
        <f>IF($E133="","",IFERROR(100*(INDEX('Weights'!$D:$D,MATCH($A133,'Weights'!$A:$A,0))*(INDEX('Data_NSA'!$A:$OK,MATCH(EDATE(O$2,-1),'Data_NSA'!$A:$A,0),MATCH($D133,'Data_NSA'!$1:$1,0))/INDEX('Data_NSA'!$A:$OK,MATCH(INDEX('Weights'!$E:$E,MATCH($A133,'Weights'!$A:$A,0)),'Data_NSA'!$A:$A,0),MATCH($D133,'Data_NSA'!$1:$1,0))))/(100*(INDEX('Data_NSA'!$A:$OK,MATCH(EDATE(O$2,-1),'Data_NSA'!$A:$A,0),MATCH("CUUR0000SA0",'Data_NSA'!$1:$1,0))/INDEX('Data_NSA'!$A:$OK,MATCH(INDEX('Weights'!$E:$E,MATCH($A133,'Weights'!$A:$A,0)),'Data_NSA'!$A:$A,0),MATCH("CUUR0000SA0",'Data_NSA'!$1:$1,0))))*(INDEX('Data_SA'!$A:$LO,MATCH(O$2,'Data_SA'!$A:$A,0),MATCH($E133,'Data_SA'!$1:$1,0))/INDEX('Data_SA'!$A:$LO,MATCH(EDATE(O$2,-1),'Data_SA'!$A:$A,0),MATCH($E133,'Data_SA'!$1:$1,0))-1),""))</f>
        <v/>
      </c>
      <c r="U133" s="10">
        <f>IFERROR(INDEX('Data_NSA'!$A:$OK,MATCH(U$2,'Data_NSA'!$A:$A,0),MATCH($D133,'Data_NSA'!$1:$1,0)),"")</f>
        <v/>
      </c>
      <c r="V133" s="10">
        <f>IF($E133="","",IFERROR(INDEX('Data_SA'!$A:$LO,MATCH(U$2,'Data_SA'!$A:$A,0),MATCH($E133,'Data_SA'!$1:$1,0)),""))</f>
        <v/>
      </c>
      <c r="W133" s="7">
        <f>IF($E133="","",IFERROR(INDEX('Data_SA'!$A:$LO,MATCH(U$2,'Data_SA'!$A:$A,0),MATCH($E133,'Data_SA'!$1:$1,0))/INDEX('Data_SA'!$A:$LO,MATCH(EDATE(U$2,-1),'Data_SA'!$A:$A,0),MATCH($E133,'Data_SA'!$1:$1,0))-1,""))</f>
        <v/>
      </c>
      <c r="X133" s="7">
        <f>IFERROR(INDEX('Data_NSA'!$A:$OK,MATCH(U$2,'Data_NSA'!$A:$A,0),MATCH($D133,'Data_NSA'!$1:$1,0))/INDEX('Data_NSA'!$A:$OK,MATCH(EDATE(U$2,-12),'Data_NSA'!$A:$A,0),MATCH($D133,'Data_NSA'!$1:$1,0))-1,"")</f>
        <v/>
      </c>
      <c r="Y133" s="10">
        <f>IFERROR(INDEX('Weights'!$G:$I,MATCH($A133,'Weights'!$A:$A,0),MATCH(U$2,'Weights'!$G$1:$I$1,0)),"")</f>
        <v/>
      </c>
      <c r="Z133" s="10">
        <f>IF($E133="","",IFERROR(100*(INDEX('Weights'!$D:$D,MATCH($A133,'Weights'!$A:$A,0))*(INDEX('Data_NSA'!$A:$OK,MATCH(EDATE(U$2,-1),'Data_NSA'!$A:$A,0),MATCH($D133,'Data_NSA'!$1:$1,0))/INDEX('Data_NSA'!$A:$OK,MATCH(INDEX('Weights'!$E:$E,MATCH($A133,'Weights'!$A:$A,0)),'Data_NSA'!$A:$A,0),MATCH($D133,'Data_NSA'!$1:$1,0))))/(100*(INDEX('Data_NSA'!$A:$OK,MATCH(EDATE(U$2,-1),'Data_NSA'!$A:$A,0),MATCH("CUUR0000SA0",'Data_NSA'!$1:$1,0))/INDEX('Data_NSA'!$A:$OK,MATCH(INDEX('Weights'!$E:$E,MATCH($A133,'Weights'!$A:$A,0)),'Data_NSA'!$A:$A,0),MATCH("CUUR0000SA0",'Data_NSA'!$1:$1,0))))*(INDEX('Data_SA'!$A:$LO,MATCH(U$2,'Data_SA'!$A:$A,0),MATCH($E133,'Data_SA'!$1:$1,0))/INDEX('Data_SA'!$A:$LO,MATCH(EDATE(U$2,-1),'Data_SA'!$A:$A,0),MATCH($E133,'Data_SA'!$1:$1,0))-1),""))</f>
        <v/>
      </c>
    </row>
    <row r="134">
      <c r="A134" s="3" t="inlineStr">
        <is>
          <t>SEFW03</t>
        </is>
      </c>
      <c r="B134" s="3" t="inlineStr">
        <is>
          <t>Wine at home</t>
        </is>
      </c>
      <c r="C134" s="3" t="inlineStr">
        <is>
          <t>SEFW</t>
        </is>
      </c>
      <c r="D134" s="3" t="inlineStr">
        <is>
          <t>CUUR0000SEFW03</t>
        </is>
      </c>
      <c r="E134" s="3" t="inlineStr">
        <is>
          <t>CUSR0000SEFW03</t>
        </is>
      </c>
      <c r="F134" s="3" t="inlineStr">
        <is>
          <t>GM</t>
        </is>
      </c>
      <c r="G134" s="3" t="inlineStr">
        <is>
          <t>monthly food collection where sampled</t>
        </is>
      </c>
      <c r="H134" s="10">
        <f>IFERROR(INDEX(Weights!$D:$D,MATCH($A134,Weights!$A:$A,0)),"")</f>
        <v/>
      </c>
      <c r="I134" s="10">
        <f>IFERROR(INDEX('Data_NSA'!$A:$OK,MATCH(I$2,'Data_NSA'!$A:$A,0),MATCH($D134,'Data_NSA'!$1:$1,0)),"")</f>
        <v/>
      </c>
      <c r="J134" s="10">
        <f>IF($E134="","",IFERROR(INDEX('Data_SA'!$A:$LO,MATCH(I$2,'Data_SA'!$A:$A,0),MATCH($E134,'Data_SA'!$1:$1,0)),""))</f>
        <v/>
      </c>
      <c r="K134" s="7">
        <f>IF($E134="","",IFERROR(INDEX('Data_SA'!$A:$LO,MATCH(I$2,'Data_SA'!$A:$A,0),MATCH($E134,'Data_SA'!$1:$1,0))/INDEX('Data_SA'!$A:$LO,MATCH(EDATE(I$2,-1),'Data_SA'!$A:$A,0),MATCH($E134,'Data_SA'!$1:$1,0))-1,""))</f>
        <v/>
      </c>
      <c r="L134" s="7">
        <f>IFERROR(INDEX('Data_NSA'!$A:$OK,MATCH(I$2,'Data_NSA'!$A:$A,0),MATCH($D134,'Data_NSA'!$1:$1,0))/INDEX('Data_NSA'!$A:$OK,MATCH(EDATE(I$2,-12),'Data_NSA'!$A:$A,0),MATCH($D134,'Data_NSA'!$1:$1,0))-1,"")</f>
        <v/>
      </c>
      <c r="M134" s="10">
        <f>IFERROR(INDEX('Weights'!$G:$I,MATCH($A134,'Weights'!$A:$A,0),MATCH(I$2,'Weights'!$G$1:$I$1,0)),"")</f>
        <v/>
      </c>
      <c r="N134" s="10">
        <f>IF($E134="","",IFERROR(100*(INDEX('Weights'!$D:$D,MATCH($A134,'Weights'!$A:$A,0))*(INDEX('Data_NSA'!$A:$OK,MATCH(EDATE(I$2,-1),'Data_NSA'!$A:$A,0),MATCH($D134,'Data_NSA'!$1:$1,0))/INDEX('Data_NSA'!$A:$OK,MATCH(INDEX('Weights'!$E:$E,MATCH($A134,'Weights'!$A:$A,0)),'Data_NSA'!$A:$A,0),MATCH($D134,'Data_NSA'!$1:$1,0))))/(100*(INDEX('Data_NSA'!$A:$OK,MATCH(EDATE(I$2,-1),'Data_NSA'!$A:$A,0),MATCH("CUUR0000SA0",'Data_NSA'!$1:$1,0))/INDEX('Data_NSA'!$A:$OK,MATCH(INDEX('Weights'!$E:$E,MATCH($A134,'Weights'!$A:$A,0)),'Data_NSA'!$A:$A,0),MATCH("CUUR0000SA0",'Data_NSA'!$1:$1,0))))*(INDEX('Data_SA'!$A:$LO,MATCH(I$2,'Data_SA'!$A:$A,0),MATCH($E134,'Data_SA'!$1:$1,0))/INDEX('Data_SA'!$A:$LO,MATCH(EDATE(I$2,-1),'Data_SA'!$A:$A,0),MATCH($E134,'Data_SA'!$1:$1,0))-1),""))</f>
        <v/>
      </c>
      <c r="O134" s="10">
        <f>IFERROR(INDEX('Data_NSA'!$A:$OK,MATCH(O$2,'Data_NSA'!$A:$A,0),MATCH($D134,'Data_NSA'!$1:$1,0)),"")</f>
        <v/>
      </c>
      <c r="P134" s="10">
        <f>IF($E134="","",IFERROR(INDEX('Data_SA'!$A:$LO,MATCH(O$2,'Data_SA'!$A:$A,0),MATCH($E134,'Data_SA'!$1:$1,0)),""))</f>
        <v/>
      </c>
      <c r="Q134" s="7">
        <f>IF($E134="","",IFERROR(INDEX('Data_SA'!$A:$LO,MATCH(O$2,'Data_SA'!$A:$A,0),MATCH($E134,'Data_SA'!$1:$1,0))/INDEX('Data_SA'!$A:$LO,MATCH(EDATE(O$2,-1),'Data_SA'!$A:$A,0),MATCH($E134,'Data_SA'!$1:$1,0))-1,""))</f>
        <v/>
      </c>
      <c r="R134" s="7">
        <f>IFERROR(INDEX('Data_NSA'!$A:$OK,MATCH(O$2,'Data_NSA'!$A:$A,0),MATCH($D134,'Data_NSA'!$1:$1,0))/INDEX('Data_NSA'!$A:$OK,MATCH(EDATE(O$2,-12),'Data_NSA'!$A:$A,0),MATCH($D134,'Data_NSA'!$1:$1,0))-1,"")</f>
        <v/>
      </c>
      <c r="S134" s="10">
        <f>IFERROR(INDEX('Weights'!$G:$I,MATCH($A134,'Weights'!$A:$A,0),MATCH(O$2,'Weights'!$G$1:$I$1,0)),"")</f>
        <v/>
      </c>
      <c r="T134" s="10">
        <f>IF($E134="","",IFERROR(100*(INDEX('Weights'!$D:$D,MATCH($A134,'Weights'!$A:$A,0))*(INDEX('Data_NSA'!$A:$OK,MATCH(EDATE(O$2,-1),'Data_NSA'!$A:$A,0),MATCH($D134,'Data_NSA'!$1:$1,0))/INDEX('Data_NSA'!$A:$OK,MATCH(INDEX('Weights'!$E:$E,MATCH($A134,'Weights'!$A:$A,0)),'Data_NSA'!$A:$A,0),MATCH($D134,'Data_NSA'!$1:$1,0))))/(100*(INDEX('Data_NSA'!$A:$OK,MATCH(EDATE(O$2,-1),'Data_NSA'!$A:$A,0),MATCH("CUUR0000SA0",'Data_NSA'!$1:$1,0))/INDEX('Data_NSA'!$A:$OK,MATCH(INDEX('Weights'!$E:$E,MATCH($A134,'Weights'!$A:$A,0)),'Data_NSA'!$A:$A,0),MATCH("CUUR0000SA0",'Data_NSA'!$1:$1,0))))*(INDEX('Data_SA'!$A:$LO,MATCH(O$2,'Data_SA'!$A:$A,0),MATCH($E134,'Data_SA'!$1:$1,0))/INDEX('Data_SA'!$A:$LO,MATCH(EDATE(O$2,-1),'Data_SA'!$A:$A,0),MATCH($E134,'Data_SA'!$1:$1,0))-1),""))</f>
        <v/>
      </c>
      <c r="U134" s="10">
        <f>IFERROR(INDEX('Data_NSA'!$A:$OK,MATCH(U$2,'Data_NSA'!$A:$A,0),MATCH($D134,'Data_NSA'!$1:$1,0)),"")</f>
        <v/>
      </c>
      <c r="V134" s="10">
        <f>IF($E134="","",IFERROR(INDEX('Data_SA'!$A:$LO,MATCH(U$2,'Data_SA'!$A:$A,0),MATCH($E134,'Data_SA'!$1:$1,0)),""))</f>
        <v/>
      </c>
      <c r="W134" s="7">
        <f>IF($E134="","",IFERROR(INDEX('Data_SA'!$A:$LO,MATCH(U$2,'Data_SA'!$A:$A,0),MATCH($E134,'Data_SA'!$1:$1,0))/INDEX('Data_SA'!$A:$LO,MATCH(EDATE(U$2,-1),'Data_SA'!$A:$A,0),MATCH($E134,'Data_SA'!$1:$1,0))-1,""))</f>
        <v/>
      </c>
      <c r="X134" s="7">
        <f>IFERROR(INDEX('Data_NSA'!$A:$OK,MATCH(U$2,'Data_NSA'!$A:$A,0),MATCH($D134,'Data_NSA'!$1:$1,0))/INDEX('Data_NSA'!$A:$OK,MATCH(EDATE(U$2,-12),'Data_NSA'!$A:$A,0),MATCH($D134,'Data_NSA'!$1:$1,0))-1,"")</f>
        <v/>
      </c>
      <c r="Y134" s="10">
        <f>IFERROR(INDEX('Weights'!$G:$I,MATCH($A134,'Weights'!$A:$A,0),MATCH(U$2,'Weights'!$G$1:$I$1,0)),"")</f>
        <v/>
      </c>
      <c r="Z134" s="10">
        <f>IF($E134="","",IFERROR(100*(INDEX('Weights'!$D:$D,MATCH($A134,'Weights'!$A:$A,0))*(INDEX('Data_NSA'!$A:$OK,MATCH(EDATE(U$2,-1),'Data_NSA'!$A:$A,0),MATCH($D134,'Data_NSA'!$1:$1,0))/INDEX('Data_NSA'!$A:$OK,MATCH(INDEX('Weights'!$E:$E,MATCH($A134,'Weights'!$A:$A,0)),'Data_NSA'!$A:$A,0),MATCH($D134,'Data_NSA'!$1:$1,0))))/(100*(INDEX('Data_NSA'!$A:$OK,MATCH(EDATE(U$2,-1),'Data_NSA'!$A:$A,0),MATCH("CUUR0000SA0",'Data_NSA'!$1:$1,0))/INDEX('Data_NSA'!$A:$OK,MATCH(INDEX('Weights'!$E:$E,MATCH($A134,'Weights'!$A:$A,0)),'Data_NSA'!$A:$A,0),MATCH("CUUR0000SA0",'Data_NSA'!$1:$1,0))))*(INDEX('Data_SA'!$A:$LO,MATCH(U$2,'Data_SA'!$A:$A,0),MATCH($E134,'Data_SA'!$1:$1,0))/INDEX('Data_SA'!$A:$LO,MATCH(EDATE(U$2,-1),'Data_SA'!$A:$A,0),MATCH($E134,'Data_SA'!$1:$1,0))-1),""))</f>
        <v/>
      </c>
    </row>
    <row r="135">
      <c r="A135" s="3" t="inlineStr">
        <is>
          <t>SEFX</t>
        </is>
      </c>
      <c r="B135" s="3" t="inlineStr">
        <is>
          <t>Alcoholic beverages away from home</t>
        </is>
      </c>
      <c r="C135" s="3" t="inlineStr">
        <is>
          <t>SAF116</t>
        </is>
      </c>
      <c r="D135" s="3" t="inlineStr">
        <is>
          <t>CUUR0000SEFX</t>
        </is>
      </c>
      <c r="E135" s="3" t="inlineStr">
        <is>
          <t>CUSR0000SEFX</t>
        </is>
      </c>
      <c r="F135" s="3" t="inlineStr">
        <is>
          <t>aggregate</t>
        </is>
      </c>
      <c r="G135" s="3" t="inlineStr">
        <is>
          <t>aggregate</t>
        </is>
      </c>
      <c r="H135" s="10">
        <f>IFERROR(INDEX(Weights!$D:$D,MATCH($A135,Weights!$A:$A,0)),"")</f>
        <v/>
      </c>
      <c r="I135" s="10">
        <f>IFERROR(INDEX('Data_NSA'!$A:$OK,MATCH(I$2,'Data_NSA'!$A:$A,0),MATCH($D135,'Data_NSA'!$1:$1,0)),"")</f>
        <v/>
      </c>
      <c r="J135" s="10">
        <f>IF($E135="","",IFERROR(INDEX('Data_SA'!$A:$LO,MATCH(I$2,'Data_SA'!$A:$A,0),MATCH($E135,'Data_SA'!$1:$1,0)),""))</f>
        <v/>
      </c>
      <c r="K135" s="7">
        <f>IF($E135="","",IFERROR(INDEX('Data_SA'!$A:$LO,MATCH(I$2,'Data_SA'!$A:$A,0),MATCH($E135,'Data_SA'!$1:$1,0))/INDEX('Data_SA'!$A:$LO,MATCH(EDATE(I$2,-1),'Data_SA'!$A:$A,0),MATCH($E135,'Data_SA'!$1:$1,0))-1,""))</f>
        <v/>
      </c>
      <c r="L135" s="7">
        <f>IFERROR(INDEX('Data_NSA'!$A:$OK,MATCH(I$2,'Data_NSA'!$A:$A,0),MATCH($D135,'Data_NSA'!$1:$1,0))/INDEX('Data_NSA'!$A:$OK,MATCH(EDATE(I$2,-12),'Data_NSA'!$A:$A,0),MATCH($D135,'Data_NSA'!$1:$1,0))-1,"")</f>
        <v/>
      </c>
      <c r="M135" s="10">
        <f>IFERROR(INDEX('Weights'!$G:$I,MATCH($A135,'Weights'!$A:$A,0),MATCH(I$2,'Weights'!$G$1:$I$1,0)),"")</f>
        <v/>
      </c>
      <c r="N135" s="10">
        <f>IF($E135="","",IFERROR(100*(INDEX('Weights'!$D:$D,MATCH($A135,'Weights'!$A:$A,0))*(INDEX('Data_NSA'!$A:$OK,MATCH(EDATE(I$2,-1),'Data_NSA'!$A:$A,0),MATCH($D135,'Data_NSA'!$1:$1,0))/INDEX('Data_NSA'!$A:$OK,MATCH(INDEX('Weights'!$E:$E,MATCH($A135,'Weights'!$A:$A,0)),'Data_NSA'!$A:$A,0),MATCH($D135,'Data_NSA'!$1:$1,0))))/(100*(INDEX('Data_NSA'!$A:$OK,MATCH(EDATE(I$2,-1),'Data_NSA'!$A:$A,0),MATCH("CUUR0000SA0",'Data_NSA'!$1:$1,0))/INDEX('Data_NSA'!$A:$OK,MATCH(INDEX('Weights'!$E:$E,MATCH($A135,'Weights'!$A:$A,0)),'Data_NSA'!$A:$A,0),MATCH("CUUR0000SA0",'Data_NSA'!$1:$1,0))))*(INDEX('Data_SA'!$A:$LO,MATCH(I$2,'Data_SA'!$A:$A,0),MATCH($E135,'Data_SA'!$1:$1,0))/INDEX('Data_SA'!$A:$LO,MATCH(EDATE(I$2,-1),'Data_SA'!$A:$A,0),MATCH($E135,'Data_SA'!$1:$1,0))-1),""))</f>
        <v/>
      </c>
      <c r="O135" s="10">
        <f>IFERROR(INDEX('Data_NSA'!$A:$OK,MATCH(O$2,'Data_NSA'!$A:$A,0),MATCH($D135,'Data_NSA'!$1:$1,0)),"")</f>
        <v/>
      </c>
      <c r="P135" s="10">
        <f>IF($E135="","",IFERROR(INDEX('Data_SA'!$A:$LO,MATCH(O$2,'Data_SA'!$A:$A,0),MATCH($E135,'Data_SA'!$1:$1,0)),""))</f>
        <v/>
      </c>
      <c r="Q135" s="7">
        <f>IF($E135="","",IFERROR(INDEX('Data_SA'!$A:$LO,MATCH(O$2,'Data_SA'!$A:$A,0),MATCH($E135,'Data_SA'!$1:$1,0))/INDEX('Data_SA'!$A:$LO,MATCH(EDATE(O$2,-1),'Data_SA'!$A:$A,0),MATCH($E135,'Data_SA'!$1:$1,0))-1,""))</f>
        <v/>
      </c>
      <c r="R135" s="7">
        <f>IFERROR(INDEX('Data_NSA'!$A:$OK,MATCH(O$2,'Data_NSA'!$A:$A,0),MATCH($D135,'Data_NSA'!$1:$1,0))/INDEX('Data_NSA'!$A:$OK,MATCH(EDATE(O$2,-12),'Data_NSA'!$A:$A,0),MATCH($D135,'Data_NSA'!$1:$1,0))-1,"")</f>
        <v/>
      </c>
      <c r="S135" s="10">
        <f>IFERROR(INDEX('Weights'!$G:$I,MATCH($A135,'Weights'!$A:$A,0),MATCH(O$2,'Weights'!$G$1:$I$1,0)),"")</f>
        <v/>
      </c>
      <c r="T135" s="10">
        <f>IF($E135="","",IFERROR(100*(INDEX('Weights'!$D:$D,MATCH($A135,'Weights'!$A:$A,0))*(INDEX('Data_NSA'!$A:$OK,MATCH(EDATE(O$2,-1),'Data_NSA'!$A:$A,0),MATCH($D135,'Data_NSA'!$1:$1,0))/INDEX('Data_NSA'!$A:$OK,MATCH(INDEX('Weights'!$E:$E,MATCH($A135,'Weights'!$A:$A,0)),'Data_NSA'!$A:$A,0),MATCH($D135,'Data_NSA'!$1:$1,0))))/(100*(INDEX('Data_NSA'!$A:$OK,MATCH(EDATE(O$2,-1),'Data_NSA'!$A:$A,0),MATCH("CUUR0000SA0",'Data_NSA'!$1:$1,0))/INDEX('Data_NSA'!$A:$OK,MATCH(INDEX('Weights'!$E:$E,MATCH($A135,'Weights'!$A:$A,0)),'Data_NSA'!$A:$A,0),MATCH("CUUR0000SA0",'Data_NSA'!$1:$1,0))))*(INDEX('Data_SA'!$A:$LO,MATCH(O$2,'Data_SA'!$A:$A,0),MATCH($E135,'Data_SA'!$1:$1,0))/INDEX('Data_SA'!$A:$LO,MATCH(EDATE(O$2,-1),'Data_SA'!$A:$A,0),MATCH($E135,'Data_SA'!$1:$1,0))-1),""))</f>
        <v/>
      </c>
      <c r="U135" s="10">
        <f>IFERROR(INDEX('Data_NSA'!$A:$OK,MATCH(U$2,'Data_NSA'!$A:$A,0),MATCH($D135,'Data_NSA'!$1:$1,0)),"")</f>
        <v/>
      </c>
      <c r="V135" s="10">
        <f>IF($E135="","",IFERROR(INDEX('Data_SA'!$A:$LO,MATCH(U$2,'Data_SA'!$A:$A,0),MATCH($E135,'Data_SA'!$1:$1,0)),""))</f>
        <v/>
      </c>
      <c r="W135" s="7">
        <f>IF($E135="","",IFERROR(INDEX('Data_SA'!$A:$LO,MATCH(U$2,'Data_SA'!$A:$A,0),MATCH($E135,'Data_SA'!$1:$1,0))/INDEX('Data_SA'!$A:$LO,MATCH(EDATE(U$2,-1),'Data_SA'!$A:$A,0),MATCH($E135,'Data_SA'!$1:$1,0))-1,""))</f>
        <v/>
      </c>
      <c r="X135" s="7">
        <f>IFERROR(INDEX('Data_NSA'!$A:$OK,MATCH(U$2,'Data_NSA'!$A:$A,0),MATCH($D135,'Data_NSA'!$1:$1,0))/INDEX('Data_NSA'!$A:$OK,MATCH(EDATE(U$2,-12),'Data_NSA'!$A:$A,0),MATCH($D135,'Data_NSA'!$1:$1,0))-1,"")</f>
        <v/>
      </c>
      <c r="Y135" s="10">
        <f>IFERROR(INDEX('Weights'!$G:$I,MATCH($A135,'Weights'!$A:$A,0),MATCH(U$2,'Weights'!$G$1:$I$1,0)),"")</f>
        <v/>
      </c>
      <c r="Z135" s="10">
        <f>IF($E135="","",IFERROR(100*(INDEX('Weights'!$D:$D,MATCH($A135,'Weights'!$A:$A,0))*(INDEX('Data_NSA'!$A:$OK,MATCH(EDATE(U$2,-1),'Data_NSA'!$A:$A,0),MATCH($D135,'Data_NSA'!$1:$1,0))/INDEX('Data_NSA'!$A:$OK,MATCH(INDEX('Weights'!$E:$E,MATCH($A135,'Weights'!$A:$A,0)),'Data_NSA'!$A:$A,0),MATCH($D135,'Data_NSA'!$1:$1,0))))/(100*(INDEX('Data_NSA'!$A:$OK,MATCH(EDATE(U$2,-1),'Data_NSA'!$A:$A,0),MATCH("CUUR0000SA0",'Data_NSA'!$1:$1,0))/INDEX('Data_NSA'!$A:$OK,MATCH(INDEX('Weights'!$E:$E,MATCH($A135,'Weights'!$A:$A,0)),'Data_NSA'!$A:$A,0),MATCH("CUUR0000SA0",'Data_NSA'!$1:$1,0))))*(INDEX('Data_SA'!$A:$LO,MATCH(U$2,'Data_SA'!$A:$A,0),MATCH($E135,'Data_SA'!$1:$1,0))/INDEX('Data_SA'!$A:$LO,MATCH(EDATE(U$2,-1),'Data_SA'!$A:$A,0),MATCH($E135,'Data_SA'!$1:$1,0))-1),""))</f>
        <v/>
      </c>
    </row>
    <row r="136">
      <c r="A136" s="3" t="inlineStr">
        <is>
          <t>SS20051</t>
        </is>
      </c>
      <c r="B136" s="3" t="inlineStr">
        <is>
          <t>Beer, ale, and other malt beverages away from home</t>
        </is>
      </c>
      <c r="C136" s="3" t="inlineStr">
        <is>
          <t>SEFX</t>
        </is>
      </c>
      <c r="D136" s="3" t="inlineStr">
        <is>
          <t>CUUR0000SS20051</t>
        </is>
      </c>
      <c r="E136" s="3" t="inlineStr"/>
      <c r="F136" s="3" t="inlineStr">
        <is>
          <t>GM</t>
        </is>
      </c>
      <c r="G136" s="3" t="inlineStr">
        <is>
          <t>monthly in New York/Los Angeles/Chicago; often bimonthly elsewhere</t>
        </is>
      </c>
      <c r="H136" s="10">
        <f>IFERROR(INDEX(Weights!$D:$D,MATCH($A136,Weights!$A:$A,0)),"")</f>
        <v/>
      </c>
      <c r="I136" s="10">
        <f>IFERROR(INDEX('Data_NSA'!$A:$OK,MATCH(I$2,'Data_NSA'!$A:$A,0),MATCH($D136,'Data_NSA'!$1:$1,0)),"")</f>
        <v/>
      </c>
      <c r="J136" s="10">
        <f>IF($E136="","",IFERROR(INDEX('Data_SA'!$A:$LO,MATCH(I$2,'Data_SA'!$A:$A,0),MATCH($E136,'Data_SA'!$1:$1,0)),""))</f>
        <v/>
      </c>
      <c r="K136" s="7">
        <f>IF($E136="","",IFERROR(INDEX('Data_SA'!$A:$LO,MATCH(I$2,'Data_SA'!$A:$A,0),MATCH($E136,'Data_SA'!$1:$1,0))/INDEX('Data_SA'!$A:$LO,MATCH(EDATE(I$2,-1),'Data_SA'!$A:$A,0),MATCH($E136,'Data_SA'!$1:$1,0))-1,""))</f>
        <v/>
      </c>
      <c r="L136" s="7">
        <f>IFERROR(INDEX('Data_NSA'!$A:$OK,MATCH(I$2,'Data_NSA'!$A:$A,0),MATCH($D136,'Data_NSA'!$1:$1,0))/INDEX('Data_NSA'!$A:$OK,MATCH(EDATE(I$2,-12),'Data_NSA'!$A:$A,0),MATCH($D136,'Data_NSA'!$1:$1,0))-1,"")</f>
        <v/>
      </c>
      <c r="M136" s="10">
        <f>IFERROR(INDEX('Weights'!$G:$I,MATCH($A136,'Weights'!$A:$A,0),MATCH(I$2,'Weights'!$G$1:$I$1,0)),"")</f>
        <v/>
      </c>
      <c r="N136" s="10">
        <f>IF($E136="","",IFERROR(100*(INDEX('Weights'!$D:$D,MATCH($A136,'Weights'!$A:$A,0))*(INDEX('Data_NSA'!$A:$OK,MATCH(EDATE(I$2,-1),'Data_NSA'!$A:$A,0),MATCH($D136,'Data_NSA'!$1:$1,0))/INDEX('Data_NSA'!$A:$OK,MATCH(INDEX('Weights'!$E:$E,MATCH($A136,'Weights'!$A:$A,0)),'Data_NSA'!$A:$A,0),MATCH($D136,'Data_NSA'!$1:$1,0))))/(100*(INDEX('Data_NSA'!$A:$OK,MATCH(EDATE(I$2,-1),'Data_NSA'!$A:$A,0),MATCH("CUUR0000SA0",'Data_NSA'!$1:$1,0))/INDEX('Data_NSA'!$A:$OK,MATCH(INDEX('Weights'!$E:$E,MATCH($A136,'Weights'!$A:$A,0)),'Data_NSA'!$A:$A,0),MATCH("CUUR0000SA0",'Data_NSA'!$1:$1,0))))*(INDEX('Data_SA'!$A:$LO,MATCH(I$2,'Data_SA'!$A:$A,0),MATCH($E136,'Data_SA'!$1:$1,0))/INDEX('Data_SA'!$A:$LO,MATCH(EDATE(I$2,-1),'Data_SA'!$A:$A,0),MATCH($E136,'Data_SA'!$1:$1,0))-1),""))</f>
        <v/>
      </c>
      <c r="O136" s="10">
        <f>IFERROR(INDEX('Data_NSA'!$A:$OK,MATCH(O$2,'Data_NSA'!$A:$A,0),MATCH($D136,'Data_NSA'!$1:$1,0)),"")</f>
        <v/>
      </c>
      <c r="P136" s="10">
        <f>IF($E136="","",IFERROR(INDEX('Data_SA'!$A:$LO,MATCH(O$2,'Data_SA'!$A:$A,0),MATCH($E136,'Data_SA'!$1:$1,0)),""))</f>
        <v/>
      </c>
      <c r="Q136" s="7">
        <f>IF($E136="","",IFERROR(INDEX('Data_SA'!$A:$LO,MATCH(O$2,'Data_SA'!$A:$A,0),MATCH($E136,'Data_SA'!$1:$1,0))/INDEX('Data_SA'!$A:$LO,MATCH(EDATE(O$2,-1),'Data_SA'!$A:$A,0),MATCH($E136,'Data_SA'!$1:$1,0))-1,""))</f>
        <v/>
      </c>
      <c r="R136" s="7">
        <f>IFERROR(INDEX('Data_NSA'!$A:$OK,MATCH(O$2,'Data_NSA'!$A:$A,0),MATCH($D136,'Data_NSA'!$1:$1,0))/INDEX('Data_NSA'!$A:$OK,MATCH(EDATE(O$2,-12),'Data_NSA'!$A:$A,0),MATCH($D136,'Data_NSA'!$1:$1,0))-1,"")</f>
        <v/>
      </c>
      <c r="S136" s="10">
        <f>IFERROR(INDEX('Weights'!$G:$I,MATCH($A136,'Weights'!$A:$A,0),MATCH(O$2,'Weights'!$G$1:$I$1,0)),"")</f>
        <v/>
      </c>
      <c r="T136" s="10">
        <f>IF($E136="","",IFERROR(100*(INDEX('Weights'!$D:$D,MATCH($A136,'Weights'!$A:$A,0))*(INDEX('Data_NSA'!$A:$OK,MATCH(EDATE(O$2,-1),'Data_NSA'!$A:$A,0),MATCH($D136,'Data_NSA'!$1:$1,0))/INDEX('Data_NSA'!$A:$OK,MATCH(INDEX('Weights'!$E:$E,MATCH($A136,'Weights'!$A:$A,0)),'Data_NSA'!$A:$A,0),MATCH($D136,'Data_NSA'!$1:$1,0))))/(100*(INDEX('Data_NSA'!$A:$OK,MATCH(EDATE(O$2,-1),'Data_NSA'!$A:$A,0),MATCH("CUUR0000SA0",'Data_NSA'!$1:$1,0))/INDEX('Data_NSA'!$A:$OK,MATCH(INDEX('Weights'!$E:$E,MATCH($A136,'Weights'!$A:$A,0)),'Data_NSA'!$A:$A,0),MATCH("CUUR0000SA0",'Data_NSA'!$1:$1,0))))*(INDEX('Data_SA'!$A:$LO,MATCH(O$2,'Data_SA'!$A:$A,0),MATCH($E136,'Data_SA'!$1:$1,0))/INDEX('Data_SA'!$A:$LO,MATCH(EDATE(O$2,-1),'Data_SA'!$A:$A,0),MATCH($E136,'Data_SA'!$1:$1,0))-1),""))</f>
        <v/>
      </c>
      <c r="U136" s="10">
        <f>IFERROR(INDEX('Data_NSA'!$A:$OK,MATCH(U$2,'Data_NSA'!$A:$A,0),MATCH($D136,'Data_NSA'!$1:$1,0)),"")</f>
        <v/>
      </c>
      <c r="V136" s="10">
        <f>IF($E136="","",IFERROR(INDEX('Data_SA'!$A:$LO,MATCH(U$2,'Data_SA'!$A:$A,0),MATCH($E136,'Data_SA'!$1:$1,0)),""))</f>
        <v/>
      </c>
      <c r="W136" s="7">
        <f>IF($E136="","",IFERROR(INDEX('Data_SA'!$A:$LO,MATCH(U$2,'Data_SA'!$A:$A,0),MATCH($E136,'Data_SA'!$1:$1,0))/INDEX('Data_SA'!$A:$LO,MATCH(EDATE(U$2,-1),'Data_SA'!$A:$A,0),MATCH($E136,'Data_SA'!$1:$1,0))-1,""))</f>
        <v/>
      </c>
      <c r="X136" s="7">
        <f>IFERROR(INDEX('Data_NSA'!$A:$OK,MATCH(U$2,'Data_NSA'!$A:$A,0),MATCH($D136,'Data_NSA'!$1:$1,0))/INDEX('Data_NSA'!$A:$OK,MATCH(EDATE(U$2,-12),'Data_NSA'!$A:$A,0),MATCH($D136,'Data_NSA'!$1:$1,0))-1,"")</f>
        <v/>
      </c>
      <c r="Y136" s="10">
        <f>IFERROR(INDEX('Weights'!$G:$I,MATCH($A136,'Weights'!$A:$A,0),MATCH(U$2,'Weights'!$G$1:$I$1,0)),"")</f>
        <v/>
      </c>
      <c r="Z136" s="10">
        <f>IF($E136="","",IFERROR(100*(INDEX('Weights'!$D:$D,MATCH($A136,'Weights'!$A:$A,0))*(INDEX('Data_NSA'!$A:$OK,MATCH(EDATE(U$2,-1),'Data_NSA'!$A:$A,0),MATCH($D136,'Data_NSA'!$1:$1,0))/INDEX('Data_NSA'!$A:$OK,MATCH(INDEX('Weights'!$E:$E,MATCH($A136,'Weights'!$A:$A,0)),'Data_NSA'!$A:$A,0),MATCH($D136,'Data_NSA'!$1:$1,0))))/(100*(INDEX('Data_NSA'!$A:$OK,MATCH(EDATE(U$2,-1),'Data_NSA'!$A:$A,0),MATCH("CUUR0000SA0",'Data_NSA'!$1:$1,0))/INDEX('Data_NSA'!$A:$OK,MATCH(INDEX('Weights'!$E:$E,MATCH($A136,'Weights'!$A:$A,0)),'Data_NSA'!$A:$A,0),MATCH("CUUR0000SA0",'Data_NSA'!$1:$1,0))))*(INDEX('Data_SA'!$A:$LO,MATCH(U$2,'Data_SA'!$A:$A,0),MATCH($E136,'Data_SA'!$1:$1,0))/INDEX('Data_SA'!$A:$LO,MATCH(EDATE(U$2,-1),'Data_SA'!$A:$A,0),MATCH($E136,'Data_SA'!$1:$1,0))-1),""))</f>
        <v/>
      </c>
    </row>
    <row r="137">
      <c r="A137" s="3" t="inlineStr">
        <is>
          <t>SS20052</t>
        </is>
      </c>
      <c r="B137" s="3" t="inlineStr">
        <is>
          <t>Wine away from home</t>
        </is>
      </c>
      <c r="C137" s="3" t="inlineStr">
        <is>
          <t>SEFX</t>
        </is>
      </c>
      <c r="D137" s="3" t="inlineStr">
        <is>
          <t>CUUR0000SS20052</t>
        </is>
      </c>
      <c r="E137" s="3" t="inlineStr"/>
      <c r="F137" s="3" t="inlineStr">
        <is>
          <t>GM</t>
        </is>
      </c>
      <c r="G137" s="3" t="inlineStr">
        <is>
          <t>monthly in New York/Los Angeles/Chicago; often bimonthly elsewhere</t>
        </is>
      </c>
      <c r="H137" s="10">
        <f>IFERROR(INDEX(Weights!$D:$D,MATCH($A137,Weights!$A:$A,0)),"")</f>
        <v/>
      </c>
      <c r="I137" s="10">
        <f>IFERROR(INDEX('Data_NSA'!$A:$OK,MATCH(I$2,'Data_NSA'!$A:$A,0),MATCH($D137,'Data_NSA'!$1:$1,0)),"")</f>
        <v/>
      </c>
      <c r="J137" s="10">
        <f>IF($E137="","",IFERROR(INDEX('Data_SA'!$A:$LO,MATCH(I$2,'Data_SA'!$A:$A,0),MATCH($E137,'Data_SA'!$1:$1,0)),""))</f>
        <v/>
      </c>
      <c r="K137" s="7">
        <f>IF($E137="","",IFERROR(INDEX('Data_SA'!$A:$LO,MATCH(I$2,'Data_SA'!$A:$A,0),MATCH($E137,'Data_SA'!$1:$1,0))/INDEX('Data_SA'!$A:$LO,MATCH(EDATE(I$2,-1),'Data_SA'!$A:$A,0),MATCH($E137,'Data_SA'!$1:$1,0))-1,""))</f>
        <v/>
      </c>
      <c r="L137" s="7">
        <f>IFERROR(INDEX('Data_NSA'!$A:$OK,MATCH(I$2,'Data_NSA'!$A:$A,0),MATCH($D137,'Data_NSA'!$1:$1,0))/INDEX('Data_NSA'!$A:$OK,MATCH(EDATE(I$2,-12),'Data_NSA'!$A:$A,0),MATCH($D137,'Data_NSA'!$1:$1,0))-1,"")</f>
        <v/>
      </c>
      <c r="M137" s="10">
        <f>IFERROR(INDEX('Weights'!$G:$I,MATCH($A137,'Weights'!$A:$A,0),MATCH(I$2,'Weights'!$G$1:$I$1,0)),"")</f>
        <v/>
      </c>
      <c r="N137" s="10">
        <f>IF($E137="","",IFERROR(100*(INDEX('Weights'!$D:$D,MATCH($A137,'Weights'!$A:$A,0))*(INDEX('Data_NSA'!$A:$OK,MATCH(EDATE(I$2,-1),'Data_NSA'!$A:$A,0),MATCH($D137,'Data_NSA'!$1:$1,0))/INDEX('Data_NSA'!$A:$OK,MATCH(INDEX('Weights'!$E:$E,MATCH($A137,'Weights'!$A:$A,0)),'Data_NSA'!$A:$A,0),MATCH($D137,'Data_NSA'!$1:$1,0))))/(100*(INDEX('Data_NSA'!$A:$OK,MATCH(EDATE(I$2,-1),'Data_NSA'!$A:$A,0),MATCH("CUUR0000SA0",'Data_NSA'!$1:$1,0))/INDEX('Data_NSA'!$A:$OK,MATCH(INDEX('Weights'!$E:$E,MATCH($A137,'Weights'!$A:$A,0)),'Data_NSA'!$A:$A,0),MATCH("CUUR0000SA0",'Data_NSA'!$1:$1,0))))*(INDEX('Data_SA'!$A:$LO,MATCH(I$2,'Data_SA'!$A:$A,0),MATCH($E137,'Data_SA'!$1:$1,0))/INDEX('Data_SA'!$A:$LO,MATCH(EDATE(I$2,-1),'Data_SA'!$A:$A,0),MATCH($E137,'Data_SA'!$1:$1,0))-1),""))</f>
        <v/>
      </c>
      <c r="O137" s="10">
        <f>IFERROR(INDEX('Data_NSA'!$A:$OK,MATCH(O$2,'Data_NSA'!$A:$A,0),MATCH($D137,'Data_NSA'!$1:$1,0)),"")</f>
        <v/>
      </c>
      <c r="P137" s="10">
        <f>IF($E137="","",IFERROR(INDEX('Data_SA'!$A:$LO,MATCH(O$2,'Data_SA'!$A:$A,0),MATCH($E137,'Data_SA'!$1:$1,0)),""))</f>
        <v/>
      </c>
      <c r="Q137" s="7">
        <f>IF($E137="","",IFERROR(INDEX('Data_SA'!$A:$LO,MATCH(O$2,'Data_SA'!$A:$A,0),MATCH($E137,'Data_SA'!$1:$1,0))/INDEX('Data_SA'!$A:$LO,MATCH(EDATE(O$2,-1),'Data_SA'!$A:$A,0),MATCH($E137,'Data_SA'!$1:$1,0))-1,""))</f>
        <v/>
      </c>
      <c r="R137" s="7">
        <f>IFERROR(INDEX('Data_NSA'!$A:$OK,MATCH(O$2,'Data_NSA'!$A:$A,0),MATCH($D137,'Data_NSA'!$1:$1,0))/INDEX('Data_NSA'!$A:$OK,MATCH(EDATE(O$2,-12),'Data_NSA'!$A:$A,0),MATCH($D137,'Data_NSA'!$1:$1,0))-1,"")</f>
        <v/>
      </c>
      <c r="S137" s="10">
        <f>IFERROR(INDEX('Weights'!$G:$I,MATCH($A137,'Weights'!$A:$A,0),MATCH(O$2,'Weights'!$G$1:$I$1,0)),"")</f>
        <v/>
      </c>
      <c r="T137" s="10">
        <f>IF($E137="","",IFERROR(100*(INDEX('Weights'!$D:$D,MATCH($A137,'Weights'!$A:$A,0))*(INDEX('Data_NSA'!$A:$OK,MATCH(EDATE(O$2,-1),'Data_NSA'!$A:$A,0),MATCH($D137,'Data_NSA'!$1:$1,0))/INDEX('Data_NSA'!$A:$OK,MATCH(INDEX('Weights'!$E:$E,MATCH($A137,'Weights'!$A:$A,0)),'Data_NSA'!$A:$A,0),MATCH($D137,'Data_NSA'!$1:$1,0))))/(100*(INDEX('Data_NSA'!$A:$OK,MATCH(EDATE(O$2,-1),'Data_NSA'!$A:$A,0),MATCH("CUUR0000SA0",'Data_NSA'!$1:$1,0))/INDEX('Data_NSA'!$A:$OK,MATCH(INDEX('Weights'!$E:$E,MATCH($A137,'Weights'!$A:$A,0)),'Data_NSA'!$A:$A,0),MATCH("CUUR0000SA0",'Data_NSA'!$1:$1,0))))*(INDEX('Data_SA'!$A:$LO,MATCH(O$2,'Data_SA'!$A:$A,0),MATCH($E137,'Data_SA'!$1:$1,0))/INDEX('Data_SA'!$A:$LO,MATCH(EDATE(O$2,-1),'Data_SA'!$A:$A,0),MATCH($E137,'Data_SA'!$1:$1,0))-1),""))</f>
        <v/>
      </c>
      <c r="U137" s="10">
        <f>IFERROR(INDEX('Data_NSA'!$A:$OK,MATCH(U$2,'Data_NSA'!$A:$A,0),MATCH($D137,'Data_NSA'!$1:$1,0)),"")</f>
        <v/>
      </c>
      <c r="V137" s="10">
        <f>IF($E137="","",IFERROR(INDEX('Data_SA'!$A:$LO,MATCH(U$2,'Data_SA'!$A:$A,0),MATCH($E137,'Data_SA'!$1:$1,0)),""))</f>
        <v/>
      </c>
      <c r="W137" s="7">
        <f>IF($E137="","",IFERROR(INDEX('Data_SA'!$A:$LO,MATCH(U$2,'Data_SA'!$A:$A,0),MATCH($E137,'Data_SA'!$1:$1,0))/INDEX('Data_SA'!$A:$LO,MATCH(EDATE(U$2,-1),'Data_SA'!$A:$A,0),MATCH($E137,'Data_SA'!$1:$1,0))-1,""))</f>
        <v/>
      </c>
      <c r="X137" s="7">
        <f>IFERROR(INDEX('Data_NSA'!$A:$OK,MATCH(U$2,'Data_NSA'!$A:$A,0),MATCH($D137,'Data_NSA'!$1:$1,0))/INDEX('Data_NSA'!$A:$OK,MATCH(EDATE(U$2,-12),'Data_NSA'!$A:$A,0),MATCH($D137,'Data_NSA'!$1:$1,0))-1,"")</f>
        <v/>
      </c>
      <c r="Y137" s="10">
        <f>IFERROR(INDEX('Weights'!$G:$I,MATCH($A137,'Weights'!$A:$A,0),MATCH(U$2,'Weights'!$G$1:$I$1,0)),"")</f>
        <v/>
      </c>
      <c r="Z137" s="10">
        <f>IF($E137="","",IFERROR(100*(INDEX('Weights'!$D:$D,MATCH($A137,'Weights'!$A:$A,0))*(INDEX('Data_NSA'!$A:$OK,MATCH(EDATE(U$2,-1),'Data_NSA'!$A:$A,0),MATCH($D137,'Data_NSA'!$1:$1,0))/INDEX('Data_NSA'!$A:$OK,MATCH(INDEX('Weights'!$E:$E,MATCH($A137,'Weights'!$A:$A,0)),'Data_NSA'!$A:$A,0),MATCH($D137,'Data_NSA'!$1:$1,0))))/(100*(INDEX('Data_NSA'!$A:$OK,MATCH(EDATE(U$2,-1),'Data_NSA'!$A:$A,0),MATCH("CUUR0000SA0",'Data_NSA'!$1:$1,0))/INDEX('Data_NSA'!$A:$OK,MATCH(INDEX('Weights'!$E:$E,MATCH($A137,'Weights'!$A:$A,0)),'Data_NSA'!$A:$A,0),MATCH("CUUR0000SA0",'Data_NSA'!$1:$1,0))))*(INDEX('Data_SA'!$A:$LO,MATCH(U$2,'Data_SA'!$A:$A,0),MATCH($E137,'Data_SA'!$1:$1,0))/INDEX('Data_SA'!$A:$LO,MATCH(EDATE(U$2,-1),'Data_SA'!$A:$A,0),MATCH($E137,'Data_SA'!$1:$1,0))-1),""))</f>
        <v/>
      </c>
    </row>
    <row r="138">
      <c r="A138" s="3" t="inlineStr">
        <is>
          <t>SS20053</t>
        </is>
      </c>
      <c r="B138" s="3" t="inlineStr">
        <is>
          <t>Distilled spirits away from home</t>
        </is>
      </c>
      <c r="C138" s="3" t="inlineStr">
        <is>
          <t>SEFX</t>
        </is>
      </c>
      <c r="D138" s="3" t="inlineStr">
        <is>
          <t>CUUR0000SS20053</t>
        </is>
      </c>
      <c r="E138" s="3" t="inlineStr">
        <is>
          <t>CUSR0000SS20053</t>
        </is>
      </c>
      <c r="F138" s="3" t="inlineStr">
        <is>
          <t>GM</t>
        </is>
      </c>
      <c r="G138" s="3" t="inlineStr">
        <is>
          <t>monthly in New York/Los Angeles/Chicago; often bimonthly elsewhere</t>
        </is>
      </c>
      <c r="H138" s="10">
        <f>IFERROR(INDEX(Weights!$D:$D,MATCH($A138,Weights!$A:$A,0)),"")</f>
        <v/>
      </c>
      <c r="I138" s="10">
        <f>IFERROR(INDEX('Data_NSA'!$A:$OK,MATCH(I$2,'Data_NSA'!$A:$A,0),MATCH($D138,'Data_NSA'!$1:$1,0)),"")</f>
        <v/>
      </c>
      <c r="J138" s="10">
        <f>IF($E138="","",IFERROR(INDEX('Data_SA'!$A:$LO,MATCH(I$2,'Data_SA'!$A:$A,0),MATCH($E138,'Data_SA'!$1:$1,0)),""))</f>
        <v/>
      </c>
      <c r="K138" s="7">
        <f>IF($E138="","",IFERROR(INDEX('Data_SA'!$A:$LO,MATCH(I$2,'Data_SA'!$A:$A,0),MATCH($E138,'Data_SA'!$1:$1,0))/INDEX('Data_SA'!$A:$LO,MATCH(EDATE(I$2,-1),'Data_SA'!$A:$A,0),MATCH($E138,'Data_SA'!$1:$1,0))-1,""))</f>
        <v/>
      </c>
      <c r="L138" s="7">
        <f>IFERROR(INDEX('Data_NSA'!$A:$OK,MATCH(I$2,'Data_NSA'!$A:$A,0),MATCH($D138,'Data_NSA'!$1:$1,0))/INDEX('Data_NSA'!$A:$OK,MATCH(EDATE(I$2,-12),'Data_NSA'!$A:$A,0),MATCH($D138,'Data_NSA'!$1:$1,0))-1,"")</f>
        <v/>
      </c>
      <c r="M138" s="10">
        <f>IFERROR(INDEX('Weights'!$G:$I,MATCH($A138,'Weights'!$A:$A,0),MATCH(I$2,'Weights'!$G$1:$I$1,0)),"")</f>
        <v/>
      </c>
      <c r="N138" s="10">
        <f>IF($E138="","",IFERROR(100*(INDEX('Weights'!$D:$D,MATCH($A138,'Weights'!$A:$A,0))*(INDEX('Data_NSA'!$A:$OK,MATCH(EDATE(I$2,-1),'Data_NSA'!$A:$A,0),MATCH($D138,'Data_NSA'!$1:$1,0))/INDEX('Data_NSA'!$A:$OK,MATCH(INDEX('Weights'!$E:$E,MATCH($A138,'Weights'!$A:$A,0)),'Data_NSA'!$A:$A,0),MATCH($D138,'Data_NSA'!$1:$1,0))))/(100*(INDEX('Data_NSA'!$A:$OK,MATCH(EDATE(I$2,-1),'Data_NSA'!$A:$A,0),MATCH("CUUR0000SA0",'Data_NSA'!$1:$1,0))/INDEX('Data_NSA'!$A:$OK,MATCH(INDEX('Weights'!$E:$E,MATCH($A138,'Weights'!$A:$A,0)),'Data_NSA'!$A:$A,0),MATCH("CUUR0000SA0",'Data_NSA'!$1:$1,0))))*(INDEX('Data_SA'!$A:$LO,MATCH(I$2,'Data_SA'!$A:$A,0),MATCH($E138,'Data_SA'!$1:$1,0))/INDEX('Data_SA'!$A:$LO,MATCH(EDATE(I$2,-1),'Data_SA'!$A:$A,0),MATCH($E138,'Data_SA'!$1:$1,0))-1),""))</f>
        <v/>
      </c>
      <c r="O138" s="10">
        <f>IFERROR(INDEX('Data_NSA'!$A:$OK,MATCH(O$2,'Data_NSA'!$A:$A,0),MATCH($D138,'Data_NSA'!$1:$1,0)),"")</f>
        <v/>
      </c>
      <c r="P138" s="10">
        <f>IF($E138="","",IFERROR(INDEX('Data_SA'!$A:$LO,MATCH(O$2,'Data_SA'!$A:$A,0),MATCH($E138,'Data_SA'!$1:$1,0)),""))</f>
        <v/>
      </c>
      <c r="Q138" s="7">
        <f>IF($E138="","",IFERROR(INDEX('Data_SA'!$A:$LO,MATCH(O$2,'Data_SA'!$A:$A,0),MATCH($E138,'Data_SA'!$1:$1,0))/INDEX('Data_SA'!$A:$LO,MATCH(EDATE(O$2,-1),'Data_SA'!$A:$A,0),MATCH($E138,'Data_SA'!$1:$1,0))-1,""))</f>
        <v/>
      </c>
      <c r="R138" s="7">
        <f>IFERROR(INDEX('Data_NSA'!$A:$OK,MATCH(O$2,'Data_NSA'!$A:$A,0),MATCH($D138,'Data_NSA'!$1:$1,0))/INDEX('Data_NSA'!$A:$OK,MATCH(EDATE(O$2,-12),'Data_NSA'!$A:$A,0),MATCH($D138,'Data_NSA'!$1:$1,0))-1,"")</f>
        <v/>
      </c>
      <c r="S138" s="10">
        <f>IFERROR(INDEX('Weights'!$G:$I,MATCH($A138,'Weights'!$A:$A,0),MATCH(O$2,'Weights'!$G$1:$I$1,0)),"")</f>
        <v/>
      </c>
      <c r="T138" s="10">
        <f>IF($E138="","",IFERROR(100*(INDEX('Weights'!$D:$D,MATCH($A138,'Weights'!$A:$A,0))*(INDEX('Data_NSA'!$A:$OK,MATCH(EDATE(O$2,-1),'Data_NSA'!$A:$A,0),MATCH($D138,'Data_NSA'!$1:$1,0))/INDEX('Data_NSA'!$A:$OK,MATCH(INDEX('Weights'!$E:$E,MATCH($A138,'Weights'!$A:$A,0)),'Data_NSA'!$A:$A,0),MATCH($D138,'Data_NSA'!$1:$1,0))))/(100*(INDEX('Data_NSA'!$A:$OK,MATCH(EDATE(O$2,-1),'Data_NSA'!$A:$A,0),MATCH("CUUR0000SA0",'Data_NSA'!$1:$1,0))/INDEX('Data_NSA'!$A:$OK,MATCH(INDEX('Weights'!$E:$E,MATCH($A138,'Weights'!$A:$A,0)),'Data_NSA'!$A:$A,0),MATCH("CUUR0000SA0",'Data_NSA'!$1:$1,0))))*(INDEX('Data_SA'!$A:$LO,MATCH(O$2,'Data_SA'!$A:$A,0),MATCH($E138,'Data_SA'!$1:$1,0))/INDEX('Data_SA'!$A:$LO,MATCH(EDATE(O$2,-1),'Data_SA'!$A:$A,0),MATCH($E138,'Data_SA'!$1:$1,0))-1),""))</f>
        <v/>
      </c>
      <c r="U138" s="10">
        <f>IFERROR(INDEX('Data_NSA'!$A:$OK,MATCH(U$2,'Data_NSA'!$A:$A,0),MATCH($D138,'Data_NSA'!$1:$1,0)),"")</f>
        <v/>
      </c>
      <c r="V138" s="10">
        <f>IF($E138="","",IFERROR(INDEX('Data_SA'!$A:$LO,MATCH(U$2,'Data_SA'!$A:$A,0),MATCH($E138,'Data_SA'!$1:$1,0)),""))</f>
        <v/>
      </c>
      <c r="W138" s="7">
        <f>IF($E138="","",IFERROR(INDEX('Data_SA'!$A:$LO,MATCH(U$2,'Data_SA'!$A:$A,0),MATCH($E138,'Data_SA'!$1:$1,0))/INDEX('Data_SA'!$A:$LO,MATCH(EDATE(U$2,-1),'Data_SA'!$A:$A,0),MATCH($E138,'Data_SA'!$1:$1,0))-1,""))</f>
        <v/>
      </c>
      <c r="X138" s="7">
        <f>IFERROR(INDEX('Data_NSA'!$A:$OK,MATCH(U$2,'Data_NSA'!$A:$A,0),MATCH($D138,'Data_NSA'!$1:$1,0))/INDEX('Data_NSA'!$A:$OK,MATCH(EDATE(U$2,-12),'Data_NSA'!$A:$A,0),MATCH($D138,'Data_NSA'!$1:$1,0))-1,"")</f>
        <v/>
      </c>
      <c r="Y138" s="10">
        <f>IFERROR(INDEX('Weights'!$G:$I,MATCH($A138,'Weights'!$A:$A,0),MATCH(U$2,'Weights'!$G$1:$I$1,0)),"")</f>
        <v/>
      </c>
      <c r="Z138" s="10">
        <f>IF($E138="","",IFERROR(100*(INDEX('Weights'!$D:$D,MATCH($A138,'Weights'!$A:$A,0))*(INDEX('Data_NSA'!$A:$OK,MATCH(EDATE(U$2,-1),'Data_NSA'!$A:$A,0),MATCH($D138,'Data_NSA'!$1:$1,0))/INDEX('Data_NSA'!$A:$OK,MATCH(INDEX('Weights'!$E:$E,MATCH($A138,'Weights'!$A:$A,0)),'Data_NSA'!$A:$A,0),MATCH($D138,'Data_NSA'!$1:$1,0))))/(100*(INDEX('Data_NSA'!$A:$OK,MATCH(EDATE(U$2,-1),'Data_NSA'!$A:$A,0),MATCH("CUUR0000SA0",'Data_NSA'!$1:$1,0))/INDEX('Data_NSA'!$A:$OK,MATCH(INDEX('Weights'!$E:$E,MATCH($A138,'Weights'!$A:$A,0)),'Data_NSA'!$A:$A,0),MATCH("CUUR0000SA0",'Data_NSA'!$1:$1,0))))*(INDEX('Data_SA'!$A:$LO,MATCH(U$2,'Data_SA'!$A:$A,0),MATCH($E138,'Data_SA'!$1:$1,0))/INDEX('Data_SA'!$A:$LO,MATCH(EDATE(U$2,-1),'Data_SA'!$A:$A,0),MATCH($E138,'Data_SA'!$1:$1,0))-1),""))</f>
        <v/>
      </c>
    </row>
    <row r="139">
      <c r="A139" s="3" t="inlineStr">
        <is>
          <t>SAH</t>
        </is>
      </c>
      <c r="B139" s="3" t="inlineStr">
        <is>
          <t>Housing</t>
        </is>
      </c>
      <c r="C139" s="3" t="inlineStr">
        <is>
          <t>SA0</t>
        </is>
      </c>
      <c r="D139" s="3" t="inlineStr">
        <is>
          <t>CUUR0000SAH</t>
        </is>
      </c>
      <c r="E139" s="3" t="inlineStr">
        <is>
          <t>CUSR0000SAH</t>
        </is>
      </c>
      <c r="F139" s="3" t="inlineStr">
        <is>
          <t>aggregate</t>
        </is>
      </c>
      <c r="G139" s="3" t="inlineStr">
        <is>
          <t>aggregate</t>
        </is>
      </c>
      <c r="H139" s="10">
        <f>IFERROR(INDEX(Weights!$D:$D,MATCH($A139,Weights!$A:$A,0)),"")</f>
        <v/>
      </c>
      <c r="I139" s="10">
        <f>IFERROR(INDEX('Data_NSA'!$A:$OK,MATCH(I$2,'Data_NSA'!$A:$A,0),MATCH($D139,'Data_NSA'!$1:$1,0)),"")</f>
        <v/>
      </c>
      <c r="J139" s="10">
        <f>IF($E139="","",IFERROR(INDEX('Data_SA'!$A:$LO,MATCH(I$2,'Data_SA'!$A:$A,0),MATCH($E139,'Data_SA'!$1:$1,0)),""))</f>
        <v/>
      </c>
      <c r="K139" s="7">
        <f>IF($E139="","",IFERROR(INDEX('Data_SA'!$A:$LO,MATCH(I$2,'Data_SA'!$A:$A,0),MATCH($E139,'Data_SA'!$1:$1,0))/INDEX('Data_SA'!$A:$LO,MATCH(EDATE(I$2,-1),'Data_SA'!$A:$A,0),MATCH($E139,'Data_SA'!$1:$1,0))-1,""))</f>
        <v/>
      </c>
      <c r="L139" s="7">
        <f>IFERROR(INDEX('Data_NSA'!$A:$OK,MATCH(I$2,'Data_NSA'!$A:$A,0),MATCH($D139,'Data_NSA'!$1:$1,0))/INDEX('Data_NSA'!$A:$OK,MATCH(EDATE(I$2,-12),'Data_NSA'!$A:$A,0),MATCH($D139,'Data_NSA'!$1:$1,0))-1,"")</f>
        <v/>
      </c>
      <c r="M139" s="10">
        <f>IFERROR(INDEX('Weights'!$G:$I,MATCH($A139,'Weights'!$A:$A,0),MATCH(I$2,'Weights'!$G$1:$I$1,0)),"")</f>
        <v/>
      </c>
      <c r="N139" s="10">
        <f>IF($E139="","",IFERROR(100*(INDEX('Weights'!$D:$D,MATCH($A139,'Weights'!$A:$A,0))*(INDEX('Data_NSA'!$A:$OK,MATCH(EDATE(I$2,-1),'Data_NSA'!$A:$A,0),MATCH($D139,'Data_NSA'!$1:$1,0))/INDEX('Data_NSA'!$A:$OK,MATCH(INDEX('Weights'!$E:$E,MATCH($A139,'Weights'!$A:$A,0)),'Data_NSA'!$A:$A,0),MATCH($D139,'Data_NSA'!$1:$1,0))))/(100*(INDEX('Data_NSA'!$A:$OK,MATCH(EDATE(I$2,-1),'Data_NSA'!$A:$A,0),MATCH("CUUR0000SA0",'Data_NSA'!$1:$1,0))/INDEX('Data_NSA'!$A:$OK,MATCH(INDEX('Weights'!$E:$E,MATCH($A139,'Weights'!$A:$A,0)),'Data_NSA'!$A:$A,0),MATCH("CUUR0000SA0",'Data_NSA'!$1:$1,0))))*(INDEX('Data_SA'!$A:$LO,MATCH(I$2,'Data_SA'!$A:$A,0),MATCH($E139,'Data_SA'!$1:$1,0))/INDEX('Data_SA'!$A:$LO,MATCH(EDATE(I$2,-1),'Data_SA'!$A:$A,0),MATCH($E139,'Data_SA'!$1:$1,0))-1),""))</f>
        <v/>
      </c>
      <c r="O139" s="10">
        <f>IFERROR(INDEX('Data_NSA'!$A:$OK,MATCH(O$2,'Data_NSA'!$A:$A,0),MATCH($D139,'Data_NSA'!$1:$1,0)),"")</f>
        <v/>
      </c>
      <c r="P139" s="10">
        <f>IF($E139="","",IFERROR(INDEX('Data_SA'!$A:$LO,MATCH(O$2,'Data_SA'!$A:$A,0),MATCH($E139,'Data_SA'!$1:$1,0)),""))</f>
        <v/>
      </c>
      <c r="Q139" s="7">
        <f>IF($E139="","",IFERROR(INDEX('Data_SA'!$A:$LO,MATCH(O$2,'Data_SA'!$A:$A,0),MATCH($E139,'Data_SA'!$1:$1,0))/INDEX('Data_SA'!$A:$LO,MATCH(EDATE(O$2,-1),'Data_SA'!$A:$A,0),MATCH($E139,'Data_SA'!$1:$1,0))-1,""))</f>
        <v/>
      </c>
      <c r="R139" s="7">
        <f>IFERROR(INDEX('Data_NSA'!$A:$OK,MATCH(O$2,'Data_NSA'!$A:$A,0),MATCH($D139,'Data_NSA'!$1:$1,0))/INDEX('Data_NSA'!$A:$OK,MATCH(EDATE(O$2,-12),'Data_NSA'!$A:$A,0),MATCH($D139,'Data_NSA'!$1:$1,0))-1,"")</f>
        <v/>
      </c>
      <c r="S139" s="10">
        <f>IFERROR(INDEX('Weights'!$G:$I,MATCH($A139,'Weights'!$A:$A,0),MATCH(O$2,'Weights'!$G$1:$I$1,0)),"")</f>
        <v/>
      </c>
      <c r="T139" s="10">
        <f>IF($E139="","",IFERROR(100*(INDEX('Weights'!$D:$D,MATCH($A139,'Weights'!$A:$A,0))*(INDEX('Data_NSA'!$A:$OK,MATCH(EDATE(O$2,-1),'Data_NSA'!$A:$A,0),MATCH($D139,'Data_NSA'!$1:$1,0))/INDEX('Data_NSA'!$A:$OK,MATCH(INDEX('Weights'!$E:$E,MATCH($A139,'Weights'!$A:$A,0)),'Data_NSA'!$A:$A,0),MATCH($D139,'Data_NSA'!$1:$1,0))))/(100*(INDEX('Data_NSA'!$A:$OK,MATCH(EDATE(O$2,-1),'Data_NSA'!$A:$A,0),MATCH("CUUR0000SA0",'Data_NSA'!$1:$1,0))/INDEX('Data_NSA'!$A:$OK,MATCH(INDEX('Weights'!$E:$E,MATCH($A139,'Weights'!$A:$A,0)),'Data_NSA'!$A:$A,0),MATCH("CUUR0000SA0",'Data_NSA'!$1:$1,0))))*(INDEX('Data_SA'!$A:$LO,MATCH(O$2,'Data_SA'!$A:$A,0),MATCH($E139,'Data_SA'!$1:$1,0))/INDEX('Data_SA'!$A:$LO,MATCH(EDATE(O$2,-1),'Data_SA'!$A:$A,0),MATCH($E139,'Data_SA'!$1:$1,0))-1),""))</f>
        <v/>
      </c>
      <c r="U139" s="10">
        <f>IFERROR(INDEX('Data_NSA'!$A:$OK,MATCH(U$2,'Data_NSA'!$A:$A,0),MATCH($D139,'Data_NSA'!$1:$1,0)),"")</f>
        <v/>
      </c>
      <c r="V139" s="10">
        <f>IF($E139="","",IFERROR(INDEX('Data_SA'!$A:$LO,MATCH(U$2,'Data_SA'!$A:$A,0),MATCH($E139,'Data_SA'!$1:$1,0)),""))</f>
        <v/>
      </c>
      <c r="W139" s="7">
        <f>IF($E139="","",IFERROR(INDEX('Data_SA'!$A:$LO,MATCH(U$2,'Data_SA'!$A:$A,0),MATCH($E139,'Data_SA'!$1:$1,0))/INDEX('Data_SA'!$A:$LO,MATCH(EDATE(U$2,-1),'Data_SA'!$A:$A,0),MATCH($E139,'Data_SA'!$1:$1,0))-1,""))</f>
        <v/>
      </c>
      <c r="X139" s="7">
        <f>IFERROR(INDEX('Data_NSA'!$A:$OK,MATCH(U$2,'Data_NSA'!$A:$A,0),MATCH($D139,'Data_NSA'!$1:$1,0))/INDEX('Data_NSA'!$A:$OK,MATCH(EDATE(U$2,-12),'Data_NSA'!$A:$A,0),MATCH($D139,'Data_NSA'!$1:$1,0))-1,"")</f>
        <v/>
      </c>
      <c r="Y139" s="10">
        <f>IFERROR(INDEX('Weights'!$G:$I,MATCH($A139,'Weights'!$A:$A,0),MATCH(U$2,'Weights'!$G$1:$I$1,0)),"")</f>
        <v/>
      </c>
      <c r="Z139" s="10">
        <f>IF($E139="","",IFERROR(100*(INDEX('Weights'!$D:$D,MATCH($A139,'Weights'!$A:$A,0))*(INDEX('Data_NSA'!$A:$OK,MATCH(EDATE(U$2,-1),'Data_NSA'!$A:$A,0),MATCH($D139,'Data_NSA'!$1:$1,0))/INDEX('Data_NSA'!$A:$OK,MATCH(INDEX('Weights'!$E:$E,MATCH($A139,'Weights'!$A:$A,0)),'Data_NSA'!$A:$A,0),MATCH($D139,'Data_NSA'!$1:$1,0))))/(100*(INDEX('Data_NSA'!$A:$OK,MATCH(EDATE(U$2,-1),'Data_NSA'!$A:$A,0),MATCH("CUUR0000SA0",'Data_NSA'!$1:$1,0))/INDEX('Data_NSA'!$A:$OK,MATCH(INDEX('Weights'!$E:$E,MATCH($A139,'Weights'!$A:$A,0)),'Data_NSA'!$A:$A,0),MATCH("CUUR0000SA0",'Data_NSA'!$1:$1,0))))*(INDEX('Data_SA'!$A:$LO,MATCH(U$2,'Data_SA'!$A:$A,0),MATCH($E139,'Data_SA'!$1:$1,0))/INDEX('Data_SA'!$A:$LO,MATCH(EDATE(U$2,-1),'Data_SA'!$A:$A,0),MATCH($E139,'Data_SA'!$1:$1,0))-1),""))</f>
        <v/>
      </c>
    </row>
    <row r="140">
      <c r="A140" s="3" t="inlineStr">
        <is>
          <t>SAH1</t>
        </is>
      </c>
      <c r="B140" s="3" t="inlineStr">
        <is>
          <t>Shelter</t>
        </is>
      </c>
      <c r="C140" s="3" t="inlineStr">
        <is>
          <t>SAH</t>
        </is>
      </c>
      <c r="D140" s="3" t="inlineStr">
        <is>
          <t>CUUR0000SAH1</t>
        </is>
      </c>
      <c r="E140" s="3" t="inlineStr">
        <is>
          <t>CUSR0000SAH1</t>
        </is>
      </c>
      <c r="F140" s="3" t="inlineStr">
        <is>
          <t>aggregate</t>
        </is>
      </c>
      <c r="G140" s="3" t="inlineStr">
        <is>
          <t>aggregate</t>
        </is>
      </c>
      <c r="H140" s="10">
        <f>IFERROR(INDEX(Weights!$D:$D,MATCH($A140,Weights!$A:$A,0)),"")</f>
        <v/>
      </c>
      <c r="I140" s="10">
        <f>IFERROR(INDEX('Data_NSA'!$A:$OK,MATCH(I$2,'Data_NSA'!$A:$A,0),MATCH($D140,'Data_NSA'!$1:$1,0)),"")</f>
        <v/>
      </c>
      <c r="J140" s="10">
        <f>IF($E140="","",IFERROR(INDEX('Data_SA'!$A:$LO,MATCH(I$2,'Data_SA'!$A:$A,0),MATCH($E140,'Data_SA'!$1:$1,0)),""))</f>
        <v/>
      </c>
      <c r="K140" s="7">
        <f>IF($E140="","",IFERROR(INDEX('Data_SA'!$A:$LO,MATCH(I$2,'Data_SA'!$A:$A,0),MATCH($E140,'Data_SA'!$1:$1,0))/INDEX('Data_SA'!$A:$LO,MATCH(EDATE(I$2,-1),'Data_SA'!$A:$A,0),MATCH($E140,'Data_SA'!$1:$1,0))-1,""))</f>
        <v/>
      </c>
      <c r="L140" s="7">
        <f>IFERROR(INDEX('Data_NSA'!$A:$OK,MATCH(I$2,'Data_NSA'!$A:$A,0),MATCH($D140,'Data_NSA'!$1:$1,0))/INDEX('Data_NSA'!$A:$OK,MATCH(EDATE(I$2,-12),'Data_NSA'!$A:$A,0),MATCH($D140,'Data_NSA'!$1:$1,0))-1,"")</f>
        <v/>
      </c>
      <c r="M140" s="10">
        <f>IFERROR(INDEX('Weights'!$G:$I,MATCH($A140,'Weights'!$A:$A,0),MATCH(I$2,'Weights'!$G$1:$I$1,0)),"")</f>
        <v/>
      </c>
      <c r="N140" s="10">
        <f>IF($E140="","",IFERROR(100*(INDEX('Weights'!$D:$D,MATCH($A140,'Weights'!$A:$A,0))*(INDEX('Data_NSA'!$A:$OK,MATCH(EDATE(I$2,-1),'Data_NSA'!$A:$A,0),MATCH($D140,'Data_NSA'!$1:$1,0))/INDEX('Data_NSA'!$A:$OK,MATCH(INDEX('Weights'!$E:$E,MATCH($A140,'Weights'!$A:$A,0)),'Data_NSA'!$A:$A,0),MATCH($D140,'Data_NSA'!$1:$1,0))))/(100*(INDEX('Data_NSA'!$A:$OK,MATCH(EDATE(I$2,-1),'Data_NSA'!$A:$A,0),MATCH("CUUR0000SA0",'Data_NSA'!$1:$1,0))/INDEX('Data_NSA'!$A:$OK,MATCH(INDEX('Weights'!$E:$E,MATCH($A140,'Weights'!$A:$A,0)),'Data_NSA'!$A:$A,0),MATCH("CUUR0000SA0",'Data_NSA'!$1:$1,0))))*(INDEX('Data_SA'!$A:$LO,MATCH(I$2,'Data_SA'!$A:$A,0),MATCH($E140,'Data_SA'!$1:$1,0))/INDEX('Data_SA'!$A:$LO,MATCH(EDATE(I$2,-1),'Data_SA'!$A:$A,0),MATCH($E140,'Data_SA'!$1:$1,0))-1),""))</f>
        <v/>
      </c>
      <c r="O140" s="10">
        <f>IFERROR(INDEX('Data_NSA'!$A:$OK,MATCH(O$2,'Data_NSA'!$A:$A,0),MATCH($D140,'Data_NSA'!$1:$1,0)),"")</f>
        <v/>
      </c>
      <c r="P140" s="10">
        <f>IF($E140="","",IFERROR(INDEX('Data_SA'!$A:$LO,MATCH(O$2,'Data_SA'!$A:$A,0),MATCH($E140,'Data_SA'!$1:$1,0)),""))</f>
        <v/>
      </c>
      <c r="Q140" s="7">
        <f>IF($E140="","",IFERROR(INDEX('Data_SA'!$A:$LO,MATCH(O$2,'Data_SA'!$A:$A,0),MATCH($E140,'Data_SA'!$1:$1,0))/INDEX('Data_SA'!$A:$LO,MATCH(EDATE(O$2,-1),'Data_SA'!$A:$A,0),MATCH($E140,'Data_SA'!$1:$1,0))-1,""))</f>
        <v/>
      </c>
      <c r="R140" s="7">
        <f>IFERROR(INDEX('Data_NSA'!$A:$OK,MATCH(O$2,'Data_NSA'!$A:$A,0),MATCH($D140,'Data_NSA'!$1:$1,0))/INDEX('Data_NSA'!$A:$OK,MATCH(EDATE(O$2,-12),'Data_NSA'!$A:$A,0),MATCH($D140,'Data_NSA'!$1:$1,0))-1,"")</f>
        <v/>
      </c>
      <c r="S140" s="10">
        <f>IFERROR(INDEX('Weights'!$G:$I,MATCH($A140,'Weights'!$A:$A,0),MATCH(O$2,'Weights'!$G$1:$I$1,0)),"")</f>
        <v/>
      </c>
      <c r="T140" s="10">
        <f>IF($E140="","",IFERROR(100*(INDEX('Weights'!$D:$D,MATCH($A140,'Weights'!$A:$A,0))*(INDEX('Data_NSA'!$A:$OK,MATCH(EDATE(O$2,-1),'Data_NSA'!$A:$A,0),MATCH($D140,'Data_NSA'!$1:$1,0))/INDEX('Data_NSA'!$A:$OK,MATCH(INDEX('Weights'!$E:$E,MATCH($A140,'Weights'!$A:$A,0)),'Data_NSA'!$A:$A,0),MATCH($D140,'Data_NSA'!$1:$1,0))))/(100*(INDEX('Data_NSA'!$A:$OK,MATCH(EDATE(O$2,-1),'Data_NSA'!$A:$A,0),MATCH("CUUR0000SA0",'Data_NSA'!$1:$1,0))/INDEX('Data_NSA'!$A:$OK,MATCH(INDEX('Weights'!$E:$E,MATCH($A140,'Weights'!$A:$A,0)),'Data_NSA'!$A:$A,0),MATCH("CUUR0000SA0",'Data_NSA'!$1:$1,0))))*(INDEX('Data_SA'!$A:$LO,MATCH(O$2,'Data_SA'!$A:$A,0),MATCH($E140,'Data_SA'!$1:$1,0))/INDEX('Data_SA'!$A:$LO,MATCH(EDATE(O$2,-1),'Data_SA'!$A:$A,0),MATCH($E140,'Data_SA'!$1:$1,0))-1),""))</f>
        <v/>
      </c>
      <c r="U140" s="10">
        <f>IFERROR(INDEX('Data_NSA'!$A:$OK,MATCH(U$2,'Data_NSA'!$A:$A,0),MATCH($D140,'Data_NSA'!$1:$1,0)),"")</f>
        <v/>
      </c>
      <c r="V140" s="10">
        <f>IF($E140="","",IFERROR(INDEX('Data_SA'!$A:$LO,MATCH(U$2,'Data_SA'!$A:$A,0),MATCH($E140,'Data_SA'!$1:$1,0)),""))</f>
        <v/>
      </c>
      <c r="W140" s="7">
        <f>IF($E140="","",IFERROR(INDEX('Data_SA'!$A:$LO,MATCH(U$2,'Data_SA'!$A:$A,0),MATCH($E140,'Data_SA'!$1:$1,0))/INDEX('Data_SA'!$A:$LO,MATCH(EDATE(U$2,-1),'Data_SA'!$A:$A,0),MATCH($E140,'Data_SA'!$1:$1,0))-1,""))</f>
        <v/>
      </c>
      <c r="X140" s="7">
        <f>IFERROR(INDEX('Data_NSA'!$A:$OK,MATCH(U$2,'Data_NSA'!$A:$A,0),MATCH($D140,'Data_NSA'!$1:$1,0))/INDEX('Data_NSA'!$A:$OK,MATCH(EDATE(U$2,-12),'Data_NSA'!$A:$A,0),MATCH($D140,'Data_NSA'!$1:$1,0))-1,"")</f>
        <v/>
      </c>
      <c r="Y140" s="10">
        <f>IFERROR(INDEX('Weights'!$G:$I,MATCH($A140,'Weights'!$A:$A,0),MATCH(U$2,'Weights'!$G$1:$I$1,0)),"")</f>
        <v/>
      </c>
      <c r="Z140" s="10">
        <f>IF($E140="","",IFERROR(100*(INDEX('Weights'!$D:$D,MATCH($A140,'Weights'!$A:$A,0))*(INDEX('Data_NSA'!$A:$OK,MATCH(EDATE(U$2,-1),'Data_NSA'!$A:$A,0),MATCH($D140,'Data_NSA'!$1:$1,0))/INDEX('Data_NSA'!$A:$OK,MATCH(INDEX('Weights'!$E:$E,MATCH($A140,'Weights'!$A:$A,0)),'Data_NSA'!$A:$A,0),MATCH($D140,'Data_NSA'!$1:$1,0))))/(100*(INDEX('Data_NSA'!$A:$OK,MATCH(EDATE(U$2,-1),'Data_NSA'!$A:$A,0),MATCH("CUUR0000SA0",'Data_NSA'!$1:$1,0))/INDEX('Data_NSA'!$A:$OK,MATCH(INDEX('Weights'!$E:$E,MATCH($A140,'Weights'!$A:$A,0)),'Data_NSA'!$A:$A,0),MATCH("CUUR0000SA0",'Data_NSA'!$1:$1,0))))*(INDEX('Data_SA'!$A:$LO,MATCH(U$2,'Data_SA'!$A:$A,0),MATCH($E140,'Data_SA'!$1:$1,0))/INDEX('Data_SA'!$A:$LO,MATCH(EDATE(U$2,-1),'Data_SA'!$A:$A,0),MATCH($E140,'Data_SA'!$1:$1,0))-1),""))</f>
        <v/>
      </c>
    </row>
    <row r="141">
      <c r="A141" s="3" t="inlineStr">
        <is>
          <t>SEHA</t>
        </is>
      </c>
      <c r="B141" s="3" t="inlineStr">
        <is>
          <t>Rent of primary residence</t>
        </is>
      </c>
      <c r="C141" s="3" t="inlineStr">
        <is>
          <t>SAH1</t>
        </is>
      </c>
      <c r="D141" s="3" t="inlineStr">
        <is>
          <t>CUUR0000SEHA</t>
        </is>
      </c>
      <c r="E141" s="3" t="inlineStr">
        <is>
          <t>CUSR0000SEHA</t>
        </is>
      </c>
      <c r="F141" s="3" t="inlineStr">
        <is>
          <t>6MR</t>
        </is>
      </c>
      <c r="G141" s="3" t="inlineStr">
        <is>
          <t>Housing survey: six rotating panels; units priced twice per year</t>
        </is>
      </c>
      <c r="H141" s="10">
        <f>IFERROR(INDEX(Weights!$D:$D,MATCH($A141,Weights!$A:$A,0)),"")</f>
        <v/>
      </c>
      <c r="I141" s="10">
        <f>IFERROR(INDEX('Data_NSA'!$A:$OK,MATCH(I$2,'Data_NSA'!$A:$A,0),MATCH($D141,'Data_NSA'!$1:$1,0)),"")</f>
        <v/>
      </c>
      <c r="J141" s="10">
        <f>IF($E141="","",IFERROR(INDEX('Data_SA'!$A:$LO,MATCH(I$2,'Data_SA'!$A:$A,0),MATCH($E141,'Data_SA'!$1:$1,0)),""))</f>
        <v/>
      </c>
      <c r="K141" s="7">
        <f>IF($E141="","",IFERROR(INDEX('Data_SA'!$A:$LO,MATCH(I$2,'Data_SA'!$A:$A,0),MATCH($E141,'Data_SA'!$1:$1,0))/INDEX('Data_SA'!$A:$LO,MATCH(EDATE(I$2,-1),'Data_SA'!$A:$A,0),MATCH($E141,'Data_SA'!$1:$1,0))-1,""))</f>
        <v/>
      </c>
      <c r="L141" s="7">
        <f>IFERROR(INDEX('Data_NSA'!$A:$OK,MATCH(I$2,'Data_NSA'!$A:$A,0),MATCH($D141,'Data_NSA'!$1:$1,0))/INDEX('Data_NSA'!$A:$OK,MATCH(EDATE(I$2,-12),'Data_NSA'!$A:$A,0),MATCH($D141,'Data_NSA'!$1:$1,0))-1,"")</f>
        <v/>
      </c>
      <c r="M141" s="10">
        <f>IFERROR(INDEX('Weights'!$G:$I,MATCH($A141,'Weights'!$A:$A,0),MATCH(I$2,'Weights'!$G$1:$I$1,0)),"")</f>
        <v/>
      </c>
      <c r="N141" s="10">
        <f>IF($E141="","",IFERROR(100*(INDEX('Weights'!$D:$D,MATCH($A141,'Weights'!$A:$A,0))*(INDEX('Data_NSA'!$A:$OK,MATCH(EDATE(I$2,-1),'Data_NSA'!$A:$A,0),MATCH($D141,'Data_NSA'!$1:$1,0))/INDEX('Data_NSA'!$A:$OK,MATCH(INDEX('Weights'!$E:$E,MATCH($A141,'Weights'!$A:$A,0)),'Data_NSA'!$A:$A,0),MATCH($D141,'Data_NSA'!$1:$1,0))))/(100*(INDEX('Data_NSA'!$A:$OK,MATCH(EDATE(I$2,-1),'Data_NSA'!$A:$A,0),MATCH("CUUR0000SA0",'Data_NSA'!$1:$1,0))/INDEX('Data_NSA'!$A:$OK,MATCH(INDEX('Weights'!$E:$E,MATCH($A141,'Weights'!$A:$A,0)),'Data_NSA'!$A:$A,0),MATCH("CUUR0000SA0",'Data_NSA'!$1:$1,0))))*(INDEX('Data_SA'!$A:$LO,MATCH(I$2,'Data_SA'!$A:$A,0),MATCH($E141,'Data_SA'!$1:$1,0))/INDEX('Data_SA'!$A:$LO,MATCH(EDATE(I$2,-1),'Data_SA'!$A:$A,0),MATCH($E141,'Data_SA'!$1:$1,0))-1),""))</f>
        <v/>
      </c>
      <c r="O141" s="10">
        <f>IFERROR(INDEX('Data_NSA'!$A:$OK,MATCH(O$2,'Data_NSA'!$A:$A,0),MATCH($D141,'Data_NSA'!$1:$1,0)),"")</f>
        <v/>
      </c>
      <c r="P141" s="10">
        <f>IF($E141="","",IFERROR(INDEX('Data_SA'!$A:$LO,MATCH(O$2,'Data_SA'!$A:$A,0),MATCH($E141,'Data_SA'!$1:$1,0)),""))</f>
        <v/>
      </c>
      <c r="Q141" s="7">
        <f>IF($E141="","",IFERROR(INDEX('Data_SA'!$A:$LO,MATCH(O$2,'Data_SA'!$A:$A,0),MATCH($E141,'Data_SA'!$1:$1,0))/INDEX('Data_SA'!$A:$LO,MATCH(EDATE(O$2,-1),'Data_SA'!$A:$A,0),MATCH($E141,'Data_SA'!$1:$1,0))-1,""))</f>
        <v/>
      </c>
      <c r="R141" s="7">
        <f>IFERROR(INDEX('Data_NSA'!$A:$OK,MATCH(O$2,'Data_NSA'!$A:$A,0),MATCH($D141,'Data_NSA'!$1:$1,0))/INDEX('Data_NSA'!$A:$OK,MATCH(EDATE(O$2,-12),'Data_NSA'!$A:$A,0),MATCH($D141,'Data_NSA'!$1:$1,0))-1,"")</f>
        <v/>
      </c>
      <c r="S141" s="10">
        <f>IFERROR(INDEX('Weights'!$G:$I,MATCH($A141,'Weights'!$A:$A,0),MATCH(O$2,'Weights'!$G$1:$I$1,0)),"")</f>
        <v/>
      </c>
      <c r="T141" s="10">
        <f>IF($E141="","",IFERROR(100*(INDEX('Weights'!$D:$D,MATCH($A141,'Weights'!$A:$A,0))*(INDEX('Data_NSA'!$A:$OK,MATCH(EDATE(O$2,-1),'Data_NSA'!$A:$A,0),MATCH($D141,'Data_NSA'!$1:$1,0))/INDEX('Data_NSA'!$A:$OK,MATCH(INDEX('Weights'!$E:$E,MATCH($A141,'Weights'!$A:$A,0)),'Data_NSA'!$A:$A,0),MATCH($D141,'Data_NSA'!$1:$1,0))))/(100*(INDEX('Data_NSA'!$A:$OK,MATCH(EDATE(O$2,-1),'Data_NSA'!$A:$A,0),MATCH("CUUR0000SA0",'Data_NSA'!$1:$1,0))/INDEX('Data_NSA'!$A:$OK,MATCH(INDEX('Weights'!$E:$E,MATCH($A141,'Weights'!$A:$A,0)),'Data_NSA'!$A:$A,0),MATCH("CUUR0000SA0",'Data_NSA'!$1:$1,0))))*(INDEX('Data_SA'!$A:$LO,MATCH(O$2,'Data_SA'!$A:$A,0),MATCH($E141,'Data_SA'!$1:$1,0))/INDEX('Data_SA'!$A:$LO,MATCH(EDATE(O$2,-1),'Data_SA'!$A:$A,0),MATCH($E141,'Data_SA'!$1:$1,0))-1),""))</f>
        <v/>
      </c>
      <c r="U141" s="10">
        <f>IFERROR(INDEX('Data_NSA'!$A:$OK,MATCH(U$2,'Data_NSA'!$A:$A,0),MATCH($D141,'Data_NSA'!$1:$1,0)),"")</f>
        <v/>
      </c>
      <c r="V141" s="10">
        <f>IF($E141="","",IFERROR(INDEX('Data_SA'!$A:$LO,MATCH(U$2,'Data_SA'!$A:$A,0),MATCH($E141,'Data_SA'!$1:$1,0)),""))</f>
        <v/>
      </c>
      <c r="W141" s="7">
        <f>IF($E141="","",IFERROR(INDEX('Data_SA'!$A:$LO,MATCH(U$2,'Data_SA'!$A:$A,0),MATCH($E141,'Data_SA'!$1:$1,0))/INDEX('Data_SA'!$A:$LO,MATCH(EDATE(U$2,-1),'Data_SA'!$A:$A,0),MATCH($E141,'Data_SA'!$1:$1,0))-1,""))</f>
        <v/>
      </c>
      <c r="X141" s="7">
        <f>IFERROR(INDEX('Data_NSA'!$A:$OK,MATCH(U$2,'Data_NSA'!$A:$A,0),MATCH($D141,'Data_NSA'!$1:$1,0))/INDEX('Data_NSA'!$A:$OK,MATCH(EDATE(U$2,-12),'Data_NSA'!$A:$A,0),MATCH($D141,'Data_NSA'!$1:$1,0))-1,"")</f>
        <v/>
      </c>
      <c r="Y141" s="10">
        <f>IFERROR(INDEX('Weights'!$G:$I,MATCH($A141,'Weights'!$A:$A,0),MATCH(U$2,'Weights'!$G$1:$I$1,0)),"")</f>
        <v/>
      </c>
      <c r="Z141" s="10">
        <f>IF($E141="","",IFERROR(100*(INDEX('Weights'!$D:$D,MATCH($A141,'Weights'!$A:$A,0))*(INDEX('Data_NSA'!$A:$OK,MATCH(EDATE(U$2,-1),'Data_NSA'!$A:$A,0),MATCH($D141,'Data_NSA'!$1:$1,0))/INDEX('Data_NSA'!$A:$OK,MATCH(INDEX('Weights'!$E:$E,MATCH($A141,'Weights'!$A:$A,0)),'Data_NSA'!$A:$A,0),MATCH($D141,'Data_NSA'!$1:$1,0))))/(100*(INDEX('Data_NSA'!$A:$OK,MATCH(EDATE(U$2,-1),'Data_NSA'!$A:$A,0),MATCH("CUUR0000SA0",'Data_NSA'!$1:$1,0))/INDEX('Data_NSA'!$A:$OK,MATCH(INDEX('Weights'!$E:$E,MATCH($A141,'Weights'!$A:$A,0)),'Data_NSA'!$A:$A,0),MATCH("CUUR0000SA0",'Data_NSA'!$1:$1,0))))*(INDEX('Data_SA'!$A:$LO,MATCH(U$2,'Data_SA'!$A:$A,0),MATCH($E141,'Data_SA'!$1:$1,0))/INDEX('Data_SA'!$A:$LO,MATCH(EDATE(U$2,-1),'Data_SA'!$A:$A,0),MATCH($E141,'Data_SA'!$1:$1,0))-1),""))</f>
        <v/>
      </c>
    </row>
    <row r="142">
      <c r="A142" s="3" t="inlineStr">
        <is>
          <t>SEHB</t>
        </is>
      </c>
      <c r="B142" s="3" t="inlineStr">
        <is>
          <t>Lodging away from home</t>
        </is>
      </c>
      <c r="C142" s="3" t="inlineStr">
        <is>
          <t>SAH1</t>
        </is>
      </c>
      <c r="D142" s="3" t="inlineStr">
        <is>
          <t>CUUR0000SEHB</t>
        </is>
      </c>
      <c r="E142" s="3" t="inlineStr">
        <is>
          <t>CUSR0000SEHB</t>
        </is>
      </c>
      <c r="F142" s="3" t="inlineStr">
        <is>
          <t>GM</t>
        </is>
      </c>
      <c r="G142" s="3" t="inlineStr">
        <is>
          <t>monthly</t>
        </is>
      </c>
      <c r="H142" s="10">
        <f>IFERROR(INDEX(Weights!$D:$D,MATCH($A142,Weights!$A:$A,0)),"")</f>
        <v/>
      </c>
      <c r="I142" s="10">
        <f>IFERROR(INDEX('Data_NSA'!$A:$OK,MATCH(I$2,'Data_NSA'!$A:$A,0),MATCH($D142,'Data_NSA'!$1:$1,0)),"")</f>
        <v/>
      </c>
      <c r="J142" s="10">
        <f>IF($E142="","",IFERROR(INDEX('Data_SA'!$A:$LO,MATCH(I$2,'Data_SA'!$A:$A,0),MATCH($E142,'Data_SA'!$1:$1,0)),""))</f>
        <v/>
      </c>
      <c r="K142" s="7">
        <f>IF($E142="","",IFERROR(INDEX('Data_SA'!$A:$LO,MATCH(I$2,'Data_SA'!$A:$A,0),MATCH($E142,'Data_SA'!$1:$1,0))/INDEX('Data_SA'!$A:$LO,MATCH(EDATE(I$2,-1),'Data_SA'!$A:$A,0),MATCH($E142,'Data_SA'!$1:$1,0))-1,""))</f>
        <v/>
      </c>
      <c r="L142" s="7">
        <f>IFERROR(INDEX('Data_NSA'!$A:$OK,MATCH(I$2,'Data_NSA'!$A:$A,0),MATCH($D142,'Data_NSA'!$1:$1,0))/INDEX('Data_NSA'!$A:$OK,MATCH(EDATE(I$2,-12),'Data_NSA'!$A:$A,0),MATCH($D142,'Data_NSA'!$1:$1,0))-1,"")</f>
        <v/>
      </c>
      <c r="M142" s="10">
        <f>IFERROR(INDEX('Weights'!$G:$I,MATCH($A142,'Weights'!$A:$A,0),MATCH(I$2,'Weights'!$G$1:$I$1,0)),"")</f>
        <v/>
      </c>
      <c r="N142" s="10">
        <f>IF($E142="","",IFERROR(100*(INDEX('Weights'!$D:$D,MATCH($A142,'Weights'!$A:$A,0))*(INDEX('Data_NSA'!$A:$OK,MATCH(EDATE(I$2,-1),'Data_NSA'!$A:$A,0),MATCH($D142,'Data_NSA'!$1:$1,0))/INDEX('Data_NSA'!$A:$OK,MATCH(INDEX('Weights'!$E:$E,MATCH($A142,'Weights'!$A:$A,0)),'Data_NSA'!$A:$A,0),MATCH($D142,'Data_NSA'!$1:$1,0))))/(100*(INDEX('Data_NSA'!$A:$OK,MATCH(EDATE(I$2,-1),'Data_NSA'!$A:$A,0),MATCH("CUUR0000SA0",'Data_NSA'!$1:$1,0))/INDEX('Data_NSA'!$A:$OK,MATCH(INDEX('Weights'!$E:$E,MATCH($A142,'Weights'!$A:$A,0)),'Data_NSA'!$A:$A,0),MATCH("CUUR0000SA0",'Data_NSA'!$1:$1,0))))*(INDEX('Data_SA'!$A:$LO,MATCH(I$2,'Data_SA'!$A:$A,0),MATCH($E142,'Data_SA'!$1:$1,0))/INDEX('Data_SA'!$A:$LO,MATCH(EDATE(I$2,-1),'Data_SA'!$A:$A,0),MATCH($E142,'Data_SA'!$1:$1,0))-1),""))</f>
        <v/>
      </c>
      <c r="O142" s="10">
        <f>IFERROR(INDEX('Data_NSA'!$A:$OK,MATCH(O$2,'Data_NSA'!$A:$A,0),MATCH($D142,'Data_NSA'!$1:$1,0)),"")</f>
        <v/>
      </c>
      <c r="P142" s="10">
        <f>IF($E142="","",IFERROR(INDEX('Data_SA'!$A:$LO,MATCH(O$2,'Data_SA'!$A:$A,0),MATCH($E142,'Data_SA'!$1:$1,0)),""))</f>
        <v/>
      </c>
      <c r="Q142" s="7">
        <f>IF($E142="","",IFERROR(INDEX('Data_SA'!$A:$LO,MATCH(O$2,'Data_SA'!$A:$A,0),MATCH($E142,'Data_SA'!$1:$1,0))/INDEX('Data_SA'!$A:$LO,MATCH(EDATE(O$2,-1),'Data_SA'!$A:$A,0),MATCH($E142,'Data_SA'!$1:$1,0))-1,""))</f>
        <v/>
      </c>
      <c r="R142" s="7">
        <f>IFERROR(INDEX('Data_NSA'!$A:$OK,MATCH(O$2,'Data_NSA'!$A:$A,0),MATCH($D142,'Data_NSA'!$1:$1,0))/INDEX('Data_NSA'!$A:$OK,MATCH(EDATE(O$2,-12),'Data_NSA'!$A:$A,0),MATCH($D142,'Data_NSA'!$1:$1,0))-1,"")</f>
        <v/>
      </c>
      <c r="S142" s="10">
        <f>IFERROR(INDEX('Weights'!$G:$I,MATCH($A142,'Weights'!$A:$A,0),MATCH(O$2,'Weights'!$G$1:$I$1,0)),"")</f>
        <v/>
      </c>
      <c r="T142" s="10">
        <f>IF($E142="","",IFERROR(100*(INDEX('Weights'!$D:$D,MATCH($A142,'Weights'!$A:$A,0))*(INDEX('Data_NSA'!$A:$OK,MATCH(EDATE(O$2,-1),'Data_NSA'!$A:$A,0),MATCH($D142,'Data_NSA'!$1:$1,0))/INDEX('Data_NSA'!$A:$OK,MATCH(INDEX('Weights'!$E:$E,MATCH($A142,'Weights'!$A:$A,0)),'Data_NSA'!$A:$A,0),MATCH($D142,'Data_NSA'!$1:$1,0))))/(100*(INDEX('Data_NSA'!$A:$OK,MATCH(EDATE(O$2,-1),'Data_NSA'!$A:$A,0),MATCH("CUUR0000SA0",'Data_NSA'!$1:$1,0))/INDEX('Data_NSA'!$A:$OK,MATCH(INDEX('Weights'!$E:$E,MATCH($A142,'Weights'!$A:$A,0)),'Data_NSA'!$A:$A,0),MATCH("CUUR0000SA0",'Data_NSA'!$1:$1,0))))*(INDEX('Data_SA'!$A:$LO,MATCH(O$2,'Data_SA'!$A:$A,0),MATCH($E142,'Data_SA'!$1:$1,0))/INDEX('Data_SA'!$A:$LO,MATCH(EDATE(O$2,-1),'Data_SA'!$A:$A,0),MATCH($E142,'Data_SA'!$1:$1,0))-1),""))</f>
        <v/>
      </c>
      <c r="U142" s="10">
        <f>IFERROR(INDEX('Data_NSA'!$A:$OK,MATCH(U$2,'Data_NSA'!$A:$A,0),MATCH($D142,'Data_NSA'!$1:$1,0)),"")</f>
        <v/>
      </c>
      <c r="V142" s="10">
        <f>IF($E142="","",IFERROR(INDEX('Data_SA'!$A:$LO,MATCH(U$2,'Data_SA'!$A:$A,0),MATCH($E142,'Data_SA'!$1:$1,0)),""))</f>
        <v/>
      </c>
      <c r="W142" s="7">
        <f>IF($E142="","",IFERROR(INDEX('Data_SA'!$A:$LO,MATCH(U$2,'Data_SA'!$A:$A,0),MATCH($E142,'Data_SA'!$1:$1,0))/INDEX('Data_SA'!$A:$LO,MATCH(EDATE(U$2,-1),'Data_SA'!$A:$A,0),MATCH($E142,'Data_SA'!$1:$1,0))-1,""))</f>
        <v/>
      </c>
      <c r="X142" s="7">
        <f>IFERROR(INDEX('Data_NSA'!$A:$OK,MATCH(U$2,'Data_NSA'!$A:$A,0),MATCH($D142,'Data_NSA'!$1:$1,0))/INDEX('Data_NSA'!$A:$OK,MATCH(EDATE(U$2,-12),'Data_NSA'!$A:$A,0),MATCH($D142,'Data_NSA'!$1:$1,0))-1,"")</f>
        <v/>
      </c>
      <c r="Y142" s="10">
        <f>IFERROR(INDEX('Weights'!$G:$I,MATCH($A142,'Weights'!$A:$A,0),MATCH(U$2,'Weights'!$G$1:$I$1,0)),"")</f>
        <v/>
      </c>
      <c r="Z142" s="10">
        <f>IF($E142="","",IFERROR(100*(INDEX('Weights'!$D:$D,MATCH($A142,'Weights'!$A:$A,0))*(INDEX('Data_NSA'!$A:$OK,MATCH(EDATE(U$2,-1),'Data_NSA'!$A:$A,0),MATCH($D142,'Data_NSA'!$1:$1,0))/INDEX('Data_NSA'!$A:$OK,MATCH(INDEX('Weights'!$E:$E,MATCH($A142,'Weights'!$A:$A,0)),'Data_NSA'!$A:$A,0),MATCH($D142,'Data_NSA'!$1:$1,0))))/(100*(INDEX('Data_NSA'!$A:$OK,MATCH(EDATE(U$2,-1),'Data_NSA'!$A:$A,0),MATCH("CUUR0000SA0",'Data_NSA'!$1:$1,0))/INDEX('Data_NSA'!$A:$OK,MATCH(INDEX('Weights'!$E:$E,MATCH($A142,'Weights'!$A:$A,0)),'Data_NSA'!$A:$A,0),MATCH("CUUR0000SA0",'Data_NSA'!$1:$1,0))))*(INDEX('Data_SA'!$A:$LO,MATCH(U$2,'Data_SA'!$A:$A,0),MATCH($E142,'Data_SA'!$1:$1,0))/INDEX('Data_SA'!$A:$LO,MATCH(EDATE(U$2,-1),'Data_SA'!$A:$A,0),MATCH($E142,'Data_SA'!$1:$1,0))-1),""))</f>
        <v/>
      </c>
    </row>
    <row r="143">
      <c r="A143" s="3" t="inlineStr">
        <is>
          <t>SEHB01</t>
        </is>
      </c>
      <c r="B143" s="3" t="inlineStr">
        <is>
          <t>Lodging while at school</t>
        </is>
      </c>
      <c r="C143" s="3" t="inlineStr">
        <is>
          <t>SEHB</t>
        </is>
      </c>
      <c r="D143" s="3" t="inlineStr">
        <is>
          <t>CUUR0000SEHB01</t>
        </is>
      </c>
      <c r="E143" s="3" t="inlineStr">
        <is>
          <t>CUSR0000SEHB01</t>
        </is>
      </c>
      <c r="F143" s="3" t="inlineStr">
        <is>
          <t>GM</t>
        </is>
      </c>
      <c r="G143" s="3" t="inlineStr">
        <is>
          <t>monthly/six-panel shelter or housing-service collection</t>
        </is>
      </c>
      <c r="H143" s="10">
        <f>IFERROR(INDEX(Weights!$D:$D,MATCH($A143,Weights!$A:$A,0)),"")</f>
        <v/>
      </c>
      <c r="I143" s="10">
        <f>IFERROR(INDEX('Data_NSA'!$A:$OK,MATCH(I$2,'Data_NSA'!$A:$A,0),MATCH($D143,'Data_NSA'!$1:$1,0)),"")</f>
        <v/>
      </c>
      <c r="J143" s="10">
        <f>IF($E143="","",IFERROR(INDEX('Data_SA'!$A:$LO,MATCH(I$2,'Data_SA'!$A:$A,0),MATCH($E143,'Data_SA'!$1:$1,0)),""))</f>
        <v/>
      </c>
      <c r="K143" s="7">
        <f>IF($E143="","",IFERROR(INDEX('Data_SA'!$A:$LO,MATCH(I$2,'Data_SA'!$A:$A,0),MATCH($E143,'Data_SA'!$1:$1,0))/INDEX('Data_SA'!$A:$LO,MATCH(EDATE(I$2,-1),'Data_SA'!$A:$A,0),MATCH($E143,'Data_SA'!$1:$1,0))-1,""))</f>
        <v/>
      </c>
      <c r="L143" s="7">
        <f>IFERROR(INDEX('Data_NSA'!$A:$OK,MATCH(I$2,'Data_NSA'!$A:$A,0),MATCH($D143,'Data_NSA'!$1:$1,0))/INDEX('Data_NSA'!$A:$OK,MATCH(EDATE(I$2,-12),'Data_NSA'!$A:$A,0),MATCH($D143,'Data_NSA'!$1:$1,0))-1,"")</f>
        <v/>
      </c>
      <c r="M143" s="10">
        <f>IFERROR(INDEX('Weights'!$G:$I,MATCH($A143,'Weights'!$A:$A,0),MATCH(I$2,'Weights'!$G$1:$I$1,0)),"")</f>
        <v/>
      </c>
      <c r="N143" s="10">
        <f>IF($E143="","",IFERROR(100*(INDEX('Weights'!$D:$D,MATCH($A143,'Weights'!$A:$A,0))*(INDEX('Data_NSA'!$A:$OK,MATCH(EDATE(I$2,-1),'Data_NSA'!$A:$A,0),MATCH($D143,'Data_NSA'!$1:$1,0))/INDEX('Data_NSA'!$A:$OK,MATCH(INDEX('Weights'!$E:$E,MATCH($A143,'Weights'!$A:$A,0)),'Data_NSA'!$A:$A,0),MATCH($D143,'Data_NSA'!$1:$1,0))))/(100*(INDEX('Data_NSA'!$A:$OK,MATCH(EDATE(I$2,-1),'Data_NSA'!$A:$A,0),MATCH("CUUR0000SA0",'Data_NSA'!$1:$1,0))/INDEX('Data_NSA'!$A:$OK,MATCH(INDEX('Weights'!$E:$E,MATCH($A143,'Weights'!$A:$A,0)),'Data_NSA'!$A:$A,0),MATCH("CUUR0000SA0",'Data_NSA'!$1:$1,0))))*(INDEX('Data_SA'!$A:$LO,MATCH(I$2,'Data_SA'!$A:$A,0),MATCH($E143,'Data_SA'!$1:$1,0))/INDEX('Data_SA'!$A:$LO,MATCH(EDATE(I$2,-1),'Data_SA'!$A:$A,0),MATCH($E143,'Data_SA'!$1:$1,0))-1),""))</f>
        <v/>
      </c>
      <c r="O143" s="10">
        <f>IFERROR(INDEX('Data_NSA'!$A:$OK,MATCH(O$2,'Data_NSA'!$A:$A,0),MATCH($D143,'Data_NSA'!$1:$1,0)),"")</f>
        <v/>
      </c>
      <c r="P143" s="10">
        <f>IF($E143="","",IFERROR(INDEX('Data_SA'!$A:$LO,MATCH(O$2,'Data_SA'!$A:$A,0),MATCH($E143,'Data_SA'!$1:$1,0)),""))</f>
        <v/>
      </c>
      <c r="Q143" s="7">
        <f>IF($E143="","",IFERROR(INDEX('Data_SA'!$A:$LO,MATCH(O$2,'Data_SA'!$A:$A,0),MATCH($E143,'Data_SA'!$1:$1,0))/INDEX('Data_SA'!$A:$LO,MATCH(EDATE(O$2,-1),'Data_SA'!$A:$A,0),MATCH($E143,'Data_SA'!$1:$1,0))-1,""))</f>
        <v/>
      </c>
      <c r="R143" s="7">
        <f>IFERROR(INDEX('Data_NSA'!$A:$OK,MATCH(O$2,'Data_NSA'!$A:$A,0),MATCH($D143,'Data_NSA'!$1:$1,0))/INDEX('Data_NSA'!$A:$OK,MATCH(EDATE(O$2,-12),'Data_NSA'!$A:$A,0),MATCH($D143,'Data_NSA'!$1:$1,0))-1,"")</f>
        <v/>
      </c>
      <c r="S143" s="10">
        <f>IFERROR(INDEX('Weights'!$G:$I,MATCH($A143,'Weights'!$A:$A,0),MATCH(O$2,'Weights'!$G$1:$I$1,0)),"")</f>
        <v/>
      </c>
      <c r="T143" s="10">
        <f>IF($E143="","",IFERROR(100*(INDEX('Weights'!$D:$D,MATCH($A143,'Weights'!$A:$A,0))*(INDEX('Data_NSA'!$A:$OK,MATCH(EDATE(O$2,-1),'Data_NSA'!$A:$A,0),MATCH($D143,'Data_NSA'!$1:$1,0))/INDEX('Data_NSA'!$A:$OK,MATCH(INDEX('Weights'!$E:$E,MATCH($A143,'Weights'!$A:$A,0)),'Data_NSA'!$A:$A,0),MATCH($D143,'Data_NSA'!$1:$1,0))))/(100*(INDEX('Data_NSA'!$A:$OK,MATCH(EDATE(O$2,-1),'Data_NSA'!$A:$A,0),MATCH("CUUR0000SA0",'Data_NSA'!$1:$1,0))/INDEX('Data_NSA'!$A:$OK,MATCH(INDEX('Weights'!$E:$E,MATCH($A143,'Weights'!$A:$A,0)),'Data_NSA'!$A:$A,0),MATCH("CUUR0000SA0",'Data_NSA'!$1:$1,0))))*(INDEX('Data_SA'!$A:$LO,MATCH(O$2,'Data_SA'!$A:$A,0),MATCH($E143,'Data_SA'!$1:$1,0))/INDEX('Data_SA'!$A:$LO,MATCH(EDATE(O$2,-1),'Data_SA'!$A:$A,0),MATCH($E143,'Data_SA'!$1:$1,0))-1),""))</f>
        <v/>
      </c>
      <c r="U143" s="10">
        <f>IFERROR(INDEX('Data_NSA'!$A:$OK,MATCH(U$2,'Data_NSA'!$A:$A,0),MATCH($D143,'Data_NSA'!$1:$1,0)),"")</f>
        <v/>
      </c>
      <c r="V143" s="10">
        <f>IF($E143="","",IFERROR(INDEX('Data_SA'!$A:$LO,MATCH(U$2,'Data_SA'!$A:$A,0),MATCH($E143,'Data_SA'!$1:$1,0)),""))</f>
        <v/>
      </c>
      <c r="W143" s="7">
        <f>IF($E143="","",IFERROR(INDEX('Data_SA'!$A:$LO,MATCH(U$2,'Data_SA'!$A:$A,0),MATCH($E143,'Data_SA'!$1:$1,0))/INDEX('Data_SA'!$A:$LO,MATCH(EDATE(U$2,-1),'Data_SA'!$A:$A,0),MATCH($E143,'Data_SA'!$1:$1,0))-1,""))</f>
        <v/>
      </c>
      <c r="X143" s="7">
        <f>IFERROR(INDEX('Data_NSA'!$A:$OK,MATCH(U$2,'Data_NSA'!$A:$A,0),MATCH($D143,'Data_NSA'!$1:$1,0))/INDEX('Data_NSA'!$A:$OK,MATCH(EDATE(U$2,-12),'Data_NSA'!$A:$A,0),MATCH($D143,'Data_NSA'!$1:$1,0))-1,"")</f>
        <v/>
      </c>
      <c r="Y143" s="10">
        <f>IFERROR(INDEX('Weights'!$G:$I,MATCH($A143,'Weights'!$A:$A,0),MATCH(U$2,'Weights'!$G$1:$I$1,0)),"")</f>
        <v/>
      </c>
      <c r="Z143" s="10">
        <f>IF($E143="","",IFERROR(100*(INDEX('Weights'!$D:$D,MATCH($A143,'Weights'!$A:$A,0))*(INDEX('Data_NSA'!$A:$OK,MATCH(EDATE(U$2,-1),'Data_NSA'!$A:$A,0),MATCH($D143,'Data_NSA'!$1:$1,0))/INDEX('Data_NSA'!$A:$OK,MATCH(INDEX('Weights'!$E:$E,MATCH($A143,'Weights'!$A:$A,0)),'Data_NSA'!$A:$A,0),MATCH($D143,'Data_NSA'!$1:$1,0))))/(100*(INDEX('Data_NSA'!$A:$OK,MATCH(EDATE(U$2,-1),'Data_NSA'!$A:$A,0),MATCH("CUUR0000SA0",'Data_NSA'!$1:$1,0))/INDEX('Data_NSA'!$A:$OK,MATCH(INDEX('Weights'!$E:$E,MATCH($A143,'Weights'!$A:$A,0)),'Data_NSA'!$A:$A,0),MATCH("CUUR0000SA0",'Data_NSA'!$1:$1,0))))*(INDEX('Data_SA'!$A:$LO,MATCH(U$2,'Data_SA'!$A:$A,0),MATCH($E143,'Data_SA'!$1:$1,0))/INDEX('Data_SA'!$A:$LO,MATCH(EDATE(U$2,-1),'Data_SA'!$A:$A,0),MATCH($E143,'Data_SA'!$1:$1,0))-1),""))</f>
        <v/>
      </c>
    </row>
    <row r="144">
      <c r="A144" s="3" t="inlineStr">
        <is>
          <t>SEHB02</t>
        </is>
      </c>
      <c r="B144" s="3" t="inlineStr">
        <is>
          <t>Other lodging away from home including hotels and motels</t>
        </is>
      </c>
      <c r="C144" s="3" t="inlineStr">
        <is>
          <t>SEHB</t>
        </is>
      </c>
      <c r="D144" s="3" t="inlineStr">
        <is>
          <t>CUUR0000SEHB02</t>
        </is>
      </c>
      <c r="E144" s="3" t="inlineStr">
        <is>
          <t>CUSR0000SEHB02</t>
        </is>
      </c>
      <c r="F144" s="3" t="inlineStr">
        <is>
          <t>GM</t>
        </is>
      </c>
      <c r="G144" s="3" t="inlineStr">
        <is>
          <t>monthly/six-panel shelter or housing-service collection</t>
        </is>
      </c>
      <c r="H144" s="10">
        <f>IFERROR(INDEX(Weights!$D:$D,MATCH($A144,Weights!$A:$A,0)),"")</f>
        <v/>
      </c>
      <c r="I144" s="10">
        <f>IFERROR(INDEX('Data_NSA'!$A:$OK,MATCH(I$2,'Data_NSA'!$A:$A,0),MATCH($D144,'Data_NSA'!$1:$1,0)),"")</f>
        <v/>
      </c>
      <c r="J144" s="10">
        <f>IF($E144="","",IFERROR(INDEX('Data_SA'!$A:$LO,MATCH(I$2,'Data_SA'!$A:$A,0),MATCH($E144,'Data_SA'!$1:$1,0)),""))</f>
        <v/>
      </c>
      <c r="K144" s="7">
        <f>IF($E144="","",IFERROR(INDEX('Data_SA'!$A:$LO,MATCH(I$2,'Data_SA'!$A:$A,0),MATCH($E144,'Data_SA'!$1:$1,0))/INDEX('Data_SA'!$A:$LO,MATCH(EDATE(I$2,-1),'Data_SA'!$A:$A,0),MATCH($E144,'Data_SA'!$1:$1,0))-1,""))</f>
        <v/>
      </c>
      <c r="L144" s="7">
        <f>IFERROR(INDEX('Data_NSA'!$A:$OK,MATCH(I$2,'Data_NSA'!$A:$A,0),MATCH($D144,'Data_NSA'!$1:$1,0))/INDEX('Data_NSA'!$A:$OK,MATCH(EDATE(I$2,-12),'Data_NSA'!$A:$A,0),MATCH($D144,'Data_NSA'!$1:$1,0))-1,"")</f>
        <v/>
      </c>
      <c r="M144" s="10">
        <f>IFERROR(INDEX('Weights'!$G:$I,MATCH($A144,'Weights'!$A:$A,0),MATCH(I$2,'Weights'!$G$1:$I$1,0)),"")</f>
        <v/>
      </c>
      <c r="N144" s="10">
        <f>IF($E144="","",IFERROR(100*(INDEX('Weights'!$D:$D,MATCH($A144,'Weights'!$A:$A,0))*(INDEX('Data_NSA'!$A:$OK,MATCH(EDATE(I$2,-1),'Data_NSA'!$A:$A,0),MATCH($D144,'Data_NSA'!$1:$1,0))/INDEX('Data_NSA'!$A:$OK,MATCH(INDEX('Weights'!$E:$E,MATCH($A144,'Weights'!$A:$A,0)),'Data_NSA'!$A:$A,0),MATCH($D144,'Data_NSA'!$1:$1,0))))/(100*(INDEX('Data_NSA'!$A:$OK,MATCH(EDATE(I$2,-1),'Data_NSA'!$A:$A,0),MATCH("CUUR0000SA0",'Data_NSA'!$1:$1,0))/INDEX('Data_NSA'!$A:$OK,MATCH(INDEX('Weights'!$E:$E,MATCH($A144,'Weights'!$A:$A,0)),'Data_NSA'!$A:$A,0),MATCH("CUUR0000SA0",'Data_NSA'!$1:$1,0))))*(INDEX('Data_SA'!$A:$LO,MATCH(I$2,'Data_SA'!$A:$A,0),MATCH($E144,'Data_SA'!$1:$1,0))/INDEX('Data_SA'!$A:$LO,MATCH(EDATE(I$2,-1),'Data_SA'!$A:$A,0),MATCH($E144,'Data_SA'!$1:$1,0))-1),""))</f>
        <v/>
      </c>
      <c r="O144" s="10">
        <f>IFERROR(INDEX('Data_NSA'!$A:$OK,MATCH(O$2,'Data_NSA'!$A:$A,0),MATCH($D144,'Data_NSA'!$1:$1,0)),"")</f>
        <v/>
      </c>
      <c r="P144" s="10">
        <f>IF($E144="","",IFERROR(INDEX('Data_SA'!$A:$LO,MATCH(O$2,'Data_SA'!$A:$A,0),MATCH($E144,'Data_SA'!$1:$1,0)),""))</f>
        <v/>
      </c>
      <c r="Q144" s="7">
        <f>IF($E144="","",IFERROR(INDEX('Data_SA'!$A:$LO,MATCH(O$2,'Data_SA'!$A:$A,0),MATCH($E144,'Data_SA'!$1:$1,0))/INDEX('Data_SA'!$A:$LO,MATCH(EDATE(O$2,-1),'Data_SA'!$A:$A,0),MATCH($E144,'Data_SA'!$1:$1,0))-1,""))</f>
        <v/>
      </c>
      <c r="R144" s="7">
        <f>IFERROR(INDEX('Data_NSA'!$A:$OK,MATCH(O$2,'Data_NSA'!$A:$A,0),MATCH($D144,'Data_NSA'!$1:$1,0))/INDEX('Data_NSA'!$A:$OK,MATCH(EDATE(O$2,-12),'Data_NSA'!$A:$A,0),MATCH($D144,'Data_NSA'!$1:$1,0))-1,"")</f>
        <v/>
      </c>
      <c r="S144" s="10">
        <f>IFERROR(INDEX('Weights'!$G:$I,MATCH($A144,'Weights'!$A:$A,0),MATCH(O$2,'Weights'!$G$1:$I$1,0)),"")</f>
        <v/>
      </c>
      <c r="T144" s="10">
        <f>IF($E144="","",IFERROR(100*(INDEX('Weights'!$D:$D,MATCH($A144,'Weights'!$A:$A,0))*(INDEX('Data_NSA'!$A:$OK,MATCH(EDATE(O$2,-1),'Data_NSA'!$A:$A,0),MATCH($D144,'Data_NSA'!$1:$1,0))/INDEX('Data_NSA'!$A:$OK,MATCH(INDEX('Weights'!$E:$E,MATCH($A144,'Weights'!$A:$A,0)),'Data_NSA'!$A:$A,0),MATCH($D144,'Data_NSA'!$1:$1,0))))/(100*(INDEX('Data_NSA'!$A:$OK,MATCH(EDATE(O$2,-1),'Data_NSA'!$A:$A,0),MATCH("CUUR0000SA0",'Data_NSA'!$1:$1,0))/INDEX('Data_NSA'!$A:$OK,MATCH(INDEX('Weights'!$E:$E,MATCH($A144,'Weights'!$A:$A,0)),'Data_NSA'!$A:$A,0),MATCH("CUUR0000SA0",'Data_NSA'!$1:$1,0))))*(INDEX('Data_SA'!$A:$LO,MATCH(O$2,'Data_SA'!$A:$A,0),MATCH($E144,'Data_SA'!$1:$1,0))/INDEX('Data_SA'!$A:$LO,MATCH(EDATE(O$2,-1),'Data_SA'!$A:$A,0),MATCH($E144,'Data_SA'!$1:$1,0))-1),""))</f>
        <v/>
      </c>
      <c r="U144" s="10">
        <f>IFERROR(INDEX('Data_NSA'!$A:$OK,MATCH(U$2,'Data_NSA'!$A:$A,0),MATCH($D144,'Data_NSA'!$1:$1,0)),"")</f>
        <v/>
      </c>
      <c r="V144" s="10">
        <f>IF($E144="","",IFERROR(INDEX('Data_SA'!$A:$LO,MATCH(U$2,'Data_SA'!$A:$A,0),MATCH($E144,'Data_SA'!$1:$1,0)),""))</f>
        <v/>
      </c>
      <c r="W144" s="7">
        <f>IF($E144="","",IFERROR(INDEX('Data_SA'!$A:$LO,MATCH(U$2,'Data_SA'!$A:$A,0),MATCH($E144,'Data_SA'!$1:$1,0))/INDEX('Data_SA'!$A:$LO,MATCH(EDATE(U$2,-1),'Data_SA'!$A:$A,0),MATCH($E144,'Data_SA'!$1:$1,0))-1,""))</f>
        <v/>
      </c>
      <c r="X144" s="7">
        <f>IFERROR(INDEX('Data_NSA'!$A:$OK,MATCH(U$2,'Data_NSA'!$A:$A,0),MATCH($D144,'Data_NSA'!$1:$1,0))/INDEX('Data_NSA'!$A:$OK,MATCH(EDATE(U$2,-12),'Data_NSA'!$A:$A,0),MATCH($D144,'Data_NSA'!$1:$1,0))-1,"")</f>
        <v/>
      </c>
      <c r="Y144" s="10">
        <f>IFERROR(INDEX('Weights'!$G:$I,MATCH($A144,'Weights'!$A:$A,0),MATCH(U$2,'Weights'!$G$1:$I$1,0)),"")</f>
        <v/>
      </c>
      <c r="Z144" s="10">
        <f>IF($E144="","",IFERROR(100*(INDEX('Weights'!$D:$D,MATCH($A144,'Weights'!$A:$A,0))*(INDEX('Data_NSA'!$A:$OK,MATCH(EDATE(U$2,-1),'Data_NSA'!$A:$A,0),MATCH($D144,'Data_NSA'!$1:$1,0))/INDEX('Data_NSA'!$A:$OK,MATCH(INDEX('Weights'!$E:$E,MATCH($A144,'Weights'!$A:$A,0)),'Data_NSA'!$A:$A,0),MATCH($D144,'Data_NSA'!$1:$1,0))))/(100*(INDEX('Data_NSA'!$A:$OK,MATCH(EDATE(U$2,-1),'Data_NSA'!$A:$A,0),MATCH("CUUR0000SA0",'Data_NSA'!$1:$1,0))/INDEX('Data_NSA'!$A:$OK,MATCH(INDEX('Weights'!$E:$E,MATCH($A144,'Weights'!$A:$A,0)),'Data_NSA'!$A:$A,0),MATCH("CUUR0000SA0",'Data_NSA'!$1:$1,0))))*(INDEX('Data_SA'!$A:$LO,MATCH(U$2,'Data_SA'!$A:$A,0),MATCH($E144,'Data_SA'!$1:$1,0))/INDEX('Data_SA'!$A:$LO,MATCH(EDATE(U$2,-1),'Data_SA'!$A:$A,0),MATCH($E144,'Data_SA'!$1:$1,0))-1),""))</f>
        <v/>
      </c>
    </row>
    <row r="145">
      <c r="A145" s="3" t="inlineStr">
        <is>
          <t>SEHC</t>
        </is>
      </c>
      <c r="B145" s="3" t="inlineStr">
        <is>
          <t>Owners' equivalent rent of residences</t>
        </is>
      </c>
      <c r="C145" s="3" t="inlineStr">
        <is>
          <t>SAH1</t>
        </is>
      </c>
      <c r="D145" s="3" t="inlineStr">
        <is>
          <t>CUUR0000SEHC</t>
        </is>
      </c>
      <c r="E145" s="3" t="inlineStr">
        <is>
          <t>CUSR0000SEHC</t>
        </is>
      </c>
      <c r="F145" s="3" t="inlineStr">
        <is>
          <t>6MR</t>
        </is>
      </c>
      <c r="G145" s="3" t="inlineStr">
        <is>
          <t>same renter sample, reweighted to owner stock</t>
        </is>
      </c>
      <c r="H145" s="10">
        <f>IFERROR(INDEX(Weights!$D:$D,MATCH($A145,Weights!$A:$A,0)),"")</f>
        <v/>
      </c>
      <c r="I145" s="10">
        <f>IFERROR(INDEX('Data_NSA'!$A:$OK,MATCH(I$2,'Data_NSA'!$A:$A,0),MATCH($D145,'Data_NSA'!$1:$1,0)),"")</f>
        <v/>
      </c>
      <c r="J145" s="10">
        <f>IF($E145="","",IFERROR(INDEX('Data_SA'!$A:$LO,MATCH(I$2,'Data_SA'!$A:$A,0),MATCH($E145,'Data_SA'!$1:$1,0)),""))</f>
        <v/>
      </c>
      <c r="K145" s="7">
        <f>IF($E145="","",IFERROR(INDEX('Data_SA'!$A:$LO,MATCH(I$2,'Data_SA'!$A:$A,0),MATCH($E145,'Data_SA'!$1:$1,0))/INDEX('Data_SA'!$A:$LO,MATCH(EDATE(I$2,-1),'Data_SA'!$A:$A,0),MATCH($E145,'Data_SA'!$1:$1,0))-1,""))</f>
        <v/>
      </c>
      <c r="L145" s="7">
        <f>IFERROR(INDEX('Data_NSA'!$A:$OK,MATCH(I$2,'Data_NSA'!$A:$A,0),MATCH($D145,'Data_NSA'!$1:$1,0))/INDEX('Data_NSA'!$A:$OK,MATCH(EDATE(I$2,-12),'Data_NSA'!$A:$A,0),MATCH($D145,'Data_NSA'!$1:$1,0))-1,"")</f>
        <v/>
      </c>
      <c r="M145" s="10">
        <f>IFERROR(INDEX('Weights'!$G:$I,MATCH($A145,'Weights'!$A:$A,0),MATCH(I$2,'Weights'!$G$1:$I$1,0)),"")</f>
        <v/>
      </c>
      <c r="N145" s="10">
        <f>IF($E145="","",IFERROR(100*(INDEX('Weights'!$D:$D,MATCH($A145,'Weights'!$A:$A,0))*(INDEX('Data_NSA'!$A:$OK,MATCH(EDATE(I$2,-1),'Data_NSA'!$A:$A,0),MATCH($D145,'Data_NSA'!$1:$1,0))/INDEX('Data_NSA'!$A:$OK,MATCH(INDEX('Weights'!$E:$E,MATCH($A145,'Weights'!$A:$A,0)),'Data_NSA'!$A:$A,0),MATCH($D145,'Data_NSA'!$1:$1,0))))/(100*(INDEX('Data_NSA'!$A:$OK,MATCH(EDATE(I$2,-1),'Data_NSA'!$A:$A,0),MATCH("CUUR0000SA0",'Data_NSA'!$1:$1,0))/INDEX('Data_NSA'!$A:$OK,MATCH(INDEX('Weights'!$E:$E,MATCH($A145,'Weights'!$A:$A,0)),'Data_NSA'!$A:$A,0),MATCH("CUUR0000SA0",'Data_NSA'!$1:$1,0))))*(INDEX('Data_SA'!$A:$LO,MATCH(I$2,'Data_SA'!$A:$A,0),MATCH($E145,'Data_SA'!$1:$1,0))/INDEX('Data_SA'!$A:$LO,MATCH(EDATE(I$2,-1),'Data_SA'!$A:$A,0),MATCH($E145,'Data_SA'!$1:$1,0))-1),""))</f>
        <v/>
      </c>
      <c r="O145" s="10">
        <f>IFERROR(INDEX('Data_NSA'!$A:$OK,MATCH(O$2,'Data_NSA'!$A:$A,0),MATCH($D145,'Data_NSA'!$1:$1,0)),"")</f>
        <v/>
      </c>
      <c r="P145" s="10">
        <f>IF($E145="","",IFERROR(INDEX('Data_SA'!$A:$LO,MATCH(O$2,'Data_SA'!$A:$A,0),MATCH($E145,'Data_SA'!$1:$1,0)),""))</f>
        <v/>
      </c>
      <c r="Q145" s="7">
        <f>IF($E145="","",IFERROR(INDEX('Data_SA'!$A:$LO,MATCH(O$2,'Data_SA'!$A:$A,0),MATCH($E145,'Data_SA'!$1:$1,0))/INDEX('Data_SA'!$A:$LO,MATCH(EDATE(O$2,-1),'Data_SA'!$A:$A,0),MATCH($E145,'Data_SA'!$1:$1,0))-1,""))</f>
        <v/>
      </c>
      <c r="R145" s="7">
        <f>IFERROR(INDEX('Data_NSA'!$A:$OK,MATCH(O$2,'Data_NSA'!$A:$A,0),MATCH($D145,'Data_NSA'!$1:$1,0))/INDEX('Data_NSA'!$A:$OK,MATCH(EDATE(O$2,-12),'Data_NSA'!$A:$A,0),MATCH($D145,'Data_NSA'!$1:$1,0))-1,"")</f>
        <v/>
      </c>
      <c r="S145" s="10">
        <f>IFERROR(INDEX('Weights'!$G:$I,MATCH($A145,'Weights'!$A:$A,0),MATCH(O$2,'Weights'!$G$1:$I$1,0)),"")</f>
        <v/>
      </c>
      <c r="T145" s="10">
        <f>IF($E145="","",IFERROR(100*(INDEX('Weights'!$D:$D,MATCH($A145,'Weights'!$A:$A,0))*(INDEX('Data_NSA'!$A:$OK,MATCH(EDATE(O$2,-1),'Data_NSA'!$A:$A,0),MATCH($D145,'Data_NSA'!$1:$1,0))/INDEX('Data_NSA'!$A:$OK,MATCH(INDEX('Weights'!$E:$E,MATCH($A145,'Weights'!$A:$A,0)),'Data_NSA'!$A:$A,0),MATCH($D145,'Data_NSA'!$1:$1,0))))/(100*(INDEX('Data_NSA'!$A:$OK,MATCH(EDATE(O$2,-1),'Data_NSA'!$A:$A,0),MATCH("CUUR0000SA0",'Data_NSA'!$1:$1,0))/INDEX('Data_NSA'!$A:$OK,MATCH(INDEX('Weights'!$E:$E,MATCH($A145,'Weights'!$A:$A,0)),'Data_NSA'!$A:$A,0),MATCH("CUUR0000SA0",'Data_NSA'!$1:$1,0))))*(INDEX('Data_SA'!$A:$LO,MATCH(O$2,'Data_SA'!$A:$A,0),MATCH($E145,'Data_SA'!$1:$1,0))/INDEX('Data_SA'!$A:$LO,MATCH(EDATE(O$2,-1),'Data_SA'!$A:$A,0),MATCH($E145,'Data_SA'!$1:$1,0))-1),""))</f>
        <v/>
      </c>
      <c r="U145" s="10">
        <f>IFERROR(INDEX('Data_NSA'!$A:$OK,MATCH(U$2,'Data_NSA'!$A:$A,0),MATCH($D145,'Data_NSA'!$1:$1,0)),"")</f>
        <v/>
      </c>
      <c r="V145" s="10">
        <f>IF($E145="","",IFERROR(INDEX('Data_SA'!$A:$LO,MATCH(U$2,'Data_SA'!$A:$A,0),MATCH($E145,'Data_SA'!$1:$1,0)),""))</f>
        <v/>
      </c>
      <c r="W145" s="7">
        <f>IF($E145="","",IFERROR(INDEX('Data_SA'!$A:$LO,MATCH(U$2,'Data_SA'!$A:$A,0),MATCH($E145,'Data_SA'!$1:$1,0))/INDEX('Data_SA'!$A:$LO,MATCH(EDATE(U$2,-1),'Data_SA'!$A:$A,0),MATCH($E145,'Data_SA'!$1:$1,0))-1,""))</f>
        <v/>
      </c>
      <c r="X145" s="7">
        <f>IFERROR(INDEX('Data_NSA'!$A:$OK,MATCH(U$2,'Data_NSA'!$A:$A,0),MATCH($D145,'Data_NSA'!$1:$1,0))/INDEX('Data_NSA'!$A:$OK,MATCH(EDATE(U$2,-12),'Data_NSA'!$A:$A,0),MATCH($D145,'Data_NSA'!$1:$1,0))-1,"")</f>
        <v/>
      </c>
      <c r="Y145" s="10">
        <f>IFERROR(INDEX('Weights'!$G:$I,MATCH($A145,'Weights'!$A:$A,0),MATCH(U$2,'Weights'!$G$1:$I$1,0)),"")</f>
        <v/>
      </c>
      <c r="Z145" s="10">
        <f>IF($E145="","",IFERROR(100*(INDEX('Weights'!$D:$D,MATCH($A145,'Weights'!$A:$A,0))*(INDEX('Data_NSA'!$A:$OK,MATCH(EDATE(U$2,-1),'Data_NSA'!$A:$A,0),MATCH($D145,'Data_NSA'!$1:$1,0))/INDEX('Data_NSA'!$A:$OK,MATCH(INDEX('Weights'!$E:$E,MATCH($A145,'Weights'!$A:$A,0)),'Data_NSA'!$A:$A,0),MATCH($D145,'Data_NSA'!$1:$1,0))))/(100*(INDEX('Data_NSA'!$A:$OK,MATCH(EDATE(U$2,-1),'Data_NSA'!$A:$A,0),MATCH("CUUR0000SA0",'Data_NSA'!$1:$1,0))/INDEX('Data_NSA'!$A:$OK,MATCH(INDEX('Weights'!$E:$E,MATCH($A145,'Weights'!$A:$A,0)),'Data_NSA'!$A:$A,0),MATCH("CUUR0000SA0",'Data_NSA'!$1:$1,0))))*(INDEX('Data_SA'!$A:$LO,MATCH(U$2,'Data_SA'!$A:$A,0),MATCH($E145,'Data_SA'!$1:$1,0))/INDEX('Data_SA'!$A:$LO,MATCH(EDATE(U$2,-1),'Data_SA'!$A:$A,0),MATCH($E145,'Data_SA'!$1:$1,0))-1),""))</f>
        <v/>
      </c>
    </row>
    <row r="146">
      <c r="A146" s="3" t="inlineStr">
        <is>
          <t>SEHC01</t>
        </is>
      </c>
      <c r="B146" s="3" t="inlineStr">
        <is>
          <t>Owners' equivalent rent of primary residence</t>
        </is>
      </c>
      <c r="C146" s="3" t="inlineStr">
        <is>
          <t>SEHC</t>
        </is>
      </c>
      <c r="D146" s="3" t="inlineStr">
        <is>
          <t>CUUR0000SEHC01</t>
        </is>
      </c>
      <c r="E146" s="3" t="inlineStr">
        <is>
          <t>CUSR0000SEHC01</t>
        </is>
      </c>
      <c r="F146" s="3" t="inlineStr">
        <is>
          <t>6MR</t>
        </is>
      </c>
      <c r="G146" s="3" t="inlineStr">
        <is>
          <t>monthly/six-panel shelter or housing-service collection</t>
        </is>
      </c>
      <c r="H146" s="10">
        <f>IFERROR(INDEX(Weights!$D:$D,MATCH($A146,Weights!$A:$A,0)),"")</f>
        <v/>
      </c>
      <c r="I146" s="10">
        <f>IFERROR(INDEX('Data_NSA'!$A:$OK,MATCH(I$2,'Data_NSA'!$A:$A,0),MATCH($D146,'Data_NSA'!$1:$1,0)),"")</f>
        <v/>
      </c>
      <c r="J146" s="10">
        <f>IF($E146="","",IFERROR(INDEX('Data_SA'!$A:$LO,MATCH(I$2,'Data_SA'!$A:$A,0),MATCH($E146,'Data_SA'!$1:$1,0)),""))</f>
        <v/>
      </c>
      <c r="K146" s="7">
        <f>IF($E146="","",IFERROR(INDEX('Data_SA'!$A:$LO,MATCH(I$2,'Data_SA'!$A:$A,0),MATCH($E146,'Data_SA'!$1:$1,0))/INDEX('Data_SA'!$A:$LO,MATCH(EDATE(I$2,-1),'Data_SA'!$A:$A,0),MATCH($E146,'Data_SA'!$1:$1,0))-1,""))</f>
        <v/>
      </c>
      <c r="L146" s="7">
        <f>IFERROR(INDEX('Data_NSA'!$A:$OK,MATCH(I$2,'Data_NSA'!$A:$A,0),MATCH($D146,'Data_NSA'!$1:$1,0))/INDEX('Data_NSA'!$A:$OK,MATCH(EDATE(I$2,-12),'Data_NSA'!$A:$A,0),MATCH($D146,'Data_NSA'!$1:$1,0))-1,"")</f>
        <v/>
      </c>
      <c r="M146" s="10">
        <f>IFERROR(INDEX('Weights'!$G:$I,MATCH($A146,'Weights'!$A:$A,0),MATCH(I$2,'Weights'!$G$1:$I$1,0)),"")</f>
        <v/>
      </c>
      <c r="N146" s="10">
        <f>IF($E146="","",IFERROR(100*(INDEX('Weights'!$D:$D,MATCH($A146,'Weights'!$A:$A,0))*(INDEX('Data_NSA'!$A:$OK,MATCH(EDATE(I$2,-1),'Data_NSA'!$A:$A,0),MATCH($D146,'Data_NSA'!$1:$1,0))/INDEX('Data_NSA'!$A:$OK,MATCH(INDEX('Weights'!$E:$E,MATCH($A146,'Weights'!$A:$A,0)),'Data_NSA'!$A:$A,0),MATCH($D146,'Data_NSA'!$1:$1,0))))/(100*(INDEX('Data_NSA'!$A:$OK,MATCH(EDATE(I$2,-1),'Data_NSA'!$A:$A,0),MATCH("CUUR0000SA0",'Data_NSA'!$1:$1,0))/INDEX('Data_NSA'!$A:$OK,MATCH(INDEX('Weights'!$E:$E,MATCH($A146,'Weights'!$A:$A,0)),'Data_NSA'!$A:$A,0),MATCH("CUUR0000SA0",'Data_NSA'!$1:$1,0))))*(INDEX('Data_SA'!$A:$LO,MATCH(I$2,'Data_SA'!$A:$A,0),MATCH($E146,'Data_SA'!$1:$1,0))/INDEX('Data_SA'!$A:$LO,MATCH(EDATE(I$2,-1),'Data_SA'!$A:$A,0),MATCH($E146,'Data_SA'!$1:$1,0))-1),""))</f>
        <v/>
      </c>
      <c r="O146" s="10">
        <f>IFERROR(INDEX('Data_NSA'!$A:$OK,MATCH(O$2,'Data_NSA'!$A:$A,0),MATCH($D146,'Data_NSA'!$1:$1,0)),"")</f>
        <v/>
      </c>
      <c r="P146" s="10">
        <f>IF($E146="","",IFERROR(INDEX('Data_SA'!$A:$LO,MATCH(O$2,'Data_SA'!$A:$A,0),MATCH($E146,'Data_SA'!$1:$1,0)),""))</f>
        <v/>
      </c>
      <c r="Q146" s="7">
        <f>IF($E146="","",IFERROR(INDEX('Data_SA'!$A:$LO,MATCH(O$2,'Data_SA'!$A:$A,0),MATCH($E146,'Data_SA'!$1:$1,0))/INDEX('Data_SA'!$A:$LO,MATCH(EDATE(O$2,-1),'Data_SA'!$A:$A,0),MATCH($E146,'Data_SA'!$1:$1,0))-1,""))</f>
        <v/>
      </c>
      <c r="R146" s="7">
        <f>IFERROR(INDEX('Data_NSA'!$A:$OK,MATCH(O$2,'Data_NSA'!$A:$A,0),MATCH($D146,'Data_NSA'!$1:$1,0))/INDEX('Data_NSA'!$A:$OK,MATCH(EDATE(O$2,-12),'Data_NSA'!$A:$A,0),MATCH($D146,'Data_NSA'!$1:$1,0))-1,"")</f>
        <v/>
      </c>
      <c r="S146" s="10">
        <f>IFERROR(INDEX('Weights'!$G:$I,MATCH($A146,'Weights'!$A:$A,0),MATCH(O$2,'Weights'!$G$1:$I$1,0)),"")</f>
        <v/>
      </c>
      <c r="T146" s="10">
        <f>IF($E146="","",IFERROR(100*(INDEX('Weights'!$D:$D,MATCH($A146,'Weights'!$A:$A,0))*(INDEX('Data_NSA'!$A:$OK,MATCH(EDATE(O$2,-1),'Data_NSA'!$A:$A,0),MATCH($D146,'Data_NSA'!$1:$1,0))/INDEX('Data_NSA'!$A:$OK,MATCH(INDEX('Weights'!$E:$E,MATCH($A146,'Weights'!$A:$A,0)),'Data_NSA'!$A:$A,0),MATCH($D146,'Data_NSA'!$1:$1,0))))/(100*(INDEX('Data_NSA'!$A:$OK,MATCH(EDATE(O$2,-1),'Data_NSA'!$A:$A,0),MATCH("CUUR0000SA0",'Data_NSA'!$1:$1,0))/INDEX('Data_NSA'!$A:$OK,MATCH(INDEX('Weights'!$E:$E,MATCH($A146,'Weights'!$A:$A,0)),'Data_NSA'!$A:$A,0),MATCH("CUUR0000SA0",'Data_NSA'!$1:$1,0))))*(INDEX('Data_SA'!$A:$LO,MATCH(O$2,'Data_SA'!$A:$A,0),MATCH($E146,'Data_SA'!$1:$1,0))/INDEX('Data_SA'!$A:$LO,MATCH(EDATE(O$2,-1),'Data_SA'!$A:$A,0),MATCH($E146,'Data_SA'!$1:$1,0))-1),""))</f>
        <v/>
      </c>
      <c r="U146" s="10">
        <f>IFERROR(INDEX('Data_NSA'!$A:$OK,MATCH(U$2,'Data_NSA'!$A:$A,0),MATCH($D146,'Data_NSA'!$1:$1,0)),"")</f>
        <v/>
      </c>
      <c r="V146" s="10">
        <f>IF($E146="","",IFERROR(INDEX('Data_SA'!$A:$LO,MATCH(U$2,'Data_SA'!$A:$A,0),MATCH($E146,'Data_SA'!$1:$1,0)),""))</f>
        <v/>
      </c>
      <c r="W146" s="7">
        <f>IF($E146="","",IFERROR(INDEX('Data_SA'!$A:$LO,MATCH(U$2,'Data_SA'!$A:$A,0),MATCH($E146,'Data_SA'!$1:$1,0))/INDEX('Data_SA'!$A:$LO,MATCH(EDATE(U$2,-1),'Data_SA'!$A:$A,0),MATCH($E146,'Data_SA'!$1:$1,0))-1,""))</f>
        <v/>
      </c>
      <c r="X146" s="7">
        <f>IFERROR(INDEX('Data_NSA'!$A:$OK,MATCH(U$2,'Data_NSA'!$A:$A,0),MATCH($D146,'Data_NSA'!$1:$1,0))/INDEX('Data_NSA'!$A:$OK,MATCH(EDATE(U$2,-12),'Data_NSA'!$A:$A,0),MATCH($D146,'Data_NSA'!$1:$1,0))-1,"")</f>
        <v/>
      </c>
      <c r="Y146" s="10">
        <f>IFERROR(INDEX('Weights'!$G:$I,MATCH($A146,'Weights'!$A:$A,0),MATCH(U$2,'Weights'!$G$1:$I$1,0)),"")</f>
        <v/>
      </c>
      <c r="Z146" s="10">
        <f>IF($E146="","",IFERROR(100*(INDEX('Weights'!$D:$D,MATCH($A146,'Weights'!$A:$A,0))*(INDEX('Data_NSA'!$A:$OK,MATCH(EDATE(U$2,-1),'Data_NSA'!$A:$A,0),MATCH($D146,'Data_NSA'!$1:$1,0))/INDEX('Data_NSA'!$A:$OK,MATCH(INDEX('Weights'!$E:$E,MATCH($A146,'Weights'!$A:$A,0)),'Data_NSA'!$A:$A,0),MATCH($D146,'Data_NSA'!$1:$1,0))))/(100*(INDEX('Data_NSA'!$A:$OK,MATCH(EDATE(U$2,-1),'Data_NSA'!$A:$A,0),MATCH("CUUR0000SA0",'Data_NSA'!$1:$1,0))/INDEX('Data_NSA'!$A:$OK,MATCH(INDEX('Weights'!$E:$E,MATCH($A146,'Weights'!$A:$A,0)),'Data_NSA'!$A:$A,0),MATCH("CUUR0000SA0",'Data_NSA'!$1:$1,0))))*(INDEX('Data_SA'!$A:$LO,MATCH(U$2,'Data_SA'!$A:$A,0),MATCH($E146,'Data_SA'!$1:$1,0))/INDEX('Data_SA'!$A:$LO,MATCH(EDATE(U$2,-1),'Data_SA'!$A:$A,0),MATCH($E146,'Data_SA'!$1:$1,0))-1),""))</f>
        <v/>
      </c>
    </row>
    <row r="147">
      <c r="A147" s="3" t="inlineStr">
        <is>
          <t>SEHD</t>
        </is>
      </c>
      <c r="B147" s="3" t="inlineStr">
        <is>
          <t>Tenants' and household insurance</t>
        </is>
      </c>
      <c r="C147" s="3" t="inlineStr">
        <is>
          <t>SAH1</t>
        </is>
      </c>
      <c r="D147" s="3" t="inlineStr">
        <is>
          <t>CUUR0000SEHD</t>
        </is>
      </c>
      <c r="E147" s="3" t="inlineStr"/>
      <c r="F147" s="3" t="inlineStr">
        <is>
          <t>GM</t>
        </is>
      </c>
      <c r="G147" s="3" t="inlineStr">
        <is>
          <t>monthly/six-panel shelter or housing-service collection</t>
        </is>
      </c>
      <c r="H147" s="10">
        <f>IFERROR(INDEX(Weights!$D:$D,MATCH($A147,Weights!$A:$A,0)),"")</f>
        <v/>
      </c>
      <c r="I147" s="10">
        <f>IFERROR(INDEX('Data_NSA'!$A:$OK,MATCH(I$2,'Data_NSA'!$A:$A,0),MATCH($D147,'Data_NSA'!$1:$1,0)),"")</f>
        <v/>
      </c>
      <c r="J147" s="10">
        <f>IF($E147="","",IFERROR(INDEX('Data_SA'!$A:$LO,MATCH(I$2,'Data_SA'!$A:$A,0),MATCH($E147,'Data_SA'!$1:$1,0)),""))</f>
        <v/>
      </c>
      <c r="K147" s="7">
        <f>IF($E147="","",IFERROR(INDEX('Data_SA'!$A:$LO,MATCH(I$2,'Data_SA'!$A:$A,0),MATCH($E147,'Data_SA'!$1:$1,0))/INDEX('Data_SA'!$A:$LO,MATCH(EDATE(I$2,-1),'Data_SA'!$A:$A,0),MATCH($E147,'Data_SA'!$1:$1,0))-1,""))</f>
        <v/>
      </c>
      <c r="L147" s="7">
        <f>IFERROR(INDEX('Data_NSA'!$A:$OK,MATCH(I$2,'Data_NSA'!$A:$A,0),MATCH($D147,'Data_NSA'!$1:$1,0))/INDEX('Data_NSA'!$A:$OK,MATCH(EDATE(I$2,-12),'Data_NSA'!$A:$A,0),MATCH($D147,'Data_NSA'!$1:$1,0))-1,"")</f>
        <v/>
      </c>
      <c r="M147" s="10">
        <f>IFERROR(INDEX('Weights'!$G:$I,MATCH($A147,'Weights'!$A:$A,0),MATCH(I$2,'Weights'!$G$1:$I$1,0)),"")</f>
        <v/>
      </c>
      <c r="N147" s="10">
        <f>IF($E147="","",IFERROR(100*(INDEX('Weights'!$D:$D,MATCH($A147,'Weights'!$A:$A,0))*(INDEX('Data_NSA'!$A:$OK,MATCH(EDATE(I$2,-1),'Data_NSA'!$A:$A,0),MATCH($D147,'Data_NSA'!$1:$1,0))/INDEX('Data_NSA'!$A:$OK,MATCH(INDEX('Weights'!$E:$E,MATCH($A147,'Weights'!$A:$A,0)),'Data_NSA'!$A:$A,0),MATCH($D147,'Data_NSA'!$1:$1,0))))/(100*(INDEX('Data_NSA'!$A:$OK,MATCH(EDATE(I$2,-1),'Data_NSA'!$A:$A,0),MATCH("CUUR0000SA0",'Data_NSA'!$1:$1,0))/INDEX('Data_NSA'!$A:$OK,MATCH(INDEX('Weights'!$E:$E,MATCH($A147,'Weights'!$A:$A,0)),'Data_NSA'!$A:$A,0),MATCH("CUUR0000SA0",'Data_NSA'!$1:$1,0))))*(INDEX('Data_SA'!$A:$LO,MATCH(I$2,'Data_SA'!$A:$A,0),MATCH($E147,'Data_SA'!$1:$1,0))/INDEX('Data_SA'!$A:$LO,MATCH(EDATE(I$2,-1),'Data_SA'!$A:$A,0),MATCH($E147,'Data_SA'!$1:$1,0))-1),""))</f>
        <v/>
      </c>
      <c r="O147" s="10">
        <f>IFERROR(INDEX('Data_NSA'!$A:$OK,MATCH(O$2,'Data_NSA'!$A:$A,0),MATCH($D147,'Data_NSA'!$1:$1,0)),"")</f>
        <v/>
      </c>
      <c r="P147" s="10">
        <f>IF($E147="","",IFERROR(INDEX('Data_SA'!$A:$LO,MATCH(O$2,'Data_SA'!$A:$A,0),MATCH($E147,'Data_SA'!$1:$1,0)),""))</f>
        <v/>
      </c>
      <c r="Q147" s="7">
        <f>IF($E147="","",IFERROR(INDEX('Data_SA'!$A:$LO,MATCH(O$2,'Data_SA'!$A:$A,0),MATCH($E147,'Data_SA'!$1:$1,0))/INDEX('Data_SA'!$A:$LO,MATCH(EDATE(O$2,-1),'Data_SA'!$A:$A,0),MATCH($E147,'Data_SA'!$1:$1,0))-1,""))</f>
        <v/>
      </c>
      <c r="R147" s="7">
        <f>IFERROR(INDEX('Data_NSA'!$A:$OK,MATCH(O$2,'Data_NSA'!$A:$A,0),MATCH($D147,'Data_NSA'!$1:$1,0))/INDEX('Data_NSA'!$A:$OK,MATCH(EDATE(O$2,-12),'Data_NSA'!$A:$A,0),MATCH($D147,'Data_NSA'!$1:$1,0))-1,"")</f>
        <v/>
      </c>
      <c r="S147" s="10">
        <f>IFERROR(INDEX('Weights'!$G:$I,MATCH($A147,'Weights'!$A:$A,0),MATCH(O$2,'Weights'!$G$1:$I$1,0)),"")</f>
        <v/>
      </c>
      <c r="T147" s="10">
        <f>IF($E147="","",IFERROR(100*(INDEX('Weights'!$D:$D,MATCH($A147,'Weights'!$A:$A,0))*(INDEX('Data_NSA'!$A:$OK,MATCH(EDATE(O$2,-1),'Data_NSA'!$A:$A,0),MATCH($D147,'Data_NSA'!$1:$1,0))/INDEX('Data_NSA'!$A:$OK,MATCH(INDEX('Weights'!$E:$E,MATCH($A147,'Weights'!$A:$A,0)),'Data_NSA'!$A:$A,0),MATCH($D147,'Data_NSA'!$1:$1,0))))/(100*(INDEX('Data_NSA'!$A:$OK,MATCH(EDATE(O$2,-1),'Data_NSA'!$A:$A,0),MATCH("CUUR0000SA0",'Data_NSA'!$1:$1,0))/INDEX('Data_NSA'!$A:$OK,MATCH(INDEX('Weights'!$E:$E,MATCH($A147,'Weights'!$A:$A,0)),'Data_NSA'!$A:$A,0),MATCH("CUUR0000SA0",'Data_NSA'!$1:$1,0))))*(INDEX('Data_SA'!$A:$LO,MATCH(O$2,'Data_SA'!$A:$A,0),MATCH($E147,'Data_SA'!$1:$1,0))/INDEX('Data_SA'!$A:$LO,MATCH(EDATE(O$2,-1),'Data_SA'!$A:$A,0),MATCH($E147,'Data_SA'!$1:$1,0))-1),""))</f>
        <v/>
      </c>
      <c r="U147" s="10">
        <f>IFERROR(INDEX('Data_NSA'!$A:$OK,MATCH(U$2,'Data_NSA'!$A:$A,0),MATCH($D147,'Data_NSA'!$1:$1,0)),"")</f>
        <v/>
      </c>
      <c r="V147" s="10">
        <f>IF($E147="","",IFERROR(INDEX('Data_SA'!$A:$LO,MATCH(U$2,'Data_SA'!$A:$A,0),MATCH($E147,'Data_SA'!$1:$1,0)),""))</f>
        <v/>
      </c>
      <c r="W147" s="7">
        <f>IF($E147="","",IFERROR(INDEX('Data_SA'!$A:$LO,MATCH(U$2,'Data_SA'!$A:$A,0),MATCH($E147,'Data_SA'!$1:$1,0))/INDEX('Data_SA'!$A:$LO,MATCH(EDATE(U$2,-1),'Data_SA'!$A:$A,0),MATCH($E147,'Data_SA'!$1:$1,0))-1,""))</f>
        <v/>
      </c>
      <c r="X147" s="7">
        <f>IFERROR(INDEX('Data_NSA'!$A:$OK,MATCH(U$2,'Data_NSA'!$A:$A,0),MATCH($D147,'Data_NSA'!$1:$1,0))/INDEX('Data_NSA'!$A:$OK,MATCH(EDATE(U$2,-12),'Data_NSA'!$A:$A,0),MATCH($D147,'Data_NSA'!$1:$1,0))-1,"")</f>
        <v/>
      </c>
      <c r="Y147" s="10">
        <f>IFERROR(INDEX('Weights'!$G:$I,MATCH($A147,'Weights'!$A:$A,0),MATCH(U$2,'Weights'!$G$1:$I$1,0)),"")</f>
        <v/>
      </c>
      <c r="Z147" s="10">
        <f>IF($E147="","",IFERROR(100*(INDEX('Weights'!$D:$D,MATCH($A147,'Weights'!$A:$A,0))*(INDEX('Data_NSA'!$A:$OK,MATCH(EDATE(U$2,-1),'Data_NSA'!$A:$A,0),MATCH($D147,'Data_NSA'!$1:$1,0))/INDEX('Data_NSA'!$A:$OK,MATCH(INDEX('Weights'!$E:$E,MATCH($A147,'Weights'!$A:$A,0)),'Data_NSA'!$A:$A,0),MATCH($D147,'Data_NSA'!$1:$1,0))))/(100*(INDEX('Data_NSA'!$A:$OK,MATCH(EDATE(U$2,-1),'Data_NSA'!$A:$A,0),MATCH("CUUR0000SA0",'Data_NSA'!$1:$1,0))/INDEX('Data_NSA'!$A:$OK,MATCH(INDEX('Weights'!$E:$E,MATCH($A147,'Weights'!$A:$A,0)),'Data_NSA'!$A:$A,0),MATCH("CUUR0000SA0",'Data_NSA'!$1:$1,0))))*(INDEX('Data_SA'!$A:$LO,MATCH(U$2,'Data_SA'!$A:$A,0),MATCH($E147,'Data_SA'!$1:$1,0))/INDEX('Data_SA'!$A:$LO,MATCH(EDATE(U$2,-1),'Data_SA'!$A:$A,0),MATCH($E147,'Data_SA'!$1:$1,0))-1),""))</f>
        <v/>
      </c>
    </row>
    <row r="148">
      <c r="A148" s="3" t="inlineStr">
        <is>
          <t>SAH2</t>
        </is>
      </c>
      <c r="B148" s="3" t="inlineStr">
        <is>
          <t>Fuels and utilities</t>
        </is>
      </c>
      <c r="C148" s="3" t="inlineStr">
        <is>
          <t>SAH</t>
        </is>
      </c>
      <c r="D148" s="3" t="inlineStr">
        <is>
          <t>CUUR0000SAH2</t>
        </is>
      </c>
      <c r="E148" s="3" t="inlineStr">
        <is>
          <t>CUSR0000SAH2</t>
        </is>
      </c>
      <c r="F148" s="3" t="inlineStr">
        <is>
          <t>aggregate</t>
        </is>
      </c>
      <c r="G148" s="3" t="inlineStr">
        <is>
          <t>aggregate</t>
        </is>
      </c>
      <c r="H148" s="10">
        <f>IFERROR(INDEX(Weights!$D:$D,MATCH($A148,Weights!$A:$A,0)),"")</f>
        <v/>
      </c>
      <c r="I148" s="10">
        <f>IFERROR(INDEX('Data_NSA'!$A:$OK,MATCH(I$2,'Data_NSA'!$A:$A,0),MATCH($D148,'Data_NSA'!$1:$1,0)),"")</f>
        <v/>
      </c>
      <c r="J148" s="10">
        <f>IF($E148="","",IFERROR(INDEX('Data_SA'!$A:$LO,MATCH(I$2,'Data_SA'!$A:$A,0),MATCH($E148,'Data_SA'!$1:$1,0)),""))</f>
        <v/>
      </c>
      <c r="K148" s="7">
        <f>IF($E148="","",IFERROR(INDEX('Data_SA'!$A:$LO,MATCH(I$2,'Data_SA'!$A:$A,0),MATCH($E148,'Data_SA'!$1:$1,0))/INDEX('Data_SA'!$A:$LO,MATCH(EDATE(I$2,-1),'Data_SA'!$A:$A,0),MATCH($E148,'Data_SA'!$1:$1,0))-1,""))</f>
        <v/>
      </c>
      <c r="L148" s="7">
        <f>IFERROR(INDEX('Data_NSA'!$A:$OK,MATCH(I$2,'Data_NSA'!$A:$A,0),MATCH($D148,'Data_NSA'!$1:$1,0))/INDEX('Data_NSA'!$A:$OK,MATCH(EDATE(I$2,-12),'Data_NSA'!$A:$A,0),MATCH($D148,'Data_NSA'!$1:$1,0))-1,"")</f>
        <v/>
      </c>
      <c r="M148" s="10">
        <f>IFERROR(INDEX('Weights'!$G:$I,MATCH($A148,'Weights'!$A:$A,0),MATCH(I$2,'Weights'!$G$1:$I$1,0)),"")</f>
        <v/>
      </c>
      <c r="N148" s="10">
        <f>IF($E148="","",IFERROR(100*(INDEX('Weights'!$D:$D,MATCH($A148,'Weights'!$A:$A,0))*(INDEX('Data_NSA'!$A:$OK,MATCH(EDATE(I$2,-1),'Data_NSA'!$A:$A,0),MATCH($D148,'Data_NSA'!$1:$1,0))/INDEX('Data_NSA'!$A:$OK,MATCH(INDEX('Weights'!$E:$E,MATCH($A148,'Weights'!$A:$A,0)),'Data_NSA'!$A:$A,0),MATCH($D148,'Data_NSA'!$1:$1,0))))/(100*(INDEX('Data_NSA'!$A:$OK,MATCH(EDATE(I$2,-1),'Data_NSA'!$A:$A,0),MATCH("CUUR0000SA0",'Data_NSA'!$1:$1,0))/INDEX('Data_NSA'!$A:$OK,MATCH(INDEX('Weights'!$E:$E,MATCH($A148,'Weights'!$A:$A,0)),'Data_NSA'!$A:$A,0),MATCH("CUUR0000SA0",'Data_NSA'!$1:$1,0))))*(INDEX('Data_SA'!$A:$LO,MATCH(I$2,'Data_SA'!$A:$A,0),MATCH($E148,'Data_SA'!$1:$1,0))/INDEX('Data_SA'!$A:$LO,MATCH(EDATE(I$2,-1),'Data_SA'!$A:$A,0),MATCH($E148,'Data_SA'!$1:$1,0))-1),""))</f>
        <v/>
      </c>
      <c r="O148" s="10">
        <f>IFERROR(INDEX('Data_NSA'!$A:$OK,MATCH(O$2,'Data_NSA'!$A:$A,0),MATCH($D148,'Data_NSA'!$1:$1,0)),"")</f>
        <v/>
      </c>
      <c r="P148" s="10">
        <f>IF($E148="","",IFERROR(INDEX('Data_SA'!$A:$LO,MATCH(O$2,'Data_SA'!$A:$A,0),MATCH($E148,'Data_SA'!$1:$1,0)),""))</f>
        <v/>
      </c>
      <c r="Q148" s="7">
        <f>IF($E148="","",IFERROR(INDEX('Data_SA'!$A:$LO,MATCH(O$2,'Data_SA'!$A:$A,0),MATCH($E148,'Data_SA'!$1:$1,0))/INDEX('Data_SA'!$A:$LO,MATCH(EDATE(O$2,-1),'Data_SA'!$A:$A,0),MATCH($E148,'Data_SA'!$1:$1,0))-1,""))</f>
        <v/>
      </c>
      <c r="R148" s="7">
        <f>IFERROR(INDEX('Data_NSA'!$A:$OK,MATCH(O$2,'Data_NSA'!$A:$A,0),MATCH($D148,'Data_NSA'!$1:$1,0))/INDEX('Data_NSA'!$A:$OK,MATCH(EDATE(O$2,-12),'Data_NSA'!$A:$A,0),MATCH($D148,'Data_NSA'!$1:$1,0))-1,"")</f>
        <v/>
      </c>
      <c r="S148" s="10">
        <f>IFERROR(INDEX('Weights'!$G:$I,MATCH($A148,'Weights'!$A:$A,0),MATCH(O$2,'Weights'!$G$1:$I$1,0)),"")</f>
        <v/>
      </c>
      <c r="T148" s="10">
        <f>IF($E148="","",IFERROR(100*(INDEX('Weights'!$D:$D,MATCH($A148,'Weights'!$A:$A,0))*(INDEX('Data_NSA'!$A:$OK,MATCH(EDATE(O$2,-1),'Data_NSA'!$A:$A,0),MATCH($D148,'Data_NSA'!$1:$1,0))/INDEX('Data_NSA'!$A:$OK,MATCH(INDEX('Weights'!$E:$E,MATCH($A148,'Weights'!$A:$A,0)),'Data_NSA'!$A:$A,0),MATCH($D148,'Data_NSA'!$1:$1,0))))/(100*(INDEX('Data_NSA'!$A:$OK,MATCH(EDATE(O$2,-1),'Data_NSA'!$A:$A,0),MATCH("CUUR0000SA0",'Data_NSA'!$1:$1,0))/INDEX('Data_NSA'!$A:$OK,MATCH(INDEX('Weights'!$E:$E,MATCH($A148,'Weights'!$A:$A,0)),'Data_NSA'!$A:$A,0),MATCH("CUUR0000SA0",'Data_NSA'!$1:$1,0))))*(INDEX('Data_SA'!$A:$LO,MATCH(O$2,'Data_SA'!$A:$A,0),MATCH($E148,'Data_SA'!$1:$1,0))/INDEX('Data_SA'!$A:$LO,MATCH(EDATE(O$2,-1),'Data_SA'!$A:$A,0),MATCH($E148,'Data_SA'!$1:$1,0))-1),""))</f>
        <v/>
      </c>
      <c r="U148" s="10">
        <f>IFERROR(INDEX('Data_NSA'!$A:$OK,MATCH(U$2,'Data_NSA'!$A:$A,0),MATCH($D148,'Data_NSA'!$1:$1,0)),"")</f>
        <v/>
      </c>
      <c r="V148" s="10">
        <f>IF($E148="","",IFERROR(INDEX('Data_SA'!$A:$LO,MATCH(U$2,'Data_SA'!$A:$A,0),MATCH($E148,'Data_SA'!$1:$1,0)),""))</f>
        <v/>
      </c>
      <c r="W148" s="7">
        <f>IF($E148="","",IFERROR(INDEX('Data_SA'!$A:$LO,MATCH(U$2,'Data_SA'!$A:$A,0),MATCH($E148,'Data_SA'!$1:$1,0))/INDEX('Data_SA'!$A:$LO,MATCH(EDATE(U$2,-1),'Data_SA'!$A:$A,0),MATCH($E148,'Data_SA'!$1:$1,0))-1,""))</f>
        <v/>
      </c>
      <c r="X148" s="7">
        <f>IFERROR(INDEX('Data_NSA'!$A:$OK,MATCH(U$2,'Data_NSA'!$A:$A,0),MATCH($D148,'Data_NSA'!$1:$1,0))/INDEX('Data_NSA'!$A:$OK,MATCH(EDATE(U$2,-12),'Data_NSA'!$A:$A,0),MATCH($D148,'Data_NSA'!$1:$1,0))-1,"")</f>
        <v/>
      </c>
      <c r="Y148" s="10">
        <f>IFERROR(INDEX('Weights'!$G:$I,MATCH($A148,'Weights'!$A:$A,0),MATCH(U$2,'Weights'!$G$1:$I$1,0)),"")</f>
        <v/>
      </c>
      <c r="Z148" s="10">
        <f>IF($E148="","",IFERROR(100*(INDEX('Weights'!$D:$D,MATCH($A148,'Weights'!$A:$A,0))*(INDEX('Data_NSA'!$A:$OK,MATCH(EDATE(U$2,-1),'Data_NSA'!$A:$A,0),MATCH($D148,'Data_NSA'!$1:$1,0))/INDEX('Data_NSA'!$A:$OK,MATCH(INDEX('Weights'!$E:$E,MATCH($A148,'Weights'!$A:$A,0)),'Data_NSA'!$A:$A,0),MATCH($D148,'Data_NSA'!$1:$1,0))))/(100*(INDEX('Data_NSA'!$A:$OK,MATCH(EDATE(U$2,-1),'Data_NSA'!$A:$A,0),MATCH("CUUR0000SA0",'Data_NSA'!$1:$1,0))/INDEX('Data_NSA'!$A:$OK,MATCH(INDEX('Weights'!$E:$E,MATCH($A148,'Weights'!$A:$A,0)),'Data_NSA'!$A:$A,0),MATCH("CUUR0000SA0",'Data_NSA'!$1:$1,0))))*(INDEX('Data_SA'!$A:$LO,MATCH(U$2,'Data_SA'!$A:$A,0),MATCH($E148,'Data_SA'!$1:$1,0))/INDEX('Data_SA'!$A:$LO,MATCH(EDATE(U$2,-1),'Data_SA'!$A:$A,0),MATCH($E148,'Data_SA'!$1:$1,0))-1),""))</f>
        <v/>
      </c>
    </row>
    <row r="149">
      <c r="A149" s="3" t="inlineStr">
        <is>
          <t>SAH21</t>
        </is>
      </c>
      <c r="B149" s="3" t="inlineStr">
        <is>
          <t>Household energy</t>
        </is>
      </c>
      <c r="C149" s="3" t="inlineStr">
        <is>
          <t>SAH2</t>
        </is>
      </c>
      <c r="D149" s="3" t="inlineStr">
        <is>
          <t>CUUR0000SAH21</t>
        </is>
      </c>
      <c r="E149" s="3" t="inlineStr">
        <is>
          <t>CUSR0000SAH21</t>
        </is>
      </c>
      <c r="F149" s="3" t="inlineStr">
        <is>
          <t>aggregate</t>
        </is>
      </c>
      <c r="G149" s="3" t="inlineStr">
        <is>
          <t>aggregate</t>
        </is>
      </c>
      <c r="H149" s="10">
        <f>IFERROR(INDEX(Weights!$D:$D,MATCH($A149,Weights!$A:$A,0)),"")</f>
        <v/>
      </c>
      <c r="I149" s="10">
        <f>IFERROR(INDEX('Data_NSA'!$A:$OK,MATCH(I$2,'Data_NSA'!$A:$A,0),MATCH($D149,'Data_NSA'!$1:$1,0)),"")</f>
        <v/>
      </c>
      <c r="J149" s="10">
        <f>IF($E149="","",IFERROR(INDEX('Data_SA'!$A:$LO,MATCH(I$2,'Data_SA'!$A:$A,0),MATCH($E149,'Data_SA'!$1:$1,0)),""))</f>
        <v/>
      </c>
      <c r="K149" s="7">
        <f>IF($E149="","",IFERROR(INDEX('Data_SA'!$A:$LO,MATCH(I$2,'Data_SA'!$A:$A,0),MATCH($E149,'Data_SA'!$1:$1,0))/INDEX('Data_SA'!$A:$LO,MATCH(EDATE(I$2,-1),'Data_SA'!$A:$A,0),MATCH($E149,'Data_SA'!$1:$1,0))-1,""))</f>
        <v/>
      </c>
      <c r="L149" s="7">
        <f>IFERROR(INDEX('Data_NSA'!$A:$OK,MATCH(I$2,'Data_NSA'!$A:$A,0),MATCH($D149,'Data_NSA'!$1:$1,0))/INDEX('Data_NSA'!$A:$OK,MATCH(EDATE(I$2,-12),'Data_NSA'!$A:$A,0),MATCH($D149,'Data_NSA'!$1:$1,0))-1,"")</f>
        <v/>
      </c>
      <c r="M149" s="10">
        <f>IFERROR(INDEX('Weights'!$G:$I,MATCH($A149,'Weights'!$A:$A,0),MATCH(I$2,'Weights'!$G$1:$I$1,0)),"")</f>
        <v/>
      </c>
      <c r="N149" s="10">
        <f>IF($E149="","",IFERROR(100*(INDEX('Weights'!$D:$D,MATCH($A149,'Weights'!$A:$A,0))*(INDEX('Data_NSA'!$A:$OK,MATCH(EDATE(I$2,-1),'Data_NSA'!$A:$A,0),MATCH($D149,'Data_NSA'!$1:$1,0))/INDEX('Data_NSA'!$A:$OK,MATCH(INDEX('Weights'!$E:$E,MATCH($A149,'Weights'!$A:$A,0)),'Data_NSA'!$A:$A,0),MATCH($D149,'Data_NSA'!$1:$1,0))))/(100*(INDEX('Data_NSA'!$A:$OK,MATCH(EDATE(I$2,-1),'Data_NSA'!$A:$A,0),MATCH("CUUR0000SA0",'Data_NSA'!$1:$1,0))/INDEX('Data_NSA'!$A:$OK,MATCH(INDEX('Weights'!$E:$E,MATCH($A149,'Weights'!$A:$A,0)),'Data_NSA'!$A:$A,0),MATCH("CUUR0000SA0",'Data_NSA'!$1:$1,0))))*(INDEX('Data_SA'!$A:$LO,MATCH(I$2,'Data_SA'!$A:$A,0),MATCH($E149,'Data_SA'!$1:$1,0))/INDEX('Data_SA'!$A:$LO,MATCH(EDATE(I$2,-1),'Data_SA'!$A:$A,0),MATCH($E149,'Data_SA'!$1:$1,0))-1),""))</f>
        <v/>
      </c>
      <c r="O149" s="10">
        <f>IFERROR(INDEX('Data_NSA'!$A:$OK,MATCH(O$2,'Data_NSA'!$A:$A,0),MATCH($D149,'Data_NSA'!$1:$1,0)),"")</f>
        <v/>
      </c>
      <c r="P149" s="10">
        <f>IF($E149="","",IFERROR(INDEX('Data_SA'!$A:$LO,MATCH(O$2,'Data_SA'!$A:$A,0),MATCH($E149,'Data_SA'!$1:$1,0)),""))</f>
        <v/>
      </c>
      <c r="Q149" s="7">
        <f>IF($E149="","",IFERROR(INDEX('Data_SA'!$A:$LO,MATCH(O$2,'Data_SA'!$A:$A,0),MATCH($E149,'Data_SA'!$1:$1,0))/INDEX('Data_SA'!$A:$LO,MATCH(EDATE(O$2,-1),'Data_SA'!$A:$A,0),MATCH($E149,'Data_SA'!$1:$1,0))-1,""))</f>
        <v/>
      </c>
      <c r="R149" s="7">
        <f>IFERROR(INDEX('Data_NSA'!$A:$OK,MATCH(O$2,'Data_NSA'!$A:$A,0),MATCH($D149,'Data_NSA'!$1:$1,0))/INDEX('Data_NSA'!$A:$OK,MATCH(EDATE(O$2,-12),'Data_NSA'!$A:$A,0),MATCH($D149,'Data_NSA'!$1:$1,0))-1,"")</f>
        <v/>
      </c>
      <c r="S149" s="10">
        <f>IFERROR(INDEX('Weights'!$G:$I,MATCH($A149,'Weights'!$A:$A,0),MATCH(O$2,'Weights'!$G$1:$I$1,0)),"")</f>
        <v/>
      </c>
      <c r="T149" s="10">
        <f>IF($E149="","",IFERROR(100*(INDEX('Weights'!$D:$D,MATCH($A149,'Weights'!$A:$A,0))*(INDEX('Data_NSA'!$A:$OK,MATCH(EDATE(O$2,-1),'Data_NSA'!$A:$A,0),MATCH($D149,'Data_NSA'!$1:$1,0))/INDEX('Data_NSA'!$A:$OK,MATCH(INDEX('Weights'!$E:$E,MATCH($A149,'Weights'!$A:$A,0)),'Data_NSA'!$A:$A,0),MATCH($D149,'Data_NSA'!$1:$1,0))))/(100*(INDEX('Data_NSA'!$A:$OK,MATCH(EDATE(O$2,-1),'Data_NSA'!$A:$A,0),MATCH("CUUR0000SA0",'Data_NSA'!$1:$1,0))/INDEX('Data_NSA'!$A:$OK,MATCH(INDEX('Weights'!$E:$E,MATCH($A149,'Weights'!$A:$A,0)),'Data_NSA'!$A:$A,0),MATCH("CUUR0000SA0",'Data_NSA'!$1:$1,0))))*(INDEX('Data_SA'!$A:$LO,MATCH(O$2,'Data_SA'!$A:$A,0),MATCH($E149,'Data_SA'!$1:$1,0))/INDEX('Data_SA'!$A:$LO,MATCH(EDATE(O$2,-1),'Data_SA'!$A:$A,0),MATCH($E149,'Data_SA'!$1:$1,0))-1),""))</f>
        <v/>
      </c>
      <c r="U149" s="10">
        <f>IFERROR(INDEX('Data_NSA'!$A:$OK,MATCH(U$2,'Data_NSA'!$A:$A,0),MATCH($D149,'Data_NSA'!$1:$1,0)),"")</f>
        <v/>
      </c>
      <c r="V149" s="10">
        <f>IF($E149="","",IFERROR(INDEX('Data_SA'!$A:$LO,MATCH(U$2,'Data_SA'!$A:$A,0),MATCH($E149,'Data_SA'!$1:$1,0)),""))</f>
        <v/>
      </c>
      <c r="W149" s="7">
        <f>IF($E149="","",IFERROR(INDEX('Data_SA'!$A:$LO,MATCH(U$2,'Data_SA'!$A:$A,0),MATCH($E149,'Data_SA'!$1:$1,0))/INDEX('Data_SA'!$A:$LO,MATCH(EDATE(U$2,-1),'Data_SA'!$A:$A,0),MATCH($E149,'Data_SA'!$1:$1,0))-1,""))</f>
        <v/>
      </c>
      <c r="X149" s="7">
        <f>IFERROR(INDEX('Data_NSA'!$A:$OK,MATCH(U$2,'Data_NSA'!$A:$A,0),MATCH($D149,'Data_NSA'!$1:$1,0))/INDEX('Data_NSA'!$A:$OK,MATCH(EDATE(U$2,-12),'Data_NSA'!$A:$A,0),MATCH($D149,'Data_NSA'!$1:$1,0))-1,"")</f>
        <v/>
      </c>
      <c r="Y149" s="10">
        <f>IFERROR(INDEX('Weights'!$G:$I,MATCH($A149,'Weights'!$A:$A,0),MATCH(U$2,'Weights'!$G$1:$I$1,0)),"")</f>
        <v/>
      </c>
      <c r="Z149" s="10">
        <f>IF($E149="","",IFERROR(100*(INDEX('Weights'!$D:$D,MATCH($A149,'Weights'!$A:$A,0))*(INDEX('Data_NSA'!$A:$OK,MATCH(EDATE(U$2,-1),'Data_NSA'!$A:$A,0),MATCH($D149,'Data_NSA'!$1:$1,0))/INDEX('Data_NSA'!$A:$OK,MATCH(INDEX('Weights'!$E:$E,MATCH($A149,'Weights'!$A:$A,0)),'Data_NSA'!$A:$A,0),MATCH($D149,'Data_NSA'!$1:$1,0))))/(100*(INDEX('Data_NSA'!$A:$OK,MATCH(EDATE(U$2,-1),'Data_NSA'!$A:$A,0),MATCH("CUUR0000SA0",'Data_NSA'!$1:$1,0))/INDEX('Data_NSA'!$A:$OK,MATCH(INDEX('Weights'!$E:$E,MATCH($A149,'Weights'!$A:$A,0)),'Data_NSA'!$A:$A,0),MATCH("CUUR0000SA0",'Data_NSA'!$1:$1,0))))*(INDEX('Data_SA'!$A:$LO,MATCH(U$2,'Data_SA'!$A:$A,0),MATCH($E149,'Data_SA'!$1:$1,0))/INDEX('Data_SA'!$A:$LO,MATCH(EDATE(U$2,-1),'Data_SA'!$A:$A,0),MATCH($E149,'Data_SA'!$1:$1,0))-1),""))</f>
        <v/>
      </c>
    </row>
    <row r="150">
      <c r="A150" s="3" t="inlineStr">
        <is>
          <t>SEHE</t>
        </is>
      </c>
      <c r="B150" s="3" t="inlineStr">
        <is>
          <t>Fuel oil and other fuels</t>
        </is>
      </c>
      <c r="C150" s="3" t="inlineStr">
        <is>
          <t>SAH21</t>
        </is>
      </c>
      <c r="D150" s="3" t="inlineStr">
        <is>
          <t>CUUR0000SEHE</t>
        </is>
      </c>
      <c r="E150" s="3" t="inlineStr">
        <is>
          <t>CUSR0000SEHE</t>
        </is>
      </c>
      <c r="F150" s="3" t="inlineStr">
        <is>
          <t>aggregate</t>
        </is>
      </c>
      <c r="G150" s="3" t="inlineStr">
        <is>
          <t>aggregate</t>
        </is>
      </c>
      <c r="H150" s="10">
        <f>IFERROR(INDEX(Weights!$D:$D,MATCH($A150,Weights!$A:$A,0)),"")</f>
        <v/>
      </c>
      <c r="I150" s="10">
        <f>IFERROR(INDEX('Data_NSA'!$A:$OK,MATCH(I$2,'Data_NSA'!$A:$A,0),MATCH($D150,'Data_NSA'!$1:$1,0)),"")</f>
        <v/>
      </c>
      <c r="J150" s="10">
        <f>IF($E150="","",IFERROR(INDEX('Data_SA'!$A:$LO,MATCH(I$2,'Data_SA'!$A:$A,0),MATCH($E150,'Data_SA'!$1:$1,0)),""))</f>
        <v/>
      </c>
      <c r="K150" s="7">
        <f>IF($E150="","",IFERROR(INDEX('Data_SA'!$A:$LO,MATCH(I$2,'Data_SA'!$A:$A,0),MATCH($E150,'Data_SA'!$1:$1,0))/INDEX('Data_SA'!$A:$LO,MATCH(EDATE(I$2,-1),'Data_SA'!$A:$A,0),MATCH($E150,'Data_SA'!$1:$1,0))-1,""))</f>
        <v/>
      </c>
      <c r="L150" s="7">
        <f>IFERROR(INDEX('Data_NSA'!$A:$OK,MATCH(I$2,'Data_NSA'!$A:$A,0),MATCH($D150,'Data_NSA'!$1:$1,0))/INDEX('Data_NSA'!$A:$OK,MATCH(EDATE(I$2,-12),'Data_NSA'!$A:$A,0),MATCH($D150,'Data_NSA'!$1:$1,0))-1,"")</f>
        <v/>
      </c>
      <c r="M150" s="10">
        <f>IFERROR(INDEX('Weights'!$G:$I,MATCH($A150,'Weights'!$A:$A,0),MATCH(I$2,'Weights'!$G$1:$I$1,0)),"")</f>
        <v/>
      </c>
      <c r="N150" s="10">
        <f>IF($E150="","",IFERROR(100*(INDEX('Weights'!$D:$D,MATCH($A150,'Weights'!$A:$A,0))*(INDEX('Data_NSA'!$A:$OK,MATCH(EDATE(I$2,-1),'Data_NSA'!$A:$A,0),MATCH($D150,'Data_NSA'!$1:$1,0))/INDEX('Data_NSA'!$A:$OK,MATCH(INDEX('Weights'!$E:$E,MATCH($A150,'Weights'!$A:$A,0)),'Data_NSA'!$A:$A,0),MATCH($D150,'Data_NSA'!$1:$1,0))))/(100*(INDEX('Data_NSA'!$A:$OK,MATCH(EDATE(I$2,-1),'Data_NSA'!$A:$A,0),MATCH("CUUR0000SA0",'Data_NSA'!$1:$1,0))/INDEX('Data_NSA'!$A:$OK,MATCH(INDEX('Weights'!$E:$E,MATCH($A150,'Weights'!$A:$A,0)),'Data_NSA'!$A:$A,0),MATCH("CUUR0000SA0",'Data_NSA'!$1:$1,0))))*(INDEX('Data_SA'!$A:$LO,MATCH(I$2,'Data_SA'!$A:$A,0),MATCH($E150,'Data_SA'!$1:$1,0))/INDEX('Data_SA'!$A:$LO,MATCH(EDATE(I$2,-1),'Data_SA'!$A:$A,0),MATCH($E150,'Data_SA'!$1:$1,0))-1),""))</f>
        <v/>
      </c>
      <c r="O150" s="10">
        <f>IFERROR(INDEX('Data_NSA'!$A:$OK,MATCH(O$2,'Data_NSA'!$A:$A,0),MATCH($D150,'Data_NSA'!$1:$1,0)),"")</f>
        <v/>
      </c>
      <c r="P150" s="10">
        <f>IF($E150="","",IFERROR(INDEX('Data_SA'!$A:$LO,MATCH(O$2,'Data_SA'!$A:$A,0),MATCH($E150,'Data_SA'!$1:$1,0)),""))</f>
        <v/>
      </c>
      <c r="Q150" s="7">
        <f>IF($E150="","",IFERROR(INDEX('Data_SA'!$A:$LO,MATCH(O$2,'Data_SA'!$A:$A,0),MATCH($E150,'Data_SA'!$1:$1,0))/INDEX('Data_SA'!$A:$LO,MATCH(EDATE(O$2,-1),'Data_SA'!$A:$A,0),MATCH($E150,'Data_SA'!$1:$1,0))-1,""))</f>
        <v/>
      </c>
      <c r="R150" s="7">
        <f>IFERROR(INDEX('Data_NSA'!$A:$OK,MATCH(O$2,'Data_NSA'!$A:$A,0),MATCH($D150,'Data_NSA'!$1:$1,0))/INDEX('Data_NSA'!$A:$OK,MATCH(EDATE(O$2,-12),'Data_NSA'!$A:$A,0),MATCH($D150,'Data_NSA'!$1:$1,0))-1,"")</f>
        <v/>
      </c>
      <c r="S150" s="10">
        <f>IFERROR(INDEX('Weights'!$G:$I,MATCH($A150,'Weights'!$A:$A,0),MATCH(O$2,'Weights'!$G$1:$I$1,0)),"")</f>
        <v/>
      </c>
      <c r="T150" s="10">
        <f>IF($E150="","",IFERROR(100*(INDEX('Weights'!$D:$D,MATCH($A150,'Weights'!$A:$A,0))*(INDEX('Data_NSA'!$A:$OK,MATCH(EDATE(O$2,-1),'Data_NSA'!$A:$A,0),MATCH($D150,'Data_NSA'!$1:$1,0))/INDEX('Data_NSA'!$A:$OK,MATCH(INDEX('Weights'!$E:$E,MATCH($A150,'Weights'!$A:$A,0)),'Data_NSA'!$A:$A,0),MATCH($D150,'Data_NSA'!$1:$1,0))))/(100*(INDEX('Data_NSA'!$A:$OK,MATCH(EDATE(O$2,-1),'Data_NSA'!$A:$A,0),MATCH("CUUR0000SA0",'Data_NSA'!$1:$1,0))/INDEX('Data_NSA'!$A:$OK,MATCH(INDEX('Weights'!$E:$E,MATCH($A150,'Weights'!$A:$A,0)),'Data_NSA'!$A:$A,0),MATCH("CUUR0000SA0",'Data_NSA'!$1:$1,0))))*(INDEX('Data_SA'!$A:$LO,MATCH(O$2,'Data_SA'!$A:$A,0),MATCH($E150,'Data_SA'!$1:$1,0))/INDEX('Data_SA'!$A:$LO,MATCH(EDATE(O$2,-1),'Data_SA'!$A:$A,0),MATCH($E150,'Data_SA'!$1:$1,0))-1),""))</f>
        <v/>
      </c>
      <c r="U150" s="10">
        <f>IFERROR(INDEX('Data_NSA'!$A:$OK,MATCH(U$2,'Data_NSA'!$A:$A,0),MATCH($D150,'Data_NSA'!$1:$1,0)),"")</f>
        <v/>
      </c>
      <c r="V150" s="10">
        <f>IF($E150="","",IFERROR(INDEX('Data_SA'!$A:$LO,MATCH(U$2,'Data_SA'!$A:$A,0),MATCH($E150,'Data_SA'!$1:$1,0)),""))</f>
        <v/>
      </c>
      <c r="W150" s="7">
        <f>IF($E150="","",IFERROR(INDEX('Data_SA'!$A:$LO,MATCH(U$2,'Data_SA'!$A:$A,0),MATCH($E150,'Data_SA'!$1:$1,0))/INDEX('Data_SA'!$A:$LO,MATCH(EDATE(U$2,-1),'Data_SA'!$A:$A,0),MATCH($E150,'Data_SA'!$1:$1,0))-1,""))</f>
        <v/>
      </c>
      <c r="X150" s="7">
        <f>IFERROR(INDEX('Data_NSA'!$A:$OK,MATCH(U$2,'Data_NSA'!$A:$A,0),MATCH($D150,'Data_NSA'!$1:$1,0))/INDEX('Data_NSA'!$A:$OK,MATCH(EDATE(U$2,-12),'Data_NSA'!$A:$A,0),MATCH($D150,'Data_NSA'!$1:$1,0))-1,"")</f>
        <v/>
      </c>
      <c r="Y150" s="10">
        <f>IFERROR(INDEX('Weights'!$G:$I,MATCH($A150,'Weights'!$A:$A,0),MATCH(U$2,'Weights'!$G$1:$I$1,0)),"")</f>
        <v/>
      </c>
      <c r="Z150" s="10">
        <f>IF($E150="","",IFERROR(100*(INDEX('Weights'!$D:$D,MATCH($A150,'Weights'!$A:$A,0))*(INDEX('Data_NSA'!$A:$OK,MATCH(EDATE(U$2,-1),'Data_NSA'!$A:$A,0),MATCH($D150,'Data_NSA'!$1:$1,0))/INDEX('Data_NSA'!$A:$OK,MATCH(INDEX('Weights'!$E:$E,MATCH($A150,'Weights'!$A:$A,0)),'Data_NSA'!$A:$A,0),MATCH($D150,'Data_NSA'!$1:$1,0))))/(100*(INDEX('Data_NSA'!$A:$OK,MATCH(EDATE(U$2,-1),'Data_NSA'!$A:$A,0),MATCH("CUUR0000SA0",'Data_NSA'!$1:$1,0))/INDEX('Data_NSA'!$A:$OK,MATCH(INDEX('Weights'!$E:$E,MATCH($A150,'Weights'!$A:$A,0)),'Data_NSA'!$A:$A,0),MATCH("CUUR0000SA0",'Data_NSA'!$1:$1,0))))*(INDEX('Data_SA'!$A:$LO,MATCH(U$2,'Data_SA'!$A:$A,0),MATCH($E150,'Data_SA'!$1:$1,0))/INDEX('Data_SA'!$A:$LO,MATCH(EDATE(U$2,-1),'Data_SA'!$A:$A,0),MATCH($E150,'Data_SA'!$1:$1,0))-1),""))</f>
        <v/>
      </c>
    </row>
    <row r="151">
      <c r="A151" s="3" t="inlineStr">
        <is>
          <t>SEHE01</t>
        </is>
      </c>
      <c r="B151" s="3" t="inlineStr">
        <is>
          <t>Fuel oil</t>
        </is>
      </c>
      <c r="C151" s="3" t="inlineStr">
        <is>
          <t>SEHE</t>
        </is>
      </c>
      <c r="D151" s="3" t="inlineStr">
        <is>
          <t>CUUR0000SEHE01</t>
        </is>
      </c>
      <c r="E151" s="3" t="inlineStr">
        <is>
          <t>CUSR0000SEHE01</t>
        </is>
      </c>
      <c r="F151" s="3" t="inlineStr">
        <is>
          <t>GM</t>
        </is>
      </c>
      <c r="G151" s="3" t="inlineStr">
        <is>
          <t>monthly</t>
        </is>
      </c>
      <c r="H151" s="10">
        <f>IFERROR(INDEX(Weights!$D:$D,MATCH($A151,Weights!$A:$A,0)),"")</f>
        <v/>
      </c>
      <c r="I151" s="10">
        <f>IFERROR(INDEX('Data_NSA'!$A:$OK,MATCH(I$2,'Data_NSA'!$A:$A,0),MATCH($D151,'Data_NSA'!$1:$1,0)),"")</f>
        <v/>
      </c>
      <c r="J151" s="10">
        <f>IF($E151="","",IFERROR(INDEX('Data_SA'!$A:$LO,MATCH(I$2,'Data_SA'!$A:$A,0),MATCH($E151,'Data_SA'!$1:$1,0)),""))</f>
        <v/>
      </c>
      <c r="K151" s="7">
        <f>IF($E151="","",IFERROR(INDEX('Data_SA'!$A:$LO,MATCH(I$2,'Data_SA'!$A:$A,0),MATCH($E151,'Data_SA'!$1:$1,0))/INDEX('Data_SA'!$A:$LO,MATCH(EDATE(I$2,-1),'Data_SA'!$A:$A,0),MATCH($E151,'Data_SA'!$1:$1,0))-1,""))</f>
        <v/>
      </c>
      <c r="L151" s="7">
        <f>IFERROR(INDEX('Data_NSA'!$A:$OK,MATCH(I$2,'Data_NSA'!$A:$A,0),MATCH($D151,'Data_NSA'!$1:$1,0))/INDEX('Data_NSA'!$A:$OK,MATCH(EDATE(I$2,-12),'Data_NSA'!$A:$A,0),MATCH($D151,'Data_NSA'!$1:$1,0))-1,"")</f>
        <v/>
      </c>
      <c r="M151" s="10">
        <f>IFERROR(INDEX('Weights'!$G:$I,MATCH($A151,'Weights'!$A:$A,0),MATCH(I$2,'Weights'!$G$1:$I$1,0)),"")</f>
        <v/>
      </c>
      <c r="N151" s="10">
        <f>IF($E151="","",IFERROR(100*(INDEX('Weights'!$D:$D,MATCH($A151,'Weights'!$A:$A,0))*(INDEX('Data_NSA'!$A:$OK,MATCH(EDATE(I$2,-1),'Data_NSA'!$A:$A,0),MATCH($D151,'Data_NSA'!$1:$1,0))/INDEX('Data_NSA'!$A:$OK,MATCH(INDEX('Weights'!$E:$E,MATCH($A151,'Weights'!$A:$A,0)),'Data_NSA'!$A:$A,0),MATCH($D151,'Data_NSA'!$1:$1,0))))/(100*(INDEX('Data_NSA'!$A:$OK,MATCH(EDATE(I$2,-1),'Data_NSA'!$A:$A,0),MATCH("CUUR0000SA0",'Data_NSA'!$1:$1,0))/INDEX('Data_NSA'!$A:$OK,MATCH(INDEX('Weights'!$E:$E,MATCH($A151,'Weights'!$A:$A,0)),'Data_NSA'!$A:$A,0),MATCH("CUUR0000SA0",'Data_NSA'!$1:$1,0))))*(INDEX('Data_SA'!$A:$LO,MATCH(I$2,'Data_SA'!$A:$A,0),MATCH($E151,'Data_SA'!$1:$1,0))/INDEX('Data_SA'!$A:$LO,MATCH(EDATE(I$2,-1),'Data_SA'!$A:$A,0),MATCH($E151,'Data_SA'!$1:$1,0))-1),""))</f>
        <v/>
      </c>
      <c r="O151" s="10">
        <f>IFERROR(INDEX('Data_NSA'!$A:$OK,MATCH(O$2,'Data_NSA'!$A:$A,0),MATCH($D151,'Data_NSA'!$1:$1,0)),"")</f>
        <v/>
      </c>
      <c r="P151" s="10">
        <f>IF($E151="","",IFERROR(INDEX('Data_SA'!$A:$LO,MATCH(O$2,'Data_SA'!$A:$A,0),MATCH($E151,'Data_SA'!$1:$1,0)),""))</f>
        <v/>
      </c>
      <c r="Q151" s="7">
        <f>IF($E151="","",IFERROR(INDEX('Data_SA'!$A:$LO,MATCH(O$2,'Data_SA'!$A:$A,0),MATCH($E151,'Data_SA'!$1:$1,0))/INDEX('Data_SA'!$A:$LO,MATCH(EDATE(O$2,-1),'Data_SA'!$A:$A,0),MATCH($E151,'Data_SA'!$1:$1,0))-1,""))</f>
        <v/>
      </c>
      <c r="R151" s="7">
        <f>IFERROR(INDEX('Data_NSA'!$A:$OK,MATCH(O$2,'Data_NSA'!$A:$A,0),MATCH($D151,'Data_NSA'!$1:$1,0))/INDEX('Data_NSA'!$A:$OK,MATCH(EDATE(O$2,-12),'Data_NSA'!$A:$A,0),MATCH($D151,'Data_NSA'!$1:$1,0))-1,"")</f>
        <v/>
      </c>
      <c r="S151" s="10">
        <f>IFERROR(INDEX('Weights'!$G:$I,MATCH($A151,'Weights'!$A:$A,0),MATCH(O$2,'Weights'!$G$1:$I$1,0)),"")</f>
        <v/>
      </c>
      <c r="T151" s="10">
        <f>IF($E151="","",IFERROR(100*(INDEX('Weights'!$D:$D,MATCH($A151,'Weights'!$A:$A,0))*(INDEX('Data_NSA'!$A:$OK,MATCH(EDATE(O$2,-1),'Data_NSA'!$A:$A,0),MATCH($D151,'Data_NSA'!$1:$1,0))/INDEX('Data_NSA'!$A:$OK,MATCH(INDEX('Weights'!$E:$E,MATCH($A151,'Weights'!$A:$A,0)),'Data_NSA'!$A:$A,0),MATCH($D151,'Data_NSA'!$1:$1,0))))/(100*(INDEX('Data_NSA'!$A:$OK,MATCH(EDATE(O$2,-1),'Data_NSA'!$A:$A,0),MATCH("CUUR0000SA0",'Data_NSA'!$1:$1,0))/INDEX('Data_NSA'!$A:$OK,MATCH(INDEX('Weights'!$E:$E,MATCH($A151,'Weights'!$A:$A,0)),'Data_NSA'!$A:$A,0),MATCH("CUUR0000SA0",'Data_NSA'!$1:$1,0))))*(INDEX('Data_SA'!$A:$LO,MATCH(O$2,'Data_SA'!$A:$A,0),MATCH($E151,'Data_SA'!$1:$1,0))/INDEX('Data_SA'!$A:$LO,MATCH(EDATE(O$2,-1),'Data_SA'!$A:$A,0),MATCH($E151,'Data_SA'!$1:$1,0))-1),""))</f>
        <v/>
      </c>
      <c r="U151" s="10">
        <f>IFERROR(INDEX('Data_NSA'!$A:$OK,MATCH(U$2,'Data_NSA'!$A:$A,0),MATCH($D151,'Data_NSA'!$1:$1,0)),"")</f>
        <v/>
      </c>
      <c r="V151" s="10">
        <f>IF($E151="","",IFERROR(INDEX('Data_SA'!$A:$LO,MATCH(U$2,'Data_SA'!$A:$A,0),MATCH($E151,'Data_SA'!$1:$1,0)),""))</f>
        <v/>
      </c>
      <c r="W151" s="7">
        <f>IF($E151="","",IFERROR(INDEX('Data_SA'!$A:$LO,MATCH(U$2,'Data_SA'!$A:$A,0),MATCH($E151,'Data_SA'!$1:$1,0))/INDEX('Data_SA'!$A:$LO,MATCH(EDATE(U$2,-1),'Data_SA'!$A:$A,0),MATCH($E151,'Data_SA'!$1:$1,0))-1,""))</f>
        <v/>
      </c>
      <c r="X151" s="7">
        <f>IFERROR(INDEX('Data_NSA'!$A:$OK,MATCH(U$2,'Data_NSA'!$A:$A,0),MATCH($D151,'Data_NSA'!$1:$1,0))/INDEX('Data_NSA'!$A:$OK,MATCH(EDATE(U$2,-12),'Data_NSA'!$A:$A,0),MATCH($D151,'Data_NSA'!$1:$1,0))-1,"")</f>
        <v/>
      </c>
      <c r="Y151" s="10">
        <f>IFERROR(INDEX('Weights'!$G:$I,MATCH($A151,'Weights'!$A:$A,0),MATCH(U$2,'Weights'!$G$1:$I$1,0)),"")</f>
        <v/>
      </c>
      <c r="Z151" s="10">
        <f>IF($E151="","",IFERROR(100*(INDEX('Weights'!$D:$D,MATCH($A151,'Weights'!$A:$A,0))*(INDEX('Data_NSA'!$A:$OK,MATCH(EDATE(U$2,-1),'Data_NSA'!$A:$A,0),MATCH($D151,'Data_NSA'!$1:$1,0))/INDEX('Data_NSA'!$A:$OK,MATCH(INDEX('Weights'!$E:$E,MATCH($A151,'Weights'!$A:$A,0)),'Data_NSA'!$A:$A,0),MATCH($D151,'Data_NSA'!$1:$1,0))))/(100*(INDEX('Data_NSA'!$A:$OK,MATCH(EDATE(U$2,-1),'Data_NSA'!$A:$A,0),MATCH("CUUR0000SA0",'Data_NSA'!$1:$1,0))/INDEX('Data_NSA'!$A:$OK,MATCH(INDEX('Weights'!$E:$E,MATCH($A151,'Weights'!$A:$A,0)),'Data_NSA'!$A:$A,0),MATCH("CUUR0000SA0",'Data_NSA'!$1:$1,0))))*(INDEX('Data_SA'!$A:$LO,MATCH(U$2,'Data_SA'!$A:$A,0),MATCH($E151,'Data_SA'!$1:$1,0))/INDEX('Data_SA'!$A:$LO,MATCH(EDATE(U$2,-1),'Data_SA'!$A:$A,0),MATCH($E151,'Data_SA'!$1:$1,0))-1),""))</f>
        <v/>
      </c>
    </row>
    <row r="152">
      <c r="A152" s="3" t="inlineStr">
        <is>
          <t>SEHE02</t>
        </is>
      </c>
      <c r="B152" s="3" t="inlineStr">
        <is>
          <t>Propane, kerosene, and firewood</t>
        </is>
      </c>
      <c r="C152" s="3" t="inlineStr">
        <is>
          <t>SEHE</t>
        </is>
      </c>
      <c r="D152" s="3" t="inlineStr">
        <is>
          <t>CUUR0000SEHE02</t>
        </is>
      </c>
      <c r="E152" s="3" t="inlineStr">
        <is>
          <t>CUSR0000SEHE02</t>
        </is>
      </c>
      <c r="F152" s="3" t="inlineStr">
        <is>
          <t>GM</t>
        </is>
      </c>
      <c r="G152" s="3" t="inlineStr">
        <is>
          <t>monthly energy/utility collection</t>
        </is>
      </c>
      <c r="H152" s="10">
        <f>IFERROR(INDEX(Weights!$D:$D,MATCH($A152,Weights!$A:$A,0)),"")</f>
        <v/>
      </c>
      <c r="I152" s="10">
        <f>IFERROR(INDEX('Data_NSA'!$A:$OK,MATCH(I$2,'Data_NSA'!$A:$A,0),MATCH($D152,'Data_NSA'!$1:$1,0)),"")</f>
        <v/>
      </c>
      <c r="J152" s="10">
        <f>IF($E152="","",IFERROR(INDEX('Data_SA'!$A:$LO,MATCH(I$2,'Data_SA'!$A:$A,0),MATCH($E152,'Data_SA'!$1:$1,0)),""))</f>
        <v/>
      </c>
      <c r="K152" s="7">
        <f>IF($E152="","",IFERROR(INDEX('Data_SA'!$A:$LO,MATCH(I$2,'Data_SA'!$A:$A,0),MATCH($E152,'Data_SA'!$1:$1,0))/INDEX('Data_SA'!$A:$LO,MATCH(EDATE(I$2,-1),'Data_SA'!$A:$A,0),MATCH($E152,'Data_SA'!$1:$1,0))-1,""))</f>
        <v/>
      </c>
      <c r="L152" s="7">
        <f>IFERROR(INDEX('Data_NSA'!$A:$OK,MATCH(I$2,'Data_NSA'!$A:$A,0),MATCH($D152,'Data_NSA'!$1:$1,0))/INDEX('Data_NSA'!$A:$OK,MATCH(EDATE(I$2,-12),'Data_NSA'!$A:$A,0),MATCH($D152,'Data_NSA'!$1:$1,0))-1,"")</f>
        <v/>
      </c>
      <c r="M152" s="10">
        <f>IFERROR(INDEX('Weights'!$G:$I,MATCH($A152,'Weights'!$A:$A,0),MATCH(I$2,'Weights'!$G$1:$I$1,0)),"")</f>
        <v/>
      </c>
      <c r="N152" s="10">
        <f>IF($E152="","",IFERROR(100*(INDEX('Weights'!$D:$D,MATCH($A152,'Weights'!$A:$A,0))*(INDEX('Data_NSA'!$A:$OK,MATCH(EDATE(I$2,-1),'Data_NSA'!$A:$A,0),MATCH($D152,'Data_NSA'!$1:$1,0))/INDEX('Data_NSA'!$A:$OK,MATCH(INDEX('Weights'!$E:$E,MATCH($A152,'Weights'!$A:$A,0)),'Data_NSA'!$A:$A,0),MATCH($D152,'Data_NSA'!$1:$1,0))))/(100*(INDEX('Data_NSA'!$A:$OK,MATCH(EDATE(I$2,-1),'Data_NSA'!$A:$A,0),MATCH("CUUR0000SA0",'Data_NSA'!$1:$1,0))/INDEX('Data_NSA'!$A:$OK,MATCH(INDEX('Weights'!$E:$E,MATCH($A152,'Weights'!$A:$A,0)),'Data_NSA'!$A:$A,0),MATCH("CUUR0000SA0",'Data_NSA'!$1:$1,0))))*(INDEX('Data_SA'!$A:$LO,MATCH(I$2,'Data_SA'!$A:$A,0),MATCH($E152,'Data_SA'!$1:$1,0))/INDEX('Data_SA'!$A:$LO,MATCH(EDATE(I$2,-1),'Data_SA'!$A:$A,0),MATCH($E152,'Data_SA'!$1:$1,0))-1),""))</f>
        <v/>
      </c>
      <c r="O152" s="10">
        <f>IFERROR(INDEX('Data_NSA'!$A:$OK,MATCH(O$2,'Data_NSA'!$A:$A,0),MATCH($D152,'Data_NSA'!$1:$1,0)),"")</f>
        <v/>
      </c>
      <c r="P152" s="10">
        <f>IF($E152="","",IFERROR(INDEX('Data_SA'!$A:$LO,MATCH(O$2,'Data_SA'!$A:$A,0),MATCH($E152,'Data_SA'!$1:$1,0)),""))</f>
        <v/>
      </c>
      <c r="Q152" s="7">
        <f>IF($E152="","",IFERROR(INDEX('Data_SA'!$A:$LO,MATCH(O$2,'Data_SA'!$A:$A,0),MATCH($E152,'Data_SA'!$1:$1,0))/INDEX('Data_SA'!$A:$LO,MATCH(EDATE(O$2,-1),'Data_SA'!$A:$A,0),MATCH($E152,'Data_SA'!$1:$1,0))-1,""))</f>
        <v/>
      </c>
      <c r="R152" s="7">
        <f>IFERROR(INDEX('Data_NSA'!$A:$OK,MATCH(O$2,'Data_NSA'!$A:$A,0),MATCH($D152,'Data_NSA'!$1:$1,0))/INDEX('Data_NSA'!$A:$OK,MATCH(EDATE(O$2,-12),'Data_NSA'!$A:$A,0),MATCH($D152,'Data_NSA'!$1:$1,0))-1,"")</f>
        <v/>
      </c>
      <c r="S152" s="10">
        <f>IFERROR(INDEX('Weights'!$G:$I,MATCH($A152,'Weights'!$A:$A,0),MATCH(O$2,'Weights'!$G$1:$I$1,0)),"")</f>
        <v/>
      </c>
      <c r="T152" s="10">
        <f>IF($E152="","",IFERROR(100*(INDEX('Weights'!$D:$D,MATCH($A152,'Weights'!$A:$A,0))*(INDEX('Data_NSA'!$A:$OK,MATCH(EDATE(O$2,-1),'Data_NSA'!$A:$A,0),MATCH($D152,'Data_NSA'!$1:$1,0))/INDEX('Data_NSA'!$A:$OK,MATCH(INDEX('Weights'!$E:$E,MATCH($A152,'Weights'!$A:$A,0)),'Data_NSA'!$A:$A,0),MATCH($D152,'Data_NSA'!$1:$1,0))))/(100*(INDEX('Data_NSA'!$A:$OK,MATCH(EDATE(O$2,-1),'Data_NSA'!$A:$A,0),MATCH("CUUR0000SA0",'Data_NSA'!$1:$1,0))/INDEX('Data_NSA'!$A:$OK,MATCH(INDEX('Weights'!$E:$E,MATCH($A152,'Weights'!$A:$A,0)),'Data_NSA'!$A:$A,0),MATCH("CUUR0000SA0",'Data_NSA'!$1:$1,0))))*(INDEX('Data_SA'!$A:$LO,MATCH(O$2,'Data_SA'!$A:$A,0),MATCH($E152,'Data_SA'!$1:$1,0))/INDEX('Data_SA'!$A:$LO,MATCH(EDATE(O$2,-1),'Data_SA'!$A:$A,0),MATCH($E152,'Data_SA'!$1:$1,0))-1),""))</f>
        <v/>
      </c>
      <c r="U152" s="10">
        <f>IFERROR(INDEX('Data_NSA'!$A:$OK,MATCH(U$2,'Data_NSA'!$A:$A,0),MATCH($D152,'Data_NSA'!$1:$1,0)),"")</f>
        <v/>
      </c>
      <c r="V152" s="10">
        <f>IF($E152="","",IFERROR(INDEX('Data_SA'!$A:$LO,MATCH(U$2,'Data_SA'!$A:$A,0),MATCH($E152,'Data_SA'!$1:$1,0)),""))</f>
        <v/>
      </c>
      <c r="W152" s="7">
        <f>IF($E152="","",IFERROR(INDEX('Data_SA'!$A:$LO,MATCH(U$2,'Data_SA'!$A:$A,0),MATCH($E152,'Data_SA'!$1:$1,0))/INDEX('Data_SA'!$A:$LO,MATCH(EDATE(U$2,-1),'Data_SA'!$A:$A,0),MATCH($E152,'Data_SA'!$1:$1,0))-1,""))</f>
        <v/>
      </c>
      <c r="X152" s="7">
        <f>IFERROR(INDEX('Data_NSA'!$A:$OK,MATCH(U$2,'Data_NSA'!$A:$A,0),MATCH($D152,'Data_NSA'!$1:$1,0))/INDEX('Data_NSA'!$A:$OK,MATCH(EDATE(U$2,-12),'Data_NSA'!$A:$A,0),MATCH($D152,'Data_NSA'!$1:$1,0))-1,"")</f>
        <v/>
      </c>
      <c r="Y152" s="10">
        <f>IFERROR(INDEX('Weights'!$G:$I,MATCH($A152,'Weights'!$A:$A,0),MATCH(U$2,'Weights'!$G$1:$I$1,0)),"")</f>
        <v/>
      </c>
      <c r="Z152" s="10">
        <f>IF($E152="","",IFERROR(100*(INDEX('Weights'!$D:$D,MATCH($A152,'Weights'!$A:$A,0))*(INDEX('Data_NSA'!$A:$OK,MATCH(EDATE(U$2,-1),'Data_NSA'!$A:$A,0),MATCH($D152,'Data_NSA'!$1:$1,0))/INDEX('Data_NSA'!$A:$OK,MATCH(INDEX('Weights'!$E:$E,MATCH($A152,'Weights'!$A:$A,0)),'Data_NSA'!$A:$A,0),MATCH($D152,'Data_NSA'!$1:$1,0))))/(100*(INDEX('Data_NSA'!$A:$OK,MATCH(EDATE(U$2,-1),'Data_NSA'!$A:$A,0),MATCH("CUUR0000SA0",'Data_NSA'!$1:$1,0))/INDEX('Data_NSA'!$A:$OK,MATCH(INDEX('Weights'!$E:$E,MATCH($A152,'Weights'!$A:$A,0)),'Data_NSA'!$A:$A,0),MATCH("CUUR0000SA0",'Data_NSA'!$1:$1,0))))*(INDEX('Data_SA'!$A:$LO,MATCH(U$2,'Data_SA'!$A:$A,0),MATCH($E152,'Data_SA'!$1:$1,0))/INDEX('Data_SA'!$A:$LO,MATCH(EDATE(U$2,-1),'Data_SA'!$A:$A,0),MATCH($E152,'Data_SA'!$1:$1,0))-1),""))</f>
        <v/>
      </c>
    </row>
    <row r="153">
      <c r="A153" s="3" t="inlineStr">
        <is>
          <t>SEHF</t>
        </is>
      </c>
      <c r="B153" s="3" t="inlineStr">
        <is>
          <t>Energy services</t>
        </is>
      </c>
      <c r="C153" s="3" t="inlineStr">
        <is>
          <t>SAH21</t>
        </is>
      </c>
      <c r="D153" s="3" t="inlineStr">
        <is>
          <t>CUUR0000SEHF</t>
        </is>
      </c>
      <c r="E153" s="3" t="inlineStr">
        <is>
          <t>CUSR0000SEHF</t>
        </is>
      </c>
      <c r="F153" s="3" t="inlineStr">
        <is>
          <t>aggregate</t>
        </is>
      </c>
      <c r="G153" s="3" t="inlineStr">
        <is>
          <t>aggregate</t>
        </is>
      </c>
      <c r="H153" s="10">
        <f>IFERROR(INDEX(Weights!$D:$D,MATCH($A153,Weights!$A:$A,0)),"")</f>
        <v/>
      </c>
      <c r="I153" s="10">
        <f>IFERROR(INDEX('Data_NSA'!$A:$OK,MATCH(I$2,'Data_NSA'!$A:$A,0),MATCH($D153,'Data_NSA'!$1:$1,0)),"")</f>
        <v/>
      </c>
      <c r="J153" s="10">
        <f>IF($E153="","",IFERROR(INDEX('Data_SA'!$A:$LO,MATCH(I$2,'Data_SA'!$A:$A,0),MATCH($E153,'Data_SA'!$1:$1,0)),""))</f>
        <v/>
      </c>
      <c r="K153" s="7">
        <f>IF($E153="","",IFERROR(INDEX('Data_SA'!$A:$LO,MATCH(I$2,'Data_SA'!$A:$A,0),MATCH($E153,'Data_SA'!$1:$1,0))/INDEX('Data_SA'!$A:$LO,MATCH(EDATE(I$2,-1),'Data_SA'!$A:$A,0),MATCH($E153,'Data_SA'!$1:$1,0))-1,""))</f>
        <v/>
      </c>
      <c r="L153" s="7">
        <f>IFERROR(INDEX('Data_NSA'!$A:$OK,MATCH(I$2,'Data_NSA'!$A:$A,0),MATCH($D153,'Data_NSA'!$1:$1,0))/INDEX('Data_NSA'!$A:$OK,MATCH(EDATE(I$2,-12),'Data_NSA'!$A:$A,0),MATCH($D153,'Data_NSA'!$1:$1,0))-1,"")</f>
        <v/>
      </c>
      <c r="M153" s="10">
        <f>IFERROR(INDEX('Weights'!$G:$I,MATCH($A153,'Weights'!$A:$A,0),MATCH(I$2,'Weights'!$G$1:$I$1,0)),"")</f>
        <v/>
      </c>
      <c r="N153" s="10">
        <f>IF($E153="","",IFERROR(100*(INDEX('Weights'!$D:$D,MATCH($A153,'Weights'!$A:$A,0))*(INDEX('Data_NSA'!$A:$OK,MATCH(EDATE(I$2,-1),'Data_NSA'!$A:$A,0),MATCH($D153,'Data_NSA'!$1:$1,0))/INDEX('Data_NSA'!$A:$OK,MATCH(INDEX('Weights'!$E:$E,MATCH($A153,'Weights'!$A:$A,0)),'Data_NSA'!$A:$A,0),MATCH($D153,'Data_NSA'!$1:$1,0))))/(100*(INDEX('Data_NSA'!$A:$OK,MATCH(EDATE(I$2,-1),'Data_NSA'!$A:$A,0),MATCH("CUUR0000SA0",'Data_NSA'!$1:$1,0))/INDEX('Data_NSA'!$A:$OK,MATCH(INDEX('Weights'!$E:$E,MATCH($A153,'Weights'!$A:$A,0)),'Data_NSA'!$A:$A,0),MATCH("CUUR0000SA0",'Data_NSA'!$1:$1,0))))*(INDEX('Data_SA'!$A:$LO,MATCH(I$2,'Data_SA'!$A:$A,0),MATCH($E153,'Data_SA'!$1:$1,0))/INDEX('Data_SA'!$A:$LO,MATCH(EDATE(I$2,-1),'Data_SA'!$A:$A,0),MATCH($E153,'Data_SA'!$1:$1,0))-1),""))</f>
        <v/>
      </c>
      <c r="O153" s="10">
        <f>IFERROR(INDEX('Data_NSA'!$A:$OK,MATCH(O$2,'Data_NSA'!$A:$A,0),MATCH($D153,'Data_NSA'!$1:$1,0)),"")</f>
        <v/>
      </c>
      <c r="P153" s="10">
        <f>IF($E153="","",IFERROR(INDEX('Data_SA'!$A:$LO,MATCH(O$2,'Data_SA'!$A:$A,0),MATCH($E153,'Data_SA'!$1:$1,0)),""))</f>
        <v/>
      </c>
      <c r="Q153" s="7">
        <f>IF($E153="","",IFERROR(INDEX('Data_SA'!$A:$LO,MATCH(O$2,'Data_SA'!$A:$A,0),MATCH($E153,'Data_SA'!$1:$1,0))/INDEX('Data_SA'!$A:$LO,MATCH(EDATE(O$2,-1),'Data_SA'!$A:$A,0),MATCH($E153,'Data_SA'!$1:$1,0))-1,""))</f>
        <v/>
      </c>
      <c r="R153" s="7">
        <f>IFERROR(INDEX('Data_NSA'!$A:$OK,MATCH(O$2,'Data_NSA'!$A:$A,0),MATCH($D153,'Data_NSA'!$1:$1,0))/INDEX('Data_NSA'!$A:$OK,MATCH(EDATE(O$2,-12),'Data_NSA'!$A:$A,0),MATCH($D153,'Data_NSA'!$1:$1,0))-1,"")</f>
        <v/>
      </c>
      <c r="S153" s="10">
        <f>IFERROR(INDEX('Weights'!$G:$I,MATCH($A153,'Weights'!$A:$A,0),MATCH(O$2,'Weights'!$G$1:$I$1,0)),"")</f>
        <v/>
      </c>
      <c r="T153" s="10">
        <f>IF($E153="","",IFERROR(100*(INDEX('Weights'!$D:$D,MATCH($A153,'Weights'!$A:$A,0))*(INDEX('Data_NSA'!$A:$OK,MATCH(EDATE(O$2,-1),'Data_NSA'!$A:$A,0),MATCH($D153,'Data_NSA'!$1:$1,0))/INDEX('Data_NSA'!$A:$OK,MATCH(INDEX('Weights'!$E:$E,MATCH($A153,'Weights'!$A:$A,0)),'Data_NSA'!$A:$A,0),MATCH($D153,'Data_NSA'!$1:$1,0))))/(100*(INDEX('Data_NSA'!$A:$OK,MATCH(EDATE(O$2,-1),'Data_NSA'!$A:$A,0),MATCH("CUUR0000SA0",'Data_NSA'!$1:$1,0))/INDEX('Data_NSA'!$A:$OK,MATCH(INDEX('Weights'!$E:$E,MATCH($A153,'Weights'!$A:$A,0)),'Data_NSA'!$A:$A,0),MATCH("CUUR0000SA0",'Data_NSA'!$1:$1,0))))*(INDEX('Data_SA'!$A:$LO,MATCH(O$2,'Data_SA'!$A:$A,0),MATCH($E153,'Data_SA'!$1:$1,0))/INDEX('Data_SA'!$A:$LO,MATCH(EDATE(O$2,-1),'Data_SA'!$A:$A,0),MATCH($E153,'Data_SA'!$1:$1,0))-1),""))</f>
        <v/>
      </c>
      <c r="U153" s="10">
        <f>IFERROR(INDEX('Data_NSA'!$A:$OK,MATCH(U$2,'Data_NSA'!$A:$A,0),MATCH($D153,'Data_NSA'!$1:$1,0)),"")</f>
        <v/>
      </c>
      <c r="V153" s="10">
        <f>IF($E153="","",IFERROR(INDEX('Data_SA'!$A:$LO,MATCH(U$2,'Data_SA'!$A:$A,0),MATCH($E153,'Data_SA'!$1:$1,0)),""))</f>
        <v/>
      </c>
      <c r="W153" s="7">
        <f>IF($E153="","",IFERROR(INDEX('Data_SA'!$A:$LO,MATCH(U$2,'Data_SA'!$A:$A,0),MATCH($E153,'Data_SA'!$1:$1,0))/INDEX('Data_SA'!$A:$LO,MATCH(EDATE(U$2,-1),'Data_SA'!$A:$A,0),MATCH($E153,'Data_SA'!$1:$1,0))-1,""))</f>
        <v/>
      </c>
      <c r="X153" s="7">
        <f>IFERROR(INDEX('Data_NSA'!$A:$OK,MATCH(U$2,'Data_NSA'!$A:$A,0),MATCH($D153,'Data_NSA'!$1:$1,0))/INDEX('Data_NSA'!$A:$OK,MATCH(EDATE(U$2,-12),'Data_NSA'!$A:$A,0),MATCH($D153,'Data_NSA'!$1:$1,0))-1,"")</f>
        <v/>
      </c>
      <c r="Y153" s="10">
        <f>IFERROR(INDEX('Weights'!$G:$I,MATCH($A153,'Weights'!$A:$A,0),MATCH(U$2,'Weights'!$G$1:$I$1,0)),"")</f>
        <v/>
      </c>
      <c r="Z153" s="10">
        <f>IF($E153="","",IFERROR(100*(INDEX('Weights'!$D:$D,MATCH($A153,'Weights'!$A:$A,0))*(INDEX('Data_NSA'!$A:$OK,MATCH(EDATE(U$2,-1),'Data_NSA'!$A:$A,0),MATCH($D153,'Data_NSA'!$1:$1,0))/INDEX('Data_NSA'!$A:$OK,MATCH(INDEX('Weights'!$E:$E,MATCH($A153,'Weights'!$A:$A,0)),'Data_NSA'!$A:$A,0),MATCH($D153,'Data_NSA'!$1:$1,0))))/(100*(INDEX('Data_NSA'!$A:$OK,MATCH(EDATE(U$2,-1),'Data_NSA'!$A:$A,0),MATCH("CUUR0000SA0",'Data_NSA'!$1:$1,0))/INDEX('Data_NSA'!$A:$OK,MATCH(INDEX('Weights'!$E:$E,MATCH($A153,'Weights'!$A:$A,0)),'Data_NSA'!$A:$A,0),MATCH("CUUR0000SA0",'Data_NSA'!$1:$1,0))))*(INDEX('Data_SA'!$A:$LO,MATCH(U$2,'Data_SA'!$A:$A,0),MATCH($E153,'Data_SA'!$1:$1,0))/INDEX('Data_SA'!$A:$LO,MATCH(EDATE(U$2,-1),'Data_SA'!$A:$A,0),MATCH($E153,'Data_SA'!$1:$1,0))-1),""))</f>
        <v/>
      </c>
    </row>
    <row r="154">
      <c r="A154" s="3" t="inlineStr">
        <is>
          <t>SEHF01</t>
        </is>
      </c>
      <c r="B154" s="3" t="inlineStr">
        <is>
          <t>Electricity</t>
        </is>
      </c>
      <c r="C154" s="3" t="inlineStr">
        <is>
          <t>SEHF</t>
        </is>
      </c>
      <c r="D154" s="3" t="inlineStr">
        <is>
          <t>CUUR0000SEHF01</t>
        </is>
      </c>
      <c r="E154" s="3" t="inlineStr">
        <is>
          <t>CUSR0000SEHF01</t>
        </is>
      </c>
      <c r="F154" s="3" t="inlineStr">
        <is>
          <t>ML</t>
        </is>
      </c>
      <c r="G154" s="3" t="inlineStr">
        <is>
          <t>monthly utility pricing</t>
        </is>
      </c>
      <c r="H154" s="10">
        <f>IFERROR(INDEX(Weights!$D:$D,MATCH($A154,Weights!$A:$A,0)),"")</f>
        <v/>
      </c>
      <c r="I154" s="10">
        <f>IFERROR(INDEX('Data_NSA'!$A:$OK,MATCH(I$2,'Data_NSA'!$A:$A,0),MATCH($D154,'Data_NSA'!$1:$1,0)),"")</f>
        <v/>
      </c>
      <c r="J154" s="10">
        <f>IF($E154="","",IFERROR(INDEX('Data_SA'!$A:$LO,MATCH(I$2,'Data_SA'!$A:$A,0),MATCH($E154,'Data_SA'!$1:$1,0)),""))</f>
        <v/>
      </c>
      <c r="K154" s="7">
        <f>IF($E154="","",IFERROR(INDEX('Data_SA'!$A:$LO,MATCH(I$2,'Data_SA'!$A:$A,0),MATCH($E154,'Data_SA'!$1:$1,0))/INDEX('Data_SA'!$A:$LO,MATCH(EDATE(I$2,-1),'Data_SA'!$A:$A,0),MATCH($E154,'Data_SA'!$1:$1,0))-1,""))</f>
        <v/>
      </c>
      <c r="L154" s="7">
        <f>IFERROR(INDEX('Data_NSA'!$A:$OK,MATCH(I$2,'Data_NSA'!$A:$A,0),MATCH($D154,'Data_NSA'!$1:$1,0))/INDEX('Data_NSA'!$A:$OK,MATCH(EDATE(I$2,-12),'Data_NSA'!$A:$A,0),MATCH($D154,'Data_NSA'!$1:$1,0))-1,"")</f>
        <v/>
      </c>
      <c r="M154" s="10">
        <f>IFERROR(INDEX('Weights'!$G:$I,MATCH($A154,'Weights'!$A:$A,0),MATCH(I$2,'Weights'!$G$1:$I$1,0)),"")</f>
        <v/>
      </c>
      <c r="N154" s="10">
        <f>IF($E154="","",IFERROR(100*(INDEX('Weights'!$D:$D,MATCH($A154,'Weights'!$A:$A,0))*(INDEX('Data_NSA'!$A:$OK,MATCH(EDATE(I$2,-1),'Data_NSA'!$A:$A,0),MATCH($D154,'Data_NSA'!$1:$1,0))/INDEX('Data_NSA'!$A:$OK,MATCH(INDEX('Weights'!$E:$E,MATCH($A154,'Weights'!$A:$A,0)),'Data_NSA'!$A:$A,0),MATCH($D154,'Data_NSA'!$1:$1,0))))/(100*(INDEX('Data_NSA'!$A:$OK,MATCH(EDATE(I$2,-1),'Data_NSA'!$A:$A,0),MATCH("CUUR0000SA0",'Data_NSA'!$1:$1,0))/INDEX('Data_NSA'!$A:$OK,MATCH(INDEX('Weights'!$E:$E,MATCH($A154,'Weights'!$A:$A,0)),'Data_NSA'!$A:$A,0),MATCH("CUUR0000SA0",'Data_NSA'!$1:$1,0))))*(INDEX('Data_SA'!$A:$LO,MATCH(I$2,'Data_SA'!$A:$A,0),MATCH($E154,'Data_SA'!$1:$1,0))/INDEX('Data_SA'!$A:$LO,MATCH(EDATE(I$2,-1),'Data_SA'!$A:$A,0),MATCH($E154,'Data_SA'!$1:$1,0))-1),""))</f>
        <v/>
      </c>
      <c r="O154" s="10">
        <f>IFERROR(INDEX('Data_NSA'!$A:$OK,MATCH(O$2,'Data_NSA'!$A:$A,0),MATCH($D154,'Data_NSA'!$1:$1,0)),"")</f>
        <v/>
      </c>
      <c r="P154" s="10">
        <f>IF($E154="","",IFERROR(INDEX('Data_SA'!$A:$LO,MATCH(O$2,'Data_SA'!$A:$A,0),MATCH($E154,'Data_SA'!$1:$1,0)),""))</f>
        <v/>
      </c>
      <c r="Q154" s="7">
        <f>IF($E154="","",IFERROR(INDEX('Data_SA'!$A:$LO,MATCH(O$2,'Data_SA'!$A:$A,0),MATCH($E154,'Data_SA'!$1:$1,0))/INDEX('Data_SA'!$A:$LO,MATCH(EDATE(O$2,-1),'Data_SA'!$A:$A,0),MATCH($E154,'Data_SA'!$1:$1,0))-1,""))</f>
        <v/>
      </c>
      <c r="R154" s="7">
        <f>IFERROR(INDEX('Data_NSA'!$A:$OK,MATCH(O$2,'Data_NSA'!$A:$A,0),MATCH($D154,'Data_NSA'!$1:$1,0))/INDEX('Data_NSA'!$A:$OK,MATCH(EDATE(O$2,-12),'Data_NSA'!$A:$A,0),MATCH($D154,'Data_NSA'!$1:$1,0))-1,"")</f>
        <v/>
      </c>
      <c r="S154" s="10">
        <f>IFERROR(INDEX('Weights'!$G:$I,MATCH($A154,'Weights'!$A:$A,0),MATCH(O$2,'Weights'!$G$1:$I$1,0)),"")</f>
        <v/>
      </c>
      <c r="T154" s="10">
        <f>IF($E154="","",IFERROR(100*(INDEX('Weights'!$D:$D,MATCH($A154,'Weights'!$A:$A,0))*(INDEX('Data_NSA'!$A:$OK,MATCH(EDATE(O$2,-1),'Data_NSA'!$A:$A,0),MATCH($D154,'Data_NSA'!$1:$1,0))/INDEX('Data_NSA'!$A:$OK,MATCH(INDEX('Weights'!$E:$E,MATCH($A154,'Weights'!$A:$A,0)),'Data_NSA'!$A:$A,0),MATCH($D154,'Data_NSA'!$1:$1,0))))/(100*(INDEX('Data_NSA'!$A:$OK,MATCH(EDATE(O$2,-1),'Data_NSA'!$A:$A,0),MATCH("CUUR0000SA0",'Data_NSA'!$1:$1,0))/INDEX('Data_NSA'!$A:$OK,MATCH(INDEX('Weights'!$E:$E,MATCH($A154,'Weights'!$A:$A,0)),'Data_NSA'!$A:$A,0),MATCH("CUUR0000SA0",'Data_NSA'!$1:$1,0))))*(INDEX('Data_SA'!$A:$LO,MATCH(O$2,'Data_SA'!$A:$A,0),MATCH($E154,'Data_SA'!$1:$1,0))/INDEX('Data_SA'!$A:$LO,MATCH(EDATE(O$2,-1),'Data_SA'!$A:$A,0),MATCH($E154,'Data_SA'!$1:$1,0))-1),""))</f>
        <v/>
      </c>
      <c r="U154" s="10">
        <f>IFERROR(INDEX('Data_NSA'!$A:$OK,MATCH(U$2,'Data_NSA'!$A:$A,0),MATCH($D154,'Data_NSA'!$1:$1,0)),"")</f>
        <v/>
      </c>
      <c r="V154" s="10">
        <f>IF($E154="","",IFERROR(INDEX('Data_SA'!$A:$LO,MATCH(U$2,'Data_SA'!$A:$A,0),MATCH($E154,'Data_SA'!$1:$1,0)),""))</f>
        <v/>
      </c>
      <c r="W154" s="7">
        <f>IF($E154="","",IFERROR(INDEX('Data_SA'!$A:$LO,MATCH(U$2,'Data_SA'!$A:$A,0),MATCH($E154,'Data_SA'!$1:$1,0))/INDEX('Data_SA'!$A:$LO,MATCH(EDATE(U$2,-1),'Data_SA'!$A:$A,0),MATCH($E154,'Data_SA'!$1:$1,0))-1,""))</f>
        <v/>
      </c>
      <c r="X154" s="7">
        <f>IFERROR(INDEX('Data_NSA'!$A:$OK,MATCH(U$2,'Data_NSA'!$A:$A,0),MATCH($D154,'Data_NSA'!$1:$1,0))/INDEX('Data_NSA'!$A:$OK,MATCH(EDATE(U$2,-12),'Data_NSA'!$A:$A,0),MATCH($D154,'Data_NSA'!$1:$1,0))-1,"")</f>
        <v/>
      </c>
      <c r="Y154" s="10">
        <f>IFERROR(INDEX('Weights'!$G:$I,MATCH($A154,'Weights'!$A:$A,0),MATCH(U$2,'Weights'!$G$1:$I$1,0)),"")</f>
        <v/>
      </c>
      <c r="Z154" s="10">
        <f>IF($E154="","",IFERROR(100*(INDEX('Weights'!$D:$D,MATCH($A154,'Weights'!$A:$A,0))*(INDEX('Data_NSA'!$A:$OK,MATCH(EDATE(U$2,-1),'Data_NSA'!$A:$A,0),MATCH($D154,'Data_NSA'!$1:$1,0))/INDEX('Data_NSA'!$A:$OK,MATCH(INDEX('Weights'!$E:$E,MATCH($A154,'Weights'!$A:$A,0)),'Data_NSA'!$A:$A,0),MATCH($D154,'Data_NSA'!$1:$1,0))))/(100*(INDEX('Data_NSA'!$A:$OK,MATCH(EDATE(U$2,-1),'Data_NSA'!$A:$A,0),MATCH("CUUR0000SA0",'Data_NSA'!$1:$1,0))/INDEX('Data_NSA'!$A:$OK,MATCH(INDEX('Weights'!$E:$E,MATCH($A154,'Weights'!$A:$A,0)),'Data_NSA'!$A:$A,0),MATCH("CUUR0000SA0",'Data_NSA'!$1:$1,0))))*(INDEX('Data_SA'!$A:$LO,MATCH(U$2,'Data_SA'!$A:$A,0),MATCH($E154,'Data_SA'!$1:$1,0))/INDEX('Data_SA'!$A:$LO,MATCH(EDATE(U$2,-1),'Data_SA'!$A:$A,0),MATCH($E154,'Data_SA'!$1:$1,0))-1),""))</f>
        <v/>
      </c>
    </row>
    <row r="155">
      <c r="A155" s="3" t="inlineStr">
        <is>
          <t>SEHF02</t>
        </is>
      </c>
      <c r="B155" s="3" t="inlineStr">
        <is>
          <t>Utility (piped) gas service</t>
        </is>
      </c>
      <c r="C155" s="3" t="inlineStr">
        <is>
          <t>SEHF</t>
        </is>
      </c>
      <c r="D155" s="3" t="inlineStr">
        <is>
          <t>CUUR0000SEHF02</t>
        </is>
      </c>
      <c r="E155" s="3" t="inlineStr">
        <is>
          <t>CUSR0000SEHF02</t>
        </is>
      </c>
      <c r="F155" s="3" t="inlineStr">
        <is>
          <t>ML</t>
        </is>
      </c>
      <c r="G155" s="3" t="inlineStr">
        <is>
          <t>monthly utility pricing</t>
        </is>
      </c>
      <c r="H155" s="10">
        <f>IFERROR(INDEX(Weights!$D:$D,MATCH($A155,Weights!$A:$A,0)),"")</f>
        <v/>
      </c>
      <c r="I155" s="10">
        <f>IFERROR(INDEX('Data_NSA'!$A:$OK,MATCH(I$2,'Data_NSA'!$A:$A,0),MATCH($D155,'Data_NSA'!$1:$1,0)),"")</f>
        <v/>
      </c>
      <c r="J155" s="10">
        <f>IF($E155="","",IFERROR(INDEX('Data_SA'!$A:$LO,MATCH(I$2,'Data_SA'!$A:$A,0),MATCH($E155,'Data_SA'!$1:$1,0)),""))</f>
        <v/>
      </c>
      <c r="K155" s="7">
        <f>IF($E155="","",IFERROR(INDEX('Data_SA'!$A:$LO,MATCH(I$2,'Data_SA'!$A:$A,0),MATCH($E155,'Data_SA'!$1:$1,0))/INDEX('Data_SA'!$A:$LO,MATCH(EDATE(I$2,-1),'Data_SA'!$A:$A,0),MATCH($E155,'Data_SA'!$1:$1,0))-1,""))</f>
        <v/>
      </c>
      <c r="L155" s="7">
        <f>IFERROR(INDEX('Data_NSA'!$A:$OK,MATCH(I$2,'Data_NSA'!$A:$A,0),MATCH($D155,'Data_NSA'!$1:$1,0))/INDEX('Data_NSA'!$A:$OK,MATCH(EDATE(I$2,-12),'Data_NSA'!$A:$A,0),MATCH($D155,'Data_NSA'!$1:$1,0))-1,"")</f>
        <v/>
      </c>
      <c r="M155" s="10">
        <f>IFERROR(INDEX('Weights'!$G:$I,MATCH($A155,'Weights'!$A:$A,0),MATCH(I$2,'Weights'!$G$1:$I$1,0)),"")</f>
        <v/>
      </c>
      <c r="N155" s="10">
        <f>IF($E155="","",IFERROR(100*(INDEX('Weights'!$D:$D,MATCH($A155,'Weights'!$A:$A,0))*(INDEX('Data_NSA'!$A:$OK,MATCH(EDATE(I$2,-1),'Data_NSA'!$A:$A,0),MATCH($D155,'Data_NSA'!$1:$1,0))/INDEX('Data_NSA'!$A:$OK,MATCH(INDEX('Weights'!$E:$E,MATCH($A155,'Weights'!$A:$A,0)),'Data_NSA'!$A:$A,0),MATCH($D155,'Data_NSA'!$1:$1,0))))/(100*(INDEX('Data_NSA'!$A:$OK,MATCH(EDATE(I$2,-1),'Data_NSA'!$A:$A,0),MATCH("CUUR0000SA0",'Data_NSA'!$1:$1,0))/INDEX('Data_NSA'!$A:$OK,MATCH(INDEX('Weights'!$E:$E,MATCH($A155,'Weights'!$A:$A,0)),'Data_NSA'!$A:$A,0),MATCH("CUUR0000SA0",'Data_NSA'!$1:$1,0))))*(INDEX('Data_SA'!$A:$LO,MATCH(I$2,'Data_SA'!$A:$A,0),MATCH($E155,'Data_SA'!$1:$1,0))/INDEX('Data_SA'!$A:$LO,MATCH(EDATE(I$2,-1),'Data_SA'!$A:$A,0),MATCH($E155,'Data_SA'!$1:$1,0))-1),""))</f>
        <v/>
      </c>
      <c r="O155" s="10">
        <f>IFERROR(INDEX('Data_NSA'!$A:$OK,MATCH(O$2,'Data_NSA'!$A:$A,0),MATCH($D155,'Data_NSA'!$1:$1,0)),"")</f>
        <v/>
      </c>
      <c r="P155" s="10">
        <f>IF($E155="","",IFERROR(INDEX('Data_SA'!$A:$LO,MATCH(O$2,'Data_SA'!$A:$A,0),MATCH($E155,'Data_SA'!$1:$1,0)),""))</f>
        <v/>
      </c>
      <c r="Q155" s="7">
        <f>IF($E155="","",IFERROR(INDEX('Data_SA'!$A:$LO,MATCH(O$2,'Data_SA'!$A:$A,0),MATCH($E155,'Data_SA'!$1:$1,0))/INDEX('Data_SA'!$A:$LO,MATCH(EDATE(O$2,-1),'Data_SA'!$A:$A,0),MATCH($E155,'Data_SA'!$1:$1,0))-1,""))</f>
        <v/>
      </c>
      <c r="R155" s="7">
        <f>IFERROR(INDEX('Data_NSA'!$A:$OK,MATCH(O$2,'Data_NSA'!$A:$A,0),MATCH($D155,'Data_NSA'!$1:$1,0))/INDEX('Data_NSA'!$A:$OK,MATCH(EDATE(O$2,-12),'Data_NSA'!$A:$A,0),MATCH($D155,'Data_NSA'!$1:$1,0))-1,"")</f>
        <v/>
      </c>
      <c r="S155" s="10">
        <f>IFERROR(INDEX('Weights'!$G:$I,MATCH($A155,'Weights'!$A:$A,0),MATCH(O$2,'Weights'!$G$1:$I$1,0)),"")</f>
        <v/>
      </c>
      <c r="T155" s="10">
        <f>IF($E155="","",IFERROR(100*(INDEX('Weights'!$D:$D,MATCH($A155,'Weights'!$A:$A,0))*(INDEX('Data_NSA'!$A:$OK,MATCH(EDATE(O$2,-1),'Data_NSA'!$A:$A,0),MATCH($D155,'Data_NSA'!$1:$1,0))/INDEX('Data_NSA'!$A:$OK,MATCH(INDEX('Weights'!$E:$E,MATCH($A155,'Weights'!$A:$A,0)),'Data_NSA'!$A:$A,0),MATCH($D155,'Data_NSA'!$1:$1,0))))/(100*(INDEX('Data_NSA'!$A:$OK,MATCH(EDATE(O$2,-1),'Data_NSA'!$A:$A,0),MATCH("CUUR0000SA0",'Data_NSA'!$1:$1,0))/INDEX('Data_NSA'!$A:$OK,MATCH(INDEX('Weights'!$E:$E,MATCH($A155,'Weights'!$A:$A,0)),'Data_NSA'!$A:$A,0),MATCH("CUUR0000SA0",'Data_NSA'!$1:$1,0))))*(INDEX('Data_SA'!$A:$LO,MATCH(O$2,'Data_SA'!$A:$A,0),MATCH($E155,'Data_SA'!$1:$1,0))/INDEX('Data_SA'!$A:$LO,MATCH(EDATE(O$2,-1),'Data_SA'!$A:$A,0),MATCH($E155,'Data_SA'!$1:$1,0))-1),""))</f>
        <v/>
      </c>
      <c r="U155" s="10">
        <f>IFERROR(INDEX('Data_NSA'!$A:$OK,MATCH(U$2,'Data_NSA'!$A:$A,0),MATCH($D155,'Data_NSA'!$1:$1,0)),"")</f>
        <v/>
      </c>
      <c r="V155" s="10">
        <f>IF($E155="","",IFERROR(INDEX('Data_SA'!$A:$LO,MATCH(U$2,'Data_SA'!$A:$A,0),MATCH($E155,'Data_SA'!$1:$1,0)),""))</f>
        <v/>
      </c>
      <c r="W155" s="7">
        <f>IF($E155="","",IFERROR(INDEX('Data_SA'!$A:$LO,MATCH(U$2,'Data_SA'!$A:$A,0),MATCH($E155,'Data_SA'!$1:$1,0))/INDEX('Data_SA'!$A:$LO,MATCH(EDATE(U$2,-1),'Data_SA'!$A:$A,0),MATCH($E155,'Data_SA'!$1:$1,0))-1,""))</f>
        <v/>
      </c>
      <c r="X155" s="7">
        <f>IFERROR(INDEX('Data_NSA'!$A:$OK,MATCH(U$2,'Data_NSA'!$A:$A,0),MATCH($D155,'Data_NSA'!$1:$1,0))/INDEX('Data_NSA'!$A:$OK,MATCH(EDATE(U$2,-12),'Data_NSA'!$A:$A,0),MATCH($D155,'Data_NSA'!$1:$1,0))-1,"")</f>
        <v/>
      </c>
      <c r="Y155" s="10">
        <f>IFERROR(INDEX('Weights'!$G:$I,MATCH($A155,'Weights'!$A:$A,0),MATCH(U$2,'Weights'!$G$1:$I$1,0)),"")</f>
        <v/>
      </c>
      <c r="Z155" s="10">
        <f>IF($E155="","",IFERROR(100*(INDEX('Weights'!$D:$D,MATCH($A155,'Weights'!$A:$A,0))*(INDEX('Data_NSA'!$A:$OK,MATCH(EDATE(U$2,-1),'Data_NSA'!$A:$A,0),MATCH($D155,'Data_NSA'!$1:$1,0))/INDEX('Data_NSA'!$A:$OK,MATCH(INDEX('Weights'!$E:$E,MATCH($A155,'Weights'!$A:$A,0)),'Data_NSA'!$A:$A,0),MATCH($D155,'Data_NSA'!$1:$1,0))))/(100*(INDEX('Data_NSA'!$A:$OK,MATCH(EDATE(U$2,-1),'Data_NSA'!$A:$A,0),MATCH("CUUR0000SA0",'Data_NSA'!$1:$1,0))/INDEX('Data_NSA'!$A:$OK,MATCH(INDEX('Weights'!$E:$E,MATCH($A155,'Weights'!$A:$A,0)),'Data_NSA'!$A:$A,0),MATCH("CUUR0000SA0",'Data_NSA'!$1:$1,0))))*(INDEX('Data_SA'!$A:$LO,MATCH(U$2,'Data_SA'!$A:$A,0),MATCH($E155,'Data_SA'!$1:$1,0))/INDEX('Data_SA'!$A:$LO,MATCH(EDATE(U$2,-1),'Data_SA'!$A:$A,0),MATCH($E155,'Data_SA'!$1:$1,0))-1),""))</f>
        <v/>
      </c>
    </row>
    <row r="156">
      <c r="A156" s="3" t="inlineStr">
        <is>
          <t>SEHG</t>
        </is>
      </c>
      <c r="B156" s="3" t="inlineStr">
        <is>
          <t>Water and sewer and trash collection services</t>
        </is>
      </c>
      <c r="C156" s="3" t="inlineStr">
        <is>
          <t>SAH2</t>
        </is>
      </c>
      <c r="D156" s="3" t="inlineStr">
        <is>
          <t>CUUR0000SEHG</t>
        </is>
      </c>
      <c r="E156" s="3" t="inlineStr">
        <is>
          <t>CUSR0000SEHG</t>
        </is>
      </c>
      <c r="F156" s="3" t="inlineStr">
        <is>
          <t>ML</t>
        </is>
      </c>
      <c r="G156" s="3" t="inlineStr">
        <is>
          <t>monthly/bimonthly government and utility fees</t>
        </is>
      </c>
      <c r="H156" s="10">
        <f>IFERROR(INDEX(Weights!$D:$D,MATCH($A156,Weights!$A:$A,0)),"")</f>
        <v/>
      </c>
      <c r="I156" s="10">
        <f>IFERROR(INDEX('Data_NSA'!$A:$OK,MATCH(I$2,'Data_NSA'!$A:$A,0),MATCH($D156,'Data_NSA'!$1:$1,0)),"")</f>
        <v/>
      </c>
      <c r="J156" s="10">
        <f>IF($E156="","",IFERROR(INDEX('Data_SA'!$A:$LO,MATCH(I$2,'Data_SA'!$A:$A,0),MATCH($E156,'Data_SA'!$1:$1,0)),""))</f>
        <v/>
      </c>
      <c r="K156" s="7">
        <f>IF($E156="","",IFERROR(INDEX('Data_SA'!$A:$LO,MATCH(I$2,'Data_SA'!$A:$A,0),MATCH($E156,'Data_SA'!$1:$1,0))/INDEX('Data_SA'!$A:$LO,MATCH(EDATE(I$2,-1),'Data_SA'!$A:$A,0),MATCH($E156,'Data_SA'!$1:$1,0))-1,""))</f>
        <v/>
      </c>
      <c r="L156" s="7">
        <f>IFERROR(INDEX('Data_NSA'!$A:$OK,MATCH(I$2,'Data_NSA'!$A:$A,0),MATCH($D156,'Data_NSA'!$1:$1,0))/INDEX('Data_NSA'!$A:$OK,MATCH(EDATE(I$2,-12),'Data_NSA'!$A:$A,0),MATCH($D156,'Data_NSA'!$1:$1,0))-1,"")</f>
        <v/>
      </c>
      <c r="M156" s="10">
        <f>IFERROR(INDEX('Weights'!$G:$I,MATCH($A156,'Weights'!$A:$A,0),MATCH(I$2,'Weights'!$G$1:$I$1,0)),"")</f>
        <v/>
      </c>
      <c r="N156" s="10">
        <f>IF($E156="","",IFERROR(100*(INDEX('Weights'!$D:$D,MATCH($A156,'Weights'!$A:$A,0))*(INDEX('Data_NSA'!$A:$OK,MATCH(EDATE(I$2,-1),'Data_NSA'!$A:$A,0),MATCH($D156,'Data_NSA'!$1:$1,0))/INDEX('Data_NSA'!$A:$OK,MATCH(INDEX('Weights'!$E:$E,MATCH($A156,'Weights'!$A:$A,0)),'Data_NSA'!$A:$A,0),MATCH($D156,'Data_NSA'!$1:$1,0))))/(100*(INDEX('Data_NSA'!$A:$OK,MATCH(EDATE(I$2,-1),'Data_NSA'!$A:$A,0),MATCH("CUUR0000SA0",'Data_NSA'!$1:$1,0))/INDEX('Data_NSA'!$A:$OK,MATCH(INDEX('Weights'!$E:$E,MATCH($A156,'Weights'!$A:$A,0)),'Data_NSA'!$A:$A,0),MATCH("CUUR0000SA0",'Data_NSA'!$1:$1,0))))*(INDEX('Data_SA'!$A:$LO,MATCH(I$2,'Data_SA'!$A:$A,0),MATCH($E156,'Data_SA'!$1:$1,0))/INDEX('Data_SA'!$A:$LO,MATCH(EDATE(I$2,-1),'Data_SA'!$A:$A,0),MATCH($E156,'Data_SA'!$1:$1,0))-1),""))</f>
        <v/>
      </c>
      <c r="O156" s="10">
        <f>IFERROR(INDEX('Data_NSA'!$A:$OK,MATCH(O$2,'Data_NSA'!$A:$A,0),MATCH($D156,'Data_NSA'!$1:$1,0)),"")</f>
        <v/>
      </c>
      <c r="P156" s="10">
        <f>IF($E156="","",IFERROR(INDEX('Data_SA'!$A:$LO,MATCH(O$2,'Data_SA'!$A:$A,0),MATCH($E156,'Data_SA'!$1:$1,0)),""))</f>
        <v/>
      </c>
      <c r="Q156" s="7">
        <f>IF($E156="","",IFERROR(INDEX('Data_SA'!$A:$LO,MATCH(O$2,'Data_SA'!$A:$A,0),MATCH($E156,'Data_SA'!$1:$1,0))/INDEX('Data_SA'!$A:$LO,MATCH(EDATE(O$2,-1),'Data_SA'!$A:$A,0),MATCH($E156,'Data_SA'!$1:$1,0))-1,""))</f>
        <v/>
      </c>
      <c r="R156" s="7">
        <f>IFERROR(INDEX('Data_NSA'!$A:$OK,MATCH(O$2,'Data_NSA'!$A:$A,0),MATCH($D156,'Data_NSA'!$1:$1,0))/INDEX('Data_NSA'!$A:$OK,MATCH(EDATE(O$2,-12),'Data_NSA'!$A:$A,0),MATCH($D156,'Data_NSA'!$1:$1,0))-1,"")</f>
        <v/>
      </c>
      <c r="S156" s="10">
        <f>IFERROR(INDEX('Weights'!$G:$I,MATCH($A156,'Weights'!$A:$A,0),MATCH(O$2,'Weights'!$G$1:$I$1,0)),"")</f>
        <v/>
      </c>
      <c r="T156" s="10">
        <f>IF($E156="","",IFERROR(100*(INDEX('Weights'!$D:$D,MATCH($A156,'Weights'!$A:$A,0))*(INDEX('Data_NSA'!$A:$OK,MATCH(EDATE(O$2,-1),'Data_NSA'!$A:$A,0),MATCH($D156,'Data_NSA'!$1:$1,0))/INDEX('Data_NSA'!$A:$OK,MATCH(INDEX('Weights'!$E:$E,MATCH($A156,'Weights'!$A:$A,0)),'Data_NSA'!$A:$A,0),MATCH($D156,'Data_NSA'!$1:$1,0))))/(100*(INDEX('Data_NSA'!$A:$OK,MATCH(EDATE(O$2,-1),'Data_NSA'!$A:$A,0),MATCH("CUUR0000SA0",'Data_NSA'!$1:$1,0))/INDEX('Data_NSA'!$A:$OK,MATCH(INDEX('Weights'!$E:$E,MATCH($A156,'Weights'!$A:$A,0)),'Data_NSA'!$A:$A,0),MATCH("CUUR0000SA0",'Data_NSA'!$1:$1,0))))*(INDEX('Data_SA'!$A:$LO,MATCH(O$2,'Data_SA'!$A:$A,0),MATCH($E156,'Data_SA'!$1:$1,0))/INDEX('Data_SA'!$A:$LO,MATCH(EDATE(O$2,-1),'Data_SA'!$A:$A,0),MATCH($E156,'Data_SA'!$1:$1,0))-1),""))</f>
        <v/>
      </c>
      <c r="U156" s="10">
        <f>IFERROR(INDEX('Data_NSA'!$A:$OK,MATCH(U$2,'Data_NSA'!$A:$A,0),MATCH($D156,'Data_NSA'!$1:$1,0)),"")</f>
        <v/>
      </c>
      <c r="V156" s="10">
        <f>IF($E156="","",IFERROR(INDEX('Data_SA'!$A:$LO,MATCH(U$2,'Data_SA'!$A:$A,0),MATCH($E156,'Data_SA'!$1:$1,0)),""))</f>
        <v/>
      </c>
      <c r="W156" s="7">
        <f>IF($E156="","",IFERROR(INDEX('Data_SA'!$A:$LO,MATCH(U$2,'Data_SA'!$A:$A,0),MATCH($E156,'Data_SA'!$1:$1,0))/INDEX('Data_SA'!$A:$LO,MATCH(EDATE(U$2,-1),'Data_SA'!$A:$A,0),MATCH($E156,'Data_SA'!$1:$1,0))-1,""))</f>
        <v/>
      </c>
      <c r="X156" s="7">
        <f>IFERROR(INDEX('Data_NSA'!$A:$OK,MATCH(U$2,'Data_NSA'!$A:$A,0),MATCH($D156,'Data_NSA'!$1:$1,0))/INDEX('Data_NSA'!$A:$OK,MATCH(EDATE(U$2,-12),'Data_NSA'!$A:$A,0),MATCH($D156,'Data_NSA'!$1:$1,0))-1,"")</f>
        <v/>
      </c>
      <c r="Y156" s="10">
        <f>IFERROR(INDEX('Weights'!$G:$I,MATCH($A156,'Weights'!$A:$A,0),MATCH(U$2,'Weights'!$G$1:$I$1,0)),"")</f>
        <v/>
      </c>
      <c r="Z156" s="10">
        <f>IF($E156="","",IFERROR(100*(INDEX('Weights'!$D:$D,MATCH($A156,'Weights'!$A:$A,0))*(INDEX('Data_NSA'!$A:$OK,MATCH(EDATE(U$2,-1),'Data_NSA'!$A:$A,0),MATCH($D156,'Data_NSA'!$1:$1,0))/INDEX('Data_NSA'!$A:$OK,MATCH(INDEX('Weights'!$E:$E,MATCH($A156,'Weights'!$A:$A,0)),'Data_NSA'!$A:$A,0),MATCH($D156,'Data_NSA'!$1:$1,0))))/(100*(INDEX('Data_NSA'!$A:$OK,MATCH(EDATE(U$2,-1),'Data_NSA'!$A:$A,0),MATCH("CUUR0000SA0",'Data_NSA'!$1:$1,0))/INDEX('Data_NSA'!$A:$OK,MATCH(INDEX('Weights'!$E:$E,MATCH($A156,'Weights'!$A:$A,0)),'Data_NSA'!$A:$A,0),MATCH("CUUR0000SA0",'Data_NSA'!$1:$1,0))))*(INDEX('Data_SA'!$A:$LO,MATCH(U$2,'Data_SA'!$A:$A,0),MATCH($E156,'Data_SA'!$1:$1,0))/INDEX('Data_SA'!$A:$LO,MATCH(EDATE(U$2,-1),'Data_SA'!$A:$A,0),MATCH($E156,'Data_SA'!$1:$1,0))-1),""))</f>
        <v/>
      </c>
    </row>
    <row r="157">
      <c r="A157" s="3" t="inlineStr">
        <is>
          <t>SEHG01</t>
        </is>
      </c>
      <c r="B157" s="3" t="inlineStr">
        <is>
          <t>Water and sewerage maintenance</t>
        </is>
      </c>
      <c r="C157" s="3" t="inlineStr">
        <is>
          <t>SEHG</t>
        </is>
      </c>
      <c r="D157" s="3" t="inlineStr">
        <is>
          <t>CUUR0000SEHG01</t>
        </is>
      </c>
      <c r="E157" s="3" t="inlineStr">
        <is>
          <t>CUSR0000SEHG01</t>
        </is>
      </c>
      <c r="F157" s="3" t="inlineStr">
        <is>
          <t>ML</t>
        </is>
      </c>
      <c r="G157" s="3" t="inlineStr">
        <is>
          <t>monthly/six-panel shelter or housing-service collection</t>
        </is>
      </c>
      <c r="H157" s="10">
        <f>IFERROR(INDEX(Weights!$D:$D,MATCH($A157,Weights!$A:$A,0)),"")</f>
        <v/>
      </c>
      <c r="I157" s="10">
        <f>IFERROR(INDEX('Data_NSA'!$A:$OK,MATCH(I$2,'Data_NSA'!$A:$A,0),MATCH($D157,'Data_NSA'!$1:$1,0)),"")</f>
        <v/>
      </c>
      <c r="J157" s="10">
        <f>IF($E157="","",IFERROR(INDEX('Data_SA'!$A:$LO,MATCH(I$2,'Data_SA'!$A:$A,0),MATCH($E157,'Data_SA'!$1:$1,0)),""))</f>
        <v/>
      </c>
      <c r="K157" s="7">
        <f>IF($E157="","",IFERROR(INDEX('Data_SA'!$A:$LO,MATCH(I$2,'Data_SA'!$A:$A,0),MATCH($E157,'Data_SA'!$1:$1,0))/INDEX('Data_SA'!$A:$LO,MATCH(EDATE(I$2,-1),'Data_SA'!$A:$A,0),MATCH($E157,'Data_SA'!$1:$1,0))-1,""))</f>
        <v/>
      </c>
      <c r="L157" s="7">
        <f>IFERROR(INDEX('Data_NSA'!$A:$OK,MATCH(I$2,'Data_NSA'!$A:$A,0),MATCH($D157,'Data_NSA'!$1:$1,0))/INDEX('Data_NSA'!$A:$OK,MATCH(EDATE(I$2,-12),'Data_NSA'!$A:$A,0),MATCH($D157,'Data_NSA'!$1:$1,0))-1,"")</f>
        <v/>
      </c>
      <c r="M157" s="10">
        <f>IFERROR(INDEX('Weights'!$G:$I,MATCH($A157,'Weights'!$A:$A,0),MATCH(I$2,'Weights'!$G$1:$I$1,0)),"")</f>
        <v/>
      </c>
      <c r="N157" s="10">
        <f>IF($E157="","",IFERROR(100*(INDEX('Weights'!$D:$D,MATCH($A157,'Weights'!$A:$A,0))*(INDEX('Data_NSA'!$A:$OK,MATCH(EDATE(I$2,-1),'Data_NSA'!$A:$A,0),MATCH($D157,'Data_NSA'!$1:$1,0))/INDEX('Data_NSA'!$A:$OK,MATCH(INDEX('Weights'!$E:$E,MATCH($A157,'Weights'!$A:$A,0)),'Data_NSA'!$A:$A,0),MATCH($D157,'Data_NSA'!$1:$1,0))))/(100*(INDEX('Data_NSA'!$A:$OK,MATCH(EDATE(I$2,-1),'Data_NSA'!$A:$A,0),MATCH("CUUR0000SA0",'Data_NSA'!$1:$1,0))/INDEX('Data_NSA'!$A:$OK,MATCH(INDEX('Weights'!$E:$E,MATCH($A157,'Weights'!$A:$A,0)),'Data_NSA'!$A:$A,0),MATCH("CUUR0000SA0",'Data_NSA'!$1:$1,0))))*(INDEX('Data_SA'!$A:$LO,MATCH(I$2,'Data_SA'!$A:$A,0),MATCH($E157,'Data_SA'!$1:$1,0))/INDEX('Data_SA'!$A:$LO,MATCH(EDATE(I$2,-1),'Data_SA'!$A:$A,0),MATCH($E157,'Data_SA'!$1:$1,0))-1),""))</f>
        <v/>
      </c>
      <c r="O157" s="10">
        <f>IFERROR(INDEX('Data_NSA'!$A:$OK,MATCH(O$2,'Data_NSA'!$A:$A,0),MATCH($D157,'Data_NSA'!$1:$1,0)),"")</f>
        <v/>
      </c>
      <c r="P157" s="10">
        <f>IF($E157="","",IFERROR(INDEX('Data_SA'!$A:$LO,MATCH(O$2,'Data_SA'!$A:$A,0),MATCH($E157,'Data_SA'!$1:$1,0)),""))</f>
        <v/>
      </c>
      <c r="Q157" s="7">
        <f>IF($E157="","",IFERROR(INDEX('Data_SA'!$A:$LO,MATCH(O$2,'Data_SA'!$A:$A,0),MATCH($E157,'Data_SA'!$1:$1,0))/INDEX('Data_SA'!$A:$LO,MATCH(EDATE(O$2,-1),'Data_SA'!$A:$A,0),MATCH($E157,'Data_SA'!$1:$1,0))-1,""))</f>
        <v/>
      </c>
      <c r="R157" s="7">
        <f>IFERROR(INDEX('Data_NSA'!$A:$OK,MATCH(O$2,'Data_NSA'!$A:$A,0),MATCH($D157,'Data_NSA'!$1:$1,0))/INDEX('Data_NSA'!$A:$OK,MATCH(EDATE(O$2,-12),'Data_NSA'!$A:$A,0),MATCH($D157,'Data_NSA'!$1:$1,0))-1,"")</f>
        <v/>
      </c>
      <c r="S157" s="10">
        <f>IFERROR(INDEX('Weights'!$G:$I,MATCH($A157,'Weights'!$A:$A,0),MATCH(O$2,'Weights'!$G$1:$I$1,0)),"")</f>
        <v/>
      </c>
      <c r="T157" s="10">
        <f>IF($E157="","",IFERROR(100*(INDEX('Weights'!$D:$D,MATCH($A157,'Weights'!$A:$A,0))*(INDEX('Data_NSA'!$A:$OK,MATCH(EDATE(O$2,-1),'Data_NSA'!$A:$A,0),MATCH($D157,'Data_NSA'!$1:$1,0))/INDEX('Data_NSA'!$A:$OK,MATCH(INDEX('Weights'!$E:$E,MATCH($A157,'Weights'!$A:$A,0)),'Data_NSA'!$A:$A,0),MATCH($D157,'Data_NSA'!$1:$1,0))))/(100*(INDEX('Data_NSA'!$A:$OK,MATCH(EDATE(O$2,-1),'Data_NSA'!$A:$A,0),MATCH("CUUR0000SA0",'Data_NSA'!$1:$1,0))/INDEX('Data_NSA'!$A:$OK,MATCH(INDEX('Weights'!$E:$E,MATCH($A157,'Weights'!$A:$A,0)),'Data_NSA'!$A:$A,0),MATCH("CUUR0000SA0",'Data_NSA'!$1:$1,0))))*(INDEX('Data_SA'!$A:$LO,MATCH(O$2,'Data_SA'!$A:$A,0),MATCH($E157,'Data_SA'!$1:$1,0))/INDEX('Data_SA'!$A:$LO,MATCH(EDATE(O$2,-1),'Data_SA'!$A:$A,0),MATCH($E157,'Data_SA'!$1:$1,0))-1),""))</f>
        <v/>
      </c>
      <c r="U157" s="10">
        <f>IFERROR(INDEX('Data_NSA'!$A:$OK,MATCH(U$2,'Data_NSA'!$A:$A,0),MATCH($D157,'Data_NSA'!$1:$1,0)),"")</f>
        <v/>
      </c>
      <c r="V157" s="10">
        <f>IF($E157="","",IFERROR(INDEX('Data_SA'!$A:$LO,MATCH(U$2,'Data_SA'!$A:$A,0),MATCH($E157,'Data_SA'!$1:$1,0)),""))</f>
        <v/>
      </c>
      <c r="W157" s="7">
        <f>IF($E157="","",IFERROR(INDEX('Data_SA'!$A:$LO,MATCH(U$2,'Data_SA'!$A:$A,0),MATCH($E157,'Data_SA'!$1:$1,0))/INDEX('Data_SA'!$A:$LO,MATCH(EDATE(U$2,-1),'Data_SA'!$A:$A,0),MATCH($E157,'Data_SA'!$1:$1,0))-1,""))</f>
        <v/>
      </c>
      <c r="X157" s="7">
        <f>IFERROR(INDEX('Data_NSA'!$A:$OK,MATCH(U$2,'Data_NSA'!$A:$A,0),MATCH($D157,'Data_NSA'!$1:$1,0))/INDEX('Data_NSA'!$A:$OK,MATCH(EDATE(U$2,-12),'Data_NSA'!$A:$A,0),MATCH($D157,'Data_NSA'!$1:$1,0))-1,"")</f>
        <v/>
      </c>
      <c r="Y157" s="10">
        <f>IFERROR(INDEX('Weights'!$G:$I,MATCH($A157,'Weights'!$A:$A,0),MATCH(U$2,'Weights'!$G$1:$I$1,0)),"")</f>
        <v/>
      </c>
      <c r="Z157" s="10">
        <f>IF($E157="","",IFERROR(100*(INDEX('Weights'!$D:$D,MATCH($A157,'Weights'!$A:$A,0))*(INDEX('Data_NSA'!$A:$OK,MATCH(EDATE(U$2,-1),'Data_NSA'!$A:$A,0),MATCH($D157,'Data_NSA'!$1:$1,0))/INDEX('Data_NSA'!$A:$OK,MATCH(INDEX('Weights'!$E:$E,MATCH($A157,'Weights'!$A:$A,0)),'Data_NSA'!$A:$A,0),MATCH($D157,'Data_NSA'!$1:$1,0))))/(100*(INDEX('Data_NSA'!$A:$OK,MATCH(EDATE(U$2,-1),'Data_NSA'!$A:$A,0),MATCH("CUUR0000SA0",'Data_NSA'!$1:$1,0))/INDEX('Data_NSA'!$A:$OK,MATCH(INDEX('Weights'!$E:$E,MATCH($A157,'Weights'!$A:$A,0)),'Data_NSA'!$A:$A,0),MATCH("CUUR0000SA0",'Data_NSA'!$1:$1,0))))*(INDEX('Data_SA'!$A:$LO,MATCH(U$2,'Data_SA'!$A:$A,0),MATCH($E157,'Data_SA'!$1:$1,0))/INDEX('Data_SA'!$A:$LO,MATCH(EDATE(U$2,-1),'Data_SA'!$A:$A,0),MATCH($E157,'Data_SA'!$1:$1,0))-1),""))</f>
        <v/>
      </c>
    </row>
    <row r="158">
      <c r="A158" s="3" t="inlineStr">
        <is>
          <t>SEHG02</t>
        </is>
      </c>
      <c r="B158" s="3" t="inlineStr">
        <is>
          <t>Garbage and trash collection</t>
        </is>
      </c>
      <c r="C158" s="3" t="inlineStr">
        <is>
          <t>SEHG</t>
        </is>
      </c>
      <c r="D158" s="3" t="inlineStr">
        <is>
          <t>CUUR0000SEHG02</t>
        </is>
      </c>
      <c r="E158" s="3" t="inlineStr">
        <is>
          <t>CUSR0000SEHG02</t>
        </is>
      </c>
      <c r="F158" s="3" t="inlineStr">
        <is>
          <t>ML</t>
        </is>
      </c>
      <c r="G158" s="3" t="inlineStr">
        <is>
          <t>monthly/six-panel shelter or housing-service collection</t>
        </is>
      </c>
      <c r="H158" s="10">
        <f>IFERROR(INDEX(Weights!$D:$D,MATCH($A158,Weights!$A:$A,0)),"")</f>
        <v/>
      </c>
      <c r="I158" s="10">
        <f>IFERROR(INDEX('Data_NSA'!$A:$OK,MATCH(I$2,'Data_NSA'!$A:$A,0),MATCH($D158,'Data_NSA'!$1:$1,0)),"")</f>
        <v/>
      </c>
      <c r="J158" s="10">
        <f>IF($E158="","",IFERROR(INDEX('Data_SA'!$A:$LO,MATCH(I$2,'Data_SA'!$A:$A,0),MATCH($E158,'Data_SA'!$1:$1,0)),""))</f>
        <v/>
      </c>
      <c r="K158" s="7">
        <f>IF($E158="","",IFERROR(INDEX('Data_SA'!$A:$LO,MATCH(I$2,'Data_SA'!$A:$A,0),MATCH($E158,'Data_SA'!$1:$1,0))/INDEX('Data_SA'!$A:$LO,MATCH(EDATE(I$2,-1),'Data_SA'!$A:$A,0),MATCH($E158,'Data_SA'!$1:$1,0))-1,""))</f>
        <v/>
      </c>
      <c r="L158" s="7">
        <f>IFERROR(INDEX('Data_NSA'!$A:$OK,MATCH(I$2,'Data_NSA'!$A:$A,0),MATCH($D158,'Data_NSA'!$1:$1,0))/INDEX('Data_NSA'!$A:$OK,MATCH(EDATE(I$2,-12),'Data_NSA'!$A:$A,0),MATCH($D158,'Data_NSA'!$1:$1,0))-1,"")</f>
        <v/>
      </c>
      <c r="M158" s="10">
        <f>IFERROR(INDEX('Weights'!$G:$I,MATCH($A158,'Weights'!$A:$A,0),MATCH(I$2,'Weights'!$G$1:$I$1,0)),"")</f>
        <v/>
      </c>
      <c r="N158" s="10">
        <f>IF($E158="","",IFERROR(100*(INDEX('Weights'!$D:$D,MATCH($A158,'Weights'!$A:$A,0))*(INDEX('Data_NSA'!$A:$OK,MATCH(EDATE(I$2,-1),'Data_NSA'!$A:$A,0),MATCH($D158,'Data_NSA'!$1:$1,0))/INDEX('Data_NSA'!$A:$OK,MATCH(INDEX('Weights'!$E:$E,MATCH($A158,'Weights'!$A:$A,0)),'Data_NSA'!$A:$A,0),MATCH($D158,'Data_NSA'!$1:$1,0))))/(100*(INDEX('Data_NSA'!$A:$OK,MATCH(EDATE(I$2,-1),'Data_NSA'!$A:$A,0),MATCH("CUUR0000SA0",'Data_NSA'!$1:$1,0))/INDEX('Data_NSA'!$A:$OK,MATCH(INDEX('Weights'!$E:$E,MATCH($A158,'Weights'!$A:$A,0)),'Data_NSA'!$A:$A,0),MATCH("CUUR0000SA0",'Data_NSA'!$1:$1,0))))*(INDEX('Data_SA'!$A:$LO,MATCH(I$2,'Data_SA'!$A:$A,0),MATCH($E158,'Data_SA'!$1:$1,0))/INDEX('Data_SA'!$A:$LO,MATCH(EDATE(I$2,-1),'Data_SA'!$A:$A,0),MATCH($E158,'Data_SA'!$1:$1,0))-1),""))</f>
        <v/>
      </c>
      <c r="O158" s="10">
        <f>IFERROR(INDEX('Data_NSA'!$A:$OK,MATCH(O$2,'Data_NSA'!$A:$A,0),MATCH($D158,'Data_NSA'!$1:$1,0)),"")</f>
        <v/>
      </c>
      <c r="P158" s="10">
        <f>IF($E158="","",IFERROR(INDEX('Data_SA'!$A:$LO,MATCH(O$2,'Data_SA'!$A:$A,0),MATCH($E158,'Data_SA'!$1:$1,0)),""))</f>
        <v/>
      </c>
      <c r="Q158" s="7">
        <f>IF($E158="","",IFERROR(INDEX('Data_SA'!$A:$LO,MATCH(O$2,'Data_SA'!$A:$A,0),MATCH($E158,'Data_SA'!$1:$1,0))/INDEX('Data_SA'!$A:$LO,MATCH(EDATE(O$2,-1),'Data_SA'!$A:$A,0),MATCH($E158,'Data_SA'!$1:$1,0))-1,""))</f>
        <v/>
      </c>
      <c r="R158" s="7">
        <f>IFERROR(INDEX('Data_NSA'!$A:$OK,MATCH(O$2,'Data_NSA'!$A:$A,0),MATCH($D158,'Data_NSA'!$1:$1,0))/INDEX('Data_NSA'!$A:$OK,MATCH(EDATE(O$2,-12),'Data_NSA'!$A:$A,0),MATCH($D158,'Data_NSA'!$1:$1,0))-1,"")</f>
        <v/>
      </c>
      <c r="S158" s="10">
        <f>IFERROR(INDEX('Weights'!$G:$I,MATCH($A158,'Weights'!$A:$A,0),MATCH(O$2,'Weights'!$G$1:$I$1,0)),"")</f>
        <v/>
      </c>
      <c r="T158" s="10">
        <f>IF($E158="","",IFERROR(100*(INDEX('Weights'!$D:$D,MATCH($A158,'Weights'!$A:$A,0))*(INDEX('Data_NSA'!$A:$OK,MATCH(EDATE(O$2,-1),'Data_NSA'!$A:$A,0),MATCH($D158,'Data_NSA'!$1:$1,0))/INDEX('Data_NSA'!$A:$OK,MATCH(INDEX('Weights'!$E:$E,MATCH($A158,'Weights'!$A:$A,0)),'Data_NSA'!$A:$A,0),MATCH($D158,'Data_NSA'!$1:$1,0))))/(100*(INDEX('Data_NSA'!$A:$OK,MATCH(EDATE(O$2,-1),'Data_NSA'!$A:$A,0),MATCH("CUUR0000SA0",'Data_NSA'!$1:$1,0))/INDEX('Data_NSA'!$A:$OK,MATCH(INDEX('Weights'!$E:$E,MATCH($A158,'Weights'!$A:$A,0)),'Data_NSA'!$A:$A,0),MATCH("CUUR0000SA0",'Data_NSA'!$1:$1,0))))*(INDEX('Data_SA'!$A:$LO,MATCH(O$2,'Data_SA'!$A:$A,0),MATCH($E158,'Data_SA'!$1:$1,0))/INDEX('Data_SA'!$A:$LO,MATCH(EDATE(O$2,-1),'Data_SA'!$A:$A,0),MATCH($E158,'Data_SA'!$1:$1,0))-1),""))</f>
        <v/>
      </c>
      <c r="U158" s="10">
        <f>IFERROR(INDEX('Data_NSA'!$A:$OK,MATCH(U$2,'Data_NSA'!$A:$A,0),MATCH($D158,'Data_NSA'!$1:$1,0)),"")</f>
        <v/>
      </c>
      <c r="V158" s="10">
        <f>IF($E158="","",IFERROR(INDEX('Data_SA'!$A:$LO,MATCH(U$2,'Data_SA'!$A:$A,0),MATCH($E158,'Data_SA'!$1:$1,0)),""))</f>
        <v/>
      </c>
      <c r="W158" s="7">
        <f>IF($E158="","",IFERROR(INDEX('Data_SA'!$A:$LO,MATCH(U$2,'Data_SA'!$A:$A,0),MATCH($E158,'Data_SA'!$1:$1,0))/INDEX('Data_SA'!$A:$LO,MATCH(EDATE(U$2,-1),'Data_SA'!$A:$A,0),MATCH($E158,'Data_SA'!$1:$1,0))-1,""))</f>
        <v/>
      </c>
      <c r="X158" s="7">
        <f>IFERROR(INDEX('Data_NSA'!$A:$OK,MATCH(U$2,'Data_NSA'!$A:$A,0),MATCH($D158,'Data_NSA'!$1:$1,0))/INDEX('Data_NSA'!$A:$OK,MATCH(EDATE(U$2,-12),'Data_NSA'!$A:$A,0),MATCH($D158,'Data_NSA'!$1:$1,0))-1,"")</f>
        <v/>
      </c>
      <c r="Y158" s="10">
        <f>IFERROR(INDEX('Weights'!$G:$I,MATCH($A158,'Weights'!$A:$A,0),MATCH(U$2,'Weights'!$G$1:$I$1,0)),"")</f>
        <v/>
      </c>
      <c r="Z158" s="10">
        <f>IF($E158="","",IFERROR(100*(INDEX('Weights'!$D:$D,MATCH($A158,'Weights'!$A:$A,0))*(INDEX('Data_NSA'!$A:$OK,MATCH(EDATE(U$2,-1),'Data_NSA'!$A:$A,0),MATCH($D158,'Data_NSA'!$1:$1,0))/INDEX('Data_NSA'!$A:$OK,MATCH(INDEX('Weights'!$E:$E,MATCH($A158,'Weights'!$A:$A,0)),'Data_NSA'!$A:$A,0),MATCH($D158,'Data_NSA'!$1:$1,0))))/(100*(INDEX('Data_NSA'!$A:$OK,MATCH(EDATE(U$2,-1),'Data_NSA'!$A:$A,0),MATCH("CUUR0000SA0",'Data_NSA'!$1:$1,0))/INDEX('Data_NSA'!$A:$OK,MATCH(INDEX('Weights'!$E:$E,MATCH($A158,'Weights'!$A:$A,0)),'Data_NSA'!$A:$A,0),MATCH("CUUR0000SA0",'Data_NSA'!$1:$1,0))))*(INDEX('Data_SA'!$A:$LO,MATCH(U$2,'Data_SA'!$A:$A,0),MATCH($E158,'Data_SA'!$1:$1,0))/INDEX('Data_SA'!$A:$LO,MATCH(EDATE(U$2,-1),'Data_SA'!$A:$A,0),MATCH($E158,'Data_SA'!$1:$1,0))-1),""))</f>
        <v/>
      </c>
    </row>
    <row r="159">
      <c r="A159" s="3" t="inlineStr">
        <is>
          <t>SAH3</t>
        </is>
      </c>
      <c r="B159" s="3" t="inlineStr">
        <is>
          <t>Household furnishings and operations</t>
        </is>
      </c>
      <c r="C159" s="3" t="inlineStr">
        <is>
          <t>SAH</t>
        </is>
      </c>
      <c r="D159" s="3" t="inlineStr">
        <is>
          <t>CUUR0000SAH3</t>
        </is>
      </c>
      <c r="E159" s="3" t="inlineStr">
        <is>
          <t>CUSR0000SAH3</t>
        </is>
      </c>
      <c r="F159" s="3" t="inlineStr">
        <is>
          <t>GM</t>
        </is>
      </c>
      <c r="G159" s="3" t="inlineStr">
        <is>
          <t>bimonthly outside New York/Los Angeles/Chicago</t>
        </is>
      </c>
      <c r="H159" s="10">
        <f>IFERROR(INDEX(Weights!$D:$D,MATCH($A159,Weights!$A:$A,0)),"")</f>
        <v/>
      </c>
      <c r="I159" s="10">
        <f>IFERROR(INDEX('Data_NSA'!$A:$OK,MATCH(I$2,'Data_NSA'!$A:$A,0),MATCH($D159,'Data_NSA'!$1:$1,0)),"")</f>
        <v/>
      </c>
      <c r="J159" s="10">
        <f>IF($E159="","",IFERROR(INDEX('Data_SA'!$A:$LO,MATCH(I$2,'Data_SA'!$A:$A,0),MATCH($E159,'Data_SA'!$1:$1,0)),""))</f>
        <v/>
      </c>
      <c r="K159" s="7">
        <f>IF($E159="","",IFERROR(INDEX('Data_SA'!$A:$LO,MATCH(I$2,'Data_SA'!$A:$A,0),MATCH($E159,'Data_SA'!$1:$1,0))/INDEX('Data_SA'!$A:$LO,MATCH(EDATE(I$2,-1),'Data_SA'!$A:$A,0),MATCH($E159,'Data_SA'!$1:$1,0))-1,""))</f>
        <v/>
      </c>
      <c r="L159" s="7">
        <f>IFERROR(INDEX('Data_NSA'!$A:$OK,MATCH(I$2,'Data_NSA'!$A:$A,0),MATCH($D159,'Data_NSA'!$1:$1,0))/INDEX('Data_NSA'!$A:$OK,MATCH(EDATE(I$2,-12),'Data_NSA'!$A:$A,0),MATCH($D159,'Data_NSA'!$1:$1,0))-1,"")</f>
        <v/>
      </c>
      <c r="M159" s="10">
        <f>IFERROR(INDEX('Weights'!$G:$I,MATCH($A159,'Weights'!$A:$A,0),MATCH(I$2,'Weights'!$G$1:$I$1,0)),"")</f>
        <v/>
      </c>
      <c r="N159" s="10">
        <f>IF($E159="","",IFERROR(100*(INDEX('Weights'!$D:$D,MATCH($A159,'Weights'!$A:$A,0))*(INDEX('Data_NSA'!$A:$OK,MATCH(EDATE(I$2,-1),'Data_NSA'!$A:$A,0),MATCH($D159,'Data_NSA'!$1:$1,0))/INDEX('Data_NSA'!$A:$OK,MATCH(INDEX('Weights'!$E:$E,MATCH($A159,'Weights'!$A:$A,0)),'Data_NSA'!$A:$A,0),MATCH($D159,'Data_NSA'!$1:$1,0))))/(100*(INDEX('Data_NSA'!$A:$OK,MATCH(EDATE(I$2,-1),'Data_NSA'!$A:$A,0),MATCH("CUUR0000SA0",'Data_NSA'!$1:$1,0))/INDEX('Data_NSA'!$A:$OK,MATCH(INDEX('Weights'!$E:$E,MATCH($A159,'Weights'!$A:$A,0)),'Data_NSA'!$A:$A,0),MATCH("CUUR0000SA0",'Data_NSA'!$1:$1,0))))*(INDEX('Data_SA'!$A:$LO,MATCH(I$2,'Data_SA'!$A:$A,0),MATCH($E159,'Data_SA'!$1:$1,0))/INDEX('Data_SA'!$A:$LO,MATCH(EDATE(I$2,-1),'Data_SA'!$A:$A,0),MATCH($E159,'Data_SA'!$1:$1,0))-1),""))</f>
        <v/>
      </c>
      <c r="O159" s="10">
        <f>IFERROR(INDEX('Data_NSA'!$A:$OK,MATCH(O$2,'Data_NSA'!$A:$A,0),MATCH($D159,'Data_NSA'!$1:$1,0)),"")</f>
        <v/>
      </c>
      <c r="P159" s="10">
        <f>IF($E159="","",IFERROR(INDEX('Data_SA'!$A:$LO,MATCH(O$2,'Data_SA'!$A:$A,0),MATCH($E159,'Data_SA'!$1:$1,0)),""))</f>
        <v/>
      </c>
      <c r="Q159" s="7">
        <f>IF($E159="","",IFERROR(INDEX('Data_SA'!$A:$LO,MATCH(O$2,'Data_SA'!$A:$A,0),MATCH($E159,'Data_SA'!$1:$1,0))/INDEX('Data_SA'!$A:$LO,MATCH(EDATE(O$2,-1),'Data_SA'!$A:$A,0),MATCH($E159,'Data_SA'!$1:$1,0))-1,""))</f>
        <v/>
      </c>
      <c r="R159" s="7">
        <f>IFERROR(INDEX('Data_NSA'!$A:$OK,MATCH(O$2,'Data_NSA'!$A:$A,0),MATCH($D159,'Data_NSA'!$1:$1,0))/INDEX('Data_NSA'!$A:$OK,MATCH(EDATE(O$2,-12),'Data_NSA'!$A:$A,0),MATCH($D159,'Data_NSA'!$1:$1,0))-1,"")</f>
        <v/>
      </c>
      <c r="S159" s="10">
        <f>IFERROR(INDEX('Weights'!$G:$I,MATCH($A159,'Weights'!$A:$A,0),MATCH(O$2,'Weights'!$G$1:$I$1,0)),"")</f>
        <v/>
      </c>
      <c r="T159" s="10">
        <f>IF($E159="","",IFERROR(100*(INDEX('Weights'!$D:$D,MATCH($A159,'Weights'!$A:$A,0))*(INDEX('Data_NSA'!$A:$OK,MATCH(EDATE(O$2,-1),'Data_NSA'!$A:$A,0),MATCH($D159,'Data_NSA'!$1:$1,0))/INDEX('Data_NSA'!$A:$OK,MATCH(INDEX('Weights'!$E:$E,MATCH($A159,'Weights'!$A:$A,0)),'Data_NSA'!$A:$A,0),MATCH($D159,'Data_NSA'!$1:$1,0))))/(100*(INDEX('Data_NSA'!$A:$OK,MATCH(EDATE(O$2,-1),'Data_NSA'!$A:$A,0),MATCH("CUUR0000SA0",'Data_NSA'!$1:$1,0))/INDEX('Data_NSA'!$A:$OK,MATCH(INDEX('Weights'!$E:$E,MATCH($A159,'Weights'!$A:$A,0)),'Data_NSA'!$A:$A,0),MATCH("CUUR0000SA0",'Data_NSA'!$1:$1,0))))*(INDEX('Data_SA'!$A:$LO,MATCH(O$2,'Data_SA'!$A:$A,0),MATCH($E159,'Data_SA'!$1:$1,0))/INDEX('Data_SA'!$A:$LO,MATCH(EDATE(O$2,-1),'Data_SA'!$A:$A,0),MATCH($E159,'Data_SA'!$1:$1,0))-1),""))</f>
        <v/>
      </c>
      <c r="U159" s="10">
        <f>IFERROR(INDEX('Data_NSA'!$A:$OK,MATCH(U$2,'Data_NSA'!$A:$A,0),MATCH($D159,'Data_NSA'!$1:$1,0)),"")</f>
        <v/>
      </c>
      <c r="V159" s="10">
        <f>IF($E159="","",IFERROR(INDEX('Data_SA'!$A:$LO,MATCH(U$2,'Data_SA'!$A:$A,0),MATCH($E159,'Data_SA'!$1:$1,0)),""))</f>
        <v/>
      </c>
      <c r="W159" s="7">
        <f>IF($E159="","",IFERROR(INDEX('Data_SA'!$A:$LO,MATCH(U$2,'Data_SA'!$A:$A,0),MATCH($E159,'Data_SA'!$1:$1,0))/INDEX('Data_SA'!$A:$LO,MATCH(EDATE(U$2,-1),'Data_SA'!$A:$A,0),MATCH($E159,'Data_SA'!$1:$1,0))-1,""))</f>
        <v/>
      </c>
      <c r="X159" s="7">
        <f>IFERROR(INDEX('Data_NSA'!$A:$OK,MATCH(U$2,'Data_NSA'!$A:$A,0),MATCH($D159,'Data_NSA'!$1:$1,0))/INDEX('Data_NSA'!$A:$OK,MATCH(EDATE(U$2,-12),'Data_NSA'!$A:$A,0),MATCH($D159,'Data_NSA'!$1:$1,0))-1,"")</f>
        <v/>
      </c>
      <c r="Y159" s="10">
        <f>IFERROR(INDEX('Weights'!$G:$I,MATCH($A159,'Weights'!$A:$A,0),MATCH(U$2,'Weights'!$G$1:$I$1,0)),"")</f>
        <v/>
      </c>
      <c r="Z159" s="10">
        <f>IF($E159="","",IFERROR(100*(INDEX('Weights'!$D:$D,MATCH($A159,'Weights'!$A:$A,0))*(INDEX('Data_NSA'!$A:$OK,MATCH(EDATE(U$2,-1),'Data_NSA'!$A:$A,0),MATCH($D159,'Data_NSA'!$1:$1,0))/INDEX('Data_NSA'!$A:$OK,MATCH(INDEX('Weights'!$E:$E,MATCH($A159,'Weights'!$A:$A,0)),'Data_NSA'!$A:$A,0),MATCH($D159,'Data_NSA'!$1:$1,0))))/(100*(INDEX('Data_NSA'!$A:$OK,MATCH(EDATE(U$2,-1),'Data_NSA'!$A:$A,0),MATCH("CUUR0000SA0",'Data_NSA'!$1:$1,0))/INDEX('Data_NSA'!$A:$OK,MATCH(INDEX('Weights'!$E:$E,MATCH($A159,'Weights'!$A:$A,0)),'Data_NSA'!$A:$A,0),MATCH("CUUR0000SA0",'Data_NSA'!$1:$1,0))))*(INDEX('Data_SA'!$A:$LO,MATCH(U$2,'Data_SA'!$A:$A,0),MATCH($E159,'Data_SA'!$1:$1,0))/INDEX('Data_SA'!$A:$LO,MATCH(EDATE(U$2,-1),'Data_SA'!$A:$A,0),MATCH($E159,'Data_SA'!$1:$1,0))-1),""))</f>
        <v/>
      </c>
    </row>
    <row r="160">
      <c r="A160" s="3" t="inlineStr">
        <is>
          <t>SEHH</t>
        </is>
      </c>
      <c r="B160" s="3" t="inlineStr">
        <is>
          <t>Window and floor coverings and other linens</t>
        </is>
      </c>
      <c r="C160" s="3" t="inlineStr">
        <is>
          <t>SAH3</t>
        </is>
      </c>
      <c r="D160" s="3" t="inlineStr">
        <is>
          <t>CUUR0000SEHH</t>
        </is>
      </c>
      <c r="E160" s="3" t="inlineStr">
        <is>
          <t>CUSR0000SEHH</t>
        </is>
      </c>
      <c r="F160" s="3" t="inlineStr">
        <is>
          <t>aggregate</t>
        </is>
      </c>
      <c r="G160" s="3" t="inlineStr">
        <is>
          <t>aggregate</t>
        </is>
      </c>
      <c r="H160" s="10">
        <f>IFERROR(INDEX(Weights!$D:$D,MATCH($A160,Weights!$A:$A,0)),"")</f>
        <v/>
      </c>
      <c r="I160" s="10">
        <f>IFERROR(INDEX('Data_NSA'!$A:$OK,MATCH(I$2,'Data_NSA'!$A:$A,0),MATCH($D160,'Data_NSA'!$1:$1,0)),"")</f>
        <v/>
      </c>
      <c r="J160" s="10">
        <f>IF($E160="","",IFERROR(INDEX('Data_SA'!$A:$LO,MATCH(I$2,'Data_SA'!$A:$A,0),MATCH($E160,'Data_SA'!$1:$1,0)),""))</f>
        <v/>
      </c>
      <c r="K160" s="7">
        <f>IF($E160="","",IFERROR(INDEX('Data_SA'!$A:$LO,MATCH(I$2,'Data_SA'!$A:$A,0),MATCH($E160,'Data_SA'!$1:$1,0))/INDEX('Data_SA'!$A:$LO,MATCH(EDATE(I$2,-1),'Data_SA'!$A:$A,0),MATCH($E160,'Data_SA'!$1:$1,0))-1,""))</f>
        <v/>
      </c>
      <c r="L160" s="7">
        <f>IFERROR(INDEX('Data_NSA'!$A:$OK,MATCH(I$2,'Data_NSA'!$A:$A,0),MATCH($D160,'Data_NSA'!$1:$1,0))/INDEX('Data_NSA'!$A:$OK,MATCH(EDATE(I$2,-12),'Data_NSA'!$A:$A,0),MATCH($D160,'Data_NSA'!$1:$1,0))-1,"")</f>
        <v/>
      </c>
      <c r="M160" s="10">
        <f>IFERROR(INDEX('Weights'!$G:$I,MATCH($A160,'Weights'!$A:$A,0),MATCH(I$2,'Weights'!$G$1:$I$1,0)),"")</f>
        <v/>
      </c>
      <c r="N160" s="10">
        <f>IF($E160="","",IFERROR(100*(INDEX('Weights'!$D:$D,MATCH($A160,'Weights'!$A:$A,0))*(INDEX('Data_NSA'!$A:$OK,MATCH(EDATE(I$2,-1),'Data_NSA'!$A:$A,0),MATCH($D160,'Data_NSA'!$1:$1,0))/INDEX('Data_NSA'!$A:$OK,MATCH(INDEX('Weights'!$E:$E,MATCH($A160,'Weights'!$A:$A,0)),'Data_NSA'!$A:$A,0),MATCH($D160,'Data_NSA'!$1:$1,0))))/(100*(INDEX('Data_NSA'!$A:$OK,MATCH(EDATE(I$2,-1),'Data_NSA'!$A:$A,0),MATCH("CUUR0000SA0",'Data_NSA'!$1:$1,0))/INDEX('Data_NSA'!$A:$OK,MATCH(INDEX('Weights'!$E:$E,MATCH($A160,'Weights'!$A:$A,0)),'Data_NSA'!$A:$A,0),MATCH("CUUR0000SA0",'Data_NSA'!$1:$1,0))))*(INDEX('Data_SA'!$A:$LO,MATCH(I$2,'Data_SA'!$A:$A,0),MATCH($E160,'Data_SA'!$1:$1,0))/INDEX('Data_SA'!$A:$LO,MATCH(EDATE(I$2,-1),'Data_SA'!$A:$A,0),MATCH($E160,'Data_SA'!$1:$1,0))-1),""))</f>
        <v/>
      </c>
      <c r="O160" s="10">
        <f>IFERROR(INDEX('Data_NSA'!$A:$OK,MATCH(O$2,'Data_NSA'!$A:$A,0),MATCH($D160,'Data_NSA'!$1:$1,0)),"")</f>
        <v/>
      </c>
      <c r="P160" s="10">
        <f>IF($E160="","",IFERROR(INDEX('Data_SA'!$A:$LO,MATCH(O$2,'Data_SA'!$A:$A,0),MATCH($E160,'Data_SA'!$1:$1,0)),""))</f>
        <v/>
      </c>
      <c r="Q160" s="7">
        <f>IF($E160="","",IFERROR(INDEX('Data_SA'!$A:$LO,MATCH(O$2,'Data_SA'!$A:$A,0),MATCH($E160,'Data_SA'!$1:$1,0))/INDEX('Data_SA'!$A:$LO,MATCH(EDATE(O$2,-1),'Data_SA'!$A:$A,0),MATCH($E160,'Data_SA'!$1:$1,0))-1,""))</f>
        <v/>
      </c>
      <c r="R160" s="7">
        <f>IFERROR(INDEX('Data_NSA'!$A:$OK,MATCH(O$2,'Data_NSA'!$A:$A,0),MATCH($D160,'Data_NSA'!$1:$1,0))/INDEX('Data_NSA'!$A:$OK,MATCH(EDATE(O$2,-12),'Data_NSA'!$A:$A,0),MATCH($D160,'Data_NSA'!$1:$1,0))-1,"")</f>
        <v/>
      </c>
      <c r="S160" s="10">
        <f>IFERROR(INDEX('Weights'!$G:$I,MATCH($A160,'Weights'!$A:$A,0),MATCH(O$2,'Weights'!$G$1:$I$1,0)),"")</f>
        <v/>
      </c>
      <c r="T160" s="10">
        <f>IF($E160="","",IFERROR(100*(INDEX('Weights'!$D:$D,MATCH($A160,'Weights'!$A:$A,0))*(INDEX('Data_NSA'!$A:$OK,MATCH(EDATE(O$2,-1),'Data_NSA'!$A:$A,0),MATCH($D160,'Data_NSA'!$1:$1,0))/INDEX('Data_NSA'!$A:$OK,MATCH(INDEX('Weights'!$E:$E,MATCH($A160,'Weights'!$A:$A,0)),'Data_NSA'!$A:$A,0),MATCH($D160,'Data_NSA'!$1:$1,0))))/(100*(INDEX('Data_NSA'!$A:$OK,MATCH(EDATE(O$2,-1),'Data_NSA'!$A:$A,0),MATCH("CUUR0000SA0",'Data_NSA'!$1:$1,0))/INDEX('Data_NSA'!$A:$OK,MATCH(INDEX('Weights'!$E:$E,MATCH($A160,'Weights'!$A:$A,0)),'Data_NSA'!$A:$A,0),MATCH("CUUR0000SA0",'Data_NSA'!$1:$1,0))))*(INDEX('Data_SA'!$A:$LO,MATCH(O$2,'Data_SA'!$A:$A,0),MATCH($E160,'Data_SA'!$1:$1,0))/INDEX('Data_SA'!$A:$LO,MATCH(EDATE(O$2,-1),'Data_SA'!$A:$A,0),MATCH($E160,'Data_SA'!$1:$1,0))-1),""))</f>
        <v/>
      </c>
      <c r="U160" s="10">
        <f>IFERROR(INDEX('Data_NSA'!$A:$OK,MATCH(U$2,'Data_NSA'!$A:$A,0),MATCH($D160,'Data_NSA'!$1:$1,0)),"")</f>
        <v/>
      </c>
      <c r="V160" s="10">
        <f>IF($E160="","",IFERROR(INDEX('Data_SA'!$A:$LO,MATCH(U$2,'Data_SA'!$A:$A,0),MATCH($E160,'Data_SA'!$1:$1,0)),""))</f>
        <v/>
      </c>
      <c r="W160" s="7">
        <f>IF($E160="","",IFERROR(INDEX('Data_SA'!$A:$LO,MATCH(U$2,'Data_SA'!$A:$A,0),MATCH($E160,'Data_SA'!$1:$1,0))/INDEX('Data_SA'!$A:$LO,MATCH(EDATE(U$2,-1),'Data_SA'!$A:$A,0),MATCH($E160,'Data_SA'!$1:$1,0))-1,""))</f>
        <v/>
      </c>
      <c r="X160" s="7">
        <f>IFERROR(INDEX('Data_NSA'!$A:$OK,MATCH(U$2,'Data_NSA'!$A:$A,0),MATCH($D160,'Data_NSA'!$1:$1,0))/INDEX('Data_NSA'!$A:$OK,MATCH(EDATE(U$2,-12),'Data_NSA'!$A:$A,0),MATCH($D160,'Data_NSA'!$1:$1,0))-1,"")</f>
        <v/>
      </c>
      <c r="Y160" s="10">
        <f>IFERROR(INDEX('Weights'!$G:$I,MATCH($A160,'Weights'!$A:$A,0),MATCH(U$2,'Weights'!$G$1:$I$1,0)),"")</f>
        <v/>
      </c>
      <c r="Z160" s="10">
        <f>IF($E160="","",IFERROR(100*(INDEX('Weights'!$D:$D,MATCH($A160,'Weights'!$A:$A,0))*(INDEX('Data_NSA'!$A:$OK,MATCH(EDATE(U$2,-1),'Data_NSA'!$A:$A,0),MATCH($D160,'Data_NSA'!$1:$1,0))/INDEX('Data_NSA'!$A:$OK,MATCH(INDEX('Weights'!$E:$E,MATCH($A160,'Weights'!$A:$A,0)),'Data_NSA'!$A:$A,0),MATCH($D160,'Data_NSA'!$1:$1,0))))/(100*(INDEX('Data_NSA'!$A:$OK,MATCH(EDATE(U$2,-1),'Data_NSA'!$A:$A,0),MATCH("CUUR0000SA0",'Data_NSA'!$1:$1,0))/INDEX('Data_NSA'!$A:$OK,MATCH(INDEX('Weights'!$E:$E,MATCH($A160,'Weights'!$A:$A,0)),'Data_NSA'!$A:$A,0),MATCH("CUUR0000SA0",'Data_NSA'!$1:$1,0))))*(INDEX('Data_SA'!$A:$LO,MATCH(U$2,'Data_SA'!$A:$A,0),MATCH($E160,'Data_SA'!$1:$1,0))/INDEX('Data_SA'!$A:$LO,MATCH(EDATE(U$2,-1),'Data_SA'!$A:$A,0),MATCH($E160,'Data_SA'!$1:$1,0))-1),""))</f>
        <v/>
      </c>
    </row>
    <row r="161">
      <c r="A161" s="3" t="inlineStr">
        <is>
          <t>SEHH01</t>
        </is>
      </c>
      <c r="B161" s="3" t="inlineStr">
        <is>
          <t>Floor coverings</t>
        </is>
      </c>
      <c r="C161" s="3" t="inlineStr">
        <is>
          <t>SEHH</t>
        </is>
      </c>
      <c r="D161" s="3" t="inlineStr">
        <is>
          <t>CUUR0000SEHH01</t>
        </is>
      </c>
      <c r="E161" s="3" t="inlineStr"/>
      <c r="F161" s="3" t="inlineStr">
        <is>
          <t>GM</t>
        </is>
      </c>
      <c r="G161" s="3" t="inlineStr">
        <is>
          <t>monthly in New York/Los Angeles/Chicago; often bimonthly elsewhere</t>
        </is>
      </c>
      <c r="H161" s="10">
        <f>IFERROR(INDEX(Weights!$D:$D,MATCH($A161,Weights!$A:$A,0)),"")</f>
        <v/>
      </c>
      <c r="I161" s="10">
        <f>IFERROR(INDEX('Data_NSA'!$A:$OK,MATCH(I$2,'Data_NSA'!$A:$A,0),MATCH($D161,'Data_NSA'!$1:$1,0)),"")</f>
        <v/>
      </c>
      <c r="J161" s="10">
        <f>IF($E161="","",IFERROR(INDEX('Data_SA'!$A:$LO,MATCH(I$2,'Data_SA'!$A:$A,0),MATCH($E161,'Data_SA'!$1:$1,0)),""))</f>
        <v/>
      </c>
      <c r="K161" s="7">
        <f>IF($E161="","",IFERROR(INDEX('Data_SA'!$A:$LO,MATCH(I$2,'Data_SA'!$A:$A,0),MATCH($E161,'Data_SA'!$1:$1,0))/INDEX('Data_SA'!$A:$LO,MATCH(EDATE(I$2,-1),'Data_SA'!$A:$A,0),MATCH($E161,'Data_SA'!$1:$1,0))-1,""))</f>
        <v/>
      </c>
      <c r="L161" s="7">
        <f>IFERROR(INDEX('Data_NSA'!$A:$OK,MATCH(I$2,'Data_NSA'!$A:$A,0),MATCH($D161,'Data_NSA'!$1:$1,0))/INDEX('Data_NSA'!$A:$OK,MATCH(EDATE(I$2,-12),'Data_NSA'!$A:$A,0),MATCH($D161,'Data_NSA'!$1:$1,0))-1,"")</f>
        <v/>
      </c>
      <c r="M161" s="10">
        <f>IFERROR(INDEX('Weights'!$G:$I,MATCH($A161,'Weights'!$A:$A,0),MATCH(I$2,'Weights'!$G$1:$I$1,0)),"")</f>
        <v/>
      </c>
      <c r="N161" s="10">
        <f>IF($E161="","",IFERROR(100*(INDEX('Weights'!$D:$D,MATCH($A161,'Weights'!$A:$A,0))*(INDEX('Data_NSA'!$A:$OK,MATCH(EDATE(I$2,-1),'Data_NSA'!$A:$A,0),MATCH($D161,'Data_NSA'!$1:$1,0))/INDEX('Data_NSA'!$A:$OK,MATCH(INDEX('Weights'!$E:$E,MATCH($A161,'Weights'!$A:$A,0)),'Data_NSA'!$A:$A,0),MATCH($D161,'Data_NSA'!$1:$1,0))))/(100*(INDEX('Data_NSA'!$A:$OK,MATCH(EDATE(I$2,-1),'Data_NSA'!$A:$A,0),MATCH("CUUR0000SA0",'Data_NSA'!$1:$1,0))/INDEX('Data_NSA'!$A:$OK,MATCH(INDEX('Weights'!$E:$E,MATCH($A161,'Weights'!$A:$A,0)),'Data_NSA'!$A:$A,0),MATCH("CUUR0000SA0",'Data_NSA'!$1:$1,0))))*(INDEX('Data_SA'!$A:$LO,MATCH(I$2,'Data_SA'!$A:$A,0),MATCH($E161,'Data_SA'!$1:$1,0))/INDEX('Data_SA'!$A:$LO,MATCH(EDATE(I$2,-1),'Data_SA'!$A:$A,0),MATCH($E161,'Data_SA'!$1:$1,0))-1),""))</f>
        <v/>
      </c>
      <c r="O161" s="10">
        <f>IFERROR(INDEX('Data_NSA'!$A:$OK,MATCH(O$2,'Data_NSA'!$A:$A,0),MATCH($D161,'Data_NSA'!$1:$1,0)),"")</f>
        <v/>
      </c>
      <c r="P161" s="10">
        <f>IF($E161="","",IFERROR(INDEX('Data_SA'!$A:$LO,MATCH(O$2,'Data_SA'!$A:$A,0),MATCH($E161,'Data_SA'!$1:$1,0)),""))</f>
        <v/>
      </c>
      <c r="Q161" s="7">
        <f>IF($E161="","",IFERROR(INDEX('Data_SA'!$A:$LO,MATCH(O$2,'Data_SA'!$A:$A,0),MATCH($E161,'Data_SA'!$1:$1,0))/INDEX('Data_SA'!$A:$LO,MATCH(EDATE(O$2,-1),'Data_SA'!$A:$A,0),MATCH($E161,'Data_SA'!$1:$1,0))-1,""))</f>
        <v/>
      </c>
      <c r="R161" s="7">
        <f>IFERROR(INDEX('Data_NSA'!$A:$OK,MATCH(O$2,'Data_NSA'!$A:$A,0),MATCH($D161,'Data_NSA'!$1:$1,0))/INDEX('Data_NSA'!$A:$OK,MATCH(EDATE(O$2,-12),'Data_NSA'!$A:$A,0),MATCH($D161,'Data_NSA'!$1:$1,0))-1,"")</f>
        <v/>
      </c>
      <c r="S161" s="10">
        <f>IFERROR(INDEX('Weights'!$G:$I,MATCH($A161,'Weights'!$A:$A,0),MATCH(O$2,'Weights'!$G$1:$I$1,0)),"")</f>
        <v/>
      </c>
      <c r="T161" s="10">
        <f>IF($E161="","",IFERROR(100*(INDEX('Weights'!$D:$D,MATCH($A161,'Weights'!$A:$A,0))*(INDEX('Data_NSA'!$A:$OK,MATCH(EDATE(O$2,-1),'Data_NSA'!$A:$A,0),MATCH($D161,'Data_NSA'!$1:$1,0))/INDEX('Data_NSA'!$A:$OK,MATCH(INDEX('Weights'!$E:$E,MATCH($A161,'Weights'!$A:$A,0)),'Data_NSA'!$A:$A,0),MATCH($D161,'Data_NSA'!$1:$1,0))))/(100*(INDEX('Data_NSA'!$A:$OK,MATCH(EDATE(O$2,-1),'Data_NSA'!$A:$A,0),MATCH("CUUR0000SA0",'Data_NSA'!$1:$1,0))/INDEX('Data_NSA'!$A:$OK,MATCH(INDEX('Weights'!$E:$E,MATCH($A161,'Weights'!$A:$A,0)),'Data_NSA'!$A:$A,0),MATCH("CUUR0000SA0",'Data_NSA'!$1:$1,0))))*(INDEX('Data_SA'!$A:$LO,MATCH(O$2,'Data_SA'!$A:$A,0),MATCH($E161,'Data_SA'!$1:$1,0))/INDEX('Data_SA'!$A:$LO,MATCH(EDATE(O$2,-1),'Data_SA'!$A:$A,0),MATCH($E161,'Data_SA'!$1:$1,0))-1),""))</f>
        <v/>
      </c>
      <c r="U161" s="10">
        <f>IFERROR(INDEX('Data_NSA'!$A:$OK,MATCH(U$2,'Data_NSA'!$A:$A,0),MATCH($D161,'Data_NSA'!$1:$1,0)),"")</f>
        <v/>
      </c>
      <c r="V161" s="10">
        <f>IF($E161="","",IFERROR(INDEX('Data_SA'!$A:$LO,MATCH(U$2,'Data_SA'!$A:$A,0),MATCH($E161,'Data_SA'!$1:$1,0)),""))</f>
        <v/>
      </c>
      <c r="W161" s="7">
        <f>IF($E161="","",IFERROR(INDEX('Data_SA'!$A:$LO,MATCH(U$2,'Data_SA'!$A:$A,0),MATCH($E161,'Data_SA'!$1:$1,0))/INDEX('Data_SA'!$A:$LO,MATCH(EDATE(U$2,-1),'Data_SA'!$A:$A,0),MATCH($E161,'Data_SA'!$1:$1,0))-1,""))</f>
        <v/>
      </c>
      <c r="X161" s="7">
        <f>IFERROR(INDEX('Data_NSA'!$A:$OK,MATCH(U$2,'Data_NSA'!$A:$A,0),MATCH($D161,'Data_NSA'!$1:$1,0))/INDEX('Data_NSA'!$A:$OK,MATCH(EDATE(U$2,-12),'Data_NSA'!$A:$A,0),MATCH($D161,'Data_NSA'!$1:$1,0))-1,"")</f>
        <v/>
      </c>
      <c r="Y161" s="10">
        <f>IFERROR(INDEX('Weights'!$G:$I,MATCH($A161,'Weights'!$A:$A,0),MATCH(U$2,'Weights'!$G$1:$I$1,0)),"")</f>
        <v/>
      </c>
      <c r="Z161" s="10">
        <f>IF($E161="","",IFERROR(100*(INDEX('Weights'!$D:$D,MATCH($A161,'Weights'!$A:$A,0))*(INDEX('Data_NSA'!$A:$OK,MATCH(EDATE(U$2,-1),'Data_NSA'!$A:$A,0),MATCH($D161,'Data_NSA'!$1:$1,0))/INDEX('Data_NSA'!$A:$OK,MATCH(INDEX('Weights'!$E:$E,MATCH($A161,'Weights'!$A:$A,0)),'Data_NSA'!$A:$A,0),MATCH($D161,'Data_NSA'!$1:$1,0))))/(100*(INDEX('Data_NSA'!$A:$OK,MATCH(EDATE(U$2,-1),'Data_NSA'!$A:$A,0),MATCH("CUUR0000SA0",'Data_NSA'!$1:$1,0))/INDEX('Data_NSA'!$A:$OK,MATCH(INDEX('Weights'!$E:$E,MATCH($A161,'Weights'!$A:$A,0)),'Data_NSA'!$A:$A,0),MATCH("CUUR0000SA0",'Data_NSA'!$1:$1,0))))*(INDEX('Data_SA'!$A:$LO,MATCH(U$2,'Data_SA'!$A:$A,0),MATCH($E161,'Data_SA'!$1:$1,0))/INDEX('Data_SA'!$A:$LO,MATCH(EDATE(U$2,-1),'Data_SA'!$A:$A,0),MATCH($E161,'Data_SA'!$1:$1,0))-1),""))</f>
        <v/>
      </c>
    </row>
    <row r="162">
      <c r="A162" s="3" t="inlineStr">
        <is>
          <t>SEHH02</t>
        </is>
      </c>
      <c r="B162" s="3" t="inlineStr">
        <is>
          <t>Window coverings</t>
        </is>
      </c>
      <c r="C162" s="3" t="inlineStr">
        <is>
          <t>SEHH</t>
        </is>
      </c>
      <c r="D162" s="3" t="inlineStr">
        <is>
          <t>CUUR0000SEHH02</t>
        </is>
      </c>
      <c r="E162" s="3" t="inlineStr">
        <is>
          <t>CUSR0000SEHH02</t>
        </is>
      </c>
      <c r="F162" s="3" t="inlineStr">
        <is>
          <t>GM</t>
        </is>
      </c>
      <c r="G162" s="3" t="inlineStr">
        <is>
          <t>monthly in New York/Los Angeles/Chicago; often bimonthly elsewhere</t>
        </is>
      </c>
      <c r="H162" s="10">
        <f>IFERROR(INDEX(Weights!$D:$D,MATCH($A162,Weights!$A:$A,0)),"")</f>
        <v/>
      </c>
      <c r="I162" s="10">
        <f>IFERROR(INDEX('Data_NSA'!$A:$OK,MATCH(I$2,'Data_NSA'!$A:$A,0),MATCH($D162,'Data_NSA'!$1:$1,0)),"")</f>
        <v/>
      </c>
      <c r="J162" s="10">
        <f>IF($E162="","",IFERROR(INDEX('Data_SA'!$A:$LO,MATCH(I$2,'Data_SA'!$A:$A,0),MATCH($E162,'Data_SA'!$1:$1,0)),""))</f>
        <v/>
      </c>
      <c r="K162" s="7">
        <f>IF($E162="","",IFERROR(INDEX('Data_SA'!$A:$LO,MATCH(I$2,'Data_SA'!$A:$A,0),MATCH($E162,'Data_SA'!$1:$1,0))/INDEX('Data_SA'!$A:$LO,MATCH(EDATE(I$2,-1),'Data_SA'!$A:$A,0),MATCH($E162,'Data_SA'!$1:$1,0))-1,""))</f>
        <v/>
      </c>
      <c r="L162" s="7">
        <f>IFERROR(INDEX('Data_NSA'!$A:$OK,MATCH(I$2,'Data_NSA'!$A:$A,0),MATCH($D162,'Data_NSA'!$1:$1,0))/INDEX('Data_NSA'!$A:$OK,MATCH(EDATE(I$2,-12),'Data_NSA'!$A:$A,0),MATCH($D162,'Data_NSA'!$1:$1,0))-1,"")</f>
        <v/>
      </c>
      <c r="M162" s="10">
        <f>IFERROR(INDEX('Weights'!$G:$I,MATCH($A162,'Weights'!$A:$A,0),MATCH(I$2,'Weights'!$G$1:$I$1,0)),"")</f>
        <v/>
      </c>
      <c r="N162" s="10">
        <f>IF($E162="","",IFERROR(100*(INDEX('Weights'!$D:$D,MATCH($A162,'Weights'!$A:$A,0))*(INDEX('Data_NSA'!$A:$OK,MATCH(EDATE(I$2,-1),'Data_NSA'!$A:$A,0),MATCH($D162,'Data_NSA'!$1:$1,0))/INDEX('Data_NSA'!$A:$OK,MATCH(INDEX('Weights'!$E:$E,MATCH($A162,'Weights'!$A:$A,0)),'Data_NSA'!$A:$A,0),MATCH($D162,'Data_NSA'!$1:$1,0))))/(100*(INDEX('Data_NSA'!$A:$OK,MATCH(EDATE(I$2,-1),'Data_NSA'!$A:$A,0),MATCH("CUUR0000SA0",'Data_NSA'!$1:$1,0))/INDEX('Data_NSA'!$A:$OK,MATCH(INDEX('Weights'!$E:$E,MATCH($A162,'Weights'!$A:$A,0)),'Data_NSA'!$A:$A,0),MATCH("CUUR0000SA0",'Data_NSA'!$1:$1,0))))*(INDEX('Data_SA'!$A:$LO,MATCH(I$2,'Data_SA'!$A:$A,0),MATCH($E162,'Data_SA'!$1:$1,0))/INDEX('Data_SA'!$A:$LO,MATCH(EDATE(I$2,-1),'Data_SA'!$A:$A,0),MATCH($E162,'Data_SA'!$1:$1,0))-1),""))</f>
        <v/>
      </c>
      <c r="O162" s="10">
        <f>IFERROR(INDEX('Data_NSA'!$A:$OK,MATCH(O$2,'Data_NSA'!$A:$A,0),MATCH($D162,'Data_NSA'!$1:$1,0)),"")</f>
        <v/>
      </c>
      <c r="P162" s="10">
        <f>IF($E162="","",IFERROR(INDEX('Data_SA'!$A:$LO,MATCH(O$2,'Data_SA'!$A:$A,0),MATCH($E162,'Data_SA'!$1:$1,0)),""))</f>
        <v/>
      </c>
      <c r="Q162" s="7">
        <f>IF($E162="","",IFERROR(INDEX('Data_SA'!$A:$LO,MATCH(O$2,'Data_SA'!$A:$A,0),MATCH($E162,'Data_SA'!$1:$1,0))/INDEX('Data_SA'!$A:$LO,MATCH(EDATE(O$2,-1),'Data_SA'!$A:$A,0),MATCH($E162,'Data_SA'!$1:$1,0))-1,""))</f>
        <v/>
      </c>
      <c r="R162" s="7">
        <f>IFERROR(INDEX('Data_NSA'!$A:$OK,MATCH(O$2,'Data_NSA'!$A:$A,0),MATCH($D162,'Data_NSA'!$1:$1,0))/INDEX('Data_NSA'!$A:$OK,MATCH(EDATE(O$2,-12),'Data_NSA'!$A:$A,0),MATCH($D162,'Data_NSA'!$1:$1,0))-1,"")</f>
        <v/>
      </c>
      <c r="S162" s="10">
        <f>IFERROR(INDEX('Weights'!$G:$I,MATCH($A162,'Weights'!$A:$A,0),MATCH(O$2,'Weights'!$G$1:$I$1,0)),"")</f>
        <v/>
      </c>
      <c r="T162" s="10">
        <f>IF($E162="","",IFERROR(100*(INDEX('Weights'!$D:$D,MATCH($A162,'Weights'!$A:$A,0))*(INDEX('Data_NSA'!$A:$OK,MATCH(EDATE(O$2,-1),'Data_NSA'!$A:$A,0),MATCH($D162,'Data_NSA'!$1:$1,0))/INDEX('Data_NSA'!$A:$OK,MATCH(INDEX('Weights'!$E:$E,MATCH($A162,'Weights'!$A:$A,0)),'Data_NSA'!$A:$A,0),MATCH($D162,'Data_NSA'!$1:$1,0))))/(100*(INDEX('Data_NSA'!$A:$OK,MATCH(EDATE(O$2,-1),'Data_NSA'!$A:$A,0),MATCH("CUUR0000SA0",'Data_NSA'!$1:$1,0))/INDEX('Data_NSA'!$A:$OK,MATCH(INDEX('Weights'!$E:$E,MATCH($A162,'Weights'!$A:$A,0)),'Data_NSA'!$A:$A,0),MATCH("CUUR0000SA0",'Data_NSA'!$1:$1,0))))*(INDEX('Data_SA'!$A:$LO,MATCH(O$2,'Data_SA'!$A:$A,0),MATCH($E162,'Data_SA'!$1:$1,0))/INDEX('Data_SA'!$A:$LO,MATCH(EDATE(O$2,-1),'Data_SA'!$A:$A,0),MATCH($E162,'Data_SA'!$1:$1,0))-1),""))</f>
        <v/>
      </c>
      <c r="U162" s="10">
        <f>IFERROR(INDEX('Data_NSA'!$A:$OK,MATCH(U$2,'Data_NSA'!$A:$A,0),MATCH($D162,'Data_NSA'!$1:$1,0)),"")</f>
        <v/>
      </c>
      <c r="V162" s="10">
        <f>IF($E162="","",IFERROR(INDEX('Data_SA'!$A:$LO,MATCH(U$2,'Data_SA'!$A:$A,0),MATCH($E162,'Data_SA'!$1:$1,0)),""))</f>
        <v/>
      </c>
      <c r="W162" s="7">
        <f>IF($E162="","",IFERROR(INDEX('Data_SA'!$A:$LO,MATCH(U$2,'Data_SA'!$A:$A,0),MATCH($E162,'Data_SA'!$1:$1,0))/INDEX('Data_SA'!$A:$LO,MATCH(EDATE(U$2,-1),'Data_SA'!$A:$A,0),MATCH($E162,'Data_SA'!$1:$1,0))-1,""))</f>
        <v/>
      </c>
      <c r="X162" s="7">
        <f>IFERROR(INDEX('Data_NSA'!$A:$OK,MATCH(U$2,'Data_NSA'!$A:$A,0),MATCH($D162,'Data_NSA'!$1:$1,0))/INDEX('Data_NSA'!$A:$OK,MATCH(EDATE(U$2,-12),'Data_NSA'!$A:$A,0),MATCH($D162,'Data_NSA'!$1:$1,0))-1,"")</f>
        <v/>
      </c>
      <c r="Y162" s="10">
        <f>IFERROR(INDEX('Weights'!$G:$I,MATCH($A162,'Weights'!$A:$A,0),MATCH(U$2,'Weights'!$G$1:$I$1,0)),"")</f>
        <v/>
      </c>
      <c r="Z162" s="10">
        <f>IF($E162="","",IFERROR(100*(INDEX('Weights'!$D:$D,MATCH($A162,'Weights'!$A:$A,0))*(INDEX('Data_NSA'!$A:$OK,MATCH(EDATE(U$2,-1),'Data_NSA'!$A:$A,0),MATCH($D162,'Data_NSA'!$1:$1,0))/INDEX('Data_NSA'!$A:$OK,MATCH(INDEX('Weights'!$E:$E,MATCH($A162,'Weights'!$A:$A,0)),'Data_NSA'!$A:$A,0),MATCH($D162,'Data_NSA'!$1:$1,0))))/(100*(INDEX('Data_NSA'!$A:$OK,MATCH(EDATE(U$2,-1),'Data_NSA'!$A:$A,0),MATCH("CUUR0000SA0",'Data_NSA'!$1:$1,0))/INDEX('Data_NSA'!$A:$OK,MATCH(INDEX('Weights'!$E:$E,MATCH($A162,'Weights'!$A:$A,0)),'Data_NSA'!$A:$A,0),MATCH("CUUR0000SA0",'Data_NSA'!$1:$1,0))))*(INDEX('Data_SA'!$A:$LO,MATCH(U$2,'Data_SA'!$A:$A,0),MATCH($E162,'Data_SA'!$1:$1,0))/INDEX('Data_SA'!$A:$LO,MATCH(EDATE(U$2,-1),'Data_SA'!$A:$A,0),MATCH($E162,'Data_SA'!$1:$1,0))-1),""))</f>
        <v/>
      </c>
    </row>
    <row r="163">
      <c r="A163" s="3" t="inlineStr">
        <is>
          <t>SEHH03</t>
        </is>
      </c>
      <c r="B163" s="3" t="inlineStr">
        <is>
          <t>Other linens</t>
        </is>
      </c>
      <c r="C163" s="3" t="inlineStr">
        <is>
          <t>SEHH</t>
        </is>
      </c>
      <c r="D163" s="3" t="inlineStr">
        <is>
          <t>CUUR0000SEHH03</t>
        </is>
      </c>
      <c r="E163" s="3" t="inlineStr">
        <is>
          <t>CUSR0000SEHH03</t>
        </is>
      </c>
      <c r="F163" s="3" t="inlineStr">
        <is>
          <t>GM</t>
        </is>
      </c>
      <c r="G163" s="3" t="inlineStr">
        <is>
          <t>monthly in New York/Los Angeles/Chicago; often bimonthly elsewhere</t>
        </is>
      </c>
      <c r="H163" s="10">
        <f>IFERROR(INDEX(Weights!$D:$D,MATCH($A163,Weights!$A:$A,0)),"")</f>
        <v/>
      </c>
      <c r="I163" s="10">
        <f>IFERROR(INDEX('Data_NSA'!$A:$OK,MATCH(I$2,'Data_NSA'!$A:$A,0),MATCH($D163,'Data_NSA'!$1:$1,0)),"")</f>
        <v/>
      </c>
      <c r="J163" s="10">
        <f>IF($E163="","",IFERROR(INDEX('Data_SA'!$A:$LO,MATCH(I$2,'Data_SA'!$A:$A,0),MATCH($E163,'Data_SA'!$1:$1,0)),""))</f>
        <v/>
      </c>
      <c r="K163" s="7">
        <f>IF($E163="","",IFERROR(INDEX('Data_SA'!$A:$LO,MATCH(I$2,'Data_SA'!$A:$A,0),MATCH($E163,'Data_SA'!$1:$1,0))/INDEX('Data_SA'!$A:$LO,MATCH(EDATE(I$2,-1),'Data_SA'!$A:$A,0),MATCH($E163,'Data_SA'!$1:$1,0))-1,""))</f>
        <v/>
      </c>
      <c r="L163" s="7">
        <f>IFERROR(INDEX('Data_NSA'!$A:$OK,MATCH(I$2,'Data_NSA'!$A:$A,0),MATCH($D163,'Data_NSA'!$1:$1,0))/INDEX('Data_NSA'!$A:$OK,MATCH(EDATE(I$2,-12),'Data_NSA'!$A:$A,0),MATCH($D163,'Data_NSA'!$1:$1,0))-1,"")</f>
        <v/>
      </c>
      <c r="M163" s="10">
        <f>IFERROR(INDEX('Weights'!$G:$I,MATCH($A163,'Weights'!$A:$A,0),MATCH(I$2,'Weights'!$G$1:$I$1,0)),"")</f>
        <v/>
      </c>
      <c r="N163" s="10">
        <f>IF($E163="","",IFERROR(100*(INDEX('Weights'!$D:$D,MATCH($A163,'Weights'!$A:$A,0))*(INDEX('Data_NSA'!$A:$OK,MATCH(EDATE(I$2,-1),'Data_NSA'!$A:$A,0),MATCH($D163,'Data_NSA'!$1:$1,0))/INDEX('Data_NSA'!$A:$OK,MATCH(INDEX('Weights'!$E:$E,MATCH($A163,'Weights'!$A:$A,0)),'Data_NSA'!$A:$A,0),MATCH($D163,'Data_NSA'!$1:$1,0))))/(100*(INDEX('Data_NSA'!$A:$OK,MATCH(EDATE(I$2,-1),'Data_NSA'!$A:$A,0),MATCH("CUUR0000SA0",'Data_NSA'!$1:$1,0))/INDEX('Data_NSA'!$A:$OK,MATCH(INDEX('Weights'!$E:$E,MATCH($A163,'Weights'!$A:$A,0)),'Data_NSA'!$A:$A,0),MATCH("CUUR0000SA0",'Data_NSA'!$1:$1,0))))*(INDEX('Data_SA'!$A:$LO,MATCH(I$2,'Data_SA'!$A:$A,0),MATCH($E163,'Data_SA'!$1:$1,0))/INDEX('Data_SA'!$A:$LO,MATCH(EDATE(I$2,-1),'Data_SA'!$A:$A,0),MATCH($E163,'Data_SA'!$1:$1,0))-1),""))</f>
        <v/>
      </c>
      <c r="O163" s="10">
        <f>IFERROR(INDEX('Data_NSA'!$A:$OK,MATCH(O$2,'Data_NSA'!$A:$A,0),MATCH($D163,'Data_NSA'!$1:$1,0)),"")</f>
        <v/>
      </c>
      <c r="P163" s="10">
        <f>IF($E163="","",IFERROR(INDEX('Data_SA'!$A:$LO,MATCH(O$2,'Data_SA'!$A:$A,0),MATCH($E163,'Data_SA'!$1:$1,0)),""))</f>
        <v/>
      </c>
      <c r="Q163" s="7">
        <f>IF($E163="","",IFERROR(INDEX('Data_SA'!$A:$LO,MATCH(O$2,'Data_SA'!$A:$A,0),MATCH($E163,'Data_SA'!$1:$1,0))/INDEX('Data_SA'!$A:$LO,MATCH(EDATE(O$2,-1),'Data_SA'!$A:$A,0),MATCH($E163,'Data_SA'!$1:$1,0))-1,""))</f>
        <v/>
      </c>
      <c r="R163" s="7">
        <f>IFERROR(INDEX('Data_NSA'!$A:$OK,MATCH(O$2,'Data_NSA'!$A:$A,0),MATCH($D163,'Data_NSA'!$1:$1,0))/INDEX('Data_NSA'!$A:$OK,MATCH(EDATE(O$2,-12),'Data_NSA'!$A:$A,0),MATCH($D163,'Data_NSA'!$1:$1,0))-1,"")</f>
        <v/>
      </c>
      <c r="S163" s="10">
        <f>IFERROR(INDEX('Weights'!$G:$I,MATCH($A163,'Weights'!$A:$A,0),MATCH(O$2,'Weights'!$G$1:$I$1,0)),"")</f>
        <v/>
      </c>
      <c r="T163" s="10">
        <f>IF($E163="","",IFERROR(100*(INDEX('Weights'!$D:$D,MATCH($A163,'Weights'!$A:$A,0))*(INDEX('Data_NSA'!$A:$OK,MATCH(EDATE(O$2,-1),'Data_NSA'!$A:$A,0),MATCH($D163,'Data_NSA'!$1:$1,0))/INDEX('Data_NSA'!$A:$OK,MATCH(INDEX('Weights'!$E:$E,MATCH($A163,'Weights'!$A:$A,0)),'Data_NSA'!$A:$A,0),MATCH($D163,'Data_NSA'!$1:$1,0))))/(100*(INDEX('Data_NSA'!$A:$OK,MATCH(EDATE(O$2,-1),'Data_NSA'!$A:$A,0),MATCH("CUUR0000SA0",'Data_NSA'!$1:$1,0))/INDEX('Data_NSA'!$A:$OK,MATCH(INDEX('Weights'!$E:$E,MATCH($A163,'Weights'!$A:$A,0)),'Data_NSA'!$A:$A,0),MATCH("CUUR0000SA0",'Data_NSA'!$1:$1,0))))*(INDEX('Data_SA'!$A:$LO,MATCH(O$2,'Data_SA'!$A:$A,0),MATCH($E163,'Data_SA'!$1:$1,0))/INDEX('Data_SA'!$A:$LO,MATCH(EDATE(O$2,-1),'Data_SA'!$A:$A,0),MATCH($E163,'Data_SA'!$1:$1,0))-1),""))</f>
        <v/>
      </c>
      <c r="U163" s="10">
        <f>IFERROR(INDEX('Data_NSA'!$A:$OK,MATCH(U$2,'Data_NSA'!$A:$A,0),MATCH($D163,'Data_NSA'!$1:$1,0)),"")</f>
        <v/>
      </c>
      <c r="V163" s="10">
        <f>IF($E163="","",IFERROR(INDEX('Data_SA'!$A:$LO,MATCH(U$2,'Data_SA'!$A:$A,0),MATCH($E163,'Data_SA'!$1:$1,0)),""))</f>
        <v/>
      </c>
      <c r="W163" s="7">
        <f>IF($E163="","",IFERROR(INDEX('Data_SA'!$A:$LO,MATCH(U$2,'Data_SA'!$A:$A,0),MATCH($E163,'Data_SA'!$1:$1,0))/INDEX('Data_SA'!$A:$LO,MATCH(EDATE(U$2,-1),'Data_SA'!$A:$A,0),MATCH($E163,'Data_SA'!$1:$1,0))-1,""))</f>
        <v/>
      </c>
      <c r="X163" s="7">
        <f>IFERROR(INDEX('Data_NSA'!$A:$OK,MATCH(U$2,'Data_NSA'!$A:$A,0),MATCH($D163,'Data_NSA'!$1:$1,0))/INDEX('Data_NSA'!$A:$OK,MATCH(EDATE(U$2,-12),'Data_NSA'!$A:$A,0),MATCH($D163,'Data_NSA'!$1:$1,0))-1,"")</f>
        <v/>
      </c>
      <c r="Y163" s="10">
        <f>IFERROR(INDEX('Weights'!$G:$I,MATCH($A163,'Weights'!$A:$A,0),MATCH(U$2,'Weights'!$G$1:$I$1,0)),"")</f>
        <v/>
      </c>
      <c r="Z163" s="10">
        <f>IF($E163="","",IFERROR(100*(INDEX('Weights'!$D:$D,MATCH($A163,'Weights'!$A:$A,0))*(INDEX('Data_NSA'!$A:$OK,MATCH(EDATE(U$2,-1),'Data_NSA'!$A:$A,0),MATCH($D163,'Data_NSA'!$1:$1,0))/INDEX('Data_NSA'!$A:$OK,MATCH(INDEX('Weights'!$E:$E,MATCH($A163,'Weights'!$A:$A,0)),'Data_NSA'!$A:$A,0),MATCH($D163,'Data_NSA'!$1:$1,0))))/(100*(INDEX('Data_NSA'!$A:$OK,MATCH(EDATE(U$2,-1),'Data_NSA'!$A:$A,0),MATCH("CUUR0000SA0",'Data_NSA'!$1:$1,0))/INDEX('Data_NSA'!$A:$OK,MATCH(INDEX('Weights'!$E:$E,MATCH($A163,'Weights'!$A:$A,0)),'Data_NSA'!$A:$A,0),MATCH("CUUR0000SA0",'Data_NSA'!$1:$1,0))))*(INDEX('Data_SA'!$A:$LO,MATCH(U$2,'Data_SA'!$A:$A,0),MATCH($E163,'Data_SA'!$1:$1,0))/INDEX('Data_SA'!$A:$LO,MATCH(EDATE(U$2,-1),'Data_SA'!$A:$A,0),MATCH($E163,'Data_SA'!$1:$1,0))-1),""))</f>
        <v/>
      </c>
    </row>
    <row r="164">
      <c r="A164" s="3" t="inlineStr">
        <is>
          <t>SEHJ</t>
        </is>
      </c>
      <c r="B164" s="3" t="inlineStr">
        <is>
          <t>Furniture and bedding</t>
        </is>
      </c>
      <c r="C164" s="3" t="inlineStr">
        <is>
          <t>SAH3</t>
        </is>
      </c>
      <c r="D164" s="3" t="inlineStr">
        <is>
          <t>CUUR0000SEHJ</t>
        </is>
      </c>
      <c r="E164" s="3" t="inlineStr">
        <is>
          <t>CUSR0000SEHJ</t>
        </is>
      </c>
      <c r="F164" s="3" t="inlineStr">
        <is>
          <t>aggregate</t>
        </is>
      </c>
      <c r="G164" s="3" t="inlineStr">
        <is>
          <t>aggregate</t>
        </is>
      </c>
      <c r="H164" s="10">
        <f>IFERROR(INDEX(Weights!$D:$D,MATCH($A164,Weights!$A:$A,0)),"")</f>
        <v/>
      </c>
      <c r="I164" s="10">
        <f>IFERROR(INDEX('Data_NSA'!$A:$OK,MATCH(I$2,'Data_NSA'!$A:$A,0),MATCH($D164,'Data_NSA'!$1:$1,0)),"")</f>
        <v/>
      </c>
      <c r="J164" s="10">
        <f>IF($E164="","",IFERROR(INDEX('Data_SA'!$A:$LO,MATCH(I$2,'Data_SA'!$A:$A,0),MATCH($E164,'Data_SA'!$1:$1,0)),""))</f>
        <v/>
      </c>
      <c r="K164" s="7">
        <f>IF($E164="","",IFERROR(INDEX('Data_SA'!$A:$LO,MATCH(I$2,'Data_SA'!$A:$A,0),MATCH($E164,'Data_SA'!$1:$1,0))/INDEX('Data_SA'!$A:$LO,MATCH(EDATE(I$2,-1),'Data_SA'!$A:$A,0),MATCH($E164,'Data_SA'!$1:$1,0))-1,""))</f>
        <v/>
      </c>
      <c r="L164" s="7">
        <f>IFERROR(INDEX('Data_NSA'!$A:$OK,MATCH(I$2,'Data_NSA'!$A:$A,0),MATCH($D164,'Data_NSA'!$1:$1,0))/INDEX('Data_NSA'!$A:$OK,MATCH(EDATE(I$2,-12),'Data_NSA'!$A:$A,0),MATCH($D164,'Data_NSA'!$1:$1,0))-1,"")</f>
        <v/>
      </c>
      <c r="M164" s="10">
        <f>IFERROR(INDEX('Weights'!$G:$I,MATCH($A164,'Weights'!$A:$A,0),MATCH(I$2,'Weights'!$G$1:$I$1,0)),"")</f>
        <v/>
      </c>
      <c r="N164" s="10">
        <f>IF($E164="","",IFERROR(100*(INDEX('Weights'!$D:$D,MATCH($A164,'Weights'!$A:$A,0))*(INDEX('Data_NSA'!$A:$OK,MATCH(EDATE(I$2,-1),'Data_NSA'!$A:$A,0),MATCH($D164,'Data_NSA'!$1:$1,0))/INDEX('Data_NSA'!$A:$OK,MATCH(INDEX('Weights'!$E:$E,MATCH($A164,'Weights'!$A:$A,0)),'Data_NSA'!$A:$A,0),MATCH($D164,'Data_NSA'!$1:$1,0))))/(100*(INDEX('Data_NSA'!$A:$OK,MATCH(EDATE(I$2,-1),'Data_NSA'!$A:$A,0),MATCH("CUUR0000SA0",'Data_NSA'!$1:$1,0))/INDEX('Data_NSA'!$A:$OK,MATCH(INDEX('Weights'!$E:$E,MATCH($A164,'Weights'!$A:$A,0)),'Data_NSA'!$A:$A,0),MATCH("CUUR0000SA0",'Data_NSA'!$1:$1,0))))*(INDEX('Data_SA'!$A:$LO,MATCH(I$2,'Data_SA'!$A:$A,0),MATCH($E164,'Data_SA'!$1:$1,0))/INDEX('Data_SA'!$A:$LO,MATCH(EDATE(I$2,-1),'Data_SA'!$A:$A,0),MATCH($E164,'Data_SA'!$1:$1,0))-1),""))</f>
        <v/>
      </c>
      <c r="O164" s="10">
        <f>IFERROR(INDEX('Data_NSA'!$A:$OK,MATCH(O$2,'Data_NSA'!$A:$A,0),MATCH($D164,'Data_NSA'!$1:$1,0)),"")</f>
        <v/>
      </c>
      <c r="P164" s="10">
        <f>IF($E164="","",IFERROR(INDEX('Data_SA'!$A:$LO,MATCH(O$2,'Data_SA'!$A:$A,0),MATCH($E164,'Data_SA'!$1:$1,0)),""))</f>
        <v/>
      </c>
      <c r="Q164" s="7">
        <f>IF($E164="","",IFERROR(INDEX('Data_SA'!$A:$LO,MATCH(O$2,'Data_SA'!$A:$A,0),MATCH($E164,'Data_SA'!$1:$1,0))/INDEX('Data_SA'!$A:$LO,MATCH(EDATE(O$2,-1),'Data_SA'!$A:$A,0),MATCH($E164,'Data_SA'!$1:$1,0))-1,""))</f>
        <v/>
      </c>
      <c r="R164" s="7">
        <f>IFERROR(INDEX('Data_NSA'!$A:$OK,MATCH(O$2,'Data_NSA'!$A:$A,0),MATCH($D164,'Data_NSA'!$1:$1,0))/INDEX('Data_NSA'!$A:$OK,MATCH(EDATE(O$2,-12),'Data_NSA'!$A:$A,0),MATCH($D164,'Data_NSA'!$1:$1,0))-1,"")</f>
        <v/>
      </c>
      <c r="S164" s="10">
        <f>IFERROR(INDEX('Weights'!$G:$I,MATCH($A164,'Weights'!$A:$A,0),MATCH(O$2,'Weights'!$G$1:$I$1,0)),"")</f>
        <v/>
      </c>
      <c r="T164" s="10">
        <f>IF($E164="","",IFERROR(100*(INDEX('Weights'!$D:$D,MATCH($A164,'Weights'!$A:$A,0))*(INDEX('Data_NSA'!$A:$OK,MATCH(EDATE(O$2,-1),'Data_NSA'!$A:$A,0),MATCH($D164,'Data_NSA'!$1:$1,0))/INDEX('Data_NSA'!$A:$OK,MATCH(INDEX('Weights'!$E:$E,MATCH($A164,'Weights'!$A:$A,0)),'Data_NSA'!$A:$A,0),MATCH($D164,'Data_NSA'!$1:$1,0))))/(100*(INDEX('Data_NSA'!$A:$OK,MATCH(EDATE(O$2,-1),'Data_NSA'!$A:$A,0),MATCH("CUUR0000SA0",'Data_NSA'!$1:$1,0))/INDEX('Data_NSA'!$A:$OK,MATCH(INDEX('Weights'!$E:$E,MATCH($A164,'Weights'!$A:$A,0)),'Data_NSA'!$A:$A,0),MATCH("CUUR0000SA0",'Data_NSA'!$1:$1,0))))*(INDEX('Data_SA'!$A:$LO,MATCH(O$2,'Data_SA'!$A:$A,0),MATCH($E164,'Data_SA'!$1:$1,0))/INDEX('Data_SA'!$A:$LO,MATCH(EDATE(O$2,-1),'Data_SA'!$A:$A,0),MATCH($E164,'Data_SA'!$1:$1,0))-1),""))</f>
        <v/>
      </c>
      <c r="U164" s="10">
        <f>IFERROR(INDEX('Data_NSA'!$A:$OK,MATCH(U$2,'Data_NSA'!$A:$A,0),MATCH($D164,'Data_NSA'!$1:$1,0)),"")</f>
        <v/>
      </c>
      <c r="V164" s="10">
        <f>IF($E164="","",IFERROR(INDEX('Data_SA'!$A:$LO,MATCH(U$2,'Data_SA'!$A:$A,0),MATCH($E164,'Data_SA'!$1:$1,0)),""))</f>
        <v/>
      </c>
      <c r="W164" s="7">
        <f>IF($E164="","",IFERROR(INDEX('Data_SA'!$A:$LO,MATCH(U$2,'Data_SA'!$A:$A,0),MATCH($E164,'Data_SA'!$1:$1,0))/INDEX('Data_SA'!$A:$LO,MATCH(EDATE(U$2,-1),'Data_SA'!$A:$A,0),MATCH($E164,'Data_SA'!$1:$1,0))-1,""))</f>
        <v/>
      </c>
      <c r="X164" s="7">
        <f>IFERROR(INDEX('Data_NSA'!$A:$OK,MATCH(U$2,'Data_NSA'!$A:$A,0),MATCH($D164,'Data_NSA'!$1:$1,0))/INDEX('Data_NSA'!$A:$OK,MATCH(EDATE(U$2,-12),'Data_NSA'!$A:$A,0),MATCH($D164,'Data_NSA'!$1:$1,0))-1,"")</f>
        <v/>
      </c>
      <c r="Y164" s="10">
        <f>IFERROR(INDEX('Weights'!$G:$I,MATCH($A164,'Weights'!$A:$A,0),MATCH(U$2,'Weights'!$G$1:$I$1,0)),"")</f>
        <v/>
      </c>
      <c r="Z164" s="10">
        <f>IF($E164="","",IFERROR(100*(INDEX('Weights'!$D:$D,MATCH($A164,'Weights'!$A:$A,0))*(INDEX('Data_NSA'!$A:$OK,MATCH(EDATE(U$2,-1),'Data_NSA'!$A:$A,0),MATCH($D164,'Data_NSA'!$1:$1,0))/INDEX('Data_NSA'!$A:$OK,MATCH(INDEX('Weights'!$E:$E,MATCH($A164,'Weights'!$A:$A,0)),'Data_NSA'!$A:$A,0),MATCH($D164,'Data_NSA'!$1:$1,0))))/(100*(INDEX('Data_NSA'!$A:$OK,MATCH(EDATE(U$2,-1),'Data_NSA'!$A:$A,0),MATCH("CUUR0000SA0",'Data_NSA'!$1:$1,0))/INDEX('Data_NSA'!$A:$OK,MATCH(INDEX('Weights'!$E:$E,MATCH($A164,'Weights'!$A:$A,0)),'Data_NSA'!$A:$A,0),MATCH("CUUR0000SA0",'Data_NSA'!$1:$1,0))))*(INDEX('Data_SA'!$A:$LO,MATCH(U$2,'Data_SA'!$A:$A,0),MATCH($E164,'Data_SA'!$1:$1,0))/INDEX('Data_SA'!$A:$LO,MATCH(EDATE(U$2,-1),'Data_SA'!$A:$A,0),MATCH($E164,'Data_SA'!$1:$1,0))-1),""))</f>
        <v/>
      </c>
    </row>
    <row r="165">
      <c r="A165" s="3" t="inlineStr">
        <is>
          <t>SEHJ01</t>
        </is>
      </c>
      <c r="B165" s="3" t="inlineStr">
        <is>
          <t>Bedroom furniture</t>
        </is>
      </c>
      <c r="C165" s="3" t="inlineStr">
        <is>
          <t>SEHJ</t>
        </is>
      </c>
      <c r="D165" s="3" t="inlineStr">
        <is>
          <t>CUUR0000SEHJ01</t>
        </is>
      </c>
      <c r="E165" s="3" t="inlineStr"/>
      <c r="F165" s="3" t="inlineStr">
        <is>
          <t>GM</t>
        </is>
      </c>
      <c r="G165" s="3" t="inlineStr">
        <is>
          <t>monthly in New York/Los Angeles/Chicago; often bimonthly elsewhere</t>
        </is>
      </c>
      <c r="H165" s="10">
        <f>IFERROR(INDEX(Weights!$D:$D,MATCH($A165,Weights!$A:$A,0)),"")</f>
        <v/>
      </c>
      <c r="I165" s="10">
        <f>IFERROR(INDEX('Data_NSA'!$A:$OK,MATCH(I$2,'Data_NSA'!$A:$A,0),MATCH($D165,'Data_NSA'!$1:$1,0)),"")</f>
        <v/>
      </c>
      <c r="J165" s="10">
        <f>IF($E165="","",IFERROR(INDEX('Data_SA'!$A:$LO,MATCH(I$2,'Data_SA'!$A:$A,0),MATCH($E165,'Data_SA'!$1:$1,0)),""))</f>
        <v/>
      </c>
      <c r="K165" s="7">
        <f>IF($E165="","",IFERROR(INDEX('Data_SA'!$A:$LO,MATCH(I$2,'Data_SA'!$A:$A,0),MATCH($E165,'Data_SA'!$1:$1,0))/INDEX('Data_SA'!$A:$LO,MATCH(EDATE(I$2,-1),'Data_SA'!$A:$A,0),MATCH($E165,'Data_SA'!$1:$1,0))-1,""))</f>
        <v/>
      </c>
      <c r="L165" s="7">
        <f>IFERROR(INDEX('Data_NSA'!$A:$OK,MATCH(I$2,'Data_NSA'!$A:$A,0),MATCH($D165,'Data_NSA'!$1:$1,0))/INDEX('Data_NSA'!$A:$OK,MATCH(EDATE(I$2,-12),'Data_NSA'!$A:$A,0),MATCH($D165,'Data_NSA'!$1:$1,0))-1,"")</f>
        <v/>
      </c>
      <c r="M165" s="10">
        <f>IFERROR(INDEX('Weights'!$G:$I,MATCH($A165,'Weights'!$A:$A,0),MATCH(I$2,'Weights'!$G$1:$I$1,0)),"")</f>
        <v/>
      </c>
      <c r="N165" s="10">
        <f>IF($E165="","",IFERROR(100*(INDEX('Weights'!$D:$D,MATCH($A165,'Weights'!$A:$A,0))*(INDEX('Data_NSA'!$A:$OK,MATCH(EDATE(I$2,-1),'Data_NSA'!$A:$A,0),MATCH($D165,'Data_NSA'!$1:$1,0))/INDEX('Data_NSA'!$A:$OK,MATCH(INDEX('Weights'!$E:$E,MATCH($A165,'Weights'!$A:$A,0)),'Data_NSA'!$A:$A,0),MATCH($D165,'Data_NSA'!$1:$1,0))))/(100*(INDEX('Data_NSA'!$A:$OK,MATCH(EDATE(I$2,-1),'Data_NSA'!$A:$A,0),MATCH("CUUR0000SA0",'Data_NSA'!$1:$1,0))/INDEX('Data_NSA'!$A:$OK,MATCH(INDEX('Weights'!$E:$E,MATCH($A165,'Weights'!$A:$A,0)),'Data_NSA'!$A:$A,0),MATCH("CUUR0000SA0",'Data_NSA'!$1:$1,0))))*(INDEX('Data_SA'!$A:$LO,MATCH(I$2,'Data_SA'!$A:$A,0),MATCH($E165,'Data_SA'!$1:$1,0))/INDEX('Data_SA'!$A:$LO,MATCH(EDATE(I$2,-1),'Data_SA'!$A:$A,0),MATCH($E165,'Data_SA'!$1:$1,0))-1),""))</f>
        <v/>
      </c>
      <c r="O165" s="10">
        <f>IFERROR(INDEX('Data_NSA'!$A:$OK,MATCH(O$2,'Data_NSA'!$A:$A,0),MATCH($D165,'Data_NSA'!$1:$1,0)),"")</f>
        <v/>
      </c>
      <c r="P165" s="10">
        <f>IF($E165="","",IFERROR(INDEX('Data_SA'!$A:$LO,MATCH(O$2,'Data_SA'!$A:$A,0),MATCH($E165,'Data_SA'!$1:$1,0)),""))</f>
        <v/>
      </c>
      <c r="Q165" s="7">
        <f>IF($E165="","",IFERROR(INDEX('Data_SA'!$A:$LO,MATCH(O$2,'Data_SA'!$A:$A,0),MATCH($E165,'Data_SA'!$1:$1,0))/INDEX('Data_SA'!$A:$LO,MATCH(EDATE(O$2,-1),'Data_SA'!$A:$A,0),MATCH($E165,'Data_SA'!$1:$1,0))-1,""))</f>
        <v/>
      </c>
      <c r="R165" s="7">
        <f>IFERROR(INDEX('Data_NSA'!$A:$OK,MATCH(O$2,'Data_NSA'!$A:$A,0),MATCH($D165,'Data_NSA'!$1:$1,0))/INDEX('Data_NSA'!$A:$OK,MATCH(EDATE(O$2,-12),'Data_NSA'!$A:$A,0),MATCH($D165,'Data_NSA'!$1:$1,0))-1,"")</f>
        <v/>
      </c>
      <c r="S165" s="10">
        <f>IFERROR(INDEX('Weights'!$G:$I,MATCH($A165,'Weights'!$A:$A,0),MATCH(O$2,'Weights'!$G$1:$I$1,0)),"")</f>
        <v/>
      </c>
      <c r="T165" s="10">
        <f>IF($E165="","",IFERROR(100*(INDEX('Weights'!$D:$D,MATCH($A165,'Weights'!$A:$A,0))*(INDEX('Data_NSA'!$A:$OK,MATCH(EDATE(O$2,-1),'Data_NSA'!$A:$A,0),MATCH($D165,'Data_NSA'!$1:$1,0))/INDEX('Data_NSA'!$A:$OK,MATCH(INDEX('Weights'!$E:$E,MATCH($A165,'Weights'!$A:$A,0)),'Data_NSA'!$A:$A,0),MATCH($D165,'Data_NSA'!$1:$1,0))))/(100*(INDEX('Data_NSA'!$A:$OK,MATCH(EDATE(O$2,-1),'Data_NSA'!$A:$A,0),MATCH("CUUR0000SA0",'Data_NSA'!$1:$1,0))/INDEX('Data_NSA'!$A:$OK,MATCH(INDEX('Weights'!$E:$E,MATCH($A165,'Weights'!$A:$A,0)),'Data_NSA'!$A:$A,0),MATCH("CUUR0000SA0",'Data_NSA'!$1:$1,0))))*(INDEX('Data_SA'!$A:$LO,MATCH(O$2,'Data_SA'!$A:$A,0),MATCH($E165,'Data_SA'!$1:$1,0))/INDEX('Data_SA'!$A:$LO,MATCH(EDATE(O$2,-1),'Data_SA'!$A:$A,0),MATCH($E165,'Data_SA'!$1:$1,0))-1),""))</f>
        <v/>
      </c>
      <c r="U165" s="10">
        <f>IFERROR(INDEX('Data_NSA'!$A:$OK,MATCH(U$2,'Data_NSA'!$A:$A,0),MATCH($D165,'Data_NSA'!$1:$1,0)),"")</f>
        <v/>
      </c>
      <c r="V165" s="10">
        <f>IF($E165="","",IFERROR(INDEX('Data_SA'!$A:$LO,MATCH(U$2,'Data_SA'!$A:$A,0),MATCH($E165,'Data_SA'!$1:$1,0)),""))</f>
        <v/>
      </c>
      <c r="W165" s="7">
        <f>IF($E165="","",IFERROR(INDEX('Data_SA'!$A:$LO,MATCH(U$2,'Data_SA'!$A:$A,0),MATCH($E165,'Data_SA'!$1:$1,0))/INDEX('Data_SA'!$A:$LO,MATCH(EDATE(U$2,-1),'Data_SA'!$A:$A,0),MATCH($E165,'Data_SA'!$1:$1,0))-1,""))</f>
        <v/>
      </c>
      <c r="X165" s="7">
        <f>IFERROR(INDEX('Data_NSA'!$A:$OK,MATCH(U$2,'Data_NSA'!$A:$A,0),MATCH($D165,'Data_NSA'!$1:$1,0))/INDEX('Data_NSA'!$A:$OK,MATCH(EDATE(U$2,-12),'Data_NSA'!$A:$A,0),MATCH($D165,'Data_NSA'!$1:$1,0))-1,"")</f>
        <v/>
      </c>
      <c r="Y165" s="10">
        <f>IFERROR(INDEX('Weights'!$G:$I,MATCH($A165,'Weights'!$A:$A,0),MATCH(U$2,'Weights'!$G$1:$I$1,0)),"")</f>
        <v/>
      </c>
      <c r="Z165" s="10">
        <f>IF($E165="","",IFERROR(100*(INDEX('Weights'!$D:$D,MATCH($A165,'Weights'!$A:$A,0))*(INDEX('Data_NSA'!$A:$OK,MATCH(EDATE(U$2,-1),'Data_NSA'!$A:$A,0),MATCH($D165,'Data_NSA'!$1:$1,0))/INDEX('Data_NSA'!$A:$OK,MATCH(INDEX('Weights'!$E:$E,MATCH($A165,'Weights'!$A:$A,0)),'Data_NSA'!$A:$A,0),MATCH($D165,'Data_NSA'!$1:$1,0))))/(100*(INDEX('Data_NSA'!$A:$OK,MATCH(EDATE(U$2,-1),'Data_NSA'!$A:$A,0),MATCH("CUUR0000SA0",'Data_NSA'!$1:$1,0))/INDEX('Data_NSA'!$A:$OK,MATCH(INDEX('Weights'!$E:$E,MATCH($A165,'Weights'!$A:$A,0)),'Data_NSA'!$A:$A,0),MATCH("CUUR0000SA0",'Data_NSA'!$1:$1,0))))*(INDEX('Data_SA'!$A:$LO,MATCH(U$2,'Data_SA'!$A:$A,0),MATCH($E165,'Data_SA'!$1:$1,0))/INDEX('Data_SA'!$A:$LO,MATCH(EDATE(U$2,-1),'Data_SA'!$A:$A,0),MATCH($E165,'Data_SA'!$1:$1,0))-1),""))</f>
        <v/>
      </c>
    </row>
    <row r="166">
      <c r="A166" s="3" t="inlineStr">
        <is>
          <t>SEHJ02</t>
        </is>
      </c>
      <c r="B166" s="3" t="inlineStr">
        <is>
          <t>Living room, kitchen, and dining room furniture</t>
        </is>
      </c>
      <c r="C166" s="3" t="inlineStr">
        <is>
          <t>SEHJ</t>
        </is>
      </c>
      <c r="D166" s="3" t="inlineStr">
        <is>
          <t>CUUR0000SEHJ02</t>
        </is>
      </c>
      <c r="E166" s="3" t="inlineStr"/>
      <c r="F166" s="3" t="inlineStr">
        <is>
          <t>GM</t>
        </is>
      </c>
      <c r="G166" s="3" t="inlineStr">
        <is>
          <t>monthly in New York/Los Angeles/Chicago; often bimonthly elsewhere</t>
        </is>
      </c>
      <c r="H166" s="10">
        <f>IFERROR(INDEX(Weights!$D:$D,MATCH($A166,Weights!$A:$A,0)),"")</f>
        <v/>
      </c>
      <c r="I166" s="10">
        <f>IFERROR(INDEX('Data_NSA'!$A:$OK,MATCH(I$2,'Data_NSA'!$A:$A,0),MATCH($D166,'Data_NSA'!$1:$1,0)),"")</f>
        <v/>
      </c>
      <c r="J166" s="10">
        <f>IF($E166="","",IFERROR(INDEX('Data_SA'!$A:$LO,MATCH(I$2,'Data_SA'!$A:$A,0),MATCH($E166,'Data_SA'!$1:$1,0)),""))</f>
        <v/>
      </c>
      <c r="K166" s="7">
        <f>IF($E166="","",IFERROR(INDEX('Data_SA'!$A:$LO,MATCH(I$2,'Data_SA'!$A:$A,0),MATCH($E166,'Data_SA'!$1:$1,0))/INDEX('Data_SA'!$A:$LO,MATCH(EDATE(I$2,-1),'Data_SA'!$A:$A,0),MATCH($E166,'Data_SA'!$1:$1,0))-1,""))</f>
        <v/>
      </c>
      <c r="L166" s="7">
        <f>IFERROR(INDEX('Data_NSA'!$A:$OK,MATCH(I$2,'Data_NSA'!$A:$A,0),MATCH($D166,'Data_NSA'!$1:$1,0))/INDEX('Data_NSA'!$A:$OK,MATCH(EDATE(I$2,-12),'Data_NSA'!$A:$A,0),MATCH($D166,'Data_NSA'!$1:$1,0))-1,"")</f>
        <v/>
      </c>
      <c r="M166" s="10">
        <f>IFERROR(INDEX('Weights'!$G:$I,MATCH($A166,'Weights'!$A:$A,0),MATCH(I$2,'Weights'!$G$1:$I$1,0)),"")</f>
        <v/>
      </c>
      <c r="N166" s="10">
        <f>IF($E166="","",IFERROR(100*(INDEX('Weights'!$D:$D,MATCH($A166,'Weights'!$A:$A,0))*(INDEX('Data_NSA'!$A:$OK,MATCH(EDATE(I$2,-1),'Data_NSA'!$A:$A,0),MATCH($D166,'Data_NSA'!$1:$1,0))/INDEX('Data_NSA'!$A:$OK,MATCH(INDEX('Weights'!$E:$E,MATCH($A166,'Weights'!$A:$A,0)),'Data_NSA'!$A:$A,0),MATCH($D166,'Data_NSA'!$1:$1,0))))/(100*(INDEX('Data_NSA'!$A:$OK,MATCH(EDATE(I$2,-1),'Data_NSA'!$A:$A,0),MATCH("CUUR0000SA0",'Data_NSA'!$1:$1,0))/INDEX('Data_NSA'!$A:$OK,MATCH(INDEX('Weights'!$E:$E,MATCH($A166,'Weights'!$A:$A,0)),'Data_NSA'!$A:$A,0),MATCH("CUUR0000SA0",'Data_NSA'!$1:$1,0))))*(INDEX('Data_SA'!$A:$LO,MATCH(I$2,'Data_SA'!$A:$A,0),MATCH($E166,'Data_SA'!$1:$1,0))/INDEX('Data_SA'!$A:$LO,MATCH(EDATE(I$2,-1),'Data_SA'!$A:$A,0),MATCH($E166,'Data_SA'!$1:$1,0))-1),""))</f>
        <v/>
      </c>
      <c r="O166" s="10">
        <f>IFERROR(INDEX('Data_NSA'!$A:$OK,MATCH(O$2,'Data_NSA'!$A:$A,0),MATCH($D166,'Data_NSA'!$1:$1,0)),"")</f>
        <v/>
      </c>
      <c r="P166" s="10">
        <f>IF($E166="","",IFERROR(INDEX('Data_SA'!$A:$LO,MATCH(O$2,'Data_SA'!$A:$A,0),MATCH($E166,'Data_SA'!$1:$1,0)),""))</f>
        <v/>
      </c>
      <c r="Q166" s="7">
        <f>IF($E166="","",IFERROR(INDEX('Data_SA'!$A:$LO,MATCH(O$2,'Data_SA'!$A:$A,0),MATCH($E166,'Data_SA'!$1:$1,0))/INDEX('Data_SA'!$A:$LO,MATCH(EDATE(O$2,-1),'Data_SA'!$A:$A,0),MATCH($E166,'Data_SA'!$1:$1,0))-1,""))</f>
        <v/>
      </c>
      <c r="R166" s="7">
        <f>IFERROR(INDEX('Data_NSA'!$A:$OK,MATCH(O$2,'Data_NSA'!$A:$A,0),MATCH($D166,'Data_NSA'!$1:$1,0))/INDEX('Data_NSA'!$A:$OK,MATCH(EDATE(O$2,-12),'Data_NSA'!$A:$A,0),MATCH($D166,'Data_NSA'!$1:$1,0))-1,"")</f>
        <v/>
      </c>
      <c r="S166" s="10">
        <f>IFERROR(INDEX('Weights'!$G:$I,MATCH($A166,'Weights'!$A:$A,0),MATCH(O$2,'Weights'!$G$1:$I$1,0)),"")</f>
        <v/>
      </c>
      <c r="T166" s="10">
        <f>IF($E166="","",IFERROR(100*(INDEX('Weights'!$D:$D,MATCH($A166,'Weights'!$A:$A,0))*(INDEX('Data_NSA'!$A:$OK,MATCH(EDATE(O$2,-1),'Data_NSA'!$A:$A,0),MATCH($D166,'Data_NSA'!$1:$1,0))/INDEX('Data_NSA'!$A:$OK,MATCH(INDEX('Weights'!$E:$E,MATCH($A166,'Weights'!$A:$A,0)),'Data_NSA'!$A:$A,0),MATCH($D166,'Data_NSA'!$1:$1,0))))/(100*(INDEX('Data_NSA'!$A:$OK,MATCH(EDATE(O$2,-1),'Data_NSA'!$A:$A,0),MATCH("CUUR0000SA0",'Data_NSA'!$1:$1,0))/INDEX('Data_NSA'!$A:$OK,MATCH(INDEX('Weights'!$E:$E,MATCH($A166,'Weights'!$A:$A,0)),'Data_NSA'!$A:$A,0),MATCH("CUUR0000SA0",'Data_NSA'!$1:$1,0))))*(INDEX('Data_SA'!$A:$LO,MATCH(O$2,'Data_SA'!$A:$A,0),MATCH($E166,'Data_SA'!$1:$1,0))/INDEX('Data_SA'!$A:$LO,MATCH(EDATE(O$2,-1),'Data_SA'!$A:$A,0),MATCH($E166,'Data_SA'!$1:$1,0))-1),""))</f>
        <v/>
      </c>
      <c r="U166" s="10">
        <f>IFERROR(INDEX('Data_NSA'!$A:$OK,MATCH(U$2,'Data_NSA'!$A:$A,0),MATCH($D166,'Data_NSA'!$1:$1,0)),"")</f>
        <v/>
      </c>
      <c r="V166" s="10">
        <f>IF($E166="","",IFERROR(INDEX('Data_SA'!$A:$LO,MATCH(U$2,'Data_SA'!$A:$A,0),MATCH($E166,'Data_SA'!$1:$1,0)),""))</f>
        <v/>
      </c>
      <c r="W166" s="7">
        <f>IF($E166="","",IFERROR(INDEX('Data_SA'!$A:$LO,MATCH(U$2,'Data_SA'!$A:$A,0),MATCH($E166,'Data_SA'!$1:$1,0))/INDEX('Data_SA'!$A:$LO,MATCH(EDATE(U$2,-1),'Data_SA'!$A:$A,0),MATCH($E166,'Data_SA'!$1:$1,0))-1,""))</f>
        <v/>
      </c>
      <c r="X166" s="7">
        <f>IFERROR(INDEX('Data_NSA'!$A:$OK,MATCH(U$2,'Data_NSA'!$A:$A,0),MATCH($D166,'Data_NSA'!$1:$1,0))/INDEX('Data_NSA'!$A:$OK,MATCH(EDATE(U$2,-12),'Data_NSA'!$A:$A,0),MATCH($D166,'Data_NSA'!$1:$1,0))-1,"")</f>
        <v/>
      </c>
      <c r="Y166" s="10">
        <f>IFERROR(INDEX('Weights'!$G:$I,MATCH($A166,'Weights'!$A:$A,0),MATCH(U$2,'Weights'!$G$1:$I$1,0)),"")</f>
        <v/>
      </c>
      <c r="Z166" s="10">
        <f>IF($E166="","",IFERROR(100*(INDEX('Weights'!$D:$D,MATCH($A166,'Weights'!$A:$A,0))*(INDEX('Data_NSA'!$A:$OK,MATCH(EDATE(U$2,-1),'Data_NSA'!$A:$A,0),MATCH($D166,'Data_NSA'!$1:$1,0))/INDEX('Data_NSA'!$A:$OK,MATCH(INDEX('Weights'!$E:$E,MATCH($A166,'Weights'!$A:$A,0)),'Data_NSA'!$A:$A,0),MATCH($D166,'Data_NSA'!$1:$1,0))))/(100*(INDEX('Data_NSA'!$A:$OK,MATCH(EDATE(U$2,-1),'Data_NSA'!$A:$A,0),MATCH("CUUR0000SA0",'Data_NSA'!$1:$1,0))/INDEX('Data_NSA'!$A:$OK,MATCH(INDEX('Weights'!$E:$E,MATCH($A166,'Weights'!$A:$A,0)),'Data_NSA'!$A:$A,0),MATCH("CUUR0000SA0",'Data_NSA'!$1:$1,0))))*(INDEX('Data_SA'!$A:$LO,MATCH(U$2,'Data_SA'!$A:$A,0),MATCH($E166,'Data_SA'!$1:$1,0))/INDEX('Data_SA'!$A:$LO,MATCH(EDATE(U$2,-1),'Data_SA'!$A:$A,0),MATCH($E166,'Data_SA'!$1:$1,0))-1),""))</f>
        <v/>
      </c>
    </row>
    <row r="167">
      <c r="A167" s="3" t="inlineStr">
        <is>
          <t>SEHJ03</t>
        </is>
      </c>
      <c r="B167" s="3" t="inlineStr">
        <is>
          <t>Other furniture</t>
        </is>
      </c>
      <c r="C167" s="3" t="inlineStr">
        <is>
          <t>SEHJ</t>
        </is>
      </c>
      <c r="D167" s="3" t="inlineStr">
        <is>
          <t>CUUR0000SEHJ03</t>
        </is>
      </c>
      <c r="E167" s="3" t="inlineStr">
        <is>
          <t>CUSR0000SEHJ03</t>
        </is>
      </c>
      <c r="F167" s="3" t="inlineStr">
        <is>
          <t>GM</t>
        </is>
      </c>
      <c r="G167" s="3" t="inlineStr">
        <is>
          <t>monthly in New York/Los Angeles/Chicago; often bimonthly elsewhere</t>
        </is>
      </c>
      <c r="H167" s="10">
        <f>IFERROR(INDEX(Weights!$D:$D,MATCH($A167,Weights!$A:$A,0)),"")</f>
        <v/>
      </c>
      <c r="I167" s="10">
        <f>IFERROR(INDEX('Data_NSA'!$A:$OK,MATCH(I$2,'Data_NSA'!$A:$A,0),MATCH($D167,'Data_NSA'!$1:$1,0)),"")</f>
        <v/>
      </c>
      <c r="J167" s="10">
        <f>IF($E167="","",IFERROR(INDEX('Data_SA'!$A:$LO,MATCH(I$2,'Data_SA'!$A:$A,0),MATCH($E167,'Data_SA'!$1:$1,0)),""))</f>
        <v/>
      </c>
      <c r="K167" s="7">
        <f>IF($E167="","",IFERROR(INDEX('Data_SA'!$A:$LO,MATCH(I$2,'Data_SA'!$A:$A,0),MATCH($E167,'Data_SA'!$1:$1,0))/INDEX('Data_SA'!$A:$LO,MATCH(EDATE(I$2,-1),'Data_SA'!$A:$A,0),MATCH($E167,'Data_SA'!$1:$1,0))-1,""))</f>
        <v/>
      </c>
      <c r="L167" s="7">
        <f>IFERROR(INDEX('Data_NSA'!$A:$OK,MATCH(I$2,'Data_NSA'!$A:$A,0),MATCH($D167,'Data_NSA'!$1:$1,0))/INDEX('Data_NSA'!$A:$OK,MATCH(EDATE(I$2,-12),'Data_NSA'!$A:$A,0),MATCH($D167,'Data_NSA'!$1:$1,0))-1,"")</f>
        <v/>
      </c>
      <c r="M167" s="10">
        <f>IFERROR(INDEX('Weights'!$G:$I,MATCH($A167,'Weights'!$A:$A,0),MATCH(I$2,'Weights'!$G$1:$I$1,0)),"")</f>
        <v/>
      </c>
      <c r="N167" s="10">
        <f>IF($E167="","",IFERROR(100*(INDEX('Weights'!$D:$D,MATCH($A167,'Weights'!$A:$A,0))*(INDEX('Data_NSA'!$A:$OK,MATCH(EDATE(I$2,-1),'Data_NSA'!$A:$A,0),MATCH($D167,'Data_NSA'!$1:$1,0))/INDEX('Data_NSA'!$A:$OK,MATCH(INDEX('Weights'!$E:$E,MATCH($A167,'Weights'!$A:$A,0)),'Data_NSA'!$A:$A,0),MATCH($D167,'Data_NSA'!$1:$1,0))))/(100*(INDEX('Data_NSA'!$A:$OK,MATCH(EDATE(I$2,-1),'Data_NSA'!$A:$A,0),MATCH("CUUR0000SA0",'Data_NSA'!$1:$1,0))/INDEX('Data_NSA'!$A:$OK,MATCH(INDEX('Weights'!$E:$E,MATCH($A167,'Weights'!$A:$A,0)),'Data_NSA'!$A:$A,0),MATCH("CUUR0000SA0",'Data_NSA'!$1:$1,0))))*(INDEX('Data_SA'!$A:$LO,MATCH(I$2,'Data_SA'!$A:$A,0),MATCH($E167,'Data_SA'!$1:$1,0))/INDEX('Data_SA'!$A:$LO,MATCH(EDATE(I$2,-1),'Data_SA'!$A:$A,0),MATCH($E167,'Data_SA'!$1:$1,0))-1),""))</f>
        <v/>
      </c>
      <c r="O167" s="10">
        <f>IFERROR(INDEX('Data_NSA'!$A:$OK,MATCH(O$2,'Data_NSA'!$A:$A,0),MATCH($D167,'Data_NSA'!$1:$1,0)),"")</f>
        <v/>
      </c>
      <c r="P167" s="10">
        <f>IF($E167="","",IFERROR(INDEX('Data_SA'!$A:$LO,MATCH(O$2,'Data_SA'!$A:$A,0),MATCH($E167,'Data_SA'!$1:$1,0)),""))</f>
        <v/>
      </c>
      <c r="Q167" s="7">
        <f>IF($E167="","",IFERROR(INDEX('Data_SA'!$A:$LO,MATCH(O$2,'Data_SA'!$A:$A,0),MATCH($E167,'Data_SA'!$1:$1,0))/INDEX('Data_SA'!$A:$LO,MATCH(EDATE(O$2,-1),'Data_SA'!$A:$A,0),MATCH($E167,'Data_SA'!$1:$1,0))-1,""))</f>
        <v/>
      </c>
      <c r="R167" s="7">
        <f>IFERROR(INDEX('Data_NSA'!$A:$OK,MATCH(O$2,'Data_NSA'!$A:$A,0),MATCH($D167,'Data_NSA'!$1:$1,0))/INDEX('Data_NSA'!$A:$OK,MATCH(EDATE(O$2,-12),'Data_NSA'!$A:$A,0),MATCH($D167,'Data_NSA'!$1:$1,0))-1,"")</f>
        <v/>
      </c>
      <c r="S167" s="10">
        <f>IFERROR(INDEX('Weights'!$G:$I,MATCH($A167,'Weights'!$A:$A,0),MATCH(O$2,'Weights'!$G$1:$I$1,0)),"")</f>
        <v/>
      </c>
      <c r="T167" s="10">
        <f>IF($E167="","",IFERROR(100*(INDEX('Weights'!$D:$D,MATCH($A167,'Weights'!$A:$A,0))*(INDEX('Data_NSA'!$A:$OK,MATCH(EDATE(O$2,-1),'Data_NSA'!$A:$A,0),MATCH($D167,'Data_NSA'!$1:$1,0))/INDEX('Data_NSA'!$A:$OK,MATCH(INDEX('Weights'!$E:$E,MATCH($A167,'Weights'!$A:$A,0)),'Data_NSA'!$A:$A,0),MATCH($D167,'Data_NSA'!$1:$1,0))))/(100*(INDEX('Data_NSA'!$A:$OK,MATCH(EDATE(O$2,-1),'Data_NSA'!$A:$A,0),MATCH("CUUR0000SA0",'Data_NSA'!$1:$1,0))/INDEX('Data_NSA'!$A:$OK,MATCH(INDEX('Weights'!$E:$E,MATCH($A167,'Weights'!$A:$A,0)),'Data_NSA'!$A:$A,0),MATCH("CUUR0000SA0",'Data_NSA'!$1:$1,0))))*(INDEX('Data_SA'!$A:$LO,MATCH(O$2,'Data_SA'!$A:$A,0),MATCH($E167,'Data_SA'!$1:$1,0))/INDEX('Data_SA'!$A:$LO,MATCH(EDATE(O$2,-1),'Data_SA'!$A:$A,0),MATCH($E167,'Data_SA'!$1:$1,0))-1),""))</f>
        <v/>
      </c>
      <c r="U167" s="10">
        <f>IFERROR(INDEX('Data_NSA'!$A:$OK,MATCH(U$2,'Data_NSA'!$A:$A,0),MATCH($D167,'Data_NSA'!$1:$1,0)),"")</f>
        <v/>
      </c>
      <c r="V167" s="10">
        <f>IF($E167="","",IFERROR(INDEX('Data_SA'!$A:$LO,MATCH(U$2,'Data_SA'!$A:$A,0),MATCH($E167,'Data_SA'!$1:$1,0)),""))</f>
        <v/>
      </c>
      <c r="W167" s="7">
        <f>IF($E167="","",IFERROR(INDEX('Data_SA'!$A:$LO,MATCH(U$2,'Data_SA'!$A:$A,0),MATCH($E167,'Data_SA'!$1:$1,0))/INDEX('Data_SA'!$A:$LO,MATCH(EDATE(U$2,-1),'Data_SA'!$A:$A,0),MATCH($E167,'Data_SA'!$1:$1,0))-1,""))</f>
        <v/>
      </c>
      <c r="X167" s="7">
        <f>IFERROR(INDEX('Data_NSA'!$A:$OK,MATCH(U$2,'Data_NSA'!$A:$A,0),MATCH($D167,'Data_NSA'!$1:$1,0))/INDEX('Data_NSA'!$A:$OK,MATCH(EDATE(U$2,-12),'Data_NSA'!$A:$A,0),MATCH($D167,'Data_NSA'!$1:$1,0))-1,"")</f>
        <v/>
      </c>
      <c r="Y167" s="10">
        <f>IFERROR(INDEX('Weights'!$G:$I,MATCH($A167,'Weights'!$A:$A,0),MATCH(U$2,'Weights'!$G$1:$I$1,0)),"")</f>
        <v/>
      </c>
      <c r="Z167" s="10">
        <f>IF($E167="","",IFERROR(100*(INDEX('Weights'!$D:$D,MATCH($A167,'Weights'!$A:$A,0))*(INDEX('Data_NSA'!$A:$OK,MATCH(EDATE(U$2,-1),'Data_NSA'!$A:$A,0),MATCH($D167,'Data_NSA'!$1:$1,0))/INDEX('Data_NSA'!$A:$OK,MATCH(INDEX('Weights'!$E:$E,MATCH($A167,'Weights'!$A:$A,0)),'Data_NSA'!$A:$A,0),MATCH($D167,'Data_NSA'!$1:$1,0))))/(100*(INDEX('Data_NSA'!$A:$OK,MATCH(EDATE(U$2,-1),'Data_NSA'!$A:$A,0),MATCH("CUUR0000SA0",'Data_NSA'!$1:$1,0))/INDEX('Data_NSA'!$A:$OK,MATCH(INDEX('Weights'!$E:$E,MATCH($A167,'Weights'!$A:$A,0)),'Data_NSA'!$A:$A,0),MATCH("CUUR0000SA0",'Data_NSA'!$1:$1,0))))*(INDEX('Data_SA'!$A:$LO,MATCH(U$2,'Data_SA'!$A:$A,0),MATCH($E167,'Data_SA'!$1:$1,0))/INDEX('Data_SA'!$A:$LO,MATCH(EDATE(U$2,-1),'Data_SA'!$A:$A,0),MATCH($E167,'Data_SA'!$1:$1,0))-1),""))</f>
        <v/>
      </c>
    </row>
    <row r="168">
      <c r="A168" s="3" t="inlineStr">
        <is>
          <t>SSHJ031</t>
        </is>
      </c>
      <c r="B168" s="3" t="inlineStr">
        <is>
          <t>Infants' furniture</t>
        </is>
      </c>
      <c r="C168" s="3" t="inlineStr">
        <is>
          <t>SEHJ</t>
        </is>
      </c>
      <c r="D168" s="3" t="inlineStr">
        <is>
          <t>CUUR0000SSHJ031</t>
        </is>
      </c>
      <c r="E168" s="3" t="inlineStr"/>
      <c r="F168" s="3" t="inlineStr">
        <is>
          <t>GM</t>
        </is>
      </c>
      <c r="G168" s="3" t="inlineStr">
        <is>
          <t>monthly in New York/Los Angeles/Chicago; often bimonthly elsewhere</t>
        </is>
      </c>
      <c r="H168" s="10">
        <f>IFERROR(INDEX(Weights!$D:$D,MATCH($A168,Weights!$A:$A,0)),"")</f>
        <v/>
      </c>
      <c r="I168" s="10">
        <f>IFERROR(INDEX('Data_NSA'!$A:$OK,MATCH(I$2,'Data_NSA'!$A:$A,0),MATCH($D168,'Data_NSA'!$1:$1,0)),"")</f>
        <v/>
      </c>
      <c r="J168" s="10">
        <f>IF($E168="","",IFERROR(INDEX('Data_SA'!$A:$LO,MATCH(I$2,'Data_SA'!$A:$A,0),MATCH($E168,'Data_SA'!$1:$1,0)),""))</f>
        <v/>
      </c>
      <c r="K168" s="7">
        <f>IF($E168="","",IFERROR(INDEX('Data_SA'!$A:$LO,MATCH(I$2,'Data_SA'!$A:$A,0),MATCH($E168,'Data_SA'!$1:$1,0))/INDEX('Data_SA'!$A:$LO,MATCH(EDATE(I$2,-1),'Data_SA'!$A:$A,0),MATCH($E168,'Data_SA'!$1:$1,0))-1,""))</f>
        <v/>
      </c>
      <c r="L168" s="7">
        <f>IFERROR(INDEX('Data_NSA'!$A:$OK,MATCH(I$2,'Data_NSA'!$A:$A,0),MATCH($D168,'Data_NSA'!$1:$1,0))/INDEX('Data_NSA'!$A:$OK,MATCH(EDATE(I$2,-12),'Data_NSA'!$A:$A,0),MATCH($D168,'Data_NSA'!$1:$1,0))-1,"")</f>
        <v/>
      </c>
      <c r="M168" s="10">
        <f>IFERROR(INDEX('Weights'!$G:$I,MATCH($A168,'Weights'!$A:$A,0),MATCH(I$2,'Weights'!$G$1:$I$1,0)),"")</f>
        <v/>
      </c>
      <c r="N168" s="10">
        <f>IF($E168="","",IFERROR(100*(INDEX('Weights'!$D:$D,MATCH($A168,'Weights'!$A:$A,0))*(INDEX('Data_NSA'!$A:$OK,MATCH(EDATE(I$2,-1),'Data_NSA'!$A:$A,0),MATCH($D168,'Data_NSA'!$1:$1,0))/INDEX('Data_NSA'!$A:$OK,MATCH(INDEX('Weights'!$E:$E,MATCH($A168,'Weights'!$A:$A,0)),'Data_NSA'!$A:$A,0),MATCH($D168,'Data_NSA'!$1:$1,0))))/(100*(INDEX('Data_NSA'!$A:$OK,MATCH(EDATE(I$2,-1),'Data_NSA'!$A:$A,0),MATCH("CUUR0000SA0",'Data_NSA'!$1:$1,0))/INDEX('Data_NSA'!$A:$OK,MATCH(INDEX('Weights'!$E:$E,MATCH($A168,'Weights'!$A:$A,0)),'Data_NSA'!$A:$A,0),MATCH("CUUR0000SA0",'Data_NSA'!$1:$1,0))))*(INDEX('Data_SA'!$A:$LO,MATCH(I$2,'Data_SA'!$A:$A,0),MATCH($E168,'Data_SA'!$1:$1,0))/INDEX('Data_SA'!$A:$LO,MATCH(EDATE(I$2,-1),'Data_SA'!$A:$A,0),MATCH($E168,'Data_SA'!$1:$1,0))-1),""))</f>
        <v/>
      </c>
      <c r="O168" s="10">
        <f>IFERROR(INDEX('Data_NSA'!$A:$OK,MATCH(O$2,'Data_NSA'!$A:$A,0),MATCH($D168,'Data_NSA'!$1:$1,0)),"")</f>
        <v/>
      </c>
      <c r="P168" s="10">
        <f>IF($E168="","",IFERROR(INDEX('Data_SA'!$A:$LO,MATCH(O$2,'Data_SA'!$A:$A,0),MATCH($E168,'Data_SA'!$1:$1,0)),""))</f>
        <v/>
      </c>
      <c r="Q168" s="7">
        <f>IF($E168="","",IFERROR(INDEX('Data_SA'!$A:$LO,MATCH(O$2,'Data_SA'!$A:$A,0),MATCH($E168,'Data_SA'!$1:$1,0))/INDEX('Data_SA'!$A:$LO,MATCH(EDATE(O$2,-1),'Data_SA'!$A:$A,0),MATCH($E168,'Data_SA'!$1:$1,0))-1,""))</f>
        <v/>
      </c>
      <c r="R168" s="7">
        <f>IFERROR(INDEX('Data_NSA'!$A:$OK,MATCH(O$2,'Data_NSA'!$A:$A,0),MATCH($D168,'Data_NSA'!$1:$1,0))/INDEX('Data_NSA'!$A:$OK,MATCH(EDATE(O$2,-12),'Data_NSA'!$A:$A,0),MATCH($D168,'Data_NSA'!$1:$1,0))-1,"")</f>
        <v/>
      </c>
      <c r="S168" s="10">
        <f>IFERROR(INDEX('Weights'!$G:$I,MATCH($A168,'Weights'!$A:$A,0),MATCH(O$2,'Weights'!$G$1:$I$1,0)),"")</f>
        <v/>
      </c>
      <c r="T168" s="10">
        <f>IF($E168="","",IFERROR(100*(INDEX('Weights'!$D:$D,MATCH($A168,'Weights'!$A:$A,0))*(INDEX('Data_NSA'!$A:$OK,MATCH(EDATE(O$2,-1),'Data_NSA'!$A:$A,0),MATCH($D168,'Data_NSA'!$1:$1,0))/INDEX('Data_NSA'!$A:$OK,MATCH(INDEX('Weights'!$E:$E,MATCH($A168,'Weights'!$A:$A,0)),'Data_NSA'!$A:$A,0),MATCH($D168,'Data_NSA'!$1:$1,0))))/(100*(INDEX('Data_NSA'!$A:$OK,MATCH(EDATE(O$2,-1),'Data_NSA'!$A:$A,0),MATCH("CUUR0000SA0",'Data_NSA'!$1:$1,0))/INDEX('Data_NSA'!$A:$OK,MATCH(INDEX('Weights'!$E:$E,MATCH($A168,'Weights'!$A:$A,0)),'Data_NSA'!$A:$A,0),MATCH("CUUR0000SA0",'Data_NSA'!$1:$1,0))))*(INDEX('Data_SA'!$A:$LO,MATCH(O$2,'Data_SA'!$A:$A,0),MATCH($E168,'Data_SA'!$1:$1,0))/INDEX('Data_SA'!$A:$LO,MATCH(EDATE(O$2,-1),'Data_SA'!$A:$A,0),MATCH($E168,'Data_SA'!$1:$1,0))-1),""))</f>
        <v/>
      </c>
      <c r="U168" s="10">
        <f>IFERROR(INDEX('Data_NSA'!$A:$OK,MATCH(U$2,'Data_NSA'!$A:$A,0),MATCH($D168,'Data_NSA'!$1:$1,0)),"")</f>
        <v/>
      </c>
      <c r="V168" s="10">
        <f>IF($E168="","",IFERROR(INDEX('Data_SA'!$A:$LO,MATCH(U$2,'Data_SA'!$A:$A,0),MATCH($E168,'Data_SA'!$1:$1,0)),""))</f>
        <v/>
      </c>
      <c r="W168" s="7">
        <f>IF($E168="","",IFERROR(INDEX('Data_SA'!$A:$LO,MATCH(U$2,'Data_SA'!$A:$A,0),MATCH($E168,'Data_SA'!$1:$1,0))/INDEX('Data_SA'!$A:$LO,MATCH(EDATE(U$2,-1),'Data_SA'!$A:$A,0),MATCH($E168,'Data_SA'!$1:$1,0))-1,""))</f>
        <v/>
      </c>
      <c r="X168" s="7">
        <f>IFERROR(INDEX('Data_NSA'!$A:$OK,MATCH(U$2,'Data_NSA'!$A:$A,0),MATCH($D168,'Data_NSA'!$1:$1,0))/INDEX('Data_NSA'!$A:$OK,MATCH(EDATE(U$2,-12),'Data_NSA'!$A:$A,0),MATCH($D168,'Data_NSA'!$1:$1,0))-1,"")</f>
        <v/>
      </c>
      <c r="Y168" s="10">
        <f>IFERROR(INDEX('Weights'!$G:$I,MATCH($A168,'Weights'!$A:$A,0),MATCH(U$2,'Weights'!$G$1:$I$1,0)),"")</f>
        <v/>
      </c>
      <c r="Z168" s="10">
        <f>IF($E168="","",IFERROR(100*(INDEX('Weights'!$D:$D,MATCH($A168,'Weights'!$A:$A,0))*(INDEX('Data_NSA'!$A:$OK,MATCH(EDATE(U$2,-1),'Data_NSA'!$A:$A,0),MATCH($D168,'Data_NSA'!$1:$1,0))/INDEX('Data_NSA'!$A:$OK,MATCH(INDEX('Weights'!$E:$E,MATCH($A168,'Weights'!$A:$A,0)),'Data_NSA'!$A:$A,0),MATCH($D168,'Data_NSA'!$1:$1,0))))/(100*(INDEX('Data_NSA'!$A:$OK,MATCH(EDATE(U$2,-1),'Data_NSA'!$A:$A,0),MATCH("CUUR0000SA0",'Data_NSA'!$1:$1,0))/INDEX('Data_NSA'!$A:$OK,MATCH(INDEX('Weights'!$E:$E,MATCH($A168,'Weights'!$A:$A,0)),'Data_NSA'!$A:$A,0),MATCH("CUUR0000SA0",'Data_NSA'!$1:$1,0))))*(INDEX('Data_SA'!$A:$LO,MATCH(U$2,'Data_SA'!$A:$A,0),MATCH($E168,'Data_SA'!$1:$1,0))/INDEX('Data_SA'!$A:$LO,MATCH(EDATE(U$2,-1),'Data_SA'!$A:$A,0),MATCH($E168,'Data_SA'!$1:$1,0))-1),""))</f>
        <v/>
      </c>
    </row>
    <row r="169">
      <c r="A169" s="3" t="inlineStr">
        <is>
          <t>SEHK</t>
        </is>
      </c>
      <c r="B169" s="3" t="inlineStr">
        <is>
          <t>Appliances</t>
        </is>
      </c>
      <c r="C169" s="3" t="inlineStr">
        <is>
          <t>SAH3</t>
        </is>
      </c>
      <c r="D169" s="3" t="inlineStr">
        <is>
          <t>CUUR0000SEHK</t>
        </is>
      </c>
      <c r="E169" s="3" t="inlineStr">
        <is>
          <t>CUSR0000SEHK</t>
        </is>
      </c>
      <c r="F169" s="3" t="inlineStr">
        <is>
          <t>aggregate</t>
        </is>
      </c>
      <c r="G169" s="3" t="inlineStr">
        <is>
          <t>aggregate</t>
        </is>
      </c>
      <c r="H169" s="10">
        <f>IFERROR(INDEX(Weights!$D:$D,MATCH($A169,Weights!$A:$A,0)),"")</f>
        <v/>
      </c>
      <c r="I169" s="10">
        <f>IFERROR(INDEX('Data_NSA'!$A:$OK,MATCH(I$2,'Data_NSA'!$A:$A,0),MATCH($D169,'Data_NSA'!$1:$1,0)),"")</f>
        <v/>
      </c>
      <c r="J169" s="10">
        <f>IF($E169="","",IFERROR(INDEX('Data_SA'!$A:$LO,MATCH(I$2,'Data_SA'!$A:$A,0),MATCH($E169,'Data_SA'!$1:$1,0)),""))</f>
        <v/>
      </c>
      <c r="K169" s="7">
        <f>IF($E169="","",IFERROR(INDEX('Data_SA'!$A:$LO,MATCH(I$2,'Data_SA'!$A:$A,0),MATCH($E169,'Data_SA'!$1:$1,0))/INDEX('Data_SA'!$A:$LO,MATCH(EDATE(I$2,-1),'Data_SA'!$A:$A,0),MATCH($E169,'Data_SA'!$1:$1,0))-1,""))</f>
        <v/>
      </c>
      <c r="L169" s="7">
        <f>IFERROR(INDEX('Data_NSA'!$A:$OK,MATCH(I$2,'Data_NSA'!$A:$A,0),MATCH($D169,'Data_NSA'!$1:$1,0))/INDEX('Data_NSA'!$A:$OK,MATCH(EDATE(I$2,-12),'Data_NSA'!$A:$A,0),MATCH($D169,'Data_NSA'!$1:$1,0))-1,"")</f>
        <v/>
      </c>
      <c r="M169" s="10">
        <f>IFERROR(INDEX('Weights'!$G:$I,MATCH($A169,'Weights'!$A:$A,0),MATCH(I$2,'Weights'!$G$1:$I$1,0)),"")</f>
        <v/>
      </c>
      <c r="N169" s="10">
        <f>IF($E169="","",IFERROR(100*(INDEX('Weights'!$D:$D,MATCH($A169,'Weights'!$A:$A,0))*(INDEX('Data_NSA'!$A:$OK,MATCH(EDATE(I$2,-1),'Data_NSA'!$A:$A,0),MATCH($D169,'Data_NSA'!$1:$1,0))/INDEX('Data_NSA'!$A:$OK,MATCH(INDEX('Weights'!$E:$E,MATCH($A169,'Weights'!$A:$A,0)),'Data_NSA'!$A:$A,0),MATCH($D169,'Data_NSA'!$1:$1,0))))/(100*(INDEX('Data_NSA'!$A:$OK,MATCH(EDATE(I$2,-1),'Data_NSA'!$A:$A,0),MATCH("CUUR0000SA0",'Data_NSA'!$1:$1,0))/INDEX('Data_NSA'!$A:$OK,MATCH(INDEX('Weights'!$E:$E,MATCH($A169,'Weights'!$A:$A,0)),'Data_NSA'!$A:$A,0),MATCH("CUUR0000SA0",'Data_NSA'!$1:$1,0))))*(INDEX('Data_SA'!$A:$LO,MATCH(I$2,'Data_SA'!$A:$A,0),MATCH($E169,'Data_SA'!$1:$1,0))/INDEX('Data_SA'!$A:$LO,MATCH(EDATE(I$2,-1),'Data_SA'!$A:$A,0),MATCH($E169,'Data_SA'!$1:$1,0))-1),""))</f>
        <v/>
      </c>
      <c r="O169" s="10">
        <f>IFERROR(INDEX('Data_NSA'!$A:$OK,MATCH(O$2,'Data_NSA'!$A:$A,0),MATCH($D169,'Data_NSA'!$1:$1,0)),"")</f>
        <v/>
      </c>
      <c r="P169" s="10">
        <f>IF($E169="","",IFERROR(INDEX('Data_SA'!$A:$LO,MATCH(O$2,'Data_SA'!$A:$A,0),MATCH($E169,'Data_SA'!$1:$1,0)),""))</f>
        <v/>
      </c>
      <c r="Q169" s="7">
        <f>IF($E169="","",IFERROR(INDEX('Data_SA'!$A:$LO,MATCH(O$2,'Data_SA'!$A:$A,0),MATCH($E169,'Data_SA'!$1:$1,0))/INDEX('Data_SA'!$A:$LO,MATCH(EDATE(O$2,-1),'Data_SA'!$A:$A,0),MATCH($E169,'Data_SA'!$1:$1,0))-1,""))</f>
        <v/>
      </c>
      <c r="R169" s="7">
        <f>IFERROR(INDEX('Data_NSA'!$A:$OK,MATCH(O$2,'Data_NSA'!$A:$A,0),MATCH($D169,'Data_NSA'!$1:$1,0))/INDEX('Data_NSA'!$A:$OK,MATCH(EDATE(O$2,-12),'Data_NSA'!$A:$A,0),MATCH($D169,'Data_NSA'!$1:$1,0))-1,"")</f>
        <v/>
      </c>
      <c r="S169" s="10">
        <f>IFERROR(INDEX('Weights'!$G:$I,MATCH($A169,'Weights'!$A:$A,0),MATCH(O$2,'Weights'!$G$1:$I$1,0)),"")</f>
        <v/>
      </c>
      <c r="T169" s="10">
        <f>IF($E169="","",IFERROR(100*(INDEX('Weights'!$D:$D,MATCH($A169,'Weights'!$A:$A,0))*(INDEX('Data_NSA'!$A:$OK,MATCH(EDATE(O$2,-1),'Data_NSA'!$A:$A,0),MATCH($D169,'Data_NSA'!$1:$1,0))/INDEX('Data_NSA'!$A:$OK,MATCH(INDEX('Weights'!$E:$E,MATCH($A169,'Weights'!$A:$A,0)),'Data_NSA'!$A:$A,0),MATCH($D169,'Data_NSA'!$1:$1,0))))/(100*(INDEX('Data_NSA'!$A:$OK,MATCH(EDATE(O$2,-1),'Data_NSA'!$A:$A,0),MATCH("CUUR0000SA0",'Data_NSA'!$1:$1,0))/INDEX('Data_NSA'!$A:$OK,MATCH(INDEX('Weights'!$E:$E,MATCH($A169,'Weights'!$A:$A,0)),'Data_NSA'!$A:$A,0),MATCH("CUUR0000SA0",'Data_NSA'!$1:$1,0))))*(INDEX('Data_SA'!$A:$LO,MATCH(O$2,'Data_SA'!$A:$A,0),MATCH($E169,'Data_SA'!$1:$1,0))/INDEX('Data_SA'!$A:$LO,MATCH(EDATE(O$2,-1),'Data_SA'!$A:$A,0),MATCH($E169,'Data_SA'!$1:$1,0))-1),""))</f>
        <v/>
      </c>
      <c r="U169" s="10">
        <f>IFERROR(INDEX('Data_NSA'!$A:$OK,MATCH(U$2,'Data_NSA'!$A:$A,0),MATCH($D169,'Data_NSA'!$1:$1,0)),"")</f>
        <v/>
      </c>
      <c r="V169" s="10">
        <f>IF($E169="","",IFERROR(INDEX('Data_SA'!$A:$LO,MATCH(U$2,'Data_SA'!$A:$A,0),MATCH($E169,'Data_SA'!$1:$1,0)),""))</f>
        <v/>
      </c>
      <c r="W169" s="7">
        <f>IF($E169="","",IFERROR(INDEX('Data_SA'!$A:$LO,MATCH(U$2,'Data_SA'!$A:$A,0),MATCH($E169,'Data_SA'!$1:$1,0))/INDEX('Data_SA'!$A:$LO,MATCH(EDATE(U$2,-1),'Data_SA'!$A:$A,0),MATCH($E169,'Data_SA'!$1:$1,0))-1,""))</f>
        <v/>
      </c>
      <c r="X169" s="7">
        <f>IFERROR(INDEX('Data_NSA'!$A:$OK,MATCH(U$2,'Data_NSA'!$A:$A,0),MATCH($D169,'Data_NSA'!$1:$1,0))/INDEX('Data_NSA'!$A:$OK,MATCH(EDATE(U$2,-12),'Data_NSA'!$A:$A,0),MATCH($D169,'Data_NSA'!$1:$1,0))-1,"")</f>
        <v/>
      </c>
      <c r="Y169" s="10">
        <f>IFERROR(INDEX('Weights'!$G:$I,MATCH($A169,'Weights'!$A:$A,0),MATCH(U$2,'Weights'!$G$1:$I$1,0)),"")</f>
        <v/>
      </c>
      <c r="Z169" s="10">
        <f>IF($E169="","",IFERROR(100*(INDEX('Weights'!$D:$D,MATCH($A169,'Weights'!$A:$A,0))*(INDEX('Data_NSA'!$A:$OK,MATCH(EDATE(U$2,-1),'Data_NSA'!$A:$A,0),MATCH($D169,'Data_NSA'!$1:$1,0))/INDEX('Data_NSA'!$A:$OK,MATCH(INDEX('Weights'!$E:$E,MATCH($A169,'Weights'!$A:$A,0)),'Data_NSA'!$A:$A,0),MATCH($D169,'Data_NSA'!$1:$1,0))))/(100*(INDEX('Data_NSA'!$A:$OK,MATCH(EDATE(U$2,-1),'Data_NSA'!$A:$A,0),MATCH("CUUR0000SA0",'Data_NSA'!$1:$1,0))/INDEX('Data_NSA'!$A:$OK,MATCH(INDEX('Weights'!$E:$E,MATCH($A169,'Weights'!$A:$A,0)),'Data_NSA'!$A:$A,0),MATCH("CUUR0000SA0",'Data_NSA'!$1:$1,0))))*(INDEX('Data_SA'!$A:$LO,MATCH(U$2,'Data_SA'!$A:$A,0),MATCH($E169,'Data_SA'!$1:$1,0))/INDEX('Data_SA'!$A:$LO,MATCH(EDATE(U$2,-1),'Data_SA'!$A:$A,0),MATCH($E169,'Data_SA'!$1:$1,0))-1),""))</f>
        <v/>
      </c>
    </row>
    <row r="170">
      <c r="A170" s="3" t="inlineStr">
        <is>
          <t>SEHK01</t>
        </is>
      </c>
      <c r="B170" s="3" t="inlineStr">
        <is>
          <t>Major appliances</t>
        </is>
      </c>
      <c r="C170" s="3" t="inlineStr">
        <is>
          <t>SEHK</t>
        </is>
      </c>
      <c r="D170" s="3" t="inlineStr">
        <is>
          <t>CUUR0000SEHK01</t>
        </is>
      </c>
      <c r="E170" s="3" t="inlineStr">
        <is>
          <t>CUSR0000SEHK01</t>
        </is>
      </c>
      <c r="F170" s="3" t="inlineStr">
        <is>
          <t>aggregate</t>
        </is>
      </c>
      <c r="G170" s="3" t="inlineStr">
        <is>
          <t>aggregate</t>
        </is>
      </c>
      <c r="H170" s="10">
        <f>IFERROR(INDEX(Weights!$D:$D,MATCH($A170,Weights!$A:$A,0)),"")</f>
        <v/>
      </c>
      <c r="I170" s="10">
        <f>IFERROR(INDEX('Data_NSA'!$A:$OK,MATCH(I$2,'Data_NSA'!$A:$A,0),MATCH($D170,'Data_NSA'!$1:$1,0)),"")</f>
        <v/>
      </c>
      <c r="J170" s="10">
        <f>IF($E170="","",IFERROR(INDEX('Data_SA'!$A:$LO,MATCH(I$2,'Data_SA'!$A:$A,0),MATCH($E170,'Data_SA'!$1:$1,0)),""))</f>
        <v/>
      </c>
      <c r="K170" s="7">
        <f>IF($E170="","",IFERROR(INDEX('Data_SA'!$A:$LO,MATCH(I$2,'Data_SA'!$A:$A,0),MATCH($E170,'Data_SA'!$1:$1,0))/INDEX('Data_SA'!$A:$LO,MATCH(EDATE(I$2,-1),'Data_SA'!$A:$A,0),MATCH($E170,'Data_SA'!$1:$1,0))-1,""))</f>
        <v/>
      </c>
      <c r="L170" s="7">
        <f>IFERROR(INDEX('Data_NSA'!$A:$OK,MATCH(I$2,'Data_NSA'!$A:$A,0),MATCH($D170,'Data_NSA'!$1:$1,0))/INDEX('Data_NSA'!$A:$OK,MATCH(EDATE(I$2,-12),'Data_NSA'!$A:$A,0),MATCH($D170,'Data_NSA'!$1:$1,0))-1,"")</f>
        <v/>
      </c>
      <c r="M170" s="10">
        <f>IFERROR(INDEX('Weights'!$G:$I,MATCH($A170,'Weights'!$A:$A,0),MATCH(I$2,'Weights'!$G$1:$I$1,0)),"")</f>
        <v/>
      </c>
      <c r="N170" s="10">
        <f>IF($E170="","",IFERROR(100*(INDEX('Weights'!$D:$D,MATCH($A170,'Weights'!$A:$A,0))*(INDEX('Data_NSA'!$A:$OK,MATCH(EDATE(I$2,-1),'Data_NSA'!$A:$A,0),MATCH($D170,'Data_NSA'!$1:$1,0))/INDEX('Data_NSA'!$A:$OK,MATCH(INDEX('Weights'!$E:$E,MATCH($A170,'Weights'!$A:$A,0)),'Data_NSA'!$A:$A,0),MATCH($D170,'Data_NSA'!$1:$1,0))))/(100*(INDEX('Data_NSA'!$A:$OK,MATCH(EDATE(I$2,-1),'Data_NSA'!$A:$A,0),MATCH("CUUR0000SA0",'Data_NSA'!$1:$1,0))/INDEX('Data_NSA'!$A:$OK,MATCH(INDEX('Weights'!$E:$E,MATCH($A170,'Weights'!$A:$A,0)),'Data_NSA'!$A:$A,0),MATCH("CUUR0000SA0",'Data_NSA'!$1:$1,0))))*(INDEX('Data_SA'!$A:$LO,MATCH(I$2,'Data_SA'!$A:$A,0),MATCH($E170,'Data_SA'!$1:$1,0))/INDEX('Data_SA'!$A:$LO,MATCH(EDATE(I$2,-1),'Data_SA'!$A:$A,0),MATCH($E170,'Data_SA'!$1:$1,0))-1),""))</f>
        <v/>
      </c>
      <c r="O170" s="10">
        <f>IFERROR(INDEX('Data_NSA'!$A:$OK,MATCH(O$2,'Data_NSA'!$A:$A,0),MATCH($D170,'Data_NSA'!$1:$1,0)),"")</f>
        <v/>
      </c>
      <c r="P170" s="10">
        <f>IF($E170="","",IFERROR(INDEX('Data_SA'!$A:$LO,MATCH(O$2,'Data_SA'!$A:$A,0),MATCH($E170,'Data_SA'!$1:$1,0)),""))</f>
        <v/>
      </c>
      <c r="Q170" s="7">
        <f>IF($E170="","",IFERROR(INDEX('Data_SA'!$A:$LO,MATCH(O$2,'Data_SA'!$A:$A,0),MATCH($E170,'Data_SA'!$1:$1,0))/INDEX('Data_SA'!$A:$LO,MATCH(EDATE(O$2,-1),'Data_SA'!$A:$A,0),MATCH($E170,'Data_SA'!$1:$1,0))-1,""))</f>
        <v/>
      </c>
      <c r="R170" s="7">
        <f>IFERROR(INDEX('Data_NSA'!$A:$OK,MATCH(O$2,'Data_NSA'!$A:$A,0),MATCH($D170,'Data_NSA'!$1:$1,0))/INDEX('Data_NSA'!$A:$OK,MATCH(EDATE(O$2,-12),'Data_NSA'!$A:$A,0),MATCH($D170,'Data_NSA'!$1:$1,0))-1,"")</f>
        <v/>
      </c>
      <c r="S170" s="10">
        <f>IFERROR(INDEX('Weights'!$G:$I,MATCH($A170,'Weights'!$A:$A,0),MATCH(O$2,'Weights'!$G$1:$I$1,0)),"")</f>
        <v/>
      </c>
      <c r="T170" s="10">
        <f>IF($E170="","",IFERROR(100*(INDEX('Weights'!$D:$D,MATCH($A170,'Weights'!$A:$A,0))*(INDEX('Data_NSA'!$A:$OK,MATCH(EDATE(O$2,-1),'Data_NSA'!$A:$A,0),MATCH($D170,'Data_NSA'!$1:$1,0))/INDEX('Data_NSA'!$A:$OK,MATCH(INDEX('Weights'!$E:$E,MATCH($A170,'Weights'!$A:$A,0)),'Data_NSA'!$A:$A,0),MATCH($D170,'Data_NSA'!$1:$1,0))))/(100*(INDEX('Data_NSA'!$A:$OK,MATCH(EDATE(O$2,-1),'Data_NSA'!$A:$A,0),MATCH("CUUR0000SA0",'Data_NSA'!$1:$1,0))/INDEX('Data_NSA'!$A:$OK,MATCH(INDEX('Weights'!$E:$E,MATCH($A170,'Weights'!$A:$A,0)),'Data_NSA'!$A:$A,0),MATCH("CUUR0000SA0",'Data_NSA'!$1:$1,0))))*(INDEX('Data_SA'!$A:$LO,MATCH(O$2,'Data_SA'!$A:$A,0),MATCH($E170,'Data_SA'!$1:$1,0))/INDEX('Data_SA'!$A:$LO,MATCH(EDATE(O$2,-1),'Data_SA'!$A:$A,0),MATCH($E170,'Data_SA'!$1:$1,0))-1),""))</f>
        <v/>
      </c>
      <c r="U170" s="10">
        <f>IFERROR(INDEX('Data_NSA'!$A:$OK,MATCH(U$2,'Data_NSA'!$A:$A,0),MATCH($D170,'Data_NSA'!$1:$1,0)),"")</f>
        <v/>
      </c>
      <c r="V170" s="10">
        <f>IF($E170="","",IFERROR(INDEX('Data_SA'!$A:$LO,MATCH(U$2,'Data_SA'!$A:$A,0),MATCH($E170,'Data_SA'!$1:$1,0)),""))</f>
        <v/>
      </c>
      <c r="W170" s="7">
        <f>IF($E170="","",IFERROR(INDEX('Data_SA'!$A:$LO,MATCH(U$2,'Data_SA'!$A:$A,0),MATCH($E170,'Data_SA'!$1:$1,0))/INDEX('Data_SA'!$A:$LO,MATCH(EDATE(U$2,-1),'Data_SA'!$A:$A,0),MATCH($E170,'Data_SA'!$1:$1,0))-1,""))</f>
        <v/>
      </c>
      <c r="X170" s="7">
        <f>IFERROR(INDEX('Data_NSA'!$A:$OK,MATCH(U$2,'Data_NSA'!$A:$A,0),MATCH($D170,'Data_NSA'!$1:$1,0))/INDEX('Data_NSA'!$A:$OK,MATCH(EDATE(U$2,-12),'Data_NSA'!$A:$A,0),MATCH($D170,'Data_NSA'!$1:$1,0))-1,"")</f>
        <v/>
      </c>
      <c r="Y170" s="10">
        <f>IFERROR(INDEX('Weights'!$G:$I,MATCH($A170,'Weights'!$A:$A,0),MATCH(U$2,'Weights'!$G$1:$I$1,0)),"")</f>
        <v/>
      </c>
      <c r="Z170" s="10">
        <f>IF($E170="","",IFERROR(100*(INDEX('Weights'!$D:$D,MATCH($A170,'Weights'!$A:$A,0))*(INDEX('Data_NSA'!$A:$OK,MATCH(EDATE(U$2,-1),'Data_NSA'!$A:$A,0),MATCH($D170,'Data_NSA'!$1:$1,0))/INDEX('Data_NSA'!$A:$OK,MATCH(INDEX('Weights'!$E:$E,MATCH($A170,'Weights'!$A:$A,0)),'Data_NSA'!$A:$A,0),MATCH($D170,'Data_NSA'!$1:$1,0))))/(100*(INDEX('Data_NSA'!$A:$OK,MATCH(EDATE(U$2,-1),'Data_NSA'!$A:$A,0),MATCH("CUUR0000SA0",'Data_NSA'!$1:$1,0))/INDEX('Data_NSA'!$A:$OK,MATCH(INDEX('Weights'!$E:$E,MATCH($A170,'Weights'!$A:$A,0)),'Data_NSA'!$A:$A,0),MATCH("CUUR0000SA0",'Data_NSA'!$1:$1,0))))*(INDEX('Data_SA'!$A:$LO,MATCH(U$2,'Data_SA'!$A:$A,0),MATCH($E170,'Data_SA'!$1:$1,0))/INDEX('Data_SA'!$A:$LO,MATCH(EDATE(U$2,-1),'Data_SA'!$A:$A,0),MATCH($E170,'Data_SA'!$1:$1,0))-1),""))</f>
        <v/>
      </c>
    </row>
    <row r="171">
      <c r="A171" s="3" t="inlineStr">
        <is>
          <t>SS30021</t>
        </is>
      </c>
      <c r="B171" s="3" t="inlineStr">
        <is>
          <t>Laundry equipment</t>
        </is>
      </c>
      <c r="C171" s="3" t="inlineStr">
        <is>
          <t>SEHK01</t>
        </is>
      </c>
      <c r="D171" s="3" t="inlineStr">
        <is>
          <t>CUUR0000SS30021</t>
        </is>
      </c>
      <c r="E171" s="3" t="inlineStr">
        <is>
          <t>CUSR0000SS30021</t>
        </is>
      </c>
      <c r="F171" s="3" t="inlineStr">
        <is>
          <t>GM</t>
        </is>
      </c>
      <c r="G171" s="3" t="inlineStr">
        <is>
          <t>monthly in New York/Los Angeles/Chicago; often bimonthly elsewhere</t>
        </is>
      </c>
      <c r="H171" s="10">
        <f>IFERROR(INDEX(Weights!$D:$D,MATCH($A171,Weights!$A:$A,0)),"")</f>
        <v/>
      </c>
      <c r="I171" s="10">
        <f>IFERROR(INDEX('Data_NSA'!$A:$OK,MATCH(I$2,'Data_NSA'!$A:$A,0),MATCH($D171,'Data_NSA'!$1:$1,0)),"")</f>
        <v/>
      </c>
      <c r="J171" s="10">
        <f>IF($E171="","",IFERROR(INDEX('Data_SA'!$A:$LO,MATCH(I$2,'Data_SA'!$A:$A,0),MATCH($E171,'Data_SA'!$1:$1,0)),""))</f>
        <v/>
      </c>
      <c r="K171" s="7">
        <f>IF($E171="","",IFERROR(INDEX('Data_SA'!$A:$LO,MATCH(I$2,'Data_SA'!$A:$A,0),MATCH($E171,'Data_SA'!$1:$1,0))/INDEX('Data_SA'!$A:$LO,MATCH(EDATE(I$2,-1),'Data_SA'!$A:$A,0),MATCH($E171,'Data_SA'!$1:$1,0))-1,""))</f>
        <v/>
      </c>
      <c r="L171" s="7">
        <f>IFERROR(INDEX('Data_NSA'!$A:$OK,MATCH(I$2,'Data_NSA'!$A:$A,0),MATCH($D171,'Data_NSA'!$1:$1,0))/INDEX('Data_NSA'!$A:$OK,MATCH(EDATE(I$2,-12),'Data_NSA'!$A:$A,0),MATCH($D171,'Data_NSA'!$1:$1,0))-1,"")</f>
        <v/>
      </c>
      <c r="M171" s="10">
        <f>IFERROR(INDEX('Weights'!$G:$I,MATCH($A171,'Weights'!$A:$A,0),MATCH(I$2,'Weights'!$G$1:$I$1,0)),"")</f>
        <v/>
      </c>
      <c r="N171" s="10">
        <f>IF($E171="","",IFERROR(100*(INDEX('Weights'!$D:$D,MATCH($A171,'Weights'!$A:$A,0))*(INDEX('Data_NSA'!$A:$OK,MATCH(EDATE(I$2,-1),'Data_NSA'!$A:$A,0),MATCH($D171,'Data_NSA'!$1:$1,0))/INDEX('Data_NSA'!$A:$OK,MATCH(INDEX('Weights'!$E:$E,MATCH($A171,'Weights'!$A:$A,0)),'Data_NSA'!$A:$A,0),MATCH($D171,'Data_NSA'!$1:$1,0))))/(100*(INDEX('Data_NSA'!$A:$OK,MATCH(EDATE(I$2,-1),'Data_NSA'!$A:$A,0),MATCH("CUUR0000SA0",'Data_NSA'!$1:$1,0))/INDEX('Data_NSA'!$A:$OK,MATCH(INDEX('Weights'!$E:$E,MATCH($A171,'Weights'!$A:$A,0)),'Data_NSA'!$A:$A,0),MATCH("CUUR0000SA0",'Data_NSA'!$1:$1,0))))*(INDEX('Data_SA'!$A:$LO,MATCH(I$2,'Data_SA'!$A:$A,0),MATCH($E171,'Data_SA'!$1:$1,0))/INDEX('Data_SA'!$A:$LO,MATCH(EDATE(I$2,-1),'Data_SA'!$A:$A,0),MATCH($E171,'Data_SA'!$1:$1,0))-1),""))</f>
        <v/>
      </c>
      <c r="O171" s="10">
        <f>IFERROR(INDEX('Data_NSA'!$A:$OK,MATCH(O$2,'Data_NSA'!$A:$A,0),MATCH($D171,'Data_NSA'!$1:$1,0)),"")</f>
        <v/>
      </c>
      <c r="P171" s="10">
        <f>IF($E171="","",IFERROR(INDEX('Data_SA'!$A:$LO,MATCH(O$2,'Data_SA'!$A:$A,0),MATCH($E171,'Data_SA'!$1:$1,0)),""))</f>
        <v/>
      </c>
      <c r="Q171" s="7">
        <f>IF($E171="","",IFERROR(INDEX('Data_SA'!$A:$LO,MATCH(O$2,'Data_SA'!$A:$A,0),MATCH($E171,'Data_SA'!$1:$1,0))/INDEX('Data_SA'!$A:$LO,MATCH(EDATE(O$2,-1),'Data_SA'!$A:$A,0),MATCH($E171,'Data_SA'!$1:$1,0))-1,""))</f>
        <v/>
      </c>
      <c r="R171" s="7">
        <f>IFERROR(INDEX('Data_NSA'!$A:$OK,MATCH(O$2,'Data_NSA'!$A:$A,0),MATCH($D171,'Data_NSA'!$1:$1,0))/INDEX('Data_NSA'!$A:$OK,MATCH(EDATE(O$2,-12),'Data_NSA'!$A:$A,0),MATCH($D171,'Data_NSA'!$1:$1,0))-1,"")</f>
        <v/>
      </c>
      <c r="S171" s="10">
        <f>IFERROR(INDEX('Weights'!$G:$I,MATCH($A171,'Weights'!$A:$A,0),MATCH(O$2,'Weights'!$G$1:$I$1,0)),"")</f>
        <v/>
      </c>
      <c r="T171" s="10">
        <f>IF($E171="","",IFERROR(100*(INDEX('Weights'!$D:$D,MATCH($A171,'Weights'!$A:$A,0))*(INDEX('Data_NSA'!$A:$OK,MATCH(EDATE(O$2,-1),'Data_NSA'!$A:$A,0),MATCH($D171,'Data_NSA'!$1:$1,0))/INDEX('Data_NSA'!$A:$OK,MATCH(INDEX('Weights'!$E:$E,MATCH($A171,'Weights'!$A:$A,0)),'Data_NSA'!$A:$A,0),MATCH($D171,'Data_NSA'!$1:$1,0))))/(100*(INDEX('Data_NSA'!$A:$OK,MATCH(EDATE(O$2,-1),'Data_NSA'!$A:$A,0),MATCH("CUUR0000SA0",'Data_NSA'!$1:$1,0))/INDEX('Data_NSA'!$A:$OK,MATCH(INDEX('Weights'!$E:$E,MATCH($A171,'Weights'!$A:$A,0)),'Data_NSA'!$A:$A,0),MATCH("CUUR0000SA0",'Data_NSA'!$1:$1,0))))*(INDEX('Data_SA'!$A:$LO,MATCH(O$2,'Data_SA'!$A:$A,0),MATCH($E171,'Data_SA'!$1:$1,0))/INDEX('Data_SA'!$A:$LO,MATCH(EDATE(O$2,-1),'Data_SA'!$A:$A,0),MATCH($E171,'Data_SA'!$1:$1,0))-1),""))</f>
        <v/>
      </c>
      <c r="U171" s="10">
        <f>IFERROR(INDEX('Data_NSA'!$A:$OK,MATCH(U$2,'Data_NSA'!$A:$A,0),MATCH($D171,'Data_NSA'!$1:$1,0)),"")</f>
        <v/>
      </c>
      <c r="V171" s="10">
        <f>IF($E171="","",IFERROR(INDEX('Data_SA'!$A:$LO,MATCH(U$2,'Data_SA'!$A:$A,0),MATCH($E171,'Data_SA'!$1:$1,0)),""))</f>
        <v/>
      </c>
      <c r="W171" s="7">
        <f>IF($E171="","",IFERROR(INDEX('Data_SA'!$A:$LO,MATCH(U$2,'Data_SA'!$A:$A,0),MATCH($E171,'Data_SA'!$1:$1,0))/INDEX('Data_SA'!$A:$LO,MATCH(EDATE(U$2,-1),'Data_SA'!$A:$A,0),MATCH($E171,'Data_SA'!$1:$1,0))-1,""))</f>
        <v/>
      </c>
      <c r="X171" s="7">
        <f>IFERROR(INDEX('Data_NSA'!$A:$OK,MATCH(U$2,'Data_NSA'!$A:$A,0),MATCH($D171,'Data_NSA'!$1:$1,0))/INDEX('Data_NSA'!$A:$OK,MATCH(EDATE(U$2,-12),'Data_NSA'!$A:$A,0),MATCH($D171,'Data_NSA'!$1:$1,0))-1,"")</f>
        <v/>
      </c>
      <c r="Y171" s="10">
        <f>IFERROR(INDEX('Weights'!$G:$I,MATCH($A171,'Weights'!$A:$A,0),MATCH(U$2,'Weights'!$G$1:$I$1,0)),"")</f>
        <v/>
      </c>
      <c r="Z171" s="10">
        <f>IF($E171="","",IFERROR(100*(INDEX('Weights'!$D:$D,MATCH($A171,'Weights'!$A:$A,0))*(INDEX('Data_NSA'!$A:$OK,MATCH(EDATE(U$2,-1),'Data_NSA'!$A:$A,0),MATCH($D171,'Data_NSA'!$1:$1,0))/INDEX('Data_NSA'!$A:$OK,MATCH(INDEX('Weights'!$E:$E,MATCH($A171,'Weights'!$A:$A,0)),'Data_NSA'!$A:$A,0),MATCH($D171,'Data_NSA'!$1:$1,0))))/(100*(INDEX('Data_NSA'!$A:$OK,MATCH(EDATE(U$2,-1),'Data_NSA'!$A:$A,0),MATCH("CUUR0000SA0",'Data_NSA'!$1:$1,0))/INDEX('Data_NSA'!$A:$OK,MATCH(INDEX('Weights'!$E:$E,MATCH($A171,'Weights'!$A:$A,0)),'Data_NSA'!$A:$A,0),MATCH("CUUR0000SA0",'Data_NSA'!$1:$1,0))))*(INDEX('Data_SA'!$A:$LO,MATCH(U$2,'Data_SA'!$A:$A,0),MATCH($E171,'Data_SA'!$1:$1,0))/INDEX('Data_SA'!$A:$LO,MATCH(EDATE(U$2,-1),'Data_SA'!$A:$A,0),MATCH($E171,'Data_SA'!$1:$1,0))-1),""))</f>
        <v/>
      </c>
    </row>
    <row r="172">
      <c r="A172" s="3" t="inlineStr">
        <is>
          <t>SEHK02</t>
        </is>
      </c>
      <c r="B172" s="3" t="inlineStr">
        <is>
          <t>Other appliances</t>
        </is>
      </c>
      <c r="C172" s="3" t="inlineStr">
        <is>
          <t>SEHK</t>
        </is>
      </c>
      <c r="D172" s="3" t="inlineStr">
        <is>
          <t>CUUR0000SEHK02</t>
        </is>
      </c>
      <c r="E172" s="3" t="inlineStr">
        <is>
          <t>CUSR0000SEHK02</t>
        </is>
      </c>
      <c r="F172" s="3" t="inlineStr">
        <is>
          <t>GM</t>
        </is>
      </c>
      <c r="G172" s="3" t="inlineStr">
        <is>
          <t>monthly in New York/Los Angeles/Chicago; often bimonthly elsewhere</t>
        </is>
      </c>
      <c r="H172" s="10">
        <f>IFERROR(INDEX(Weights!$D:$D,MATCH($A172,Weights!$A:$A,0)),"")</f>
        <v/>
      </c>
      <c r="I172" s="10">
        <f>IFERROR(INDEX('Data_NSA'!$A:$OK,MATCH(I$2,'Data_NSA'!$A:$A,0),MATCH($D172,'Data_NSA'!$1:$1,0)),"")</f>
        <v/>
      </c>
      <c r="J172" s="10">
        <f>IF($E172="","",IFERROR(INDEX('Data_SA'!$A:$LO,MATCH(I$2,'Data_SA'!$A:$A,0),MATCH($E172,'Data_SA'!$1:$1,0)),""))</f>
        <v/>
      </c>
      <c r="K172" s="7">
        <f>IF($E172="","",IFERROR(INDEX('Data_SA'!$A:$LO,MATCH(I$2,'Data_SA'!$A:$A,0),MATCH($E172,'Data_SA'!$1:$1,0))/INDEX('Data_SA'!$A:$LO,MATCH(EDATE(I$2,-1),'Data_SA'!$A:$A,0),MATCH($E172,'Data_SA'!$1:$1,0))-1,""))</f>
        <v/>
      </c>
      <c r="L172" s="7">
        <f>IFERROR(INDEX('Data_NSA'!$A:$OK,MATCH(I$2,'Data_NSA'!$A:$A,0),MATCH($D172,'Data_NSA'!$1:$1,0))/INDEX('Data_NSA'!$A:$OK,MATCH(EDATE(I$2,-12),'Data_NSA'!$A:$A,0),MATCH($D172,'Data_NSA'!$1:$1,0))-1,"")</f>
        <v/>
      </c>
      <c r="M172" s="10">
        <f>IFERROR(INDEX('Weights'!$G:$I,MATCH($A172,'Weights'!$A:$A,0),MATCH(I$2,'Weights'!$G$1:$I$1,0)),"")</f>
        <v/>
      </c>
      <c r="N172" s="10">
        <f>IF($E172="","",IFERROR(100*(INDEX('Weights'!$D:$D,MATCH($A172,'Weights'!$A:$A,0))*(INDEX('Data_NSA'!$A:$OK,MATCH(EDATE(I$2,-1),'Data_NSA'!$A:$A,0),MATCH($D172,'Data_NSA'!$1:$1,0))/INDEX('Data_NSA'!$A:$OK,MATCH(INDEX('Weights'!$E:$E,MATCH($A172,'Weights'!$A:$A,0)),'Data_NSA'!$A:$A,0),MATCH($D172,'Data_NSA'!$1:$1,0))))/(100*(INDEX('Data_NSA'!$A:$OK,MATCH(EDATE(I$2,-1),'Data_NSA'!$A:$A,0),MATCH("CUUR0000SA0",'Data_NSA'!$1:$1,0))/INDEX('Data_NSA'!$A:$OK,MATCH(INDEX('Weights'!$E:$E,MATCH($A172,'Weights'!$A:$A,0)),'Data_NSA'!$A:$A,0),MATCH("CUUR0000SA0",'Data_NSA'!$1:$1,0))))*(INDEX('Data_SA'!$A:$LO,MATCH(I$2,'Data_SA'!$A:$A,0),MATCH($E172,'Data_SA'!$1:$1,0))/INDEX('Data_SA'!$A:$LO,MATCH(EDATE(I$2,-1),'Data_SA'!$A:$A,0),MATCH($E172,'Data_SA'!$1:$1,0))-1),""))</f>
        <v/>
      </c>
      <c r="O172" s="10">
        <f>IFERROR(INDEX('Data_NSA'!$A:$OK,MATCH(O$2,'Data_NSA'!$A:$A,0),MATCH($D172,'Data_NSA'!$1:$1,0)),"")</f>
        <v/>
      </c>
      <c r="P172" s="10">
        <f>IF($E172="","",IFERROR(INDEX('Data_SA'!$A:$LO,MATCH(O$2,'Data_SA'!$A:$A,0),MATCH($E172,'Data_SA'!$1:$1,0)),""))</f>
        <v/>
      </c>
      <c r="Q172" s="7">
        <f>IF($E172="","",IFERROR(INDEX('Data_SA'!$A:$LO,MATCH(O$2,'Data_SA'!$A:$A,0),MATCH($E172,'Data_SA'!$1:$1,0))/INDEX('Data_SA'!$A:$LO,MATCH(EDATE(O$2,-1),'Data_SA'!$A:$A,0),MATCH($E172,'Data_SA'!$1:$1,0))-1,""))</f>
        <v/>
      </c>
      <c r="R172" s="7">
        <f>IFERROR(INDEX('Data_NSA'!$A:$OK,MATCH(O$2,'Data_NSA'!$A:$A,0),MATCH($D172,'Data_NSA'!$1:$1,0))/INDEX('Data_NSA'!$A:$OK,MATCH(EDATE(O$2,-12),'Data_NSA'!$A:$A,0),MATCH($D172,'Data_NSA'!$1:$1,0))-1,"")</f>
        <v/>
      </c>
      <c r="S172" s="10">
        <f>IFERROR(INDEX('Weights'!$G:$I,MATCH($A172,'Weights'!$A:$A,0),MATCH(O$2,'Weights'!$G$1:$I$1,0)),"")</f>
        <v/>
      </c>
      <c r="T172" s="10">
        <f>IF($E172="","",IFERROR(100*(INDEX('Weights'!$D:$D,MATCH($A172,'Weights'!$A:$A,0))*(INDEX('Data_NSA'!$A:$OK,MATCH(EDATE(O$2,-1),'Data_NSA'!$A:$A,0),MATCH($D172,'Data_NSA'!$1:$1,0))/INDEX('Data_NSA'!$A:$OK,MATCH(INDEX('Weights'!$E:$E,MATCH($A172,'Weights'!$A:$A,0)),'Data_NSA'!$A:$A,0),MATCH($D172,'Data_NSA'!$1:$1,0))))/(100*(INDEX('Data_NSA'!$A:$OK,MATCH(EDATE(O$2,-1),'Data_NSA'!$A:$A,0),MATCH("CUUR0000SA0",'Data_NSA'!$1:$1,0))/INDEX('Data_NSA'!$A:$OK,MATCH(INDEX('Weights'!$E:$E,MATCH($A172,'Weights'!$A:$A,0)),'Data_NSA'!$A:$A,0),MATCH("CUUR0000SA0",'Data_NSA'!$1:$1,0))))*(INDEX('Data_SA'!$A:$LO,MATCH(O$2,'Data_SA'!$A:$A,0),MATCH($E172,'Data_SA'!$1:$1,0))/INDEX('Data_SA'!$A:$LO,MATCH(EDATE(O$2,-1),'Data_SA'!$A:$A,0),MATCH($E172,'Data_SA'!$1:$1,0))-1),""))</f>
        <v/>
      </c>
      <c r="U172" s="10">
        <f>IFERROR(INDEX('Data_NSA'!$A:$OK,MATCH(U$2,'Data_NSA'!$A:$A,0),MATCH($D172,'Data_NSA'!$1:$1,0)),"")</f>
        <v/>
      </c>
      <c r="V172" s="10">
        <f>IF($E172="","",IFERROR(INDEX('Data_SA'!$A:$LO,MATCH(U$2,'Data_SA'!$A:$A,0),MATCH($E172,'Data_SA'!$1:$1,0)),""))</f>
        <v/>
      </c>
      <c r="W172" s="7">
        <f>IF($E172="","",IFERROR(INDEX('Data_SA'!$A:$LO,MATCH(U$2,'Data_SA'!$A:$A,0),MATCH($E172,'Data_SA'!$1:$1,0))/INDEX('Data_SA'!$A:$LO,MATCH(EDATE(U$2,-1),'Data_SA'!$A:$A,0),MATCH($E172,'Data_SA'!$1:$1,0))-1,""))</f>
        <v/>
      </c>
      <c r="X172" s="7">
        <f>IFERROR(INDEX('Data_NSA'!$A:$OK,MATCH(U$2,'Data_NSA'!$A:$A,0),MATCH($D172,'Data_NSA'!$1:$1,0))/INDEX('Data_NSA'!$A:$OK,MATCH(EDATE(U$2,-12),'Data_NSA'!$A:$A,0),MATCH($D172,'Data_NSA'!$1:$1,0))-1,"")</f>
        <v/>
      </c>
      <c r="Y172" s="10">
        <f>IFERROR(INDEX('Weights'!$G:$I,MATCH($A172,'Weights'!$A:$A,0),MATCH(U$2,'Weights'!$G$1:$I$1,0)),"")</f>
        <v/>
      </c>
      <c r="Z172" s="10">
        <f>IF($E172="","",IFERROR(100*(INDEX('Weights'!$D:$D,MATCH($A172,'Weights'!$A:$A,0))*(INDEX('Data_NSA'!$A:$OK,MATCH(EDATE(U$2,-1),'Data_NSA'!$A:$A,0),MATCH($D172,'Data_NSA'!$1:$1,0))/INDEX('Data_NSA'!$A:$OK,MATCH(INDEX('Weights'!$E:$E,MATCH($A172,'Weights'!$A:$A,0)),'Data_NSA'!$A:$A,0),MATCH($D172,'Data_NSA'!$1:$1,0))))/(100*(INDEX('Data_NSA'!$A:$OK,MATCH(EDATE(U$2,-1),'Data_NSA'!$A:$A,0),MATCH("CUUR0000SA0",'Data_NSA'!$1:$1,0))/INDEX('Data_NSA'!$A:$OK,MATCH(INDEX('Weights'!$E:$E,MATCH($A172,'Weights'!$A:$A,0)),'Data_NSA'!$A:$A,0),MATCH("CUUR0000SA0",'Data_NSA'!$1:$1,0))))*(INDEX('Data_SA'!$A:$LO,MATCH(U$2,'Data_SA'!$A:$A,0),MATCH($E172,'Data_SA'!$1:$1,0))/INDEX('Data_SA'!$A:$LO,MATCH(EDATE(U$2,-1),'Data_SA'!$A:$A,0),MATCH($E172,'Data_SA'!$1:$1,0))-1),""))</f>
        <v/>
      </c>
    </row>
    <row r="173">
      <c r="A173" s="3" t="inlineStr">
        <is>
          <t>SEHL</t>
        </is>
      </c>
      <c r="B173" s="3" t="inlineStr">
        <is>
          <t>Other household equipment and furnishings</t>
        </is>
      </c>
      <c r="C173" s="3" t="inlineStr">
        <is>
          <t>SAH3</t>
        </is>
      </c>
      <c r="D173" s="3" t="inlineStr">
        <is>
          <t>CUUR0000SEHL</t>
        </is>
      </c>
      <c r="E173" s="3" t="inlineStr">
        <is>
          <t>CUSR0000SEHL</t>
        </is>
      </c>
      <c r="F173" s="3" t="inlineStr">
        <is>
          <t>aggregate</t>
        </is>
      </c>
      <c r="G173" s="3" t="inlineStr">
        <is>
          <t>aggregate</t>
        </is>
      </c>
      <c r="H173" s="10">
        <f>IFERROR(INDEX(Weights!$D:$D,MATCH($A173,Weights!$A:$A,0)),"")</f>
        <v/>
      </c>
      <c r="I173" s="10">
        <f>IFERROR(INDEX('Data_NSA'!$A:$OK,MATCH(I$2,'Data_NSA'!$A:$A,0),MATCH($D173,'Data_NSA'!$1:$1,0)),"")</f>
        <v/>
      </c>
      <c r="J173" s="10">
        <f>IF($E173="","",IFERROR(INDEX('Data_SA'!$A:$LO,MATCH(I$2,'Data_SA'!$A:$A,0),MATCH($E173,'Data_SA'!$1:$1,0)),""))</f>
        <v/>
      </c>
      <c r="K173" s="7">
        <f>IF($E173="","",IFERROR(INDEX('Data_SA'!$A:$LO,MATCH(I$2,'Data_SA'!$A:$A,0),MATCH($E173,'Data_SA'!$1:$1,0))/INDEX('Data_SA'!$A:$LO,MATCH(EDATE(I$2,-1),'Data_SA'!$A:$A,0),MATCH($E173,'Data_SA'!$1:$1,0))-1,""))</f>
        <v/>
      </c>
      <c r="L173" s="7">
        <f>IFERROR(INDEX('Data_NSA'!$A:$OK,MATCH(I$2,'Data_NSA'!$A:$A,0),MATCH($D173,'Data_NSA'!$1:$1,0))/INDEX('Data_NSA'!$A:$OK,MATCH(EDATE(I$2,-12),'Data_NSA'!$A:$A,0),MATCH($D173,'Data_NSA'!$1:$1,0))-1,"")</f>
        <v/>
      </c>
      <c r="M173" s="10">
        <f>IFERROR(INDEX('Weights'!$G:$I,MATCH($A173,'Weights'!$A:$A,0),MATCH(I$2,'Weights'!$G$1:$I$1,0)),"")</f>
        <v/>
      </c>
      <c r="N173" s="10">
        <f>IF($E173="","",IFERROR(100*(INDEX('Weights'!$D:$D,MATCH($A173,'Weights'!$A:$A,0))*(INDEX('Data_NSA'!$A:$OK,MATCH(EDATE(I$2,-1),'Data_NSA'!$A:$A,0),MATCH($D173,'Data_NSA'!$1:$1,0))/INDEX('Data_NSA'!$A:$OK,MATCH(INDEX('Weights'!$E:$E,MATCH($A173,'Weights'!$A:$A,0)),'Data_NSA'!$A:$A,0),MATCH($D173,'Data_NSA'!$1:$1,0))))/(100*(INDEX('Data_NSA'!$A:$OK,MATCH(EDATE(I$2,-1),'Data_NSA'!$A:$A,0),MATCH("CUUR0000SA0",'Data_NSA'!$1:$1,0))/INDEX('Data_NSA'!$A:$OK,MATCH(INDEX('Weights'!$E:$E,MATCH($A173,'Weights'!$A:$A,0)),'Data_NSA'!$A:$A,0),MATCH("CUUR0000SA0",'Data_NSA'!$1:$1,0))))*(INDEX('Data_SA'!$A:$LO,MATCH(I$2,'Data_SA'!$A:$A,0),MATCH($E173,'Data_SA'!$1:$1,0))/INDEX('Data_SA'!$A:$LO,MATCH(EDATE(I$2,-1),'Data_SA'!$A:$A,0),MATCH($E173,'Data_SA'!$1:$1,0))-1),""))</f>
        <v/>
      </c>
      <c r="O173" s="10">
        <f>IFERROR(INDEX('Data_NSA'!$A:$OK,MATCH(O$2,'Data_NSA'!$A:$A,0),MATCH($D173,'Data_NSA'!$1:$1,0)),"")</f>
        <v/>
      </c>
      <c r="P173" s="10">
        <f>IF($E173="","",IFERROR(INDEX('Data_SA'!$A:$LO,MATCH(O$2,'Data_SA'!$A:$A,0),MATCH($E173,'Data_SA'!$1:$1,0)),""))</f>
        <v/>
      </c>
      <c r="Q173" s="7">
        <f>IF($E173="","",IFERROR(INDEX('Data_SA'!$A:$LO,MATCH(O$2,'Data_SA'!$A:$A,0),MATCH($E173,'Data_SA'!$1:$1,0))/INDEX('Data_SA'!$A:$LO,MATCH(EDATE(O$2,-1),'Data_SA'!$A:$A,0),MATCH($E173,'Data_SA'!$1:$1,0))-1,""))</f>
        <v/>
      </c>
      <c r="R173" s="7">
        <f>IFERROR(INDEX('Data_NSA'!$A:$OK,MATCH(O$2,'Data_NSA'!$A:$A,0),MATCH($D173,'Data_NSA'!$1:$1,0))/INDEX('Data_NSA'!$A:$OK,MATCH(EDATE(O$2,-12),'Data_NSA'!$A:$A,0),MATCH($D173,'Data_NSA'!$1:$1,0))-1,"")</f>
        <v/>
      </c>
      <c r="S173" s="10">
        <f>IFERROR(INDEX('Weights'!$G:$I,MATCH($A173,'Weights'!$A:$A,0),MATCH(O$2,'Weights'!$G$1:$I$1,0)),"")</f>
        <v/>
      </c>
      <c r="T173" s="10">
        <f>IF($E173="","",IFERROR(100*(INDEX('Weights'!$D:$D,MATCH($A173,'Weights'!$A:$A,0))*(INDEX('Data_NSA'!$A:$OK,MATCH(EDATE(O$2,-1),'Data_NSA'!$A:$A,0),MATCH($D173,'Data_NSA'!$1:$1,0))/INDEX('Data_NSA'!$A:$OK,MATCH(INDEX('Weights'!$E:$E,MATCH($A173,'Weights'!$A:$A,0)),'Data_NSA'!$A:$A,0),MATCH($D173,'Data_NSA'!$1:$1,0))))/(100*(INDEX('Data_NSA'!$A:$OK,MATCH(EDATE(O$2,-1),'Data_NSA'!$A:$A,0),MATCH("CUUR0000SA0",'Data_NSA'!$1:$1,0))/INDEX('Data_NSA'!$A:$OK,MATCH(INDEX('Weights'!$E:$E,MATCH($A173,'Weights'!$A:$A,0)),'Data_NSA'!$A:$A,0),MATCH("CUUR0000SA0",'Data_NSA'!$1:$1,0))))*(INDEX('Data_SA'!$A:$LO,MATCH(O$2,'Data_SA'!$A:$A,0),MATCH($E173,'Data_SA'!$1:$1,0))/INDEX('Data_SA'!$A:$LO,MATCH(EDATE(O$2,-1),'Data_SA'!$A:$A,0),MATCH($E173,'Data_SA'!$1:$1,0))-1),""))</f>
        <v/>
      </c>
      <c r="U173" s="10">
        <f>IFERROR(INDEX('Data_NSA'!$A:$OK,MATCH(U$2,'Data_NSA'!$A:$A,0),MATCH($D173,'Data_NSA'!$1:$1,0)),"")</f>
        <v/>
      </c>
      <c r="V173" s="10">
        <f>IF($E173="","",IFERROR(INDEX('Data_SA'!$A:$LO,MATCH(U$2,'Data_SA'!$A:$A,0),MATCH($E173,'Data_SA'!$1:$1,0)),""))</f>
        <v/>
      </c>
      <c r="W173" s="7">
        <f>IF($E173="","",IFERROR(INDEX('Data_SA'!$A:$LO,MATCH(U$2,'Data_SA'!$A:$A,0),MATCH($E173,'Data_SA'!$1:$1,0))/INDEX('Data_SA'!$A:$LO,MATCH(EDATE(U$2,-1),'Data_SA'!$A:$A,0),MATCH($E173,'Data_SA'!$1:$1,0))-1,""))</f>
        <v/>
      </c>
      <c r="X173" s="7">
        <f>IFERROR(INDEX('Data_NSA'!$A:$OK,MATCH(U$2,'Data_NSA'!$A:$A,0),MATCH($D173,'Data_NSA'!$1:$1,0))/INDEX('Data_NSA'!$A:$OK,MATCH(EDATE(U$2,-12),'Data_NSA'!$A:$A,0),MATCH($D173,'Data_NSA'!$1:$1,0))-1,"")</f>
        <v/>
      </c>
      <c r="Y173" s="10">
        <f>IFERROR(INDEX('Weights'!$G:$I,MATCH($A173,'Weights'!$A:$A,0),MATCH(U$2,'Weights'!$G$1:$I$1,0)),"")</f>
        <v/>
      </c>
      <c r="Z173" s="10">
        <f>IF($E173="","",IFERROR(100*(INDEX('Weights'!$D:$D,MATCH($A173,'Weights'!$A:$A,0))*(INDEX('Data_NSA'!$A:$OK,MATCH(EDATE(U$2,-1),'Data_NSA'!$A:$A,0),MATCH($D173,'Data_NSA'!$1:$1,0))/INDEX('Data_NSA'!$A:$OK,MATCH(INDEX('Weights'!$E:$E,MATCH($A173,'Weights'!$A:$A,0)),'Data_NSA'!$A:$A,0),MATCH($D173,'Data_NSA'!$1:$1,0))))/(100*(INDEX('Data_NSA'!$A:$OK,MATCH(EDATE(U$2,-1),'Data_NSA'!$A:$A,0),MATCH("CUUR0000SA0",'Data_NSA'!$1:$1,0))/INDEX('Data_NSA'!$A:$OK,MATCH(INDEX('Weights'!$E:$E,MATCH($A173,'Weights'!$A:$A,0)),'Data_NSA'!$A:$A,0),MATCH("CUUR0000SA0",'Data_NSA'!$1:$1,0))))*(INDEX('Data_SA'!$A:$LO,MATCH(U$2,'Data_SA'!$A:$A,0),MATCH($E173,'Data_SA'!$1:$1,0))/INDEX('Data_SA'!$A:$LO,MATCH(EDATE(U$2,-1),'Data_SA'!$A:$A,0),MATCH($E173,'Data_SA'!$1:$1,0))-1),""))</f>
        <v/>
      </c>
    </row>
    <row r="174">
      <c r="A174" s="3" t="inlineStr">
        <is>
          <t>SEHL01</t>
        </is>
      </c>
      <c r="B174" s="3" t="inlineStr">
        <is>
          <t>Clocks, lamps, and decorator items</t>
        </is>
      </c>
      <c r="C174" s="3" t="inlineStr">
        <is>
          <t>SEHL</t>
        </is>
      </c>
      <c r="D174" s="3" t="inlineStr">
        <is>
          <t>CUUR0000SEHL01</t>
        </is>
      </c>
      <c r="E174" s="3" t="inlineStr"/>
      <c r="F174" s="3" t="inlineStr">
        <is>
          <t>GM</t>
        </is>
      </c>
      <c r="G174" s="3" t="inlineStr">
        <is>
          <t>monthly in New York/Los Angeles/Chicago; often bimonthly elsewhere</t>
        </is>
      </c>
      <c r="H174" s="10">
        <f>IFERROR(INDEX(Weights!$D:$D,MATCH($A174,Weights!$A:$A,0)),"")</f>
        <v/>
      </c>
      <c r="I174" s="10">
        <f>IFERROR(INDEX('Data_NSA'!$A:$OK,MATCH(I$2,'Data_NSA'!$A:$A,0),MATCH($D174,'Data_NSA'!$1:$1,0)),"")</f>
        <v/>
      </c>
      <c r="J174" s="10">
        <f>IF($E174="","",IFERROR(INDEX('Data_SA'!$A:$LO,MATCH(I$2,'Data_SA'!$A:$A,0),MATCH($E174,'Data_SA'!$1:$1,0)),""))</f>
        <v/>
      </c>
      <c r="K174" s="7">
        <f>IF($E174="","",IFERROR(INDEX('Data_SA'!$A:$LO,MATCH(I$2,'Data_SA'!$A:$A,0),MATCH($E174,'Data_SA'!$1:$1,0))/INDEX('Data_SA'!$A:$LO,MATCH(EDATE(I$2,-1),'Data_SA'!$A:$A,0),MATCH($E174,'Data_SA'!$1:$1,0))-1,""))</f>
        <v/>
      </c>
      <c r="L174" s="7">
        <f>IFERROR(INDEX('Data_NSA'!$A:$OK,MATCH(I$2,'Data_NSA'!$A:$A,0),MATCH($D174,'Data_NSA'!$1:$1,0))/INDEX('Data_NSA'!$A:$OK,MATCH(EDATE(I$2,-12),'Data_NSA'!$A:$A,0),MATCH($D174,'Data_NSA'!$1:$1,0))-1,"")</f>
        <v/>
      </c>
      <c r="M174" s="10">
        <f>IFERROR(INDEX('Weights'!$G:$I,MATCH($A174,'Weights'!$A:$A,0),MATCH(I$2,'Weights'!$G$1:$I$1,0)),"")</f>
        <v/>
      </c>
      <c r="N174" s="10">
        <f>IF($E174="","",IFERROR(100*(INDEX('Weights'!$D:$D,MATCH($A174,'Weights'!$A:$A,0))*(INDEX('Data_NSA'!$A:$OK,MATCH(EDATE(I$2,-1),'Data_NSA'!$A:$A,0),MATCH($D174,'Data_NSA'!$1:$1,0))/INDEX('Data_NSA'!$A:$OK,MATCH(INDEX('Weights'!$E:$E,MATCH($A174,'Weights'!$A:$A,0)),'Data_NSA'!$A:$A,0),MATCH($D174,'Data_NSA'!$1:$1,0))))/(100*(INDEX('Data_NSA'!$A:$OK,MATCH(EDATE(I$2,-1),'Data_NSA'!$A:$A,0),MATCH("CUUR0000SA0",'Data_NSA'!$1:$1,0))/INDEX('Data_NSA'!$A:$OK,MATCH(INDEX('Weights'!$E:$E,MATCH($A174,'Weights'!$A:$A,0)),'Data_NSA'!$A:$A,0),MATCH("CUUR0000SA0",'Data_NSA'!$1:$1,0))))*(INDEX('Data_SA'!$A:$LO,MATCH(I$2,'Data_SA'!$A:$A,0),MATCH($E174,'Data_SA'!$1:$1,0))/INDEX('Data_SA'!$A:$LO,MATCH(EDATE(I$2,-1),'Data_SA'!$A:$A,0),MATCH($E174,'Data_SA'!$1:$1,0))-1),""))</f>
        <v/>
      </c>
      <c r="O174" s="10">
        <f>IFERROR(INDEX('Data_NSA'!$A:$OK,MATCH(O$2,'Data_NSA'!$A:$A,0),MATCH($D174,'Data_NSA'!$1:$1,0)),"")</f>
        <v/>
      </c>
      <c r="P174" s="10">
        <f>IF($E174="","",IFERROR(INDEX('Data_SA'!$A:$LO,MATCH(O$2,'Data_SA'!$A:$A,0),MATCH($E174,'Data_SA'!$1:$1,0)),""))</f>
        <v/>
      </c>
      <c r="Q174" s="7">
        <f>IF($E174="","",IFERROR(INDEX('Data_SA'!$A:$LO,MATCH(O$2,'Data_SA'!$A:$A,0),MATCH($E174,'Data_SA'!$1:$1,0))/INDEX('Data_SA'!$A:$LO,MATCH(EDATE(O$2,-1),'Data_SA'!$A:$A,0),MATCH($E174,'Data_SA'!$1:$1,0))-1,""))</f>
        <v/>
      </c>
      <c r="R174" s="7">
        <f>IFERROR(INDEX('Data_NSA'!$A:$OK,MATCH(O$2,'Data_NSA'!$A:$A,0),MATCH($D174,'Data_NSA'!$1:$1,0))/INDEX('Data_NSA'!$A:$OK,MATCH(EDATE(O$2,-12),'Data_NSA'!$A:$A,0),MATCH($D174,'Data_NSA'!$1:$1,0))-1,"")</f>
        <v/>
      </c>
      <c r="S174" s="10">
        <f>IFERROR(INDEX('Weights'!$G:$I,MATCH($A174,'Weights'!$A:$A,0),MATCH(O$2,'Weights'!$G$1:$I$1,0)),"")</f>
        <v/>
      </c>
      <c r="T174" s="10">
        <f>IF($E174="","",IFERROR(100*(INDEX('Weights'!$D:$D,MATCH($A174,'Weights'!$A:$A,0))*(INDEX('Data_NSA'!$A:$OK,MATCH(EDATE(O$2,-1),'Data_NSA'!$A:$A,0),MATCH($D174,'Data_NSA'!$1:$1,0))/INDEX('Data_NSA'!$A:$OK,MATCH(INDEX('Weights'!$E:$E,MATCH($A174,'Weights'!$A:$A,0)),'Data_NSA'!$A:$A,0),MATCH($D174,'Data_NSA'!$1:$1,0))))/(100*(INDEX('Data_NSA'!$A:$OK,MATCH(EDATE(O$2,-1),'Data_NSA'!$A:$A,0),MATCH("CUUR0000SA0",'Data_NSA'!$1:$1,0))/INDEX('Data_NSA'!$A:$OK,MATCH(INDEX('Weights'!$E:$E,MATCH($A174,'Weights'!$A:$A,0)),'Data_NSA'!$A:$A,0),MATCH("CUUR0000SA0",'Data_NSA'!$1:$1,0))))*(INDEX('Data_SA'!$A:$LO,MATCH(O$2,'Data_SA'!$A:$A,0),MATCH($E174,'Data_SA'!$1:$1,0))/INDEX('Data_SA'!$A:$LO,MATCH(EDATE(O$2,-1),'Data_SA'!$A:$A,0),MATCH($E174,'Data_SA'!$1:$1,0))-1),""))</f>
        <v/>
      </c>
      <c r="U174" s="10">
        <f>IFERROR(INDEX('Data_NSA'!$A:$OK,MATCH(U$2,'Data_NSA'!$A:$A,0),MATCH($D174,'Data_NSA'!$1:$1,0)),"")</f>
        <v/>
      </c>
      <c r="V174" s="10">
        <f>IF($E174="","",IFERROR(INDEX('Data_SA'!$A:$LO,MATCH(U$2,'Data_SA'!$A:$A,0),MATCH($E174,'Data_SA'!$1:$1,0)),""))</f>
        <v/>
      </c>
      <c r="W174" s="7">
        <f>IF($E174="","",IFERROR(INDEX('Data_SA'!$A:$LO,MATCH(U$2,'Data_SA'!$A:$A,0),MATCH($E174,'Data_SA'!$1:$1,0))/INDEX('Data_SA'!$A:$LO,MATCH(EDATE(U$2,-1),'Data_SA'!$A:$A,0),MATCH($E174,'Data_SA'!$1:$1,0))-1,""))</f>
        <v/>
      </c>
      <c r="X174" s="7">
        <f>IFERROR(INDEX('Data_NSA'!$A:$OK,MATCH(U$2,'Data_NSA'!$A:$A,0),MATCH($D174,'Data_NSA'!$1:$1,0))/INDEX('Data_NSA'!$A:$OK,MATCH(EDATE(U$2,-12),'Data_NSA'!$A:$A,0),MATCH($D174,'Data_NSA'!$1:$1,0))-1,"")</f>
        <v/>
      </c>
      <c r="Y174" s="10">
        <f>IFERROR(INDEX('Weights'!$G:$I,MATCH($A174,'Weights'!$A:$A,0),MATCH(U$2,'Weights'!$G$1:$I$1,0)),"")</f>
        <v/>
      </c>
      <c r="Z174" s="10">
        <f>IF($E174="","",IFERROR(100*(INDEX('Weights'!$D:$D,MATCH($A174,'Weights'!$A:$A,0))*(INDEX('Data_NSA'!$A:$OK,MATCH(EDATE(U$2,-1),'Data_NSA'!$A:$A,0),MATCH($D174,'Data_NSA'!$1:$1,0))/INDEX('Data_NSA'!$A:$OK,MATCH(INDEX('Weights'!$E:$E,MATCH($A174,'Weights'!$A:$A,0)),'Data_NSA'!$A:$A,0),MATCH($D174,'Data_NSA'!$1:$1,0))))/(100*(INDEX('Data_NSA'!$A:$OK,MATCH(EDATE(U$2,-1),'Data_NSA'!$A:$A,0),MATCH("CUUR0000SA0",'Data_NSA'!$1:$1,0))/INDEX('Data_NSA'!$A:$OK,MATCH(INDEX('Weights'!$E:$E,MATCH($A174,'Weights'!$A:$A,0)),'Data_NSA'!$A:$A,0),MATCH("CUUR0000SA0",'Data_NSA'!$1:$1,0))))*(INDEX('Data_SA'!$A:$LO,MATCH(U$2,'Data_SA'!$A:$A,0),MATCH($E174,'Data_SA'!$1:$1,0))/INDEX('Data_SA'!$A:$LO,MATCH(EDATE(U$2,-1),'Data_SA'!$A:$A,0),MATCH($E174,'Data_SA'!$1:$1,0))-1),""))</f>
        <v/>
      </c>
    </row>
    <row r="175">
      <c r="A175" s="3" t="inlineStr">
        <is>
          <t>SEHL02</t>
        </is>
      </c>
      <c r="B175" s="3" t="inlineStr">
        <is>
          <t>Indoor plants and flowers</t>
        </is>
      </c>
      <c r="C175" s="3" t="inlineStr">
        <is>
          <t>SEHL</t>
        </is>
      </c>
      <c r="D175" s="3" t="inlineStr">
        <is>
          <t>CUUR0000SEHL02</t>
        </is>
      </c>
      <c r="E175" s="3" t="inlineStr">
        <is>
          <t>CUSR0000SEHL02</t>
        </is>
      </c>
      <c r="F175" s="3" t="inlineStr">
        <is>
          <t>GM</t>
        </is>
      </c>
      <c r="G175" s="3" t="inlineStr">
        <is>
          <t>monthly in New York/Los Angeles/Chicago; often bimonthly elsewhere</t>
        </is>
      </c>
      <c r="H175" s="10">
        <f>IFERROR(INDEX(Weights!$D:$D,MATCH($A175,Weights!$A:$A,0)),"")</f>
        <v/>
      </c>
      <c r="I175" s="10">
        <f>IFERROR(INDEX('Data_NSA'!$A:$OK,MATCH(I$2,'Data_NSA'!$A:$A,0),MATCH($D175,'Data_NSA'!$1:$1,0)),"")</f>
        <v/>
      </c>
      <c r="J175" s="10">
        <f>IF($E175="","",IFERROR(INDEX('Data_SA'!$A:$LO,MATCH(I$2,'Data_SA'!$A:$A,0),MATCH($E175,'Data_SA'!$1:$1,0)),""))</f>
        <v/>
      </c>
      <c r="K175" s="7">
        <f>IF($E175="","",IFERROR(INDEX('Data_SA'!$A:$LO,MATCH(I$2,'Data_SA'!$A:$A,0),MATCH($E175,'Data_SA'!$1:$1,0))/INDEX('Data_SA'!$A:$LO,MATCH(EDATE(I$2,-1),'Data_SA'!$A:$A,0),MATCH($E175,'Data_SA'!$1:$1,0))-1,""))</f>
        <v/>
      </c>
      <c r="L175" s="7">
        <f>IFERROR(INDEX('Data_NSA'!$A:$OK,MATCH(I$2,'Data_NSA'!$A:$A,0),MATCH($D175,'Data_NSA'!$1:$1,0))/INDEX('Data_NSA'!$A:$OK,MATCH(EDATE(I$2,-12),'Data_NSA'!$A:$A,0),MATCH($D175,'Data_NSA'!$1:$1,0))-1,"")</f>
        <v/>
      </c>
      <c r="M175" s="10">
        <f>IFERROR(INDEX('Weights'!$G:$I,MATCH($A175,'Weights'!$A:$A,0),MATCH(I$2,'Weights'!$G$1:$I$1,0)),"")</f>
        <v/>
      </c>
      <c r="N175" s="10">
        <f>IF($E175="","",IFERROR(100*(INDEX('Weights'!$D:$D,MATCH($A175,'Weights'!$A:$A,0))*(INDEX('Data_NSA'!$A:$OK,MATCH(EDATE(I$2,-1),'Data_NSA'!$A:$A,0),MATCH($D175,'Data_NSA'!$1:$1,0))/INDEX('Data_NSA'!$A:$OK,MATCH(INDEX('Weights'!$E:$E,MATCH($A175,'Weights'!$A:$A,0)),'Data_NSA'!$A:$A,0),MATCH($D175,'Data_NSA'!$1:$1,0))))/(100*(INDEX('Data_NSA'!$A:$OK,MATCH(EDATE(I$2,-1),'Data_NSA'!$A:$A,0),MATCH("CUUR0000SA0",'Data_NSA'!$1:$1,0))/INDEX('Data_NSA'!$A:$OK,MATCH(INDEX('Weights'!$E:$E,MATCH($A175,'Weights'!$A:$A,0)),'Data_NSA'!$A:$A,0),MATCH("CUUR0000SA0",'Data_NSA'!$1:$1,0))))*(INDEX('Data_SA'!$A:$LO,MATCH(I$2,'Data_SA'!$A:$A,0),MATCH($E175,'Data_SA'!$1:$1,0))/INDEX('Data_SA'!$A:$LO,MATCH(EDATE(I$2,-1),'Data_SA'!$A:$A,0),MATCH($E175,'Data_SA'!$1:$1,0))-1),""))</f>
        <v/>
      </c>
      <c r="O175" s="10">
        <f>IFERROR(INDEX('Data_NSA'!$A:$OK,MATCH(O$2,'Data_NSA'!$A:$A,0),MATCH($D175,'Data_NSA'!$1:$1,0)),"")</f>
        <v/>
      </c>
      <c r="P175" s="10">
        <f>IF($E175="","",IFERROR(INDEX('Data_SA'!$A:$LO,MATCH(O$2,'Data_SA'!$A:$A,0),MATCH($E175,'Data_SA'!$1:$1,0)),""))</f>
        <v/>
      </c>
      <c r="Q175" s="7">
        <f>IF($E175="","",IFERROR(INDEX('Data_SA'!$A:$LO,MATCH(O$2,'Data_SA'!$A:$A,0),MATCH($E175,'Data_SA'!$1:$1,0))/INDEX('Data_SA'!$A:$LO,MATCH(EDATE(O$2,-1),'Data_SA'!$A:$A,0),MATCH($E175,'Data_SA'!$1:$1,0))-1,""))</f>
        <v/>
      </c>
      <c r="R175" s="7">
        <f>IFERROR(INDEX('Data_NSA'!$A:$OK,MATCH(O$2,'Data_NSA'!$A:$A,0),MATCH($D175,'Data_NSA'!$1:$1,0))/INDEX('Data_NSA'!$A:$OK,MATCH(EDATE(O$2,-12),'Data_NSA'!$A:$A,0),MATCH($D175,'Data_NSA'!$1:$1,0))-1,"")</f>
        <v/>
      </c>
      <c r="S175" s="10">
        <f>IFERROR(INDEX('Weights'!$G:$I,MATCH($A175,'Weights'!$A:$A,0),MATCH(O$2,'Weights'!$G$1:$I$1,0)),"")</f>
        <v/>
      </c>
      <c r="T175" s="10">
        <f>IF($E175="","",IFERROR(100*(INDEX('Weights'!$D:$D,MATCH($A175,'Weights'!$A:$A,0))*(INDEX('Data_NSA'!$A:$OK,MATCH(EDATE(O$2,-1),'Data_NSA'!$A:$A,0),MATCH($D175,'Data_NSA'!$1:$1,0))/INDEX('Data_NSA'!$A:$OK,MATCH(INDEX('Weights'!$E:$E,MATCH($A175,'Weights'!$A:$A,0)),'Data_NSA'!$A:$A,0),MATCH($D175,'Data_NSA'!$1:$1,0))))/(100*(INDEX('Data_NSA'!$A:$OK,MATCH(EDATE(O$2,-1),'Data_NSA'!$A:$A,0),MATCH("CUUR0000SA0",'Data_NSA'!$1:$1,0))/INDEX('Data_NSA'!$A:$OK,MATCH(INDEX('Weights'!$E:$E,MATCH($A175,'Weights'!$A:$A,0)),'Data_NSA'!$A:$A,0),MATCH("CUUR0000SA0",'Data_NSA'!$1:$1,0))))*(INDEX('Data_SA'!$A:$LO,MATCH(O$2,'Data_SA'!$A:$A,0),MATCH($E175,'Data_SA'!$1:$1,0))/INDEX('Data_SA'!$A:$LO,MATCH(EDATE(O$2,-1),'Data_SA'!$A:$A,0),MATCH($E175,'Data_SA'!$1:$1,0))-1),""))</f>
        <v/>
      </c>
      <c r="U175" s="10">
        <f>IFERROR(INDEX('Data_NSA'!$A:$OK,MATCH(U$2,'Data_NSA'!$A:$A,0),MATCH($D175,'Data_NSA'!$1:$1,0)),"")</f>
        <v/>
      </c>
      <c r="V175" s="10">
        <f>IF($E175="","",IFERROR(INDEX('Data_SA'!$A:$LO,MATCH(U$2,'Data_SA'!$A:$A,0),MATCH($E175,'Data_SA'!$1:$1,0)),""))</f>
        <v/>
      </c>
      <c r="W175" s="7">
        <f>IF($E175="","",IFERROR(INDEX('Data_SA'!$A:$LO,MATCH(U$2,'Data_SA'!$A:$A,0),MATCH($E175,'Data_SA'!$1:$1,0))/INDEX('Data_SA'!$A:$LO,MATCH(EDATE(U$2,-1),'Data_SA'!$A:$A,0),MATCH($E175,'Data_SA'!$1:$1,0))-1,""))</f>
        <v/>
      </c>
      <c r="X175" s="7">
        <f>IFERROR(INDEX('Data_NSA'!$A:$OK,MATCH(U$2,'Data_NSA'!$A:$A,0),MATCH($D175,'Data_NSA'!$1:$1,0))/INDEX('Data_NSA'!$A:$OK,MATCH(EDATE(U$2,-12),'Data_NSA'!$A:$A,0),MATCH($D175,'Data_NSA'!$1:$1,0))-1,"")</f>
        <v/>
      </c>
      <c r="Y175" s="10">
        <f>IFERROR(INDEX('Weights'!$G:$I,MATCH($A175,'Weights'!$A:$A,0),MATCH(U$2,'Weights'!$G$1:$I$1,0)),"")</f>
        <v/>
      </c>
      <c r="Z175" s="10">
        <f>IF($E175="","",IFERROR(100*(INDEX('Weights'!$D:$D,MATCH($A175,'Weights'!$A:$A,0))*(INDEX('Data_NSA'!$A:$OK,MATCH(EDATE(U$2,-1),'Data_NSA'!$A:$A,0),MATCH($D175,'Data_NSA'!$1:$1,0))/INDEX('Data_NSA'!$A:$OK,MATCH(INDEX('Weights'!$E:$E,MATCH($A175,'Weights'!$A:$A,0)),'Data_NSA'!$A:$A,0),MATCH($D175,'Data_NSA'!$1:$1,0))))/(100*(INDEX('Data_NSA'!$A:$OK,MATCH(EDATE(U$2,-1),'Data_NSA'!$A:$A,0),MATCH("CUUR0000SA0",'Data_NSA'!$1:$1,0))/INDEX('Data_NSA'!$A:$OK,MATCH(INDEX('Weights'!$E:$E,MATCH($A175,'Weights'!$A:$A,0)),'Data_NSA'!$A:$A,0),MATCH("CUUR0000SA0",'Data_NSA'!$1:$1,0))))*(INDEX('Data_SA'!$A:$LO,MATCH(U$2,'Data_SA'!$A:$A,0),MATCH($E175,'Data_SA'!$1:$1,0))/INDEX('Data_SA'!$A:$LO,MATCH(EDATE(U$2,-1),'Data_SA'!$A:$A,0),MATCH($E175,'Data_SA'!$1:$1,0))-1),""))</f>
        <v/>
      </c>
    </row>
    <row r="176">
      <c r="A176" s="3" t="inlineStr">
        <is>
          <t>SEHL03</t>
        </is>
      </c>
      <c r="B176" s="3" t="inlineStr">
        <is>
          <t>Dishes and flatware</t>
        </is>
      </c>
      <c r="C176" s="3" t="inlineStr">
        <is>
          <t>SEHL</t>
        </is>
      </c>
      <c r="D176" s="3" t="inlineStr">
        <is>
          <t>CUUR0000SEHL03</t>
        </is>
      </c>
      <c r="E176" s="3" t="inlineStr"/>
      <c r="F176" s="3" t="inlineStr">
        <is>
          <t>GM</t>
        </is>
      </c>
      <c r="G176" s="3" t="inlineStr">
        <is>
          <t>monthly in New York/Los Angeles/Chicago; often bimonthly elsewhere</t>
        </is>
      </c>
      <c r="H176" s="10">
        <f>IFERROR(INDEX(Weights!$D:$D,MATCH($A176,Weights!$A:$A,0)),"")</f>
        <v/>
      </c>
      <c r="I176" s="10">
        <f>IFERROR(INDEX('Data_NSA'!$A:$OK,MATCH(I$2,'Data_NSA'!$A:$A,0),MATCH($D176,'Data_NSA'!$1:$1,0)),"")</f>
        <v/>
      </c>
      <c r="J176" s="10">
        <f>IF($E176="","",IFERROR(INDEX('Data_SA'!$A:$LO,MATCH(I$2,'Data_SA'!$A:$A,0),MATCH($E176,'Data_SA'!$1:$1,0)),""))</f>
        <v/>
      </c>
      <c r="K176" s="7">
        <f>IF($E176="","",IFERROR(INDEX('Data_SA'!$A:$LO,MATCH(I$2,'Data_SA'!$A:$A,0),MATCH($E176,'Data_SA'!$1:$1,0))/INDEX('Data_SA'!$A:$LO,MATCH(EDATE(I$2,-1),'Data_SA'!$A:$A,0),MATCH($E176,'Data_SA'!$1:$1,0))-1,""))</f>
        <v/>
      </c>
      <c r="L176" s="7">
        <f>IFERROR(INDEX('Data_NSA'!$A:$OK,MATCH(I$2,'Data_NSA'!$A:$A,0),MATCH($D176,'Data_NSA'!$1:$1,0))/INDEX('Data_NSA'!$A:$OK,MATCH(EDATE(I$2,-12),'Data_NSA'!$A:$A,0),MATCH($D176,'Data_NSA'!$1:$1,0))-1,"")</f>
        <v/>
      </c>
      <c r="M176" s="10">
        <f>IFERROR(INDEX('Weights'!$G:$I,MATCH($A176,'Weights'!$A:$A,0),MATCH(I$2,'Weights'!$G$1:$I$1,0)),"")</f>
        <v/>
      </c>
      <c r="N176" s="10">
        <f>IF($E176="","",IFERROR(100*(INDEX('Weights'!$D:$D,MATCH($A176,'Weights'!$A:$A,0))*(INDEX('Data_NSA'!$A:$OK,MATCH(EDATE(I$2,-1),'Data_NSA'!$A:$A,0),MATCH($D176,'Data_NSA'!$1:$1,0))/INDEX('Data_NSA'!$A:$OK,MATCH(INDEX('Weights'!$E:$E,MATCH($A176,'Weights'!$A:$A,0)),'Data_NSA'!$A:$A,0),MATCH($D176,'Data_NSA'!$1:$1,0))))/(100*(INDEX('Data_NSA'!$A:$OK,MATCH(EDATE(I$2,-1),'Data_NSA'!$A:$A,0),MATCH("CUUR0000SA0",'Data_NSA'!$1:$1,0))/INDEX('Data_NSA'!$A:$OK,MATCH(INDEX('Weights'!$E:$E,MATCH($A176,'Weights'!$A:$A,0)),'Data_NSA'!$A:$A,0),MATCH("CUUR0000SA0",'Data_NSA'!$1:$1,0))))*(INDEX('Data_SA'!$A:$LO,MATCH(I$2,'Data_SA'!$A:$A,0),MATCH($E176,'Data_SA'!$1:$1,0))/INDEX('Data_SA'!$A:$LO,MATCH(EDATE(I$2,-1),'Data_SA'!$A:$A,0),MATCH($E176,'Data_SA'!$1:$1,0))-1),""))</f>
        <v/>
      </c>
      <c r="O176" s="10">
        <f>IFERROR(INDEX('Data_NSA'!$A:$OK,MATCH(O$2,'Data_NSA'!$A:$A,0),MATCH($D176,'Data_NSA'!$1:$1,0)),"")</f>
        <v/>
      </c>
      <c r="P176" s="10">
        <f>IF($E176="","",IFERROR(INDEX('Data_SA'!$A:$LO,MATCH(O$2,'Data_SA'!$A:$A,0),MATCH($E176,'Data_SA'!$1:$1,0)),""))</f>
        <v/>
      </c>
      <c r="Q176" s="7">
        <f>IF($E176="","",IFERROR(INDEX('Data_SA'!$A:$LO,MATCH(O$2,'Data_SA'!$A:$A,0),MATCH($E176,'Data_SA'!$1:$1,0))/INDEX('Data_SA'!$A:$LO,MATCH(EDATE(O$2,-1),'Data_SA'!$A:$A,0),MATCH($E176,'Data_SA'!$1:$1,0))-1,""))</f>
        <v/>
      </c>
      <c r="R176" s="7">
        <f>IFERROR(INDEX('Data_NSA'!$A:$OK,MATCH(O$2,'Data_NSA'!$A:$A,0),MATCH($D176,'Data_NSA'!$1:$1,0))/INDEX('Data_NSA'!$A:$OK,MATCH(EDATE(O$2,-12),'Data_NSA'!$A:$A,0),MATCH($D176,'Data_NSA'!$1:$1,0))-1,"")</f>
        <v/>
      </c>
      <c r="S176" s="10">
        <f>IFERROR(INDEX('Weights'!$G:$I,MATCH($A176,'Weights'!$A:$A,0),MATCH(O$2,'Weights'!$G$1:$I$1,0)),"")</f>
        <v/>
      </c>
      <c r="T176" s="10">
        <f>IF($E176="","",IFERROR(100*(INDEX('Weights'!$D:$D,MATCH($A176,'Weights'!$A:$A,0))*(INDEX('Data_NSA'!$A:$OK,MATCH(EDATE(O$2,-1),'Data_NSA'!$A:$A,0),MATCH($D176,'Data_NSA'!$1:$1,0))/INDEX('Data_NSA'!$A:$OK,MATCH(INDEX('Weights'!$E:$E,MATCH($A176,'Weights'!$A:$A,0)),'Data_NSA'!$A:$A,0),MATCH($D176,'Data_NSA'!$1:$1,0))))/(100*(INDEX('Data_NSA'!$A:$OK,MATCH(EDATE(O$2,-1),'Data_NSA'!$A:$A,0),MATCH("CUUR0000SA0",'Data_NSA'!$1:$1,0))/INDEX('Data_NSA'!$A:$OK,MATCH(INDEX('Weights'!$E:$E,MATCH($A176,'Weights'!$A:$A,0)),'Data_NSA'!$A:$A,0),MATCH("CUUR0000SA0",'Data_NSA'!$1:$1,0))))*(INDEX('Data_SA'!$A:$LO,MATCH(O$2,'Data_SA'!$A:$A,0),MATCH($E176,'Data_SA'!$1:$1,0))/INDEX('Data_SA'!$A:$LO,MATCH(EDATE(O$2,-1),'Data_SA'!$A:$A,0),MATCH($E176,'Data_SA'!$1:$1,0))-1),""))</f>
        <v/>
      </c>
      <c r="U176" s="10">
        <f>IFERROR(INDEX('Data_NSA'!$A:$OK,MATCH(U$2,'Data_NSA'!$A:$A,0),MATCH($D176,'Data_NSA'!$1:$1,0)),"")</f>
        <v/>
      </c>
      <c r="V176" s="10">
        <f>IF($E176="","",IFERROR(INDEX('Data_SA'!$A:$LO,MATCH(U$2,'Data_SA'!$A:$A,0),MATCH($E176,'Data_SA'!$1:$1,0)),""))</f>
        <v/>
      </c>
      <c r="W176" s="7">
        <f>IF($E176="","",IFERROR(INDEX('Data_SA'!$A:$LO,MATCH(U$2,'Data_SA'!$A:$A,0),MATCH($E176,'Data_SA'!$1:$1,0))/INDEX('Data_SA'!$A:$LO,MATCH(EDATE(U$2,-1),'Data_SA'!$A:$A,0),MATCH($E176,'Data_SA'!$1:$1,0))-1,""))</f>
        <v/>
      </c>
      <c r="X176" s="7">
        <f>IFERROR(INDEX('Data_NSA'!$A:$OK,MATCH(U$2,'Data_NSA'!$A:$A,0),MATCH($D176,'Data_NSA'!$1:$1,0))/INDEX('Data_NSA'!$A:$OK,MATCH(EDATE(U$2,-12),'Data_NSA'!$A:$A,0),MATCH($D176,'Data_NSA'!$1:$1,0))-1,"")</f>
        <v/>
      </c>
      <c r="Y176" s="10">
        <f>IFERROR(INDEX('Weights'!$G:$I,MATCH($A176,'Weights'!$A:$A,0),MATCH(U$2,'Weights'!$G$1:$I$1,0)),"")</f>
        <v/>
      </c>
      <c r="Z176" s="10">
        <f>IF($E176="","",IFERROR(100*(INDEX('Weights'!$D:$D,MATCH($A176,'Weights'!$A:$A,0))*(INDEX('Data_NSA'!$A:$OK,MATCH(EDATE(U$2,-1),'Data_NSA'!$A:$A,0),MATCH($D176,'Data_NSA'!$1:$1,0))/INDEX('Data_NSA'!$A:$OK,MATCH(INDEX('Weights'!$E:$E,MATCH($A176,'Weights'!$A:$A,0)),'Data_NSA'!$A:$A,0),MATCH($D176,'Data_NSA'!$1:$1,0))))/(100*(INDEX('Data_NSA'!$A:$OK,MATCH(EDATE(U$2,-1),'Data_NSA'!$A:$A,0),MATCH("CUUR0000SA0",'Data_NSA'!$1:$1,0))/INDEX('Data_NSA'!$A:$OK,MATCH(INDEX('Weights'!$E:$E,MATCH($A176,'Weights'!$A:$A,0)),'Data_NSA'!$A:$A,0),MATCH("CUUR0000SA0",'Data_NSA'!$1:$1,0))))*(INDEX('Data_SA'!$A:$LO,MATCH(U$2,'Data_SA'!$A:$A,0),MATCH($E176,'Data_SA'!$1:$1,0))/INDEX('Data_SA'!$A:$LO,MATCH(EDATE(U$2,-1),'Data_SA'!$A:$A,0),MATCH($E176,'Data_SA'!$1:$1,0))-1),""))</f>
        <v/>
      </c>
    </row>
    <row r="177">
      <c r="A177" s="3" t="inlineStr">
        <is>
          <t>SEHL04</t>
        </is>
      </c>
      <c r="B177" s="3" t="inlineStr">
        <is>
          <t>Nonelectric cookware and tableware</t>
        </is>
      </c>
      <c r="C177" s="3" t="inlineStr">
        <is>
          <t>SEHL</t>
        </is>
      </c>
      <c r="D177" s="3" t="inlineStr">
        <is>
          <t>CUUR0000SEHL04</t>
        </is>
      </c>
      <c r="E177" s="3" t="inlineStr">
        <is>
          <t>CUSR0000SEHL04</t>
        </is>
      </c>
      <c r="F177" s="3" t="inlineStr">
        <is>
          <t>GM</t>
        </is>
      </c>
      <c r="G177" s="3" t="inlineStr">
        <is>
          <t>monthly in New York/Los Angeles/Chicago; often bimonthly elsewhere</t>
        </is>
      </c>
      <c r="H177" s="10">
        <f>IFERROR(INDEX(Weights!$D:$D,MATCH($A177,Weights!$A:$A,0)),"")</f>
        <v/>
      </c>
      <c r="I177" s="10">
        <f>IFERROR(INDEX('Data_NSA'!$A:$OK,MATCH(I$2,'Data_NSA'!$A:$A,0),MATCH($D177,'Data_NSA'!$1:$1,0)),"")</f>
        <v/>
      </c>
      <c r="J177" s="10">
        <f>IF($E177="","",IFERROR(INDEX('Data_SA'!$A:$LO,MATCH(I$2,'Data_SA'!$A:$A,0),MATCH($E177,'Data_SA'!$1:$1,0)),""))</f>
        <v/>
      </c>
      <c r="K177" s="7">
        <f>IF($E177="","",IFERROR(INDEX('Data_SA'!$A:$LO,MATCH(I$2,'Data_SA'!$A:$A,0),MATCH($E177,'Data_SA'!$1:$1,0))/INDEX('Data_SA'!$A:$LO,MATCH(EDATE(I$2,-1),'Data_SA'!$A:$A,0),MATCH($E177,'Data_SA'!$1:$1,0))-1,""))</f>
        <v/>
      </c>
      <c r="L177" s="7">
        <f>IFERROR(INDEX('Data_NSA'!$A:$OK,MATCH(I$2,'Data_NSA'!$A:$A,0),MATCH($D177,'Data_NSA'!$1:$1,0))/INDEX('Data_NSA'!$A:$OK,MATCH(EDATE(I$2,-12),'Data_NSA'!$A:$A,0),MATCH($D177,'Data_NSA'!$1:$1,0))-1,"")</f>
        <v/>
      </c>
      <c r="M177" s="10">
        <f>IFERROR(INDEX('Weights'!$G:$I,MATCH($A177,'Weights'!$A:$A,0),MATCH(I$2,'Weights'!$G$1:$I$1,0)),"")</f>
        <v/>
      </c>
      <c r="N177" s="10">
        <f>IF($E177="","",IFERROR(100*(INDEX('Weights'!$D:$D,MATCH($A177,'Weights'!$A:$A,0))*(INDEX('Data_NSA'!$A:$OK,MATCH(EDATE(I$2,-1),'Data_NSA'!$A:$A,0),MATCH($D177,'Data_NSA'!$1:$1,0))/INDEX('Data_NSA'!$A:$OK,MATCH(INDEX('Weights'!$E:$E,MATCH($A177,'Weights'!$A:$A,0)),'Data_NSA'!$A:$A,0),MATCH($D177,'Data_NSA'!$1:$1,0))))/(100*(INDEX('Data_NSA'!$A:$OK,MATCH(EDATE(I$2,-1),'Data_NSA'!$A:$A,0),MATCH("CUUR0000SA0",'Data_NSA'!$1:$1,0))/INDEX('Data_NSA'!$A:$OK,MATCH(INDEX('Weights'!$E:$E,MATCH($A177,'Weights'!$A:$A,0)),'Data_NSA'!$A:$A,0),MATCH("CUUR0000SA0",'Data_NSA'!$1:$1,0))))*(INDEX('Data_SA'!$A:$LO,MATCH(I$2,'Data_SA'!$A:$A,0),MATCH($E177,'Data_SA'!$1:$1,0))/INDEX('Data_SA'!$A:$LO,MATCH(EDATE(I$2,-1),'Data_SA'!$A:$A,0),MATCH($E177,'Data_SA'!$1:$1,0))-1),""))</f>
        <v/>
      </c>
      <c r="O177" s="10">
        <f>IFERROR(INDEX('Data_NSA'!$A:$OK,MATCH(O$2,'Data_NSA'!$A:$A,0),MATCH($D177,'Data_NSA'!$1:$1,0)),"")</f>
        <v/>
      </c>
      <c r="P177" s="10">
        <f>IF($E177="","",IFERROR(INDEX('Data_SA'!$A:$LO,MATCH(O$2,'Data_SA'!$A:$A,0),MATCH($E177,'Data_SA'!$1:$1,0)),""))</f>
        <v/>
      </c>
      <c r="Q177" s="7">
        <f>IF($E177="","",IFERROR(INDEX('Data_SA'!$A:$LO,MATCH(O$2,'Data_SA'!$A:$A,0),MATCH($E177,'Data_SA'!$1:$1,0))/INDEX('Data_SA'!$A:$LO,MATCH(EDATE(O$2,-1),'Data_SA'!$A:$A,0),MATCH($E177,'Data_SA'!$1:$1,0))-1,""))</f>
        <v/>
      </c>
      <c r="R177" s="7">
        <f>IFERROR(INDEX('Data_NSA'!$A:$OK,MATCH(O$2,'Data_NSA'!$A:$A,0),MATCH($D177,'Data_NSA'!$1:$1,0))/INDEX('Data_NSA'!$A:$OK,MATCH(EDATE(O$2,-12),'Data_NSA'!$A:$A,0),MATCH($D177,'Data_NSA'!$1:$1,0))-1,"")</f>
        <v/>
      </c>
      <c r="S177" s="10">
        <f>IFERROR(INDEX('Weights'!$G:$I,MATCH($A177,'Weights'!$A:$A,0),MATCH(O$2,'Weights'!$G$1:$I$1,0)),"")</f>
        <v/>
      </c>
      <c r="T177" s="10">
        <f>IF($E177="","",IFERROR(100*(INDEX('Weights'!$D:$D,MATCH($A177,'Weights'!$A:$A,0))*(INDEX('Data_NSA'!$A:$OK,MATCH(EDATE(O$2,-1),'Data_NSA'!$A:$A,0),MATCH($D177,'Data_NSA'!$1:$1,0))/INDEX('Data_NSA'!$A:$OK,MATCH(INDEX('Weights'!$E:$E,MATCH($A177,'Weights'!$A:$A,0)),'Data_NSA'!$A:$A,0),MATCH($D177,'Data_NSA'!$1:$1,0))))/(100*(INDEX('Data_NSA'!$A:$OK,MATCH(EDATE(O$2,-1),'Data_NSA'!$A:$A,0),MATCH("CUUR0000SA0",'Data_NSA'!$1:$1,0))/INDEX('Data_NSA'!$A:$OK,MATCH(INDEX('Weights'!$E:$E,MATCH($A177,'Weights'!$A:$A,0)),'Data_NSA'!$A:$A,0),MATCH("CUUR0000SA0",'Data_NSA'!$1:$1,0))))*(INDEX('Data_SA'!$A:$LO,MATCH(O$2,'Data_SA'!$A:$A,0),MATCH($E177,'Data_SA'!$1:$1,0))/INDEX('Data_SA'!$A:$LO,MATCH(EDATE(O$2,-1),'Data_SA'!$A:$A,0),MATCH($E177,'Data_SA'!$1:$1,0))-1),""))</f>
        <v/>
      </c>
      <c r="U177" s="10">
        <f>IFERROR(INDEX('Data_NSA'!$A:$OK,MATCH(U$2,'Data_NSA'!$A:$A,0),MATCH($D177,'Data_NSA'!$1:$1,0)),"")</f>
        <v/>
      </c>
      <c r="V177" s="10">
        <f>IF($E177="","",IFERROR(INDEX('Data_SA'!$A:$LO,MATCH(U$2,'Data_SA'!$A:$A,0),MATCH($E177,'Data_SA'!$1:$1,0)),""))</f>
        <v/>
      </c>
      <c r="W177" s="7">
        <f>IF($E177="","",IFERROR(INDEX('Data_SA'!$A:$LO,MATCH(U$2,'Data_SA'!$A:$A,0),MATCH($E177,'Data_SA'!$1:$1,0))/INDEX('Data_SA'!$A:$LO,MATCH(EDATE(U$2,-1),'Data_SA'!$A:$A,0),MATCH($E177,'Data_SA'!$1:$1,0))-1,""))</f>
        <v/>
      </c>
      <c r="X177" s="7">
        <f>IFERROR(INDEX('Data_NSA'!$A:$OK,MATCH(U$2,'Data_NSA'!$A:$A,0),MATCH($D177,'Data_NSA'!$1:$1,0))/INDEX('Data_NSA'!$A:$OK,MATCH(EDATE(U$2,-12),'Data_NSA'!$A:$A,0),MATCH($D177,'Data_NSA'!$1:$1,0))-1,"")</f>
        <v/>
      </c>
      <c r="Y177" s="10">
        <f>IFERROR(INDEX('Weights'!$G:$I,MATCH($A177,'Weights'!$A:$A,0),MATCH(U$2,'Weights'!$G$1:$I$1,0)),"")</f>
        <v/>
      </c>
      <c r="Z177" s="10">
        <f>IF($E177="","",IFERROR(100*(INDEX('Weights'!$D:$D,MATCH($A177,'Weights'!$A:$A,0))*(INDEX('Data_NSA'!$A:$OK,MATCH(EDATE(U$2,-1),'Data_NSA'!$A:$A,0),MATCH($D177,'Data_NSA'!$1:$1,0))/INDEX('Data_NSA'!$A:$OK,MATCH(INDEX('Weights'!$E:$E,MATCH($A177,'Weights'!$A:$A,0)),'Data_NSA'!$A:$A,0),MATCH($D177,'Data_NSA'!$1:$1,0))))/(100*(INDEX('Data_NSA'!$A:$OK,MATCH(EDATE(U$2,-1),'Data_NSA'!$A:$A,0),MATCH("CUUR0000SA0",'Data_NSA'!$1:$1,0))/INDEX('Data_NSA'!$A:$OK,MATCH(INDEX('Weights'!$E:$E,MATCH($A177,'Weights'!$A:$A,0)),'Data_NSA'!$A:$A,0),MATCH("CUUR0000SA0",'Data_NSA'!$1:$1,0))))*(INDEX('Data_SA'!$A:$LO,MATCH(U$2,'Data_SA'!$A:$A,0),MATCH($E177,'Data_SA'!$1:$1,0))/INDEX('Data_SA'!$A:$LO,MATCH(EDATE(U$2,-1),'Data_SA'!$A:$A,0),MATCH($E177,'Data_SA'!$1:$1,0))-1),""))</f>
        <v/>
      </c>
    </row>
    <row r="178">
      <c r="A178" s="3" t="inlineStr">
        <is>
          <t>SEHM</t>
        </is>
      </c>
      <c r="B178" s="3" t="inlineStr">
        <is>
          <t>Tools, hardware, outdoor equipment and supplies</t>
        </is>
      </c>
      <c r="C178" s="3" t="inlineStr">
        <is>
          <t>SAH3</t>
        </is>
      </c>
      <c r="D178" s="3" t="inlineStr">
        <is>
          <t>CUUR0000SEHM</t>
        </is>
      </c>
      <c r="E178" s="3" t="inlineStr">
        <is>
          <t>CUSR0000SEHM</t>
        </is>
      </c>
      <c r="F178" s="3" t="inlineStr">
        <is>
          <t>aggregate</t>
        </is>
      </c>
      <c r="G178" s="3" t="inlineStr">
        <is>
          <t>aggregate</t>
        </is>
      </c>
      <c r="H178" s="10">
        <f>IFERROR(INDEX(Weights!$D:$D,MATCH($A178,Weights!$A:$A,0)),"")</f>
        <v/>
      </c>
      <c r="I178" s="10">
        <f>IFERROR(INDEX('Data_NSA'!$A:$OK,MATCH(I$2,'Data_NSA'!$A:$A,0),MATCH($D178,'Data_NSA'!$1:$1,0)),"")</f>
        <v/>
      </c>
      <c r="J178" s="10">
        <f>IF($E178="","",IFERROR(INDEX('Data_SA'!$A:$LO,MATCH(I$2,'Data_SA'!$A:$A,0),MATCH($E178,'Data_SA'!$1:$1,0)),""))</f>
        <v/>
      </c>
      <c r="K178" s="7">
        <f>IF($E178="","",IFERROR(INDEX('Data_SA'!$A:$LO,MATCH(I$2,'Data_SA'!$A:$A,0),MATCH($E178,'Data_SA'!$1:$1,0))/INDEX('Data_SA'!$A:$LO,MATCH(EDATE(I$2,-1),'Data_SA'!$A:$A,0),MATCH($E178,'Data_SA'!$1:$1,0))-1,""))</f>
        <v/>
      </c>
      <c r="L178" s="7">
        <f>IFERROR(INDEX('Data_NSA'!$A:$OK,MATCH(I$2,'Data_NSA'!$A:$A,0),MATCH($D178,'Data_NSA'!$1:$1,0))/INDEX('Data_NSA'!$A:$OK,MATCH(EDATE(I$2,-12),'Data_NSA'!$A:$A,0),MATCH($D178,'Data_NSA'!$1:$1,0))-1,"")</f>
        <v/>
      </c>
      <c r="M178" s="10">
        <f>IFERROR(INDEX('Weights'!$G:$I,MATCH($A178,'Weights'!$A:$A,0),MATCH(I$2,'Weights'!$G$1:$I$1,0)),"")</f>
        <v/>
      </c>
      <c r="N178" s="10">
        <f>IF($E178="","",IFERROR(100*(INDEX('Weights'!$D:$D,MATCH($A178,'Weights'!$A:$A,0))*(INDEX('Data_NSA'!$A:$OK,MATCH(EDATE(I$2,-1),'Data_NSA'!$A:$A,0),MATCH($D178,'Data_NSA'!$1:$1,0))/INDEX('Data_NSA'!$A:$OK,MATCH(INDEX('Weights'!$E:$E,MATCH($A178,'Weights'!$A:$A,0)),'Data_NSA'!$A:$A,0),MATCH($D178,'Data_NSA'!$1:$1,0))))/(100*(INDEX('Data_NSA'!$A:$OK,MATCH(EDATE(I$2,-1),'Data_NSA'!$A:$A,0),MATCH("CUUR0000SA0",'Data_NSA'!$1:$1,0))/INDEX('Data_NSA'!$A:$OK,MATCH(INDEX('Weights'!$E:$E,MATCH($A178,'Weights'!$A:$A,0)),'Data_NSA'!$A:$A,0),MATCH("CUUR0000SA0",'Data_NSA'!$1:$1,0))))*(INDEX('Data_SA'!$A:$LO,MATCH(I$2,'Data_SA'!$A:$A,0),MATCH($E178,'Data_SA'!$1:$1,0))/INDEX('Data_SA'!$A:$LO,MATCH(EDATE(I$2,-1),'Data_SA'!$A:$A,0),MATCH($E178,'Data_SA'!$1:$1,0))-1),""))</f>
        <v/>
      </c>
      <c r="O178" s="10">
        <f>IFERROR(INDEX('Data_NSA'!$A:$OK,MATCH(O$2,'Data_NSA'!$A:$A,0),MATCH($D178,'Data_NSA'!$1:$1,0)),"")</f>
        <v/>
      </c>
      <c r="P178" s="10">
        <f>IF($E178="","",IFERROR(INDEX('Data_SA'!$A:$LO,MATCH(O$2,'Data_SA'!$A:$A,0),MATCH($E178,'Data_SA'!$1:$1,0)),""))</f>
        <v/>
      </c>
      <c r="Q178" s="7">
        <f>IF($E178="","",IFERROR(INDEX('Data_SA'!$A:$LO,MATCH(O$2,'Data_SA'!$A:$A,0),MATCH($E178,'Data_SA'!$1:$1,0))/INDEX('Data_SA'!$A:$LO,MATCH(EDATE(O$2,-1),'Data_SA'!$A:$A,0),MATCH($E178,'Data_SA'!$1:$1,0))-1,""))</f>
        <v/>
      </c>
      <c r="R178" s="7">
        <f>IFERROR(INDEX('Data_NSA'!$A:$OK,MATCH(O$2,'Data_NSA'!$A:$A,0),MATCH($D178,'Data_NSA'!$1:$1,0))/INDEX('Data_NSA'!$A:$OK,MATCH(EDATE(O$2,-12),'Data_NSA'!$A:$A,0),MATCH($D178,'Data_NSA'!$1:$1,0))-1,"")</f>
        <v/>
      </c>
      <c r="S178" s="10">
        <f>IFERROR(INDEX('Weights'!$G:$I,MATCH($A178,'Weights'!$A:$A,0),MATCH(O$2,'Weights'!$G$1:$I$1,0)),"")</f>
        <v/>
      </c>
      <c r="T178" s="10">
        <f>IF($E178="","",IFERROR(100*(INDEX('Weights'!$D:$D,MATCH($A178,'Weights'!$A:$A,0))*(INDEX('Data_NSA'!$A:$OK,MATCH(EDATE(O$2,-1),'Data_NSA'!$A:$A,0),MATCH($D178,'Data_NSA'!$1:$1,0))/INDEX('Data_NSA'!$A:$OK,MATCH(INDEX('Weights'!$E:$E,MATCH($A178,'Weights'!$A:$A,0)),'Data_NSA'!$A:$A,0),MATCH($D178,'Data_NSA'!$1:$1,0))))/(100*(INDEX('Data_NSA'!$A:$OK,MATCH(EDATE(O$2,-1),'Data_NSA'!$A:$A,0),MATCH("CUUR0000SA0",'Data_NSA'!$1:$1,0))/INDEX('Data_NSA'!$A:$OK,MATCH(INDEX('Weights'!$E:$E,MATCH($A178,'Weights'!$A:$A,0)),'Data_NSA'!$A:$A,0),MATCH("CUUR0000SA0",'Data_NSA'!$1:$1,0))))*(INDEX('Data_SA'!$A:$LO,MATCH(O$2,'Data_SA'!$A:$A,0),MATCH($E178,'Data_SA'!$1:$1,0))/INDEX('Data_SA'!$A:$LO,MATCH(EDATE(O$2,-1),'Data_SA'!$A:$A,0),MATCH($E178,'Data_SA'!$1:$1,0))-1),""))</f>
        <v/>
      </c>
      <c r="U178" s="10">
        <f>IFERROR(INDEX('Data_NSA'!$A:$OK,MATCH(U$2,'Data_NSA'!$A:$A,0),MATCH($D178,'Data_NSA'!$1:$1,0)),"")</f>
        <v/>
      </c>
      <c r="V178" s="10">
        <f>IF($E178="","",IFERROR(INDEX('Data_SA'!$A:$LO,MATCH(U$2,'Data_SA'!$A:$A,0),MATCH($E178,'Data_SA'!$1:$1,0)),""))</f>
        <v/>
      </c>
      <c r="W178" s="7">
        <f>IF($E178="","",IFERROR(INDEX('Data_SA'!$A:$LO,MATCH(U$2,'Data_SA'!$A:$A,0),MATCH($E178,'Data_SA'!$1:$1,0))/INDEX('Data_SA'!$A:$LO,MATCH(EDATE(U$2,-1),'Data_SA'!$A:$A,0),MATCH($E178,'Data_SA'!$1:$1,0))-1,""))</f>
        <v/>
      </c>
      <c r="X178" s="7">
        <f>IFERROR(INDEX('Data_NSA'!$A:$OK,MATCH(U$2,'Data_NSA'!$A:$A,0),MATCH($D178,'Data_NSA'!$1:$1,0))/INDEX('Data_NSA'!$A:$OK,MATCH(EDATE(U$2,-12),'Data_NSA'!$A:$A,0),MATCH($D178,'Data_NSA'!$1:$1,0))-1,"")</f>
        <v/>
      </c>
      <c r="Y178" s="10">
        <f>IFERROR(INDEX('Weights'!$G:$I,MATCH($A178,'Weights'!$A:$A,0),MATCH(U$2,'Weights'!$G$1:$I$1,0)),"")</f>
        <v/>
      </c>
      <c r="Z178" s="10">
        <f>IF($E178="","",IFERROR(100*(INDEX('Weights'!$D:$D,MATCH($A178,'Weights'!$A:$A,0))*(INDEX('Data_NSA'!$A:$OK,MATCH(EDATE(U$2,-1),'Data_NSA'!$A:$A,0),MATCH($D178,'Data_NSA'!$1:$1,0))/INDEX('Data_NSA'!$A:$OK,MATCH(INDEX('Weights'!$E:$E,MATCH($A178,'Weights'!$A:$A,0)),'Data_NSA'!$A:$A,0),MATCH($D178,'Data_NSA'!$1:$1,0))))/(100*(INDEX('Data_NSA'!$A:$OK,MATCH(EDATE(U$2,-1),'Data_NSA'!$A:$A,0),MATCH("CUUR0000SA0",'Data_NSA'!$1:$1,0))/INDEX('Data_NSA'!$A:$OK,MATCH(INDEX('Weights'!$E:$E,MATCH($A178,'Weights'!$A:$A,0)),'Data_NSA'!$A:$A,0),MATCH("CUUR0000SA0",'Data_NSA'!$1:$1,0))))*(INDEX('Data_SA'!$A:$LO,MATCH(U$2,'Data_SA'!$A:$A,0),MATCH($E178,'Data_SA'!$1:$1,0))/INDEX('Data_SA'!$A:$LO,MATCH(EDATE(U$2,-1),'Data_SA'!$A:$A,0),MATCH($E178,'Data_SA'!$1:$1,0))-1),""))</f>
        <v/>
      </c>
    </row>
    <row r="179">
      <c r="A179" s="3" t="inlineStr">
        <is>
          <t>SEHM01</t>
        </is>
      </c>
      <c r="B179" s="3" t="inlineStr">
        <is>
          <t>Tools, hardware and supplies</t>
        </is>
      </c>
      <c r="C179" s="3" t="inlineStr">
        <is>
          <t>SEHM</t>
        </is>
      </c>
      <c r="D179" s="3" t="inlineStr">
        <is>
          <t>CUUR0000SEHM01</t>
        </is>
      </c>
      <c r="E179" s="3" t="inlineStr">
        <is>
          <t>CUSR0000SEHM01</t>
        </is>
      </c>
      <c r="F179" s="3" t="inlineStr">
        <is>
          <t>GM</t>
        </is>
      </c>
      <c r="G179" s="3" t="inlineStr">
        <is>
          <t>monthly in New York/Los Angeles/Chicago; often bimonthly elsewhere</t>
        </is>
      </c>
      <c r="H179" s="10">
        <f>IFERROR(INDEX(Weights!$D:$D,MATCH($A179,Weights!$A:$A,0)),"")</f>
        <v/>
      </c>
      <c r="I179" s="10">
        <f>IFERROR(INDEX('Data_NSA'!$A:$OK,MATCH(I$2,'Data_NSA'!$A:$A,0),MATCH($D179,'Data_NSA'!$1:$1,0)),"")</f>
        <v/>
      </c>
      <c r="J179" s="10">
        <f>IF($E179="","",IFERROR(INDEX('Data_SA'!$A:$LO,MATCH(I$2,'Data_SA'!$A:$A,0),MATCH($E179,'Data_SA'!$1:$1,0)),""))</f>
        <v/>
      </c>
      <c r="K179" s="7">
        <f>IF($E179="","",IFERROR(INDEX('Data_SA'!$A:$LO,MATCH(I$2,'Data_SA'!$A:$A,0),MATCH($E179,'Data_SA'!$1:$1,0))/INDEX('Data_SA'!$A:$LO,MATCH(EDATE(I$2,-1),'Data_SA'!$A:$A,0),MATCH($E179,'Data_SA'!$1:$1,0))-1,""))</f>
        <v/>
      </c>
      <c r="L179" s="7">
        <f>IFERROR(INDEX('Data_NSA'!$A:$OK,MATCH(I$2,'Data_NSA'!$A:$A,0),MATCH($D179,'Data_NSA'!$1:$1,0))/INDEX('Data_NSA'!$A:$OK,MATCH(EDATE(I$2,-12),'Data_NSA'!$A:$A,0),MATCH($D179,'Data_NSA'!$1:$1,0))-1,"")</f>
        <v/>
      </c>
      <c r="M179" s="10">
        <f>IFERROR(INDEX('Weights'!$G:$I,MATCH($A179,'Weights'!$A:$A,0),MATCH(I$2,'Weights'!$G$1:$I$1,0)),"")</f>
        <v/>
      </c>
      <c r="N179" s="10">
        <f>IF($E179="","",IFERROR(100*(INDEX('Weights'!$D:$D,MATCH($A179,'Weights'!$A:$A,0))*(INDEX('Data_NSA'!$A:$OK,MATCH(EDATE(I$2,-1),'Data_NSA'!$A:$A,0),MATCH($D179,'Data_NSA'!$1:$1,0))/INDEX('Data_NSA'!$A:$OK,MATCH(INDEX('Weights'!$E:$E,MATCH($A179,'Weights'!$A:$A,0)),'Data_NSA'!$A:$A,0),MATCH($D179,'Data_NSA'!$1:$1,0))))/(100*(INDEX('Data_NSA'!$A:$OK,MATCH(EDATE(I$2,-1),'Data_NSA'!$A:$A,0),MATCH("CUUR0000SA0",'Data_NSA'!$1:$1,0))/INDEX('Data_NSA'!$A:$OK,MATCH(INDEX('Weights'!$E:$E,MATCH($A179,'Weights'!$A:$A,0)),'Data_NSA'!$A:$A,0),MATCH("CUUR0000SA0",'Data_NSA'!$1:$1,0))))*(INDEX('Data_SA'!$A:$LO,MATCH(I$2,'Data_SA'!$A:$A,0),MATCH($E179,'Data_SA'!$1:$1,0))/INDEX('Data_SA'!$A:$LO,MATCH(EDATE(I$2,-1),'Data_SA'!$A:$A,0),MATCH($E179,'Data_SA'!$1:$1,0))-1),""))</f>
        <v/>
      </c>
      <c r="O179" s="10">
        <f>IFERROR(INDEX('Data_NSA'!$A:$OK,MATCH(O$2,'Data_NSA'!$A:$A,0),MATCH($D179,'Data_NSA'!$1:$1,0)),"")</f>
        <v/>
      </c>
      <c r="P179" s="10">
        <f>IF($E179="","",IFERROR(INDEX('Data_SA'!$A:$LO,MATCH(O$2,'Data_SA'!$A:$A,0),MATCH($E179,'Data_SA'!$1:$1,0)),""))</f>
        <v/>
      </c>
      <c r="Q179" s="7">
        <f>IF($E179="","",IFERROR(INDEX('Data_SA'!$A:$LO,MATCH(O$2,'Data_SA'!$A:$A,0),MATCH($E179,'Data_SA'!$1:$1,0))/INDEX('Data_SA'!$A:$LO,MATCH(EDATE(O$2,-1),'Data_SA'!$A:$A,0),MATCH($E179,'Data_SA'!$1:$1,0))-1,""))</f>
        <v/>
      </c>
      <c r="R179" s="7">
        <f>IFERROR(INDEX('Data_NSA'!$A:$OK,MATCH(O$2,'Data_NSA'!$A:$A,0),MATCH($D179,'Data_NSA'!$1:$1,0))/INDEX('Data_NSA'!$A:$OK,MATCH(EDATE(O$2,-12),'Data_NSA'!$A:$A,0),MATCH($D179,'Data_NSA'!$1:$1,0))-1,"")</f>
        <v/>
      </c>
      <c r="S179" s="10">
        <f>IFERROR(INDEX('Weights'!$G:$I,MATCH($A179,'Weights'!$A:$A,0),MATCH(O$2,'Weights'!$G$1:$I$1,0)),"")</f>
        <v/>
      </c>
      <c r="T179" s="10">
        <f>IF($E179="","",IFERROR(100*(INDEX('Weights'!$D:$D,MATCH($A179,'Weights'!$A:$A,0))*(INDEX('Data_NSA'!$A:$OK,MATCH(EDATE(O$2,-1),'Data_NSA'!$A:$A,0),MATCH($D179,'Data_NSA'!$1:$1,0))/INDEX('Data_NSA'!$A:$OK,MATCH(INDEX('Weights'!$E:$E,MATCH($A179,'Weights'!$A:$A,0)),'Data_NSA'!$A:$A,0),MATCH($D179,'Data_NSA'!$1:$1,0))))/(100*(INDEX('Data_NSA'!$A:$OK,MATCH(EDATE(O$2,-1),'Data_NSA'!$A:$A,0),MATCH("CUUR0000SA0",'Data_NSA'!$1:$1,0))/INDEX('Data_NSA'!$A:$OK,MATCH(INDEX('Weights'!$E:$E,MATCH($A179,'Weights'!$A:$A,0)),'Data_NSA'!$A:$A,0),MATCH("CUUR0000SA0",'Data_NSA'!$1:$1,0))))*(INDEX('Data_SA'!$A:$LO,MATCH(O$2,'Data_SA'!$A:$A,0),MATCH($E179,'Data_SA'!$1:$1,0))/INDEX('Data_SA'!$A:$LO,MATCH(EDATE(O$2,-1),'Data_SA'!$A:$A,0),MATCH($E179,'Data_SA'!$1:$1,0))-1),""))</f>
        <v/>
      </c>
      <c r="U179" s="10">
        <f>IFERROR(INDEX('Data_NSA'!$A:$OK,MATCH(U$2,'Data_NSA'!$A:$A,0),MATCH($D179,'Data_NSA'!$1:$1,0)),"")</f>
        <v/>
      </c>
      <c r="V179" s="10">
        <f>IF($E179="","",IFERROR(INDEX('Data_SA'!$A:$LO,MATCH(U$2,'Data_SA'!$A:$A,0),MATCH($E179,'Data_SA'!$1:$1,0)),""))</f>
        <v/>
      </c>
      <c r="W179" s="7">
        <f>IF($E179="","",IFERROR(INDEX('Data_SA'!$A:$LO,MATCH(U$2,'Data_SA'!$A:$A,0),MATCH($E179,'Data_SA'!$1:$1,0))/INDEX('Data_SA'!$A:$LO,MATCH(EDATE(U$2,-1),'Data_SA'!$A:$A,0),MATCH($E179,'Data_SA'!$1:$1,0))-1,""))</f>
        <v/>
      </c>
      <c r="X179" s="7">
        <f>IFERROR(INDEX('Data_NSA'!$A:$OK,MATCH(U$2,'Data_NSA'!$A:$A,0),MATCH($D179,'Data_NSA'!$1:$1,0))/INDEX('Data_NSA'!$A:$OK,MATCH(EDATE(U$2,-12),'Data_NSA'!$A:$A,0),MATCH($D179,'Data_NSA'!$1:$1,0))-1,"")</f>
        <v/>
      </c>
      <c r="Y179" s="10">
        <f>IFERROR(INDEX('Weights'!$G:$I,MATCH($A179,'Weights'!$A:$A,0),MATCH(U$2,'Weights'!$G$1:$I$1,0)),"")</f>
        <v/>
      </c>
      <c r="Z179" s="10">
        <f>IF($E179="","",IFERROR(100*(INDEX('Weights'!$D:$D,MATCH($A179,'Weights'!$A:$A,0))*(INDEX('Data_NSA'!$A:$OK,MATCH(EDATE(U$2,-1),'Data_NSA'!$A:$A,0),MATCH($D179,'Data_NSA'!$1:$1,0))/INDEX('Data_NSA'!$A:$OK,MATCH(INDEX('Weights'!$E:$E,MATCH($A179,'Weights'!$A:$A,0)),'Data_NSA'!$A:$A,0),MATCH($D179,'Data_NSA'!$1:$1,0))))/(100*(INDEX('Data_NSA'!$A:$OK,MATCH(EDATE(U$2,-1),'Data_NSA'!$A:$A,0),MATCH("CUUR0000SA0",'Data_NSA'!$1:$1,0))/INDEX('Data_NSA'!$A:$OK,MATCH(INDEX('Weights'!$E:$E,MATCH($A179,'Weights'!$A:$A,0)),'Data_NSA'!$A:$A,0),MATCH("CUUR0000SA0",'Data_NSA'!$1:$1,0))))*(INDEX('Data_SA'!$A:$LO,MATCH(U$2,'Data_SA'!$A:$A,0),MATCH($E179,'Data_SA'!$1:$1,0))/INDEX('Data_SA'!$A:$LO,MATCH(EDATE(U$2,-1),'Data_SA'!$A:$A,0),MATCH($E179,'Data_SA'!$1:$1,0))-1),""))</f>
        <v/>
      </c>
    </row>
    <row r="180">
      <c r="A180" s="3" t="inlineStr">
        <is>
          <t>SEHM02</t>
        </is>
      </c>
      <c r="B180" s="3" t="inlineStr">
        <is>
          <t>Outdoor equipment and supplies</t>
        </is>
      </c>
      <c r="C180" s="3" t="inlineStr">
        <is>
          <t>SEHM</t>
        </is>
      </c>
      <c r="D180" s="3" t="inlineStr">
        <is>
          <t>CUUR0000SEHM02</t>
        </is>
      </c>
      <c r="E180" s="3" t="inlineStr">
        <is>
          <t>CUSR0000SEHM02</t>
        </is>
      </c>
      <c r="F180" s="3" t="inlineStr">
        <is>
          <t>GM</t>
        </is>
      </c>
      <c r="G180" s="3" t="inlineStr">
        <is>
          <t>monthly in New York/Los Angeles/Chicago; often bimonthly elsewhere</t>
        </is>
      </c>
      <c r="H180" s="10">
        <f>IFERROR(INDEX(Weights!$D:$D,MATCH($A180,Weights!$A:$A,0)),"")</f>
        <v/>
      </c>
      <c r="I180" s="10">
        <f>IFERROR(INDEX('Data_NSA'!$A:$OK,MATCH(I$2,'Data_NSA'!$A:$A,0),MATCH($D180,'Data_NSA'!$1:$1,0)),"")</f>
        <v/>
      </c>
      <c r="J180" s="10">
        <f>IF($E180="","",IFERROR(INDEX('Data_SA'!$A:$LO,MATCH(I$2,'Data_SA'!$A:$A,0),MATCH($E180,'Data_SA'!$1:$1,0)),""))</f>
        <v/>
      </c>
      <c r="K180" s="7">
        <f>IF($E180="","",IFERROR(INDEX('Data_SA'!$A:$LO,MATCH(I$2,'Data_SA'!$A:$A,0),MATCH($E180,'Data_SA'!$1:$1,0))/INDEX('Data_SA'!$A:$LO,MATCH(EDATE(I$2,-1),'Data_SA'!$A:$A,0),MATCH($E180,'Data_SA'!$1:$1,0))-1,""))</f>
        <v/>
      </c>
      <c r="L180" s="7">
        <f>IFERROR(INDEX('Data_NSA'!$A:$OK,MATCH(I$2,'Data_NSA'!$A:$A,0),MATCH($D180,'Data_NSA'!$1:$1,0))/INDEX('Data_NSA'!$A:$OK,MATCH(EDATE(I$2,-12),'Data_NSA'!$A:$A,0),MATCH($D180,'Data_NSA'!$1:$1,0))-1,"")</f>
        <v/>
      </c>
      <c r="M180" s="10">
        <f>IFERROR(INDEX('Weights'!$G:$I,MATCH($A180,'Weights'!$A:$A,0),MATCH(I$2,'Weights'!$G$1:$I$1,0)),"")</f>
        <v/>
      </c>
      <c r="N180" s="10">
        <f>IF($E180="","",IFERROR(100*(INDEX('Weights'!$D:$D,MATCH($A180,'Weights'!$A:$A,0))*(INDEX('Data_NSA'!$A:$OK,MATCH(EDATE(I$2,-1),'Data_NSA'!$A:$A,0),MATCH($D180,'Data_NSA'!$1:$1,0))/INDEX('Data_NSA'!$A:$OK,MATCH(INDEX('Weights'!$E:$E,MATCH($A180,'Weights'!$A:$A,0)),'Data_NSA'!$A:$A,0),MATCH($D180,'Data_NSA'!$1:$1,0))))/(100*(INDEX('Data_NSA'!$A:$OK,MATCH(EDATE(I$2,-1),'Data_NSA'!$A:$A,0),MATCH("CUUR0000SA0",'Data_NSA'!$1:$1,0))/INDEX('Data_NSA'!$A:$OK,MATCH(INDEX('Weights'!$E:$E,MATCH($A180,'Weights'!$A:$A,0)),'Data_NSA'!$A:$A,0),MATCH("CUUR0000SA0",'Data_NSA'!$1:$1,0))))*(INDEX('Data_SA'!$A:$LO,MATCH(I$2,'Data_SA'!$A:$A,0),MATCH($E180,'Data_SA'!$1:$1,0))/INDEX('Data_SA'!$A:$LO,MATCH(EDATE(I$2,-1),'Data_SA'!$A:$A,0),MATCH($E180,'Data_SA'!$1:$1,0))-1),""))</f>
        <v/>
      </c>
      <c r="O180" s="10">
        <f>IFERROR(INDEX('Data_NSA'!$A:$OK,MATCH(O$2,'Data_NSA'!$A:$A,0),MATCH($D180,'Data_NSA'!$1:$1,0)),"")</f>
        <v/>
      </c>
      <c r="P180" s="10">
        <f>IF($E180="","",IFERROR(INDEX('Data_SA'!$A:$LO,MATCH(O$2,'Data_SA'!$A:$A,0),MATCH($E180,'Data_SA'!$1:$1,0)),""))</f>
        <v/>
      </c>
      <c r="Q180" s="7">
        <f>IF($E180="","",IFERROR(INDEX('Data_SA'!$A:$LO,MATCH(O$2,'Data_SA'!$A:$A,0),MATCH($E180,'Data_SA'!$1:$1,0))/INDEX('Data_SA'!$A:$LO,MATCH(EDATE(O$2,-1),'Data_SA'!$A:$A,0),MATCH($E180,'Data_SA'!$1:$1,0))-1,""))</f>
        <v/>
      </c>
      <c r="R180" s="7">
        <f>IFERROR(INDEX('Data_NSA'!$A:$OK,MATCH(O$2,'Data_NSA'!$A:$A,0),MATCH($D180,'Data_NSA'!$1:$1,0))/INDEX('Data_NSA'!$A:$OK,MATCH(EDATE(O$2,-12),'Data_NSA'!$A:$A,0),MATCH($D180,'Data_NSA'!$1:$1,0))-1,"")</f>
        <v/>
      </c>
      <c r="S180" s="10">
        <f>IFERROR(INDEX('Weights'!$G:$I,MATCH($A180,'Weights'!$A:$A,0),MATCH(O$2,'Weights'!$G$1:$I$1,0)),"")</f>
        <v/>
      </c>
      <c r="T180" s="10">
        <f>IF($E180="","",IFERROR(100*(INDEX('Weights'!$D:$D,MATCH($A180,'Weights'!$A:$A,0))*(INDEX('Data_NSA'!$A:$OK,MATCH(EDATE(O$2,-1),'Data_NSA'!$A:$A,0),MATCH($D180,'Data_NSA'!$1:$1,0))/INDEX('Data_NSA'!$A:$OK,MATCH(INDEX('Weights'!$E:$E,MATCH($A180,'Weights'!$A:$A,0)),'Data_NSA'!$A:$A,0),MATCH($D180,'Data_NSA'!$1:$1,0))))/(100*(INDEX('Data_NSA'!$A:$OK,MATCH(EDATE(O$2,-1),'Data_NSA'!$A:$A,0),MATCH("CUUR0000SA0",'Data_NSA'!$1:$1,0))/INDEX('Data_NSA'!$A:$OK,MATCH(INDEX('Weights'!$E:$E,MATCH($A180,'Weights'!$A:$A,0)),'Data_NSA'!$A:$A,0),MATCH("CUUR0000SA0",'Data_NSA'!$1:$1,0))))*(INDEX('Data_SA'!$A:$LO,MATCH(O$2,'Data_SA'!$A:$A,0),MATCH($E180,'Data_SA'!$1:$1,0))/INDEX('Data_SA'!$A:$LO,MATCH(EDATE(O$2,-1),'Data_SA'!$A:$A,0),MATCH($E180,'Data_SA'!$1:$1,0))-1),""))</f>
        <v/>
      </c>
      <c r="U180" s="10">
        <f>IFERROR(INDEX('Data_NSA'!$A:$OK,MATCH(U$2,'Data_NSA'!$A:$A,0),MATCH($D180,'Data_NSA'!$1:$1,0)),"")</f>
        <v/>
      </c>
      <c r="V180" s="10">
        <f>IF($E180="","",IFERROR(INDEX('Data_SA'!$A:$LO,MATCH(U$2,'Data_SA'!$A:$A,0),MATCH($E180,'Data_SA'!$1:$1,0)),""))</f>
        <v/>
      </c>
      <c r="W180" s="7">
        <f>IF($E180="","",IFERROR(INDEX('Data_SA'!$A:$LO,MATCH(U$2,'Data_SA'!$A:$A,0),MATCH($E180,'Data_SA'!$1:$1,0))/INDEX('Data_SA'!$A:$LO,MATCH(EDATE(U$2,-1),'Data_SA'!$A:$A,0),MATCH($E180,'Data_SA'!$1:$1,0))-1,""))</f>
        <v/>
      </c>
      <c r="X180" s="7">
        <f>IFERROR(INDEX('Data_NSA'!$A:$OK,MATCH(U$2,'Data_NSA'!$A:$A,0),MATCH($D180,'Data_NSA'!$1:$1,0))/INDEX('Data_NSA'!$A:$OK,MATCH(EDATE(U$2,-12),'Data_NSA'!$A:$A,0),MATCH($D180,'Data_NSA'!$1:$1,0))-1,"")</f>
        <v/>
      </c>
      <c r="Y180" s="10">
        <f>IFERROR(INDEX('Weights'!$G:$I,MATCH($A180,'Weights'!$A:$A,0),MATCH(U$2,'Weights'!$G$1:$I$1,0)),"")</f>
        <v/>
      </c>
      <c r="Z180" s="10">
        <f>IF($E180="","",IFERROR(100*(INDEX('Weights'!$D:$D,MATCH($A180,'Weights'!$A:$A,0))*(INDEX('Data_NSA'!$A:$OK,MATCH(EDATE(U$2,-1),'Data_NSA'!$A:$A,0),MATCH($D180,'Data_NSA'!$1:$1,0))/INDEX('Data_NSA'!$A:$OK,MATCH(INDEX('Weights'!$E:$E,MATCH($A180,'Weights'!$A:$A,0)),'Data_NSA'!$A:$A,0),MATCH($D180,'Data_NSA'!$1:$1,0))))/(100*(INDEX('Data_NSA'!$A:$OK,MATCH(EDATE(U$2,-1),'Data_NSA'!$A:$A,0),MATCH("CUUR0000SA0",'Data_NSA'!$1:$1,0))/INDEX('Data_NSA'!$A:$OK,MATCH(INDEX('Weights'!$E:$E,MATCH($A180,'Weights'!$A:$A,0)),'Data_NSA'!$A:$A,0),MATCH("CUUR0000SA0",'Data_NSA'!$1:$1,0))))*(INDEX('Data_SA'!$A:$LO,MATCH(U$2,'Data_SA'!$A:$A,0),MATCH($E180,'Data_SA'!$1:$1,0))/INDEX('Data_SA'!$A:$LO,MATCH(EDATE(U$2,-1),'Data_SA'!$A:$A,0),MATCH($E180,'Data_SA'!$1:$1,0))-1),""))</f>
        <v/>
      </c>
    </row>
    <row r="181">
      <c r="A181" s="3" t="inlineStr">
        <is>
          <t>SEHN</t>
        </is>
      </c>
      <c r="B181" s="3" t="inlineStr">
        <is>
          <t>Housekeeping supplies</t>
        </is>
      </c>
      <c r="C181" s="3" t="inlineStr">
        <is>
          <t>SAH3</t>
        </is>
      </c>
      <c r="D181" s="3" t="inlineStr">
        <is>
          <t>CUUR0000SEHN</t>
        </is>
      </c>
      <c r="E181" s="3" t="inlineStr">
        <is>
          <t>CUSR0000SEHN</t>
        </is>
      </c>
      <c r="F181" s="3" t="inlineStr">
        <is>
          <t>aggregate</t>
        </is>
      </c>
      <c r="G181" s="3" t="inlineStr">
        <is>
          <t>aggregate</t>
        </is>
      </c>
      <c r="H181" s="10">
        <f>IFERROR(INDEX(Weights!$D:$D,MATCH($A181,Weights!$A:$A,0)),"")</f>
        <v/>
      </c>
      <c r="I181" s="10">
        <f>IFERROR(INDEX('Data_NSA'!$A:$OK,MATCH(I$2,'Data_NSA'!$A:$A,0),MATCH($D181,'Data_NSA'!$1:$1,0)),"")</f>
        <v/>
      </c>
      <c r="J181" s="10">
        <f>IF($E181="","",IFERROR(INDEX('Data_SA'!$A:$LO,MATCH(I$2,'Data_SA'!$A:$A,0),MATCH($E181,'Data_SA'!$1:$1,0)),""))</f>
        <v/>
      </c>
      <c r="K181" s="7">
        <f>IF($E181="","",IFERROR(INDEX('Data_SA'!$A:$LO,MATCH(I$2,'Data_SA'!$A:$A,0),MATCH($E181,'Data_SA'!$1:$1,0))/INDEX('Data_SA'!$A:$LO,MATCH(EDATE(I$2,-1),'Data_SA'!$A:$A,0),MATCH($E181,'Data_SA'!$1:$1,0))-1,""))</f>
        <v/>
      </c>
      <c r="L181" s="7">
        <f>IFERROR(INDEX('Data_NSA'!$A:$OK,MATCH(I$2,'Data_NSA'!$A:$A,0),MATCH($D181,'Data_NSA'!$1:$1,0))/INDEX('Data_NSA'!$A:$OK,MATCH(EDATE(I$2,-12),'Data_NSA'!$A:$A,0),MATCH($D181,'Data_NSA'!$1:$1,0))-1,"")</f>
        <v/>
      </c>
      <c r="M181" s="10">
        <f>IFERROR(INDEX('Weights'!$G:$I,MATCH($A181,'Weights'!$A:$A,0),MATCH(I$2,'Weights'!$G$1:$I$1,0)),"")</f>
        <v/>
      </c>
      <c r="N181" s="10">
        <f>IF($E181="","",IFERROR(100*(INDEX('Weights'!$D:$D,MATCH($A181,'Weights'!$A:$A,0))*(INDEX('Data_NSA'!$A:$OK,MATCH(EDATE(I$2,-1),'Data_NSA'!$A:$A,0),MATCH($D181,'Data_NSA'!$1:$1,0))/INDEX('Data_NSA'!$A:$OK,MATCH(INDEX('Weights'!$E:$E,MATCH($A181,'Weights'!$A:$A,0)),'Data_NSA'!$A:$A,0),MATCH($D181,'Data_NSA'!$1:$1,0))))/(100*(INDEX('Data_NSA'!$A:$OK,MATCH(EDATE(I$2,-1),'Data_NSA'!$A:$A,0),MATCH("CUUR0000SA0",'Data_NSA'!$1:$1,0))/INDEX('Data_NSA'!$A:$OK,MATCH(INDEX('Weights'!$E:$E,MATCH($A181,'Weights'!$A:$A,0)),'Data_NSA'!$A:$A,0),MATCH("CUUR0000SA0",'Data_NSA'!$1:$1,0))))*(INDEX('Data_SA'!$A:$LO,MATCH(I$2,'Data_SA'!$A:$A,0),MATCH($E181,'Data_SA'!$1:$1,0))/INDEX('Data_SA'!$A:$LO,MATCH(EDATE(I$2,-1),'Data_SA'!$A:$A,0),MATCH($E181,'Data_SA'!$1:$1,0))-1),""))</f>
        <v/>
      </c>
      <c r="O181" s="10">
        <f>IFERROR(INDEX('Data_NSA'!$A:$OK,MATCH(O$2,'Data_NSA'!$A:$A,0),MATCH($D181,'Data_NSA'!$1:$1,0)),"")</f>
        <v/>
      </c>
      <c r="P181" s="10">
        <f>IF($E181="","",IFERROR(INDEX('Data_SA'!$A:$LO,MATCH(O$2,'Data_SA'!$A:$A,0),MATCH($E181,'Data_SA'!$1:$1,0)),""))</f>
        <v/>
      </c>
      <c r="Q181" s="7">
        <f>IF($E181="","",IFERROR(INDEX('Data_SA'!$A:$LO,MATCH(O$2,'Data_SA'!$A:$A,0),MATCH($E181,'Data_SA'!$1:$1,0))/INDEX('Data_SA'!$A:$LO,MATCH(EDATE(O$2,-1),'Data_SA'!$A:$A,0),MATCH($E181,'Data_SA'!$1:$1,0))-1,""))</f>
        <v/>
      </c>
      <c r="R181" s="7">
        <f>IFERROR(INDEX('Data_NSA'!$A:$OK,MATCH(O$2,'Data_NSA'!$A:$A,0),MATCH($D181,'Data_NSA'!$1:$1,0))/INDEX('Data_NSA'!$A:$OK,MATCH(EDATE(O$2,-12),'Data_NSA'!$A:$A,0),MATCH($D181,'Data_NSA'!$1:$1,0))-1,"")</f>
        <v/>
      </c>
      <c r="S181" s="10">
        <f>IFERROR(INDEX('Weights'!$G:$I,MATCH($A181,'Weights'!$A:$A,0),MATCH(O$2,'Weights'!$G$1:$I$1,0)),"")</f>
        <v/>
      </c>
      <c r="T181" s="10">
        <f>IF($E181="","",IFERROR(100*(INDEX('Weights'!$D:$D,MATCH($A181,'Weights'!$A:$A,0))*(INDEX('Data_NSA'!$A:$OK,MATCH(EDATE(O$2,-1),'Data_NSA'!$A:$A,0),MATCH($D181,'Data_NSA'!$1:$1,0))/INDEX('Data_NSA'!$A:$OK,MATCH(INDEX('Weights'!$E:$E,MATCH($A181,'Weights'!$A:$A,0)),'Data_NSA'!$A:$A,0),MATCH($D181,'Data_NSA'!$1:$1,0))))/(100*(INDEX('Data_NSA'!$A:$OK,MATCH(EDATE(O$2,-1),'Data_NSA'!$A:$A,0),MATCH("CUUR0000SA0",'Data_NSA'!$1:$1,0))/INDEX('Data_NSA'!$A:$OK,MATCH(INDEX('Weights'!$E:$E,MATCH($A181,'Weights'!$A:$A,0)),'Data_NSA'!$A:$A,0),MATCH("CUUR0000SA0",'Data_NSA'!$1:$1,0))))*(INDEX('Data_SA'!$A:$LO,MATCH(O$2,'Data_SA'!$A:$A,0),MATCH($E181,'Data_SA'!$1:$1,0))/INDEX('Data_SA'!$A:$LO,MATCH(EDATE(O$2,-1),'Data_SA'!$A:$A,0),MATCH($E181,'Data_SA'!$1:$1,0))-1),""))</f>
        <v/>
      </c>
      <c r="U181" s="10">
        <f>IFERROR(INDEX('Data_NSA'!$A:$OK,MATCH(U$2,'Data_NSA'!$A:$A,0),MATCH($D181,'Data_NSA'!$1:$1,0)),"")</f>
        <v/>
      </c>
      <c r="V181" s="10">
        <f>IF($E181="","",IFERROR(INDEX('Data_SA'!$A:$LO,MATCH(U$2,'Data_SA'!$A:$A,0),MATCH($E181,'Data_SA'!$1:$1,0)),""))</f>
        <v/>
      </c>
      <c r="W181" s="7">
        <f>IF($E181="","",IFERROR(INDEX('Data_SA'!$A:$LO,MATCH(U$2,'Data_SA'!$A:$A,0),MATCH($E181,'Data_SA'!$1:$1,0))/INDEX('Data_SA'!$A:$LO,MATCH(EDATE(U$2,-1),'Data_SA'!$A:$A,0),MATCH($E181,'Data_SA'!$1:$1,0))-1,""))</f>
        <v/>
      </c>
      <c r="X181" s="7">
        <f>IFERROR(INDEX('Data_NSA'!$A:$OK,MATCH(U$2,'Data_NSA'!$A:$A,0),MATCH($D181,'Data_NSA'!$1:$1,0))/INDEX('Data_NSA'!$A:$OK,MATCH(EDATE(U$2,-12),'Data_NSA'!$A:$A,0),MATCH($D181,'Data_NSA'!$1:$1,0))-1,"")</f>
        <v/>
      </c>
      <c r="Y181" s="10">
        <f>IFERROR(INDEX('Weights'!$G:$I,MATCH($A181,'Weights'!$A:$A,0),MATCH(U$2,'Weights'!$G$1:$I$1,0)),"")</f>
        <v/>
      </c>
      <c r="Z181" s="10">
        <f>IF($E181="","",IFERROR(100*(INDEX('Weights'!$D:$D,MATCH($A181,'Weights'!$A:$A,0))*(INDEX('Data_NSA'!$A:$OK,MATCH(EDATE(U$2,-1),'Data_NSA'!$A:$A,0),MATCH($D181,'Data_NSA'!$1:$1,0))/INDEX('Data_NSA'!$A:$OK,MATCH(INDEX('Weights'!$E:$E,MATCH($A181,'Weights'!$A:$A,0)),'Data_NSA'!$A:$A,0),MATCH($D181,'Data_NSA'!$1:$1,0))))/(100*(INDEX('Data_NSA'!$A:$OK,MATCH(EDATE(U$2,-1),'Data_NSA'!$A:$A,0),MATCH("CUUR0000SA0",'Data_NSA'!$1:$1,0))/INDEX('Data_NSA'!$A:$OK,MATCH(INDEX('Weights'!$E:$E,MATCH($A181,'Weights'!$A:$A,0)),'Data_NSA'!$A:$A,0),MATCH("CUUR0000SA0",'Data_NSA'!$1:$1,0))))*(INDEX('Data_SA'!$A:$LO,MATCH(U$2,'Data_SA'!$A:$A,0),MATCH($E181,'Data_SA'!$1:$1,0))/INDEX('Data_SA'!$A:$LO,MATCH(EDATE(U$2,-1),'Data_SA'!$A:$A,0),MATCH($E181,'Data_SA'!$1:$1,0))-1),""))</f>
        <v/>
      </c>
    </row>
    <row r="182">
      <c r="A182" s="3" t="inlineStr">
        <is>
          <t>SEHN01</t>
        </is>
      </c>
      <c r="B182" s="3" t="inlineStr">
        <is>
          <t>Household cleaning products</t>
        </is>
      </c>
      <c r="C182" s="3" t="inlineStr">
        <is>
          <t>SEHN</t>
        </is>
      </c>
      <c r="D182" s="3" t="inlineStr">
        <is>
          <t>CUUR0000SEHN01</t>
        </is>
      </c>
      <c r="E182" s="3" t="inlineStr">
        <is>
          <t>CUSR0000SEHN01</t>
        </is>
      </c>
      <c r="F182" s="3" t="inlineStr">
        <is>
          <t>GM</t>
        </is>
      </c>
      <c r="G182" s="3" t="inlineStr">
        <is>
          <t>monthly in New York/Los Angeles/Chicago; often bimonthly elsewhere</t>
        </is>
      </c>
      <c r="H182" s="10">
        <f>IFERROR(INDEX(Weights!$D:$D,MATCH($A182,Weights!$A:$A,0)),"")</f>
        <v/>
      </c>
      <c r="I182" s="10">
        <f>IFERROR(INDEX('Data_NSA'!$A:$OK,MATCH(I$2,'Data_NSA'!$A:$A,0),MATCH($D182,'Data_NSA'!$1:$1,0)),"")</f>
        <v/>
      </c>
      <c r="J182" s="10">
        <f>IF($E182="","",IFERROR(INDEX('Data_SA'!$A:$LO,MATCH(I$2,'Data_SA'!$A:$A,0),MATCH($E182,'Data_SA'!$1:$1,0)),""))</f>
        <v/>
      </c>
      <c r="K182" s="7">
        <f>IF($E182="","",IFERROR(INDEX('Data_SA'!$A:$LO,MATCH(I$2,'Data_SA'!$A:$A,0),MATCH($E182,'Data_SA'!$1:$1,0))/INDEX('Data_SA'!$A:$LO,MATCH(EDATE(I$2,-1),'Data_SA'!$A:$A,0),MATCH($E182,'Data_SA'!$1:$1,0))-1,""))</f>
        <v/>
      </c>
      <c r="L182" s="7">
        <f>IFERROR(INDEX('Data_NSA'!$A:$OK,MATCH(I$2,'Data_NSA'!$A:$A,0),MATCH($D182,'Data_NSA'!$1:$1,0))/INDEX('Data_NSA'!$A:$OK,MATCH(EDATE(I$2,-12),'Data_NSA'!$A:$A,0),MATCH($D182,'Data_NSA'!$1:$1,0))-1,"")</f>
        <v/>
      </c>
      <c r="M182" s="10">
        <f>IFERROR(INDEX('Weights'!$G:$I,MATCH($A182,'Weights'!$A:$A,0),MATCH(I$2,'Weights'!$G$1:$I$1,0)),"")</f>
        <v/>
      </c>
      <c r="N182" s="10">
        <f>IF($E182="","",IFERROR(100*(INDEX('Weights'!$D:$D,MATCH($A182,'Weights'!$A:$A,0))*(INDEX('Data_NSA'!$A:$OK,MATCH(EDATE(I$2,-1),'Data_NSA'!$A:$A,0),MATCH($D182,'Data_NSA'!$1:$1,0))/INDEX('Data_NSA'!$A:$OK,MATCH(INDEX('Weights'!$E:$E,MATCH($A182,'Weights'!$A:$A,0)),'Data_NSA'!$A:$A,0),MATCH($D182,'Data_NSA'!$1:$1,0))))/(100*(INDEX('Data_NSA'!$A:$OK,MATCH(EDATE(I$2,-1),'Data_NSA'!$A:$A,0),MATCH("CUUR0000SA0",'Data_NSA'!$1:$1,0))/INDEX('Data_NSA'!$A:$OK,MATCH(INDEX('Weights'!$E:$E,MATCH($A182,'Weights'!$A:$A,0)),'Data_NSA'!$A:$A,0),MATCH("CUUR0000SA0",'Data_NSA'!$1:$1,0))))*(INDEX('Data_SA'!$A:$LO,MATCH(I$2,'Data_SA'!$A:$A,0),MATCH($E182,'Data_SA'!$1:$1,0))/INDEX('Data_SA'!$A:$LO,MATCH(EDATE(I$2,-1),'Data_SA'!$A:$A,0),MATCH($E182,'Data_SA'!$1:$1,0))-1),""))</f>
        <v/>
      </c>
      <c r="O182" s="10">
        <f>IFERROR(INDEX('Data_NSA'!$A:$OK,MATCH(O$2,'Data_NSA'!$A:$A,0),MATCH($D182,'Data_NSA'!$1:$1,0)),"")</f>
        <v/>
      </c>
      <c r="P182" s="10">
        <f>IF($E182="","",IFERROR(INDEX('Data_SA'!$A:$LO,MATCH(O$2,'Data_SA'!$A:$A,0),MATCH($E182,'Data_SA'!$1:$1,0)),""))</f>
        <v/>
      </c>
      <c r="Q182" s="7">
        <f>IF($E182="","",IFERROR(INDEX('Data_SA'!$A:$LO,MATCH(O$2,'Data_SA'!$A:$A,0),MATCH($E182,'Data_SA'!$1:$1,0))/INDEX('Data_SA'!$A:$LO,MATCH(EDATE(O$2,-1),'Data_SA'!$A:$A,0),MATCH($E182,'Data_SA'!$1:$1,0))-1,""))</f>
        <v/>
      </c>
      <c r="R182" s="7">
        <f>IFERROR(INDEX('Data_NSA'!$A:$OK,MATCH(O$2,'Data_NSA'!$A:$A,0),MATCH($D182,'Data_NSA'!$1:$1,0))/INDEX('Data_NSA'!$A:$OK,MATCH(EDATE(O$2,-12),'Data_NSA'!$A:$A,0),MATCH($D182,'Data_NSA'!$1:$1,0))-1,"")</f>
        <v/>
      </c>
      <c r="S182" s="10">
        <f>IFERROR(INDEX('Weights'!$G:$I,MATCH($A182,'Weights'!$A:$A,0),MATCH(O$2,'Weights'!$G$1:$I$1,0)),"")</f>
        <v/>
      </c>
      <c r="T182" s="10">
        <f>IF($E182="","",IFERROR(100*(INDEX('Weights'!$D:$D,MATCH($A182,'Weights'!$A:$A,0))*(INDEX('Data_NSA'!$A:$OK,MATCH(EDATE(O$2,-1),'Data_NSA'!$A:$A,0),MATCH($D182,'Data_NSA'!$1:$1,0))/INDEX('Data_NSA'!$A:$OK,MATCH(INDEX('Weights'!$E:$E,MATCH($A182,'Weights'!$A:$A,0)),'Data_NSA'!$A:$A,0),MATCH($D182,'Data_NSA'!$1:$1,0))))/(100*(INDEX('Data_NSA'!$A:$OK,MATCH(EDATE(O$2,-1),'Data_NSA'!$A:$A,0),MATCH("CUUR0000SA0",'Data_NSA'!$1:$1,0))/INDEX('Data_NSA'!$A:$OK,MATCH(INDEX('Weights'!$E:$E,MATCH($A182,'Weights'!$A:$A,0)),'Data_NSA'!$A:$A,0),MATCH("CUUR0000SA0",'Data_NSA'!$1:$1,0))))*(INDEX('Data_SA'!$A:$LO,MATCH(O$2,'Data_SA'!$A:$A,0),MATCH($E182,'Data_SA'!$1:$1,0))/INDEX('Data_SA'!$A:$LO,MATCH(EDATE(O$2,-1),'Data_SA'!$A:$A,0),MATCH($E182,'Data_SA'!$1:$1,0))-1),""))</f>
        <v/>
      </c>
      <c r="U182" s="10">
        <f>IFERROR(INDEX('Data_NSA'!$A:$OK,MATCH(U$2,'Data_NSA'!$A:$A,0),MATCH($D182,'Data_NSA'!$1:$1,0)),"")</f>
        <v/>
      </c>
      <c r="V182" s="10">
        <f>IF($E182="","",IFERROR(INDEX('Data_SA'!$A:$LO,MATCH(U$2,'Data_SA'!$A:$A,0),MATCH($E182,'Data_SA'!$1:$1,0)),""))</f>
        <v/>
      </c>
      <c r="W182" s="7">
        <f>IF($E182="","",IFERROR(INDEX('Data_SA'!$A:$LO,MATCH(U$2,'Data_SA'!$A:$A,0),MATCH($E182,'Data_SA'!$1:$1,0))/INDEX('Data_SA'!$A:$LO,MATCH(EDATE(U$2,-1),'Data_SA'!$A:$A,0),MATCH($E182,'Data_SA'!$1:$1,0))-1,""))</f>
        <v/>
      </c>
      <c r="X182" s="7">
        <f>IFERROR(INDEX('Data_NSA'!$A:$OK,MATCH(U$2,'Data_NSA'!$A:$A,0),MATCH($D182,'Data_NSA'!$1:$1,0))/INDEX('Data_NSA'!$A:$OK,MATCH(EDATE(U$2,-12),'Data_NSA'!$A:$A,0),MATCH($D182,'Data_NSA'!$1:$1,0))-1,"")</f>
        <v/>
      </c>
      <c r="Y182" s="10">
        <f>IFERROR(INDEX('Weights'!$G:$I,MATCH($A182,'Weights'!$A:$A,0),MATCH(U$2,'Weights'!$G$1:$I$1,0)),"")</f>
        <v/>
      </c>
      <c r="Z182" s="10">
        <f>IF($E182="","",IFERROR(100*(INDEX('Weights'!$D:$D,MATCH($A182,'Weights'!$A:$A,0))*(INDEX('Data_NSA'!$A:$OK,MATCH(EDATE(U$2,-1),'Data_NSA'!$A:$A,0),MATCH($D182,'Data_NSA'!$1:$1,0))/INDEX('Data_NSA'!$A:$OK,MATCH(INDEX('Weights'!$E:$E,MATCH($A182,'Weights'!$A:$A,0)),'Data_NSA'!$A:$A,0),MATCH($D182,'Data_NSA'!$1:$1,0))))/(100*(INDEX('Data_NSA'!$A:$OK,MATCH(EDATE(U$2,-1),'Data_NSA'!$A:$A,0),MATCH("CUUR0000SA0",'Data_NSA'!$1:$1,0))/INDEX('Data_NSA'!$A:$OK,MATCH(INDEX('Weights'!$E:$E,MATCH($A182,'Weights'!$A:$A,0)),'Data_NSA'!$A:$A,0),MATCH("CUUR0000SA0",'Data_NSA'!$1:$1,0))))*(INDEX('Data_SA'!$A:$LO,MATCH(U$2,'Data_SA'!$A:$A,0),MATCH($E182,'Data_SA'!$1:$1,0))/INDEX('Data_SA'!$A:$LO,MATCH(EDATE(U$2,-1),'Data_SA'!$A:$A,0),MATCH($E182,'Data_SA'!$1:$1,0))-1),""))</f>
        <v/>
      </c>
    </row>
    <row r="183">
      <c r="A183" s="3" t="inlineStr">
        <is>
          <t>SEHN02</t>
        </is>
      </c>
      <c r="B183" s="3" t="inlineStr">
        <is>
          <t>Household paper products</t>
        </is>
      </c>
      <c r="C183" s="3" t="inlineStr">
        <is>
          <t>SEHN</t>
        </is>
      </c>
      <c r="D183" s="3" t="inlineStr">
        <is>
          <t>CUUR0000SEHN02</t>
        </is>
      </c>
      <c r="E183" s="3" t="inlineStr"/>
      <c r="F183" s="3" t="inlineStr">
        <is>
          <t>GM</t>
        </is>
      </c>
      <c r="G183" s="3" t="inlineStr">
        <is>
          <t>monthly in New York/Los Angeles/Chicago; often bimonthly elsewhere</t>
        </is>
      </c>
      <c r="H183" s="10">
        <f>IFERROR(INDEX(Weights!$D:$D,MATCH($A183,Weights!$A:$A,0)),"")</f>
        <v/>
      </c>
      <c r="I183" s="10">
        <f>IFERROR(INDEX('Data_NSA'!$A:$OK,MATCH(I$2,'Data_NSA'!$A:$A,0),MATCH($D183,'Data_NSA'!$1:$1,0)),"")</f>
        <v/>
      </c>
      <c r="J183" s="10">
        <f>IF($E183="","",IFERROR(INDEX('Data_SA'!$A:$LO,MATCH(I$2,'Data_SA'!$A:$A,0),MATCH($E183,'Data_SA'!$1:$1,0)),""))</f>
        <v/>
      </c>
      <c r="K183" s="7">
        <f>IF($E183="","",IFERROR(INDEX('Data_SA'!$A:$LO,MATCH(I$2,'Data_SA'!$A:$A,0),MATCH($E183,'Data_SA'!$1:$1,0))/INDEX('Data_SA'!$A:$LO,MATCH(EDATE(I$2,-1),'Data_SA'!$A:$A,0),MATCH($E183,'Data_SA'!$1:$1,0))-1,""))</f>
        <v/>
      </c>
      <c r="L183" s="7">
        <f>IFERROR(INDEX('Data_NSA'!$A:$OK,MATCH(I$2,'Data_NSA'!$A:$A,0),MATCH($D183,'Data_NSA'!$1:$1,0))/INDEX('Data_NSA'!$A:$OK,MATCH(EDATE(I$2,-12),'Data_NSA'!$A:$A,0),MATCH($D183,'Data_NSA'!$1:$1,0))-1,"")</f>
        <v/>
      </c>
      <c r="M183" s="10">
        <f>IFERROR(INDEX('Weights'!$G:$I,MATCH($A183,'Weights'!$A:$A,0),MATCH(I$2,'Weights'!$G$1:$I$1,0)),"")</f>
        <v/>
      </c>
      <c r="N183" s="10">
        <f>IF($E183="","",IFERROR(100*(INDEX('Weights'!$D:$D,MATCH($A183,'Weights'!$A:$A,0))*(INDEX('Data_NSA'!$A:$OK,MATCH(EDATE(I$2,-1),'Data_NSA'!$A:$A,0),MATCH($D183,'Data_NSA'!$1:$1,0))/INDEX('Data_NSA'!$A:$OK,MATCH(INDEX('Weights'!$E:$E,MATCH($A183,'Weights'!$A:$A,0)),'Data_NSA'!$A:$A,0),MATCH($D183,'Data_NSA'!$1:$1,0))))/(100*(INDEX('Data_NSA'!$A:$OK,MATCH(EDATE(I$2,-1),'Data_NSA'!$A:$A,0),MATCH("CUUR0000SA0",'Data_NSA'!$1:$1,0))/INDEX('Data_NSA'!$A:$OK,MATCH(INDEX('Weights'!$E:$E,MATCH($A183,'Weights'!$A:$A,0)),'Data_NSA'!$A:$A,0),MATCH("CUUR0000SA0",'Data_NSA'!$1:$1,0))))*(INDEX('Data_SA'!$A:$LO,MATCH(I$2,'Data_SA'!$A:$A,0),MATCH($E183,'Data_SA'!$1:$1,0))/INDEX('Data_SA'!$A:$LO,MATCH(EDATE(I$2,-1),'Data_SA'!$A:$A,0),MATCH($E183,'Data_SA'!$1:$1,0))-1),""))</f>
        <v/>
      </c>
      <c r="O183" s="10">
        <f>IFERROR(INDEX('Data_NSA'!$A:$OK,MATCH(O$2,'Data_NSA'!$A:$A,0),MATCH($D183,'Data_NSA'!$1:$1,0)),"")</f>
        <v/>
      </c>
      <c r="P183" s="10">
        <f>IF($E183="","",IFERROR(INDEX('Data_SA'!$A:$LO,MATCH(O$2,'Data_SA'!$A:$A,0),MATCH($E183,'Data_SA'!$1:$1,0)),""))</f>
        <v/>
      </c>
      <c r="Q183" s="7">
        <f>IF($E183="","",IFERROR(INDEX('Data_SA'!$A:$LO,MATCH(O$2,'Data_SA'!$A:$A,0),MATCH($E183,'Data_SA'!$1:$1,0))/INDEX('Data_SA'!$A:$LO,MATCH(EDATE(O$2,-1),'Data_SA'!$A:$A,0),MATCH($E183,'Data_SA'!$1:$1,0))-1,""))</f>
        <v/>
      </c>
      <c r="R183" s="7">
        <f>IFERROR(INDEX('Data_NSA'!$A:$OK,MATCH(O$2,'Data_NSA'!$A:$A,0),MATCH($D183,'Data_NSA'!$1:$1,0))/INDEX('Data_NSA'!$A:$OK,MATCH(EDATE(O$2,-12),'Data_NSA'!$A:$A,0),MATCH($D183,'Data_NSA'!$1:$1,0))-1,"")</f>
        <v/>
      </c>
      <c r="S183" s="10">
        <f>IFERROR(INDEX('Weights'!$G:$I,MATCH($A183,'Weights'!$A:$A,0),MATCH(O$2,'Weights'!$G$1:$I$1,0)),"")</f>
        <v/>
      </c>
      <c r="T183" s="10">
        <f>IF($E183="","",IFERROR(100*(INDEX('Weights'!$D:$D,MATCH($A183,'Weights'!$A:$A,0))*(INDEX('Data_NSA'!$A:$OK,MATCH(EDATE(O$2,-1),'Data_NSA'!$A:$A,0),MATCH($D183,'Data_NSA'!$1:$1,0))/INDEX('Data_NSA'!$A:$OK,MATCH(INDEX('Weights'!$E:$E,MATCH($A183,'Weights'!$A:$A,0)),'Data_NSA'!$A:$A,0),MATCH($D183,'Data_NSA'!$1:$1,0))))/(100*(INDEX('Data_NSA'!$A:$OK,MATCH(EDATE(O$2,-1),'Data_NSA'!$A:$A,0),MATCH("CUUR0000SA0",'Data_NSA'!$1:$1,0))/INDEX('Data_NSA'!$A:$OK,MATCH(INDEX('Weights'!$E:$E,MATCH($A183,'Weights'!$A:$A,0)),'Data_NSA'!$A:$A,0),MATCH("CUUR0000SA0",'Data_NSA'!$1:$1,0))))*(INDEX('Data_SA'!$A:$LO,MATCH(O$2,'Data_SA'!$A:$A,0),MATCH($E183,'Data_SA'!$1:$1,0))/INDEX('Data_SA'!$A:$LO,MATCH(EDATE(O$2,-1),'Data_SA'!$A:$A,0),MATCH($E183,'Data_SA'!$1:$1,0))-1),""))</f>
        <v/>
      </c>
      <c r="U183" s="10">
        <f>IFERROR(INDEX('Data_NSA'!$A:$OK,MATCH(U$2,'Data_NSA'!$A:$A,0),MATCH($D183,'Data_NSA'!$1:$1,0)),"")</f>
        <v/>
      </c>
      <c r="V183" s="10">
        <f>IF($E183="","",IFERROR(INDEX('Data_SA'!$A:$LO,MATCH(U$2,'Data_SA'!$A:$A,0),MATCH($E183,'Data_SA'!$1:$1,0)),""))</f>
        <v/>
      </c>
      <c r="W183" s="7">
        <f>IF($E183="","",IFERROR(INDEX('Data_SA'!$A:$LO,MATCH(U$2,'Data_SA'!$A:$A,0),MATCH($E183,'Data_SA'!$1:$1,0))/INDEX('Data_SA'!$A:$LO,MATCH(EDATE(U$2,-1),'Data_SA'!$A:$A,0),MATCH($E183,'Data_SA'!$1:$1,0))-1,""))</f>
        <v/>
      </c>
      <c r="X183" s="7">
        <f>IFERROR(INDEX('Data_NSA'!$A:$OK,MATCH(U$2,'Data_NSA'!$A:$A,0),MATCH($D183,'Data_NSA'!$1:$1,0))/INDEX('Data_NSA'!$A:$OK,MATCH(EDATE(U$2,-12),'Data_NSA'!$A:$A,0),MATCH($D183,'Data_NSA'!$1:$1,0))-1,"")</f>
        <v/>
      </c>
      <c r="Y183" s="10">
        <f>IFERROR(INDEX('Weights'!$G:$I,MATCH($A183,'Weights'!$A:$A,0),MATCH(U$2,'Weights'!$G$1:$I$1,0)),"")</f>
        <v/>
      </c>
      <c r="Z183" s="10">
        <f>IF($E183="","",IFERROR(100*(INDEX('Weights'!$D:$D,MATCH($A183,'Weights'!$A:$A,0))*(INDEX('Data_NSA'!$A:$OK,MATCH(EDATE(U$2,-1),'Data_NSA'!$A:$A,0),MATCH($D183,'Data_NSA'!$1:$1,0))/INDEX('Data_NSA'!$A:$OK,MATCH(INDEX('Weights'!$E:$E,MATCH($A183,'Weights'!$A:$A,0)),'Data_NSA'!$A:$A,0),MATCH($D183,'Data_NSA'!$1:$1,0))))/(100*(INDEX('Data_NSA'!$A:$OK,MATCH(EDATE(U$2,-1),'Data_NSA'!$A:$A,0),MATCH("CUUR0000SA0",'Data_NSA'!$1:$1,0))/INDEX('Data_NSA'!$A:$OK,MATCH(INDEX('Weights'!$E:$E,MATCH($A183,'Weights'!$A:$A,0)),'Data_NSA'!$A:$A,0),MATCH("CUUR0000SA0",'Data_NSA'!$1:$1,0))))*(INDEX('Data_SA'!$A:$LO,MATCH(U$2,'Data_SA'!$A:$A,0),MATCH($E183,'Data_SA'!$1:$1,0))/INDEX('Data_SA'!$A:$LO,MATCH(EDATE(U$2,-1),'Data_SA'!$A:$A,0),MATCH($E183,'Data_SA'!$1:$1,0))-1),""))</f>
        <v/>
      </c>
    </row>
    <row r="184">
      <c r="A184" s="3" t="inlineStr">
        <is>
          <t>SEHN03</t>
        </is>
      </c>
      <c r="B184" s="3" t="inlineStr">
        <is>
          <t>Miscellaneous household products</t>
        </is>
      </c>
      <c r="C184" s="3" t="inlineStr">
        <is>
          <t>SEHN</t>
        </is>
      </c>
      <c r="D184" s="3" t="inlineStr">
        <is>
          <t>CUUR0000SEHN03</t>
        </is>
      </c>
      <c r="E184" s="3" t="inlineStr">
        <is>
          <t>CUSR0000SEHN03</t>
        </is>
      </c>
      <c r="F184" s="3" t="inlineStr">
        <is>
          <t>GM</t>
        </is>
      </c>
      <c r="G184" s="3" t="inlineStr">
        <is>
          <t>monthly in New York/Los Angeles/Chicago; often bimonthly elsewhere</t>
        </is>
      </c>
      <c r="H184" s="10">
        <f>IFERROR(INDEX(Weights!$D:$D,MATCH($A184,Weights!$A:$A,0)),"")</f>
        <v/>
      </c>
      <c r="I184" s="10">
        <f>IFERROR(INDEX('Data_NSA'!$A:$OK,MATCH(I$2,'Data_NSA'!$A:$A,0),MATCH($D184,'Data_NSA'!$1:$1,0)),"")</f>
        <v/>
      </c>
      <c r="J184" s="10">
        <f>IF($E184="","",IFERROR(INDEX('Data_SA'!$A:$LO,MATCH(I$2,'Data_SA'!$A:$A,0),MATCH($E184,'Data_SA'!$1:$1,0)),""))</f>
        <v/>
      </c>
      <c r="K184" s="7">
        <f>IF($E184="","",IFERROR(INDEX('Data_SA'!$A:$LO,MATCH(I$2,'Data_SA'!$A:$A,0),MATCH($E184,'Data_SA'!$1:$1,0))/INDEX('Data_SA'!$A:$LO,MATCH(EDATE(I$2,-1),'Data_SA'!$A:$A,0),MATCH($E184,'Data_SA'!$1:$1,0))-1,""))</f>
        <v/>
      </c>
      <c r="L184" s="7">
        <f>IFERROR(INDEX('Data_NSA'!$A:$OK,MATCH(I$2,'Data_NSA'!$A:$A,0),MATCH($D184,'Data_NSA'!$1:$1,0))/INDEX('Data_NSA'!$A:$OK,MATCH(EDATE(I$2,-12),'Data_NSA'!$A:$A,0),MATCH($D184,'Data_NSA'!$1:$1,0))-1,"")</f>
        <v/>
      </c>
      <c r="M184" s="10">
        <f>IFERROR(INDEX('Weights'!$G:$I,MATCH($A184,'Weights'!$A:$A,0),MATCH(I$2,'Weights'!$G$1:$I$1,0)),"")</f>
        <v/>
      </c>
      <c r="N184" s="10">
        <f>IF($E184="","",IFERROR(100*(INDEX('Weights'!$D:$D,MATCH($A184,'Weights'!$A:$A,0))*(INDEX('Data_NSA'!$A:$OK,MATCH(EDATE(I$2,-1),'Data_NSA'!$A:$A,0),MATCH($D184,'Data_NSA'!$1:$1,0))/INDEX('Data_NSA'!$A:$OK,MATCH(INDEX('Weights'!$E:$E,MATCH($A184,'Weights'!$A:$A,0)),'Data_NSA'!$A:$A,0),MATCH($D184,'Data_NSA'!$1:$1,0))))/(100*(INDEX('Data_NSA'!$A:$OK,MATCH(EDATE(I$2,-1),'Data_NSA'!$A:$A,0),MATCH("CUUR0000SA0",'Data_NSA'!$1:$1,0))/INDEX('Data_NSA'!$A:$OK,MATCH(INDEX('Weights'!$E:$E,MATCH($A184,'Weights'!$A:$A,0)),'Data_NSA'!$A:$A,0),MATCH("CUUR0000SA0",'Data_NSA'!$1:$1,0))))*(INDEX('Data_SA'!$A:$LO,MATCH(I$2,'Data_SA'!$A:$A,0),MATCH($E184,'Data_SA'!$1:$1,0))/INDEX('Data_SA'!$A:$LO,MATCH(EDATE(I$2,-1),'Data_SA'!$A:$A,0),MATCH($E184,'Data_SA'!$1:$1,0))-1),""))</f>
        <v/>
      </c>
      <c r="O184" s="10">
        <f>IFERROR(INDEX('Data_NSA'!$A:$OK,MATCH(O$2,'Data_NSA'!$A:$A,0),MATCH($D184,'Data_NSA'!$1:$1,0)),"")</f>
        <v/>
      </c>
      <c r="P184" s="10">
        <f>IF($E184="","",IFERROR(INDEX('Data_SA'!$A:$LO,MATCH(O$2,'Data_SA'!$A:$A,0),MATCH($E184,'Data_SA'!$1:$1,0)),""))</f>
        <v/>
      </c>
      <c r="Q184" s="7">
        <f>IF($E184="","",IFERROR(INDEX('Data_SA'!$A:$LO,MATCH(O$2,'Data_SA'!$A:$A,0),MATCH($E184,'Data_SA'!$1:$1,0))/INDEX('Data_SA'!$A:$LO,MATCH(EDATE(O$2,-1),'Data_SA'!$A:$A,0),MATCH($E184,'Data_SA'!$1:$1,0))-1,""))</f>
        <v/>
      </c>
      <c r="R184" s="7">
        <f>IFERROR(INDEX('Data_NSA'!$A:$OK,MATCH(O$2,'Data_NSA'!$A:$A,0),MATCH($D184,'Data_NSA'!$1:$1,0))/INDEX('Data_NSA'!$A:$OK,MATCH(EDATE(O$2,-12),'Data_NSA'!$A:$A,0),MATCH($D184,'Data_NSA'!$1:$1,0))-1,"")</f>
        <v/>
      </c>
      <c r="S184" s="10">
        <f>IFERROR(INDEX('Weights'!$G:$I,MATCH($A184,'Weights'!$A:$A,0),MATCH(O$2,'Weights'!$G$1:$I$1,0)),"")</f>
        <v/>
      </c>
      <c r="T184" s="10">
        <f>IF($E184="","",IFERROR(100*(INDEX('Weights'!$D:$D,MATCH($A184,'Weights'!$A:$A,0))*(INDEX('Data_NSA'!$A:$OK,MATCH(EDATE(O$2,-1),'Data_NSA'!$A:$A,0),MATCH($D184,'Data_NSA'!$1:$1,0))/INDEX('Data_NSA'!$A:$OK,MATCH(INDEX('Weights'!$E:$E,MATCH($A184,'Weights'!$A:$A,0)),'Data_NSA'!$A:$A,0),MATCH($D184,'Data_NSA'!$1:$1,0))))/(100*(INDEX('Data_NSA'!$A:$OK,MATCH(EDATE(O$2,-1),'Data_NSA'!$A:$A,0),MATCH("CUUR0000SA0",'Data_NSA'!$1:$1,0))/INDEX('Data_NSA'!$A:$OK,MATCH(INDEX('Weights'!$E:$E,MATCH($A184,'Weights'!$A:$A,0)),'Data_NSA'!$A:$A,0),MATCH("CUUR0000SA0",'Data_NSA'!$1:$1,0))))*(INDEX('Data_SA'!$A:$LO,MATCH(O$2,'Data_SA'!$A:$A,0),MATCH($E184,'Data_SA'!$1:$1,0))/INDEX('Data_SA'!$A:$LO,MATCH(EDATE(O$2,-1),'Data_SA'!$A:$A,0),MATCH($E184,'Data_SA'!$1:$1,0))-1),""))</f>
        <v/>
      </c>
      <c r="U184" s="10">
        <f>IFERROR(INDEX('Data_NSA'!$A:$OK,MATCH(U$2,'Data_NSA'!$A:$A,0),MATCH($D184,'Data_NSA'!$1:$1,0)),"")</f>
        <v/>
      </c>
      <c r="V184" s="10">
        <f>IF($E184="","",IFERROR(INDEX('Data_SA'!$A:$LO,MATCH(U$2,'Data_SA'!$A:$A,0),MATCH($E184,'Data_SA'!$1:$1,0)),""))</f>
        <v/>
      </c>
      <c r="W184" s="7">
        <f>IF($E184="","",IFERROR(INDEX('Data_SA'!$A:$LO,MATCH(U$2,'Data_SA'!$A:$A,0),MATCH($E184,'Data_SA'!$1:$1,0))/INDEX('Data_SA'!$A:$LO,MATCH(EDATE(U$2,-1),'Data_SA'!$A:$A,0),MATCH($E184,'Data_SA'!$1:$1,0))-1,""))</f>
        <v/>
      </c>
      <c r="X184" s="7">
        <f>IFERROR(INDEX('Data_NSA'!$A:$OK,MATCH(U$2,'Data_NSA'!$A:$A,0),MATCH($D184,'Data_NSA'!$1:$1,0))/INDEX('Data_NSA'!$A:$OK,MATCH(EDATE(U$2,-12),'Data_NSA'!$A:$A,0),MATCH($D184,'Data_NSA'!$1:$1,0))-1,"")</f>
        <v/>
      </c>
      <c r="Y184" s="10">
        <f>IFERROR(INDEX('Weights'!$G:$I,MATCH($A184,'Weights'!$A:$A,0),MATCH(U$2,'Weights'!$G$1:$I$1,0)),"")</f>
        <v/>
      </c>
      <c r="Z184" s="10">
        <f>IF($E184="","",IFERROR(100*(INDEX('Weights'!$D:$D,MATCH($A184,'Weights'!$A:$A,0))*(INDEX('Data_NSA'!$A:$OK,MATCH(EDATE(U$2,-1),'Data_NSA'!$A:$A,0),MATCH($D184,'Data_NSA'!$1:$1,0))/INDEX('Data_NSA'!$A:$OK,MATCH(INDEX('Weights'!$E:$E,MATCH($A184,'Weights'!$A:$A,0)),'Data_NSA'!$A:$A,0),MATCH($D184,'Data_NSA'!$1:$1,0))))/(100*(INDEX('Data_NSA'!$A:$OK,MATCH(EDATE(U$2,-1),'Data_NSA'!$A:$A,0),MATCH("CUUR0000SA0",'Data_NSA'!$1:$1,0))/INDEX('Data_NSA'!$A:$OK,MATCH(INDEX('Weights'!$E:$E,MATCH($A184,'Weights'!$A:$A,0)),'Data_NSA'!$A:$A,0),MATCH("CUUR0000SA0",'Data_NSA'!$1:$1,0))))*(INDEX('Data_SA'!$A:$LO,MATCH(U$2,'Data_SA'!$A:$A,0),MATCH($E184,'Data_SA'!$1:$1,0))/INDEX('Data_SA'!$A:$LO,MATCH(EDATE(U$2,-1),'Data_SA'!$A:$A,0),MATCH($E184,'Data_SA'!$1:$1,0))-1),""))</f>
        <v/>
      </c>
    </row>
    <row r="185">
      <c r="A185" s="3" t="inlineStr">
        <is>
          <t>SEHP</t>
        </is>
      </c>
      <c r="B185" s="3" t="inlineStr">
        <is>
          <t>Household operations</t>
        </is>
      </c>
      <c r="C185" s="3" t="inlineStr">
        <is>
          <t>SAH3</t>
        </is>
      </c>
      <c r="D185" s="3" t="inlineStr">
        <is>
          <t>CUUR0000SEHP</t>
        </is>
      </c>
      <c r="E185" s="3" t="inlineStr"/>
      <c r="F185" s="3" t="inlineStr">
        <is>
          <t>aggregate</t>
        </is>
      </c>
      <c r="G185" s="3" t="inlineStr">
        <is>
          <t>aggregate</t>
        </is>
      </c>
      <c r="H185" s="10">
        <f>IFERROR(INDEX(Weights!$D:$D,MATCH($A185,Weights!$A:$A,0)),"")</f>
        <v/>
      </c>
      <c r="I185" s="10">
        <f>IFERROR(INDEX('Data_NSA'!$A:$OK,MATCH(I$2,'Data_NSA'!$A:$A,0),MATCH($D185,'Data_NSA'!$1:$1,0)),"")</f>
        <v/>
      </c>
      <c r="J185" s="10">
        <f>IF($E185="","",IFERROR(INDEX('Data_SA'!$A:$LO,MATCH(I$2,'Data_SA'!$A:$A,0),MATCH($E185,'Data_SA'!$1:$1,0)),""))</f>
        <v/>
      </c>
      <c r="K185" s="7">
        <f>IF($E185="","",IFERROR(INDEX('Data_SA'!$A:$LO,MATCH(I$2,'Data_SA'!$A:$A,0),MATCH($E185,'Data_SA'!$1:$1,0))/INDEX('Data_SA'!$A:$LO,MATCH(EDATE(I$2,-1),'Data_SA'!$A:$A,0),MATCH($E185,'Data_SA'!$1:$1,0))-1,""))</f>
        <v/>
      </c>
      <c r="L185" s="7">
        <f>IFERROR(INDEX('Data_NSA'!$A:$OK,MATCH(I$2,'Data_NSA'!$A:$A,0),MATCH($D185,'Data_NSA'!$1:$1,0))/INDEX('Data_NSA'!$A:$OK,MATCH(EDATE(I$2,-12),'Data_NSA'!$A:$A,0),MATCH($D185,'Data_NSA'!$1:$1,0))-1,"")</f>
        <v/>
      </c>
      <c r="M185" s="10">
        <f>IFERROR(INDEX('Weights'!$G:$I,MATCH($A185,'Weights'!$A:$A,0),MATCH(I$2,'Weights'!$G$1:$I$1,0)),"")</f>
        <v/>
      </c>
      <c r="N185" s="10">
        <f>IF($E185="","",IFERROR(100*(INDEX('Weights'!$D:$D,MATCH($A185,'Weights'!$A:$A,0))*(INDEX('Data_NSA'!$A:$OK,MATCH(EDATE(I$2,-1),'Data_NSA'!$A:$A,0),MATCH($D185,'Data_NSA'!$1:$1,0))/INDEX('Data_NSA'!$A:$OK,MATCH(INDEX('Weights'!$E:$E,MATCH($A185,'Weights'!$A:$A,0)),'Data_NSA'!$A:$A,0),MATCH($D185,'Data_NSA'!$1:$1,0))))/(100*(INDEX('Data_NSA'!$A:$OK,MATCH(EDATE(I$2,-1),'Data_NSA'!$A:$A,0),MATCH("CUUR0000SA0",'Data_NSA'!$1:$1,0))/INDEX('Data_NSA'!$A:$OK,MATCH(INDEX('Weights'!$E:$E,MATCH($A185,'Weights'!$A:$A,0)),'Data_NSA'!$A:$A,0),MATCH("CUUR0000SA0",'Data_NSA'!$1:$1,0))))*(INDEX('Data_SA'!$A:$LO,MATCH(I$2,'Data_SA'!$A:$A,0),MATCH($E185,'Data_SA'!$1:$1,0))/INDEX('Data_SA'!$A:$LO,MATCH(EDATE(I$2,-1),'Data_SA'!$A:$A,0),MATCH($E185,'Data_SA'!$1:$1,0))-1),""))</f>
        <v/>
      </c>
      <c r="O185" s="10">
        <f>IFERROR(INDEX('Data_NSA'!$A:$OK,MATCH(O$2,'Data_NSA'!$A:$A,0),MATCH($D185,'Data_NSA'!$1:$1,0)),"")</f>
        <v/>
      </c>
      <c r="P185" s="10">
        <f>IF($E185="","",IFERROR(INDEX('Data_SA'!$A:$LO,MATCH(O$2,'Data_SA'!$A:$A,0),MATCH($E185,'Data_SA'!$1:$1,0)),""))</f>
        <v/>
      </c>
      <c r="Q185" s="7">
        <f>IF($E185="","",IFERROR(INDEX('Data_SA'!$A:$LO,MATCH(O$2,'Data_SA'!$A:$A,0),MATCH($E185,'Data_SA'!$1:$1,0))/INDEX('Data_SA'!$A:$LO,MATCH(EDATE(O$2,-1),'Data_SA'!$A:$A,0),MATCH($E185,'Data_SA'!$1:$1,0))-1,""))</f>
        <v/>
      </c>
      <c r="R185" s="7">
        <f>IFERROR(INDEX('Data_NSA'!$A:$OK,MATCH(O$2,'Data_NSA'!$A:$A,0),MATCH($D185,'Data_NSA'!$1:$1,0))/INDEX('Data_NSA'!$A:$OK,MATCH(EDATE(O$2,-12),'Data_NSA'!$A:$A,0),MATCH($D185,'Data_NSA'!$1:$1,0))-1,"")</f>
        <v/>
      </c>
      <c r="S185" s="10">
        <f>IFERROR(INDEX('Weights'!$G:$I,MATCH($A185,'Weights'!$A:$A,0),MATCH(O$2,'Weights'!$G$1:$I$1,0)),"")</f>
        <v/>
      </c>
      <c r="T185" s="10">
        <f>IF($E185="","",IFERROR(100*(INDEX('Weights'!$D:$D,MATCH($A185,'Weights'!$A:$A,0))*(INDEX('Data_NSA'!$A:$OK,MATCH(EDATE(O$2,-1),'Data_NSA'!$A:$A,0),MATCH($D185,'Data_NSA'!$1:$1,0))/INDEX('Data_NSA'!$A:$OK,MATCH(INDEX('Weights'!$E:$E,MATCH($A185,'Weights'!$A:$A,0)),'Data_NSA'!$A:$A,0),MATCH($D185,'Data_NSA'!$1:$1,0))))/(100*(INDEX('Data_NSA'!$A:$OK,MATCH(EDATE(O$2,-1),'Data_NSA'!$A:$A,0),MATCH("CUUR0000SA0",'Data_NSA'!$1:$1,0))/INDEX('Data_NSA'!$A:$OK,MATCH(INDEX('Weights'!$E:$E,MATCH($A185,'Weights'!$A:$A,0)),'Data_NSA'!$A:$A,0),MATCH("CUUR0000SA0",'Data_NSA'!$1:$1,0))))*(INDEX('Data_SA'!$A:$LO,MATCH(O$2,'Data_SA'!$A:$A,0),MATCH($E185,'Data_SA'!$1:$1,0))/INDEX('Data_SA'!$A:$LO,MATCH(EDATE(O$2,-1),'Data_SA'!$A:$A,0),MATCH($E185,'Data_SA'!$1:$1,0))-1),""))</f>
        <v/>
      </c>
      <c r="U185" s="10">
        <f>IFERROR(INDEX('Data_NSA'!$A:$OK,MATCH(U$2,'Data_NSA'!$A:$A,0),MATCH($D185,'Data_NSA'!$1:$1,0)),"")</f>
        <v/>
      </c>
      <c r="V185" s="10">
        <f>IF($E185="","",IFERROR(INDEX('Data_SA'!$A:$LO,MATCH(U$2,'Data_SA'!$A:$A,0),MATCH($E185,'Data_SA'!$1:$1,0)),""))</f>
        <v/>
      </c>
      <c r="W185" s="7">
        <f>IF($E185="","",IFERROR(INDEX('Data_SA'!$A:$LO,MATCH(U$2,'Data_SA'!$A:$A,0),MATCH($E185,'Data_SA'!$1:$1,0))/INDEX('Data_SA'!$A:$LO,MATCH(EDATE(U$2,-1),'Data_SA'!$A:$A,0),MATCH($E185,'Data_SA'!$1:$1,0))-1,""))</f>
        <v/>
      </c>
      <c r="X185" s="7">
        <f>IFERROR(INDEX('Data_NSA'!$A:$OK,MATCH(U$2,'Data_NSA'!$A:$A,0),MATCH($D185,'Data_NSA'!$1:$1,0))/INDEX('Data_NSA'!$A:$OK,MATCH(EDATE(U$2,-12),'Data_NSA'!$A:$A,0),MATCH($D185,'Data_NSA'!$1:$1,0))-1,"")</f>
        <v/>
      </c>
      <c r="Y185" s="10">
        <f>IFERROR(INDEX('Weights'!$G:$I,MATCH($A185,'Weights'!$A:$A,0),MATCH(U$2,'Weights'!$G$1:$I$1,0)),"")</f>
        <v/>
      </c>
      <c r="Z185" s="10">
        <f>IF($E185="","",IFERROR(100*(INDEX('Weights'!$D:$D,MATCH($A185,'Weights'!$A:$A,0))*(INDEX('Data_NSA'!$A:$OK,MATCH(EDATE(U$2,-1),'Data_NSA'!$A:$A,0),MATCH($D185,'Data_NSA'!$1:$1,0))/INDEX('Data_NSA'!$A:$OK,MATCH(INDEX('Weights'!$E:$E,MATCH($A185,'Weights'!$A:$A,0)),'Data_NSA'!$A:$A,0),MATCH($D185,'Data_NSA'!$1:$1,0))))/(100*(INDEX('Data_NSA'!$A:$OK,MATCH(EDATE(U$2,-1),'Data_NSA'!$A:$A,0),MATCH("CUUR0000SA0",'Data_NSA'!$1:$1,0))/INDEX('Data_NSA'!$A:$OK,MATCH(INDEX('Weights'!$E:$E,MATCH($A185,'Weights'!$A:$A,0)),'Data_NSA'!$A:$A,0),MATCH("CUUR0000SA0",'Data_NSA'!$1:$1,0))))*(INDEX('Data_SA'!$A:$LO,MATCH(U$2,'Data_SA'!$A:$A,0),MATCH($E185,'Data_SA'!$1:$1,0))/INDEX('Data_SA'!$A:$LO,MATCH(EDATE(U$2,-1),'Data_SA'!$A:$A,0),MATCH($E185,'Data_SA'!$1:$1,0))-1),""))</f>
        <v/>
      </c>
    </row>
    <row r="186">
      <c r="A186" s="3" t="inlineStr">
        <is>
          <t>SEHP01</t>
        </is>
      </c>
      <c r="B186" s="3" t="inlineStr">
        <is>
          <t>Domestic services</t>
        </is>
      </c>
      <c r="C186" s="3" t="inlineStr">
        <is>
          <t>SEHP</t>
        </is>
      </c>
      <c r="D186" s="3" t="inlineStr">
        <is>
          <t>CUUR0000SEHP01</t>
        </is>
      </c>
      <c r="E186" s="3" t="inlineStr"/>
      <c r="F186" s="3" t="inlineStr">
        <is>
          <t>GM</t>
        </is>
      </c>
      <c r="G186" s="3" t="inlineStr">
        <is>
          <t>monthly in New York/Los Angeles/Chicago; often bimonthly elsewhere</t>
        </is>
      </c>
      <c r="H186" s="10">
        <f>IFERROR(INDEX(Weights!$D:$D,MATCH($A186,Weights!$A:$A,0)),"")</f>
        <v/>
      </c>
      <c r="I186" s="10">
        <f>IFERROR(INDEX('Data_NSA'!$A:$OK,MATCH(I$2,'Data_NSA'!$A:$A,0),MATCH($D186,'Data_NSA'!$1:$1,0)),"")</f>
        <v/>
      </c>
      <c r="J186" s="10">
        <f>IF($E186="","",IFERROR(INDEX('Data_SA'!$A:$LO,MATCH(I$2,'Data_SA'!$A:$A,0),MATCH($E186,'Data_SA'!$1:$1,0)),""))</f>
        <v/>
      </c>
      <c r="K186" s="7">
        <f>IF($E186="","",IFERROR(INDEX('Data_SA'!$A:$LO,MATCH(I$2,'Data_SA'!$A:$A,0),MATCH($E186,'Data_SA'!$1:$1,0))/INDEX('Data_SA'!$A:$LO,MATCH(EDATE(I$2,-1),'Data_SA'!$A:$A,0),MATCH($E186,'Data_SA'!$1:$1,0))-1,""))</f>
        <v/>
      </c>
      <c r="L186" s="7">
        <f>IFERROR(INDEX('Data_NSA'!$A:$OK,MATCH(I$2,'Data_NSA'!$A:$A,0),MATCH($D186,'Data_NSA'!$1:$1,0))/INDEX('Data_NSA'!$A:$OK,MATCH(EDATE(I$2,-12),'Data_NSA'!$A:$A,0),MATCH($D186,'Data_NSA'!$1:$1,0))-1,"")</f>
        <v/>
      </c>
      <c r="M186" s="10">
        <f>IFERROR(INDEX('Weights'!$G:$I,MATCH($A186,'Weights'!$A:$A,0),MATCH(I$2,'Weights'!$G$1:$I$1,0)),"")</f>
        <v/>
      </c>
      <c r="N186" s="10">
        <f>IF($E186="","",IFERROR(100*(INDEX('Weights'!$D:$D,MATCH($A186,'Weights'!$A:$A,0))*(INDEX('Data_NSA'!$A:$OK,MATCH(EDATE(I$2,-1),'Data_NSA'!$A:$A,0),MATCH($D186,'Data_NSA'!$1:$1,0))/INDEX('Data_NSA'!$A:$OK,MATCH(INDEX('Weights'!$E:$E,MATCH($A186,'Weights'!$A:$A,0)),'Data_NSA'!$A:$A,0),MATCH($D186,'Data_NSA'!$1:$1,0))))/(100*(INDEX('Data_NSA'!$A:$OK,MATCH(EDATE(I$2,-1),'Data_NSA'!$A:$A,0),MATCH("CUUR0000SA0",'Data_NSA'!$1:$1,0))/INDEX('Data_NSA'!$A:$OK,MATCH(INDEX('Weights'!$E:$E,MATCH($A186,'Weights'!$A:$A,0)),'Data_NSA'!$A:$A,0),MATCH("CUUR0000SA0",'Data_NSA'!$1:$1,0))))*(INDEX('Data_SA'!$A:$LO,MATCH(I$2,'Data_SA'!$A:$A,0),MATCH($E186,'Data_SA'!$1:$1,0))/INDEX('Data_SA'!$A:$LO,MATCH(EDATE(I$2,-1),'Data_SA'!$A:$A,0),MATCH($E186,'Data_SA'!$1:$1,0))-1),""))</f>
        <v/>
      </c>
      <c r="O186" s="10">
        <f>IFERROR(INDEX('Data_NSA'!$A:$OK,MATCH(O$2,'Data_NSA'!$A:$A,0),MATCH($D186,'Data_NSA'!$1:$1,0)),"")</f>
        <v/>
      </c>
      <c r="P186" s="10">
        <f>IF($E186="","",IFERROR(INDEX('Data_SA'!$A:$LO,MATCH(O$2,'Data_SA'!$A:$A,0),MATCH($E186,'Data_SA'!$1:$1,0)),""))</f>
        <v/>
      </c>
      <c r="Q186" s="7">
        <f>IF($E186="","",IFERROR(INDEX('Data_SA'!$A:$LO,MATCH(O$2,'Data_SA'!$A:$A,0),MATCH($E186,'Data_SA'!$1:$1,0))/INDEX('Data_SA'!$A:$LO,MATCH(EDATE(O$2,-1),'Data_SA'!$A:$A,0),MATCH($E186,'Data_SA'!$1:$1,0))-1,""))</f>
        <v/>
      </c>
      <c r="R186" s="7">
        <f>IFERROR(INDEX('Data_NSA'!$A:$OK,MATCH(O$2,'Data_NSA'!$A:$A,0),MATCH($D186,'Data_NSA'!$1:$1,0))/INDEX('Data_NSA'!$A:$OK,MATCH(EDATE(O$2,-12),'Data_NSA'!$A:$A,0),MATCH($D186,'Data_NSA'!$1:$1,0))-1,"")</f>
        <v/>
      </c>
      <c r="S186" s="10">
        <f>IFERROR(INDEX('Weights'!$G:$I,MATCH($A186,'Weights'!$A:$A,0),MATCH(O$2,'Weights'!$G$1:$I$1,0)),"")</f>
        <v/>
      </c>
      <c r="T186" s="10">
        <f>IF($E186="","",IFERROR(100*(INDEX('Weights'!$D:$D,MATCH($A186,'Weights'!$A:$A,0))*(INDEX('Data_NSA'!$A:$OK,MATCH(EDATE(O$2,-1),'Data_NSA'!$A:$A,0),MATCH($D186,'Data_NSA'!$1:$1,0))/INDEX('Data_NSA'!$A:$OK,MATCH(INDEX('Weights'!$E:$E,MATCH($A186,'Weights'!$A:$A,0)),'Data_NSA'!$A:$A,0),MATCH($D186,'Data_NSA'!$1:$1,0))))/(100*(INDEX('Data_NSA'!$A:$OK,MATCH(EDATE(O$2,-1),'Data_NSA'!$A:$A,0),MATCH("CUUR0000SA0",'Data_NSA'!$1:$1,0))/INDEX('Data_NSA'!$A:$OK,MATCH(INDEX('Weights'!$E:$E,MATCH($A186,'Weights'!$A:$A,0)),'Data_NSA'!$A:$A,0),MATCH("CUUR0000SA0",'Data_NSA'!$1:$1,0))))*(INDEX('Data_SA'!$A:$LO,MATCH(O$2,'Data_SA'!$A:$A,0),MATCH($E186,'Data_SA'!$1:$1,0))/INDEX('Data_SA'!$A:$LO,MATCH(EDATE(O$2,-1),'Data_SA'!$A:$A,0),MATCH($E186,'Data_SA'!$1:$1,0))-1),""))</f>
        <v/>
      </c>
      <c r="U186" s="10">
        <f>IFERROR(INDEX('Data_NSA'!$A:$OK,MATCH(U$2,'Data_NSA'!$A:$A,0),MATCH($D186,'Data_NSA'!$1:$1,0)),"")</f>
        <v/>
      </c>
      <c r="V186" s="10">
        <f>IF($E186="","",IFERROR(INDEX('Data_SA'!$A:$LO,MATCH(U$2,'Data_SA'!$A:$A,0),MATCH($E186,'Data_SA'!$1:$1,0)),""))</f>
        <v/>
      </c>
      <c r="W186" s="7">
        <f>IF($E186="","",IFERROR(INDEX('Data_SA'!$A:$LO,MATCH(U$2,'Data_SA'!$A:$A,0),MATCH($E186,'Data_SA'!$1:$1,0))/INDEX('Data_SA'!$A:$LO,MATCH(EDATE(U$2,-1),'Data_SA'!$A:$A,0),MATCH($E186,'Data_SA'!$1:$1,0))-1,""))</f>
        <v/>
      </c>
      <c r="X186" s="7">
        <f>IFERROR(INDEX('Data_NSA'!$A:$OK,MATCH(U$2,'Data_NSA'!$A:$A,0),MATCH($D186,'Data_NSA'!$1:$1,0))/INDEX('Data_NSA'!$A:$OK,MATCH(EDATE(U$2,-12),'Data_NSA'!$A:$A,0),MATCH($D186,'Data_NSA'!$1:$1,0))-1,"")</f>
        <v/>
      </c>
      <c r="Y186" s="10">
        <f>IFERROR(INDEX('Weights'!$G:$I,MATCH($A186,'Weights'!$A:$A,0),MATCH(U$2,'Weights'!$G$1:$I$1,0)),"")</f>
        <v/>
      </c>
      <c r="Z186" s="10">
        <f>IF($E186="","",IFERROR(100*(INDEX('Weights'!$D:$D,MATCH($A186,'Weights'!$A:$A,0))*(INDEX('Data_NSA'!$A:$OK,MATCH(EDATE(U$2,-1),'Data_NSA'!$A:$A,0),MATCH($D186,'Data_NSA'!$1:$1,0))/INDEX('Data_NSA'!$A:$OK,MATCH(INDEX('Weights'!$E:$E,MATCH($A186,'Weights'!$A:$A,0)),'Data_NSA'!$A:$A,0),MATCH($D186,'Data_NSA'!$1:$1,0))))/(100*(INDEX('Data_NSA'!$A:$OK,MATCH(EDATE(U$2,-1),'Data_NSA'!$A:$A,0),MATCH("CUUR0000SA0",'Data_NSA'!$1:$1,0))/INDEX('Data_NSA'!$A:$OK,MATCH(INDEX('Weights'!$E:$E,MATCH($A186,'Weights'!$A:$A,0)),'Data_NSA'!$A:$A,0),MATCH("CUUR0000SA0",'Data_NSA'!$1:$1,0))))*(INDEX('Data_SA'!$A:$LO,MATCH(U$2,'Data_SA'!$A:$A,0),MATCH($E186,'Data_SA'!$1:$1,0))/INDEX('Data_SA'!$A:$LO,MATCH(EDATE(U$2,-1),'Data_SA'!$A:$A,0),MATCH($E186,'Data_SA'!$1:$1,0))-1),""))</f>
        <v/>
      </c>
    </row>
    <row r="187">
      <c r="A187" s="3" t="inlineStr">
        <is>
          <t>SEHP02</t>
        </is>
      </c>
      <c r="B187" s="3" t="inlineStr">
        <is>
          <t>Gardening and lawncare services</t>
        </is>
      </c>
      <c r="C187" s="3" t="inlineStr">
        <is>
          <t>SEHP</t>
        </is>
      </c>
      <c r="D187" s="3" t="inlineStr">
        <is>
          <t>CUUR0000SEHP02</t>
        </is>
      </c>
      <c r="E187" s="3" t="inlineStr"/>
      <c r="F187" s="3" t="inlineStr">
        <is>
          <t>GM</t>
        </is>
      </c>
      <c r="G187" s="3" t="inlineStr">
        <is>
          <t>monthly in New York/Los Angeles/Chicago; often bimonthly elsewhere</t>
        </is>
      </c>
      <c r="H187" s="10">
        <f>IFERROR(INDEX(Weights!$D:$D,MATCH($A187,Weights!$A:$A,0)),"")</f>
        <v/>
      </c>
      <c r="I187" s="10">
        <f>IFERROR(INDEX('Data_NSA'!$A:$OK,MATCH(I$2,'Data_NSA'!$A:$A,0),MATCH($D187,'Data_NSA'!$1:$1,0)),"")</f>
        <v/>
      </c>
      <c r="J187" s="10">
        <f>IF($E187="","",IFERROR(INDEX('Data_SA'!$A:$LO,MATCH(I$2,'Data_SA'!$A:$A,0),MATCH($E187,'Data_SA'!$1:$1,0)),""))</f>
        <v/>
      </c>
      <c r="K187" s="7">
        <f>IF($E187="","",IFERROR(INDEX('Data_SA'!$A:$LO,MATCH(I$2,'Data_SA'!$A:$A,0),MATCH($E187,'Data_SA'!$1:$1,0))/INDEX('Data_SA'!$A:$LO,MATCH(EDATE(I$2,-1),'Data_SA'!$A:$A,0),MATCH($E187,'Data_SA'!$1:$1,0))-1,""))</f>
        <v/>
      </c>
      <c r="L187" s="7">
        <f>IFERROR(INDEX('Data_NSA'!$A:$OK,MATCH(I$2,'Data_NSA'!$A:$A,0),MATCH($D187,'Data_NSA'!$1:$1,0))/INDEX('Data_NSA'!$A:$OK,MATCH(EDATE(I$2,-12),'Data_NSA'!$A:$A,0),MATCH($D187,'Data_NSA'!$1:$1,0))-1,"")</f>
        <v/>
      </c>
      <c r="M187" s="10">
        <f>IFERROR(INDEX('Weights'!$G:$I,MATCH($A187,'Weights'!$A:$A,0),MATCH(I$2,'Weights'!$G$1:$I$1,0)),"")</f>
        <v/>
      </c>
      <c r="N187" s="10">
        <f>IF($E187="","",IFERROR(100*(INDEX('Weights'!$D:$D,MATCH($A187,'Weights'!$A:$A,0))*(INDEX('Data_NSA'!$A:$OK,MATCH(EDATE(I$2,-1),'Data_NSA'!$A:$A,0),MATCH($D187,'Data_NSA'!$1:$1,0))/INDEX('Data_NSA'!$A:$OK,MATCH(INDEX('Weights'!$E:$E,MATCH($A187,'Weights'!$A:$A,0)),'Data_NSA'!$A:$A,0),MATCH($D187,'Data_NSA'!$1:$1,0))))/(100*(INDEX('Data_NSA'!$A:$OK,MATCH(EDATE(I$2,-1),'Data_NSA'!$A:$A,0),MATCH("CUUR0000SA0",'Data_NSA'!$1:$1,0))/INDEX('Data_NSA'!$A:$OK,MATCH(INDEX('Weights'!$E:$E,MATCH($A187,'Weights'!$A:$A,0)),'Data_NSA'!$A:$A,0),MATCH("CUUR0000SA0",'Data_NSA'!$1:$1,0))))*(INDEX('Data_SA'!$A:$LO,MATCH(I$2,'Data_SA'!$A:$A,0),MATCH($E187,'Data_SA'!$1:$1,0))/INDEX('Data_SA'!$A:$LO,MATCH(EDATE(I$2,-1),'Data_SA'!$A:$A,0),MATCH($E187,'Data_SA'!$1:$1,0))-1),""))</f>
        <v/>
      </c>
      <c r="O187" s="10">
        <f>IFERROR(INDEX('Data_NSA'!$A:$OK,MATCH(O$2,'Data_NSA'!$A:$A,0),MATCH($D187,'Data_NSA'!$1:$1,0)),"")</f>
        <v/>
      </c>
      <c r="P187" s="10">
        <f>IF($E187="","",IFERROR(INDEX('Data_SA'!$A:$LO,MATCH(O$2,'Data_SA'!$A:$A,0),MATCH($E187,'Data_SA'!$1:$1,0)),""))</f>
        <v/>
      </c>
      <c r="Q187" s="7">
        <f>IF($E187="","",IFERROR(INDEX('Data_SA'!$A:$LO,MATCH(O$2,'Data_SA'!$A:$A,0),MATCH($E187,'Data_SA'!$1:$1,0))/INDEX('Data_SA'!$A:$LO,MATCH(EDATE(O$2,-1),'Data_SA'!$A:$A,0),MATCH($E187,'Data_SA'!$1:$1,0))-1,""))</f>
        <v/>
      </c>
      <c r="R187" s="7">
        <f>IFERROR(INDEX('Data_NSA'!$A:$OK,MATCH(O$2,'Data_NSA'!$A:$A,0),MATCH($D187,'Data_NSA'!$1:$1,0))/INDEX('Data_NSA'!$A:$OK,MATCH(EDATE(O$2,-12),'Data_NSA'!$A:$A,0),MATCH($D187,'Data_NSA'!$1:$1,0))-1,"")</f>
        <v/>
      </c>
      <c r="S187" s="10">
        <f>IFERROR(INDEX('Weights'!$G:$I,MATCH($A187,'Weights'!$A:$A,0),MATCH(O$2,'Weights'!$G$1:$I$1,0)),"")</f>
        <v/>
      </c>
      <c r="T187" s="10">
        <f>IF($E187="","",IFERROR(100*(INDEX('Weights'!$D:$D,MATCH($A187,'Weights'!$A:$A,0))*(INDEX('Data_NSA'!$A:$OK,MATCH(EDATE(O$2,-1),'Data_NSA'!$A:$A,0),MATCH($D187,'Data_NSA'!$1:$1,0))/INDEX('Data_NSA'!$A:$OK,MATCH(INDEX('Weights'!$E:$E,MATCH($A187,'Weights'!$A:$A,0)),'Data_NSA'!$A:$A,0),MATCH($D187,'Data_NSA'!$1:$1,0))))/(100*(INDEX('Data_NSA'!$A:$OK,MATCH(EDATE(O$2,-1),'Data_NSA'!$A:$A,0),MATCH("CUUR0000SA0",'Data_NSA'!$1:$1,0))/INDEX('Data_NSA'!$A:$OK,MATCH(INDEX('Weights'!$E:$E,MATCH($A187,'Weights'!$A:$A,0)),'Data_NSA'!$A:$A,0),MATCH("CUUR0000SA0",'Data_NSA'!$1:$1,0))))*(INDEX('Data_SA'!$A:$LO,MATCH(O$2,'Data_SA'!$A:$A,0),MATCH($E187,'Data_SA'!$1:$1,0))/INDEX('Data_SA'!$A:$LO,MATCH(EDATE(O$2,-1),'Data_SA'!$A:$A,0),MATCH($E187,'Data_SA'!$1:$1,0))-1),""))</f>
        <v/>
      </c>
      <c r="U187" s="10">
        <f>IFERROR(INDEX('Data_NSA'!$A:$OK,MATCH(U$2,'Data_NSA'!$A:$A,0),MATCH($D187,'Data_NSA'!$1:$1,0)),"")</f>
        <v/>
      </c>
      <c r="V187" s="10">
        <f>IF($E187="","",IFERROR(INDEX('Data_SA'!$A:$LO,MATCH(U$2,'Data_SA'!$A:$A,0),MATCH($E187,'Data_SA'!$1:$1,0)),""))</f>
        <v/>
      </c>
      <c r="W187" s="7">
        <f>IF($E187="","",IFERROR(INDEX('Data_SA'!$A:$LO,MATCH(U$2,'Data_SA'!$A:$A,0),MATCH($E187,'Data_SA'!$1:$1,0))/INDEX('Data_SA'!$A:$LO,MATCH(EDATE(U$2,-1),'Data_SA'!$A:$A,0),MATCH($E187,'Data_SA'!$1:$1,0))-1,""))</f>
        <v/>
      </c>
      <c r="X187" s="7">
        <f>IFERROR(INDEX('Data_NSA'!$A:$OK,MATCH(U$2,'Data_NSA'!$A:$A,0),MATCH($D187,'Data_NSA'!$1:$1,0))/INDEX('Data_NSA'!$A:$OK,MATCH(EDATE(U$2,-12),'Data_NSA'!$A:$A,0),MATCH($D187,'Data_NSA'!$1:$1,0))-1,"")</f>
        <v/>
      </c>
      <c r="Y187" s="10">
        <f>IFERROR(INDEX('Weights'!$G:$I,MATCH($A187,'Weights'!$A:$A,0),MATCH(U$2,'Weights'!$G$1:$I$1,0)),"")</f>
        <v/>
      </c>
      <c r="Z187" s="10">
        <f>IF($E187="","",IFERROR(100*(INDEX('Weights'!$D:$D,MATCH($A187,'Weights'!$A:$A,0))*(INDEX('Data_NSA'!$A:$OK,MATCH(EDATE(U$2,-1),'Data_NSA'!$A:$A,0),MATCH($D187,'Data_NSA'!$1:$1,0))/INDEX('Data_NSA'!$A:$OK,MATCH(INDEX('Weights'!$E:$E,MATCH($A187,'Weights'!$A:$A,0)),'Data_NSA'!$A:$A,0),MATCH($D187,'Data_NSA'!$1:$1,0))))/(100*(INDEX('Data_NSA'!$A:$OK,MATCH(EDATE(U$2,-1),'Data_NSA'!$A:$A,0),MATCH("CUUR0000SA0",'Data_NSA'!$1:$1,0))/INDEX('Data_NSA'!$A:$OK,MATCH(INDEX('Weights'!$E:$E,MATCH($A187,'Weights'!$A:$A,0)),'Data_NSA'!$A:$A,0),MATCH("CUUR0000SA0",'Data_NSA'!$1:$1,0))))*(INDEX('Data_SA'!$A:$LO,MATCH(U$2,'Data_SA'!$A:$A,0),MATCH($E187,'Data_SA'!$1:$1,0))/INDEX('Data_SA'!$A:$LO,MATCH(EDATE(U$2,-1),'Data_SA'!$A:$A,0),MATCH($E187,'Data_SA'!$1:$1,0))-1),""))</f>
        <v/>
      </c>
    </row>
    <row r="188">
      <c r="A188" s="3" t="inlineStr">
        <is>
          <t>SEHP03</t>
        </is>
      </c>
      <c r="B188" s="3" t="inlineStr">
        <is>
          <t>Moving, storage, freight expense</t>
        </is>
      </c>
      <c r="C188" s="3" t="inlineStr">
        <is>
          <t>SEHP</t>
        </is>
      </c>
      <c r="D188" s="3" t="inlineStr">
        <is>
          <t>CUUR0000SEHP03</t>
        </is>
      </c>
      <c r="E188" s="3" t="inlineStr">
        <is>
          <t>CUSR0000SEHP03</t>
        </is>
      </c>
      <c r="F188" s="3" t="inlineStr">
        <is>
          <t>GM</t>
        </is>
      </c>
      <c r="G188" s="3" t="inlineStr">
        <is>
          <t>monthly in New York/Los Angeles/Chicago; often bimonthly elsewhere</t>
        </is>
      </c>
      <c r="H188" s="10">
        <f>IFERROR(INDEX(Weights!$D:$D,MATCH($A188,Weights!$A:$A,0)),"")</f>
        <v/>
      </c>
      <c r="I188" s="10">
        <f>IFERROR(INDEX('Data_NSA'!$A:$OK,MATCH(I$2,'Data_NSA'!$A:$A,0),MATCH($D188,'Data_NSA'!$1:$1,0)),"")</f>
        <v/>
      </c>
      <c r="J188" s="10">
        <f>IF($E188="","",IFERROR(INDEX('Data_SA'!$A:$LO,MATCH(I$2,'Data_SA'!$A:$A,0),MATCH($E188,'Data_SA'!$1:$1,0)),""))</f>
        <v/>
      </c>
      <c r="K188" s="7">
        <f>IF($E188="","",IFERROR(INDEX('Data_SA'!$A:$LO,MATCH(I$2,'Data_SA'!$A:$A,0),MATCH($E188,'Data_SA'!$1:$1,0))/INDEX('Data_SA'!$A:$LO,MATCH(EDATE(I$2,-1),'Data_SA'!$A:$A,0),MATCH($E188,'Data_SA'!$1:$1,0))-1,""))</f>
        <v/>
      </c>
      <c r="L188" s="7">
        <f>IFERROR(INDEX('Data_NSA'!$A:$OK,MATCH(I$2,'Data_NSA'!$A:$A,0),MATCH($D188,'Data_NSA'!$1:$1,0))/INDEX('Data_NSA'!$A:$OK,MATCH(EDATE(I$2,-12),'Data_NSA'!$A:$A,0),MATCH($D188,'Data_NSA'!$1:$1,0))-1,"")</f>
        <v/>
      </c>
      <c r="M188" s="10">
        <f>IFERROR(INDEX('Weights'!$G:$I,MATCH($A188,'Weights'!$A:$A,0),MATCH(I$2,'Weights'!$G$1:$I$1,0)),"")</f>
        <v/>
      </c>
      <c r="N188" s="10">
        <f>IF($E188="","",IFERROR(100*(INDEX('Weights'!$D:$D,MATCH($A188,'Weights'!$A:$A,0))*(INDEX('Data_NSA'!$A:$OK,MATCH(EDATE(I$2,-1),'Data_NSA'!$A:$A,0),MATCH($D188,'Data_NSA'!$1:$1,0))/INDEX('Data_NSA'!$A:$OK,MATCH(INDEX('Weights'!$E:$E,MATCH($A188,'Weights'!$A:$A,0)),'Data_NSA'!$A:$A,0),MATCH($D188,'Data_NSA'!$1:$1,0))))/(100*(INDEX('Data_NSA'!$A:$OK,MATCH(EDATE(I$2,-1),'Data_NSA'!$A:$A,0),MATCH("CUUR0000SA0",'Data_NSA'!$1:$1,0))/INDEX('Data_NSA'!$A:$OK,MATCH(INDEX('Weights'!$E:$E,MATCH($A188,'Weights'!$A:$A,0)),'Data_NSA'!$A:$A,0),MATCH("CUUR0000SA0",'Data_NSA'!$1:$1,0))))*(INDEX('Data_SA'!$A:$LO,MATCH(I$2,'Data_SA'!$A:$A,0),MATCH($E188,'Data_SA'!$1:$1,0))/INDEX('Data_SA'!$A:$LO,MATCH(EDATE(I$2,-1),'Data_SA'!$A:$A,0),MATCH($E188,'Data_SA'!$1:$1,0))-1),""))</f>
        <v/>
      </c>
      <c r="O188" s="10">
        <f>IFERROR(INDEX('Data_NSA'!$A:$OK,MATCH(O$2,'Data_NSA'!$A:$A,0),MATCH($D188,'Data_NSA'!$1:$1,0)),"")</f>
        <v/>
      </c>
      <c r="P188" s="10">
        <f>IF($E188="","",IFERROR(INDEX('Data_SA'!$A:$LO,MATCH(O$2,'Data_SA'!$A:$A,0),MATCH($E188,'Data_SA'!$1:$1,0)),""))</f>
        <v/>
      </c>
      <c r="Q188" s="7">
        <f>IF($E188="","",IFERROR(INDEX('Data_SA'!$A:$LO,MATCH(O$2,'Data_SA'!$A:$A,0),MATCH($E188,'Data_SA'!$1:$1,0))/INDEX('Data_SA'!$A:$LO,MATCH(EDATE(O$2,-1),'Data_SA'!$A:$A,0),MATCH($E188,'Data_SA'!$1:$1,0))-1,""))</f>
        <v/>
      </c>
      <c r="R188" s="7">
        <f>IFERROR(INDEX('Data_NSA'!$A:$OK,MATCH(O$2,'Data_NSA'!$A:$A,0),MATCH($D188,'Data_NSA'!$1:$1,0))/INDEX('Data_NSA'!$A:$OK,MATCH(EDATE(O$2,-12),'Data_NSA'!$A:$A,0),MATCH($D188,'Data_NSA'!$1:$1,0))-1,"")</f>
        <v/>
      </c>
      <c r="S188" s="10">
        <f>IFERROR(INDEX('Weights'!$G:$I,MATCH($A188,'Weights'!$A:$A,0),MATCH(O$2,'Weights'!$G$1:$I$1,0)),"")</f>
        <v/>
      </c>
      <c r="T188" s="10">
        <f>IF($E188="","",IFERROR(100*(INDEX('Weights'!$D:$D,MATCH($A188,'Weights'!$A:$A,0))*(INDEX('Data_NSA'!$A:$OK,MATCH(EDATE(O$2,-1),'Data_NSA'!$A:$A,0),MATCH($D188,'Data_NSA'!$1:$1,0))/INDEX('Data_NSA'!$A:$OK,MATCH(INDEX('Weights'!$E:$E,MATCH($A188,'Weights'!$A:$A,0)),'Data_NSA'!$A:$A,0),MATCH($D188,'Data_NSA'!$1:$1,0))))/(100*(INDEX('Data_NSA'!$A:$OK,MATCH(EDATE(O$2,-1),'Data_NSA'!$A:$A,0),MATCH("CUUR0000SA0",'Data_NSA'!$1:$1,0))/INDEX('Data_NSA'!$A:$OK,MATCH(INDEX('Weights'!$E:$E,MATCH($A188,'Weights'!$A:$A,0)),'Data_NSA'!$A:$A,0),MATCH("CUUR0000SA0",'Data_NSA'!$1:$1,0))))*(INDEX('Data_SA'!$A:$LO,MATCH(O$2,'Data_SA'!$A:$A,0),MATCH($E188,'Data_SA'!$1:$1,0))/INDEX('Data_SA'!$A:$LO,MATCH(EDATE(O$2,-1),'Data_SA'!$A:$A,0),MATCH($E188,'Data_SA'!$1:$1,0))-1),""))</f>
        <v/>
      </c>
      <c r="U188" s="10">
        <f>IFERROR(INDEX('Data_NSA'!$A:$OK,MATCH(U$2,'Data_NSA'!$A:$A,0),MATCH($D188,'Data_NSA'!$1:$1,0)),"")</f>
        <v/>
      </c>
      <c r="V188" s="10">
        <f>IF($E188="","",IFERROR(INDEX('Data_SA'!$A:$LO,MATCH(U$2,'Data_SA'!$A:$A,0),MATCH($E188,'Data_SA'!$1:$1,0)),""))</f>
        <v/>
      </c>
      <c r="W188" s="7">
        <f>IF($E188="","",IFERROR(INDEX('Data_SA'!$A:$LO,MATCH(U$2,'Data_SA'!$A:$A,0),MATCH($E188,'Data_SA'!$1:$1,0))/INDEX('Data_SA'!$A:$LO,MATCH(EDATE(U$2,-1),'Data_SA'!$A:$A,0),MATCH($E188,'Data_SA'!$1:$1,0))-1,""))</f>
        <v/>
      </c>
      <c r="X188" s="7">
        <f>IFERROR(INDEX('Data_NSA'!$A:$OK,MATCH(U$2,'Data_NSA'!$A:$A,0),MATCH($D188,'Data_NSA'!$1:$1,0))/INDEX('Data_NSA'!$A:$OK,MATCH(EDATE(U$2,-12),'Data_NSA'!$A:$A,0),MATCH($D188,'Data_NSA'!$1:$1,0))-1,"")</f>
        <v/>
      </c>
      <c r="Y188" s="10">
        <f>IFERROR(INDEX('Weights'!$G:$I,MATCH($A188,'Weights'!$A:$A,0),MATCH(U$2,'Weights'!$G$1:$I$1,0)),"")</f>
        <v/>
      </c>
      <c r="Z188" s="10">
        <f>IF($E188="","",IFERROR(100*(INDEX('Weights'!$D:$D,MATCH($A188,'Weights'!$A:$A,0))*(INDEX('Data_NSA'!$A:$OK,MATCH(EDATE(U$2,-1),'Data_NSA'!$A:$A,0),MATCH($D188,'Data_NSA'!$1:$1,0))/INDEX('Data_NSA'!$A:$OK,MATCH(INDEX('Weights'!$E:$E,MATCH($A188,'Weights'!$A:$A,0)),'Data_NSA'!$A:$A,0),MATCH($D188,'Data_NSA'!$1:$1,0))))/(100*(INDEX('Data_NSA'!$A:$OK,MATCH(EDATE(U$2,-1),'Data_NSA'!$A:$A,0),MATCH("CUUR0000SA0",'Data_NSA'!$1:$1,0))/INDEX('Data_NSA'!$A:$OK,MATCH(INDEX('Weights'!$E:$E,MATCH($A188,'Weights'!$A:$A,0)),'Data_NSA'!$A:$A,0),MATCH("CUUR0000SA0",'Data_NSA'!$1:$1,0))))*(INDEX('Data_SA'!$A:$LO,MATCH(U$2,'Data_SA'!$A:$A,0),MATCH($E188,'Data_SA'!$1:$1,0))/INDEX('Data_SA'!$A:$LO,MATCH(EDATE(U$2,-1),'Data_SA'!$A:$A,0),MATCH($E188,'Data_SA'!$1:$1,0))-1),""))</f>
        <v/>
      </c>
    </row>
    <row r="189">
      <c r="A189" s="3" t="inlineStr">
        <is>
          <t>SEHP04</t>
        </is>
      </c>
      <c r="B189" s="3" t="inlineStr">
        <is>
          <t>Repair of household items</t>
        </is>
      </c>
      <c r="C189" s="3" t="inlineStr">
        <is>
          <t>SEHP</t>
        </is>
      </c>
      <c r="D189" s="3" t="inlineStr">
        <is>
          <t>CUUR0000SEHP04</t>
        </is>
      </c>
      <c r="E189" s="3" t="inlineStr"/>
      <c r="F189" s="3" t="inlineStr">
        <is>
          <t>GM</t>
        </is>
      </c>
      <c r="G189" s="3" t="inlineStr">
        <is>
          <t>monthly in New York/Los Angeles/Chicago; often bimonthly elsewhere</t>
        </is>
      </c>
      <c r="H189" s="10">
        <f>IFERROR(INDEX(Weights!$D:$D,MATCH($A189,Weights!$A:$A,0)),"")</f>
        <v/>
      </c>
      <c r="I189" s="10">
        <f>IFERROR(INDEX('Data_NSA'!$A:$OK,MATCH(I$2,'Data_NSA'!$A:$A,0),MATCH($D189,'Data_NSA'!$1:$1,0)),"")</f>
        <v/>
      </c>
      <c r="J189" s="10">
        <f>IF($E189="","",IFERROR(INDEX('Data_SA'!$A:$LO,MATCH(I$2,'Data_SA'!$A:$A,0),MATCH($E189,'Data_SA'!$1:$1,0)),""))</f>
        <v/>
      </c>
      <c r="K189" s="7">
        <f>IF($E189="","",IFERROR(INDEX('Data_SA'!$A:$LO,MATCH(I$2,'Data_SA'!$A:$A,0),MATCH($E189,'Data_SA'!$1:$1,0))/INDEX('Data_SA'!$A:$LO,MATCH(EDATE(I$2,-1),'Data_SA'!$A:$A,0),MATCH($E189,'Data_SA'!$1:$1,0))-1,""))</f>
        <v/>
      </c>
      <c r="L189" s="7">
        <f>IFERROR(INDEX('Data_NSA'!$A:$OK,MATCH(I$2,'Data_NSA'!$A:$A,0),MATCH($D189,'Data_NSA'!$1:$1,0))/INDEX('Data_NSA'!$A:$OK,MATCH(EDATE(I$2,-12),'Data_NSA'!$A:$A,0),MATCH($D189,'Data_NSA'!$1:$1,0))-1,"")</f>
        <v/>
      </c>
      <c r="M189" s="10">
        <f>IFERROR(INDEX('Weights'!$G:$I,MATCH($A189,'Weights'!$A:$A,0),MATCH(I$2,'Weights'!$G$1:$I$1,0)),"")</f>
        <v/>
      </c>
      <c r="N189" s="10">
        <f>IF($E189="","",IFERROR(100*(INDEX('Weights'!$D:$D,MATCH($A189,'Weights'!$A:$A,0))*(INDEX('Data_NSA'!$A:$OK,MATCH(EDATE(I$2,-1),'Data_NSA'!$A:$A,0),MATCH($D189,'Data_NSA'!$1:$1,0))/INDEX('Data_NSA'!$A:$OK,MATCH(INDEX('Weights'!$E:$E,MATCH($A189,'Weights'!$A:$A,0)),'Data_NSA'!$A:$A,0),MATCH($D189,'Data_NSA'!$1:$1,0))))/(100*(INDEX('Data_NSA'!$A:$OK,MATCH(EDATE(I$2,-1),'Data_NSA'!$A:$A,0),MATCH("CUUR0000SA0",'Data_NSA'!$1:$1,0))/INDEX('Data_NSA'!$A:$OK,MATCH(INDEX('Weights'!$E:$E,MATCH($A189,'Weights'!$A:$A,0)),'Data_NSA'!$A:$A,0),MATCH("CUUR0000SA0",'Data_NSA'!$1:$1,0))))*(INDEX('Data_SA'!$A:$LO,MATCH(I$2,'Data_SA'!$A:$A,0),MATCH($E189,'Data_SA'!$1:$1,0))/INDEX('Data_SA'!$A:$LO,MATCH(EDATE(I$2,-1),'Data_SA'!$A:$A,0),MATCH($E189,'Data_SA'!$1:$1,0))-1),""))</f>
        <v/>
      </c>
      <c r="O189" s="10">
        <f>IFERROR(INDEX('Data_NSA'!$A:$OK,MATCH(O$2,'Data_NSA'!$A:$A,0),MATCH($D189,'Data_NSA'!$1:$1,0)),"")</f>
        <v/>
      </c>
      <c r="P189" s="10">
        <f>IF($E189="","",IFERROR(INDEX('Data_SA'!$A:$LO,MATCH(O$2,'Data_SA'!$A:$A,0),MATCH($E189,'Data_SA'!$1:$1,0)),""))</f>
        <v/>
      </c>
      <c r="Q189" s="7">
        <f>IF($E189="","",IFERROR(INDEX('Data_SA'!$A:$LO,MATCH(O$2,'Data_SA'!$A:$A,0),MATCH($E189,'Data_SA'!$1:$1,0))/INDEX('Data_SA'!$A:$LO,MATCH(EDATE(O$2,-1),'Data_SA'!$A:$A,0),MATCH($E189,'Data_SA'!$1:$1,0))-1,""))</f>
        <v/>
      </c>
      <c r="R189" s="7">
        <f>IFERROR(INDEX('Data_NSA'!$A:$OK,MATCH(O$2,'Data_NSA'!$A:$A,0),MATCH($D189,'Data_NSA'!$1:$1,0))/INDEX('Data_NSA'!$A:$OK,MATCH(EDATE(O$2,-12),'Data_NSA'!$A:$A,0),MATCH($D189,'Data_NSA'!$1:$1,0))-1,"")</f>
        <v/>
      </c>
      <c r="S189" s="10">
        <f>IFERROR(INDEX('Weights'!$G:$I,MATCH($A189,'Weights'!$A:$A,0),MATCH(O$2,'Weights'!$G$1:$I$1,0)),"")</f>
        <v/>
      </c>
      <c r="T189" s="10">
        <f>IF($E189="","",IFERROR(100*(INDEX('Weights'!$D:$D,MATCH($A189,'Weights'!$A:$A,0))*(INDEX('Data_NSA'!$A:$OK,MATCH(EDATE(O$2,-1),'Data_NSA'!$A:$A,0),MATCH($D189,'Data_NSA'!$1:$1,0))/INDEX('Data_NSA'!$A:$OK,MATCH(INDEX('Weights'!$E:$E,MATCH($A189,'Weights'!$A:$A,0)),'Data_NSA'!$A:$A,0),MATCH($D189,'Data_NSA'!$1:$1,0))))/(100*(INDEX('Data_NSA'!$A:$OK,MATCH(EDATE(O$2,-1),'Data_NSA'!$A:$A,0),MATCH("CUUR0000SA0",'Data_NSA'!$1:$1,0))/INDEX('Data_NSA'!$A:$OK,MATCH(INDEX('Weights'!$E:$E,MATCH($A189,'Weights'!$A:$A,0)),'Data_NSA'!$A:$A,0),MATCH("CUUR0000SA0",'Data_NSA'!$1:$1,0))))*(INDEX('Data_SA'!$A:$LO,MATCH(O$2,'Data_SA'!$A:$A,0),MATCH($E189,'Data_SA'!$1:$1,0))/INDEX('Data_SA'!$A:$LO,MATCH(EDATE(O$2,-1),'Data_SA'!$A:$A,0),MATCH($E189,'Data_SA'!$1:$1,0))-1),""))</f>
        <v/>
      </c>
      <c r="U189" s="10">
        <f>IFERROR(INDEX('Data_NSA'!$A:$OK,MATCH(U$2,'Data_NSA'!$A:$A,0),MATCH($D189,'Data_NSA'!$1:$1,0)),"")</f>
        <v/>
      </c>
      <c r="V189" s="10">
        <f>IF($E189="","",IFERROR(INDEX('Data_SA'!$A:$LO,MATCH(U$2,'Data_SA'!$A:$A,0),MATCH($E189,'Data_SA'!$1:$1,0)),""))</f>
        <v/>
      </c>
      <c r="W189" s="7">
        <f>IF($E189="","",IFERROR(INDEX('Data_SA'!$A:$LO,MATCH(U$2,'Data_SA'!$A:$A,0),MATCH($E189,'Data_SA'!$1:$1,0))/INDEX('Data_SA'!$A:$LO,MATCH(EDATE(U$2,-1),'Data_SA'!$A:$A,0),MATCH($E189,'Data_SA'!$1:$1,0))-1,""))</f>
        <v/>
      </c>
      <c r="X189" s="7">
        <f>IFERROR(INDEX('Data_NSA'!$A:$OK,MATCH(U$2,'Data_NSA'!$A:$A,0),MATCH($D189,'Data_NSA'!$1:$1,0))/INDEX('Data_NSA'!$A:$OK,MATCH(EDATE(U$2,-12),'Data_NSA'!$A:$A,0),MATCH($D189,'Data_NSA'!$1:$1,0))-1,"")</f>
        <v/>
      </c>
      <c r="Y189" s="10">
        <f>IFERROR(INDEX('Weights'!$G:$I,MATCH($A189,'Weights'!$A:$A,0),MATCH(U$2,'Weights'!$G$1:$I$1,0)),"")</f>
        <v/>
      </c>
      <c r="Z189" s="10">
        <f>IF($E189="","",IFERROR(100*(INDEX('Weights'!$D:$D,MATCH($A189,'Weights'!$A:$A,0))*(INDEX('Data_NSA'!$A:$OK,MATCH(EDATE(U$2,-1),'Data_NSA'!$A:$A,0),MATCH($D189,'Data_NSA'!$1:$1,0))/INDEX('Data_NSA'!$A:$OK,MATCH(INDEX('Weights'!$E:$E,MATCH($A189,'Weights'!$A:$A,0)),'Data_NSA'!$A:$A,0),MATCH($D189,'Data_NSA'!$1:$1,0))))/(100*(INDEX('Data_NSA'!$A:$OK,MATCH(EDATE(U$2,-1),'Data_NSA'!$A:$A,0),MATCH("CUUR0000SA0",'Data_NSA'!$1:$1,0))/INDEX('Data_NSA'!$A:$OK,MATCH(INDEX('Weights'!$E:$E,MATCH($A189,'Weights'!$A:$A,0)),'Data_NSA'!$A:$A,0),MATCH("CUUR0000SA0",'Data_NSA'!$1:$1,0))))*(INDEX('Data_SA'!$A:$LO,MATCH(U$2,'Data_SA'!$A:$A,0),MATCH($E189,'Data_SA'!$1:$1,0))/INDEX('Data_SA'!$A:$LO,MATCH(EDATE(U$2,-1),'Data_SA'!$A:$A,0),MATCH($E189,'Data_SA'!$1:$1,0))-1),""))</f>
        <v/>
      </c>
    </row>
    <row r="190">
      <c r="A190" s="3" t="inlineStr">
        <is>
          <t>SAA</t>
        </is>
      </c>
      <c r="B190" s="3" t="inlineStr">
        <is>
          <t>Apparel</t>
        </is>
      </c>
      <c r="C190" s="3" t="inlineStr">
        <is>
          <t>SA0</t>
        </is>
      </c>
      <c r="D190" s="3" t="inlineStr">
        <is>
          <t>CUUR0000SAA</t>
        </is>
      </c>
      <c r="E190" s="3" t="inlineStr">
        <is>
          <t>CUSR0000SAA</t>
        </is>
      </c>
      <c r="F190" s="3" t="inlineStr">
        <is>
          <t>GM</t>
        </is>
      </c>
      <c r="G190" s="3" t="inlineStr">
        <is>
          <t>bimonthly outside New York/Los Angeles/Chicago</t>
        </is>
      </c>
      <c r="H190" s="10">
        <f>IFERROR(INDEX(Weights!$D:$D,MATCH($A190,Weights!$A:$A,0)),"")</f>
        <v/>
      </c>
      <c r="I190" s="10">
        <f>IFERROR(INDEX('Data_NSA'!$A:$OK,MATCH(I$2,'Data_NSA'!$A:$A,0),MATCH($D190,'Data_NSA'!$1:$1,0)),"")</f>
        <v/>
      </c>
      <c r="J190" s="10">
        <f>IF($E190="","",IFERROR(INDEX('Data_SA'!$A:$LO,MATCH(I$2,'Data_SA'!$A:$A,0),MATCH($E190,'Data_SA'!$1:$1,0)),""))</f>
        <v/>
      </c>
      <c r="K190" s="7">
        <f>IF($E190="","",IFERROR(INDEX('Data_SA'!$A:$LO,MATCH(I$2,'Data_SA'!$A:$A,0),MATCH($E190,'Data_SA'!$1:$1,0))/INDEX('Data_SA'!$A:$LO,MATCH(EDATE(I$2,-1),'Data_SA'!$A:$A,0),MATCH($E190,'Data_SA'!$1:$1,0))-1,""))</f>
        <v/>
      </c>
      <c r="L190" s="7">
        <f>IFERROR(INDEX('Data_NSA'!$A:$OK,MATCH(I$2,'Data_NSA'!$A:$A,0),MATCH($D190,'Data_NSA'!$1:$1,0))/INDEX('Data_NSA'!$A:$OK,MATCH(EDATE(I$2,-12),'Data_NSA'!$A:$A,0),MATCH($D190,'Data_NSA'!$1:$1,0))-1,"")</f>
        <v/>
      </c>
      <c r="M190" s="10">
        <f>IFERROR(INDEX('Weights'!$G:$I,MATCH($A190,'Weights'!$A:$A,0),MATCH(I$2,'Weights'!$G$1:$I$1,0)),"")</f>
        <v/>
      </c>
      <c r="N190" s="10">
        <f>IF($E190="","",IFERROR(100*(INDEX('Weights'!$D:$D,MATCH($A190,'Weights'!$A:$A,0))*(INDEX('Data_NSA'!$A:$OK,MATCH(EDATE(I$2,-1),'Data_NSA'!$A:$A,0),MATCH($D190,'Data_NSA'!$1:$1,0))/INDEX('Data_NSA'!$A:$OK,MATCH(INDEX('Weights'!$E:$E,MATCH($A190,'Weights'!$A:$A,0)),'Data_NSA'!$A:$A,0),MATCH($D190,'Data_NSA'!$1:$1,0))))/(100*(INDEX('Data_NSA'!$A:$OK,MATCH(EDATE(I$2,-1),'Data_NSA'!$A:$A,0),MATCH("CUUR0000SA0",'Data_NSA'!$1:$1,0))/INDEX('Data_NSA'!$A:$OK,MATCH(INDEX('Weights'!$E:$E,MATCH($A190,'Weights'!$A:$A,0)),'Data_NSA'!$A:$A,0),MATCH("CUUR0000SA0",'Data_NSA'!$1:$1,0))))*(INDEX('Data_SA'!$A:$LO,MATCH(I$2,'Data_SA'!$A:$A,0),MATCH($E190,'Data_SA'!$1:$1,0))/INDEX('Data_SA'!$A:$LO,MATCH(EDATE(I$2,-1),'Data_SA'!$A:$A,0),MATCH($E190,'Data_SA'!$1:$1,0))-1),""))</f>
        <v/>
      </c>
      <c r="O190" s="10">
        <f>IFERROR(INDEX('Data_NSA'!$A:$OK,MATCH(O$2,'Data_NSA'!$A:$A,0),MATCH($D190,'Data_NSA'!$1:$1,0)),"")</f>
        <v/>
      </c>
      <c r="P190" s="10">
        <f>IF($E190="","",IFERROR(INDEX('Data_SA'!$A:$LO,MATCH(O$2,'Data_SA'!$A:$A,0),MATCH($E190,'Data_SA'!$1:$1,0)),""))</f>
        <v/>
      </c>
      <c r="Q190" s="7">
        <f>IF($E190="","",IFERROR(INDEX('Data_SA'!$A:$LO,MATCH(O$2,'Data_SA'!$A:$A,0),MATCH($E190,'Data_SA'!$1:$1,0))/INDEX('Data_SA'!$A:$LO,MATCH(EDATE(O$2,-1),'Data_SA'!$A:$A,0),MATCH($E190,'Data_SA'!$1:$1,0))-1,""))</f>
        <v/>
      </c>
      <c r="R190" s="7">
        <f>IFERROR(INDEX('Data_NSA'!$A:$OK,MATCH(O$2,'Data_NSA'!$A:$A,0),MATCH($D190,'Data_NSA'!$1:$1,0))/INDEX('Data_NSA'!$A:$OK,MATCH(EDATE(O$2,-12),'Data_NSA'!$A:$A,0),MATCH($D190,'Data_NSA'!$1:$1,0))-1,"")</f>
        <v/>
      </c>
      <c r="S190" s="10">
        <f>IFERROR(INDEX('Weights'!$G:$I,MATCH($A190,'Weights'!$A:$A,0),MATCH(O$2,'Weights'!$G$1:$I$1,0)),"")</f>
        <v/>
      </c>
      <c r="T190" s="10">
        <f>IF($E190="","",IFERROR(100*(INDEX('Weights'!$D:$D,MATCH($A190,'Weights'!$A:$A,0))*(INDEX('Data_NSA'!$A:$OK,MATCH(EDATE(O$2,-1),'Data_NSA'!$A:$A,0),MATCH($D190,'Data_NSA'!$1:$1,0))/INDEX('Data_NSA'!$A:$OK,MATCH(INDEX('Weights'!$E:$E,MATCH($A190,'Weights'!$A:$A,0)),'Data_NSA'!$A:$A,0),MATCH($D190,'Data_NSA'!$1:$1,0))))/(100*(INDEX('Data_NSA'!$A:$OK,MATCH(EDATE(O$2,-1),'Data_NSA'!$A:$A,0),MATCH("CUUR0000SA0",'Data_NSA'!$1:$1,0))/INDEX('Data_NSA'!$A:$OK,MATCH(INDEX('Weights'!$E:$E,MATCH($A190,'Weights'!$A:$A,0)),'Data_NSA'!$A:$A,0),MATCH("CUUR0000SA0",'Data_NSA'!$1:$1,0))))*(INDEX('Data_SA'!$A:$LO,MATCH(O$2,'Data_SA'!$A:$A,0),MATCH($E190,'Data_SA'!$1:$1,0))/INDEX('Data_SA'!$A:$LO,MATCH(EDATE(O$2,-1),'Data_SA'!$A:$A,0),MATCH($E190,'Data_SA'!$1:$1,0))-1),""))</f>
        <v/>
      </c>
      <c r="U190" s="10">
        <f>IFERROR(INDEX('Data_NSA'!$A:$OK,MATCH(U$2,'Data_NSA'!$A:$A,0),MATCH($D190,'Data_NSA'!$1:$1,0)),"")</f>
        <v/>
      </c>
      <c r="V190" s="10">
        <f>IF($E190="","",IFERROR(INDEX('Data_SA'!$A:$LO,MATCH(U$2,'Data_SA'!$A:$A,0),MATCH($E190,'Data_SA'!$1:$1,0)),""))</f>
        <v/>
      </c>
      <c r="W190" s="7">
        <f>IF($E190="","",IFERROR(INDEX('Data_SA'!$A:$LO,MATCH(U$2,'Data_SA'!$A:$A,0),MATCH($E190,'Data_SA'!$1:$1,0))/INDEX('Data_SA'!$A:$LO,MATCH(EDATE(U$2,-1),'Data_SA'!$A:$A,0),MATCH($E190,'Data_SA'!$1:$1,0))-1,""))</f>
        <v/>
      </c>
      <c r="X190" s="7">
        <f>IFERROR(INDEX('Data_NSA'!$A:$OK,MATCH(U$2,'Data_NSA'!$A:$A,0),MATCH($D190,'Data_NSA'!$1:$1,0))/INDEX('Data_NSA'!$A:$OK,MATCH(EDATE(U$2,-12),'Data_NSA'!$A:$A,0),MATCH($D190,'Data_NSA'!$1:$1,0))-1,"")</f>
        <v/>
      </c>
      <c r="Y190" s="10">
        <f>IFERROR(INDEX('Weights'!$G:$I,MATCH($A190,'Weights'!$A:$A,0),MATCH(U$2,'Weights'!$G$1:$I$1,0)),"")</f>
        <v/>
      </c>
      <c r="Z190" s="10">
        <f>IF($E190="","",IFERROR(100*(INDEX('Weights'!$D:$D,MATCH($A190,'Weights'!$A:$A,0))*(INDEX('Data_NSA'!$A:$OK,MATCH(EDATE(U$2,-1),'Data_NSA'!$A:$A,0),MATCH($D190,'Data_NSA'!$1:$1,0))/INDEX('Data_NSA'!$A:$OK,MATCH(INDEX('Weights'!$E:$E,MATCH($A190,'Weights'!$A:$A,0)),'Data_NSA'!$A:$A,0),MATCH($D190,'Data_NSA'!$1:$1,0))))/(100*(INDEX('Data_NSA'!$A:$OK,MATCH(EDATE(U$2,-1),'Data_NSA'!$A:$A,0),MATCH("CUUR0000SA0",'Data_NSA'!$1:$1,0))/INDEX('Data_NSA'!$A:$OK,MATCH(INDEX('Weights'!$E:$E,MATCH($A190,'Weights'!$A:$A,0)),'Data_NSA'!$A:$A,0),MATCH("CUUR0000SA0",'Data_NSA'!$1:$1,0))))*(INDEX('Data_SA'!$A:$LO,MATCH(U$2,'Data_SA'!$A:$A,0),MATCH($E190,'Data_SA'!$1:$1,0))/INDEX('Data_SA'!$A:$LO,MATCH(EDATE(U$2,-1),'Data_SA'!$A:$A,0),MATCH($E190,'Data_SA'!$1:$1,0))-1),""))</f>
        <v/>
      </c>
    </row>
    <row r="191">
      <c r="A191" s="3" t="inlineStr">
        <is>
          <t>SAA1</t>
        </is>
      </c>
      <c r="B191" s="3" t="inlineStr">
        <is>
          <t>Men's and boys' apparel</t>
        </is>
      </c>
      <c r="C191" s="3" t="inlineStr">
        <is>
          <t>SAA</t>
        </is>
      </c>
      <c r="D191" s="3" t="inlineStr">
        <is>
          <t>CUUR0000SAA1</t>
        </is>
      </c>
      <c r="E191" s="3" t="inlineStr">
        <is>
          <t>CUSR0000SAA1</t>
        </is>
      </c>
      <c r="F191" s="3" t="inlineStr">
        <is>
          <t>aggregate</t>
        </is>
      </c>
      <c r="G191" s="3" t="inlineStr">
        <is>
          <t>aggregate</t>
        </is>
      </c>
      <c r="H191" s="10">
        <f>IFERROR(INDEX(Weights!$D:$D,MATCH($A191,Weights!$A:$A,0)),"")</f>
        <v/>
      </c>
      <c r="I191" s="10">
        <f>IFERROR(INDEX('Data_NSA'!$A:$OK,MATCH(I$2,'Data_NSA'!$A:$A,0),MATCH($D191,'Data_NSA'!$1:$1,0)),"")</f>
        <v/>
      </c>
      <c r="J191" s="10">
        <f>IF($E191="","",IFERROR(INDEX('Data_SA'!$A:$LO,MATCH(I$2,'Data_SA'!$A:$A,0),MATCH($E191,'Data_SA'!$1:$1,0)),""))</f>
        <v/>
      </c>
      <c r="K191" s="7">
        <f>IF($E191="","",IFERROR(INDEX('Data_SA'!$A:$LO,MATCH(I$2,'Data_SA'!$A:$A,0),MATCH($E191,'Data_SA'!$1:$1,0))/INDEX('Data_SA'!$A:$LO,MATCH(EDATE(I$2,-1),'Data_SA'!$A:$A,0),MATCH($E191,'Data_SA'!$1:$1,0))-1,""))</f>
        <v/>
      </c>
      <c r="L191" s="7">
        <f>IFERROR(INDEX('Data_NSA'!$A:$OK,MATCH(I$2,'Data_NSA'!$A:$A,0),MATCH($D191,'Data_NSA'!$1:$1,0))/INDEX('Data_NSA'!$A:$OK,MATCH(EDATE(I$2,-12),'Data_NSA'!$A:$A,0),MATCH($D191,'Data_NSA'!$1:$1,0))-1,"")</f>
        <v/>
      </c>
      <c r="M191" s="10">
        <f>IFERROR(INDEX('Weights'!$G:$I,MATCH($A191,'Weights'!$A:$A,0),MATCH(I$2,'Weights'!$G$1:$I$1,0)),"")</f>
        <v/>
      </c>
      <c r="N191" s="10">
        <f>IF($E191="","",IFERROR(100*(INDEX('Weights'!$D:$D,MATCH($A191,'Weights'!$A:$A,0))*(INDEX('Data_NSA'!$A:$OK,MATCH(EDATE(I$2,-1),'Data_NSA'!$A:$A,0),MATCH($D191,'Data_NSA'!$1:$1,0))/INDEX('Data_NSA'!$A:$OK,MATCH(INDEX('Weights'!$E:$E,MATCH($A191,'Weights'!$A:$A,0)),'Data_NSA'!$A:$A,0),MATCH($D191,'Data_NSA'!$1:$1,0))))/(100*(INDEX('Data_NSA'!$A:$OK,MATCH(EDATE(I$2,-1),'Data_NSA'!$A:$A,0),MATCH("CUUR0000SA0",'Data_NSA'!$1:$1,0))/INDEX('Data_NSA'!$A:$OK,MATCH(INDEX('Weights'!$E:$E,MATCH($A191,'Weights'!$A:$A,0)),'Data_NSA'!$A:$A,0),MATCH("CUUR0000SA0",'Data_NSA'!$1:$1,0))))*(INDEX('Data_SA'!$A:$LO,MATCH(I$2,'Data_SA'!$A:$A,0),MATCH($E191,'Data_SA'!$1:$1,0))/INDEX('Data_SA'!$A:$LO,MATCH(EDATE(I$2,-1),'Data_SA'!$A:$A,0),MATCH($E191,'Data_SA'!$1:$1,0))-1),""))</f>
        <v/>
      </c>
      <c r="O191" s="10">
        <f>IFERROR(INDEX('Data_NSA'!$A:$OK,MATCH(O$2,'Data_NSA'!$A:$A,0),MATCH($D191,'Data_NSA'!$1:$1,0)),"")</f>
        <v/>
      </c>
      <c r="P191" s="10">
        <f>IF($E191="","",IFERROR(INDEX('Data_SA'!$A:$LO,MATCH(O$2,'Data_SA'!$A:$A,0),MATCH($E191,'Data_SA'!$1:$1,0)),""))</f>
        <v/>
      </c>
      <c r="Q191" s="7">
        <f>IF($E191="","",IFERROR(INDEX('Data_SA'!$A:$LO,MATCH(O$2,'Data_SA'!$A:$A,0),MATCH($E191,'Data_SA'!$1:$1,0))/INDEX('Data_SA'!$A:$LO,MATCH(EDATE(O$2,-1),'Data_SA'!$A:$A,0),MATCH($E191,'Data_SA'!$1:$1,0))-1,""))</f>
        <v/>
      </c>
      <c r="R191" s="7">
        <f>IFERROR(INDEX('Data_NSA'!$A:$OK,MATCH(O$2,'Data_NSA'!$A:$A,0),MATCH($D191,'Data_NSA'!$1:$1,0))/INDEX('Data_NSA'!$A:$OK,MATCH(EDATE(O$2,-12),'Data_NSA'!$A:$A,0),MATCH($D191,'Data_NSA'!$1:$1,0))-1,"")</f>
        <v/>
      </c>
      <c r="S191" s="10">
        <f>IFERROR(INDEX('Weights'!$G:$I,MATCH($A191,'Weights'!$A:$A,0),MATCH(O$2,'Weights'!$G$1:$I$1,0)),"")</f>
        <v/>
      </c>
      <c r="T191" s="10">
        <f>IF($E191="","",IFERROR(100*(INDEX('Weights'!$D:$D,MATCH($A191,'Weights'!$A:$A,0))*(INDEX('Data_NSA'!$A:$OK,MATCH(EDATE(O$2,-1),'Data_NSA'!$A:$A,0),MATCH($D191,'Data_NSA'!$1:$1,0))/INDEX('Data_NSA'!$A:$OK,MATCH(INDEX('Weights'!$E:$E,MATCH($A191,'Weights'!$A:$A,0)),'Data_NSA'!$A:$A,0),MATCH($D191,'Data_NSA'!$1:$1,0))))/(100*(INDEX('Data_NSA'!$A:$OK,MATCH(EDATE(O$2,-1),'Data_NSA'!$A:$A,0),MATCH("CUUR0000SA0",'Data_NSA'!$1:$1,0))/INDEX('Data_NSA'!$A:$OK,MATCH(INDEX('Weights'!$E:$E,MATCH($A191,'Weights'!$A:$A,0)),'Data_NSA'!$A:$A,0),MATCH("CUUR0000SA0",'Data_NSA'!$1:$1,0))))*(INDEX('Data_SA'!$A:$LO,MATCH(O$2,'Data_SA'!$A:$A,0),MATCH($E191,'Data_SA'!$1:$1,0))/INDEX('Data_SA'!$A:$LO,MATCH(EDATE(O$2,-1),'Data_SA'!$A:$A,0),MATCH($E191,'Data_SA'!$1:$1,0))-1),""))</f>
        <v/>
      </c>
      <c r="U191" s="10">
        <f>IFERROR(INDEX('Data_NSA'!$A:$OK,MATCH(U$2,'Data_NSA'!$A:$A,0),MATCH($D191,'Data_NSA'!$1:$1,0)),"")</f>
        <v/>
      </c>
      <c r="V191" s="10">
        <f>IF($E191="","",IFERROR(INDEX('Data_SA'!$A:$LO,MATCH(U$2,'Data_SA'!$A:$A,0),MATCH($E191,'Data_SA'!$1:$1,0)),""))</f>
        <v/>
      </c>
      <c r="W191" s="7">
        <f>IF($E191="","",IFERROR(INDEX('Data_SA'!$A:$LO,MATCH(U$2,'Data_SA'!$A:$A,0),MATCH($E191,'Data_SA'!$1:$1,0))/INDEX('Data_SA'!$A:$LO,MATCH(EDATE(U$2,-1),'Data_SA'!$A:$A,0),MATCH($E191,'Data_SA'!$1:$1,0))-1,""))</f>
        <v/>
      </c>
      <c r="X191" s="7">
        <f>IFERROR(INDEX('Data_NSA'!$A:$OK,MATCH(U$2,'Data_NSA'!$A:$A,0),MATCH($D191,'Data_NSA'!$1:$1,0))/INDEX('Data_NSA'!$A:$OK,MATCH(EDATE(U$2,-12),'Data_NSA'!$A:$A,0),MATCH($D191,'Data_NSA'!$1:$1,0))-1,"")</f>
        <v/>
      </c>
      <c r="Y191" s="10">
        <f>IFERROR(INDEX('Weights'!$G:$I,MATCH($A191,'Weights'!$A:$A,0),MATCH(U$2,'Weights'!$G$1:$I$1,0)),"")</f>
        <v/>
      </c>
      <c r="Z191" s="10">
        <f>IF($E191="","",IFERROR(100*(INDEX('Weights'!$D:$D,MATCH($A191,'Weights'!$A:$A,0))*(INDEX('Data_NSA'!$A:$OK,MATCH(EDATE(U$2,-1),'Data_NSA'!$A:$A,0),MATCH($D191,'Data_NSA'!$1:$1,0))/INDEX('Data_NSA'!$A:$OK,MATCH(INDEX('Weights'!$E:$E,MATCH($A191,'Weights'!$A:$A,0)),'Data_NSA'!$A:$A,0),MATCH($D191,'Data_NSA'!$1:$1,0))))/(100*(INDEX('Data_NSA'!$A:$OK,MATCH(EDATE(U$2,-1),'Data_NSA'!$A:$A,0),MATCH("CUUR0000SA0",'Data_NSA'!$1:$1,0))/INDEX('Data_NSA'!$A:$OK,MATCH(INDEX('Weights'!$E:$E,MATCH($A191,'Weights'!$A:$A,0)),'Data_NSA'!$A:$A,0),MATCH("CUUR0000SA0",'Data_NSA'!$1:$1,0))))*(INDEX('Data_SA'!$A:$LO,MATCH(U$2,'Data_SA'!$A:$A,0),MATCH($E191,'Data_SA'!$1:$1,0))/INDEX('Data_SA'!$A:$LO,MATCH(EDATE(U$2,-1),'Data_SA'!$A:$A,0),MATCH($E191,'Data_SA'!$1:$1,0))-1),""))</f>
        <v/>
      </c>
    </row>
    <row r="192">
      <c r="A192" s="3" t="inlineStr">
        <is>
          <t>SEAA</t>
        </is>
      </c>
      <c r="B192" s="3" t="inlineStr">
        <is>
          <t>Men's apparel</t>
        </is>
      </c>
      <c r="C192" s="3" t="inlineStr">
        <is>
          <t>SAA1</t>
        </is>
      </c>
      <c r="D192" s="3" t="inlineStr">
        <is>
          <t>CUUR0000SEAA</t>
        </is>
      </c>
      <c r="E192" s="3" t="inlineStr">
        <is>
          <t>CUSR0000SEAA</t>
        </is>
      </c>
      <c r="F192" s="3" t="inlineStr">
        <is>
          <t>aggregate</t>
        </is>
      </c>
      <c r="G192" s="3" t="inlineStr">
        <is>
          <t>aggregate</t>
        </is>
      </c>
      <c r="H192" s="10">
        <f>IFERROR(INDEX(Weights!$D:$D,MATCH($A192,Weights!$A:$A,0)),"")</f>
        <v/>
      </c>
      <c r="I192" s="10">
        <f>IFERROR(INDEX('Data_NSA'!$A:$OK,MATCH(I$2,'Data_NSA'!$A:$A,0),MATCH($D192,'Data_NSA'!$1:$1,0)),"")</f>
        <v/>
      </c>
      <c r="J192" s="10">
        <f>IF($E192="","",IFERROR(INDEX('Data_SA'!$A:$LO,MATCH(I$2,'Data_SA'!$A:$A,0),MATCH($E192,'Data_SA'!$1:$1,0)),""))</f>
        <v/>
      </c>
      <c r="K192" s="7">
        <f>IF($E192="","",IFERROR(INDEX('Data_SA'!$A:$LO,MATCH(I$2,'Data_SA'!$A:$A,0),MATCH($E192,'Data_SA'!$1:$1,0))/INDEX('Data_SA'!$A:$LO,MATCH(EDATE(I$2,-1),'Data_SA'!$A:$A,0),MATCH($E192,'Data_SA'!$1:$1,0))-1,""))</f>
        <v/>
      </c>
      <c r="L192" s="7">
        <f>IFERROR(INDEX('Data_NSA'!$A:$OK,MATCH(I$2,'Data_NSA'!$A:$A,0),MATCH($D192,'Data_NSA'!$1:$1,0))/INDEX('Data_NSA'!$A:$OK,MATCH(EDATE(I$2,-12),'Data_NSA'!$A:$A,0),MATCH($D192,'Data_NSA'!$1:$1,0))-1,"")</f>
        <v/>
      </c>
      <c r="M192" s="10">
        <f>IFERROR(INDEX('Weights'!$G:$I,MATCH($A192,'Weights'!$A:$A,0),MATCH(I$2,'Weights'!$G$1:$I$1,0)),"")</f>
        <v/>
      </c>
      <c r="N192" s="10">
        <f>IF($E192="","",IFERROR(100*(INDEX('Weights'!$D:$D,MATCH($A192,'Weights'!$A:$A,0))*(INDEX('Data_NSA'!$A:$OK,MATCH(EDATE(I$2,-1),'Data_NSA'!$A:$A,0),MATCH($D192,'Data_NSA'!$1:$1,0))/INDEX('Data_NSA'!$A:$OK,MATCH(INDEX('Weights'!$E:$E,MATCH($A192,'Weights'!$A:$A,0)),'Data_NSA'!$A:$A,0),MATCH($D192,'Data_NSA'!$1:$1,0))))/(100*(INDEX('Data_NSA'!$A:$OK,MATCH(EDATE(I$2,-1),'Data_NSA'!$A:$A,0),MATCH("CUUR0000SA0",'Data_NSA'!$1:$1,0))/INDEX('Data_NSA'!$A:$OK,MATCH(INDEX('Weights'!$E:$E,MATCH($A192,'Weights'!$A:$A,0)),'Data_NSA'!$A:$A,0),MATCH("CUUR0000SA0",'Data_NSA'!$1:$1,0))))*(INDEX('Data_SA'!$A:$LO,MATCH(I$2,'Data_SA'!$A:$A,0),MATCH($E192,'Data_SA'!$1:$1,0))/INDEX('Data_SA'!$A:$LO,MATCH(EDATE(I$2,-1),'Data_SA'!$A:$A,0),MATCH($E192,'Data_SA'!$1:$1,0))-1),""))</f>
        <v/>
      </c>
      <c r="O192" s="10">
        <f>IFERROR(INDEX('Data_NSA'!$A:$OK,MATCH(O$2,'Data_NSA'!$A:$A,0),MATCH($D192,'Data_NSA'!$1:$1,0)),"")</f>
        <v/>
      </c>
      <c r="P192" s="10">
        <f>IF($E192="","",IFERROR(INDEX('Data_SA'!$A:$LO,MATCH(O$2,'Data_SA'!$A:$A,0),MATCH($E192,'Data_SA'!$1:$1,0)),""))</f>
        <v/>
      </c>
      <c r="Q192" s="7">
        <f>IF($E192="","",IFERROR(INDEX('Data_SA'!$A:$LO,MATCH(O$2,'Data_SA'!$A:$A,0),MATCH($E192,'Data_SA'!$1:$1,0))/INDEX('Data_SA'!$A:$LO,MATCH(EDATE(O$2,-1),'Data_SA'!$A:$A,0),MATCH($E192,'Data_SA'!$1:$1,0))-1,""))</f>
        <v/>
      </c>
      <c r="R192" s="7">
        <f>IFERROR(INDEX('Data_NSA'!$A:$OK,MATCH(O$2,'Data_NSA'!$A:$A,0),MATCH($D192,'Data_NSA'!$1:$1,0))/INDEX('Data_NSA'!$A:$OK,MATCH(EDATE(O$2,-12),'Data_NSA'!$A:$A,0),MATCH($D192,'Data_NSA'!$1:$1,0))-1,"")</f>
        <v/>
      </c>
      <c r="S192" s="10">
        <f>IFERROR(INDEX('Weights'!$G:$I,MATCH($A192,'Weights'!$A:$A,0),MATCH(O$2,'Weights'!$G$1:$I$1,0)),"")</f>
        <v/>
      </c>
      <c r="T192" s="10">
        <f>IF($E192="","",IFERROR(100*(INDEX('Weights'!$D:$D,MATCH($A192,'Weights'!$A:$A,0))*(INDEX('Data_NSA'!$A:$OK,MATCH(EDATE(O$2,-1),'Data_NSA'!$A:$A,0),MATCH($D192,'Data_NSA'!$1:$1,0))/INDEX('Data_NSA'!$A:$OK,MATCH(INDEX('Weights'!$E:$E,MATCH($A192,'Weights'!$A:$A,0)),'Data_NSA'!$A:$A,0),MATCH($D192,'Data_NSA'!$1:$1,0))))/(100*(INDEX('Data_NSA'!$A:$OK,MATCH(EDATE(O$2,-1),'Data_NSA'!$A:$A,0),MATCH("CUUR0000SA0",'Data_NSA'!$1:$1,0))/INDEX('Data_NSA'!$A:$OK,MATCH(INDEX('Weights'!$E:$E,MATCH($A192,'Weights'!$A:$A,0)),'Data_NSA'!$A:$A,0),MATCH("CUUR0000SA0",'Data_NSA'!$1:$1,0))))*(INDEX('Data_SA'!$A:$LO,MATCH(O$2,'Data_SA'!$A:$A,0),MATCH($E192,'Data_SA'!$1:$1,0))/INDEX('Data_SA'!$A:$LO,MATCH(EDATE(O$2,-1),'Data_SA'!$A:$A,0),MATCH($E192,'Data_SA'!$1:$1,0))-1),""))</f>
        <v/>
      </c>
      <c r="U192" s="10">
        <f>IFERROR(INDEX('Data_NSA'!$A:$OK,MATCH(U$2,'Data_NSA'!$A:$A,0),MATCH($D192,'Data_NSA'!$1:$1,0)),"")</f>
        <v/>
      </c>
      <c r="V192" s="10">
        <f>IF($E192="","",IFERROR(INDEX('Data_SA'!$A:$LO,MATCH(U$2,'Data_SA'!$A:$A,0),MATCH($E192,'Data_SA'!$1:$1,0)),""))</f>
        <v/>
      </c>
      <c r="W192" s="7">
        <f>IF($E192="","",IFERROR(INDEX('Data_SA'!$A:$LO,MATCH(U$2,'Data_SA'!$A:$A,0),MATCH($E192,'Data_SA'!$1:$1,0))/INDEX('Data_SA'!$A:$LO,MATCH(EDATE(U$2,-1),'Data_SA'!$A:$A,0),MATCH($E192,'Data_SA'!$1:$1,0))-1,""))</f>
        <v/>
      </c>
      <c r="X192" s="7">
        <f>IFERROR(INDEX('Data_NSA'!$A:$OK,MATCH(U$2,'Data_NSA'!$A:$A,0),MATCH($D192,'Data_NSA'!$1:$1,0))/INDEX('Data_NSA'!$A:$OK,MATCH(EDATE(U$2,-12),'Data_NSA'!$A:$A,0),MATCH($D192,'Data_NSA'!$1:$1,0))-1,"")</f>
        <v/>
      </c>
      <c r="Y192" s="10">
        <f>IFERROR(INDEX('Weights'!$G:$I,MATCH($A192,'Weights'!$A:$A,0),MATCH(U$2,'Weights'!$G$1:$I$1,0)),"")</f>
        <v/>
      </c>
      <c r="Z192" s="10">
        <f>IF($E192="","",IFERROR(100*(INDEX('Weights'!$D:$D,MATCH($A192,'Weights'!$A:$A,0))*(INDEX('Data_NSA'!$A:$OK,MATCH(EDATE(U$2,-1),'Data_NSA'!$A:$A,0),MATCH($D192,'Data_NSA'!$1:$1,0))/INDEX('Data_NSA'!$A:$OK,MATCH(INDEX('Weights'!$E:$E,MATCH($A192,'Weights'!$A:$A,0)),'Data_NSA'!$A:$A,0),MATCH($D192,'Data_NSA'!$1:$1,0))))/(100*(INDEX('Data_NSA'!$A:$OK,MATCH(EDATE(U$2,-1),'Data_NSA'!$A:$A,0),MATCH("CUUR0000SA0",'Data_NSA'!$1:$1,0))/INDEX('Data_NSA'!$A:$OK,MATCH(INDEX('Weights'!$E:$E,MATCH($A192,'Weights'!$A:$A,0)),'Data_NSA'!$A:$A,0),MATCH("CUUR0000SA0",'Data_NSA'!$1:$1,0))))*(INDEX('Data_SA'!$A:$LO,MATCH(U$2,'Data_SA'!$A:$A,0),MATCH($E192,'Data_SA'!$1:$1,0))/INDEX('Data_SA'!$A:$LO,MATCH(EDATE(U$2,-1),'Data_SA'!$A:$A,0),MATCH($E192,'Data_SA'!$1:$1,0))-1),""))</f>
        <v/>
      </c>
    </row>
    <row r="193">
      <c r="A193" s="3" t="inlineStr">
        <is>
          <t>SEAA01</t>
        </is>
      </c>
      <c r="B193" s="3" t="inlineStr">
        <is>
          <t>Men's suits, sport coats, and outerwear</t>
        </is>
      </c>
      <c r="C193" s="3" t="inlineStr">
        <is>
          <t>SEAA</t>
        </is>
      </c>
      <c r="D193" s="3" t="inlineStr">
        <is>
          <t>CUUR0000SEAA01</t>
        </is>
      </c>
      <c r="E193" s="3" t="inlineStr">
        <is>
          <t>CUSR0000SEAA01</t>
        </is>
      </c>
      <c r="F193" s="3" t="inlineStr">
        <is>
          <t>GM</t>
        </is>
      </c>
      <c r="G193" s="3" t="inlineStr">
        <is>
          <t>monthly in New York/Los Angeles/Chicago; often bimonthly elsewhere</t>
        </is>
      </c>
      <c r="H193" s="10">
        <f>IFERROR(INDEX(Weights!$D:$D,MATCH($A193,Weights!$A:$A,0)),"")</f>
        <v/>
      </c>
      <c r="I193" s="10">
        <f>IFERROR(INDEX('Data_NSA'!$A:$OK,MATCH(I$2,'Data_NSA'!$A:$A,0),MATCH($D193,'Data_NSA'!$1:$1,0)),"")</f>
        <v/>
      </c>
      <c r="J193" s="10">
        <f>IF($E193="","",IFERROR(INDEX('Data_SA'!$A:$LO,MATCH(I$2,'Data_SA'!$A:$A,0),MATCH($E193,'Data_SA'!$1:$1,0)),""))</f>
        <v/>
      </c>
      <c r="K193" s="7">
        <f>IF($E193="","",IFERROR(INDEX('Data_SA'!$A:$LO,MATCH(I$2,'Data_SA'!$A:$A,0),MATCH($E193,'Data_SA'!$1:$1,0))/INDEX('Data_SA'!$A:$LO,MATCH(EDATE(I$2,-1),'Data_SA'!$A:$A,0),MATCH($E193,'Data_SA'!$1:$1,0))-1,""))</f>
        <v/>
      </c>
      <c r="L193" s="7">
        <f>IFERROR(INDEX('Data_NSA'!$A:$OK,MATCH(I$2,'Data_NSA'!$A:$A,0),MATCH($D193,'Data_NSA'!$1:$1,0))/INDEX('Data_NSA'!$A:$OK,MATCH(EDATE(I$2,-12),'Data_NSA'!$A:$A,0),MATCH($D193,'Data_NSA'!$1:$1,0))-1,"")</f>
        <v/>
      </c>
      <c r="M193" s="10">
        <f>IFERROR(INDEX('Weights'!$G:$I,MATCH($A193,'Weights'!$A:$A,0),MATCH(I$2,'Weights'!$G$1:$I$1,0)),"")</f>
        <v/>
      </c>
      <c r="N193" s="10">
        <f>IF($E193="","",IFERROR(100*(INDEX('Weights'!$D:$D,MATCH($A193,'Weights'!$A:$A,0))*(INDEX('Data_NSA'!$A:$OK,MATCH(EDATE(I$2,-1),'Data_NSA'!$A:$A,0),MATCH($D193,'Data_NSA'!$1:$1,0))/INDEX('Data_NSA'!$A:$OK,MATCH(INDEX('Weights'!$E:$E,MATCH($A193,'Weights'!$A:$A,0)),'Data_NSA'!$A:$A,0),MATCH($D193,'Data_NSA'!$1:$1,0))))/(100*(INDEX('Data_NSA'!$A:$OK,MATCH(EDATE(I$2,-1),'Data_NSA'!$A:$A,0),MATCH("CUUR0000SA0",'Data_NSA'!$1:$1,0))/INDEX('Data_NSA'!$A:$OK,MATCH(INDEX('Weights'!$E:$E,MATCH($A193,'Weights'!$A:$A,0)),'Data_NSA'!$A:$A,0),MATCH("CUUR0000SA0",'Data_NSA'!$1:$1,0))))*(INDEX('Data_SA'!$A:$LO,MATCH(I$2,'Data_SA'!$A:$A,0),MATCH($E193,'Data_SA'!$1:$1,0))/INDEX('Data_SA'!$A:$LO,MATCH(EDATE(I$2,-1),'Data_SA'!$A:$A,0),MATCH($E193,'Data_SA'!$1:$1,0))-1),""))</f>
        <v/>
      </c>
      <c r="O193" s="10">
        <f>IFERROR(INDEX('Data_NSA'!$A:$OK,MATCH(O$2,'Data_NSA'!$A:$A,0),MATCH($D193,'Data_NSA'!$1:$1,0)),"")</f>
        <v/>
      </c>
      <c r="P193" s="10">
        <f>IF($E193="","",IFERROR(INDEX('Data_SA'!$A:$LO,MATCH(O$2,'Data_SA'!$A:$A,0),MATCH($E193,'Data_SA'!$1:$1,0)),""))</f>
        <v/>
      </c>
      <c r="Q193" s="7">
        <f>IF($E193="","",IFERROR(INDEX('Data_SA'!$A:$LO,MATCH(O$2,'Data_SA'!$A:$A,0),MATCH($E193,'Data_SA'!$1:$1,0))/INDEX('Data_SA'!$A:$LO,MATCH(EDATE(O$2,-1),'Data_SA'!$A:$A,0),MATCH($E193,'Data_SA'!$1:$1,0))-1,""))</f>
        <v/>
      </c>
      <c r="R193" s="7">
        <f>IFERROR(INDEX('Data_NSA'!$A:$OK,MATCH(O$2,'Data_NSA'!$A:$A,0),MATCH($D193,'Data_NSA'!$1:$1,0))/INDEX('Data_NSA'!$A:$OK,MATCH(EDATE(O$2,-12),'Data_NSA'!$A:$A,0),MATCH($D193,'Data_NSA'!$1:$1,0))-1,"")</f>
        <v/>
      </c>
      <c r="S193" s="10">
        <f>IFERROR(INDEX('Weights'!$G:$I,MATCH($A193,'Weights'!$A:$A,0),MATCH(O$2,'Weights'!$G$1:$I$1,0)),"")</f>
        <v/>
      </c>
      <c r="T193" s="10">
        <f>IF($E193="","",IFERROR(100*(INDEX('Weights'!$D:$D,MATCH($A193,'Weights'!$A:$A,0))*(INDEX('Data_NSA'!$A:$OK,MATCH(EDATE(O$2,-1),'Data_NSA'!$A:$A,0),MATCH($D193,'Data_NSA'!$1:$1,0))/INDEX('Data_NSA'!$A:$OK,MATCH(INDEX('Weights'!$E:$E,MATCH($A193,'Weights'!$A:$A,0)),'Data_NSA'!$A:$A,0),MATCH($D193,'Data_NSA'!$1:$1,0))))/(100*(INDEX('Data_NSA'!$A:$OK,MATCH(EDATE(O$2,-1),'Data_NSA'!$A:$A,0),MATCH("CUUR0000SA0",'Data_NSA'!$1:$1,0))/INDEX('Data_NSA'!$A:$OK,MATCH(INDEX('Weights'!$E:$E,MATCH($A193,'Weights'!$A:$A,0)),'Data_NSA'!$A:$A,0),MATCH("CUUR0000SA0",'Data_NSA'!$1:$1,0))))*(INDEX('Data_SA'!$A:$LO,MATCH(O$2,'Data_SA'!$A:$A,0),MATCH($E193,'Data_SA'!$1:$1,0))/INDEX('Data_SA'!$A:$LO,MATCH(EDATE(O$2,-1),'Data_SA'!$A:$A,0),MATCH($E193,'Data_SA'!$1:$1,0))-1),""))</f>
        <v/>
      </c>
      <c r="U193" s="10">
        <f>IFERROR(INDEX('Data_NSA'!$A:$OK,MATCH(U$2,'Data_NSA'!$A:$A,0),MATCH($D193,'Data_NSA'!$1:$1,0)),"")</f>
        <v/>
      </c>
      <c r="V193" s="10">
        <f>IF($E193="","",IFERROR(INDEX('Data_SA'!$A:$LO,MATCH(U$2,'Data_SA'!$A:$A,0),MATCH($E193,'Data_SA'!$1:$1,0)),""))</f>
        <v/>
      </c>
      <c r="W193" s="7">
        <f>IF($E193="","",IFERROR(INDEX('Data_SA'!$A:$LO,MATCH(U$2,'Data_SA'!$A:$A,0),MATCH($E193,'Data_SA'!$1:$1,0))/INDEX('Data_SA'!$A:$LO,MATCH(EDATE(U$2,-1),'Data_SA'!$A:$A,0),MATCH($E193,'Data_SA'!$1:$1,0))-1,""))</f>
        <v/>
      </c>
      <c r="X193" s="7">
        <f>IFERROR(INDEX('Data_NSA'!$A:$OK,MATCH(U$2,'Data_NSA'!$A:$A,0),MATCH($D193,'Data_NSA'!$1:$1,0))/INDEX('Data_NSA'!$A:$OK,MATCH(EDATE(U$2,-12),'Data_NSA'!$A:$A,0),MATCH($D193,'Data_NSA'!$1:$1,0))-1,"")</f>
        <v/>
      </c>
      <c r="Y193" s="10">
        <f>IFERROR(INDEX('Weights'!$G:$I,MATCH($A193,'Weights'!$A:$A,0),MATCH(U$2,'Weights'!$G$1:$I$1,0)),"")</f>
        <v/>
      </c>
      <c r="Z193" s="10">
        <f>IF($E193="","",IFERROR(100*(INDEX('Weights'!$D:$D,MATCH($A193,'Weights'!$A:$A,0))*(INDEX('Data_NSA'!$A:$OK,MATCH(EDATE(U$2,-1),'Data_NSA'!$A:$A,0),MATCH($D193,'Data_NSA'!$1:$1,0))/INDEX('Data_NSA'!$A:$OK,MATCH(INDEX('Weights'!$E:$E,MATCH($A193,'Weights'!$A:$A,0)),'Data_NSA'!$A:$A,0),MATCH($D193,'Data_NSA'!$1:$1,0))))/(100*(INDEX('Data_NSA'!$A:$OK,MATCH(EDATE(U$2,-1),'Data_NSA'!$A:$A,0),MATCH("CUUR0000SA0",'Data_NSA'!$1:$1,0))/INDEX('Data_NSA'!$A:$OK,MATCH(INDEX('Weights'!$E:$E,MATCH($A193,'Weights'!$A:$A,0)),'Data_NSA'!$A:$A,0),MATCH("CUUR0000SA0",'Data_NSA'!$1:$1,0))))*(INDEX('Data_SA'!$A:$LO,MATCH(U$2,'Data_SA'!$A:$A,0),MATCH($E193,'Data_SA'!$1:$1,0))/INDEX('Data_SA'!$A:$LO,MATCH(EDATE(U$2,-1),'Data_SA'!$A:$A,0),MATCH($E193,'Data_SA'!$1:$1,0))-1),""))</f>
        <v/>
      </c>
    </row>
    <row r="194">
      <c r="A194" s="3" t="inlineStr">
        <is>
          <t>SEAA02</t>
        </is>
      </c>
      <c r="B194" s="3" t="inlineStr">
        <is>
          <t>Men's underwear, nightwear, swimwear and accessories</t>
        </is>
      </c>
      <c r="C194" s="3" t="inlineStr">
        <is>
          <t>SEAA</t>
        </is>
      </c>
      <c r="D194" s="3" t="inlineStr">
        <is>
          <t>CUUR0000SEAA02</t>
        </is>
      </c>
      <c r="E194" s="3" t="inlineStr">
        <is>
          <t>CUSR0000SEAA02</t>
        </is>
      </c>
      <c r="F194" s="3" t="inlineStr">
        <is>
          <t>GM</t>
        </is>
      </c>
      <c r="G194" s="3" t="inlineStr">
        <is>
          <t>monthly in New York/Los Angeles/Chicago; often bimonthly elsewhere</t>
        </is>
      </c>
      <c r="H194" s="10">
        <f>IFERROR(INDEX(Weights!$D:$D,MATCH($A194,Weights!$A:$A,0)),"")</f>
        <v/>
      </c>
      <c r="I194" s="10">
        <f>IFERROR(INDEX('Data_NSA'!$A:$OK,MATCH(I$2,'Data_NSA'!$A:$A,0),MATCH($D194,'Data_NSA'!$1:$1,0)),"")</f>
        <v/>
      </c>
      <c r="J194" s="10">
        <f>IF($E194="","",IFERROR(INDEX('Data_SA'!$A:$LO,MATCH(I$2,'Data_SA'!$A:$A,0),MATCH($E194,'Data_SA'!$1:$1,0)),""))</f>
        <v/>
      </c>
      <c r="K194" s="7">
        <f>IF($E194="","",IFERROR(INDEX('Data_SA'!$A:$LO,MATCH(I$2,'Data_SA'!$A:$A,0),MATCH($E194,'Data_SA'!$1:$1,0))/INDEX('Data_SA'!$A:$LO,MATCH(EDATE(I$2,-1),'Data_SA'!$A:$A,0),MATCH($E194,'Data_SA'!$1:$1,0))-1,""))</f>
        <v/>
      </c>
      <c r="L194" s="7">
        <f>IFERROR(INDEX('Data_NSA'!$A:$OK,MATCH(I$2,'Data_NSA'!$A:$A,0),MATCH($D194,'Data_NSA'!$1:$1,0))/INDEX('Data_NSA'!$A:$OK,MATCH(EDATE(I$2,-12),'Data_NSA'!$A:$A,0),MATCH($D194,'Data_NSA'!$1:$1,0))-1,"")</f>
        <v/>
      </c>
      <c r="M194" s="10">
        <f>IFERROR(INDEX('Weights'!$G:$I,MATCH($A194,'Weights'!$A:$A,0),MATCH(I$2,'Weights'!$G$1:$I$1,0)),"")</f>
        <v/>
      </c>
      <c r="N194" s="10">
        <f>IF($E194="","",IFERROR(100*(INDEX('Weights'!$D:$D,MATCH($A194,'Weights'!$A:$A,0))*(INDEX('Data_NSA'!$A:$OK,MATCH(EDATE(I$2,-1),'Data_NSA'!$A:$A,0),MATCH($D194,'Data_NSA'!$1:$1,0))/INDEX('Data_NSA'!$A:$OK,MATCH(INDEX('Weights'!$E:$E,MATCH($A194,'Weights'!$A:$A,0)),'Data_NSA'!$A:$A,0),MATCH($D194,'Data_NSA'!$1:$1,0))))/(100*(INDEX('Data_NSA'!$A:$OK,MATCH(EDATE(I$2,-1),'Data_NSA'!$A:$A,0),MATCH("CUUR0000SA0",'Data_NSA'!$1:$1,0))/INDEX('Data_NSA'!$A:$OK,MATCH(INDEX('Weights'!$E:$E,MATCH($A194,'Weights'!$A:$A,0)),'Data_NSA'!$A:$A,0),MATCH("CUUR0000SA0",'Data_NSA'!$1:$1,0))))*(INDEX('Data_SA'!$A:$LO,MATCH(I$2,'Data_SA'!$A:$A,0),MATCH($E194,'Data_SA'!$1:$1,0))/INDEX('Data_SA'!$A:$LO,MATCH(EDATE(I$2,-1),'Data_SA'!$A:$A,0),MATCH($E194,'Data_SA'!$1:$1,0))-1),""))</f>
        <v/>
      </c>
      <c r="O194" s="10">
        <f>IFERROR(INDEX('Data_NSA'!$A:$OK,MATCH(O$2,'Data_NSA'!$A:$A,0),MATCH($D194,'Data_NSA'!$1:$1,0)),"")</f>
        <v/>
      </c>
      <c r="P194" s="10">
        <f>IF($E194="","",IFERROR(INDEX('Data_SA'!$A:$LO,MATCH(O$2,'Data_SA'!$A:$A,0),MATCH($E194,'Data_SA'!$1:$1,0)),""))</f>
        <v/>
      </c>
      <c r="Q194" s="7">
        <f>IF($E194="","",IFERROR(INDEX('Data_SA'!$A:$LO,MATCH(O$2,'Data_SA'!$A:$A,0),MATCH($E194,'Data_SA'!$1:$1,0))/INDEX('Data_SA'!$A:$LO,MATCH(EDATE(O$2,-1),'Data_SA'!$A:$A,0),MATCH($E194,'Data_SA'!$1:$1,0))-1,""))</f>
        <v/>
      </c>
      <c r="R194" s="7">
        <f>IFERROR(INDEX('Data_NSA'!$A:$OK,MATCH(O$2,'Data_NSA'!$A:$A,0),MATCH($D194,'Data_NSA'!$1:$1,0))/INDEX('Data_NSA'!$A:$OK,MATCH(EDATE(O$2,-12),'Data_NSA'!$A:$A,0),MATCH($D194,'Data_NSA'!$1:$1,0))-1,"")</f>
        <v/>
      </c>
      <c r="S194" s="10">
        <f>IFERROR(INDEX('Weights'!$G:$I,MATCH($A194,'Weights'!$A:$A,0),MATCH(O$2,'Weights'!$G$1:$I$1,0)),"")</f>
        <v/>
      </c>
      <c r="T194" s="10">
        <f>IF($E194="","",IFERROR(100*(INDEX('Weights'!$D:$D,MATCH($A194,'Weights'!$A:$A,0))*(INDEX('Data_NSA'!$A:$OK,MATCH(EDATE(O$2,-1),'Data_NSA'!$A:$A,0),MATCH($D194,'Data_NSA'!$1:$1,0))/INDEX('Data_NSA'!$A:$OK,MATCH(INDEX('Weights'!$E:$E,MATCH($A194,'Weights'!$A:$A,0)),'Data_NSA'!$A:$A,0),MATCH($D194,'Data_NSA'!$1:$1,0))))/(100*(INDEX('Data_NSA'!$A:$OK,MATCH(EDATE(O$2,-1),'Data_NSA'!$A:$A,0),MATCH("CUUR0000SA0",'Data_NSA'!$1:$1,0))/INDEX('Data_NSA'!$A:$OK,MATCH(INDEX('Weights'!$E:$E,MATCH($A194,'Weights'!$A:$A,0)),'Data_NSA'!$A:$A,0),MATCH("CUUR0000SA0",'Data_NSA'!$1:$1,0))))*(INDEX('Data_SA'!$A:$LO,MATCH(O$2,'Data_SA'!$A:$A,0),MATCH($E194,'Data_SA'!$1:$1,0))/INDEX('Data_SA'!$A:$LO,MATCH(EDATE(O$2,-1),'Data_SA'!$A:$A,0),MATCH($E194,'Data_SA'!$1:$1,0))-1),""))</f>
        <v/>
      </c>
      <c r="U194" s="10">
        <f>IFERROR(INDEX('Data_NSA'!$A:$OK,MATCH(U$2,'Data_NSA'!$A:$A,0),MATCH($D194,'Data_NSA'!$1:$1,0)),"")</f>
        <v/>
      </c>
      <c r="V194" s="10">
        <f>IF($E194="","",IFERROR(INDEX('Data_SA'!$A:$LO,MATCH(U$2,'Data_SA'!$A:$A,0),MATCH($E194,'Data_SA'!$1:$1,0)),""))</f>
        <v/>
      </c>
      <c r="W194" s="7">
        <f>IF($E194="","",IFERROR(INDEX('Data_SA'!$A:$LO,MATCH(U$2,'Data_SA'!$A:$A,0),MATCH($E194,'Data_SA'!$1:$1,0))/INDEX('Data_SA'!$A:$LO,MATCH(EDATE(U$2,-1),'Data_SA'!$A:$A,0),MATCH($E194,'Data_SA'!$1:$1,0))-1,""))</f>
        <v/>
      </c>
      <c r="X194" s="7">
        <f>IFERROR(INDEX('Data_NSA'!$A:$OK,MATCH(U$2,'Data_NSA'!$A:$A,0),MATCH($D194,'Data_NSA'!$1:$1,0))/INDEX('Data_NSA'!$A:$OK,MATCH(EDATE(U$2,-12),'Data_NSA'!$A:$A,0),MATCH($D194,'Data_NSA'!$1:$1,0))-1,"")</f>
        <v/>
      </c>
      <c r="Y194" s="10">
        <f>IFERROR(INDEX('Weights'!$G:$I,MATCH($A194,'Weights'!$A:$A,0),MATCH(U$2,'Weights'!$G$1:$I$1,0)),"")</f>
        <v/>
      </c>
      <c r="Z194" s="10">
        <f>IF($E194="","",IFERROR(100*(INDEX('Weights'!$D:$D,MATCH($A194,'Weights'!$A:$A,0))*(INDEX('Data_NSA'!$A:$OK,MATCH(EDATE(U$2,-1),'Data_NSA'!$A:$A,0),MATCH($D194,'Data_NSA'!$1:$1,0))/INDEX('Data_NSA'!$A:$OK,MATCH(INDEX('Weights'!$E:$E,MATCH($A194,'Weights'!$A:$A,0)),'Data_NSA'!$A:$A,0),MATCH($D194,'Data_NSA'!$1:$1,0))))/(100*(INDEX('Data_NSA'!$A:$OK,MATCH(EDATE(U$2,-1),'Data_NSA'!$A:$A,0),MATCH("CUUR0000SA0",'Data_NSA'!$1:$1,0))/INDEX('Data_NSA'!$A:$OK,MATCH(INDEX('Weights'!$E:$E,MATCH($A194,'Weights'!$A:$A,0)),'Data_NSA'!$A:$A,0),MATCH("CUUR0000SA0",'Data_NSA'!$1:$1,0))))*(INDEX('Data_SA'!$A:$LO,MATCH(U$2,'Data_SA'!$A:$A,0),MATCH($E194,'Data_SA'!$1:$1,0))/INDEX('Data_SA'!$A:$LO,MATCH(EDATE(U$2,-1),'Data_SA'!$A:$A,0),MATCH($E194,'Data_SA'!$1:$1,0))-1),""))</f>
        <v/>
      </c>
    </row>
    <row r="195">
      <c r="A195" s="3" t="inlineStr">
        <is>
          <t>SEAA03</t>
        </is>
      </c>
      <c r="B195" s="3" t="inlineStr">
        <is>
          <t>Men's shirts and sweaters</t>
        </is>
      </c>
      <c r="C195" s="3" t="inlineStr">
        <is>
          <t>SEAA</t>
        </is>
      </c>
      <c r="D195" s="3" t="inlineStr">
        <is>
          <t>CUUR0000SEAA03</t>
        </is>
      </c>
      <c r="E195" s="3" t="inlineStr">
        <is>
          <t>CUSR0000SEAA03</t>
        </is>
      </c>
      <c r="F195" s="3" t="inlineStr">
        <is>
          <t>GM</t>
        </is>
      </c>
      <c r="G195" s="3" t="inlineStr">
        <is>
          <t>monthly in New York/Los Angeles/Chicago; often bimonthly elsewhere</t>
        </is>
      </c>
      <c r="H195" s="10">
        <f>IFERROR(INDEX(Weights!$D:$D,MATCH($A195,Weights!$A:$A,0)),"")</f>
        <v/>
      </c>
      <c r="I195" s="10">
        <f>IFERROR(INDEX('Data_NSA'!$A:$OK,MATCH(I$2,'Data_NSA'!$A:$A,0),MATCH($D195,'Data_NSA'!$1:$1,0)),"")</f>
        <v/>
      </c>
      <c r="J195" s="10">
        <f>IF($E195="","",IFERROR(INDEX('Data_SA'!$A:$LO,MATCH(I$2,'Data_SA'!$A:$A,0),MATCH($E195,'Data_SA'!$1:$1,0)),""))</f>
        <v/>
      </c>
      <c r="K195" s="7">
        <f>IF($E195="","",IFERROR(INDEX('Data_SA'!$A:$LO,MATCH(I$2,'Data_SA'!$A:$A,0),MATCH($E195,'Data_SA'!$1:$1,0))/INDEX('Data_SA'!$A:$LO,MATCH(EDATE(I$2,-1),'Data_SA'!$A:$A,0),MATCH($E195,'Data_SA'!$1:$1,0))-1,""))</f>
        <v/>
      </c>
      <c r="L195" s="7">
        <f>IFERROR(INDEX('Data_NSA'!$A:$OK,MATCH(I$2,'Data_NSA'!$A:$A,0),MATCH($D195,'Data_NSA'!$1:$1,0))/INDEX('Data_NSA'!$A:$OK,MATCH(EDATE(I$2,-12),'Data_NSA'!$A:$A,0),MATCH($D195,'Data_NSA'!$1:$1,0))-1,"")</f>
        <v/>
      </c>
      <c r="M195" s="10">
        <f>IFERROR(INDEX('Weights'!$G:$I,MATCH($A195,'Weights'!$A:$A,0),MATCH(I$2,'Weights'!$G$1:$I$1,0)),"")</f>
        <v/>
      </c>
      <c r="N195" s="10">
        <f>IF($E195="","",IFERROR(100*(INDEX('Weights'!$D:$D,MATCH($A195,'Weights'!$A:$A,0))*(INDEX('Data_NSA'!$A:$OK,MATCH(EDATE(I$2,-1),'Data_NSA'!$A:$A,0),MATCH($D195,'Data_NSA'!$1:$1,0))/INDEX('Data_NSA'!$A:$OK,MATCH(INDEX('Weights'!$E:$E,MATCH($A195,'Weights'!$A:$A,0)),'Data_NSA'!$A:$A,0),MATCH($D195,'Data_NSA'!$1:$1,0))))/(100*(INDEX('Data_NSA'!$A:$OK,MATCH(EDATE(I$2,-1),'Data_NSA'!$A:$A,0),MATCH("CUUR0000SA0",'Data_NSA'!$1:$1,0))/INDEX('Data_NSA'!$A:$OK,MATCH(INDEX('Weights'!$E:$E,MATCH($A195,'Weights'!$A:$A,0)),'Data_NSA'!$A:$A,0),MATCH("CUUR0000SA0",'Data_NSA'!$1:$1,0))))*(INDEX('Data_SA'!$A:$LO,MATCH(I$2,'Data_SA'!$A:$A,0),MATCH($E195,'Data_SA'!$1:$1,0))/INDEX('Data_SA'!$A:$LO,MATCH(EDATE(I$2,-1),'Data_SA'!$A:$A,0),MATCH($E195,'Data_SA'!$1:$1,0))-1),""))</f>
        <v/>
      </c>
      <c r="O195" s="10">
        <f>IFERROR(INDEX('Data_NSA'!$A:$OK,MATCH(O$2,'Data_NSA'!$A:$A,0),MATCH($D195,'Data_NSA'!$1:$1,0)),"")</f>
        <v/>
      </c>
      <c r="P195" s="10">
        <f>IF($E195="","",IFERROR(INDEX('Data_SA'!$A:$LO,MATCH(O$2,'Data_SA'!$A:$A,0),MATCH($E195,'Data_SA'!$1:$1,0)),""))</f>
        <v/>
      </c>
      <c r="Q195" s="7">
        <f>IF($E195="","",IFERROR(INDEX('Data_SA'!$A:$LO,MATCH(O$2,'Data_SA'!$A:$A,0),MATCH($E195,'Data_SA'!$1:$1,0))/INDEX('Data_SA'!$A:$LO,MATCH(EDATE(O$2,-1),'Data_SA'!$A:$A,0),MATCH($E195,'Data_SA'!$1:$1,0))-1,""))</f>
        <v/>
      </c>
      <c r="R195" s="7">
        <f>IFERROR(INDEX('Data_NSA'!$A:$OK,MATCH(O$2,'Data_NSA'!$A:$A,0),MATCH($D195,'Data_NSA'!$1:$1,0))/INDEX('Data_NSA'!$A:$OK,MATCH(EDATE(O$2,-12),'Data_NSA'!$A:$A,0),MATCH($D195,'Data_NSA'!$1:$1,0))-1,"")</f>
        <v/>
      </c>
      <c r="S195" s="10">
        <f>IFERROR(INDEX('Weights'!$G:$I,MATCH($A195,'Weights'!$A:$A,0),MATCH(O$2,'Weights'!$G$1:$I$1,0)),"")</f>
        <v/>
      </c>
      <c r="T195" s="10">
        <f>IF($E195="","",IFERROR(100*(INDEX('Weights'!$D:$D,MATCH($A195,'Weights'!$A:$A,0))*(INDEX('Data_NSA'!$A:$OK,MATCH(EDATE(O$2,-1),'Data_NSA'!$A:$A,0),MATCH($D195,'Data_NSA'!$1:$1,0))/INDEX('Data_NSA'!$A:$OK,MATCH(INDEX('Weights'!$E:$E,MATCH($A195,'Weights'!$A:$A,0)),'Data_NSA'!$A:$A,0),MATCH($D195,'Data_NSA'!$1:$1,0))))/(100*(INDEX('Data_NSA'!$A:$OK,MATCH(EDATE(O$2,-1),'Data_NSA'!$A:$A,0),MATCH("CUUR0000SA0",'Data_NSA'!$1:$1,0))/INDEX('Data_NSA'!$A:$OK,MATCH(INDEX('Weights'!$E:$E,MATCH($A195,'Weights'!$A:$A,0)),'Data_NSA'!$A:$A,0),MATCH("CUUR0000SA0",'Data_NSA'!$1:$1,0))))*(INDEX('Data_SA'!$A:$LO,MATCH(O$2,'Data_SA'!$A:$A,0),MATCH($E195,'Data_SA'!$1:$1,0))/INDEX('Data_SA'!$A:$LO,MATCH(EDATE(O$2,-1),'Data_SA'!$A:$A,0),MATCH($E195,'Data_SA'!$1:$1,0))-1),""))</f>
        <v/>
      </c>
      <c r="U195" s="10">
        <f>IFERROR(INDEX('Data_NSA'!$A:$OK,MATCH(U$2,'Data_NSA'!$A:$A,0),MATCH($D195,'Data_NSA'!$1:$1,0)),"")</f>
        <v/>
      </c>
      <c r="V195" s="10">
        <f>IF($E195="","",IFERROR(INDEX('Data_SA'!$A:$LO,MATCH(U$2,'Data_SA'!$A:$A,0),MATCH($E195,'Data_SA'!$1:$1,0)),""))</f>
        <v/>
      </c>
      <c r="W195" s="7">
        <f>IF($E195="","",IFERROR(INDEX('Data_SA'!$A:$LO,MATCH(U$2,'Data_SA'!$A:$A,0),MATCH($E195,'Data_SA'!$1:$1,0))/INDEX('Data_SA'!$A:$LO,MATCH(EDATE(U$2,-1),'Data_SA'!$A:$A,0),MATCH($E195,'Data_SA'!$1:$1,0))-1,""))</f>
        <v/>
      </c>
      <c r="X195" s="7">
        <f>IFERROR(INDEX('Data_NSA'!$A:$OK,MATCH(U$2,'Data_NSA'!$A:$A,0),MATCH($D195,'Data_NSA'!$1:$1,0))/INDEX('Data_NSA'!$A:$OK,MATCH(EDATE(U$2,-12),'Data_NSA'!$A:$A,0),MATCH($D195,'Data_NSA'!$1:$1,0))-1,"")</f>
        <v/>
      </c>
      <c r="Y195" s="10">
        <f>IFERROR(INDEX('Weights'!$G:$I,MATCH($A195,'Weights'!$A:$A,0),MATCH(U$2,'Weights'!$G$1:$I$1,0)),"")</f>
        <v/>
      </c>
      <c r="Z195" s="10">
        <f>IF($E195="","",IFERROR(100*(INDEX('Weights'!$D:$D,MATCH($A195,'Weights'!$A:$A,0))*(INDEX('Data_NSA'!$A:$OK,MATCH(EDATE(U$2,-1),'Data_NSA'!$A:$A,0),MATCH($D195,'Data_NSA'!$1:$1,0))/INDEX('Data_NSA'!$A:$OK,MATCH(INDEX('Weights'!$E:$E,MATCH($A195,'Weights'!$A:$A,0)),'Data_NSA'!$A:$A,0),MATCH($D195,'Data_NSA'!$1:$1,0))))/(100*(INDEX('Data_NSA'!$A:$OK,MATCH(EDATE(U$2,-1),'Data_NSA'!$A:$A,0),MATCH("CUUR0000SA0",'Data_NSA'!$1:$1,0))/INDEX('Data_NSA'!$A:$OK,MATCH(INDEX('Weights'!$E:$E,MATCH($A195,'Weights'!$A:$A,0)),'Data_NSA'!$A:$A,0),MATCH("CUUR0000SA0",'Data_NSA'!$1:$1,0))))*(INDEX('Data_SA'!$A:$LO,MATCH(U$2,'Data_SA'!$A:$A,0),MATCH($E195,'Data_SA'!$1:$1,0))/INDEX('Data_SA'!$A:$LO,MATCH(EDATE(U$2,-1),'Data_SA'!$A:$A,0),MATCH($E195,'Data_SA'!$1:$1,0))-1),""))</f>
        <v/>
      </c>
    </row>
    <row r="196">
      <c r="A196" s="3" t="inlineStr">
        <is>
          <t>SEAA04</t>
        </is>
      </c>
      <c r="B196" s="3" t="inlineStr">
        <is>
          <t>Men's pants and shorts</t>
        </is>
      </c>
      <c r="C196" s="3" t="inlineStr">
        <is>
          <t>SEAA</t>
        </is>
      </c>
      <c r="D196" s="3" t="inlineStr">
        <is>
          <t>CUUR0000SEAA04</t>
        </is>
      </c>
      <c r="E196" s="3" t="inlineStr">
        <is>
          <t>CUSR0000SEAA04</t>
        </is>
      </c>
      <c r="F196" s="3" t="inlineStr">
        <is>
          <t>GM</t>
        </is>
      </c>
      <c r="G196" s="3" t="inlineStr">
        <is>
          <t>monthly in New York/Los Angeles/Chicago; often bimonthly elsewhere</t>
        </is>
      </c>
      <c r="H196" s="10">
        <f>IFERROR(INDEX(Weights!$D:$D,MATCH($A196,Weights!$A:$A,0)),"")</f>
        <v/>
      </c>
      <c r="I196" s="10">
        <f>IFERROR(INDEX('Data_NSA'!$A:$OK,MATCH(I$2,'Data_NSA'!$A:$A,0),MATCH($D196,'Data_NSA'!$1:$1,0)),"")</f>
        <v/>
      </c>
      <c r="J196" s="10">
        <f>IF($E196="","",IFERROR(INDEX('Data_SA'!$A:$LO,MATCH(I$2,'Data_SA'!$A:$A,0),MATCH($E196,'Data_SA'!$1:$1,0)),""))</f>
        <v/>
      </c>
      <c r="K196" s="7">
        <f>IF($E196="","",IFERROR(INDEX('Data_SA'!$A:$LO,MATCH(I$2,'Data_SA'!$A:$A,0),MATCH($E196,'Data_SA'!$1:$1,0))/INDEX('Data_SA'!$A:$LO,MATCH(EDATE(I$2,-1),'Data_SA'!$A:$A,0),MATCH($E196,'Data_SA'!$1:$1,0))-1,""))</f>
        <v/>
      </c>
      <c r="L196" s="7">
        <f>IFERROR(INDEX('Data_NSA'!$A:$OK,MATCH(I$2,'Data_NSA'!$A:$A,0),MATCH($D196,'Data_NSA'!$1:$1,0))/INDEX('Data_NSA'!$A:$OK,MATCH(EDATE(I$2,-12),'Data_NSA'!$A:$A,0),MATCH($D196,'Data_NSA'!$1:$1,0))-1,"")</f>
        <v/>
      </c>
      <c r="M196" s="10">
        <f>IFERROR(INDEX('Weights'!$G:$I,MATCH($A196,'Weights'!$A:$A,0),MATCH(I$2,'Weights'!$G$1:$I$1,0)),"")</f>
        <v/>
      </c>
      <c r="N196" s="10">
        <f>IF($E196="","",IFERROR(100*(INDEX('Weights'!$D:$D,MATCH($A196,'Weights'!$A:$A,0))*(INDEX('Data_NSA'!$A:$OK,MATCH(EDATE(I$2,-1),'Data_NSA'!$A:$A,0),MATCH($D196,'Data_NSA'!$1:$1,0))/INDEX('Data_NSA'!$A:$OK,MATCH(INDEX('Weights'!$E:$E,MATCH($A196,'Weights'!$A:$A,0)),'Data_NSA'!$A:$A,0),MATCH($D196,'Data_NSA'!$1:$1,0))))/(100*(INDEX('Data_NSA'!$A:$OK,MATCH(EDATE(I$2,-1),'Data_NSA'!$A:$A,0),MATCH("CUUR0000SA0",'Data_NSA'!$1:$1,0))/INDEX('Data_NSA'!$A:$OK,MATCH(INDEX('Weights'!$E:$E,MATCH($A196,'Weights'!$A:$A,0)),'Data_NSA'!$A:$A,0),MATCH("CUUR0000SA0",'Data_NSA'!$1:$1,0))))*(INDEX('Data_SA'!$A:$LO,MATCH(I$2,'Data_SA'!$A:$A,0),MATCH($E196,'Data_SA'!$1:$1,0))/INDEX('Data_SA'!$A:$LO,MATCH(EDATE(I$2,-1),'Data_SA'!$A:$A,0),MATCH($E196,'Data_SA'!$1:$1,0))-1),""))</f>
        <v/>
      </c>
      <c r="O196" s="10">
        <f>IFERROR(INDEX('Data_NSA'!$A:$OK,MATCH(O$2,'Data_NSA'!$A:$A,0),MATCH($D196,'Data_NSA'!$1:$1,0)),"")</f>
        <v/>
      </c>
      <c r="P196" s="10">
        <f>IF($E196="","",IFERROR(INDEX('Data_SA'!$A:$LO,MATCH(O$2,'Data_SA'!$A:$A,0),MATCH($E196,'Data_SA'!$1:$1,0)),""))</f>
        <v/>
      </c>
      <c r="Q196" s="7">
        <f>IF($E196="","",IFERROR(INDEX('Data_SA'!$A:$LO,MATCH(O$2,'Data_SA'!$A:$A,0),MATCH($E196,'Data_SA'!$1:$1,0))/INDEX('Data_SA'!$A:$LO,MATCH(EDATE(O$2,-1),'Data_SA'!$A:$A,0),MATCH($E196,'Data_SA'!$1:$1,0))-1,""))</f>
        <v/>
      </c>
      <c r="R196" s="7">
        <f>IFERROR(INDEX('Data_NSA'!$A:$OK,MATCH(O$2,'Data_NSA'!$A:$A,0),MATCH($D196,'Data_NSA'!$1:$1,0))/INDEX('Data_NSA'!$A:$OK,MATCH(EDATE(O$2,-12),'Data_NSA'!$A:$A,0),MATCH($D196,'Data_NSA'!$1:$1,0))-1,"")</f>
        <v/>
      </c>
      <c r="S196" s="10">
        <f>IFERROR(INDEX('Weights'!$G:$I,MATCH($A196,'Weights'!$A:$A,0),MATCH(O$2,'Weights'!$G$1:$I$1,0)),"")</f>
        <v/>
      </c>
      <c r="T196" s="10">
        <f>IF($E196="","",IFERROR(100*(INDEX('Weights'!$D:$D,MATCH($A196,'Weights'!$A:$A,0))*(INDEX('Data_NSA'!$A:$OK,MATCH(EDATE(O$2,-1),'Data_NSA'!$A:$A,0),MATCH($D196,'Data_NSA'!$1:$1,0))/INDEX('Data_NSA'!$A:$OK,MATCH(INDEX('Weights'!$E:$E,MATCH($A196,'Weights'!$A:$A,0)),'Data_NSA'!$A:$A,0),MATCH($D196,'Data_NSA'!$1:$1,0))))/(100*(INDEX('Data_NSA'!$A:$OK,MATCH(EDATE(O$2,-1),'Data_NSA'!$A:$A,0),MATCH("CUUR0000SA0",'Data_NSA'!$1:$1,0))/INDEX('Data_NSA'!$A:$OK,MATCH(INDEX('Weights'!$E:$E,MATCH($A196,'Weights'!$A:$A,0)),'Data_NSA'!$A:$A,0),MATCH("CUUR0000SA0",'Data_NSA'!$1:$1,0))))*(INDEX('Data_SA'!$A:$LO,MATCH(O$2,'Data_SA'!$A:$A,0),MATCH($E196,'Data_SA'!$1:$1,0))/INDEX('Data_SA'!$A:$LO,MATCH(EDATE(O$2,-1),'Data_SA'!$A:$A,0),MATCH($E196,'Data_SA'!$1:$1,0))-1),""))</f>
        <v/>
      </c>
      <c r="U196" s="10">
        <f>IFERROR(INDEX('Data_NSA'!$A:$OK,MATCH(U$2,'Data_NSA'!$A:$A,0),MATCH($D196,'Data_NSA'!$1:$1,0)),"")</f>
        <v/>
      </c>
      <c r="V196" s="10">
        <f>IF($E196="","",IFERROR(INDEX('Data_SA'!$A:$LO,MATCH(U$2,'Data_SA'!$A:$A,0),MATCH($E196,'Data_SA'!$1:$1,0)),""))</f>
        <v/>
      </c>
      <c r="W196" s="7">
        <f>IF($E196="","",IFERROR(INDEX('Data_SA'!$A:$LO,MATCH(U$2,'Data_SA'!$A:$A,0),MATCH($E196,'Data_SA'!$1:$1,0))/INDEX('Data_SA'!$A:$LO,MATCH(EDATE(U$2,-1),'Data_SA'!$A:$A,0),MATCH($E196,'Data_SA'!$1:$1,0))-1,""))</f>
        <v/>
      </c>
      <c r="X196" s="7">
        <f>IFERROR(INDEX('Data_NSA'!$A:$OK,MATCH(U$2,'Data_NSA'!$A:$A,0),MATCH($D196,'Data_NSA'!$1:$1,0))/INDEX('Data_NSA'!$A:$OK,MATCH(EDATE(U$2,-12),'Data_NSA'!$A:$A,0),MATCH($D196,'Data_NSA'!$1:$1,0))-1,"")</f>
        <v/>
      </c>
      <c r="Y196" s="10">
        <f>IFERROR(INDEX('Weights'!$G:$I,MATCH($A196,'Weights'!$A:$A,0),MATCH(U$2,'Weights'!$G$1:$I$1,0)),"")</f>
        <v/>
      </c>
      <c r="Z196" s="10">
        <f>IF($E196="","",IFERROR(100*(INDEX('Weights'!$D:$D,MATCH($A196,'Weights'!$A:$A,0))*(INDEX('Data_NSA'!$A:$OK,MATCH(EDATE(U$2,-1),'Data_NSA'!$A:$A,0),MATCH($D196,'Data_NSA'!$1:$1,0))/INDEX('Data_NSA'!$A:$OK,MATCH(INDEX('Weights'!$E:$E,MATCH($A196,'Weights'!$A:$A,0)),'Data_NSA'!$A:$A,0),MATCH($D196,'Data_NSA'!$1:$1,0))))/(100*(INDEX('Data_NSA'!$A:$OK,MATCH(EDATE(U$2,-1),'Data_NSA'!$A:$A,0),MATCH("CUUR0000SA0",'Data_NSA'!$1:$1,0))/INDEX('Data_NSA'!$A:$OK,MATCH(INDEX('Weights'!$E:$E,MATCH($A196,'Weights'!$A:$A,0)),'Data_NSA'!$A:$A,0),MATCH("CUUR0000SA0",'Data_NSA'!$1:$1,0))))*(INDEX('Data_SA'!$A:$LO,MATCH(U$2,'Data_SA'!$A:$A,0),MATCH($E196,'Data_SA'!$1:$1,0))/INDEX('Data_SA'!$A:$LO,MATCH(EDATE(U$2,-1),'Data_SA'!$A:$A,0),MATCH($E196,'Data_SA'!$1:$1,0))-1),""))</f>
        <v/>
      </c>
    </row>
    <row r="197">
      <c r="A197" s="3" t="inlineStr">
        <is>
          <t>SEAB</t>
        </is>
      </c>
      <c r="B197" s="3" t="inlineStr">
        <is>
          <t>Boys' apparel</t>
        </is>
      </c>
      <c r="C197" s="3" t="inlineStr">
        <is>
          <t>SAA1</t>
        </is>
      </c>
      <c r="D197" s="3" t="inlineStr">
        <is>
          <t>CUUR0000SEAB</t>
        </is>
      </c>
      <c r="E197" s="3" t="inlineStr">
        <is>
          <t>CUSR0000SEAB</t>
        </is>
      </c>
      <c r="F197" s="3" t="inlineStr">
        <is>
          <t>GM</t>
        </is>
      </c>
      <c r="G197" s="3" t="inlineStr">
        <is>
          <t>monthly in New York/Los Angeles/Chicago; often bimonthly elsewhere</t>
        </is>
      </c>
      <c r="H197" s="10">
        <f>IFERROR(INDEX(Weights!$D:$D,MATCH($A197,Weights!$A:$A,0)),"")</f>
        <v/>
      </c>
      <c r="I197" s="10">
        <f>IFERROR(INDEX('Data_NSA'!$A:$OK,MATCH(I$2,'Data_NSA'!$A:$A,0),MATCH($D197,'Data_NSA'!$1:$1,0)),"")</f>
        <v/>
      </c>
      <c r="J197" s="10">
        <f>IF($E197="","",IFERROR(INDEX('Data_SA'!$A:$LO,MATCH(I$2,'Data_SA'!$A:$A,0),MATCH($E197,'Data_SA'!$1:$1,0)),""))</f>
        <v/>
      </c>
      <c r="K197" s="7">
        <f>IF($E197="","",IFERROR(INDEX('Data_SA'!$A:$LO,MATCH(I$2,'Data_SA'!$A:$A,0),MATCH($E197,'Data_SA'!$1:$1,0))/INDEX('Data_SA'!$A:$LO,MATCH(EDATE(I$2,-1),'Data_SA'!$A:$A,0),MATCH($E197,'Data_SA'!$1:$1,0))-1,""))</f>
        <v/>
      </c>
      <c r="L197" s="7">
        <f>IFERROR(INDEX('Data_NSA'!$A:$OK,MATCH(I$2,'Data_NSA'!$A:$A,0),MATCH($D197,'Data_NSA'!$1:$1,0))/INDEX('Data_NSA'!$A:$OK,MATCH(EDATE(I$2,-12),'Data_NSA'!$A:$A,0),MATCH($D197,'Data_NSA'!$1:$1,0))-1,"")</f>
        <v/>
      </c>
      <c r="M197" s="10">
        <f>IFERROR(INDEX('Weights'!$G:$I,MATCH($A197,'Weights'!$A:$A,0),MATCH(I$2,'Weights'!$G$1:$I$1,0)),"")</f>
        <v/>
      </c>
      <c r="N197" s="10">
        <f>IF($E197="","",IFERROR(100*(INDEX('Weights'!$D:$D,MATCH($A197,'Weights'!$A:$A,0))*(INDEX('Data_NSA'!$A:$OK,MATCH(EDATE(I$2,-1),'Data_NSA'!$A:$A,0),MATCH($D197,'Data_NSA'!$1:$1,0))/INDEX('Data_NSA'!$A:$OK,MATCH(INDEX('Weights'!$E:$E,MATCH($A197,'Weights'!$A:$A,0)),'Data_NSA'!$A:$A,0),MATCH($D197,'Data_NSA'!$1:$1,0))))/(100*(INDEX('Data_NSA'!$A:$OK,MATCH(EDATE(I$2,-1),'Data_NSA'!$A:$A,0),MATCH("CUUR0000SA0",'Data_NSA'!$1:$1,0))/INDEX('Data_NSA'!$A:$OK,MATCH(INDEX('Weights'!$E:$E,MATCH($A197,'Weights'!$A:$A,0)),'Data_NSA'!$A:$A,0),MATCH("CUUR0000SA0",'Data_NSA'!$1:$1,0))))*(INDEX('Data_SA'!$A:$LO,MATCH(I$2,'Data_SA'!$A:$A,0),MATCH($E197,'Data_SA'!$1:$1,0))/INDEX('Data_SA'!$A:$LO,MATCH(EDATE(I$2,-1),'Data_SA'!$A:$A,0),MATCH($E197,'Data_SA'!$1:$1,0))-1),""))</f>
        <v/>
      </c>
      <c r="O197" s="10">
        <f>IFERROR(INDEX('Data_NSA'!$A:$OK,MATCH(O$2,'Data_NSA'!$A:$A,0),MATCH($D197,'Data_NSA'!$1:$1,0)),"")</f>
        <v/>
      </c>
      <c r="P197" s="10">
        <f>IF($E197="","",IFERROR(INDEX('Data_SA'!$A:$LO,MATCH(O$2,'Data_SA'!$A:$A,0),MATCH($E197,'Data_SA'!$1:$1,0)),""))</f>
        <v/>
      </c>
      <c r="Q197" s="7">
        <f>IF($E197="","",IFERROR(INDEX('Data_SA'!$A:$LO,MATCH(O$2,'Data_SA'!$A:$A,0),MATCH($E197,'Data_SA'!$1:$1,0))/INDEX('Data_SA'!$A:$LO,MATCH(EDATE(O$2,-1),'Data_SA'!$A:$A,0),MATCH($E197,'Data_SA'!$1:$1,0))-1,""))</f>
        <v/>
      </c>
      <c r="R197" s="7">
        <f>IFERROR(INDEX('Data_NSA'!$A:$OK,MATCH(O$2,'Data_NSA'!$A:$A,0),MATCH($D197,'Data_NSA'!$1:$1,0))/INDEX('Data_NSA'!$A:$OK,MATCH(EDATE(O$2,-12),'Data_NSA'!$A:$A,0),MATCH($D197,'Data_NSA'!$1:$1,0))-1,"")</f>
        <v/>
      </c>
      <c r="S197" s="10">
        <f>IFERROR(INDEX('Weights'!$G:$I,MATCH($A197,'Weights'!$A:$A,0),MATCH(O$2,'Weights'!$G$1:$I$1,0)),"")</f>
        <v/>
      </c>
      <c r="T197" s="10">
        <f>IF($E197="","",IFERROR(100*(INDEX('Weights'!$D:$D,MATCH($A197,'Weights'!$A:$A,0))*(INDEX('Data_NSA'!$A:$OK,MATCH(EDATE(O$2,-1),'Data_NSA'!$A:$A,0),MATCH($D197,'Data_NSA'!$1:$1,0))/INDEX('Data_NSA'!$A:$OK,MATCH(INDEX('Weights'!$E:$E,MATCH($A197,'Weights'!$A:$A,0)),'Data_NSA'!$A:$A,0),MATCH($D197,'Data_NSA'!$1:$1,0))))/(100*(INDEX('Data_NSA'!$A:$OK,MATCH(EDATE(O$2,-1),'Data_NSA'!$A:$A,0),MATCH("CUUR0000SA0",'Data_NSA'!$1:$1,0))/INDEX('Data_NSA'!$A:$OK,MATCH(INDEX('Weights'!$E:$E,MATCH($A197,'Weights'!$A:$A,0)),'Data_NSA'!$A:$A,0),MATCH("CUUR0000SA0",'Data_NSA'!$1:$1,0))))*(INDEX('Data_SA'!$A:$LO,MATCH(O$2,'Data_SA'!$A:$A,0),MATCH($E197,'Data_SA'!$1:$1,0))/INDEX('Data_SA'!$A:$LO,MATCH(EDATE(O$2,-1),'Data_SA'!$A:$A,0),MATCH($E197,'Data_SA'!$1:$1,0))-1),""))</f>
        <v/>
      </c>
      <c r="U197" s="10">
        <f>IFERROR(INDEX('Data_NSA'!$A:$OK,MATCH(U$2,'Data_NSA'!$A:$A,0),MATCH($D197,'Data_NSA'!$1:$1,0)),"")</f>
        <v/>
      </c>
      <c r="V197" s="10">
        <f>IF($E197="","",IFERROR(INDEX('Data_SA'!$A:$LO,MATCH(U$2,'Data_SA'!$A:$A,0),MATCH($E197,'Data_SA'!$1:$1,0)),""))</f>
        <v/>
      </c>
      <c r="W197" s="7">
        <f>IF($E197="","",IFERROR(INDEX('Data_SA'!$A:$LO,MATCH(U$2,'Data_SA'!$A:$A,0),MATCH($E197,'Data_SA'!$1:$1,0))/INDEX('Data_SA'!$A:$LO,MATCH(EDATE(U$2,-1),'Data_SA'!$A:$A,0),MATCH($E197,'Data_SA'!$1:$1,0))-1,""))</f>
        <v/>
      </c>
      <c r="X197" s="7">
        <f>IFERROR(INDEX('Data_NSA'!$A:$OK,MATCH(U$2,'Data_NSA'!$A:$A,0),MATCH($D197,'Data_NSA'!$1:$1,0))/INDEX('Data_NSA'!$A:$OK,MATCH(EDATE(U$2,-12),'Data_NSA'!$A:$A,0),MATCH($D197,'Data_NSA'!$1:$1,0))-1,"")</f>
        <v/>
      </c>
      <c r="Y197" s="10">
        <f>IFERROR(INDEX('Weights'!$G:$I,MATCH($A197,'Weights'!$A:$A,0),MATCH(U$2,'Weights'!$G$1:$I$1,0)),"")</f>
        <v/>
      </c>
      <c r="Z197" s="10">
        <f>IF($E197="","",IFERROR(100*(INDEX('Weights'!$D:$D,MATCH($A197,'Weights'!$A:$A,0))*(INDEX('Data_NSA'!$A:$OK,MATCH(EDATE(U$2,-1),'Data_NSA'!$A:$A,0),MATCH($D197,'Data_NSA'!$1:$1,0))/INDEX('Data_NSA'!$A:$OK,MATCH(INDEX('Weights'!$E:$E,MATCH($A197,'Weights'!$A:$A,0)),'Data_NSA'!$A:$A,0),MATCH($D197,'Data_NSA'!$1:$1,0))))/(100*(INDEX('Data_NSA'!$A:$OK,MATCH(EDATE(U$2,-1),'Data_NSA'!$A:$A,0),MATCH("CUUR0000SA0",'Data_NSA'!$1:$1,0))/INDEX('Data_NSA'!$A:$OK,MATCH(INDEX('Weights'!$E:$E,MATCH($A197,'Weights'!$A:$A,0)),'Data_NSA'!$A:$A,0),MATCH("CUUR0000SA0",'Data_NSA'!$1:$1,0))))*(INDEX('Data_SA'!$A:$LO,MATCH(U$2,'Data_SA'!$A:$A,0),MATCH($E197,'Data_SA'!$1:$1,0))/INDEX('Data_SA'!$A:$LO,MATCH(EDATE(U$2,-1),'Data_SA'!$A:$A,0),MATCH($E197,'Data_SA'!$1:$1,0))-1),""))</f>
        <v/>
      </c>
    </row>
    <row r="198">
      <c r="A198" s="3" t="inlineStr">
        <is>
          <t>SAA2</t>
        </is>
      </c>
      <c r="B198" s="3" t="inlineStr">
        <is>
          <t>Women's and girls' apparel</t>
        </is>
      </c>
      <c r="C198" s="3" t="inlineStr">
        <is>
          <t>SAA</t>
        </is>
      </c>
      <c r="D198" s="3" t="inlineStr">
        <is>
          <t>CUUR0000SAA2</t>
        </is>
      </c>
      <c r="E198" s="3" t="inlineStr">
        <is>
          <t>CUSR0000SAA2</t>
        </is>
      </c>
      <c r="F198" s="3" t="inlineStr">
        <is>
          <t>aggregate</t>
        </is>
      </c>
      <c r="G198" s="3" t="inlineStr">
        <is>
          <t>aggregate</t>
        </is>
      </c>
      <c r="H198" s="10">
        <f>IFERROR(INDEX(Weights!$D:$D,MATCH($A198,Weights!$A:$A,0)),"")</f>
        <v/>
      </c>
      <c r="I198" s="10">
        <f>IFERROR(INDEX('Data_NSA'!$A:$OK,MATCH(I$2,'Data_NSA'!$A:$A,0),MATCH($D198,'Data_NSA'!$1:$1,0)),"")</f>
        <v/>
      </c>
      <c r="J198" s="10">
        <f>IF($E198="","",IFERROR(INDEX('Data_SA'!$A:$LO,MATCH(I$2,'Data_SA'!$A:$A,0),MATCH($E198,'Data_SA'!$1:$1,0)),""))</f>
        <v/>
      </c>
      <c r="K198" s="7">
        <f>IF($E198="","",IFERROR(INDEX('Data_SA'!$A:$LO,MATCH(I$2,'Data_SA'!$A:$A,0),MATCH($E198,'Data_SA'!$1:$1,0))/INDEX('Data_SA'!$A:$LO,MATCH(EDATE(I$2,-1),'Data_SA'!$A:$A,0),MATCH($E198,'Data_SA'!$1:$1,0))-1,""))</f>
        <v/>
      </c>
      <c r="L198" s="7">
        <f>IFERROR(INDEX('Data_NSA'!$A:$OK,MATCH(I$2,'Data_NSA'!$A:$A,0),MATCH($D198,'Data_NSA'!$1:$1,0))/INDEX('Data_NSA'!$A:$OK,MATCH(EDATE(I$2,-12),'Data_NSA'!$A:$A,0),MATCH($D198,'Data_NSA'!$1:$1,0))-1,"")</f>
        <v/>
      </c>
      <c r="M198" s="10">
        <f>IFERROR(INDEX('Weights'!$G:$I,MATCH($A198,'Weights'!$A:$A,0),MATCH(I$2,'Weights'!$G$1:$I$1,0)),"")</f>
        <v/>
      </c>
      <c r="N198" s="10">
        <f>IF($E198="","",IFERROR(100*(INDEX('Weights'!$D:$D,MATCH($A198,'Weights'!$A:$A,0))*(INDEX('Data_NSA'!$A:$OK,MATCH(EDATE(I$2,-1),'Data_NSA'!$A:$A,0),MATCH($D198,'Data_NSA'!$1:$1,0))/INDEX('Data_NSA'!$A:$OK,MATCH(INDEX('Weights'!$E:$E,MATCH($A198,'Weights'!$A:$A,0)),'Data_NSA'!$A:$A,0),MATCH($D198,'Data_NSA'!$1:$1,0))))/(100*(INDEX('Data_NSA'!$A:$OK,MATCH(EDATE(I$2,-1),'Data_NSA'!$A:$A,0),MATCH("CUUR0000SA0",'Data_NSA'!$1:$1,0))/INDEX('Data_NSA'!$A:$OK,MATCH(INDEX('Weights'!$E:$E,MATCH($A198,'Weights'!$A:$A,0)),'Data_NSA'!$A:$A,0),MATCH("CUUR0000SA0",'Data_NSA'!$1:$1,0))))*(INDEX('Data_SA'!$A:$LO,MATCH(I$2,'Data_SA'!$A:$A,0),MATCH($E198,'Data_SA'!$1:$1,0))/INDEX('Data_SA'!$A:$LO,MATCH(EDATE(I$2,-1),'Data_SA'!$A:$A,0),MATCH($E198,'Data_SA'!$1:$1,0))-1),""))</f>
        <v/>
      </c>
      <c r="O198" s="10">
        <f>IFERROR(INDEX('Data_NSA'!$A:$OK,MATCH(O$2,'Data_NSA'!$A:$A,0),MATCH($D198,'Data_NSA'!$1:$1,0)),"")</f>
        <v/>
      </c>
      <c r="P198" s="10">
        <f>IF($E198="","",IFERROR(INDEX('Data_SA'!$A:$LO,MATCH(O$2,'Data_SA'!$A:$A,0),MATCH($E198,'Data_SA'!$1:$1,0)),""))</f>
        <v/>
      </c>
      <c r="Q198" s="7">
        <f>IF($E198="","",IFERROR(INDEX('Data_SA'!$A:$LO,MATCH(O$2,'Data_SA'!$A:$A,0),MATCH($E198,'Data_SA'!$1:$1,0))/INDEX('Data_SA'!$A:$LO,MATCH(EDATE(O$2,-1),'Data_SA'!$A:$A,0),MATCH($E198,'Data_SA'!$1:$1,0))-1,""))</f>
        <v/>
      </c>
      <c r="R198" s="7">
        <f>IFERROR(INDEX('Data_NSA'!$A:$OK,MATCH(O$2,'Data_NSA'!$A:$A,0),MATCH($D198,'Data_NSA'!$1:$1,0))/INDEX('Data_NSA'!$A:$OK,MATCH(EDATE(O$2,-12),'Data_NSA'!$A:$A,0),MATCH($D198,'Data_NSA'!$1:$1,0))-1,"")</f>
        <v/>
      </c>
      <c r="S198" s="10">
        <f>IFERROR(INDEX('Weights'!$G:$I,MATCH($A198,'Weights'!$A:$A,0),MATCH(O$2,'Weights'!$G$1:$I$1,0)),"")</f>
        <v/>
      </c>
      <c r="T198" s="10">
        <f>IF($E198="","",IFERROR(100*(INDEX('Weights'!$D:$D,MATCH($A198,'Weights'!$A:$A,0))*(INDEX('Data_NSA'!$A:$OK,MATCH(EDATE(O$2,-1),'Data_NSA'!$A:$A,0),MATCH($D198,'Data_NSA'!$1:$1,0))/INDEX('Data_NSA'!$A:$OK,MATCH(INDEX('Weights'!$E:$E,MATCH($A198,'Weights'!$A:$A,0)),'Data_NSA'!$A:$A,0),MATCH($D198,'Data_NSA'!$1:$1,0))))/(100*(INDEX('Data_NSA'!$A:$OK,MATCH(EDATE(O$2,-1),'Data_NSA'!$A:$A,0),MATCH("CUUR0000SA0",'Data_NSA'!$1:$1,0))/INDEX('Data_NSA'!$A:$OK,MATCH(INDEX('Weights'!$E:$E,MATCH($A198,'Weights'!$A:$A,0)),'Data_NSA'!$A:$A,0),MATCH("CUUR0000SA0",'Data_NSA'!$1:$1,0))))*(INDEX('Data_SA'!$A:$LO,MATCH(O$2,'Data_SA'!$A:$A,0),MATCH($E198,'Data_SA'!$1:$1,0))/INDEX('Data_SA'!$A:$LO,MATCH(EDATE(O$2,-1),'Data_SA'!$A:$A,0),MATCH($E198,'Data_SA'!$1:$1,0))-1),""))</f>
        <v/>
      </c>
      <c r="U198" s="10">
        <f>IFERROR(INDEX('Data_NSA'!$A:$OK,MATCH(U$2,'Data_NSA'!$A:$A,0),MATCH($D198,'Data_NSA'!$1:$1,0)),"")</f>
        <v/>
      </c>
      <c r="V198" s="10">
        <f>IF($E198="","",IFERROR(INDEX('Data_SA'!$A:$LO,MATCH(U$2,'Data_SA'!$A:$A,0),MATCH($E198,'Data_SA'!$1:$1,0)),""))</f>
        <v/>
      </c>
      <c r="W198" s="7">
        <f>IF($E198="","",IFERROR(INDEX('Data_SA'!$A:$LO,MATCH(U$2,'Data_SA'!$A:$A,0),MATCH($E198,'Data_SA'!$1:$1,0))/INDEX('Data_SA'!$A:$LO,MATCH(EDATE(U$2,-1),'Data_SA'!$A:$A,0),MATCH($E198,'Data_SA'!$1:$1,0))-1,""))</f>
        <v/>
      </c>
      <c r="X198" s="7">
        <f>IFERROR(INDEX('Data_NSA'!$A:$OK,MATCH(U$2,'Data_NSA'!$A:$A,0),MATCH($D198,'Data_NSA'!$1:$1,0))/INDEX('Data_NSA'!$A:$OK,MATCH(EDATE(U$2,-12),'Data_NSA'!$A:$A,0),MATCH($D198,'Data_NSA'!$1:$1,0))-1,"")</f>
        <v/>
      </c>
      <c r="Y198" s="10">
        <f>IFERROR(INDEX('Weights'!$G:$I,MATCH($A198,'Weights'!$A:$A,0),MATCH(U$2,'Weights'!$G$1:$I$1,0)),"")</f>
        <v/>
      </c>
      <c r="Z198" s="10">
        <f>IF($E198="","",IFERROR(100*(INDEX('Weights'!$D:$D,MATCH($A198,'Weights'!$A:$A,0))*(INDEX('Data_NSA'!$A:$OK,MATCH(EDATE(U$2,-1),'Data_NSA'!$A:$A,0),MATCH($D198,'Data_NSA'!$1:$1,0))/INDEX('Data_NSA'!$A:$OK,MATCH(INDEX('Weights'!$E:$E,MATCH($A198,'Weights'!$A:$A,0)),'Data_NSA'!$A:$A,0),MATCH($D198,'Data_NSA'!$1:$1,0))))/(100*(INDEX('Data_NSA'!$A:$OK,MATCH(EDATE(U$2,-1),'Data_NSA'!$A:$A,0),MATCH("CUUR0000SA0",'Data_NSA'!$1:$1,0))/INDEX('Data_NSA'!$A:$OK,MATCH(INDEX('Weights'!$E:$E,MATCH($A198,'Weights'!$A:$A,0)),'Data_NSA'!$A:$A,0),MATCH("CUUR0000SA0",'Data_NSA'!$1:$1,0))))*(INDEX('Data_SA'!$A:$LO,MATCH(U$2,'Data_SA'!$A:$A,0),MATCH($E198,'Data_SA'!$1:$1,0))/INDEX('Data_SA'!$A:$LO,MATCH(EDATE(U$2,-1),'Data_SA'!$A:$A,0),MATCH($E198,'Data_SA'!$1:$1,0))-1),""))</f>
        <v/>
      </c>
    </row>
    <row r="199">
      <c r="A199" s="3" t="inlineStr">
        <is>
          <t>SEAC</t>
        </is>
      </c>
      <c r="B199" s="3" t="inlineStr">
        <is>
          <t>Women's apparel</t>
        </is>
      </c>
      <c r="C199" s="3" t="inlineStr">
        <is>
          <t>SAA2</t>
        </is>
      </c>
      <c r="D199" s="3" t="inlineStr">
        <is>
          <t>CUUR0000SEAC</t>
        </is>
      </c>
      <c r="E199" s="3" t="inlineStr">
        <is>
          <t>CUSR0000SEAC</t>
        </is>
      </c>
      <c r="F199" s="3" t="inlineStr">
        <is>
          <t>aggregate</t>
        </is>
      </c>
      <c r="G199" s="3" t="inlineStr">
        <is>
          <t>aggregate</t>
        </is>
      </c>
      <c r="H199" s="10">
        <f>IFERROR(INDEX(Weights!$D:$D,MATCH($A199,Weights!$A:$A,0)),"")</f>
        <v/>
      </c>
      <c r="I199" s="10">
        <f>IFERROR(INDEX('Data_NSA'!$A:$OK,MATCH(I$2,'Data_NSA'!$A:$A,0),MATCH($D199,'Data_NSA'!$1:$1,0)),"")</f>
        <v/>
      </c>
      <c r="J199" s="10">
        <f>IF($E199="","",IFERROR(INDEX('Data_SA'!$A:$LO,MATCH(I$2,'Data_SA'!$A:$A,0),MATCH($E199,'Data_SA'!$1:$1,0)),""))</f>
        <v/>
      </c>
      <c r="K199" s="7">
        <f>IF($E199="","",IFERROR(INDEX('Data_SA'!$A:$LO,MATCH(I$2,'Data_SA'!$A:$A,0),MATCH($E199,'Data_SA'!$1:$1,0))/INDEX('Data_SA'!$A:$LO,MATCH(EDATE(I$2,-1),'Data_SA'!$A:$A,0),MATCH($E199,'Data_SA'!$1:$1,0))-1,""))</f>
        <v/>
      </c>
      <c r="L199" s="7">
        <f>IFERROR(INDEX('Data_NSA'!$A:$OK,MATCH(I$2,'Data_NSA'!$A:$A,0),MATCH($D199,'Data_NSA'!$1:$1,0))/INDEX('Data_NSA'!$A:$OK,MATCH(EDATE(I$2,-12),'Data_NSA'!$A:$A,0),MATCH($D199,'Data_NSA'!$1:$1,0))-1,"")</f>
        <v/>
      </c>
      <c r="M199" s="10">
        <f>IFERROR(INDEX('Weights'!$G:$I,MATCH($A199,'Weights'!$A:$A,0),MATCH(I$2,'Weights'!$G$1:$I$1,0)),"")</f>
        <v/>
      </c>
      <c r="N199" s="10">
        <f>IF($E199="","",IFERROR(100*(INDEX('Weights'!$D:$D,MATCH($A199,'Weights'!$A:$A,0))*(INDEX('Data_NSA'!$A:$OK,MATCH(EDATE(I$2,-1),'Data_NSA'!$A:$A,0),MATCH($D199,'Data_NSA'!$1:$1,0))/INDEX('Data_NSA'!$A:$OK,MATCH(INDEX('Weights'!$E:$E,MATCH($A199,'Weights'!$A:$A,0)),'Data_NSA'!$A:$A,0),MATCH($D199,'Data_NSA'!$1:$1,0))))/(100*(INDEX('Data_NSA'!$A:$OK,MATCH(EDATE(I$2,-1),'Data_NSA'!$A:$A,0),MATCH("CUUR0000SA0",'Data_NSA'!$1:$1,0))/INDEX('Data_NSA'!$A:$OK,MATCH(INDEX('Weights'!$E:$E,MATCH($A199,'Weights'!$A:$A,0)),'Data_NSA'!$A:$A,0),MATCH("CUUR0000SA0",'Data_NSA'!$1:$1,0))))*(INDEX('Data_SA'!$A:$LO,MATCH(I$2,'Data_SA'!$A:$A,0),MATCH($E199,'Data_SA'!$1:$1,0))/INDEX('Data_SA'!$A:$LO,MATCH(EDATE(I$2,-1),'Data_SA'!$A:$A,0),MATCH($E199,'Data_SA'!$1:$1,0))-1),""))</f>
        <v/>
      </c>
      <c r="O199" s="10">
        <f>IFERROR(INDEX('Data_NSA'!$A:$OK,MATCH(O$2,'Data_NSA'!$A:$A,0),MATCH($D199,'Data_NSA'!$1:$1,0)),"")</f>
        <v/>
      </c>
      <c r="P199" s="10">
        <f>IF($E199="","",IFERROR(INDEX('Data_SA'!$A:$LO,MATCH(O$2,'Data_SA'!$A:$A,0),MATCH($E199,'Data_SA'!$1:$1,0)),""))</f>
        <v/>
      </c>
      <c r="Q199" s="7">
        <f>IF($E199="","",IFERROR(INDEX('Data_SA'!$A:$LO,MATCH(O$2,'Data_SA'!$A:$A,0),MATCH($E199,'Data_SA'!$1:$1,0))/INDEX('Data_SA'!$A:$LO,MATCH(EDATE(O$2,-1),'Data_SA'!$A:$A,0),MATCH($E199,'Data_SA'!$1:$1,0))-1,""))</f>
        <v/>
      </c>
      <c r="R199" s="7">
        <f>IFERROR(INDEX('Data_NSA'!$A:$OK,MATCH(O$2,'Data_NSA'!$A:$A,0),MATCH($D199,'Data_NSA'!$1:$1,0))/INDEX('Data_NSA'!$A:$OK,MATCH(EDATE(O$2,-12),'Data_NSA'!$A:$A,0),MATCH($D199,'Data_NSA'!$1:$1,0))-1,"")</f>
        <v/>
      </c>
      <c r="S199" s="10">
        <f>IFERROR(INDEX('Weights'!$G:$I,MATCH($A199,'Weights'!$A:$A,0),MATCH(O$2,'Weights'!$G$1:$I$1,0)),"")</f>
        <v/>
      </c>
      <c r="T199" s="10">
        <f>IF($E199="","",IFERROR(100*(INDEX('Weights'!$D:$D,MATCH($A199,'Weights'!$A:$A,0))*(INDEX('Data_NSA'!$A:$OK,MATCH(EDATE(O$2,-1),'Data_NSA'!$A:$A,0),MATCH($D199,'Data_NSA'!$1:$1,0))/INDEX('Data_NSA'!$A:$OK,MATCH(INDEX('Weights'!$E:$E,MATCH($A199,'Weights'!$A:$A,0)),'Data_NSA'!$A:$A,0),MATCH($D199,'Data_NSA'!$1:$1,0))))/(100*(INDEX('Data_NSA'!$A:$OK,MATCH(EDATE(O$2,-1),'Data_NSA'!$A:$A,0),MATCH("CUUR0000SA0",'Data_NSA'!$1:$1,0))/INDEX('Data_NSA'!$A:$OK,MATCH(INDEX('Weights'!$E:$E,MATCH($A199,'Weights'!$A:$A,0)),'Data_NSA'!$A:$A,0),MATCH("CUUR0000SA0",'Data_NSA'!$1:$1,0))))*(INDEX('Data_SA'!$A:$LO,MATCH(O$2,'Data_SA'!$A:$A,0),MATCH($E199,'Data_SA'!$1:$1,0))/INDEX('Data_SA'!$A:$LO,MATCH(EDATE(O$2,-1),'Data_SA'!$A:$A,0),MATCH($E199,'Data_SA'!$1:$1,0))-1),""))</f>
        <v/>
      </c>
      <c r="U199" s="10">
        <f>IFERROR(INDEX('Data_NSA'!$A:$OK,MATCH(U$2,'Data_NSA'!$A:$A,0),MATCH($D199,'Data_NSA'!$1:$1,0)),"")</f>
        <v/>
      </c>
      <c r="V199" s="10">
        <f>IF($E199="","",IFERROR(INDEX('Data_SA'!$A:$LO,MATCH(U$2,'Data_SA'!$A:$A,0),MATCH($E199,'Data_SA'!$1:$1,0)),""))</f>
        <v/>
      </c>
      <c r="W199" s="7">
        <f>IF($E199="","",IFERROR(INDEX('Data_SA'!$A:$LO,MATCH(U$2,'Data_SA'!$A:$A,0),MATCH($E199,'Data_SA'!$1:$1,0))/INDEX('Data_SA'!$A:$LO,MATCH(EDATE(U$2,-1),'Data_SA'!$A:$A,0),MATCH($E199,'Data_SA'!$1:$1,0))-1,""))</f>
        <v/>
      </c>
      <c r="X199" s="7">
        <f>IFERROR(INDEX('Data_NSA'!$A:$OK,MATCH(U$2,'Data_NSA'!$A:$A,0),MATCH($D199,'Data_NSA'!$1:$1,0))/INDEX('Data_NSA'!$A:$OK,MATCH(EDATE(U$2,-12),'Data_NSA'!$A:$A,0),MATCH($D199,'Data_NSA'!$1:$1,0))-1,"")</f>
        <v/>
      </c>
      <c r="Y199" s="10">
        <f>IFERROR(INDEX('Weights'!$G:$I,MATCH($A199,'Weights'!$A:$A,0),MATCH(U$2,'Weights'!$G$1:$I$1,0)),"")</f>
        <v/>
      </c>
      <c r="Z199" s="10">
        <f>IF($E199="","",IFERROR(100*(INDEX('Weights'!$D:$D,MATCH($A199,'Weights'!$A:$A,0))*(INDEX('Data_NSA'!$A:$OK,MATCH(EDATE(U$2,-1),'Data_NSA'!$A:$A,0),MATCH($D199,'Data_NSA'!$1:$1,0))/INDEX('Data_NSA'!$A:$OK,MATCH(INDEX('Weights'!$E:$E,MATCH($A199,'Weights'!$A:$A,0)),'Data_NSA'!$A:$A,0),MATCH($D199,'Data_NSA'!$1:$1,0))))/(100*(INDEX('Data_NSA'!$A:$OK,MATCH(EDATE(U$2,-1),'Data_NSA'!$A:$A,0),MATCH("CUUR0000SA0",'Data_NSA'!$1:$1,0))/INDEX('Data_NSA'!$A:$OK,MATCH(INDEX('Weights'!$E:$E,MATCH($A199,'Weights'!$A:$A,0)),'Data_NSA'!$A:$A,0),MATCH("CUUR0000SA0",'Data_NSA'!$1:$1,0))))*(INDEX('Data_SA'!$A:$LO,MATCH(U$2,'Data_SA'!$A:$A,0),MATCH($E199,'Data_SA'!$1:$1,0))/INDEX('Data_SA'!$A:$LO,MATCH(EDATE(U$2,-1),'Data_SA'!$A:$A,0),MATCH($E199,'Data_SA'!$1:$1,0))-1),""))</f>
        <v/>
      </c>
    </row>
    <row r="200">
      <c r="A200" s="3" t="inlineStr">
        <is>
          <t>SEAC01</t>
        </is>
      </c>
      <c r="B200" s="3" t="inlineStr">
        <is>
          <t>Women's outerwear</t>
        </is>
      </c>
      <c r="C200" s="3" t="inlineStr">
        <is>
          <t>SEAC</t>
        </is>
      </c>
      <c r="D200" s="3" t="inlineStr">
        <is>
          <t>CUUR0000SEAC01</t>
        </is>
      </c>
      <c r="E200" s="3" t="inlineStr">
        <is>
          <t>CUSR0000SEAC01</t>
        </is>
      </c>
      <c r="F200" s="3" t="inlineStr">
        <is>
          <t>GM</t>
        </is>
      </c>
      <c r="G200" s="3" t="inlineStr">
        <is>
          <t>monthly in New York/Los Angeles/Chicago; often bimonthly elsewhere</t>
        </is>
      </c>
      <c r="H200" s="10">
        <f>IFERROR(INDEX(Weights!$D:$D,MATCH($A200,Weights!$A:$A,0)),"")</f>
        <v/>
      </c>
      <c r="I200" s="10">
        <f>IFERROR(INDEX('Data_NSA'!$A:$OK,MATCH(I$2,'Data_NSA'!$A:$A,0),MATCH($D200,'Data_NSA'!$1:$1,0)),"")</f>
        <v/>
      </c>
      <c r="J200" s="10">
        <f>IF($E200="","",IFERROR(INDEX('Data_SA'!$A:$LO,MATCH(I$2,'Data_SA'!$A:$A,0),MATCH($E200,'Data_SA'!$1:$1,0)),""))</f>
        <v/>
      </c>
      <c r="K200" s="7">
        <f>IF($E200="","",IFERROR(INDEX('Data_SA'!$A:$LO,MATCH(I$2,'Data_SA'!$A:$A,0),MATCH($E200,'Data_SA'!$1:$1,0))/INDEX('Data_SA'!$A:$LO,MATCH(EDATE(I$2,-1),'Data_SA'!$A:$A,0),MATCH($E200,'Data_SA'!$1:$1,0))-1,""))</f>
        <v/>
      </c>
      <c r="L200" s="7">
        <f>IFERROR(INDEX('Data_NSA'!$A:$OK,MATCH(I$2,'Data_NSA'!$A:$A,0),MATCH($D200,'Data_NSA'!$1:$1,0))/INDEX('Data_NSA'!$A:$OK,MATCH(EDATE(I$2,-12),'Data_NSA'!$A:$A,0),MATCH($D200,'Data_NSA'!$1:$1,0))-1,"")</f>
        <v/>
      </c>
      <c r="M200" s="10">
        <f>IFERROR(INDEX('Weights'!$G:$I,MATCH($A200,'Weights'!$A:$A,0),MATCH(I$2,'Weights'!$G$1:$I$1,0)),"")</f>
        <v/>
      </c>
      <c r="N200" s="10">
        <f>IF($E200="","",IFERROR(100*(INDEX('Weights'!$D:$D,MATCH($A200,'Weights'!$A:$A,0))*(INDEX('Data_NSA'!$A:$OK,MATCH(EDATE(I$2,-1),'Data_NSA'!$A:$A,0),MATCH($D200,'Data_NSA'!$1:$1,0))/INDEX('Data_NSA'!$A:$OK,MATCH(INDEX('Weights'!$E:$E,MATCH($A200,'Weights'!$A:$A,0)),'Data_NSA'!$A:$A,0),MATCH($D200,'Data_NSA'!$1:$1,0))))/(100*(INDEX('Data_NSA'!$A:$OK,MATCH(EDATE(I$2,-1),'Data_NSA'!$A:$A,0),MATCH("CUUR0000SA0",'Data_NSA'!$1:$1,0))/INDEX('Data_NSA'!$A:$OK,MATCH(INDEX('Weights'!$E:$E,MATCH($A200,'Weights'!$A:$A,0)),'Data_NSA'!$A:$A,0),MATCH("CUUR0000SA0",'Data_NSA'!$1:$1,0))))*(INDEX('Data_SA'!$A:$LO,MATCH(I$2,'Data_SA'!$A:$A,0),MATCH($E200,'Data_SA'!$1:$1,0))/INDEX('Data_SA'!$A:$LO,MATCH(EDATE(I$2,-1),'Data_SA'!$A:$A,0),MATCH($E200,'Data_SA'!$1:$1,0))-1),""))</f>
        <v/>
      </c>
      <c r="O200" s="10">
        <f>IFERROR(INDEX('Data_NSA'!$A:$OK,MATCH(O$2,'Data_NSA'!$A:$A,0),MATCH($D200,'Data_NSA'!$1:$1,0)),"")</f>
        <v/>
      </c>
      <c r="P200" s="10">
        <f>IF($E200="","",IFERROR(INDEX('Data_SA'!$A:$LO,MATCH(O$2,'Data_SA'!$A:$A,0),MATCH($E200,'Data_SA'!$1:$1,0)),""))</f>
        <v/>
      </c>
      <c r="Q200" s="7">
        <f>IF($E200="","",IFERROR(INDEX('Data_SA'!$A:$LO,MATCH(O$2,'Data_SA'!$A:$A,0),MATCH($E200,'Data_SA'!$1:$1,0))/INDEX('Data_SA'!$A:$LO,MATCH(EDATE(O$2,-1),'Data_SA'!$A:$A,0),MATCH($E200,'Data_SA'!$1:$1,0))-1,""))</f>
        <v/>
      </c>
      <c r="R200" s="7">
        <f>IFERROR(INDEX('Data_NSA'!$A:$OK,MATCH(O$2,'Data_NSA'!$A:$A,0),MATCH($D200,'Data_NSA'!$1:$1,0))/INDEX('Data_NSA'!$A:$OK,MATCH(EDATE(O$2,-12),'Data_NSA'!$A:$A,0),MATCH($D200,'Data_NSA'!$1:$1,0))-1,"")</f>
        <v/>
      </c>
      <c r="S200" s="10">
        <f>IFERROR(INDEX('Weights'!$G:$I,MATCH($A200,'Weights'!$A:$A,0),MATCH(O$2,'Weights'!$G$1:$I$1,0)),"")</f>
        <v/>
      </c>
      <c r="T200" s="10">
        <f>IF($E200="","",IFERROR(100*(INDEX('Weights'!$D:$D,MATCH($A200,'Weights'!$A:$A,0))*(INDEX('Data_NSA'!$A:$OK,MATCH(EDATE(O$2,-1),'Data_NSA'!$A:$A,0),MATCH($D200,'Data_NSA'!$1:$1,0))/INDEX('Data_NSA'!$A:$OK,MATCH(INDEX('Weights'!$E:$E,MATCH($A200,'Weights'!$A:$A,0)),'Data_NSA'!$A:$A,0),MATCH($D200,'Data_NSA'!$1:$1,0))))/(100*(INDEX('Data_NSA'!$A:$OK,MATCH(EDATE(O$2,-1),'Data_NSA'!$A:$A,0),MATCH("CUUR0000SA0",'Data_NSA'!$1:$1,0))/INDEX('Data_NSA'!$A:$OK,MATCH(INDEX('Weights'!$E:$E,MATCH($A200,'Weights'!$A:$A,0)),'Data_NSA'!$A:$A,0),MATCH("CUUR0000SA0",'Data_NSA'!$1:$1,0))))*(INDEX('Data_SA'!$A:$LO,MATCH(O$2,'Data_SA'!$A:$A,0),MATCH($E200,'Data_SA'!$1:$1,0))/INDEX('Data_SA'!$A:$LO,MATCH(EDATE(O$2,-1),'Data_SA'!$A:$A,0),MATCH($E200,'Data_SA'!$1:$1,0))-1),""))</f>
        <v/>
      </c>
      <c r="U200" s="10">
        <f>IFERROR(INDEX('Data_NSA'!$A:$OK,MATCH(U$2,'Data_NSA'!$A:$A,0),MATCH($D200,'Data_NSA'!$1:$1,0)),"")</f>
        <v/>
      </c>
      <c r="V200" s="10">
        <f>IF($E200="","",IFERROR(INDEX('Data_SA'!$A:$LO,MATCH(U$2,'Data_SA'!$A:$A,0),MATCH($E200,'Data_SA'!$1:$1,0)),""))</f>
        <v/>
      </c>
      <c r="W200" s="7">
        <f>IF($E200="","",IFERROR(INDEX('Data_SA'!$A:$LO,MATCH(U$2,'Data_SA'!$A:$A,0),MATCH($E200,'Data_SA'!$1:$1,0))/INDEX('Data_SA'!$A:$LO,MATCH(EDATE(U$2,-1),'Data_SA'!$A:$A,0),MATCH($E200,'Data_SA'!$1:$1,0))-1,""))</f>
        <v/>
      </c>
      <c r="X200" s="7">
        <f>IFERROR(INDEX('Data_NSA'!$A:$OK,MATCH(U$2,'Data_NSA'!$A:$A,0),MATCH($D200,'Data_NSA'!$1:$1,0))/INDEX('Data_NSA'!$A:$OK,MATCH(EDATE(U$2,-12),'Data_NSA'!$A:$A,0),MATCH($D200,'Data_NSA'!$1:$1,0))-1,"")</f>
        <v/>
      </c>
      <c r="Y200" s="10">
        <f>IFERROR(INDEX('Weights'!$G:$I,MATCH($A200,'Weights'!$A:$A,0),MATCH(U$2,'Weights'!$G$1:$I$1,0)),"")</f>
        <v/>
      </c>
      <c r="Z200" s="10">
        <f>IF($E200="","",IFERROR(100*(INDEX('Weights'!$D:$D,MATCH($A200,'Weights'!$A:$A,0))*(INDEX('Data_NSA'!$A:$OK,MATCH(EDATE(U$2,-1),'Data_NSA'!$A:$A,0),MATCH($D200,'Data_NSA'!$1:$1,0))/INDEX('Data_NSA'!$A:$OK,MATCH(INDEX('Weights'!$E:$E,MATCH($A200,'Weights'!$A:$A,0)),'Data_NSA'!$A:$A,0),MATCH($D200,'Data_NSA'!$1:$1,0))))/(100*(INDEX('Data_NSA'!$A:$OK,MATCH(EDATE(U$2,-1),'Data_NSA'!$A:$A,0),MATCH("CUUR0000SA0",'Data_NSA'!$1:$1,0))/INDEX('Data_NSA'!$A:$OK,MATCH(INDEX('Weights'!$E:$E,MATCH($A200,'Weights'!$A:$A,0)),'Data_NSA'!$A:$A,0),MATCH("CUUR0000SA0",'Data_NSA'!$1:$1,0))))*(INDEX('Data_SA'!$A:$LO,MATCH(U$2,'Data_SA'!$A:$A,0),MATCH($E200,'Data_SA'!$1:$1,0))/INDEX('Data_SA'!$A:$LO,MATCH(EDATE(U$2,-1),'Data_SA'!$A:$A,0),MATCH($E200,'Data_SA'!$1:$1,0))-1),""))</f>
        <v/>
      </c>
    </row>
    <row r="201">
      <c r="A201" s="3" t="inlineStr">
        <is>
          <t>SEAC02</t>
        </is>
      </c>
      <c r="B201" s="3" t="inlineStr">
        <is>
          <t>Women's dresses</t>
        </is>
      </c>
      <c r="C201" s="3" t="inlineStr">
        <is>
          <t>SEAC</t>
        </is>
      </c>
      <c r="D201" s="3" t="inlineStr">
        <is>
          <t>CUUR0000SEAC02</t>
        </is>
      </c>
      <c r="E201" s="3" t="inlineStr">
        <is>
          <t>CUSR0000SEAC02</t>
        </is>
      </c>
      <c r="F201" s="3" t="inlineStr">
        <is>
          <t>GM</t>
        </is>
      </c>
      <c r="G201" s="3" t="inlineStr">
        <is>
          <t>monthly in New York/Los Angeles/Chicago; often bimonthly elsewhere</t>
        </is>
      </c>
      <c r="H201" s="10">
        <f>IFERROR(INDEX(Weights!$D:$D,MATCH($A201,Weights!$A:$A,0)),"")</f>
        <v/>
      </c>
      <c r="I201" s="10">
        <f>IFERROR(INDEX('Data_NSA'!$A:$OK,MATCH(I$2,'Data_NSA'!$A:$A,0),MATCH($D201,'Data_NSA'!$1:$1,0)),"")</f>
        <v/>
      </c>
      <c r="J201" s="10">
        <f>IF($E201="","",IFERROR(INDEX('Data_SA'!$A:$LO,MATCH(I$2,'Data_SA'!$A:$A,0),MATCH($E201,'Data_SA'!$1:$1,0)),""))</f>
        <v/>
      </c>
      <c r="K201" s="7">
        <f>IF($E201="","",IFERROR(INDEX('Data_SA'!$A:$LO,MATCH(I$2,'Data_SA'!$A:$A,0),MATCH($E201,'Data_SA'!$1:$1,0))/INDEX('Data_SA'!$A:$LO,MATCH(EDATE(I$2,-1),'Data_SA'!$A:$A,0),MATCH($E201,'Data_SA'!$1:$1,0))-1,""))</f>
        <v/>
      </c>
      <c r="L201" s="7">
        <f>IFERROR(INDEX('Data_NSA'!$A:$OK,MATCH(I$2,'Data_NSA'!$A:$A,0),MATCH($D201,'Data_NSA'!$1:$1,0))/INDEX('Data_NSA'!$A:$OK,MATCH(EDATE(I$2,-12),'Data_NSA'!$A:$A,0),MATCH($D201,'Data_NSA'!$1:$1,0))-1,"")</f>
        <v/>
      </c>
      <c r="M201" s="10">
        <f>IFERROR(INDEX('Weights'!$G:$I,MATCH($A201,'Weights'!$A:$A,0),MATCH(I$2,'Weights'!$G$1:$I$1,0)),"")</f>
        <v/>
      </c>
      <c r="N201" s="10">
        <f>IF($E201="","",IFERROR(100*(INDEX('Weights'!$D:$D,MATCH($A201,'Weights'!$A:$A,0))*(INDEX('Data_NSA'!$A:$OK,MATCH(EDATE(I$2,-1),'Data_NSA'!$A:$A,0),MATCH($D201,'Data_NSA'!$1:$1,0))/INDEX('Data_NSA'!$A:$OK,MATCH(INDEX('Weights'!$E:$E,MATCH($A201,'Weights'!$A:$A,0)),'Data_NSA'!$A:$A,0),MATCH($D201,'Data_NSA'!$1:$1,0))))/(100*(INDEX('Data_NSA'!$A:$OK,MATCH(EDATE(I$2,-1),'Data_NSA'!$A:$A,0),MATCH("CUUR0000SA0",'Data_NSA'!$1:$1,0))/INDEX('Data_NSA'!$A:$OK,MATCH(INDEX('Weights'!$E:$E,MATCH($A201,'Weights'!$A:$A,0)),'Data_NSA'!$A:$A,0),MATCH("CUUR0000SA0",'Data_NSA'!$1:$1,0))))*(INDEX('Data_SA'!$A:$LO,MATCH(I$2,'Data_SA'!$A:$A,0),MATCH($E201,'Data_SA'!$1:$1,0))/INDEX('Data_SA'!$A:$LO,MATCH(EDATE(I$2,-1),'Data_SA'!$A:$A,0),MATCH($E201,'Data_SA'!$1:$1,0))-1),""))</f>
        <v/>
      </c>
      <c r="O201" s="10">
        <f>IFERROR(INDEX('Data_NSA'!$A:$OK,MATCH(O$2,'Data_NSA'!$A:$A,0),MATCH($D201,'Data_NSA'!$1:$1,0)),"")</f>
        <v/>
      </c>
      <c r="P201" s="10">
        <f>IF($E201="","",IFERROR(INDEX('Data_SA'!$A:$LO,MATCH(O$2,'Data_SA'!$A:$A,0),MATCH($E201,'Data_SA'!$1:$1,0)),""))</f>
        <v/>
      </c>
      <c r="Q201" s="7">
        <f>IF($E201="","",IFERROR(INDEX('Data_SA'!$A:$LO,MATCH(O$2,'Data_SA'!$A:$A,0),MATCH($E201,'Data_SA'!$1:$1,0))/INDEX('Data_SA'!$A:$LO,MATCH(EDATE(O$2,-1),'Data_SA'!$A:$A,0),MATCH($E201,'Data_SA'!$1:$1,0))-1,""))</f>
        <v/>
      </c>
      <c r="R201" s="7">
        <f>IFERROR(INDEX('Data_NSA'!$A:$OK,MATCH(O$2,'Data_NSA'!$A:$A,0),MATCH($D201,'Data_NSA'!$1:$1,0))/INDEX('Data_NSA'!$A:$OK,MATCH(EDATE(O$2,-12),'Data_NSA'!$A:$A,0),MATCH($D201,'Data_NSA'!$1:$1,0))-1,"")</f>
        <v/>
      </c>
      <c r="S201" s="10">
        <f>IFERROR(INDEX('Weights'!$G:$I,MATCH($A201,'Weights'!$A:$A,0),MATCH(O$2,'Weights'!$G$1:$I$1,0)),"")</f>
        <v/>
      </c>
      <c r="T201" s="10">
        <f>IF($E201="","",IFERROR(100*(INDEX('Weights'!$D:$D,MATCH($A201,'Weights'!$A:$A,0))*(INDEX('Data_NSA'!$A:$OK,MATCH(EDATE(O$2,-1),'Data_NSA'!$A:$A,0),MATCH($D201,'Data_NSA'!$1:$1,0))/INDEX('Data_NSA'!$A:$OK,MATCH(INDEX('Weights'!$E:$E,MATCH($A201,'Weights'!$A:$A,0)),'Data_NSA'!$A:$A,0),MATCH($D201,'Data_NSA'!$1:$1,0))))/(100*(INDEX('Data_NSA'!$A:$OK,MATCH(EDATE(O$2,-1),'Data_NSA'!$A:$A,0),MATCH("CUUR0000SA0",'Data_NSA'!$1:$1,0))/INDEX('Data_NSA'!$A:$OK,MATCH(INDEX('Weights'!$E:$E,MATCH($A201,'Weights'!$A:$A,0)),'Data_NSA'!$A:$A,0),MATCH("CUUR0000SA0",'Data_NSA'!$1:$1,0))))*(INDEX('Data_SA'!$A:$LO,MATCH(O$2,'Data_SA'!$A:$A,0),MATCH($E201,'Data_SA'!$1:$1,0))/INDEX('Data_SA'!$A:$LO,MATCH(EDATE(O$2,-1),'Data_SA'!$A:$A,0),MATCH($E201,'Data_SA'!$1:$1,0))-1),""))</f>
        <v/>
      </c>
      <c r="U201" s="10">
        <f>IFERROR(INDEX('Data_NSA'!$A:$OK,MATCH(U$2,'Data_NSA'!$A:$A,0),MATCH($D201,'Data_NSA'!$1:$1,0)),"")</f>
        <v/>
      </c>
      <c r="V201" s="10">
        <f>IF($E201="","",IFERROR(INDEX('Data_SA'!$A:$LO,MATCH(U$2,'Data_SA'!$A:$A,0),MATCH($E201,'Data_SA'!$1:$1,0)),""))</f>
        <v/>
      </c>
      <c r="W201" s="7">
        <f>IF($E201="","",IFERROR(INDEX('Data_SA'!$A:$LO,MATCH(U$2,'Data_SA'!$A:$A,0),MATCH($E201,'Data_SA'!$1:$1,0))/INDEX('Data_SA'!$A:$LO,MATCH(EDATE(U$2,-1),'Data_SA'!$A:$A,0),MATCH($E201,'Data_SA'!$1:$1,0))-1,""))</f>
        <v/>
      </c>
      <c r="X201" s="7">
        <f>IFERROR(INDEX('Data_NSA'!$A:$OK,MATCH(U$2,'Data_NSA'!$A:$A,0),MATCH($D201,'Data_NSA'!$1:$1,0))/INDEX('Data_NSA'!$A:$OK,MATCH(EDATE(U$2,-12),'Data_NSA'!$A:$A,0),MATCH($D201,'Data_NSA'!$1:$1,0))-1,"")</f>
        <v/>
      </c>
      <c r="Y201" s="10">
        <f>IFERROR(INDEX('Weights'!$G:$I,MATCH($A201,'Weights'!$A:$A,0),MATCH(U$2,'Weights'!$G$1:$I$1,0)),"")</f>
        <v/>
      </c>
      <c r="Z201" s="10">
        <f>IF($E201="","",IFERROR(100*(INDEX('Weights'!$D:$D,MATCH($A201,'Weights'!$A:$A,0))*(INDEX('Data_NSA'!$A:$OK,MATCH(EDATE(U$2,-1),'Data_NSA'!$A:$A,0),MATCH($D201,'Data_NSA'!$1:$1,0))/INDEX('Data_NSA'!$A:$OK,MATCH(INDEX('Weights'!$E:$E,MATCH($A201,'Weights'!$A:$A,0)),'Data_NSA'!$A:$A,0),MATCH($D201,'Data_NSA'!$1:$1,0))))/(100*(INDEX('Data_NSA'!$A:$OK,MATCH(EDATE(U$2,-1),'Data_NSA'!$A:$A,0),MATCH("CUUR0000SA0",'Data_NSA'!$1:$1,0))/INDEX('Data_NSA'!$A:$OK,MATCH(INDEX('Weights'!$E:$E,MATCH($A201,'Weights'!$A:$A,0)),'Data_NSA'!$A:$A,0),MATCH("CUUR0000SA0",'Data_NSA'!$1:$1,0))))*(INDEX('Data_SA'!$A:$LO,MATCH(U$2,'Data_SA'!$A:$A,0),MATCH($E201,'Data_SA'!$1:$1,0))/INDEX('Data_SA'!$A:$LO,MATCH(EDATE(U$2,-1),'Data_SA'!$A:$A,0),MATCH($E201,'Data_SA'!$1:$1,0))-1),""))</f>
        <v/>
      </c>
    </row>
    <row r="202">
      <c r="A202" s="3" t="inlineStr">
        <is>
          <t>SEAC03</t>
        </is>
      </c>
      <c r="B202" s="3" t="inlineStr">
        <is>
          <t>Women's suits and separates</t>
        </is>
      </c>
      <c r="C202" s="3" t="inlineStr">
        <is>
          <t>SEAC</t>
        </is>
      </c>
      <c r="D202" s="3" t="inlineStr">
        <is>
          <t>CUUR0000SEAC03</t>
        </is>
      </c>
      <c r="E202" s="3" t="inlineStr">
        <is>
          <t>CUSR0000SEAC03</t>
        </is>
      </c>
      <c r="F202" s="3" t="inlineStr">
        <is>
          <t>GM</t>
        </is>
      </c>
      <c r="G202" s="3" t="inlineStr">
        <is>
          <t>monthly in New York/Los Angeles/Chicago; often bimonthly elsewhere</t>
        </is>
      </c>
      <c r="H202" s="10">
        <f>IFERROR(INDEX(Weights!$D:$D,MATCH($A202,Weights!$A:$A,0)),"")</f>
        <v/>
      </c>
      <c r="I202" s="10">
        <f>IFERROR(INDEX('Data_NSA'!$A:$OK,MATCH(I$2,'Data_NSA'!$A:$A,0),MATCH($D202,'Data_NSA'!$1:$1,0)),"")</f>
        <v/>
      </c>
      <c r="J202" s="10">
        <f>IF($E202="","",IFERROR(INDEX('Data_SA'!$A:$LO,MATCH(I$2,'Data_SA'!$A:$A,0),MATCH($E202,'Data_SA'!$1:$1,0)),""))</f>
        <v/>
      </c>
      <c r="K202" s="7">
        <f>IF($E202="","",IFERROR(INDEX('Data_SA'!$A:$LO,MATCH(I$2,'Data_SA'!$A:$A,0),MATCH($E202,'Data_SA'!$1:$1,0))/INDEX('Data_SA'!$A:$LO,MATCH(EDATE(I$2,-1),'Data_SA'!$A:$A,0),MATCH($E202,'Data_SA'!$1:$1,0))-1,""))</f>
        <v/>
      </c>
      <c r="L202" s="7">
        <f>IFERROR(INDEX('Data_NSA'!$A:$OK,MATCH(I$2,'Data_NSA'!$A:$A,0),MATCH($D202,'Data_NSA'!$1:$1,0))/INDEX('Data_NSA'!$A:$OK,MATCH(EDATE(I$2,-12),'Data_NSA'!$A:$A,0),MATCH($D202,'Data_NSA'!$1:$1,0))-1,"")</f>
        <v/>
      </c>
      <c r="M202" s="10">
        <f>IFERROR(INDEX('Weights'!$G:$I,MATCH($A202,'Weights'!$A:$A,0),MATCH(I$2,'Weights'!$G$1:$I$1,0)),"")</f>
        <v/>
      </c>
      <c r="N202" s="10">
        <f>IF($E202="","",IFERROR(100*(INDEX('Weights'!$D:$D,MATCH($A202,'Weights'!$A:$A,0))*(INDEX('Data_NSA'!$A:$OK,MATCH(EDATE(I$2,-1),'Data_NSA'!$A:$A,0),MATCH($D202,'Data_NSA'!$1:$1,0))/INDEX('Data_NSA'!$A:$OK,MATCH(INDEX('Weights'!$E:$E,MATCH($A202,'Weights'!$A:$A,0)),'Data_NSA'!$A:$A,0),MATCH($D202,'Data_NSA'!$1:$1,0))))/(100*(INDEX('Data_NSA'!$A:$OK,MATCH(EDATE(I$2,-1),'Data_NSA'!$A:$A,0),MATCH("CUUR0000SA0",'Data_NSA'!$1:$1,0))/INDEX('Data_NSA'!$A:$OK,MATCH(INDEX('Weights'!$E:$E,MATCH($A202,'Weights'!$A:$A,0)),'Data_NSA'!$A:$A,0),MATCH("CUUR0000SA0",'Data_NSA'!$1:$1,0))))*(INDEX('Data_SA'!$A:$LO,MATCH(I$2,'Data_SA'!$A:$A,0),MATCH($E202,'Data_SA'!$1:$1,0))/INDEX('Data_SA'!$A:$LO,MATCH(EDATE(I$2,-1),'Data_SA'!$A:$A,0),MATCH($E202,'Data_SA'!$1:$1,0))-1),""))</f>
        <v/>
      </c>
      <c r="O202" s="10">
        <f>IFERROR(INDEX('Data_NSA'!$A:$OK,MATCH(O$2,'Data_NSA'!$A:$A,0),MATCH($D202,'Data_NSA'!$1:$1,0)),"")</f>
        <v/>
      </c>
      <c r="P202" s="10">
        <f>IF($E202="","",IFERROR(INDEX('Data_SA'!$A:$LO,MATCH(O$2,'Data_SA'!$A:$A,0),MATCH($E202,'Data_SA'!$1:$1,0)),""))</f>
        <v/>
      </c>
      <c r="Q202" s="7">
        <f>IF($E202="","",IFERROR(INDEX('Data_SA'!$A:$LO,MATCH(O$2,'Data_SA'!$A:$A,0),MATCH($E202,'Data_SA'!$1:$1,0))/INDEX('Data_SA'!$A:$LO,MATCH(EDATE(O$2,-1),'Data_SA'!$A:$A,0),MATCH($E202,'Data_SA'!$1:$1,0))-1,""))</f>
        <v/>
      </c>
      <c r="R202" s="7">
        <f>IFERROR(INDEX('Data_NSA'!$A:$OK,MATCH(O$2,'Data_NSA'!$A:$A,0),MATCH($D202,'Data_NSA'!$1:$1,0))/INDEX('Data_NSA'!$A:$OK,MATCH(EDATE(O$2,-12),'Data_NSA'!$A:$A,0),MATCH($D202,'Data_NSA'!$1:$1,0))-1,"")</f>
        <v/>
      </c>
      <c r="S202" s="10">
        <f>IFERROR(INDEX('Weights'!$G:$I,MATCH($A202,'Weights'!$A:$A,0),MATCH(O$2,'Weights'!$G$1:$I$1,0)),"")</f>
        <v/>
      </c>
      <c r="T202" s="10">
        <f>IF($E202="","",IFERROR(100*(INDEX('Weights'!$D:$D,MATCH($A202,'Weights'!$A:$A,0))*(INDEX('Data_NSA'!$A:$OK,MATCH(EDATE(O$2,-1),'Data_NSA'!$A:$A,0),MATCH($D202,'Data_NSA'!$1:$1,0))/INDEX('Data_NSA'!$A:$OK,MATCH(INDEX('Weights'!$E:$E,MATCH($A202,'Weights'!$A:$A,0)),'Data_NSA'!$A:$A,0),MATCH($D202,'Data_NSA'!$1:$1,0))))/(100*(INDEX('Data_NSA'!$A:$OK,MATCH(EDATE(O$2,-1),'Data_NSA'!$A:$A,0),MATCH("CUUR0000SA0",'Data_NSA'!$1:$1,0))/INDEX('Data_NSA'!$A:$OK,MATCH(INDEX('Weights'!$E:$E,MATCH($A202,'Weights'!$A:$A,0)),'Data_NSA'!$A:$A,0),MATCH("CUUR0000SA0",'Data_NSA'!$1:$1,0))))*(INDEX('Data_SA'!$A:$LO,MATCH(O$2,'Data_SA'!$A:$A,0),MATCH($E202,'Data_SA'!$1:$1,0))/INDEX('Data_SA'!$A:$LO,MATCH(EDATE(O$2,-1),'Data_SA'!$A:$A,0),MATCH($E202,'Data_SA'!$1:$1,0))-1),""))</f>
        <v/>
      </c>
      <c r="U202" s="10">
        <f>IFERROR(INDEX('Data_NSA'!$A:$OK,MATCH(U$2,'Data_NSA'!$A:$A,0),MATCH($D202,'Data_NSA'!$1:$1,0)),"")</f>
        <v/>
      </c>
      <c r="V202" s="10">
        <f>IF($E202="","",IFERROR(INDEX('Data_SA'!$A:$LO,MATCH(U$2,'Data_SA'!$A:$A,0),MATCH($E202,'Data_SA'!$1:$1,0)),""))</f>
        <v/>
      </c>
      <c r="W202" s="7">
        <f>IF($E202="","",IFERROR(INDEX('Data_SA'!$A:$LO,MATCH(U$2,'Data_SA'!$A:$A,0),MATCH($E202,'Data_SA'!$1:$1,0))/INDEX('Data_SA'!$A:$LO,MATCH(EDATE(U$2,-1),'Data_SA'!$A:$A,0),MATCH($E202,'Data_SA'!$1:$1,0))-1,""))</f>
        <v/>
      </c>
      <c r="X202" s="7">
        <f>IFERROR(INDEX('Data_NSA'!$A:$OK,MATCH(U$2,'Data_NSA'!$A:$A,0),MATCH($D202,'Data_NSA'!$1:$1,0))/INDEX('Data_NSA'!$A:$OK,MATCH(EDATE(U$2,-12),'Data_NSA'!$A:$A,0),MATCH($D202,'Data_NSA'!$1:$1,0))-1,"")</f>
        <v/>
      </c>
      <c r="Y202" s="10">
        <f>IFERROR(INDEX('Weights'!$G:$I,MATCH($A202,'Weights'!$A:$A,0),MATCH(U$2,'Weights'!$G$1:$I$1,0)),"")</f>
        <v/>
      </c>
      <c r="Z202" s="10">
        <f>IF($E202="","",IFERROR(100*(INDEX('Weights'!$D:$D,MATCH($A202,'Weights'!$A:$A,0))*(INDEX('Data_NSA'!$A:$OK,MATCH(EDATE(U$2,-1),'Data_NSA'!$A:$A,0),MATCH($D202,'Data_NSA'!$1:$1,0))/INDEX('Data_NSA'!$A:$OK,MATCH(INDEX('Weights'!$E:$E,MATCH($A202,'Weights'!$A:$A,0)),'Data_NSA'!$A:$A,0),MATCH($D202,'Data_NSA'!$1:$1,0))))/(100*(INDEX('Data_NSA'!$A:$OK,MATCH(EDATE(U$2,-1),'Data_NSA'!$A:$A,0),MATCH("CUUR0000SA0",'Data_NSA'!$1:$1,0))/INDEX('Data_NSA'!$A:$OK,MATCH(INDEX('Weights'!$E:$E,MATCH($A202,'Weights'!$A:$A,0)),'Data_NSA'!$A:$A,0),MATCH("CUUR0000SA0",'Data_NSA'!$1:$1,0))))*(INDEX('Data_SA'!$A:$LO,MATCH(U$2,'Data_SA'!$A:$A,0),MATCH($E202,'Data_SA'!$1:$1,0))/INDEX('Data_SA'!$A:$LO,MATCH(EDATE(U$2,-1),'Data_SA'!$A:$A,0),MATCH($E202,'Data_SA'!$1:$1,0))-1),""))</f>
        <v/>
      </c>
    </row>
    <row r="203">
      <c r="A203" s="3" t="inlineStr">
        <is>
          <t>SEAC04</t>
        </is>
      </c>
      <c r="B203" s="3" t="inlineStr">
        <is>
          <t>Women's underwear, nightwear, swimwear and accessories</t>
        </is>
      </c>
      <c r="C203" s="3" t="inlineStr">
        <is>
          <t>SEAC</t>
        </is>
      </c>
      <c r="D203" s="3" t="inlineStr">
        <is>
          <t>CUUR0000SEAC04</t>
        </is>
      </c>
      <c r="E203" s="3" t="inlineStr">
        <is>
          <t>CUSR0000SEAC04</t>
        </is>
      </c>
      <c r="F203" s="3" t="inlineStr">
        <is>
          <t>GM</t>
        </is>
      </c>
      <c r="G203" s="3" t="inlineStr">
        <is>
          <t>monthly in New York/Los Angeles/Chicago; often bimonthly elsewhere</t>
        </is>
      </c>
      <c r="H203" s="10">
        <f>IFERROR(INDEX(Weights!$D:$D,MATCH($A203,Weights!$A:$A,0)),"")</f>
        <v/>
      </c>
      <c r="I203" s="10">
        <f>IFERROR(INDEX('Data_NSA'!$A:$OK,MATCH(I$2,'Data_NSA'!$A:$A,0),MATCH($D203,'Data_NSA'!$1:$1,0)),"")</f>
        <v/>
      </c>
      <c r="J203" s="10">
        <f>IF($E203="","",IFERROR(INDEX('Data_SA'!$A:$LO,MATCH(I$2,'Data_SA'!$A:$A,0),MATCH($E203,'Data_SA'!$1:$1,0)),""))</f>
        <v/>
      </c>
      <c r="K203" s="7">
        <f>IF($E203="","",IFERROR(INDEX('Data_SA'!$A:$LO,MATCH(I$2,'Data_SA'!$A:$A,0),MATCH($E203,'Data_SA'!$1:$1,0))/INDEX('Data_SA'!$A:$LO,MATCH(EDATE(I$2,-1),'Data_SA'!$A:$A,0),MATCH($E203,'Data_SA'!$1:$1,0))-1,""))</f>
        <v/>
      </c>
      <c r="L203" s="7">
        <f>IFERROR(INDEX('Data_NSA'!$A:$OK,MATCH(I$2,'Data_NSA'!$A:$A,0),MATCH($D203,'Data_NSA'!$1:$1,0))/INDEX('Data_NSA'!$A:$OK,MATCH(EDATE(I$2,-12),'Data_NSA'!$A:$A,0),MATCH($D203,'Data_NSA'!$1:$1,0))-1,"")</f>
        <v/>
      </c>
      <c r="M203" s="10">
        <f>IFERROR(INDEX('Weights'!$G:$I,MATCH($A203,'Weights'!$A:$A,0),MATCH(I$2,'Weights'!$G$1:$I$1,0)),"")</f>
        <v/>
      </c>
      <c r="N203" s="10">
        <f>IF($E203="","",IFERROR(100*(INDEX('Weights'!$D:$D,MATCH($A203,'Weights'!$A:$A,0))*(INDEX('Data_NSA'!$A:$OK,MATCH(EDATE(I$2,-1),'Data_NSA'!$A:$A,0),MATCH($D203,'Data_NSA'!$1:$1,0))/INDEX('Data_NSA'!$A:$OK,MATCH(INDEX('Weights'!$E:$E,MATCH($A203,'Weights'!$A:$A,0)),'Data_NSA'!$A:$A,0),MATCH($D203,'Data_NSA'!$1:$1,0))))/(100*(INDEX('Data_NSA'!$A:$OK,MATCH(EDATE(I$2,-1),'Data_NSA'!$A:$A,0),MATCH("CUUR0000SA0",'Data_NSA'!$1:$1,0))/INDEX('Data_NSA'!$A:$OK,MATCH(INDEX('Weights'!$E:$E,MATCH($A203,'Weights'!$A:$A,0)),'Data_NSA'!$A:$A,0),MATCH("CUUR0000SA0",'Data_NSA'!$1:$1,0))))*(INDEX('Data_SA'!$A:$LO,MATCH(I$2,'Data_SA'!$A:$A,0),MATCH($E203,'Data_SA'!$1:$1,0))/INDEX('Data_SA'!$A:$LO,MATCH(EDATE(I$2,-1),'Data_SA'!$A:$A,0),MATCH($E203,'Data_SA'!$1:$1,0))-1),""))</f>
        <v/>
      </c>
      <c r="O203" s="10">
        <f>IFERROR(INDEX('Data_NSA'!$A:$OK,MATCH(O$2,'Data_NSA'!$A:$A,0),MATCH($D203,'Data_NSA'!$1:$1,0)),"")</f>
        <v/>
      </c>
      <c r="P203" s="10">
        <f>IF($E203="","",IFERROR(INDEX('Data_SA'!$A:$LO,MATCH(O$2,'Data_SA'!$A:$A,0),MATCH($E203,'Data_SA'!$1:$1,0)),""))</f>
        <v/>
      </c>
      <c r="Q203" s="7">
        <f>IF($E203="","",IFERROR(INDEX('Data_SA'!$A:$LO,MATCH(O$2,'Data_SA'!$A:$A,0),MATCH($E203,'Data_SA'!$1:$1,0))/INDEX('Data_SA'!$A:$LO,MATCH(EDATE(O$2,-1),'Data_SA'!$A:$A,0),MATCH($E203,'Data_SA'!$1:$1,0))-1,""))</f>
        <v/>
      </c>
      <c r="R203" s="7">
        <f>IFERROR(INDEX('Data_NSA'!$A:$OK,MATCH(O$2,'Data_NSA'!$A:$A,0),MATCH($D203,'Data_NSA'!$1:$1,0))/INDEX('Data_NSA'!$A:$OK,MATCH(EDATE(O$2,-12),'Data_NSA'!$A:$A,0),MATCH($D203,'Data_NSA'!$1:$1,0))-1,"")</f>
        <v/>
      </c>
      <c r="S203" s="10">
        <f>IFERROR(INDEX('Weights'!$G:$I,MATCH($A203,'Weights'!$A:$A,0),MATCH(O$2,'Weights'!$G$1:$I$1,0)),"")</f>
        <v/>
      </c>
      <c r="T203" s="10">
        <f>IF($E203="","",IFERROR(100*(INDEX('Weights'!$D:$D,MATCH($A203,'Weights'!$A:$A,0))*(INDEX('Data_NSA'!$A:$OK,MATCH(EDATE(O$2,-1),'Data_NSA'!$A:$A,0),MATCH($D203,'Data_NSA'!$1:$1,0))/INDEX('Data_NSA'!$A:$OK,MATCH(INDEX('Weights'!$E:$E,MATCH($A203,'Weights'!$A:$A,0)),'Data_NSA'!$A:$A,0),MATCH($D203,'Data_NSA'!$1:$1,0))))/(100*(INDEX('Data_NSA'!$A:$OK,MATCH(EDATE(O$2,-1),'Data_NSA'!$A:$A,0),MATCH("CUUR0000SA0",'Data_NSA'!$1:$1,0))/INDEX('Data_NSA'!$A:$OK,MATCH(INDEX('Weights'!$E:$E,MATCH($A203,'Weights'!$A:$A,0)),'Data_NSA'!$A:$A,0),MATCH("CUUR0000SA0",'Data_NSA'!$1:$1,0))))*(INDEX('Data_SA'!$A:$LO,MATCH(O$2,'Data_SA'!$A:$A,0),MATCH($E203,'Data_SA'!$1:$1,0))/INDEX('Data_SA'!$A:$LO,MATCH(EDATE(O$2,-1),'Data_SA'!$A:$A,0),MATCH($E203,'Data_SA'!$1:$1,0))-1),""))</f>
        <v/>
      </c>
      <c r="U203" s="10">
        <f>IFERROR(INDEX('Data_NSA'!$A:$OK,MATCH(U$2,'Data_NSA'!$A:$A,0),MATCH($D203,'Data_NSA'!$1:$1,0)),"")</f>
        <v/>
      </c>
      <c r="V203" s="10">
        <f>IF($E203="","",IFERROR(INDEX('Data_SA'!$A:$LO,MATCH(U$2,'Data_SA'!$A:$A,0),MATCH($E203,'Data_SA'!$1:$1,0)),""))</f>
        <v/>
      </c>
      <c r="W203" s="7">
        <f>IF($E203="","",IFERROR(INDEX('Data_SA'!$A:$LO,MATCH(U$2,'Data_SA'!$A:$A,0),MATCH($E203,'Data_SA'!$1:$1,0))/INDEX('Data_SA'!$A:$LO,MATCH(EDATE(U$2,-1),'Data_SA'!$A:$A,0),MATCH($E203,'Data_SA'!$1:$1,0))-1,""))</f>
        <v/>
      </c>
      <c r="X203" s="7">
        <f>IFERROR(INDEX('Data_NSA'!$A:$OK,MATCH(U$2,'Data_NSA'!$A:$A,0),MATCH($D203,'Data_NSA'!$1:$1,0))/INDEX('Data_NSA'!$A:$OK,MATCH(EDATE(U$2,-12),'Data_NSA'!$A:$A,0),MATCH($D203,'Data_NSA'!$1:$1,0))-1,"")</f>
        <v/>
      </c>
      <c r="Y203" s="10">
        <f>IFERROR(INDEX('Weights'!$G:$I,MATCH($A203,'Weights'!$A:$A,0),MATCH(U$2,'Weights'!$G$1:$I$1,0)),"")</f>
        <v/>
      </c>
      <c r="Z203" s="10">
        <f>IF($E203="","",IFERROR(100*(INDEX('Weights'!$D:$D,MATCH($A203,'Weights'!$A:$A,0))*(INDEX('Data_NSA'!$A:$OK,MATCH(EDATE(U$2,-1),'Data_NSA'!$A:$A,0),MATCH($D203,'Data_NSA'!$1:$1,0))/INDEX('Data_NSA'!$A:$OK,MATCH(INDEX('Weights'!$E:$E,MATCH($A203,'Weights'!$A:$A,0)),'Data_NSA'!$A:$A,0),MATCH($D203,'Data_NSA'!$1:$1,0))))/(100*(INDEX('Data_NSA'!$A:$OK,MATCH(EDATE(U$2,-1),'Data_NSA'!$A:$A,0),MATCH("CUUR0000SA0",'Data_NSA'!$1:$1,0))/INDEX('Data_NSA'!$A:$OK,MATCH(INDEX('Weights'!$E:$E,MATCH($A203,'Weights'!$A:$A,0)),'Data_NSA'!$A:$A,0),MATCH("CUUR0000SA0",'Data_NSA'!$1:$1,0))))*(INDEX('Data_SA'!$A:$LO,MATCH(U$2,'Data_SA'!$A:$A,0),MATCH($E203,'Data_SA'!$1:$1,0))/INDEX('Data_SA'!$A:$LO,MATCH(EDATE(U$2,-1),'Data_SA'!$A:$A,0),MATCH($E203,'Data_SA'!$1:$1,0))-1),""))</f>
        <v/>
      </c>
    </row>
    <row r="204">
      <c r="A204" s="3" t="inlineStr">
        <is>
          <t>SEAD</t>
        </is>
      </c>
      <c r="B204" s="3" t="inlineStr">
        <is>
          <t>Girls' apparel</t>
        </is>
      </c>
      <c r="C204" s="3" t="inlineStr">
        <is>
          <t>SAA2</t>
        </is>
      </c>
      <c r="D204" s="3" t="inlineStr">
        <is>
          <t>CUUR0000SEAD</t>
        </is>
      </c>
      <c r="E204" s="3" t="inlineStr">
        <is>
          <t>CUSR0000SEAD</t>
        </is>
      </c>
      <c r="F204" s="3" t="inlineStr">
        <is>
          <t>GM</t>
        </is>
      </c>
      <c r="G204" s="3" t="inlineStr">
        <is>
          <t>monthly in New York/Los Angeles/Chicago; often bimonthly elsewhere</t>
        </is>
      </c>
      <c r="H204" s="10">
        <f>IFERROR(INDEX(Weights!$D:$D,MATCH($A204,Weights!$A:$A,0)),"")</f>
        <v/>
      </c>
      <c r="I204" s="10">
        <f>IFERROR(INDEX('Data_NSA'!$A:$OK,MATCH(I$2,'Data_NSA'!$A:$A,0),MATCH($D204,'Data_NSA'!$1:$1,0)),"")</f>
        <v/>
      </c>
      <c r="J204" s="10">
        <f>IF($E204="","",IFERROR(INDEX('Data_SA'!$A:$LO,MATCH(I$2,'Data_SA'!$A:$A,0),MATCH($E204,'Data_SA'!$1:$1,0)),""))</f>
        <v/>
      </c>
      <c r="K204" s="7">
        <f>IF($E204="","",IFERROR(INDEX('Data_SA'!$A:$LO,MATCH(I$2,'Data_SA'!$A:$A,0),MATCH($E204,'Data_SA'!$1:$1,0))/INDEX('Data_SA'!$A:$LO,MATCH(EDATE(I$2,-1),'Data_SA'!$A:$A,0),MATCH($E204,'Data_SA'!$1:$1,0))-1,""))</f>
        <v/>
      </c>
      <c r="L204" s="7">
        <f>IFERROR(INDEX('Data_NSA'!$A:$OK,MATCH(I$2,'Data_NSA'!$A:$A,0),MATCH($D204,'Data_NSA'!$1:$1,0))/INDEX('Data_NSA'!$A:$OK,MATCH(EDATE(I$2,-12),'Data_NSA'!$A:$A,0),MATCH($D204,'Data_NSA'!$1:$1,0))-1,"")</f>
        <v/>
      </c>
      <c r="M204" s="10">
        <f>IFERROR(INDEX('Weights'!$G:$I,MATCH($A204,'Weights'!$A:$A,0),MATCH(I$2,'Weights'!$G$1:$I$1,0)),"")</f>
        <v/>
      </c>
      <c r="N204" s="10">
        <f>IF($E204="","",IFERROR(100*(INDEX('Weights'!$D:$D,MATCH($A204,'Weights'!$A:$A,0))*(INDEX('Data_NSA'!$A:$OK,MATCH(EDATE(I$2,-1),'Data_NSA'!$A:$A,0),MATCH($D204,'Data_NSA'!$1:$1,0))/INDEX('Data_NSA'!$A:$OK,MATCH(INDEX('Weights'!$E:$E,MATCH($A204,'Weights'!$A:$A,0)),'Data_NSA'!$A:$A,0),MATCH($D204,'Data_NSA'!$1:$1,0))))/(100*(INDEX('Data_NSA'!$A:$OK,MATCH(EDATE(I$2,-1),'Data_NSA'!$A:$A,0),MATCH("CUUR0000SA0",'Data_NSA'!$1:$1,0))/INDEX('Data_NSA'!$A:$OK,MATCH(INDEX('Weights'!$E:$E,MATCH($A204,'Weights'!$A:$A,0)),'Data_NSA'!$A:$A,0),MATCH("CUUR0000SA0",'Data_NSA'!$1:$1,0))))*(INDEX('Data_SA'!$A:$LO,MATCH(I$2,'Data_SA'!$A:$A,0),MATCH($E204,'Data_SA'!$1:$1,0))/INDEX('Data_SA'!$A:$LO,MATCH(EDATE(I$2,-1),'Data_SA'!$A:$A,0),MATCH($E204,'Data_SA'!$1:$1,0))-1),""))</f>
        <v/>
      </c>
      <c r="O204" s="10">
        <f>IFERROR(INDEX('Data_NSA'!$A:$OK,MATCH(O$2,'Data_NSA'!$A:$A,0),MATCH($D204,'Data_NSA'!$1:$1,0)),"")</f>
        <v/>
      </c>
      <c r="P204" s="10">
        <f>IF($E204="","",IFERROR(INDEX('Data_SA'!$A:$LO,MATCH(O$2,'Data_SA'!$A:$A,0),MATCH($E204,'Data_SA'!$1:$1,0)),""))</f>
        <v/>
      </c>
      <c r="Q204" s="7">
        <f>IF($E204="","",IFERROR(INDEX('Data_SA'!$A:$LO,MATCH(O$2,'Data_SA'!$A:$A,0),MATCH($E204,'Data_SA'!$1:$1,0))/INDEX('Data_SA'!$A:$LO,MATCH(EDATE(O$2,-1),'Data_SA'!$A:$A,0),MATCH($E204,'Data_SA'!$1:$1,0))-1,""))</f>
        <v/>
      </c>
      <c r="R204" s="7">
        <f>IFERROR(INDEX('Data_NSA'!$A:$OK,MATCH(O$2,'Data_NSA'!$A:$A,0),MATCH($D204,'Data_NSA'!$1:$1,0))/INDEX('Data_NSA'!$A:$OK,MATCH(EDATE(O$2,-12),'Data_NSA'!$A:$A,0),MATCH($D204,'Data_NSA'!$1:$1,0))-1,"")</f>
        <v/>
      </c>
      <c r="S204" s="10">
        <f>IFERROR(INDEX('Weights'!$G:$I,MATCH($A204,'Weights'!$A:$A,0),MATCH(O$2,'Weights'!$G$1:$I$1,0)),"")</f>
        <v/>
      </c>
      <c r="T204" s="10">
        <f>IF($E204="","",IFERROR(100*(INDEX('Weights'!$D:$D,MATCH($A204,'Weights'!$A:$A,0))*(INDEX('Data_NSA'!$A:$OK,MATCH(EDATE(O$2,-1),'Data_NSA'!$A:$A,0),MATCH($D204,'Data_NSA'!$1:$1,0))/INDEX('Data_NSA'!$A:$OK,MATCH(INDEX('Weights'!$E:$E,MATCH($A204,'Weights'!$A:$A,0)),'Data_NSA'!$A:$A,0),MATCH($D204,'Data_NSA'!$1:$1,0))))/(100*(INDEX('Data_NSA'!$A:$OK,MATCH(EDATE(O$2,-1),'Data_NSA'!$A:$A,0),MATCH("CUUR0000SA0",'Data_NSA'!$1:$1,0))/INDEX('Data_NSA'!$A:$OK,MATCH(INDEX('Weights'!$E:$E,MATCH($A204,'Weights'!$A:$A,0)),'Data_NSA'!$A:$A,0),MATCH("CUUR0000SA0",'Data_NSA'!$1:$1,0))))*(INDEX('Data_SA'!$A:$LO,MATCH(O$2,'Data_SA'!$A:$A,0),MATCH($E204,'Data_SA'!$1:$1,0))/INDEX('Data_SA'!$A:$LO,MATCH(EDATE(O$2,-1),'Data_SA'!$A:$A,0),MATCH($E204,'Data_SA'!$1:$1,0))-1),""))</f>
        <v/>
      </c>
      <c r="U204" s="10">
        <f>IFERROR(INDEX('Data_NSA'!$A:$OK,MATCH(U$2,'Data_NSA'!$A:$A,0),MATCH($D204,'Data_NSA'!$1:$1,0)),"")</f>
        <v/>
      </c>
      <c r="V204" s="10">
        <f>IF($E204="","",IFERROR(INDEX('Data_SA'!$A:$LO,MATCH(U$2,'Data_SA'!$A:$A,0),MATCH($E204,'Data_SA'!$1:$1,0)),""))</f>
        <v/>
      </c>
      <c r="W204" s="7">
        <f>IF($E204="","",IFERROR(INDEX('Data_SA'!$A:$LO,MATCH(U$2,'Data_SA'!$A:$A,0),MATCH($E204,'Data_SA'!$1:$1,0))/INDEX('Data_SA'!$A:$LO,MATCH(EDATE(U$2,-1),'Data_SA'!$A:$A,0),MATCH($E204,'Data_SA'!$1:$1,0))-1,""))</f>
        <v/>
      </c>
      <c r="X204" s="7">
        <f>IFERROR(INDEX('Data_NSA'!$A:$OK,MATCH(U$2,'Data_NSA'!$A:$A,0),MATCH($D204,'Data_NSA'!$1:$1,0))/INDEX('Data_NSA'!$A:$OK,MATCH(EDATE(U$2,-12),'Data_NSA'!$A:$A,0),MATCH($D204,'Data_NSA'!$1:$1,0))-1,"")</f>
        <v/>
      </c>
      <c r="Y204" s="10">
        <f>IFERROR(INDEX('Weights'!$G:$I,MATCH($A204,'Weights'!$A:$A,0),MATCH(U$2,'Weights'!$G$1:$I$1,0)),"")</f>
        <v/>
      </c>
      <c r="Z204" s="10">
        <f>IF($E204="","",IFERROR(100*(INDEX('Weights'!$D:$D,MATCH($A204,'Weights'!$A:$A,0))*(INDEX('Data_NSA'!$A:$OK,MATCH(EDATE(U$2,-1),'Data_NSA'!$A:$A,0),MATCH($D204,'Data_NSA'!$1:$1,0))/INDEX('Data_NSA'!$A:$OK,MATCH(INDEX('Weights'!$E:$E,MATCH($A204,'Weights'!$A:$A,0)),'Data_NSA'!$A:$A,0),MATCH($D204,'Data_NSA'!$1:$1,0))))/(100*(INDEX('Data_NSA'!$A:$OK,MATCH(EDATE(U$2,-1),'Data_NSA'!$A:$A,0),MATCH("CUUR0000SA0",'Data_NSA'!$1:$1,0))/INDEX('Data_NSA'!$A:$OK,MATCH(INDEX('Weights'!$E:$E,MATCH($A204,'Weights'!$A:$A,0)),'Data_NSA'!$A:$A,0),MATCH("CUUR0000SA0",'Data_NSA'!$1:$1,0))))*(INDEX('Data_SA'!$A:$LO,MATCH(U$2,'Data_SA'!$A:$A,0),MATCH($E204,'Data_SA'!$1:$1,0))/INDEX('Data_SA'!$A:$LO,MATCH(EDATE(U$2,-1),'Data_SA'!$A:$A,0),MATCH($E204,'Data_SA'!$1:$1,0))-1),""))</f>
        <v/>
      </c>
    </row>
    <row r="205">
      <c r="A205" s="3" t="inlineStr">
        <is>
          <t>SEAE</t>
        </is>
      </c>
      <c r="B205" s="3" t="inlineStr">
        <is>
          <t>Footwear</t>
        </is>
      </c>
      <c r="C205" s="3" t="inlineStr">
        <is>
          <t>SAA</t>
        </is>
      </c>
      <c r="D205" s="3" t="inlineStr">
        <is>
          <t>CUUR0000SEAE</t>
        </is>
      </c>
      <c r="E205" s="3" t="inlineStr">
        <is>
          <t>CUSR0000SEAE</t>
        </is>
      </c>
      <c r="F205" s="3" t="inlineStr">
        <is>
          <t>aggregate</t>
        </is>
      </c>
      <c r="G205" s="3" t="inlineStr">
        <is>
          <t>aggregate</t>
        </is>
      </c>
      <c r="H205" s="10">
        <f>IFERROR(INDEX(Weights!$D:$D,MATCH($A205,Weights!$A:$A,0)),"")</f>
        <v/>
      </c>
      <c r="I205" s="10">
        <f>IFERROR(INDEX('Data_NSA'!$A:$OK,MATCH(I$2,'Data_NSA'!$A:$A,0),MATCH($D205,'Data_NSA'!$1:$1,0)),"")</f>
        <v/>
      </c>
      <c r="J205" s="10">
        <f>IF($E205="","",IFERROR(INDEX('Data_SA'!$A:$LO,MATCH(I$2,'Data_SA'!$A:$A,0),MATCH($E205,'Data_SA'!$1:$1,0)),""))</f>
        <v/>
      </c>
      <c r="K205" s="7">
        <f>IF($E205="","",IFERROR(INDEX('Data_SA'!$A:$LO,MATCH(I$2,'Data_SA'!$A:$A,0),MATCH($E205,'Data_SA'!$1:$1,0))/INDEX('Data_SA'!$A:$LO,MATCH(EDATE(I$2,-1),'Data_SA'!$A:$A,0),MATCH($E205,'Data_SA'!$1:$1,0))-1,""))</f>
        <v/>
      </c>
      <c r="L205" s="7">
        <f>IFERROR(INDEX('Data_NSA'!$A:$OK,MATCH(I$2,'Data_NSA'!$A:$A,0),MATCH($D205,'Data_NSA'!$1:$1,0))/INDEX('Data_NSA'!$A:$OK,MATCH(EDATE(I$2,-12),'Data_NSA'!$A:$A,0),MATCH($D205,'Data_NSA'!$1:$1,0))-1,"")</f>
        <v/>
      </c>
      <c r="M205" s="10">
        <f>IFERROR(INDEX('Weights'!$G:$I,MATCH($A205,'Weights'!$A:$A,0),MATCH(I$2,'Weights'!$G$1:$I$1,0)),"")</f>
        <v/>
      </c>
      <c r="N205" s="10">
        <f>IF($E205="","",IFERROR(100*(INDEX('Weights'!$D:$D,MATCH($A205,'Weights'!$A:$A,0))*(INDEX('Data_NSA'!$A:$OK,MATCH(EDATE(I$2,-1),'Data_NSA'!$A:$A,0),MATCH($D205,'Data_NSA'!$1:$1,0))/INDEX('Data_NSA'!$A:$OK,MATCH(INDEX('Weights'!$E:$E,MATCH($A205,'Weights'!$A:$A,0)),'Data_NSA'!$A:$A,0),MATCH($D205,'Data_NSA'!$1:$1,0))))/(100*(INDEX('Data_NSA'!$A:$OK,MATCH(EDATE(I$2,-1),'Data_NSA'!$A:$A,0),MATCH("CUUR0000SA0",'Data_NSA'!$1:$1,0))/INDEX('Data_NSA'!$A:$OK,MATCH(INDEX('Weights'!$E:$E,MATCH($A205,'Weights'!$A:$A,0)),'Data_NSA'!$A:$A,0),MATCH("CUUR0000SA0",'Data_NSA'!$1:$1,0))))*(INDEX('Data_SA'!$A:$LO,MATCH(I$2,'Data_SA'!$A:$A,0),MATCH($E205,'Data_SA'!$1:$1,0))/INDEX('Data_SA'!$A:$LO,MATCH(EDATE(I$2,-1),'Data_SA'!$A:$A,0),MATCH($E205,'Data_SA'!$1:$1,0))-1),""))</f>
        <v/>
      </c>
      <c r="O205" s="10">
        <f>IFERROR(INDEX('Data_NSA'!$A:$OK,MATCH(O$2,'Data_NSA'!$A:$A,0),MATCH($D205,'Data_NSA'!$1:$1,0)),"")</f>
        <v/>
      </c>
      <c r="P205" s="10">
        <f>IF($E205="","",IFERROR(INDEX('Data_SA'!$A:$LO,MATCH(O$2,'Data_SA'!$A:$A,0),MATCH($E205,'Data_SA'!$1:$1,0)),""))</f>
        <v/>
      </c>
      <c r="Q205" s="7">
        <f>IF($E205="","",IFERROR(INDEX('Data_SA'!$A:$LO,MATCH(O$2,'Data_SA'!$A:$A,0),MATCH($E205,'Data_SA'!$1:$1,0))/INDEX('Data_SA'!$A:$LO,MATCH(EDATE(O$2,-1),'Data_SA'!$A:$A,0),MATCH($E205,'Data_SA'!$1:$1,0))-1,""))</f>
        <v/>
      </c>
      <c r="R205" s="7">
        <f>IFERROR(INDEX('Data_NSA'!$A:$OK,MATCH(O$2,'Data_NSA'!$A:$A,0),MATCH($D205,'Data_NSA'!$1:$1,0))/INDEX('Data_NSA'!$A:$OK,MATCH(EDATE(O$2,-12),'Data_NSA'!$A:$A,0),MATCH($D205,'Data_NSA'!$1:$1,0))-1,"")</f>
        <v/>
      </c>
      <c r="S205" s="10">
        <f>IFERROR(INDEX('Weights'!$G:$I,MATCH($A205,'Weights'!$A:$A,0),MATCH(O$2,'Weights'!$G$1:$I$1,0)),"")</f>
        <v/>
      </c>
      <c r="T205" s="10">
        <f>IF($E205="","",IFERROR(100*(INDEX('Weights'!$D:$D,MATCH($A205,'Weights'!$A:$A,0))*(INDEX('Data_NSA'!$A:$OK,MATCH(EDATE(O$2,-1),'Data_NSA'!$A:$A,0),MATCH($D205,'Data_NSA'!$1:$1,0))/INDEX('Data_NSA'!$A:$OK,MATCH(INDEX('Weights'!$E:$E,MATCH($A205,'Weights'!$A:$A,0)),'Data_NSA'!$A:$A,0),MATCH($D205,'Data_NSA'!$1:$1,0))))/(100*(INDEX('Data_NSA'!$A:$OK,MATCH(EDATE(O$2,-1),'Data_NSA'!$A:$A,0),MATCH("CUUR0000SA0",'Data_NSA'!$1:$1,0))/INDEX('Data_NSA'!$A:$OK,MATCH(INDEX('Weights'!$E:$E,MATCH($A205,'Weights'!$A:$A,0)),'Data_NSA'!$A:$A,0),MATCH("CUUR0000SA0",'Data_NSA'!$1:$1,0))))*(INDEX('Data_SA'!$A:$LO,MATCH(O$2,'Data_SA'!$A:$A,0),MATCH($E205,'Data_SA'!$1:$1,0))/INDEX('Data_SA'!$A:$LO,MATCH(EDATE(O$2,-1),'Data_SA'!$A:$A,0),MATCH($E205,'Data_SA'!$1:$1,0))-1),""))</f>
        <v/>
      </c>
      <c r="U205" s="10">
        <f>IFERROR(INDEX('Data_NSA'!$A:$OK,MATCH(U$2,'Data_NSA'!$A:$A,0),MATCH($D205,'Data_NSA'!$1:$1,0)),"")</f>
        <v/>
      </c>
      <c r="V205" s="10">
        <f>IF($E205="","",IFERROR(INDEX('Data_SA'!$A:$LO,MATCH(U$2,'Data_SA'!$A:$A,0),MATCH($E205,'Data_SA'!$1:$1,0)),""))</f>
        <v/>
      </c>
      <c r="W205" s="7">
        <f>IF($E205="","",IFERROR(INDEX('Data_SA'!$A:$LO,MATCH(U$2,'Data_SA'!$A:$A,0),MATCH($E205,'Data_SA'!$1:$1,0))/INDEX('Data_SA'!$A:$LO,MATCH(EDATE(U$2,-1),'Data_SA'!$A:$A,0),MATCH($E205,'Data_SA'!$1:$1,0))-1,""))</f>
        <v/>
      </c>
      <c r="X205" s="7">
        <f>IFERROR(INDEX('Data_NSA'!$A:$OK,MATCH(U$2,'Data_NSA'!$A:$A,0),MATCH($D205,'Data_NSA'!$1:$1,0))/INDEX('Data_NSA'!$A:$OK,MATCH(EDATE(U$2,-12),'Data_NSA'!$A:$A,0),MATCH($D205,'Data_NSA'!$1:$1,0))-1,"")</f>
        <v/>
      </c>
      <c r="Y205" s="10">
        <f>IFERROR(INDEX('Weights'!$G:$I,MATCH($A205,'Weights'!$A:$A,0),MATCH(U$2,'Weights'!$G$1:$I$1,0)),"")</f>
        <v/>
      </c>
      <c r="Z205" s="10">
        <f>IF($E205="","",IFERROR(100*(INDEX('Weights'!$D:$D,MATCH($A205,'Weights'!$A:$A,0))*(INDEX('Data_NSA'!$A:$OK,MATCH(EDATE(U$2,-1),'Data_NSA'!$A:$A,0),MATCH($D205,'Data_NSA'!$1:$1,0))/INDEX('Data_NSA'!$A:$OK,MATCH(INDEX('Weights'!$E:$E,MATCH($A205,'Weights'!$A:$A,0)),'Data_NSA'!$A:$A,0),MATCH($D205,'Data_NSA'!$1:$1,0))))/(100*(INDEX('Data_NSA'!$A:$OK,MATCH(EDATE(U$2,-1),'Data_NSA'!$A:$A,0),MATCH("CUUR0000SA0",'Data_NSA'!$1:$1,0))/INDEX('Data_NSA'!$A:$OK,MATCH(INDEX('Weights'!$E:$E,MATCH($A205,'Weights'!$A:$A,0)),'Data_NSA'!$A:$A,0),MATCH("CUUR0000SA0",'Data_NSA'!$1:$1,0))))*(INDEX('Data_SA'!$A:$LO,MATCH(U$2,'Data_SA'!$A:$A,0),MATCH($E205,'Data_SA'!$1:$1,0))/INDEX('Data_SA'!$A:$LO,MATCH(EDATE(U$2,-1),'Data_SA'!$A:$A,0),MATCH($E205,'Data_SA'!$1:$1,0))-1),""))</f>
        <v/>
      </c>
    </row>
    <row r="206">
      <c r="A206" s="3" t="inlineStr">
        <is>
          <t>SEAE01</t>
        </is>
      </c>
      <c r="B206" s="3" t="inlineStr">
        <is>
          <t>Men's footwear</t>
        </is>
      </c>
      <c r="C206" s="3" t="inlineStr">
        <is>
          <t>SEAE</t>
        </is>
      </c>
      <c r="D206" s="3" t="inlineStr">
        <is>
          <t>CUUR0000SEAE01</t>
        </is>
      </c>
      <c r="E206" s="3" t="inlineStr">
        <is>
          <t>CUSR0000SEAE01</t>
        </is>
      </c>
      <c r="F206" s="3" t="inlineStr">
        <is>
          <t>GM</t>
        </is>
      </c>
      <c r="G206" s="3" t="inlineStr">
        <is>
          <t>monthly in New York/Los Angeles/Chicago; often bimonthly elsewhere</t>
        </is>
      </c>
      <c r="H206" s="10">
        <f>IFERROR(INDEX(Weights!$D:$D,MATCH($A206,Weights!$A:$A,0)),"")</f>
        <v/>
      </c>
      <c r="I206" s="10">
        <f>IFERROR(INDEX('Data_NSA'!$A:$OK,MATCH(I$2,'Data_NSA'!$A:$A,0),MATCH($D206,'Data_NSA'!$1:$1,0)),"")</f>
        <v/>
      </c>
      <c r="J206" s="10">
        <f>IF($E206="","",IFERROR(INDEX('Data_SA'!$A:$LO,MATCH(I$2,'Data_SA'!$A:$A,0),MATCH($E206,'Data_SA'!$1:$1,0)),""))</f>
        <v/>
      </c>
      <c r="K206" s="7">
        <f>IF($E206="","",IFERROR(INDEX('Data_SA'!$A:$LO,MATCH(I$2,'Data_SA'!$A:$A,0),MATCH($E206,'Data_SA'!$1:$1,0))/INDEX('Data_SA'!$A:$LO,MATCH(EDATE(I$2,-1),'Data_SA'!$A:$A,0),MATCH($E206,'Data_SA'!$1:$1,0))-1,""))</f>
        <v/>
      </c>
      <c r="L206" s="7">
        <f>IFERROR(INDEX('Data_NSA'!$A:$OK,MATCH(I$2,'Data_NSA'!$A:$A,0),MATCH($D206,'Data_NSA'!$1:$1,0))/INDEX('Data_NSA'!$A:$OK,MATCH(EDATE(I$2,-12),'Data_NSA'!$A:$A,0),MATCH($D206,'Data_NSA'!$1:$1,0))-1,"")</f>
        <v/>
      </c>
      <c r="M206" s="10">
        <f>IFERROR(INDEX('Weights'!$G:$I,MATCH($A206,'Weights'!$A:$A,0),MATCH(I$2,'Weights'!$G$1:$I$1,0)),"")</f>
        <v/>
      </c>
      <c r="N206" s="10">
        <f>IF($E206="","",IFERROR(100*(INDEX('Weights'!$D:$D,MATCH($A206,'Weights'!$A:$A,0))*(INDEX('Data_NSA'!$A:$OK,MATCH(EDATE(I$2,-1),'Data_NSA'!$A:$A,0),MATCH($D206,'Data_NSA'!$1:$1,0))/INDEX('Data_NSA'!$A:$OK,MATCH(INDEX('Weights'!$E:$E,MATCH($A206,'Weights'!$A:$A,0)),'Data_NSA'!$A:$A,0),MATCH($D206,'Data_NSA'!$1:$1,0))))/(100*(INDEX('Data_NSA'!$A:$OK,MATCH(EDATE(I$2,-1),'Data_NSA'!$A:$A,0),MATCH("CUUR0000SA0",'Data_NSA'!$1:$1,0))/INDEX('Data_NSA'!$A:$OK,MATCH(INDEX('Weights'!$E:$E,MATCH($A206,'Weights'!$A:$A,0)),'Data_NSA'!$A:$A,0),MATCH("CUUR0000SA0",'Data_NSA'!$1:$1,0))))*(INDEX('Data_SA'!$A:$LO,MATCH(I$2,'Data_SA'!$A:$A,0),MATCH($E206,'Data_SA'!$1:$1,0))/INDEX('Data_SA'!$A:$LO,MATCH(EDATE(I$2,-1),'Data_SA'!$A:$A,0),MATCH($E206,'Data_SA'!$1:$1,0))-1),""))</f>
        <v/>
      </c>
      <c r="O206" s="10">
        <f>IFERROR(INDEX('Data_NSA'!$A:$OK,MATCH(O$2,'Data_NSA'!$A:$A,0),MATCH($D206,'Data_NSA'!$1:$1,0)),"")</f>
        <v/>
      </c>
      <c r="P206" s="10">
        <f>IF($E206="","",IFERROR(INDEX('Data_SA'!$A:$LO,MATCH(O$2,'Data_SA'!$A:$A,0),MATCH($E206,'Data_SA'!$1:$1,0)),""))</f>
        <v/>
      </c>
      <c r="Q206" s="7">
        <f>IF($E206="","",IFERROR(INDEX('Data_SA'!$A:$LO,MATCH(O$2,'Data_SA'!$A:$A,0),MATCH($E206,'Data_SA'!$1:$1,0))/INDEX('Data_SA'!$A:$LO,MATCH(EDATE(O$2,-1),'Data_SA'!$A:$A,0),MATCH($E206,'Data_SA'!$1:$1,0))-1,""))</f>
        <v/>
      </c>
      <c r="R206" s="7">
        <f>IFERROR(INDEX('Data_NSA'!$A:$OK,MATCH(O$2,'Data_NSA'!$A:$A,0),MATCH($D206,'Data_NSA'!$1:$1,0))/INDEX('Data_NSA'!$A:$OK,MATCH(EDATE(O$2,-12),'Data_NSA'!$A:$A,0),MATCH($D206,'Data_NSA'!$1:$1,0))-1,"")</f>
        <v/>
      </c>
      <c r="S206" s="10">
        <f>IFERROR(INDEX('Weights'!$G:$I,MATCH($A206,'Weights'!$A:$A,0),MATCH(O$2,'Weights'!$G$1:$I$1,0)),"")</f>
        <v/>
      </c>
      <c r="T206" s="10">
        <f>IF($E206="","",IFERROR(100*(INDEX('Weights'!$D:$D,MATCH($A206,'Weights'!$A:$A,0))*(INDEX('Data_NSA'!$A:$OK,MATCH(EDATE(O$2,-1),'Data_NSA'!$A:$A,0),MATCH($D206,'Data_NSA'!$1:$1,0))/INDEX('Data_NSA'!$A:$OK,MATCH(INDEX('Weights'!$E:$E,MATCH($A206,'Weights'!$A:$A,0)),'Data_NSA'!$A:$A,0),MATCH($D206,'Data_NSA'!$1:$1,0))))/(100*(INDEX('Data_NSA'!$A:$OK,MATCH(EDATE(O$2,-1),'Data_NSA'!$A:$A,0),MATCH("CUUR0000SA0",'Data_NSA'!$1:$1,0))/INDEX('Data_NSA'!$A:$OK,MATCH(INDEX('Weights'!$E:$E,MATCH($A206,'Weights'!$A:$A,0)),'Data_NSA'!$A:$A,0),MATCH("CUUR0000SA0",'Data_NSA'!$1:$1,0))))*(INDEX('Data_SA'!$A:$LO,MATCH(O$2,'Data_SA'!$A:$A,0),MATCH($E206,'Data_SA'!$1:$1,0))/INDEX('Data_SA'!$A:$LO,MATCH(EDATE(O$2,-1),'Data_SA'!$A:$A,0),MATCH($E206,'Data_SA'!$1:$1,0))-1),""))</f>
        <v/>
      </c>
      <c r="U206" s="10">
        <f>IFERROR(INDEX('Data_NSA'!$A:$OK,MATCH(U$2,'Data_NSA'!$A:$A,0),MATCH($D206,'Data_NSA'!$1:$1,0)),"")</f>
        <v/>
      </c>
      <c r="V206" s="10">
        <f>IF($E206="","",IFERROR(INDEX('Data_SA'!$A:$LO,MATCH(U$2,'Data_SA'!$A:$A,0),MATCH($E206,'Data_SA'!$1:$1,0)),""))</f>
        <v/>
      </c>
      <c r="W206" s="7">
        <f>IF($E206="","",IFERROR(INDEX('Data_SA'!$A:$LO,MATCH(U$2,'Data_SA'!$A:$A,0),MATCH($E206,'Data_SA'!$1:$1,0))/INDEX('Data_SA'!$A:$LO,MATCH(EDATE(U$2,-1),'Data_SA'!$A:$A,0),MATCH($E206,'Data_SA'!$1:$1,0))-1,""))</f>
        <v/>
      </c>
      <c r="X206" s="7">
        <f>IFERROR(INDEX('Data_NSA'!$A:$OK,MATCH(U$2,'Data_NSA'!$A:$A,0),MATCH($D206,'Data_NSA'!$1:$1,0))/INDEX('Data_NSA'!$A:$OK,MATCH(EDATE(U$2,-12),'Data_NSA'!$A:$A,0),MATCH($D206,'Data_NSA'!$1:$1,0))-1,"")</f>
        <v/>
      </c>
      <c r="Y206" s="10">
        <f>IFERROR(INDEX('Weights'!$G:$I,MATCH($A206,'Weights'!$A:$A,0),MATCH(U$2,'Weights'!$G$1:$I$1,0)),"")</f>
        <v/>
      </c>
      <c r="Z206" s="10">
        <f>IF($E206="","",IFERROR(100*(INDEX('Weights'!$D:$D,MATCH($A206,'Weights'!$A:$A,0))*(INDEX('Data_NSA'!$A:$OK,MATCH(EDATE(U$2,-1),'Data_NSA'!$A:$A,0),MATCH($D206,'Data_NSA'!$1:$1,0))/INDEX('Data_NSA'!$A:$OK,MATCH(INDEX('Weights'!$E:$E,MATCH($A206,'Weights'!$A:$A,0)),'Data_NSA'!$A:$A,0),MATCH($D206,'Data_NSA'!$1:$1,0))))/(100*(INDEX('Data_NSA'!$A:$OK,MATCH(EDATE(U$2,-1),'Data_NSA'!$A:$A,0),MATCH("CUUR0000SA0",'Data_NSA'!$1:$1,0))/INDEX('Data_NSA'!$A:$OK,MATCH(INDEX('Weights'!$E:$E,MATCH($A206,'Weights'!$A:$A,0)),'Data_NSA'!$A:$A,0),MATCH("CUUR0000SA0",'Data_NSA'!$1:$1,0))))*(INDEX('Data_SA'!$A:$LO,MATCH(U$2,'Data_SA'!$A:$A,0),MATCH($E206,'Data_SA'!$1:$1,0))/INDEX('Data_SA'!$A:$LO,MATCH(EDATE(U$2,-1),'Data_SA'!$A:$A,0),MATCH($E206,'Data_SA'!$1:$1,0))-1),""))</f>
        <v/>
      </c>
    </row>
    <row r="207">
      <c r="A207" s="3" t="inlineStr">
        <is>
          <t>SEAE02</t>
        </is>
      </c>
      <c r="B207" s="3" t="inlineStr">
        <is>
          <t>Boys' and girls' footwear</t>
        </is>
      </c>
      <c r="C207" s="3" t="inlineStr">
        <is>
          <t>SEAE</t>
        </is>
      </c>
      <c r="D207" s="3" t="inlineStr">
        <is>
          <t>CUUR0000SEAE02</t>
        </is>
      </c>
      <c r="E207" s="3" t="inlineStr">
        <is>
          <t>CUSR0000SEAE02</t>
        </is>
      </c>
      <c r="F207" s="3" t="inlineStr">
        <is>
          <t>GM</t>
        </is>
      </c>
      <c r="G207" s="3" t="inlineStr">
        <is>
          <t>monthly in New York/Los Angeles/Chicago; often bimonthly elsewhere</t>
        </is>
      </c>
      <c r="H207" s="10">
        <f>IFERROR(INDEX(Weights!$D:$D,MATCH($A207,Weights!$A:$A,0)),"")</f>
        <v/>
      </c>
      <c r="I207" s="10">
        <f>IFERROR(INDEX('Data_NSA'!$A:$OK,MATCH(I$2,'Data_NSA'!$A:$A,0),MATCH($D207,'Data_NSA'!$1:$1,0)),"")</f>
        <v/>
      </c>
      <c r="J207" s="10">
        <f>IF($E207="","",IFERROR(INDEX('Data_SA'!$A:$LO,MATCH(I$2,'Data_SA'!$A:$A,0),MATCH($E207,'Data_SA'!$1:$1,0)),""))</f>
        <v/>
      </c>
      <c r="K207" s="7">
        <f>IF($E207="","",IFERROR(INDEX('Data_SA'!$A:$LO,MATCH(I$2,'Data_SA'!$A:$A,0),MATCH($E207,'Data_SA'!$1:$1,0))/INDEX('Data_SA'!$A:$LO,MATCH(EDATE(I$2,-1),'Data_SA'!$A:$A,0),MATCH($E207,'Data_SA'!$1:$1,0))-1,""))</f>
        <v/>
      </c>
      <c r="L207" s="7">
        <f>IFERROR(INDEX('Data_NSA'!$A:$OK,MATCH(I$2,'Data_NSA'!$A:$A,0),MATCH($D207,'Data_NSA'!$1:$1,0))/INDEX('Data_NSA'!$A:$OK,MATCH(EDATE(I$2,-12),'Data_NSA'!$A:$A,0),MATCH($D207,'Data_NSA'!$1:$1,0))-1,"")</f>
        <v/>
      </c>
      <c r="M207" s="10">
        <f>IFERROR(INDEX('Weights'!$G:$I,MATCH($A207,'Weights'!$A:$A,0),MATCH(I$2,'Weights'!$G$1:$I$1,0)),"")</f>
        <v/>
      </c>
      <c r="N207" s="10">
        <f>IF($E207="","",IFERROR(100*(INDEX('Weights'!$D:$D,MATCH($A207,'Weights'!$A:$A,0))*(INDEX('Data_NSA'!$A:$OK,MATCH(EDATE(I$2,-1),'Data_NSA'!$A:$A,0),MATCH($D207,'Data_NSA'!$1:$1,0))/INDEX('Data_NSA'!$A:$OK,MATCH(INDEX('Weights'!$E:$E,MATCH($A207,'Weights'!$A:$A,0)),'Data_NSA'!$A:$A,0),MATCH($D207,'Data_NSA'!$1:$1,0))))/(100*(INDEX('Data_NSA'!$A:$OK,MATCH(EDATE(I$2,-1),'Data_NSA'!$A:$A,0),MATCH("CUUR0000SA0",'Data_NSA'!$1:$1,0))/INDEX('Data_NSA'!$A:$OK,MATCH(INDEX('Weights'!$E:$E,MATCH($A207,'Weights'!$A:$A,0)),'Data_NSA'!$A:$A,0),MATCH("CUUR0000SA0",'Data_NSA'!$1:$1,0))))*(INDEX('Data_SA'!$A:$LO,MATCH(I$2,'Data_SA'!$A:$A,0),MATCH($E207,'Data_SA'!$1:$1,0))/INDEX('Data_SA'!$A:$LO,MATCH(EDATE(I$2,-1),'Data_SA'!$A:$A,0),MATCH($E207,'Data_SA'!$1:$1,0))-1),""))</f>
        <v/>
      </c>
      <c r="O207" s="10">
        <f>IFERROR(INDEX('Data_NSA'!$A:$OK,MATCH(O$2,'Data_NSA'!$A:$A,0),MATCH($D207,'Data_NSA'!$1:$1,0)),"")</f>
        <v/>
      </c>
      <c r="P207" s="10">
        <f>IF($E207="","",IFERROR(INDEX('Data_SA'!$A:$LO,MATCH(O$2,'Data_SA'!$A:$A,0),MATCH($E207,'Data_SA'!$1:$1,0)),""))</f>
        <v/>
      </c>
      <c r="Q207" s="7">
        <f>IF($E207="","",IFERROR(INDEX('Data_SA'!$A:$LO,MATCH(O$2,'Data_SA'!$A:$A,0),MATCH($E207,'Data_SA'!$1:$1,0))/INDEX('Data_SA'!$A:$LO,MATCH(EDATE(O$2,-1),'Data_SA'!$A:$A,0),MATCH($E207,'Data_SA'!$1:$1,0))-1,""))</f>
        <v/>
      </c>
      <c r="R207" s="7">
        <f>IFERROR(INDEX('Data_NSA'!$A:$OK,MATCH(O$2,'Data_NSA'!$A:$A,0),MATCH($D207,'Data_NSA'!$1:$1,0))/INDEX('Data_NSA'!$A:$OK,MATCH(EDATE(O$2,-12),'Data_NSA'!$A:$A,0),MATCH($D207,'Data_NSA'!$1:$1,0))-1,"")</f>
        <v/>
      </c>
      <c r="S207" s="10">
        <f>IFERROR(INDEX('Weights'!$G:$I,MATCH($A207,'Weights'!$A:$A,0),MATCH(O$2,'Weights'!$G$1:$I$1,0)),"")</f>
        <v/>
      </c>
      <c r="T207" s="10">
        <f>IF($E207="","",IFERROR(100*(INDEX('Weights'!$D:$D,MATCH($A207,'Weights'!$A:$A,0))*(INDEX('Data_NSA'!$A:$OK,MATCH(EDATE(O$2,-1),'Data_NSA'!$A:$A,0),MATCH($D207,'Data_NSA'!$1:$1,0))/INDEX('Data_NSA'!$A:$OK,MATCH(INDEX('Weights'!$E:$E,MATCH($A207,'Weights'!$A:$A,0)),'Data_NSA'!$A:$A,0),MATCH($D207,'Data_NSA'!$1:$1,0))))/(100*(INDEX('Data_NSA'!$A:$OK,MATCH(EDATE(O$2,-1),'Data_NSA'!$A:$A,0),MATCH("CUUR0000SA0",'Data_NSA'!$1:$1,0))/INDEX('Data_NSA'!$A:$OK,MATCH(INDEX('Weights'!$E:$E,MATCH($A207,'Weights'!$A:$A,0)),'Data_NSA'!$A:$A,0),MATCH("CUUR0000SA0",'Data_NSA'!$1:$1,0))))*(INDEX('Data_SA'!$A:$LO,MATCH(O$2,'Data_SA'!$A:$A,0),MATCH($E207,'Data_SA'!$1:$1,0))/INDEX('Data_SA'!$A:$LO,MATCH(EDATE(O$2,-1),'Data_SA'!$A:$A,0),MATCH($E207,'Data_SA'!$1:$1,0))-1),""))</f>
        <v/>
      </c>
      <c r="U207" s="10">
        <f>IFERROR(INDEX('Data_NSA'!$A:$OK,MATCH(U$2,'Data_NSA'!$A:$A,0),MATCH($D207,'Data_NSA'!$1:$1,0)),"")</f>
        <v/>
      </c>
      <c r="V207" s="10">
        <f>IF($E207="","",IFERROR(INDEX('Data_SA'!$A:$LO,MATCH(U$2,'Data_SA'!$A:$A,0),MATCH($E207,'Data_SA'!$1:$1,0)),""))</f>
        <v/>
      </c>
      <c r="W207" s="7">
        <f>IF($E207="","",IFERROR(INDEX('Data_SA'!$A:$LO,MATCH(U$2,'Data_SA'!$A:$A,0),MATCH($E207,'Data_SA'!$1:$1,0))/INDEX('Data_SA'!$A:$LO,MATCH(EDATE(U$2,-1),'Data_SA'!$A:$A,0),MATCH($E207,'Data_SA'!$1:$1,0))-1,""))</f>
        <v/>
      </c>
      <c r="X207" s="7">
        <f>IFERROR(INDEX('Data_NSA'!$A:$OK,MATCH(U$2,'Data_NSA'!$A:$A,0),MATCH($D207,'Data_NSA'!$1:$1,0))/INDEX('Data_NSA'!$A:$OK,MATCH(EDATE(U$2,-12),'Data_NSA'!$A:$A,0),MATCH($D207,'Data_NSA'!$1:$1,0))-1,"")</f>
        <v/>
      </c>
      <c r="Y207" s="10">
        <f>IFERROR(INDEX('Weights'!$G:$I,MATCH($A207,'Weights'!$A:$A,0),MATCH(U$2,'Weights'!$G$1:$I$1,0)),"")</f>
        <v/>
      </c>
      <c r="Z207" s="10">
        <f>IF($E207="","",IFERROR(100*(INDEX('Weights'!$D:$D,MATCH($A207,'Weights'!$A:$A,0))*(INDEX('Data_NSA'!$A:$OK,MATCH(EDATE(U$2,-1),'Data_NSA'!$A:$A,0),MATCH($D207,'Data_NSA'!$1:$1,0))/INDEX('Data_NSA'!$A:$OK,MATCH(INDEX('Weights'!$E:$E,MATCH($A207,'Weights'!$A:$A,0)),'Data_NSA'!$A:$A,0),MATCH($D207,'Data_NSA'!$1:$1,0))))/(100*(INDEX('Data_NSA'!$A:$OK,MATCH(EDATE(U$2,-1),'Data_NSA'!$A:$A,0),MATCH("CUUR0000SA0",'Data_NSA'!$1:$1,0))/INDEX('Data_NSA'!$A:$OK,MATCH(INDEX('Weights'!$E:$E,MATCH($A207,'Weights'!$A:$A,0)),'Data_NSA'!$A:$A,0),MATCH("CUUR0000SA0",'Data_NSA'!$1:$1,0))))*(INDEX('Data_SA'!$A:$LO,MATCH(U$2,'Data_SA'!$A:$A,0),MATCH($E207,'Data_SA'!$1:$1,0))/INDEX('Data_SA'!$A:$LO,MATCH(EDATE(U$2,-1),'Data_SA'!$A:$A,0),MATCH($E207,'Data_SA'!$1:$1,0))-1),""))</f>
        <v/>
      </c>
    </row>
    <row r="208">
      <c r="A208" s="3" t="inlineStr">
        <is>
          <t>SEAE03</t>
        </is>
      </c>
      <c r="B208" s="3" t="inlineStr">
        <is>
          <t>Women's footwear</t>
        </is>
      </c>
      <c r="C208" s="3" t="inlineStr">
        <is>
          <t>SEAE</t>
        </is>
      </c>
      <c r="D208" s="3" t="inlineStr">
        <is>
          <t>CUUR0000SEAE03</t>
        </is>
      </c>
      <c r="E208" s="3" t="inlineStr">
        <is>
          <t>CUSR0000SEAE03</t>
        </is>
      </c>
      <c r="F208" s="3" t="inlineStr">
        <is>
          <t>GM</t>
        </is>
      </c>
      <c r="G208" s="3" t="inlineStr">
        <is>
          <t>monthly in New York/Los Angeles/Chicago; often bimonthly elsewhere</t>
        </is>
      </c>
      <c r="H208" s="10">
        <f>IFERROR(INDEX(Weights!$D:$D,MATCH($A208,Weights!$A:$A,0)),"")</f>
        <v/>
      </c>
      <c r="I208" s="10">
        <f>IFERROR(INDEX('Data_NSA'!$A:$OK,MATCH(I$2,'Data_NSA'!$A:$A,0),MATCH($D208,'Data_NSA'!$1:$1,0)),"")</f>
        <v/>
      </c>
      <c r="J208" s="10">
        <f>IF($E208="","",IFERROR(INDEX('Data_SA'!$A:$LO,MATCH(I$2,'Data_SA'!$A:$A,0),MATCH($E208,'Data_SA'!$1:$1,0)),""))</f>
        <v/>
      </c>
      <c r="K208" s="7">
        <f>IF($E208="","",IFERROR(INDEX('Data_SA'!$A:$LO,MATCH(I$2,'Data_SA'!$A:$A,0),MATCH($E208,'Data_SA'!$1:$1,0))/INDEX('Data_SA'!$A:$LO,MATCH(EDATE(I$2,-1),'Data_SA'!$A:$A,0),MATCH($E208,'Data_SA'!$1:$1,0))-1,""))</f>
        <v/>
      </c>
      <c r="L208" s="7">
        <f>IFERROR(INDEX('Data_NSA'!$A:$OK,MATCH(I$2,'Data_NSA'!$A:$A,0),MATCH($D208,'Data_NSA'!$1:$1,0))/INDEX('Data_NSA'!$A:$OK,MATCH(EDATE(I$2,-12),'Data_NSA'!$A:$A,0),MATCH($D208,'Data_NSA'!$1:$1,0))-1,"")</f>
        <v/>
      </c>
      <c r="M208" s="10">
        <f>IFERROR(INDEX('Weights'!$G:$I,MATCH($A208,'Weights'!$A:$A,0),MATCH(I$2,'Weights'!$G$1:$I$1,0)),"")</f>
        <v/>
      </c>
      <c r="N208" s="10">
        <f>IF($E208="","",IFERROR(100*(INDEX('Weights'!$D:$D,MATCH($A208,'Weights'!$A:$A,0))*(INDEX('Data_NSA'!$A:$OK,MATCH(EDATE(I$2,-1),'Data_NSA'!$A:$A,0),MATCH($D208,'Data_NSA'!$1:$1,0))/INDEX('Data_NSA'!$A:$OK,MATCH(INDEX('Weights'!$E:$E,MATCH($A208,'Weights'!$A:$A,0)),'Data_NSA'!$A:$A,0),MATCH($D208,'Data_NSA'!$1:$1,0))))/(100*(INDEX('Data_NSA'!$A:$OK,MATCH(EDATE(I$2,-1),'Data_NSA'!$A:$A,0),MATCH("CUUR0000SA0",'Data_NSA'!$1:$1,0))/INDEX('Data_NSA'!$A:$OK,MATCH(INDEX('Weights'!$E:$E,MATCH($A208,'Weights'!$A:$A,0)),'Data_NSA'!$A:$A,0),MATCH("CUUR0000SA0",'Data_NSA'!$1:$1,0))))*(INDEX('Data_SA'!$A:$LO,MATCH(I$2,'Data_SA'!$A:$A,0),MATCH($E208,'Data_SA'!$1:$1,0))/INDEX('Data_SA'!$A:$LO,MATCH(EDATE(I$2,-1),'Data_SA'!$A:$A,0),MATCH($E208,'Data_SA'!$1:$1,0))-1),""))</f>
        <v/>
      </c>
      <c r="O208" s="10">
        <f>IFERROR(INDEX('Data_NSA'!$A:$OK,MATCH(O$2,'Data_NSA'!$A:$A,0),MATCH($D208,'Data_NSA'!$1:$1,0)),"")</f>
        <v/>
      </c>
      <c r="P208" s="10">
        <f>IF($E208="","",IFERROR(INDEX('Data_SA'!$A:$LO,MATCH(O$2,'Data_SA'!$A:$A,0),MATCH($E208,'Data_SA'!$1:$1,0)),""))</f>
        <v/>
      </c>
      <c r="Q208" s="7">
        <f>IF($E208="","",IFERROR(INDEX('Data_SA'!$A:$LO,MATCH(O$2,'Data_SA'!$A:$A,0),MATCH($E208,'Data_SA'!$1:$1,0))/INDEX('Data_SA'!$A:$LO,MATCH(EDATE(O$2,-1),'Data_SA'!$A:$A,0),MATCH($E208,'Data_SA'!$1:$1,0))-1,""))</f>
        <v/>
      </c>
      <c r="R208" s="7">
        <f>IFERROR(INDEX('Data_NSA'!$A:$OK,MATCH(O$2,'Data_NSA'!$A:$A,0),MATCH($D208,'Data_NSA'!$1:$1,0))/INDEX('Data_NSA'!$A:$OK,MATCH(EDATE(O$2,-12),'Data_NSA'!$A:$A,0),MATCH($D208,'Data_NSA'!$1:$1,0))-1,"")</f>
        <v/>
      </c>
      <c r="S208" s="10">
        <f>IFERROR(INDEX('Weights'!$G:$I,MATCH($A208,'Weights'!$A:$A,0),MATCH(O$2,'Weights'!$G$1:$I$1,0)),"")</f>
        <v/>
      </c>
      <c r="T208" s="10">
        <f>IF($E208="","",IFERROR(100*(INDEX('Weights'!$D:$D,MATCH($A208,'Weights'!$A:$A,0))*(INDEX('Data_NSA'!$A:$OK,MATCH(EDATE(O$2,-1),'Data_NSA'!$A:$A,0),MATCH($D208,'Data_NSA'!$1:$1,0))/INDEX('Data_NSA'!$A:$OK,MATCH(INDEX('Weights'!$E:$E,MATCH($A208,'Weights'!$A:$A,0)),'Data_NSA'!$A:$A,0),MATCH($D208,'Data_NSA'!$1:$1,0))))/(100*(INDEX('Data_NSA'!$A:$OK,MATCH(EDATE(O$2,-1),'Data_NSA'!$A:$A,0),MATCH("CUUR0000SA0",'Data_NSA'!$1:$1,0))/INDEX('Data_NSA'!$A:$OK,MATCH(INDEX('Weights'!$E:$E,MATCH($A208,'Weights'!$A:$A,0)),'Data_NSA'!$A:$A,0),MATCH("CUUR0000SA0",'Data_NSA'!$1:$1,0))))*(INDEX('Data_SA'!$A:$LO,MATCH(O$2,'Data_SA'!$A:$A,0),MATCH($E208,'Data_SA'!$1:$1,0))/INDEX('Data_SA'!$A:$LO,MATCH(EDATE(O$2,-1),'Data_SA'!$A:$A,0),MATCH($E208,'Data_SA'!$1:$1,0))-1),""))</f>
        <v/>
      </c>
      <c r="U208" s="10">
        <f>IFERROR(INDEX('Data_NSA'!$A:$OK,MATCH(U$2,'Data_NSA'!$A:$A,0),MATCH($D208,'Data_NSA'!$1:$1,0)),"")</f>
        <v/>
      </c>
      <c r="V208" s="10">
        <f>IF($E208="","",IFERROR(INDEX('Data_SA'!$A:$LO,MATCH(U$2,'Data_SA'!$A:$A,0),MATCH($E208,'Data_SA'!$1:$1,0)),""))</f>
        <v/>
      </c>
      <c r="W208" s="7">
        <f>IF($E208="","",IFERROR(INDEX('Data_SA'!$A:$LO,MATCH(U$2,'Data_SA'!$A:$A,0),MATCH($E208,'Data_SA'!$1:$1,0))/INDEX('Data_SA'!$A:$LO,MATCH(EDATE(U$2,-1),'Data_SA'!$A:$A,0),MATCH($E208,'Data_SA'!$1:$1,0))-1,""))</f>
        <v/>
      </c>
      <c r="X208" s="7">
        <f>IFERROR(INDEX('Data_NSA'!$A:$OK,MATCH(U$2,'Data_NSA'!$A:$A,0),MATCH($D208,'Data_NSA'!$1:$1,0))/INDEX('Data_NSA'!$A:$OK,MATCH(EDATE(U$2,-12),'Data_NSA'!$A:$A,0),MATCH($D208,'Data_NSA'!$1:$1,0))-1,"")</f>
        <v/>
      </c>
      <c r="Y208" s="10">
        <f>IFERROR(INDEX('Weights'!$G:$I,MATCH($A208,'Weights'!$A:$A,0),MATCH(U$2,'Weights'!$G$1:$I$1,0)),"")</f>
        <v/>
      </c>
      <c r="Z208" s="10">
        <f>IF($E208="","",IFERROR(100*(INDEX('Weights'!$D:$D,MATCH($A208,'Weights'!$A:$A,0))*(INDEX('Data_NSA'!$A:$OK,MATCH(EDATE(U$2,-1),'Data_NSA'!$A:$A,0),MATCH($D208,'Data_NSA'!$1:$1,0))/INDEX('Data_NSA'!$A:$OK,MATCH(INDEX('Weights'!$E:$E,MATCH($A208,'Weights'!$A:$A,0)),'Data_NSA'!$A:$A,0),MATCH($D208,'Data_NSA'!$1:$1,0))))/(100*(INDEX('Data_NSA'!$A:$OK,MATCH(EDATE(U$2,-1),'Data_NSA'!$A:$A,0),MATCH("CUUR0000SA0",'Data_NSA'!$1:$1,0))/INDEX('Data_NSA'!$A:$OK,MATCH(INDEX('Weights'!$E:$E,MATCH($A208,'Weights'!$A:$A,0)),'Data_NSA'!$A:$A,0),MATCH("CUUR0000SA0",'Data_NSA'!$1:$1,0))))*(INDEX('Data_SA'!$A:$LO,MATCH(U$2,'Data_SA'!$A:$A,0),MATCH($E208,'Data_SA'!$1:$1,0))/INDEX('Data_SA'!$A:$LO,MATCH(EDATE(U$2,-1),'Data_SA'!$A:$A,0),MATCH($E208,'Data_SA'!$1:$1,0))-1),""))</f>
        <v/>
      </c>
    </row>
    <row r="209">
      <c r="A209" s="3" t="inlineStr">
        <is>
          <t>SEAF</t>
        </is>
      </c>
      <c r="B209" s="3" t="inlineStr">
        <is>
          <t>Infants' and toddlers' apparel</t>
        </is>
      </c>
      <c r="C209" s="3" t="inlineStr">
        <is>
          <t>SAA</t>
        </is>
      </c>
      <c r="D209" s="3" t="inlineStr">
        <is>
          <t>CUUR0000SEAF</t>
        </is>
      </c>
      <c r="E209" s="3" t="inlineStr">
        <is>
          <t>CUSR0000SEAF</t>
        </is>
      </c>
      <c r="F209" s="3" t="inlineStr">
        <is>
          <t>GM</t>
        </is>
      </c>
      <c r="G209" s="3" t="inlineStr">
        <is>
          <t>monthly in New York/Los Angeles/Chicago; often bimonthly elsewhere</t>
        </is>
      </c>
      <c r="H209" s="10">
        <f>IFERROR(INDEX(Weights!$D:$D,MATCH($A209,Weights!$A:$A,0)),"")</f>
        <v/>
      </c>
      <c r="I209" s="10">
        <f>IFERROR(INDEX('Data_NSA'!$A:$OK,MATCH(I$2,'Data_NSA'!$A:$A,0),MATCH($D209,'Data_NSA'!$1:$1,0)),"")</f>
        <v/>
      </c>
      <c r="J209" s="10">
        <f>IF($E209="","",IFERROR(INDEX('Data_SA'!$A:$LO,MATCH(I$2,'Data_SA'!$A:$A,0),MATCH($E209,'Data_SA'!$1:$1,0)),""))</f>
        <v/>
      </c>
      <c r="K209" s="7">
        <f>IF($E209="","",IFERROR(INDEX('Data_SA'!$A:$LO,MATCH(I$2,'Data_SA'!$A:$A,0),MATCH($E209,'Data_SA'!$1:$1,0))/INDEX('Data_SA'!$A:$LO,MATCH(EDATE(I$2,-1),'Data_SA'!$A:$A,0),MATCH($E209,'Data_SA'!$1:$1,0))-1,""))</f>
        <v/>
      </c>
      <c r="L209" s="7">
        <f>IFERROR(INDEX('Data_NSA'!$A:$OK,MATCH(I$2,'Data_NSA'!$A:$A,0),MATCH($D209,'Data_NSA'!$1:$1,0))/INDEX('Data_NSA'!$A:$OK,MATCH(EDATE(I$2,-12),'Data_NSA'!$A:$A,0),MATCH($D209,'Data_NSA'!$1:$1,0))-1,"")</f>
        <v/>
      </c>
      <c r="M209" s="10">
        <f>IFERROR(INDEX('Weights'!$G:$I,MATCH($A209,'Weights'!$A:$A,0),MATCH(I$2,'Weights'!$G$1:$I$1,0)),"")</f>
        <v/>
      </c>
      <c r="N209" s="10">
        <f>IF($E209="","",IFERROR(100*(INDEX('Weights'!$D:$D,MATCH($A209,'Weights'!$A:$A,0))*(INDEX('Data_NSA'!$A:$OK,MATCH(EDATE(I$2,-1),'Data_NSA'!$A:$A,0),MATCH($D209,'Data_NSA'!$1:$1,0))/INDEX('Data_NSA'!$A:$OK,MATCH(INDEX('Weights'!$E:$E,MATCH($A209,'Weights'!$A:$A,0)),'Data_NSA'!$A:$A,0),MATCH($D209,'Data_NSA'!$1:$1,0))))/(100*(INDEX('Data_NSA'!$A:$OK,MATCH(EDATE(I$2,-1),'Data_NSA'!$A:$A,0),MATCH("CUUR0000SA0",'Data_NSA'!$1:$1,0))/INDEX('Data_NSA'!$A:$OK,MATCH(INDEX('Weights'!$E:$E,MATCH($A209,'Weights'!$A:$A,0)),'Data_NSA'!$A:$A,0),MATCH("CUUR0000SA0",'Data_NSA'!$1:$1,0))))*(INDEX('Data_SA'!$A:$LO,MATCH(I$2,'Data_SA'!$A:$A,0),MATCH($E209,'Data_SA'!$1:$1,0))/INDEX('Data_SA'!$A:$LO,MATCH(EDATE(I$2,-1),'Data_SA'!$A:$A,0),MATCH($E209,'Data_SA'!$1:$1,0))-1),""))</f>
        <v/>
      </c>
      <c r="O209" s="10">
        <f>IFERROR(INDEX('Data_NSA'!$A:$OK,MATCH(O$2,'Data_NSA'!$A:$A,0),MATCH($D209,'Data_NSA'!$1:$1,0)),"")</f>
        <v/>
      </c>
      <c r="P209" s="10">
        <f>IF($E209="","",IFERROR(INDEX('Data_SA'!$A:$LO,MATCH(O$2,'Data_SA'!$A:$A,0),MATCH($E209,'Data_SA'!$1:$1,0)),""))</f>
        <v/>
      </c>
      <c r="Q209" s="7">
        <f>IF($E209="","",IFERROR(INDEX('Data_SA'!$A:$LO,MATCH(O$2,'Data_SA'!$A:$A,0),MATCH($E209,'Data_SA'!$1:$1,0))/INDEX('Data_SA'!$A:$LO,MATCH(EDATE(O$2,-1),'Data_SA'!$A:$A,0),MATCH($E209,'Data_SA'!$1:$1,0))-1,""))</f>
        <v/>
      </c>
      <c r="R209" s="7">
        <f>IFERROR(INDEX('Data_NSA'!$A:$OK,MATCH(O$2,'Data_NSA'!$A:$A,0),MATCH($D209,'Data_NSA'!$1:$1,0))/INDEX('Data_NSA'!$A:$OK,MATCH(EDATE(O$2,-12),'Data_NSA'!$A:$A,0),MATCH($D209,'Data_NSA'!$1:$1,0))-1,"")</f>
        <v/>
      </c>
      <c r="S209" s="10">
        <f>IFERROR(INDEX('Weights'!$G:$I,MATCH($A209,'Weights'!$A:$A,0),MATCH(O$2,'Weights'!$G$1:$I$1,0)),"")</f>
        <v/>
      </c>
      <c r="T209" s="10">
        <f>IF($E209="","",IFERROR(100*(INDEX('Weights'!$D:$D,MATCH($A209,'Weights'!$A:$A,0))*(INDEX('Data_NSA'!$A:$OK,MATCH(EDATE(O$2,-1),'Data_NSA'!$A:$A,0),MATCH($D209,'Data_NSA'!$1:$1,0))/INDEX('Data_NSA'!$A:$OK,MATCH(INDEX('Weights'!$E:$E,MATCH($A209,'Weights'!$A:$A,0)),'Data_NSA'!$A:$A,0),MATCH($D209,'Data_NSA'!$1:$1,0))))/(100*(INDEX('Data_NSA'!$A:$OK,MATCH(EDATE(O$2,-1),'Data_NSA'!$A:$A,0),MATCH("CUUR0000SA0",'Data_NSA'!$1:$1,0))/INDEX('Data_NSA'!$A:$OK,MATCH(INDEX('Weights'!$E:$E,MATCH($A209,'Weights'!$A:$A,0)),'Data_NSA'!$A:$A,0),MATCH("CUUR0000SA0",'Data_NSA'!$1:$1,0))))*(INDEX('Data_SA'!$A:$LO,MATCH(O$2,'Data_SA'!$A:$A,0),MATCH($E209,'Data_SA'!$1:$1,0))/INDEX('Data_SA'!$A:$LO,MATCH(EDATE(O$2,-1),'Data_SA'!$A:$A,0),MATCH($E209,'Data_SA'!$1:$1,0))-1),""))</f>
        <v/>
      </c>
      <c r="U209" s="10">
        <f>IFERROR(INDEX('Data_NSA'!$A:$OK,MATCH(U$2,'Data_NSA'!$A:$A,0),MATCH($D209,'Data_NSA'!$1:$1,0)),"")</f>
        <v/>
      </c>
      <c r="V209" s="10">
        <f>IF($E209="","",IFERROR(INDEX('Data_SA'!$A:$LO,MATCH(U$2,'Data_SA'!$A:$A,0),MATCH($E209,'Data_SA'!$1:$1,0)),""))</f>
        <v/>
      </c>
      <c r="W209" s="7">
        <f>IF($E209="","",IFERROR(INDEX('Data_SA'!$A:$LO,MATCH(U$2,'Data_SA'!$A:$A,0),MATCH($E209,'Data_SA'!$1:$1,0))/INDEX('Data_SA'!$A:$LO,MATCH(EDATE(U$2,-1),'Data_SA'!$A:$A,0),MATCH($E209,'Data_SA'!$1:$1,0))-1,""))</f>
        <v/>
      </c>
      <c r="X209" s="7">
        <f>IFERROR(INDEX('Data_NSA'!$A:$OK,MATCH(U$2,'Data_NSA'!$A:$A,0),MATCH($D209,'Data_NSA'!$1:$1,0))/INDEX('Data_NSA'!$A:$OK,MATCH(EDATE(U$2,-12),'Data_NSA'!$A:$A,0),MATCH($D209,'Data_NSA'!$1:$1,0))-1,"")</f>
        <v/>
      </c>
      <c r="Y209" s="10">
        <f>IFERROR(INDEX('Weights'!$G:$I,MATCH($A209,'Weights'!$A:$A,0),MATCH(U$2,'Weights'!$G$1:$I$1,0)),"")</f>
        <v/>
      </c>
      <c r="Z209" s="10">
        <f>IF($E209="","",IFERROR(100*(INDEX('Weights'!$D:$D,MATCH($A209,'Weights'!$A:$A,0))*(INDEX('Data_NSA'!$A:$OK,MATCH(EDATE(U$2,-1),'Data_NSA'!$A:$A,0),MATCH($D209,'Data_NSA'!$1:$1,0))/INDEX('Data_NSA'!$A:$OK,MATCH(INDEX('Weights'!$E:$E,MATCH($A209,'Weights'!$A:$A,0)),'Data_NSA'!$A:$A,0),MATCH($D209,'Data_NSA'!$1:$1,0))))/(100*(INDEX('Data_NSA'!$A:$OK,MATCH(EDATE(U$2,-1),'Data_NSA'!$A:$A,0),MATCH("CUUR0000SA0",'Data_NSA'!$1:$1,0))/INDEX('Data_NSA'!$A:$OK,MATCH(INDEX('Weights'!$E:$E,MATCH($A209,'Weights'!$A:$A,0)),'Data_NSA'!$A:$A,0),MATCH("CUUR0000SA0",'Data_NSA'!$1:$1,0))))*(INDEX('Data_SA'!$A:$LO,MATCH(U$2,'Data_SA'!$A:$A,0),MATCH($E209,'Data_SA'!$1:$1,0))/INDEX('Data_SA'!$A:$LO,MATCH(EDATE(U$2,-1),'Data_SA'!$A:$A,0),MATCH($E209,'Data_SA'!$1:$1,0))-1),""))</f>
        <v/>
      </c>
    </row>
    <row r="210">
      <c r="A210" s="3" t="inlineStr">
        <is>
          <t>SEAG</t>
        </is>
      </c>
      <c r="B210" s="3" t="inlineStr">
        <is>
          <t>Jewelry and watches</t>
        </is>
      </c>
      <c r="C210" s="3" t="inlineStr">
        <is>
          <t>SAA</t>
        </is>
      </c>
      <c r="D210" s="3" t="inlineStr">
        <is>
          <t>CUUR0000SEAG</t>
        </is>
      </c>
      <c r="E210" s="3" t="inlineStr">
        <is>
          <t>CUSR0000SEAG</t>
        </is>
      </c>
      <c r="F210" s="3" t="inlineStr">
        <is>
          <t>aggregate</t>
        </is>
      </c>
      <c r="G210" s="3" t="inlineStr">
        <is>
          <t>aggregate</t>
        </is>
      </c>
      <c r="H210" s="10">
        <f>IFERROR(INDEX(Weights!$D:$D,MATCH($A210,Weights!$A:$A,0)),"")</f>
        <v/>
      </c>
      <c r="I210" s="10">
        <f>IFERROR(INDEX('Data_NSA'!$A:$OK,MATCH(I$2,'Data_NSA'!$A:$A,0),MATCH($D210,'Data_NSA'!$1:$1,0)),"")</f>
        <v/>
      </c>
      <c r="J210" s="10">
        <f>IF($E210="","",IFERROR(INDEX('Data_SA'!$A:$LO,MATCH(I$2,'Data_SA'!$A:$A,0),MATCH($E210,'Data_SA'!$1:$1,0)),""))</f>
        <v/>
      </c>
      <c r="K210" s="7">
        <f>IF($E210="","",IFERROR(INDEX('Data_SA'!$A:$LO,MATCH(I$2,'Data_SA'!$A:$A,0),MATCH($E210,'Data_SA'!$1:$1,0))/INDEX('Data_SA'!$A:$LO,MATCH(EDATE(I$2,-1),'Data_SA'!$A:$A,0),MATCH($E210,'Data_SA'!$1:$1,0))-1,""))</f>
        <v/>
      </c>
      <c r="L210" s="7">
        <f>IFERROR(INDEX('Data_NSA'!$A:$OK,MATCH(I$2,'Data_NSA'!$A:$A,0),MATCH($D210,'Data_NSA'!$1:$1,0))/INDEX('Data_NSA'!$A:$OK,MATCH(EDATE(I$2,-12),'Data_NSA'!$A:$A,0),MATCH($D210,'Data_NSA'!$1:$1,0))-1,"")</f>
        <v/>
      </c>
      <c r="M210" s="10">
        <f>IFERROR(INDEX('Weights'!$G:$I,MATCH($A210,'Weights'!$A:$A,0),MATCH(I$2,'Weights'!$G$1:$I$1,0)),"")</f>
        <v/>
      </c>
      <c r="N210" s="10">
        <f>IF($E210="","",IFERROR(100*(INDEX('Weights'!$D:$D,MATCH($A210,'Weights'!$A:$A,0))*(INDEX('Data_NSA'!$A:$OK,MATCH(EDATE(I$2,-1),'Data_NSA'!$A:$A,0),MATCH($D210,'Data_NSA'!$1:$1,0))/INDEX('Data_NSA'!$A:$OK,MATCH(INDEX('Weights'!$E:$E,MATCH($A210,'Weights'!$A:$A,0)),'Data_NSA'!$A:$A,0),MATCH($D210,'Data_NSA'!$1:$1,0))))/(100*(INDEX('Data_NSA'!$A:$OK,MATCH(EDATE(I$2,-1),'Data_NSA'!$A:$A,0),MATCH("CUUR0000SA0",'Data_NSA'!$1:$1,0))/INDEX('Data_NSA'!$A:$OK,MATCH(INDEX('Weights'!$E:$E,MATCH($A210,'Weights'!$A:$A,0)),'Data_NSA'!$A:$A,0),MATCH("CUUR0000SA0",'Data_NSA'!$1:$1,0))))*(INDEX('Data_SA'!$A:$LO,MATCH(I$2,'Data_SA'!$A:$A,0),MATCH($E210,'Data_SA'!$1:$1,0))/INDEX('Data_SA'!$A:$LO,MATCH(EDATE(I$2,-1),'Data_SA'!$A:$A,0),MATCH($E210,'Data_SA'!$1:$1,0))-1),""))</f>
        <v/>
      </c>
      <c r="O210" s="10">
        <f>IFERROR(INDEX('Data_NSA'!$A:$OK,MATCH(O$2,'Data_NSA'!$A:$A,0),MATCH($D210,'Data_NSA'!$1:$1,0)),"")</f>
        <v/>
      </c>
      <c r="P210" s="10">
        <f>IF($E210="","",IFERROR(INDEX('Data_SA'!$A:$LO,MATCH(O$2,'Data_SA'!$A:$A,0),MATCH($E210,'Data_SA'!$1:$1,0)),""))</f>
        <v/>
      </c>
      <c r="Q210" s="7">
        <f>IF($E210="","",IFERROR(INDEX('Data_SA'!$A:$LO,MATCH(O$2,'Data_SA'!$A:$A,0),MATCH($E210,'Data_SA'!$1:$1,0))/INDEX('Data_SA'!$A:$LO,MATCH(EDATE(O$2,-1),'Data_SA'!$A:$A,0),MATCH($E210,'Data_SA'!$1:$1,0))-1,""))</f>
        <v/>
      </c>
      <c r="R210" s="7">
        <f>IFERROR(INDEX('Data_NSA'!$A:$OK,MATCH(O$2,'Data_NSA'!$A:$A,0),MATCH($D210,'Data_NSA'!$1:$1,0))/INDEX('Data_NSA'!$A:$OK,MATCH(EDATE(O$2,-12),'Data_NSA'!$A:$A,0),MATCH($D210,'Data_NSA'!$1:$1,0))-1,"")</f>
        <v/>
      </c>
      <c r="S210" s="10">
        <f>IFERROR(INDEX('Weights'!$G:$I,MATCH($A210,'Weights'!$A:$A,0),MATCH(O$2,'Weights'!$G$1:$I$1,0)),"")</f>
        <v/>
      </c>
      <c r="T210" s="10">
        <f>IF($E210="","",IFERROR(100*(INDEX('Weights'!$D:$D,MATCH($A210,'Weights'!$A:$A,0))*(INDEX('Data_NSA'!$A:$OK,MATCH(EDATE(O$2,-1),'Data_NSA'!$A:$A,0),MATCH($D210,'Data_NSA'!$1:$1,0))/INDEX('Data_NSA'!$A:$OK,MATCH(INDEX('Weights'!$E:$E,MATCH($A210,'Weights'!$A:$A,0)),'Data_NSA'!$A:$A,0),MATCH($D210,'Data_NSA'!$1:$1,0))))/(100*(INDEX('Data_NSA'!$A:$OK,MATCH(EDATE(O$2,-1),'Data_NSA'!$A:$A,0),MATCH("CUUR0000SA0",'Data_NSA'!$1:$1,0))/INDEX('Data_NSA'!$A:$OK,MATCH(INDEX('Weights'!$E:$E,MATCH($A210,'Weights'!$A:$A,0)),'Data_NSA'!$A:$A,0),MATCH("CUUR0000SA0",'Data_NSA'!$1:$1,0))))*(INDEX('Data_SA'!$A:$LO,MATCH(O$2,'Data_SA'!$A:$A,0),MATCH($E210,'Data_SA'!$1:$1,0))/INDEX('Data_SA'!$A:$LO,MATCH(EDATE(O$2,-1),'Data_SA'!$A:$A,0),MATCH($E210,'Data_SA'!$1:$1,0))-1),""))</f>
        <v/>
      </c>
      <c r="U210" s="10">
        <f>IFERROR(INDEX('Data_NSA'!$A:$OK,MATCH(U$2,'Data_NSA'!$A:$A,0),MATCH($D210,'Data_NSA'!$1:$1,0)),"")</f>
        <v/>
      </c>
      <c r="V210" s="10">
        <f>IF($E210="","",IFERROR(INDEX('Data_SA'!$A:$LO,MATCH(U$2,'Data_SA'!$A:$A,0),MATCH($E210,'Data_SA'!$1:$1,0)),""))</f>
        <v/>
      </c>
      <c r="W210" s="7">
        <f>IF($E210="","",IFERROR(INDEX('Data_SA'!$A:$LO,MATCH(U$2,'Data_SA'!$A:$A,0),MATCH($E210,'Data_SA'!$1:$1,0))/INDEX('Data_SA'!$A:$LO,MATCH(EDATE(U$2,-1),'Data_SA'!$A:$A,0),MATCH($E210,'Data_SA'!$1:$1,0))-1,""))</f>
        <v/>
      </c>
      <c r="X210" s="7">
        <f>IFERROR(INDEX('Data_NSA'!$A:$OK,MATCH(U$2,'Data_NSA'!$A:$A,0),MATCH($D210,'Data_NSA'!$1:$1,0))/INDEX('Data_NSA'!$A:$OK,MATCH(EDATE(U$2,-12),'Data_NSA'!$A:$A,0),MATCH($D210,'Data_NSA'!$1:$1,0))-1,"")</f>
        <v/>
      </c>
      <c r="Y210" s="10">
        <f>IFERROR(INDEX('Weights'!$G:$I,MATCH($A210,'Weights'!$A:$A,0),MATCH(U$2,'Weights'!$G$1:$I$1,0)),"")</f>
        <v/>
      </c>
      <c r="Z210" s="10">
        <f>IF($E210="","",IFERROR(100*(INDEX('Weights'!$D:$D,MATCH($A210,'Weights'!$A:$A,0))*(INDEX('Data_NSA'!$A:$OK,MATCH(EDATE(U$2,-1),'Data_NSA'!$A:$A,0),MATCH($D210,'Data_NSA'!$1:$1,0))/INDEX('Data_NSA'!$A:$OK,MATCH(INDEX('Weights'!$E:$E,MATCH($A210,'Weights'!$A:$A,0)),'Data_NSA'!$A:$A,0),MATCH($D210,'Data_NSA'!$1:$1,0))))/(100*(INDEX('Data_NSA'!$A:$OK,MATCH(EDATE(U$2,-1),'Data_NSA'!$A:$A,0),MATCH("CUUR0000SA0",'Data_NSA'!$1:$1,0))/INDEX('Data_NSA'!$A:$OK,MATCH(INDEX('Weights'!$E:$E,MATCH($A210,'Weights'!$A:$A,0)),'Data_NSA'!$A:$A,0),MATCH("CUUR0000SA0",'Data_NSA'!$1:$1,0))))*(INDEX('Data_SA'!$A:$LO,MATCH(U$2,'Data_SA'!$A:$A,0),MATCH($E210,'Data_SA'!$1:$1,0))/INDEX('Data_SA'!$A:$LO,MATCH(EDATE(U$2,-1),'Data_SA'!$A:$A,0),MATCH($E210,'Data_SA'!$1:$1,0))-1),""))</f>
        <v/>
      </c>
    </row>
    <row r="211">
      <c r="A211" s="3" t="inlineStr">
        <is>
          <t>SEAG01</t>
        </is>
      </c>
      <c r="B211" s="3" t="inlineStr">
        <is>
          <t>Watches</t>
        </is>
      </c>
      <c r="C211" s="3" t="inlineStr">
        <is>
          <t>SEAG</t>
        </is>
      </c>
      <c r="D211" s="3" t="inlineStr">
        <is>
          <t>CUUR0000SEAG01</t>
        </is>
      </c>
      <c r="E211" s="3" t="inlineStr">
        <is>
          <t>CUSR0000SEAG01</t>
        </is>
      </c>
      <c r="F211" s="3" t="inlineStr">
        <is>
          <t>GM</t>
        </is>
      </c>
      <c r="G211" s="3" t="inlineStr">
        <is>
          <t>monthly in New York/Los Angeles/Chicago; often bimonthly elsewhere</t>
        </is>
      </c>
      <c r="H211" s="10">
        <f>IFERROR(INDEX(Weights!$D:$D,MATCH($A211,Weights!$A:$A,0)),"")</f>
        <v/>
      </c>
      <c r="I211" s="10">
        <f>IFERROR(INDEX('Data_NSA'!$A:$OK,MATCH(I$2,'Data_NSA'!$A:$A,0),MATCH($D211,'Data_NSA'!$1:$1,0)),"")</f>
        <v/>
      </c>
      <c r="J211" s="10">
        <f>IF($E211="","",IFERROR(INDEX('Data_SA'!$A:$LO,MATCH(I$2,'Data_SA'!$A:$A,0),MATCH($E211,'Data_SA'!$1:$1,0)),""))</f>
        <v/>
      </c>
      <c r="K211" s="7">
        <f>IF($E211="","",IFERROR(INDEX('Data_SA'!$A:$LO,MATCH(I$2,'Data_SA'!$A:$A,0),MATCH($E211,'Data_SA'!$1:$1,0))/INDEX('Data_SA'!$A:$LO,MATCH(EDATE(I$2,-1),'Data_SA'!$A:$A,0),MATCH($E211,'Data_SA'!$1:$1,0))-1,""))</f>
        <v/>
      </c>
      <c r="L211" s="7">
        <f>IFERROR(INDEX('Data_NSA'!$A:$OK,MATCH(I$2,'Data_NSA'!$A:$A,0),MATCH($D211,'Data_NSA'!$1:$1,0))/INDEX('Data_NSA'!$A:$OK,MATCH(EDATE(I$2,-12),'Data_NSA'!$A:$A,0),MATCH($D211,'Data_NSA'!$1:$1,0))-1,"")</f>
        <v/>
      </c>
      <c r="M211" s="10">
        <f>IFERROR(INDEX('Weights'!$G:$I,MATCH($A211,'Weights'!$A:$A,0),MATCH(I$2,'Weights'!$G$1:$I$1,0)),"")</f>
        <v/>
      </c>
      <c r="N211" s="10">
        <f>IF($E211="","",IFERROR(100*(INDEX('Weights'!$D:$D,MATCH($A211,'Weights'!$A:$A,0))*(INDEX('Data_NSA'!$A:$OK,MATCH(EDATE(I$2,-1),'Data_NSA'!$A:$A,0),MATCH($D211,'Data_NSA'!$1:$1,0))/INDEX('Data_NSA'!$A:$OK,MATCH(INDEX('Weights'!$E:$E,MATCH($A211,'Weights'!$A:$A,0)),'Data_NSA'!$A:$A,0),MATCH($D211,'Data_NSA'!$1:$1,0))))/(100*(INDEX('Data_NSA'!$A:$OK,MATCH(EDATE(I$2,-1),'Data_NSA'!$A:$A,0),MATCH("CUUR0000SA0",'Data_NSA'!$1:$1,0))/INDEX('Data_NSA'!$A:$OK,MATCH(INDEX('Weights'!$E:$E,MATCH($A211,'Weights'!$A:$A,0)),'Data_NSA'!$A:$A,0),MATCH("CUUR0000SA0",'Data_NSA'!$1:$1,0))))*(INDEX('Data_SA'!$A:$LO,MATCH(I$2,'Data_SA'!$A:$A,0),MATCH($E211,'Data_SA'!$1:$1,0))/INDEX('Data_SA'!$A:$LO,MATCH(EDATE(I$2,-1),'Data_SA'!$A:$A,0),MATCH($E211,'Data_SA'!$1:$1,0))-1),""))</f>
        <v/>
      </c>
      <c r="O211" s="10">
        <f>IFERROR(INDEX('Data_NSA'!$A:$OK,MATCH(O$2,'Data_NSA'!$A:$A,0),MATCH($D211,'Data_NSA'!$1:$1,0)),"")</f>
        <v/>
      </c>
      <c r="P211" s="10">
        <f>IF($E211="","",IFERROR(INDEX('Data_SA'!$A:$LO,MATCH(O$2,'Data_SA'!$A:$A,0),MATCH($E211,'Data_SA'!$1:$1,0)),""))</f>
        <v/>
      </c>
      <c r="Q211" s="7">
        <f>IF($E211="","",IFERROR(INDEX('Data_SA'!$A:$LO,MATCH(O$2,'Data_SA'!$A:$A,0),MATCH($E211,'Data_SA'!$1:$1,0))/INDEX('Data_SA'!$A:$LO,MATCH(EDATE(O$2,-1),'Data_SA'!$A:$A,0),MATCH($E211,'Data_SA'!$1:$1,0))-1,""))</f>
        <v/>
      </c>
      <c r="R211" s="7">
        <f>IFERROR(INDEX('Data_NSA'!$A:$OK,MATCH(O$2,'Data_NSA'!$A:$A,0),MATCH($D211,'Data_NSA'!$1:$1,0))/INDEX('Data_NSA'!$A:$OK,MATCH(EDATE(O$2,-12),'Data_NSA'!$A:$A,0),MATCH($D211,'Data_NSA'!$1:$1,0))-1,"")</f>
        <v/>
      </c>
      <c r="S211" s="10">
        <f>IFERROR(INDEX('Weights'!$G:$I,MATCH($A211,'Weights'!$A:$A,0),MATCH(O$2,'Weights'!$G$1:$I$1,0)),"")</f>
        <v/>
      </c>
      <c r="T211" s="10">
        <f>IF($E211="","",IFERROR(100*(INDEX('Weights'!$D:$D,MATCH($A211,'Weights'!$A:$A,0))*(INDEX('Data_NSA'!$A:$OK,MATCH(EDATE(O$2,-1),'Data_NSA'!$A:$A,0),MATCH($D211,'Data_NSA'!$1:$1,0))/INDEX('Data_NSA'!$A:$OK,MATCH(INDEX('Weights'!$E:$E,MATCH($A211,'Weights'!$A:$A,0)),'Data_NSA'!$A:$A,0),MATCH($D211,'Data_NSA'!$1:$1,0))))/(100*(INDEX('Data_NSA'!$A:$OK,MATCH(EDATE(O$2,-1),'Data_NSA'!$A:$A,0),MATCH("CUUR0000SA0",'Data_NSA'!$1:$1,0))/INDEX('Data_NSA'!$A:$OK,MATCH(INDEX('Weights'!$E:$E,MATCH($A211,'Weights'!$A:$A,0)),'Data_NSA'!$A:$A,0),MATCH("CUUR0000SA0",'Data_NSA'!$1:$1,0))))*(INDEX('Data_SA'!$A:$LO,MATCH(O$2,'Data_SA'!$A:$A,0),MATCH($E211,'Data_SA'!$1:$1,0))/INDEX('Data_SA'!$A:$LO,MATCH(EDATE(O$2,-1),'Data_SA'!$A:$A,0),MATCH($E211,'Data_SA'!$1:$1,0))-1),""))</f>
        <v/>
      </c>
      <c r="U211" s="10">
        <f>IFERROR(INDEX('Data_NSA'!$A:$OK,MATCH(U$2,'Data_NSA'!$A:$A,0),MATCH($D211,'Data_NSA'!$1:$1,0)),"")</f>
        <v/>
      </c>
      <c r="V211" s="10">
        <f>IF($E211="","",IFERROR(INDEX('Data_SA'!$A:$LO,MATCH(U$2,'Data_SA'!$A:$A,0),MATCH($E211,'Data_SA'!$1:$1,0)),""))</f>
        <v/>
      </c>
      <c r="W211" s="7">
        <f>IF($E211="","",IFERROR(INDEX('Data_SA'!$A:$LO,MATCH(U$2,'Data_SA'!$A:$A,0),MATCH($E211,'Data_SA'!$1:$1,0))/INDEX('Data_SA'!$A:$LO,MATCH(EDATE(U$2,-1),'Data_SA'!$A:$A,0),MATCH($E211,'Data_SA'!$1:$1,0))-1,""))</f>
        <v/>
      </c>
      <c r="X211" s="7">
        <f>IFERROR(INDEX('Data_NSA'!$A:$OK,MATCH(U$2,'Data_NSA'!$A:$A,0),MATCH($D211,'Data_NSA'!$1:$1,0))/INDEX('Data_NSA'!$A:$OK,MATCH(EDATE(U$2,-12),'Data_NSA'!$A:$A,0),MATCH($D211,'Data_NSA'!$1:$1,0))-1,"")</f>
        <v/>
      </c>
      <c r="Y211" s="10">
        <f>IFERROR(INDEX('Weights'!$G:$I,MATCH($A211,'Weights'!$A:$A,0),MATCH(U$2,'Weights'!$G$1:$I$1,0)),"")</f>
        <v/>
      </c>
      <c r="Z211" s="10">
        <f>IF($E211="","",IFERROR(100*(INDEX('Weights'!$D:$D,MATCH($A211,'Weights'!$A:$A,0))*(INDEX('Data_NSA'!$A:$OK,MATCH(EDATE(U$2,-1),'Data_NSA'!$A:$A,0),MATCH($D211,'Data_NSA'!$1:$1,0))/INDEX('Data_NSA'!$A:$OK,MATCH(INDEX('Weights'!$E:$E,MATCH($A211,'Weights'!$A:$A,0)),'Data_NSA'!$A:$A,0),MATCH($D211,'Data_NSA'!$1:$1,0))))/(100*(INDEX('Data_NSA'!$A:$OK,MATCH(EDATE(U$2,-1),'Data_NSA'!$A:$A,0),MATCH("CUUR0000SA0",'Data_NSA'!$1:$1,0))/INDEX('Data_NSA'!$A:$OK,MATCH(INDEX('Weights'!$E:$E,MATCH($A211,'Weights'!$A:$A,0)),'Data_NSA'!$A:$A,0),MATCH("CUUR0000SA0",'Data_NSA'!$1:$1,0))))*(INDEX('Data_SA'!$A:$LO,MATCH(U$2,'Data_SA'!$A:$A,0),MATCH($E211,'Data_SA'!$1:$1,0))/INDEX('Data_SA'!$A:$LO,MATCH(EDATE(U$2,-1),'Data_SA'!$A:$A,0),MATCH($E211,'Data_SA'!$1:$1,0))-1),""))</f>
        <v/>
      </c>
    </row>
    <row r="212">
      <c r="A212" s="3" t="inlineStr">
        <is>
          <t>SEAG02</t>
        </is>
      </c>
      <c r="B212" s="3" t="inlineStr">
        <is>
          <t>Jewelry</t>
        </is>
      </c>
      <c r="C212" s="3" t="inlineStr">
        <is>
          <t>SEAG</t>
        </is>
      </c>
      <c r="D212" s="3" t="inlineStr">
        <is>
          <t>CUUR0000SEAG02</t>
        </is>
      </c>
      <c r="E212" s="3" t="inlineStr">
        <is>
          <t>CUSR0000SEAG02</t>
        </is>
      </c>
      <c r="F212" s="3" t="inlineStr">
        <is>
          <t>GM</t>
        </is>
      </c>
      <c r="G212" s="3" t="inlineStr">
        <is>
          <t>monthly in New York/Los Angeles/Chicago; often bimonthly elsewhere</t>
        </is>
      </c>
      <c r="H212" s="10">
        <f>IFERROR(INDEX(Weights!$D:$D,MATCH($A212,Weights!$A:$A,0)),"")</f>
        <v/>
      </c>
      <c r="I212" s="10">
        <f>IFERROR(INDEX('Data_NSA'!$A:$OK,MATCH(I$2,'Data_NSA'!$A:$A,0),MATCH($D212,'Data_NSA'!$1:$1,0)),"")</f>
        <v/>
      </c>
      <c r="J212" s="10">
        <f>IF($E212="","",IFERROR(INDEX('Data_SA'!$A:$LO,MATCH(I$2,'Data_SA'!$A:$A,0),MATCH($E212,'Data_SA'!$1:$1,0)),""))</f>
        <v/>
      </c>
      <c r="K212" s="7">
        <f>IF($E212="","",IFERROR(INDEX('Data_SA'!$A:$LO,MATCH(I$2,'Data_SA'!$A:$A,0),MATCH($E212,'Data_SA'!$1:$1,0))/INDEX('Data_SA'!$A:$LO,MATCH(EDATE(I$2,-1),'Data_SA'!$A:$A,0),MATCH($E212,'Data_SA'!$1:$1,0))-1,""))</f>
        <v/>
      </c>
      <c r="L212" s="7">
        <f>IFERROR(INDEX('Data_NSA'!$A:$OK,MATCH(I$2,'Data_NSA'!$A:$A,0),MATCH($D212,'Data_NSA'!$1:$1,0))/INDEX('Data_NSA'!$A:$OK,MATCH(EDATE(I$2,-12),'Data_NSA'!$A:$A,0),MATCH($D212,'Data_NSA'!$1:$1,0))-1,"")</f>
        <v/>
      </c>
      <c r="M212" s="10">
        <f>IFERROR(INDEX('Weights'!$G:$I,MATCH($A212,'Weights'!$A:$A,0),MATCH(I$2,'Weights'!$G$1:$I$1,0)),"")</f>
        <v/>
      </c>
      <c r="N212" s="10">
        <f>IF($E212="","",IFERROR(100*(INDEX('Weights'!$D:$D,MATCH($A212,'Weights'!$A:$A,0))*(INDEX('Data_NSA'!$A:$OK,MATCH(EDATE(I$2,-1),'Data_NSA'!$A:$A,0),MATCH($D212,'Data_NSA'!$1:$1,0))/INDEX('Data_NSA'!$A:$OK,MATCH(INDEX('Weights'!$E:$E,MATCH($A212,'Weights'!$A:$A,0)),'Data_NSA'!$A:$A,0),MATCH($D212,'Data_NSA'!$1:$1,0))))/(100*(INDEX('Data_NSA'!$A:$OK,MATCH(EDATE(I$2,-1),'Data_NSA'!$A:$A,0),MATCH("CUUR0000SA0",'Data_NSA'!$1:$1,0))/INDEX('Data_NSA'!$A:$OK,MATCH(INDEX('Weights'!$E:$E,MATCH($A212,'Weights'!$A:$A,0)),'Data_NSA'!$A:$A,0),MATCH("CUUR0000SA0",'Data_NSA'!$1:$1,0))))*(INDEX('Data_SA'!$A:$LO,MATCH(I$2,'Data_SA'!$A:$A,0),MATCH($E212,'Data_SA'!$1:$1,0))/INDEX('Data_SA'!$A:$LO,MATCH(EDATE(I$2,-1),'Data_SA'!$A:$A,0),MATCH($E212,'Data_SA'!$1:$1,0))-1),""))</f>
        <v/>
      </c>
      <c r="O212" s="10">
        <f>IFERROR(INDEX('Data_NSA'!$A:$OK,MATCH(O$2,'Data_NSA'!$A:$A,0),MATCH($D212,'Data_NSA'!$1:$1,0)),"")</f>
        <v/>
      </c>
      <c r="P212" s="10">
        <f>IF($E212="","",IFERROR(INDEX('Data_SA'!$A:$LO,MATCH(O$2,'Data_SA'!$A:$A,0),MATCH($E212,'Data_SA'!$1:$1,0)),""))</f>
        <v/>
      </c>
      <c r="Q212" s="7">
        <f>IF($E212="","",IFERROR(INDEX('Data_SA'!$A:$LO,MATCH(O$2,'Data_SA'!$A:$A,0),MATCH($E212,'Data_SA'!$1:$1,0))/INDEX('Data_SA'!$A:$LO,MATCH(EDATE(O$2,-1),'Data_SA'!$A:$A,0),MATCH($E212,'Data_SA'!$1:$1,0))-1,""))</f>
        <v/>
      </c>
      <c r="R212" s="7">
        <f>IFERROR(INDEX('Data_NSA'!$A:$OK,MATCH(O$2,'Data_NSA'!$A:$A,0),MATCH($D212,'Data_NSA'!$1:$1,0))/INDEX('Data_NSA'!$A:$OK,MATCH(EDATE(O$2,-12),'Data_NSA'!$A:$A,0),MATCH($D212,'Data_NSA'!$1:$1,0))-1,"")</f>
        <v/>
      </c>
      <c r="S212" s="10">
        <f>IFERROR(INDEX('Weights'!$G:$I,MATCH($A212,'Weights'!$A:$A,0),MATCH(O$2,'Weights'!$G$1:$I$1,0)),"")</f>
        <v/>
      </c>
      <c r="T212" s="10">
        <f>IF($E212="","",IFERROR(100*(INDEX('Weights'!$D:$D,MATCH($A212,'Weights'!$A:$A,0))*(INDEX('Data_NSA'!$A:$OK,MATCH(EDATE(O$2,-1),'Data_NSA'!$A:$A,0),MATCH($D212,'Data_NSA'!$1:$1,0))/INDEX('Data_NSA'!$A:$OK,MATCH(INDEX('Weights'!$E:$E,MATCH($A212,'Weights'!$A:$A,0)),'Data_NSA'!$A:$A,0),MATCH($D212,'Data_NSA'!$1:$1,0))))/(100*(INDEX('Data_NSA'!$A:$OK,MATCH(EDATE(O$2,-1),'Data_NSA'!$A:$A,0),MATCH("CUUR0000SA0",'Data_NSA'!$1:$1,0))/INDEX('Data_NSA'!$A:$OK,MATCH(INDEX('Weights'!$E:$E,MATCH($A212,'Weights'!$A:$A,0)),'Data_NSA'!$A:$A,0),MATCH("CUUR0000SA0",'Data_NSA'!$1:$1,0))))*(INDEX('Data_SA'!$A:$LO,MATCH(O$2,'Data_SA'!$A:$A,0),MATCH($E212,'Data_SA'!$1:$1,0))/INDEX('Data_SA'!$A:$LO,MATCH(EDATE(O$2,-1),'Data_SA'!$A:$A,0),MATCH($E212,'Data_SA'!$1:$1,0))-1),""))</f>
        <v/>
      </c>
      <c r="U212" s="10">
        <f>IFERROR(INDEX('Data_NSA'!$A:$OK,MATCH(U$2,'Data_NSA'!$A:$A,0),MATCH($D212,'Data_NSA'!$1:$1,0)),"")</f>
        <v/>
      </c>
      <c r="V212" s="10">
        <f>IF($E212="","",IFERROR(INDEX('Data_SA'!$A:$LO,MATCH(U$2,'Data_SA'!$A:$A,0),MATCH($E212,'Data_SA'!$1:$1,0)),""))</f>
        <v/>
      </c>
      <c r="W212" s="7">
        <f>IF($E212="","",IFERROR(INDEX('Data_SA'!$A:$LO,MATCH(U$2,'Data_SA'!$A:$A,0),MATCH($E212,'Data_SA'!$1:$1,0))/INDEX('Data_SA'!$A:$LO,MATCH(EDATE(U$2,-1),'Data_SA'!$A:$A,0),MATCH($E212,'Data_SA'!$1:$1,0))-1,""))</f>
        <v/>
      </c>
      <c r="X212" s="7">
        <f>IFERROR(INDEX('Data_NSA'!$A:$OK,MATCH(U$2,'Data_NSA'!$A:$A,0),MATCH($D212,'Data_NSA'!$1:$1,0))/INDEX('Data_NSA'!$A:$OK,MATCH(EDATE(U$2,-12),'Data_NSA'!$A:$A,0),MATCH($D212,'Data_NSA'!$1:$1,0))-1,"")</f>
        <v/>
      </c>
      <c r="Y212" s="10">
        <f>IFERROR(INDEX('Weights'!$G:$I,MATCH($A212,'Weights'!$A:$A,0),MATCH(U$2,'Weights'!$G$1:$I$1,0)),"")</f>
        <v/>
      </c>
      <c r="Z212" s="10">
        <f>IF($E212="","",IFERROR(100*(INDEX('Weights'!$D:$D,MATCH($A212,'Weights'!$A:$A,0))*(INDEX('Data_NSA'!$A:$OK,MATCH(EDATE(U$2,-1),'Data_NSA'!$A:$A,0),MATCH($D212,'Data_NSA'!$1:$1,0))/INDEX('Data_NSA'!$A:$OK,MATCH(INDEX('Weights'!$E:$E,MATCH($A212,'Weights'!$A:$A,0)),'Data_NSA'!$A:$A,0),MATCH($D212,'Data_NSA'!$1:$1,0))))/(100*(INDEX('Data_NSA'!$A:$OK,MATCH(EDATE(U$2,-1),'Data_NSA'!$A:$A,0),MATCH("CUUR0000SA0",'Data_NSA'!$1:$1,0))/INDEX('Data_NSA'!$A:$OK,MATCH(INDEX('Weights'!$E:$E,MATCH($A212,'Weights'!$A:$A,0)),'Data_NSA'!$A:$A,0),MATCH("CUUR0000SA0",'Data_NSA'!$1:$1,0))))*(INDEX('Data_SA'!$A:$LO,MATCH(U$2,'Data_SA'!$A:$A,0),MATCH($E212,'Data_SA'!$1:$1,0))/INDEX('Data_SA'!$A:$LO,MATCH(EDATE(U$2,-1),'Data_SA'!$A:$A,0),MATCH($E212,'Data_SA'!$1:$1,0))-1),""))</f>
        <v/>
      </c>
    </row>
    <row r="213">
      <c r="A213" s="3" t="inlineStr">
        <is>
          <t>SAT</t>
        </is>
      </c>
      <c r="B213" s="3" t="inlineStr">
        <is>
          <t>Transportation</t>
        </is>
      </c>
      <c r="C213" s="3" t="inlineStr">
        <is>
          <t>SA0</t>
        </is>
      </c>
      <c r="D213" s="3" t="inlineStr">
        <is>
          <t>CUUR0000SAT</t>
        </is>
      </c>
      <c r="E213" s="3" t="inlineStr">
        <is>
          <t>CUSR0000SAT</t>
        </is>
      </c>
      <c r="F213" s="3" t="inlineStr">
        <is>
          <t>aggregate</t>
        </is>
      </c>
      <c r="G213" s="3" t="inlineStr">
        <is>
          <t>aggregate</t>
        </is>
      </c>
      <c r="H213" s="10">
        <f>IFERROR(INDEX(Weights!$D:$D,MATCH($A213,Weights!$A:$A,0)),"")</f>
        <v/>
      </c>
      <c r="I213" s="10">
        <f>IFERROR(INDEX('Data_NSA'!$A:$OK,MATCH(I$2,'Data_NSA'!$A:$A,0),MATCH($D213,'Data_NSA'!$1:$1,0)),"")</f>
        <v/>
      </c>
      <c r="J213" s="10">
        <f>IF($E213="","",IFERROR(INDEX('Data_SA'!$A:$LO,MATCH(I$2,'Data_SA'!$A:$A,0),MATCH($E213,'Data_SA'!$1:$1,0)),""))</f>
        <v/>
      </c>
      <c r="K213" s="7">
        <f>IF($E213="","",IFERROR(INDEX('Data_SA'!$A:$LO,MATCH(I$2,'Data_SA'!$A:$A,0),MATCH($E213,'Data_SA'!$1:$1,0))/INDEX('Data_SA'!$A:$LO,MATCH(EDATE(I$2,-1),'Data_SA'!$A:$A,0),MATCH($E213,'Data_SA'!$1:$1,0))-1,""))</f>
        <v/>
      </c>
      <c r="L213" s="7">
        <f>IFERROR(INDEX('Data_NSA'!$A:$OK,MATCH(I$2,'Data_NSA'!$A:$A,0),MATCH($D213,'Data_NSA'!$1:$1,0))/INDEX('Data_NSA'!$A:$OK,MATCH(EDATE(I$2,-12),'Data_NSA'!$A:$A,0),MATCH($D213,'Data_NSA'!$1:$1,0))-1,"")</f>
        <v/>
      </c>
      <c r="M213" s="10">
        <f>IFERROR(INDEX('Weights'!$G:$I,MATCH($A213,'Weights'!$A:$A,0),MATCH(I$2,'Weights'!$G$1:$I$1,0)),"")</f>
        <v/>
      </c>
      <c r="N213" s="10">
        <f>IF($E213="","",IFERROR(100*(INDEX('Weights'!$D:$D,MATCH($A213,'Weights'!$A:$A,0))*(INDEX('Data_NSA'!$A:$OK,MATCH(EDATE(I$2,-1),'Data_NSA'!$A:$A,0),MATCH($D213,'Data_NSA'!$1:$1,0))/INDEX('Data_NSA'!$A:$OK,MATCH(INDEX('Weights'!$E:$E,MATCH($A213,'Weights'!$A:$A,0)),'Data_NSA'!$A:$A,0),MATCH($D213,'Data_NSA'!$1:$1,0))))/(100*(INDEX('Data_NSA'!$A:$OK,MATCH(EDATE(I$2,-1),'Data_NSA'!$A:$A,0),MATCH("CUUR0000SA0",'Data_NSA'!$1:$1,0))/INDEX('Data_NSA'!$A:$OK,MATCH(INDEX('Weights'!$E:$E,MATCH($A213,'Weights'!$A:$A,0)),'Data_NSA'!$A:$A,0),MATCH("CUUR0000SA0",'Data_NSA'!$1:$1,0))))*(INDEX('Data_SA'!$A:$LO,MATCH(I$2,'Data_SA'!$A:$A,0),MATCH($E213,'Data_SA'!$1:$1,0))/INDEX('Data_SA'!$A:$LO,MATCH(EDATE(I$2,-1),'Data_SA'!$A:$A,0),MATCH($E213,'Data_SA'!$1:$1,0))-1),""))</f>
        <v/>
      </c>
      <c r="O213" s="10">
        <f>IFERROR(INDEX('Data_NSA'!$A:$OK,MATCH(O$2,'Data_NSA'!$A:$A,0),MATCH($D213,'Data_NSA'!$1:$1,0)),"")</f>
        <v/>
      </c>
      <c r="P213" s="10">
        <f>IF($E213="","",IFERROR(INDEX('Data_SA'!$A:$LO,MATCH(O$2,'Data_SA'!$A:$A,0),MATCH($E213,'Data_SA'!$1:$1,0)),""))</f>
        <v/>
      </c>
      <c r="Q213" s="7">
        <f>IF($E213="","",IFERROR(INDEX('Data_SA'!$A:$LO,MATCH(O$2,'Data_SA'!$A:$A,0),MATCH($E213,'Data_SA'!$1:$1,0))/INDEX('Data_SA'!$A:$LO,MATCH(EDATE(O$2,-1),'Data_SA'!$A:$A,0),MATCH($E213,'Data_SA'!$1:$1,0))-1,""))</f>
        <v/>
      </c>
      <c r="R213" s="7">
        <f>IFERROR(INDEX('Data_NSA'!$A:$OK,MATCH(O$2,'Data_NSA'!$A:$A,0),MATCH($D213,'Data_NSA'!$1:$1,0))/INDEX('Data_NSA'!$A:$OK,MATCH(EDATE(O$2,-12),'Data_NSA'!$A:$A,0),MATCH($D213,'Data_NSA'!$1:$1,0))-1,"")</f>
        <v/>
      </c>
      <c r="S213" s="10">
        <f>IFERROR(INDEX('Weights'!$G:$I,MATCH($A213,'Weights'!$A:$A,0),MATCH(O$2,'Weights'!$G$1:$I$1,0)),"")</f>
        <v/>
      </c>
      <c r="T213" s="10">
        <f>IF($E213="","",IFERROR(100*(INDEX('Weights'!$D:$D,MATCH($A213,'Weights'!$A:$A,0))*(INDEX('Data_NSA'!$A:$OK,MATCH(EDATE(O$2,-1),'Data_NSA'!$A:$A,0),MATCH($D213,'Data_NSA'!$1:$1,0))/INDEX('Data_NSA'!$A:$OK,MATCH(INDEX('Weights'!$E:$E,MATCH($A213,'Weights'!$A:$A,0)),'Data_NSA'!$A:$A,0),MATCH($D213,'Data_NSA'!$1:$1,0))))/(100*(INDEX('Data_NSA'!$A:$OK,MATCH(EDATE(O$2,-1),'Data_NSA'!$A:$A,0),MATCH("CUUR0000SA0",'Data_NSA'!$1:$1,0))/INDEX('Data_NSA'!$A:$OK,MATCH(INDEX('Weights'!$E:$E,MATCH($A213,'Weights'!$A:$A,0)),'Data_NSA'!$A:$A,0),MATCH("CUUR0000SA0",'Data_NSA'!$1:$1,0))))*(INDEX('Data_SA'!$A:$LO,MATCH(O$2,'Data_SA'!$A:$A,0),MATCH($E213,'Data_SA'!$1:$1,0))/INDEX('Data_SA'!$A:$LO,MATCH(EDATE(O$2,-1),'Data_SA'!$A:$A,0),MATCH($E213,'Data_SA'!$1:$1,0))-1),""))</f>
        <v/>
      </c>
      <c r="U213" s="10">
        <f>IFERROR(INDEX('Data_NSA'!$A:$OK,MATCH(U$2,'Data_NSA'!$A:$A,0),MATCH($D213,'Data_NSA'!$1:$1,0)),"")</f>
        <v/>
      </c>
      <c r="V213" s="10">
        <f>IF($E213="","",IFERROR(INDEX('Data_SA'!$A:$LO,MATCH(U$2,'Data_SA'!$A:$A,0),MATCH($E213,'Data_SA'!$1:$1,0)),""))</f>
        <v/>
      </c>
      <c r="W213" s="7">
        <f>IF($E213="","",IFERROR(INDEX('Data_SA'!$A:$LO,MATCH(U$2,'Data_SA'!$A:$A,0),MATCH($E213,'Data_SA'!$1:$1,0))/INDEX('Data_SA'!$A:$LO,MATCH(EDATE(U$2,-1),'Data_SA'!$A:$A,0),MATCH($E213,'Data_SA'!$1:$1,0))-1,""))</f>
        <v/>
      </c>
      <c r="X213" s="7">
        <f>IFERROR(INDEX('Data_NSA'!$A:$OK,MATCH(U$2,'Data_NSA'!$A:$A,0),MATCH($D213,'Data_NSA'!$1:$1,0))/INDEX('Data_NSA'!$A:$OK,MATCH(EDATE(U$2,-12),'Data_NSA'!$A:$A,0),MATCH($D213,'Data_NSA'!$1:$1,0))-1,"")</f>
        <v/>
      </c>
      <c r="Y213" s="10">
        <f>IFERROR(INDEX('Weights'!$G:$I,MATCH($A213,'Weights'!$A:$A,0),MATCH(U$2,'Weights'!$G$1:$I$1,0)),"")</f>
        <v/>
      </c>
      <c r="Z213" s="10">
        <f>IF($E213="","",IFERROR(100*(INDEX('Weights'!$D:$D,MATCH($A213,'Weights'!$A:$A,0))*(INDEX('Data_NSA'!$A:$OK,MATCH(EDATE(U$2,-1),'Data_NSA'!$A:$A,0),MATCH($D213,'Data_NSA'!$1:$1,0))/INDEX('Data_NSA'!$A:$OK,MATCH(INDEX('Weights'!$E:$E,MATCH($A213,'Weights'!$A:$A,0)),'Data_NSA'!$A:$A,0),MATCH($D213,'Data_NSA'!$1:$1,0))))/(100*(INDEX('Data_NSA'!$A:$OK,MATCH(EDATE(U$2,-1),'Data_NSA'!$A:$A,0),MATCH("CUUR0000SA0",'Data_NSA'!$1:$1,0))/INDEX('Data_NSA'!$A:$OK,MATCH(INDEX('Weights'!$E:$E,MATCH($A213,'Weights'!$A:$A,0)),'Data_NSA'!$A:$A,0),MATCH("CUUR0000SA0",'Data_NSA'!$1:$1,0))))*(INDEX('Data_SA'!$A:$LO,MATCH(U$2,'Data_SA'!$A:$A,0),MATCH($E213,'Data_SA'!$1:$1,0))/INDEX('Data_SA'!$A:$LO,MATCH(EDATE(U$2,-1),'Data_SA'!$A:$A,0),MATCH($E213,'Data_SA'!$1:$1,0))-1),""))</f>
        <v/>
      </c>
    </row>
    <row r="214">
      <c r="A214" s="3" t="inlineStr">
        <is>
          <t>SAT1</t>
        </is>
      </c>
      <c r="B214" s="3" t="inlineStr">
        <is>
          <t>Private transportation</t>
        </is>
      </c>
      <c r="C214" s="3" t="inlineStr">
        <is>
          <t>SAT</t>
        </is>
      </c>
      <c r="D214" s="3" t="inlineStr">
        <is>
          <t>CUUR0000SAT1</t>
        </is>
      </c>
      <c r="E214" s="3" t="inlineStr">
        <is>
          <t>CUSR0000SAT1</t>
        </is>
      </c>
      <c r="F214" s="3" t="inlineStr">
        <is>
          <t>aggregate</t>
        </is>
      </c>
      <c r="G214" s="3" t="inlineStr">
        <is>
          <t>aggregate</t>
        </is>
      </c>
      <c r="H214" s="10">
        <f>IFERROR(INDEX(Weights!$D:$D,MATCH($A214,Weights!$A:$A,0)),"")</f>
        <v/>
      </c>
      <c r="I214" s="10">
        <f>IFERROR(INDEX('Data_NSA'!$A:$OK,MATCH(I$2,'Data_NSA'!$A:$A,0),MATCH($D214,'Data_NSA'!$1:$1,0)),"")</f>
        <v/>
      </c>
      <c r="J214" s="10">
        <f>IF($E214="","",IFERROR(INDEX('Data_SA'!$A:$LO,MATCH(I$2,'Data_SA'!$A:$A,0),MATCH($E214,'Data_SA'!$1:$1,0)),""))</f>
        <v/>
      </c>
      <c r="K214" s="7">
        <f>IF($E214="","",IFERROR(INDEX('Data_SA'!$A:$LO,MATCH(I$2,'Data_SA'!$A:$A,0),MATCH($E214,'Data_SA'!$1:$1,0))/INDEX('Data_SA'!$A:$LO,MATCH(EDATE(I$2,-1),'Data_SA'!$A:$A,0),MATCH($E214,'Data_SA'!$1:$1,0))-1,""))</f>
        <v/>
      </c>
      <c r="L214" s="7">
        <f>IFERROR(INDEX('Data_NSA'!$A:$OK,MATCH(I$2,'Data_NSA'!$A:$A,0),MATCH($D214,'Data_NSA'!$1:$1,0))/INDEX('Data_NSA'!$A:$OK,MATCH(EDATE(I$2,-12),'Data_NSA'!$A:$A,0),MATCH($D214,'Data_NSA'!$1:$1,0))-1,"")</f>
        <v/>
      </c>
      <c r="M214" s="10">
        <f>IFERROR(INDEX('Weights'!$G:$I,MATCH($A214,'Weights'!$A:$A,0),MATCH(I$2,'Weights'!$G$1:$I$1,0)),"")</f>
        <v/>
      </c>
      <c r="N214" s="10">
        <f>IF($E214="","",IFERROR(100*(INDEX('Weights'!$D:$D,MATCH($A214,'Weights'!$A:$A,0))*(INDEX('Data_NSA'!$A:$OK,MATCH(EDATE(I$2,-1),'Data_NSA'!$A:$A,0),MATCH($D214,'Data_NSA'!$1:$1,0))/INDEX('Data_NSA'!$A:$OK,MATCH(INDEX('Weights'!$E:$E,MATCH($A214,'Weights'!$A:$A,0)),'Data_NSA'!$A:$A,0),MATCH($D214,'Data_NSA'!$1:$1,0))))/(100*(INDEX('Data_NSA'!$A:$OK,MATCH(EDATE(I$2,-1),'Data_NSA'!$A:$A,0),MATCH("CUUR0000SA0",'Data_NSA'!$1:$1,0))/INDEX('Data_NSA'!$A:$OK,MATCH(INDEX('Weights'!$E:$E,MATCH($A214,'Weights'!$A:$A,0)),'Data_NSA'!$A:$A,0),MATCH("CUUR0000SA0",'Data_NSA'!$1:$1,0))))*(INDEX('Data_SA'!$A:$LO,MATCH(I$2,'Data_SA'!$A:$A,0),MATCH($E214,'Data_SA'!$1:$1,0))/INDEX('Data_SA'!$A:$LO,MATCH(EDATE(I$2,-1),'Data_SA'!$A:$A,0),MATCH($E214,'Data_SA'!$1:$1,0))-1),""))</f>
        <v/>
      </c>
      <c r="O214" s="10">
        <f>IFERROR(INDEX('Data_NSA'!$A:$OK,MATCH(O$2,'Data_NSA'!$A:$A,0),MATCH($D214,'Data_NSA'!$1:$1,0)),"")</f>
        <v/>
      </c>
      <c r="P214" s="10">
        <f>IF($E214="","",IFERROR(INDEX('Data_SA'!$A:$LO,MATCH(O$2,'Data_SA'!$A:$A,0),MATCH($E214,'Data_SA'!$1:$1,0)),""))</f>
        <v/>
      </c>
      <c r="Q214" s="7">
        <f>IF($E214="","",IFERROR(INDEX('Data_SA'!$A:$LO,MATCH(O$2,'Data_SA'!$A:$A,0),MATCH($E214,'Data_SA'!$1:$1,0))/INDEX('Data_SA'!$A:$LO,MATCH(EDATE(O$2,-1),'Data_SA'!$A:$A,0),MATCH($E214,'Data_SA'!$1:$1,0))-1,""))</f>
        <v/>
      </c>
      <c r="R214" s="7">
        <f>IFERROR(INDEX('Data_NSA'!$A:$OK,MATCH(O$2,'Data_NSA'!$A:$A,0),MATCH($D214,'Data_NSA'!$1:$1,0))/INDEX('Data_NSA'!$A:$OK,MATCH(EDATE(O$2,-12),'Data_NSA'!$A:$A,0),MATCH($D214,'Data_NSA'!$1:$1,0))-1,"")</f>
        <v/>
      </c>
      <c r="S214" s="10">
        <f>IFERROR(INDEX('Weights'!$G:$I,MATCH($A214,'Weights'!$A:$A,0),MATCH(O$2,'Weights'!$G$1:$I$1,0)),"")</f>
        <v/>
      </c>
      <c r="T214" s="10">
        <f>IF($E214="","",IFERROR(100*(INDEX('Weights'!$D:$D,MATCH($A214,'Weights'!$A:$A,0))*(INDEX('Data_NSA'!$A:$OK,MATCH(EDATE(O$2,-1),'Data_NSA'!$A:$A,0),MATCH($D214,'Data_NSA'!$1:$1,0))/INDEX('Data_NSA'!$A:$OK,MATCH(INDEX('Weights'!$E:$E,MATCH($A214,'Weights'!$A:$A,0)),'Data_NSA'!$A:$A,0),MATCH($D214,'Data_NSA'!$1:$1,0))))/(100*(INDEX('Data_NSA'!$A:$OK,MATCH(EDATE(O$2,-1),'Data_NSA'!$A:$A,0),MATCH("CUUR0000SA0",'Data_NSA'!$1:$1,0))/INDEX('Data_NSA'!$A:$OK,MATCH(INDEX('Weights'!$E:$E,MATCH($A214,'Weights'!$A:$A,0)),'Data_NSA'!$A:$A,0),MATCH("CUUR0000SA0",'Data_NSA'!$1:$1,0))))*(INDEX('Data_SA'!$A:$LO,MATCH(O$2,'Data_SA'!$A:$A,0),MATCH($E214,'Data_SA'!$1:$1,0))/INDEX('Data_SA'!$A:$LO,MATCH(EDATE(O$2,-1),'Data_SA'!$A:$A,0),MATCH($E214,'Data_SA'!$1:$1,0))-1),""))</f>
        <v/>
      </c>
      <c r="U214" s="10">
        <f>IFERROR(INDEX('Data_NSA'!$A:$OK,MATCH(U$2,'Data_NSA'!$A:$A,0),MATCH($D214,'Data_NSA'!$1:$1,0)),"")</f>
        <v/>
      </c>
      <c r="V214" s="10">
        <f>IF($E214="","",IFERROR(INDEX('Data_SA'!$A:$LO,MATCH(U$2,'Data_SA'!$A:$A,0),MATCH($E214,'Data_SA'!$1:$1,0)),""))</f>
        <v/>
      </c>
      <c r="W214" s="7">
        <f>IF($E214="","",IFERROR(INDEX('Data_SA'!$A:$LO,MATCH(U$2,'Data_SA'!$A:$A,0),MATCH($E214,'Data_SA'!$1:$1,0))/INDEX('Data_SA'!$A:$LO,MATCH(EDATE(U$2,-1),'Data_SA'!$A:$A,0),MATCH($E214,'Data_SA'!$1:$1,0))-1,""))</f>
        <v/>
      </c>
      <c r="X214" s="7">
        <f>IFERROR(INDEX('Data_NSA'!$A:$OK,MATCH(U$2,'Data_NSA'!$A:$A,0),MATCH($D214,'Data_NSA'!$1:$1,0))/INDEX('Data_NSA'!$A:$OK,MATCH(EDATE(U$2,-12),'Data_NSA'!$A:$A,0),MATCH($D214,'Data_NSA'!$1:$1,0))-1,"")</f>
        <v/>
      </c>
      <c r="Y214" s="10">
        <f>IFERROR(INDEX('Weights'!$G:$I,MATCH($A214,'Weights'!$A:$A,0),MATCH(U$2,'Weights'!$G$1:$I$1,0)),"")</f>
        <v/>
      </c>
      <c r="Z214" s="10">
        <f>IF($E214="","",IFERROR(100*(INDEX('Weights'!$D:$D,MATCH($A214,'Weights'!$A:$A,0))*(INDEX('Data_NSA'!$A:$OK,MATCH(EDATE(U$2,-1),'Data_NSA'!$A:$A,0),MATCH($D214,'Data_NSA'!$1:$1,0))/INDEX('Data_NSA'!$A:$OK,MATCH(INDEX('Weights'!$E:$E,MATCH($A214,'Weights'!$A:$A,0)),'Data_NSA'!$A:$A,0),MATCH($D214,'Data_NSA'!$1:$1,0))))/(100*(INDEX('Data_NSA'!$A:$OK,MATCH(EDATE(U$2,-1),'Data_NSA'!$A:$A,0),MATCH("CUUR0000SA0",'Data_NSA'!$1:$1,0))/INDEX('Data_NSA'!$A:$OK,MATCH(INDEX('Weights'!$E:$E,MATCH($A214,'Weights'!$A:$A,0)),'Data_NSA'!$A:$A,0),MATCH("CUUR0000SA0",'Data_NSA'!$1:$1,0))))*(INDEX('Data_SA'!$A:$LO,MATCH(U$2,'Data_SA'!$A:$A,0),MATCH($E214,'Data_SA'!$1:$1,0))/INDEX('Data_SA'!$A:$LO,MATCH(EDATE(U$2,-1),'Data_SA'!$A:$A,0),MATCH($E214,'Data_SA'!$1:$1,0))-1),""))</f>
        <v/>
      </c>
    </row>
    <row r="215">
      <c r="A215" s="3" t="inlineStr">
        <is>
          <t>SETA</t>
        </is>
      </c>
      <c r="B215" s="3" t="inlineStr">
        <is>
          <t>New and used motor vehicles</t>
        </is>
      </c>
      <c r="C215" s="3" t="inlineStr">
        <is>
          <t>SAT1</t>
        </is>
      </c>
      <c r="D215" s="3" t="inlineStr">
        <is>
          <t>CUUR0000SETA</t>
        </is>
      </c>
      <c r="E215" s="3" t="inlineStr">
        <is>
          <t>CUSR0000SETA</t>
        </is>
      </c>
      <c r="F215" s="3" t="inlineStr">
        <is>
          <t>aggregate</t>
        </is>
      </c>
      <c r="G215" s="3" t="inlineStr">
        <is>
          <t>aggregate</t>
        </is>
      </c>
      <c r="H215" s="10">
        <f>IFERROR(INDEX(Weights!$D:$D,MATCH($A215,Weights!$A:$A,0)),"")</f>
        <v/>
      </c>
      <c r="I215" s="10">
        <f>IFERROR(INDEX('Data_NSA'!$A:$OK,MATCH(I$2,'Data_NSA'!$A:$A,0),MATCH($D215,'Data_NSA'!$1:$1,0)),"")</f>
        <v/>
      </c>
      <c r="J215" s="10">
        <f>IF($E215="","",IFERROR(INDEX('Data_SA'!$A:$LO,MATCH(I$2,'Data_SA'!$A:$A,0),MATCH($E215,'Data_SA'!$1:$1,0)),""))</f>
        <v/>
      </c>
      <c r="K215" s="7">
        <f>IF($E215="","",IFERROR(INDEX('Data_SA'!$A:$LO,MATCH(I$2,'Data_SA'!$A:$A,0),MATCH($E215,'Data_SA'!$1:$1,0))/INDEX('Data_SA'!$A:$LO,MATCH(EDATE(I$2,-1),'Data_SA'!$A:$A,0),MATCH($E215,'Data_SA'!$1:$1,0))-1,""))</f>
        <v/>
      </c>
      <c r="L215" s="7">
        <f>IFERROR(INDEX('Data_NSA'!$A:$OK,MATCH(I$2,'Data_NSA'!$A:$A,0),MATCH($D215,'Data_NSA'!$1:$1,0))/INDEX('Data_NSA'!$A:$OK,MATCH(EDATE(I$2,-12),'Data_NSA'!$A:$A,0),MATCH($D215,'Data_NSA'!$1:$1,0))-1,"")</f>
        <v/>
      </c>
      <c r="M215" s="10">
        <f>IFERROR(INDEX('Weights'!$G:$I,MATCH($A215,'Weights'!$A:$A,0),MATCH(I$2,'Weights'!$G$1:$I$1,0)),"")</f>
        <v/>
      </c>
      <c r="N215" s="10">
        <f>IF($E215="","",IFERROR(100*(INDEX('Weights'!$D:$D,MATCH($A215,'Weights'!$A:$A,0))*(INDEX('Data_NSA'!$A:$OK,MATCH(EDATE(I$2,-1),'Data_NSA'!$A:$A,0),MATCH($D215,'Data_NSA'!$1:$1,0))/INDEX('Data_NSA'!$A:$OK,MATCH(INDEX('Weights'!$E:$E,MATCH($A215,'Weights'!$A:$A,0)),'Data_NSA'!$A:$A,0),MATCH($D215,'Data_NSA'!$1:$1,0))))/(100*(INDEX('Data_NSA'!$A:$OK,MATCH(EDATE(I$2,-1),'Data_NSA'!$A:$A,0),MATCH("CUUR0000SA0",'Data_NSA'!$1:$1,0))/INDEX('Data_NSA'!$A:$OK,MATCH(INDEX('Weights'!$E:$E,MATCH($A215,'Weights'!$A:$A,0)),'Data_NSA'!$A:$A,0),MATCH("CUUR0000SA0",'Data_NSA'!$1:$1,0))))*(INDEX('Data_SA'!$A:$LO,MATCH(I$2,'Data_SA'!$A:$A,0),MATCH($E215,'Data_SA'!$1:$1,0))/INDEX('Data_SA'!$A:$LO,MATCH(EDATE(I$2,-1),'Data_SA'!$A:$A,0),MATCH($E215,'Data_SA'!$1:$1,0))-1),""))</f>
        <v/>
      </c>
      <c r="O215" s="10">
        <f>IFERROR(INDEX('Data_NSA'!$A:$OK,MATCH(O$2,'Data_NSA'!$A:$A,0),MATCH($D215,'Data_NSA'!$1:$1,0)),"")</f>
        <v/>
      </c>
      <c r="P215" s="10">
        <f>IF($E215="","",IFERROR(INDEX('Data_SA'!$A:$LO,MATCH(O$2,'Data_SA'!$A:$A,0),MATCH($E215,'Data_SA'!$1:$1,0)),""))</f>
        <v/>
      </c>
      <c r="Q215" s="7">
        <f>IF($E215="","",IFERROR(INDEX('Data_SA'!$A:$LO,MATCH(O$2,'Data_SA'!$A:$A,0),MATCH($E215,'Data_SA'!$1:$1,0))/INDEX('Data_SA'!$A:$LO,MATCH(EDATE(O$2,-1),'Data_SA'!$A:$A,0),MATCH($E215,'Data_SA'!$1:$1,0))-1,""))</f>
        <v/>
      </c>
      <c r="R215" s="7">
        <f>IFERROR(INDEX('Data_NSA'!$A:$OK,MATCH(O$2,'Data_NSA'!$A:$A,0),MATCH($D215,'Data_NSA'!$1:$1,0))/INDEX('Data_NSA'!$A:$OK,MATCH(EDATE(O$2,-12),'Data_NSA'!$A:$A,0),MATCH($D215,'Data_NSA'!$1:$1,0))-1,"")</f>
        <v/>
      </c>
      <c r="S215" s="10">
        <f>IFERROR(INDEX('Weights'!$G:$I,MATCH($A215,'Weights'!$A:$A,0),MATCH(O$2,'Weights'!$G$1:$I$1,0)),"")</f>
        <v/>
      </c>
      <c r="T215" s="10">
        <f>IF($E215="","",IFERROR(100*(INDEX('Weights'!$D:$D,MATCH($A215,'Weights'!$A:$A,0))*(INDEX('Data_NSA'!$A:$OK,MATCH(EDATE(O$2,-1),'Data_NSA'!$A:$A,0),MATCH($D215,'Data_NSA'!$1:$1,0))/INDEX('Data_NSA'!$A:$OK,MATCH(INDEX('Weights'!$E:$E,MATCH($A215,'Weights'!$A:$A,0)),'Data_NSA'!$A:$A,0),MATCH($D215,'Data_NSA'!$1:$1,0))))/(100*(INDEX('Data_NSA'!$A:$OK,MATCH(EDATE(O$2,-1),'Data_NSA'!$A:$A,0),MATCH("CUUR0000SA0",'Data_NSA'!$1:$1,0))/INDEX('Data_NSA'!$A:$OK,MATCH(INDEX('Weights'!$E:$E,MATCH($A215,'Weights'!$A:$A,0)),'Data_NSA'!$A:$A,0),MATCH("CUUR0000SA0",'Data_NSA'!$1:$1,0))))*(INDEX('Data_SA'!$A:$LO,MATCH(O$2,'Data_SA'!$A:$A,0),MATCH($E215,'Data_SA'!$1:$1,0))/INDEX('Data_SA'!$A:$LO,MATCH(EDATE(O$2,-1),'Data_SA'!$A:$A,0),MATCH($E215,'Data_SA'!$1:$1,0))-1),""))</f>
        <v/>
      </c>
      <c r="U215" s="10">
        <f>IFERROR(INDEX('Data_NSA'!$A:$OK,MATCH(U$2,'Data_NSA'!$A:$A,0),MATCH($D215,'Data_NSA'!$1:$1,0)),"")</f>
        <v/>
      </c>
      <c r="V215" s="10">
        <f>IF($E215="","",IFERROR(INDEX('Data_SA'!$A:$LO,MATCH(U$2,'Data_SA'!$A:$A,0),MATCH($E215,'Data_SA'!$1:$1,0)),""))</f>
        <v/>
      </c>
      <c r="W215" s="7">
        <f>IF($E215="","",IFERROR(INDEX('Data_SA'!$A:$LO,MATCH(U$2,'Data_SA'!$A:$A,0),MATCH($E215,'Data_SA'!$1:$1,0))/INDEX('Data_SA'!$A:$LO,MATCH(EDATE(U$2,-1),'Data_SA'!$A:$A,0),MATCH($E215,'Data_SA'!$1:$1,0))-1,""))</f>
        <v/>
      </c>
      <c r="X215" s="7">
        <f>IFERROR(INDEX('Data_NSA'!$A:$OK,MATCH(U$2,'Data_NSA'!$A:$A,0),MATCH($D215,'Data_NSA'!$1:$1,0))/INDEX('Data_NSA'!$A:$OK,MATCH(EDATE(U$2,-12),'Data_NSA'!$A:$A,0),MATCH($D215,'Data_NSA'!$1:$1,0))-1,"")</f>
        <v/>
      </c>
      <c r="Y215" s="10">
        <f>IFERROR(INDEX('Weights'!$G:$I,MATCH($A215,'Weights'!$A:$A,0),MATCH(U$2,'Weights'!$G$1:$I$1,0)),"")</f>
        <v/>
      </c>
      <c r="Z215" s="10">
        <f>IF($E215="","",IFERROR(100*(INDEX('Weights'!$D:$D,MATCH($A215,'Weights'!$A:$A,0))*(INDEX('Data_NSA'!$A:$OK,MATCH(EDATE(U$2,-1),'Data_NSA'!$A:$A,0),MATCH($D215,'Data_NSA'!$1:$1,0))/INDEX('Data_NSA'!$A:$OK,MATCH(INDEX('Weights'!$E:$E,MATCH($A215,'Weights'!$A:$A,0)),'Data_NSA'!$A:$A,0),MATCH($D215,'Data_NSA'!$1:$1,0))))/(100*(INDEX('Data_NSA'!$A:$OK,MATCH(EDATE(U$2,-1),'Data_NSA'!$A:$A,0),MATCH("CUUR0000SA0",'Data_NSA'!$1:$1,0))/INDEX('Data_NSA'!$A:$OK,MATCH(INDEX('Weights'!$E:$E,MATCH($A215,'Weights'!$A:$A,0)),'Data_NSA'!$A:$A,0),MATCH("CUUR0000SA0",'Data_NSA'!$1:$1,0))))*(INDEX('Data_SA'!$A:$LO,MATCH(U$2,'Data_SA'!$A:$A,0),MATCH($E215,'Data_SA'!$1:$1,0))/INDEX('Data_SA'!$A:$LO,MATCH(EDATE(U$2,-1),'Data_SA'!$A:$A,0),MATCH($E215,'Data_SA'!$1:$1,0))-1),""))</f>
        <v/>
      </c>
    </row>
    <row r="216">
      <c r="A216" s="3" t="inlineStr">
        <is>
          <t>SETA01</t>
        </is>
      </c>
      <c r="B216" s="3" t="inlineStr">
        <is>
          <t>New vehicles</t>
        </is>
      </c>
      <c r="C216" s="3" t="inlineStr">
        <is>
          <t>SETA</t>
        </is>
      </c>
      <c r="D216" s="3" t="inlineStr">
        <is>
          <t>CUUR0000SETA01</t>
        </is>
      </c>
      <c r="E216" s="3" t="inlineStr">
        <is>
          <t>CUSR0000SETA01</t>
        </is>
      </c>
      <c r="F216" s="3" t="inlineStr">
        <is>
          <t>GM</t>
        </is>
      </c>
      <c r="G216" s="3" t="inlineStr">
        <is>
          <t>J.D. Power transaction data</t>
        </is>
      </c>
      <c r="H216" s="10">
        <f>IFERROR(INDEX(Weights!$D:$D,MATCH($A216,Weights!$A:$A,0)),"")</f>
        <v/>
      </c>
      <c r="I216" s="10">
        <f>IFERROR(INDEX('Data_NSA'!$A:$OK,MATCH(I$2,'Data_NSA'!$A:$A,0),MATCH($D216,'Data_NSA'!$1:$1,0)),"")</f>
        <v/>
      </c>
      <c r="J216" s="10">
        <f>IF($E216="","",IFERROR(INDEX('Data_SA'!$A:$LO,MATCH(I$2,'Data_SA'!$A:$A,0),MATCH($E216,'Data_SA'!$1:$1,0)),""))</f>
        <v/>
      </c>
      <c r="K216" s="7">
        <f>IF($E216="","",IFERROR(INDEX('Data_SA'!$A:$LO,MATCH(I$2,'Data_SA'!$A:$A,0),MATCH($E216,'Data_SA'!$1:$1,0))/INDEX('Data_SA'!$A:$LO,MATCH(EDATE(I$2,-1),'Data_SA'!$A:$A,0),MATCH($E216,'Data_SA'!$1:$1,0))-1,""))</f>
        <v/>
      </c>
      <c r="L216" s="7">
        <f>IFERROR(INDEX('Data_NSA'!$A:$OK,MATCH(I$2,'Data_NSA'!$A:$A,0),MATCH($D216,'Data_NSA'!$1:$1,0))/INDEX('Data_NSA'!$A:$OK,MATCH(EDATE(I$2,-12),'Data_NSA'!$A:$A,0),MATCH($D216,'Data_NSA'!$1:$1,0))-1,"")</f>
        <v/>
      </c>
      <c r="M216" s="10">
        <f>IFERROR(INDEX('Weights'!$G:$I,MATCH($A216,'Weights'!$A:$A,0),MATCH(I$2,'Weights'!$G$1:$I$1,0)),"")</f>
        <v/>
      </c>
      <c r="N216" s="10">
        <f>IF($E216="","",IFERROR(100*(INDEX('Weights'!$D:$D,MATCH($A216,'Weights'!$A:$A,0))*(INDEX('Data_NSA'!$A:$OK,MATCH(EDATE(I$2,-1),'Data_NSA'!$A:$A,0),MATCH($D216,'Data_NSA'!$1:$1,0))/INDEX('Data_NSA'!$A:$OK,MATCH(INDEX('Weights'!$E:$E,MATCH($A216,'Weights'!$A:$A,0)),'Data_NSA'!$A:$A,0),MATCH($D216,'Data_NSA'!$1:$1,0))))/(100*(INDEX('Data_NSA'!$A:$OK,MATCH(EDATE(I$2,-1),'Data_NSA'!$A:$A,0),MATCH("CUUR0000SA0",'Data_NSA'!$1:$1,0))/INDEX('Data_NSA'!$A:$OK,MATCH(INDEX('Weights'!$E:$E,MATCH($A216,'Weights'!$A:$A,0)),'Data_NSA'!$A:$A,0),MATCH("CUUR0000SA0",'Data_NSA'!$1:$1,0))))*(INDEX('Data_SA'!$A:$LO,MATCH(I$2,'Data_SA'!$A:$A,0),MATCH($E216,'Data_SA'!$1:$1,0))/INDEX('Data_SA'!$A:$LO,MATCH(EDATE(I$2,-1),'Data_SA'!$A:$A,0),MATCH($E216,'Data_SA'!$1:$1,0))-1),""))</f>
        <v/>
      </c>
      <c r="O216" s="10">
        <f>IFERROR(INDEX('Data_NSA'!$A:$OK,MATCH(O$2,'Data_NSA'!$A:$A,0),MATCH($D216,'Data_NSA'!$1:$1,0)),"")</f>
        <v/>
      </c>
      <c r="P216" s="10">
        <f>IF($E216="","",IFERROR(INDEX('Data_SA'!$A:$LO,MATCH(O$2,'Data_SA'!$A:$A,0),MATCH($E216,'Data_SA'!$1:$1,0)),""))</f>
        <v/>
      </c>
      <c r="Q216" s="7">
        <f>IF($E216="","",IFERROR(INDEX('Data_SA'!$A:$LO,MATCH(O$2,'Data_SA'!$A:$A,0),MATCH($E216,'Data_SA'!$1:$1,0))/INDEX('Data_SA'!$A:$LO,MATCH(EDATE(O$2,-1),'Data_SA'!$A:$A,0),MATCH($E216,'Data_SA'!$1:$1,0))-1,""))</f>
        <v/>
      </c>
      <c r="R216" s="7">
        <f>IFERROR(INDEX('Data_NSA'!$A:$OK,MATCH(O$2,'Data_NSA'!$A:$A,0),MATCH($D216,'Data_NSA'!$1:$1,0))/INDEX('Data_NSA'!$A:$OK,MATCH(EDATE(O$2,-12),'Data_NSA'!$A:$A,0),MATCH($D216,'Data_NSA'!$1:$1,0))-1,"")</f>
        <v/>
      </c>
      <c r="S216" s="10">
        <f>IFERROR(INDEX('Weights'!$G:$I,MATCH($A216,'Weights'!$A:$A,0),MATCH(O$2,'Weights'!$G$1:$I$1,0)),"")</f>
        <v/>
      </c>
      <c r="T216" s="10">
        <f>IF($E216="","",IFERROR(100*(INDEX('Weights'!$D:$D,MATCH($A216,'Weights'!$A:$A,0))*(INDEX('Data_NSA'!$A:$OK,MATCH(EDATE(O$2,-1),'Data_NSA'!$A:$A,0),MATCH($D216,'Data_NSA'!$1:$1,0))/INDEX('Data_NSA'!$A:$OK,MATCH(INDEX('Weights'!$E:$E,MATCH($A216,'Weights'!$A:$A,0)),'Data_NSA'!$A:$A,0),MATCH($D216,'Data_NSA'!$1:$1,0))))/(100*(INDEX('Data_NSA'!$A:$OK,MATCH(EDATE(O$2,-1),'Data_NSA'!$A:$A,0),MATCH("CUUR0000SA0",'Data_NSA'!$1:$1,0))/INDEX('Data_NSA'!$A:$OK,MATCH(INDEX('Weights'!$E:$E,MATCH($A216,'Weights'!$A:$A,0)),'Data_NSA'!$A:$A,0),MATCH("CUUR0000SA0",'Data_NSA'!$1:$1,0))))*(INDEX('Data_SA'!$A:$LO,MATCH(O$2,'Data_SA'!$A:$A,0),MATCH($E216,'Data_SA'!$1:$1,0))/INDEX('Data_SA'!$A:$LO,MATCH(EDATE(O$2,-1),'Data_SA'!$A:$A,0),MATCH($E216,'Data_SA'!$1:$1,0))-1),""))</f>
        <v/>
      </c>
      <c r="U216" s="10">
        <f>IFERROR(INDEX('Data_NSA'!$A:$OK,MATCH(U$2,'Data_NSA'!$A:$A,0),MATCH($D216,'Data_NSA'!$1:$1,0)),"")</f>
        <v/>
      </c>
      <c r="V216" s="10">
        <f>IF($E216="","",IFERROR(INDEX('Data_SA'!$A:$LO,MATCH(U$2,'Data_SA'!$A:$A,0),MATCH($E216,'Data_SA'!$1:$1,0)),""))</f>
        <v/>
      </c>
      <c r="W216" s="7">
        <f>IF($E216="","",IFERROR(INDEX('Data_SA'!$A:$LO,MATCH(U$2,'Data_SA'!$A:$A,0),MATCH($E216,'Data_SA'!$1:$1,0))/INDEX('Data_SA'!$A:$LO,MATCH(EDATE(U$2,-1),'Data_SA'!$A:$A,0),MATCH($E216,'Data_SA'!$1:$1,0))-1,""))</f>
        <v/>
      </c>
      <c r="X216" s="7">
        <f>IFERROR(INDEX('Data_NSA'!$A:$OK,MATCH(U$2,'Data_NSA'!$A:$A,0),MATCH($D216,'Data_NSA'!$1:$1,0))/INDEX('Data_NSA'!$A:$OK,MATCH(EDATE(U$2,-12),'Data_NSA'!$A:$A,0),MATCH($D216,'Data_NSA'!$1:$1,0))-1,"")</f>
        <v/>
      </c>
      <c r="Y216" s="10">
        <f>IFERROR(INDEX('Weights'!$G:$I,MATCH($A216,'Weights'!$A:$A,0),MATCH(U$2,'Weights'!$G$1:$I$1,0)),"")</f>
        <v/>
      </c>
      <c r="Z216" s="10">
        <f>IF($E216="","",IFERROR(100*(INDEX('Weights'!$D:$D,MATCH($A216,'Weights'!$A:$A,0))*(INDEX('Data_NSA'!$A:$OK,MATCH(EDATE(U$2,-1),'Data_NSA'!$A:$A,0),MATCH($D216,'Data_NSA'!$1:$1,0))/INDEX('Data_NSA'!$A:$OK,MATCH(INDEX('Weights'!$E:$E,MATCH($A216,'Weights'!$A:$A,0)),'Data_NSA'!$A:$A,0),MATCH($D216,'Data_NSA'!$1:$1,0))))/(100*(INDEX('Data_NSA'!$A:$OK,MATCH(EDATE(U$2,-1),'Data_NSA'!$A:$A,0),MATCH("CUUR0000SA0",'Data_NSA'!$1:$1,0))/INDEX('Data_NSA'!$A:$OK,MATCH(INDEX('Weights'!$E:$E,MATCH($A216,'Weights'!$A:$A,0)),'Data_NSA'!$A:$A,0),MATCH("CUUR0000SA0",'Data_NSA'!$1:$1,0))))*(INDEX('Data_SA'!$A:$LO,MATCH(U$2,'Data_SA'!$A:$A,0),MATCH($E216,'Data_SA'!$1:$1,0))/INDEX('Data_SA'!$A:$LO,MATCH(EDATE(U$2,-1),'Data_SA'!$A:$A,0),MATCH($E216,'Data_SA'!$1:$1,0))-1),""))</f>
        <v/>
      </c>
    </row>
    <row r="217">
      <c r="A217" s="3" t="inlineStr">
        <is>
          <t>SS4501A</t>
        </is>
      </c>
      <c r="B217" s="3" t="inlineStr">
        <is>
          <t>New cars and trucks</t>
        </is>
      </c>
      <c r="C217" s="3" t="inlineStr">
        <is>
          <t>SETA01</t>
        </is>
      </c>
      <c r="D217" s="3" t="inlineStr">
        <is>
          <t>CUUR0000SS4501A</t>
        </is>
      </c>
      <c r="E217" s="3" t="inlineStr">
        <is>
          <t>CUSR0000SS4501A</t>
        </is>
      </c>
      <c r="F217" s="3" t="inlineStr">
        <is>
          <t>GM</t>
        </is>
      </c>
      <c r="G217" s="3" t="inlineStr">
        <is>
          <t>monthly in New York/Los Angeles/Chicago; often bimonthly elsewhere</t>
        </is>
      </c>
      <c r="H217" s="10">
        <f>IFERROR(INDEX(Weights!$D:$D,MATCH($A217,Weights!$A:$A,0)),"")</f>
        <v/>
      </c>
      <c r="I217" s="10">
        <f>IFERROR(INDEX('Data_NSA'!$A:$OK,MATCH(I$2,'Data_NSA'!$A:$A,0),MATCH($D217,'Data_NSA'!$1:$1,0)),"")</f>
        <v/>
      </c>
      <c r="J217" s="10">
        <f>IF($E217="","",IFERROR(INDEX('Data_SA'!$A:$LO,MATCH(I$2,'Data_SA'!$A:$A,0),MATCH($E217,'Data_SA'!$1:$1,0)),""))</f>
        <v/>
      </c>
      <c r="K217" s="7">
        <f>IF($E217="","",IFERROR(INDEX('Data_SA'!$A:$LO,MATCH(I$2,'Data_SA'!$A:$A,0),MATCH($E217,'Data_SA'!$1:$1,0))/INDEX('Data_SA'!$A:$LO,MATCH(EDATE(I$2,-1),'Data_SA'!$A:$A,0),MATCH($E217,'Data_SA'!$1:$1,0))-1,""))</f>
        <v/>
      </c>
      <c r="L217" s="7">
        <f>IFERROR(INDEX('Data_NSA'!$A:$OK,MATCH(I$2,'Data_NSA'!$A:$A,0),MATCH($D217,'Data_NSA'!$1:$1,0))/INDEX('Data_NSA'!$A:$OK,MATCH(EDATE(I$2,-12),'Data_NSA'!$A:$A,0),MATCH($D217,'Data_NSA'!$1:$1,0))-1,"")</f>
        <v/>
      </c>
      <c r="M217" s="10">
        <f>IFERROR(INDEX('Weights'!$G:$I,MATCH($A217,'Weights'!$A:$A,0),MATCH(I$2,'Weights'!$G$1:$I$1,0)),"")</f>
        <v/>
      </c>
      <c r="N217" s="10">
        <f>IF($E217="","",IFERROR(100*(INDEX('Weights'!$D:$D,MATCH($A217,'Weights'!$A:$A,0))*(INDEX('Data_NSA'!$A:$OK,MATCH(EDATE(I$2,-1),'Data_NSA'!$A:$A,0),MATCH($D217,'Data_NSA'!$1:$1,0))/INDEX('Data_NSA'!$A:$OK,MATCH(INDEX('Weights'!$E:$E,MATCH($A217,'Weights'!$A:$A,0)),'Data_NSA'!$A:$A,0),MATCH($D217,'Data_NSA'!$1:$1,0))))/(100*(INDEX('Data_NSA'!$A:$OK,MATCH(EDATE(I$2,-1),'Data_NSA'!$A:$A,0),MATCH("CUUR0000SA0",'Data_NSA'!$1:$1,0))/INDEX('Data_NSA'!$A:$OK,MATCH(INDEX('Weights'!$E:$E,MATCH($A217,'Weights'!$A:$A,0)),'Data_NSA'!$A:$A,0),MATCH("CUUR0000SA0",'Data_NSA'!$1:$1,0))))*(INDEX('Data_SA'!$A:$LO,MATCH(I$2,'Data_SA'!$A:$A,0),MATCH($E217,'Data_SA'!$1:$1,0))/INDEX('Data_SA'!$A:$LO,MATCH(EDATE(I$2,-1),'Data_SA'!$A:$A,0),MATCH($E217,'Data_SA'!$1:$1,0))-1),""))</f>
        <v/>
      </c>
      <c r="O217" s="10">
        <f>IFERROR(INDEX('Data_NSA'!$A:$OK,MATCH(O$2,'Data_NSA'!$A:$A,0),MATCH($D217,'Data_NSA'!$1:$1,0)),"")</f>
        <v/>
      </c>
      <c r="P217" s="10">
        <f>IF($E217="","",IFERROR(INDEX('Data_SA'!$A:$LO,MATCH(O$2,'Data_SA'!$A:$A,0),MATCH($E217,'Data_SA'!$1:$1,0)),""))</f>
        <v/>
      </c>
      <c r="Q217" s="7">
        <f>IF($E217="","",IFERROR(INDEX('Data_SA'!$A:$LO,MATCH(O$2,'Data_SA'!$A:$A,0),MATCH($E217,'Data_SA'!$1:$1,0))/INDEX('Data_SA'!$A:$LO,MATCH(EDATE(O$2,-1),'Data_SA'!$A:$A,0),MATCH($E217,'Data_SA'!$1:$1,0))-1,""))</f>
        <v/>
      </c>
      <c r="R217" s="7">
        <f>IFERROR(INDEX('Data_NSA'!$A:$OK,MATCH(O$2,'Data_NSA'!$A:$A,0),MATCH($D217,'Data_NSA'!$1:$1,0))/INDEX('Data_NSA'!$A:$OK,MATCH(EDATE(O$2,-12),'Data_NSA'!$A:$A,0),MATCH($D217,'Data_NSA'!$1:$1,0))-1,"")</f>
        <v/>
      </c>
      <c r="S217" s="10">
        <f>IFERROR(INDEX('Weights'!$G:$I,MATCH($A217,'Weights'!$A:$A,0),MATCH(O$2,'Weights'!$G$1:$I$1,0)),"")</f>
        <v/>
      </c>
      <c r="T217" s="10">
        <f>IF($E217="","",IFERROR(100*(INDEX('Weights'!$D:$D,MATCH($A217,'Weights'!$A:$A,0))*(INDEX('Data_NSA'!$A:$OK,MATCH(EDATE(O$2,-1),'Data_NSA'!$A:$A,0),MATCH($D217,'Data_NSA'!$1:$1,0))/INDEX('Data_NSA'!$A:$OK,MATCH(INDEX('Weights'!$E:$E,MATCH($A217,'Weights'!$A:$A,0)),'Data_NSA'!$A:$A,0),MATCH($D217,'Data_NSA'!$1:$1,0))))/(100*(INDEX('Data_NSA'!$A:$OK,MATCH(EDATE(O$2,-1),'Data_NSA'!$A:$A,0),MATCH("CUUR0000SA0",'Data_NSA'!$1:$1,0))/INDEX('Data_NSA'!$A:$OK,MATCH(INDEX('Weights'!$E:$E,MATCH($A217,'Weights'!$A:$A,0)),'Data_NSA'!$A:$A,0),MATCH("CUUR0000SA0",'Data_NSA'!$1:$1,0))))*(INDEX('Data_SA'!$A:$LO,MATCH(O$2,'Data_SA'!$A:$A,0),MATCH($E217,'Data_SA'!$1:$1,0))/INDEX('Data_SA'!$A:$LO,MATCH(EDATE(O$2,-1),'Data_SA'!$A:$A,0),MATCH($E217,'Data_SA'!$1:$1,0))-1),""))</f>
        <v/>
      </c>
      <c r="U217" s="10">
        <f>IFERROR(INDEX('Data_NSA'!$A:$OK,MATCH(U$2,'Data_NSA'!$A:$A,0),MATCH($D217,'Data_NSA'!$1:$1,0)),"")</f>
        <v/>
      </c>
      <c r="V217" s="10">
        <f>IF($E217="","",IFERROR(INDEX('Data_SA'!$A:$LO,MATCH(U$2,'Data_SA'!$A:$A,0),MATCH($E217,'Data_SA'!$1:$1,0)),""))</f>
        <v/>
      </c>
      <c r="W217" s="7">
        <f>IF($E217="","",IFERROR(INDEX('Data_SA'!$A:$LO,MATCH(U$2,'Data_SA'!$A:$A,0),MATCH($E217,'Data_SA'!$1:$1,0))/INDEX('Data_SA'!$A:$LO,MATCH(EDATE(U$2,-1),'Data_SA'!$A:$A,0),MATCH($E217,'Data_SA'!$1:$1,0))-1,""))</f>
        <v/>
      </c>
      <c r="X217" s="7">
        <f>IFERROR(INDEX('Data_NSA'!$A:$OK,MATCH(U$2,'Data_NSA'!$A:$A,0),MATCH($D217,'Data_NSA'!$1:$1,0))/INDEX('Data_NSA'!$A:$OK,MATCH(EDATE(U$2,-12),'Data_NSA'!$A:$A,0),MATCH($D217,'Data_NSA'!$1:$1,0))-1,"")</f>
        <v/>
      </c>
      <c r="Y217" s="10">
        <f>IFERROR(INDEX('Weights'!$G:$I,MATCH($A217,'Weights'!$A:$A,0),MATCH(U$2,'Weights'!$G$1:$I$1,0)),"")</f>
        <v/>
      </c>
      <c r="Z217" s="10">
        <f>IF($E217="","",IFERROR(100*(INDEX('Weights'!$D:$D,MATCH($A217,'Weights'!$A:$A,0))*(INDEX('Data_NSA'!$A:$OK,MATCH(EDATE(U$2,-1),'Data_NSA'!$A:$A,0),MATCH($D217,'Data_NSA'!$1:$1,0))/INDEX('Data_NSA'!$A:$OK,MATCH(INDEX('Weights'!$E:$E,MATCH($A217,'Weights'!$A:$A,0)),'Data_NSA'!$A:$A,0),MATCH($D217,'Data_NSA'!$1:$1,0))))/(100*(INDEX('Data_NSA'!$A:$OK,MATCH(EDATE(U$2,-1),'Data_NSA'!$A:$A,0),MATCH("CUUR0000SA0",'Data_NSA'!$1:$1,0))/INDEX('Data_NSA'!$A:$OK,MATCH(INDEX('Weights'!$E:$E,MATCH($A217,'Weights'!$A:$A,0)),'Data_NSA'!$A:$A,0),MATCH("CUUR0000SA0",'Data_NSA'!$1:$1,0))))*(INDEX('Data_SA'!$A:$LO,MATCH(U$2,'Data_SA'!$A:$A,0),MATCH($E217,'Data_SA'!$1:$1,0))/INDEX('Data_SA'!$A:$LO,MATCH(EDATE(U$2,-1),'Data_SA'!$A:$A,0),MATCH($E217,'Data_SA'!$1:$1,0))-1),""))</f>
        <v/>
      </c>
    </row>
    <row r="218">
      <c r="A218" s="3" t="inlineStr">
        <is>
          <t>SS45011</t>
        </is>
      </c>
      <c r="B218" s="3" t="inlineStr">
        <is>
          <t>New cars</t>
        </is>
      </c>
      <c r="C218" s="3" t="inlineStr">
        <is>
          <t>SETA01</t>
        </is>
      </c>
      <c r="D218" s="3" t="inlineStr">
        <is>
          <t>CUUR0000SS45011</t>
        </is>
      </c>
      <c r="E218" s="3" t="inlineStr">
        <is>
          <t>CUSR0000SS45011</t>
        </is>
      </c>
      <c r="F218" s="3" t="inlineStr">
        <is>
          <t>GM</t>
        </is>
      </c>
      <c r="G218" s="3" t="inlineStr">
        <is>
          <t>monthly in New York/Los Angeles/Chicago; often bimonthly elsewhere</t>
        </is>
      </c>
      <c r="H218" s="10">
        <f>IFERROR(INDEX(Weights!$D:$D,MATCH($A218,Weights!$A:$A,0)),"")</f>
        <v/>
      </c>
      <c r="I218" s="10">
        <f>IFERROR(INDEX('Data_NSA'!$A:$OK,MATCH(I$2,'Data_NSA'!$A:$A,0),MATCH($D218,'Data_NSA'!$1:$1,0)),"")</f>
        <v/>
      </c>
      <c r="J218" s="10">
        <f>IF($E218="","",IFERROR(INDEX('Data_SA'!$A:$LO,MATCH(I$2,'Data_SA'!$A:$A,0),MATCH($E218,'Data_SA'!$1:$1,0)),""))</f>
        <v/>
      </c>
      <c r="K218" s="7">
        <f>IF($E218="","",IFERROR(INDEX('Data_SA'!$A:$LO,MATCH(I$2,'Data_SA'!$A:$A,0),MATCH($E218,'Data_SA'!$1:$1,0))/INDEX('Data_SA'!$A:$LO,MATCH(EDATE(I$2,-1),'Data_SA'!$A:$A,0),MATCH($E218,'Data_SA'!$1:$1,0))-1,""))</f>
        <v/>
      </c>
      <c r="L218" s="7">
        <f>IFERROR(INDEX('Data_NSA'!$A:$OK,MATCH(I$2,'Data_NSA'!$A:$A,0),MATCH($D218,'Data_NSA'!$1:$1,0))/INDEX('Data_NSA'!$A:$OK,MATCH(EDATE(I$2,-12),'Data_NSA'!$A:$A,0),MATCH($D218,'Data_NSA'!$1:$1,0))-1,"")</f>
        <v/>
      </c>
      <c r="M218" s="10">
        <f>IFERROR(INDEX('Weights'!$G:$I,MATCH($A218,'Weights'!$A:$A,0),MATCH(I$2,'Weights'!$G$1:$I$1,0)),"")</f>
        <v/>
      </c>
      <c r="N218" s="10">
        <f>IF($E218="","",IFERROR(100*(INDEX('Weights'!$D:$D,MATCH($A218,'Weights'!$A:$A,0))*(INDEX('Data_NSA'!$A:$OK,MATCH(EDATE(I$2,-1),'Data_NSA'!$A:$A,0),MATCH($D218,'Data_NSA'!$1:$1,0))/INDEX('Data_NSA'!$A:$OK,MATCH(INDEX('Weights'!$E:$E,MATCH($A218,'Weights'!$A:$A,0)),'Data_NSA'!$A:$A,0),MATCH($D218,'Data_NSA'!$1:$1,0))))/(100*(INDEX('Data_NSA'!$A:$OK,MATCH(EDATE(I$2,-1),'Data_NSA'!$A:$A,0),MATCH("CUUR0000SA0",'Data_NSA'!$1:$1,0))/INDEX('Data_NSA'!$A:$OK,MATCH(INDEX('Weights'!$E:$E,MATCH($A218,'Weights'!$A:$A,0)),'Data_NSA'!$A:$A,0),MATCH("CUUR0000SA0",'Data_NSA'!$1:$1,0))))*(INDEX('Data_SA'!$A:$LO,MATCH(I$2,'Data_SA'!$A:$A,0),MATCH($E218,'Data_SA'!$1:$1,0))/INDEX('Data_SA'!$A:$LO,MATCH(EDATE(I$2,-1),'Data_SA'!$A:$A,0),MATCH($E218,'Data_SA'!$1:$1,0))-1),""))</f>
        <v/>
      </c>
      <c r="O218" s="10">
        <f>IFERROR(INDEX('Data_NSA'!$A:$OK,MATCH(O$2,'Data_NSA'!$A:$A,0),MATCH($D218,'Data_NSA'!$1:$1,0)),"")</f>
        <v/>
      </c>
      <c r="P218" s="10">
        <f>IF($E218="","",IFERROR(INDEX('Data_SA'!$A:$LO,MATCH(O$2,'Data_SA'!$A:$A,0),MATCH($E218,'Data_SA'!$1:$1,0)),""))</f>
        <v/>
      </c>
      <c r="Q218" s="7">
        <f>IF($E218="","",IFERROR(INDEX('Data_SA'!$A:$LO,MATCH(O$2,'Data_SA'!$A:$A,0),MATCH($E218,'Data_SA'!$1:$1,0))/INDEX('Data_SA'!$A:$LO,MATCH(EDATE(O$2,-1),'Data_SA'!$A:$A,0),MATCH($E218,'Data_SA'!$1:$1,0))-1,""))</f>
        <v/>
      </c>
      <c r="R218" s="7">
        <f>IFERROR(INDEX('Data_NSA'!$A:$OK,MATCH(O$2,'Data_NSA'!$A:$A,0),MATCH($D218,'Data_NSA'!$1:$1,0))/INDEX('Data_NSA'!$A:$OK,MATCH(EDATE(O$2,-12),'Data_NSA'!$A:$A,0),MATCH($D218,'Data_NSA'!$1:$1,0))-1,"")</f>
        <v/>
      </c>
      <c r="S218" s="10">
        <f>IFERROR(INDEX('Weights'!$G:$I,MATCH($A218,'Weights'!$A:$A,0),MATCH(O$2,'Weights'!$G$1:$I$1,0)),"")</f>
        <v/>
      </c>
      <c r="T218" s="10">
        <f>IF($E218="","",IFERROR(100*(INDEX('Weights'!$D:$D,MATCH($A218,'Weights'!$A:$A,0))*(INDEX('Data_NSA'!$A:$OK,MATCH(EDATE(O$2,-1),'Data_NSA'!$A:$A,0),MATCH($D218,'Data_NSA'!$1:$1,0))/INDEX('Data_NSA'!$A:$OK,MATCH(INDEX('Weights'!$E:$E,MATCH($A218,'Weights'!$A:$A,0)),'Data_NSA'!$A:$A,0),MATCH($D218,'Data_NSA'!$1:$1,0))))/(100*(INDEX('Data_NSA'!$A:$OK,MATCH(EDATE(O$2,-1),'Data_NSA'!$A:$A,0),MATCH("CUUR0000SA0",'Data_NSA'!$1:$1,0))/INDEX('Data_NSA'!$A:$OK,MATCH(INDEX('Weights'!$E:$E,MATCH($A218,'Weights'!$A:$A,0)),'Data_NSA'!$A:$A,0),MATCH("CUUR0000SA0",'Data_NSA'!$1:$1,0))))*(INDEX('Data_SA'!$A:$LO,MATCH(O$2,'Data_SA'!$A:$A,0),MATCH($E218,'Data_SA'!$1:$1,0))/INDEX('Data_SA'!$A:$LO,MATCH(EDATE(O$2,-1),'Data_SA'!$A:$A,0),MATCH($E218,'Data_SA'!$1:$1,0))-1),""))</f>
        <v/>
      </c>
      <c r="U218" s="10">
        <f>IFERROR(INDEX('Data_NSA'!$A:$OK,MATCH(U$2,'Data_NSA'!$A:$A,0),MATCH($D218,'Data_NSA'!$1:$1,0)),"")</f>
        <v/>
      </c>
      <c r="V218" s="10">
        <f>IF($E218="","",IFERROR(INDEX('Data_SA'!$A:$LO,MATCH(U$2,'Data_SA'!$A:$A,0),MATCH($E218,'Data_SA'!$1:$1,0)),""))</f>
        <v/>
      </c>
      <c r="W218" s="7">
        <f>IF($E218="","",IFERROR(INDEX('Data_SA'!$A:$LO,MATCH(U$2,'Data_SA'!$A:$A,0),MATCH($E218,'Data_SA'!$1:$1,0))/INDEX('Data_SA'!$A:$LO,MATCH(EDATE(U$2,-1),'Data_SA'!$A:$A,0),MATCH($E218,'Data_SA'!$1:$1,0))-1,""))</f>
        <v/>
      </c>
      <c r="X218" s="7">
        <f>IFERROR(INDEX('Data_NSA'!$A:$OK,MATCH(U$2,'Data_NSA'!$A:$A,0),MATCH($D218,'Data_NSA'!$1:$1,0))/INDEX('Data_NSA'!$A:$OK,MATCH(EDATE(U$2,-12),'Data_NSA'!$A:$A,0),MATCH($D218,'Data_NSA'!$1:$1,0))-1,"")</f>
        <v/>
      </c>
      <c r="Y218" s="10">
        <f>IFERROR(INDEX('Weights'!$G:$I,MATCH($A218,'Weights'!$A:$A,0),MATCH(U$2,'Weights'!$G$1:$I$1,0)),"")</f>
        <v/>
      </c>
      <c r="Z218" s="10">
        <f>IF($E218="","",IFERROR(100*(INDEX('Weights'!$D:$D,MATCH($A218,'Weights'!$A:$A,0))*(INDEX('Data_NSA'!$A:$OK,MATCH(EDATE(U$2,-1),'Data_NSA'!$A:$A,0),MATCH($D218,'Data_NSA'!$1:$1,0))/INDEX('Data_NSA'!$A:$OK,MATCH(INDEX('Weights'!$E:$E,MATCH($A218,'Weights'!$A:$A,0)),'Data_NSA'!$A:$A,0),MATCH($D218,'Data_NSA'!$1:$1,0))))/(100*(INDEX('Data_NSA'!$A:$OK,MATCH(EDATE(U$2,-1),'Data_NSA'!$A:$A,0),MATCH("CUUR0000SA0",'Data_NSA'!$1:$1,0))/INDEX('Data_NSA'!$A:$OK,MATCH(INDEX('Weights'!$E:$E,MATCH($A218,'Weights'!$A:$A,0)),'Data_NSA'!$A:$A,0),MATCH("CUUR0000SA0",'Data_NSA'!$1:$1,0))))*(INDEX('Data_SA'!$A:$LO,MATCH(U$2,'Data_SA'!$A:$A,0),MATCH($E218,'Data_SA'!$1:$1,0))/INDEX('Data_SA'!$A:$LO,MATCH(EDATE(U$2,-1),'Data_SA'!$A:$A,0),MATCH($E218,'Data_SA'!$1:$1,0))-1),""))</f>
        <v/>
      </c>
    </row>
    <row r="219">
      <c r="A219" s="3" t="inlineStr">
        <is>
          <t>SS45021</t>
        </is>
      </c>
      <c r="B219" s="3" t="inlineStr">
        <is>
          <t>New trucks</t>
        </is>
      </c>
      <c r="C219" s="3" t="inlineStr">
        <is>
          <t>SETA01</t>
        </is>
      </c>
      <c r="D219" s="3" t="inlineStr">
        <is>
          <t>CUUR0000SS45021</t>
        </is>
      </c>
      <c r="E219" s="3" t="inlineStr">
        <is>
          <t>CUSR0000SS45021</t>
        </is>
      </c>
      <c r="F219" s="3" t="inlineStr">
        <is>
          <t>GM</t>
        </is>
      </c>
      <c r="G219" s="3" t="inlineStr">
        <is>
          <t>monthly in New York/Los Angeles/Chicago; often bimonthly elsewhere</t>
        </is>
      </c>
      <c r="H219" s="10">
        <f>IFERROR(INDEX(Weights!$D:$D,MATCH($A219,Weights!$A:$A,0)),"")</f>
        <v/>
      </c>
      <c r="I219" s="10">
        <f>IFERROR(INDEX('Data_NSA'!$A:$OK,MATCH(I$2,'Data_NSA'!$A:$A,0),MATCH($D219,'Data_NSA'!$1:$1,0)),"")</f>
        <v/>
      </c>
      <c r="J219" s="10">
        <f>IF($E219="","",IFERROR(INDEX('Data_SA'!$A:$LO,MATCH(I$2,'Data_SA'!$A:$A,0),MATCH($E219,'Data_SA'!$1:$1,0)),""))</f>
        <v/>
      </c>
      <c r="K219" s="7">
        <f>IF($E219="","",IFERROR(INDEX('Data_SA'!$A:$LO,MATCH(I$2,'Data_SA'!$A:$A,0),MATCH($E219,'Data_SA'!$1:$1,0))/INDEX('Data_SA'!$A:$LO,MATCH(EDATE(I$2,-1),'Data_SA'!$A:$A,0),MATCH($E219,'Data_SA'!$1:$1,0))-1,""))</f>
        <v/>
      </c>
      <c r="L219" s="7">
        <f>IFERROR(INDEX('Data_NSA'!$A:$OK,MATCH(I$2,'Data_NSA'!$A:$A,0),MATCH($D219,'Data_NSA'!$1:$1,0))/INDEX('Data_NSA'!$A:$OK,MATCH(EDATE(I$2,-12),'Data_NSA'!$A:$A,0),MATCH($D219,'Data_NSA'!$1:$1,0))-1,"")</f>
        <v/>
      </c>
      <c r="M219" s="10">
        <f>IFERROR(INDEX('Weights'!$G:$I,MATCH($A219,'Weights'!$A:$A,0),MATCH(I$2,'Weights'!$G$1:$I$1,0)),"")</f>
        <v/>
      </c>
      <c r="N219" s="10">
        <f>IF($E219="","",IFERROR(100*(INDEX('Weights'!$D:$D,MATCH($A219,'Weights'!$A:$A,0))*(INDEX('Data_NSA'!$A:$OK,MATCH(EDATE(I$2,-1),'Data_NSA'!$A:$A,0),MATCH($D219,'Data_NSA'!$1:$1,0))/INDEX('Data_NSA'!$A:$OK,MATCH(INDEX('Weights'!$E:$E,MATCH($A219,'Weights'!$A:$A,0)),'Data_NSA'!$A:$A,0),MATCH($D219,'Data_NSA'!$1:$1,0))))/(100*(INDEX('Data_NSA'!$A:$OK,MATCH(EDATE(I$2,-1),'Data_NSA'!$A:$A,0),MATCH("CUUR0000SA0",'Data_NSA'!$1:$1,0))/INDEX('Data_NSA'!$A:$OK,MATCH(INDEX('Weights'!$E:$E,MATCH($A219,'Weights'!$A:$A,0)),'Data_NSA'!$A:$A,0),MATCH("CUUR0000SA0",'Data_NSA'!$1:$1,0))))*(INDEX('Data_SA'!$A:$LO,MATCH(I$2,'Data_SA'!$A:$A,0),MATCH($E219,'Data_SA'!$1:$1,0))/INDEX('Data_SA'!$A:$LO,MATCH(EDATE(I$2,-1),'Data_SA'!$A:$A,0),MATCH($E219,'Data_SA'!$1:$1,0))-1),""))</f>
        <v/>
      </c>
      <c r="O219" s="10">
        <f>IFERROR(INDEX('Data_NSA'!$A:$OK,MATCH(O$2,'Data_NSA'!$A:$A,0),MATCH($D219,'Data_NSA'!$1:$1,0)),"")</f>
        <v/>
      </c>
      <c r="P219" s="10">
        <f>IF($E219="","",IFERROR(INDEX('Data_SA'!$A:$LO,MATCH(O$2,'Data_SA'!$A:$A,0),MATCH($E219,'Data_SA'!$1:$1,0)),""))</f>
        <v/>
      </c>
      <c r="Q219" s="7">
        <f>IF($E219="","",IFERROR(INDEX('Data_SA'!$A:$LO,MATCH(O$2,'Data_SA'!$A:$A,0),MATCH($E219,'Data_SA'!$1:$1,0))/INDEX('Data_SA'!$A:$LO,MATCH(EDATE(O$2,-1),'Data_SA'!$A:$A,0),MATCH($E219,'Data_SA'!$1:$1,0))-1,""))</f>
        <v/>
      </c>
      <c r="R219" s="7">
        <f>IFERROR(INDEX('Data_NSA'!$A:$OK,MATCH(O$2,'Data_NSA'!$A:$A,0),MATCH($D219,'Data_NSA'!$1:$1,0))/INDEX('Data_NSA'!$A:$OK,MATCH(EDATE(O$2,-12),'Data_NSA'!$A:$A,0),MATCH($D219,'Data_NSA'!$1:$1,0))-1,"")</f>
        <v/>
      </c>
      <c r="S219" s="10">
        <f>IFERROR(INDEX('Weights'!$G:$I,MATCH($A219,'Weights'!$A:$A,0),MATCH(O$2,'Weights'!$G$1:$I$1,0)),"")</f>
        <v/>
      </c>
      <c r="T219" s="10">
        <f>IF($E219="","",IFERROR(100*(INDEX('Weights'!$D:$D,MATCH($A219,'Weights'!$A:$A,0))*(INDEX('Data_NSA'!$A:$OK,MATCH(EDATE(O$2,-1),'Data_NSA'!$A:$A,0),MATCH($D219,'Data_NSA'!$1:$1,0))/INDEX('Data_NSA'!$A:$OK,MATCH(INDEX('Weights'!$E:$E,MATCH($A219,'Weights'!$A:$A,0)),'Data_NSA'!$A:$A,0),MATCH($D219,'Data_NSA'!$1:$1,0))))/(100*(INDEX('Data_NSA'!$A:$OK,MATCH(EDATE(O$2,-1),'Data_NSA'!$A:$A,0),MATCH("CUUR0000SA0",'Data_NSA'!$1:$1,0))/INDEX('Data_NSA'!$A:$OK,MATCH(INDEX('Weights'!$E:$E,MATCH($A219,'Weights'!$A:$A,0)),'Data_NSA'!$A:$A,0),MATCH("CUUR0000SA0",'Data_NSA'!$1:$1,0))))*(INDEX('Data_SA'!$A:$LO,MATCH(O$2,'Data_SA'!$A:$A,0),MATCH($E219,'Data_SA'!$1:$1,0))/INDEX('Data_SA'!$A:$LO,MATCH(EDATE(O$2,-1),'Data_SA'!$A:$A,0),MATCH($E219,'Data_SA'!$1:$1,0))-1),""))</f>
        <v/>
      </c>
      <c r="U219" s="10">
        <f>IFERROR(INDEX('Data_NSA'!$A:$OK,MATCH(U$2,'Data_NSA'!$A:$A,0),MATCH($D219,'Data_NSA'!$1:$1,0)),"")</f>
        <v/>
      </c>
      <c r="V219" s="10">
        <f>IF($E219="","",IFERROR(INDEX('Data_SA'!$A:$LO,MATCH(U$2,'Data_SA'!$A:$A,0),MATCH($E219,'Data_SA'!$1:$1,0)),""))</f>
        <v/>
      </c>
      <c r="W219" s="7">
        <f>IF($E219="","",IFERROR(INDEX('Data_SA'!$A:$LO,MATCH(U$2,'Data_SA'!$A:$A,0),MATCH($E219,'Data_SA'!$1:$1,0))/INDEX('Data_SA'!$A:$LO,MATCH(EDATE(U$2,-1),'Data_SA'!$A:$A,0),MATCH($E219,'Data_SA'!$1:$1,0))-1,""))</f>
        <v/>
      </c>
      <c r="X219" s="7">
        <f>IFERROR(INDEX('Data_NSA'!$A:$OK,MATCH(U$2,'Data_NSA'!$A:$A,0),MATCH($D219,'Data_NSA'!$1:$1,0))/INDEX('Data_NSA'!$A:$OK,MATCH(EDATE(U$2,-12),'Data_NSA'!$A:$A,0),MATCH($D219,'Data_NSA'!$1:$1,0))-1,"")</f>
        <v/>
      </c>
      <c r="Y219" s="10">
        <f>IFERROR(INDEX('Weights'!$G:$I,MATCH($A219,'Weights'!$A:$A,0),MATCH(U$2,'Weights'!$G$1:$I$1,0)),"")</f>
        <v/>
      </c>
      <c r="Z219" s="10">
        <f>IF($E219="","",IFERROR(100*(INDEX('Weights'!$D:$D,MATCH($A219,'Weights'!$A:$A,0))*(INDEX('Data_NSA'!$A:$OK,MATCH(EDATE(U$2,-1),'Data_NSA'!$A:$A,0),MATCH($D219,'Data_NSA'!$1:$1,0))/INDEX('Data_NSA'!$A:$OK,MATCH(INDEX('Weights'!$E:$E,MATCH($A219,'Weights'!$A:$A,0)),'Data_NSA'!$A:$A,0),MATCH($D219,'Data_NSA'!$1:$1,0))))/(100*(INDEX('Data_NSA'!$A:$OK,MATCH(EDATE(U$2,-1),'Data_NSA'!$A:$A,0),MATCH("CUUR0000SA0",'Data_NSA'!$1:$1,0))/INDEX('Data_NSA'!$A:$OK,MATCH(INDEX('Weights'!$E:$E,MATCH($A219,'Weights'!$A:$A,0)),'Data_NSA'!$A:$A,0),MATCH("CUUR0000SA0",'Data_NSA'!$1:$1,0))))*(INDEX('Data_SA'!$A:$LO,MATCH(U$2,'Data_SA'!$A:$A,0),MATCH($E219,'Data_SA'!$1:$1,0))/INDEX('Data_SA'!$A:$LO,MATCH(EDATE(U$2,-1),'Data_SA'!$A:$A,0),MATCH($E219,'Data_SA'!$1:$1,0))-1),""))</f>
        <v/>
      </c>
    </row>
    <row r="220">
      <c r="A220" s="3" t="inlineStr">
        <is>
          <t>SS45031</t>
        </is>
      </c>
      <c r="B220" s="3" t="inlineStr">
        <is>
          <t>New motorcycles</t>
        </is>
      </c>
      <c r="C220" s="3" t="inlineStr">
        <is>
          <t>SETA01</t>
        </is>
      </c>
      <c r="D220" s="3" t="inlineStr">
        <is>
          <t>CUUR0000SS45031</t>
        </is>
      </c>
      <c r="E220" s="3" t="inlineStr">
        <is>
          <t>CUSR0000SS45031</t>
        </is>
      </c>
      <c r="F220" s="3" t="inlineStr">
        <is>
          <t>GM</t>
        </is>
      </c>
      <c r="G220" s="3" t="inlineStr">
        <is>
          <t>monthly in New York/Los Angeles/Chicago; often bimonthly elsewhere</t>
        </is>
      </c>
      <c r="H220" s="10">
        <f>IFERROR(INDEX(Weights!$D:$D,MATCH($A220,Weights!$A:$A,0)),"")</f>
        <v/>
      </c>
      <c r="I220" s="10">
        <f>IFERROR(INDEX('Data_NSA'!$A:$OK,MATCH(I$2,'Data_NSA'!$A:$A,0),MATCH($D220,'Data_NSA'!$1:$1,0)),"")</f>
        <v/>
      </c>
      <c r="J220" s="10">
        <f>IF($E220="","",IFERROR(INDEX('Data_SA'!$A:$LO,MATCH(I$2,'Data_SA'!$A:$A,0),MATCH($E220,'Data_SA'!$1:$1,0)),""))</f>
        <v/>
      </c>
      <c r="K220" s="7">
        <f>IF($E220="","",IFERROR(INDEX('Data_SA'!$A:$LO,MATCH(I$2,'Data_SA'!$A:$A,0),MATCH($E220,'Data_SA'!$1:$1,0))/INDEX('Data_SA'!$A:$LO,MATCH(EDATE(I$2,-1),'Data_SA'!$A:$A,0),MATCH($E220,'Data_SA'!$1:$1,0))-1,""))</f>
        <v/>
      </c>
      <c r="L220" s="7">
        <f>IFERROR(INDEX('Data_NSA'!$A:$OK,MATCH(I$2,'Data_NSA'!$A:$A,0),MATCH($D220,'Data_NSA'!$1:$1,0))/INDEX('Data_NSA'!$A:$OK,MATCH(EDATE(I$2,-12),'Data_NSA'!$A:$A,0),MATCH($D220,'Data_NSA'!$1:$1,0))-1,"")</f>
        <v/>
      </c>
      <c r="M220" s="10">
        <f>IFERROR(INDEX('Weights'!$G:$I,MATCH($A220,'Weights'!$A:$A,0),MATCH(I$2,'Weights'!$G$1:$I$1,0)),"")</f>
        <v/>
      </c>
      <c r="N220" s="10">
        <f>IF($E220="","",IFERROR(100*(INDEX('Weights'!$D:$D,MATCH($A220,'Weights'!$A:$A,0))*(INDEX('Data_NSA'!$A:$OK,MATCH(EDATE(I$2,-1),'Data_NSA'!$A:$A,0),MATCH($D220,'Data_NSA'!$1:$1,0))/INDEX('Data_NSA'!$A:$OK,MATCH(INDEX('Weights'!$E:$E,MATCH($A220,'Weights'!$A:$A,0)),'Data_NSA'!$A:$A,0),MATCH($D220,'Data_NSA'!$1:$1,0))))/(100*(INDEX('Data_NSA'!$A:$OK,MATCH(EDATE(I$2,-1),'Data_NSA'!$A:$A,0),MATCH("CUUR0000SA0",'Data_NSA'!$1:$1,0))/INDEX('Data_NSA'!$A:$OK,MATCH(INDEX('Weights'!$E:$E,MATCH($A220,'Weights'!$A:$A,0)),'Data_NSA'!$A:$A,0),MATCH("CUUR0000SA0",'Data_NSA'!$1:$1,0))))*(INDEX('Data_SA'!$A:$LO,MATCH(I$2,'Data_SA'!$A:$A,0),MATCH($E220,'Data_SA'!$1:$1,0))/INDEX('Data_SA'!$A:$LO,MATCH(EDATE(I$2,-1),'Data_SA'!$A:$A,0),MATCH($E220,'Data_SA'!$1:$1,0))-1),""))</f>
        <v/>
      </c>
      <c r="O220" s="10">
        <f>IFERROR(INDEX('Data_NSA'!$A:$OK,MATCH(O$2,'Data_NSA'!$A:$A,0),MATCH($D220,'Data_NSA'!$1:$1,0)),"")</f>
        <v/>
      </c>
      <c r="P220" s="10">
        <f>IF($E220="","",IFERROR(INDEX('Data_SA'!$A:$LO,MATCH(O$2,'Data_SA'!$A:$A,0),MATCH($E220,'Data_SA'!$1:$1,0)),""))</f>
        <v/>
      </c>
      <c r="Q220" s="7">
        <f>IF($E220="","",IFERROR(INDEX('Data_SA'!$A:$LO,MATCH(O$2,'Data_SA'!$A:$A,0),MATCH($E220,'Data_SA'!$1:$1,0))/INDEX('Data_SA'!$A:$LO,MATCH(EDATE(O$2,-1),'Data_SA'!$A:$A,0),MATCH($E220,'Data_SA'!$1:$1,0))-1,""))</f>
        <v/>
      </c>
      <c r="R220" s="7">
        <f>IFERROR(INDEX('Data_NSA'!$A:$OK,MATCH(O$2,'Data_NSA'!$A:$A,0),MATCH($D220,'Data_NSA'!$1:$1,0))/INDEX('Data_NSA'!$A:$OK,MATCH(EDATE(O$2,-12),'Data_NSA'!$A:$A,0),MATCH($D220,'Data_NSA'!$1:$1,0))-1,"")</f>
        <v/>
      </c>
      <c r="S220" s="10">
        <f>IFERROR(INDEX('Weights'!$G:$I,MATCH($A220,'Weights'!$A:$A,0),MATCH(O$2,'Weights'!$G$1:$I$1,0)),"")</f>
        <v/>
      </c>
      <c r="T220" s="10">
        <f>IF($E220="","",IFERROR(100*(INDEX('Weights'!$D:$D,MATCH($A220,'Weights'!$A:$A,0))*(INDEX('Data_NSA'!$A:$OK,MATCH(EDATE(O$2,-1),'Data_NSA'!$A:$A,0),MATCH($D220,'Data_NSA'!$1:$1,0))/INDEX('Data_NSA'!$A:$OK,MATCH(INDEX('Weights'!$E:$E,MATCH($A220,'Weights'!$A:$A,0)),'Data_NSA'!$A:$A,0),MATCH($D220,'Data_NSA'!$1:$1,0))))/(100*(INDEX('Data_NSA'!$A:$OK,MATCH(EDATE(O$2,-1),'Data_NSA'!$A:$A,0),MATCH("CUUR0000SA0",'Data_NSA'!$1:$1,0))/INDEX('Data_NSA'!$A:$OK,MATCH(INDEX('Weights'!$E:$E,MATCH($A220,'Weights'!$A:$A,0)),'Data_NSA'!$A:$A,0),MATCH("CUUR0000SA0",'Data_NSA'!$1:$1,0))))*(INDEX('Data_SA'!$A:$LO,MATCH(O$2,'Data_SA'!$A:$A,0),MATCH($E220,'Data_SA'!$1:$1,0))/INDEX('Data_SA'!$A:$LO,MATCH(EDATE(O$2,-1),'Data_SA'!$A:$A,0),MATCH($E220,'Data_SA'!$1:$1,0))-1),""))</f>
        <v/>
      </c>
      <c r="U220" s="10">
        <f>IFERROR(INDEX('Data_NSA'!$A:$OK,MATCH(U$2,'Data_NSA'!$A:$A,0),MATCH($D220,'Data_NSA'!$1:$1,0)),"")</f>
        <v/>
      </c>
      <c r="V220" s="10">
        <f>IF($E220="","",IFERROR(INDEX('Data_SA'!$A:$LO,MATCH(U$2,'Data_SA'!$A:$A,0),MATCH($E220,'Data_SA'!$1:$1,0)),""))</f>
        <v/>
      </c>
      <c r="W220" s="7">
        <f>IF($E220="","",IFERROR(INDEX('Data_SA'!$A:$LO,MATCH(U$2,'Data_SA'!$A:$A,0),MATCH($E220,'Data_SA'!$1:$1,0))/INDEX('Data_SA'!$A:$LO,MATCH(EDATE(U$2,-1),'Data_SA'!$A:$A,0),MATCH($E220,'Data_SA'!$1:$1,0))-1,""))</f>
        <v/>
      </c>
      <c r="X220" s="7">
        <f>IFERROR(INDEX('Data_NSA'!$A:$OK,MATCH(U$2,'Data_NSA'!$A:$A,0),MATCH($D220,'Data_NSA'!$1:$1,0))/INDEX('Data_NSA'!$A:$OK,MATCH(EDATE(U$2,-12),'Data_NSA'!$A:$A,0),MATCH($D220,'Data_NSA'!$1:$1,0))-1,"")</f>
        <v/>
      </c>
      <c r="Y220" s="10">
        <f>IFERROR(INDEX('Weights'!$G:$I,MATCH($A220,'Weights'!$A:$A,0),MATCH(U$2,'Weights'!$G$1:$I$1,0)),"")</f>
        <v/>
      </c>
      <c r="Z220" s="10">
        <f>IF($E220="","",IFERROR(100*(INDEX('Weights'!$D:$D,MATCH($A220,'Weights'!$A:$A,0))*(INDEX('Data_NSA'!$A:$OK,MATCH(EDATE(U$2,-1),'Data_NSA'!$A:$A,0),MATCH($D220,'Data_NSA'!$1:$1,0))/INDEX('Data_NSA'!$A:$OK,MATCH(INDEX('Weights'!$E:$E,MATCH($A220,'Weights'!$A:$A,0)),'Data_NSA'!$A:$A,0),MATCH($D220,'Data_NSA'!$1:$1,0))))/(100*(INDEX('Data_NSA'!$A:$OK,MATCH(EDATE(U$2,-1),'Data_NSA'!$A:$A,0),MATCH("CUUR0000SA0",'Data_NSA'!$1:$1,0))/INDEX('Data_NSA'!$A:$OK,MATCH(INDEX('Weights'!$E:$E,MATCH($A220,'Weights'!$A:$A,0)),'Data_NSA'!$A:$A,0),MATCH("CUUR0000SA0",'Data_NSA'!$1:$1,0))))*(INDEX('Data_SA'!$A:$LO,MATCH(U$2,'Data_SA'!$A:$A,0),MATCH($E220,'Data_SA'!$1:$1,0))/INDEX('Data_SA'!$A:$LO,MATCH(EDATE(U$2,-1),'Data_SA'!$A:$A,0),MATCH($E220,'Data_SA'!$1:$1,0))-1),""))</f>
        <v/>
      </c>
    </row>
    <row r="221">
      <c r="A221" s="3" t="inlineStr">
        <is>
          <t>SETA02</t>
        </is>
      </c>
      <c r="B221" s="3" t="inlineStr">
        <is>
          <t>Used cars and trucks</t>
        </is>
      </c>
      <c r="C221" s="3" t="inlineStr">
        <is>
          <t>SETA</t>
        </is>
      </c>
      <c r="D221" s="3" t="inlineStr">
        <is>
          <t>CUUR0000SETA02</t>
        </is>
      </c>
      <c r="E221" s="3" t="inlineStr">
        <is>
          <t>CUSR0000SETA02</t>
        </is>
      </c>
      <c r="F221" s="3" t="inlineStr">
        <is>
          <t>GM</t>
        </is>
      </c>
      <c r="G221" s="3" t="inlineStr">
        <is>
          <t>J.D. Power Valuation Services data</t>
        </is>
      </c>
      <c r="H221" s="10">
        <f>IFERROR(INDEX(Weights!$D:$D,MATCH($A221,Weights!$A:$A,0)),"")</f>
        <v/>
      </c>
      <c r="I221" s="10">
        <f>IFERROR(INDEX('Data_NSA'!$A:$OK,MATCH(I$2,'Data_NSA'!$A:$A,0),MATCH($D221,'Data_NSA'!$1:$1,0)),"")</f>
        <v/>
      </c>
      <c r="J221" s="10">
        <f>IF($E221="","",IFERROR(INDEX('Data_SA'!$A:$LO,MATCH(I$2,'Data_SA'!$A:$A,0),MATCH($E221,'Data_SA'!$1:$1,0)),""))</f>
        <v/>
      </c>
      <c r="K221" s="7">
        <f>IF($E221="","",IFERROR(INDEX('Data_SA'!$A:$LO,MATCH(I$2,'Data_SA'!$A:$A,0),MATCH($E221,'Data_SA'!$1:$1,0))/INDEX('Data_SA'!$A:$LO,MATCH(EDATE(I$2,-1),'Data_SA'!$A:$A,0),MATCH($E221,'Data_SA'!$1:$1,0))-1,""))</f>
        <v/>
      </c>
      <c r="L221" s="7">
        <f>IFERROR(INDEX('Data_NSA'!$A:$OK,MATCH(I$2,'Data_NSA'!$A:$A,0),MATCH($D221,'Data_NSA'!$1:$1,0))/INDEX('Data_NSA'!$A:$OK,MATCH(EDATE(I$2,-12),'Data_NSA'!$A:$A,0),MATCH($D221,'Data_NSA'!$1:$1,0))-1,"")</f>
        <v/>
      </c>
      <c r="M221" s="10">
        <f>IFERROR(INDEX('Weights'!$G:$I,MATCH($A221,'Weights'!$A:$A,0),MATCH(I$2,'Weights'!$G$1:$I$1,0)),"")</f>
        <v/>
      </c>
      <c r="N221" s="10">
        <f>IF($E221="","",IFERROR(100*(INDEX('Weights'!$D:$D,MATCH($A221,'Weights'!$A:$A,0))*(INDEX('Data_NSA'!$A:$OK,MATCH(EDATE(I$2,-1),'Data_NSA'!$A:$A,0),MATCH($D221,'Data_NSA'!$1:$1,0))/INDEX('Data_NSA'!$A:$OK,MATCH(INDEX('Weights'!$E:$E,MATCH($A221,'Weights'!$A:$A,0)),'Data_NSA'!$A:$A,0),MATCH($D221,'Data_NSA'!$1:$1,0))))/(100*(INDEX('Data_NSA'!$A:$OK,MATCH(EDATE(I$2,-1),'Data_NSA'!$A:$A,0),MATCH("CUUR0000SA0",'Data_NSA'!$1:$1,0))/INDEX('Data_NSA'!$A:$OK,MATCH(INDEX('Weights'!$E:$E,MATCH($A221,'Weights'!$A:$A,0)),'Data_NSA'!$A:$A,0),MATCH("CUUR0000SA0",'Data_NSA'!$1:$1,0))))*(INDEX('Data_SA'!$A:$LO,MATCH(I$2,'Data_SA'!$A:$A,0),MATCH($E221,'Data_SA'!$1:$1,0))/INDEX('Data_SA'!$A:$LO,MATCH(EDATE(I$2,-1),'Data_SA'!$A:$A,0),MATCH($E221,'Data_SA'!$1:$1,0))-1),""))</f>
        <v/>
      </c>
      <c r="O221" s="10">
        <f>IFERROR(INDEX('Data_NSA'!$A:$OK,MATCH(O$2,'Data_NSA'!$A:$A,0),MATCH($D221,'Data_NSA'!$1:$1,0)),"")</f>
        <v/>
      </c>
      <c r="P221" s="10">
        <f>IF($E221="","",IFERROR(INDEX('Data_SA'!$A:$LO,MATCH(O$2,'Data_SA'!$A:$A,0),MATCH($E221,'Data_SA'!$1:$1,0)),""))</f>
        <v/>
      </c>
      <c r="Q221" s="7">
        <f>IF($E221="","",IFERROR(INDEX('Data_SA'!$A:$LO,MATCH(O$2,'Data_SA'!$A:$A,0),MATCH($E221,'Data_SA'!$1:$1,0))/INDEX('Data_SA'!$A:$LO,MATCH(EDATE(O$2,-1),'Data_SA'!$A:$A,0),MATCH($E221,'Data_SA'!$1:$1,0))-1,""))</f>
        <v/>
      </c>
      <c r="R221" s="7">
        <f>IFERROR(INDEX('Data_NSA'!$A:$OK,MATCH(O$2,'Data_NSA'!$A:$A,0),MATCH($D221,'Data_NSA'!$1:$1,0))/INDEX('Data_NSA'!$A:$OK,MATCH(EDATE(O$2,-12),'Data_NSA'!$A:$A,0),MATCH($D221,'Data_NSA'!$1:$1,0))-1,"")</f>
        <v/>
      </c>
      <c r="S221" s="10">
        <f>IFERROR(INDEX('Weights'!$G:$I,MATCH($A221,'Weights'!$A:$A,0),MATCH(O$2,'Weights'!$G$1:$I$1,0)),"")</f>
        <v/>
      </c>
      <c r="T221" s="10">
        <f>IF($E221="","",IFERROR(100*(INDEX('Weights'!$D:$D,MATCH($A221,'Weights'!$A:$A,0))*(INDEX('Data_NSA'!$A:$OK,MATCH(EDATE(O$2,-1),'Data_NSA'!$A:$A,0),MATCH($D221,'Data_NSA'!$1:$1,0))/INDEX('Data_NSA'!$A:$OK,MATCH(INDEX('Weights'!$E:$E,MATCH($A221,'Weights'!$A:$A,0)),'Data_NSA'!$A:$A,0),MATCH($D221,'Data_NSA'!$1:$1,0))))/(100*(INDEX('Data_NSA'!$A:$OK,MATCH(EDATE(O$2,-1),'Data_NSA'!$A:$A,0),MATCH("CUUR0000SA0",'Data_NSA'!$1:$1,0))/INDEX('Data_NSA'!$A:$OK,MATCH(INDEX('Weights'!$E:$E,MATCH($A221,'Weights'!$A:$A,0)),'Data_NSA'!$A:$A,0),MATCH("CUUR0000SA0",'Data_NSA'!$1:$1,0))))*(INDEX('Data_SA'!$A:$LO,MATCH(O$2,'Data_SA'!$A:$A,0),MATCH($E221,'Data_SA'!$1:$1,0))/INDEX('Data_SA'!$A:$LO,MATCH(EDATE(O$2,-1),'Data_SA'!$A:$A,0),MATCH($E221,'Data_SA'!$1:$1,0))-1),""))</f>
        <v/>
      </c>
      <c r="U221" s="10">
        <f>IFERROR(INDEX('Data_NSA'!$A:$OK,MATCH(U$2,'Data_NSA'!$A:$A,0),MATCH($D221,'Data_NSA'!$1:$1,0)),"")</f>
        <v/>
      </c>
      <c r="V221" s="10">
        <f>IF($E221="","",IFERROR(INDEX('Data_SA'!$A:$LO,MATCH(U$2,'Data_SA'!$A:$A,0),MATCH($E221,'Data_SA'!$1:$1,0)),""))</f>
        <v/>
      </c>
      <c r="W221" s="7">
        <f>IF($E221="","",IFERROR(INDEX('Data_SA'!$A:$LO,MATCH(U$2,'Data_SA'!$A:$A,0),MATCH($E221,'Data_SA'!$1:$1,0))/INDEX('Data_SA'!$A:$LO,MATCH(EDATE(U$2,-1),'Data_SA'!$A:$A,0),MATCH($E221,'Data_SA'!$1:$1,0))-1,""))</f>
        <v/>
      </c>
      <c r="X221" s="7">
        <f>IFERROR(INDEX('Data_NSA'!$A:$OK,MATCH(U$2,'Data_NSA'!$A:$A,0),MATCH($D221,'Data_NSA'!$1:$1,0))/INDEX('Data_NSA'!$A:$OK,MATCH(EDATE(U$2,-12),'Data_NSA'!$A:$A,0),MATCH($D221,'Data_NSA'!$1:$1,0))-1,"")</f>
        <v/>
      </c>
      <c r="Y221" s="10">
        <f>IFERROR(INDEX('Weights'!$G:$I,MATCH($A221,'Weights'!$A:$A,0),MATCH(U$2,'Weights'!$G$1:$I$1,0)),"")</f>
        <v/>
      </c>
      <c r="Z221" s="10">
        <f>IF($E221="","",IFERROR(100*(INDEX('Weights'!$D:$D,MATCH($A221,'Weights'!$A:$A,0))*(INDEX('Data_NSA'!$A:$OK,MATCH(EDATE(U$2,-1),'Data_NSA'!$A:$A,0),MATCH($D221,'Data_NSA'!$1:$1,0))/INDEX('Data_NSA'!$A:$OK,MATCH(INDEX('Weights'!$E:$E,MATCH($A221,'Weights'!$A:$A,0)),'Data_NSA'!$A:$A,0),MATCH($D221,'Data_NSA'!$1:$1,0))))/(100*(INDEX('Data_NSA'!$A:$OK,MATCH(EDATE(U$2,-1),'Data_NSA'!$A:$A,0),MATCH("CUUR0000SA0",'Data_NSA'!$1:$1,0))/INDEX('Data_NSA'!$A:$OK,MATCH(INDEX('Weights'!$E:$E,MATCH($A221,'Weights'!$A:$A,0)),'Data_NSA'!$A:$A,0),MATCH("CUUR0000SA0",'Data_NSA'!$1:$1,0))))*(INDEX('Data_SA'!$A:$LO,MATCH(U$2,'Data_SA'!$A:$A,0),MATCH($E221,'Data_SA'!$1:$1,0))/INDEX('Data_SA'!$A:$LO,MATCH(EDATE(U$2,-1),'Data_SA'!$A:$A,0),MATCH($E221,'Data_SA'!$1:$1,0))-1),""))</f>
        <v/>
      </c>
    </row>
    <row r="222">
      <c r="A222" s="3" t="inlineStr">
        <is>
          <t>SETA03</t>
        </is>
      </c>
      <c r="B222" s="3" t="inlineStr">
        <is>
          <t>Leased cars and trucks</t>
        </is>
      </c>
      <c r="C222" s="3" t="inlineStr">
        <is>
          <t>SETA</t>
        </is>
      </c>
      <c r="D222" s="3" t="inlineStr">
        <is>
          <t>CUUR0000SETA03</t>
        </is>
      </c>
      <c r="E222" s="3" t="inlineStr">
        <is>
          <t>CUSR0000SETA03</t>
        </is>
      </c>
      <c r="F222" s="3" t="inlineStr">
        <is>
          <t>GM</t>
        </is>
      </c>
      <c r="G222" s="3" t="inlineStr">
        <is>
          <t>monthly in New York/Los Angeles/Chicago; often bimonthly elsewhere</t>
        </is>
      </c>
      <c r="H222" s="10">
        <f>IFERROR(INDEX(Weights!$D:$D,MATCH($A222,Weights!$A:$A,0)),"")</f>
        <v/>
      </c>
      <c r="I222" s="10">
        <f>IFERROR(INDEX('Data_NSA'!$A:$OK,MATCH(I$2,'Data_NSA'!$A:$A,0),MATCH($D222,'Data_NSA'!$1:$1,0)),"")</f>
        <v/>
      </c>
      <c r="J222" s="10">
        <f>IF($E222="","",IFERROR(INDEX('Data_SA'!$A:$LO,MATCH(I$2,'Data_SA'!$A:$A,0),MATCH($E222,'Data_SA'!$1:$1,0)),""))</f>
        <v/>
      </c>
      <c r="K222" s="7">
        <f>IF($E222="","",IFERROR(INDEX('Data_SA'!$A:$LO,MATCH(I$2,'Data_SA'!$A:$A,0),MATCH($E222,'Data_SA'!$1:$1,0))/INDEX('Data_SA'!$A:$LO,MATCH(EDATE(I$2,-1),'Data_SA'!$A:$A,0),MATCH($E222,'Data_SA'!$1:$1,0))-1,""))</f>
        <v/>
      </c>
      <c r="L222" s="7">
        <f>IFERROR(INDEX('Data_NSA'!$A:$OK,MATCH(I$2,'Data_NSA'!$A:$A,0),MATCH($D222,'Data_NSA'!$1:$1,0))/INDEX('Data_NSA'!$A:$OK,MATCH(EDATE(I$2,-12),'Data_NSA'!$A:$A,0),MATCH($D222,'Data_NSA'!$1:$1,0))-1,"")</f>
        <v/>
      </c>
      <c r="M222" s="10">
        <f>IFERROR(INDEX('Weights'!$G:$I,MATCH($A222,'Weights'!$A:$A,0),MATCH(I$2,'Weights'!$G$1:$I$1,0)),"")</f>
        <v/>
      </c>
      <c r="N222" s="10">
        <f>IF($E222="","",IFERROR(100*(INDEX('Weights'!$D:$D,MATCH($A222,'Weights'!$A:$A,0))*(INDEX('Data_NSA'!$A:$OK,MATCH(EDATE(I$2,-1),'Data_NSA'!$A:$A,0),MATCH($D222,'Data_NSA'!$1:$1,0))/INDEX('Data_NSA'!$A:$OK,MATCH(INDEX('Weights'!$E:$E,MATCH($A222,'Weights'!$A:$A,0)),'Data_NSA'!$A:$A,0),MATCH($D222,'Data_NSA'!$1:$1,0))))/(100*(INDEX('Data_NSA'!$A:$OK,MATCH(EDATE(I$2,-1),'Data_NSA'!$A:$A,0),MATCH("CUUR0000SA0",'Data_NSA'!$1:$1,0))/INDEX('Data_NSA'!$A:$OK,MATCH(INDEX('Weights'!$E:$E,MATCH($A222,'Weights'!$A:$A,0)),'Data_NSA'!$A:$A,0),MATCH("CUUR0000SA0",'Data_NSA'!$1:$1,0))))*(INDEX('Data_SA'!$A:$LO,MATCH(I$2,'Data_SA'!$A:$A,0),MATCH($E222,'Data_SA'!$1:$1,0))/INDEX('Data_SA'!$A:$LO,MATCH(EDATE(I$2,-1),'Data_SA'!$A:$A,0),MATCH($E222,'Data_SA'!$1:$1,0))-1),""))</f>
        <v/>
      </c>
      <c r="O222" s="10">
        <f>IFERROR(INDEX('Data_NSA'!$A:$OK,MATCH(O$2,'Data_NSA'!$A:$A,0),MATCH($D222,'Data_NSA'!$1:$1,0)),"")</f>
        <v/>
      </c>
      <c r="P222" s="10">
        <f>IF($E222="","",IFERROR(INDEX('Data_SA'!$A:$LO,MATCH(O$2,'Data_SA'!$A:$A,0),MATCH($E222,'Data_SA'!$1:$1,0)),""))</f>
        <v/>
      </c>
      <c r="Q222" s="7">
        <f>IF($E222="","",IFERROR(INDEX('Data_SA'!$A:$LO,MATCH(O$2,'Data_SA'!$A:$A,0),MATCH($E222,'Data_SA'!$1:$1,0))/INDEX('Data_SA'!$A:$LO,MATCH(EDATE(O$2,-1),'Data_SA'!$A:$A,0),MATCH($E222,'Data_SA'!$1:$1,0))-1,""))</f>
        <v/>
      </c>
      <c r="R222" s="7">
        <f>IFERROR(INDEX('Data_NSA'!$A:$OK,MATCH(O$2,'Data_NSA'!$A:$A,0),MATCH($D222,'Data_NSA'!$1:$1,0))/INDEX('Data_NSA'!$A:$OK,MATCH(EDATE(O$2,-12),'Data_NSA'!$A:$A,0),MATCH($D222,'Data_NSA'!$1:$1,0))-1,"")</f>
        <v/>
      </c>
      <c r="S222" s="10">
        <f>IFERROR(INDEX('Weights'!$G:$I,MATCH($A222,'Weights'!$A:$A,0),MATCH(O$2,'Weights'!$G$1:$I$1,0)),"")</f>
        <v/>
      </c>
      <c r="T222" s="10">
        <f>IF($E222="","",IFERROR(100*(INDEX('Weights'!$D:$D,MATCH($A222,'Weights'!$A:$A,0))*(INDEX('Data_NSA'!$A:$OK,MATCH(EDATE(O$2,-1),'Data_NSA'!$A:$A,0),MATCH($D222,'Data_NSA'!$1:$1,0))/INDEX('Data_NSA'!$A:$OK,MATCH(INDEX('Weights'!$E:$E,MATCH($A222,'Weights'!$A:$A,0)),'Data_NSA'!$A:$A,0),MATCH($D222,'Data_NSA'!$1:$1,0))))/(100*(INDEX('Data_NSA'!$A:$OK,MATCH(EDATE(O$2,-1),'Data_NSA'!$A:$A,0),MATCH("CUUR0000SA0",'Data_NSA'!$1:$1,0))/INDEX('Data_NSA'!$A:$OK,MATCH(INDEX('Weights'!$E:$E,MATCH($A222,'Weights'!$A:$A,0)),'Data_NSA'!$A:$A,0),MATCH("CUUR0000SA0",'Data_NSA'!$1:$1,0))))*(INDEX('Data_SA'!$A:$LO,MATCH(O$2,'Data_SA'!$A:$A,0),MATCH($E222,'Data_SA'!$1:$1,0))/INDEX('Data_SA'!$A:$LO,MATCH(EDATE(O$2,-1),'Data_SA'!$A:$A,0),MATCH($E222,'Data_SA'!$1:$1,0))-1),""))</f>
        <v/>
      </c>
      <c r="U222" s="10">
        <f>IFERROR(INDEX('Data_NSA'!$A:$OK,MATCH(U$2,'Data_NSA'!$A:$A,0),MATCH($D222,'Data_NSA'!$1:$1,0)),"")</f>
        <v/>
      </c>
      <c r="V222" s="10">
        <f>IF($E222="","",IFERROR(INDEX('Data_SA'!$A:$LO,MATCH(U$2,'Data_SA'!$A:$A,0),MATCH($E222,'Data_SA'!$1:$1,0)),""))</f>
        <v/>
      </c>
      <c r="W222" s="7">
        <f>IF($E222="","",IFERROR(INDEX('Data_SA'!$A:$LO,MATCH(U$2,'Data_SA'!$A:$A,0),MATCH($E222,'Data_SA'!$1:$1,0))/INDEX('Data_SA'!$A:$LO,MATCH(EDATE(U$2,-1),'Data_SA'!$A:$A,0),MATCH($E222,'Data_SA'!$1:$1,0))-1,""))</f>
        <v/>
      </c>
      <c r="X222" s="7">
        <f>IFERROR(INDEX('Data_NSA'!$A:$OK,MATCH(U$2,'Data_NSA'!$A:$A,0),MATCH($D222,'Data_NSA'!$1:$1,0))/INDEX('Data_NSA'!$A:$OK,MATCH(EDATE(U$2,-12),'Data_NSA'!$A:$A,0),MATCH($D222,'Data_NSA'!$1:$1,0))-1,"")</f>
        <v/>
      </c>
      <c r="Y222" s="10">
        <f>IFERROR(INDEX('Weights'!$G:$I,MATCH($A222,'Weights'!$A:$A,0),MATCH(U$2,'Weights'!$G$1:$I$1,0)),"")</f>
        <v/>
      </c>
      <c r="Z222" s="10">
        <f>IF($E222="","",IFERROR(100*(INDEX('Weights'!$D:$D,MATCH($A222,'Weights'!$A:$A,0))*(INDEX('Data_NSA'!$A:$OK,MATCH(EDATE(U$2,-1),'Data_NSA'!$A:$A,0),MATCH($D222,'Data_NSA'!$1:$1,0))/INDEX('Data_NSA'!$A:$OK,MATCH(INDEX('Weights'!$E:$E,MATCH($A222,'Weights'!$A:$A,0)),'Data_NSA'!$A:$A,0),MATCH($D222,'Data_NSA'!$1:$1,0))))/(100*(INDEX('Data_NSA'!$A:$OK,MATCH(EDATE(U$2,-1),'Data_NSA'!$A:$A,0),MATCH("CUUR0000SA0",'Data_NSA'!$1:$1,0))/INDEX('Data_NSA'!$A:$OK,MATCH(INDEX('Weights'!$E:$E,MATCH($A222,'Weights'!$A:$A,0)),'Data_NSA'!$A:$A,0),MATCH("CUUR0000SA0",'Data_NSA'!$1:$1,0))))*(INDEX('Data_SA'!$A:$LO,MATCH(U$2,'Data_SA'!$A:$A,0),MATCH($E222,'Data_SA'!$1:$1,0))/INDEX('Data_SA'!$A:$LO,MATCH(EDATE(U$2,-1),'Data_SA'!$A:$A,0),MATCH($E222,'Data_SA'!$1:$1,0))-1),""))</f>
        <v/>
      </c>
    </row>
    <row r="223">
      <c r="A223" s="3" t="inlineStr">
        <is>
          <t>SETA04</t>
        </is>
      </c>
      <c r="B223" s="3" t="inlineStr">
        <is>
          <t>Car and truck rental</t>
        </is>
      </c>
      <c r="C223" s="3" t="inlineStr">
        <is>
          <t>SETA</t>
        </is>
      </c>
      <c r="D223" s="3" t="inlineStr">
        <is>
          <t>CUUR0000SETA04</t>
        </is>
      </c>
      <c r="E223" s="3" t="inlineStr">
        <is>
          <t>CUSR0000SETA04</t>
        </is>
      </c>
      <c r="F223" s="3" t="inlineStr">
        <is>
          <t>GM</t>
        </is>
      </c>
      <c r="G223" s="3" t="inlineStr">
        <is>
          <t>monthly in New York/Los Angeles/Chicago; often bimonthly elsewhere</t>
        </is>
      </c>
      <c r="H223" s="10">
        <f>IFERROR(INDEX(Weights!$D:$D,MATCH($A223,Weights!$A:$A,0)),"")</f>
        <v/>
      </c>
      <c r="I223" s="10">
        <f>IFERROR(INDEX('Data_NSA'!$A:$OK,MATCH(I$2,'Data_NSA'!$A:$A,0),MATCH($D223,'Data_NSA'!$1:$1,0)),"")</f>
        <v/>
      </c>
      <c r="J223" s="10">
        <f>IF($E223="","",IFERROR(INDEX('Data_SA'!$A:$LO,MATCH(I$2,'Data_SA'!$A:$A,0),MATCH($E223,'Data_SA'!$1:$1,0)),""))</f>
        <v/>
      </c>
      <c r="K223" s="7">
        <f>IF($E223="","",IFERROR(INDEX('Data_SA'!$A:$LO,MATCH(I$2,'Data_SA'!$A:$A,0),MATCH($E223,'Data_SA'!$1:$1,0))/INDEX('Data_SA'!$A:$LO,MATCH(EDATE(I$2,-1),'Data_SA'!$A:$A,0),MATCH($E223,'Data_SA'!$1:$1,0))-1,""))</f>
        <v/>
      </c>
      <c r="L223" s="7">
        <f>IFERROR(INDEX('Data_NSA'!$A:$OK,MATCH(I$2,'Data_NSA'!$A:$A,0),MATCH($D223,'Data_NSA'!$1:$1,0))/INDEX('Data_NSA'!$A:$OK,MATCH(EDATE(I$2,-12),'Data_NSA'!$A:$A,0),MATCH($D223,'Data_NSA'!$1:$1,0))-1,"")</f>
        <v/>
      </c>
      <c r="M223" s="10">
        <f>IFERROR(INDEX('Weights'!$G:$I,MATCH($A223,'Weights'!$A:$A,0),MATCH(I$2,'Weights'!$G$1:$I$1,0)),"")</f>
        <v/>
      </c>
      <c r="N223" s="10">
        <f>IF($E223="","",IFERROR(100*(INDEX('Weights'!$D:$D,MATCH($A223,'Weights'!$A:$A,0))*(INDEX('Data_NSA'!$A:$OK,MATCH(EDATE(I$2,-1),'Data_NSA'!$A:$A,0),MATCH($D223,'Data_NSA'!$1:$1,0))/INDEX('Data_NSA'!$A:$OK,MATCH(INDEX('Weights'!$E:$E,MATCH($A223,'Weights'!$A:$A,0)),'Data_NSA'!$A:$A,0),MATCH($D223,'Data_NSA'!$1:$1,0))))/(100*(INDEX('Data_NSA'!$A:$OK,MATCH(EDATE(I$2,-1),'Data_NSA'!$A:$A,0),MATCH("CUUR0000SA0",'Data_NSA'!$1:$1,0))/INDEX('Data_NSA'!$A:$OK,MATCH(INDEX('Weights'!$E:$E,MATCH($A223,'Weights'!$A:$A,0)),'Data_NSA'!$A:$A,0),MATCH("CUUR0000SA0",'Data_NSA'!$1:$1,0))))*(INDEX('Data_SA'!$A:$LO,MATCH(I$2,'Data_SA'!$A:$A,0),MATCH($E223,'Data_SA'!$1:$1,0))/INDEX('Data_SA'!$A:$LO,MATCH(EDATE(I$2,-1),'Data_SA'!$A:$A,0),MATCH($E223,'Data_SA'!$1:$1,0))-1),""))</f>
        <v/>
      </c>
      <c r="O223" s="10">
        <f>IFERROR(INDEX('Data_NSA'!$A:$OK,MATCH(O$2,'Data_NSA'!$A:$A,0),MATCH($D223,'Data_NSA'!$1:$1,0)),"")</f>
        <v/>
      </c>
      <c r="P223" s="10">
        <f>IF($E223="","",IFERROR(INDEX('Data_SA'!$A:$LO,MATCH(O$2,'Data_SA'!$A:$A,0),MATCH($E223,'Data_SA'!$1:$1,0)),""))</f>
        <v/>
      </c>
      <c r="Q223" s="7">
        <f>IF($E223="","",IFERROR(INDEX('Data_SA'!$A:$LO,MATCH(O$2,'Data_SA'!$A:$A,0),MATCH($E223,'Data_SA'!$1:$1,0))/INDEX('Data_SA'!$A:$LO,MATCH(EDATE(O$2,-1),'Data_SA'!$A:$A,0),MATCH($E223,'Data_SA'!$1:$1,0))-1,""))</f>
        <v/>
      </c>
      <c r="R223" s="7">
        <f>IFERROR(INDEX('Data_NSA'!$A:$OK,MATCH(O$2,'Data_NSA'!$A:$A,0),MATCH($D223,'Data_NSA'!$1:$1,0))/INDEX('Data_NSA'!$A:$OK,MATCH(EDATE(O$2,-12),'Data_NSA'!$A:$A,0),MATCH($D223,'Data_NSA'!$1:$1,0))-1,"")</f>
        <v/>
      </c>
      <c r="S223" s="10">
        <f>IFERROR(INDEX('Weights'!$G:$I,MATCH($A223,'Weights'!$A:$A,0),MATCH(O$2,'Weights'!$G$1:$I$1,0)),"")</f>
        <v/>
      </c>
      <c r="T223" s="10">
        <f>IF($E223="","",IFERROR(100*(INDEX('Weights'!$D:$D,MATCH($A223,'Weights'!$A:$A,0))*(INDEX('Data_NSA'!$A:$OK,MATCH(EDATE(O$2,-1),'Data_NSA'!$A:$A,0),MATCH($D223,'Data_NSA'!$1:$1,0))/INDEX('Data_NSA'!$A:$OK,MATCH(INDEX('Weights'!$E:$E,MATCH($A223,'Weights'!$A:$A,0)),'Data_NSA'!$A:$A,0),MATCH($D223,'Data_NSA'!$1:$1,0))))/(100*(INDEX('Data_NSA'!$A:$OK,MATCH(EDATE(O$2,-1),'Data_NSA'!$A:$A,0),MATCH("CUUR0000SA0",'Data_NSA'!$1:$1,0))/INDEX('Data_NSA'!$A:$OK,MATCH(INDEX('Weights'!$E:$E,MATCH($A223,'Weights'!$A:$A,0)),'Data_NSA'!$A:$A,0),MATCH("CUUR0000SA0",'Data_NSA'!$1:$1,0))))*(INDEX('Data_SA'!$A:$LO,MATCH(O$2,'Data_SA'!$A:$A,0),MATCH($E223,'Data_SA'!$1:$1,0))/INDEX('Data_SA'!$A:$LO,MATCH(EDATE(O$2,-1),'Data_SA'!$A:$A,0),MATCH($E223,'Data_SA'!$1:$1,0))-1),""))</f>
        <v/>
      </c>
      <c r="U223" s="10">
        <f>IFERROR(INDEX('Data_NSA'!$A:$OK,MATCH(U$2,'Data_NSA'!$A:$A,0),MATCH($D223,'Data_NSA'!$1:$1,0)),"")</f>
        <v/>
      </c>
      <c r="V223" s="10">
        <f>IF($E223="","",IFERROR(INDEX('Data_SA'!$A:$LO,MATCH(U$2,'Data_SA'!$A:$A,0),MATCH($E223,'Data_SA'!$1:$1,0)),""))</f>
        <v/>
      </c>
      <c r="W223" s="7">
        <f>IF($E223="","",IFERROR(INDEX('Data_SA'!$A:$LO,MATCH(U$2,'Data_SA'!$A:$A,0),MATCH($E223,'Data_SA'!$1:$1,0))/INDEX('Data_SA'!$A:$LO,MATCH(EDATE(U$2,-1),'Data_SA'!$A:$A,0),MATCH($E223,'Data_SA'!$1:$1,0))-1,""))</f>
        <v/>
      </c>
      <c r="X223" s="7">
        <f>IFERROR(INDEX('Data_NSA'!$A:$OK,MATCH(U$2,'Data_NSA'!$A:$A,0),MATCH($D223,'Data_NSA'!$1:$1,0))/INDEX('Data_NSA'!$A:$OK,MATCH(EDATE(U$2,-12),'Data_NSA'!$A:$A,0),MATCH($D223,'Data_NSA'!$1:$1,0))-1,"")</f>
        <v/>
      </c>
      <c r="Y223" s="10">
        <f>IFERROR(INDEX('Weights'!$G:$I,MATCH($A223,'Weights'!$A:$A,0),MATCH(U$2,'Weights'!$G$1:$I$1,0)),"")</f>
        <v/>
      </c>
      <c r="Z223" s="10">
        <f>IF($E223="","",IFERROR(100*(INDEX('Weights'!$D:$D,MATCH($A223,'Weights'!$A:$A,0))*(INDEX('Data_NSA'!$A:$OK,MATCH(EDATE(U$2,-1),'Data_NSA'!$A:$A,0),MATCH($D223,'Data_NSA'!$1:$1,0))/INDEX('Data_NSA'!$A:$OK,MATCH(INDEX('Weights'!$E:$E,MATCH($A223,'Weights'!$A:$A,0)),'Data_NSA'!$A:$A,0),MATCH($D223,'Data_NSA'!$1:$1,0))))/(100*(INDEX('Data_NSA'!$A:$OK,MATCH(EDATE(U$2,-1),'Data_NSA'!$A:$A,0),MATCH("CUUR0000SA0",'Data_NSA'!$1:$1,0))/INDEX('Data_NSA'!$A:$OK,MATCH(INDEX('Weights'!$E:$E,MATCH($A223,'Weights'!$A:$A,0)),'Data_NSA'!$A:$A,0),MATCH("CUUR0000SA0",'Data_NSA'!$1:$1,0))))*(INDEX('Data_SA'!$A:$LO,MATCH(U$2,'Data_SA'!$A:$A,0),MATCH($E223,'Data_SA'!$1:$1,0))/INDEX('Data_SA'!$A:$LO,MATCH(EDATE(U$2,-1),'Data_SA'!$A:$A,0),MATCH($E223,'Data_SA'!$1:$1,0))-1),""))</f>
        <v/>
      </c>
    </row>
    <row r="224">
      <c r="A224" s="3" t="inlineStr">
        <is>
          <t>SETB</t>
        </is>
      </c>
      <c r="B224" s="3" t="inlineStr">
        <is>
          <t>Motor fuel</t>
        </is>
      </c>
      <c r="C224" s="3" t="inlineStr">
        <is>
          <t>SAT1</t>
        </is>
      </c>
      <c r="D224" s="3" t="inlineStr">
        <is>
          <t>CUUR0000SETB</t>
        </is>
      </c>
      <c r="E224" s="3" t="inlineStr">
        <is>
          <t>CUSR0000SETB</t>
        </is>
      </c>
      <c r="F224" s="3" t="inlineStr">
        <is>
          <t>aggregate</t>
        </is>
      </c>
      <c r="G224" s="3" t="inlineStr">
        <is>
          <t>see gasoline</t>
        </is>
      </c>
      <c r="H224" s="10">
        <f>IFERROR(INDEX(Weights!$D:$D,MATCH($A224,Weights!$A:$A,0)),"")</f>
        <v/>
      </c>
      <c r="I224" s="10">
        <f>IFERROR(INDEX('Data_NSA'!$A:$OK,MATCH(I$2,'Data_NSA'!$A:$A,0),MATCH($D224,'Data_NSA'!$1:$1,0)),"")</f>
        <v/>
      </c>
      <c r="J224" s="10">
        <f>IF($E224="","",IFERROR(INDEX('Data_SA'!$A:$LO,MATCH(I$2,'Data_SA'!$A:$A,0),MATCH($E224,'Data_SA'!$1:$1,0)),""))</f>
        <v/>
      </c>
      <c r="K224" s="7">
        <f>IF($E224="","",IFERROR(INDEX('Data_SA'!$A:$LO,MATCH(I$2,'Data_SA'!$A:$A,0),MATCH($E224,'Data_SA'!$1:$1,0))/INDEX('Data_SA'!$A:$LO,MATCH(EDATE(I$2,-1),'Data_SA'!$A:$A,0),MATCH($E224,'Data_SA'!$1:$1,0))-1,""))</f>
        <v/>
      </c>
      <c r="L224" s="7">
        <f>IFERROR(INDEX('Data_NSA'!$A:$OK,MATCH(I$2,'Data_NSA'!$A:$A,0),MATCH($D224,'Data_NSA'!$1:$1,0))/INDEX('Data_NSA'!$A:$OK,MATCH(EDATE(I$2,-12),'Data_NSA'!$A:$A,0),MATCH($D224,'Data_NSA'!$1:$1,0))-1,"")</f>
        <v/>
      </c>
      <c r="M224" s="10">
        <f>IFERROR(INDEX('Weights'!$G:$I,MATCH($A224,'Weights'!$A:$A,0),MATCH(I$2,'Weights'!$G$1:$I$1,0)),"")</f>
        <v/>
      </c>
      <c r="N224" s="10">
        <f>IF($E224="","",IFERROR(100*(INDEX('Weights'!$D:$D,MATCH($A224,'Weights'!$A:$A,0))*(INDEX('Data_NSA'!$A:$OK,MATCH(EDATE(I$2,-1),'Data_NSA'!$A:$A,0),MATCH($D224,'Data_NSA'!$1:$1,0))/INDEX('Data_NSA'!$A:$OK,MATCH(INDEX('Weights'!$E:$E,MATCH($A224,'Weights'!$A:$A,0)),'Data_NSA'!$A:$A,0),MATCH($D224,'Data_NSA'!$1:$1,0))))/(100*(INDEX('Data_NSA'!$A:$OK,MATCH(EDATE(I$2,-1),'Data_NSA'!$A:$A,0),MATCH("CUUR0000SA0",'Data_NSA'!$1:$1,0))/INDEX('Data_NSA'!$A:$OK,MATCH(INDEX('Weights'!$E:$E,MATCH($A224,'Weights'!$A:$A,0)),'Data_NSA'!$A:$A,0),MATCH("CUUR0000SA0",'Data_NSA'!$1:$1,0))))*(INDEX('Data_SA'!$A:$LO,MATCH(I$2,'Data_SA'!$A:$A,0),MATCH($E224,'Data_SA'!$1:$1,0))/INDEX('Data_SA'!$A:$LO,MATCH(EDATE(I$2,-1),'Data_SA'!$A:$A,0),MATCH($E224,'Data_SA'!$1:$1,0))-1),""))</f>
        <v/>
      </c>
      <c r="O224" s="10">
        <f>IFERROR(INDEX('Data_NSA'!$A:$OK,MATCH(O$2,'Data_NSA'!$A:$A,0),MATCH($D224,'Data_NSA'!$1:$1,0)),"")</f>
        <v/>
      </c>
      <c r="P224" s="10">
        <f>IF($E224="","",IFERROR(INDEX('Data_SA'!$A:$LO,MATCH(O$2,'Data_SA'!$A:$A,0),MATCH($E224,'Data_SA'!$1:$1,0)),""))</f>
        <v/>
      </c>
      <c r="Q224" s="7">
        <f>IF($E224="","",IFERROR(INDEX('Data_SA'!$A:$LO,MATCH(O$2,'Data_SA'!$A:$A,0),MATCH($E224,'Data_SA'!$1:$1,0))/INDEX('Data_SA'!$A:$LO,MATCH(EDATE(O$2,-1),'Data_SA'!$A:$A,0),MATCH($E224,'Data_SA'!$1:$1,0))-1,""))</f>
        <v/>
      </c>
      <c r="R224" s="7">
        <f>IFERROR(INDEX('Data_NSA'!$A:$OK,MATCH(O$2,'Data_NSA'!$A:$A,0),MATCH($D224,'Data_NSA'!$1:$1,0))/INDEX('Data_NSA'!$A:$OK,MATCH(EDATE(O$2,-12),'Data_NSA'!$A:$A,0),MATCH($D224,'Data_NSA'!$1:$1,0))-1,"")</f>
        <v/>
      </c>
      <c r="S224" s="10">
        <f>IFERROR(INDEX('Weights'!$G:$I,MATCH($A224,'Weights'!$A:$A,0),MATCH(O$2,'Weights'!$G$1:$I$1,0)),"")</f>
        <v/>
      </c>
      <c r="T224" s="10">
        <f>IF($E224="","",IFERROR(100*(INDEX('Weights'!$D:$D,MATCH($A224,'Weights'!$A:$A,0))*(INDEX('Data_NSA'!$A:$OK,MATCH(EDATE(O$2,-1),'Data_NSA'!$A:$A,0),MATCH($D224,'Data_NSA'!$1:$1,0))/INDEX('Data_NSA'!$A:$OK,MATCH(INDEX('Weights'!$E:$E,MATCH($A224,'Weights'!$A:$A,0)),'Data_NSA'!$A:$A,0),MATCH($D224,'Data_NSA'!$1:$1,0))))/(100*(INDEX('Data_NSA'!$A:$OK,MATCH(EDATE(O$2,-1),'Data_NSA'!$A:$A,0),MATCH("CUUR0000SA0",'Data_NSA'!$1:$1,0))/INDEX('Data_NSA'!$A:$OK,MATCH(INDEX('Weights'!$E:$E,MATCH($A224,'Weights'!$A:$A,0)),'Data_NSA'!$A:$A,0),MATCH("CUUR0000SA0",'Data_NSA'!$1:$1,0))))*(INDEX('Data_SA'!$A:$LO,MATCH(O$2,'Data_SA'!$A:$A,0),MATCH($E224,'Data_SA'!$1:$1,0))/INDEX('Data_SA'!$A:$LO,MATCH(EDATE(O$2,-1),'Data_SA'!$A:$A,0),MATCH($E224,'Data_SA'!$1:$1,0))-1),""))</f>
        <v/>
      </c>
      <c r="U224" s="10">
        <f>IFERROR(INDEX('Data_NSA'!$A:$OK,MATCH(U$2,'Data_NSA'!$A:$A,0),MATCH($D224,'Data_NSA'!$1:$1,0)),"")</f>
        <v/>
      </c>
      <c r="V224" s="10">
        <f>IF($E224="","",IFERROR(INDEX('Data_SA'!$A:$LO,MATCH(U$2,'Data_SA'!$A:$A,0),MATCH($E224,'Data_SA'!$1:$1,0)),""))</f>
        <v/>
      </c>
      <c r="W224" s="7">
        <f>IF($E224="","",IFERROR(INDEX('Data_SA'!$A:$LO,MATCH(U$2,'Data_SA'!$A:$A,0),MATCH($E224,'Data_SA'!$1:$1,0))/INDEX('Data_SA'!$A:$LO,MATCH(EDATE(U$2,-1),'Data_SA'!$A:$A,0),MATCH($E224,'Data_SA'!$1:$1,0))-1,""))</f>
        <v/>
      </c>
      <c r="X224" s="7">
        <f>IFERROR(INDEX('Data_NSA'!$A:$OK,MATCH(U$2,'Data_NSA'!$A:$A,0),MATCH($D224,'Data_NSA'!$1:$1,0))/INDEX('Data_NSA'!$A:$OK,MATCH(EDATE(U$2,-12),'Data_NSA'!$A:$A,0),MATCH($D224,'Data_NSA'!$1:$1,0))-1,"")</f>
        <v/>
      </c>
      <c r="Y224" s="10">
        <f>IFERROR(INDEX('Weights'!$G:$I,MATCH($A224,'Weights'!$A:$A,0),MATCH(U$2,'Weights'!$G$1:$I$1,0)),"")</f>
        <v/>
      </c>
      <c r="Z224" s="10">
        <f>IF($E224="","",IFERROR(100*(INDEX('Weights'!$D:$D,MATCH($A224,'Weights'!$A:$A,0))*(INDEX('Data_NSA'!$A:$OK,MATCH(EDATE(U$2,-1),'Data_NSA'!$A:$A,0),MATCH($D224,'Data_NSA'!$1:$1,0))/INDEX('Data_NSA'!$A:$OK,MATCH(INDEX('Weights'!$E:$E,MATCH($A224,'Weights'!$A:$A,0)),'Data_NSA'!$A:$A,0),MATCH($D224,'Data_NSA'!$1:$1,0))))/(100*(INDEX('Data_NSA'!$A:$OK,MATCH(EDATE(U$2,-1),'Data_NSA'!$A:$A,0),MATCH("CUUR0000SA0",'Data_NSA'!$1:$1,0))/INDEX('Data_NSA'!$A:$OK,MATCH(INDEX('Weights'!$E:$E,MATCH($A224,'Weights'!$A:$A,0)),'Data_NSA'!$A:$A,0),MATCH("CUUR0000SA0",'Data_NSA'!$1:$1,0))))*(INDEX('Data_SA'!$A:$LO,MATCH(U$2,'Data_SA'!$A:$A,0),MATCH($E224,'Data_SA'!$1:$1,0))/INDEX('Data_SA'!$A:$LO,MATCH(EDATE(U$2,-1),'Data_SA'!$A:$A,0),MATCH($E224,'Data_SA'!$1:$1,0))-1),""))</f>
        <v/>
      </c>
    </row>
    <row r="225">
      <c r="A225" s="3" t="inlineStr">
        <is>
          <t>SETB01</t>
        </is>
      </c>
      <c r="B225" s="3" t="inlineStr">
        <is>
          <t>Gasoline (all types)</t>
        </is>
      </c>
      <c r="C225" s="3" t="inlineStr">
        <is>
          <t>SETB</t>
        </is>
      </c>
      <c r="D225" s="3" t="inlineStr">
        <is>
          <t>CUUR0000SETB01</t>
        </is>
      </c>
      <c r="E225" s="3" t="inlineStr">
        <is>
          <t>CUSR0000SETB01</t>
        </is>
      </c>
      <c r="F225" s="3" t="inlineStr">
        <is>
          <t>GM</t>
        </is>
      </c>
      <c r="G225" s="3" t="inlineStr">
        <is>
          <t>secondary-source transaction dataset; full-month coverage</t>
        </is>
      </c>
      <c r="H225" s="10">
        <f>IFERROR(INDEX(Weights!$D:$D,MATCH($A225,Weights!$A:$A,0)),"")</f>
        <v/>
      </c>
      <c r="I225" s="10">
        <f>IFERROR(INDEX('Data_NSA'!$A:$OK,MATCH(I$2,'Data_NSA'!$A:$A,0),MATCH($D225,'Data_NSA'!$1:$1,0)),"")</f>
        <v/>
      </c>
      <c r="J225" s="10">
        <f>IF($E225="","",IFERROR(INDEX('Data_SA'!$A:$LO,MATCH(I$2,'Data_SA'!$A:$A,0),MATCH($E225,'Data_SA'!$1:$1,0)),""))</f>
        <v/>
      </c>
      <c r="K225" s="7">
        <f>IF($E225="","",IFERROR(INDEX('Data_SA'!$A:$LO,MATCH(I$2,'Data_SA'!$A:$A,0),MATCH($E225,'Data_SA'!$1:$1,0))/INDEX('Data_SA'!$A:$LO,MATCH(EDATE(I$2,-1),'Data_SA'!$A:$A,0),MATCH($E225,'Data_SA'!$1:$1,0))-1,""))</f>
        <v/>
      </c>
      <c r="L225" s="7">
        <f>IFERROR(INDEX('Data_NSA'!$A:$OK,MATCH(I$2,'Data_NSA'!$A:$A,0),MATCH($D225,'Data_NSA'!$1:$1,0))/INDEX('Data_NSA'!$A:$OK,MATCH(EDATE(I$2,-12),'Data_NSA'!$A:$A,0),MATCH($D225,'Data_NSA'!$1:$1,0))-1,"")</f>
        <v/>
      </c>
      <c r="M225" s="10">
        <f>IFERROR(INDEX('Weights'!$G:$I,MATCH($A225,'Weights'!$A:$A,0),MATCH(I$2,'Weights'!$G$1:$I$1,0)),"")</f>
        <v/>
      </c>
      <c r="N225" s="10">
        <f>IF($E225="","",IFERROR(100*(INDEX('Weights'!$D:$D,MATCH($A225,'Weights'!$A:$A,0))*(INDEX('Data_NSA'!$A:$OK,MATCH(EDATE(I$2,-1),'Data_NSA'!$A:$A,0),MATCH($D225,'Data_NSA'!$1:$1,0))/INDEX('Data_NSA'!$A:$OK,MATCH(INDEX('Weights'!$E:$E,MATCH($A225,'Weights'!$A:$A,0)),'Data_NSA'!$A:$A,0),MATCH($D225,'Data_NSA'!$1:$1,0))))/(100*(INDEX('Data_NSA'!$A:$OK,MATCH(EDATE(I$2,-1),'Data_NSA'!$A:$A,0),MATCH("CUUR0000SA0",'Data_NSA'!$1:$1,0))/INDEX('Data_NSA'!$A:$OK,MATCH(INDEX('Weights'!$E:$E,MATCH($A225,'Weights'!$A:$A,0)),'Data_NSA'!$A:$A,0),MATCH("CUUR0000SA0",'Data_NSA'!$1:$1,0))))*(INDEX('Data_SA'!$A:$LO,MATCH(I$2,'Data_SA'!$A:$A,0),MATCH($E225,'Data_SA'!$1:$1,0))/INDEX('Data_SA'!$A:$LO,MATCH(EDATE(I$2,-1),'Data_SA'!$A:$A,0),MATCH($E225,'Data_SA'!$1:$1,0))-1),""))</f>
        <v/>
      </c>
      <c r="O225" s="10">
        <f>IFERROR(INDEX('Data_NSA'!$A:$OK,MATCH(O$2,'Data_NSA'!$A:$A,0),MATCH($D225,'Data_NSA'!$1:$1,0)),"")</f>
        <v/>
      </c>
      <c r="P225" s="10">
        <f>IF($E225="","",IFERROR(INDEX('Data_SA'!$A:$LO,MATCH(O$2,'Data_SA'!$A:$A,0),MATCH($E225,'Data_SA'!$1:$1,0)),""))</f>
        <v/>
      </c>
      <c r="Q225" s="7">
        <f>IF($E225="","",IFERROR(INDEX('Data_SA'!$A:$LO,MATCH(O$2,'Data_SA'!$A:$A,0),MATCH($E225,'Data_SA'!$1:$1,0))/INDEX('Data_SA'!$A:$LO,MATCH(EDATE(O$2,-1),'Data_SA'!$A:$A,0),MATCH($E225,'Data_SA'!$1:$1,0))-1,""))</f>
        <v/>
      </c>
      <c r="R225" s="7">
        <f>IFERROR(INDEX('Data_NSA'!$A:$OK,MATCH(O$2,'Data_NSA'!$A:$A,0),MATCH($D225,'Data_NSA'!$1:$1,0))/INDEX('Data_NSA'!$A:$OK,MATCH(EDATE(O$2,-12),'Data_NSA'!$A:$A,0),MATCH($D225,'Data_NSA'!$1:$1,0))-1,"")</f>
        <v/>
      </c>
      <c r="S225" s="10">
        <f>IFERROR(INDEX('Weights'!$G:$I,MATCH($A225,'Weights'!$A:$A,0),MATCH(O$2,'Weights'!$G$1:$I$1,0)),"")</f>
        <v/>
      </c>
      <c r="T225" s="10">
        <f>IF($E225="","",IFERROR(100*(INDEX('Weights'!$D:$D,MATCH($A225,'Weights'!$A:$A,0))*(INDEX('Data_NSA'!$A:$OK,MATCH(EDATE(O$2,-1),'Data_NSA'!$A:$A,0),MATCH($D225,'Data_NSA'!$1:$1,0))/INDEX('Data_NSA'!$A:$OK,MATCH(INDEX('Weights'!$E:$E,MATCH($A225,'Weights'!$A:$A,0)),'Data_NSA'!$A:$A,0),MATCH($D225,'Data_NSA'!$1:$1,0))))/(100*(INDEX('Data_NSA'!$A:$OK,MATCH(EDATE(O$2,-1),'Data_NSA'!$A:$A,0),MATCH("CUUR0000SA0",'Data_NSA'!$1:$1,0))/INDEX('Data_NSA'!$A:$OK,MATCH(INDEX('Weights'!$E:$E,MATCH($A225,'Weights'!$A:$A,0)),'Data_NSA'!$A:$A,0),MATCH("CUUR0000SA0",'Data_NSA'!$1:$1,0))))*(INDEX('Data_SA'!$A:$LO,MATCH(O$2,'Data_SA'!$A:$A,0),MATCH($E225,'Data_SA'!$1:$1,0))/INDEX('Data_SA'!$A:$LO,MATCH(EDATE(O$2,-1),'Data_SA'!$A:$A,0),MATCH($E225,'Data_SA'!$1:$1,0))-1),""))</f>
        <v/>
      </c>
      <c r="U225" s="10">
        <f>IFERROR(INDEX('Data_NSA'!$A:$OK,MATCH(U$2,'Data_NSA'!$A:$A,0),MATCH($D225,'Data_NSA'!$1:$1,0)),"")</f>
        <v/>
      </c>
      <c r="V225" s="10">
        <f>IF($E225="","",IFERROR(INDEX('Data_SA'!$A:$LO,MATCH(U$2,'Data_SA'!$A:$A,0),MATCH($E225,'Data_SA'!$1:$1,0)),""))</f>
        <v/>
      </c>
      <c r="W225" s="7">
        <f>IF($E225="","",IFERROR(INDEX('Data_SA'!$A:$LO,MATCH(U$2,'Data_SA'!$A:$A,0),MATCH($E225,'Data_SA'!$1:$1,0))/INDEX('Data_SA'!$A:$LO,MATCH(EDATE(U$2,-1),'Data_SA'!$A:$A,0),MATCH($E225,'Data_SA'!$1:$1,0))-1,""))</f>
        <v/>
      </c>
      <c r="X225" s="7">
        <f>IFERROR(INDEX('Data_NSA'!$A:$OK,MATCH(U$2,'Data_NSA'!$A:$A,0),MATCH($D225,'Data_NSA'!$1:$1,0))/INDEX('Data_NSA'!$A:$OK,MATCH(EDATE(U$2,-12),'Data_NSA'!$A:$A,0),MATCH($D225,'Data_NSA'!$1:$1,0))-1,"")</f>
        <v/>
      </c>
      <c r="Y225" s="10">
        <f>IFERROR(INDEX('Weights'!$G:$I,MATCH($A225,'Weights'!$A:$A,0),MATCH(U$2,'Weights'!$G$1:$I$1,0)),"")</f>
        <v/>
      </c>
      <c r="Z225" s="10">
        <f>IF($E225="","",IFERROR(100*(INDEX('Weights'!$D:$D,MATCH($A225,'Weights'!$A:$A,0))*(INDEX('Data_NSA'!$A:$OK,MATCH(EDATE(U$2,-1),'Data_NSA'!$A:$A,0),MATCH($D225,'Data_NSA'!$1:$1,0))/INDEX('Data_NSA'!$A:$OK,MATCH(INDEX('Weights'!$E:$E,MATCH($A225,'Weights'!$A:$A,0)),'Data_NSA'!$A:$A,0),MATCH($D225,'Data_NSA'!$1:$1,0))))/(100*(INDEX('Data_NSA'!$A:$OK,MATCH(EDATE(U$2,-1),'Data_NSA'!$A:$A,0),MATCH("CUUR0000SA0",'Data_NSA'!$1:$1,0))/INDEX('Data_NSA'!$A:$OK,MATCH(INDEX('Weights'!$E:$E,MATCH($A225,'Weights'!$A:$A,0)),'Data_NSA'!$A:$A,0),MATCH("CUUR0000SA0",'Data_NSA'!$1:$1,0))))*(INDEX('Data_SA'!$A:$LO,MATCH(U$2,'Data_SA'!$A:$A,0),MATCH($E225,'Data_SA'!$1:$1,0))/INDEX('Data_SA'!$A:$LO,MATCH(EDATE(U$2,-1),'Data_SA'!$A:$A,0),MATCH($E225,'Data_SA'!$1:$1,0))-1),""))</f>
        <v/>
      </c>
    </row>
    <row r="226">
      <c r="A226" s="3" t="inlineStr">
        <is>
          <t>SS47014</t>
        </is>
      </c>
      <c r="B226" s="3" t="inlineStr">
        <is>
          <t>Gasoline, unleaded regular</t>
        </is>
      </c>
      <c r="C226" s="3" t="inlineStr">
        <is>
          <t>SETB01</t>
        </is>
      </c>
      <c r="D226" s="3" t="inlineStr">
        <is>
          <t>CUUR0000SS47014</t>
        </is>
      </c>
      <c r="E226" s="3" t="inlineStr">
        <is>
          <t>CUSR0000SS47014</t>
        </is>
      </c>
      <c r="F226" s="3" t="inlineStr">
        <is>
          <t>GM</t>
        </is>
      </c>
      <c r="G226" s="3" t="inlineStr">
        <is>
          <t>monthly energy/utility collection</t>
        </is>
      </c>
      <c r="H226" s="10">
        <f>IFERROR(INDEX(Weights!$D:$D,MATCH($A226,Weights!$A:$A,0)),"")</f>
        <v/>
      </c>
      <c r="I226" s="10">
        <f>IFERROR(INDEX('Data_NSA'!$A:$OK,MATCH(I$2,'Data_NSA'!$A:$A,0),MATCH($D226,'Data_NSA'!$1:$1,0)),"")</f>
        <v/>
      </c>
      <c r="J226" s="10">
        <f>IF($E226="","",IFERROR(INDEX('Data_SA'!$A:$LO,MATCH(I$2,'Data_SA'!$A:$A,0),MATCH($E226,'Data_SA'!$1:$1,0)),""))</f>
        <v/>
      </c>
      <c r="K226" s="7">
        <f>IF($E226="","",IFERROR(INDEX('Data_SA'!$A:$LO,MATCH(I$2,'Data_SA'!$A:$A,0),MATCH($E226,'Data_SA'!$1:$1,0))/INDEX('Data_SA'!$A:$LO,MATCH(EDATE(I$2,-1),'Data_SA'!$A:$A,0),MATCH($E226,'Data_SA'!$1:$1,0))-1,""))</f>
        <v/>
      </c>
      <c r="L226" s="7">
        <f>IFERROR(INDEX('Data_NSA'!$A:$OK,MATCH(I$2,'Data_NSA'!$A:$A,0),MATCH($D226,'Data_NSA'!$1:$1,0))/INDEX('Data_NSA'!$A:$OK,MATCH(EDATE(I$2,-12),'Data_NSA'!$A:$A,0),MATCH($D226,'Data_NSA'!$1:$1,0))-1,"")</f>
        <v/>
      </c>
      <c r="M226" s="10">
        <f>IFERROR(INDEX('Weights'!$G:$I,MATCH($A226,'Weights'!$A:$A,0),MATCH(I$2,'Weights'!$G$1:$I$1,0)),"")</f>
        <v/>
      </c>
      <c r="N226" s="10">
        <f>IF($E226="","",IFERROR(100*(INDEX('Weights'!$D:$D,MATCH($A226,'Weights'!$A:$A,0))*(INDEX('Data_NSA'!$A:$OK,MATCH(EDATE(I$2,-1),'Data_NSA'!$A:$A,0),MATCH($D226,'Data_NSA'!$1:$1,0))/INDEX('Data_NSA'!$A:$OK,MATCH(INDEX('Weights'!$E:$E,MATCH($A226,'Weights'!$A:$A,0)),'Data_NSA'!$A:$A,0),MATCH($D226,'Data_NSA'!$1:$1,0))))/(100*(INDEX('Data_NSA'!$A:$OK,MATCH(EDATE(I$2,-1),'Data_NSA'!$A:$A,0),MATCH("CUUR0000SA0",'Data_NSA'!$1:$1,0))/INDEX('Data_NSA'!$A:$OK,MATCH(INDEX('Weights'!$E:$E,MATCH($A226,'Weights'!$A:$A,0)),'Data_NSA'!$A:$A,0),MATCH("CUUR0000SA0",'Data_NSA'!$1:$1,0))))*(INDEX('Data_SA'!$A:$LO,MATCH(I$2,'Data_SA'!$A:$A,0),MATCH($E226,'Data_SA'!$1:$1,0))/INDEX('Data_SA'!$A:$LO,MATCH(EDATE(I$2,-1),'Data_SA'!$A:$A,0),MATCH($E226,'Data_SA'!$1:$1,0))-1),""))</f>
        <v/>
      </c>
      <c r="O226" s="10">
        <f>IFERROR(INDEX('Data_NSA'!$A:$OK,MATCH(O$2,'Data_NSA'!$A:$A,0),MATCH($D226,'Data_NSA'!$1:$1,0)),"")</f>
        <v/>
      </c>
      <c r="P226" s="10">
        <f>IF($E226="","",IFERROR(INDEX('Data_SA'!$A:$LO,MATCH(O$2,'Data_SA'!$A:$A,0),MATCH($E226,'Data_SA'!$1:$1,0)),""))</f>
        <v/>
      </c>
      <c r="Q226" s="7">
        <f>IF($E226="","",IFERROR(INDEX('Data_SA'!$A:$LO,MATCH(O$2,'Data_SA'!$A:$A,0),MATCH($E226,'Data_SA'!$1:$1,0))/INDEX('Data_SA'!$A:$LO,MATCH(EDATE(O$2,-1),'Data_SA'!$A:$A,0),MATCH($E226,'Data_SA'!$1:$1,0))-1,""))</f>
        <v/>
      </c>
      <c r="R226" s="7">
        <f>IFERROR(INDEX('Data_NSA'!$A:$OK,MATCH(O$2,'Data_NSA'!$A:$A,0),MATCH($D226,'Data_NSA'!$1:$1,0))/INDEX('Data_NSA'!$A:$OK,MATCH(EDATE(O$2,-12),'Data_NSA'!$A:$A,0),MATCH($D226,'Data_NSA'!$1:$1,0))-1,"")</f>
        <v/>
      </c>
      <c r="S226" s="10">
        <f>IFERROR(INDEX('Weights'!$G:$I,MATCH($A226,'Weights'!$A:$A,0),MATCH(O$2,'Weights'!$G$1:$I$1,0)),"")</f>
        <v/>
      </c>
      <c r="T226" s="10">
        <f>IF($E226="","",IFERROR(100*(INDEX('Weights'!$D:$D,MATCH($A226,'Weights'!$A:$A,0))*(INDEX('Data_NSA'!$A:$OK,MATCH(EDATE(O$2,-1),'Data_NSA'!$A:$A,0),MATCH($D226,'Data_NSA'!$1:$1,0))/INDEX('Data_NSA'!$A:$OK,MATCH(INDEX('Weights'!$E:$E,MATCH($A226,'Weights'!$A:$A,0)),'Data_NSA'!$A:$A,0),MATCH($D226,'Data_NSA'!$1:$1,0))))/(100*(INDEX('Data_NSA'!$A:$OK,MATCH(EDATE(O$2,-1),'Data_NSA'!$A:$A,0),MATCH("CUUR0000SA0",'Data_NSA'!$1:$1,0))/INDEX('Data_NSA'!$A:$OK,MATCH(INDEX('Weights'!$E:$E,MATCH($A226,'Weights'!$A:$A,0)),'Data_NSA'!$A:$A,0),MATCH("CUUR0000SA0",'Data_NSA'!$1:$1,0))))*(INDEX('Data_SA'!$A:$LO,MATCH(O$2,'Data_SA'!$A:$A,0),MATCH($E226,'Data_SA'!$1:$1,0))/INDEX('Data_SA'!$A:$LO,MATCH(EDATE(O$2,-1),'Data_SA'!$A:$A,0),MATCH($E226,'Data_SA'!$1:$1,0))-1),""))</f>
        <v/>
      </c>
      <c r="U226" s="10">
        <f>IFERROR(INDEX('Data_NSA'!$A:$OK,MATCH(U$2,'Data_NSA'!$A:$A,0),MATCH($D226,'Data_NSA'!$1:$1,0)),"")</f>
        <v/>
      </c>
      <c r="V226" s="10">
        <f>IF($E226="","",IFERROR(INDEX('Data_SA'!$A:$LO,MATCH(U$2,'Data_SA'!$A:$A,0),MATCH($E226,'Data_SA'!$1:$1,0)),""))</f>
        <v/>
      </c>
      <c r="W226" s="7">
        <f>IF($E226="","",IFERROR(INDEX('Data_SA'!$A:$LO,MATCH(U$2,'Data_SA'!$A:$A,0),MATCH($E226,'Data_SA'!$1:$1,0))/INDEX('Data_SA'!$A:$LO,MATCH(EDATE(U$2,-1),'Data_SA'!$A:$A,0),MATCH($E226,'Data_SA'!$1:$1,0))-1,""))</f>
        <v/>
      </c>
      <c r="X226" s="7">
        <f>IFERROR(INDEX('Data_NSA'!$A:$OK,MATCH(U$2,'Data_NSA'!$A:$A,0),MATCH($D226,'Data_NSA'!$1:$1,0))/INDEX('Data_NSA'!$A:$OK,MATCH(EDATE(U$2,-12),'Data_NSA'!$A:$A,0),MATCH($D226,'Data_NSA'!$1:$1,0))-1,"")</f>
        <v/>
      </c>
      <c r="Y226" s="10">
        <f>IFERROR(INDEX('Weights'!$G:$I,MATCH($A226,'Weights'!$A:$A,0),MATCH(U$2,'Weights'!$G$1:$I$1,0)),"")</f>
        <v/>
      </c>
      <c r="Z226" s="10">
        <f>IF($E226="","",IFERROR(100*(INDEX('Weights'!$D:$D,MATCH($A226,'Weights'!$A:$A,0))*(INDEX('Data_NSA'!$A:$OK,MATCH(EDATE(U$2,-1),'Data_NSA'!$A:$A,0),MATCH($D226,'Data_NSA'!$1:$1,0))/INDEX('Data_NSA'!$A:$OK,MATCH(INDEX('Weights'!$E:$E,MATCH($A226,'Weights'!$A:$A,0)),'Data_NSA'!$A:$A,0),MATCH($D226,'Data_NSA'!$1:$1,0))))/(100*(INDEX('Data_NSA'!$A:$OK,MATCH(EDATE(U$2,-1),'Data_NSA'!$A:$A,0),MATCH("CUUR0000SA0",'Data_NSA'!$1:$1,0))/INDEX('Data_NSA'!$A:$OK,MATCH(INDEX('Weights'!$E:$E,MATCH($A226,'Weights'!$A:$A,0)),'Data_NSA'!$A:$A,0),MATCH("CUUR0000SA0",'Data_NSA'!$1:$1,0))))*(INDEX('Data_SA'!$A:$LO,MATCH(U$2,'Data_SA'!$A:$A,0),MATCH($E226,'Data_SA'!$1:$1,0))/INDEX('Data_SA'!$A:$LO,MATCH(EDATE(U$2,-1),'Data_SA'!$A:$A,0),MATCH($E226,'Data_SA'!$1:$1,0))-1),""))</f>
        <v/>
      </c>
    </row>
    <row r="227">
      <c r="A227" s="3" t="inlineStr">
        <is>
          <t>SS47015</t>
        </is>
      </c>
      <c r="B227" s="3" t="inlineStr">
        <is>
          <t>Gasoline, unleaded midgrade</t>
        </is>
      </c>
      <c r="C227" s="3" t="inlineStr">
        <is>
          <t>SETB01</t>
        </is>
      </c>
      <c r="D227" s="3" t="inlineStr">
        <is>
          <t>CUUR0000SS47015</t>
        </is>
      </c>
      <c r="E227" s="3" t="inlineStr">
        <is>
          <t>CUSR0000SS47015</t>
        </is>
      </c>
      <c r="F227" s="3" t="inlineStr">
        <is>
          <t>GM</t>
        </is>
      </c>
      <c r="G227" s="3" t="inlineStr">
        <is>
          <t>monthly energy/utility collection</t>
        </is>
      </c>
      <c r="H227" s="10">
        <f>IFERROR(INDEX(Weights!$D:$D,MATCH($A227,Weights!$A:$A,0)),"")</f>
        <v/>
      </c>
      <c r="I227" s="10">
        <f>IFERROR(INDEX('Data_NSA'!$A:$OK,MATCH(I$2,'Data_NSA'!$A:$A,0),MATCH($D227,'Data_NSA'!$1:$1,0)),"")</f>
        <v/>
      </c>
      <c r="J227" s="10">
        <f>IF($E227="","",IFERROR(INDEX('Data_SA'!$A:$LO,MATCH(I$2,'Data_SA'!$A:$A,0),MATCH($E227,'Data_SA'!$1:$1,0)),""))</f>
        <v/>
      </c>
      <c r="K227" s="7">
        <f>IF($E227="","",IFERROR(INDEX('Data_SA'!$A:$LO,MATCH(I$2,'Data_SA'!$A:$A,0),MATCH($E227,'Data_SA'!$1:$1,0))/INDEX('Data_SA'!$A:$LO,MATCH(EDATE(I$2,-1),'Data_SA'!$A:$A,0),MATCH($E227,'Data_SA'!$1:$1,0))-1,""))</f>
        <v/>
      </c>
      <c r="L227" s="7">
        <f>IFERROR(INDEX('Data_NSA'!$A:$OK,MATCH(I$2,'Data_NSA'!$A:$A,0),MATCH($D227,'Data_NSA'!$1:$1,0))/INDEX('Data_NSA'!$A:$OK,MATCH(EDATE(I$2,-12),'Data_NSA'!$A:$A,0),MATCH($D227,'Data_NSA'!$1:$1,0))-1,"")</f>
        <v/>
      </c>
      <c r="M227" s="10">
        <f>IFERROR(INDEX('Weights'!$G:$I,MATCH($A227,'Weights'!$A:$A,0),MATCH(I$2,'Weights'!$G$1:$I$1,0)),"")</f>
        <v/>
      </c>
      <c r="N227" s="10">
        <f>IF($E227="","",IFERROR(100*(INDEX('Weights'!$D:$D,MATCH($A227,'Weights'!$A:$A,0))*(INDEX('Data_NSA'!$A:$OK,MATCH(EDATE(I$2,-1),'Data_NSA'!$A:$A,0),MATCH($D227,'Data_NSA'!$1:$1,0))/INDEX('Data_NSA'!$A:$OK,MATCH(INDEX('Weights'!$E:$E,MATCH($A227,'Weights'!$A:$A,0)),'Data_NSA'!$A:$A,0),MATCH($D227,'Data_NSA'!$1:$1,0))))/(100*(INDEX('Data_NSA'!$A:$OK,MATCH(EDATE(I$2,-1),'Data_NSA'!$A:$A,0),MATCH("CUUR0000SA0",'Data_NSA'!$1:$1,0))/INDEX('Data_NSA'!$A:$OK,MATCH(INDEX('Weights'!$E:$E,MATCH($A227,'Weights'!$A:$A,0)),'Data_NSA'!$A:$A,0),MATCH("CUUR0000SA0",'Data_NSA'!$1:$1,0))))*(INDEX('Data_SA'!$A:$LO,MATCH(I$2,'Data_SA'!$A:$A,0),MATCH($E227,'Data_SA'!$1:$1,0))/INDEX('Data_SA'!$A:$LO,MATCH(EDATE(I$2,-1),'Data_SA'!$A:$A,0),MATCH($E227,'Data_SA'!$1:$1,0))-1),""))</f>
        <v/>
      </c>
      <c r="O227" s="10">
        <f>IFERROR(INDEX('Data_NSA'!$A:$OK,MATCH(O$2,'Data_NSA'!$A:$A,0),MATCH($D227,'Data_NSA'!$1:$1,0)),"")</f>
        <v/>
      </c>
      <c r="P227" s="10">
        <f>IF($E227="","",IFERROR(INDEX('Data_SA'!$A:$LO,MATCH(O$2,'Data_SA'!$A:$A,0),MATCH($E227,'Data_SA'!$1:$1,0)),""))</f>
        <v/>
      </c>
      <c r="Q227" s="7">
        <f>IF($E227="","",IFERROR(INDEX('Data_SA'!$A:$LO,MATCH(O$2,'Data_SA'!$A:$A,0),MATCH($E227,'Data_SA'!$1:$1,0))/INDEX('Data_SA'!$A:$LO,MATCH(EDATE(O$2,-1),'Data_SA'!$A:$A,0),MATCH($E227,'Data_SA'!$1:$1,0))-1,""))</f>
        <v/>
      </c>
      <c r="R227" s="7">
        <f>IFERROR(INDEX('Data_NSA'!$A:$OK,MATCH(O$2,'Data_NSA'!$A:$A,0),MATCH($D227,'Data_NSA'!$1:$1,0))/INDEX('Data_NSA'!$A:$OK,MATCH(EDATE(O$2,-12),'Data_NSA'!$A:$A,0),MATCH($D227,'Data_NSA'!$1:$1,0))-1,"")</f>
        <v/>
      </c>
      <c r="S227" s="10">
        <f>IFERROR(INDEX('Weights'!$G:$I,MATCH($A227,'Weights'!$A:$A,0),MATCH(O$2,'Weights'!$G$1:$I$1,0)),"")</f>
        <v/>
      </c>
      <c r="T227" s="10">
        <f>IF($E227="","",IFERROR(100*(INDEX('Weights'!$D:$D,MATCH($A227,'Weights'!$A:$A,0))*(INDEX('Data_NSA'!$A:$OK,MATCH(EDATE(O$2,-1),'Data_NSA'!$A:$A,0),MATCH($D227,'Data_NSA'!$1:$1,0))/INDEX('Data_NSA'!$A:$OK,MATCH(INDEX('Weights'!$E:$E,MATCH($A227,'Weights'!$A:$A,0)),'Data_NSA'!$A:$A,0),MATCH($D227,'Data_NSA'!$1:$1,0))))/(100*(INDEX('Data_NSA'!$A:$OK,MATCH(EDATE(O$2,-1),'Data_NSA'!$A:$A,0),MATCH("CUUR0000SA0",'Data_NSA'!$1:$1,0))/INDEX('Data_NSA'!$A:$OK,MATCH(INDEX('Weights'!$E:$E,MATCH($A227,'Weights'!$A:$A,0)),'Data_NSA'!$A:$A,0),MATCH("CUUR0000SA0",'Data_NSA'!$1:$1,0))))*(INDEX('Data_SA'!$A:$LO,MATCH(O$2,'Data_SA'!$A:$A,0),MATCH($E227,'Data_SA'!$1:$1,0))/INDEX('Data_SA'!$A:$LO,MATCH(EDATE(O$2,-1),'Data_SA'!$A:$A,0),MATCH($E227,'Data_SA'!$1:$1,0))-1),""))</f>
        <v/>
      </c>
      <c r="U227" s="10">
        <f>IFERROR(INDEX('Data_NSA'!$A:$OK,MATCH(U$2,'Data_NSA'!$A:$A,0),MATCH($D227,'Data_NSA'!$1:$1,0)),"")</f>
        <v/>
      </c>
      <c r="V227" s="10">
        <f>IF($E227="","",IFERROR(INDEX('Data_SA'!$A:$LO,MATCH(U$2,'Data_SA'!$A:$A,0),MATCH($E227,'Data_SA'!$1:$1,0)),""))</f>
        <v/>
      </c>
      <c r="W227" s="7">
        <f>IF($E227="","",IFERROR(INDEX('Data_SA'!$A:$LO,MATCH(U$2,'Data_SA'!$A:$A,0),MATCH($E227,'Data_SA'!$1:$1,0))/INDEX('Data_SA'!$A:$LO,MATCH(EDATE(U$2,-1),'Data_SA'!$A:$A,0),MATCH($E227,'Data_SA'!$1:$1,0))-1,""))</f>
        <v/>
      </c>
      <c r="X227" s="7">
        <f>IFERROR(INDEX('Data_NSA'!$A:$OK,MATCH(U$2,'Data_NSA'!$A:$A,0),MATCH($D227,'Data_NSA'!$1:$1,0))/INDEX('Data_NSA'!$A:$OK,MATCH(EDATE(U$2,-12),'Data_NSA'!$A:$A,0),MATCH($D227,'Data_NSA'!$1:$1,0))-1,"")</f>
        <v/>
      </c>
      <c r="Y227" s="10">
        <f>IFERROR(INDEX('Weights'!$G:$I,MATCH($A227,'Weights'!$A:$A,0),MATCH(U$2,'Weights'!$G$1:$I$1,0)),"")</f>
        <v/>
      </c>
      <c r="Z227" s="10">
        <f>IF($E227="","",IFERROR(100*(INDEX('Weights'!$D:$D,MATCH($A227,'Weights'!$A:$A,0))*(INDEX('Data_NSA'!$A:$OK,MATCH(EDATE(U$2,-1),'Data_NSA'!$A:$A,0),MATCH($D227,'Data_NSA'!$1:$1,0))/INDEX('Data_NSA'!$A:$OK,MATCH(INDEX('Weights'!$E:$E,MATCH($A227,'Weights'!$A:$A,0)),'Data_NSA'!$A:$A,0),MATCH($D227,'Data_NSA'!$1:$1,0))))/(100*(INDEX('Data_NSA'!$A:$OK,MATCH(EDATE(U$2,-1),'Data_NSA'!$A:$A,0),MATCH("CUUR0000SA0",'Data_NSA'!$1:$1,0))/INDEX('Data_NSA'!$A:$OK,MATCH(INDEX('Weights'!$E:$E,MATCH($A227,'Weights'!$A:$A,0)),'Data_NSA'!$A:$A,0),MATCH("CUUR0000SA0",'Data_NSA'!$1:$1,0))))*(INDEX('Data_SA'!$A:$LO,MATCH(U$2,'Data_SA'!$A:$A,0),MATCH($E227,'Data_SA'!$1:$1,0))/INDEX('Data_SA'!$A:$LO,MATCH(EDATE(U$2,-1),'Data_SA'!$A:$A,0),MATCH($E227,'Data_SA'!$1:$1,0))-1),""))</f>
        <v/>
      </c>
    </row>
    <row r="228">
      <c r="A228" s="3" t="inlineStr">
        <is>
          <t>SS47016</t>
        </is>
      </c>
      <c r="B228" s="3" t="inlineStr">
        <is>
          <t>Gasoline, unleaded premium</t>
        </is>
      </c>
      <c r="C228" s="3" t="inlineStr">
        <is>
          <t>SETB01</t>
        </is>
      </c>
      <c r="D228" s="3" t="inlineStr">
        <is>
          <t>CUUR0000SS47016</t>
        </is>
      </c>
      <c r="E228" s="3" t="inlineStr">
        <is>
          <t>CUSR0000SS47016</t>
        </is>
      </c>
      <c r="F228" s="3" t="inlineStr">
        <is>
          <t>GM</t>
        </is>
      </c>
      <c r="G228" s="3" t="inlineStr">
        <is>
          <t>monthly energy/utility collection</t>
        </is>
      </c>
      <c r="H228" s="10">
        <f>IFERROR(INDEX(Weights!$D:$D,MATCH($A228,Weights!$A:$A,0)),"")</f>
        <v/>
      </c>
      <c r="I228" s="10">
        <f>IFERROR(INDEX('Data_NSA'!$A:$OK,MATCH(I$2,'Data_NSA'!$A:$A,0),MATCH($D228,'Data_NSA'!$1:$1,0)),"")</f>
        <v/>
      </c>
      <c r="J228" s="10">
        <f>IF($E228="","",IFERROR(INDEX('Data_SA'!$A:$LO,MATCH(I$2,'Data_SA'!$A:$A,0),MATCH($E228,'Data_SA'!$1:$1,0)),""))</f>
        <v/>
      </c>
      <c r="K228" s="7">
        <f>IF($E228="","",IFERROR(INDEX('Data_SA'!$A:$LO,MATCH(I$2,'Data_SA'!$A:$A,0),MATCH($E228,'Data_SA'!$1:$1,0))/INDEX('Data_SA'!$A:$LO,MATCH(EDATE(I$2,-1),'Data_SA'!$A:$A,0),MATCH($E228,'Data_SA'!$1:$1,0))-1,""))</f>
        <v/>
      </c>
      <c r="L228" s="7">
        <f>IFERROR(INDEX('Data_NSA'!$A:$OK,MATCH(I$2,'Data_NSA'!$A:$A,0),MATCH($D228,'Data_NSA'!$1:$1,0))/INDEX('Data_NSA'!$A:$OK,MATCH(EDATE(I$2,-12),'Data_NSA'!$A:$A,0),MATCH($D228,'Data_NSA'!$1:$1,0))-1,"")</f>
        <v/>
      </c>
      <c r="M228" s="10">
        <f>IFERROR(INDEX('Weights'!$G:$I,MATCH($A228,'Weights'!$A:$A,0),MATCH(I$2,'Weights'!$G$1:$I$1,0)),"")</f>
        <v/>
      </c>
      <c r="N228" s="10">
        <f>IF($E228="","",IFERROR(100*(INDEX('Weights'!$D:$D,MATCH($A228,'Weights'!$A:$A,0))*(INDEX('Data_NSA'!$A:$OK,MATCH(EDATE(I$2,-1),'Data_NSA'!$A:$A,0),MATCH($D228,'Data_NSA'!$1:$1,0))/INDEX('Data_NSA'!$A:$OK,MATCH(INDEX('Weights'!$E:$E,MATCH($A228,'Weights'!$A:$A,0)),'Data_NSA'!$A:$A,0),MATCH($D228,'Data_NSA'!$1:$1,0))))/(100*(INDEX('Data_NSA'!$A:$OK,MATCH(EDATE(I$2,-1),'Data_NSA'!$A:$A,0),MATCH("CUUR0000SA0",'Data_NSA'!$1:$1,0))/INDEX('Data_NSA'!$A:$OK,MATCH(INDEX('Weights'!$E:$E,MATCH($A228,'Weights'!$A:$A,0)),'Data_NSA'!$A:$A,0),MATCH("CUUR0000SA0",'Data_NSA'!$1:$1,0))))*(INDEX('Data_SA'!$A:$LO,MATCH(I$2,'Data_SA'!$A:$A,0),MATCH($E228,'Data_SA'!$1:$1,0))/INDEX('Data_SA'!$A:$LO,MATCH(EDATE(I$2,-1),'Data_SA'!$A:$A,0),MATCH($E228,'Data_SA'!$1:$1,0))-1),""))</f>
        <v/>
      </c>
      <c r="O228" s="10">
        <f>IFERROR(INDEX('Data_NSA'!$A:$OK,MATCH(O$2,'Data_NSA'!$A:$A,0),MATCH($D228,'Data_NSA'!$1:$1,0)),"")</f>
        <v/>
      </c>
      <c r="P228" s="10">
        <f>IF($E228="","",IFERROR(INDEX('Data_SA'!$A:$LO,MATCH(O$2,'Data_SA'!$A:$A,0),MATCH($E228,'Data_SA'!$1:$1,0)),""))</f>
        <v/>
      </c>
      <c r="Q228" s="7">
        <f>IF($E228="","",IFERROR(INDEX('Data_SA'!$A:$LO,MATCH(O$2,'Data_SA'!$A:$A,0),MATCH($E228,'Data_SA'!$1:$1,0))/INDEX('Data_SA'!$A:$LO,MATCH(EDATE(O$2,-1),'Data_SA'!$A:$A,0),MATCH($E228,'Data_SA'!$1:$1,0))-1,""))</f>
        <v/>
      </c>
      <c r="R228" s="7">
        <f>IFERROR(INDEX('Data_NSA'!$A:$OK,MATCH(O$2,'Data_NSA'!$A:$A,0),MATCH($D228,'Data_NSA'!$1:$1,0))/INDEX('Data_NSA'!$A:$OK,MATCH(EDATE(O$2,-12),'Data_NSA'!$A:$A,0),MATCH($D228,'Data_NSA'!$1:$1,0))-1,"")</f>
        <v/>
      </c>
      <c r="S228" s="10">
        <f>IFERROR(INDEX('Weights'!$G:$I,MATCH($A228,'Weights'!$A:$A,0),MATCH(O$2,'Weights'!$G$1:$I$1,0)),"")</f>
        <v/>
      </c>
      <c r="T228" s="10">
        <f>IF($E228="","",IFERROR(100*(INDEX('Weights'!$D:$D,MATCH($A228,'Weights'!$A:$A,0))*(INDEX('Data_NSA'!$A:$OK,MATCH(EDATE(O$2,-1),'Data_NSA'!$A:$A,0),MATCH($D228,'Data_NSA'!$1:$1,0))/INDEX('Data_NSA'!$A:$OK,MATCH(INDEX('Weights'!$E:$E,MATCH($A228,'Weights'!$A:$A,0)),'Data_NSA'!$A:$A,0),MATCH($D228,'Data_NSA'!$1:$1,0))))/(100*(INDEX('Data_NSA'!$A:$OK,MATCH(EDATE(O$2,-1),'Data_NSA'!$A:$A,0),MATCH("CUUR0000SA0",'Data_NSA'!$1:$1,0))/INDEX('Data_NSA'!$A:$OK,MATCH(INDEX('Weights'!$E:$E,MATCH($A228,'Weights'!$A:$A,0)),'Data_NSA'!$A:$A,0),MATCH("CUUR0000SA0",'Data_NSA'!$1:$1,0))))*(INDEX('Data_SA'!$A:$LO,MATCH(O$2,'Data_SA'!$A:$A,0),MATCH($E228,'Data_SA'!$1:$1,0))/INDEX('Data_SA'!$A:$LO,MATCH(EDATE(O$2,-1),'Data_SA'!$A:$A,0),MATCH($E228,'Data_SA'!$1:$1,0))-1),""))</f>
        <v/>
      </c>
      <c r="U228" s="10">
        <f>IFERROR(INDEX('Data_NSA'!$A:$OK,MATCH(U$2,'Data_NSA'!$A:$A,0),MATCH($D228,'Data_NSA'!$1:$1,0)),"")</f>
        <v/>
      </c>
      <c r="V228" s="10">
        <f>IF($E228="","",IFERROR(INDEX('Data_SA'!$A:$LO,MATCH(U$2,'Data_SA'!$A:$A,0),MATCH($E228,'Data_SA'!$1:$1,0)),""))</f>
        <v/>
      </c>
      <c r="W228" s="7">
        <f>IF($E228="","",IFERROR(INDEX('Data_SA'!$A:$LO,MATCH(U$2,'Data_SA'!$A:$A,0),MATCH($E228,'Data_SA'!$1:$1,0))/INDEX('Data_SA'!$A:$LO,MATCH(EDATE(U$2,-1),'Data_SA'!$A:$A,0),MATCH($E228,'Data_SA'!$1:$1,0))-1,""))</f>
        <v/>
      </c>
      <c r="X228" s="7">
        <f>IFERROR(INDEX('Data_NSA'!$A:$OK,MATCH(U$2,'Data_NSA'!$A:$A,0),MATCH($D228,'Data_NSA'!$1:$1,0))/INDEX('Data_NSA'!$A:$OK,MATCH(EDATE(U$2,-12),'Data_NSA'!$A:$A,0),MATCH($D228,'Data_NSA'!$1:$1,0))-1,"")</f>
        <v/>
      </c>
      <c r="Y228" s="10">
        <f>IFERROR(INDEX('Weights'!$G:$I,MATCH($A228,'Weights'!$A:$A,0),MATCH(U$2,'Weights'!$G$1:$I$1,0)),"")</f>
        <v/>
      </c>
      <c r="Z228" s="10">
        <f>IF($E228="","",IFERROR(100*(INDEX('Weights'!$D:$D,MATCH($A228,'Weights'!$A:$A,0))*(INDEX('Data_NSA'!$A:$OK,MATCH(EDATE(U$2,-1),'Data_NSA'!$A:$A,0),MATCH($D228,'Data_NSA'!$1:$1,0))/INDEX('Data_NSA'!$A:$OK,MATCH(INDEX('Weights'!$E:$E,MATCH($A228,'Weights'!$A:$A,0)),'Data_NSA'!$A:$A,0),MATCH($D228,'Data_NSA'!$1:$1,0))))/(100*(INDEX('Data_NSA'!$A:$OK,MATCH(EDATE(U$2,-1),'Data_NSA'!$A:$A,0),MATCH("CUUR0000SA0",'Data_NSA'!$1:$1,0))/INDEX('Data_NSA'!$A:$OK,MATCH(INDEX('Weights'!$E:$E,MATCH($A228,'Weights'!$A:$A,0)),'Data_NSA'!$A:$A,0),MATCH("CUUR0000SA0",'Data_NSA'!$1:$1,0))))*(INDEX('Data_SA'!$A:$LO,MATCH(U$2,'Data_SA'!$A:$A,0),MATCH($E228,'Data_SA'!$1:$1,0))/INDEX('Data_SA'!$A:$LO,MATCH(EDATE(U$2,-1),'Data_SA'!$A:$A,0),MATCH($E228,'Data_SA'!$1:$1,0))-1),""))</f>
        <v/>
      </c>
    </row>
    <row r="229">
      <c r="A229" s="3" t="inlineStr">
        <is>
          <t>SETB02</t>
        </is>
      </c>
      <c r="B229" s="3" t="inlineStr">
        <is>
          <t>Other motor fuels</t>
        </is>
      </c>
      <c r="C229" s="3" t="inlineStr">
        <is>
          <t>SETB</t>
        </is>
      </c>
      <c r="D229" s="3" t="inlineStr">
        <is>
          <t>CUUR0000SETB02</t>
        </is>
      </c>
      <c r="E229" s="3" t="inlineStr">
        <is>
          <t>CUSR0000SETB02</t>
        </is>
      </c>
      <c r="F229" s="3" t="inlineStr">
        <is>
          <t>GM</t>
        </is>
      </c>
      <c r="G229" s="3" t="inlineStr">
        <is>
          <t>monthly energy/utility collection</t>
        </is>
      </c>
      <c r="H229" s="10">
        <f>IFERROR(INDEX(Weights!$D:$D,MATCH($A229,Weights!$A:$A,0)),"")</f>
        <v/>
      </c>
      <c r="I229" s="10">
        <f>IFERROR(INDEX('Data_NSA'!$A:$OK,MATCH(I$2,'Data_NSA'!$A:$A,0),MATCH($D229,'Data_NSA'!$1:$1,0)),"")</f>
        <v/>
      </c>
      <c r="J229" s="10">
        <f>IF($E229="","",IFERROR(INDEX('Data_SA'!$A:$LO,MATCH(I$2,'Data_SA'!$A:$A,0),MATCH($E229,'Data_SA'!$1:$1,0)),""))</f>
        <v/>
      </c>
      <c r="K229" s="7">
        <f>IF($E229="","",IFERROR(INDEX('Data_SA'!$A:$LO,MATCH(I$2,'Data_SA'!$A:$A,0),MATCH($E229,'Data_SA'!$1:$1,0))/INDEX('Data_SA'!$A:$LO,MATCH(EDATE(I$2,-1),'Data_SA'!$A:$A,0),MATCH($E229,'Data_SA'!$1:$1,0))-1,""))</f>
        <v/>
      </c>
      <c r="L229" s="7">
        <f>IFERROR(INDEX('Data_NSA'!$A:$OK,MATCH(I$2,'Data_NSA'!$A:$A,0),MATCH($D229,'Data_NSA'!$1:$1,0))/INDEX('Data_NSA'!$A:$OK,MATCH(EDATE(I$2,-12),'Data_NSA'!$A:$A,0),MATCH($D229,'Data_NSA'!$1:$1,0))-1,"")</f>
        <v/>
      </c>
      <c r="M229" s="10">
        <f>IFERROR(INDEX('Weights'!$G:$I,MATCH($A229,'Weights'!$A:$A,0),MATCH(I$2,'Weights'!$G$1:$I$1,0)),"")</f>
        <v/>
      </c>
      <c r="N229" s="10">
        <f>IF($E229="","",IFERROR(100*(INDEX('Weights'!$D:$D,MATCH($A229,'Weights'!$A:$A,0))*(INDEX('Data_NSA'!$A:$OK,MATCH(EDATE(I$2,-1),'Data_NSA'!$A:$A,0),MATCH($D229,'Data_NSA'!$1:$1,0))/INDEX('Data_NSA'!$A:$OK,MATCH(INDEX('Weights'!$E:$E,MATCH($A229,'Weights'!$A:$A,0)),'Data_NSA'!$A:$A,0),MATCH($D229,'Data_NSA'!$1:$1,0))))/(100*(INDEX('Data_NSA'!$A:$OK,MATCH(EDATE(I$2,-1),'Data_NSA'!$A:$A,0),MATCH("CUUR0000SA0",'Data_NSA'!$1:$1,0))/INDEX('Data_NSA'!$A:$OK,MATCH(INDEX('Weights'!$E:$E,MATCH($A229,'Weights'!$A:$A,0)),'Data_NSA'!$A:$A,0),MATCH("CUUR0000SA0",'Data_NSA'!$1:$1,0))))*(INDEX('Data_SA'!$A:$LO,MATCH(I$2,'Data_SA'!$A:$A,0),MATCH($E229,'Data_SA'!$1:$1,0))/INDEX('Data_SA'!$A:$LO,MATCH(EDATE(I$2,-1),'Data_SA'!$A:$A,0),MATCH($E229,'Data_SA'!$1:$1,0))-1),""))</f>
        <v/>
      </c>
      <c r="O229" s="10">
        <f>IFERROR(INDEX('Data_NSA'!$A:$OK,MATCH(O$2,'Data_NSA'!$A:$A,0),MATCH($D229,'Data_NSA'!$1:$1,0)),"")</f>
        <v/>
      </c>
      <c r="P229" s="10">
        <f>IF($E229="","",IFERROR(INDEX('Data_SA'!$A:$LO,MATCH(O$2,'Data_SA'!$A:$A,0),MATCH($E229,'Data_SA'!$1:$1,0)),""))</f>
        <v/>
      </c>
      <c r="Q229" s="7">
        <f>IF($E229="","",IFERROR(INDEX('Data_SA'!$A:$LO,MATCH(O$2,'Data_SA'!$A:$A,0),MATCH($E229,'Data_SA'!$1:$1,0))/INDEX('Data_SA'!$A:$LO,MATCH(EDATE(O$2,-1),'Data_SA'!$A:$A,0),MATCH($E229,'Data_SA'!$1:$1,0))-1,""))</f>
        <v/>
      </c>
      <c r="R229" s="7">
        <f>IFERROR(INDEX('Data_NSA'!$A:$OK,MATCH(O$2,'Data_NSA'!$A:$A,0),MATCH($D229,'Data_NSA'!$1:$1,0))/INDEX('Data_NSA'!$A:$OK,MATCH(EDATE(O$2,-12),'Data_NSA'!$A:$A,0),MATCH($D229,'Data_NSA'!$1:$1,0))-1,"")</f>
        <v/>
      </c>
      <c r="S229" s="10">
        <f>IFERROR(INDEX('Weights'!$G:$I,MATCH($A229,'Weights'!$A:$A,0),MATCH(O$2,'Weights'!$G$1:$I$1,0)),"")</f>
        <v/>
      </c>
      <c r="T229" s="10">
        <f>IF($E229="","",IFERROR(100*(INDEX('Weights'!$D:$D,MATCH($A229,'Weights'!$A:$A,0))*(INDEX('Data_NSA'!$A:$OK,MATCH(EDATE(O$2,-1),'Data_NSA'!$A:$A,0),MATCH($D229,'Data_NSA'!$1:$1,0))/INDEX('Data_NSA'!$A:$OK,MATCH(INDEX('Weights'!$E:$E,MATCH($A229,'Weights'!$A:$A,0)),'Data_NSA'!$A:$A,0),MATCH($D229,'Data_NSA'!$1:$1,0))))/(100*(INDEX('Data_NSA'!$A:$OK,MATCH(EDATE(O$2,-1),'Data_NSA'!$A:$A,0),MATCH("CUUR0000SA0",'Data_NSA'!$1:$1,0))/INDEX('Data_NSA'!$A:$OK,MATCH(INDEX('Weights'!$E:$E,MATCH($A229,'Weights'!$A:$A,0)),'Data_NSA'!$A:$A,0),MATCH("CUUR0000SA0",'Data_NSA'!$1:$1,0))))*(INDEX('Data_SA'!$A:$LO,MATCH(O$2,'Data_SA'!$A:$A,0),MATCH($E229,'Data_SA'!$1:$1,0))/INDEX('Data_SA'!$A:$LO,MATCH(EDATE(O$2,-1),'Data_SA'!$A:$A,0),MATCH($E229,'Data_SA'!$1:$1,0))-1),""))</f>
        <v/>
      </c>
      <c r="U229" s="10">
        <f>IFERROR(INDEX('Data_NSA'!$A:$OK,MATCH(U$2,'Data_NSA'!$A:$A,0),MATCH($D229,'Data_NSA'!$1:$1,0)),"")</f>
        <v/>
      </c>
      <c r="V229" s="10">
        <f>IF($E229="","",IFERROR(INDEX('Data_SA'!$A:$LO,MATCH(U$2,'Data_SA'!$A:$A,0),MATCH($E229,'Data_SA'!$1:$1,0)),""))</f>
        <v/>
      </c>
      <c r="W229" s="7">
        <f>IF($E229="","",IFERROR(INDEX('Data_SA'!$A:$LO,MATCH(U$2,'Data_SA'!$A:$A,0),MATCH($E229,'Data_SA'!$1:$1,0))/INDEX('Data_SA'!$A:$LO,MATCH(EDATE(U$2,-1),'Data_SA'!$A:$A,0),MATCH($E229,'Data_SA'!$1:$1,0))-1,""))</f>
        <v/>
      </c>
      <c r="X229" s="7">
        <f>IFERROR(INDEX('Data_NSA'!$A:$OK,MATCH(U$2,'Data_NSA'!$A:$A,0),MATCH($D229,'Data_NSA'!$1:$1,0))/INDEX('Data_NSA'!$A:$OK,MATCH(EDATE(U$2,-12),'Data_NSA'!$A:$A,0),MATCH($D229,'Data_NSA'!$1:$1,0))-1,"")</f>
        <v/>
      </c>
      <c r="Y229" s="10">
        <f>IFERROR(INDEX('Weights'!$G:$I,MATCH($A229,'Weights'!$A:$A,0),MATCH(U$2,'Weights'!$G$1:$I$1,0)),"")</f>
        <v/>
      </c>
      <c r="Z229" s="10">
        <f>IF($E229="","",IFERROR(100*(INDEX('Weights'!$D:$D,MATCH($A229,'Weights'!$A:$A,0))*(INDEX('Data_NSA'!$A:$OK,MATCH(EDATE(U$2,-1),'Data_NSA'!$A:$A,0),MATCH($D229,'Data_NSA'!$1:$1,0))/INDEX('Data_NSA'!$A:$OK,MATCH(INDEX('Weights'!$E:$E,MATCH($A229,'Weights'!$A:$A,0)),'Data_NSA'!$A:$A,0),MATCH($D229,'Data_NSA'!$1:$1,0))))/(100*(INDEX('Data_NSA'!$A:$OK,MATCH(EDATE(U$2,-1),'Data_NSA'!$A:$A,0),MATCH("CUUR0000SA0",'Data_NSA'!$1:$1,0))/INDEX('Data_NSA'!$A:$OK,MATCH(INDEX('Weights'!$E:$E,MATCH($A229,'Weights'!$A:$A,0)),'Data_NSA'!$A:$A,0),MATCH("CUUR0000SA0",'Data_NSA'!$1:$1,0))))*(INDEX('Data_SA'!$A:$LO,MATCH(U$2,'Data_SA'!$A:$A,0),MATCH($E229,'Data_SA'!$1:$1,0))/INDEX('Data_SA'!$A:$LO,MATCH(EDATE(U$2,-1),'Data_SA'!$A:$A,0),MATCH($E229,'Data_SA'!$1:$1,0))-1),""))</f>
        <v/>
      </c>
    </row>
    <row r="230">
      <c r="A230" s="3" t="inlineStr">
        <is>
          <t>SETC</t>
        </is>
      </c>
      <c r="B230" s="3" t="inlineStr">
        <is>
          <t>Motor vehicle parts and equipment</t>
        </is>
      </c>
      <c r="C230" s="3" t="inlineStr">
        <is>
          <t>SAT1</t>
        </is>
      </c>
      <c r="D230" s="3" t="inlineStr">
        <is>
          <t>CUUR0000SETC</t>
        </is>
      </c>
      <c r="E230" s="3" t="inlineStr">
        <is>
          <t>CUSR0000SETC</t>
        </is>
      </c>
      <c r="F230" s="3" t="inlineStr">
        <is>
          <t>GM</t>
        </is>
      </c>
      <c r="G230" s="3" t="inlineStr">
        <is>
          <t>bimonthly</t>
        </is>
      </c>
      <c r="H230" s="10">
        <f>IFERROR(INDEX(Weights!$D:$D,MATCH($A230,Weights!$A:$A,0)),"")</f>
        <v/>
      </c>
      <c r="I230" s="10">
        <f>IFERROR(INDEX('Data_NSA'!$A:$OK,MATCH(I$2,'Data_NSA'!$A:$A,0),MATCH($D230,'Data_NSA'!$1:$1,0)),"")</f>
        <v/>
      </c>
      <c r="J230" s="10">
        <f>IF($E230="","",IFERROR(INDEX('Data_SA'!$A:$LO,MATCH(I$2,'Data_SA'!$A:$A,0),MATCH($E230,'Data_SA'!$1:$1,0)),""))</f>
        <v/>
      </c>
      <c r="K230" s="7">
        <f>IF($E230="","",IFERROR(INDEX('Data_SA'!$A:$LO,MATCH(I$2,'Data_SA'!$A:$A,0),MATCH($E230,'Data_SA'!$1:$1,0))/INDEX('Data_SA'!$A:$LO,MATCH(EDATE(I$2,-1),'Data_SA'!$A:$A,0),MATCH($E230,'Data_SA'!$1:$1,0))-1,""))</f>
        <v/>
      </c>
      <c r="L230" s="7">
        <f>IFERROR(INDEX('Data_NSA'!$A:$OK,MATCH(I$2,'Data_NSA'!$A:$A,0),MATCH($D230,'Data_NSA'!$1:$1,0))/INDEX('Data_NSA'!$A:$OK,MATCH(EDATE(I$2,-12),'Data_NSA'!$A:$A,0),MATCH($D230,'Data_NSA'!$1:$1,0))-1,"")</f>
        <v/>
      </c>
      <c r="M230" s="10">
        <f>IFERROR(INDEX('Weights'!$G:$I,MATCH($A230,'Weights'!$A:$A,0),MATCH(I$2,'Weights'!$G$1:$I$1,0)),"")</f>
        <v/>
      </c>
      <c r="N230" s="10">
        <f>IF($E230="","",IFERROR(100*(INDEX('Weights'!$D:$D,MATCH($A230,'Weights'!$A:$A,0))*(INDEX('Data_NSA'!$A:$OK,MATCH(EDATE(I$2,-1),'Data_NSA'!$A:$A,0),MATCH($D230,'Data_NSA'!$1:$1,0))/INDEX('Data_NSA'!$A:$OK,MATCH(INDEX('Weights'!$E:$E,MATCH($A230,'Weights'!$A:$A,0)),'Data_NSA'!$A:$A,0),MATCH($D230,'Data_NSA'!$1:$1,0))))/(100*(INDEX('Data_NSA'!$A:$OK,MATCH(EDATE(I$2,-1),'Data_NSA'!$A:$A,0),MATCH("CUUR0000SA0",'Data_NSA'!$1:$1,0))/INDEX('Data_NSA'!$A:$OK,MATCH(INDEX('Weights'!$E:$E,MATCH($A230,'Weights'!$A:$A,0)),'Data_NSA'!$A:$A,0),MATCH("CUUR0000SA0",'Data_NSA'!$1:$1,0))))*(INDEX('Data_SA'!$A:$LO,MATCH(I$2,'Data_SA'!$A:$A,0),MATCH($E230,'Data_SA'!$1:$1,0))/INDEX('Data_SA'!$A:$LO,MATCH(EDATE(I$2,-1),'Data_SA'!$A:$A,0),MATCH($E230,'Data_SA'!$1:$1,0))-1),""))</f>
        <v/>
      </c>
      <c r="O230" s="10">
        <f>IFERROR(INDEX('Data_NSA'!$A:$OK,MATCH(O$2,'Data_NSA'!$A:$A,0),MATCH($D230,'Data_NSA'!$1:$1,0)),"")</f>
        <v/>
      </c>
      <c r="P230" s="10">
        <f>IF($E230="","",IFERROR(INDEX('Data_SA'!$A:$LO,MATCH(O$2,'Data_SA'!$A:$A,0),MATCH($E230,'Data_SA'!$1:$1,0)),""))</f>
        <v/>
      </c>
      <c r="Q230" s="7">
        <f>IF($E230="","",IFERROR(INDEX('Data_SA'!$A:$LO,MATCH(O$2,'Data_SA'!$A:$A,0),MATCH($E230,'Data_SA'!$1:$1,0))/INDEX('Data_SA'!$A:$LO,MATCH(EDATE(O$2,-1),'Data_SA'!$A:$A,0),MATCH($E230,'Data_SA'!$1:$1,0))-1,""))</f>
        <v/>
      </c>
      <c r="R230" s="7">
        <f>IFERROR(INDEX('Data_NSA'!$A:$OK,MATCH(O$2,'Data_NSA'!$A:$A,0),MATCH($D230,'Data_NSA'!$1:$1,0))/INDEX('Data_NSA'!$A:$OK,MATCH(EDATE(O$2,-12),'Data_NSA'!$A:$A,0),MATCH($D230,'Data_NSA'!$1:$1,0))-1,"")</f>
        <v/>
      </c>
      <c r="S230" s="10">
        <f>IFERROR(INDEX('Weights'!$G:$I,MATCH($A230,'Weights'!$A:$A,0),MATCH(O$2,'Weights'!$G$1:$I$1,0)),"")</f>
        <v/>
      </c>
      <c r="T230" s="10">
        <f>IF($E230="","",IFERROR(100*(INDEX('Weights'!$D:$D,MATCH($A230,'Weights'!$A:$A,0))*(INDEX('Data_NSA'!$A:$OK,MATCH(EDATE(O$2,-1),'Data_NSA'!$A:$A,0),MATCH($D230,'Data_NSA'!$1:$1,0))/INDEX('Data_NSA'!$A:$OK,MATCH(INDEX('Weights'!$E:$E,MATCH($A230,'Weights'!$A:$A,0)),'Data_NSA'!$A:$A,0),MATCH($D230,'Data_NSA'!$1:$1,0))))/(100*(INDEX('Data_NSA'!$A:$OK,MATCH(EDATE(O$2,-1),'Data_NSA'!$A:$A,0),MATCH("CUUR0000SA0",'Data_NSA'!$1:$1,0))/INDEX('Data_NSA'!$A:$OK,MATCH(INDEX('Weights'!$E:$E,MATCH($A230,'Weights'!$A:$A,0)),'Data_NSA'!$A:$A,0),MATCH("CUUR0000SA0",'Data_NSA'!$1:$1,0))))*(INDEX('Data_SA'!$A:$LO,MATCH(O$2,'Data_SA'!$A:$A,0),MATCH($E230,'Data_SA'!$1:$1,0))/INDEX('Data_SA'!$A:$LO,MATCH(EDATE(O$2,-1),'Data_SA'!$A:$A,0),MATCH($E230,'Data_SA'!$1:$1,0))-1),""))</f>
        <v/>
      </c>
      <c r="U230" s="10">
        <f>IFERROR(INDEX('Data_NSA'!$A:$OK,MATCH(U$2,'Data_NSA'!$A:$A,0),MATCH($D230,'Data_NSA'!$1:$1,0)),"")</f>
        <v/>
      </c>
      <c r="V230" s="10">
        <f>IF($E230="","",IFERROR(INDEX('Data_SA'!$A:$LO,MATCH(U$2,'Data_SA'!$A:$A,0),MATCH($E230,'Data_SA'!$1:$1,0)),""))</f>
        <v/>
      </c>
      <c r="W230" s="7">
        <f>IF($E230="","",IFERROR(INDEX('Data_SA'!$A:$LO,MATCH(U$2,'Data_SA'!$A:$A,0),MATCH($E230,'Data_SA'!$1:$1,0))/INDEX('Data_SA'!$A:$LO,MATCH(EDATE(U$2,-1),'Data_SA'!$A:$A,0),MATCH($E230,'Data_SA'!$1:$1,0))-1,""))</f>
        <v/>
      </c>
      <c r="X230" s="7">
        <f>IFERROR(INDEX('Data_NSA'!$A:$OK,MATCH(U$2,'Data_NSA'!$A:$A,0),MATCH($D230,'Data_NSA'!$1:$1,0))/INDEX('Data_NSA'!$A:$OK,MATCH(EDATE(U$2,-12),'Data_NSA'!$A:$A,0),MATCH($D230,'Data_NSA'!$1:$1,0))-1,"")</f>
        <v/>
      </c>
      <c r="Y230" s="10">
        <f>IFERROR(INDEX('Weights'!$G:$I,MATCH($A230,'Weights'!$A:$A,0),MATCH(U$2,'Weights'!$G$1:$I$1,0)),"")</f>
        <v/>
      </c>
      <c r="Z230" s="10">
        <f>IF($E230="","",IFERROR(100*(INDEX('Weights'!$D:$D,MATCH($A230,'Weights'!$A:$A,0))*(INDEX('Data_NSA'!$A:$OK,MATCH(EDATE(U$2,-1),'Data_NSA'!$A:$A,0),MATCH($D230,'Data_NSA'!$1:$1,0))/INDEX('Data_NSA'!$A:$OK,MATCH(INDEX('Weights'!$E:$E,MATCH($A230,'Weights'!$A:$A,0)),'Data_NSA'!$A:$A,0),MATCH($D230,'Data_NSA'!$1:$1,0))))/(100*(INDEX('Data_NSA'!$A:$OK,MATCH(EDATE(U$2,-1),'Data_NSA'!$A:$A,0),MATCH("CUUR0000SA0",'Data_NSA'!$1:$1,0))/INDEX('Data_NSA'!$A:$OK,MATCH(INDEX('Weights'!$E:$E,MATCH($A230,'Weights'!$A:$A,0)),'Data_NSA'!$A:$A,0),MATCH("CUUR0000SA0",'Data_NSA'!$1:$1,0))))*(INDEX('Data_SA'!$A:$LO,MATCH(U$2,'Data_SA'!$A:$A,0),MATCH($E230,'Data_SA'!$1:$1,0))/INDEX('Data_SA'!$A:$LO,MATCH(EDATE(U$2,-1),'Data_SA'!$A:$A,0),MATCH($E230,'Data_SA'!$1:$1,0))-1),""))</f>
        <v/>
      </c>
    </row>
    <row r="231">
      <c r="A231" s="3" t="inlineStr">
        <is>
          <t>SETC01</t>
        </is>
      </c>
      <c r="B231" s="3" t="inlineStr">
        <is>
          <t>Tires</t>
        </is>
      </c>
      <c r="C231" s="3" t="inlineStr">
        <is>
          <t>SETC</t>
        </is>
      </c>
      <c r="D231" s="3" t="inlineStr">
        <is>
          <t>CUUR0000SETC01</t>
        </is>
      </c>
      <c r="E231" s="3" t="inlineStr">
        <is>
          <t>CUSR0000SETC01</t>
        </is>
      </c>
      <c r="F231" s="3" t="inlineStr">
        <is>
          <t>GM</t>
        </is>
      </c>
      <c r="G231" s="3" t="inlineStr">
        <is>
          <t>monthly in New York/Los Angeles/Chicago; often bimonthly elsewhere</t>
        </is>
      </c>
      <c r="H231" s="10">
        <f>IFERROR(INDEX(Weights!$D:$D,MATCH($A231,Weights!$A:$A,0)),"")</f>
        <v/>
      </c>
      <c r="I231" s="10">
        <f>IFERROR(INDEX('Data_NSA'!$A:$OK,MATCH(I$2,'Data_NSA'!$A:$A,0),MATCH($D231,'Data_NSA'!$1:$1,0)),"")</f>
        <v/>
      </c>
      <c r="J231" s="10">
        <f>IF($E231="","",IFERROR(INDEX('Data_SA'!$A:$LO,MATCH(I$2,'Data_SA'!$A:$A,0),MATCH($E231,'Data_SA'!$1:$1,0)),""))</f>
        <v/>
      </c>
      <c r="K231" s="7">
        <f>IF($E231="","",IFERROR(INDEX('Data_SA'!$A:$LO,MATCH(I$2,'Data_SA'!$A:$A,0),MATCH($E231,'Data_SA'!$1:$1,0))/INDEX('Data_SA'!$A:$LO,MATCH(EDATE(I$2,-1),'Data_SA'!$A:$A,0),MATCH($E231,'Data_SA'!$1:$1,0))-1,""))</f>
        <v/>
      </c>
      <c r="L231" s="7">
        <f>IFERROR(INDEX('Data_NSA'!$A:$OK,MATCH(I$2,'Data_NSA'!$A:$A,0),MATCH($D231,'Data_NSA'!$1:$1,0))/INDEX('Data_NSA'!$A:$OK,MATCH(EDATE(I$2,-12),'Data_NSA'!$A:$A,0),MATCH($D231,'Data_NSA'!$1:$1,0))-1,"")</f>
        <v/>
      </c>
      <c r="M231" s="10">
        <f>IFERROR(INDEX('Weights'!$G:$I,MATCH($A231,'Weights'!$A:$A,0),MATCH(I$2,'Weights'!$G$1:$I$1,0)),"")</f>
        <v/>
      </c>
      <c r="N231" s="10">
        <f>IF($E231="","",IFERROR(100*(INDEX('Weights'!$D:$D,MATCH($A231,'Weights'!$A:$A,0))*(INDEX('Data_NSA'!$A:$OK,MATCH(EDATE(I$2,-1),'Data_NSA'!$A:$A,0),MATCH($D231,'Data_NSA'!$1:$1,0))/INDEX('Data_NSA'!$A:$OK,MATCH(INDEX('Weights'!$E:$E,MATCH($A231,'Weights'!$A:$A,0)),'Data_NSA'!$A:$A,0),MATCH($D231,'Data_NSA'!$1:$1,0))))/(100*(INDEX('Data_NSA'!$A:$OK,MATCH(EDATE(I$2,-1),'Data_NSA'!$A:$A,0),MATCH("CUUR0000SA0",'Data_NSA'!$1:$1,0))/INDEX('Data_NSA'!$A:$OK,MATCH(INDEX('Weights'!$E:$E,MATCH($A231,'Weights'!$A:$A,0)),'Data_NSA'!$A:$A,0),MATCH("CUUR0000SA0",'Data_NSA'!$1:$1,0))))*(INDEX('Data_SA'!$A:$LO,MATCH(I$2,'Data_SA'!$A:$A,0),MATCH($E231,'Data_SA'!$1:$1,0))/INDEX('Data_SA'!$A:$LO,MATCH(EDATE(I$2,-1),'Data_SA'!$A:$A,0),MATCH($E231,'Data_SA'!$1:$1,0))-1),""))</f>
        <v/>
      </c>
      <c r="O231" s="10">
        <f>IFERROR(INDEX('Data_NSA'!$A:$OK,MATCH(O$2,'Data_NSA'!$A:$A,0),MATCH($D231,'Data_NSA'!$1:$1,0)),"")</f>
        <v/>
      </c>
      <c r="P231" s="10">
        <f>IF($E231="","",IFERROR(INDEX('Data_SA'!$A:$LO,MATCH(O$2,'Data_SA'!$A:$A,0),MATCH($E231,'Data_SA'!$1:$1,0)),""))</f>
        <v/>
      </c>
      <c r="Q231" s="7">
        <f>IF($E231="","",IFERROR(INDEX('Data_SA'!$A:$LO,MATCH(O$2,'Data_SA'!$A:$A,0),MATCH($E231,'Data_SA'!$1:$1,0))/INDEX('Data_SA'!$A:$LO,MATCH(EDATE(O$2,-1),'Data_SA'!$A:$A,0),MATCH($E231,'Data_SA'!$1:$1,0))-1,""))</f>
        <v/>
      </c>
      <c r="R231" s="7">
        <f>IFERROR(INDEX('Data_NSA'!$A:$OK,MATCH(O$2,'Data_NSA'!$A:$A,0),MATCH($D231,'Data_NSA'!$1:$1,0))/INDEX('Data_NSA'!$A:$OK,MATCH(EDATE(O$2,-12),'Data_NSA'!$A:$A,0),MATCH($D231,'Data_NSA'!$1:$1,0))-1,"")</f>
        <v/>
      </c>
      <c r="S231" s="10">
        <f>IFERROR(INDEX('Weights'!$G:$I,MATCH($A231,'Weights'!$A:$A,0),MATCH(O$2,'Weights'!$G$1:$I$1,0)),"")</f>
        <v/>
      </c>
      <c r="T231" s="10">
        <f>IF($E231="","",IFERROR(100*(INDEX('Weights'!$D:$D,MATCH($A231,'Weights'!$A:$A,0))*(INDEX('Data_NSA'!$A:$OK,MATCH(EDATE(O$2,-1),'Data_NSA'!$A:$A,0),MATCH($D231,'Data_NSA'!$1:$1,0))/INDEX('Data_NSA'!$A:$OK,MATCH(INDEX('Weights'!$E:$E,MATCH($A231,'Weights'!$A:$A,0)),'Data_NSA'!$A:$A,0),MATCH($D231,'Data_NSA'!$1:$1,0))))/(100*(INDEX('Data_NSA'!$A:$OK,MATCH(EDATE(O$2,-1),'Data_NSA'!$A:$A,0),MATCH("CUUR0000SA0",'Data_NSA'!$1:$1,0))/INDEX('Data_NSA'!$A:$OK,MATCH(INDEX('Weights'!$E:$E,MATCH($A231,'Weights'!$A:$A,0)),'Data_NSA'!$A:$A,0),MATCH("CUUR0000SA0",'Data_NSA'!$1:$1,0))))*(INDEX('Data_SA'!$A:$LO,MATCH(O$2,'Data_SA'!$A:$A,0),MATCH($E231,'Data_SA'!$1:$1,0))/INDEX('Data_SA'!$A:$LO,MATCH(EDATE(O$2,-1),'Data_SA'!$A:$A,0),MATCH($E231,'Data_SA'!$1:$1,0))-1),""))</f>
        <v/>
      </c>
      <c r="U231" s="10">
        <f>IFERROR(INDEX('Data_NSA'!$A:$OK,MATCH(U$2,'Data_NSA'!$A:$A,0),MATCH($D231,'Data_NSA'!$1:$1,0)),"")</f>
        <v/>
      </c>
      <c r="V231" s="10">
        <f>IF($E231="","",IFERROR(INDEX('Data_SA'!$A:$LO,MATCH(U$2,'Data_SA'!$A:$A,0),MATCH($E231,'Data_SA'!$1:$1,0)),""))</f>
        <v/>
      </c>
      <c r="W231" s="7">
        <f>IF($E231="","",IFERROR(INDEX('Data_SA'!$A:$LO,MATCH(U$2,'Data_SA'!$A:$A,0),MATCH($E231,'Data_SA'!$1:$1,0))/INDEX('Data_SA'!$A:$LO,MATCH(EDATE(U$2,-1),'Data_SA'!$A:$A,0),MATCH($E231,'Data_SA'!$1:$1,0))-1,""))</f>
        <v/>
      </c>
      <c r="X231" s="7">
        <f>IFERROR(INDEX('Data_NSA'!$A:$OK,MATCH(U$2,'Data_NSA'!$A:$A,0),MATCH($D231,'Data_NSA'!$1:$1,0))/INDEX('Data_NSA'!$A:$OK,MATCH(EDATE(U$2,-12),'Data_NSA'!$A:$A,0),MATCH($D231,'Data_NSA'!$1:$1,0))-1,"")</f>
        <v/>
      </c>
      <c r="Y231" s="10">
        <f>IFERROR(INDEX('Weights'!$G:$I,MATCH($A231,'Weights'!$A:$A,0),MATCH(U$2,'Weights'!$G$1:$I$1,0)),"")</f>
        <v/>
      </c>
      <c r="Z231" s="10">
        <f>IF($E231="","",IFERROR(100*(INDEX('Weights'!$D:$D,MATCH($A231,'Weights'!$A:$A,0))*(INDEX('Data_NSA'!$A:$OK,MATCH(EDATE(U$2,-1),'Data_NSA'!$A:$A,0),MATCH($D231,'Data_NSA'!$1:$1,0))/INDEX('Data_NSA'!$A:$OK,MATCH(INDEX('Weights'!$E:$E,MATCH($A231,'Weights'!$A:$A,0)),'Data_NSA'!$A:$A,0),MATCH($D231,'Data_NSA'!$1:$1,0))))/(100*(INDEX('Data_NSA'!$A:$OK,MATCH(EDATE(U$2,-1),'Data_NSA'!$A:$A,0),MATCH("CUUR0000SA0",'Data_NSA'!$1:$1,0))/INDEX('Data_NSA'!$A:$OK,MATCH(INDEX('Weights'!$E:$E,MATCH($A231,'Weights'!$A:$A,0)),'Data_NSA'!$A:$A,0),MATCH("CUUR0000SA0",'Data_NSA'!$1:$1,0))))*(INDEX('Data_SA'!$A:$LO,MATCH(U$2,'Data_SA'!$A:$A,0),MATCH($E231,'Data_SA'!$1:$1,0))/INDEX('Data_SA'!$A:$LO,MATCH(EDATE(U$2,-1),'Data_SA'!$A:$A,0),MATCH($E231,'Data_SA'!$1:$1,0))-1),""))</f>
        <v/>
      </c>
    </row>
    <row r="232">
      <c r="A232" s="3" t="inlineStr">
        <is>
          <t>SETC02</t>
        </is>
      </c>
      <c r="B232" s="3" t="inlineStr">
        <is>
          <t>Vehicle accessories other than tires</t>
        </is>
      </c>
      <c r="C232" s="3" t="inlineStr">
        <is>
          <t>SETC</t>
        </is>
      </c>
      <c r="D232" s="3" t="inlineStr">
        <is>
          <t>CUUR0000SETC02</t>
        </is>
      </c>
      <c r="E232" s="3" t="inlineStr"/>
      <c r="F232" s="3" t="inlineStr">
        <is>
          <t>aggregate</t>
        </is>
      </c>
      <c r="G232" s="3" t="inlineStr">
        <is>
          <t>aggregate</t>
        </is>
      </c>
      <c r="H232" s="10">
        <f>IFERROR(INDEX(Weights!$D:$D,MATCH($A232,Weights!$A:$A,0)),"")</f>
        <v/>
      </c>
      <c r="I232" s="10">
        <f>IFERROR(INDEX('Data_NSA'!$A:$OK,MATCH(I$2,'Data_NSA'!$A:$A,0),MATCH($D232,'Data_NSA'!$1:$1,0)),"")</f>
        <v/>
      </c>
      <c r="J232" s="10">
        <f>IF($E232="","",IFERROR(INDEX('Data_SA'!$A:$LO,MATCH(I$2,'Data_SA'!$A:$A,0),MATCH($E232,'Data_SA'!$1:$1,0)),""))</f>
        <v/>
      </c>
      <c r="K232" s="7">
        <f>IF($E232="","",IFERROR(INDEX('Data_SA'!$A:$LO,MATCH(I$2,'Data_SA'!$A:$A,0),MATCH($E232,'Data_SA'!$1:$1,0))/INDEX('Data_SA'!$A:$LO,MATCH(EDATE(I$2,-1),'Data_SA'!$A:$A,0),MATCH($E232,'Data_SA'!$1:$1,0))-1,""))</f>
        <v/>
      </c>
      <c r="L232" s="7">
        <f>IFERROR(INDEX('Data_NSA'!$A:$OK,MATCH(I$2,'Data_NSA'!$A:$A,0),MATCH($D232,'Data_NSA'!$1:$1,0))/INDEX('Data_NSA'!$A:$OK,MATCH(EDATE(I$2,-12),'Data_NSA'!$A:$A,0),MATCH($D232,'Data_NSA'!$1:$1,0))-1,"")</f>
        <v/>
      </c>
      <c r="M232" s="10">
        <f>IFERROR(INDEX('Weights'!$G:$I,MATCH($A232,'Weights'!$A:$A,0),MATCH(I$2,'Weights'!$G$1:$I$1,0)),"")</f>
        <v/>
      </c>
      <c r="N232" s="10">
        <f>IF($E232="","",IFERROR(100*(INDEX('Weights'!$D:$D,MATCH($A232,'Weights'!$A:$A,0))*(INDEX('Data_NSA'!$A:$OK,MATCH(EDATE(I$2,-1),'Data_NSA'!$A:$A,0),MATCH($D232,'Data_NSA'!$1:$1,0))/INDEX('Data_NSA'!$A:$OK,MATCH(INDEX('Weights'!$E:$E,MATCH($A232,'Weights'!$A:$A,0)),'Data_NSA'!$A:$A,0),MATCH($D232,'Data_NSA'!$1:$1,0))))/(100*(INDEX('Data_NSA'!$A:$OK,MATCH(EDATE(I$2,-1),'Data_NSA'!$A:$A,0),MATCH("CUUR0000SA0",'Data_NSA'!$1:$1,0))/INDEX('Data_NSA'!$A:$OK,MATCH(INDEX('Weights'!$E:$E,MATCH($A232,'Weights'!$A:$A,0)),'Data_NSA'!$A:$A,0),MATCH("CUUR0000SA0",'Data_NSA'!$1:$1,0))))*(INDEX('Data_SA'!$A:$LO,MATCH(I$2,'Data_SA'!$A:$A,0),MATCH($E232,'Data_SA'!$1:$1,0))/INDEX('Data_SA'!$A:$LO,MATCH(EDATE(I$2,-1),'Data_SA'!$A:$A,0),MATCH($E232,'Data_SA'!$1:$1,0))-1),""))</f>
        <v/>
      </c>
      <c r="O232" s="10">
        <f>IFERROR(INDEX('Data_NSA'!$A:$OK,MATCH(O$2,'Data_NSA'!$A:$A,0),MATCH($D232,'Data_NSA'!$1:$1,0)),"")</f>
        <v/>
      </c>
      <c r="P232" s="10">
        <f>IF($E232="","",IFERROR(INDEX('Data_SA'!$A:$LO,MATCH(O$2,'Data_SA'!$A:$A,0),MATCH($E232,'Data_SA'!$1:$1,0)),""))</f>
        <v/>
      </c>
      <c r="Q232" s="7">
        <f>IF($E232="","",IFERROR(INDEX('Data_SA'!$A:$LO,MATCH(O$2,'Data_SA'!$A:$A,0),MATCH($E232,'Data_SA'!$1:$1,0))/INDEX('Data_SA'!$A:$LO,MATCH(EDATE(O$2,-1),'Data_SA'!$A:$A,0),MATCH($E232,'Data_SA'!$1:$1,0))-1,""))</f>
        <v/>
      </c>
      <c r="R232" s="7">
        <f>IFERROR(INDEX('Data_NSA'!$A:$OK,MATCH(O$2,'Data_NSA'!$A:$A,0),MATCH($D232,'Data_NSA'!$1:$1,0))/INDEX('Data_NSA'!$A:$OK,MATCH(EDATE(O$2,-12),'Data_NSA'!$A:$A,0),MATCH($D232,'Data_NSA'!$1:$1,0))-1,"")</f>
        <v/>
      </c>
      <c r="S232" s="10">
        <f>IFERROR(INDEX('Weights'!$G:$I,MATCH($A232,'Weights'!$A:$A,0),MATCH(O$2,'Weights'!$G$1:$I$1,0)),"")</f>
        <v/>
      </c>
      <c r="T232" s="10">
        <f>IF($E232="","",IFERROR(100*(INDEX('Weights'!$D:$D,MATCH($A232,'Weights'!$A:$A,0))*(INDEX('Data_NSA'!$A:$OK,MATCH(EDATE(O$2,-1),'Data_NSA'!$A:$A,0),MATCH($D232,'Data_NSA'!$1:$1,0))/INDEX('Data_NSA'!$A:$OK,MATCH(INDEX('Weights'!$E:$E,MATCH($A232,'Weights'!$A:$A,0)),'Data_NSA'!$A:$A,0),MATCH($D232,'Data_NSA'!$1:$1,0))))/(100*(INDEX('Data_NSA'!$A:$OK,MATCH(EDATE(O$2,-1),'Data_NSA'!$A:$A,0),MATCH("CUUR0000SA0",'Data_NSA'!$1:$1,0))/INDEX('Data_NSA'!$A:$OK,MATCH(INDEX('Weights'!$E:$E,MATCH($A232,'Weights'!$A:$A,0)),'Data_NSA'!$A:$A,0),MATCH("CUUR0000SA0",'Data_NSA'!$1:$1,0))))*(INDEX('Data_SA'!$A:$LO,MATCH(O$2,'Data_SA'!$A:$A,0),MATCH($E232,'Data_SA'!$1:$1,0))/INDEX('Data_SA'!$A:$LO,MATCH(EDATE(O$2,-1),'Data_SA'!$A:$A,0),MATCH($E232,'Data_SA'!$1:$1,0))-1),""))</f>
        <v/>
      </c>
      <c r="U232" s="10">
        <f>IFERROR(INDEX('Data_NSA'!$A:$OK,MATCH(U$2,'Data_NSA'!$A:$A,0),MATCH($D232,'Data_NSA'!$1:$1,0)),"")</f>
        <v/>
      </c>
      <c r="V232" s="10">
        <f>IF($E232="","",IFERROR(INDEX('Data_SA'!$A:$LO,MATCH(U$2,'Data_SA'!$A:$A,0),MATCH($E232,'Data_SA'!$1:$1,0)),""))</f>
        <v/>
      </c>
      <c r="W232" s="7">
        <f>IF($E232="","",IFERROR(INDEX('Data_SA'!$A:$LO,MATCH(U$2,'Data_SA'!$A:$A,0),MATCH($E232,'Data_SA'!$1:$1,0))/INDEX('Data_SA'!$A:$LO,MATCH(EDATE(U$2,-1),'Data_SA'!$A:$A,0),MATCH($E232,'Data_SA'!$1:$1,0))-1,""))</f>
        <v/>
      </c>
      <c r="X232" s="7">
        <f>IFERROR(INDEX('Data_NSA'!$A:$OK,MATCH(U$2,'Data_NSA'!$A:$A,0),MATCH($D232,'Data_NSA'!$1:$1,0))/INDEX('Data_NSA'!$A:$OK,MATCH(EDATE(U$2,-12),'Data_NSA'!$A:$A,0),MATCH($D232,'Data_NSA'!$1:$1,0))-1,"")</f>
        <v/>
      </c>
      <c r="Y232" s="10">
        <f>IFERROR(INDEX('Weights'!$G:$I,MATCH($A232,'Weights'!$A:$A,0),MATCH(U$2,'Weights'!$G$1:$I$1,0)),"")</f>
        <v/>
      </c>
      <c r="Z232" s="10">
        <f>IF($E232="","",IFERROR(100*(INDEX('Weights'!$D:$D,MATCH($A232,'Weights'!$A:$A,0))*(INDEX('Data_NSA'!$A:$OK,MATCH(EDATE(U$2,-1),'Data_NSA'!$A:$A,0),MATCH($D232,'Data_NSA'!$1:$1,0))/INDEX('Data_NSA'!$A:$OK,MATCH(INDEX('Weights'!$E:$E,MATCH($A232,'Weights'!$A:$A,0)),'Data_NSA'!$A:$A,0),MATCH($D232,'Data_NSA'!$1:$1,0))))/(100*(INDEX('Data_NSA'!$A:$OK,MATCH(EDATE(U$2,-1),'Data_NSA'!$A:$A,0),MATCH("CUUR0000SA0",'Data_NSA'!$1:$1,0))/INDEX('Data_NSA'!$A:$OK,MATCH(INDEX('Weights'!$E:$E,MATCH($A232,'Weights'!$A:$A,0)),'Data_NSA'!$A:$A,0),MATCH("CUUR0000SA0",'Data_NSA'!$1:$1,0))))*(INDEX('Data_SA'!$A:$LO,MATCH(U$2,'Data_SA'!$A:$A,0),MATCH($E232,'Data_SA'!$1:$1,0))/INDEX('Data_SA'!$A:$LO,MATCH(EDATE(U$2,-1),'Data_SA'!$A:$A,0),MATCH($E232,'Data_SA'!$1:$1,0))-1),""))</f>
        <v/>
      </c>
    </row>
    <row r="233">
      <c r="A233" s="3" t="inlineStr">
        <is>
          <t>SS48021</t>
        </is>
      </c>
      <c r="B233" s="3" t="inlineStr">
        <is>
          <t>Vehicle parts and equipment other than tires</t>
        </is>
      </c>
      <c r="C233" s="3" t="inlineStr">
        <is>
          <t>SETC02</t>
        </is>
      </c>
      <c r="D233" s="3" t="inlineStr">
        <is>
          <t>CUUR0000SS48021</t>
        </is>
      </c>
      <c r="E233" s="3" t="inlineStr"/>
      <c r="F233" s="3" t="inlineStr">
        <is>
          <t>GM</t>
        </is>
      </c>
      <c r="G233" s="3" t="inlineStr">
        <is>
          <t>monthly in New York/Los Angeles/Chicago; often bimonthly elsewhere</t>
        </is>
      </c>
      <c r="H233" s="10">
        <f>IFERROR(INDEX(Weights!$D:$D,MATCH($A233,Weights!$A:$A,0)),"")</f>
        <v/>
      </c>
      <c r="I233" s="10">
        <f>IFERROR(INDEX('Data_NSA'!$A:$OK,MATCH(I$2,'Data_NSA'!$A:$A,0),MATCH($D233,'Data_NSA'!$1:$1,0)),"")</f>
        <v/>
      </c>
      <c r="J233" s="10">
        <f>IF($E233="","",IFERROR(INDEX('Data_SA'!$A:$LO,MATCH(I$2,'Data_SA'!$A:$A,0),MATCH($E233,'Data_SA'!$1:$1,0)),""))</f>
        <v/>
      </c>
      <c r="K233" s="7">
        <f>IF($E233="","",IFERROR(INDEX('Data_SA'!$A:$LO,MATCH(I$2,'Data_SA'!$A:$A,0),MATCH($E233,'Data_SA'!$1:$1,0))/INDEX('Data_SA'!$A:$LO,MATCH(EDATE(I$2,-1),'Data_SA'!$A:$A,0),MATCH($E233,'Data_SA'!$1:$1,0))-1,""))</f>
        <v/>
      </c>
      <c r="L233" s="7">
        <f>IFERROR(INDEX('Data_NSA'!$A:$OK,MATCH(I$2,'Data_NSA'!$A:$A,0),MATCH($D233,'Data_NSA'!$1:$1,0))/INDEX('Data_NSA'!$A:$OK,MATCH(EDATE(I$2,-12),'Data_NSA'!$A:$A,0),MATCH($D233,'Data_NSA'!$1:$1,0))-1,"")</f>
        <v/>
      </c>
      <c r="M233" s="10">
        <f>IFERROR(INDEX('Weights'!$G:$I,MATCH($A233,'Weights'!$A:$A,0),MATCH(I$2,'Weights'!$G$1:$I$1,0)),"")</f>
        <v/>
      </c>
      <c r="N233" s="10">
        <f>IF($E233="","",IFERROR(100*(INDEX('Weights'!$D:$D,MATCH($A233,'Weights'!$A:$A,0))*(INDEX('Data_NSA'!$A:$OK,MATCH(EDATE(I$2,-1),'Data_NSA'!$A:$A,0),MATCH($D233,'Data_NSA'!$1:$1,0))/INDEX('Data_NSA'!$A:$OK,MATCH(INDEX('Weights'!$E:$E,MATCH($A233,'Weights'!$A:$A,0)),'Data_NSA'!$A:$A,0),MATCH($D233,'Data_NSA'!$1:$1,0))))/(100*(INDEX('Data_NSA'!$A:$OK,MATCH(EDATE(I$2,-1),'Data_NSA'!$A:$A,0),MATCH("CUUR0000SA0",'Data_NSA'!$1:$1,0))/INDEX('Data_NSA'!$A:$OK,MATCH(INDEX('Weights'!$E:$E,MATCH($A233,'Weights'!$A:$A,0)),'Data_NSA'!$A:$A,0),MATCH("CUUR0000SA0",'Data_NSA'!$1:$1,0))))*(INDEX('Data_SA'!$A:$LO,MATCH(I$2,'Data_SA'!$A:$A,0),MATCH($E233,'Data_SA'!$1:$1,0))/INDEX('Data_SA'!$A:$LO,MATCH(EDATE(I$2,-1),'Data_SA'!$A:$A,0),MATCH($E233,'Data_SA'!$1:$1,0))-1),""))</f>
        <v/>
      </c>
      <c r="O233" s="10">
        <f>IFERROR(INDEX('Data_NSA'!$A:$OK,MATCH(O$2,'Data_NSA'!$A:$A,0),MATCH($D233,'Data_NSA'!$1:$1,0)),"")</f>
        <v/>
      </c>
      <c r="P233" s="10">
        <f>IF($E233="","",IFERROR(INDEX('Data_SA'!$A:$LO,MATCH(O$2,'Data_SA'!$A:$A,0),MATCH($E233,'Data_SA'!$1:$1,0)),""))</f>
        <v/>
      </c>
      <c r="Q233" s="7">
        <f>IF($E233="","",IFERROR(INDEX('Data_SA'!$A:$LO,MATCH(O$2,'Data_SA'!$A:$A,0),MATCH($E233,'Data_SA'!$1:$1,0))/INDEX('Data_SA'!$A:$LO,MATCH(EDATE(O$2,-1),'Data_SA'!$A:$A,0),MATCH($E233,'Data_SA'!$1:$1,0))-1,""))</f>
        <v/>
      </c>
      <c r="R233" s="7">
        <f>IFERROR(INDEX('Data_NSA'!$A:$OK,MATCH(O$2,'Data_NSA'!$A:$A,0),MATCH($D233,'Data_NSA'!$1:$1,0))/INDEX('Data_NSA'!$A:$OK,MATCH(EDATE(O$2,-12),'Data_NSA'!$A:$A,0),MATCH($D233,'Data_NSA'!$1:$1,0))-1,"")</f>
        <v/>
      </c>
      <c r="S233" s="10">
        <f>IFERROR(INDEX('Weights'!$G:$I,MATCH($A233,'Weights'!$A:$A,0),MATCH(O$2,'Weights'!$G$1:$I$1,0)),"")</f>
        <v/>
      </c>
      <c r="T233" s="10">
        <f>IF($E233="","",IFERROR(100*(INDEX('Weights'!$D:$D,MATCH($A233,'Weights'!$A:$A,0))*(INDEX('Data_NSA'!$A:$OK,MATCH(EDATE(O$2,-1),'Data_NSA'!$A:$A,0),MATCH($D233,'Data_NSA'!$1:$1,0))/INDEX('Data_NSA'!$A:$OK,MATCH(INDEX('Weights'!$E:$E,MATCH($A233,'Weights'!$A:$A,0)),'Data_NSA'!$A:$A,0),MATCH($D233,'Data_NSA'!$1:$1,0))))/(100*(INDEX('Data_NSA'!$A:$OK,MATCH(EDATE(O$2,-1),'Data_NSA'!$A:$A,0),MATCH("CUUR0000SA0",'Data_NSA'!$1:$1,0))/INDEX('Data_NSA'!$A:$OK,MATCH(INDEX('Weights'!$E:$E,MATCH($A233,'Weights'!$A:$A,0)),'Data_NSA'!$A:$A,0),MATCH("CUUR0000SA0",'Data_NSA'!$1:$1,0))))*(INDEX('Data_SA'!$A:$LO,MATCH(O$2,'Data_SA'!$A:$A,0),MATCH($E233,'Data_SA'!$1:$1,0))/INDEX('Data_SA'!$A:$LO,MATCH(EDATE(O$2,-1),'Data_SA'!$A:$A,0),MATCH($E233,'Data_SA'!$1:$1,0))-1),""))</f>
        <v/>
      </c>
      <c r="U233" s="10">
        <f>IFERROR(INDEX('Data_NSA'!$A:$OK,MATCH(U$2,'Data_NSA'!$A:$A,0),MATCH($D233,'Data_NSA'!$1:$1,0)),"")</f>
        <v/>
      </c>
      <c r="V233" s="10">
        <f>IF($E233="","",IFERROR(INDEX('Data_SA'!$A:$LO,MATCH(U$2,'Data_SA'!$A:$A,0),MATCH($E233,'Data_SA'!$1:$1,0)),""))</f>
        <v/>
      </c>
      <c r="W233" s="7">
        <f>IF($E233="","",IFERROR(INDEX('Data_SA'!$A:$LO,MATCH(U$2,'Data_SA'!$A:$A,0),MATCH($E233,'Data_SA'!$1:$1,0))/INDEX('Data_SA'!$A:$LO,MATCH(EDATE(U$2,-1),'Data_SA'!$A:$A,0),MATCH($E233,'Data_SA'!$1:$1,0))-1,""))</f>
        <v/>
      </c>
      <c r="X233" s="7">
        <f>IFERROR(INDEX('Data_NSA'!$A:$OK,MATCH(U$2,'Data_NSA'!$A:$A,0),MATCH($D233,'Data_NSA'!$1:$1,0))/INDEX('Data_NSA'!$A:$OK,MATCH(EDATE(U$2,-12),'Data_NSA'!$A:$A,0),MATCH($D233,'Data_NSA'!$1:$1,0))-1,"")</f>
        <v/>
      </c>
      <c r="Y233" s="10">
        <f>IFERROR(INDEX('Weights'!$G:$I,MATCH($A233,'Weights'!$A:$A,0),MATCH(U$2,'Weights'!$G$1:$I$1,0)),"")</f>
        <v/>
      </c>
      <c r="Z233" s="10">
        <f>IF($E233="","",IFERROR(100*(INDEX('Weights'!$D:$D,MATCH($A233,'Weights'!$A:$A,0))*(INDEX('Data_NSA'!$A:$OK,MATCH(EDATE(U$2,-1),'Data_NSA'!$A:$A,0),MATCH($D233,'Data_NSA'!$1:$1,0))/INDEX('Data_NSA'!$A:$OK,MATCH(INDEX('Weights'!$E:$E,MATCH($A233,'Weights'!$A:$A,0)),'Data_NSA'!$A:$A,0),MATCH($D233,'Data_NSA'!$1:$1,0))))/(100*(INDEX('Data_NSA'!$A:$OK,MATCH(EDATE(U$2,-1),'Data_NSA'!$A:$A,0),MATCH("CUUR0000SA0",'Data_NSA'!$1:$1,0))/INDEX('Data_NSA'!$A:$OK,MATCH(INDEX('Weights'!$E:$E,MATCH($A233,'Weights'!$A:$A,0)),'Data_NSA'!$A:$A,0),MATCH("CUUR0000SA0",'Data_NSA'!$1:$1,0))))*(INDEX('Data_SA'!$A:$LO,MATCH(U$2,'Data_SA'!$A:$A,0),MATCH($E233,'Data_SA'!$1:$1,0))/INDEX('Data_SA'!$A:$LO,MATCH(EDATE(U$2,-1),'Data_SA'!$A:$A,0),MATCH($E233,'Data_SA'!$1:$1,0))-1),""))</f>
        <v/>
      </c>
    </row>
    <row r="234">
      <c r="A234" s="3" t="inlineStr">
        <is>
          <t>SS47021</t>
        </is>
      </c>
      <c r="B234" s="3" t="inlineStr">
        <is>
          <t>Motor oil, coolant, and fluids</t>
        </is>
      </c>
      <c r="C234" s="3" t="inlineStr">
        <is>
          <t>SETC02</t>
        </is>
      </c>
      <c r="D234" s="3" t="inlineStr">
        <is>
          <t>CUUR0000SS47021</t>
        </is>
      </c>
      <c r="E234" s="3" t="inlineStr"/>
      <c r="F234" s="3" t="inlineStr">
        <is>
          <t>GM</t>
        </is>
      </c>
      <c r="G234" s="3" t="inlineStr">
        <is>
          <t>monthly in New York/Los Angeles/Chicago; often bimonthly elsewhere</t>
        </is>
      </c>
      <c r="H234" s="10">
        <f>IFERROR(INDEX(Weights!$D:$D,MATCH($A234,Weights!$A:$A,0)),"")</f>
        <v/>
      </c>
      <c r="I234" s="10">
        <f>IFERROR(INDEX('Data_NSA'!$A:$OK,MATCH(I$2,'Data_NSA'!$A:$A,0),MATCH($D234,'Data_NSA'!$1:$1,0)),"")</f>
        <v/>
      </c>
      <c r="J234" s="10">
        <f>IF($E234="","",IFERROR(INDEX('Data_SA'!$A:$LO,MATCH(I$2,'Data_SA'!$A:$A,0),MATCH($E234,'Data_SA'!$1:$1,0)),""))</f>
        <v/>
      </c>
      <c r="K234" s="7">
        <f>IF($E234="","",IFERROR(INDEX('Data_SA'!$A:$LO,MATCH(I$2,'Data_SA'!$A:$A,0),MATCH($E234,'Data_SA'!$1:$1,0))/INDEX('Data_SA'!$A:$LO,MATCH(EDATE(I$2,-1),'Data_SA'!$A:$A,0),MATCH($E234,'Data_SA'!$1:$1,0))-1,""))</f>
        <v/>
      </c>
      <c r="L234" s="7">
        <f>IFERROR(INDEX('Data_NSA'!$A:$OK,MATCH(I$2,'Data_NSA'!$A:$A,0),MATCH($D234,'Data_NSA'!$1:$1,0))/INDEX('Data_NSA'!$A:$OK,MATCH(EDATE(I$2,-12),'Data_NSA'!$A:$A,0),MATCH($D234,'Data_NSA'!$1:$1,0))-1,"")</f>
        <v/>
      </c>
      <c r="M234" s="10">
        <f>IFERROR(INDEX('Weights'!$G:$I,MATCH($A234,'Weights'!$A:$A,0),MATCH(I$2,'Weights'!$G$1:$I$1,0)),"")</f>
        <v/>
      </c>
      <c r="N234" s="10">
        <f>IF($E234="","",IFERROR(100*(INDEX('Weights'!$D:$D,MATCH($A234,'Weights'!$A:$A,0))*(INDEX('Data_NSA'!$A:$OK,MATCH(EDATE(I$2,-1),'Data_NSA'!$A:$A,0),MATCH($D234,'Data_NSA'!$1:$1,0))/INDEX('Data_NSA'!$A:$OK,MATCH(INDEX('Weights'!$E:$E,MATCH($A234,'Weights'!$A:$A,0)),'Data_NSA'!$A:$A,0),MATCH($D234,'Data_NSA'!$1:$1,0))))/(100*(INDEX('Data_NSA'!$A:$OK,MATCH(EDATE(I$2,-1),'Data_NSA'!$A:$A,0),MATCH("CUUR0000SA0",'Data_NSA'!$1:$1,0))/INDEX('Data_NSA'!$A:$OK,MATCH(INDEX('Weights'!$E:$E,MATCH($A234,'Weights'!$A:$A,0)),'Data_NSA'!$A:$A,0),MATCH("CUUR0000SA0",'Data_NSA'!$1:$1,0))))*(INDEX('Data_SA'!$A:$LO,MATCH(I$2,'Data_SA'!$A:$A,0),MATCH($E234,'Data_SA'!$1:$1,0))/INDEX('Data_SA'!$A:$LO,MATCH(EDATE(I$2,-1),'Data_SA'!$A:$A,0),MATCH($E234,'Data_SA'!$1:$1,0))-1),""))</f>
        <v/>
      </c>
      <c r="O234" s="10">
        <f>IFERROR(INDEX('Data_NSA'!$A:$OK,MATCH(O$2,'Data_NSA'!$A:$A,0),MATCH($D234,'Data_NSA'!$1:$1,0)),"")</f>
        <v/>
      </c>
      <c r="P234" s="10">
        <f>IF($E234="","",IFERROR(INDEX('Data_SA'!$A:$LO,MATCH(O$2,'Data_SA'!$A:$A,0),MATCH($E234,'Data_SA'!$1:$1,0)),""))</f>
        <v/>
      </c>
      <c r="Q234" s="7">
        <f>IF($E234="","",IFERROR(INDEX('Data_SA'!$A:$LO,MATCH(O$2,'Data_SA'!$A:$A,0),MATCH($E234,'Data_SA'!$1:$1,0))/INDEX('Data_SA'!$A:$LO,MATCH(EDATE(O$2,-1),'Data_SA'!$A:$A,0),MATCH($E234,'Data_SA'!$1:$1,0))-1,""))</f>
        <v/>
      </c>
      <c r="R234" s="7">
        <f>IFERROR(INDEX('Data_NSA'!$A:$OK,MATCH(O$2,'Data_NSA'!$A:$A,0),MATCH($D234,'Data_NSA'!$1:$1,0))/INDEX('Data_NSA'!$A:$OK,MATCH(EDATE(O$2,-12),'Data_NSA'!$A:$A,0),MATCH($D234,'Data_NSA'!$1:$1,0))-1,"")</f>
        <v/>
      </c>
      <c r="S234" s="10">
        <f>IFERROR(INDEX('Weights'!$G:$I,MATCH($A234,'Weights'!$A:$A,0),MATCH(O$2,'Weights'!$G$1:$I$1,0)),"")</f>
        <v/>
      </c>
      <c r="T234" s="10">
        <f>IF($E234="","",IFERROR(100*(INDEX('Weights'!$D:$D,MATCH($A234,'Weights'!$A:$A,0))*(INDEX('Data_NSA'!$A:$OK,MATCH(EDATE(O$2,-1),'Data_NSA'!$A:$A,0),MATCH($D234,'Data_NSA'!$1:$1,0))/INDEX('Data_NSA'!$A:$OK,MATCH(INDEX('Weights'!$E:$E,MATCH($A234,'Weights'!$A:$A,0)),'Data_NSA'!$A:$A,0),MATCH($D234,'Data_NSA'!$1:$1,0))))/(100*(INDEX('Data_NSA'!$A:$OK,MATCH(EDATE(O$2,-1),'Data_NSA'!$A:$A,0),MATCH("CUUR0000SA0",'Data_NSA'!$1:$1,0))/INDEX('Data_NSA'!$A:$OK,MATCH(INDEX('Weights'!$E:$E,MATCH($A234,'Weights'!$A:$A,0)),'Data_NSA'!$A:$A,0),MATCH("CUUR0000SA0",'Data_NSA'!$1:$1,0))))*(INDEX('Data_SA'!$A:$LO,MATCH(O$2,'Data_SA'!$A:$A,0),MATCH($E234,'Data_SA'!$1:$1,0))/INDEX('Data_SA'!$A:$LO,MATCH(EDATE(O$2,-1),'Data_SA'!$A:$A,0),MATCH($E234,'Data_SA'!$1:$1,0))-1),""))</f>
        <v/>
      </c>
      <c r="U234" s="10">
        <f>IFERROR(INDEX('Data_NSA'!$A:$OK,MATCH(U$2,'Data_NSA'!$A:$A,0),MATCH($D234,'Data_NSA'!$1:$1,0)),"")</f>
        <v/>
      </c>
      <c r="V234" s="10">
        <f>IF($E234="","",IFERROR(INDEX('Data_SA'!$A:$LO,MATCH(U$2,'Data_SA'!$A:$A,0),MATCH($E234,'Data_SA'!$1:$1,0)),""))</f>
        <v/>
      </c>
      <c r="W234" s="7">
        <f>IF($E234="","",IFERROR(INDEX('Data_SA'!$A:$LO,MATCH(U$2,'Data_SA'!$A:$A,0),MATCH($E234,'Data_SA'!$1:$1,0))/INDEX('Data_SA'!$A:$LO,MATCH(EDATE(U$2,-1),'Data_SA'!$A:$A,0),MATCH($E234,'Data_SA'!$1:$1,0))-1,""))</f>
        <v/>
      </c>
      <c r="X234" s="7">
        <f>IFERROR(INDEX('Data_NSA'!$A:$OK,MATCH(U$2,'Data_NSA'!$A:$A,0),MATCH($D234,'Data_NSA'!$1:$1,0))/INDEX('Data_NSA'!$A:$OK,MATCH(EDATE(U$2,-12),'Data_NSA'!$A:$A,0),MATCH($D234,'Data_NSA'!$1:$1,0))-1,"")</f>
        <v/>
      </c>
      <c r="Y234" s="10">
        <f>IFERROR(INDEX('Weights'!$G:$I,MATCH($A234,'Weights'!$A:$A,0),MATCH(U$2,'Weights'!$G$1:$I$1,0)),"")</f>
        <v/>
      </c>
      <c r="Z234" s="10">
        <f>IF($E234="","",IFERROR(100*(INDEX('Weights'!$D:$D,MATCH($A234,'Weights'!$A:$A,0))*(INDEX('Data_NSA'!$A:$OK,MATCH(EDATE(U$2,-1),'Data_NSA'!$A:$A,0),MATCH($D234,'Data_NSA'!$1:$1,0))/INDEX('Data_NSA'!$A:$OK,MATCH(INDEX('Weights'!$E:$E,MATCH($A234,'Weights'!$A:$A,0)),'Data_NSA'!$A:$A,0),MATCH($D234,'Data_NSA'!$1:$1,0))))/(100*(INDEX('Data_NSA'!$A:$OK,MATCH(EDATE(U$2,-1),'Data_NSA'!$A:$A,0),MATCH("CUUR0000SA0",'Data_NSA'!$1:$1,0))/INDEX('Data_NSA'!$A:$OK,MATCH(INDEX('Weights'!$E:$E,MATCH($A234,'Weights'!$A:$A,0)),'Data_NSA'!$A:$A,0),MATCH("CUUR0000SA0",'Data_NSA'!$1:$1,0))))*(INDEX('Data_SA'!$A:$LO,MATCH(U$2,'Data_SA'!$A:$A,0),MATCH($E234,'Data_SA'!$1:$1,0))/INDEX('Data_SA'!$A:$LO,MATCH(EDATE(U$2,-1),'Data_SA'!$A:$A,0),MATCH($E234,'Data_SA'!$1:$1,0))-1),""))</f>
        <v/>
      </c>
    </row>
    <row r="235">
      <c r="A235" s="3" t="inlineStr">
        <is>
          <t>SETD</t>
        </is>
      </c>
      <c r="B235" s="3" t="inlineStr">
        <is>
          <t>Motor vehicle maintenance and repair</t>
        </is>
      </c>
      <c r="C235" s="3" t="inlineStr">
        <is>
          <t>SAT1</t>
        </is>
      </c>
      <c r="D235" s="3" t="inlineStr">
        <is>
          <t>CUUR0000SETD</t>
        </is>
      </c>
      <c r="E235" s="3" t="inlineStr">
        <is>
          <t>CUSR0000SETD</t>
        </is>
      </c>
      <c r="F235" s="3" t="inlineStr">
        <is>
          <t>GM</t>
        </is>
      </c>
      <c r="G235" s="3" t="inlineStr">
        <is>
          <t>bimonthly</t>
        </is>
      </c>
      <c r="H235" s="10">
        <f>IFERROR(INDEX(Weights!$D:$D,MATCH($A235,Weights!$A:$A,0)),"")</f>
        <v/>
      </c>
      <c r="I235" s="10">
        <f>IFERROR(INDEX('Data_NSA'!$A:$OK,MATCH(I$2,'Data_NSA'!$A:$A,0),MATCH($D235,'Data_NSA'!$1:$1,0)),"")</f>
        <v/>
      </c>
      <c r="J235" s="10">
        <f>IF($E235="","",IFERROR(INDEX('Data_SA'!$A:$LO,MATCH(I$2,'Data_SA'!$A:$A,0),MATCH($E235,'Data_SA'!$1:$1,0)),""))</f>
        <v/>
      </c>
      <c r="K235" s="7">
        <f>IF($E235="","",IFERROR(INDEX('Data_SA'!$A:$LO,MATCH(I$2,'Data_SA'!$A:$A,0),MATCH($E235,'Data_SA'!$1:$1,0))/INDEX('Data_SA'!$A:$LO,MATCH(EDATE(I$2,-1),'Data_SA'!$A:$A,0),MATCH($E235,'Data_SA'!$1:$1,0))-1,""))</f>
        <v/>
      </c>
      <c r="L235" s="7">
        <f>IFERROR(INDEX('Data_NSA'!$A:$OK,MATCH(I$2,'Data_NSA'!$A:$A,0),MATCH($D235,'Data_NSA'!$1:$1,0))/INDEX('Data_NSA'!$A:$OK,MATCH(EDATE(I$2,-12),'Data_NSA'!$A:$A,0),MATCH($D235,'Data_NSA'!$1:$1,0))-1,"")</f>
        <v/>
      </c>
      <c r="M235" s="10">
        <f>IFERROR(INDEX('Weights'!$G:$I,MATCH($A235,'Weights'!$A:$A,0),MATCH(I$2,'Weights'!$G$1:$I$1,0)),"")</f>
        <v/>
      </c>
      <c r="N235" s="10">
        <f>IF($E235="","",IFERROR(100*(INDEX('Weights'!$D:$D,MATCH($A235,'Weights'!$A:$A,0))*(INDEX('Data_NSA'!$A:$OK,MATCH(EDATE(I$2,-1),'Data_NSA'!$A:$A,0),MATCH($D235,'Data_NSA'!$1:$1,0))/INDEX('Data_NSA'!$A:$OK,MATCH(INDEX('Weights'!$E:$E,MATCH($A235,'Weights'!$A:$A,0)),'Data_NSA'!$A:$A,0),MATCH($D235,'Data_NSA'!$1:$1,0))))/(100*(INDEX('Data_NSA'!$A:$OK,MATCH(EDATE(I$2,-1),'Data_NSA'!$A:$A,0),MATCH("CUUR0000SA0",'Data_NSA'!$1:$1,0))/INDEX('Data_NSA'!$A:$OK,MATCH(INDEX('Weights'!$E:$E,MATCH($A235,'Weights'!$A:$A,0)),'Data_NSA'!$A:$A,0),MATCH("CUUR0000SA0",'Data_NSA'!$1:$1,0))))*(INDEX('Data_SA'!$A:$LO,MATCH(I$2,'Data_SA'!$A:$A,0),MATCH($E235,'Data_SA'!$1:$1,0))/INDEX('Data_SA'!$A:$LO,MATCH(EDATE(I$2,-1),'Data_SA'!$A:$A,0),MATCH($E235,'Data_SA'!$1:$1,0))-1),""))</f>
        <v/>
      </c>
      <c r="O235" s="10">
        <f>IFERROR(INDEX('Data_NSA'!$A:$OK,MATCH(O$2,'Data_NSA'!$A:$A,0),MATCH($D235,'Data_NSA'!$1:$1,0)),"")</f>
        <v/>
      </c>
      <c r="P235" s="10">
        <f>IF($E235="","",IFERROR(INDEX('Data_SA'!$A:$LO,MATCH(O$2,'Data_SA'!$A:$A,0),MATCH($E235,'Data_SA'!$1:$1,0)),""))</f>
        <v/>
      </c>
      <c r="Q235" s="7">
        <f>IF($E235="","",IFERROR(INDEX('Data_SA'!$A:$LO,MATCH(O$2,'Data_SA'!$A:$A,0),MATCH($E235,'Data_SA'!$1:$1,0))/INDEX('Data_SA'!$A:$LO,MATCH(EDATE(O$2,-1),'Data_SA'!$A:$A,0),MATCH($E235,'Data_SA'!$1:$1,0))-1,""))</f>
        <v/>
      </c>
      <c r="R235" s="7">
        <f>IFERROR(INDEX('Data_NSA'!$A:$OK,MATCH(O$2,'Data_NSA'!$A:$A,0),MATCH($D235,'Data_NSA'!$1:$1,0))/INDEX('Data_NSA'!$A:$OK,MATCH(EDATE(O$2,-12),'Data_NSA'!$A:$A,0),MATCH($D235,'Data_NSA'!$1:$1,0))-1,"")</f>
        <v/>
      </c>
      <c r="S235" s="10">
        <f>IFERROR(INDEX('Weights'!$G:$I,MATCH($A235,'Weights'!$A:$A,0),MATCH(O$2,'Weights'!$G$1:$I$1,0)),"")</f>
        <v/>
      </c>
      <c r="T235" s="10">
        <f>IF($E235="","",IFERROR(100*(INDEX('Weights'!$D:$D,MATCH($A235,'Weights'!$A:$A,0))*(INDEX('Data_NSA'!$A:$OK,MATCH(EDATE(O$2,-1),'Data_NSA'!$A:$A,0),MATCH($D235,'Data_NSA'!$1:$1,0))/INDEX('Data_NSA'!$A:$OK,MATCH(INDEX('Weights'!$E:$E,MATCH($A235,'Weights'!$A:$A,0)),'Data_NSA'!$A:$A,0),MATCH($D235,'Data_NSA'!$1:$1,0))))/(100*(INDEX('Data_NSA'!$A:$OK,MATCH(EDATE(O$2,-1),'Data_NSA'!$A:$A,0),MATCH("CUUR0000SA0",'Data_NSA'!$1:$1,0))/INDEX('Data_NSA'!$A:$OK,MATCH(INDEX('Weights'!$E:$E,MATCH($A235,'Weights'!$A:$A,0)),'Data_NSA'!$A:$A,0),MATCH("CUUR0000SA0",'Data_NSA'!$1:$1,0))))*(INDEX('Data_SA'!$A:$LO,MATCH(O$2,'Data_SA'!$A:$A,0),MATCH($E235,'Data_SA'!$1:$1,0))/INDEX('Data_SA'!$A:$LO,MATCH(EDATE(O$2,-1),'Data_SA'!$A:$A,0),MATCH($E235,'Data_SA'!$1:$1,0))-1),""))</f>
        <v/>
      </c>
      <c r="U235" s="10">
        <f>IFERROR(INDEX('Data_NSA'!$A:$OK,MATCH(U$2,'Data_NSA'!$A:$A,0),MATCH($D235,'Data_NSA'!$1:$1,0)),"")</f>
        <v/>
      </c>
      <c r="V235" s="10">
        <f>IF($E235="","",IFERROR(INDEX('Data_SA'!$A:$LO,MATCH(U$2,'Data_SA'!$A:$A,0),MATCH($E235,'Data_SA'!$1:$1,0)),""))</f>
        <v/>
      </c>
      <c r="W235" s="7">
        <f>IF($E235="","",IFERROR(INDEX('Data_SA'!$A:$LO,MATCH(U$2,'Data_SA'!$A:$A,0),MATCH($E235,'Data_SA'!$1:$1,0))/INDEX('Data_SA'!$A:$LO,MATCH(EDATE(U$2,-1),'Data_SA'!$A:$A,0),MATCH($E235,'Data_SA'!$1:$1,0))-1,""))</f>
        <v/>
      </c>
      <c r="X235" s="7">
        <f>IFERROR(INDEX('Data_NSA'!$A:$OK,MATCH(U$2,'Data_NSA'!$A:$A,0),MATCH($D235,'Data_NSA'!$1:$1,0))/INDEX('Data_NSA'!$A:$OK,MATCH(EDATE(U$2,-12),'Data_NSA'!$A:$A,0),MATCH($D235,'Data_NSA'!$1:$1,0))-1,"")</f>
        <v/>
      </c>
      <c r="Y235" s="10">
        <f>IFERROR(INDEX('Weights'!$G:$I,MATCH($A235,'Weights'!$A:$A,0),MATCH(U$2,'Weights'!$G$1:$I$1,0)),"")</f>
        <v/>
      </c>
      <c r="Z235" s="10">
        <f>IF($E235="","",IFERROR(100*(INDEX('Weights'!$D:$D,MATCH($A235,'Weights'!$A:$A,0))*(INDEX('Data_NSA'!$A:$OK,MATCH(EDATE(U$2,-1),'Data_NSA'!$A:$A,0),MATCH($D235,'Data_NSA'!$1:$1,0))/INDEX('Data_NSA'!$A:$OK,MATCH(INDEX('Weights'!$E:$E,MATCH($A235,'Weights'!$A:$A,0)),'Data_NSA'!$A:$A,0),MATCH($D235,'Data_NSA'!$1:$1,0))))/(100*(INDEX('Data_NSA'!$A:$OK,MATCH(EDATE(U$2,-1),'Data_NSA'!$A:$A,0),MATCH("CUUR0000SA0",'Data_NSA'!$1:$1,0))/INDEX('Data_NSA'!$A:$OK,MATCH(INDEX('Weights'!$E:$E,MATCH($A235,'Weights'!$A:$A,0)),'Data_NSA'!$A:$A,0),MATCH("CUUR0000SA0",'Data_NSA'!$1:$1,0))))*(INDEX('Data_SA'!$A:$LO,MATCH(U$2,'Data_SA'!$A:$A,0),MATCH($E235,'Data_SA'!$1:$1,0))/INDEX('Data_SA'!$A:$LO,MATCH(EDATE(U$2,-1),'Data_SA'!$A:$A,0),MATCH($E235,'Data_SA'!$1:$1,0))-1),""))</f>
        <v/>
      </c>
    </row>
    <row r="236">
      <c r="A236" s="3" t="inlineStr">
        <is>
          <t>SETD01</t>
        </is>
      </c>
      <c r="B236" s="3" t="inlineStr">
        <is>
          <t>Motor vehicle body work</t>
        </is>
      </c>
      <c r="C236" s="3" t="inlineStr">
        <is>
          <t>SETD</t>
        </is>
      </c>
      <c r="D236" s="3" t="inlineStr">
        <is>
          <t>CUUR0000SETD01</t>
        </is>
      </c>
      <c r="E236" s="3" t="inlineStr"/>
      <c r="F236" s="3" t="inlineStr">
        <is>
          <t>GM</t>
        </is>
      </c>
      <c r="G236" s="3" t="inlineStr">
        <is>
          <t>monthly in New York/Los Angeles/Chicago; often bimonthly elsewhere</t>
        </is>
      </c>
      <c r="H236" s="10">
        <f>IFERROR(INDEX(Weights!$D:$D,MATCH($A236,Weights!$A:$A,0)),"")</f>
        <v/>
      </c>
      <c r="I236" s="10">
        <f>IFERROR(INDEX('Data_NSA'!$A:$OK,MATCH(I$2,'Data_NSA'!$A:$A,0),MATCH($D236,'Data_NSA'!$1:$1,0)),"")</f>
        <v/>
      </c>
      <c r="J236" s="10">
        <f>IF($E236="","",IFERROR(INDEX('Data_SA'!$A:$LO,MATCH(I$2,'Data_SA'!$A:$A,0),MATCH($E236,'Data_SA'!$1:$1,0)),""))</f>
        <v/>
      </c>
      <c r="K236" s="7">
        <f>IF($E236="","",IFERROR(INDEX('Data_SA'!$A:$LO,MATCH(I$2,'Data_SA'!$A:$A,0),MATCH($E236,'Data_SA'!$1:$1,0))/INDEX('Data_SA'!$A:$LO,MATCH(EDATE(I$2,-1),'Data_SA'!$A:$A,0),MATCH($E236,'Data_SA'!$1:$1,0))-1,""))</f>
        <v/>
      </c>
      <c r="L236" s="7">
        <f>IFERROR(INDEX('Data_NSA'!$A:$OK,MATCH(I$2,'Data_NSA'!$A:$A,0),MATCH($D236,'Data_NSA'!$1:$1,0))/INDEX('Data_NSA'!$A:$OK,MATCH(EDATE(I$2,-12),'Data_NSA'!$A:$A,0),MATCH($D236,'Data_NSA'!$1:$1,0))-1,"")</f>
        <v/>
      </c>
      <c r="M236" s="10">
        <f>IFERROR(INDEX('Weights'!$G:$I,MATCH($A236,'Weights'!$A:$A,0),MATCH(I$2,'Weights'!$G$1:$I$1,0)),"")</f>
        <v/>
      </c>
      <c r="N236" s="10">
        <f>IF($E236="","",IFERROR(100*(INDEX('Weights'!$D:$D,MATCH($A236,'Weights'!$A:$A,0))*(INDEX('Data_NSA'!$A:$OK,MATCH(EDATE(I$2,-1),'Data_NSA'!$A:$A,0),MATCH($D236,'Data_NSA'!$1:$1,0))/INDEX('Data_NSA'!$A:$OK,MATCH(INDEX('Weights'!$E:$E,MATCH($A236,'Weights'!$A:$A,0)),'Data_NSA'!$A:$A,0),MATCH($D236,'Data_NSA'!$1:$1,0))))/(100*(INDEX('Data_NSA'!$A:$OK,MATCH(EDATE(I$2,-1),'Data_NSA'!$A:$A,0),MATCH("CUUR0000SA0",'Data_NSA'!$1:$1,0))/INDEX('Data_NSA'!$A:$OK,MATCH(INDEX('Weights'!$E:$E,MATCH($A236,'Weights'!$A:$A,0)),'Data_NSA'!$A:$A,0),MATCH("CUUR0000SA0",'Data_NSA'!$1:$1,0))))*(INDEX('Data_SA'!$A:$LO,MATCH(I$2,'Data_SA'!$A:$A,0),MATCH($E236,'Data_SA'!$1:$1,0))/INDEX('Data_SA'!$A:$LO,MATCH(EDATE(I$2,-1),'Data_SA'!$A:$A,0),MATCH($E236,'Data_SA'!$1:$1,0))-1),""))</f>
        <v/>
      </c>
      <c r="O236" s="10">
        <f>IFERROR(INDEX('Data_NSA'!$A:$OK,MATCH(O$2,'Data_NSA'!$A:$A,0),MATCH($D236,'Data_NSA'!$1:$1,0)),"")</f>
        <v/>
      </c>
      <c r="P236" s="10">
        <f>IF($E236="","",IFERROR(INDEX('Data_SA'!$A:$LO,MATCH(O$2,'Data_SA'!$A:$A,0),MATCH($E236,'Data_SA'!$1:$1,0)),""))</f>
        <v/>
      </c>
      <c r="Q236" s="7">
        <f>IF($E236="","",IFERROR(INDEX('Data_SA'!$A:$LO,MATCH(O$2,'Data_SA'!$A:$A,0),MATCH($E236,'Data_SA'!$1:$1,0))/INDEX('Data_SA'!$A:$LO,MATCH(EDATE(O$2,-1),'Data_SA'!$A:$A,0),MATCH($E236,'Data_SA'!$1:$1,0))-1,""))</f>
        <v/>
      </c>
      <c r="R236" s="7">
        <f>IFERROR(INDEX('Data_NSA'!$A:$OK,MATCH(O$2,'Data_NSA'!$A:$A,0),MATCH($D236,'Data_NSA'!$1:$1,0))/INDEX('Data_NSA'!$A:$OK,MATCH(EDATE(O$2,-12),'Data_NSA'!$A:$A,0),MATCH($D236,'Data_NSA'!$1:$1,0))-1,"")</f>
        <v/>
      </c>
      <c r="S236" s="10">
        <f>IFERROR(INDEX('Weights'!$G:$I,MATCH($A236,'Weights'!$A:$A,0),MATCH(O$2,'Weights'!$G$1:$I$1,0)),"")</f>
        <v/>
      </c>
      <c r="T236" s="10">
        <f>IF($E236="","",IFERROR(100*(INDEX('Weights'!$D:$D,MATCH($A236,'Weights'!$A:$A,0))*(INDEX('Data_NSA'!$A:$OK,MATCH(EDATE(O$2,-1),'Data_NSA'!$A:$A,0),MATCH($D236,'Data_NSA'!$1:$1,0))/INDEX('Data_NSA'!$A:$OK,MATCH(INDEX('Weights'!$E:$E,MATCH($A236,'Weights'!$A:$A,0)),'Data_NSA'!$A:$A,0),MATCH($D236,'Data_NSA'!$1:$1,0))))/(100*(INDEX('Data_NSA'!$A:$OK,MATCH(EDATE(O$2,-1),'Data_NSA'!$A:$A,0),MATCH("CUUR0000SA0",'Data_NSA'!$1:$1,0))/INDEX('Data_NSA'!$A:$OK,MATCH(INDEX('Weights'!$E:$E,MATCH($A236,'Weights'!$A:$A,0)),'Data_NSA'!$A:$A,0),MATCH("CUUR0000SA0",'Data_NSA'!$1:$1,0))))*(INDEX('Data_SA'!$A:$LO,MATCH(O$2,'Data_SA'!$A:$A,0),MATCH($E236,'Data_SA'!$1:$1,0))/INDEX('Data_SA'!$A:$LO,MATCH(EDATE(O$2,-1),'Data_SA'!$A:$A,0),MATCH($E236,'Data_SA'!$1:$1,0))-1),""))</f>
        <v/>
      </c>
      <c r="U236" s="10">
        <f>IFERROR(INDEX('Data_NSA'!$A:$OK,MATCH(U$2,'Data_NSA'!$A:$A,0),MATCH($D236,'Data_NSA'!$1:$1,0)),"")</f>
        <v/>
      </c>
      <c r="V236" s="10">
        <f>IF($E236="","",IFERROR(INDEX('Data_SA'!$A:$LO,MATCH(U$2,'Data_SA'!$A:$A,0),MATCH($E236,'Data_SA'!$1:$1,0)),""))</f>
        <v/>
      </c>
      <c r="W236" s="7">
        <f>IF($E236="","",IFERROR(INDEX('Data_SA'!$A:$LO,MATCH(U$2,'Data_SA'!$A:$A,0),MATCH($E236,'Data_SA'!$1:$1,0))/INDEX('Data_SA'!$A:$LO,MATCH(EDATE(U$2,-1),'Data_SA'!$A:$A,0),MATCH($E236,'Data_SA'!$1:$1,0))-1,""))</f>
        <v/>
      </c>
      <c r="X236" s="7">
        <f>IFERROR(INDEX('Data_NSA'!$A:$OK,MATCH(U$2,'Data_NSA'!$A:$A,0),MATCH($D236,'Data_NSA'!$1:$1,0))/INDEX('Data_NSA'!$A:$OK,MATCH(EDATE(U$2,-12),'Data_NSA'!$A:$A,0),MATCH($D236,'Data_NSA'!$1:$1,0))-1,"")</f>
        <v/>
      </c>
      <c r="Y236" s="10">
        <f>IFERROR(INDEX('Weights'!$G:$I,MATCH($A236,'Weights'!$A:$A,0),MATCH(U$2,'Weights'!$G$1:$I$1,0)),"")</f>
        <v/>
      </c>
      <c r="Z236" s="10">
        <f>IF($E236="","",IFERROR(100*(INDEX('Weights'!$D:$D,MATCH($A236,'Weights'!$A:$A,0))*(INDEX('Data_NSA'!$A:$OK,MATCH(EDATE(U$2,-1),'Data_NSA'!$A:$A,0),MATCH($D236,'Data_NSA'!$1:$1,0))/INDEX('Data_NSA'!$A:$OK,MATCH(INDEX('Weights'!$E:$E,MATCH($A236,'Weights'!$A:$A,0)),'Data_NSA'!$A:$A,0),MATCH($D236,'Data_NSA'!$1:$1,0))))/(100*(INDEX('Data_NSA'!$A:$OK,MATCH(EDATE(U$2,-1),'Data_NSA'!$A:$A,0),MATCH("CUUR0000SA0",'Data_NSA'!$1:$1,0))/INDEX('Data_NSA'!$A:$OK,MATCH(INDEX('Weights'!$E:$E,MATCH($A236,'Weights'!$A:$A,0)),'Data_NSA'!$A:$A,0),MATCH("CUUR0000SA0",'Data_NSA'!$1:$1,0))))*(INDEX('Data_SA'!$A:$LO,MATCH(U$2,'Data_SA'!$A:$A,0),MATCH($E236,'Data_SA'!$1:$1,0))/INDEX('Data_SA'!$A:$LO,MATCH(EDATE(U$2,-1),'Data_SA'!$A:$A,0),MATCH($E236,'Data_SA'!$1:$1,0))-1),""))</f>
        <v/>
      </c>
    </row>
    <row r="237">
      <c r="A237" s="3" t="inlineStr">
        <is>
          <t>SETD02</t>
        </is>
      </c>
      <c r="B237" s="3" t="inlineStr">
        <is>
          <t>Motor vehicle maintenance and servicing</t>
        </is>
      </c>
      <c r="C237" s="3" t="inlineStr">
        <is>
          <t>SETD</t>
        </is>
      </c>
      <c r="D237" s="3" t="inlineStr">
        <is>
          <t>CUUR0000SETD02</t>
        </is>
      </c>
      <c r="E237" s="3" t="inlineStr"/>
      <c r="F237" s="3" t="inlineStr">
        <is>
          <t>GM</t>
        </is>
      </c>
      <c r="G237" s="3" t="inlineStr">
        <is>
          <t>monthly in New York/Los Angeles/Chicago; often bimonthly elsewhere</t>
        </is>
      </c>
      <c r="H237" s="10">
        <f>IFERROR(INDEX(Weights!$D:$D,MATCH($A237,Weights!$A:$A,0)),"")</f>
        <v/>
      </c>
      <c r="I237" s="10">
        <f>IFERROR(INDEX('Data_NSA'!$A:$OK,MATCH(I$2,'Data_NSA'!$A:$A,0),MATCH($D237,'Data_NSA'!$1:$1,0)),"")</f>
        <v/>
      </c>
      <c r="J237" s="10">
        <f>IF($E237="","",IFERROR(INDEX('Data_SA'!$A:$LO,MATCH(I$2,'Data_SA'!$A:$A,0),MATCH($E237,'Data_SA'!$1:$1,0)),""))</f>
        <v/>
      </c>
      <c r="K237" s="7">
        <f>IF($E237="","",IFERROR(INDEX('Data_SA'!$A:$LO,MATCH(I$2,'Data_SA'!$A:$A,0),MATCH($E237,'Data_SA'!$1:$1,0))/INDEX('Data_SA'!$A:$LO,MATCH(EDATE(I$2,-1),'Data_SA'!$A:$A,0),MATCH($E237,'Data_SA'!$1:$1,0))-1,""))</f>
        <v/>
      </c>
      <c r="L237" s="7">
        <f>IFERROR(INDEX('Data_NSA'!$A:$OK,MATCH(I$2,'Data_NSA'!$A:$A,0),MATCH($D237,'Data_NSA'!$1:$1,0))/INDEX('Data_NSA'!$A:$OK,MATCH(EDATE(I$2,-12),'Data_NSA'!$A:$A,0),MATCH($D237,'Data_NSA'!$1:$1,0))-1,"")</f>
        <v/>
      </c>
      <c r="M237" s="10">
        <f>IFERROR(INDEX('Weights'!$G:$I,MATCH($A237,'Weights'!$A:$A,0),MATCH(I$2,'Weights'!$G$1:$I$1,0)),"")</f>
        <v/>
      </c>
      <c r="N237" s="10">
        <f>IF($E237="","",IFERROR(100*(INDEX('Weights'!$D:$D,MATCH($A237,'Weights'!$A:$A,0))*(INDEX('Data_NSA'!$A:$OK,MATCH(EDATE(I$2,-1),'Data_NSA'!$A:$A,0),MATCH($D237,'Data_NSA'!$1:$1,0))/INDEX('Data_NSA'!$A:$OK,MATCH(INDEX('Weights'!$E:$E,MATCH($A237,'Weights'!$A:$A,0)),'Data_NSA'!$A:$A,0),MATCH($D237,'Data_NSA'!$1:$1,0))))/(100*(INDEX('Data_NSA'!$A:$OK,MATCH(EDATE(I$2,-1),'Data_NSA'!$A:$A,0),MATCH("CUUR0000SA0",'Data_NSA'!$1:$1,0))/INDEX('Data_NSA'!$A:$OK,MATCH(INDEX('Weights'!$E:$E,MATCH($A237,'Weights'!$A:$A,0)),'Data_NSA'!$A:$A,0),MATCH("CUUR0000SA0",'Data_NSA'!$1:$1,0))))*(INDEX('Data_SA'!$A:$LO,MATCH(I$2,'Data_SA'!$A:$A,0),MATCH($E237,'Data_SA'!$1:$1,0))/INDEX('Data_SA'!$A:$LO,MATCH(EDATE(I$2,-1),'Data_SA'!$A:$A,0),MATCH($E237,'Data_SA'!$1:$1,0))-1),""))</f>
        <v/>
      </c>
      <c r="O237" s="10">
        <f>IFERROR(INDEX('Data_NSA'!$A:$OK,MATCH(O$2,'Data_NSA'!$A:$A,0),MATCH($D237,'Data_NSA'!$1:$1,0)),"")</f>
        <v/>
      </c>
      <c r="P237" s="10">
        <f>IF($E237="","",IFERROR(INDEX('Data_SA'!$A:$LO,MATCH(O$2,'Data_SA'!$A:$A,0),MATCH($E237,'Data_SA'!$1:$1,0)),""))</f>
        <v/>
      </c>
      <c r="Q237" s="7">
        <f>IF($E237="","",IFERROR(INDEX('Data_SA'!$A:$LO,MATCH(O$2,'Data_SA'!$A:$A,0),MATCH($E237,'Data_SA'!$1:$1,0))/INDEX('Data_SA'!$A:$LO,MATCH(EDATE(O$2,-1),'Data_SA'!$A:$A,0),MATCH($E237,'Data_SA'!$1:$1,0))-1,""))</f>
        <v/>
      </c>
      <c r="R237" s="7">
        <f>IFERROR(INDEX('Data_NSA'!$A:$OK,MATCH(O$2,'Data_NSA'!$A:$A,0),MATCH($D237,'Data_NSA'!$1:$1,0))/INDEX('Data_NSA'!$A:$OK,MATCH(EDATE(O$2,-12),'Data_NSA'!$A:$A,0),MATCH($D237,'Data_NSA'!$1:$1,0))-1,"")</f>
        <v/>
      </c>
      <c r="S237" s="10">
        <f>IFERROR(INDEX('Weights'!$G:$I,MATCH($A237,'Weights'!$A:$A,0),MATCH(O$2,'Weights'!$G$1:$I$1,0)),"")</f>
        <v/>
      </c>
      <c r="T237" s="10">
        <f>IF($E237="","",IFERROR(100*(INDEX('Weights'!$D:$D,MATCH($A237,'Weights'!$A:$A,0))*(INDEX('Data_NSA'!$A:$OK,MATCH(EDATE(O$2,-1),'Data_NSA'!$A:$A,0),MATCH($D237,'Data_NSA'!$1:$1,0))/INDEX('Data_NSA'!$A:$OK,MATCH(INDEX('Weights'!$E:$E,MATCH($A237,'Weights'!$A:$A,0)),'Data_NSA'!$A:$A,0),MATCH($D237,'Data_NSA'!$1:$1,0))))/(100*(INDEX('Data_NSA'!$A:$OK,MATCH(EDATE(O$2,-1),'Data_NSA'!$A:$A,0),MATCH("CUUR0000SA0",'Data_NSA'!$1:$1,0))/INDEX('Data_NSA'!$A:$OK,MATCH(INDEX('Weights'!$E:$E,MATCH($A237,'Weights'!$A:$A,0)),'Data_NSA'!$A:$A,0),MATCH("CUUR0000SA0",'Data_NSA'!$1:$1,0))))*(INDEX('Data_SA'!$A:$LO,MATCH(O$2,'Data_SA'!$A:$A,0),MATCH($E237,'Data_SA'!$1:$1,0))/INDEX('Data_SA'!$A:$LO,MATCH(EDATE(O$2,-1),'Data_SA'!$A:$A,0),MATCH($E237,'Data_SA'!$1:$1,0))-1),""))</f>
        <v/>
      </c>
      <c r="U237" s="10">
        <f>IFERROR(INDEX('Data_NSA'!$A:$OK,MATCH(U$2,'Data_NSA'!$A:$A,0),MATCH($D237,'Data_NSA'!$1:$1,0)),"")</f>
        <v/>
      </c>
      <c r="V237" s="10">
        <f>IF($E237="","",IFERROR(INDEX('Data_SA'!$A:$LO,MATCH(U$2,'Data_SA'!$A:$A,0),MATCH($E237,'Data_SA'!$1:$1,0)),""))</f>
        <v/>
      </c>
      <c r="W237" s="7">
        <f>IF($E237="","",IFERROR(INDEX('Data_SA'!$A:$LO,MATCH(U$2,'Data_SA'!$A:$A,0),MATCH($E237,'Data_SA'!$1:$1,0))/INDEX('Data_SA'!$A:$LO,MATCH(EDATE(U$2,-1),'Data_SA'!$A:$A,0),MATCH($E237,'Data_SA'!$1:$1,0))-1,""))</f>
        <v/>
      </c>
      <c r="X237" s="7">
        <f>IFERROR(INDEX('Data_NSA'!$A:$OK,MATCH(U$2,'Data_NSA'!$A:$A,0),MATCH($D237,'Data_NSA'!$1:$1,0))/INDEX('Data_NSA'!$A:$OK,MATCH(EDATE(U$2,-12),'Data_NSA'!$A:$A,0),MATCH($D237,'Data_NSA'!$1:$1,0))-1,"")</f>
        <v/>
      </c>
      <c r="Y237" s="10">
        <f>IFERROR(INDEX('Weights'!$G:$I,MATCH($A237,'Weights'!$A:$A,0),MATCH(U$2,'Weights'!$G$1:$I$1,0)),"")</f>
        <v/>
      </c>
      <c r="Z237" s="10">
        <f>IF($E237="","",IFERROR(100*(INDEX('Weights'!$D:$D,MATCH($A237,'Weights'!$A:$A,0))*(INDEX('Data_NSA'!$A:$OK,MATCH(EDATE(U$2,-1),'Data_NSA'!$A:$A,0),MATCH($D237,'Data_NSA'!$1:$1,0))/INDEX('Data_NSA'!$A:$OK,MATCH(INDEX('Weights'!$E:$E,MATCH($A237,'Weights'!$A:$A,0)),'Data_NSA'!$A:$A,0),MATCH($D237,'Data_NSA'!$1:$1,0))))/(100*(INDEX('Data_NSA'!$A:$OK,MATCH(EDATE(U$2,-1),'Data_NSA'!$A:$A,0),MATCH("CUUR0000SA0",'Data_NSA'!$1:$1,0))/INDEX('Data_NSA'!$A:$OK,MATCH(INDEX('Weights'!$E:$E,MATCH($A237,'Weights'!$A:$A,0)),'Data_NSA'!$A:$A,0),MATCH("CUUR0000SA0",'Data_NSA'!$1:$1,0))))*(INDEX('Data_SA'!$A:$LO,MATCH(U$2,'Data_SA'!$A:$A,0),MATCH($E237,'Data_SA'!$1:$1,0))/INDEX('Data_SA'!$A:$LO,MATCH(EDATE(U$2,-1),'Data_SA'!$A:$A,0),MATCH($E237,'Data_SA'!$1:$1,0))-1),""))</f>
        <v/>
      </c>
    </row>
    <row r="238">
      <c r="A238" s="3" t="inlineStr">
        <is>
          <t>SETD03</t>
        </is>
      </c>
      <c r="B238" s="3" t="inlineStr">
        <is>
          <t>Motor vehicle repair</t>
        </is>
      </c>
      <c r="C238" s="3" t="inlineStr">
        <is>
          <t>SETD</t>
        </is>
      </c>
      <c r="D238" s="3" t="inlineStr">
        <is>
          <t>CUUR0000SETD03</t>
        </is>
      </c>
      <c r="E238" s="3" t="inlineStr">
        <is>
          <t>CUSR0000SETD03</t>
        </is>
      </c>
      <c r="F238" s="3" t="inlineStr">
        <is>
          <t>GM</t>
        </is>
      </c>
      <c r="G238" s="3" t="inlineStr">
        <is>
          <t>monthly in New York/Los Angeles/Chicago; often bimonthly elsewhere</t>
        </is>
      </c>
      <c r="H238" s="10">
        <f>IFERROR(INDEX(Weights!$D:$D,MATCH($A238,Weights!$A:$A,0)),"")</f>
        <v/>
      </c>
      <c r="I238" s="10">
        <f>IFERROR(INDEX('Data_NSA'!$A:$OK,MATCH(I$2,'Data_NSA'!$A:$A,0),MATCH($D238,'Data_NSA'!$1:$1,0)),"")</f>
        <v/>
      </c>
      <c r="J238" s="10">
        <f>IF($E238="","",IFERROR(INDEX('Data_SA'!$A:$LO,MATCH(I$2,'Data_SA'!$A:$A,0),MATCH($E238,'Data_SA'!$1:$1,0)),""))</f>
        <v/>
      </c>
      <c r="K238" s="7">
        <f>IF($E238="","",IFERROR(INDEX('Data_SA'!$A:$LO,MATCH(I$2,'Data_SA'!$A:$A,0),MATCH($E238,'Data_SA'!$1:$1,0))/INDEX('Data_SA'!$A:$LO,MATCH(EDATE(I$2,-1),'Data_SA'!$A:$A,0),MATCH($E238,'Data_SA'!$1:$1,0))-1,""))</f>
        <v/>
      </c>
      <c r="L238" s="7">
        <f>IFERROR(INDEX('Data_NSA'!$A:$OK,MATCH(I$2,'Data_NSA'!$A:$A,0),MATCH($D238,'Data_NSA'!$1:$1,0))/INDEX('Data_NSA'!$A:$OK,MATCH(EDATE(I$2,-12),'Data_NSA'!$A:$A,0),MATCH($D238,'Data_NSA'!$1:$1,0))-1,"")</f>
        <v/>
      </c>
      <c r="M238" s="10">
        <f>IFERROR(INDEX('Weights'!$G:$I,MATCH($A238,'Weights'!$A:$A,0),MATCH(I$2,'Weights'!$G$1:$I$1,0)),"")</f>
        <v/>
      </c>
      <c r="N238" s="10">
        <f>IF($E238="","",IFERROR(100*(INDEX('Weights'!$D:$D,MATCH($A238,'Weights'!$A:$A,0))*(INDEX('Data_NSA'!$A:$OK,MATCH(EDATE(I$2,-1),'Data_NSA'!$A:$A,0),MATCH($D238,'Data_NSA'!$1:$1,0))/INDEX('Data_NSA'!$A:$OK,MATCH(INDEX('Weights'!$E:$E,MATCH($A238,'Weights'!$A:$A,0)),'Data_NSA'!$A:$A,0),MATCH($D238,'Data_NSA'!$1:$1,0))))/(100*(INDEX('Data_NSA'!$A:$OK,MATCH(EDATE(I$2,-1),'Data_NSA'!$A:$A,0),MATCH("CUUR0000SA0",'Data_NSA'!$1:$1,0))/INDEX('Data_NSA'!$A:$OK,MATCH(INDEX('Weights'!$E:$E,MATCH($A238,'Weights'!$A:$A,0)),'Data_NSA'!$A:$A,0),MATCH("CUUR0000SA0",'Data_NSA'!$1:$1,0))))*(INDEX('Data_SA'!$A:$LO,MATCH(I$2,'Data_SA'!$A:$A,0),MATCH($E238,'Data_SA'!$1:$1,0))/INDEX('Data_SA'!$A:$LO,MATCH(EDATE(I$2,-1),'Data_SA'!$A:$A,0),MATCH($E238,'Data_SA'!$1:$1,0))-1),""))</f>
        <v/>
      </c>
      <c r="O238" s="10">
        <f>IFERROR(INDEX('Data_NSA'!$A:$OK,MATCH(O$2,'Data_NSA'!$A:$A,0),MATCH($D238,'Data_NSA'!$1:$1,0)),"")</f>
        <v/>
      </c>
      <c r="P238" s="10">
        <f>IF($E238="","",IFERROR(INDEX('Data_SA'!$A:$LO,MATCH(O$2,'Data_SA'!$A:$A,0),MATCH($E238,'Data_SA'!$1:$1,0)),""))</f>
        <v/>
      </c>
      <c r="Q238" s="7">
        <f>IF($E238="","",IFERROR(INDEX('Data_SA'!$A:$LO,MATCH(O$2,'Data_SA'!$A:$A,0),MATCH($E238,'Data_SA'!$1:$1,0))/INDEX('Data_SA'!$A:$LO,MATCH(EDATE(O$2,-1),'Data_SA'!$A:$A,0),MATCH($E238,'Data_SA'!$1:$1,0))-1,""))</f>
        <v/>
      </c>
      <c r="R238" s="7">
        <f>IFERROR(INDEX('Data_NSA'!$A:$OK,MATCH(O$2,'Data_NSA'!$A:$A,0),MATCH($D238,'Data_NSA'!$1:$1,0))/INDEX('Data_NSA'!$A:$OK,MATCH(EDATE(O$2,-12),'Data_NSA'!$A:$A,0),MATCH($D238,'Data_NSA'!$1:$1,0))-1,"")</f>
        <v/>
      </c>
      <c r="S238" s="10">
        <f>IFERROR(INDEX('Weights'!$G:$I,MATCH($A238,'Weights'!$A:$A,0),MATCH(O$2,'Weights'!$G$1:$I$1,0)),"")</f>
        <v/>
      </c>
      <c r="T238" s="10">
        <f>IF($E238="","",IFERROR(100*(INDEX('Weights'!$D:$D,MATCH($A238,'Weights'!$A:$A,0))*(INDEX('Data_NSA'!$A:$OK,MATCH(EDATE(O$2,-1),'Data_NSA'!$A:$A,0),MATCH($D238,'Data_NSA'!$1:$1,0))/INDEX('Data_NSA'!$A:$OK,MATCH(INDEX('Weights'!$E:$E,MATCH($A238,'Weights'!$A:$A,0)),'Data_NSA'!$A:$A,0),MATCH($D238,'Data_NSA'!$1:$1,0))))/(100*(INDEX('Data_NSA'!$A:$OK,MATCH(EDATE(O$2,-1),'Data_NSA'!$A:$A,0),MATCH("CUUR0000SA0",'Data_NSA'!$1:$1,0))/INDEX('Data_NSA'!$A:$OK,MATCH(INDEX('Weights'!$E:$E,MATCH($A238,'Weights'!$A:$A,0)),'Data_NSA'!$A:$A,0),MATCH("CUUR0000SA0",'Data_NSA'!$1:$1,0))))*(INDEX('Data_SA'!$A:$LO,MATCH(O$2,'Data_SA'!$A:$A,0),MATCH($E238,'Data_SA'!$1:$1,0))/INDEX('Data_SA'!$A:$LO,MATCH(EDATE(O$2,-1),'Data_SA'!$A:$A,0),MATCH($E238,'Data_SA'!$1:$1,0))-1),""))</f>
        <v/>
      </c>
      <c r="U238" s="10">
        <f>IFERROR(INDEX('Data_NSA'!$A:$OK,MATCH(U$2,'Data_NSA'!$A:$A,0),MATCH($D238,'Data_NSA'!$1:$1,0)),"")</f>
        <v/>
      </c>
      <c r="V238" s="10">
        <f>IF($E238="","",IFERROR(INDEX('Data_SA'!$A:$LO,MATCH(U$2,'Data_SA'!$A:$A,0),MATCH($E238,'Data_SA'!$1:$1,0)),""))</f>
        <v/>
      </c>
      <c r="W238" s="7">
        <f>IF($E238="","",IFERROR(INDEX('Data_SA'!$A:$LO,MATCH(U$2,'Data_SA'!$A:$A,0),MATCH($E238,'Data_SA'!$1:$1,0))/INDEX('Data_SA'!$A:$LO,MATCH(EDATE(U$2,-1),'Data_SA'!$A:$A,0),MATCH($E238,'Data_SA'!$1:$1,0))-1,""))</f>
        <v/>
      </c>
      <c r="X238" s="7">
        <f>IFERROR(INDEX('Data_NSA'!$A:$OK,MATCH(U$2,'Data_NSA'!$A:$A,0),MATCH($D238,'Data_NSA'!$1:$1,0))/INDEX('Data_NSA'!$A:$OK,MATCH(EDATE(U$2,-12),'Data_NSA'!$A:$A,0),MATCH($D238,'Data_NSA'!$1:$1,0))-1,"")</f>
        <v/>
      </c>
      <c r="Y238" s="10">
        <f>IFERROR(INDEX('Weights'!$G:$I,MATCH($A238,'Weights'!$A:$A,0),MATCH(U$2,'Weights'!$G$1:$I$1,0)),"")</f>
        <v/>
      </c>
      <c r="Z238" s="10">
        <f>IF($E238="","",IFERROR(100*(INDEX('Weights'!$D:$D,MATCH($A238,'Weights'!$A:$A,0))*(INDEX('Data_NSA'!$A:$OK,MATCH(EDATE(U$2,-1),'Data_NSA'!$A:$A,0),MATCH($D238,'Data_NSA'!$1:$1,0))/INDEX('Data_NSA'!$A:$OK,MATCH(INDEX('Weights'!$E:$E,MATCH($A238,'Weights'!$A:$A,0)),'Data_NSA'!$A:$A,0),MATCH($D238,'Data_NSA'!$1:$1,0))))/(100*(INDEX('Data_NSA'!$A:$OK,MATCH(EDATE(U$2,-1),'Data_NSA'!$A:$A,0),MATCH("CUUR0000SA0",'Data_NSA'!$1:$1,0))/INDEX('Data_NSA'!$A:$OK,MATCH(INDEX('Weights'!$E:$E,MATCH($A238,'Weights'!$A:$A,0)),'Data_NSA'!$A:$A,0),MATCH("CUUR0000SA0",'Data_NSA'!$1:$1,0))))*(INDEX('Data_SA'!$A:$LO,MATCH(U$2,'Data_SA'!$A:$A,0),MATCH($E238,'Data_SA'!$1:$1,0))/INDEX('Data_SA'!$A:$LO,MATCH(EDATE(U$2,-1),'Data_SA'!$A:$A,0),MATCH($E238,'Data_SA'!$1:$1,0))-1),""))</f>
        <v/>
      </c>
    </row>
    <row r="239">
      <c r="A239" s="3" t="inlineStr">
        <is>
          <t>SETE</t>
        </is>
      </c>
      <c r="B239" s="3" t="inlineStr">
        <is>
          <t>Motor vehicle insurance</t>
        </is>
      </c>
      <c r="C239" s="3" t="inlineStr">
        <is>
          <t>SAT1</t>
        </is>
      </c>
      <c r="D239" s="3" t="inlineStr">
        <is>
          <t>CUUR0000SETE</t>
        </is>
      </c>
      <c r="E239" s="3" t="inlineStr">
        <is>
          <t>CUSR0000SETE</t>
        </is>
      </c>
      <c r="F239" s="3" t="inlineStr">
        <is>
          <t>GM</t>
        </is>
      </c>
      <c r="G239" s="3" t="inlineStr">
        <is>
          <t>premium quotes for fixed risk profiles; filings can be lumpy</t>
        </is>
      </c>
      <c r="H239" s="10">
        <f>IFERROR(INDEX(Weights!$D:$D,MATCH($A239,Weights!$A:$A,0)),"")</f>
        <v/>
      </c>
      <c r="I239" s="10">
        <f>IFERROR(INDEX('Data_NSA'!$A:$OK,MATCH(I$2,'Data_NSA'!$A:$A,0),MATCH($D239,'Data_NSA'!$1:$1,0)),"")</f>
        <v/>
      </c>
      <c r="J239" s="10">
        <f>IF($E239="","",IFERROR(INDEX('Data_SA'!$A:$LO,MATCH(I$2,'Data_SA'!$A:$A,0),MATCH($E239,'Data_SA'!$1:$1,0)),""))</f>
        <v/>
      </c>
      <c r="K239" s="7">
        <f>IF($E239="","",IFERROR(INDEX('Data_SA'!$A:$LO,MATCH(I$2,'Data_SA'!$A:$A,0),MATCH($E239,'Data_SA'!$1:$1,0))/INDEX('Data_SA'!$A:$LO,MATCH(EDATE(I$2,-1),'Data_SA'!$A:$A,0),MATCH($E239,'Data_SA'!$1:$1,0))-1,""))</f>
        <v/>
      </c>
      <c r="L239" s="7">
        <f>IFERROR(INDEX('Data_NSA'!$A:$OK,MATCH(I$2,'Data_NSA'!$A:$A,0),MATCH($D239,'Data_NSA'!$1:$1,0))/INDEX('Data_NSA'!$A:$OK,MATCH(EDATE(I$2,-12),'Data_NSA'!$A:$A,0),MATCH($D239,'Data_NSA'!$1:$1,0))-1,"")</f>
        <v/>
      </c>
      <c r="M239" s="10">
        <f>IFERROR(INDEX('Weights'!$G:$I,MATCH($A239,'Weights'!$A:$A,0),MATCH(I$2,'Weights'!$G$1:$I$1,0)),"")</f>
        <v/>
      </c>
      <c r="N239" s="10">
        <f>IF($E239="","",IFERROR(100*(INDEX('Weights'!$D:$D,MATCH($A239,'Weights'!$A:$A,0))*(INDEX('Data_NSA'!$A:$OK,MATCH(EDATE(I$2,-1),'Data_NSA'!$A:$A,0),MATCH($D239,'Data_NSA'!$1:$1,0))/INDEX('Data_NSA'!$A:$OK,MATCH(INDEX('Weights'!$E:$E,MATCH($A239,'Weights'!$A:$A,0)),'Data_NSA'!$A:$A,0),MATCH($D239,'Data_NSA'!$1:$1,0))))/(100*(INDEX('Data_NSA'!$A:$OK,MATCH(EDATE(I$2,-1),'Data_NSA'!$A:$A,0),MATCH("CUUR0000SA0",'Data_NSA'!$1:$1,0))/INDEX('Data_NSA'!$A:$OK,MATCH(INDEX('Weights'!$E:$E,MATCH($A239,'Weights'!$A:$A,0)),'Data_NSA'!$A:$A,0),MATCH("CUUR0000SA0",'Data_NSA'!$1:$1,0))))*(INDEX('Data_SA'!$A:$LO,MATCH(I$2,'Data_SA'!$A:$A,0),MATCH($E239,'Data_SA'!$1:$1,0))/INDEX('Data_SA'!$A:$LO,MATCH(EDATE(I$2,-1),'Data_SA'!$A:$A,0),MATCH($E239,'Data_SA'!$1:$1,0))-1),""))</f>
        <v/>
      </c>
      <c r="O239" s="10">
        <f>IFERROR(INDEX('Data_NSA'!$A:$OK,MATCH(O$2,'Data_NSA'!$A:$A,0),MATCH($D239,'Data_NSA'!$1:$1,0)),"")</f>
        <v/>
      </c>
      <c r="P239" s="10">
        <f>IF($E239="","",IFERROR(INDEX('Data_SA'!$A:$LO,MATCH(O$2,'Data_SA'!$A:$A,0),MATCH($E239,'Data_SA'!$1:$1,0)),""))</f>
        <v/>
      </c>
      <c r="Q239" s="7">
        <f>IF($E239="","",IFERROR(INDEX('Data_SA'!$A:$LO,MATCH(O$2,'Data_SA'!$A:$A,0),MATCH($E239,'Data_SA'!$1:$1,0))/INDEX('Data_SA'!$A:$LO,MATCH(EDATE(O$2,-1),'Data_SA'!$A:$A,0),MATCH($E239,'Data_SA'!$1:$1,0))-1,""))</f>
        <v/>
      </c>
      <c r="R239" s="7">
        <f>IFERROR(INDEX('Data_NSA'!$A:$OK,MATCH(O$2,'Data_NSA'!$A:$A,0),MATCH($D239,'Data_NSA'!$1:$1,0))/INDEX('Data_NSA'!$A:$OK,MATCH(EDATE(O$2,-12),'Data_NSA'!$A:$A,0),MATCH($D239,'Data_NSA'!$1:$1,0))-1,"")</f>
        <v/>
      </c>
      <c r="S239" s="10">
        <f>IFERROR(INDEX('Weights'!$G:$I,MATCH($A239,'Weights'!$A:$A,0),MATCH(O$2,'Weights'!$G$1:$I$1,0)),"")</f>
        <v/>
      </c>
      <c r="T239" s="10">
        <f>IF($E239="","",IFERROR(100*(INDEX('Weights'!$D:$D,MATCH($A239,'Weights'!$A:$A,0))*(INDEX('Data_NSA'!$A:$OK,MATCH(EDATE(O$2,-1),'Data_NSA'!$A:$A,0),MATCH($D239,'Data_NSA'!$1:$1,0))/INDEX('Data_NSA'!$A:$OK,MATCH(INDEX('Weights'!$E:$E,MATCH($A239,'Weights'!$A:$A,0)),'Data_NSA'!$A:$A,0),MATCH($D239,'Data_NSA'!$1:$1,0))))/(100*(INDEX('Data_NSA'!$A:$OK,MATCH(EDATE(O$2,-1),'Data_NSA'!$A:$A,0),MATCH("CUUR0000SA0",'Data_NSA'!$1:$1,0))/INDEX('Data_NSA'!$A:$OK,MATCH(INDEX('Weights'!$E:$E,MATCH($A239,'Weights'!$A:$A,0)),'Data_NSA'!$A:$A,0),MATCH("CUUR0000SA0",'Data_NSA'!$1:$1,0))))*(INDEX('Data_SA'!$A:$LO,MATCH(O$2,'Data_SA'!$A:$A,0),MATCH($E239,'Data_SA'!$1:$1,0))/INDEX('Data_SA'!$A:$LO,MATCH(EDATE(O$2,-1),'Data_SA'!$A:$A,0),MATCH($E239,'Data_SA'!$1:$1,0))-1),""))</f>
        <v/>
      </c>
      <c r="U239" s="10">
        <f>IFERROR(INDEX('Data_NSA'!$A:$OK,MATCH(U$2,'Data_NSA'!$A:$A,0),MATCH($D239,'Data_NSA'!$1:$1,0)),"")</f>
        <v/>
      </c>
      <c r="V239" s="10">
        <f>IF($E239="","",IFERROR(INDEX('Data_SA'!$A:$LO,MATCH(U$2,'Data_SA'!$A:$A,0),MATCH($E239,'Data_SA'!$1:$1,0)),""))</f>
        <v/>
      </c>
      <c r="W239" s="7">
        <f>IF($E239="","",IFERROR(INDEX('Data_SA'!$A:$LO,MATCH(U$2,'Data_SA'!$A:$A,0),MATCH($E239,'Data_SA'!$1:$1,0))/INDEX('Data_SA'!$A:$LO,MATCH(EDATE(U$2,-1),'Data_SA'!$A:$A,0),MATCH($E239,'Data_SA'!$1:$1,0))-1,""))</f>
        <v/>
      </c>
      <c r="X239" s="7">
        <f>IFERROR(INDEX('Data_NSA'!$A:$OK,MATCH(U$2,'Data_NSA'!$A:$A,0),MATCH($D239,'Data_NSA'!$1:$1,0))/INDEX('Data_NSA'!$A:$OK,MATCH(EDATE(U$2,-12),'Data_NSA'!$A:$A,0),MATCH($D239,'Data_NSA'!$1:$1,0))-1,"")</f>
        <v/>
      </c>
      <c r="Y239" s="10">
        <f>IFERROR(INDEX('Weights'!$G:$I,MATCH($A239,'Weights'!$A:$A,0),MATCH(U$2,'Weights'!$G$1:$I$1,0)),"")</f>
        <v/>
      </c>
      <c r="Z239" s="10">
        <f>IF($E239="","",IFERROR(100*(INDEX('Weights'!$D:$D,MATCH($A239,'Weights'!$A:$A,0))*(INDEX('Data_NSA'!$A:$OK,MATCH(EDATE(U$2,-1),'Data_NSA'!$A:$A,0),MATCH($D239,'Data_NSA'!$1:$1,0))/INDEX('Data_NSA'!$A:$OK,MATCH(INDEX('Weights'!$E:$E,MATCH($A239,'Weights'!$A:$A,0)),'Data_NSA'!$A:$A,0),MATCH($D239,'Data_NSA'!$1:$1,0))))/(100*(INDEX('Data_NSA'!$A:$OK,MATCH(EDATE(U$2,-1),'Data_NSA'!$A:$A,0),MATCH("CUUR0000SA0",'Data_NSA'!$1:$1,0))/INDEX('Data_NSA'!$A:$OK,MATCH(INDEX('Weights'!$E:$E,MATCH($A239,'Weights'!$A:$A,0)),'Data_NSA'!$A:$A,0),MATCH("CUUR0000SA0",'Data_NSA'!$1:$1,0))))*(INDEX('Data_SA'!$A:$LO,MATCH(U$2,'Data_SA'!$A:$A,0),MATCH($E239,'Data_SA'!$1:$1,0))/INDEX('Data_SA'!$A:$LO,MATCH(EDATE(U$2,-1),'Data_SA'!$A:$A,0),MATCH($E239,'Data_SA'!$1:$1,0))-1),""))</f>
        <v/>
      </c>
    </row>
    <row r="240">
      <c r="A240" s="3" t="inlineStr">
        <is>
          <t>SETF</t>
        </is>
      </c>
      <c r="B240" s="3" t="inlineStr">
        <is>
          <t>Motor vehicle fees</t>
        </is>
      </c>
      <c r="C240" s="3" t="inlineStr">
        <is>
          <t>SAT1</t>
        </is>
      </c>
      <c r="D240" s="3" t="inlineStr">
        <is>
          <t>CUUR0000SETF</t>
        </is>
      </c>
      <c r="E240" s="3" t="inlineStr"/>
      <c r="F240" s="3" t="inlineStr">
        <is>
          <t>aggregate</t>
        </is>
      </c>
      <c r="G240" s="3" t="inlineStr">
        <is>
          <t>aggregate</t>
        </is>
      </c>
      <c r="H240" s="10">
        <f>IFERROR(INDEX(Weights!$D:$D,MATCH($A240,Weights!$A:$A,0)),"")</f>
        <v/>
      </c>
      <c r="I240" s="10">
        <f>IFERROR(INDEX('Data_NSA'!$A:$OK,MATCH(I$2,'Data_NSA'!$A:$A,0),MATCH($D240,'Data_NSA'!$1:$1,0)),"")</f>
        <v/>
      </c>
      <c r="J240" s="10">
        <f>IF($E240="","",IFERROR(INDEX('Data_SA'!$A:$LO,MATCH(I$2,'Data_SA'!$A:$A,0),MATCH($E240,'Data_SA'!$1:$1,0)),""))</f>
        <v/>
      </c>
      <c r="K240" s="7">
        <f>IF($E240="","",IFERROR(INDEX('Data_SA'!$A:$LO,MATCH(I$2,'Data_SA'!$A:$A,0),MATCH($E240,'Data_SA'!$1:$1,0))/INDEX('Data_SA'!$A:$LO,MATCH(EDATE(I$2,-1),'Data_SA'!$A:$A,0),MATCH($E240,'Data_SA'!$1:$1,0))-1,""))</f>
        <v/>
      </c>
      <c r="L240" s="7">
        <f>IFERROR(INDEX('Data_NSA'!$A:$OK,MATCH(I$2,'Data_NSA'!$A:$A,0),MATCH($D240,'Data_NSA'!$1:$1,0))/INDEX('Data_NSA'!$A:$OK,MATCH(EDATE(I$2,-12),'Data_NSA'!$A:$A,0),MATCH($D240,'Data_NSA'!$1:$1,0))-1,"")</f>
        <v/>
      </c>
      <c r="M240" s="10">
        <f>IFERROR(INDEX('Weights'!$G:$I,MATCH($A240,'Weights'!$A:$A,0),MATCH(I$2,'Weights'!$G$1:$I$1,0)),"")</f>
        <v/>
      </c>
      <c r="N240" s="10">
        <f>IF($E240="","",IFERROR(100*(INDEX('Weights'!$D:$D,MATCH($A240,'Weights'!$A:$A,0))*(INDEX('Data_NSA'!$A:$OK,MATCH(EDATE(I$2,-1),'Data_NSA'!$A:$A,0),MATCH($D240,'Data_NSA'!$1:$1,0))/INDEX('Data_NSA'!$A:$OK,MATCH(INDEX('Weights'!$E:$E,MATCH($A240,'Weights'!$A:$A,0)),'Data_NSA'!$A:$A,0),MATCH($D240,'Data_NSA'!$1:$1,0))))/(100*(INDEX('Data_NSA'!$A:$OK,MATCH(EDATE(I$2,-1),'Data_NSA'!$A:$A,0),MATCH("CUUR0000SA0",'Data_NSA'!$1:$1,0))/INDEX('Data_NSA'!$A:$OK,MATCH(INDEX('Weights'!$E:$E,MATCH($A240,'Weights'!$A:$A,0)),'Data_NSA'!$A:$A,0),MATCH("CUUR0000SA0",'Data_NSA'!$1:$1,0))))*(INDEX('Data_SA'!$A:$LO,MATCH(I$2,'Data_SA'!$A:$A,0),MATCH($E240,'Data_SA'!$1:$1,0))/INDEX('Data_SA'!$A:$LO,MATCH(EDATE(I$2,-1),'Data_SA'!$A:$A,0),MATCH($E240,'Data_SA'!$1:$1,0))-1),""))</f>
        <v/>
      </c>
      <c r="O240" s="10">
        <f>IFERROR(INDEX('Data_NSA'!$A:$OK,MATCH(O$2,'Data_NSA'!$A:$A,0),MATCH($D240,'Data_NSA'!$1:$1,0)),"")</f>
        <v/>
      </c>
      <c r="P240" s="10">
        <f>IF($E240="","",IFERROR(INDEX('Data_SA'!$A:$LO,MATCH(O$2,'Data_SA'!$A:$A,0),MATCH($E240,'Data_SA'!$1:$1,0)),""))</f>
        <v/>
      </c>
      <c r="Q240" s="7">
        <f>IF($E240="","",IFERROR(INDEX('Data_SA'!$A:$LO,MATCH(O$2,'Data_SA'!$A:$A,0),MATCH($E240,'Data_SA'!$1:$1,0))/INDEX('Data_SA'!$A:$LO,MATCH(EDATE(O$2,-1),'Data_SA'!$A:$A,0),MATCH($E240,'Data_SA'!$1:$1,0))-1,""))</f>
        <v/>
      </c>
      <c r="R240" s="7">
        <f>IFERROR(INDEX('Data_NSA'!$A:$OK,MATCH(O$2,'Data_NSA'!$A:$A,0),MATCH($D240,'Data_NSA'!$1:$1,0))/INDEX('Data_NSA'!$A:$OK,MATCH(EDATE(O$2,-12),'Data_NSA'!$A:$A,0),MATCH($D240,'Data_NSA'!$1:$1,0))-1,"")</f>
        <v/>
      </c>
      <c r="S240" s="10">
        <f>IFERROR(INDEX('Weights'!$G:$I,MATCH($A240,'Weights'!$A:$A,0),MATCH(O$2,'Weights'!$G$1:$I$1,0)),"")</f>
        <v/>
      </c>
      <c r="T240" s="10">
        <f>IF($E240="","",IFERROR(100*(INDEX('Weights'!$D:$D,MATCH($A240,'Weights'!$A:$A,0))*(INDEX('Data_NSA'!$A:$OK,MATCH(EDATE(O$2,-1),'Data_NSA'!$A:$A,0),MATCH($D240,'Data_NSA'!$1:$1,0))/INDEX('Data_NSA'!$A:$OK,MATCH(INDEX('Weights'!$E:$E,MATCH($A240,'Weights'!$A:$A,0)),'Data_NSA'!$A:$A,0),MATCH($D240,'Data_NSA'!$1:$1,0))))/(100*(INDEX('Data_NSA'!$A:$OK,MATCH(EDATE(O$2,-1),'Data_NSA'!$A:$A,0),MATCH("CUUR0000SA0",'Data_NSA'!$1:$1,0))/INDEX('Data_NSA'!$A:$OK,MATCH(INDEX('Weights'!$E:$E,MATCH($A240,'Weights'!$A:$A,0)),'Data_NSA'!$A:$A,0),MATCH("CUUR0000SA0",'Data_NSA'!$1:$1,0))))*(INDEX('Data_SA'!$A:$LO,MATCH(O$2,'Data_SA'!$A:$A,0),MATCH($E240,'Data_SA'!$1:$1,0))/INDEX('Data_SA'!$A:$LO,MATCH(EDATE(O$2,-1),'Data_SA'!$A:$A,0),MATCH($E240,'Data_SA'!$1:$1,0))-1),""))</f>
        <v/>
      </c>
      <c r="U240" s="10">
        <f>IFERROR(INDEX('Data_NSA'!$A:$OK,MATCH(U$2,'Data_NSA'!$A:$A,0),MATCH($D240,'Data_NSA'!$1:$1,0)),"")</f>
        <v/>
      </c>
      <c r="V240" s="10">
        <f>IF($E240="","",IFERROR(INDEX('Data_SA'!$A:$LO,MATCH(U$2,'Data_SA'!$A:$A,0),MATCH($E240,'Data_SA'!$1:$1,0)),""))</f>
        <v/>
      </c>
      <c r="W240" s="7">
        <f>IF($E240="","",IFERROR(INDEX('Data_SA'!$A:$LO,MATCH(U$2,'Data_SA'!$A:$A,0),MATCH($E240,'Data_SA'!$1:$1,0))/INDEX('Data_SA'!$A:$LO,MATCH(EDATE(U$2,-1),'Data_SA'!$A:$A,0),MATCH($E240,'Data_SA'!$1:$1,0))-1,""))</f>
        <v/>
      </c>
      <c r="X240" s="7">
        <f>IFERROR(INDEX('Data_NSA'!$A:$OK,MATCH(U$2,'Data_NSA'!$A:$A,0),MATCH($D240,'Data_NSA'!$1:$1,0))/INDEX('Data_NSA'!$A:$OK,MATCH(EDATE(U$2,-12),'Data_NSA'!$A:$A,0),MATCH($D240,'Data_NSA'!$1:$1,0))-1,"")</f>
        <v/>
      </c>
      <c r="Y240" s="10">
        <f>IFERROR(INDEX('Weights'!$G:$I,MATCH($A240,'Weights'!$A:$A,0),MATCH(U$2,'Weights'!$G$1:$I$1,0)),"")</f>
        <v/>
      </c>
      <c r="Z240" s="10">
        <f>IF($E240="","",IFERROR(100*(INDEX('Weights'!$D:$D,MATCH($A240,'Weights'!$A:$A,0))*(INDEX('Data_NSA'!$A:$OK,MATCH(EDATE(U$2,-1),'Data_NSA'!$A:$A,0),MATCH($D240,'Data_NSA'!$1:$1,0))/INDEX('Data_NSA'!$A:$OK,MATCH(INDEX('Weights'!$E:$E,MATCH($A240,'Weights'!$A:$A,0)),'Data_NSA'!$A:$A,0),MATCH($D240,'Data_NSA'!$1:$1,0))))/(100*(INDEX('Data_NSA'!$A:$OK,MATCH(EDATE(U$2,-1),'Data_NSA'!$A:$A,0),MATCH("CUUR0000SA0",'Data_NSA'!$1:$1,0))/INDEX('Data_NSA'!$A:$OK,MATCH(INDEX('Weights'!$E:$E,MATCH($A240,'Weights'!$A:$A,0)),'Data_NSA'!$A:$A,0),MATCH("CUUR0000SA0",'Data_NSA'!$1:$1,0))))*(INDEX('Data_SA'!$A:$LO,MATCH(U$2,'Data_SA'!$A:$A,0),MATCH($E240,'Data_SA'!$1:$1,0))/INDEX('Data_SA'!$A:$LO,MATCH(EDATE(U$2,-1),'Data_SA'!$A:$A,0),MATCH($E240,'Data_SA'!$1:$1,0))-1),""))</f>
        <v/>
      </c>
    </row>
    <row r="241">
      <c r="A241" s="3" t="inlineStr">
        <is>
          <t>SETF01</t>
        </is>
      </c>
      <c r="B241" s="3" t="inlineStr">
        <is>
          <t>State motor vehicle registration and license fees</t>
        </is>
      </c>
      <c r="C241" s="3" t="inlineStr">
        <is>
          <t>SETF</t>
        </is>
      </c>
      <c r="D241" s="3" t="inlineStr">
        <is>
          <t>CUUR0000SETF01</t>
        </is>
      </c>
      <c r="E241" s="3" t="inlineStr"/>
      <c r="F241" s="3" t="inlineStr">
        <is>
          <t>GM</t>
        </is>
      </c>
      <c r="G241" s="3" t="inlineStr">
        <is>
          <t>monthly in New York/Los Angeles/Chicago; often bimonthly elsewhere</t>
        </is>
      </c>
      <c r="H241" s="10">
        <f>IFERROR(INDEX(Weights!$D:$D,MATCH($A241,Weights!$A:$A,0)),"")</f>
        <v/>
      </c>
      <c r="I241" s="10">
        <f>IFERROR(INDEX('Data_NSA'!$A:$OK,MATCH(I$2,'Data_NSA'!$A:$A,0),MATCH($D241,'Data_NSA'!$1:$1,0)),"")</f>
        <v/>
      </c>
      <c r="J241" s="10">
        <f>IF($E241="","",IFERROR(INDEX('Data_SA'!$A:$LO,MATCH(I$2,'Data_SA'!$A:$A,0),MATCH($E241,'Data_SA'!$1:$1,0)),""))</f>
        <v/>
      </c>
      <c r="K241" s="7">
        <f>IF($E241="","",IFERROR(INDEX('Data_SA'!$A:$LO,MATCH(I$2,'Data_SA'!$A:$A,0),MATCH($E241,'Data_SA'!$1:$1,0))/INDEX('Data_SA'!$A:$LO,MATCH(EDATE(I$2,-1),'Data_SA'!$A:$A,0),MATCH($E241,'Data_SA'!$1:$1,0))-1,""))</f>
        <v/>
      </c>
      <c r="L241" s="7">
        <f>IFERROR(INDEX('Data_NSA'!$A:$OK,MATCH(I$2,'Data_NSA'!$A:$A,0),MATCH($D241,'Data_NSA'!$1:$1,0))/INDEX('Data_NSA'!$A:$OK,MATCH(EDATE(I$2,-12),'Data_NSA'!$A:$A,0),MATCH($D241,'Data_NSA'!$1:$1,0))-1,"")</f>
        <v/>
      </c>
      <c r="M241" s="10">
        <f>IFERROR(INDEX('Weights'!$G:$I,MATCH($A241,'Weights'!$A:$A,0),MATCH(I$2,'Weights'!$G$1:$I$1,0)),"")</f>
        <v/>
      </c>
      <c r="N241" s="10">
        <f>IF($E241="","",IFERROR(100*(INDEX('Weights'!$D:$D,MATCH($A241,'Weights'!$A:$A,0))*(INDEX('Data_NSA'!$A:$OK,MATCH(EDATE(I$2,-1),'Data_NSA'!$A:$A,0),MATCH($D241,'Data_NSA'!$1:$1,0))/INDEX('Data_NSA'!$A:$OK,MATCH(INDEX('Weights'!$E:$E,MATCH($A241,'Weights'!$A:$A,0)),'Data_NSA'!$A:$A,0),MATCH($D241,'Data_NSA'!$1:$1,0))))/(100*(INDEX('Data_NSA'!$A:$OK,MATCH(EDATE(I$2,-1),'Data_NSA'!$A:$A,0),MATCH("CUUR0000SA0",'Data_NSA'!$1:$1,0))/INDEX('Data_NSA'!$A:$OK,MATCH(INDEX('Weights'!$E:$E,MATCH($A241,'Weights'!$A:$A,0)),'Data_NSA'!$A:$A,0),MATCH("CUUR0000SA0",'Data_NSA'!$1:$1,0))))*(INDEX('Data_SA'!$A:$LO,MATCH(I$2,'Data_SA'!$A:$A,0),MATCH($E241,'Data_SA'!$1:$1,0))/INDEX('Data_SA'!$A:$LO,MATCH(EDATE(I$2,-1),'Data_SA'!$A:$A,0),MATCH($E241,'Data_SA'!$1:$1,0))-1),""))</f>
        <v/>
      </c>
      <c r="O241" s="10">
        <f>IFERROR(INDEX('Data_NSA'!$A:$OK,MATCH(O$2,'Data_NSA'!$A:$A,0),MATCH($D241,'Data_NSA'!$1:$1,0)),"")</f>
        <v/>
      </c>
      <c r="P241" s="10">
        <f>IF($E241="","",IFERROR(INDEX('Data_SA'!$A:$LO,MATCH(O$2,'Data_SA'!$A:$A,0),MATCH($E241,'Data_SA'!$1:$1,0)),""))</f>
        <v/>
      </c>
      <c r="Q241" s="7">
        <f>IF($E241="","",IFERROR(INDEX('Data_SA'!$A:$LO,MATCH(O$2,'Data_SA'!$A:$A,0),MATCH($E241,'Data_SA'!$1:$1,0))/INDEX('Data_SA'!$A:$LO,MATCH(EDATE(O$2,-1),'Data_SA'!$A:$A,0),MATCH($E241,'Data_SA'!$1:$1,0))-1,""))</f>
        <v/>
      </c>
      <c r="R241" s="7">
        <f>IFERROR(INDEX('Data_NSA'!$A:$OK,MATCH(O$2,'Data_NSA'!$A:$A,0),MATCH($D241,'Data_NSA'!$1:$1,0))/INDEX('Data_NSA'!$A:$OK,MATCH(EDATE(O$2,-12),'Data_NSA'!$A:$A,0),MATCH($D241,'Data_NSA'!$1:$1,0))-1,"")</f>
        <v/>
      </c>
      <c r="S241" s="10">
        <f>IFERROR(INDEX('Weights'!$G:$I,MATCH($A241,'Weights'!$A:$A,0),MATCH(O$2,'Weights'!$G$1:$I$1,0)),"")</f>
        <v/>
      </c>
      <c r="T241" s="10">
        <f>IF($E241="","",IFERROR(100*(INDEX('Weights'!$D:$D,MATCH($A241,'Weights'!$A:$A,0))*(INDEX('Data_NSA'!$A:$OK,MATCH(EDATE(O$2,-1),'Data_NSA'!$A:$A,0),MATCH($D241,'Data_NSA'!$1:$1,0))/INDEX('Data_NSA'!$A:$OK,MATCH(INDEX('Weights'!$E:$E,MATCH($A241,'Weights'!$A:$A,0)),'Data_NSA'!$A:$A,0),MATCH($D241,'Data_NSA'!$1:$1,0))))/(100*(INDEX('Data_NSA'!$A:$OK,MATCH(EDATE(O$2,-1),'Data_NSA'!$A:$A,0),MATCH("CUUR0000SA0",'Data_NSA'!$1:$1,0))/INDEX('Data_NSA'!$A:$OK,MATCH(INDEX('Weights'!$E:$E,MATCH($A241,'Weights'!$A:$A,0)),'Data_NSA'!$A:$A,0),MATCH("CUUR0000SA0",'Data_NSA'!$1:$1,0))))*(INDEX('Data_SA'!$A:$LO,MATCH(O$2,'Data_SA'!$A:$A,0),MATCH($E241,'Data_SA'!$1:$1,0))/INDEX('Data_SA'!$A:$LO,MATCH(EDATE(O$2,-1),'Data_SA'!$A:$A,0),MATCH($E241,'Data_SA'!$1:$1,0))-1),""))</f>
        <v/>
      </c>
      <c r="U241" s="10">
        <f>IFERROR(INDEX('Data_NSA'!$A:$OK,MATCH(U$2,'Data_NSA'!$A:$A,0),MATCH($D241,'Data_NSA'!$1:$1,0)),"")</f>
        <v/>
      </c>
      <c r="V241" s="10">
        <f>IF($E241="","",IFERROR(INDEX('Data_SA'!$A:$LO,MATCH(U$2,'Data_SA'!$A:$A,0),MATCH($E241,'Data_SA'!$1:$1,0)),""))</f>
        <v/>
      </c>
      <c r="W241" s="7">
        <f>IF($E241="","",IFERROR(INDEX('Data_SA'!$A:$LO,MATCH(U$2,'Data_SA'!$A:$A,0),MATCH($E241,'Data_SA'!$1:$1,0))/INDEX('Data_SA'!$A:$LO,MATCH(EDATE(U$2,-1),'Data_SA'!$A:$A,0),MATCH($E241,'Data_SA'!$1:$1,0))-1,""))</f>
        <v/>
      </c>
      <c r="X241" s="7">
        <f>IFERROR(INDEX('Data_NSA'!$A:$OK,MATCH(U$2,'Data_NSA'!$A:$A,0),MATCH($D241,'Data_NSA'!$1:$1,0))/INDEX('Data_NSA'!$A:$OK,MATCH(EDATE(U$2,-12),'Data_NSA'!$A:$A,0),MATCH($D241,'Data_NSA'!$1:$1,0))-1,"")</f>
        <v/>
      </c>
      <c r="Y241" s="10">
        <f>IFERROR(INDEX('Weights'!$G:$I,MATCH($A241,'Weights'!$A:$A,0),MATCH(U$2,'Weights'!$G$1:$I$1,0)),"")</f>
        <v/>
      </c>
      <c r="Z241" s="10">
        <f>IF($E241="","",IFERROR(100*(INDEX('Weights'!$D:$D,MATCH($A241,'Weights'!$A:$A,0))*(INDEX('Data_NSA'!$A:$OK,MATCH(EDATE(U$2,-1),'Data_NSA'!$A:$A,0),MATCH($D241,'Data_NSA'!$1:$1,0))/INDEX('Data_NSA'!$A:$OK,MATCH(INDEX('Weights'!$E:$E,MATCH($A241,'Weights'!$A:$A,0)),'Data_NSA'!$A:$A,0),MATCH($D241,'Data_NSA'!$1:$1,0))))/(100*(INDEX('Data_NSA'!$A:$OK,MATCH(EDATE(U$2,-1),'Data_NSA'!$A:$A,0),MATCH("CUUR0000SA0",'Data_NSA'!$1:$1,0))/INDEX('Data_NSA'!$A:$OK,MATCH(INDEX('Weights'!$E:$E,MATCH($A241,'Weights'!$A:$A,0)),'Data_NSA'!$A:$A,0),MATCH("CUUR0000SA0",'Data_NSA'!$1:$1,0))))*(INDEX('Data_SA'!$A:$LO,MATCH(U$2,'Data_SA'!$A:$A,0),MATCH($E241,'Data_SA'!$1:$1,0))/INDEX('Data_SA'!$A:$LO,MATCH(EDATE(U$2,-1),'Data_SA'!$A:$A,0),MATCH($E241,'Data_SA'!$1:$1,0))-1),""))</f>
        <v/>
      </c>
    </row>
    <row r="242">
      <c r="A242" s="3" t="inlineStr">
        <is>
          <t>SETF03</t>
        </is>
      </c>
      <c r="B242" s="3" t="inlineStr">
        <is>
          <t>Parking and other fees</t>
        </is>
      </c>
      <c r="C242" s="3" t="inlineStr">
        <is>
          <t>SETF</t>
        </is>
      </c>
      <c r="D242" s="3" t="inlineStr">
        <is>
          <t>CUUR0000SETF03</t>
        </is>
      </c>
      <c r="E242" s="3" t="inlineStr">
        <is>
          <t>CUSR0000SETF03</t>
        </is>
      </c>
      <c r="F242" s="3" t="inlineStr">
        <is>
          <t>aggregate</t>
        </is>
      </c>
      <c r="G242" s="3" t="inlineStr">
        <is>
          <t>aggregate</t>
        </is>
      </c>
      <c r="H242" s="10">
        <f>IFERROR(INDEX(Weights!$D:$D,MATCH($A242,Weights!$A:$A,0)),"")</f>
        <v/>
      </c>
      <c r="I242" s="10">
        <f>IFERROR(INDEX('Data_NSA'!$A:$OK,MATCH(I$2,'Data_NSA'!$A:$A,0),MATCH($D242,'Data_NSA'!$1:$1,0)),"")</f>
        <v/>
      </c>
      <c r="J242" s="10">
        <f>IF($E242="","",IFERROR(INDEX('Data_SA'!$A:$LO,MATCH(I$2,'Data_SA'!$A:$A,0),MATCH($E242,'Data_SA'!$1:$1,0)),""))</f>
        <v/>
      </c>
      <c r="K242" s="7">
        <f>IF($E242="","",IFERROR(INDEX('Data_SA'!$A:$LO,MATCH(I$2,'Data_SA'!$A:$A,0),MATCH($E242,'Data_SA'!$1:$1,0))/INDEX('Data_SA'!$A:$LO,MATCH(EDATE(I$2,-1),'Data_SA'!$A:$A,0),MATCH($E242,'Data_SA'!$1:$1,0))-1,""))</f>
        <v/>
      </c>
      <c r="L242" s="7">
        <f>IFERROR(INDEX('Data_NSA'!$A:$OK,MATCH(I$2,'Data_NSA'!$A:$A,0),MATCH($D242,'Data_NSA'!$1:$1,0))/INDEX('Data_NSA'!$A:$OK,MATCH(EDATE(I$2,-12),'Data_NSA'!$A:$A,0),MATCH($D242,'Data_NSA'!$1:$1,0))-1,"")</f>
        <v/>
      </c>
      <c r="M242" s="10">
        <f>IFERROR(INDEX('Weights'!$G:$I,MATCH($A242,'Weights'!$A:$A,0),MATCH(I$2,'Weights'!$G$1:$I$1,0)),"")</f>
        <v/>
      </c>
      <c r="N242" s="10">
        <f>IF($E242="","",IFERROR(100*(INDEX('Weights'!$D:$D,MATCH($A242,'Weights'!$A:$A,0))*(INDEX('Data_NSA'!$A:$OK,MATCH(EDATE(I$2,-1),'Data_NSA'!$A:$A,0),MATCH($D242,'Data_NSA'!$1:$1,0))/INDEX('Data_NSA'!$A:$OK,MATCH(INDEX('Weights'!$E:$E,MATCH($A242,'Weights'!$A:$A,0)),'Data_NSA'!$A:$A,0),MATCH($D242,'Data_NSA'!$1:$1,0))))/(100*(INDEX('Data_NSA'!$A:$OK,MATCH(EDATE(I$2,-1),'Data_NSA'!$A:$A,0),MATCH("CUUR0000SA0",'Data_NSA'!$1:$1,0))/INDEX('Data_NSA'!$A:$OK,MATCH(INDEX('Weights'!$E:$E,MATCH($A242,'Weights'!$A:$A,0)),'Data_NSA'!$A:$A,0),MATCH("CUUR0000SA0",'Data_NSA'!$1:$1,0))))*(INDEX('Data_SA'!$A:$LO,MATCH(I$2,'Data_SA'!$A:$A,0),MATCH($E242,'Data_SA'!$1:$1,0))/INDEX('Data_SA'!$A:$LO,MATCH(EDATE(I$2,-1),'Data_SA'!$A:$A,0),MATCH($E242,'Data_SA'!$1:$1,0))-1),""))</f>
        <v/>
      </c>
      <c r="O242" s="10">
        <f>IFERROR(INDEX('Data_NSA'!$A:$OK,MATCH(O$2,'Data_NSA'!$A:$A,0),MATCH($D242,'Data_NSA'!$1:$1,0)),"")</f>
        <v/>
      </c>
      <c r="P242" s="10">
        <f>IF($E242="","",IFERROR(INDEX('Data_SA'!$A:$LO,MATCH(O$2,'Data_SA'!$A:$A,0),MATCH($E242,'Data_SA'!$1:$1,0)),""))</f>
        <v/>
      </c>
      <c r="Q242" s="7">
        <f>IF($E242="","",IFERROR(INDEX('Data_SA'!$A:$LO,MATCH(O$2,'Data_SA'!$A:$A,0),MATCH($E242,'Data_SA'!$1:$1,0))/INDEX('Data_SA'!$A:$LO,MATCH(EDATE(O$2,-1),'Data_SA'!$A:$A,0),MATCH($E242,'Data_SA'!$1:$1,0))-1,""))</f>
        <v/>
      </c>
      <c r="R242" s="7">
        <f>IFERROR(INDEX('Data_NSA'!$A:$OK,MATCH(O$2,'Data_NSA'!$A:$A,0),MATCH($D242,'Data_NSA'!$1:$1,0))/INDEX('Data_NSA'!$A:$OK,MATCH(EDATE(O$2,-12),'Data_NSA'!$A:$A,0),MATCH($D242,'Data_NSA'!$1:$1,0))-1,"")</f>
        <v/>
      </c>
      <c r="S242" s="10">
        <f>IFERROR(INDEX('Weights'!$G:$I,MATCH($A242,'Weights'!$A:$A,0),MATCH(O$2,'Weights'!$G$1:$I$1,0)),"")</f>
        <v/>
      </c>
      <c r="T242" s="10">
        <f>IF($E242="","",IFERROR(100*(INDEX('Weights'!$D:$D,MATCH($A242,'Weights'!$A:$A,0))*(INDEX('Data_NSA'!$A:$OK,MATCH(EDATE(O$2,-1),'Data_NSA'!$A:$A,0),MATCH($D242,'Data_NSA'!$1:$1,0))/INDEX('Data_NSA'!$A:$OK,MATCH(INDEX('Weights'!$E:$E,MATCH($A242,'Weights'!$A:$A,0)),'Data_NSA'!$A:$A,0),MATCH($D242,'Data_NSA'!$1:$1,0))))/(100*(INDEX('Data_NSA'!$A:$OK,MATCH(EDATE(O$2,-1),'Data_NSA'!$A:$A,0),MATCH("CUUR0000SA0",'Data_NSA'!$1:$1,0))/INDEX('Data_NSA'!$A:$OK,MATCH(INDEX('Weights'!$E:$E,MATCH($A242,'Weights'!$A:$A,0)),'Data_NSA'!$A:$A,0),MATCH("CUUR0000SA0",'Data_NSA'!$1:$1,0))))*(INDEX('Data_SA'!$A:$LO,MATCH(O$2,'Data_SA'!$A:$A,0),MATCH($E242,'Data_SA'!$1:$1,0))/INDEX('Data_SA'!$A:$LO,MATCH(EDATE(O$2,-1),'Data_SA'!$A:$A,0),MATCH($E242,'Data_SA'!$1:$1,0))-1),""))</f>
        <v/>
      </c>
      <c r="U242" s="10">
        <f>IFERROR(INDEX('Data_NSA'!$A:$OK,MATCH(U$2,'Data_NSA'!$A:$A,0),MATCH($D242,'Data_NSA'!$1:$1,0)),"")</f>
        <v/>
      </c>
      <c r="V242" s="10">
        <f>IF($E242="","",IFERROR(INDEX('Data_SA'!$A:$LO,MATCH(U$2,'Data_SA'!$A:$A,0),MATCH($E242,'Data_SA'!$1:$1,0)),""))</f>
        <v/>
      </c>
      <c r="W242" s="7">
        <f>IF($E242="","",IFERROR(INDEX('Data_SA'!$A:$LO,MATCH(U$2,'Data_SA'!$A:$A,0),MATCH($E242,'Data_SA'!$1:$1,0))/INDEX('Data_SA'!$A:$LO,MATCH(EDATE(U$2,-1),'Data_SA'!$A:$A,0),MATCH($E242,'Data_SA'!$1:$1,0))-1,""))</f>
        <v/>
      </c>
      <c r="X242" s="7">
        <f>IFERROR(INDEX('Data_NSA'!$A:$OK,MATCH(U$2,'Data_NSA'!$A:$A,0),MATCH($D242,'Data_NSA'!$1:$1,0))/INDEX('Data_NSA'!$A:$OK,MATCH(EDATE(U$2,-12),'Data_NSA'!$A:$A,0),MATCH($D242,'Data_NSA'!$1:$1,0))-1,"")</f>
        <v/>
      </c>
      <c r="Y242" s="10">
        <f>IFERROR(INDEX('Weights'!$G:$I,MATCH($A242,'Weights'!$A:$A,0),MATCH(U$2,'Weights'!$G$1:$I$1,0)),"")</f>
        <v/>
      </c>
      <c r="Z242" s="10">
        <f>IF($E242="","",IFERROR(100*(INDEX('Weights'!$D:$D,MATCH($A242,'Weights'!$A:$A,0))*(INDEX('Data_NSA'!$A:$OK,MATCH(EDATE(U$2,-1),'Data_NSA'!$A:$A,0),MATCH($D242,'Data_NSA'!$1:$1,0))/INDEX('Data_NSA'!$A:$OK,MATCH(INDEX('Weights'!$E:$E,MATCH($A242,'Weights'!$A:$A,0)),'Data_NSA'!$A:$A,0),MATCH($D242,'Data_NSA'!$1:$1,0))))/(100*(INDEX('Data_NSA'!$A:$OK,MATCH(EDATE(U$2,-1),'Data_NSA'!$A:$A,0),MATCH("CUUR0000SA0",'Data_NSA'!$1:$1,0))/INDEX('Data_NSA'!$A:$OK,MATCH(INDEX('Weights'!$E:$E,MATCH($A242,'Weights'!$A:$A,0)),'Data_NSA'!$A:$A,0),MATCH("CUUR0000SA0",'Data_NSA'!$1:$1,0))))*(INDEX('Data_SA'!$A:$LO,MATCH(U$2,'Data_SA'!$A:$A,0),MATCH($E242,'Data_SA'!$1:$1,0))/INDEX('Data_SA'!$A:$LO,MATCH(EDATE(U$2,-1),'Data_SA'!$A:$A,0),MATCH($E242,'Data_SA'!$1:$1,0))-1),""))</f>
        <v/>
      </c>
    </row>
    <row r="243">
      <c r="A243" s="3" t="inlineStr">
        <is>
          <t>SS52051</t>
        </is>
      </c>
      <c r="B243" s="3" t="inlineStr">
        <is>
          <t>Parking fees and tolls</t>
        </is>
      </c>
      <c r="C243" s="3" t="inlineStr">
        <is>
          <t>SETF03</t>
        </is>
      </c>
      <c r="D243" s="3" t="inlineStr">
        <is>
          <t>CUUR0000SS52051</t>
        </is>
      </c>
      <c r="E243" s="3" t="inlineStr">
        <is>
          <t>CUSR0000SS52051</t>
        </is>
      </c>
      <c r="F243" s="3" t="inlineStr">
        <is>
          <t>GM</t>
        </is>
      </c>
      <c r="G243" s="3" t="inlineStr">
        <is>
          <t>monthly in New York/Los Angeles/Chicago; often bimonthly elsewhere</t>
        </is>
      </c>
      <c r="H243" s="10">
        <f>IFERROR(INDEX(Weights!$D:$D,MATCH($A243,Weights!$A:$A,0)),"")</f>
        <v/>
      </c>
      <c r="I243" s="10">
        <f>IFERROR(INDEX('Data_NSA'!$A:$OK,MATCH(I$2,'Data_NSA'!$A:$A,0),MATCH($D243,'Data_NSA'!$1:$1,0)),"")</f>
        <v/>
      </c>
      <c r="J243" s="10">
        <f>IF($E243="","",IFERROR(INDEX('Data_SA'!$A:$LO,MATCH(I$2,'Data_SA'!$A:$A,0),MATCH($E243,'Data_SA'!$1:$1,0)),""))</f>
        <v/>
      </c>
      <c r="K243" s="7">
        <f>IF($E243="","",IFERROR(INDEX('Data_SA'!$A:$LO,MATCH(I$2,'Data_SA'!$A:$A,0),MATCH($E243,'Data_SA'!$1:$1,0))/INDEX('Data_SA'!$A:$LO,MATCH(EDATE(I$2,-1),'Data_SA'!$A:$A,0),MATCH($E243,'Data_SA'!$1:$1,0))-1,""))</f>
        <v/>
      </c>
      <c r="L243" s="7">
        <f>IFERROR(INDEX('Data_NSA'!$A:$OK,MATCH(I$2,'Data_NSA'!$A:$A,0),MATCH($D243,'Data_NSA'!$1:$1,0))/INDEX('Data_NSA'!$A:$OK,MATCH(EDATE(I$2,-12),'Data_NSA'!$A:$A,0),MATCH($D243,'Data_NSA'!$1:$1,0))-1,"")</f>
        <v/>
      </c>
      <c r="M243" s="10">
        <f>IFERROR(INDEX('Weights'!$G:$I,MATCH($A243,'Weights'!$A:$A,0),MATCH(I$2,'Weights'!$G$1:$I$1,0)),"")</f>
        <v/>
      </c>
      <c r="N243" s="10">
        <f>IF($E243="","",IFERROR(100*(INDEX('Weights'!$D:$D,MATCH($A243,'Weights'!$A:$A,0))*(INDEX('Data_NSA'!$A:$OK,MATCH(EDATE(I$2,-1),'Data_NSA'!$A:$A,0),MATCH($D243,'Data_NSA'!$1:$1,0))/INDEX('Data_NSA'!$A:$OK,MATCH(INDEX('Weights'!$E:$E,MATCH($A243,'Weights'!$A:$A,0)),'Data_NSA'!$A:$A,0),MATCH($D243,'Data_NSA'!$1:$1,0))))/(100*(INDEX('Data_NSA'!$A:$OK,MATCH(EDATE(I$2,-1),'Data_NSA'!$A:$A,0),MATCH("CUUR0000SA0",'Data_NSA'!$1:$1,0))/INDEX('Data_NSA'!$A:$OK,MATCH(INDEX('Weights'!$E:$E,MATCH($A243,'Weights'!$A:$A,0)),'Data_NSA'!$A:$A,0),MATCH("CUUR0000SA0",'Data_NSA'!$1:$1,0))))*(INDEX('Data_SA'!$A:$LO,MATCH(I$2,'Data_SA'!$A:$A,0),MATCH($E243,'Data_SA'!$1:$1,0))/INDEX('Data_SA'!$A:$LO,MATCH(EDATE(I$2,-1),'Data_SA'!$A:$A,0),MATCH($E243,'Data_SA'!$1:$1,0))-1),""))</f>
        <v/>
      </c>
      <c r="O243" s="10">
        <f>IFERROR(INDEX('Data_NSA'!$A:$OK,MATCH(O$2,'Data_NSA'!$A:$A,0),MATCH($D243,'Data_NSA'!$1:$1,0)),"")</f>
        <v/>
      </c>
      <c r="P243" s="10">
        <f>IF($E243="","",IFERROR(INDEX('Data_SA'!$A:$LO,MATCH(O$2,'Data_SA'!$A:$A,0),MATCH($E243,'Data_SA'!$1:$1,0)),""))</f>
        <v/>
      </c>
      <c r="Q243" s="7">
        <f>IF($E243="","",IFERROR(INDEX('Data_SA'!$A:$LO,MATCH(O$2,'Data_SA'!$A:$A,0),MATCH($E243,'Data_SA'!$1:$1,0))/INDEX('Data_SA'!$A:$LO,MATCH(EDATE(O$2,-1),'Data_SA'!$A:$A,0),MATCH($E243,'Data_SA'!$1:$1,0))-1,""))</f>
        <v/>
      </c>
      <c r="R243" s="7">
        <f>IFERROR(INDEX('Data_NSA'!$A:$OK,MATCH(O$2,'Data_NSA'!$A:$A,0),MATCH($D243,'Data_NSA'!$1:$1,0))/INDEX('Data_NSA'!$A:$OK,MATCH(EDATE(O$2,-12),'Data_NSA'!$A:$A,0),MATCH($D243,'Data_NSA'!$1:$1,0))-1,"")</f>
        <v/>
      </c>
      <c r="S243" s="10">
        <f>IFERROR(INDEX('Weights'!$G:$I,MATCH($A243,'Weights'!$A:$A,0),MATCH(O$2,'Weights'!$G$1:$I$1,0)),"")</f>
        <v/>
      </c>
      <c r="T243" s="10">
        <f>IF($E243="","",IFERROR(100*(INDEX('Weights'!$D:$D,MATCH($A243,'Weights'!$A:$A,0))*(INDEX('Data_NSA'!$A:$OK,MATCH(EDATE(O$2,-1),'Data_NSA'!$A:$A,0),MATCH($D243,'Data_NSA'!$1:$1,0))/INDEX('Data_NSA'!$A:$OK,MATCH(INDEX('Weights'!$E:$E,MATCH($A243,'Weights'!$A:$A,0)),'Data_NSA'!$A:$A,0),MATCH($D243,'Data_NSA'!$1:$1,0))))/(100*(INDEX('Data_NSA'!$A:$OK,MATCH(EDATE(O$2,-1),'Data_NSA'!$A:$A,0),MATCH("CUUR0000SA0",'Data_NSA'!$1:$1,0))/INDEX('Data_NSA'!$A:$OK,MATCH(INDEX('Weights'!$E:$E,MATCH($A243,'Weights'!$A:$A,0)),'Data_NSA'!$A:$A,0),MATCH("CUUR0000SA0",'Data_NSA'!$1:$1,0))))*(INDEX('Data_SA'!$A:$LO,MATCH(O$2,'Data_SA'!$A:$A,0),MATCH($E243,'Data_SA'!$1:$1,0))/INDEX('Data_SA'!$A:$LO,MATCH(EDATE(O$2,-1),'Data_SA'!$A:$A,0),MATCH($E243,'Data_SA'!$1:$1,0))-1),""))</f>
        <v/>
      </c>
      <c r="U243" s="10">
        <f>IFERROR(INDEX('Data_NSA'!$A:$OK,MATCH(U$2,'Data_NSA'!$A:$A,0),MATCH($D243,'Data_NSA'!$1:$1,0)),"")</f>
        <v/>
      </c>
      <c r="V243" s="10">
        <f>IF($E243="","",IFERROR(INDEX('Data_SA'!$A:$LO,MATCH(U$2,'Data_SA'!$A:$A,0),MATCH($E243,'Data_SA'!$1:$1,0)),""))</f>
        <v/>
      </c>
      <c r="W243" s="7">
        <f>IF($E243="","",IFERROR(INDEX('Data_SA'!$A:$LO,MATCH(U$2,'Data_SA'!$A:$A,0),MATCH($E243,'Data_SA'!$1:$1,0))/INDEX('Data_SA'!$A:$LO,MATCH(EDATE(U$2,-1),'Data_SA'!$A:$A,0),MATCH($E243,'Data_SA'!$1:$1,0))-1,""))</f>
        <v/>
      </c>
      <c r="X243" s="7">
        <f>IFERROR(INDEX('Data_NSA'!$A:$OK,MATCH(U$2,'Data_NSA'!$A:$A,0),MATCH($D243,'Data_NSA'!$1:$1,0))/INDEX('Data_NSA'!$A:$OK,MATCH(EDATE(U$2,-12),'Data_NSA'!$A:$A,0),MATCH($D243,'Data_NSA'!$1:$1,0))-1,"")</f>
        <v/>
      </c>
      <c r="Y243" s="10">
        <f>IFERROR(INDEX('Weights'!$G:$I,MATCH($A243,'Weights'!$A:$A,0),MATCH(U$2,'Weights'!$G$1:$I$1,0)),"")</f>
        <v/>
      </c>
      <c r="Z243" s="10">
        <f>IF($E243="","",IFERROR(100*(INDEX('Weights'!$D:$D,MATCH($A243,'Weights'!$A:$A,0))*(INDEX('Data_NSA'!$A:$OK,MATCH(EDATE(U$2,-1),'Data_NSA'!$A:$A,0),MATCH($D243,'Data_NSA'!$1:$1,0))/INDEX('Data_NSA'!$A:$OK,MATCH(INDEX('Weights'!$E:$E,MATCH($A243,'Weights'!$A:$A,0)),'Data_NSA'!$A:$A,0),MATCH($D243,'Data_NSA'!$1:$1,0))))/(100*(INDEX('Data_NSA'!$A:$OK,MATCH(EDATE(U$2,-1),'Data_NSA'!$A:$A,0),MATCH("CUUR0000SA0",'Data_NSA'!$1:$1,0))/INDEX('Data_NSA'!$A:$OK,MATCH(INDEX('Weights'!$E:$E,MATCH($A243,'Weights'!$A:$A,0)),'Data_NSA'!$A:$A,0),MATCH("CUUR0000SA0",'Data_NSA'!$1:$1,0))))*(INDEX('Data_SA'!$A:$LO,MATCH(U$2,'Data_SA'!$A:$A,0),MATCH($E243,'Data_SA'!$1:$1,0))/INDEX('Data_SA'!$A:$LO,MATCH(EDATE(U$2,-1),'Data_SA'!$A:$A,0),MATCH($E243,'Data_SA'!$1:$1,0))-1),""))</f>
        <v/>
      </c>
    </row>
    <row r="244">
      <c r="A244" s="3" t="inlineStr">
        <is>
          <t>SS62011</t>
        </is>
      </c>
      <c r="B244" s="3" t="inlineStr">
        <is>
          <t>Automobile service clubs</t>
        </is>
      </c>
      <c r="C244" s="3" t="inlineStr">
        <is>
          <t>SETF03</t>
        </is>
      </c>
      <c r="D244" s="3" t="inlineStr">
        <is>
          <t>CUUR0000SS62011</t>
        </is>
      </c>
      <c r="E244" s="3" t="inlineStr"/>
      <c r="F244" s="3" t="inlineStr">
        <is>
          <t>GM</t>
        </is>
      </c>
      <c r="G244" s="3" t="inlineStr">
        <is>
          <t>monthly in New York/Los Angeles/Chicago; often bimonthly elsewhere</t>
        </is>
      </c>
      <c r="H244" s="10">
        <f>IFERROR(INDEX(Weights!$D:$D,MATCH($A244,Weights!$A:$A,0)),"")</f>
        <v/>
      </c>
      <c r="I244" s="10">
        <f>IFERROR(INDEX('Data_NSA'!$A:$OK,MATCH(I$2,'Data_NSA'!$A:$A,0),MATCH($D244,'Data_NSA'!$1:$1,0)),"")</f>
        <v/>
      </c>
      <c r="J244" s="10">
        <f>IF($E244="","",IFERROR(INDEX('Data_SA'!$A:$LO,MATCH(I$2,'Data_SA'!$A:$A,0),MATCH($E244,'Data_SA'!$1:$1,0)),""))</f>
        <v/>
      </c>
      <c r="K244" s="7">
        <f>IF($E244="","",IFERROR(INDEX('Data_SA'!$A:$LO,MATCH(I$2,'Data_SA'!$A:$A,0),MATCH($E244,'Data_SA'!$1:$1,0))/INDEX('Data_SA'!$A:$LO,MATCH(EDATE(I$2,-1),'Data_SA'!$A:$A,0),MATCH($E244,'Data_SA'!$1:$1,0))-1,""))</f>
        <v/>
      </c>
      <c r="L244" s="7">
        <f>IFERROR(INDEX('Data_NSA'!$A:$OK,MATCH(I$2,'Data_NSA'!$A:$A,0),MATCH($D244,'Data_NSA'!$1:$1,0))/INDEX('Data_NSA'!$A:$OK,MATCH(EDATE(I$2,-12),'Data_NSA'!$A:$A,0),MATCH($D244,'Data_NSA'!$1:$1,0))-1,"")</f>
        <v/>
      </c>
      <c r="M244" s="10">
        <f>IFERROR(INDEX('Weights'!$G:$I,MATCH($A244,'Weights'!$A:$A,0),MATCH(I$2,'Weights'!$G$1:$I$1,0)),"")</f>
        <v/>
      </c>
      <c r="N244" s="10">
        <f>IF($E244="","",IFERROR(100*(INDEX('Weights'!$D:$D,MATCH($A244,'Weights'!$A:$A,0))*(INDEX('Data_NSA'!$A:$OK,MATCH(EDATE(I$2,-1),'Data_NSA'!$A:$A,0),MATCH($D244,'Data_NSA'!$1:$1,0))/INDEX('Data_NSA'!$A:$OK,MATCH(INDEX('Weights'!$E:$E,MATCH($A244,'Weights'!$A:$A,0)),'Data_NSA'!$A:$A,0),MATCH($D244,'Data_NSA'!$1:$1,0))))/(100*(INDEX('Data_NSA'!$A:$OK,MATCH(EDATE(I$2,-1),'Data_NSA'!$A:$A,0),MATCH("CUUR0000SA0",'Data_NSA'!$1:$1,0))/INDEX('Data_NSA'!$A:$OK,MATCH(INDEX('Weights'!$E:$E,MATCH($A244,'Weights'!$A:$A,0)),'Data_NSA'!$A:$A,0),MATCH("CUUR0000SA0",'Data_NSA'!$1:$1,0))))*(INDEX('Data_SA'!$A:$LO,MATCH(I$2,'Data_SA'!$A:$A,0),MATCH($E244,'Data_SA'!$1:$1,0))/INDEX('Data_SA'!$A:$LO,MATCH(EDATE(I$2,-1),'Data_SA'!$A:$A,0),MATCH($E244,'Data_SA'!$1:$1,0))-1),""))</f>
        <v/>
      </c>
      <c r="O244" s="10">
        <f>IFERROR(INDEX('Data_NSA'!$A:$OK,MATCH(O$2,'Data_NSA'!$A:$A,0),MATCH($D244,'Data_NSA'!$1:$1,0)),"")</f>
        <v/>
      </c>
      <c r="P244" s="10">
        <f>IF($E244="","",IFERROR(INDEX('Data_SA'!$A:$LO,MATCH(O$2,'Data_SA'!$A:$A,0),MATCH($E244,'Data_SA'!$1:$1,0)),""))</f>
        <v/>
      </c>
      <c r="Q244" s="7">
        <f>IF($E244="","",IFERROR(INDEX('Data_SA'!$A:$LO,MATCH(O$2,'Data_SA'!$A:$A,0),MATCH($E244,'Data_SA'!$1:$1,0))/INDEX('Data_SA'!$A:$LO,MATCH(EDATE(O$2,-1),'Data_SA'!$A:$A,0),MATCH($E244,'Data_SA'!$1:$1,0))-1,""))</f>
        <v/>
      </c>
      <c r="R244" s="7">
        <f>IFERROR(INDEX('Data_NSA'!$A:$OK,MATCH(O$2,'Data_NSA'!$A:$A,0),MATCH($D244,'Data_NSA'!$1:$1,0))/INDEX('Data_NSA'!$A:$OK,MATCH(EDATE(O$2,-12),'Data_NSA'!$A:$A,0),MATCH($D244,'Data_NSA'!$1:$1,0))-1,"")</f>
        <v/>
      </c>
      <c r="S244" s="10">
        <f>IFERROR(INDEX('Weights'!$G:$I,MATCH($A244,'Weights'!$A:$A,0),MATCH(O$2,'Weights'!$G$1:$I$1,0)),"")</f>
        <v/>
      </c>
      <c r="T244" s="10">
        <f>IF($E244="","",IFERROR(100*(INDEX('Weights'!$D:$D,MATCH($A244,'Weights'!$A:$A,0))*(INDEX('Data_NSA'!$A:$OK,MATCH(EDATE(O$2,-1),'Data_NSA'!$A:$A,0),MATCH($D244,'Data_NSA'!$1:$1,0))/INDEX('Data_NSA'!$A:$OK,MATCH(INDEX('Weights'!$E:$E,MATCH($A244,'Weights'!$A:$A,0)),'Data_NSA'!$A:$A,0),MATCH($D244,'Data_NSA'!$1:$1,0))))/(100*(INDEX('Data_NSA'!$A:$OK,MATCH(EDATE(O$2,-1),'Data_NSA'!$A:$A,0),MATCH("CUUR0000SA0",'Data_NSA'!$1:$1,0))/INDEX('Data_NSA'!$A:$OK,MATCH(INDEX('Weights'!$E:$E,MATCH($A244,'Weights'!$A:$A,0)),'Data_NSA'!$A:$A,0),MATCH("CUUR0000SA0",'Data_NSA'!$1:$1,0))))*(INDEX('Data_SA'!$A:$LO,MATCH(O$2,'Data_SA'!$A:$A,0),MATCH($E244,'Data_SA'!$1:$1,0))/INDEX('Data_SA'!$A:$LO,MATCH(EDATE(O$2,-1),'Data_SA'!$A:$A,0),MATCH($E244,'Data_SA'!$1:$1,0))-1),""))</f>
        <v/>
      </c>
      <c r="U244" s="10">
        <f>IFERROR(INDEX('Data_NSA'!$A:$OK,MATCH(U$2,'Data_NSA'!$A:$A,0),MATCH($D244,'Data_NSA'!$1:$1,0)),"")</f>
        <v/>
      </c>
      <c r="V244" s="10">
        <f>IF($E244="","",IFERROR(INDEX('Data_SA'!$A:$LO,MATCH(U$2,'Data_SA'!$A:$A,0),MATCH($E244,'Data_SA'!$1:$1,0)),""))</f>
        <v/>
      </c>
      <c r="W244" s="7">
        <f>IF($E244="","",IFERROR(INDEX('Data_SA'!$A:$LO,MATCH(U$2,'Data_SA'!$A:$A,0),MATCH($E244,'Data_SA'!$1:$1,0))/INDEX('Data_SA'!$A:$LO,MATCH(EDATE(U$2,-1),'Data_SA'!$A:$A,0),MATCH($E244,'Data_SA'!$1:$1,0))-1,""))</f>
        <v/>
      </c>
      <c r="X244" s="7">
        <f>IFERROR(INDEX('Data_NSA'!$A:$OK,MATCH(U$2,'Data_NSA'!$A:$A,0),MATCH($D244,'Data_NSA'!$1:$1,0))/INDEX('Data_NSA'!$A:$OK,MATCH(EDATE(U$2,-12),'Data_NSA'!$A:$A,0),MATCH($D244,'Data_NSA'!$1:$1,0))-1,"")</f>
        <v/>
      </c>
      <c r="Y244" s="10">
        <f>IFERROR(INDEX('Weights'!$G:$I,MATCH($A244,'Weights'!$A:$A,0),MATCH(U$2,'Weights'!$G$1:$I$1,0)),"")</f>
        <v/>
      </c>
      <c r="Z244" s="10">
        <f>IF($E244="","",IFERROR(100*(INDEX('Weights'!$D:$D,MATCH($A244,'Weights'!$A:$A,0))*(INDEX('Data_NSA'!$A:$OK,MATCH(EDATE(U$2,-1),'Data_NSA'!$A:$A,0),MATCH($D244,'Data_NSA'!$1:$1,0))/INDEX('Data_NSA'!$A:$OK,MATCH(INDEX('Weights'!$E:$E,MATCH($A244,'Weights'!$A:$A,0)),'Data_NSA'!$A:$A,0),MATCH($D244,'Data_NSA'!$1:$1,0))))/(100*(INDEX('Data_NSA'!$A:$OK,MATCH(EDATE(U$2,-1),'Data_NSA'!$A:$A,0),MATCH("CUUR0000SA0",'Data_NSA'!$1:$1,0))/INDEX('Data_NSA'!$A:$OK,MATCH(INDEX('Weights'!$E:$E,MATCH($A244,'Weights'!$A:$A,0)),'Data_NSA'!$A:$A,0),MATCH("CUUR0000SA0",'Data_NSA'!$1:$1,0))))*(INDEX('Data_SA'!$A:$LO,MATCH(U$2,'Data_SA'!$A:$A,0),MATCH($E244,'Data_SA'!$1:$1,0))/INDEX('Data_SA'!$A:$LO,MATCH(EDATE(U$2,-1),'Data_SA'!$A:$A,0),MATCH($E244,'Data_SA'!$1:$1,0))-1),""))</f>
        <v/>
      </c>
    </row>
    <row r="245">
      <c r="A245" s="3" t="inlineStr">
        <is>
          <t>SETG</t>
        </is>
      </c>
      <c r="B245" s="3" t="inlineStr">
        <is>
          <t>Public transportation</t>
        </is>
      </c>
      <c r="C245" s="3" t="inlineStr">
        <is>
          <t>SAT</t>
        </is>
      </c>
      <c r="D245" s="3" t="inlineStr">
        <is>
          <t>CUUR0000SETG</t>
        </is>
      </c>
      <c r="E245" s="3" t="inlineStr">
        <is>
          <t>CUSR0000SETG</t>
        </is>
      </c>
      <c r="F245" s="3" t="inlineStr">
        <is>
          <t>aggregate</t>
        </is>
      </c>
      <c r="G245" s="3" t="inlineStr">
        <is>
          <t>aggregate</t>
        </is>
      </c>
      <c r="H245" s="10">
        <f>IFERROR(INDEX(Weights!$D:$D,MATCH($A245,Weights!$A:$A,0)),"")</f>
        <v/>
      </c>
      <c r="I245" s="10">
        <f>IFERROR(INDEX('Data_NSA'!$A:$OK,MATCH(I$2,'Data_NSA'!$A:$A,0),MATCH($D245,'Data_NSA'!$1:$1,0)),"")</f>
        <v/>
      </c>
      <c r="J245" s="10">
        <f>IF($E245="","",IFERROR(INDEX('Data_SA'!$A:$LO,MATCH(I$2,'Data_SA'!$A:$A,0),MATCH($E245,'Data_SA'!$1:$1,0)),""))</f>
        <v/>
      </c>
      <c r="K245" s="7">
        <f>IF($E245="","",IFERROR(INDEX('Data_SA'!$A:$LO,MATCH(I$2,'Data_SA'!$A:$A,0),MATCH($E245,'Data_SA'!$1:$1,0))/INDEX('Data_SA'!$A:$LO,MATCH(EDATE(I$2,-1),'Data_SA'!$A:$A,0),MATCH($E245,'Data_SA'!$1:$1,0))-1,""))</f>
        <v/>
      </c>
      <c r="L245" s="7">
        <f>IFERROR(INDEX('Data_NSA'!$A:$OK,MATCH(I$2,'Data_NSA'!$A:$A,0),MATCH($D245,'Data_NSA'!$1:$1,0))/INDEX('Data_NSA'!$A:$OK,MATCH(EDATE(I$2,-12),'Data_NSA'!$A:$A,0),MATCH($D245,'Data_NSA'!$1:$1,0))-1,"")</f>
        <v/>
      </c>
      <c r="M245" s="10">
        <f>IFERROR(INDEX('Weights'!$G:$I,MATCH($A245,'Weights'!$A:$A,0),MATCH(I$2,'Weights'!$G$1:$I$1,0)),"")</f>
        <v/>
      </c>
      <c r="N245" s="10">
        <f>IF($E245="","",IFERROR(100*(INDEX('Weights'!$D:$D,MATCH($A245,'Weights'!$A:$A,0))*(INDEX('Data_NSA'!$A:$OK,MATCH(EDATE(I$2,-1),'Data_NSA'!$A:$A,0),MATCH($D245,'Data_NSA'!$1:$1,0))/INDEX('Data_NSA'!$A:$OK,MATCH(INDEX('Weights'!$E:$E,MATCH($A245,'Weights'!$A:$A,0)),'Data_NSA'!$A:$A,0),MATCH($D245,'Data_NSA'!$1:$1,0))))/(100*(INDEX('Data_NSA'!$A:$OK,MATCH(EDATE(I$2,-1),'Data_NSA'!$A:$A,0),MATCH("CUUR0000SA0",'Data_NSA'!$1:$1,0))/INDEX('Data_NSA'!$A:$OK,MATCH(INDEX('Weights'!$E:$E,MATCH($A245,'Weights'!$A:$A,0)),'Data_NSA'!$A:$A,0),MATCH("CUUR0000SA0",'Data_NSA'!$1:$1,0))))*(INDEX('Data_SA'!$A:$LO,MATCH(I$2,'Data_SA'!$A:$A,0),MATCH($E245,'Data_SA'!$1:$1,0))/INDEX('Data_SA'!$A:$LO,MATCH(EDATE(I$2,-1),'Data_SA'!$A:$A,0),MATCH($E245,'Data_SA'!$1:$1,0))-1),""))</f>
        <v/>
      </c>
      <c r="O245" s="10">
        <f>IFERROR(INDEX('Data_NSA'!$A:$OK,MATCH(O$2,'Data_NSA'!$A:$A,0),MATCH($D245,'Data_NSA'!$1:$1,0)),"")</f>
        <v/>
      </c>
      <c r="P245" s="10">
        <f>IF($E245="","",IFERROR(INDEX('Data_SA'!$A:$LO,MATCH(O$2,'Data_SA'!$A:$A,0),MATCH($E245,'Data_SA'!$1:$1,0)),""))</f>
        <v/>
      </c>
      <c r="Q245" s="7">
        <f>IF($E245="","",IFERROR(INDEX('Data_SA'!$A:$LO,MATCH(O$2,'Data_SA'!$A:$A,0),MATCH($E245,'Data_SA'!$1:$1,0))/INDEX('Data_SA'!$A:$LO,MATCH(EDATE(O$2,-1),'Data_SA'!$A:$A,0),MATCH($E245,'Data_SA'!$1:$1,0))-1,""))</f>
        <v/>
      </c>
      <c r="R245" s="7">
        <f>IFERROR(INDEX('Data_NSA'!$A:$OK,MATCH(O$2,'Data_NSA'!$A:$A,0),MATCH($D245,'Data_NSA'!$1:$1,0))/INDEX('Data_NSA'!$A:$OK,MATCH(EDATE(O$2,-12),'Data_NSA'!$A:$A,0),MATCH($D245,'Data_NSA'!$1:$1,0))-1,"")</f>
        <v/>
      </c>
      <c r="S245" s="10">
        <f>IFERROR(INDEX('Weights'!$G:$I,MATCH($A245,'Weights'!$A:$A,0),MATCH(O$2,'Weights'!$G$1:$I$1,0)),"")</f>
        <v/>
      </c>
      <c r="T245" s="10">
        <f>IF($E245="","",IFERROR(100*(INDEX('Weights'!$D:$D,MATCH($A245,'Weights'!$A:$A,0))*(INDEX('Data_NSA'!$A:$OK,MATCH(EDATE(O$2,-1),'Data_NSA'!$A:$A,0),MATCH($D245,'Data_NSA'!$1:$1,0))/INDEX('Data_NSA'!$A:$OK,MATCH(INDEX('Weights'!$E:$E,MATCH($A245,'Weights'!$A:$A,0)),'Data_NSA'!$A:$A,0),MATCH($D245,'Data_NSA'!$1:$1,0))))/(100*(INDEX('Data_NSA'!$A:$OK,MATCH(EDATE(O$2,-1),'Data_NSA'!$A:$A,0),MATCH("CUUR0000SA0",'Data_NSA'!$1:$1,0))/INDEX('Data_NSA'!$A:$OK,MATCH(INDEX('Weights'!$E:$E,MATCH($A245,'Weights'!$A:$A,0)),'Data_NSA'!$A:$A,0),MATCH("CUUR0000SA0",'Data_NSA'!$1:$1,0))))*(INDEX('Data_SA'!$A:$LO,MATCH(O$2,'Data_SA'!$A:$A,0),MATCH($E245,'Data_SA'!$1:$1,0))/INDEX('Data_SA'!$A:$LO,MATCH(EDATE(O$2,-1),'Data_SA'!$A:$A,0),MATCH($E245,'Data_SA'!$1:$1,0))-1),""))</f>
        <v/>
      </c>
      <c r="U245" s="10">
        <f>IFERROR(INDEX('Data_NSA'!$A:$OK,MATCH(U$2,'Data_NSA'!$A:$A,0),MATCH($D245,'Data_NSA'!$1:$1,0)),"")</f>
        <v/>
      </c>
      <c r="V245" s="10">
        <f>IF($E245="","",IFERROR(INDEX('Data_SA'!$A:$LO,MATCH(U$2,'Data_SA'!$A:$A,0),MATCH($E245,'Data_SA'!$1:$1,0)),""))</f>
        <v/>
      </c>
      <c r="W245" s="7">
        <f>IF($E245="","",IFERROR(INDEX('Data_SA'!$A:$LO,MATCH(U$2,'Data_SA'!$A:$A,0),MATCH($E245,'Data_SA'!$1:$1,0))/INDEX('Data_SA'!$A:$LO,MATCH(EDATE(U$2,-1),'Data_SA'!$A:$A,0),MATCH($E245,'Data_SA'!$1:$1,0))-1,""))</f>
        <v/>
      </c>
      <c r="X245" s="7">
        <f>IFERROR(INDEX('Data_NSA'!$A:$OK,MATCH(U$2,'Data_NSA'!$A:$A,0),MATCH($D245,'Data_NSA'!$1:$1,0))/INDEX('Data_NSA'!$A:$OK,MATCH(EDATE(U$2,-12),'Data_NSA'!$A:$A,0),MATCH($D245,'Data_NSA'!$1:$1,0))-1,"")</f>
        <v/>
      </c>
      <c r="Y245" s="10">
        <f>IFERROR(INDEX('Weights'!$G:$I,MATCH($A245,'Weights'!$A:$A,0),MATCH(U$2,'Weights'!$G$1:$I$1,0)),"")</f>
        <v/>
      </c>
      <c r="Z245" s="10">
        <f>IF($E245="","",IFERROR(100*(INDEX('Weights'!$D:$D,MATCH($A245,'Weights'!$A:$A,0))*(INDEX('Data_NSA'!$A:$OK,MATCH(EDATE(U$2,-1),'Data_NSA'!$A:$A,0),MATCH($D245,'Data_NSA'!$1:$1,0))/INDEX('Data_NSA'!$A:$OK,MATCH(INDEX('Weights'!$E:$E,MATCH($A245,'Weights'!$A:$A,0)),'Data_NSA'!$A:$A,0),MATCH($D245,'Data_NSA'!$1:$1,0))))/(100*(INDEX('Data_NSA'!$A:$OK,MATCH(EDATE(U$2,-1),'Data_NSA'!$A:$A,0),MATCH("CUUR0000SA0",'Data_NSA'!$1:$1,0))/INDEX('Data_NSA'!$A:$OK,MATCH(INDEX('Weights'!$E:$E,MATCH($A245,'Weights'!$A:$A,0)),'Data_NSA'!$A:$A,0),MATCH("CUUR0000SA0",'Data_NSA'!$1:$1,0))))*(INDEX('Data_SA'!$A:$LO,MATCH(U$2,'Data_SA'!$A:$A,0),MATCH($E245,'Data_SA'!$1:$1,0))/INDEX('Data_SA'!$A:$LO,MATCH(EDATE(U$2,-1),'Data_SA'!$A:$A,0),MATCH($E245,'Data_SA'!$1:$1,0))-1),""))</f>
        <v/>
      </c>
    </row>
    <row r="246">
      <c r="A246" s="3" t="inlineStr">
        <is>
          <t>SETG01</t>
        </is>
      </c>
      <c r="B246" s="3" t="inlineStr">
        <is>
          <t>Airline fares</t>
        </is>
      </c>
      <c r="C246" s="3" t="inlineStr">
        <is>
          <t>SETG</t>
        </is>
      </c>
      <c r="D246" s="3" t="inlineStr">
        <is>
          <t>CUUR0000SETG01</t>
        </is>
      </c>
      <c r="E246" s="3" t="inlineStr">
        <is>
          <t>CUSR0000SETG01</t>
        </is>
      </c>
      <c r="F246" s="3" t="inlineStr">
        <is>
          <t>GM</t>
        </is>
      </c>
      <c r="G246" s="3" t="inlineStr">
        <is>
          <t>verify current source on BLS factsheet</t>
        </is>
      </c>
      <c r="H246" s="10">
        <f>IFERROR(INDEX(Weights!$D:$D,MATCH($A246,Weights!$A:$A,0)),"")</f>
        <v/>
      </c>
      <c r="I246" s="10">
        <f>IFERROR(INDEX('Data_NSA'!$A:$OK,MATCH(I$2,'Data_NSA'!$A:$A,0),MATCH($D246,'Data_NSA'!$1:$1,0)),"")</f>
        <v/>
      </c>
      <c r="J246" s="10">
        <f>IF($E246="","",IFERROR(INDEX('Data_SA'!$A:$LO,MATCH(I$2,'Data_SA'!$A:$A,0),MATCH($E246,'Data_SA'!$1:$1,0)),""))</f>
        <v/>
      </c>
      <c r="K246" s="7">
        <f>IF($E246="","",IFERROR(INDEX('Data_SA'!$A:$LO,MATCH(I$2,'Data_SA'!$A:$A,0),MATCH($E246,'Data_SA'!$1:$1,0))/INDEX('Data_SA'!$A:$LO,MATCH(EDATE(I$2,-1),'Data_SA'!$A:$A,0),MATCH($E246,'Data_SA'!$1:$1,0))-1,""))</f>
        <v/>
      </c>
      <c r="L246" s="7">
        <f>IFERROR(INDEX('Data_NSA'!$A:$OK,MATCH(I$2,'Data_NSA'!$A:$A,0),MATCH($D246,'Data_NSA'!$1:$1,0))/INDEX('Data_NSA'!$A:$OK,MATCH(EDATE(I$2,-12),'Data_NSA'!$A:$A,0),MATCH($D246,'Data_NSA'!$1:$1,0))-1,"")</f>
        <v/>
      </c>
      <c r="M246" s="10">
        <f>IFERROR(INDEX('Weights'!$G:$I,MATCH($A246,'Weights'!$A:$A,0),MATCH(I$2,'Weights'!$G$1:$I$1,0)),"")</f>
        <v/>
      </c>
      <c r="N246" s="10">
        <f>IF($E246="","",IFERROR(100*(INDEX('Weights'!$D:$D,MATCH($A246,'Weights'!$A:$A,0))*(INDEX('Data_NSA'!$A:$OK,MATCH(EDATE(I$2,-1),'Data_NSA'!$A:$A,0),MATCH($D246,'Data_NSA'!$1:$1,0))/INDEX('Data_NSA'!$A:$OK,MATCH(INDEX('Weights'!$E:$E,MATCH($A246,'Weights'!$A:$A,0)),'Data_NSA'!$A:$A,0),MATCH($D246,'Data_NSA'!$1:$1,0))))/(100*(INDEX('Data_NSA'!$A:$OK,MATCH(EDATE(I$2,-1),'Data_NSA'!$A:$A,0),MATCH("CUUR0000SA0",'Data_NSA'!$1:$1,0))/INDEX('Data_NSA'!$A:$OK,MATCH(INDEX('Weights'!$E:$E,MATCH($A246,'Weights'!$A:$A,0)),'Data_NSA'!$A:$A,0),MATCH("CUUR0000SA0",'Data_NSA'!$1:$1,0))))*(INDEX('Data_SA'!$A:$LO,MATCH(I$2,'Data_SA'!$A:$A,0),MATCH($E246,'Data_SA'!$1:$1,0))/INDEX('Data_SA'!$A:$LO,MATCH(EDATE(I$2,-1),'Data_SA'!$A:$A,0),MATCH($E246,'Data_SA'!$1:$1,0))-1),""))</f>
        <v/>
      </c>
      <c r="O246" s="10">
        <f>IFERROR(INDEX('Data_NSA'!$A:$OK,MATCH(O$2,'Data_NSA'!$A:$A,0),MATCH($D246,'Data_NSA'!$1:$1,0)),"")</f>
        <v/>
      </c>
      <c r="P246" s="10">
        <f>IF($E246="","",IFERROR(INDEX('Data_SA'!$A:$LO,MATCH(O$2,'Data_SA'!$A:$A,0),MATCH($E246,'Data_SA'!$1:$1,0)),""))</f>
        <v/>
      </c>
      <c r="Q246" s="7">
        <f>IF($E246="","",IFERROR(INDEX('Data_SA'!$A:$LO,MATCH(O$2,'Data_SA'!$A:$A,0),MATCH($E246,'Data_SA'!$1:$1,0))/INDEX('Data_SA'!$A:$LO,MATCH(EDATE(O$2,-1),'Data_SA'!$A:$A,0),MATCH($E246,'Data_SA'!$1:$1,0))-1,""))</f>
        <v/>
      </c>
      <c r="R246" s="7">
        <f>IFERROR(INDEX('Data_NSA'!$A:$OK,MATCH(O$2,'Data_NSA'!$A:$A,0),MATCH($D246,'Data_NSA'!$1:$1,0))/INDEX('Data_NSA'!$A:$OK,MATCH(EDATE(O$2,-12),'Data_NSA'!$A:$A,0),MATCH($D246,'Data_NSA'!$1:$1,0))-1,"")</f>
        <v/>
      </c>
      <c r="S246" s="10">
        <f>IFERROR(INDEX('Weights'!$G:$I,MATCH($A246,'Weights'!$A:$A,0),MATCH(O$2,'Weights'!$G$1:$I$1,0)),"")</f>
        <v/>
      </c>
      <c r="T246" s="10">
        <f>IF($E246="","",IFERROR(100*(INDEX('Weights'!$D:$D,MATCH($A246,'Weights'!$A:$A,0))*(INDEX('Data_NSA'!$A:$OK,MATCH(EDATE(O$2,-1),'Data_NSA'!$A:$A,0),MATCH($D246,'Data_NSA'!$1:$1,0))/INDEX('Data_NSA'!$A:$OK,MATCH(INDEX('Weights'!$E:$E,MATCH($A246,'Weights'!$A:$A,0)),'Data_NSA'!$A:$A,0),MATCH($D246,'Data_NSA'!$1:$1,0))))/(100*(INDEX('Data_NSA'!$A:$OK,MATCH(EDATE(O$2,-1),'Data_NSA'!$A:$A,0),MATCH("CUUR0000SA0",'Data_NSA'!$1:$1,0))/INDEX('Data_NSA'!$A:$OK,MATCH(INDEX('Weights'!$E:$E,MATCH($A246,'Weights'!$A:$A,0)),'Data_NSA'!$A:$A,0),MATCH("CUUR0000SA0",'Data_NSA'!$1:$1,0))))*(INDEX('Data_SA'!$A:$LO,MATCH(O$2,'Data_SA'!$A:$A,0),MATCH($E246,'Data_SA'!$1:$1,0))/INDEX('Data_SA'!$A:$LO,MATCH(EDATE(O$2,-1),'Data_SA'!$A:$A,0),MATCH($E246,'Data_SA'!$1:$1,0))-1),""))</f>
        <v/>
      </c>
      <c r="U246" s="10">
        <f>IFERROR(INDEX('Data_NSA'!$A:$OK,MATCH(U$2,'Data_NSA'!$A:$A,0),MATCH($D246,'Data_NSA'!$1:$1,0)),"")</f>
        <v/>
      </c>
      <c r="V246" s="10">
        <f>IF($E246="","",IFERROR(INDEX('Data_SA'!$A:$LO,MATCH(U$2,'Data_SA'!$A:$A,0),MATCH($E246,'Data_SA'!$1:$1,0)),""))</f>
        <v/>
      </c>
      <c r="W246" s="7">
        <f>IF($E246="","",IFERROR(INDEX('Data_SA'!$A:$LO,MATCH(U$2,'Data_SA'!$A:$A,0),MATCH($E246,'Data_SA'!$1:$1,0))/INDEX('Data_SA'!$A:$LO,MATCH(EDATE(U$2,-1),'Data_SA'!$A:$A,0),MATCH($E246,'Data_SA'!$1:$1,0))-1,""))</f>
        <v/>
      </c>
      <c r="X246" s="7">
        <f>IFERROR(INDEX('Data_NSA'!$A:$OK,MATCH(U$2,'Data_NSA'!$A:$A,0),MATCH($D246,'Data_NSA'!$1:$1,0))/INDEX('Data_NSA'!$A:$OK,MATCH(EDATE(U$2,-12),'Data_NSA'!$A:$A,0),MATCH($D246,'Data_NSA'!$1:$1,0))-1,"")</f>
        <v/>
      </c>
      <c r="Y246" s="10">
        <f>IFERROR(INDEX('Weights'!$G:$I,MATCH($A246,'Weights'!$A:$A,0),MATCH(U$2,'Weights'!$G$1:$I$1,0)),"")</f>
        <v/>
      </c>
      <c r="Z246" s="10">
        <f>IF($E246="","",IFERROR(100*(INDEX('Weights'!$D:$D,MATCH($A246,'Weights'!$A:$A,0))*(INDEX('Data_NSA'!$A:$OK,MATCH(EDATE(U$2,-1),'Data_NSA'!$A:$A,0),MATCH($D246,'Data_NSA'!$1:$1,0))/INDEX('Data_NSA'!$A:$OK,MATCH(INDEX('Weights'!$E:$E,MATCH($A246,'Weights'!$A:$A,0)),'Data_NSA'!$A:$A,0),MATCH($D246,'Data_NSA'!$1:$1,0))))/(100*(INDEX('Data_NSA'!$A:$OK,MATCH(EDATE(U$2,-1),'Data_NSA'!$A:$A,0),MATCH("CUUR0000SA0",'Data_NSA'!$1:$1,0))/INDEX('Data_NSA'!$A:$OK,MATCH(INDEX('Weights'!$E:$E,MATCH($A246,'Weights'!$A:$A,0)),'Data_NSA'!$A:$A,0),MATCH("CUUR0000SA0",'Data_NSA'!$1:$1,0))))*(INDEX('Data_SA'!$A:$LO,MATCH(U$2,'Data_SA'!$A:$A,0),MATCH($E246,'Data_SA'!$1:$1,0))/INDEX('Data_SA'!$A:$LO,MATCH(EDATE(U$2,-1),'Data_SA'!$A:$A,0),MATCH($E246,'Data_SA'!$1:$1,0))-1),""))</f>
        <v/>
      </c>
    </row>
    <row r="247">
      <c r="A247" s="3" t="inlineStr">
        <is>
          <t>SETG02</t>
        </is>
      </c>
      <c r="B247" s="3" t="inlineStr">
        <is>
          <t>Other intercity transportation</t>
        </is>
      </c>
      <c r="C247" s="3" t="inlineStr">
        <is>
          <t>SETG</t>
        </is>
      </c>
      <c r="D247" s="3" t="inlineStr">
        <is>
          <t>CUUR0000SETG02</t>
        </is>
      </c>
      <c r="E247" s="3" t="inlineStr">
        <is>
          <t>CUSR0000SETG02</t>
        </is>
      </c>
      <c r="F247" s="3" t="inlineStr">
        <is>
          <t>aggregate</t>
        </is>
      </c>
      <c r="G247" s="3" t="inlineStr">
        <is>
          <t>aggregate</t>
        </is>
      </c>
      <c r="H247" s="10">
        <f>IFERROR(INDEX(Weights!$D:$D,MATCH($A247,Weights!$A:$A,0)),"")</f>
        <v/>
      </c>
      <c r="I247" s="10">
        <f>IFERROR(INDEX('Data_NSA'!$A:$OK,MATCH(I$2,'Data_NSA'!$A:$A,0),MATCH($D247,'Data_NSA'!$1:$1,0)),"")</f>
        <v/>
      </c>
      <c r="J247" s="10">
        <f>IF($E247="","",IFERROR(INDEX('Data_SA'!$A:$LO,MATCH(I$2,'Data_SA'!$A:$A,0),MATCH($E247,'Data_SA'!$1:$1,0)),""))</f>
        <v/>
      </c>
      <c r="K247" s="7">
        <f>IF($E247="","",IFERROR(INDEX('Data_SA'!$A:$LO,MATCH(I$2,'Data_SA'!$A:$A,0),MATCH($E247,'Data_SA'!$1:$1,0))/INDEX('Data_SA'!$A:$LO,MATCH(EDATE(I$2,-1),'Data_SA'!$A:$A,0),MATCH($E247,'Data_SA'!$1:$1,0))-1,""))</f>
        <v/>
      </c>
      <c r="L247" s="7">
        <f>IFERROR(INDEX('Data_NSA'!$A:$OK,MATCH(I$2,'Data_NSA'!$A:$A,0),MATCH($D247,'Data_NSA'!$1:$1,0))/INDEX('Data_NSA'!$A:$OK,MATCH(EDATE(I$2,-12),'Data_NSA'!$A:$A,0),MATCH($D247,'Data_NSA'!$1:$1,0))-1,"")</f>
        <v/>
      </c>
      <c r="M247" s="10">
        <f>IFERROR(INDEX('Weights'!$G:$I,MATCH($A247,'Weights'!$A:$A,0),MATCH(I$2,'Weights'!$G$1:$I$1,0)),"")</f>
        <v/>
      </c>
      <c r="N247" s="10">
        <f>IF($E247="","",IFERROR(100*(INDEX('Weights'!$D:$D,MATCH($A247,'Weights'!$A:$A,0))*(INDEX('Data_NSA'!$A:$OK,MATCH(EDATE(I$2,-1),'Data_NSA'!$A:$A,0),MATCH($D247,'Data_NSA'!$1:$1,0))/INDEX('Data_NSA'!$A:$OK,MATCH(INDEX('Weights'!$E:$E,MATCH($A247,'Weights'!$A:$A,0)),'Data_NSA'!$A:$A,0),MATCH($D247,'Data_NSA'!$1:$1,0))))/(100*(INDEX('Data_NSA'!$A:$OK,MATCH(EDATE(I$2,-1),'Data_NSA'!$A:$A,0),MATCH("CUUR0000SA0",'Data_NSA'!$1:$1,0))/INDEX('Data_NSA'!$A:$OK,MATCH(INDEX('Weights'!$E:$E,MATCH($A247,'Weights'!$A:$A,0)),'Data_NSA'!$A:$A,0),MATCH("CUUR0000SA0",'Data_NSA'!$1:$1,0))))*(INDEX('Data_SA'!$A:$LO,MATCH(I$2,'Data_SA'!$A:$A,0),MATCH($E247,'Data_SA'!$1:$1,0))/INDEX('Data_SA'!$A:$LO,MATCH(EDATE(I$2,-1),'Data_SA'!$A:$A,0),MATCH($E247,'Data_SA'!$1:$1,0))-1),""))</f>
        <v/>
      </c>
      <c r="O247" s="10">
        <f>IFERROR(INDEX('Data_NSA'!$A:$OK,MATCH(O$2,'Data_NSA'!$A:$A,0),MATCH($D247,'Data_NSA'!$1:$1,0)),"")</f>
        <v/>
      </c>
      <c r="P247" s="10">
        <f>IF($E247="","",IFERROR(INDEX('Data_SA'!$A:$LO,MATCH(O$2,'Data_SA'!$A:$A,0),MATCH($E247,'Data_SA'!$1:$1,0)),""))</f>
        <v/>
      </c>
      <c r="Q247" s="7">
        <f>IF($E247="","",IFERROR(INDEX('Data_SA'!$A:$LO,MATCH(O$2,'Data_SA'!$A:$A,0),MATCH($E247,'Data_SA'!$1:$1,0))/INDEX('Data_SA'!$A:$LO,MATCH(EDATE(O$2,-1),'Data_SA'!$A:$A,0),MATCH($E247,'Data_SA'!$1:$1,0))-1,""))</f>
        <v/>
      </c>
      <c r="R247" s="7">
        <f>IFERROR(INDEX('Data_NSA'!$A:$OK,MATCH(O$2,'Data_NSA'!$A:$A,0),MATCH($D247,'Data_NSA'!$1:$1,0))/INDEX('Data_NSA'!$A:$OK,MATCH(EDATE(O$2,-12),'Data_NSA'!$A:$A,0),MATCH($D247,'Data_NSA'!$1:$1,0))-1,"")</f>
        <v/>
      </c>
      <c r="S247" s="10">
        <f>IFERROR(INDEX('Weights'!$G:$I,MATCH($A247,'Weights'!$A:$A,0),MATCH(O$2,'Weights'!$G$1:$I$1,0)),"")</f>
        <v/>
      </c>
      <c r="T247" s="10">
        <f>IF($E247="","",IFERROR(100*(INDEX('Weights'!$D:$D,MATCH($A247,'Weights'!$A:$A,0))*(INDEX('Data_NSA'!$A:$OK,MATCH(EDATE(O$2,-1),'Data_NSA'!$A:$A,0),MATCH($D247,'Data_NSA'!$1:$1,0))/INDEX('Data_NSA'!$A:$OK,MATCH(INDEX('Weights'!$E:$E,MATCH($A247,'Weights'!$A:$A,0)),'Data_NSA'!$A:$A,0),MATCH($D247,'Data_NSA'!$1:$1,0))))/(100*(INDEX('Data_NSA'!$A:$OK,MATCH(EDATE(O$2,-1),'Data_NSA'!$A:$A,0),MATCH("CUUR0000SA0",'Data_NSA'!$1:$1,0))/INDEX('Data_NSA'!$A:$OK,MATCH(INDEX('Weights'!$E:$E,MATCH($A247,'Weights'!$A:$A,0)),'Data_NSA'!$A:$A,0),MATCH("CUUR0000SA0",'Data_NSA'!$1:$1,0))))*(INDEX('Data_SA'!$A:$LO,MATCH(O$2,'Data_SA'!$A:$A,0),MATCH($E247,'Data_SA'!$1:$1,0))/INDEX('Data_SA'!$A:$LO,MATCH(EDATE(O$2,-1),'Data_SA'!$A:$A,0),MATCH($E247,'Data_SA'!$1:$1,0))-1),""))</f>
        <v/>
      </c>
      <c r="U247" s="10">
        <f>IFERROR(INDEX('Data_NSA'!$A:$OK,MATCH(U$2,'Data_NSA'!$A:$A,0),MATCH($D247,'Data_NSA'!$1:$1,0)),"")</f>
        <v/>
      </c>
      <c r="V247" s="10">
        <f>IF($E247="","",IFERROR(INDEX('Data_SA'!$A:$LO,MATCH(U$2,'Data_SA'!$A:$A,0),MATCH($E247,'Data_SA'!$1:$1,0)),""))</f>
        <v/>
      </c>
      <c r="W247" s="7">
        <f>IF($E247="","",IFERROR(INDEX('Data_SA'!$A:$LO,MATCH(U$2,'Data_SA'!$A:$A,0),MATCH($E247,'Data_SA'!$1:$1,0))/INDEX('Data_SA'!$A:$LO,MATCH(EDATE(U$2,-1),'Data_SA'!$A:$A,0),MATCH($E247,'Data_SA'!$1:$1,0))-1,""))</f>
        <v/>
      </c>
      <c r="X247" s="7">
        <f>IFERROR(INDEX('Data_NSA'!$A:$OK,MATCH(U$2,'Data_NSA'!$A:$A,0),MATCH($D247,'Data_NSA'!$1:$1,0))/INDEX('Data_NSA'!$A:$OK,MATCH(EDATE(U$2,-12),'Data_NSA'!$A:$A,0),MATCH($D247,'Data_NSA'!$1:$1,0))-1,"")</f>
        <v/>
      </c>
      <c r="Y247" s="10">
        <f>IFERROR(INDEX('Weights'!$G:$I,MATCH($A247,'Weights'!$A:$A,0),MATCH(U$2,'Weights'!$G$1:$I$1,0)),"")</f>
        <v/>
      </c>
      <c r="Z247" s="10">
        <f>IF($E247="","",IFERROR(100*(INDEX('Weights'!$D:$D,MATCH($A247,'Weights'!$A:$A,0))*(INDEX('Data_NSA'!$A:$OK,MATCH(EDATE(U$2,-1),'Data_NSA'!$A:$A,0),MATCH($D247,'Data_NSA'!$1:$1,0))/INDEX('Data_NSA'!$A:$OK,MATCH(INDEX('Weights'!$E:$E,MATCH($A247,'Weights'!$A:$A,0)),'Data_NSA'!$A:$A,0),MATCH($D247,'Data_NSA'!$1:$1,0))))/(100*(INDEX('Data_NSA'!$A:$OK,MATCH(EDATE(U$2,-1),'Data_NSA'!$A:$A,0),MATCH("CUUR0000SA0",'Data_NSA'!$1:$1,0))/INDEX('Data_NSA'!$A:$OK,MATCH(INDEX('Weights'!$E:$E,MATCH($A247,'Weights'!$A:$A,0)),'Data_NSA'!$A:$A,0),MATCH("CUUR0000SA0",'Data_NSA'!$1:$1,0))))*(INDEX('Data_SA'!$A:$LO,MATCH(U$2,'Data_SA'!$A:$A,0),MATCH($E247,'Data_SA'!$1:$1,0))/INDEX('Data_SA'!$A:$LO,MATCH(EDATE(U$2,-1),'Data_SA'!$A:$A,0),MATCH($E247,'Data_SA'!$1:$1,0))-1),""))</f>
        <v/>
      </c>
    </row>
    <row r="248">
      <c r="A248" s="3" t="inlineStr">
        <is>
          <t>SS53021</t>
        </is>
      </c>
      <c r="B248" s="3" t="inlineStr">
        <is>
          <t>Intercity bus fare</t>
        </is>
      </c>
      <c r="C248" s="3" t="inlineStr">
        <is>
          <t>SETG02</t>
        </is>
      </c>
      <c r="D248" s="3" t="inlineStr">
        <is>
          <t>CUUR0000SS53021</t>
        </is>
      </c>
      <c r="E248" s="3" t="inlineStr"/>
      <c r="F248" s="3" t="inlineStr">
        <is>
          <t>GM</t>
        </is>
      </c>
      <c r="G248" s="3" t="inlineStr">
        <is>
          <t>monthly in New York/Los Angeles/Chicago; often bimonthly elsewhere</t>
        </is>
      </c>
      <c r="H248" s="10">
        <f>IFERROR(INDEX(Weights!$D:$D,MATCH($A248,Weights!$A:$A,0)),"")</f>
        <v/>
      </c>
      <c r="I248" s="10">
        <f>IFERROR(INDEX('Data_NSA'!$A:$OK,MATCH(I$2,'Data_NSA'!$A:$A,0),MATCH($D248,'Data_NSA'!$1:$1,0)),"")</f>
        <v/>
      </c>
      <c r="J248" s="10">
        <f>IF($E248="","",IFERROR(INDEX('Data_SA'!$A:$LO,MATCH(I$2,'Data_SA'!$A:$A,0),MATCH($E248,'Data_SA'!$1:$1,0)),""))</f>
        <v/>
      </c>
      <c r="K248" s="7">
        <f>IF($E248="","",IFERROR(INDEX('Data_SA'!$A:$LO,MATCH(I$2,'Data_SA'!$A:$A,0),MATCH($E248,'Data_SA'!$1:$1,0))/INDEX('Data_SA'!$A:$LO,MATCH(EDATE(I$2,-1),'Data_SA'!$A:$A,0),MATCH($E248,'Data_SA'!$1:$1,0))-1,""))</f>
        <v/>
      </c>
      <c r="L248" s="7">
        <f>IFERROR(INDEX('Data_NSA'!$A:$OK,MATCH(I$2,'Data_NSA'!$A:$A,0),MATCH($D248,'Data_NSA'!$1:$1,0))/INDEX('Data_NSA'!$A:$OK,MATCH(EDATE(I$2,-12),'Data_NSA'!$A:$A,0),MATCH($D248,'Data_NSA'!$1:$1,0))-1,"")</f>
        <v/>
      </c>
      <c r="M248" s="10">
        <f>IFERROR(INDEX('Weights'!$G:$I,MATCH($A248,'Weights'!$A:$A,0),MATCH(I$2,'Weights'!$G$1:$I$1,0)),"")</f>
        <v/>
      </c>
      <c r="N248" s="10">
        <f>IF($E248="","",IFERROR(100*(INDEX('Weights'!$D:$D,MATCH($A248,'Weights'!$A:$A,0))*(INDEX('Data_NSA'!$A:$OK,MATCH(EDATE(I$2,-1),'Data_NSA'!$A:$A,0),MATCH($D248,'Data_NSA'!$1:$1,0))/INDEX('Data_NSA'!$A:$OK,MATCH(INDEX('Weights'!$E:$E,MATCH($A248,'Weights'!$A:$A,0)),'Data_NSA'!$A:$A,0),MATCH($D248,'Data_NSA'!$1:$1,0))))/(100*(INDEX('Data_NSA'!$A:$OK,MATCH(EDATE(I$2,-1),'Data_NSA'!$A:$A,0),MATCH("CUUR0000SA0",'Data_NSA'!$1:$1,0))/INDEX('Data_NSA'!$A:$OK,MATCH(INDEX('Weights'!$E:$E,MATCH($A248,'Weights'!$A:$A,0)),'Data_NSA'!$A:$A,0),MATCH("CUUR0000SA0",'Data_NSA'!$1:$1,0))))*(INDEX('Data_SA'!$A:$LO,MATCH(I$2,'Data_SA'!$A:$A,0),MATCH($E248,'Data_SA'!$1:$1,0))/INDEX('Data_SA'!$A:$LO,MATCH(EDATE(I$2,-1),'Data_SA'!$A:$A,0),MATCH($E248,'Data_SA'!$1:$1,0))-1),""))</f>
        <v/>
      </c>
      <c r="O248" s="10">
        <f>IFERROR(INDEX('Data_NSA'!$A:$OK,MATCH(O$2,'Data_NSA'!$A:$A,0),MATCH($D248,'Data_NSA'!$1:$1,0)),"")</f>
        <v/>
      </c>
      <c r="P248" s="10">
        <f>IF($E248="","",IFERROR(INDEX('Data_SA'!$A:$LO,MATCH(O$2,'Data_SA'!$A:$A,0),MATCH($E248,'Data_SA'!$1:$1,0)),""))</f>
        <v/>
      </c>
      <c r="Q248" s="7">
        <f>IF($E248="","",IFERROR(INDEX('Data_SA'!$A:$LO,MATCH(O$2,'Data_SA'!$A:$A,0),MATCH($E248,'Data_SA'!$1:$1,0))/INDEX('Data_SA'!$A:$LO,MATCH(EDATE(O$2,-1),'Data_SA'!$A:$A,0),MATCH($E248,'Data_SA'!$1:$1,0))-1,""))</f>
        <v/>
      </c>
      <c r="R248" s="7">
        <f>IFERROR(INDEX('Data_NSA'!$A:$OK,MATCH(O$2,'Data_NSA'!$A:$A,0),MATCH($D248,'Data_NSA'!$1:$1,0))/INDEX('Data_NSA'!$A:$OK,MATCH(EDATE(O$2,-12),'Data_NSA'!$A:$A,0),MATCH($D248,'Data_NSA'!$1:$1,0))-1,"")</f>
        <v/>
      </c>
      <c r="S248" s="10">
        <f>IFERROR(INDEX('Weights'!$G:$I,MATCH($A248,'Weights'!$A:$A,0),MATCH(O$2,'Weights'!$G$1:$I$1,0)),"")</f>
        <v/>
      </c>
      <c r="T248" s="10">
        <f>IF($E248="","",IFERROR(100*(INDEX('Weights'!$D:$D,MATCH($A248,'Weights'!$A:$A,0))*(INDEX('Data_NSA'!$A:$OK,MATCH(EDATE(O$2,-1),'Data_NSA'!$A:$A,0),MATCH($D248,'Data_NSA'!$1:$1,0))/INDEX('Data_NSA'!$A:$OK,MATCH(INDEX('Weights'!$E:$E,MATCH($A248,'Weights'!$A:$A,0)),'Data_NSA'!$A:$A,0),MATCH($D248,'Data_NSA'!$1:$1,0))))/(100*(INDEX('Data_NSA'!$A:$OK,MATCH(EDATE(O$2,-1),'Data_NSA'!$A:$A,0),MATCH("CUUR0000SA0",'Data_NSA'!$1:$1,0))/INDEX('Data_NSA'!$A:$OK,MATCH(INDEX('Weights'!$E:$E,MATCH($A248,'Weights'!$A:$A,0)),'Data_NSA'!$A:$A,0),MATCH("CUUR0000SA0",'Data_NSA'!$1:$1,0))))*(INDEX('Data_SA'!$A:$LO,MATCH(O$2,'Data_SA'!$A:$A,0),MATCH($E248,'Data_SA'!$1:$1,0))/INDEX('Data_SA'!$A:$LO,MATCH(EDATE(O$2,-1),'Data_SA'!$A:$A,0),MATCH($E248,'Data_SA'!$1:$1,0))-1),""))</f>
        <v/>
      </c>
      <c r="U248" s="10">
        <f>IFERROR(INDEX('Data_NSA'!$A:$OK,MATCH(U$2,'Data_NSA'!$A:$A,0),MATCH($D248,'Data_NSA'!$1:$1,0)),"")</f>
        <v/>
      </c>
      <c r="V248" s="10">
        <f>IF($E248="","",IFERROR(INDEX('Data_SA'!$A:$LO,MATCH(U$2,'Data_SA'!$A:$A,0),MATCH($E248,'Data_SA'!$1:$1,0)),""))</f>
        <v/>
      </c>
      <c r="W248" s="7">
        <f>IF($E248="","",IFERROR(INDEX('Data_SA'!$A:$LO,MATCH(U$2,'Data_SA'!$A:$A,0),MATCH($E248,'Data_SA'!$1:$1,0))/INDEX('Data_SA'!$A:$LO,MATCH(EDATE(U$2,-1),'Data_SA'!$A:$A,0),MATCH($E248,'Data_SA'!$1:$1,0))-1,""))</f>
        <v/>
      </c>
      <c r="X248" s="7">
        <f>IFERROR(INDEX('Data_NSA'!$A:$OK,MATCH(U$2,'Data_NSA'!$A:$A,0),MATCH($D248,'Data_NSA'!$1:$1,0))/INDEX('Data_NSA'!$A:$OK,MATCH(EDATE(U$2,-12),'Data_NSA'!$A:$A,0),MATCH($D248,'Data_NSA'!$1:$1,0))-1,"")</f>
        <v/>
      </c>
      <c r="Y248" s="10">
        <f>IFERROR(INDEX('Weights'!$G:$I,MATCH($A248,'Weights'!$A:$A,0),MATCH(U$2,'Weights'!$G$1:$I$1,0)),"")</f>
        <v/>
      </c>
      <c r="Z248" s="10">
        <f>IF($E248="","",IFERROR(100*(INDEX('Weights'!$D:$D,MATCH($A248,'Weights'!$A:$A,0))*(INDEX('Data_NSA'!$A:$OK,MATCH(EDATE(U$2,-1),'Data_NSA'!$A:$A,0),MATCH($D248,'Data_NSA'!$1:$1,0))/INDEX('Data_NSA'!$A:$OK,MATCH(INDEX('Weights'!$E:$E,MATCH($A248,'Weights'!$A:$A,0)),'Data_NSA'!$A:$A,0),MATCH($D248,'Data_NSA'!$1:$1,0))))/(100*(INDEX('Data_NSA'!$A:$OK,MATCH(EDATE(U$2,-1),'Data_NSA'!$A:$A,0),MATCH("CUUR0000SA0",'Data_NSA'!$1:$1,0))/INDEX('Data_NSA'!$A:$OK,MATCH(INDEX('Weights'!$E:$E,MATCH($A248,'Weights'!$A:$A,0)),'Data_NSA'!$A:$A,0),MATCH("CUUR0000SA0",'Data_NSA'!$1:$1,0))))*(INDEX('Data_SA'!$A:$LO,MATCH(U$2,'Data_SA'!$A:$A,0),MATCH($E248,'Data_SA'!$1:$1,0))/INDEX('Data_SA'!$A:$LO,MATCH(EDATE(U$2,-1),'Data_SA'!$A:$A,0),MATCH($E248,'Data_SA'!$1:$1,0))-1),""))</f>
        <v/>
      </c>
    </row>
    <row r="249">
      <c r="A249" s="3" t="inlineStr">
        <is>
          <t>SS53022</t>
        </is>
      </c>
      <c r="B249" s="3" t="inlineStr">
        <is>
          <t>Intercity train fare</t>
        </is>
      </c>
      <c r="C249" s="3" t="inlineStr">
        <is>
          <t>SETG02</t>
        </is>
      </c>
      <c r="D249" s="3" t="inlineStr">
        <is>
          <t>CUUR0000SS53022</t>
        </is>
      </c>
      <c r="E249" s="3" t="inlineStr">
        <is>
          <t>CUSR0000SS53022</t>
        </is>
      </c>
      <c r="F249" s="3" t="inlineStr">
        <is>
          <t>GM</t>
        </is>
      </c>
      <c r="G249" s="3" t="inlineStr">
        <is>
          <t>monthly in New York/Los Angeles/Chicago; often bimonthly elsewhere</t>
        </is>
      </c>
      <c r="H249" s="10">
        <f>IFERROR(INDEX(Weights!$D:$D,MATCH($A249,Weights!$A:$A,0)),"")</f>
        <v/>
      </c>
      <c r="I249" s="10">
        <f>IFERROR(INDEX('Data_NSA'!$A:$OK,MATCH(I$2,'Data_NSA'!$A:$A,0),MATCH($D249,'Data_NSA'!$1:$1,0)),"")</f>
        <v/>
      </c>
      <c r="J249" s="10">
        <f>IF($E249="","",IFERROR(INDEX('Data_SA'!$A:$LO,MATCH(I$2,'Data_SA'!$A:$A,0),MATCH($E249,'Data_SA'!$1:$1,0)),""))</f>
        <v/>
      </c>
      <c r="K249" s="7">
        <f>IF($E249="","",IFERROR(INDEX('Data_SA'!$A:$LO,MATCH(I$2,'Data_SA'!$A:$A,0),MATCH($E249,'Data_SA'!$1:$1,0))/INDEX('Data_SA'!$A:$LO,MATCH(EDATE(I$2,-1),'Data_SA'!$A:$A,0),MATCH($E249,'Data_SA'!$1:$1,0))-1,""))</f>
        <v/>
      </c>
      <c r="L249" s="7">
        <f>IFERROR(INDEX('Data_NSA'!$A:$OK,MATCH(I$2,'Data_NSA'!$A:$A,0),MATCH($D249,'Data_NSA'!$1:$1,0))/INDEX('Data_NSA'!$A:$OK,MATCH(EDATE(I$2,-12),'Data_NSA'!$A:$A,0),MATCH($D249,'Data_NSA'!$1:$1,0))-1,"")</f>
        <v/>
      </c>
      <c r="M249" s="10">
        <f>IFERROR(INDEX('Weights'!$G:$I,MATCH($A249,'Weights'!$A:$A,0),MATCH(I$2,'Weights'!$G$1:$I$1,0)),"")</f>
        <v/>
      </c>
      <c r="N249" s="10">
        <f>IF($E249="","",IFERROR(100*(INDEX('Weights'!$D:$D,MATCH($A249,'Weights'!$A:$A,0))*(INDEX('Data_NSA'!$A:$OK,MATCH(EDATE(I$2,-1),'Data_NSA'!$A:$A,0),MATCH($D249,'Data_NSA'!$1:$1,0))/INDEX('Data_NSA'!$A:$OK,MATCH(INDEX('Weights'!$E:$E,MATCH($A249,'Weights'!$A:$A,0)),'Data_NSA'!$A:$A,0),MATCH($D249,'Data_NSA'!$1:$1,0))))/(100*(INDEX('Data_NSA'!$A:$OK,MATCH(EDATE(I$2,-1),'Data_NSA'!$A:$A,0),MATCH("CUUR0000SA0",'Data_NSA'!$1:$1,0))/INDEX('Data_NSA'!$A:$OK,MATCH(INDEX('Weights'!$E:$E,MATCH($A249,'Weights'!$A:$A,0)),'Data_NSA'!$A:$A,0),MATCH("CUUR0000SA0",'Data_NSA'!$1:$1,0))))*(INDEX('Data_SA'!$A:$LO,MATCH(I$2,'Data_SA'!$A:$A,0),MATCH($E249,'Data_SA'!$1:$1,0))/INDEX('Data_SA'!$A:$LO,MATCH(EDATE(I$2,-1),'Data_SA'!$A:$A,0),MATCH($E249,'Data_SA'!$1:$1,0))-1),""))</f>
        <v/>
      </c>
      <c r="O249" s="10">
        <f>IFERROR(INDEX('Data_NSA'!$A:$OK,MATCH(O$2,'Data_NSA'!$A:$A,0),MATCH($D249,'Data_NSA'!$1:$1,0)),"")</f>
        <v/>
      </c>
      <c r="P249" s="10">
        <f>IF($E249="","",IFERROR(INDEX('Data_SA'!$A:$LO,MATCH(O$2,'Data_SA'!$A:$A,0),MATCH($E249,'Data_SA'!$1:$1,0)),""))</f>
        <v/>
      </c>
      <c r="Q249" s="7">
        <f>IF($E249="","",IFERROR(INDEX('Data_SA'!$A:$LO,MATCH(O$2,'Data_SA'!$A:$A,0),MATCH($E249,'Data_SA'!$1:$1,0))/INDEX('Data_SA'!$A:$LO,MATCH(EDATE(O$2,-1),'Data_SA'!$A:$A,0),MATCH($E249,'Data_SA'!$1:$1,0))-1,""))</f>
        <v/>
      </c>
      <c r="R249" s="7">
        <f>IFERROR(INDEX('Data_NSA'!$A:$OK,MATCH(O$2,'Data_NSA'!$A:$A,0),MATCH($D249,'Data_NSA'!$1:$1,0))/INDEX('Data_NSA'!$A:$OK,MATCH(EDATE(O$2,-12),'Data_NSA'!$A:$A,0),MATCH($D249,'Data_NSA'!$1:$1,0))-1,"")</f>
        <v/>
      </c>
      <c r="S249" s="10">
        <f>IFERROR(INDEX('Weights'!$G:$I,MATCH($A249,'Weights'!$A:$A,0),MATCH(O$2,'Weights'!$G$1:$I$1,0)),"")</f>
        <v/>
      </c>
      <c r="T249" s="10">
        <f>IF($E249="","",IFERROR(100*(INDEX('Weights'!$D:$D,MATCH($A249,'Weights'!$A:$A,0))*(INDEX('Data_NSA'!$A:$OK,MATCH(EDATE(O$2,-1),'Data_NSA'!$A:$A,0),MATCH($D249,'Data_NSA'!$1:$1,0))/INDEX('Data_NSA'!$A:$OK,MATCH(INDEX('Weights'!$E:$E,MATCH($A249,'Weights'!$A:$A,0)),'Data_NSA'!$A:$A,0),MATCH($D249,'Data_NSA'!$1:$1,0))))/(100*(INDEX('Data_NSA'!$A:$OK,MATCH(EDATE(O$2,-1),'Data_NSA'!$A:$A,0),MATCH("CUUR0000SA0",'Data_NSA'!$1:$1,0))/INDEX('Data_NSA'!$A:$OK,MATCH(INDEX('Weights'!$E:$E,MATCH($A249,'Weights'!$A:$A,0)),'Data_NSA'!$A:$A,0),MATCH("CUUR0000SA0",'Data_NSA'!$1:$1,0))))*(INDEX('Data_SA'!$A:$LO,MATCH(O$2,'Data_SA'!$A:$A,0),MATCH($E249,'Data_SA'!$1:$1,0))/INDEX('Data_SA'!$A:$LO,MATCH(EDATE(O$2,-1),'Data_SA'!$A:$A,0),MATCH($E249,'Data_SA'!$1:$1,0))-1),""))</f>
        <v/>
      </c>
      <c r="U249" s="10">
        <f>IFERROR(INDEX('Data_NSA'!$A:$OK,MATCH(U$2,'Data_NSA'!$A:$A,0),MATCH($D249,'Data_NSA'!$1:$1,0)),"")</f>
        <v/>
      </c>
      <c r="V249" s="10">
        <f>IF($E249="","",IFERROR(INDEX('Data_SA'!$A:$LO,MATCH(U$2,'Data_SA'!$A:$A,0),MATCH($E249,'Data_SA'!$1:$1,0)),""))</f>
        <v/>
      </c>
      <c r="W249" s="7">
        <f>IF($E249="","",IFERROR(INDEX('Data_SA'!$A:$LO,MATCH(U$2,'Data_SA'!$A:$A,0),MATCH($E249,'Data_SA'!$1:$1,0))/INDEX('Data_SA'!$A:$LO,MATCH(EDATE(U$2,-1),'Data_SA'!$A:$A,0),MATCH($E249,'Data_SA'!$1:$1,0))-1,""))</f>
        <v/>
      </c>
      <c r="X249" s="7">
        <f>IFERROR(INDEX('Data_NSA'!$A:$OK,MATCH(U$2,'Data_NSA'!$A:$A,0),MATCH($D249,'Data_NSA'!$1:$1,0))/INDEX('Data_NSA'!$A:$OK,MATCH(EDATE(U$2,-12),'Data_NSA'!$A:$A,0),MATCH($D249,'Data_NSA'!$1:$1,0))-1,"")</f>
        <v/>
      </c>
      <c r="Y249" s="10">
        <f>IFERROR(INDEX('Weights'!$G:$I,MATCH($A249,'Weights'!$A:$A,0),MATCH(U$2,'Weights'!$G$1:$I$1,0)),"")</f>
        <v/>
      </c>
      <c r="Z249" s="10">
        <f>IF($E249="","",IFERROR(100*(INDEX('Weights'!$D:$D,MATCH($A249,'Weights'!$A:$A,0))*(INDEX('Data_NSA'!$A:$OK,MATCH(EDATE(U$2,-1),'Data_NSA'!$A:$A,0),MATCH($D249,'Data_NSA'!$1:$1,0))/INDEX('Data_NSA'!$A:$OK,MATCH(INDEX('Weights'!$E:$E,MATCH($A249,'Weights'!$A:$A,0)),'Data_NSA'!$A:$A,0),MATCH($D249,'Data_NSA'!$1:$1,0))))/(100*(INDEX('Data_NSA'!$A:$OK,MATCH(EDATE(U$2,-1),'Data_NSA'!$A:$A,0),MATCH("CUUR0000SA0",'Data_NSA'!$1:$1,0))/INDEX('Data_NSA'!$A:$OK,MATCH(INDEX('Weights'!$E:$E,MATCH($A249,'Weights'!$A:$A,0)),'Data_NSA'!$A:$A,0),MATCH("CUUR0000SA0",'Data_NSA'!$1:$1,0))))*(INDEX('Data_SA'!$A:$LO,MATCH(U$2,'Data_SA'!$A:$A,0),MATCH($E249,'Data_SA'!$1:$1,0))/INDEX('Data_SA'!$A:$LO,MATCH(EDATE(U$2,-1),'Data_SA'!$A:$A,0),MATCH($E249,'Data_SA'!$1:$1,0))-1),""))</f>
        <v/>
      </c>
    </row>
    <row r="250">
      <c r="A250" s="3" t="inlineStr">
        <is>
          <t>SS53023</t>
        </is>
      </c>
      <c r="B250" s="3" t="inlineStr">
        <is>
          <t>Ship fare</t>
        </is>
      </c>
      <c r="C250" s="3" t="inlineStr">
        <is>
          <t>SETG02</t>
        </is>
      </c>
      <c r="D250" s="3" t="inlineStr">
        <is>
          <t>CUUR0000SS53023</t>
        </is>
      </c>
      <c r="E250" s="3" t="inlineStr">
        <is>
          <t>CUSR0000SS53023</t>
        </is>
      </c>
      <c r="F250" s="3" t="inlineStr">
        <is>
          <t>GM</t>
        </is>
      </c>
      <c r="G250" s="3" t="inlineStr">
        <is>
          <t>monthly in New York/Los Angeles/Chicago; often bimonthly elsewhere</t>
        </is>
      </c>
      <c r="H250" s="10">
        <f>IFERROR(INDEX(Weights!$D:$D,MATCH($A250,Weights!$A:$A,0)),"")</f>
        <v/>
      </c>
      <c r="I250" s="10">
        <f>IFERROR(INDEX('Data_NSA'!$A:$OK,MATCH(I$2,'Data_NSA'!$A:$A,0),MATCH($D250,'Data_NSA'!$1:$1,0)),"")</f>
        <v/>
      </c>
      <c r="J250" s="10">
        <f>IF($E250="","",IFERROR(INDEX('Data_SA'!$A:$LO,MATCH(I$2,'Data_SA'!$A:$A,0),MATCH($E250,'Data_SA'!$1:$1,0)),""))</f>
        <v/>
      </c>
      <c r="K250" s="7">
        <f>IF($E250="","",IFERROR(INDEX('Data_SA'!$A:$LO,MATCH(I$2,'Data_SA'!$A:$A,0),MATCH($E250,'Data_SA'!$1:$1,0))/INDEX('Data_SA'!$A:$LO,MATCH(EDATE(I$2,-1),'Data_SA'!$A:$A,0),MATCH($E250,'Data_SA'!$1:$1,0))-1,""))</f>
        <v/>
      </c>
      <c r="L250" s="7">
        <f>IFERROR(INDEX('Data_NSA'!$A:$OK,MATCH(I$2,'Data_NSA'!$A:$A,0),MATCH($D250,'Data_NSA'!$1:$1,0))/INDEX('Data_NSA'!$A:$OK,MATCH(EDATE(I$2,-12),'Data_NSA'!$A:$A,0),MATCH($D250,'Data_NSA'!$1:$1,0))-1,"")</f>
        <v/>
      </c>
      <c r="M250" s="10">
        <f>IFERROR(INDEX('Weights'!$G:$I,MATCH($A250,'Weights'!$A:$A,0),MATCH(I$2,'Weights'!$G$1:$I$1,0)),"")</f>
        <v/>
      </c>
      <c r="N250" s="10">
        <f>IF($E250="","",IFERROR(100*(INDEX('Weights'!$D:$D,MATCH($A250,'Weights'!$A:$A,0))*(INDEX('Data_NSA'!$A:$OK,MATCH(EDATE(I$2,-1),'Data_NSA'!$A:$A,0),MATCH($D250,'Data_NSA'!$1:$1,0))/INDEX('Data_NSA'!$A:$OK,MATCH(INDEX('Weights'!$E:$E,MATCH($A250,'Weights'!$A:$A,0)),'Data_NSA'!$A:$A,0),MATCH($D250,'Data_NSA'!$1:$1,0))))/(100*(INDEX('Data_NSA'!$A:$OK,MATCH(EDATE(I$2,-1),'Data_NSA'!$A:$A,0),MATCH("CUUR0000SA0",'Data_NSA'!$1:$1,0))/INDEX('Data_NSA'!$A:$OK,MATCH(INDEX('Weights'!$E:$E,MATCH($A250,'Weights'!$A:$A,0)),'Data_NSA'!$A:$A,0),MATCH("CUUR0000SA0",'Data_NSA'!$1:$1,0))))*(INDEX('Data_SA'!$A:$LO,MATCH(I$2,'Data_SA'!$A:$A,0),MATCH($E250,'Data_SA'!$1:$1,0))/INDEX('Data_SA'!$A:$LO,MATCH(EDATE(I$2,-1),'Data_SA'!$A:$A,0),MATCH($E250,'Data_SA'!$1:$1,0))-1),""))</f>
        <v/>
      </c>
      <c r="O250" s="10">
        <f>IFERROR(INDEX('Data_NSA'!$A:$OK,MATCH(O$2,'Data_NSA'!$A:$A,0),MATCH($D250,'Data_NSA'!$1:$1,0)),"")</f>
        <v/>
      </c>
      <c r="P250" s="10">
        <f>IF($E250="","",IFERROR(INDEX('Data_SA'!$A:$LO,MATCH(O$2,'Data_SA'!$A:$A,0),MATCH($E250,'Data_SA'!$1:$1,0)),""))</f>
        <v/>
      </c>
      <c r="Q250" s="7">
        <f>IF($E250="","",IFERROR(INDEX('Data_SA'!$A:$LO,MATCH(O$2,'Data_SA'!$A:$A,0),MATCH($E250,'Data_SA'!$1:$1,0))/INDEX('Data_SA'!$A:$LO,MATCH(EDATE(O$2,-1),'Data_SA'!$A:$A,0),MATCH($E250,'Data_SA'!$1:$1,0))-1,""))</f>
        <v/>
      </c>
      <c r="R250" s="7">
        <f>IFERROR(INDEX('Data_NSA'!$A:$OK,MATCH(O$2,'Data_NSA'!$A:$A,0),MATCH($D250,'Data_NSA'!$1:$1,0))/INDEX('Data_NSA'!$A:$OK,MATCH(EDATE(O$2,-12),'Data_NSA'!$A:$A,0),MATCH($D250,'Data_NSA'!$1:$1,0))-1,"")</f>
        <v/>
      </c>
      <c r="S250" s="10">
        <f>IFERROR(INDEX('Weights'!$G:$I,MATCH($A250,'Weights'!$A:$A,0),MATCH(O$2,'Weights'!$G$1:$I$1,0)),"")</f>
        <v/>
      </c>
      <c r="T250" s="10">
        <f>IF($E250="","",IFERROR(100*(INDEX('Weights'!$D:$D,MATCH($A250,'Weights'!$A:$A,0))*(INDEX('Data_NSA'!$A:$OK,MATCH(EDATE(O$2,-1),'Data_NSA'!$A:$A,0),MATCH($D250,'Data_NSA'!$1:$1,0))/INDEX('Data_NSA'!$A:$OK,MATCH(INDEX('Weights'!$E:$E,MATCH($A250,'Weights'!$A:$A,0)),'Data_NSA'!$A:$A,0),MATCH($D250,'Data_NSA'!$1:$1,0))))/(100*(INDEX('Data_NSA'!$A:$OK,MATCH(EDATE(O$2,-1),'Data_NSA'!$A:$A,0),MATCH("CUUR0000SA0",'Data_NSA'!$1:$1,0))/INDEX('Data_NSA'!$A:$OK,MATCH(INDEX('Weights'!$E:$E,MATCH($A250,'Weights'!$A:$A,0)),'Data_NSA'!$A:$A,0),MATCH("CUUR0000SA0",'Data_NSA'!$1:$1,0))))*(INDEX('Data_SA'!$A:$LO,MATCH(O$2,'Data_SA'!$A:$A,0),MATCH($E250,'Data_SA'!$1:$1,0))/INDEX('Data_SA'!$A:$LO,MATCH(EDATE(O$2,-1),'Data_SA'!$A:$A,0),MATCH($E250,'Data_SA'!$1:$1,0))-1),""))</f>
        <v/>
      </c>
      <c r="U250" s="10">
        <f>IFERROR(INDEX('Data_NSA'!$A:$OK,MATCH(U$2,'Data_NSA'!$A:$A,0),MATCH($D250,'Data_NSA'!$1:$1,0)),"")</f>
        <v/>
      </c>
      <c r="V250" s="10">
        <f>IF($E250="","",IFERROR(INDEX('Data_SA'!$A:$LO,MATCH(U$2,'Data_SA'!$A:$A,0),MATCH($E250,'Data_SA'!$1:$1,0)),""))</f>
        <v/>
      </c>
      <c r="W250" s="7">
        <f>IF($E250="","",IFERROR(INDEX('Data_SA'!$A:$LO,MATCH(U$2,'Data_SA'!$A:$A,0),MATCH($E250,'Data_SA'!$1:$1,0))/INDEX('Data_SA'!$A:$LO,MATCH(EDATE(U$2,-1),'Data_SA'!$A:$A,0),MATCH($E250,'Data_SA'!$1:$1,0))-1,""))</f>
        <v/>
      </c>
      <c r="X250" s="7">
        <f>IFERROR(INDEX('Data_NSA'!$A:$OK,MATCH(U$2,'Data_NSA'!$A:$A,0),MATCH($D250,'Data_NSA'!$1:$1,0))/INDEX('Data_NSA'!$A:$OK,MATCH(EDATE(U$2,-12),'Data_NSA'!$A:$A,0),MATCH($D250,'Data_NSA'!$1:$1,0))-1,"")</f>
        <v/>
      </c>
      <c r="Y250" s="10">
        <f>IFERROR(INDEX('Weights'!$G:$I,MATCH($A250,'Weights'!$A:$A,0),MATCH(U$2,'Weights'!$G$1:$I$1,0)),"")</f>
        <v/>
      </c>
      <c r="Z250" s="10">
        <f>IF($E250="","",IFERROR(100*(INDEX('Weights'!$D:$D,MATCH($A250,'Weights'!$A:$A,0))*(INDEX('Data_NSA'!$A:$OK,MATCH(EDATE(U$2,-1),'Data_NSA'!$A:$A,0),MATCH($D250,'Data_NSA'!$1:$1,0))/INDEX('Data_NSA'!$A:$OK,MATCH(INDEX('Weights'!$E:$E,MATCH($A250,'Weights'!$A:$A,0)),'Data_NSA'!$A:$A,0),MATCH($D250,'Data_NSA'!$1:$1,0))))/(100*(INDEX('Data_NSA'!$A:$OK,MATCH(EDATE(U$2,-1),'Data_NSA'!$A:$A,0),MATCH("CUUR0000SA0",'Data_NSA'!$1:$1,0))/INDEX('Data_NSA'!$A:$OK,MATCH(INDEX('Weights'!$E:$E,MATCH($A250,'Weights'!$A:$A,0)),'Data_NSA'!$A:$A,0),MATCH("CUUR0000SA0",'Data_NSA'!$1:$1,0))))*(INDEX('Data_SA'!$A:$LO,MATCH(U$2,'Data_SA'!$A:$A,0),MATCH($E250,'Data_SA'!$1:$1,0))/INDEX('Data_SA'!$A:$LO,MATCH(EDATE(U$2,-1),'Data_SA'!$A:$A,0),MATCH($E250,'Data_SA'!$1:$1,0))-1),""))</f>
        <v/>
      </c>
    </row>
    <row r="251">
      <c r="A251" s="3" t="inlineStr">
        <is>
          <t>SETG03</t>
        </is>
      </c>
      <c r="B251" s="3" t="inlineStr">
        <is>
          <t>Intracity transportation</t>
        </is>
      </c>
      <c r="C251" s="3" t="inlineStr">
        <is>
          <t>SETG</t>
        </is>
      </c>
      <c r="D251" s="3" t="inlineStr">
        <is>
          <t>CUUR0000SETG03</t>
        </is>
      </c>
      <c r="E251" s="3" t="inlineStr"/>
      <c r="F251" s="3" t="inlineStr">
        <is>
          <t>aggregate</t>
        </is>
      </c>
      <c r="G251" s="3" t="inlineStr">
        <is>
          <t>aggregate</t>
        </is>
      </c>
      <c r="H251" s="10">
        <f>IFERROR(INDEX(Weights!$D:$D,MATCH($A251,Weights!$A:$A,0)),"")</f>
        <v/>
      </c>
      <c r="I251" s="10">
        <f>IFERROR(INDEX('Data_NSA'!$A:$OK,MATCH(I$2,'Data_NSA'!$A:$A,0),MATCH($D251,'Data_NSA'!$1:$1,0)),"")</f>
        <v/>
      </c>
      <c r="J251" s="10">
        <f>IF($E251="","",IFERROR(INDEX('Data_SA'!$A:$LO,MATCH(I$2,'Data_SA'!$A:$A,0),MATCH($E251,'Data_SA'!$1:$1,0)),""))</f>
        <v/>
      </c>
      <c r="K251" s="7">
        <f>IF($E251="","",IFERROR(INDEX('Data_SA'!$A:$LO,MATCH(I$2,'Data_SA'!$A:$A,0),MATCH($E251,'Data_SA'!$1:$1,0))/INDEX('Data_SA'!$A:$LO,MATCH(EDATE(I$2,-1),'Data_SA'!$A:$A,0),MATCH($E251,'Data_SA'!$1:$1,0))-1,""))</f>
        <v/>
      </c>
      <c r="L251" s="7">
        <f>IFERROR(INDEX('Data_NSA'!$A:$OK,MATCH(I$2,'Data_NSA'!$A:$A,0),MATCH($D251,'Data_NSA'!$1:$1,0))/INDEX('Data_NSA'!$A:$OK,MATCH(EDATE(I$2,-12),'Data_NSA'!$A:$A,0),MATCH($D251,'Data_NSA'!$1:$1,0))-1,"")</f>
        <v/>
      </c>
      <c r="M251" s="10">
        <f>IFERROR(INDEX('Weights'!$G:$I,MATCH($A251,'Weights'!$A:$A,0),MATCH(I$2,'Weights'!$G$1:$I$1,0)),"")</f>
        <v/>
      </c>
      <c r="N251" s="10">
        <f>IF($E251="","",IFERROR(100*(INDEX('Weights'!$D:$D,MATCH($A251,'Weights'!$A:$A,0))*(INDEX('Data_NSA'!$A:$OK,MATCH(EDATE(I$2,-1),'Data_NSA'!$A:$A,0),MATCH($D251,'Data_NSA'!$1:$1,0))/INDEX('Data_NSA'!$A:$OK,MATCH(INDEX('Weights'!$E:$E,MATCH($A251,'Weights'!$A:$A,0)),'Data_NSA'!$A:$A,0),MATCH($D251,'Data_NSA'!$1:$1,0))))/(100*(INDEX('Data_NSA'!$A:$OK,MATCH(EDATE(I$2,-1),'Data_NSA'!$A:$A,0),MATCH("CUUR0000SA0",'Data_NSA'!$1:$1,0))/INDEX('Data_NSA'!$A:$OK,MATCH(INDEX('Weights'!$E:$E,MATCH($A251,'Weights'!$A:$A,0)),'Data_NSA'!$A:$A,0),MATCH("CUUR0000SA0",'Data_NSA'!$1:$1,0))))*(INDEX('Data_SA'!$A:$LO,MATCH(I$2,'Data_SA'!$A:$A,0),MATCH($E251,'Data_SA'!$1:$1,0))/INDEX('Data_SA'!$A:$LO,MATCH(EDATE(I$2,-1),'Data_SA'!$A:$A,0),MATCH($E251,'Data_SA'!$1:$1,0))-1),""))</f>
        <v/>
      </c>
      <c r="O251" s="10">
        <f>IFERROR(INDEX('Data_NSA'!$A:$OK,MATCH(O$2,'Data_NSA'!$A:$A,0),MATCH($D251,'Data_NSA'!$1:$1,0)),"")</f>
        <v/>
      </c>
      <c r="P251" s="10">
        <f>IF($E251="","",IFERROR(INDEX('Data_SA'!$A:$LO,MATCH(O$2,'Data_SA'!$A:$A,0),MATCH($E251,'Data_SA'!$1:$1,0)),""))</f>
        <v/>
      </c>
      <c r="Q251" s="7">
        <f>IF($E251="","",IFERROR(INDEX('Data_SA'!$A:$LO,MATCH(O$2,'Data_SA'!$A:$A,0),MATCH($E251,'Data_SA'!$1:$1,0))/INDEX('Data_SA'!$A:$LO,MATCH(EDATE(O$2,-1),'Data_SA'!$A:$A,0),MATCH($E251,'Data_SA'!$1:$1,0))-1,""))</f>
        <v/>
      </c>
      <c r="R251" s="7">
        <f>IFERROR(INDEX('Data_NSA'!$A:$OK,MATCH(O$2,'Data_NSA'!$A:$A,0),MATCH($D251,'Data_NSA'!$1:$1,0))/INDEX('Data_NSA'!$A:$OK,MATCH(EDATE(O$2,-12),'Data_NSA'!$A:$A,0),MATCH($D251,'Data_NSA'!$1:$1,0))-1,"")</f>
        <v/>
      </c>
      <c r="S251" s="10">
        <f>IFERROR(INDEX('Weights'!$G:$I,MATCH($A251,'Weights'!$A:$A,0),MATCH(O$2,'Weights'!$G$1:$I$1,0)),"")</f>
        <v/>
      </c>
      <c r="T251" s="10">
        <f>IF($E251="","",IFERROR(100*(INDEX('Weights'!$D:$D,MATCH($A251,'Weights'!$A:$A,0))*(INDEX('Data_NSA'!$A:$OK,MATCH(EDATE(O$2,-1),'Data_NSA'!$A:$A,0),MATCH($D251,'Data_NSA'!$1:$1,0))/INDEX('Data_NSA'!$A:$OK,MATCH(INDEX('Weights'!$E:$E,MATCH($A251,'Weights'!$A:$A,0)),'Data_NSA'!$A:$A,0),MATCH($D251,'Data_NSA'!$1:$1,0))))/(100*(INDEX('Data_NSA'!$A:$OK,MATCH(EDATE(O$2,-1),'Data_NSA'!$A:$A,0),MATCH("CUUR0000SA0",'Data_NSA'!$1:$1,0))/INDEX('Data_NSA'!$A:$OK,MATCH(INDEX('Weights'!$E:$E,MATCH($A251,'Weights'!$A:$A,0)),'Data_NSA'!$A:$A,0),MATCH("CUUR0000SA0",'Data_NSA'!$1:$1,0))))*(INDEX('Data_SA'!$A:$LO,MATCH(O$2,'Data_SA'!$A:$A,0),MATCH($E251,'Data_SA'!$1:$1,0))/INDEX('Data_SA'!$A:$LO,MATCH(EDATE(O$2,-1),'Data_SA'!$A:$A,0),MATCH($E251,'Data_SA'!$1:$1,0))-1),""))</f>
        <v/>
      </c>
      <c r="U251" s="10">
        <f>IFERROR(INDEX('Data_NSA'!$A:$OK,MATCH(U$2,'Data_NSA'!$A:$A,0),MATCH($D251,'Data_NSA'!$1:$1,0)),"")</f>
        <v/>
      </c>
      <c r="V251" s="10">
        <f>IF($E251="","",IFERROR(INDEX('Data_SA'!$A:$LO,MATCH(U$2,'Data_SA'!$A:$A,0),MATCH($E251,'Data_SA'!$1:$1,0)),""))</f>
        <v/>
      </c>
      <c r="W251" s="7">
        <f>IF($E251="","",IFERROR(INDEX('Data_SA'!$A:$LO,MATCH(U$2,'Data_SA'!$A:$A,0),MATCH($E251,'Data_SA'!$1:$1,0))/INDEX('Data_SA'!$A:$LO,MATCH(EDATE(U$2,-1),'Data_SA'!$A:$A,0),MATCH($E251,'Data_SA'!$1:$1,0))-1,""))</f>
        <v/>
      </c>
      <c r="X251" s="7">
        <f>IFERROR(INDEX('Data_NSA'!$A:$OK,MATCH(U$2,'Data_NSA'!$A:$A,0),MATCH($D251,'Data_NSA'!$1:$1,0))/INDEX('Data_NSA'!$A:$OK,MATCH(EDATE(U$2,-12),'Data_NSA'!$A:$A,0),MATCH($D251,'Data_NSA'!$1:$1,0))-1,"")</f>
        <v/>
      </c>
      <c r="Y251" s="10">
        <f>IFERROR(INDEX('Weights'!$G:$I,MATCH($A251,'Weights'!$A:$A,0),MATCH(U$2,'Weights'!$G$1:$I$1,0)),"")</f>
        <v/>
      </c>
      <c r="Z251" s="10">
        <f>IF($E251="","",IFERROR(100*(INDEX('Weights'!$D:$D,MATCH($A251,'Weights'!$A:$A,0))*(INDEX('Data_NSA'!$A:$OK,MATCH(EDATE(U$2,-1),'Data_NSA'!$A:$A,0),MATCH($D251,'Data_NSA'!$1:$1,0))/INDEX('Data_NSA'!$A:$OK,MATCH(INDEX('Weights'!$E:$E,MATCH($A251,'Weights'!$A:$A,0)),'Data_NSA'!$A:$A,0),MATCH($D251,'Data_NSA'!$1:$1,0))))/(100*(INDEX('Data_NSA'!$A:$OK,MATCH(EDATE(U$2,-1),'Data_NSA'!$A:$A,0),MATCH("CUUR0000SA0",'Data_NSA'!$1:$1,0))/INDEX('Data_NSA'!$A:$OK,MATCH(INDEX('Weights'!$E:$E,MATCH($A251,'Weights'!$A:$A,0)),'Data_NSA'!$A:$A,0),MATCH("CUUR0000SA0",'Data_NSA'!$1:$1,0))))*(INDEX('Data_SA'!$A:$LO,MATCH(U$2,'Data_SA'!$A:$A,0),MATCH($E251,'Data_SA'!$1:$1,0))/INDEX('Data_SA'!$A:$LO,MATCH(EDATE(U$2,-1),'Data_SA'!$A:$A,0),MATCH($E251,'Data_SA'!$1:$1,0))-1),""))</f>
        <v/>
      </c>
    </row>
    <row r="252">
      <c r="A252" s="3" t="inlineStr">
        <is>
          <t>SS53031</t>
        </is>
      </c>
      <c r="B252" s="3" t="inlineStr">
        <is>
          <t>Intracity mass transit</t>
        </is>
      </c>
      <c r="C252" s="3" t="inlineStr">
        <is>
          <t>SETG03</t>
        </is>
      </c>
      <c r="D252" s="3" t="inlineStr">
        <is>
          <t>CUUR0000SS53031</t>
        </is>
      </c>
      <c r="E252" s="3" t="inlineStr"/>
      <c r="F252" s="3" t="inlineStr">
        <is>
          <t>GM</t>
        </is>
      </c>
      <c r="G252" s="3" t="inlineStr">
        <is>
          <t>monthly in New York/Los Angeles/Chicago; often bimonthly elsewhere</t>
        </is>
      </c>
      <c r="H252" s="10">
        <f>IFERROR(INDEX(Weights!$D:$D,MATCH($A252,Weights!$A:$A,0)),"")</f>
        <v/>
      </c>
      <c r="I252" s="10">
        <f>IFERROR(INDEX('Data_NSA'!$A:$OK,MATCH(I$2,'Data_NSA'!$A:$A,0),MATCH($D252,'Data_NSA'!$1:$1,0)),"")</f>
        <v/>
      </c>
      <c r="J252" s="10">
        <f>IF($E252="","",IFERROR(INDEX('Data_SA'!$A:$LO,MATCH(I$2,'Data_SA'!$A:$A,0),MATCH($E252,'Data_SA'!$1:$1,0)),""))</f>
        <v/>
      </c>
      <c r="K252" s="7">
        <f>IF($E252="","",IFERROR(INDEX('Data_SA'!$A:$LO,MATCH(I$2,'Data_SA'!$A:$A,0),MATCH($E252,'Data_SA'!$1:$1,0))/INDEX('Data_SA'!$A:$LO,MATCH(EDATE(I$2,-1),'Data_SA'!$A:$A,0),MATCH($E252,'Data_SA'!$1:$1,0))-1,""))</f>
        <v/>
      </c>
      <c r="L252" s="7">
        <f>IFERROR(INDEX('Data_NSA'!$A:$OK,MATCH(I$2,'Data_NSA'!$A:$A,0),MATCH($D252,'Data_NSA'!$1:$1,0))/INDEX('Data_NSA'!$A:$OK,MATCH(EDATE(I$2,-12),'Data_NSA'!$A:$A,0),MATCH($D252,'Data_NSA'!$1:$1,0))-1,"")</f>
        <v/>
      </c>
      <c r="M252" s="10">
        <f>IFERROR(INDEX('Weights'!$G:$I,MATCH($A252,'Weights'!$A:$A,0),MATCH(I$2,'Weights'!$G$1:$I$1,0)),"")</f>
        <v/>
      </c>
      <c r="N252" s="10">
        <f>IF($E252="","",IFERROR(100*(INDEX('Weights'!$D:$D,MATCH($A252,'Weights'!$A:$A,0))*(INDEX('Data_NSA'!$A:$OK,MATCH(EDATE(I$2,-1),'Data_NSA'!$A:$A,0),MATCH($D252,'Data_NSA'!$1:$1,0))/INDEX('Data_NSA'!$A:$OK,MATCH(INDEX('Weights'!$E:$E,MATCH($A252,'Weights'!$A:$A,0)),'Data_NSA'!$A:$A,0),MATCH($D252,'Data_NSA'!$1:$1,0))))/(100*(INDEX('Data_NSA'!$A:$OK,MATCH(EDATE(I$2,-1),'Data_NSA'!$A:$A,0),MATCH("CUUR0000SA0",'Data_NSA'!$1:$1,0))/INDEX('Data_NSA'!$A:$OK,MATCH(INDEX('Weights'!$E:$E,MATCH($A252,'Weights'!$A:$A,0)),'Data_NSA'!$A:$A,0),MATCH("CUUR0000SA0",'Data_NSA'!$1:$1,0))))*(INDEX('Data_SA'!$A:$LO,MATCH(I$2,'Data_SA'!$A:$A,0),MATCH($E252,'Data_SA'!$1:$1,0))/INDEX('Data_SA'!$A:$LO,MATCH(EDATE(I$2,-1),'Data_SA'!$A:$A,0),MATCH($E252,'Data_SA'!$1:$1,0))-1),""))</f>
        <v/>
      </c>
      <c r="O252" s="10">
        <f>IFERROR(INDEX('Data_NSA'!$A:$OK,MATCH(O$2,'Data_NSA'!$A:$A,0),MATCH($D252,'Data_NSA'!$1:$1,0)),"")</f>
        <v/>
      </c>
      <c r="P252" s="10">
        <f>IF($E252="","",IFERROR(INDEX('Data_SA'!$A:$LO,MATCH(O$2,'Data_SA'!$A:$A,0),MATCH($E252,'Data_SA'!$1:$1,0)),""))</f>
        <v/>
      </c>
      <c r="Q252" s="7">
        <f>IF($E252="","",IFERROR(INDEX('Data_SA'!$A:$LO,MATCH(O$2,'Data_SA'!$A:$A,0),MATCH($E252,'Data_SA'!$1:$1,0))/INDEX('Data_SA'!$A:$LO,MATCH(EDATE(O$2,-1),'Data_SA'!$A:$A,0),MATCH($E252,'Data_SA'!$1:$1,0))-1,""))</f>
        <v/>
      </c>
      <c r="R252" s="7">
        <f>IFERROR(INDEX('Data_NSA'!$A:$OK,MATCH(O$2,'Data_NSA'!$A:$A,0),MATCH($D252,'Data_NSA'!$1:$1,0))/INDEX('Data_NSA'!$A:$OK,MATCH(EDATE(O$2,-12),'Data_NSA'!$A:$A,0),MATCH($D252,'Data_NSA'!$1:$1,0))-1,"")</f>
        <v/>
      </c>
      <c r="S252" s="10">
        <f>IFERROR(INDEX('Weights'!$G:$I,MATCH($A252,'Weights'!$A:$A,0),MATCH(O$2,'Weights'!$G$1:$I$1,0)),"")</f>
        <v/>
      </c>
      <c r="T252" s="10">
        <f>IF($E252="","",IFERROR(100*(INDEX('Weights'!$D:$D,MATCH($A252,'Weights'!$A:$A,0))*(INDEX('Data_NSA'!$A:$OK,MATCH(EDATE(O$2,-1),'Data_NSA'!$A:$A,0),MATCH($D252,'Data_NSA'!$1:$1,0))/INDEX('Data_NSA'!$A:$OK,MATCH(INDEX('Weights'!$E:$E,MATCH($A252,'Weights'!$A:$A,0)),'Data_NSA'!$A:$A,0),MATCH($D252,'Data_NSA'!$1:$1,0))))/(100*(INDEX('Data_NSA'!$A:$OK,MATCH(EDATE(O$2,-1),'Data_NSA'!$A:$A,0),MATCH("CUUR0000SA0",'Data_NSA'!$1:$1,0))/INDEX('Data_NSA'!$A:$OK,MATCH(INDEX('Weights'!$E:$E,MATCH($A252,'Weights'!$A:$A,0)),'Data_NSA'!$A:$A,0),MATCH("CUUR0000SA0",'Data_NSA'!$1:$1,0))))*(INDEX('Data_SA'!$A:$LO,MATCH(O$2,'Data_SA'!$A:$A,0),MATCH($E252,'Data_SA'!$1:$1,0))/INDEX('Data_SA'!$A:$LO,MATCH(EDATE(O$2,-1),'Data_SA'!$A:$A,0),MATCH($E252,'Data_SA'!$1:$1,0))-1),""))</f>
        <v/>
      </c>
      <c r="U252" s="10">
        <f>IFERROR(INDEX('Data_NSA'!$A:$OK,MATCH(U$2,'Data_NSA'!$A:$A,0),MATCH($D252,'Data_NSA'!$1:$1,0)),"")</f>
        <v/>
      </c>
      <c r="V252" s="10">
        <f>IF($E252="","",IFERROR(INDEX('Data_SA'!$A:$LO,MATCH(U$2,'Data_SA'!$A:$A,0),MATCH($E252,'Data_SA'!$1:$1,0)),""))</f>
        <v/>
      </c>
      <c r="W252" s="7">
        <f>IF($E252="","",IFERROR(INDEX('Data_SA'!$A:$LO,MATCH(U$2,'Data_SA'!$A:$A,0),MATCH($E252,'Data_SA'!$1:$1,0))/INDEX('Data_SA'!$A:$LO,MATCH(EDATE(U$2,-1),'Data_SA'!$A:$A,0),MATCH($E252,'Data_SA'!$1:$1,0))-1,""))</f>
        <v/>
      </c>
      <c r="X252" s="7">
        <f>IFERROR(INDEX('Data_NSA'!$A:$OK,MATCH(U$2,'Data_NSA'!$A:$A,0),MATCH($D252,'Data_NSA'!$1:$1,0))/INDEX('Data_NSA'!$A:$OK,MATCH(EDATE(U$2,-12),'Data_NSA'!$A:$A,0),MATCH($D252,'Data_NSA'!$1:$1,0))-1,"")</f>
        <v/>
      </c>
      <c r="Y252" s="10">
        <f>IFERROR(INDEX('Weights'!$G:$I,MATCH($A252,'Weights'!$A:$A,0),MATCH(U$2,'Weights'!$G$1:$I$1,0)),"")</f>
        <v/>
      </c>
      <c r="Z252" s="10">
        <f>IF($E252="","",IFERROR(100*(INDEX('Weights'!$D:$D,MATCH($A252,'Weights'!$A:$A,0))*(INDEX('Data_NSA'!$A:$OK,MATCH(EDATE(U$2,-1),'Data_NSA'!$A:$A,0),MATCH($D252,'Data_NSA'!$1:$1,0))/INDEX('Data_NSA'!$A:$OK,MATCH(INDEX('Weights'!$E:$E,MATCH($A252,'Weights'!$A:$A,0)),'Data_NSA'!$A:$A,0),MATCH($D252,'Data_NSA'!$1:$1,0))))/(100*(INDEX('Data_NSA'!$A:$OK,MATCH(EDATE(U$2,-1),'Data_NSA'!$A:$A,0),MATCH("CUUR0000SA0",'Data_NSA'!$1:$1,0))/INDEX('Data_NSA'!$A:$OK,MATCH(INDEX('Weights'!$E:$E,MATCH($A252,'Weights'!$A:$A,0)),'Data_NSA'!$A:$A,0),MATCH("CUUR0000SA0",'Data_NSA'!$1:$1,0))))*(INDEX('Data_SA'!$A:$LO,MATCH(U$2,'Data_SA'!$A:$A,0),MATCH($E252,'Data_SA'!$1:$1,0))/INDEX('Data_SA'!$A:$LO,MATCH(EDATE(U$2,-1),'Data_SA'!$A:$A,0),MATCH($E252,'Data_SA'!$1:$1,0))-1),""))</f>
        <v/>
      </c>
    </row>
    <row r="253">
      <c r="A253" s="3" t="inlineStr">
        <is>
          <t>SAM</t>
        </is>
      </c>
      <c r="B253" s="3" t="inlineStr">
        <is>
          <t>Medical care</t>
        </is>
      </c>
      <c r="C253" s="3" t="inlineStr">
        <is>
          <t>SA0</t>
        </is>
      </c>
      <c r="D253" s="3" t="inlineStr">
        <is>
          <t>CUUR0000SAM</t>
        </is>
      </c>
      <c r="E253" s="3" t="inlineStr">
        <is>
          <t>CUSR0000SAM</t>
        </is>
      </c>
      <c r="F253" s="3" t="inlineStr">
        <is>
          <t>aggregate</t>
        </is>
      </c>
      <c r="G253" s="3" t="inlineStr">
        <is>
          <t>aggregate</t>
        </is>
      </c>
      <c r="H253" s="10">
        <f>IFERROR(INDEX(Weights!$D:$D,MATCH($A253,Weights!$A:$A,0)),"")</f>
        <v/>
      </c>
      <c r="I253" s="10">
        <f>IFERROR(INDEX('Data_NSA'!$A:$OK,MATCH(I$2,'Data_NSA'!$A:$A,0),MATCH($D253,'Data_NSA'!$1:$1,0)),"")</f>
        <v/>
      </c>
      <c r="J253" s="10">
        <f>IF($E253="","",IFERROR(INDEX('Data_SA'!$A:$LO,MATCH(I$2,'Data_SA'!$A:$A,0),MATCH($E253,'Data_SA'!$1:$1,0)),""))</f>
        <v/>
      </c>
      <c r="K253" s="7">
        <f>IF($E253="","",IFERROR(INDEX('Data_SA'!$A:$LO,MATCH(I$2,'Data_SA'!$A:$A,0),MATCH($E253,'Data_SA'!$1:$1,0))/INDEX('Data_SA'!$A:$LO,MATCH(EDATE(I$2,-1),'Data_SA'!$A:$A,0),MATCH($E253,'Data_SA'!$1:$1,0))-1,""))</f>
        <v/>
      </c>
      <c r="L253" s="7">
        <f>IFERROR(INDEX('Data_NSA'!$A:$OK,MATCH(I$2,'Data_NSA'!$A:$A,0),MATCH($D253,'Data_NSA'!$1:$1,0))/INDEX('Data_NSA'!$A:$OK,MATCH(EDATE(I$2,-12),'Data_NSA'!$A:$A,0),MATCH($D253,'Data_NSA'!$1:$1,0))-1,"")</f>
        <v/>
      </c>
      <c r="M253" s="10">
        <f>IFERROR(INDEX('Weights'!$G:$I,MATCH($A253,'Weights'!$A:$A,0),MATCH(I$2,'Weights'!$G$1:$I$1,0)),"")</f>
        <v/>
      </c>
      <c r="N253" s="10">
        <f>IF($E253="","",IFERROR(100*(INDEX('Weights'!$D:$D,MATCH($A253,'Weights'!$A:$A,0))*(INDEX('Data_NSA'!$A:$OK,MATCH(EDATE(I$2,-1),'Data_NSA'!$A:$A,0),MATCH($D253,'Data_NSA'!$1:$1,0))/INDEX('Data_NSA'!$A:$OK,MATCH(INDEX('Weights'!$E:$E,MATCH($A253,'Weights'!$A:$A,0)),'Data_NSA'!$A:$A,0),MATCH($D253,'Data_NSA'!$1:$1,0))))/(100*(INDEX('Data_NSA'!$A:$OK,MATCH(EDATE(I$2,-1),'Data_NSA'!$A:$A,0),MATCH("CUUR0000SA0",'Data_NSA'!$1:$1,0))/INDEX('Data_NSA'!$A:$OK,MATCH(INDEX('Weights'!$E:$E,MATCH($A253,'Weights'!$A:$A,0)),'Data_NSA'!$A:$A,0),MATCH("CUUR0000SA0",'Data_NSA'!$1:$1,0))))*(INDEX('Data_SA'!$A:$LO,MATCH(I$2,'Data_SA'!$A:$A,0),MATCH($E253,'Data_SA'!$1:$1,0))/INDEX('Data_SA'!$A:$LO,MATCH(EDATE(I$2,-1),'Data_SA'!$A:$A,0),MATCH($E253,'Data_SA'!$1:$1,0))-1),""))</f>
        <v/>
      </c>
      <c r="O253" s="10">
        <f>IFERROR(INDEX('Data_NSA'!$A:$OK,MATCH(O$2,'Data_NSA'!$A:$A,0),MATCH($D253,'Data_NSA'!$1:$1,0)),"")</f>
        <v/>
      </c>
      <c r="P253" s="10">
        <f>IF($E253="","",IFERROR(INDEX('Data_SA'!$A:$LO,MATCH(O$2,'Data_SA'!$A:$A,0),MATCH($E253,'Data_SA'!$1:$1,0)),""))</f>
        <v/>
      </c>
      <c r="Q253" s="7">
        <f>IF($E253="","",IFERROR(INDEX('Data_SA'!$A:$LO,MATCH(O$2,'Data_SA'!$A:$A,0),MATCH($E253,'Data_SA'!$1:$1,0))/INDEX('Data_SA'!$A:$LO,MATCH(EDATE(O$2,-1),'Data_SA'!$A:$A,0),MATCH($E253,'Data_SA'!$1:$1,0))-1,""))</f>
        <v/>
      </c>
      <c r="R253" s="7">
        <f>IFERROR(INDEX('Data_NSA'!$A:$OK,MATCH(O$2,'Data_NSA'!$A:$A,0),MATCH($D253,'Data_NSA'!$1:$1,0))/INDEX('Data_NSA'!$A:$OK,MATCH(EDATE(O$2,-12),'Data_NSA'!$A:$A,0),MATCH($D253,'Data_NSA'!$1:$1,0))-1,"")</f>
        <v/>
      </c>
      <c r="S253" s="10">
        <f>IFERROR(INDEX('Weights'!$G:$I,MATCH($A253,'Weights'!$A:$A,0),MATCH(O$2,'Weights'!$G$1:$I$1,0)),"")</f>
        <v/>
      </c>
      <c r="T253" s="10">
        <f>IF($E253="","",IFERROR(100*(INDEX('Weights'!$D:$D,MATCH($A253,'Weights'!$A:$A,0))*(INDEX('Data_NSA'!$A:$OK,MATCH(EDATE(O$2,-1),'Data_NSA'!$A:$A,0),MATCH($D253,'Data_NSA'!$1:$1,0))/INDEX('Data_NSA'!$A:$OK,MATCH(INDEX('Weights'!$E:$E,MATCH($A253,'Weights'!$A:$A,0)),'Data_NSA'!$A:$A,0),MATCH($D253,'Data_NSA'!$1:$1,0))))/(100*(INDEX('Data_NSA'!$A:$OK,MATCH(EDATE(O$2,-1),'Data_NSA'!$A:$A,0),MATCH("CUUR0000SA0",'Data_NSA'!$1:$1,0))/INDEX('Data_NSA'!$A:$OK,MATCH(INDEX('Weights'!$E:$E,MATCH($A253,'Weights'!$A:$A,0)),'Data_NSA'!$A:$A,0),MATCH("CUUR0000SA0",'Data_NSA'!$1:$1,0))))*(INDEX('Data_SA'!$A:$LO,MATCH(O$2,'Data_SA'!$A:$A,0),MATCH($E253,'Data_SA'!$1:$1,0))/INDEX('Data_SA'!$A:$LO,MATCH(EDATE(O$2,-1),'Data_SA'!$A:$A,0),MATCH($E253,'Data_SA'!$1:$1,0))-1),""))</f>
        <v/>
      </c>
      <c r="U253" s="10">
        <f>IFERROR(INDEX('Data_NSA'!$A:$OK,MATCH(U$2,'Data_NSA'!$A:$A,0),MATCH($D253,'Data_NSA'!$1:$1,0)),"")</f>
        <v/>
      </c>
      <c r="V253" s="10">
        <f>IF($E253="","",IFERROR(INDEX('Data_SA'!$A:$LO,MATCH(U$2,'Data_SA'!$A:$A,0),MATCH($E253,'Data_SA'!$1:$1,0)),""))</f>
        <v/>
      </c>
      <c r="W253" s="7">
        <f>IF($E253="","",IFERROR(INDEX('Data_SA'!$A:$LO,MATCH(U$2,'Data_SA'!$A:$A,0),MATCH($E253,'Data_SA'!$1:$1,0))/INDEX('Data_SA'!$A:$LO,MATCH(EDATE(U$2,-1),'Data_SA'!$A:$A,0),MATCH($E253,'Data_SA'!$1:$1,0))-1,""))</f>
        <v/>
      </c>
      <c r="X253" s="7">
        <f>IFERROR(INDEX('Data_NSA'!$A:$OK,MATCH(U$2,'Data_NSA'!$A:$A,0),MATCH($D253,'Data_NSA'!$1:$1,0))/INDEX('Data_NSA'!$A:$OK,MATCH(EDATE(U$2,-12),'Data_NSA'!$A:$A,0),MATCH($D253,'Data_NSA'!$1:$1,0))-1,"")</f>
        <v/>
      </c>
      <c r="Y253" s="10">
        <f>IFERROR(INDEX('Weights'!$G:$I,MATCH($A253,'Weights'!$A:$A,0),MATCH(U$2,'Weights'!$G$1:$I$1,0)),"")</f>
        <v/>
      </c>
      <c r="Z253" s="10">
        <f>IF($E253="","",IFERROR(100*(INDEX('Weights'!$D:$D,MATCH($A253,'Weights'!$A:$A,0))*(INDEX('Data_NSA'!$A:$OK,MATCH(EDATE(U$2,-1),'Data_NSA'!$A:$A,0),MATCH($D253,'Data_NSA'!$1:$1,0))/INDEX('Data_NSA'!$A:$OK,MATCH(INDEX('Weights'!$E:$E,MATCH($A253,'Weights'!$A:$A,0)),'Data_NSA'!$A:$A,0),MATCH($D253,'Data_NSA'!$1:$1,0))))/(100*(INDEX('Data_NSA'!$A:$OK,MATCH(EDATE(U$2,-1),'Data_NSA'!$A:$A,0),MATCH("CUUR0000SA0",'Data_NSA'!$1:$1,0))/INDEX('Data_NSA'!$A:$OK,MATCH(INDEX('Weights'!$E:$E,MATCH($A253,'Weights'!$A:$A,0)),'Data_NSA'!$A:$A,0),MATCH("CUUR0000SA0",'Data_NSA'!$1:$1,0))))*(INDEX('Data_SA'!$A:$LO,MATCH(U$2,'Data_SA'!$A:$A,0),MATCH($E253,'Data_SA'!$1:$1,0))/INDEX('Data_SA'!$A:$LO,MATCH(EDATE(U$2,-1),'Data_SA'!$A:$A,0),MATCH($E253,'Data_SA'!$1:$1,0))-1),""))</f>
        <v/>
      </c>
    </row>
    <row r="254">
      <c r="A254" s="3" t="inlineStr">
        <is>
          <t>SAM1</t>
        </is>
      </c>
      <c r="B254" s="3" t="inlineStr">
        <is>
          <t>Medical care commodities</t>
        </is>
      </c>
      <c r="C254" s="3" t="inlineStr">
        <is>
          <t>SAM</t>
        </is>
      </c>
      <c r="D254" s="3" t="inlineStr">
        <is>
          <t>CUUR0000SAM1</t>
        </is>
      </c>
      <c r="E254" s="3" t="inlineStr">
        <is>
          <t>CUSR0000SAM1</t>
        </is>
      </c>
      <c r="F254" s="3" t="inlineStr">
        <is>
          <t>GM</t>
        </is>
      </c>
      <c r="G254" s="3" t="inlineStr">
        <is>
          <t>monthly/mixed</t>
        </is>
      </c>
      <c r="H254" s="10">
        <f>IFERROR(INDEX(Weights!$D:$D,MATCH($A254,Weights!$A:$A,0)),"")</f>
        <v/>
      </c>
      <c r="I254" s="10">
        <f>IFERROR(INDEX('Data_NSA'!$A:$OK,MATCH(I$2,'Data_NSA'!$A:$A,0),MATCH($D254,'Data_NSA'!$1:$1,0)),"")</f>
        <v/>
      </c>
      <c r="J254" s="10">
        <f>IF($E254="","",IFERROR(INDEX('Data_SA'!$A:$LO,MATCH(I$2,'Data_SA'!$A:$A,0),MATCH($E254,'Data_SA'!$1:$1,0)),""))</f>
        <v/>
      </c>
      <c r="K254" s="7">
        <f>IF($E254="","",IFERROR(INDEX('Data_SA'!$A:$LO,MATCH(I$2,'Data_SA'!$A:$A,0),MATCH($E254,'Data_SA'!$1:$1,0))/INDEX('Data_SA'!$A:$LO,MATCH(EDATE(I$2,-1),'Data_SA'!$A:$A,0),MATCH($E254,'Data_SA'!$1:$1,0))-1,""))</f>
        <v/>
      </c>
      <c r="L254" s="7">
        <f>IFERROR(INDEX('Data_NSA'!$A:$OK,MATCH(I$2,'Data_NSA'!$A:$A,0),MATCH($D254,'Data_NSA'!$1:$1,0))/INDEX('Data_NSA'!$A:$OK,MATCH(EDATE(I$2,-12),'Data_NSA'!$A:$A,0),MATCH($D254,'Data_NSA'!$1:$1,0))-1,"")</f>
        <v/>
      </c>
      <c r="M254" s="10">
        <f>IFERROR(INDEX('Weights'!$G:$I,MATCH($A254,'Weights'!$A:$A,0),MATCH(I$2,'Weights'!$G$1:$I$1,0)),"")</f>
        <v/>
      </c>
      <c r="N254" s="10">
        <f>IF($E254="","",IFERROR(100*(INDEX('Weights'!$D:$D,MATCH($A254,'Weights'!$A:$A,0))*(INDEX('Data_NSA'!$A:$OK,MATCH(EDATE(I$2,-1),'Data_NSA'!$A:$A,0),MATCH($D254,'Data_NSA'!$1:$1,0))/INDEX('Data_NSA'!$A:$OK,MATCH(INDEX('Weights'!$E:$E,MATCH($A254,'Weights'!$A:$A,0)),'Data_NSA'!$A:$A,0),MATCH($D254,'Data_NSA'!$1:$1,0))))/(100*(INDEX('Data_NSA'!$A:$OK,MATCH(EDATE(I$2,-1),'Data_NSA'!$A:$A,0),MATCH("CUUR0000SA0",'Data_NSA'!$1:$1,0))/INDEX('Data_NSA'!$A:$OK,MATCH(INDEX('Weights'!$E:$E,MATCH($A254,'Weights'!$A:$A,0)),'Data_NSA'!$A:$A,0),MATCH("CUUR0000SA0",'Data_NSA'!$1:$1,0))))*(INDEX('Data_SA'!$A:$LO,MATCH(I$2,'Data_SA'!$A:$A,0),MATCH($E254,'Data_SA'!$1:$1,0))/INDEX('Data_SA'!$A:$LO,MATCH(EDATE(I$2,-1),'Data_SA'!$A:$A,0),MATCH($E254,'Data_SA'!$1:$1,0))-1),""))</f>
        <v/>
      </c>
      <c r="O254" s="10">
        <f>IFERROR(INDEX('Data_NSA'!$A:$OK,MATCH(O$2,'Data_NSA'!$A:$A,0),MATCH($D254,'Data_NSA'!$1:$1,0)),"")</f>
        <v/>
      </c>
      <c r="P254" s="10">
        <f>IF($E254="","",IFERROR(INDEX('Data_SA'!$A:$LO,MATCH(O$2,'Data_SA'!$A:$A,0),MATCH($E254,'Data_SA'!$1:$1,0)),""))</f>
        <v/>
      </c>
      <c r="Q254" s="7">
        <f>IF($E254="","",IFERROR(INDEX('Data_SA'!$A:$LO,MATCH(O$2,'Data_SA'!$A:$A,0),MATCH($E254,'Data_SA'!$1:$1,0))/INDEX('Data_SA'!$A:$LO,MATCH(EDATE(O$2,-1),'Data_SA'!$A:$A,0),MATCH($E254,'Data_SA'!$1:$1,0))-1,""))</f>
        <v/>
      </c>
      <c r="R254" s="7">
        <f>IFERROR(INDEX('Data_NSA'!$A:$OK,MATCH(O$2,'Data_NSA'!$A:$A,0),MATCH($D254,'Data_NSA'!$1:$1,0))/INDEX('Data_NSA'!$A:$OK,MATCH(EDATE(O$2,-12),'Data_NSA'!$A:$A,0),MATCH($D254,'Data_NSA'!$1:$1,0))-1,"")</f>
        <v/>
      </c>
      <c r="S254" s="10">
        <f>IFERROR(INDEX('Weights'!$G:$I,MATCH($A254,'Weights'!$A:$A,0),MATCH(O$2,'Weights'!$G$1:$I$1,0)),"")</f>
        <v/>
      </c>
      <c r="T254" s="10">
        <f>IF($E254="","",IFERROR(100*(INDEX('Weights'!$D:$D,MATCH($A254,'Weights'!$A:$A,0))*(INDEX('Data_NSA'!$A:$OK,MATCH(EDATE(O$2,-1),'Data_NSA'!$A:$A,0),MATCH($D254,'Data_NSA'!$1:$1,0))/INDEX('Data_NSA'!$A:$OK,MATCH(INDEX('Weights'!$E:$E,MATCH($A254,'Weights'!$A:$A,0)),'Data_NSA'!$A:$A,0),MATCH($D254,'Data_NSA'!$1:$1,0))))/(100*(INDEX('Data_NSA'!$A:$OK,MATCH(EDATE(O$2,-1),'Data_NSA'!$A:$A,0),MATCH("CUUR0000SA0",'Data_NSA'!$1:$1,0))/INDEX('Data_NSA'!$A:$OK,MATCH(INDEX('Weights'!$E:$E,MATCH($A254,'Weights'!$A:$A,0)),'Data_NSA'!$A:$A,0),MATCH("CUUR0000SA0",'Data_NSA'!$1:$1,0))))*(INDEX('Data_SA'!$A:$LO,MATCH(O$2,'Data_SA'!$A:$A,0),MATCH($E254,'Data_SA'!$1:$1,0))/INDEX('Data_SA'!$A:$LO,MATCH(EDATE(O$2,-1),'Data_SA'!$A:$A,0),MATCH($E254,'Data_SA'!$1:$1,0))-1),""))</f>
        <v/>
      </c>
      <c r="U254" s="10">
        <f>IFERROR(INDEX('Data_NSA'!$A:$OK,MATCH(U$2,'Data_NSA'!$A:$A,0),MATCH($D254,'Data_NSA'!$1:$1,0)),"")</f>
        <v/>
      </c>
      <c r="V254" s="10">
        <f>IF($E254="","",IFERROR(INDEX('Data_SA'!$A:$LO,MATCH(U$2,'Data_SA'!$A:$A,0),MATCH($E254,'Data_SA'!$1:$1,0)),""))</f>
        <v/>
      </c>
      <c r="W254" s="7">
        <f>IF($E254="","",IFERROR(INDEX('Data_SA'!$A:$LO,MATCH(U$2,'Data_SA'!$A:$A,0),MATCH($E254,'Data_SA'!$1:$1,0))/INDEX('Data_SA'!$A:$LO,MATCH(EDATE(U$2,-1),'Data_SA'!$A:$A,0),MATCH($E254,'Data_SA'!$1:$1,0))-1,""))</f>
        <v/>
      </c>
      <c r="X254" s="7">
        <f>IFERROR(INDEX('Data_NSA'!$A:$OK,MATCH(U$2,'Data_NSA'!$A:$A,0),MATCH($D254,'Data_NSA'!$1:$1,0))/INDEX('Data_NSA'!$A:$OK,MATCH(EDATE(U$2,-12),'Data_NSA'!$A:$A,0),MATCH($D254,'Data_NSA'!$1:$1,0))-1,"")</f>
        <v/>
      </c>
      <c r="Y254" s="10">
        <f>IFERROR(INDEX('Weights'!$G:$I,MATCH($A254,'Weights'!$A:$A,0),MATCH(U$2,'Weights'!$G$1:$I$1,0)),"")</f>
        <v/>
      </c>
      <c r="Z254" s="10">
        <f>IF($E254="","",IFERROR(100*(INDEX('Weights'!$D:$D,MATCH($A254,'Weights'!$A:$A,0))*(INDEX('Data_NSA'!$A:$OK,MATCH(EDATE(U$2,-1),'Data_NSA'!$A:$A,0),MATCH($D254,'Data_NSA'!$1:$1,0))/INDEX('Data_NSA'!$A:$OK,MATCH(INDEX('Weights'!$E:$E,MATCH($A254,'Weights'!$A:$A,0)),'Data_NSA'!$A:$A,0),MATCH($D254,'Data_NSA'!$1:$1,0))))/(100*(INDEX('Data_NSA'!$A:$OK,MATCH(EDATE(U$2,-1),'Data_NSA'!$A:$A,0),MATCH("CUUR0000SA0",'Data_NSA'!$1:$1,0))/INDEX('Data_NSA'!$A:$OK,MATCH(INDEX('Weights'!$E:$E,MATCH($A254,'Weights'!$A:$A,0)),'Data_NSA'!$A:$A,0),MATCH("CUUR0000SA0",'Data_NSA'!$1:$1,0))))*(INDEX('Data_SA'!$A:$LO,MATCH(U$2,'Data_SA'!$A:$A,0),MATCH($E254,'Data_SA'!$1:$1,0))/INDEX('Data_SA'!$A:$LO,MATCH(EDATE(U$2,-1),'Data_SA'!$A:$A,0),MATCH($E254,'Data_SA'!$1:$1,0))-1),""))</f>
        <v/>
      </c>
    </row>
    <row r="255">
      <c r="A255" s="3" t="inlineStr">
        <is>
          <t>SEMF</t>
        </is>
      </c>
      <c r="B255" s="3" t="inlineStr">
        <is>
          <t>Medicinal drugs</t>
        </is>
      </c>
      <c r="C255" s="3" t="inlineStr">
        <is>
          <t>SAM1</t>
        </is>
      </c>
      <c r="D255" s="3" t="inlineStr">
        <is>
          <t>CUUR0000SEMF</t>
        </is>
      </c>
      <c r="E255" s="3" t="inlineStr">
        <is>
          <t>CUSR0000SEMF</t>
        </is>
      </c>
      <c r="F255" s="3" t="inlineStr">
        <is>
          <t>aggregate</t>
        </is>
      </c>
      <c r="G255" s="3" t="inlineStr">
        <is>
          <t>aggregate</t>
        </is>
      </c>
      <c r="H255" s="10">
        <f>IFERROR(INDEX(Weights!$D:$D,MATCH($A255,Weights!$A:$A,0)),"")</f>
        <v/>
      </c>
      <c r="I255" s="10">
        <f>IFERROR(INDEX('Data_NSA'!$A:$OK,MATCH(I$2,'Data_NSA'!$A:$A,0),MATCH($D255,'Data_NSA'!$1:$1,0)),"")</f>
        <v/>
      </c>
      <c r="J255" s="10">
        <f>IF($E255="","",IFERROR(INDEX('Data_SA'!$A:$LO,MATCH(I$2,'Data_SA'!$A:$A,0),MATCH($E255,'Data_SA'!$1:$1,0)),""))</f>
        <v/>
      </c>
      <c r="K255" s="7">
        <f>IF($E255="","",IFERROR(INDEX('Data_SA'!$A:$LO,MATCH(I$2,'Data_SA'!$A:$A,0),MATCH($E255,'Data_SA'!$1:$1,0))/INDEX('Data_SA'!$A:$LO,MATCH(EDATE(I$2,-1),'Data_SA'!$A:$A,0),MATCH($E255,'Data_SA'!$1:$1,0))-1,""))</f>
        <v/>
      </c>
      <c r="L255" s="7">
        <f>IFERROR(INDEX('Data_NSA'!$A:$OK,MATCH(I$2,'Data_NSA'!$A:$A,0),MATCH($D255,'Data_NSA'!$1:$1,0))/INDEX('Data_NSA'!$A:$OK,MATCH(EDATE(I$2,-12),'Data_NSA'!$A:$A,0),MATCH($D255,'Data_NSA'!$1:$1,0))-1,"")</f>
        <v/>
      </c>
      <c r="M255" s="10">
        <f>IFERROR(INDEX('Weights'!$G:$I,MATCH($A255,'Weights'!$A:$A,0),MATCH(I$2,'Weights'!$G$1:$I$1,0)),"")</f>
        <v/>
      </c>
      <c r="N255" s="10">
        <f>IF($E255="","",IFERROR(100*(INDEX('Weights'!$D:$D,MATCH($A255,'Weights'!$A:$A,0))*(INDEX('Data_NSA'!$A:$OK,MATCH(EDATE(I$2,-1),'Data_NSA'!$A:$A,0),MATCH($D255,'Data_NSA'!$1:$1,0))/INDEX('Data_NSA'!$A:$OK,MATCH(INDEX('Weights'!$E:$E,MATCH($A255,'Weights'!$A:$A,0)),'Data_NSA'!$A:$A,0),MATCH($D255,'Data_NSA'!$1:$1,0))))/(100*(INDEX('Data_NSA'!$A:$OK,MATCH(EDATE(I$2,-1),'Data_NSA'!$A:$A,0),MATCH("CUUR0000SA0",'Data_NSA'!$1:$1,0))/INDEX('Data_NSA'!$A:$OK,MATCH(INDEX('Weights'!$E:$E,MATCH($A255,'Weights'!$A:$A,0)),'Data_NSA'!$A:$A,0),MATCH("CUUR0000SA0",'Data_NSA'!$1:$1,0))))*(INDEX('Data_SA'!$A:$LO,MATCH(I$2,'Data_SA'!$A:$A,0),MATCH($E255,'Data_SA'!$1:$1,0))/INDEX('Data_SA'!$A:$LO,MATCH(EDATE(I$2,-1),'Data_SA'!$A:$A,0),MATCH($E255,'Data_SA'!$1:$1,0))-1),""))</f>
        <v/>
      </c>
      <c r="O255" s="10">
        <f>IFERROR(INDEX('Data_NSA'!$A:$OK,MATCH(O$2,'Data_NSA'!$A:$A,0),MATCH($D255,'Data_NSA'!$1:$1,0)),"")</f>
        <v/>
      </c>
      <c r="P255" s="10">
        <f>IF($E255="","",IFERROR(INDEX('Data_SA'!$A:$LO,MATCH(O$2,'Data_SA'!$A:$A,0),MATCH($E255,'Data_SA'!$1:$1,0)),""))</f>
        <v/>
      </c>
      <c r="Q255" s="7">
        <f>IF($E255="","",IFERROR(INDEX('Data_SA'!$A:$LO,MATCH(O$2,'Data_SA'!$A:$A,0),MATCH($E255,'Data_SA'!$1:$1,0))/INDEX('Data_SA'!$A:$LO,MATCH(EDATE(O$2,-1),'Data_SA'!$A:$A,0),MATCH($E255,'Data_SA'!$1:$1,0))-1,""))</f>
        <v/>
      </c>
      <c r="R255" s="7">
        <f>IFERROR(INDEX('Data_NSA'!$A:$OK,MATCH(O$2,'Data_NSA'!$A:$A,0),MATCH($D255,'Data_NSA'!$1:$1,0))/INDEX('Data_NSA'!$A:$OK,MATCH(EDATE(O$2,-12),'Data_NSA'!$A:$A,0),MATCH($D255,'Data_NSA'!$1:$1,0))-1,"")</f>
        <v/>
      </c>
      <c r="S255" s="10">
        <f>IFERROR(INDEX('Weights'!$G:$I,MATCH($A255,'Weights'!$A:$A,0),MATCH(O$2,'Weights'!$G$1:$I$1,0)),"")</f>
        <v/>
      </c>
      <c r="T255" s="10">
        <f>IF($E255="","",IFERROR(100*(INDEX('Weights'!$D:$D,MATCH($A255,'Weights'!$A:$A,0))*(INDEX('Data_NSA'!$A:$OK,MATCH(EDATE(O$2,-1),'Data_NSA'!$A:$A,0),MATCH($D255,'Data_NSA'!$1:$1,0))/INDEX('Data_NSA'!$A:$OK,MATCH(INDEX('Weights'!$E:$E,MATCH($A255,'Weights'!$A:$A,0)),'Data_NSA'!$A:$A,0),MATCH($D255,'Data_NSA'!$1:$1,0))))/(100*(INDEX('Data_NSA'!$A:$OK,MATCH(EDATE(O$2,-1),'Data_NSA'!$A:$A,0),MATCH("CUUR0000SA0",'Data_NSA'!$1:$1,0))/INDEX('Data_NSA'!$A:$OK,MATCH(INDEX('Weights'!$E:$E,MATCH($A255,'Weights'!$A:$A,0)),'Data_NSA'!$A:$A,0),MATCH("CUUR0000SA0",'Data_NSA'!$1:$1,0))))*(INDEX('Data_SA'!$A:$LO,MATCH(O$2,'Data_SA'!$A:$A,0),MATCH($E255,'Data_SA'!$1:$1,0))/INDEX('Data_SA'!$A:$LO,MATCH(EDATE(O$2,-1),'Data_SA'!$A:$A,0),MATCH($E255,'Data_SA'!$1:$1,0))-1),""))</f>
        <v/>
      </c>
      <c r="U255" s="10">
        <f>IFERROR(INDEX('Data_NSA'!$A:$OK,MATCH(U$2,'Data_NSA'!$A:$A,0),MATCH($D255,'Data_NSA'!$1:$1,0)),"")</f>
        <v/>
      </c>
      <c r="V255" s="10">
        <f>IF($E255="","",IFERROR(INDEX('Data_SA'!$A:$LO,MATCH(U$2,'Data_SA'!$A:$A,0),MATCH($E255,'Data_SA'!$1:$1,0)),""))</f>
        <v/>
      </c>
      <c r="W255" s="7">
        <f>IF($E255="","",IFERROR(INDEX('Data_SA'!$A:$LO,MATCH(U$2,'Data_SA'!$A:$A,0),MATCH($E255,'Data_SA'!$1:$1,0))/INDEX('Data_SA'!$A:$LO,MATCH(EDATE(U$2,-1),'Data_SA'!$A:$A,0),MATCH($E255,'Data_SA'!$1:$1,0))-1,""))</f>
        <v/>
      </c>
      <c r="X255" s="7">
        <f>IFERROR(INDEX('Data_NSA'!$A:$OK,MATCH(U$2,'Data_NSA'!$A:$A,0),MATCH($D255,'Data_NSA'!$1:$1,0))/INDEX('Data_NSA'!$A:$OK,MATCH(EDATE(U$2,-12),'Data_NSA'!$A:$A,0),MATCH($D255,'Data_NSA'!$1:$1,0))-1,"")</f>
        <v/>
      </c>
      <c r="Y255" s="10">
        <f>IFERROR(INDEX('Weights'!$G:$I,MATCH($A255,'Weights'!$A:$A,0),MATCH(U$2,'Weights'!$G$1:$I$1,0)),"")</f>
        <v/>
      </c>
      <c r="Z255" s="10">
        <f>IF($E255="","",IFERROR(100*(INDEX('Weights'!$D:$D,MATCH($A255,'Weights'!$A:$A,0))*(INDEX('Data_NSA'!$A:$OK,MATCH(EDATE(U$2,-1),'Data_NSA'!$A:$A,0),MATCH($D255,'Data_NSA'!$1:$1,0))/INDEX('Data_NSA'!$A:$OK,MATCH(INDEX('Weights'!$E:$E,MATCH($A255,'Weights'!$A:$A,0)),'Data_NSA'!$A:$A,0),MATCH($D255,'Data_NSA'!$1:$1,0))))/(100*(INDEX('Data_NSA'!$A:$OK,MATCH(EDATE(U$2,-1),'Data_NSA'!$A:$A,0),MATCH("CUUR0000SA0",'Data_NSA'!$1:$1,0))/INDEX('Data_NSA'!$A:$OK,MATCH(INDEX('Weights'!$E:$E,MATCH($A255,'Weights'!$A:$A,0)),'Data_NSA'!$A:$A,0),MATCH("CUUR0000SA0",'Data_NSA'!$1:$1,0))))*(INDEX('Data_SA'!$A:$LO,MATCH(U$2,'Data_SA'!$A:$A,0),MATCH($E255,'Data_SA'!$1:$1,0))/INDEX('Data_SA'!$A:$LO,MATCH(EDATE(U$2,-1),'Data_SA'!$A:$A,0),MATCH($E255,'Data_SA'!$1:$1,0))-1),""))</f>
        <v/>
      </c>
    </row>
    <row r="256">
      <c r="A256" s="3" t="inlineStr">
        <is>
          <t>SEMF01</t>
        </is>
      </c>
      <c r="B256" s="3" t="inlineStr">
        <is>
          <t>Prescription drugs</t>
        </is>
      </c>
      <c r="C256" s="3" t="inlineStr">
        <is>
          <t>SEMF</t>
        </is>
      </c>
      <c r="D256" s="3" t="inlineStr">
        <is>
          <t>CUUR0000SEMF01</t>
        </is>
      </c>
      <c r="E256" s="3" t="inlineStr">
        <is>
          <t>CUSR0000SEMF01</t>
        </is>
      </c>
      <c r="F256" s="3" t="inlineStr">
        <is>
          <t>GM</t>
        </is>
      </c>
      <c r="G256" s="3" t="inlineStr">
        <is>
          <t>monthly in New York/Los Angeles/Chicago; often bimonthly elsewhere</t>
        </is>
      </c>
      <c r="H256" s="10">
        <f>IFERROR(INDEX(Weights!$D:$D,MATCH($A256,Weights!$A:$A,0)),"")</f>
        <v/>
      </c>
      <c r="I256" s="10">
        <f>IFERROR(INDEX('Data_NSA'!$A:$OK,MATCH(I$2,'Data_NSA'!$A:$A,0),MATCH($D256,'Data_NSA'!$1:$1,0)),"")</f>
        <v/>
      </c>
      <c r="J256" s="10">
        <f>IF($E256="","",IFERROR(INDEX('Data_SA'!$A:$LO,MATCH(I$2,'Data_SA'!$A:$A,0),MATCH($E256,'Data_SA'!$1:$1,0)),""))</f>
        <v/>
      </c>
      <c r="K256" s="7">
        <f>IF($E256="","",IFERROR(INDEX('Data_SA'!$A:$LO,MATCH(I$2,'Data_SA'!$A:$A,0),MATCH($E256,'Data_SA'!$1:$1,0))/INDEX('Data_SA'!$A:$LO,MATCH(EDATE(I$2,-1),'Data_SA'!$A:$A,0),MATCH($E256,'Data_SA'!$1:$1,0))-1,""))</f>
        <v/>
      </c>
      <c r="L256" s="7">
        <f>IFERROR(INDEX('Data_NSA'!$A:$OK,MATCH(I$2,'Data_NSA'!$A:$A,0),MATCH($D256,'Data_NSA'!$1:$1,0))/INDEX('Data_NSA'!$A:$OK,MATCH(EDATE(I$2,-12),'Data_NSA'!$A:$A,0),MATCH($D256,'Data_NSA'!$1:$1,0))-1,"")</f>
        <v/>
      </c>
      <c r="M256" s="10">
        <f>IFERROR(INDEX('Weights'!$G:$I,MATCH($A256,'Weights'!$A:$A,0),MATCH(I$2,'Weights'!$G$1:$I$1,0)),"")</f>
        <v/>
      </c>
      <c r="N256" s="10">
        <f>IF($E256="","",IFERROR(100*(INDEX('Weights'!$D:$D,MATCH($A256,'Weights'!$A:$A,0))*(INDEX('Data_NSA'!$A:$OK,MATCH(EDATE(I$2,-1),'Data_NSA'!$A:$A,0),MATCH($D256,'Data_NSA'!$1:$1,0))/INDEX('Data_NSA'!$A:$OK,MATCH(INDEX('Weights'!$E:$E,MATCH($A256,'Weights'!$A:$A,0)),'Data_NSA'!$A:$A,0),MATCH($D256,'Data_NSA'!$1:$1,0))))/(100*(INDEX('Data_NSA'!$A:$OK,MATCH(EDATE(I$2,-1),'Data_NSA'!$A:$A,0),MATCH("CUUR0000SA0",'Data_NSA'!$1:$1,0))/INDEX('Data_NSA'!$A:$OK,MATCH(INDEX('Weights'!$E:$E,MATCH($A256,'Weights'!$A:$A,0)),'Data_NSA'!$A:$A,0),MATCH("CUUR0000SA0",'Data_NSA'!$1:$1,0))))*(INDEX('Data_SA'!$A:$LO,MATCH(I$2,'Data_SA'!$A:$A,0),MATCH($E256,'Data_SA'!$1:$1,0))/INDEX('Data_SA'!$A:$LO,MATCH(EDATE(I$2,-1),'Data_SA'!$A:$A,0),MATCH($E256,'Data_SA'!$1:$1,0))-1),""))</f>
        <v/>
      </c>
      <c r="O256" s="10">
        <f>IFERROR(INDEX('Data_NSA'!$A:$OK,MATCH(O$2,'Data_NSA'!$A:$A,0),MATCH($D256,'Data_NSA'!$1:$1,0)),"")</f>
        <v/>
      </c>
      <c r="P256" s="10">
        <f>IF($E256="","",IFERROR(INDEX('Data_SA'!$A:$LO,MATCH(O$2,'Data_SA'!$A:$A,0),MATCH($E256,'Data_SA'!$1:$1,0)),""))</f>
        <v/>
      </c>
      <c r="Q256" s="7">
        <f>IF($E256="","",IFERROR(INDEX('Data_SA'!$A:$LO,MATCH(O$2,'Data_SA'!$A:$A,0),MATCH($E256,'Data_SA'!$1:$1,0))/INDEX('Data_SA'!$A:$LO,MATCH(EDATE(O$2,-1),'Data_SA'!$A:$A,0),MATCH($E256,'Data_SA'!$1:$1,0))-1,""))</f>
        <v/>
      </c>
      <c r="R256" s="7">
        <f>IFERROR(INDEX('Data_NSA'!$A:$OK,MATCH(O$2,'Data_NSA'!$A:$A,0),MATCH($D256,'Data_NSA'!$1:$1,0))/INDEX('Data_NSA'!$A:$OK,MATCH(EDATE(O$2,-12),'Data_NSA'!$A:$A,0),MATCH($D256,'Data_NSA'!$1:$1,0))-1,"")</f>
        <v/>
      </c>
      <c r="S256" s="10">
        <f>IFERROR(INDEX('Weights'!$G:$I,MATCH($A256,'Weights'!$A:$A,0),MATCH(O$2,'Weights'!$G$1:$I$1,0)),"")</f>
        <v/>
      </c>
      <c r="T256" s="10">
        <f>IF($E256="","",IFERROR(100*(INDEX('Weights'!$D:$D,MATCH($A256,'Weights'!$A:$A,0))*(INDEX('Data_NSA'!$A:$OK,MATCH(EDATE(O$2,-1),'Data_NSA'!$A:$A,0),MATCH($D256,'Data_NSA'!$1:$1,0))/INDEX('Data_NSA'!$A:$OK,MATCH(INDEX('Weights'!$E:$E,MATCH($A256,'Weights'!$A:$A,0)),'Data_NSA'!$A:$A,0),MATCH($D256,'Data_NSA'!$1:$1,0))))/(100*(INDEX('Data_NSA'!$A:$OK,MATCH(EDATE(O$2,-1),'Data_NSA'!$A:$A,0),MATCH("CUUR0000SA0",'Data_NSA'!$1:$1,0))/INDEX('Data_NSA'!$A:$OK,MATCH(INDEX('Weights'!$E:$E,MATCH($A256,'Weights'!$A:$A,0)),'Data_NSA'!$A:$A,0),MATCH("CUUR0000SA0",'Data_NSA'!$1:$1,0))))*(INDEX('Data_SA'!$A:$LO,MATCH(O$2,'Data_SA'!$A:$A,0),MATCH($E256,'Data_SA'!$1:$1,0))/INDEX('Data_SA'!$A:$LO,MATCH(EDATE(O$2,-1),'Data_SA'!$A:$A,0),MATCH($E256,'Data_SA'!$1:$1,0))-1),""))</f>
        <v/>
      </c>
      <c r="U256" s="10">
        <f>IFERROR(INDEX('Data_NSA'!$A:$OK,MATCH(U$2,'Data_NSA'!$A:$A,0),MATCH($D256,'Data_NSA'!$1:$1,0)),"")</f>
        <v/>
      </c>
      <c r="V256" s="10">
        <f>IF($E256="","",IFERROR(INDEX('Data_SA'!$A:$LO,MATCH(U$2,'Data_SA'!$A:$A,0),MATCH($E256,'Data_SA'!$1:$1,0)),""))</f>
        <v/>
      </c>
      <c r="W256" s="7">
        <f>IF($E256="","",IFERROR(INDEX('Data_SA'!$A:$LO,MATCH(U$2,'Data_SA'!$A:$A,0),MATCH($E256,'Data_SA'!$1:$1,0))/INDEX('Data_SA'!$A:$LO,MATCH(EDATE(U$2,-1),'Data_SA'!$A:$A,0),MATCH($E256,'Data_SA'!$1:$1,0))-1,""))</f>
        <v/>
      </c>
      <c r="X256" s="7">
        <f>IFERROR(INDEX('Data_NSA'!$A:$OK,MATCH(U$2,'Data_NSA'!$A:$A,0),MATCH($D256,'Data_NSA'!$1:$1,0))/INDEX('Data_NSA'!$A:$OK,MATCH(EDATE(U$2,-12),'Data_NSA'!$A:$A,0),MATCH($D256,'Data_NSA'!$1:$1,0))-1,"")</f>
        <v/>
      </c>
      <c r="Y256" s="10">
        <f>IFERROR(INDEX('Weights'!$G:$I,MATCH($A256,'Weights'!$A:$A,0),MATCH(U$2,'Weights'!$G$1:$I$1,0)),"")</f>
        <v/>
      </c>
      <c r="Z256" s="10">
        <f>IF($E256="","",IFERROR(100*(INDEX('Weights'!$D:$D,MATCH($A256,'Weights'!$A:$A,0))*(INDEX('Data_NSA'!$A:$OK,MATCH(EDATE(U$2,-1),'Data_NSA'!$A:$A,0),MATCH($D256,'Data_NSA'!$1:$1,0))/INDEX('Data_NSA'!$A:$OK,MATCH(INDEX('Weights'!$E:$E,MATCH($A256,'Weights'!$A:$A,0)),'Data_NSA'!$A:$A,0),MATCH($D256,'Data_NSA'!$1:$1,0))))/(100*(INDEX('Data_NSA'!$A:$OK,MATCH(EDATE(U$2,-1),'Data_NSA'!$A:$A,0),MATCH("CUUR0000SA0",'Data_NSA'!$1:$1,0))/INDEX('Data_NSA'!$A:$OK,MATCH(INDEX('Weights'!$E:$E,MATCH($A256,'Weights'!$A:$A,0)),'Data_NSA'!$A:$A,0),MATCH("CUUR0000SA0",'Data_NSA'!$1:$1,0))))*(INDEX('Data_SA'!$A:$LO,MATCH(U$2,'Data_SA'!$A:$A,0),MATCH($E256,'Data_SA'!$1:$1,0))/INDEX('Data_SA'!$A:$LO,MATCH(EDATE(U$2,-1),'Data_SA'!$A:$A,0),MATCH($E256,'Data_SA'!$1:$1,0))-1),""))</f>
        <v/>
      </c>
    </row>
    <row r="257">
      <c r="A257" s="3" t="inlineStr">
        <is>
          <t>SEMF02</t>
        </is>
      </c>
      <c r="B257" s="3" t="inlineStr">
        <is>
          <t>Nonprescription drugs</t>
        </is>
      </c>
      <c r="C257" s="3" t="inlineStr">
        <is>
          <t>SEMF</t>
        </is>
      </c>
      <c r="D257" s="3" t="inlineStr">
        <is>
          <t>CUUR0000SEMF02</t>
        </is>
      </c>
      <c r="E257" s="3" t="inlineStr">
        <is>
          <t>CUSR0000SEMF02</t>
        </is>
      </c>
      <c r="F257" s="3" t="inlineStr">
        <is>
          <t>GM</t>
        </is>
      </c>
      <c r="G257" s="3" t="inlineStr">
        <is>
          <t>monthly in New York/Los Angeles/Chicago; often bimonthly elsewhere</t>
        </is>
      </c>
      <c r="H257" s="10">
        <f>IFERROR(INDEX(Weights!$D:$D,MATCH($A257,Weights!$A:$A,0)),"")</f>
        <v/>
      </c>
      <c r="I257" s="10">
        <f>IFERROR(INDEX('Data_NSA'!$A:$OK,MATCH(I$2,'Data_NSA'!$A:$A,0),MATCH($D257,'Data_NSA'!$1:$1,0)),"")</f>
        <v/>
      </c>
      <c r="J257" s="10">
        <f>IF($E257="","",IFERROR(INDEX('Data_SA'!$A:$LO,MATCH(I$2,'Data_SA'!$A:$A,0),MATCH($E257,'Data_SA'!$1:$1,0)),""))</f>
        <v/>
      </c>
      <c r="K257" s="7">
        <f>IF($E257="","",IFERROR(INDEX('Data_SA'!$A:$LO,MATCH(I$2,'Data_SA'!$A:$A,0),MATCH($E257,'Data_SA'!$1:$1,0))/INDEX('Data_SA'!$A:$LO,MATCH(EDATE(I$2,-1),'Data_SA'!$A:$A,0),MATCH($E257,'Data_SA'!$1:$1,0))-1,""))</f>
        <v/>
      </c>
      <c r="L257" s="7">
        <f>IFERROR(INDEX('Data_NSA'!$A:$OK,MATCH(I$2,'Data_NSA'!$A:$A,0),MATCH($D257,'Data_NSA'!$1:$1,0))/INDEX('Data_NSA'!$A:$OK,MATCH(EDATE(I$2,-12),'Data_NSA'!$A:$A,0),MATCH($D257,'Data_NSA'!$1:$1,0))-1,"")</f>
        <v/>
      </c>
      <c r="M257" s="10">
        <f>IFERROR(INDEX('Weights'!$G:$I,MATCH($A257,'Weights'!$A:$A,0),MATCH(I$2,'Weights'!$G$1:$I$1,0)),"")</f>
        <v/>
      </c>
      <c r="N257" s="10">
        <f>IF($E257="","",IFERROR(100*(INDEX('Weights'!$D:$D,MATCH($A257,'Weights'!$A:$A,0))*(INDEX('Data_NSA'!$A:$OK,MATCH(EDATE(I$2,-1),'Data_NSA'!$A:$A,0),MATCH($D257,'Data_NSA'!$1:$1,0))/INDEX('Data_NSA'!$A:$OK,MATCH(INDEX('Weights'!$E:$E,MATCH($A257,'Weights'!$A:$A,0)),'Data_NSA'!$A:$A,0),MATCH($D257,'Data_NSA'!$1:$1,0))))/(100*(INDEX('Data_NSA'!$A:$OK,MATCH(EDATE(I$2,-1),'Data_NSA'!$A:$A,0),MATCH("CUUR0000SA0",'Data_NSA'!$1:$1,0))/INDEX('Data_NSA'!$A:$OK,MATCH(INDEX('Weights'!$E:$E,MATCH($A257,'Weights'!$A:$A,0)),'Data_NSA'!$A:$A,0),MATCH("CUUR0000SA0",'Data_NSA'!$1:$1,0))))*(INDEX('Data_SA'!$A:$LO,MATCH(I$2,'Data_SA'!$A:$A,0),MATCH($E257,'Data_SA'!$1:$1,0))/INDEX('Data_SA'!$A:$LO,MATCH(EDATE(I$2,-1),'Data_SA'!$A:$A,0),MATCH($E257,'Data_SA'!$1:$1,0))-1),""))</f>
        <v/>
      </c>
      <c r="O257" s="10">
        <f>IFERROR(INDEX('Data_NSA'!$A:$OK,MATCH(O$2,'Data_NSA'!$A:$A,0),MATCH($D257,'Data_NSA'!$1:$1,0)),"")</f>
        <v/>
      </c>
      <c r="P257" s="10">
        <f>IF($E257="","",IFERROR(INDEX('Data_SA'!$A:$LO,MATCH(O$2,'Data_SA'!$A:$A,0),MATCH($E257,'Data_SA'!$1:$1,0)),""))</f>
        <v/>
      </c>
      <c r="Q257" s="7">
        <f>IF($E257="","",IFERROR(INDEX('Data_SA'!$A:$LO,MATCH(O$2,'Data_SA'!$A:$A,0),MATCH($E257,'Data_SA'!$1:$1,0))/INDEX('Data_SA'!$A:$LO,MATCH(EDATE(O$2,-1),'Data_SA'!$A:$A,0),MATCH($E257,'Data_SA'!$1:$1,0))-1,""))</f>
        <v/>
      </c>
      <c r="R257" s="7">
        <f>IFERROR(INDEX('Data_NSA'!$A:$OK,MATCH(O$2,'Data_NSA'!$A:$A,0),MATCH($D257,'Data_NSA'!$1:$1,0))/INDEX('Data_NSA'!$A:$OK,MATCH(EDATE(O$2,-12),'Data_NSA'!$A:$A,0),MATCH($D257,'Data_NSA'!$1:$1,0))-1,"")</f>
        <v/>
      </c>
      <c r="S257" s="10">
        <f>IFERROR(INDEX('Weights'!$G:$I,MATCH($A257,'Weights'!$A:$A,0),MATCH(O$2,'Weights'!$G$1:$I$1,0)),"")</f>
        <v/>
      </c>
      <c r="T257" s="10">
        <f>IF($E257="","",IFERROR(100*(INDEX('Weights'!$D:$D,MATCH($A257,'Weights'!$A:$A,0))*(INDEX('Data_NSA'!$A:$OK,MATCH(EDATE(O$2,-1),'Data_NSA'!$A:$A,0),MATCH($D257,'Data_NSA'!$1:$1,0))/INDEX('Data_NSA'!$A:$OK,MATCH(INDEX('Weights'!$E:$E,MATCH($A257,'Weights'!$A:$A,0)),'Data_NSA'!$A:$A,0),MATCH($D257,'Data_NSA'!$1:$1,0))))/(100*(INDEX('Data_NSA'!$A:$OK,MATCH(EDATE(O$2,-1),'Data_NSA'!$A:$A,0),MATCH("CUUR0000SA0",'Data_NSA'!$1:$1,0))/INDEX('Data_NSA'!$A:$OK,MATCH(INDEX('Weights'!$E:$E,MATCH($A257,'Weights'!$A:$A,0)),'Data_NSA'!$A:$A,0),MATCH("CUUR0000SA0",'Data_NSA'!$1:$1,0))))*(INDEX('Data_SA'!$A:$LO,MATCH(O$2,'Data_SA'!$A:$A,0),MATCH($E257,'Data_SA'!$1:$1,0))/INDEX('Data_SA'!$A:$LO,MATCH(EDATE(O$2,-1),'Data_SA'!$A:$A,0),MATCH($E257,'Data_SA'!$1:$1,0))-1),""))</f>
        <v/>
      </c>
      <c r="U257" s="10">
        <f>IFERROR(INDEX('Data_NSA'!$A:$OK,MATCH(U$2,'Data_NSA'!$A:$A,0),MATCH($D257,'Data_NSA'!$1:$1,0)),"")</f>
        <v/>
      </c>
      <c r="V257" s="10">
        <f>IF($E257="","",IFERROR(INDEX('Data_SA'!$A:$LO,MATCH(U$2,'Data_SA'!$A:$A,0),MATCH($E257,'Data_SA'!$1:$1,0)),""))</f>
        <v/>
      </c>
      <c r="W257" s="7">
        <f>IF($E257="","",IFERROR(INDEX('Data_SA'!$A:$LO,MATCH(U$2,'Data_SA'!$A:$A,0),MATCH($E257,'Data_SA'!$1:$1,0))/INDEX('Data_SA'!$A:$LO,MATCH(EDATE(U$2,-1),'Data_SA'!$A:$A,0),MATCH($E257,'Data_SA'!$1:$1,0))-1,""))</f>
        <v/>
      </c>
      <c r="X257" s="7">
        <f>IFERROR(INDEX('Data_NSA'!$A:$OK,MATCH(U$2,'Data_NSA'!$A:$A,0),MATCH($D257,'Data_NSA'!$1:$1,0))/INDEX('Data_NSA'!$A:$OK,MATCH(EDATE(U$2,-12),'Data_NSA'!$A:$A,0),MATCH($D257,'Data_NSA'!$1:$1,0))-1,"")</f>
        <v/>
      </c>
      <c r="Y257" s="10">
        <f>IFERROR(INDEX('Weights'!$G:$I,MATCH($A257,'Weights'!$A:$A,0),MATCH(U$2,'Weights'!$G$1:$I$1,0)),"")</f>
        <v/>
      </c>
      <c r="Z257" s="10">
        <f>IF($E257="","",IFERROR(100*(INDEX('Weights'!$D:$D,MATCH($A257,'Weights'!$A:$A,0))*(INDEX('Data_NSA'!$A:$OK,MATCH(EDATE(U$2,-1),'Data_NSA'!$A:$A,0),MATCH($D257,'Data_NSA'!$1:$1,0))/INDEX('Data_NSA'!$A:$OK,MATCH(INDEX('Weights'!$E:$E,MATCH($A257,'Weights'!$A:$A,0)),'Data_NSA'!$A:$A,0),MATCH($D257,'Data_NSA'!$1:$1,0))))/(100*(INDEX('Data_NSA'!$A:$OK,MATCH(EDATE(U$2,-1),'Data_NSA'!$A:$A,0),MATCH("CUUR0000SA0",'Data_NSA'!$1:$1,0))/INDEX('Data_NSA'!$A:$OK,MATCH(INDEX('Weights'!$E:$E,MATCH($A257,'Weights'!$A:$A,0)),'Data_NSA'!$A:$A,0),MATCH("CUUR0000SA0",'Data_NSA'!$1:$1,0))))*(INDEX('Data_SA'!$A:$LO,MATCH(U$2,'Data_SA'!$A:$A,0),MATCH($E257,'Data_SA'!$1:$1,0))/INDEX('Data_SA'!$A:$LO,MATCH(EDATE(U$2,-1),'Data_SA'!$A:$A,0),MATCH($E257,'Data_SA'!$1:$1,0))-1),""))</f>
        <v/>
      </c>
    </row>
    <row r="258">
      <c r="A258" s="3" t="inlineStr">
        <is>
          <t>SEMG</t>
        </is>
      </c>
      <c r="B258" s="3" t="inlineStr">
        <is>
          <t>Medical equipment and supplies</t>
        </is>
      </c>
      <c r="C258" s="3" t="inlineStr">
        <is>
          <t>SAM1</t>
        </is>
      </c>
      <c r="D258" s="3" t="inlineStr">
        <is>
          <t>CUUR0000SEMG</t>
        </is>
      </c>
      <c r="E258" s="3" t="inlineStr"/>
      <c r="F258" s="3" t="inlineStr">
        <is>
          <t>GM</t>
        </is>
      </c>
      <c r="G258" s="3" t="inlineStr">
        <is>
          <t>monthly in New York/Los Angeles/Chicago; often bimonthly elsewhere</t>
        </is>
      </c>
      <c r="H258" s="10">
        <f>IFERROR(INDEX(Weights!$D:$D,MATCH($A258,Weights!$A:$A,0)),"")</f>
        <v/>
      </c>
      <c r="I258" s="10">
        <f>IFERROR(INDEX('Data_NSA'!$A:$OK,MATCH(I$2,'Data_NSA'!$A:$A,0),MATCH($D258,'Data_NSA'!$1:$1,0)),"")</f>
        <v/>
      </c>
      <c r="J258" s="10">
        <f>IF($E258="","",IFERROR(INDEX('Data_SA'!$A:$LO,MATCH(I$2,'Data_SA'!$A:$A,0),MATCH($E258,'Data_SA'!$1:$1,0)),""))</f>
        <v/>
      </c>
      <c r="K258" s="7">
        <f>IF($E258="","",IFERROR(INDEX('Data_SA'!$A:$LO,MATCH(I$2,'Data_SA'!$A:$A,0),MATCH($E258,'Data_SA'!$1:$1,0))/INDEX('Data_SA'!$A:$LO,MATCH(EDATE(I$2,-1),'Data_SA'!$A:$A,0),MATCH($E258,'Data_SA'!$1:$1,0))-1,""))</f>
        <v/>
      </c>
      <c r="L258" s="7">
        <f>IFERROR(INDEX('Data_NSA'!$A:$OK,MATCH(I$2,'Data_NSA'!$A:$A,0),MATCH($D258,'Data_NSA'!$1:$1,0))/INDEX('Data_NSA'!$A:$OK,MATCH(EDATE(I$2,-12),'Data_NSA'!$A:$A,0),MATCH($D258,'Data_NSA'!$1:$1,0))-1,"")</f>
        <v/>
      </c>
      <c r="M258" s="10">
        <f>IFERROR(INDEX('Weights'!$G:$I,MATCH($A258,'Weights'!$A:$A,0),MATCH(I$2,'Weights'!$G$1:$I$1,0)),"")</f>
        <v/>
      </c>
      <c r="N258" s="10">
        <f>IF($E258="","",IFERROR(100*(INDEX('Weights'!$D:$D,MATCH($A258,'Weights'!$A:$A,0))*(INDEX('Data_NSA'!$A:$OK,MATCH(EDATE(I$2,-1),'Data_NSA'!$A:$A,0),MATCH($D258,'Data_NSA'!$1:$1,0))/INDEX('Data_NSA'!$A:$OK,MATCH(INDEX('Weights'!$E:$E,MATCH($A258,'Weights'!$A:$A,0)),'Data_NSA'!$A:$A,0),MATCH($D258,'Data_NSA'!$1:$1,0))))/(100*(INDEX('Data_NSA'!$A:$OK,MATCH(EDATE(I$2,-1),'Data_NSA'!$A:$A,0),MATCH("CUUR0000SA0",'Data_NSA'!$1:$1,0))/INDEX('Data_NSA'!$A:$OK,MATCH(INDEX('Weights'!$E:$E,MATCH($A258,'Weights'!$A:$A,0)),'Data_NSA'!$A:$A,0),MATCH("CUUR0000SA0",'Data_NSA'!$1:$1,0))))*(INDEX('Data_SA'!$A:$LO,MATCH(I$2,'Data_SA'!$A:$A,0),MATCH($E258,'Data_SA'!$1:$1,0))/INDEX('Data_SA'!$A:$LO,MATCH(EDATE(I$2,-1),'Data_SA'!$A:$A,0),MATCH($E258,'Data_SA'!$1:$1,0))-1),""))</f>
        <v/>
      </c>
      <c r="O258" s="10">
        <f>IFERROR(INDEX('Data_NSA'!$A:$OK,MATCH(O$2,'Data_NSA'!$A:$A,0),MATCH($D258,'Data_NSA'!$1:$1,0)),"")</f>
        <v/>
      </c>
      <c r="P258" s="10">
        <f>IF($E258="","",IFERROR(INDEX('Data_SA'!$A:$LO,MATCH(O$2,'Data_SA'!$A:$A,0),MATCH($E258,'Data_SA'!$1:$1,0)),""))</f>
        <v/>
      </c>
      <c r="Q258" s="7">
        <f>IF($E258="","",IFERROR(INDEX('Data_SA'!$A:$LO,MATCH(O$2,'Data_SA'!$A:$A,0),MATCH($E258,'Data_SA'!$1:$1,0))/INDEX('Data_SA'!$A:$LO,MATCH(EDATE(O$2,-1),'Data_SA'!$A:$A,0),MATCH($E258,'Data_SA'!$1:$1,0))-1,""))</f>
        <v/>
      </c>
      <c r="R258" s="7">
        <f>IFERROR(INDEX('Data_NSA'!$A:$OK,MATCH(O$2,'Data_NSA'!$A:$A,0),MATCH($D258,'Data_NSA'!$1:$1,0))/INDEX('Data_NSA'!$A:$OK,MATCH(EDATE(O$2,-12),'Data_NSA'!$A:$A,0),MATCH($D258,'Data_NSA'!$1:$1,0))-1,"")</f>
        <v/>
      </c>
      <c r="S258" s="10">
        <f>IFERROR(INDEX('Weights'!$G:$I,MATCH($A258,'Weights'!$A:$A,0),MATCH(O$2,'Weights'!$G$1:$I$1,0)),"")</f>
        <v/>
      </c>
      <c r="T258" s="10">
        <f>IF($E258="","",IFERROR(100*(INDEX('Weights'!$D:$D,MATCH($A258,'Weights'!$A:$A,0))*(INDEX('Data_NSA'!$A:$OK,MATCH(EDATE(O$2,-1),'Data_NSA'!$A:$A,0),MATCH($D258,'Data_NSA'!$1:$1,0))/INDEX('Data_NSA'!$A:$OK,MATCH(INDEX('Weights'!$E:$E,MATCH($A258,'Weights'!$A:$A,0)),'Data_NSA'!$A:$A,0),MATCH($D258,'Data_NSA'!$1:$1,0))))/(100*(INDEX('Data_NSA'!$A:$OK,MATCH(EDATE(O$2,-1),'Data_NSA'!$A:$A,0),MATCH("CUUR0000SA0",'Data_NSA'!$1:$1,0))/INDEX('Data_NSA'!$A:$OK,MATCH(INDEX('Weights'!$E:$E,MATCH($A258,'Weights'!$A:$A,0)),'Data_NSA'!$A:$A,0),MATCH("CUUR0000SA0",'Data_NSA'!$1:$1,0))))*(INDEX('Data_SA'!$A:$LO,MATCH(O$2,'Data_SA'!$A:$A,0),MATCH($E258,'Data_SA'!$1:$1,0))/INDEX('Data_SA'!$A:$LO,MATCH(EDATE(O$2,-1),'Data_SA'!$A:$A,0),MATCH($E258,'Data_SA'!$1:$1,0))-1),""))</f>
        <v/>
      </c>
      <c r="U258" s="10">
        <f>IFERROR(INDEX('Data_NSA'!$A:$OK,MATCH(U$2,'Data_NSA'!$A:$A,0),MATCH($D258,'Data_NSA'!$1:$1,0)),"")</f>
        <v/>
      </c>
      <c r="V258" s="10">
        <f>IF($E258="","",IFERROR(INDEX('Data_SA'!$A:$LO,MATCH(U$2,'Data_SA'!$A:$A,0),MATCH($E258,'Data_SA'!$1:$1,0)),""))</f>
        <v/>
      </c>
      <c r="W258" s="7">
        <f>IF($E258="","",IFERROR(INDEX('Data_SA'!$A:$LO,MATCH(U$2,'Data_SA'!$A:$A,0),MATCH($E258,'Data_SA'!$1:$1,0))/INDEX('Data_SA'!$A:$LO,MATCH(EDATE(U$2,-1),'Data_SA'!$A:$A,0),MATCH($E258,'Data_SA'!$1:$1,0))-1,""))</f>
        <v/>
      </c>
      <c r="X258" s="7">
        <f>IFERROR(INDEX('Data_NSA'!$A:$OK,MATCH(U$2,'Data_NSA'!$A:$A,0),MATCH($D258,'Data_NSA'!$1:$1,0))/INDEX('Data_NSA'!$A:$OK,MATCH(EDATE(U$2,-12),'Data_NSA'!$A:$A,0),MATCH($D258,'Data_NSA'!$1:$1,0))-1,"")</f>
        <v/>
      </c>
      <c r="Y258" s="10">
        <f>IFERROR(INDEX('Weights'!$G:$I,MATCH($A258,'Weights'!$A:$A,0),MATCH(U$2,'Weights'!$G$1:$I$1,0)),"")</f>
        <v/>
      </c>
      <c r="Z258" s="10">
        <f>IF($E258="","",IFERROR(100*(INDEX('Weights'!$D:$D,MATCH($A258,'Weights'!$A:$A,0))*(INDEX('Data_NSA'!$A:$OK,MATCH(EDATE(U$2,-1),'Data_NSA'!$A:$A,0),MATCH($D258,'Data_NSA'!$1:$1,0))/INDEX('Data_NSA'!$A:$OK,MATCH(INDEX('Weights'!$E:$E,MATCH($A258,'Weights'!$A:$A,0)),'Data_NSA'!$A:$A,0),MATCH($D258,'Data_NSA'!$1:$1,0))))/(100*(INDEX('Data_NSA'!$A:$OK,MATCH(EDATE(U$2,-1),'Data_NSA'!$A:$A,0),MATCH("CUUR0000SA0",'Data_NSA'!$1:$1,0))/INDEX('Data_NSA'!$A:$OK,MATCH(INDEX('Weights'!$E:$E,MATCH($A258,'Weights'!$A:$A,0)),'Data_NSA'!$A:$A,0),MATCH("CUUR0000SA0",'Data_NSA'!$1:$1,0))))*(INDEX('Data_SA'!$A:$LO,MATCH(U$2,'Data_SA'!$A:$A,0),MATCH($E258,'Data_SA'!$1:$1,0))/INDEX('Data_SA'!$A:$LO,MATCH(EDATE(U$2,-1),'Data_SA'!$A:$A,0),MATCH($E258,'Data_SA'!$1:$1,0))-1),""))</f>
        <v/>
      </c>
    </row>
    <row r="259">
      <c r="A259" s="3" t="inlineStr">
        <is>
          <t>SAM2</t>
        </is>
      </c>
      <c r="B259" s="3" t="inlineStr">
        <is>
          <t>Medical care services</t>
        </is>
      </c>
      <c r="C259" s="3" t="inlineStr">
        <is>
          <t>SAM</t>
        </is>
      </c>
      <c r="D259" s="3" t="inlineStr">
        <is>
          <t>CUUR0000SAM2</t>
        </is>
      </c>
      <c r="E259" s="3" t="inlineStr">
        <is>
          <t>CUSR0000SAM2</t>
        </is>
      </c>
      <c r="F259" s="3" t="inlineStr">
        <is>
          <t>aggregate</t>
        </is>
      </c>
      <c r="G259" s="3" t="inlineStr">
        <is>
          <t>aggregate</t>
        </is>
      </c>
      <c r="H259" s="10">
        <f>IFERROR(INDEX(Weights!$D:$D,MATCH($A259,Weights!$A:$A,0)),"")</f>
        <v/>
      </c>
      <c r="I259" s="10">
        <f>IFERROR(INDEX('Data_NSA'!$A:$OK,MATCH(I$2,'Data_NSA'!$A:$A,0),MATCH($D259,'Data_NSA'!$1:$1,0)),"")</f>
        <v/>
      </c>
      <c r="J259" s="10">
        <f>IF($E259="","",IFERROR(INDEX('Data_SA'!$A:$LO,MATCH(I$2,'Data_SA'!$A:$A,0),MATCH($E259,'Data_SA'!$1:$1,0)),""))</f>
        <v/>
      </c>
      <c r="K259" s="7">
        <f>IF($E259="","",IFERROR(INDEX('Data_SA'!$A:$LO,MATCH(I$2,'Data_SA'!$A:$A,0),MATCH($E259,'Data_SA'!$1:$1,0))/INDEX('Data_SA'!$A:$LO,MATCH(EDATE(I$2,-1),'Data_SA'!$A:$A,0),MATCH($E259,'Data_SA'!$1:$1,0))-1,""))</f>
        <v/>
      </c>
      <c r="L259" s="7">
        <f>IFERROR(INDEX('Data_NSA'!$A:$OK,MATCH(I$2,'Data_NSA'!$A:$A,0),MATCH($D259,'Data_NSA'!$1:$1,0))/INDEX('Data_NSA'!$A:$OK,MATCH(EDATE(I$2,-12),'Data_NSA'!$A:$A,0),MATCH($D259,'Data_NSA'!$1:$1,0))-1,"")</f>
        <v/>
      </c>
      <c r="M259" s="10">
        <f>IFERROR(INDEX('Weights'!$G:$I,MATCH($A259,'Weights'!$A:$A,0),MATCH(I$2,'Weights'!$G$1:$I$1,0)),"")</f>
        <v/>
      </c>
      <c r="N259" s="10">
        <f>IF($E259="","",IFERROR(100*(INDEX('Weights'!$D:$D,MATCH($A259,'Weights'!$A:$A,0))*(INDEX('Data_NSA'!$A:$OK,MATCH(EDATE(I$2,-1),'Data_NSA'!$A:$A,0),MATCH($D259,'Data_NSA'!$1:$1,0))/INDEX('Data_NSA'!$A:$OK,MATCH(INDEX('Weights'!$E:$E,MATCH($A259,'Weights'!$A:$A,0)),'Data_NSA'!$A:$A,0),MATCH($D259,'Data_NSA'!$1:$1,0))))/(100*(INDEX('Data_NSA'!$A:$OK,MATCH(EDATE(I$2,-1),'Data_NSA'!$A:$A,0),MATCH("CUUR0000SA0",'Data_NSA'!$1:$1,0))/INDEX('Data_NSA'!$A:$OK,MATCH(INDEX('Weights'!$E:$E,MATCH($A259,'Weights'!$A:$A,0)),'Data_NSA'!$A:$A,0),MATCH("CUUR0000SA0",'Data_NSA'!$1:$1,0))))*(INDEX('Data_SA'!$A:$LO,MATCH(I$2,'Data_SA'!$A:$A,0),MATCH($E259,'Data_SA'!$1:$1,0))/INDEX('Data_SA'!$A:$LO,MATCH(EDATE(I$2,-1),'Data_SA'!$A:$A,0),MATCH($E259,'Data_SA'!$1:$1,0))-1),""))</f>
        <v/>
      </c>
      <c r="O259" s="10">
        <f>IFERROR(INDEX('Data_NSA'!$A:$OK,MATCH(O$2,'Data_NSA'!$A:$A,0),MATCH($D259,'Data_NSA'!$1:$1,0)),"")</f>
        <v/>
      </c>
      <c r="P259" s="10">
        <f>IF($E259="","",IFERROR(INDEX('Data_SA'!$A:$LO,MATCH(O$2,'Data_SA'!$A:$A,0),MATCH($E259,'Data_SA'!$1:$1,0)),""))</f>
        <v/>
      </c>
      <c r="Q259" s="7">
        <f>IF($E259="","",IFERROR(INDEX('Data_SA'!$A:$LO,MATCH(O$2,'Data_SA'!$A:$A,0),MATCH($E259,'Data_SA'!$1:$1,0))/INDEX('Data_SA'!$A:$LO,MATCH(EDATE(O$2,-1),'Data_SA'!$A:$A,0),MATCH($E259,'Data_SA'!$1:$1,0))-1,""))</f>
        <v/>
      </c>
      <c r="R259" s="7">
        <f>IFERROR(INDEX('Data_NSA'!$A:$OK,MATCH(O$2,'Data_NSA'!$A:$A,0),MATCH($D259,'Data_NSA'!$1:$1,0))/INDEX('Data_NSA'!$A:$OK,MATCH(EDATE(O$2,-12),'Data_NSA'!$A:$A,0),MATCH($D259,'Data_NSA'!$1:$1,0))-1,"")</f>
        <v/>
      </c>
      <c r="S259" s="10">
        <f>IFERROR(INDEX('Weights'!$G:$I,MATCH($A259,'Weights'!$A:$A,0),MATCH(O$2,'Weights'!$G$1:$I$1,0)),"")</f>
        <v/>
      </c>
      <c r="T259" s="10">
        <f>IF($E259="","",IFERROR(100*(INDEX('Weights'!$D:$D,MATCH($A259,'Weights'!$A:$A,0))*(INDEX('Data_NSA'!$A:$OK,MATCH(EDATE(O$2,-1),'Data_NSA'!$A:$A,0),MATCH($D259,'Data_NSA'!$1:$1,0))/INDEX('Data_NSA'!$A:$OK,MATCH(INDEX('Weights'!$E:$E,MATCH($A259,'Weights'!$A:$A,0)),'Data_NSA'!$A:$A,0),MATCH($D259,'Data_NSA'!$1:$1,0))))/(100*(INDEX('Data_NSA'!$A:$OK,MATCH(EDATE(O$2,-1),'Data_NSA'!$A:$A,0),MATCH("CUUR0000SA0",'Data_NSA'!$1:$1,0))/INDEX('Data_NSA'!$A:$OK,MATCH(INDEX('Weights'!$E:$E,MATCH($A259,'Weights'!$A:$A,0)),'Data_NSA'!$A:$A,0),MATCH("CUUR0000SA0",'Data_NSA'!$1:$1,0))))*(INDEX('Data_SA'!$A:$LO,MATCH(O$2,'Data_SA'!$A:$A,0),MATCH($E259,'Data_SA'!$1:$1,0))/INDEX('Data_SA'!$A:$LO,MATCH(EDATE(O$2,-1),'Data_SA'!$A:$A,0),MATCH($E259,'Data_SA'!$1:$1,0))-1),""))</f>
        <v/>
      </c>
      <c r="U259" s="10">
        <f>IFERROR(INDEX('Data_NSA'!$A:$OK,MATCH(U$2,'Data_NSA'!$A:$A,0),MATCH($D259,'Data_NSA'!$1:$1,0)),"")</f>
        <v/>
      </c>
      <c r="V259" s="10">
        <f>IF($E259="","",IFERROR(INDEX('Data_SA'!$A:$LO,MATCH(U$2,'Data_SA'!$A:$A,0),MATCH($E259,'Data_SA'!$1:$1,0)),""))</f>
        <v/>
      </c>
      <c r="W259" s="7">
        <f>IF($E259="","",IFERROR(INDEX('Data_SA'!$A:$LO,MATCH(U$2,'Data_SA'!$A:$A,0),MATCH($E259,'Data_SA'!$1:$1,0))/INDEX('Data_SA'!$A:$LO,MATCH(EDATE(U$2,-1),'Data_SA'!$A:$A,0),MATCH($E259,'Data_SA'!$1:$1,0))-1,""))</f>
        <v/>
      </c>
      <c r="X259" s="7">
        <f>IFERROR(INDEX('Data_NSA'!$A:$OK,MATCH(U$2,'Data_NSA'!$A:$A,0),MATCH($D259,'Data_NSA'!$1:$1,0))/INDEX('Data_NSA'!$A:$OK,MATCH(EDATE(U$2,-12),'Data_NSA'!$A:$A,0),MATCH($D259,'Data_NSA'!$1:$1,0))-1,"")</f>
        <v/>
      </c>
      <c r="Y259" s="10">
        <f>IFERROR(INDEX('Weights'!$G:$I,MATCH($A259,'Weights'!$A:$A,0),MATCH(U$2,'Weights'!$G$1:$I$1,0)),"")</f>
        <v/>
      </c>
      <c r="Z259" s="10">
        <f>IF($E259="","",IFERROR(100*(INDEX('Weights'!$D:$D,MATCH($A259,'Weights'!$A:$A,0))*(INDEX('Data_NSA'!$A:$OK,MATCH(EDATE(U$2,-1),'Data_NSA'!$A:$A,0),MATCH($D259,'Data_NSA'!$1:$1,0))/INDEX('Data_NSA'!$A:$OK,MATCH(INDEX('Weights'!$E:$E,MATCH($A259,'Weights'!$A:$A,0)),'Data_NSA'!$A:$A,0),MATCH($D259,'Data_NSA'!$1:$1,0))))/(100*(INDEX('Data_NSA'!$A:$OK,MATCH(EDATE(U$2,-1),'Data_NSA'!$A:$A,0),MATCH("CUUR0000SA0",'Data_NSA'!$1:$1,0))/INDEX('Data_NSA'!$A:$OK,MATCH(INDEX('Weights'!$E:$E,MATCH($A259,'Weights'!$A:$A,0)),'Data_NSA'!$A:$A,0),MATCH("CUUR0000SA0",'Data_NSA'!$1:$1,0))))*(INDEX('Data_SA'!$A:$LO,MATCH(U$2,'Data_SA'!$A:$A,0),MATCH($E259,'Data_SA'!$1:$1,0))/INDEX('Data_SA'!$A:$LO,MATCH(EDATE(U$2,-1),'Data_SA'!$A:$A,0),MATCH($E259,'Data_SA'!$1:$1,0))-1),""))</f>
        <v/>
      </c>
    </row>
    <row r="260">
      <c r="A260" s="3" t="inlineStr">
        <is>
          <t>SEMC</t>
        </is>
      </c>
      <c r="B260" s="3" t="inlineStr">
        <is>
          <t>Professional services</t>
        </is>
      </c>
      <c r="C260" s="3" t="inlineStr">
        <is>
          <t>SAM2</t>
        </is>
      </c>
      <c r="D260" s="3" t="inlineStr">
        <is>
          <t>CUUR0000SEMC</t>
        </is>
      </c>
      <c r="E260" s="3" t="inlineStr">
        <is>
          <t>CUSR0000SEMC</t>
        </is>
      </c>
      <c r="F260" s="3" t="inlineStr">
        <is>
          <t>aggregate</t>
        </is>
      </c>
      <c r="G260" s="3" t="inlineStr">
        <is>
          <t>aggregate</t>
        </is>
      </c>
      <c r="H260" s="10">
        <f>IFERROR(INDEX(Weights!$D:$D,MATCH($A260,Weights!$A:$A,0)),"")</f>
        <v/>
      </c>
      <c r="I260" s="10">
        <f>IFERROR(INDEX('Data_NSA'!$A:$OK,MATCH(I$2,'Data_NSA'!$A:$A,0),MATCH($D260,'Data_NSA'!$1:$1,0)),"")</f>
        <v/>
      </c>
      <c r="J260" s="10">
        <f>IF($E260="","",IFERROR(INDEX('Data_SA'!$A:$LO,MATCH(I$2,'Data_SA'!$A:$A,0),MATCH($E260,'Data_SA'!$1:$1,0)),""))</f>
        <v/>
      </c>
      <c r="K260" s="7">
        <f>IF($E260="","",IFERROR(INDEX('Data_SA'!$A:$LO,MATCH(I$2,'Data_SA'!$A:$A,0),MATCH($E260,'Data_SA'!$1:$1,0))/INDEX('Data_SA'!$A:$LO,MATCH(EDATE(I$2,-1),'Data_SA'!$A:$A,0),MATCH($E260,'Data_SA'!$1:$1,0))-1,""))</f>
        <v/>
      </c>
      <c r="L260" s="7">
        <f>IFERROR(INDEX('Data_NSA'!$A:$OK,MATCH(I$2,'Data_NSA'!$A:$A,0),MATCH($D260,'Data_NSA'!$1:$1,0))/INDEX('Data_NSA'!$A:$OK,MATCH(EDATE(I$2,-12),'Data_NSA'!$A:$A,0),MATCH($D260,'Data_NSA'!$1:$1,0))-1,"")</f>
        <v/>
      </c>
      <c r="M260" s="10">
        <f>IFERROR(INDEX('Weights'!$G:$I,MATCH($A260,'Weights'!$A:$A,0),MATCH(I$2,'Weights'!$G$1:$I$1,0)),"")</f>
        <v/>
      </c>
      <c r="N260" s="10">
        <f>IF($E260="","",IFERROR(100*(INDEX('Weights'!$D:$D,MATCH($A260,'Weights'!$A:$A,0))*(INDEX('Data_NSA'!$A:$OK,MATCH(EDATE(I$2,-1),'Data_NSA'!$A:$A,0),MATCH($D260,'Data_NSA'!$1:$1,0))/INDEX('Data_NSA'!$A:$OK,MATCH(INDEX('Weights'!$E:$E,MATCH($A260,'Weights'!$A:$A,0)),'Data_NSA'!$A:$A,0),MATCH($D260,'Data_NSA'!$1:$1,0))))/(100*(INDEX('Data_NSA'!$A:$OK,MATCH(EDATE(I$2,-1),'Data_NSA'!$A:$A,0),MATCH("CUUR0000SA0",'Data_NSA'!$1:$1,0))/INDEX('Data_NSA'!$A:$OK,MATCH(INDEX('Weights'!$E:$E,MATCH($A260,'Weights'!$A:$A,0)),'Data_NSA'!$A:$A,0),MATCH("CUUR0000SA0",'Data_NSA'!$1:$1,0))))*(INDEX('Data_SA'!$A:$LO,MATCH(I$2,'Data_SA'!$A:$A,0),MATCH($E260,'Data_SA'!$1:$1,0))/INDEX('Data_SA'!$A:$LO,MATCH(EDATE(I$2,-1),'Data_SA'!$A:$A,0),MATCH($E260,'Data_SA'!$1:$1,0))-1),""))</f>
        <v/>
      </c>
      <c r="O260" s="10">
        <f>IFERROR(INDEX('Data_NSA'!$A:$OK,MATCH(O$2,'Data_NSA'!$A:$A,0),MATCH($D260,'Data_NSA'!$1:$1,0)),"")</f>
        <v/>
      </c>
      <c r="P260" s="10">
        <f>IF($E260="","",IFERROR(INDEX('Data_SA'!$A:$LO,MATCH(O$2,'Data_SA'!$A:$A,0),MATCH($E260,'Data_SA'!$1:$1,0)),""))</f>
        <v/>
      </c>
      <c r="Q260" s="7">
        <f>IF($E260="","",IFERROR(INDEX('Data_SA'!$A:$LO,MATCH(O$2,'Data_SA'!$A:$A,0),MATCH($E260,'Data_SA'!$1:$1,0))/INDEX('Data_SA'!$A:$LO,MATCH(EDATE(O$2,-1),'Data_SA'!$A:$A,0),MATCH($E260,'Data_SA'!$1:$1,0))-1,""))</f>
        <v/>
      </c>
      <c r="R260" s="7">
        <f>IFERROR(INDEX('Data_NSA'!$A:$OK,MATCH(O$2,'Data_NSA'!$A:$A,0),MATCH($D260,'Data_NSA'!$1:$1,0))/INDEX('Data_NSA'!$A:$OK,MATCH(EDATE(O$2,-12),'Data_NSA'!$A:$A,0),MATCH($D260,'Data_NSA'!$1:$1,0))-1,"")</f>
        <v/>
      </c>
      <c r="S260" s="10">
        <f>IFERROR(INDEX('Weights'!$G:$I,MATCH($A260,'Weights'!$A:$A,0),MATCH(O$2,'Weights'!$G$1:$I$1,0)),"")</f>
        <v/>
      </c>
      <c r="T260" s="10">
        <f>IF($E260="","",IFERROR(100*(INDEX('Weights'!$D:$D,MATCH($A260,'Weights'!$A:$A,0))*(INDEX('Data_NSA'!$A:$OK,MATCH(EDATE(O$2,-1),'Data_NSA'!$A:$A,0),MATCH($D260,'Data_NSA'!$1:$1,0))/INDEX('Data_NSA'!$A:$OK,MATCH(INDEX('Weights'!$E:$E,MATCH($A260,'Weights'!$A:$A,0)),'Data_NSA'!$A:$A,0),MATCH($D260,'Data_NSA'!$1:$1,0))))/(100*(INDEX('Data_NSA'!$A:$OK,MATCH(EDATE(O$2,-1),'Data_NSA'!$A:$A,0),MATCH("CUUR0000SA0",'Data_NSA'!$1:$1,0))/INDEX('Data_NSA'!$A:$OK,MATCH(INDEX('Weights'!$E:$E,MATCH($A260,'Weights'!$A:$A,0)),'Data_NSA'!$A:$A,0),MATCH("CUUR0000SA0",'Data_NSA'!$1:$1,0))))*(INDEX('Data_SA'!$A:$LO,MATCH(O$2,'Data_SA'!$A:$A,0),MATCH($E260,'Data_SA'!$1:$1,0))/INDEX('Data_SA'!$A:$LO,MATCH(EDATE(O$2,-1),'Data_SA'!$A:$A,0),MATCH($E260,'Data_SA'!$1:$1,0))-1),""))</f>
        <v/>
      </c>
      <c r="U260" s="10">
        <f>IFERROR(INDEX('Data_NSA'!$A:$OK,MATCH(U$2,'Data_NSA'!$A:$A,0),MATCH($D260,'Data_NSA'!$1:$1,0)),"")</f>
        <v/>
      </c>
      <c r="V260" s="10">
        <f>IF($E260="","",IFERROR(INDEX('Data_SA'!$A:$LO,MATCH(U$2,'Data_SA'!$A:$A,0),MATCH($E260,'Data_SA'!$1:$1,0)),""))</f>
        <v/>
      </c>
      <c r="W260" s="7">
        <f>IF($E260="","",IFERROR(INDEX('Data_SA'!$A:$LO,MATCH(U$2,'Data_SA'!$A:$A,0),MATCH($E260,'Data_SA'!$1:$1,0))/INDEX('Data_SA'!$A:$LO,MATCH(EDATE(U$2,-1),'Data_SA'!$A:$A,0),MATCH($E260,'Data_SA'!$1:$1,0))-1,""))</f>
        <v/>
      </c>
      <c r="X260" s="7">
        <f>IFERROR(INDEX('Data_NSA'!$A:$OK,MATCH(U$2,'Data_NSA'!$A:$A,0),MATCH($D260,'Data_NSA'!$1:$1,0))/INDEX('Data_NSA'!$A:$OK,MATCH(EDATE(U$2,-12),'Data_NSA'!$A:$A,0),MATCH($D260,'Data_NSA'!$1:$1,0))-1,"")</f>
        <v/>
      </c>
      <c r="Y260" s="10">
        <f>IFERROR(INDEX('Weights'!$G:$I,MATCH($A260,'Weights'!$A:$A,0),MATCH(U$2,'Weights'!$G$1:$I$1,0)),"")</f>
        <v/>
      </c>
      <c r="Z260" s="10">
        <f>IF($E260="","",IFERROR(100*(INDEX('Weights'!$D:$D,MATCH($A260,'Weights'!$A:$A,0))*(INDEX('Data_NSA'!$A:$OK,MATCH(EDATE(U$2,-1),'Data_NSA'!$A:$A,0),MATCH($D260,'Data_NSA'!$1:$1,0))/INDEX('Data_NSA'!$A:$OK,MATCH(INDEX('Weights'!$E:$E,MATCH($A260,'Weights'!$A:$A,0)),'Data_NSA'!$A:$A,0),MATCH($D260,'Data_NSA'!$1:$1,0))))/(100*(INDEX('Data_NSA'!$A:$OK,MATCH(EDATE(U$2,-1),'Data_NSA'!$A:$A,0),MATCH("CUUR0000SA0",'Data_NSA'!$1:$1,0))/INDEX('Data_NSA'!$A:$OK,MATCH(INDEX('Weights'!$E:$E,MATCH($A260,'Weights'!$A:$A,0)),'Data_NSA'!$A:$A,0),MATCH("CUUR0000SA0",'Data_NSA'!$1:$1,0))))*(INDEX('Data_SA'!$A:$LO,MATCH(U$2,'Data_SA'!$A:$A,0),MATCH($E260,'Data_SA'!$1:$1,0))/INDEX('Data_SA'!$A:$LO,MATCH(EDATE(U$2,-1),'Data_SA'!$A:$A,0),MATCH($E260,'Data_SA'!$1:$1,0))-1),""))</f>
        <v/>
      </c>
    </row>
    <row r="261">
      <c r="A261" s="3" t="inlineStr">
        <is>
          <t>SEMC01</t>
        </is>
      </c>
      <c r="B261" s="3" t="inlineStr">
        <is>
          <t>Physicians' services</t>
        </is>
      </c>
      <c r="C261" s="3" t="inlineStr">
        <is>
          <t>SEMC</t>
        </is>
      </c>
      <c r="D261" s="3" t="inlineStr">
        <is>
          <t>CUUR0000SEMC01</t>
        </is>
      </c>
      <c r="E261" s="3" t="inlineStr">
        <is>
          <t>CUSR0000SEMC01</t>
        </is>
      </c>
      <c r="F261" s="3" t="inlineStr">
        <is>
          <t>GM/ML elements</t>
        </is>
      </c>
      <c r="G261" s="3" t="inlineStr">
        <is>
          <t>claims-based reimbursement pricing</t>
        </is>
      </c>
      <c r="H261" s="10">
        <f>IFERROR(INDEX(Weights!$D:$D,MATCH($A261,Weights!$A:$A,0)),"")</f>
        <v/>
      </c>
      <c r="I261" s="10">
        <f>IFERROR(INDEX('Data_NSA'!$A:$OK,MATCH(I$2,'Data_NSA'!$A:$A,0),MATCH($D261,'Data_NSA'!$1:$1,0)),"")</f>
        <v/>
      </c>
      <c r="J261" s="10">
        <f>IF($E261="","",IFERROR(INDEX('Data_SA'!$A:$LO,MATCH(I$2,'Data_SA'!$A:$A,0),MATCH($E261,'Data_SA'!$1:$1,0)),""))</f>
        <v/>
      </c>
      <c r="K261" s="7">
        <f>IF($E261="","",IFERROR(INDEX('Data_SA'!$A:$LO,MATCH(I$2,'Data_SA'!$A:$A,0),MATCH($E261,'Data_SA'!$1:$1,0))/INDEX('Data_SA'!$A:$LO,MATCH(EDATE(I$2,-1),'Data_SA'!$A:$A,0),MATCH($E261,'Data_SA'!$1:$1,0))-1,""))</f>
        <v/>
      </c>
      <c r="L261" s="7">
        <f>IFERROR(INDEX('Data_NSA'!$A:$OK,MATCH(I$2,'Data_NSA'!$A:$A,0),MATCH($D261,'Data_NSA'!$1:$1,0))/INDEX('Data_NSA'!$A:$OK,MATCH(EDATE(I$2,-12),'Data_NSA'!$A:$A,0),MATCH($D261,'Data_NSA'!$1:$1,0))-1,"")</f>
        <v/>
      </c>
      <c r="M261" s="10">
        <f>IFERROR(INDEX('Weights'!$G:$I,MATCH($A261,'Weights'!$A:$A,0),MATCH(I$2,'Weights'!$G$1:$I$1,0)),"")</f>
        <v/>
      </c>
      <c r="N261" s="10">
        <f>IF($E261="","",IFERROR(100*(INDEX('Weights'!$D:$D,MATCH($A261,'Weights'!$A:$A,0))*(INDEX('Data_NSA'!$A:$OK,MATCH(EDATE(I$2,-1),'Data_NSA'!$A:$A,0),MATCH($D261,'Data_NSA'!$1:$1,0))/INDEX('Data_NSA'!$A:$OK,MATCH(INDEX('Weights'!$E:$E,MATCH($A261,'Weights'!$A:$A,0)),'Data_NSA'!$A:$A,0),MATCH($D261,'Data_NSA'!$1:$1,0))))/(100*(INDEX('Data_NSA'!$A:$OK,MATCH(EDATE(I$2,-1),'Data_NSA'!$A:$A,0),MATCH("CUUR0000SA0",'Data_NSA'!$1:$1,0))/INDEX('Data_NSA'!$A:$OK,MATCH(INDEX('Weights'!$E:$E,MATCH($A261,'Weights'!$A:$A,0)),'Data_NSA'!$A:$A,0),MATCH("CUUR0000SA0",'Data_NSA'!$1:$1,0))))*(INDEX('Data_SA'!$A:$LO,MATCH(I$2,'Data_SA'!$A:$A,0),MATCH($E261,'Data_SA'!$1:$1,0))/INDEX('Data_SA'!$A:$LO,MATCH(EDATE(I$2,-1),'Data_SA'!$A:$A,0),MATCH($E261,'Data_SA'!$1:$1,0))-1),""))</f>
        <v/>
      </c>
      <c r="O261" s="10">
        <f>IFERROR(INDEX('Data_NSA'!$A:$OK,MATCH(O$2,'Data_NSA'!$A:$A,0),MATCH($D261,'Data_NSA'!$1:$1,0)),"")</f>
        <v/>
      </c>
      <c r="P261" s="10">
        <f>IF($E261="","",IFERROR(INDEX('Data_SA'!$A:$LO,MATCH(O$2,'Data_SA'!$A:$A,0),MATCH($E261,'Data_SA'!$1:$1,0)),""))</f>
        <v/>
      </c>
      <c r="Q261" s="7">
        <f>IF($E261="","",IFERROR(INDEX('Data_SA'!$A:$LO,MATCH(O$2,'Data_SA'!$A:$A,0),MATCH($E261,'Data_SA'!$1:$1,0))/INDEX('Data_SA'!$A:$LO,MATCH(EDATE(O$2,-1),'Data_SA'!$A:$A,0),MATCH($E261,'Data_SA'!$1:$1,0))-1,""))</f>
        <v/>
      </c>
      <c r="R261" s="7">
        <f>IFERROR(INDEX('Data_NSA'!$A:$OK,MATCH(O$2,'Data_NSA'!$A:$A,0),MATCH($D261,'Data_NSA'!$1:$1,0))/INDEX('Data_NSA'!$A:$OK,MATCH(EDATE(O$2,-12),'Data_NSA'!$A:$A,0),MATCH($D261,'Data_NSA'!$1:$1,0))-1,"")</f>
        <v/>
      </c>
      <c r="S261" s="10">
        <f>IFERROR(INDEX('Weights'!$G:$I,MATCH($A261,'Weights'!$A:$A,0),MATCH(O$2,'Weights'!$G$1:$I$1,0)),"")</f>
        <v/>
      </c>
      <c r="T261" s="10">
        <f>IF($E261="","",IFERROR(100*(INDEX('Weights'!$D:$D,MATCH($A261,'Weights'!$A:$A,0))*(INDEX('Data_NSA'!$A:$OK,MATCH(EDATE(O$2,-1),'Data_NSA'!$A:$A,0),MATCH($D261,'Data_NSA'!$1:$1,0))/INDEX('Data_NSA'!$A:$OK,MATCH(INDEX('Weights'!$E:$E,MATCH($A261,'Weights'!$A:$A,0)),'Data_NSA'!$A:$A,0),MATCH($D261,'Data_NSA'!$1:$1,0))))/(100*(INDEX('Data_NSA'!$A:$OK,MATCH(EDATE(O$2,-1),'Data_NSA'!$A:$A,0),MATCH("CUUR0000SA0",'Data_NSA'!$1:$1,0))/INDEX('Data_NSA'!$A:$OK,MATCH(INDEX('Weights'!$E:$E,MATCH($A261,'Weights'!$A:$A,0)),'Data_NSA'!$A:$A,0),MATCH("CUUR0000SA0",'Data_NSA'!$1:$1,0))))*(INDEX('Data_SA'!$A:$LO,MATCH(O$2,'Data_SA'!$A:$A,0),MATCH($E261,'Data_SA'!$1:$1,0))/INDEX('Data_SA'!$A:$LO,MATCH(EDATE(O$2,-1),'Data_SA'!$A:$A,0),MATCH($E261,'Data_SA'!$1:$1,0))-1),""))</f>
        <v/>
      </c>
      <c r="U261" s="10">
        <f>IFERROR(INDEX('Data_NSA'!$A:$OK,MATCH(U$2,'Data_NSA'!$A:$A,0),MATCH($D261,'Data_NSA'!$1:$1,0)),"")</f>
        <v/>
      </c>
      <c r="V261" s="10">
        <f>IF($E261="","",IFERROR(INDEX('Data_SA'!$A:$LO,MATCH(U$2,'Data_SA'!$A:$A,0),MATCH($E261,'Data_SA'!$1:$1,0)),""))</f>
        <v/>
      </c>
      <c r="W261" s="7">
        <f>IF($E261="","",IFERROR(INDEX('Data_SA'!$A:$LO,MATCH(U$2,'Data_SA'!$A:$A,0),MATCH($E261,'Data_SA'!$1:$1,0))/INDEX('Data_SA'!$A:$LO,MATCH(EDATE(U$2,-1),'Data_SA'!$A:$A,0),MATCH($E261,'Data_SA'!$1:$1,0))-1,""))</f>
        <v/>
      </c>
      <c r="X261" s="7">
        <f>IFERROR(INDEX('Data_NSA'!$A:$OK,MATCH(U$2,'Data_NSA'!$A:$A,0),MATCH($D261,'Data_NSA'!$1:$1,0))/INDEX('Data_NSA'!$A:$OK,MATCH(EDATE(U$2,-12),'Data_NSA'!$A:$A,0),MATCH($D261,'Data_NSA'!$1:$1,0))-1,"")</f>
        <v/>
      </c>
      <c r="Y261" s="10">
        <f>IFERROR(INDEX('Weights'!$G:$I,MATCH($A261,'Weights'!$A:$A,0),MATCH(U$2,'Weights'!$G$1:$I$1,0)),"")</f>
        <v/>
      </c>
      <c r="Z261" s="10">
        <f>IF($E261="","",IFERROR(100*(INDEX('Weights'!$D:$D,MATCH($A261,'Weights'!$A:$A,0))*(INDEX('Data_NSA'!$A:$OK,MATCH(EDATE(U$2,-1),'Data_NSA'!$A:$A,0),MATCH($D261,'Data_NSA'!$1:$1,0))/INDEX('Data_NSA'!$A:$OK,MATCH(INDEX('Weights'!$E:$E,MATCH($A261,'Weights'!$A:$A,0)),'Data_NSA'!$A:$A,0),MATCH($D261,'Data_NSA'!$1:$1,0))))/(100*(INDEX('Data_NSA'!$A:$OK,MATCH(EDATE(U$2,-1),'Data_NSA'!$A:$A,0),MATCH("CUUR0000SA0",'Data_NSA'!$1:$1,0))/INDEX('Data_NSA'!$A:$OK,MATCH(INDEX('Weights'!$E:$E,MATCH($A261,'Weights'!$A:$A,0)),'Data_NSA'!$A:$A,0),MATCH("CUUR0000SA0",'Data_NSA'!$1:$1,0))))*(INDEX('Data_SA'!$A:$LO,MATCH(U$2,'Data_SA'!$A:$A,0),MATCH($E261,'Data_SA'!$1:$1,0))/INDEX('Data_SA'!$A:$LO,MATCH(EDATE(U$2,-1),'Data_SA'!$A:$A,0),MATCH($E261,'Data_SA'!$1:$1,0))-1),""))</f>
        <v/>
      </c>
    </row>
    <row r="262">
      <c r="A262" s="3" t="inlineStr">
        <is>
          <t>SEMC02</t>
        </is>
      </c>
      <c r="B262" s="3" t="inlineStr">
        <is>
          <t>Dental services</t>
        </is>
      </c>
      <c r="C262" s="3" t="inlineStr">
        <is>
          <t>SEMC</t>
        </is>
      </c>
      <c r="D262" s="3" t="inlineStr">
        <is>
          <t>CUUR0000SEMC02</t>
        </is>
      </c>
      <c r="E262" s="3" t="inlineStr">
        <is>
          <t>CUSR0000SEMC02</t>
        </is>
      </c>
      <c r="F262" s="3" t="inlineStr">
        <is>
          <t>GM</t>
        </is>
      </c>
      <c r="G262" s="3" t="inlineStr">
        <is>
          <t>monthly in New York/Los Angeles/Chicago; often bimonthly elsewhere</t>
        </is>
      </c>
      <c r="H262" s="10">
        <f>IFERROR(INDEX(Weights!$D:$D,MATCH($A262,Weights!$A:$A,0)),"")</f>
        <v/>
      </c>
      <c r="I262" s="10">
        <f>IFERROR(INDEX('Data_NSA'!$A:$OK,MATCH(I$2,'Data_NSA'!$A:$A,0),MATCH($D262,'Data_NSA'!$1:$1,0)),"")</f>
        <v/>
      </c>
      <c r="J262" s="10">
        <f>IF($E262="","",IFERROR(INDEX('Data_SA'!$A:$LO,MATCH(I$2,'Data_SA'!$A:$A,0),MATCH($E262,'Data_SA'!$1:$1,0)),""))</f>
        <v/>
      </c>
      <c r="K262" s="7">
        <f>IF($E262="","",IFERROR(INDEX('Data_SA'!$A:$LO,MATCH(I$2,'Data_SA'!$A:$A,0),MATCH($E262,'Data_SA'!$1:$1,0))/INDEX('Data_SA'!$A:$LO,MATCH(EDATE(I$2,-1),'Data_SA'!$A:$A,0),MATCH($E262,'Data_SA'!$1:$1,0))-1,""))</f>
        <v/>
      </c>
      <c r="L262" s="7">
        <f>IFERROR(INDEX('Data_NSA'!$A:$OK,MATCH(I$2,'Data_NSA'!$A:$A,0),MATCH($D262,'Data_NSA'!$1:$1,0))/INDEX('Data_NSA'!$A:$OK,MATCH(EDATE(I$2,-12),'Data_NSA'!$A:$A,0),MATCH($D262,'Data_NSA'!$1:$1,0))-1,"")</f>
        <v/>
      </c>
      <c r="M262" s="10">
        <f>IFERROR(INDEX('Weights'!$G:$I,MATCH($A262,'Weights'!$A:$A,0),MATCH(I$2,'Weights'!$G$1:$I$1,0)),"")</f>
        <v/>
      </c>
      <c r="N262" s="10">
        <f>IF($E262="","",IFERROR(100*(INDEX('Weights'!$D:$D,MATCH($A262,'Weights'!$A:$A,0))*(INDEX('Data_NSA'!$A:$OK,MATCH(EDATE(I$2,-1),'Data_NSA'!$A:$A,0),MATCH($D262,'Data_NSA'!$1:$1,0))/INDEX('Data_NSA'!$A:$OK,MATCH(INDEX('Weights'!$E:$E,MATCH($A262,'Weights'!$A:$A,0)),'Data_NSA'!$A:$A,0),MATCH($D262,'Data_NSA'!$1:$1,0))))/(100*(INDEX('Data_NSA'!$A:$OK,MATCH(EDATE(I$2,-1),'Data_NSA'!$A:$A,0),MATCH("CUUR0000SA0",'Data_NSA'!$1:$1,0))/INDEX('Data_NSA'!$A:$OK,MATCH(INDEX('Weights'!$E:$E,MATCH($A262,'Weights'!$A:$A,0)),'Data_NSA'!$A:$A,0),MATCH("CUUR0000SA0",'Data_NSA'!$1:$1,0))))*(INDEX('Data_SA'!$A:$LO,MATCH(I$2,'Data_SA'!$A:$A,0),MATCH($E262,'Data_SA'!$1:$1,0))/INDEX('Data_SA'!$A:$LO,MATCH(EDATE(I$2,-1),'Data_SA'!$A:$A,0),MATCH($E262,'Data_SA'!$1:$1,0))-1),""))</f>
        <v/>
      </c>
      <c r="O262" s="10">
        <f>IFERROR(INDEX('Data_NSA'!$A:$OK,MATCH(O$2,'Data_NSA'!$A:$A,0),MATCH($D262,'Data_NSA'!$1:$1,0)),"")</f>
        <v/>
      </c>
      <c r="P262" s="10">
        <f>IF($E262="","",IFERROR(INDEX('Data_SA'!$A:$LO,MATCH(O$2,'Data_SA'!$A:$A,0),MATCH($E262,'Data_SA'!$1:$1,0)),""))</f>
        <v/>
      </c>
      <c r="Q262" s="7">
        <f>IF($E262="","",IFERROR(INDEX('Data_SA'!$A:$LO,MATCH(O$2,'Data_SA'!$A:$A,0),MATCH($E262,'Data_SA'!$1:$1,0))/INDEX('Data_SA'!$A:$LO,MATCH(EDATE(O$2,-1),'Data_SA'!$A:$A,0),MATCH($E262,'Data_SA'!$1:$1,0))-1,""))</f>
        <v/>
      </c>
      <c r="R262" s="7">
        <f>IFERROR(INDEX('Data_NSA'!$A:$OK,MATCH(O$2,'Data_NSA'!$A:$A,0),MATCH($D262,'Data_NSA'!$1:$1,0))/INDEX('Data_NSA'!$A:$OK,MATCH(EDATE(O$2,-12),'Data_NSA'!$A:$A,0),MATCH($D262,'Data_NSA'!$1:$1,0))-1,"")</f>
        <v/>
      </c>
      <c r="S262" s="10">
        <f>IFERROR(INDEX('Weights'!$G:$I,MATCH($A262,'Weights'!$A:$A,0),MATCH(O$2,'Weights'!$G$1:$I$1,0)),"")</f>
        <v/>
      </c>
      <c r="T262" s="10">
        <f>IF($E262="","",IFERROR(100*(INDEX('Weights'!$D:$D,MATCH($A262,'Weights'!$A:$A,0))*(INDEX('Data_NSA'!$A:$OK,MATCH(EDATE(O$2,-1),'Data_NSA'!$A:$A,0),MATCH($D262,'Data_NSA'!$1:$1,0))/INDEX('Data_NSA'!$A:$OK,MATCH(INDEX('Weights'!$E:$E,MATCH($A262,'Weights'!$A:$A,0)),'Data_NSA'!$A:$A,0),MATCH($D262,'Data_NSA'!$1:$1,0))))/(100*(INDEX('Data_NSA'!$A:$OK,MATCH(EDATE(O$2,-1),'Data_NSA'!$A:$A,0),MATCH("CUUR0000SA0",'Data_NSA'!$1:$1,0))/INDEX('Data_NSA'!$A:$OK,MATCH(INDEX('Weights'!$E:$E,MATCH($A262,'Weights'!$A:$A,0)),'Data_NSA'!$A:$A,0),MATCH("CUUR0000SA0",'Data_NSA'!$1:$1,0))))*(INDEX('Data_SA'!$A:$LO,MATCH(O$2,'Data_SA'!$A:$A,0),MATCH($E262,'Data_SA'!$1:$1,0))/INDEX('Data_SA'!$A:$LO,MATCH(EDATE(O$2,-1),'Data_SA'!$A:$A,0),MATCH($E262,'Data_SA'!$1:$1,0))-1),""))</f>
        <v/>
      </c>
      <c r="U262" s="10">
        <f>IFERROR(INDEX('Data_NSA'!$A:$OK,MATCH(U$2,'Data_NSA'!$A:$A,0),MATCH($D262,'Data_NSA'!$1:$1,0)),"")</f>
        <v/>
      </c>
      <c r="V262" s="10">
        <f>IF($E262="","",IFERROR(INDEX('Data_SA'!$A:$LO,MATCH(U$2,'Data_SA'!$A:$A,0),MATCH($E262,'Data_SA'!$1:$1,0)),""))</f>
        <v/>
      </c>
      <c r="W262" s="7">
        <f>IF($E262="","",IFERROR(INDEX('Data_SA'!$A:$LO,MATCH(U$2,'Data_SA'!$A:$A,0),MATCH($E262,'Data_SA'!$1:$1,0))/INDEX('Data_SA'!$A:$LO,MATCH(EDATE(U$2,-1),'Data_SA'!$A:$A,0),MATCH($E262,'Data_SA'!$1:$1,0))-1,""))</f>
        <v/>
      </c>
      <c r="X262" s="7">
        <f>IFERROR(INDEX('Data_NSA'!$A:$OK,MATCH(U$2,'Data_NSA'!$A:$A,0),MATCH($D262,'Data_NSA'!$1:$1,0))/INDEX('Data_NSA'!$A:$OK,MATCH(EDATE(U$2,-12),'Data_NSA'!$A:$A,0),MATCH($D262,'Data_NSA'!$1:$1,0))-1,"")</f>
        <v/>
      </c>
      <c r="Y262" s="10">
        <f>IFERROR(INDEX('Weights'!$G:$I,MATCH($A262,'Weights'!$A:$A,0),MATCH(U$2,'Weights'!$G$1:$I$1,0)),"")</f>
        <v/>
      </c>
      <c r="Z262" s="10">
        <f>IF($E262="","",IFERROR(100*(INDEX('Weights'!$D:$D,MATCH($A262,'Weights'!$A:$A,0))*(INDEX('Data_NSA'!$A:$OK,MATCH(EDATE(U$2,-1),'Data_NSA'!$A:$A,0),MATCH($D262,'Data_NSA'!$1:$1,0))/INDEX('Data_NSA'!$A:$OK,MATCH(INDEX('Weights'!$E:$E,MATCH($A262,'Weights'!$A:$A,0)),'Data_NSA'!$A:$A,0),MATCH($D262,'Data_NSA'!$1:$1,0))))/(100*(INDEX('Data_NSA'!$A:$OK,MATCH(EDATE(U$2,-1),'Data_NSA'!$A:$A,0),MATCH("CUUR0000SA0",'Data_NSA'!$1:$1,0))/INDEX('Data_NSA'!$A:$OK,MATCH(INDEX('Weights'!$E:$E,MATCH($A262,'Weights'!$A:$A,0)),'Data_NSA'!$A:$A,0),MATCH("CUUR0000SA0",'Data_NSA'!$1:$1,0))))*(INDEX('Data_SA'!$A:$LO,MATCH(U$2,'Data_SA'!$A:$A,0),MATCH($E262,'Data_SA'!$1:$1,0))/INDEX('Data_SA'!$A:$LO,MATCH(EDATE(U$2,-1),'Data_SA'!$A:$A,0),MATCH($E262,'Data_SA'!$1:$1,0))-1),""))</f>
        <v/>
      </c>
    </row>
    <row r="263">
      <c r="A263" s="3" t="inlineStr">
        <is>
          <t>SEMC03</t>
        </is>
      </c>
      <c r="B263" s="3" t="inlineStr">
        <is>
          <t>Eyeglasses and eye care</t>
        </is>
      </c>
      <c r="C263" s="3" t="inlineStr">
        <is>
          <t>SEMC</t>
        </is>
      </c>
      <c r="D263" s="3" t="inlineStr">
        <is>
          <t>CUUR0000SEMC03</t>
        </is>
      </c>
      <c r="E263" s="3" t="inlineStr">
        <is>
          <t>CUSR0000SEMC03</t>
        </is>
      </c>
      <c r="F263" s="3" t="inlineStr">
        <is>
          <t>GM</t>
        </is>
      </c>
      <c r="G263" s="3" t="inlineStr">
        <is>
          <t>monthly in New York/Los Angeles/Chicago; often bimonthly elsewhere</t>
        </is>
      </c>
      <c r="H263" s="10">
        <f>IFERROR(INDEX(Weights!$D:$D,MATCH($A263,Weights!$A:$A,0)),"")</f>
        <v/>
      </c>
      <c r="I263" s="10">
        <f>IFERROR(INDEX('Data_NSA'!$A:$OK,MATCH(I$2,'Data_NSA'!$A:$A,0),MATCH($D263,'Data_NSA'!$1:$1,0)),"")</f>
        <v/>
      </c>
      <c r="J263" s="10">
        <f>IF($E263="","",IFERROR(INDEX('Data_SA'!$A:$LO,MATCH(I$2,'Data_SA'!$A:$A,0),MATCH($E263,'Data_SA'!$1:$1,0)),""))</f>
        <v/>
      </c>
      <c r="K263" s="7">
        <f>IF($E263="","",IFERROR(INDEX('Data_SA'!$A:$LO,MATCH(I$2,'Data_SA'!$A:$A,0),MATCH($E263,'Data_SA'!$1:$1,0))/INDEX('Data_SA'!$A:$LO,MATCH(EDATE(I$2,-1),'Data_SA'!$A:$A,0),MATCH($E263,'Data_SA'!$1:$1,0))-1,""))</f>
        <v/>
      </c>
      <c r="L263" s="7">
        <f>IFERROR(INDEX('Data_NSA'!$A:$OK,MATCH(I$2,'Data_NSA'!$A:$A,0),MATCH($D263,'Data_NSA'!$1:$1,0))/INDEX('Data_NSA'!$A:$OK,MATCH(EDATE(I$2,-12),'Data_NSA'!$A:$A,0),MATCH($D263,'Data_NSA'!$1:$1,0))-1,"")</f>
        <v/>
      </c>
      <c r="M263" s="10">
        <f>IFERROR(INDEX('Weights'!$G:$I,MATCH($A263,'Weights'!$A:$A,0),MATCH(I$2,'Weights'!$G$1:$I$1,0)),"")</f>
        <v/>
      </c>
      <c r="N263" s="10">
        <f>IF($E263="","",IFERROR(100*(INDEX('Weights'!$D:$D,MATCH($A263,'Weights'!$A:$A,0))*(INDEX('Data_NSA'!$A:$OK,MATCH(EDATE(I$2,-1),'Data_NSA'!$A:$A,0),MATCH($D263,'Data_NSA'!$1:$1,0))/INDEX('Data_NSA'!$A:$OK,MATCH(INDEX('Weights'!$E:$E,MATCH($A263,'Weights'!$A:$A,0)),'Data_NSA'!$A:$A,0),MATCH($D263,'Data_NSA'!$1:$1,0))))/(100*(INDEX('Data_NSA'!$A:$OK,MATCH(EDATE(I$2,-1),'Data_NSA'!$A:$A,0),MATCH("CUUR0000SA0",'Data_NSA'!$1:$1,0))/INDEX('Data_NSA'!$A:$OK,MATCH(INDEX('Weights'!$E:$E,MATCH($A263,'Weights'!$A:$A,0)),'Data_NSA'!$A:$A,0),MATCH("CUUR0000SA0",'Data_NSA'!$1:$1,0))))*(INDEX('Data_SA'!$A:$LO,MATCH(I$2,'Data_SA'!$A:$A,0),MATCH($E263,'Data_SA'!$1:$1,0))/INDEX('Data_SA'!$A:$LO,MATCH(EDATE(I$2,-1),'Data_SA'!$A:$A,0),MATCH($E263,'Data_SA'!$1:$1,0))-1),""))</f>
        <v/>
      </c>
      <c r="O263" s="10">
        <f>IFERROR(INDEX('Data_NSA'!$A:$OK,MATCH(O$2,'Data_NSA'!$A:$A,0),MATCH($D263,'Data_NSA'!$1:$1,0)),"")</f>
        <v/>
      </c>
      <c r="P263" s="10">
        <f>IF($E263="","",IFERROR(INDEX('Data_SA'!$A:$LO,MATCH(O$2,'Data_SA'!$A:$A,0),MATCH($E263,'Data_SA'!$1:$1,0)),""))</f>
        <v/>
      </c>
      <c r="Q263" s="7">
        <f>IF($E263="","",IFERROR(INDEX('Data_SA'!$A:$LO,MATCH(O$2,'Data_SA'!$A:$A,0),MATCH($E263,'Data_SA'!$1:$1,0))/INDEX('Data_SA'!$A:$LO,MATCH(EDATE(O$2,-1),'Data_SA'!$A:$A,0),MATCH($E263,'Data_SA'!$1:$1,0))-1,""))</f>
        <v/>
      </c>
      <c r="R263" s="7">
        <f>IFERROR(INDEX('Data_NSA'!$A:$OK,MATCH(O$2,'Data_NSA'!$A:$A,0),MATCH($D263,'Data_NSA'!$1:$1,0))/INDEX('Data_NSA'!$A:$OK,MATCH(EDATE(O$2,-12),'Data_NSA'!$A:$A,0),MATCH($D263,'Data_NSA'!$1:$1,0))-1,"")</f>
        <v/>
      </c>
      <c r="S263" s="10">
        <f>IFERROR(INDEX('Weights'!$G:$I,MATCH($A263,'Weights'!$A:$A,0),MATCH(O$2,'Weights'!$G$1:$I$1,0)),"")</f>
        <v/>
      </c>
      <c r="T263" s="10">
        <f>IF($E263="","",IFERROR(100*(INDEX('Weights'!$D:$D,MATCH($A263,'Weights'!$A:$A,0))*(INDEX('Data_NSA'!$A:$OK,MATCH(EDATE(O$2,-1),'Data_NSA'!$A:$A,0),MATCH($D263,'Data_NSA'!$1:$1,0))/INDEX('Data_NSA'!$A:$OK,MATCH(INDEX('Weights'!$E:$E,MATCH($A263,'Weights'!$A:$A,0)),'Data_NSA'!$A:$A,0),MATCH($D263,'Data_NSA'!$1:$1,0))))/(100*(INDEX('Data_NSA'!$A:$OK,MATCH(EDATE(O$2,-1),'Data_NSA'!$A:$A,0),MATCH("CUUR0000SA0",'Data_NSA'!$1:$1,0))/INDEX('Data_NSA'!$A:$OK,MATCH(INDEX('Weights'!$E:$E,MATCH($A263,'Weights'!$A:$A,0)),'Data_NSA'!$A:$A,0),MATCH("CUUR0000SA0",'Data_NSA'!$1:$1,0))))*(INDEX('Data_SA'!$A:$LO,MATCH(O$2,'Data_SA'!$A:$A,0),MATCH($E263,'Data_SA'!$1:$1,0))/INDEX('Data_SA'!$A:$LO,MATCH(EDATE(O$2,-1),'Data_SA'!$A:$A,0),MATCH($E263,'Data_SA'!$1:$1,0))-1),""))</f>
        <v/>
      </c>
      <c r="U263" s="10">
        <f>IFERROR(INDEX('Data_NSA'!$A:$OK,MATCH(U$2,'Data_NSA'!$A:$A,0),MATCH($D263,'Data_NSA'!$1:$1,0)),"")</f>
        <v/>
      </c>
      <c r="V263" s="10">
        <f>IF($E263="","",IFERROR(INDEX('Data_SA'!$A:$LO,MATCH(U$2,'Data_SA'!$A:$A,0),MATCH($E263,'Data_SA'!$1:$1,0)),""))</f>
        <v/>
      </c>
      <c r="W263" s="7">
        <f>IF($E263="","",IFERROR(INDEX('Data_SA'!$A:$LO,MATCH(U$2,'Data_SA'!$A:$A,0),MATCH($E263,'Data_SA'!$1:$1,0))/INDEX('Data_SA'!$A:$LO,MATCH(EDATE(U$2,-1),'Data_SA'!$A:$A,0),MATCH($E263,'Data_SA'!$1:$1,0))-1,""))</f>
        <v/>
      </c>
      <c r="X263" s="7">
        <f>IFERROR(INDEX('Data_NSA'!$A:$OK,MATCH(U$2,'Data_NSA'!$A:$A,0),MATCH($D263,'Data_NSA'!$1:$1,0))/INDEX('Data_NSA'!$A:$OK,MATCH(EDATE(U$2,-12),'Data_NSA'!$A:$A,0),MATCH($D263,'Data_NSA'!$1:$1,0))-1,"")</f>
        <v/>
      </c>
      <c r="Y263" s="10">
        <f>IFERROR(INDEX('Weights'!$G:$I,MATCH($A263,'Weights'!$A:$A,0),MATCH(U$2,'Weights'!$G$1:$I$1,0)),"")</f>
        <v/>
      </c>
      <c r="Z263" s="10">
        <f>IF($E263="","",IFERROR(100*(INDEX('Weights'!$D:$D,MATCH($A263,'Weights'!$A:$A,0))*(INDEX('Data_NSA'!$A:$OK,MATCH(EDATE(U$2,-1),'Data_NSA'!$A:$A,0),MATCH($D263,'Data_NSA'!$1:$1,0))/INDEX('Data_NSA'!$A:$OK,MATCH(INDEX('Weights'!$E:$E,MATCH($A263,'Weights'!$A:$A,0)),'Data_NSA'!$A:$A,0),MATCH($D263,'Data_NSA'!$1:$1,0))))/(100*(INDEX('Data_NSA'!$A:$OK,MATCH(EDATE(U$2,-1),'Data_NSA'!$A:$A,0),MATCH("CUUR0000SA0",'Data_NSA'!$1:$1,0))/INDEX('Data_NSA'!$A:$OK,MATCH(INDEX('Weights'!$E:$E,MATCH($A263,'Weights'!$A:$A,0)),'Data_NSA'!$A:$A,0),MATCH("CUUR0000SA0",'Data_NSA'!$1:$1,0))))*(INDEX('Data_SA'!$A:$LO,MATCH(U$2,'Data_SA'!$A:$A,0),MATCH($E263,'Data_SA'!$1:$1,0))/INDEX('Data_SA'!$A:$LO,MATCH(EDATE(U$2,-1),'Data_SA'!$A:$A,0),MATCH($E263,'Data_SA'!$1:$1,0))-1),""))</f>
        <v/>
      </c>
    </row>
    <row r="264">
      <c r="A264" s="3" t="inlineStr">
        <is>
          <t>SEMC04</t>
        </is>
      </c>
      <c r="B264" s="3" t="inlineStr">
        <is>
          <t>Services by other medical professionals</t>
        </is>
      </c>
      <c r="C264" s="3" t="inlineStr">
        <is>
          <t>SEMC</t>
        </is>
      </c>
      <c r="D264" s="3" t="inlineStr">
        <is>
          <t>CUUR0000SEMC04</t>
        </is>
      </c>
      <c r="E264" s="3" t="inlineStr">
        <is>
          <t>CUSR0000SEMC04</t>
        </is>
      </c>
      <c r="F264" s="3" t="inlineStr">
        <is>
          <t>GM</t>
        </is>
      </c>
      <c r="G264" s="3" t="inlineStr">
        <is>
          <t>monthly in New York/Los Angeles/Chicago; often bimonthly elsewhere</t>
        </is>
      </c>
      <c r="H264" s="10">
        <f>IFERROR(INDEX(Weights!$D:$D,MATCH($A264,Weights!$A:$A,0)),"")</f>
        <v/>
      </c>
      <c r="I264" s="10">
        <f>IFERROR(INDEX('Data_NSA'!$A:$OK,MATCH(I$2,'Data_NSA'!$A:$A,0),MATCH($D264,'Data_NSA'!$1:$1,0)),"")</f>
        <v/>
      </c>
      <c r="J264" s="10">
        <f>IF($E264="","",IFERROR(INDEX('Data_SA'!$A:$LO,MATCH(I$2,'Data_SA'!$A:$A,0),MATCH($E264,'Data_SA'!$1:$1,0)),""))</f>
        <v/>
      </c>
      <c r="K264" s="7">
        <f>IF($E264="","",IFERROR(INDEX('Data_SA'!$A:$LO,MATCH(I$2,'Data_SA'!$A:$A,0),MATCH($E264,'Data_SA'!$1:$1,0))/INDEX('Data_SA'!$A:$LO,MATCH(EDATE(I$2,-1),'Data_SA'!$A:$A,0),MATCH($E264,'Data_SA'!$1:$1,0))-1,""))</f>
        <v/>
      </c>
      <c r="L264" s="7">
        <f>IFERROR(INDEX('Data_NSA'!$A:$OK,MATCH(I$2,'Data_NSA'!$A:$A,0),MATCH($D264,'Data_NSA'!$1:$1,0))/INDEX('Data_NSA'!$A:$OK,MATCH(EDATE(I$2,-12),'Data_NSA'!$A:$A,0),MATCH($D264,'Data_NSA'!$1:$1,0))-1,"")</f>
        <v/>
      </c>
      <c r="M264" s="10">
        <f>IFERROR(INDEX('Weights'!$G:$I,MATCH($A264,'Weights'!$A:$A,0),MATCH(I$2,'Weights'!$G$1:$I$1,0)),"")</f>
        <v/>
      </c>
      <c r="N264" s="10">
        <f>IF($E264="","",IFERROR(100*(INDEX('Weights'!$D:$D,MATCH($A264,'Weights'!$A:$A,0))*(INDEX('Data_NSA'!$A:$OK,MATCH(EDATE(I$2,-1),'Data_NSA'!$A:$A,0),MATCH($D264,'Data_NSA'!$1:$1,0))/INDEX('Data_NSA'!$A:$OK,MATCH(INDEX('Weights'!$E:$E,MATCH($A264,'Weights'!$A:$A,0)),'Data_NSA'!$A:$A,0),MATCH($D264,'Data_NSA'!$1:$1,0))))/(100*(INDEX('Data_NSA'!$A:$OK,MATCH(EDATE(I$2,-1),'Data_NSA'!$A:$A,0),MATCH("CUUR0000SA0",'Data_NSA'!$1:$1,0))/INDEX('Data_NSA'!$A:$OK,MATCH(INDEX('Weights'!$E:$E,MATCH($A264,'Weights'!$A:$A,0)),'Data_NSA'!$A:$A,0),MATCH("CUUR0000SA0",'Data_NSA'!$1:$1,0))))*(INDEX('Data_SA'!$A:$LO,MATCH(I$2,'Data_SA'!$A:$A,0),MATCH($E264,'Data_SA'!$1:$1,0))/INDEX('Data_SA'!$A:$LO,MATCH(EDATE(I$2,-1),'Data_SA'!$A:$A,0),MATCH($E264,'Data_SA'!$1:$1,0))-1),""))</f>
        <v/>
      </c>
      <c r="O264" s="10">
        <f>IFERROR(INDEX('Data_NSA'!$A:$OK,MATCH(O$2,'Data_NSA'!$A:$A,0),MATCH($D264,'Data_NSA'!$1:$1,0)),"")</f>
        <v/>
      </c>
      <c r="P264" s="10">
        <f>IF($E264="","",IFERROR(INDEX('Data_SA'!$A:$LO,MATCH(O$2,'Data_SA'!$A:$A,0),MATCH($E264,'Data_SA'!$1:$1,0)),""))</f>
        <v/>
      </c>
      <c r="Q264" s="7">
        <f>IF($E264="","",IFERROR(INDEX('Data_SA'!$A:$LO,MATCH(O$2,'Data_SA'!$A:$A,0),MATCH($E264,'Data_SA'!$1:$1,0))/INDEX('Data_SA'!$A:$LO,MATCH(EDATE(O$2,-1),'Data_SA'!$A:$A,0),MATCH($E264,'Data_SA'!$1:$1,0))-1,""))</f>
        <v/>
      </c>
      <c r="R264" s="7">
        <f>IFERROR(INDEX('Data_NSA'!$A:$OK,MATCH(O$2,'Data_NSA'!$A:$A,0),MATCH($D264,'Data_NSA'!$1:$1,0))/INDEX('Data_NSA'!$A:$OK,MATCH(EDATE(O$2,-12),'Data_NSA'!$A:$A,0),MATCH($D264,'Data_NSA'!$1:$1,0))-1,"")</f>
        <v/>
      </c>
      <c r="S264" s="10">
        <f>IFERROR(INDEX('Weights'!$G:$I,MATCH($A264,'Weights'!$A:$A,0),MATCH(O$2,'Weights'!$G$1:$I$1,0)),"")</f>
        <v/>
      </c>
      <c r="T264" s="10">
        <f>IF($E264="","",IFERROR(100*(INDEX('Weights'!$D:$D,MATCH($A264,'Weights'!$A:$A,0))*(INDEX('Data_NSA'!$A:$OK,MATCH(EDATE(O$2,-1),'Data_NSA'!$A:$A,0),MATCH($D264,'Data_NSA'!$1:$1,0))/INDEX('Data_NSA'!$A:$OK,MATCH(INDEX('Weights'!$E:$E,MATCH($A264,'Weights'!$A:$A,0)),'Data_NSA'!$A:$A,0),MATCH($D264,'Data_NSA'!$1:$1,0))))/(100*(INDEX('Data_NSA'!$A:$OK,MATCH(EDATE(O$2,-1),'Data_NSA'!$A:$A,0),MATCH("CUUR0000SA0",'Data_NSA'!$1:$1,0))/INDEX('Data_NSA'!$A:$OK,MATCH(INDEX('Weights'!$E:$E,MATCH($A264,'Weights'!$A:$A,0)),'Data_NSA'!$A:$A,0),MATCH("CUUR0000SA0",'Data_NSA'!$1:$1,0))))*(INDEX('Data_SA'!$A:$LO,MATCH(O$2,'Data_SA'!$A:$A,0),MATCH($E264,'Data_SA'!$1:$1,0))/INDEX('Data_SA'!$A:$LO,MATCH(EDATE(O$2,-1),'Data_SA'!$A:$A,0),MATCH($E264,'Data_SA'!$1:$1,0))-1),""))</f>
        <v/>
      </c>
      <c r="U264" s="10">
        <f>IFERROR(INDEX('Data_NSA'!$A:$OK,MATCH(U$2,'Data_NSA'!$A:$A,0),MATCH($D264,'Data_NSA'!$1:$1,0)),"")</f>
        <v/>
      </c>
      <c r="V264" s="10">
        <f>IF($E264="","",IFERROR(INDEX('Data_SA'!$A:$LO,MATCH(U$2,'Data_SA'!$A:$A,0),MATCH($E264,'Data_SA'!$1:$1,0)),""))</f>
        <v/>
      </c>
      <c r="W264" s="7">
        <f>IF($E264="","",IFERROR(INDEX('Data_SA'!$A:$LO,MATCH(U$2,'Data_SA'!$A:$A,0),MATCH($E264,'Data_SA'!$1:$1,0))/INDEX('Data_SA'!$A:$LO,MATCH(EDATE(U$2,-1),'Data_SA'!$A:$A,0),MATCH($E264,'Data_SA'!$1:$1,0))-1,""))</f>
        <v/>
      </c>
      <c r="X264" s="7">
        <f>IFERROR(INDEX('Data_NSA'!$A:$OK,MATCH(U$2,'Data_NSA'!$A:$A,0),MATCH($D264,'Data_NSA'!$1:$1,0))/INDEX('Data_NSA'!$A:$OK,MATCH(EDATE(U$2,-12),'Data_NSA'!$A:$A,0),MATCH($D264,'Data_NSA'!$1:$1,0))-1,"")</f>
        <v/>
      </c>
      <c r="Y264" s="10">
        <f>IFERROR(INDEX('Weights'!$G:$I,MATCH($A264,'Weights'!$A:$A,0),MATCH(U$2,'Weights'!$G$1:$I$1,0)),"")</f>
        <v/>
      </c>
      <c r="Z264" s="10">
        <f>IF($E264="","",IFERROR(100*(INDEX('Weights'!$D:$D,MATCH($A264,'Weights'!$A:$A,0))*(INDEX('Data_NSA'!$A:$OK,MATCH(EDATE(U$2,-1),'Data_NSA'!$A:$A,0),MATCH($D264,'Data_NSA'!$1:$1,0))/INDEX('Data_NSA'!$A:$OK,MATCH(INDEX('Weights'!$E:$E,MATCH($A264,'Weights'!$A:$A,0)),'Data_NSA'!$A:$A,0),MATCH($D264,'Data_NSA'!$1:$1,0))))/(100*(INDEX('Data_NSA'!$A:$OK,MATCH(EDATE(U$2,-1),'Data_NSA'!$A:$A,0),MATCH("CUUR0000SA0",'Data_NSA'!$1:$1,0))/INDEX('Data_NSA'!$A:$OK,MATCH(INDEX('Weights'!$E:$E,MATCH($A264,'Weights'!$A:$A,0)),'Data_NSA'!$A:$A,0),MATCH("CUUR0000SA0",'Data_NSA'!$1:$1,0))))*(INDEX('Data_SA'!$A:$LO,MATCH(U$2,'Data_SA'!$A:$A,0),MATCH($E264,'Data_SA'!$1:$1,0))/INDEX('Data_SA'!$A:$LO,MATCH(EDATE(U$2,-1),'Data_SA'!$A:$A,0),MATCH($E264,'Data_SA'!$1:$1,0))-1),""))</f>
        <v/>
      </c>
    </row>
    <row r="265">
      <c r="A265" s="3" t="inlineStr">
        <is>
          <t>SEMD</t>
        </is>
      </c>
      <c r="B265" s="3" t="inlineStr">
        <is>
          <t>Hospital and related services</t>
        </is>
      </c>
      <c r="C265" s="3" t="inlineStr">
        <is>
          <t>SAM2</t>
        </is>
      </c>
      <c r="D265" s="3" t="inlineStr">
        <is>
          <t>CUUR0000SEMD</t>
        </is>
      </c>
      <c r="E265" s="3" t="inlineStr">
        <is>
          <t>CUSR0000SEMD</t>
        </is>
      </c>
      <c r="F265" s="3" t="inlineStr">
        <is>
          <t>aggregate</t>
        </is>
      </c>
      <c r="G265" s="3" t="inlineStr">
        <is>
          <t>aggregate</t>
        </is>
      </c>
      <c r="H265" s="10">
        <f>IFERROR(INDEX(Weights!$D:$D,MATCH($A265,Weights!$A:$A,0)),"")</f>
        <v/>
      </c>
      <c r="I265" s="10">
        <f>IFERROR(INDEX('Data_NSA'!$A:$OK,MATCH(I$2,'Data_NSA'!$A:$A,0),MATCH($D265,'Data_NSA'!$1:$1,0)),"")</f>
        <v/>
      </c>
      <c r="J265" s="10">
        <f>IF($E265="","",IFERROR(INDEX('Data_SA'!$A:$LO,MATCH(I$2,'Data_SA'!$A:$A,0),MATCH($E265,'Data_SA'!$1:$1,0)),""))</f>
        <v/>
      </c>
      <c r="K265" s="7">
        <f>IF($E265="","",IFERROR(INDEX('Data_SA'!$A:$LO,MATCH(I$2,'Data_SA'!$A:$A,0),MATCH($E265,'Data_SA'!$1:$1,0))/INDEX('Data_SA'!$A:$LO,MATCH(EDATE(I$2,-1),'Data_SA'!$A:$A,0),MATCH($E265,'Data_SA'!$1:$1,0))-1,""))</f>
        <v/>
      </c>
      <c r="L265" s="7">
        <f>IFERROR(INDEX('Data_NSA'!$A:$OK,MATCH(I$2,'Data_NSA'!$A:$A,0),MATCH($D265,'Data_NSA'!$1:$1,0))/INDEX('Data_NSA'!$A:$OK,MATCH(EDATE(I$2,-12),'Data_NSA'!$A:$A,0),MATCH($D265,'Data_NSA'!$1:$1,0))-1,"")</f>
        <v/>
      </c>
      <c r="M265" s="10">
        <f>IFERROR(INDEX('Weights'!$G:$I,MATCH($A265,'Weights'!$A:$A,0),MATCH(I$2,'Weights'!$G$1:$I$1,0)),"")</f>
        <v/>
      </c>
      <c r="N265" s="10">
        <f>IF($E265="","",IFERROR(100*(INDEX('Weights'!$D:$D,MATCH($A265,'Weights'!$A:$A,0))*(INDEX('Data_NSA'!$A:$OK,MATCH(EDATE(I$2,-1),'Data_NSA'!$A:$A,0),MATCH($D265,'Data_NSA'!$1:$1,0))/INDEX('Data_NSA'!$A:$OK,MATCH(INDEX('Weights'!$E:$E,MATCH($A265,'Weights'!$A:$A,0)),'Data_NSA'!$A:$A,0),MATCH($D265,'Data_NSA'!$1:$1,0))))/(100*(INDEX('Data_NSA'!$A:$OK,MATCH(EDATE(I$2,-1),'Data_NSA'!$A:$A,0),MATCH("CUUR0000SA0",'Data_NSA'!$1:$1,0))/INDEX('Data_NSA'!$A:$OK,MATCH(INDEX('Weights'!$E:$E,MATCH($A265,'Weights'!$A:$A,0)),'Data_NSA'!$A:$A,0),MATCH("CUUR0000SA0",'Data_NSA'!$1:$1,0))))*(INDEX('Data_SA'!$A:$LO,MATCH(I$2,'Data_SA'!$A:$A,0),MATCH($E265,'Data_SA'!$1:$1,0))/INDEX('Data_SA'!$A:$LO,MATCH(EDATE(I$2,-1),'Data_SA'!$A:$A,0),MATCH($E265,'Data_SA'!$1:$1,0))-1),""))</f>
        <v/>
      </c>
      <c r="O265" s="10">
        <f>IFERROR(INDEX('Data_NSA'!$A:$OK,MATCH(O$2,'Data_NSA'!$A:$A,0),MATCH($D265,'Data_NSA'!$1:$1,0)),"")</f>
        <v/>
      </c>
      <c r="P265" s="10">
        <f>IF($E265="","",IFERROR(INDEX('Data_SA'!$A:$LO,MATCH(O$2,'Data_SA'!$A:$A,0),MATCH($E265,'Data_SA'!$1:$1,0)),""))</f>
        <v/>
      </c>
      <c r="Q265" s="7">
        <f>IF($E265="","",IFERROR(INDEX('Data_SA'!$A:$LO,MATCH(O$2,'Data_SA'!$A:$A,0),MATCH($E265,'Data_SA'!$1:$1,0))/INDEX('Data_SA'!$A:$LO,MATCH(EDATE(O$2,-1),'Data_SA'!$A:$A,0),MATCH($E265,'Data_SA'!$1:$1,0))-1,""))</f>
        <v/>
      </c>
      <c r="R265" s="7">
        <f>IFERROR(INDEX('Data_NSA'!$A:$OK,MATCH(O$2,'Data_NSA'!$A:$A,0),MATCH($D265,'Data_NSA'!$1:$1,0))/INDEX('Data_NSA'!$A:$OK,MATCH(EDATE(O$2,-12),'Data_NSA'!$A:$A,0),MATCH($D265,'Data_NSA'!$1:$1,0))-1,"")</f>
        <v/>
      </c>
      <c r="S265" s="10">
        <f>IFERROR(INDEX('Weights'!$G:$I,MATCH($A265,'Weights'!$A:$A,0),MATCH(O$2,'Weights'!$G$1:$I$1,0)),"")</f>
        <v/>
      </c>
      <c r="T265" s="10">
        <f>IF($E265="","",IFERROR(100*(INDEX('Weights'!$D:$D,MATCH($A265,'Weights'!$A:$A,0))*(INDEX('Data_NSA'!$A:$OK,MATCH(EDATE(O$2,-1),'Data_NSA'!$A:$A,0),MATCH($D265,'Data_NSA'!$1:$1,0))/INDEX('Data_NSA'!$A:$OK,MATCH(INDEX('Weights'!$E:$E,MATCH($A265,'Weights'!$A:$A,0)),'Data_NSA'!$A:$A,0),MATCH($D265,'Data_NSA'!$1:$1,0))))/(100*(INDEX('Data_NSA'!$A:$OK,MATCH(EDATE(O$2,-1),'Data_NSA'!$A:$A,0),MATCH("CUUR0000SA0",'Data_NSA'!$1:$1,0))/INDEX('Data_NSA'!$A:$OK,MATCH(INDEX('Weights'!$E:$E,MATCH($A265,'Weights'!$A:$A,0)),'Data_NSA'!$A:$A,0),MATCH("CUUR0000SA0",'Data_NSA'!$1:$1,0))))*(INDEX('Data_SA'!$A:$LO,MATCH(O$2,'Data_SA'!$A:$A,0),MATCH($E265,'Data_SA'!$1:$1,0))/INDEX('Data_SA'!$A:$LO,MATCH(EDATE(O$2,-1),'Data_SA'!$A:$A,0),MATCH($E265,'Data_SA'!$1:$1,0))-1),""))</f>
        <v/>
      </c>
      <c r="U265" s="10">
        <f>IFERROR(INDEX('Data_NSA'!$A:$OK,MATCH(U$2,'Data_NSA'!$A:$A,0),MATCH($D265,'Data_NSA'!$1:$1,0)),"")</f>
        <v/>
      </c>
      <c r="V265" s="10">
        <f>IF($E265="","",IFERROR(INDEX('Data_SA'!$A:$LO,MATCH(U$2,'Data_SA'!$A:$A,0),MATCH($E265,'Data_SA'!$1:$1,0)),""))</f>
        <v/>
      </c>
      <c r="W265" s="7">
        <f>IF($E265="","",IFERROR(INDEX('Data_SA'!$A:$LO,MATCH(U$2,'Data_SA'!$A:$A,0),MATCH($E265,'Data_SA'!$1:$1,0))/INDEX('Data_SA'!$A:$LO,MATCH(EDATE(U$2,-1),'Data_SA'!$A:$A,0),MATCH($E265,'Data_SA'!$1:$1,0))-1,""))</f>
        <v/>
      </c>
      <c r="X265" s="7">
        <f>IFERROR(INDEX('Data_NSA'!$A:$OK,MATCH(U$2,'Data_NSA'!$A:$A,0),MATCH($D265,'Data_NSA'!$1:$1,0))/INDEX('Data_NSA'!$A:$OK,MATCH(EDATE(U$2,-12),'Data_NSA'!$A:$A,0),MATCH($D265,'Data_NSA'!$1:$1,0))-1,"")</f>
        <v/>
      </c>
      <c r="Y265" s="10">
        <f>IFERROR(INDEX('Weights'!$G:$I,MATCH($A265,'Weights'!$A:$A,0),MATCH(U$2,'Weights'!$G$1:$I$1,0)),"")</f>
        <v/>
      </c>
      <c r="Z265" s="10">
        <f>IF($E265="","",IFERROR(100*(INDEX('Weights'!$D:$D,MATCH($A265,'Weights'!$A:$A,0))*(INDEX('Data_NSA'!$A:$OK,MATCH(EDATE(U$2,-1),'Data_NSA'!$A:$A,0),MATCH($D265,'Data_NSA'!$1:$1,0))/INDEX('Data_NSA'!$A:$OK,MATCH(INDEX('Weights'!$E:$E,MATCH($A265,'Weights'!$A:$A,0)),'Data_NSA'!$A:$A,0),MATCH($D265,'Data_NSA'!$1:$1,0))))/(100*(INDEX('Data_NSA'!$A:$OK,MATCH(EDATE(U$2,-1),'Data_NSA'!$A:$A,0),MATCH("CUUR0000SA0",'Data_NSA'!$1:$1,0))/INDEX('Data_NSA'!$A:$OK,MATCH(INDEX('Weights'!$E:$E,MATCH($A265,'Weights'!$A:$A,0)),'Data_NSA'!$A:$A,0),MATCH("CUUR0000SA0",'Data_NSA'!$1:$1,0))))*(INDEX('Data_SA'!$A:$LO,MATCH(U$2,'Data_SA'!$A:$A,0),MATCH($E265,'Data_SA'!$1:$1,0))/INDEX('Data_SA'!$A:$LO,MATCH(EDATE(U$2,-1),'Data_SA'!$A:$A,0),MATCH($E265,'Data_SA'!$1:$1,0))-1),""))</f>
        <v/>
      </c>
    </row>
    <row r="266">
      <c r="A266" s="3" t="inlineStr">
        <is>
          <t>SEMD01</t>
        </is>
      </c>
      <c r="B266" s="3" t="inlineStr">
        <is>
          <t>Hospital services</t>
        </is>
      </c>
      <c r="C266" s="3" t="inlineStr">
        <is>
          <t>SEMD</t>
        </is>
      </c>
      <c r="D266" s="3" t="inlineStr">
        <is>
          <t>CUUR0000SEMD01</t>
        </is>
      </c>
      <c r="E266" s="3" t="inlineStr">
        <is>
          <t>CUSR0000SEMD01</t>
        </is>
      </c>
      <c r="F266" s="3" t="inlineStr">
        <is>
          <t>ML elements</t>
        </is>
      </c>
      <c r="G266" s="3" t="inlineStr">
        <is>
          <t>monthly</t>
        </is>
      </c>
      <c r="H266" s="10">
        <f>IFERROR(INDEX(Weights!$D:$D,MATCH($A266,Weights!$A:$A,0)),"")</f>
        <v/>
      </c>
      <c r="I266" s="10">
        <f>IFERROR(INDEX('Data_NSA'!$A:$OK,MATCH(I$2,'Data_NSA'!$A:$A,0),MATCH($D266,'Data_NSA'!$1:$1,0)),"")</f>
        <v/>
      </c>
      <c r="J266" s="10">
        <f>IF($E266="","",IFERROR(INDEX('Data_SA'!$A:$LO,MATCH(I$2,'Data_SA'!$A:$A,0),MATCH($E266,'Data_SA'!$1:$1,0)),""))</f>
        <v/>
      </c>
      <c r="K266" s="7">
        <f>IF($E266="","",IFERROR(INDEX('Data_SA'!$A:$LO,MATCH(I$2,'Data_SA'!$A:$A,0),MATCH($E266,'Data_SA'!$1:$1,0))/INDEX('Data_SA'!$A:$LO,MATCH(EDATE(I$2,-1),'Data_SA'!$A:$A,0),MATCH($E266,'Data_SA'!$1:$1,0))-1,""))</f>
        <v/>
      </c>
      <c r="L266" s="7">
        <f>IFERROR(INDEX('Data_NSA'!$A:$OK,MATCH(I$2,'Data_NSA'!$A:$A,0),MATCH($D266,'Data_NSA'!$1:$1,0))/INDEX('Data_NSA'!$A:$OK,MATCH(EDATE(I$2,-12),'Data_NSA'!$A:$A,0),MATCH($D266,'Data_NSA'!$1:$1,0))-1,"")</f>
        <v/>
      </c>
      <c r="M266" s="10">
        <f>IFERROR(INDEX('Weights'!$G:$I,MATCH($A266,'Weights'!$A:$A,0),MATCH(I$2,'Weights'!$G$1:$I$1,0)),"")</f>
        <v/>
      </c>
      <c r="N266" s="10">
        <f>IF($E266="","",IFERROR(100*(INDEX('Weights'!$D:$D,MATCH($A266,'Weights'!$A:$A,0))*(INDEX('Data_NSA'!$A:$OK,MATCH(EDATE(I$2,-1),'Data_NSA'!$A:$A,0),MATCH($D266,'Data_NSA'!$1:$1,0))/INDEX('Data_NSA'!$A:$OK,MATCH(INDEX('Weights'!$E:$E,MATCH($A266,'Weights'!$A:$A,0)),'Data_NSA'!$A:$A,0),MATCH($D266,'Data_NSA'!$1:$1,0))))/(100*(INDEX('Data_NSA'!$A:$OK,MATCH(EDATE(I$2,-1),'Data_NSA'!$A:$A,0),MATCH("CUUR0000SA0",'Data_NSA'!$1:$1,0))/INDEX('Data_NSA'!$A:$OK,MATCH(INDEX('Weights'!$E:$E,MATCH($A266,'Weights'!$A:$A,0)),'Data_NSA'!$A:$A,0),MATCH("CUUR0000SA0",'Data_NSA'!$1:$1,0))))*(INDEX('Data_SA'!$A:$LO,MATCH(I$2,'Data_SA'!$A:$A,0),MATCH($E266,'Data_SA'!$1:$1,0))/INDEX('Data_SA'!$A:$LO,MATCH(EDATE(I$2,-1),'Data_SA'!$A:$A,0),MATCH($E266,'Data_SA'!$1:$1,0))-1),""))</f>
        <v/>
      </c>
      <c r="O266" s="10">
        <f>IFERROR(INDEX('Data_NSA'!$A:$OK,MATCH(O$2,'Data_NSA'!$A:$A,0),MATCH($D266,'Data_NSA'!$1:$1,0)),"")</f>
        <v/>
      </c>
      <c r="P266" s="10">
        <f>IF($E266="","",IFERROR(INDEX('Data_SA'!$A:$LO,MATCH(O$2,'Data_SA'!$A:$A,0),MATCH($E266,'Data_SA'!$1:$1,0)),""))</f>
        <v/>
      </c>
      <c r="Q266" s="7">
        <f>IF($E266="","",IFERROR(INDEX('Data_SA'!$A:$LO,MATCH(O$2,'Data_SA'!$A:$A,0),MATCH($E266,'Data_SA'!$1:$1,0))/INDEX('Data_SA'!$A:$LO,MATCH(EDATE(O$2,-1),'Data_SA'!$A:$A,0),MATCH($E266,'Data_SA'!$1:$1,0))-1,""))</f>
        <v/>
      </c>
      <c r="R266" s="7">
        <f>IFERROR(INDEX('Data_NSA'!$A:$OK,MATCH(O$2,'Data_NSA'!$A:$A,0),MATCH($D266,'Data_NSA'!$1:$1,0))/INDEX('Data_NSA'!$A:$OK,MATCH(EDATE(O$2,-12),'Data_NSA'!$A:$A,0),MATCH($D266,'Data_NSA'!$1:$1,0))-1,"")</f>
        <v/>
      </c>
      <c r="S266" s="10">
        <f>IFERROR(INDEX('Weights'!$G:$I,MATCH($A266,'Weights'!$A:$A,0),MATCH(O$2,'Weights'!$G$1:$I$1,0)),"")</f>
        <v/>
      </c>
      <c r="T266" s="10">
        <f>IF($E266="","",IFERROR(100*(INDEX('Weights'!$D:$D,MATCH($A266,'Weights'!$A:$A,0))*(INDEX('Data_NSA'!$A:$OK,MATCH(EDATE(O$2,-1),'Data_NSA'!$A:$A,0),MATCH($D266,'Data_NSA'!$1:$1,0))/INDEX('Data_NSA'!$A:$OK,MATCH(INDEX('Weights'!$E:$E,MATCH($A266,'Weights'!$A:$A,0)),'Data_NSA'!$A:$A,0),MATCH($D266,'Data_NSA'!$1:$1,0))))/(100*(INDEX('Data_NSA'!$A:$OK,MATCH(EDATE(O$2,-1),'Data_NSA'!$A:$A,0),MATCH("CUUR0000SA0",'Data_NSA'!$1:$1,0))/INDEX('Data_NSA'!$A:$OK,MATCH(INDEX('Weights'!$E:$E,MATCH($A266,'Weights'!$A:$A,0)),'Data_NSA'!$A:$A,0),MATCH("CUUR0000SA0",'Data_NSA'!$1:$1,0))))*(INDEX('Data_SA'!$A:$LO,MATCH(O$2,'Data_SA'!$A:$A,0),MATCH($E266,'Data_SA'!$1:$1,0))/INDEX('Data_SA'!$A:$LO,MATCH(EDATE(O$2,-1),'Data_SA'!$A:$A,0),MATCH($E266,'Data_SA'!$1:$1,0))-1),""))</f>
        <v/>
      </c>
      <c r="U266" s="10">
        <f>IFERROR(INDEX('Data_NSA'!$A:$OK,MATCH(U$2,'Data_NSA'!$A:$A,0),MATCH($D266,'Data_NSA'!$1:$1,0)),"")</f>
        <v/>
      </c>
      <c r="V266" s="10">
        <f>IF($E266="","",IFERROR(INDEX('Data_SA'!$A:$LO,MATCH(U$2,'Data_SA'!$A:$A,0),MATCH($E266,'Data_SA'!$1:$1,0)),""))</f>
        <v/>
      </c>
      <c r="W266" s="7">
        <f>IF($E266="","",IFERROR(INDEX('Data_SA'!$A:$LO,MATCH(U$2,'Data_SA'!$A:$A,0),MATCH($E266,'Data_SA'!$1:$1,0))/INDEX('Data_SA'!$A:$LO,MATCH(EDATE(U$2,-1),'Data_SA'!$A:$A,0),MATCH($E266,'Data_SA'!$1:$1,0))-1,""))</f>
        <v/>
      </c>
      <c r="X266" s="7">
        <f>IFERROR(INDEX('Data_NSA'!$A:$OK,MATCH(U$2,'Data_NSA'!$A:$A,0),MATCH($D266,'Data_NSA'!$1:$1,0))/INDEX('Data_NSA'!$A:$OK,MATCH(EDATE(U$2,-12),'Data_NSA'!$A:$A,0),MATCH($D266,'Data_NSA'!$1:$1,0))-1,"")</f>
        <v/>
      </c>
      <c r="Y266" s="10">
        <f>IFERROR(INDEX('Weights'!$G:$I,MATCH($A266,'Weights'!$A:$A,0),MATCH(U$2,'Weights'!$G$1:$I$1,0)),"")</f>
        <v/>
      </c>
      <c r="Z266" s="10">
        <f>IF($E266="","",IFERROR(100*(INDEX('Weights'!$D:$D,MATCH($A266,'Weights'!$A:$A,0))*(INDEX('Data_NSA'!$A:$OK,MATCH(EDATE(U$2,-1),'Data_NSA'!$A:$A,0),MATCH($D266,'Data_NSA'!$1:$1,0))/INDEX('Data_NSA'!$A:$OK,MATCH(INDEX('Weights'!$E:$E,MATCH($A266,'Weights'!$A:$A,0)),'Data_NSA'!$A:$A,0),MATCH($D266,'Data_NSA'!$1:$1,0))))/(100*(INDEX('Data_NSA'!$A:$OK,MATCH(EDATE(U$2,-1),'Data_NSA'!$A:$A,0),MATCH("CUUR0000SA0",'Data_NSA'!$1:$1,0))/INDEX('Data_NSA'!$A:$OK,MATCH(INDEX('Weights'!$E:$E,MATCH($A266,'Weights'!$A:$A,0)),'Data_NSA'!$A:$A,0),MATCH("CUUR0000SA0",'Data_NSA'!$1:$1,0))))*(INDEX('Data_SA'!$A:$LO,MATCH(U$2,'Data_SA'!$A:$A,0),MATCH($E266,'Data_SA'!$1:$1,0))/INDEX('Data_SA'!$A:$LO,MATCH(EDATE(U$2,-1),'Data_SA'!$A:$A,0),MATCH($E266,'Data_SA'!$1:$1,0))-1),""))</f>
        <v/>
      </c>
    </row>
    <row r="267">
      <c r="A267" s="3" t="inlineStr">
        <is>
          <t>SS5702</t>
        </is>
      </c>
      <c r="B267" s="3" t="inlineStr">
        <is>
          <t>Inpatient hospital services</t>
        </is>
      </c>
      <c r="C267" s="3" t="inlineStr">
        <is>
          <t>SEMD01</t>
        </is>
      </c>
      <c r="D267" s="3" t="inlineStr">
        <is>
          <t>CUUR0000SS5702</t>
        </is>
      </c>
      <c r="E267" s="3" t="inlineStr">
        <is>
          <t>CUSR0000SS5702</t>
        </is>
      </c>
      <c r="F267" s="3" t="inlineStr">
        <is>
          <t>ML</t>
        </is>
      </c>
      <c r="G267" s="3" t="inlineStr">
        <is>
          <t>monthly in New York/Los Angeles/Chicago; often bimonthly elsewhere</t>
        </is>
      </c>
      <c r="H267" s="10">
        <f>IFERROR(INDEX(Weights!$D:$D,MATCH($A267,Weights!$A:$A,0)),"")</f>
        <v/>
      </c>
      <c r="I267" s="10">
        <f>IFERROR(INDEX('Data_NSA'!$A:$OK,MATCH(I$2,'Data_NSA'!$A:$A,0),MATCH($D267,'Data_NSA'!$1:$1,0)),"")</f>
        <v/>
      </c>
      <c r="J267" s="10">
        <f>IF($E267="","",IFERROR(INDEX('Data_SA'!$A:$LO,MATCH(I$2,'Data_SA'!$A:$A,0),MATCH($E267,'Data_SA'!$1:$1,0)),""))</f>
        <v/>
      </c>
      <c r="K267" s="7">
        <f>IF($E267="","",IFERROR(INDEX('Data_SA'!$A:$LO,MATCH(I$2,'Data_SA'!$A:$A,0),MATCH($E267,'Data_SA'!$1:$1,0))/INDEX('Data_SA'!$A:$LO,MATCH(EDATE(I$2,-1),'Data_SA'!$A:$A,0),MATCH($E267,'Data_SA'!$1:$1,0))-1,""))</f>
        <v/>
      </c>
      <c r="L267" s="7">
        <f>IFERROR(INDEX('Data_NSA'!$A:$OK,MATCH(I$2,'Data_NSA'!$A:$A,0),MATCH($D267,'Data_NSA'!$1:$1,0))/INDEX('Data_NSA'!$A:$OK,MATCH(EDATE(I$2,-12),'Data_NSA'!$A:$A,0),MATCH($D267,'Data_NSA'!$1:$1,0))-1,"")</f>
        <v/>
      </c>
      <c r="M267" s="10">
        <f>IFERROR(INDEX('Weights'!$G:$I,MATCH($A267,'Weights'!$A:$A,0),MATCH(I$2,'Weights'!$G$1:$I$1,0)),"")</f>
        <v/>
      </c>
      <c r="N267" s="10">
        <f>IF($E267="","",IFERROR(100*(INDEX('Weights'!$D:$D,MATCH($A267,'Weights'!$A:$A,0))*(INDEX('Data_NSA'!$A:$OK,MATCH(EDATE(I$2,-1),'Data_NSA'!$A:$A,0),MATCH($D267,'Data_NSA'!$1:$1,0))/INDEX('Data_NSA'!$A:$OK,MATCH(INDEX('Weights'!$E:$E,MATCH($A267,'Weights'!$A:$A,0)),'Data_NSA'!$A:$A,0),MATCH($D267,'Data_NSA'!$1:$1,0))))/(100*(INDEX('Data_NSA'!$A:$OK,MATCH(EDATE(I$2,-1),'Data_NSA'!$A:$A,0),MATCH("CUUR0000SA0",'Data_NSA'!$1:$1,0))/INDEX('Data_NSA'!$A:$OK,MATCH(INDEX('Weights'!$E:$E,MATCH($A267,'Weights'!$A:$A,0)),'Data_NSA'!$A:$A,0),MATCH("CUUR0000SA0",'Data_NSA'!$1:$1,0))))*(INDEX('Data_SA'!$A:$LO,MATCH(I$2,'Data_SA'!$A:$A,0),MATCH($E267,'Data_SA'!$1:$1,0))/INDEX('Data_SA'!$A:$LO,MATCH(EDATE(I$2,-1),'Data_SA'!$A:$A,0),MATCH($E267,'Data_SA'!$1:$1,0))-1),""))</f>
        <v/>
      </c>
      <c r="O267" s="10">
        <f>IFERROR(INDEX('Data_NSA'!$A:$OK,MATCH(O$2,'Data_NSA'!$A:$A,0),MATCH($D267,'Data_NSA'!$1:$1,0)),"")</f>
        <v/>
      </c>
      <c r="P267" s="10">
        <f>IF($E267="","",IFERROR(INDEX('Data_SA'!$A:$LO,MATCH(O$2,'Data_SA'!$A:$A,0),MATCH($E267,'Data_SA'!$1:$1,0)),""))</f>
        <v/>
      </c>
      <c r="Q267" s="7">
        <f>IF($E267="","",IFERROR(INDEX('Data_SA'!$A:$LO,MATCH(O$2,'Data_SA'!$A:$A,0),MATCH($E267,'Data_SA'!$1:$1,0))/INDEX('Data_SA'!$A:$LO,MATCH(EDATE(O$2,-1),'Data_SA'!$A:$A,0),MATCH($E267,'Data_SA'!$1:$1,0))-1,""))</f>
        <v/>
      </c>
      <c r="R267" s="7">
        <f>IFERROR(INDEX('Data_NSA'!$A:$OK,MATCH(O$2,'Data_NSA'!$A:$A,0),MATCH($D267,'Data_NSA'!$1:$1,0))/INDEX('Data_NSA'!$A:$OK,MATCH(EDATE(O$2,-12),'Data_NSA'!$A:$A,0),MATCH($D267,'Data_NSA'!$1:$1,0))-1,"")</f>
        <v/>
      </c>
      <c r="S267" s="10">
        <f>IFERROR(INDEX('Weights'!$G:$I,MATCH($A267,'Weights'!$A:$A,0),MATCH(O$2,'Weights'!$G$1:$I$1,0)),"")</f>
        <v/>
      </c>
      <c r="T267" s="10">
        <f>IF($E267="","",IFERROR(100*(INDEX('Weights'!$D:$D,MATCH($A267,'Weights'!$A:$A,0))*(INDEX('Data_NSA'!$A:$OK,MATCH(EDATE(O$2,-1),'Data_NSA'!$A:$A,0),MATCH($D267,'Data_NSA'!$1:$1,0))/INDEX('Data_NSA'!$A:$OK,MATCH(INDEX('Weights'!$E:$E,MATCH($A267,'Weights'!$A:$A,0)),'Data_NSA'!$A:$A,0),MATCH($D267,'Data_NSA'!$1:$1,0))))/(100*(INDEX('Data_NSA'!$A:$OK,MATCH(EDATE(O$2,-1),'Data_NSA'!$A:$A,0),MATCH("CUUR0000SA0",'Data_NSA'!$1:$1,0))/INDEX('Data_NSA'!$A:$OK,MATCH(INDEX('Weights'!$E:$E,MATCH($A267,'Weights'!$A:$A,0)),'Data_NSA'!$A:$A,0),MATCH("CUUR0000SA0",'Data_NSA'!$1:$1,0))))*(INDEX('Data_SA'!$A:$LO,MATCH(O$2,'Data_SA'!$A:$A,0),MATCH($E267,'Data_SA'!$1:$1,0))/INDEX('Data_SA'!$A:$LO,MATCH(EDATE(O$2,-1),'Data_SA'!$A:$A,0),MATCH($E267,'Data_SA'!$1:$1,0))-1),""))</f>
        <v/>
      </c>
      <c r="U267" s="10">
        <f>IFERROR(INDEX('Data_NSA'!$A:$OK,MATCH(U$2,'Data_NSA'!$A:$A,0),MATCH($D267,'Data_NSA'!$1:$1,0)),"")</f>
        <v/>
      </c>
      <c r="V267" s="10">
        <f>IF($E267="","",IFERROR(INDEX('Data_SA'!$A:$LO,MATCH(U$2,'Data_SA'!$A:$A,0),MATCH($E267,'Data_SA'!$1:$1,0)),""))</f>
        <v/>
      </c>
      <c r="W267" s="7">
        <f>IF($E267="","",IFERROR(INDEX('Data_SA'!$A:$LO,MATCH(U$2,'Data_SA'!$A:$A,0),MATCH($E267,'Data_SA'!$1:$1,0))/INDEX('Data_SA'!$A:$LO,MATCH(EDATE(U$2,-1),'Data_SA'!$A:$A,0),MATCH($E267,'Data_SA'!$1:$1,0))-1,""))</f>
        <v/>
      </c>
      <c r="X267" s="7">
        <f>IFERROR(INDEX('Data_NSA'!$A:$OK,MATCH(U$2,'Data_NSA'!$A:$A,0),MATCH($D267,'Data_NSA'!$1:$1,0))/INDEX('Data_NSA'!$A:$OK,MATCH(EDATE(U$2,-12),'Data_NSA'!$A:$A,0),MATCH($D267,'Data_NSA'!$1:$1,0))-1,"")</f>
        <v/>
      </c>
      <c r="Y267" s="10">
        <f>IFERROR(INDEX('Weights'!$G:$I,MATCH($A267,'Weights'!$A:$A,0),MATCH(U$2,'Weights'!$G$1:$I$1,0)),"")</f>
        <v/>
      </c>
      <c r="Z267" s="10">
        <f>IF($E267="","",IFERROR(100*(INDEX('Weights'!$D:$D,MATCH($A267,'Weights'!$A:$A,0))*(INDEX('Data_NSA'!$A:$OK,MATCH(EDATE(U$2,-1),'Data_NSA'!$A:$A,0),MATCH($D267,'Data_NSA'!$1:$1,0))/INDEX('Data_NSA'!$A:$OK,MATCH(INDEX('Weights'!$E:$E,MATCH($A267,'Weights'!$A:$A,0)),'Data_NSA'!$A:$A,0),MATCH($D267,'Data_NSA'!$1:$1,0))))/(100*(INDEX('Data_NSA'!$A:$OK,MATCH(EDATE(U$2,-1),'Data_NSA'!$A:$A,0),MATCH("CUUR0000SA0",'Data_NSA'!$1:$1,0))/INDEX('Data_NSA'!$A:$OK,MATCH(INDEX('Weights'!$E:$E,MATCH($A267,'Weights'!$A:$A,0)),'Data_NSA'!$A:$A,0),MATCH("CUUR0000SA0",'Data_NSA'!$1:$1,0))))*(INDEX('Data_SA'!$A:$LO,MATCH(U$2,'Data_SA'!$A:$A,0),MATCH($E267,'Data_SA'!$1:$1,0))/INDEX('Data_SA'!$A:$LO,MATCH(EDATE(U$2,-1),'Data_SA'!$A:$A,0),MATCH($E267,'Data_SA'!$1:$1,0))-1),""))</f>
        <v/>
      </c>
    </row>
    <row r="268">
      <c r="A268" s="3" t="inlineStr">
        <is>
          <t>SS5703</t>
        </is>
      </c>
      <c r="B268" s="3" t="inlineStr">
        <is>
          <t>Outpatient hospital services</t>
        </is>
      </c>
      <c r="C268" s="3" t="inlineStr">
        <is>
          <t>SEMD01</t>
        </is>
      </c>
      <c r="D268" s="3" t="inlineStr">
        <is>
          <t>CUUR0000SS5703</t>
        </is>
      </c>
      <c r="E268" s="3" t="inlineStr">
        <is>
          <t>CUSR0000SS5703</t>
        </is>
      </c>
      <c r="F268" s="3" t="inlineStr">
        <is>
          <t>ML</t>
        </is>
      </c>
      <c r="G268" s="3" t="inlineStr">
        <is>
          <t>monthly in New York/Los Angeles/Chicago; often bimonthly elsewhere</t>
        </is>
      </c>
      <c r="H268" s="10">
        <f>IFERROR(INDEX(Weights!$D:$D,MATCH($A268,Weights!$A:$A,0)),"")</f>
        <v/>
      </c>
      <c r="I268" s="10">
        <f>IFERROR(INDEX('Data_NSA'!$A:$OK,MATCH(I$2,'Data_NSA'!$A:$A,0),MATCH($D268,'Data_NSA'!$1:$1,0)),"")</f>
        <v/>
      </c>
      <c r="J268" s="10">
        <f>IF($E268="","",IFERROR(INDEX('Data_SA'!$A:$LO,MATCH(I$2,'Data_SA'!$A:$A,0),MATCH($E268,'Data_SA'!$1:$1,0)),""))</f>
        <v/>
      </c>
      <c r="K268" s="7">
        <f>IF($E268="","",IFERROR(INDEX('Data_SA'!$A:$LO,MATCH(I$2,'Data_SA'!$A:$A,0),MATCH($E268,'Data_SA'!$1:$1,0))/INDEX('Data_SA'!$A:$LO,MATCH(EDATE(I$2,-1),'Data_SA'!$A:$A,0),MATCH($E268,'Data_SA'!$1:$1,0))-1,""))</f>
        <v/>
      </c>
      <c r="L268" s="7">
        <f>IFERROR(INDEX('Data_NSA'!$A:$OK,MATCH(I$2,'Data_NSA'!$A:$A,0),MATCH($D268,'Data_NSA'!$1:$1,0))/INDEX('Data_NSA'!$A:$OK,MATCH(EDATE(I$2,-12),'Data_NSA'!$A:$A,0),MATCH($D268,'Data_NSA'!$1:$1,0))-1,"")</f>
        <v/>
      </c>
      <c r="M268" s="10">
        <f>IFERROR(INDEX('Weights'!$G:$I,MATCH($A268,'Weights'!$A:$A,0),MATCH(I$2,'Weights'!$G$1:$I$1,0)),"")</f>
        <v/>
      </c>
      <c r="N268" s="10">
        <f>IF($E268="","",IFERROR(100*(INDEX('Weights'!$D:$D,MATCH($A268,'Weights'!$A:$A,0))*(INDEX('Data_NSA'!$A:$OK,MATCH(EDATE(I$2,-1),'Data_NSA'!$A:$A,0),MATCH($D268,'Data_NSA'!$1:$1,0))/INDEX('Data_NSA'!$A:$OK,MATCH(INDEX('Weights'!$E:$E,MATCH($A268,'Weights'!$A:$A,0)),'Data_NSA'!$A:$A,0),MATCH($D268,'Data_NSA'!$1:$1,0))))/(100*(INDEX('Data_NSA'!$A:$OK,MATCH(EDATE(I$2,-1),'Data_NSA'!$A:$A,0),MATCH("CUUR0000SA0",'Data_NSA'!$1:$1,0))/INDEX('Data_NSA'!$A:$OK,MATCH(INDEX('Weights'!$E:$E,MATCH($A268,'Weights'!$A:$A,0)),'Data_NSA'!$A:$A,0),MATCH("CUUR0000SA0",'Data_NSA'!$1:$1,0))))*(INDEX('Data_SA'!$A:$LO,MATCH(I$2,'Data_SA'!$A:$A,0),MATCH($E268,'Data_SA'!$1:$1,0))/INDEX('Data_SA'!$A:$LO,MATCH(EDATE(I$2,-1),'Data_SA'!$A:$A,0),MATCH($E268,'Data_SA'!$1:$1,0))-1),""))</f>
        <v/>
      </c>
      <c r="O268" s="10">
        <f>IFERROR(INDEX('Data_NSA'!$A:$OK,MATCH(O$2,'Data_NSA'!$A:$A,0),MATCH($D268,'Data_NSA'!$1:$1,0)),"")</f>
        <v/>
      </c>
      <c r="P268" s="10">
        <f>IF($E268="","",IFERROR(INDEX('Data_SA'!$A:$LO,MATCH(O$2,'Data_SA'!$A:$A,0),MATCH($E268,'Data_SA'!$1:$1,0)),""))</f>
        <v/>
      </c>
      <c r="Q268" s="7">
        <f>IF($E268="","",IFERROR(INDEX('Data_SA'!$A:$LO,MATCH(O$2,'Data_SA'!$A:$A,0),MATCH($E268,'Data_SA'!$1:$1,0))/INDEX('Data_SA'!$A:$LO,MATCH(EDATE(O$2,-1),'Data_SA'!$A:$A,0),MATCH($E268,'Data_SA'!$1:$1,0))-1,""))</f>
        <v/>
      </c>
      <c r="R268" s="7">
        <f>IFERROR(INDEX('Data_NSA'!$A:$OK,MATCH(O$2,'Data_NSA'!$A:$A,0),MATCH($D268,'Data_NSA'!$1:$1,0))/INDEX('Data_NSA'!$A:$OK,MATCH(EDATE(O$2,-12),'Data_NSA'!$A:$A,0),MATCH($D268,'Data_NSA'!$1:$1,0))-1,"")</f>
        <v/>
      </c>
      <c r="S268" s="10">
        <f>IFERROR(INDEX('Weights'!$G:$I,MATCH($A268,'Weights'!$A:$A,0),MATCH(O$2,'Weights'!$G$1:$I$1,0)),"")</f>
        <v/>
      </c>
      <c r="T268" s="10">
        <f>IF($E268="","",IFERROR(100*(INDEX('Weights'!$D:$D,MATCH($A268,'Weights'!$A:$A,0))*(INDEX('Data_NSA'!$A:$OK,MATCH(EDATE(O$2,-1),'Data_NSA'!$A:$A,0),MATCH($D268,'Data_NSA'!$1:$1,0))/INDEX('Data_NSA'!$A:$OK,MATCH(INDEX('Weights'!$E:$E,MATCH($A268,'Weights'!$A:$A,0)),'Data_NSA'!$A:$A,0),MATCH($D268,'Data_NSA'!$1:$1,0))))/(100*(INDEX('Data_NSA'!$A:$OK,MATCH(EDATE(O$2,-1),'Data_NSA'!$A:$A,0),MATCH("CUUR0000SA0",'Data_NSA'!$1:$1,0))/INDEX('Data_NSA'!$A:$OK,MATCH(INDEX('Weights'!$E:$E,MATCH($A268,'Weights'!$A:$A,0)),'Data_NSA'!$A:$A,0),MATCH("CUUR0000SA0",'Data_NSA'!$1:$1,0))))*(INDEX('Data_SA'!$A:$LO,MATCH(O$2,'Data_SA'!$A:$A,0),MATCH($E268,'Data_SA'!$1:$1,0))/INDEX('Data_SA'!$A:$LO,MATCH(EDATE(O$2,-1),'Data_SA'!$A:$A,0),MATCH($E268,'Data_SA'!$1:$1,0))-1),""))</f>
        <v/>
      </c>
      <c r="U268" s="10">
        <f>IFERROR(INDEX('Data_NSA'!$A:$OK,MATCH(U$2,'Data_NSA'!$A:$A,0),MATCH($D268,'Data_NSA'!$1:$1,0)),"")</f>
        <v/>
      </c>
      <c r="V268" s="10">
        <f>IF($E268="","",IFERROR(INDEX('Data_SA'!$A:$LO,MATCH(U$2,'Data_SA'!$A:$A,0),MATCH($E268,'Data_SA'!$1:$1,0)),""))</f>
        <v/>
      </c>
      <c r="W268" s="7">
        <f>IF($E268="","",IFERROR(INDEX('Data_SA'!$A:$LO,MATCH(U$2,'Data_SA'!$A:$A,0),MATCH($E268,'Data_SA'!$1:$1,0))/INDEX('Data_SA'!$A:$LO,MATCH(EDATE(U$2,-1),'Data_SA'!$A:$A,0),MATCH($E268,'Data_SA'!$1:$1,0))-1,""))</f>
        <v/>
      </c>
      <c r="X268" s="7">
        <f>IFERROR(INDEX('Data_NSA'!$A:$OK,MATCH(U$2,'Data_NSA'!$A:$A,0),MATCH($D268,'Data_NSA'!$1:$1,0))/INDEX('Data_NSA'!$A:$OK,MATCH(EDATE(U$2,-12),'Data_NSA'!$A:$A,0),MATCH($D268,'Data_NSA'!$1:$1,0))-1,"")</f>
        <v/>
      </c>
      <c r="Y268" s="10">
        <f>IFERROR(INDEX('Weights'!$G:$I,MATCH($A268,'Weights'!$A:$A,0),MATCH(U$2,'Weights'!$G$1:$I$1,0)),"")</f>
        <v/>
      </c>
      <c r="Z268" s="10">
        <f>IF($E268="","",IFERROR(100*(INDEX('Weights'!$D:$D,MATCH($A268,'Weights'!$A:$A,0))*(INDEX('Data_NSA'!$A:$OK,MATCH(EDATE(U$2,-1),'Data_NSA'!$A:$A,0),MATCH($D268,'Data_NSA'!$1:$1,0))/INDEX('Data_NSA'!$A:$OK,MATCH(INDEX('Weights'!$E:$E,MATCH($A268,'Weights'!$A:$A,0)),'Data_NSA'!$A:$A,0),MATCH($D268,'Data_NSA'!$1:$1,0))))/(100*(INDEX('Data_NSA'!$A:$OK,MATCH(EDATE(U$2,-1),'Data_NSA'!$A:$A,0),MATCH("CUUR0000SA0",'Data_NSA'!$1:$1,0))/INDEX('Data_NSA'!$A:$OK,MATCH(INDEX('Weights'!$E:$E,MATCH($A268,'Weights'!$A:$A,0)),'Data_NSA'!$A:$A,0),MATCH("CUUR0000SA0",'Data_NSA'!$1:$1,0))))*(INDEX('Data_SA'!$A:$LO,MATCH(U$2,'Data_SA'!$A:$A,0),MATCH($E268,'Data_SA'!$1:$1,0))/INDEX('Data_SA'!$A:$LO,MATCH(EDATE(U$2,-1),'Data_SA'!$A:$A,0),MATCH($E268,'Data_SA'!$1:$1,0))-1),""))</f>
        <v/>
      </c>
    </row>
    <row r="269">
      <c r="A269" s="3" t="inlineStr">
        <is>
          <t>SEMD02</t>
        </is>
      </c>
      <c r="B269" s="3" t="inlineStr">
        <is>
          <t>Nursing homes and adult day services</t>
        </is>
      </c>
      <c r="C269" s="3" t="inlineStr">
        <is>
          <t>SEMD</t>
        </is>
      </c>
      <c r="D269" s="3" t="inlineStr">
        <is>
          <t>CUUR0000SEMD02</t>
        </is>
      </c>
      <c r="E269" s="3" t="inlineStr">
        <is>
          <t>CUSR0000SEMD02</t>
        </is>
      </c>
      <c r="F269" s="3" t="inlineStr">
        <is>
          <t>GM</t>
        </is>
      </c>
      <c r="G269" s="3" t="inlineStr">
        <is>
          <t>monthly in New York/Los Angeles/Chicago; often bimonthly elsewhere</t>
        </is>
      </c>
      <c r="H269" s="10">
        <f>IFERROR(INDEX(Weights!$D:$D,MATCH($A269,Weights!$A:$A,0)),"")</f>
        <v/>
      </c>
      <c r="I269" s="10">
        <f>IFERROR(INDEX('Data_NSA'!$A:$OK,MATCH(I$2,'Data_NSA'!$A:$A,0),MATCH($D269,'Data_NSA'!$1:$1,0)),"")</f>
        <v/>
      </c>
      <c r="J269" s="10">
        <f>IF($E269="","",IFERROR(INDEX('Data_SA'!$A:$LO,MATCH(I$2,'Data_SA'!$A:$A,0),MATCH($E269,'Data_SA'!$1:$1,0)),""))</f>
        <v/>
      </c>
      <c r="K269" s="7">
        <f>IF($E269="","",IFERROR(INDEX('Data_SA'!$A:$LO,MATCH(I$2,'Data_SA'!$A:$A,0),MATCH($E269,'Data_SA'!$1:$1,0))/INDEX('Data_SA'!$A:$LO,MATCH(EDATE(I$2,-1),'Data_SA'!$A:$A,0),MATCH($E269,'Data_SA'!$1:$1,0))-1,""))</f>
        <v/>
      </c>
      <c r="L269" s="7">
        <f>IFERROR(INDEX('Data_NSA'!$A:$OK,MATCH(I$2,'Data_NSA'!$A:$A,0),MATCH($D269,'Data_NSA'!$1:$1,0))/INDEX('Data_NSA'!$A:$OK,MATCH(EDATE(I$2,-12),'Data_NSA'!$A:$A,0),MATCH($D269,'Data_NSA'!$1:$1,0))-1,"")</f>
        <v/>
      </c>
      <c r="M269" s="10">
        <f>IFERROR(INDEX('Weights'!$G:$I,MATCH($A269,'Weights'!$A:$A,0),MATCH(I$2,'Weights'!$G$1:$I$1,0)),"")</f>
        <v/>
      </c>
      <c r="N269" s="10">
        <f>IF($E269="","",IFERROR(100*(INDEX('Weights'!$D:$D,MATCH($A269,'Weights'!$A:$A,0))*(INDEX('Data_NSA'!$A:$OK,MATCH(EDATE(I$2,-1),'Data_NSA'!$A:$A,0),MATCH($D269,'Data_NSA'!$1:$1,0))/INDEX('Data_NSA'!$A:$OK,MATCH(INDEX('Weights'!$E:$E,MATCH($A269,'Weights'!$A:$A,0)),'Data_NSA'!$A:$A,0),MATCH($D269,'Data_NSA'!$1:$1,0))))/(100*(INDEX('Data_NSA'!$A:$OK,MATCH(EDATE(I$2,-1),'Data_NSA'!$A:$A,0),MATCH("CUUR0000SA0",'Data_NSA'!$1:$1,0))/INDEX('Data_NSA'!$A:$OK,MATCH(INDEX('Weights'!$E:$E,MATCH($A269,'Weights'!$A:$A,0)),'Data_NSA'!$A:$A,0),MATCH("CUUR0000SA0",'Data_NSA'!$1:$1,0))))*(INDEX('Data_SA'!$A:$LO,MATCH(I$2,'Data_SA'!$A:$A,0),MATCH($E269,'Data_SA'!$1:$1,0))/INDEX('Data_SA'!$A:$LO,MATCH(EDATE(I$2,-1),'Data_SA'!$A:$A,0),MATCH($E269,'Data_SA'!$1:$1,0))-1),""))</f>
        <v/>
      </c>
      <c r="O269" s="10">
        <f>IFERROR(INDEX('Data_NSA'!$A:$OK,MATCH(O$2,'Data_NSA'!$A:$A,0),MATCH($D269,'Data_NSA'!$1:$1,0)),"")</f>
        <v/>
      </c>
      <c r="P269" s="10">
        <f>IF($E269="","",IFERROR(INDEX('Data_SA'!$A:$LO,MATCH(O$2,'Data_SA'!$A:$A,0),MATCH($E269,'Data_SA'!$1:$1,0)),""))</f>
        <v/>
      </c>
      <c r="Q269" s="7">
        <f>IF($E269="","",IFERROR(INDEX('Data_SA'!$A:$LO,MATCH(O$2,'Data_SA'!$A:$A,0),MATCH($E269,'Data_SA'!$1:$1,0))/INDEX('Data_SA'!$A:$LO,MATCH(EDATE(O$2,-1),'Data_SA'!$A:$A,0),MATCH($E269,'Data_SA'!$1:$1,0))-1,""))</f>
        <v/>
      </c>
      <c r="R269" s="7">
        <f>IFERROR(INDEX('Data_NSA'!$A:$OK,MATCH(O$2,'Data_NSA'!$A:$A,0),MATCH($D269,'Data_NSA'!$1:$1,0))/INDEX('Data_NSA'!$A:$OK,MATCH(EDATE(O$2,-12),'Data_NSA'!$A:$A,0),MATCH($D269,'Data_NSA'!$1:$1,0))-1,"")</f>
        <v/>
      </c>
      <c r="S269" s="10">
        <f>IFERROR(INDEX('Weights'!$G:$I,MATCH($A269,'Weights'!$A:$A,0),MATCH(O$2,'Weights'!$G$1:$I$1,0)),"")</f>
        <v/>
      </c>
      <c r="T269" s="10">
        <f>IF($E269="","",IFERROR(100*(INDEX('Weights'!$D:$D,MATCH($A269,'Weights'!$A:$A,0))*(INDEX('Data_NSA'!$A:$OK,MATCH(EDATE(O$2,-1),'Data_NSA'!$A:$A,0),MATCH($D269,'Data_NSA'!$1:$1,0))/INDEX('Data_NSA'!$A:$OK,MATCH(INDEX('Weights'!$E:$E,MATCH($A269,'Weights'!$A:$A,0)),'Data_NSA'!$A:$A,0),MATCH($D269,'Data_NSA'!$1:$1,0))))/(100*(INDEX('Data_NSA'!$A:$OK,MATCH(EDATE(O$2,-1),'Data_NSA'!$A:$A,0),MATCH("CUUR0000SA0",'Data_NSA'!$1:$1,0))/INDEX('Data_NSA'!$A:$OK,MATCH(INDEX('Weights'!$E:$E,MATCH($A269,'Weights'!$A:$A,0)),'Data_NSA'!$A:$A,0),MATCH("CUUR0000SA0",'Data_NSA'!$1:$1,0))))*(INDEX('Data_SA'!$A:$LO,MATCH(O$2,'Data_SA'!$A:$A,0),MATCH($E269,'Data_SA'!$1:$1,0))/INDEX('Data_SA'!$A:$LO,MATCH(EDATE(O$2,-1),'Data_SA'!$A:$A,0),MATCH($E269,'Data_SA'!$1:$1,0))-1),""))</f>
        <v/>
      </c>
      <c r="U269" s="10">
        <f>IFERROR(INDEX('Data_NSA'!$A:$OK,MATCH(U$2,'Data_NSA'!$A:$A,0),MATCH($D269,'Data_NSA'!$1:$1,0)),"")</f>
        <v/>
      </c>
      <c r="V269" s="10">
        <f>IF($E269="","",IFERROR(INDEX('Data_SA'!$A:$LO,MATCH(U$2,'Data_SA'!$A:$A,0),MATCH($E269,'Data_SA'!$1:$1,0)),""))</f>
        <v/>
      </c>
      <c r="W269" s="7">
        <f>IF($E269="","",IFERROR(INDEX('Data_SA'!$A:$LO,MATCH(U$2,'Data_SA'!$A:$A,0),MATCH($E269,'Data_SA'!$1:$1,0))/INDEX('Data_SA'!$A:$LO,MATCH(EDATE(U$2,-1),'Data_SA'!$A:$A,0),MATCH($E269,'Data_SA'!$1:$1,0))-1,""))</f>
        <v/>
      </c>
      <c r="X269" s="7">
        <f>IFERROR(INDEX('Data_NSA'!$A:$OK,MATCH(U$2,'Data_NSA'!$A:$A,0),MATCH($D269,'Data_NSA'!$1:$1,0))/INDEX('Data_NSA'!$A:$OK,MATCH(EDATE(U$2,-12),'Data_NSA'!$A:$A,0),MATCH($D269,'Data_NSA'!$1:$1,0))-1,"")</f>
        <v/>
      </c>
      <c r="Y269" s="10">
        <f>IFERROR(INDEX('Weights'!$G:$I,MATCH($A269,'Weights'!$A:$A,0),MATCH(U$2,'Weights'!$G$1:$I$1,0)),"")</f>
        <v/>
      </c>
      <c r="Z269" s="10">
        <f>IF($E269="","",IFERROR(100*(INDEX('Weights'!$D:$D,MATCH($A269,'Weights'!$A:$A,0))*(INDEX('Data_NSA'!$A:$OK,MATCH(EDATE(U$2,-1),'Data_NSA'!$A:$A,0),MATCH($D269,'Data_NSA'!$1:$1,0))/INDEX('Data_NSA'!$A:$OK,MATCH(INDEX('Weights'!$E:$E,MATCH($A269,'Weights'!$A:$A,0)),'Data_NSA'!$A:$A,0),MATCH($D269,'Data_NSA'!$1:$1,0))))/(100*(INDEX('Data_NSA'!$A:$OK,MATCH(EDATE(U$2,-1),'Data_NSA'!$A:$A,0),MATCH("CUUR0000SA0",'Data_NSA'!$1:$1,0))/INDEX('Data_NSA'!$A:$OK,MATCH(INDEX('Weights'!$E:$E,MATCH($A269,'Weights'!$A:$A,0)),'Data_NSA'!$A:$A,0),MATCH("CUUR0000SA0",'Data_NSA'!$1:$1,0))))*(INDEX('Data_SA'!$A:$LO,MATCH(U$2,'Data_SA'!$A:$A,0),MATCH($E269,'Data_SA'!$1:$1,0))/INDEX('Data_SA'!$A:$LO,MATCH(EDATE(U$2,-1),'Data_SA'!$A:$A,0),MATCH($E269,'Data_SA'!$1:$1,0))-1),""))</f>
        <v/>
      </c>
    </row>
    <row r="270">
      <c r="A270" s="3" t="inlineStr">
        <is>
          <t>SEMD03</t>
        </is>
      </c>
      <c r="B270" s="3" t="inlineStr">
        <is>
          <t>Home health care</t>
        </is>
      </c>
      <c r="C270" s="3" t="inlineStr">
        <is>
          <t>SEMD</t>
        </is>
      </c>
      <c r="D270" s="3" t="inlineStr">
        <is>
          <t>CUUR0000SEMD03</t>
        </is>
      </c>
      <c r="E270" s="3" t="inlineStr"/>
      <c r="F270" s="3" t="inlineStr">
        <is>
          <t>GM</t>
        </is>
      </c>
      <c r="G270" s="3" t="inlineStr">
        <is>
          <t>monthly in New York/Los Angeles/Chicago; often bimonthly elsewhere</t>
        </is>
      </c>
      <c r="H270" s="10">
        <f>IFERROR(INDEX(Weights!$D:$D,MATCH($A270,Weights!$A:$A,0)),"")</f>
        <v/>
      </c>
      <c r="I270" s="10">
        <f>IFERROR(INDEX('Data_NSA'!$A:$OK,MATCH(I$2,'Data_NSA'!$A:$A,0),MATCH($D270,'Data_NSA'!$1:$1,0)),"")</f>
        <v/>
      </c>
      <c r="J270" s="10">
        <f>IF($E270="","",IFERROR(INDEX('Data_SA'!$A:$LO,MATCH(I$2,'Data_SA'!$A:$A,0),MATCH($E270,'Data_SA'!$1:$1,0)),""))</f>
        <v/>
      </c>
      <c r="K270" s="7">
        <f>IF($E270="","",IFERROR(INDEX('Data_SA'!$A:$LO,MATCH(I$2,'Data_SA'!$A:$A,0),MATCH($E270,'Data_SA'!$1:$1,0))/INDEX('Data_SA'!$A:$LO,MATCH(EDATE(I$2,-1),'Data_SA'!$A:$A,0),MATCH($E270,'Data_SA'!$1:$1,0))-1,""))</f>
        <v/>
      </c>
      <c r="L270" s="7">
        <f>IFERROR(INDEX('Data_NSA'!$A:$OK,MATCH(I$2,'Data_NSA'!$A:$A,0),MATCH($D270,'Data_NSA'!$1:$1,0))/INDEX('Data_NSA'!$A:$OK,MATCH(EDATE(I$2,-12),'Data_NSA'!$A:$A,0),MATCH($D270,'Data_NSA'!$1:$1,0))-1,"")</f>
        <v/>
      </c>
      <c r="M270" s="10">
        <f>IFERROR(INDEX('Weights'!$G:$I,MATCH($A270,'Weights'!$A:$A,0),MATCH(I$2,'Weights'!$G$1:$I$1,0)),"")</f>
        <v/>
      </c>
      <c r="N270" s="10">
        <f>IF($E270="","",IFERROR(100*(INDEX('Weights'!$D:$D,MATCH($A270,'Weights'!$A:$A,0))*(INDEX('Data_NSA'!$A:$OK,MATCH(EDATE(I$2,-1),'Data_NSA'!$A:$A,0),MATCH($D270,'Data_NSA'!$1:$1,0))/INDEX('Data_NSA'!$A:$OK,MATCH(INDEX('Weights'!$E:$E,MATCH($A270,'Weights'!$A:$A,0)),'Data_NSA'!$A:$A,0),MATCH($D270,'Data_NSA'!$1:$1,0))))/(100*(INDEX('Data_NSA'!$A:$OK,MATCH(EDATE(I$2,-1),'Data_NSA'!$A:$A,0),MATCH("CUUR0000SA0",'Data_NSA'!$1:$1,0))/INDEX('Data_NSA'!$A:$OK,MATCH(INDEX('Weights'!$E:$E,MATCH($A270,'Weights'!$A:$A,0)),'Data_NSA'!$A:$A,0),MATCH("CUUR0000SA0",'Data_NSA'!$1:$1,0))))*(INDEX('Data_SA'!$A:$LO,MATCH(I$2,'Data_SA'!$A:$A,0),MATCH($E270,'Data_SA'!$1:$1,0))/INDEX('Data_SA'!$A:$LO,MATCH(EDATE(I$2,-1),'Data_SA'!$A:$A,0),MATCH($E270,'Data_SA'!$1:$1,0))-1),""))</f>
        <v/>
      </c>
      <c r="O270" s="10">
        <f>IFERROR(INDEX('Data_NSA'!$A:$OK,MATCH(O$2,'Data_NSA'!$A:$A,0),MATCH($D270,'Data_NSA'!$1:$1,0)),"")</f>
        <v/>
      </c>
      <c r="P270" s="10">
        <f>IF($E270="","",IFERROR(INDEX('Data_SA'!$A:$LO,MATCH(O$2,'Data_SA'!$A:$A,0),MATCH($E270,'Data_SA'!$1:$1,0)),""))</f>
        <v/>
      </c>
      <c r="Q270" s="7">
        <f>IF($E270="","",IFERROR(INDEX('Data_SA'!$A:$LO,MATCH(O$2,'Data_SA'!$A:$A,0),MATCH($E270,'Data_SA'!$1:$1,0))/INDEX('Data_SA'!$A:$LO,MATCH(EDATE(O$2,-1),'Data_SA'!$A:$A,0),MATCH($E270,'Data_SA'!$1:$1,0))-1,""))</f>
        <v/>
      </c>
      <c r="R270" s="7">
        <f>IFERROR(INDEX('Data_NSA'!$A:$OK,MATCH(O$2,'Data_NSA'!$A:$A,0),MATCH($D270,'Data_NSA'!$1:$1,0))/INDEX('Data_NSA'!$A:$OK,MATCH(EDATE(O$2,-12),'Data_NSA'!$A:$A,0),MATCH($D270,'Data_NSA'!$1:$1,0))-1,"")</f>
        <v/>
      </c>
      <c r="S270" s="10">
        <f>IFERROR(INDEX('Weights'!$G:$I,MATCH($A270,'Weights'!$A:$A,0),MATCH(O$2,'Weights'!$G$1:$I$1,0)),"")</f>
        <v/>
      </c>
      <c r="T270" s="10">
        <f>IF($E270="","",IFERROR(100*(INDEX('Weights'!$D:$D,MATCH($A270,'Weights'!$A:$A,0))*(INDEX('Data_NSA'!$A:$OK,MATCH(EDATE(O$2,-1),'Data_NSA'!$A:$A,0),MATCH($D270,'Data_NSA'!$1:$1,0))/INDEX('Data_NSA'!$A:$OK,MATCH(INDEX('Weights'!$E:$E,MATCH($A270,'Weights'!$A:$A,0)),'Data_NSA'!$A:$A,0),MATCH($D270,'Data_NSA'!$1:$1,0))))/(100*(INDEX('Data_NSA'!$A:$OK,MATCH(EDATE(O$2,-1),'Data_NSA'!$A:$A,0),MATCH("CUUR0000SA0",'Data_NSA'!$1:$1,0))/INDEX('Data_NSA'!$A:$OK,MATCH(INDEX('Weights'!$E:$E,MATCH($A270,'Weights'!$A:$A,0)),'Data_NSA'!$A:$A,0),MATCH("CUUR0000SA0",'Data_NSA'!$1:$1,0))))*(INDEX('Data_SA'!$A:$LO,MATCH(O$2,'Data_SA'!$A:$A,0),MATCH($E270,'Data_SA'!$1:$1,0))/INDEX('Data_SA'!$A:$LO,MATCH(EDATE(O$2,-1),'Data_SA'!$A:$A,0),MATCH($E270,'Data_SA'!$1:$1,0))-1),""))</f>
        <v/>
      </c>
      <c r="U270" s="10">
        <f>IFERROR(INDEX('Data_NSA'!$A:$OK,MATCH(U$2,'Data_NSA'!$A:$A,0),MATCH($D270,'Data_NSA'!$1:$1,0)),"")</f>
        <v/>
      </c>
      <c r="V270" s="10">
        <f>IF($E270="","",IFERROR(INDEX('Data_SA'!$A:$LO,MATCH(U$2,'Data_SA'!$A:$A,0),MATCH($E270,'Data_SA'!$1:$1,0)),""))</f>
        <v/>
      </c>
      <c r="W270" s="7">
        <f>IF($E270="","",IFERROR(INDEX('Data_SA'!$A:$LO,MATCH(U$2,'Data_SA'!$A:$A,0),MATCH($E270,'Data_SA'!$1:$1,0))/INDEX('Data_SA'!$A:$LO,MATCH(EDATE(U$2,-1),'Data_SA'!$A:$A,0),MATCH($E270,'Data_SA'!$1:$1,0))-1,""))</f>
        <v/>
      </c>
      <c r="X270" s="7">
        <f>IFERROR(INDEX('Data_NSA'!$A:$OK,MATCH(U$2,'Data_NSA'!$A:$A,0),MATCH($D270,'Data_NSA'!$1:$1,0))/INDEX('Data_NSA'!$A:$OK,MATCH(EDATE(U$2,-12),'Data_NSA'!$A:$A,0),MATCH($D270,'Data_NSA'!$1:$1,0))-1,"")</f>
        <v/>
      </c>
      <c r="Y270" s="10">
        <f>IFERROR(INDEX('Weights'!$G:$I,MATCH($A270,'Weights'!$A:$A,0),MATCH(U$2,'Weights'!$G$1:$I$1,0)),"")</f>
        <v/>
      </c>
      <c r="Z270" s="10">
        <f>IF($E270="","",IFERROR(100*(INDEX('Weights'!$D:$D,MATCH($A270,'Weights'!$A:$A,0))*(INDEX('Data_NSA'!$A:$OK,MATCH(EDATE(U$2,-1),'Data_NSA'!$A:$A,0),MATCH($D270,'Data_NSA'!$1:$1,0))/INDEX('Data_NSA'!$A:$OK,MATCH(INDEX('Weights'!$E:$E,MATCH($A270,'Weights'!$A:$A,0)),'Data_NSA'!$A:$A,0),MATCH($D270,'Data_NSA'!$1:$1,0))))/(100*(INDEX('Data_NSA'!$A:$OK,MATCH(EDATE(U$2,-1),'Data_NSA'!$A:$A,0),MATCH("CUUR0000SA0",'Data_NSA'!$1:$1,0))/INDEX('Data_NSA'!$A:$OK,MATCH(INDEX('Weights'!$E:$E,MATCH($A270,'Weights'!$A:$A,0)),'Data_NSA'!$A:$A,0),MATCH("CUUR0000SA0",'Data_NSA'!$1:$1,0))))*(INDEX('Data_SA'!$A:$LO,MATCH(U$2,'Data_SA'!$A:$A,0),MATCH($E270,'Data_SA'!$1:$1,0))/INDEX('Data_SA'!$A:$LO,MATCH(EDATE(U$2,-1),'Data_SA'!$A:$A,0),MATCH($E270,'Data_SA'!$1:$1,0))-1),""))</f>
        <v/>
      </c>
    </row>
    <row r="271">
      <c r="A271" s="3" t="inlineStr">
        <is>
          <t>SEME</t>
        </is>
      </c>
      <c r="B271" s="3" t="inlineStr">
        <is>
          <t>Health insurance</t>
        </is>
      </c>
      <c r="C271" s="3" t="inlineStr">
        <is>
          <t>SAM2</t>
        </is>
      </c>
      <c r="D271" s="3" t="inlineStr">
        <is>
          <t>CUUR0000SEME</t>
        </is>
      </c>
      <c r="E271" s="3" t="inlineStr"/>
      <c r="F271" s="3" t="inlineStr">
        <is>
          <t>indirect retained-earnings method</t>
        </is>
      </c>
      <c r="G271" s="3" t="inlineStr">
        <is>
          <t>annual insurer financial data incorporated on a lagged cycle</t>
        </is>
      </c>
      <c r="H271" s="10">
        <f>IFERROR(INDEX(Weights!$D:$D,MATCH($A271,Weights!$A:$A,0)),"")</f>
        <v/>
      </c>
      <c r="I271" s="10">
        <f>IFERROR(INDEX('Data_NSA'!$A:$OK,MATCH(I$2,'Data_NSA'!$A:$A,0),MATCH($D271,'Data_NSA'!$1:$1,0)),"")</f>
        <v/>
      </c>
      <c r="J271" s="10">
        <f>IF($E271="","",IFERROR(INDEX('Data_SA'!$A:$LO,MATCH(I$2,'Data_SA'!$A:$A,0),MATCH($E271,'Data_SA'!$1:$1,0)),""))</f>
        <v/>
      </c>
      <c r="K271" s="7">
        <f>IF($E271="","",IFERROR(INDEX('Data_SA'!$A:$LO,MATCH(I$2,'Data_SA'!$A:$A,0),MATCH($E271,'Data_SA'!$1:$1,0))/INDEX('Data_SA'!$A:$LO,MATCH(EDATE(I$2,-1),'Data_SA'!$A:$A,0),MATCH($E271,'Data_SA'!$1:$1,0))-1,""))</f>
        <v/>
      </c>
      <c r="L271" s="7">
        <f>IFERROR(INDEX('Data_NSA'!$A:$OK,MATCH(I$2,'Data_NSA'!$A:$A,0),MATCH($D271,'Data_NSA'!$1:$1,0))/INDEX('Data_NSA'!$A:$OK,MATCH(EDATE(I$2,-12),'Data_NSA'!$A:$A,0),MATCH($D271,'Data_NSA'!$1:$1,0))-1,"")</f>
        <v/>
      </c>
      <c r="M271" s="10">
        <f>IFERROR(INDEX('Weights'!$G:$I,MATCH($A271,'Weights'!$A:$A,0),MATCH(I$2,'Weights'!$G$1:$I$1,0)),"")</f>
        <v/>
      </c>
      <c r="N271" s="10">
        <f>IF($E271="","",IFERROR(100*(INDEX('Weights'!$D:$D,MATCH($A271,'Weights'!$A:$A,0))*(INDEX('Data_NSA'!$A:$OK,MATCH(EDATE(I$2,-1),'Data_NSA'!$A:$A,0),MATCH($D271,'Data_NSA'!$1:$1,0))/INDEX('Data_NSA'!$A:$OK,MATCH(INDEX('Weights'!$E:$E,MATCH($A271,'Weights'!$A:$A,0)),'Data_NSA'!$A:$A,0),MATCH($D271,'Data_NSA'!$1:$1,0))))/(100*(INDEX('Data_NSA'!$A:$OK,MATCH(EDATE(I$2,-1),'Data_NSA'!$A:$A,0),MATCH("CUUR0000SA0",'Data_NSA'!$1:$1,0))/INDEX('Data_NSA'!$A:$OK,MATCH(INDEX('Weights'!$E:$E,MATCH($A271,'Weights'!$A:$A,0)),'Data_NSA'!$A:$A,0),MATCH("CUUR0000SA0",'Data_NSA'!$1:$1,0))))*(INDEX('Data_SA'!$A:$LO,MATCH(I$2,'Data_SA'!$A:$A,0),MATCH($E271,'Data_SA'!$1:$1,0))/INDEX('Data_SA'!$A:$LO,MATCH(EDATE(I$2,-1),'Data_SA'!$A:$A,0),MATCH($E271,'Data_SA'!$1:$1,0))-1),""))</f>
        <v/>
      </c>
      <c r="O271" s="10">
        <f>IFERROR(INDEX('Data_NSA'!$A:$OK,MATCH(O$2,'Data_NSA'!$A:$A,0),MATCH($D271,'Data_NSA'!$1:$1,0)),"")</f>
        <v/>
      </c>
      <c r="P271" s="10">
        <f>IF($E271="","",IFERROR(INDEX('Data_SA'!$A:$LO,MATCH(O$2,'Data_SA'!$A:$A,0),MATCH($E271,'Data_SA'!$1:$1,0)),""))</f>
        <v/>
      </c>
      <c r="Q271" s="7">
        <f>IF($E271="","",IFERROR(INDEX('Data_SA'!$A:$LO,MATCH(O$2,'Data_SA'!$A:$A,0),MATCH($E271,'Data_SA'!$1:$1,0))/INDEX('Data_SA'!$A:$LO,MATCH(EDATE(O$2,-1),'Data_SA'!$A:$A,0),MATCH($E271,'Data_SA'!$1:$1,0))-1,""))</f>
        <v/>
      </c>
      <c r="R271" s="7">
        <f>IFERROR(INDEX('Data_NSA'!$A:$OK,MATCH(O$2,'Data_NSA'!$A:$A,0),MATCH($D271,'Data_NSA'!$1:$1,0))/INDEX('Data_NSA'!$A:$OK,MATCH(EDATE(O$2,-12),'Data_NSA'!$A:$A,0),MATCH($D271,'Data_NSA'!$1:$1,0))-1,"")</f>
        <v/>
      </c>
      <c r="S271" s="10">
        <f>IFERROR(INDEX('Weights'!$G:$I,MATCH($A271,'Weights'!$A:$A,0),MATCH(O$2,'Weights'!$G$1:$I$1,0)),"")</f>
        <v/>
      </c>
      <c r="T271" s="10">
        <f>IF($E271="","",IFERROR(100*(INDEX('Weights'!$D:$D,MATCH($A271,'Weights'!$A:$A,0))*(INDEX('Data_NSA'!$A:$OK,MATCH(EDATE(O$2,-1),'Data_NSA'!$A:$A,0),MATCH($D271,'Data_NSA'!$1:$1,0))/INDEX('Data_NSA'!$A:$OK,MATCH(INDEX('Weights'!$E:$E,MATCH($A271,'Weights'!$A:$A,0)),'Data_NSA'!$A:$A,0),MATCH($D271,'Data_NSA'!$1:$1,0))))/(100*(INDEX('Data_NSA'!$A:$OK,MATCH(EDATE(O$2,-1),'Data_NSA'!$A:$A,0),MATCH("CUUR0000SA0",'Data_NSA'!$1:$1,0))/INDEX('Data_NSA'!$A:$OK,MATCH(INDEX('Weights'!$E:$E,MATCH($A271,'Weights'!$A:$A,0)),'Data_NSA'!$A:$A,0),MATCH("CUUR0000SA0",'Data_NSA'!$1:$1,0))))*(INDEX('Data_SA'!$A:$LO,MATCH(O$2,'Data_SA'!$A:$A,0),MATCH($E271,'Data_SA'!$1:$1,0))/INDEX('Data_SA'!$A:$LO,MATCH(EDATE(O$2,-1),'Data_SA'!$A:$A,0),MATCH($E271,'Data_SA'!$1:$1,0))-1),""))</f>
        <v/>
      </c>
      <c r="U271" s="10">
        <f>IFERROR(INDEX('Data_NSA'!$A:$OK,MATCH(U$2,'Data_NSA'!$A:$A,0),MATCH($D271,'Data_NSA'!$1:$1,0)),"")</f>
        <v/>
      </c>
      <c r="V271" s="10">
        <f>IF($E271="","",IFERROR(INDEX('Data_SA'!$A:$LO,MATCH(U$2,'Data_SA'!$A:$A,0),MATCH($E271,'Data_SA'!$1:$1,0)),""))</f>
        <v/>
      </c>
      <c r="W271" s="7">
        <f>IF($E271="","",IFERROR(INDEX('Data_SA'!$A:$LO,MATCH(U$2,'Data_SA'!$A:$A,0),MATCH($E271,'Data_SA'!$1:$1,0))/INDEX('Data_SA'!$A:$LO,MATCH(EDATE(U$2,-1),'Data_SA'!$A:$A,0),MATCH($E271,'Data_SA'!$1:$1,0))-1,""))</f>
        <v/>
      </c>
      <c r="X271" s="7">
        <f>IFERROR(INDEX('Data_NSA'!$A:$OK,MATCH(U$2,'Data_NSA'!$A:$A,0),MATCH($D271,'Data_NSA'!$1:$1,0))/INDEX('Data_NSA'!$A:$OK,MATCH(EDATE(U$2,-12),'Data_NSA'!$A:$A,0),MATCH($D271,'Data_NSA'!$1:$1,0))-1,"")</f>
        <v/>
      </c>
      <c r="Y271" s="10">
        <f>IFERROR(INDEX('Weights'!$G:$I,MATCH($A271,'Weights'!$A:$A,0),MATCH(U$2,'Weights'!$G$1:$I$1,0)),"")</f>
        <v/>
      </c>
      <c r="Z271" s="10">
        <f>IF($E271="","",IFERROR(100*(INDEX('Weights'!$D:$D,MATCH($A271,'Weights'!$A:$A,0))*(INDEX('Data_NSA'!$A:$OK,MATCH(EDATE(U$2,-1),'Data_NSA'!$A:$A,0),MATCH($D271,'Data_NSA'!$1:$1,0))/INDEX('Data_NSA'!$A:$OK,MATCH(INDEX('Weights'!$E:$E,MATCH($A271,'Weights'!$A:$A,0)),'Data_NSA'!$A:$A,0),MATCH($D271,'Data_NSA'!$1:$1,0))))/(100*(INDEX('Data_NSA'!$A:$OK,MATCH(EDATE(U$2,-1),'Data_NSA'!$A:$A,0),MATCH("CUUR0000SA0",'Data_NSA'!$1:$1,0))/INDEX('Data_NSA'!$A:$OK,MATCH(INDEX('Weights'!$E:$E,MATCH($A271,'Weights'!$A:$A,0)),'Data_NSA'!$A:$A,0),MATCH("CUUR0000SA0",'Data_NSA'!$1:$1,0))))*(INDEX('Data_SA'!$A:$LO,MATCH(U$2,'Data_SA'!$A:$A,0),MATCH($E271,'Data_SA'!$1:$1,0))/INDEX('Data_SA'!$A:$LO,MATCH(EDATE(U$2,-1),'Data_SA'!$A:$A,0),MATCH($E271,'Data_SA'!$1:$1,0))-1),""))</f>
        <v/>
      </c>
    </row>
    <row r="272">
      <c r="A272" s="3" t="inlineStr">
        <is>
          <t>SAR</t>
        </is>
      </c>
      <c r="B272" s="3" t="inlineStr">
        <is>
          <t>Recreation</t>
        </is>
      </c>
      <c r="C272" s="3" t="inlineStr">
        <is>
          <t>SA0</t>
        </is>
      </c>
      <c r="D272" s="3" t="inlineStr">
        <is>
          <t>CUUR0000SAR</t>
        </is>
      </c>
      <c r="E272" s="3" t="inlineStr">
        <is>
          <t>CUSR0000SAR</t>
        </is>
      </c>
      <c r="F272" s="3" t="inlineStr">
        <is>
          <t>GM</t>
        </is>
      </c>
      <c r="G272" s="3" t="inlineStr">
        <is>
          <t>bimonthly outside New York/Los Angeles/Chicago</t>
        </is>
      </c>
      <c r="H272" s="10">
        <f>IFERROR(INDEX(Weights!$D:$D,MATCH($A272,Weights!$A:$A,0)),"")</f>
        <v/>
      </c>
      <c r="I272" s="10">
        <f>IFERROR(INDEX('Data_NSA'!$A:$OK,MATCH(I$2,'Data_NSA'!$A:$A,0),MATCH($D272,'Data_NSA'!$1:$1,0)),"")</f>
        <v/>
      </c>
      <c r="J272" s="10">
        <f>IF($E272="","",IFERROR(INDEX('Data_SA'!$A:$LO,MATCH(I$2,'Data_SA'!$A:$A,0),MATCH($E272,'Data_SA'!$1:$1,0)),""))</f>
        <v/>
      </c>
      <c r="K272" s="7">
        <f>IF($E272="","",IFERROR(INDEX('Data_SA'!$A:$LO,MATCH(I$2,'Data_SA'!$A:$A,0),MATCH($E272,'Data_SA'!$1:$1,0))/INDEX('Data_SA'!$A:$LO,MATCH(EDATE(I$2,-1),'Data_SA'!$A:$A,0),MATCH($E272,'Data_SA'!$1:$1,0))-1,""))</f>
        <v/>
      </c>
      <c r="L272" s="7">
        <f>IFERROR(INDEX('Data_NSA'!$A:$OK,MATCH(I$2,'Data_NSA'!$A:$A,0),MATCH($D272,'Data_NSA'!$1:$1,0))/INDEX('Data_NSA'!$A:$OK,MATCH(EDATE(I$2,-12),'Data_NSA'!$A:$A,0),MATCH($D272,'Data_NSA'!$1:$1,0))-1,"")</f>
        <v/>
      </c>
      <c r="M272" s="10">
        <f>IFERROR(INDEX('Weights'!$G:$I,MATCH($A272,'Weights'!$A:$A,0),MATCH(I$2,'Weights'!$G$1:$I$1,0)),"")</f>
        <v/>
      </c>
      <c r="N272" s="10">
        <f>IF($E272="","",IFERROR(100*(INDEX('Weights'!$D:$D,MATCH($A272,'Weights'!$A:$A,0))*(INDEX('Data_NSA'!$A:$OK,MATCH(EDATE(I$2,-1),'Data_NSA'!$A:$A,0),MATCH($D272,'Data_NSA'!$1:$1,0))/INDEX('Data_NSA'!$A:$OK,MATCH(INDEX('Weights'!$E:$E,MATCH($A272,'Weights'!$A:$A,0)),'Data_NSA'!$A:$A,0),MATCH($D272,'Data_NSA'!$1:$1,0))))/(100*(INDEX('Data_NSA'!$A:$OK,MATCH(EDATE(I$2,-1),'Data_NSA'!$A:$A,0),MATCH("CUUR0000SA0",'Data_NSA'!$1:$1,0))/INDEX('Data_NSA'!$A:$OK,MATCH(INDEX('Weights'!$E:$E,MATCH($A272,'Weights'!$A:$A,0)),'Data_NSA'!$A:$A,0),MATCH("CUUR0000SA0",'Data_NSA'!$1:$1,0))))*(INDEX('Data_SA'!$A:$LO,MATCH(I$2,'Data_SA'!$A:$A,0),MATCH($E272,'Data_SA'!$1:$1,0))/INDEX('Data_SA'!$A:$LO,MATCH(EDATE(I$2,-1),'Data_SA'!$A:$A,0),MATCH($E272,'Data_SA'!$1:$1,0))-1),""))</f>
        <v/>
      </c>
      <c r="O272" s="10">
        <f>IFERROR(INDEX('Data_NSA'!$A:$OK,MATCH(O$2,'Data_NSA'!$A:$A,0),MATCH($D272,'Data_NSA'!$1:$1,0)),"")</f>
        <v/>
      </c>
      <c r="P272" s="10">
        <f>IF($E272="","",IFERROR(INDEX('Data_SA'!$A:$LO,MATCH(O$2,'Data_SA'!$A:$A,0),MATCH($E272,'Data_SA'!$1:$1,0)),""))</f>
        <v/>
      </c>
      <c r="Q272" s="7">
        <f>IF($E272="","",IFERROR(INDEX('Data_SA'!$A:$LO,MATCH(O$2,'Data_SA'!$A:$A,0),MATCH($E272,'Data_SA'!$1:$1,0))/INDEX('Data_SA'!$A:$LO,MATCH(EDATE(O$2,-1),'Data_SA'!$A:$A,0),MATCH($E272,'Data_SA'!$1:$1,0))-1,""))</f>
        <v/>
      </c>
      <c r="R272" s="7">
        <f>IFERROR(INDEX('Data_NSA'!$A:$OK,MATCH(O$2,'Data_NSA'!$A:$A,0),MATCH($D272,'Data_NSA'!$1:$1,0))/INDEX('Data_NSA'!$A:$OK,MATCH(EDATE(O$2,-12),'Data_NSA'!$A:$A,0),MATCH($D272,'Data_NSA'!$1:$1,0))-1,"")</f>
        <v/>
      </c>
      <c r="S272" s="10">
        <f>IFERROR(INDEX('Weights'!$G:$I,MATCH($A272,'Weights'!$A:$A,0),MATCH(O$2,'Weights'!$G$1:$I$1,0)),"")</f>
        <v/>
      </c>
      <c r="T272" s="10">
        <f>IF($E272="","",IFERROR(100*(INDEX('Weights'!$D:$D,MATCH($A272,'Weights'!$A:$A,0))*(INDEX('Data_NSA'!$A:$OK,MATCH(EDATE(O$2,-1),'Data_NSA'!$A:$A,0),MATCH($D272,'Data_NSA'!$1:$1,0))/INDEX('Data_NSA'!$A:$OK,MATCH(INDEX('Weights'!$E:$E,MATCH($A272,'Weights'!$A:$A,0)),'Data_NSA'!$A:$A,0),MATCH($D272,'Data_NSA'!$1:$1,0))))/(100*(INDEX('Data_NSA'!$A:$OK,MATCH(EDATE(O$2,-1),'Data_NSA'!$A:$A,0),MATCH("CUUR0000SA0",'Data_NSA'!$1:$1,0))/INDEX('Data_NSA'!$A:$OK,MATCH(INDEX('Weights'!$E:$E,MATCH($A272,'Weights'!$A:$A,0)),'Data_NSA'!$A:$A,0),MATCH("CUUR0000SA0",'Data_NSA'!$1:$1,0))))*(INDEX('Data_SA'!$A:$LO,MATCH(O$2,'Data_SA'!$A:$A,0),MATCH($E272,'Data_SA'!$1:$1,0))/INDEX('Data_SA'!$A:$LO,MATCH(EDATE(O$2,-1),'Data_SA'!$A:$A,0),MATCH($E272,'Data_SA'!$1:$1,0))-1),""))</f>
        <v/>
      </c>
      <c r="U272" s="10">
        <f>IFERROR(INDEX('Data_NSA'!$A:$OK,MATCH(U$2,'Data_NSA'!$A:$A,0),MATCH($D272,'Data_NSA'!$1:$1,0)),"")</f>
        <v/>
      </c>
      <c r="V272" s="10">
        <f>IF($E272="","",IFERROR(INDEX('Data_SA'!$A:$LO,MATCH(U$2,'Data_SA'!$A:$A,0),MATCH($E272,'Data_SA'!$1:$1,0)),""))</f>
        <v/>
      </c>
      <c r="W272" s="7">
        <f>IF($E272="","",IFERROR(INDEX('Data_SA'!$A:$LO,MATCH(U$2,'Data_SA'!$A:$A,0),MATCH($E272,'Data_SA'!$1:$1,0))/INDEX('Data_SA'!$A:$LO,MATCH(EDATE(U$2,-1),'Data_SA'!$A:$A,0),MATCH($E272,'Data_SA'!$1:$1,0))-1,""))</f>
        <v/>
      </c>
      <c r="X272" s="7">
        <f>IFERROR(INDEX('Data_NSA'!$A:$OK,MATCH(U$2,'Data_NSA'!$A:$A,0),MATCH($D272,'Data_NSA'!$1:$1,0))/INDEX('Data_NSA'!$A:$OK,MATCH(EDATE(U$2,-12),'Data_NSA'!$A:$A,0),MATCH($D272,'Data_NSA'!$1:$1,0))-1,"")</f>
        <v/>
      </c>
      <c r="Y272" s="10">
        <f>IFERROR(INDEX('Weights'!$G:$I,MATCH($A272,'Weights'!$A:$A,0),MATCH(U$2,'Weights'!$G$1:$I$1,0)),"")</f>
        <v/>
      </c>
      <c r="Z272" s="10">
        <f>IF($E272="","",IFERROR(100*(INDEX('Weights'!$D:$D,MATCH($A272,'Weights'!$A:$A,0))*(INDEX('Data_NSA'!$A:$OK,MATCH(EDATE(U$2,-1),'Data_NSA'!$A:$A,0),MATCH($D272,'Data_NSA'!$1:$1,0))/INDEX('Data_NSA'!$A:$OK,MATCH(INDEX('Weights'!$E:$E,MATCH($A272,'Weights'!$A:$A,0)),'Data_NSA'!$A:$A,0),MATCH($D272,'Data_NSA'!$1:$1,0))))/(100*(INDEX('Data_NSA'!$A:$OK,MATCH(EDATE(U$2,-1),'Data_NSA'!$A:$A,0),MATCH("CUUR0000SA0",'Data_NSA'!$1:$1,0))/INDEX('Data_NSA'!$A:$OK,MATCH(INDEX('Weights'!$E:$E,MATCH($A272,'Weights'!$A:$A,0)),'Data_NSA'!$A:$A,0),MATCH("CUUR0000SA0",'Data_NSA'!$1:$1,0))))*(INDEX('Data_SA'!$A:$LO,MATCH(U$2,'Data_SA'!$A:$A,0),MATCH($E272,'Data_SA'!$1:$1,0))/INDEX('Data_SA'!$A:$LO,MATCH(EDATE(U$2,-1),'Data_SA'!$A:$A,0),MATCH($E272,'Data_SA'!$1:$1,0))-1),""))</f>
        <v/>
      </c>
    </row>
    <row r="273">
      <c r="A273" s="3" t="inlineStr">
        <is>
          <t>SERA</t>
        </is>
      </c>
      <c r="B273" s="3" t="inlineStr">
        <is>
          <t>Video and audio</t>
        </is>
      </c>
      <c r="C273" s="3" t="inlineStr">
        <is>
          <t>SAR</t>
        </is>
      </c>
      <c r="D273" s="3" t="inlineStr">
        <is>
          <t>CUUR0000SERA</t>
        </is>
      </c>
      <c r="E273" s="3" t="inlineStr">
        <is>
          <t>CUSR0000SERA</t>
        </is>
      </c>
      <c r="F273" s="3" t="inlineStr">
        <is>
          <t>aggregate</t>
        </is>
      </c>
      <c r="G273" s="3" t="inlineStr">
        <is>
          <t>aggregate</t>
        </is>
      </c>
      <c r="H273" s="10">
        <f>IFERROR(INDEX(Weights!$D:$D,MATCH($A273,Weights!$A:$A,0)),"")</f>
        <v/>
      </c>
      <c r="I273" s="10">
        <f>IFERROR(INDEX('Data_NSA'!$A:$OK,MATCH(I$2,'Data_NSA'!$A:$A,0),MATCH($D273,'Data_NSA'!$1:$1,0)),"")</f>
        <v/>
      </c>
      <c r="J273" s="10">
        <f>IF($E273="","",IFERROR(INDEX('Data_SA'!$A:$LO,MATCH(I$2,'Data_SA'!$A:$A,0),MATCH($E273,'Data_SA'!$1:$1,0)),""))</f>
        <v/>
      </c>
      <c r="K273" s="7">
        <f>IF($E273="","",IFERROR(INDEX('Data_SA'!$A:$LO,MATCH(I$2,'Data_SA'!$A:$A,0),MATCH($E273,'Data_SA'!$1:$1,0))/INDEX('Data_SA'!$A:$LO,MATCH(EDATE(I$2,-1),'Data_SA'!$A:$A,0),MATCH($E273,'Data_SA'!$1:$1,0))-1,""))</f>
        <v/>
      </c>
      <c r="L273" s="7">
        <f>IFERROR(INDEX('Data_NSA'!$A:$OK,MATCH(I$2,'Data_NSA'!$A:$A,0),MATCH($D273,'Data_NSA'!$1:$1,0))/INDEX('Data_NSA'!$A:$OK,MATCH(EDATE(I$2,-12),'Data_NSA'!$A:$A,0),MATCH($D273,'Data_NSA'!$1:$1,0))-1,"")</f>
        <v/>
      </c>
      <c r="M273" s="10">
        <f>IFERROR(INDEX('Weights'!$G:$I,MATCH($A273,'Weights'!$A:$A,0),MATCH(I$2,'Weights'!$G$1:$I$1,0)),"")</f>
        <v/>
      </c>
      <c r="N273" s="10">
        <f>IF($E273="","",IFERROR(100*(INDEX('Weights'!$D:$D,MATCH($A273,'Weights'!$A:$A,0))*(INDEX('Data_NSA'!$A:$OK,MATCH(EDATE(I$2,-1),'Data_NSA'!$A:$A,0),MATCH($D273,'Data_NSA'!$1:$1,0))/INDEX('Data_NSA'!$A:$OK,MATCH(INDEX('Weights'!$E:$E,MATCH($A273,'Weights'!$A:$A,0)),'Data_NSA'!$A:$A,0),MATCH($D273,'Data_NSA'!$1:$1,0))))/(100*(INDEX('Data_NSA'!$A:$OK,MATCH(EDATE(I$2,-1),'Data_NSA'!$A:$A,0),MATCH("CUUR0000SA0",'Data_NSA'!$1:$1,0))/INDEX('Data_NSA'!$A:$OK,MATCH(INDEX('Weights'!$E:$E,MATCH($A273,'Weights'!$A:$A,0)),'Data_NSA'!$A:$A,0),MATCH("CUUR0000SA0",'Data_NSA'!$1:$1,0))))*(INDEX('Data_SA'!$A:$LO,MATCH(I$2,'Data_SA'!$A:$A,0),MATCH($E273,'Data_SA'!$1:$1,0))/INDEX('Data_SA'!$A:$LO,MATCH(EDATE(I$2,-1),'Data_SA'!$A:$A,0),MATCH($E273,'Data_SA'!$1:$1,0))-1),""))</f>
        <v/>
      </c>
      <c r="O273" s="10">
        <f>IFERROR(INDEX('Data_NSA'!$A:$OK,MATCH(O$2,'Data_NSA'!$A:$A,0),MATCH($D273,'Data_NSA'!$1:$1,0)),"")</f>
        <v/>
      </c>
      <c r="P273" s="10">
        <f>IF($E273="","",IFERROR(INDEX('Data_SA'!$A:$LO,MATCH(O$2,'Data_SA'!$A:$A,0),MATCH($E273,'Data_SA'!$1:$1,0)),""))</f>
        <v/>
      </c>
      <c r="Q273" s="7">
        <f>IF($E273="","",IFERROR(INDEX('Data_SA'!$A:$LO,MATCH(O$2,'Data_SA'!$A:$A,0),MATCH($E273,'Data_SA'!$1:$1,0))/INDEX('Data_SA'!$A:$LO,MATCH(EDATE(O$2,-1),'Data_SA'!$A:$A,0),MATCH($E273,'Data_SA'!$1:$1,0))-1,""))</f>
        <v/>
      </c>
      <c r="R273" s="7">
        <f>IFERROR(INDEX('Data_NSA'!$A:$OK,MATCH(O$2,'Data_NSA'!$A:$A,0),MATCH($D273,'Data_NSA'!$1:$1,0))/INDEX('Data_NSA'!$A:$OK,MATCH(EDATE(O$2,-12),'Data_NSA'!$A:$A,0),MATCH($D273,'Data_NSA'!$1:$1,0))-1,"")</f>
        <v/>
      </c>
      <c r="S273" s="10">
        <f>IFERROR(INDEX('Weights'!$G:$I,MATCH($A273,'Weights'!$A:$A,0),MATCH(O$2,'Weights'!$G$1:$I$1,0)),"")</f>
        <v/>
      </c>
      <c r="T273" s="10">
        <f>IF($E273="","",IFERROR(100*(INDEX('Weights'!$D:$D,MATCH($A273,'Weights'!$A:$A,0))*(INDEX('Data_NSA'!$A:$OK,MATCH(EDATE(O$2,-1),'Data_NSA'!$A:$A,0),MATCH($D273,'Data_NSA'!$1:$1,0))/INDEX('Data_NSA'!$A:$OK,MATCH(INDEX('Weights'!$E:$E,MATCH($A273,'Weights'!$A:$A,0)),'Data_NSA'!$A:$A,0),MATCH($D273,'Data_NSA'!$1:$1,0))))/(100*(INDEX('Data_NSA'!$A:$OK,MATCH(EDATE(O$2,-1),'Data_NSA'!$A:$A,0),MATCH("CUUR0000SA0",'Data_NSA'!$1:$1,0))/INDEX('Data_NSA'!$A:$OK,MATCH(INDEX('Weights'!$E:$E,MATCH($A273,'Weights'!$A:$A,0)),'Data_NSA'!$A:$A,0),MATCH("CUUR0000SA0",'Data_NSA'!$1:$1,0))))*(INDEX('Data_SA'!$A:$LO,MATCH(O$2,'Data_SA'!$A:$A,0),MATCH($E273,'Data_SA'!$1:$1,0))/INDEX('Data_SA'!$A:$LO,MATCH(EDATE(O$2,-1),'Data_SA'!$A:$A,0),MATCH($E273,'Data_SA'!$1:$1,0))-1),""))</f>
        <v/>
      </c>
      <c r="U273" s="10">
        <f>IFERROR(INDEX('Data_NSA'!$A:$OK,MATCH(U$2,'Data_NSA'!$A:$A,0),MATCH($D273,'Data_NSA'!$1:$1,0)),"")</f>
        <v/>
      </c>
      <c r="V273" s="10">
        <f>IF($E273="","",IFERROR(INDEX('Data_SA'!$A:$LO,MATCH(U$2,'Data_SA'!$A:$A,0),MATCH($E273,'Data_SA'!$1:$1,0)),""))</f>
        <v/>
      </c>
      <c r="W273" s="7">
        <f>IF($E273="","",IFERROR(INDEX('Data_SA'!$A:$LO,MATCH(U$2,'Data_SA'!$A:$A,0),MATCH($E273,'Data_SA'!$1:$1,0))/INDEX('Data_SA'!$A:$LO,MATCH(EDATE(U$2,-1),'Data_SA'!$A:$A,0),MATCH($E273,'Data_SA'!$1:$1,0))-1,""))</f>
        <v/>
      </c>
      <c r="X273" s="7">
        <f>IFERROR(INDEX('Data_NSA'!$A:$OK,MATCH(U$2,'Data_NSA'!$A:$A,0),MATCH($D273,'Data_NSA'!$1:$1,0))/INDEX('Data_NSA'!$A:$OK,MATCH(EDATE(U$2,-12),'Data_NSA'!$A:$A,0),MATCH($D273,'Data_NSA'!$1:$1,0))-1,"")</f>
        <v/>
      </c>
      <c r="Y273" s="10">
        <f>IFERROR(INDEX('Weights'!$G:$I,MATCH($A273,'Weights'!$A:$A,0),MATCH(U$2,'Weights'!$G$1:$I$1,0)),"")</f>
        <v/>
      </c>
      <c r="Z273" s="10">
        <f>IF($E273="","",IFERROR(100*(INDEX('Weights'!$D:$D,MATCH($A273,'Weights'!$A:$A,0))*(INDEX('Data_NSA'!$A:$OK,MATCH(EDATE(U$2,-1),'Data_NSA'!$A:$A,0),MATCH($D273,'Data_NSA'!$1:$1,0))/INDEX('Data_NSA'!$A:$OK,MATCH(INDEX('Weights'!$E:$E,MATCH($A273,'Weights'!$A:$A,0)),'Data_NSA'!$A:$A,0),MATCH($D273,'Data_NSA'!$1:$1,0))))/(100*(INDEX('Data_NSA'!$A:$OK,MATCH(EDATE(U$2,-1),'Data_NSA'!$A:$A,0),MATCH("CUUR0000SA0",'Data_NSA'!$1:$1,0))/INDEX('Data_NSA'!$A:$OK,MATCH(INDEX('Weights'!$E:$E,MATCH($A273,'Weights'!$A:$A,0)),'Data_NSA'!$A:$A,0),MATCH("CUUR0000SA0",'Data_NSA'!$1:$1,0))))*(INDEX('Data_SA'!$A:$LO,MATCH(U$2,'Data_SA'!$A:$A,0),MATCH($E273,'Data_SA'!$1:$1,0))/INDEX('Data_SA'!$A:$LO,MATCH(EDATE(U$2,-1),'Data_SA'!$A:$A,0),MATCH($E273,'Data_SA'!$1:$1,0))-1),""))</f>
        <v/>
      </c>
    </row>
    <row r="274">
      <c r="A274" s="3" t="inlineStr">
        <is>
          <t>SERA01</t>
        </is>
      </c>
      <c r="B274" s="3" t="inlineStr">
        <is>
          <t>Televisions</t>
        </is>
      </c>
      <c r="C274" s="3" t="inlineStr">
        <is>
          <t>SERA</t>
        </is>
      </c>
      <c r="D274" s="3" t="inlineStr">
        <is>
          <t>CUUR0000SERA01</t>
        </is>
      </c>
      <c r="E274" s="3" t="inlineStr">
        <is>
          <t>CUSR0000SERA01</t>
        </is>
      </c>
      <c r="F274" s="3" t="inlineStr">
        <is>
          <t>GM</t>
        </is>
      </c>
      <c r="G274" s="3" t="inlineStr">
        <is>
          <t>monthly in New York/Los Angeles/Chicago; often bimonthly elsewhere</t>
        </is>
      </c>
      <c r="H274" s="10">
        <f>IFERROR(INDEX(Weights!$D:$D,MATCH($A274,Weights!$A:$A,0)),"")</f>
        <v/>
      </c>
      <c r="I274" s="10">
        <f>IFERROR(INDEX('Data_NSA'!$A:$OK,MATCH(I$2,'Data_NSA'!$A:$A,0),MATCH($D274,'Data_NSA'!$1:$1,0)),"")</f>
        <v/>
      </c>
      <c r="J274" s="10">
        <f>IF($E274="","",IFERROR(INDEX('Data_SA'!$A:$LO,MATCH(I$2,'Data_SA'!$A:$A,0),MATCH($E274,'Data_SA'!$1:$1,0)),""))</f>
        <v/>
      </c>
      <c r="K274" s="7">
        <f>IF($E274="","",IFERROR(INDEX('Data_SA'!$A:$LO,MATCH(I$2,'Data_SA'!$A:$A,0),MATCH($E274,'Data_SA'!$1:$1,0))/INDEX('Data_SA'!$A:$LO,MATCH(EDATE(I$2,-1),'Data_SA'!$A:$A,0),MATCH($E274,'Data_SA'!$1:$1,0))-1,""))</f>
        <v/>
      </c>
      <c r="L274" s="7">
        <f>IFERROR(INDEX('Data_NSA'!$A:$OK,MATCH(I$2,'Data_NSA'!$A:$A,0),MATCH($D274,'Data_NSA'!$1:$1,0))/INDEX('Data_NSA'!$A:$OK,MATCH(EDATE(I$2,-12),'Data_NSA'!$A:$A,0),MATCH($D274,'Data_NSA'!$1:$1,0))-1,"")</f>
        <v/>
      </c>
      <c r="M274" s="10">
        <f>IFERROR(INDEX('Weights'!$G:$I,MATCH($A274,'Weights'!$A:$A,0),MATCH(I$2,'Weights'!$G$1:$I$1,0)),"")</f>
        <v/>
      </c>
      <c r="N274" s="10">
        <f>IF($E274="","",IFERROR(100*(INDEX('Weights'!$D:$D,MATCH($A274,'Weights'!$A:$A,0))*(INDEX('Data_NSA'!$A:$OK,MATCH(EDATE(I$2,-1),'Data_NSA'!$A:$A,0),MATCH($D274,'Data_NSA'!$1:$1,0))/INDEX('Data_NSA'!$A:$OK,MATCH(INDEX('Weights'!$E:$E,MATCH($A274,'Weights'!$A:$A,0)),'Data_NSA'!$A:$A,0),MATCH($D274,'Data_NSA'!$1:$1,0))))/(100*(INDEX('Data_NSA'!$A:$OK,MATCH(EDATE(I$2,-1),'Data_NSA'!$A:$A,0),MATCH("CUUR0000SA0",'Data_NSA'!$1:$1,0))/INDEX('Data_NSA'!$A:$OK,MATCH(INDEX('Weights'!$E:$E,MATCH($A274,'Weights'!$A:$A,0)),'Data_NSA'!$A:$A,0),MATCH("CUUR0000SA0",'Data_NSA'!$1:$1,0))))*(INDEX('Data_SA'!$A:$LO,MATCH(I$2,'Data_SA'!$A:$A,0),MATCH($E274,'Data_SA'!$1:$1,0))/INDEX('Data_SA'!$A:$LO,MATCH(EDATE(I$2,-1),'Data_SA'!$A:$A,0),MATCH($E274,'Data_SA'!$1:$1,0))-1),""))</f>
        <v/>
      </c>
      <c r="O274" s="10">
        <f>IFERROR(INDEX('Data_NSA'!$A:$OK,MATCH(O$2,'Data_NSA'!$A:$A,0),MATCH($D274,'Data_NSA'!$1:$1,0)),"")</f>
        <v/>
      </c>
      <c r="P274" s="10">
        <f>IF($E274="","",IFERROR(INDEX('Data_SA'!$A:$LO,MATCH(O$2,'Data_SA'!$A:$A,0),MATCH($E274,'Data_SA'!$1:$1,0)),""))</f>
        <v/>
      </c>
      <c r="Q274" s="7">
        <f>IF($E274="","",IFERROR(INDEX('Data_SA'!$A:$LO,MATCH(O$2,'Data_SA'!$A:$A,0),MATCH($E274,'Data_SA'!$1:$1,0))/INDEX('Data_SA'!$A:$LO,MATCH(EDATE(O$2,-1),'Data_SA'!$A:$A,0),MATCH($E274,'Data_SA'!$1:$1,0))-1,""))</f>
        <v/>
      </c>
      <c r="R274" s="7">
        <f>IFERROR(INDEX('Data_NSA'!$A:$OK,MATCH(O$2,'Data_NSA'!$A:$A,0),MATCH($D274,'Data_NSA'!$1:$1,0))/INDEX('Data_NSA'!$A:$OK,MATCH(EDATE(O$2,-12),'Data_NSA'!$A:$A,0),MATCH($D274,'Data_NSA'!$1:$1,0))-1,"")</f>
        <v/>
      </c>
      <c r="S274" s="10">
        <f>IFERROR(INDEX('Weights'!$G:$I,MATCH($A274,'Weights'!$A:$A,0),MATCH(O$2,'Weights'!$G$1:$I$1,0)),"")</f>
        <v/>
      </c>
      <c r="T274" s="10">
        <f>IF($E274="","",IFERROR(100*(INDEX('Weights'!$D:$D,MATCH($A274,'Weights'!$A:$A,0))*(INDEX('Data_NSA'!$A:$OK,MATCH(EDATE(O$2,-1),'Data_NSA'!$A:$A,0),MATCH($D274,'Data_NSA'!$1:$1,0))/INDEX('Data_NSA'!$A:$OK,MATCH(INDEX('Weights'!$E:$E,MATCH($A274,'Weights'!$A:$A,0)),'Data_NSA'!$A:$A,0),MATCH($D274,'Data_NSA'!$1:$1,0))))/(100*(INDEX('Data_NSA'!$A:$OK,MATCH(EDATE(O$2,-1),'Data_NSA'!$A:$A,0),MATCH("CUUR0000SA0",'Data_NSA'!$1:$1,0))/INDEX('Data_NSA'!$A:$OK,MATCH(INDEX('Weights'!$E:$E,MATCH($A274,'Weights'!$A:$A,0)),'Data_NSA'!$A:$A,0),MATCH("CUUR0000SA0",'Data_NSA'!$1:$1,0))))*(INDEX('Data_SA'!$A:$LO,MATCH(O$2,'Data_SA'!$A:$A,0),MATCH($E274,'Data_SA'!$1:$1,0))/INDEX('Data_SA'!$A:$LO,MATCH(EDATE(O$2,-1),'Data_SA'!$A:$A,0),MATCH($E274,'Data_SA'!$1:$1,0))-1),""))</f>
        <v/>
      </c>
      <c r="U274" s="10">
        <f>IFERROR(INDEX('Data_NSA'!$A:$OK,MATCH(U$2,'Data_NSA'!$A:$A,0),MATCH($D274,'Data_NSA'!$1:$1,0)),"")</f>
        <v/>
      </c>
      <c r="V274" s="10">
        <f>IF($E274="","",IFERROR(INDEX('Data_SA'!$A:$LO,MATCH(U$2,'Data_SA'!$A:$A,0),MATCH($E274,'Data_SA'!$1:$1,0)),""))</f>
        <v/>
      </c>
      <c r="W274" s="7">
        <f>IF($E274="","",IFERROR(INDEX('Data_SA'!$A:$LO,MATCH(U$2,'Data_SA'!$A:$A,0),MATCH($E274,'Data_SA'!$1:$1,0))/INDEX('Data_SA'!$A:$LO,MATCH(EDATE(U$2,-1),'Data_SA'!$A:$A,0),MATCH($E274,'Data_SA'!$1:$1,0))-1,""))</f>
        <v/>
      </c>
      <c r="X274" s="7">
        <f>IFERROR(INDEX('Data_NSA'!$A:$OK,MATCH(U$2,'Data_NSA'!$A:$A,0),MATCH($D274,'Data_NSA'!$1:$1,0))/INDEX('Data_NSA'!$A:$OK,MATCH(EDATE(U$2,-12),'Data_NSA'!$A:$A,0),MATCH($D274,'Data_NSA'!$1:$1,0))-1,"")</f>
        <v/>
      </c>
      <c r="Y274" s="10">
        <f>IFERROR(INDEX('Weights'!$G:$I,MATCH($A274,'Weights'!$A:$A,0),MATCH(U$2,'Weights'!$G$1:$I$1,0)),"")</f>
        <v/>
      </c>
      <c r="Z274" s="10">
        <f>IF($E274="","",IFERROR(100*(INDEX('Weights'!$D:$D,MATCH($A274,'Weights'!$A:$A,0))*(INDEX('Data_NSA'!$A:$OK,MATCH(EDATE(U$2,-1),'Data_NSA'!$A:$A,0),MATCH($D274,'Data_NSA'!$1:$1,0))/INDEX('Data_NSA'!$A:$OK,MATCH(INDEX('Weights'!$E:$E,MATCH($A274,'Weights'!$A:$A,0)),'Data_NSA'!$A:$A,0),MATCH($D274,'Data_NSA'!$1:$1,0))))/(100*(INDEX('Data_NSA'!$A:$OK,MATCH(EDATE(U$2,-1),'Data_NSA'!$A:$A,0),MATCH("CUUR0000SA0",'Data_NSA'!$1:$1,0))/INDEX('Data_NSA'!$A:$OK,MATCH(INDEX('Weights'!$E:$E,MATCH($A274,'Weights'!$A:$A,0)),'Data_NSA'!$A:$A,0),MATCH("CUUR0000SA0",'Data_NSA'!$1:$1,0))))*(INDEX('Data_SA'!$A:$LO,MATCH(U$2,'Data_SA'!$A:$A,0),MATCH($E274,'Data_SA'!$1:$1,0))/INDEX('Data_SA'!$A:$LO,MATCH(EDATE(U$2,-1),'Data_SA'!$A:$A,0),MATCH($E274,'Data_SA'!$1:$1,0))-1),""))</f>
        <v/>
      </c>
    </row>
    <row r="275">
      <c r="A275" s="3" t="inlineStr">
        <is>
          <t>SERA02</t>
        </is>
      </c>
      <c r="B275" s="3" t="inlineStr">
        <is>
          <t>Cable, satellite, and live streaming television service</t>
        </is>
      </c>
      <c r="C275" s="3" t="inlineStr">
        <is>
          <t>SERA</t>
        </is>
      </c>
      <c r="D275" s="3" t="inlineStr">
        <is>
          <t>CUUR0000SERA02</t>
        </is>
      </c>
      <c r="E275" s="3" t="inlineStr">
        <is>
          <t>CUSR0000SERA02</t>
        </is>
      </c>
      <c r="F275" s="3" t="inlineStr">
        <is>
          <t>GM</t>
        </is>
      </c>
      <c r="G275" s="3" t="inlineStr">
        <is>
          <t>monthly in New York/Los Angeles/Chicago; often bimonthly elsewhere</t>
        </is>
      </c>
      <c r="H275" s="10">
        <f>IFERROR(INDEX(Weights!$D:$D,MATCH($A275,Weights!$A:$A,0)),"")</f>
        <v/>
      </c>
      <c r="I275" s="10">
        <f>IFERROR(INDEX('Data_NSA'!$A:$OK,MATCH(I$2,'Data_NSA'!$A:$A,0),MATCH($D275,'Data_NSA'!$1:$1,0)),"")</f>
        <v/>
      </c>
      <c r="J275" s="10">
        <f>IF($E275="","",IFERROR(INDEX('Data_SA'!$A:$LO,MATCH(I$2,'Data_SA'!$A:$A,0),MATCH($E275,'Data_SA'!$1:$1,0)),""))</f>
        <v/>
      </c>
      <c r="K275" s="7">
        <f>IF($E275="","",IFERROR(INDEX('Data_SA'!$A:$LO,MATCH(I$2,'Data_SA'!$A:$A,0),MATCH($E275,'Data_SA'!$1:$1,0))/INDEX('Data_SA'!$A:$LO,MATCH(EDATE(I$2,-1),'Data_SA'!$A:$A,0),MATCH($E275,'Data_SA'!$1:$1,0))-1,""))</f>
        <v/>
      </c>
      <c r="L275" s="7">
        <f>IFERROR(INDEX('Data_NSA'!$A:$OK,MATCH(I$2,'Data_NSA'!$A:$A,0),MATCH($D275,'Data_NSA'!$1:$1,0))/INDEX('Data_NSA'!$A:$OK,MATCH(EDATE(I$2,-12),'Data_NSA'!$A:$A,0),MATCH($D275,'Data_NSA'!$1:$1,0))-1,"")</f>
        <v/>
      </c>
      <c r="M275" s="10">
        <f>IFERROR(INDEX('Weights'!$G:$I,MATCH($A275,'Weights'!$A:$A,0),MATCH(I$2,'Weights'!$G$1:$I$1,0)),"")</f>
        <v/>
      </c>
      <c r="N275" s="10">
        <f>IF($E275="","",IFERROR(100*(INDEX('Weights'!$D:$D,MATCH($A275,'Weights'!$A:$A,0))*(INDEX('Data_NSA'!$A:$OK,MATCH(EDATE(I$2,-1),'Data_NSA'!$A:$A,0),MATCH($D275,'Data_NSA'!$1:$1,0))/INDEX('Data_NSA'!$A:$OK,MATCH(INDEX('Weights'!$E:$E,MATCH($A275,'Weights'!$A:$A,0)),'Data_NSA'!$A:$A,0),MATCH($D275,'Data_NSA'!$1:$1,0))))/(100*(INDEX('Data_NSA'!$A:$OK,MATCH(EDATE(I$2,-1),'Data_NSA'!$A:$A,0),MATCH("CUUR0000SA0",'Data_NSA'!$1:$1,0))/INDEX('Data_NSA'!$A:$OK,MATCH(INDEX('Weights'!$E:$E,MATCH($A275,'Weights'!$A:$A,0)),'Data_NSA'!$A:$A,0),MATCH("CUUR0000SA0",'Data_NSA'!$1:$1,0))))*(INDEX('Data_SA'!$A:$LO,MATCH(I$2,'Data_SA'!$A:$A,0),MATCH($E275,'Data_SA'!$1:$1,0))/INDEX('Data_SA'!$A:$LO,MATCH(EDATE(I$2,-1),'Data_SA'!$A:$A,0),MATCH($E275,'Data_SA'!$1:$1,0))-1),""))</f>
        <v/>
      </c>
      <c r="O275" s="10">
        <f>IFERROR(INDEX('Data_NSA'!$A:$OK,MATCH(O$2,'Data_NSA'!$A:$A,0),MATCH($D275,'Data_NSA'!$1:$1,0)),"")</f>
        <v/>
      </c>
      <c r="P275" s="10">
        <f>IF($E275="","",IFERROR(INDEX('Data_SA'!$A:$LO,MATCH(O$2,'Data_SA'!$A:$A,0),MATCH($E275,'Data_SA'!$1:$1,0)),""))</f>
        <v/>
      </c>
      <c r="Q275" s="7">
        <f>IF($E275="","",IFERROR(INDEX('Data_SA'!$A:$LO,MATCH(O$2,'Data_SA'!$A:$A,0),MATCH($E275,'Data_SA'!$1:$1,0))/INDEX('Data_SA'!$A:$LO,MATCH(EDATE(O$2,-1),'Data_SA'!$A:$A,0),MATCH($E275,'Data_SA'!$1:$1,0))-1,""))</f>
        <v/>
      </c>
      <c r="R275" s="7">
        <f>IFERROR(INDEX('Data_NSA'!$A:$OK,MATCH(O$2,'Data_NSA'!$A:$A,0),MATCH($D275,'Data_NSA'!$1:$1,0))/INDEX('Data_NSA'!$A:$OK,MATCH(EDATE(O$2,-12),'Data_NSA'!$A:$A,0),MATCH($D275,'Data_NSA'!$1:$1,0))-1,"")</f>
        <v/>
      </c>
      <c r="S275" s="10">
        <f>IFERROR(INDEX('Weights'!$G:$I,MATCH($A275,'Weights'!$A:$A,0),MATCH(O$2,'Weights'!$G$1:$I$1,0)),"")</f>
        <v/>
      </c>
      <c r="T275" s="10">
        <f>IF($E275="","",IFERROR(100*(INDEX('Weights'!$D:$D,MATCH($A275,'Weights'!$A:$A,0))*(INDEX('Data_NSA'!$A:$OK,MATCH(EDATE(O$2,-1),'Data_NSA'!$A:$A,0),MATCH($D275,'Data_NSA'!$1:$1,0))/INDEX('Data_NSA'!$A:$OK,MATCH(INDEX('Weights'!$E:$E,MATCH($A275,'Weights'!$A:$A,0)),'Data_NSA'!$A:$A,0),MATCH($D275,'Data_NSA'!$1:$1,0))))/(100*(INDEX('Data_NSA'!$A:$OK,MATCH(EDATE(O$2,-1),'Data_NSA'!$A:$A,0),MATCH("CUUR0000SA0",'Data_NSA'!$1:$1,0))/INDEX('Data_NSA'!$A:$OK,MATCH(INDEX('Weights'!$E:$E,MATCH($A275,'Weights'!$A:$A,0)),'Data_NSA'!$A:$A,0),MATCH("CUUR0000SA0",'Data_NSA'!$1:$1,0))))*(INDEX('Data_SA'!$A:$LO,MATCH(O$2,'Data_SA'!$A:$A,0),MATCH($E275,'Data_SA'!$1:$1,0))/INDEX('Data_SA'!$A:$LO,MATCH(EDATE(O$2,-1),'Data_SA'!$A:$A,0),MATCH($E275,'Data_SA'!$1:$1,0))-1),""))</f>
        <v/>
      </c>
      <c r="U275" s="10">
        <f>IFERROR(INDEX('Data_NSA'!$A:$OK,MATCH(U$2,'Data_NSA'!$A:$A,0),MATCH($D275,'Data_NSA'!$1:$1,0)),"")</f>
        <v/>
      </c>
      <c r="V275" s="10">
        <f>IF($E275="","",IFERROR(INDEX('Data_SA'!$A:$LO,MATCH(U$2,'Data_SA'!$A:$A,0),MATCH($E275,'Data_SA'!$1:$1,0)),""))</f>
        <v/>
      </c>
      <c r="W275" s="7">
        <f>IF($E275="","",IFERROR(INDEX('Data_SA'!$A:$LO,MATCH(U$2,'Data_SA'!$A:$A,0),MATCH($E275,'Data_SA'!$1:$1,0))/INDEX('Data_SA'!$A:$LO,MATCH(EDATE(U$2,-1),'Data_SA'!$A:$A,0),MATCH($E275,'Data_SA'!$1:$1,0))-1,""))</f>
        <v/>
      </c>
      <c r="X275" s="7">
        <f>IFERROR(INDEX('Data_NSA'!$A:$OK,MATCH(U$2,'Data_NSA'!$A:$A,0),MATCH($D275,'Data_NSA'!$1:$1,0))/INDEX('Data_NSA'!$A:$OK,MATCH(EDATE(U$2,-12),'Data_NSA'!$A:$A,0),MATCH($D275,'Data_NSA'!$1:$1,0))-1,"")</f>
        <v/>
      </c>
      <c r="Y275" s="10">
        <f>IFERROR(INDEX('Weights'!$G:$I,MATCH($A275,'Weights'!$A:$A,0),MATCH(U$2,'Weights'!$G$1:$I$1,0)),"")</f>
        <v/>
      </c>
      <c r="Z275" s="10">
        <f>IF($E275="","",IFERROR(100*(INDEX('Weights'!$D:$D,MATCH($A275,'Weights'!$A:$A,0))*(INDEX('Data_NSA'!$A:$OK,MATCH(EDATE(U$2,-1),'Data_NSA'!$A:$A,0),MATCH($D275,'Data_NSA'!$1:$1,0))/INDEX('Data_NSA'!$A:$OK,MATCH(INDEX('Weights'!$E:$E,MATCH($A275,'Weights'!$A:$A,0)),'Data_NSA'!$A:$A,0),MATCH($D275,'Data_NSA'!$1:$1,0))))/(100*(INDEX('Data_NSA'!$A:$OK,MATCH(EDATE(U$2,-1),'Data_NSA'!$A:$A,0),MATCH("CUUR0000SA0",'Data_NSA'!$1:$1,0))/INDEX('Data_NSA'!$A:$OK,MATCH(INDEX('Weights'!$E:$E,MATCH($A275,'Weights'!$A:$A,0)),'Data_NSA'!$A:$A,0),MATCH("CUUR0000SA0",'Data_NSA'!$1:$1,0))))*(INDEX('Data_SA'!$A:$LO,MATCH(U$2,'Data_SA'!$A:$A,0),MATCH($E275,'Data_SA'!$1:$1,0))/INDEX('Data_SA'!$A:$LO,MATCH(EDATE(U$2,-1),'Data_SA'!$A:$A,0),MATCH($E275,'Data_SA'!$1:$1,0))-1),""))</f>
        <v/>
      </c>
    </row>
    <row r="276">
      <c r="A276" s="3" t="inlineStr">
        <is>
          <t>SERA03</t>
        </is>
      </c>
      <c r="B276" s="3" t="inlineStr">
        <is>
          <t>Other video equipment</t>
        </is>
      </c>
      <c r="C276" s="3" t="inlineStr">
        <is>
          <t>SERA</t>
        </is>
      </c>
      <c r="D276" s="3" t="inlineStr">
        <is>
          <t>CUUR0000SERA03</t>
        </is>
      </c>
      <c r="E276" s="3" t="inlineStr">
        <is>
          <t>CUSR0000SERA03</t>
        </is>
      </c>
      <c r="F276" s="3" t="inlineStr">
        <is>
          <t>GM</t>
        </is>
      </c>
      <c r="G276" s="3" t="inlineStr">
        <is>
          <t>monthly in New York/Los Angeles/Chicago; often bimonthly elsewhere</t>
        </is>
      </c>
      <c r="H276" s="10">
        <f>IFERROR(INDEX(Weights!$D:$D,MATCH($A276,Weights!$A:$A,0)),"")</f>
        <v/>
      </c>
      <c r="I276" s="10">
        <f>IFERROR(INDEX('Data_NSA'!$A:$OK,MATCH(I$2,'Data_NSA'!$A:$A,0),MATCH($D276,'Data_NSA'!$1:$1,0)),"")</f>
        <v/>
      </c>
      <c r="J276" s="10">
        <f>IF($E276="","",IFERROR(INDEX('Data_SA'!$A:$LO,MATCH(I$2,'Data_SA'!$A:$A,0),MATCH($E276,'Data_SA'!$1:$1,0)),""))</f>
        <v/>
      </c>
      <c r="K276" s="7">
        <f>IF($E276="","",IFERROR(INDEX('Data_SA'!$A:$LO,MATCH(I$2,'Data_SA'!$A:$A,0),MATCH($E276,'Data_SA'!$1:$1,0))/INDEX('Data_SA'!$A:$LO,MATCH(EDATE(I$2,-1),'Data_SA'!$A:$A,0),MATCH($E276,'Data_SA'!$1:$1,0))-1,""))</f>
        <v/>
      </c>
      <c r="L276" s="7">
        <f>IFERROR(INDEX('Data_NSA'!$A:$OK,MATCH(I$2,'Data_NSA'!$A:$A,0),MATCH($D276,'Data_NSA'!$1:$1,0))/INDEX('Data_NSA'!$A:$OK,MATCH(EDATE(I$2,-12),'Data_NSA'!$A:$A,0),MATCH($D276,'Data_NSA'!$1:$1,0))-1,"")</f>
        <v/>
      </c>
      <c r="M276" s="10">
        <f>IFERROR(INDEX('Weights'!$G:$I,MATCH($A276,'Weights'!$A:$A,0),MATCH(I$2,'Weights'!$G$1:$I$1,0)),"")</f>
        <v/>
      </c>
      <c r="N276" s="10">
        <f>IF($E276="","",IFERROR(100*(INDEX('Weights'!$D:$D,MATCH($A276,'Weights'!$A:$A,0))*(INDEX('Data_NSA'!$A:$OK,MATCH(EDATE(I$2,-1),'Data_NSA'!$A:$A,0),MATCH($D276,'Data_NSA'!$1:$1,0))/INDEX('Data_NSA'!$A:$OK,MATCH(INDEX('Weights'!$E:$E,MATCH($A276,'Weights'!$A:$A,0)),'Data_NSA'!$A:$A,0),MATCH($D276,'Data_NSA'!$1:$1,0))))/(100*(INDEX('Data_NSA'!$A:$OK,MATCH(EDATE(I$2,-1),'Data_NSA'!$A:$A,0),MATCH("CUUR0000SA0",'Data_NSA'!$1:$1,0))/INDEX('Data_NSA'!$A:$OK,MATCH(INDEX('Weights'!$E:$E,MATCH($A276,'Weights'!$A:$A,0)),'Data_NSA'!$A:$A,0),MATCH("CUUR0000SA0",'Data_NSA'!$1:$1,0))))*(INDEX('Data_SA'!$A:$LO,MATCH(I$2,'Data_SA'!$A:$A,0),MATCH($E276,'Data_SA'!$1:$1,0))/INDEX('Data_SA'!$A:$LO,MATCH(EDATE(I$2,-1),'Data_SA'!$A:$A,0),MATCH($E276,'Data_SA'!$1:$1,0))-1),""))</f>
        <v/>
      </c>
      <c r="O276" s="10">
        <f>IFERROR(INDEX('Data_NSA'!$A:$OK,MATCH(O$2,'Data_NSA'!$A:$A,0),MATCH($D276,'Data_NSA'!$1:$1,0)),"")</f>
        <v/>
      </c>
      <c r="P276" s="10">
        <f>IF($E276="","",IFERROR(INDEX('Data_SA'!$A:$LO,MATCH(O$2,'Data_SA'!$A:$A,0),MATCH($E276,'Data_SA'!$1:$1,0)),""))</f>
        <v/>
      </c>
      <c r="Q276" s="7">
        <f>IF($E276="","",IFERROR(INDEX('Data_SA'!$A:$LO,MATCH(O$2,'Data_SA'!$A:$A,0),MATCH($E276,'Data_SA'!$1:$1,0))/INDEX('Data_SA'!$A:$LO,MATCH(EDATE(O$2,-1),'Data_SA'!$A:$A,0),MATCH($E276,'Data_SA'!$1:$1,0))-1,""))</f>
        <v/>
      </c>
      <c r="R276" s="7">
        <f>IFERROR(INDEX('Data_NSA'!$A:$OK,MATCH(O$2,'Data_NSA'!$A:$A,0),MATCH($D276,'Data_NSA'!$1:$1,0))/INDEX('Data_NSA'!$A:$OK,MATCH(EDATE(O$2,-12),'Data_NSA'!$A:$A,0),MATCH($D276,'Data_NSA'!$1:$1,0))-1,"")</f>
        <v/>
      </c>
      <c r="S276" s="10">
        <f>IFERROR(INDEX('Weights'!$G:$I,MATCH($A276,'Weights'!$A:$A,0),MATCH(O$2,'Weights'!$G$1:$I$1,0)),"")</f>
        <v/>
      </c>
      <c r="T276" s="10">
        <f>IF($E276="","",IFERROR(100*(INDEX('Weights'!$D:$D,MATCH($A276,'Weights'!$A:$A,0))*(INDEX('Data_NSA'!$A:$OK,MATCH(EDATE(O$2,-1),'Data_NSA'!$A:$A,0),MATCH($D276,'Data_NSA'!$1:$1,0))/INDEX('Data_NSA'!$A:$OK,MATCH(INDEX('Weights'!$E:$E,MATCH($A276,'Weights'!$A:$A,0)),'Data_NSA'!$A:$A,0),MATCH($D276,'Data_NSA'!$1:$1,0))))/(100*(INDEX('Data_NSA'!$A:$OK,MATCH(EDATE(O$2,-1),'Data_NSA'!$A:$A,0),MATCH("CUUR0000SA0",'Data_NSA'!$1:$1,0))/INDEX('Data_NSA'!$A:$OK,MATCH(INDEX('Weights'!$E:$E,MATCH($A276,'Weights'!$A:$A,0)),'Data_NSA'!$A:$A,0),MATCH("CUUR0000SA0",'Data_NSA'!$1:$1,0))))*(INDEX('Data_SA'!$A:$LO,MATCH(O$2,'Data_SA'!$A:$A,0),MATCH($E276,'Data_SA'!$1:$1,0))/INDEX('Data_SA'!$A:$LO,MATCH(EDATE(O$2,-1),'Data_SA'!$A:$A,0),MATCH($E276,'Data_SA'!$1:$1,0))-1),""))</f>
        <v/>
      </c>
      <c r="U276" s="10">
        <f>IFERROR(INDEX('Data_NSA'!$A:$OK,MATCH(U$2,'Data_NSA'!$A:$A,0),MATCH($D276,'Data_NSA'!$1:$1,0)),"")</f>
        <v/>
      </c>
      <c r="V276" s="10">
        <f>IF($E276="","",IFERROR(INDEX('Data_SA'!$A:$LO,MATCH(U$2,'Data_SA'!$A:$A,0),MATCH($E276,'Data_SA'!$1:$1,0)),""))</f>
        <v/>
      </c>
      <c r="W276" s="7">
        <f>IF($E276="","",IFERROR(INDEX('Data_SA'!$A:$LO,MATCH(U$2,'Data_SA'!$A:$A,0),MATCH($E276,'Data_SA'!$1:$1,0))/INDEX('Data_SA'!$A:$LO,MATCH(EDATE(U$2,-1),'Data_SA'!$A:$A,0),MATCH($E276,'Data_SA'!$1:$1,0))-1,""))</f>
        <v/>
      </c>
      <c r="X276" s="7">
        <f>IFERROR(INDEX('Data_NSA'!$A:$OK,MATCH(U$2,'Data_NSA'!$A:$A,0),MATCH($D276,'Data_NSA'!$1:$1,0))/INDEX('Data_NSA'!$A:$OK,MATCH(EDATE(U$2,-12),'Data_NSA'!$A:$A,0),MATCH($D276,'Data_NSA'!$1:$1,0))-1,"")</f>
        <v/>
      </c>
      <c r="Y276" s="10">
        <f>IFERROR(INDEX('Weights'!$G:$I,MATCH($A276,'Weights'!$A:$A,0),MATCH(U$2,'Weights'!$G$1:$I$1,0)),"")</f>
        <v/>
      </c>
      <c r="Z276" s="10">
        <f>IF($E276="","",IFERROR(100*(INDEX('Weights'!$D:$D,MATCH($A276,'Weights'!$A:$A,0))*(INDEX('Data_NSA'!$A:$OK,MATCH(EDATE(U$2,-1),'Data_NSA'!$A:$A,0),MATCH($D276,'Data_NSA'!$1:$1,0))/INDEX('Data_NSA'!$A:$OK,MATCH(INDEX('Weights'!$E:$E,MATCH($A276,'Weights'!$A:$A,0)),'Data_NSA'!$A:$A,0),MATCH($D276,'Data_NSA'!$1:$1,0))))/(100*(INDEX('Data_NSA'!$A:$OK,MATCH(EDATE(U$2,-1),'Data_NSA'!$A:$A,0),MATCH("CUUR0000SA0",'Data_NSA'!$1:$1,0))/INDEX('Data_NSA'!$A:$OK,MATCH(INDEX('Weights'!$E:$E,MATCH($A276,'Weights'!$A:$A,0)),'Data_NSA'!$A:$A,0),MATCH("CUUR0000SA0",'Data_NSA'!$1:$1,0))))*(INDEX('Data_SA'!$A:$LO,MATCH(U$2,'Data_SA'!$A:$A,0),MATCH($E276,'Data_SA'!$1:$1,0))/INDEX('Data_SA'!$A:$LO,MATCH(EDATE(U$2,-1),'Data_SA'!$A:$A,0),MATCH($E276,'Data_SA'!$1:$1,0))-1),""))</f>
        <v/>
      </c>
    </row>
    <row r="277">
      <c r="A277" s="3" t="inlineStr">
        <is>
          <t>SERA04</t>
        </is>
      </c>
      <c r="B277" s="3" t="inlineStr">
        <is>
          <t>Purchase, subscription, and rental of video</t>
        </is>
      </c>
      <c r="C277" s="3" t="inlineStr">
        <is>
          <t>SERA</t>
        </is>
      </c>
      <c r="D277" s="3" t="inlineStr">
        <is>
          <t>CUUR0000SERA04</t>
        </is>
      </c>
      <c r="E277" s="3" t="inlineStr"/>
      <c r="F277" s="3" t="inlineStr">
        <is>
          <t>aggregate</t>
        </is>
      </c>
      <c r="G277" s="3" t="inlineStr">
        <is>
          <t>aggregate</t>
        </is>
      </c>
      <c r="H277" s="10">
        <f>IFERROR(INDEX(Weights!$D:$D,MATCH($A277,Weights!$A:$A,0)),"")</f>
        <v/>
      </c>
      <c r="I277" s="10">
        <f>IFERROR(INDEX('Data_NSA'!$A:$OK,MATCH(I$2,'Data_NSA'!$A:$A,0),MATCH($D277,'Data_NSA'!$1:$1,0)),"")</f>
        <v/>
      </c>
      <c r="J277" s="10">
        <f>IF($E277="","",IFERROR(INDEX('Data_SA'!$A:$LO,MATCH(I$2,'Data_SA'!$A:$A,0),MATCH($E277,'Data_SA'!$1:$1,0)),""))</f>
        <v/>
      </c>
      <c r="K277" s="7">
        <f>IF($E277="","",IFERROR(INDEX('Data_SA'!$A:$LO,MATCH(I$2,'Data_SA'!$A:$A,0),MATCH($E277,'Data_SA'!$1:$1,0))/INDEX('Data_SA'!$A:$LO,MATCH(EDATE(I$2,-1),'Data_SA'!$A:$A,0),MATCH($E277,'Data_SA'!$1:$1,0))-1,""))</f>
        <v/>
      </c>
      <c r="L277" s="7">
        <f>IFERROR(INDEX('Data_NSA'!$A:$OK,MATCH(I$2,'Data_NSA'!$A:$A,0),MATCH($D277,'Data_NSA'!$1:$1,0))/INDEX('Data_NSA'!$A:$OK,MATCH(EDATE(I$2,-12),'Data_NSA'!$A:$A,0),MATCH($D277,'Data_NSA'!$1:$1,0))-1,"")</f>
        <v/>
      </c>
      <c r="M277" s="10">
        <f>IFERROR(INDEX('Weights'!$G:$I,MATCH($A277,'Weights'!$A:$A,0),MATCH(I$2,'Weights'!$G$1:$I$1,0)),"")</f>
        <v/>
      </c>
      <c r="N277" s="10">
        <f>IF($E277="","",IFERROR(100*(INDEX('Weights'!$D:$D,MATCH($A277,'Weights'!$A:$A,0))*(INDEX('Data_NSA'!$A:$OK,MATCH(EDATE(I$2,-1),'Data_NSA'!$A:$A,0),MATCH($D277,'Data_NSA'!$1:$1,0))/INDEX('Data_NSA'!$A:$OK,MATCH(INDEX('Weights'!$E:$E,MATCH($A277,'Weights'!$A:$A,0)),'Data_NSA'!$A:$A,0),MATCH($D277,'Data_NSA'!$1:$1,0))))/(100*(INDEX('Data_NSA'!$A:$OK,MATCH(EDATE(I$2,-1),'Data_NSA'!$A:$A,0),MATCH("CUUR0000SA0",'Data_NSA'!$1:$1,0))/INDEX('Data_NSA'!$A:$OK,MATCH(INDEX('Weights'!$E:$E,MATCH($A277,'Weights'!$A:$A,0)),'Data_NSA'!$A:$A,0),MATCH("CUUR0000SA0",'Data_NSA'!$1:$1,0))))*(INDEX('Data_SA'!$A:$LO,MATCH(I$2,'Data_SA'!$A:$A,0),MATCH($E277,'Data_SA'!$1:$1,0))/INDEX('Data_SA'!$A:$LO,MATCH(EDATE(I$2,-1),'Data_SA'!$A:$A,0),MATCH($E277,'Data_SA'!$1:$1,0))-1),""))</f>
        <v/>
      </c>
      <c r="O277" s="10">
        <f>IFERROR(INDEX('Data_NSA'!$A:$OK,MATCH(O$2,'Data_NSA'!$A:$A,0),MATCH($D277,'Data_NSA'!$1:$1,0)),"")</f>
        <v/>
      </c>
      <c r="P277" s="10">
        <f>IF($E277="","",IFERROR(INDEX('Data_SA'!$A:$LO,MATCH(O$2,'Data_SA'!$A:$A,0),MATCH($E277,'Data_SA'!$1:$1,0)),""))</f>
        <v/>
      </c>
      <c r="Q277" s="7">
        <f>IF($E277="","",IFERROR(INDEX('Data_SA'!$A:$LO,MATCH(O$2,'Data_SA'!$A:$A,0),MATCH($E277,'Data_SA'!$1:$1,0))/INDEX('Data_SA'!$A:$LO,MATCH(EDATE(O$2,-1),'Data_SA'!$A:$A,0),MATCH($E277,'Data_SA'!$1:$1,0))-1,""))</f>
        <v/>
      </c>
      <c r="R277" s="7">
        <f>IFERROR(INDEX('Data_NSA'!$A:$OK,MATCH(O$2,'Data_NSA'!$A:$A,0),MATCH($D277,'Data_NSA'!$1:$1,0))/INDEX('Data_NSA'!$A:$OK,MATCH(EDATE(O$2,-12),'Data_NSA'!$A:$A,0),MATCH($D277,'Data_NSA'!$1:$1,0))-1,"")</f>
        <v/>
      </c>
      <c r="S277" s="10">
        <f>IFERROR(INDEX('Weights'!$G:$I,MATCH($A277,'Weights'!$A:$A,0),MATCH(O$2,'Weights'!$G$1:$I$1,0)),"")</f>
        <v/>
      </c>
      <c r="T277" s="10">
        <f>IF($E277="","",IFERROR(100*(INDEX('Weights'!$D:$D,MATCH($A277,'Weights'!$A:$A,0))*(INDEX('Data_NSA'!$A:$OK,MATCH(EDATE(O$2,-1),'Data_NSA'!$A:$A,0),MATCH($D277,'Data_NSA'!$1:$1,0))/INDEX('Data_NSA'!$A:$OK,MATCH(INDEX('Weights'!$E:$E,MATCH($A277,'Weights'!$A:$A,0)),'Data_NSA'!$A:$A,0),MATCH($D277,'Data_NSA'!$1:$1,0))))/(100*(INDEX('Data_NSA'!$A:$OK,MATCH(EDATE(O$2,-1),'Data_NSA'!$A:$A,0),MATCH("CUUR0000SA0",'Data_NSA'!$1:$1,0))/INDEX('Data_NSA'!$A:$OK,MATCH(INDEX('Weights'!$E:$E,MATCH($A277,'Weights'!$A:$A,0)),'Data_NSA'!$A:$A,0),MATCH("CUUR0000SA0",'Data_NSA'!$1:$1,0))))*(INDEX('Data_SA'!$A:$LO,MATCH(O$2,'Data_SA'!$A:$A,0),MATCH($E277,'Data_SA'!$1:$1,0))/INDEX('Data_SA'!$A:$LO,MATCH(EDATE(O$2,-1),'Data_SA'!$A:$A,0),MATCH($E277,'Data_SA'!$1:$1,0))-1),""))</f>
        <v/>
      </c>
      <c r="U277" s="10">
        <f>IFERROR(INDEX('Data_NSA'!$A:$OK,MATCH(U$2,'Data_NSA'!$A:$A,0),MATCH($D277,'Data_NSA'!$1:$1,0)),"")</f>
        <v/>
      </c>
      <c r="V277" s="10">
        <f>IF($E277="","",IFERROR(INDEX('Data_SA'!$A:$LO,MATCH(U$2,'Data_SA'!$A:$A,0),MATCH($E277,'Data_SA'!$1:$1,0)),""))</f>
        <v/>
      </c>
      <c r="W277" s="7">
        <f>IF($E277="","",IFERROR(INDEX('Data_SA'!$A:$LO,MATCH(U$2,'Data_SA'!$A:$A,0),MATCH($E277,'Data_SA'!$1:$1,0))/INDEX('Data_SA'!$A:$LO,MATCH(EDATE(U$2,-1),'Data_SA'!$A:$A,0),MATCH($E277,'Data_SA'!$1:$1,0))-1,""))</f>
        <v/>
      </c>
      <c r="X277" s="7">
        <f>IFERROR(INDEX('Data_NSA'!$A:$OK,MATCH(U$2,'Data_NSA'!$A:$A,0),MATCH($D277,'Data_NSA'!$1:$1,0))/INDEX('Data_NSA'!$A:$OK,MATCH(EDATE(U$2,-12),'Data_NSA'!$A:$A,0),MATCH($D277,'Data_NSA'!$1:$1,0))-1,"")</f>
        <v/>
      </c>
      <c r="Y277" s="10">
        <f>IFERROR(INDEX('Weights'!$G:$I,MATCH($A277,'Weights'!$A:$A,0),MATCH(U$2,'Weights'!$G$1:$I$1,0)),"")</f>
        <v/>
      </c>
      <c r="Z277" s="10">
        <f>IF($E277="","",IFERROR(100*(INDEX('Weights'!$D:$D,MATCH($A277,'Weights'!$A:$A,0))*(INDEX('Data_NSA'!$A:$OK,MATCH(EDATE(U$2,-1),'Data_NSA'!$A:$A,0),MATCH($D277,'Data_NSA'!$1:$1,0))/INDEX('Data_NSA'!$A:$OK,MATCH(INDEX('Weights'!$E:$E,MATCH($A277,'Weights'!$A:$A,0)),'Data_NSA'!$A:$A,0),MATCH($D277,'Data_NSA'!$1:$1,0))))/(100*(INDEX('Data_NSA'!$A:$OK,MATCH(EDATE(U$2,-1),'Data_NSA'!$A:$A,0),MATCH("CUUR0000SA0",'Data_NSA'!$1:$1,0))/INDEX('Data_NSA'!$A:$OK,MATCH(INDEX('Weights'!$E:$E,MATCH($A277,'Weights'!$A:$A,0)),'Data_NSA'!$A:$A,0),MATCH("CUUR0000SA0",'Data_NSA'!$1:$1,0))))*(INDEX('Data_SA'!$A:$LO,MATCH(U$2,'Data_SA'!$A:$A,0),MATCH($E277,'Data_SA'!$1:$1,0))/INDEX('Data_SA'!$A:$LO,MATCH(EDATE(U$2,-1),'Data_SA'!$A:$A,0),MATCH($E277,'Data_SA'!$1:$1,0))-1),""))</f>
        <v/>
      </c>
    </row>
    <row r="278">
      <c r="A278" s="3" t="inlineStr">
        <is>
          <t>SS31022</t>
        </is>
      </c>
      <c r="B278" s="3" t="inlineStr">
        <is>
          <t>Video discs and other media</t>
        </is>
      </c>
      <c r="C278" s="3" t="inlineStr">
        <is>
          <t>SERA04</t>
        </is>
      </c>
      <c r="D278" s="3" t="inlineStr">
        <is>
          <t>CUUR0000SS31022</t>
        </is>
      </c>
      <c r="E278" s="3" t="inlineStr"/>
      <c r="F278" s="3" t="inlineStr">
        <is>
          <t>GM</t>
        </is>
      </c>
      <c r="G278" s="3" t="inlineStr">
        <is>
          <t>monthly in New York/Los Angeles/Chicago; often bimonthly elsewhere</t>
        </is>
      </c>
      <c r="H278" s="10">
        <f>IFERROR(INDEX(Weights!$D:$D,MATCH($A278,Weights!$A:$A,0)),"")</f>
        <v/>
      </c>
      <c r="I278" s="10">
        <f>IFERROR(INDEX('Data_NSA'!$A:$OK,MATCH(I$2,'Data_NSA'!$A:$A,0),MATCH($D278,'Data_NSA'!$1:$1,0)),"")</f>
        <v/>
      </c>
      <c r="J278" s="10">
        <f>IF($E278="","",IFERROR(INDEX('Data_SA'!$A:$LO,MATCH(I$2,'Data_SA'!$A:$A,0),MATCH($E278,'Data_SA'!$1:$1,0)),""))</f>
        <v/>
      </c>
      <c r="K278" s="7">
        <f>IF($E278="","",IFERROR(INDEX('Data_SA'!$A:$LO,MATCH(I$2,'Data_SA'!$A:$A,0),MATCH($E278,'Data_SA'!$1:$1,0))/INDEX('Data_SA'!$A:$LO,MATCH(EDATE(I$2,-1),'Data_SA'!$A:$A,0),MATCH($E278,'Data_SA'!$1:$1,0))-1,""))</f>
        <v/>
      </c>
      <c r="L278" s="7">
        <f>IFERROR(INDEX('Data_NSA'!$A:$OK,MATCH(I$2,'Data_NSA'!$A:$A,0),MATCH($D278,'Data_NSA'!$1:$1,0))/INDEX('Data_NSA'!$A:$OK,MATCH(EDATE(I$2,-12),'Data_NSA'!$A:$A,0),MATCH($D278,'Data_NSA'!$1:$1,0))-1,"")</f>
        <v/>
      </c>
      <c r="M278" s="10">
        <f>IFERROR(INDEX('Weights'!$G:$I,MATCH($A278,'Weights'!$A:$A,0),MATCH(I$2,'Weights'!$G$1:$I$1,0)),"")</f>
        <v/>
      </c>
      <c r="N278" s="10">
        <f>IF($E278="","",IFERROR(100*(INDEX('Weights'!$D:$D,MATCH($A278,'Weights'!$A:$A,0))*(INDEX('Data_NSA'!$A:$OK,MATCH(EDATE(I$2,-1),'Data_NSA'!$A:$A,0),MATCH($D278,'Data_NSA'!$1:$1,0))/INDEX('Data_NSA'!$A:$OK,MATCH(INDEX('Weights'!$E:$E,MATCH($A278,'Weights'!$A:$A,0)),'Data_NSA'!$A:$A,0),MATCH($D278,'Data_NSA'!$1:$1,0))))/(100*(INDEX('Data_NSA'!$A:$OK,MATCH(EDATE(I$2,-1),'Data_NSA'!$A:$A,0),MATCH("CUUR0000SA0",'Data_NSA'!$1:$1,0))/INDEX('Data_NSA'!$A:$OK,MATCH(INDEX('Weights'!$E:$E,MATCH($A278,'Weights'!$A:$A,0)),'Data_NSA'!$A:$A,0),MATCH("CUUR0000SA0",'Data_NSA'!$1:$1,0))))*(INDEX('Data_SA'!$A:$LO,MATCH(I$2,'Data_SA'!$A:$A,0),MATCH($E278,'Data_SA'!$1:$1,0))/INDEX('Data_SA'!$A:$LO,MATCH(EDATE(I$2,-1),'Data_SA'!$A:$A,0),MATCH($E278,'Data_SA'!$1:$1,0))-1),""))</f>
        <v/>
      </c>
      <c r="O278" s="10">
        <f>IFERROR(INDEX('Data_NSA'!$A:$OK,MATCH(O$2,'Data_NSA'!$A:$A,0),MATCH($D278,'Data_NSA'!$1:$1,0)),"")</f>
        <v/>
      </c>
      <c r="P278" s="10">
        <f>IF($E278="","",IFERROR(INDEX('Data_SA'!$A:$LO,MATCH(O$2,'Data_SA'!$A:$A,0),MATCH($E278,'Data_SA'!$1:$1,0)),""))</f>
        <v/>
      </c>
      <c r="Q278" s="7">
        <f>IF($E278="","",IFERROR(INDEX('Data_SA'!$A:$LO,MATCH(O$2,'Data_SA'!$A:$A,0),MATCH($E278,'Data_SA'!$1:$1,0))/INDEX('Data_SA'!$A:$LO,MATCH(EDATE(O$2,-1),'Data_SA'!$A:$A,0),MATCH($E278,'Data_SA'!$1:$1,0))-1,""))</f>
        <v/>
      </c>
      <c r="R278" s="7">
        <f>IFERROR(INDEX('Data_NSA'!$A:$OK,MATCH(O$2,'Data_NSA'!$A:$A,0),MATCH($D278,'Data_NSA'!$1:$1,0))/INDEX('Data_NSA'!$A:$OK,MATCH(EDATE(O$2,-12),'Data_NSA'!$A:$A,0),MATCH($D278,'Data_NSA'!$1:$1,0))-1,"")</f>
        <v/>
      </c>
      <c r="S278" s="10">
        <f>IFERROR(INDEX('Weights'!$G:$I,MATCH($A278,'Weights'!$A:$A,0),MATCH(O$2,'Weights'!$G$1:$I$1,0)),"")</f>
        <v/>
      </c>
      <c r="T278" s="10">
        <f>IF($E278="","",IFERROR(100*(INDEX('Weights'!$D:$D,MATCH($A278,'Weights'!$A:$A,0))*(INDEX('Data_NSA'!$A:$OK,MATCH(EDATE(O$2,-1),'Data_NSA'!$A:$A,0),MATCH($D278,'Data_NSA'!$1:$1,0))/INDEX('Data_NSA'!$A:$OK,MATCH(INDEX('Weights'!$E:$E,MATCH($A278,'Weights'!$A:$A,0)),'Data_NSA'!$A:$A,0),MATCH($D278,'Data_NSA'!$1:$1,0))))/(100*(INDEX('Data_NSA'!$A:$OK,MATCH(EDATE(O$2,-1),'Data_NSA'!$A:$A,0),MATCH("CUUR0000SA0",'Data_NSA'!$1:$1,0))/INDEX('Data_NSA'!$A:$OK,MATCH(INDEX('Weights'!$E:$E,MATCH($A278,'Weights'!$A:$A,0)),'Data_NSA'!$A:$A,0),MATCH("CUUR0000SA0",'Data_NSA'!$1:$1,0))))*(INDEX('Data_SA'!$A:$LO,MATCH(O$2,'Data_SA'!$A:$A,0),MATCH($E278,'Data_SA'!$1:$1,0))/INDEX('Data_SA'!$A:$LO,MATCH(EDATE(O$2,-1),'Data_SA'!$A:$A,0),MATCH($E278,'Data_SA'!$1:$1,0))-1),""))</f>
        <v/>
      </c>
      <c r="U278" s="10">
        <f>IFERROR(INDEX('Data_NSA'!$A:$OK,MATCH(U$2,'Data_NSA'!$A:$A,0),MATCH($D278,'Data_NSA'!$1:$1,0)),"")</f>
        <v/>
      </c>
      <c r="V278" s="10">
        <f>IF($E278="","",IFERROR(INDEX('Data_SA'!$A:$LO,MATCH(U$2,'Data_SA'!$A:$A,0),MATCH($E278,'Data_SA'!$1:$1,0)),""))</f>
        <v/>
      </c>
      <c r="W278" s="7">
        <f>IF($E278="","",IFERROR(INDEX('Data_SA'!$A:$LO,MATCH(U$2,'Data_SA'!$A:$A,0),MATCH($E278,'Data_SA'!$1:$1,0))/INDEX('Data_SA'!$A:$LO,MATCH(EDATE(U$2,-1),'Data_SA'!$A:$A,0),MATCH($E278,'Data_SA'!$1:$1,0))-1,""))</f>
        <v/>
      </c>
      <c r="X278" s="7">
        <f>IFERROR(INDEX('Data_NSA'!$A:$OK,MATCH(U$2,'Data_NSA'!$A:$A,0),MATCH($D278,'Data_NSA'!$1:$1,0))/INDEX('Data_NSA'!$A:$OK,MATCH(EDATE(U$2,-12),'Data_NSA'!$A:$A,0),MATCH($D278,'Data_NSA'!$1:$1,0))-1,"")</f>
        <v/>
      </c>
      <c r="Y278" s="10">
        <f>IFERROR(INDEX('Weights'!$G:$I,MATCH($A278,'Weights'!$A:$A,0),MATCH(U$2,'Weights'!$G$1:$I$1,0)),"")</f>
        <v/>
      </c>
      <c r="Z278" s="10">
        <f>IF($E278="","",IFERROR(100*(INDEX('Weights'!$D:$D,MATCH($A278,'Weights'!$A:$A,0))*(INDEX('Data_NSA'!$A:$OK,MATCH(EDATE(U$2,-1),'Data_NSA'!$A:$A,0),MATCH($D278,'Data_NSA'!$1:$1,0))/INDEX('Data_NSA'!$A:$OK,MATCH(INDEX('Weights'!$E:$E,MATCH($A278,'Weights'!$A:$A,0)),'Data_NSA'!$A:$A,0),MATCH($D278,'Data_NSA'!$1:$1,0))))/(100*(INDEX('Data_NSA'!$A:$OK,MATCH(EDATE(U$2,-1),'Data_NSA'!$A:$A,0),MATCH("CUUR0000SA0",'Data_NSA'!$1:$1,0))/INDEX('Data_NSA'!$A:$OK,MATCH(INDEX('Weights'!$E:$E,MATCH($A278,'Weights'!$A:$A,0)),'Data_NSA'!$A:$A,0),MATCH("CUUR0000SA0",'Data_NSA'!$1:$1,0))))*(INDEX('Data_SA'!$A:$LO,MATCH(U$2,'Data_SA'!$A:$A,0),MATCH($E278,'Data_SA'!$1:$1,0))/INDEX('Data_SA'!$A:$LO,MATCH(EDATE(U$2,-1),'Data_SA'!$A:$A,0),MATCH($E278,'Data_SA'!$1:$1,0))-1),""))</f>
        <v/>
      </c>
    </row>
    <row r="279">
      <c r="A279" s="3" t="inlineStr">
        <is>
          <t>SS62055</t>
        </is>
      </c>
      <c r="B279" s="3" t="inlineStr">
        <is>
          <t>Subscription and rental of video and video games</t>
        </is>
      </c>
      <c r="C279" s="3" t="inlineStr">
        <is>
          <t>SERA04</t>
        </is>
      </c>
      <c r="D279" s="3" t="inlineStr">
        <is>
          <t>CUUR0000SS62055</t>
        </is>
      </c>
      <c r="E279" s="3" t="inlineStr"/>
      <c r="F279" s="3" t="inlineStr">
        <is>
          <t>GM</t>
        </is>
      </c>
      <c r="G279" s="3" t="inlineStr">
        <is>
          <t>monthly in New York/Los Angeles/Chicago; often bimonthly elsewhere</t>
        </is>
      </c>
      <c r="H279" s="10">
        <f>IFERROR(INDEX(Weights!$D:$D,MATCH($A279,Weights!$A:$A,0)),"")</f>
        <v/>
      </c>
      <c r="I279" s="10">
        <f>IFERROR(INDEX('Data_NSA'!$A:$OK,MATCH(I$2,'Data_NSA'!$A:$A,0),MATCH($D279,'Data_NSA'!$1:$1,0)),"")</f>
        <v/>
      </c>
      <c r="J279" s="10">
        <f>IF($E279="","",IFERROR(INDEX('Data_SA'!$A:$LO,MATCH(I$2,'Data_SA'!$A:$A,0),MATCH($E279,'Data_SA'!$1:$1,0)),""))</f>
        <v/>
      </c>
      <c r="K279" s="7">
        <f>IF($E279="","",IFERROR(INDEX('Data_SA'!$A:$LO,MATCH(I$2,'Data_SA'!$A:$A,0),MATCH($E279,'Data_SA'!$1:$1,0))/INDEX('Data_SA'!$A:$LO,MATCH(EDATE(I$2,-1),'Data_SA'!$A:$A,0),MATCH($E279,'Data_SA'!$1:$1,0))-1,""))</f>
        <v/>
      </c>
      <c r="L279" s="7">
        <f>IFERROR(INDEX('Data_NSA'!$A:$OK,MATCH(I$2,'Data_NSA'!$A:$A,0),MATCH($D279,'Data_NSA'!$1:$1,0))/INDEX('Data_NSA'!$A:$OK,MATCH(EDATE(I$2,-12),'Data_NSA'!$A:$A,0),MATCH($D279,'Data_NSA'!$1:$1,0))-1,"")</f>
        <v/>
      </c>
      <c r="M279" s="10">
        <f>IFERROR(INDEX('Weights'!$G:$I,MATCH($A279,'Weights'!$A:$A,0),MATCH(I$2,'Weights'!$G$1:$I$1,0)),"")</f>
        <v/>
      </c>
      <c r="N279" s="10">
        <f>IF($E279="","",IFERROR(100*(INDEX('Weights'!$D:$D,MATCH($A279,'Weights'!$A:$A,0))*(INDEX('Data_NSA'!$A:$OK,MATCH(EDATE(I$2,-1),'Data_NSA'!$A:$A,0),MATCH($D279,'Data_NSA'!$1:$1,0))/INDEX('Data_NSA'!$A:$OK,MATCH(INDEX('Weights'!$E:$E,MATCH($A279,'Weights'!$A:$A,0)),'Data_NSA'!$A:$A,0),MATCH($D279,'Data_NSA'!$1:$1,0))))/(100*(INDEX('Data_NSA'!$A:$OK,MATCH(EDATE(I$2,-1),'Data_NSA'!$A:$A,0),MATCH("CUUR0000SA0",'Data_NSA'!$1:$1,0))/INDEX('Data_NSA'!$A:$OK,MATCH(INDEX('Weights'!$E:$E,MATCH($A279,'Weights'!$A:$A,0)),'Data_NSA'!$A:$A,0),MATCH("CUUR0000SA0",'Data_NSA'!$1:$1,0))))*(INDEX('Data_SA'!$A:$LO,MATCH(I$2,'Data_SA'!$A:$A,0),MATCH($E279,'Data_SA'!$1:$1,0))/INDEX('Data_SA'!$A:$LO,MATCH(EDATE(I$2,-1),'Data_SA'!$A:$A,0),MATCH($E279,'Data_SA'!$1:$1,0))-1),""))</f>
        <v/>
      </c>
      <c r="O279" s="10">
        <f>IFERROR(INDEX('Data_NSA'!$A:$OK,MATCH(O$2,'Data_NSA'!$A:$A,0),MATCH($D279,'Data_NSA'!$1:$1,0)),"")</f>
        <v/>
      </c>
      <c r="P279" s="10">
        <f>IF($E279="","",IFERROR(INDEX('Data_SA'!$A:$LO,MATCH(O$2,'Data_SA'!$A:$A,0),MATCH($E279,'Data_SA'!$1:$1,0)),""))</f>
        <v/>
      </c>
      <c r="Q279" s="7">
        <f>IF($E279="","",IFERROR(INDEX('Data_SA'!$A:$LO,MATCH(O$2,'Data_SA'!$A:$A,0),MATCH($E279,'Data_SA'!$1:$1,0))/INDEX('Data_SA'!$A:$LO,MATCH(EDATE(O$2,-1),'Data_SA'!$A:$A,0),MATCH($E279,'Data_SA'!$1:$1,0))-1,""))</f>
        <v/>
      </c>
      <c r="R279" s="7">
        <f>IFERROR(INDEX('Data_NSA'!$A:$OK,MATCH(O$2,'Data_NSA'!$A:$A,0),MATCH($D279,'Data_NSA'!$1:$1,0))/INDEX('Data_NSA'!$A:$OK,MATCH(EDATE(O$2,-12),'Data_NSA'!$A:$A,0),MATCH($D279,'Data_NSA'!$1:$1,0))-1,"")</f>
        <v/>
      </c>
      <c r="S279" s="10">
        <f>IFERROR(INDEX('Weights'!$G:$I,MATCH($A279,'Weights'!$A:$A,0),MATCH(O$2,'Weights'!$G$1:$I$1,0)),"")</f>
        <v/>
      </c>
      <c r="T279" s="10">
        <f>IF($E279="","",IFERROR(100*(INDEX('Weights'!$D:$D,MATCH($A279,'Weights'!$A:$A,0))*(INDEX('Data_NSA'!$A:$OK,MATCH(EDATE(O$2,-1),'Data_NSA'!$A:$A,0),MATCH($D279,'Data_NSA'!$1:$1,0))/INDEX('Data_NSA'!$A:$OK,MATCH(INDEX('Weights'!$E:$E,MATCH($A279,'Weights'!$A:$A,0)),'Data_NSA'!$A:$A,0),MATCH($D279,'Data_NSA'!$1:$1,0))))/(100*(INDEX('Data_NSA'!$A:$OK,MATCH(EDATE(O$2,-1),'Data_NSA'!$A:$A,0),MATCH("CUUR0000SA0",'Data_NSA'!$1:$1,0))/INDEX('Data_NSA'!$A:$OK,MATCH(INDEX('Weights'!$E:$E,MATCH($A279,'Weights'!$A:$A,0)),'Data_NSA'!$A:$A,0),MATCH("CUUR0000SA0",'Data_NSA'!$1:$1,0))))*(INDEX('Data_SA'!$A:$LO,MATCH(O$2,'Data_SA'!$A:$A,0),MATCH($E279,'Data_SA'!$1:$1,0))/INDEX('Data_SA'!$A:$LO,MATCH(EDATE(O$2,-1),'Data_SA'!$A:$A,0),MATCH($E279,'Data_SA'!$1:$1,0))-1),""))</f>
        <v/>
      </c>
      <c r="U279" s="10">
        <f>IFERROR(INDEX('Data_NSA'!$A:$OK,MATCH(U$2,'Data_NSA'!$A:$A,0),MATCH($D279,'Data_NSA'!$1:$1,0)),"")</f>
        <v/>
      </c>
      <c r="V279" s="10">
        <f>IF($E279="","",IFERROR(INDEX('Data_SA'!$A:$LO,MATCH(U$2,'Data_SA'!$A:$A,0),MATCH($E279,'Data_SA'!$1:$1,0)),""))</f>
        <v/>
      </c>
      <c r="W279" s="7">
        <f>IF($E279="","",IFERROR(INDEX('Data_SA'!$A:$LO,MATCH(U$2,'Data_SA'!$A:$A,0),MATCH($E279,'Data_SA'!$1:$1,0))/INDEX('Data_SA'!$A:$LO,MATCH(EDATE(U$2,-1),'Data_SA'!$A:$A,0),MATCH($E279,'Data_SA'!$1:$1,0))-1,""))</f>
        <v/>
      </c>
      <c r="X279" s="7">
        <f>IFERROR(INDEX('Data_NSA'!$A:$OK,MATCH(U$2,'Data_NSA'!$A:$A,0),MATCH($D279,'Data_NSA'!$1:$1,0))/INDEX('Data_NSA'!$A:$OK,MATCH(EDATE(U$2,-12),'Data_NSA'!$A:$A,0),MATCH($D279,'Data_NSA'!$1:$1,0))-1,"")</f>
        <v/>
      </c>
      <c r="Y279" s="10">
        <f>IFERROR(INDEX('Weights'!$G:$I,MATCH($A279,'Weights'!$A:$A,0),MATCH(U$2,'Weights'!$G$1:$I$1,0)),"")</f>
        <v/>
      </c>
      <c r="Z279" s="10">
        <f>IF($E279="","",IFERROR(100*(INDEX('Weights'!$D:$D,MATCH($A279,'Weights'!$A:$A,0))*(INDEX('Data_NSA'!$A:$OK,MATCH(EDATE(U$2,-1),'Data_NSA'!$A:$A,0),MATCH($D279,'Data_NSA'!$1:$1,0))/INDEX('Data_NSA'!$A:$OK,MATCH(INDEX('Weights'!$E:$E,MATCH($A279,'Weights'!$A:$A,0)),'Data_NSA'!$A:$A,0),MATCH($D279,'Data_NSA'!$1:$1,0))))/(100*(INDEX('Data_NSA'!$A:$OK,MATCH(EDATE(U$2,-1),'Data_NSA'!$A:$A,0),MATCH("CUUR0000SA0",'Data_NSA'!$1:$1,0))/INDEX('Data_NSA'!$A:$OK,MATCH(INDEX('Weights'!$E:$E,MATCH($A279,'Weights'!$A:$A,0)),'Data_NSA'!$A:$A,0),MATCH("CUUR0000SA0",'Data_NSA'!$1:$1,0))))*(INDEX('Data_SA'!$A:$LO,MATCH(U$2,'Data_SA'!$A:$A,0),MATCH($E279,'Data_SA'!$1:$1,0))/INDEX('Data_SA'!$A:$LO,MATCH(EDATE(U$2,-1),'Data_SA'!$A:$A,0),MATCH($E279,'Data_SA'!$1:$1,0))-1),""))</f>
        <v/>
      </c>
    </row>
    <row r="280">
      <c r="A280" s="3" t="inlineStr">
        <is>
          <t>SERA05</t>
        </is>
      </c>
      <c r="B280" s="3" t="inlineStr">
        <is>
          <t>Audio equipment</t>
        </is>
      </c>
      <c r="C280" s="3" t="inlineStr">
        <is>
          <t>SERA</t>
        </is>
      </c>
      <c r="D280" s="3" t="inlineStr">
        <is>
          <t>CUUR0000SERA05</t>
        </is>
      </c>
      <c r="E280" s="3" t="inlineStr">
        <is>
          <t>CUSR0000SERA05</t>
        </is>
      </c>
      <c r="F280" s="3" t="inlineStr">
        <is>
          <t>GM</t>
        </is>
      </c>
      <c r="G280" s="3" t="inlineStr">
        <is>
          <t>monthly in New York/Los Angeles/Chicago; often bimonthly elsewhere</t>
        </is>
      </c>
      <c r="H280" s="10">
        <f>IFERROR(INDEX(Weights!$D:$D,MATCH($A280,Weights!$A:$A,0)),"")</f>
        <v/>
      </c>
      <c r="I280" s="10">
        <f>IFERROR(INDEX('Data_NSA'!$A:$OK,MATCH(I$2,'Data_NSA'!$A:$A,0),MATCH($D280,'Data_NSA'!$1:$1,0)),"")</f>
        <v/>
      </c>
      <c r="J280" s="10">
        <f>IF($E280="","",IFERROR(INDEX('Data_SA'!$A:$LO,MATCH(I$2,'Data_SA'!$A:$A,0),MATCH($E280,'Data_SA'!$1:$1,0)),""))</f>
        <v/>
      </c>
      <c r="K280" s="7">
        <f>IF($E280="","",IFERROR(INDEX('Data_SA'!$A:$LO,MATCH(I$2,'Data_SA'!$A:$A,0),MATCH($E280,'Data_SA'!$1:$1,0))/INDEX('Data_SA'!$A:$LO,MATCH(EDATE(I$2,-1),'Data_SA'!$A:$A,0),MATCH($E280,'Data_SA'!$1:$1,0))-1,""))</f>
        <v/>
      </c>
      <c r="L280" s="7">
        <f>IFERROR(INDEX('Data_NSA'!$A:$OK,MATCH(I$2,'Data_NSA'!$A:$A,0),MATCH($D280,'Data_NSA'!$1:$1,0))/INDEX('Data_NSA'!$A:$OK,MATCH(EDATE(I$2,-12),'Data_NSA'!$A:$A,0),MATCH($D280,'Data_NSA'!$1:$1,0))-1,"")</f>
        <v/>
      </c>
      <c r="M280" s="10">
        <f>IFERROR(INDEX('Weights'!$G:$I,MATCH($A280,'Weights'!$A:$A,0),MATCH(I$2,'Weights'!$G$1:$I$1,0)),"")</f>
        <v/>
      </c>
      <c r="N280" s="10">
        <f>IF($E280="","",IFERROR(100*(INDEX('Weights'!$D:$D,MATCH($A280,'Weights'!$A:$A,0))*(INDEX('Data_NSA'!$A:$OK,MATCH(EDATE(I$2,-1),'Data_NSA'!$A:$A,0),MATCH($D280,'Data_NSA'!$1:$1,0))/INDEX('Data_NSA'!$A:$OK,MATCH(INDEX('Weights'!$E:$E,MATCH($A280,'Weights'!$A:$A,0)),'Data_NSA'!$A:$A,0),MATCH($D280,'Data_NSA'!$1:$1,0))))/(100*(INDEX('Data_NSA'!$A:$OK,MATCH(EDATE(I$2,-1),'Data_NSA'!$A:$A,0),MATCH("CUUR0000SA0",'Data_NSA'!$1:$1,0))/INDEX('Data_NSA'!$A:$OK,MATCH(INDEX('Weights'!$E:$E,MATCH($A280,'Weights'!$A:$A,0)),'Data_NSA'!$A:$A,0),MATCH("CUUR0000SA0",'Data_NSA'!$1:$1,0))))*(INDEX('Data_SA'!$A:$LO,MATCH(I$2,'Data_SA'!$A:$A,0),MATCH($E280,'Data_SA'!$1:$1,0))/INDEX('Data_SA'!$A:$LO,MATCH(EDATE(I$2,-1),'Data_SA'!$A:$A,0),MATCH($E280,'Data_SA'!$1:$1,0))-1),""))</f>
        <v/>
      </c>
      <c r="O280" s="10">
        <f>IFERROR(INDEX('Data_NSA'!$A:$OK,MATCH(O$2,'Data_NSA'!$A:$A,0),MATCH($D280,'Data_NSA'!$1:$1,0)),"")</f>
        <v/>
      </c>
      <c r="P280" s="10">
        <f>IF($E280="","",IFERROR(INDEX('Data_SA'!$A:$LO,MATCH(O$2,'Data_SA'!$A:$A,0),MATCH($E280,'Data_SA'!$1:$1,0)),""))</f>
        <v/>
      </c>
      <c r="Q280" s="7">
        <f>IF($E280="","",IFERROR(INDEX('Data_SA'!$A:$LO,MATCH(O$2,'Data_SA'!$A:$A,0),MATCH($E280,'Data_SA'!$1:$1,0))/INDEX('Data_SA'!$A:$LO,MATCH(EDATE(O$2,-1),'Data_SA'!$A:$A,0),MATCH($E280,'Data_SA'!$1:$1,0))-1,""))</f>
        <v/>
      </c>
      <c r="R280" s="7">
        <f>IFERROR(INDEX('Data_NSA'!$A:$OK,MATCH(O$2,'Data_NSA'!$A:$A,0),MATCH($D280,'Data_NSA'!$1:$1,0))/INDEX('Data_NSA'!$A:$OK,MATCH(EDATE(O$2,-12),'Data_NSA'!$A:$A,0),MATCH($D280,'Data_NSA'!$1:$1,0))-1,"")</f>
        <v/>
      </c>
      <c r="S280" s="10">
        <f>IFERROR(INDEX('Weights'!$G:$I,MATCH($A280,'Weights'!$A:$A,0),MATCH(O$2,'Weights'!$G$1:$I$1,0)),"")</f>
        <v/>
      </c>
      <c r="T280" s="10">
        <f>IF($E280="","",IFERROR(100*(INDEX('Weights'!$D:$D,MATCH($A280,'Weights'!$A:$A,0))*(INDEX('Data_NSA'!$A:$OK,MATCH(EDATE(O$2,-1),'Data_NSA'!$A:$A,0),MATCH($D280,'Data_NSA'!$1:$1,0))/INDEX('Data_NSA'!$A:$OK,MATCH(INDEX('Weights'!$E:$E,MATCH($A280,'Weights'!$A:$A,0)),'Data_NSA'!$A:$A,0),MATCH($D280,'Data_NSA'!$1:$1,0))))/(100*(INDEX('Data_NSA'!$A:$OK,MATCH(EDATE(O$2,-1),'Data_NSA'!$A:$A,0),MATCH("CUUR0000SA0",'Data_NSA'!$1:$1,0))/INDEX('Data_NSA'!$A:$OK,MATCH(INDEX('Weights'!$E:$E,MATCH($A280,'Weights'!$A:$A,0)),'Data_NSA'!$A:$A,0),MATCH("CUUR0000SA0",'Data_NSA'!$1:$1,0))))*(INDEX('Data_SA'!$A:$LO,MATCH(O$2,'Data_SA'!$A:$A,0),MATCH($E280,'Data_SA'!$1:$1,0))/INDEX('Data_SA'!$A:$LO,MATCH(EDATE(O$2,-1),'Data_SA'!$A:$A,0),MATCH($E280,'Data_SA'!$1:$1,0))-1),""))</f>
        <v/>
      </c>
      <c r="U280" s="10">
        <f>IFERROR(INDEX('Data_NSA'!$A:$OK,MATCH(U$2,'Data_NSA'!$A:$A,0),MATCH($D280,'Data_NSA'!$1:$1,0)),"")</f>
        <v/>
      </c>
      <c r="V280" s="10">
        <f>IF($E280="","",IFERROR(INDEX('Data_SA'!$A:$LO,MATCH(U$2,'Data_SA'!$A:$A,0),MATCH($E280,'Data_SA'!$1:$1,0)),""))</f>
        <v/>
      </c>
      <c r="W280" s="7">
        <f>IF($E280="","",IFERROR(INDEX('Data_SA'!$A:$LO,MATCH(U$2,'Data_SA'!$A:$A,0),MATCH($E280,'Data_SA'!$1:$1,0))/INDEX('Data_SA'!$A:$LO,MATCH(EDATE(U$2,-1),'Data_SA'!$A:$A,0),MATCH($E280,'Data_SA'!$1:$1,0))-1,""))</f>
        <v/>
      </c>
      <c r="X280" s="7">
        <f>IFERROR(INDEX('Data_NSA'!$A:$OK,MATCH(U$2,'Data_NSA'!$A:$A,0),MATCH($D280,'Data_NSA'!$1:$1,0))/INDEX('Data_NSA'!$A:$OK,MATCH(EDATE(U$2,-12),'Data_NSA'!$A:$A,0),MATCH($D280,'Data_NSA'!$1:$1,0))-1,"")</f>
        <v/>
      </c>
      <c r="Y280" s="10">
        <f>IFERROR(INDEX('Weights'!$G:$I,MATCH($A280,'Weights'!$A:$A,0),MATCH(U$2,'Weights'!$G$1:$I$1,0)),"")</f>
        <v/>
      </c>
      <c r="Z280" s="10">
        <f>IF($E280="","",IFERROR(100*(INDEX('Weights'!$D:$D,MATCH($A280,'Weights'!$A:$A,0))*(INDEX('Data_NSA'!$A:$OK,MATCH(EDATE(U$2,-1),'Data_NSA'!$A:$A,0),MATCH($D280,'Data_NSA'!$1:$1,0))/INDEX('Data_NSA'!$A:$OK,MATCH(INDEX('Weights'!$E:$E,MATCH($A280,'Weights'!$A:$A,0)),'Data_NSA'!$A:$A,0),MATCH($D280,'Data_NSA'!$1:$1,0))))/(100*(INDEX('Data_NSA'!$A:$OK,MATCH(EDATE(U$2,-1),'Data_NSA'!$A:$A,0),MATCH("CUUR0000SA0",'Data_NSA'!$1:$1,0))/INDEX('Data_NSA'!$A:$OK,MATCH(INDEX('Weights'!$E:$E,MATCH($A280,'Weights'!$A:$A,0)),'Data_NSA'!$A:$A,0),MATCH("CUUR0000SA0",'Data_NSA'!$1:$1,0))))*(INDEX('Data_SA'!$A:$LO,MATCH(U$2,'Data_SA'!$A:$A,0),MATCH($E280,'Data_SA'!$1:$1,0))/INDEX('Data_SA'!$A:$LO,MATCH(EDATE(U$2,-1),'Data_SA'!$A:$A,0),MATCH($E280,'Data_SA'!$1:$1,0))-1),""))</f>
        <v/>
      </c>
    </row>
    <row r="281">
      <c r="A281" s="3" t="inlineStr">
        <is>
          <t>SERA06</t>
        </is>
      </c>
      <c r="B281" s="3" t="inlineStr">
        <is>
          <t>Recorded music and music subscriptions</t>
        </is>
      </c>
      <c r="C281" s="3" t="inlineStr">
        <is>
          <t>SERA</t>
        </is>
      </c>
      <c r="D281" s="3" t="inlineStr">
        <is>
          <t>CUUR0000SERA06</t>
        </is>
      </c>
      <c r="E281" s="3" t="inlineStr"/>
      <c r="F281" s="3" t="inlineStr">
        <is>
          <t>GM</t>
        </is>
      </c>
      <c r="G281" s="3" t="inlineStr">
        <is>
          <t>monthly in New York/Los Angeles/Chicago; often bimonthly elsewhere</t>
        </is>
      </c>
      <c r="H281" s="10">
        <f>IFERROR(INDEX(Weights!$D:$D,MATCH($A281,Weights!$A:$A,0)),"")</f>
        <v/>
      </c>
      <c r="I281" s="10">
        <f>IFERROR(INDEX('Data_NSA'!$A:$OK,MATCH(I$2,'Data_NSA'!$A:$A,0),MATCH($D281,'Data_NSA'!$1:$1,0)),"")</f>
        <v/>
      </c>
      <c r="J281" s="10">
        <f>IF($E281="","",IFERROR(INDEX('Data_SA'!$A:$LO,MATCH(I$2,'Data_SA'!$A:$A,0),MATCH($E281,'Data_SA'!$1:$1,0)),""))</f>
        <v/>
      </c>
      <c r="K281" s="7">
        <f>IF($E281="","",IFERROR(INDEX('Data_SA'!$A:$LO,MATCH(I$2,'Data_SA'!$A:$A,0),MATCH($E281,'Data_SA'!$1:$1,0))/INDEX('Data_SA'!$A:$LO,MATCH(EDATE(I$2,-1),'Data_SA'!$A:$A,0),MATCH($E281,'Data_SA'!$1:$1,0))-1,""))</f>
        <v/>
      </c>
      <c r="L281" s="7">
        <f>IFERROR(INDEX('Data_NSA'!$A:$OK,MATCH(I$2,'Data_NSA'!$A:$A,0),MATCH($D281,'Data_NSA'!$1:$1,0))/INDEX('Data_NSA'!$A:$OK,MATCH(EDATE(I$2,-12),'Data_NSA'!$A:$A,0),MATCH($D281,'Data_NSA'!$1:$1,0))-1,"")</f>
        <v/>
      </c>
      <c r="M281" s="10">
        <f>IFERROR(INDEX('Weights'!$G:$I,MATCH($A281,'Weights'!$A:$A,0),MATCH(I$2,'Weights'!$G$1:$I$1,0)),"")</f>
        <v/>
      </c>
      <c r="N281" s="10">
        <f>IF($E281="","",IFERROR(100*(INDEX('Weights'!$D:$D,MATCH($A281,'Weights'!$A:$A,0))*(INDEX('Data_NSA'!$A:$OK,MATCH(EDATE(I$2,-1),'Data_NSA'!$A:$A,0),MATCH($D281,'Data_NSA'!$1:$1,0))/INDEX('Data_NSA'!$A:$OK,MATCH(INDEX('Weights'!$E:$E,MATCH($A281,'Weights'!$A:$A,0)),'Data_NSA'!$A:$A,0),MATCH($D281,'Data_NSA'!$1:$1,0))))/(100*(INDEX('Data_NSA'!$A:$OK,MATCH(EDATE(I$2,-1),'Data_NSA'!$A:$A,0),MATCH("CUUR0000SA0",'Data_NSA'!$1:$1,0))/INDEX('Data_NSA'!$A:$OK,MATCH(INDEX('Weights'!$E:$E,MATCH($A281,'Weights'!$A:$A,0)),'Data_NSA'!$A:$A,0),MATCH("CUUR0000SA0",'Data_NSA'!$1:$1,0))))*(INDEX('Data_SA'!$A:$LO,MATCH(I$2,'Data_SA'!$A:$A,0),MATCH($E281,'Data_SA'!$1:$1,0))/INDEX('Data_SA'!$A:$LO,MATCH(EDATE(I$2,-1),'Data_SA'!$A:$A,0),MATCH($E281,'Data_SA'!$1:$1,0))-1),""))</f>
        <v/>
      </c>
      <c r="O281" s="10">
        <f>IFERROR(INDEX('Data_NSA'!$A:$OK,MATCH(O$2,'Data_NSA'!$A:$A,0),MATCH($D281,'Data_NSA'!$1:$1,0)),"")</f>
        <v/>
      </c>
      <c r="P281" s="10">
        <f>IF($E281="","",IFERROR(INDEX('Data_SA'!$A:$LO,MATCH(O$2,'Data_SA'!$A:$A,0),MATCH($E281,'Data_SA'!$1:$1,0)),""))</f>
        <v/>
      </c>
      <c r="Q281" s="7">
        <f>IF($E281="","",IFERROR(INDEX('Data_SA'!$A:$LO,MATCH(O$2,'Data_SA'!$A:$A,0),MATCH($E281,'Data_SA'!$1:$1,0))/INDEX('Data_SA'!$A:$LO,MATCH(EDATE(O$2,-1),'Data_SA'!$A:$A,0),MATCH($E281,'Data_SA'!$1:$1,0))-1,""))</f>
        <v/>
      </c>
      <c r="R281" s="7">
        <f>IFERROR(INDEX('Data_NSA'!$A:$OK,MATCH(O$2,'Data_NSA'!$A:$A,0),MATCH($D281,'Data_NSA'!$1:$1,0))/INDEX('Data_NSA'!$A:$OK,MATCH(EDATE(O$2,-12),'Data_NSA'!$A:$A,0),MATCH($D281,'Data_NSA'!$1:$1,0))-1,"")</f>
        <v/>
      </c>
      <c r="S281" s="10">
        <f>IFERROR(INDEX('Weights'!$G:$I,MATCH($A281,'Weights'!$A:$A,0),MATCH(O$2,'Weights'!$G$1:$I$1,0)),"")</f>
        <v/>
      </c>
      <c r="T281" s="10">
        <f>IF($E281="","",IFERROR(100*(INDEX('Weights'!$D:$D,MATCH($A281,'Weights'!$A:$A,0))*(INDEX('Data_NSA'!$A:$OK,MATCH(EDATE(O$2,-1),'Data_NSA'!$A:$A,0),MATCH($D281,'Data_NSA'!$1:$1,0))/INDEX('Data_NSA'!$A:$OK,MATCH(INDEX('Weights'!$E:$E,MATCH($A281,'Weights'!$A:$A,0)),'Data_NSA'!$A:$A,0),MATCH($D281,'Data_NSA'!$1:$1,0))))/(100*(INDEX('Data_NSA'!$A:$OK,MATCH(EDATE(O$2,-1),'Data_NSA'!$A:$A,0),MATCH("CUUR0000SA0",'Data_NSA'!$1:$1,0))/INDEX('Data_NSA'!$A:$OK,MATCH(INDEX('Weights'!$E:$E,MATCH($A281,'Weights'!$A:$A,0)),'Data_NSA'!$A:$A,0),MATCH("CUUR0000SA0",'Data_NSA'!$1:$1,0))))*(INDEX('Data_SA'!$A:$LO,MATCH(O$2,'Data_SA'!$A:$A,0),MATCH($E281,'Data_SA'!$1:$1,0))/INDEX('Data_SA'!$A:$LO,MATCH(EDATE(O$2,-1),'Data_SA'!$A:$A,0),MATCH($E281,'Data_SA'!$1:$1,0))-1),""))</f>
        <v/>
      </c>
      <c r="U281" s="10">
        <f>IFERROR(INDEX('Data_NSA'!$A:$OK,MATCH(U$2,'Data_NSA'!$A:$A,0),MATCH($D281,'Data_NSA'!$1:$1,0)),"")</f>
        <v/>
      </c>
      <c r="V281" s="10">
        <f>IF($E281="","",IFERROR(INDEX('Data_SA'!$A:$LO,MATCH(U$2,'Data_SA'!$A:$A,0),MATCH($E281,'Data_SA'!$1:$1,0)),""))</f>
        <v/>
      </c>
      <c r="W281" s="7">
        <f>IF($E281="","",IFERROR(INDEX('Data_SA'!$A:$LO,MATCH(U$2,'Data_SA'!$A:$A,0),MATCH($E281,'Data_SA'!$1:$1,0))/INDEX('Data_SA'!$A:$LO,MATCH(EDATE(U$2,-1),'Data_SA'!$A:$A,0),MATCH($E281,'Data_SA'!$1:$1,0))-1,""))</f>
        <v/>
      </c>
      <c r="X281" s="7">
        <f>IFERROR(INDEX('Data_NSA'!$A:$OK,MATCH(U$2,'Data_NSA'!$A:$A,0),MATCH($D281,'Data_NSA'!$1:$1,0))/INDEX('Data_NSA'!$A:$OK,MATCH(EDATE(U$2,-12),'Data_NSA'!$A:$A,0),MATCH($D281,'Data_NSA'!$1:$1,0))-1,"")</f>
        <v/>
      </c>
      <c r="Y281" s="10">
        <f>IFERROR(INDEX('Weights'!$G:$I,MATCH($A281,'Weights'!$A:$A,0),MATCH(U$2,'Weights'!$G$1:$I$1,0)),"")</f>
        <v/>
      </c>
      <c r="Z281" s="10">
        <f>IF($E281="","",IFERROR(100*(INDEX('Weights'!$D:$D,MATCH($A281,'Weights'!$A:$A,0))*(INDEX('Data_NSA'!$A:$OK,MATCH(EDATE(U$2,-1),'Data_NSA'!$A:$A,0),MATCH($D281,'Data_NSA'!$1:$1,0))/INDEX('Data_NSA'!$A:$OK,MATCH(INDEX('Weights'!$E:$E,MATCH($A281,'Weights'!$A:$A,0)),'Data_NSA'!$A:$A,0),MATCH($D281,'Data_NSA'!$1:$1,0))))/(100*(INDEX('Data_NSA'!$A:$OK,MATCH(EDATE(U$2,-1),'Data_NSA'!$A:$A,0),MATCH("CUUR0000SA0",'Data_NSA'!$1:$1,0))/INDEX('Data_NSA'!$A:$OK,MATCH(INDEX('Weights'!$E:$E,MATCH($A281,'Weights'!$A:$A,0)),'Data_NSA'!$A:$A,0),MATCH("CUUR0000SA0",'Data_NSA'!$1:$1,0))))*(INDEX('Data_SA'!$A:$LO,MATCH(U$2,'Data_SA'!$A:$A,0),MATCH($E281,'Data_SA'!$1:$1,0))/INDEX('Data_SA'!$A:$LO,MATCH(EDATE(U$2,-1),'Data_SA'!$A:$A,0),MATCH($E281,'Data_SA'!$1:$1,0))-1),""))</f>
        <v/>
      </c>
    </row>
    <row r="282">
      <c r="A282" s="3" t="inlineStr">
        <is>
          <t>SERB</t>
        </is>
      </c>
      <c r="B282" s="3" t="inlineStr">
        <is>
          <t>Pets, pet products and services</t>
        </is>
      </c>
      <c r="C282" s="3" t="inlineStr">
        <is>
          <t>SAR</t>
        </is>
      </c>
      <c r="D282" s="3" t="inlineStr">
        <is>
          <t>CUUR0000SERB</t>
        </is>
      </c>
      <c r="E282" s="3" t="inlineStr">
        <is>
          <t>CUSR0000SERB</t>
        </is>
      </c>
      <c r="F282" s="3" t="inlineStr">
        <is>
          <t>aggregate</t>
        </is>
      </c>
      <c r="G282" s="3" t="inlineStr">
        <is>
          <t>aggregate</t>
        </is>
      </c>
      <c r="H282" s="10">
        <f>IFERROR(INDEX(Weights!$D:$D,MATCH($A282,Weights!$A:$A,0)),"")</f>
        <v/>
      </c>
      <c r="I282" s="10">
        <f>IFERROR(INDEX('Data_NSA'!$A:$OK,MATCH(I$2,'Data_NSA'!$A:$A,0),MATCH($D282,'Data_NSA'!$1:$1,0)),"")</f>
        <v/>
      </c>
      <c r="J282" s="10">
        <f>IF($E282="","",IFERROR(INDEX('Data_SA'!$A:$LO,MATCH(I$2,'Data_SA'!$A:$A,0),MATCH($E282,'Data_SA'!$1:$1,0)),""))</f>
        <v/>
      </c>
      <c r="K282" s="7">
        <f>IF($E282="","",IFERROR(INDEX('Data_SA'!$A:$LO,MATCH(I$2,'Data_SA'!$A:$A,0),MATCH($E282,'Data_SA'!$1:$1,0))/INDEX('Data_SA'!$A:$LO,MATCH(EDATE(I$2,-1),'Data_SA'!$A:$A,0),MATCH($E282,'Data_SA'!$1:$1,0))-1,""))</f>
        <v/>
      </c>
      <c r="L282" s="7">
        <f>IFERROR(INDEX('Data_NSA'!$A:$OK,MATCH(I$2,'Data_NSA'!$A:$A,0),MATCH($D282,'Data_NSA'!$1:$1,0))/INDEX('Data_NSA'!$A:$OK,MATCH(EDATE(I$2,-12),'Data_NSA'!$A:$A,0),MATCH($D282,'Data_NSA'!$1:$1,0))-1,"")</f>
        <v/>
      </c>
      <c r="M282" s="10">
        <f>IFERROR(INDEX('Weights'!$G:$I,MATCH($A282,'Weights'!$A:$A,0),MATCH(I$2,'Weights'!$G$1:$I$1,0)),"")</f>
        <v/>
      </c>
      <c r="N282" s="10">
        <f>IF($E282="","",IFERROR(100*(INDEX('Weights'!$D:$D,MATCH($A282,'Weights'!$A:$A,0))*(INDEX('Data_NSA'!$A:$OK,MATCH(EDATE(I$2,-1),'Data_NSA'!$A:$A,0),MATCH($D282,'Data_NSA'!$1:$1,0))/INDEX('Data_NSA'!$A:$OK,MATCH(INDEX('Weights'!$E:$E,MATCH($A282,'Weights'!$A:$A,0)),'Data_NSA'!$A:$A,0),MATCH($D282,'Data_NSA'!$1:$1,0))))/(100*(INDEX('Data_NSA'!$A:$OK,MATCH(EDATE(I$2,-1),'Data_NSA'!$A:$A,0),MATCH("CUUR0000SA0",'Data_NSA'!$1:$1,0))/INDEX('Data_NSA'!$A:$OK,MATCH(INDEX('Weights'!$E:$E,MATCH($A282,'Weights'!$A:$A,0)),'Data_NSA'!$A:$A,0),MATCH("CUUR0000SA0",'Data_NSA'!$1:$1,0))))*(INDEX('Data_SA'!$A:$LO,MATCH(I$2,'Data_SA'!$A:$A,0),MATCH($E282,'Data_SA'!$1:$1,0))/INDEX('Data_SA'!$A:$LO,MATCH(EDATE(I$2,-1),'Data_SA'!$A:$A,0),MATCH($E282,'Data_SA'!$1:$1,0))-1),""))</f>
        <v/>
      </c>
      <c r="O282" s="10">
        <f>IFERROR(INDEX('Data_NSA'!$A:$OK,MATCH(O$2,'Data_NSA'!$A:$A,0),MATCH($D282,'Data_NSA'!$1:$1,0)),"")</f>
        <v/>
      </c>
      <c r="P282" s="10">
        <f>IF($E282="","",IFERROR(INDEX('Data_SA'!$A:$LO,MATCH(O$2,'Data_SA'!$A:$A,0),MATCH($E282,'Data_SA'!$1:$1,0)),""))</f>
        <v/>
      </c>
      <c r="Q282" s="7">
        <f>IF($E282="","",IFERROR(INDEX('Data_SA'!$A:$LO,MATCH(O$2,'Data_SA'!$A:$A,0),MATCH($E282,'Data_SA'!$1:$1,0))/INDEX('Data_SA'!$A:$LO,MATCH(EDATE(O$2,-1),'Data_SA'!$A:$A,0),MATCH($E282,'Data_SA'!$1:$1,0))-1,""))</f>
        <v/>
      </c>
      <c r="R282" s="7">
        <f>IFERROR(INDEX('Data_NSA'!$A:$OK,MATCH(O$2,'Data_NSA'!$A:$A,0),MATCH($D282,'Data_NSA'!$1:$1,0))/INDEX('Data_NSA'!$A:$OK,MATCH(EDATE(O$2,-12),'Data_NSA'!$A:$A,0),MATCH($D282,'Data_NSA'!$1:$1,0))-1,"")</f>
        <v/>
      </c>
      <c r="S282" s="10">
        <f>IFERROR(INDEX('Weights'!$G:$I,MATCH($A282,'Weights'!$A:$A,0),MATCH(O$2,'Weights'!$G$1:$I$1,0)),"")</f>
        <v/>
      </c>
      <c r="T282" s="10">
        <f>IF($E282="","",IFERROR(100*(INDEX('Weights'!$D:$D,MATCH($A282,'Weights'!$A:$A,0))*(INDEX('Data_NSA'!$A:$OK,MATCH(EDATE(O$2,-1),'Data_NSA'!$A:$A,0),MATCH($D282,'Data_NSA'!$1:$1,0))/INDEX('Data_NSA'!$A:$OK,MATCH(INDEX('Weights'!$E:$E,MATCH($A282,'Weights'!$A:$A,0)),'Data_NSA'!$A:$A,0),MATCH($D282,'Data_NSA'!$1:$1,0))))/(100*(INDEX('Data_NSA'!$A:$OK,MATCH(EDATE(O$2,-1),'Data_NSA'!$A:$A,0),MATCH("CUUR0000SA0",'Data_NSA'!$1:$1,0))/INDEX('Data_NSA'!$A:$OK,MATCH(INDEX('Weights'!$E:$E,MATCH($A282,'Weights'!$A:$A,0)),'Data_NSA'!$A:$A,0),MATCH("CUUR0000SA0",'Data_NSA'!$1:$1,0))))*(INDEX('Data_SA'!$A:$LO,MATCH(O$2,'Data_SA'!$A:$A,0),MATCH($E282,'Data_SA'!$1:$1,0))/INDEX('Data_SA'!$A:$LO,MATCH(EDATE(O$2,-1),'Data_SA'!$A:$A,0),MATCH($E282,'Data_SA'!$1:$1,0))-1),""))</f>
        <v/>
      </c>
      <c r="U282" s="10">
        <f>IFERROR(INDEX('Data_NSA'!$A:$OK,MATCH(U$2,'Data_NSA'!$A:$A,0),MATCH($D282,'Data_NSA'!$1:$1,0)),"")</f>
        <v/>
      </c>
      <c r="V282" s="10">
        <f>IF($E282="","",IFERROR(INDEX('Data_SA'!$A:$LO,MATCH(U$2,'Data_SA'!$A:$A,0),MATCH($E282,'Data_SA'!$1:$1,0)),""))</f>
        <v/>
      </c>
      <c r="W282" s="7">
        <f>IF($E282="","",IFERROR(INDEX('Data_SA'!$A:$LO,MATCH(U$2,'Data_SA'!$A:$A,0),MATCH($E282,'Data_SA'!$1:$1,0))/INDEX('Data_SA'!$A:$LO,MATCH(EDATE(U$2,-1),'Data_SA'!$A:$A,0),MATCH($E282,'Data_SA'!$1:$1,0))-1,""))</f>
        <v/>
      </c>
      <c r="X282" s="7">
        <f>IFERROR(INDEX('Data_NSA'!$A:$OK,MATCH(U$2,'Data_NSA'!$A:$A,0),MATCH($D282,'Data_NSA'!$1:$1,0))/INDEX('Data_NSA'!$A:$OK,MATCH(EDATE(U$2,-12),'Data_NSA'!$A:$A,0),MATCH($D282,'Data_NSA'!$1:$1,0))-1,"")</f>
        <v/>
      </c>
      <c r="Y282" s="10">
        <f>IFERROR(INDEX('Weights'!$G:$I,MATCH($A282,'Weights'!$A:$A,0),MATCH(U$2,'Weights'!$G$1:$I$1,0)),"")</f>
        <v/>
      </c>
      <c r="Z282" s="10">
        <f>IF($E282="","",IFERROR(100*(INDEX('Weights'!$D:$D,MATCH($A282,'Weights'!$A:$A,0))*(INDEX('Data_NSA'!$A:$OK,MATCH(EDATE(U$2,-1),'Data_NSA'!$A:$A,0),MATCH($D282,'Data_NSA'!$1:$1,0))/INDEX('Data_NSA'!$A:$OK,MATCH(INDEX('Weights'!$E:$E,MATCH($A282,'Weights'!$A:$A,0)),'Data_NSA'!$A:$A,0),MATCH($D282,'Data_NSA'!$1:$1,0))))/(100*(INDEX('Data_NSA'!$A:$OK,MATCH(EDATE(U$2,-1),'Data_NSA'!$A:$A,0),MATCH("CUUR0000SA0",'Data_NSA'!$1:$1,0))/INDEX('Data_NSA'!$A:$OK,MATCH(INDEX('Weights'!$E:$E,MATCH($A282,'Weights'!$A:$A,0)),'Data_NSA'!$A:$A,0),MATCH("CUUR0000SA0",'Data_NSA'!$1:$1,0))))*(INDEX('Data_SA'!$A:$LO,MATCH(U$2,'Data_SA'!$A:$A,0),MATCH($E282,'Data_SA'!$1:$1,0))/INDEX('Data_SA'!$A:$LO,MATCH(EDATE(U$2,-1),'Data_SA'!$A:$A,0),MATCH($E282,'Data_SA'!$1:$1,0))-1),""))</f>
        <v/>
      </c>
    </row>
    <row r="283">
      <c r="A283" s="3" t="inlineStr">
        <is>
          <t>SERB01</t>
        </is>
      </c>
      <c r="B283" s="3" t="inlineStr">
        <is>
          <t>Pets and pet products</t>
        </is>
      </c>
      <c r="C283" s="3" t="inlineStr">
        <is>
          <t>SERB</t>
        </is>
      </c>
      <c r="D283" s="3" t="inlineStr">
        <is>
          <t>CUUR0000SERB01</t>
        </is>
      </c>
      <c r="E283" s="3" t="inlineStr">
        <is>
          <t>CUSR0000SERB01</t>
        </is>
      </c>
      <c r="F283" s="3" t="inlineStr">
        <is>
          <t>aggregate</t>
        </is>
      </c>
      <c r="G283" s="3" t="inlineStr">
        <is>
          <t>aggregate</t>
        </is>
      </c>
      <c r="H283" s="10">
        <f>IFERROR(INDEX(Weights!$D:$D,MATCH($A283,Weights!$A:$A,0)),"")</f>
        <v/>
      </c>
      <c r="I283" s="10">
        <f>IFERROR(INDEX('Data_NSA'!$A:$OK,MATCH(I$2,'Data_NSA'!$A:$A,0),MATCH($D283,'Data_NSA'!$1:$1,0)),"")</f>
        <v/>
      </c>
      <c r="J283" s="10">
        <f>IF($E283="","",IFERROR(INDEX('Data_SA'!$A:$LO,MATCH(I$2,'Data_SA'!$A:$A,0),MATCH($E283,'Data_SA'!$1:$1,0)),""))</f>
        <v/>
      </c>
      <c r="K283" s="7">
        <f>IF($E283="","",IFERROR(INDEX('Data_SA'!$A:$LO,MATCH(I$2,'Data_SA'!$A:$A,0),MATCH($E283,'Data_SA'!$1:$1,0))/INDEX('Data_SA'!$A:$LO,MATCH(EDATE(I$2,-1),'Data_SA'!$A:$A,0),MATCH($E283,'Data_SA'!$1:$1,0))-1,""))</f>
        <v/>
      </c>
      <c r="L283" s="7">
        <f>IFERROR(INDEX('Data_NSA'!$A:$OK,MATCH(I$2,'Data_NSA'!$A:$A,0),MATCH($D283,'Data_NSA'!$1:$1,0))/INDEX('Data_NSA'!$A:$OK,MATCH(EDATE(I$2,-12),'Data_NSA'!$A:$A,0),MATCH($D283,'Data_NSA'!$1:$1,0))-1,"")</f>
        <v/>
      </c>
      <c r="M283" s="10">
        <f>IFERROR(INDEX('Weights'!$G:$I,MATCH($A283,'Weights'!$A:$A,0),MATCH(I$2,'Weights'!$G$1:$I$1,0)),"")</f>
        <v/>
      </c>
      <c r="N283" s="10">
        <f>IF($E283="","",IFERROR(100*(INDEX('Weights'!$D:$D,MATCH($A283,'Weights'!$A:$A,0))*(INDEX('Data_NSA'!$A:$OK,MATCH(EDATE(I$2,-1),'Data_NSA'!$A:$A,0),MATCH($D283,'Data_NSA'!$1:$1,0))/INDEX('Data_NSA'!$A:$OK,MATCH(INDEX('Weights'!$E:$E,MATCH($A283,'Weights'!$A:$A,0)),'Data_NSA'!$A:$A,0),MATCH($D283,'Data_NSA'!$1:$1,0))))/(100*(INDEX('Data_NSA'!$A:$OK,MATCH(EDATE(I$2,-1),'Data_NSA'!$A:$A,0),MATCH("CUUR0000SA0",'Data_NSA'!$1:$1,0))/INDEX('Data_NSA'!$A:$OK,MATCH(INDEX('Weights'!$E:$E,MATCH($A283,'Weights'!$A:$A,0)),'Data_NSA'!$A:$A,0),MATCH("CUUR0000SA0",'Data_NSA'!$1:$1,0))))*(INDEX('Data_SA'!$A:$LO,MATCH(I$2,'Data_SA'!$A:$A,0),MATCH($E283,'Data_SA'!$1:$1,0))/INDEX('Data_SA'!$A:$LO,MATCH(EDATE(I$2,-1),'Data_SA'!$A:$A,0),MATCH($E283,'Data_SA'!$1:$1,0))-1),""))</f>
        <v/>
      </c>
      <c r="O283" s="10">
        <f>IFERROR(INDEX('Data_NSA'!$A:$OK,MATCH(O$2,'Data_NSA'!$A:$A,0),MATCH($D283,'Data_NSA'!$1:$1,0)),"")</f>
        <v/>
      </c>
      <c r="P283" s="10">
        <f>IF($E283="","",IFERROR(INDEX('Data_SA'!$A:$LO,MATCH(O$2,'Data_SA'!$A:$A,0),MATCH($E283,'Data_SA'!$1:$1,0)),""))</f>
        <v/>
      </c>
      <c r="Q283" s="7">
        <f>IF($E283="","",IFERROR(INDEX('Data_SA'!$A:$LO,MATCH(O$2,'Data_SA'!$A:$A,0),MATCH($E283,'Data_SA'!$1:$1,0))/INDEX('Data_SA'!$A:$LO,MATCH(EDATE(O$2,-1),'Data_SA'!$A:$A,0),MATCH($E283,'Data_SA'!$1:$1,0))-1,""))</f>
        <v/>
      </c>
      <c r="R283" s="7">
        <f>IFERROR(INDEX('Data_NSA'!$A:$OK,MATCH(O$2,'Data_NSA'!$A:$A,0),MATCH($D283,'Data_NSA'!$1:$1,0))/INDEX('Data_NSA'!$A:$OK,MATCH(EDATE(O$2,-12),'Data_NSA'!$A:$A,0),MATCH($D283,'Data_NSA'!$1:$1,0))-1,"")</f>
        <v/>
      </c>
      <c r="S283" s="10">
        <f>IFERROR(INDEX('Weights'!$G:$I,MATCH($A283,'Weights'!$A:$A,0),MATCH(O$2,'Weights'!$G$1:$I$1,0)),"")</f>
        <v/>
      </c>
      <c r="T283" s="10">
        <f>IF($E283="","",IFERROR(100*(INDEX('Weights'!$D:$D,MATCH($A283,'Weights'!$A:$A,0))*(INDEX('Data_NSA'!$A:$OK,MATCH(EDATE(O$2,-1),'Data_NSA'!$A:$A,0),MATCH($D283,'Data_NSA'!$1:$1,0))/INDEX('Data_NSA'!$A:$OK,MATCH(INDEX('Weights'!$E:$E,MATCH($A283,'Weights'!$A:$A,0)),'Data_NSA'!$A:$A,0),MATCH($D283,'Data_NSA'!$1:$1,0))))/(100*(INDEX('Data_NSA'!$A:$OK,MATCH(EDATE(O$2,-1),'Data_NSA'!$A:$A,0),MATCH("CUUR0000SA0",'Data_NSA'!$1:$1,0))/INDEX('Data_NSA'!$A:$OK,MATCH(INDEX('Weights'!$E:$E,MATCH($A283,'Weights'!$A:$A,0)),'Data_NSA'!$A:$A,0),MATCH("CUUR0000SA0",'Data_NSA'!$1:$1,0))))*(INDEX('Data_SA'!$A:$LO,MATCH(O$2,'Data_SA'!$A:$A,0),MATCH($E283,'Data_SA'!$1:$1,0))/INDEX('Data_SA'!$A:$LO,MATCH(EDATE(O$2,-1),'Data_SA'!$A:$A,0),MATCH($E283,'Data_SA'!$1:$1,0))-1),""))</f>
        <v/>
      </c>
      <c r="U283" s="10">
        <f>IFERROR(INDEX('Data_NSA'!$A:$OK,MATCH(U$2,'Data_NSA'!$A:$A,0),MATCH($D283,'Data_NSA'!$1:$1,0)),"")</f>
        <v/>
      </c>
      <c r="V283" s="10">
        <f>IF($E283="","",IFERROR(INDEX('Data_SA'!$A:$LO,MATCH(U$2,'Data_SA'!$A:$A,0),MATCH($E283,'Data_SA'!$1:$1,0)),""))</f>
        <v/>
      </c>
      <c r="W283" s="7">
        <f>IF($E283="","",IFERROR(INDEX('Data_SA'!$A:$LO,MATCH(U$2,'Data_SA'!$A:$A,0),MATCH($E283,'Data_SA'!$1:$1,0))/INDEX('Data_SA'!$A:$LO,MATCH(EDATE(U$2,-1),'Data_SA'!$A:$A,0),MATCH($E283,'Data_SA'!$1:$1,0))-1,""))</f>
        <v/>
      </c>
      <c r="X283" s="7">
        <f>IFERROR(INDEX('Data_NSA'!$A:$OK,MATCH(U$2,'Data_NSA'!$A:$A,0),MATCH($D283,'Data_NSA'!$1:$1,0))/INDEX('Data_NSA'!$A:$OK,MATCH(EDATE(U$2,-12),'Data_NSA'!$A:$A,0),MATCH($D283,'Data_NSA'!$1:$1,0))-1,"")</f>
        <v/>
      </c>
      <c r="Y283" s="10">
        <f>IFERROR(INDEX('Weights'!$G:$I,MATCH($A283,'Weights'!$A:$A,0),MATCH(U$2,'Weights'!$G$1:$I$1,0)),"")</f>
        <v/>
      </c>
      <c r="Z283" s="10">
        <f>IF($E283="","",IFERROR(100*(INDEX('Weights'!$D:$D,MATCH($A283,'Weights'!$A:$A,0))*(INDEX('Data_NSA'!$A:$OK,MATCH(EDATE(U$2,-1),'Data_NSA'!$A:$A,0),MATCH($D283,'Data_NSA'!$1:$1,0))/INDEX('Data_NSA'!$A:$OK,MATCH(INDEX('Weights'!$E:$E,MATCH($A283,'Weights'!$A:$A,0)),'Data_NSA'!$A:$A,0),MATCH($D283,'Data_NSA'!$1:$1,0))))/(100*(INDEX('Data_NSA'!$A:$OK,MATCH(EDATE(U$2,-1),'Data_NSA'!$A:$A,0),MATCH("CUUR0000SA0",'Data_NSA'!$1:$1,0))/INDEX('Data_NSA'!$A:$OK,MATCH(INDEX('Weights'!$E:$E,MATCH($A283,'Weights'!$A:$A,0)),'Data_NSA'!$A:$A,0),MATCH("CUUR0000SA0",'Data_NSA'!$1:$1,0))))*(INDEX('Data_SA'!$A:$LO,MATCH(U$2,'Data_SA'!$A:$A,0),MATCH($E283,'Data_SA'!$1:$1,0))/INDEX('Data_SA'!$A:$LO,MATCH(EDATE(U$2,-1),'Data_SA'!$A:$A,0),MATCH($E283,'Data_SA'!$1:$1,0))-1),""))</f>
        <v/>
      </c>
    </row>
    <row r="284">
      <c r="A284" s="3" t="inlineStr">
        <is>
          <t>SS61031</t>
        </is>
      </c>
      <c r="B284" s="3" t="inlineStr">
        <is>
          <t>Pet food and treats</t>
        </is>
      </c>
      <c r="C284" s="3" t="inlineStr">
        <is>
          <t>SERB01</t>
        </is>
      </c>
      <c r="D284" s="3" t="inlineStr">
        <is>
          <t>CUUR0000SS61031</t>
        </is>
      </c>
      <c r="E284" s="3" t="inlineStr">
        <is>
          <t>CUSR0000SS61031</t>
        </is>
      </c>
      <c r="F284" s="3" t="inlineStr">
        <is>
          <t>GM</t>
        </is>
      </c>
      <c r="G284" s="3" t="inlineStr">
        <is>
          <t>monthly food collection where sampled</t>
        </is>
      </c>
      <c r="H284" s="10">
        <f>IFERROR(INDEX(Weights!$D:$D,MATCH($A284,Weights!$A:$A,0)),"")</f>
        <v/>
      </c>
      <c r="I284" s="10">
        <f>IFERROR(INDEX('Data_NSA'!$A:$OK,MATCH(I$2,'Data_NSA'!$A:$A,0),MATCH($D284,'Data_NSA'!$1:$1,0)),"")</f>
        <v/>
      </c>
      <c r="J284" s="10">
        <f>IF($E284="","",IFERROR(INDEX('Data_SA'!$A:$LO,MATCH(I$2,'Data_SA'!$A:$A,0),MATCH($E284,'Data_SA'!$1:$1,0)),""))</f>
        <v/>
      </c>
      <c r="K284" s="7">
        <f>IF($E284="","",IFERROR(INDEX('Data_SA'!$A:$LO,MATCH(I$2,'Data_SA'!$A:$A,0),MATCH($E284,'Data_SA'!$1:$1,0))/INDEX('Data_SA'!$A:$LO,MATCH(EDATE(I$2,-1),'Data_SA'!$A:$A,0),MATCH($E284,'Data_SA'!$1:$1,0))-1,""))</f>
        <v/>
      </c>
      <c r="L284" s="7">
        <f>IFERROR(INDEX('Data_NSA'!$A:$OK,MATCH(I$2,'Data_NSA'!$A:$A,0),MATCH($D284,'Data_NSA'!$1:$1,0))/INDEX('Data_NSA'!$A:$OK,MATCH(EDATE(I$2,-12),'Data_NSA'!$A:$A,0),MATCH($D284,'Data_NSA'!$1:$1,0))-1,"")</f>
        <v/>
      </c>
      <c r="M284" s="10">
        <f>IFERROR(INDEX('Weights'!$G:$I,MATCH($A284,'Weights'!$A:$A,0),MATCH(I$2,'Weights'!$G$1:$I$1,0)),"")</f>
        <v/>
      </c>
      <c r="N284" s="10">
        <f>IF($E284="","",IFERROR(100*(INDEX('Weights'!$D:$D,MATCH($A284,'Weights'!$A:$A,0))*(INDEX('Data_NSA'!$A:$OK,MATCH(EDATE(I$2,-1),'Data_NSA'!$A:$A,0),MATCH($D284,'Data_NSA'!$1:$1,0))/INDEX('Data_NSA'!$A:$OK,MATCH(INDEX('Weights'!$E:$E,MATCH($A284,'Weights'!$A:$A,0)),'Data_NSA'!$A:$A,0),MATCH($D284,'Data_NSA'!$1:$1,0))))/(100*(INDEX('Data_NSA'!$A:$OK,MATCH(EDATE(I$2,-1),'Data_NSA'!$A:$A,0),MATCH("CUUR0000SA0",'Data_NSA'!$1:$1,0))/INDEX('Data_NSA'!$A:$OK,MATCH(INDEX('Weights'!$E:$E,MATCH($A284,'Weights'!$A:$A,0)),'Data_NSA'!$A:$A,0),MATCH("CUUR0000SA0",'Data_NSA'!$1:$1,0))))*(INDEX('Data_SA'!$A:$LO,MATCH(I$2,'Data_SA'!$A:$A,0),MATCH($E284,'Data_SA'!$1:$1,0))/INDEX('Data_SA'!$A:$LO,MATCH(EDATE(I$2,-1),'Data_SA'!$A:$A,0),MATCH($E284,'Data_SA'!$1:$1,0))-1),""))</f>
        <v/>
      </c>
      <c r="O284" s="10">
        <f>IFERROR(INDEX('Data_NSA'!$A:$OK,MATCH(O$2,'Data_NSA'!$A:$A,0),MATCH($D284,'Data_NSA'!$1:$1,0)),"")</f>
        <v/>
      </c>
      <c r="P284" s="10">
        <f>IF($E284="","",IFERROR(INDEX('Data_SA'!$A:$LO,MATCH(O$2,'Data_SA'!$A:$A,0),MATCH($E284,'Data_SA'!$1:$1,0)),""))</f>
        <v/>
      </c>
      <c r="Q284" s="7">
        <f>IF($E284="","",IFERROR(INDEX('Data_SA'!$A:$LO,MATCH(O$2,'Data_SA'!$A:$A,0),MATCH($E284,'Data_SA'!$1:$1,0))/INDEX('Data_SA'!$A:$LO,MATCH(EDATE(O$2,-1),'Data_SA'!$A:$A,0),MATCH($E284,'Data_SA'!$1:$1,0))-1,""))</f>
        <v/>
      </c>
      <c r="R284" s="7">
        <f>IFERROR(INDEX('Data_NSA'!$A:$OK,MATCH(O$2,'Data_NSA'!$A:$A,0),MATCH($D284,'Data_NSA'!$1:$1,0))/INDEX('Data_NSA'!$A:$OK,MATCH(EDATE(O$2,-12),'Data_NSA'!$A:$A,0),MATCH($D284,'Data_NSA'!$1:$1,0))-1,"")</f>
        <v/>
      </c>
      <c r="S284" s="10">
        <f>IFERROR(INDEX('Weights'!$G:$I,MATCH($A284,'Weights'!$A:$A,0),MATCH(O$2,'Weights'!$G$1:$I$1,0)),"")</f>
        <v/>
      </c>
      <c r="T284" s="10">
        <f>IF($E284="","",IFERROR(100*(INDEX('Weights'!$D:$D,MATCH($A284,'Weights'!$A:$A,0))*(INDEX('Data_NSA'!$A:$OK,MATCH(EDATE(O$2,-1),'Data_NSA'!$A:$A,0),MATCH($D284,'Data_NSA'!$1:$1,0))/INDEX('Data_NSA'!$A:$OK,MATCH(INDEX('Weights'!$E:$E,MATCH($A284,'Weights'!$A:$A,0)),'Data_NSA'!$A:$A,0),MATCH($D284,'Data_NSA'!$1:$1,0))))/(100*(INDEX('Data_NSA'!$A:$OK,MATCH(EDATE(O$2,-1),'Data_NSA'!$A:$A,0),MATCH("CUUR0000SA0",'Data_NSA'!$1:$1,0))/INDEX('Data_NSA'!$A:$OK,MATCH(INDEX('Weights'!$E:$E,MATCH($A284,'Weights'!$A:$A,0)),'Data_NSA'!$A:$A,0),MATCH("CUUR0000SA0",'Data_NSA'!$1:$1,0))))*(INDEX('Data_SA'!$A:$LO,MATCH(O$2,'Data_SA'!$A:$A,0),MATCH($E284,'Data_SA'!$1:$1,0))/INDEX('Data_SA'!$A:$LO,MATCH(EDATE(O$2,-1),'Data_SA'!$A:$A,0),MATCH($E284,'Data_SA'!$1:$1,0))-1),""))</f>
        <v/>
      </c>
      <c r="U284" s="10">
        <f>IFERROR(INDEX('Data_NSA'!$A:$OK,MATCH(U$2,'Data_NSA'!$A:$A,0),MATCH($D284,'Data_NSA'!$1:$1,0)),"")</f>
        <v/>
      </c>
      <c r="V284" s="10">
        <f>IF($E284="","",IFERROR(INDEX('Data_SA'!$A:$LO,MATCH(U$2,'Data_SA'!$A:$A,0),MATCH($E284,'Data_SA'!$1:$1,0)),""))</f>
        <v/>
      </c>
      <c r="W284" s="7">
        <f>IF($E284="","",IFERROR(INDEX('Data_SA'!$A:$LO,MATCH(U$2,'Data_SA'!$A:$A,0),MATCH($E284,'Data_SA'!$1:$1,0))/INDEX('Data_SA'!$A:$LO,MATCH(EDATE(U$2,-1),'Data_SA'!$A:$A,0),MATCH($E284,'Data_SA'!$1:$1,0))-1,""))</f>
        <v/>
      </c>
      <c r="X284" s="7">
        <f>IFERROR(INDEX('Data_NSA'!$A:$OK,MATCH(U$2,'Data_NSA'!$A:$A,0),MATCH($D284,'Data_NSA'!$1:$1,0))/INDEX('Data_NSA'!$A:$OK,MATCH(EDATE(U$2,-12),'Data_NSA'!$A:$A,0),MATCH($D284,'Data_NSA'!$1:$1,0))-1,"")</f>
        <v/>
      </c>
      <c r="Y284" s="10">
        <f>IFERROR(INDEX('Weights'!$G:$I,MATCH($A284,'Weights'!$A:$A,0),MATCH(U$2,'Weights'!$G$1:$I$1,0)),"")</f>
        <v/>
      </c>
      <c r="Z284" s="10">
        <f>IF($E284="","",IFERROR(100*(INDEX('Weights'!$D:$D,MATCH($A284,'Weights'!$A:$A,0))*(INDEX('Data_NSA'!$A:$OK,MATCH(EDATE(U$2,-1),'Data_NSA'!$A:$A,0),MATCH($D284,'Data_NSA'!$1:$1,0))/INDEX('Data_NSA'!$A:$OK,MATCH(INDEX('Weights'!$E:$E,MATCH($A284,'Weights'!$A:$A,0)),'Data_NSA'!$A:$A,0),MATCH($D284,'Data_NSA'!$1:$1,0))))/(100*(INDEX('Data_NSA'!$A:$OK,MATCH(EDATE(U$2,-1),'Data_NSA'!$A:$A,0),MATCH("CUUR0000SA0",'Data_NSA'!$1:$1,0))/INDEX('Data_NSA'!$A:$OK,MATCH(INDEX('Weights'!$E:$E,MATCH($A284,'Weights'!$A:$A,0)),'Data_NSA'!$A:$A,0),MATCH("CUUR0000SA0",'Data_NSA'!$1:$1,0))))*(INDEX('Data_SA'!$A:$LO,MATCH(U$2,'Data_SA'!$A:$A,0),MATCH($E284,'Data_SA'!$1:$1,0))/INDEX('Data_SA'!$A:$LO,MATCH(EDATE(U$2,-1),'Data_SA'!$A:$A,0),MATCH($E284,'Data_SA'!$1:$1,0))-1),""))</f>
        <v/>
      </c>
    </row>
    <row r="285">
      <c r="A285" s="3" t="inlineStr">
        <is>
          <t>SS61032</t>
        </is>
      </c>
      <c r="B285" s="3" t="inlineStr">
        <is>
          <t>Purchase of pets, pet supplies, accessories</t>
        </is>
      </c>
      <c r="C285" s="3" t="inlineStr">
        <is>
          <t>SERB01</t>
        </is>
      </c>
      <c r="D285" s="3" t="inlineStr">
        <is>
          <t>CUUR0000SS61032</t>
        </is>
      </c>
      <c r="E285" s="3" t="inlineStr">
        <is>
          <t>CUSR0000SS61032</t>
        </is>
      </c>
      <c r="F285" s="3" t="inlineStr">
        <is>
          <t>GM</t>
        </is>
      </c>
      <c r="G285" s="3" t="inlineStr">
        <is>
          <t>monthly in New York/Los Angeles/Chicago; often bimonthly elsewhere</t>
        </is>
      </c>
      <c r="H285" s="10">
        <f>IFERROR(INDEX(Weights!$D:$D,MATCH($A285,Weights!$A:$A,0)),"")</f>
        <v/>
      </c>
      <c r="I285" s="10">
        <f>IFERROR(INDEX('Data_NSA'!$A:$OK,MATCH(I$2,'Data_NSA'!$A:$A,0),MATCH($D285,'Data_NSA'!$1:$1,0)),"")</f>
        <v/>
      </c>
      <c r="J285" s="10">
        <f>IF($E285="","",IFERROR(INDEX('Data_SA'!$A:$LO,MATCH(I$2,'Data_SA'!$A:$A,0),MATCH($E285,'Data_SA'!$1:$1,0)),""))</f>
        <v/>
      </c>
      <c r="K285" s="7">
        <f>IF($E285="","",IFERROR(INDEX('Data_SA'!$A:$LO,MATCH(I$2,'Data_SA'!$A:$A,0),MATCH($E285,'Data_SA'!$1:$1,0))/INDEX('Data_SA'!$A:$LO,MATCH(EDATE(I$2,-1),'Data_SA'!$A:$A,0),MATCH($E285,'Data_SA'!$1:$1,0))-1,""))</f>
        <v/>
      </c>
      <c r="L285" s="7">
        <f>IFERROR(INDEX('Data_NSA'!$A:$OK,MATCH(I$2,'Data_NSA'!$A:$A,0),MATCH($D285,'Data_NSA'!$1:$1,0))/INDEX('Data_NSA'!$A:$OK,MATCH(EDATE(I$2,-12),'Data_NSA'!$A:$A,0),MATCH($D285,'Data_NSA'!$1:$1,0))-1,"")</f>
        <v/>
      </c>
      <c r="M285" s="10">
        <f>IFERROR(INDEX('Weights'!$G:$I,MATCH($A285,'Weights'!$A:$A,0),MATCH(I$2,'Weights'!$G$1:$I$1,0)),"")</f>
        <v/>
      </c>
      <c r="N285" s="10">
        <f>IF($E285="","",IFERROR(100*(INDEX('Weights'!$D:$D,MATCH($A285,'Weights'!$A:$A,0))*(INDEX('Data_NSA'!$A:$OK,MATCH(EDATE(I$2,-1),'Data_NSA'!$A:$A,0),MATCH($D285,'Data_NSA'!$1:$1,0))/INDEX('Data_NSA'!$A:$OK,MATCH(INDEX('Weights'!$E:$E,MATCH($A285,'Weights'!$A:$A,0)),'Data_NSA'!$A:$A,0),MATCH($D285,'Data_NSA'!$1:$1,0))))/(100*(INDEX('Data_NSA'!$A:$OK,MATCH(EDATE(I$2,-1),'Data_NSA'!$A:$A,0),MATCH("CUUR0000SA0",'Data_NSA'!$1:$1,0))/INDEX('Data_NSA'!$A:$OK,MATCH(INDEX('Weights'!$E:$E,MATCH($A285,'Weights'!$A:$A,0)),'Data_NSA'!$A:$A,0),MATCH("CUUR0000SA0",'Data_NSA'!$1:$1,0))))*(INDEX('Data_SA'!$A:$LO,MATCH(I$2,'Data_SA'!$A:$A,0),MATCH($E285,'Data_SA'!$1:$1,0))/INDEX('Data_SA'!$A:$LO,MATCH(EDATE(I$2,-1),'Data_SA'!$A:$A,0),MATCH($E285,'Data_SA'!$1:$1,0))-1),""))</f>
        <v/>
      </c>
      <c r="O285" s="10">
        <f>IFERROR(INDEX('Data_NSA'!$A:$OK,MATCH(O$2,'Data_NSA'!$A:$A,0),MATCH($D285,'Data_NSA'!$1:$1,0)),"")</f>
        <v/>
      </c>
      <c r="P285" s="10">
        <f>IF($E285="","",IFERROR(INDEX('Data_SA'!$A:$LO,MATCH(O$2,'Data_SA'!$A:$A,0),MATCH($E285,'Data_SA'!$1:$1,0)),""))</f>
        <v/>
      </c>
      <c r="Q285" s="7">
        <f>IF($E285="","",IFERROR(INDEX('Data_SA'!$A:$LO,MATCH(O$2,'Data_SA'!$A:$A,0),MATCH($E285,'Data_SA'!$1:$1,0))/INDEX('Data_SA'!$A:$LO,MATCH(EDATE(O$2,-1),'Data_SA'!$A:$A,0),MATCH($E285,'Data_SA'!$1:$1,0))-1,""))</f>
        <v/>
      </c>
      <c r="R285" s="7">
        <f>IFERROR(INDEX('Data_NSA'!$A:$OK,MATCH(O$2,'Data_NSA'!$A:$A,0),MATCH($D285,'Data_NSA'!$1:$1,0))/INDEX('Data_NSA'!$A:$OK,MATCH(EDATE(O$2,-12),'Data_NSA'!$A:$A,0),MATCH($D285,'Data_NSA'!$1:$1,0))-1,"")</f>
        <v/>
      </c>
      <c r="S285" s="10">
        <f>IFERROR(INDEX('Weights'!$G:$I,MATCH($A285,'Weights'!$A:$A,0),MATCH(O$2,'Weights'!$G$1:$I$1,0)),"")</f>
        <v/>
      </c>
      <c r="T285" s="10">
        <f>IF($E285="","",IFERROR(100*(INDEX('Weights'!$D:$D,MATCH($A285,'Weights'!$A:$A,0))*(INDEX('Data_NSA'!$A:$OK,MATCH(EDATE(O$2,-1),'Data_NSA'!$A:$A,0),MATCH($D285,'Data_NSA'!$1:$1,0))/INDEX('Data_NSA'!$A:$OK,MATCH(INDEX('Weights'!$E:$E,MATCH($A285,'Weights'!$A:$A,0)),'Data_NSA'!$A:$A,0),MATCH($D285,'Data_NSA'!$1:$1,0))))/(100*(INDEX('Data_NSA'!$A:$OK,MATCH(EDATE(O$2,-1),'Data_NSA'!$A:$A,0),MATCH("CUUR0000SA0",'Data_NSA'!$1:$1,0))/INDEX('Data_NSA'!$A:$OK,MATCH(INDEX('Weights'!$E:$E,MATCH($A285,'Weights'!$A:$A,0)),'Data_NSA'!$A:$A,0),MATCH("CUUR0000SA0",'Data_NSA'!$1:$1,0))))*(INDEX('Data_SA'!$A:$LO,MATCH(O$2,'Data_SA'!$A:$A,0),MATCH($E285,'Data_SA'!$1:$1,0))/INDEX('Data_SA'!$A:$LO,MATCH(EDATE(O$2,-1),'Data_SA'!$A:$A,0),MATCH($E285,'Data_SA'!$1:$1,0))-1),""))</f>
        <v/>
      </c>
      <c r="U285" s="10">
        <f>IFERROR(INDEX('Data_NSA'!$A:$OK,MATCH(U$2,'Data_NSA'!$A:$A,0),MATCH($D285,'Data_NSA'!$1:$1,0)),"")</f>
        <v/>
      </c>
      <c r="V285" s="10">
        <f>IF($E285="","",IFERROR(INDEX('Data_SA'!$A:$LO,MATCH(U$2,'Data_SA'!$A:$A,0),MATCH($E285,'Data_SA'!$1:$1,0)),""))</f>
        <v/>
      </c>
      <c r="W285" s="7">
        <f>IF($E285="","",IFERROR(INDEX('Data_SA'!$A:$LO,MATCH(U$2,'Data_SA'!$A:$A,0),MATCH($E285,'Data_SA'!$1:$1,0))/INDEX('Data_SA'!$A:$LO,MATCH(EDATE(U$2,-1),'Data_SA'!$A:$A,0),MATCH($E285,'Data_SA'!$1:$1,0))-1,""))</f>
        <v/>
      </c>
      <c r="X285" s="7">
        <f>IFERROR(INDEX('Data_NSA'!$A:$OK,MATCH(U$2,'Data_NSA'!$A:$A,0),MATCH($D285,'Data_NSA'!$1:$1,0))/INDEX('Data_NSA'!$A:$OK,MATCH(EDATE(U$2,-12),'Data_NSA'!$A:$A,0),MATCH($D285,'Data_NSA'!$1:$1,0))-1,"")</f>
        <v/>
      </c>
      <c r="Y285" s="10">
        <f>IFERROR(INDEX('Weights'!$G:$I,MATCH($A285,'Weights'!$A:$A,0),MATCH(U$2,'Weights'!$G$1:$I$1,0)),"")</f>
        <v/>
      </c>
      <c r="Z285" s="10">
        <f>IF($E285="","",IFERROR(100*(INDEX('Weights'!$D:$D,MATCH($A285,'Weights'!$A:$A,0))*(INDEX('Data_NSA'!$A:$OK,MATCH(EDATE(U$2,-1),'Data_NSA'!$A:$A,0),MATCH($D285,'Data_NSA'!$1:$1,0))/INDEX('Data_NSA'!$A:$OK,MATCH(INDEX('Weights'!$E:$E,MATCH($A285,'Weights'!$A:$A,0)),'Data_NSA'!$A:$A,0),MATCH($D285,'Data_NSA'!$1:$1,0))))/(100*(INDEX('Data_NSA'!$A:$OK,MATCH(EDATE(U$2,-1),'Data_NSA'!$A:$A,0),MATCH("CUUR0000SA0",'Data_NSA'!$1:$1,0))/INDEX('Data_NSA'!$A:$OK,MATCH(INDEX('Weights'!$E:$E,MATCH($A285,'Weights'!$A:$A,0)),'Data_NSA'!$A:$A,0),MATCH("CUUR0000SA0",'Data_NSA'!$1:$1,0))))*(INDEX('Data_SA'!$A:$LO,MATCH(U$2,'Data_SA'!$A:$A,0),MATCH($E285,'Data_SA'!$1:$1,0))/INDEX('Data_SA'!$A:$LO,MATCH(EDATE(U$2,-1),'Data_SA'!$A:$A,0),MATCH($E285,'Data_SA'!$1:$1,0))-1),""))</f>
        <v/>
      </c>
    </row>
    <row r="286">
      <c r="A286" s="3" t="inlineStr">
        <is>
          <t>SERB02</t>
        </is>
      </c>
      <c r="B286" s="3" t="inlineStr">
        <is>
          <t>Pet services including veterinary</t>
        </is>
      </c>
      <c r="C286" s="3" t="inlineStr">
        <is>
          <t>SERB</t>
        </is>
      </c>
      <c r="D286" s="3" t="inlineStr">
        <is>
          <t>CUUR0000SERB02</t>
        </is>
      </c>
      <c r="E286" s="3" t="inlineStr">
        <is>
          <t>CUSR0000SERB02</t>
        </is>
      </c>
      <c r="F286" s="3" t="inlineStr">
        <is>
          <t>aggregate</t>
        </is>
      </c>
      <c r="G286" s="3" t="inlineStr">
        <is>
          <t>aggregate</t>
        </is>
      </c>
      <c r="H286" s="10">
        <f>IFERROR(INDEX(Weights!$D:$D,MATCH($A286,Weights!$A:$A,0)),"")</f>
        <v/>
      </c>
      <c r="I286" s="10">
        <f>IFERROR(INDEX('Data_NSA'!$A:$OK,MATCH(I$2,'Data_NSA'!$A:$A,0),MATCH($D286,'Data_NSA'!$1:$1,0)),"")</f>
        <v/>
      </c>
      <c r="J286" s="10">
        <f>IF($E286="","",IFERROR(INDEX('Data_SA'!$A:$LO,MATCH(I$2,'Data_SA'!$A:$A,0),MATCH($E286,'Data_SA'!$1:$1,0)),""))</f>
        <v/>
      </c>
      <c r="K286" s="7">
        <f>IF($E286="","",IFERROR(INDEX('Data_SA'!$A:$LO,MATCH(I$2,'Data_SA'!$A:$A,0),MATCH($E286,'Data_SA'!$1:$1,0))/INDEX('Data_SA'!$A:$LO,MATCH(EDATE(I$2,-1),'Data_SA'!$A:$A,0),MATCH($E286,'Data_SA'!$1:$1,0))-1,""))</f>
        <v/>
      </c>
      <c r="L286" s="7">
        <f>IFERROR(INDEX('Data_NSA'!$A:$OK,MATCH(I$2,'Data_NSA'!$A:$A,0),MATCH($D286,'Data_NSA'!$1:$1,0))/INDEX('Data_NSA'!$A:$OK,MATCH(EDATE(I$2,-12),'Data_NSA'!$A:$A,0),MATCH($D286,'Data_NSA'!$1:$1,0))-1,"")</f>
        <v/>
      </c>
      <c r="M286" s="10">
        <f>IFERROR(INDEX('Weights'!$G:$I,MATCH($A286,'Weights'!$A:$A,0),MATCH(I$2,'Weights'!$G$1:$I$1,0)),"")</f>
        <v/>
      </c>
      <c r="N286" s="10">
        <f>IF($E286="","",IFERROR(100*(INDEX('Weights'!$D:$D,MATCH($A286,'Weights'!$A:$A,0))*(INDEX('Data_NSA'!$A:$OK,MATCH(EDATE(I$2,-1),'Data_NSA'!$A:$A,0),MATCH($D286,'Data_NSA'!$1:$1,0))/INDEX('Data_NSA'!$A:$OK,MATCH(INDEX('Weights'!$E:$E,MATCH($A286,'Weights'!$A:$A,0)),'Data_NSA'!$A:$A,0),MATCH($D286,'Data_NSA'!$1:$1,0))))/(100*(INDEX('Data_NSA'!$A:$OK,MATCH(EDATE(I$2,-1),'Data_NSA'!$A:$A,0),MATCH("CUUR0000SA0",'Data_NSA'!$1:$1,0))/INDEX('Data_NSA'!$A:$OK,MATCH(INDEX('Weights'!$E:$E,MATCH($A286,'Weights'!$A:$A,0)),'Data_NSA'!$A:$A,0),MATCH("CUUR0000SA0",'Data_NSA'!$1:$1,0))))*(INDEX('Data_SA'!$A:$LO,MATCH(I$2,'Data_SA'!$A:$A,0),MATCH($E286,'Data_SA'!$1:$1,0))/INDEX('Data_SA'!$A:$LO,MATCH(EDATE(I$2,-1),'Data_SA'!$A:$A,0),MATCH($E286,'Data_SA'!$1:$1,0))-1),""))</f>
        <v/>
      </c>
      <c r="O286" s="10">
        <f>IFERROR(INDEX('Data_NSA'!$A:$OK,MATCH(O$2,'Data_NSA'!$A:$A,0),MATCH($D286,'Data_NSA'!$1:$1,0)),"")</f>
        <v/>
      </c>
      <c r="P286" s="10">
        <f>IF($E286="","",IFERROR(INDEX('Data_SA'!$A:$LO,MATCH(O$2,'Data_SA'!$A:$A,0),MATCH($E286,'Data_SA'!$1:$1,0)),""))</f>
        <v/>
      </c>
      <c r="Q286" s="7">
        <f>IF($E286="","",IFERROR(INDEX('Data_SA'!$A:$LO,MATCH(O$2,'Data_SA'!$A:$A,0),MATCH($E286,'Data_SA'!$1:$1,0))/INDEX('Data_SA'!$A:$LO,MATCH(EDATE(O$2,-1),'Data_SA'!$A:$A,0),MATCH($E286,'Data_SA'!$1:$1,0))-1,""))</f>
        <v/>
      </c>
      <c r="R286" s="7">
        <f>IFERROR(INDEX('Data_NSA'!$A:$OK,MATCH(O$2,'Data_NSA'!$A:$A,0),MATCH($D286,'Data_NSA'!$1:$1,0))/INDEX('Data_NSA'!$A:$OK,MATCH(EDATE(O$2,-12),'Data_NSA'!$A:$A,0),MATCH($D286,'Data_NSA'!$1:$1,0))-1,"")</f>
        <v/>
      </c>
      <c r="S286" s="10">
        <f>IFERROR(INDEX('Weights'!$G:$I,MATCH($A286,'Weights'!$A:$A,0),MATCH(O$2,'Weights'!$G$1:$I$1,0)),"")</f>
        <v/>
      </c>
      <c r="T286" s="10">
        <f>IF($E286="","",IFERROR(100*(INDEX('Weights'!$D:$D,MATCH($A286,'Weights'!$A:$A,0))*(INDEX('Data_NSA'!$A:$OK,MATCH(EDATE(O$2,-1),'Data_NSA'!$A:$A,0),MATCH($D286,'Data_NSA'!$1:$1,0))/INDEX('Data_NSA'!$A:$OK,MATCH(INDEX('Weights'!$E:$E,MATCH($A286,'Weights'!$A:$A,0)),'Data_NSA'!$A:$A,0),MATCH($D286,'Data_NSA'!$1:$1,0))))/(100*(INDEX('Data_NSA'!$A:$OK,MATCH(EDATE(O$2,-1),'Data_NSA'!$A:$A,0),MATCH("CUUR0000SA0",'Data_NSA'!$1:$1,0))/INDEX('Data_NSA'!$A:$OK,MATCH(INDEX('Weights'!$E:$E,MATCH($A286,'Weights'!$A:$A,0)),'Data_NSA'!$A:$A,0),MATCH("CUUR0000SA0",'Data_NSA'!$1:$1,0))))*(INDEX('Data_SA'!$A:$LO,MATCH(O$2,'Data_SA'!$A:$A,0),MATCH($E286,'Data_SA'!$1:$1,0))/INDEX('Data_SA'!$A:$LO,MATCH(EDATE(O$2,-1),'Data_SA'!$A:$A,0),MATCH($E286,'Data_SA'!$1:$1,0))-1),""))</f>
        <v/>
      </c>
      <c r="U286" s="10">
        <f>IFERROR(INDEX('Data_NSA'!$A:$OK,MATCH(U$2,'Data_NSA'!$A:$A,0),MATCH($D286,'Data_NSA'!$1:$1,0)),"")</f>
        <v/>
      </c>
      <c r="V286" s="10">
        <f>IF($E286="","",IFERROR(INDEX('Data_SA'!$A:$LO,MATCH(U$2,'Data_SA'!$A:$A,0),MATCH($E286,'Data_SA'!$1:$1,0)),""))</f>
        <v/>
      </c>
      <c r="W286" s="7">
        <f>IF($E286="","",IFERROR(INDEX('Data_SA'!$A:$LO,MATCH(U$2,'Data_SA'!$A:$A,0),MATCH($E286,'Data_SA'!$1:$1,0))/INDEX('Data_SA'!$A:$LO,MATCH(EDATE(U$2,-1),'Data_SA'!$A:$A,0),MATCH($E286,'Data_SA'!$1:$1,0))-1,""))</f>
        <v/>
      </c>
      <c r="X286" s="7">
        <f>IFERROR(INDEX('Data_NSA'!$A:$OK,MATCH(U$2,'Data_NSA'!$A:$A,0),MATCH($D286,'Data_NSA'!$1:$1,0))/INDEX('Data_NSA'!$A:$OK,MATCH(EDATE(U$2,-12),'Data_NSA'!$A:$A,0),MATCH($D286,'Data_NSA'!$1:$1,0))-1,"")</f>
        <v/>
      </c>
      <c r="Y286" s="10">
        <f>IFERROR(INDEX('Weights'!$G:$I,MATCH($A286,'Weights'!$A:$A,0),MATCH(U$2,'Weights'!$G$1:$I$1,0)),"")</f>
        <v/>
      </c>
      <c r="Z286" s="10">
        <f>IF($E286="","",IFERROR(100*(INDEX('Weights'!$D:$D,MATCH($A286,'Weights'!$A:$A,0))*(INDEX('Data_NSA'!$A:$OK,MATCH(EDATE(U$2,-1),'Data_NSA'!$A:$A,0),MATCH($D286,'Data_NSA'!$1:$1,0))/INDEX('Data_NSA'!$A:$OK,MATCH(INDEX('Weights'!$E:$E,MATCH($A286,'Weights'!$A:$A,0)),'Data_NSA'!$A:$A,0),MATCH($D286,'Data_NSA'!$1:$1,0))))/(100*(INDEX('Data_NSA'!$A:$OK,MATCH(EDATE(U$2,-1),'Data_NSA'!$A:$A,0),MATCH("CUUR0000SA0",'Data_NSA'!$1:$1,0))/INDEX('Data_NSA'!$A:$OK,MATCH(INDEX('Weights'!$E:$E,MATCH($A286,'Weights'!$A:$A,0)),'Data_NSA'!$A:$A,0),MATCH("CUUR0000SA0",'Data_NSA'!$1:$1,0))))*(INDEX('Data_SA'!$A:$LO,MATCH(U$2,'Data_SA'!$A:$A,0),MATCH($E286,'Data_SA'!$1:$1,0))/INDEX('Data_SA'!$A:$LO,MATCH(EDATE(U$2,-1),'Data_SA'!$A:$A,0),MATCH($E286,'Data_SA'!$1:$1,0))-1),""))</f>
        <v/>
      </c>
    </row>
    <row r="287">
      <c r="A287" s="3" t="inlineStr">
        <is>
          <t>SS62053</t>
        </is>
      </c>
      <c r="B287" s="3" t="inlineStr">
        <is>
          <t>Pet services</t>
        </is>
      </c>
      <c r="C287" s="3" t="inlineStr">
        <is>
          <t>SERB02</t>
        </is>
      </c>
      <c r="D287" s="3" t="inlineStr">
        <is>
          <t>CUUR0000SS62053</t>
        </is>
      </c>
      <c r="E287" s="3" t="inlineStr">
        <is>
          <t>CUSR0000SS62053</t>
        </is>
      </c>
      <c r="F287" s="3" t="inlineStr">
        <is>
          <t>GM</t>
        </is>
      </c>
      <c r="G287" s="3" t="inlineStr">
        <is>
          <t>monthly in New York/Los Angeles/Chicago; often bimonthly elsewhere</t>
        </is>
      </c>
      <c r="H287" s="10">
        <f>IFERROR(INDEX(Weights!$D:$D,MATCH($A287,Weights!$A:$A,0)),"")</f>
        <v/>
      </c>
      <c r="I287" s="10">
        <f>IFERROR(INDEX('Data_NSA'!$A:$OK,MATCH(I$2,'Data_NSA'!$A:$A,0),MATCH($D287,'Data_NSA'!$1:$1,0)),"")</f>
        <v/>
      </c>
      <c r="J287" s="10">
        <f>IF($E287="","",IFERROR(INDEX('Data_SA'!$A:$LO,MATCH(I$2,'Data_SA'!$A:$A,0),MATCH($E287,'Data_SA'!$1:$1,0)),""))</f>
        <v/>
      </c>
      <c r="K287" s="7">
        <f>IF($E287="","",IFERROR(INDEX('Data_SA'!$A:$LO,MATCH(I$2,'Data_SA'!$A:$A,0),MATCH($E287,'Data_SA'!$1:$1,0))/INDEX('Data_SA'!$A:$LO,MATCH(EDATE(I$2,-1),'Data_SA'!$A:$A,0),MATCH($E287,'Data_SA'!$1:$1,0))-1,""))</f>
        <v/>
      </c>
      <c r="L287" s="7">
        <f>IFERROR(INDEX('Data_NSA'!$A:$OK,MATCH(I$2,'Data_NSA'!$A:$A,0),MATCH($D287,'Data_NSA'!$1:$1,0))/INDEX('Data_NSA'!$A:$OK,MATCH(EDATE(I$2,-12),'Data_NSA'!$A:$A,0),MATCH($D287,'Data_NSA'!$1:$1,0))-1,"")</f>
        <v/>
      </c>
      <c r="M287" s="10">
        <f>IFERROR(INDEX('Weights'!$G:$I,MATCH($A287,'Weights'!$A:$A,0),MATCH(I$2,'Weights'!$G$1:$I$1,0)),"")</f>
        <v/>
      </c>
      <c r="N287" s="10">
        <f>IF($E287="","",IFERROR(100*(INDEX('Weights'!$D:$D,MATCH($A287,'Weights'!$A:$A,0))*(INDEX('Data_NSA'!$A:$OK,MATCH(EDATE(I$2,-1),'Data_NSA'!$A:$A,0),MATCH($D287,'Data_NSA'!$1:$1,0))/INDEX('Data_NSA'!$A:$OK,MATCH(INDEX('Weights'!$E:$E,MATCH($A287,'Weights'!$A:$A,0)),'Data_NSA'!$A:$A,0),MATCH($D287,'Data_NSA'!$1:$1,0))))/(100*(INDEX('Data_NSA'!$A:$OK,MATCH(EDATE(I$2,-1),'Data_NSA'!$A:$A,0),MATCH("CUUR0000SA0",'Data_NSA'!$1:$1,0))/INDEX('Data_NSA'!$A:$OK,MATCH(INDEX('Weights'!$E:$E,MATCH($A287,'Weights'!$A:$A,0)),'Data_NSA'!$A:$A,0),MATCH("CUUR0000SA0",'Data_NSA'!$1:$1,0))))*(INDEX('Data_SA'!$A:$LO,MATCH(I$2,'Data_SA'!$A:$A,0),MATCH($E287,'Data_SA'!$1:$1,0))/INDEX('Data_SA'!$A:$LO,MATCH(EDATE(I$2,-1),'Data_SA'!$A:$A,0),MATCH($E287,'Data_SA'!$1:$1,0))-1),""))</f>
        <v/>
      </c>
      <c r="O287" s="10">
        <f>IFERROR(INDEX('Data_NSA'!$A:$OK,MATCH(O$2,'Data_NSA'!$A:$A,0),MATCH($D287,'Data_NSA'!$1:$1,0)),"")</f>
        <v/>
      </c>
      <c r="P287" s="10">
        <f>IF($E287="","",IFERROR(INDEX('Data_SA'!$A:$LO,MATCH(O$2,'Data_SA'!$A:$A,0),MATCH($E287,'Data_SA'!$1:$1,0)),""))</f>
        <v/>
      </c>
      <c r="Q287" s="7">
        <f>IF($E287="","",IFERROR(INDEX('Data_SA'!$A:$LO,MATCH(O$2,'Data_SA'!$A:$A,0),MATCH($E287,'Data_SA'!$1:$1,0))/INDEX('Data_SA'!$A:$LO,MATCH(EDATE(O$2,-1),'Data_SA'!$A:$A,0),MATCH($E287,'Data_SA'!$1:$1,0))-1,""))</f>
        <v/>
      </c>
      <c r="R287" s="7">
        <f>IFERROR(INDEX('Data_NSA'!$A:$OK,MATCH(O$2,'Data_NSA'!$A:$A,0),MATCH($D287,'Data_NSA'!$1:$1,0))/INDEX('Data_NSA'!$A:$OK,MATCH(EDATE(O$2,-12),'Data_NSA'!$A:$A,0),MATCH($D287,'Data_NSA'!$1:$1,0))-1,"")</f>
        <v/>
      </c>
      <c r="S287" s="10">
        <f>IFERROR(INDEX('Weights'!$G:$I,MATCH($A287,'Weights'!$A:$A,0),MATCH(O$2,'Weights'!$G$1:$I$1,0)),"")</f>
        <v/>
      </c>
      <c r="T287" s="10">
        <f>IF($E287="","",IFERROR(100*(INDEX('Weights'!$D:$D,MATCH($A287,'Weights'!$A:$A,0))*(INDEX('Data_NSA'!$A:$OK,MATCH(EDATE(O$2,-1),'Data_NSA'!$A:$A,0),MATCH($D287,'Data_NSA'!$1:$1,0))/INDEX('Data_NSA'!$A:$OK,MATCH(INDEX('Weights'!$E:$E,MATCH($A287,'Weights'!$A:$A,0)),'Data_NSA'!$A:$A,0),MATCH($D287,'Data_NSA'!$1:$1,0))))/(100*(INDEX('Data_NSA'!$A:$OK,MATCH(EDATE(O$2,-1),'Data_NSA'!$A:$A,0),MATCH("CUUR0000SA0",'Data_NSA'!$1:$1,0))/INDEX('Data_NSA'!$A:$OK,MATCH(INDEX('Weights'!$E:$E,MATCH($A287,'Weights'!$A:$A,0)),'Data_NSA'!$A:$A,0),MATCH("CUUR0000SA0",'Data_NSA'!$1:$1,0))))*(INDEX('Data_SA'!$A:$LO,MATCH(O$2,'Data_SA'!$A:$A,0),MATCH($E287,'Data_SA'!$1:$1,0))/INDEX('Data_SA'!$A:$LO,MATCH(EDATE(O$2,-1),'Data_SA'!$A:$A,0),MATCH($E287,'Data_SA'!$1:$1,0))-1),""))</f>
        <v/>
      </c>
      <c r="U287" s="10">
        <f>IFERROR(INDEX('Data_NSA'!$A:$OK,MATCH(U$2,'Data_NSA'!$A:$A,0),MATCH($D287,'Data_NSA'!$1:$1,0)),"")</f>
        <v/>
      </c>
      <c r="V287" s="10">
        <f>IF($E287="","",IFERROR(INDEX('Data_SA'!$A:$LO,MATCH(U$2,'Data_SA'!$A:$A,0),MATCH($E287,'Data_SA'!$1:$1,0)),""))</f>
        <v/>
      </c>
      <c r="W287" s="7">
        <f>IF($E287="","",IFERROR(INDEX('Data_SA'!$A:$LO,MATCH(U$2,'Data_SA'!$A:$A,0),MATCH($E287,'Data_SA'!$1:$1,0))/INDEX('Data_SA'!$A:$LO,MATCH(EDATE(U$2,-1),'Data_SA'!$A:$A,0),MATCH($E287,'Data_SA'!$1:$1,0))-1,""))</f>
        <v/>
      </c>
      <c r="X287" s="7">
        <f>IFERROR(INDEX('Data_NSA'!$A:$OK,MATCH(U$2,'Data_NSA'!$A:$A,0),MATCH($D287,'Data_NSA'!$1:$1,0))/INDEX('Data_NSA'!$A:$OK,MATCH(EDATE(U$2,-12),'Data_NSA'!$A:$A,0),MATCH($D287,'Data_NSA'!$1:$1,0))-1,"")</f>
        <v/>
      </c>
      <c r="Y287" s="10">
        <f>IFERROR(INDEX('Weights'!$G:$I,MATCH($A287,'Weights'!$A:$A,0),MATCH(U$2,'Weights'!$G$1:$I$1,0)),"")</f>
        <v/>
      </c>
      <c r="Z287" s="10">
        <f>IF($E287="","",IFERROR(100*(INDEX('Weights'!$D:$D,MATCH($A287,'Weights'!$A:$A,0))*(INDEX('Data_NSA'!$A:$OK,MATCH(EDATE(U$2,-1),'Data_NSA'!$A:$A,0),MATCH($D287,'Data_NSA'!$1:$1,0))/INDEX('Data_NSA'!$A:$OK,MATCH(INDEX('Weights'!$E:$E,MATCH($A287,'Weights'!$A:$A,0)),'Data_NSA'!$A:$A,0),MATCH($D287,'Data_NSA'!$1:$1,0))))/(100*(INDEX('Data_NSA'!$A:$OK,MATCH(EDATE(U$2,-1),'Data_NSA'!$A:$A,0),MATCH("CUUR0000SA0",'Data_NSA'!$1:$1,0))/INDEX('Data_NSA'!$A:$OK,MATCH(INDEX('Weights'!$E:$E,MATCH($A287,'Weights'!$A:$A,0)),'Data_NSA'!$A:$A,0),MATCH("CUUR0000SA0",'Data_NSA'!$1:$1,0))))*(INDEX('Data_SA'!$A:$LO,MATCH(U$2,'Data_SA'!$A:$A,0),MATCH($E287,'Data_SA'!$1:$1,0))/INDEX('Data_SA'!$A:$LO,MATCH(EDATE(U$2,-1),'Data_SA'!$A:$A,0),MATCH($E287,'Data_SA'!$1:$1,0))-1),""))</f>
        <v/>
      </c>
    </row>
    <row r="288">
      <c r="A288" s="3" t="inlineStr">
        <is>
          <t>SS62054</t>
        </is>
      </c>
      <c r="B288" s="3" t="inlineStr">
        <is>
          <t>Veterinarian services</t>
        </is>
      </c>
      <c r="C288" s="3" t="inlineStr">
        <is>
          <t>SERB02</t>
        </is>
      </c>
      <c r="D288" s="3" t="inlineStr">
        <is>
          <t>CUUR0000SS62054</t>
        </is>
      </c>
      <c r="E288" s="3" t="inlineStr">
        <is>
          <t>CUSR0000SS62054</t>
        </is>
      </c>
      <c r="F288" s="3" t="inlineStr">
        <is>
          <t>GM</t>
        </is>
      </c>
      <c r="G288" s="3" t="inlineStr">
        <is>
          <t>monthly in New York/Los Angeles/Chicago; often bimonthly elsewhere</t>
        </is>
      </c>
      <c r="H288" s="10">
        <f>IFERROR(INDEX(Weights!$D:$D,MATCH($A288,Weights!$A:$A,0)),"")</f>
        <v/>
      </c>
      <c r="I288" s="10">
        <f>IFERROR(INDEX('Data_NSA'!$A:$OK,MATCH(I$2,'Data_NSA'!$A:$A,0),MATCH($D288,'Data_NSA'!$1:$1,0)),"")</f>
        <v/>
      </c>
      <c r="J288" s="10">
        <f>IF($E288="","",IFERROR(INDEX('Data_SA'!$A:$LO,MATCH(I$2,'Data_SA'!$A:$A,0),MATCH($E288,'Data_SA'!$1:$1,0)),""))</f>
        <v/>
      </c>
      <c r="K288" s="7">
        <f>IF($E288="","",IFERROR(INDEX('Data_SA'!$A:$LO,MATCH(I$2,'Data_SA'!$A:$A,0),MATCH($E288,'Data_SA'!$1:$1,0))/INDEX('Data_SA'!$A:$LO,MATCH(EDATE(I$2,-1),'Data_SA'!$A:$A,0),MATCH($E288,'Data_SA'!$1:$1,0))-1,""))</f>
        <v/>
      </c>
      <c r="L288" s="7">
        <f>IFERROR(INDEX('Data_NSA'!$A:$OK,MATCH(I$2,'Data_NSA'!$A:$A,0),MATCH($D288,'Data_NSA'!$1:$1,0))/INDEX('Data_NSA'!$A:$OK,MATCH(EDATE(I$2,-12),'Data_NSA'!$A:$A,0),MATCH($D288,'Data_NSA'!$1:$1,0))-1,"")</f>
        <v/>
      </c>
      <c r="M288" s="10">
        <f>IFERROR(INDEX('Weights'!$G:$I,MATCH($A288,'Weights'!$A:$A,0),MATCH(I$2,'Weights'!$G$1:$I$1,0)),"")</f>
        <v/>
      </c>
      <c r="N288" s="10">
        <f>IF($E288="","",IFERROR(100*(INDEX('Weights'!$D:$D,MATCH($A288,'Weights'!$A:$A,0))*(INDEX('Data_NSA'!$A:$OK,MATCH(EDATE(I$2,-1),'Data_NSA'!$A:$A,0),MATCH($D288,'Data_NSA'!$1:$1,0))/INDEX('Data_NSA'!$A:$OK,MATCH(INDEX('Weights'!$E:$E,MATCH($A288,'Weights'!$A:$A,0)),'Data_NSA'!$A:$A,0),MATCH($D288,'Data_NSA'!$1:$1,0))))/(100*(INDEX('Data_NSA'!$A:$OK,MATCH(EDATE(I$2,-1),'Data_NSA'!$A:$A,0),MATCH("CUUR0000SA0",'Data_NSA'!$1:$1,0))/INDEX('Data_NSA'!$A:$OK,MATCH(INDEX('Weights'!$E:$E,MATCH($A288,'Weights'!$A:$A,0)),'Data_NSA'!$A:$A,0),MATCH("CUUR0000SA0",'Data_NSA'!$1:$1,0))))*(INDEX('Data_SA'!$A:$LO,MATCH(I$2,'Data_SA'!$A:$A,0),MATCH($E288,'Data_SA'!$1:$1,0))/INDEX('Data_SA'!$A:$LO,MATCH(EDATE(I$2,-1),'Data_SA'!$A:$A,0),MATCH($E288,'Data_SA'!$1:$1,0))-1),""))</f>
        <v/>
      </c>
      <c r="O288" s="10">
        <f>IFERROR(INDEX('Data_NSA'!$A:$OK,MATCH(O$2,'Data_NSA'!$A:$A,0),MATCH($D288,'Data_NSA'!$1:$1,0)),"")</f>
        <v/>
      </c>
      <c r="P288" s="10">
        <f>IF($E288="","",IFERROR(INDEX('Data_SA'!$A:$LO,MATCH(O$2,'Data_SA'!$A:$A,0),MATCH($E288,'Data_SA'!$1:$1,0)),""))</f>
        <v/>
      </c>
      <c r="Q288" s="7">
        <f>IF($E288="","",IFERROR(INDEX('Data_SA'!$A:$LO,MATCH(O$2,'Data_SA'!$A:$A,0),MATCH($E288,'Data_SA'!$1:$1,0))/INDEX('Data_SA'!$A:$LO,MATCH(EDATE(O$2,-1),'Data_SA'!$A:$A,0),MATCH($E288,'Data_SA'!$1:$1,0))-1,""))</f>
        <v/>
      </c>
      <c r="R288" s="7">
        <f>IFERROR(INDEX('Data_NSA'!$A:$OK,MATCH(O$2,'Data_NSA'!$A:$A,0),MATCH($D288,'Data_NSA'!$1:$1,0))/INDEX('Data_NSA'!$A:$OK,MATCH(EDATE(O$2,-12),'Data_NSA'!$A:$A,0),MATCH($D288,'Data_NSA'!$1:$1,0))-1,"")</f>
        <v/>
      </c>
      <c r="S288" s="10">
        <f>IFERROR(INDEX('Weights'!$G:$I,MATCH($A288,'Weights'!$A:$A,0),MATCH(O$2,'Weights'!$G$1:$I$1,0)),"")</f>
        <v/>
      </c>
      <c r="T288" s="10">
        <f>IF($E288="","",IFERROR(100*(INDEX('Weights'!$D:$D,MATCH($A288,'Weights'!$A:$A,0))*(INDEX('Data_NSA'!$A:$OK,MATCH(EDATE(O$2,-1),'Data_NSA'!$A:$A,0),MATCH($D288,'Data_NSA'!$1:$1,0))/INDEX('Data_NSA'!$A:$OK,MATCH(INDEX('Weights'!$E:$E,MATCH($A288,'Weights'!$A:$A,0)),'Data_NSA'!$A:$A,0),MATCH($D288,'Data_NSA'!$1:$1,0))))/(100*(INDEX('Data_NSA'!$A:$OK,MATCH(EDATE(O$2,-1),'Data_NSA'!$A:$A,0),MATCH("CUUR0000SA0",'Data_NSA'!$1:$1,0))/INDEX('Data_NSA'!$A:$OK,MATCH(INDEX('Weights'!$E:$E,MATCH($A288,'Weights'!$A:$A,0)),'Data_NSA'!$A:$A,0),MATCH("CUUR0000SA0",'Data_NSA'!$1:$1,0))))*(INDEX('Data_SA'!$A:$LO,MATCH(O$2,'Data_SA'!$A:$A,0),MATCH($E288,'Data_SA'!$1:$1,0))/INDEX('Data_SA'!$A:$LO,MATCH(EDATE(O$2,-1),'Data_SA'!$A:$A,0),MATCH($E288,'Data_SA'!$1:$1,0))-1),""))</f>
        <v/>
      </c>
      <c r="U288" s="10">
        <f>IFERROR(INDEX('Data_NSA'!$A:$OK,MATCH(U$2,'Data_NSA'!$A:$A,0),MATCH($D288,'Data_NSA'!$1:$1,0)),"")</f>
        <v/>
      </c>
      <c r="V288" s="10">
        <f>IF($E288="","",IFERROR(INDEX('Data_SA'!$A:$LO,MATCH(U$2,'Data_SA'!$A:$A,0),MATCH($E288,'Data_SA'!$1:$1,0)),""))</f>
        <v/>
      </c>
      <c r="W288" s="7">
        <f>IF($E288="","",IFERROR(INDEX('Data_SA'!$A:$LO,MATCH(U$2,'Data_SA'!$A:$A,0),MATCH($E288,'Data_SA'!$1:$1,0))/INDEX('Data_SA'!$A:$LO,MATCH(EDATE(U$2,-1),'Data_SA'!$A:$A,0),MATCH($E288,'Data_SA'!$1:$1,0))-1,""))</f>
        <v/>
      </c>
      <c r="X288" s="7">
        <f>IFERROR(INDEX('Data_NSA'!$A:$OK,MATCH(U$2,'Data_NSA'!$A:$A,0),MATCH($D288,'Data_NSA'!$1:$1,0))/INDEX('Data_NSA'!$A:$OK,MATCH(EDATE(U$2,-12),'Data_NSA'!$A:$A,0),MATCH($D288,'Data_NSA'!$1:$1,0))-1,"")</f>
        <v/>
      </c>
      <c r="Y288" s="10">
        <f>IFERROR(INDEX('Weights'!$G:$I,MATCH($A288,'Weights'!$A:$A,0),MATCH(U$2,'Weights'!$G$1:$I$1,0)),"")</f>
        <v/>
      </c>
      <c r="Z288" s="10">
        <f>IF($E288="","",IFERROR(100*(INDEX('Weights'!$D:$D,MATCH($A288,'Weights'!$A:$A,0))*(INDEX('Data_NSA'!$A:$OK,MATCH(EDATE(U$2,-1),'Data_NSA'!$A:$A,0),MATCH($D288,'Data_NSA'!$1:$1,0))/INDEX('Data_NSA'!$A:$OK,MATCH(INDEX('Weights'!$E:$E,MATCH($A288,'Weights'!$A:$A,0)),'Data_NSA'!$A:$A,0),MATCH($D288,'Data_NSA'!$1:$1,0))))/(100*(INDEX('Data_NSA'!$A:$OK,MATCH(EDATE(U$2,-1),'Data_NSA'!$A:$A,0),MATCH("CUUR0000SA0",'Data_NSA'!$1:$1,0))/INDEX('Data_NSA'!$A:$OK,MATCH(INDEX('Weights'!$E:$E,MATCH($A288,'Weights'!$A:$A,0)),'Data_NSA'!$A:$A,0),MATCH("CUUR0000SA0",'Data_NSA'!$1:$1,0))))*(INDEX('Data_SA'!$A:$LO,MATCH(U$2,'Data_SA'!$A:$A,0),MATCH($E288,'Data_SA'!$1:$1,0))/INDEX('Data_SA'!$A:$LO,MATCH(EDATE(U$2,-1),'Data_SA'!$A:$A,0),MATCH($E288,'Data_SA'!$1:$1,0))-1),""))</f>
        <v/>
      </c>
    </row>
    <row r="289">
      <c r="A289" s="3" t="inlineStr">
        <is>
          <t>SERC</t>
        </is>
      </c>
      <c r="B289" s="3" t="inlineStr">
        <is>
          <t>Sporting goods</t>
        </is>
      </c>
      <c r="C289" s="3" t="inlineStr">
        <is>
          <t>SAR</t>
        </is>
      </c>
      <c r="D289" s="3" t="inlineStr">
        <is>
          <t>CUUR0000SERC</t>
        </is>
      </c>
      <c r="E289" s="3" t="inlineStr">
        <is>
          <t>CUSR0000SERC</t>
        </is>
      </c>
      <c r="F289" s="3" t="inlineStr">
        <is>
          <t>aggregate</t>
        </is>
      </c>
      <c r="G289" s="3" t="inlineStr">
        <is>
          <t>aggregate</t>
        </is>
      </c>
      <c r="H289" s="10">
        <f>IFERROR(INDEX(Weights!$D:$D,MATCH($A289,Weights!$A:$A,0)),"")</f>
        <v/>
      </c>
      <c r="I289" s="10">
        <f>IFERROR(INDEX('Data_NSA'!$A:$OK,MATCH(I$2,'Data_NSA'!$A:$A,0),MATCH($D289,'Data_NSA'!$1:$1,0)),"")</f>
        <v/>
      </c>
      <c r="J289" s="10">
        <f>IF($E289="","",IFERROR(INDEX('Data_SA'!$A:$LO,MATCH(I$2,'Data_SA'!$A:$A,0),MATCH($E289,'Data_SA'!$1:$1,0)),""))</f>
        <v/>
      </c>
      <c r="K289" s="7">
        <f>IF($E289="","",IFERROR(INDEX('Data_SA'!$A:$LO,MATCH(I$2,'Data_SA'!$A:$A,0),MATCH($E289,'Data_SA'!$1:$1,0))/INDEX('Data_SA'!$A:$LO,MATCH(EDATE(I$2,-1),'Data_SA'!$A:$A,0),MATCH($E289,'Data_SA'!$1:$1,0))-1,""))</f>
        <v/>
      </c>
      <c r="L289" s="7">
        <f>IFERROR(INDEX('Data_NSA'!$A:$OK,MATCH(I$2,'Data_NSA'!$A:$A,0),MATCH($D289,'Data_NSA'!$1:$1,0))/INDEX('Data_NSA'!$A:$OK,MATCH(EDATE(I$2,-12),'Data_NSA'!$A:$A,0),MATCH($D289,'Data_NSA'!$1:$1,0))-1,"")</f>
        <v/>
      </c>
      <c r="M289" s="10">
        <f>IFERROR(INDEX('Weights'!$G:$I,MATCH($A289,'Weights'!$A:$A,0),MATCH(I$2,'Weights'!$G$1:$I$1,0)),"")</f>
        <v/>
      </c>
      <c r="N289" s="10">
        <f>IF($E289="","",IFERROR(100*(INDEX('Weights'!$D:$D,MATCH($A289,'Weights'!$A:$A,0))*(INDEX('Data_NSA'!$A:$OK,MATCH(EDATE(I$2,-1),'Data_NSA'!$A:$A,0),MATCH($D289,'Data_NSA'!$1:$1,0))/INDEX('Data_NSA'!$A:$OK,MATCH(INDEX('Weights'!$E:$E,MATCH($A289,'Weights'!$A:$A,0)),'Data_NSA'!$A:$A,0),MATCH($D289,'Data_NSA'!$1:$1,0))))/(100*(INDEX('Data_NSA'!$A:$OK,MATCH(EDATE(I$2,-1),'Data_NSA'!$A:$A,0),MATCH("CUUR0000SA0",'Data_NSA'!$1:$1,0))/INDEX('Data_NSA'!$A:$OK,MATCH(INDEX('Weights'!$E:$E,MATCH($A289,'Weights'!$A:$A,0)),'Data_NSA'!$A:$A,0),MATCH("CUUR0000SA0",'Data_NSA'!$1:$1,0))))*(INDEX('Data_SA'!$A:$LO,MATCH(I$2,'Data_SA'!$A:$A,0),MATCH($E289,'Data_SA'!$1:$1,0))/INDEX('Data_SA'!$A:$LO,MATCH(EDATE(I$2,-1),'Data_SA'!$A:$A,0),MATCH($E289,'Data_SA'!$1:$1,0))-1),""))</f>
        <v/>
      </c>
      <c r="O289" s="10">
        <f>IFERROR(INDEX('Data_NSA'!$A:$OK,MATCH(O$2,'Data_NSA'!$A:$A,0),MATCH($D289,'Data_NSA'!$1:$1,0)),"")</f>
        <v/>
      </c>
      <c r="P289" s="10">
        <f>IF($E289="","",IFERROR(INDEX('Data_SA'!$A:$LO,MATCH(O$2,'Data_SA'!$A:$A,0),MATCH($E289,'Data_SA'!$1:$1,0)),""))</f>
        <v/>
      </c>
      <c r="Q289" s="7">
        <f>IF($E289="","",IFERROR(INDEX('Data_SA'!$A:$LO,MATCH(O$2,'Data_SA'!$A:$A,0),MATCH($E289,'Data_SA'!$1:$1,0))/INDEX('Data_SA'!$A:$LO,MATCH(EDATE(O$2,-1),'Data_SA'!$A:$A,0),MATCH($E289,'Data_SA'!$1:$1,0))-1,""))</f>
        <v/>
      </c>
      <c r="R289" s="7">
        <f>IFERROR(INDEX('Data_NSA'!$A:$OK,MATCH(O$2,'Data_NSA'!$A:$A,0),MATCH($D289,'Data_NSA'!$1:$1,0))/INDEX('Data_NSA'!$A:$OK,MATCH(EDATE(O$2,-12),'Data_NSA'!$A:$A,0),MATCH($D289,'Data_NSA'!$1:$1,0))-1,"")</f>
        <v/>
      </c>
      <c r="S289" s="10">
        <f>IFERROR(INDEX('Weights'!$G:$I,MATCH($A289,'Weights'!$A:$A,0),MATCH(O$2,'Weights'!$G$1:$I$1,0)),"")</f>
        <v/>
      </c>
      <c r="T289" s="10">
        <f>IF($E289="","",IFERROR(100*(INDEX('Weights'!$D:$D,MATCH($A289,'Weights'!$A:$A,0))*(INDEX('Data_NSA'!$A:$OK,MATCH(EDATE(O$2,-1),'Data_NSA'!$A:$A,0),MATCH($D289,'Data_NSA'!$1:$1,0))/INDEX('Data_NSA'!$A:$OK,MATCH(INDEX('Weights'!$E:$E,MATCH($A289,'Weights'!$A:$A,0)),'Data_NSA'!$A:$A,0),MATCH($D289,'Data_NSA'!$1:$1,0))))/(100*(INDEX('Data_NSA'!$A:$OK,MATCH(EDATE(O$2,-1),'Data_NSA'!$A:$A,0),MATCH("CUUR0000SA0",'Data_NSA'!$1:$1,0))/INDEX('Data_NSA'!$A:$OK,MATCH(INDEX('Weights'!$E:$E,MATCH($A289,'Weights'!$A:$A,0)),'Data_NSA'!$A:$A,0),MATCH("CUUR0000SA0",'Data_NSA'!$1:$1,0))))*(INDEX('Data_SA'!$A:$LO,MATCH(O$2,'Data_SA'!$A:$A,0),MATCH($E289,'Data_SA'!$1:$1,0))/INDEX('Data_SA'!$A:$LO,MATCH(EDATE(O$2,-1),'Data_SA'!$A:$A,0),MATCH($E289,'Data_SA'!$1:$1,0))-1),""))</f>
        <v/>
      </c>
      <c r="U289" s="10">
        <f>IFERROR(INDEX('Data_NSA'!$A:$OK,MATCH(U$2,'Data_NSA'!$A:$A,0),MATCH($D289,'Data_NSA'!$1:$1,0)),"")</f>
        <v/>
      </c>
      <c r="V289" s="10">
        <f>IF($E289="","",IFERROR(INDEX('Data_SA'!$A:$LO,MATCH(U$2,'Data_SA'!$A:$A,0),MATCH($E289,'Data_SA'!$1:$1,0)),""))</f>
        <v/>
      </c>
      <c r="W289" s="7">
        <f>IF($E289="","",IFERROR(INDEX('Data_SA'!$A:$LO,MATCH(U$2,'Data_SA'!$A:$A,0),MATCH($E289,'Data_SA'!$1:$1,0))/INDEX('Data_SA'!$A:$LO,MATCH(EDATE(U$2,-1),'Data_SA'!$A:$A,0),MATCH($E289,'Data_SA'!$1:$1,0))-1,""))</f>
        <v/>
      </c>
      <c r="X289" s="7">
        <f>IFERROR(INDEX('Data_NSA'!$A:$OK,MATCH(U$2,'Data_NSA'!$A:$A,0),MATCH($D289,'Data_NSA'!$1:$1,0))/INDEX('Data_NSA'!$A:$OK,MATCH(EDATE(U$2,-12),'Data_NSA'!$A:$A,0),MATCH($D289,'Data_NSA'!$1:$1,0))-1,"")</f>
        <v/>
      </c>
      <c r="Y289" s="10">
        <f>IFERROR(INDEX('Weights'!$G:$I,MATCH($A289,'Weights'!$A:$A,0),MATCH(U$2,'Weights'!$G$1:$I$1,0)),"")</f>
        <v/>
      </c>
      <c r="Z289" s="10">
        <f>IF($E289="","",IFERROR(100*(INDEX('Weights'!$D:$D,MATCH($A289,'Weights'!$A:$A,0))*(INDEX('Data_NSA'!$A:$OK,MATCH(EDATE(U$2,-1),'Data_NSA'!$A:$A,0),MATCH($D289,'Data_NSA'!$1:$1,0))/INDEX('Data_NSA'!$A:$OK,MATCH(INDEX('Weights'!$E:$E,MATCH($A289,'Weights'!$A:$A,0)),'Data_NSA'!$A:$A,0),MATCH($D289,'Data_NSA'!$1:$1,0))))/(100*(INDEX('Data_NSA'!$A:$OK,MATCH(EDATE(U$2,-1),'Data_NSA'!$A:$A,0),MATCH("CUUR0000SA0",'Data_NSA'!$1:$1,0))/INDEX('Data_NSA'!$A:$OK,MATCH(INDEX('Weights'!$E:$E,MATCH($A289,'Weights'!$A:$A,0)),'Data_NSA'!$A:$A,0),MATCH("CUUR0000SA0",'Data_NSA'!$1:$1,0))))*(INDEX('Data_SA'!$A:$LO,MATCH(U$2,'Data_SA'!$A:$A,0),MATCH($E289,'Data_SA'!$1:$1,0))/INDEX('Data_SA'!$A:$LO,MATCH(EDATE(U$2,-1),'Data_SA'!$A:$A,0),MATCH($E289,'Data_SA'!$1:$1,0))-1),""))</f>
        <v/>
      </c>
    </row>
    <row r="290">
      <c r="A290" s="3" t="inlineStr">
        <is>
          <t>SERC01</t>
        </is>
      </c>
      <c r="B290" s="3" t="inlineStr">
        <is>
          <t>Sports vehicles including bicycles</t>
        </is>
      </c>
      <c r="C290" s="3" t="inlineStr">
        <is>
          <t>SERC</t>
        </is>
      </c>
      <c r="D290" s="3" t="inlineStr">
        <is>
          <t>CUUR0000SERC01</t>
        </is>
      </c>
      <c r="E290" s="3" t="inlineStr">
        <is>
          <t>CUSR0000SERC01</t>
        </is>
      </c>
      <c r="F290" s="3" t="inlineStr">
        <is>
          <t>GM</t>
        </is>
      </c>
      <c r="G290" s="3" t="inlineStr">
        <is>
          <t>monthly in New York/Los Angeles/Chicago; often bimonthly elsewhere</t>
        </is>
      </c>
      <c r="H290" s="10">
        <f>IFERROR(INDEX(Weights!$D:$D,MATCH($A290,Weights!$A:$A,0)),"")</f>
        <v/>
      </c>
      <c r="I290" s="10">
        <f>IFERROR(INDEX('Data_NSA'!$A:$OK,MATCH(I$2,'Data_NSA'!$A:$A,0),MATCH($D290,'Data_NSA'!$1:$1,0)),"")</f>
        <v/>
      </c>
      <c r="J290" s="10">
        <f>IF($E290="","",IFERROR(INDEX('Data_SA'!$A:$LO,MATCH(I$2,'Data_SA'!$A:$A,0),MATCH($E290,'Data_SA'!$1:$1,0)),""))</f>
        <v/>
      </c>
      <c r="K290" s="7">
        <f>IF($E290="","",IFERROR(INDEX('Data_SA'!$A:$LO,MATCH(I$2,'Data_SA'!$A:$A,0),MATCH($E290,'Data_SA'!$1:$1,0))/INDEX('Data_SA'!$A:$LO,MATCH(EDATE(I$2,-1),'Data_SA'!$A:$A,0),MATCH($E290,'Data_SA'!$1:$1,0))-1,""))</f>
        <v/>
      </c>
      <c r="L290" s="7">
        <f>IFERROR(INDEX('Data_NSA'!$A:$OK,MATCH(I$2,'Data_NSA'!$A:$A,0),MATCH($D290,'Data_NSA'!$1:$1,0))/INDEX('Data_NSA'!$A:$OK,MATCH(EDATE(I$2,-12),'Data_NSA'!$A:$A,0),MATCH($D290,'Data_NSA'!$1:$1,0))-1,"")</f>
        <v/>
      </c>
      <c r="M290" s="10">
        <f>IFERROR(INDEX('Weights'!$G:$I,MATCH($A290,'Weights'!$A:$A,0),MATCH(I$2,'Weights'!$G$1:$I$1,0)),"")</f>
        <v/>
      </c>
      <c r="N290" s="10">
        <f>IF($E290="","",IFERROR(100*(INDEX('Weights'!$D:$D,MATCH($A290,'Weights'!$A:$A,0))*(INDEX('Data_NSA'!$A:$OK,MATCH(EDATE(I$2,-1),'Data_NSA'!$A:$A,0),MATCH($D290,'Data_NSA'!$1:$1,0))/INDEX('Data_NSA'!$A:$OK,MATCH(INDEX('Weights'!$E:$E,MATCH($A290,'Weights'!$A:$A,0)),'Data_NSA'!$A:$A,0),MATCH($D290,'Data_NSA'!$1:$1,0))))/(100*(INDEX('Data_NSA'!$A:$OK,MATCH(EDATE(I$2,-1),'Data_NSA'!$A:$A,0),MATCH("CUUR0000SA0",'Data_NSA'!$1:$1,0))/INDEX('Data_NSA'!$A:$OK,MATCH(INDEX('Weights'!$E:$E,MATCH($A290,'Weights'!$A:$A,0)),'Data_NSA'!$A:$A,0),MATCH("CUUR0000SA0",'Data_NSA'!$1:$1,0))))*(INDEX('Data_SA'!$A:$LO,MATCH(I$2,'Data_SA'!$A:$A,0),MATCH($E290,'Data_SA'!$1:$1,0))/INDEX('Data_SA'!$A:$LO,MATCH(EDATE(I$2,-1),'Data_SA'!$A:$A,0),MATCH($E290,'Data_SA'!$1:$1,0))-1),""))</f>
        <v/>
      </c>
      <c r="O290" s="10">
        <f>IFERROR(INDEX('Data_NSA'!$A:$OK,MATCH(O$2,'Data_NSA'!$A:$A,0),MATCH($D290,'Data_NSA'!$1:$1,0)),"")</f>
        <v/>
      </c>
      <c r="P290" s="10">
        <f>IF($E290="","",IFERROR(INDEX('Data_SA'!$A:$LO,MATCH(O$2,'Data_SA'!$A:$A,0),MATCH($E290,'Data_SA'!$1:$1,0)),""))</f>
        <v/>
      </c>
      <c r="Q290" s="7">
        <f>IF($E290="","",IFERROR(INDEX('Data_SA'!$A:$LO,MATCH(O$2,'Data_SA'!$A:$A,0),MATCH($E290,'Data_SA'!$1:$1,0))/INDEX('Data_SA'!$A:$LO,MATCH(EDATE(O$2,-1),'Data_SA'!$A:$A,0),MATCH($E290,'Data_SA'!$1:$1,0))-1,""))</f>
        <v/>
      </c>
      <c r="R290" s="7">
        <f>IFERROR(INDEX('Data_NSA'!$A:$OK,MATCH(O$2,'Data_NSA'!$A:$A,0),MATCH($D290,'Data_NSA'!$1:$1,0))/INDEX('Data_NSA'!$A:$OK,MATCH(EDATE(O$2,-12),'Data_NSA'!$A:$A,0),MATCH($D290,'Data_NSA'!$1:$1,0))-1,"")</f>
        <v/>
      </c>
      <c r="S290" s="10">
        <f>IFERROR(INDEX('Weights'!$G:$I,MATCH($A290,'Weights'!$A:$A,0),MATCH(O$2,'Weights'!$G$1:$I$1,0)),"")</f>
        <v/>
      </c>
      <c r="T290" s="10">
        <f>IF($E290="","",IFERROR(100*(INDEX('Weights'!$D:$D,MATCH($A290,'Weights'!$A:$A,0))*(INDEX('Data_NSA'!$A:$OK,MATCH(EDATE(O$2,-1),'Data_NSA'!$A:$A,0),MATCH($D290,'Data_NSA'!$1:$1,0))/INDEX('Data_NSA'!$A:$OK,MATCH(INDEX('Weights'!$E:$E,MATCH($A290,'Weights'!$A:$A,0)),'Data_NSA'!$A:$A,0),MATCH($D290,'Data_NSA'!$1:$1,0))))/(100*(INDEX('Data_NSA'!$A:$OK,MATCH(EDATE(O$2,-1),'Data_NSA'!$A:$A,0),MATCH("CUUR0000SA0",'Data_NSA'!$1:$1,0))/INDEX('Data_NSA'!$A:$OK,MATCH(INDEX('Weights'!$E:$E,MATCH($A290,'Weights'!$A:$A,0)),'Data_NSA'!$A:$A,0),MATCH("CUUR0000SA0",'Data_NSA'!$1:$1,0))))*(INDEX('Data_SA'!$A:$LO,MATCH(O$2,'Data_SA'!$A:$A,0),MATCH($E290,'Data_SA'!$1:$1,0))/INDEX('Data_SA'!$A:$LO,MATCH(EDATE(O$2,-1),'Data_SA'!$A:$A,0),MATCH($E290,'Data_SA'!$1:$1,0))-1),""))</f>
        <v/>
      </c>
      <c r="U290" s="10">
        <f>IFERROR(INDEX('Data_NSA'!$A:$OK,MATCH(U$2,'Data_NSA'!$A:$A,0),MATCH($D290,'Data_NSA'!$1:$1,0)),"")</f>
        <v/>
      </c>
      <c r="V290" s="10">
        <f>IF($E290="","",IFERROR(INDEX('Data_SA'!$A:$LO,MATCH(U$2,'Data_SA'!$A:$A,0),MATCH($E290,'Data_SA'!$1:$1,0)),""))</f>
        <v/>
      </c>
      <c r="W290" s="7">
        <f>IF($E290="","",IFERROR(INDEX('Data_SA'!$A:$LO,MATCH(U$2,'Data_SA'!$A:$A,0),MATCH($E290,'Data_SA'!$1:$1,0))/INDEX('Data_SA'!$A:$LO,MATCH(EDATE(U$2,-1),'Data_SA'!$A:$A,0),MATCH($E290,'Data_SA'!$1:$1,0))-1,""))</f>
        <v/>
      </c>
      <c r="X290" s="7">
        <f>IFERROR(INDEX('Data_NSA'!$A:$OK,MATCH(U$2,'Data_NSA'!$A:$A,0),MATCH($D290,'Data_NSA'!$1:$1,0))/INDEX('Data_NSA'!$A:$OK,MATCH(EDATE(U$2,-12),'Data_NSA'!$A:$A,0),MATCH($D290,'Data_NSA'!$1:$1,0))-1,"")</f>
        <v/>
      </c>
      <c r="Y290" s="10">
        <f>IFERROR(INDEX('Weights'!$G:$I,MATCH($A290,'Weights'!$A:$A,0),MATCH(U$2,'Weights'!$G$1:$I$1,0)),"")</f>
        <v/>
      </c>
      <c r="Z290" s="10">
        <f>IF($E290="","",IFERROR(100*(INDEX('Weights'!$D:$D,MATCH($A290,'Weights'!$A:$A,0))*(INDEX('Data_NSA'!$A:$OK,MATCH(EDATE(U$2,-1),'Data_NSA'!$A:$A,0),MATCH($D290,'Data_NSA'!$1:$1,0))/INDEX('Data_NSA'!$A:$OK,MATCH(INDEX('Weights'!$E:$E,MATCH($A290,'Weights'!$A:$A,0)),'Data_NSA'!$A:$A,0),MATCH($D290,'Data_NSA'!$1:$1,0))))/(100*(INDEX('Data_NSA'!$A:$OK,MATCH(EDATE(U$2,-1),'Data_NSA'!$A:$A,0),MATCH("CUUR0000SA0",'Data_NSA'!$1:$1,0))/INDEX('Data_NSA'!$A:$OK,MATCH(INDEX('Weights'!$E:$E,MATCH($A290,'Weights'!$A:$A,0)),'Data_NSA'!$A:$A,0),MATCH("CUUR0000SA0",'Data_NSA'!$1:$1,0))))*(INDEX('Data_SA'!$A:$LO,MATCH(U$2,'Data_SA'!$A:$A,0),MATCH($E290,'Data_SA'!$1:$1,0))/INDEX('Data_SA'!$A:$LO,MATCH(EDATE(U$2,-1),'Data_SA'!$A:$A,0),MATCH($E290,'Data_SA'!$1:$1,0))-1),""))</f>
        <v/>
      </c>
    </row>
    <row r="291">
      <c r="A291" s="3" t="inlineStr">
        <is>
          <t>SERC02</t>
        </is>
      </c>
      <c r="B291" s="3" t="inlineStr">
        <is>
          <t>Sports equipment</t>
        </is>
      </c>
      <c r="C291" s="3" t="inlineStr">
        <is>
          <t>SERC</t>
        </is>
      </c>
      <c r="D291" s="3" t="inlineStr">
        <is>
          <t>CUUR0000SERC02</t>
        </is>
      </c>
      <c r="E291" s="3" t="inlineStr">
        <is>
          <t>CUSR0000SERC02</t>
        </is>
      </c>
      <c r="F291" s="3" t="inlineStr">
        <is>
          <t>GM</t>
        </is>
      </c>
      <c r="G291" s="3" t="inlineStr">
        <is>
          <t>monthly in New York/Los Angeles/Chicago; often bimonthly elsewhere</t>
        </is>
      </c>
      <c r="H291" s="10">
        <f>IFERROR(INDEX(Weights!$D:$D,MATCH($A291,Weights!$A:$A,0)),"")</f>
        <v/>
      </c>
      <c r="I291" s="10">
        <f>IFERROR(INDEX('Data_NSA'!$A:$OK,MATCH(I$2,'Data_NSA'!$A:$A,0),MATCH($D291,'Data_NSA'!$1:$1,0)),"")</f>
        <v/>
      </c>
      <c r="J291" s="10">
        <f>IF($E291="","",IFERROR(INDEX('Data_SA'!$A:$LO,MATCH(I$2,'Data_SA'!$A:$A,0),MATCH($E291,'Data_SA'!$1:$1,0)),""))</f>
        <v/>
      </c>
      <c r="K291" s="7">
        <f>IF($E291="","",IFERROR(INDEX('Data_SA'!$A:$LO,MATCH(I$2,'Data_SA'!$A:$A,0),MATCH($E291,'Data_SA'!$1:$1,0))/INDEX('Data_SA'!$A:$LO,MATCH(EDATE(I$2,-1),'Data_SA'!$A:$A,0),MATCH($E291,'Data_SA'!$1:$1,0))-1,""))</f>
        <v/>
      </c>
      <c r="L291" s="7">
        <f>IFERROR(INDEX('Data_NSA'!$A:$OK,MATCH(I$2,'Data_NSA'!$A:$A,0),MATCH($D291,'Data_NSA'!$1:$1,0))/INDEX('Data_NSA'!$A:$OK,MATCH(EDATE(I$2,-12),'Data_NSA'!$A:$A,0),MATCH($D291,'Data_NSA'!$1:$1,0))-1,"")</f>
        <v/>
      </c>
      <c r="M291" s="10">
        <f>IFERROR(INDEX('Weights'!$G:$I,MATCH($A291,'Weights'!$A:$A,0),MATCH(I$2,'Weights'!$G$1:$I$1,0)),"")</f>
        <v/>
      </c>
      <c r="N291" s="10">
        <f>IF($E291="","",IFERROR(100*(INDEX('Weights'!$D:$D,MATCH($A291,'Weights'!$A:$A,0))*(INDEX('Data_NSA'!$A:$OK,MATCH(EDATE(I$2,-1),'Data_NSA'!$A:$A,0),MATCH($D291,'Data_NSA'!$1:$1,0))/INDEX('Data_NSA'!$A:$OK,MATCH(INDEX('Weights'!$E:$E,MATCH($A291,'Weights'!$A:$A,0)),'Data_NSA'!$A:$A,0),MATCH($D291,'Data_NSA'!$1:$1,0))))/(100*(INDEX('Data_NSA'!$A:$OK,MATCH(EDATE(I$2,-1),'Data_NSA'!$A:$A,0),MATCH("CUUR0000SA0",'Data_NSA'!$1:$1,0))/INDEX('Data_NSA'!$A:$OK,MATCH(INDEX('Weights'!$E:$E,MATCH($A291,'Weights'!$A:$A,0)),'Data_NSA'!$A:$A,0),MATCH("CUUR0000SA0",'Data_NSA'!$1:$1,0))))*(INDEX('Data_SA'!$A:$LO,MATCH(I$2,'Data_SA'!$A:$A,0),MATCH($E291,'Data_SA'!$1:$1,0))/INDEX('Data_SA'!$A:$LO,MATCH(EDATE(I$2,-1),'Data_SA'!$A:$A,0),MATCH($E291,'Data_SA'!$1:$1,0))-1),""))</f>
        <v/>
      </c>
      <c r="O291" s="10">
        <f>IFERROR(INDEX('Data_NSA'!$A:$OK,MATCH(O$2,'Data_NSA'!$A:$A,0),MATCH($D291,'Data_NSA'!$1:$1,0)),"")</f>
        <v/>
      </c>
      <c r="P291" s="10">
        <f>IF($E291="","",IFERROR(INDEX('Data_SA'!$A:$LO,MATCH(O$2,'Data_SA'!$A:$A,0),MATCH($E291,'Data_SA'!$1:$1,0)),""))</f>
        <v/>
      </c>
      <c r="Q291" s="7">
        <f>IF($E291="","",IFERROR(INDEX('Data_SA'!$A:$LO,MATCH(O$2,'Data_SA'!$A:$A,0),MATCH($E291,'Data_SA'!$1:$1,0))/INDEX('Data_SA'!$A:$LO,MATCH(EDATE(O$2,-1),'Data_SA'!$A:$A,0),MATCH($E291,'Data_SA'!$1:$1,0))-1,""))</f>
        <v/>
      </c>
      <c r="R291" s="7">
        <f>IFERROR(INDEX('Data_NSA'!$A:$OK,MATCH(O$2,'Data_NSA'!$A:$A,0),MATCH($D291,'Data_NSA'!$1:$1,0))/INDEX('Data_NSA'!$A:$OK,MATCH(EDATE(O$2,-12),'Data_NSA'!$A:$A,0),MATCH($D291,'Data_NSA'!$1:$1,0))-1,"")</f>
        <v/>
      </c>
      <c r="S291" s="10">
        <f>IFERROR(INDEX('Weights'!$G:$I,MATCH($A291,'Weights'!$A:$A,0),MATCH(O$2,'Weights'!$G$1:$I$1,0)),"")</f>
        <v/>
      </c>
      <c r="T291" s="10">
        <f>IF($E291="","",IFERROR(100*(INDEX('Weights'!$D:$D,MATCH($A291,'Weights'!$A:$A,0))*(INDEX('Data_NSA'!$A:$OK,MATCH(EDATE(O$2,-1),'Data_NSA'!$A:$A,0),MATCH($D291,'Data_NSA'!$1:$1,0))/INDEX('Data_NSA'!$A:$OK,MATCH(INDEX('Weights'!$E:$E,MATCH($A291,'Weights'!$A:$A,0)),'Data_NSA'!$A:$A,0),MATCH($D291,'Data_NSA'!$1:$1,0))))/(100*(INDEX('Data_NSA'!$A:$OK,MATCH(EDATE(O$2,-1),'Data_NSA'!$A:$A,0),MATCH("CUUR0000SA0",'Data_NSA'!$1:$1,0))/INDEX('Data_NSA'!$A:$OK,MATCH(INDEX('Weights'!$E:$E,MATCH($A291,'Weights'!$A:$A,0)),'Data_NSA'!$A:$A,0),MATCH("CUUR0000SA0",'Data_NSA'!$1:$1,0))))*(INDEX('Data_SA'!$A:$LO,MATCH(O$2,'Data_SA'!$A:$A,0),MATCH($E291,'Data_SA'!$1:$1,0))/INDEX('Data_SA'!$A:$LO,MATCH(EDATE(O$2,-1),'Data_SA'!$A:$A,0),MATCH($E291,'Data_SA'!$1:$1,0))-1),""))</f>
        <v/>
      </c>
      <c r="U291" s="10">
        <f>IFERROR(INDEX('Data_NSA'!$A:$OK,MATCH(U$2,'Data_NSA'!$A:$A,0),MATCH($D291,'Data_NSA'!$1:$1,0)),"")</f>
        <v/>
      </c>
      <c r="V291" s="10">
        <f>IF($E291="","",IFERROR(INDEX('Data_SA'!$A:$LO,MATCH(U$2,'Data_SA'!$A:$A,0),MATCH($E291,'Data_SA'!$1:$1,0)),""))</f>
        <v/>
      </c>
      <c r="W291" s="7">
        <f>IF($E291="","",IFERROR(INDEX('Data_SA'!$A:$LO,MATCH(U$2,'Data_SA'!$A:$A,0),MATCH($E291,'Data_SA'!$1:$1,0))/INDEX('Data_SA'!$A:$LO,MATCH(EDATE(U$2,-1),'Data_SA'!$A:$A,0),MATCH($E291,'Data_SA'!$1:$1,0))-1,""))</f>
        <v/>
      </c>
      <c r="X291" s="7">
        <f>IFERROR(INDEX('Data_NSA'!$A:$OK,MATCH(U$2,'Data_NSA'!$A:$A,0),MATCH($D291,'Data_NSA'!$1:$1,0))/INDEX('Data_NSA'!$A:$OK,MATCH(EDATE(U$2,-12),'Data_NSA'!$A:$A,0),MATCH($D291,'Data_NSA'!$1:$1,0))-1,"")</f>
        <v/>
      </c>
      <c r="Y291" s="10">
        <f>IFERROR(INDEX('Weights'!$G:$I,MATCH($A291,'Weights'!$A:$A,0),MATCH(U$2,'Weights'!$G$1:$I$1,0)),"")</f>
        <v/>
      </c>
      <c r="Z291" s="10">
        <f>IF($E291="","",IFERROR(100*(INDEX('Weights'!$D:$D,MATCH($A291,'Weights'!$A:$A,0))*(INDEX('Data_NSA'!$A:$OK,MATCH(EDATE(U$2,-1),'Data_NSA'!$A:$A,0),MATCH($D291,'Data_NSA'!$1:$1,0))/INDEX('Data_NSA'!$A:$OK,MATCH(INDEX('Weights'!$E:$E,MATCH($A291,'Weights'!$A:$A,0)),'Data_NSA'!$A:$A,0),MATCH($D291,'Data_NSA'!$1:$1,0))))/(100*(INDEX('Data_NSA'!$A:$OK,MATCH(EDATE(U$2,-1),'Data_NSA'!$A:$A,0),MATCH("CUUR0000SA0",'Data_NSA'!$1:$1,0))/INDEX('Data_NSA'!$A:$OK,MATCH(INDEX('Weights'!$E:$E,MATCH($A291,'Weights'!$A:$A,0)),'Data_NSA'!$A:$A,0),MATCH("CUUR0000SA0",'Data_NSA'!$1:$1,0))))*(INDEX('Data_SA'!$A:$LO,MATCH(U$2,'Data_SA'!$A:$A,0),MATCH($E291,'Data_SA'!$1:$1,0))/INDEX('Data_SA'!$A:$LO,MATCH(EDATE(U$2,-1),'Data_SA'!$A:$A,0),MATCH($E291,'Data_SA'!$1:$1,0))-1),""))</f>
        <v/>
      </c>
    </row>
    <row r="292">
      <c r="A292" s="3" t="inlineStr">
        <is>
          <t>SERD</t>
        </is>
      </c>
      <c r="B292" s="3" t="inlineStr">
        <is>
          <t>Photography</t>
        </is>
      </c>
      <c r="C292" s="3" t="inlineStr">
        <is>
          <t>SAR</t>
        </is>
      </c>
      <c r="D292" s="3" t="inlineStr">
        <is>
          <t>CUUR0000SERD</t>
        </is>
      </c>
      <c r="E292" s="3" t="inlineStr">
        <is>
          <t>CUSR0000SERD</t>
        </is>
      </c>
      <c r="F292" s="3" t="inlineStr">
        <is>
          <t>aggregate</t>
        </is>
      </c>
      <c r="G292" s="3" t="inlineStr">
        <is>
          <t>aggregate</t>
        </is>
      </c>
      <c r="H292" s="10">
        <f>IFERROR(INDEX(Weights!$D:$D,MATCH($A292,Weights!$A:$A,0)),"")</f>
        <v/>
      </c>
      <c r="I292" s="10">
        <f>IFERROR(INDEX('Data_NSA'!$A:$OK,MATCH(I$2,'Data_NSA'!$A:$A,0),MATCH($D292,'Data_NSA'!$1:$1,0)),"")</f>
        <v/>
      </c>
      <c r="J292" s="10">
        <f>IF($E292="","",IFERROR(INDEX('Data_SA'!$A:$LO,MATCH(I$2,'Data_SA'!$A:$A,0),MATCH($E292,'Data_SA'!$1:$1,0)),""))</f>
        <v/>
      </c>
      <c r="K292" s="7">
        <f>IF($E292="","",IFERROR(INDEX('Data_SA'!$A:$LO,MATCH(I$2,'Data_SA'!$A:$A,0),MATCH($E292,'Data_SA'!$1:$1,0))/INDEX('Data_SA'!$A:$LO,MATCH(EDATE(I$2,-1),'Data_SA'!$A:$A,0),MATCH($E292,'Data_SA'!$1:$1,0))-1,""))</f>
        <v/>
      </c>
      <c r="L292" s="7">
        <f>IFERROR(INDEX('Data_NSA'!$A:$OK,MATCH(I$2,'Data_NSA'!$A:$A,0),MATCH($D292,'Data_NSA'!$1:$1,0))/INDEX('Data_NSA'!$A:$OK,MATCH(EDATE(I$2,-12),'Data_NSA'!$A:$A,0),MATCH($D292,'Data_NSA'!$1:$1,0))-1,"")</f>
        <v/>
      </c>
      <c r="M292" s="10">
        <f>IFERROR(INDEX('Weights'!$G:$I,MATCH($A292,'Weights'!$A:$A,0),MATCH(I$2,'Weights'!$G$1:$I$1,0)),"")</f>
        <v/>
      </c>
      <c r="N292" s="10">
        <f>IF($E292="","",IFERROR(100*(INDEX('Weights'!$D:$D,MATCH($A292,'Weights'!$A:$A,0))*(INDEX('Data_NSA'!$A:$OK,MATCH(EDATE(I$2,-1),'Data_NSA'!$A:$A,0),MATCH($D292,'Data_NSA'!$1:$1,0))/INDEX('Data_NSA'!$A:$OK,MATCH(INDEX('Weights'!$E:$E,MATCH($A292,'Weights'!$A:$A,0)),'Data_NSA'!$A:$A,0),MATCH($D292,'Data_NSA'!$1:$1,0))))/(100*(INDEX('Data_NSA'!$A:$OK,MATCH(EDATE(I$2,-1),'Data_NSA'!$A:$A,0),MATCH("CUUR0000SA0",'Data_NSA'!$1:$1,0))/INDEX('Data_NSA'!$A:$OK,MATCH(INDEX('Weights'!$E:$E,MATCH($A292,'Weights'!$A:$A,0)),'Data_NSA'!$A:$A,0),MATCH("CUUR0000SA0",'Data_NSA'!$1:$1,0))))*(INDEX('Data_SA'!$A:$LO,MATCH(I$2,'Data_SA'!$A:$A,0),MATCH($E292,'Data_SA'!$1:$1,0))/INDEX('Data_SA'!$A:$LO,MATCH(EDATE(I$2,-1),'Data_SA'!$A:$A,0),MATCH($E292,'Data_SA'!$1:$1,0))-1),""))</f>
        <v/>
      </c>
      <c r="O292" s="10">
        <f>IFERROR(INDEX('Data_NSA'!$A:$OK,MATCH(O$2,'Data_NSA'!$A:$A,0),MATCH($D292,'Data_NSA'!$1:$1,0)),"")</f>
        <v/>
      </c>
      <c r="P292" s="10">
        <f>IF($E292="","",IFERROR(INDEX('Data_SA'!$A:$LO,MATCH(O$2,'Data_SA'!$A:$A,0),MATCH($E292,'Data_SA'!$1:$1,0)),""))</f>
        <v/>
      </c>
      <c r="Q292" s="7">
        <f>IF($E292="","",IFERROR(INDEX('Data_SA'!$A:$LO,MATCH(O$2,'Data_SA'!$A:$A,0),MATCH($E292,'Data_SA'!$1:$1,0))/INDEX('Data_SA'!$A:$LO,MATCH(EDATE(O$2,-1),'Data_SA'!$A:$A,0),MATCH($E292,'Data_SA'!$1:$1,0))-1,""))</f>
        <v/>
      </c>
      <c r="R292" s="7">
        <f>IFERROR(INDEX('Data_NSA'!$A:$OK,MATCH(O$2,'Data_NSA'!$A:$A,0),MATCH($D292,'Data_NSA'!$1:$1,0))/INDEX('Data_NSA'!$A:$OK,MATCH(EDATE(O$2,-12),'Data_NSA'!$A:$A,0),MATCH($D292,'Data_NSA'!$1:$1,0))-1,"")</f>
        <v/>
      </c>
      <c r="S292" s="10">
        <f>IFERROR(INDEX('Weights'!$G:$I,MATCH($A292,'Weights'!$A:$A,0),MATCH(O$2,'Weights'!$G$1:$I$1,0)),"")</f>
        <v/>
      </c>
      <c r="T292" s="10">
        <f>IF($E292="","",IFERROR(100*(INDEX('Weights'!$D:$D,MATCH($A292,'Weights'!$A:$A,0))*(INDEX('Data_NSA'!$A:$OK,MATCH(EDATE(O$2,-1),'Data_NSA'!$A:$A,0),MATCH($D292,'Data_NSA'!$1:$1,0))/INDEX('Data_NSA'!$A:$OK,MATCH(INDEX('Weights'!$E:$E,MATCH($A292,'Weights'!$A:$A,0)),'Data_NSA'!$A:$A,0),MATCH($D292,'Data_NSA'!$1:$1,0))))/(100*(INDEX('Data_NSA'!$A:$OK,MATCH(EDATE(O$2,-1),'Data_NSA'!$A:$A,0),MATCH("CUUR0000SA0",'Data_NSA'!$1:$1,0))/INDEX('Data_NSA'!$A:$OK,MATCH(INDEX('Weights'!$E:$E,MATCH($A292,'Weights'!$A:$A,0)),'Data_NSA'!$A:$A,0),MATCH("CUUR0000SA0",'Data_NSA'!$1:$1,0))))*(INDEX('Data_SA'!$A:$LO,MATCH(O$2,'Data_SA'!$A:$A,0),MATCH($E292,'Data_SA'!$1:$1,0))/INDEX('Data_SA'!$A:$LO,MATCH(EDATE(O$2,-1),'Data_SA'!$A:$A,0),MATCH($E292,'Data_SA'!$1:$1,0))-1),""))</f>
        <v/>
      </c>
      <c r="U292" s="10">
        <f>IFERROR(INDEX('Data_NSA'!$A:$OK,MATCH(U$2,'Data_NSA'!$A:$A,0),MATCH($D292,'Data_NSA'!$1:$1,0)),"")</f>
        <v/>
      </c>
      <c r="V292" s="10">
        <f>IF($E292="","",IFERROR(INDEX('Data_SA'!$A:$LO,MATCH(U$2,'Data_SA'!$A:$A,0),MATCH($E292,'Data_SA'!$1:$1,0)),""))</f>
        <v/>
      </c>
      <c r="W292" s="7">
        <f>IF($E292="","",IFERROR(INDEX('Data_SA'!$A:$LO,MATCH(U$2,'Data_SA'!$A:$A,0),MATCH($E292,'Data_SA'!$1:$1,0))/INDEX('Data_SA'!$A:$LO,MATCH(EDATE(U$2,-1),'Data_SA'!$A:$A,0),MATCH($E292,'Data_SA'!$1:$1,0))-1,""))</f>
        <v/>
      </c>
      <c r="X292" s="7">
        <f>IFERROR(INDEX('Data_NSA'!$A:$OK,MATCH(U$2,'Data_NSA'!$A:$A,0),MATCH($D292,'Data_NSA'!$1:$1,0))/INDEX('Data_NSA'!$A:$OK,MATCH(EDATE(U$2,-12),'Data_NSA'!$A:$A,0),MATCH($D292,'Data_NSA'!$1:$1,0))-1,"")</f>
        <v/>
      </c>
      <c r="Y292" s="10">
        <f>IFERROR(INDEX('Weights'!$G:$I,MATCH($A292,'Weights'!$A:$A,0),MATCH(U$2,'Weights'!$G$1:$I$1,0)),"")</f>
        <v/>
      </c>
      <c r="Z292" s="10">
        <f>IF($E292="","",IFERROR(100*(INDEX('Weights'!$D:$D,MATCH($A292,'Weights'!$A:$A,0))*(INDEX('Data_NSA'!$A:$OK,MATCH(EDATE(U$2,-1),'Data_NSA'!$A:$A,0),MATCH($D292,'Data_NSA'!$1:$1,0))/INDEX('Data_NSA'!$A:$OK,MATCH(INDEX('Weights'!$E:$E,MATCH($A292,'Weights'!$A:$A,0)),'Data_NSA'!$A:$A,0),MATCH($D292,'Data_NSA'!$1:$1,0))))/(100*(INDEX('Data_NSA'!$A:$OK,MATCH(EDATE(U$2,-1),'Data_NSA'!$A:$A,0),MATCH("CUUR0000SA0",'Data_NSA'!$1:$1,0))/INDEX('Data_NSA'!$A:$OK,MATCH(INDEX('Weights'!$E:$E,MATCH($A292,'Weights'!$A:$A,0)),'Data_NSA'!$A:$A,0),MATCH("CUUR0000SA0",'Data_NSA'!$1:$1,0))))*(INDEX('Data_SA'!$A:$LO,MATCH(U$2,'Data_SA'!$A:$A,0),MATCH($E292,'Data_SA'!$1:$1,0))/INDEX('Data_SA'!$A:$LO,MATCH(EDATE(U$2,-1),'Data_SA'!$A:$A,0),MATCH($E292,'Data_SA'!$1:$1,0))-1),""))</f>
        <v/>
      </c>
    </row>
    <row r="293">
      <c r="A293" s="3" t="inlineStr">
        <is>
          <t>SERD01</t>
        </is>
      </c>
      <c r="B293" s="3" t="inlineStr">
        <is>
          <t>Photographic equipment and supplies</t>
        </is>
      </c>
      <c r="C293" s="3" t="inlineStr">
        <is>
          <t>SERD</t>
        </is>
      </c>
      <c r="D293" s="3" t="inlineStr">
        <is>
          <t>CUUR0000SERD01</t>
        </is>
      </c>
      <c r="E293" s="3" t="inlineStr">
        <is>
          <t>CUSR0000SERD01</t>
        </is>
      </c>
      <c r="F293" s="3" t="inlineStr">
        <is>
          <t>aggregate</t>
        </is>
      </c>
      <c r="G293" s="3" t="inlineStr">
        <is>
          <t>aggregate</t>
        </is>
      </c>
      <c r="H293" s="10">
        <f>IFERROR(INDEX(Weights!$D:$D,MATCH($A293,Weights!$A:$A,0)),"")</f>
        <v/>
      </c>
      <c r="I293" s="10">
        <f>IFERROR(INDEX('Data_NSA'!$A:$OK,MATCH(I$2,'Data_NSA'!$A:$A,0),MATCH($D293,'Data_NSA'!$1:$1,0)),"")</f>
        <v/>
      </c>
      <c r="J293" s="10">
        <f>IF($E293="","",IFERROR(INDEX('Data_SA'!$A:$LO,MATCH(I$2,'Data_SA'!$A:$A,0),MATCH($E293,'Data_SA'!$1:$1,0)),""))</f>
        <v/>
      </c>
      <c r="K293" s="7">
        <f>IF($E293="","",IFERROR(INDEX('Data_SA'!$A:$LO,MATCH(I$2,'Data_SA'!$A:$A,0),MATCH($E293,'Data_SA'!$1:$1,0))/INDEX('Data_SA'!$A:$LO,MATCH(EDATE(I$2,-1),'Data_SA'!$A:$A,0),MATCH($E293,'Data_SA'!$1:$1,0))-1,""))</f>
        <v/>
      </c>
      <c r="L293" s="7">
        <f>IFERROR(INDEX('Data_NSA'!$A:$OK,MATCH(I$2,'Data_NSA'!$A:$A,0),MATCH($D293,'Data_NSA'!$1:$1,0))/INDEX('Data_NSA'!$A:$OK,MATCH(EDATE(I$2,-12),'Data_NSA'!$A:$A,0),MATCH($D293,'Data_NSA'!$1:$1,0))-1,"")</f>
        <v/>
      </c>
      <c r="M293" s="10">
        <f>IFERROR(INDEX('Weights'!$G:$I,MATCH($A293,'Weights'!$A:$A,0),MATCH(I$2,'Weights'!$G$1:$I$1,0)),"")</f>
        <v/>
      </c>
      <c r="N293" s="10">
        <f>IF($E293="","",IFERROR(100*(INDEX('Weights'!$D:$D,MATCH($A293,'Weights'!$A:$A,0))*(INDEX('Data_NSA'!$A:$OK,MATCH(EDATE(I$2,-1),'Data_NSA'!$A:$A,0),MATCH($D293,'Data_NSA'!$1:$1,0))/INDEX('Data_NSA'!$A:$OK,MATCH(INDEX('Weights'!$E:$E,MATCH($A293,'Weights'!$A:$A,0)),'Data_NSA'!$A:$A,0),MATCH($D293,'Data_NSA'!$1:$1,0))))/(100*(INDEX('Data_NSA'!$A:$OK,MATCH(EDATE(I$2,-1),'Data_NSA'!$A:$A,0),MATCH("CUUR0000SA0",'Data_NSA'!$1:$1,0))/INDEX('Data_NSA'!$A:$OK,MATCH(INDEX('Weights'!$E:$E,MATCH($A293,'Weights'!$A:$A,0)),'Data_NSA'!$A:$A,0),MATCH("CUUR0000SA0",'Data_NSA'!$1:$1,0))))*(INDEX('Data_SA'!$A:$LO,MATCH(I$2,'Data_SA'!$A:$A,0),MATCH($E293,'Data_SA'!$1:$1,0))/INDEX('Data_SA'!$A:$LO,MATCH(EDATE(I$2,-1),'Data_SA'!$A:$A,0),MATCH($E293,'Data_SA'!$1:$1,0))-1),""))</f>
        <v/>
      </c>
      <c r="O293" s="10">
        <f>IFERROR(INDEX('Data_NSA'!$A:$OK,MATCH(O$2,'Data_NSA'!$A:$A,0),MATCH($D293,'Data_NSA'!$1:$1,0)),"")</f>
        <v/>
      </c>
      <c r="P293" s="10">
        <f>IF($E293="","",IFERROR(INDEX('Data_SA'!$A:$LO,MATCH(O$2,'Data_SA'!$A:$A,0),MATCH($E293,'Data_SA'!$1:$1,0)),""))</f>
        <v/>
      </c>
      <c r="Q293" s="7">
        <f>IF($E293="","",IFERROR(INDEX('Data_SA'!$A:$LO,MATCH(O$2,'Data_SA'!$A:$A,0),MATCH($E293,'Data_SA'!$1:$1,0))/INDEX('Data_SA'!$A:$LO,MATCH(EDATE(O$2,-1),'Data_SA'!$A:$A,0),MATCH($E293,'Data_SA'!$1:$1,0))-1,""))</f>
        <v/>
      </c>
      <c r="R293" s="7">
        <f>IFERROR(INDEX('Data_NSA'!$A:$OK,MATCH(O$2,'Data_NSA'!$A:$A,0),MATCH($D293,'Data_NSA'!$1:$1,0))/INDEX('Data_NSA'!$A:$OK,MATCH(EDATE(O$2,-12),'Data_NSA'!$A:$A,0),MATCH($D293,'Data_NSA'!$1:$1,0))-1,"")</f>
        <v/>
      </c>
      <c r="S293" s="10">
        <f>IFERROR(INDEX('Weights'!$G:$I,MATCH($A293,'Weights'!$A:$A,0),MATCH(O$2,'Weights'!$G$1:$I$1,0)),"")</f>
        <v/>
      </c>
      <c r="T293" s="10">
        <f>IF($E293="","",IFERROR(100*(INDEX('Weights'!$D:$D,MATCH($A293,'Weights'!$A:$A,0))*(INDEX('Data_NSA'!$A:$OK,MATCH(EDATE(O$2,-1),'Data_NSA'!$A:$A,0),MATCH($D293,'Data_NSA'!$1:$1,0))/INDEX('Data_NSA'!$A:$OK,MATCH(INDEX('Weights'!$E:$E,MATCH($A293,'Weights'!$A:$A,0)),'Data_NSA'!$A:$A,0),MATCH($D293,'Data_NSA'!$1:$1,0))))/(100*(INDEX('Data_NSA'!$A:$OK,MATCH(EDATE(O$2,-1),'Data_NSA'!$A:$A,0),MATCH("CUUR0000SA0",'Data_NSA'!$1:$1,0))/INDEX('Data_NSA'!$A:$OK,MATCH(INDEX('Weights'!$E:$E,MATCH($A293,'Weights'!$A:$A,0)),'Data_NSA'!$A:$A,0),MATCH("CUUR0000SA0",'Data_NSA'!$1:$1,0))))*(INDEX('Data_SA'!$A:$LO,MATCH(O$2,'Data_SA'!$A:$A,0),MATCH($E293,'Data_SA'!$1:$1,0))/INDEX('Data_SA'!$A:$LO,MATCH(EDATE(O$2,-1),'Data_SA'!$A:$A,0),MATCH($E293,'Data_SA'!$1:$1,0))-1),""))</f>
        <v/>
      </c>
      <c r="U293" s="10">
        <f>IFERROR(INDEX('Data_NSA'!$A:$OK,MATCH(U$2,'Data_NSA'!$A:$A,0),MATCH($D293,'Data_NSA'!$1:$1,0)),"")</f>
        <v/>
      </c>
      <c r="V293" s="10">
        <f>IF($E293="","",IFERROR(INDEX('Data_SA'!$A:$LO,MATCH(U$2,'Data_SA'!$A:$A,0),MATCH($E293,'Data_SA'!$1:$1,0)),""))</f>
        <v/>
      </c>
      <c r="W293" s="7">
        <f>IF($E293="","",IFERROR(INDEX('Data_SA'!$A:$LO,MATCH(U$2,'Data_SA'!$A:$A,0),MATCH($E293,'Data_SA'!$1:$1,0))/INDEX('Data_SA'!$A:$LO,MATCH(EDATE(U$2,-1),'Data_SA'!$A:$A,0),MATCH($E293,'Data_SA'!$1:$1,0))-1,""))</f>
        <v/>
      </c>
      <c r="X293" s="7">
        <f>IFERROR(INDEX('Data_NSA'!$A:$OK,MATCH(U$2,'Data_NSA'!$A:$A,0),MATCH($D293,'Data_NSA'!$1:$1,0))/INDEX('Data_NSA'!$A:$OK,MATCH(EDATE(U$2,-12),'Data_NSA'!$A:$A,0),MATCH($D293,'Data_NSA'!$1:$1,0))-1,"")</f>
        <v/>
      </c>
      <c r="Y293" s="10">
        <f>IFERROR(INDEX('Weights'!$G:$I,MATCH($A293,'Weights'!$A:$A,0),MATCH(U$2,'Weights'!$G$1:$I$1,0)),"")</f>
        <v/>
      </c>
      <c r="Z293" s="10">
        <f>IF($E293="","",IFERROR(100*(INDEX('Weights'!$D:$D,MATCH($A293,'Weights'!$A:$A,0))*(INDEX('Data_NSA'!$A:$OK,MATCH(EDATE(U$2,-1),'Data_NSA'!$A:$A,0),MATCH($D293,'Data_NSA'!$1:$1,0))/INDEX('Data_NSA'!$A:$OK,MATCH(INDEX('Weights'!$E:$E,MATCH($A293,'Weights'!$A:$A,0)),'Data_NSA'!$A:$A,0),MATCH($D293,'Data_NSA'!$1:$1,0))))/(100*(INDEX('Data_NSA'!$A:$OK,MATCH(EDATE(U$2,-1),'Data_NSA'!$A:$A,0),MATCH("CUUR0000SA0",'Data_NSA'!$1:$1,0))/INDEX('Data_NSA'!$A:$OK,MATCH(INDEX('Weights'!$E:$E,MATCH($A293,'Weights'!$A:$A,0)),'Data_NSA'!$A:$A,0),MATCH("CUUR0000SA0",'Data_NSA'!$1:$1,0))))*(INDEX('Data_SA'!$A:$LO,MATCH(U$2,'Data_SA'!$A:$A,0),MATCH($E293,'Data_SA'!$1:$1,0))/INDEX('Data_SA'!$A:$LO,MATCH(EDATE(U$2,-1),'Data_SA'!$A:$A,0),MATCH($E293,'Data_SA'!$1:$1,0))-1),""))</f>
        <v/>
      </c>
    </row>
    <row r="294">
      <c r="A294" s="3" t="inlineStr">
        <is>
          <t>SS61021</t>
        </is>
      </c>
      <c r="B294" s="3" t="inlineStr">
        <is>
          <t>Film and photographic supplies</t>
        </is>
      </c>
      <c r="C294" s="3" t="inlineStr">
        <is>
          <t>SERD01</t>
        </is>
      </c>
      <c r="D294" s="3" t="inlineStr">
        <is>
          <t>CUUR0000SS61021</t>
        </is>
      </c>
      <c r="E294" s="3" t="inlineStr"/>
      <c r="F294" s="3" t="inlineStr">
        <is>
          <t>GM</t>
        </is>
      </c>
      <c r="G294" s="3" t="inlineStr">
        <is>
          <t>monthly in New York/Los Angeles/Chicago; often bimonthly elsewhere</t>
        </is>
      </c>
      <c r="H294" s="10">
        <f>IFERROR(INDEX(Weights!$D:$D,MATCH($A294,Weights!$A:$A,0)),"")</f>
        <v/>
      </c>
      <c r="I294" s="10">
        <f>IFERROR(INDEX('Data_NSA'!$A:$OK,MATCH(I$2,'Data_NSA'!$A:$A,0),MATCH($D294,'Data_NSA'!$1:$1,0)),"")</f>
        <v/>
      </c>
      <c r="J294" s="10">
        <f>IF($E294="","",IFERROR(INDEX('Data_SA'!$A:$LO,MATCH(I$2,'Data_SA'!$A:$A,0),MATCH($E294,'Data_SA'!$1:$1,0)),""))</f>
        <v/>
      </c>
      <c r="K294" s="7">
        <f>IF($E294="","",IFERROR(INDEX('Data_SA'!$A:$LO,MATCH(I$2,'Data_SA'!$A:$A,0),MATCH($E294,'Data_SA'!$1:$1,0))/INDEX('Data_SA'!$A:$LO,MATCH(EDATE(I$2,-1),'Data_SA'!$A:$A,0),MATCH($E294,'Data_SA'!$1:$1,0))-1,""))</f>
        <v/>
      </c>
      <c r="L294" s="7">
        <f>IFERROR(INDEX('Data_NSA'!$A:$OK,MATCH(I$2,'Data_NSA'!$A:$A,0),MATCH($D294,'Data_NSA'!$1:$1,0))/INDEX('Data_NSA'!$A:$OK,MATCH(EDATE(I$2,-12),'Data_NSA'!$A:$A,0),MATCH($D294,'Data_NSA'!$1:$1,0))-1,"")</f>
        <v/>
      </c>
      <c r="M294" s="10">
        <f>IFERROR(INDEX('Weights'!$G:$I,MATCH($A294,'Weights'!$A:$A,0),MATCH(I$2,'Weights'!$G$1:$I$1,0)),"")</f>
        <v/>
      </c>
      <c r="N294" s="10">
        <f>IF($E294="","",IFERROR(100*(INDEX('Weights'!$D:$D,MATCH($A294,'Weights'!$A:$A,0))*(INDEX('Data_NSA'!$A:$OK,MATCH(EDATE(I$2,-1),'Data_NSA'!$A:$A,0),MATCH($D294,'Data_NSA'!$1:$1,0))/INDEX('Data_NSA'!$A:$OK,MATCH(INDEX('Weights'!$E:$E,MATCH($A294,'Weights'!$A:$A,0)),'Data_NSA'!$A:$A,0),MATCH($D294,'Data_NSA'!$1:$1,0))))/(100*(INDEX('Data_NSA'!$A:$OK,MATCH(EDATE(I$2,-1),'Data_NSA'!$A:$A,0),MATCH("CUUR0000SA0",'Data_NSA'!$1:$1,0))/INDEX('Data_NSA'!$A:$OK,MATCH(INDEX('Weights'!$E:$E,MATCH($A294,'Weights'!$A:$A,0)),'Data_NSA'!$A:$A,0),MATCH("CUUR0000SA0",'Data_NSA'!$1:$1,0))))*(INDEX('Data_SA'!$A:$LO,MATCH(I$2,'Data_SA'!$A:$A,0),MATCH($E294,'Data_SA'!$1:$1,0))/INDEX('Data_SA'!$A:$LO,MATCH(EDATE(I$2,-1),'Data_SA'!$A:$A,0),MATCH($E294,'Data_SA'!$1:$1,0))-1),""))</f>
        <v/>
      </c>
      <c r="O294" s="10">
        <f>IFERROR(INDEX('Data_NSA'!$A:$OK,MATCH(O$2,'Data_NSA'!$A:$A,0),MATCH($D294,'Data_NSA'!$1:$1,0)),"")</f>
        <v/>
      </c>
      <c r="P294" s="10">
        <f>IF($E294="","",IFERROR(INDEX('Data_SA'!$A:$LO,MATCH(O$2,'Data_SA'!$A:$A,0),MATCH($E294,'Data_SA'!$1:$1,0)),""))</f>
        <v/>
      </c>
      <c r="Q294" s="7">
        <f>IF($E294="","",IFERROR(INDEX('Data_SA'!$A:$LO,MATCH(O$2,'Data_SA'!$A:$A,0),MATCH($E294,'Data_SA'!$1:$1,0))/INDEX('Data_SA'!$A:$LO,MATCH(EDATE(O$2,-1),'Data_SA'!$A:$A,0),MATCH($E294,'Data_SA'!$1:$1,0))-1,""))</f>
        <v/>
      </c>
      <c r="R294" s="7">
        <f>IFERROR(INDEX('Data_NSA'!$A:$OK,MATCH(O$2,'Data_NSA'!$A:$A,0),MATCH($D294,'Data_NSA'!$1:$1,0))/INDEX('Data_NSA'!$A:$OK,MATCH(EDATE(O$2,-12),'Data_NSA'!$A:$A,0),MATCH($D294,'Data_NSA'!$1:$1,0))-1,"")</f>
        <v/>
      </c>
      <c r="S294" s="10">
        <f>IFERROR(INDEX('Weights'!$G:$I,MATCH($A294,'Weights'!$A:$A,0),MATCH(O$2,'Weights'!$G$1:$I$1,0)),"")</f>
        <v/>
      </c>
      <c r="T294" s="10">
        <f>IF($E294="","",IFERROR(100*(INDEX('Weights'!$D:$D,MATCH($A294,'Weights'!$A:$A,0))*(INDEX('Data_NSA'!$A:$OK,MATCH(EDATE(O$2,-1),'Data_NSA'!$A:$A,0),MATCH($D294,'Data_NSA'!$1:$1,0))/INDEX('Data_NSA'!$A:$OK,MATCH(INDEX('Weights'!$E:$E,MATCH($A294,'Weights'!$A:$A,0)),'Data_NSA'!$A:$A,0),MATCH($D294,'Data_NSA'!$1:$1,0))))/(100*(INDEX('Data_NSA'!$A:$OK,MATCH(EDATE(O$2,-1),'Data_NSA'!$A:$A,0),MATCH("CUUR0000SA0",'Data_NSA'!$1:$1,0))/INDEX('Data_NSA'!$A:$OK,MATCH(INDEX('Weights'!$E:$E,MATCH($A294,'Weights'!$A:$A,0)),'Data_NSA'!$A:$A,0),MATCH("CUUR0000SA0",'Data_NSA'!$1:$1,0))))*(INDEX('Data_SA'!$A:$LO,MATCH(O$2,'Data_SA'!$A:$A,0),MATCH($E294,'Data_SA'!$1:$1,0))/INDEX('Data_SA'!$A:$LO,MATCH(EDATE(O$2,-1),'Data_SA'!$A:$A,0),MATCH($E294,'Data_SA'!$1:$1,0))-1),""))</f>
        <v/>
      </c>
      <c r="U294" s="10">
        <f>IFERROR(INDEX('Data_NSA'!$A:$OK,MATCH(U$2,'Data_NSA'!$A:$A,0),MATCH($D294,'Data_NSA'!$1:$1,0)),"")</f>
        <v/>
      </c>
      <c r="V294" s="10">
        <f>IF($E294="","",IFERROR(INDEX('Data_SA'!$A:$LO,MATCH(U$2,'Data_SA'!$A:$A,0),MATCH($E294,'Data_SA'!$1:$1,0)),""))</f>
        <v/>
      </c>
      <c r="W294" s="7">
        <f>IF($E294="","",IFERROR(INDEX('Data_SA'!$A:$LO,MATCH(U$2,'Data_SA'!$A:$A,0),MATCH($E294,'Data_SA'!$1:$1,0))/INDEX('Data_SA'!$A:$LO,MATCH(EDATE(U$2,-1),'Data_SA'!$A:$A,0),MATCH($E294,'Data_SA'!$1:$1,0))-1,""))</f>
        <v/>
      </c>
      <c r="X294" s="7">
        <f>IFERROR(INDEX('Data_NSA'!$A:$OK,MATCH(U$2,'Data_NSA'!$A:$A,0),MATCH($D294,'Data_NSA'!$1:$1,0))/INDEX('Data_NSA'!$A:$OK,MATCH(EDATE(U$2,-12),'Data_NSA'!$A:$A,0),MATCH($D294,'Data_NSA'!$1:$1,0))-1,"")</f>
        <v/>
      </c>
      <c r="Y294" s="10">
        <f>IFERROR(INDEX('Weights'!$G:$I,MATCH($A294,'Weights'!$A:$A,0),MATCH(U$2,'Weights'!$G$1:$I$1,0)),"")</f>
        <v/>
      </c>
      <c r="Z294" s="10">
        <f>IF($E294="","",IFERROR(100*(INDEX('Weights'!$D:$D,MATCH($A294,'Weights'!$A:$A,0))*(INDEX('Data_NSA'!$A:$OK,MATCH(EDATE(U$2,-1),'Data_NSA'!$A:$A,0),MATCH($D294,'Data_NSA'!$1:$1,0))/INDEX('Data_NSA'!$A:$OK,MATCH(INDEX('Weights'!$E:$E,MATCH($A294,'Weights'!$A:$A,0)),'Data_NSA'!$A:$A,0),MATCH($D294,'Data_NSA'!$1:$1,0))))/(100*(INDEX('Data_NSA'!$A:$OK,MATCH(EDATE(U$2,-1),'Data_NSA'!$A:$A,0),MATCH("CUUR0000SA0",'Data_NSA'!$1:$1,0))/INDEX('Data_NSA'!$A:$OK,MATCH(INDEX('Weights'!$E:$E,MATCH($A294,'Weights'!$A:$A,0)),'Data_NSA'!$A:$A,0),MATCH("CUUR0000SA0",'Data_NSA'!$1:$1,0))))*(INDEX('Data_SA'!$A:$LO,MATCH(U$2,'Data_SA'!$A:$A,0),MATCH($E294,'Data_SA'!$1:$1,0))/INDEX('Data_SA'!$A:$LO,MATCH(EDATE(U$2,-1),'Data_SA'!$A:$A,0),MATCH($E294,'Data_SA'!$1:$1,0))-1),""))</f>
        <v/>
      </c>
    </row>
    <row r="295">
      <c r="A295" s="3" t="inlineStr">
        <is>
          <t>SS61023</t>
        </is>
      </c>
      <c r="B295" s="3" t="inlineStr">
        <is>
          <t>Photographic equipment</t>
        </is>
      </c>
      <c r="C295" s="3" t="inlineStr">
        <is>
          <t>SERD01</t>
        </is>
      </c>
      <c r="D295" s="3" t="inlineStr">
        <is>
          <t>CUUR0000SS61023</t>
        </is>
      </c>
      <c r="E295" s="3" t="inlineStr">
        <is>
          <t>CUSR0000SS61023</t>
        </is>
      </c>
      <c r="F295" s="3" t="inlineStr">
        <is>
          <t>GM</t>
        </is>
      </c>
      <c r="G295" s="3" t="inlineStr">
        <is>
          <t>monthly in New York/Los Angeles/Chicago; often bimonthly elsewhere</t>
        </is>
      </c>
      <c r="H295" s="10">
        <f>IFERROR(INDEX(Weights!$D:$D,MATCH($A295,Weights!$A:$A,0)),"")</f>
        <v/>
      </c>
      <c r="I295" s="10">
        <f>IFERROR(INDEX('Data_NSA'!$A:$OK,MATCH(I$2,'Data_NSA'!$A:$A,0),MATCH($D295,'Data_NSA'!$1:$1,0)),"")</f>
        <v/>
      </c>
      <c r="J295" s="10">
        <f>IF($E295="","",IFERROR(INDEX('Data_SA'!$A:$LO,MATCH(I$2,'Data_SA'!$A:$A,0),MATCH($E295,'Data_SA'!$1:$1,0)),""))</f>
        <v/>
      </c>
      <c r="K295" s="7">
        <f>IF($E295="","",IFERROR(INDEX('Data_SA'!$A:$LO,MATCH(I$2,'Data_SA'!$A:$A,0),MATCH($E295,'Data_SA'!$1:$1,0))/INDEX('Data_SA'!$A:$LO,MATCH(EDATE(I$2,-1),'Data_SA'!$A:$A,0),MATCH($E295,'Data_SA'!$1:$1,0))-1,""))</f>
        <v/>
      </c>
      <c r="L295" s="7">
        <f>IFERROR(INDEX('Data_NSA'!$A:$OK,MATCH(I$2,'Data_NSA'!$A:$A,0),MATCH($D295,'Data_NSA'!$1:$1,0))/INDEX('Data_NSA'!$A:$OK,MATCH(EDATE(I$2,-12),'Data_NSA'!$A:$A,0),MATCH($D295,'Data_NSA'!$1:$1,0))-1,"")</f>
        <v/>
      </c>
      <c r="M295" s="10">
        <f>IFERROR(INDEX('Weights'!$G:$I,MATCH($A295,'Weights'!$A:$A,0),MATCH(I$2,'Weights'!$G$1:$I$1,0)),"")</f>
        <v/>
      </c>
      <c r="N295" s="10">
        <f>IF($E295="","",IFERROR(100*(INDEX('Weights'!$D:$D,MATCH($A295,'Weights'!$A:$A,0))*(INDEX('Data_NSA'!$A:$OK,MATCH(EDATE(I$2,-1),'Data_NSA'!$A:$A,0),MATCH($D295,'Data_NSA'!$1:$1,0))/INDEX('Data_NSA'!$A:$OK,MATCH(INDEX('Weights'!$E:$E,MATCH($A295,'Weights'!$A:$A,0)),'Data_NSA'!$A:$A,0),MATCH($D295,'Data_NSA'!$1:$1,0))))/(100*(INDEX('Data_NSA'!$A:$OK,MATCH(EDATE(I$2,-1),'Data_NSA'!$A:$A,0),MATCH("CUUR0000SA0",'Data_NSA'!$1:$1,0))/INDEX('Data_NSA'!$A:$OK,MATCH(INDEX('Weights'!$E:$E,MATCH($A295,'Weights'!$A:$A,0)),'Data_NSA'!$A:$A,0),MATCH("CUUR0000SA0",'Data_NSA'!$1:$1,0))))*(INDEX('Data_SA'!$A:$LO,MATCH(I$2,'Data_SA'!$A:$A,0),MATCH($E295,'Data_SA'!$1:$1,0))/INDEX('Data_SA'!$A:$LO,MATCH(EDATE(I$2,-1),'Data_SA'!$A:$A,0),MATCH($E295,'Data_SA'!$1:$1,0))-1),""))</f>
        <v/>
      </c>
      <c r="O295" s="10">
        <f>IFERROR(INDEX('Data_NSA'!$A:$OK,MATCH(O$2,'Data_NSA'!$A:$A,0),MATCH($D295,'Data_NSA'!$1:$1,0)),"")</f>
        <v/>
      </c>
      <c r="P295" s="10">
        <f>IF($E295="","",IFERROR(INDEX('Data_SA'!$A:$LO,MATCH(O$2,'Data_SA'!$A:$A,0),MATCH($E295,'Data_SA'!$1:$1,0)),""))</f>
        <v/>
      </c>
      <c r="Q295" s="7">
        <f>IF($E295="","",IFERROR(INDEX('Data_SA'!$A:$LO,MATCH(O$2,'Data_SA'!$A:$A,0),MATCH($E295,'Data_SA'!$1:$1,0))/INDEX('Data_SA'!$A:$LO,MATCH(EDATE(O$2,-1),'Data_SA'!$A:$A,0),MATCH($E295,'Data_SA'!$1:$1,0))-1,""))</f>
        <v/>
      </c>
      <c r="R295" s="7">
        <f>IFERROR(INDEX('Data_NSA'!$A:$OK,MATCH(O$2,'Data_NSA'!$A:$A,0),MATCH($D295,'Data_NSA'!$1:$1,0))/INDEX('Data_NSA'!$A:$OK,MATCH(EDATE(O$2,-12),'Data_NSA'!$A:$A,0),MATCH($D295,'Data_NSA'!$1:$1,0))-1,"")</f>
        <v/>
      </c>
      <c r="S295" s="10">
        <f>IFERROR(INDEX('Weights'!$G:$I,MATCH($A295,'Weights'!$A:$A,0),MATCH(O$2,'Weights'!$G$1:$I$1,0)),"")</f>
        <v/>
      </c>
      <c r="T295" s="10">
        <f>IF($E295="","",IFERROR(100*(INDEX('Weights'!$D:$D,MATCH($A295,'Weights'!$A:$A,0))*(INDEX('Data_NSA'!$A:$OK,MATCH(EDATE(O$2,-1),'Data_NSA'!$A:$A,0),MATCH($D295,'Data_NSA'!$1:$1,0))/INDEX('Data_NSA'!$A:$OK,MATCH(INDEX('Weights'!$E:$E,MATCH($A295,'Weights'!$A:$A,0)),'Data_NSA'!$A:$A,0),MATCH($D295,'Data_NSA'!$1:$1,0))))/(100*(INDEX('Data_NSA'!$A:$OK,MATCH(EDATE(O$2,-1),'Data_NSA'!$A:$A,0),MATCH("CUUR0000SA0",'Data_NSA'!$1:$1,0))/INDEX('Data_NSA'!$A:$OK,MATCH(INDEX('Weights'!$E:$E,MATCH($A295,'Weights'!$A:$A,0)),'Data_NSA'!$A:$A,0),MATCH("CUUR0000SA0",'Data_NSA'!$1:$1,0))))*(INDEX('Data_SA'!$A:$LO,MATCH(O$2,'Data_SA'!$A:$A,0),MATCH($E295,'Data_SA'!$1:$1,0))/INDEX('Data_SA'!$A:$LO,MATCH(EDATE(O$2,-1),'Data_SA'!$A:$A,0),MATCH($E295,'Data_SA'!$1:$1,0))-1),""))</f>
        <v/>
      </c>
      <c r="U295" s="10">
        <f>IFERROR(INDEX('Data_NSA'!$A:$OK,MATCH(U$2,'Data_NSA'!$A:$A,0),MATCH($D295,'Data_NSA'!$1:$1,0)),"")</f>
        <v/>
      </c>
      <c r="V295" s="10">
        <f>IF($E295="","",IFERROR(INDEX('Data_SA'!$A:$LO,MATCH(U$2,'Data_SA'!$A:$A,0),MATCH($E295,'Data_SA'!$1:$1,0)),""))</f>
        <v/>
      </c>
      <c r="W295" s="7">
        <f>IF($E295="","",IFERROR(INDEX('Data_SA'!$A:$LO,MATCH(U$2,'Data_SA'!$A:$A,0),MATCH($E295,'Data_SA'!$1:$1,0))/INDEX('Data_SA'!$A:$LO,MATCH(EDATE(U$2,-1),'Data_SA'!$A:$A,0),MATCH($E295,'Data_SA'!$1:$1,0))-1,""))</f>
        <v/>
      </c>
      <c r="X295" s="7">
        <f>IFERROR(INDEX('Data_NSA'!$A:$OK,MATCH(U$2,'Data_NSA'!$A:$A,0),MATCH($D295,'Data_NSA'!$1:$1,0))/INDEX('Data_NSA'!$A:$OK,MATCH(EDATE(U$2,-12),'Data_NSA'!$A:$A,0),MATCH($D295,'Data_NSA'!$1:$1,0))-1,"")</f>
        <v/>
      </c>
      <c r="Y295" s="10">
        <f>IFERROR(INDEX('Weights'!$G:$I,MATCH($A295,'Weights'!$A:$A,0),MATCH(U$2,'Weights'!$G$1:$I$1,0)),"")</f>
        <v/>
      </c>
      <c r="Z295" s="10">
        <f>IF($E295="","",IFERROR(100*(INDEX('Weights'!$D:$D,MATCH($A295,'Weights'!$A:$A,0))*(INDEX('Data_NSA'!$A:$OK,MATCH(EDATE(U$2,-1),'Data_NSA'!$A:$A,0),MATCH($D295,'Data_NSA'!$1:$1,0))/INDEX('Data_NSA'!$A:$OK,MATCH(INDEX('Weights'!$E:$E,MATCH($A295,'Weights'!$A:$A,0)),'Data_NSA'!$A:$A,0),MATCH($D295,'Data_NSA'!$1:$1,0))))/(100*(INDEX('Data_NSA'!$A:$OK,MATCH(EDATE(U$2,-1),'Data_NSA'!$A:$A,0),MATCH("CUUR0000SA0",'Data_NSA'!$1:$1,0))/INDEX('Data_NSA'!$A:$OK,MATCH(INDEX('Weights'!$E:$E,MATCH($A295,'Weights'!$A:$A,0)),'Data_NSA'!$A:$A,0),MATCH("CUUR0000SA0",'Data_NSA'!$1:$1,0))))*(INDEX('Data_SA'!$A:$LO,MATCH(U$2,'Data_SA'!$A:$A,0),MATCH($E295,'Data_SA'!$1:$1,0))/INDEX('Data_SA'!$A:$LO,MATCH(EDATE(U$2,-1),'Data_SA'!$A:$A,0),MATCH($E295,'Data_SA'!$1:$1,0))-1),""))</f>
        <v/>
      </c>
    </row>
    <row r="296">
      <c r="A296" s="3" t="inlineStr">
        <is>
          <t>SERD02</t>
        </is>
      </c>
      <c r="B296" s="3" t="inlineStr">
        <is>
          <t>Photographers and photo processing</t>
        </is>
      </c>
      <c r="C296" s="3" t="inlineStr">
        <is>
          <t>SERD</t>
        </is>
      </c>
      <c r="D296" s="3" t="inlineStr">
        <is>
          <t>CUUR0000SERD02</t>
        </is>
      </c>
      <c r="E296" s="3" t="inlineStr"/>
      <c r="F296" s="3" t="inlineStr">
        <is>
          <t>aggregate</t>
        </is>
      </c>
      <c r="G296" s="3" t="inlineStr">
        <is>
          <t>aggregate</t>
        </is>
      </c>
      <c r="H296" s="10">
        <f>IFERROR(INDEX(Weights!$D:$D,MATCH($A296,Weights!$A:$A,0)),"")</f>
        <v/>
      </c>
      <c r="I296" s="10">
        <f>IFERROR(INDEX('Data_NSA'!$A:$OK,MATCH(I$2,'Data_NSA'!$A:$A,0),MATCH($D296,'Data_NSA'!$1:$1,0)),"")</f>
        <v/>
      </c>
      <c r="J296" s="10">
        <f>IF($E296="","",IFERROR(INDEX('Data_SA'!$A:$LO,MATCH(I$2,'Data_SA'!$A:$A,0),MATCH($E296,'Data_SA'!$1:$1,0)),""))</f>
        <v/>
      </c>
      <c r="K296" s="7">
        <f>IF($E296="","",IFERROR(INDEX('Data_SA'!$A:$LO,MATCH(I$2,'Data_SA'!$A:$A,0),MATCH($E296,'Data_SA'!$1:$1,0))/INDEX('Data_SA'!$A:$LO,MATCH(EDATE(I$2,-1),'Data_SA'!$A:$A,0),MATCH($E296,'Data_SA'!$1:$1,0))-1,""))</f>
        <v/>
      </c>
      <c r="L296" s="7">
        <f>IFERROR(INDEX('Data_NSA'!$A:$OK,MATCH(I$2,'Data_NSA'!$A:$A,0),MATCH($D296,'Data_NSA'!$1:$1,0))/INDEX('Data_NSA'!$A:$OK,MATCH(EDATE(I$2,-12),'Data_NSA'!$A:$A,0),MATCH($D296,'Data_NSA'!$1:$1,0))-1,"")</f>
        <v/>
      </c>
      <c r="M296" s="10">
        <f>IFERROR(INDEX('Weights'!$G:$I,MATCH($A296,'Weights'!$A:$A,0),MATCH(I$2,'Weights'!$G$1:$I$1,0)),"")</f>
        <v/>
      </c>
      <c r="N296" s="10">
        <f>IF($E296="","",IFERROR(100*(INDEX('Weights'!$D:$D,MATCH($A296,'Weights'!$A:$A,0))*(INDEX('Data_NSA'!$A:$OK,MATCH(EDATE(I$2,-1),'Data_NSA'!$A:$A,0),MATCH($D296,'Data_NSA'!$1:$1,0))/INDEX('Data_NSA'!$A:$OK,MATCH(INDEX('Weights'!$E:$E,MATCH($A296,'Weights'!$A:$A,0)),'Data_NSA'!$A:$A,0),MATCH($D296,'Data_NSA'!$1:$1,0))))/(100*(INDEX('Data_NSA'!$A:$OK,MATCH(EDATE(I$2,-1),'Data_NSA'!$A:$A,0),MATCH("CUUR0000SA0",'Data_NSA'!$1:$1,0))/INDEX('Data_NSA'!$A:$OK,MATCH(INDEX('Weights'!$E:$E,MATCH($A296,'Weights'!$A:$A,0)),'Data_NSA'!$A:$A,0),MATCH("CUUR0000SA0",'Data_NSA'!$1:$1,0))))*(INDEX('Data_SA'!$A:$LO,MATCH(I$2,'Data_SA'!$A:$A,0),MATCH($E296,'Data_SA'!$1:$1,0))/INDEX('Data_SA'!$A:$LO,MATCH(EDATE(I$2,-1),'Data_SA'!$A:$A,0),MATCH($E296,'Data_SA'!$1:$1,0))-1),""))</f>
        <v/>
      </c>
      <c r="O296" s="10">
        <f>IFERROR(INDEX('Data_NSA'!$A:$OK,MATCH(O$2,'Data_NSA'!$A:$A,0),MATCH($D296,'Data_NSA'!$1:$1,0)),"")</f>
        <v/>
      </c>
      <c r="P296" s="10">
        <f>IF($E296="","",IFERROR(INDEX('Data_SA'!$A:$LO,MATCH(O$2,'Data_SA'!$A:$A,0),MATCH($E296,'Data_SA'!$1:$1,0)),""))</f>
        <v/>
      </c>
      <c r="Q296" s="7">
        <f>IF($E296="","",IFERROR(INDEX('Data_SA'!$A:$LO,MATCH(O$2,'Data_SA'!$A:$A,0),MATCH($E296,'Data_SA'!$1:$1,0))/INDEX('Data_SA'!$A:$LO,MATCH(EDATE(O$2,-1),'Data_SA'!$A:$A,0),MATCH($E296,'Data_SA'!$1:$1,0))-1,""))</f>
        <v/>
      </c>
      <c r="R296" s="7">
        <f>IFERROR(INDEX('Data_NSA'!$A:$OK,MATCH(O$2,'Data_NSA'!$A:$A,0),MATCH($D296,'Data_NSA'!$1:$1,0))/INDEX('Data_NSA'!$A:$OK,MATCH(EDATE(O$2,-12),'Data_NSA'!$A:$A,0),MATCH($D296,'Data_NSA'!$1:$1,0))-1,"")</f>
        <v/>
      </c>
      <c r="S296" s="10">
        <f>IFERROR(INDEX('Weights'!$G:$I,MATCH($A296,'Weights'!$A:$A,0),MATCH(O$2,'Weights'!$G$1:$I$1,0)),"")</f>
        <v/>
      </c>
      <c r="T296" s="10">
        <f>IF($E296="","",IFERROR(100*(INDEX('Weights'!$D:$D,MATCH($A296,'Weights'!$A:$A,0))*(INDEX('Data_NSA'!$A:$OK,MATCH(EDATE(O$2,-1),'Data_NSA'!$A:$A,0),MATCH($D296,'Data_NSA'!$1:$1,0))/INDEX('Data_NSA'!$A:$OK,MATCH(INDEX('Weights'!$E:$E,MATCH($A296,'Weights'!$A:$A,0)),'Data_NSA'!$A:$A,0),MATCH($D296,'Data_NSA'!$1:$1,0))))/(100*(INDEX('Data_NSA'!$A:$OK,MATCH(EDATE(O$2,-1),'Data_NSA'!$A:$A,0),MATCH("CUUR0000SA0",'Data_NSA'!$1:$1,0))/INDEX('Data_NSA'!$A:$OK,MATCH(INDEX('Weights'!$E:$E,MATCH($A296,'Weights'!$A:$A,0)),'Data_NSA'!$A:$A,0),MATCH("CUUR0000SA0",'Data_NSA'!$1:$1,0))))*(INDEX('Data_SA'!$A:$LO,MATCH(O$2,'Data_SA'!$A:$A,0),MATCH($E296,'Data_SA'!$1:$1,0))/INDEX('Data_SA'!$A:$LO,MATCH(EDATE(O$2,-1),'Data_SA'!$A:$A,0),MATCH($E296,'Data_SA'!$1:$1,0))-1),""))</f>
        <v/>
      </c>
      <c r="U296" s="10">
        <f>IFERROR(INDEX('Data_NSA'!$A:$OK,MATCH(U$2,'Data_NSA'!$A:$A,0),MATCH($D296,'Data_NSA'!$1:$1,0)),"")</f>
        <v/>
      </c>
      <c r="V296" s="10">
        <f>IF($E296="","",IFERROR(INDEX('Data_SA'!$A:$LO,MATCH(U$2,'Data_SA'!$A:$A,0),MATCH($E296,'Data_SA'!$1:$1,0)),""))</f>
        <v/>
      </c>
      <c r="W296" s="7">
        <f>IF($E296="","",IFERROR(INDEX('Data_SA'!$A:$LO,MATCH(U$2,'Data_SA'!$A:$A,0),MATCH($E296,'Data_SA'!$1:$1,0))/INDEX('Data_SA'!$A:$LO,MATCH(EDATE(U$2,-1),'Data_SA'!$A:$A,0),MATCH($E296,'Data_SA'!$1:$1,0))-1,""))</f>
        <v/>
      </c>
      <c r="X296" s="7">
        <f>IFERROR(INDEX('Data_NSA'!$A:$OK,MATCH(U$2,'Data_NSA'!$A:$A,0),MATCH($D296,'Data_NSA'!$1:$1,0))/INDEX('Data_NSA'!$A:$OK,MATCH(EDATE(U$2,-12),'Data_NSA'!$A:$A,0),MATCH($D296,'Data_NSA'!$1:$1,0))-1,"")</f>
        <v/>
      </c>
      <c r="Y296" s="10">
        <f>IFERROR(INDEX('Weights'!$G:$I,MATCH($A296,'Weights'!$A:$A,0),MATCH(U$2,'Weights'!$G$1:$I$1,0)),"")</f>
        <v/>
      </c>
      <c r="Z296" s="10">
        <f>IF($E296="","",IFERROR(100*(INDEX('Weights'!$D:$D,MATCH($A296,'Weights'!$A:$A,0))*(INDEX('Data_NSA'!$A:$OK,MATCH(EDATE(U$2,-1),'Data_NSA'!$A:$A,0),MATCH($D296,'Data_NSA'!$1:$1,0))/INDEX('Data_NSA'!$A:$OK,MATCH(INDEX('Weights'!$E:$E,MATCH($A296,'Weights'!$A:$A,0)),'Data_NSA'!$A:$A,0),MATCH($D296,'Data_NSA'!$1:$1,0))))/(100*(INDEX('Data_NSA'!$A:$OK,MATCH(EDATE(U$2,-1),'Data_NSA'!$A:$A,0),MATCH("CUUR0000SA0",'Data_NSA'!$1:$1,0))/INDEX('Data_NSA'!$A:$OK,MATCH(INDEX('Weights'!$E:$E,MATCH($A296,'Weights'!$A:$A,0)),'Data_NSA'!$A:$A,0),MATCH("CUUR0000SA0",'Data_NSA'!$1:$1,0))))*(INDEX('Data_SA'!$A:$LO,MATCH(U$2,'Data_SA'!$A:$A,0),MATCH($E296,'Data_SA'!$1:$1,0))/INDEX('Data_SA'!$A:$LO,MATCH(EDATE(U$2,-1),'Data_SA'!$A:$A,0),MATCH($E296,'Data_SA'!$1:$1,0))-1),""))</f>
        <v/>
      </c>
    </row>
    <row r="297">
      <c r="A297" s="3" t="inlineStr">
        <is>
          <t>SS62051</t>
        </is>
      </c>
      <c r="B297" s="3" t="inlineStr">
        <is>
          <t>Photographer fees</t>
        </is>
      </c>
      <c r="C297" s="3" t="inlineStr">
        <is>
          <t>SERD02</t>
        </is>
      </c>
      <c r="D297" s="3" t="inlineStr">
        <is>
          <t>CUUR0000SS62051</t>
        </is>
      </c>
      <c r="E297" s="3" t="inlineStr"/>
      <c r="F297" s="3" t="inlineStr">
        <is>
          <t>GM</t>
        </is>
      </c>
      <c r="G297" s="3" t="inlineStr">
        <is>
          <t>monthly in New York/Los Angeles/Chicago; often bimonthly elsewhere</t>
        </is>
      </c>
      <c r="H297" s="10">
        <f>IFERROR(INDEX(Weights!$D:$D,MATCH($A297,Weights!$A:$A,0)),"")</f>
        <v/>
      </c>
      <c r="I297" s="10">
        <f>IFERROR(INDEX('Data_NSA'!$A:$OK,MATCH(I$2,'Data_NSA'!$A:$A,0),MATCH($D297,'Data_NSA'!$1:$1,0)),"")</f>
        <v/>
      </c>
      <c r="J297" s="10">
        <f>IF($E297="","",IFERROR(INDEX('Data_SA'!$A:$LO,MATCH(I$2,'Data_SA'!$A:$A,0),MATCH($E297,'Data_SA'!$1:$1,0)),""))</f>
        <v/>
      </c>
      <c r="K297" s="7">
        <f>IF($E297="","",IFERROR(INDEX('Data_SA'!$A:$LO,MATCH(I$2,'Data_SA'!$A:$A,0),MATCH($E297,'Data_SA'!$1:$1,0))/INDEX('Data_SA'!$A:$LO,MATCH(EDATE(I$2,-1),'Data_SA'!$A:$A,0),MATCH($E297,'Data_SA'!$1:$1,0))-1,""))</f>
        <v/>
      </c>
      <c r="L297" s="7">
        <f>IFERROR(INDEX('Data_NSA'!$A:$OK,MATCH(I$2,'Data_NSA'!$A:$A,0),MATCH($D297,'Data_NSA'!$1:$1,0))/INDEX('Data_NSA'!$A:$OK,MATCH(EDATE(I$2,-12),'Data_NSA'!$A:$A,0),MATCH($D297,'Data_NSA'!$1:$1,0))-1,"")</f>
        <v/>
      </c>
      <c r="M297" s="10">
        <f>IFERROR(INDEX('Weights'!$G:$I,MATCH($A297,'Weights'!$A:$A,0),MATCH(I$2,'Weights'!$G$1:$I$1,0)),"")</f>
        <v/>
      </c>
      <c r="N297" s="10">
        <f>IF($E297="","",IFERROR(100*(INDEX('Weights'!$D:$D,MATCH($A297,'Weights'!$A:$A,0))*(INDEX('Data_NSA'!$A:$OK,MATCH(EDATE(I$2,-1),'Data_NSA'!$A:$A,0),MATCH($D297,'Data_NSA'!$1:$1,0))/INDEX('Data_NSA'!$A:$OK,MATCH(INDEX('Weights'!$E:$E,MATCH($A297,'Weights'!$A:$A,0)),'Data_NSA'!$A:$A,0),MATCH($D297,'Data_NSA'!$1:$1,0))))/(100*(INDEX('Data_NSA'!$A:$OK,MATCH(EDATE(I$2,-1),'Data_NSA'!$A:$A,0),MATCH("CUUR0000SA0",'Data_NSA'!$1:$1,0))/INDEX('Data_NSA'!$A:$OK,MATCH(INDEX('Weights'!$E:$E,MATCH($A297,'Weights'!$A:$A,0)),'Data_NSA'!$A:$A,0),MATCH("CUUR0000SA0",'Data_NSA'!$1:$1,0))))*(INDEX('Data_SA'!$A:$LO,MATCH(I$2,'Data_SA'!$A:$A,0),MATCH($E297,'Data_SA'!$1:$1,0))/INDEX('Data_SA'!$A:$LO,MATCH(EDATE(I$2,-1),'Data_SA'!$A:$A,0),MATCH($E297,'Data_SA'!$1:$1,0))-1),""))</f>
        <v/>
      </c>
      <c r="O297" s="10">
        <f>IFERROR(INDEX('Data_NSA'!$A:$OK,MATCH(O$2,'Data_NSA'!$A:$A,0),MATCH($D297,'Data_NSA'!$1:$1,0)),"")</f>
        <v/>
      </c>
      <c r="P297" s="10">
        <f>IF($E297="","",IFERROR(INDEX('Data_SA'!$A:$LO,MATCH(O$2,'Data_SA'!$A:$A,0),MATCH($E297,'Data_SA'!$1:$1,0)),""))</f>
        <v/>
      </c>
      <c r="Q297" s="7">
        <f>IF($E297="","",IFERROR(INDEX('Data_SA'!$A:$LO,MATCH(O$2,'Data_SA'!$A:$A,0),MATCH($E297,'Data_SA'!$1:$1,0))/INDEX('Data_SA'!$A:$LO,MATCH(EDATE(O$2,-1),'Data_SA'!$A:$A,0),MATCH($E297,'Data_SA'!$1:$1,0))-1,""))</f>
        <v/>
      </c>
      <c r="R297" s="7">
        <f>IFERROR(INDEX('Data_NSA'!$A:$OK,MATCH(O$2,'Data_NSA'!$A:$A,0),MATCH($D297,'Data_NSA'!$1:$1,0))/INDEX('Data_NSA'!$A:$OK,MATCH(EDATE(O$2,-12),'Data_NSA'!$A:$A,0),MATCH($D297,'Data_NSA'!$1:$1,0))-1,"")</f>
        <v/>
      </c>
      <c r="S297" s="10">
        <f>IFERROR(INDEX('Weights'!$G:$I,MATCH($A297,'Weights'!$A:$A,0),MATCH(O$2,'Weights'!$G$1:$I$1,0)),"")</f>
        <v/>
      </c>
      <c r="T297" s="10">
        <f>IF($E297="","",IFERROR(100*(INDEX('Weights'!$D:$D,MATCH($A297,'Weights'!$A:$A,0))*(INDEX('Data_NSA'!$A:$OK,MATCH(EDATE(O$2,-1),'Data_NSA'!$A:$A,0),MATCH($D297,'Data_NSA'!$1:$1,0))/INDEX('Data_NSA'!$A:$OK,MATCH(INDEX('Weights'!$E:$E,MATCH($A297,'Weights'!$A:$A,0)),'Data_NSA'!$A:$A,0),MATCH($D297,'Data_NSA'!$1:$1,0))))/(100*(INDEX('Data_NSA'!$A:$OK,MATCH(EDATE(O$2,-1),'Data_NSA'!$A:$A,0),MATCH("CUUR0000SA0",'Data_NSA'!$1:$1,0))/INDEX('Data_NSA'!$A:$OK,MATCH(INDEX('Weights'!$E:$E,MATCH($A297,'Weights'!$A:$A,0)),'Data_NSA'!$A:$A,0),MATCH("CUUR0000SA0",'Data_NSA'!$1:$1,0))))*(INDEX('Data_SA'!$A:$LO,MATCH(O$2,'Data_SA'!$A:$A,0),MATCH($E297,'Data_SA'!$1:$1,0))/INDEX('Data_SA'!$A:$LO,MATCH(EDATE(O$2,-1),'Data_SA'!$A:$A,0),MATCH($E297,'Data_SA'!$1:$1,0))-1),""))</f>
        <v/>
      </c>
      <c r="U297" s="10">
        <f>IFERROR(INDEX('Data_NSA'!$A:$OK,MATCH(U$2,'Data_NSA'!$A:$A,0),MATCH($D297,'Data_NSA'!$1:$1,0)),"")</f>
        <v/>
      </c>
      <c r="V297" s="10">
        <f>IF($E297="","",IFERROR(INDEX('Data_SA'!$A:$LO,MATCH(U$2,'Data_SA'!$A:$A,0),MATCH($E297,'Data_SA'!$1:$1,0)),""))</f>
        <v/>
      </c>
      <c r="W297" s="7">
        <f>IF($E297="","",IFERROR(INDEX('Data_SA'!$A:$LO,MATCH(U$2,'Data_SA'!$A:$A,0),MATCH($E297,'Data_SA'!$1:$1,0))/INDEX('Data_SA'!$A:$LO,MATCH(EDATE(U$2,-1),'Data_SA'!$A:$A,0),MATCH($E297,'Data_SA'!$1:$1,0))-1,""))</f>
        <v/>
      </c>
      <c r="X297" s="7">
        <f>IFERROR(INDEX('Data_NSA'!$A:$OK,MATCH(U$2,'Data_NSA'!$A:$A,0),MATCH($D297,'Data_NSA'!$1:$1,0))/INDEX('Data_NSA'!$A:$OK,MATCH(EDATE(U$2,-12),'Data_NSA'!$A:$A,0),MATCH($D297,'Data_NSA'!$1:$1,0))-1,"")</f>
        <v/>
      </c>
      <c r="Y297" s="10">
        <f>IFERROR(INDEX('Weights'!$G:$I,MATCH($A297,'Weights'!$A:$A,0),MATCH(U$2,'Weights'!$G$1:$I$1,0)),"")</f>
        <v/>
      </c>
      <c r="Z297" s="10">
        <f>IF($E297="","",IFERROR(100*(INDEX('Weights'!$D:$D,MATCH($A297,'Weights'!$A:$A,0))*(INDEX('Data_NSA'!$A:$OK,MATCH(EDATE(U$2,-1),'Data_NSA'!$A:$A,0),MATCH($D297,'Data_NSA'!$1:$1,0))/INDEX('Data_NSA'!$A:$OK,MATCH(INDEX('Weights'!$E:$E,MATCH($A297,'Weights'!$A:$A,0)),'Data_NSA'!$A:$A,0),MATCH($D297,'Data_NSA'!$1:$1,0))))/(100*(INDEX('Data_NSA'!$A:$OK,MATCH(EDATE(U$2,-1),'Data_NSA'!$A:$A,0),MATCH("CUUR0000SA0",'Data_NSA'!$1:$1,0))/INDEX('Data_NSA'!$A:$OK,MATCH(INDEX('Weights'!$E:$E,MATCH($A297,'Weights'!$A:$A,0)),'Data_NSA'!$A:$A,0),MATCH("CUUR0000SA0",'Data_NSA'!$1:$1,0))))*(INDEX('Data_SA'!$A:$LO,MATCH(U$2,'Data_SA'!$A:$A,0),MATCH($E297,'Data_SA'!$1:$1,0))/INDEX('Data_SA'!$A:$LO,MATCH(EDATE(U$2,-1),'Data_SA'!$A:$A,0),MATCH($E297,'Data_SA'!$1:$1,0))-1),""))</f>
        <v/>
      </c>
    </row>
    <row r="298">
      <c r="A298" s="3" t="inlineStr">
        <is>
          <t>SS62052</t>
        </is>
      </c>
      <c r="B298" s="3" t="inlineStr">
        <is>
          <t>Photo Processing</t>
        </is>
      </c>
      <c r="C298" s="3" t="inlineStr">
        <is>
          <t>SERD02</t>
        </is>
      </c>
      <c r="D298" s="3" t="inlineStr">
        <is>
          <t>CUUR0000SS62052</t>
        </is>
      </c>
      <c r="E298" s="3" t="inlineStr"/>
      <c r="F298" s="3" t="inlineStr">
        <is>
          <t>GM</t>
        </is>
      </c>
      <c r="G298" s="3" t="inlineStr">
        <is>
          <t>monthly in New York/Los Angeles/Chicago; often bimonthly elsewhere</t>
        </is>
      </c>
      <c r="H298" s="10">
        <f>IFERROR(INDEX(Weights!$D:$D,MATCH($A298,Weights!$A:$A,0)),"")</f>
        <v/>
      </c>
      <c r="I298" s="10">
        <f>IFERROR(INDEX('Data_NSA'!$A:$OK,MATCH(I$2,'Data_NSA'!$A:$A,0),MATCH($D298,'Data_NSA'!$1:$1,0)),"")</f>
        <v/>
      </c>
      <c r="J298" s="10">
        <f>IF($E298="","",IFERROR(INDEX('Data_SA'!$A:$LO,MATCH(I$2,'Data_SA'!$A:$A,0),MATCH($E298,'Data_SA'!$1:$1,0)),""))</f>
        <v/>
      </c>
      <c r="K298" s="7">
        <f>IF($E298="","",IFERROR(INDEX('Data_SA'!$A:$LO,MATCH(I$2,'Data_SA'!$A:$A,0),MATCH($E298,'Data_SA'!$1:$1,0))/INDEX('Data_SA'!$A:$LO,MATCH(EDATE(I$2,-1),'Data_SA'!$A:$A,0),MATCH($E298,'Data_SA'!$1:$1,0))-1,""))</f>
        <v/>
      </c>
      <c r="L298" s="7">
        <f>IFERROR(INDEX('Data_NSA'!$A:$OK,MATCH(I$2,'Data_NSA'!$A:$A,0),MATCH($D298,'Data_NSA'!$1:$1,0))/INDEX('Data_NSA'!$A:$OK,MATCH(EDATE(I$2,-12),'Data_NSA'!$A:$A,0),MATCH($D298,'Data_NSA'!$1:$1,0))-1,"")</f>
        <v/>
      </c>
      <c r="M298" s="10">
        <f>IFERROR(INDEX('Weights'!$G:$I,MATCH($A298,'Weights'!$A:$A,0),MATCH(I$2,'Weights'!$G$1:$I$1,0)),"")</f>
        <v/>
      </c>
      <c r="N298" s="10">
        <f>IF($E298="","",IFERROR(100*(INDEX('Weights'!$D:$D,MATCH($A298,'Weights'!$A:$A,0))*(INDEX('Data_NSA'!$A:$OK,MATCH(EDATE(I$2,-1),'Data_NSA'!$A:$A,0),MATCH($D298,'Data_NSA'!$1:$1,0))/INDEX('Data_NSA'!$A:$OK,MATCH(INDEX('Weights'!$E:$E,MATCH($A298,'Weights'!$A:$A,0)),'Data_NSA'!$A:$A,0),MATCH($D298,'Data_NSA'!$1:$1,0))))/(100*(INDEX('Data_NSA'!$A:$OK,MATCH(EDATE(I$2,-1),'Data_NSA'!$A:$A,0),MATCH("CUUR0000SA0",'Data_NSA'!$1:$1,0))/INDEX('Data_NSA'!$A:$OK,MATCH(INDEX('Weights'!$E:$E,MATCH($A298,'Weights'!$A:$A,0)),'Data_NSA'!$A:$A,0),MATCH("CUUR0000SA0",'Data_NSA'!$1:$1,0))))*(INDEX('Data_SA'!$A:$LO,MATCH(I$2,'Data_SA'!$A:$A,0),MATCH($E298,'Data_SA'!$1:$1,0))/INDEX('Data_SA'!$A:$LO,MATCH(EDATE(I$2,-1),'Data_SA'!$A:$A,0),MATCH($E298,'Data_SA'!$1:$1,0))-1),""))</f>
        <v/>
      </c>
      <c r="O298" s="10">
        <f>IFERROR(INDEX('Data_NSA'!$A:$OK,MATCH(O$2,'Data_NSA'!$A:$A,0),MATCH($D298,'Data_NSA'!$1:$1,0)),"")</f>
        <v/>
      </c>
      <c r="P298" s="10">
        <f>IF($E298="","",IFERROR(INDEX('Data_SA'!$A:$LO,MATCH(O$2,'Data_SA'!$A:$A,0),MATCH($E298,'Data_SA'!$1:$1,0)),""))</f>
        <v/>
      </c>
      <c r="Q298" s="7">
        <f>IF($E298="","",IFERROR(INDEX('Data_SA'!$A:$LO,MATCH(O$2,'Data_SA'!$A:$A,0),MATCH($E298,'Data_SA'!$1:$1,0))/INDEX('Data_SA'!$A:$LO,MATCH(EDATE(O$2,-1),'Data_SA'!$A:$A,0),MATCH($E298,'Data_SA'!$1:$1,0))-1,""))</f>
        <v/>
      </c>
      <c r="R298" s="7">
        <f>IFERROR(INDEX('Data_NSA'!$A:$OK,MATCH(O$2,'Data_NSA'!$A:$A,0),MATCH($D298,'Data_NSA'!$1:$1,0))/INDEX('Data_NSA'!$A:$OK,MATCH(EDATE(O$2,-12),'Data_NSA'!$A:$A,0),MATCH($D298,'Data_NSA'!$1:$1,0))-1,"")</f>
        <v/>
      </c>
      <c r="S298" s="10">
        <f>IFERROR(INDEX('Weights'!$G:$I,MATCH($A298,'Weights'!$A:$A,0),MATCH(O$2,'Weights'!$G$1:$I$1,0)),"")</f>
        <v/>
      </c>
      <c r="T298" s="10">
        <f>IF($E298="","",IFERROR(100*(INDEX('Weights'!$D:$D,MATCH($A298,'Weights'!$A:$A,0))*(INDEX('Data_NSA'!$A:$OK,MATCH(EDATE(O$2,-1),'Data_NSA'!$A:$A,0),MATCH($D298,'Data_NSA'!$1:$1,0))/INDEX('Data_NSA'!$A:$OK,MATCH(INDEX('Weights'!$E:$E,MATCH($A298,'Weights'!$A:$A,0)),'Data_NSA'!$A:$A,0),MATCH($D298,'Data_NSA'!$1:$1,0))))/(100*(INDEX('Data_NSA'!$A:$OK,MATCH(EDATE(O$2,-1),'Data_NSA'!$A:$A,0),MATCH("CUUR0000SA0",'Data_NSA'!$1:$1,0))/INDEX('Data_NSA'!$A:$OK,MATCH(INDEX('Weights'!$E:$E,MATCH($A298,'Weights'!$A:$A,0)),'Data_NSA'!$A:$A,0),MATCH("CUUR0000SA0",'Data_NSA'!$1:$1,0))))*(INDEX('Data_SA'!$A:$LO,MATCH(O$2,'Data_SA'!$A:$A,0),MATCH($E298,'Data_SA'!$1:$1,0))/INDEX('Data_SA'!$A:$LO,MATCH(EDATE(O$2,-1),'Data_SA'!$A:$A,0),MATCH($E298,'Data_SA'!$1:$1,0))-1),""))</f>
        <v/>
      </c>
      <c r="U298" s="10">
        <f>IFERROR(INDEX('Data_NSA'!$A:$OK,MATCH(U$2,'Data_NSA'!$A:$A,0),MATCH($D298,'Data_NSA'!$1:$1,0)),"")</f>
        <v/>
      </c>
      <c r="V298" s="10">
        <f>IF($E298="","",IFERROR(INDEX('Data_SA'!$A:$LO,MATCH(U$2,'Data_SA'!$A:$A,0),MATCH($E298,'Data_SA'!$1:$1,0)),""))</f>
        <v/>
      </c>
      <c r="W298" s="7">
        <f>IF($E298="","",IFERROR(INDEX('Data_SA'!$A:$LO,MATCH(U$2,'Data_SA'!$A:$A,0),MATCH($E298,'Data_SA'!$1:$1,0))/INDEX('Data_SA'!$A:$LO,MATCH(EDATE(U$2,-1),'Data_SA'!$A:$A,0),MATCH($E298,'Data_SA'!$1:$1,0))-1,""))</f>
        <v/>
      </c>
      <c r="X298" s="7">
        <f>IFERROR(INDEX('Data_NSA'!$A:$OK,MATCH(U$2,'Data_NSA'!$A:$A,0),MATCH($D298,'Data_NSA'!$1:$1,0))/INDEX('Data_NSA'!$A:$OK,MATCH(EDATE(U$2,-12),'Data_NSA'!$A:$A,0),MATCH($D298,'Data_NSA'!$1:$1,0))-1,"")</f>
        <v/>
      </c>
      <c r="Y298" s="10">
        <f>IFERROR(INDEX('Weights'!$G:$I,MATCH($A298,'Weights'!$A:$A,0),MATCH(U$2,'Weights'!$G$1:$I$1,0)),"")</f>
        <v/>
      </c>
      <c r="Z298" s="10">
        <f>IF($E298="","",IFERROR(100*(INDEX('Weights'!$D:$D,MATCH($A298,'Weights'!$A:$A,0))*(INDEX('Data_NSA'!$A:$OK,MATCH(EDATE(U$2,-1),'Data_NSA'!$A:$A,0),MATCH($D298,'Data_NSA'!$1:$1,0))/INDEX('Data_NSA'!$A:$OK,MATCH(INDEX('Weights'!$E:$E,MATCH($A298,'Weights'!$A:$A,0)),'Data_NSA'!$A:$A,0),MATCH($D298,'Data_NSA'!$1:$1,0))))/(100*(INDEX('Data_NSA'!$A:$OK,MATCH(EDATE(U$2,-1),'Data_NSA'!$A:$A,0),MATCH("CUUR0000SA0",'Data_NSA'!$1:$1,0))/INDEX('Data_NSA'!$A:$OK,MATCH(INDEX('Weights'!$E:$E,MATCH($A298,'Weights'!$A:$A,0)),'Data_NSA'!$A:$A,0),MATCH("CUUR0000SA0",'Data_NSA'!$1:$1,0))))*(INDEX('Data_SA'!$A:$LO,MATCH(U$2,'Data_SA'!$A:$A,0),MATCH($E298,'Data_SA'!$1:$1,0))/INDEX('Data_SA'!$A:$LO,MATCH(EDATE(U$2,-1),'Data_SA'!$A:$A,0),MATCH($E298,'Data_SA'!$1:$1,0))-1),""))</f>
        <v/>
      </c>
    </row>
    <row r="299">
      <c r="A299" s="3" t="inlineStr">
        <is>
          <t>SERE</t>
        </is>
      </c>
      <c r="B299" s="3" t="inlineStr">
        <is>
          <t>Other recreational goods</t>
        </is>
      </c>
      <c r="C299" s="3" t="inlineStr">
        <is>
          <t>SAR</t>
        </is>
      </c>
      <c r="D299" s="3" t="inlineStr">
        <is>
          <t>CUUR0000SERE</t>
        </is>
      </c>
      <c r="E299" s="3" t="inlineStr">
        <is>
          <t>CUSR0000SERE</t>
        </is>
      </c>
      <c r="F299" s="3" t="inlineStr">
        <is>
          <t>aggregate</t>
        </is>
      </c>
      <c r="G299" s="3" t="inlineStr">
        <is>
          <t>aggregate</t>
        </is>
      </c>
      <c r="H299" s="10">
        <f>IFERROR(INDEX(Weights!$D:$D,MATCH($A299,Weights!$A:$A,0)),"")</f>
        <v/>
      </c>
      <c r="I299" s="10">
        <f>IFERROR(INDEX('Data_NSA'!$A:$OK,MATCH(I$2,'Data_NSA'!$A:$A,0),MATCH($D299,'Data_NSA'!$1:$1,0)),"")</f>
        <v/>
      </c>
      <c r="J299" s="10">
        <f>IF($E299="","",IFERROR(INDEX('Data_SA'!$A:$LO,MATCH(I$2,'Data_SA'!$A:$A,0),MATCH($E299,'Data_SA'!$1:$1,0)),""))</f>
        <v/>
      </c>
      <c r="K299" s="7">
        <f>IF($E299="","",IFERROR(INDEX('Data_SA'!$A:$LO,MATCH(I$2,'Data_SA'!$A:$A,0),MATCH($E299,'Data_SA'!$1:$1,0))/INDEX('Data_SA'!$A:$LO,MATCH(EDATE(I$2,-1),'Data_SA'!$A:$A,0),MATCH($E299,'Data_SA'!$1:$1,0))-1,""))</f>
        <v/>
      </c>
      <c r="L299" s="7">
        <f>IFERROR(INDEX('Data_NSA'!$A:$OK,MATCH(I$2,'Data_NSA'!$A:$A,0),MATCH($D299,'Data_NSA'!$1:$1,0))/INDEX('Data_NSA'!$A:$OK,MATCH(EDATE(I$2,-12),'Data_NSA'!$A:$A,0),MATCH($D299,'Data_NSA'!$1:$1,0))-1,"")</f>
        <v/>
      </c>
      <c r="M299" s="10">
        <f>IFERROR(INDEX('Weights'!$G:$I,MATCH($A299,'Weights'!$A:$A,0),MATCH(I$2,'Weights'!$G$1:$I$1,0)),"")</f>
        <v/>
      </c>
      <c r="N299" s="10">
        <f>IF($E299="","",IFERROR(100*(INDEX('Weights'!$D:$D,MATCH($A299,'Weights'!$A:$A,0))*(INDEX('Data_NSA'!$A:$OK,MATCH(EDATE(I$2,-1),'Data_NSA'!$A:$A,0),MATCH($D299,'Data_NSA'!$1:$1,0))/INDEX('Data_NSA'!$A:$OK,MATCH(INDEX('Weights'!$E:$E,MATCH($A299,'Weights'!$A:$A,0)),'Data_NSA'!$A:$A,0),MATCH($D299,'Data_NSA'!$1:$1,0))))/(100*(INDEX('Data_NSA'!$A:$OK,MATCH(EDATE(I$2,-1),'Data_NSA'!$A:$A,0),MATCH("CUUR0000SA0",'Data_NSA'!$1:$1,0))/INDEX('Data_NSA'!$A:$OK,MATCH(INDEX('Weights'!$E:$E,MATCH($A299,'Weights'!$A:$A,0)),'Data_NSA'!$A:$A,0),MATCH("CUUR0000SA0",'Data_NSA'!$1:$1,0))))*(INDEX('Data_SA'!$A:$LO,MATCH(I$2,'Data_SA'!$A:$A,0),MATCH($E299,'Data_SA'!$1:$1,0))/INDEX('Data_SA'!$A:$LO,MATCH(EDATE(I$2,-1),'Data_SA'!$A:$A,0),MATCH($E299,'Data_SA'!$1:$1,0))-1),""))</f>
        <v/>
      </c>
      <c r="O299" s="10">
        <f>IFERROR(INDEX('Data_NSA'!$A:$OK,MATCH(O$2,'Data_NSA'!$A:$A,0),MATCH($D299,'Data_NSA'!$1:$1,0)),"")</f>
        <v/>
      </c>
      <c r="P299" s="10">
        <f>IF($E299="","",IFERROR(INDEX('Data_SA'!$A:$LO,MATCH(O$2,'Data_SA'!$A:$A,0),MATCH($E299,'Data_SA'!$1:$1,0)),""))</f>
        <v/>
      </c>
      <c r="Q299" s="7">
        <f>IF($E299="","",IFERROR(INDEX('Data_SA'!$A:$LO,MATCH(O$2,'Data_SA'!$A:$A,0),MATCH($E299,'Data_SA'!$1:$1,0))/INDEX('Data_SA'!$A:$LO,MATCH(EDATE(O$2,-1),'Data_SA'!$A:$A,0),MATCH($E299,'Data_SA'!$1:$1,0))-1,""))</f>
        <v/>
      </c>
      <c r="R299" s="7">
        <f>IFERROR(INDEX('Data_NSA'!$A:$OK,MATCH(O$2,'Data_NSA'!$A:$A,0),MATCH($D299,'Data_NSA'!$1:$1,0))/INDEX('Data_NSA'!$A:$OK,MATCH(EDATE(O$2,-12),'Data_NSA'!$A:$A,0),MATCH($D299,'Data_NSA'!$1:$1,0))-1,"")</f>
        <v/>
      </c>
      <c r="S299" s="10">
        <f>IFERROR(INDEX('Weights'!$G:$I,MATCH($A299,'Weights'!$A:$A,0),MATCH(O$2,'Weights'!$G$1:$I$1,0)),"")</f>
        <v/>
      </c>
      <c r="T299" s="10">
        <f>IF($E299="","",IFERROR(100*(INDEX('Weights'!$D:$D,MATCH($A299,'Weights'!$A:$A,0))*(INDEX('Data_NSA'!$A:$OK,MATCH(EDATE(O$2,-1),'Data_NSA'!$A:$A,0),MATCH($D299,'Data_NSA'!$1:$1,0))/INDEX('Data_NSA'!$A:$OK,MATCH(INDEX('Weights'!$E:$E,MATCH($A299,'Weights'!$A:$A,0)),'Data_NSA'!$A:$A,0),MATCH($D299,'Data_NSA'!$1:$1,0))))/(100*(INDEX('Data_NSA'!$A:$OK,MATCH(EDATE(O$2,-1),'Data_NSA'!$A:$A,0),MATCH("CUUR0000SA0",'Data_NSA'!$1:$1,0))/INDEX('Data_NSA'!$A:$OK,MATCH(INDEX('Weights'!$E:$E,MATCH($A299,'Weights'!$A:$A,0)),'Data_NSA'!$A:$A,0),MATCH("CUUR0000SA0",'Data_NSA'!$1:$1,0))))*(INDEX('Data_SA'!$A:$LO,MATCH(O$2,'Data_SA'!$A:$A,0),MATCH($E299,'Data_SA'!$1:$1,0))/INDEX('Data_SA'!$A:$LO,MATCH(EDATE(O$2,-1),'Data_SA'!$A:$A,0),MATCH($E299,'Data_SA'!$1:$1,0))-1),""))</f>
        <v/>
      </c>
      <c r="U299" s="10">
        <f>IFERROR(INDEX('Data_NSA'!$A:$OK,MATCH(U$2,'Data_NSA'!$A:$A,0),MATCH($D299,'Data_NSA'!$1:$1,0)),"")</f>
        <v/>
      </c>
      <c r="V299" s="10">
        <f>IF($E299="","",IFERROR(INDEX('Data_SA'!$A:$LO,MATCH(U$2,'Data_SA'!$A:$A,0),MATCH($E299,'Data_SA'!$1:$1,0)),""))</f>
        <v/>
      </c>
      <c r="W299" s="7">
        <f>IF($E299="","",IFERROR(INDEX('Data_SA'!$A:$LO,MATCH(U$2,'Data_SA'!$A:$A,0),MATCH($E299,'Data_SA'!$1:$1,0))/INDEX('Data_SA'!$A:$LO,MATCH(EDATE(U$2,-1),'Data_SA'!$A:$A,0),MATCH($E299,'Data_SA'!$1:$1,0))-1,""))</f>
        <v/>
      </c>
      <c r="X299" s="7">
        <f>IFERROR(INDEX('Data_NSA'!$A:$OK,MATCH(U$2,'Data_NSA'!$A:$A,0),MATCH($D299,'Data_NSA'!$1:$1,0))/INDEX('Data_NSA'!$A:$OK,MATCH(EDATE(U$2,-12),'Data_NSA'!$A:$A,0),MATCH($D299,'Data_NSA'!$1:$1,0))-1,"")</f>
        <v/>
      </c>
      <c r="Y299" s="10">
        <f>IFERROR(INDEX('Weights'!$G:$I,MATCH($A299,'Weights'!$A:$A,0),MATCH(U$2,'Weights'!$G$1:$I$1,0)),"")</f>
        <v/>
      </c>
      <c r="Z299" s="10">
        <f>IF($E299="","",IFERROR(100*(INDEX('Weights'!$D:$D,MATCH($A299,'Weights'!$A:$A,0))*(INDEX('Data_NSA'!$A:$OK,MATCH(EDATE(U$2,-1),'Data_NSA'!$A:$A,0),MATCH($D299,'Data_NSA'!$1:$1,0))/INDEX('Data_NSA'!$A:$OK,MATCH(INDEX('Weights'!$E:$E,MATCH($A299,'Weights'!$A:$A,0)),'Data_NSA'!$A:$A,0),MATCH($D299,'Data_NSA'!$1:$1,0))))/(100*(INDEX('Data_NSA'!$A:$OK,MATCH(EDATE(U$2,-1),'Data_NSA'!$A:$A,0),MATCH("CUUR0000SA0",'Data_NSA'!$1:$1,0))/INDEX('Data_NSA'!$A:$OK,MATCH(INDEX('Weights'!$E:$E,MATCH($A299,'Weights'!$A:$A,0)),'Data_NSA'!$A:$A,0),MATCH("CUUR0000SA0",'Data_NSA'!$1:$1,0))))*(INDEX('Data_SA'!$A:$LO,MATCH(U$2,'Data_SA'!$A:$A,0),MATCH($E299,'Data_SA'!$1:$1,0))/INDEX('Data_SA'!$A:$LO,MATCH(EDATE(U$2,-1),'Data_SA'!$A:$A,0),MATCH($E299,'Data_SA'!$1:$1,0))-1),""))</f>
        <v/>
      </c>
    </row>
    <row r="300">
      <c r="A300" s="3" t="inlineStr">
        <is>
          <t>SERE01</t>
        </is>
      </c>
      <c r="B300" s="3" t="inlineStr">
        <is>
          <t>Toys</t>
        </is>
      </c>
      <c r="C300" s="3" t="inlineStr">
        <is>
          <t>SERE</t>
        </is>
      </c>
      <c r="D300" s="3" t="inlineStr">
        <is>
          <t>CUUR0000SERE01</t>
        </is>
      </c>
      <c r="E300" s="3" t="inlineStr">
        <is>
          <t>CUSR0000SERE01</t>
        </is>
      </c>
      <c r="F300" s="3" t="inlineStr">
        <is>
          <t>aggregate</t>
        </is>
      </c>
      <c r="G300" s="3" t="inlineStr">
        <is>
          <t>aggregate</t>
        </is>
      </c>
      <c r="H300" s="10">
        <f>IFERROR(INDEX(Weights!$D:$D,MATCH($A300,Weights!$A:$A,0)),"")</f>
        <v/>
      </c>
      <c r="I300" s="10">
        <f>IFERROR(INDEX('Data_NSA'!$A:$OK,MATCH(I$2,'Data_NSA'!$A:$A,0),MATCH($D300,'Data_NSA'!$1:$1,0)),"")</f>
        <v/>
      </c>
      <c r="J300" s="10">
        <f>IF($E300="","",IFERROR(INDEX('Data_SA'!$A:$LO,MATCH(I$2,'Data_SA'!$A:$A,0),MATCH($E300,'Data_SA'!$1:$1,0)),""))</f>
        <v/>
      </c>
      <c r="K300" s="7">
        <f>IF($E300="","",IFERROR(INDEX('Data_SA'!$A:$LO,MATCH(I$2,'Data_SA'!$A:$A,0),MATCH($E300,'Data_SA'!$1:$1,0))/INDEX('Data_SA'!$A:$LO,MATCH(EDATE(I$2,-1),'Data_SA'!$A:$A,0),MATCH($E300,'Data_SA'!$1:$1,0))-1,""))</f>
        <v/>
      </c>
      <c r="L300" s="7">
        <f>IFERROR(INDEX('Data_NSA'!$A:$OK,MATCH(I$2,'Data_NSA'!$A:$A,0),MATCH($D300,'Data_NSA'!$1:$1,0))/INDEX('Data_NSA'!$A:$OK,MATCH(EDATE(I$2,-12),'Data_NSA'!$A:$A,0),MATCH($D300,'Data_NSA'!$1:$1,0))-1,"")</f>
        <v/>
      </c>
      <c r="M300" s="10">
        <f>IFERROR(INDEX('Weights'!$G:$I,MATCH($A300,'Weights'!$A:$A,0),MATCH(I$2,'Weights'!$G$1:$I$1,0)),"")</f>
        <v/>
      </c>
      <c r="N300" s="10">
        <f>IF($E300="","",IFERROR(100*(INDEX('Weights'!$D:$D,MATCH($A300,'Weights'!$A:$A,0))*(INDEX('Data_NSA'!$A:$OK,MATCH(EDATE(I$2,-1),'Data_NSA'!$A:$A,0),MATCH($D300,'Data_NSA'!$1:$1,0))/INDEX('Data_NSA'!$A:$OK,MATCH(INDEX('Weights'!$E:$E,MATCH($A300,'Weights'!$A:$A,0)),'Data_NSA'!$A:$A,0),MATCH($D300,'Data_NSA'!$1:$1,0))))/(100*(INDEX('Data_NSA'!$A:$OK,MATCH(EDATE(I$2,-1),'Data_NSA'!$A:$A,0),MATCH("CUUR0000SA0",'Data_NSA'!$1:$1,0))/INDEX('Data_NSA'!$A:$OK,MATCH(INDEX('Weights'!$E:$E,MATCH($A300,'Weights'!$A:$A,0)),'Data_NSA'!$A:$A,0),MATCH("CUUR0000SA0",'Data_NSA'!$1:$1,0))))*(INDEX('Data_SA'!$A:$LO,MATCH(I$2,'Data_SA'!$A:$A,0),MATCH($E300,'Data_SA'!$1:$1,0))/INDEX('Data_SA'!$A:$LO,MATCH(EDATE(I$2,-1),'Data_SA'!$A:$A,0),MATCH($E300,'Data_SA'!$1:$1,0))-1),""))</f>
        <v/>
      </c>
      <c r="O300" s="10">
        <f>IFERROR(INDEX('Data_NSA'!$A:$OK,MATCH(O$2,'Data_NSA'!$A:$A,0),MATCH($D300,'Data_NSA'!$1:$1,0)),"")</f>
        <v/>
      </c>
      <c r="P300" s="10">
        <f>IF($E300="","",IFERROR(INDEX('Data_SA'!$A:$LO,MATCH(O$2,'Data_SA'!$A:$A,0),MATCH($E300,'Data_SA'!$1:$1,0)),""))</f>
        <v/>
      </c>
      <c r="Q300" s="7">
        <f>IF($E300="","",IFERROR(INDEX('Data_SA'!$A:$LO,MATCH(O$2,'Data_SA'!$A:$A,0),MATCH($E300,'Data_SA'!$1:$1,0))/INDEX('Data_SA'!$A:$LO,MATCH(EDATE(O$2,-1),'Data_SA'!$A:$A,0),MATCH($E300,'Data_SA'!$1:$1,0))-1,""))</f>
        <v/>
      </c>
      <c r="R300" s="7">
        <f>IFERROR(INDEX('Data_NSA'!$A:$OK,MATCH(O$2,'Data_NSA'!$A:$A,0),MATCH($D300,'Data_NSA'!$1:$1,0))/INDEX('Data_NSA'!$A:$OK,MATCH(EDATE(O$2,-12),'Data_NSA'!$A:$A,0),MATCH($D300,'Data_NSA'!$1:$1,0))-1,"")</f>
        <v/>
      </c>
      <c r="S300" s="10">
        <f>IFERROR(INDEX('Weights'!$G:$I,MATCH($A300,'Weights'!$A:$A,0),MATCH(O$2,'Weights'!$G$1:$I$1,0)),"")</f>
        <v/>
      </c>
      <c r="T300" s="10">
        <f>IF($E300="","",IFERROR(100*(INDEX('Weights'!$D:$D,MATCH($A300,'Weights'!$A:$A,0))*(INDEX('Data_NSA'!$A:$OK,MATCH(EDATE(O$2,-1),'Data_NSA'!$A:$A,0),MATCH($D300,'Data_NSA'!$1:$1,0))/INDEX('Data_NSA'!$A:$OK,MATCH(INDEX('Weights'!$E:$E,MATCH($A300,'Weights'!$A:$A,0)),'Data_NSA'!$A:$A,0),MATCH($D300,'Data_NSA'!$1:$1,0))))/(100*(INDEX('Data_NSA'!$A:$OK,MATCH(EDATE(O$2,-1),'Data_NSA'!$A:$A,0),MATCH("CUUR0000SA0",'Data_NSA'!$1:$1,0))/INDEX('Data_NSA'!$A:$OK,MATCH(INDEX('Weights'!$E:$E,MATCH($A300,'Weights'!$A:$A,0)),'Data_NSA'!$A:$A,0),MATCH("CUUR0000SA0",'Data_NSA'!$1:$1,0))))*(INDEX('Data_SA'!$A:$LO,MATCH(O$2,'Data_SA'!$A:$A,0),MATCH($E300,'Data_SA'!$1:$1,0))/INDEX('Data_SA'!$A:$LO,MATCH(EDATE(O$2,-1),'Data_SA'!$A:$A,0),MATCH($E300,'Data_SA'!$1:$1,0))-1),""))</f>
        <v/>
      </c>
      <c r="U300" s="10">
        <f>IFERROR(INDEX('Data_NSA'!$A:$OK,MATCH(U$2,'Data_NSA'!$A:$A,0),MATCH($D300,'Data_NSA'!$1:$1,0)),"")</f>
        <v/>
      </c>
      <c r="V300" s="10">
        <f>IF($E300="","",IFERROR(INDEX('Data_SA'!$A:$LO,MATCH(U$2,'Data_SA'!$A:$A,0),MATCH($E300,'Data_SA'!$1:$1,0)),""))</f>
        <v/>
      </c>
      <c r="W300" s="7">
        <f>IF($E300="","",IFERROR(INDEX('Data_SA'!$A:$LO,MATCH(U$2,'Data_SA'!$A:$A,0),MATCH($E300,'Data_SA'!$1:$1,0))/INDEX('Data_SA'!$A:$LO,MATCH(EDATE(U$2,-1),'Data_SA'!$A:$A,0),MATCH($E300,'Data_SA'!$1:$1,0))-1,""))</f>
        <v/>
      </c>
      <c r="X300" s="7">
        <f>IFERROR(INDEX('Data_NSA'!$A:$OK,MATCH(U$2,'Data_NSA'!$A:$A,0),MATCH($D300,'Data_NSA'!$1:$1,0))/INDEX('Data_NSA'!$A:$OK,MATCH(EDATE(U$2,-12),'Data_NSA'!$A:$A,0),MATCH($D300,'Data_NSA'!$1:$1,0))-1,"")</f>
        <v/>
      </c>
      <c r="Y300" s="10">
        <f>IFERROR(INDEX('Weights'!$G:$I,MATCH($A300,'Weights'!$A:$A,0),MATCH(U$2,'Weights'!$G$1:$I$1,0)),"")</f>
        <v/>
      </c>
      <c r="Z300" s="10">
        <f>IF($E300="","",IFERROR(100*(INDEX('Weights'!$D:$D,MATCH($A300,'Weights'!$A:$A,0))*(INDEX('Data_NSA'!$A:$OK,MATCH(EDATE(U$2,-1),'Data_NSA'!$A:$A,0),MATCH($D300,'Data_NSA'!$1:$1,0))/INDEX('Data_NSA'!$A:$OK,MATCH(INDEX('Weights'!$E:$E,MATCH($A300,'Weights'!$A:$A,0)),'Data_NSA'!$A:$A,0),MATCH($D300,'Data_NSA'!$1:$1,0))))/(100*(INDEX('Data_NSA'!$A:$OK,MATCH(EDATE(U$2,-1),'Data_NSA'!$A:$A,0),MATCH("CUUR0000SA0",'Data_NSA'!$1:$1,0))/INDEX('Data_NSA'!$A:$OK,MATCH(INDEX('Weights'!$E:$E,MATCH($A300,'Weights'!$A:$A,0)),'Data_NSA'!$A:$A,0),MATCH("CUUR0000SA0",'Data_NSA'!$1:$1,0))))*(INDEX('Data_SA'!$A:$LO,MATCH(U$2,'Data_SA'!$A:$A,0),MATCH($E300,'Data_SA'!$1:$1,0))/INDEX('Data_SA'!$A:$LO,MATCH(EDATE(U$2,-1),'Data_SA'!$A:$A,0),MATCH($E300,'Data_SA'!$1:$1,0))-1),""))</f>
        <v/>
      </c>
    </row>
    <row r="301">
      <c r="A301" s="3" t="inlineStr">
        <is>
          <t>SS61011</t>
        </is>
      </c>
      <c r="B301" s="3" t="inlineStr">
        <is>
          <t>Toys, games, hobbies and playground equipment</t>
        </is>
      </c>
      <c r="C301" s="3" t="inlineStr">
        <is>
          <t>SERE01</t>
        </is>
      </c>
      <c r="D301" s="3" t="inlineStr">
        <is>
          <t>CUUR0000SS61011</t>
        </is>
      </c>
      <c r="E301" s="3" t="inlineStr">
        <is>
          <t>CUSR0000SS61011</t>
        </is>
      </c>
      <c r="F301" s="3" t="inlineStr">
        <is>
          <t>GM</t>
        </is>
      </c>
      <c r="G301" s="3" t="inlineStr">
        <is>
          <t>monthly in New York/Los Angeles/Chicago; often bimonthly elsewhere</t>
        </is>
      </c>
      <c r="H301" s="10">
        <f>IFERROR(INDEX(Weights!$D:$D,MATCH($A301,Weights!$A:$A,0)),"")</f>
        <v/>
      </c>
      <c r="I301" s="10">
        <f>IFERROR(INDEX('Data_NSA'!$A:$OK,MATCH(I$2,'Data_NSA'!$A:$A,0),MATCH($D301,'Data_NSA'!$1:$1,0)),"")</f>
        <v/>
      </c>
      <c r="J301" s="10">
        <f>IF($E301="","",IFERROR(INDEX('Data_SA'!$A:$LO,MATCH(I$2,'Data_SA'!$A:$A,0),MATCH($E301,'Data_SA'!$1:$1,0)),""))</f>
        <v/>
      </c>
      <c r="K301" s="7">
        <f>IF($E301="","",IFERROR(INDEX('Data_SA'!$A:$LO,MATCH(I$2,'Data_SA'!$A:$A,0),MATCH($E301,'Data_SA'!$1:$1,0))/INDEX('Data_SA'!$A:$LO,MATCH(EDATE(I$2,-1),'Data_SA'!$A:$A,0),MATCH($E301,'Data_SA'!$1:$1,0))-1,""))</f>
        <v/>
      </c>
      <c r="L301" s="7">
        <f>IFERROR(INDEX('Data_NSA'!$A:$OK,MATCH(I$2,'Data_NSA'!$A:$A,0),MATCH($D301,'Data_NSA'!$1:$1,0))/INDEX('Data_NSA'!$A:$OK,MATCH(EDATE(I$2,-12),'Data_NSA'!$A:$A,0),MATCH($D301,'Data_NSA'!$1:$1,0))-1,"")</f>
        <v/>
      </c>
      <c r="M301" s="10">
        <f>IFERROR(INDEX('Weights'!$G:$I,MATCH($A301,'Weights'!$A:$A,0),MATCH(I$2,'Weights'!$G$1:$I$1,0)),"")</f>
        <v/>
      </c>
      <c r="N301" s="10">
        <f>IF($E301="","",IFERROR(100*(INDEX('Weights'!$D:$D,MATCH($A301,'Weights'!$A:$A,0))*(INDEX('Data_NSA'!$A:$OK,MATCH(EDATE(I$2,-1),'Data_NSA'!$A:$A,0),MATCH($D301,'Data_NSA'!$1:$1,0))/INDEX('Data_NSA'!$A:$OK,MATCH(INDEX('Weights'!$E:$E,MATCH($A301,'Weights'!$A:$A,0)),'Data_NSA'!$A:$A,0),MATCH($D301,'Data_NSA'!$1:$1,0))))/(100*(INDEX('Data_NSA'!$A:$OK,MATCH(EDATE(I$2,-1),'Data_NSA'!$A:$A,0),MATCH("CUUR0000SA0",'Data_NSA'!$1:$1,0))/INDEX('Data_NSA'!$A:$OK,MATCH(INDEX('Weights'!$E:$E,MATCH($A301,'Weights'!$A:$A,0)),'Data_NSA'!$A:$A,0),MATCH("CUUR0000SA0",'Data_NSA'!$1:$1,0))))*(INDEX('Data_SA'!$A:$LO,MATCH(I$2,'Data_SA'!$A:$A,0),MATCH($E301,'Data_SA'!$1:$1,0))/INDEX('Data_SA'!$A:$LO,MATCH(EDATE(I$2,-1),'Data_SA'!$A:$A,0),MATCH($E301,'Data_SA'!$1:$1,0))-1),""))</f>
        <v/>
      </c>
      <c r="O301" s="10">
        <f>IFERROR(INDEX('Data_NSA'!$A:$OK,MATCH(O$2,'Data_NSA'!$A:$A,0),MATCH($D301,'Data_NSA'!$1:$1,0)),"")</f>
        <v/>
      </c>
      <c r="P301" s="10">
        <f>IF($E301="","",IFERROR(INDEX('Data_SA'!$A:$LO,MATCH(O$2,'Data_SA'!$A:$A,0),MATCH($E301,'Data_SA'!$1:$1,0)),""))</f>
        <v/>
      </c>
      <c r="Q301" s="7">
        <f>IF($E301="","",IFERROR(INDEX('Data_SA'!$A:$LO,MATCH(O$2,'Data_SA'!$A:$A,0),MATCH($E301,'Data_SA'!$1:$1,0))/INDEX('Data_SA'!$A:$LO,MATCH(EDATE(O$2,-1),'Data_SA'!$A:$A,0),MATCH($E301,'Data_SA'!$1:$1,0))-1,""))</f>
        <v/>
      </c>
      <c r="R301" s="7">
        <f>IFERROR(INDEX('Data_NSA'!$A:$OK,MATCH(O$2,'Data_NSA'!$A:$A,0),MATCH($D301,'Data_NSA'!$1:$1,0))/INDEX('Data_NSA'!$A:$OK,MATCH(EDATE(O$2,-12),'Data_NSA'!$A:$A,0),MATCH($D301,'Data_NSA'!$1:$1,0))-1,"")</f>
        <v/>
      </c>
      <c r="S301" s="10">
        <f>IFERROR(INDEX('Weights'!$G:$I,MATCH($A301,'Weights'!$A:$A,0),MATCH(O$2,'Weights'!$G$1:$I$1,0)),"")</f>
        <v/>
      </c>
      <c r="T301" s="10">
        <f>IF($E301="","",IFERROR(100*(INDEX('Weights'!$D:$D,MATCH($A301,'Weights'!$A:$A,0))*(INDEX('Data_NSA'!$A:$OK,MATCH(EDATE(O$2,-1),'Data_NSA'!$A:$A,0),MATCH($D301,'Data_NSA'!$1:$1,0))/INDEX('Data_NSA'!$A:$OK,MATCH(INDEX('Weights'!$E:$E,MATCH($A301,'Weights'!$A:$A,0)),'Data_NSA'!$A:$A,0),MATCH($D301,'Data_NSA'!$1:$1,0))))/(100*(INDEX('Data_NSA'!$A:$OK,MATCH(EDATE(O$2,-1),'Data_NSA'!$A:$A,0),MATCH("CUUR0000SA0",'Data_NSA'!$1:$1,0))/INDEX('Data_NSA'!$A:$OK,MATCH(INDEX('Weights'!$E:$E,MATCH($A301,'Weights'!$A:$A,0)),'Data_NSA'!$A:$A,0),MATCH("CUUR0000SA0",'Data_NSA'!$1:$1,0))))*(INDEX('Data_SA'!$A:$LO,MATCH(O$2,'Data_SA'!$A:$A,0),MATCH($E301,'Data_SA'!$1:$1,0))/INDEX('Data_SA'!$A:$LO,MATCH(EDATE(O$2,-1),'Data_SA'!$A:$A,0),MATCH($E301,'Data_SA'!$1:$1,0))-1),""))</f>
        <v/>
      </c>
      <c r="U301" s="10">
        <f>IFERROR(INDEX('Data_NSA'!$A:$OK,MATCH(U$2,'Data_NSA'!$A:$A,0),MATCH($D301,'Data_NSA'!$1:$1,0)),"")</f>
        <v/>
      </c>
      <c r="V301" s="10">
        <f>IF($E301="","",IFERROR(INDEX('Data_SA'!$A:$LO,MATCH(U$2,'Data_SA'!$A:$A,0),MATCH($E301,'Data_SA'!$1:$1,0)),""))</f>
        <v/>
      </c>
      <c r="W301" s="7">
        <f>IF($E301="","",IFERROR(INDEX('Data_SA'!$A:$LO,MATCH(U$2,'Data_SA'!$A:$A,0),MATCH($E301,'Data_SA'!$1:$1,0))/INDEX('Data_SA'!$A:$LO,MATCH(EDATE(U$2,-1),'Data_SA'!$A:$A,0),MATCH($E301,'Data_SA'!$1:$1,0))-1,""))</f>
        <v/>
      </c>
      <c r="X301" s="7">
        <f>IFERROR(INDEX('Data_NSA'!$A:$OK,MATCH(U$2,'Data_NSA'!$A:$A,0),MATCH($D301,'Data_NSA'!$1:$1,0))/INDEX('Data_NSA'!$A:$OK,MATCH(EDATE(U$2,-12),'Data_NSA'!$A:$A,0),MATCH($D301,'Data_NSA'!$1:$1,0))-1,"")</f>
        <v/>
      </c>
      <c r="Y301" s="10">
        <f>IFERROR(INDEX('Weights'!$G:$I,MATCH($A301,'Weights'!$A:$A,0),MATCH(U$2,'Weights'!$G$1:$I$1,0)),"")</f>
        <v/>
      </c>
      <c r="Z301" s="10">
        <f>IF($E301="","",IFERROR(100*(INDEX('Weights'!$D:$D,MATCH($A301,'Weights'!$A:$A,0))*(INDEX('Data_NSA'!$A:$OK,MATCH(EDATE(U$2,-1),'Data_NSA'!$A:$A,0),MATCH($D301,'Data_NSA'!$1:$1,0))/INDEX('Data_NSA'!$A:$OK,MATCH(INDEX('Weights'!$E:$E,MATCH($A301,'Weights'!$A:$A,0)),'Data_NSA'!$A:$A,0),MATCH($D301,'Data_NSA'!$1:$1,0))))/(100*(INDEX('Data_NSA'!$A:$OK,MATCH(EDATE(U$2,-1),'Data_NSA'!$A:$A,0),MATCH("CUUR0000SA0",'Data_NSA'!$1:$1,0))/INDEX('Data_NSA'!$A:$OK,MATCH(INDEX('Weights'!$E:$E,MATCH($A301,'Weights'!$A:$A,0)),'Data_NSA'!$A:$A,0),MATCH("CUUR0000SA0",'Data_NSA'!$1:$1,0))))*(INDEX('Data_SA'!$A:$LO,MATCH(U$2,'Data_SA'!$A:$A,0),MATCH($E301,'Data_SA'!$1:$1,0))/INDEX('Data_SA'!$A:$LO,MATCH(EDATE(U$2,-1),'Data_SA'!$A:$A,0),MATCH($E301,'Data_SA'!$1:$1,0))-1),""))</f>
        <v/>
      </c>
    </row>
    <row r="302">
      <c r="A302" s="3" t="inlineStr">
        <is>
          <t>SS31023</t>
        </is>
      </c>
      <c r="B302" s="3" t="inlineStr">
        <is>
          <t>Video game hardware, software and accessories</t>
        </is>
      </c>
      <c r="C302" s="3" t="inlineStr">
        <is>
          <t>SERE01</t>
        </is>
      </c>
      <c r="D302" s="3" t="inlineStr">
        <is>
          <t>CUUR0000SS31023</t>
        </is>
      </c>
      <c r="E302" s="3" t="inlineStr"/>
      <c r="F302" s="3" t="inlineStr">
        <is>
          <t>GM</t>
        </is>
      </c>
      <c r="G302" s="3" t="inlineStr">
        <is>
          <t>monthly in New York/Los Angeles/Chicago; often bimonthly elsewhere</t>
        </is>
      </c>
      <c r="H302" s="10">
        <f>IFERROR(INDEX(Weights!$D:$D,MATCH($A302,Weights!$A:$A,0)),"")</f>
        <v/>
      </c>
      <c r="I302" s="10">
        <f>IFERROR(INDEX('Data_NSA'!$A:$OK,MATCH(I$2,'Data_NSA'!$A:$A,0),MATCH($D302,'Data_NSA'!$1:$1,0)),"")</f>
        <v/>
      </c>
      <c r="J302" s="10">
        <f>IF($E302="","",IFERROR(INDEX('Data_SA'!$A:$LO,MATCH(I$2,'Data_SA'!$A:$A,0),MATCH($E302,'Data_SA'!$1:$1,0)),""))</f>
        <v/>
      </c>
      <c r="K302" s="7">
        <f>IF($E302="","",IFERROR(INDEX('Data_SA'!$A:$LO,MATCH(I$2,'Data_SA'!$A:$A,0),MATCH($E302,'Data_SA'!$1:$1,0))/INDEX('Data_SA'!$A:$LO,MATCH(EDATE(I$2,-1),'Data_SA'!$A:$A,0),MATCH($E302,'Data_SA'!$1:$1,0))-1,""))</f>
        <v/>
      </c>
      <c r="L302" s="7">
        <f>IFERROR(INDEX('Data_NSA'!$A:$OK,MATCH(I$2,'Data_NSA'!$A:$A,0),MATCH($D302,'Data_NSA'!$1:$1,0))/INDEX('Data_NSA'!$A:$OK,MATCH(EDATE(I$2,-12),'Data_NSA'!$A:$A,0),MATCH($D302,'Data_NSA'!$1:$1,0))-1,"")</f>
        <v/>
      </c>
      <c r="M302" s="10">
        <f>IFERROR(INDEX('Weights'!$G:$I,MATCH($A302,'Weights'!$A:$A,0),MATCH(I$2,'Weights'!$G$1:$I$1,0)),"")</f>
        <v/>
      </c>
      <c r="N302" s="10">
        <f>IF($E302="","",IFERROR(100*(INDEX('Weights'!$D:$D,MATCH($A302,'Weights'!$A:$A,0))*(INDEX('Data_NSA'!$A:$OK,MATCH(EDATE(I$2,-1),'Data_NSA'!$A:$A,0),MATCH($D302,'Data_NSA'!$1:$1,0))/INDEX('Data_NSA'!$A:$OK,MATCH(INDEX('Weights'!$E:$E,MATCH($A302,'Weights'!$A:$A,0)),'Data_NSA'!$A:$A,0),MATCH($D302,'Data_NSA'!$1:$1,0))))/(100*(INDEX('Data_NSA'!$A:$OK,MATCH(EDATE(I$2,-1),'Data_NSA'!$A:$A,0),MATCH("CUUR0000SA0",'Data_NSA'!$1:$1,0))/INDEX('Data_NSA'!$A:$OK,MATCH(INDEX('Weights'!$E:$E,MATCH($A302,'Weights'!$A:$A,0)),'Data_NSA'!$A:$A,0),MATCH("CUUR0000SA0",'Data_NSA'!$1:$1,0))))*(INDEX('Data_SA'!$A:$LO,MATCH(I$2,'Data_SA'!$A:$A,0),MATCH($E302,'Data_SA'!$1:$1,0))/INDEX('Data_SA'!$A:$LO,MATCH(EDATE(I$2,-1),'Data_SA'!$A:$A,0),MATCH($E302,'Data_SA'!$1:$1,0))-1),""))</f>
        <v/>
      </c>
      <c r="O302" s="10">
        <f>IFERROR(INDEX('Data_NSA'!$A:$OK,MATCH(O$2,'Data_NSA'!$A:$A,0),MATCH($D302,'Data_NSA'!$1:$1,0)),"")</f>
        <v/>
      </c>
      <c r="P302" s="10">
        <f>IF($E302="","",IFERROR(INDEX('Data_SA'!$A:$LO,MATCH(O$2,'Data_SA'!$A:$A,0),MATCH($E302,'Data_SA'!$1:$1,0)),""))</f>
        <v/>
      </c>
      <c r="Q302" s="7">
        <f>IF($E302="","",IFERROR(INDEX('Data_SA'!$A:$LO,MATCH(O$2,'Data_SA'!$A:$A,0),MATCH($E302,'Data_SA'!$1:$1,0))/INDEX('Data_SA'!$A:$LO,MATCH(EDATE(O$2,-1),'Data_SA'!$A:$A,0),MATCH($E302,'Data_SA'!$1:$1,0))-1,""))</f>
        <v/>
      </c>
      <c r="R302" s="7">
        <f>IFERROR(INDEX('Data_NSA'!$A:$OK,MATCH(O$2,'Data_NSA'!$A:$A,0),MATCH($D302,'Data_NSA'!$1:$1,0))/INDEX('Data_NSA'!$A:$OK,MATCH(EDATE(O$2,-12),'Data_NSA'!$A:$A,0),MATCH($D302,'Data_NSA'!$1:$1,0))-1,"")</f>
        <v/>
      </c>
      <c r="S302" s="10">
        <f>IFERROR(INDEX('Weights'!$G:$I,MATCH($A302,'Weights'!$A:$A,0),MATCH(O$2,'Weights'!$G$1:$I$1,0)),"")</f>
        <v/>
      </c>
      <c r="T302" s="10">
        <f>IF($E302="","",IFERROR(100*(INDEX('Weights'!$D:$D,MATCH($A302,'Weights'!$A:$A,0))*(INDEX('Data_NSA'!$A:$OK,MATCH(EDATE(O$2,-1),'Data_NSA'!$A:$A,0),MATCH($D302,'Data_NSA'!$1:$1,0))/INDEX('Data_NSA'!$A:$OK,MATCH(INDEX('Weights'!$E:$E,MATCH($A302,'Weights'!$A:$A,0)),'Data_NSA'!$A:$A,0),MATCH($D302,'Data_NSA'!$1:$1,0))))/(100*(INDEX('Data_NSA'!$A:$OK,MATCH(EDATE(O$2,-1),'Data_NSA'!$A:$A,0),MATCH("CUUR0000SA0",'Data_NSA'!$1:$1,0))/INDEX('Data_NSA'!$A:$OK,MATCH(INDEX('Weights'!$E:$E,MATCH($A302,'Weights'!$A:$A,0)),'Data_NSA'!$A:$A,0),MATCH("CUUR0000SA0",'Data_NSA'!$1:$1,0))))*(INDEX('Data_SA'!$A:$LO,MATCH(O$2,'Data_SA'!$A:$A,0),MATCH($E302,'Data_SA'!$1:$1,0))/INDEX('Data_SA'!$A:$LO,MATCH(EDATE(O$2,-1),'Data_SA'!$A:$A,0),MATCH($E302,'Data_SA'!$1:$1,0))-1),""))</f>
        <v/>
      </c>
      <c r="U302" s="10">
        <f>IFERROR(INDEX('Data_NSA'!$A:$OK,MATCH(U$2,'Data_NSA'!$A:$A,0),MATCH($D302,'Data_NSA'!$1:$1,0)),"")</f>
        <v/>
      </c>
      <c r="V302" s="10">
        <f>IF($E302="","",IFERROR(INDEX('Data_SA'!$A:$LO,MATCH(U$2,'Data_SA'!$A:$A,0),MATCH($E302,'Data_SA'!$1:$1,0)),""))</f>
        <v/>
      </c>
      <c r="W302" s="7">
        <f>IF($E302="","",IFERROR(INDEX('Data_SA'!$A:$LO,MATCH(U$2,'Data_SA'!$A:$A,0),MATCH($E302,'Data_SA'!$1:$1,0))/INDEX('Data_SA'!$A:$LO,MATCH(EDATE(U$2,-1),'Data_SA'!$A:$A,0),MATCH($E302,'Data_SA'!$1:$1,0))-1,""))</f>
        <v/>
      </c>
      <c r="X302" s="7">
        <f>IFERROR(INDEX('Data_NSA'!$A:$OK,MATCH(U$2,'Data_NSA'!$A:$A,0),MATCH($D302,'Data_NSA'!$1:$1,0))/INDEX('Data_NSA'!$A:$OK,MATCH(EDATE(U$2,-12),'Data_NSA'!$A:$A,0),MATCH($D302,'Data_NSA'!$1:$1,0))-1,"")</f>
        <v/>
      </c>
      <c r="Y302" s="10">
        <f>IFERROR(INDEX('Weights'!$G:$I,MATCH($A302,'Weights'!$A:$A,0),MATCH(U$2,'Weights'!$G$1:$I$1,0)),"")</f>
        <v/>
      </c>
      <c r="Z302" s="10">
        <f>IF($E302="","",IFERROR(100*(INDEX('Weights'!$D:$D,MATCH($A302,'Weights'!$A:$A,0))*(INDEX('Data_NSA'!$A:$OK,MATCH(EDATE(U$2,-1),'Data_NSA'!$A:$A,0),MATCH($D302,'Data_NSA'!$1:$1,0))/INDEX('Data_NSA'!$A:$OK,MATCH(INDEX('Weights'!$E:$E,MATCH($A302,'Weights'!$A:$A,0)),'Data_NSA'!$A:$A,0),MATCH($D302,'Data_NSA'!$1:$1,0))))/(100*(INDEX('Data_NSA'!$A:$OK,MATCH(EDATE(U$2,-1),'Data_NSA'!$A:$A,0),MATCH("CUUR0000SA0",'Data_NSA'!$1:$1,0))/INDEX('Data_NSA'!$A:$OK,MATCH(INDEX('Weights'!$E:$E,MATCH($A302,'Weights'!$A:$A,0)),'Data_NSA'!$A:$A,0),MATCH("CUUR0000SA0",'Data_NSA'!$1:$1,0))))*(INDEX('Data_SA'!$A:$LO,MATCH(U$2,'Data_SA'!$A:$A,0),MATCH($E302,'Data_SA'!$1:$1,0))/INDEX('Data_SA'!$A:$LO,MATCH(EDATE(U$2,-1),'Data_SA'!$A:$A,0),MATCH($E302,'Data_SA'!$1:$1,0))-1),""))</f>
        <v/>
      </c>
    </row>
    <row r="303">
      <c r="A303" s="3" t="inlineStr">
        <is>
          <t>SERE02</t>
        </is>
      </c>
      <c r="B303" s="3" t="inlineStr">
        <is>
          <t>Sewing machines, fabric and supplies</t>
        </is>
      </c>
      <c r="C303" s="3" t="inlineStr">
        <is>
          <t>SERE</t>
        </is>
      </c>
      <c r="D303" s="3" t="inlineStr">
        <is>
          <t>CUUR0000SERE02</t>
        </is>
      </c>
      <c r="E303" s="3" t="inlineStr">
        <is>
          <t>CUSR0000SERE02</t>
        </is>
      </c>
      <c r="F303" s="3" t="inlineStr">
        <is>
          <t>GM</t>
        </is>
      </c>
      <c r="G303" s="3" t="inlineStr">
        <is>
          <t>monthly in New York/Los Angeles/Chicago; often bimonthly elsewhere</t>
        </is>
      </c>
      <c r="H303" s="10">
        <f>IFERROR(INDEX(Weights!$D:$D,MATCH($A303,Weights!$A:$A,0)),"")</f>
        <v/>
      </c>
      <c r="I303" s="10">
        <f>IFERROR(INDEX('Data_NSA'!$A:$OK,MATCH(I$2,'Data_NSA'!$A:$A,0),MATCH($D303,'Data_NSA'!$1:$1,0)),"")</f>
        <v/>
      </c>
      <c r="J303" s="10">
        <f>IF($E303="","",IFERROR(INDEX('Data_SA'!$A:$LO,MATCH(I$2,'Data_SA'!$A:$A,0),MATCH($E303,'Data_SA'!$1:$1,0)),""))</f>
        <v/>
      </c>
      <c r="K303" s="7">
        <f>IF($E303="","",IFERROR(INDEX('Data_SA'!$A:$LO,MATCH(I$2,'Data_SA'!$A:$A,0),MATCH($E303,'Data_SA'!$1:$1,0))/INDEX('Data_SA'!$A:$LO,MATCH(EDATE(I$2,-1),'Data_SA'!$A:$A,0),MATCH($E303,'Data_SA'!$1:$1,0))-1,""))</f>
        <v/>
      </c>
      <c r="L303" s="7">
        <f>IFERROR(INDEX('Data_NSA'!$A:$OK,MATCH(I$2,'Data_NSA'!$A:$A,0),MATCH($D303,'Data_NSA'!$1:$1,0))/INDEX('Data_NSA'!$A:$OK,MATCH(EDATE(I$2,-12),'Data_NSA'!$A:$A,0),MATCH($D303,'Data_NSA'!$1:$1,0))-1,"")</f>
        <v/>
      </c>
      <c r="M303" s="10">
        <f>IFERROR(INDEX('Weights'!$G:$I,MATCH($A303,'Weights'!$A:$A,0),MATCH(I$2,'Weights'!$G$1:$I$1,0)),"")</f>
        <v/>
      </c>
      <c r="N303" s="10">
        <f>IF($E303="","",IFERROR(100*(INDEX('Weights'!$D:$D,MATCH($A303,'Weights'!$A:$A,0))*(INDEX('Data_NSA'!$A:$OK,MATCH(EDATE(I$2,-1),'Data_NSA'!$A:$A,0),MATCH($D303,'Data_NSA'!$1:$1,0))/INDEX('Data_NSA'!$A:$OK,MATCH(INDEX('Weights'!$E:$E,MATCH($A303,'Weights'!$A:$A,0)),'Data_NSA'!$A:$A,0),MATCH($D303,'Data_NSA'!$1:$1,0))))/(100*(INDEX('Data_NSA'!$A:$OK,MATCH(EDATE(I$2,-1),'Data_NSA'!$A:$A,0),MATCH("CUUR0000SA0",'Data_NSA'!$1:$1,0))/INDEX('Data_NSA'!$A:$OK,MATCH(INDEX('Weights'!$E:$E,MATCH($A303,'Weights'!$A:$A,0)),'Data_NSA'!$A:$A,0),MATCH("CUUR0000SA0",'Data_NSA'!$1:$1,0))))*(INDEX('Data_SA'!$A:$LO,MATCH(I$2,'Data_SA'!$A:$A,0),MATCH($E303,'Data_SA'!$1:$1,0))/INDEX('Data_SA'!$A:$LO,MATCH(EDATE(I$2,-1),'Data_SA'!$A:$A,0),MATCH($E303,'Data_SA'!$1:$1,0))-1),""))</f>
        <v/>
      </c>
      <c r="O303" s="10">
        <f>IFERROR(INDEX('Data_NSA'!$A:$OK,MATCH(O$2,'Data_NSA'!$A:$A,0),MATCH($D303,'Data_NSA'!$1:$1,0)),"")</f>
        <v/>
      </c>
      <c r="P303" s="10">
        <f>IF($E303="","",IFERROR(INDEX('Data_SA'!$A:$LO,MATCH(O$2,'Data_SA'!$A:$A,0),MATCH($E303,'Data_SA'!$1:$1,0)),""))</f>
        <v/>
      </c>
      <c r="Q303" s="7">
        <f>IF($E303="","",IFERROR(INDEX('Data_SA'!$A:$LO,MATCH(O$2,'Data_SA'!$A:$A,0),MATCH($E303,'Data_SA'!$1:$1,0))/INDEX('Data_SA'!$A:$LO,MATCH(EDATE(O$2,-1),'Data_SA'!$A:$A,0),MATCH($E303,'Data_SA'!$1:$1,0))-1,""))</f>
        <v/>
      </c>
      <c r="R303" s="7">
        <f>IFERROR(INDEX('Data_NSA'!$A:$OK,MATCH(O$2,'Data_NSA'!$A:$A,0),MATCH($D303,'Data_NSA'!$1:$1,0))/INDEX('Data_NSA'!$A:$OK,MATCH(EDATE(O$2,-12),'Data_NSA'!$A:$A,0),MATCH($D303,'Data_NSA'!$1:$1,0))-1,"")</f>
        <v/>
      </c>
      <c r="S303" s="10">
        <f>IFERROR(INDEX('Weights'!$G:$I,MATCH($A303,'Weights'!$A:$A,0),MATCH(O$2,'Weights'!$G$1:$I$1,0)),"")</f>
        <v/>
      </c>
      <c r="T303" s="10">
        <f>IF($E303="","",IFERROR(100*(INDEX('Weights'!$D:$D,MATCH($A303,'Weights'!$A:$A,0))*(INDEX('Data_NSA'!$A:$OK,MATCH(EDATE(O$2,-1),'Data_NSA'!$A:$A,0),MATCH($D303,'Data_NSA'!$1:$1,0))/INDEX('Data_NSA'!$A:$OK,MATCH(INDEX('Weights'!$E:$E,MATCH($A303,'Weights'!$A:$A,0)),'Data_NSA'!$A:$A,0),MATCH($D303,'Data_NSA'!$1:$1,0))))/(100*(INDEX('Data_NSA'!$A:$OK,MATCH(EDATE(O$2,-1),'Data_NSA'!$A:$A,0),MATCH("CUUR0000SA0",'Data_NSA'!$1:$1,0))/INDEX('Data_NSA'!$A:$OK,MATCH(INDEX('Weights'!$E:$E,MATCH($A303,'Weights'!$A:$A,0)),'Data_NSA'!$A:$A,0),MATCH("CUUR0000SA0",'Data_NSA'!$1:$1,0))))*(INDEX('Data_SA'!$A:$LO,MATCH(O$2,'Data_SA'!$A:$A,0),MATCH($E303,'Data_SA'!$1:$1,0))/INDEX('Data_SA'!$A:$LO,MATCH(EDATE(O$2,-1),'Data_SA'!$A:$A,0),MATCH($E303,'Data_SA'!$1:$1,0))-1),""))</f>
        <v/>
      </c>
      <c r="U303" s="10">
        <f>IFERROR(INDEX('Data_NSA'!$A:$OK,MATCH(U$2,'Data_NSA'!$A:$A,0),MATCH($D303,'Data_NSA'!$1:$1,0)),"")</f>
        <v/>
      </c>
      <c r="V303" s="10">
        <f>IF($E303="","",IFERROR(INDEX('Data_SA'!$A:$LO,MATCH(U$2,'Data_SA'!$A:$A,0),MATCH($E303,'Data_SA'!$1:$1,0)),""))</f>
        <v/>
      </c>
      <c r="W303" s="7">
        <f>IF($E303="","",IFERROR(INDEX('Data_SA'!$A:$LO,MATCH(U$2,'Data_SA'!$A:$A,0),MATCH($E303,'Data_SA'!$1:$1,0))/INDEX('Data_SA'!$A:$LO,MATCH(EDATE(U$2,-1),'Data_SA'!$A:$A,0),MATCH($E303,'Data_SA'!$1:$1,0))-1,""))</f>
        <v/>
      </c>
      <c r="X303" s="7">
        <f>IFERROR(INDEX('Data_NSA'!$A:$OK,MATCH(U$2,'Data_NSA'!$A:$A,0),MATCH($D303,'Data_NSA'!$1:$1,0))/INDEX('Data_NSA'!$A:$OK,MATCH(EDATE(U$2,-12),'Data_NSA'!$A:$A,0),MATCH($D303,'Data_NSA'!$1:$1,0))-1,"")</f>
        <v/>
      </c>
      <c r="Y303" s="10">
        <f>IFERROR(INDEX('Weights'!$G:$I,MATCH($A303,'Weights'!$A:$A,0),MATCH(U$2,'Weights'!$G$1:$I$1,0)),"")</f>
        <v/>
      </c>
      <c r="Z303" s="10">
        <f>IF($E303="","",IFERROR(100*(INDEX('Weights'!$D:$D,MATCH($A303,'Weights'!$A:$A,0))*(INDEX('Data_NSA'!$A:$OK,MATCH(EDATE(U$2,-1),'Data_NSA'!$A:$A,0),MATCH($D303,'Data_NSA'!$1:$1,0))/INDEX('Data_NSA'!$A:$OK,MATCH(INDEX('Weights'!$E:$E,MATCH($A303,'Weights'!$A:$A,0)),'Data_NSA'!$A:$A,0),MATCH($D303,'Data_NSA'!$1:$1,0))))/(100*(INDEX('Data_NSA'!$A:$OK,MATCH(EDATE(U$2,-1),'Data_NSA'!$A:$A,0),MATCH("CUUR0000SA0",'Data_NSA'!$1:$1,0))/INDEX('Data_NSA'!$A:$OK,MATCH(INDEX('Weights'!$E:$E,MATCH($A303,'Weights'!$A:$A,0)),'Data_NSA'!$A:$A,0),MATCH("CUUR0000SA0",'Data_NSA'!$1:$1,0))))*(INDEX('Data_SA'!$A:$LO,MATCH(U$2,'Data_SA'!$A:$A,0),MATCH($E303,'Data_SA'!$1:$1,0))/INDEX('Data_SA'!$A:$LO,MATCH(EDATE(U$2,-1),'Data_SA'!$A:$A,0),MATCH($E303,'Data_SA'!$1:$1,0))-1),""))</f>
        <v/>
      </c>
    </row>
    <row r="304">
      <c r="A304" s="3" t="inlineStr">
        <is>
          <t>SERE03</t>
        </is>
      </c>
      <c r="B304" s="3" t="inlineStr">
        <is>
          <t>Music instruments and accessories</t>
        </is>
      </c>
      <c r="C304" s="3" t="inlineStr">
        <is>
          <t>SERE</t>
        </is>
      </c>
      <c r="D304" s="3" t="inlineStr">
        <is>
          <t>CUUR0000SERE03</t>
        </is>
      </c>
      <c r="E304" s="3" t="inlineStr">
        <is>
          <t>CUSR0000SERE03</t>
        </is>
      </c>
      <c r="F304" s="3" t="inlineStr">
        <is>
          <t>GM</t>
        </is>
      </c>
      <c r="G304" s="3" t="inlineStr">
        <is>
          <t>monthly in New York/Los Angeles/Chicago; often bimonthly elsewhere</t>
        </is>
      </c>
      <c r="H304" s="10">
        <f>IFERROR(INDEX(Weights!$D:$D,MATCH($A304,Weights!$A:$A,0)),"")</f>
        <v/>
      </c>
      <c r="I304" s="10">
        <f>IFERROR(INDEX('Data_NSA'!$A:$OK,MATCH(I$2,'Data_NSA'!$A:$A,0),MATCH($D304,'Data_NSA'!$1:$1,0)),"")</f>
        <v/>
      </c>
      <c r="J304" s="10">
        <f>IF($E304="","",IFERROR(INDEX('Data_SA'!$A:$LO,MATCH(I$2,'Data_SA'!$A:$A,0),MATCH($E304,'Data_SA'!$1:$1,0)),""))</f>
        <v/>
      </c>
      <c r="K304" s="7">
        <f>IF($E304="","",IFERROR(INDEX('Data_SA'!$A:$LO,MATCH(I$2,'Data_SA'!$A:$A,0),MATCH($E304,'Data_SA'!$1:$1,0))/INDEX('Data_SA'!$A:$LO,MATCH(EDATE(I$2,-1),'Data_SA'!$A:$A,0),MATCH($E304,'Data_SA'!$1:$1,0))-1,""))</f>
        <v/>
      </c>
      <c r="L304" s="7">
        <f>IFERROR(INDEX('Data_NSA'!$A:$OK,MATCH(I$2,'Data_NSA'!$A:$A,0),MATCH($D304,'Data_NSA'!$1:$1,0))/INDEX('Data_NSA'!$A:$OK,MATCH(EDATE(I$2,-12),'Data_NSA'!$A:$A,0),MATCH($D304,'Data_NSA'!$1:$1,0))-1,"")</f>
        <v/>
      </c>
      <c r="M304" s="10">
        <f>IFERROR(INDEX('Weights'!$G:$I,MATCH($A304,'Weights'!$A:$A,0),MATCH(I$2,'Weights'!$G$1:$I$1,0)),"")</f>
        <v/>
      </c>
      <c r="N304" s="10">
        <f>IF($E304="","",IFERROR(100*(INDEX('Weights'!$D:$D,MATCH($A304,'Weights'!$A:$A,0))*(INDEX('Data_NSA'!$A:$OK,MATCH(EDATE(I$2,-1),'Data_NSA'!$A:$A,0),MATCH($D304,'Data_NSA'!$1:$1,0))/INDEX('Data_NSA'!$A:$OK,MATCH(INDEX('Weights'!$E:$E,MATCH($A304,'Weights'!$A:$A,0)),'Data_NSA'!$A:$A,0),MATCH($D304,'Data_NSA'!$1:$1,0))))/(100*(INDEX('Data_NSA'!$A:$OK,MATCH(EDATE(I$2,-1),'Data_NSA'!$A:$A,0),MATCH("CUUR0000SA0",'Data_NSA'!$1:$1,0))/INDEX('Data_NSA'!$A:$OK,MATCH(INDEX('Weights'!$E:$E,MATCH($A304,'Weights'!$A:$A,0)),'Data_NSA'!$A:$A,0),MATCH("CUUR0000SA0",'Data_NSA'!$1:$1,0))))*(INDEX('Data_SA'!$A:$LO,MATCH(I$2,'Data_SA'!$A:$A,0),MATCH($E304,'Data_SA'!$1:$1,0))/INDEX('Data_SA'!$A:$LO,MATCH(EDATE(I$2,-1),'Data_SA'!$A:$A,0),MATCH($E304,'Data_SA'!$1:$1,0))-1),""))</f>
        <v/>
      </c>
      <c r="O304" s="10">
        <f>IFERROR(INDEX('Data_NSA'!$A:$OK,MATCH(O$2,'Data_NSA'!$A:$A,0),MATCH($D304,'Data_NSA'!$1:$1,0)),"")</f>
        <v/>
      </c>
      <c r="P304" s="10">
        <f>IF($E304="","",IFERROR(INDEX('Data_SA'!$A:$LO,MATCH(O$2,'Data_SA'!$A:$A,0),MATCH($E304,'Data_SA'!$1:$1,0)),""))</f>
        <v/>
      </c>
      <c r="Q304" s="7">
        <f>IF($E304="","",IFERROR(INDEX('Data_SA'!$A:$LO,MATCH(O$2,'Data_SA'!$A:$A,0),MATCH($E304,'Data_SA'!$1:$1,0))/INDEX('Data_SA'!$A:$LO,MATCH(EDATE(O$2,-1),'Data_SA'!$A:$A,0),MATCH($E304,'Data_SA'!$1:$1,0))-1,""))</f>
        <v/>
      </c>
      <c r="R304" s="7">
        <f>IFERROR(INDEX('Data_NSA'!$A:$OK,MATCH(O$2,'Data_NSA'!$A:$A,0),MATCH($D304,'Data_NSA'!$1:$1,0))/INDEX('Data_NSA'!$A:$OK,MATCH(EDATE(O$2,-12),'Data_NSA'!$A:$A,0),MATCH($D304,'Data_NSA'!$1:$1,0))-1,"")</f>
        <v/>
      </c>
      <c r="S304" s="10">
        <f>IFERROR(INDEX('Weights'!$G:$I,MATCH($A304,'Weights'!$A:$A,0),MATCH(O$2,'Weights'!$G$1:$I$1,0)),"")</f>
        <v/>
      </c>
      <c r="T304" s="10">
        <f>IF($E304="","",IFERROR(100*(INDEX('Weights'!$D:$D,MATCH($A304,'Weights'!$A:$A,0))*(INDEX('Data_NSA'!$A:$OK,MATCH(EDATE(O$2,-1),'Data_NSA'!$A:$A,0),MATCH($D304,'Data_NSA'!$1:$1,0))/INDEX('Data_NSA'!$A:$OK,MATCH(INDEX('Weights'!$E:$E,MATCH($A304,'Weights'!$A:$A,0)),'Data_NSA'!$A:$A,0),MATCH($D304,'Data_NSA'!$1:$1,0))))/(100*(INDEX('Data_NSA'!$A:$OK,MATCH(EDATE(O$2,-1),'Data_NSA'!$A:$A,0),MATCH("CUUR0000SA0",'Data_NSA'!$1:$1,0))/INDEX('Data_NSA'!$A:$OK,MATCH(INDEX('Weights'!$E:$E,MATCH($A304,'Weights'!$A:$A,0)),'Data_NSA'!$A:$A,0),MATCH("CUUR0000SA0",'Data_NSA'!$1:$1,0))))*(INDEX('Data_SA'!$A:$LO,MATCH(O$2,'Data_SA'!$A:$A,0),MATCH($E304,'Data_SA'!$1:$1,0))/INDEX('Data_SA'!$A:$LO,MATCH(EDATE(O$2,-1),'Data_SA'!$A:$A,0),MATCH($E304,'Data_SA'!$1:$1,0))-1),""))</f>
        <v/>
      </c>
      <c r="U304" s="10">
        <f>IFERROR(INDEX('Data_NSA'!$A:$OK,MATCH(U$2,'Data_NSA'!$A:$A,0),MATCH($D304,'Data_NSA'!$1:$1,0)),"")</f>
        <v/>
      </c>
      <c r="V304" s="10">
        <f>IF($E304="","",IFERROR(INDEX('Data_SA'!$A:$LO,MATCH(U$2,'Data_SA'!$A:$A,0),MATCH($E304,'Data_SA'!$1:$1,0)),""))</f>
        <v/>
      </c>
      <c r="W304" s="7">
        <f>IF($E304="","",IFERROR(INDEX('Data_SA'!$A:$LO,MATCH(U$2,'Data_SA'!$A:$A,0),MATCH($E304,'Data_SA'!$1:$1,0))/INDEX('Data_SA'!$A:$LO,MATCH(EDATE(U$2,-1),'Data_SA'!$A:$A,0),MATCH($E304,'Data_SA'!$1:$1,0))-1,""))</f>
        <v/>
      </c>
      <c r="X304" s="7">
        <f>IFERROR(INDEX('Data_NSA'!$A:$OK,MATCH(U$2,'Data_NSA'!$A:$A,0),MATCH($D304,'Data_NSA'!$1:$1,0))/INDEX('Data_NSA'!$A:$OK,MATCH(EDATE(U$2,-12),'Data_NSA'!$A:$A,0),MATCH($D304,'Data_NSA'!$1:$1,0))-1,"")</f>
        <v/>
      </c>
      <c r="Y304" s="10">
        <f>IFERROR(INDEX('Weights'!$G:$I,MATCH($A304,'Weights'!$A:$A,0),MATCH(U$2,'Weights'!$G$1:$I$1,0)),"")</f>
        <v/>
      </c>
      <c r="Z304" s="10">
        <f>IF($E304="","",IFERROR(100*(INDEX('Weights'!$D:$D,MATCH($A304,'Weights'!$A:$A,0))*(INDEX('Data_NSA'!$A:$OK,MATCH(EDATE(U$2,-1),'Data_NSA'!$A:$A,0),MATCH($D304,'Data_NSA'!$1:$1,0))/INDEX('Data_NSA'!$A:$OK,MATCH(INDEX('Weights'!$E:$E,MATCH($A304,'Weights'!$A:$A,0)),'Data_NSA'!$A:$A,0),MATCH($D304,'Data_NSA'!$1:$1,0))))/(100*(INDEX('Data_NSA'!$A:$OK,MATCH(EDATE(U$2,-1),'Data_NSA'!$A:$A,0),MATCH("CUUR0000SA0",'Data_NSA'!$1:$1,0))/INDEX('Data_NSA'!$A:$OK,MATCH(INDEX('Weights'!$E:$E,MATCH($A304,'Weights'!$A:$A,0)),'Data_NSA'!$A:$A,0),MATCH("CUUR0000SA0",'Data_NSA'!$1:$1,0))))*(INDEX('Data_SA'!$A:$LO,MATCH(U$2,'Data_SA'!$A:$A,0),MATCH($E304,'Data_SA'!$1:$1,0))/INDEX('Data_SA'!$A:$LO,MATCH(EDATE(U$2,-1),'Data_SA'!$A:$A,0),MATCH($E304,'Data_SA'!$1:$1,0))-1),""))</f>
        <v/>
      </c>
    </row>
    <row r="305">
      <c r="A305" s="3" t="inlineStr">
        <is>
          <t>SERF</t>
        </is>
      </c>
      <c r="B305" s="3" t="inlineStr">
        <is>
          <t>Other recreation services</t>
        </is>
      </c>
      <c r="C305" s="3" t="inlineStr">
        <is>
          <t>SAR</t>
        </is>
      </c>
      <c r="D305" s="3" t="inlineStr">
        <is>
          <t>CUUR0000SERF</t>
        </is>
      </c>
      <c r="E305" s="3" t="inlineStr">
        <is>
          <t>CUSR0000SERF</t>
        </is>
      </c>
      <c r="F305" s="3" t="inlineStr">
        <is>
          <t>aggregate</t>
        </is>
      </c>
      <c r="G305" s="3" t="inlineStr">
        <is>
          <t>aggregate</t>
        </is>
      </c>
      <c r="H305" s="10">
        <f>IFERROR(INDEX(Weights!$D:$D,MATCH($A305,Weights!$A:$A,0)),"")</f>
        <v/>
      </c>
      <c r="I305" s="10">
        <f>IFERROR(INDEX('Data_NSA'!$A:$OK,MATCH(I$2,'Data_NSA'!$A:$A,0),MATCH($D305,'Data_NSA'!$1:$1,0)),"")</f>
        <v/>
      </c>
      <c r="J305" s="10">
        <f>IF($E305="","",IFERROR(INDEX('Data_SA'!$A:$LO,MATCH(I$2,'Data_SA'!$A:$A,0),MATCH($E305,'Data_SA'!$1:$1,0)),""))</f>
        <v/>
      </c>
      <c r="K305" s="7">
        <f>IF($E305="","",IFERROR(INDEX('Data_SA'!$A:$LO,MATCH(I$2,'Data_SA'!$A:$A,0),MATCH($E305,'Data_SA'!$1:$1,0))/INDEX('Data_SA'!$A:$LO,MATCH(EDATE(I$2,-1),'Data_SA'!$A:$A,0),MATCH($E305,'Data_SA'!$1:$1,0))-1,""))</f>
        <v/>
      </c>
      <c r="L305" s="7">
        <f>IFERROR(INDEX('Data_NSA'!$A:$OK,MATCH(I$2,'Data_NSA'!$A:$A,0),MATCH($D305,'Data_NSA'!$1:$1,0))/INDEX('Data_NSA'!$A:$OK,MATCH(EDATE(I$2,-12),'Data_NSA'!$A:$A,0),MATCH($D305,'Data_NSA'!$1:$1,0))-1,"")</f>
        <v/>
      </c>
      <c r="M305" s="10">
        <f>IFERROR(INDEX('Weights'!$G:$I,MATCH($A305,'Weights'!$A:$A,0),MATCH(I$2,'Weights'!$G$1:$I$1,0)),"")</f>
        <v/>
      </c>
      <c r="N305" s="10">
        <f>IF($E305="","",IFERROR(100*(INDEX('Weights'!$D:$D,MATCH($A305,'Weights'!$A:$A,0))*(INDEX('Data_NSA'!$A:$OK,MATCH(EDATE(I$2,-1),'Data_NSA'!$A:$A,0),MATCH($D305,'Data_NSA'!$1:$1,0))/INDEX('Data_NSA'!$A:$OK,MATCH(INDEX('Weights'!$E:$E,MATCH($A305,'Weights'!$A:$A,0)),'Data_NSA'!$A:$A,0),MATCH($D305,'Data_NSA'!$1:$1,0))))/(100*(INDEX('Data_NSA'!$A:$OK,MATCH(EDATE(I$2,-1),'Data_NSA'!$A:$A,0),MATCH("CUUR0000SA0",'Data_NSA'!$1:$1,0))/INDEX('Data_NSA'!$A:$OK,MATCH(INDEX('Weights'!$E:$E,MATCH($A305,'Weights'!$A:$A,0)),'Data_NSA'!$A:$A,0),MATCH("CUUR0000SA0",'Data_NSA'!$1:$1,0))))*(INDEX('Data_SA'!$A:$LO,MATCH(I$2,'Data_SA'!$A:$A,0),MATCH($E305,'Data_SA'!$1:$1,0))/INDEX('Data_SA'!$A:$LO,MATCH(EDATE(I$2,-1),'Data_SA'!$A:$A,0),MATCH($E305,'Data_SA'!$1:$1,0))-1),""))</f>
        <v/>
      </c>
      <c r="O305" s="10">
        <f>IFERROR(INDEX('Data_NSA'!$A:$OK,MATCH(O$2,'Data_NSA'!$A:$A,0),MATCH($D305,'Data_NSA'!$1:$1,0)),"")</f>
        <v/>
      </c>
      <c r="P305" s="10">
        <f>IF($E305="","",IFERROR(INDEX('Data_SA'!$A:$LO,MATCH(O$2,'Data_SA'!$A:$A,0),MATCH($E305,'Data_SA'!$1:$1,0)),""))</f>
        <v/>
      </c>
      <c r="Q305" s="7">
        <f>IF($E305="","",IFERROR(INDEX('Data_SA'!$A:$LO,MATCH(O$2,'Data_SA'!$A:$A,0),MATCH($E305,'Data_SA'!$1:$1,0))/INDEX('Data_SA'!$A:$LO,MATCH(EDATE(O$2,-1),'Data_SA'!$A:$A,0),MATCH($E305,'Data_SA'!$1:$1,0))-1,""))</f>
        <v/>
      </c>
      <c r="R305" s="7">
        <f>IFERROR(INDEX('Data_NSA'!$A:$OK,MATCH(O$2,'Data_NSA'!$A:$A,0),MATCH($D305,'Data_NSA'!$1:$1,0))/INDEX('Data_NSA'!$A:$OK,MATCH(EDATE(O$2,-12),'Data_NSA'!$A:$A,0),MATCH($D305,'Data_NSA'!$1:$1,0))-1,"")</f>
        <v/>
      </c>
      <c r="S305" s="10">
        <f>IFERROR(INDEX('Weights'!$G:$I,MATCH($A305,'Weights'!$A:$A,0),MATCH(O$2,'Weights'!$G$1:$I$1,0)),"")</f>
        <v/>
      </c>
      <c r="T305" s="10">
        <f>IF($E305="","",IFERROR(100*(INDEX('Weights'!$D:$D,MATCH($A305,'Weights'!$A:$A,0))*(INDEX('Data_NSA'!$A:$OK,MATCH(EDATE(O$2,-1),'Data_NSA'!$A:$A,0),MATCH($D305,'Data_NSA'!$1:$1,0))/INDEX('Data_NSA'!$A:$OK,MATCH(INDEX('Weights'!$E:$E,MATCH($A305,'Weights'!$A:$A,0)),'Data_NSA'!$A:$A,0),MATCH($D305,'Data_NSA'!$1:$1,0))))/(100*(INDEX('Data_NSA'!$A:$OK,MATCH(EDATE(O$2,-1),'Data_NSA'!$A:$A,0),MATCH("CUUR0000SA0",'Data_NSA'!$1:$1,0))/INDEX('Data_NSA'!$A:$OK,MATCH(INDEX('Weights'!$E:$E,MATCH($A305,'Weights'!$A:$A,0)),'Data_NSA'!$A:$A,0),MATCH("CUUR0000SA0",'Data_NSA'!$1:$1,0))))*(INDEX('Data_SA'!$A:$LO,MATCH(O$2,'Data_SA'!$A:$A,0),MATCH($E305,'Data_SA'!$1:$1,0))/INDEX('Data_SA'!$A:$LO,MATCH(EDATE(O$2,-1),'Data_SA'!$A:$A,0),MATCH($E305,'Data_SA'!$1:$1,0))-1),""))</f>
        <v/>
      </c>
      <c r="U305" s="10">
        <f>IFERROR(INDEX('Data_NSA'!$A:$OK,MATCH(U$2,'Data_NSA'!$A:$A,0),MATCH($D305,'Data_NSA'!$1:$1,0)),"")</f>
        <v/>
      </c>
      <c r="V305" s="10">
        <f>IF($E305="","",IFERROR(INDEX('Data_SA'!$A:$LO,MATCH(U$2,'Data_SA'!$A:$A,0),MATCH($E305,'Data_SA'!$1:$1,0)),""))</f>
        <v/>
      </c>
      <c r="W305" s="7">
        <f>IF($E305="","",IFERROR(INDEX('Data_SA'!$A:$LO,MATCH(U$2,'Data_SA'!$A:$A,0),MATCH($E305,'Data_SA'!$1:$1,0))/INDEX('Data_SA'!$A:$LO,MATCH(EDATE(U$2,-1),'Data_SA'!$A:$A,0),MATCH($E305,'Data_SA'!$1:$1,0))-1,""))</f>
        <v/>
      </c>
      <c r="X305" s="7">
        <f>IFERROR(INDEX('Data_NSA'!$A:$OK,MATCH(U$2,'Data_NSA'!$A:$A,0),MATCH($D305,'Data_NSA'!$1:$1,0))/INDEX('Data_NSA'!$A:$OK,MATCH(EDATE(U$2,-12),'Data_NSA'!$A:$A,0),MATCH($D305,'Data_NSA'!$1:$1,0))-1,"")</f>
        <v/>
      </c>
      <c r="Y305" s="10">
        <f>IFERROR(INDEX('Weights'!$G:$I,MATCH($A305,'Weights'!$A:$A,0),MATCH(U$2,'Weights'!$G$1:$I$1,0)),"")</f>
        <v/>
      </c>
      <c r="Z305" s="10">
        <f>IF($E305="","",IFERROR(100*(INDEX('Weights'!$D:$D,MATCH($A305,'Weights'!$A:$A,0))*(INDEX('Data_NSA'!$A:$OK,MATCH(EDATE(U$2,-1),'Data_NSA'!$A:$A,0),MATCH($D305,'Data_NSA'!$1:$1,0))/INDEX('Data_NSA'!$A:$OK,MATCH(INDEX('Weights'!$E:$E,MATCH($A305,'Weights'!$A:$A,0)),'Data_NSA'!$A:$A,0),MATCH($D305,'Data_NSA'!$1:$1,0))))/(100*(INDEX('Data_NSA'!$A:$OK,MATCH(EDATE(U$2,-1),'Data_NSA'!$A:$A,0),MATCH("CUUR0000SA0",'Data_NSA'!$1:$1,0))/INDEX('Data_NSA'!$A:$OK,MATCH(INDEX('Weights'!$E:$E,MATCH($A305,'Weights'!$A:$A,0)),'Data_NSA'!$A:$A,0),MATCH("CUUR0000SA0",'Data_NSA'!$1:$1,0))))*(INDEX('Data_SA'!$A:$LO,MATCH(U$2,'Data_SA'!$A:$A,0),MATCH($E305,'Data_SA'!$1:$1,0))/INDEX('Data_SA'!$A:$LO,MATCH(EDATE(U$2,-1),'Data_SA'!$A:$A,0),MATCH($E305,'Data_SA'!$1:$1,0))-1),""))</f>
        <v/>
      </c>
    </row>
    <row r="306">
      <c r="A306" s="3" t="inlineStr">
        <is>
          <t>SERF01</t>
        </is>
      </c>
      <c r="B306" s="3" t="inlineStr">
        <is>
          <t>Club membership for shopping clubs, fraternal, or other organizations, or participant sports fees</t>
        </is>
      </c>
      <c r="C306" s="3" t="inlineStr">
        <is>
          <t>SERF</t>
        </is>
      </c>
      <c r="D306" s="3" t="inlineStr">
        <is>
          <t>CUUR0000SERF01</t>
        </is>
      </c>
      <c r="E306" s="3" t="inlineStr">
        <is>
          <t>CUSR0000SERF01</t>
        </is>
      </c>
      <c r="F306" s="3" t="inlineStr">
        <is>
          <t>GM</t>
        </is>
      </c>
      <c r="G306" s="3" t="inlineStr">
        <is>
          <t>monthly in New York/Los Angeles/Chicago; often bimonthly elsewhere</t>
        </is>
      </c>
      <c r="H306" s="10">
        <f>IFERROR(INDEX(Weights!$D:$D,MATCH($A306,Weights!$A:$A,0)),"")</f>
        <v/>
      </c>
      <c r="I306" s="10">
        <f>IFERROR(INDEX('Data_NSA'!$A:$OK,MATCH(I$2,'Data_NSA'!$A:$A,0),MATCH($D306,'Data_NSA'!$1:$1,0)),"")</f>
        <v/>
      </c>
      <c r="J306" s="10">
        <f>IF($E306="","",IFERROR(INDEX('Data_SA'!$A:$LO,MATCH(I$2,'Data_SA'!$A:$A,0),MATCH($E306,'Data_SA'!$1:$1,0)),""))</f>
        <v/>
      </c>
      <c r="K306" s="7">
        <f>IF($E306="","",IFERROR(INDEX('Data_SA'!$A:$LO,MATCH(I$2,'Data_SA'!$A:$A,0),MATCH($E306,'Data_SA'!$1:$1,0))/INDEX('Data_SA'!$A:$LO,MATCH(EDATE(I$2,-1),'Data_SA'!$A:$A,0),MATCH($E306,'Data_SA'!$1:$1,0))-1,""))</f>
        <v/>
      </c>
      <c r="L306" s="7">
        <f>IFERROR(INDEX('Data_NSA'!$A:$OK,MATCH(I$2,'Data_NSA'!$A:$A,0),MATCH($D306,'Data_NSA'!$1:$1,0))/INDEX('Data_NSA'!$A:$OK,MATCH(EDATE(I$2,-12),'Data_NSA'!$A:$A,0),MATCH($D306,'Data_NSA'!$1:$1,0))-1,"")</f>
        <v/>
      </c>
      <c r="M306" s="10">
        <f>IFERROR(INDEX('Weights'!$G:$I,MATCH($A306,'Weights'!$A:$A,0),MATCH(I$2,'Weights'!$G$1:$I$1,0)),"")</f>
        <v/>
      </c>
      <c r="N306" s="10">
        <f>IF($E306="","",IFERROR(100*(INDEX('Weights'!$D:$D,MATCH($A306,'Weights'!$A:$A,0))*(INDEX('Data_NSA'!$A:$OK,MATCH(EDATE(I$2,-1),'Data_NSA'!$A:$A,0),MATCH($D306,'Data_NSA'!$1:$1,0))/INDEX('Data_NSA'!$A:$OK,MATCH(INDEX('Weights'!$E:$E,MATCH($A306,'Weights'!$A:$A,0)),'Data_NSA'!$A:$A,0),MATCH($D306,'Data_NSA'!$1:$1,0))))/(100*(INDEX('Data_NSA'!$A:$OK,MATCH(EDATE(I$2,-1),'Data_NSA'!$A:$A,0),MATCH("CUUR0000SA0",'Data_NSA'!$1:$1,0))/INDEX('Data_NSA'!$A:$OK,MATCH(INDEX('Weights'!$E:$E,MATCH($A306,'Weights'!$A:$A,0)),'Data_NSA'!$A:$A,0),MATCH("CUUR0000SA0",'Data_NSA'!$1:$1,0))))*(INDEX('Data_SA'!$A:$LO,MATCH(I$2,'Data_SA'!$A:$A,0),MATCH($E306,'Data_SA'!$1:$1,0))/INDEX('Data_SA'!$A:$LO,MATCH(EDATE(I$2,-1),'Data_SA'!$A:$A,0),MATCH($E306,'Data_SA'!$1:$1,0))-1),""))</f>
        <v/>
      </c>
      <c r="O306" s="10">
        <f>IFERROR(INDEX('Data_NSA'!$A:$OK,MATCH(O$2,'Data_NSA'!$A:$A,0),MATCH($D306,'Data_NSA'!$1:$1,0)),"")</f>
        <v/>
      </c>
      <c r="P306" s="10">
        <f>IF($E306="","",IFERROR(INDEX('Data_SA'!$A:$LO,MATCH(O$2,'Data_SA'!$A:$A,0),MATCH($E306,'Data_SA'!$1:$1,0)),""))</f>
        <v/>
      </c>
      <c r="Q306" s="7">
        <f>IF($E306="","",IFERROR(INDEX('Data_SA'!$A:$LO,MATCH(O$2,'Data_SA'!$A:$A,0),MATCH($E306,'Data_SA'!$1:$1,0))/INDEX('Data_SA'!$A:$LO,MATCH(EDATE(O$2,-1),'Data_SA'!$A:$A,0),MATCH($E306,'Data_SA'!$1:$1,0))-1,""))</f>
        <v/>
      </c>
      <c r="R306" s="7">
        <f>IFERROR(INDEX('Data_NSA'!$A:$OK,MATCH(O$2,'Data_NSA'!$A:$A,0),MATCH($D306,'Data_NSA'!$1:$1,0))/INDEX('Data_NSA'!$A:$OK,MATCH(EDATE(O$2,-12),'Data_NSA'!$A:$A,0),MATCH($D306,'Data_NSA'!$1:$1,0))-1,"")</f>
        <v/>
      </c>
      <c r="S306" s="10">
        <f>IFERROR(INDEX('Weights'!$G:$I,MATCH($A306,'Weights'!$A:$A,0),MATCH(O$2,'Weights'!$G$1:$I$1,0)),"")</f>
        <v/>
      </c>
      <c r="T306" s="10">
        <f>IF($E306="","",IFERROR(100*(INDEX('Weights'!$D:$D,MATCH($A306,'Weights'!$A:$A,0))*(INDEX('Data_NSA'!$A:$OK,MATCH(EDATE(O$2,-1),'Data_NSA'!$A:$A,0),MATCH($D306,'Data_NSA'!$1:$1,0))/INDEX('Data_NSA'!$A:$OK,MATCH(INDEX('Weights'!$E:$E,MATCH($A306,'Weights'!$A:$A,0)),'Data_NSA'!$A:$A,0),MATCH($D306,'Data_NSA'!$1:$1,0))))/(100*(INDEX('Data_NSA'!$A:$OK,MATCH(EDATE(O$2,-1),'Data_NSA'!$A:$A,0),MATCH("CUUR0000SA0",'Data_NSA'!$1:$1,0))/INDEX('Data_NSA'!$A:$OK,MATCH(INDEX('Weights'!$E:$E,MATCH($A306,'Weights'!$A:$A,0)),'Data_NSA'!$A:$A,0),MATCH("CUUR0000SA0",'Data_NSA'!$1:$1,0))))*(INDEX('Data_SA'!$A:$LO,MATCH(O$2,'Data_SA'!$A:$A,0),MATCH($E306,'Data_SA'!$1:$1,0))/INDEX('Data_SA'!$A:$LO,MATCH(EDATE(O$2,-1),'Data_SA'!$A:$A,0),MATCH($E306,'Data_SA'!$1:$1,0))-1),""))</f>
        <v/>
      </c>
      <c r="U306" s="10">
        <f>IFERROR(INDEX('Data_NSA'!$A:$OK,MATCH(U$2,'Data_NSA'!$A:$A,0),MATCH($D306,'Data_NSA'!$1:$1,0)),"")</f>
        <v/>
      </c>
      <c r="V306" s="10">
        <f>IF($E306="","",IFERROR(INDEX('Data_SA'!$A:$LO,MATCH(U$2,'Data_SA'!$A:$A,0),MATCH($E306,'Data_SA'!$1:$1,0)),""))</f>
        <v/>
      </c>
      <c r="W306" s="7">
        <f>IF($E306="","",IFERROR(INDEX('Data_SA'!$A:$LO,MATCH(U$2,'Data_SA'!$A:$A,0),MATCH($E306,'Data_SA'!$1:$1,0))/INDEX('Data_SA'!$A:$LO,MATCH(EDATE(U$2,-1),'Data_SA'!$A:$A,0),MATCH($E306,'Data_SA'!$1:$1,0))-1,""))</f>
        <v/>
      </c>
      <c r="X306" s="7">
        <f>IFERROR(INDEX('Data_NSA'!$A:$OK,MATCH(U$2,'Data_NSA'!$A:$A,0),MATCH($D306,'Data_NSA'!$1:$1,0))/INDEX('Data_NSA'!$A:$OK,MATCH(EDATE(U$2,-12),'Data_NSA'!$A:$A,0),MATCH($D306,'Data_NSA'!$1:$1,0))-1,"")</f>
        <v/>
      </c>
      <c r="Y306" s="10">
        <f>IFERROR(INDEX('Weights'!$G:$I,MATCH($A306,'Weights'!$A:$A,0),MATCH(U$2,'Weights'!$G$1:$I$1,0)),"")</f>
        <v/>
      </c>
      <c r="Z306" s="10">
        <f>IF($E306="","",IFERROR(100*(INDEX('Weights'!$D:$D,MATCH($A306,'Weights'!$A:$A,0))*(INDEX('Data_NSA'!$A:$OK,MATCH(EDATE(U$2,-1),'Data_NSA'!$A:$A,0),MATCH($D306,'Data_NSA'!$1:$1,0))/INDEX('Data_NSA'!$A:$OK,MATCH(INDEX('Weights'!$E:$E,MATCH($A306,'Weights'!$A:$A,0)),'Data_NSA'!$A:$A,0),MATCH($D306,'Data_NSA'!$1:$1,0))))/(100*(INDEX('Data_NSA'!$A:$OK,MATCH(EDATE(U$2,-1),'Data_NSA'!$A:$A,0),MATCH("CUUR0000SA0",'Data_NSA'!$1:$1,0))/INDEX('Data_NSA'!$A:$OK,MATCH(INDEX('Weights'!$E:$E,MATCH($A306,'Weights'!$A:$A,0)),'Data_NSA'!$A:$A,0),MATCH("CUUR0000SA0",'Data_NSA'!$1:$1,0))))*(INDEX('Data_SA'!$A:$LO,MATCH(U$2,'Data_SA'!$A:$A,0),MATCH($E306,'Data_SA'!$1:$1,0))/INDEX('Data_SA'!$A:$LO,MATCH(EDATE(U$2,-1),'Data_SA'!$A:$A,0),MATCH($E306,'Data_SA'!$1:$1,0))-1),""))</f>
        <v/>
      </c>
    </row>
    <row r="307">
      <c r="A307" s="3" t="inlineStr">
        <is>
          <t>SERF02</t>
        </is>
      </c>
      <c r="B307" s="3" t="inlineStr">
        <is>
          <t>Admissions</t>
        </is>
      </c>
      <c r="C307" s="3" t="inlineStr">
        <is>
          <t>SERF</t>
        </is>
      </c>
      <c r="D307" s="3" t="inlineStr">
        <is>
          <t>CUUR0000SERF02</t>
        </is>
      </c>
      <c r="E307" s="3" t="inlineStr">
        <is>
          <t>CUSR0000SERF02</t>
        </is>
      </c>
      <c r="F307" s="3" t="inlineStr">
        <is>
          <t>aggregate</t>
        </is>
      </c>
      <c r="G307" s="3" t="inlineStr">
        <is>
          <t>aggregate</t>
        </is>
      </c>
      <c r="H307" s="10">
        <f>IFERROR(INDEX(Weights!$D:$D,MATCH($A307,Weights!$A:$A,0)),"")</f>
        <v/>
      </c>
      <c r="I307" s="10">
        <f>IFERROR(INDEX('Data_NSA'!$A:$OK,MATCH(I$2,'Data_NSA'!$A:$A,0),MATCH($D307,'Data_NSA'!$1:$1,0)),"")</f>
        <v/>
      </c>
      <c r="J307" s="10">
        <f>IF($E307="","",IFERROR(INDEX('Data_SA'!$A:$LO,MATCH(I$2,'Data_SA'!$A:$A,0),MATCH($E307,'Data_SA'!$1:$1,0)),""))</f>
        <v/>
      </c>
      <c r="K307" s="7">
        <f>IF($E307="","",IFERROR(INDEX('Data_SA'!$A:$LO,MATCH(I$2,'Data_SA'!$A:$A,0),MATCH($E307,'Data_SA'!$1:$1,0))/INDEX('Data_SA'!$A:$LO,MATCH(EDATE(I$2,-1),'Data_SA'!$A:$A,0),MATCH($E307,'Data_SA'!$1:$1,0))-1,""))</f>
        <v/>
      </c>
      <c r="L307" s="7">
        <f>IFERROR(INDEX('Data_NSA'!$A:$OK,MATCH(I$2,'Data_NSA'!$A:$A,0),MATCH($D307,'Data_NSA'!$1:$1,0))/INDEX('Data_NSA'!$A:$OK,MATCH(EDATE(I$2,-12),'Data_NSA'!$A:$A,0),MATCH($D307,'Data_NSA'!$1:$1,0))-1,"")</f>
        <v/>
      </c>
      <c r="M307" s="10">
        <f>IFERROR(INDEX('Weights'!$G:$I,MATCH($A307,'Weights'!$A:$A,0),MATCH(I$2,'Weights'!$G$1:$I$1,0)),"")</f>
        <v/>
      </c>
      <c r="N307" s="10">
        <f>IF($E307="","",IFERROR(100*(INDEX('Weights'!$D:$D,MATCH($A307,'Weights'!$A:$A,0))*(INDEX('Data_NSA'!$A:$OK,MATCH(EDATE(I$2,-1),'Data_NSA'!$A:$A,0),MATCH($D307,'Data_NSA'!$1:$1,0))/INDEX('Data_NSA'!$A:$OK,MATCH(INDEX('Weights'!$E:$E,MATCH($A307,'Weights'!$A:$A,0)),'Data_NSA'!$A:$A,0),MATCH($D307,'Data_NSA'!$1:$1,0))))/(100*(INDEX('Data_NSA'!$A:$OK,MATCH(EDATE(I$2,-1),'Data_NSA'!$A:$A,0),MATCH("CUUR0000SA0",'Data_NSA'!$1:$1,0))/INDEX('Data_NSA'!$A:$OK,MATCH(INDEX('Weights'!$E:$E,MATCH($A307,'Weights'!$A:$A,0)),'Data_NSA'!$A:$A,0),MATCH("CUUR0000SA0",'Data_NSA'!$1:$1,0))))*(INDEX('Data_SA'!$A:$LO,MATCH(I$2,'Data_SA'!$A:$A,0),MATCH($E307,'Data_SA'!$1:$1,0))/INDEX('Data_SA'!$A:$LO,MATCH(EDATE(I$2,-1),'Data_SA'!$A:$A,0),MATCH($E307,'Data_SA'!$1:$1,0))-1),""))</f>
        <v/>
      </c>
      <c r="O307" s="10">
        <f>IFERROR(INDEX('Data_NSA'!$A:$OK,MATCH(O$2,'Data_NSA'!$A:$A,0),MATCH($D307,'Data_NSA'!$1:$1,0)),"")</f>
        <v/>
      </c>
      <c r="P307" s="10">
        <f>IF($E307="","",IFERROR(INDEX('Data_SA'!$A:$LO,MATCH(O$2,'Data_SA'!$A:$A,0),MATCH($E307,'Data_SA'!$1:$1,0)),""))</f>
        <v/>
      </c>
      <c r="Q307" s="7">
        <f>IF($E307="","",IFERROR(INDEX('Data_SA'!$A:$LO,MATCH(O$2,'Data_SA'!$A:$A,0),MATCH($E307,'Data_SA'!$1:$1,0))/INDEX('Data_SA'!$A:$LO,MATCH(EDATE(O$2,-1),'Data_SA'!$A:$A,0),MATCH($E307,'Data_SA'!$1:$1,0))-1,""))</f>
        <v/>
      </c>
      <c r="R307" s="7">
        <f>IFERROR(INDEX('Data_NSA'!$A:$OK,MATCH(O$2,'Data_NSA'!$A:$A,0),MATCH($D307,'Data_NSA'!$1:$1,0))/INDEX('Data_NSA'!$A:$OK,MATCH(EDATE(O$2,-12),'Data_NSA'!$A:$A,0),MATCH($D307,'Data_NSA'!$1:$1,0))-1,"")</f>
        <v/>
      </c>
      <c r="S307" s="10">
        <f>IFERROR(INDEX('Weights'!$G:$I,MATCH($A307,'Weights'!$A:$A,0),MATCH(O$2,'Weights'!$G$1:$I$1,0)),"")</f>
        <v/>
      </c>
      <c r="T307" s="10">
        <f>IF($E307="","",IFERROR(100*(INDEX('Weights'!$D:$D,MATCH($A307,'Weights'!$A:$A,0))*(INDEX('Data_NSA'!$A:$OK,MATCH(EDATE(O$2,-1),'Data_NSA'!$A:$A,0),MATCH($D307,'Data_NSA'!$1:$1,0))/INDEX('Data_NSA'!$A:$OK,MATCH(INDEX('Weights'!$E:$E,MATCH($A307,'Weights'!$A:$A,0)),'Data_NSA'!$A:$A,0),MATCH($D307,'Data_NSA'!$1:$1,0))))/(100*(INDEX('Data_NSA'!$A:$OK,MATCH(EDATE(O$2,-1),'Data_NSA'!$A:$A,0),MATCH("CUUR0000SA0",'Data_NSA'!$1:$1,0))/INDEX('Data_NSA'!$A:$OK,MATCH(INDEX('Weights'!$E:$E,MATCH($A307,'Weights'!$A:$A,0)),'Data_NSA'!$A:$A,0),MATCH("CUUR0000SA0",'Data_NSA'!$1:$1,0))))*(INDEX('Data_SA'!$A:$LO,MATCH(O$2,'Data_SA'!$A:$A,0),MATCH($E307,'Data_SA'!$1:$1,0))/INDEX('Data_SA'!$A:$LO,MATCH(EDATE(O$2,-1),'Data_SA'!$A:$A,0),MATCH($E307,'Data_SA'!$1:$1,0))-1),""))</f>
        <v/>
      </c>
      <c r="U307" s="10">
        <f>IFERROR(INDEX('Data_NSA'!$A:$OK,MATCH(U$2,'Data_NSA'!$A:$A,0),MATCH($D307,'Data_NSA'!$1:$1,0)),"")</f>
        <v/>
      </c>
      <c r="V307" s="10">
        <f>IF($E307="","",IFERROR(INDEX('Data_SA'!$A:$LO,MATCH(U$2,'Data_SA'!$A:$A,0),MATCH($E307,'Data_SA'!$1:$1,0)),""))</f>
        <v/>
      </c>
      <c r="W307" s="7">
        <f>IF($E307="","",IFERROR(INDEX('Data_SA'!$A:$LO,MATCH(U$2,'Data_SA'!$A:$A,0),MATCH($E307,'Data_SA'!$1:$1,0))/INDEX('Data_SA'!$A:$LO,MATCH(EDATE(U$2,-1),'Data_SA'!$A:$A,0),MATCH($E307,'Data_SA'!$1:$1,0))-1,""))</f>
        <v/>
      </c>
      <c r="X307" s="7">
        <f>IFERROR(INDEX('Data_NSA'!$A:$OK,MATCH(U$2,'Data_NSA'!$A:$A,0),MATCH($D307,'Data_NSA'!$1:$1,0))/INDEX('Data_NSA'!$A:$OK,MATCH(EDATE(U$2,-12),'Data_NSA'!$A:$A,0),MATCH($D307,'Data_NSA'!$1:$1,0))-1,"")</f>
        <v/>
      </c>
      <c r="Y307" s="10">
        <f>IFERROR(INDEX('Weights'!$G:$I,MATCH($A307,'Weights'!$A:$A,0),MATCH(U$2,'Weights'!$G$1:$I$1,0)),"")</f>
        <v/>
      </c>
      <c r="Z307" s="10">
        <f>IF($E307="","",IFERROR(100*(INDEX('Weights'!$D:$D,MATCH($A307,'Weights'!$A:$A,0))*(INDEX('Data_NSA'!$A:$OK,MATCH(EDATE(U$2,-1),'Data_NSA'!$A:$A,0),MATCH($D307,'Data_NSA'!$1:$1,0))/INDEX('Data_NSA'!$A:$OK,MATCH(INDEX('Weights'!$E:$E,MATCH($A307,'Weights'!$A:$A,0)),'Data_NSA'!$A:$A,0),MATCH($D307,'Data_NSA'!$1:$1,0))))/(100*(INDEX('Data_NSA'!$A:$OK,MATCH(EDATE(U$2,-1),'Data_NSA'!$A:$A,0),MATCH("CUUR0000SA0",'Data_NSA'!$1:$1,0))/INDEX('Data_NSA'!$A:$OK,MATCH(INDEX('Weights'!$E:$E,MATCH($A307,'Weights'!$A:$A,0)),'Data_NSA'!$A:$A,0),MATCH("CUUR0000SA0",'Data_NSA'!$1:$1,0))))*(INDEX('Data_SA'!$A:$LO,MATCH(U$2,'Data_SA'!$A:$A,0),MATCH($E307,'Data_SA'!$1:$1,0))/INDEX('Data_SA'!$A:$LO,MATCH(EDATE(U$2,-1),'Data_SA'!$A:$A,0),MATCH($E307,'Data_SA'!$1:$1,0))-1),""))</f>
        <v/>
      </c>
    </row>
    <row r="308">
      <c r="A308" s="3" t="inlineStr">
        <is>
          <t>SS62031</t>
        </is>
      </c>
      <c r="B308" s="3" t="inlineStr">
        <is>
          <t>Admission to movies, theaters, and concerts</t>
        </is>
      </c>
      <c r="C308" s="3" t="inlineStr">
        <is>
          <t>SERF02</t>
        </is>
      </c>
      <c r="D308" s="3" t="inlineStr">
        <is>
          <t>CUUR0000SS62031</t>
        </is>
      </c>
      <c r="E308" s="3" t="inlineStr">
        <is>
          <t>CUSR0000SS62031</t>
        </is>
      </c>
      <c r="F308" s="3" t="inlineStr">
        <is>
          <t>GM</t>
        </is>
      </c>
      <c r="G308" s="3" t="inlineStr">
        <is>
          <t>monthly in New York/Los Angeles/Chicago; often bimonthly elsewhere</t>
        </is>
      </c>
      <c r="H308" s="10">
        <f>IFERROR(INDEX(Weights!$D:$D,MATCH($A308,Weights!$A:$A,0)),"")</f>
        <v/>
      </c>
      <c r="I308" s="10">
        <f>IFERROR(INDEX('Data_NSA'!$A:$OK,MATCH(I$2,'Data_NSA'!$A:$A,0),MATCH($D308,'Data_NSA'!$1:$1,0)),"")</f>
        <v/>
      </c>
      <c r="J308" s="10">
        <f>IF($E308="","",IFERROR(INDEX('Data_SA'!$A:$LO,MATCH(I$2,'Data_SA'!$A:$A,0),MATCH($E308,'Data_SA'!$1:$1,0)),""))</f>
        <v/>
      </c>
      <c r="K308" s="7">
        <f>IF($E308="","",IFERROR(INDEX('Data_SA'!$A:$LO,MATCH(I$2,'Data_SA'!$A:$A,0),MATCH($E308,'Data_SA'!$1:$1,0))/INDEX('Data_SA'!$A:$LO,MATCH(EDATE(I$2,-1),'Data_SA'!$A:$A,0),MATCH($E308,'Data_SA'!$1:$1,0))-1,""))</f>
        <v/>
      </c>
      <c r="L308" s="7">
        <f>IFERROR(INDEX('Data_NSA'!$A:$OK,MATCH(I$2,'Data_NSA'!$A:$A,0),MATCH($D308,'Data_NSA'!$1:$1,0))/INDEX('Data_NSA'!$A:$OK,MATCH(EDATE(I$2,-12),'Data_NSA'!$A:$A,0),MATCH($D308,'Data_NSA'!$1:$1,0))-1,"")</f>
        <v/>
      </c>
      <c r="M308" s="10">
        <f>IFERROR(INDEX('Weights'!$G:$I,MATCH($A308,'Weights'!$A:$A,0),MATCH(I$2,'Weights'!$G$1:$I$1,0)),"")</f>
        <v/>
      </c>
      <c r="N308" s="10">
        <f>IF($E308="","",IFERROR(100*(INDEX('Weights'!$D:$D,MATCH($A308,'Weights'!$A:$A,0))*(INDEX('Data_NSA'!$A:$OK,MATCH(EDATE(I$2,-1),'Data_NSA'!$A:$A,0),MATCH($D308,'Data_NSA'!$1:$1,0))/INDEX('Data_NSA'!$A:$OK,MATCH(INDEX('Weights'!$E:$E,MATCH($A308,'Weights'!$A:$A,0)),'Data_NSA'!$A:$A,0),MATCH($D308,'Data_NSA'!$1:$1,0))))/(100*(INDEX('Data_NSA'!$A:$OK,MATCH(EDATE(I$2,-1),'Data_NSA'!$A:$A,0),MATCH("CUUR0000SA0",'Data_NSA'!$1:$1,0))/INDEX('Data_NSA'!$A:$OK,MATCH(INDEX('Weights'!$E:$E,MATCH($A308,'Weights'!$A:$A,0)),'Data_NSA'!$A:$A,0),MATCH("CUUR0000SA0",'Data_NSA'!$1:$1,0))))*(INDEX('Data_SA'!$A:$LO,MATCH(I$2,'Data_SA'!$A:$A,0),MATCH($E308,'Data_SA'!$1:$1,0))/INDEX('Data_SA'!$A:$LO,MATCH(EDATE(I$2,-1),'Data_SA'!$A:$A,0),MATCH($E308,'Data_SA'!$1:$1,0))-1),""))</f>
        <v/>
      </c>
      <c r="O308" s="10">
        <f>IFERROR(INDEX('Data_NSA'!$A:$OK,MATCH(O$2,'Data_NSA'!$A:$A,0),MATCH($D308,'Data_NSA'!$1:$1,0)),"")</f>
        <v/>
      </c>
      <c r="P308" s="10">
        <f>IF($E308="","",IFERROR(INDEX('Data_SA'!$A:$LO,MATCH(O$2,'Data_SA'!$A:$A,0),MATCH($E308,'Data_SA'!$1:$1,0)),""))</f>
        <v/>
      </c>
      <c r="Q308" s="7">
        <f>IF($E308="","",IFERROR(INDEX('Data_SA'!$A:$LO,MATCH(O$2,'Data_SA'!$A:$A,0),MATCH($E308,'Data_SA'!$1:$1,0))/INDEX('Data_SA'!$A:$LO,MATCH(EDATE(O$2,-1),'Data_SA'!$A:$A,0),MATCH($E308,'Data_SA'!$1:$1,0))-1,""))</f>
        <v/>
      </c>
      <c r="R308" s="7">
        <f>IFERROR(INDEX('Data_NSA'!$A:$OK,MATCH(O$2,'Data_NSA'!$A:$A,0),MATCH($D308,'Data_NSA'!$1:$1,0))/INDEX('Data_NSA'!$A:$OK,MATCH(EDATE(O$2,-12),'Data_NSA'!$A:$A,0),MATCH($D308,'Data_NSA'!$1:$1,0))-1,"")</f>
        <v/>
      </c>
      <c r="S308" s="10">
        <f>IFERROR(INDEX('Weights'!$G:$I,MATCH($A308,'Weights'!$A:$A,0),MATCH(O$2,'Weights'!$G$1:$I$1,0)),"")</f>
        <v/>
      </c>
      <c r="T308" s="10">
        <f>IF($E308="","",IFERROR(100*(INDEX('Weights'!$D:$D,MATCH($A308,'Weights'!$A:$A,0))*(INDEX('Data_NSA'!$A:$OK,MATCH(EDATE(O$2,-1),'Data_NSA'!$A:$A,0),MATCH($D308,'Data_NSA'!$1:$1,0))/INDEX('Data_NSA'!$A:$OK,MATCH(INDEX('Weights'!$E:$E,MATCH($A308,'Weights'!$A:$A,0)),'Data_NSA'!$A:$A,0),MATCH($D308,'Data_NSA'!$1:$1,0))))/(100*(INDEX('Data_NSA'!$A:$OK,MATCH(EDATE(O$2,-1),'Data_NSA'!$A:$A,0),MATCH("CUUR0000SA0",'Data_NSA'!$1:$1,0))/INDEX('Data_NSA'!$A:$OK,MATCH(INDEX('Weights'!$E:$E,MATCH($A308,'Weights'!$A:$A,0)),'Data_NSA'!$A:$A,0),MATCH("CUUR0000SA0",'Data_NSA'!$1:$1,0))))*(INDEX('Data_SA'!$A:$LO,MATCH(O$2,'Data_SA'!$A:$A,0),MATCH($E308,'Data_SA'!$1:$1,0))/INDEX('Data_SA'!$A:$LO,MATCH(EDATE(O$2,-1),'Data_SA'!$A:$A,0),MATCH($E308,'Data_SA'!$1:$1,0))-1),""))</f>
        <v/>
      </c>
      <c r="U308" s="10">
        <f>IFERROR(INDEX('Data_NSA'!$A:$OK,MATCH(U$2,'Data_NSA'!$A:$A,0),MATCH($D308,'Data_NSA'!$1:$1,0)),"")</f>
        <v/>
      </c>
      <c r="V308" s="10">
        <f>IF($E308="","",IFERROR(INDEX('Data_SA'!$A:$LO,MATCH(U$2,'Data_SA'!$A:$A,0),MATCH($E308,'Data_SA'!$1:$1,0)),""))</f>
        <v/>
      </c>
      <c r="W308" s="7">
        <f>IF($E308="","",IFERROR(INDEX('Data_SA'!$A:$LO,MATCH(U$2,'Data_SA'!$A:$A,0),MATCH($E308,'Data_SA'!$1:$1,0))/INDEX('Data_SA'!$A:$LO,MATCH(EDATE(U$2,-1),'Data_SA'!$A:$A,0),MATCH($E308,'Data_SA'!$1:$1,0))-1,""))</f>
        <v/>
      </c>
      <c r="X308" s="7">
        <f>IFERROR(INDEX('Data_NSA'!$A:$OK,MATCH(U$2,'Data_NSA'!$A:$A,0),MATCH($D308,'Data_NSA'!$1:$1,0))/INDEX('Data_NSA'!$A:$OK,MATCH(EDATE(U$2,-12),'Data_NSA'!$A:$A,0),MATCH($D308,'Data_NSA'!$1:$1,0))-1,"")</f>
        <v/>
      </c>
      <c r="Y308" s="10">
        <f>IFERROR(INDEX('Weights'!$G:$I,MATCH($A308,'Weights'!$A:$A,0),MATCH(U$2,'Weights'!$G$1:$I$1,0)),"")</f>
        <v/>
      </c>
      <c r="Z308" s="10">
        <f>IF($E308="","",IFERROR(100*(INDEX('Weights'!$D:$D,MATCH($A308,'Weights'!$A:$A,0))*(INDEX('Data_NSA'!$A:$OK,MATCH(EDATE(U$2,-1),'Data_NSA'!$A:$A,0),MATCH($D308,'Data_NSA'!$1:$1,0))/INDEX('Data_NSA'!$A:$OK,MATCH(INDEX('Weights'!$E:$E,MATCH($A308,'Weights'!$A:$A,0)),'Data_NSA'!$A:$A,0),MATCH($D308,'Data_NSA'!$1:$1,0))))/(100*(INDEX('Data_NSA'!$A:$OK,MATCH(EDATE(U$2,-1),'Data_NSA'!$A:$A,0),MATCH("CUUR0000SA0",'Data_NSA'!$1:$1,0))/INDEX('Data_NSA'!$A:$OK,MATCH(INDEX('Weights'!$E:$E,MATCH($A308,'Weights'!$A:$A,0)),'Data_NSA'!$A:$A,0),MATCH("CUUR0000SA0",'Data_NSA'!$1:$1,0))))*(INDEX('Data_SA'!$A:$LO,MATCH(U$2,'Data_SA'!$A:$A,0),MATCH($E308,'Data_SA'!$1:$1,0))/INDEX('Data_SA'!$A:$LO,MATCH(EDATE(U$2,-1),'Data_SA'!$A:$A,0),MATCH($E308,'Data_SA'!$1:$1,0))-1),""))</f>
        <v/>
      </c>
    </row>
    <row r="309">
      <c r="A309" s="3" t="inlineStr">
        <is>
          <t>SS62032</t>
        </is>
      </c>
      <c r="B309" s="3" t="inlineStr">
        <is>
          <t>Admission to sporting events</t>
        </is>
      </c>
      <c r="C309" s="3" t="inlineStr">
        <is>
          <t>SERF02</t>
        </is>
      </c>
      <c r="D309" s="3" t="inlineStr">
        <is>
          <t>CUUR0000SS62032</t>
        </is>
      </c>
      <c r="E309" s="3" t="inlineStr">
        <is>
          <t>CUSR0000SS62032</t>
        </is>
      </c>
      <c r="F309" s="3" t="inlineStr">
        <is>
          <t>GM</t>
        </is>
      </c>
      <c r="G309" s="3" t="inlineStr">
        <is>
          <t>monthly in New York/Los Angeles/Chicago; often bimonthly elsewhere</t>
        </is>
      </c>
      <c r="H309" s="10">
        <f>IFERROR(INDEX(Weights!$D:$D,MATCH($A309,Weights!$A:$A,0)),"")</f>
        <v/>
      </c>
      <c r="I309" s="10">
        <f>IFERROR(INDEX('Data_NSA'!$A:$OK,MATCH(I$2,'Data_NSA'!$A:$A,0),MATCH($D309,'Data_NSA'!$1:$1,0)),"")</f>
        <v/>
      </c>
      <c r="J309" s="10">
        <f>IF($E309="","",IFERROR(INDEX('Data_SA'!$A:$LO,MATCH(I$2,'Data_SA'!$A:$A,0),MATCH($E309,'Data_SA'!$1:$1,0)),""))</f>
        <v/>
      </c>
      <c r="K309" s="7">
        <f>IF($E309="","",IFERROR(INDEX('Data_SA'!$A:$LO,MATCH(I$2,'Data_SA'!$A:$A,0),MATCH($E309,'Data_SA'!$1:$1,0))/INDEX('Data_SA'!$A:$LO,MATCH(EDATE(I$2,-1),'Data_SA'!$A:$A,0),MATCH($E309,'Data_SA'!$1:$1,0))-1,""))</f>
        <v/>
      </c>
      <c r="L309" s="7">
        <f>IFERROR(INDEX('Data_NSA'!$A:$OK,MATCH(I$2,'Data_NSA'!$A:$A,0),MATCH($D309,'Data_NSA'!$1:$1,0))/INDEX('Data_NSA'!$A:$OK,MATCH(EDATE(I$2,-12),'Data_NSA'!$A:$A,0),MATCH($D309,'Data_NSA'!$1:$1,0))-1,"")</f>
        <v/>
      </c>
      <c r="M309" s="10">
        <f>IFERROR(INDEX('Weights'!$G:$I,MATCH($A309,'Weights'!$A:$A,0),MATCH(I$2,'Weights'!$G$1:$I$1,0)),"")</f>
        <v/>
      </c>
      <c r="N309" s="10">
        <f>IF($E309="","",IFERROR(100*(INDEX('Weights'!$D:$D,MATCH($A309,'Weights'!$A:$A,0))*(INDEX('Data_NSA'!$A:$OK,MATCH(EDATE(I$2,-1),'Data_NSA'!$A:$A,0),MATCH($D309,'Data_NSA'!$1:$1,0))/INDEX('Data_NSA'!$A:$OK,MATCH(INDEX('Weights'!$E:$E,MATCH($A309,'Weights'!$A:$A,0)),'Data_NSA'!$A:$A,0),MATCH($D309,'Data_NSA'!$1:$1,0))))/(100*(INDEX('Data_NSA'!$A:$OK,MATCH(EDATE(I$2,-1),'Data_NSA'!$A:$A,0),MATCH("CUUR0000SA0",'Data_NSA'!$1:$1,0))/INDEX('Data_NSA'!$A:$OK,MATCH(INDEX('Weights'!$E:$E,MATCH($A309,'Weights'!$A:$A,0)),'Data_NSA'!$A:$A,0),MATCH("CUUR0000SA0",'Data_NSA'!$1:$1,0))))*(INDEX('Data_SA'!$A:$LO,MATCH(I$2,'Data_SA'!$A:$A,0),MATCH($E309,'Data_SA'!$1:$1,0))/INDEX('Data_SA'!$A:$LO,MATCH(EDATE(I$2,-1),'Data_SA'!$A:$A,0),MATCH($E309,'Data_SA'!$1:$1,0))-1),""))</f>
        <v/>
      </c>
      <c r="O309" s="10">
        <f>IFERROR(INDEX('Data_NSA'!$A:$OK,MATCH(O$2,'Data_NSA'!$A:$A,0),MATCH($D309,'Data_NSA'!$1:$1,0)),"")</f>
        <v/>
      </c>
      <c r="P309" s="10">
        <f>IF($E309="","",IFERROR(INDEX('Data_SA'!$A:$LO,MATCH(O$2,'Data_SA'!$A:$A,0),MATCH($E309,'Data_SA'!$1:$1,0)),""))</f>
        <v/>
      </c>
      <c r="Q309" s="7">
        <f>IF($E309="","",IFERROR(INDEX('Data_SA'!$A:$LO,MATCH(O$2,'Data_SA'!$A:$A,0),MATCH($E309,'Data_SA'!$1:$1,0))/INDEX('Data_SA'!$A:$LO,MATCH(EDATE(O$2,-1),'Data_SA'!$A:$A,0),MATCH($E309,'Data_SA'!$1:$1,0))-1,""))</f>
        <v/>
      </c>
      <c r="R309" s="7">
        <f>IFERROR(INDEX('Data_NSA'!$A:$OK,MATCH(O$2,'Data_NSA'!$A:$A,0),MATCH($D309,'Data_NSA'!$1:$1,0))/INDEX('Data_NSA'!$A:$OK,MATCH(EDATE(O$2,-12),'Data_NSA'!$A:$A,0),MATCH($D309,'Data_NSA'!$1:$1,0))-1,"")</f>
        <v/>
      </c>
      <c r="S309" s="10">
        <f>IFERROR(INDEX('Weights'!$G:$I,MATCH($A309,'Weights'!$A:$A,0),MATCH(O$2,'Weights'!$G$1:$I$1,0)),"")</f>
        <v/>
      </c>
      <c r="T309" s="10">
        <f>IF($E309="","",IFERROR(100*(INDEX('Weights'!$D:$D,MATCH($A309,'Weights'!$A:$A,0))*(INDEX('Data_NSA'!$A:$OK,MATCH(EDATE(O$2,-1),'Data_NSA'!$A:$A,0),MATCH($D309,'Data_NSA'!$1:$1,0))/INDEX('Data_NSA'!$A:$OK,MATCH(INDEX('Weights'!$E:$E,MATCH($A309,'Weights'!$A:$A,0)),'Data_NSA'!$A:$A,0),MATCH($D309,'Data_NSA'!$1:$1,0))))/(100*(INDEX('Data_NSA'!$A:$OK,MATCH(EDATE(O$2,-1),'Data_NSA'!$A:$A,0),MATCH("CUUR0000SA0",'Data_NSA'!$1:$1,0))/INDEX('Data_NSA'!$A:$OK,MATCH(INDEX('Weights'!$E:$E,MATCH($A309,'Weights'!$A:$A,0)),'Data_NSA'!$A:$A,0),MATCH("CUUR0000SA0",'Data_NSA'!$1:$1,0))))*(INDEX('Data_SA'!$A:$LO,MATCH(O$2,'Data_SA'!$A:$A,0),MATCH($E309,'Data_SA'!$1:$1,0))/INDEX('Data_SA'!$A:$LO,MATCH(EDATE(O$2,-1),'Data_SA'!$A:$A,0),MATCH($E309,'Data_SA'!$1:$1,0))-1),""))</f>
        <v/>
      </c>
      <c r="U309" s="10">
        <f>IFERROR(INDEX('Data_NSA'!$A:$OK,MATCH(U$2,'Data_NSA'!$A:$A,0),MATCH($D309,'Data_NSA'!$1:$1,0)),"")</f>
        <v/>
      </c>
      <c r="V309" s="10">
        <f>IF($E309="","",IFERROR(INDEX('Data_SA'!$A:$LO,MATCH(U$2,'Data_SA'!$A:$A,0),MATCH($E309,'Data_SA'!$1:$1,0)),""))</f>
        <v/>
      </c>
      <c r="W309" s="7">
        <f>IF($E309="","",IFERROR(INDEX('Data_SA'!$A:$LO,MATCH(U$2,'Data_SA'!$A:$A,0),MATCH($E309,'Data_SA'!$1:$1,0))/INDEX('Data_SA'!$A:$LO,MATCH(EDATE(U$2,-1),'Data_SA'!$A:$A,0),MATCH($E309,'Data_SA'!$1:$1,0))-1,""))</f>
        <v/>
      </c>
      <c r="X309" s="7">
        <f>IFERROR(INDEX('Data_NSA'!$A:$OK,MATCH(U$2,'Data_NSA'!$A:$A,0),MATCH($D309,'Data_NSA'!$1:$1,0))/INDEX('Data_NSA'!$A:$OK,MATCH(EDATE(U$2,-12),'Data_NSA'!$A:$A,0),MATCH($D309,'Data_NSA'!$1:$1,0))-1,"")</f>
        <v/>
      </c>
      <c r="Y309" s="10">
        <f>IFERROR(INDEX('Weights'!$G:$I,MATCH($A309,'Weights'!$A:$A,0),MATCH(U$2,'Weights'!$G$1:$I$1,0)),"")</f>
        <v/>
      </c>
      <c r="Z309" s="10">
        <f>IF($E309="","",IFERROR(100*(INDEX('Weights'!$D:$D,MATCH($A309,'Weights'!$A:$A,0))*(INDEX('Data_NSA'!$A:$OK,MATCH(EDATE(U$2,-1),'Data_NSA'!$A:$A,0),MATCH($D309,'Data_NSA'!$1:$1,0))/INDEX('Data_NSA'!$A:$OK,MATCH(INDEX('Weights'!$E:$E,MATCH($A309,'Weights'!$A:$A,0)),'Data_NSA'!$A:$A,0),MATCH($D309,'Data_NSA'!$1:$1,0))))/(100*(INDEX('Data_NSA'!$A:$OK,MATCH(EDATE(U$2,-1),'Data_NSA'!$A:$A,0),MATCH("CUUR0000SA0",'Data_NSA'!$1:$1,0))/INDEX('Data_NSA'!$A:$OK,MATCH(INDEX('Weights'!$E:$E,MATCH($A309,'Weights'!$A:$A,0)),'Data_NSA'!$A:$A,0),MATCH("CUUR0000SA0",'Data_NSA'!$1:$1,0))))*(INDEX('Data_SA'!$A:$LO,MATCH(U$2,'Data_SA'!$A:$A,0),MATCH($E309,'Data_SA'!$1:$1,0))/INDEX('Data_SA'!$A:$LO,MATCH(EDATE(U$2,-1),'Data_SA'!$A:$A,0),MATCH($E309,'Data_SA'!$1:$1,0))-1),""))</f>
        <v/>
      </c>
    </row>
    <row r="310">
      <c r="A310" s="3" t="inlineStr">
        <is>
          <t>SERF03</t>
        </is>
      </c>
      <c r="B310" s="3" t="inlineStr">
        <is>
          <t>Fees for lessons or instructions</t>
        </is>
      </c>
      <c r="C310" s="3" t="inlineStr">
        <is>
          <t>SERF</t>
        </is>
      </c>
      <c r="D310" s="3" t="inlineStr">
        <is>
          <t>CUUR0000SERF03</t>
        </is>
      </c>
      <c r="E310" s="3" t="inlineStr">
        <is>
          <t>CUSR0000SERF03</t>
        </is>
      </c>
      <c r="F310" s="3" t="inlineStr">
        <is>
          <t>GM</t>
        </is>
      </c>
      <c r="G310" s="3" t="inlineStr">
        <is>
          <t>monthly in New York/Los Angeles/Chicago; often bimonthly elsewhere</t>
        </is>
      </c>
      <c r="H310" s="10">
        <f>IFERROR(INDEX(Weights!$D:$D,MATCH($A310,Weights!$A:$A,0)),"")</f>
        <v/>
      </c>
      <c r="I310" s="10">
        <f>IFERROR(INDEX('Data_NSA'!$A:$OK,MATCH(I$2,'Data_NSA'!$A:$A,0),MATCH($D310,'Data_NSA'!$1:$1,0)),"")</f>
        <v/>
      </c>
      <c r="J310" s="10">
        <f>IF($E310="","",IFERROR(INDEX('Data_SA'!$A:$LO,MATCH(I$2,'Data_SA'!$A:$A,0),MATCH($E310,'Data_SA'!$1:$1,0)),""))</f>
        <v/>
      </c>
      <c r="K310" s="7">
        <f>IF($E310="","",IFERROR(INDEX('Data_SA'!$A:$LO,MATCH(I$2,'Data_SA'!$A:$A,0),MATCH($E310,'Data_SA'!$1:$1,0))/INDEX('Data_SA'!$A:$LO,MATCH(EDATE(I$2,-1),'Data_SA'!$A:$A,0),MATCH($E310,'Data_SA'!$1:$1,0))-1,""))</f>
        <v/>
      </c>
      <c r="L310" s="7">
        <f>IFERROR(INDEX('Data_NSA'!$A:$OK,MATCH(I$2,'Data_NSA'!$A:$A,0),MATCH($D310,'Data_NSA'!$1:$1,0))/INDEX('Data_NSA'!$A:$OK,MATCH(EDATE(I$2,-12),'Data_NSA'!$A:$A,0),MATCH($D310,'Data_NSA'!$1:$1,0))-1,"")</f>
        <v/>
      </c>
      <c r="M310" s="10">
        <f>IFERROR(INDEX('Weights'!$G:$I,MATCH($A310,'Weights'!$A:$A,0),MATCH(I$2,'Weights'!$G$1:$I$1,0)),"")</f>
        <v/>
      </c>
      <c r="N310" s="10">
        <f>IF($E310="","",IFERROR(100*(INDEX('Weights'!$D:$D,MATCH($A310,'Weights'!$A:$A,0))*(INDEX('Data_NSA'!$A:$OK,MATCH(EDATE(I$2,-1),'Data_NSA'!$A:$A,0),MATCH($D310,'Data_NSA'!$1:$1,0))/INDEX('Data_NSA'!$A:$OK,MATCH(INDEX('Weights'!$E:$E,MATCH($A310,'Weights'!$A:$A,0)),'Data_NSA'!$A:$A,0),MATCH($D310,'Data_NSA'!$1:$1,0))))/(100*(INDEX('Data_NSA'!$A:$OK,MATCH(EDATE(I$2,-1),'Data_NSA'!$A:$A,0),MATCH("CUUR0000SA0",'Data_NSA'!$1:$1,0))/INDEX('Data_NSA'!$A:$OK,MATCH(INDEX('Weights'!$E:$E,MATCH($A310,'Weights'!$A:$A,0)),'Data_NSA'!$A:$A,0),MATCH("CUUR0000SA0",'Data_NSA'!$1:$1,0))))*(INDEX('Data_SA'!$A:$LO,MATCH(I$2,'Data_SA'!$A:$A,0),MATCH($E310,'Data_SA'!$1:$1,0))/INDEX('Data_SA'!$A:$LO,MATCH(EDATE(I$2,-1),'Data_SA'!$A:$A,0),MATCH($E310,'Data_SA'!$1:$1,0))-1),""))</f>
        <v/>
      </c>
      <c r="O310" s="10">
        <f>IFERROR(INDEX('Data_NSA'!$A:$OK,MATCH(O$2,'Data_NSA'!$A:$A,0),MATCH($D310,'Data_NSA'!$1:$1,0)),"")</f>
        <v/>
      </c>
      <c r="P310" s="10">
        <f>IF($E310="","",IFERROR(INDEX('Data_SA'!$A:$LO,MATCH(O$2,'Data_SA'!$A:$A,0),MATCH($E310,'Data_SA'!$1:$1,0)),""))</f>
        <v/>
      </c>
      <c r="Q310" s="7">
        <f>IF($E310="","",IFERROR(INDEX('Data_SA'!$A:$LO,MATCH(O$2,'Data_SA'!$A:$A,0),MATCH($E310,'Data_SA'!$1:$1,0))/INDEX('Data_SA'!$A:$LO,MATCH(EDATE(O$2,-1),'Data_SA'!$A:$A,0),MATCH($E310,'Data_SA'!$1:$1,0))-1,""))</f>
        <v/>
      </c>
      <c r="R310" s="7">
        <f>IFERROR(INDEX('Data_NSA'!$A:$OK,MATCH(O$2,'Data_NSA'!$A:$A,0),MATCH($D310,'Data_NSA'!$1:$1,0))/INDEX('Data_NSA'!$A:$OK,MATCH(EDATE(O$2,-12),'Data_NSA'!$A:$A,0),MATCH($D310,'Data_NSA'!$1:$1,0))-1,"")</f>
        <v/>
      </c>
      <c r="S310" s="10">
        <f>IFERROR(INDEX('Weights'!$G:$I,MATCH($A310,'Weights'!$A:$A,0),MATCH(O$2,'Weights'!$G$1:$I$1,0)),"")</f>
        <v/>
      </c>
      <c r="T310" s="10">
        <f>IF($E310="","",IFERROR(100*(INDEX('Weights'!$D:$D,MATCH($A310,'Weights'!$A:$A,0))*(INDEX('Data_NSA'!$A:$OK,MATCH(EDATE(O$2,-1),'Data_NSA'!$A:$A,0),MATCH($D310,'Data_NSA'!$1:$1,0))/INDEX('Data_NSA'!$A:$OK,MATCH(INDEX('Weights'!$E:$E,MATCH($A310,'Weights'!$A:$A,0)),'Data_NSA'!$A:$A,0),MATCH($D310,'Data_NSA'!$1:$1,0))))/(100*(INDEX('Data_NSA'!$A:$OK,MATCH(EDATE(O$2,-1),'Data_NSA'!$A:$A,0),MATCH("CUUR0000SA0",'Data_NSA'!$1:$1,0))/INDEX('Data_NSA'!$A:$OK,MATCH(INDEX('Weights'!$E:$E,MATCH($A310,'Weights'!$A:$A,0)),'Data_NSA'!$A:$A,0),MATCH("CUUR0000SA0",'Data_NSA'!$1:$1,0))))*(INDEX('Data_SA'!$A:$LO,MATCH(O$2,'Data_SA'!$A:$A,0),MATCH($E310,'Data_SA'!$1:$1,0))/INDEX('Data_SA'!$A:$LO,MATCH(EDATE(O$2,-1),'Data_SA'!$A:$A,0),MATCH($E310,'Data_SA'!$1:$1,0))-1),""))</f>
        <v/>
      </c>
      <c r="U310" s="10">
        <f>IFERROR(INDEX('Data_NSA'!$A:$OK,MATCH(U$2,'Data_NSA'!$A:$A,0),MATCH($D310,'Data_NSA'!$1:$1,0)),"")</f>
        <v/>
      </c>
      <c r="V310" s="10">
        <f>IF($E310="","",IFERROR(INDEX('Data_SA'!$A:$LO,MATCH(U$2,'Data_SA'!$A:$A,0),MATCH($E310,'Data_SA'!$1:$1,0)),""))</f>
        <v/>
      </c>
      <c r="W310" s="7">
        <f>IF($E310="","",IFERROR(INDEX('Data_SA'!$A:$LO,MATCH(U$2,'Data_SA'!$A:$A,0),MATCH($E310,'Data_SA'!$1:$1,0))/INDEX('Data_SA'!$A:$LO,MATCH(EDATE(U$2,-1),'Data_SA'!$A:$A,0),MATCH($E310,'Data_SA'!$1:$1,0))-1,""))</f>
        <v/>
      </c>
      <c r="X310" s="7">
        <f>IFERROR(INDEX('Data_NSA'!$A:$OK,MATCH(U$2,'Data_NSA'!$A:$A,0),MATCH($D310,'Data_NSA'!$1:$1,0))/INDEX('Data_NSA'!$A:$OK,MATCH(EDATE(U$2,-12),'Data_NSA'!$A:$A,0),MATCH($D310,'Data_NSA'!$1:$1,0))-1,"")</f>
        <v/>
      </c>
      <c r="Y310" s="10">
        <f>IFERROR(INDEX('Weights'!$G:$I,MATCH($A310,'Weights'!$A:$A,0),MATCH(U$2,'Weights'!$G$1:$I$1,0)),"")</f>
        <v/>
      </c>
      <c r="Z310" s="10">
        <f>IF($E310="","",IFERROR(100*(INDEX('Weights'!$D:$D,MATCH($A310,'Weights'!$A:$A,0))*(INDEX('Data_NSA'!$A:$OK,MATCH(EDATE(U$2,-1),'Data_NSA'!$A:$A,0),MATCH($D310,'Data_NSA'!$1:$1,0))/INDEX('Data_NSA'!$A:$OK,MATCH(INDEX('Weights'!$E:$E,MATCH($A310,'Weights'!$A:$A,0)),'Data_NSA'!$A:$A,0),MATCH($D310,'Data_NSA'!$1:$1,0))))/(100*(INDEX('Data_NSA'!$A:$OK,MATCH(EDATE(U$2,-1),'Data_NSA'!$A:$A,0),MATCH("CUUR0000SA0",'Data_NSA'!$1:$1,0))/INDEX('Data_NSA'!$A:$OK,MATCH(INDEX('Weights'!$E:$E,MATCH($A310,'Weights'!$A:$A,0)),'Data_NSA'!$A:$A,0),MATCH("CUUR0000SA0",'Data_NSA'!$1:$1,0))))*(INDEX('Data_SA'!$A:$LO,MATCH(U$2,'Data_SA'!$A:$A,0),MATCH($E310,'Data_SA'!$1:$1,0))/INDEX('Data_SA'!$A:$LO,MATCH(EDATE(U$2,-1),'Data_SA'!$A:$A,0),MATCH($E310,'Data_SA'!$1:$1,0))-1),""))</f>
        <v/>
      </c>
    </row>
    <row r="311">
      <c r="A311" s="3" t="inlineStr">
        <is>
          <t>SERG</t>
        </is>
      </c>
      <c r="B311" s="3" t="inlineStr">
        <is>
          <t>Recreational reading materials</t>
        </is>
      </c>
      <c r="C311" s="3" t="inlineStr">
        <is>
          <t>SAR</t>
        </is>
      </c>
      <c r="D311" s="3" t="inlineStr">
        <is>
          <t>CUUR0000SERG</t>
        </is>
      </c>
      <c r="E311" s="3" t="inlineStr">
        <is>
          <t>CUSR0000SERG</t>
        </is>
      </c>
      <c r="F311" s="3" t="inlineStr">
        <is>
          <t>aggregate</t>
        </is>
      </c>
      <c r="G311" s="3" t="inlineStr">
        <is>
          <t>aggregate</t>
        </is>
      </c>
      <c r="H311" s="10">
        <f>IFERROR(INDEX(Weights!$D:$D,MATCH($A311,Weights!$A:$A,0)),"")</f>
        <v/>
      </c>
      <c r="I311" s="10">
        <f>IFERROR(INDEX('Data_NSA'!$A:$OK,MATCH(I$2,'Data_NSA'!$A:$A,0),MATCH($D311,'Data_NSA'!$1:$1,0)),"")</f>
        <v/>
      </c>
      <c r="J311" s="10">
        <f>IF($E311="","",IFERROR(INDEX('Data_SA'!$A:$LO,MATCH(I$2,'Data_SA'!$A:$A,0),MATCH($E311,'Data_SA'!$1:$1,0)),""))</f>
        <v/>
      </c>
      <c r="K311" s="7">
        <f>IF($E311="","",IFERROR(INDEX('Data_SA'!$A:$LO,MATCH(I$2,'Data_SA'!$A:$A,0),MATCH($E311,'Data_SA'!$1:$1,0))/INDEX('Data_SA'!$A:$LO,MATCH(EDATE(I$2,-1),'Data_SA'!$A:$A,0),MATCH($E311,'Data_SA'!$1:$1,0))-1,""))</f>
        <v/>
      </c>
      <c r="L311" s="7">
        <f>IFERROR(INDEX('Data_NSA'!$A:$OK,MATCH(I$2,'Data_NSA'!$A:$A,0),MATCH($D311,'Data_NSA'!$1:$1,0))/INDEX('Data_NSA'!$A:$OK,MATCH(EDATE(I$2,-12),'Data_NSA'!$A:$A,0),MATCH($D311,'Data_NSA'!$1:$1,0))-1,"")</f>
        <v/>
      </c>
      <c r="M311" s="10">
        <f>IFERROR(INDEX('Weights'!$G:$I,MATCH($A311,'Weights'!$A:$A,0),MATCH(I$2,'Weights'!$G$1:$I$1,0)),"")</f>
        <v/>
      </c>
      <c r="N311" s="10">
        <f>IF($E311="","",IFERROR(100*(INDEX('Weights'!$D:$D,MATCH($A311,'Weights'!$A:$A,0))*(INDEX('Data_NSA'!$A:$OK,MATCH(EDATE(I$2,-1),'Data_NSA'!$A:$A,0),MATCH($D311,'Data_NSA'!$1:$1,0))/INDEX('Data_NSA'!$A:$OK,MATCH(INDEX('Weights'!$E:$E,MATCH($A311,'Weights'!$A:$A,0)),'Data_NSA'!$A:$A,0),MATCH($D311,'Data_NSA'!$1:$1,0))))/(100*(INDEX('Data_NSA'!$A:$OK,MATCH(EDATE(I$2,-1),'Data_NSA'!$A:$A,0),MATCH("CUUR0000SA0",'Data_NSA'!$1:$1,0))/INDEX('Data_NSA'!$A:$OK,MATCH(INDEX('Weights'!$E:$E,MATCH($A311,'Weights'!$A:$A,0)),'Data_NSA'!$A:$A,0),MATCH("CUUR0000SA0",'Data_NSA'!$1:$1,0))))*(INDEX('Data_SA'!$A:$LO,MATCH(I$2,'Data_SA'!$A:$A,0),MATCH($E311,'Data_SA'!$1:$1,0))/INDEX('Data_SA'!$A:$LO,MATCH(EDATE(I$2,-1),'Data_SA'!$A:$A,0),MATCH($E311,'Data_SA'!$1:$1,0))-1),""))</f>
        <v/>
      </c>
      <c r="O311" s="10">
        <f>IFERROR(INDEX('Data_NSA'!$A:$OK,MATCH(O$2,'Data_NSA'!$A:$A,0),MATCH($D311,'Data_NSA'!$1:$1,0)),"")</f>
        <v/>
      </c>
      <c r="P311" s="10">
        <f>IF($E311="","",IFERROR(INDEX('Data_SA'!$A:$LO,MATCH(O$2,'Data_SA'!$A:$A,0),MATCH($E311,'Data_SA'!$1:$1,0)),""))</f>
        <v/>
      </c>
      <c r="Q311" s="7">
        <f>IF($E311="","",IFERROR(INDEX('Data_SA'!$A:$LO,MATCH(O$2,'Data_SA'!$A:$A,0),MATCH($E311,'Data_SA'!$1:$1,0))/INDEX('Data_SA'!$A:$LO,MATCH(EDATE(O$2,-1),'Data_SA'!$A:$A,0),MATCH($E311,'Data_SA'!$1:$1,0))-1,""))</f>
        <v/>
      </c>
      <c r="R311" s="7">
        <f>IFERROR(INDEX('Data_NSA'!$A:$OK,MATCH(O$2,'Data_NSA'!$A:$A,0),MATCH($D311,'Data_NSA'!$1:$1,0))/INDEX('Data_NSA'!$A:$OK,MATCH(EDATE(O$2,-12),'Data_NSA'!$A:$A,0),MATCH($D311,'Data_NSA'!$1:$1,0))-1,"")</f>
        <v/>
      </c>
      <c r="S311" s="10">
        <f>IFERROR(INDEX('Weights'!$G:$I,MATCH($A311,'Weights'!$A:$A,0),MATCH(O$2,'Weights'!$G$1:$I$1,0)),"")</f>
        <v/>
      </c>
      <c r="T311" s="10">
        <f>IF($E311="","",IFERROR(100*(INDEX('Weights'!$D:$D,MATCH($A311,'Weights'!$A:$A,0))*(INDEX('Data_NSA'!$A:$OK,MATCH(EDATE(O$2,-1),'Data_NSA'!$A:$A,0),MATCH($D311,'Data_NSA'!$1:$1,0))/INDEX('Data_NSA'!$A:$OK,MATCH(INDEX('Weights'!$E:$E,MATCH($A311,'Weights'!$A:$A,0)),'Data_NSA'!$A:$A,0),MATCH($D311,'Data_NSA'!$1:$1,0))))/(100*(INDEX('Data_NSA'!$A:$OK,MATCH(EDATE(O$2,-1),'Data_NSA'!$A:$A,0),MATCH("CUUR0000SA0",'Data_NSA'!$1:$1,0))/INDEX('Data_NSA'!$A:$OK,MATCH(INDEX('Weights'!$E:$E,MATCH($A311,'Weights'!$A:$A,0)),'Data_NSA'!$A:$A,0),MATCH("CUUR0000SA0",'Data_NSA'!$1:$1,0))))*(INDEX('Data_SA'!$A:$LO,MATCH(O$2,'Data_SA'!$A:$A,0),MATCH($E311,'Data_SA'!$1:$1,0))/INDEX('Data_SA'!$A:$LO,MATCH(EDATE(O$2,-1),'Data_SA'!$A:$A,0),MATCH($E311,'Data_SA'!$1:$1,0))-1),""))</f>
        <v/>
      </c>
      <c r="U311" s="10">
        <f>IFERROR(INDEX('Data_NSA'!$A:$OK,MATCH(U$2,'Data_NSA'!$A:$A,0),MATCH($D311,'Data_NSA'!$1:$1,0)),"")</f>
        <v/>
      </c>
      <c r="V311" s="10">
        <f>IF($E311="","",IFERROR(INDEX('Data_SA'!$A:$LO,MATCH(U$2,'Data_SA'!$A:$A,0),MATCH($E311,'Data_SA'!$1:$1,0)),""))</f>
        <v/>
      </c>
      <c r="W311" s="7">
        <f>IF($E311="","",IFERROR(INDEX('Data_SA'!$A:$LO,MATCH(U$2,'Data_SA'!$A:$A,0),MATCH($E311,'Data_SA'!$1:$1,0))/INDEX('Data_SA'!$A:$LO,MATCH(EDATE(U$2,-1),'Data_SA'!$A:$A,0),MATCH($E311,'Data_SA'!$1:$1,0))-1,""))</f>
        <v/>
      </c>
      <c r="X311" s="7">
        <f>IFERROR(INDEX('Data_NSA'!$A:$OK,MATCH(U$2,'Data_NSA'!$A:$A,0),MATCH($D311,'Data_NSA'!$1:$1,0))/INDEX('Data_NSA'!$A:$OK,MATCH(EDATE(U$2,-12),'Data_NSA'!$A:$A,0),MATCH($D311,'Data_NSA'!$1:$1,0))-1,"")</f>
        <v/>
      </c>
      <c r="Y311" s="10">
        <f>IFERROR(INDEX('Weights'!$G:$I,MATCH($A311,'Weights'!$A:$A,0),MATCH(U$2,'Weights'!$G$1:$I$1,0)),"")</f>
        <v/>
      </c>
      <c r="Z311" s="10">
        <f>IF($E311="","",IFERROR(100*(INDEX('Weights'!$D:$D,MATCH($A311,'Weights'!$A:$A,0))*(INDEX('Data_NSA'!$A:$OK,MATCH(EDATE(U$2,-1),'Data_NSA'!$A:$A,0),MATCH($D311,'Data_NSA'!$1:$1,0))/INDEX('Data_NSA'!$A:$OK,MATCH(INDEX('Weights'!$E:$E,MATCH($A311,'Weights'!$A:$A,0)),'Data_NSA'!$A:$A,0),MATCH($D311,'Data_NSA'!$1:$1,0))))/(100*(INDEX('Data_NSA'!$A:$OK,MATCH(EDATE(U$2,-1),'Data_NSA'!$A:$A,0),MATCH("CUUR0000SA0",'Data_NSA'!$1:$1,0))/INDEX('Data_NSA'!$A:$OK,MATCH(INDEX('Weights'!$E:$E,MATCH($A311,'Weights'!$A:$A,0)),'Data_NSA'!$A:$A,0),MATCH("CUUR0000SA0",'Data_NSA'!$1:$1,0))))*(INDEX('Data_SA'!$A:$LO,MATCH(U$2,'Data_SA'!$A:$A,0),MATCH($E311,'Data_SA'!$1:$1,0))/INDEX('Data_SA'!$A:$LO,MATCH(EDATE(U$2,-1),'Data_SA'!$A:$A,0),MATCH($E311,'Data_SA'!$1:$1,0))-1),""))</f>
        <v/>
      </c>
    </row>
    <row r="312">
      <c r="A312" s="3" t="inlineStr">
        <is>
          <t>SERG01</t>
        </is>
      </c>
      <c r="B312" s="3" t="inlineStr">
        <is>
          <t>Newspapers and magazines</t>
        </is>
      </c>
      <c r="C312" s="3" t="inlineStr">
        <is>
          <t>SERG</t>
        </is>
      </c>
      <c r="D312" s="3" t="inlineStr">
        <is>
          <t>CUUR0000SERG01</t>
        </is>
      </c>
      <c r="E312" s="3" t="inlineStr"/>
      <c r="F312" s="3" t="inlineStr">
        <is>
          <t>GM</t>
        </is>
      </c>
      <c r="G312" s="3" t="inlineStr">
        <is>
          <t>monthly in New York/Los Angeles/Chicago; often bimonthly elsewhere</t>
        </is>
      </c>
      <c r="H312" s="10">
        <f>IFERROR(INDEX(Weights!$D:$D,MATCH($A312,Weights!$A:$A,0)),"")</f>
        <v/>
      </c>
      <c r="I312" s="10">
        <f>IFERROR(INDEX('Data_NSA'!$A:$OK,MATCH(I$2,'Data_NSA'!$A:$A,0),MATCH($D312,'Data_NSA'!$1:$1,0)),"")</f>
        <v/>
      </c>
      <c r="J312" s="10">
        <f>IF($E312="","",IFERROR(INDEX('Data_SA'!$A:$LO,MATCH(I$2,'Data_SA'!$A:$A,0),MATCH($E312,'Data_SA'!$1:$1,0)),""))</f>
        <v/>
      </c>
      <c r="K312" s="7">
        <f>IF($E312="","",IFERROR(INDEX('Data_SA'!$A:$LO,MATCH(I$2,'Data_SA'!$A:$A,0),MATCH($E312,'Data_SA'!$1:$1,0))/INDEX('Data_SA'!$A:$LO,MATCH(EDATE(I$2,-1),'Data_SA'!$A:$A,0),MATCH($E312,'Data_SA'!$1:$1,0))-1,""))</f>
        <v/>
      </c>
      <c r="L312" s="7">
        <f>IFERROR(INDEX('Data_NSA'!$A:$OK,MATCH(I$2,'Data_NSA'!$A:$A,0),MATCH($D312,'Data_NSA'!$1:$1,0))/INDEX('Data_NSA'!$A:$OK,MATCH(EDATE(I$2,-12),'Data_NSA'!$A:$A,0),MATCH($D312,'Data_NSA'!$1:$1,0))-1,"")</f>
        <v/>
      </c>
      <c r="M312" s="10">
        <f>IFERROR(INDEX('Weights'!$G:$I,MATCH($A312,'Weights'!$A:$A,0),MATCH(I$2,'Weights'!$G$1:$I$1,0)),"")</f>
        <v/>
      </c>
      <c r="N312" s="10">
        <f>IF($E312="","",IFERROR(100*(INDEX('Weights'!$D:$D,MATCH($A312,'Weights'!$A:$A,0))*(INDEX('Data_NSA'!$A:$OK,MATCH(EDATE(I$2,-1),'Data_NSA'!$A:$A,0),MATCH($D312,'Data_NSA'!$1:$1,0))/INDEX('Data_NSA'!$A:$OK,MATCH(INDEX('Weights'!$E:$E,MATCH($A312,'Weights'!$A:$A,0)),'Data_NSA'!$A:$A,0),MATCH($D312,'Data_NSA'!$1:$1,0))))/(100*(INDEX('Data_NSA'!$A:$OK,MATCH(EDATE(I$2,-1),'Data_NSA'!$A:$A,0),MATCH("CUUR0000SA0",'Data_NSA'!$1:$1,0))/INDEX('Data_NSA'!$A:$OK,MATCH(INDEX('Weights'!$E:$E,MATCH($A312,'Weights'!$A:$A,0)),'Data_NSA'!$A:$A,0),MATCH("CUUR0000SA0",'Data_NSA'!$1:$1,0))))*(INDEX('Data_SA'!$A:$LO,MATCH(I$2,'Data_SA'!$A:$A,0),MATCH($E312,'Data_SA'!$1:$1,0))/INDEX('Data_SA'!$A:$LO,MATCH(EDATE(I$2,-1),'Data_SA'!$A:$A,0),MATCH($E312,'Data_SA'!$1:$1,0))-1),""))</f>
        <v/>
      </c>
      <c r="O312" s="10">
        <f>IFERROR(INDEX('Data_NSA'!$A:$OK,MATCH(O$2,'Data_NSA'!$A:$A,0),MATCH($D312,'Data_NSA'!$1:$1,0)),"")</f>
        <v/>
      </c>
      <c r="P312" s="10">
        <f>IF($E312="","",IFERROR(INDEX('Data_SA'!$A:$LO,MATCH(O$2,'Data_SA'!$A:$A,0),MATCH($E312,'Data_SA'!$1:$1,0)),""))</f>
        <v/>
      </c>
      <c r="Q312" s="7">
        <f>IF($E312="","",IFERROR(INDEX('Data_SA'!$A:$LO,MATCH(O$2,'Data_SA'!$A:$A,0),MATCH($E312,'Data_SA'!$1:$1,0))/INDEX('Data_SA'!$A:$LO,MATCH(EDATE(O$2,-1),'Data_SA'!$A:$A,0),MATCH($E312,'Data_SA'!$1:$1,0))-1,""))</f>
        <v/>
      </c>
      <c r="R312" s="7">
        <f>IFERROR(INDEX('Data_NSA'!$A:$OK,MATCH(O$2,'Data_NSA'!$A:$A,0),MATCH($D312,'Data_NSA'!$1:$1,0))/INDEX('Data_NSA'!$A:$OK,MATCH(EDATE(O$2,-12),'Data_NSA'!$A:$A,0),MATCH($D312,'Data_NSA'!$1:$1,0))-1,"")</f>
        <v/>
      </c>
      <c r="S312" s="10">
        <f>IFERROR(INDEX('Weights'!$G:$I,MATCH($A312,'Weights'!$A:$A,0),MATCH(O$2,'Weights'!$G$1:$I$1,0)),"")</f>
        <v/>
      </c>
      <c r="T312" s="10">
        <f>IF($E312="","",IFERROR(100*(INDEX('Weights'!$D:$D,MATCH($A312,'Weights'!$A:$A,0))*(INDEX('Data_NSA'!$A:$OK,MATCH(EDATE(O$2,-1),'Data_NSA'!$A:$A,0),MATCH($D312,'Data_NSA'!$1:$1,0))/INDEX('Data_NSA'!$A:$OK,MATCH(INDEX('Weights'!$E:$E,MATCH($A312,'Weights'!$A:$A,0)),'Data_NSA'!$A:$A,0),MATCH($D312,'Data_NSA'!$1:$1,0))))/(100*(INDEX('Data_NSA'!$A:$OK,MATCH(EDATE(O$2,-1),'Data_NSA'!$A:$A,0),MATCH("CUUR0000SA0",'Data_NSA'!$1:$1,0))/INDEX('Data_NSA'!$A:$OK,MATCH(INDEX('Weights'!$E:$E,MATCH($A312,'Weights'!$A:$A,0)),'Data_NSA'!$A:$A,0),MATCH("CUUR0000SA0",'Data_NSA'!$1:$1,0))))*(INDEX('Data_SA'!$A:$LO,MATCH(O$2,'Data_SA'!$A:$A,0),MATCH($E312,'Data_SA'!$1:$1,0))/INDEX('Data_SA'!$A:$LO,MATCH(EDATE(O$2,-1),'Data_SA'!$A:$A,0),MATCH($E312,'Data_SA'!$1:$1,0))-1),""))</f>
        <v/>
      </c>
      <c r="U312" s="10">
        <f>IFERROR(INDEX('Data_NSA'!$A:$OK,MATCH(U$2,'Data_NSA'!$A:$A,0),MATCH($D312,'Data_NSA'!$1:$1,0)),"")</f>
        <v/>
      </c>
      <c r="V312" s="10">
        <f>IF($E312="","",IFERROR(INDEX('Data_SA'!$A:$LO,MATCH(U$2,'Data_SA'!$A:$A,0),MATCH($E312,'Data_SA'!$1:$1,0)),""))</f>
        <v/>
      </c>
      <c r="W312" s="7">
        <f>IF($E312="","",IFERROR(INDEX('Data_SA'!$A:$LO,MATCH(U$2,'Data_SA'!$A:$A,0),MATCH($E312,'Data_SA'!$1:$1,0))/INDEX('Data_SA'!$A:$LO,MATCH(EDATE(U$2,-1),'Data_SA'!$A:$A,0),MATCH($E312,'Data_SA'!$1:$1,0))-1,""))</f>
        <v/>
      </c>
      <c r="X312" s="7">
        <f>IFERROR(INDEX('Data_NSA'!$A:$OK,MATCH(U$2,'Data_NSA'!$A:$A,0),MATCH($D312,'Data_NSA'!$1:$1,0))/INDEX('Data_NSA'!$A:$OK,MATCH(EDATE(U$2,-12),'Data_NSA'!$A:$A,0),MATCH($D312,'Data_NSA'!$1:$1,0))-1,"")</f>
        <v/>
      </c>
      <c r="Y312" s="10">
        <f>IFERROR(INDEX('Weights'!$G:$I,MATCH($A312,'Weights'!$A:$A,0),MATCH(U$2,'Weights'!$G$1:$I$1,0)),"")</f>
        <v/>
      </c>
      <c r="Z312" s="10">
        <f>IF($E312="","",IFERROR(100*(INDEX('Weights'!$D:$D,MATCH($A312,'Weights'!$A:$A,0))*(INDEX('Data_NSA'!$A:$OK,MATCH(EDATE(U$2,-1),'Data_NSA'!$A:$A,0),MATCH($D312,'Data_NSA'!$1:$1,0))/INDEX('Data_NSA'!$A:$OK,MATCH(INDEX('Weights'!$E:$E,MATCH($A312,'Weights'!$A:$A,0)),'Data_NSA'!$A:$A,0),MATCH($D312,'Data_NSA'!$1:$1,0))))/(100*(INDEX('Data_NSA'!$A:$OK,MATCH(EDATE(U$2,-1),'Data_NSA'!$A:$A,0),MATCH("CUUR0000SA0",'Data_NSA'!$1:$1,0))/INDEX('Data_NSA'!$A:$OK,MATCH(INDEX('Weights'!$E:$E,MATCH($A312,'Weights'!$A:$A,0)),'Data_NSA'!$A:$A,0),MATCH("CUUR0000SA0",'Data_NSA'!$1:$1,0))))*(INDEX('Data_SA'!$A:$LO,MATCH(U$2,'Data_SA'!$A:$A,0),MATCH($E312,'Data_SA'!$1:$1,0))/INDEX('Data_SA'!$A:$LO,MATCH(EDATE(U$2,-1),'Data_SA'!$A:$A,0),MATCH($E312,'Data_SA'!$1:$1,0))-1),""))</f>
        <v/>
      </c>
    </row>
    <row r="313">
      <c r="A313" s="3" t="inlineStr">
        <is>
          <t>SERG02</t>
        </is>
      </c>
      <c r="B313" s="3" t="inlineStr">
        <is>
          <t>Recreational books</t>
        </is>
      </c>
      <c r="C313" s="3" t="inlineStr">
        <is>
          <t>SERG</t>
        </is>
      </c>
      <c r="D313" s="3" t="inlineStr">
        <is>
          <t>CUUR0000SERG02</t>
        </is>
      </c>
      <c r="E313" s="3" t="inlineStr"/>
      <c r="F313" s="3" t="inlineStr">
        <is>
          <t>GM</t>
        </is>
      </c>
      <c r="G313" s="3" t="inlineStr">
        <is>
          <t>monthly in New York/Los Angeles/Chicago; often bimonthly elsewhere</t>
        </is>
      </c>
      <c r="H313" s="10">
        <f>IFERROR(INDEX(Weights!$D:$D,MATCH($A313,Weights!$A:$A,0)),"")</f>
        <v/>
      </c>
      <c r="I313" s="10">
        <f>IFERROR(INDEX('Data_NSA'!$A:$OK,MATCH(I$2,'Data_NSA'!$A:$A,0),MATCH($D313,'Data_NSA'!$1:$1,0)),"")</f>
        <v/>
      </c>
      <c r="J313" s="10">
        <f>IF($E313="","",IFERROR(INDEX('Data_SA'!$A:$LO,MATCH(I$2,'Data_SA'!$A:$A,0),MATCH($E313,'Data_SA'!$1:$1,0)),""))</f>
        <v/>
      </c>
      <c r="K313" s="7">
        <f>IF($E313="","",IFERROR(INDEX('Data_SA'!$A:$LO,MATCH(I$2,'Data_SA'!$A:$A,0),MATCH($E313,'Data_SA'!$1:$1,0))/INDEX('Data_SA'!$A:$LO,MATCH(EDATE(I$2,-1),'Data_SA'!$A:$A,0),MATCH($E313,'Data_SA'!$1:$1,0))-1,""))</f>
        <v/>
      </c>
      <c r="L313" s="7">
        <f>IFERROR(INDEX('Data_NSA'!$A:$OK,MATCH(I$2,'Data_NSA'!$A:$A,0),MATCH($D313,'Data_NSA'!$1:$1,0))/INDEX('Data_NSA'!$A:$OK,MATCH(EDATE(I$2,-12),'Data_NSA'!$A:$A,0),MATCH($D313,'Data_NSA'!$1:$1,0))-1,"")</f>
        <v/>
      </c>
      <c r="M313" s="10">
        <f>IFERROR(INDEX('Weights'!$G:$I,MATCH($A313,'Weights'!$A:$A,0),MATCH(I$2,'Weights'!$G$1:$I$1,0)),"")</f>
        <v/>
      </c>
      <c r="N313" s="10">
        <f>IF($E313="","",IFERROR(100*(INDEX('Weights'!$D:$D,MATCH($A313,'Weights'!$A:$A,0))*(INDEX('Data_NSA'!$A:$OK,MATCH(EDATE(I$2,-1),'Data_NSA'!$A:$A,0),MATCH($D313,'Data_NSA'!$1:$1,0))/INDEX('Data_NSA'!$A:$OK,MATCH(INDEX('Weights'!$E:$E,MATCH($A313,'Weights'!$A:$A,0)),'Data_NSA'!$A:$A,0),MATCH($D313,'Data_NSA'!$1:$1,0))))/(100*(INDEX('Data_NSA'!$A:$OK,MATCH(EDATE(I$2,-1),'Data_NSA'!$A:$A,0),MATCH("CUUR0000SA0",'Data_NSA'!$1:$1,0))/INDEX('Data_NSA'!$A:$OK,MATCH(INDEX('Weights'!$E:$E,MATCH($A313,'Weights'!$A:$A,0)),'Data_NSA'!$A:$A,0),MATCH("CUUR0000SA0",'Data_NSA'!$1:$1,0))))*(INDEX('Data_SA'!$A:$LO,MATCH(I$2,'Data_SA'!$A:$A,0),MATCH($E313,'Data_SA'!$1:$1,0))/INDEX('Data_SA'!$A:$LO,MATCH(EDATE(I$2,-1),'Data_SA'!$A:$A,0),MATCH($E313,'Data_SA'!$1:$1,0))-1),""))</f>
        <v/>
      </c>
      <c r="O313" s="10">
        <f>IFERROR(INDEX('Data_NSA'!$A:$OK,MATCH(O$2,'Data_NSA'!$A:$A,0),MATCH($D313,'Data_NSA'!$1:$1,0)),"")</f>
        <v/>
      </c>
      <c r="P313" s="10">
        <f>IF($E313="","",IFERROR(INDEX('Data_SA'!$A:$LO,MATCH(O$2,'Data_SA'!$A:$A,0),MATCH($E313,'Data_SA'!$1:$1,0)),""))</f>
        <v/>
      </c>
      <c r="Q313" s="7">
        <f>IF($E313="","",IFERROR(INDEX('Data_SA'!$A:$LO,MATCH(O$2,'Data_SA'!$A:$A,0),MATCH($E313,'Data_SA'!$1:$1,0))/INDEX('Data_SA'!$A:$LO,MATCH(EDATE(O$2,-1),'Data_SA'!$A:$A,0),MATCH($E313,'Data_SA'!$1:$1,0))-1,""))</f>
        <v/>
      </c>
      <c r="R313" s="7">
        <f>IFERROR(INDEX('Data_NSA'!$A:$OK,MATCH(O$2,'Data_NSA'!$A:$A,0),MATCH($D313,'Data_NSA'!$1:$1,0))/INDEX('Data_NSA'!$A:$OK,MATCH(EDATE(O$2,-12),'Data_NSA'!$A:$A,0),MATCH($D313,'Data_NSA'!$1:$1,0))-1,"")</f>
        <v/>
      </c>
      <c r="S313" s="10">
        <f>IFERROR(INDEX('Weights'!$G:$I,MATCH($A313,'Weights'!$A:$A,0),MATCH(O$2,'Weights'!$G$1:$I$1,0)),"")</f>
        <v/>
      </c>
      <c r="T313" s="10">
        <f>IF($E313="","",IFERROR(100*(INDEX('Weights'!$D:$D,MATCH($A313,'Weights'!$A:$A,0))*(INDEX('Data_NSA'!$A:$OK,MATCH(EDATE(O$2,-1),'Data_NSA'!$A:$A,0),MATCH($D313,'Data_NSA'!$1:$1,0))/INDEX('Data_NSA'!$A:$OK,MATCH(INDEX('Weights'!$E:$E,MATCH($A313,'Weights'!$A:$A,0)),'Data_NSA'!$A:$A,0),MATCH($D313,'Data_NSA'!$1:$1,0))))/(100*(INDEX('Data_NSA'!$A:$OK,MATCH(EDATE(O$2,-1),'Data_NSA'!$A:$A,0),MATCH("CUUR0000SA0",'Data_NSA'!$1:$1,0))/INDEX('Data_NSA'!$A:$OK,MATCH(INDEX('Weights'!$E:$E,MATCH($A313,'Weights'!$A:$A,0)),'Data_NSA'!$A:$A,0),MATCH("CUUR0000SA0",'Data_NSA'!$1:$1,0))))*(INDEX('Data_SA'!$A:$LO,MATCH(O$2,'Data_SA'!$A:$A,0),MATCH($E313,'Data_SA'!$1:$1,0))/INDEX('Data_SA'!$A:$LO,MATCH(EDATE(O$2,-1),'Data_SA'!$A:$A,0),MATCH($E313,'Data_SA'!$1:$1,0))-1),""))</f>
        <v/>
      </c>
      <c r="U313" s="10">
        <f>IFERROR(INDEX('Data_NSA'!$A:$OK,MATCH(U$2,'Data_NSA'!$A:$A,0),MATCH($D313,'Data_NSA'!$1:$1,0)),"")</f>
        <v/>
      </c>
      <c r="V313" s="10">
        <f>IF($E313="","",IFERROR(INDEX('Data_SA'!$A:$LO,MATCH(U$2,'Data_SA'!$A:$A,0),MATCH($E313,'Data_SA'!$1:$1,0)),""))</f>
        <v/>
      </c>
      <c r="W313" s="7">
        <f>IF($E313="","",IFERROR(INDEX('Data_SA'!$A:$LO,MATCH(U$2,'Data_SA'!$A:$A,0),MATCH($E313,'Data_SA'!$1:$1,0))/INDEX('Data_SA'!$A:$LO,MATCH(EDATE(U$2,-1),'Data_SA'!$A:$A,0),MATCH($E313,'Data_SA'!$1:$1,0))-1,""))</f>
        <v/>
      </c>
      <c r="X313" s="7">
        <f>IFERROR(INDEX('Data_NSA'!$A:$OK,MATCH(U$2,'Data_NSA'!$A:$A,0),MATCH($D313,'Data_NSA'!$1:$1,0))/INDEX('Data_NSA'!$A:$OK,MATCH(EDATE(U$2,-12),'Data_NSA'!$A:$A,0),MATCH($D313,'Data_NSA'!$1:$1,0))-1,"")</f>
        <v/>
      </c>
      <c r="Y313" s="10">
        <f>IFERROR(INDEX('Weights'!$G:$I,MATCH($A313,'Weights'!$A:$A,0),MATCH(U$2,'Weights'!$G$1:$I$1,0)),"")</f>
        <v/>
      </c>
      <c r="Z313" s="10">
        <f>IF($E313="","",IFERROR(100*(INDEX('Weights'!$D:$D,MATCH($A313,'Weights'!$A:$A,0))*(INDEX('Data_NSA'!$A:$OK,MATCH(EDATE(U$2,-1),'Data_NSA'!$A:$A,0),MATCH($D313,'Data_NSA'!$1:$1,0))/INDEX('Data_NSA'!$A:$OK,MATCH(INDEX('Weights'!$E:$E,MATCH($A313,'Weights'!$A:$A,0)),'Data_NSA'!$A:$A,0),MATCH($D313,'Data_NSA'!$1:$1,0))))/(100*(INDEX('Data_NSA'!$A:$OK,MATCH(EDATE(U$2,-1),'Data_NSA'!$A:$A,0),MATCH("CUUR0000SA0",'Data_NSA'!$1:$1,0))/INDEX('Data_NSA'!$A:$OK,MATCH(INDEX('Weights'!$E:$E,MATCH($A313,'Weights'!$A:$A,0)),'Data_NSA'!$A:$A,0),MATCH("CUUR0000SA0",'Data_NSA'!$1:$1,0))))*(INDEX('Data_SA'!$A:$LO,MATCH(U$2,'Data_SA'!$A:$A,0),MATCH($E313,'Data_SA'!$1:$1,0))/INDEX('Data_SA'!$A:$LO,MATCH(EDATE(U$2,-1),'Data_SA'!$A:$A,0),MATCH($E313,'Data_SA'!$1:$1,0))-1),""))</f>
        <v/>
      </c>
    </row>
    <row r="314">
      <c r="A314" s="3" t="inlineStr">
        <is>
          <t>SAE</t>
        </is>
      </c>
      <c r="B314" s="3" t="inlineStr">
        <is>
          <t>Education and communication</t>
        </is>
      </c>
      <c r="C314" s="3" t="inlineStr">
        <is>
          <t>SA0</t>
        </is>
      </c>
      <c r="D314" s="3" t="inlineStr">
        <is>
          <t>CUUR0000SAE</t>
        </is>
      </c>
      <c r="E314" s="3" t="inlineStr">
        <is>
          <t>CUSR0000SAE</t>
        </is>
      </c>
      <c r="F314" s="3" t="inlineStr">
        <is>
          <t>aggregate</t>
        </is>
      </c>
      <c r="G314" s="3" t="inlineStr">
        <is>
          <t>aggregate</t>
        </is>
      </c>
      <c r="H314" s="10">
        <f>IFERROR(INDEX(Weights!$D:$D,MATCH($A314,Weights!$A:$A,0)),"")</f>
        <v/>
      </c>
      <c r="I314" s="10">
        <f>IFERROR(INDEX('Data_NSA'!$A:$OK,MATCH(I$2,'Data_NSA'!$A:$A,0),MATCH($D314,'Data_NSA'!$1:$1,0)),"")</f>
        <v/>
      </c>
      <c r="J314" s="10">
        <f>IF($E314="","",IFERROR(INDEX('Data_SA'!$A:$LO,MATCH(I$2,'Data_SA'!$A:$A,0),MATCH($E314,'Data_SA'!$1:$1,0)),""))</f>
        <v/>
      </c>
      <c r="K314" s="7">
        <f>IF($E314="","",IFERROR(INDEX('Data_SA'!$A:$LO,MATCH(I$2,'Data_SA'!$A:$A,0),MATCH($E314,'Data_SA'!$1:$1,0))/INDEX('Data_SA'!$A:$LO,MATCH(EDATE(I$2,-1),'Data_SA'!$A:$A,0),MATCH($E314,'Data_SA'!$1:$1,0))-1,""))</f>
        <v/>
      </c>
      <c r="L314" s="7">
        <f>IFERROR(INDEX('Data_NSA'!$A:$OK,MATCH(I$2,'Data_NSA'!$A:$A,0),MATCH($D314,'Data_NSA'!$1:$1,0))/INDEX('Data_NSA'!$A:$OK,MATCH(EDATE(I$2,-12),'Data_NSA'!$A:$A,0),MATCH($D314,'Data_NSA'!$1:$1,0))-1,"")</f>
        <v/>
      </c>
      <c r="M314" s="10">
        <f>IFERROR(INDEX('Weights'!$G:$I,MATCH($A314,'Weights'!$A:$A,0),MATCH(I$2,'Weights'!$G$1:$I$1,0)),"")</f>
        <v/>
      </c>
      <c r="N314" s="10">
        <f>IF($E314="","",IFERROR(100*(INDEX('Weights'!$D:$D,MATCH($A314,'Weights'!$A:$A,0))*(INDEX('Data_NSA'!$A:$OK,MATCH(EDATE(I$2,-1),'Data_NSA'!$A:$A,0),MATCH($D314,'Data_NSA'!$1:$1,0))/INDEX('Data_NSA'!$A:$OK,MATCH(INDEX('Weights'!$E:$E,MATCH($A314,'Weights'!$A:$A,0)),'Data_NSA'!$A:$A,0),MATCH($D314,'Data_NSA'!$1:$1,0))))/(100*(INDEX('Data_NSA'!$A:$OK,MATCH(EDATE(I$2,-1),'Data_NSA'!$A:$A,0),MATCH("CUUR0000SA0",'Data_NSA'!$1:$1,0))/INDEX('Data_NSA'!$A:$OK,MATCH(INDEX('Weights'!$E:$E,MATCH($A314,'Weights'!$A:$A,0)),'Data_NSA'!$A:$A,0),MATCH("CUUR0000SA0",'Data_NSA'!$1:$1,0))))*(INDEX('Data_SA'!$A:$LO,MATCH(I$2,'Data_SA'!$A:$A,0),MATCH($E314,'Data_SA'!$1:$1,0))/INDEX('Data_SA'!$A:$LO,MATCH(EDATE(I$2,-1),'Data_SA'!$A:$A,0),MATCH($E314,'Data_SA'!$1:$1,0))-1),""))</f>
        <v/>
      </c>
      <c r="O314" s="10">
        <f>IFERROR(INDEX('Data_NSA'!$A:$OK,MATCH(O$2,'Data_NSA'!$A:$A,0),MATCH($D314,'Data_NSA'!$1:$1,0)),"")</f>
        <v/>
      </c>
      <c r="P314" s="10">
        <f>IF($E314="","",IFERROR(INDEX('Data_SA'!$A:$LO,MATCH(O$2,'Data_SA'!$A:$A,0),MATCH($E314,'Data_SA'!$1:$1,0)),""))</f>
        <v/>
      </c>
      <c r="Q314" s="7">
        <f>IF($E314="","",IFERROR(INDEX('Data_SA'!$A:$LO,MATCH(O$2,'Data_SA'!$A:$A,0),MATCH($E314,'Data_SA'!$1:$1,0))/INDEX('Data_SA'!$A:$LO,MATCH(EDATE(O$2,-1),'Data_SA'!$A:$A,0),MATCH($E314,'Data_SA'!$1:$1,0))-1,""))</f>
        <v/>
      </c>
      <c r="R314" s="7">
        <f>IFERROR(INDEX('Data_NSA'!$A:$OK,MATCH(O$2,'Data_NSA'!$A:$A,0),MATCH($D314,'Data_NSA'!$1:$1,0))/INDEX('Data_NSA'!$A:$OK,MATCH(EDATE(O$2,-12),'Data_NSA'!$A:$A,0),MATCH($D314,'Data_NSA'!$1:$1,0))-1,"")</f>
        <v/>
      </c>
      <c r="S314" s="10">
        <f>IFERROR(INDEX('Weights'!$G:$I,MATCH($A314,'Weights'!$A:$A,0),MATCH(O$2,'Weights'!$G$1:$I$1,0)),"")</f>
        <v/>
      </c>
      <c r="T314" s="10">
        <f>IF($E314="","",IFERROR(100*(INDEX('Weights'!$D:$D,MATCH($A314,'Weights'!$A:$A,0))*(INDEX('Data_NSA'!$A:$OK,MATCH(EDATE(O$2,-1),'Data_NSA'!$A:$A,0),MATCH($D314,'Data_NSA'!$1:$1,0))/INDEX('Data_NSA'!$A:$OK,MATCH(INDEX('Weights'!$E:$E,MATCH($A314,'Weights'!$A:$A,0)),'Data_NSA'!$A:$A,0),MATCH($D314,'Data_NSA'!$1:$1,0))))/(100*(INDEX('Data_NSA'!$A:$OK,MATCH(EDATE(O$2,-1),'Data_NSA'!$A:$A,0),MATCH("CUUR0000SA0",'Data_NSA'!$1:$1,0))/INDEX('Data_NSA'!$A:$OK,MATCH(INDEX('Weights'!$E:$E,MATCH($A314,'Weights'!$A:$A,0)),'Data_NSA'!$A:$A,0),MATCH("CUUR0000SA0",'Data_NSA'!$1:$1,0))))*(INDEX('Data_SA'!$A:$LO,MATCH(O$2,'Data_SA'!$A:$A,0),MATCH($E314,'Data_SA'!$1:$1,0))/INDEX('Data_SA'!$A:$LO,MATCH(EDATE(O$2,-1),'Data_SA'!$A:$A,0),MATCH($E314,'Data_SA'!$1:$1,0))-1),""))</f>
        <v/>
      </c>
      <c r="U314" s="10">
        <f>IFERROR(INDEX('Data_NSA'!$A:$OK,MATCH(U$2,'Data_NSA'!$A:$A,0),MATCH($D314,'Data_NSA'!$1:$1,0)),"")</f>
        <v/>
      </c>
      <c r="V314" s="10">
        <f>IF($E314="","",IFERROR(INDEX('Data_SA'!$A:$LO,MATCH(U$2,'Data_SA'!$A:$A,0),MATCH($E314,'Data_SA'!$1:$1,0)),""))</f>
        <v/>
      </c>
      <c r="W314" s="7">
        <f>IF($E314="","",IFERROR(INDEX('Data_SA'!$A:$LO,MATCH(U$2,'Data_SA'!$A:$A,0),MATCH($E314,'Data_SA'!$1:$1,0))/INDEX('Data_SA'!$A:$LO,MATCH(EDATE(U$2,-1),'Data_SA'!$A:$A,0),MATCH($E314,'Data_SA'!$1:$1,0))-1,""))</f>
        <v/>
      </c>
      <c r="X314" s="7">
        <f>IFERROR(INDEX('Data_NSA'!$A:$OK,MATCH(U$2,'Data_NSA'!$A:$A,0),MATCH($D314,'Data_NSA'!$1:$1,0))/INDEX('Data_NSA'!$A:$OK,MATCH(EDATE(U$2,-12),'Data_NSA'!$A:$A,0),MATCH($D314,'Data_NSA'!$1:$1,0))-1,"")</f>
        <v/>
      </c>
      <c r="Y314" s="10">
        <f>IFERROR(INDEX('Weights'!$G:$I,MATCH($A314,'Weights'!$A:$A,0),MATCH(U$2,'Weights'!$G$1:$I$1,0)),"")</f>
        <v/>
      </c>
      <c r="Z314" s="10">
        <f>IF($E314="","",IFERROR(100*(INDEX('Weights'!$D:$D,MATCH($A314,'Weights'!$A:$A,0))*(INDEX('Data_NSA'!$A:$OK,MATCH(EDATE(U$2,-1),'Data_NSA'!$A:$A,0),MATCH($D314,'Data_NSA'!$1:$1,0))/INDEX('Data_NSA'!$A:$OK,MATCH(INDEX('Weights'!$E:$E,MATCH($A314,'Weights'!$A:$A,0)),'Data_NSA'!$A:$A,0),MATCH($D314,'Data_NSA'!$1:$1,0))))/(100*(INDEX('Data_NSA'!$A:$OK,MATCH(EDATE(U$2,-1),'Data_NSA'!$A:$A,0),MATCH("CUUR0000SA0",'Data_NSA'!$1:$1,0))/INDEX('Data_NSA'!$A:$OK,MATCH(INDEX('Weights'!$E:$E,MATCH($A314,'Weights'!$A:$A,0)),'Data_NSA'!$A:$A,0),MATCH("CUUR0000SA0",'Data_NSA'!$1:$1,0))))*(INDEX('Data_SA'!$A:$LO,MATCH(U$2,'Data_SA'!$A:$A,0),MATCH($E314,'Data_SA'!$1:$1,0))/INDEX('Data_SA'!$A:$LO,MATCH(EDATE(U$2,-1),'Data_SA'!$A:$A,0),MATCH($E314,'Data_SA'!$1:$1,0))-1),""))</f>
        <v/>
      </c>
    </row>
    <row r="315">
      <c r="A315" s="3" t="inlineStr">
        <is>
          <t>SAE1</t>
        </is>
      </c>
      <c r="B315" s="3" t="inlineStr">
        <is>
          <t>Education</t>
        </is>
      </c>
      <c r="C315" s="3" t="inlineStr">
        <is>
          <t>SAE</t>
        </is>
      </c>
      <c r="D315" s="3" t="inlineStr">
        <is>
          <t>CUUR0000SAE1</t>
        </is>
      </c>
      <c r="E315" s="3" t="inlineStr">
        <is>
          <t>CUSR0000SAE1</t>
        </is>
      </c>
      <c r="F315" s="3" t="inlineStr">
        <is>
          <t>aggregate</t>
        </is>
      </c>
      <c r="G315" s="3" t="inlineStr">
        <is>
          <t>aggregate</t>
        </is>
      </c>
      <c r="H315" s="10">
        <f>IFERROR(INDEX(Weights!$D:$D,MATCH($A315,Weights!$A:$A,0)),"")</f>
        <v/>
      </c>
      <c r="I315" s="10">
        <f>IFERROR(INDEX('Data_NSA'!$A:$OK,MATCH(I$2,'Data_NSA'!$A:$A,0),MATCH($D315,'Data_NSA'!$1:$1,0)),"")</f>
        <v/>
      </c>
      <c r="J315" s="10">
        <f>IF($E315="","",IFERROR(INDEX('Data_SA'!$A:$LO,MATCH(I$2,'Data_SA'!$A:$A,0),MATCH($E315,'Data_SA'!$1:$1,0)),""))</f>
        <v/>
      </c>
      <c r="K315" s="7">
        <f>IF($E315="","",IFERROR(INDEX('Data_SA'!$A:$LO,MATCH(I$2,'Data_SA'!$A:$A,0),MATCH($E315,'Data_SA'!$1:$1,0))/INDEX('Data_SA'!$A:$LO,MATCH(EDATE(I$2,-1),'Data_SA'!$A:$A,0),MATCH($E315,'Data_SA'!$1:$1,0))-1,""))</f>
        <v/>
      </c>
      <c r="L315" s="7">
        <f>IFERROR(INDEX('Data_NSA'!$A:$OK,MATCH(I$2,'Data_NSA'!$A:$A,0),MATCH($D315,'Data_NSA'!$1:$1,0))/INDEX('Data_NSA'!$A:$OK,MATCH(EDATE(I$2,-12),'Data_NSA'!$A:$A,0),MATCH($D315,'Data_NSA'!$1:$1,0))-1,"")</f>
        <v/>
      </c>
      <c r="M315" s="10">
        <f>IFERROR(INDEX('Weights'!$G:$I,MATCH($A315,'Weights'!$A:$A,0),MATCH(I$2,'Weights'!$G$1:$I$1,0)),"")</f>
        <v/>
      </c>
      <c r="N315" s="10">
        <f>IF($E315="","",IFERROR(100*(INDEX('Weights'!$D:$D,MATCH($A315,'Weights'!$A:$A,0))*(INDEX('Data_NSA'!$A:$OK,MATCH(EDATE(I$2,-1),'Data_NSA'!$A:$A,0),MATCH($D315,'Data_NSA'!$1:$1,0))/INDEX('Data_NSA'!$A:$OK,MATCH(INDEX('Weights'!$E:$E,MATCH($A315,'Weights'!$A:$A,0)),'Data_NSA'!$A:$A,0),MATCH($D315,'Data_NSA'!$1:$1,0))))/(100*(INDEX('Data_NSA'!$A:$OK,MATCH(EDATE(I$2,-1),'Data_NSA'!$A:$A,0),MATCH("CUUR0000SA0",'Data_NSA'!$1:$1,0))/INDEX('Data_NSA'!$A:$OK,MATCH(INDEX('Weights'!$E:$E,MATCH($A315,'Weights'!$A:$A,0)),'Data_NSA'!$A:$A,0),MATCH("CUUR0000SA0",'Data_NSA'!$1:$1,0))))*(INDEX('Data_SA'!$A:$LO,MATCH(I$2,'Data_SA'!$A:$A,0),MATCH($E315,'Data_SA'!$1:$1,0))/INDEX('Data_SA'!$A:$LO,MATCH(EDATE(I$2,-1),'Data_SA'!$A:$A,0),MATCH($E315,'Data_SA'!$1:$1,0))-1),""))</f>
        <v/>
      </c>
      <c r="O315" s="10">
        <f>IFERROR(INDEX('Data_NSA'!$A:$OK,MATCH(O$2,'Data_NSA'!$A:$A,0),MATCH($D315,'Data_NSA'!$1:$1,0)),"")</f>
        <v/>
      </c>
      <c r="P315" s="10">
        <f>IF($E315="","",IFERROR(INDEX('Data_SA'!$A:$LO,MATCH(O$2,'Data_SA'!$A:$A,0),MATCH($E315,'Data_SA'!$1:$1,0)),""))</f>
        <v/>
      </c>
      <c r="Q315" s="7">
        <f>IF($E315="","",IFERROR(INDEX('Data_SA'!$A:$LO,MATCH(O$2,'Data_SA'!$A:$A,0),MATCH($E315,'Data_SA'!$1:$1,0))/INDEX('Data_SA'!$A:$LO,MATCH(EDATE(O$2,-1),'Data_SA'!$A:$A,0),MATCH($E315,'Data_SA'!$1:$1,0))-1,""))</f>
        <v/>
      </c>
      <c r="R315" s="7">
        <f>IFERROR(INDEX('Data_NSA'!$A:$OK,MATCH(O$2,'Data_NSA'!$A:$A,0),MATCH($D315,'Data_NSA'!$1:$1,0))/INDEX('Data_NSA'!$A:$OK,MATCH(EDATE(O$2,-12),'Data_NSA'!$A:$A,0),MATCH($D315,'Data_NSA'!$1:$1,0))-1,"")</f>
        <v/>
      </c>
      <c r="S315" s="10">
        <f>IFERROR(INDEX('Weights'!$G:$I,MATCH($A315,'Weights'!$A:$A,0),MATCH(O$2,'Weights'!$G$1:$I$1,0)),"")</f>
        <v/>
      </c>
      <c r="T315" s="10">
        <f>IF($E315="","",IFERROR(100*(INDEX('Weights'!$D:$D,MATCH($A315,'Weights'!$A:$A,0))*(INDEX('Data_NSA'!$A:$OK,MATCH(EDATE(O$2,-1),'Data_NSA'!$A:$A,0),MATCH($D315,'Data_NSA'!$1:$1,0))/INDEX('Data_NSA'!$A:$OK,MATCH(INDEX('Weights'!$E:$E,MATCH($A315,'Weights'!$A:$A,0)),'Data_NSA'!$A:$A,0),MATCH($D315,'Data_NSA'!$1:$1,0))))/(100*(INDEX('Data_NSA'!$A:$OK,MATCH(EDATE(O$2,-1),'Data_NSA'!$A:$A,0),MATCH("CUUR0000SA0",'Data_NSA'!$1:$1,0))/INDEX('Data_NSA'!$A:$OK,MATCH(INDEX('Weights'!$E:$E,MATCH($A315,'Weights'!$A:$A,0)),'Data_NSA'!$A:$A,0),MATCH("CUUR0000SA0",'Data_NSA'!$1:$1,0))))*(INDEX('Data_SA'!$A:$LO,MATCH(O$2,'Data_SA'!$A:$A,0),MATCH($E315,'Data_SA'!$1:$1,0))/INDEX('Data_SA'!$A:$LO,MATCH(EDATE(O$2,-1),'Data_SA'!$A:$A,0),MATCH($E315,'Data_SA'!$1:$1,0))-1),""))</f>
        <v/>
      </c>
      <c r="U315" s="10">
        <f>IFERROR(INDEX('Data_NSA'!$A:$OK,MATCH(U$2,'Data_NSA'!$A:$A,0),MATCH($D315,'Data_NSA'!$1:$1,0)),"")</f>
        <v/>
      </c>
      <c r="V315" s="10">
        <f>IF($E315="","",IFERROR(INDEX('Data_SA'!$A:$LO,MATCH(U$2,'Data_SA'!$A:$A,0),MATCH($E315,'Data_SA'!$1:$1,0)),""))</f>
        <v/>
      </c>
      <c r="W315" s="7">
        <f>IF($E315="","",IFERROR(INDEX('Data_SA'!$A:$LO,MATCH(U$2,'Data_SA'!$A:$A,0),MATCH($E315,'Data_SA'!$1:$1,0))/INDEX('Data_SA'!$A:$LO,MATCH(EDATE(U$2,-1),'Data_SA'!$A:$A,0),MATCH($E315,'Data_SA'!$1:$1,0))-1,""))</f>
        <v/>
      </c>
      <c r="X315" s="7">
        <f>IFERROR(INDEX('Data_NSA'!$A:$OK,MATCH(U$2,'Data_NSA'!$A:$A,0),MATCH($D315,'Data_NSA'!$1:$1,0))/INDEX('Data_NSA'!$A:$OK,MATCH(EDATE(U$2,-12),'Data_NSA'!$A:$A,0),MATCH($D315,'Data_NSA'!$1:$1,0))-1,"")</f>
        <v/>
      </c>
      <c r="Y315" s="10">
        <f>IFERROR(INDEX('Weights'!$G:$I,MATCH($A315,'Weights'!$A:$A,0),MATCH(U$2,'Weights'!$G$1:$I$1,0)),"")</f>
        <v/>
      </c>
      <c r="Z315" s="10">
        <f>IF($E315="","",IFERROR(100*(INDEX('Weights'!$D:$D,MATCH($A315,'Weights'!$A:$A,0))*(INDEX('Data_NSA'!$A:$OK,MATCH(EDATE(U$2,-1),'Data_NSA'!$A:$A,0),MATCH($D315,'Data_NSA'!$1:$1,0))/INDEX('Data_NSA'!$A:$OK,MATCH(INDEX('Weights'!$E:$E,MATCH($A315,'Weights'!$A:$A,0)),'Data_NSA'!$A:$A,0),MATCH($D315,'Data_NSA'!$1:$1,0))))/(100*(INDEX('Data_NSA'!$A:$OK,MATCH(EDATE(U$2,-1),'Data_NSA'!$A:$A,0),MATCH("CUUR0000SA0",'Data_NSA'!$1:$1,0))/INDEX('Data_NSA'!$A:$OK,MATCH(INDEX('Weights'!$E:$E,MATCH($A315,'Weights'!$A:$A,0)),'Data_NSA'!$A:$A,0),MATCH("CUUR0000SA0",'Data_NSA'!$1:$1,0))))*(INDEX('Data_SA'!$A:$LO,MATCH(U$2,'Data_SA'!$A:$A,0),MATCH($E315,'Data_SA'!$1:$1,0))/INDEX('Data_SA'!$A:$LO,MATCH(EDATE(U$2,-1),'Data_SA'!$A:$A,0),MATCH($E315,'Data_SA'!$1:$1,0))-1),""))</f>
        <v/>
      </c>
    </row>
    <row r="316">
      <c r="A316" s="3" t="inlineStr">
        <is>
          <t>SEEA</t>
        </is>
      </c>
      <c r="B316" s="3" t="inlineStr">
        <is>
          <t>Educational books and supplies</t>
        </is>
      </c>
      <c r="C316" s="3" t="inlineStr">
        <is>
          <t>SAE1</t>
        </is>
      </c>
      <c r="D316" s="3" t="inlineStr">
        <is>
          <t>CUUR0000SEEA</t>
        </is>
      </c>
      <c r="E316" s="3" t="inlineStr">
        <is>
          <t>CUSR0000SEEA</t>
        </is>
      </c>
      <c r="F316" s="3" t="inlineStr">
        <is>
          <t>aggregate</t>
        </is>
      </c>
      <c r="G316" s="3" t="inlineStr">
        <is>
          <t>aggregate</t>
        </is>
      </c>
      <c r="H316" s="10">
        <f>IFERROR(INDEX(Weights!$D:$D,MATCH($A316,Weights!$A:$A,0)),"")</f>
        <v/>
      </c>
      <c r="I316" s="10">
        <f>IFERROR(INDEX('Data_NSA'!$A:$OK,MATCH(I$2,'Data_NSA'!$A:$A,0),MATCH($D316,'Data_NSA'!$1:$1,0)),"")</f>
        <v/>
      </c>
      <c r="J316" s="10">
        <f>IF($E316="","",IFERROR(INDEX('Data_SA'!$A:$LO,MATCH(I$2,'Data_SA'!$A:$A,0),MATCH($E316,'Data_SA'!$1:$1,0)),""))</f>
        <v/>
      </c>
      <c r="K316" s="7">
        <f>IF($E316="","",IFERROR(INDEX('Data_SA'!$A:$LO,MATCH(I$2,'Data_SA'!$A:$A,0),MATCH($E316,'Data_SA'!$1:$1,0))/INDEX('Data_SA'!$A:$LO,MATCH(EDATE(I$2,-1),'Data_SA'!$A:$A,0),MATCH($E316,'Data_SA'!$1:$1,0))-1,""))</f>
        <v/>
      </c>
      <c r="L316" s="7">
        <f>IFERROR(INDEX('Data_NSA'!$A:$OK,MATCH(I$2,'Data_NSA'!$A:$A,0),MATCH($D316,'Data_NSA'!$1:$1,0))/INDEX('Data_NSA'!$A:$OK,MATCH(EDATE(I$2,-12),'Data_NSA'!$A:$A,0),MATCH($D316,'Data_NSA'!$1:$1,0))-1,"")</f>
        <v/>
      </c>
      <c r="M316" s="10">
        <f>IFERROR(INDEX('Weights'!$G:$I,MATCH($A316,'Weights'!$A:$A,0),MATCH(I$2,'Weights'!$G$1:$I$1,0)),"")</f>
        <v/>
      </c>
      <c r="N316" s="10">
        <f>IF($E316="","",IFERROR(100*(INDEX('Weights'!$D:$D,MATCH($A316,'Weights'!$A:$A,0))*(INDEX('Data_NSA'!$A:$OK,MATCH(EDATE(I$2,-1),'Data_NSA'!$A:$A,0),MATCH($D316,'Data_NSA'!$1:$1,0))/INDEX('Data_NSA'!$A:$OK,MATCH(INDEX('Weights'!$E:$E,MATCH($A316,'Weights'!$A:$A,0)),'Data_NSA'!$A:$A,0),MATCH($D316,'Data_NSA'!$1:$1,0))))/(100*(INDEX('Data_NSA'!$A:$OK,MATCH(EDATE(I$2,-1),'Data_NSA'!$A:$A,0),MATCH("CUUR0000SA0",'Data_NSA'!$1:$1,0))/INDEX('Data_NSA'!$A:$OK,MATCH(INDEX('Weights'!$E:$E,MATCH($A316,'Weights'!$A:$A,0)),'Data_NSA'!$A:$A,0),MATCH("CUUR0000SA0",'Data_NSA'!$1:$1,0))))*(INDEX('Data_SA'!$A:$LO,MATCH(I$2,'Data_SA'!$A:$A,0),MATCH($E316,'Data_SA'!$1:$1,0))/INDEX('Data_SA'!$A:$LO,MATCH(EDATE(I$2,-1),'Data_SA'!$A:$A,0),MATCH($E316,'Data_SA'!$1:$1,0))-1),""))</f>
        <v/>
      </c>
      <c r="O316" s="10">
        <f>IFERROR(INDEX('Data_NSA'!$A:$OK,MATCH(O$2,'Data_NSA'!$A:$A,0),MATCH($D316,'Data_NSA'!$1:$1,0)),"")</f>
        <v/>
      </c>
      <c r="P316" s="10">
        <f>IF($E316="","",IFERROR(INDEX('Data_SA'!$A:$LO,MATCH(O$2,'Data_SA'!$A:$A,0),MATCH($E316,'Data_SA'!$1:$1,0)),""))</f>
        <v/>
      </c>
      <c r="Q316" s="7">
        <f>IF($E316="","",IFERROR(INDEX('Data_SA'!$A:$LO,MATCH(O$2,'Data_SA'!$A:$A,0),MATCH($E316,'Data_SA'!$1:$1,0))/INDEX('Data_SA'!$A:$LO,MATCH(EDATE(O$2,-1),'Data_SA'!$A:$A,0),MATCH($E316,'Data_SA'!$1:$1,0))-1,""))</f>
        <v/>
      </c>
      <c r="R316" s="7">
        <f>IFERROR(INDEX('Data_NSA'!$A:$OK,MATCH(O$2,'Data_NSA'!$A:$A,0),MATCH($D316,'Data_NSA'!$1:$1,0))/INDEX('Data_NSA'!$A:$OK,MATCH(EDATE(O$2,-12),'Data_NSA'!$A:$A,0),MATCH($D316,'Data_NSA'!$1:$1,0))-1,"")</f>
        <v/>
      </c>
      <c r="S316" s="10">
        <f>IFERROR(INDEX('Weights'!$G:$I,MATCH($A316,'Weights'!$A:$A,0),MATCH(O$2,'Weights'!$G$1:$I$1,0)),"")</f>
        <v/>
      </c>
      <c r="T316" s="10">
        <f>IF($E316="","",IFERROR(100*(INDEX('Weights'!$D:$D,MATCH($A316,'Weights'!$A:$A,0))*(INDEX('Data_NSA'!$A:$OK,MATCH(EDATE(O$2,-1),'Data_NSA'!$A:$A,0),MATCH($D316,'Data_NSA'!$1:$1,0))/INDEX('Data_NSA'!$A:$OK,MATCH(INDEX('Weights'!$E:$E,MATCH($A316,'Weights'!$A:$A,0)),'Data_NSA'!$A:$A,0),MATCH($D316,'Data_NSA'!$1:$1,0))))/(100*(INDEX('Data_NSA'!$A:$OK,MATCH(EDATE(O$2,-1),'Data_NSA'!$A:$A,0),MATCH("CUUR0000SA0",'Data_NSA'!$1:$1,0))/INDEX('Data_NSA'!$A:$OK,MATCH(INDEX('Weights'!$E:$E,MATCH($A316,'Weights'!$A:$A,0)),'Data_NSA'!$A:$A,0),MATCH("CUUR0000SA0",'Data_NSA'!$1:$1,0))))*(INDEX('Data_SA'!$A:$LO,MATCH(O$2,'Data_SA'!$A:$A,0),MATCH($E316,'Data_SA'!$1:$1,0))/INDEX('Data_SA'!$A:$LO,MATCH(EDATE(O$2,-1),'Data_SA'!$A:$A,0),MATCH($E316,'Data_SA'!$1:$1,0))-1),""))</f>
        <v/>
      </c>
      <c r="U316" s="10">
        <f>IFERROR(INDEX('Data_NSA'!$A:$OK,MATCH(U$2,'Data_NSA'!$A:$A,0),MATCH($D316,'Data_NSA'!$1:$1,0)),"")</f>
        <v/>
      </c>
      <c r="V316" s="10">
        <f>IF($E316="","",IFERROR(INDEX('Data_SA'!$A:$LO,MATCH(U$2,'Data_SA'!$A:$A,0),MATCH($E316,'Data_SA'!$1:$1,0)),""))</f>
        <v/>
      </c>
      <c r="W316" s="7">
        <f>IF($E316="","",IFERROR(INDEX('Data_SA'!$A:$LO,MATCH(U$2,'Data_SA'!$A:$A,0),MATCH($E316,'Data_SA'!$1:$1,0))/INDEX('Data_SA'!$A:$LO,MATCH(EDATE(U$2,-1),'Data_SA'!$A:$A,0),MATCH($E316,'Data_SA'!$1:$1,0))-1,""))</f>
        <v/>
      </c>
      <c r="X316" s="7">
        <f>IFERROR(INDEX('Data_NSA'!$A:$OK,MATCH(U$2,'Data_NSA'!$A:$A,0),MATCH($D316,'Data_NSA'!$1:$1,0))/INDEX('Data_NSA'!$A:$OK,MATCH(EDATE(U$2,-12),'Data_NSA'!$A:$A,0),MATCH($D316,'Data_NSA'!$1:$1,0))-1,"")</f>
        <v/>
      </c>
      <c r="Y316" s="10">
        <f>IFERROR(INDEX('Weights'!$G:$I,MATCH($A316,'Weights'!$A:$A,0),MATCH(U$2,'Weights'!$G$1:$I$1,0)),"")</f>
        <v/>
      </c>
      <c r="Z316" s="10">
        <f>IF($E316="","",IFERROR(100*(INDEX('Weights'!$D:$D,MATCH($A316,'Weights'!$A:$A,0))*(INDEX('Data_NSA'!$A:$OK,MATCH(EDATE(U$2,-1),'Data_NSA'!$A:$A,0),MATCH($D316,'Data_NSA'!$1:$1,0))/INDEX('Data_NSA'!$A:$OK,MATCH(INDEX('Weights'!$E:$E,MATCH($A316,'Weights'!$A:$A,0)),'Data_NSA'!$A:$A,0),MATCH($D316,'Data_NSA'!$1:$1,0))))/(100*(INDEX('Data_NSA'!$A:$OK,MATCH(EDATE(U$2,-1),'Data_NSA'!$A:$A,0),MATCH("CUUR0000SA0",'Data_NSA'!$1:$1,0))/INDEX('Data_NSA'!$A:$OK,MATCH(INDEX('Weights'!$E:$E,MATCH($A316,'Weights'!$A:$A,0)),'Data_NSA'!$A:$A,0),MATCH("CUUR0000SA0",'Data_NSA'!$1:$1,0))))*(INDEX('Data_SA'!$A:$LO,MATCH(U$2,'Data_SA'!$A:$A,0),MATCH($E316,'Data_SA'!$1:$1,0))/INDEX('Data_SA'!$A:$LO,MATCH(EDATE(U$2,-1),'Data_SA'!$A:$A,0),MATCH($E316,'Data_SA'!$1:$1,0))-1),""))</f>
        <v/>
      </c>
    </row>
    <row r="317">
      <c r="A317" s="3" t="inlineStr">
        <is>
          <t>SSEA011</t>
        </is>
      </c>
      <c r="B317" s="3" t="inlineStr">
        <is>
          <t>College textbooks</t>
        </is>
      </c>
      <c r="C317" s="3" t="inlineStr">
        <is>
          <t>SEEA</t>
        </is>
      </c>
      <c r="D317" s="3" t="inlineStr">
        <is>
          <t>CUUR0000SSEA011</t>
        </is>
      </c>
      <c r="E317" s="3" t="inlineStr"/>
      <c r="F317" s="3" t="inlineStr">
        <is>
          <t>GM</t>
        </is>
      </c>
      <c r="G317" s="3" t="inlineStr">
        <is>
          <t>monthly in New York/Los Angeles/Chicago; often bimonthly elsewhere</t>
        </is>
      </c>
      <c r="H317" s="10">
        <f>IFERROR(INDEX(Weights!$D:$D,MATCH($A317,Weights!$A:$A,0)),"")</f>
        <v/>
      </c>
      <c r="I317" s="10">
        <f>IFERROR(INDEX('Data_NSA'!$A:$OK,MATCH(I$2,'Data_NSA'!$A:$A,0),MATCH($D317,'Data_NSA'!$1:$1,0)),"")</f>
        <v/>
      </c>
      <c r="J317" s="10">
        <f>IF($E317="","",IFERROR(INDEX('Data_SA'!$A:$LO,MATCH(I$2,'Data_SA'!$A:$A,0),MATCH($E317,'Data_SA'!$1:$1,0)),""))</f>
        <v/>
      </c>
      <c r="K317" s="7">
        <f>IF($E317="","",IFERROR(INDEX('Data_SA'!$A:$LO,MATCH(I$2,'Data_SA'!$A:$A,0),MATCH($E317,'Data_SA'!$1:$1,0))/INDEX('Data_SA'!$A:$LO,MATCH(EDATE(I$2,-1),'Data_SA'!$A:$A,0),MATCH($E317,'Data_SA'!$1:$1,0))-1,""))</f>
        <v/>
      </c>
      <c r="L317" s="7">
        <f>IFERROR(INDEX('Data_NSA'!$A:$OK,MATCH(I$2,'Data_NSA'!$A:$A,0),MATCH($D317,'Data_NSA'!$1:$1,0))/INDEX('Data_NSA'!$A:$OK,MATCH(EDATE(I$2,-12),'Data_NSA'!$A:$A,0),MATCH($D317,'Data_NSA'!$1:$1,0))-1,"")</f>
        <v/>
      </c>
      <c r="M317" s="10">
        <f>IFERROR(INDEX('Weights'!$G:$I,MATCH($A317,'Weights'!$A:$A,0),MATCH(I$2,'Weights'!$G$1:$I$1,0)),"")</f>
        <v/>
      </c>
      <c r="N317" s="10">
        <f>IF($E317="","",IFERROR(100*(INDEX('Weights'!$D:$D,MATCH($A317,'Weights'!$A:$A,0))*(INDEX('Data_NSA'!$A:$OK,MATCH(EDATE(I$2,-1),'Data_NSA'!$A:$A,0),MATCH($D317,'Data_NSA'!$1:$1,0))/INDEX('Data_NSA'!$A:$OK,MATCH(INDEX('Weights'!$E:$E,MATCH($A317,'Weights'!$A:$A,0)),'Data_NSA'!$A:$A,0),MATCH($D317,'Data_NSA'!$1:$1,0))))/(100*(INDEX('Data_NSA'!$A:$OK,MATCH(EDATE(I$2,-1),'Data_NSA'!$A:$A,0),MATCH("CUUR0000SA0",'Data_NSA'!$1:$1,0))/INDEX('Data_NSA'!$A:$OK,MATCH(INDEX('Weights'!$E:$E,MATCH($A317,'Weights'!$A:$A,0)),'Data_NSA'!$A:$A,0),MATCH("CUUR0000SA0",'Data_NSA'!$1:$1,0))))*(INDEX('Data_SA'!$A:$LO,MATCH(I$2,'Data_SA'!$A:$A,0),MATCH($E317,'Data_SA'!$1:$1,0))/INDEX('Data_SA'!$A:$LO,MATCH(EDATE(I$2,-1),'Data_SA'!$A:$A,0),MATCH($E317,'Data_SA'!$1:$1,0))-1),""))</f>
        <v/>
      </c>
      <c r="O317" s="10">
        <f>IFERROR(INDEX('Data_NSA'!$A:$OK,MATCH(O$2,'Data_NSA'!$A:$A,0),MATCH($D317,'Data_NSA'!$1:$1,0)),"")</f>
        <v/>
      </c>
      <c r="P317" s="10">
        <f>IF($E317="","",IFERROR(INDEX('Data_SA'!$A:$LO,MATCH(O$2,'Data_SA'!$A:$A,0),MATCH($E317,'Data_SA'!$1:$1,0)),""))</f>
        <v/>
      </c>
      <c r="Q317" s="7">
        <f>IF($E317="","",IFERROR(INDEX('Data_SA'!$A:$LO,MATCH(O$2,'Data_SA'!$A:$A,0),MATCH($E317,'Data_SA'!$1:$1,0))/INDEX('Data_SA'!$A:$LO,MATCH(EDATE(O$2,-1),'Data_SA'!$A:$A,0),MATCH($E317,'Data_SA'!$1:$1,0))-1,""))</f>
        <v/>
      </c>
      <c r="R317" s="7">
        <f>IFERROR(INDEX('Data_NSA'!$A:$OK,MATCH(O$2,'Data_NSA'!$A:$A,0),MATCH($D317,'Data_NSA'!$1:$1,0))/INDEX('Data_NSA'!$A:$OK,MATCH(EDATE(O$2,-12),'Data_NSA'!$A:$A,0),MATCH($D317,'Data_NSA'!$1:$1,0))-1,"")</f>
        <v/>
      </c>
      <c r="S317" s="10">
        <f>IFERROR(INDEX('Weights'!$G:$I,MATCH($A317,'Weights'!$A:$A,0),MATCH(O$2,'Weights'!$G$1:$I$1,0)),"")</f>
        <v/>
      </c>
      <c r="T317" s="10">
        <f>IF($E317="","",IFERROR(100*(INDEX('Weights'!$D:$D,MATCH($A317,'Weights'!$A:$A,0))*(INDEX('Data_NSA'!$A:$OK,MATCH(EDATE(O$2,-1),'Data_NSA'!$A:$A,0),MATCH($D317,'Data_NSA'!$1:$1,0))/INDEX('Data_NSA'!$A:$OK,MATCH(INDEX('Weights'!$E:$E,MATCH($A317,'Weights'!$A:$A,0)),'Data_NSA'!$A:$A,0),MATCH($D317,'Data_NSA'!$1:$1,0))))/(100*(INDEX('Data_NSA'!$A:$OK,MATCH(EDATE(O$2,-1),'Data_NSA'!$A:$A,0),MATCH("CUUR0000SA0",'Data_NSA'!$1:$1,0))/INDEX('Data_NSA'!$A:$OK,MATCH(INDEX('Weights'!$E:$E,MATCH($A317,'Weights'!$A:$A,0)),'Data_NSA'!$A:$A,0),MATCH("CUUR0000SA0",'Data_NSA'!$1:$1,0))))*(INDEX('Data_SA'!$A:$LO,MATCH(O$2,'Data_SA'!$A:$A,0),MATCH($E317,'Data_SA'!$1:$1,0))/INDEX('Data_SA'!$A:$LO,MATCH(EDATE(O$2,-1),'Data_SA'!$A:$A,0),MATCH($E317,'Data_SA'!$1:$1,0))-1),""))</f>
        <v/>
      </c>
      <c r="U317" s="10">
        <f>IFERROR(INDEX('Data_NSA'!$A:$OK,MATCH(U$2,'Data_NSA'!$A:$A,0),MATCH($D317,'Data_NSA'!$1:$1,0)),"")</f>
        <v/>
      </c>
      <c r="V317" s="10">
        <f>IF($E317="","",IFERROR(INDEX('Data_SA'!$A:$LO,MATCH(U$2,'Data_SA'!$A:$A,0),MATCH($E317,'Data_SA'!$1:$1,0)),""))</f>
        <v/>
      </c>
      <c r="W317" s="7">
        <f>IF($E317="","",IFERROR(INDEX('Data_SA'!$A:$LO,MATCH(U$2,'Data_SA'!$A:$A,0),MATCH($E317,'Data_SA'!$1:$1,0))/INDEX('Data_SA'!$A:$LO,MATCH(EDATE(U$2,-1),'Data_SA'!$A:$A,0),MATCH($E317,'Data_SA'!$1:$1,0))-1,""))</f>
        <v/>
      </c>
      <c r="X317" s="7">
        <f>IFERROR(INDEX('Data_NSA'!$A:$OK,MATCH(U$2,'Data_NSA'!$A:$A,0),MATCH($D317,'Data_NSA'!$1:$1,0))/INDEX('Data_NSA'!$A:$OK,MATCH(EDATE(U$2,-12),'Data_NSA'!$A:$A,0),MATCH($D317,'Data_NSA'!$1:$1,0))-1,"")</f>
        <v/>
      </c>
      <c r="Y317" s="10">
        <f>IFERROR(INDEX('Weights'!$G:$I,MATCH($A317,'Weights'!$A:$A,0),MATCH(U$2,'Weights'!$G$1:$I$1,0)),"")</f>
        <v/>
      </c>
      <c r="Z317" s="10">
        <f>IF($E317="","",IFERROR(100*(INDEX('Weights'!$D:$D,MATCH($A317,'Weights'!$A:$A,0))*(INDEX('Data_NSA'!$A:$OK,MATCH(EDATE(U$2,-1),'Data_NSA'!$A:$A,0),MATCH($D317,'Data_NSA'!$1:$1,0))/INDEX('Data_NSA'!$A:$OK,MATCH(INDEX('Weights'!$E:$E,MATCH($A317,'Weights'!$A:$A,0)),'Data_NSA'!$A:$A,0),MATCH($D317,'Data_NSA'!$1:$1,0))))/(100*(INDEX('Data_NSA'!$A:$OK,MATCH(EDATE(U$2,-1),'Data_NSA'!$A:$A,0),MATCH("CUUR0000SA0",'Data_NSA'!$1:$1,0))/INDEX('Data_NSA'!$A:$OK,MATCH(INDEX('Weights'!$E:$E,MATCH($A317,'Weights'!$A:$A,0)),'Data_NSA'!$A:$A,0),MATCH("CUUR0000SA0",'Data_NSA'!$1:$1,0))))*(INDEX('Data_SA'!$A:$LO,MATCH(U$2,'Data_SA'!$A:$A,0),MATCH($E317,'Data_SA'!$1:$1,0))/INDEX('Data_SA'!$A:$LO,MATCH(EDATE(U$2,-1),'Data_SA'!$A:$A,0),MATCH($E317,'Data_SA'!$1:$1,0))-1),""))</f>
        <v/>
      </c>
    </row>
    <row r="318">
      <c r="A318" s="3" t="inlineStr">
        <is>
          <t>SEEB</t>
        </is>
      </c>
      <c r="B318" s="3" t="inlineStr">
        <is>
          <t>Tuition, other school fees, and childcare</t>
        </is>
      </c>
      <c r="C318" s="3" t="inlineStr">
        <is>
          <t>SAE1</t>
        </is>
      </c>
      <c r="D318" s="3" t="inlineStr">
        <is>
          <t>CUUR0000SEEB</t>
        </is>
      </c>
      <c r="E318" s="3" t="inlineStr">
        <is>
          <t>CUSR0000SEEB</t>
        </is>
      </c>
      <c r="F318" s="3" t="inlineStr">
        <is>
          <t>aggregate</t>
        </is>
      </c>
      <c r="G318" s="3" t="inlineStr">
        <is>
          <t>aggregate</t>
        </is>
      </c>
      <c r="H318" s="10">
        <f>IFERROR(INDEX(Weights!$D:$D,MATCH($A318,Weights!$A:$A,0)),"")</f>
        <v/>
      </c>
      <c r="I318" s="10">
        <f>IFERROR(INDEX('Data_NSA'!$A:$OK,MATCH(I$2,'Data_NSA'!$A:$A,0),MATCH($D318,'Data_NSA'!$1:$1,0)),"")</f>
        <v/>
      </c>
      <c r="J318" s="10">
        <f>IF($E318="","",IFERROR(INDEX('Data_SA'!$A:$LO,MATCH(I$2,'Data_SA'!$A:$A,0),MATCH($E318,'Data_SA'!$1:$1,0)),""))</f>
        <v/>
      </c>
      <c r="K318" s="7">
        <f>IF($E318="","",IFERROR(INDEX('Data_SA'!$A:$LO,MATCH(I$2,'Data_SA'!$A:$A,0),MATCH($E318,'Data_SA'!$1:$1,0))/INDEX('Data_SA'!$A:$LO,MATCH(EDATE(I$2,-1),'Data_SA'!$A:$A,0),MATCH($E318,'Data_SA'!$1:$1,0))-1,""))</f>
        <v/>
      </c>
      <c r="L318" s="7">
        <f>IFERROR(INDEX('Data_NSA'!$A:$OK,MATCH(I$2,'Data_NSA'!$A:$A,0),MATCH($D318,'Data_NSA'!$1:$1,0))/INDEX('Data_NSA'!$A:$OK,MATCH(EDATE(I$2,-12),'Data_NSA'!$A:$A,0),MATCH($D318,'Data_NSA'!$1:$1,0))-1,"")</f>
        <v/>
      </c>
      <c r="M318" s="10">
        <f>IFERROR(INDEX('Weights'!$G:$I,MATCH($A318,'Weights'!$A:$A,0),MATCH(I$2,'Weights'!$G$1:$I$1,0)),"")</f>
        <v/>
      </c>
      <c r="N318" s="10">
        <f>IF($E318="","",IFERROR(100*(INDEX('Weights'!$D:$D,MATCH($A318,'Weights'!$A:$A,0))*(INDEX('Data_NSA'!$A:$OK,MATCH(EDATE(I$2,-1),'Data_NSA'!$A:$A,0),MATCH($D318,'Data_NSA'!$1:$1,0))/INDEX('Data_NSA'!$A:$OK,MATCH(INDEX('Weights'!$E:$E,MATCH($A318,'Weights'!$A:$A,0)),'Data_NSA'!$A:$A,0),MATCH($D318,'Data_NSA'!$1:$1,0))))/(100*(INDEX('Data_NSA'!$A:$OK,MATCH(EDATE(I$2,-1),'Data_NSA'!$A:$A,0),MATCH("CUUR0000SA0",'Data_NSA'!$1:$1,0))/INDEX('Data_NSA'!$A:$OK,MATCH(INDEX('Weights'!$E:$E,MATCH($A318,'Weights'!$A:$A,0)),'Data_NSA'!$A:$A,0),MATCH("CUUR0000SA0",'Data_NSA'!$1:$1,0))))*(INDEX('Data_SA'!$A:$LO,MATCH(I$2,'Data_SA'!$A:$A,0),MATCH($E318,'Data_SA'!$1:$1,0))/INDEX('Data_SA'!$A:$LO,MATCH(EDATE(I$2,-1),'Data_SA'!$A:$A,0),MATCH($E318,'Data_SA'!$1:$1,0))-1),""))</f>
        <v/>
      </c>
      <c r="O318" s="10">
        <f>IFERROR(INDEX('Data_NSA'!$A:$OK,MATCH(O$2,'Data_NSA'!$A:$A,0),MATCH($D318,'Data_NSA'!$1:$1,0)),"")</f>
        <v/>
      </c>
      <c r="P318" s="10">
        <f>IF($E318="","",IFERROR(INDEX('Data_SA'!$A:$LO,MATCH(O$2,'Data_SA'!$A:$A,0),MATCH($E318,'Data_SA'!$1:$1,0)),""))</f>
        <v/>
      </c>
      <c r="Q318" s="7">
        <f>IF($E318="","",IFERROR(INDEX('Data_SA'!$A:$LO,MATCH(O$2,'Data_SA'!$A:$A,0),MATCH($E318,'Data_SA'!$1:$1,0))/INDEX('Data_SA'!$A:$LO,MATCH(EDATE(O$2,-1),'Data_SA'!$A:$A,0),MATCH($E318,'Data_SA'!$1:$1,0))-1,""))</f>
        <v/>
      </c>
      <c r="R318" s="7">
        <f>IFERROR(INDEX('Data_NSA'!$A:$OK,MATCH(O$2,'Data_NSA'!$A:$A,0),MATCH($D318,'Data_NSA'!$1:$1,0))/INDEX('Data_NSA'!$A:$OK,MATCH(EDATE(O$2,-12),'Data_NSA'!$A:$A,0),MATCH($D318,'Data_NSA'!$1:$1,0))-1,"")</f>
        <v/>
      </c>
      <c r="S318" s="10">
        <f>IFERROR(INDEX('Weights'!$G:$I,MATCH($A318,'Weights'!$A:$A,0),MATCH(O$2,'Weights'!$G$1:$I$1,0)),"")</f>
        <v/>
      </c>
      <c r="T318" s="10">
        <f>IF($E318="","",IFERROR(100*(INDEX('Weights'!$D:$D,MATCH($A318,'Weights'!$A:$A,0))*(INDEX('Data_NSA'!$A:$OK,MATCH(EDATE(O$2,-1),'Data_NSA'!$A:$A,0),MATCH($D318,'Data_NSA'!$1:$1,0))/INDEX('Data_NSA'!$A:$OK,MATCH(INDEX('Weights'!$E:$E,MATCH($A318,'Weights'!$A:$A,0)),'Data_NSA'!$A:$A,0),MATCH($D318,'Data_NSA'!$1:$1,0))))/(100*(INDEX('Data_NSA'!$A:$OK,MATCH(EDATE(O$2,-1),'Data_NSA'!$A:$A,0),MATCH("CUUR0000SA0",'Data_NSA'!$1:$1,0))/INDEX('Data_NSA'!$A:$OK,MATCH(INDEX('Weights'!$E:$E,MATCH($A318,'Weights'!$A:$A,0)),'Data_NSA'!$A:$A,0),MATCH("CUUR0000SA0",'Data_NSA'!$1:$1,0))))*(INDEX('Data_SA'!$A:$LO,MATCH(O$2,'Data_SA'!$A:$A,0),MATCH($E318,'Data_SA'!$1:$1,0))/INDEX('Data_SA'!$A:$LO,MATCH(EDATE(O$2,-1),'Data_SA'!$A:$A,0),MATCH($E318,'Data_SA'!$1:$1,0))-1),""))</f>
        <v/>
      </c>
      <c r="U318" s="10">
        <f>IFERROR(INDEX('Data_NSA'!$A:$OK,MATCH(U$2,'Data_NSA'!$A:$A,0),MATCH($D318,'Data_NSA'!$1:$1,0)),"")</f>
        <v/>
      </c>
      <c r="V318" s="10">
        <f>IF($E318="","",IFERROR(INDEX('Data_SA'!$A:$LO,MATCH(U$2,'Data_SA'!$A:$A,0),MATCH($E318,'Data_SA'!$1:$1,0)),""))</f>
        <v/>
      </c>
      <c r="W318" s="7">
        <f>IF($E318="","",IFERROR(INDEX('Data_SA'!$A:$LO,MATCH(U$2,'Data_SA'!$A:$A,0),MATCH($E318,'Data_SA'!$1:$1,0))/INDEX('Data_SA'!$A:$LO,MATCH(EDATE(U$2,-1),'Data_SA'!$A:$A,0),MATCH($E318,'Data_SA'!$1:$1,0))-1,""))</f>
        <v/>
      </c>
      <c r="X318" s="7">
        <f>IFERROR(INDEX('Data_NSA'!$A:$OK,MATCH(U$2,'Data_NSA'!$A:$A,0),MATCH($D318,'Data_NSA'!$1:$1,0))/INDEX('Data_NSA'!$A:$OK,MATCH(EDATE(U$2,-12),'Data_NSA'!$A:$A,0),MATCH($D318,'Data_NSA'!$1:$1,0))-1,"")</f>
        <v/>
      </c>
      <c r="Y318" s="10">
        <f>IFERROR(INDEX('Weights'!$G:$I,MATCH($A318,'Weights'!$A:$A,0),MATCH(U$2,'Weights'!$G$1:$I$1,0)),"")</f>
        <v/>
      </c>
      <c r="Z318" s="10">
        <f>IF($E318="","",IFERROR(100*(INDEX('Weights'!$D:$D,MATCH($A318,'Weights'!$A:$A,0))*(INDEX('Data_NSA'!$A:$OK,MATCH(EDATE(U$2,-1),'Data_NSA'!$A:$A,0),MATCH($D318,'Data_NSA'!$1:$1,0))/INDEX('Data_NSA'!$A:$OK,MATCH(INDEX('Weights'!$E:$E,MATCH($A318,'Weights'!$A:$A,0)),'Data_NSA'!$A:$A,0),MATCH($D318,'Data_NSA'!$1:$1,0))))/(100*(INDEX('Data_NSA'!$A:$OK,MATCH(EDATE(U$2,-1),'Data_NSA'!$A:$A,0),MATCH("CUUR0000SA0",'Data_NSA'!$1:$1,0))/INDEX('Data_NSA'!$A:$OK,MATCH(INDEX('Weights'!$E:$E,MATCH($A318,'Weights'!$A:$A,0)),'Data_NSA'!$A:$A,0),MATCH("CUUR0000SA0",'Data_NSA'!$1:$1,0))))*(INDEX('Data_SA'!$A:$LO,MATCH(U$2,'Data_SA'!$A:$A,0),MATCH($E318,'Data_SA'!$1:$1,0))/INDEX('Data_SA'!$A:$LO,MATCH(EDATE(U$2,-1),'Data_SA'!$A:$A,0),MATCH($E318,'Data_SA'!$1:$1,0))-1),""))</f>
        <v/>
      </c>
    </row>
    <row r="319">
      <c r="A319" s="3" t="inlineStr">
        <is>
          <t>SEEB01</t>
        </is>
      </c>
      <c r="B319" s="3" t="inlineStr">
        <is>
          <t>College tuition and fees</t>
        </is>
      </c>
      <c r="C319" s="3" t="inlineStr">
        <is>
          <t>SEEB</t>
        </is>
      </c>
      <c r="D319" s="3" t="inlineStr">
        <is>
          <t>CUUR0000SEEB01</t>
        </is>
      </c>
      <c r="E319" s="3" t="inlineStr">
        <is>
          <t>CUSR0000SEEB01</t>
        </is>
      </c>
      <c r="F319" s="3" t="inlineStr">
        <is>
          <t>GM</t>
        </is>
      </c>
      <c r="G319" s="3" t="inlineStr">
        <is>
          <t>annual repricing concentrated in Aug-Sep</t>
        </is>
      </c>
      <c r="H319" s="10">
        <f>IFERROR(INDEX(Weights!$D:$D,MATCH($A319,Weights!$A:$A,0)),"")</f>
        <v/>
      </c>
      <c r="I319" s="10">
        <f>IFERROR(INDEX('Data_NSA'!$A:$OK,MATCH(I$2,'Data_NSA'!$A:$A,0),MATCH($D319,'Data_NSA'!$1:$1,0)),"")</f>
        <v/>
      </c>
      <c r="J319" s="10">
        <f>IF($E319="","",IFERROR(INDEX('Data_SA'!$A:$LO,MATCH(I$2,'Data_SA'!$A:$A,0),MATCH($E319,'Data_SA'!$1:$1,0)),""))</f>
        <v/>
      </c>
      <c r="K319" s="7">
        <f>IF($E319="","",IFERROR(INDEX('Data_SA'!$A:$LO,MATCH(I$2,'Data_SA'!$A:$A,0),MATCH($E319,'Data_SA'!$1:$1,0))/INDEX('Data_SA'!$A:$LO,MATCH(EDATE(I$2,-1),'Data_SA'!$A:$A,0),MATCH($E319,'Data_SA'!$1:$1,0))-1,""))</f>
        <v/>
      </c>
      <c r="L319" s="7">
        <f>IFERROR(INDEX('Data_NSA'!$A:$OK,MATCH(I$2,'Data_NSA'!$A:$A,0),MATCH($D319,'Data_NSA'!$1:$1,0))/INDEX('Data_NSA'!$A:$OK,MATCH(EDATE(I$2,-12),'Data_NSA'!$A:$A,0),MATCH($D319,'Data_NSA'!$1:$1,0))-1,"")</f>
        <v/>
      </c>
      <c r="M319" s="10">
        <f>IFERROR(INDEX('Weights'!$G:$I,MATCH($A319,'Weights'!$A:$A,0),MATCH(I$2,'Weights'!$G$1:$I$1,0)),"")</f>
        <v/>
      </c>
      <c r="N319" s="10">
        <f>IF($E319="","",IFERROR(100*(INDEX('Weights'!$D:$D,MATCH($A319,'Weights'!$A:$A,0))*(INDEX('Data_NSA'!$A:$OK,MATCH(EDATE(I$2,-1),'Data_NSA'!$A:$A,0),MATCH($D319,'Data_NSA'!$1:$1,0))/INDEX('Data_NSA'!$A:$OK,MATCH(INDEX('Weights'!$E:$E,MATCH($A319,'Weights'!$A:$A,0)),'Data_NSA'!$A:$A,0),MATCH($D319,'Data_NSA'!$1:$1,0))))/(100*(INDEX('Data_NSA'!$A:$OK,MATCH(EDATE(I$2,-1),'Data_NSA'!$A:$A,0),MATCH("CUUR0000SA0",'Data_NSA'!$1:$1,0))/INDEX('Data_NSA'!$A:$OK,MATCH(INDEX('Weights'!$E:$E,MATCH($A319,'Weights'!$A:$A,0)),'Data_NSA'!$A:$A,0),MATCH("CUUR0000SA0",'Data_NSA'!$1:$1,0))))*(INDEX('Data_SA'!$A:$LO,MATCH(I$2,'Data_SA'!$A:$A,0),MATCH($E319,'Data_SA'!$1:$1,0))/INDEX('Data_SA'!$A:$LO,MATCH(EDATE(I$2,-1),'Data_SA'!$A:$A,0),MATCH($E319,'Data_SA'!$1:$1,0))-1),""))</f>
        <v/>
      </c>
      <c r="O319" s="10">
        <f>IFERROR(INDEX('Data_NSA'!$A:$OK,MATCH(O$2,'Data_NSA'!$A:$A,0),MATCH($D319,'Data_NSA'!$1:$1,0)),"")</f>
        <v/>
      </c>
      <c r="P319" s="10">
        <f>IF($E319="","",IFERROR(INDEX('Data_SA'!$A:$LO,MATCH(O$2,'Data_SA'!$A:$A,0),MATCH($E319,'Data_SA'!$1:$1,0)),""))</f>
        <v/>
      </c>
      <c r="Q319" s="7">
        <f>IF($E319="","",IFERROR(INDEX('Data_SA'!$A:$LO,MATCH(O$2,'Data_SA'!$A:$A,0),MATCH($E319,'Data_SA'!$1:$1,0))/INDEX('Data_SA'!$A:$LO,MATCH(EDATE(O$2,-1),'Data_SA'!$A:$A,0),MATCH($E319,'Data_SA'!$1:$1,0))-1,""))</f>
        <v/>
      </c>
      <c r="R319" s="7">
        <f>IFERROR(INDEX('Data_NSA'!$A:$OK,MATCH(O$2,'Data_NSA'!$A:$A,0),MATCH($D319,'Data_NSA'!$1:$1,0))/INDEX('Data_NSA'!$A:$OK,MATCH(EDATE(O$2,-12),'Data_NSA'!$A:$A,0),MATCH($D319,'Data_NSA'!$1:$1,0))-1,"")</f>
        <v/>
      </c>
      <c r="S319" s="10">
        <f>IFERROR(INDEX('Weights'!$G:$I,MATCH($A319,'Weights'!$A:$A,0),MATCH(O$2,'Weights'!$G$1:$I$1,0)),"")</f>
        <v/>
      </c>
      <c r="T319" s="10">
        <f>IF($E319="","",IFERROR(100*(INDEX('Weights'!$D:$D,MATCH($A319,'Weights'!$A:$A,0))*(INDEX('Data_NSA'!$A:$OK,MATCH(EDATE(O$2,-1),'Data_NSA'!$A:$A,0),MATCH($D319,'Data_NSA'!$1:$1,0))/INDEX('Data_NSA'!$A:$OK,MATCH(INDEX('Weights'!$E:$E,MATCH($A319,'Weights'!$A:$A,0)),'Data_NSA'!$A:$A,0),MATCH($D319,'Data_NSA'!$1:$1,0))))/(100*(INDEX('Data_NSA'!$A:$OK,MATCH(EDATE(O$2,-1),'Data_NSA'!$A:$A,0),MATCH("CUUR0000SA0",'Data_NSA'!$1:$1,0))/INDEX('Data_NSA'!$A:$OK,MATCH(INDEX('Weights'!$E:$E,MATCH($A319,'Weights'!$A:$A,0)),'Data_NSA'!$A:$A,0),MATCH("CUUR0000SA0",'Data_NSA'!$1:$1,0))))*(INDEX('Data_SA'!$A:$LO,MATCH(O$2,'Data_SA'!$A:$A,0),MATCH($E319,'Data_SA'!$1:$1,0))/INDEX('Data_SA'!$A:$LO,MATCH(EDATE(O$2,-1),'Data_SA'!$A:$A,0),MATCH($E319,'Data_SA'!$1:$1,0))-1),""))</f>
        <v/>
      </c>
      <c r="U319" s="10">
        <f>IFERROR(INDEX('Data_NSA'!$A:$OK,MATCH(U$2,'Data_NSA'!$A:$A,0),MATCH($D319,'Data_NSA'!$1:$1,0)),"")</f>
        <v/>
      </c>
      <c r="V319" s="10">
        <f>IF($E319="","",IFERROR(INDEX('Data_SA'!$A:$LO,MATCH(U$2,'Data_SA'!$A:$A,0),MATCH($E319,'Data_SA'!$1:$1,0)),""))</f>
        <v/>
      </c>
      <c r="W319" s="7">
        <f>IF($E319="","",IFERROR(INDEX('Data_SA'!$A:$LO,MATCH(U$2,'Data_SA'!$A:$A,0),MATCH($E319,'Data_SA'!$1:$1,0))/INDEX('Data_SA'!$A:$LO,MATCH(EDATE(U$2,-1),'Data_SA'!$A:$A,0),MATCH($E319,'Data_SA'!$1:$1,0))-1,""))</f>
        <v/>
      </c>
      <c r="X319" s="7">
        <f>IFERROR(INDEX('Data_NSA'!$A:$OK,MATCH(U$2,'Data_NSA'!$A:$A,0),MATCH($D319,'Data_NSA'!$1:$1,0))/INDEX('Data_NSA'!$A:$OK,MATCH(EDATE(U$2,-12),'Data_NSA'!$A:$A,0),MATCH($D319,'Data_NSA'!$1:$1,0))-1,"")</f>
        <v/>
      </c>
      <c r="Y319" s="10">
        <f>IFERROR(INDEX('Weights'!$G:$I,MATCH($A319,'Weights'!$A:$A,0),MATCH(U$2,'Weights'!$G$1:$I$1,0)),"")</f>
        <v/>
      </c>
      <c r="Z319" s="10">
        <f>IF($E319="","",IFERROR(100*(INDEX('Weights'!$D:$D,MATCH($A319,'Weights'!$A:$A,0))*(INDEX('Data_NSA'!$A:$OK,MATCH(EDATE(U$2,-1),'Data_NSA'!$A:$A,0),MATCH($D319,'Data_NSA'!$1:$1,0))/INDEX('Data_NSA'!$A:$OK,MATCH(INDEX('Weights'!$E:$E,MATCH($A319,'Weights'!$A:$A,0)),'Data_NSA'!$A:$A,0),MATCH($D319,'Data_NSA'!$1:$1,0))))/(100*(INDEX('Data_NSA'!$A:$OK,MATCH(EDATE(U$2,-1),'Data_NSA'!$A:$A,0),MATCH("CUUR0000SA0",'Data_NSA'!$1:$1,0))/INDEX('Data_NSA'!$A:$OK,MATCH(INDEX('Weights'!$E:$E,MATCH($A319,'Weights'!$A:$A,0)),'Data_NSA'!$A:$A,0),MATCH("CUUR0000SA0",'Data_NSA'!$1:$1,0))))*(INDEX('Data_SA'!$A:$LO,MATCH(U$2,'Data_SA'!$A:$A,0),MATCH($E319,'Data_SA'!$1:$1,0))/INDEX('Data_SA'!$A:$LO,MATCH(EDATE(U$2,-1),'Data_SA'!$A:$A,0),MATCH($E319,'Data_SA'!$1:$1,0))-1),""))</f>
        <v/>
      </c>
    </row>
    <row r="320">
      <c r="A320" s="3" t="inlineStr">
        <is>
          <t>SEEB02</t>
        </is>
      </c>
      <c r="B320" s="3" t="inlineStr">
        <is>
          <t>Elementary and high school tuition and fees</t>
        </is>
      </c>
      <c r="C320" s="3" t="inlineStr">
        <is>
          <t>SEEB</t>
        </is>
      </c>
      <c r="D320" s="3" t="inlineStr">
        <is>
          <t>CUUR0000SEEB02</t>
        </is>
      </c>
      <c r="E320" s="3" t="inlineStr">
        <is>
          <t>CUSR0000SEEB02</t>
        </is>
      </c>
      <c r="F320" s="3" t="inlineStr">
        <is>
          <t>GM</t>
        </is>
      </c>
      <c r="G320" s="3" t="inlineStr">
        <is>
          <t>monthly in New York/Los Angeles/Chicago; often bimonthly elsewhere</t>
        </is>
      </c>
      <c r="H320" s="10">
        <f>IFERROR(INDEX(Weights!$D:$D,MATCH($A320,Weights!$A:$A,0)),"")</f>
        <v/>
      </c>
      <c r="I320" s="10">
        <f>IFERROR(INDEX('Data_NSA'!$A:$OK,MATCH(I$2,'Data_NSA'!$A:$A,0),MATCH($D320,'Data_NSA'!$1:$1,0)),"")</f>
        <v/>
      </c>
      <c r="J320" s="10">
        <f>IF($E320="","",IFERROR(INDEX('Data_SA'!$A:$LO,MATCH(I$2,'Data_SA'!$A:$A,0),MATCH($E320,'Data_SA'!$1:$1,0)),""))</f>
        <v/>
      </c>
      <c r="K320" s="7">
        <f>IF($E320="","",IFERROR(INDEX('Data_SA'!$A:$LO,MATCH(I$2,'Data_SA'!$A:$A,0),MATCH($E320,'Data_SA'!$1:$1,0))/INDEX('Data_SA'!$A:$LO,MATCH(EDATE(I$2,-1),'Data_SA'!$A:$A,0),MATCH($E320,'Data_SA'!$1:$1,0))-1,""))</f>
        <v/>
      </c>
      <c r="L320" s="7">
        <f>IFERROR(INDEX('Data_NSA'!$A:$OK,MATCH(I$2,'Data_NSA'!$A:$A,0),MATCH($D320,'Data_NSA'!$1:$1,0))/INDEX('Data_NSA'!$A:$OK,MATCH(EDATE(I$2,-12),'Data_NSA'!$A:$A,0),MATCH($D320,'Data_NSA'!$1:$1,0))-1,"")</f>
        <v/>
      </c>
      <c r="M320" s="10">
        <f>IFERROR(INDEX('Weights'!$G:$I,MATCH($A320,'Weights'!$A:$A,0),MATCH(I$2,'Weights'!$G$1:$I$1,0)),"")</f>
        <v/>
      </c>
      <c r="N320" s="10">
        <f>IF($E320="","",IFERROR(100*(INDEX('Weights'!$D:$D,MATCH($A320,'Weights'!$A:$A,0))*(INDEX('Data_NSA'!$A:$OK,MATCH(EDATE(I$2,-1),'Data_NSA'!$A:$A,0),MATCH($D320,'Data_NSA'!$1:$1,0))/INDEX('Data_NSA'!$A:$OK,MATCH(INDEX('Weights'!$E:$E,MATCH($A320,'Weights'!$A:$A,0)),'Data_NSA'!$A:$A,0),MATCH($D320,'Data_NSA'!$1:$1,0))))/(100*(INDEX('Data_NSA'!$A:$OK,MATCH(EDATE(I$2,-1),'Data_NSA'!$A:$A,0),MATCH("CUUR0000SA0",'Data_NSA'!$1:$1,0))/INDEX('Data_NSA'!$A:$OK,MATCH(INDEX('Weights'!$E:$E,MATCH($A320,'Weights'!$A:$A,0)),'Data_NSA'!$A:$A,0),MATCH("CUUR0000SA0",'Data_NSA'!$1:$1,0))))*(INDEX('Data_SA'!$A:$LO,MATCH(I$2,'Data_SA'!$A:$A,0),MATCH($E320,'Data_SA'!$1:$1,0))/INDEX('Data_SA'!$A:$LO,MATCH(EDATE(I$2,-1),'Data_SA'!$A:$A,0),MATCH($E320,'Data_SA'!$1:$1,0))-1),""))</f>
        <v/>
      </c>
      <c r="O320" s="10">
        <f>IFERROR(INDEX('Data_NSA'!$A:$OK,MATCH(O$2,'Data_NSA'!$A:$A,0),MATCH($D320,'Data_NSA'!$1:$1,0)),"")</f>
        <v/>
      </c>
      <c r="P320" s="10">
        <f>IF($E320="","",IFERROR(INDEX('Data_SA'!$A:$LO,MATCH(O$2,'Data_SA'!$A:$A,0),MATCH($E320,'Data_SA'!$1:$1,0)),""))</f>
        <v/>
      </c>
      <c r="Q320" s="7">
        <f>IF($E320="","",IFERROR(INDEX('Data_SA'!$A:$LO,MATCH(O$2,'Data_SA'!$A:$A,0),MATCH($E320,'Data_SA'!$1:$1,0))/INDEX('Data_SA'!$A:$LO,MATCH(EDATE(O$2,-1),'Data_SA'!$A:$A,0),MATCH($E320,'Data_SA'!$1:$1,0))-1,""))</f>
        <v/>
      </c>
      <c r="R320" s="7">
        <f>IFERROR(INDEX('Data_NSA'!$A:$OK,MATCH(O$2,'Data_NSA'!$A:$A,0),MATCH($D320,'Data_NSA'!$1:$1,0))/INDEX('Data_NSA'!$A:$OK,MATCH(EDATE(O$2,-12),'Data_NSA'!$A:$A,0),MATCH($D320,'Data_NSA'!$1:$1,0))-1,"")</f>
        <v/>
      </c>
      <c r="S320" s="10">
        <f>IFERROR(INDEX('Weights'!$G:$I,MATCH($A320,'Weights'!$A:$A,0),MATCH(O$2,'Weights'!$G$1:$I$1,0)),"")</f>
        <v/>
      </c>
      <c r="T320" s="10">
        <f>IF($E320="","",IFERROR(100*(INDEX('Weights'!$D:$D,MATCH($A320,'Weights'!$A:$A,0))*(INDEX('Data_NSA'!$A:$OK,MATCH(EDATE(O$2,-1),'Data_NSA'!$A:$A,0),MATCH($D320,'Data_NSA'!$1:$1,0))/INDEX('Data_NSA'!$A:$OK,MATCH(INDEX('Weights'!$E:$E,MATCH($A320,'Weights'!$A:$A,0)),'Data_NSA'!$A:$A,0),MATCH($D320,'Data_NSA'!$1:$1,0))))/(100*(INDEX('Data_NSA'!$A:$OK,MATCH(EDATE(O$2,-1),'Data_NSA'!$A:$A,0),MATCH("CUUR0000SA0",'Data_NSA'!$1:$1,0))/INDEX('Data_NSA'!$A:$OK,MATCH(INDEX('Weights'!$E:$E,MATCH($A320,'Weights'!$A:$A,0)),'Data_NSA'!$A:$A,0),MATCH("CUUR0000SA0",'Data_NSA'!$1:$1,0))))*(INDEX('Data_SA'!$A:$LO,MATCH(O$2,'Data_SA'!$A:$A,0),MATCH($E320,'Data_SA'!$1:$1,0))/INDEX('Data_SA'!$A:$LO,MATCH(EDATE(O$2,-1),'Data_SA'!$A:$A,0),MATCH($E320,'Data_SA'!$1:$1,0))-1),""))</f>
        <v/>
      </c>
      <c r="U320" s="10">
        <f>IFERROR(INDEX('Data_NSA'!$A:$OK,MATCH(U$2,'Data_NSA'!$A:$A,0),MATCH($D320,'Data_NSA'!$1:$1,0)),"")</f>
        <v/>
      </c>
      <c r="V320" s="10">
        <f>IF($E320="","",IFERROR(INDEX('Data_SA'!$A:$LO,MATCH(U$2,'Data_SA'!$A:$A,0),MATCH($E320,'Data_SA'!$1:$1,0)),""))</f>
        <v/>
      </c>
      <c r="W320" s="7">
        <f>IF($E320="","",IFERROR(INDEX('Data_SA'!$A:$LO,MATCH(U$2,'Data_SA'!$A:$A,0),MATCH($E320,'Data_SA'!$1:$1,0))/INDEX('Data_SA'!$A:$LO,MATCH(EDATE(U$2,-1),'Data_SA'!$A:$A,0),MATCH($E320,'Data_SA'!$1:$1,0))-1,""))</f>
        <v/>
      </c>
      <c r="X320" s="7">
        <f>IFERROR(INDEX('Data_NSA'!$A:$OK,MATCH(U$2,'Data_NSA'!$A:$A,0),MATCH($D320,'Data_NSA'!$1:$1,0))/INDEX('Data_NSA'!$A:$OK,MATCH(EDATE(U$2,-12),'Data_NSA'!$A:$A,0),MATCH($D320,'Data_NSA'!$1:$1,0))-1,"")</f>
        <v/>
      </c>
      <c r="Y320" s="10">
        <f>IFERROR(INDEX('Weights'!$G:$I,MATCH($A320,'Weights'!$A:$A,0),MATCH(U$2,'Weights'!$G$1:$I$1,0)),"")</f>
        <v/>
      </c>
      <c r="Z320" s="10">
        <f>IF($E320="","",IFERROR(100*(INDEX('Weights'!$D:$D,MATCH($A320,'Weights'!$A:$A,0))*(INDEX('Data_NSA'!$A:$OK,MATCH(EDATE(U$2,-1),'Data_NSA'!$A:$A,0),MATCH($D320,'Data_NSA'!$1:$1,0))/INDEX('Data_NSA'!$A:$OK,MATCH(INDEX('Weights'!$E:$E,MATCH($A320,'Weights'!$A:$A,0)),'Data_NSA'!$A:$A,0),MATCH($D320,'Data_NSA'!$1:$1,0))))/(100*(INDEX('Data_NSA'!$A:$OK,MATCH(EDATE(U$2,-1),'Data_NSA'!$A:$A,0),MATCH("CUUR0000SA0",'Data_NSA'!$1:$1,0))/INDEX('Data_NSA'!$A:$OK,MATCH(INDEX('Weights'!$E:$E,MATCH($A320,'Weights'!$A:$A,0)),'Data_NSA'!$A:$A,0),MATCH("CUUR0000SA0",'Data_NSA'!$1:$1,0))))*(INDEX('Data_SA'!$A:$LO,MATCH(U$2,'Data_SA'!$A:$A,0),MATCH($E320,'Data_SA'!$1:$1,0))/INDEX('Data_SA'!$A:$LO,MATCH(EDATE(U$2,-1),'Data_SA'!$A:$A,0),MATCH($E320,'Data_SA'!$1:$1,0))-1),""))</f>
        <v/>
      </c>
    </row>
    <row r="321">
      <c r="A321" s="3" t="inlineStr">
        <is>
          <t>SEEB03</t>
        </is>
      </c>
      <c r="B321" s="3" t="inlineStr">
        <is>
          <t>Day care and preschool</t>
        </is>
      </c>
      <c r="C321" s="3" t="inlineStr">
        <is>
          <t>SEEB</t>
        </is>
      </c>
      <c r="D321" s="3" t="inlineStr">
        <is>
          <t>CUUR0000SEEB03</t>
        </is>
      </c>
      <c r="E321" s="3" t="inlineStr">
        <is>
          <t>CUSR0000SEEB03</t>
        </is>
      </c>
      <c r="F321" s="3" t="inlineStr">
        <is>
          <t>GM</t>
        </is>
      </c>
      <c r="G321" s="3" t="inlineStr">
        <is>
          <t>monthly in New York/Los Angeles/Chicago; often bimonthly elsewhere</t>
        </is>
      </c>
      <c r="H321" s="10">
        <f>IFERROR(INDEX(Weights!$D:$D,MATCH($A321,Weights!$A:$A,0)),"")</f>
        <v/>
      </c>
      <c r="I321" s="10">
        <f>IFERROR(INDEX('Data_NSA'!$A:$OK,MATCH(I$2,'Data_NSA'!$A:$A,0),MATCH($D321,'Data_NSA'!$1:$1,0)),"")</f>
        <v/>
      </c>
      <c r="J321" s="10">
        <f>IF($E321="","",IFERROR(INDEX('Data_SA'!$A:$LO,MATCH(I$2,'Data_SA'!$A:$A,0),MATCH($E321,'Data_SA'!$1:$1,0)),""))</f>
        <v/>
      </c>
      <c r="K321" s="7">
        <f>IF($E321="","",IFERROR(INDEX('Data_SA'!$A:$LO,MATCH(I$2,'Data_SA'!$A:$A,0),MATCH($E321,'Data_SA'!$1:$1,0))/INDEX('Data_SA'!$A:$LO,MATCH(EDATE(I$2,-1),'Data_SA'!$A:$A,0),MATCH($E321,'Data_SA'!$1:$1,0))-1,""))</f>
        <v/>
      </c>
      <c r="L321" s="7">
        <f>IFERROR(INDEX('Data_NSA'!$A:$OK,MATCH(I$2,'Data_NSA'!$A:$A,0),MATCH($D321,'Data_NSA'!$1:$1,0))/INDEX('Data_NSA'!$A:$OK,MATCH(EDATE(I$2,-12),'Data_NSA'!$A:$A,0),MATCH($D321,'Data_NSA'!$1:$1,0))-1,"")</f>
        <v/>
      </c>
      <c r="M321" s="10">
        <f>IFERROR(INDEX('Weights'!$G:$I,MATCH($A321,'Weights'!$A:$A,0),MATCH(I$2,'Weights'!$G$1:$I$1,0)),"")</f>
        <v/>
      </c>
      <c r="N321" s="10">
        <f>IF($E321="","",IFERROR(100*(INDEX('Weights'!$D:$D,MATCH($A321,'Weights'!$A:$A,0))*(INDEX('Data_NSA'!$A:$OK,MATCH(EDATE(I$2,-1),'Data_NSA'!$A:$A,0),MATCH($D321,'Data_NSA'!$1:$1,0))/INDEX('Data_NSA'!$A:$OK,MATCH(INDEX('Weights'!$E:$E,MATCH($A321,'Weights'!$A:$A,0)),'Data_NSA'!$A:$A,0),MATCH($D321,'Data_NSA'!$1:$1,0))))/(100*(INDEX('Data_NSA'!$A:$OK,MATCH(EDATE(I$2,-1),'Data_NSA'!$A:$A,0),MATCH("CUUR0000SA0",'Data_NSA'!$1:$1,0))/INDEX('Data_NSA'!$A:$OK,MATCH(INDEX('Weights'!$E:$E,MATCH($A321,'Weights'!$A:$A,0)),'Data_NSA'!$A:$A,0),MATCH("CUUR0000SA0",'Data_NSA'!$1:$1,0))))*(INDEX('Data_SA'!$A:$LO,MATCH(I$2,'Data_SA'!$A:$A,0),MATCH($E321,'Data_SA'!$1:$1,0))/INDEX('Data_SA'!$A:$LO,MATCH(EDATE(I$2,-1),'Data_SA'!$A:$A,0),MATCH($E321,'Data_SA'!$1:$1,0))-1),""))</f>
        <v/>
      </c>
      <c r="O321" s="10">
        <f>IFERROR(INDEX('Data_NSA'!$A:$OK,MATCH(O$2,'Data_NSA'!$A:$A,0),MATCH($D321,'Data_NSA'!$1:$1,0)),"")</f>
        <v/>
      </c>
      <c r="P321" s="10">
        <f>IF($E321="","",IFERROR(INDEX('Data_SA'!$A:$LO,MATCH(O$2,'Data_SA'!$A:$A,0),MATCH($E321,'Data_SA'!$1:$1,0)),""))</f>
        <v/>
      </c>
      <c r="Q321" s="7">
        <f>IF($E321="","",IFERROR(INDEX('Data_SA'!$A:$LO,MATCH(O$2,'Data_SA'!$A:$A,0),MATCH($E321,'Data_SA'!$1:$1,0))/INDEX('Data_SA'!$A:$LO,MATCH(EDATE(O$2,-1),'Data_SA'!$A:$A,0),MATCH($E321,'Data_SA'!$1:$1,0))-1,""))</f>
        <v/>
      </c>
      <c r="R321" s="7">
        <f>IFERROR(INDEX('Data_NSA'!$A:$OK,MATCH(O$2,'Data_NSA'!$A:$A,0),MATCH($D321,'Data_NSA'!$1:$1,0))/INDEX('Data_NSA'!$A:$OK,MATCH(EDATE(O$2,-12),'Data_NSA'!$A:$A,0),MATCH($D321,'Data_NSA'!$1:$1,0))-1,"")</f>
        <v/>
      </c>
      <c r="S321" s="10">
        <f>IFERROR(INDEX('Weights'!$G:$I,MATCH($A321,'Weights'!$A:$A,0),MATCH(O$2,'Weights'!$G$1:$I$1,0)),"")</f>
        <v/>
      </c>
      <c r="T321" s="10">
        <f>IF($E321="","",IFERROR(100*(INDEX('Weights'!$D:$D,MATCH($A321,'Weights'!$A:$A,0))*(INDEX('Data_NSA'!$A:$OK,MATCH(EDATE(O$2,-1),'Data_NSA'!$A:$A,0),MATCH($D321,'Data_NSA'!$1:$1,0))/INDEX('Data_NSA'!$A:$OK,MATCH(INDEX('Weights'!$E:$E,MATCH($A321,'Weights'!$A:$A,0)),'Data_NSA'!$A:$A,0),MATCH($D321,'Data_NSA'!$1:$1,0))))/(100*(INDEX('Data_NSA'!$A:$OK,MATCH(EDATE(O$2,-1),'Data_NSA'!$A:$A,0),MATCH("CUUR0000SA0",'Data_NSA'!$1:$1,0))/INDEX('Data_NSA'!$A:$OK,MATCH(INDEX('Weights'!$E:$E,MATCH($A321,'Weights'!$A:$A,0)),'Data_NSA'!$A:$A,0),MATCH("CUUR0000SA0",'Data_NSA'!$1:$1,0))))*(INDEX('Data_SA'!$A:$LO,MATCH(O$2,'Data_SA'!$A:$A,0),MATCH($E321,'Data_SA'!$1:$1,0))/INDEX('Data_SA'!$A:$LO,MATCH(EDATE(O$2,-1),'Data_SA'!$A:$A,0),MATCH($E321,'Data_SA'!$1:$1,0))-1),""))</f>
        <v/>
      </c>
      <c r="U321" s="10">
        <f>IFERROR(INDEX('Data_NSA'!$A:$OK,MATCH(U$2,'Data_NSA'!$A:$A,0),MATCH($D321,'Data_NSA'!$1:$1,0)),"")</f>
        <v/>
      </c>
      <c r="V321" s="10">
        <f>IF($E321="","",IFERROR(INDEX('Data_SA'!$A:$LO,MATCH(U$2,'Data_SA'!$A:$A,0),MATCH($E321,'Data_SA'!$1:$1,0)),""))</f>
        <v/>
      </c>
      <c r="W321" s="7">
        <f>IF($E321="","",IFERROR(INDEX('Data_SA'!$A:$LO,MATCH(U$2,'Data_SA'!$A:$A,0),MATCH($E321,'Data_SA'!$1:$1,0))/INDEX('Data_SA'!$A:$LO,MATCH(EDATE(U$2,-1),'Data_SA'!$A:$A,0),MATCH($E321,'Data_SA'!$1:$1,0))-1,""))</f>
        <v/>
      </c>
      <c r="X321" s="7">
        <f>IFERROR(INDEX('Data_NSA'!$A:$OK,MATCH(U$2,'Data_NSA'!$A:$A,0),MATCH($D321,'Data_NSA'!$1:$1,0))/INDEX('Data_NSA'!$A:$OK,MATCH(EDATE(U$2,-12),'Data_NSA'!$A:$A,0),MATCH($D321,'Data_NSA'!$1:$1,0))-1,"")</f>
        <v/>
      </c>
      <c r="Y321" s="10">
        <f>IFERROR(INDEX('Weights'!$G:$I,MATCH($A321,'Weights'!$A:$A,0),MATCH(U$2,'Weights'!$G$1:$I$1,0)),"")</f>
        <v/>
      </c>
      <c r="Z321" s="10">
        <f>IF($E321="","",IFERROR(100*(INDEX('Weights'!$D:$D,MATCH($A321,'Weights'!$A:$A,0))*(INDEX('Data_NSA'!$A:$OK,MATCH(EDATE(U$2,-1),'Data_NSA'!$A:$A,0),MATCH($D321,'Data_NSA'!$1:$1,0))/INDEX('Data_NSA'!$A:$OK,MATCH(INDEX('Weights'!$E:$E,MATCH($A321,'Weights'!$A:$A,0)),'Data_NSA'!$A:$A,0),MATCH($D321,'Data_NSA'!$1:$1,0))))/(100*(INDEX('Data_NSA'!$A:$OK,MATCH(EDATE(U$2,-1),'Data_NSA'!$A:$A,0),MATCH("CUUR0000SA0",'Data_NSA'!$1:$1,0))/INDEX('Data_NSA'!$A:$OK,MATCH(INDEX('Weights'!$E:$E,MATCH($A321,'Weights'!$A:$A,0)),'Data_NSA'!$A:$A,0),MATCH("CUUR0000SA0",'Data_NSA'!$1:$1,0))))*(INDEX('Data_SA'!$A:$LO,MATCH(U$2,'Data_SA'!$A:$A,0),MATCH($E321,'Data_SA'!$1:$1,0))/INDEX('Data_SA'!$A:$LO,MATCH(EDATE(U$2,-1),'Data_SA'!$A:$A,0),MATCH($E321,'Data_SA'!$1:$1,0))-1),""))</f>
        <v/>
      </c>
    </row>
    <row r="322">
      <c r="A322" s="3" t="inlineStr">
        <is>
          <t>SEEB04</t>
        </is>
      </c>
      <c r="B322" s="3" t="inlineStr">
        <is>
          <t>Technical and vocational school tuition and fixed fees</t>
        </is>
      </c>
      <c r="C322" s="3" t="inlineStr">
        <is>
          <t>SEEB</t>
        </is>
      </c>
      <c r="D322" s="3" t="inlineStr">
        <is>
          <t>CUUR0000SEEB04</t>
        </is>
      </c>
      <c r="E322" s="3" t="inlineStr">
        <is>
          <t>CUSR0000SEEB04</t>
        </is>
      </c>
      <c r="F322" s="3" t="inlineStr">
        <is>
          <t>GM</t>
        </is>
      </c>
      <c r="G322" s="3" t="inlineStr">
        <is>
          <t>monthly in New York/Los Angeles/Chicago; often bimonthly elsewhere</t>
        </is>
      </c>
      <c r="H322" s="10">
        <f>IFERROR(INDEX(Weights!$D:$D,MATCH($A322,Weights!$A:$A,0)),"")</f>
        <v/>
      </c>
      <c r="I322" s="10">
        <f>IFERROR(INDEX('Data_NSA'!$A:$OK,MATCH(I$2,'Data_NSA'!$A:$A,0),MATCH($D322,'Data_NSA'!$1:$1,0)),"")</f>
        <v/>
      </c>
      <c r="J322" s="10">
        <f>IF($E322="","",IFERROR(INDEX('Data_SA'!$A:$LO,MATCH(I$2,'Data_SA'!$A:$A,0),MATCH($E322,'Data_SA'!$1:$1,0)),""))</f>
        <v/>
      </c>
      <c r="K322" s="7">
        <f>IF($E322="","",IFERROR(INDEX('Data_SA'!$A:$LO,MATCH(I$2,'Data_SA'!$A:$A,0),MATCH($E322,'Data_SA'!$1:$1,0))/INDEX('Data_SA'!$A:$LO,MATCH(EDATE(I$2,-1),'Data_SA'!$A:$A,0),MATCH($E322,'Data_SA'!$1:$1,0))-1,""))</f>
        <v/>
      </c>
      <c r="L322" s="7">
        <f>IFERROR(INDEX('Data_NSA'!$A:$OK,MATCH(I$2,'Data_NSA'!$A:$A,0),MATCH($D322,'Data_NSA'!$1:$1,0))/INDEX('Data_NSA'!$A:$OK,MATCH(EDATE(I$2,-12),'Data_NSA'!$A:$A,0),MATCH($D322,'Data_NSA'!$1:$1,0))-1,"")</f>
        <v/>
      </c>
      <c r="M322" s="10">
        <f>IFERROR(INDEX('Weights'!$G:$I,MATCH($A322,'Weights'!$A:$A,0),MATCH(I$2,'Weights'!$G$1:$I$1,0)),"")</f>
        <v/>
      </c>
      <c r="N322" s="10">
        <f>IF($E322="","",IFERROR(100*(INDEX('Weights'!$D:$D,MATCH($A322,'Weights'!$A:$A,0))*(INDEX('Data_NSA'!$A:$OK,MATCH(EDATE(I$2,-1),'Data_NSA'!$A:$A,0),MATCH($D322,'Data_NSA'!$1:$1,0))/INDEX('Data_NSA'!$A:$OK,MATCH(INDEX('Weights'!$E:$E,MATCH($A322,'Weights'!$A:$A,0)),'Data_NSA'!$A:$A,0),MATCH($D322,'Data_NSA'!$1:$1,0))))/(100*(INDEX('Data_NSA'!$A:$OK,MATCH(EDATE(I$2,-1),'Data_NSA'!$A:$A,0),MATCH("CUUR0000SA0",'Data_NSA'!$1:$1,0))/INDEX('Data_NSA'!$A:$OK,MATCH(INDEX('Weights'!$E:$E,MATCH($A322,'Weights'!$A:$A,0)),'Data_NSA'!$A:$A,0),MATCH("CUUR0000SA0",'Data_NSA'!$1:$1,0))))*(INDEX('Data_SA'!$A:$LO,MATCH(I$2,'Data_SA'!$A:$A,0),MATCH($E322,'Data_SA'!$1:$1,0))/INDEX('Data_SA'!$A:$LO,MATCH(EDATE(I$2,-1),'Data_SA'!$A:$A,0),MATCH($E322,'Data_SA'!$1:$1,0))-1),""))</f>
        <v/>
      </c>
      <c r="O322" s="10">
        <f>IFERROR(INDEX('Data_NSA'!$A:$OK,MATCH(O$2,'Data_NSA'!$A:$A,0),MATCH($D322,'Data_NSA'!$1:$1,0)),"")</f>
        <v/>
      </c>
      <c r="P322" s="10">
        <f>IF($E322="","",IFERROR(INDEX('Data_SA'!$A:$LO,MATCH(O$2,'Data_SA'!$A:$A,0),MATCH($E322,'Data_SA'!$1:$1,0)),""))</f>
        <v/>
      </c>
      <c r="Q322" s="7">
        <f>IF($E322="","",IFERROR(INDEX('Data_SA'!$A:$LO,MATCH(O$2,'Data_SA'!$A:$A,0),MATCH($E322,'Data_SA'!$1:$1,0))/INDEX('Data_SA'!$A:$LO,MATCH(EDATE(O$2,-1),'Data_SA'!$A:$A,0),MATCH($E322,'Data_SA'!$1:$1,0))-1,""))</f>
        <v/>
      </c>
      <c r="R322" s="7">
        <f>IFERROR(INDEX('Data_NSA'!$A:$OK,MATCH(O$2,'Data_NSA'!$A:$A,0),MATCH($D322,'Data_NSA'!$1:$1,0))/INDEX('Data_NSA'!$A:$OK,MATCH(EDATE(O$2,-12),'Data_NSA'!$A:$A,0),MATCH($D322,'Data_NSA'!$1:$1,0))-1,"")</f>
        <v/>
      </c>
      <c r="S322" s="10">
        <f>IFERROR(INDEX('Weights'!$G:$I,MATCH($A322,'Weights'!$A:$A,0),MATCH(O$2,'Weights'!$G$1:$I$1,0)),"")</f>
        <v/>
      </c>
      <c r="T322" s="10">
        <f>IF($E322="","",IFERROR(100*(INDEX('Weights'!$D:$D,MATCH($A322,'Weights'!$A:$A,0))*(INDEX('Data_NSA'!$A:$OK,MATCH(EDATE(O$2,-1),'Data_NSA'!$A:$A,0),MATCH($D322,'Data_NSA'!$1:$1,0))/INDEX('Data_NSA'!$A:$OK,MATCH(INDEX('Weights'!$E:$E,MATCH($A322,'Weights'!$A:$A,0)),'Data_NSA'!$A:$A,0),MATCH($D322,'Data_NSA'!$1:$1,0))))/(100*(INDEX('Data_NSA'!$A:$OK,MATCH(EDATE(O$2,-1),'Data_NSA'!$A:$A,0),MATCH("CUUR0000SA0",'Data_NSA'!$1:$1,0))/INDEX('Data_NSA'!$A:$OK,MATCH(INDEX('Weights'!$E:$E,MATCH($A322,'Weights'!$A:$A,0)),'Data_NSA'!$A:$A,0),MATCH("CUUR0000SA0",'Data_NSA'!$1:$1,0))))*(INDEX('Data_SA'!$A:$LO,MATCH(O$2,'Data_SA'!$A:$A,0),MATCH($E322,'Data_SA'!$1:$1,0))/INDEX('Data_SA'!$A:$LO,MATCH(EDATE(O$2,-1),'Data_SA'!$A:$A,0),MATCH($E322,'Data_SA'!$1:$1,0))-1),""))</f>
        <v/>
      </c>
      <c r="U322" s="10">
        <f>IFERROR(INDEX('Data_NSA'!$A:$OK,MATCH(U$2,'Data_NSA'!$A:$A,0),MATCH($D322,'Data_NSA'!$1:$1,0)),"")</f>
        <v/>
      </c>
      <c r="V322" s="10">
        <f>IF($E322="","",IFERROR(INDEX('Data_SA'!$A:$LO,MATCH(U$2,'Data_SA'!$A:$A,0),MATCH($E322,'Data_SA'!$1:$1,0)),""))</f>
        <v/>
      </c>
      <c r="W322" s="7">
        <f>IF($E322="","",IFERROR(INDEX('Data_SA'!$A:$LO,MATCH(U$2,'Data_SA'!$A:$A,0),MATCH($E322,'Data_SA'!$1:$1,0))/INDEX('Data_SA'!$A:$LO,MATCH(EDATE(U$2,-1),'Data_SA'!$A:$A,0),MATCH($E322,'Data_SA'!$1:$1,0))-1,""))</f>
        <v/>
      </c>
      <c r="X322" s="7">
        <f>IFERROR(INDEX('Data_NSA'!$A:$OK,MATCH(U$2,'Data_NSA'!$A:$A,0),MATCH($D322,'Data_NSA'!$1:$1,0))/INDEX('Data_NSA'!$A:$OK,MATCH(EDATE(U$2,-12),'Data_NSA'!$A:$A,0),MATCH($D322,'Data_NSA'!$1:$1,0))-1,"")</f>
        <v/>
      </c>
      <c r="Y322" s="10">
        <f>IFERROR(INDEX('Weights'!$G:$I,MATCH($A322,'Weights'!$A:$A,0),MATCH(U$2,'Weights'!$G$1:$I$1,0)),"")</f>
        <v/>
      </c>
      <c r="Z322" s="10">
        <f>IF($E322="","",IFERROR(100*(INDEX('Weights'!$D:$D,MATCH($A322,'Weights'!$A:$A,0))*(INDEX('Data_NSA'!$A:$OK,MATCH(EDATE(U$2,-1),'Data_NSA'!$A:$A,0),MATCH($D322,'Data_NSA'!$1:$1,0))/INDEX('Data_NSA'!$A:$OK,MATCH(INDEX('Weights'!$E:$E,MATCH($A322,'Weights'!$A:$A,0)),'Data_NSA'!$A:$A,0),MATCH($D322,'Data_NSA'!$1:$1,0))))/(100*(INDEX('Data_NSA'!$A:$OK,MATCH(EDATE(U$2,-1),'Data_NSA'!$A:$A,0),MATCH("CUUR0000SA0",'Data_NSA'!$1:$1,0))/INDEX('Data_NSA'!$A:$OK,MATCH(INDEX('Weights'!$E:$E,MATCH($A322,'Weights'!$A:$A,0)),'Data_NSA'!$A:$A,0),MATCH("CUUR0000SA0",'Data_NSA'!$1:$1,0))))*(INDEX('Data_SA'!$A:$LO,MATCH(U$2,'Data_SA'!$A:$A,0),MATCH($E322,'Data_SA'!$1:$1,0))/INDEX('Data_SA'!$A:$LO,MATCH(EDATE(U$2,-1),'Data_SA'!$A:$A,0),MATCH($E322,'Data_SA'!$1:$1,0))-1),""))</f>
        <v/>
      </c>
    </row>
    <row r="323">
      <c r="A323" s="3" t="inlineStr">
        <is>
          <t>SAE2</t>
        </is>
      </c>
      <c r="B323" s="3" t="inlineStr">
        <is>
          <t>Communication</t>
        </is>
      </c>
      <c r="C323" s="3" t="inlineStr">
        <is>
          <t>SAE</t>
        </is>
      </c>
      <c r="D323" s="3" t="inlineStr">
        <is>
          <t>CUUR0000SAE2</t>
        </is>
      </c>
      <c r="E323" s="3" t="inlineStr">
        <is>
          <t>CUSR0000SAE2</t>
        </is>
      </c>
      <c r="F323" s="3" t="inlineStr">
        <is>
          <t>aggregate</t>
        </is>
      </c>
      <c r="G323" s="3" t="inlineStr">
        <is>
          <t>aggregate</t>
        </is>
      </c>
      <c r="H323" s="10">
        <f>IFERROR(INDEX(Weights!$D:$D,MATCH($A323,Weights!$A:$A,0)),"")</f>
        <v/>
      </c>
      <c r="I323" s="10">
        <f>IFERROR(INDEX('Data_NSA'!$A:$OK,MATCH(I$2,'Data_NSA'!$A:$A,0),MATCH($D323,'Data_NSA'!$1:$1,0)),"")</f>
        <v/>
      </c>
      <c r="J323" s="10">
        <f>IF($E323="","",IFERROR(INDEX('Data_SA'!$A:$LO,MATCH(I$2,'Data_SA'!$A:$A,0),MATCH($E323,'Data_SA'!$1:$1,0)),""))</f>
        <v/>
      </c>
      <c r="K323" s="7">
        <f>IF($E323="","",IFERROR(INDEX('Data_SA'!$A:$LO,MATCH(I$2,'Data_SA'!$A:$A,0),MATCH($E323,'Data_SA'!$1:$1,0))/INDEX('Data_SA'!$A:$LO,MATCH(EDATE(I$2,-1),'Data_SA'!$A:$A,0),MATCH($E323,'Data_SA'!$1:$1,0))-1,""))</f>
        <v/>
      </c>
      <c r="L323" s="7">
        <f>IFERROR(INDEX('Data_NSA'!$A:$OK,MATCH(I$2,'Data_NSA'!$A:$A,0),MATCH($D323,'Data_NSA'!$1:$1,0))/INDEX('Data_NSA'!$A:$OK,MATCH(EDATE(I$2,-12),'Data_NSA'!$A:$A,0),MATCH($D323,'Data_NSA'!$1:$1,0))-1,"")</f>
        <v/>
      </c>
      <c r="M323" s="10">
        <f>IFERROR(INDEX('Weights'!$G:$I,MATCH($A323,'Weights'!$A:$A,0),MATCH(I$2,'Weights'!$G$1:$I$1,0)),"")</f>
        <v/>
      </c>
      <c r="N323" s="10">
        <f>IF($E323="","",IFERROR(100*(INDEX('Weights'!$D:$D,MATCH($A323,'Weights'!$A:$A,0))*(INDEX('Data_NSA'!$A:$OK,MATCH(EDATE(I$2,-1),'Data_NSA'!$A:$A,0),MATCH($D323,'Data_NSA'!$1:$1,0))/INDEX('Data_NSA'!$A:$OK,MATCH(INDEX('Weights'!$E:$E,MATCH($A323,'Weights'!$A:$A,0)),'Data_NSA'!$A:$A,0),MATCH($D323,'Data_NSA'!$1:$1,0))))/(100*(INDEX('Data_NSA'!$A:$OK,MATCH(EDATE(I$2,-1),'Data_NSA'!$A:$A,0),MATCH("CUUR0000SA0",'Data_NSA'!$1:$1,0))/INDEX('Data_NSA'!$A:$OK,MATCH(INDEX('Weights'!$E:$E,MATCH($A323,'Weights'!$A:$A,0)),'Data_NSA'!$A:$A,0),MATCH("CUUR0000SA0",'Data_NSA'!$1:$1,0))))*(INDEX('Data_SA'!$A:$LO,MATCH(I$2,'Data_SA'!$A:$A,0),MATCH($E323,'Data_SA'!$1:$1,0))/INDEX('Data_SA'!$A:$LO,MATCH(EDATE(I$2,-1),'Data_SA'!$A:$A,0),MATCH($E323,'Data_SA'!$1:$1,0))-1),""))</f>
        <v/>
      </c>
      <c r="O323" s="10">
        <f>IFERROR(INDEX('Data_NSA'!$A:$OK,MATCH(O$2,'Data_NSA'!$A:$A,0),MATCH($D323,'Data_NSA'!$1:$1,0)),"")</f>
        <v/>
      </c>
      <c r="P323" s="10">
        <f>IF($E323="","",IFERROR(INDEX('Data_SA'!$A:$LO,MATCH(O$2,'Data_SA'!$A:$A,0),MATCH($E323,'Data_SA'!$1:$1,0)),""))</f>
        <v/>
      </c>
      <c r="Q323" s="7">
        <f>IF($E323="","",IFERROR(INDEX('Data_SA'!$A:$LO,MATCH(O$2,'Data_SA'!$A:$A,0),MATCH($E323,'Data_SA'!$1:$1,0))/INDEX('Data_SA'!$A:$LO,MATCH(EDATE(O$2,-1),'Data_SA'!$A:$A,0),MATCH($E323,'Data_SA'!$1:$1,0))-1,""))</f>
        <v/>
      </c>
      <c r="R323" s="7">
        <f>IFERROR(INDEX('Data_NSA'!$A:$OK,MATCH(O$2,'Data_NSA'!$A:$A,0),MATCH($D323,'Data_NSA'!$1:$1,0))/INDEX('Data_NSA'!$A:$OK,MATCH(EDATE(O$2,-12),'Data_NSA'!$A:$A,0),MATCH($D323,'Data_NSA'!$1:$1,0))-1,"")</f>
        <v/>
      </c>
      <c r="S323" s="10">
        <f>IFERROR(INDEX('Weights'!$G:$I,MATCH($A323,'Weights'!$A:$A,0),MATCH(O$2,'Weights'!$G$1:$I$1,0)),"")</f>
        <v/>
      </c>
      <c r="T323" s="10">
        <f>IF($E323="","",IFERROR(100*(INDEX('Weights'!$D:$D,MATCH($A323,'Weights'!$A:$A,0))*(INDEX('Data_NSA'!$A:$OK,MATCH(EDATE(O$2,-1),'Data_NSA'!$A:$A,0),MATCH($D323,'Data_NSA'!$1:$1,0))/INDEX('Data_NSA'!$A:$OK,MATCH(INDEX('Weights'!$E:$E,MATCH($A323,'Weights'!$A:$A,0)),'Data_NSA'!$A:$A,0),MATCH($D323,'Data_NSA'!$1:$1,0))))/(100*(INDEX('Data_NSA'!$A:$OK,MATCH(EDATE(O$2,-1),'Data_NSA'!$A:$A,0),MATCH("CUUR0000SA0",'Data_NSA'!$1:$1,0))/INDEX('Data_NSA'!$A:$OK,MATCH(INDEX('Weights'!$E:$E,MATCH($A323,'Weights'!$A:$A,0)),'Data_NSA'!$A:$A,0),MATCH("CUUR0000SA0",'Data_NSA'!$1:$1,0))))*(INDEX('Data_SA'!$A:$LO,MATCH(O$2,'Data_SA'!$A:$A,0),MATCH($E323,'Data_SA'!$1:$1,0))/INDEX('Data_SA'!$A:$LO,MATCH(EDATE(O$2,-1),'Data_SA'!$A:$A,0),MATCH($E323,'Data_SA'!$1:$1,0))-1),""))</f>
        <v/>
      </c>
      <c r="U323" s="10">
        <f>IFERROR(INDEX('Data_NSA'!$A:$OK,MATCH(U$2,'Data_NSA'!$A:$A,0),MATCH($D323,'Data_NSA'!$1:$1,0)),"")</f>
        <v/>
      </c>
      <c r="V323" s="10">
        <f>IF($E323="","",IFERROR(INDEX('Data_SA'!$A:$LO,MATCH(U$2,'Data_SA'!$A:$A,0),MATCH($E323,'Data_SA'!$1:$1,0)),""))</f>
        <v/>
      </c>
      <c r="W323" s="7">
        <f>IF($E323="","",IFERROR(INDEX('Data_SA'!$A:$LO,MATCH(U$2,'Data_SA'!$A:$A,0),MATCH($E323,'Data_SA'!$1:$1,0))/INDEX('Data_SA'!$A:$LO,MATCH(EDATE(U$2,-1),'Data_SA'!$A:$A,0),MATCH($E323,'Data_SA'!$1:$1,0))-1,""))</f>
        <v/>
      </c>
      <c r="X323" s="7">
        <f>IFERROR(INDEX('Data_NSA'!$A:$OK,MATCH(U$2,'Data_NSA'!$A:$A,0),MATCH($D323,'Data_NSA'!$1:$1,0))/INDEX('Data_NSA'!$A:$OK,MATCH(EDATE(U$2,-12),'Data_NSA'!$A:$A,0),MATCH($D323,'Data_NSA'!$1:$1,0))-1,"")</f>
        <v/>
      </c>
      <c r="Y323" s="10">
        <f>IFERROR(INDEX('Weights'!$G:$I,MATCH($A323,'Weights'!$A:$A,0),MATCH(U$2,'Weights'!$G$1:$I$1,0)),"")</f>
        <v/>
      </c>
      <c r="Z323" s="10">
        <f>IF($E323="","",IFERROR(100*(INDEX('Weights'!$D:$D,MATCH($A323,'Weights'!$A:$A,0))*(INDEX('Data_NSA'!$A:$OK,MATCH(EDATE(U$2,-1),'Data_NSA'!$A:$A,0),MATCH($D323,'Data_NSA'!$1:$1,0))/INDEX('Data_NSA'!$A:$OK,MATCH(INDEX('Weights'!$E:$E,MATCH($A323,'Weights'!$A:$A,0)),'Data_NSA'!$A:$A,0),MATCH($D323,'Data_NSA'!$1:$1,0))))/(100*(INDEX('Data_NSA'!$A:$OK,MATCH(EDATE(U$2,-1),'Data_NSA'!$A:$A,0),MATCH("CUUR0000SA0",'Data_NSA'!$1:$1,0))/INDEX('Data_NSA'!$A:$OK,MATCH(INDEX('Weights'!$E:$E,MATCH($A323,'Weights'!$A:$A,0)),'Data_NSA'!$A:$A,0),MATCH("CUUR0000SA0",'Data_NSA'!$1:$1,0))))*(INDEX('Data_SA'!$A:$LO,MATCH(U$2,'Data_SA'!$A:$A,0),MATCH($E323,'Data_SA'!$1:$1,0))/INDEX('Data_SA'!$A:$LO,MATCH(EDATE(U$2,-1),'Data_SA'!$A:$A,0),MATCH($E323,'Data_SA'!$1:$1,0))-1),""))</f>
        <v/>
      </c>
    </row>
    <row r="324">
      <c r="A324" s="3" t="inlineStr">
        <is>
          <t>SEEC</t>
        </is>
      </c>
      <c r="B324" s="3" t="inlineStr">
        <is>
          <t>Postage and delivery services</t>
        </is>
      </c>
      <c r="C324" s="3" t="inlineStr">
        <is>
          <t>SAE2</t>
        </is>
      </c>
      <c r="D324" s="3" t="inlineStr">
        <is>
          <t>CUUR0000SEEC</t>
        </is>
      </c>
      <c r="E324" s="3" t="inlineStr">
        <is>
          <t>CUSR0000SEEC</t>
        </is>
      </c>
      <c r="F324" s="3" t="inlineStr">
        <is>
          <t>aggregate</t>
        </is>
      </c>
      <c r="G324" s="3" t="inlineStr">
        <is>
          <t>aggregate</t>
        </is>
      </c>
      <c r="H324" s="10">
        <f>IFERROR(INDEX(Weights!$D:$D,MATCH($A324,Weights!$A:$A,0)),"")</f>
        <v/>
      </c>
      <c r="I324" s="10">
        <f>IFERROR(INDEX('Data_NSA'!$A:$OK,MATCH(I$2,'Data_NSA'!$A:$A,0),MATCH($D324,'Data_NSA'!$1:$1,0)),"")</f>
        <v/>
      </c>
      <c r="J324" s="10">
        <f>IF($E324="","",IFERROR(INDEX('Data_SA'!$A:$LO,MATCH(I$2,'Data_SA'!$A:$A,0),MATCH($E324,'Data_SA'!$1:$1,0)),""))</f>
        <v/>
      </c>
      <c r="K324" s="7">
        <f>IF($E324="","",IFERROR(INDEX('Data_SA'!$A:$LO,MATCH(I$2,'Data_SA'!$A:$A,0),MATCH($E324,'Data_SA'!$1:$1,0))/INDEX('Data_SA'!$A:$LO,MATCH(EDATE(I$2,-1),'Data_SA'!$A:$A,0),MATCH($E324,'Data_SA'!$1:$1,0))-1,""))</f>
        <v/>
      </c>
      <c r="L324" s="7">
        <f>IFERROR(INDEX('Data_NSA'!$A:$OK,MATCH(I$2,'Data_NSA'!$A:$A,0),MATCH($D324,'Data_NSA'!$1:$1,0))/INDEX('Data_NSA'!$A:$OK,MATCH(EDATE(I$2,-12),'Data_NSA'!$A:$A,0),MATCH($D324,'Data_NSA'!$1:$1,0))-1,"")</f>
        <v/>
      </c>
      <c r="M324" s="10">
        <f>IFERROR(INDEX('Weights'!$G:$I,MATCH($A324,'Weights'!$A:$A,0),MATCH(I$2,'Weights'!$G$1:$I$1,0)),"")</f>
        <v/>
      </c>
      <c r="N324" s="10">
        <f>IF($E324="","",IFERROR(100*(INDEX('Weights'!$D:$D,MATCH($A324,'Weights'!$A:$A,0))*(INDEX('Data_NSA'!$A:$OK,MATCH(EDATE(I$2,-1),'Data_NSA'!$A:$A,0),MATCH($D324,'Data_NSA'!$1:$1,0))/INDEX('Data_NSA'!$A:$OK,MATCH(INDEX('Weights'!$E:$E,MATCH($A324,'Weights'!$A:$A,0)),'Data_NSA'!$A:$A,0),MATCH($D324,'Data_NSA'!$1:$1,0))))/(100*(INDEX('Data_NSA'!$A:$OK,MATCH(EDATE(I$2,-1),'Data_NSA'!$A:$A,0),MATCH("CUUR0000SA0",'Data_NSA'!$1:$1,0))/INDEX('Data_NSA'!$A:$OK,MATCH(INDEX('Weights'!$E:$E,MATCH($A324,'Weights'!$A:$A,0)),'Data_NSA'!$A:$A,0),MATCH("CUUR0000SA0",'Data_NSA'!$1:$1,0))))*(INDEX('Data_SA'!$A:$LO,MATCH(I$2,'Data_SA'!$A:$A,0),MATCH($E324,'Data_SA'!$1:$1,0))/INDEX('Data_SA'!$A:$LO,MATCH(EDATE(I$2,-1),'Data_SA'!$A:$A,0),MATCH($E324,'Data_SA'!$1:$1,0))-1),""))</f>
        <v/>
      </c>
      <c r="O324" s="10">
        <f>IFERROR(INDEX('Data_NSA'!$A:$OK,MATCH(O$2,'Data_NSA'!$A:$A,0),MATCH($D324,'Data_NSA'!$1:$1,0)),"")</f>
        <v/>
      </c>
      <c r="P324" s="10">
        <f>IF($E324="","",IFERROR(INDEX('Data_SA'!$A:$LO,MATCH(O$2,'Data_SA'!$A:$A,0),MATCH($E324,'Data_SA'!$1:$1,0)),""))</f>
        <v/>
      </c>
      <c r="Q324" s="7">
        <f>IF($E324="","",IFERROR(INDEX('Data_SA'!$A:$LO,MATCH(O$2,'Data_SA'!$A:$A,0),MATCH($E324,'Data_SA'!$1:$1,0))/INDEX('Data_SA'!$A:$LO,MATCH(EDATE(O$2,-1),'Data_SA'!$A:$A,0),MATCH($E324,'Data_SA'!$1:$1,0))-1,""))</f>
        <v/>
      </c>
      <c r="R324" s="7">
        <f>IFERROR(INDEX('Data_NSA'!$A:$OK,MATCH(O$2,'Data_NSA'!$A:$A,0),MATCH($D324,'Data_NSA'!$1:$1,0))/INDEX('Data_NSA'!$A:$OK,MATCH(EDATE(O$2,-12),'Data_NSA'!$A:$A,0),MATCH($D324,'Data_NSA'!$1:$1,0))-1,"")</f>
        <v/>
      </c>
      <c r="S324" s="10">
        <f>IFERROR(INDEX('Weights'!$G:$I,MATCH($A324,'Weights'!$A:$A,0),MATCH(O$2,'Weights'!$G$1:$I$1,0)),"")</f>
        <v/>
      </c>
      <c r="T324" s="10">
        <f>IF($E324="","",IFERROR(100*(INDEX('Weights'!$D:$D,MATCH($A324,'Weights'!$A:$A,0))*(INDEX('Data_NSA'!$A:$OK,MATCH(EDATE(O$2,-1),'Data_NSA'!$A:$A,0),MATCH($D324,'Data_NSA'!$1:$1,0))/INDEX('Data_NSA'!$A:$OK,MATCH(INDEX('Weights'!$E:$E,MATCH($A324,'Weights'!$A:$A,0)),'Data_NSA'!$A:$A,0),MATCH($D324,'Data_NSA'!$1:$1,0))))/(100*(INDEX('Data_NSA'!$A:$OK,MATCH(EDATE(O$2,-1),'Data_NSA'!$A:$A,0),MATCH("CUUR0000SA0",'Data_NSA'!$1:$1,0))/INDEX('Data_NSA'!$A:$OK,MATCH(INDEX('Weights'!$E:$E,MATCH($A324,'Weights'!$A:$A,0)),'Data_NSA'!$A:$A,0),MATCH("CUUR0000SA0",'Data_NSA'!$1:$1,0))))*(INDEX('Data_SA'!$A:$LO,MATCH(O$2,'Data_SA'!$A:$A,0),MATCH($E324,'Data_SA'!$1:$1,0))/INDEX('Data_SA'!$A:$LO,MATCH(EDATE(O$2,-1),'Data_SA'!$A:$A,0),MATCH($E324,'Data_SA'!$1:$1,0))-1),""))</f>
        <v/>
      </c>
      <c r="U324" s="10">
        <f>IFERROR(INDEX('Data_NSA'!$A:$OK,MATCH(U$2,'Data_NSA'!$A:$A,0),MATCH($D324,'Data_NSA'!$1:$1,0)),"")</f>
        <v/>
      </c>
      <c r="V324" s="10">
        <f>IF($E324="","",IFERROR(INDEX('Data_SA'!$A:$LO,MATCH(U$2,'Data_SA'!$A:$A,0),MATCH($E324,'Data_SA'!$1:$1,0)),""))</f>
        <v/>
      </c>
      <c r="W324" s="7">
        <f>IF($E324="","",IFERROR(INDEX('Data_SA'!$A:$LO,MATCH(U$2,'Data_SA'!$A:$A,0),MATCH($E324,'Data_SA'!$1:$1,0))/INDEX('Data_SA'!$A:$LO,MATCH(EDATE(U$2,-1),'Data_SA'!$A:$A,0),MATCH($E324,'Data_SA'!$1:$1,0))-1,""))</f>
        <v/>
      </c>
      <c r="X324" s="7">
        <f>IFERROR(INDEX('Data_NSA'!$A:$OK,MATCH(U$2,'Data_NSA'!$A:$A,0),MATCH($D324,'Data_NSA'!$1:$1,0))/INDEX('Data_NSA'!$A:$OK,MATCH(EDATE(U$2,-12),'Data_NSA'!$A:$A,0),MATCH($D324,'Data_NSA'!$1:$1,0))-1,"")</f>
        <v/>
      </c>
      <c r="Y324" s="10">
        <f>IFERROR(INDEX('Weights'!$G:$I,MATCH($A324,'Weights'!$A:$A,0),MATCH(U$2,'Weights'!$G$1:$I$1,0)),"")</f>
        <v/>
      </c>
      <c r="Z324" s="10">
        <f>IF($E324="","",IFERROR(100*(INDEX('Weights'!$D:$D,MATCH($A324,'Weights'!$A:$A,0))*(INDEX('Data_NSA'!$A:$OK,MATCH(EDATE(U$2,-1),'Data_NSA'!$A:$A,0),MATCH($D324,'Data_NSA'!$1:$1,0))/INDEX('Data_NSA'!$A:$OK,MATCH(INDEX('Weights'!$E:$E,MATCH($A324,'Weights'!$A:$A,0)),'Data_NSA'!$A:$A,0),MATCH($D324,'Data_NSA'!$1:$1,0))))/(100*(INDEX('Data_NSA'!$A:$OK,MATCH(EDATE(U$2,-1),'Data_NSA'!$A:$A,0),MATCH("CUUR0000SA0",'Data_NSA'!$1:$1,0))/INDEX('Data_NSA'!$A:$OK,MATCH(INDEX('Weights'!$E:$E,MATCH($A324,'Weights'!$A:$A,0)),'Data_NSA'!$A:$A,0),MATCH("CUUR0000SA0",'Data_NSA'!$1:$1,0))))*(INDEX('Data_SA'!$A:$LO,MATCH(U$2,'Data_SA'!$A:$A,0),MATCH($E324,'Data_SA'!$1:$1,0))/INDEX('Data_SA'!$A:$LO,MATCH(EDATE(U$2,-1),'Data_SA'!$A:$A,0),MATCH($E324,'Data_SA'!$1:$1,0))-1),""))</f>
        <v/>
      </c>
    </row>
    <row r="325">
      <c r="A325" s="3" t="inlineStr">
        <is>
          <t>SEEC01</t>
        </is>
      </c>
      <c r="B325" s="3" t="inlineStr">
        <is>
          <t>Postage</t>
        </is>
      </c>
      <c r="C325" s="3" t="inlineStr">
        <is>
          <t>SEEC</t>
        </is>
      </c>
      <c r="D325" s="3" t="inlineStr">
        <is>
          <t>CUUR0000SEEC01</t>
        </is>
      </c>
      <c r="E325" s="3" t="inlineStr">
        <is>
          <t>CUSR0000SEEC01</t>
        </is>
      </c>
      <c r="F325" s="3" t="inlineStr">
        <is>
          <t>GM</t>
        </is>
      </c>
      <c r="G325" s="3" t="inlineStr">
        <is>
          <t>monthly in New York/Los Angeles/Chicago; often bimonthly elsewhere</t>
        </is>
      </c>
      <c r="H325" s="10">
        <f>IFERROR(INDEX(Weights!$D:$D,MATCH($A325,Weights!$A:$A,0)),"")</f>
        <v/>
      </c>
      <c r="I325" s="10">
        <f>IFERROR(INDEX('Data_NSA'!$A:$OK,MATCH(I$2,'Data_NSA'!$A:$A,0),MATCH($D325,'Data_NSA'!$1:$1,0)),"")</f>
        <v/>
      </c>
      <c r="J325" s="10">
        <f>IF($E325="","",IFERROR(INDEX('Data_SA'!$A:$LO,MATCH(I$2,'Data_SA'!$A:$A,0),MATCH($E325,'Data_SA'!$1:$1,0)),""))</f>
        <v/>
      </c>
      <c r="K325" s="7">
        <f>IF($E325="","",IFERROR(INDEX('Data_SA'!$A:$LO,MATCH(I$2,'Data_SA'!$A:$A,0),MATCH($E325,'Data_SA'!$1:$1,0))/INDEX('Data_SA'!$A:$LO,MATCH(EDATE(I$2,-1),'Data_SA'!$A:$A,0),MATCH($E325,'Data_SA'!$1:$1,0))-1,""))</f>
        <v/>
      </c>
      <c r="L325" s="7">
        <f>IFERROR(INDEX('Data_NSA'!$A:$OK,MATCH(I$2,'Data_NSA'!$A:$A,0),MATCH($D325,'Data_NSA'!$1:$1,0))/INDEX('Data_NSA'!$A:$OK,MATCH(EDATE(I$2,-12),'Data_NSA'!$A:$A,0),MATCH($D325,'Data_NSA'!$1:$1,0))-1,"")</f>
        <v/>
      </c>
      <c r="M325" s="10">
        <f>IFERROR(INDEX('Weights'!$G:$I,MATCH($A325,'Weights'!$A:$A,0),MATCH(I$2,'Weights'!$G$1:$I$1,0)),"")</f>
        <v/>
      </c>
      <c r="N325" s="10">
        <f>IF($E325="","",IFERROR(100*(INDEX('Weights'!$D:$D,MATCH($A325,'Weights'!$A:$A,0))*(INDEX('Data_NSA'!$A:$OK,MATCH(EDATE(I$2,-1),'Data_NSA'!$A:$A,0),MATCH($D325,'Data_NSA'!$1:$1,0))/INDEX('Data_NSA'!$A:$OK,MATCH(INDEX('Weights'!$E:$E,MATCH($A325,'Weights'!$A:$A,0)),'Data_NSA'!$A:$A,0),MATCH($D325,'Data_NSA'!$1:$1,0))))/(100*(INDEX('Data_NSA'!$A:$OK,MATCH(EDATE(I$2,-1),'Data_NSA'!$A:$A,0),MATCH("CUUR0000SA0",'Data_NSA'!$1:$1,0))/INDEX('Data_NSA'!$A:$OK,MATCH(INDEX('Weights'!$E:$E,MATCH($A325,'Weights'!$A:$A,0)),'Data_NSA'!$A:$A,0),MATCH("CUUR0000SA0",'Data_NSA'!$1:$1,0))))*(INDEX('Data_SA'!$A:$LO,MATCH(I$2,'Data_SA'!$A:$A,0),MATCH($E325,'Data_SA'!$1:$1,0))/INDEX('Data_SA'!$A:$LO,MATCH(EDATE(I$2,-1),'Data_SA'!$A:$A,0),MATCH($E325,'Data_SA'!$1:$1,0))-1),""))</f>
        <v/>
      </c>
      <c r="O325" s="10">
        <f>IFERROR(INDEX('Data_NSA'!$A:$OK,MATCH(O$2,'Data_NSA'!$A:$A,0),MATCH($D325,'Data_NSA'!$1:$1,0)),"")</f>
        <v/>
      </c>
      <c r="P325" s="10">
        <f>IF($E325="","",IFERROR(INDEX('Data_SA'!$A:$LO,MATCH(O$2,'Data_SA'!$A:$A,0),MATCH($E325,'Data_SA'!$1:$1,0)),""))</f>
        <v/>
      </c>
      <c r="Q325" s="7">
        <f>IF($E325="","",IFERROR(INDEX('Data_SA'!$A:$LO,MATCH(O$2,'Data_SA'!$A:$A,0),MATCH($E325,'Data_SA'!$1:$1,0))/INDEX('Data_SA'!$A:$LO,MATCH(EDATE(O$2,-1),'Data_SA'!$A:$A,0),MATCH($E325,'Data_SA'!$1:$1,0))-1,""))</f>
        <v/>
      </c>
      <c r="R325" s="7">
        <f>IFERROR(INDEX('Data_NSA'!$A:$OK,MATCH(O$2,'Data_NSA'!$A:$A,0),MATCH($D325,'Data_NSA'!$1:$1,0))/INDEX('Data_NSA'!$A:$OK,MATCH(EDATE(O$2,-12),'Data_NSA'!$A:$A,0),MATCH($D325,'Data_NSA'!$1:$1,0))-1,"")</f>
        <v/>
      </c>
      <c r="S325" s="10">
        <f>IFERROR(INDEX('Weights'!$G:$I,MATCH($A325,'Weights'!$A:$A,0),MATCH(O$2,'Weights'!$G$1:$I$1,0)),"")</f>
        <v/>
      </c>
      <c r="T325" s="10">
        <f>IF($E325="","",IFERROR(100*(INDEX('Weights'!$D:$D,MATCH($A325,'Weights'!$A:$A,0))*(INDEX('Data_NSA'!$A:$OK,MATCH(EDATE(O$2,-1),'Data_NSA'!$A:$A,0),MATCH($D325,'Data_NSA'!$1:$1,0))/INDEX('Data_NSA'!$A:$OK,MATCH(INDEX('Weights'!$E:$E,MATCH($A325,'Weights'!$A:$A,0)),'Data_NSA'!$A:$A,0),MATCH($D325,'Data_NSA'!$1:$1,0))))/(100*(INDEX('Data_NSA'!$A:$OK,MATCH(EDATE(O$2,-1),'Data_NSA'!$A:$A,0),MATCH("CUUR0000SA0",'Data_NSA'!$1:$1,0))/INDEX('Data_NSA'!$A:$OK,MATCH(INDEX('Weights'!$E:$E,MATCH($A325,'Weights'!$A:$A,0)),'Data_NSA'!$A:$A,0),MATCH("CUUR0000SA0",'Data_NSA'!$1:$1,0))))*(INDEX('Data_SA'!$A:$LO,MATCH(O$2,'Data_SA'!$A:$A,0),MATCH($E325,'Data_SA'!$1:$1,0))/INDEX('Data_SA'!$A:$LO,MATCH(EDATE(O$2,-1),'Data_SA'!$A:$A,0),MATCH($E325,'Data_SA'!$1:$1,0))-1),""))</f>
        <v/>
      </c>
      <c r="U325" s="10">
        <f>IFERROR(INDEX('Data_NSA'!$A:$OK,MATCH(U$2,'Data_NSA'!$A:$A,0),MATCH($D325,'Data_NSA'!$1:$1,0)),"")</f>
        <v/>
      </c>
      <c r="V325" s="10">
        <f>IF($E325="","",IFERROR(INDEX('Data_SA'!$A:$LO,MATCH(U$2,'Data_SA'!$A:$A,0),MATCH($E325,'Data_SA'!$1:$1,0)),""))</f>
        <v/>
      </c>
      <c r="W325" s="7">
        <f>IF($E325="","",IFERROR(INDEX('Data_SA'!$A:$LO,MATCH(U$2,'Data_SA'!$A:$A,0),MATCH($E325,'Data_SA'!$1:$1,0))/INDEX('Data_SA'!$A:$LO,MATCH(EDATE(U$2,-1),'Data_SA'!$A:$A,0),MATCH($E325,'Data_SA'!$1:$1,0))-1,""))</f>
        <v/>
      </c>
      <c r="X325" s="7">
        <f>IFERROR(INDEX('Data_NSA'!$A:$OK,MATCH(U$2,'Data_NSA'!$A:$A,0),MATCH($D325,'Data_NSA'!$1:$1,0))/INDEX('Data_NSA'!$A:$OK,MATCH(EDATE(U$2,-12),'Data_NSA'!$A:$A,0),MATCH($D325,'Data_NSA'!$1:$1,0))-1,"")</f>
        <v/>
      </c>
      <c r="Y325" s="10">
        <f>IFERROR(INDEX('Weights'!$G:$I,MATCH($A325,'Weights'!$A:$A,0),MATCH(U$2,'Weights'!$G$1:$I$1,0)),"")</f>
        <v/>
      </c>
      <c r="Z325" s="10">
        <f>IF($E325="","",IFERROR(100*(INDEX('Weights'!$D:$D,MATCH($A325,'Weights'!$A:$A,0))*(INDEX('Data_NSA'!$A:$OK,MATCH(EDATE(U$2,-1),'Data_NSA'!$A:$A,0),MATCH($D325,'Data_NSA'!$1:$1,0))/INDEX('Data_NSA'!$A:$OK,MATCH(INDEX('Weights'!$E:$E,MATCH($A325,'Weights'!$A:$A,0)),'Data_NSA'!$A:$A,0),MATCH($D325,'Data_NSA'!$1:$1,0))))/(100*(INDEX('Data_NSA'!$A:$OK,MATCH(EDATE(U$2,-1),'Data_NSA'!$A:$A,0),MATCH("CUUR0000SA0",'Data_NSA'!$1:$1,0))/INDEX('Data_NSA'!$A:$OK,MATCH(INDEX('Weights'!$E:$E,MATCH($A325,'Weights'!$A:$A,0)),'Data_NSA'!$A:$A,0),MATCH("CUUR0000SA0",'Data_NSA'!$1:$1,0))))*(INDEX('Data_SA'!$A:$LO,MATCH(U$2,'Data_SA'!$A:$A,0),MATCH($E325,'Data_SA'!$1:$1,0))/INDEX('Data_SA'!$A:$LO,MATCH(EDATE(U$2,-1),'Data_SA'!$A:$A,0),MATCH($E325,'Data_SA'!$1:$1,0))-1),""))</f>
        <v/>
      </c>
    </row>
    <row r="326">
      <c r="A326" s="3" t="inlineStr">
        <is>
          <t>SEEC02</t>
        </is>
      </c>
      <c r="B326" s="3" t="inlineStr">
        <is>
          <t>Delivery services</t>
        </is>
      </c>
      <c r="C326" s="3" t="inlineStr">
        <is>
          <t>SEEC</t>
        </is>
      </c>
      <c r="D326" s="3" t="inlineStr">
        <is>
          <t>CUUR0000SEEC02</t>
        </is>
      </c>
      <c r="E326" s="3" t="inlineStr">
        <is>
          <t>CUSR0000SEEC02</t>
        </is>
      </c>
      <c r="F326" s="3" t="inlineStr">
        <is>
          <t>GM</t>
        </is>
      </c>
      <c r="G326" s="3" t="inlineStr">
        <is>
          <t>monthly in New York/Los Angeles/Chicago; often bimonthly elsewhere</t>
        </is>
      </c>
      <c r="H326" s="10">
        <f>IFERROR(INDEX(Weights!$D:$D,MATCH($A326,Weights!$A:$A,0)),"")</f>
        <v/>
      </c>
      <c r="I326" s="10">
        <f>IFERROR(INDEX('Data_NSA'!$A:$OK,MATCH(I$2,'Data_NSA'!$A:$A,0),MATCH($D326,'Data_NSA'!$1:$1,0)),"")</f>
        <v/>
      </c>
      <c r="J326" s="10">
        <f>IF($E326="","",IFERROR(INDEX('Data_SA'!$A:$LO,MATCH(I$2,'Data_SA'!$A:$A,0),MATCH($E326,'Data_SA'!$1:$1,0)),""))</f>
        <v/>
      </c>
      <c r="K326" s="7">
        <f>IF($E326="","",IFERROR(INDEX('Data_SA'!$A:$LO,MATCH(I$2,'Data_SA'!$A:$A,0),MATCH($E326,'Data_SA'!$1:$1,0))/INDEX('Data_SA'!$A:$LO,MATCH(EDATE(I$2,-1),'Data_SA'!$A:$A,0),MATCH($E326,'Data_SA'!$1:$1,0))-1,""))</f>
        <v/>
      </c>
      <c r="L326" s="7">
        <f>IFERROR(INDEX('Data_NSA'!$A:$OK,MATCH(I$2,'Data_NSA'!$A:$A,0),MATCH($D326,'Data_NSA'!$1:$1,0))/INDEX('Data_NSA'!$A:$OK,MATCH(EDATE(I$2,-12),'Data_NSA'!$A:$A,0),MATCH($D326,'Data_NSA'!$1:$1,0))-1,"")</f>
        <v/>
      </c>
      <c r="M326" s="10">
        <f>IFERROR(INDEX('Weights'!$G:$I,MATCH($A326,'Weights'!$A:$A,0),MATCH(I$2,'Weights'!$G$1:$I$1,0)),"")</f>
        <v/>
      </c>
      <c r="N326" s="10">
        <f>IF($E326="","",IFERROR(100*(INDEX('Weights'!$D:$D,MATCH($A326,'Weights'!$A:$A,0))*(INDEX('Data_NSA'!$A:$OK,MATCH(EDATE(I$2,-1),'Data_NSA'!$A:$A,0),MATCH($D326,'Data_NSA'!$1:$1,0))/INDEX('Data_NSA'!$A:$OK,MATCH(INDEX('Weights'!$E:$E,MATCH($A326,'Weights'!$A:$A,0)),'Data_NSA'!$A:$A,0),MATCH($D326,'Data_NSA'!$1:$1,0))))/(100*(INDEX('Data_NSA'!$A:$OK,MATCH(EDATE(I$2,-1),'Data_NSA'!$A:$A,0),MATCH("CUUR0000SA0",'Data_NSA'!$1:$1,0))/INDEX('Data_NSA'!$A:$OK,MATCH(INDEX('Weights'!$E:$E,MATCH($A326,'Weights'!$A:$A,0)),'Data_NSA'!$A:$A,0),MATCH("CUUR0000SA0",'Data_NSA'!$1:$1,0))))*(INDEX('Data_SA'!$A:$LO,MATCH(I$2,'Data_SA'!$A:$A,0),MATCH($E326,'Data_SA'!$1:$1,0))/INDEX('Data_SA'!$A:$LO,MATCH(EDATE(I$2,-1),'Data_SA'!$A:$A,0),MATCH($E326,'Data_SA'!$1:$1,0))-1),""))</f>
        <v/>
      </c>
      <c r="O326" s="10">
        <f>IFERROR(INDEX('Data_NSA'!$A:$OK,MATCH(O$2,'Data_NSA'!$A:$A,0),MATCH($D326,'Data_NSA'!$1:$1,0)),"")</f>
        <v/>
      </c>
      <c r="P326" s="10">
        <f>IF($E326="","",IFERROR(INDEX('Data_SA'!$A:$LO,MATCH(O$2,'Data_SA'!$A:$A,0),MATCH($E326,'Data_SA'!$1:$1,0)),""))</f>
        <v/>
      </c>
      <c r="Q326" s="7">
        <f>IF($E326="","",IFERROR(INDEX('Data_SA'!$A:$LO,MATCH(O$2,'Data_SA'!$A:$A,0),MATCH($E326,'Data_SA'!$1:$1,0))/INDEX('Data_SA'!$A:$LO,MATCH(EDATE(O$2,-1),'Data_SA'!$A:$A,0),MATCH($E326,'Data_SA'!$1:$1,0))-1,""))</f>
        <v/>
      </c>
      <c r="R326" s="7">
        <f>IFERROR(INDEX('Data_NSA'!$A:$OK,MATCH(O$2,'Data_NSA'!$A:$A,0),MATCH($D326,'Data_NSA'!$1:$1,0))/INDEX('Data_NSA'!$A:$OK,MATCH(EDATE(O$2,-12),'Data_NSA'!$A:$A,0),MATCH($D326,'Data_NSA'!$1:$1,0))-1,"")</f>
        <v/>
      </c>
      <c r="S326" s="10">
        <f>IFERROR(INDEX('Weights'!$G:$I,MATCH($A326,'Weights'!$A:$A,0),MATCH(O$2,'Weights'!$G$1:$I$1,0)),"")</f>
        <v/>
      </c>
      <c r="T326" s="10">
        <f>IF($E326="","",IFERROR(100*(INDEX('Weights'!$D:$D,MATCH($A326,'Weights'!$A:$A,0))*(INDEX('Data_NSA'!$A:$OK,MATCH(EDATE(O$2,-1),'Data_NSA'!$A:$A,0),MATCH($D326,'Data_NSA'!$1:$1,0))/INDEX('Data_NSA'!$A:$OK,MATCH(INDEX('Weights'!$E:$E,MATCH($A326,'Weights'!$A:$A,0)),'Data_NSA'!$A:$A,0),MATCH($D326,'Data_NSA'!$1:$1,0))))/(100*(INDEX('Data_NSA'!$A:$OK,MATCH(EDATE(O$2,-1),'Data_NSA'!$A:$A,0),MATCH("CUUR0000SA0",'Data_NSA'!$1:$1,0))/INDEX('Data_NSA'!$A:$OK,MATCH(INDEX('Weights'!$E:$E,MATCH($A326,'Weights'!$A:$A,0)),'Data_NSA'!$A:$A,0),MATCH("CUUR0000SA0",'Data_NSA'!$1:$1,0))))*(INDEX('Data_SA'!$A:$LO,MATCH(O$2,'Data_SA'!$A:$A,0),MATCH($E326,'Data_SA'!$1:$1,0))/INDEX('Data_SA'!$A:$LO,MATCH(EDATE(O$2,-1),'Data_SA'!$A:$A,0),MATCH($E326,'Data_SA'!$1:$1,0))-1),""))</f>
        <v/>
      </c>
      <c r="U326" s="10">
        <f>IFERROR(INDEX('Data_NSA'!$A:$OK,MATCH(U$2,'Data_NSA'!$A:$A,0),MATCH($D326,'Data_NSA'!$1:$1,0)),"")</f>
        <v/>
      </c>
      <c r="V326" s="10">
        <f>IF($E326="","",IFERROR(INDEX('Data_SA'!$A:$LO,MATCH(U$2,'Data_SA'!$A:$A,0),MATCH($E326,'Data_SA'!$1:$1,0)),""))</f>
        <v/>
      </c>
      <c r="W326" s="7">
        <f>IF($E326="","",IFERROR(INDEX('Data_SA'!$A:$LO,MATCH(U$2,'Data_SA'!$A:$A,0),MATCH($E326,'Data_SA'!$1:$1,0))/INDEX('Data_SA'!$A:$LO,MATCH(EDATE(U$2,-1),'Data_SA'!$A:$A,0),MATCH($E326,'Data_SA'!$1:$1,0))-1,""))</f>
        <v/>
      </c>
      <c r="X326" s="7">
        <f>IFERROR(INDEX('Data_NSA'!$A:$OK,MATCH(U$2,'Data_NSA'!$A:$A,0),MATCH($D326,'Data_NSA'!$1:$1,0))/INDEX('Data_NSA'!$A:$OK,MATCH(EDATE(U$2,-12),'Data_NSA'!$A:$A,0),MATCH($D326,'Data_NSA'!$1:$1,0))-1,"")</f>
        <v/>
      </c>
      <c r="Y326" s="10">
        <f>IFERROR(INDEX('Weights'!$G:$I,MATCH($A326,'Weights'!$A:$A,0),MATCH(U$2,'Weights'!$G$1:$I$1,0)),"")</f>
        <v/>
      </c>
      <c r="Z326" s="10">
        <f>IF($E326="","",IFERROR(100*(INDEX('Weights'!$D:$D,MATCH($A326,'Weights'!$A:$A,0))*(INDEX('Data_NSA'!$A:$OK,MATCH(EDATE(U$2,-1),'Data_NSA'!$A:$A,0),MATCH($D326,'Data_NSA'!$1:$1,0))/INDEX('Data_NSA'!$A:$OK,MATCH(INDEX('Weights'!$E:$E,MATCH($A326,'Weights'!$A:$A,0)),'Data_NSA'!$A:$A,0),MATCH($D326,'Data_NSA'!$1:$1,0))))/(100*(INDEX('Data_NSA'!$A:$OK,MATCH(EDATE(U$2,-1),'Data_NSA'!$A:$A,0),MATCH("CUUR0000SA0",'Data_NSA'!$1:$1,0))/INDEX('Data_NSA'!$A:$OK,MATCH(INDEX('Weights'!$E:$E,MATCH($A326,'Weights'!$A:$A,0)),'Data_NSA'!$A:$A,0),MATCH("CUUR0000SA0",'Data_NSA'!$1:$1,0))))*(INDEX('Data_SA'!$A:$LO,MATCH(U$2,'Data_SA'!$A:$A,0),MATCH($E326,'Data_SA'!$1:$1,0))/INDEX('Data_SA'!$A:$LO,MATCH(EDATE(U$2,-1),'Data_SA'!$A:$A,0),MATCH($E326,'Data_SA'!$1:$1,0))-1),""))</f>
        <v/>
      </c>
    </row>
    <row r="327">
      <c r="A327" s="3" t="inlineStr">
        <is>
          <t>SAE21</t>
        </is>
      </c>
      <c r="B327" s="3" t="inlineStr">
        <is>
          <t>Information and information processing</t>
        </is>
      </c>
      <c r="C327" s="3" t="inlineStr">
        <is>
          <t>SAE2</t>
        </is>
      </c>
      <c r="D327" s="3" t="inlineStr">
        <is>
          <t>CUUR0000SAE21</t>
        </is>
      </c>
      <c r="E327" s="3" t="inlineStr">
        <is>
          <t>CUSR0000SAE21</t>
        </is>
      </c>
      <c r="F327" s="3" t="inlineStr">
        <is>
          <t>aggregate</t>
        </is>
      </c>
      <c r="G327" s="3" t="inlineStr">
        <is>
          <t>aggregate</t>
        </is>
      </c>
      <c r="H327" s="10">
        <f>IFERROR(INDEX(Weights!$D:$D,MATCH($A327,Weights!$A:$A,0)),"")</f>
        <v/>
      </c>
      <c r="I327" s="10">
        <f>IFERROR(INDEX('Data_NSA'!$A:$OK,MATCH(I$2,'Data_NSA'!$A:$A,0),MATCH($D327,'Data_NSA'!$1:$1,0)),"")</f>
        <v/>
      </c>
      <c r="J327" s="10">
        <f>IF($E327="","",IFERROR(INDEX('Data_SA'!$A:$LO,MATCH(I$2,'Data_SA'!$A:$A,0),MATCH($E327,'Data_SA'!$1:$1,0)),""))</f>
        <v/>
      </c>
      <c r="K327" s="7">
        <f>IF($E327="","",IFERROR(INDEX('Data_SA'!$A:$LO,MATCH(I$2,'Data_SA'!$A:$A,0),MATCH($E327,'Data_SA'!$1:$1,0))/INDEX('Data_SA'!$A:$LO,MATCH(EDATE(I$2,-1),'Data_SA'!$A:$A,0),MATCH($E327,'Data_SA'!$1:$1,0))-1,""))</f>
        <v/>
      </c>
      <c r="L327" s="7">
        <f>IFERROR(INDEX('Data_NSA'!$A:$OK,MATCH(I$2,'Data_NSA'!$A:$A,0),MATCH($D327,'Data_NSA'!$1:$1,0))/INDEX('Data_NSA'!$A:$OK,MATCH(EDATE(I$2,-12),'Data_NSA'!$A:$A,0),MATCH($D327,'Data_NSA'!$1:$1,0))-1,"")</f>
        <v/>
      </c>
      <c r="M327" s="10">
        <f>IFERROR(INDEX('Weights'!$G:$I,MATCH($A327,'Weights'!$A:$A,0),MATCH(I$2,'Weights'!$G$1:$I$1,0)),"")</f>
        <v/>
      </c>
      <c r="N327" s="10">
        <f>IF($E327="","",IFERROR(100*(INDEX('Weights'!$D:$D,MATCH($A327,'Weights'!$A:$A,0))*(INDEX('Data_NSA'!$A:$OK,MATCH(EDATE(I$2,-1),'Data_NSA'!$A:$A,0),MATCH($D327,'Data_NSA'!$1:$1,0))/INDEX('Data_NSA'!$A:$OK,MATCH(INDEX('Weights'!$E:$E,MATCH($A327,'Weights'!$A:$A,0)),'Data_NSA'!$A:$A,0),MATCH($D327,'Data_NSA'!$1:$1,0))))/(100*(INDEX('Data_NSA'!$A:$OK,MATCH(EDATE(I$2,-1),'Data_NSA'!$A:$A,0),MATCH("CUUR0000SA0",'Data_NSA'!$1:$1,0))/INDEX('Data_NSA'!$A:$OK,MATCH(INDEX('Weights'!$E:$E,MATCH($A327,'Weights'!$A:$A,0)),'Data_NSA'!$A:$A,0),MATCH("CUUR0000SA0",'Data_NSA'!$1:$1,0))))*(INDEX('Data_SA'!$A:$LO,MATCH(I$2,'Data_SA'!$A:$A,0),MATCH($E327,'Data_SA'!$1:$1,0))/INDEX('Data_SA'!$A:$LO,MATCH(EDATE(I$2,-1),'Data_SA'!$A:$A,0),MATCH($E327,'Data_SA'!$1:$1,0))-1),""))</f>
        <v/>
      </c>
      <c r="O327" s="10">
        <f>IFERROR(INDEX('Data_NSA'!$A:$OK,MATCH(O$2,'Data_NSA'!$A:$A,0),MATCH($D327,'Data_NSA'!$1:$1,0)),"")</f>
        <v/>
      </c>
      <c r="P327" s="10">
        <f>IF($E327="","",IFERROR(INDEX('Data_SA'!$A:$LO,MATCH(O$2,'Data_SA'!$A:$A,0),MATCH($E327,'Data_SA'!$1:$1,0)),""))</f>
        <v/>
      </c>
      <c r="Q327" s="7">
        <f>IF($E327="","",IFERROR(INDEX('Data_SA'!$A:$LO,MATCH(O$2,'Data_SA'!$A:$A,0),MATCH($E327,'Data_SA'!$1:$1,0))/INDEX('Data_SA'!$A:$LO,MATCH(EDATE(O$2,-1),'Data_SA'!$A:$A,0),MATCH($E327,'Data_SA'!$1:$1,0))-1,""))</f>
        <v/>
      </c>
      <c r="R327" s="7">
        <f>IFERROR(INDEX('Data_NSA'!$A:$OK,MATCH(O$2,'Data_NSA'!$A:$A,0),MATCH($D327,'Data_NSA'!$1:$1,0))/INDEX('Data_NSA'!$A:$OK,MATCH(EDATE(O$2,-12),'Data_NSA'!$A:$A,0),MATCH($D327,'Data_NSA'!$1:$1,0))-1,"")</f>
        <v/>
      </c>
      <c r="S327" s="10">
        <f>IFERROR(INDEX('Weights'!$G:$I,MATCH($A327,'Weights'!$A:$A,0),MATCH(O$2,'Weights'!$G$1:$I$1,0)),"")</f>
        <v/>
      </c>
      <c r="T327" s="10">
        <f>IF($E327="","",IFERROR(100*(INDEX('Weights'!$D:$D,MATCH($A327,'Weights'!$A:$A,0))*(INDEX('Data_NSA'!$A:$OK,MATCH(EDATE(O$2,-1),'Data_NSA'!$A:$A,0),MATCH($D327,'Data_NSA'!$1:$1,0))/INDEX('Data_NSA'!$A:$OK,MATCH(INDEX('Weights'!$E:$E,MATCH($A327,'Weights'!$A:$A,0)),'Data_NSA'!$A:$A,0),MATCH($D327,'Data_NSA'!$1:$1,0))))/(100*(INDEX('Data_NSA'!$A:$OK,MATCH(EDATE(O$2,-1),'Data_NSA'!$A:$A,0),MATCH("CUUR0000SA0",'Data_NSA'!$1:$1,0))/INDEX('Data_NSA'!$A:$OK,MATCH(INDEX('Weights'!$E:$E,MATCH($A327,'Weights'!$A:$A,0)),'Data_NSA'!$A:$A,0),MATCH("CUUR0000SA0",'Data_NSA'!$1:$1,0))))*(INDEX('Data_SA'!$A:$LO,MATCH(O$2,'Data_SA'!$A:$A,0),MATCH($E327,'Data_SA'!$1:$1,0))/INDEX('Data_SA'!$A:$LO,MATCH(EDATE(O$2,-1),'Data_SA'!$A:$A,0),MATCH($E327,'Data_SA'!$1:$1,0))-1),""))</f>
        <v/>
      </c>
      <c r="U327" s="10">
        <f>IFERROR(INDEX('Data_NSA'!$A:$OK,MATCH(U$2,'Data_NSA'!$A:$A,0),MATCH($D327,'Data_NSA'!$1:$1,0)),"")</f>
        <v/>
      </c>
      <c r="V327" s="10">
        <f>IF($E327="","",IFERROR(INDEX('Data_SA'!$A:$LO,MATCH(U$2,'Data_SA'!$A:$A,0),MATCH($E327,'Data_SA'!$1:$1,0)),""))</f>
        <v/>
      </c>
      <c r="W327" s="7">
        <f>IF($E327="","",IFERROR(INDEX('Data_SA'!$A:$LO,MATCH(U$2,'Data_SA'!$A:$A,0),MATCH($E327,'Data_SA'!$1:$1,0))/INDEX('Data_SA'!$A:$LO,MATCH(EDATE(U$2,-1),'Data_SA'!$A:$A,0),MATCH($E327,'Data_SA'!$1:$1,0))-1,""))</f>
        <v/>
      </c>
      <c r="X327" s="7">
        <f>IFERROR(INDEX('Data_NSA'!$A:$OK,MATCH(U$2,'Data_NSA'!$A:$A,0),MATCH($D327,'Data_NSA'!$1:$1,0))/INDEX('Data_NSA'!$A:$OK,MATCH(EDATE(U$2,-12),'Data_NSA'!$A:$A,0),MATCH($D327,'Data_NSA'!$1:$1,0))-1,"")</f>
        <v/>
      </c>
      <c r="Y327" s="10">
        <f>IFERROR(INDEX('Weights'!$G:$I,MATCH($A327,'Weights'!$A:$A,0),MATCH(U$2,'Weights'!$G$1:$I$1,0)),"")</f>
        <v/>
      </c>
      <c r="Z327" s="10">
        <f>IF($E327="","",IFERROR(100*(INDEX('Weights'!$D:$D,MATCH($A327,'Weights'!$A:$A,0))*(INDEX('Data_NSA'!$A:$OK,MATCH(EDATE(U$2,-1),'Data_NSA'!$A:$A,0),MATCH($D327,'Data_NSA'!$1:$1,0))/INDEX('Data_NSA'!$A:$OK,MATCH(INDEX('Weights'!$E:$E,MATCH($A327,'Weights'!$A:$A,0)),'Data_NSA'!$A:$A,0),MATCH($D327,'Data_NSA'!$1:$1,0))))/(100*(INDEX('Data_NSA'!$A:$OK,MATCH(EDATE(U$2,-1),'Data_NSA'!$A:$A,0),MATCH("CUUR0000SA0",'Data_NSA'!$1:$1,0))/INDEX('Data_NSA'!$A:$OK,MATCH(INDEX('Weights'!$E:$E,MATCH($A327,'Weights'!$A:$A,0)),'Data_NSA'!$A:$A,0),MATCH("CUUR0000SA0",'Data_NSA'!$1:$1,0))))*(INDEX('Data_SA'!$A:$LO,MATCH(U$2,'Data_SA'!$A:$A,0),MATCH($E327,'Data_SA'!$1:$1,0))/INDEX('Data_SA'!$A:$LO,MATCH(EDATE(U$2,-1),'Data_SA'!$A:$A,0),MATCH($E327,'Data_SA'!$1:$1,0))-1),""))</f>
        <v/>
      </c>
    </row>
    <row r="328">
      <c r="A328" s="3" t="inlineStr">
        <is>
          <t>SEED</t>
        </is>
      </c>
      <c r="B328" s="3" t="inlineStr">
        <is>
          <t>Telephone services</t>
        </is>
      </c>
      <c r="C328" s="3" t="inlineStr">
        <is>
          <t>SAE21</t>
        </is>
      </c>
      <c r="D328" s="3" t="inlineStr">
        <is>
          <t>CUUR0000SEED</t>
        </is>
      </c>
      <c r="E328" s="3" t="inlineStr"/>
      <c r="F328" s="3" t="inlineStr">
        <is>
          <t>aggregate</t>
        </is>
      </c>
      <c r="G328" s="3" t="inlineStr">
        <is>
          <t>aggregate</t>
        </is>
      </c>
      <c r="H328" s="10">
        <f>IFERROR(INDEX(Weights!$D:$D,MATCH($A328,Weights!$A:$A,0)),"")</f>
        <v/>
      </c>
      <c r="I328" s="10">
        <f>IFERROR(INDEX('Data_NSA'!$A:$OK,MATCH(I$2,'Data_NSA'!$A:$A,0),MATCH($D328,'Data_NSA'!$1:$1,0)),"")</f>
        <v/>
      </c>
      <c r="J328" s="10">
        <f>IF($E328="","",IFERROR(INDEX('Data_SA'!$A:$LO,MATCH(I$2,'Data_SA'!$A:$A,0),MATCH($E328,'Data_SA'!$1:$1,0)),""))</f>
        <v/>
      </c>
      <c r="K328" s="7">
        <f>IF($E328="","",IFERROR(INDEX('Data_SA'!$A:$LO,MATCH(I$2,'Data_SA'!$A:$A,0),MATCH($E328,'Data_SA'!$1:$1,0))/INDEX('Data_SA'!$A:$LO,MATCH(EDATE(I$2,-1),'Data_SA'!$A:$A,0),MATCH($E328,'Data_SA'!$1:$1,0))-1,""))</f>
        <v/>
      </c>
      <c r="L328" s="7">
        <f>IFERROR(INDEX('Data_NSA'!$A:$OK,MATCH(I$2,'Data_NSA'!$A:$A,0),MATCH($D328,'Data_NSA'!$1:$1,0))/INDEX('Data_NSA'!$A:$OK,MATCH(EDATE(I$2,-12),'Data_NSA'!$A:$A,0),MATCH($D328,'Data_NSA'!$1:$1,0))-1,"")</f>
        <v/>
      </c>
      <c r="M328" s="10">
        <f>IFERROR(INDEX('Weights'!$G:$I,MATCH($A328,'Weights'!$A:$A,0),MATCH(I$2,'Weights'!$G$1:$I$1,0)),"")</f>
        <v/>
      </c>
      <c r="N328" s="10">
        <f>IF($E328="","",IFERROR(100*(INDEX('Weights'!$D:$D,MATCH($A328,'Weights'!$A:$A,0))*(INDEX('Data_NSA'!$A:$OK,MATCH(EDATE(I$2,-1),'Data_NSA'!$A:$A,0),MATCH($D328,'Data_NSA'!$1:$1,0))/INDEX('Data_NSA'!$A:$OK,MATCH(INDEX('Weights'!$E:$E,MATCH($A328,'Weights'!$A:$A,0)),'Data_NSA'!$A:$A,0),MATCH($D328,'Data_NSA'!$1:$1,0))))/(100*(INDEX('Data_NSA'!$A:$OK,MATCH(EDATE(I$2,-1),'Data_NSA'!$A:$A,0),MATCH("CUUR0000SA0",'Data_NSA'!$1:$1,0))/INDEX('Data_NSA'!$A:$OK,MATCH(INDEX('Weights'!$E:$E,MATCH($A328,'Weights'!$A:$A,0)),'Data_NSA'!$A:$A,0),MATCH("CUUR0000SA0",'Data_NSA'!$1:$1,0))))*(INDEX('Data_SA'!$A:$LO,MATCH(I$2,'Data_SA'!$A:$A,0),MATCH($E328,'Data_SA'!$1:$1,0))/INDEX('Data_SA'!$A:$LO,MATCH(EDATE(I$2,-1),'Data_SA'!$A:$A,0),MATCH($E328,'Data_SA'!$1:$1,0))-1),""))</f>
        <v/>
      </c>
      <c r="O328" s="10">
        <f>IFERROR(INDEX('Data_NSA'!$A:$OK,MATCH(O$2,'Data_NSA'!$A:$A,0),MATCH($D328,'Data_NSA'!$1:$1,0)),"")</f>
        <v/>
      </c>
      <c r="P328" s="10">
        <f>IF($E328="","",IFERROR(INDEX('Data_SA'!$A:$LO,MATCH(O$2,'Data_SA'!$A:$A,0),MATCH($E328,'Data_SA'!$1:$1,0)),""))</f>
        <v/>
      </c>
      <c r="Q328" s="7">
        <f>IF($E328="","",IFERROR(INDEX('Data_SA'!$A:$LO,MATCH(O$2,'Data_SA'!$A:$A,0),MATCH($E328,'Data_SA'!$1:$1,0))/INDEX('Data_SA'!$A:$LO,MATCH(EDATE(O$2,-1),'Data_SA'!$A:$A,0),MATCH($E328,'Data_SA'!$1:$1,0))-1,""))</f>
        <v/>
      </c>
      <c r="R328" s="7">
        <f>IFERROR(INDEX('Data_NSA'!$A:$OK,MATCH(O$2,'Data_NSA'!$A:$A,0),MATCH($D328,'Data_NSA'!$1:$1,0))/INDEX('Data_NSA'!$A:$OK,MATCH(EDATE(O$2,-12),'Data_NSA'!$A:$A,0),MATCH($D328,'Data_NSA'!$1:$1,0))-1,"")</f>
        <v/>
      </c>
      <c r="S328" s="10">
        <f>IFERROR(INDEX('Weights'!$G:$I,MATCH($A328,'Weights'!$A:$A,0),MATCH(O$2,'Weights'!$G$1:$I$1,0)),"")</f>
        <v/>
      </c>
      <c r="T328" s="10">
        <f>IF($E328="","",IFERROR(100*(INDEX('Weights'!$D:$D,MATCH($A328,'Weights'!$A:$A,0))*(INDEX('Data_NSA'!$A:$OK,MATCH(EDATE(O$2,-1),'Data_NSA'!$A:$A,0),MATCH($D328,'Data_NSA'!$1:$1,0))/INDEX('Data_NSA'!$A:$OK,MATCH(INDEX('Weights'!$E:$E,MATCH($A328,'Weights'!$A:$A,0)),'Data_NSA'!$A:$A,0),MATCH($D328,'Data_NSA'!$1:$1,0))))/(100*(INDEX('Data_NSA'!$A:$OK,MATCH(EDATE(O$2,-1),'Data_NSA'!$A:$A,0),MATCH("CUUR0000SA0",'Data_NSA'!$1:$1,0))/INDEX('Data_NSA'!$A:$OK,MATCH(INDEX('Weights'!$E:$E,MATCH($A328,'Weights'!$A:$A,0)),'Data_NSA'!$A:$A,0),MATCH("CUUR0000SA0",'Data_NSA'!$1:$1,0))))*(INDEX('Data_SA'!$A:$LO,MATCH(O$2,'Data_SA'!$A:$A,0),MATCH($E328,'Data_SA'!$1:$1,0))/INDEX('Data_SA'!$A:$LO,MATCH(EDATE(O$2,-1),'Data_SA'!$A:$A,0),MATCH($E328,'Data_SA'!$1:$1,0))-1),""))</f>
        <v/>
      </c>
      <c r="U328" s="10">
        <f>IFERROR(INDEX('Data_NSA'!$A:$OK,MATCH(U$2,'Data_NSA'!$A:$A,0),MATCH($D328,'Data_NSA'!$1:$1,0)),"")</f>
        <v/>
      </c>
      <c r="V328" s="10">
        <f>IF($E328="","",IFERROR(INDEX('Data_SA'!$A:$LO,MATCH(U$2,'Data_SA'!$A:$A,0),MATCH($E328,'Data_SA'!$1:$1,0)),""))</f>
        <v/>
      </c>
      <c r="W328" s="7">
        <f>IF($E328="","",IFERROR(INDEX('Data_SA'!$A:$LO,MATCH(U$2,'Data_SA'!$A:$A,0),MATCH($E328,'Data_SA'!$1:$1,0))/INDEX('Data_SA'!$A:$LO,MATCH(EDATE(U$2,-1),'Data_SA'!$A:$A,0),MATCH($E328,'Data_SA'!$1:$1,0))-1,""))</f>
        <v/>
      </c>
      <c r="X328" s="7">
        <f>IFERROR(INDEX('Data_NSA'!$A:$OK,MATCH(U$2,'Data_NSA'!$A:$A,0),MATCH($D328,'Data_NSA'!$1:$1,0))/INDEX('Data_NSA'!$A:$OK,MATCH(EDATE(U$2,-12),'Data_NSA'!$A:$A,0),MATCH($D328,'Data_NSA'!$1:$1,0))-1,"")</f>
        <v/>
      </c>
      <c r="Y328" s="10">
        <f>IFERROR(INDEX('Weights'!$G:$I,MATCH($A328,'Weights'!$A:$A,0),MATCH(U$2,'Weights'!$G$1:$I$1,0)),"")</f>
        <v/>
      </c>
      <c r="Z328" s="10">
        <f>IF($E328="","",IFERROR(100*(INDEX('Weights'!$D:$D,MATCH($A328,'Weights'!$A:$A,0))*(INDEX('Data_NSA'!$A:$OK,MATCH(EDATE(U$2,-1),'Data_NSA'!$A:$A,0),MATCH($D328,'Data_NSA'!$1:$1,0))/INDEX('Data_NSA'!$A:$OK,MATCH(INDEX('Weights'!$E:$E,MATCH($A328,'Weights'!$A:$A,0)),'Data_NSA'!$A:$A,0),MATCH($D328,'Data_NSA'!$1:$1,0))))/(100*(INDEX('Data_NSA'!$A:$OK,MATCH(EDATE(U$2,-1),'Data_NSA'!$A:$A,0),MATCH("CUUR0000SA0",'Data_NSA'!$1:$1,0))/INDEX('Data_NSA'!$A:$OK,MATCH(INDEX('Weights'!$E:$E,MATCH($A328,'Weights'!$A:$A,0)),'Data_NSA'!$A:$A,0),MATCH("CUUR0000SA0",'Data_NSA'!$1:$1,0))))*(INDEX('Data_SA'!$A:$LO,MATCH(U$2,'Data_SA'!$A:$A,0),MATCH($E328,'Data_SA'!$1:$1,0))/INDEX('Data_SA'!$A:$LO,MATCH(EDATE(U$2,-1),'Data_SA'!$A:$A,0),MATCH($E328,'Data_SA'!$1:$1,0))-1),""))</f>
        <v/>
      </c>
    </row>
    <row r="329">
      <c r="A329" s="3" t="inlineStr">
        <is>
          <t>SEED03</t>
        </is>
      </c>
      <c r="B329" s="3" t="inlineStr">
        <is>
          <t>Wireless telephone services</t>
        </is>
      </c>
      <c r="C329" s="3" t="inlineStr">
        <is>
          <t>SEED</t>
        </is>
      </c>
      <c r="D329" s="3" t="inlineStr">
        <is>
          <t>CUUR0000SEED03</t>
        </is>
      </c>
      <c r="E329" s="3" t="inlineStr"/>
      <c r="F329" s="3" t="inlineStr">
        <is>
          <t>GM</t>
        </is>
      </c>
      <c r="G329" s="3" t="inlineStr">
        <is>
          <t>secondary-source plan-offer plus expenditure data</t>
        </is>
      </c>
      <c r="H329" s="10">
        <f>IFERROR(INDEX(Weights!$D:$D,MATCH($A329,Weights!$A:$A,0)),"")</f>
        <v/>
      </c>
      <c r="I329" s="10">
        <f>IFERROR(INDEX('Data_NSA'!$A:$OK,MATCH(I$2,'Data_NSA'!$A:$A,0),MATCH($D329,'Data_NSA'!$1:$1,0)),"")</f>
        <v/>
      </c>
      <c r="J329" s="10">
        <f>IF($E329="","",IFERROR(INDEX('Data_SA'!$A:$LO,MATCH(I$2,'Data_SA'!$A:$A,0),MATCH($E329,'Data_SA'!$1:$1,0)),""))</f>
        <v/>
      </c>
      <c r="K329" s="7">
        <f>IF($E329="","",IFERROR(INDEX('Data_SA'!$A:$LO,MATCH(I$2,'Data_SA'!$A:$A,0),MATCH($E329,'Data_SA'!$1:$1,0))/INDEX('Data_SA'!$A:$LO,MATCH(EDATE(I$2,-1),'Data_SA'!$A:$A,0),MATCH($E329,'Data_SA'!$1:$1,0))-1,""))</f>
        <v/>
      </c>
      <c r="L329" s="7">
        <f>IFERROR(INDEX('Data_NSA'!$A:$OK,MATCH(I$2,'Data_NSA'!$A:$A,0),MATCH($D329,'Data_NSA'!$1:$1,0))/INDEX('Data_NSA'!$A:$OK,MATCH(EDATE(I$2,-12),'Data_NSA'!$A:$A,0),MATCH($D329,'Data_NSA'!$1:$1,0))-1,"")</f>
        <v/>
      </c>
      <c r="M329" s="10">
        <f>IFERROR(INDEX('Weights'!$G:$I,MATCH($A329,'Weights'!$A:$A,0),MATCH(I$2,'Weights'!$G$1:$I$1,0)),"")</f>
        <v/>
      </c>
      <c r="N329" s="10">
        <f>IF($E329="","",IFERROR(100*(INDEX('Weights'!$D:$D,MATCH($A329,'Weights'!$A:$A,0))*(INDEX('Data_NSA'!$A:$OK,MATCH(EDATE(I$2,-1),'Data_NSA'!$A:$A,0),MATCH($D329,'Data_NSA'!$1:$1,0))/INDEX('Data_NSA'!$A:$OK,MATCH(INDEX('Weights'!$E:$E,MATCH($A329,'Weights'!$A:$A,0)),'Data_NSA'!$A:$A,0),MATCH($D329,'Data_NSA'!$1:$1,0))))/(100*(INDEX('Data_NSA'!$A:$OK,MATCH(EDATE(I$2,-1),'Data_NSA'!$A:$A,0),MATCH("CUUR0000SA0",'Data_NSA'!$1:$1,0))/INDEX('Data_NSA'!$A:$OK,MATCH(INDEX('Weights'!$E:$E,MATCH($A329,'Weights'!$A:$A,0)),'Data_NSA'!$A:$A,0),MATCH("CUUR0000SA0",'Data_NSA'!$1:$1,0))))*(INDEX('Data_SA'!$A:$LO,MATCH(I$2,'Data_SA'!$A:$A,0),MATCH($E329,'Data_SA'!$1:$1,0))/INDEX('Data_SA'!$A:$LO,MATCH(EDATE(I$2,-1),'Data_SA'!$A:$A,0),MATCH($E329,'Data_SA'!$1:$1,0))-1),""))</f>
        <v/>
      </c>
      <c r="O329" s="10">
        <f>IFERROR(INDEX('Data_NSA'!$A:$OK,MATCH(O$2,'Data_NSA'!$A:$A,0),MATCH($D329,'Data_NSA'!$1:$1,0)),"")</f>
        <v/>
      </c>
      <c r="P329" s="10">
        <f>IF($E329="","",IFERROR(INDEX('Data_SA'!$A:$LO,MATCH(O$2,'Data_SA'!$A:$A,0),MATCH($E329,'Data_SA'!$1:$1,0)),""))</f>
        <v/>
      </c>
      <c r="Q329" s="7">
        <f>IF($E329="","",IFERROR(INDEX('Data_SA'!$A:$LO,MATCH(O$2,'Data_SA'!$A:$A,0),MATCH($E329,'Data_SA'!$1:$1,0))/INDEX('Data_SA'!$A:$LO,MATCH(EDATE(O$2,-1),'Data_SA'!$A:$A,0),MATCH($E329,'Data_SA'!$1:$1,0))-1,""))</f>
        <v/>
      </c>
      <c r="R329" s="7">
        <f>IFERROR(INDEX('Data_NSA'!$A:$OK,MATCH(O$2,'Data_NSA'!$A:$A,0),MATCH($D329,'Data_NSA'!$1:$1,0))/INDEX('Data_NSA'!$A:$OK,MATCH(EDATE(O$2,-12),'Data_NSA'!$A:$A,0),MATCH($D329,'Data_NSA'!$1:$1,0))-1,"")</f>
        <v/>
      </c>
      <c r="S329" s="10">
        <f>IFERROR(INDEX('Weights'!$G:$I,MATCH($A329,'Weights'!$A:$A,0),MATCH(O$2,'Weights'!$G$1:$I$1,0)),"")</f>
        <v/>
      </c>
      <c r="T329" s="10">
        <f>IF($E329="","",IFERROR(100*(INDEX('Weights'!$D:$D,MATCH($A329,'Weights'!$A:$A,0))*(INDEX('Data_NSA'!$A:$OK,MATCH(EDATE(O$2,-1),'Data_NSA'!$A:$A,0),MATCH($D329,'Data_NSA'!$1:$1,0))/INDEX('Data_NSA'!$A:$OK,MATCH(INDEX('Weights'!$E:$E,MATCH($A329,'Weights'!$A:$A,0)),'Data_NSA'!$A:$A,0),MATCH($D329,'Data_NSA'!$1:$1,0))))/(100*(INDEX('Data_NSA'!$A:$OK,MATCH(EDATE(O$2,-1),'Data_NSA'!$A:$A,0),MATCH("CUUR0000SA0",'Data_NSA'!$1:$1,0))/INDEX('Data_NSA'!$A:$OK,MATCH(INDEX('Weights'!$E:$E,MATCH($A329,'Weights'!$A:$A,0)),'Data_NSA'!$A:$A,0),MATCH("CUUR0000SA0",'Data_NSA'!$1:$1,0))))*(INDEX('Data_SA'!$A:$LO,MATCH(O$2,'Data_SA'!$A:$A,0),MATCH($E329,'Data_SA'!$1:$1,0))/INDEX('Data_SA'!$A:$LO,MATCH(EDATE(O$2,-1),'Data_SA'!$A:$A,0),MATCH($E329,'Data_SA'!$1:$1,0))-1),""))</f>
        <v/>
      </c>
      <c r="U329" s="10">
        <f>IFERROR(INDEX('Data_NSA'!$A:$OK,MATCH(U$2,'Data_NSA'!$A:$A,0),MATCH($D329,'Data_NSA'!$1:$1,0)),"")</f>
        <v/>
      </c>
      <c r="V329" s="10">
        <f>IF($E329="","",IFERROR(INDEX('Data_SA'!$A:$LO,MATCH(U$2,'Data_SA'!$A:$A,0),MATCH($E329,'Data_SA'!$1:$1,0)),""))</f>
        <v/>
      </c>
      <c r="W329" s="7">
        <f>IF($E329="","",IFERROR(INDEX('Data_SA'!$A:$LO,MATCH(U$2,'Data_SA'!$A:$A,0),MATCH($E329,'Data_SA'!$1:$1,0))/INDEX('Data_SA'!$A:$LO,MATCH(EDATE(U$2,-1),'Data_SA'!$A:$A,0),MATCH($E329,'Data_SA'!$1:$1,0))-1,""))</f>
        <v/>
      </c>
      <c r="X329" s="7">
        <f>IFERROR(INDEX('Data_NSA'!$A:$OK,MATCH(U$2,'Data_NSA'!$A:$A,0),MATCH($D329,'Data_NSA'!$1:$1,0))/INDEX('Data_NSA'!$A:$OK,MATCH(EDATE(U$2,-12),'Data_NSA'!$A:$A,0),MATCH($D329,'Data_NSA'!$1:$1,0))-1,"")</f>
        <v/>
      </c>
      <c r="Y329" s="10">
        <f>IFERROR(INDEX('Weights'!$G:$I,MATCH($A329,'Weights'!$A:$A,0),MATCH(U$2,'Weights'!$G$1:$I$1,0)),"")</f>
        <v/>
      </c>
      <c r="Z329" s="10">
        <f>IF($E329="","",IFERROR(100*(INDEX('Weights'!$D:$D,MATCH($A329,'Weights'!$A:$A,0))*(INDEX('Data_NSA'!$A:$OK,MATCH(EDATE(U$2,-1),'Data_NSA'!$A:$A,0),MATCH($D329,'Data_NSA'!$1:$1,0))/INDEX('Data_NSA'!$A:$OK,MATCH(INDEX('Weights'!$E:$E,MATCH($A329,'Weights'!$A:$A,0)),'Data_NSA'!$A:$A,0),MATCH($D329,'Data_NSA'!$1:$1,0))))/(100*(INDEX('Data_NSA'!$A:$OK,MATCH(EDATE(U$2,-1),'Data_NSA'!$A:$A,0),MATCH("CUUR0000SA0",'Data_NSA'!$1:$1,0))/INDEX('Data_NSA'!$A:$OK,MATCH(INDEX('Weights'!$E:$E,MATCH($A329,'Weights'!$A:$A,0)),'Data_NSA'!$A:$A,0),MATCH("CUUR0000SA0",'Data_NSA'!$1:$1,0))))*(INDEX('Data_SA'!$A:$LO,MATCH(U$2,'Data_SA'!$A:$A,0),MATCH($E329,'Data_SA'!$1:$1,0))/INDEX('Data_SA'!$A:$LO,MATCH(EDATE(U$2,-1),'Data_SA'!$A:$A,0),MATCH($E329,'Data_SA'!$1:$1,0))-1),""))</f>
        <v/>
      </c>
    </row>
    <row r="330">
      <c r="A330" s="3" t="inlineStr">
        <is>
          <t>SEED04</t>
        </is>
      </c>
      <c r="B330" s="3" t="inlineStr">
        <is>
          <t>Residential telephone services</t>
        </is>
      </c>
      <c r="C330" s="3" t="inlineStr">
        <is>
          <t>SEED</t>
        </is>
      </c>
      <c r="D330" s="3" t="inlineStr">
        <is>
          <t>CUUR0000SEED04</t>
        </is>
      </c>
      <c r="E330" s="3" t="inlineStr"/>
      <c r="F330" s="3" t="inlineStr">
        <is>
          <t>aggregate</t>
        </is>
      </c>
      <c r="G330" s="3" t="inlineStr">
        <is>
          <t>aggregate</t>
        </is>
      </c>
      <c r="H330" s="10">
        <f>IFERROR(INDEX(Weights!$D:$D,MATCH($A330,Weights!$A:$A,0)),"")</f>
        <v/>
      </c>
      <c r="I330" s="10">
        <f>IFERROR(INDEX('Data_NSA'!$A:$OK,MATCH(I$2,'Data_NSA'!$A:$A,0),MATCH($D330,'Data_NSA'!$1:$1,0)),"")</f>
        <v/>
      </c>
      <c r="J330" s="10">
        <f>IF($E330="","",IFERROR(INDEX('Data_SA'!$A:$LO,MATCH(I$2,'Data_SA'!$A:$A,0),MATCH($E330,'Data_SA'!$1:$1,0)),""))</f>
        <v/>
      </c>
      <c r="K330" s="7">
        <f>IF($E330="","",IFERROR(INDEX('Data_SA'!$A:$LO,MATCH(I$2,'Data_SA'!$A:$A,0),MATCH($E330,'Data_SA'!$1:$1,0))/INDEX('Data_SA'!$A:$LO,MATCH(EDATE(I$2,-1),'Data_SA'!$A:$A,0),MATCH($E330,'Data_SA'!$1:$1,0))-1,""))</f>
        <v/>
      </c>
      <c r="L330" s="7">
        <f>IFERROR(INDEX('Data_NSA'!$A:$OK,MATCH(I$2,'Data_NSA'!$A:$A,0),MATCH($D330,'Data_NSA'!$1:$1,0))/INDEX('Data_NSA'!$A:$OK,MATCH(EDATE(I$2,-12),'Data_NSA'!$A:$A,0),MATCH($D330,'Data_NSA'!$1:$1,0))-1,"")</f>
        <v/>
      </c>
      <c r="M330" s="10">
        <f>IFERROR(INDEX('Weights'!$G:$I,MATCH($A330,'Weights'!$A:$A,0),MATCH(I$2,'Weights'!$G$1:$I$1,0)),"")</f>
        <v/>
      </c>
      <c r="N330" s="10">
        <f>IF($E330="","",IFERROR(100*(INDEX('Weights'!$D:$D,MATCH($A330,'Weights'!$A:$A,0))*(INDEX('Data_NSA'!$A:$OK,MATCH(EDATE(I$2,-1),'Data_NSA'!$A:$A,0),MATCH($D330,'Data_NSA'!$1:$1,0))/INDEX('Data_NSA'!$A:$OK,MATCH(INDEX('Weights'!$E:$E,MATCH($A330,'Weights'!$A:$A,0)),'Data_NSA'!$A:$A,0),MATCH($D330,'Data_NSA'!$1:$1,0))))/(100*(INDEX('Data_NSA'!$A:$OK,MATCH(EDATE(I$2,-1),'Data_NSA'!$A:$A,0),MATCH("CUUR0000SA0",'Data_NSA'!$1:$1,0))/INDEX('Data_NSA'!$A:$OK,MATCH(INDEX('Weights'!$E:$E,MATCH($A330,'Weights'!$A:$A,0)),'Data_NSA'!$A:$A,0),MATCH("CUUR0000SA0",'Data_NSA'!$1:$1,0))))*(INDEX('Data_SA'!$A:$LO,MATCH(I$2,'Data_SA'!$A:$A,0),MATCH($E330,'Data_SA'!$1:$1,0))/INDEX('Data_SA'!$A:$LO,MATCH(EDATE(I$2,-1),'Data_SA'!$A:$A,0),MATCH($E330,'Data_SA'!$1:$1,0))-1),""))</f>
        <v/>
      </c>
      <c r="O330" s="10">
        <f>IFERROR(INDEX('Data_NSA'!$A:$OK,MATCH(O$2,'Data_NSA'!$A:$A,0),MATCH($D330,'Data_NSA'!$1:$1,0)),"")</f>
        <v/>
      </c>
      <c r="P330" s="10">
        <f>IF($E330="","",IFERROR(INDEX('Data_SA'!$A:$LO,MATCH(O$2,'Data_SA'!$A:$A,0),MATCH($E330,'Data_SA'!$1:$1,0)),""))</f>
        <v/>
      </c>
      <c r="Q330" s="7">
        <f>IF($E330="","",IFERROR(INDEX('Data_SA'!$A:$LO,MATCH(O$2,'Data_SA'!$A:$A,0),MATCH($E330,'Data_SA'!$1:$1,0))/INDEX('Data_SA'!$A:$LO,MATCH(EDATE(O$2,-1),'Data_SA'!$A:$A,0),MATCH($E330,'Data_SA'!$1:$1,0))-1,""))</f>
        <v/>
      </c>
      <c r="R330" s="7">
        <f>IFERROR(INDEX('Data_NSA'!$A:$OK,MATCH(O$2,'Data_NSA'!$A:$A,0),MATCH($D330,'Data_NSA'!$1:$1,0))/INDEX('Data_NSA'!$A:$OK,MATCH(EDATE(O$2,-12),'Data_NSA'!$A:$A,0),MATCH($D330,'Data_NSA'!$1:$1,0))-1,"")</f>
        <v/>
      </c>
      <c r="S330" s="10">
        <f>IFERROR(INDEX('Weights'!$G:$I,MATCH($A330,'Weights'!$A:$A,0),MATCH(O$2,'Weights'!$G$1:$I$1,0)),"")</f>
        <v/>
      </c>
      <c r="T330" s="10">
        <f>IF($E330="","",IFERROR(100*(INDEX('Weights'!$D:$D,MATCH($A330,'Weights'!$A:$A,0))*(INDEX('Data_NSA'!$A:$OK,MATCH(EDATE(O$2,-1),'Data_NSA'!$A:$A,0),MATCH($D330,'Data_NSA'!$1:$1,0))/INDEX('Data_NSA'!$A:$OK,MATCH(INDEX('Weights'!$E:$E,MATCH($A330,'Weights'!$A:$A,0)),'Data_NSA'!$A:$A,0),MATCH($D330,'Data_NSA'!$1:$1,0))))/(100*(INDEX('Data_NSA'!$A:$OK,MATCH(EDATE(O$2,-1),'Data_NSA'!$A:$A,0),MATCH("CUUR0000SA0",'Data_NSA'!$1:$1,0))/INDEX('Data_NSA'!$A:$OK,MATCH(INDEX('Weights'!$E:$E,MATCH($A330,'Weights'!$A:$A,0)),'Data_NSA'!$A:$A,0),MATCH("CUUR0000SA0",'Data_NSA'!$1:$1,0))))*(INDEX('Data_SA'!$A:$LO,MATCH(O$2,'Data_SA'!$A:$A,0),MATCH($E330,'Data_SA'!$1:$1,0))/INDEX('Data_SA'!$A:$LO,MATCH(EDATE(O$2,-1),'Data_SA'!$A:$A,0),MATCH($E330,'Data_SA'!$1:$1,0))-1),""))</f>
        <v/>
      </c>
      <c r="U330" s="10">
        <f>IFERROR(INDEX('Data_NSA'!$A:$OK,MATCH(U$2,'Data_NSA'!$A:$A,0),MATCH($D330,'Data_NSA'!$1:$1,0)),"")</f>
        <v/>
      </c>
      <c r="V330" s="10">
        <f>IF($E330="","",IFERROR(INDEX('Data_SA'!$A:$LO,MATCH(U$2,'Data_SA'!$A:$A,0),MATCH($E330,'Data_SA'!$1:$1,0)),""))</f>
        <v/>
      </c>
      <c r="W330" s="7">
        <f>IF($E330="","",IFERROR(INDEX('Data_SA'!$A:$LO,MATCH(U$2,'Data_SA'!$A:$A,0),MATCH($E330,'Data_SA'!$1:$1,0))/INDEX('Data_SA'!$A:$LO,MATCH(EDATE(U$2,-1),'Data_SA'!$A:$A,0),MATCH($E330,'Data_SA'!$1:$1,0))-1,""))</f>
        <v/>
      </c>
      <c r="X330" s="7">
        <f>IFERROR(INDEX('Data_NSA'!$A:$OK,MATCH(U$2,'Data_NSA'!$A:$A,0),MATCH($D330,'Data_NSA'!$1:$1,0))/INDEX('Data_NSA'!$A:$OK,MATCH(EDATE(U$2,-12),'Data_NSA'!$A:$A,0),MATCH($D330,'Data_NSA'!$1:$1,0))-1,"")</f>
        <v/>
      </c>
      <c r="Y330" s="10">
        <f>IFERROR(INDEX('Weights'!$G:$I,MATCH($A330,'Weights'!$A:$A,0),MATCH(U$2,'Weights'!$G$1:$I$1,0)),"")</f>
        <v/>
      </c>
      <c r="Z330" s="10">
        <f>IF($E330="","",IFERROR(100*(INDEX('Weights'!$D:$D,MATCH($A330,'Weights'!$A:$A,0))*(INDEX('Data_NSA'!$A:$OK,MATCH(EDATE(U$2,-1),'Data_NSA'!$A:$A,0),MATCH($D330,'Data_NSA'!$1:$1,0))/INDEX('Data_NSA'!$A:$OK,MATCH(INDEX('Weights'!$E:$E,MATCH($A330,'Weights'!$A:$A,0)),'Data_NSA'!$A:$A,0),MATCH($D330,'Data_NSA'!$1:$1,0))))/(100*(INDEX('Data_NSA'!$A:$OK,MATCH(EDATE(U$2,-1),'Data_NSA'!$A:$A,0),MATCH("CUUR0000SA0",'Data_NSA'!$1:$1,0))/INDEX('Data_NSA'!$A:$OK,MATCH(INDEX('Weights'!$E:$E,MATCH($A330,'Weights'!$A:$A,0)),'Data_NSA'!$A:$A,0),MATCH("CUUR0000SA0",'Data_NSA'!$1:$1,0))))*(INDEX('Data_SA'!$A:$LO,MATCH(U$2,'Data_SA'!$A:$A,0),MATCH($E330,'Data_SA'!$1:$1,0))/INDEX('Data_SA'!$A:$LO,MATCH(EDATE(U$2,-1),'Data_SA'!$A:$A,0),MATCH($E330,'Data_SA'!$1:$1,0))-1),""))</f>
        <v/>
      </c>
    </row>
    <row r="331">
      <c r="A331" s="3" t="inlineStr">
        <is>
          <t>SS27051</t>
        </is>
      </c>
      <c r="B331" s="3" t="inlineStr">
        <is>
          <t>Land-line interstate toll calls</t>
        </is>
      </c>
      <c r="C331" s="3" t="inlineStr">
        <is>
          <t>SEED04</t>
        </is>
      </c>
      <c r="D331" s="3" t="inlineStr">
        <is>
          <t>CUUR0000SS27051</t>
        </is>
      </c>
      <c r="E331" s="3" t="inlineStr"/>
      <c r="F331" s="3" t="inlineStr">
        <is>
          <t>GM</t>
        </is>
      </c>
      <c r="G331" s="3" t="inlineStr">
        <is>
          <t>monthly in New York/Los Angeles/Chicago; often bimonthly elsewhere</t>
        </is>
      </c>
      <c r="H331" s="10">
        <f>IFERROR(INDEX(Weights!$D:$D,MATCH($A331,Weights!$A:$A,0)),"")</f>
        <v/>
      </c>
      <c r="I331" s="10">
        <f>IFERROR(INDEX('Data_NSA'!$A:$OK,MATCH(I$2,'Data_NSA'!$A:$A,0),MATCH($D331,'Data_NSA'!$1:$1,0)),"")</f>
        <v/>
      </c>
      <c r="J331" s="10">
        <f>IF($E331="","",IFERROR(INDEX('Data_SA'!$A:$LO,MATCH(I$2,'Data_SA'!$A:$A,0),MATCH($E331,'Data_SA'!$1:$1,0)),""))</f>
        <v/>
      </c>
      <c r="K331" s="7">
        <f>IF($E331="","",IFERROR(INDEX('Data_SA'!$A:$LO,MATCH(I$2,'Data_SA'!$A:$A,0),MATCH($E331,'Data_SA'!$1:$1,0))/INDEX('Data_SA'!$A:$LO,MATCH(EDATE(I$2,-1),'Data_SA'!$A:$A,0),MATCH($E331,'Data_SA'!$1:$1,0))-1,""))</f>
        <v/>
      </c>
      <c r="L331" s="7">
        <f>IFERROR(INDEX('Data_NSA'!$A:$OK,MATCH(I$2,'Data_NSA'!$A:$A,0),MATCH($D331,'Data_NSA'!$1:$1,0))/INDEX('Data_NSA'!$A:$OK,MATCH(EDATE(I$2,-12),'Data_NSA'!$A:$A,0),MATCH($D331,'Data_NSA'!$1:$1,0))-1,"")</f>
        <v/>
      </c>
      <c r="M331" s="10">
        <f>IFERROR(INDEX('Weights'!$G:$I,MATCH($A331,'Weights'!$A:$A,0),MATCH(I$2,'Weights'!$G$1:$I$1,0)),"")</f>
        <v/>
      </c>
      <c r="N331" s="10">
        <f>IF($E331="","",IFERROR(100*(INDEX('Weights'!$D:$D,MATCH($A331,'Weights'!$A:$A,0))*(INDEX('Data_NSA'!$A:$OK,MATCH(EDATE(I$2,-1),'Data_NSA'!$A:$A,0),MATCH($D331,'Data_NSA'!$1:$1,0))/INDEX('Data_NSA'!$A:$OK,MATCH(INDEX('Weights'!$E:$E,MATCH($A331,'Weights'!$A:$A,0)),'Data_NSA'!$A:$A,0),MATCH($D331,'Data_NSA'!$1:$1,0))))/(100*(INDEX('Data_NSA'!$A:$OK,MATCH(EDATE(I$2,-1),'Data_NSA'!$A:$A,0),MATCH("CUUR0000SA0",'Data_NSA'!$1:$1,0))/INDEX('Data_NSA'!$A:$OK,MATCH(INDEX('Weights'!$E:$E,MATCH($A331,'Weights'!$A:$A,0)),'Data_NSA'!$A:$A,0),MATCH("CUUR0000SA0",'Data_NSA'!$1:$1,0))))*(INDEX('Data_SA'!$A:$LO,MATCH(I$2,'Data_SA'!$A:$A,0),MATCH($E331,'Data_SA'!$1:$1,0))/INDEX('Data_SA'!$A:$LO,MATCH(EDATE(I$2,-1),'Data_SA'!$A:$A,0),MATCH($E331,'Data_SA'!$1:$1,0))-1),""))</f>
        <v/>
      </c>
      <c r="O331" s="10">
        <f>IFERROR(INDEX('Data_NSA'!$A:$OK,MATCH(O$2,'Data_NSA'!$A:$A,0),MATCH($D331,'Data_NSA'!$1:$1,0)),"")</f>
        <v/>
      </c>
      <c r="P331" s="10">
        <f>IF($E331="","",IFERROR(INDEX('Data_SA'!$A:$LO,MATCH(O$2,'Data_SA'!$A:$A,0),MATCH($E331,'Data_SA'!$1:$1,0)),""))</f>
        <v/>
      </c>
      <c r="Q331" s="7">
        <f>IF($E331="","",IFERROR(INDEX('Data_SA'!$A:$LO,MATCH(O$2,'Data_SA'!$A:$A,0),MATCH($E331,'Data_SA'!$1:$1,0))/INDEX('Data_SA'!$A:$LO,MATCH(EDATE(O$2,-1),'Data_SA'!$A:$A,0),MATCH($E331,'Data_SA'!$1:$1,0))-1,""))</f>
        <v/>
      </c>
      <c r="R331" s="7">
        <f>IFERROR(INDEX('Data_NSA'!$A:$OK,MATCH(O$2,'Data_NSA'!$A:$A,0),MATCH($D331,'Data_NSA'!$1:$1,0))/INDEX('Data_NSA'!$A:$OK,MATCH(EDATE(O$2,-12),'Data_NSA'!$A:$A,0),MATCH($D331,'Data_NSA'!$1:$1,0))-1,"")</f>
        <v/>
      </c>
      <c r="S331" s="10">
        <f>IFERROR(INDEX('Weights'!$G:$I,MATCH($A331,'Weights'!$A:$A,0),MATCH(O$2,'Weights'!$G$1:$I$1,0)),"")</f>
        <v/>
      </c>
      <c r="T331" s="10">
        <f>IF($E331="","",IFERROR(100*(INDEX('Weights'!$D:$D,MATCH($A331,'Weights'!$A:$A,0))*(INDEX('Data_NSA'!$A:$OK,MATCH(EDATE(O$2,-1),'Data_NSA'!$A:$A,0),MATCH($D331,'Data_NSA'!$1:$1,0))/INDEX('Data_NSA'!$A:$OK,MATCH(INDEX('Weights'!$E:$E,MATCH($A331,'Weights'!$A:$A,0)),'Data_NSA'!$A:$A,0),MATCH($D331,'Data_NSA'!$1:$1,0))))/(100*(INDEX('Data_NSA'!$A:$OK,MATCH(EDATE(O$2,-1),'Data_NSA'!$A:$A,0),MATCH("CUUR0000SA0",'Data_NSA'!$1:$1,0))/INDEX('Data_NSA'!$A:$OK,MATCH(INDEX('Weights'!$E:$E,MATCH($A331,'Weights'!$A:$A,0)),'Data_NSA'!$A:$A,0),MATCH("CUUR0000SA0",'Data_NSA'!$1:$1,0))))*(INDEX('Data_SA'!$A:$LO,MATCH(O$2,'Data_SA'!$A:$A,0),MATCH($E331,'Data_SA'!$1:$1,0))/INDEX('Data_SA'!$A:$LO,MATCH(EDATE(O$2,-1),'Data_SA'!$A:$A,0),MATCH($E331,'Data_SA'!$1:$1,0))-1),""))</f>
        <v/>
      </c>
      <c r="U331" s="10">
        <f>IFERROR(INDEX('Data_NSA'!$A:$OK,MATCH(U$2,'Data_NSA'!$A:$A,0),MATCH($D331,'Data_NSA'!$1:$1,0)),"")</f>
        <v/>
      </c>
      <c r="V331" s="10">
        <f>IF($E331="","",IFERROR(INDEX('Data_SA'!$A:$LO,MATCH(U$2,'Data_SA'!$A:$A,0),MATCH($E331,'Data_SA'!$1:$1,0)),""))</f>
        <v/>
      </c>
      <c r="W331" s="7">
        <f>IF($E331="","",IFERROR(INDEX('Data_SA'!$A:$LO,MATCH(U$2,'Data_SA'!$A:$A,0),MATCH($E331,'Data_SA'!$1:$1,0))/INDEX('Data_SA'!$A:$LO,MATCH(EDATE(U$2,-1),'Data_SA'!$A:$A,0),MATCH($E331,'Data_SA'!$1:$1,0))-1,""))</f>
        <v/>
      </c>
      <c r="X331" s="7">
        <f>IFERROR(INDEX('Data_NSA'!$A:$OK,MATCH(U$2,'Data_NSA'!$A:$A,0),MATCH($D331,'Data_NSA'!$1:$1,0))/INDEX('Data_NSA'!$A:$OK,MATCH(EDATE(U$2,-12),'Data_NSA'!$A:$A,0),MATCH($D331,'Data_NSA'!$1:$1,0))-1,"")</f>
        <v/>
      </c>
      <c r="Y331" s="10">
        <f>IFERROR(INDEX('Weights'!$G:$I,MATCH($A331,'Weights'!$A:$A,0),MATCH(U$2,'Weights'!$G$1:$I$1,0)),"")</f>
        <v/>
      </c>
      <c r="Z331" s="10">
        <f>IF($E331="","",IFERROR(100*(INDEX('Weights'!$D:$D,MATCH($A331,'Weights'!$A:$A,0))*(INDEX('Data_NSA'!$A:$OK,MATCH(EDATE(U$2,-1),'Data_NSA'!$A:$A,0),MATCH($D331,'Data_NSA'!$1:$1,0))/INDEX('Data_NSA'!$A:$OK,MATCH(INDEX('Weights'!$E:$E,MATCH($A331,'Weights'!$A:$A,0)),'Data_NSA'!$A:$A,0),MATCH($D331,'Data_NSA'!$1:$1,0))))/(100*(INDEX('Data_NSA'!$A:$OK,MATCH(EDATE(U$2,-1),'Data_NSA'!$A:$A,0),MATCH("CUUR0000SA0",'Data_NSA'!$1:$1,0))/INDEX('Data_NSA'!$A:$OK,MATCH(INDEX('Weights'!$E:$E,MATCH($A331,'Weights'!$A:$A,0)),'Data_NSA'!$A:$A,0),MATCH("CUUR0000SA0",'Data_NSA'!$1:$1,0))))*(INDEX('Data_SA'!$A:$LO,MATCH(U$2,'Data_SA'!$A:$A,0),MATCH($E331,'Data_SA'!$1:$1,0))/INDEX('Data_SA'!$A:$LO,MATCH(EDATE(U$2,-1),'Data_SA'!$A:$A,0),MATCH($E331,'Data_SA'!$1:$1,0))-1),""))</f>
        <v/>
      </c>
    </row>
    <row r="332">
      <c r="A332" s="3" t="inlineStr">
        <is>
          <t>SS27061</t>
        </is>
      </c>
      <c r="B332" s="3" t="inlineStr">
        <is>
          <t>Land-line intrastate toll calls</t>
        </is>
      </c>
      <c r="C332" s="3" t="inlineStr">
        <is>
          <t>SEED04</t>
        </is>
      </c>
      <c r="D332" s="3" t="inlineStr">
        <is>
          <t>CUUR0000SS27061</t>
        </is>
      </c>
      <c r="E332" s="3" t="inlineStr"/>
      <c r="F332" s="3" t="inlineStr">
        <is>
          <t>GM</t>
        </is>
      </c>
      <c r="G332" s="3" t="inlineStr">
        <is>
          <t>monthly in New York/Los Angeles/Chicago; often bimonthly elsewhere</t>
        </is>
      </c>
      <c r="H332" s="10">
        <f>IFERROR(INDEX(Weights!$D:$D,MATCH($A332,Weights!$A:$A,0)),"")</f>
        <v/>
      </c>
      <c r="I332" s="10">
        <f>IFERROR(INDEX('Data_NSA'!$A:$OK,MATCH(I$2,'Data_NSA'!$A:$A,0),MATCH($D332,'Data_NSA'!$1:$1,0)),"")</f>
        <v/>
      </c>
      <c r="J332" s="10">
        <f>IF($E332="","",IFERROR(INDEX('Data_SA'!$A:$LO,MATCH(I$2,'Data_SA'!$A:$A,0),MATCH($E332,'Data_SA'!$1:$1,0)),""))</f>
        <v/>
      </c>
      <c r="K332" s="7">
        <f>IF($E332="","",IFERROR(INDEX('Data_SA'!$A:$LO,MATCH(I$2,'Data_SA'!$A:$A,0),MATCH($E332,'Data_SA'!$1:$1,0))/INDEX('Data_SA'!$A:$LO,MATCH(EDATE(I$2,-1),'Data_SA'!$A:$A,0),MATCH($E332,'Data_SA'!$1:$1,0))-1,""))</f>
        <v/>
      </c>
      <c r="L332" s="7">
        <f>IFERROR(INDEX('Data_NSA'!$A:$OK,MATCH(I$2,'Data_NSA'!$A:$A,0),MATCH($D332,'Data_NSA'!$1:$1,0))/INDEX('Data_NSA'!$A:$OK,MATCH(EDATE(I$2,-12),'Data_NSA'!$A:$A,0),MATCH($D332,'Data_NSA'!$1:$1,0))-1,"")</f>
        <v/>
      </c>
      <c r="M332" s="10">
        <f>IFERROR(INDEX('Weights'!$G:$I,MATCH($A332,'Weights'!$A:$A,0),MATCH(I$2,'Weights'!$G$1:$I$1,0)),"")</f>
        <v/>
      </c>
      <c r="N332" s="10">
        <f>IF($E332="","",IFERROR(100*(INDEX('Weights'!$D:$D,MATCH($A332,'Weights'!$A:$A,0))*(INDEX('Data_NSA'!$A:$OK,MATCH(EDATE(I$2,-1),'Data_NSA'!$A:$A,0),MATCH($D332,'Data_NSA'!$1:$1,0))/INDEX('Data_NSA'!$A:$OK,MATCH(INDEX('Weights'!$E:$E,MATCH($A332,'Weights'!$A:$A,0)),'Data_NSA'!$A:$A,0),MATCH($D332,'Data_NSA'!$1:$1,0))))/(100*(INDEX('Data_NSA'!$A:$OK,MATCH(EDATE(I$2,-1),'Data_NSA'!$A:$A,0),MATCH("CUUR0000SA0",'Data_NSA'!$1:$1,0))/INDEX('Data_NSA'!$A:$OK,MATCH(INDEX('Weights'!$E:$E,MATCH($A332,'Weights'!$A:$A,0)),'Data_NSA'!$A:$A,0),MATCH("CUUR0000SA0",'Data_NSA'!$1:$1,0))))*(INDEX('Data_SA'!$A:$LO,MATCH(I$2,'Data_SA'!$A:$A,0),MATCH($E332,'Data_SA'!$1:$1,0))/INDEX('Data_SA'!$A:$LO,MATCH(EDATE(I$2,-1),'Data_SA'!$A:$A,0),MATCH($E332,'Data_SA'!$1:$1,0))-1),""))</f>
        <v/>
      </c>
      <c r="O332" s="10">
        <f>IFERROR(INDEX('Data_NSA'!$A:$OK,MATCH(O$2,'Data_NSA'!$A:$A,0),MATCH($D332,'Data_NSA'!$1:$1,0)),"")</f>
        <v/>
      </c>
      <c r="P332" s="10">
        <f>IF($E332="","",IFERROR(INDEX('Data_SA'!$A:$LO,MATCH(O$2,'Data_SA'!$A:$A,0),MATCH($E332,'Data_SA'!$1:$1,0)),""))</f>
        <v/>
      </c>
      <c r="Q332" s="7">
        <f>IF($E332="","",IFERROR(INDEX('Data_SA'!$A:$LO,MATCH(O$2,'Data_SA'!$A:$A,0),MATCH($E332,'Data_SA'!$1:$1,0))/INDEX('Data_SA'!$A:$LO,MATCH(EDATE(O$2,-1),'Data_SA'!$A:$A,0),MATCH($E332,'Data_SA'!$1:$1,0))-1,""))</f>
        <v/>
      </c>
      <c r="R332" s="7">
        <f>IFERROR(INDEX('Data_NSA'!$A:$OK,MATCH(O$2,'Data_NSA'!$A:$A,0),MATCH($D332,'Data_NSA'!$1:$1,0))/INDEX('Data_NSA'!$A:$OK,MATCH(EDATE(O$2,-12),'Data_NSA'!$A:$A,0),MATCH($D332,'Data_NSA'!$1:$1,0))-1,"")</f>
        <v/>
      </c>
      <c r="S332" s="10">
        <f>IFERROR(INDEX('Weights'!$G:$I,MATCH($A332,'Weights'!$A:$A,0),MATCH(O$2,'Weights'!$G$1:$I$1,0)),"")</f>
        <v/>
      </c>
      <c r="T332" s="10">
        <f>IF($E332="","",IFERROR(100*(INDEX('Weights'!$D:$D,MATCH($A332,'Weights'!$A:$A,0))*(INDEX('Data_NSA'!$A:$OK,MATCH(EDATE(O$2,-1),'Data_NSA'!$A:$A,0),MATCH($D332,'Data_NSA'!$1:$1,0))/INDEX('Data_NSA'!$A:$OK,MATCH(INDEX('Weights'!$E:$E,MATCH($A332,'Weights'!$A:$A,0)),'Data_NSA'!$A:$A,0),MATCH($D332,'Data_NSA'!$1:$1,0))))/(100*(INDEX('Data_NSA'!$A:$OK,MATCH(EDATE(O$2,-1),'Data_NSA'!$A:$A,0),MATCH("CUUR0000SA0",'Data_NSA'!$1:$1,0))/INDEX('Data_NSA'!$A:$OK,MATCH(INDEX('Weights'!$E:$E,MATCH($A332,'Weights'!$A:$A,0)),'Data_NSA'!$A:$A,0),MATCH("CUUR0000SA0",'Data_NSA'!$1:$1,0))))*(INDEX('Data_SA'!$A:$LO,MATCH(O$2,'Data_SA'!$A:$A,0),MATCH($E332,'Data_SA'!$1:$1,0))/INDEX('Data_SA'!$A:$LO,MATCH(EDATE(O$2,-1),'Data_SA'!$A:$A,0),MATCH($E332,'Data_SA'!$1:$1,0))-1),""))</f>
        <v/>
      </c>
      <c r="U332" s="10">
        <f>IFERROR(INDEX('Data_NSA'!$A:$OK,MATCH(U$2,'Data_NSA'!$A:$A,0),MATCH($D332,'Data_NSA'!$1:$1,0)),"")</f>
        <v/>
      </c>
      <c r="V332" s="10">
        <f>IF($E332="","",IFERROR(INDEX('Data_SA'!$A:$LO,MATCH(U$2,'Data_SA'!$A:$A,0),MATCH($E332,'Data_SA'!$1:$1,0)),""))</f>
        <v/>
      </c>
      <c r="W332" s="7">
        <f>IF($E332="","",IFERROR(INDEX('Data_SA'!$A:$LO,MATCH(U$2,'Data_SA'!$A:$A,0),MATCH($E332,'Data_SA'!$1:$1,0))/INDEX('Data_SA'!$A:$LO,MATCH(EDATE(U$2,-1),'Data_SA'!$A:$A,0),MATCH($E332,'Data_SA'!$1:$1,0))-1,""))</f>
        <v/>
      </c>
      <c r="X332" s="7">
        <f>IFERROR(INDEX('Data_NSA'!$A:$OK,MATCH(U$2,'Data_NSA'!$A:$A,0),MATCH($D332,'Data_NSA'!$1:$1,0))/INDEX('Data_NSA'!$A:$OK,MATCH(EDATE(U$2,-12),'Data_NSA'!$A:$A,0),MATCH($D332,'Data_NSA'!$1:$1,0))-1,"")</f>
        <v/>
      </c>
      <c r="Y332" s="10">
        <f>IFERROR(INDEX('Weights'!$G:$I,MATCH($A332,'Weights'!$A:$A,0),MATCH(U$2,'Weights'!$G$1:$I$1,0)),"")</f>
        <v/>
      </c>
      <c r="Z332" s="10">
        <f>IF($E332="","",IFERROR(100*(INDEX('Weights'!$D:$D,MATCH($A332,'Weights'!$A:$A,0))*(INDEX('Data_NSA'!$A:$OK,MATCH(EDATE(U$2,-1),'Data_NSA'!$A:$A,0),MATCH($D332,'Data_NSA'!$1:$1,0))/INDEX('Data_NSA'!$A:$OK,MATCH(INDEX('Weights'!$E:$E,MATCH($A332,'Weights'!$A:$A,0)),'Data_NSA'!$A:$A,0),MATCH($D332,'Data_NSA'!$1:$1,0))))/(100*(INDEX('Data_NSA'!$A:$OK,MATCH(EDATE(U$2,-1),'Data_NSA'!$A:$A,0),MATCH("CUUR0000SA0",'Data_NSA'!$1:$1,0))/INDEX('Data_NSA'!$A:$OK,MATCH(INDEX('Weights'!$E:$E,MATCH($A332,'Weights'!$A:$A,0)),'Data_NSA'!$A:$A,0),MATCH("CUUR0000SA0",'Data_NSA'!$1:$1,0))))*(INDEX('Data_SA'!$A:$LO,MATCH(U$2,'Data_SA'!$A:$A,0),MATCH($E332,'Data_SA'!$1:$1,0))/INDEX('Data_SA'!$A:$LO,MATCH(EDATE(U$2,-1),'Data_SA'!$A:$A,0),MATCH($E332,'Data_SA'!$1:$1,0))-1),""))</f>
        <v/>
      </c>
    </row>
    <row r="333">
      <c r="A333" s="3" t="inlineStr">
        <is>
          <t>SEEE</t>
        </is>
      </c>
      <c r="B333" s="3" t="inlineStr">
        <is>
          <t>Information technology, hardware and services</t>
        </is>
      </c>
      <c r="C333" s="3" t="inlineStr">
        <is>
          <t>SAE2</t>
        </is>
      </c>
      <c r="D333" s="3" t="inlineStr">
        <is>
          <t>CUUR0000SEEE</t>
        </is>
      </c>
      <c r="E333" s="3" t="inlineStr">
        <is>
          <t>CUSR0000SEEE</t>
        </is>
      </c>
      <c r="F333" s="3" t="inlineStr">
        <is>
          <t>aggregate</t>
        </is>
      </c>
      <c r="G333" s="3" t="inlineStr">
        <is>
          <t>aggregate</t>
        </is>
      </c>
      <c r="H333" s="10">
        <f>IFERROR(INDEX(Weights!$D:$D,MATCH($A333,Weights!$A:$A,0)),"")</f>
        <v/>
      </c>
      <c r="I333" s="10">
        <f>IFERROR(INDEX('Data_NSA'!$A:$OK,MATCH(I$2,'Data_NSA'!$A:$A,0),MATCH($D333,'Data_NSA'!$1:$1,0)),"")</f>
        <v/>
      </c>
      <c r="J333" s="10">
        <f>IF($E333="","",IFERROR(INDEX('Data_SA'!$A:$LO,MATCH(I$2,'Data_SA'!$A:$A,0),MATCH($E333,'Data_SA'!$1:$1,0)),""))</f>
        <v/>
      </c>
      <c r="K333" s="7">
        <f>IF($E333="","",IFERROR(INDEX('Data_SA'!$A:$LO,MATCH(I$2,'Data_SA'!$A:$A,0),MATCH($E333,'Data_SA'!$1:$1,0))/INDEX('Data_SA'!$A:$LO,MATCH(EDATE(I$2,-1),'Data_SA'!$A:$A,0),MATCH($E333,'Data_SA'!$1:$1,0))-1,""))</f>
        <v/>
      </c>
      <c r="L333" s="7">
        <f>IFERROR(INDEX('Data_NSA'!$A:$OK,MATCH(I$2,'Data_NSA'!$A:$A,0),MATCH($D333,'Data_NSA'!$1:$1,0))/INDEX('Data_NSA'!$A:$OK,MATCH(EDATE(I$2,-12),'Data_NSA'!$A:$A,0),MATCH($D333,'Data_NSA'!$1:$1,0))-1,"")</f>
        <v/>
      </c>
      <c r="M333" s="10">
        <f>IFERROR(INDEX('Weights'!$G:$I,MATCH($A333,'Weights'!$A:$A,0),MATCH(I$2,'Weights'!$G$1:$I$1,0)),"")</f>
        <v/>
      </c>
      <c r="N333" s="10">
        <f>IF($E333="","",IFERROR(100*(INDEX('Weights'!$D:$D,MATCH($A333,'Weights'!$A:$A,0))*(INDEX('Data_NSA'!$A:$OK,MATCH(EDATE(I$2,-1),'Data_NSA'!$A:$A,0),MATCH($D333,'Data_NSA'!$1:$1,0))/INDEX('Data_NSA'!$A:$OK,MATCH(INDEX('Weights'!$E:$E,MATCH($A333,'Weights'!$A:$A,0)),'Data_NSA'!$A:$A,0),MATCH($D333,'Data_NSA'!$1:$1,0))))/(100*(INDEX('Data_NSA'!$A:$OK,MATCH(EDATE(I$2,-1),'Data_NSA'!$A:$A,0),MATCH("CUUR0000SA0",'Data_NSA'!$1:$1,0))/INDEX('Data_NSA'!$A:$OK,MATCH(INDEX('Weights'!$E:$E,MATCH($A333,'Weights'!$A:$A,0)),'Data_NSA'!$A:$A,0),MATCH("CUUR0000SA0",'Data_NSA'!$1:$1,0))))*(INDEX('Data_SA'!$A:$LO,MATCH(I$2,'Data_SA'!$A:$A,0),MATCH($E333,'Data_SA'!$1:$1,0))/INDEX('Data_SA'!$A:$LO,MATCH(EDATE(I$2,-1),'Data_SA'!$A:$A,0),MATCH($E333,'Data_SA'!$1:$1,0))-1),""))</f>
        <v/>
      </c>
      <c r="O333" s="10">
        <f>IFERROR(INDEX('Data_NSA'!$A:$OK,MATCH(O$2,'Data_NSA'!$A:$A,0),MATCH($D333,'Data_NSA'!$1:$1,0)),"")</f>
        <v/>
      </c>
      <c r="P333" s="10">
        <f>IF($E333="","",IFERROR(INDEX('Data_SA'!$A:$LO,MATCH(O$2,'Data_SA'!$A:$A,0),MATCH($E333,'Data_SA'!$1:$1,0)),""))</f>
        <v/>
      </c>
      <c r="Q333" s="7">
        <f>IF($E333="","",IFERROR(INDEX('Data_SA'!$A:$LO,MATCH(O$2,'Data_SA'!$A:$A,0),MATCH($E333,'Data_SA'!$1:$1,0))/INDEX('Data_SA'!$A:$LO,MATCH(EDATE(O$2,-1),'Data_SA'!$A:$A,0),MATCH($E333,'Data_SA'!$1:$1,0))-1,""))</f>
        <v/>
      </c>
      <c r="R333" s="7">
        <f>IFERROR(INDEX('Data_NSA'!$A:$OK,MATCH(O$2,'Data_NSA'!$A:$A,0),MATCH($D333,'Data_NSA'!$1:$1,0))/INDEX('Data_NSA'!$A:$OK,MATCH(EDATE(O$2,-12),'Data_NSA'!$A:$A,0),MATCH($D333,'Data_NSA'!$1:$1,0))-1,"")</f>
        <v/>
      </c>
      <c r="S333" s="10">
        <f>IFERROR(INDEX('Weights'!$G:$I,MATCH($A333,'Weights'!$A:$A,0),MATCH(O$2,'Weights'!$G$1:$I$1,0)),"")</f>
        <v/>
      </c>
      <c r="T333" s="10">
        <f>IF($E333="","",IFERROR(100*(INDEX('Weights'!$D:$D,MATCH($A333,'Weights'!$A:$A,0))*(INDEX('Data_NSA'!$A:$OK,MATCH(EDATE(O$2,-1),'Data_NSA'!$A:$A,0),MATCH($D333,'Data_NSA'!$1:$1,0))/INDEX('Data_NSA'!$A:$OK,MATCH(INDEX('Weights'!$E:$E,MATCH($A333,'Weights'!$A:$A,0)),'Data_NSA'!$A:$A,0),MATCH($D333,'Data_NSA'!$1:$1,0))))/(100*(INDEX('Data_NSA'!$A:$OK,MATCH(EDATE(O$2,-1),'Data_NSA'!$A:$A,0),MATCH("CUUR0000SA0",'Data_NSA'!$1:$1,0))/INDEX('Data_NSA'!$A:$OK,MATCH(INDEX('Weights'!$E:$E,MATCH($A333,'Weights'!$A:$A,0)),'Data_NSA'!$A:$A,0),MATCH("CUUR0000SA0",'Data_NSA'!$1:$1,0))))*(INDEX('Data_SA'!$A:$LO,MATCH(O$2,'Data_SA'!$A:$A,0),MATCH($E333,'Data_SA'!$1:$1,0))/INDEX('Data_SA'!$A:$LO,MATCH(EDATE(O$2,-1),'Data_SA'!$A:$A,0),MATCH($E333,'Data_SA'!$1:$1,0))-1),""))</f>
        <v/>
      </c>
      <c r="U333" s="10">
        <f>IFERROR(INDEX('Data_NSA'!$A:$OK,MATCH(U$2,'Data_NSA'!$A:$A,0),MATCH($D333,'Data_NSA'!$1:$1,0)),"")</f>
        <v/>
      </c>
      <c r="V333" s="10">
        <f>IF($E333="","",IFERROR(INDEX('Data_SA'!$A:$LO,MATCH(U$2,'Data_SA'!$A:$A,0),MATCH($E333,'Data_SA'!$1:$1,0)),""))</f>
        <v/>
      </c>
      <c r="W333" s="7">
        <f>IF($E333="","",IFERROR(INDEX('Data_SA'!$A:$LO,MATCH(U$2,'Data_SA'!$A:$A,0),MATCH($E333,'Data_SA'!$1:$1,0))/INDEX('Data_SA'!$A:$LO,MATCH(EDATE(U$2,-1),'Data_SA'!$A:$A,0),MATCH($E333,'Data_SA'!$1:$1,0))-1,""))</f>
        <v/>
      </c>
      <c r="X333" s="7">
        <f>IFERROR(INDEX('Data_NSA'!$A:$OK,MATCH(U$2,'Data_NSA'!$A:$A,0),MATCH($D333,'Data_NSA'!$1:$1,0))/INDEX('Data_NSA'!$A:$OK,MATCH(EDATE(U$2,-12),'Data_NSA'!$A:$A,0),MATCH($D333,'Data_NSA'!$1:$1,0))-1,"")</f>
        <v/>
      </c>
      <c r="Y333" s="10">
        <f>IFERROR(INDEX('Weights'!$G:$I,MATCH($A333,'Weights'!$A:$A,0),MATCH(U$2,'Weights'!$G$1:$I$1,0)),"")</f>
        <v/>
      </c>
      <c r="Z333" s="10">
        <f>IF($E333="","",IFERROR(100*(INDEX('Weights'!$D:$D,MATCH($A333,'Weights'!$A:$A,0))*(INDEX('Data_NSA'!$A:$OK,MATCH(EDATE(U$2,-1),'Data_NSA'!$A:$A,0),MATCH($D333,'Data_NSA'!$1:$1,0))/INDEX('Data_NSA'!$A:$OK,MATCH(INDEX('Weights'!$E:$E,MATCH($A333,'Weights'!$A:$A,0)),'Data_NSA'!$A:$A,0),MATCH($D333,'Data_NSA'!$1:$1,0))))/(100*(INDEX('Data_NSA'!$A:$OK,MATCH(EDATE(U$2,-1),'Data_NSA'!$A:$A,0),MATCH("CUUR0000SA0",'Data_NSA'!$1:$1,0))/INDEX('Data_NSA'!$A:$OK,MATCH(INDEX('Weights'!$E:$E,MATCH($A333,'Weights'!$A:$A,0)),'Data_NSA'!$A:$A,0),MATCH("CUUR0000SA0",'Data_NSA'!$1:$1,0))))*(INDEX('Data_SA'!$A:$LO,MATCH(U$2,'Data_SA'!$A:$A,0),MATCH($E333,'Data_SA'!$1:$1,0))/INDEX('Data_SA'!$A:$LO,MATCH(EDATE(U$2,-1),'Data_SA'!$A:$A,0),MATCH($E333,'Data_SA'!$1:$1,0))-1),""))</f>
        <v/>
      </c>
    </row>
    <row r="334">
      <c r="A334" s="3" t="inlineStr">
        <is>
          <t>SEEE01</t>
        </is>
      </c>
      <c r="B334" s="3" t="inlineStr">
        <is>
          <t>Computers, peripherals, and smart home assistants</t>
        </is>
      </c>
      <c r="C334" s="3" t="inlineStr">
        <is>
          <t>SEEE</t>
        </is>
      </c>
      <c r="D334" s="3" t="inlineStr">
        <is>
          <t>CUUR0000SEEE01</t>
        </is>
      </c>
      <c r="E334" s="3" t="inlineStr">
        <is>
          <t>CUSR0000SEEE01</t>
        </is>
      </c>
      <c r="F334" s="3" t="inlineStr">
        <is>
          <t>GM</t>
        </is>
      </c>
      <c r="G334" s="3" t="inlineStr">
        <is>
          <t>monthly in New York/Los Angeles/Chicago; often bimonthly elsewhere</t>
        </is>
      </c>
      <c r="H334" s="10">
        <f>IFERROR(INDEX(Weights!$D:$D,MATCH($A334,Weights!$A:$A,0)),"")</f>
        <v/>
      </c>
      <c r="I334" s="10">
        <f>IFERROR(INDEX('Data_NSA'!$A:$OK,MATCH(I$2,'Data_NSA'!$A:$A,0),MATCH($D334,'Data_NSA'!$1:$1,0)),"")</f>
        <v/>
      </c>
      <c r="J334" s="10">
        <f>IF($E334="","",IFERROR(INDEX('Data_SA'!$A:$LO,MATCH(I$2,'Data_SA'!$A:$A,0),MATCH($E334,'Data_SA'!$1:$1,0)),""))</f>
        <v/>
      </c>
      <c r="K334" s="7">
        <f>IF($E334="","",IFERROR(INDEX('Data_SA'!$A:$LO,MATCH(I$2,'Data_SA'!$A:$A,0),MATCH($E334,'Data_SA'!$1:$1,0))/INDEX('Data_SA'!$A:$LO,MATCH(EDATE(I$2,-1),'Data_SA'!$A:$A,0),MATCH($E334,'Data_SA'!$1:$1,0))-1,""))</f>
        <v/>
      </c>
      <c r="L334" s="7">
        <f>IFERROR(INDEX('Data_NSA'!$A:$OK,MATCH(I$2,'Data_NSA'!$A:$A,0),MATCH($D334,'Data_NSA'!$1:$1,0))/INDEX('Data_NSA'!$A:$OK,MATCH(EDATE(I$2,-12),'Data_NSA'!$A:$A,0),MATCH($D334,'Data_NSA'!$1:$1,0))-1,"")</f>
        <v/>
      </c>
      <c r="M334" s="10">
        <f>IFERROR(INDEX('Weights'!$G:$I,MATCH($A334,'Weights'!$A:$A,0),MATCH(I$2,'Weights'!$G$1:$I$1,0)),"")</f>
        <v/>
      </c>
      <c r="N334" s="10">
        <f>IF($E334="","",IFERROR(100*(INDEX('Weights'!$D:$D,MATCH($A334,'Weights'!$A:$A,0))*(INDEX('Data_NSA'!$A:$OK,MATCH(EDATE(I$2,-1),'Data_NSA'!$A:$A,0),MATCH($D334,'Data_NSA'!$1:$1,0))/INDEX('Data_NSA'!$A:$OK,MATCH(INDEX('Weights'!$E:$E,MATCH($A334,'Weights'!$A:$A,0)),'Data_NSA'!$A:$A,0),MATCH($D334,'Data_NSA'!$1:$1,0))))/(100*(INDEX('Data_NSA'!$A:$OK,MATCH(EDATE(I$2,-1),'Data_NSA'!$A:$A,0),MATCH("CUUR0000SA0",'Data_NSA'!$1:$1,0))/INDEX('Data_NSA'!$A:$OK,MATCH(INDEX('Weights'!$E:$E,MATCH($A334,'Weights'!$A:$A,0)),'Data_NSA'!$A:$A,0),MATCH("CUUR0000SA0",'Data_NSA'!$1:$1,0))))*(INDEX('Data_SA'!$A:$LO,MATCH(I$2,'Data_SA'!$A:$A,0),MATCH($E334,'Data_SA'!$1:$1,0))/INDEX('Data_SA'!$A:$LO,MATCH(EDATE(I$2,-1),'Data_SA'!$A:$A,0),MATCH($E334,'Data_SA'!$1:$1,0))-1),""))</f>
        <v/>
      </c>
      <c r="O334" s="10">
        <f>IFERROR(INDEX('Data_NSA'!$A:$OK,MATCH(O$2,'Data_NSA'!$A:$A,0),MATCH($D334,'Data_NSA'!$1:$1,0)),"")</f>
        <v/>
      </c>
      <c r="P334" s="10">
        <f>IF($E334="","",IFERROR(INDEX('Data_SA'!$A:$LO,MATCH(O$2,'Data_SA'!$A:$A,0),MATCH($E334,'Data_SA'!$1:$1,0)),""))</f>
        <v/>
      </c>
      <c r="Q334" s="7">
        <f>IF($E334="","",IFERROR(INDEX('Data_SA'!$A:$LO,MATCH(O$2,'Data_SA'!$A:$A,0),MATCH($E334,'Data_SA'!$1:$1,0))/INDEX('Data_SA'!$A:$LO,MATCH(EDATE(O$2,-1),'Data_SA'!$A:$A,0),MATCH($E334,'Data_SA'!$1:$1,0))-1,""))</f>
        <v/>
      </c>
      <c r="R334" s="7">
        <f>IFERROR(INDEX('Data_NSA'!$A:$OK,MATCH(O$2,'Data_NSA'!$A:$A,0),MATCH($D334,'Data_NSA'!$1:$1,0))/INDEX('Data_NSA'!$A:$OK,MATCH(EDATE(O$2,-12),'Data_NSA'!$A:$A,0),MATCH($D334,'Data_NSA'!$1:$1,0))-1,"")</f>
        <v/>
      </c>
      <c r="S334" s="10">
        <f>IFERROR(INDEX('Weights'!$G:$I,MATCH($A334,'Weights'!$A:$A,0),MATCH(O$2,'Weights'!$G$1:$I$1,0)),"")</f>
        <v/>
      </c>
      <c r="T334" s="10">
        <f>IF($E334="","",IFERROR(100*(INDEX('Weights'!$D:$D,MATCH($A334,'Weights'!$A:$A,0))*(INDEX('Data_NSA'!$A:$OK,MATCH(EDATE(O$2,-1),'Data_NSA'!$A:$A,0),MATCH($D334,'Data_NSA'!$1:$1,0))/INDEX('Data_NSA'!$A:$OK,MATCH(INDEX('Weights'!$E:$E,MATCH($A334,'Weights'!$A:$A,0)),'Data_NSA'!$A:$A,0),MATCH($D334,'Data_NSA'!$1:$1,0))))/(100*(INDEX('Data_NSA'!$A:$OK,MATCH(EDATE(O$2,-1),'Data_NSA'!$A:$A,0),MATCH("CUUR0000SA0",'Data_NSA'!$1:$1,0))/INDEX('Data_NSA'!$A:$OK,MATCH(INDEX('Weights'!$E:$E,MATCH($A334,'Weights'!$A:$A,0)),'Data_NSA'!$A:$A,0),MATCH("CUUR0000SA0",'Data_NSA'!$1:$1,0))))*(INDEX('Data_SA'!$A:$LO,MATCH(O$2,'Data_SA'!$A:$A,0),MATCH($E334,'Data_SA'!$1:$1,0))/INDEX('Data_SA'!$A:$LO,MATCH(EDATE(O$2,-1),'Data_SA'!$A:$A,0),MATCH($E334,'Data_SA'!$1:$1,0))-1),""))</f>
        <v/>
      </c>
      <c r="U334" s="10">
        <f>IFERROR(INDEX('Data_NSA'!$A:$OK,MATCH(U$2,'Data_NSA'!$A:$A,0),MATCH($D334,'Data_NSA'!$1:$1,0)),"")</f>
        <v/>
      </c>
      <c r="V334" s="10">
        <f>IF($E334="","",IFERROR(INDEX('Data_SA'!$A:$LO,MATCH(U$2,'Data_SA'!$A:$A,0),MATCH($E334,'Data_SA'!$1:$1,0)),""))</f>
        <v/>
      </c>
      <c r="W334" s="7">
        <f>IF($E334="","",IFERROR(INDEX('Data_SA'!$A:$LO,MATCH(U$2,'Data_SA'!$A:$A,0),MATCH($E334,'Data_SA'!$1:$1,0))/INDEX('Data_SA'!$A:$LO,MATCH(EDATE(U$2,-1),'Data_SA'!$A:$A,0),MATCH($E334,'Data_SA'!$1:$1,0))-1,""))</f>
        <v/>
      </c>
      <c r="X334" s="7">
        <f>IFERROR(INDEX('Data_NSA'!$A:$OK,MATCH(U$2,'Data_NSA'!$A:$A,0),MATCH($D334,'Data_NSA'!$1:$1,0))/INDEX('Data_NSA'!$A:$OK,MATCH(EDATE(U$2,-12),'Data_NSA'!$A:$A,0),MATCH($D334,'Data_NSA'!$1:$1,0))-1,"")</f>
        <v/>
      </c>
      <c r="Y334" s="10">
        <f>IFERROR(INDEX('Weights'!$G:$I,MATCH($A334,'Weights'!$A:$A,0),MATCH(U$2,'Weights'!$G$1:$I$1,0)),"")</f>
        <v/>
      </c>
      <c r="Z334" s="10">
        <f>IF($E334="","",IFERROR(100*(INDEX('Weights'!$D:$D,MATCH($A334,'Weights'!$A:$A,0))*(INDEX('Data_NSA'!$A:$OK,MATCH(EDATE(U$2,-1),'Data_NSA'!$A:$A,0),MATCH($D334,'Data_NSA'!$1:$1,0))/INDEX('Data_NSA'!$A:$OK,MATCH(INDEX('Weights'!$E:$E,MATCH($A334,'Weights'!$A:$A,0)),'Data_NSA'!$A:$A,0),MATCH($D334,'Data_NSA'!$1:$1,0))))/(100*(INDEX('Data_NSA'!$A:$OK,MATCH(EDATE(U$2,-1),'Data_NSA'!$A:$A,0),MATCH("CUUR0000SA0",'Data_NSA'!$1:$1,0))/INDEX('Data_NSA'!$A:$OK,MATCH(INDEX('Weights'!$E:$E,MATCH($A334,'Weights'!$A:$A,0)),'Data_NSA'!$A:$A,0),MATCH("CUUR0000SA0",'Data_NSA'!$1:$1,0))))*(INDEX('Data_SA'!$A:$LO,MATCH(U$2,'Data_SA'!$A:$A,0),MATCH($E334,'Data_SA'!$1:$1,0))/INDEX('Data_SA'!$A:$LO,MATCH(EDATE(U$2,-1),'Data_SA'!$A:$A,0),MATCH($E334,'Data_SA'!$1:$1,0))-1),""))</f>
        <v/>
      </c>
    </row>
    <row r="335">
      <c r="A335" s="3" t="inlineStr">
        <is>
          <t>SEEE02</t>
        </is>
      </c>
      <c r="B335" s="3" t="inlineStr">
        <is>
          <t>Computer software and accessories</t>
        </is>
      </c>
      <c r="C335" s="3" t="inlineStr">
        <is>
          <t>SEEE</t>
        </is>
      </c>
      <c r="D335" s="3" t="inlineStr">
        <is>
          <t>CUUR0000SEEE02</t>
        </is>
      </c>
      <c r="E335" s="3" t="inlineStr"/>
      <c r="F335" s="3" t="inlineStr">
        <is>
          <t>GM</t>
        </is>
      </c>
      <c r="G335" s="3" t="inlineStr">
        <is>
          <t>monthly in New York/Los Angeles/Chicago; often bimonthly elsewhere</t>
        </is>
      </c>
      <c r="H335" s="10">
        <f>IFERROR(INDEX(Weights!$D:$D,MATCH($A335,Weights!$A:$A,0)),"")</f>
        <v/>
      </c>
      <c r="I335" s="10">
        <f>IFERROR(INDEX('Data_NSA'!$A:$OK,MATCH(I$2,'Data_NSA'!$A:$A,0),MATCH($D335,'Data_NSA'!$1:$1,0)),"")</f>
        <v/>
      </c>
      <c r="J335" s="10">
        <f>IF($E335="","",IFERROR(INDEX('Data_SA'!$A:$LO,MATCH(I$2,'Data_SA'!$A:$A,0),MATCH($E335,'Data_SA'!$1:$1,0)),""))</f>
        <v/>
      </c>
      <c r="K335" s="7">
        <f>IF($E335="","",IFERROR(INDEX('Data_SA'!$A:$LO,MATCH(I$2,'Data_SA'!$A:$A,0),MATCH($E335,'Data_SA'!$1:$1,0))/INDEX('Data_SA'!$A:$LO,MATCH(EDATE(I$2,-1),'Data_SA'!$A:$A,0),MATCH($E335,'Data_SA'!$1:$1,0))-1,""))</f>
        <v/>
      </c>
      <c r="L335" s="7">
        <f>IFERROR(INDEX('Data_NSA'!$A:$OK,MATCH(I$2,'Data_NSA'!$A:$A,0),MATCH($D335,'Data_NSA'!$1:$1,0))/INDEX('Data_NSA'!$A:$OK,MATCH(EDATE(I$2,-12),'Data_NSA'!$A:$A,0),MATCH($D335,'Data_NSA'!$1:$1,0))-1,"")</f>
        <v/>
      </c>
      <c r="M335" s="10">
        <f>IFERROR(INDEX('Weights'!$G:$I,MATCH($A335,'Weights'!$A:$A,0),MATCH(I$2,'Weights'!$G$1:$I$1,0)),"")</f>
        <v/>
      </c>
      <c r="N335" s="10">
        <f>IF($E335="","",IFERROR(100*(INDEX('Weights'!$D:$D,MATCH($A335,'Weights'!$A:$A,0))*(INDEX('Data_NSA'!$A:$OK,MATCH(EDATE(I$2,-1),'Data_NSA'!$A:$A,0),MATCH($D335,'Data_NSA'!$1:$1,0))/INDEX('Data_NSA'!$A:$OK,MATCH(INDEX('Weights'!$E:$E,MATCH($A335,'Weights'!$A:$A,0)),'Data_NSA'!$A:$A,0),MATCH($D335,'Data_NSA'!$1:$1,0))))/(100*(INDEX('Data_NSA'!$A:$OK,MATCH(EDATE(I$2,-1),'Data_NSA'!$A:$A,0),MATCH("CUUR0000SA0",'Data_NSA'!$1:$1,0))/INDEX('Data_NSA'!$A:$OK,MATCH(INDEX('Weights'!$E:$E,MATCH($A335,'Weights'!$A:$A,0)),'Data_NSA'!$A:$A,0),MATCH("CUUR0000SA0",'Data_NSA'!$1:$1,0))))*(INDEX('Data_SA'!$A:$LO,MATCH(I$2,'Data_SA'!$A:$A,0),MATCH($E335,'Data_SA'!$1:$1,0))/INDEX('Data_SA'!$A:$LO,MATCH(EDATE(I$2,-1),'Data_SA'!$A:$A,0),MATCH($E335,'Data_SA'!$1:$1,0))-1),""))</f>
        <v/>
      </c>
      <c r="O335" s="10">
        <f>IFERROR(INDEX('Data_NSA'!$A:$OK,MATCH(O$2,'Data_NSA'!$A:$A,0),MATCH($D335,'Data_NSA'!$1:$1,0)),"")</f>
        <v/>
      </c>
      <c r="P335" s="10">
        <f>IF($E335="","",IFERROR(INDEX('Data_SA'!$A:$LO,MATCH(O$2,'Data_SA'!$A:$A,0),MATCH($E335,'Data_SA'!$1:$1,0)),""))</f>
        <v/>
      </c>
      <c r="Q335" s="7">
        <f>IF($E335="","",IFERROR(INDEX('Data_SA'!$A:$LO,MATCH(O$2,'Data_SA'!$A:$A,0),MATCH($E335,'Data_SA'!$1:$1,0))/INDEX('Data_SA'!$A:$LO,MATCH(EDATE(O$2,-1),'Data_SA'!$A:$A,0),MATCH($E335,'Data_SA'!$1:$1,0))-1,""))</f>
        <v/>
      </c>
      <c r="R335" s="7">
        <f>IFERROR(INDEX('Data_NSA'!$A:$OK,MATCH(O$2,'Data_NSA'!$A:$A,0),MATCH($D335,'Data_NSA'!$1:$1,0))/INDEX('Data_NSA'!$A:$OK,MATCH(EDATE(O$2,-12),'Data_NSA'!$A:$A,0),MATCH($D335,'Data_NSA'!$1:$1,0))-1,"")</f>
        <v/>
      </c>
      <c r="S335" s="10">
        <f>IFERROR(INDEX('Weights'!$G:$I,MATCH($A335,'Weights'!$A:$A,0),MATCH(O$2,'Weights'!$G$1:$I$1,0)),"")</f>
        <v/>
      </c>
      <c r="T335" s="10">
        <f>IF($E335="","",IFERROR(100*(INDEX('Weights'!$D:$D,MATCH($A335,'Weights'!$A:$A,0))*(INDEX('Data_NSA'!$A:$OK,MATCH(EDATE(O$2,-1),'Data_NSA'!$A:$A,0),MATCH($D335,'Data_NSA'!$1:$1,0))/INDEX('Data_NSA'!$A:$OK,MATCH(INDEX('Weights'!$E:$E,MATCH($A335,'Weights'!$A:$A,0)),'Data_NSA'!$A:$A,0),MATCH($D335,'Data_NSA'!$1:$1,0))))/(100*(INDEX('Data_NSA'!$A:$OK,MATCH(EDATE(O$2,-1),'Data_NSA'!$A:$A,0),MATCH("CUUR0000SA0",'Data_NSA'!$1:$1,0))/INDEX('Data_NSA'!$A:$OK,MATCH(INDEX('Weights'!$E:$E,MATCH($A335,'Weights'!$A:$A,0)),'Data_NSA'!$A:$A,0),MATCH("CUUR0000SA0",'Data_NSA'!$1:$1,0))))*(INDEX('Data_SA'!$A:$LO,MATCH(O$2,'Data_SA'!$A:$A,0),MATCH($E335,'Data_SA'!$1:$1,0))/INDEX('Data_SA'!$A:$LO,MATCH(EDATE(O$2,-1),'Data_SA'!$A:$A,0),MATCH($E335,'Data_SA'!$1:$1,0))-1),""))</f>
        <v/>
      </c>
      <c r="U335" s="10">
        <f>IFERROR(INDEX('Data_NSA'!$A:$OK,MATCH(U$2,'Data_NSA'!$A:$A,0),MATCH($D335,'Data_NSA'!$1:$1,0)),"")</f>
        <v/>
      </c>
      <c r="V335" s="10">
        <f>IF($E335="","",IFERROR(INDEX('Data_SA'!$A:$LO,MATCH(U$2,'Data_SA'!$A:$A,0),MATCH($E335,'Data_SA'!$1:$1,0)),""))</f>
        <v/>
      </c>
      <c r="W335" s="7">
        <f>IF($E335="","",IFERROR(INDEX('Data_SA'!$A:$LO,MATCH(U$2,'Data_SA'!$A:$A,0),MATCH($E335,'Data_SA'!$1:$1,0))/INDEX('Data_SA'!$A:$LO,MATCH(EDATE(U$2,-1),'Data_SA'!$A:$A,0),MATCH($E335,'Data_SA'!$1:$1,0))-1,""))</f>
        <v/>
      </c>
      <c r="X335" s="7">
        <f>IFERROR(INDEX('Data_NSA'!$A:$OK,MATCH(U$2,'Data_NSA'!$A:$A,0),MATCH($D335,'Data_NSA'!$1:$1,0))/INDEX('Data_NSA'!$A:$OK,MATCH(EDATE(U$2,-12),'Data_NSA'!$A:$A,0),MATCH($D335,'Data_NSA'!$1:$1,0))-1,"")</f>
        <v/>
      </c>
      <c r="Y335" s="10">
        <f>IFERROR(INDEX('Weights'!$G:$I,MATCH($A335,'Weights'!$A:$A,0),MATCH(U$2,'Weights'!$G$1:$I$1,0)),"")</f>
        <v/>
      </c>
      <c r="Z335" s="10">
        <f>IF($E335="","",IFERROR(100*(INDEX('Weights'!$D:$D,MATCH($A335,'Weights'!$A:$A,0))*(INDEX('Data_NSA'!$A:$OK,MATCH(EDATE(U$2,-1),'Data_NSA'!$A:$A,0),MATCH($D335,'Data_NSA'!$1:$1,0))/INDEX('Data_NSA'!$A:$OK,MATCH(INDEX('Weights'!$E:$E,MATCH($A335,'Weights'!$A:$A,0)),'Data_NSA'!$A:$A,0),MATCH($D335,'Data_NSA'!$1:$1,0))))/(100*(INDEX('Data_NSA'!$A:$OK,MATCH(EDATE(U$2,-1),'Data_NSA'!$A:$A,0),MATCH("CUUR0000SA0",'Data_NSA'!$1:$1,0))/INDEX('Data_NSA'!$A:$OK,MATCH(INDEX('Weights'!$E:$E,MATCH($A335,'Weights'!$A:$A,0)),'Data_NSA'!$A:$A,0),MATCH("CUUR0000SA0",'Data_NSA'!$1:$1,0))))*(INDEX('Data_SA'!$A:$LO,MATCH(U$2,'Data_SA'!$A:$A,0),MATCH($E335,'Data_SA'!$1:$1,0))/INDEX('Data_SA'!$A:$LO,MATCH(EDATE(U$2,-1),'Data_SA'!$A:$A,0),MATCH($E335,'Data_SA'!$1:$1,0))-1),""))</f>
        <v/>
      </c>
    </row>
    <row r="336">
      <c r="A336" s="3" t="inlineStr">
        <is>
          <t>SEEE03</t>
        </is>
      </c>
      <c r="B336" s="3" t="inlineStr">
        <is>
          <t>Internet services and electronic information providers</t>
        </is>
      </c>
      <c r="C336" s="3" t="inlineStr">
        <is>
          <t>SEEE</t>
        </is>
      </c>
      <c r="D336" s="3" t="inlineStr">
        <is>
          <t>CUUR0000SEEE03</t>
        </is>
      </c>
      <c r="E336" s="3" t="inlineStr">
        <is>
          <t>CUSR0000SEEE03</t>
        </is>
      </c>
      <c r="F336" s="3" t="inlineStr">
        <is>
          <t>GM</t>
        </is>
      </c>
      <c r="G336" s="3" t="inlineStr">
        <is>
          <t>web collection</t>
        </is>
      </c>
      <c r="H336" s="10">
        <f>IFERROR(INDEX(Weights!$D:$D,MATCH($A336,Weights!$A:$A,0)),"")</f>
        <v/>
      </c>
      <c r="I336" s="10">
        <f>IFERROR(INDEX('Data_NSA'!$A:$OK,MATCH(I$2,'Data_NSA'!$A:$A,0),MATCH($D336,'Data_NSA'!$1:$1,0)),"")</f>
        <v/>
      </c>
      <c r="J336" s="10">
        <f>IF($E336="","",IFERROR(INDEX('Data_SA'!$A:$LO,MATCH(I$2,'Data_SA'!$A:$A,0),MATCH($E336,'Data_SA'!$1:$1,0)),""))</f>
        <v/>
      </c>
      <c r="K336" s="7">
        <f>IF($E336="","",IFERROR(INDEX('Data_SA'!$A:$LO,MATCH(I$2,'Data_SA'!$A:$A,0),MATCH($E336,'Data_SA'!$1:$1,0))/INDEX('Data_SA'!$A:$LO,MATCH(EDATE(I$2,-1),'Data_SA'!$A:$A,0),MATCH($E336,'Data_SA'!$1:$1,0))-1,""))</f>
        <v/>
      </c>
      <c r="L336" s="7">
        <f>IFERROR(INDEX('Data_NSA'!$A:$OK,MATCH(I$2,'Data_NSA'!$A:$A,0),MATCH($D336,'Data_NSA'!$1:$1,0))/INDEX('Data_NSA'!$A:$OK,MATCH(EDATE(I$2,-12),'Data_NSA'!$A:$A,0),MATCH($D336,'Data_NSA'!$1:$1,0))-1,"")</f>
        <v/>
      </c>
      <c r="M336" s="10">
        <f>IFERROR(INDEX('Weights'!$G:$I,MATCH($A336,'Weights'!$A:$A,0),MATCH(I$2,'Weights'!$G$1:$I$1,0)),"")</f>
        <v/>
      </c>
      <c r="N336" s="10">
        <f>IF($E336="","",IFERROR(100*(INDEX('Weights'!$D:$D,MATCH($A336,'Weights'!$A:$A,0))*(INDEX('Data_NSA'!$A:$OK,MATCH(EDATE(I$2,-1),'Data_NSA'!$A:$A,0),MATCH($D336,'Data_NSA'!$1:$1,0))/INDEX('Data_NSA'!$A:$OK,MATCH(INDEX('Weights'!$E:$E,MATCH($A336,'Weights'!$A:$A,0)),'Data_NSA'!$A:$A,0),MATCH($D336,'Data_NSA'!$1:$1,0))))/(100*(INDEX('Data_NSA'!$A:$OK,MATCH(EDATE(I$2,-1),'Data_NSA'!$A:$A,0),MATCH("CUUR0000SA0",'Data_NSA'!$1:$1,0))/INDEX('Data_NSA'!$A:$OK,MATCH(INDEX('Weights'!$E:$E,MATCH($A336,'Weights'!$A:$A,0)),'Data_NSA'!$A:$A,0),MATCH("CUUR0000SA0",'Data_NSA'!$1:$1,0))))*(INDEX('Data_SA'!$A:$LO,MATCH(I$2,'Data_SA'!$A:$A,0),MATCH($E336,'Data_SA'!$1:$1,0))/INDEX('Data_SA'!$A:$LO,MATCH(EDATE(I$2,-1),'Data_SA'!$A:$A,0),MATCH($E336,'Data_SA'!$1:$1,0))-1),""))</f>
        <v/>
      </c>
      <c r="O336" s="10">
        <f>IFERROR(INDEX('Data_NSA'!$A:$OK,MATCH(O$2,'Data_NSA'!$A:$A,0),MATCH($D336,'Data_NSA'!$1:$1,0)),"")</f>
        <v/>
      </c>
      <c r="P336" s="10">
        <f>IF($E336="","",IFERROR(INDEX('Data_SA'!$A:$LO,MATCH(O$2,'Data_SA'!$A:$A,0),MATCH($E336,'Data_SA'!$1:$1,0)),""))</f>
        <v/>
      </c>
      <c r="Q336" s="7">
        <f>IF($E336="","",IFERROR(INDEX('Data_SA'!$A:$LO,MATCH(O$2,'Data_SA'!$A:$A,0),MATCH($E336,'Data_SA'!$1:$1,0))/INDEX('Data_SA'!$A:$LO,MATCH(EDATE(O$2,-1),'Data_SA'!$A:$A,0),MATCH($E336,'Data_SA'!$1:$1,0))-1,""))</f>
        <v/>
      </c>
      <c r="R336" s="7">
        <f>IFERROR(INDEX('Data_NSA'!$A:$OK,MATCH(O$2,'Data_NSA'!$A:$A,0),MATCH($D336,'Data_NSA'!$1:$1,0))/INDEX('Data_NSA'!$A:$OK,MATCH(EDATE(O$2,-12),'Data_NSA'!$A:$A,0),MATCH($D336,'Data_NSA'!$1:$1,0))-1,"")</f>
        <v/>
      </c>
      <c r="S336" s="10">
        <f>IFERROR(INDEX('Weights'!$G:$I,MATCH($A336,'Weights'!$A:$A,0),MATCH(O$2,'Weights'!$G$1:$I$1,0)),"")</f>
        <v/>
      </c>
      <c r="T336" s="10">
        <f>IF($E336="","",IFERROR(100*(INDEX('Weights'!$D:$D,MATCH($A336,'Weights'!$A:$A,0))*(INDEX('Data_NSA'!$A:$OK,MATCH(EDATE(O$2,-1),'Data_NSA'!$A:$A,0),MATCH($D336,'Data_NSA'!$1:$1,0))/INDEX('Data_NSA'!$A:$OK,MATCH(INDEX('Weights'!$E:$E,MATCH($A336,'Weights'!$A:$A,0)),'Data_NSA'!$A:$A,0),MATCH($D336,'Data_NSA'!$1:$1,0))))/(100*(INDEX('Data_NSA'!$A:$OK,MATCH(EDATE(O$2,-1),'Data_NSA'!$A:$A,0),MATCH("CUUR0000SA0",'Data_NSA'!$1:$1,0))/INDEX('Data_NSA'!$A:$OK,MATCH(INDEX('Weights'!$E:$E,MATCH($A336,'Weights'!$A:$A,0)),'Data_NSA'!$A:$A,0),MATCH("CUUR0000SA0",'Data_NSA'!$1:$1,0))))*(INDEX('Data_SA'!$A:$LO,MATCH(O$2,'Data_SA'!$A:$A,0),MATCH($E336,'Data_SA'!$1:$1,0))/INDEX('Data_SA'!$A:$LO,MATCH(EDATE(O$2,-1),'Data_SA'!$A:$A,0),MATCH($E336,'Data_SA'!$1:$1,0))-1),""))</f>
        <v/>
      </c>
      <c r="U336" s="10">
        <f>IFERROR(INDEX('Data_NSA'!$A:$OK,MATCH(U$2,'Data_NSA'!$A:$A,0),MATCH($D336,'Data_NSA'!$1:$1,0)),"")</f>
        <v/>
      </c>
      <c r="V336" s="10">
        <f>IF($E336="","",IFERROR(INDEX('Data_SA'!$A:$LO,MATCH(U$2,'Data_SA'!$A:$A,0),MATCH($E336,'Data_SA'!$1:$1,0)),""))</f>
        <v/>
      </c>
      <c r="W336" s="7">
        <f>IF($E336="","",IFERROR(INDEX('Data_SA'!$A:$LO,MATCH(U$2,'Data_SA'!$A:$A,0),MATCH($E336,'Data_SA'!$1:$1,0))/INDEX('Data_SA'!$A:$LO,MATCH(EDATE(U$2,-1),'Data_SA'!$A:$A,0),MATCH($E336,'Data_SA'!$1:$1,0))-1,""))</f>
        <v/>
      </c>
      <c r="X336" s="7">
        <f>IFERROR(INDEX('Data_NSA'!$A:$OK,MATCH(U$2,'Data_NSA'!$A:$A,0),MATCH($D336,'Data_NSA'!$1:$1,0))/INDEX('Data_NSA'!$A:$OK,MATCH(EDATE(U$2,-12),'Data_NSA'!$A:$A,0),MATCH($D336,'Data_NSA'!$1:$1,0))-1,"")</f>
        <v/>
      </c>
      <c r="Y336" s="10">
        <f>IFERROR(INDEX('Weights'!$G:$I,MATCH($A336,'Weights'!$A:$A,0),MATCH(U$2,'Weights'!$G$1:$I$1,0)),"")</f>
        <v/>
      </c>
      <c r="Z336" s="10">
        <f>IF($E336="","",IFERROR(100*(INDEX('Weights'!$D:$D,MATCH($A336,'Weights'!$A:$A,0))*(INDEX('Data_NSA'!$A:$OK,MATCH(EDATE(U$2,-1),'Data_NSA'!$A:$A,0),MATCH($D336,'Data_NSA'!$1:$1,0))/INDEX('Data_NSA'!$A:$OK,MATCH(INDEX('Weights'!$E:$E,MATCH($A336,'Weights'!$A:$A,0)),'Data_NSA'!$A:$A,0),MATCH($D336,'Data_NSA'!$1:$1,0))))/(100*(INDEX('Data_NSA'!$A:$OK,MATCH(EDATE(U$2,-1),'Data_NSA'!$A:$A,0),MATCH("CUUR0000SA0",'Data_NSA'!$1:$1,0))/INDEX('Data_NSA'!$A:$OK,MATCH(INDEX('Weights'!$E:$E,MATCH($A336,'Weights'!$A:$A,0)),'Data_NSA'!$A:$A,0),MATCH("CUUR0000SA0",'Data_NSA'!$1:$1,0))))*(INDEX('Data_SA'!$A:$LO,MATCH(U$2,'Data_SA'!$A:$A,0),MATCH($E336,'Data_SA'!$1:$1,0))/INDEX('Data_SA'!$A:$LO,MATCH(EDATE(U$2,-1),'Data_SA'!$A:$A,0),MATCH($E336,'Data_SA'!$1:$1,0))-1),""))</f>
        <v/>
      </c>
    </row>
    <row r="337">
      <c r="A337" s="3" t="inlineStr">
        <is>
          <t>SEEE04</t>
        </is>
      </c>
      <c r="B337" s="3" t="inlineStr">
        <is>
          <t>Telephone hardware, calculators, and other consumer information items</t>
        </is>
      </c>
      <c r="C337" s="3" t="inlineStr">
        <is>
          <t>SEEE</t>
        </is>
      </c>
      <c r="D337" s="3" t="inlineStr">
        <is>
          <t>CUUR0000SEEE04</t>
        </is>
      </c>
      <c r="E337" s="3" t="inlineStr">
        <is>
          <t>CUSR0000SEEE04</t>
        </is>
      </c>
      <c r="F337" s="3" t="inlineStr">
        <is>
          <t>GM</t>
        </is>
      </c>
      <c r="G337" s="3" t="inlineStr">
        <is>
          <t>directed substitution since 2018</t>
        </is>
      </c>
      <c r="H337" s="10">
        <f>IFERROR(INDEX(Weights!$D:$D,MATCH($A337,Weights!$A:$A,0)),"")</f>
        <v/>
      </c>
      <c r="I337" s="10">
        <f>IFERROR(INDEX('Data_NSA'!$A:$OK,MATCH(I$2,'Data_NSA'!$A:$A,0),MATCH($D337,'Data_NSA'!$1:$1,0)),"")</f>
        <v/>
      </c>
      <c r="J337" s="10">
        <f>IF($E337="","",IFERROR(INDEX('Data_SA'!$A:$LO,MATCH(I$2,'Data_SA'!$A:$A,0),MATCH($E337,'Data_SA'!$1:$1,0)),""))</f>
        <v/>
      </c>
      <c r="K337" s="7">
        <f>IF($E337="","",IFERROR(INDEX('Data_SA'!$A:$LO,MATCH(I$2,'Data_SA'!$A:$A,0),MATCH($E337,'Data_SA'!$1:$1,0))/INDEX('Data_SA'!$A:$LO,MATCH(EDATE(I$2,-1),'Data_SA'!$A:$A,0),MATCH($E337,'Data_SA'!$1:$1,0))-1,""))</f>
        <v/>
      </c>
      <c r="L337" s="7">
        <f>IFERROR(INDEX('Data_NSA'!$A:$OK,MATCH(I$2,'Data_NSA'!$A:$A,0),MATCH($D337,'Data_NSA'!$1:$1,0))/INDEX('Data_NSA'!$A:$OK,MATCH(EDATE(I$2,-12),'Data_NSA'!$A:$A,0),MATCH($D337,'Data_NSA'!$1:$1,0))-1,"")</f>
        <v/>
      </c>
      <c r="M337" s="10">
        <f>IFERROR(INDEX('Weights'!$G:$I,MATCH($A337,'Weights'!$A:$A,0),MATCH(I$2,'Weights'!$G$1:$I$1,0)),"")</f>
        <v/>
      </c>
      <c r="N337" s="10">
        <f>IF($E337="","",IFERROR(100*(INDEX('Weights'!$D:$D,MATCH($A337,'Weights'!$A:$A,0))*(INDEX('Data_NSA'!$A:$OK,MATCH(EDATE(I$2,-1),'Data_NSA'!$A:$A,0),MATCH($D337,'Data_NSA'!$1:$1,0))/INDEX('Data_NSA'!$A:$OK,MATCH(INDEX('Weights'!$E:$E,MATCH($A337,'Weights'!$A:$A,0)),'Data_NSA'!$A:$A,0),MATCH($D337,'Data_NSA'!$1:$1,0))))/(100*(INDEX('Data_NSA'!$A:$OK,MATCH(EDATE(I$2,-1),'Data_NSA'!$A:$A,0),MATCH("CUUR0000SA0",'Data_NSA'!$1:$1,0))/INDEX('Data_NSA'!$A:$OK,MATCH(INDEX('Weights'!$E:$E,MATCH($A337,'Weights'!$A:$A,0)),'Data_NSA'!$A:$A,0),MATCH("CUUR0000SA0",'Data_NSA'!$1:$1,0))))*(INDEX('Data_SA'!$A:$LO,MATCH(I$2,'Data_SA'!$A:$A,0),MATCH($E337,'Data_SA'!$1:$1,0))/INDEX('Data_SA'!$A:$LO,MATCH(EDATE(I$2,-1),'Data_SA'!$A:$A,0),MATCH($E337,'Data_SA'!$1:$1,0))-1),""))</f>
        <v/>
      </c>
      <c r="O337" s="10">
        <f>IFERROR(INDEX('Data_NSA'!$A:$OK,MATCH(O$2,'Data_NSA'!$A:$A,0),MATCH($D337,'Data_NSA'!$1:$1,0)),"")</f>
        <v/>
      </c>
      <c r="P337" s="10">
        <f>IF($E337="","",IFERROR(INDEX('Data_SA'!$A:$LO,MATCH(O$2,'Data_SA'!$A:$A,0),MATCH($E337,'Data_SA'!$1:$1,0)),""))</f>
        <v/>
      </c>
      <c r="Q337" s="7">
        <f>IF($E337="","",IFERROR(INDEX('Data_SA'!$A:$LO,MATCH(O$2,'Data_SA'!$A:$A,0),MATCH($E337,'Data_SA'!$1:$1,0))/INDEX('Data_SA'!$A:$LO,MATCH(EDATE(O$2,-1),'Data_SA'!$A:$A,0),MATCH($E337,'Data_SA'!$1:$1,0))-1,""))</f>
        <v/>
      </c>
      <c r="R337" s="7">
        <f>IFERROR(INDEX('Data_NSA'!$A:$OK,MATCH(O$2,'Data_NSA'!$A:$A,0),MATCH($D337,'Data_NSA'!$1:$1,0))/INDEX('Data_NSA'!$A:$OK,MATCH(EDATE(O$2,-12),'Data_NSA'!$A:$A,0),MATCH($D337,'Data_NSA'!$1:$1,0))-1,"")</f>
        <v/>
      </c>
      <c r="S337" s="10">
        <f>IFERROR(INDEX('Weights'!$G:$I,MATCH($A337,'Weights'!$A:$A,0),MATCH(O$2,'Weights'!$G$1:$I$1,0)),"")</f>
        <v/>
      </c>
      <c r="T337" s="10">
        <f>IF($E337="","",IFERROR(100*(INDEX('Weights'!$D:$D,MATCH($A337,'Weights'!$A:$A,0))*(INDEX('Data_NSA'!$A:$OK,MATCH(EDATE(O$2,-1),'Data_NSA'!$A:$A,0),MATCH($D337,'Data_NSA'!$1:$1,0))/INDEX('Data_NSA'!$A:$OK,MATCH(INDEX('Weights'!$E:$E,MATCH($A337,'Weights'!$A:$A,0)),'Data_NSA'!$A:$A,0),MATCH($D337,'Data_NSA'!$1:$1,0))))/(100*(INDEX('Data_NSA'!$A:$OK,MATCH(EDATE(O$2,-1),'Data_NSA'!$A:$A,0),MATCH("CUUR0000SA0",'Data_NSA'!$1:$1,0))/INDEX('Data_NSA'!$A:$OK,MATCH(INDEX('Weights'!$E:$E,MATCH($A337,'Weights'!$A:$A,0)),'Data_NSA'!$A:$A,0),MATCH("CUUR0000SA0",'Data_NSA'!$1:$1,0))))*(INDEX('Data_SA'!$A:$LO,MATCH(O$2,'Data_SA'!$A:$A,0),MATCH($E337,'Data_SA'!$1:$1,0))/INDEX('Data_SA'!$A:$LO,MATCH(EDATE(O$2,-1),'Data_SA'!$A:$A,0),MATCH($E337,'Data_SA'!$1:$1,0))-1),""))</f>
        <v/>
      </c>
      <c r="U337" s="10">
        <f>IFERROR(INDEX('Data_NSA'!$A:$OK,MATCH(U$2,'Data_NSA'!$A:$A,0),MATCH($D337,'Data_NSA'!$1:$1,0)),"")</f>
        <v/>
      </c>
      <c r="V337" s="10">
        <f>IF($E337="","",IFERROR(INDEX('Data_SA'!$A:$LO,MATCH(U$2,'Data_SA'!$A:$A,0),MATCH($E337,'Data_SA'!$1:$1,0)),""))</f>
        <v/>
      </c>
      <c r="W337" s="7">
        <f>IF($E337="","",IFERROR(INDEX('Data_SA'!$A:$LO,MATCH(U$2,'Data_SA'!$A:$A,0),MATCH($E337,'Data_SA'!$1:$1,0))/INDEX('Data_SA'!$A:$LO,MATCH(EDATE(U$2,-1),'Data_SA'!$A:$A,0),MATCH($E337,'Data_SA'!$1:$1,0))-1,""))</f>
        <v/>
      </c>
      <c r="X337" s="7">
        <f>IFERROR(INDEX('Data_NSA'!$A:$OK,MATCH(U$2,'Data_NSA'!$A:$A,0),MATCH($D337,'Data_NSA'!$1:$1,0))/INDEX('Data_NSA'!$A:$OK,MATCH(EDATE(U$2,-12),'Data_NSA'!$A:$A,0),MATCH($D337,'Data_NSA'!$1:$1,0))-1,"")</f>
        <v/>
      </c>
      <c r="Y337" s="10">
        <f>IFERROR(INDEX('Weights'!$G:$I,MATCH($A337,'Weights'!$A:$A,0),MATCH(U$2,'Weights'!$G$1:$I$1,0)),"")</f>
        <v/>
      </c>
      <c r="Z337" s="10">
        <f>IF($E337="","",IFERROR(100*(INDEX('Weights'!$D:$D,MATCH($A337,'Weights'!$A:$A,0))*(INDEX('Data_NSA'!$A:$OK,MATCH(EDATE(U$2,-1),'Data_NSA'!$A:$A,0),MATCH($D337,'Data_NSA'!$1:$1,0))/INDEX('Data_NSA'!$A:$OK,MATCH(INDEX('Weights'!$E:$E,MATCH($A337,'Weights'!$A:$A,0)),'Data_NSA'!$A:$A,0),MATCH($D337,'Data_NSA'!$1:$1,0))))/(100*(INDEX('Data_NSA'!$A:$OK,MATCH(EDATE(U$2,-1),'Data_NSA'!$A:$A,0),MATCH("CUUR0000SA0",'Data_NSA'!$1:$1,0))/INDEX('Data_NSA'!$A:$OK,MATCH(INDEX('Weights'!$E:$E,MATCH($A337,'Weights'!$A:$A,0)),'Data_NSA'!$A:$A,0),MATCH("CUUR0000SA0",'Data_NSA'!$1:$1,0))))*(INDEX('Data_SA'!$A:$LO,MATCH(U$2,'Data_SA'!$A:$A,0),MATCH($E337,'Data_SA'!$1:$1,0))/INDEX('Data_SA'!$A:$LO,MATCH(EDATE(U$2,-1),'Data_SA'!$A:$A,0),MATCH($E337,'Data_SA'!$1:$1,0))-1),""))</f>
        <v/>
      </c>
    </row>
    <row r="338">
      <c r="A338" s="3" t="inlineStr">
        <is>
          <t>SSEE041</t>
        </is>
      </c>
      <c r="B338" s="3" t="inlineStr">
        <is>
          <t>Smartphones</t>
        </is>
      </c>
      <c r="C338" s="3" t="inlineStr">
        <is>
          <t>SEEE04</t>
        </is>
      </c>
      <c r="D338" s="3" t="inlineStr">
        <is>
          <t>CUUR0000SSEE041</t>
        </is>
      </c>
      <c r="E338" s="3" t="inlineStr"/>
      <c r="F338" s="3" t="inlineStr">
        <is>
          <t>GM</t>
        </is>
      </c>
      <c r="G338" s="3" t="inlineStr">
        <is>
          <t>monthly in New York/Los Angeles/Chicago; often bimonthly elsewhere</t>
        </is>
      </c>
      <c r="H338" s="10">
        <f>IFERROR(INDEX(Weights!$D:$D,MATCH($A338,Weights!$A:$A,0)),"")</f>
        <v/>
      </c>
      <c r="I338" s="10">
        <f>IFERROR(INDEX('Data_NSA'!$A:$OK,MATCH(I$2,'Data_NSA'!$A:$A,0),MATCH($D338,'Data_NSA'!$1:$1,0)),"")</f>
        <v/>
      </c>
      <c r="J338" s="10">
        <f>IF($E338="","",IFERROR(INDEX('Data_SA'!$A:$LO,MATCH(I$2,'Data_SA'!$A:$A,0),MATCH($E338,'Data_SA'!$1:$1,0)),""))</f>
        <v/>
      </c>
      <c r="K338" s="7">
        <f>IF($E338="","",IFERROR(INDEX('Data_SA'!$A:$LO,MATCH(I$2,'Data_SA'!$A:$A,0),MATCH($E338,'Data_SA'!$1:$1,0))/INDEX('Data_SA'!$A:$LO,MATCH(EDATE(I$2,-1),'Data_SA'!$A:$A,0),MATCH($E338,'Data_SA'!$1:$1,0))-1,""))</f>
        <v/>
      </c>
      <c r="L338" s="7">
        <f>IFERROR(INDEX('Data_NSA'!$A:$OK,MATCH(I$2,'Data_NSA'!$A:$A,0),MATCH($D338,'Data_NSA'!$1:$1,0))/INDEX('Data_NSA'!$A:$OK,MATCH(EDATE(I$2,-12),'Data_NSA'!$A:$A,0),MATCH($D338,'Data_NSA'!$1:$1,0))-1,"")</f>
        <v/>
      </c>
      <c r="M338" s="10">
        <f>IFERROR(INDEX('Weights'!$G:$I,MATCH($A338,'Weights'!$A:$A,0),MATCH(I$2,'Weights'!$G$1:$I$1,0)),"")</f>
        <v/>
      </c>
      <c r="N338" s="10">
        <f>IF($E338="","",IFERROR(100*(INDEX('Weights'!$D:$D,MATCH($A338,'Weights'!$A:$A,0))*(INDEX('Data_NSA'!$A:$OK,MATCH(EDATE(I$2,-1),'Data_NSA'!$A:$A,0),MATCH($D338,'Data_NSA'!$1:$1,0))/INDEX('Data_NSA'!$A:$OK,MATCH(INDEX('Weights'!$E:$E,MATCH($A338,'Weights'!$A:$A,0)),'Data_NSA'!$A:$A,0),MATCH($D338,'Data_NSA'!$1:$1,0))))/(100*(INDEX('Data_NSA'!$A:$OK,MATCH(EDATE(I$2,-1),'Data_NSA'!$A:$A,0),MATCH("CUUR0000SA0",'Data_NSA'!$1:$1,0))/INDEX('Data_NSA'!$A:$OK,MATCH(INDEX('Weights'!$E:$E,MATCH($A338,'Weights'!$A:$A,0)),'Data_NSA'!$A:$A,0),MATCH("CUUR0000SA0",'Data_NSA'!$1:$1,0))))*(INDEX('Data_SA'!$A:$LO,MATCH(I$2,'Data_SA'!$A:$A,0),MATCH($E338,'Data_SA'!$1:$1,0))/INDEX('Data_SA'!$A:$LO,MATCH(EDATE(I$2,-1),'Data_SA'!$A:$A,0),MATCH($E338,'Data_SA'!$1:$1,0))-1),""))</f>
        <v/>
      </c>
      <c r="O338" s="10">
        <f>IFERROR(INDEX('Data_NSA'!$A:$OK,MATCH(O$2,'Data_NSA'!$A:$A,0),MATCH($D338,'Data_NSA'!$1:$1,0)),"")</f>
        <v/>
      </c>
      <c r="P338" s="10">
        <f>IF($E338="","",IFERROR(INDEX('Data_SA'!$A:$LO,MATCH(O$2,'Data_SA'!$A:$A,0),MATCH($E338,'Data_SA'!$1:$1,0)),""))</f>
        <v/>
      </c>
      <c r="Q338" s="7">
        <f>IF($E338="","",IFERROR(INDEX('Data_SA'!$A:$LO,MATCH(O$2,'Data_SA'!$A:$A,0),MATCH($E338,'Data_SA'!$1:$1,0))/INDEX('Data_SA'!$A:$LO,MATCH(EDATE(O$2,-1),'Data_SA'!$A:$A,0),MATCH($E338,'Data_SA'!$1:$1,0))-1,""))</f>
        <v/>
      </c>
      <c r="R338" s="7">
        <f>IFERROR(INDEX('Data_NSA'!$A:$OK,MATCH(O$2,'Data_NSA'!$A:$A,0),MATCH($D338,'Data_NSA'!$1:$1,0))/INDEX('Data_NSA'!$A:$OK,MATCH(EDATE(O$2,-12),'Data_NSA'!$A:$A,0),MATCH($D338,'Data_NSA'!$1:$1,0))-1,"")</f>
        <v/>
      </c>
      <c r="S338" s="10">
        <f>IFERROR(INDEX('Weights'!$G:$I,MATCH($A338,'Weights'!$A:$A,0),MATCH(O$2,'Weights'!$G$1:$I$1,0)),"")</f>
        <v/>
      </c>
      <c r="T338" s="10">
        <f>IF($E338="","",IFERROR(100*(INDEX('Weights'!$D:$D,MATCH($A338,'Weights'!$A:$A,0))*(INDEX('Data_NSA'!$A:$OK,MATCH(EDATE(O$2,-1),'Data_NSA'!$A:$A,0),MATCH($D338,'Data_NSA'!$1:$1,0))/INDEX('Data_NSA'!$A:$OK,MATCH(INDEX('Weights'!$E:$E,MATCH($A338,'Weights'!$A:$A,0)),'Data_NSA'!$A:$A,0),MATCH($D338,'Data_NSA'!$1:$1,0))))/(100*(INDEX('Data_NSA'!$A:$OK,MATCH(EDATE(O$2,-1),'Data_NSA'!$A:$A,0),MATCH("CUUR0000SA0",'Data_NSA'!$1:$1,0))/INDEX('Data_NSA'!$A:$OK,MATCH(INDEX('Weights'!$E:$E,MATCH($A338,'Weights'!$A:$A,0)),'Data_NSA'!$A:$A,0),MATCH("CUUR0000SA0",'Data_NSA'!$1:$1,0))))*(INDEX('Data_SA'!$A:$LO,MATCH(O$2,'Data_SA'!$A:$A,0),MATCH($E338,'Data_SA'!$1:$1,0))/INDEX('Data_SA'!$A:$LO,MATCH(EDATE(O$2,-1),'Data_SA'!$A:$A,0),MATCH($E338,'Data_SA'!$1:$1,0))-1),""))</f>
        <v/>
      </c>
      <c r="U338" s="10">
        <f>IFERROR(INDEX('Data_NSA'!$A:$OK,MATCH(U$2,'Data_NSA'!$A:$A,0),MATCH($D338,'Data_NSA'!$1:$1,0)),"")</f>
        <v/>
      </c>
      <c r="V338" s="10">
        <f>IF($E338="","",IFERROR(INDEX('Data_SA'!$A:$LO,MATCH(U$2,'Data_SA'!$A:$A,0),MATCH($E338,'Data_SA'!$1:$1,0)),""))</f>
        <v/>
      </c>
      <c r="W338" s="7">
        <f>IF($E338="","",IFERROR(INDEX('Data_SA'!$A:$LO,MATCH(U$2,'Data_SA'!$A:$A,0),MATCH($E338,'Data_SA'!$1:$1,0))/INDEX('Data_SA'!$A:$LO,MATCH(EDATE(U$2,-1),'Data_SA'!$A:$A,0),MATCH($E338,'Data_SA'!$1:$1,0))-1,""))</f>
        <v/>
      </c>
      <c r="X338" s="7">
        <f>IFERROR(INDEX('Data_NSA'!$A:$OK,MATCH(U$2,'Data_NSA'!$A:$A,0),MATCH($D338,'Data_NSA'!$1:$1,0))/INDEX('Data_NSA'!$A:$OK,MATCH(EDATE(U$2,-12),'Data_NSA'!$A:$A,0),MATCH($D338,'Data_NSA'!$1:$1,0))-1,"")</f>
        <v/>
      </c>
      <c r="Y338" s="10">
        <f>IFERROR(INDEX('Weights'!$G:$I,MATCH($A338,'Weights'!$A:$A,0),MATCH(U$2,'Weights'!$G$1:$I$1,0)),"")</f>
        <v/>
      </c>
      <c r="Z338" s="10">
        <f>IF($E338="","",IFERROR(100*(INDEX('Weights'!$D:$D,MATCH($A338,'Weights'!$A:$A,0))*(INDEX('Data_NSA'!$A:$OK,MATCH(EDATE(U$2,-1),'Data_NSA'!$A:$A,0),MATCH($D338,'Data_NSA'!$1:$1,0))/INDEX('Data_NSA'!$A:$OK,MATCH(INDEX('Weights'!$E:$E,MATCH($A338,'Weights'!$A:$A,0)),'Data_NSA'!$A:$A,0),MATCH($D338,'Data_NSA'!$1:$1,0))))/(100*(INDEX('Data_NSA'!$A:$OK,MATCH(EDATE(U$2,-1),'Data_NSA'!$A:$A,0),MATCH("CUUR0000SA0",'Data_NSA'!$1:$1,0))/INDEX('Data_NSA'!$A:$OK,MATCH(INDEX('Weights'!$E:$E,MATCH($A338,'Weights'!$A:$A,0)),'Data_NSA'!$A:$A,0),MATCH("CUUR0000SA0",'Data_NSA'!$1:$1,0))))*(INDEX('Data_SA'!$A:$LO,MATCH(U$2,'Data_SA'!$A:$A,0),MATCH($E338,'Data_SA'!$1:$1,0))/INDEX('Data_SA'!$A:$LO,MATCH(EDATE(U$2,-1),'Data_SA'!$A:$A,0),MATCH($E338,'Data_SA'!$1:$1,0))-1),""))</f>
        <v/>
      </c>
    </row>
    <row r="339">
      <c r="A339" s="3" t="inlineStr">
        <is>
          <t>SAG</t>
        </is>
      </c>
      <c r="B339" s="3" t="inlineStr">
        <is>
          <t>Other goods and services</t>
        </is>
      </c>
      <c r="C339" s="3" t="inlineStr">
        <is>
          <t>SA0</t>
        </is>
      </c>
      <c r="D339" s="3" t="inlineStr">
        <is>
          <t>CUUR0000SAG</t>
        </is>
      </c>
      <c r="E339" s="3" t="inlineStr">
        <is>
          <t>CUSR0000SAG</t>
        </is>
      </c>
      <c r="F339" s="3" t="inlineStr">
        <is>
          <t>aggregate</t>
        </is>
      </c>
      <c r="G339" s="3" t="inlineStr">
        <is>
          <t>aggregate</t>
        </is>
      </c>
      <c r="H339" s="10">
        <f>IFERROR(INDEX(Weights!$D:$D,MATCH($A339,Weights!$A:$A,0)),"")</f>
        <v/>
      </c>
      <c r="I339" s="10">
        <f>IFERROR(INDEX('Data_NSA'!$A:$OK,MATCH(I$2,'Data_NSA'!$A:$A,0),MATCH($D339,'Data_NSA'!$1:$1,0)),"")</f>
        <v/>
      </c>
      <c r="J339" s="10">
        <f>IF($E339="","",IFERROR(INDEX('Data_SA'!$A:$LO,MATCH(I$2,'Data_SA'!$A:$A,0),MATCH($E339,'Data_SA'!$1:$1,0)),""))</f>
        <v/>
      </c>
      <c r="K339" s="7">
        <f>IF($E339="","",IFERROR(INDEX('Data_SA'!$A:$LO,MATCH(I$2,'Data_SA'!$A:$A,0),MATCH($E339,'Data_SA'!$1:$1,0))/INDEX('Data_SA'!$A:$LO,MATCH(EDATE(I$2,-1),'Data_SA'!$A:$A,0),MATCH($E339,'Data_SA'!$1:$1,0))-1,""))</f>
        <v/>
      </c>
      <c r="L339" s="7">
        <f>IFERROR(INDEX('Data_NSA'!$A:$OK,MATCH(I$2,'Data_NSA'!$A:$A,0),MATCH($D339,'Data_NSA'!$1:$1,0))/INDEX('Data_NSA'!$A:$OK,MATCH(EDATE(I$2,-12),'Data_NSA'!$A:$A,0),MATCH($D339,'Data_NSA'!$1:$1,0))-1,"")</f>
        <v/>
      </c>
      <c r="M339" s="10">
        <f>IFERROR(INDEX('Weights'!$G:$I,MATCH($A339,'Weights'!$A:$A,0),MATCH(I$2,'Weights'!$G$1:$I$1,0)),"")</f>
        <v/>
      </c>
      <c r="N339" s="10">
        <f>IF($E339="","",IFERROR(100*(INDEX('Weights'!$D:$D,MATCH($A339,'Weights'!$A:$A,0))*(INDEX('Data_NSA'!$A:$OK,MATCH(EDATE(I$2,-1),'Data_NSA'!$A:$A,0),MATCH($D339,'Data_NSA'!$1:$1,0))/INDEX('Data_NSA'!$A:$OK,MATCH(INDEX('Weights'!$E:$E,MATCH($A339,'Weights'!$A:$A,0)),'Data_NSA'!$A:$A,0),MATCH($D339,'Data_NSA'!$1:$1,0))))/(100*(INDEX('Data_NSA'!$A:$OK,MATCH(EDATE(I$2,-1),'Data_NSA'!$A:$A,0),MATCH("CUUR0000SA0",'Data_NSA'!$1:$1,0))/INDEX('Data_NSA'!$A:$OK,MATCH(INDEX('Weights'!$E:$E,MATCH($A339,'Weights'!$A:$A,0)),'Data_NSA'!$A:$A,0),MATCH("CUUR0000SA0",'Data_NSA'!$1:$1,0))))*(INDEX('Data_SA'!$A:$LO,MATCH(I$2,'Data_SA'!$A:$A,0),MATCH($E339,'Data_SA'!$1:$1,0))/INDEX('Data_SA'!$A:$LO,MATCH(EDATE(I$2,-1),'Data_SA'!$A:$A,0),MATCH($E339,'Data_SA'!$1:$1,0))-1),""))</f>
        <v/>
      </c>
      <c r="O339" s="10">
        <f>IFERROR(INDEX('Data_NSA'!$A:$OK,MATCH(O$2,'Data_NSA'!$A:$A,0),MATCH($D339,'Data_NSA'!$1:$1,0)),"")</f>
        <v/>
      </c>
      <c r="P339" s="10">
        <f>IF($E339="","",IFERROR(INDEX('Data_SA'!$A:$LO,MATCH(O$2,'Data_SA'!$A:$A,0),MATCH($E339,'Data_SA'!$1:$1,0)),""))</f>
        <v/>
      </c>
      <c r="Q339" s="7">
        <f>IF($E339="","",IFERROR(INDEX('Data_SA'!$A:$LO,MATCH(O$2,'Data_SA'!$A:$A,0),MATCH($E339,'Data_SA'!$1:$1,0))/INDEX('Data_SA'!$A:$LO,MATCH(EDATE(O$2,-1),'Data_SA'!$A:$A,0),MATCH($E339,'Data_SA'!$1:$1,0))-1,""))</f>
        <v/>
      </c>
      <c r="R339" s="7">
        <f>IFERROR(INDEX('Data_NSA'!$A:$OK,MATCH(O$2,'Data_NSA'!$A:$A,0),MATCH($D339,'Data_NSA'!$1:$1,0))/INDEX('Data_NSA'!$A:$OK,MATCH(EDATE(O$2,-12),'Data_NSA'!$A:$A,0),MATCH($D339,'Data_NSA'!$1:$1,0))-1,"")</f>
        <v/>
      </c>
      <c r="S339" s="10">
        <f>IFERROR(INDEX('Weights'!$G:$I,MATCH($A339,'Weights'!$A:$A,0),MATCH(O$2,'Weights'!$G$1:$I$1,0)),"")</f>
        <v/>
      </c>
      <c r="T339" s="10">
        <f>IF($E339="","",IFERROR(100*(INDEX('Weights'!$D:$D,MATCH($A339,'Weights'!$A:$A,0))*(INDEX('Data_NSA'!$A:$OK,MATCH(EDATE(O$2,-1),'Data_NSA'!$A:$A,0),MATCH($D339,'Data_NSA'!$1:$1,0))/INDEX('Data_NSA'!$A:$OK,MATCH(INDEX('Weights'!$E:$E,MATCH($A339,'Weights'!$A:$A,0)),'Data_NSA'!$A:$A,0),MATCH($D339,'Data_NSA'!$1:$1,0))))/(100*(INDEX('Data_NSA'!$A:$OK,MATCH(EDATE(O$2,-1),'Data_NSA'!$A:$A,0),MATCH("CUUR0000SA0",'Data_NSA'!$1:$1,0))/INDEX('Data_NSA'!$A:$OK,MATCH(INDEX('Weights'!$E:$E,MATCH($A339,'Weights'!$A:$A,0)),'Data_NSA'!$A:$A,0),MATCH("CUUR0000SA0",'Data_NSA'!$1:$1,0))))*(INDEX('Data_SA'!$A:$LO,MATCH(O$2,'Data_SA'!$A:$A,0),MATCH($E339,'Data_SA'!$1:$1,0))/INDEX('Data_SA'!$A:$LO,MATCH(EDATE(O$2,-1),'Data_SA'!$A:$A,0),MATCH($E339,'Data_SA'!$1:$1,0))-1),""))</f>
        <v/>
      </c>
      <c r="U339" s="10">
        <f>IFERROR(INDEX('Data_NSA'!$A:$OK,MATCH(U$2,'Data_NSA'!$A:$A,0),MATCH($D339,'Data_NSA'!$1:$1,0)),"")</f>
        <v/>
      </c>
      <c r="V339" s="10">
        <f>IF($E339="","",IFERROR(INDEX('Data_SA'!$A:$LO,MATCH(U$2,'Data_SA'!$A:$A,0),MATCH($E339,'Data_SA'!$1:$1,0)),""))</f>
        <v/>
      </c>
      <c r="W339" s="7">
        <f>IF($E339="","",IFERROR(INDEX('Data_SA'!$A:$LO,MATCH(U$2,'Data_SA'!$A:$A,0),MATCH($E339,'Data_SA'!$1:$1,0))/INDEX('Data_SA'!$A:$LO,MATCH(EDATE(U$2,-1),'Data_SA'!$A:$A,0),MATCH($E339,'Data_SA'!$1:$1,0))-1,""))</f>
        <v/>
      </c>
      <c r="X339" s="7">
        <f>IFERROR(INDEX('Data_NSA'!$A:$OK,MATCH(U$2,'Data_NSA'!$A:$A,0),MATCH($D339,'Data_NSA'!$1:$1,0))/INDEX('Data_NSA'!$A:$OK,MATCH(EDATE(U$2,-12),'Data_NSA'!$A:$A,0),MATCH($D339,'Data_NSA'!$1:$1,0))-1,"")</f>
        <v/>
      </c>
      <c r="Y339" s="10">
        <f>IFERROR(INDEX('Weights'!$G:$I,MATCH($A339,'Weights'!$A:$A,0),MATCH(U$2,'Weights'!$G$1:$I$1,0)),"")</f>
        <v/>
      </c>
      <c r="Z339" s="10">
        <f>IF($E339="","",IFERROR(100*(INDEX('Weights'!$D:$D,MATCH($A339,'Weights'!$A:$A,0))*(INDEX('Data_NSA'!$A:$OK,MATCH(EDATE(U$2,-1),'Data_NSA'!$A:$A,0),MATCH($D339,'Data_NSA'!$1:$1,0))/INDEX('Data_NSA'!$A:$OK,MATCH(INDEX('Weights'!$E:$E,MATCH($A339,'Weights'!$A:$A,0)),'Data_NSA'!$A:$A,0),MATCH($D339,'Data_NSA'!$1:$1,0))))/(100*(INDEX('Data_NSA'!$A:$OK,MATCH(EDATE(U$2,-1),'Data_NSA'!$A:$A,0),MATCH("CUUR0000SA0",'Data_NSA'!$1:$1,0))/INDEX('Data_NSA'!$A:$OK,MATCH(INDEX('Weights'!$E:$E,MATCH($A339,'Weights'!$A:$A,0)),'Data_NSA'!$A:$A,0),MATCH("CUUR0000SA0",'Data_NSA'!$1:$1,0))))*(INDEX('Data_SA'!$A:$LO,MATCH(U$2,'Data_SA'!$A:$A,0),MATCH($E339,'Data_SA'!$1:$1,0))/INDEX('Data_SA'!$A:$LO,MATCH(EDATE(U$2,-1),'Data_SA'!$A:$A,0),MATCH($E339,'Data_SA'!$1:$1,0))-1),""))</f>
        <v/>
      </c>
    </row>
    <row r="340">
      <c r="A340" s="3" t="inlineStr">
        <is>
          <t>SEGA</t>
        </is>
      </c>
      <c r="B340" s="3" t="inlineStr">
        <is>
          <t>Tobacco and smoking products</t>
        </is>
      </c>
      <c r="C340" s="3" t="inlineStr">
        <is>
          <t>SAG</t>
        </is>
      </c>
      <c r="D340" s="3" t="inlineStr">
        <is>
          <t>CUUR0000SEGA</t>
        </is>
      </c>
      <c r="E340" s="3" t="inlineStr">
        <is>
          <t>CUSR0000SEGA</t>
        </is>
      </c>
      <c r="F340" s="3" t="inlineStr">
        <is>
          <t>GM</t>
        </is>
      </c>
      <c r="G340" s="3" t="inlineStr">
        <is>
          <t>monthly</t>
        </is>
      </c>
      <c r="H340" s="10">
        <f>IFERROR(INDEX(Weights!$D:$D,MATCH($A340,Weights!$A:$A,0)),"")</f>
        <v/>
      </c>
      <c r="I340" s="10">
        <f>IFERROR(INDEX('Data_NSA'!$A:$OK,MATCH(I$2,'Data_NSA'!$A:$A,0),MATCH($D340,'Data_NSA'!$1:$1,0)),"")</f>
        <v/>
      </c>
      <c r="J340" s="10">
        <f>IF($E340="","",IFERROR(INDEX('Data_SA'!$A:$LO,MATCH(I$2,'Data_SA'!$A:$A,0),MATCH($E340,'Data_SA'!$1:$1,0)),""))</f>
        <v/>
      </c>
      <c r="K340" s="7">
        <f>IF($E340="","",IFERROR(INDEX('Data_SA'!$A:$LO,MATCH(I$2,'Data_SA'!$A:$A,0),MATCH($E340,'Data_SA'!$1:$1,0))/INDEX('Data_SA'!$A:$LO,MATCH(EDATE(I$2,-1),'Data_SA'!$A:$A,0),MATCH($E340,'Data_SA'!$1:$1,0))-1,""))</f>
        <v/>
      </c>
      <c r="L340" s="7">
        <f>IFERROR(INDEX('Data_NSA'!$A:$OK,MATCH(I$2,'Data_NSA'!$A:$A,0),MATCH($D340,'Data_NSA'!$1:$1,0))/INDEX('Data_NSA'!$A:$OK,MATCH(EDATE(I$2,-12),'Data_NSA'!$A:$A,0),MATCH($D340,'Data_NSA'!$1:$1,0))-1,"")</f>
        <v/>
      </c>
      <c r="M340" s="10">
        <f>IFERROR(INDEX('Weights'!$G:$I,MATCH($A340,'Weights'!$A:$A,0),MATCH(I$2,'Weights'!$G$1:$I$1,0)),"")</f>
        <v/>
      </c>
      <c r="N340" s="10">
        <f>IF($E340="","",IFERROR(100*(INDEX('Weights'!$D:$D,MATCH($A340,'Weights'!$A:$A,0))*(INDEX('Data_NSA'!$A:$OK,MATCH(EDATE(I$2,-1),'Data_NSA'!$A:$A,0),MATCH($D340,'Data_NSA'!$1:$1,0))/INDEX('Data_NSA'!$A:$OK,MATCH(INDEX('Weights'!$E:$E,MATCH($A340,'Weights'!$A:$A,0)),'Data_NSA'!$A:$A,0),MATCH($D340,'Data_NSA'!$1:$1,0))))/(100*(INDEX('Data_NSA'!$A:$OK,MATCH(EDATE(I$2,-1),'Data_NSA'!$A:$A,0),MATCH("CUUR0000SA0",'Data_NSA'!$1:$1,0))/INDEX('Data_NSA'!$A:$OK,MATCH(INDEX('Weights'!$E:$E,MATCH($A340,'Weights'!$A:$A,0)),'Data_NSA'!$A:$A,0),MATCH("CUUR0000SA0",'Data_NSA'!$1:$1,0))))*(INDEX('Data_SA'!$A:$LO,MATCH(I$2,'Data_SA'!$A:$A,0),MATCH($E340,'Data_SA'!$1:$1,0))/INDEX('Data_SA'!$A:$LO,MATCH(EDATE(I$2,-1),'Data_SA'!$A:$A,0),MATCH($E340,'Data_SA'!$1:$1,0))-1),""))</f>
        <v/>
      </c>
      <c r="O340" s="10">
        <f>IFERROR(INDEX('Data_NSA'!$A:$OK,MATCH(O$2,'Data_NSA'!$A:$A,0),MATCH($D340,'Data_NSA'!$1:$1,0)),"")</f>
        <v/>
      </c>
      <c r="P340" s="10">
        <f>IF($E340="","",IFERROR(INDEX('Data_SA'!$A:$LO,MATCH(O$2,'Data_SA'!$A:$A,0),MATCH($E340,'Data_SA'!$1:$1,0)),""))</f>
        <v/>
      </c>
      <c r="Q340" s="7">
        <f>IF($E340="","",IFERROR(INDEX('Data_SA'!$A:$LO,MATCH(O$2,'Data_SA'!$A:$A,0),MATCH($E340,'Data_SA'!$1:$1,0))/INDEX('Data_SA'!$A:$LO,MATCH(EDATE(O$2,-1),'Data_SA'!$A:$A,0),MATCH($E340,'Data_SA'!$1:$1,0))-1,""))</f>
        <v/>
      </c>
      <c r="R340" s="7">
        <f>IFERROR(INDEX('Data_NSA'!$A:$OK,MATCH(O$2,'Data_NSA'!$A:$A,0),MATCH($D340,'Data_NSA'!$1:$1,0))/INDEX('Data_NSA'!$A:$OK,MATCH(EDATE(O$2,-12),'Data_NSA'!$A:$A,0),MATCH($D340,'Data_NSA'!$1:$1,0))-1,"")</f>
        <v/>
      </c>
      <c r="S340" s="10">
        <f>IFERROR(INDEX('Weights'!$G:$I,MATCH($A340,'Weights'!$A:$A,0),MATCH(O$2,'Weights'!$G$1:$I$1,0)),"")</f>
        <v/>
      </c>
      <c r="T340" s="10">
        <f>IF($E340="","",IFERROR(100*(INDEX('Weights'!$D:$D,MATCH($A340,'Weights'!$A:$A,0))*(INDEX('Data_NSA'!$A:$OK,MATCH(EDATE(O$2,-1),'Data_NSA'!$A:$A,0),MATCH($D340,'Data_NSA'!$1:$1,0))/INDEX('Data_NSA'!$A:$OK,MATCH(INDEX('Weights'!$E:$E,MATCH($A340,'Weights'!$A:$A,0)),'Data_NSA'!$A:$A,0),MATCH($D340,'Data_NSA'!$1:$1,0))))/(100*(INDEX('Data_NSA'!$A:$OK,MATCH(EDATE(O$2,-1),'Data_NSA'!$A:$A,0),MATCH("CUUR0000SA0",'Data_NSA'!$1:$1,0))/INDEX('Data_NSA'!$A:$OK,MATCH(INDEX('Weights'!$E:$E,MATCH($A340,'Weights'!$A:$A,0)),'Data_NSA'!$A:$A,0),MATCH("CUUR0000SA0",'Data_NSA'!$1:$1,0))))*(INDEX('Data_SA'!$A:$LO,MATCH(O$2,'Data_SA'!$A:$A,0),MATCH($E340,'Data_SA'!$1:$1,0))/INDEX('Data_SA'!$A:$LO,MATCH(EDATE(O$2,-1),'Data_SA'!$A:$A,0),MATCH($E340,'Data_SA'!$1:$1,0))-1),""))</f>
        <v/>
      </c>
      <c r="U340" s="10">
        <f>IFERROR(INDEX('Data_NSA'!$A:$OK,MATCH(U$2,'Data_NSA'!$A:$A,0),MATCH($D340,'Data_NSA'!$1:$1,0)),"")</f>
        <v/>
      </c>
      <c r="V340" s="10">
        <f>IF($E340="","",IFERROR(INDEX('Data_SA'!$A:$LO,MATCH(U$2,'Data_SA'!$A:$A,0),MATCH($E340,'Data_SA'!$1:$1,0)),""))</f>
        <v/>
      </c>
      <c r="W340" s="7">
        <f>IF($E340="","",IFERROR(INDEX('Data_SA'!$A:$LO,MATCH(U$2,'Data_SA'!$A:$A,0),MATCH($E340,'Data_SA'!$1:$1,0))/INDEX('Data_SA'!$A:$LO,MATCH(EDATE(U$2,-1),'Data_SA'!$A:$A,0),MATCH($E340,'Data_SA'!$1:$1,0))-1,""))</f>
        <v/>
      </c>
      <c r="X340" s="7">
        <f>IFERROR(INDEX('Data_NSA'!$A:$OK,MATCH(U$2,'Data_NSA'!$A:$A,0),MATCH($D340,'Data_NSA'!$1:$1,0))/INDEX('Data_NSA'!$A:$OK,MATCH(EDATE(U$2,-12),'Data_NSA'!$A:$A,0),MATCH($D340,'Data_NSA'!$1:$1,0))-1,"")</f>
        <v/>
      </c>
      <c r="Y340" s="10">
        <f>IFERROR(INDEX('Weights'!$G:$I,MATCH($A340,'Weights'!$A:$A,0),MATCH(U$2,'Weights'!$G$1:$I$1,0)),"")</f>
        <v/>
      </c>
      <c r="Z340" s="10">
        <f>IF($E340="","",IFERROR(100*(INDEX('Weights'!$D:$D,MATCH($A340,'Weights'!$A:$A,0))*(INDEX('Data_NSA'!$A:$OK,MATCH(EDATE(U$2,-1),'Data_NSA'!$A:$A,0),MATCH($D340,'Data_NSA'!$1:$1,0))/INDEX('Data_NSA'!$A:$OK,MATCH(INDEX('Weights'!$E:$E,MATCH($A340,'Weights'!$A:$A,0)),'Data_NSA'!$A:$A,0),MATCH($D340,'Data_NSA'!$1:$1,0))))/(100*(INDEX('Data_NSA'!$A:$OK,MATCH(EDATE(U$2,-1),'Data_NSA'!$A:$A,0),MATCH("CUUR0000SA0",'Data_NSA'!$1:$1,0))/INDEX('Data_NSA'!$A:$OK,MATCH(INDEX('Weights'!$E:$E,MATCH($A340,'Weights'!$A:$A,0)),'Data_NSA'!$A:$A,0),MATCH("CUUR0000SA0",'Data_NSA'!$1:$1,0))))*(INDEX('Data_SA'!$A:$LO,MATCH(U$2,'Data_SA'!$A:$A,0),MATCH($E340,'Data_SA'!$1:$1,0))/INDEX('Data_SA'!$A:$LO,MATCH(EDATE(U$2,-1),'Data_SA'!$A:$A,0),MATCH($E340,'Data_SA'!$1:$1,0))-1),""))</f>
        <v/>
      </c>
    </row>
    <row r="341">
      <c r="A341" s="3" t="inlineStr">
        <is>
          <t>SEGA01</t>
        </is>
      </c>
      <c r="B341" s="3" t="inlineStr">
        <is>
          <t>Cigarettes</t>
        </is>
      </c>
      <c r="C341" s="3" t="inlineStr">
        <is>
          <t>SEGA</t>
        </is>
      </c>
      <c r="D341" s="3" t="inlineStr">
        <is>
          <t>CUUR0000SEGA01</t>
        </is>
      </c>
      <c r="E341" s="3" t="inlineStr">
        <is>
          <t>CUSR0000SEGA01</t>
        </is>
      </c>
      <c r="F341" s="3" t="inlineStr">
        <is>
          <t>GM</t>
        </is>
      </c>
      <c r="G341" s="3" t="inlineStr">
        <is>
          <t>monthly in New York/Los Angeles/Chicago; often bimonthly elsewhere</t>
        </is>
      </c>
      <c r="H341" s="10">
        <f>IFERROR(INDEX(Weights!$D:$D,MATCH($A341,Weights!$A:$A,0)),"")</f>
        <v/>
      </c>
      <c r="I341" s="10">
        <f>IFERROR(INDEX('Data_NSA'!$A:$OK,MATCH(I$2,'Data_NSA'!$A:$A,0),MATCH($D341,'Data_NSA'!$1:$1,0)),"")</f>
        <v/>
      </c>
      <c r="J341" s="10">
        <f>IF($E341="","",IFERROR(INDEX('Data_SA'!$A:$LO,MATCH(I$2,'Data_SA'!$A:$A,0),MATCH($E341,'Data_SA'!$1:$1,0)),""))</f>
        <v/>
      </c>
      <c r="K341" s="7">
        <f>IF($E341="","",IFERROR(INDEX('Data_SA'!$A:$LO,MATCH(I$2,'Data_SA'!$A:$A,0),MATCH($E341,'Data_SA'!$1:$1,0))/INDEX('Data_SA'!$A:$LO,MATCH(EDATE(I$2,-1),'Data_SA'!$A:$A,0),MATCH($E341,'Data_SA'!$1:$1,0))-1,""))</f>
        <v/>
      </c>
      <c r="L341" s="7">
        <f>IFERROR(INDEX('Data_NSA'!$A:$OK,MATCH(I$2,'Data_NSA'!$A:$A,0),MATCH($D341,'Data_NSA'!$1:$1,0))/INDEX('Data_NSA'!$A:$OK,MATCH(EDATE(I$2,-12),'Data_NSA'!$A:$A,0),MATCH($D341,'Data_NSA'!$1:$1,0))-1,"")</f>
        <v/>
      </c>
      <c r="M341" s="10">
        <f>IFERROR(INDEX('Weights'!$G:$I,MATCH($A341,'Weights'!$A:$A,0),MATCH(I$2,'Weights'!$G$1:$I$1,0)),"")</f>
        <v/>
      </c>
      <c r="N341" s="10">
        <f>IF($E341="","",IFERROR(100*(INDEX('Weights'!$D:$D,MATCH($A341,'Weights'!$A:$A,0))*(INDEX('Data_NSA'!$A:$OK,MATCH(EDATE(I$2,-1),'Data_NSA'!$A:$A,0),MATCH($D341,'Data_NSA'!$1:$1,0))/INDEX('Data_NSA'!$A:$OK,MATCH(INDEX('Weights'!$E:$E,MATCH($A341,'Weights'!$A:$A,0)),'Data_NSA'!$A:$A,0),MATCH($D341,'Data_NSA'!$1:$1,0))))/(100*(INDEX('Data_NSA'!$A:$OK,MATCH(EDATE(I$2,-1),'Data_NSA'!$A:$A,0),MATCH("CUUR0000SA0",'Data_NSA'!$1:$1,0))/INDEX('Data_NSA'!$A:$OK,MATCH(INDEX('Weights'!$E:$E,MATCH($A341,'Weights'!$A:$A,0)),'Data_NSA'!$A:$A,0),MATCH("CUUR0000SA0",'Data_NSA'!$1:$1,0))))*(INDEX('Data_SA'!$A:$LO,MATCH(I$2,'Data_SA'!$A:$A,0),MATCH($E341,'Data_SA'!$1:$1,0))/INDEX('Data_SA'!$A:$LO,MATCH(EDATE(I$2,-1),'Data_SA'!$A:$A,0),MATCH($E341,'Data_SA'!$1:$1,0))-1),""))</f>
        <v/>
      </c>
      <c r="O341" s="10">
        <f>IFERROR(INDEX('Data_NSA'!$A:$OK,MATCH(O$2,'Data_NSA'!$A:$A,0),MATCH($D341,'Data_NSA'!$1:$1,0)),"")</f>
        <v/>
      </c>
      <c r="P341" s="10">
        <f>IF($E341="","",IFERROR(INDEX('Data_SA'!$A:$LO,MATCH(O$2,'Data_SA'!$A:$A,0),MATCH($E341,'Data_SA'!$1:$1,0)),""))</f>
        <v/>
      </c>
      <c r="Q341" s="7">
        <f>IF($E341="","",IFERROR(INDEX('Data_SA'!$A:$LO,MATCH(O$2,'Data_SA'!$A:$A,0),MATCH($E341,'Data_SA'!$1:$1,0))/INDEX('Data_SA'!$A:$LO,MATCH(EDATE(O$2,-1),'Data_SA'!$A:$A,0),MATCH($E341,'Data_SA'!$1:$1,0))-1,""))</f>
        <v/>
      </c>
      <c r="R341" s="7">
        <f>IFERROR(INDEX('Data_NSA'!$A:$OK,MATCH(O$2,'Data_NSA'!$A:$A,0),MATCH($D341,'Data_NSA'!$1:$1,0))/INDEX('Data_NSA'!$A:$OK,MATCH(EDATE(O$2,-12),'Data_NSA'!$A:$A,0),MATCH($D341,'Data_NSA'!$1:$1,0))-1,"")</f>
        <v/>
      </c>
      <c r="S341" s="10">
        <f>IFERROR(INDEX('Weights'!$G:$I,MATCH($A341,'Weights'!$A:$A,0),MATCH(O$2,'Weights'!$G$1:$I$1,0)),"")</f>
        <v/>
      </c>
      <c r="T341" s="10">
        <f>IF($E341="","",IFERROR(100*(INDEX('Weights'!$D:$D,MATCH($A341,'Weights'!$A:$A,0))*(INDEX('Data_NSA'!$A:$OK,MATCH(EDATE(O$2,-1),'Data_NSA'!$A:$A,0),MATCH($D341,'Data_NSA'!$1:$1,0))/INDEX('Data_NSA'!$A:$OK,MATCH(INDEX('Weights'!$E:$E,MATCH($A341,'Weights'!$A:$A,0)),'Data_NSA'!$A:$A,0),MATCH($D341,'Data_NSA'!$1:$1,0))))/(100*(INDEX('Data_NSA'!$A:$OK,MATCH(EDATE(O$2,-1),'Data_NSA'!$A:$A,0),MATCH("CUUR0000SA0",'Data_NSA'!$1:$1,0))/INDEX('Data_NSA'!$A:$OK,MATCH(INDEX('Weights'!$E:$E,MATCH($A341,'Weights'!$A:$A,0)),'Data_NSA'!$A:$A,0),MATCH("CUUR0000SA0",'Data_NSA'!$1:$1,0))))*(INDEX('Data_SA'!$A:$LO,MATCH(O$2,'Data_SA'!$A:$A,0),MATCH($E341,'Data_SA'!$1:$1,0))/INDEX('Data_SA'!$A:$LO,MATCH(EDATE(O$2,-1),'Data_SA'!$A:$A,0),MATCH($E341,'Data_SA'!$1:$1,0))-1),""))</f>
        <v/>
      </c>
      <c r="U341" s="10">
        <f>IFERROR(INDEX('Data_NSA'!$A:$OK,MATCH(U$2,'Data_NSA'!$A:$A,0),MATCH($D341,'Data_NSA'!$1:$1,0)),"")</f>
        <v/>
      </c>
      <c r="V341" s="10">
        <f>IF($E341="","",IFERROR(INDEX('Data_SA'!$A:$LO,MATCH(U$2,'Data_SA'!$A:$A,0),MATCH($E341,'Data_SA'!$1:$1,0)),""))</f>
        <v/>
      </c>
      <c r="W341" s="7">
        <f>IF($E341="","",IFERROR(INDEX('Data_SA'!$A:$LO,MATCH(U$2,'Data_SA'!$A:$A,0),MATCH($E341,'Data_SA'!$1:$1,0))/INDEX('Data_SA'!$A:$LO,MATCH(EDATE(U$2,-1),'Data_SA'!$A:$A,0),MATCH($E341,'Data_SA'!$1:$1,0))-1,""))</f>
        <v/>
      </c>
      <c r="X341" s="7">
        <f>IFERROR(INDEX('Data_NSA'!$A:$OK,MATCH(U$2,'Data_NSA'!$A:$A,0),MATCH($D341,'Data_NSA'!$1:$1,0))/INDEX('Data_NSA'!$A:$OK,MATCH(EDATE(U$2,-12),'Data_NSA'!$A:$A,0),MATCH($D341,'Data_NSA'!$1:$1,0))-1,"")</f>
        <v/>
      </c>
      <c r="Y341" s="10">
        <f>IFERROR(INDEX('Weights'!$G:$I,MATCH($A341,'Weights'!$A:$A,0),MATCH(U$2,'Weights'!$G$1:$I$1,0)),"")</f>
        <v/>
      </c>
      <c r="Z341" s="10">
        <f>IF($E341="","",IFERROR(100*(INDEX('Weights'!$D:$D,MATCH($A341,'Weights'!$A:$A,0))*(INDEX('Data_NSA'!$A:$OK,MATCH(EDATE(U$2,-1),'Data_NSA'!$A:$A,0),MATCH($D341,'Data_NSA'!$1:$1,0))/INDEX('Data_NSA'!$A:$OK,MATCH(INDEX('Weights'!$E:$E,MATCH($A341,'Weights'!$A:$A,0)),'Data_NSA'!$A:$A,0),MATCH($D341,'Data_NSA'!$1:$1,0))))/(100*(INDEX('Data_NSA'!$A:$OK,MATCH(EDATE(U$2,-1),'Data_NSA'!$A:$A,0),MATCH("CUUR0000SA0",'Data_NSA'!$1:$1,0))/INDEX('Data_NSA'!$A:$OK,MATCH(INDEX('Weights'!$E:$E,MATCH($A341,'Weights'!$A:$A,0)),'Data_NSA'!$A:$A,0),MATCH("CUUR0000SA0",'Data_NSA'!$1:$1,0))))*(INDEX('Data_SA'!$A:$LO,MATCH(U$2,'Data_SA'!$A:$A,0),MATCH($E341,'Data_SA'!$1:$1,0))/INDEX('Data_SA'!$A:$LO,MATCH(EDATE(U$2,-1),'Data_SA'!$A:$A,0),MATCH($E341,'Data_SA'!$1:$1,0))-1),""))</f>
        <v/>
      </c>
    </row>
    <row r="342">
      <c r="A342" s="3" t="inlineStr">
        <is>
          <t>SEGA02</t>
        </is>
      </c>
      <c r="B342" s="3" t="inlineStr">
        <is>
          <t>Tobacco products other than cigarettes</t>
        </is>
      </c>
      <c r="C342" s="3" t="inlineStr">
        <is>
          <t>SEGA</t>
        </is>
      </c>
      <c r="D342" s="3" t="inlineStr">
        <is>
          <t>CUUR0000SEGA02</t>
        </is>
      </c>
      <c r="E342" s="3" t="inlineStr"/>
      <c r="F342" s="3" t="inlineStr">
        <is>
          <t>GM</t>
        </is>
      </c>
      <c r="G342" s="3" t="inlineStr">
        <is>
          <t>monthly in New York/Los Angeles/Chicago; often bimonthly elsewhere</t>
        </is>
      </c>
      <c r="H342" s="10">
        <f>IFERROR(INDEX(Weights!$D:$D,MATCH($A342,Weights!$A:$A,0)),"")</f>
        <v/>
      </c>
      <c r="I342" s="10">
        <f>IFERROR(INDEX('Data_NSA'!$A:$OK,MATCH(I$2,'Data_NSA'!$A:$A,0),MATCH($D342,'Data_NSA'!$1:$1,0)),"")</f>
        <v/>
      </c>
      <c r="J342" s="10">
        <f>IF($E342="","",IFERROR(INDEX('Data_SA'!$A:$LO,MATCH(I$2,'Data_SA'!$A:$A,0),MATCH($E342,'Data_SA'!$1:$1,0)),""))</f>
        <v/>
      </c>
      <c r="K342" s="7">
        <f>IF($E342="","",IFERROR(INDEX('Data_SA'!$A:$LO,MATCH(I$2,'Data_SA'!$A:$A,0),MATCH($E342,'Data_SA'!$1:$1,0))/INDEX('Data_SA'!$A:$LO,MATCH(EDATE(I$2,-1),'Data_SA'!$A:$A,0),MATCH($E342,'Data_SA'!$1:$1,0))-1,""))</f>
        <v/>
      </c>
      <c r="L342" s="7">
        <f>IFERROR(INDEX('Data_NSA'!$A:$OK,MATCH(I$2,'Data_NSA'!$A:$A,0),MATCH($D342,'Data_NSA'!$1:$1,0))/INDEX('Data_NSA'!$A:$OK,MATCH(EDATE(I$2,-12),'Data_NSA'!$A:$A,0),MATCH($D342,'Data_NSA'!$1:$1,0))-1,"")</f>
        <v/>
      </c>
      <c r="M342" s="10">
        <f>IFERROR(INDEX('Weights'!$G:$I,MATCH($A342,'Weights'!$A:$A,0),MATCH(I$2,'Weights'!$G$1:$I$1,0)),"")</f>
        <v/>
      </c>
      <c r="N342" s="10">
        <f>IF($E342="","",IFERROR(100*(INDEX('Weights'!$D:$D,MATCH($A342,'Weights'!$A:$A,0))*(INDEX('Data_NSA'!$A:$OK,MATCH(EDATE(I$2,-1),'Data_NSA'!$A:$A,0),MATCH($D342,'Data_NSA'!$1:$1,0))/INDEX('Data_NSA'!$A:$OK,MATCH(INDEX('Weights'!$E:$E,MATCH($A342,'Weights'!$A:$A,0)),'Data_NSA'!$A:$A,0),MATCH($D342,'Data_NSA'!$1:$1,0))))/(100*(INDEX('Data_NSA'!$A:$OK,MATCH(EDATE(I$2,-1),'Data_NSA'!$A:$A,0),MATCH("CUUR0000SA0",'Data_NSA'!$1:$1,0))/INDEX('Data_NSA'!$A:$OK,MATCH(INDEX('Weights'!$E:$E,MATCH($A342,'Weights'!$A:$A,0)),'Data_NSA'!$A:$A,0),MATCH("CUUR0000SA0",'Data_NSA'!$1:$1,0))))*(INDEX('Data_SA'!$A:$LO,MATCH(I$2,'Data_SA'!$A:$A,0),MATCH($E342,'Data_SA'!$1:$1,0))/INDEX('Data_SA'!$A:$LO,MATCH(EDATE(I$2,-1),'Data_SA'!$A:$A,0),MATCH($E342,'Data_SA'!$1:$1,0))-1),""))</f>
        <v/>
      </c>
      <c r="O342" s="10">
        <f>IFERROR(INDEX('Data_NSA'!$A:$OK,MATCH(O$2,'Data_NSA'!$A:$A,0),MATCH($D342,'Data_NSA'!$1:$1,0)),"")</f>
        <v/>
      </c>
      <c r="P342" s="10">
        <f>IF($E342="","",IFERROR(INDEX('Data_SA'!$A:$LO,MATCH(O$2,'Data_SA'!$A:$A,0),MATCH($E342,'Data_SA'!$1:$1,0)),""))</f>
        <v/>
      </c>
      <c r="Q342" s="7">
        <f>IF($E342="","",IFERROR(INDEX('Data_SA'!$A:$LO,MATCH(O$2,'Data_SA'!$A:$A,0),MATCH($E342,'Data_SA'!$1:$1,0))/INDEX('Data_SA'!$A:$LO,MATCH(EDATE(O$2,-1),'Data_SA'!$A:$A,0),MATCH($E342,'Data_SA'!$1:$1,0))-1,""))</f>
        <v/>
      </c>
      <c r="R342" s="7">
        <f>IFERROR(INDEX('Data_NSA'!$A:$OK,MATCH(O$2,'Data_NSA'!$A:$A,0),MATCH($D342,'Data_NSA'!$1:$1,0))/INDEX('Data_NSA'!$A:$OK,MATCH(EDATE(O$2,-12),'Data_NSA'!$A:$A,0),MATCH($D342,'Data_NSA'!$1:$1,0))-1,"")</f>
        <v/>
      </c>
      <c r="S342" s="10">
        <f>IFERROR(INDEX('Weights'!$G:$I,MATCH($A342,'Weights'!$A:$A,0),MATCH(O$2,'Weights'!$G$1:$I$1,0)),"")</f>
        <v/>
      </c>
      <c r="T342" s="10">
        <f>IF($E342="","",IFERROR(100*(INDEX('Weights'!$D:$D,MATCH($A342,'Weights'!$A:$A,0))*(INDEX('Data_NSA'!$A:$OK,MATCH(EDATE(O$2,-1),'Data_NSA'!$A:$A,0),MATCH($D342,'Data_NSA'!$1:$1,0))/INDEX('Data_NSA'!$A:$OK,MATCH(INDEX('Weights'!$E:$E,MATCH($A342,'Weights'!$A:$A,0)),'Data_NSA'!$A:$A,0),MATCH($D342,'Data_NSA'!$1:$1,0))))/(100*(INDEX('Data_NSA'!$A:$OK,MATCH(EDATE(O$2,-1),'Data_NSA'!$A:$A,0),MATCH("CUUR0000SA0",'Data_NSA'!$1:$1,0))/INDEX('Data_NSA'!$A:$OK,MATCH(INDEX('Weights'!$E:$E,MATCH($A342,'Weights'!$A:$A,0)),'Data_NSA'!$A:$A,0),MATCH("CUUR0000SA0",'Data_NSA'!$1:$1,0))))*(INDEX('Data_SA'!$A:$LO,MATCH(O$2,'Data_SA'!$A:$A,0),MATCH($E342,'Data_SA'!$1:$1,0))/INDEX('Data_SA'!$A:$LO,MATCH(EDATE(O$2,-1),'Data_SA'!$A:$A,0),MATCH($E342,'Data_SA'!$1:$1,0))-1),""))</f>
        <v/>
      </c>
      <c r="U342" s="10">
        <f>IFERROR(INDEX('Data_NSA'!$A:$OK,MATCH(U$2,'Data_NSA'!$A:$A,0),MATCH($D342,'Data_NSA'!$1:$1,0)),"")</f>
        <v/>
      </c>
      <c r="V342" s="10">
        <f>IF($E342="","",IFERROR(INDEX('Data_SA'!$A:$LO,MATCH(U$2,'Data_SA'!$A:$A,0),MATCH($E342,'Data_SA'!$1:$1,0)),""))</f>
        <v/>
      </c>
      <c r="W342" s="7">
        <f>IF($E342="","",IFERROR(INDEX('Data_SA'!$A:$LO,MATCH(U$2,'Data_SA'!$A:$A,0),MATCH($E342,'Data_SA'!$1:$1,0))/INDEX('Data_SA'!$A:$LO,MATCH(EDATE(U$2,-1),'Data_SA'!$A:$A,0),MATCH($E342,'Data_SA'!$1:$1,0))-1,""))</f>
        <v/>
      </c>
      <c r="X342" s="7">
        <f>IFERROR(INDEX('Data_NSA'!$A:$OK,MATCH(U$2,'Data_NSA'!$A:$A,0),MATCH($D342,'Data_NSA'!$1:$1,0))/INDEX('Data_NSA'!$A:$OK,MATCH(EDATE(U$2,-12),'Data_NSA'!$A:$A,0),MATCH($D342,'Data_NSA'!$1:$1,0))-1,"")</f>
        <v/>
      </c>
      <c r="Y342" s="10">
        <f>IFERROR(INDEX('Weights'!$G:$I,MATCH($A342,'Weights'!$A:$A,0),MATCH(U$2,'Weights'!$G$1:$I$1,0)),"")</f>
        <v/>
      </c>
      <c r="Z342" s="10">
        <f>IF($E342="","",IFERROR(100*(INDEX('Weights'!$D:$D,MATCH($A342,'Weights'!$A:$A,0))*(INDEX('Data_NSA'!$A:$OK,MATCH(EDATE(U$2,-1),'Data_NSA'!$A:$A,0),MATCH($D342,'Data_NSA'!$1:$1,0))/INDEX('Data_NSA'!$A:$OK,MATCH(INDEX('Weights'!$E:$E,MATCH($A342,'Weights'!$A:$A,0)),'Data_NSA'!$A:$A,0),MATCH($D342,'Data_NSA'!$1:$1,0))))/(100*(INDEX('Data_NSA'!$A:$OK,MATCH(EDATE(U$2,-1),'Data_NSA'!$A:$A,0),MATCH("CUUR0000SA0",'Data_NSA'!$1:$1,0))/INDEX('Data_NSA'!$A:$OK,MATCH(INDEX('Weights'!$E:$E,MATCH($A342,'Weights'!$A:$A,0)),'Data_NSA'!$A:$A,0),MATCH("CUUR0000SA0",'Data_NSA'!$1:$1,0))))*(INDEX('Data_SA'!$A:$LO,MATCH(U$2,'Data_SA'!$A:$A,0),MATCH($E342,'Data_SA'!$1:$1,0))/INDEX('Data_SA'!$A:$LO,MATCH(EDATE(U$2,-1),'Data_SA'!$A:$A,0),MATCH($E342,'Data_SA'!$1:$1,0))-1),""))</f>
        <v/>
      </c>
    </row>
    <row r="343">
      <c r="A343" s="3" t="inlineStr">
        <is>
          <t>SAG1</t>
        </is>
      </c>
      <c r="B343" s="3" t="inlineStr">
        <is>
          <t>Personal care</t>
        </is>
      </c>
      <c r="C343" s="3" t="inlineStr">
        <is>
          <t>SAG</t>
        </is>
      </c>
      <c r="D343" s="3" t="inlineStr">
        <is>
          <t>CUUR0000SAG1</t>
        </is>
      </c>
      <c r="E343" s="3" t="inlineStr">
        <is>
          <t>CUSR0000SAG1</t>
        </is>
      </c>
      <c r="F343" s="3" t="inlineStr">
        <is>
          <t>GM</t>
        </is>
      </c>
      <c r="G343" s="3" t="inlineStr">
        <is>
          <t>bimonthly</t>
        </is>
      </c>
      <c r="H343" s="10">
        <f>IFERROR(INDEX(Weights!$D:$D,MATCH($A343,Weights!$A:$A,0)),"")</f>
        <v/>
      </c>
      <c r="I343" s="10">
        <f>IFERROR(INDEX('Data_NSA'!$A:$OK,MATCH(I$2,'Data_NSA'!$A:$A,0),MATCH($D343,'Data_NSA'!$1:$1,0)),"")</f>
        <v/>
      </c>
      <c r="J343" s="10">
        <f>IF($E343="","",IFERROR(INDEX('Data_SA'!$A:$LO,MATCH(I$2,'Data_SA'!$A:$A,0),MATCH($E343,'Data_SA'!$1:$1,0)),""))</f>
        <v/>
      </c>
      <c r="K343" s="7">
        <f>IF($E343="","",IFERROR(INDEX('Data_SA'!$A:$LO,MATCH(I$2,'Data_SA'!$A:$A,0),MATCH($E343,'Data_SA'!$1:$1,0))/INDEX('Data_SA'!$A:$LO,MATCH(EDATE(I$2,-1),'Data_SA'!$A:$A,0),MATCH($E343,'Data_SA'!$1:$1,0))-1,""))</f>
        <v/>
      </c>
      <c r="L343" s="7">
        <f>IFERROR(INDEX('Data_NSA'!$A:$OK,MATCH(I$2,'Data_NSA'!$A:$A,0),MATCH($D343,'Data_NSA'!$1:$1,0))/INDEX('Data_NSA'!$A:$OK,MATCH(EDATE(I$2,-12),'Data_NSA'!$A:$A,0),MATCH($D343,'Data_NSA'!$1:$1,0))-1,"")</f>
        <v/>
      </c>
      <c r="M343" s="10">
        <f>IFERROR(INDEX('Weights'!$G:$I,MATCH($A343,'Weights'!$A:$A,0),MATCH(I$2,'Weights'!$G$1:$I$1,0)),"")</f>
        <v/>
      </c>
      <c r="N343" s="10">
        <f>IF($E343="","",IFERROR(100*(INDEX('Weights'!$D:$D,MATCH($A343,'Weights'!$A:$A,0))*(INDEX('Data_NSA'!$A:$OK,MATCH(EDATE(I$2,-1),'Data_NSA'!$A:$A,0),MATCH($D343,'Data_NSA'!$1:$1,0))/INDEX('Data_NSA'!$A:$OK,MATCH(INDEX('Weights'!$E:$E,MATCH($A343,'Weights'!$A:$A,0)),'Data_NSA'!$A:$A,0),MATCH($D343,'Data_NSA'!$1:$1,0))))/(100*(INDEX('Data_NSA'!$A:$OK,MATCH(EDATE(I$2,-1),'Data_NSA'!$A:$A,0),MATCH("CUUR0000SA0",'Data_NSA'!$1:$1,0))/INDEX('Data_NSA'!$A:$OK,MATCH(INDEX('Weights'!$E:$E,MATCH($A343,'Weights'!$A:$A,0)),'Data_NSA'!$A:$A,0),MATCH("CUUR0000SA0",'Data_NSA'!$1:$1,0))))*(INDEX('Data_SA'!$A:$LO,MATCH(I$2,'Data_SA'!$A:$A,0),MATCH($E343,'Data_SA'!$1:$1,0))/INDEX('Data_SA'!$A:$LO,MATCH(EDATE(I$2,-1),'Data_SA'!$A:$A,0),MATCH($E343,'Data_SA'!$1:$1,0))-1),""))</f>
        <v/>
      </c>
      <c r="O343" s="10">
        <f>IFERROR(INDEX('Data_NSA'!$A:$OK,MATCH(O$2,'Data_NSA'!$A:$A,0),MATCH($D343,'Data_NSA'!$1:$1,0)),"")</f>
        <v/>
      </c>
      <c r="P343" s="10">
        <f>IF($E343="","",IFERROR(INDEX('Data_SA'!$A:$LO,MATCH(O$2,'Data_SA'!$A:$A,0),MATCH($E343,'Data_SA'!$1:$1,0)),""))</f>
        <v/>
      </c>
      <c r="Q343" s="7">
        <f>IF($E343="","",IFERROR(INDEX('Data_SA'!$A:$LO,MATCH(O$2,'Data_SA'!$A:$A,0),MATCH($E343,'Data_SA'!$1:$1,0))/INDEX('Data_SA'!$A:$LO,MATCH(EDATE(O$2,-1),'Data_SA'!$A:$A,0),MATCH($E343,'Data_SA'!$1:$1,0))-1,""))</f>
        <v/>
      </c>
      <c r="R343" s="7">
        <f>IFERROR(INDEX('Data_NSA'!$A:$OK,MATCH(O$2,'Data_NSA'!$A:$A,0),MATCH($D343,'Data_NSA'!$1:$1,0))/INDEX('Data_NSA'!$A:$OK,MATCH(EDATE(O$2,-12),'Data_NSA'!$A:$A,0),MATCH($D343,'Data_NSA'!$1:$1,0))-1,"")</f>
        <v/>
      </c>
      <c r="S343" s="10">
        <f>IFERROR(INDEX('Weights'!$G:$I,MATCH($A343,'Weights'!$A:$A,0),MATCH(O$2,'Weights'!$G$1:$I$1,0)),"")</f>
        <v/>
      </c>
      <c r="T343" s="10">
        <f>IF($E343="","",IFERROR(100*(INDEX('Weights'!$D:$D,MATCH($A343,'Weights'!$A:$A,0))*(INDEX('Data_NSA'!$A:$OK,MATCH(EDATE(O$2,-1),'Data_NSA'!$A:$A,0),MATCH($D343,'Data_NSA'!$1:$1,0))/INDEX('Data_NSA'!$A:$OK,MATCH(INDEX('Weights'!$E:$E,MATCH($A343,'Weights'!$A:$A,0)),'Data_NSA'!$A:$A,0),MATCH($D343,'Data_NSA'!$1:$1,0))))/(100*(INDEX('Data_NSA'!$A:$OK,MATCH(EDATE(O$2,-1),'Data_NSA'!$A:$A,0),MATCH("CUUR0000SA0",'Data_NSA'!$1:$1,0))/INDEX('Data_NSA'!$A:$OK,MATCH(INDEX('Weights'!$E:$E,MATCH($A343,'Weights'!$A:$A,0)),'Data_NSA'!$A:$A,0),MATCH("CUUR0000SA0",'Data_NSA'!$1:$1,0))))*(INDEX('Data_SA'!$A:$LO,MATCH(O$2,'Data_SA'!$A:$A,0),MATCH($E343,'Data_SA'!$1:$1,0))/INDEX('Data_SA'!$A:$LO,MATCH(EDATE(O$2,-1),'Data_SA'!$A:$A,0),MATCH($E343,'Data_SA'!$1:$1,0))-1),""))</f>
        <v/>
      </c>
      <c r="U343" s="10">
        <f>IFERROR(INDEX('Data_NSA'!$A:$OK,MATCH(U$2,'Data_NSA'!$A:$A,0),MATCH($D343,'Data_NSA'!$1:$1,0)),"")</f>
        <v/>
      </c>
      <c r="V343" s="10">
        <f>IF($E343="","",IFERROR(INDEX('Data_SA'!$A:$LO,MATCH(U$2,'Data_SA'!$A:$A,0),MATCH($E343,'Data_SA'!$1:$1,0)),""))</f>
        <v/>
      </c>
      <c r="W343" s="7">
        <f>IF($E343="","",IFERROR(INDEX('Data_SA'!$A:$LO,MATCH(U$2,'Data_SA'!$A:$A,0),MATCH($E343,'Data_SA'!$1:$1,0))/INDEX('Data_SA'!$A:$LO,MATCH(EDATE(U$2,-1),'Data_SA'!$A:$A,0),MATCH($E343,'Data_SA'!$1:$1,0))-1,""))</f>
        <v/>
      </c>
      <c r="X343" s="7">
        <f>IFERROR(INDEX('Data_NSA'!$A:$OK,MATCH(U$2,'Data_NSA'!$A:$A,0),MATCH($D343,'Data_NSA'!$1:$1,0))/INDEX('Data_NSA'!$A:$OK,MATCH(EDATE(U$2,-12),'Data_NSA'!$A:$A,0),MATCH($D343,'Data_NSA'!$1:$1,0))-1,"")</f>
        <v/>
      </c>
      <c r="Y343" s="10">
        <f>IFERROR(INDEX('Weights'!$G:$I,MATCH($A343,'Weights'!$A:$A,0),MATCH(U$2,'Weights'!$G$1:$I$1,0)),"")</f>
        <v/>
      </c>
      <c r="Z343" s="10">
        <f>IF($E343="","",IFERROR(100*(INDEX('Weights'!$D:$D,MATCH($A343,'Weights'!$A:$A,0))*(INDEX('Data_NSA'!$A:$OK,MATCH(EDATE(U$2,-1),'Data_NSA'!$A:$A,0),MATCH($D343,'Data_NSA'!$1:$1,0))/INDEX('Data_NSA'!$A:$OK,MATCH(INDEX('Weights'!$E:$E,MATCH($A343,'Weights'!$A:$A,0)),'Data_NSA'!$A:$A,0),MATCH($D343,'Data_NSA'!$1:$1,0))))/(100*(INDEX('Data_NSA'!$A:$OK,MATCH(EDATE(U$2,-1),'Data_NSA'!$A:$A,0),MATCH("CUUR0000SA0",'Data_NSA'!$1:$1,0))/INDEX('Data_NSA'!$A:$OK,MATCH(INDEX('Weights'!$E:$E,MATCH($A343,'Weights'!$A:$A,0)),'Data_NSA'!$A:$A,0),MATCH("CUUR0000SA0",'Data_NSA'!$1:$1,0))))*(INDEX('Data_SA'!$A:$LO,MATCH(U$2,'Data_SA'!$A:$A,0),MATCH($E343,'Data_SA'!$1:$1,0))/INDEX('Data_SA'!$A:$LO,MATCH(EDATE(U$2,-1),'Data_SA'!$A:$A,0),MATCH($E343,'Data_SA'!$1:$1,0))-1),""))</f>
        <v/>
      </c>
    </row>
    <row r="344">
      <c r="A344" s="3" t="inlineStr">
        <is>
          <t>SEGB</t>
        </is>
      </c>
      <c r="B344" s="3" t="inlineStr">
        <is>
          <t>Personal care products</t>
        </is>
      </c>
      <c r="C344" s="3" t="inlineStr">
        <is>
          <t>SAG1</t>
        </is>
      </c>
      <c r="D344" s="3" t="inlineStr">
        <is>
          <t>CUUR0000SEGB</t>
        </is>
      </c>
      <c r="E344" s="3" t="inlineStr">
        <is>
          <t>CUSR0000SEGB</t>
        </is>
      </c>
      <c r="F344" s="3" t="inlineStr">
        <is>
          <t>aggregate</t>
        </is>
      </c>
      <c r="G344" s="3" t="inlineStr">
        <is>
          <t>aggregate</t>
        </is>
      </c>
      <c r="H344" s="10">
        <f>IFERROR(INDEX(Weights!$D:$D,MATCH($A344,Weights!$A:$A,0)),"")</f>
        <v/>
      </c>
      <c r="I344" s="10">
        <f>IFERROR(INDEX('Data_NSA'!$A:$OK,MATCH(I$2,'Data_NSA'!$A:$A,0),MATCH($D344,'Data_NSA'!$1:$1,0)),"")</f>
        <v/>
      </c>
      <c r="J344" s="10">
        <f>IF($E344="","",IFERROR(INDEX('Data_SA'!$A:$LO,MATCH(I$2,'Data_SA'!$A:$A,0),MATCH($E344,'Data_SA'!$1:$1,0)),""))</f>
        <v/>
      </c>
      <c r="K344" s="7">
        <f>IF($E344="","",IFERROR(INDEX('Data_SA'!$A:$LO,MATCH(I$2,'Data_SA'!$A:$A,0),MATCH($E344,'Data_SA'!$1:$1,0))/INDEX('Data_SA'!$A:$LO,MATCH(EDATE(I$2,-1),'Data_SA'!$A:$A,0),MATCH($E344,'Data_SA'!$1:$1,0))-1,""))</f>
        <v/>
      </c>
      <c r="L344" s="7">
        <f>IFERROR(INDEX('Data_NSA'!$A:$OK,MATCH(I$2,'Data_NSA'!$A:$A,0),MATCH($D344,'Data_NSA'!$1:$1,0))/INDEX('Data_NSA'!$A:$OK,MATCH(EDATE(I$2,-12),'Data_NSA'!$A:$A,0),MATCH($D344,'Data_NSA'!$1:$1,0))-1,"")</f>
        <v/>
      </c>
      <c r="M344" s="10">
        <f>IFERROR(INDEX('Weights'!$G:$I,MATCH($A344,'Weights'!$A:$A,0),MATCH(I$2,'Weights'!$G$1:$I$1,0)),"")</f>
        <v/>
      </c>
      <c r="N344" s="10">
        <f>IF($E344="","",IFERROR(100*(INDEX('Weights'!$D:$D,MATCH($A344,'Weights'!$A:$A,0))*(INDEX('Data_NSA'!$A:$OK,MATCH(EDATE(I$2,-1),'Data_NSA'!$A:$A,0),MATCH($D344,'Data_NSA'!$1:$1,0))/INDEX('Data_NSA'!$A:$OK,MATCH(INDEX('Weights'!$E:$E,MATCH($A344,'Weights'!$A:$A,0)),'Data_NSA'!$A:$A,0),MATCH($D344,'Data_NSA'!$1:$1,0))))/(100*(INDEX('Data_NSA'!$A:$OK,MATCH(EDATE(I$2,-1),'Data_NSA'!$A:$A,0),MATCH("CUUR0000SA0",'Data_NSA'!$1:$1,0))/INDEX('Data_NSA'!$A:$OK,MATCH(INDEX('Weights'!$E:$E,MATCH($A344,'Weights'!$A:$A,0)),'Data_NSA'!$A:$A,0),MATCH("CUUR0000SA0",'Data_NSA'!$1:$1,0))))*(INDEX('Data_SA'!$A:$LO,MATCH(I$2,'Data_SA'!$A:$A,0),MATCH($E344,'Data_SA'!$1:$1,0))/INDEX('Data_SA'!$A:$LO,MATCH(EDATE(I$2,-1),'Data_SA'!$A:$A,0),MATCH($E344,'Data_SA'!$1:$1,0))-1),""))</f>
        <v/>
      </c>
      <c r="O344" s="10">
        <f>IFERROR(INDEX('Data_NSA'!$A:$OK,MATCH(O$2,'Data_NSA'!$A:$A,0),MATCH($D344,'Data_NSA'!$1:$1,0)),"")</f>
        <v/>
      </c>
      <c r="P344" s="10">
        <f>IF($E344="","",IFERROR(INDEX('Data_SA'!$A:$LO,MATCH(O$2,'Data_SA'!$A:$A,0),MATCH($E344,'Data_SA'!$1:$1,0)),""))</f>
        <v/>
      </c>
      <c r="Q344" s="7">
        <f>IF($E344="","",IFERROR(INDEX('Data_SA'!$A:$LO,MATCH(O$2,'Data_SA'!$A:$A,0),MATCH($E344,'Data_SA'!$1:$1,0))/INDEX('Data_SA'!$A:$LO,MATCH(EDATE(O$2,-1),'Data_SA'!$A:$A,0),MATCH($E344,'Data_SA'!$1:$1,0))-1,""))</f>
        <v/>
      </c>
      <c r="R344" s="7">
        <f>IFERROR(INDEX('Data_NSA'!$A:$OK,MATCH(O$2,'Data_NSA'!$A:$A,0),MATCH($D344,'Data_NSA'!$1:$1,0))/INDEX('Data_NSA'!$A:$OK,MATCH(EDATE(O$2,-12),'Data_NSA'!$A:$A,0),MATCH($D344,'Data_NSA'!$1:$1,0))-1,"")</f>
        <v/>
      </c>
      <c r="S344" s="10">
        <f>IFERROR(INDEX('Weights'!$G:$I,MATCH($A344,'Weights'!$A:$A,0),MATCH(O$2,'Weights'!$G$1:$I$1,0)),"")</f>
        <v/>
      </c>
      <c r="T344" s="10">
        <f>IF($E344="","",IFERROR(100*(INDEX('Weights'!$D:$D,MATCH($A344,'Weights'!$A:$A,0))*(INDEX('Data_NSA'!$A:$OK,MATCH(EDATE(O$2,-1),'Data_NSA'!$A:$A,0),MATCH($D344,'Data_NSA'!$1:$1,0))/INDEX('Data_NSA'!$A:$OK,MATCH(INDEX('Weights'!$E:$E,MATCH($A344,'Weights'!$A:$A,0)),'Data_NSA'!$A:$A,0),MATCH($D344,'Data_NSA'!$1:$1,0))))/(100*(INDEX('Data_NSA'!$A:$OK,MATCH(EDATE(O$2,-1),'Data_NSA'!$A:$A,0),MATCH("CUUR0000SA0",'Data_NSA'!$1:$1,0))/INDEX('Data_NSA'!$A:$OK,MATCH(INDEX('Weights'!$E:$E,MATCH($A344,'Weights'!$A:$A,0)),'Data_NSA'!$A:$A,0),MATCH("CUUR0000SA0",'Data_NSA'!$1:$1,0))))*(INDEX('Data_SA'!$A:$LO,MATCH(O$2,'Data_SA'!$A:$A,0),MATCH($E344,'Data_SA'!$1:$1,0))/INDEX('Data_SA'!$A:$LO,MATCH(EDATE(O$2,-1),'Data_SA'!$A:$A,0),MATCH($E344,'Data_SA'!$1:$1,0))-1),""))</f>
        <v/>
      </c>
      <c r="U344" s="10">
        <f>IFERROR(INDEX('Data_NSA'!$A:$OK,MATCH(U$2,'Data_NSA'!$A:$A,0),MATCH($D344,'Data_NSA'!$1:$1,0)),"")</f>
        <v/>
      </c>
      <c r="V344" s="10">
        <f>IF($E344="","",IFERROR(INDEX('Data_SA'!$A:$LO,MATCH(U$2,'Data_SA'!$A:$A,0),MATCH($E344,'Data_SA'!$1:$1,0)),""))</f>
        <v/>
      </c>
      <c r="W344" s="7">
        <f>IF($E344="","",IFERROR(INDEX('Data_SA'!$A:$LO,MATCH(U$2,'Data_SA'!$A:$A,0),MATCH($E344,'Data_SA'!$1:$1,0))/INDEX('Data_SA'!$A:$LO,MATCH(EDATE(U$2,-1),'Data_SA'!$A:$A,0),MATCH($E344,'Data_SA'!$1:$1,0))-1,""))</f>
        <v/>
      </c>
      <c r="X344" s="7">
        <f>IFERROR(INDEX('Data_NSA'!$A:$OK,MATCH(U$2,'Data_NSA'!$A:$A,0),MATCH($D344,'Data_NSA'!$1:$1,0))/INDEX('Data_NSA'!$A:$OK,MATCH(EDATE(U$2,-12),'Data_NSA'!$A:$A,0),MATCH($D344,'Data_NSA'!$1:$1,0))-1,"")</f>
        <v/>
      </c>
      <c r="Y344" s="10">
        <f>IFERROR(INDEX('Weights'!$G:$I,MATCH($A344,'Weights'!$A:$A,0),MATCH(U$2,'Weights'!$G$1:$I$1,0)),"")</f>
        <v/>
      </c>
      <c r="Z344" s="10">
        <f>IF($E344="","",IFERROR(100*(INDEX('Weights'!$D:$D,MATCH($A344,'Weights'!$A:$A,0))*(INDEX('Data_NSA'!$A:$OK,MATCH(EDATE(U$2,-1),'Data_NSA'!$A:$A,0),MATCH($D344,'Data_NSA'!$1:$1,0))/INDEX('Data_NSA'!$A:$OK,MATCH(INDEX('Weights'!$E:$E,MATCH($A344,'Weights'!$A:$A,0)),'Data_NSA'!$A:$A,0),MATCH($D344,'Data_NSA'!$1:$1,0))))/(100*(INDEX('Data_NSA'!$A:$OK,MATCH(EDATE(U$2,-1),'Data_NSA'!$A:$A,0),MATCH("CUUR0000SA0",'Data_NSA'!$1:$1,0))/INDEX('Data_NSA'!$A:$OK,MATCH(INDEX('Weights'!$E:$E,MATCH($A344,'Weights'!$A:$A,0)),'Data_NSA'!$A:$A,0),MATCH("CUUR0000SA0",'Data_NSA'!$1:$1,0))))*(INDEX('Data_SA'!$A:$LO,MATCH(U$2,'Data_SA'!$A:$A,0),MATCH($E344,'Data_SA'!$1:$1,0))/INDEX('Data_SA'!$A:$LO,MATCH(EDATE(U$2,-1),'Data_SA'!$A:$A,0),MATCH($E344,'Data_SA'!$1:$1,0))-1),""))</f>
        <v/>
      </c>
    </row>
    <row r="345">
      <c r="A345" s="3" t="inlineStr">
        <is>
          <t>SEGB01</t>
        </is>
      </c>
      <c r="B345" s="3" t="inlineStr">
        <is>
          <t>Hair, dental, shaving, and miscellaneous personal care products</t>
        </is>
      </c>
      <c r="C345" s="3" t="inlineStr">
        <is>
          <t>SEGB</t>
        </is>
      </c>
      <c r="D345" s="3" t="inlineStr">
        <is>
          <t>CUUR0000SEGB01</t>
        </is>
      </c>
      <c r="E345" s="3" t="inlineStr"/>
      <c r="F345" s="3" t="inlineStr">
        <is>
          <t>GM</t>
        </is>
      </c>
      <c r="G345" s="3" t="inlineStr">
        <is>
          <t>monthly in New York/Los Angeles/Chicago; often bimonthly elsewhere</t>
        </is>
      </c>
      <c r="H345" s="10">
        <f>IFERROR(INDEX(Weights!$D:$D,MATCH($A345,Weights!$A:$A,0)),"")</f>
        <v/>
      </c>
      <c r="I345" s="10">
        <f>IFERROR(INDEX('Data_NSA'!$A:$OK,MATCH(I$2,'Data_NSA'!$A:$A,0),MATCH($D345,'Data_NSA'!$1:$1,0)),"")</f>
        <v/>
      </c>
      <c r="J345" s="10">
        <f>IF($E345="","",IFERROR(INDEX('Data_SA'!$A:$LO,MATCH(I$2,'Data_SA'!$A:$A,0),MATCH($E345,'Data_SA'!$1:$1,0)),""))</f>
        <v/>
      </c>
      <c r="K345" s="7">
        <f>IF($E345="","",IFERROR(INDEX('Data_SA'!$A:$LO,MATCH(I$2,'Data_SA'!$A:$A,0),MATCH($E345,'Data_SA'!$1:$1,0))/INDEX('Data_SA'!$A:$LO,MATCH(EDATE(I$2,-1),'Data_SA'!$A:$A,0),MATCH($E345,'Data_SA'!$1:$1,0))-1,""))</f>
        <v/>
      </c>
      <c r="L345" s="7">
        <f>IFERROR(INDEX('Data_NSA'!$A:$OK,MATCH(I$2,'Data_NSA'!$A:$A,0),MATCH($D345,'Data_NSA'!$1:$1,0))/INDEX('Data_NSA'!$A:$OK,MATCH(EDATE(I$2,-12),'Data_NSA'!$A:$A,0),MATCH($D345,'Data_NSA'!$1:$1,0))-1,"")</f>
        <v/>
      </c>
      <c r="M345" s="10">
        <f>IFERROR(INDEX('Weights'!$G:$I,MATCH($A345,'Weights'!$A:$A,0),MATCH(I$2,'Weights'!$G$1:$I$1,0)),"")</f>
        <v/>
      </c>
      <c r="N345" s="10">
        <f>IF($E345="","",IFERROR(100*(INDEX('Weights'!$D:$D,MATCH($A345,'Weights'!$A:$A,0))*(INDEX('Data_NSA'!$A:$OK,MATCH(EDATE(I$2,-1),'Data_NSA'!$A:$A,0),MATCH($D345,'Data_NSA'!$1:$1,0))/INDEX('Data_NSA'!$A:$OK,MATCH(INDEX('Weights'!$E:$E,MATCH($A345,'Weights'!$A:$A,0)),'Data_NSA'!$A:$A,0),MATCH($D345,'Data_NSA'!$1:$1,0))))/(100*(INDEX('Data_NSA'!$A:$OK,MATCH(EDATE(I$2,-1),'Data_NSA'!$A:$A,0),MATCH("CUUR0000SA0",'Data_NSA'!$1:$1,0))/INDEX('Data_NSA'!$A:$OK,MATCH(INDEX('Weights'!$E:$E,MATCH($A345,'Weights'!$A:$A,0)),'Data_NSA'!$A:$A,0),MATCH("CUUR0000SA0",'Data_NSA'!$1:$1,0))))*(INDEX('Data_SA'!$A:$LO,MATCH(I$2,'Data_SA'!$A:$A,0),MATCH($E345,'Data_SA'!$1:$1,0))/INDEX('Data_SA'!$A:$LO,MATCH(EDATE(I$2,-1),'Data_SA'!$A:$A,0),MATCH($E345,'Data_SA'!$1:$1,0))-1),""))</f>
        <v/>
      </c>
      <c r="O345" s="10">
        <f>IFERROR(INDEX('Data_NSA'!$A:$OK,MATCH(O$2,'Data_NSA'!$A:$A,0),MATCH($D345,'Data_NSA'!$1:$1,0)),"")</f>
        <v/>
      </c>
      <c r="P345" s="10">
        <f>IF($E345="","",IFERROR(INDEX('Data_SA'!$A:$LO,MATCH(O$2,'Data_SA'!$A:$A,0),MATCH($E345,'Data_SA'!$1:$1,0)),""))</f>
        <v/>
      </c>
      <c r="Q345" s="7">
        <f>IF($E345="","",IFERROR(INDEX('Data_SA'!$A:$LO,MATCH(O$2,'Data_SA'!$A:$A,0),MATCH($E345,'Data_SA'!$1:$1,0))/INDEX('Data_SA'!$A:$LO,MATCH(EDATE(O$2,-1),'Data_SA'!$A:$A,0),MATCH($E345,'Data_SA'!$1:$1,0))-1,""))</f>
        <v/>
      </c>
      <c r="R345" s="7">
        <f>IFERROR(INDEX('Data_NSA'!$A:$OK,MATCH(O$2,'Data_NSA'!$A:$A,0),MATCH($D345,'Data_NSA'!$1:$1,0))/INDEX('Data_NSA'!$A:$OK,MATCH(EDATE(O$2,-12),'Data_NSA'!$A:$A,0),MATCH($D345,'Data_NSA'!$1:$1,0))-1,"")</f>
        <v/>
      </c>
      <c r="S345" s="10">
        <f>IFERROR(INDEX('Weights'!$G:$I,MATCH($A345,'Weights'!$A:$A,0),MATCH(O$2,'Weights'!$G$1:$I$1,0)),"")</f>
        <v/>
      </c>
      <c r="T345" s="10">
        <f>IF($E345="","",IFERROR(100*(INDEX('Weights'!$D:$D,MATCH($A345,'Weights'!$A:$A,0))*(INDEX('Data_NSA'!$A:$OK,MATCH(EDATE(O$2,-1),'Data_NSA'!$A:$A,0),MATCH($D345,'Data_NSA'!$1:$1,0))/INDEX('Data_NSA'!$A:$OK,MATCH(INDEX('Weights'!$E:$E,MATCH($A345,'Weights'!$A:$A,0)),'Data_NSA'!$A:$A,0),MATCH($D345,'Data_NSA'!$1:$1,0))))/(100*(INDEX('Data_NSA'!$A:$OK,MATCH(EDATE(O$2,-1),'Data_NSA'!$A:$A,0),MATCH("CUUR0000SA0",'Data_NSA'!$1:$1,0))/INDEX('Data_NSA'!$A:$OK,MATCH(INDEX('Weights'!$E:$E,MATCH($A345,'Weights'!$A:$A,0)),'Data_NSA'!$A:$A,0),MATCH("CUUR0000SA0",'Data_NSA'!$1:$1,0))))*(INDEX('Data_SA'!$A:$LO,MATCH(O$2,'Data_SA'!$A:$A,0),MATCH($E345,'Data_SA'!$1:$1,0))/INDEX('Data_SA'!$A:$LO,MATCH(EDATE(O$2,-1),'Data_SA'!$A:$A,0),MATCH($E345,'Data_SA'!$1:$1,0))-1),""))</f>
        <v/>
      </c>
      <c r="U345" s="10">
        <f>IFERROR(INDEX('Data_NSA'!$A:$OK,MATCH(U$2,'Data_NSA'!$A:$A,0),MATCH($D345,'Data_NSA'!$1:$1,0)),"")</f>
        <v/>
      </c>
      <c r="V345" s="10">
        <f>IF($E345="","",IFERROR(INDEX('Data_SA'!$A:$LO,MATCH(U$2,'Data_SA'!$A:$A,0),MATCH($E345,'Data_SA'!$1:$1,0)),""))</f>
        <v/>
      </c>
      <c r="W345" s="7">
        <f>IF($E345="","",IFERROR(INDEX('Data_SA'!$A:$LO,MATCH(U$2,'Data_SA'!$A:$A,0),MATCH($E345,'Data_SA'!$1:$1,0))/INDEX('Data_SA'!$A:$LO,MATCH(EDATE(U$2,-1),'Data_SA'!$A:$A,0),MATCH($E345,'Data_SA'!$1:$1,0))-1,""))</f>
        <v/>
      </c>
      <c r="X345" s="7">
        <f>IFERROR(INDEX('Data_NSA'!$A:$OK,MATCH(U$2,'Data_NSA'!$A:$A,0),MATCH($D345,'Data_NSA'!$1:$1,0))/INDEX('Data_NSA'!$A:$OK,MATCH(EDATE(U$2,-12),'Data_NSA'!$A:$A,0),MATCH($D345,'Data_NSA'!$1:$1,0))-1,"")</f>
        <v/>
      </c>
      <c r="Y345" s="10">
        <f>IFERROR(INDEX('Weights'!$G:$I,MATCH($A345,'Weights'!$A:$A,0),MATCH(U$2,'Weights'!$G$1:$I$1,0)),"")</f>
        <v/>
      </c>
      <c r="Z345" s="10">
        <f>IF($E345="","",IFERROR(100*(INDEX('Weights'!$D:$D,MATCH($A345,'Weights'!$A:$A,0))*(INDEX('Data_NSA'!$A:$OK,MATCH(EDATE(U$2,-1),'Data_NSA'!$A:$A,0),MATCH($D345,'Data_NSA'!$1:$1,0))/INDEX('Data_NSA'!$A:$OK,MATCH(INDEX('Weights'!$E:$E,MATCH($A345,'Weights'!$A:$A,0)),'Data_NSA'!$A:$A,0),MATCH($D345,'Data_NSA'!$1:$1,0))))/(100*(INDEX('Data_NSA'!$A:$OK,MATCH(EDATE(U$2,-1),'Data_NSA'!$A:$A,0),MATCH("CUUR0000SA0",'Data_NSA'!$1:$1,0))/INDEX('Data_NSA'!$A:$OK,MATCH(INDEX('Weights'!$E:$E,MATCH($A345,'Weights'!$A:$A,0)),'Data_NSA'!$A:$A,0),MATCH("CUUR0000SA0",'Data_NSA'!$1:$1,0))))*(INDEX('Data_SA'!$A:$LO,MATCH(U$2,'Data_SA'!$A:$A,0),MATCH($E345,'Data_SA'!$1:$1,0))/INDEX('Data_SA'!$A:$LO,MATCH(EDATE(U$2,-1),'Data_SA'!$A:$A,0),MATCH($E345,'Data_SA'!$1:$1,0))-1),""))</f>
        <v/>
      </c>
    </row>
    <row r="346">
      <c r="A346" s="3" t="inlineStr">
        <is>
          <t>SEGB02</t>
        </is>
      </c>
      <c r="B346" s="3" t="inlineStr">
        <is>
          <t>Cosmetics, perfume, bath, nail preparations and implements</t>
        </is>
      </c>
      <c r="C346" s="3" t="inlineStr">
        <is>
          <t>SEGB</t>
        </is>
      </c>
      <c r="D346" s="3" t="inlineStr">
        <is>
          <t>CUUR0000SEGB02</t>
        </is>
      </c>
      <c r="E346" s="3" t="inlineStr"/>
      <c r="F346" s="3" t="inlineStr">
        <is>
          <t>GM</t>
        </is>
      </c>
      <c r="G346" s="3" t="inlineStr">
        <is>
          <t>monthly in New York/Los Angeles/Chicago; often bimonthly elsewhere</t>
        </is>
      </c>
      <c r="H346" s="10">
        <f>IFERROR(INDEX(Weights!$D:$D,MATCH($A346,Weights!$A:$A,0)),"")</f>
        <v/>
      </c>
      <c r="I346" s="10">
        <f>IFERROR(INDEX('Data_NSA'!$A:$OK,MATCH(I$2,'Data_NSA'!$A:$A,0),MATCH($D346,'Data_NSA'!$1:$1,0)),"")</f>
        <v/>
      </c>
      <c r="J346" s="10">
        <f>IF($E346="","",IFERROR(INDEX('Data_SA'!$A:$LO,MATCH(I$2,'Data_SA'!$A:$A,0),MATCH($E346,'Data_SA'!$1:$1,0)),""))</f>
        <v/>
      </c>
      <c r="K346" s="7">
        <f>IF($E346="","",IFERROR(INDEX('Data_SA'!$A:$LO,MATCH(I$2,'Data_SA'!$A:$A,0),MATCH($E346,'Data_SA'!$1:$1,0))/INDEX('Data_SA'!$A:$LO,MATCH(EDATE(I$2,-1),'Data_SA'!$A:$A,0),MATCH($E346,'Data_SA'!$1:$1,0))-1,""))</f>
        <v/>
      </c>
      <c r="L346" s="7">
        <f>IFERROR(INDEX('Data_NSA'!$A:$OK,MATCH(I$2,'Data_NSA'!$A:$A,0),MATCH($D346,'Data_NSA'!$1:$1,0))/INDEX('Data_NSA'!$A:$OK,MATCH(EDATE(I$2,-12),'Data_NSA'!$A:$A,0),MATCH($D346,'Data_NSA'!$1:$1,0))-1,"")</f>
        <v/>
      </c>
      <c r="M346" s="10">
        <f>IFERROR(INDEX('Weights'!$G:$I,MATCH($A346,'Weights'!$A:$A,0),MATCH(I$2,'Weights'!$G$1:$I$1,0)),"")</f>
        <v/>
      </c>
      <c r="N346" s="10">
        <f>IF($E346="","",IFERROR(100*(INDEX('Weights'!$D:$D,MATCH($A346,'Weights'!$A:$A,0))*(INDEX('Data_NSA'!$A:$OK,MATCH(EDATE(I$2,-1),'Data_NSA'!$A:$A,0),MATCH($D346,'Data_NSA'!$1:$1,0))/INDEX('Data_NSA'!$A:$OK,MATCH(INDEX('Weights'!$E:$E,MATCH($A346,'Weights'!$A:$A,0)),'Data_NSA'!$A:$A,0),MATCH($D346,'Data_NSA'!$1:$1,0))))/(100*(INDEX('Data_NSA'!$A:$OK,MATCH(EDATE(I$2,-1),'Data_NSA'!$A:$A,0),MATCH("CUUR0000SA0",'Data_NSA'!$1:$1,0))/INDEX('Data_NSA'!$A:$OK,MATCH(INDEX('Weights'!$E:$E,MATCH($A346,'Weights'!$A:$A,0)),'Data_NSA'!$A:$A,0),MATCH("CUUR0000SA0",'Data_NSA'!$1:$1,0))))*(INDEX('Data_SA'!$A:$LO,MATCH(I$2,'Data_SA'!$A:$A,0),MATCH($E346,'Data_SA'!$1:$1,0))/INDEX('Data_SA'!$A:$LO,MATCH(EDATE(I$2,-1),'Data_SA'!$A:$A,0),MATCH($E346,'Data_SA'!$1:$1,0))-1),""))</f>
        <v/>
      </c>
      <c r="O346" s="10">
        <f>IFERROR(INDEX('Data_NSA'!$A:$OK,MATCH(O$2,'Data_NSA'!$A:$A,0),MATCH($D346,'Data_NSA'!$1:$1,0)),"")</f>
        <v/>
      </c>
      <c r="P346" s="10">
        <f>IF($E346="","",IFERROR(INDEX('Data_SA'!$A:$LO,MATCH(O$2,'Data_SA'!$A:$A,0),MATCH($E346,'Data_SA'!$1:$1,0)),""))</f>
        <v/>
      </c>
      <c r="Q346" s="7">
        <f>IF($E346="","",IFERROR(INDEX('Data_SA'!$A:$LO,MATCH(O$2,'Data_SA'!$A:$A,0),MATCH($E346,'Data_SA'!$1:$1,0))/INDEX('Data_SA'!$A:$LO,MATCH(EDATE(O$2,-1),'Data_SA'!$A:$A,0),MATCH($E346,'Data_SA'!$1:$1,0))-1,""))</f>
        <v/>
      </c>
      <c r="R346" s="7">
        <f>IFERROR(INDEX('Data_NSA'!$A:$OK,MATCH(O$2,'Data_NSA'!$A:$A,0),MATCH($D346,'Data_NSA'!$1:$1,0))/INDEX('Data_NSA'!$A:$OK,MATCH(EDATE(O$2,-12),'Data_NSA'!$A:$A,0),MATCH($D346,'Data_NSA'!$1:$1,0))-1,"")</f>
        <v/>
      </c>
      <c r="S346" s="10">
        <f>IFERROR(INDEX('Weights'!$G:$I,MATCH($A346,'Weights'!$A:$A,0),MATCH(O$2,'Weights'!$G$1:$I$1,0)),"")</f>
        <v/>
      </c>
      <c r="T346" s="10">
        <f>IF($E346="","",IFERROR(100*(INDEX('Weights'!$D:$D,MATCH($A346,'Weights'!$A:$A,0))*(INDEX('Data_NSA'!$A:$OK,MATCH(EDATE(O$2,-1),'Data_NSA'!$A:$A,0),MATCH($D346,'Data_NSA'!$1:$1,0))/INDEX('Data_NSA'!$A:$OK,MATCH(INDEX('Weights'!$E:$E,MATCH($A346,'Weights'!$A:$A,0)),'Data_NSA'!$A:$A,0),MATCH($D346,'Data_NSA'!$1:$1,0))))/(100*(INDEX('Data_NSA'!$A:$OK,MATCH(EDATE(O$2,-1),'Data_NSA'!$A:$A,0),MATCH("CUUR0000SA0",'Data_NSA'!$1:$1,0))/INDEX('Data_NSA'!$A:$OK,MATCH(INDEX('Weights'!$E:$E,MATCH($A346,'Weights'!$A:$A,0)),'Data_NSA'!$A:$A,0),MATCH("CUUR0000SA0",'Data_NSA'!$1:$1,0))))*(INDEX('Data_SA'!$A:$LO,MATCH(O$2,'Data_SA'!$A:$A,0),MATCH($E346,'Data_SA'!$1:$1,0))/INDEX('Data_SA'!$A:$LO,MATCH(EDATE(O$2,-1),'Data_SA'!$A:$A,0),MATCH($E346,'Data_SA'!$1:$1,0))-1),""))</f>
        <v/>
      </c>
      <c r="U346" s="10">
        <f>IFERROR(INDEX('Data_NSA'!$A:$OK,MATCH(U$2,'Data_NSA'!$A:$A,0),MATCH($D346,'Data_NSA'!$1:$1,0)),"")</f>
        <v/>
      </c>
      <c r="V346" s="10">
        <f>IF($E346="","",IFERROR(INDEX('Data_SA'!$A:$LO,MATCH(U$2,'Data_SA'!$A:$A,0),MATCH($E346,'Data_SA'!$1:$1,0)),""))</f>
        <v/>
      </c>
      <c r="W346" s="7">
        <f>IF($E346="","",IFERROR(INDEX('Data_SA'!$A:$LO,MATCH(U$2,'Data_SA'!$A:$A,0),MATCH($E346,'Data_SA'!$1:$1,0))/INDEX('Data_SA'!$A:$LO,MATCH(EDATE(U$2,-1),'Data_SA'!$A:$A,0),MATCH($E346,'Data_SA'!$1:$1,0))-1,""))</f>
        <v/>
      </c>
      <c r="X346" s="7">
        <f>IFERROR(INDEX('Data_NSA'!$A:$OK,MATCH(U$2,'Data_NSA'!$A:$A,0),MATCH($D346,'Data_NSA'!$1:$1,0))/INDEX('Data_NSA'!$A:$OK,MATCH(EDATE(U$2,-12),'Data_NSA'!$A:$A,0),MATCH($D346,'Data_NSA'!$1:$1,0))-1,"")</f>
        <v/>
      </c>
      <c r="Y346" s="10">
        <f>IFERROR(INDEX('Weights'!$G:$I,MATCH($A346,'Weights'!$A:$A,0),MATCH(U$2,'Weights'!$G$1:$I$1,0)),"")</f>
        <v/>
      </c>
      <c r="Z346" s="10">
        <f>IF($E346="","",IFERROR(100*(INDEX('Weights'!$D:$D,MATCH($A346,'Weights'!$A:$A,0))*(INDEX('Data_NSA'!$A:$OK,MATCH(EDATE(U$2,-1),'Data_NSA'!$A:$A,0),MATCH($D346,'Data_NSA'!$1:$1,0))/INDEX('Data_NSA'!$A:$OK,MATCH(INDEX('Weights'!$E:$E,MATCH($A346,'Weights'!$A:$A,0)),'Data_NSA'!$A:$A,0),MATCH($D346,'Data_NSA'!$1:$1,0))))/(100*(INDEX('Data_NSA'!$A:$OK,MATCH(EDATE(U$2,-1),'Data_NSA'!$A:$A,0),MATCH("CUUR0000SA0",'Data_NSA'!$1:$1,0))/INDEX('Data_NSA'!$A:$OK,MATCH(INDEX('Weights'!$E:$E,MATCH($A346,'Weights'!$A:$A,0)),'Data_NSA'!$A:$A,0),MATCH("CUUR0000SA0",'Data_NSA'!$1:$1,0))))*(INDEX('Data_SA'!$A:$LO,MATCH(U$2,'Data_SA'!$A:$A,0),MATCH($E346,'Data_SA'!$1:$1,0))/INDEX('Data_SA'!$A:$LO,MATCH(EDATE(U$2,-1),'Data_SA'!$A:$A,0),MATCH($E346,'Data_SA'!$1:$1,0))-1),""))</f>
        <v/>
      </c>
    </row>
    <row r="347">
      <c r="A347" s="3" t="inlineStr">
        <is>
          <t>SEGC</t>
        </is>
      </c>
      <c r="B347" s="3" t="inlineStr">
        <is>
          <t>Personal care services</t>
        </is>
      </c>
      <c r="C347" s="3" t="inlineStr">
        <is>
          <t>SAG1</t>
        </is>
      </c>
      <c r="D347" s="3" t="inlineStr">
        <is>
          <t>CUUR0000SEGC</t>
        </is>
      </c>
      <c r="E347" s="3" t="inlineStr"/>
      <c r="F347" s="3" t="inlineStr">
        <is>
          <t>aggregate</t>
        </is>
      </c>
      <c r="G347" s="3" t="inlineStr">
        <is>
          <t>aggregate</t>
        </is>
      </c>
      <c r="H347" s="10">
        <f>IFERROR(INDEX(Weights!$D:$D,MATCH($A347,Weights!$A:$A,0)),"")</f>
        <v/>
      </c>
      <c r="I347" s="10">
        <f>IFERROR(INDEX('Data_NSA'!$A:$OK,MATCH(I$2,'Data_NSA'!$A:$A,0),MATCH($D347,'Data_NSA'!$1:$1,0)),"")</f>
        <v/>
      </c>
      <c r="J347" s="10">
        <f>IF($E347="","",IFERROR(INDEX('Data_SA'!$A:$LO,MATCH(I$2,'Data_SA'!$A:$A,0),MATCH($E347,'Data_SA'!$1:$1,0)),""))</f>
        <v/>
      </c>
      <c r="K347" s="7">
        <f>IF($E347="","",IFERROR(INDEX('Data_SA'!$A:$LO,MATCH(I$2,'Data_SA'!$A:$A,0),MATCH($E347,'Data_SA'!$1:$1,0))/INDEX('Data_SA'!$A:$LO,MATCH(EDATE(I$2,-1),'Data_SA'!$A:$A,0),MATCH($E347,'Data_SA'!$1:$1,0))-1,""))</f>
        <v/>
      </c>
      <c r="L347" s="7">
        <f>IFERROR(INDEX('Data_NSA'!$A:$OK,MATCH(I$2,'Data_NSA'!$A:$A,0),MATCH($D347,'Data_NSA'!$1:$1,0))/INDEX('Data_NSA'!$A:$OK,MATCH(EDATE(I$2,-12),'Data_NSA'!$A:$A,0),MATCH($D347,'Data_NSA'!$1:$1,0))-1,"")</f>
        <v/>
      </c>
      <c r="M347" s="10">
        <f>IFERROR(INDEX('Weights'!$G:$I,MATCH($A347,'Weights'!$A:$A,0),MATCH(I$2,'Weights'!$G$1:$I$1,0)),"")</f>
        <v/>
      </c>
      <c r="N347" s="10">
        <f>IF($E347="","",IFERROR(100*(INDEX('Weights'!$D:$D,MATCH($A347,'Weights'!$A:$A,0))*(INDEX('Data_NSA'!$A:$OK,MATCH(EDATE(I$2,-1),'Data_NSA'!$A:$A,0),MATCH($D347,'Data_NSA'!$1:$1,0))/INDEX('Data_NSA'!$A:$OK,MATCH(INDEX('Weights'!$E:$E,MATCH($A347,'Weights'!$A:$A,0)),'Data_NSA'!$A:$A,0),MATCH($D347,'Data_NSA'!$1:$1,0))))/(100*(INDEX('Data_NSA'!$A:$OK,MATCH(EDATE(I$2,-1),'Data_NSA'!$A:$A,0),MATCH("CUUR0000SA0",'Data_NSA'!$1:$1,0))/INDEX('Data_NSA'!$A:$OK,MATCH(INDEX('Weights'!$E:$E,MATCH($A347,'Weights'!$A:$A,0)),'Data_NSA'!$A:$A,0),MATCH("CUUR0000SA0",'Data_NSA'!$1:$1,0))))*(INDEX('Data_SA'!$A:$LO,MATCH(I$2,'Data_SA'!$A:$A,0),MATCH($E347,'Data_SA'!$1:$1,0))/INDEX('Data_SA'!$A:$LO,MATCH(EDATE(I$2,-1),'Data_SA'!$A:$A,0),MATCH($E347,'Data_SA'!$1:$1,0))-1),""))</f>
        <v/>
      </c>
      <c r="O347" s="10">
        <f>IFERROR(INDEX('Data_NSA'!$A:$OK,MATCH(O$2,'Data_NSA'!$A:$A,0),MATCH($D347,'Data_NSA'!$1:$1,0)),"")</f>
        <v/>
      </c>
      <c r="P347" s="10">
        <f>IF($E347="","",IFERROR(INDEX('Data_SA'!$A:$LO,MATCH(O$2,'Data_SA'!$A:$A,0),MATCH($E347,'Data_SA'!$1:$1,0)),""))</f>
        <v/>
      </c>
      <c r="Q347" s="7">
        <f>IF($E347="","",IFERROR(INDEX('Data_SA'!$A:$LO,MATCH(O$2,'Data_SA'!$A:$A,0),MATCH($E347,'Data_SA'!$1:$1,0))/INDEX('Data_SA'!$A:$LO,MATCH(EDATE(O$2,-1),'Data_SA'!$A:$A,0),MATCH($E347,'Data_SA'!$1:$1,0))-1,""))</f>
        <v/>
      </c>
      <c r="R347" s="7">
        <f>IFERROR(INDEX('Data_NSA'!$A:$OK,MATCH(O$2,'Data_NSA'!$A:$A,0),MATCH($D347,'Data_NSA'!$1:$1,0))/INDEX('Data_NSA'!$A:$OK,MATCH(EDATE(O$2,-12),'Data_NSA'!$A:$A,0),MATCH($D347,'Data_NSA'!$1:$1,0))-1,"")</f>
        <v/>
      </c>
      <c r="S347" s="10">
        <f>IFERROR(INDEX('Weights'!$G:$I,MATCH($A347,'Weights'!$A:$A,0),MATCH(O$2,'Weights'!$G$1:$I$1,0)),"")</f>
        <v/>
      </c>
      <c r="T347" s="10">
        <f>IF($E347="","",IFERROR(100*(INDEX('Weights'!$D:$D,MATCH($A347,'Weights'!$A:$A,0))*(INDEX('Data_NSA'!$A:$OK,MATCH(EDATE(O$2,-1),'Data_NSA'!$A:$A,0),MATCH($D347,'Data_NSA'!$1:$1,0))/INDEX('Data_NSA'!$A:$OK,MATCH(INDEX('Weights'!$E:$E,MATCH($A347,'Weights'!$A:$A,0)),'Data_NSA'!$A:$A,0),MATCH($D347,'Data_NSA'!$1:$1,0))))/(100*(INDEX('Data_NSA'!$A:$OK,MATCH(EDATE(O$2,-1),'Data_NSA'!$A:$A,0),MATCH("CUUR0000SA0",'Data_NSA'!$1:$1,0))/INDEX('Data_NSA'!$A:$OK,MATCH(INDEX('Weights'!$E:$E,MATCH($A347,'Weights'!$A:$A,0)),'Data_NSA'!$A:$A,0),MATCH("CUUR0000SA0",'Data_NSA'!$1:$1,0))))*(INDEX('Data_SA'!$A:$LO,MATCH(O$2,'Data_SA'!$A:$A,0),MATCH($E347,'Data_SA'!$1:$1,0))/INDEX('Data_SA'!$A:$LO,MATCH(EDATE(O$2,-1),'Data_SA'!$A:$A,0),MATCH($E347,'Data_SA'!$1:$1,0))-1),""))</f>
        <v/>
      </c>
      <c r="U347" s="10">
        <f>IFERROR(INDEX('Data_NSA'!$A:$OK,MATCH(U$2,'Data_NSA'!$A:$A,0),MATCH($D347,'Data_NSA'!$1:$1,0)),"")</f>
        <v/>
      </c>
      <c r="V347" s="10">
        <f>IF($E347="","",IFERROR(INDEX('Data_SA'!$A:$LO,MATCH(U$2,'Data_SA'!$A:$A,0),MATCH($E347,'Data_SA'!$1:$1,0)),""))</f>
        <v/>
      </c>
      <c r="W347" s="7">
        <f>IF($E347="","",IFERROR(INDEX('Data_SA'!$A:$LO,MATCH(U$2,'Data_SA'!$A:$A,0),MATCH($E347,'Data_SA'!$1:$1,0))/INDEX('Data_SA'!$A:$LO,MATCH(EDATE(U$2,-1),'Data_SA'!$A:$A,0),MATCH($E347,'Data_SA'!$1:$1,0))-1,""))</f>
        <v/>
      </c>
      <c r="X347" s="7">
        <f>IFERROR(INDEX('Data_NSA'!$A:$OK,MATCH(U$2,'Data_NSA'!$A:$A,0),MATCH($D347,'Data_NSA'!$1:$1,0))/INDEX('Data_NSA'!$A:$OK,MATCH(EDATE(U$2,-12),'Data_NSA'!$A:$A,0),MATCH($D347,'Data_NSA'!$1:$1,0))-1,"")</f>
        <v/>
      </c>
      <c r="Y347" s="10">
        <f>IFERROR(INDEX('Weights'!$G:$I,MATCH($A347,'Weights'!$A:$A,0),MATCH(U$2,'Weights'!$G$1:$I$1,0)),"")</f>
        <v/>
      </c>
      <c r="Z347" s="10">
        <f>IF($E347="","",IFERROR(100*(INDEX('Weights'!$D:$D,MATCH($A347,'Weights'!$A:$A,0))*(INDEX('Data_NSA'!$A:$OK,MATCH(EDATE(U$2,-1),'Data_NSA'!$A:$A,0),MATCH($D347,'Data_NSA'!$1:$1,0))/INDEX('Data_NSA'!$A:$OK,MATCH(INDEX('Weights'!$E:$E,MATCH($A347,'Weights'!$A:$A,0)),'Data_NSA'!$A:$A,0),MATCH($D347,'Data_NSA'!$1:$1,0))))/(100*(INDEX('Data_NSA'!$A:$OK,MATCH(EDATE(U$2,-1),'Data_NSA'!$A:$A,0),MATCH("CUUR0000SA0",'Data_NSA'!$1:$1,0))/INDEX('Data_NSA'!$A:$OK,MATCH(INDEX('Weights'!$E:$E,MATCH($A347,'Weights'!$A:$A,0)),'Data_NSA'!$A:$A,0),MATCH("CUUR0000SA0",'Data_NSA'!$1:$1,0))))*(INDEX('Data_SA'!$A:$LO,MATCH(U$2,'Data_SA'!$A:$A,0),MATCH($E347,'Data_SA'!$1:$1,0))/INDEX('Data_SA'!$A:$LO,MATCH(EDATE(U$2,-1),'Data_SA'!$A:$A,0),MATCH($E347,'Data_SA'!$1:$1,0))-1),""))</f>
        <v/>
      </c>
    </row>
    <row r="348">
      <c r="A348" s="3" t="inlineStr">
        <is>
          <t>SEGC01</t>
        </is>
      </c>
      <c r="B348" s="3" t="inlineStr">
        <is>
          <t>Haircuts and other personal care services</t>
        </is>
      </c>
      <c r="C348" s="3" t="inlineStr">
        <is>
          <t>SEGC</t>
        </is>
      </c>
      <c r="D348" s="3" t="inlineStr">
        <is>
          <t>CUUR0000SEGC01</t>
        </is>
      </c>
      <c r="E348" s="3" t="inlineStr"/>
      <c r="F348" s="3" t="inlineStr">
        <is>
          <t>GM</t>
        </is>
      </c>
      <c r="G348" s="3" t="inlineStr">
        <is>
          <t>monthly in New York/Los Angeles/Chicago; often bimonthly elsewhere</t>
        </is>
      </c>
      <c r="H348" s="10">
        <f>IFERROR(INDEX(Weights!$D:$D,MATCH($A348,Weights!$A:$A,0)),"")</f>
        <v/>
      </c>
      <c r="I348" s="10">
        <f>IFERROR(INDEX('Data_NSA'!$A:$OK,MATCH(I$2,'Data_NSA'!$A:$A,0),MATCH($D348,'Data_NSA'!$1:$1,0)),"")</f>
        <v/>
      </c>
      <c r="J348" s="10">
        <f>IF($E348="","",IFERROR(INDEX('Data_SA'!$A:$LO,MATCH(I$2,'Data_SA'!$A:$A,0),MATCH($E348,'Data_SA'!$1:$1,0)),""))</f>
        <v/>
      </c>
      <c r="K348" s="7">
        <f>IF($E348="","",IFERROR(INDEX('Data_SA'!$A:$LO,MATCH(I$2,'Data_SA'!$A:$A,0),MATCH($E348,'Data_SA'!$1:$1,0))/INDEX('Data_SA'!$A:$LO,MATCH(EDATE(I$2,-1),'Data_SA'!$A:$A,0),MATCH($E348,'Data_SA'!$1:$1,0))-1,""))</f>
        <v/>
      </c>
      <c r="L348" s="7">
        <f>IFERROR(INDEX('Data_NSA'!$A:$OK,MATCH(I$2,'Data_NSA'!$A:$A,0),MATCH($D348,'Data_NSA'!$1:$1,0))/INDEX('Data_NSA'!$A:$OK,MATCH(EDATE(I$2,-12),'Data_NSA'!$A:$A,0),MATCH($D348,'Data_NSA'!$1:$1,0))-1,"")</f>
        <v/>
      </c>
      <c r="M348" s="10">
        <f>IFERROR(INDEX('Weights'!$G:$I,MATCH($A348,'Weights'!$A:$A,0),MATCH(I$2,'Weights'!$G$1:$I$1,0)),"")</f>
        <v/>
      </c>
      <c r="N348" s="10">
        <f>IF($E348="","",IFERROR(100*(INDEX('Weights'!$D:$D,MATCH($A348,'Weights'!$A:$A,0))*(INDEX('Data_NSA'!$A:$OK,MATCH(EDATE(I$2,-1),'Data_NSA'!$A:$A,0),MATCH($D348,'Data_NSA'!$1:$1,0))/INDEX('Data_NSA'!$A:$OK,MATCH(INDEX('Weights'!$E:$E,MATCH($A348,'Weights'!$A:$A,0)),'Data_NSA'!$A:$A,0),MATCH($D348,'Data_NSA'!$1:$1,0))))/(100*(INDEX('Data_NSA'!$A:$OK,MATCH(EDATE(I$2,-1),'Data_NSA'!$A:$A,0),MATCH("CUUR0000SA0",'Data_NSA'!$1:$1,0))/INDEX('Data_NSA'!$A:$OK,MATCH(INDEX('Weights'!$E:$E,MATCH($A348,'Weights'!$A:$A,0)),'Data_NSA'!$A:$A,0),MATCH("CUUR0000SA0",'Data_NSA'!$1:$1,0))))*(INDEX('Data_SA'!$A:$LO,MATCH(I$2,'Data_SA'!$A:$A,0),MATCH($E348,'Data_SA'!$1:$1,0))/INDEX('Data_SA'!$A:$LO,MATCH(EDATE(I$2,-1),'Data_SA'!$A:$A,0),MATCH($E348,'Data_SA'!$1:$1,0))-1),""))</f>
        <v/>
      </c>
      <c r="O348" s="10">
        <f>IFERROR(INDEX('Data_NSA'!$A:$OK,MATCH(O$2,'Data_NSA'!$A:$A,0),MATCH($D348,'Data_NSA'!$1:$1,0)),"")</f>
        <v/>
      </c>
      <c r="P348" s="10">
        <f>IF($E348="","",IFERROR(INDEX('Data_SA'!$A:$LO,MATCH(O$2,'Data_SA'!$A:$A,0),MATCH($E348,'Data_SA'!$1:$1,0)),""))</f>
        <v/>
      </c>
      <c r="Q348" s="7">
        <f>IF($E348="","",IFERROR(INDEX('Data_SA'!$A:$LO,MATCH(O$2,'Data_SA'!$A:$A,0),MATCH($E348,'Data_SA'!$1:$1,0))/INDEX('Data_SA'!$A:$LO,MATCH(EDATE(O$2,-1),'Data_SA'!$A:$A,0),MATCH($E348,'Data_SA'!$1:$1,0))-1,""))</f>
        <v/>
      </c>
      <c r="R348" s="7">
        <f>IFERROR(INDEX('Data_NSA'!$A:$OK,MATCH(O$2,'Data_NSA'!$A:$A,0),MATCH($D348,'Data_NSA'!$1:$1,0))/INDEX('Data_NSA'!$A:$OK,MATCH(EDATE(O$2,-12),'Data_NSA'!$A:$A,0),MATCH($D348,'Data_NSA'!$1:$1,0))-1,"")</f>
        <v/>
      </c>
      <c r="S348" s="10">
        <f>IFERROR(INDEX('Weights'!$G:$I,MATCH($A348,'Weights'!$A:$A,0),MATCH(O$2,'Weights'!$G$1:$I$1,0)),"")</f>
        <v/>
      </c>
      <c r="T348" s="10">
        <f>IF($E348="","",IFERROR(100*(INDEX('Weights'!$D:$D,MATCH($A348,'Weights'!$A:$A,0))*(INDEX('Data_NSA'!$A:$OK,MATCH(EDATE(O$2,-1),'Data_NSA'!$A:$A,0),MATCH($D348,'Data_NSA'!$1:$1,0))/INDEX('Data_NSA'!$A:$OK,MATCH(INDEX('Weights'!$E:$E,MATCH($A348,'Weights'!$A:$A,0)),'Data_NSA'!$A:$A,0),MATCH($D348,'Data_NSA'!$1:$1,0))))/(100*(INDEX('Data_NSA'!$A:$OK,MATCH(EDATE(O$2,-1),'Data_NSA'!$A:$A,0),MATCH("CUUR0000SA0",'Data_NSA'!$1:$1,0))/INDEX('Data_NSA'!$A:$OK,MATCH(INDEX('Weights'!$E:$E,MATCH($A348,'Weights'!$A:$A,0)),'Data_NSA'!$A:$A,0),MATCH("CUUR0000SA0",'Data_NSA'!$1:$1,0))))*(INDEX('Data_SA'!$A:$LO,MATCH(O$2,'Data_SA'!$A:$A,0),MATCH($E348,'Data_SA'!$1:$1,0))/INDEX('Data_SA'!$A:$LO,MATCH(EDATE(O$2,-1),'Data_SA'!$A:$A,0),MATCH($E348,'Data_SA'!$1:$1,0))-1),""))</f>
        <v/>
      </c>
      <c r="U348" s="10">
        <f>IFERROR(INDEX('Data_NSA'!$A:$OK,MATCH(U$2,'Data_NSA'!$A:$A,0),MATCH($D348,'Data_NSA'!$1:$1,0)),"")</f>
        <v/>
      </c>
      <c r="V348" s="10">
        <f>IF($E348="","",IFERROR(INDEX('Data_SA'!$A:$LO,MATCH(U$2,'Data_SA'!$A:$A,0),MATCH($E348,'Data_SA'!$1:$1,0)),""))</f>
        <v/>
      </c>
      <c r="W348" s="7">
        <f>IF($E348="","",IFERROR(INDEX('Data_SA'!$A:$LO,MATCH(U$2,'Data_SA'!$A:$A,0),MATCH($E348,'Data_SA'!$1:$1,0))/INDEX('Data_SA'!$A:$LO,MATCH(EDATE(U$2,-1),'Data_SA'!$A:$A,0),MATCH($E348,'Data_SA'!$1:$1,0))-1,""))</f>
        <v/>
      </c>
      <c r="X348" s="7">
        <f>IFERROR(INDEX('Data_NSA'!$A:$OK,MATCH(U$2,'Data_NSA'!$A:$A,0),MATCH($D348,'Data_NSA'!$1:$1,0))/INDEX('Data_NSA'!$A:$OK,MATCH(EDATE(U$2,-12),'Data_NSA'!$A:$A,0),MATCH($D348,'Data_NSA'!$1:$1,0))-1,"")</f>
        <v/>
      </c>
      <c r="Y348" s="10">
        <f>IFERROR(INDEX('Weights'!$G:$I,MATCH($A348,'Weights'!$A:$A,0),MATCH(U$2,'Weights'!$G$1:$I$1,0)),"")</f>
        <v/>
      </c>
      <c r="Z348" s="10">
        <f>IF($E348="","",IFERROR(100*(INDEX('Weights'!$D:$D,MATCH($A348,'Weights'!$A:$A,0))*(INDEX('Data_NSA'!$A:$OK,MATCH(EDATE(U$2,-1),'Data_NSA'!$A:$A,0),MATCH($D348,'Data_NSA'!$1:$1,0))/INDEX('Data_NSA'!$A:$OK,MATCH(INDEX('Weights'!$E:$E,MATCH($A348,'Weights'!$A:$A,0)),'Data_NSA'!$A:$A,0),MATCH($D348,'Data_NSA'!$1:$1,0))))/(100*(INDEX('Data_NSA'!$A:$OK,MATCH(EDATE(U$2,-1),'Data_NSA'!$A:$A,0),MATCH("CUUR0000SA0",'Data_NSA'!$1:$1,0))/INDEX('Data_NSA'!$A:$OK,MATCH(INDEX('Weights'!$E:$E,MATCH($A348,'Weights'!$A:$A,0)),'Data_NSA'!$A:$A,0),MATCH("CUUR0000SA0",'Data_NSA'!$1:$1,0))))*(INDEX('Data_SA'!$A:$LO,MATCH(U$2,'Data_SA'!$A:$A,0),MATCH($E348,'Data_SA'!$1:$1,0))/INDEX('Data_SA'!$A:$LO,MATCH(EDATE(U$2,-1),'Data_SA'!$A:$A,0),MATCH($E348,'Data_SA'!$1:$1,0))-1),""))</f>
        <v/>
      </c>
    </row>
    <row r="349">
      <c r="A349" s="3" t="inlineStr">
        <is>
          <t>SEGD</t>
        </is>
      </c>
      <c r="B349" s="3" t="inlineStr">
        <is>
          <t>Miscellaneous personal services</t>
        </is>
      </c>
      <c r="C349" s="3" t="inlineStr">
        <is>
          <t>SAG1</t>
        </is>
      </c>
      <c r="D349" s="3" t="inlineStr">
        <is>
          <t>CUUR0000SEGD</t>
        </is>
      </c>
      <c r="E349" s="3" t="inlineStr">
        <is>
          <t>CUSR0000SEGD</t>
        </is>
      </c>
      <c r="F349" s="3" t="inlineStr">
        <is>
          <t>aggregate</t>
        </is>
      </c>
      <c r="G349" s="3" t="inlineStr">
        <is>
          <t>aggregate</t>
        </is>
      </c>
      <c r="H349" s="10">
        <f>IFERROR(INDEX(Weights!$D:$D,MATCH($A349,Weights!$A:$A,0)),"")</f>
        <v/>
      </c>
      <c r="I349" s="10">
        <f>IFERROR(INDEX('Data_NSA'!$A:$OK,MATCH(I$2,'Data_NSA'!$A:$A,0),MATCH($D349,'Data_NSA'!$1:$1,0)),"")</f>
        <v/>
      </c>
      <c r="J349" s="10">
        <f>IF($E349="","",IFERROR(INDEX('Data_SA'!$A:$LO,MATCH(I$2,'Data_SA'!$A:$A,0),MATCH($E349,'Data_SA'!$1:$1,0)),""))</f>
        <v/>
      </c>
      <c r="K349" s="7">
        <f>IF($E349="","",IFERROR(INDEX('Data_SA'!$A:$LO,MATCH(I$2,'Data_SA'!$A:$A,0),MATCH($E349,'Data_SA'!$1:$1,0))/INDEX('Data_SA'!$A:$LO,MATCH(EDATE(I$2,-1),'Data_SA'!$A:$A,0),MATCH($E349,'Data_SA'!$1:$1,0))-1,""))</f>
        <v/>
      </c>
      <c r="L349" s="7">
        <f>IFERROR(INDEX('Data_NSA'!$A:$OK,MATCH(I$2,'Data_NSA'!$A:$A,0),MATCH($D349,'Data_NSA'!$1:$1,0))/INDEX('Data_NSA'!$A:$OK,MATCH(EDATE(I$2,-12),'Data_NSA'!$A:$A,0),MATCH($D349,'Data_NSA'!$1:$1,0))-1,"")</f>
        <v/>
      </c>
      <c r="M349" s="10">
        <f>IFERROR(INDEX('Weights'!$G:$I,MATCH($A349,'Weights'!$A:$A,0),MATCH(I$2,'Weights'!$G$1:$I$1,0)),"")</f>
        <v/>
      </c>
      <c r="N349" s="10">
        <f>IF($E349="","",IFERROR(100*(INDEX('Weights'!$D:$D,MATCH($A349,'Weights'!$A:$A,0))*(INDEX('Data_NSA'!$A:$OK,MATCH(EDATE(I$2,-1),'Data_NSA'!$A:$A,0),MATCH($D349,'Data_NSA'!$1:$1,0))/INDEX('Data_NSA'!$A:$OK,MATCH(INDEX('Weights'!$E:$E,MATCH($A349,'Weights'!$A:$A,0)),'Data_NSA'!$A:$A,0),MATCH($D349,'Data_NSA'!$1:$1,0))))/(100*(INDEX('Data_NSA'!$A:$OK,MATCH(EDATE(I$2,-1),'Data_NSA'!$A:$A,0),MATCH("CUUR0000SA0",'Data_NSA'!$1:$1,0))/INDEX('Data_NSA'!$A:$OK,MATCH(INDEX('Weights'!$E:$E,MATCH($A349,'Weights'!$A:$A,0)),'Data_NSA'!$A:$A,0),MATCH("CUUR0000SA0",'Data_NSA'!$1:$1,0))))*(INDEX('Data_SA'!$A:$LO,MATCH(I$2,'Data_SA'!$A:$A,0),MATCH($E349,'Data_SA'!$1:$1,0))/INDEX('Data_SA'!$A:$LO,MATCH(EDATE(I$2,-1),'Data_SA'!$A:$A,0),MATCH($E349,'Data_SA'!$1:$1,0))-1),""))</f>
        <v/>
      </c>
      <c r="O349" s="10">
        <f>IFERROR(INDEX('Data_NSA'!$A:$OK,MATCH(O$2,'Data_NSA'!$A:$A,0),MATCH($D349,'Data_NSA'!$1:$1,0)),"")</f>
        <v/>
      </c>
      <c r="P349" s="10">
        <f>IF($E349="","",IFERROR(INDEX('Data_SA'!$A:$LO,MATCH(O$2,'Data_SA'!$A:$A,0),MATCH($E349,'Data_SA'!$1:$1,0)),""))</f>
        <v/>
      </c>
      <c r="Q349" s="7">
        <f>IF($E349="","",IFERROR(INDEX('Data_SA'!$A:$LO,MATCH(O$2,'Data_SA'!$A:$A,0),MATCH($E349,'Data_SA'!$1:$1,0))/INDEX('Data_SA'!$A:$LO,MATCH(EDATE(O$2,-1),'Data_SA'!$A:$A,0),MATCH($E349,'Data_SA'!$1:$1,0))-1,""))</f>
        <v/>
      </c>
      <c r="R349" s="7">
        <f>IFERROR(INDEX('Data_NSA'!$A:$OK,MATCH(O$2,'Data_NSA'!$A:$A,0),MATCH($D349,'Data_NSA'!$1:$1,0))/INDEX('Data_NSA'!$A:$OK,MATCH(EDATE(O$2,-12),'Data_NSA'!$A:$A,0),MATCH($D349,'Data_NSA'!$1:$1,0))-1,"")</f>
        <v/>
      </c>
      <c r="S349" s="10">
        <f>IFERROR(INDEX('Weights'!$G:$I,MATCH($A349,'Weights'!$A:$A,0),MATCH(O$2,'Weights'!$G$1:$I$1,0)),"")</f>
        <v/>
      </c>
      <c r="T349" s="10">
        <f>IF($E349="","",IFERROR(100*(INDEX('Weights'!$D:$D,MATCH($A349,'Weights'!$A:$A,0))*(INDEX('Data_NSA'!$A:$OK,MATCH(EDATE(O$2,-1),'Data_NSA'!$A:$A,0),MATCH($D349,'Data_NSA'!$1:$1,0))/INDEX('Data_NSA'!$A:$OK,MATCH(INDEX('Weights'!$E:$E,MATCH($A349,'Weights'!$A:$A,0)),'Data_NSA'!$A:$A,0),MATCH($D349,'Data_NSA'!$1:$1,0))))/(100*(INDEX('Data_NSA'!$A:$OK,MATCH(EDATE(O$2,-1),'Data_NSA'!$A:$A,0),MATCH("CUUR0000SA0",'Data_NSA'!$1:$1,0))/INDEX('Data_NSA'!$A:$OK,MATCH(INDEX('Weights'!$E:$E,MATCH($A349,'Weights'!$A:$A,0)),'Data_NSA'!$A:$A,0),MATCH("CUUR0000SA0",'Data_NSA'!$1:$1,0))))*(INDEX('Data_SA'!$A:$LO,MATCH(O$2,'Data_SA'!$A:$A,0),MATCH($E349,'Data_SA'!$1:$1,0))/INDEX('Data_SA'!$A:$LO,MATCH(EDATE(O$2,-1),'Data_SA'!$A:$A,0),MATCH($E349,'Data_SA'!$1:$1,0))-1),""))</f>
        <v/>
      </c>
      <c r="U349" s="10">
        <f>IFERROR(INDEX('Data_NSA'!$A:$OK,MATCH(U$2,'Data_NSA'!$A:$A,0),MATCH($D349,'Data_NSA'!$1:$1,0)),"")</f>
        <v/>
      </c>
      <c r="V349" s="10">
        <f>IF($E349="","",IFERROR(INDEX('Data_SA'!$A:$LO,MATCH(U$2,'Data_SA'!$A:$A,0),MATCH($E349,'Data_SA'!$1:$1,0)),""))</f>
        <v/>
      </c>
      <c r="W349" s="7">
        <f>IF($E349="","",IFERROR(INDEX('Data_SA'!$A:$LO,MATCH(U$2,'Data_SA'!$A:$A,0),MATCH($E349,'Data_SA'!$1:$1,0))/INDEX('Data_SA'!$A:$LO,MATCH(EDATE(U$2,-1),'Data_SA'!$A:$A,0),MATCH($E349,'Data_SA'!$1:$1,0))-1,""))</f>
        <v/>
      </c>
      <c r="X349" s="7">
        <f>IFERROR(INDEX('Data_NSA'!$A:$OK,MATCH(U$2,'Data_NSA'!$A:$A,0),MATCH($D349,'Data_NSA'!$1:$1,0))/INDEX('Data_NSA'!$A:$OK,MATCH(EDATE(U$2,-12),'Data_NSA'!$A:$A,0),MATCH($D349,'Data_NSA'!$1:$1,0))-1,"")</f>
        <v/>
      </c>
      <c r="Y349" s="10">
        <f>IFERROR(INDEX('Weights'!$G:$I,MATCH($A349,'Weights'!$A:$A,0),MATCH(U$2,'Weights'!$G$1:$I$1,0)),"")</f>
        <v/>
      </c>
      <c r="Z349" s="10">
        <f>IF($E349="","",IFERROR(100*(INDEX('Weights'!$D:$D,MATCH($A349,'Weights'!$A:$A,0))*(INDEX('Data_NSA'!$A:$OK,MATCH(EDATE(U$2,-1),'Data_NSA'!$A:$A,0),MATCH($D349,'Data_NSA'!$1:$1,0))/INDEX('Data_NSA'!$A:$OK,MATCH(INDEX('Weights'!$E:$E,MATCH($A349,'Weights'!$A:$A,0)),'Data_NSA'!$A:$A,0),MATCH($D349,'Data_NSA'!$1:$1,0))))/(100*(INDEX('Data_NSA'!$A:$OK,MATCH(EDATE(U$2,-1),'Data_NSA'!$A:$A,0),MATCH("CUUR0000SA0",'Data_NSA'!$1:$1,0))/INDEX('Data_NSA'!$A:$OK,MATCH(INDEX('Weights'!$E:$E,MATCH($A349,'Weights'!$A:$A,0)),'Data_NSA'!$A:$A,0),MATCH("CUUR0000SA0",'Data_NSA'!$1:$1,0))))*(INDEX('Data_SA'!$A:$LO,MATCH(U$2,'Data_SA'!$A:$A,0),MATCH($E349,'Data_SA'!$1:$1,0))/INDEX('Data_SA'!$A:$LO,MATCH(EDATE(U$2,-1),'Data_SA'!$A:$A,0),MATCH($E349,'Data_SA'!$1:$1,0))-1),""))</f>
        <v/>
      </c>
    </row>
    <row r="350">
      <c r="A350" s="3" t="inlineStr">
        <is>
          <t>SEGD01</t>
        </is>
      </c>
      <c r="B350" s="3" t="inlineStr">
        <is>
          <t>Legal services</t>
        </is>
      </c>
      <c r="C350" s="3" t="inlineStr">
        <is>
          <t>SEGD</t>
        </is>
      </c>
      <c r="D350" s="3" t="inlineStr">
        <is>
          <t>CUUR0000SEGD01</t>
        </is>
      </c>
      <c r="E350" s="3" t="inlineStr">
        <is>
          <t>CUSR0000SEGD01</t>
        </is>
      </c>
      <c r="F350" s="3" t="inlineStr">
        <is>
          <t>GM</t>
        </is>
      </c>
      <c r="G350" s="3" t="inlineStr">
        <is>
          <t>monthly in New York/Los Angeles/Chicago; often bimonthly elsewhere</t>
        </is>
      </c>
      <c r="H350" s="10">
        <f>IFERROR(INDEX(Weights!$D:$D,MATCH($A350,Weights!$A:$A,0)),"")</f>
        <v/>
      </c>
      <c r="I350" s="10">
        <f>IFERROR(INDEX('Data_NSA'!$A:$OK,MATCH(I$2,'Data_NSA'!$A:$A,0),MATCH($D350,'Data_NSA'!$1:$1,0)),"")</f>
        <v/>
      </c>
      <c r="J350" s="10">
        <f>IF($E350="","",IFERROR(INDEX('Data_SA'!$A:$LO,MATCH(I$2,'Data_SA'!$A:$A,0),MATCH($E350,'Data_SA'!$1:$1,0)),""))</f>
        <v/>
      </c>
      <c r="K350" s="7">
        <f>IF($E350="","",IFERROR(INDEX('Data_SA'!$A:$LO,MATCH(I$2,'Data_SA'!$A:$A,0),MATCH($E350,'Data_SA'!$1:$1,0))/INDEX('Data_SA'!$A:$LO,MATCH(EDATE(I$2,-1),'Data_SA'!$A:$A,0),MATCH($E350,'Data_SA'!$1:$1,0))-1,""))</f>
        <v/>
      </c>
      <c r="L350" s="7">
        <f>IFERROR(INDEX('Data_NSA'!$A:$OK,MATCH(I$2,'Data_NSA'!$A:$A,0),MATCH($D350,'Data_NSA'!$1:$1,0))/INDEX('Data_NSA'!$A:$OK,MATCH(EDATE(I$2,-12),'Data_NSA'!$A:$A,0),MATCH($D350,'Data_NSA'!$1:$1,0))-1,"")</f>
        <v/>
      </c>
      <c r="M350" s="10">
        <f>IFERROR(INDEX('Weights'!$G:$I,MATCH($A350,'Weights'!$A:$A,0),MATCH(I$2,'Weights'!$G$1:$I$1,0)),"")</f>
        <v/>
      </c>
      <c r="N350" s="10">
        <f>IF($E350="","",IFERROR(100*(INDEX('Weights'!$D:$D,MATCH($A350,'Weights'!$A:$A,0))*(INDEX('Data_NSA'!$A:$OK,MATCH(EDATE(I$2,-1),'Data_NSA'!$A:$A,0),MATCH($D350,'Data_NSA'!$1:$1,0))/INDEX('Data_NSA'!$A:$OK,MATCH(INDEX('Weights'!$E:$E,MATCH($A350,'Weights'!$A:$A,0)),'Data_NSA'!$A:$A,0),MATCH($D350,'Data_NSA'!$1:$1,0))))/(100*(INDEX('Data_NSA'!$A:$OK,MATCH(EDATE(I$2,-1),'Data_NSA'!$A:$A,0),MATCH("CUUR0000SA0",'Data_NSA'!$1:$1,0))/INDEX('Data_NSA'!$A:$OK,MATCH(INDEX('Weights'!$E:$E,MATCH($A350,'Weights'!$A:$A,0)),'Data_NSA'!$A:$A,0),MATCH("CUUR0000SA0",'Data_NSA'!$1:$1,0))))*(INDEX('Data_SA'!$A:$LO,MATCH(I$2,'Data_SA'!$A:$A,0),MATCH($E350,'Data_SA'!$1:$1,0))/INDEX('Data_SA'!$A:$LO,MATCH(EDATE(I$2,-1),'Data_SA'!$A:$A,0),MATCH($E350,'Data_SA'!$1:$1,0))-1),""))</f>
        <v/>
      </c>
      <c r="O350" s="10">
        <f>IFERROR(INDEX('Data_NSA'!$A:$OK,MATCH(O$2,'Data_NSA'!$A:$A,0),MATCH($D350,'Data_NSA'!$1:$1,0)),"")</f>
        <v/>
      </c>
      <c r="P350" s="10">
        <f>IF($E350="","",IFERROR(INDEX('Data_SA'!$A:$LO,MATCH(O$2,'Data_SA'!$A:$A,0),MATCH($E350,'Data_SA'!$1:$1,0)),""))</f>
        <v/>
      </c>
      <c r="Q350" s="7">
        <f>IF($E350="","",IFERROR(INDEX('Data_SA'!$A:$LO,MATCH(O$2,'Data_SA'!$A:$A,0),MATCH($E350,'Data_SA'!$1:$1,0))/INDEX('Data_SA'!$A:$LO,MATCH(EDATE(O$2,-1),'Data_SA'!$A:$A,0),MATCH($E350,'Data_SA'!$1:$1,0))-1,""))</f>
        <v/>
      </c>
      <c r="R350" s="7">
        <f>IFERROR(INDEX('Data_NSA'!$A:$OK,MATCH(O$2,'Data_NSA'!$A:$A,0),MATCH($D350,'Data_NSA'!$1:$1,0))/INDEX('Data_NSA'!$A:$OK,MATCH(EDATE(O$2,-12),'Data_NSA'!$A:$A,0),MATCH($D350,'Data_NSA'!$1:$1,0))-1,"")</f>
        <v/>
      </c>
      <c r="S350" s="10">
        <f>IFERROR(INDEX('Weights'!$G:$I,MATCH($A350,'Weights'!$A:$A,0),MATCH(O$2,'Weights'!$G$1:$I$1,0)),"")</f>
        <v/>
      </c>
      <c r="T350" s="10">
        <f>IF($E350="","",IFERROR(100*(INDEX('Weights'!$D:$D,MATCH($A350,'Weights'!$A:$A,0))*(INDEX('Data_NSA'!$A:$OK,MATCH(EDATE(O$2,-1),'Data_NSA'!$A:$A,0),MATCH($D350,'Data_NSA'!$1:$1,0))/INDEX('Data_NSA'!$A:$OK,MATCH(INDEX('Weights'!$E:$E,MATCH($A350,'Weights'!$A:$A,0)),'Data_NSA'!$A:$A,0),MATCH($D350,'Data_NSA'!$1:$1,0))))/(100*(INDEX('Data_NSA'!$A:$OK,MATCH(EDATE(O$2,-1),'Data_NSA'!$A:$A,0),MATCH("CUUR0000SA0",'Data_NSA'!$1:$1,0))/INDEX('Data_NSA'!$A:$OK,MATCH(INDEX('Weights'!$E:$E,MATCH($A350,'Weights'!$A:$A,0)),'Data_NSA'!$A:$A,0),MATCH("CUUR0000SA0",'Data_NSA'!$1:$1,0))))*(INDEX('Data_SA'!$A:$LO,MATCH(O$2,'Data_SA'!$A:$A,0),MATCH($E350,'Data_SA'!$1:$1,0))/INDEX('Data_SA'!$A:$LO,MATCH(EDATE(O$2,-1),'Data_SA'!$A:$A,0),MATCH($E350,'Data_SA'!$1:$1,0))-1),""))</f>
        <v/>
      </c>
      <c r="U350" s="10">
        <f>IFERROR(INDEX('Data_NSA'!$A:$OK,MATCH(U$2,'Data_NSA'!$A:$A,0),MATCH($D350,'Data_NSA'!$1:$1,0)),"")</f>
        <v/>
      </c>
      <c r="V350" s="10">
        <f>IF($E350="","",IFERROR(INDEX('Data_SA'!$A:$LO,MATCH(U$2,'Data_SA'!$A:$A,0),MATCH($E350,'Data_SA'!$1:$1,0)),""))</f>
        <v/>
      </c>
      <c r="W350" s="7">
        <f>IF($E350="","",IFERROR(INDEX('Data_SA'!$A:$LO,MATCH(U$2,'Data_SA'!$A:$A,0),MATCH($E350,'Data_SA'!$1:$1,0))/INDEX('Data_SA'!$A:$LO,MATCH(EDATE(U$2,-1),'Data_SA'!$A:$A,0),MATCH($E350,'Data_SA'!$1:$1,0))-1,""))</f>
        <v/>
      </c>
      <c r="X350" s="7">
        <f>IFERROR(INDEX('Data_NSA'!$A:$OK,MATCH(U$2,'Data_NSA'!$A:$A,0),MATCH($D350,'Data_NSA'!$1:$1,0))/INDEX('Data_NSA'!$A:$OK,MATCH(EDATE(U$2,-12),'Data_NSA'!$A:$A,0),MATCH($D350,'Data_NSA'!$1:$1,0))-1,"")</f>
        <v/>
      </c>
      <c r="Y350" s="10">
        <f>IFERROR(INDEX('Weights'!$G:$I,MATCH($A350,'Weights'!$A:$A,0),MATCH(U$2,'Weights'!$G$1:$I$1,0)),"")</f>
        <v/>
      </c>
      <c r="Z350" s="10">
        <f>IF($E350="","",IFERROR(100*(INDEX('Weights'!$D:$D,MATCH($A350,'Weights'!$A:$A,0))*(INDEX('Data_NSA'!$A:$OK,MATCH(EDATE(U$2,-1),'Data_NSA'!$A:$A,0),MATCH($D350,'Data_NSA'!$1:$1,0))/INDEX('Data_NSA'!$A:$OK,MATCH(INDEX('Weights'!$E:$E,MATCH($A350,'Weights'!$A:$A,0)),'Data_NSA'!$A:$A,0),MATCH($D350,'Data_NSA'!$1:$1,0))))/(100*(INDEX('Data_NSA'!$A:$OK,MATCH(EDATE(U$2,-1),'Data_NSA'!$A:$A,0),MATCH("CUUR0000SA0",'Data_NSA'!$1:$1,0))/INDEX('Data_NSA'!$A:$OK,MATCH(INDEX('Weights'!$E:$E,MATCH($A350,'Weights'!$A:$A,0)),'Data_NSA'!$A:$A,0),MATCH("CUUR0000SA0",'Data_NSA'!$1:$1,0))))*(INDEX('Data_SA'!$A:$LO,MATCH(U$2,'Data_SA'!$A:$A,0),MATCH($E350,'Data_SA'!$1:$1,0))/INDEX('Data_SA'!$A:$LO,MATCH(EDATE(U$2,-1),'Data_SA'!$A:$A,0),MATCH($E350,'Data_SA'!$1:$1,0))-1),""))</f>
        <v/>
      </c>
    </row>
    <row r="351">
      <c r="A351" s="3" t="inlineStr">
        <is>
          <t>SEGD02</t>
        </is>
      </c>
      <c r="B351" s="3" t="inlineStr">
        <is>
          <t>Funeral expenses</t>
        </is>
      </c>
      <c r="C351" s="3" t="inlineStr">
        <is>
          <t>SEGD</t>
        </is>
      </c>
      <c r="D351" s="3" t="inlineStr">
        <is>
          <t>CUUR0000SEGD02</t>
        </is>
      </c>
      <c r="E351" s="3" t="inlineStr">
        <is>
          <t>CUSR0000SEGD02</t>
        </is>
      </c>
      <c r="F351" s="3" t="inlineStr">
        <is>
          <t>GM</t>
        </is>
      </c>
      <c r="G351" s="3" t="inlineStr">
        <is>
          <t>monthly in New York/Los Angeles/Chicago; often bimonthly elsewhere</t>
        </is>
      </c>
      <c r="H351" s="10">
        <f>IFERROR(INDEX(Weights!$D:$D,MATCH($A351,Weights!$A:$A,0)),"")</f>
        <v/>
      </c>
      <c r="I351" s="10">
        <f>IFERROR(INDEX('Data_NSA'!$A:$OK,MATCH(I$2,'Data_NSA'!$A:$A,0),MATCH($D351,'Data_NSA'!$1:$1,0)),"")</f>
        <v/>
      </c>
      <c r="J351" s="10">
        <f>IF($E351="","",IFERROR(INDEX('Data_SA'!$A:$LO,MATCH(I$2,'Data_SA'!$A:$A,0),MATCH($E351,'Data_SA'!$1:$1,0)),""))</f>
        <v/>
      </c>
      <c r="K351" s="7">
        <f>IF($E351="","",IFERROR(INDEX('Data_SA'!$A:$LO,MATCH(I$2,'Data_SA'!$A:$A,0),MATCH($E351,'Data_SA'!$1:$1,0))/INDEX('Data_SA'!$A:$LO,MATCH(EDATE(I$2,-1),'Data_SA'!$A:$A,0),MATCH($E351,'Data_SA'!$1:$1,0))-1,""))</f>
        <v/>
      </c>
      <c r="L351" s="7">
        <f>IFERROR(INDEX('Data_NSA'!$A:$OK,MATCH(I$2,'Data_NSA'!$A:$A,0),MATCH($D351,'Data_NSA'!$1:$1,0))/INDEX('Data_NSA'!$A:$OK,MATCH(EDATE(I$2,-12),'Data_NSA'!$A:$A,0),MATCH($D351,'Data_NSA'!$1:$1,0))-1,"")</f>
        <v/>
      </c>
      <c r="M351" s="10">
        <f>IFERROR(INDEX('Weights'!$G:$I,MATCH($A351,'Weights'!$A:$A,0),MATCH(I$2,'Weights'!$G$1:$I$1,0)),"")</f>
        <v/>
      </c>
      <c r="N351" s="10">
        <f>IF($E351="","",IFERROR(100*(INDEX('Weights'!$D:$D,MATCH($A351,'Weights'!$A:$A,0))*(INDEX('Data_NSA'!$A:$OK,MATCH(EDATE(I$2,-1),'Data_NSA'!$A:$A,0),MATCH($D351,'Data_NSA'!$1:$1,0))/INDEX('Data_NSA'!$A:$OK,MATCH(INDEX('Weights'!$E:$E,MATCH($A351,'Weights'!$A:$A,0)),'Data_NSA'!$A:$A,0),MATCH($D351,'Data_NSA'!$1:$1,0))))/(100*(INDEX('Data_NSA'!$A:$OK,MATCH(EDATE(I$2,-1),'Data_NSA'!$A:$A,0),MATCH("CUUR0000SA0",'Data_NSA'!$1:$1,0))/INDEX('Data_NSA'!$A:$OK,MATCH(INDEX('Weights'!$E:$E,MATCH($A351,'Weights'!$A:$A,0)),'Data_NSA'!$A:$A,0),MATCH("CUUR0000SA0",'Data_NSA'!$1:$1,0))))*(INDEX('Data_SA'!$A:$LO,MATCH(I$2,'Data_SA'!$A:$A,0),MATCH($E351,'Data_SA'!$1:$1,0))/INDEX('Data_SA'!$A:$LO,MATCH(EDATE(I$2,-1),'Data_SA'!$A:$A,0),MATCH($E351,'Data_SA'!$1:$1,0))-1),""))</f>
        <v/>
      </c>
      <c r="O351" s="10">
        <f>IFERROR(INDEX('Data_NSA'!$A:$OK,MATCH(O$2,'Data_NSA'!$A:$A,0),MATCH($D351,'Data_NSA'!$1:$1,0)),"")</f>
        <v/>
      </c>
      <c r="P351" s="10">
        <f>IF($E351="","",IFERROR(INDEX('Data_SA'!$A:$LO,MATCH(O$2,'Data_SA'!$A:$A,0),MATCH($E351,'Data_SA'!$1:$1,0)),""))</f>
        <v/>
      </c>
      <c r="Q351" s="7">
        <f>IF($E351="","",IFERROR(INDEX('Data_SA'!$A:$LO,MATCH(O$2,'Data_SA'!$A:$A,0),MATCH($E351,'Data_SA'!$1:$1,0))/INDEX('Data_SA'!$A:$LO,MATCH(EDATE(O$2,-1),'Data_SA'!$A:$A,0),MATCH($E351,'Data_SA'!$1:$1,0))-1,""))</f>
        <v/>
      </c>
      <c r="R351" s="7">
        <f>IFERROR(INDEX('Data_NSA'!$A:$OK,MATCH(O$2,'Data_NSA'!$A:$A,0),MATCH($D351,'Data_NSA'!$1:$1,0))/INDEX('Data_NSA'!$A:$OK,MATCH(EDATE(O$2,-12),'Data_NSA'!$A:$A,0),MATCH($D351,'Data_NSA'!$1:$1,0))-1,"")</f>
        <v/>
      </c>
      <c r="S351" s="10">
        <f>IFERROR(INDEX('Weights'!$G:$I,MATCH($A351,'Weights'!$A:$A,0),MATCH(O$2,'Weights'!$G$1:$I$1,0)),"")</f>
        <v/>
      </c>
      <c r="T351" s="10">
        <f>IF($E351="","",IFERROR(100*(INDEX('Weights'!$D:$D,MATCH($A351,'Weights'!$A:$A,0))*(INDEX('Data_NSA'!$A:$OK,MATCH(EDATE(O$2,-1),'Data_NSA'!$A:$A,0),MATCH($D351,'Data_NSA'!$1:$1,0))/INDEX('Data_NSA'!$A:$OK,MATCH(INDEX('Weights'!$E:$E,MATCH($A351,'Weights'!$A:$A,0)),'Data_NSA'!$A:$A,0),MATCH($D351,'Data_NSA'!$1:$1,0))))/(100*(INDEX('Data_NSA'!$A:$OK,MATCH(EDATE(O$2,-1),'Data_NSA'!$A:$A,0),MATCH("CUUR0000SA0",'Data_NSA'!$1:$1,0))/INDEX('Data_NSA'!$A:$OK,MATCH(INDEX('Weights'!$E:$E,MATCH($A351,'Weights'!$A:$A,0)),'Data_NSA'!$A:$A,0),MATCH("CUUR0000SA0",'Data_NSA'!$1:$1,0))))*(INDEX('Data_SA'!$A:$LO,MATCH(O$2,'Data_SA'!$A:$A,0),MATCH($E351,'Data_SA'!$1:$1,0))/INDEX('Data_SA'!$A:$LO,MATCH(EDATE(O$2,-1),'Data_SA'!$A:$A,0),MATCH($E351,'Data_SA'!$1:$1,0))-1),""))</f>
        <v/>
      </c>
      <c r="U351" s="10">
        <f>IFERROR(INDEX('Data_NSA'!$A:$OK,MATCH(U$2,'Data_NSA'!$A:$A,0),MATCH($D351,'Data_NSA'!$1:$1,0)),"")</f>
        <v/>
      </c>
      <c r="V351" s="10">
        <f>IF($E351="","",IFERROR(INDEX('Data_SA'!$A:$LO,MATCH(U$2,'Data_SA'!$A:$A,0),MATCH($E351,'Data_SA'!$1:$1,0)),""))</f>
        <v/>
      </c>
      <c r="W351" s="7">
        <f>IF($E351="","",IFERROR(INDEX('Data_SA'!$A:$LO,MATCH(U$2,'Data_SA'!$A:$A,0),MATCH($E351,'Data_SA'!$1:$1,0))/INDEX('Data_SA'!$A:$LO,MATCH(EDATE(U$2,-1),'Data_SA'!$A:$A,0),MATCH($E351,'Data_SA'!$1:$1,0))-1,""))</f>
        <v/>
      </c>
      <c r="X351" s="7">
        <f>IFERROR(INDEX('Data_NSA'!$A:$OK,MATCH(U$2,'Data_NSA'!$A:$A,0),MATCH($D351,'Data_NSA'!$1:$1,0))/INDEX('Data_NSA'!$A:$OK,MATCH(EDATE(U$2,-12),'Data_NSA'!$A:$A,0),MATCH($D351,'Data_NSA'!$1:$1,0))-1,"")</f>
        <v/>
      </c>
      <c r="Y351" s="10">
        <f>IFERROR(INDEX('Weights'!$G:$I,MATCH($A351,'Weights'!$A:$A,0),MATCH(U$2,'Weights'!$G$1:$I$1,0)),"")</f>
        <v/>
      </c>
      <c r="Z351" s="10">
        <f>IF($E351="","",IFERROR(100*(INDEX('Weights'!$D:$D,MATCH($A351,'Weights'!$A:$A,0))*(INDEX('Data_NSA'!$A:$OK,MATCH(EDATE(U$2,-1),'Data_NSA'!$A:$A,0),MATCH($D351,'Data_NSA'!$1:$1,0))/INDEX('Data_NSA'!$A:$OK,MATCH(INDEX('Weights'!$E:$E,MATCH($A351,'Weights'!$A:$A,0)),'Data_NSA'!$A:$A,0),MATCH($D351,'Data_NSA'!$1:$1,0))))/(100*(INDEX('Data_NSA'!$A:$OK,MATCH(EDATE(U$2,-1),'Data_NSA'!$A:$A,0),MATCH("CUUR0000SA0",'Data_NSA'!$1:$1,0))/INDEX('Data_NSA'!$A:$OK,MATCH(INDEX('Weights'!$E:$E,MATCH($A351,'Weights'!$A:$A,0)),'Data_NSA'!$A:$A,0),MATCH("CUUR0000SA0",'Data_NSA'!$1:$1,0))))*(INDEX('Data_SA'!$A:$LO,MATCH(U$2,'Data_SA'!$A:$A,0),MATCH($E351,'Data_SA'!$1:$1,0))/INDEX('Data_SA'!$A:$LO,MATCH(EDATE(U$2,-1),'Data_SA'!$A:$A,0),MATCH($E351,'Data_SA'!$1:$1,0))-1),""))</f>
        <v/>
      </c>
    </row>
    <row r="352">
      <c r="A352" s="3" t="inlineStr">
        <is>
          <t>SEGD03</t>
        </is>
      </c>
      <c r="B352" s="3" t="inlineStr">
        <is>
          <t>Laundry and dry cleaning services</t>
        </is>
      </c>
      <c r="C352" s="3" t="inlineStr">
        <is>
          <t>SEGD</t>
        </is>
      </c>
      <c r="D352" s="3" t="inlineStr">
        <is>
          <t>CUUR0000SEGD03</t>
        </is>
      </c>
      <c r="E352" s="3" t="inlineStr">
        <is>
          <t>CUSR0000SEGD03</t>
        </is>
      </c>
      <c r="F352" s="3" t="inlineStr">
        <is>
          <t>GM</t>
        </is>
      </c>
      <c r="G352" s="3" t="inlineStr">
        <is>
          <t>monthly in New York/Los Angeles/Chicago; often bimonthly elsewhere</t>
        </is>
      </c>
      <c r="H352" s="10">
        <f>IFERROR(INDEX(Weights!$D:$D,MATCH($A352,Weights!$A:$A,0)),"")</f>
        <v/>
      </c>
      <c r="I352" s="10">
        <f>IFERROR(INDEX('Data_NSA'!$A:$OK,MATCH(I$2,'Data_NSA'!$A:$A,0),MATCH($D352,'Data_NSA'!$1:$1,0)),"")</f>
        <v/>
      </c>
      <c r="J352" s="10">
        <f>IF($E352="","",IFERROR(INDEX('Data_SA'!$A:$LO,MATCH(I$2,'Data_SA'!$A:$A,0),MATCH($E352,'Data_SA'!$1:$1,0)),""))</f>
        <v/>
      </c>
      <c r="K352" s="7">
        <f>IF($E352="","",IFERROR(INDEX('Data_SA'!$A:$LO,MATCH(I$2,'Data_SA'!$A:$A,0),MATCH($E352,'Data_SA'!$1:$1,0))/INDEX('Data_SA'!$A:$LO,MATCH(EDATE(I$2,-1),'Data_SA'!$A:$A,0),MATCH($E352,'Data_SA'!$1:$1,0))-1,""))</f>
        <v/>
      </c>
      <c r="L352" s="7">
        <f>IFERROR(INDEX('Data_NSA'!$A:$OK,MATCH(I$2,'Data_NSA'!$A:$A,0),MATCH($D352,'Data_NSA'!$1:$1,0))/INDEX('Data_NSA'!$A:$OK,MATCH(EDATE(I$2,-12),'Data_NSA'!$A:$A,0),MATCH($D352,'Data_NSA'!$1:$1,0))-1,"")</f>
        <v/>
      </c>
      <c r="M352" s="10">
        <f>IFERROR(INDEX('Weights'!$G:$I,MATCH($A352,'Weights'!$A:$A,0),MATCH(I$2,'Weights'!$G$1:$I$1,0)),"")</f>
        <v/>
      </c>
      <c r="N352" s="10">
        <f>IF($E352="","",IFERROR(100*(INDEX('Weights'!$D:$D,MATCH($A352,'Weights'!$A:$A,0))*(INDEX('Data_NSA'!$A:$OK,MATCH(EDATE(I$2,-1),'Data_NSA'!$A:$A,0),MATCH($D352,'Data_NSA'!$1:$1,0))/INDEX('Data_NSA'!$A:$OK,MATCH(INDEX('Weights'!$E:$E,MATCH($A352,'Weights'!$A:$A,0)),'Data_NSA'!$A:$A,0),MATCH($D352,'Data_NSA'!$1:$1,0))))/(100*(INDEX('Data_NSA'!$A:$OK,MATCH(EDATE(I$2,-1),'Data_NSA'!$A:$A,0),MATCH("CUUR0000SA0",'Data_NSA'!$1:$1,0))/INDEX('Data_NSA'!$A:$OK,MATCH(INDEX('Weights'!$E:$E,MATCH($A352,'Weights'!$A:$A,0)),'Data_NSA'!$A:$A,0),MATCH("CUUR0000SA0",'Data_NSA'!$1:$1,0))))*(INDEX('Data_SA'!$A:$LO,MATCH(I$2,'Data_SA'!$A:$A,0),MATCH($E352,'Data_SA'!$1:$1,0))/INDEX('Data_SA'!$A:$LO,MATCH(EDATE(I$2,-1),'Data_SA'!$A:$A,0),MATCH($E352,'Data_SA'!$1:$1,0))-1),""))</f>
        <v/>
      </c>
      <c r="O352" s="10">
        <f>IFERROR(INDEX('Data_NSA'!$A:$OK,MATCH(O$2,'Data_NSA'!$A:$A,0),MATCH($D352,'Data_NSA'!$1:$1,0)),"")</f>
        <v/>
      </c>
      <c r="P352" s="10">
        <f>IF($E352="","",IFERROR(INDEX('Data_SA'!$A:$LO,MATCH(O$2,'Data_SA'!$A:$A,0),MATCH($E352,'Data_SA'!$1:$1,0)),""))</f>
        <v/>
      </c>
      <c r="Q352" s="7">
        <f>IF($E352="","",IFERROR(INDEX('Data_SA'!$A:$LO,MATCH(O$2,'Data_SA'!$A:$A,0),MATCH($E352,'Data_SA'!$1:$1,0))/INDEX('Data_SA'!$A:$LO,MATCH(EDATE(O$2,-1),'Data_SA'!$A:$A,0),MATCH($E352,'Data_SA'!$1:$1,0))-1,""))</f>
        <v/>
      </c>
      <c r="R352" s="7">
        <f>IFERROR(INDEX('Data_NSA'!$A:$OK,MATCH(O$2,'Data_NSA'!$A:$A,0),MATCH($D352,'Data_NSA'!$1:$1,0))/INDEX('Data_NSA'!$A:$OK,MATCH(EDATE(O$2,-12),'Data_NSA'!$A:$A,0),MATCH($D352,'Data_NSA'!$1:$1,0))-1,"")</f>
        <v/>
      </c>
      <c r="S352" s="10">
        <f>IFERROR(INDEX('Weights'!$G:$I,MATCH($A352,'Weights'!$A:$A,0),MATCH(O$2,'Weights'!$G$1:$I$1,0)),"")</f>
        <v/>
      </c>
      <c r="T352" s="10">
        <f>IF($E352="","",IFERROR(100*(INDEX('Weights'!$D:$D,MATCH($A352,'Weights'!$A:$A,0))*(INDEX('Data_NSA'!$A:$OK,MATCH(EDATE(O$2,-1),'Data_NSA'!$A:$A,0),MATCH($D352,'Data_NSA'!$1:$1,0))/INDEX('Data_NSA'!$A:$OK,MATCH(INDEX('Weights'!$E:$E,MATCH($A352,'Weights'!$A:$A,0)),'Data_NSA'!$A:$A,0),MATCH($D352,'Data_NSA'!$1:$1,0))))/(100*(INDEX('Data_NSA'!$A:$OK,MATCH(EDATE(O$2,-1),'Data_NSA'!$A:$A,0),MATCH("CUUR0000SA0",'Data_NSA'!$1:$1,0))/INDEX('Data_NSA'!$A:$OK,MATCH(INDEX('Weights'!$E:$E,MATCH($A352,'Weights'!$A:$A,0)),'Data_NSA'!$A:$A,0),MATCH("CUUR0000SA0",'Data_NSA'!$1:$1,0))))*(INDEX('Data_SA'!$A:$LO,MATCH(O$2,'Data_SA'!$A:$A,0),MATCH($E352,'Data_SA'!$1:$1,0))/INDEX('Data_SA'!$A:$LO,MATCH(EDATE(O$2,-1),'Data_SA'!$A:$A,0),MATCH($E352,'Data_SA'!$1:$1,0))-1),""))</f>
        <v/>
      </c>
      <c r="U352" s="10">
        <f>IFERROR(INDEX('Data_NSA'!$A:$OK,MATCH(U$2,'Data_NSA'!$A:$A,0),MATCH($D352,'Data_NSA'!$1:$1,0)),"")</f>
        <v/>
      </c>
      <c r="V352" s="10">
        <f>IF($E352="","",IFERROR(INDEX('Data_SA'!$A:$LO,MATCH(U$2,'Data_SA'!$A:$A,0),MATCH($E352,'Data_SA'!$1:$1,0)),""))</f>
        <v/>
      </c>
      <c r="W352" s="7">
        <f>IF($E352="","",IFERROR(INDEX('Data_SA'!$A:$LO,MATCH(U$2,'Data_SA'!$A:$A,0),MATCH($E352,'Data_SA'!$1:$1,0))/INDEX('Data_SA'!$A:$LO,MATCH(EDATE(U$2,-1),'Data_SA'!$A:$A,0),MATCH($E352,'Data_SA'!$1:$1,0))-1,""))</f>
        <v/>
      </c>
      <c r="X352" s="7">
        <f>IFERROR(INDEX('Data_NSA'!$A:$OK,MATCH(U$2,'Data_NSA'!$A:$A,0),MATCH($D352,'Data_NSA'!$1:$1,0))/INDEX('Data_NSA'!$A:$OK,MATCH(EDATE(U$2,-12),'Data_NSA'!$A:$A,0),MATCH($D352,'Data_NSA'!$1:$1,0))-1,"")</f>
        <v/>
      </c>
      <c r="Y352" s="10">
        <f>IFERROR(INDEX('Weights'!$G:$I,MATCH($A352,'Weights'!$A:$A,0),MATCH(U$2,'Weights'!$G$1:$I$1,0)),"")</f>
        <v/>
      </c>
      <c r="Z352" s="10">
        <f>IF($E352="","",IFERROR(100*(INDEX('Weights'!$D:$D,MATCH($A352,'Weights'!$A:$A,0))*(INDEX('Data_NSA'!$A:$OK,MATCH(EDATE(U$2,-1),'Data_NSA'!$A:$A,0),MATCH($D352,'Data_NSA'!$1:$1,0))/INDEX('Data_NSA'!$A:$OK,MATCH(INDEX('Weights'!$E:$E,MATCH($A352,'Weights'!$A:$A,0)),'Data_NSA'!$A:$A,0),MATCH($D352,'Data_NSA'!$1:$1,0))))/(100*(INDEX('Data_NSA'!$A:$OK,MATCH(EDATE(U$2,-1),'Data_NSA'!$A:$A,0),MATCH("CUUR0000SA0",'Data_NSA'!$1:$1,0))/INDEX('Data_NSA'!$A:$OK,MATCH(INDEX('Weights'!$E:$E,MATCH($A352,'Weights'!$A:$A,0)),'Data_NSA'!$A:$A,0),MATCH("CUUR0000SA0",'Data_NSA'!$1:$1,0))))*(INDEX('Data_SA'!$A:$LO,MATCH(U$2,'Data_SA'!$A:$A,0),MATCH($E352,'Data_SA'!$1:$1,0))/INDEX('Data_SA'!$A:$LO,MATCH(EDATE(U$2,-1),'Data_SA'!$A:$A,0),MATCH($E352,'Data_SA'!$1:$1,0))-1),""))</f>
        <v/>
      </c>
    </row>
    <row r="353">
      <c r="A353" s="3" t="inlineStr">
        <is>
          <t>SEGD04</t>
        </is>
      </c>
      <c r="B353" s="3" t="inlineStr">
        <is>
          <t>Apparel services other than laundry and dry cleaning</t>
        </is>
      </c>
      <c r="C353" s="3" t="inlineStr">
        <is>
          <t>SEGD</t>
        </is>
      </c>
      <c r="D353" s="3" t="inlineStr">
        <is>
          <t>CUUR0000SEGD04</t>
        </is>
      </c>
      <c r="E353" s="3" t="inlineStr"/>
      <c r="F353" s="3" t="inlineStr">
        <is>
          <t>GM</t>
        </is>
      </c>
      <c r="G353" s="3" t="inlineStr">
        <is>
          <t>monthly in New York/Los Angeles/Chicago; often bimonthly elsewhere</t>
        </is>
      </c>
      <c r="H353" s="10">
        <f>IFERROR(INDEX(Weights!$D:$D,MATCH($A353,Weights!$A:$A,0)),"")</f>
        <v/>
      </c>
      <c r="I353" s="10">
        <f>IFERROR(INDEX('Data_NSA'!$A:$OK,MATCH(I$2,'Data_NSA'!$A:$A,0),MATCH($D353,'Data_NSA'!$1:$1,0)),"")</f>
        <v/>
      </c>
      <c r="J353" s="10">
        <f>IF($E353="","",IFERROR(INDEX('Data_SA'!$A:$LO,MATCH(I$2,'Data_SA'!$A:$A,0),MATCH($E353,'Data_SA'!$1:$1,0)),""))</f>
        <v/>
      </c>
      <c r="K353" s="7">
        <f>IF($E353="","",IFERROR(INDEX('Data_SA'!$A:$LO,MATCH(I$2,'Data_SA'!$A:$A,0),MATCH($E353,'Data_SA'!$1:$1,0))/INDEX('Data_SA'!$A:$LO,MATCH(EDATE(I$2,-1),'Data_SA'!$A:$A,0),MATCH($E353,'Data_SA'!$1:$1,0))-1,""))</f>
        <v/>
      </c>
      <c r="L353" s="7">
        <f>IFERROR(INDEX('Data_NSA'!$A:$OK,MATCH(I$2,'Data_NSA'!$A:$A,0),MATCH($D353,'Data_NSA'!$1:$1,0))/INDEX('Data_NSA'!$A:$OK,MATCH(EDATE(I$2,-12),'Data_NSA'!$A:$A,0),MATCH($D353,'Data_NSA'!$1:$1,0))-1,"")</f>
        <v/>
      </c>
      <c r="M353" s="10">
        <f>IFERROR(INDEX('Weights'!$G:$I,MATCH($A353,'Weights'!$A:$A,0),MATCH(I$2,'Weights'!$G$1:$I$1,0)),"")</f>
        <v/>
      </c>
      <c r="N353" s="10">
        <f>IF($E353="","",IFERROR(100*(INDEX('Weights'!$D:$D,MATCH($A353,'Weights'!$A:$A,0))*(INDEX('Data_NSA'!$A:$OK,MATCH(EDATE(I$2,-1),'Data_NSA'!$A:$A,0),MATCH($D353,'Data_NSA'!$1:$1,0))/INDEX('Data_NSA'!$A:$OK,MATCH(INDEX('Weights'!$E:$E,MATCH($A353,'Weights'!$A:$A,0)),'Data_NSA'!$A:$A,0),MATCH($D353,'Data_NSA'!$1:$1,0))))/(100*(INDEX('Data_NSA'!$A:$OK,MATCH(EDATE(I$2,-1),'Data_NSA'!$A:$A,0),MATCH("CUUR0000SA0",'Data_NSA'!$1:$1,0))/INDEX('Data_NSA'!$A:$OK,MATCH(INDEX('Weights'!$E:$E,MATCH($A353,'Weights'!$A:$A,0)),'Data_NSA'!$A:$A,0),MATCH("CUUR0000SA0",'Data_NSA'!$1:$1,0))))*(INDEX('Data_SA'!$A:$LO,MATCH(I$2,'Data_SA'!$A:$A,0),MATCH($E353,'Data_SA'!$1:$1,0))/INDEX('Data_SA'!$A:$LO,MATCH(EDATE(I$2,-1),'Data_SA'!$A:$A,0),MATCH($E353,'Data_SA'!$1:$1,0))-1),""))</f>
        <v/>
      </c>
      <c r="O353" s="10">
        <f>IFERROR(INDEX('Data_NSA'!$A:$OK,MATCH(O$2,'Data_NSA'!$A:$A,0),MATCH($D353,'Data_NSA'!$1:$1,0)),"")</f>
        <v/>
      </c>
      <c r="P353" s="10">
        <f>IF($E353="","",IFERROR(INDEX('Data_SA'!$A:$LO,MATCH(O$2,'Data_SA'!$A:$A,0),MATCH($E353,'Data_SA'!$1:$1,0)),""))</f>
        <v/>
      </c>
      <c r="Q353" s="7">
        <f>IF($E353="","",IFERROR(INDEX('Data_SA'!$A:$LO,MATCH(O$2,'Data_SA'!$A:$A,0),MATCH($E353,'Data_SA'!$1:$1,0))/INDEX('Data_SA'!$A:$LO,MATCH(EDATE(O$2,-1),'Data_SA'!$A:$A,0),MATCH($E353,'Data_SA'!$1:$1,0))-1,""))</f>
        <v/>
      </c>
      <c r="R353" s="7">
        <f>IFERROR(INDEX('Data_NSA'!$A:$OK,MATCH(O$2,'Data_NSA'!$A:$A,0),MATCH($D353,'Data_NSA'!$1:$1,0))/INDEX('Data_NSA'!$A:$OK,MATCH(EDATE(O$2,-12),'Data_NSA'!$A:$A,0),MATCH($D353,'Data_NSA'!$1:$1,0))-1,"")</f>
        <v/>
      </c>
      <c r="S353" s="10">
        <f>IFERROR(INDEX('Weights'!$G:$I,MATCH($A353,'Weights'!$A:$A,0),MATCH(O$2,'Weights'!$G$1:$I$1,0)),"")</f>
        <v/>
      </c>
      <c r="T353" s="10">
        <f>IF($E353="","",IFERROR(100*(INDEX('Weights'!$D:$D,MATCH($A353,'Weights'!$A:$A,0))*(INDEX('Data_NSA'!$A:$OK,MATCH(EDATE(O$2,-1),'Data_NSA'!$A:$A,0),MATCH($D353,'Data_NSA'!$1:$1,0))/INDEX('Data_NSA'!$A:$OK,MATCH(INDEX('Weights'!$E:$E,MATCH($A353,'Weights'!$A:$A,0)),'Data_NSA'!$A:$A,0),MATCH($D353,'Data_NSA'!$1:$1,0))))/(100*(INDEX('Data_NSA'!$A:$OK,MATCH(EDATE(O$2,-1),'Data_NSA'!$A:$A,0),MATCH("CUUR0000SA0",'Data_NSA'!$1:$1,0))/INDEX('Data_NSA'!$A:$OK,MATCH(INDEX('Weights'!$E:$E,MATCH($A353,'Weights'!$A:$A,0)),'Data_NSA'!$A:$A,0),MATCH("CUUR0000SA0",'Data_NSA'!$1:$1,0))))*(INDEX('Data_SA'!$A:$LO,MATCH(O$2,'Data_SA'!$A:$A,0),MATCH($E353,'Data_SA'!$1:$1,0))/INDEX('Data_SA'!$A:$LO,MATCH(EDATE(O$2,-1),'Data_SA'!$A:$A,0),MATCH($E353,'Data_SA'!$1:$1,0))-1),""))</f>
        <v/>
      </c>
      <c r="U353" s="10">
        <f>IFERROR(INDEX('Data_NSA'!$A:$OK,MATCH(U$2,'Data_NSA'!$A:$A,0),MATCH($D353,'Data_NSA'!$1:$1,0)),"")</f>
        <v/>
      </c>
      <c r="V353" s="10">
        <f>IF($E353="","",IFERROR(INDEX('Data_SA'!$A:$LO,MATCH(U$2,'Data_SA'!$A:$A,0),MATCH($E353,'Data_SA'!$1:$1,0)),""))</f>
        <v/>
      </c>
      <c r="W353" s="7">
        <f>IF($E353="","",IFERROR(INDEX('Data_SA'!$A:$LO,MATCH(U$2,'Data_SA'!$A:$A,0),MATCH($E353,'Data_SA'!$1:$1,0))/INDEX('Data_SA'!$A:$LO,MATCH(EDATE(U$2,-1),'Data_SA'!$A:$A,0),MATCH($E353,'Data_SA'!$1:$1,0))-1,""))</f>
        <v/>
      </c>
      <c r="X353" s="7">
        <f>IFERROR(INDEX('Data_NSA'!$A:$OK,MATCH(U$2,'Data_NSA'!$A:$A,0),MATCH($D353,'Data_NSA'!$1:$1,0))/INDEX('Data_NSA'!$A:$OK,MATCH(EDATE(U$2,-12),'Data_NSA'!$A:$A,0),MATCH($D353,'Data_NSA'!$1:$1,0))-1,"")</f>
        <v/>
      </c>
      <c r="Y353" s="10">
        <f>IFERROR(INDEX('Weights'!$G:$I,MATCH($A353,'Weights'!$A:$A,0),MATCH(U$2,'Weights'!$G$1:$I$1,0)),"")</f>
        <v/>
      </c>
      <c r="Z353" s="10">
        <f>IF($E353="","",IFERROR(100*(INDEX('Weights'!$D:$D,MATCH($A353,'Weights'!$A:$A,0))*(INDEX('Data_NSA'!$A:$OK,MATCH(EDATE(U$2,-1),'Data_NSA'!$A:$A,0),MATCH($D353,'Data_NSA'!$1:$1,0))/INDEX('Data_NSA'!$A:$OK,MATCH(INDEX('Weights'!$E:$E,MATCH($A353,'Weights'!$A:$A,0)),'Data_NSA'!$A:$A,0),MATCH($D353,'Data_NSA'!$1:$1,0))))/(100*(INDEX('Data_NSA'!$A:$OK,MATCH(EDATE(U$2,-1),'Data_NSA'!$A:$A,0),MATCH("CUUR0000SA0",'Data_NSA'!$1:$1,0))/INDEX('Data_NSA'!$A:$OK,MATCH(INDEX('Weights'!$E:$E,MATCH($A353,'Weights'!$A:$A,0)),'Data_NSA'!$A:$A,0),MATCH("CUUR0000SA0",'Data_NSA'!$1:$1,0))))*(INDEX('Data_SA'!$A:$LO,MATCH(U$2,'Data_SA'!$A:$A,0),MATCH($E353,'Data_SA'!$1:$1,0))/INDEX('Data_SA'!$A:$LO,MATCH(EDATE(U$2,-1),'Data_SA'!$A:$A,0),MATCH($E353,'Data_SA'!$1:$1,0))-1),""))</f>
        <v/>
      </c>
    </row>
    <row r="354">
      <c r="A354" s="3" t="inlineStr">
        <is>
          <t>SEGD05</t>
        </is>
      </c>
      <c r="B354" s="3" t="inlineStr">
        <is>
          <t>Financial services</t>
        </is>
      </c>
      <c r="C354" s="3" t="inlineStr">
        <is>
          <t>SEGD</t>
        </is>
      </c>
      <c r="D354" s="3" t="inlineStr">
        <is>
          <t>CUUR0000SEGD05</t>
        </is>
      </c>
      <c r="E354" s="3" t="inlineStr">
        <is>
          <t>CUSR0000SEGD05</t>
        </is>
      </c>
      <c r="F354" s="3" t="inlineStr">
        <is>
          <t>aggregate</t>
        </is>
      </c>
      <c r="G354" s="3" t="inlineStr">
        <is>
          <t>aggregate</t>
        </is>
      </c>
      <c r="H354" s="10">
        <f>IFERROR(INDEX(Weights!$D:$D,MATCH($A354,Weights!$A:$A,0)),"")</f>
        <v/>
      </c>
      <c r="I354" s="10">
        <f>IFERROR(INDEX('Data_NSA'!$A:$OK,MATCH(I$2,'Data_NSA'!$A:$A,0),MATCH($D354,'Data_NSA'!$1:$1,0)),"")</f>
        <v/>
      </c>
      <c r="J354" s="10">
        <f>IF($E354="","",IFERROR(INDEX('Data_SA'!$A:$LO,MATCH(I$2,'Data_SA'!$A:$A,0),MATCH($E354,'Data_SA'!$1:$1,0)),""))</f>
        <v/>
      </c>
      <c r="K354" s="7">
        <f>IF($E354="","",IFERROR(INDEX('Data_SA'!$A:$LO,MATCH(I$2,'Data_SA'!$A:$A,0),MATCH($E354,'Data_SA'!$1:$1,0))/INDEX('Data_SA'!$A:$LO,MATCH(EDATE(I$2,-1),'Data_SA'!$A:$A,0),MATCH($E354,'Data_SA'!$1:$1,0))-1,""))</f>
        <v/>
      </c>
      <c r="L354" s="7">
        <f>IFERROR(INDEX('Data_NSA'!$A:$OK,MATCH(I$2,'Data_NSA'!$A:$A,0),MATCH($D354,'Data_NSA'!$1:$1,0))/INDEX('Data_NSA'!$A:$OK,MATCH(EDATE(I$2,-12),'Data_NSA'!$A:$A,0),MATCH($D354,'Data_NSA'!$1:$1,0))-1,"")</f>
        <v/>
      </c>
      <c r="M354" s="10">
        <f>IFERROR(INDEX('Weights'!$G:$I,MATCH($A354,'Weights'!$A:$A,0),MATCH(I$2,'Weights'!$G$1:$I$1,0)),"")</f>
        <v/>
      </c>
      <c r="N354" s="10">
        <f>IF($E354="","",IFERROR(100*(INDEX('Weights'!$D:$D,MATCH($A354,'Weights'!$A:$A,0))*(INDEX('Data_NSA'!$A:$OK,MATCH(EDATE(I$2,-1),'Data_NSA'!$A:$A,0),MATCH($D354,'Data_NSA'!$1:$1,0))/INDEX('Data_NSA'!$A:$OK,MATCH(INDEX('Weights'!$E:$E,MATCH($A354,'Weights'!$A:$A,0)),'Data_NSA'!$A:$A,0),MATCH($D354,'Data_NSA'!$1:$1,0))))/(100*(INDEX('Data_NSA'!$A:$OK,MATCH(EDATE(I$2,-1),'Data_NSA'!$A:$A,0),MATCH("CUUR0000SA0",'Data_NSA'!$1:$1,0))/INDEX('Data_NSA'!$A:$OK,MATCH(INDEX('Weights'!$E:$E,MATCH($A354,'Weights'!$A:$A,0)),'Data_NSA'!$A:$A,0),MATCH("CUUR0000SA0",'Data_NSA'!$1:$1,0))))*(INDEX('Data_SA'!$A:$LO,MATCH(I$2,'Data_SA'!$A:$A,0),MATCH($E354,'Data_SA'!$1:$1,0))/INDEX('Data_SA'!$A:$LO,MATCH(EDATE(I$2,-1),'Data_SA'!$A:$A,0),MATCH($E354,'Data_SA'!$1:$1,0))-1),""))</f>
        <v/>
      </c>
      <c r="O354" s="10">
        <f>IFERROR(INDEX('Data_NSA'!$A:$OK,MATCH(O$2,'Data_NSA'!$A:$A,0),MATCH($D354,'Data_NSA'!$1:$1,0)),"")</f>
        <v/>
      </c>
      <c r="P354" s="10">
        <f>IF($E354="","",IFERROR(INDEX('Data_SA'!$A:$LO,MATCH(O$2,'Data_SA'!$A:$A,0),MATCH($E354,'Data_SA'!$1:$1,0)),""))</f>
        <v/>
      </c>
      <c r="Q354" s="7">
        <f>IF($E354="","",IFERROR(INDEX('Data_SA'!$A:$LO,MATCH(O$2,'Data_SA'!$A:$A,0),MATCH($E354,'Data_SA'!$1:$1,0))/INDEX('Data_SA'!$A:$LO,MATCH(EDATE(O$2,-1),'Data_SA'!$A:$A,0),MATCH($E354,'Data_SA'!$1:$1,0))-1,""))</f>
        <v/>
      </c>
      <c r="R354" s="7">
        <f>IFERROR(INDEX('Data_NSA'!$A:$OK,MATCH(O$2,'Data_NSA'!$A:$A,0),MATCH($D354,'Data_NSA'!$1:$1,0))/INDEX('Data_NSA'!$A:$OK,MATCH(EDATE(O$2,-12),'Data_NSA'!$A:$A,0),MATCH($D354,'Data_NSA'!$1:$1,0))-1,"")</f>
        <v/>
      </c>
      <c r="S354" s="10">
        <f>IFERROR(INDEX('Weights'!$G:$I,MATCH($A354,'Weights'!$A:$A,0),MATCH(O$2,'Weights'!$G$1:$I$1,0)),"")</f>
        <v/>
      </c>
      <c r="T354" s="10">
        <f>IF($E354="","",IFERROR(100*(INDEX('Weights'!$D:$D,MATCH($A354,'Weights'!$A:$A,0))*(INDEX('Data_NSA'!$A:$OK,MATCH(EDATE(O$2,-1),'Data_NSA'!$A:$A,0),MATCH($D354,'Data_NSA'!$1:$1,0))/INDEX('Data_NSA'!$A:$OK,MATCH(INDEX('Weights'!$E:$E,MATCH($A354,'Weights'!$A:$A,0)),'Data_NSA'!$A:$A,0),MATCH($D354,'Data_NSA'!$1:$1,0))))/(100*(INDEX('Data_NSA'!$A:$OK,MATCH(EDATE(O$2,-1),'Data_NSA'!$A:$A,0),MATCH("CUUR0000SA0",'Data_NSA'!$1:$1,0))/INDEX('Data_NSA'!$A:$OK,MATCH(INDEX('Weights'!$E:$E,MATCH($A354,'Weights'!$A:$A,0)),'Data_NSA'!$A:$A,0),MATCH("CUUR0000SA0",'Data_NSA'!$1:$1,0))))*(INDEX('Data_SA'!$A:$LO,MATCH(O$2,'Data_SA'!$A:$A,0),MATCH($E354,'Data_SA'!$1:$1,0))/INDEX('Data_SA'!$A:$LO,MATCH(EDATE(O$2,-1),'Data_SA'!$A:$A,0),MATCH($E354,'Data_SA'!$1:$1,0))-1),""))</f>
        <v/>
      </c>
      <c r="U354" s="10">
        <f>IFERROR(INDEX('Data_NSA'!$A:$OK,MATCH(U$2,'Data_NSA'!$A:$A,0),MATCH($D354,'Data_NSA'!$1:$1,0)),"")</f>
        <v/>
      </c>
      <c r="V354" s="10">
        <f>IF($E354="","",IFERROR(INDEX('Data_SA'!$A:$LO,MATCH(U$2,'Data_SA'!$A:$A,0),MATCH($E354,'Data_SA'!$1:$1,0)),""))</f>
        <v/>
      </c>
      <c r="W354" s="7">
        <f>IF($E354="","",IFERROR(INDEX('Data_SA'!$A:$LO,MATCH(U$2,'Data_SA'!$A:$A,0),MATCH($E354,'Data_SA'!$1:$1,0))/INDEX('Data_SA'!$A:$LO,MATCH(EDATE(U$2,-1),'Data_SA'!$A:$A,0),MATCH($E354,'Data_SA'!$1:$1,0))-1,""))</f>
        <v/>
      </c>
      <c r="X354" s="7">
        <f>IFERROR(INDEX('Data_NSA'!$A:$OK,MATCH(U$2,'Data_NSA'!$A:$A,0),MATCH($D354,'Data_NSA'!$1:$1,0))/INDEX('Data_NSA'!$A:$OK,MATCH(EDATE(U$2,-12),'Data_NSA'!$A:$A,0),MATCH($D354,'Data_NSA'!$1:$1,0))-1,"")</f>
        <v/>
      </c>
      <c r="Y354" s="10">
        <f>IFERROR(INDEX('Weights'!$G:$I,MATCH($A354,'Weights'!$A:$A,0),MATCH(U$2,'Weights'!$G$1:$I$1,0)),"")</f>
        <v/>
      </c>
      <c r="Z354" s="10">
        <f>IF($E354="","",IFERROR(100*(INDEX('Weights'!$D:$D,MATCH($A354,'Weights'!$A:$A,0))*(INDEX('Data_NSA'!$A:$OK,MATCH(EDATE(U$2,-1),'Data_NSA'!$A:$A,0),MATCH($D354,'Data_NSA'!$1:$1,0))/INDEX('Data_NSA'!$A:$OK,MATCH(INDEX('Weights'!$E:$E,MATCH($A354,'Weights'!$A:$A,0)),'Data_NSA'!$A:$A,0),MATCH($D354,'Data_NSA'!$1:$1,0))))/(100*(INDEX('Data_NSA'!$A:$OK,MATCH(EDATE(U$2,-1),'Data_NSA'!$A:$A,0),MATCH("CUUR0000SA0",'Data_NSA'!$1:$1,0))/INDEX('Data_NSA'!$A:$OK,MATCH(INDEX('Weights'!$E:$E,MATCH($A354,'Weights'!$A:$A,0)),'Data_NSA'!$A:$A,0),MATCH("CUUR0000SA0",'Data_NSA'!$1:$1,0))))*(INDEX('Data_SA'!$A:$LO,MATCH(U$2,'Data_SA'!$A:$A,0),MATCH($E354,'Data_SA'!$1:$1,0))/INDEX('Data_SA'!$A:$LO,MATCH(EDATE(U$2,-1),'Data_SA'!$A:$A,0),MATCH($E354,'Data_SA'!$1:$1,0))-1),""))</f>
        <v/>
      </c>
    </row>
    <row r="355">
      <c r="A355" s="3" t="inlineStr">
        <is>
          <t>SS68021</t>
        </is>
      </c>
      <c r="B355" s="3" t="inlineStr">
        <is>
          <t>Checking account and other bank services</t>
        </is>
      </c>
      <c r="C355" s="3" t="inlineStr">
        <is>
          <t>SEGD05</t>
        </is>
      </c>
      <c r="D355" s="3" t="inlineStr">
        <is>
          <t>CUUR0000SS68021</t>
        </is>
      </c>
      <c r="E355" s="3" t="inlineStr"/>
      <c r="F355" s="3" t="inlineStr">
        <is>
          <t>GM</t>
        </is>
      </c>
      <c r="G355" s="3" t="inlineStr">
        <is>
          <t>monthly in New York/Los Angeles/Chicago; often bimonthly elsewhere</t>
        </is>
      </c>
      <c r="H355" s="10">
        <f>IFERROR(INDEX(Weights!$D:$D,MATCH($A355,Weights!$A:$A,0)),"")</f>
        <v/>
      </c>
      <c r="I355" s="10">
        <f>IFERROR(INDEX('Data_NSA'!$A:$OK,MATCH(I$2,'Data_NSA'!$A:$A,0),MATCH($D355,'Data_NSA'!$1:$1,0)),"")</f>
        <v/>
      </c>
      <c r="J355" s="10">
        <f>IF($E355="","",IFERROR(INDEX('Data_SA'!$A:$LO,MATCH(I$2,'Data_SA'!$A:$A,0),MATCH($E355,'Data_SA'!$1:$1,0)),""))</f>
        <v/>
      </c>
      <c r="K355" s="7">
        <f>IF($E355="","",IFERROR(INDEX('Data_SA'!$A:$LO,MATCH(I$2,'Data_SA'!$A:$A,0),MATCH($E355,'Data_SA'!$1:$1,0))/INDEX('Data_SA'!$A:$LO,MATCH(EDATE(I$2,-1),'Data_SA'!$A:$A,0),MATCH($E355,'Data_SA'!$1:$1,0))-1,""))</f>
        <v/>
      </c>
      <c r="L355" s="7">
        <f>IFERROR(INDEX('Data_NSA'!$A:$OK,MATCH(I$2,'Data_NSA'!$A:$A,0),MATCH($D355,'Data_NSA'!$1:$1,0))/INDEX('Data_NSA'!$A:$OK,MATCH(EDATE(I$2,-12),'Data_NSA'!$A:$A,0),MATCH($D355,'Data_NSA'!$1:$1,0))-1,"")</f>
        <v/>
      </c>
      <c r="M355" s="10">
        <f>IFERROR(INDEX('Weights'!$G:$I,MATCH($A355,'Weights'!$A:$A,0),MATCH(I$2,'Weights'!$G$1:$I$1,0)),"")</f>
        <v/>
      </c>
      <c r="N355" s="10">
        <f>IF($E355="","",IFERROR(100*(INDEX('Weights'!$D:$D,MATCH($A355,'Weights'!$A:$A,0))*(INDEX('Data_NSA'!$A:$OK,MATCH(EDATE(I$2,-1),'Data_NSA'!$A:$A,0),MATCH($D355,'Data_NSA'!$1:$1,0))/INDEX('Data_NSA'!$A:$OK,MATCH(INDEX('Weights'!$E:$E,MATCH($A355,'Weights'!$A:$A,0)),'Data_NSA'!$A:$A,0),MATCH($D355,'Data_NSA'!$1:$1,0))))/(100*(INDEX('Data_NSA'!$A:$OK,MATCH(EDATE(I$2,-1),'Data_NSA'!$A:$A,0),MATCH("CUUR0000SA0",'Data_NSA'!$1:$1,0))/INDEX('Data_NSA'!$A:$OK,MATCH(INDEX('Weights'!$E:$E,MATCH($A355,'Weights'!$A:$A,0)),'Data_NSA'!$A:$A,0),MATCH("CUUR0000SA0",'Data_NSA'!$1:$1,0))))*(INDEX('Data_SA'!$A:$LO,MATCH(I$2,'Data_SA'!$A:$A,0),MATCH($E355,'Data_SA'!$1:$1,0))/INDEX('Data_SA'!$A:$LO,MATCH(EDATE(I$2,-1),'Data_SA'!$A:$A,0),MATCH($E355,'Data_SA'!$1:$1,0))-1),""))</f>
        <v/>
      </c>
      <c r="O355" s="10">
        <f>IFERROR(INDEX('Data_NSA'!$A:$OK,MATCH(O$2,'Data_NSA'!$A:$A,0),MATCH($D355,'Data_NSA'!$1:$1,0)),"")</f>
        <v/>
      </c>
      <c r="P355" s="10">
        <f>IF($E355="","",IFERROR(INDEX('Data_SA'!$A:$LO,MATCH(O$2,'Data_SA'!$A:$A,0),MATCH($E355,'Data_SA'!$1:$1,0)),""))</f>
        <v/>
      </c>
      <c r="Q355" s="7">
        <f>IF($E355="","",IFERROR(INDEX('Data_SA'!$A:$LO,MATCH(O$2,'Data_SA'!$A:$A,0),MATCH($E355,'Data_SA'!$1:$1,0))/INDEX('Data_SA'!$A:$LO,MATCH(EDATE(O$2,-1),'Data_SA'!$A:$A,0),MATCH($E355,'Data_SA'!$1:$1,0))-1,""))</f>
        <v/>
      </c>
      <c r="R355" s="7">
        <f>IFERROR(INDEX('Data_NSA'!$A:$OK,MATCH(O$2,'Data_NSA'!$A:$A,0),MATCH($D355,'Data_NSA'!$1:$1,0))/INDEX('Data_NSA'!$A:$OK,MATCH(EDATE(O$2,-12),'Data_NSA'!$A:$A,0),MATCH($D355,'Data_NSA'!$1:$1,0))-1,"")</f>
        <v/>
      </c>
      <c r="S355" s="10">
        <f>IFERROR(INDEX('Weights'!$G:$I,MATCH($A355,'Weights'!$A:$A,0),MATCH(O$2,'Weights'!$G$1:$I$1,0)),"")</f>
        <v/>
      </c>
      <c r="T355" s="10">
        <f>IF($E355="","",IFERROR(100*(INDEX('Weights'!$D:$D,MATCH($A355,'Weights'!$A:$A,0))*(INDEX('Data_NSA'!$A:$OK,MATCH(EDATE(O$2,-1),'Data_NSA'!$A:$A,0),MATCH($D355,'Data_NSA'!$1:$1,0))/INDEX('Data_NSA'!$A:$OK,MATCH(INDEX('Weights'!$E:$E,MATCH($A355,'Weights'!$A:$A,0)),'Data_NSA'!$A:$A,0),MATCH($D355,'Data_NSA'!$1:$1,0))))/(100*(INDEX('Data_NSA'!$A:$OK,MATCH(EDATE(O$2,-1),'Data_NSA'!$A:$A,0),MATCH("CUUR0000SA0",'Data_NSA'!$1:$1,0))/INDEX('Data_NSA'!$A:$OK,MATCH(INDEX('Weights'!$E:$E,MATCH($A355,'Weights'!$A:$A,0)),'Data_NSA'!$A:$A,0),MATCH("CUUR0000SA0",'Data_NSA'!$1:$1,0))))*(INDEX('Data_SA'!$A:$LO,MATCH(O$2,'Data_SA'!$A:$A,0),MATCH($E355,'Data_SA'!$1:$1,0))/INDEX('Data_SA'!$A:$LO,MATCH(EDATE(O$2,-1),'Data_SA'!$A:$A,0),MATCH($E355,'Data_SA'!$1:$1,0))-1),""))</f>
        <v/>
      </c>
      <c r="U355" s="10">
        <f>IFERROR(INDEX('Data_NSA'!$A:$OK,MATCH(U$2,'Data_NSA'!$A:$A,0),MATCH($D355,'Data_NSA'!$1:$1,0)),"")</f>
        <v/>
      </c>
      <c r="V355" s="10">
        <f>IF($E355="","",IFERROR(INDEX('Data_SA'!$A:$LO,MATCH(U$2,'Data_SA'!$A:$A,0),MATCH($E355,'Data_SA'!$1:$1,0)),""))</f>
        <v/>
      </c>
      <c r="W355" s="7">
        <f>IF($E355="","",IFERROR(INDEX('Data_SA'!$A:$LO,MATCH(U$2,'Data_SA'!$A:$A,0),MATCH($E355,'Data_SA'!$1:$1,0))/INDEX('Data_SA'!$A:$LO,MATCH(EDATE(U$2,-1),'Data_SA'!$A:$A,0),MATCH($E355,'Data_SA'!$1:$1,0))-1,""))</f>
        <v/>
      </c>
      <c r="X355" s="7">
        <f>IFERROR(INDEX('Data_NSA'!$A:$OK,MATCH(U$2,'Data_NSA'!$A:$A,0),MATCH($D355,'Data_NSA'!$1:$1,0))/INDEX('Data_NSA'!$A:$OK,MATCH(EDATE(U$2,-12),'Data_NSA'!$A:$A,0),MATCH($D355,'Data_NSA'!$1:$1,0))-1,"")</f>
        <v/>
      </c>
      <c r="Y355" s="10">
        <f>IFERROR(INDEX('Weights'!$G:$I,MATCH($A355,'Weights'!$A:$A,0),MATCH(U$2,'Weights'!$G$1:$I$1,0)),"")</f>
        <v/>
      </c>
      <c r="Z355" s="10">
        <f>IF($E355="","",IFERROR(100*(INDEX('Weights'!$D:$D,MATCH($A355,'Weights'!$A:$A,0))*(INDEX('Data_NSA'!$A:$OK,MATCH(EDATE(U$2,-1),'Data_NSA'!$A:$A,0),MATCH($D355,'Data_NSA'!$1:$1,0))/INDEX('Data_NSA'!$A:$OK,MATCH(INDEX('Weights'!$E:$E,MATCH($A355,'Weights'!$A:$A,0)),'Data_NSA'!$A:$A,0),MATCH($D355,'Data_NSA'!$1:$1,0))))/(100*(INDEX('Data_NSA'!$A:$OK,MATCH(EDATE(U$2,-1),'Data_NSA'!$A:$A,0),MATCH("CUUR0000SA0",'Data_NSA'!$1:$1,0))/INDEX('Data_NSA'!$A:$OK,MATCH(INDEX('Weights'!$E:$E,MATCH($A355,'Weights'!$A:$A,0)),'Data_NSA'!$A:$A,0),MATCH("CUUR0000SA0",'Data_NSA'!$1:$1,0))))*(INDEX('Data_SA'!$A:$LO,MATCH(U$2,'Data_SA'!$A:$A,0),MATCH($E355,'Data_SA'!$1:$1,0))/INDEX('Data_SA'!$A:$LO,MATCH(EDATE(U$2,-1),'Data_SA'!$A:$A,0),MATCH($E355,'Data_SA'!$1:$1,0))-1),""))</f>
        <v/>
      </c>
    </row>
    <row r="356">
      <c r="A356" s="3" t="inlineStr">
        <is>
          <t>SS68023</t>
        </is>
      </c>
      <c r="B356" s="3" t="inlineStr">
        <is>
          <t>Tax return preparation and other accounting fees</t>
        </is>
      </c>
      <c r="C356" s="3" t="inlineStr">
        <is>
          <t>SEGD05</t>
        </is>
      </c>
      <c r="D356" s="3" t="inlineStr">
        <is>
          <t>CUUR0000SS68023</t>
        </is>
      </c>
      <c r="E356" s="3" t="inlineStr">
        <is>
          <t>CUSR0000SS68023</t>
        </is>
      </c>
      <c r="F356" s="3" t="inlineStr">
        <is>
          <t>GM</t>
        </is>
      </c>
      <c r="G356" s="3" t="inlineStr">
        <is>
          <t>monthly in New York/Los Angeles/Chicago; often bimonthly elsewhere</t>
        </is>
      </c>
      <c r="H356" s="10">
        <f>IFERROR(INDEX(Weights!$D:$D,MATCH($A356,Weights!$A:$A,0)),"")</f>
        <v/>
      </c>
      <c r="I356" s="10">
        <f>IFERROR(INDEX('Data_NSA'!$A:$OK,MATCH(I$2,'Data_NSA'!$A:$A,0),MATCH($D356,'Data_NSA'!$1:$1,0)),"")</f>
        <v/>
      </c>
      <c r="J356" s="10">
        <f>IF($E356="","",IFERROR(INDEX('Data_SA'!$A:$LO,MATCH(I$2,'Data_SA'!$A:$A,0),MATCH($E356,'Data_SA'!$1:$1,0)),""))</f>
        <v/>
      </c>
      <c r="K356" s="7">
        <f>IF($E356="","",IFERROR(INDEX('Data_SA'!$A:$LO,MATCH(I$2,'Data_SA'!$A:$A,0),MATCH($E356,'Data_SA'!$1:$1,0))/INDEX('Data_SA'!$A:$LO,MATCH(EDATE(I$2,-1),'Data_SA'!$A:$A,0),MATCH($E356,'Data_SA'!$1:$1,0))-1,""))</f>
        <v/>
      </c>
      <c r="L356" s="7">
        <f>IFERROR(INDEX('Data_NSA'!$A:$OK,MATCH(I$2,'Data_NSA'!$A:$A,0),MATCH($D356,'Data_NSA'!$1:$1,0))/INDEX('Data_NSA'!$A:$OK,MATCH(EDATE(I$2,-12),'Data_NSA'!$A:$A,0),MATCH($D356,'Data_NSA'!$1:$1,0))-1,"")</f>
        <v/>
      </c>
      <c r="M356" s="10">
        <f>IFERROR(INDEX('Weights'!$G:$I,MATCH($A356,'Weights'!$A:$A,0),MATCH(I$2,'Weights'!$G$1:$I$1,0)),"")</f>
        <v/>
      </c>
      <c r="N356" s="10">
        <f>IF($E356="","",IFERROR(100*(INDEX('Weights'!$D:$D,MATCH($A356,'Weights'!$A:$A,0))*(INDEX('Data_NSA'!$A:$OK,MATCH(EDATE(I$2,-1),'Data_NSA'!$A:$A,0),MATCH($D356,'Data_NSA'!$1:$1,0))/INDEX('Data_NSA'!$A:$OK,MATCH(INDEX('Weights'!$E:$E,MATCH($A356,'Weights'!$A:$A,0)),'Data_NSA'!$A:$A,0),MATCH($D356,'Data_NSA'!$1:$1,0))))/(100*(INDEX('Data_NSA'!$A:$OK,MATCH(EDATE(I$2,-1),'Data_NSA'!$A:$A,0),MATCH("CUUR0000SA0",'Data_NSA'!$1:$1,0))/INDEX('Data_NSA'!$A:$OK,MATCH(INDEX('Weights'!$E:$E,MATCH($A356,'Weights'!$A:$A,0)),'Data_NSA'!$A:$A,0),MATCH("CUUR0000SA0",'Data_NSA'!$1:$1,0))))*(INDEX('Data_SA'!$A:$LO,MATCH(I$2,'Data_SA'!$A:$A,0),MATCH($E356,'Data_SA'!$1:$1,0))/INDEX('Data_SA'!$A:$LO,MATCH(EDATE(I$2,-1),'Data_SA'!$A:$A,0),MATCH($E356,'Data_SA'!$1:$1,0))-1),""))</f>
        <v/>
      </c>
      <c r="O356" s="10">
        <f>IFERROR(INDEX('Data_NSA'!$A:$OK,MATCH(O$2,'Data_NSA'!$A:$A,0),MATCH($D356,'Data_NSA'!$1:$1,0)),"")</f>
        <v/>
      </c>
      <c r="P356" s="10">
        <f>IF($E356="","",IFERROR(INDEX('Data_SA'!$A:$LO,MATCH(O$2,'Data_SA'!$A:$A,0),MATCH($E356,'Data_SA'!$1:$1,0)),""))</f>
        <v/>
      </c>
      <c r="Q356" s="7">
        <f>IF($E356="","",IFERROR(INDEX('Data_SA'!$A:$LO,MATCH(O$2,'Data_SA'!$A:$A,0),MATCH($E356,'Data_SA'!$1:$1,0))/INDEX('Data_SA'!$A:$LO,MATCH(EDATE(O$2,-1),'Data_SA'!$A:$A,0),MATCH($E356,'Data_SA'!$1:$1,0))-1,""))</f>
        <v/>
      </c>
      <c r="R356" s="7">
        <f>IFERROR(INDEX('Data_NSA'!$A:$OK,MATCH(O$2,'Data_NSA'!$A:$A,0),MATCH($D356,'Data_NSA'!$1:$1,0))/INDEX('Data_NSA'!$A:$OK,MATCH(EDATE(O$2,-12),'Data_NSA'!$A:$A,0),MATCH($D356,'Data_NSA'!$1:$1,0))-1,"")</f>
        <v/>
      </c>
      <c r="S356" s="10">
        <f>IFERROR(INDEX('Weights'!$G:$I,MATCH($A356,'Weights'!$A:$A,0),MATCH(O$2,'Weights'!$G$1:$I$1,0)),"")</f>
        <v/>
      </c>
      <c r="T356" s="10">
        <f>IF($E356="","",IFERROR(100*(INDEX('Weights'!$D:$D,MATCH($A356,'Weights'!$A:$A,0))*(INDEX('Data_NSA'!$A:$OK,MATCH(EDATE(O$2,-1),'Data_NSA'!$A:$A,0),MATCH($D356,'Data_NSA'!$1:$1,0))/INDEX('Data_NSA'!$A:$OK,MATCH(INDEX('Weights'!$E:$E,MATCH($A356,'Weights'!$A:$A,0)),'Data_NSA'!$A:$A,0),MATCH($D356,'Data_NSA'!$1:$1,0))))/(100*(INDEX('Data_NSA'!$A:$OK,MATCH(EDATE(O$2,-1),'Data_NSA'!$A:$A,0),MATCH("CUUR0000SA0",'Data_NSA'!$1:$1,0))/INDEX('Data_NSA'!$A:$OK,MATCH(INDEX('Weights'!$E:$E,MATCH($A356,'Weights'!$A:$A,0)),'Data_NSA'!$A:$A,0),MATCH("CUUR0000SA0",'Data_NSA'!$1:$1,0))))*(INDEX('Data_SA'!$A:$LO,MATCH(O$2,'Data_SA'!$A:$A,0),MATCH($E356,'Data_SA'!$1:$1,0))/INDEX('Data_SA'!$A:$LO,MATCH(EDATE(O$2,-1),'Data_SA'!$A:$A,0),MATCH($E356,'Data_SA'!$1:$1,0))-1),""))</f>
        <v/>
      </c>
      <c r="U356" s="10">
        <f>IFERROR(INDEX('Data_NSA'!$A:$OK,MATCH(U$2,'Data_NSA'!$A:$A,0),MATCH($D356,'Data_NSA'!$1:$1,0)),"")</f>
        <v/>
      </c>
      <c r="V356" s="10">
        <f>IF($E356="","",IFERROR(INDEX('Data_SA'!$A:$LO,MATCH(U$2,'Data_SA'!$A:$A,0),MATCH($E356,'Data_SA'!$1:$1,0)),""))</f>
        <v/>
      </c>
      <c r="W356" s="7">
        <f>IF($E356="","",IFERROR(INDEX('Data_SA'!$A:$LO,MATCH(U$2,'Data_SA'!$A:$A,0),MATCH($E356,'Data_SA'!$1:$1,0))/INDEX('Data_SA'!$A:$LO,MATCH(EDATE(U$2,-1),'Data_SA'!$A:$A,0),MATCH($E356,'Data_SA'!$1:$1,0))-1,""))</f>
        <v/>
      </c>
      <c r="X356" s="7">
        <f>IFERROR(INDEX('Data_NSA'!$A:$OK,MATCH(U$2,'Data_NSA'!$A:$A,0),MATCH($D356,'Data_NSA'!$1:$1,0))/INDEX('Data_NSA'!$A:$OK,MATCH(EDATE(U$2,-12),'Data_NSA'!$A:$A,0),MATCH($D356,'Data_NSA'!$1:$1,0))-1,"")</f>
        <v/>
      </c>
      <c r="Y356" s="10">
        <f>IFERROR(INDEX('Weights'!$G:$I,MATCH($A356,'Weights'!$A:$A,0),MATCH(U$2,'Weights'!$G$1:$I$1,0)),"")</f>
        <v/>
      </c>
      <c r="Z356" s="10">
        <f>IF($E356="","",IFERROR(100*(INDEX('Weights'!$D:$D,MATCH($A356,'Weights'!$A:$A,0))*(INDEX('Data_NSA'!$A:$OK,MATCH(EDATE(U$2,-1),'Data_NSA'!$A:$A,0),MATCH($D356,'Data_NSA'!$1:$1,0))/INDEX('Data_NSA'!$A:$OK,MATCH(INDEX('Weights'!$E:$E,MATCH($A356,'Weights'!$A:$A,0)),'Data_NSA'!$A:$A,0),MATCH($D356,'Data_NSA'!$1:$1,0))))/(100*(INDEX('Data_NSA'!$A:$OK,MATCH(EDATE(U$2,-1),'Data_NSA'!$A:$A,0),MATCH("CUUR0000SA0",'Data_NSA'!$1:$1,0))/INDEX('Data_NSA'!$A:$OK,MATCH(INDEX('Weights'!$E:$E,MATCH($A356,'Weights'!$A:$A,0)),'Data_NSA'!$A:$A,0),MATCH("CUUR0000SA0",'Data_NSA'!$1:$1,0))))*(INDEX('Data_SA'!$A:$LO,MATCH(U$2,'Data_SA'!$A:$A,0),MATCH($E356,'Data_SA'!$1:$1,0))/INDEX('Data_SA'!$A:$LO,MATCH(EDATE(U$2,-1),'Data_SA'!$A:$A,0),MATCH($E356,'Data_SA'!$1:$1,0))-1),""))</f>
        <v/>
      </c>
    </row>
    <row r="357">
      <c r="A357" s="3" t="inlineStr">
        <is>
          <t>SEGE</t>
        </is>
      </c>
      <c r="B357" s="3" t="inlineStr">
        <is>
          <t>Miscellaneous personal goods</t>
        </is>
      </c>
      <c r="C357" s="3" t="inlineStr">
        <is>
          <t>SAG1</t>
        </is>
      </c>
      <c r="D357" s="3" t="inlineStr">
        <is>
          <t>CUUR0000SEGE</t>
        </is>
      </c>
      <c r="E357" s="3" t="inlineStr">
        <is>
          <t>CUSR0000SEGE</t>
        </is>
      </c>
      <c r="F357" s="3" t="inlineStr">
        <is>
          <t>aggregate</t>
        </is>
      </c>
      <c r="G357" s="3" t="inlineStr">
        <is>
          <t>aggregate</t>
        </is>
      </c>
      <c r="H357" s="10">
        <f>IFERROR(INDEX(Weights!$D:$D,MATCH($A357,Weights!$A:$A,0)),"")</f>
        <v/>
      </c>
      <c r="I357" s="10">
        <f>IFERROR(INDEX('Data_NSA'!$A:$OK,MATCH(I$2,'Data_NSA'!$A:$A,0),MATCH($D357,'Data_NSA'!$1:$1,0)),"")</f>
        <v/>
      </c>
      <c r="J357" s="10">
        <f>IF($E357="","",IFERROR(INDEX('Data_SA'!$A:$LO,MATCH(I$2,'Data_SA'!$A:$A,0),MATCH($E357,'Data_SA'!$1:$1,0)),""))</f>
        <v/>
      </c>
      <c r="K357" s="7">
        <f>IF($E357="","",IFERROR(INDEX('Data_SA'!$A:$LO,MATCH(I$2,'Data_SA'!$A:$A,0),MATCH($E357,'Data_SA'!$1:$1,0))/INDEX('Data_SA'!$A:$LO,MATCH(EDATE(I$2,-1),'Data_SA'!$A:$A,0),MATCH($E357,'Data_SA'!$1:$1,0))-1,""))</f>
        <v/>
      </c>
      <c r="L357" s="7">
        <f>IFERROR(INDEX('Data_NSA'!$A:$OK,MATCH(I$2,'Data_NSA'!$A:$A,0),MATCH($D357,'Data_NSA'!$1:$1,0))/INDEX('Data_NSA'!$A:$OK,MATCH(EDATE(I$2,-12),'Data_NSA'!$A:$A,0),MATCH($D357,'Data_NSA'!$1:$1,0))-1,"")</f>
        <v/>
      </c>
      <c r="M357" s="10">
        <f>IFERROR(INDEX('Weights'!$G:$I,MATCH($A357,'Weights'!$A:$A,0),MATCH(I$2,'Weights'!$G$1:$I$1,0)),"")</f>
        <v/>
      </c>
      <c r="N357" s="10">
        <f>IF($E357="","",IFERROR(100*(INDEX('Weights'!$D:$D,MATCH($A357,'Weights'!$A:$A,0))*(INDEX('Data_NSA'!$A:$OK,MATCH(EDATE(I$2,-1),'Data_NSA'!$A:$A,0),MATCH($D357,'Data_NSA'!$1:$1,0))/INDEX('Data_NSA'!$A:$OK,MATCH(INDEX('Weights'!$E:$E,MATCH($A357,'Weights'!$A:$A,0)),'Data_NSA'!$A:$A,0),MATCH($D357,'Data_NSA'!$1:$1,0))))/(100*(INDEX('Data_NSA'!$A:$OK,MATCH(EDATE(I$2,-1),'Data_NSA'!$A:$A,0),MATCH("CUUR0000SA0",'Data_NSA'!$1:$1,0))/INDEX('Data_NSA'!$A:$OK,MATCH(INDEX('Weights'!$E:$E,MATCH($A357,'Weights'!$A:$A,0)),'Data_NSA'!$A:$A,0),MATCH("CUUR0000SA0",'Data_NSA'!$1:$1,0))))*(INDEX('Data_SA'!$A:$LO,MATCH(I$2,'Data_SA'!$A:$A,0),MATCH($E357,'Data_SA'!$1:$1,0))/INDEX('Data_SA'!$A:$LO,MATCH(EDATE(I$2,-1),'Data_SA'!$A:$A,0),MATCH($E357,'Data_SA'!$1:$1,0))-1),""))</f>
        <v/>
      </c>
      <c r="O357" s="10">
        <f>IFERROR(INDEX('Data_NSA'!$A:$OK,MATCH(O$2,'Data_NSA'!$A:$A,0),MATCH($D357,'Data_NSA'!$1:$1,0)),"")</f>
        <v/>
      </c>
      <c r="P357" s="10">
        <f>IF($E357="","",IFERROR(INDEX('Data_SA'!$A:$LO,MATCH(O$2,'Data_SA'!$A:$A,0),MATCH($E357,'Data_SA'!$1:$1,0)),""))</f>
        <v/>
      </c>
      <c r="Q357" s="7">
        <f>IF($E357="","",IFERROR(INDEX('Data_SA'!$A:$LO,MATCH(O$2,'Data_SA'!$A:$A,0),MATCH($E357,'Data_SA'!$1:$1,0))/INDEX('Data_SA'!$A:$LO,MATCH(EDATE(O$2,-1),'Data_SA'!$A:$A,0),MATCH($E357,'Data_SA'!$1:$1,0))-1,""))</f>
        <v/>
      </c>
      <c r="R357" s="7">
        <f>IFERROR(INDEX('Data_NSA'!$A:$OK,MATCH(O$2,'Data_NSA'!$A:$A,0),MATCH($D357,'Data_NSA'!$1:$1,0))/INDEX('Data_NSA'!$A:$OK,MATCH(EDATE(O$2,-12),'Data_NSA'!$A:$A,0),MATCH($D357,'Data_NSA'!$1:$1,0))-1,"")</f>
        <v/>
      </c>
      <c r="S357" s="10">
        <f>IFERROR(INDEX('Weights'!$G:$I,MATCH($A357,'Weights'!$A:$A,0),MATCH(O$2,'Weights'!$G$1:$I$1,0)),"")</f>
        <v/>
      </c>
      <c r="T357" s="10">
        <f>IF($E357="","",IFERROR(100*(INDEX('Weights'!$D:$D,MATCH($A357,'Weights'!$A:$A,0))*(INDEX('Data_NSA'!$A:$OK,MATCH(EDATE(O$2,-1),'Data_NSA'!$A:$A,0),MATCH($D357,'Data_NSA'!$1:$1,0))/INDEX('Data_NSA'!$A:$OK,MATCH(INDEX('Weights'!$E:$E,MATCH($A357,'Weights'!$A:$A,0)),'Data_NSA'!$A:$A,0),MATCH($D357,'Data_NSA'!$1:$1,0))))/(100*(INDEX('Data_NSA'!$A:$OK,MATCH(EDATE(O$2,-1),'Data_NSA'!$A:$A,0),MATCH("CUUR0000SA0",'Data_NSA'!$1:$1,0))/INDEX('Data_NSA'!$A:$OK,MATCH(INDEX('Weights'!$E:$E,MATCH($A357,'Weights'!$A:$A,0)),'Data_NSA'!$A:$A,0),MATCH("CUUR0000SA0",'Data_NSA'!$1:$1,0))))*(INDEX('Data_SA'!$A:$LO,MATCH(O$2,'Data_SA'!$A:$A,0),MATCH($E357,'Data_SA'!$1:$1,0))/INDEX('Data_SA'!$A:$LO,MATCH(EDATE(O$2,-1),'Data_SA'!$A:$A,0),MATCH($E357,'Data_SA'!$1:$1,0))-1),""))</f>
        <v/>
      </c>
      <c r="U357" s="10">
        <f>IFERROR(INDEX('Data_NSA'!$A:$OK,MATCH(U$2,'Data_NSA'!$A:$A,0),MATCH($D357,'Data_NSA'!$1:$1,0)),"")</f>
        <v/>
      </c>
      <c r="V357" s="10">
        <f>IF($E357="","",IFERROR(INDEX('Data_SA'!$A:$LO,MATCH(U$2,'Data_SA'!$A:$A,0),MATCH($E357,'Data_SA'!$1:$1,0)),""))</f>
        <v/>
      </c>
      <c r="W357" s="7">
        <f>IF($E357="","",IFERROR(INDEX('Data_SA'!$A:$LO,MATCH(U$2,'Data_SA'!$A:$A,0),MATCH($E357,'Data_SA'!$1:$1,0))/INDEX('Data_SA'!$A:$LO,MATCH(EDATE(U$2,-1),'Data_SA'!$A:$A,0),MATCH($E357,'Data_SA'!$1:$1,0))-1,""))</f>
        <v/>
      </c>
      <c r="X357" s="7">
        <f>IFERROR(INDEX('Data_NSA'!$A:$OK,MATCH(U$2,'Data_NSA'!$A:$A,0),MATCH($D357,'Data_NSA'!$1:$1,0))/INDEX('Data_NSA'!$A:$OK,MATCH(EDATE(U$2,-12),'Data_NSA'!$A:$A,0),MATCH($D357,'Data_NSA'!$1:$1,0))-1,"")</f>
        <v/>
      </c>
      <c r="Y357" s="10">
        <f>IFERROR(INDEX('Weights'!$G:$I,MATCH($A357,'Weights'!$A:$A,0),MATCH(U$2,'Weights'!$G$1:$I$1,0)),"")</f>
        <v/>
      </c>
      <c r="Z357" s="10">
        <f>IF($E357="","",IFERROR(100*(INDEX('Weights'!$D:$D,MATCH($A357,'Weights'!$A:$A,0))*(INDEX('Data_NSA'!$A:$OK,MATCH(EDATE(U$2,-1),'Data_NSA'!$A:$A,0),MATCH($D357,'Data_NSA'!$1:$1,0))/INDEX('Data_NSA'!$A:$OK,MATCH(INDEX('Weights'!$E:$E,MATCH($A357,'Weights'!$A:$A,0)),'Data_NSA'!$A:$A,0),MATCH($D357,'Data_NSA'!$1:$1,0))))/(100*(INDEX('Data_NSA'!$A:$OK,MATCH(EDATE(U$2,-1),'Data_NSA'!$A:$A,0),MATCH("CUUR0000SA0",'Data_NSA'!$1:$1,0))/INDEX('Data_NSA'!$A:$OK,MATCH(INDEX('Weights'!$E:$E,MATCH($A357,'Weights'!$A:$A,0)),'Data_NSA'!$A:$A,0),MATCH("CUUR0000SA0",'Data_NSA'!$1:$1,0))))*(INDEX('Data_SA'!$A:$LO,MATCH(U$2,'Data_SA'!$A:$A,0),MATCH($E357,'Data_SA'!$1:$1,0))/INDEX('Data_SA'!$A:$LO,MATCH(EDATE(U$2,-1),'Data_SA'!$A:$A,0),MATCH($E357,'Data_SA'!$1:$1,0))-1),""))</f>
        <v/>
      </c>
    </row>
    <row r="358">
      <c r="A358" s="3" t="inlineStr">
        <is>
          <t>SS33032</t>
        </is>
      </c>
      <c r="B358" s="3" t="inlineStr">
        <is>
          <t>Stationery, stationery supplies, gift wrap</t>
        </is>
      </c>
      <c r="C358" s="3" t="inlineStr">
        <is>
          <t>SEGE</t>
        </is>
      </c>
      <c r="D358" s="3" t="inlineStr">
        <is>
          <t>CUUR0000SS33032</t>
        </is>
      </c>
      <c r="E358" s="3" t="inlineStr">
        <is>
          <t>CUSR0000SS33032</t>
        </is>
      </c>
      <c r="F358" s="3" t="inlineStr">
        <is>
          <t>GM</t>
        </is>
      </c>
      <c r="G358" s="3" t="inlineStr">
        <is>
          <t>monthly in New York/Los Angeles/Chicago; often bimonthly elsewhere</t>
        </is>
      </c>
      <c r="H358" s="10">
        <f>IFERROR(INDEX(Weights!$D:$D,MATCH($A358,Weights!$A:$A,0)),"")</f>
        <v/>
      </c>
      <c r="I358" s="10">
        <f>IFERROR(INDEX('Data_NSA'!$A:$OK,MATCH(I$2,'Data_NSA'!$A:$A,0),MATCH($D358,'Data_NSA'!$1:$1,0)),"")</f>
        <v/>
      </c>
      <c r="J358" s="10">
        <f>IF($E358="","",IFERROR(INDEX('Data_SA'!$A:$LO,MATCH(I$2,'Data_SA'!$A:$A,0),MATCH($E358,'Data_SA'!$1:$1,0)),""))</f>
        <v/>
      </c>
      <c r="K358" s="7">
        <f>IF($E358="","",IFERROR(INDEX('Data_SA'!$A:$LO,MATCH(I$2,'Data_SA'!$A:$A,0),MATCH($E358,'Data_SA'!$1:$1,0))/INDEX('Data_SA'!$A:$LO,MATCH(EDATE(I$2,-1),'Data_SA'!$A:$A,0),MATCH($E358,'Data_SA'!$1:$1,0))-1,""))</f>
        <v/>
      </c>
      <c r="L358" s="7">
        <f>IFERROR(INDEX('Data_NSA'!$A:$OK,MATCH(I$2,'Data_NSA'!$A:$A,0),MATCH($D358,'Data_NSA'!$1:$1,0))/INDEX('Data_NSA'!$A:$OK,MATCH(EDATE(I$2,-12),'Data_NSA'!$A:$A,0),MATCH($D358,'Data_NSA'!$1:$1,0))-1,"")</f>
        <v/>
      </c>
      <c r="M358" s="10">
        <f>IFERROR(INDEX('Weights'!$G:$I,MATCH($A358,'Weights'!$A:$A,0),MATCH(I$2,'Weights'!$G$1:$I$1,0)),"")</f>
        <v/>
      </c>
      <c r="N358" s="10">
        <f>IF($E358="","",IFERROR(100*(INDEX('Weights'!$D:$D,MATCH($A358,'Weights'!$A:$A,0))*(INDEX('Data_NSA'!$A:$OK,MATCH(EDATE(I$2,-1),'Data_NSA'!$A:$A,0),MATCH($D358,'Data_NSA'!$1:$1,0))/INDEX('Data_NSA'!$A:$OK,MATCH(INDEX('Weights'!$E:$E,MATCH($A358,'Weights'!$A:$A,0)),'Data_NSA'!$A:$A,0),MATCH($D358,'Data_NSA'!$1:$1,0))))/(100*(INDEX('Data_NSA'!$A:$OK,MATCH(EDATE(I$2,-1),'Data_NSA'!$A:$A,0),MATCH("CUUR0000SA0",'Data_NSA'!$1:$1,0))/INDEX('Data_NSA'!$A:$OK,MATCH(INDEX('Weights'!$E:$E,MATCH($A358,'Weights'!$A:$A,0)),'Data_NSA'!$A:$A,0),MATCH("CUUR0000SA0",'Data_NSA'!$1:$1,0))))*(INDEX('Data_SA'!$A:$LO,MATCH(I$2,'Data_SA'!$A:$A,0),MATCH($E358,'Data_SA'!$1:$1,0))/INDEX('Data_SA'!$A:$LO,MATCH(EDATE(I$2,-1),'Data_SA'!$A:$A,0),MATCH($E358,'Data_SA'!$1:$1,0))-1),""))</f>
        <v/>
      </c>
      <c r="O358" s="10">
        <f>IFERROR(INDEX('Data_NSA'!$A:$OK,MATCH(O$2,'Data_NSA'!$A:$A,0),MATCH($D358,'Data_NSA'!$1:$1,0)),"")</f>
        <v/>
      </c>
      <c r="P358" s="10">
        <f>IF($E358="","",IFERROR(INDEX('Data_SA'!$A:$LO,MATCH(O$2,'Data_SA'!$A:$A,0),MATCH($E358,'Data_SA'!$1:$1,0)),""))</f>
        <v/>
      </c>
      <c r="Q358" s="7">
        <f>IF($E358="","",IFERROR(INDEX('Data_SA'!$A:$LO,MATCH(O$2,'Data_SA'!$A:$A,0),MATCH($E358,'Data_SA'!$1:$1,0))/INDEX('Data_SA'!$A:$LO,MATCH(EDATE(O$2,-1),'Data_SA'!$A:$A,0),MATCH($E358,'Data_SA'!$1:$1,0))-1,""))</f>
        <v/>
      </c>
      <c r="R358" s="7">
        <f>IFERROR(INDEX('Data_NSA'!$A:$OK,MATCH(O$2,'Data_NSA'!$A:$A,0),MATCH($D358,'Data_NSA'!$1:$1,0))/INDEX('Data_NSA'!$A:$OK,MATCH(EDATE(O$2,-12),'Data_NSA'!$A:$A,0),MATCH($D358,'Data_NSA'!$1:$1,0))-1,"")</f>
        <v/>
      </c>
      <c r="S358" s="10">
        <f>IFERROR(INDEX('Weights'!$G:$I,MATCH($A358,'Weights'!$A:$A,0),MATCH(O$2,'Weights'!$G$1:$I$1,0)),"")</f>
        <v/>
      </c>
      <c r="T358" s="10">
        <f>IF($E358="","",IFERROR(100*(INDEX('Weights'!$D:$D,MATCH($A358,'Weights'!$A:$A,0))*(INDEX('Data_NSA'!$A:$OK,MATCH(EDATE(O$2,-1),'Data_NSA'!$A:$A,0),MATCH($D358,'Data_NSA'!$1:$1,0))/INDEX('Data_NSA'!$A:$OK,MATCH(INDEX('Weights'!$E:$E,MATCH($A358,'Weights'!$A:$A,0)),'Data_NSA'!$A:$A,0),MATCH($D358,'Data_NSA'!$1:$1,0))))/(100*(INDEX('Data_NSA'!$A:$OK,MATCH(EDATE(O$2,-1),'Data_NSA'!$A:$A,0),MATCH("CUUR0000SA0",'Data_NSA'!$1:$1,0))/INDEX('Data_NSA'!$A:$OK,MATCH(INDEX('Weights'!$E:$E,MATCH($A358,'Weights'!$A:$A,0)),'Data_NSA'!$A:$A,0),MATCH("CUUR0000SA0",'Data_NSA'!$1:$1,0))))*(INDEX('Data_SA'!$A:$LO,MATCH(O$2,'Data_SA'!$A:$A,0),MATCH($E358,'Data_SA'!$1:$1,0))/INDEX('Data_SA'!$A:$LO,MATCH(EDATE(O$2,-1),'Data_SA'!$A:$A,0),MATCH($E358,'Data_SA'!$1:$1,0))-1),""))</f>
        <v/>
      </c>
      <c r="U358" s="10">
        <f>IFERROR(INDEX('Data_NSA'!$A:$OK,MATCH(U$2,'Data_NSA'!$A:$A,0),MATCH($D358,'Data_NSA'!$1:$1,0)),"")</f>
        <v/>
      </c>
      <c r="V358" s="10">
        <f>IF($E358="","",IFERROR(INDEX('Data_SA'!$A:$LO,MATCH(U$2,'Data_SA'!$A:$A,0),MATCH($E358,'Data_SA'!$1:$1,0)),""))</f>
        <v/>
      </c>
      <c r="W358" s="7">
        <f>IF($E358="","",IFERROR(INDEX('Data_SA'!$A:$LO,MATCH(U$2,'Data_SA'!$A:$A,0),MATCH($E358,'Data_SA'!$1:$1,0))/INDEX('Data_SA'!$A:$LO,MATCH(EDATE(U$2,-1),'Data_SA'!$A:$A,0),MATCH($E358,'Data_SA'!$1:$1,0))-1,""))</f>
        <v/>
      </c>
      <c r="X358" s="7">
        <f>IFERROR(INDEX('Data_NSA'!$A:$OK,MATCH(U$2,'Data_NSA'!$A:$A,0),MATCH($D358,'Data_NSA'!$1:$1,0))/INDEX('Data_NSA'!$A:$OK,MATCH(EDATE(U$2,-12),'Data_NSA'!$A:$A,0),MATCH($D358,'Data_NSA'!$1:$1,0))-1,"")</f>
        <v/>
      </c>
      <c r="Y358" s="10">
        <f>IFERROR(INDEX('Weights'!$G:$I,MATCH($A358,'Weights'!$A:$A,0),MATCH(U$2,'Weights'!$G$1:$I$1,0)),"")</f>
        <v/>
      </c>
      <c r="Z358" s="10">
        <f>IF($E358="","",IFERROR(100*(INDEX('Weights'!$D:$D,MATCH($A358,'Weights'!$A:$A,0))*(INDEX('Data_NSA'!$A:$OK,MATCH(EDATE(U$2,-1),'Data_NSA'!$A:$A,0),MATCH($D358,'Data_NSA'!$1:$1,0))/INDEX('Data_NSA'!$A:$OK,MATCH(INDEX('Weights'!$E:$E,MATCH($A358,'Weights'!$A:$A,0)),'Data_NSA'!$A:$A,0),MATCH($D358,'Data_NSA'!$1:$1,0))))/(100*(INDEX('Data_NSA'!$A:$OK,MATCH(EDATE(U$2,-1),'Data_NSA'!$A:$A,0),MATCH("CUUR0000SA0",'Data_NSA'!$1:$1,0))/INDEX('Data_NSA'!$A:$OK,MATCH(INDEX('Weights'!$E:$E,MATCH($A358,'Weights'!$A:$A,0)),'Data_NSA'!$A:$A,0),MATCH("CUUR0000SA0",'Data_NSA'!$1:$1,0))))*(INDEX('Data_SA'!$A:$LO,MATCH(U$2,'Data_SA'!$A:$A,0),MATCH($E358,'Data_SA'!$1:$1,0))/INDEX('Data_SA'!$A:$LO,MATCH(EDATE(U$2,-1),'Data_SA'!$A:$A,0),MATCH($E358,'Data_SA'!$1:$1,0))-1),""))</f>
        <v/>
      </c>
    </row>
    <row r="359">
      <c r="A359" s="3" t="inlineStr">
        <is>
          <t>SSGE013</t>
        </is>
      </c>
      <c r="B359" s="3" t="inlineStr">
        <is>
          <t>Infants' equipment</t>
        </is>
      </c>
      <c r="C359" s="3" t="inlineStr">
        <is>
          <t>SEGE</t>
        </is>
      </c>
      <c r="D359" s="3" t="inlineStr">
        <is>
          <t>CUUR0000SSGE013</t>
        </is>
      </c>
      <c r="E359" s="3" t="inlineStr"/>
      <c r="F359" s="3" t="inlineStr">
        <is>
          <t>GM</t>
        </is>
      </c>
      <c r="G359" s="3" t="inlineStr">
        <is>
          <t>monthly in New York/Los Angeles/Chicago; often bimonthly elsewhere</t>
        </is>
      </c>
      <c r="H359" s="10">
        <f>IFERROR(INDEX(Weights!$D:$D,MATCH($A359,Weights!$A:$A,0)),"")</f>
        <v/>
      </c>
      <c r="I359" s="10">
        <f>IFERROR(INDEX('Data_NSA'!$A:$OK,MATCH(I$2,'Data_NSA'!$A:$A,0),MATCH($D359,'Data_NSA'!$1:$1,0)),"")</f>
        <v/>
      </c>
      <c r="J359" s="10">
        <f>IF($E359="","",IFERROR(INDEX('Data_SA'!$A:$LO,MATCH(I$2,'Data_SA'!$A:$A,0),MATCH($E359,'Data_SA'!$1:$1,0)),""))</f>
        <v/>
      </c>
      <c r="K359" s="7">
        <f>IF($E359="","",IFERROR(INDEX('Data_SA'!$A:$LO,MATCH(I$2,'Data_SA'!$A:$A,0),MATCH($E359,'Data_SA'!$1:$1,0))/INDEX('Data_SA'!$A:$LO,MATCH(EDATE(I$2,-1),'Data_SA'!$A:$A,0),MATCH($E359,'Data_SA'!$1:$1,0))-1,""))</f>
        <v/>
      </c>
      <c r="L359" s="7">
        <f>IFERROR(INDEX('Data_NSA'!$A:$OK,MATCH(I$2,'Data_NSA'!$A:$A,0),MATCH($D359,'Data_NSA'!$1:$1,0))/INDEX('Data_NSA'!$A:$OK,MATCH(EDATE(I$2,-12),'Data_NSA'!$A:$A,0),MATCH($D359,'Data_NSA'!$1:$1,0))-1,"")</f>
        <v/>
      </c>
      <c r="M359" s="10">
        <f>IFERROR(INDEX('Weights'!$G:$I,MATCH($A359,'Weights'!$A:$A,0),MATCH(I$2,'Weights'!$G$1:$I$1,0)),"")</f>
        <v/>
      </c>
      <c r="N359" s="10">
        <f>IF($E359="","",IFERROR(100*(INDEX('Weights'!$D:$D,MATCH($A359,'Weights'!$A:$A,0))*(INDEX('Data_NSA'!$A:$OK,MATCH(EDATE(I$2,-1),'Data_NSA'!$A:$A,0),MATCH($D359,'Data_NSA'!$1:$1,0))/INDEX('Data_NSA'!$A:$OK,MATCH(INDEX('Weights'!$E:$E,MATCH($A359,'Weights'!$A:$A,0)),'Data_NSA'!$A:$A,0),MATCH($D359,'Data_NSA'!$1:$1,0))))/(100*(INDEX('Data_NSA'!$A:$OK,MATCH(EDATE(I$2,-1),'Data_NSA'!$A:$A,0),MATCH("CUUR0000SA0",'Data_NSA'!$1:$1,0))/INDEX('Data_NSA'!$A:$OK,MATCH(INDEX('Weights'!$E:$E,MATCH($A359,'Weights'!$A:$A,0)),'Data_NSA'!$A:$A,0),MATCH("CUUR0000SA0",'Data_NSA'!$1:$1,0))))*(INDEX('Data_SA'!$A:$LO,MATCH(I$2,'Data_SA'!$A:$A,0),MATCH($E359,'Data_SA'!$1:$1,0))/INDEX('Data_SA'!$A:$LO,MATCH(EDATE(I$2,-1),'Data_SA'!$A:$A,0),MATCH($E359,'Data_SA'!$1:$1,0))-1),""))</f>
        <v/>
      </c>
      <c r="O359" s="10">
        <f>IFERROR(INDEX('Data_NSA'!$A:$OK,MATCH(O$2,'Data_NSA'!$A:$A,0),MATCH($D359,'Data_NSA'!$1:$1,0)),"")</f>
        <v/>
      </c>
      <c r="P359" s="10">
        <f>IF($E359="","",IFERROR(INDEX('Data_SA'!$A:$LO,MATCH(O$2,'Data_SA'!$A:$A,0),MATCH($E359,'Data_SA'!$1:$1,0)),""))</f>
        <v/>
      </c>
      <c r="Q359" s="7">
        <f>IF($E359="","",IFERROR(INDEX('Data_SA'!$A:$LO,MATCH(O$2,'Data_SA'!$A:$A,0),MATCH($E359,'Data_SA'!$1:$1,0))/INDEX('Data_SA'!$A:$LO,MATCH(EDATE(O$2,-1),'Data_SA'!$A:$A,0),MATCH($E359,'Data_SA'!$1:$1,0))-1,""))</f>
        <v/>
      </c>
      <c r="R359" s="7">
        <f>IFERROR(INDEX('Data_NSA'!$A:$OK,MATCH(O$2,'Data_NSA'!$A:$A,0),MATCH($D359,'Data_NSA'!$1:$1,0))/INDEX('Data_NSA'!$A:$OK,MATCH(EDATE(O$2,-12),'Data_NSA'!$A:$A,0),MATCH($D359,'Data_NSA'!$1:$1,0))-1,"")</f>
        <v/>
      </c>
      <c r="S359" s="10">
        <f>IFERROR(INDEX('Weights'!$G:$I,MATCH($A359,'Weights'!$A:$A,0),MATCH(O$2,'Weights'!$G$1:$I$1,0)),"")</f>
        <v/>
      </c>
      <c r="T359" s="10">
        <f>IF($E359="","",IFERROR(100*(INDEX('Weights'!$D:$D,MATCH($A359,'Weights'!$A:$A,0))*(INDEX('Data_NSA'!$A:$OK,MATCH(EDATE(O$2,-1),'Data_NSA'!$A:$A,0),MATCH($D359,'Data_NSA'!$1:$1,0))/INDEX('Data_NSA'!$A:$OK,MATCH(INDEX('Weights'!$E:$E,MATCH($A359,'Weights'!$A:$A,0)),'Data_NSA'!$A:$A,0),MATCH($D359,'Data_NSA'!$1:$1,0))))/(100*(INDEX('Data_NSA'!$A:$OK,MATCH(EDATE(O$2,-1),'Data_NSA'!$A:$A,0),MATCH("CUUR0000SA0",'Data_NSA'!$1:$1,0))/INDEX('Data_NSA'!$A:$OK,MATCH(INDEX('Weights'!$E:$E,MATCH($A359,'Weights'!$A:$A,0)),'Data_NSA'!$A:$A,0),MATCH("CUUR0000SA0",'Data_NSA'!$1:$1,0))))*(INDEX('Data_SA'!$A:$LO,MATCH(O$2,'Data_SA'!$A:$A,0),MATCH($E359,'Data_SA'!$1:$1,0))/INDEX('Data_SA'!$A:$LO,MATCH(EDATE(O$2,-1),'Data_SA'!$A:$A,0),MATCH($E359,'Data_SA'!$1:$1,0))-1),""))</f>
        <v/>
      </c>
      <c r="U359" s="10">
        <f>IFERROR(INDEX('Data_NSA'!$A:$OK,MATCH(U$2,'Data_NSA'!$A:$A,0),MATCH($D359,'Data_NSA'!$1:$1,0)),"")</f>
        <v/>
      </c>
      <c r="V359" s="10">
        <f>IF($E359="","",IFERROR(INDEX('Data_SA'!$A:$LO,MATCH(U$2,'Data_SA'!$A:$A,0),MATCH($E359,'Data_SA'!$1:$1,0)),""))</f>
        <v/>
      </c>
      <c r="W359" s="7">
        <f>IF($E359="","",IFERROR(INDEX('Data_SA'!$A:$LO,MATCH(U$2,'Data_SA'!$A:$A,0),MATCH($E359,'Data_SA'!$1:$1,0))/INDEX('Data_SA'!$A:$LO,MATCH(EDATE(U$2,-1),'Data_SA'!$A:$A,0),MATCH($E359,'Data_SA'!$1:$1,0))-1,""))</f>
        <v/>
      </c>
      <c r="X359" s="7">
        <f>IFERROR(INDEX('Data_NSA'!$A:$OK,MATCH(U$2,'Data_NSA'!$A:$A,0),MATCH($D359,'Data_NSA'!$1:$1,0))/INDEX('Data_NSA'!$A:$OK,MATCH(EDATE(U$2,-12),'Data_NSA'!$A:$A,0),MATCH($D359,'Data_NSA'!$1:$1,0))-1,"")</f>
        <v/>
      </c>
      <c r="Y359" s="10">
        <f>IFERROR(INDEX('Weights'!$G:$I,MATCH($A359,'Weights'!$A:$A,0),MATCH(U$2,'Weights'!$G$1:$I$1,0)),"")</f>
        <v/>
      </c>
      <c r="Z359" s="10">
        <f>IF($E359="","",IFERROR(100*(INDEX('Weights'!$D:$D,MATCH($A359,'Weights'!$A:$A,0))*(INDEX('Data_NSA'!$A:$OK,MATCH(EDATE(U$2,-1),'Data_NSA'!$A:$A,0),MATCH($D359,'Data_NSA'!$1:$1,0))/INDEX('Data_NSA'!$A:$OK,MATCH(INDEX('Weights'!$E:$E,MATCH($A359,'Weights'!$A:$A,0)),'Data_NSA'!$A:$A,0),MATCH($D359,'Data_NSA'!$1:$1,0))))/(100*(INDEX('Data_NSA'!$A:$OK,MATCH(EDATE(U$2,-1),'Data_NSA'!$A:$A,0),MATCH("CUUR0000SA0",'Data_NSA'!$1:$1,0))/INDEX('Data_NSA'!$A:$OK,MATCH(INDEX('Weights'!$E:$E,MATCH($A359,'Weights'!$A:$A,0)),'Data_NSA'!$A:$A,0),MATCH("CUUR0000SA0",'Data_NSA'!$1:$1,0))))*(INDEX('Data_SA'!$A:$LO,MATCH(U$2,'Data_SA'!$A:$A,0),MATCH($E359,'Data_SA'!$1:$1,0))/INDEX('Data_SA'!$A:$LO,MATCH(EDATE(U$2,-1),'Data_SA'!$A:$A,0),MATCH($E359,'Data_SA'!$1:$1,0))-1),""))</f>
        <v/>
      </c>
    </row>
    <row r="360">
      <c r="A360" s="3" t="inlineStr">
        <is>
          <t>SA0L5</t>
        </is>
      </c>
      <c r="B360" s="3" t="inlineStr">
        <is>
          <t>All items less medical care</t>
        </is>
      </c>
      <c r="C360" s="3" t="inlineStr">
        <is>
          <t>SAG</t>
        </is>
      </c>
      <c r="D360" s="3" t="inlineStr">
        <is>
          <t>CUUR0000SA0L5</t>
        </is>
      </c>
      <c r="E360" s="3" t="inlineStr">
        <is>
          <t>CUSR0000SA0L5</t>
        </is>
      </c>
      <c r="F360" s="3" t="inlineStr">
        <is>
          <t>aggregate</t>
        </is>
      </c>
      <c r="G360" s="3" t="inlineStr">
        <is>
          <t>aggregate</t>
        </is>
      </c>
      <c r="H360" s="10">
        <f>IFERROR(INDEX(Weights!$D:$D,MATCH($A360,Weights!$A:$A,0)),"")</f>
        <v/>
      </c>
      <c r="I360" s="10">
        <f>IFERROR(INDEX('Data_NSA'!$A:$OK,MATCH(I$2,'Data_NSA'!$A:$A,0),MATCH($D360,'Data_NSA'!$1:$1,0)),"")</f>
        <v/>
      </c>
      <c r="J360" s="10">
        <f>IF($E360="","",IFERROR(INDEX('Data_SA'!$A:$LO,MATCH(I$2,'Data_SA'!$A:$A,0),MATCH($E360,'Data_SA'!$1:$1,0)),""))</f>
        <v/>
      </c>
      <c r="K360" s="7">
        <f>IF($E360="","",IFERROR(INDEX('Data_SA'!$A:$LO,MATCH(I$2,'Data_SA'!$A:$A,0),MATCH($E360,'Data_SA'!$1:$1,0))/INDEX('Data_SA'!$A:$LO,MATCH(EDATE(I$2,-1),'Data_SA'!$A:$A,0),MATCH($E360,'Data_SA'!$1:$1,0))-1,""))</f>
        <v/>
      </c>
      <c r="L360" s="7">
        <f>IFERROR(INDEX('Data_NSA'!$A:$OK,MATCH(I$2,'Data_NSA'!$A:$A,0),MATCH($D360,'Data_NSA'!$1:$1,0))/INDEX('Data_NSA'!$A:$OK,MATCH(EDATE(I$2,-12),'Data_NSA'!$A:$A,0),MATCH($D360,'Data_NSA'!$1:$1,0))-1,"")</f>
        <v/>
      </c>
      <c r="M360" s="10">
        <f>IFERROR(INDEX('Weights'!$G:$I,MATCH($A360,'Weights'!$A:$A,0),MATCH(I$2,'Weights'!$G$1:$I$1,0)),"")</f>
        <v/>
      </c>
      <c r="N360" s="10">
        <f>IF($E360="","",IFERROR(100*(INDEX('Weights'!$D:$D,MATCH($A360,'Weights'!$A:$A,0))*(INDEX('Data_NSA'!$A:$OK,MATCH(EDATE(I$2,-1),'Data_NSA'!$A:$A,0),MATCH($D360,'Data_NSA'!$1:$1,0))/INDEX('Data_NSA'!$A:$OK,MATCH(INDEX('Weights'!$E:$E,MATCH($A360,'Weights'!$A:$A,0)),'Data_NSA'!$A:$A,0),MATCH($D360,'Data_NSA'!$1:$1,0))))/(100*(INDEX('Data_NSA'!$A:$OK,MATCH(EDATE(I$2,-1),'Data_NSA'!$A:$A,0),MATCH("CUUR0000SA0",'Data_NSA'!$1:$1,0))/INDEX('Data_NSA'!$A:$OK,MATCH(INDEX('Weights'!$E:$E,MATCH($A360,'Weights'!$A:$A,0)),'Data_NSA'!$A:$A,0),MATCH("CUUR0000SA0",'Data_NSA'!$1:$1,0))))*(INDEX('Data_SA'!$A:$LO,MATCH(I$2,'Data_SA'!$A:$A,0),MATCH($E360,'Data_SA'!$1:$1,0))/INDEX('Data_SA'!$A:$LO,MATCH(EDATE(I$2,-1),'Data_SA'!$A:$A,0),MATCH($E360,'Data_SA'!$1:$1,0))-1),""))</f>
        <v/>
      </c>
      <c r="O360" s="10">
        <f>IFERROR(INDEX('Data_NSA'!$A:$OK,MATCH(O$2,'Data_NSA'!$A:$A,0),MATCH($D360,'Data_NSA'!$1:$1,0)),"")</f>
        <v/>
      </c>
      <c r="P360" s="10">
        <f>IF($E360="","",IFERROR(INDEX('Data_SA'!$A:$LO,MATCH(O$2,'Data_SA'!$A:$A,0),MATCH($E360,'Data_SA'!$1:$1,0)),""))</f>
        <v/>
      </c>
      <c r="Q360" s="7">
        <f>IF($E360="","",IFERROR(INDEX('Data_SA'!$A:$LO,MATCH(O$2,'Data_SA'!$A:$A,0),MATCH($E360,'Data_SA'!$1:$1,0))/INDEX('Data_SA'!$A:$LO,MATCH(EDATE(O$2,-1),'Data_SA'!$A:$A,0),MATCH($E360,'Data_SA'!$1:$1,0))-1,""))</f>
        <v/>
      </c>
      <c r="R360" s="7">
        <f>IFERROR(INDEX('Data_NSA'!$A:$OK,MATCH(O$2,'Data_NSA'!$A:$A,0),MATCH($D360,'Data_NSA'!$1:$1,0))/INDEX('Data_NSA'!$A:$OK,MATCH(EDATE(O$2,-12),'Data_NSA'!$A:$A,0),MATCH($D360,'Data_NSA'!$1:$1,0))-1,"")</f>
        <v/>
      </c>
      <c r="S360" s="10">
        <f>IFERROR(INDEX('Weights'!$G:$I,MATCH($A360,'Weights'!$A:$A,0),MATCH(O$2,'Weights'!$G$1:$I$1,0)),"")</f>
        <v/>
      </c>
      <c r="T360" s="10">
        <f>IF($E360="","",IFERROR(100*(INDEX('Weights'!$D:$D,MATCH($A360,'Weights'!$A:$A,0))*(INDEX('Data_NSA'!$A:$OK,MATCH(EDATE(O$2,-1),'Data_NSA'!$A:$A,0),MATCH($D360,'Data_NSA'!$1:$1,0))/INDEX('Data_NSA'!$A:$OK,MATCH(INDEX('Weights'!$E:$E,MATCH($A360,'Weights'!$A:$A,0)),'Data_NSA'!$A:$A,0),MATCH($D360,'Data_NSA'!$1:$1,0))))/(100*(INDEX('Data_NSA'!$A:$OK,MATCH(EDATE(O$2,-1),'Data_NSA'!$A:$A,0),MATCH("CUUR0000SA0",'Data_NSA'!$1:$1,0))/INDEX('Data_NSA'!$A:$OK,MATCH(INDEX('Weights'!$E:$E,MATCH($A360,'Weights'!$A:$A,0)),'Data_NSA'!$A:$A,0),MATCH("CUUR0000SA0",'Data_NSA'!$1:$1,0))))*(INDEX('Data_SA'!$A:$LO,MATCH(O$2,'Data_SA'!$A:$A,0),MATCH($E360,'Data_SA'!$1:$1,0))/INDEX('Data_SA'!$A:$LO,MATCH(EDATE(O$2,-1),'Data_SA'!$A:$A,0),MATCH($E360,'Data_SA'!$1:$1,0))-1),""))</f>
        <v/>
      </c>
      <c r="U360" s="10">
        <f>IFERROR(INDEX('Data_NSA'!$A:$OK,MATCH(U$2,'Data_NSA'!$A:$A,0),MATCH($D360,'Data_NSA'!$1:$1,0)),"")</f>
        <v/>
      </c>
      <c r="V360" s="10">
        <f>IF($E360="","",IFERROR(INDEX('Data_SA'!$A:$LO,MATCH(U$2,'Data_SA'!$A:$A,0),MATCH($E360,'Data_SA'!$1:$1,0)),""))</f>
        <v/>
      </c>
      <c r="W360" s="7">
        <f>IF($E360="","",IFERROR(INDEX('Data_SA'!$A:$LO,MATCH(U$2,'Data_SA'!$A:$A,0),MATCH($E360,'Data_SA'!$1:$1,0))/INDEX('Data_SA'!$A:$LO,MATCH(EDATE(U$2,-1),'Data_SA'!$A:$A,0),MATCH($E360,'Data_SA'!$1:$1,0))-1,""))</f>
        <v/>
      </c>
      <c r="X360" s="7">
        <f>IFERROR(INDEX('Data_NSA'!$A:$OK,MATCH(U$2,'Data_NSA'!$A:$A,0),MATCH($D360,'Data_NSA'!$1:$1,0))/INDEX('Data_NSA'!$A:$OK,MATCH(EDATE(U$2,-12),'Data_NSA'!$A:$A,0),MATCH($D360,'Data_NSA'!$1:$1,0))-1,"")</f>
        <v/>
      </c>
      <c r="Y360" s="10">
        <f>IFERROR(INDEX('Weights'!$G:$I,MATCH($A360,'Weights'!$A:$A,0),MATCH(U$2,'Weights'!$G$1:$I$1,0)),"")</f>
        <v/>
      </c>
      <c r="Z360" s="10">
        <f>IF($E360="","",IFERROR(100*(INDEX('Weights'!$D:$D,MATCH($A360,'Weights'!$A:$A,0))*(INDEX('Data_NSA'!$A:$OK,MATCH(EDATE(U$2,-1),'Data_NSA'!$A:$A,0),MATCH($D360,'Data_NSA'!$1:$1,0))/INDEX('Data_NSA'!$A:$OK,MATCH(INDEX('Weights'!$E:$E,MATCH($A360,'Weights'!$A:$A,0)),'Data_NSA'!$A:$A,0),MATCH($D360,'Data_NSA'!$1:$1,0))))/(100*(INDEX('Data_NSA'!$A:$OK,MATCH(EDATE(U$2,-1),'Data_NSA'!$A:$A,0),MATCH("CUUR0000SA0",'Data_NSA'!$1:$1,0))/INDEX('Data_NSA'!$A:$OK,MATCH(INDEX('Weights'!$E:$E,MATCH($A360,'Weights'!$A:$A,0)),'Data_NSA'!$A:$A,0),MATCH("CUUR0000SA0",'Data_NSA'!$1:$1,0))))*(INDEX('Data_SA'!$A:$LO,MATCH(U$2,'Data_SA'!$A:$A,0),MATCH($E360,'Data_SA'!$1:$1,0))/INDEX('Data_SA'!$A:$LO,MATCH(EDATE(U$2,-1),'Data_SA'!$A:$A,0),MATCH($E360,'Data_SA'!$1:$1,0))-1),""))</f>
        <v/>
      </c>
    </row>
    <row r="361">
      <c r="A361" s="3" t="inlineStr">
        <is>
          <t>SA0LE</t>
        </is>
      </c>
      <c r="B361" s="3" t="inlineStr">
        <is>
          <t>All items less energy</t>
        </is>
      </c>
      <c r="C361" s="3" t="inlineStr">
        <is>
          <t>SAG</t>
        </is>
      </c>
      <c r="D361" s="3" t="inlineStr">
        <is>
          <t>CUUR0000SA0LE</t>
        </is>
      </c>
      <c r="E361" s="3" t="inlineStr">
        <is>
          <t>CUSR0000SA0LE</t>
        </is>
      </c>
      <c r="F361" s="3" t="inlineStr">
        <is>
          <t>aggregate</t>
        </is>
      </c>
      <c r="G361" s="3" t="inlineStr">
        <is>
          <t>aggregate</t>
        </is>
      </c>
      <c r="H361" s="10">
        <f>IFERROR(INDEX(Weights!$D:$D,MATCH($A361,Weights!$A:$A,0)),"")</f>
        <v/>
      </c>
      <c r="I361" s="10">
        <f>IFERROR(INDEX('Data_NSA'!$A:$OK,MATCH(I$2,'Data_NSA'!$A:$A,0),MATCH($D361,'Data_NSA'!$1:$1,0)),"")</f>
        <v/>
      </c>
      <c r="J361" s="10">
        <f>IF($E361="","",IFERROR(INDEX('Data_SA'!$A:$LO,MATCH(I$2,'Data_SA'!$A:$A,0),MATCH($E361,'Data_SA'!$1:$1,0)),""))</f>
        <v/>
      </c>
      <c r="K361" s="7">
        <f>IF($E361="","",IFERROR(INDEX('Data_SA'!$A:$LO,MATCH(I$2,'Data_SA'!$A:$A,0),MATCH($E361,'Data_SA'!$1:$1,0))/INDEX('Data_SA'!$A:$LO,MATCH(EDATE(I$2,-1),'Data_SA'!$A:$A,0),MATCH($E361,'Data_SA'!$1:$1,0))-1,""))</f>
        <v/>
      </c>
      <c r="L361" s="7">
        <f>IFERROR(INDEX('Data_NSA'!$A:$OK,MATCH(I$2,'Data_NSA'!$A:$A,0),MATCH($D361,'Data_NSA'!$1:$1,0))/INDEX('Data_NSA'!$A:$OK,MATCH(EDATE(I$2,-12),'Data_NSA'!$A:$A,0),MATCH($D361,'Data_NSA'!$1:$1,0))-1,"")</f>
        <v/>
      </c>
      <c r="M361" s="10">
        <f>IFERROR(INDEX('Weights'!$G:$I,MATCH($A361,'Weights'!$A:$A,0),MATCH(I$2,'Weights'!$G$1:$I$1,0)),"")</f>
        <v/>
      </c>
      <c r="N361" s="10">
        <f>IF($E361="","",IFERROR(100*(INDEX('Weights'!$D:$D,MATCH($A361,'Weights'!$A:$A,0))*(INDEX('Data_NSA'!$A:$OK,MATCH(EDATE(I$2,-1),'Data_NSA'!$A:$A,0),MATCH($D361,'Data_NSA'!$1:$1,0))/INDEX('Data_NSA'!$A:$OK,MATCH(INDEX('Weights'!$E:$E,MATCH($A361,'Weights'!$A:$A,0)),'Data_NSA'!$A:$A,0),MATCH($D361,'Data_NSA'!$1:$1,0))))/(100*(INDEX('Data_NSA'!$A:$OK,MATCH(EDATE(I$2,-1),'Data_NSA'!$A:$A,0),MATCH("CUUR0000SA0",'Data_NSA'!$1:$1,0))/INDEX('Data_NSA'!$A:$OK,MATCH(INDEX('Weights'!$E:$E,MATCH($A361,'Weights'!$A:$A,0)),'Data_NSA'!$A:$A,0),MATCH("CUUR0000SA0",'Data_NSA'!$1:$1,0))))*(INDEX('Data_SA'!$A:$LO,MATCH(I$2,'Data_SA'!$A:$A,0),MATCH($E361,'Data_SA'!$1:$1,0))/INDEX('Data_SA'!$A:$LO,MATCH(EDATE(I$2,-1),'Data_SA'!$A:$A,0),MATCH($E361,'Data_SA'!$1:$1,0))-1),""))</f>
        <v/>
      </c>
      <c r="O361" s="10">
        <f>IFERROR(INDEX('Data_NSA'!$A:$OK,MATCH(O$2,'Data_NSA'!$A:$A,0),MATCH($D361,'Data_NSA'!$1:$1,0)),"")</f>
        <v/>
      </c>
      <c r="P361" s="10">
        <f>IF($E361="","",IFERROR(INDEX('Data_SA'!$A:$LO,MATCH(O$2,'Data_SA'!$A:$A,0),MATCH($E361,'Data_SA'!$1:$1,0)),""))</f>
        <v/>
      </c>
      <c r="Q361" s="7">
        <f>IF($E361="","",IFERROR(INDEX('Data_SA'!$A:$LO,MATCH(O$2,'Data_SA'!$A:$A,0),MATCH($E361,'Data_SA'!$1:$1,0))/INDEX('Data_SA'!$A:$LO,MATCH(EDATE(O$2,-1),'Data_SA'!$A:$A,0),MATCH($E361,'Data_SA'!$1:$1,0))-1,""))</f>
        <v/>
      </c>
      <c r="R361" s="7">
        <f>IFERROR(INDEX('Data_NSA'!$A:$OK,MATCH(O$2,'Data_NSA'!$A:$A,0),MATCH($D361,'Data_NSA'!$1:$1,0))/INDEX('Data_NSA'!$A:$OK,MATCH(EDATE(O$2,-12),'Data_NSA'!$A:$A,0),MATCH($D361,'Data_NSA'!$1:$1,0))-1,"")</f>
        <v/>
      </c>
      <c r="S361" s="10">
        <f>IFERROR(INDEX('Weights'!$G:$I,MATCH($A361,'Weights'!$A:$A,0),MATCH(O$2,'Weights'!$G$1:$I$1,0)),"")</f>
        <v/>
      </c>
      <c r="T361" s="10">
        <f>IF($E361="","",IFERROR(100*(INDEX('Weights'!$D:$D,MATCH($A361,'Weights'!$A:$A,0))*(INDEX('Data_NSA'!$A:$OK,MATCH(EDATE(O$2,-1),'Data_NSA'!$A:$A,0),MATCH($D361,'Data_NSA'!$1:$1,0))/INDEX('Data_NSA'!$A:$OK,MATCH(INDEX('Weights'!$E:$E,MATCH($A361,'Weights'!$A:$A,0)),'Data_NSA'!$A:$A,0),MATCH($D361,'Data_NSA'!$1:$1,0))))/(100*(INDEX('Data_NSA'!$A:$OK,MATCH(EDATE(O$2,-1),'Data_NSA'!$A:$A,0),MATCH("CUUR0000SA0",'Data_NSA'!$1:$1,0))/INDEX('Data_NSA'!$A:$OK,MATCH(INDEX('Weights'!$E:$E,MATCH($A361,'Weights'!$A:$A,0)),'Data_NSA'!$A:$A,0),MATCH("CUUR0000SA0",'Data_NSA'!$1:$1,0))))*(INDEX('Data_SA'!$A:$LO,MATCH(O$2,'Data_SA'!$A:$A,0),MATCH($E361,'Data_SA'!$1:$1,0))/INDEX('Data_SA'!$A:$LO,MATCH(EDATE(O$2,-1),'Data_SA'!$A:$A,0),MATCH($E361,'Data_SA'!$1:$1,0))-1),""))</f>
        <v/>
      </c>
      <c r="U361" s="10">
        <f>IFERROR(INDEX('Data_NSA'!$A:$OK,MATCH(U$2,'Data_NSA'!$A:$A,0),MATCH($D361,'Data_NSA'!$1:$1,0)),"")</f>
        <v/>
      </c>
      <c r="V361" s="10">
        <f>IF($E361="","",IFERROR(INDEX('Data_SA'!$A:$LO,MATCH(U$2,'Data_SA'!$A:$A,0),MATCH($E361,'Data_SA'!$1:$1,0)),""))</f>
        <v/>
      </c>
      <c r="W361" s="7">
        <f>IF($E361="","",IFERROR(INDEX('Data_SA'!$A:$LO,MATCH(U$2,'Data_SA'!$A:$A,0),MATCH($E361,'Data_SA'!$1:$1,0))/INDEX('Data_SA'!$A:$LO,MATCH(EDATE(U$2,-1),'Data_SA'!$A:$A,0),MATCH($E361,'Data_SA'!$1:$1,0))-1,""))</f>
        <v/>
      </c>
      <c r="X361" s="7">
        <f>IFERROR(INDEX('Data_NSA'!$A:$OK,MATCH(U$2,'Data_NSA'!$A:$A,0),MATCH($D361,'Data_NSA'!$1:$1,0))/INDEX('Data_NSA'!$A:$OK,MATCH(EDATE(U$2,-12),'Data_NSA'!$A:$A,0),MATCH($D361,'Data_NSA'!$1:$1,0))-1,"")</f>
        <v/>
      </c>
      <c r="Y361" s="10">
        <f>IFERROR(INDEX('Weights'!$G:$I,MATCH($A361,'Weights'!$A:$A,0),MATCH(U$2,'Weights'!$G$1:$I$1,0)),"")</f>
        <v/>
      </c>
      <c r="Z361" s="10">
        <f>IF($E361="","",IFERROR(100*(INDEX('Weights'!$D:$D,MATCH($A361,'Weights'!$A:$A,0))*(INDEX('Data_NSA'!$A:$OK,MATCH(EDATE(U$2,-1),'Data_NSA'!$A:$A,0),MATCH($D361,'Data_NSA'!$1:$1,0))/INDEX('Data_NSA'!$A:$OK,MATCH(INDEX('Weights'!$E:$E,MATCH($A361,'Weights'!$A:$A,0)),'Data_NSA'!$A:$A,0),MATCH($D361,'Data_NSA'!$1:$1,0))))/(100*(INDEX('Data_NSA'!$A:$OK,MATCH(EDATE(U$2,-1),'Data_NSA'!$A:$A,0),MATCH("CUUR0000SA0",'Data_NSA'!$1:$1,0))/INDEX('Data_NSA'!$A:$OK,MATCH(INDEX('Weights'!$E:$E,MATCH($A361,'Weights'!$A:$A,0)),'Data_NSA'!$A:$A,0),MATCH("CUUR0000SA0",'Data_NSA'!$1:$1,0))))*(INDEX('Data_SA'!$A:$LO,MATCH(U$2,'Data_SA'!$A:$A,0),MATCH($E361,'Data_SA'!$1:$1,0))/INDEX('Data_SA'!$A:$LO,MATCH(EDATE(U$2,-1),'Data_SA'!$A:$A,0),MATCH($E361,'Data_SA'!$1:$1,0))-1),""))</f>
        <v/>
      </c>
    </row>
    <row r="362">
      <c r="A362" s="3" t="inlineStr">
        <is>
          <t>SA0L1</t>
        </is>
      </c>
      <c r="B362" s="3" t="inlineStr">
        <is>
          <t>All items less food</t>
        </is>
      </c>
      <c r="C362" s="3" t="inlineStr">
        <is>
          <t>SAG</t>
        </is>
      </c>
      <c r="D362" s="3" t="inlineStr">
        <is>
          <t>CUUR0000SA0L1</t>
        </is>
      </c>
      <c r="E362" s="3" t="inlineStr">
        <is>
          <t>CUSR0000SA0L1</t>
        </is>
      </c>
      <c r="F362" s="3" t="inlineStr">
        <is>
          <t>aggregate</t>
        </is>
      </c>
      <c r="G362" s="3" t="inlineStr">
        <is>
          <t>aggregate</t>
        </is>
      </c>
      <c r="H362" s="10">
        <f>IFERROR(INDEX(Weights!$D:$D,MATCH($A362,Weights!$A:$A,0)),"")</f>
        <v/>
      </c>
      <c r="I362" s="10">
        <f>IFERROR(INDEX('Data_NSA'!$A:$OK,MATCH(I$2,'Data_NSA'!$A:$A,0),MATCH($D362,'Data_NSA'!$1:$1,0)),"")</f>
        <v/>
      </c>
      <c r="J362" s="10">
        <f>IF($E362="","",IFERROR(INDEX('Data_SA'!$A:$LO,MATCH(I$2,'Data_SA'!$A:$A,0),MATCH($E362,'Data_SA'!$1:$1,0)),""))</f>
        <v/>
      </c>
      <c r="K362" s="7">
        <f>IF($E362="","",IFERROR(INDEX('Data_SA'!$A:$LO,MATCH(I$2,'Data_SA'!$A:$A,0),MATCH($E362,'Data_SA'!$1:$1,0))/INDEX('Data_SA'!$A:$LO,MATCH(EDATE(I$2,-1),'Data_SA'!$A:$A,0),MATCH($E362,'Data_SA'!$1:$1,0))-1,""))</f>
        <v/>
      </c>
      <c r="L362" s="7">
        <f>IFERROR(INDEX('Data_NSA'!$A:$OK,MATCH(I$2,'Data_NSA'!$A:$A,0),MATCH($D362,'Data_NSA'!$1:$1,0))/INDEX('Data_NSA'!$A:$OK,MATCH(EDATE(I$2,-12),'Data_NSA'!$A:$A,0),MATCH($D362,'Data_NSA'!$1:$1,0))-1,"")</f>
        <v/>
      </c>
      <c r="M362" s="10">
        <f>IFERROR(INDEX('Weights'!$G:$I,MATCH($A362,'Weights'!$A:$A,0),MATCH(I$2,'Weights'!$G$1:$I$1,0)),"")</f>
        <v/>
      </c>
      <c r="N362" s="10">
        <f>IF($E362="","",IFERROR(100*(INDEX('Weights'!$D:$D,MATCH($A362,'Weights'!$A:$A,0))*(INDEX('Data_NSA'!$A:$OK,MATCH(EDATE(I$2,-1),'Data_NSA'!$A:$A,0),MATCH($D362,'Data_NSA'!$1:$1,0))/INDEX('Data_NSA'!$A:$OK,MATCH(INDEX('Weights'!$E:$E,MATCH($A362,'Weights'!$A:$A,0)),'Data_NSA'!$A:$A,0),MATCH($D362,'Data_NSA'!$1:$1,0))))/(100*(INDEX('Data_NSA'!$A:$OK,MATCH(EDATE(I$2,-1),'Data_NSA'!$A:$A,0),MATCH("CUUR0000SA0",'Data_NSA'!$1:$1,0))/INDEX('Data_NSA'!$A:$OK,MATCH(INDEX('Weights'!$E:$E,MATCH($A362,'Weights'!$A:$A,0)),'Data_NSA'!$A:$A,0),MATCH("CUUR0000SA0",'Data_NSA'!$1:$1,0))))*(INDEX('Data_SA'!$A:$LO,MATCH(I$2,'Data_SA'!$A:$A,0),MATCH($E362,'Data_SA'!$1:$1,0))/INDEX('Data_SA'!$A:$LO,MATCH(EDATE(I$2,-1),'Data_SA'!$A:$A,0),MATCH($E362,'Data_SA'!$1:$1,0))-1),""))</f>
        <v/>
      </c>
      <c r="O362" s="10">
        <f>IFERROR(INDEX('Data_NSA'!$A:$OK,MATCH(O$2,'Data_NSA'!$A:$A,0),MATCH($D362,'Data_NSA'!$1:$1,0)),"")</f>
        <v/>
      </c>
      <c r="P362" s="10">
        <f>IF($E362="","",IFERROR(INDEX('Data_SA'!$A:$LO,MATCH(O$2,'Data_SA'!$A:$A,0),MATCH($E362,'Data_SA'!$1:$1,0)),""))</f>
        <v/>
      </c>
      <c r="Q362" s="7">
        <f>IF($E362="","",IFERROR(INDEX('Data_SA'!$A:$LO,MATCH(O$2,'Data_SA'!$A:$A,0),MATCH($E362,'Data_SA'!$1:$1,0))/INDEX('Data_SA'!$A:$LO,MATCH(EDATE(O$2,-1),'Data_SA'!$A:$A,0),MATCH($E362,'Data_SA'!$1:$1,0))-1,""))</f>
        <v/>
      </c>
      <c r="R362" s="7">
        <f>IFERROR(INDEX('Data_NSA'!$A:$OK,MATCH(O$2,'Data_NSA'!$A:$A,0),MATCH($D362,'Data_NSA'!$1:$1,0))/INDEX('Data_NSA'!$A:$OK,MATCH(EDATE(O$2,-12),'Data_NSA'!$A:$A,0),MATCH($D362,'Data_NSA'!$1:$1,0))-1,"")</f>
        <v/>
      </c>
      <c r="S362" s="10">
        <f>IFERROR(INDEX('Weights'!$G:$I,MATCH($A362,'Weights'!$A:$A,0),MATCH(O$2,'Weights'!$G$1:$I$1,0)),"")</f>
        <v/>
      </c>
      <c r="T362" s="10">
        <f>IF($E362="","",IFERROR(100*(INDEX('Weights'!$D:$D,MATCH($A362,'Weights'!$A:$A,0))*(INDEX('Data_NSA'!$A:$OK,MATCH(EDATE(O$2,-1),'Data_NSA'!$A:$A,0),MATCH($D362,'Data_NSA'!$1:$1,0))/INDEX('Data_NSA'!$A:$OK,MATCH(INDEX('Weights'!$E:$E,MATCH($A362,'Weights'!$A:$A,0)),'Data_NSA'!$A:$A,0),MATCH($D362,'Data_NSA'!$1:$1,0))))/(100*(INDEX('Data_NSA'!$A:$OK,MATCH(EDATE(O$2,-1),'Data_NSA'!$A:$A,0),MATCH("CUUR0000SA0",'Data_NSA'!$1:$1,0))/INDEX('Data_NSA'!$A:$OK,MATCH(INDEX('Weights'!$E:$E,MATCH($A362,'Weights'!$A:$A,0)),'Data_NSA'!$A:$A,0),MATCH("CUUR0000SA0",'Data_NSA'!$1:$1,0))))*(INDEX('Data_SA'!$A:$LO,MATCH(O$2,'Data_SA'!$A:$A,0),MATCH($E362,'Data_SA'!$1:$1,0))/INDEX('Data_SA'!$A:$LO,MATCH(EDATE(O$2,-1),'Data_SA'!$A:$A,0),MATCH($E362,'Data_SA'!$1:$1,0))-1),""))</f>
        <v/>
      </c>
      <c r="U362" s="10">
        <f>IFERROR(INDEX('Data_NSA'!$A:$OK,MATCH(U$2,'Data_NSA'!$A:$A,0),MATCH($D362,'Data_NSA'!$1:$1,0)),"")</f>
        <v/>
      </c>
      <c r="V362" s="10">
        <f>IF($E362="","",IFERROR(INDEX('Data_SA'!$A:$LO,MATCH(U$2,'Data_SA'!$A:$A,0),MATCH($E362,'Data_SA'!$1:$1,0)),""))</f>
        <v/>
      </c>
      <c r="W362" s="7">
        <f>IF($E362="","",IFERROR(INDEX('Data_SA'!$A:$LO,MATCH(U$2,'Data_SA'!$A:$A,0),MATCH($E362,'Data_SA'!$1:$1,0))/INDEX('Data_SA'!$A:$LO,MATCH(EDATE(U$2,-1),'Data_SA'!$A:$A,0),MATCH($E362,'Data_SA'!$1:$1,0))-1,""))</f>
        <v/>
      </c>
      <c r="X362" s="7">
        <f>IFERROR(INDEX('Data_NSA'!$A:$OK,MATCH(U$2,'Data_NSA'!$A:$A,0),MATCH($D362,'Data_NSA'!$1:$1,0))/INDEX('Data_NSA'!$A:$OK,MATCH(EDATE(U$2,-12),'Data_NSA'!$A:$A,0),MATCH($D362,'Data_NSA'!$1:$1,0))-1,"")</f>
        <v/>
      </c>
      <c r="Y362" s="10">
        <f>IFERROR(INDEX('Weights'!$G:$I,MATCH($A362,'Weights'!$A:$A,0),MATCH(U$2,'Weights'!$G$1:$I$1,0)),"")</f>
        <v/>
      </c>
      <c r="Z362" s="10">
        <f>IF($E362="","",IFERROR(100*(INDEX('Weights'!$D:$D,MATCH($A362,'Weights'!$A:$A,0))*(INDEX('Data_NSA'!$A:$OK,MATCH(EDATE(U$2,-1),'Data_NSA'!$A:$A,0),MATCH($D362,'Data_NSA'!$1:$1,0))/INDEX('Data_NSA'!$A:$OK,MATCH(INDEX('Weights'!$E:$E,MATCH($A362,'Weights'!$A:$A,0)),'Data_NSA'!$A:$A,0),MATCH($D362,'Data_NSA'!$1:$1,0))))/(100*(INDEX('Data_NSA'!$A:$OK,MATCH(EDATE(U$2,-1),'Data_NSA'!$A:$A,0),MATCH("CUUR0000SA0",'Data_NSA'!$1:$1,0))/INDEX('Data_NSA'!$A:$OK,MATCH(INDEX('Weights'!$E:$E,MATCH($A362,'Weights'!$A:$A,0)),'Data_NSA'!$A:$A,0),MATCH("CUUR0000SA0",'Data_NSA'!$1:$1,0))))*(INDEX('Data_SA'!$A:$LO,MATCH(U$2,'Data_SA'!$A:$A,0),MATCH($E362,'Data_SA'!$1:$1,0))/INDEX('Data_SA'!$A:$LO,MATCH(EDATE(U$2,-1),'Data_SA'!$A:$A,0),MATCH($E362,'Data_SA'!$1:$1,0))-1),""))</f>
        <v/>
      </c>
    </row>
    <row r="363">
      <c r="A363" s="3" t="inlineStr">
        <is>
          <t>SA0L1E</t>
        </is>
      </c>
      <c r="B363" s="3" t="inlineStr">
        <is>
          <t>All items less food and energy</t>
        </is>
      </c>
      <c r="C363" s="3" t="inlineStr">
        <is>
          <t>SAG</t>
        </is>
      </c>
      <c r="D363" s="3" t="inlineStr">
        <is>
          <t>CUUR0000SA0L1E</t>
        </is>
      </c>
      <c r="E363" s="3" t="inlineStr">
        <is>
          <t>CUSR0000SA0L1E</t>
        </is>
      </c>
      <c r="F363" s="3" t="inlineStr">
        <is>
          <t>aggregate</t>
        </is>
      </c>
      <c r="G363" s="3" t="inlineStr">
        <is>
          <t>aggregate</t>
        </is>
      </c>
      <c r="H363" s="10">
        <f>IFERROR(INDEX(Weights!$D:$D,MATCH($A363,Weights!$A:$A,0)),"")</f>
        <v/>
      </c>
      <c r="I363" s="10">
        <f>IFERROR(INDEX('Data_NSA'!$A:$OK,MATCH(I$2,'Data_NSA'!$A:$A,0),MATCH($D363,'Data_NSA'!$1:$1,0)),"")</f>
        <v/>
      </c>
      <c r="J363" s="10">
        <f>IF($E363="","",IFERROR(INDEX('Data_SA'!$A:$LO,MATCH(I$2,'Data_SA'!$A:$A,0),MATCH($E363,'Data_SA'!$1:$1,0)),""))</f>
        <v/>
      </c>
      <c r="K363" s="7">
        <f>IF($E363="","",IFERROR(INDEX('Data_SA'!$A:$LO,MATCH(I$2,'Data_SA'!$A:$A,0),MATCH($E363,'Data_SA'!$1:$1,0))/INDEX('Data_SA'!$A:$LO,MATCH(EDATE(I$2,-1),'Data_SA'!$A:$A,0),MATCH($E363,'Data_SA'!$1:$1,0))-1,""))</f>
        <v/>
      </c>
      <c r="L363" s="7">
        <f>IFERROR(INDEX('Data_NSA'!$A:$OK,MATCH(I$2,'Data_NSA'!$A:$A,0),MATCH($D363,'Data_NSA'!$1:$1,0))/INDEX('Data_NSA'!$A:$OK,MATCH(EDATE(I$2,-12),'Data_NSA'!$A:$A,0),MATCH($D363,'Data_NSA'!$1:$1,0))-1,"")</f>
        <v/>
      </c>
      <c r="M363" s="10">
        <f>IFERROR(INDEX('Weights'!$G:$I,MATCH($A363,'Weights'!$A:$A,0),MATCH(I$2,'Weights'!$G$1:$I$1,0)),"")</f>
        <v/>
      </c>
      <c r="N363" s="10">
        <f>IF($E363="","",IFERROR(100*(INDEX('Weights'!$D:$D,MATCH($A363,'Weights'!$A:$A,0))*(INDEX('Data_NSA'!$A:$OK,MATCH(EDATE(I$2,-1),'Data_NSA'!$A:$A,0),MATCH($D363,'Data_NSA'!$1:$1,0))/INDEX('Data_NSA'!$A:$OK,MATCH(INDEX('Weights'!$E:$E,MATCH($A363,'Weights'!$A:$A,0)),'Data_NSA'!$A:$A,0),MATCH($D363,'Data_NSA'!$1:$1,0))))/(100*(INDEX('Data_NSA'!$A:$OK,MATCH(EDATE(I$2,-1),'Data_NSA'!$A:$A,0),MATCH("CUUR0000SA0",'Data_NSA'!$1:$1,0))/INDEX('Data_NSA'!$A:$OK,MATCH(INDEX('Weights'!$E:$E,MATCH($A363,'Weights'!$A:$A,0)),'Data_NSA'!$A:$A,0),MATCH("CUUR0000SA0",'Data_NSA'!$1:$1,0))))*(INDEX('Data_SA'!$A:$LO,MATCH(I$2,'Data_SA'!$A:$A,0),MATCH($E363,'Data_SA'!$1:$1,0))/INDEX('Data_SA'!$A:$LO,MATCH(EDATE(I$2,-1),'Data_SA'!$A:$A,0),MATCH($E363,'Data_SA'!$1:$1,0))-1),""))</f>
        <v/>
      </c>
      <c r="O363" s="10">
        <f>IFERROR(INDEX('Data_NSA'!$A:$OK,MATCH(O$2,'Data_NSA'!$A:$A,0),MATCH($D363,'Data_NSA'!$1:$1,0)),"")</f>
        <v/>
      </c>
      <c r="P363" s="10">
        <f>IF($E363="","",IFERROR(INDEX('Data_SA'!$A:$LO,MATCH(O$2,'Data_SA'!$A:$A,0),MATCH($E363,'Data_SA'!$1:$1,0)),""))</f>
        <v/>
      </c>
      <c r="Q363" s="7">
        <f>IF($E363="","",IFERROR(INDEX('Data_SA'!$A:$LO,MATCH(O$2,'Data_SA'!$A:$A,0),MATCH($E363,'Data_SA'!$1:$1,0))/INDEX('Data_SA'!$A:$LO,MATCH(EDATE(O$2,-1),'Data_SA'!$A:$A,0),MATCH($E363,'Data_SA'!$1:$1,0))-1,""))</f>
        <v/>
      </c>
      <c r="R363" s="7">
        <f>IFERROR(INDEX('Data_NSA'!$A:$OK,MATCH(O$2,'Data_NSA'!$A:$A,0),MATCH($D363,'Data_NSA'!$1:$1,0))/INDEX('Data_NSA'!$A:$OK,MATCH(EDATE(O$2,-12),'Data_NSA'!$A:$A,0),MATCH($D363,'Data_NSA'!$1:$1,0))-1,"")</f>
        <v/>
      </c>
      <c r="S363" s="10">
        <f>IFERROR(INDEX('Weights'!$G:$I,MATCH($A363,'Weights'!$A:$A,0),MATCH(O$2,'Weights'!$G$1:$I$1,0)),"")</f>
        <v/>
      </c>
      <c r="T363" s="10">
        <f>IF($E363="","",IFERROR(100*(INDEX('Weights'!$D:$D,MATCH($A363,'Weights'!$A:$A,0))*(INDEX('Data_NSA'!$A:$OK,MATCH(EDATE(O$2,-1),'Data_NSA'!$A:$A,0),MATCH($D363,'Data_NSA'!$1:$1,0))/INDEX('Data_NSA'!$A:$OK,MATCH(INDEX('Weights'!$E:$E,MATCH($A363,'Weights'!$A:$A,0)),'Data_NSA'!$A:$A,0),MATCH($D363,'Data_NSA'!$1:$1,0))))/(100*(INDEX('Data_NSA'!$A:$OK,MATCH(EDATE(O$2,-1),'Data_NSA'!$A:$A,0),MATCH("CUUR0000SA0",'Data_NSA'!$1:$1,0))/INDEX('Data_NSA'!$A:$OK,MATCH(INDEX('Weights'!$E:$E,MATCH($A363,'Weights'!$A:$A,0)),'Data_NSA'!$A:$A,0),MATCH("CUUR0000SA0",'Data_NSA'!$1:$1,0))))*(INDEX('Data_SA'!$A:$LO,MATCH(O$2,'Data_SA'!$A:$A,0),MATCH($E363,'Data_SA'!$1:$1,0))/INDEX('Data_SA'!$A:$LO,MATCH(EDATE(O$2,-1),'Data_SA'!$A:$A,0),MATCH($E363,'Data_SA'!$1:$1,0))-1),""))</f>
        <v/>
      </c>
      <c r="U363" s="10">
        <f>IFERROR(INDEX('Data_NSA'!$A:$OK,MATCH(U$2,'Data_NSA'!$A:$A,0),MATCH($D363,'Data_NSA'!$1:$1,0)),"")</f>
        <v/>
      </c>
      <c r="V363" s="10">
        <f>IF($E363="","",IFERROR(INDEX('Data_SA'!$A:$LO,MATCH(U$2,'Data_SA'!$A:$A,0),MATCH($E363,'Data_SA'!$1:$1,0)),""))</f>
        <v/>
      </c>
      <c r="W363" s="7">
        <f>IF($E363="","",IFERROR(INDEX('Data_SA'!$A:$LO,MATCH(U$2,'Data_SA'!$A:$A,0),MATCH($E363,'Data_SA'!$1:$1,0))/INDEX('Data_SA'!$A:$LO,MATCH(EDATE(U$2,-1),'Data_SA'!$A:$A,0),MATCH($E363,'Data_SA'!$1:$1,0))-1,""))</f>
        <v/>
      </c>
      <c r="X363" s="7">
        <f>IFERROR(INDEX('Data_NSA'!$A:$OK,MATCH(U$2,'Data_NSA'!$A:$A,0),MATCH($D363,'Data_NSA'!$1:$1,0))/INDEX('Data_NSA'!$A:$OK,MATCH(EDATE(U$2,-12),'Data_NSA'!$A:$A,0),MATCH($D363,'Data_NSA'!$1:$1,0))-1,"")</f>
        <v/>
      </c>
      <c r="Y363" s="10">
        <f>IFERROR(INDEX('Weights'!$G:$I,MATCH($A363,'Weights'!$A:$A,0),MATCH(U$2,'Weights'!$G$1:$I$1,0)),"")</f>
        <v/>
      </c>
      <c r="Z363" s="10">
        <f>IF($E363="","",IFERROR(100*(INDEX('Weights'!$D:$D,MATCH($A363,'Weights'!$A:$A,0))*(INDEX('Data_NSA'!$A:$OK,MATCH(EDATE(U$2,-1),'Data_NSA'!$A:$A,0),MATCH($D363,'Data_NSA'!$1:$1,0))/INDEX('Data_NSA'!$A:$OK,MATCH(INDEX('Weights'!$E:$E,MATCH($A363,'Weights'!$A:$A,0)),'Data_NSA'!$A:$A,0),MATCH($D363,'Data_NSA'!$1:$1,0))))/(100*(INDEX('Data_NSA'!$A:$OK,MATCH(EDATE(U$2,-1),'Data_NSA'!$A:$A,0),MATCH("CUUR0000SA0",'Data_NSA'!$1:$1,0))/INDEX('Data_NSA'!$A:$OK,MATCH(INDEX('Weights'!$E:$E,MATCH($A363,'Weights'!$A:$A,0)),'Data_NSA'!$A:$A,0),MATCH("CUUR0000SA0",'Data_NSA'!$1:$1,0))))*(INDEX('Data_SA'!$A:$LO,MATCH(U$2,'Data_SA'!$A:$A,0),MATCH($E363,'Data_SA'!$1:$1,0))/INDEX('Data_SA'!$A:$LO,MATCH(EDATE(U$2,-1),'Data_SA'!$A:$A,0),MATCH($E363,'Data_SA'!$1:$1,0))-1),""))</f>
        <v/>
      </c>
    </row>
    <row r="364">
      <c r="A364" s="3" t="inlineStr">
        <is>
          <t>SA0L2</t>
        </is>
      </c>
      <c r="B364" s="3" t="inlineStr">
        <is>
          <t>All items less shelter</t>
        </is>
      </c>
      <c r="C364" s="3" t="inlineStr">
        <is>
          <t>SAG</t>
        </is>
      </c>
      <c r="D364" s="3" t="inlineStr">
        <is>
          <t>CUUR0000SA0L2</t>
        </is>
      </c>
      <c r="E364" s="3" t="inlineStr">
        <is>
          <t>CUSR0000SA0L2</t>
        </is>
      </c>
      <c r="F364" s="3" t="inlineStr">
        <is>
          <t>aggregate</t>
        </is>
      </c>
      <c r="G364" s="3" t="inlineStr">
        <is>
          <t>aggregate</t>
        </is>
      </c>
      <c r="H364" s="10">
        <f>IFERROR(INDEX(Weights!$D:$D,MATCH($A364,Weights!$A:$A,0)),"")</f>
        <v/>
      </c>
      <c r="I364" s="10">
        <f>IFERROR(INDEX('Data_NSA'!$A:$OK,MATCH(I$2,'Data_NSA'!$A:$A,0),MATCH($D364,'Data_NSA'!$1:$1,0)),"")</f>
        <v/>
      </c>
      <c r="J364" s="10">
        <f>IF($E364="","",IFERROR(INDEX('Data_SA'!$A:$LO,MATCH(I$2,'Data_SA'!$A:$A,0),MATCH($E364,'Data_SA'!$1:$1,0)),""))</f>
        <v/>
      </c>
      <c r="K364" s="7">
        <f>IF($E364="","",IFERROR(INDEX('Data_SA'!$A:$LO,MATCH(I$2,'Data_SA'!$A:$A,0),MATCH($E364,'Data_SA'!$1:$1,0))/INDEX('Data_SA'!$A:$LO,MATCH(EDATE(I$2,-1),'Data_SA'!$A:$A,0),MATCH($E364,'Data_SA'!$1:$1,0))-1,""))</f>
        <v/>
      </c>
      <c r="L364" s="7">
        <f>IFERROR(INDEX('Data_NSA'!$A:$OK,MATCH(I$2,'Data_NSA'!$A:$A,0),MATCH($D364,'Data_NSA'!$1:$1,0))/INDEX('Data_NSA'!$A:$OK,MATCH(EDATE(I$2,-12),'Data_NSA'!$A:$A,0),MATCH($D364,'Data_NSA'!$1:$1,0))-1,"")</f>
        <v/>
      </c>
      <c r="M364" s="10">
        <f>IFERROR(INDEX('Weights'!$G:$I,MATCH($A364,'Weights'!$A:$A,0),MATCH(I$2,'Weights'!$G$1:$I$1,0)),"")</f>
        <v/>
      </c>
      <c r="N364" s="10">
        <f>IF($E364="","",IFERROR(100*(INDEX('Weights'!$D:$D,MATCH($A364,'Weights'!$A:$A,0))*(INDEX('Data_NSA'!$A:$OK,MATCH(EDATE(I$2,-1),'Data_NSA'!$A:$A,0),MATCH($D364,'Data_NSA'!$1:$1,0))/INDEX('Data_NSA'!$A:$OK,MATCH(INDEX('Weights'!$E:$E,MATCH($A364,'Weights'!$A:$A,0)),'Data_NSA'!$A:$A,0),MATCH($D364,'Data_NSA'!$1:$1,0))))/(100*(INDEX('Data_NSA'!$A:$OK,MATCH(EDATE(I$2,-1),'Data_NSA'!$A:$A,0),MATCH("CUUR0000SA0",'Data_NSA'!$1:$1,0))/INDEX('Data_NSA'!$A:$OK,MATCH(INDEX('Weights'!$E:$E,MATCH($A364,'Weights'!$A:$A,0)),'Data_NSA'!$A:$A,0),MATCH("CUUR0000SA0",'Data_NSA'!$1:$1,0))))*(INDEX('Data_SA'!$A:$LO,MATCH(I$2,'Data_SA'!$A:$A,0),MATCH($E364,'Data_SA'!$1:$1,0))/INDEX('Data_SA'!$A:$LO,MATCH(EDATE(I$2,-1),'Data_SA'!$A:$A,0),MATCH($E364,'Data_SA'!$1:$1,0))-1),""))</f>
        <v/>
      </c>
      <c r="O364" s="10">
        <f>IFERROR(INDEX('Data_NSA'!$A:$OK,MATCH(O$2,'Data_NSA'!$A:$A,0),MATCH($D364,'Data_NSA'!$1:$1,0)),"")</f>
        <v/>
      </c>
      <c r="P364" s="10">
        <f>IF($E364="","",IFERROR(INDEX('Data_SA'!$A:$LO,MATCH(O$2,'Data_SA'!$A:$A,0),MATCH($E364,'Data_SA'!$1:$1,0)),""))</f>
        <v/>
      </c>
      <c r="Q364" s="7">
        <f>IF($E364="","",IFERROR(INDEX('Data_SA'!$A:$LO,MATCH(O$2,'Data_SA'!$A:$A,0),MATCH($E364,'Data_SA'!$1:$1,0))/INDEX('Data_SA'!$A:$LO,MATCH(EDATE(O$2,-1),'Data_SA'!$A:$A,0),MATCH($E364,'Data_SA'!$1:$1,0))-1,""))</f>
        <v/>
      </c>
      <c r="R364" s="7">
        <f>IFERROR(INDEX('Data_NSA'!$A:$OK,MATCH(O$2,'Data_NSA'!$A:$A,0),MATCH($D364,'Data_NSA'!$1:$1,0))/INDEX('Data_NSA'!$A:$OK,MATCH(EDATE(O$2,-12),'Data_NSA'!$A:$A,0),MATCH($D364,'Data_NSA'!$1:$1,0))-1,"")</f>
        <v/>
      </c>
      <c r="S364" s="10">
        <f>IFERROR(INDEX('Weights'!$G:$I,MATCH($A364,'Weights'!$A:$A,0),MATCH(O$2,'Weights'!$G$1:$I$1,0)),"")</f>
        <v/>
      </c>
      <c r="T364" s="10">
        <f>IF($E364="","",IFERROR(100*(INDEX('Weights'!$D:$D,MATCH($A364,'Weights'!$A:$A,0))*(INDEX('Data_NSA'!$A:$OK,MATCH(EDATE(O$2,-1),'Data_NSA'!$A:$A,0),MATCH($D364,'Data_NSA'!$1:$1,0))/INDEX('Data_NSA'!$A:$OK,MATCH(INDEX('Weights'!$E:$E,MATCH($A364,'Weights'!$A:$A,0)),'Data_NSA'!$A:$A,0),MATCH($D364,'Data_NSA'!$1:$1,0))))/(100*(INDEX('Data_NSA'!$A:$OK,MATCH(EDATE(O$2,-1),'Data_NSA'!$A:$A,0),MATCH("CUUR0000SA0",'Data_NSA'!$1:$1,0))/INDEX('Data_NSA'!$A:$OK,MATCH(INDEX('Weights'!$E:$E,MATCH($A364,'Weights'!$A:$A,0)),'Data_NSA'!$A:$A,0),MATCH("CUUR0000SA0",'Data_NSA'!$1:$1,0))))*(INDEX('Data_SA'!$A:$LO,MATCH(O$2,'Data_SA'!$A:$A,0),MATCH($E364,'Data_SA'!$1:$1,0))/INDEX('Data_SA'!$A:$LO,MATCH(EDATE(O$2,-1),'Data_SA'!$A:$A,0),MATCH($E364,'Data_SA'!$1:$1,0))-1),""))</f>
        <v/>
      </c>
      <c r="U364" s="10">
        <f>IFERROR(INDEX('Data_NSA'!$A:$OK,MATCH(U$2,'Data_NSA'!$A:$A,0),MATCH($D364,'Data_NSA'!$1:$1,0)),"")</f>
        <v/>
      </c>
      <c r="V364" s="10">
        <f>IF($E364="","",IFERROR(INDEX('Data_SA'!$A:$LO,MATCH(U$2,'Data_SA'!$A:$A,0),MATCH($E364,'Data_SA'!$1:$1,0)),""))</f>
        <v/>
      </c>
      <c r="W364" s="7">
        <f>IF($E364="","",IFERROR(INDEX('Data_SA'!$A:$LO,MATCH(U$2,'Data_SA'!$A:$A,0),MATCH($E364,'Data_SA'!$1:$1,0))/INDEX('Data_SA'!$A:$LO,MATCH(EDATE(U$2,-1),'Data_SA'!$A:$A,0),MATCH($E364,'Data_SA'!$1:$1,0))-1,""))</f>
        <v/>
      </c>
      <c r="X364" s="7">
        <f>IFERROR(INDEX('Data_NSA'!$A:$OK,MATCH(U$2,'Data_NSA'!$A:$A,0),MATCH($D364,'Data_NSA'!$1:$1,0))/INDEX('Data_NSA'!$A:$OK,MATCH(EDATE(U$2,-12),'Data_NSA'!$A:$A,0),MATCH($D364,'Data_NSA'!$1:$1,0))-1,"")</f>
        <v/>
      </c>
      <c r="Y364" s="10">
        <f>IFERROR(INDEX('Weights'!$G:$I,MATCH($A364,'Weights'!$A:$A,0),MATCH(U$2,'Weights'!$G$1:$I$1,0)),"")</f>
        <v/>
      </c>
      <c r="Z364" s="10">
        <f>IF($E364="","",IFERROR(100*(INDEX('Weights'!$D:$D,MATCH($A364,'Weights'!$A:$A,0))*(INDEX('Data_NSA'!$A:$OK,MATCH(EDATE(U$2,-1),'Data_NSA'!$A:$A,0),MATCH($D364,'Data_NSA'!$1:$1,0))/INDEX('Data_NSA'!$A:$OK,MATCH(INDEX('Weights'!$E:$E,MATCH($A364,'Weights'!$A:$A,0)),'Data_NSA'!$A:$A,0),MATCH($D364,'Data_NSA'!$1:$1,0))))/(100*(INDEX('Data_NSA'!$A:$OK,MATCH(EDATE(U$2,-1),'Data_NSA'!$A:$A,0),MATCH("CUUR0000SA0",'Data_NSA'!$1:$1,0))/INDEX('Data_NSA'!$A:$OK,MATCH(INDEX('Weights'!$E:$E,MATCH($A364,'Weights'!$A:$A,0)),'Data_NSA'!$A:$A,0),MATCH("CUUR0000SA0",'Data_NSA'!$1:$1,0))))*(INDEX('Data_SA'!$A:$LO,MATCH(U$2,'Data_SA'!$A:$A,0),MATCH($E364,'Data_SA'!$1:$1,0))/INDEX('Data_SA'!$A:$LO,MATCH(EDATE(U$2,-1),'Data_SA'!$A:$A,0),MATCH($E364,'Data_SA'!$1:$1,0))-1),""))</f>
        <v/>
      </c>
    </row>
    <row r="365">
      <c r="A365" s="3" t="inlineStr">
        <is>
          <t>SA0L12</t>
        </is>
      </c>
      <c r="B365" s="3" t="inlineStr">
        <is>
          <t>All items less food and shelter</t>
        </is>
      </c>
      <c r="C365" s="3" t="inlineStr">
        <is>
          <t>SAG</t>
        </is>
      </c>
      <c r="D365" s="3" t="inlineStr">
        <is>
          <t>CUUR0000SA0L12</t>
        </is>
      </c>
      <c r="E365" s="3" t="inlineStr">
        <is>
          <t>CUSR0000SA0L12</t>
        </is>
      </c>
      <c r="F365" s="3" t="inlineStr">
        <is>
          <t>aggregate</t>
        </is>
      </c>
      <c r="G365" s="3" t="inlineStr">
        <is>
          <t>aggregate</t>
        </is>
      </c>
      <c r="H365" s="10">
        <f>IFERROR(INDEX(Weights!$D:$D,MATCH($A365,Weights!$A:$A,0)),"")</f>
        <v/>
      </c>
      <c r="I365" s="10">
        <f>IFERROR(INDEX('Data_NSA'!$A:$OK,MATCH(I$2,'Data_NSA'!$A:$A,0),MATCH($D365,'Data_NSA'!$1:$1,0)),"")</f>
        <v/>
      </c>
      <c r="J365" s="10">
        <f>IF($E365="","",IFERROR(INDEX('Data_SA'!$A:$LO,MATCH(I$2,'Data_SA'!$A:$A,0),MATCH($E365,'Data_SA'!$1:$1,0)),""))</f>
        <v/>
      </c>
      <c r="K365" s="7">
        <f>IF($E365="","",IFERROR(INDEX('Data_SA'!$A:$LO,MATCH(I$2,'Data_SA'!$A:$A,0),MATCH($E365,'Data_SA'!$1:$1,0))/INDEX('Data_SA'!$A:$LO,MATCH(EDATE(I$2,-1),'Data_SA'!$A:$A,0),MATCH($E365,'Data_SA'!$1:$1,0))-1,""))</f>
        <v/>
      </c>
      <c r="L365" s="7">
        <f>IFERROR(INDEX('Data_NSA'!$A:$OK,MATCH(I$2,'Data_NSA'!$A:$A,0),MATCH($D365,'Data_NSA'!$1:$1,0))/INDEX('Data_NSA'!$A:$OK,MATCH(EDATE(I$2,-12),'Data_NSA'!$A:$A,0),MATCH($D365,'Data_NSA'!$1:$1,0))-1,"")</f>
        <v/>
      </c>
      <c r="M365" s="10">
        <f>IFERROR(INDEX('Weights'!$G:$I,MATCH($A365,'Weights'!$A:$A,0),MATCH(I$2,'Weights'!$G$1:$I$1,0)),"")</f>
        <v/>
      </c>
      <c r="N365" s="10">
        <f>IF($E365="","",IFERROR(100*(INDEX('Weights'!$D:$D,MATCH($A365,'Weights'!$A:$A,0))*(INDEX('Data_NSA'!$A:$OK,MATCH(EDATE(I$2,-1),'Data_NSA'!$A:$A,0),MATCH($D365,'Data_NSA'!$1:$1,0))/INDEX('Data_NSA'!$A:$OK,MATCH(INDEX('Weights'!$E:$E,MATCH($A365,'Weights'!$A:$A,0)),'Data_NSA'!$A:$A,0),MATCH($D365,'Data_NSA'!$1:$1,0))))/(100*(INDEX('Data_NSA'!$A:$OK,MATCH(EDATE(I$2,-1),'Data_NSA'!$A:$A,0),MATCH("CUUR0000SA0",'Data_NSA'!$1:$1,0))/INDEX('Data_NSA'!$A:$OK,MATCH(INDEX('Weights'!$E:$E,MATCH($A365,'Weights'!$A:$A,0)),'Data_NSA'!$A:$A,0),MATCH("CUUR0000SA0",'Data_NSA'!$1:$1,0))))*(INDEX('Data_SA'!$A:$LO,MATCH(I$2,'Data_SA'!$A:$A,0),MATCH($E365,'Data_SA'!$1:$1,0))/INDEX('Data_SA'!$A:$LO,MATCH(EDATE(I$2,-1),'Data_SA'!$A:$A,0),MATCH($E365,'Data_SA'!$1:$1,0))-1),""))</f>
        <v/>
      </c>
      <c r="O365" s="10">
        <f>IFERROR(INDEX('Data_NSA'!$A:$OK,MATCH(O$2,'Data_NSA'!$A:$A,0),MATCH($D365,'Data_NSA'!$1:$1,0)),"")</f>
        <v/>
      </c>
      <c r="P365" s="10">
        <f>IF($E365="","",IFERROR(INDEX('Data_SA'!$A:$LO,MATCH(O$2,'Data_SA'!$A:$A,0),MATCH($E365,'Data_SA'!$1:$1,0)),""))</f>
        <v/>
      </c>
      <c r="Q365" s="7">
        <f>IF($E365="","",IFERROR(INDEX('Data_SA'!$A:$LO,MATCH(O$2,'Data_SA'!$A:$A,0),MATCH($E365,'Data_SA'!$1:$1,0))/INDEX('Data_SA'!$A:$LO,MATCH(EDATE(O$2,-1),'Data_SA'!$A:$A,0),MATCH($E365,'Data_SA'!$1:$1,0))-1,""))</f>
        <v/>
      </c>
      <c r="R365" s="7">
        <f>IFERROR(INDEX('Data_NSA'!$A:$OK,MATCH(O$2,'Data_NSA'!$A:$A,0),MATCH($D365,'Data_NSA'!$1:$1,0))/INDEX('Data_NSA'!$A:$OK,MATCH(EDATE(O$2,-12),'Data_NSA'!$A:$A,0),MATCH($D365,'Data_NSA'!$1:$1,0))-1,"")</f>
        <v/>
      </c>
      <c r="S365" s="10">
        <f>IFERROR(INDEX('Weights'!$G:$I,MATCH($A365,'Weights'!$A:$A,0),MATCH(O$2,'Weights'!$G$1:$I$1,0)),"")</f>
        <v/>
      </c>
      <c r="T365" s="10">
        <f>IF($E365="","",IFERROR(100*(INDEX('Weights'!$D:$D,MATCH($A365,'Weights'!$A:$A,0))*(INDEX('Data_NSA'!$A:$OK,MATCH(EDATE(O$2,-1),'Data_NSA'!$A:$A,0),MATCH($D365,'Data_NSA'!$1:$1,0))/INDEX('Data_NSA'!$A:$OK,MATCH(INDEX('Weights'!$E:$E,MATCH($A365,'Weights'!$A:$A,0)),'Data_NSA'!$A:$A,0),MATCH($D365,'Data_NSA'!$1:$1,0))))/(100*(INDEX('Data_NSA'!$A:$OK,MATCH(EDATE(O$2,-1),'Data_NSA'!$A:$A,0),MATCH("CUUR0000SA0",'Data_NSA'!$1:$1,0))/INDEX('Data_NSA'!$A:$OK,MATCH(INDEX('Weights'!$E:$E,MATCH($A365,'Weights'!$A:$A,0)),'Data_NSA'!$A:$A,0),MATCH("CUUR0000SA0",'Data_NSA'!$1:$1,0))))*(INDEX('Data_SA'!$A:$LO,MATCH(O$2,'Data_SA'!$A:$A,0),MATCH($E365,'Data_SA'!$1:$1,0))/INDEX('Data_SA'!$A:$LO,MATCH(EDATE(O$2,-1),'Data_SA'!$A:$A,0),MATCH($E365,'Data_SA'!$1:$1,0))-1),""))</f>
        <v/>
      </c>
      <c r="U365" s="10">
        <f>IFERROR(INDEX('Data_NSA'!$A:$OK,MATCH(U$2,'Data_NSA'!$A:$A,0),MATCH($D365,'Data_NSA'!$1:$1,0)),"")</f>
        <v/>
      </c>
      <c r="V365" s="10">
        <f>IF($E365="","",IFERROR(INDEX('Data_SA'!$A:$LO,MATCH(U$2,'Data_SA'!$A:$A,0),MATCH($E365,'Data_SA'!$1:$1,0)),""))</f>
        <v/>
      </c>
      <c r="W365" s="7">
        <f>IF($E365="","",IFERROR(INDEX('Data_SA'!$A:$LO,MATCH(U$2,'Data_SA'!$A:$A,0),MATCH($E365,'Data_SA'!$1:$1,0))/INDEX('Data_SA'!$A:$LO,MATCH(EDATE(U$2,-1),'Data_SA'!$A:$A,0),MATCH($E365,'Data_SA'!$1:$1,0))-1,""))</f>
        <v/>
      </c>
      <c r="X365" s="7">
        <f>IFERROR(INDEX('Data_NSA'!$A:$OK,MATCH(U$2,'Data_NSA'!$A:$A,0),MATCH($D365,'Data_NSA'!$1:$1,0))/INDEX('Data_NSA'!$A:$OK,MATCH(EDATE(U$2,-12),'Data_NSA'!$A:$A,0),MATCH($D365,'Data_NSA'!$1:$1,0))-1,"")</f>
        <v/>
      </c>
      <c r="Y365" s="10">
        <f>IFERROR(INDEX('Weights'!$G:$I,MATCH($A365,'Weights'!$A:$A,0),MATCH(U$2,'Weights'!$G$1:$I$1,0)),"")</f>
        <v/>
      </c>
      <c r="Z365" s="10">
        <f>IF($E365="","",IFERROR(100*(INDEX('Weights'!$D:$D,MATCH($A365,'Weights'!$A:$A,0))*(INDEX('Data_NSA'!$A:$OK,MATCH(EDATE(U$2,-1),'Data_NSA'!$A:$A,0),MATCH($D365,'Data_NSA'!$1:$1,0))/INDEX('Data_NSA'!$A:$OK,MATCH(INDEX('Weights'!$E:$E,MATCH($A365,'Weights'!$A:$A,0)),'Data_NSA'!$A:$A,0),MATCH($D365,'Data_NSA'!$1:$1,0))))/(100*(INDEX('Data_NSA'!$A:$OK,MATCH(EDATE(U$2,-1),'Data_NSA'!$A:$A,0),MATCH("CUUR0000SA0",'Data_NSA'!$1:$1,0))/INDEX('Data_NSA'!$A:$OK,MATCH(INDEX('Weights'!$E:$E,MATCH($A365,'Weights'!$A:$A,0)),'Data_NSA'!$A:$A,0),MATCH("CUUR0000SA0",'Data_NSA'!$1:$1,0))))*(INDEX('Data_SA'!$A:$LO,MATCH(U$2,'Data_SA'!$A:$A,0),MATCH($E365,'Data_SA'!$1:$1,0))/INDEX('Data_SA'!$A:$LO,MATCH(EDATE(U$2,-1),'Data_SA'!$A:$A,0),MATCH($E365,'Data_SA'!$1:$1,0))-1),""))</f>
        <v/>
      </c>
    </row>
    <row r="366">
      <c r="A366" s="3" t="inlineStr">
        <is>
          <t>SA0L12E</t>
        </is>
      </c>
      <c r="B366" s="3" t="inlineStr">
        <is>
          <t>All items less food, shelter, and energy</t>
        </is>
      </c>
      <c r="C366" s="3" t="inlineStr">
        <is>
          <t>SAG</t>
        </is>
      </c>
      <c r="D366" s="3" t="inlineStr">
        <is>
          <t>CUUR0000SA0L12E</t>
        </is>
      </c>
      <c r="E366" s="3" t="inlineStr">
        <is>
          <t>CUSR0000SA0L12E</t>
        </is>
      </c>
      <c r="F366" s="3" t="inlineStr">
        <is>
          <t>aggregate</t>
        </is>
      </c>
      <c r="G366" s="3" t="inlineStr">
        <is>
          <t>aggregate</t>
        </is>
      </c>
      <c r="H366" s="10">
        <f>IFERROR(INDEX(Weights!$D:$D,MATCH($A366,Weights!$A:$A,0)),"")</f>
        <v/>
      </c>
      <c r="I366" s="10">
        <f>IFERROR(INDEX('Data_NSA'!$A:$OK,MATCH(I$2,'Data_NSA'!$A:$A,0),MATCH($D366,'Data_NSA'!$1:$1,0)),"")</f>
        <v/>
      </c>
      <c r="J366" s="10">
        <f>IF($E366="","",IFERROR(INDEX('Data_SA'!$A:$LO,MATCH(I$2,'Data_SA'!$A:$A,0),MATCH($E366,'Data_SA'!$1:$1,0)),""))</f>
        <v/>
      </c>
      <c r="K366" s="7">
        <f>IF($E366="","",IFERROR(INDEX('Data_SA'!$A:$LO,MATCH(I$2,'Data_SA'!$A:$A,0),MATCH($E366,'Data_SA'!$1:$1,0))/INDEX('Data_SA'!$A:$LO,MATCH(EDATE(I$2,-1),'Data_SA'!$A:$A,0),MATCH($E366,'Data_SA'!$1:$1,0))-1,""))</f>
        <v/>
      </c>
      <c r="L366" s="7">
        <f>IFERROR(INDEX('Data_NSA'!$A:$OK,MATCH(I$2,'Data_NSA'!$A:$A,0),MATCH($D366,'Data_NSA'!$1:$1,0))/INDEX('Data_NSA'!$A:$OK,MATCH(EDATE(I$2,-12),'Data_NSA'!$A:$A,0),MATCH($D366,'Data_NSA'!$1:$1,0))-1,"")</f>
        <v/>
      </c>
      <c r="M366" s="10">
        <f>IFERROR(INDEX('Weights'!$G:$I,MATCH($A366,'Weights'!$A:$A,0),MATCH(I$2,'Weights'!$G$1:$I$1,0)),"")</f>
        <v/>
      </c>
      <c r="N366" s="10">
        <f>IF($E366="","",IFERROR(100*(INDEX('Weights'!$D:$D,MATCH($A366,'Weights'!$A:$A,0))*(INDEX('Data_NSA'!$A:$OK,MATCH(EDATE(I$2,-1),'Data_NSA'!$A:$A,0),MATCH($D366,'Data_NSA'!$1:$1,0))/INDEX('Data_NSA'!$A:$OK,MATCH(INDEX('Weights'!$E:$E,MATCH($A366,'Weights'!$A:$A,0)),'Data_NSA'!$A:$A,0),MATCH($D366,'Data_NSA'!$1:$1,0))))/(100*(INDEX('Data_NSA'!$A:$OK,MATCH(EDATE(I$2,-1),'Data_NSA'!$A:$A,0),MATCH("CUUR0000SA0",'Data_NSA'!$1:$1,0))/INDEX('Data_NSA'!$A:$OK,MATCH(INDEX('Weights'!$E:$E,MATCH($A366,'Weights'!$A:$A,0)),'Data_NSA'!$A:$A,0),MATCH("CUUR0000SA0",'Data_NSA'!$1:$1,0))))*(INDEX('Data_SA'!$A:$LO,MATCH(I$2,'Data_SA'!$A:$A,0),MATCH($E366,'Data_SA'!$1:$1,0))/INDEX('Data_SA'!$A:$LO,MATCH(EDATE(I$2,-1),'Data_SA'!$A:$A,0),MATCH($E366,'Data_SA'!$1:$1,0))-1),""))</f>
        <v/>
      </c>
      <c r="O366" s="10">
        <f>IFERROR(INDEX('Data_NSA'!$A:$OK,MATCH(O$2,'Data_NSA'!$A:$A,0),MATCH($D366,'Data_NSA'!$1:$1,0)),"")</f>
        <v/>
      </c>
      <c r="P366" s="10">
        <f>IF($E366="","",IFERROR(INDEX('Data_SA'!$A:$LO,MATCH(O$2,'Data_SA'!$A:$A,0),MATCH($E366,'Data_SA'!$1:$1,0)),""))</f>
        <v/>
      </c>
      <c r="Q366" s="7">
        <f>IF($E366="","",IFERROR(INDEX('Data_SA'!$A:$LO,MATCH(O$2,'Data_SA'!$A:$A,0),MATCH($E366,'Data_SA'!$1:$1,0))/INDEX('Data_SA'!$A:$LO,MATCH(EDATE(O$2,-1),'Data_SA'!$A:$A,0),MATCH($E366,'Data_SA'!$1:$1,0))-1,""))</f>
        <v/>
      </c>
      <c r="R366" s="7">
        <f>IFERROR(INDEX('Data_NSA'!$A:$OK,MATCH(O$2,'Data_NSA'!$A:$A,0),MATCH($D366,'Data_NSA'!$1:$1,0))/INDEX('Data_NSA'!$A:$OK,MATCH(EDATE(O$2,-12),'Data_NSA'!$A:$A,0),MATCH($D366,'Data_NSA'!$1:$1,0))-1,"")</f>
        <v/>
      </c>
      <c r="S366" s="10">
        <f>IFERROR(INDEX('Weights'!$G:$I,MATCH($A366,'Weights'!$A:$A,0),MATCH(O$2,'Weights'!$G$1:$I$1,0)),"")</f>
        <v/>
      </c>
      <c r="T366" s="10">
        <f>IF($E366="","",IFERROR(100*(INDEX('Weights'!$D:$D,MATCH($A366,'Weights'!$A:$A,0))*(INDEX('Data_NSA'!$A:$OK,MATCH(EDATE(O$2,-1),'Data_NSA'!$A:$A,0),MATCH($D366,'Data_NSA'!$1:$1,0))/INDEX('Data_NSA'!$A:$OK,MATCH(INDEX('Weights'!$E:$E,MATCH($A366,'Weights'!$A:$A,0)),'Data_NSA'!$A:$A,0),MATCH($D366,'Data_NSA'!$1:$1,0))))/(100*(INDEX('Data_NSA'!$A:$OK,MATCH(EDATE(O$2,-1),'Data_NSA'!$A:$A,0),MATCH("CUUR0000SA0",'Data_NSA'!$1:$1,0))/INDEX('Data_NSA'!$A:$OK,MATCH(INDEX('Weights'!$E:$E,MATCH($A366,'Weights'!$A:$A,0)),'Data_NSA'!$A:$A,0),MATCH("CUUR0000SA0",'Data_NSA'!$1:$1,0))))*(INDEX('Data_SA'!$A:$LO,MATCH(O$2,'Data_SA'!$A:$A,0),MATCH($E366,'Data_SA'!$1:$1,0))/INDEX('Data_SA'!$A:$LO,MATCH(EDATE(O$2,-1),'Data_SA'!$A:$A,0),MATCH($E366,'Data_SA'!$1:$1,0))-1),""))</f>
        <v/>
      </c>
      <c r="U366" s="10">
        <f>IFERROR(INDEX('Data_NSA'!$A:$OK,MATCH(U$2,'Data_NSA'!$A:$A,0),MATCH($D366,'Data_NSA'!$1:$1,0)),"")</f>
        <v/>
      </c>
      <c r="V366" s="10">
        <f>IF($E366="","",IFERROR(INDEX('Data_SA'!$A:$LO,MATCH(U$2,'Data_SA'!$A:$A,0),MATCH($E366,'Data_SA'!$1:$1,0)),""))</f>
        <v/>
      </c>
      <c r="W366" s="7">
        <f>IF($E366="","",IFERROR(INDEX('Data_SA'!$A:$LO,MATCH(U$2,'Data_SA'!$A:$A,0),MATCH($E366,'Data_SA'!$1:$1,0))/INDEX('Data_SA'!$A:$LO,MATCH(EDATE(U$2,-1),'Data_SA'!$A:$A,0),MATCH($E366,'Data_SA'!$1:$1,0))-1,""))</f>
        <v/>
      </c>
      <c r="X366" s="7">
        <f>IFERROR(INDEX('Data_NSA'!$A:$OK,MATCH(U$2,'Data_NSA'!$A:$A,0),MATCH($D366,'Data_NSA'!$1:$1,0))/INDEX('Data_NSA'!$A:$OK,MATCH(EDATE(U$2,-12),'Data_NSA'!$A:$A,0),MATCH($D366,'Data_NSA'!$1:$1,0))-1,"")</f>
        <v/>
      </c>
      <c r="Y366" s="10">
        <f>IFERROR(INDEX('Weights'!$G:$I,MATCH($A366,'Weights'!$A:$A,0),MATCH(U$2,'Weights'!$G$1:$I$1,0)),"")</f>
        <v/>
      </c>
      <c r="Z366" s="10">
        <f>IF($E366="","",IFERROR(100*(INDEX('Weights'!$D:$D,MATCH($A366,'Weights'!$A:$A,0))*(INDEX('Data_NSA'!$A:$OK,MATCH(EDATE(U$2,-1),'Data_NSA'!$A:$A,0),MATCH($D366,'Data_NSA'!$1:$1,0))/INDEX('Data_NSA'!$A:$OK,MATCH(INDEX('Weights'!$E:$E,MATCH($A366,'Weights'!$A:$A,0)),'Data_NSA'!$A:$A,0),MATCH($D366,'Data_NSA'!$1:$1,0))))/(100*(INDEX('Data_NSA'!$A:$OK,MATCH(EDATE(U$2,-1),'Data_NSA'!$A:$A,0),MATCH("CUUR0000SA0",'Data_NSA'!$1:$1,0))/INDEX('Data_NSA'!$A:$OK,MATCH(INDEX('Weights'!$E:$E,MATCH($A366,'Weights'!$A:$A,0)),'Data_NSA'!$A:$A,0),MATCH("CUUR0000SA0",'Data_NSA'!$1:$1,0))))*(INDEX('Data_SA'!$A:$LO,MATCH(U$2,'Data_SA'!$A:$A,0),MATCH($E366,'Data_SA'!$1:$1,0))/INDEX('Data_SA'!$A:$LO,MATCH(EDATE(U$2,-1),'Data_SA'!$A:$A,0),MATCH($E366,'Data_SA'!$1:$1,0))-1),""))</f>
        <v/>
      </c>
    </row>
    <row r="367">
      <c r="A367" s="3" t="inlineStr">
        <is>
          <t>SA0L12E4</t>
        </is>
      </c>
      <c r="B367" s="3" t="inlineStr">
        <is>
          <t>All items less food, shelter, energy, and used cars and trucks</t>
        </is>
      </c>
      <c r="C367" s="3" t="inlineStr">
        <is>
          <t>SAG</t>
        </is>
      </c>
      <c r="D367" s="3" t="inlineStr">
        <is>
          <t>CUUR0000SA0L12E4</t>
        </is>
      </c>
      <c r="E367" s="3" t="inlineStr">
        <is>
          <t>CUSR0000SA0L12E4</t>
        </is>
      </c>
      <c r="F367" s="3" t="inlineStr">
        <is>
          <t>aggregate</t>
        </is>
      </c>
      <c r="G367" s="3" t="inlineStr">
        <is>
          <t>aggregate</t>
        </is>
      </c>
      <c r="H367" s="10">
        <f>IFERROR(INDEX(Weights!$D:$D,MATCH($A367,Weights!$A:$A,0)),"")</f>
        <v/>
      </c>
      <c r="I367" s="10">
        <f>IFERROR(INDEX('Data_NSA'!$A:$OK,MATCH(I$2,'Data_NSA'!$A:$A,0),MATCH($D367,'Data_NSA'!$1:$1,0)),"")</f>
        <v/>
      </c>
      <c r="J367" s="10">
        <f>IF($E367="","",IFERROR(INDEX('Data_SA'!$A:$LO,MATCH(I$2,'Data_SA'!$A:$A,0),MATCH($E367,'Data_SA'!$1:$1,0)),""))</f>
        <v/>
      </c>
      <c r="K367" s="7">
        <f>IF($E367="","",IFERROR(INDEX('Data_SA'!$A:$LO,MATCH(I$2,'Data_SA'!$A:$A,0),MATCH($E367,'Data_SA'!$1:$1,0))/INDEX('Data_SA'!$A:$LO,MATCH(EDATE(I$2,-1),'Data_SA'!$A:$A,0),MATCH($E367,'Data_SA'!$1:$1,0))-1,""))</f>
        <v/>
      </c>
      <c r="L367" s="7">
        <f>IFERROR(INDEX('Data_NSA'!$A:$OK,MATCH(I$2,'Data_NSA'!$A:$A,0),MATCH($D367,'Data_NSA'!$1:$1,0))/INDEX('Data_NSA'!$A:$OK,MATCH(EDATE(I$2,-12),'Data_NSA'!$A:$A,0),MATCH($D367,'Data_NSA'!$1:$1,0))-1,"")</f>
        <v/>
      </c>
      <c r="M367" s="10">
        <f>IFERROR(INDEX('Weights'!$G:$I,MATCH($A367,'Weights'!$A:$A,0),MATCH(I$2,'Weights'!$G$1:$I$1,0)),"")</f>
        <v/>
      </c>
      <c r="N367" s="10">
        <f>IF($E367="","",IFERROR(100*(INDEX('Weights'!$D:$D,MATCH($A367,'Weights'!$A:$A,0))*(INDEX('Data_NSA'!$A:$OK,MATCH(EDATE(I$2,-1),'Data_NSA'!$A:$A,0),MATCH($D367,'Data_NSA'!$1:$1,0))/INDEX('Data_NSA'!$A:$OK,MATCH(INDEX('Weights'!$E:$E,MATCH($A367,'Weights'!$A:$A,0)),'Data_NSA'!$A:$A,0),MATCH($D367,'Data_NSA'!$1:$1,0))))/(100*(INDEX('Data_NSA'!$A:$OK,MATCH(EDATE(I$2,-1),'Data_NSA'!$A:$A,0),MATCH("CUUR0000SA0",'Data_NSA'!$1:$1,0))/INDEX('Data_NSA'!$A:$OK,MATCH(INDEX('Weights'!$E:$E,MATCH($A367,'Weights'!$A:$A,0)),'Data_NSA'!$A:$A,0),MATCH("CUUR0000SA0",'Data_NSA'!$1:$1,0))))*(INDEX('Data_SA'!$A:$LO,MATCH(I$2,'Data_SA'!$A:$A,0),MATCH($E367,'Data_SA'!$1:$1,0))/INDEX('Data_SA'!$A:$LO,MATCH(EDATE(I$2,-1),'Data_SA'!$A:$A,0),MATCH($E367,'Data_SA'!$1:$1,0))-1),""))</f>
        <v/>
      </c>
      <c r="O367" s="10">
        <f>IFERROR(INDEX('Data_NSA'!$A:$OK,MATCH(O$2,'Data_NSA'!$A:$A,0),MATCH($D367,'Data_NSA'!$1:$1,0)),"")</f>
        <v/>
      </c>
      <c r="P367" s="10">
        <f>IF($E367="","",IFERROR(INDEX('Data_SA'!$A:$LO,MATCH(O$2,'Data_SA'!$A:$A,0),MATCH($E367,'Data_SA'!$1:$1,0)),""))</f>
        <v/>
      </c>
      <c r="Q367" s="7">
        <f>IF($E367="","",IFERROR(INDEX('Data_SA'!$A:$LO,MATCH(O$2,'Data_SA'!$A:$A,0),MATCH($E367,'Data_SA'!$1:$1,0))/INDEX('Data_SA'!$A:$LO,MATCH(EDATE(O$2,-1),'Data_SA'!$A:$A,0),MATCH($E367,'Data_SA'!$1:$1,0))-1,""))</f>
        <v/>
      </c>
      <c r="R367" s="7">
        <f>IFERROR(INDEX('Data_NSA'!$A:$OK,MATCH(O$2,'Data_NSA'!$A:$A,0),MATCH($D367,'Data_NSA'!$1:$1,0))/INDEX('Data_NSA'!$A:$OK,MATCH(EDATE(O$2,-12),'Data_NSA'!$A:$A,0),MATCH($D367,'Data_NSA'!$1:$1,0))-1,"")</f>
        <v/>
      </c>
      <c r="S367" s="10">
        <f>IFERROR(INDEX('Weights'!$G:$I,MATCH($A367,'Weights'!$A:$A,0),MATCH(O$2,'Weights'!$G$1:$I$1,0)),"")</f>
        <v/>
      </c>
      <c r="T367" s="10">
        <f>IF($E367="","",IFERROR(100*(INDEX('Weights'!$D:$D,MATCH($A367,'Weights'!$A:$A,0))*(INDEX('Data_NSA'!$A:$OK,MATCH(EDATE(O$2,-1),'Data_NSA'!$A:$A,0),MATCH($D367,'Data_NSA'!$1:$1,0))/INDEX('Data_NSA'!$A:$OK,MATCH(INDEX('Weights'!$E:$E,MATCH($A367,'Weights'!$A:$A,0)),'Data_NSA'!$A:$A,0),MATCH($D367,'Data_NSA'!$1:$1,0))))/(100*(INDEX('Data_NSA'!$A:$OK,MATCH(EDATE(O$2,-1),'Data_NSA'!$A:$A,0),MATCH("CUUR0000SA0",'Data_NSA'!$1:$1,0))/INDEX('Data_NSA'!$A:$OK,MATCH(INDEX('Weights'!$E:$E,MATCH($A367,'Weights'!$A:$A,0)),'Data_NSA'!$A:$A,0),MATCH("CUUR0000SA0",'Data_NSA'!$1:$1,0))))*(INDEX('Data_SA'!$A:$LO,MATCH(O$2,'Data_SA'!$A:$A,0),MATCH($E367,'Data_SA'!$1:$1,0))/INDEX('Data_SA'!$A:$LO,MATCH(EDATE(O$2,-1),'Data_SA'!$A:$A,0),MATCH($E367,'Data_SA'!$1:$1,0))-1),""))</f>
        <v/>
      </c>
      <c r="U367" s="10">
        <f>IFERROR(INDEX('Data_NSA'!$A:$OK,MATCH(U$2,'Data_NSA'!$A:$A,0),MATCH($D367,'Data_NSA'!$1:$1,0)),"")</f>
        <v/>
      </c>
      <c r="V367" s="10">
        <f>IF($E367="","",IFERROR(INDEX('Data_SA'!$A:$LO,MATCH(U$2,'Data_SA'!$A:$A,0),MATCH($E367,'Data_SA'!$1:$1,0)),""))</f>
        <v/>
      </c>
      <c r="W367" s="7">
        <f>IF($E367="","",IFERROR(INDEX('Data_SA'!$A:$LO,MATCH(U$2,'Data_SA'!$A:$A,0),MATCH($E367,'Data_SA'!$1:$1,0))/INDEX('Data_SA'!$A:$LO,MATCH(EDATE(U$2,-1),'Data_SA'!$A:$A,0),MATCH($E367,'Data_SA'!$1:$1,0))-1,""))</f>
        <v/>
      </c>
      <c r="X367" s="7">
        <f>IFERROR(INDEX('Data_NSA'!$A:$OK,MATCH(U$2,'Data_NSA'!$A:$A,0),MATCH($D367,'Data_NSA'!$1:$1,0))/INDEX('Data_NSA'!$A:$OK,MATCH(EDATE(U$2,-12),'Data_NSA'!$A:$A,0),MATCH($D367,'Data_NSA'!$1:$1,0))-1,"")</f>
        <v/>
      </c>
      <c r="Y367" s="10">
        <f>IFERROR(INDEX('Weights'!$G:$I,MATCH($A367,'Weights'!$A:$A,0),MATCH(U$2,'Weights'!$G$1:$I$1,0)),"")</f>
        <v/>
      </c>
      <c r="Z367" s="10">
        <f>IF($E367="","",IFERROR(100*(INDEX('Weights'!$D:$D,MATCH($A367,'Weights'!$A:$A,0))*(INDEX('Data_NSA'!$A:$OK,MATCH(EDATE(U$2,-1),'Data_NSA'!$A:$A,0),MATCH($D367,'Data_NSA'!$1:$1,0))/INDEX('Data_NSA'!$A:$OK,MATCH(INDEX('Weights'!$E:$E,MATCH($A367,'Weights'!$A:$A,0)),'Data_NSA'!$A:$A,0),MATCH($D367,'Data_NSA'!$1:$1,0))))/(100*(INDEX('Data_NSA'!$A:$OK,MATCH(EDATE(U$2,-1),'Data_NSA'!$A:$A,0),MATCH("CUUR0000SA0",'Data_NSA'!$1:$1,0))/INDEX('Data_NSA'!$A:$OK,MATCH(INDEX('Weights'!$E:$E,MATCH($A367,'Weights'!$A:$A,0)),'Data_NSA'!$A:$A,0),MATCH("CUUR0000SA0",'Data_NSA'!$1:$1,0))))*(INDEX('Data_SA'!$A:$LO,MATCH(U$2,'Data_SA'!$A:$A,0),MATCH($E367,'Data_SA'!$1:$1,0))/INDEX('Data_SA'!$A:$LO,MATCH(EDATE(U$2,-1),'Data_SA'!$A:$A,0),MATCH($E367,'Data_SA'!$1:$1,0))-1),""))</f>
        <v/>
      </c>
    </row>
    <row r="368">
      <c r="A368" s="3" t="inlineStr">
        <is>
          <t>SA311</t>
        </is>
      </c>
      <c r="B368" s="3" t="inlineStr">
        <is>
          <t>Apparel less footwear</t>
        </is>
      </c>
      <c r="C368" s="3" t="inlineStr">
        <is>
          <t>SAG</t>
        </is>
      </c>
      <c r="D368" s="3" t="inlineStr">
        <is>
          <t>CUUR0000SA311</t>
        </is>
      </c>
      <c r="E368" s="3" t="inlineStr">
        <is>
          <t>CUSR0000SA311</t>
        </is>
      </c>
      <c r="F368" s="3" t="inlineStr">
        <is>
          <t>aggregate</t>
        </is>
      </c>
      <c r="G368" s="3" t="inlineStr">
        <is>
          <t>aggregate</t>
        </is>
      </c>
      <c r="H368" s="10">
        <f>IFERROR(INDEX(Weights!$D:$D,MATCH($A368,Weights!$A:$A,0)),"")</f>
        <v/>
      </c>
      <c r="I368" s="10">
        <f>IFERROR(INDEX('Data_NSA'!$A:$OK,MATCH(I$2,'Data_NSA'!$A:$A,0),MATCH($D368,'Data_NSA'!$1:$1,0)),"")</f>
        <v/>
      </c>
      <c r="J368" s="10">
        <f>IF($E368="","",IFERROR(INDEX('Data_SA'!$A:$LO,MATCH(I$2,'Data_SA'!$A:$A,0),MATCH($E368,'Data_SA'!$1:$1,0)),""))</f>
        <v/>
      </c>
      <c r="K368" s="7">
        <f>IF($E368="","",IFERROR(INDEX('Data_SA'!$A:$LO,MATCH(I$2,'Data_SA'!$A:$A,0),MATCH($E368,'Data_SA'!$1:$1,0))/INDEX('Data_SA'!$A:$LO,MATCH(EDATE(I$2,-1),'Data_SA'!$A:$A,0),MATCH($E368,'Data_SA'!$1:$1,0))-1,""))</f>
        <v/>
      </c>
      <c r="L368" s="7">
        <f>IFERROR(INDEX('Data_NSA'!$A:$OK,MATCH(I$2,'Data_NSA'!$A:$A,0),MATCH($D368,'Data_NSA'!$1:$1,0))/INDEX('Data_NSA'!$A:$OK,MATCH(EDATE(I$2,-12),'Data_NSA'!$A:$A,0),MATCH($D368,'Data_NSA'!$1:$1,0))-1,"")</f>
        <v/>
      </c>
      <c r="M368" s="10">
        <f>IFERROR(INDEX('Weights'!$G:$I,MATCH($A368,'Weights'!$A:$A,0),MATCH(I$2,'Weights'!$G$1:$I$1,0)),"")</f>
        <v/>
      </c>
      <c r="N368" s="10">
        <f>IF($E368="","",IFERROR(100*(INDEX('Weights'!$D:$D,MATCH($A368,'Weights'!$A:$A,0))*(INDEX('Data_NSA'!$A:$OK,MATCH(EDATE(I$2,-1),'Data_NSA'!$A:$A,0),MATCH($D368,'Data_NSA'!$1:$1,0))/INDEX('Data_NSA'!$A:$OK,MATCH(INDEX('Weights'!$E:$E,MATCH($A368,'Weights'!$A:$A,0)),'Data_NSA'!$A:$A,0),MATCH($D368,'Data_NSA'!$1:$1,0))))/(100*(INDEX('Data_NSA'!$A:$OK,MATCH(EDATE(I$2,-1),'Data_NSA'!$A:$A,0),MATCH("CUUR0000SA0",'Data_NSA'!$1:$1,0))/INDEX('Data_NSA'!$A:$OK,MATCH(INDEX('Weights'!$E:$E,MATCH($A368,'Weights'!$A:$A,0)),'Data_NSA'!$A:$A,0),MATCH("CUUR0000SA0",'Data_NSA'!$1:$1,0))))*(INDEX('Data_SA'!$A:$LO,MATCH(I$2,'Data_SA'!$A:$A,0),MATCH($E368,'Data_SA'!$1:$1,0))/INDEX('Data_SA'!$A:$LO,MATCH(EDATE(I$2,-1),'Data_SA'!$A:$A,0),MATCH($E368,'Data_SA'!$1:$1,0))-1),""))</f>
        <v/>
      </c>
      <c r="O368" s="10">
        <f>IFERROR(INDEX('Data_NSA'!$A:$OK,MATCH(O$2,'Data_NSA'!$A:$A,0),MATCH($D368,'Data_NSA'!$1:$1,0)),"")</f>
        <v/>
      </c>
      <c r="P368" s="10">
        <f>IF($E368="","",IFERROR(INDEX('Data_SA'!$A:$LO,MATCH(O$2,'Data_SA'!$A:$A,0),MATCH($E368,'Data_SA'!$1:$1,0)),""))</f>
        <v/>
      </c>
      <c r="Q368" s="7">
        <f>IF($E368="","",IFERROR(INDEX('Data_SA'!$A:$LO,MATCH(O$2,'Data_SA'!$A:$A,0),MATCH($E368,'Data_SA'!$1:$1,0))/INDEX('Data_SA'!$A:$LO,MATCH(EDATE(O$2,-1),'Data_SA'!$A:$A,0),MATCH($E368,'Data_SA'!$1:$1,0))-1,""))</f>
        <v/>
      </c>
      <c r="R368" s="7">
        <f>IFERROR(INDEX('Data_NSA'!$A:$OK,MATCH(O$2,'Data_NSA'!$A:$A,0),MATCH($D368,'Data_NSA'!$1:$1,0))/INDEX('Data_NSA'!$A:$OK,MATCH(EDATE(O$2,-12),'Data_NSA'!$A:$A,0),MATCH($D368,'Data_NSA'!$1:$1,0))-1,"")</f>
        <v/>
      </c>
      <c r="S368" s="10">
        <f>IFERROR(INDEX('Weights'!$G:$I,MATCH($A368,'Weights'!$A:$A,0),MATCH(O$2,'Weights'!$G$1:$I$1,0)),"")</f>
        <v/>
      </c>
      <c r="T368" s="10">
        <f>IF($E368="","",IFERROR(100*(INDEX('Weights'!$D:$D,MATCH($A368,'Weights'!$A:$A,0))*(INDEX('Data_NSA'!$A:$OK,MATCH(EDATE(O$2,-1),'Data_NSA'!$A:$A,0),MATCH($D368,'Data_NSA'!$1:$1,0))/INDEX('Data_NSA'!$A:$OK,MATCH(INDEX('Weights'!$E:$E,MATCH($A368,'Weights'!$A:$A,0)),'Data_NSA'!$A:$A,0),MATCH($D368,'Data_NSA'!$1:$1,0))))/(100*(INDEX('Data_NSA'!$A:$OK,MATCH(EDATE(O$2,-1),'Data_NSA'!$A:$A,0),MATCH("CUUR0000SA0",'Data_NSA'!$1:$1,0))/INDEX('Data_NSA'!$A:$OK,MATCH(INDEX('Weights'!$E:$E,MATCH($A368,'Weights'!$A:$A,0)),'Data_NSA'!$A:$A,0),MATCH("CUUR0000SA0",'Data_NSA'!$1:$1,0))))*(INDEX('Data_SA'!$A:$LO,MATCH(O$2,'Data_SA'!$A:$A,0),MATCH($E368,'Data_SA'!$1:$1,0))/INDEX('Data_SA'!$A:$LO,MATCH(EDATE(O$2,-1),'Data_SA'!$A:$A,0),MATCH($E368,'Data_SA'!$1:$1,0))-1),""))</f>
        <v/>
      </c>
      <c r="U368" s="10">
        <f>IFERROR(INDEX('Data_NSA'!$A:$OK,MATCH(U$2,'Data_NSA'!$A:$A,0),MATCH($D368,'Data_NSA'!$1:$1,0)),"")</f>
        <v/>
      </c>
      <c r="V368" s="10">
        <f>IF($E368="","",IFERROR(INDEX('Data_SA'!$A:$LO,MATCH(U$2,'Data_SA'!$A:$A,0),MATCH($E368,'Data_SA'!$1:$1,0)),""))</f>
        <v/>
      </c>
      <c r="W368" s="7">
        <f>IF($E368="","",IFERROR(INDEX('Data_SA'!$A:$LO,MATCH(U$2,'Data_SA'!$A:$A,0),MATCH($E368,'Data_SA'!$1:$1,0))/INDEX('Data_SA'!$A:$LO,MATCH(EDATE(U$2,-1),'Data_SA'!$A:$A,0),MATCH($E368,'Data_SA'!$1:$1,0))-1,""))</f>
        <v/>
      </c>
      <c r="X368" s="7">
        <f>IFERROR(INDEX('Data_NSA'!$A:$OK,MATCH(U$2,'Data_NSA'!$A:$A,0),MATCH($D368,'Data_NSA'!$1:$1,0))/INDEX('Data_NSA'!$A:$OK,MATCH(EDATE(U$2,-12),'Data_NSA'!$A:$A,0),MATCH($D368,'Data_NSA'!$1:$1,0))-1,"")</f>
        <v/>
      </c>
      <c r="Y368" s="10">
        <f>IFERROR(INDEX('Weights'!$G:$I,MATCH($A368,'Weights'!$A:$A,0),MATCH(U$2,'Weights'!$G$1:$I$1,0)),"")</f>
        <v/>
      </c>
      <c r="Z368" s="10">
        <f>IF($E368="","",IFERROR(100*(INDEX('Weights'!$D:$D,MATCH($A368,'Weights'!$A:$A,0))*(INDEX('Data_NSA'!$A:$OK,MATCH(EDATE(U$2,-1),'Data_NSA'!$A:$A,0),MATCH($D368,'Data_NSA'!$1:$1,0))/INDEX('Data_NSA'!$A:$OK,MATCH(INDEX('Weights'!$E:$E,MATCH($A368,'Weights'!$A:$A,0)),'Data_NSA'!$A:$A,0),MATCH($D368,'Data_NSA'!$1:$1,0))))/(100*(INDEX('Data_NSA'!$A:$OK,MATCH(EDATE(U$2,-1),'Data_NSA'!$A:$A,0),MATCH("CUUR0000SA0",'Data_NSA'!$1:$1,0))/INDEX('Data_NSA'!$A:$OK,MATCH(INDEX('Weights'!$E:$E,MATCH($A368,'Weights'!$A:$A,0)),'Data_NSA'!$A:$A,0),MATCH("CUUR0000SA0",'Data_NSA'!$1:$1,0))))*(INDEX('Data_SA'!$A:$LO,MATCH(U$2,'Data_SA'!$A:$A,0),MATCH($E368,'Data_SA'!$1:$1,0))/INDEX('Data_SA'!$A:$LO,MATCH(EDATE(U$2,-1),'Data_SA'!$A:$A,0),MATCH($E368,'Data_SA'!$1:$1,0))-1),""))</f>
        <v/>
      </c>
    </row>
    <row r="369">
      <c r="A369" s="3" t="inlineStr">
        <is>
          <t>SAC</t>
        </is>
      </c>
      <c r="B369" s="3" t="inlineStr">
        <is>
          <t>Commodities</t>
        </is>
      </c>
      <c r="C369" s="3" t="inlineStr">
        <is>
          <t>SAG</t>
        </is>
      </c>
      <c r="D369" s="3" t="inlineStr">
        <is>
          <t>CUUR0000SAC</t>
        </is>
      </c>
      <c r="E369" s="3" t="inlineStr">
        <is>
          <t>CUSR0000SAC</t>
        </is>
      </c>
      <c r="F369" s="3" t="inlineStr">
        <is>
          <t>aggregate</t>
        </is>
      </c>
      <c r="G369" s="3" t="inlineStr">
        <is>
          <t>aggregate</t>
        </is>
      </c>
      <c r="H369" s="10">
        <f>IFERROR(INDEX(Weights!$D:$D,MATCH($A369,Weights!$A:$A,0)),"")</f>
        <v/>
      </c>
      <c r="I369" s="10">
        <f>IFERROR(INDEX('Data_NSA'!$A:$OK,MATCH(I$2,'Data_NSA'!$A:$A,0),MATCH($D369,'Data_NSA'!$1:$1,0)),"")</f>
        <v/>
      </c>
      <c r="J369" s="10">
        <f>IF($E369="","",IFERROR(INDEX('Data_SA'!$A:$LO,MATCH(I$2,'Data_SA'!$A:$A,0),MATCH($E369,'Data_SA'!$1:$1,0)),""))</f>
        <v/>
      </c>
      <c r="K369" s="7">
        <f>IF($E369="","",IFERROR(INDEX('Data_SA'!$A:$LO,MATCH(I$2,'Data_SA'!$A:$A,0),MATCH($E369,'Data_SA'!$1:$1,0))/INDEX('Data_SA'!$A:$LO,MATCH(EDATE(I$2,-1),'Data_SA'!$A:$A,0),MATCH($E369,'Data_SA'!$1:$1,0))-1,""))</f>
        <v/>
      </c>
      <c r="L369" s="7">
        <f>IFERROR(INDEX('Data_NSA'!$A:$OK,MATCH(I$2,'Data_NSA'!$A:$A,0),MATCH($D369,'Data_NSA'!$1:$1,0))/INDEX('Data_NSA'!$A:$OK,MATCH(EDATE(I$2,-12),'Data_NSA'!$A:$A,0),MATCH($D369,'Data_NSA'!$1:$1,0))-1,"")</f>
        <v/>
      </c>
      <c r="M369" s="10">
        <f>IFERROR(INDEX('Weights'!$G:$I,MATCH($A369,'Weights'!$A:$A,0),MATCH(I$2,'Weights'!$G$1:$I$1,0)),"")</f>
        <v/>
      </c>
      <c r="N369" s="10">
        <f>IF($E369="","",IFERROR(100*(INDEX('Weights'!$D:$D,MATCH($A369,'Weights'!$A:$A,0))*(INDEX('Data_NSA'!$A:$OK,MATCH(EDATE(I$2,-1),'Data_NSA'!$A:$A,0),MATCH($D369,'Data_NSA'!$1:$1,0))/INDEX('Data_NSA'!$A:$OK,MATCH(INDEX('Weights'!$E:$E,MATCH($A369,'Weights'!$A:$A,0)),'Data_NSA'!$A:$A,0),MATCH($D369,'Data_NSA'!$1:$1,0))))/(100*(INDEX('Data_NSA'!$A:$OK,MATCH(EDATE(I$2,-1),'Data_NSA'!$A:$A,0),MATCH("CUUR0000SA0",'Data_NSA'!$1:$1,0))/INDEX('Data_NSA'!$A:$OK,MATCH(INDEX('Weights'!$E:$E,MATCH($A369,'Weights'!$A:$A,0)),'Data_NSA'!$A:$A,0),MATCH("CUUR0000SA0",'Data_NSA'!$1:$1,0))))*(INDEX('Data_SA'!$A:$LO,MATCH(I$2,'Data_SA'!$A:$A,0),MATCH($E369,'Data_SA'!$1:$1,0))/INDEX('Data_SA'!$A:$LO,MATCH(EDATE(I$2,-1),'Data_SA'!$A:$A,0),MATCH($E369,'Data_SA'!$1:$1,0))-1),""))</f>
        <v/>
      </c>
      <c r="O369" s="10">
        <f>IFERROR(INDEX('Data_NSA'!$A:$OK,MATCH(O$2,'Data_NSA'!$A:$A,0),MATCH($D369,'Data_NSA'!$1:$1,0)),"")</f>
        <v/>
      </c>
      <c r="P369" s="10">
        <f>IF($E369="","",IFERROR(INDEX('Data_SA'!$A:$LO,MATCH(O$2,'Data_SA'!$A:$A,0),MATCH($E369,'Data_SA'!$1:$1,0)),""))</f>
        <v/>
      </c>
      <c r="Q369" s="7">
        <f>IF($E369="","",IFERROR(INDEX('Data_SA'!$A:$LO,MATCH(O$2,'Data_SA'!$A:$A,0),MATCH($E369,'Data_SA'!$1:$1,0))/INDEX('Data_SA'!$A:$LO,MATCH(EDATE(O$2,-1),'Data_SA'!$A:$A,0),MATCH($E369,'Data_SA'!$1:$1,0))-1,""))</f>
        <v/>
      </c>
      <c r="R369" s="7">
        <f>IFERROR(INDEX('Data_NSA'!$A:$OK,MATCH(O$2,'Data_NSA'!$A:$A,0),MATCH($D369,'Data_NSA'!$1:$1,0))/INDEX('Data_NSA'!$A:$OK,MATCH(EDATE(O$2,-12),'Data_NSA'!$A:$A,0),MATCH($D369,'Data_NSA'!$1:$1,0))-1,"")</f>
        <v/>
      </c>
      <c r="S369" s="10">
        <f>IFERROR(INDEX('Weights'!$G:$I,MATCH($A369,'Weights'!$A:$A,0),MATCH(O$2,'Weights'!$G$1:$I$1,0)),"")</f>
        <v/>
      </c>
      <c r="T369" s="10">
        <f>IF($E369="","",IFERROR(100*(INDEX('Weights'!$D:$D,MATCH($A369,'Weights'!$A:$A,0))*(INDEX('Data_NSA'!$A:$OK,MATCH(EDATE(O$2,-1),'Data_NSA'!$A:$A,0),MATCH($D369,'Data_NSA'!$1:$1,0))/INDEX('Data_NSA'!$A:$OK,MATCH(INDEX('Weights'!$E:$E,MATCH($A369,'Weights'!$A:$A,0)),'Data_NSA'!$A:$A,0),MATCH($D369,'Data_NSA'!$1:$1,0))))/(100*(INDEX('Data_NSA'!$A:$OK,MATCH(EDATE(O$2,-1),'Data_NSA'!$A:$A,0),MATCH("CUUR0000SA0",'Data_NSA'!$1:$1,0))/INDEX('Data_NSA'!$A:$OK,MATCH(INDEX('Weights'!$E:$E,MATCH($A369,'Weights'!$A:$A,0)),'Data_NSA'!$A:$A,0),MATCH("CUUR0000SA0",'Data_NSA'!$1:$1,0))))*(INDEX('Data_SA'!$A:$LO,MATCH(O$2,'Data_SA'!$A:$A,0),MATCH($E369,'Data_SA'!$1:$1,0))/INDEX('Data_SA'!$A:$LO,MATCH(EDATE(O$2,-1),'Data_SA'!$A:$A,0),MATCH($E369,'Data_SA'!$1:$1,0))-1),""))</f>
        <v/>
      </c>
      <c r="U369" s="10">
        <f>IFERROR(INDEX('Data_NSA'!$A:$OK,MATCH(U$2,'Data_NSA'!$A:$A,0),MATCH($D369,'Data_NSA'!$1:$1,0)),"")</f>
        <v/>
      </c>
      <c r="V369" s="10">
        <f>IF($E369="","",IFERROR(INDEX('Data_SA'!$A:$LO,MATCH(U$2,'Data_SA'!$A:$A,0),MATCH($E369,'Data_SA'!$1:$1,0)),""))</f>
        <v/>
      </c>
      <c r="W369" s="7">
        <f>IF($E369="","",IFERROR(INDEX('Data_SA'!$A:$LO,MATCH(U$2,'Data_SA'!$A:$A,0),MATCH($E369,'Data_SA'!$1:$1,0))/INDEX('Data_SA'!$A:$LO,MATCH(EDATE(U$2,-1),'Data_SA'!$A:$A,0),MATCH($E369,'Data_SA'!$1:$1,0))-1,""))</f>
        <v/>
      </c>
      <c r="X369" s="7">
        <f>IFERROR(INDEX('Data_NSA'!$A:$OK,MATCH(U$2,'Data_NSA'!$A:$A,0),MATCH($D369,'Data_NSA'!$1:$1,0))/INDEX('Data_NSA'!$A:$OK,MATCH(EDATE(U$2,-12),'Data_NSA'!$A:$A,0),MATCH($D369,'Data_NSA'!$1:$1,0))-1,"")</f>
        <v/>
      </c>
      <c r="Y369" s="10">
        <f>IFERROR(INDEX('Weights'!$G:$I,MATCH($A369,'Weights'!$A:$A,0),MATCH(U$2,'Weights'!$G$1:$I$1,0)),"")</f>
        <v/>
      </c>
      <c r="Z369" s="10">
        <f>IF($E369="","",IFERROR(100*(INDEX('Weights'!$D:$D,MATCH($A369,'Weights'!$A:$A,0))*(INDEX('Data_NSA'!$A:$OK,MATCH(EDATE(U$2,-1),'Data_NSA'!$A:$A,0),MATCH($D369,'Data_NSA'!$1:$1,0))/INDEX('Data_NSA'!$A:$OK,MATCH(INDEX('Weights'!$E:$E,MATCH($A369,'Weights'!$A:$A,0)),'Data_NSA'!$A:$A,0),MATCH($D369,'Data_NSA'!$1:$1,0))))/(100*(INDEX('Data_NSA'!$A:$OK,MATCH(EDATE(U$2,-1),'Data_NSA'!$A:$A,0),MATCH("CUUR0000SA0",'Data_NSA'!$1:$1,0))/INDEX('Data_NSA'!$A:$OK,MATCH(INDEX('Weights'!$E:$E,MATCH($A369,'Weights'!$A:$A,0)),'Data_NSA'!$A:$A,0),MATCH("CUUR0000SA0",'Data_NSA'!$1:$1,0))))*(INDEX('Data_SA'!$A:$LO,MATCH(U$2,'Data_SA'!$A:$A,0),MATCH($E369,'Data_SA'!$1:$1,0))/INDEX('Data_SA'!$A:$LO,MATCH(EDATE(U$2,-1),'Data_SA'!$A:$A,0),MATCH($E369,'Data_SA'!$1:$1,0))-1),""))</f>
        <v/>
      </c>
    </row>
    <row r="370">
      <c r="A370" s="3" t="inlineStr">
        <is>
          <t>SACL1</t>
        </is>
      </c>
      <c r="B370" s="3" t="inlineStr">
        <is>
          <t>Commodities less food</t>
        </is>
      </c>
      <c r="C370" s="3" t="inlineStr">
        <is>
          <t>SAG</t>
        </is>
      </c>
      <c r="D370" s="3" t="inlineStr">
        <is>
          <t>CUUR0000SACL1</t>
        </is>
      </c>
      <c r="E370" s="3" t="inlineStr">
        <is>
          <t>CUSR0000SACL1</t>
        </is>
      </c>
      <c r="F370" s="3" t="inlineStr">
        <is>
          <t>aggregate</t>
        </is>
      </c>
      <c r="G370" s="3" t="inlineStr">
        <is>
          <t>aggregate</t>
        </is>
      </c>
      <c r="H370" s="10">
        <f>IFERROR(INDEX(Weights!$D:$D,MATCH($A370,Weights!$A:$A,0)),"")</f>
        <v/>
      </c>
      <c r="I370" s="10">
        <f>IFERROR(INDEX('Data_NSA'!$A:$OK,MATCH(I$2,'Data_NSA'!$A:$A,0),MATCH($D370,'Data_NSA'!$1:$1,0)),"")</f>
        <v/>
      </c>
      <c r="J370" s="10">
        <f>IF($E370="","",IFERROR(INDEX('Data_SA'!$A:$LO,MATCH(I$2,'Data_SA'!$A:$A,0),MATCH($E370,'Data_SA'!$1:$1,0)),""))</f>
        <v/>
      </c>
      <c r="K370" s="7">
        <f>IF($E370="","",IFERROR(INDEX('Data_SA'!$A:$LO,MATCH(I$2,'Data_SA'!$A:$A,0),MATCH($E370,'Data_SA'!$1:$1,0))/INDEX('Data_SA'!$A:$LO,MATCH(EDATE(I$2,-1),'Data_SA'!$A:$A,0),MATCH($E370,'Data_SA'!$1:$1,0))-1,""))</f>
        <v/>
      </c>
      <c r="L370" s="7">
        <f>IFERROR(INDEX('Data_NSA'!$A:$OK,MATCH(I$2,'Data_NSA'!$A:$A,0),MATCH($D370,'Data_NSA'!$1:$1,0))/INDEX('Data_NSA'!$A:$OK,MATCH(EDATE(I$2,-12),'Data_NSA'!$A:$A,0),MATCH($D370,'Data_NSA'!$1:$1,0))-1,"")</f>
        <v/>
      </c>
      <c r="M370" s="10">
        <f>IFERROR(INDEX('Weights'!$G:$I,MATCH($A370,'Weights'!$A:$A,0),MATCH(I$2,'Weights'!$G$1:$I$1,0)),"")</f>
        <v/>
      </c>
      <c r="N370" s="10">
        <f>IF($E370="","",IFERROR(100*(INDEX('Weights'!$D:$D,MATCH($A370,'Weights'!$A:$A,0))*(INDEX('Data_NSA'!$A:$OK,MATCH(EDATE(I$2,-1),'Data_NSA'!$A:$A,0),MATCH($D370,'Data_NSA'!$1:$1,0))/INDEX('Data_NSA'!$A:$OK,MATCH(INDEX('Weights'!$E:$E,MATCH($A370,'Weights'!$A:$A,0)),'Data_NSA'!$A:$A,0),MATCH($D370,'Data_NSA'!$1:$1,0))))/(100*(INDEX('Data_NSA'!$A:$OK,MATCH(EDATE(I$2,-1),'Data_NSA'!$A:$A,0),MATCH("CUUR0000SA0",'Data_NSA'!$1:$1,0))/INDEX('Data_NSA'!$A:$OK,MATCH(INDEX('Weights'!$E:$E,MATCH($A370,'Weights'!$A:$A,0)),'Data_NSA'!$A:$A,0),MATCH("CUUR0000SA0",'Data_NSA'!$1:$1,0))))*(INDEX('Data_SA'!$A:$LO,MATCH(I$2,'Data_SA'!$A:$A,0),MATCH($E370,'Data_SA'!$1:$1,0))/INDEX('Data_SA'!$A:$LO,MATCH(EDATE(I$2,-1),'Data_SA'!$A:$A,0),MATCH($E370,'Data_SA'!$1:$1,0))-1),""))</f>
        <v/>
      </c>
      <c r="O370" s="10">
        <f>IFERROR(INDEX('Data_NSA'!$A:$OK,MATCH(O$2,'Data_NSA'!$A:$A,0),MATCH($D370,'Data_NSA'!$1:$1,0)),"")</f>
        <v/>
      </c>
      <c r="P370" s="10">
        <f>IF($E370="","",IFERROR(INDEX('Data_SA'!$A:$LO,MATCH(O$2,'Data_SA'!$A:$A,0),MATCH($E370,'Data_SA'!$1:$1,0)),""))</f>
        <v/>
      </c>
      <c r="Q370" s="7">
        <f>IF($E370="","",IFERROR(INDEX('Data_SA'!$A:$LO,MATCH(O$2,'Data_SA'!$A:$A,0),MATCH($E370,'Data_SA'!$1:$1,0))/INDEX('Data_SA'!$A:$LO,MATCH(EDATE(O$2,-1),'Data_SA'!$A:$A,0),MATCH($E370,'Data_SA'!$1:$1,0))-1,""))</f>
        <v/>
      </c>
      <c r="R370" s="7">
        <f>IFERROR(INDEX('Data_NSA'!$A:$OK,MATCH(O$2,'Data_NSA'!$A:$A,0),MATCH($D370,'Data_NSA'!$1:$1,0))/INDEX('Data_NSA'!$A:$OK,MATCH(EDATE(O$2,-12),'Data_NSA'!$A:$A,0),MATCH($D370,'Data_NSA'!$1:$1,0))-1,"")</f>
        <v/>
      </c>
      <c r="S370" s="10">
        <f>IFERROR(INDEX('Weights'!$G:$I,MATCH($A370,'Weights'!$A:$A,0),MATCH(O$2,'Weights'!$G$1:$I$1,0)),"")</f>
        <v/>
      </c>
      <c r="T370" s="10">
        <f>IF($E370="","",IFERROR(100*(INDEX('Weights'!$D:$D,MATCH($A370,'Weights'!$A:$A,0))*(INDEX('Data_NSA'!$A:$OK,MATCH(EDATE(O$2,-1),'Data_NSA'!$A:$A,0),MATCH($D370,'Data_NSA'!$1:$1,0))/INDEX('Data_NSA'!$A:$OK,MATCH(INDEX('Weights'!$E:$E,MATCH($A370,'Weights'!$A:$A,0)),'Data_NSA'!$A:$A,0),MATCH($D370,'Data_NSA'!$1:$1,0))))/(100*(INDEX('Data_NSA'!$A:$OK,MATCH(EDATE(O$2,-1),'Data_NSA'!$A:$A,0),MATCH("CUUR0000SA0",'Data_NSA'!$1:$1,0))/INDEX('Data_NSA'!$A:$OK,MATCH(INDEX('Weights'!$E:$E,MATCH($A370,'Weights'!$A:$A,0)),'Data_NSA'!$A:$A,0),MATCH("CUUR0000SA0",'Data_NSA'!$1:$1,0))))*(INDEX('Data_SA'!$A:$LO,MATCH(O$2,'Data_SA'!$A:$A,0),MATCH($E370,'Data_SA'!$1:$1,0))/INDEX('Data_SA'!$A:$LO,MATCH(EDATE(O$2,-1),'Data_SA'!$A:$A,0),MATCH($E370,'Data_SA'!$1:$1,0))-1),""))</f>
        <v/>
      </c>
      <c r="U370" s="10">
        <f>IFERROR(INDEX('Data_NSA'!$A:$OK,MATCH(U$2,'Data_NSA'!$A:$A,0),MATCH($D370,'Data_NSA'!$1:$1,0)),"")</f>
        <v/>
      </c>
      <c r="V370" s="10">
        <f>IF($E370="","",IFERROR(INDEX('Data_SA'!$A:$LO,MATCH(U$2,'Data_SA'!$A:$A,0),MATCH($E370,'Data_SA'!$1:$1,0)),""))</f>
        <v/>
      </c>
      <c r="W370" s="7">
        <f>IF($E370="","",IFERROR(INDEX('Data_SA'!$A:$LO,MATCH(U$2,'Data_SA'!$A:$A,0),MATCH($E370,'Data_SA'!$1:$1,0))/INDEX('Data_SA'!$A:$LO,MATCH(EDATE(U$2,-1),'Data_SA'!$A:$A,0),MATCH($E370,'Data_SA'!$1:$1,0))-1,""))</f>
        <v/>
      </c>
      <c r="X370" s="7">
        <f>IFERROR(INDEX('Data_NSA'!$A:$OK,MATCH(U$2,'Data_NSA'!$A:$A,0),MATCH($D370,'Data_NSA'!$1:$1,0))/INDEX('Data_NSA'!$A:$OK,MATCH(EDATE(U$2,-12),'Data_NSA'!$A:$A,0),MATCH($D370,'Data_NSA'!$1:$1,0))-1,"")</f>
        <v/>
      </c>
      <c r="Y370" s="10">
        <f>IFERROR(INDEX('Weights'!$G:$I,MATCH($A370,'Weights'!$A:$A,0),MATCH(U$2,'Weights'!$G$1:$I$1,0)),"")</f>
        <v/>
      </c>
      <c r="Z370" s="10">
        <f>IF($E370="","",IFERROR(100*(INDEX('Weights'!$D:$D,MATCH($A370,'Weights'!$A:$A,0))*(INDEX('Data_NSA'!$A:$OK,MATCH(EDATE(U$2,-1),'Data_NSA'!$A:$A,0),MATCH($D370,'Data_NSA'!$1:$1,0))/INDEX('Data_NSA'!$A:$OK,MATCH(INDEX('Weights'!$E:$E,MATCH($A370,'Weights'!$A:$A,0)),'Data_NSA'!$A:$A,0),MATCH($D370,'Data_NSA'!$1:$1,0))))/(100*(INDEX('Data_NSA'!$A:$OK,MATCH(EDATE(U$2,-1),'Data_NSA'!$A:$A,0),MATCH("CUUR0000SA0",'Data_NSA'!$1:$1,0))/INDEX('Data_NSA'!$A:$OK,MATCH(INDEX('Weights'!$E:$E,MATCH($A370,'Weights'!$A:$A,0)),'Data_NSA'!$A:$A,0),MATCH("CUUR0000SA0",'Data_NSA'!$1:$1,0))))*(INDEX('Data_SA'!$A:$LO,MATCH(U$2,'Data_SA'!$A:$A,0),MATCH($E370,'Data_SA'!$1:$1,0))/INDEX('Data_SA'!$A:$LO,MATCH(EDATE(U$2,-1),'Data_SA'!$A:$A,0),MATCH($E370,'Data_SA'!$1:$1,0))-1),""))</f>
        <v/>
      </c>
    </row>
    <row r="371">
      <c r="A371" s="3" t="inlineStr">
        <is>
          <t>SACL11</t>
        </is>
      </c>
      <c r="B371" s="3" t="inlineStr">
        <is>
          <t>Commodities less food and beverages</t>
        </is>
      </c>
      <c r="C371" s="3" t="inlineStr">
        <is>
          <t>SAG</t>
        </is>
      </c>
      <c r="D371" s="3" t="inlineStr">
        <is>
          <t>CUUR0000SACL11</t>
        </is>
      </c>
      <c r="E371" s="3" t="inlineStr">
        <is>
          <t>CUSR0000SACL11</t>
        </is>
      </c>
      <c r="F371" s="3" t="inlineStr">
        <is>
          <t>aggregate</t>
        </is>
      </c>
      <c r="G371" s="3" t="inlineStr">
        <is>
          <t>aggregate</t>
        </is>
      </c>
      <c r="H371" s="10">
        <f>IFERROR(INDEX(Weights!$D:$D,MATCH($A371,Weights!$A:$A,0)),"")</f>
        <v/>
      </c>
      <c r="I371" s="10">
        <f>IFERROR(INDEX('Data_NSA'!$A:$OK,MATCH(I$2,'Data_NSA'!$A:$A,0),MATCH($D371,'Data_NSA'!$1:$1,0)),"")</f>
        <v/>
      </c>
      <c r="J371" s="10">
        <f>IF($E371="","",IFERROR(INDEX('Data_SA'!$A:$LO,MATCH(I$2,'Data_SA'!$A:$A,0),MATCH($E371,'Data_SA'!$1:$1,0)),""))</f>
        <v/>
      </c>
      <c r="K371" s="7">
        <f>IF($E371="","",IFERROR(INDEX('Data_SA'!$A:$LO,MATCH(I$2,'Data_SA'!$A:$A,0),MATCH($E371,'Data_SA'!$1:$1,0))/INDEX('Data_SA'!$A:$LO,MATCH(EDATE(I$2,-1),'Data_SA'!$A:$A,0),MATCH($E371,'Data_SA'!$1:$1,0))-1,""))</f>
        <v/>
      </c>
      <c r="L371" s="7">
        <f>IFERROR(INDEX('Data_NSA'!$A:$OK,MATCH(I$2,'Data_NSA'!$A:$A,0),MATCH($D371,'Data_NSA'!$1:$1,0))/INDEX('Data_NSA'!$A:$OK,MATCH(EDATE(I$2,-12),'Data_NSA'!$A:$A,0),MATCH($D371,'Data_NSA'!$1:$1,0))-1,"")</f>
        <v/>
      </c>
      <c r="M371" s="10">
        <f>IFERROR(INDEX('Weights'!$G:$I,MATCH($A371,'Weights'!$A:$A,0),MATCH(I$2,'Weights'!$G$1:$I$1,0)),"")</f>
        <v/>
      </c>
      <c r="N371" s="10">
        <f>IF($E371="","",IFERROR(100*(INDEX('Weights'!$D:$D,MATCH($A371,'Weights'!$A:$A,0))*(INDEX('Data_NSA'!$A:$OK,MATCH(EDATE(I$2,-1),'Data_NSA'!$A:$A,0),MATCH($D371,'Data_NSA'!$1:$1,0))/INDEX('Data_NSA'!$A:$OK,MATCH(INDEX('Weights'!$E:$E,MATCH($A371,'Weights'!$A:$A,0)),'Data_NSA'!$A:$A,0),MATCH($D371,'Data_NSA'!$1:$1,0))))/(100*(INDEX('Data_NSA'!$A:$OK,MATCH(EDATE(I$2,-1),'Data_NSA'!$A:$A,0),MATCH("CUUR0000SA0",'Data_NSA'!$1:$1,0))/INDEX('Data_NSA'!$A:$OK,MATCH(INDEX('Weights'!$E:$E,MATCH($A371,'Weights'!$A:$A,0)),'Data_NSA'!$A:$A,0),MATCH("CUUR0000SA0",'Data_NSA'!$1:$1,0))))*(INDEX('Data_SA'!$A:$LO,MATCH(I$2,'Data_SA'!$A:$A,0),MATCH($E371,'Data_SA'!$1:$1,0))/INDEX('Data_SA'!$A:$LO,MATCH(EDATE(I$2,-1),'Data_SA'!$A:$A,0),MATCH($E371,'Data_SA'!$1:$1,0))-1),""))</f>
        <v/>
      </c>
      <c r="O371" s="10">
        <f>IFERROR(INDEX('Data_NSA'!$A:$OK,MATCH(O$2,'Data_NSA'!$A:$A,0),MATCH($D371,'Data_NSA'!$1:$1,0)),"")</f>
        <v/>
      </c>
      <c r="P371" s="10">
        <f>IF($E371="","",IFERROR(INDEX('Data_SA'!$A:$LO,MATCH(O$2,'Data_SA'!$A:$A,0),MATCH($E371,'Data_SA'!$1:$1,0)),""))</f>
        <v/>
      </c>
      <c r="Q371" s="7">
        <f>IF($E371="","",IFERROR(INDEX('Data_SA'!$A:$LO,MATCH(O$2,'Data_SA'!$A:$A,0),MATCH($E371,'Data_SA'!$1:$1,0))/INDEX('Data_SA'!$A:$LO,MATCH(EDATE(O$2,-1),'Data_SA'!$A:$A,0),MATCH($E371,'Data_SA'!$1:$1,0))-1,""))</f>
        <v/>
      </c>
      <c r="R371" s="7">
        <f>IFERROR(INDEX('Data_NSA'!$A:$OK,MATCH(O$2,'Data_NSA'!$A:$A,0),MATCH($D371,'Data_NSA'!$1:$1,0))/INDEX('Data_NSA'!$A:$OK,MATCH(EDATE(O$2,-12),'Data_NSA'!$A:$A,0),MATCH($D371,'Data_NSA'!$1:$1,0))-1,"")</f>
        <v/>
      </c>
      <c r="S371" s="10">
        <f>IFERROR(INDEX('Weights'!$G:$I,MATCH($A371,'Weights'!$A:$A,0),MATCH(O$2,'Weights'!$G$1:$I$1,0)),"")</f>
        <v/>
      </c>
      <c r="T371" s="10">
        <f>IF($E371="","",IFERROR(100*(INDEX('Weights'!$D:$D,MATCH($A371,'Weights'!$A:$A,0))*(INDEX('Data_NSA'!$A:$OK,MATCH(EDATE(O$2,-1),'Data_NSA'!$A:$A,0),MATCH($D371,'Data_NSA'!$1:$1,0))/INDEX('Data_NSA'!$A:$OK,MATCH(INDEX('Weights'!$E:$E,MATCH($A371,'Weights'!$A:$A,0)),'Data_NSA'!$A:$A,0),MATCH($D371,'Data_NSA'!$1:$1,0))))/(100*(INDEX('Data_NSA'!$A:$OK,MATCH(EDATE(O$2,-1),'Data_NSA'!$A:$A,0),MATCH("CUUR0000SA0",'Data_NSA'!$1:$1,0))/INDEX('Data_NSA'!$A:$OK,MATCH(INDEX('Weights'!$E:$E,MATCH($A371,'Weights'!$A:$A,0)),'Data_NSA'!$A:$A,0),MATCH("CUUR0000SA0",'Data_NSA'!$1:$1,0))))*(INDEX('Data_SA'!$A:$LO,MATCH(O$2,'Data_SA'!$A:$A,0),MATCH($E371,'Data_SA'!$1:$1,0))/INDEX('Data_SA'!$A:$LO,MATCH(EDATE(O$2,-1),'Data_SA'!$A:$A,0),MATCH($E371,'Data_SA'!$1:$1,0))-1),""))</f>
        <v/>
      </c>
      <c r="U371" s="10">
        <f>IFERROR(INDEX('Data_NSA'!$A:$OK,MATCH(U$2,'Data_NSA'!$A:$A,0),MATCH($D371,'Data_NSA'!$1:$1,0)),"")</f>
        <v/>
      </c>
      <c r="V371" s="10">
        <f>IF($E371="","",IFERROR(INDEX('Data_SA'!$A:$LO,MATCH(U$2,'Data_SA'!$A:$A,0),MATCH($E371,'Data_SA'!$1:$1,0)),""))</f>
        <v/>
      </c>
      <c r="W371" s="7">
        <f>IF($E371="","",IFERROR(INDEX('Data_SA'!$A:$LO,MATCH(U$2,'Data_SA'!$A:$A,0),MATCH($E371,'Data_SA'!$1:$1,0))/INDEX('Data_SA'!$A:$LO,MATCH(EDATE(U$2,-1),'Data_SA'!$A:$A,0),MATCH($E371,'Data_SA'!$1:$1,0))-1,""))</f>
        <v/>
      </c>
      <c r="X371" s="7">
        <f>IFERROR(INDEX('Data_NSA'!$A:$OK,MATCH(U$2,'Data_NSA'!$A:$A,0),MATCH($D371,'Data_NSA'!$1:$1,0))/INDEX('Data_NSA'!$A:$OK,MATCH(EDATE(U$2,-12),'Data_NSA'!$A:$A,0),MATCH($D371,'Data_NSA'!$1:$1,0))-1,"")</f>
        <v/>
      </c>
      <c r="Y371" s="10">
        <f>IFERROR(INDEX('Weights'!$G:$I,MATCH($A371,'Weights'!$A:$A,0),MATCH(U$2,'Weights'!$G$1:$I$1,0)),"")</f>
        <v/>
      </c>
      <c r="Z371" s="10">
        <f>IF($E371="","",IFERROR(100*(INDEX('Weights'!$D:$D,MATCH($A371,'Weights'!$A:$A,0))*(INDEX('Data_NSA'!$A:$OK,MATCH(EDATE(U$2,-1),'Data_NSA'!$A:$A,0),MATCH($D371,'Data_NSA'!$1:$1,0))/INDEX('Data_NSA'!$A:$OK,MATCH(INDEX('Weights'!$E:$E,MATCH($A371,'Weights'!$A:$A,0)),'Data_NSA'!$A:$A,0),MATCH($D371,'Data_NSA'!$1:$1,0))))/(100*(INDEX('Data_NSA'!$A:$OK,MATCH(EDATE(U$2,-1),'Data_NSA'!$A:$A,0),MATCH("CUUR0000SA0",'Data_NSA'!$1:$1,0))/INDEX('Data_NSA'!$A:$OK,MATCH(INDEX('Weights'!$E:$E,MATCH($A371,'Weights'!$A:$A,0)),'Data_NSA'!$A:$A,0),MATCH("CUUR0000SA0",'Data_NSA'!$1:$1,0))))*(INDEX('Data_SA'!$A:$LO,MATCH(U$2,'Data_SA'!$A:$A,0),MATCH($E371,'Data_SA'!$1:$1,0))/INDEX('Data_SA'!$A:$LO,MATCH(EDATE(U$2,-1),'Data_SA'!$A:$A,0),MATCH($E371,'Data_SA'!$1:$1,0))-1),""))</f>
        <v/>
      </c>
    </row>
    <row r="372">
      <c r="A372" s="3" t="inlineStr">
        <is>
          <t>SACL1E</t>
        </is>
      </c>
      <c r="B372" s="3" t="inlineStr">
        <is>
          <t>Commodities less food and energy commodities</t>
        </is>
      </c>
      <c r="C372" s="3" t="inlineStr">
        <is>
          <t>SAG</t>
        </is>
      </c>
      <c r="D372" s="3" t="inlineStr">
        <is>
          <t>CUUR0000SACL1E</t>
        </is>
      </c>
      <c r="E372" s="3" t="inlineStr">
        <is>
          <t>CUSR0000SACL1E</t>
        </is>
      </c>
      <c r="F372" s="3" t="inlineStr">
        <is>
          <t>aggregate</t>
        </is>
      </c>
      <c r="G372" s="3" t="inlineStr">
        <is>
          <t>aggregate</t>
        </is>
      </c>
      <c r="H372" s="10">
        <f>IFERROR(INDEX(Weights!$D:$D,MATCH($A372,Weights!$A:$A,0)),"")</f>
        <v/>
      </c>
      <c r="I372" s="10">
        <f>IFERROR(INDEX('Data_NSA'!$A:$OK,MATCH(I$2,'Data_NSA'!$A:$A,0),MATCH($D372,'Data_NSA'!$1:$1,0)),"")</f>
        <v/>
      </c>
      <c r="J372" s="10">
        <f>IF($E372="","",IFERROR(INDEX('Data_SA'!$A:$LO,MATCH(I$2,'Data_SA'!$A:$A,0),MATCH($E372,'Data_SA'!$1:$1,0)),""))</f>
        <v/>
      </c>
      <c r="K372" s="7">
        <f>IF($E372="","",IFERROR(INDEX('Data_SA'!$A:$LO,MATCH(I$2,'Data_SA'!$A:$A,0),MATCH($E372,'Data_SA'!$1:$1,0))/INDEX('Data_SA'!$A:$LO,MATCH(EDATE(I$2,-1),'Data_SA'!$A:$A,0),MATCH($E372,'Data_SA'!$1:$1,0))-1,""))</f>
        <v/>
      </c>
      <c r="L372" s="7">
        <f>IFERROR(INDEX('Data_NSA'!$A:$OK,MATCH(I$2,'Data_NSA'!$A:$A,0),MATCH($D372,'Data_NSA'!$1:$1,0))/INDEX('Data_NSA'!$A:$OK,MATCH(EDATE(I$2,-12),'Data_NSA'!$A:$A,0),MATCH($D372,'Data_NSA'!$1:$1,0))-1,"")</f>
        <v/>
      </c>
      <c r="M372" s="10">
        <f>IFERROR(INDEX('Weights'!$G:$I,MATCH($A372,'Weights'!$A:$A,0),MATCH(I$2,'Weights'!$G$1:$I$1,0)),"")</f>
        <v/>
      </c>
      <c r="N372" s="10">
        <f>IF($E372="","",IFERROR(100*(INDEX('Weights'!$D:$D,MATCH($A372,'Weights'!$A:$A,0))*(INDEX('Data_NSA'!$A:$OK,MATCH(EDATE(I$2,-1),'Data_NSA'!$A:$A,0),MATCH($D372,'Data_NSA'!$1:$1,0))/INDEX('Data_NSA'!$A:$OK,MATCH(INDEX('Weights'!$E:$E,MATCH($A372,'Weights'!$A:$A,0)),'Data_NSA'!$A:$A,0),MATCH($D372,'Data_NSA'!$1:$1,0))))/(100*(INDEX('Data_NSA'!$A:$OK,MATCH(EDATE(I$2,-1),'Data_NSA'!$A:$A,0),MATCH("CUUR0000SA0",'Data_NSA'!$1:$1,0))/INDEX('Data_NSA'!$A:$OK,MATCH(INDEX('Weights'!$E:$E,MATCH($A372,'Weights'!$A:$A,0)),'Data_NSA'!$A:$A,0),MATCH("CUUR0000SA0",'Data_NSA'!$1:$1,0))))*(INDEX('Data_SA'!$A:$LO,MATCH(I$2,'Data_SA'!$A:$A,0),MATCH($E372,'Data_SA'!$1:$1,0))/INDEX('Data_SA'!$A:$LO,MATCH(EDATE(I$2,-1),'Data_SA'!$A:$A,0),MATCH($E372,'Data_SA'!$1:$1,0))-1),""))</f>
        <v/>
      </c>
      <c r="O372" s="10">
        <f>IFERROR(INDEX('Data_NSA'!$A:$OK,MATCH(O$2,'Data_NSA'!$A:$A,0),MATCH($D372,'Data_NSA'!$1:$1,0)),"")</f>
        <v/>
      </c>
      <c r="P372" s="10">
        <f>IF($E372="","",IFERROR(INDEX('Data_SA'!$A:$LO,MATCH(O$2,'Data_SA'!$A:$A,0),MATCH($E372,'Data_SA'!$1:$1,0)),""))</f>
        <v/>
      </c>
      <c r="Q372" s="7">
        <f>IF($E372="","",IFERROR(INDEX('Data_SA'!$A:$LO,MATCH(O$2,'Data_SA'!$A:$A,0),MATCH($E372,'Data_SA'!$1:$1,0))/INDEX('Data_SA'!$A:$LO,MATCH(EDATE(O$2,-1),'Data_SA'!$A:$A,0),MATCH($E372,'Data_SA'!$1:$1,0))-1,""))</f>
        <v/>
      </c>
      <c r="R372" s="7">
        <f>IFERROR(INDEX('Data_NSA'!$A:$OK,MATCH(O$2,'Data_NSA'!$A:$A,0),MATCH($D372,'Data_NSA'!$1:$1,0))/INDEX('Data_NSA'!$A:$OK,MATCH(EDATE(O$2,-12),'Data_NSA'!$A:$A,0),MATCH($D372,'Data_NSA'!$1:$1,0))-1,"")</f>
        <v/>
      </c>
      <c r="S372" s="10">
        <f>IFERROR(INDEX('Weights'!$G:$I,MATCH($A372,'Weights'!$A:$A,0),MATCH(O$2,'Weights'!$G$1:$I$1,0)),"")</f>
        <v/>
      </c>
      <c r="T372" s="10">
        <f>IF($E372="","",IFERROR(100*(INDEX('Weights'!$D:$D,MATCH($A372,'Weights'!$A:$A,0))*(INDEX('Data_NSA'!$A:$OK,MATCH(EDATE(O$2,-1),'Data_NSA'!$A:$A,0),MATCH($D372,'Data_NSA'!$1:$1,0))/INDEX('Data_NSA'!$A:$OK,MATCH(INDEX('Weights'!$E:$E,MATCH($A372,'Weights'!$A:$A,0)),'Data_NSA'!$A:$A,0),MATCH($D372,'Data_NSA'!$1:$1,0))))/(100*(INDEX('Data_NSA'!$A:$OK,MATCH(EDATE(O$2,-1),'Data_NSA'!$A:$A,0),MATCH("CUUR0000SA0",'Data_NSA'!$1:$1,0))/INDEX('Data_NSA'!$A:$OK,MATCH(INDEX('Weights'!$E:$E,MATCH($A372,'Weights'!$A:$A,0)),'Data_NSA'!$A:$A,0),MATCH("CUUR0000SA0",'Data_NSA'!$1:$1,0))))*(INDEX('Data_SA'!$A:$LO,MATCH(O$2,'Data_SA'!$A:$A,0),MATCH($E372,'Data_SA'!$1:$1,0))/INDEX('Data_SA'!$A:$LO,MATCH(EDATE(O$2,-1),'Data_SA'!$A:$A,0),MATCH($E372,'Data_SA'!$1:$1,0))-1),""))</f>
        <v/>
      </c>
      <c r="U372" s="10">
        <f>IFERROR(INDEX('Data_NSA'!$A:$OK,MATCH(U$2,'Data_NSA'!$A:$A,0),MATCH($D372,'Data_NSA'!$1:$1,0)),"")</f>
        <v/>
      </c>
      <c r="V372" s="10">
        <f>IF($E372="","",IFERROR(INDEX('Data_SA'!$A:$LO,MATCH(U$2,'Data_SA'!$A:$A,0),MATCH($E372,'Data_SA'!$1:$1,0)),""))</f>
        <v/>
      </c>
      <c r="W372" s="7">
        <f>IF($E372="","",IFERROR(INDEX('Data_SA'!$A:$LO,MATCH(U$2,'Data_SA'!$A:$A,0),MATCH($E372,'Data_SA'!$1:$1,0))/INDEX('Data_SA'!$A:$LO,MATCH(EDATE(U$2,-1),'Data_SA'!$A:$A,0),MATCH($E372,'Data_SA'!$1:$1,0))-1,""))</f>
        <v/>
      </c>
      <c r="X372" s="7">
        <f>IFERROR(INDEX('Data_NSA'!$A:$OK,MATCH(U$2,'Data_NSA'!$A:$A,0),MATCH($D372,'Data_NSA'!$1:$1,0))/INDEX('Data_NSA'!$A:$OK,MATCH(EDATE(U$2,-12),'Data_NSA'!$A:$A,0),MATCH($D372,'Data_NSA'!$1:$1,0))-1,"")</f>
        <v/>
      </c>
      <c r="Y372" s="10">
        <f>IFERROR(INDEX('Weights'!$G:$I,MATCH($A372,'Weights'!$A:$A,0),MATCH(U$2,'Weights'!$G$1:$I$1,0)),"")</f>
        <v/>
      </c>
      <c r="Z372" s="10">
        <f>IF($E372="","",IFERROR(100*(INDEX('Weights'!$D:$D,MATCH($A372,'Weights'!$A:$A,0))*(INDEX('Data_NSA'!$A:$OK,MATCH(EDATE(U$2,-1),'Data_NSA'!$A:$A,0),MATCH($D372,'Data_NSA'!$1:$1,0))/INDEX('Data_NSA'!$A:$OK,MATCH(INDEX('Weights'!$E:$E,MATCH($A372,'Weights'!$A:$A,0)),'Data_NSA'!$A:$A,0),MATCH($D372,'Data_NSA'!$1:$1,0))))/(100*(INDEX('Data_NSA'!$A:$OK,MATCH(EDATE(U$2,-1),'Data_NSA'!$A:$A,0),MATCH("CUUR0000SA0",'Data_NSA'!$1:$1,0))/INDEX('Data_NSA'!$A:$OK,MATCH(INDEX('Weights'!$E:$E,MATCH($A372,'Weights'!$A:$A,0)),'Data_NSA'!$A:$A,0),MATCH("CUUR0000SA0",'Data_NSA'!$1:$1,0))))*(INDEX('Data_SA'!$A:$LO,MATCH(U$2,'Data_SA'!$A:$A,0),MATCH($E372,'Data_SA'!$1:$1,0))/INDEX('Data_SA'!$A:$LO,MATCH(EDATE(U$2,-1),'Data_SA'!$A:$A,0),MATCH($E372,'Data_SA'!$1:$1,0))-1),""))</f>
        <v/>
      </c>
    </row>
    <row r="373">
      <c r="A373" s="3" t="inlineStr">
        <is>
          <t>SACL1E4</t>
        </is>
      </c>
      <c r="B373" s="3" t="inlineStr">
        <is>
          <t>Commodities less food, energy, and used cars and trucks</t>
        </is>
      </c>
      <c r="C373" s="3" t="inlineStr">
        <is>
          <t>SAG</t>
        </is>
      </c>
      <c r="D373" s="3" t="inlineStr">
        <is>
          <t>CUUR0000SACL1E4</t>
        </is>
      </c>
      <c r="E373" s="3" t="inlineStr">
        <is>
          <t>CUSR0000SACL1E4</t>
        </is>
      </c>
      <c r="F373" s="3" t="inlineStr">
        <is>
          <t>aggregate</t>
        </is>
      </c>
      <c r="G373" s="3" t="inlineStr">
        <is>
          <t>aggregate</t>
        </is>
      </c>
      <c r="H373" s="10">
        <f>IFERROR(INDEX(Weights!$D:$D,MATCH($A373,Weights!$A:$A,0)),"")</f>
        <v/>
      </c>
      <c r="I373" s="10">
        <f>IFERROR(INDEX('Data_NSA'!$A:$OK,MATCH(I$2,'Data_NSA'!$A:$A,0),MATCH($D373,'Data_NSA'!$1:$1,0)),"")</f>
        <v/>
      </c>
      <c r="J373" s="10">
        <f>IF($E373="","",IFERROR(INDEX('Data_SA'!$A:$LO,MATCH(I$2,'Data_SA'!$A:$A,0),MATCH($E373,'Data_SA'!$1:$1,0)),""))</f>
        <v/>
      </c>
      <c r="K373" s="7">
        <f>IF($E373="","",IFERROR(INDEX('Data_SA'!$A:$LO,MATCH(I$2,'Data_SA'!$A:$A,0),MATCH($E373,'Data_SA'!$1:$1,0))/INDEX('Data_SA'!$A:$LO,MATCH(EDATE(I$2,-1),'Data_SA'!$A:$A,0),MATCH($E373,'Data_SA'!$1:$1,0))-1,""))</f>
        <v/>
      </c>
      <c r="L373" s="7">
        <f>IFERROR(INDEX('Data_NSA'!$A:$OK,MATCH(I$2,'Data_NSA'!$A:$A,0),MATCH($D373,'Data_NSA'!$1:$1,0))/INDEX('Data_NSA'!$A:$OK,MATCH(EDATE(I$2,-12),'Data_NSA'!$A:$A,0),MATCH($D373,'Data_NSA'!$1:$1,0))-1,"")</f>
        <v/>
      </c>
      <c r="M373" s="10">
        <f>IFERROR(INDEX('Weights'!$G:$I,MATCH($A373,'Weights'!$A:$A,0),MATCH(I$2,'Weights'!$G$1:$I$1,0)),"")</f>
        <v/>
      </c>
      <c r="N373" s="10">
        <f>IF($E373="","",IFERROR(100*(INDEX('Weights'!$D:$D,MATCH($A373,'Weights'!$A:$A,0))*(INDEX('Data_NSA'!$A:$OK,MATCH(EDATE(I$2,-1),'Data_NSA'!$A:$A,0),MATCH($D373,'Data_NSA'!$1:$1,0))/INDEX('Data_NSA'!$A:$OK,MATCH(INDEX('Weights'!$E:$E,MATCH($A373,'Weights'!$A:$A,0)),'Data_NSA'!$A:$A,0),MATCH($D373,'Data_NSA'!$1:$1,0))))/(100*(INDEX('Data_NSA'!$A:$OK,MATCH(EDATE(I$2,-1),'Data_NSA'!$A:$A,0),MATCH("CUUR0000SA0",'Data_NSA'!$1:$1,0))/INDEX('Data_NSA'!$A:$OK,MATCH(INDEX('Weights'!$E:$E,MATCH($A373,'Weights'!$A:$A,0)),'Data_NSA'!$A:$A,0),MATCH("CUUR0000SA0",'Data_NSA'!$1:$1,0))))*(INDEX('Data_SA'!$A:$LO,MATCH(I$2,'Data_SA'!$A:$A,0),MATCH($E373,'Data_SA'!$1:$1,0))/INDEX('Data_SA'!$A:$LO,MATCH(EDATE(I$2,-1),'Data_SA'!$A:$A,0),MATCH($E373,'Data_SA'!$1:$1,0))-1),""))</f>
        <v/>
      </c>
      <c r="O373" s="10">
        <f>IFERROR(INDEX('Data_NSA'!$A:$OK,MATCH(O$2,'Data_NSA'!$A:$A,0),MATCH($D373,'Data_NSA'!$1:$1,0)),"")</f>
        <v/>
      </c>
      <c r="P373" s="10">
        <f>IF($E373="","",IFERROR(INDEX('Data_SA'!$A:$LO,MATCH(O$2,'Data_SA'!$A:$A,0),MATCH($E373,'Data_SA'!$1:$1,0)),""))</f>
        <v/>
      </c>
      <c r="Q373" s="7">
        <f>IF($E373="","",IFERROR(INDEX('Data_SA'!$A:$LO,MATCH(O$2,'Data_SA'!$A:$A,0),MATCH($E373,'Data_SA'!$1:$1,0))/INDEX('Data_SA'!$A:$LO,MATCH(EDATE(O$2,-1),'Data_SA'!$A:$A,0),MATCH($E373,'Data_SA'!$1:$1,0))-1,""))</f>
        <v/>
      </c>
      <c r="R373" s="7">
        <f>IFERROR(INDEX('Data_NSA'!$A:$OK,MATCH(O$2,'Data_NSA'!$A:$A,0),MATCH($D373,'Data_NSA'!$1:$1,0))/INDEX('Data_NSA'!$A:$OK,MATCH(EDATE(O$2,-12),'Data_NSA'!$A:$A,0),MATCH($D373,'Data_NSA'!$1:$1,0))-1,"")</f>
        <v/>
      </c>
      <c r="S373" s="10">
        <f>IFERROR(INDEX('Weights'!$G:$I,MATCH($A373,'Weights'!$A:$A,0),MATCH(O$2,'Weights'!$G$1:$I$1,0)),"")</f>
        <v/>
      </c>
      <c r="T373" s="10">
        <f>IF($E373="","",IFERROR(100*(INDEX('Weights'!$D:$D,MATCH($A373,'Weights'!$A:$A,0))*(INDEX('Data_NSA'!$A:$OK,MATCH(EDATE(O$2,-1),'Data_NSA'!$A:$A,0),MATCH($D373,'Data_NSA'!$1:$1,0))/INDEX('Data_NSA'!$A:$OK,MATCH(INDEX('Weights'!$E:$E,MATCH($A373,'Weights'!$A:$A,0)),'Data_NSA'!$A:$A,0),MATCH($D373,'Data_NSA'!$1:$1,0))))/(100*(INDEX('Data_NSA'!$A:$OK,MATCH(EDATE(O$2,-1),'Data_NSA'!$A:$A,0),MATCH("CUUR0000SA0",'Data_NSA'!$1:$1,0))/INDEX('Data_NSA'!$A:$OK,MATCH(INDEX('Weights'!$E:$E,MATCH($A373,'Weights'!$A:$A,0)),'Data_NSA'!$A:$A,0),MATCH("CUUR0000SA0",'Data_NSA'!$1:$1,0))))*(INDEX('Data_SA'!$A:$LO,MATCH(O$2,'Data_SA'!$A:$A,0),MATCH($E373,'Data_SA'!$1:$1,0))/INDEX('Data_SA'!$A:$LO,MATCH(EDATE(O$2,-1),'Data_SA'!$A:$A,0),MATCH($E373,'Data_SA'!$1:$1,0))-1),""))</f>
        <v/>
      </c>
      <c r="U373" s="10">
        <f>IFERROR(INDEX('Data_NSA'!$A:$OK,MATCH(U$2,'Data_NSA'!$A:$A,0),MATCH($D373,'Data_NSA'!$1:$1,0)),"")</f>
        <v/>
      </c>
      <c r="V373" s="10">
        <f>IF($E373="","",IFERROR(INDEX('Data_SA'!$A:$LO,MATCH(U$2,'Data_SA'!$A:$A,0),MATCH($E373,'Data_SA'!$1:$1,0)),""))</f>
        <v/>
      </c>
      <c r="W373" s="7">
        <f>IF($E373="","",IFERROR(INDEX('Data_SA'!$A:$LO,MATCH(U$2,'Data_SA'!$A:$A,0),MATCH($E373,'Data_SA'!$1:$1,0))/INDEX('Data_SA'!$A:$LO,MATCH(EDATE(U$2,-1),'Data_SA'!$A:$A,0),MATCH($E373,'Data_SA'!$1:$1,0))-1,""))</f>
        <v/>
      </c>
      <c r="X373" s="7">
        <f>IFERROR(INDEX('Data_NSA'!$A:$OK,MATCH(U$2,'Data_NSA'!$A:$A,0),MATCH($D373,'Data_NSA'!$1:$1,0))/INDEX('Data_NSA'!$A:$OK,MATCH(EDATE(U$2,-12),'Data_NSA'!$A:$A,0),MATCH($D373,'Data_NSA'!$1:$1,0))-1,"")</f>
        <v/>
      </c>
      <c r="Y373" s="10">
        <f>IFERROR(INDEX('Weights'!$G:$I,MATCH($A373,'Weights'!$A:$A,0),MATCH(U$2,'Weights'!$G$1:$I$1,0)),"")</f>
        <v/>
      </c>
      <c r="Z373" s="10">
        <f>IF($E373="","",IFERROR(100*(INDEX('Weights'!$D:$D,MATCH($A373,'Weights'!$A:$A,0))*(INDEX('Data_NSA'!$A:$OK,MATCH(EDATE(U$2,-1),'Data_NSA'!$A:$A,0),MATCH($D373,'Data_NSA'!$1:$1,0))/INDEX('Data_NSA'!$A:$OK,MATCH(INDEX('Weights'!$E:$E,MATCH($A373,'Weights'!$A:$A,0)),'Data_NSA'!$A:$A,0),MATCH($D373,'Data_NSA'!$1:$1,0))))/(100*(INDEX('Data_NSA'!$A:$OK,MATCH(EDATE(U$2,-1),'Data_NSA'!$A:$A,0),MATCH("CUUR0000SA0",'Data_NSA'!$1:$1,0))/INDEX('Data_NSA'!$A:$OK,MATCH(INDEX('Weights'!$E:$E,MATCH($A373,'Weights'!$A:$A,0)),'Data_NSA'!$A:$A,0),MATCH("CUUR0000SA0",'Data_NSA'!$1:$1,0))))*(INDEX('Data_SA'!$A:$LO,MATCH(U$2,'Data_SA'!$A:$A,0),MATCH($E373,'Data_SA'!$1:$1,0))/INDEX('Data_SA'!$A:$LO,MATCH(EDATE(U$2,-1),'Data_SA'!$A:$A,0),MATCH($E373,'Data_SA'!$1:$1,0))-1),""))</f>
        <v/>
      </c>
    </row>
    <row r="374">
      <c r="A374" s="3" t="inlineStr">
        <is>
          <t>SAN1D</t>
        </is>
      </c>
      <c r="B374" s="3" t="inlineStr">
        <is>
          <t>Domestically produced farm food</t>
        </is>
      </c>
      <c r="C374" s="3" t="inlineStr">
        <is>
          <t>SAG</t>
        </is>
      </c>
      <c r="D374" s="3" t="inlineStr">
        <is>
          <t>CUUR0000SAN1D</t>
        </is>
      </c>
      <c r="E374" s="3" t="inlineStr">
        <is>
          <t>CUSR0000SAN1D</t>
        </is>
      </c>
      <c r="F374" s="3" t="inlineStr">
        <is>
          <t>aggregate</t>
        </is>
      </c>
      <c r="G374" s="3" t="inlineStr">
        <is>
          <t>aggregate</t>
        </is>
      </c>
      <c r="H374" s="10">
        <f>IFERROR(INDEX(Weights!$D:$D,MATCH($A374,Weights!$A:$A,0)),"")</f>
        <v/>
      </c>
      <c r="I374" s="10">
        <f>IFERROR(INDEX('Data_NSA'!$A:$OK,MATCH(I$2,'Data_NSA'!$A:$A,0),MATCH($D374,'Data_NSA'!$1:$1,0)),"")</f>
        <v/>
      </c>
      <c r="J374" s="10">
        <f>IF($E374="","",IFERROR(INDEX('Data_SA'!$A:$LO,MATCH(I$2,'Data_SA'!$A:$A,0),MATCH($E374,'Data_SA'!$1:$1,0)),""))</f>
        <v/>
      </c>
      <c r="K374" s="7">
        <f>IF($E374="","",IFERROR(INDEX('Data_SA'!$A:$LO,MATCH(I$2,'Data_SA'!$A:$A,0),MATCH($E374,'Data_SA'!$1:$1,0))/INDEX('Data_SA'!$A:$LO,MATCH(EDATE(I$2,-1),'Data_SA'!$A:$A,0),MATCH($E374,'Data_SA'!$1:$1,0))-1,""))</f>
        <v/>
      </c>
      <c r="L374" s="7">
        <f>IFERROR(INDEX('Data_NSA'!$A:$OK,MATCH(I$2,'Data_NSA'!$A:$A,0),MATCH($D374,'Data_NSA'!$1:$1,0))/INDEX('Data_NSA'!$A:$OK,MATCH(EDATE(I$2,-12),'Data_NSA'!$A:$A,0),MATCH($D374,'Data_NSA'!$1:$1,0))-1,"")</f>
        <v/>
      </c>
      <c r="M374" s="10">
        <f>IFERROR(INDEX('Weights'!$G:$I,MATCH($A374,'Weights'!$A:$A,0),MATCH(I$2,'Weights'!$G$1:$I$1,0)),"")</f>
        <v/>
      </c>
      <c r="N374" s="10">
        <f>IF($E374="","",IFERROR(100*(INDEX('Weights'!$D:$D,MATCH($A374,'Weights'!$A:$A,0))*(INDEX('Data_NSA'!$A:$OK,MATCH(EDATE(I$2,-1),'Data_NSA'!$A:$A,0),MATCH($D374,'Data_NSA'!$1:$1,0))/INDEX('Data_NSA'!$A:$OK,MATCH(INDEX('Weights'!$E:$E,MATCH($A374,'Weights'!$A:$A,0)),'Data_NSA'!$A:$A,0),MATCH($D374,'Data_NSA'!$1:$1,0))))/(100*(INDEX('Data_NSA'!$A:$OK,MATCH(EDATE(I$2,-1),'Data_NSA'!$A:$A,0),MATCH("CUUR0000SA0",'Data_NSA'!$1:$1,0))/INDEX('Data_NSA'!$A:$OK,MATCH(INDEX('Weights'!$E:$E,MATCH($A374,'Weights'!$A:$A,0)),'Data_NSA'!$A:$A,0),MATCH("CUUR0000SA0",'Data_NSA'!$1:$1,0))))*(INDEX('Data_SA'!$A:$LO,MATCH(I$2,'Data_SA'!$A:$A,0),MATCH($E374,'Data_SA'!$1:$1,0))/INDEX('Data_SA'!$A:$LO,MATCH(EDATE(I$2,-1),'Data_SA'!$A:$A,0),MATCH($E374,'Data_SA'!$1:$1,0))-1),""))</f>
        <v/>
      </c>
      <c r="O374" s="10">
        <f>IFERROR(INDEX('Data_NSA'!$A:$OK,MATCH(O$2,'Data_NSA'!$A:$A,0),MATCH($D374,'Data_NSA'!$1:$1,0)),"")</f>
        <v/>
      </c>
      <c r="P374" s="10">
        <f>IF($E374="","",IFERROR(INDEX('Data_SA'!$A:$LO,MATCH(O$2,'Data_SA'!$A:$A,0),MATCH($E374,'Data_SA'!$1:$1,0)),""))</f>
        <v/>
      </c>
      <c r="Q374" s="7">
        <f>IF($E374="","",IFERROR(INDEX('Data_SA'!$A:$LO,MATCH(O$2,'Data_SA'!$A:$A,0),MATCH($E374,'Data_SA'!$1:$1,0))/INDEX('Data_SA'!$A:$LO,MATCH(EDATE(O$2,-1),'Data_SA'!$A:$A,0),MATCH($E374,'Data_SA'!$1:$1,0))-1,""))</f>
        <v/>
      </c>
      <c r="R374" s="7">
        <f>IFERROR(INDEX('Data_NSA'!$A:$OK,MATCH(O$2,'Data_NSA'!$A:$A,0),MATCH($D374,'Data_NSA'!$1:$1,0))/INDEX('Data_NSA'!$A:$OK,MATCH(EDATE(O$2,-12),'Data_NSA'!$A:$A,0),MATCH($D374,'Data_NSA'!$1:$1,0))-1,"")</f>
        <v/>
      </c>
      <c r="S374" s="10">
        <f>IFERROR(INDEX('Weights'!$G:$I,MATCH($A374,'Weights'!$A:$A,0),MATCH(O$2,'Weights'!$G$1:$I$1,0)),"")</f>
        <v/>
      </c>
      <c r="T374" s="10">
        <f>IF($E374="","",IFERROR(100*(INDEX('Weights'!$D:$D,MATCH($A374,'Weights'!$A:$A,0))*(INDEX('Data_NSA'!$A:$OK,MATCH(EDATE(O$2,-1),'Data_NSA'!$A:$A,0),MATCH($D374,'Data_NSA'!$1:$1,0))/INDEX('Data_NSA'!$A:$OK,MATCH(INDEX('Weights'!$E:$E,MATCH($A374,'Weights'!$A:$A,0)),'Data_NSA'!$A:$A,0),MATCH($D374,'Data_NSA'!$1:$1,0))))/(100*(INDEX('Data_NSA'!$A:$OK,MATCH(EDATE(O$2,-1),'Data_NSA'!$A:$A,0),MATCH("CUUR0000SA0",'Data_NSA'!$1:$1,0))/INDEX('Data_NSA'!$A:$OK,MATCH(INDEX('Weights'!$E:$E,MATCH($A374,'Weights'!$A:$A,0)),'Data_NSA'!$A:$A,0),MATCH("CUUR0000SA0",'Data_NSA'!$1:$1,0))))*(INDEX('Data_SA'!$A:$LO,MATCH(O$2,'Data_SA'!$A:$A,0),MATCH($E374,'Data_SA'!$1:$1,0))/INDEX('Data_SA'!$A:$LO,MATCH(EDATE(O$2,-1),'Data_SA'!$A:$A,0),MATCH($E374,'Data_SA'!$1:$1,0))-1),""))</f>
        <v/>
      </c>
      <c r="U374" s="10">
        <f>IFERROR(INDEX('Data_NSA'!$A:$OK,MATCH(U$2,'Data_NSA'!$A:$A,0),MATCH($D374,'Data_NSA'!$1:$1,0)),"")</f>
        <v/>
      </c>
      <c r="V374" s="10">
        <f>IF($E374="","",IFERROR(INDEX('Data_SA'!$A:$LO,MATCH(U$2,'Data_SA'!$A:$A,0),MATCH($E374,'Data_SA'!$1:$1,0)),""))</f>
        <v/>
      </c>
      <c r="W374" s="7">
        <f>IF($E374="","",IFERROR(INDEX('Data_SA'!$A:$LO,MATCH(U$2,'Data_SA'!$A:$A,0),MATCH($E374,'Data_SA'!$1:$1,0))/INDEX('Data_SA'!$A:$LO,MATCH(EDATE(U$2,-1),'Data_SA'!$A:$A,0),MATCH($E374,'Data_SA'!$1:$1,0))-1,""))</f>
        <v/>
      </c>
      <c r="X374" s="7">
        <f>IFERROR(INDEX('Data_NSA'!$A:$OK,MATCH(U$2,'Data_NSA'!$A:$A,0),MATCH($D374,'Data_NSA'!$1:$1,0))/INDEX('Data_NSA'!$A:$OK,MATCH(EDATE(U$2,-12),'Data_NSA'!$A:$A,0),MATCH($D374,'Data_NSA'!$1:$1,0))-1,"")</f>
        <v/>
      </c>
      <c r="Y374" s="10">
        <f>IFERROR(INDEX('Weights'!$G:$I,MATCH($A374,'Weights'!$A:$A,0),MATCH(U$2,'Weights'!$G$1:$I$1,0)),"")</f>
        <v/>
      </c>
      <c r="Z374" s="10">
        <f>IF($E374="","",IFERROR(100*(INDEX('Weights'!$D:$D,MATCH($A374,'Weights'!$A:$A,0))*(INDEX('Data_NSA'!$A:$OK,MATCH(EDATE(U$2,-1),'Data_NSA'!$A:$A,0),MATCH($D374,'Data_NSA'!$1:$1,0))/INDEX('Data_NSA'!$A:$OK,MATCH(INDEX('Weights'!$E:$E,MATCH($A374,'Weights'!$A:$A,0)),'Data_NSA'!$A:$A,0),MATCH($D374,'Data_NSA'!$1:$1,0))))/(100*(INDEX('Data_NSA'!$A:$OK,MATCH(EDATE(U$2,-1),'Data_NSA'!$A:$A,0),MATCH("CUUR0000SA0",'Data_NSA'!$1:$1,0))/INDEX('Data_NSA'!$A:$OK,MATCH(INDEX('Weights'!$E:$E,MATCH($A374,'Weights'!$A:$A,0)),'Data_NSA'!$A:$A,0),MATCH("CUUR0000SA0",'Data_NSA'!$1:$1,0))))*(INDEX('Data_SA'!$A:$LO,MATCH(U$2,'Data_SA'!$A:$A,0),MATCH($E374,'Data_SA'!$1:$1,0))/INDEX('Data_SA'!$A:$LO,MATCH(EDATE(U$2,-1),'Data_SA'!$A:$A,0),MATCH($E374,'Data_SA'!$1:$1,0))-1),""))</f>
        <v/>
      </c>
    </row>
    <row r="375">
      <c r="A375" s="3" t="inlineStr">
        <is>
          <t>SAD</t>
        </is>
      </c>
      <c r="B375" s="3" t="inlineStr">
        <is>
          <t>Durables</t>
        </is>
      </c>
      <c r="C375" s="3" t="inlineStr">
        <is>
          <t>SAG</t>
        </is>
      </c>
      <c r="D375" s="3" t="inlineStr">
        <is>
          <t>CUUR0000SAD</t>
        </is>
      </c>
      <c r="E375" s="3" t="inlineStr">
        <is>
          <t>CUSR0000SAD</t>
        </is>
      </c>
      <c r="F375" s="3" t="inlineStr">
        <is>
          <t>aggregate</t>
        </is>
      </c>
      <c r="G375" s="3" t="inlineStr">
        <is>
          <t>aggregate</t>
        </is>
      </c>
      <c r="H375" s="10">
        <f>IFERROR(INDEX(Weights!$D:$D,MATCH($A375,Weights!$A:$A,0)),"")</f>
        <v/>
      </c>
      <c r="I375" s="10">
        <f>IFERROR(INDEX('Data_NSA'!$A:$OK,MATCH(I$2,'Data_NSA'!$A:$A,0),MATCH($D375,'Data_NSA'!$1:$1,0)),"")</f>
        <v/>
      </c>
      <c r="J375" s="10">
        <f>IF($E375="","",IFERROR(INDEX('Data_SA'!$A:$LO,MATCH(I$2,'Data_SA'!$A:$A,0),MATCH($E375,'Data_SA'!$1:$1,0)),""))</f>
        <v/>
      </c>
      <c r="K375" s="7">
        <f>IF($E375="","",IFERROR(INDEX('Data_SA'!$A:$LO,MATCH(I$2,'Data_SA'!$A:$A,0),MATCH($E375,'Data_SA'!$1:$1,0))/INDEX('Data_SA'!$A:$LO,MATCH(EDATE(I$2,-1),'Data_SA'!$A:$A,0),MATCH($E375,'Data_SA'!$1:$1,0))-1,""))</f>
        <v/>
      </c>
      <c r="L375" s="7">
        <f>IFERROR(INDEX('Data_NSA'!$A:$OK,MATCH(I$2,'Data_NSA'!$A:$A,0),MATCH($D375,'Data_NSA'!$1:$1,0))/INDEX('Data_NSA'!$A:$OK,MATCH(EDATE(I$2,-12),'Data_NSA'!$A:$A,0),MATCH($D375,'Data_NSA'!$1:$1,0))-1,"")</f>
        <v/>
      </c>
      <c r="M375" s="10">
        <f>IFERROR(INDEX('Weights'!$G:$I,MATCH($A375,'Weights'!$A:$A,0),MATCH(I$2,'Weights'!$G$1:$I$1,0)),"")</f>
        <v/>
      </c>
      <c r="N375" s="10">
        <f>IF($E375="","",IFERROR(100*(INDEX('Weights'!$D:$D,MATCH($A375,'Weights'!$A:$A,0))*(INDEX('Data_NSA'!$A:$OK,MATCH(EDATE(I$2,-1),'Data_NSA'!$A:$A,0),MATCH($D375,'Data_NSA'!$1:$1,0))/INDEX('Data_NSA'!$A:$OK,MATCH(INDEX('Weights'!$E:$E,MATCH($A375,'Weights'!$A:$A,0)),'Data_NSA'!$A:$A,0),MATCH($D375,'Data_NSA'!$1:$1,0))))/(100*(INDEX('Data_NSA'!$A:$OK,MATCH(EDATE(I$2,-1),'Data_NSA'!$A:$A,0),MATCH("CUUR0000SA0",'Data_NSA'!$1:$1,0))/INDEX('Data_NSA'!$A:$OK,MATCH(INDEX('Weights'!$E:$E,MATCH($A375,'Weights'!$A:$A,0)),'Data_NSA'!$A:$A,0),MATCH("CUUR0000SA0",'Data_NSA'!$1:$1,0))))*(INDEX('Data_SA'!$A:$LO,MATCH(I$2,'Data_SA'!$A:$A,0),MATCH($E375,'Data_SA'!$1:$1,0))/INDEX('Data_SA'!$A:$LO,MATCH(EDATE(I$2,-1),'Data_SA'!$A:$A,0),MATCH($E375,'Data_SA'!$1:$1,0))-1),""))</f>
        <v/>
      </c>
      <c r="O375" s="10">
        <f>IFERROR(INDEX('Data_NSA'!$A:$OK,MATCH(O$2,'Data_NSA'!$A:$A,0),MATCH($D375,'Data_NSA'!$1:$1,0)),"")</f>
        <v/>
      </c>
      <c r="P375" s="10">
        <f>IF($E375="","",IFERROR(INDEX('Data_SA'!$A:$LO,MATCH(O$2,'Data_SA'!$A:$A,0),MATCH($E375,'Data_SA'!$1:$1,0)),""))</f>
        <v/>
      </c>
      <c r="Q375" s="7">
        <f>IF($E375="","",IFERROR(INDEX('Data_SA'!$A:$LO,MATCH(O$2,'Data_SA'!$A:$A,0),MATCH($E375,'Data_SA'!$1:$1,0))/INDEX('Data_SA'!$A:$LO,MATCH(EDATE(O$2,-1),'Data_SA'!$A:$A,0),MATCH($E375,'Data_SA'!$1:$1,0))-1,""))</f>
        <v/>
      </c>
      <c r="R375" s="7">
        <f>IFERROR(INDEX('Data_NSA'!$A:$OK,MATCH(O$2,'Data_NSA'!$A:$A,0),MATCH($D375,'Data_NSA'!$1:$1,0))/INDEX('Data_NSA'!$A:$OK,MATCH(EDATE(O$2,-12),'Data_NSA'!$A:$A,0),MATCH($D375,'Data_NSA'!$1:$1,0))-1,"")</f>
        <v/>
      </c>
      <c r="S375" s="10">
        <f>IFERROR(INDEX('Weights'!$G:$I,MATCH($A375,'Weights'!$A:$A,0),MATCH(O$2,'Weights'!$G$1:$I$1,0)),"")</f>
        <v/>
      </c>
      <c r="T375" s="10">
        <f>IF($E375="","",IFERROR(100*(INDEX('Weights'!$D:$D,MATCH($A375,'Weights'!$A:$A,0))*(INDEX('Data_NSA'!$A:$OK,MATCH(EDATE(O$2,-1),'Data_NSA'!$A:$A,0),MATCH($D375,'Data_NSA'!$1:$1,0))/INDEX('Data_NSA'!$A:$OK,MATCH(INDEX('Weights'!$E:$E,MATCH($A375,'Weights'!$A:$A,0)),'Data_NSA'!$A:$A,0),MATCH($D375,'Data_NSA'!$1:$1,0))))/(100*(INDEX('Data_NSA'!$A:$OK,MATCH(EDATE(O$2,-1),'Data_NSA'!$A:$A,0),MATCH("CUUR0000SA0",'Data_NSA'!$1:$1,0))/INDEX('Data_NSA'!$A:$OK,MATCH(INDEX('Weights'!$E:$E,MATCH($A375,'Weights'!$A:$A,0)),'Data_NSA'!$A:$A,0),MATCH("CUUR0000SA0",'Data_NSA'!$1:$1,0))))*(INDEX('Data_SA'!$A:$LO,MATCH(O$2,'Data_SA'!$A:$A,0),MATCH($E375,'Data_SA'!$1:$1,0))/INDEX('Data_SA'!$A:$LO,MATCH(EDATE(O$2,-1),'Data_SA'!$A:$A,0),MATCH($E375,'Data_SA'!$1:$1,0))-1),""))</f>
        <v/>
      </c>
      <c r="U375" s="10">
        <f>IFERROR(INDEX('Data_NSA'!$A:$OK,MATCH(U$2,'Data_NSA'!$A:$A,0),MATCH($D375,'Data_NSA'!$1:$1,0)),"")</f>
        <v/>
      </c>
      <c r="V375" s="10">
        <f>IF($E375="","",IFERROR(INDEX('Data_SA'!$A:$LO,MATCH(U$2,'Data_SA'!$A:$A,0),MATCH($E375,'Data_SA'!$1:$1,0)),""))</f>
        <v/>
      </c>
      <c r="W375" s="7">
        <f>IF($E375="","",IFERROR(INDEX('Data_SA'!$A:$LO,MATCH(U$2,'Data_SA'!$A:$A,0),MATCH($E375,'Data_SA'!$1:$1,0))/INDEX('Data_SA'!$A:$LO,MATCH(EDATE(U$2,-1),'Data_SA'!$A:$A,0),MATCH($E375,'Data_SA'!$1:$1,0))-1,""))</f>
        <v/>
      </c>
      <c r="X375" s="7">
        <f>IFERROR(INDEX('Data_NSA'!$A:$OK,MATCH(U$2,'Data_NSA'!$A:$A,0),MATCH($D375,'Data_NSA'!$1:$1,0))/INDEX('Data_NSA'!$A:$OK,MATCH(EDATE(U$2,-12),'Data_NSA'!$A:$A,0),MATCH($D375,'Data_NSA'!$1:$1,0))-1,"")</f>
        <v/>
      </c>
      <c r="Y375" s="10">
        <f>IFERROR(INDEX('Weights'!$G:$I,MATCH($A375,'Weights'!$A:$A,0),MATCH(U$2,'Weights'!$G$1:$I$1,0)),"")</f>
        <v/>
      </c>
      <c r="Z375" s="10">
        <f>IF($E375="","",IFERROR(100*(INDEX('Weights'!$D:$D,MATCH($A375,'Weights'!$A:$A,0))*(INDEX('Data_NSA'!$A:$OK,MATCH(EDATE(U$2,-1),'Data_NSA'!$A:$A,0),MATCH($D375,'Data_NSA'!$1:$1,0))/INDEX('Data_NSA'!$A:$OK,MATCH(INDEX('Weights'!$E:$E,MATCH($A375,'Weights'!$A:$A,0)),'Data_NSA'!$A:$A,0),MATCH($D375,'Data_NSA'!$1:$1,0))))/(100*(INDEX('Data_NSA'!$A:$OK,MATCH(EDATE(U$2,-1),'Data_NSA'!$A:$A,0),MATCH("CUUR0000SA0",'Data_NSA'!$1:$1,0))/INDEX('Data_NSA'!$A:$OK,MATCH(INDEX('Weights'!$E:$E,MATCH($A375,'Weights'!$A:$A,0)),'Data_NSA'!$A:$A,0),MATCH("CUUR0000SA0",'Data_NSA'!$1:$1,0))))*(INDEX('Data_SA'!$A:$LO,MATCH(U$2,'Data_SA'!$A:$A,0),MATCH($E375,'Data_SA'!$1:$1,0))/INDEX('Data_SA'!$A:$LO,MATCH(EDATE(U$2,-1),'Data_SA'!$A:$A,0),MATCH($E375,'Data_SA'!$1:$1,0))-1),""))</f>
        <v/>
      </c>
    </row>
    <row r="376">
      <c r="A376" s="3" t="inlineStr">
        <is>
          <t>SAEC</t>
        </is>
      </c>
      <c r="B376" s="3" t="inlineStr">
        <is>
          <t>Education and communication commodities</t>
        </is>
      </c>
      <c r="C376" s="3" t="inlineStr">
        <is>
          <t>SAG</t>
        </is>
      </c>
      <c r="D376" s="3" t="inlineStr">
        <is>
          <t>CUUR0000SAEC</t>
        </is>
      </c>
      <c r="E376" s="3" t="inlineStr">
        <is>
          <t>CUSR0000SAEC</t>
        </is>
      </c>
      <c r="F376" s="3" t="inlineStr">
        <is>
          <t>aggregate</t>
        </is>
      </c>
      <c r="G376" s="3" t="inlineStr">
        <is>
          <t>aggregate</t>
        </is>
      </c>
      <c r="H376" s="10">
        <f>IFERROR(INDEX(Weights!$D:$D,MATCH($A376,Weights!$A:$A,0)),"")</f>
        <v/>
      </c>
      <c r="I376" s="10">
        <f>IFERROR(INDEX('Data_NSA'!$A:$OK,MATCH(I$2,'Data_NSA'!$A:$A,0),MATCH($D376,'Data_NSA'!$1:$1,0)),"")</f>
        <v/>
      </c>
      <c r="J376" s="10">
        <f>IF($E376="","",IFERROR(INDEX('Data_SA'!$A:$LO,MATCH(I$2,'Data_SA'!$A:$A,0),MATCH($E376,'Data_SA'!$1:$1,0)),""))</f>
        <v/>
      </c>
      <c r="K376" s="7">
        <f>IF($E376="","",IFERROR(INDEX('Data_SA'!$A:$LO,MATCH(I$2,'Data_SA'!$A:$A,0),MATCH($E376,'Data_SA'!$1:$1,0))/INDEX('Data_SA'!$A:$LO,MATCH(EDATE(I$2,-1),'Data_SA'!$A:$A,0),MATCH($E376,'Data_SA'!$1:$1,0))-1,""))</f>
        <v/>
      </c>
      <c r="L376" s="7">
        <f>IFERROR(INDEX('Data_NSA'!$A:$OK,MATCH(I$2,'Data_NSA'!$A:$A,0),MATCH($D376,'Data_NSA'!$1:$1,0))/INDEX('Data_NSA'!$A:$OK,MATCH(EDATE(I$2,-12),'Data_NSA'!$A:$A,0),MATCH($D376,'Data_NSA'!$1:$1,0))-1,"")</f>
        <v/>
      </c>
      <c r="M376" s="10">
        <f>IFERROR(INDEX('Weights'!$G:$I,MATCH($A376,'Weights'!$A:$A,0),MATCH(I$2,'Weights'!$G$1:$I$1,0)),"")</f>
        <v/>
      </c>
      <c r="N376" s="10">
        <f>IF($E376="","",IFERROR(100*(INDEX('Weights'!$D:$D,MATCH($A376,'Weights'!$A:$A,0))*(INDEX('Data_NSA'!$A:$OK,MATCH(EDATE(I$2,-1),'Data_NSA'!$A:$A,0),MATCH($D376,'Data_NSA'!$1:$1,0))/INDEX('Data_NSA'!$A:$OK,MATCH(INDEX('Weights'!$E:$E,MATCH($A376,'Weights'!$A:$A,0)),'Data_NSA'!$A:$A,0),MATCH($D376,'Data_NSA'!$1:$1,0))))/(100*(INDEX('Data_NSA'!$A:$OK,MATCH(EDATE(I$2,-1),'Data_NSA'!$A:$A,0),MATCH("CUUR0000SA0",'Data_NSA'!$1:$1,0))/INDEX('Data_NSA'!$A:$OK,MATCH(INDEX('Weights'!$E:$E,MATCH($A376,'Weights'!$A:$A,0)),'Data_NSA'!$A:$A,0),MATCH("CUUR0000SA0",'Data_NSA'!$1:$1,0))))*(INDEX('Data_SA'!$A:$LO,MATCH(I$2,'Data_SA'!$A:$A,0),MATCH($E376,'Data_SA'!$1:$1,0))/INDEX('Data_SA'!$A:$LO,MATCH(EDATE(I$2,-1),'Data_SA'!$A:$A,0),MATCH($E376,'Data_SA'!$1:$1,0))-1),""))</f>
        <v/>
      </c>
      <c r="O376" s="10">
        <f>IFERROR(INDEX('Data_NSA'!$A:$OK,MATCH(O$2,'Data_NSA'!$A:$A,0),MATCH($D376,'Data_NSA'!$1:$1,0)),"")</f>
        <v/>
      </c>
      <c r="P376" s="10">
        <f>IF($E376="","",IFERROR(INDEX('Data_SA'!$A:$LO,MATCH(O$2,'Data_SA'!$A:$A,0),MATCH($E376,'Data_SA'!$1:$1,0)),""))</f>
        <v/>
      </c>
      <c r="Q376" s="7">
        <f>IF($E376="","",IFERROR(INDEX('Data_SA'!$A:$LO,MATCH(O$2,'Data_SA'!$A:$A,0),MATCH($E376,'Data_SA'!$1:$1,0))/INDEX('Data_SA'!$A:$LO,MATCH(EDATE(O$2,-1),'Data_SA'!$A:$A,0),MATCH($E376,'Data_SA'!$1:$1,0))-1,""))</f>
        <v/>
      </c>
      <c r="R376" s="7">
        <f>IFERROR(INDEX('Data_NSA'!$A:$OK,MATCH(O$2,'Data_NSA'!$A:$A,0),MATCH($D376,'Data_NSA'!$1:$1,0))/INDEX('Data_NSA'!$A:$OK,MATCH(EDATE(O$2,-12),'Data_NSA'!$A:$A,0),MATCH($D376,'Data_NSA'!$1:$1,0))-1,"")</f>
        <v/>
      </c>
      <c r="S376" s="10">
        <f>IFERROR(INDEX('Weights'!$G:$I,MATCH($A376,'Weights'!$A:$A,0),MATCH(O$2,'Weights'!$G$1:$I$1,0)),"")</f>
        <v/>
      </c>
      <c r="T376" s="10">
        <f>IF($E376="","",IFERROR(100*(INDEX('Weights'!$D:$D,MATCH($A376,'Weights'!$A:$A,0))*(INDEX('Data_NSA'!$A:$OK,MATCH(EDATE(O$2,-1),'Data_NSA'!$A:$A,0),MATCH($D376,'Data_NSA'!$1:$1,0))/INDEX('Data_NSA'!$A:$OK,MATCH(INDEX('Weights'!$E:$E,MATCH($A376,'Weights'!$A:$A,0)),'Data_NSA'!$A:$A,0),MATCH($D376,'Data_NSA'!$1:$1,0))))/(100*(INDEX('Data_NSA'!$A:$OK,MATCH(EDATE(O$2,-1),'Data_NSA'!$A:$A,0),MATCH("CUUR0000SA0",'Data_NSA'!$1:$1,0))/INDEX('Data_NSA'!$A:$OK,MATCH(INDEX('Weights'!$E:$E,MATCH($A376,'Weights'!$A:$A,0)),'Data_NSA'!$A:$A,0),MATCH("CUUR0000SA0",'Data_NSA'!$1:$1,0))))*(INDEX('Data_SA'!$A:$LO,MATCH(O$2,'Data_SA'!$A:$A,0),MATCH($E376,'Data_SA'!$1:$1,0))/INDEX('Data_SA'!$A:$LO,MATCH(EDATE(O$2,-1),'Data_SA'!$A:$A,0),MATCH($E376,'Data_SA'!$1:$1,0))-1),""))</f>
        <v/>
      </c>
      <c r="U376" s="10">
        <f>IFERROR(INDEX('Data_NSA'!$A:$OK,MATCH(U$2,'Data_NSA'!$A:$A,0),MATCH($D376,'Data_NSA'!$1:$1,0)),"")</f>
        <v/>
      </c>
      <c r="V376" s="10">
        <f>IF($E376="","",IFERROR(INDEX('Data_SA'!$A:$LO,MATCH(U$2,'Data_SA'!$A:$A,0),MATCH($E376,'Data_SA'!$1:$1,0)),""))</f>
        <v/>
      </c>
      <c r="W376" s="7">
        <f>IF($E376="","",IFERROR(INDEX('Data_SA'!$A:$LO,MATCH(U$2,'Data_SA'!$A:$A,0),MATCH($E376,'Data_SA'!$1:$1,0))/INDEX('Data_SA'!$A:$LO,MATCH(EDATE(U$2,-1),'Data_SA'!$A:$A,0),MATCH($E376,'Data_SA'!$1:$1,0))-1,""))</f>
        <v/>
      </c>
      <c r="X376" s="7">
        <f>IFERROR(INDEX('Data_NSA'!$A:$OK,MATCH(U$2,'Data_NSA'!$A:$A,0),MATCH($D376,'Data_NSA'!$1:$1,0))/INDEX('Data_NSA'!$A:$OK,MATCH(EDATE(U$2,-12),'Data_NSA'!$A:$A,0),MATCH($D376,'Data_NSA'!$1:$1,0))-1,"")</f>
        <v/>
      </c>
      <c r="Y376" s="10">
        <f>IFERROR(INDEX('Weights'!$G:$I,MATCH($A376,'Weights'!$A:$A,0),MATCH(U$2,'Weights'!$G$1:$I$1,0)),"")</f>
        <v/>
      </c>
      <c r="Z376" s="10">
        <f>IF($E376="","",IFERROR(100*(INDEX('Weights'!$D:$D,MATCH($A376,'Weights'!$A:$A,0))*(INDEX('Data_NSA'!$A:$OK,MATCH(EDATE(U$2,-1),'Data_NSA'!$A:$A,0),MATCH($D376,'Data_NSA'!$1:$1,0))/INDEX('Data_NSA'!$A:$OK,MATCH(INDEX('Weights'!$E:$E,MATCH($A376,'Weights'!$A:$A,0)),'Data_NSA'!$A:$A,0),MATCH($D376,'Data_NSA'!$1:$1,0))))/(100*(INDEX('Data_NSA'!$A:$OK,MATCH(EDATE(U$2,-1),'Data_NSA'!$A:$A,0),MATCH("CUUR0000SA0",'Data_NSA'!$1:$1,0))/INDEX('Data_NSA'!$A:$OK,MATCH(INDEX('Weights'!$E:$E,MATCH($A376,'Weights'!$A:$A,0)),'Data_NSA'!$A:$A,0),MATCH("CUUR0000SA0",'Data_NSA'!$1:$1,0))))*(INDEX('Data_SA'!$A:$LO,MATCH(U$2,'Data_SA'!$A:$A,0),MATCH($E376,'Data_SA'!$1:$1,0))/INDEX('Data_SA'!$A:$LO,MATCH(EDATE(U$2,-1),'Data_SA'!$A:$A,0),MATCH($E376,'Data_SA'!$1:$1,0))-1),""))</f>
        <v/>
      </c>
    </row>
    <row r="377">
      <c r="A377" s="3" t="inlineStr">
        <is>
          <t>SAES</t>
        </is>
      </c>
      <c r="B377" s="3" t="inlineStr">
        <is>
          <t>Education and communication services</t>
        </is>
      </c>
      <c r="C377" s="3" t="inlineStr">
        <is>
          <t>SAG</t>
        </is>
      </c>
      <c r="D377" s="3" t="inlineStr">
        <is>
          <t>CUUR0000SAES</t>
        </is>
      </c>
      <c r="E377" s="3" t="inlineStr">
        <is>
          <t>CUSR0000SAES</t>
        </is>
      </c>
      <c r="F377" s="3" t="inlineStr">
        <is>
          <t>aggregate</t>
        </is>
      </c>
      <c r="G377" s="3" t="inlineStr">
        <is>
          <t>aggregate</t>
        </is>
      </c>
      <c r="H377" s="10">
        <f>IFERROR(INDEX(Weights!$D:$D,MATCH($A377,Weights!$A:$A,0)),"")</f>
        <v/>
      </c>
      <c r="I377" s="10">
        <f>IFERROR(INDEX('Data_NSA'!$A:$OK,MATCH(I$2,'Data_NSA'!$A:$A,0),MATCH($D377,'Data_NSA'!$1:$1,0)),"")</f>
        <v/>
      </c>
      <c r="J377" s="10">
        <f>IF($E377="","",IFERROR(INDEX('Data_SA'!$A:$LO,MATCH(I$2,'Data_SA'!$A:$A,0),MATCH($E377,'Data_SA'!$1:$1,0)),""))</f>
        <v/>
      </c>
      <c r="K377" s="7">
        <f>IF($E377="","",IFERROR(INDEX('Data_SA'!$A:$LO,MATCH(I$2,'Data_SA'!$A:$A,0),MATCH($E377,'Data_SA'!$1:$1,0))/INDEX('Data_SA'!$A:$LO,MATCH(EDATE(I$2,-1),'Data_SA'!$A:$A,0),MATCH($E377,'Data_SA'!$1:$1,0))-1,""))</f>
        <v/>
      </c>
      <c r="L377" s="7">
        <f>IFERROR(INDEX('Data_NSA'!$A:$OK,MATCH(I$2,'Data_NSA'!$A:$A,0),MATCH($D377,'Data_NSA'!$1:$1,0))/INDEX('Data_NSA'!$A:$OK,MATCH(EDATE(I$2,-12),'Data_NSA'!$A:$A,0),MATCH($D377,'Data_NSA'!$1:$1,0))-1,"")</f>
        <v/>
      </c>
      <c r="M377" s="10">
        <f>IFERROR(INDEX('Weights'!$G:$I,MATCH($A377,'Weights'!$A:$A,0),MATCH(I$2,'Weights'!$G$1:$I$1,0)),"")</f>
        <v/>
      </c>
      <c r="N377" s="10">
        <f>IF($E377="","",IFERROR(100*(INDEX('Weights'!$D:$D,MATCH($A377,'Weights'!$A:$A,0))*(INDEX('Data_NSA'!$A:$OK,MATCH(EDATE(I$2,-1),'Data_NSA'!$A:$A,0),MATCH($D377,'Data_NSA'!$1:$1,0))/INDEX('Data_NSA'!$A:$OK,MATCH(INDEX('Weights'!$E:$E,MATCH($A377,'Weights'!$A:$A,0)),'Data_NSA'!$A:$A,0),MATCH($D377,'Data_NSA'!$1:$1,0))))/(100*(INDEX('Data_NSA'!$A:$OK,MATCH(EDATE(I$2,-1),'Data_NSA'!$A:$A,0),MATCH("CUUR0000SA0",'Data_NSA'!$1:$1,0))/INDEX('Data_NSA'!$A:$OK,MATCH(INDEX('Weights'!$E:$E,MATCH($A377,'Weights'!$A:$A,0)),'Data_NSA'!$A:$A,0),MATCH("CUUR0000SA0",'Data_NSA'!$1:$1,0))))*(INDEX('Data_SA'!$A:$LO,MATCH(I$2,'Data_SA'!$A:$A,0),MATCH($E377,'Data_SA'!$1:$1,0))/INDEX('Data_SA'!$A:$LO,MATCH(EDATE(I$2,-1),'Data_SA'!$A:$A,0),MATCH($E377,'Data_SA'!$1:$1,0))-1),""))</f>
        <v/>
      </c>
      <c r="O377" s="10">
        <f>IFERROR(INDEX('Data_NSA'!$A:$OK,MATCH(O$2,'Data_NSA'!$A:$A,0),MATCH($D377,'Data_NSA'!$1:$1,0)),"")</f>
        <v/>
      </c>
      <c r="P377" s="10">
        <f>IF($E377="","",IFERROR(INDEX('Data_SA'!$A:$LO,MATCH(O$2,'Data_SA'!$A:$A,0),MATCH($E377,'Data_SA'!$1:$1,0)),""))</f>
        <v/>
      </c>
      <c r="Q377" s="7">
        <f>IF($E377="","",IFERROR(INDEX('Data_SA'!$A:$LO,MATCH(O$2,'Data_SA'!$A:$A,0),MATCH($E377,'Data_SA'!$1:$1,0))/INDEX('Data_SA'!$A:$LO,MATCH(EDATE(O$2,-1),'Data_SA'!$A:$A,0),MATCH($E377,'Data_SA'!$1:$1,0))-1,""))</f>
        <v/>
      </c>
      <c r="R377" s="7">
        <f>IFERROR(INDEX('Data_NSA'!$A:$OK,MATCH(O$2,'Data_NSA'!$A:$A,0),MATCH($D377,'Data_NSA'!$1:$1,0))/INDEX('Data_NSA'!$A:$OK,MATCH(EDATE(O$2,-12),'Data_NSA'!$A:$A,0),MATCH($D377,'Data_NSA'!$1:$1,0))-1,"")</f>
        <v/>
      </c>
      <c r="S377" s="10">
        <f>IFERROR(INDEX('Weights'!$G:$I,MATCH($A377,'Weights'!$A:$A,0),MATCH(O$2,'Weights'!$G$1:$I$1,0)),"")</f>
        <v/>
      </c>
      <c r="T377" s="10">
        <f>IF($E377="","",IFERROR(100*(INDEX('Weights'!$D:$D,MATCH($A377,'Weights'!$A:$A,0))*(INDEX('Data_NSA'!$A:$OK,MATCH(EDATE(O$2,-1),'Data_NSA'!$A:$A,0),MATCH($D377,'Data_NSA'!$1:$1,0))/INDEX('Data_NSA'!$A:$OK,MATCH(INDEX('Weights'!$E:$E,MATCH($A377,'Weights'!$A:$A,0)),'Data_NSA'!$A:$A,0),MATCH($D377,'Data_NSA'!$1:$1,0))))/(100*(INDEX('Data_NSA'!$A:$OK,MATCH(EDATE(O$2,-1),'Data_NSA'!$A:$A,0),MATCH("CUUR0000SA0",'Data_NSA'!$1:$1,0))/INDEX('Data_NSA'!$A:$OK,MATCH(INDEX('Weights'!$E:$E,MATCH($A377,'Weights'!$A:$A,0)),'Data_NSA'!$A:$A,0),MATCH("CUUR0000SA0",'Data_NSA'!$1:$1,0))))*(INDEX('Data_SA'!$A:$LO,MATCH(O$2,'Data_SA'!$A:$A,0),MATCH($E377,'Data_SA'!$1:$1,0))/INDEX('Data_SA'!$A:$LO,MATCH(EDATE(O$2,-1),'Data_SA'!$A:$A,0),MATCH($E377,'Data_SA'!$1:$1,0))-1),""))</f>
        <v/>
      </c>
      <c r="U377" s="10">
        <f>IFERROR(INDEX('Data_NSA'!$A:$OK,MATCH(U$2,'Data_NSA'!$A:$A,0),MATCH($D377,'Data_NSA'!$1:$1,0)),"")</f>
        <v/>
      </c>
      <c r="V377" s="10">
        <f>IF($E377="","",IFERROR(INDEX('Data_SA'!$A:$LO,MATCH(U$2,'Data_SA'!$A:$A,0),MATCH($E377,'Data_SA'!$1:$1,0)),""))</f>
        <v/>
      </c>
      <c r="W377" s="7">
        <f>IF($E377="","",IFERROR(INDEX('Data_SA'!$A:$LO,MATCH(U$2,'Data_SA'!$A:$A,0),MATCH($E377,'Data_SA'!$1:$1,0))/INDEX('Data_SA'!$A:$LO,MATCH(EDATE(U$2,-1),'Data_SA'!$A:$A,0),MATCH($E377,'Data_SA'!$1:$1,0))-1,""))</f>
        <v/>
      </c>
      <c r="X377" s="7">
        <f>IFERROR(INDEX('Data_NSA'!$A:$OK,MATCH(U$2,'Data_NSA'!$A:$A,0),MATCH($D377,'Data_NSA'!$1:$1,0))/INDEX('Data_NSA'!$A:$OK,MATCH(EDATE(U$2,-12),'Data_NSA'!$A:$A,0),MATCH($D377,'Data_NSA'!$1:$1,0))-1,"")</f>
        <v/>
      </c>
      <c r="Y377" s="10">
        <f>IFERROR(INDEX('Weights'!$G:$I,MATCH($A377,'Weights'!$A:$A,0),MATCH(U$2,'Weights'!$G$1:$I$1,0)),"")</f>
        <v/>
      </c>
      <c r="Z377" s="10">
        <f>IF($E377="","",IFERROR(100*(INDEX('Weights'!$D:$D,MATCH($A377,'Weights'!$A:$A,0))*(INDEX('Data_NSA'!$A:$OK,MATCH(EDATE(U$2,-1),'Data_NSA'!$A:$A,0),MATCH($D377,'Data_NSA'!$1:$1,0))/INDEX('Data_NSA'!$A:$OK,MATCH(INDEX('Weights'!$E:$E,MATCH($A377,'Weights'!$A:$A,0)),'Data_NSA'!$A:$A,0),MATCH($D377,'Data_NSA'!$1:$1,0))))/(100*(INDEX('Data_NSA'!$A:$OK,MATCH(EDATE(U$2,-1),'Data_NSA'!$A:$A,0),MATCH("CUUR0000SA0",'Data_NSA'!$1:$1,0))/INDEX('Data_NSA'!$A:$OK,MATCH(INDEX('Weights'!$E:$E,MATCH($A377,'Weights'!$A:$A,0)),'Data_NSA'!$A:$A,0),MATCH("CUUR0000SA0",'Data_NSA'!$1:$1,0))))*(INDEX('Data_SA'!$A:$LO,MATCH(U$2,'Data_SA'!$A:$A,0),MATCH($E377,'Data_SA'!$1:$1,0))/INDEX('Data_SA'!$A:$LO,MATCH(EDATE(U$2,-1),'Data_SA'!$A:$A,0),MATCH($E377,'Data_SA'!$1:$1,0))-1),""))</f>
        <v/>
      </c>
    </row>
    <row r="378">
      <c r="A378" s="3" t="inlineStr">
        <is>
          <t>SA0E</t>
        </is>
      </c>
      <c r="B378" s="3" t="inlineStr">
        <is>
          <t>Energy</t>
        </is>
      </c>
      <c r="C378" s="3" t="inlineStr">
        <is>
          <t>SAG</t>
        </is>
      </c>
      <c r="D378" s="3" t="inlineStr">
        <is>
          <t>CUUR0000SA0E</t>
        </is>
      </c>
      <c r="E378" s="3" t="inlineStr">
        <is>
          <t>CUSR0000SA0E</t>
        </is>
      </c>
      <c r="F378" s="3" t="inlineStr">
        <is>
          <t>aggregate</t>
        </is>
      </c>
      <c r="G378" s="3" t="inlineStr">
        <is>
          <t>aggregate</t>
        </is>
      </c>
      <c r="H378" s="10">
        <f>IFERROR(INDEX(Weights!$D:$D,MATCH($A378,Weights!$A:$A,0)),"")</f>
        <v/>
      </c>
      <c r="I378" s="10">
        <f>IFERROR(INDEX('Data_NSA'!$A:$OK,MATCH(I$2,'Data_NSA'!$A:$A,0),MATCH($D378,'Data_NSA'!$1:$1,0)),"")</f>
        <v/>
      </c>
      <c r="J378" s="10">
        <f>IF($E378="","",IFERROR(INDEX('Data_SA'!$A:$LO,MATCH(I$2,'Data_SA'!$A:$A,0),MATCH($E378,'Data_SA'!$1:$1,0)),""))</f>
        <v/>
      </c>
      <c r="K378" s="7">
        <f>IF($E378="","",IFERROR(INDEX('Data_SA'!$A:$LO,MATCH(I$2,'Data_SA'!$A:$A,0),MATCH($E378,'Data_SA'!$1:$1,0))/INDEX('Data_SA'!$A:$LO,MATCH(EDATE(I$2,-1),'Data_SA'!$A:$A,0),MATCH($E378,'Data_SA'!$1:$1,0))-1,""))</f>
        <v/>
      </c>
      <c r="L378" s="7">
        <f>IFERROR(INDEX('Data_NSA'!$A:$OK,MATCH(I$2,'Data_NSA'!$A:$A,0),MATCH($D378,'Data_NSA'!$1:$1,0))/INDEX('Data_NSA'!$A:$OK,MATCH(EDATE(I$2,-12),'Data_NSA'!$A:$A,0),MATCH($D378,'Data_NSA'!$1:$1,0))-1,"")</f>
        <v/>
      </c>
      <c r="M378" s="10">
        <f>IFERROR(INDEX('Weights'!$G:$I,MATCH($A378,'Weights'!$A:$A,0),MATCH(I$2,'Weights'!$G$1:$I$1,0)),"")</f>
        <v/>
      </c>
      <c r="N378" s="10">
        <f>IF($E378="","",IFERROR(100*(INDEX('Weights'!$D:$D,MATCH($A378,'Weights'!$A:$A,0))*(INDEX('Data_NSA'!$A:$OK,MATCH(EDATE(I$2,-1),'Data_NSA'!$A:$A,0),MATCH($D378,'Data_NSA'!$1:$1,0))/INDEX('Data_NSA'!$A:$OK,MATCH(INDEX('Weights'!$E:$E,MATCH($A378,'Weights'!$A:$A,0)),'Data_NSA'!$A:$A,0),MATCH($D378,'Data_NSA'!$1:$1,0))))/(100*(INDEX('Data_NSA'!$A:$OK,MATCH(EDATE(I$2,-1),'Data_NSA'!$A:$A,0),MATCH("CUUR0000SA0",'Data_NSA'!$1:$1,0))/INDEX('Data_NSA'!$A:$OK,MATCH(INDEX('Weights'!$E:$E,MATCH($A378,'Weights'!$A:$A,0)),'Data_NSA'!$A:$A,0),MATCH("CUUR0000SA0",'Data_NSA'!$1:$1,0))))*(INDEX('Data_SA'!$A:$LO,MATCH(I$2,'Data_SA'!$A:$A,0),MATCH($E378,'Data_SA'!$1:$1,0))/INDEX('Data_SA'!$A:$LO,MATCH(EDATE(I$2,-1),'Data_SA'!$A:$A,0),MATCH($E378,'Data_SA'!$1:$1,0))-1),""))</f>
        <v/>
      </c>
      <c r="O378" s="10">
        <f>IFERROR(INDEX('Data_NSA'!$A:$OK,MATCH(O$2,'Data_NSA'!$A:$A,0),MATCH($D378,'Data_NSA'!$1:$1,0)),"")</f>
        <v/>
      </c>
      <c r="P378" s="10">
        <f>IF($E378="","",IFERROR(INDEX('Data_SA'!$A:$LO,MATCH(O$2,'Data_SA'!$A:$A,0),MATCH($E378,'Data_SA'!$1:$1,0)),""))</f>
        <v/>
      </c>
      <c r="Q378" s="7">
        <f>IF($E378="","",IFERROR(INDEX('Data_SA'!$A:$LO,MATCH(O$2,'Data_SA'!$A:$A,0),MATCH($E378,'Data_SA'!$1:$1,0))/INDEX('Data_SA'!$A:$LO,MATCH(EDATE(O$2,-1),'Data_SA'!$A:$A,0),MATCH($E378,'Data_SA'!$1:$1,0))-1,""))</f>
        <v/>
      </c>
      <c r="R378" s="7">
        <f>IFERROR(INDEX('Data_NSA'!$A:$OK,MATCH(O$2,'Data_NSA'!$A:$A,0),MATCH($D378,'Data_NSA'!$1:$1,0))/INDEX('Data_NSA'!$A:$OK,MATCH(EDATE(O$2,-12),'Data_NSA'!$A:$A,0),MATCH($D378,'Data_NSA'!$1:$1,0))-1,"")</f>
        <v/>
      </c>
      <c r="S378" s="10">
        <f>IFERROR(INDEX('Weights'!$G:$I,MATCH($A378,'Weights'!$A:$A,0),MATCH(O$2,'Weights'!$G$1:$I$1,0)),"")</f>
        <v/>
      </c>
      <c r="T378" s="10">
        <f>IF($E378="","",IFERROR(100*(INDEX('Weights'!$D:$D,MATCH($A378,'Weights'!$A:$A,0))*(INDEX('Data_NSA'!$A:$OK,MATCH(EDATE(O$2,-1),'Data_NSA'!$A:$A,0),MATCH($D378,'Data_NSA'!$1:$1,0))/INDEX('Data_NSA'!$A:$OK,MATCH(INDEX('Weights'!$E:$E,MATCH($A378,'Weights'!$A:$A,0)),'Data_NSA'!$A:$A,0),MATCH($D378,'Data_NSA'!$1:$1,0))))/(100*(INDEX('Data_NSA'!$A:$OK,MATCH(EDATE(O$2,-1),'Data_NSA'!$A:$A,0),MATCH("CUUR0000SA0",'Data_NSA'!$1:$1,0))/INDEX('Data_NSA'!$A:$OK,MATCH(INDEX('Weights'!$E:$E,MATCH($A378,'Weights'!$A:$A,0)),'Data_NSA'!$A:$A,0),MATCH("CUUR0000SA0",'Data_NSA'!$1:$1,0))))*(INDEX('Data_SA'!$A:$LO,MATCH(O$2,'Data_SA'!$A:$A,0),MATCH($E378,'Data_SA'!$1:$1,0))/INDEX('Data_SA'!$A:$LO,MATCH(EDATE(O$2,-1),'Data_SA'!$A:$A,0),MATCH($E378,'Data_SA'!$1:$1,0))-1),""))</f>
        <v/>
      </c>
      <c r="U378" s="10">
        <f>IFERROR(INDEX('Data_NSA'!$A:$OK,MATCH(U$2,'Data_NSA'!$A:$A,0),MATCH($D378,'Data_NSA'!$1:$1,0)),"")</f>
        <v/>
      </c>
      <c r="V378" s="10">
        <f>IF($E378="","",IFERROR(INDEX('Data_SA'!$A:$LO,MATCH(U$2,'Data_SA'!$A:$A,0),MATCH($E378,'Data_SA'!$1:$1,0)),""))</f>
        <v/>
      </c>
      <c r="W378" s="7">
        <f>IF($E378="","",IFERROR(INDEX('Data_SA'!$A:$LO,MATCH(U$2,'Data_SA'!$A:$A,0),MATCH($E378,'Data_SA'!$1:$1,0))/INDEX('Data_SA'!$A:$LO,MATCH(EDATE(U$2,-1),'Data_SA'!$A:$A,0),MATCH($E378,'Data_SA'!$1:$1,0))-1,""))</f>
        <v/>
      </c>
      <c r="X378" s="7">
        <f>IFERROR(INDEX('Data_NSA'!$A:$OK,MATCH(U$2,'Data_NSA'!$A:$A,0),MATCH($D378,'Data_NSA'!$1:$1,0))/INDEX('Data_NSA'!$A:$OK,MATCH(EDATE(U$2,-12),'Data_NSA'!$A:$A,0),MATCH($D378,'Data_NSA'!$1:$1,0))-1,"")</f>
        <v/>
      </c>
      <c r="Y378" s="10">
        <f>IFERROR(INDEX('Weights'!$G:$I,MATCH($A378,'Weights'!$A:$A,0),MATCH(U$2,'Weights'!$G$1:$I$1,0)),"")</f>
        <v/>
      </c>
      <c r="Z378" s="10">
        <f>IF($E378="","",IFERROR(100*(INDEX('Weights'!$D:$D,MATCH($A378,'Weights'!$A:$A,0))*(INDEX('Data_NSA'!$A:$OK,MATCH(EDATE(U$2,-1),'Data_NSA'!$A:$A,0),MATCH($D378,'Data_NSA'!$1:$1,0))/INDEX('Data_NSA'!$A:$OK,MATCH(INDEX('Weights'!$E:$E,MATCH($A378,'Weights'!$A:$A,0)),'Data_NSA'!$A:$A,0),MATCH($D378,'Data_NSA'!$1:$1,0))))/(100*(INDEX('Data_NSA'!$A:$OK,MATCH(EDATE(U$2,-1),'Data_NSA'!$A:$A,0),MATCH("CUUR0000SA0",'Data_NSA'!$1:$1,0))/INDEX('Data_NSA'!$A:$OK,MATCH(INDEX('Weights'!$E:$E,MATCH($A378,'Weights'!$A:$A,0)),'Data_NSA'!$A:$A,0),MATCH("CUUR0000SA0",'Data_NSA'!$1:$1,0))))*(INDEX('Data_SA'!$A:$LO,MATCH(U$2,'Data_SA'!$A:$A,0),MATCH($E378,'Data_SA'!$1:$1,0))/INDEX('Data_SA'!$A:$LO,MATCH(EDATE(U$2,-1),'Data_SA'!$A:$A,0),MATCH($E378,'Data_SA'!$1:$1,0))-1),""))</f>
        <v/>
      </c>
    </row>
    <row r="379">
      <c r="A379" s="3" t="inlineStr">
        <is>
          <t>SACE</t>
        </is>
      </c>
      <c r="B379" s="3" t="inlineStr">
        <is>
          <t>Energy commodities</t>
        </is>
      </c>
      <c r="C379" s="3" t="inlineStr">
        <is>
          <t>SAG</t>
        </is>
      </c>
      <c r="D379" s="3" t="inlineStr">
        <is>
          <t>CUUR0000SACE</t>
        </is>
      </c>
      <c r="E379" s="3" t="inlineStr">
        <is>
          <t>CUSR0000SACE</t>
        </is>
      </c>
      <c r="F379" s="3" t="inlineStr">
        <is>
          <t>aggregate</t>
        </is>
      </c>
      <c r="G379" s="3" t="inlineStr">
        <is>
          <t>aggregate</t>
        </is>
      </c>
      <c r="H379" s="10">
        <f>IFERROR(INDEX(Weights!$D:$D,MATCH($A379,Weights!$A:$A,0)),"")</f>
        <v/>
      </c>
      <c r="I379" s="10">
        <f>IFERROR(INDEX('Data_NSA'!$A:$OK,MATCH(I$2,'Data_NSA'!$A:$A,0),MATCH($D379,'Data_NSA'!$1:$1,0)),"")</f>
        <v/>
      </c>
      <c r="J379" s="10">
        <f>IF($E379="","",IFERROR(INDEX('Data_SA'!$A:$LO,MATCH(I$2,'Data_SA'!$A:$A,0),MATCH($E379,'Data_SA'!$1:$1,0)),""))</f>
        <v/>
      </c>
      <c r="K379" s="7">
        <f>IF($E379="","",IFERROR(INDEX('Data_SA'!$A:$LO,MATCH(I$2,'Data_SA'!$A:$A,0),MATCH($E379,'Data_SA'!$1:$1,0))/INDEX('Data_SA'!$A:$LO,MATCH(EDATE(I$2,-1),'Data_SA'!$A:$A,0),MATCH($E379,'Data_SA'!$1:$1,0))-1,""))</f>
        <v/>
      </c>
      <c r="L379" s="7">
        <f>IFERROR(INDEX('Data_NSA'!$A:$OK,MATCH(I$2,'Data_NSA'!$A:$A,0),MATCH($D379,'Data_NSA'!$1:$1,0))/INDEX('Data_NSA'!$A:$OK,MATCH(EDATE(I$2,-12),'Data_NSA'!$A:$A,0),MATCH($D379,'Data_NSA'!$1:$1,0))-1,"")</f>
        <v/>
      </c>
      <c r="M379" s="10">
        <f>IFERROR(INDEX('Weights'!$G:$I,MATCH($A379,'Weights'!$A:$A,0),MATCH(I$2,'Weights'!$G$1:$I$1,0)),"")</f>
        <v/>
      </c>
      <c r="N379" s="10">
        <f>IF($E379="","",IFERROR(100*(INDEX('Weights'!$D:$D,MATCH($A379,'Weights'!$A:$A,0))*(INDEX('Data_NSA'!$A:$OK,MATCH(EDATE(I$2,-1),'Data_NSA'!$A:$A,0),MATCH($D379,'Data_NSA'!$1:$1,0))/INDEX('Data_NSA'!$A:$OK,MATCH(INDEX('Weights'!$E:$E,MATCH($A379,'Weights'!$A:$A,0)),'Data_NSA'!$A:$A,0),MATCH($D379,'Data_NSA'!$1:$1,0))))/(100*(INDEX('Data_NSA'!$A:$OK,MATCH(EDATE(I$2,-1),'Data_NSA'!$A:$A,0),MATCH("CUUR0000SA0",'Data_NSA'!$1:$1,0))/INDEX('Data_NSA'!$A:$OK,MATCH(INDEX('Weights'!$E:$E,MATCH($A379,'Weights'!$A:$A,0)),'Data_NSA'!$A:$A,0),MATCH("CUUR0000SA0",'Data_NSA'!$1:$1,0))))*(INDEX('Data_SA'!$A:$LO,MATCH(I$2,'Data_SA'!$A:$A,0),MATCH($E379,'Data_SA'!$1:$1,0))/INDEX('Data_SA'!$A:$LO,MATCH(EDATE(I$2,-1),'Data_SA'!$A:$A,0),MATCH($E379,'Data_SA'!$1:$1,0))-1),""))</f>
        <v/>
      </c>
      <c r="O379" s="10">
        <f>IFERROR(INDEX('Data_NSA'!$A:$OK,MATCH(O$2,'Data_NSA'!$A:$A,0),MATCH($D379,'Data_NSA'!$1:$1,0)),"")</f>
        <v/>
      </c>
      <c r="P379" s="10">
        <f>IF($E379="","",IFERROR(INDEX('Data_SA'!$A:$LO,MATCH(O$2,'Data_SA'!$A:$A,0),MATCH($E379,'Data_SA'!$1:$1,0)),""))</f>
        <v/>
      </c>
      <c r="Q379" s="7">
        <f>IF($E379="","",IFERROR(INDEX('Data_SA'!$A:$LO,MATCH(O$2,'Data_SA'!$A:$A,0),MATCH($E379,'Data_SA'!$1:$1,0))/INDEX('Data_SA'!$A:$LO,MATCH(EDATE(O$2,-1),'Data_SA'!$A:$A,0),MATCH($E379,'Data_SA'!$1:$1,0))-1,""))</f>
        <v/>
      </c>
      <c r="R379" s="7">
        <f>IFERROR(INDEX('Data_NSA'!$A:$OK,MATCH(O$2,'Data_NSA'!$A:$A,0),MATCH($D379,'Data_NSA'!$1:$1,0))/INDEX('Data_NSA'!$A:$OK,MATCH(EDATE(O$2,-12),'Data_NSA'!$A:$A,0),MATCH($D379,'Data_NSA'!$1:$1,0))-1,"")</f>
        <v/>
      </c>
      <c r="S379" s="10">
        <f>IFERROR(INDEX('Weights'!$G:$I,MATCH($A379,'Weights'!$A:$A,0),MATCH(O$2,'Weights'!$G$1:$I$1,0)),"")</f>
        <v/>
      </c>
      <c r="T379" s="10">
        <f>IF($E379="","",IFERROR(100*(INDEX('Weights'!$D:$D,MATCH($A379,'Weights'!$A:$A,0))*(INDEX('Data_NSA'!$A:$OK,MATCH(EDATE(O$2,-1),'Data_NSA'!$A:$A,0),MATCH($D379,'Data_NSA'!$1:$1,0))/INDEX('Data_NSA'!$A:$OK,MATCH(INDEX('Weights'!$E:$E,MATCH($A379,'Weights'!$A:$A,0)),'Data_NSA'!$A:$A,0),MATCH($D379,'Data_NSA'!$1:$1,0))))/(100*(INDEX('Data_NSA'!$A:$OK,MATCH(EDATE(O$2,-1),'Data_NSA'!$A:$A,0),MATCH("CUUR0000SA0",'Data_NSA'!$1:$1,0))/INDEX('Data_NSA'!$A:$OK,MATCH(INDEX('Weights'!$E:$E,MATCH($A379,'Weights'!$A:$A,0)),'Data_NSA'!$A:$A,0),MATCH("CUUR0000SA0",'Data_NSA'!$1:$1,0))))*(INDEX('Data_SA'!$A:$LO,MATCH(O$2,'Data_SA'!$A:$A,0),MATCH($E379,'Data_SA'!$1:$1,0))/INDEX('Data_SA'!$A:$LO,MATCH(EDATE(O$2,-1),'Data_SA'!$A:$A,0),MATCH($E379,'Data_SA'!$1:$1,0))-1),""))</f>
        <v/>
      </c>
      <c r="U379" s="10">
        <f>IFERROR(INDEX('Data_NSA'!$A:$OK,MATCH(U$2,'Data_NSA'!$A:$A,0),MATCH($D379,'Data_NSA'!$1:$1,0)),"")</f>
        <v/>
      </c>
      <c r="V379" s="10">
        <f>IF($E379="","",IFERROR(INDEX('Data_SA'!$A:$LO,MATCH(U$2,'Data_SA'!$A:$A,0),MATCH($E379,'Data_SA'!$1:$1,0)),""))</f>
        <v/>
      </c>
      <c r="W379" s="7">
        <f>IF($E379="","",IFERROR(INDEX('Data_SA'!$A:$LO,MATCH(U$2,'Data_SA'!$A:$A,0),MATCH($E379,'Data_SA'!$1:$1,0))/INDEX('Data_SA'!$A:$LO,MATCH(EDATE(U$2,-1),'Data_SA'!$A:$A,0),MATCH($E379,'Data_SA'!$1:$1,0))-1,""))</f>
        <v/>
      </c>
      <c r="X379" s="7">
        <f>IFERROR(INDEX('Data_NSA'!$A:$OK,MATCH(U$2,'Data_NSA'!$A:$A,0),MATCH($D379,'Data_NSA'!$1:$1,0))/INDEX('Data_NSA'!$A:$OK,MATCH(EDATE(U$2,-12),'Data_NSA'!$A:$A,0),MATCH($D379,'Data_NSA'!$1:$1,0))-1,"")</f>
        <v/>
      </c>
      <c r="Y379" s="10">
        <f>IFERROR(INDEX('Weights'!$G:$I,MATCH($A379,'Weights'!$A:$A,0),MATCH(U$2,'Weights'!$G$1:$I$1,0)),"")</f>
        <v/>
      </c>
      <c r="Z379" s="10">
        <f>IF($E379="","",IFERROR(100*(INDEX('Weights'!$D:$D,MATCH($A379,'Weights'!$A:$A,0))*(INDEX('Data_NSA'!$A:$OK,MATCH(EDATE(U$2,-1),'Data_NSA'!$A:$A,0),MATCH($D379,'Data_NSA'!$1:$1,0))/INDEX('Data_NSA'!$A:$OK,MATCH(INDEX('Weights'!$E:$E,MATCH($A379,'Weights'!$A:$A,0)),'Data_NSA'!$A:$A,0),MATCH($D379,'Data_NSA'!$1:$1,0))))/(100*(INDEX('Data_NSA'!$A:$OK,MATCH(EDATE(U$2,-1),'Data_NSA'!$A:$A,0),MATCH("CUUR0000SA0",'Data_NSA'!$1:$1,0))/INDEX('Data_NSA'!$A:$OK,MATCH(INDEX('Weights'!$E:$E,MATCH($A379,'Weights'!$A:$A,0)),'Data_NSA'!$A:$A,0),MATCH("CUUR0000SA0",'Data_NSA'!$1:$1,0))))*(INDEX('Data_SA'!$A:$LO,MATCH(U$2,'Data_SA'!$A:$A,0),MATCH($E379,'Data_SA'!$1:$1,0))/INDEX('Data_SA'!$A:$LO,MATCH(EDATE(U$2,-1),'Data_SA'!$A:$A,0),MATCH($E379,'Data_SA'!$1:$1,0))-1),""))</f>
        <v/>
      </c>
    </row>
    <row r="380">
      <c r="A380" s="3" t="inlineStr">
        <is>
          <t>SAH31</t>
        </is>
      </c>
      <c r="B380" s="3" t="inlineStr">
        <is>
          <t>Household furnishings and supplies</t>
        </is>
      </c>
      <c r="C380" s="3" t="inlineStr">
        <is>
          <t>SAG</t>
        </is>
      </c>
      <c r="D380" s="3" t="inlineStr">
        <is>
          <t>CUUR0000SAH31</t>
        </is>
      </c>
      <c r="E380" s="3" t="inlineStr">
        <is>
          <t>CUSR0000SAH31</t>
        </is>
      </c>
      <c r="F380" s="3" t="inlineStr">
        <is>
          <t>aggregate</t>
        </is>
      </c>
      <c r="G380" s="3" t="inlineStr">
        <is>
          <t>aggregate</t>
        </is>
      </c>
      <c r="H380" s="10">
        <f>IFERROR(INDEX(Weights!$D:$D,MATCH($A380,Weights!$A:$A,0)),"")</f>
        <v/>
      </c>
      <c r="I380" s="10">
        <f>IFERROR(INDEX('Data_NSA'!$A:$OK,MATCH(I$2,'Data_NSA'!$A:$A,0),MATCH($D380,'Data_NSA'!$1:$1,0)),"")</f>
        <v/>
      </c>
      <c r="J380" s="10">
        <f>IF($E380="","",IFERROR(INDEX('Data_SA'!$A:$LO,MATCH(I$2,'Data_SA'!$A:$A,0),MATCH($E380,'Data_SA'!$1:$1,0)),""))</f>
        <v/>
      </c>
      <c r="K380" s="7">
        <f>IF($E380="","",IFERROR(INDEX('Data_SA'!$A:$LO,MATCH(I$2,'Data_SA'!$A:$A,0),MATCH($E380,'Data_SA'!$1:$1,0))/INDEX('Data_SA'!$A:$LO,MATCH(EDATE(I$2,-1),'Data_SA'!$A:$A,0),MATCH($E380,'Data_SA'!$1:$1,0))-1,""))</f>
        <v/>
      </c>
      <c r="L380" s="7">
        <f>IFERROR(INDEX('Data_NSA'!$A:$OK,MATCH(I$2,'Data_NSA'!$A:$A,0),MATCH($D380,'Data_NSA'!$1:$1,0))/INDEX('Data_NSA'!$A:$OK,MATCH(EDATE(I$2,-12),'Data_NSA'!$A:$A,0),MATCH($D380,'Data_NSA'!$1:$1,0))-1,"")</f>
        <v/>
      </c>
      <c r="M380" s="10">
        <f>IFERROR(INDEX('Weights'!$G:$I,MATCH($A380,'Weights'!$A:$A,0),MATCH(I$2,'Weights'!$G$1:$I$1,0)),"")</f>
        <v/>
      </c>
      <c r="N380" s="10">
        <f>IF($E380="","",IFERROR(100*(INDEX('Weights'!$D:$D,MATCH($A380,'Weights'!$A:$A,0))*(INDEX('Data_NSA'!$A:$OK,MATCH(EDATE(I$2,-1),'Data_NSA'!$A:$A,0),MATCH($D380,'Data_NSA'!$1:$1,0))/INDEX('Data_NSA'!$A:$OK,MATCH(INDEX('Weights'!$E:$E,MATCH($A380,'Weights'!$A:$A,0)),'Data_NSA'!$A:$A,0),MATCH($D380,'Data_NSA'!$1:$1,0))))/(100*(INDEX('Data_NSA'!$A:$OK,MATCH(EDATE(I$2,-1),'Data_NSA'!$A:$A,0),MATCH("CUUR0000SA0",'Data_NSA'!$1:$1,0))/INDEX('Data_NSA'!$A:$OK,MATCH(INDEX('Weights'!$E:$E,MATCH($A380,'Weights'!$A:$A,0)),'Data_NSA'!$A:$A,0),MATCH("CUUR0000SA0",'Data_NSA'!$1:$1,0))))*(INDEX('Data_SA'!$A:$LO,MATCH(I$2,'Data_SA'!$A:$A,0),MATCH($E380,'Data_SA'!$1:$1,0))/INDEX('Data_SA'!$A:$LO,MATCH(EDATE(I$2,-1),'Data_SA'!$A:$A,0),MATCH($E380,'Data_SA'!$1:$1,0))-1),""))</f>
        <v/>
      </c>
      <c r="O380" s="10">
        <f>IFERROR(INDEX('Data_NSA'!$A:$OK,MATCH(O$2,'Data_NSA'!$A:$A,0),MATCH($D380,'Data_NSA'!$1:$1,0)),"")</f>
        <v/>
      </c>
      <c r="P380" s="10">
        <f>IF($E380="","",IFERROR(INDEX('Data_SA'!$A:$LO,MATCH(O$2,'Data_SA'!$A:$A,0),MATCH($E380,'Data_SA'!$1:$1,0)),""))</f>
        <v/>
      </c>
      <c r="Q380" s="7">
        <f>IF($E380="","",IFERROR(INDEX('Data_SA'!$A:$LO,MATCH(O$2,'Data_SA'!$A:$A,0),MATCH($E380,'Data_SA'!$1:$1,0))/INDEX('Data_SA'!$A:$LO,MATCH(EDATE(O$2,-1),'Data_SA'!$A:$A,0),MATCH($E380,'Data_SA'!$1:$1,0))-1,""))</f>
        <v/>
      </c>
      <c r="R380" s="7">
        <f>IFERROR(INDEX('Data_NSA'!$A:$OK,MATCH(O$2,'Data_NSA'!$A:$A,0),MATCH($D380,'Data_NSA'!$1:$1,0))/INDEX('Data_NSA'!$A:$OK,MATCH(EDATE(O$2,-12),'Data_NSA'!$A:$A,0),MATCH($D380,'Data_NSA'!$1:$1,0))-1,"")</f>
        <v/>
      </c>
      <c r="S380" s="10">
        <f>IFERROR(INDEX('Weights'!$G:$I,MATCH($A380,'Weights'!$A:$A,0),MATCH(O$2,'Weights'!$G$1:$I$1,0)),"")</f>
        <v/>
      </c>
      <c r="T380" s="10">
        <f>IF($E380="","",IFERROR(100*(INDEX('Weights'!$D:$D,MATCH($A380,'Weights'!$A:$A,0))*(INDEX('Data_NSA'!$A:$OK,MATCH(EDATE(O$2,-1),'Data_NSA'!$A:$A,0),MATCH($D380,'Data_NSA'!$1:$1,0))/INDEX('Data_NSA'!$A:$OK,MATCH(INDEX('Weights'!$E:$E,MATCH($A380,'Weights'!$A:$A,0)),'Data_NSA'!$A:$A,0),MATCH($D380,'Data_NSA'!$1:$1,0))))/(100*(INDEX('Data_NSA'!$A:$OK,MATCH(EDATE(O$2,-1),'Data_NSA'!$A:$A,0),MATCH("CUUR0000SA0",'Data_NSA'!$1:$1,0))/INDEX('Data_NSA'!$A:$OK,MATCH(INDEX('Weights'!$E:$E,MATCH($A380,'Weights'!$A:$A,0)),'Data_NSA'!$A:$A,0),MATCH("CUUR0000SA0",'Data_NSA'!$1:$1,0))))*(INDEX('Data_SA'!$A:$LO,MATCH(O$2,'Data_SA'!$A:$A,0),MATCH($E380,'Data_SA'!$1:$1,0))/INDEX('Data_SA'!$A:$LO,MATCH(EDATE(O$2,-1),'Data_SA'!$A:$A,0),MATCH($E380,'Data_SA'!$1:$1,0))-1),""))</f>
        <v/>
      </c>
      <c r="U380" s="10">
        <f>IFERROR(INDEX('Data_NSA'!$A:$OK,MATCH(U$2,'Data_NSA'!$A:$A,0),MATCH($D380,'Data_NSA'!$1:$1,0)),"")</f>
        <v/>
      </c>
      <c r="V380" s="10">
        <f>IF($E380="","",IFERROR(INDEX('Data_SA'!$A:$LO,MATCH(U$2,'Data_SA'!$A:$A,0),MATCH($E380,'Data_SA'!$1:$1,0)),""))</f>
        <v/>
      </c>
      <c r="W380" s="7">
        <f>IF($E380="","",IFERROR(INDEX('Data_SA'!$A:$LO,MATCH(U$2,'Data_SA'!$A:$A,0),MATCH($E380,'Data_SA'!$1:$1,0))/INDEX('Data_SA'!$A:$LO,MATCH(EDATE(U$2,-1),'Data_SA'!$A:$A,0),MATCH($E380,'Data_SA'!$1:$1,0))-1,""))</f>
        <v/>
      </c>
      <c r="X380" s="7">
        <f>IFERROR(INDEX('Data_NSA'!$A:$OK,MATCH(U$2,'Data_NSA'!$A:$A,0),MATCH($D380,'Data_NSA'!$1:$1,0))/INDEX('Data_NSA'!$A:$OK,MATCH(EDATE(U$2,-12),'Data_NSA'!$A:$A,0),MATCH($D380,'Data_NSA'!$1:$1,0))-1,"")</f>
        <v/>
      </c>
      <c r="Y380" s="10">
        <f>IFERROR(INDEX('Weights'!$G:$I,MATCH($A380,'Weights'!$A:$A,0),MATCH(U$2,'Weights'!$G$1:$I$1,0)),"")</f>
        <v/>
      </c>
      <c r="Z380" s="10">
        <f>IF($E380="","",IFERROR(100*(INDEX('Weights'!$D:$D,MATCH($A380,'Weights'!$A:$A,0))*(INDEX('Data_NSA'!$A:$OK,MATCH(EDATE(U$2,-1),'Data_NSA'!$A:$A,0),MATCH($D380,'Data_NSA'!$1:$1,0))/INDEX('Data_NSA'!$A:$OK,MATCH(INDEX('Weights'!$E:$E,MATCH($A380,'Weights'!$A:$A,0)),'Data_NSA'!$A:$A,0),MATCH($D380,'Data_NSA'!$1:$1,0))))/(100*(INDEX('Data_NSA'!$A:$OK,MATCH(EDATE(U$2,-1),'Data_NSA'!$A:$A,0),MATCH("CUUR0000SA0",'Data_NSA'!$1:$1,0))/INDEX('Data_NSA'!$A:$OK,MATCH(INDEX('Weights'!$E:$E,MATCH($A380,'Weights'!$A:$A,0)),'Data_NSA'!$A:$A,0),MATCH("CUUR0000SA0",'Data_NSA'!$1:$1,0))))*(INDEX('Data_SA'!$A:$LO,MATCH(U$2,'Data_SA'!$A:$A,0),MATCH($E380,'Data_SA'!$1:$1,0))/INDEX('Data_SA'!$A:$LO,MATCH(EDATE(U$2,-1),'Data_SA'!$A:$A,0),MATCH($E380,'Data_SA'!$1:$1,0))-1),""))</f>
        <v/>
      </c>
    </row>
    <row r="381">
      <c r="A381" s="3" t="inlineStr">
        <is>
          <t>SEEEC</t>
        </is>
      </c>
      <c r="B381" s="3" t="inlineStr">
        <is>
          <t>Information technology commodities</t>
        </is>
      </c>
      <c r="C381" s="3" t="inlineStr">
        <is>
          <t>SAG</t>
        </is>
      </c>
      <c r="D381" s="3" t="inlineStr">
        <is>
          <t>CUUR0000SEEEC</t>
        </is>
      </c>
      <c r="E381" s="3" t="inlineStr">
        <is>
          <t>CUSR0000SEEEC</t>
        </is>
      </c>
      <c r="F381" s="3" t="inlineStr">
        <is>
          <t>GM</t>
        </is>
      </c>
      <c r="G381" s="3" t="inlineStr">
        <is>
          <t>monthly in New York/Los Angeles/Chicago; often bimonthly elsewhere</t>
        </is>
      </c>
      <c r="H381" s="10">
        <f>IFERROR(INDEX(Weights!$D:$D,MATCH($A381,Weights!$A:$A,0)),"")</f>
        <v/>
      </c>
      <c r="I381" s="10">
        <f>IFERROR(INDEX('Data_NSA'!$A:$OK,MATCH(I$2,'Data_NSA'!$A:$A,0),MATCH($D381,'Data_NSA'!$1:$1,0)),"")</f>
        <v/>
      </c>
      <c r="J381" s="10">
        <f>IF($E381="","",IFERROR(INDEX('Data_SA'!$A:$LO,MATCH(I$2,'Data_SA'!$A:$A,0),MATCH($E381,'Data_SA'!$1:$1,0)),""))</f>
        <v/>
      </c>
      <c r="K381" s="7">
        <f>IF($E381="","",IFERROR(INDEX('Data_SA'!$A:$LO,MATCH(I$2,'Data_SA'!$A:$A,0),MATCH($E381,'Data_SA'!$1:$1,0))/INDEX('Data_SA'!$A:$LO,MATCH(EDATE(I$2,-1),'Data_SA'!$A:$A,0),MATCH($E381,'Data_SA'!$1:$1,0))-1,""))</f>
        <v/>
      </c>
      <c r="L381" s="7">
        <f>IFERROR(INDEX('Data_NSA'!$A:$OK,MATCH(I$2,'Data_NSA'!$A:$A,0),MATCH($D381,'Data_NSA'!$1:$1,0))/INDEX('Data_NSA'!$A:$OK,MATCH(EDATE(I$2,-12),'Data_NSA'!$A:$A,0),MATCH($D381,'Data_NSA'!$1:$1,0))-1,"")</f>
        <v/>
      </c>
      <c r="M381" s="10">
        <f>IFERROR(INDEX('Weights'!$G:$I,MATCH($A381,'Weights'!$A:$A,0),MATCH(I$2,'Weights'!$G$1:$I$1,0)),"")</f>
        <v/>
      </c>
      <c r="N381" s="10">
        <f>IF($E381="","",IFERROR(100*(INDEX('Weights'!$D:$D,MATCH($A381,'Weights'!$A:$A,0))*(INDEX('Data_NSA'!$A:$OK,MATCH(EDATE(I$2,-1),'Data_NSA'!$A:$A,0),MATCH($D381,'Data_NSA'!$1:$1,0))/INDEX('Data_NSA'!$A:$OK,MATCH(INDEX('Weights'!$E:$E,MATCH($A381,'Weights'!$A:$A,0)),'Data_NSA'!$A:$A,0),MATCH($D381,'Data_NSA'!$1:$1,0))))/(100*(INDEX('Data_NSA'!$A:$OK,MATCH(EDATE(I$2,-1),'Data_NSA'!$A:$A,0),MATCH("CUUR0000SA0",'Data_NSA'!$1:$1,0))/INDEX('Data_NSA'!$A:$OK,MATCH(INDEX('Weights'!$E:$E,MATCH($A381,'Weights'!$A:$A,0)),'Data_NSA'!$A:$A,0),MATCH("CUUR0000SA0",'Data_NSA'!$1:$1,0))))*(INDEX('Data_SA'!$A:$LO,MATCH(I$2,'Data_SA'!$A:$A,0),MATCH($E381,'Data_SA'!$1:$1,0))/INDEX('Data_SA'!$A:$LO,MATCH(EDATE(I$2,-1),'Data_SA'!$A:$A,0),MATCH($E381,'Data_SA'!$1:$1,0))-1),""))</f>
        <v/>
      </c>
      <c r="O381" s="10">
        <f>IFERROR(INDEX('Data_NSA'!$A:$OK,MATCH(O$2,'Data_NSA'!$A:$A,0),MATCH($D381,'Data_NSA'!$1:$1,0)),"")</f>
        <v/>
      </c>
      <c r="P381" s="10">
        <f>IF($E381="","",IFERROR(INDEX('Data_SA'!$A:$LO,MATCH(O$2,'Data_SA'!$A:$A,0),MATCH($E381,'Data_SA'!$1:$1,0)),""))</f>
        <v/>
      </c>
      <c r="Q381" s="7">
        <f>IF($E381="","",IFERROR(INDEX('Data_SA'!$A:$LO,MATCH(O$2,'Data_SA'!$A:$A,0),MATCH($E381,'Data_SA'!$1:$1,0))/INDEX('Data_SA'!$A:$LO,MATCH(EDATE(O$2,-1),'Data_SA'!$A:$A,0),MATCH($E381,'Data_SA'!$1:$1,0))-1,""))</f>
        <v/>
      </c>
      <c r="R381" s="7">
        <f>IFERROR(INDEX('Data_NSA'!$A:$OK,MATCH(O$2,'Data_NSA'!$A:$A,0),MATCH($D381,'Data_NSA'!$1:$1,0))/INDEX('Data_NSA'!$A:$OK,MATCH(EDATE(O$2,-12),'Data_NSA'!$A:$A,0),MATCH($D381,'Data_NSA'!$1:$1,0))-1,"")</f>
        <v/>
      </c>
      <c r="S381" s="10">
        <f>IFERROR(INDEX('Weights'!$G:$I,MATCH($A381,'Weights'!$A:$A,0),MATCH(O$2,'Weights'!$G$1:$I$1,0)),"")</f>
        <v/>
      </c>
      <c r="T381" s="10">
        <f>IF($E381="","",IFERROR(100*(INDEX('Weights'!$D:$D,MATCH($A381,'Weights'!$A:$A,0))*(INDEX('Data_NSA'!$A:$OK,MATCH(EDATE(O$2,-1),'Data_NSA'!$A:$A,0),MATCH($D381,'Data_NSA'!$1:$1,0))/INDEX('Data_NSA'!$A:$OK,MATCH(INDEX('Weights'!$E:$E,MATCH($A381,'Weights'!$A:$A,0)),'Data_NSA'!$A:$A,0),MATCH($D381,'Data_NSA'!$1:$1,0))))/(100*(INDEX('Data_NSA'!$A:$OK,MATCH(EDATE(O$2,-1),'Data_NSA'!$A:$A,0),MATCH("CUUR0000SA0",'Data_NSA'!$1:$1,0))/INDEX('Data_NSA'!$A:$OK,MATCH(INDEX('Weights'!$E:$E,MATCH($A381,'Weights'!$A:$A,0)),'Data_NSA'!$A:$A,0),MATCH("CUUR0000SA0",'Data_NSA'!$1:$1,0))))*(INDEX('Data_SA'!$A:$LO,MATCH(O$2,'Data_SA'!$A:$A,0),MATCH($E381,'Data_SA'!$1:$1,0))/INDEX('Data_SA'!$A:$LO,MATCH(EDATE(O$2,-1),'Data_SA'!$A:$A,0),MATCH($E381,'Data_SA'!$1:$1,0))-1),""))</f>
        <v/>
      </c>
      <c r="U381" s="10">
        <f>IFERROR(INDEX('Data_NSA'!$A:$OK,MATCH(U$2,'Data_NSA'!$A:$A,0),MATCH($D381,'Data_NSA'!$1:$1,0)),"")</f>
        <v/>
      </c>
      <c r="V381" s="10">
        <f>IF($E381="","",IFERROR(INDEX('Data_SA'!$A:$LO,MATCH(U$2,'Data_SA'!$A:$A,0),MATCH($E381,'Data_SA'!$1:$1,0)),""))</f>
        <v/>
      </c>
      <c r="W381" s="7">
        <f>IF($E381="","",IFERROR(INDEX('Data_SA'!$A:$LO,MATCH(U$2,'Data_SA'!$A:$A,0),MATCH($E381,'Data_SA'!$1:$1,0))/INDEX('Data_SA'!$A:$LO,MATCH(EDATE(U$2,-1),'Data_SA'!$A:$A,0),MATCH($E381,'Data_SA'!$1:$1,0))-1,""))</f>
        <v/>
      </c>
      <c r="X381" s="7">
        <f>IFERROR(INDEX('Data_NSA'!$A:$OK,MATCH(U$2,'Data_NSA'!$A:$A,0),MATCH($D381,'Data_NSA'!$1:$1,0))/INDEX('Data_NSA'!$A:$OK,MATCH(EDATE(U$2,-12),'Data_NSA'!$A:$A,0),MATCH($D381,'Data_NSA'!$1:$1,0))-1,"")</f>
        <v/>
      </c>
      <c r="Y381" s="10">
        <f>IFERROR(INDEX('Weights'!$G:$I,MATCH($A381,'Weights'!$A:$A,0),MATCH(U$2,'Weights'!$G$1:$I$1,0)),"")</f>
        <v/>
      </c>
      <c r="Z381" s="10">
        <f>IF($E381="","",IFERROR(100*(INDEX('Weights'!$D:$D,MATCH($A381,'Weights'!$A:$A,0))*(INDEX('Data_NSA'!$A:$OK,MATCH(EDATE(U$2,-1),'Data_NSA'!$A:$A,0),MATCH($D381,'Data_NSA'!$1:$1,0))/INDEX('Data_NSA'!$A:$OK,MATCH(INDEX('Weights'!$E:$E,MATCH($A381,'Weights'!$A:$A,0)),'Data_NSA'!$A:$A,0),MATCH($D381,'Data_NSA'!$1:$1,0))))/(100*(INDEX('Data_NSA'!$A:$OK,MATCH(EDATE(U$2,-1),'Data_NSA'!$A:$A,0),MATCH("CUUR0000SA0",'Data_NSA'!$1:$1,0))/INDEX('Data_NSA'!$A:$OK,MATCH(INDEX('Weights'!$E:$E,MATCH($A381,'Weights'!$A:$A,0)),'Data_NSA'!$A:$A,0),MATCH("CUUR0000SA0",'Data_NSA'!$1:$1,0))))*(INDEX('Data_SA'!$A:$LO,MATCH(U$2,'Data_SA'!$A:$A,0),MATCH($E381,'Data_SA'!$1:$1,0))/INDEX('Data_SA'!$A:$LO,MATCH(EDATE(U$2,-1),'Data_SA'!$A:$A,0),MATCH($E381,'Data_SA'!$1:$1,0))-1),""))</f>
        <v/>
      </c>
    </row>
    <row r="382">
      <c r="A382" s="3" t="inlineStr">
        <is>
          <t>SAN</t>
        </is>
      </c>
      <c r="B382" s="3" t="inlineStr">
        <is>
          <t>Nondurables</t>
        </is>
      </c>
      <c r="C382" s="3" t="inlineStr">
        <is>
          <t>SAG</t>
        </is>
      </c>
      <c r="D382" s="3" t="inlineStr">
        <is>
          <t>CUUR0000SAN</t>
        </is>
      </c>
      <c r="E382" s="3" t="inlineStr">
        <is>
          <t>CUSR0000SAN</t>
        </is>
      </c>
      <c r="F382" s="3" t="inlineStr">
        <is>
          <t>aggregate</t>
        </is>
      </c>
      <c r="G382" s="3" t="inlineStr">
        <is>
          <t>aggregate</t>
        </is>
      </c>
      <c r="H382" s="10">
        <f>IFERROR(INDEX(Weights!$D:$D,MATCH($A382,Weights!$A:$A,0)),"")</f>
        <v/>
      </c>
      <c r="I382" s="10">
        <f>IFERROR(INDEX('Data_NSA'!$A:$OK,MATCH(I$2,'Data_NSA'!$A:$A,0),MATCH($D382,'Data_NSA'!$1:$1,0)),"")</f>
        <v/>
      </c>
      <c r="J382" s="10">
        <f>IF($E382="","",IFERROR(INDEX('Data_SA'!$A:$LO,MATCH(I$2,'Data_SA'!$A:$A,0),MATCH($E382,'Data_SA'!$1:$1,0)),""))</f>
        <v/>
      </c>
      <c r="K382" s="7">
        <f>IF($E382="","",IFERROR(INDEX('Data_SA'!$A:$LO,MATCH(I$2,'Data_SA'!$A:$A,0),MATCH($E382,'Data_SA'!$1:$1,0))/INDEX('Data_SA'!$A:$LO,MATCH(EDATE(I$2,-1),'Data_SA'!$A:$A,0),MATCH($E382,'Data_SA'!$1:$1,0))-1,""))</f>
        <v/>
      </c>
      <c r="L382" s="7">
        <f>IFERROR(INDEX('Data_NSA'!$A:$OK,MATCH(I$2,'Data_NSA'!$A:$A,0),MATCH($D382,'Data_NSA'!$1:$1,0))/INDEX('Data_NSA'!$A:$OK,MATCH(EDATE(I$2,-12),'Data_NSA'!$A:$A,0),MATCH($D382,'Data_NSA'!$1:$1,0))-1,"")</f>
        <v/>
      </c>
      <c r="M382" s="10">
        <f>IFERROR(INDEX('Weights'!$G:$I,MATCH($A382,'Weights'!$A:$A,0),MATCH(I$2,'Weights'!$G$1:$I$1,0)),"")</f>
        <v/>
      </c>
      <c r="N382" s="10">
        <f>IF($E382="","",IFERROR(100*(INDEX('Weights'!$D:$D,MATCH($A382,'Weights'!$A:$A,0))*(INDEX('Data_NSA'!$A:$OK,MATCH(EDATE(I$2,-1),'Data_NSA'!$A:$A,0),MATCH($D382,'Data_NSA'!$1:$1,0))/INDEX('Data_NSA'!$A:$OK,MATCH(INDEX('Weights'!$E:$E,MATCH($A382,'Weights'!$A:$A,0)),'Data_NSA'!$A:$A,0),MATCH($D382,'Data_NSA'!$1:$1,0))))/(100*(INDEX('Data_NSA'!$A:$OK,MATCH(EDATE(I$2,-1),'Data_NSA'!$A:$A,0),MATCH("CUUR0000SA0",'Data_NSA'!$1:$1,0))/INDEX('Data_NSA'!$A:$OK,MATCH(INDEX('Weights'!$E:$E,MATCH($A382,'Weights'!$A:$A,0)),'Data_NSA'!$A:$A,0),MATCH("CUUR0000SA0",'Data_NSA'!$1:$1,0))))*(INDEX('Data_SA'!$A:$LO,MATCH(I$2,'Data_SA'!$A:$A,0),MATCH($E382,'Data_SA'!$1:$1,0))/INDEX('Data_SA'!$A:$LO,MATCH(EDATE(I$2,-1),'Data_SA'!$A:$A,0),MATCH($E382,'Data_SA'!$1:$1,0))-1),""))</f>
        <v/>
      </c>
      <c r="O382" s="10">
        <f>IFERROR(INDEX('Data_NSA'!$A:$OK,MATCH(O$2,'Data_NSA'!$A:$A,0),MATCH($D382,'Data_NSA'!$1:$1,0)),"")</f>
        <v/>
      </c>
      <c r="P382" s="10">
        <f>IF($E382="","",IFERROR(INDEX('Data_SA'!$A:$LO,MATCH(O$2,'Data_SA'!$A:$A,0),MATCH($E382,'Data_SA'!$1:$1,0)),""))</f>
        <v/>
      </c>
      <c r="Q382" s="7">
        <f>IF($E382="","",IFERROR(INDEX('Data_SA'!$A:$LO,MATCH(O$2,'Data_SA'!$A:$A,0),MATCH($E382,'Data_SA'!$1:$1,0))/INDEX('Data_SA'!$A:$LO,MATCH(EDATE(O$2,-1),'Data_SA'!$A:$A,0),MATCH($E382,'Data_SA'!$1:$1,0))-1,""))</f>
        <v/>
      </c>
      <c r="R382" s="7">
        <f>IFERROR(INDEX('Data_NSA'!$A:$OK,MATCH(O$2,'Data_NSA'!$A:$A,0),MATCH($D382,'Data_NSA'!$1:$1,0))/INDEX('Data_NSA'!$A:$OK,MATCH(EDATE(O$2,-12),'Data_NSA'!$A:$A,0),MATCH($D382,'Data_NSA'!$1:$1,0))-1,"")</f>
        <v/>
      </c>
      <c r="S382" s="10">
        <f>IFERROR(INDEX('Weights'!$G:$I,MATCH($A382,'Weights'!$A:$A,0),MATCH(O$2,'Weights'!$G$1:$I$1,0)),"")</f>
        <v/>
      </c>
      <c r="T382" s="10">
        <f>IF($E382="","",IFERROR(100*(INDEX('Weights'!$D:$D,MATCH($A382,'Weights'!$A:$A,0))*(INDEX('Data_NSA'!$A:$OK,MATCH(EDATE(O$2,-1),'Data_NSA'!$A:$A,0),MATCH($D382,'Data_NSA'!$1:$1,0))/INDEX('Data_NSA'!$A:$OK,MATCH(INDEX('Weights'!$E:$E,MATCH($A382,'Weights'!$A:$A,0)),'Data_NSA'!$A:$A,0),MATCH($D382,'Data_NSA'!$1:$1,0))))/(100*(INDEX('Data_NSA'!$A:$OK,MATCH(EDATE(O$2,-1),'Data_NSA'!$A:$A,0),MATCH("CUUR0000SA0",'Data_NSA'!$1:$1,0))/INDEX('Data_NSA'!$A:$OK,MATCH(INDEX('Weights'!$E:$E,MATCH($A382,'Weights'!$A:$A,0)),'Data_NSA'!$A:$A,0),MATCH("CUUR0000SA0",'Data_NSA'!$1:$1,0))))*(INDEX('Data_SA'!$A:$LO,MATCH(O$2,'Data_SA'!$A:$A,0),MATCH($E382,'Data_SA'!$1:$1,0))/INDEX('Data_SA'!$A:$LO,MATCH(EDATE(O$2,-1),'Data_SA'!$A:$A,0),MATCH($E382,'Data_SA'!$1:$1,0))-1),""))</f>
        <v/>
      </c>
      <c r="U382" s="10">
        <f>IFERROR(INDEX('Data_NSA'!$A:$OK,MATCH(U$2,'Data_NSA'!$A:$A,0),MATCH($D382,'Data_NSA'!$1:$1,0)),"")</f>
        <v/>
      </c>
      <c r="V382" s="10">
        <f>IF($E382="","",IFERROR(INDEX('Data_SA'!$A:$LO,MATCH(U$2,'Data_SA'!$A:$A,0),MATCH($E382,'Data_SA'!$1:$1,0)),""))</f>
        <v/>
      </c>
      <c r="W382" s="7">
        <f>IF($E382="","",IFERROR(INDEX('Data_SA'!$A:$LO,MATCH(U$2,'Data_SA'!$A:$A,0),MATCH($E382,'Data_SA'!$1:$1,0))/INDEX('Data_SA'!$A:$LO,MATCH(EDATE(U$2,-1),'Data_SA'!$A:$A,0),MATCH($E382,'Data_SA'!$1:$1,0))-1,""))</f>
        <v/>
      </c>
      <c r="X382" s="7">
        <f>IFERROR(INDEX('Data_NSA'!$A:$OK,MATCH(U$2,'Data_NSA'!$A:$A,0),MATCH($D382,'Data_NSA'!$1:$1,0))/INDEX('Data_NSA'!$A:$OK,MATCH(EDATE(U$2,-12),'Data_NSA'!$A:$A,0),MATCH($D382,'Data_NSA'!$1:$1,0))-1,"")</f>
        <v/>
      </c>
      <c r="Y382" s="10">
        <f>IFERROR(INDEX('Weights'!$G:$I,MATCH($A382,'Weights'!$A:$A,0),MATCH(U$2,'Weights'!$G$1:$I$1,0)),"")</f>
        <v/>
      </c>
      <c r="Z382" s="10">
        <f>IF($E382="","",IFERROR(100*(INDEX('Weights'!$D:$D,MATCH($A382,'Weights'!$A:$A,0))*(INDEX('Data_NSA'!$A:$OK,MATCH(EDATE(U$2,-1),'Data_NSA'!$A:$A,0),MATCH($D382,'Data_NSA'!$1:$1,0))/INDEX('Data_NSA'!$A:$OK,MATCH(INDEX('Weights'!$E:$E,MATCH($A382,'Weights'!$A:$A,0)),'Data_NSA'!$A:$A,0),MATCH($D382,'Data_NSA'!$1:$1,0))))/(100*(INDEX('Data_NSA'!$A:$OK,MATCH(EDATE(U$2,-1),'Data_NSA'!$A:$A,0),MATCH("CUUR0000SA0",'Data_NSA'!$1:$1,0))/INDEX('Data_NSA'!$A:$OK,MATCH(INDEX('Weights'!$E:$E,MATCH($A382,'Weights'!$A:$A,0)),'Data_NSA'!$A:$A,0),MATCH("CUUR0000SA0",'Data_NSA'!$1:$1,0))))*(INDEX('Data_SA'!$A:$LO,MATCH(U$2,'Data_SA'!$A:$A,0),MATCH($E382,'Data_SA'!$1:$1,0))/INDEX('Data_SA'!$A:$LO,MATCH(EDATE(U$2,-1),'Data_SA'!$A:$A,0),MATCH($E382,'Data_SA'!$1:$1,0))-1),""))</f>
        <v/>
      </c>
    </row>
    <row r="383">
      <c r="A383" s="3" t="inlineStr">
        <is>
          <t>SANL1</t>
        </is>
      </c>
      <c r="B383" s="3" t="inlineStr">
        <is>
          <t>Nondurables less food</t>
        </is>
      </c>
      <c r="C383" s="3" t="inlineStr">
        <is>
          <t>SAG</t>
        </is>
      </c>
      <c r="D383" s="3" t="inlineStr">
        <is>
          <t>CUUR0000SANL1</t>
        </is>
      </c>
      <c r="E383" s="3" t="inlineStr">
        <is>
          <t>CUSR0000SANL1</t>
        </is>
      </c>
      <c r="F383" s="3" t="inlineStr">
        <is>
          <t>aggregate</t>
        </is>
      </c>
      <c r="G383" s="3" t="inlineStr">
        <is>
          <t>aggregate</t>
        </is>
      </c>
      <c r="H383" s="10">
        <f>IFERROR(INDEX(Weights!$D:$D,MATCH($A383,Weights!$A:$A,0)),"")</f>
        <v/>
      </c>
      <c r="I383" s="10">
        <f>IFERROR(INDEX('Data_NSA'!$A:$OK,MATCH(I$2,'Data_NSA'!$A:$A,0),MATCH($D383,'Data_NSA'!$1:$1,0)),"")</f>
        <v/>
      </c>
      <c r="J383" s="10">
        <f>IF($E383="","",IFERROR(INDEX('Data_SA'!$A:$LO,MATCH(I$2,'Data_SA'!$A:$A,0),MATCH($E383,'Data_SA'!$1:$1,0)),""))</f>
        <v/>
      </c>
      <c r="K383" s="7">
        <f>IF($E383="","",IFERROR(INDEX('Data_SA'!$A:$LO,MATCH(I$2,'Data_SA'!$A:$A,0),MATCH($E383,'Data_SA'!$1:$1,0))/INDEX('Data_SA'!$A:$LO,MATCH(EDATE(I$2,-1),'Data_SA'!$A:$A,0),MATCH($E383,'Data_SA'!$1:$1,0))-1,""))</f>
        <v/>
      </c>
      <c r="L383" s="7">
        <f>IFERROR(INDEX('Data_NSA'!$A:$OK,MATCH(I$2,'Data_NSA'!$A:$A,0),MATCH($D383,'Data_NSA'!$1:$1,0))/INDEX('Data_NSA'!$A:$OK,MATCH(EDATE(I$2,-12),'Data_NSA'!$A:$A,0),MATCH($D383,'Data_NSA'!$1:$1,0))-1,"")</f>
        <v/>
      </c>
      <c r="M383" s="10">
        <f>IFERROR(INDEX('Weights'!$G:$I,MATCH($A383,'Weights'!$A:$A,0),MATCH(I$2,'Weights'!$G$1:$I$1,0)),"")</f>
        <v/>
      </c>
      <c r="N383" s="10">
        <f>IF($E383="","",IFERROR(100*(INDEX('Weights'!$D:$D,MATCH($A383,'Weights'!$A:$A,0))*(INDEX('Data_NSA'!$A:$OK,MATCH(EDATE(I$2,-1),'Data_NSA'!$A:$A,0),MATCH($D383,'Data_NSA'!$1:$1,0))/INDEX('Data_NSA'!$A:$OK,MATCH(INDEX('Weights'!$E:$E,MATCH($A383,'Weights'!$A:$A,0)),'Data_NSA'!$A:$A,0),MATCH($D383,'Data_NSA'!$1:$1,0))))/(100*(INDEX('Data_NSA'!$A:$OK,MATCH(EDATE(I$2,-1),'Data_NSA'!$A:$A,0),MATCH("CUUR0000SA0",'Data_NSA'!$1:$1,0))/INDEX('Data_NSA'!$A:$OK,MATCH(INDEX('Weights'!$E:$E,MATCH($A383,'Weights'!$A:$A,0)),'Data_NSA'!$A:$A,0),MATCH("CUUR0000SA0",'Data_NSA'!$1:$1,0))))*(INDEX('Data_SA'!$A:$LO,MATCH(I$2,'Data_SA'!$A:$A,0),MATCH($E383,'Data_SA'!$1:$1,0))/INDEX('Data_SA'!$A:$LO,MATCH(EDATE(I$2,-1),'Data_SA'!$A:$A,0),MATCH($E383,'Data_SA'!$1:$1,0))-1),""))</f>
        <v/>
      </c>
      <c r="O383" s="10">
        <f>IFERROR(INDEX('Data_NSA'!$A:$OK,MATCH(O$2,'Data_NSA'!$A:$A,0),MATCH($D383,'Data_NSA'!$1:$1,0)),"")</f>
        <v/>
      </c>
      <c r="P383" s="10">
        <f>IF($E383="","",IFERROR(INDEX('Data_SA'!$A:$LO,MATCH(O$2,'Data_SA'!$A:$A,0),MATCH($E383,'Data_SA'!$1:$1,0)),""))</f>
        <v/>
      </c>
      <c r="Q383" s="7">
        <f>IF($E383="","",IFERROR(INDEX('Data_SA'!$A:$LO,MATCH(O$2,'Data_SA'!$A:$A,0),MATCH($E383,'Data_SA'!$1:$1,0))/INDEX('Data_SA'!$A:$LO,MATCH(EDATE(O$2,-1),'Data_SA'!$A:$A,0),MATCH($E383,'Data_SA'!$1:$1,0))-1,""))</f>
        <v/>
      </c>
      <c r="R383" s="7">
        <f>IFERROR(INDEX('Data_NSA'!$A:$OK,MATCH(O$2,'Data_NSA'!$A:$A,0),MATCH($D383,'Data_NSA'!$1:$1,0))/INDEX('Data_NSA'!$A:$OK,MATCH(EDATE(O$2,-12),'Data_NSA'!$A:$A,0),MATCH($D383,'Data_NSA'!$1:$1,0))-1,"")</f>
        <v/>
      </c>
      <c r="S383" s="10">
        <f>IFERROR(INDEX('Weights'!$G:$I,MATCH($A383,'Weights'!$A:$A,0),MATCH(O$2,'Weights'!$G$1:$I$1,0)),"")</f>
        <v/>
      </c>
      <c r="T383" s="10">
        <f>IF($E383="","",IFERROR(100*(INDEX('Weights'!$D:$D,MATCH($A383,'Weights'!$A:$A,0))*(INDEX('Data_NSA'!$A:$OK,MATCH(EDATE(O$2,-1),'Data_NSA'!$A:$A,0),MATCH($D383,'Data_NSA'!$1:$1,0))/INDEX('Data_NSA'!$A:$OK,MATCH(INDEX('Weights'!$E:$E,MATCH($A383,'Weights'!$A:$A,0)),'Data_NSA'!$A:$A,0),MATCH($D383,'Data_NSA'!$1:$1,0))))/(100*(INDEX('Data_NSA'!$A:$OK,MATCH(EDATE(O$2,-1),'Data_NSA'!$A:$A,0),MATCH("CUUR0000SA0",'Data_NSA'!$1:$1,0))/INDEX('Data_NSA'!$A:$OK,MATCH(INDEX('Weights'!$E:$E,MATCH($A383,'Weights'!$A:$A,0)),'Data_NSA'!$A:$A,0),MATCH("CUUR0000SA0",'Data_NSA'!$1:$1,0))))*(INDEX('Data_SA'!$A:$LO,MATCH(O$2,'Data_SA'!$A:$A,0),MATCH($E383,'Data_SA'!$1:$1,0))/INDEX('Data_SA'!$A:$LO,MATCH(EDATE(O$2,-1),'Data_SA'!$A:$A,0),MATCH($E383,'Data_SA'!$1:$1,0))-1),""))</f>
        <v/>
      </c>
      <c r="U383" s="10">
        <f>IFERROR(INDEX('Data_NSA'!$A:$OK,MATCH(U$2,'Data_NSA'!$A:$A,0),MATCH($D383,'Data_NSA'!$1:$1,0)),"")</f>
        <v/>
      </c>
      <c r="V383" s="10">
        <f>IF($E383="","",IFERROR(INDEX('Data_SA'!$A:$LO,MATCH(U$2,'Data_SA'!$A:$A,0),MATCH($E383,'Data_SA'!$1:$1,0)),""))</f>
        <v/>
      </c>
      <c r="W383" s="7">
        <f>IF($E383="","",IFERROR(INDEX('Data_SA'!$A:$LO,MATCH(U$2,'Data_SA'!$A:$A,0),MATCH($E383,'Data_SA'!$1:$1,0))/INDEX('Data_SA'!$A:$LO,MATCH(EDATE(U$2,-1),'Data_SA'!$A:$A,0),MATCH($E383,'Data_SA'!$1:$1,0))-1,""))</f>
        <v/>
      </c>
      <c r="X383" s="7">
        <f>IFERROR(INDEX('Data_NSA'!$A:$OK,MATCH(U$2,'Data_NSA'!$A:$A,0),MATCH($D383,'Data_NSA'!$1:$1,0))/INDEX('Data_NSA'!$A:$OK,MATCH(EDATE(U$2,-12),'Data_NSA'!$A:$A,0),MATCH($D383,'Data_NSA'!$1:$1,0))-1,"")</f>
        <v/>
      </c>
      <c r="Y383" s="10">
        <f>IFERROR(INDEX('Weights'!$G:$I,MATCH($A383,'Weights'!$A:$A,0),MATCH(U$2,'Weights'!$G$1:$I$1,0)),"")</f>
        <v/>
      </c>
      <c r="Z383" s="10">
        <f>IF($E383="","",IFERROR(100*(INDEX('Weights'!$D:$D,MATCH($A383,'Weights'!$A:$A,0))*(INDEX('Data_NSA'!$A:$OK,MATCH(EDATE(U$2,-1),'Data_NSA'!$A:$A,0),MATCH($D383,'Data_NSA'!$1:$1,0))/INDEX('Data_NSA'!$A:$OK,MATCH(INDEX('Weights'!$E:$E,MATCH($A383,'Weights'!$A:$A,0)),'Data_NSA'!$A:$A,0),MATCH($D383,'Data_NSA'!$1:$1,0))))/(100*(INDEX('Data_NSA'!$A:$OK,MATCH(EDATE(U$2,-1),'Data_NSA'!$A:$A,0),MATCH("CUUR0000SA0",'Data_NSA'!$1:$1,0))/INDEX('Data_NSA'!$A:$OK,MATCH(INDEX('Weights'!$E:$E,MATCH($A383,'Weights'!$A:$A,0)),'Data_NSA'!$A:$A,0),MATCH("CUUR0000SA0",'Data_NSA'!$1:$1,0))))*(INDEX('Data_SA'!$A:$LO,MATCH(U$2,'Data_SA'!$A:$A,0),MATCH($E383,'Data_SA'!$1:$1,0))/INDEX('Data_SA'!$A:$LO,MATCH(EDATE(U$2,-1),'Data_SA'!$A:$A,0),MATCH($E383,'Data_SA'!$1:$1,0))-1),""))</f>
        <v/>
      </c>
    </row>
    <row r="384">
      <c r="A384" s="3" t="inlineStr">
        <is>
          <t>SANL13</t>
        </is>
      </c>
      <c r="B384" s="3" t="inlineStr">
        <is>
          <t>Nondurables less food and apparel</t>
        </is>
      </c>
      <c r="C384" s="3" t="inlineStr">
        <is>
          <t>SAG</t>
        </is>
      </c>
      <c r="D384" s="3" t="inlineStr">
        <is>
          <t>CUUR0000SANL13</t>
        </is>
      </c>
      <c r="E384" s="3" t="inlineStr">
        <is>
          <t>CUSR0000SANL13</t>
        </is>
      </c>
      <c r="F384" s="3" t="inlineStr">
        <is>
          <t>aggregate</t>
        </is>
      </c>
      <c r="G384" s="3" t="inlineStr">
        <is>
          <t>aggregate</t>
        </is>
      </c>
      <c r="H384" s="10">
        <f>IFERROR(INDEX(Weights!$D:$D,MATCH($A384,Weights!$A:$A,0)),"")</f>
        <v/>
      </c>
      <c r="I384" s="10">
        <f>IFERROR(INDEX('Data_NSA'!$A:$OK,MATCH(I$2,'Data_NSA'!$A:$A,0),MATCH($D384,'Data_NSA'!$1:$1,0)),"")</f>
        <v/>
      </c>
      <c r="J384" s="10">
        <f>IF($E384="","",IFERROR(INDEX('Data_SA'!$A:$LO,MATCH(I$2,'Data_SA'!$A:$A,0),MATCH($E384,'Data_SA'!$1:$1,0)),""))</f>
        <v/>
      </c>
      <c r="K384" s="7">
        <f>IF($E384="","",IFERROR(INDEX('Data_SA'!$A:$LO,MATCH(I$2,'Data_SA'!$A:$A,0),MATCH($E384,'Data_SA'!$1:$1,0))/INDEX('Data_SA'!$A:$LO,MATCH(EDATE(I$2,-1),'Data_SA'!$A:$A,0),MATCH($E384,'Data_SA'!$1:$1,0))-1,""))</f>
        <v/>
      </c>
      <c r="L384" s="7">
        <f>IFERROR(INDEX('Data_NSA'!$A:$OK,MATCH(I$2,'Data_NSA'!$A:$A,0),MATCH($D384,'Data_NSA'!$1:$1,0))/INDEX('Data_NSA'!$A:$OK,MATCH(EDATE(I$2,-12),'Data_NSA'!$A:$A,0),MATCH($D384,'Data_NSA'!$1:$1,0))-1,"")</f>
        <v/>
      </c>
      <c r="M384" s="10">
        <f>IFERROR(INDEX('Weights'!$G:$I,MATCH($A384,'Weights'!$A:$A,0),MATCH(I$2,'Weights'!$G$1:$I$1,0)),"")</f>
        <v/>
      </c>
      <c r="N384" s="10">
        <f>IF($E384="","",IFERROR(100*(INDEX('Weights'!$D:$D,MATCH($A384,'Weights'!$A:$A,0))*(INDEX('Data_NSA'!$A:$OK,MATCH(EDATE(I$2,-1),'Data_NSA'!$A:$A,0),MATCH($D384,'Data_NSA'!$1:$1,0))/INDEX('Data_NSA'!$A:$OK,MATCH(INDEX('Weights'!$E:$E,MATCH($A384,'Weights'!$A:$A,0)),'Data_NSA'!$A:$A,0),MATCH($D384,'Data_NSA'!$1:$1,0))))/(100*(INDEX('Data_NSA'!$A:$OK,MATCH(EDATE(I$2,-1),'Data_NSA'!$A:$A,0),MATCH("CUUR0000SA0",'Data_NSA'!$1:$1,0))/INDEX('Data_NSA'!$A:$OK,MATCH(INDEX('Weights'!$E:$E,MATCH($A384,'Weights'!$A:$A,0)),'Data_NSA'!$A:$A,0),MATCH("CUUR0000SA0",'Data_NSA'!$1:$1,0))))*(INDEX('Data_SA'!$A:$LO,MATCH(I$2,'Data_SA'!$A:$A,0),MATCH($E384,'Data_SA'!$1:$1,0))/INDEX('Data_SA'!$A:$LO,MATCH(EDATE(I$2,-1),'Data_SA'!$A:$A,0),MATCH($E384,'Data_SA'!$1:$1,0))-1),""))</f>
        <v/>
      </c>
      <c r="O384" s="10">
        <f>IFERROR(INDEX('Data_NSA'!$A:$OK,MATCH(O$2,'Data_NSA'!$A:$A,0),MATCH($D384,'Data_NSA'!$1:$1,0)),"")</f>
        <v/>
      </c>
      <c r="P384" s="10">
        <f>IF($E384="","",IFERROR(INDEX('Data_SA'!$A:$LO,MATCH(O$2,'Data_SA'!$A:$A,0),MATCH($E384,'Data_SA'!$1:$1,0)),""))</f>
        <v/>
      </c>
      <c r="Q384" s="7">
        <f>IF($E384="","",IFERROR(INDEX('Data_SA'!$A:$LO,MATCH(O$2,'Data_SA'!$A:$A,0),MATCH($E384,'Data_SA'!$1:$1,0))/INDEX('Data_SA'!$A:$LO,MATCH(EDATE(O$2,-1),'Data_SA'!$A:$A,0),MATCH($E384,'Data_SA'!$1:$1,0))-1,""))</f>
        <v/>
      </c>
      <c r="R384" s="7">
        <f>IFERROR(INDEX('Data_NSA'!$A:$OK,MATCH(O$2,'Data_NSA'!$A:$A,0),MATCH($D384,'Data_NSA'!$1:$1,0))/INDEX('Data_NSA'!$A:$OK,MATCH(EDATE(O$2,-12),'Data_NSA'!$A:$A,0),MATCH($D384,'Data_NSA'!$1:$1,0))-1,"")</f>
        <v/>
      </c>
      <c r="S384" s="10">
        <f>IFERROR(INDEX('Weights'!$G:$I,MATCH($A384,'Weights'!$A:$A,0),MATCH(O$2,'Weights'!$G$1:$I$1,0)),"")</f>
        <v/>
      </c>
      <c r="T384" s="10">
        <f>IF($E384="","",IFERROR(100*(INDEX('Weights'!$D:$D,MATCH($A384,'Weights'!$A:$A,0))*(INDEX('Data_NSA'!$A:$OK,MATCH(EDATE(O$2,-1),'Data_NSA'!$A:$A,0),MATCH($D384,'Data_NSA'!$1:$1,0))/INDEX('Data_NSA'!$A:$OK,MATCH(INDEX('Weights'!$E:$E,MATCH($A384,'Weights'!$A:$A,0)),'Data_NSA'!$A:$A,0),MATCH($D384,'Data_NSA'!$1:$1,0))))/(100*(INDEX('Data_NSA'!$A:$OK,MATCH(EDATE(O$2,-1),'Data_NSA'!$A:$A,0),MATCH("CUUR0000SA0",'Data_NSA'!$1:$1,0))/INDEX('Data_NSA'!$A:$OK,MATCH(INDEX('Weights'!$E:$E,MATCH($A384,'Weights'!$A:$A,0)),'Data_NSA'!$A:$A,0),MATCH("CUUR0000SA0",'Data_NSA'!$1:$1,0))))*(INDEX('Data_SA'!$A:$LO,MATCH(O$2,'Data_SA'!$A:$A,0),MATCH($E384,'Data_SA'!$1:$1,0))/INDEX('Data_SA'!$A:$LO,MATCH(EDATE(O$2,-1),'Data_SA'!$A:$A,0),MATCH($E384,'Data_SA'!$1:$1,0))-1),""))</f>
        <v/>
      </c>
      <c r="U384" s="10">
        <f>IFERROR(INDEX('Data_NSA'!$A:$OK,MATCH(U$2,'Data_NSA'!$A:$A,0),MATCH($D384,'Data_NSA'!$1:$1,0)),"")</f>
        <v/>
      </c>
      <c r="V384" s="10">
        <f>IF($E384="","",IFERROR(INDEX('Data_SA'!$A:$LO,MATCH(U$2,'Data_SA'!$A:$A,0),MATCH($E384,'Data_SA'!$1:$1,0)),""))</f>
        <v/>
      </c>
      <c r="W384" s="7">
        <f>IF($E384="","",IFERROR(INDEX('Data_SA'!$A:$LO,MATCH(U$2,'Data_SA'!$A:$A,0),MATCH($E384,'Data_SA'!$1:$1,0))/INDEX('Data_SA'!$A:$LO,MATCH(EDATE(U$2,-1),'Data_SA'!$A:$A,0),MATCH($E384,'Data_SA'!$1:$1,0))-1,""))</f>
        <v/>
      </c>
      <c r="X384" s="7">
        <f>IFERROR(INDEX('Data_NSA'!$A:$OK,MATCH(U$2,'Data_NSA'!$A:$A,0),MATCH($D384,'Data_NSA'!$1:$1,0))/INDEX('Data_NSA'!$A:$OK,MATCH(EDATE(U$2,-12),'Data_NSA'!$A:$A,0),MATCH($D384,'Data_NSA'!$1:$1,0))-1,"")</f>
        <v/>
      </c>
      <c r="Y384" s="10">
        <f>IFERROR(INDEX('Weights'!$G:$I,MATCH($A384,'Weights'!$A:$A,0),MATCH(U$2,'Weights'!$G$1:$I$1,0)),"")</f>
        <v/>
      </c>
      <c r="Z384" s="10">
        <f>IF($E384="","",IFERROR(100*(INDEX('Weights'!$D:$D,MATCH($A384,'Weights'!$A:$A,0))*(INDEX('Data_NSA'!$A:$OK,MATCH(EDATE(U$2,-1),'Data_NSA'!$A:$A,0),MATCH($D384,'Data_NSA'!$1:$1,0))/INDEX('Data_NSA'!$A:$OK,MATCH(INDEX('Weights'!$E:$E,MATCH($A384,'Weights'!$A:$A,0)),'Data_NSA'!$A:$A,0),MATCH($D384,'Data_NSA'!$1:$1,0))))/(100*(INDEX('Data_NSA'!$A:$OK,MATCH(EDATE(U$2,-1),'Data_NSA'!$A:$A,0),MATCH("CUUR0000SA0",'Data_NSA'!$1:$1,0))/INDEX('Data_NSA'!$A:$OK,MATCH(INDEX('Weights'!$E:$E,MATCH($A384,'Weights'!$A:$A,0)),'Data_NSA'!$A:$A,0),MATCH("CUUR0000SA0",'Data_NSA'!$1:$1,0))))*(INDEX('Data_SA'!$A:$LO,MATCH(U$2,'Data_SA'!$A:$A,0),MATCH($E384,'Data_SA'!$1:$1,0))/INDEX('Data_SA'!$A:$LO,MATCH(EDATE(U$2,-1),'Data_SA'!$A:$A,0),MATCH($E384,'Data_SA'!$1:$1,0))-1),""))</f>
        <v/>
      </c>
    </row>
    <row r="385">
      <c r="A385" s="3" t="inlineStr">
        <is>
          <t>SANL11</t>
        </is>
      </c>
      <c r="B385" s="3" t="inlineStr">
        <is>
          <t>Nondurables less food and beverages</t>
        </is>
      </c>
      <c r="C385" s="3" t="inlineStr">
        <is>
          <t>SAG</t>
        </is>
      </c>
      <c r="D385" s="3" t="inlineStr">
        <is>
          <t>CUUR0000SANL11</t>
        </is>
      </c>
      <c r="E385" s="3" t="inlineStr">
        <is>
          <t>CUSR0000SANL11</t>
        </is>
      </c>
      <c r="F385" s="3" t="inlineStr">
        <is>
          <t>aggregate</t>
        </is>
      </c>
      <c r="G385" s="3" t="inlineStr">
        <is>
          <t>aggregate</t>
        </is>
      </c>
      <c r="H385" s="10">
        <f>IFERROR(INDEX(Weights!$D:$D,MATCH($A385,Weights!$A:$A,0)),"")</f>
        <v/>
      </c>
      <c r="I385" s="10">
        <f>IFERROR(INDEX('Data_NSA'!$A:$OK,MATCH(I$2,'Data_NSA'!$A:$A,0),MATCH($D385,'Data_NSA'!$1:$1,0)),"")</f>
        <v/>
      </c>
      <c r="J385" s="10">
        <f>IF($E385="","",IFERROR(INDEX('Data_SA'!$A:$LO,MATCH(I$2,'Data_SA'!$A:$A,0),MATCH($E385,'Data_SA'!$1:$1,0)),""))</f>
        <v/>
      </c>
      <c r="K385" s="7">
        <f>IF($E385="","",IFERROR(INDEX('Data_SA'!$A:$LO,MATCH(I$2,'Data_SA'!$A:$A,0),MATCH($E385,'Data_SA'!$1:$1,0))/INDEX('Data_SA'!$A:$LO,MATCH(EDATE(I$2,-1),'Data_SA'!$A:$A,0),MATCH($E385,'Data_SA'!$1:$1,0))-1,""))</f>
        <v/>
      </c>
      <c r="L385" s="7">
        <f>IFERROR(INDEX('Data_NSA'!$A:$OK,MATCH(I$2,'Data_NSA'!$A:$A,0),MATCH($D385,'Data_NSA'!$1:$1,0))/INDEX('Data_NSA'!$A:$OK,MATCH(EDATE(I$2,-12),'Data_NSA'!$A:$A,0),MATCH($D385,'Data_NSA'!$1:$1,0))-1,"")</f>
        <v/>
      </c>
      <c r="M385" s="10">
        <f>IFERROR(INDEX('Weights'!$G:$I,MATCH($A385,'Weights'!$A:$A,0),MATCH(I$2,'Weights'!$G$1:$I$1,0)),"")</f>
        <v/>
      </c>
      <c r="N385" s="10">
        <f>IF($E385="","",IFERROR(100*(INDEX('Weights'!$D:$D,MATCH($A385,'Weights'!$A:$A,0))*(INDEX('Data_NSA'!$A:$OK,MATCH(EDATE(I$2,-1),'Data_NSA'!$A:$A,0),MATCH($D385,'Data_NSA'!$1:$1,0))/INDEX('Data_NSA'!$A:$OK,MATCH(INDEX('Weights'!$E:$E,MATCH($A385,'Weights'!$A:$A,0)),'Data_NSA'!$A:$A,0),MATCH($D385,'Data_NSA'!$1:$1,0))))/(100*(INDEX('Data_NSA'!$A:$OK,MATCH(EDATE(I$2,-1),'Data_NSA'!$A:$A,0),MATCH("CUUR0000SA0",'Data_NSA'!$1:$1,0))/INDEX('Data_NSA'!$A:$OK,MATCH(INDEX('Weights'!$E:$E,MATCH($A385,'Weights'!$A:$A,0)),'Data_NSA'!$A:$A,0),MATCH("CUUR0000SA0",'Data_NSA'!$1:$1,0))))*(INDEX('Data_SA'!$A:$LO,MATCH(I$2,'Data_SA'!$A:$A,0),MATCH($E385,'Data_SA'!$1:$1,0))/INDEX('Data_SA'!$A:$LO,MATCH(EDATE(I$2,-1),'Data_SA'!$A:$A,0),MATCH($E385,'Data_SA'!$1:$1,0))-1),""))</f>
        <v/>
      </c>
      <c r="O385" s="10">
        <f>IFERROR(INDEX('Data_NSA'!$A:$OK,MATCH(O$2,'Data_NSA'!$A:$A,0),MATCH($D385,'Data_NSA'!$1:$1,0)),"")</f>
        <v/>
      </c>
      <c r="P385" s="10">
        <f>IF($E385="","",IFERROR(INDEX('Data_SA'!$A:$LO,MATCH(O$2,'Data_SA'!$A:$A,0),MATCH($E385,'Data_SA'!$1:$1,0)),""))</f>
        <v/>
      </c>
      <c r="Q385" s="7">
        <f>IF($E385="","",IFERROR(INDEX('Data_SA'!$A:$LO,MATCH(O$2,'Data_SA'!$A:$A,0),MATCH($E385,'Data_SA'!$1:$1,0))/INDEX('Data_SA'!$A:$LO,MATCH(EDATE(O$2,-1),'Data_SA'!$A:$A,0),MATCH($E385,'Data_SA'!$1:$1,0))-1,""))</f>
        <v/>
      </c>
      <c r="R385" s="7">
        <f>IFERROR(INDEX('Data_NSA'!$A:$OK,MATCH(O$2,'Data_NSA'!$A:$A,0),MATCH($D385,'Data_NSA'!$1:$1,0))/INDEX('Data_NSA'!$A:$OK,MATCH(EDATE(O$2,-12),'Data_NSA'!$A:$A,0),MATCH($D385,'Data_NSA'!$1:$1,0))-1,"")</f>
        <v/>
      </c>
      <c r="S385" s="10">
        <f>IFERROR(INDEX('Weights'!$G:$I,MATCH($A385,'Weights'!$A:$A,0),MATCH(O$2,'Weights'!$G$1:$I$1,0)),"")</f>
        <v/>
      </c>
      <c r="T385" s="10">
        <f>IF($E385="","",IFERROR(100*(INDEX('Weights'!$D:$D,MATCH($A385,'Weights'!$A:$A,0))*(INDEX('Data_NSA'!$A:$OK,MATCH(EDATE(O$2,-1),'Data_NSA'!$A:$A,0),MATCH($D385,'Data_NSA'!$1:$1,0))/INDEX('Data_NSA'!$A:$OK,MATCH(INDEX('Weights'!$E:$E,MATCH($A385,'Weights'!$A:$A,0)),'Data_NSA'!$A:$A,0),MATCH($D385,'Data_NSA'!$1:$1,0))))/(100*(INDEX('Data_NSA'!$A:$OK,MATCH(EDATE(O$2,-1),'Data_NSA'!$A:$A,0),MATCH("CUUR0000SA0",'Data_NSA'!$1:$1,0))/INDEX('Data_NSA'!$A:$OK,MATCH(INDEX('Weights'!$E:$E,MATCH($A385,'Weights'!$A:$A,0)),'Data_NSA'!$A:$A,0),MATCH("CUUR0000SA0",'Data_NSA'!$1:$1,0))))*(INDEX('Data_SA'!$A:$LO,MATCH(O$2,'Data_SA'!$A:$A,0),MATCH($E385,'Data_SA'!$1:$1,0))/INDEX('Data_SA'!$A:$LO,MATCH(EDATE(O$2,-1),'Data_SA'!$A:$A,0),MATCH($E385,'Data_SA'!$1:$1,0))-1),""))</f>
        <v/>
      </c>
      <c r="U385" s="10">
        <f>IFERROR(INDEX('Data_NSA'!$A:$OK,MATCH(U$2,'Data_NSA'!$A:$A,0),MATCH($D385,'Data_NSA'!$1:$1,0)),"")</f>
        <v/>
      </c>
      <c r="V385" s="10">
        <f>IF($E385="","",IFERROR(INDEX('Data_SA'!$A:$LO,MATCH(U$2,'Data_SA'!$A:$A,0),MATCH($E385,'Data_SA'!$1:$1,0)),""))</f>
        <v/>
      </c>
      <c r="W385" s="7">
        <f>IF($E385="","",IFERROR(INDEX('Data_SA'!$A:$LO,MATCH(U$2,'Data_SA'!$A:$A,0),MATCH($E385,'Data_SA'!$1:$1,0))/INDEX('Data_SA'!$A:$LO,MATCH(EDATE(U$2,-1),'Data_SA'!$A:$A,0),MATCH($E385,'Data_SA'!$1:$1,0))-1,""))</f>
        <v/>
      </c>
      <c r="X385" s="7">
        <f>IFERROR(INDEX('Data_NSA'!$A:$OK,MATCH(U$2,'Data_NSA'!$A:$A,0),MATCH($D385,'Data_NSA'!$1:$1,0))/INDEX('Data_NSA'!$A:$OK,MATCH(EDATE(U$2,-12),'Data_NSA'!$A:$A,0),MATCH($D385,'Data_NSA'!$1:$1,0))-1,"")</f>
        <v/>
      </c>
      <c r="Y385" s="10">
        <f>IFERROR(INDEX('Weights'!$G:$I,MATCH($A385,'Weights'!$A:$A,0),MATCH(U$2,'Weights'!$G$1:$I$1,0)),"")</f>
        <v/>
      </c>
      <c r="Z385" s="10">
        <f>IF($E385="","",IFERROR(100*(INDEX('Weights'!$D:$D,MATCH($A385,'Weights'!$A:$A,0))*(INDEX('Data_NSA'!$A:$OK,MATCH(EDATE(U$2,-1),'Data_NSA'!$A:$A,0),MATCH($D385,'Data_NSA'!$1:$1,0))/INDEX('Data_NSA'!$A:$OK,MATCH(INDEX('Weights'!$E:$E,MATCH($A385,'Weights'!$A:$A,0)),'Data_NSA'!$A:$A,0),MATCH($D385,'Data_NSA'!$1:$1,0))))/(100*(INDEX('Data_NSA'!$A:$OK,MATCH(EDATE(U$2,-1),'Data_NSA'!$A:$A,0),MATCH("CUUR0000SA0",'Data_NSA'!$1:$1,0))/INDEX('Data_NSA'!$A:$OK,MATCH(INDEX('Weights'!$E:$E,MATCH($A385,'Weights'!$A:$A,0)),'Data_NSA'!$A:$A,0),MATCH("CUUR0000SA0",'Data_NSA'!$1:$1,0))))*(INDEX('Data_SA'!$A:$LO,MATCH(U$2,'Data_SA'!$A:$A,0),MATCH($E385,'Data_SA'!$1:$1,0))/INDEX('Data_SA'!$A:$LO,MATCH(EDATE(U$2,-1),'Data_SA'!$A:$A,0),MATCH($E385,'Data_SA'!$1:$1,0))-1),""))</f>
        <v/>
      </c>
    </row>
    <row r="386">
      <c r="A386" s="3" t="inlineStr">
        <is>
          <t>SANL113</t>
        </is>
      </c>
      <c r="B386" s="3" t="inlineStr">
        <is>
          <t>Nondurables less food, beverages, and apparel</t>
        </is>
      </c>
      <c r="C386" s="3" t="inlineStr">
        <is>
          <t>SAG</t>
        </is>
      </c>
      <c r="D386" s="3" t="inlineStr">
        <is>
          <t>CUUR0000SANL113</t>
        </is>
      </c>
      <c r="E386" s="3" t="inlineStr">
        <is>
          <t>CUSR0000SANL113</t>
        </is>
      </c>
      <c r="F386" s="3" t="inlineStr">
        <is>
          <t>aggregate</t>
        </is>
      </c>
      <c r="G386" s="3" t="inlineStr">
        <is>
          <t>aggregate</t>
        </is>
      </c>
      <c r="H386" s="10">
        <f>IFERROR(INDEX(Weights!$D:$D,MATCH($A386,Weights!$A:$A,0)),"")</f>
        <v/>
      </c>
      <c r="I386" s="10">
        <f>IFERROR(INDEX('Data_NSA'!$A:$OK,MATCH(I$2,'Data_NSA'!$A:$A,0),MATCH($D386,'Data_NSA'!$1:$1,0)),"")</f>
        <v/>
      </c>
      <c r="J386" s="10">
        <f>IF($E386="","",IFERROR(INDEX('Data_SA'!$A:$LO,MATCH(I$2,'Data_SA'!$A:$A,0),MATCH($E386,'Data_SA'!$1:$1,0)),""))</f>
        <v/>
      </c>
      <c r="K386" s="7">
        <f>IF($E386="","",IFERROR(INDEX('Data_SA'!$A:$LO,MATCH(I$2,'Data_SA'!$A:$A,0),MATCH($E386,'Data_SA'!$1:$1,0))/INDEX('Data_SA'!$A:$LO,MATCH(EDATE(I$2,-1),'Data_SA'!$A:$A,0),MATCH($E386,'Data_SA'!$1:$1,0))-1,""))</f>
        <v/>
      </c>
      <c r="L386" s="7">
        <f>IFERROR(INDEX('Data_NSA'!$A:$OK,MATCH(I$2,'Data_NSA'!$A:$A,0),MATCH($D386,'Data_NSA'!$1:$1,0))/INDEX('Data_NSA'!$A:$OK,MATCH(EDATE(I$2,-12),'Data_NSA'!$A:$A,0),MATCH($D386,'Data_NSA'!$1:$1,0))-1,"")</f>
        <v/>
      </c>
      <c r="M386" s="10">
        <f>IFERROR(INDEX('Weights'!$G:$I,MATCH($A386,'Weights'!$A:$A,0),MATCH(I$2,'Weights'!$G$1:$I$1,0)),"")</f>
        <v/>
      </c>
      <c r="N386" s="10">
        <f>IF($E386="","",IFERROR(100*(INDEX('Weights'!$D:$D,MATCH($A386,'Weights'!$A:$A,0))*(INDEX('Data_NSA'!$A:$OK,MATCH(EDATE(I$2,-1),'Data_NSA'!$A:$A,0),MATCH($D386,'Data_NSA'!$1:$1,0))/INDEX('Data_NSA'!$A:$OK,MATCH(INDEX('Weights'!$E:$E,MATCH($A386,'Weights'!$A:$A,0)),'Data_NSA'!$A:$A,0),MATCH($D386,'Data_NSA'!$1:$1,0))))/(100*(INDEX('Data_NSA'!$A:$OK,MATCH(EDATE(I$2,-1),'Data_NSA'!$A:$A,0),MATCH("CUUR0000SA0",'Data_NSA'!$1:$1,0))/INDEX('Data_NSA'!$A:$OK,MATCH(INDEX('Weights'!$E:$E,MATCH($A386,'Weights'!$A:$A,0)),'Data_NSA'!$A:$A,0),MATCH("CUUR0000SA0",'Data_NSA'!$1:$1,0))))*(INDEX('Data_SA'!$A:$LO,MATCH(I$2,'Data_SA'!$A:$A,0),MATCH($E386,'Data_SA'!$1:$1,0))/INDEX('Data_SA'!$A:$LO,MATCH(EDATE(I$2,-1),'Data_SA'!$A:$A,0),MATCH($E386,'Data_SA'!$1:$1,0))-1),""))</f>
        <v/>
      </c>
      <c r="O386" s="10">
        <f>IFERROR(INDEX('Data_NSA'!$A:$OK,MATCH(O$2,'Data_NSA'!$A:$A,0),MATCH($D386,'Data_NSA'!$1:$1,0)),"")</f>
        <v/>
      </c>
      <c r="P386" s="10">
        <f>IF($E386="","",IFERROR(INDEX('Data_SA'!$A:$LO,MATCH(O$2,'Data_SA'!$A:$A,0),MATCH($E386,'Data_SA'!$1:$1,0)),""))</f>
        <v/>
      </c>
      <c r="Q386" s="7">
        <f>IF($E386="","",IFERROR(INDEX('Data_SA'!$A:$LO,MATCH(O$2,'Data_SA'!$A:$A,0),MATCH($E386,'Data_SA'!$1:$1,0))/INDEX('Data_SA'!$A:$LO,MATCH(EDATE(O$2,-1),'Data_SA'!$A:$A,0),MATCH($E386,'Data_SA'!$1:$1,0))-1,""))</f>
        <v/>
      </c>
      <c r="R386" s="7">
        <f>IFERROR(INDEX('Data_NSA'!$A:$OK,MATCH(O$2,'Data_NSA'!$A:$A,0),MATCH($D386,'Data_NSA'!$1:$1,0))/INDEX('Data_NSA'!$A:$OK,MATCH(EDATE(O$2,-12),'Data_NSA'!$A:$A,0),MATCH($D386,'Data_NSA'!$1:$1,0))-1,"")</f>
        <v/>
      </c>
      <c r="S386" s="10">
        <f>IFERROR(INDEX('Weights'!$G:$I,MATCH($A386,'Weights'!$A:$A,0),MATCH(O$2,'Weights'!$G$1:$I$1,0)),"")</f>
        <v/>
      </c>
      <c r="T386" s="10">
        <f>IF($E386="","",IFERROR(100*(INDEX('Weights'!$D:$D,MATCH($A386,'Weights'!$A:$A,0))*(INDEX('Data_NSA'!$A:$OK,MATCH(EDATE(O$2,-1),'Data_NSA'!$A:$A,0),MATCH($D386,'Data_NSA'!$1:$1,0))/INDEX('Data_NSA'!$A:$OK,MATCH(INDEX('Weights'!$E:$E,MATCH($A386,'Weights'!$A:$A,0)),'Data_NSA'!$A:$A,0),MATCH($D386,'Data_NSA'!$1:$1,0))))/(100*(INDEX('Data_NSA'!$A:$OK,MATCH(EDATE(O$2,-1),'Data_NSA'!$A:$A,0),MATCH("CUUR0000SA0",'Data_NSA'!$1:$1,0))/INDEX('Data_NSA'!$A:$OK,MATCH(INDEX('Weights'!$E:$E,MATCH($A386,'Weights'!$A:$A,0)),'Data_NSA'!$A:$A,0),MATCH("CUUR0000SA0",'Data_NSA'!$1:$1,0))))*(INDEX('Data_SA'!$A:$LO,MATCH(O$2,'Data_SA'!$A:$A,0),MATCH($E386,'Data_SA'!$1:$1,0))/INDEX('Data_SA'!$A:$LO,MATCH(EDATE(O$2,-1),'Data_SA'!$A:$A,0),MATCH($E386,'Data_SA'!$1:$1,0))-1),""))</f>
        <v/>
      </c>
      <c r="U386" s="10">
        <f>IFERROR(INDEX('Data_NSA'!$A:$OK,MATCH(U$2,'Data_NSA'!$A:$A,0),MATCH($D386,'Data_NSA'!$1:$1,0)),"")</f>
        <v/>
      </c>
      <c r="V386" s="10">
        <f>IF($E386="","",IFERROR(INDEX('Data_SA'!$A:$LO,MATCH(U$2,'Data_SA'!$A:$A,0),MATCH($E386,'Data_SA'!$1:$1,0)),""))</f>
        <v/>
      </c>
      <c r="W386" s="7">
        <f>IF($E386="","",IFERROR(INDEX('Data_SA'!$A:$LO,MATCH(U$2,'Data_SA'!$A:$A,0),MATCH($E386,'Data_SA'!$1:$1,0))/INDEX('Data_SA'!$A:$LO,MATCH(EDATE(U$2,-1),'Data_SA'!$A:$A,0),MATCH($E386,'Data_SA'!$1:$1,0))-1,""))</f>
        <v/>
      </c>
      <c r="X386" s="7">
        <f>IFERROR(INDEX('Data_NSA'!$A:$OK,MATCH(U$2,'Data_NSA'!$A:$A,0),MATCH($D386,'Data_NSA'!$1:$1,0))/INDEX('Data_NSA'!$A:$OK,MATCH(EDATE(U$2,-12),'Data_NSA'!$A:$A,0),MATCH($D386,'Data_NSA'!$1:$1,0))-1,"")</f>
        <v/>
      </c>
      <c r="Y386" s="10">
        <f>IFERROR(INDEX('Weights'!$G:$I,MATCH($A386,'Weights'!$A:$A,0),MATCH(U$2,'Weights'!$G$1:$I$1,0)),"")</f>
        <v/>
      </c>
      <c r="Z386" s="10">
        <f>IF($E386="","",IFERROR(100*(INDEX('Weights'!$D:$D,MATCH($A386,'Weights'!$A:$A,0))*(INDEX('Data_NSA'!$A:$OK,MATCH(EDATE(U$2,-1),'Data_NSA'!$A:$A,0),MATCH($D386,'Data_NSA'!$1:$1,0))/INDEX('Data_NSA'!$A:$OK,MATCH(INDEX('Weights'!$E:$E,MATCH($A386,'Weights'!$A:$A,0)),'Data_NSA'!$A:$A,0),MATCH($D386,'Data_NSA'!$1:$1,0))))/(100*(INDEX('Data_NSA'!$A:$OK,MATCH(EDATE(U$2,-1),'Data_NSA'!$A:$A,0),MATCH("CUUR0000SA0",'Data_NSA'!$1:$1,0))/INDEX('Data_NSA'!$A:$OK,MATCH(INDEX('Weights'!$E:$E,MATCH($A386,'Weights'!$A:$A,0)),'Data_NSA'!$A:$A,0),MATCH("CUUR0000SA0",'Data_NSA'!$1:$1,0))))*(INDEX('Data_SA'!$A:$LO,MATCH(U$2,'Data_SA'!$A:$A,0),MATCH($E386,'Data_SA'!$1:$1,0))/INDEX('Data_SA'!$A:$LO,MATCH(EDATE(U$2,-1),'Data_SA'!$A:$A,0),MATCH($E386,'Data_SA'!$1:$1,0))-1),""))</f>
        <v/>
      </c>
    </row>
    <row r="387">
      <c r="A387" s="3" t="inlineStr">
        <is>
          <t>SAGC</t>
        </is>
      </c>
      <c r="B387" s="3" t="inlineStr">
        <is>
          <t>Other goods</t>
        </is>
      </c>
      <c r="C387" s="3" t="inlineStr">
        <is>
          <t>SAG</t>
        </is>
      </c>
      <c r="D387" s="3" t="inlineStr">
        <is>
          <t>CUUR0000SAGC</t>
        </is>
      </c>
      <c r="E387" s="3" t="inlineStr">
        <is>
          <t>CUSR0000SAGC</t>
        </is>
      </c>
      <c r="F387" s="3" t="inlineStr">
        <is>
          <t>aggregate</t>
        </is>
      </c>
      <c r="G387" s="3" t="inlineStr">
        <is>
          <t>aggregate</t>
        </is>
      </c>
      <c r="H387" s="10">
        <f>IFERROR(INDEX(Weights!$D:$D,MATCH($A387,Weights!$A:$A,0)),"")</f>
        <v/>
      </c>
      <c r="I387" s="10">
        <f>IFERROR(INDEX('Data_NSA'!$A:$OK,MATCH(I$2,'Data_NSA'!$A:$A,0),MATCH($D387,'Data_NSA'!$1:$1,0)),"")</f>
        <v/>
      </c>
      <c r="J387" s="10">
        <f>IF($E387="","",IFERROR(INDEX('Data_SA'!$A:$LO,MATCH(I$2,'Data_SA'!$A:$A,0),MATCH($E387,'Data_SA'!$1:$1,0)),""))</f>
        <v/>
      </c>
      <c r="K387" s="7">
        <f>IF($E387="","",IFERROR(INDEX('Data_SA'!$A:$LO,MATCH(I$2,'Data_SA'!$A:$A,0),MATCH($E387,'Data_SA'!$1:$1,0))/INDEX('Data_SA'!$A:$LO,MATCH(EDATE(I$2,-1),'Data_SA'!$A:$A,0),MATCH($E387,'Data_SA'!$1:$1,0))-1,""))</f>
        <v/>
      </c>
      <c r="L387" s="7">
        <f>IFERROR(INDEX('Data_NSA'!$A:$OK,MATCH(I$2,'Data_NSA'!$A:$A,0),MATCH($D387,'Data_NSA'!$1:$1,0))/INDEX('Data_NSA'!$A:$OK,MATCH(EDATE(I$2,-12),'Data_NSA'!$A:$A,0),MATCH($D387,'Data_NSA'!$1:$1,0))-1,"")</f>
        <v/>
      </c>
      <c r="M387" s="10">
        <f>IFERROR(INDEX('Weights'!$G:$I,MATCH($A387,'Weights'!$A:$A,0),MATCH(I$2,'Weights'!$G$1:$I$1,0)),"")</f>
        <v/>
      </c>
      <c r="N387" s="10">
        <f>IF($E387="","",IFERROR(100*(INDEX('Weights'!$D:$D,MATCH($A387,'Weights'!$A:$A,0))*(INDEX('Data_NSA'!$A:$OK,MATCH(EDATE(I$2,-1),'Data_NSA'!$A:$A,0),MATCH($D387,'Data_NSA'!$1:$1,0))/INDEX('Data_NSA'!$A:$OK,MATCH(INDEX('Weights'!$E:$E,MATCH($A387,'Weights'!$A:$A,0)),'Data_NSA'!$A:$A,0),MATCH($D387,'Data_NSA'!$1:$1,0))))/(100*(INDEX('Data_NSA'!$A:$OK,MATCH(EDATE(I$2,-1),'Data_NSA'!$A:$A,0),MATCH("CUUR0000SA0",'Data_NSA'!$1:$1,0))/INDEX('Data_NSA'!$A:$OK,MATCH(INDEX('Weights'!$E:$E,MATCH($A387,'Weights'!$A:$A,0)),'Data_NSA'!$A:$A,0),MATCH("CUUR0000SA0",'Data_NSA'!$1:$1,0))))*(INDEX('Data_SA'!$A:$LO,MATCH(I$2,'Data_SA'!$A:$A,0),MATCH($E387,'Data_SA'!$1:$1,0))/INDEX('Data_SA'!$A:$LO,MATCH(EDATE(I$2,-1),'Data_SA'!$A:$A,0),MATCH($E387,'Data_SA'!$1:$1,0))-1),""))</f>
        <v/>
      </c>
      <c r="O387" s="10">
        <f>IFERROR(INDEX('Data_NSA'!$A:$OK,MATCH(O$2,'Data_NSA'!$A:$A,0),MATCH($D387,'Data_NSA'!$1:$1,0)),"")</f>
        <v/>
      </c>
      <c r="P387" s="10">
        <f>IF($E387="","",IFERROR(INDEX('Data_SA'!$A:$LO,MATCH(O$2,'Data_SA'!$A:$A,0),MATCH($E387,'Data_SA'!$1:$1,0)),""))</f>
        <v/>
      </c>
      <c r="Q387" s="7">
        <f>IF($E387="","",IFERROR(INDEX('Data_SA'!$A:$LO,MATCH(O$2,'Data_SA'!$A:$A,0),MATCH($E387,'Data_SA'!$1:$1,0))/INDEX('Data_SA'!$A:$LO,MATCH(EDATE(O$2,-1),'Data_SA'!$A:$A,0),MATCH($E387,'Data_SA'!$1:$1,0))-1,""))</f>
        <v/>
      </c>
      <c r="R387" s="7">
        <f>IFERROR(INDEX('Data_NSA'!$A:$OK,MATCH(O$2,'Data_NSA'!$A:$A,0),MATCH($D387,'Data_NSA'!$1:$1,0))/INDEX('Data_NSA'!$A:$OK,MATCH(EDATE(O$2,-12),'Data_NSA'!$A:$A,0),MATCH($D387,'Data_NSA'!$1:$1,0))-1,"")</f>
        <v/>
      </c>
      <c r="S387" s="10">
        <f>IFERROR(INDEX('Weights'!$G:$I,MATCH($A387,'Weights'!$A:$A,0),MATCH(O$2,'Weights'!$G$1:$I$1,0)),"")</f>
        <v/>
      </c>
      <c r="T387" s="10">
        <f>IF($E387="","",IFERROR(100*(INDEX('Weights'!$D:$D,MATCH($A387,'Weights'!$A:$A,0))*(INDEX('Data_NSA'!$A:$OK,MATCH(EDATE(O$2,-1),'Data_NSA'!$A:$A,0),MATCH($D387,'Data_NSA'!$1:$1,0))/INDEX('Data_NSA'!$A:$OK,MATCH(INDEX('Weights'!$E:$E,MATCH($A387,'Weights'!$A:$A,0)),'Data_NSA'!$A:$A,0),MATCH($D387,'Data_NSA'!$1:$1,0))))/(100*(INDEX('Data_NSA'!$A:$OK,MATCH(EDATE(O$2,-1),'Data_NSA'!$A:$A,0),MATCH("CUUR0000SA0",'Data_NSA'!$1:$1,0))/INDEX('Data_NSA'!$A:$OK,MATCH(INDEX('Weights'!$E:$E,MATCH($A387,'Weights'!$A:$A,0)),'Data_NSA'!$A:$A,0),MATCH("CUUR0000SA0",'Data_NSA'!$1:$1,0))))*(INDEX('Data_SA'!$A:$LO,MATCH(O$2,'Data_SA'!$A:$A,0),MATCH($E387,'Data_SA'!$1:$1,0))/INDEX('Data_SA'!$A:$LO,MATCH(EDATE(O$2,-1),'Data_SA'!$A:$A,0),MATCH($E387,'Data_SA'!$1:$1,0))-1),""))</f>
        <v/>
      </c>
      <c r="U387" s="10">
        <f>IFERROR(INDEX('Data_NSA'!$A:$OK,MATCH(U$2,'Data_NSA'!$A:$A,0),MATCH($D387,'Data_NSA'!$1:$1,0)),"")</f>
        <v/>
      </c>
      <c r="V387" s="10">
        <f>IF($E387="","",IFERROR(INDEX('Data_SA'!$A:$LO,MATCH(U$2,'Data_SA'!$A:$A,0),MATCH($E387,'Data_SA'!$1:$1,0)),""))</f>
        <v/>
      </c>
      <c r="W387" s="7">
        <f>IF($E387="","",IFERROR(INDEX('Data_SA'!$A:$LO,MATCH(U$2,'Data_SA'!$A:$A,0),MATCH($E387,'Data_SA'!$1:$1,0))/INDEX('Data_SA'!$A:$LO,MATCH(EDATE(U$2,-1),'Data_SA'!$A:$A,0),MATCH($E387,'Data_SA'!$1:$1,0))-1,""))</f>
        <v/>
      </c>
      <c r="X387" s="7">
        <f>IFERROR(INDEX('Data_NSA'!$A:$OK,MATCH(U$2,'Data_NSA'!$A:$A,0),MATCH($D387,'Data_NSA'!$1:$1,0))/INDEX('Data_NSA'!$A:$OK,MATCH(EDATE(U$2,-12),'Data_NSA'!$A:$A,0),MATCH($D387,'Data_NSA'!$1:$1,0))-1,"")</f>
        <v/>
      </c>
      <c r="Y387" s="10">
        <f>IFERROR(INDEX('Weights'!$G:$I,MATCH($A387,'Weights'!$A:$A,0),MATCH(U$2,'Weights'!$G$1:$I$1,0)),"")</f>
        <v/>
      </c>
      <c r="Z387" s="10">
        <f>IF($E387="","",IFERROR(100*(INDEX('Weights'!$D:$D,MATCH($A387,'Weights'!$A:$A,0))*(INDEX('Data_NSA'!$A:$OK,MATCH(EDATE(U$2,-1),'Data_NSA'!$A:$A,0),MATCH($D387,'Data_NSA'!$1:$1,0))/INDEX('Data_NSA'!$A:$OK,MATCH(INDEX('Weights'!$E:$E,MATCH($A387,'Weights'!$A:$A,0)),'Data_NSA'!$A:$A,0),MATCH($D387,'Data_NSA'!$1:$1,0))))/(100*(INDEX('Data_NSA'!$A:$OK,MATCH(EDATE(U$2,-1),'Data_NSA'!$A:$A,0),MATCH("CUUR0000SA0",'Data_NSA'!$1:$1,0))/INDEX('Data_NSA'!$A:$OK,MATCH(INDEX('Weights'!$E:$E,MATCH($A387,'Weights'!$A:$A,0)),'Data_NSA'!$A:$A,0),MATCH("CUUR0000SA0",'Data_NSA'!$1:$1,0))))*(INDEX('Data_SA'!$A:$LO,MATCH(U$2,'Data_SA'!$A:$A,0),MATCH($E387,'Data_SA'!$1:$1,0))/INDEX('Data_SA'!$A:$LO,MATCH(EDATE(U$2,-1),'Data_SA'!$A:$A,0),MATCH($E387,'Data_SA'!$1:$1,0))-1),""))</f>
        <v/>
      </c>
    </row>
    <row r="388">
      <c r="A388" s="3" t="inlineStr">
        <is>
          <t>SAGS</t>
        </is>
      </c>
      <c r="B388" s="3" t="inlineStr">
        <is>
          <t>Other personal services</t>
        </is>
      </c>
      <c r="C388" s="3" t="inlineStr">
        <is>
          <t>SAG</t>
        </is>
      </c>
      <c r="D388" s="3" t="inlineStr">
        <is>
          <t>CUUR0000SAGS</t>
        </is>
      </c>
      <c r="E388" s="3" t="inlineStr"/>
      <c r="F388" s="3" t="inlineStr">
        <is>
          <t>aggregate</t>
        </is>
      </c>
      <c r="G388" s="3" t="inlineStr">
        <is>
          <t>aggregate</t>
        </is>
      </c>
      <c r="H388" s="10">
        <f>IFERROR(INDEX(Weights!$D:$D,MATCH($A388,Weights!$A:$A,0)),"")</f>
        <v/>
      </c>
      <c r="I388" s="10">
        <f>IFERROR(INDEX('Data_NSA'!$A:$OK,MATCH(I$2,'Data_NSA'!$A:$A,0),MATCH($D388,'Data_NSA'!$1:$1,0)),"")</f>
        <v/>
      </c>
      <c r="J388" s="10">
        <f>IF($E388="","",IFERROR(INDEX('Data_SA'!$A:$LO,MATCH(I$2,'Data_SA'!$A:$A,0),MATCH($E388,'Data_SA'!$1:$1,0)),""))</f>
        <v/>
      </c>
      <c r="K388" s="7">
        <f>IF($E388="","",IFERROR(INDEX('Data_SA'!$A:$LO,MATCH(I$2,'Data_SA'!$A:$A,0),MATCH($E388,'Data_SA'!$1:$1,0))/INDEX('Data_SA'!$A:$LO,MATCH(EDATE(I$2,-1),'Data_SA'!$A:$A,0),MATCH($E388,'Data_SA'!$1:$1,0))-1,""))</f>
        <v/>
      </c>
      <c r="L388" s="7">
        <f>IFERROR(INDEX('Data_NSA'!$A:$OK,MATCH(I$2,'Data_NSA'!$A:$A,0),MATCH($D388,'Data_NSA'!$1:$1,0))/INDEX('Data_NSA'!$A:$OK,MATCH(EDATE(I$2,-12),'Data_NSA'!$A:$A,0),MATCH($D388,'Data_NSA'!$1:$1,0))-1,"")</f>
        <v/>
      </c>
      <c r="M388" s="10">
        <f>IFERROR(INDEX('Weights'!$G:$I,MATCH($A388,'Weights'!$A:$A,0),MATCH(I$2,'Weights'!$G$1:$I$1,0)),"")</f>
        <v/>
      </c>
      <c r="N388" s="10">
        <f>IF($E388="","",IFERROR(100*(INDEX('Weights'!$D:$D,MATCH($A388,'Weights'!$A:$A,0))*(INDEX('Data_NSA'!$A:$OK,MATCH(EDATE(I$2,-1),'Data_NSA'!$A:$A,0),MATCH($D388,'Data_NSA'!$1:$1,0))/INDEX('Data_NSA'!$A:$OK,MATCH(INDEX('Weights'!$E:$E,MATCH($A388,'Weights'!$A:$A,0)),'Data_NSA'!$A:$A,0),MATCH($D388,'Data_NSA'!$1:$1,0))))/(100*(INDEX('Data_NSA'!$A:$OK,MATCH(EDATE(I$2,-1),'Data_NSA'!$A:$A,0),MATCH("CUUR0000SA0",'Data_NSA'!$1:$1,0))/INDEX('Data_NSA'!$A:$OK,MATCH(INDEX('Weights'!$E:$E,MATCH($A388,'Weights'!$A:$A,0)),'Data_NSA'!$A:$A,0),MATCH("CUUR0000SA0",'Data_NSA'!$1:$1,0))))*(INDEX('Data_SA'!$A:$LO,MATCH(I$2,'Data_SA'!$A:$A,0),MATCH($E388,'Data_SA'!$1:$1,0))/INDEX('Data_SA'!$A:$LO,MATCH(EDATE(I$2,-1),'Data_SA'!$A:$A,0),MATCH($E388,'Data_SA'!$1:$1,0))-1),""))</f>
        <v/>
      </c>
      <c r="O388" s="10">
        <f>IFERROR(INDEX('Data_NSA'!$A:$OK,MATCH(O$2,'Data_NSA'!$A:$A,0),MATCH($D388,'Data_NSA'!$1:$1,0)),"")</f>
        <v/>
      </c>
      <c r="P388" s="10">
        <f>IF($E388="","",IFERROR(INDEX('Data_SA'!$A:$LO,MATCH(O$2,'Data_SA'!$A:$A,0),MATCH($E388,'Data_SA'!$1:$1,0)),""))</f>
        <v/>
      </c>
      <c r="Q388" s="7">
        <f>IF($E388="","",IFERROR(INDEX('Data_SA'!$A:$LO,MATCH(O$2,'Data_SA'!$A:$A,0),MATCH($E388,'Data_SA'!$1:$1,0))/INDEX('Data_SA'!$A:$LO,MATCH(EDATE(O$2,-1),'Data_SA'!$A:$A,0),MATCH($E388,'Data_SA'!$1:$1,0))-1,""))</f>
        <v/>
      </c>
      <c r="R388" s="7">
        <f>IFERROR(INDEX('Data_NSA'!$A:$OK,MATCH(O$2,'Data_NSA'!$A:$A,0),MATCH($D388,'Data_NSA'!$1:$1,0))/INDEX('Data_NSA'!$A:$OK,MATCH(EDATE(O$2,-12),'Data_NSA'!$A:$A,0),MATCH($D388,'Data_NSA'!$1:$1,0))-1,"")</f>
        <v/>
      </c>
      <c r="S388" s="10">
        <f>IFERROR(INDEX('Weights'!$G:$I,MATCH($A388,'Weights'!$A:$A,0),MATCH(O$2,'Weights'!$G$1:$I$1,0)),"")</f>
        <v/>
      </c>
      <c r="T388" s="10">
        <f>IF($E388="","",IFERROR(100*(INDEX('Weights'!$D:$D,MATCH($A388,'Weights'!$A:$A,0))*(INDEX('Data_NSA'!$A:$OK,MATCH(EDATE(O$2,-1),'Data_NSA'!$A:$A,0),MATCH($D388,'Data_NSA'!$1:$1,0))/INDEX('Data_NSA'!$A:$OK,MATCH(INDEX('Weights'!$E:$E,MATCH($A388,'Weights'!$A:$A,0)),'Data_NSA'!$A:$A,0),MATCH($D388,'Data_NSA'!$1:$1,0))))/(100*(INDEX('Data_NSA'!$A:$OK,MATCH(EDATE(O$2,-1),'Data_NSA'!$A:$A,0),MATCH("CUUR0000SA0",'Data_NSA'!$1:$1,0))/INDEX('Data_NSA'!$A:$OK,MATCH(INDEX('Weights'!$E:$E,MATCH($A388,'Weights'!$A:$A,0)),'Data_NSA'!$A:$A,0),MATCH("CUUR0000SA0",'Data_NSA'!$1:$1,0))))*(INDEX('Data_SA'!$A:$LO,MATCH(O$2,'Data_SA'!$A:$A,0),MATCH($E388,'Data_SA'!$1:$1,0))/INDEX('Data_SA'!$A:$LO,MATCH(EDATE(O$2,-1),'Data_SA'!$A:$A,0),MATCH($E388,'Data_SA'!$1:$1,0))-1),""))</f>
        <v/>
      </c>
      <c r="U388" s="10">
        <f>IFERROR(INDEX('Data_NSA'!$A:$OK,MATCH(U$2,'Data_NSA'!$A:$A,0),MATCH($D388,'Data_NSA'!$1:$1,0)),"")</f>
        <v/>
      </c>
      <c r="V388" s="10">
        <f>IF($E388="","",IFERROR(INDEX('Data_SA'!$A:$LO,MATCH(U$2,'Data_SA'!$A:$A,0),MATCH($E388,'Data_SA'!$1:$1,0)),""))</f>
        <v/>
      </c>
      <c r="W388" s="7">
        <f>IF($E388="","",IFERROR(INDEX('Data_SA'!$A:$LO,MATCH(U$2,'Data_SA'!$A:$A,0),MATCH($E388,'Data_SA'!$1:$1,0))/INDEX('Data_SA'!$A:$LO,MATCH(EDATE(U$2,-1),'Data_SA'!$A:$A,0),MATCH($E388,'Data_SA'!$1:$1,0))-1,""))</f>
        <v/>
      </c>
      <c r="X388" s="7">
        <f>IFERROR(INDEX('Data_NSA'!$A:$OK,MATCH(U$2,'Data_NSA'!$A:$A,0),MATCH($D388,'Data_NSA'!$1:$1,0))/INDEX('Data_NSA'!$A:$OK,MATCH(EDATE(U$2,-12),'Data_NSA'!$A:$A,0),MATCH($D388,'Data_NSA'!$1:$1,0))-1,"")</f>
        <v/>
      </c>
      <c r="Y388" s="10">
        <f>IFERROR(INDEX('Weights'!$G:$I,MATCH($A388,'Weights'!$A:$A,0),MATCH(U$2,'Weights'!$G$1:$I$1,0)),"")</f>
        <v/>
      </c>
      <c r="Z388" s="10">
        <f>IF($E388="","",IFERROR(100*(INDEX('Weights'!$D:$D,MATCH($A388,'Weights'!$A:$A,0))*(INDEX('Data_NSA'!$A:$OK,MATCH(EDATE(U$2,-1),'Data_NSA'!$A:$A,0),MATCH($D388,'Data_NSA'!$1:$1,0))/INDEX('Data_NSA'!$A:$OK,MATCH(INDEX('Weights'!$E:$E,MATCH($A388,'Weights'!$A:$A,0)),'Data_NSA'!$A:$A,0),MATCH($D388,'Data_NSA'!$1:$1,0))))/(100*(INDEX('Data_NSA'!$A:$OK,MATCH(EDATE(U$2,-1),'Data_NSA'!$A:$A,0),MATCH("CUUR0000SA0",'Data_NSA'!$1:$1,0))/INDEX('Data_NSA'!$A:$OK,MATCH(INDEX('Weights'!$E:$E,MATCH($A388,'Weights'!$A:$A,0)),'Data_NSA'!$A:$A,0),MATCH("CUUR0000SA0",'Data_NSA'!$1:$1,0))))*(INDEX('Data_SA'!$A:$LO,MATCH(U$2,'Data_SA'!$A:$A,0),MATCH($E388,'Data_SA'!$1:$1,0))/INDEX('Data_SA'!$A:$LO,MATCH(EDATE(U$2,-1),'Data_SA'!$A:$A,0),MATCH($E388,'Data_SA'!$1:$1,0))-1),""))</f>
        <v/>
      </c>
    </row>
    <row r="389">
      <c r="A389" s="3" t="inlineStr">
        <is>
          <t>SAS367</t>
        </is>
      </c>
      <c r="B389" s="3" t="inlineStr">
        <is>
          <t>Other services</t>
        </is>
      </c>
      <c r="C389" s="3" t="inlineStr">
        <is>
          <t>SAG</t>
        </is>
      </c>
      <c r="D389" s="3" t="inlineStr">
        <is>
          <t>CUUR0000SAS367</t>
        </is>
      </c>
      <c r="E389" s="3" t="inlineStr">
        <is>
          <t>CUSR0000SAS367</t>
        </is>
      </c>
      <c r="F389" s="3" t="inlineStr">
        <is>
          <t>aggregate</t>
        </is>
      </c>
      <c r="G389" s="3" t="inlineStr">
        <is>
          <t>aggregate</t>
        </is>
      </c>
      <c r="H389" s="10">
        <f>IFERROR(INDEX(Weights!$D:$D,MATCH($A389,Weights!$A:$A,0)),"")</f>
        <v/>
      </c>
      <c r="I389" s="10">
        <f>IFERROR(INDEX('Data_NSA'!$A:$OK,MATCH(I$2,'Data_NSA'!$A:$A,0),MATCH($D389,'Data_NSA'!$1:$1,0)),"")</f>
        <v/>
      </c>
      <c r="J389" s="10">
        <f>IF($E389="","",IFERROR(INDEX('Data_SA'!$A:$LO,MATCH(I$2,'Data_SA'!$A:$A,0),MATCH($E389,'Data_SA'!$1:$1,0)),""))</f>
        <v/>
      </c>
      <c r="K389" s="7">
        <f>IF($E389="","",IFERROR(INDEX('Data_SA'!$A:$LO,MATCH(I$2,'Data_SA'!$A:$A,0),MATCH($E389,'Data_SA'!$1:$1,0))/INDEX('Data_SA'!$A:$LO,MATCH(EDATE(I$2,-1),'Data_SA'!$A:$A,0),MATCH($E389,'Data_SA'!$1:$1,0))-1,""))</f>
        <v/>
      </c>
      <c r="L389" s="7">
        <f>IFERROR(INDEX('Data_NSA'!$A:$OK,MATCH(I$2,'Data_NSA'!$A:$A,0),MATCH($D389,'Data_NSA'!$1:$1,0))/INDEX('Data_NSA'!$A:$OK,MATCH(EDATE(I$2,-12),'Data_NSA'!$A:$A,0),MATCH($D389,'Data_NSA'!$1:$1,0))-1,"")</f>
        <v/>
      </c>
      <c r="M389" s="10">
        <f>IFERROR(INDEX('Weights'!$G:$I,MATCH($A389,'Weights'!$A:$A,0),MATCH(I$2,'Weights'!$G$1:$I$1,0)),"")</f>
        <v/>
      </c>
      <c r="N389" s="10">
        <f>IF($E389="","",IFERROR(100*(INDEX('Weights'!$D:$D,MATCH($A389,'Weights'!$A:$A,0))*(INDEX('Data_NSA'!$A:$OK,MATCH(EDATE(I$2,-1),'Data_NSA'!$A:$A,0),MATCH($D389,'Data_NSA'!$1:$1,0))/INDEX('Data_NSA'!$A:$OK,MATCH(INDEX('Weights'!$E:$E,MATCH($A389,'Weights'!$A:$A,0)),'Data_NSA'!$A:$A,0),MATCH($D389,'Data_NSA'!$1:$1,0))))/(100*(INDEX('Data_NSA'!$A:$OK,MATCH(EDATE(I$2,-1),'Data_NSA'!$A:$A,0),MATCH("CUUR0000SA0",'Data_NSA'!$1:$1,0))/INDEX('Data_NSA'!$A:$OK,MATCH(INDEX('Weights'!$E:$E,MATCH($A389,'Weights'!$A:$A,0)),'Data_NSA'!$A:$A,0),MATCH("CUUR0000SA0",'Data_NSA'!$1:$1,0))))*(INDEX('Data_SA'!$A:$LO,MATCH(I$2,'Data_SA'!$A:$A,0),MATCH($E389,'Data_SA'!$1:$1,0))/INDEX('Data_SA'!$A:$LO,MATCH(EDATE(I$2,-1),'Data_SA'!$A:$A,0),MATCH($E389,'Data_SA'!$1:$1,0))-1),""))</f>
        <v/>
      </c>
      <c r="O389" s="10">
        <f>IFERROR(INDEX('Data_NSA'!$A:$OK,MATCH(O$2,'Data_NSA'!$A:$A,0),MATCH($D389,'Data_NSA'!$1:$1,0)),"")</f>
        <v/>
      </c>
      <c r="P389" s="10">
        <f>IF($E389="","",IFERROR(INDEX('Data_SA'!$A:$LO,MATCH(O$2,'Data_SA'!$A:$A,0),MATCH($E389,'Data_SA'!$1:$1,0)),""))</f>
        <v/>
      </c>
      <c r="Q389" s="7">
        <f>IF($E389="","",IFERROR(INDEX('Data_SA'!$A:$LO,MATCH(O$2,'Data_SA'!$A:$A,0),MATCH($E389,'Data_SA'!$1:$1,0))/INDEX('Data_SA'!$A:$LO,MATCH(EDATE(O$2,-1),'Data_SA'!$A:$A,0),MATCH($E389,'Data_SA'!$1:$1,0))-1,""))</f>
        <v/>
      </c>
      <c r="R389" s="7">
        <f>IFERROR(INDEX('Data_NSA'!$A:$OK,MATCH(O$2,'Data_NSA'!$A:$A,0),MATCH($D389,'Data_NSA'!$1:$1,0))/INDEX('Data_NSA'!$A:$OK,MATCH(EDATE(O$2,-12),'Data_NSA'!$A:$A,0),MATCH($D389,'Data_NSA'!$1:$1,0))-1,"")</f>
        <v/>
      </c>
      <c r="S389" s="10">
        <f>IFERROR(INDEX('Weights'!$G:$I,MATCH($A389,'Weights'!$A:$A,0),MATCH(O$2,'Weights'!$G$1:$I$1,0)),"")</f>
        <v/>
      </c>
      <c r="T389" s="10">
        <f>IF($E389="","",IFERROR(100*(INDEX('Weights'!$D:$D,MATCH($A389,'Weights'!$A:$A,0))*(INDEX('Data_NSA'!$A:$OK,MATCH(EDATE(O$2,-1),'Data_NSA'!$A:$A,0),MATCH($D389,'Data_NSA'!$1:$1,0))/INDEX('Data_NSA'!$A:$OK,MATCH(INDEX('Weights'!$E:$E,MATCH($A389,'Weights'!$A:$A,0)),'Data_NSA'!$A:$A,0),MATCH($D389,'Data_NSA'!$1:$1,0))))/(100*(INDEX('Data_NSA'!$A:$OK,MATCH(EDATE(O$2,-1),'Data_NSA'!$A:$A,0),MATCH("CUUR0000SA0",'Data_NSA'!$1:$1,0))/INDEX('Data_NSA'!$A:$OK,MATCH(INDEX('Weights'!$E:$E,MATCH($A389,'Weights'!$A:$A,0)),'Data_NSA'!$A:$A,0),MATCH("CUUR0000SA0",'Data_NSA'!$1:$1,0))))*(INDEX('Data_SA'!$A:$LO,MATCH(O$2,'Data_SA'!$A:$A,0),MATCH($E389,'Data_SA'!$1:$1,0))/INDEX('Data_SA'!$A:$LO,MATCH(EDATE(O$2,-1),'Data_SA'!$A:$A,0),MATCH($E389,'Data_SA'!$1:$1,0))-1),""))</f>
        <v/>
      </c>
      <c r="U389" s="10">
        <f>IFERROR(INDEX('Data_NSA'!$A:$OK,MATCH(U$2,'Data_NSA'!$A:$A,0),MATCH($D389,'Data_NSA'!$1:$1,0)),"")</f>
        <v/>
      </c>
      <c r="V389" s="10">
        <f>IF($E389="","",IFERROR(INDEX('Data_SA'!$A:$LO,MATCH(U$2,'Data_SA'!$A:$A,0),MATCH($E389,'Data_SA'!$1:$1,0)),""))</f>
        <v/>
      </c>
      <c r="W389" s="7">
        <f>IF($E389="","",IFERROR(INDEX('Data_SA'!$A:$LO,MATCH(U$2,'Data_SA'!$A:$A,0),MATCH($E389,'Data_SA'!$1:$1,0))/INDEX('Data_SA'!$A:$LO,MATCH(EDATE(U$2,-1),'Data_SA'!$A:$A,0),MATCH($E389,'Data_SA'!$1:$1,0))-1,""))</f>
        <v/>
      </c>
      <c r="X389" s="7">
        <f>IFERROR(INDEX('Data_NSA'!$A:$OK,MATCH(U$2,'Data_NSA'!$A:$A,0),MATCH($D389,'Data_NSA'!$1:$1,0))/INDEX('Data_NSA'!$A:$OK,MATCH(EDATE(U$2,-12),'Data_NSA'!$A:$A,0),MATCH($D389,'Data_NSA'!$1:$1,0))-1,"")</f>
        <v/>
      </c>
      <c r="Y389" s="10">
        <f>IFERROR(INDEX('Weights'!$G:$I,MATCH($A389,'Weights'!$A:$A,0),MATCH(U$2,'Weights'!$G$1:$I$1,0)),"")</f>
        <v/>
      </c>
      <c r="Z389" s="10">
        <f>IF($E389="","",IFERROR(100*(INDEX('Weights'!$D:$D,MATCH($A389,'Weights'!$A:$A,0))*(INDEX('Data_NSA'!$A:$OK,MATCH(EDATE(U$2,-1),'Data_NSA'!$A:$A,0),MATCH($D389,'Data_NSA'!$1:$1,0))/INDEX('Data_NSA'!$A:$OK,MATCH(INDEX('Weights'!$E:$E,MATCH($A389,'Weights'!$A:$A,0)),'Data_NSA'!$A:$A,0),MATCH($D389,'Data_NSA'!$1:$1,0))))/(100*(INDEX('Data_NSA'!$A:$OK,MATCH(EDATE(U$2,-1),'Data_NSA'!$A:$A,0),MATCH("CUUR0000SA0",'Data_NSA'!$1:$1,0))/INDEX('Data_NSA'!$A:$OK,MATCH(INDEX('Weights'!$E:$E,MATCH($A389,'Weights'!$A:$A,0)),'Data_NSA'!$A:$A,0),MATCH("CUUR0000SA0",'Data_NSA'!$1:$1,0))))*(INDEX('Data_SA'!$A:$LO,MATCH(U$2,'Data_SA'!$A:$A,0),MATCH($E389,'Data_SA'!$1:$1,0))/INDEX('Data_SA'!$A:$LO,MATCH(EDATE(U$2,-1),'Data_SA'!$A:$A,0),MATCH($E389,'Data_SA'!$1:$1,0))-1),""))</f>
        <v/>
      </c>
    </row>
    <row r="390">
      <c r="A390" s="3" t="inlineStr">
        <is>
          <t>SARC</t>
        </is>
      </c>
      <c r="B390" s="3" t="inlineStr">
        <is>
          <t>Recreation commodities</t>
        </is>
      </c>
      <c r="C390" s="3" t="inlineStr">
        <is>
          <t>SAG</t>
        </is>
      </c>
      <c r="D390" s="3" t="inlineStr">
        <is>
          <t>CUUR0000SARC</t>
        </is>
      </c>
      <c r="E390" s="3" t="inlineStr">
        <is>
          <t>CUSR0000SARC</t>
        </is>
      </c>
      <c r="F390" s="3" t="inlineStr">
        <is>
          <t>aggregate</t>
        </is>
      </c>
      <c r="G390" s="3" t="inlineStr">
        <is>
          <t>aggregate</t>
        </is>
      </c>
      <c r="H390" s="10">
        <f>IFERROR(INDEX(Weights!$D:$D,MATCH($A390,Weights!$A:$A,0)),"")</f>
        <v/>
      </c>
      <c r="I390" s="10">
        <f>IFERROR(INDEX('Data_NSA'!$A:$OK,MATCH(I$2,'Data_NSA'!$A:$A,0),MATCH($D390,'Data_NSA'!$1:$1,0)),"")</f>
        <v/>
      </c>
      <c r="J390" s="10">
        <f>IF($E390="","",IFERROR(INDEX('Data_SA'!$A:$LO,MATCH(I$2,'Data_SA'!$A:$A,0),MATCH($E390,'Data_SA'!$1:$1,0)),""))</f>
        <v/>
      </c>
      <c r="K390" s="7">
        <f>IF($E390="","",IFERROR(INDEX('Data_SA'!$A:$LO,MATCH(I$2,'Data_SA'!$A:$A,0),MATCH($E390,'Data_SA'!$1:$1,0))/INDEX('Data_SA'!$A:$LO,MATCH(EDATE(I$2,-1),'Data_SA'!$A:$A,0),MATCH($E390,'Data_SA'!$1:$1,0))-1,""))</f>
        <v/>
      </c>
      <c r="L390" s="7">
        <f>IFERROR(INDEX('Data_NSA'!$A:$OK,MATCH(I$2,'Data_NSA'!$A:$A,0),MATCH($D390,'Data_NSA'!$1:$1,0))/INDEX('Data_NSA'!$A:$OK,MATCH(EDATE(I$2,-12),'Data_NSA'!$A:$A,0),MATCH($D390,'Data_NSA'!$1:$1,0))-1,"")</f>
        <v/>
      </c>
      <c r="M390" s="10">
        <f>IFERROR(INDEX('Weights'!$G:$I,MATCH($A390,'Weights'!$A:$A,0),MATCH(I$2,'Weights'!$G$1:$I$1,0)),"")</f>
        <v/>
      </c>
      <c r="N390" s="10">
        <f>IF($E390="","",IFERROR(100*(INDEX('Weights'!$D:$D,MATCH($A390,'Weights'!$A:$A,0))*(INDEX('Data_NSA'!$A:$OK,MATCH(EDATE(I$2,-1),'Data_NSA'!$A:$A,0),MATCH($D390,'Data_NSA'!$1:$1,0))/INDEX('Data_NSA'!$A:$OK,MATCH(INDEX('Weights'!$E:$E,MATCH($A390,'Weights'!$A:$A,0)),'Data_NSA'!$A:$A,0),MATCH($D390,'Data_NSA'!$1:$1,0))))/(100*(INDEX('Data_NSA'!$A:$OK,MATCH(EDATE(I$2,-1),'Data_NSA'!$A:$A,0),MATCH("CUUR0000SA0",'Data_NSA'!$1:$1,0))/INDEX('Data_NSA'!$A:$OK,MATCH(INDEX('Weights'!$E:$E,MATCH($A390,'Weights'!$A:$A,0)),'Data_NSA'!$A:$A,0),MATCH("CUUR0000SA0",'Data_NSA'!$1:$1,0))))*(INDEX('Data_SA'!$A:$LO,MATCH(I$2,'Data_SA'!$A:$A,0),MATCH($E390,'Data_SA'!$1:$1,0))/INDEX('Data_SA'!$A:$LO,MATCH(EDATE(I$2,-1),'Data_SA'!$A:$A,0),MATCH($E390,'Data_SA'!$1:$1,0))-1),""))</f>
        <v/>
      </c>
      <c r="O390" s="10">
        <f>IFERROR(INDEX('Data_NSA'!$A:$OK,MATCH(O$2,'Data_NSA'!$A:$A,0),MATCH($D390,'Data_NSA'!$1:$1,0)),"")</f>
        <v/>
      </c>
      <c r="P390" s="10">
        <f>IF($E390="","",IFERROR(INDEX('Data_SA'!$A:$LO,MATCH(O$2,'Data_SA'!$A:$A,0),MATCH($E390,'Data_SA'!$1:$1,0)),""))</f>
        <v/>
      </c>
      <c r="Q390" s="7">
        <f>IF($E390="","",IFERROR(INDEX('Data_SA'!$A:$LO,MATCH(O$2,'Data_SA'!$A:$A,0),MATCH($E390,'Data_SA'!$1:$1,0))/INDEX('Data_SA'!$A:$LO,MATCH(EDATE(O$2,-1),'Data_SA'!$A:$A,0),MATCH($E390,'Data_SA'!$1:$1,0))-1,""))</f>
        <v/>
      </c>
      <c r="R390" s="7">
        <f>IFERROR(INDEX('Data_NSA'!$A:$OK,MATCH(O$2,'Data_NSA'!$A:$A,0),MATCH($D390,'Data_NSA'!$1:$1,0))/INDEX('Data_NSA'!$A:$OK,MATCH(EDATE(O$2,-12),'Data_NSA'!$A:$A,0),MATCH($D390,'Data_NSA'!$1:$1,0))-1,"")</f>
        <v/>
      </c>
      <c r="S390" s="10">
        <f>IFERROR(INDEX('Weights'!$G:$I,MATCH($A390,'Weights'!$A:$A,0),MATCH(O$2,'Weights'!$G$1:$I$1,0)),"")</f>
        <v/>
      </c>
      <c r="T390" s="10">
        <f>IF($E390="","",IFERROR(100*(INDEX('Weights'!$D:$D,MATCH($A390,'Weights'!$A:$A,0))*(INDEX('Data_NSA'!$A:$OK,MATCH(EDATE(O$2,-1),'Data_NSA'!$A:$A,0),MATCH($D390,'Data_NSA'!$1:$1,0))/INDEX('Data_NSA'!$A:$OK,MATCH(INDEX('Weights'!$E:$E,MATCH($A390,'Weights'!$A:$A,0)),'Data_NSA'!$A:$A,0),MATCH($D390,'Data_NSA'!$1:$1,0))))/(100*(INDEX('Data_NSA'!$A:$OK,MATCH(EDATE(O$2,-1),'Data_NSA'!$A:$A,0),MATCH("CUUR0000SA0",'Data_NSA'!$1:$1,0))/INDEX('Data_NSA'!$A:$OK,MATCH(INDEX('Weights'!$E:$E,MATCH($A390,'Weights'!$A:$A,0)),'Data_NSA'!$A:$A,0),MATCH("CUUR0000SA0",'Data_NSA'!$1:$1,0))))*(INDEX('Data_SA'!$A:$LO,MATCH(O$2,'Data_SA'!$A:$A,0),MATCH($E390,'Data_SA'!$1:$1,0))/INDEX('Data_SA'!$A:$LO,MATCH(EDATE(O$2,-1),'Data_SA'!$A:$A,0),MATCH($E390,'Data_SA'!$1:$1,0))-1),""))</f>
        <v/>
      </c>
      <c r="U390" s="10">
        <f>IFERROR(INDEX('Data_NSA'!$A:$OK,MATCH(U$2,'Data_NSA'!$A:$A,0),MATCH($D390,'Data_NSA'!$1:$1,0)),"")</f>
        <v/>
      </c>
      <c r="V390" s="10">
        <f>IF($E390="","",IFERROR(INDEX('Data_SA'!$A:$LO,MATCH(U$2,'Data_SA'!$A:$A,0),MATCH($E390,'Data_SA'!$1:$1,0)),""))</f>
        <v/>
      </c>
      <c r="W390" s="7">
        <f>IF($E390="","",IFERROR(INDEX('Data_SA'!$A:$LO,MATCH(U$2,'Data_SA'!$A:$A,0),MATCH($E390,'Data_SA'!$1:$1,0))/INDEX('Data_SA'!$A:$LO,MATCH(EDATE(U$2,-1),'Data_SA'!$A:$A,0),MATCH($E390,'Data_SA'!$1:$1,0))-1,""))</f>
        <v/>
      </c>
      <c r="X390" s="7">
        <f>IFERROR(INDEX('Data_NSA'!$A:$OK,MATCH(U$2,'Data_NSA'!$A:$A,0),MATCH($D390,'Data_NSA'!$1:$1,0))/INDEX('Data_NSA'!$A:$OK,MATCH(EDATE(U$2,-12),'Data_NSA'!$A:$A,0),MATCH($D390,'Data_NSA'!$1:$1,0))-1,"")</f>
        <v/>
      </c>
      <c r="Y390" s="10">
        <f>IFERROR(INDEX('Weights'!$G:$I,MATCH($A390,'Weights'!$A:$A,0),MATCH(U$2,'Weights'!$G$1:$I$1,0)),"")</f>
        <v/>
      </c>
      <c r="Z390" s="10">
        <f>IF($E390="","",IFERROR(100*(INDEX('Weights'!$D:$D,MATCH($A390,'Weights'!$A:$A,0))*(INDEX('Data_NSA'!$A:$OK,MATCH(EDATE(U$2,-1),'Data_NSA'!$A:$A,0),MATCH($D390,'Data_NSA'!$1:$1,0))/INDEX('Data_NSA'!$A:$OK,MATCH(INDEX('Weights'!$E:$E,MATCH($A390,'Weights'!$A:$A,0)),'Data_NSA'!$A:$A,0),MATCH($D390,'Data_NSA'!$1:$1,0))))/(100*(INDEX('Data_NSA'!$A:$OK,MATCH(EDATE(U$2,-1),'Data_NSA'!$A:$A,0),MATCH("CUUR0000SA0",'Data_NSA'!$1:$1,0))/INDEX('Data_NSA'!$A:$OK,MATCH(INDEX('Weights'!$E:$E,MATCH($A390,'Weights'!$A:$A,0)),'Data_NSA'!$A:$A,0),MATCH("CUUR0000SA0",'Data_NSA'!$1:$1,0))))*(INDEX('Data_SA'!$A:$LO,MATCH(U$2,'Data_SA'!$A:$A,0),MATCH($E390,'Data_SA'!$1:$1,0))/INDEX('Data_SA'!$A:$LO,MATCH(EDATE(U$2,-1),'Data_SA'!$A:$A,0),MATCH($E390,'Data_SA'!$1:$1,0))-1),""))</f>
        <v/>
      </c>
    </row>
    <row r="391">
      <c r="A391" s="3" t="inlineStr">
        <is>
          <t>SARS</t>
        </is>
      </c>
      <c r="B391" s="3" t="inlineStr">
        <is>
          <t>Recreation services</t>
        </is>
      </c>
      <c r="C391" s="3" t="inlineStr">
        <is>
          <t>SAG</t>
        </is>
      </c>
      <c r="D391" s="3" t="inlineStr">
        <is>
          <t>CUUR0000SARS</t>
        </is>
      </c>
      <c r="E391" s="3" t="inlineStr">
        <is>
          <t>CUSR0000SARS</t>
        </is>
      </c>
      <c r="F391" s="3" t="inlineStr">
        <is>
          <t>aggregate</t>
        </is>
      </c>
      <c r="G391" s="3" t="inlineStr">
        <is>
          <t>aggregate</t>
        </is>
      </c>
      <c r="H391" s="10">
        <f>IFERROR(INDEX(Weights!$D:$D,MATCH($A391,Weights!$A:$A,0)),"")</f>
        <v/>
      </c>
      <c r="I391" s="10">
        <f>IFERROR(INDEX('Data_NSA'!$A:$OK,MATCH(I$2,'Data_NSA'!$A:$A,0),MATCH($D391,'Data_NSA'!$1:$1,0)),"")</f>
        <v/>
      </c>
      <c r="J391" s="10">
        <f>IF($E391="","",IFERROR(INDEX('Data_SA'!$A:$LO,MATCH(I$2,'Data_SA'!$A:$A,0),MATCH($E391,'Data_SA'!$1:$1,0)),""))</f>
        <v/>
      </c>
      <c r="K391" s="7">
        <f>IF($E391="","",IFERROR(INDEX('Data_SA'!$A:$LO,MATCH(I$2,'Data_SA'!$A:$A,0),MATCH($E391,'Data_SA'!$1:$1,0))/INDEX('Data_SA'!$A:$LO,MATCH(EDATE(I$2,-1),'Data_SA'!$A:$A,0),MATCH($E391,'Data_SA'!$1:$1,0))-1,""))</f>
        <v/>
      </c>
      <c r="L391" s="7">
        <f>IFERROR(INDEX('Data_NSA'!$A:$OK,MATCH(I$2,'Data_NSA'!$A:$A,0),MATCH($D391,'Data_NSA'!$1:$1,0))/INDEX('Data_NSA'!$A:$OK,MATCH(EDATE(I$2,-12),'Data_NSA'!$A:$A,0),MATCH($D391,'Data_NSA'!$1:$1,0))-1,"")</f>
        <v/>
      </c>
      <c r="M391" s="10">
        <f>IFERROR(INDEX('Weights'!$G:$I,MATCH($A391,'Weights'!$A:$A,0),MATCH(I$2,'Weights'!$G$1:$I$1,0)),"")</f>
        <v/>
      </c>
      <c r="N391" s="10">
        <f>IF($E391="","",IFERROR(100*(INDEX('Weights'!$D:$D,MATCH($A391,'Weights'!$A:$A,0))*(INDEX('Data_NSA'!$A:$OK,MATCH(EDATE(I$2,-1),'Data_NSA'!$A:$A,0),MATCH($D391,'Data_NSA'!$1:$1,0))/INDEX('Data_NSA'!$A:$OK,MATCH(INDEX('Weights'!$E:$E,MATCH($A391,'Weights'!$A:$A,0)),'Data_NSA'!$A:$A,0),MATCH($D391,'Data_NSA'!$1:$1,0))))/(100*(INDEX('Data_NSA'!$A:$OK,MATCH(EDATE(I$2,-1),'Data_NSA'!$A:$A,0),MATCH("CUUR0000SA0",'Data_NSA'!$1:$1,0))/INDEX('Data_NSA'!$A:$OK,MATCH(INDEX('Weights'!$E:$E,MATCH($A391,'Weights'!$A:$A,0)),'Data_NSA'!$A:$A,0),MATCH("CUUR0000SA0",'Data_NSA'!$1:$1,0))))*(INDEX('Data_SA'!$A:$LO,MATCH(I$2,'Data_SA'!$A:$A,0),MATCH($E391,'Data_SA'!$1:$1,0))/INDEX('Data_SA'!$A:$LO,MATCH(EDATE(I$2,-1),'Data_SA'!$A:$A,0),MATCH($E391,'Data_SA'!$1:$1,0))-1),""))</f>
        <v/>
      </c>
      <c r="O391" s="10">
        <f>IFERROR(INDEX('Data_NSA'!$A:$OK,MATCH(O$2,'Data_NSA'!$A:$A,0),MATCH($D391,'Data_NSA'!$1:$1,0)),"")</f>
        <v/>
      </c>
      <c r="P391" s="10">
        <f>IF($E391="","",IFERROR(INDEX('Data_SA'!$A:$LO,MATCH(O$2,'Data_SA'!$A:$A,0),MATCH($E391,'Data_SA'!$1:$1,0)),""))</f>
        <v/>
      </c>
      <c r="Q391" s="7">
        <f>IF($E391="","",IFERROR(INDEX('Data_SA'!$A:$LO,MATCH(O$2,'Data_SA'!$A:$A,0),MATCH($E391,'Data_SA'!$1:$1,0))/INDEX('Data_SA'!$A:$LO,MATCH(EDATE(O$2,-1),'Data_SA'!$A:$A,0),MATCH($E391,'Data_SA'!$1:$1,0))-1,""))</f>
        <v/>
      </c>
      <c r="R391" s="7">
        <f>IFERROR(INDEX('Data_NSA'!$A:$OK,MATCH(O$2,'Data_NSA'!$A:$A,0),MATCH($D391,'Data_NSA'!$1:$1,0))/INDEX('Data_NSA'!$A:$OK,MATCH(EDATE(O$2,-12),'Data_NSA'!$A:$A,0),MATCH($D391,'Data_NSA'!$1:$1,0))-1,"")</f>
        <v/>
      </c>
      <c r="S391" s="10">
        <f>IFERROR(INDEX('Weights'!$G:$I,MATCH($A391,'Weights'!$A:$A,0),MATCH(O$2,'Weights'!$G$1:$I$1,0)),"")</f>
        <v/>
      </c>
      <c r="T391" s="10">
        <f>IF($E391="","",IFERROR(100*(INDEX('Weights'!$D:$D,MATCH($A391,'Weights'!$A:$A,0))*(INDEX('Data_NSA'!$A:$OK,MATCH(EDATE(O$2,-1),'Data_NSA'!$A:$A,0),MATCH($D391,'Data_NSA'!$1:$1,0))/INDEX('Data_NSA'!$A:$OK,MATCH(INDEX('Weights'!$E:$E,MATCH($A391,'Weights'!$A:$A,0)),'Data_NSA'!$A:$A,0),MATCH($D391,'Data_NSA'!$1:$1,0))))/(100*(INDEX('Data_NSA'!$A:$OK,MATCH(EDATE(O$2,-1),'Data_NSA'!$A:$A,0),MATCH("CUUR0000SA0",'Data_NSA'!$1:$1,0))/INDEX('Data_NSA'!$A:$OK,MATCH(INDEX('Weights'!$E:$E,MATCH($A391,'Weights'!$A:$A,0)),'Data_NSA'!$A:$A,0),MATCH("CUUR0000SA0",'Data_NSA'!$1:$1,0))))*(INDEX('Data_SA'!$A:$LO,MATCH(O$2,'Data_SA'!$A:$A,0),MATCH($E391,'Data_SA'!$1:$1,0))/INDEX('Data_SA'!$A:$LO,MATCH(EDATE(O$2,-1),'Data_SA'!$A:$A,0),MATCH($E391,'Data_SA'!$1:$1,0))-1),""))</f>
        <v/>
      </c>
      <c r="U391" s="10">
        <f>IFERROR(INDEX('Data_NSA'!$A:$OK,MATCH(U$2,'Data_NSA'!$A:$A,0),MATCH($D391,'Data_NSA'!$1:$1,0)),"")</f>
        <v/>
      </c>
      <c r="V391" s="10">
        <f>IF($E391="","",IFERROR(INDEX('Data_SA'!$A:$LO,MATCH(U$2,'Data_SA'!$A:$A,0),MATCH($E391,'Data_SA'!$1:$1,0)),""))</f>
        <v/>
      </c>
      <c r="W391" s="7">
        <f>IF($E391="","",IFERROR(INDEX('Data_SA'!$A:$LO,MATCH(U$2,'Data_SA'!$A:$A,0),MATCH($E391,'Data_SA'!$1:$1,0))/INDEX('Data_SA'!$A:$LO,MATCH(EDATE(U$2,-1),'Data_SA'!$A:$A,0),MATCH($E391,'Data_SA'!$1:$1,0))-1,""))</f>
        <v/>
      </c>
      <c r="X391" s="7">
        <f>IFERROR(INDEX('Data_NSA'!$A:$OK,MATCH(U$2,'Data_NSA'!$A:$A,0),MATCH($D391,'Data_NSA'!$1:$1,0))/INDEX('Data_NSA'!$A:$OK,MATCH(EDATE(U$2,-12),'Data_NSA'!$A:$A,0),MATCH($D391,'Data_NSA'!$1:$1,0))-1,"")</f>
        <v/>
      </c>
      <c r="Y391" s="10">
        <f>IFERROR(INDEX('Weights'!$G:$I,MATCH($A391,'Weights'!$A:$A,0),MATCH(U$2,'Weights'!$G$1:$I$1,0)),"")</f>
        <v/>
      </c>
      <c r="Z391" s="10">
        <f>IF($E391="","",IFERROR(100*(INDEX('Weights'!$D:$D,MATCH($A391,'Weights'!$A:$A,0))*(INDEX('Data_NSA'!$A:$OK,MATCH(EDATE(U$2,-1),'Data_NSA'!$A:$A,0),MATCH($D391,'Data_NSA'!$1:$1,0))/INDEX('Data_NSA'!$A:$OK,MATCH(INDEX('Weights'!$E:$E,MATCH($A391,'Weights'!$A:$A,0)),'Data_NSA'!$A:$A,0),MATCH($D391,'Data_NSA'!$1:$1,0))))/(100*(INDEX('Data_NSA'!$A:$OK,MATCH(EDATE(U$2,-1),'Data_NSA'!$A:$A,0),MATCH("CUUR0000SA0",'Data_NSA'!$1:$1,0))/INDEX('Data_NSA'!$A:$OK,MATCH(INDEX('Weights'!$E:$E,MATCH($A391,'Weights'!$A:$A,0)),'Data_NSA'!$A:$A,0),MATCH("CUUR0000SA0",'Data_NSA'!$1:$1,0))))*(INDEX('Data_SA'!$A:$LO,MATCH(U$2,'Data_SA'!$A:$A,0),MATCH($E391,'Data_SA'!$1:$1,0))/INDEX('Data_SA'!$A:$LO,MATCH(EDATE(U$2,-1),'Data_SA'!$A:$A,0),MATCH($E391,'Data_SA'!$1:$1,0))-1),""))</f>
        <v/>
      </c>
    </row>
    <row r="392">
      <c r="A392" s="3" t="inlineStr">
        <is>
          <t>SAS2RS</t>
        </is>
      </c>
      <c r="B392" s="3" t="inlineStr">
        <is>
          <t>Rent of shelter</t>
        </is>
      </c>
      <c r="C392" s="3" t="inlineStr">
        <is>
          <t>SAG</t>
        </is>
      </c>
      <c r="D392" s="3" t="inlineStr">
        <is>
          <t>CUUR0000SAS2RS</t>
        </is>
      </c>
      <c r="E392" s="3" t="inlineStr">
        <is>
          <t>CUSR0000SAS2RS</t>
        </is>
      </c>
      <c r="F392" s="3" t="inlineStr">
        <is>
          <t>aggregate</t>
        </is>
      </c>
      <c r="G392" s="3" t="inlineStr">
        <is>
          <t>aggregate</t>
        </is>
      </c>
      <c r="H392" s="10">
        <f>IFERROR(INDEX(Weights!$D:$D,MATCH($A392,Weights!$A:$A,0)),"")</f>
        <v/>
      </c>
      <c r="I392" s="10">
        <f>IFERROR(INDEX('Data_NSA'!$A:$OK,MATCH(I$2,'Data_NSA'!$A:$A,0),MATCH($D392,'Data_NSA'!$1:$1,0)),"")</f>
        <v/>
      </c>
      <c r="J392" s="10">
        <f>IF($E392="","",IFERROR(INDEX('Data_SA'!$A:$LO,MATCH(I$2,'Data_SA'!$A:$A,0),MATCH($E392,'Data_SA'!$1:$1,0)),""))</f>
        <v/>
      </c>
      <c r="K392" s="7">
        <f>IF($E392="","",IFERROR(INDEX('Data_SA'!$A:$LO,MATCH(I$2,'Data_SA'!$A:$A,0),MATCH($E392,'Data_SA'!$1:$1,0))/INDEX('Data_SA'!$A:$LO,MATCH(EDATE(I$2,-1),'Data_SA'!$A:$A,0),MATCH($E392,'Data_SA'!$1:$1,0))-1,""))</f>
        <v/>
      </c>
      <c r="L392" s="7">
        <f>IFERROR(INDEX('Data_NSA'!$A:$OK,MATCH(I$2,'Data_NSA'!$A:$A,0),MATCH($D392,'Data_NSA'!$1:$1,0))/INDEX('Data_NSA'!$A:$OK,MATCH(EDATE(I$2,-12),'Data_NSA'!$A:$A,0),MATCH($D392,'Data_NSA'!$1:$1,0))-1,"")</f>
        <v/>
      </c>
      <c r="M392" s="10">
        <f>IFERROR(INDEX('Weights'!$G:$I,MATCH($A392,'Weights'!$A:$A,0),MATCH(I$2,'Weights'!$G$1:$I$1,0)),"")</f>
        <v/>
      </c>
      <c r="N392" s="10">
        <f>IF($E392="","",IFERROR(100*(INDEX('Weights'!$D:$D,MATCH($A392,'Weights'!$A:$A,0))*(INDEX('Data_NSA'!$A:$OK,MATCH(EDATE(I$2,-1),'Data_NSA'!$A:$A,0),MATCH($D392,'Data_NSA'!$1:$1,0))/INDEX('Data_NSA'!$A:$OK,MATCH(INDEX('Weights'!$E:$E,MATCH($A392,'Weights'!$A:$A,0)),'Data_NSA'!$A:$A,0),MATCH($D392,'Data_NSA'!$1:$1,0))))/(100*(INDEX('Data_NSA'!$A:$OK,MATCH(EDATE(I$2,-1),'Data_NSA'!$A:$A,0),MATCH("CUUR0000SA0",'Data_NSA'!$1:$1,0))/INDEX('Data_NSA'!$A:$OK,MATCH(INDEX('Weights'!$E:$E,MATCH($A392,'Weights'!$A:$A,0)),'Data_NSA'!$A:$A,0),MATCH("CUUR0000SA0",'Data_NSA'!$1:$1,0))))*(INDEX('Data_SA'!$A:$LO,MATCH(I$2,'Data_SA'!$A:$A,0),MATCH($E392,'Data_SA'!$1:$1,0))/INDEX('Data_SA'!$A:$LO,MATCH(EDATE(I$2,-1),'Data_SA'!$A:$A,0),MATCH($E392,'Data_SA'!$1:$1,0))-1),""))</f>
        <v/>
      </c>
      <c r="O392" s="10">
        <f>IFERROR(INDEX('Data_NSA'!$A:$OK,MATCH(O$2,'Data_NSA'!$A:$A,0),MATCH($D392,'Data_NSA'!$1:$1,0)),"")</f>
        <v/>
      </c>
      <c r="P392" s="10">
        <f>IF($E392="","",IFERROR(INDEX('Data_SA'!$A:$LO,MATCH(O$2,'Data_SA'!$A:$A,0),MATCH($E392,'Data_SA'!$1:$1,0)),""))</f>
        <v/>
      </c>
      <c r="Q392" s="7">
        <f>IF($E392="","",IFERROR(INDEX('Data_SA'!$A:$LO,MATCH(O$2,'Data_SA'!$A:$A,0),MATCH($E392,'Data_SA'!$1:$1,0))/INDEX('Data_SA'!$A:$LO,MATCH(EDATE(O$2,-1),'Data_SA'!$A:$A,0),MATCH($E392,'Data_SA'!$1:$1,0))-1,""))</f>
        <v/>
      </c>
      <c r="R392" s="7">
        <f>IFERROR(INDEX('Data_NSA'!$A:$OK,MATCH(O$2,'Data_NSA'!$A:$A,0),MATCH($D392,'Data_NSA'!$1:$1,0))/INDEX('Data_NSA'!$A:$OK,MATCH(EDATE(O$2,-12),'Data_NSA'!$A:$A,0),MATCH($D392,'Data_NSA'!$1:$1,0))-1,"")</f>
        <v/>
      </c>
      <c r="S392" s="10">
        <f>IFERROR(INDEX('Weights'!$G:$I,MATCH($A392,'Weights'!$A:$A,0),MATCH(O$2,'Weights'!$G$1:$I$1,0)),"")</f>
        <v/>
      </c>
      <c r="T392" s="10">
        <f>IF($E392="","",IFERROR(100*(INDEX('Weights'!$D:$D,MATCH($A392,'Weights'!$A:$A,0))*(INDEX('Data_NSA'!$A:$OK,MATCH(EDATE(O$2,-1),'Data_NSA'!$A:$A,0),MATCH($D392,'Data_NSA'!$1:$1,0))/INDEX('Data_NSA'!$A:$OK,MATCH(INDEX('Weights'!$E:$E,MATCH($A392,'Weights'!$A:$A,0)),'Data_NSA'!$A:$A,0),MATCH($D392,'Data_NSA'!$1:$1,0))))/(100*(INDEX('Data_NSA'!$A:$OK,MATCH(EDATE(O$2,-1),'Data_NSA'!$A:$A,0),MATCH("CUUR0000SA0",'Data_NSA'!$1:$1,0))/INDEX('Data_NSA'!$A:$OK,MATCH(INDEX('Weights'!$E:$E,MATCH($A392,'Weights'!$A:$A,0)),'Data_NSA'!$A:$A,0),MATCH("CUUR0000SA0",'Data_NSA'!$1:$1,0))))*(INDEX('Data_SA'!$A:$LO,MATCH(O$2,'Data_SA'!$A:$A,0),MATCH($E392,'Data_SA'!$1:$1,0))/INDEX('Data_SA'!$A:$LO,MATCH(EDATE(O$2,-1),'Data_SA'!$A:$A,0),MATCH($E392,'Data_SA'!$1:$1,0))-1),""))</f>
        <v/>
      </c>
      <c r="U392" s="10">
        <f>IFERROR(INDEX('Data_NSA'!$A:$OK,MATCH(U$2,'Data_NSA'!$A:$A,0),MATCH($D392,'Data_NSA'!$1:$1,0)),"")</f>
        <v/>
      </c>
      <c r="V392" s="10">
        <f>IF($E392="","",IFERROR(INDEX('Data_SA'!$A:$LO,MATCH(U$2,'Data_SA'!$A:$A,0),MATCH($E392,'Data_SA'!$1:$1,0)),""))</f>
        <v/>
      </c>
      <c r="W392" s="7">
        <f>IF($E392="","",IFERROR(INDEX('Data_SA'!$A:$LO,MATCH(U$2,'Data_SA'!$A:$A,0),MATCH($E392,'Data_SA'!$1:$1,0))/INDEX('Data_SA'!$A:$LO,MATCH(EDATE(U$2,-1),'Data_SA'!$A:$A,0),MATCH($E392,'Data_SA'!$1:$1,0))-1,""))</f>
        <v/>
      </c>
      <c r="X392" s="7">
        <f>IFERROR(INDEX('Data_NSA'!$A:$OK,MATCH(U$2,'Data_NSA'!$A:$A,0),MATCH($D392,'Data_NSA'!$1:$1,0))/INDEX('Data_NSA'!$A:$OK,MATCH(EDATE(U$2,-12),'Data_NSA'!$A:$A,0),MATCH($D392,'Data_NSA'!$1:$1,0))-1,"")</f>
        <v/>
      </c>
      <c r="Y392" s="10">
        <f>IFERROR(INDEX('Weights'!$G:$I,MATCH($A392,'Weights'!$A:$A,0),MATCH(U$2,'Weights'!$G$1:$I$1,0)),"")</f>
        <v/>
      </c>
      <c r="Z392" s="10">
        <f>IF($E392="","",IFERROR(100*(INDEX('Weights'!$D:$D,MATCH($A392,'Weights'!$A:$A,0))*(INDEX('Data_NSA'!$A:$OK,MATCH(EDATE(U$2,-1),'Data_NSA'!$A:$A,0),MATCH($D392,'Data_NSA'!$1:$1,0))/INDEX('Data_NSA'!$A:$OK,MATCH(INDEX('Weights'!$E:$E,MATCH($A392,'Weights'!$A:$A,0)),'Data_NSA'!$A:$A,0),MATCH($D392,'Data_NSA'!$1:$1,0))))/(100*(INDEX('Data_NSA'!$A:$OK,MATCH(EDATE(U$2,-1),'Data_NSA'!$A:$A,0),MATCH("CUUR0000SA0",'Data_NSA'!$1:$1,0))/INDEX('Data_NSA'!$A:$OK,MATCH(INDEX('Weights'!$E:$E,MATCH($A392,'Weights'!$A:$A,0)),'Data_NSA'!$A:$A,0),MATCH("CUUR0000SA0",'Data_NSA'!$1:$1,0))))*(INDEX('Data_SA'!$A:$LO,MATCH(U$2,'Data_SA'!$A:$A,0),MATCH($E392,'Data_SA'!$1:$1,0))/INDEX('Data_SA'!$A:$LO,MATCH(EDATE(U$2,-1),'Data_SA'!$A:$A,0),MATCH($E392,'Data_SA'!$1:$1,0))-1),""))</f>
        <v/>
      </c>
    </row>
    <row r="393">
      <c r="A393" s="3" t="inlineStr">
        <is>
          <t>SAS</t>
        </is>
      </c>
      <c r="B393" s="3" t="inlineStr">
        <is>
          <t>Services</t>
        </is>
      </c>
      <c r="C393" s="3" t="inlineStr">
        <is>
          <t>SAG</t>
        </is>
      </c>
      <c r="D393" s="3" t="inlineStr">
        <is>
          <t>CUUR0000SAS</t>
        </is>
      </c>
      <c r="E393" s="3" t="inlineStr">
        <is>
          <t>CUSR0000SAS</t>
        </is>
      </c>
      <c r="F393" s="3" t="inlineStr">
        <is>
          <t>aggregate</t>
        </is>
      </c>
      <c r="G393" s="3" t="inlineStr">
        <is>
          <t>aggregate</t>
        </is>
      </c>
      <c r="H393" s="10">
        <f>IFERROR(INDEX(Weights!$D:$D,MATCH($A393,Weights!$A:$A,0)),"")</f>
        <v/>
      </c>
      <c r="I393" s="10">
        <f>IFERROR(INDEX('Data_NSA'!$A:$OK,MATCH(I$2,'Data_NSA'!$A:$A,0),MATCH($D393,'Data_NSA'!$1:$1,0)),"")</f>
        <v/>
      </c>
      <c r="J393" s="10">
        <f>IF($E393="","",IFERROR(INDEX('Data_SA'!$A:$LO,MATCH(I$2,'Data_SA'!$A:$A,0),MATCH($E393,'Data_SA'!$1:$1,0)),""))</f>
        <v/>
      </c>
      <c r="K393" s="7">
        <f>IF($E393="","",IFERROR(INDEX('Data_SA'!$A:$LO,MATCH(I$2,'Data_SA'!$A:$A,0),MATCH($E393,'Data_SA'!$1:$1,0))/INDEX('Data_SA'!$A:$LO,MATCH(EDATE(I$2,-1),'Data_SA'!$A:$A,0),MATCH($E393,'Data_SA'!$1:$1,0))-1,""))</f>
        <v/>
      </c>
      <c r="L393" s="7">
        <f>IFERROR(INDEX('Data_NSA'!$A:$OK,MATCH(I$2,'Data_NSA'!$A:$A,0),MATCH($D393,'Data_NSA'!$1:$1,0))/INDEX('Data_NSA'!$A:$OK,MATCH(EDATE(I$2,-12),'Data_NSA'!$A:$A,0),MATCH($D393,'Data_NSA'!$1:$1,0))-1,"")</f>
        <v/>
      </c>
      <c r="M393" s="10">
        <f>IFERROR(INDEX('Weights'!$G:$I,MATCH($A393,'Weights'!$A:$A,0),MATCH(I$2,'Weights'!$G$1:$I$1,0)),"")</f>
        <v/>
      </c>
      <c r="N393" s="10">
        <f>IF($E393="","",IFERROR(100*(INDEX('Weights'!$D:$D,MATCH($A393,'Weights'!$A:$A,0))*(INDEX('Data_NSA'!$A:$OK,MATCH(EDATE(I$2,-1),'Data_NSA'!$A:$A,0),MATCH($D393,'Data_NSA'!$1:$1,0))/INDEX('Data_NSA'!$A:$OK,MATCH(INDEX('Weights'!$E:$E,MATCH($A393,'Weights'!$A:$A,0)),'Data_NSA'!$A:$A,0),MATCH($D393,'Data_NSA'!$1:$1,0))))/(100*(INDEX('Data_NSA'!$A:$OK,MATCH(EDATE(I$2,-1),'Data_NSA'!$A:$A,0),MATCH("CUUR0000SA0",'Data_NSA'!$1:$1,0))/INDEX('Data_NSA'!$A:$OK,MATCH(INDEX('Weights'!$E:$E,MATCH($A393,'Weights'!$A:$A,0)),'Data_NSA'!$A:$A,0),MATCH("CUUR0000SA0",'Data_NSA'!$1:$1,0))))*(INDEX('Data_SA'!$A:$LO,MATCH(I$2,'Data_SA'!$A:$A,0),MATCH($E393,'Data_SA'!$1:$1,0))/INDEX('Data_SA'!$A:$LO,MATCH(EDATE(I$2,-1),'Data_SA'!$A:$A,0),MATCH($E393,'Data_SA'!$1:$1,0))-1),""))</f>
        <v/>
      </c>
      <c r="O393" s="10">
        <f>IFERROR(INDEX('Data_NSA'!$A:$OK,MATCH(O$2,'Data_NSA'!$A:$A,0),MATCH($D393,'Data_NSA'!$1:$1,0)),"")</f>
        <v/>
      </c>
      <c r="P393" s="10">
        <f>IF($E393="","",IFERROR(INDEX('Data_SA'!$A:$LO,MATCH(O$2,'Data_SA'!$A:$A,0),MATCH($E393,'Data_SA'!$1:$1,0)),""))</f>
        <v/>
      </c>
      <c r="Q393" s="7">
        <f>IF($E393="","",IFERROR(INDEX('Data_SA'!$A:$LO,MATCH(O$2,'Data_SA'!$A:$A,0),MATCH($E393,'Data_SA'!$1:$1,0))/INDEX('Data_SA'!$A:$LO,MATCH(EDATE(O$2,-1),'Data_SA'!$A:$A,0),MATCH($E393,'Data_SA'!$1:$1,0))-1,""))</f>
        <v/>
      </c>
      <c r="R393" s="7">
        <f>IFERROR(INDEX('Data_NSA'!$A:$OK,MATCH(O$2,'Data_NSA'!$A:$A,0),MATCH($D393,'Data_NSA'!$1:$1,0))/INDEX('Data_NSA'!$A:$OK,MATCH(EDATE(O$2,-12),'Data_NSA'!$A:$A,0),MATCH($D393,'Data_NSA'!$1:$1,0))-1,"")</f>
        <v/>
      </c>
      <c r="S393" s="10">
        <f>IFERROR(INDEX('Weights'!$G:$I,MATCH($A393,'Weights'!$A:$A,0),MATCH(O$2,'Weights'!$G$1:$I$1,0)),"")</f>
        <v/>
      </c>
      <c r="T393" s="10">
        <f>IF($E393="","",IFERROR(100*(INDEX('Weights'!$D:$D,MATCH($A393,'Weights'!$A:$A,0))*(INDEX('Data_NSA'!$A:$OK,MATCH(EDATE(O$2,-1),'Data_NSA'!$A:$A,0),MATCH($D393,'Data_NSA'!$1:$1,0))/INDEX('Data_NSA'!$A:$OK,MATCH(INDEX('Weights'!$E:$E,MATCH($A393,'Weights'!$A:$A,0)),'Data_NSA'!$A:$A,0),MATCH($D393,'Data_NSA'!$1:$1,0))))/(100*(INDEX('Data_NSA'!$A:$OK,MATCH(EDATE(O$2,-1),'Data_NSA'!$A:$A,0),MATCH("CUUR0000SA0",'Data_NSA'!$1:$1,0))/INDEX('Data_NSA'!$A:$OK,MATCH(INDEX('Weights'!$E:$E,MATCH($A393,'Weights'!$A:$A,0)),'Data_NSA'!$A:$A,0),MATCH("CUUR0000SA0",'Data_NSA'!$1:$1,0))))*(INDEX('Data_SA'!$A:$LO,MATCH(O$2,'Data_SA'!$A:$A,0),MATCH($E393,'Data_SA'!$1:$1,0))/INDEX('Data_SA'!$A:$LO,MATCH(EDATE(O$2,-1),'Data_SA'!$A:$A,0),MATCH($E393,'Data_SA'!$1:$1,0))-1),""))</f>
        <v/>
      </c>
      <c r="U393" s="10">
        <f>IFERROR(INDEX('Data_NSA'!$A:$OK,MATCH(U$2,'Data_NSA'!$A:$A,0),MATCH($D393,'Data_NSA'!$1:$1,0)),"")</f>
        <v/>
      </c>
      <c r="V393" s="10">
        <f>IF($E393="","",IFERROR(INDEX('Data_SA'!$A:$LO,MATCH(U$2,'Data_SA'!$A:$A,0),MATCH($E393,'Data_SA'!$1:$1,0)),""))</f>
        <v/>
      </c>
      <c r="W393" s="7">
        <f>IF($E393="","",IFERROR(INDEX('Data_SA'!$A:$LO,MATCH(U$2,'Data_SA'!$A:$A,0),MATCH($E393,'Data_SA'!$1:$1,0))/INDEX('Data_SA'!$A:$LO,MATCH(EDATE(U$2,-1),'Data_SA'!$A:$A,0),MATCH($E393,'Data_SA'!$1:$1,0))-1,""))</f>
        <v/>
      </c>
      <c r="X393" s="7">
        <f>IFERROR(INDEX('Data_NSA'!$A:$OK,MATCH(U$2,'Data_NSA'!$A:$A,0),MATCH($D393,'Data_NSA'!$1:$1,0))/INDEX('Data_NSA'!$A:$OK,MATCH(EDATE(U$2,-12),'Data_NSA'!$A:$A,0),MATCH($D393,'Data_NSA'!$1:$1,0))-1,"")</f>
        <v/>
      </c>
      <c r="Y393" s="10">
        <f>IFERROR(INDEX('Weights'!$G:$I,MATCH($A393,'Weights'!$A:$A,0),MATCH(U$2,'Weights'!$G$1:$I$1,0)),"")</f>
        <v/>
      </c>
      <c r="Z393" s="10">
        <f>IF($E393="","",IFERROR(100*(INDEX('Weights'!$D:$D,MATCH($A393,'Weights'!$A:$A,0))*(INDEX('Data_NSA'!$A:$OK,MATCH(EDATE(U$2,-1),'Data_NSA'!$A:$A,0),MATCH($D393,'Data_NSA'!$1:$1,0))/INDEX('Data_NSA'!$A:$OK,MATCH(INDEX('Weights'!$E:$E,MATCH($A393,'Weights'!$A:$A,0)),'Data_NSA'!$A:$A,0),MATCH($D393,'Data_NSA'!$1:$1,0))))/(100*(INDEX('Data_NSA'!$A:$OK,MATCH(EDATE(U$2,-1),'Data_NSA'!$A:$A,0),MATCH("CUUR0000SA0",'Data_NSA'!$1:$1,0))/INDEX('Data_NSA'!$A:$OK,MATCH(INDEX('Weights'!$E:$E,MATCH($A393,'Weights'!$A:$A,0)),'Data_NSA'!$A:$A,0),MATCH("CUUR0000SA0",'Data_NSA'!$1:$1,0))))*(INDEX('Data_SA'!$A:$LO,MATCH(U$2,'Data_SA'!$A:$A,0),MATCH($E393,'Data_SA'!$1:$1,0))/INDEX('Data_SA'!$A:$LO,MATCH(EDATE(U$2,-1),'Data_SA'!$A:$A,0),MATCH($E393,'Data_SA'!$1:$1,0))-1),""))</f>
        <v/>
      </c>
    </row>
    <row r="394">
      <c r="A394" s="3" t="inlineStr">
        <is>
          <t>SASLE</t>
        </is>
      </c>
      <c r="B394" s="3" t="inlineStr">
        <is>
          <t>Services less energy services</t>
        </is>
      </c>
      <c r="C394" s="3" t="inlineStr">
        <is>
          <t>SAG</t>
        </is>
      </c>
      <c r="D394" s="3" t="inlineStr">
        <is>
          <t>CUUR0000SASLE</t>
        </is>
      </c>
      <c r="E394" s="3" t="inlineStr">
        <is>
          <t>CUSR0000SASLE</t>
        </is>
      </c>
      <c r="F394" s="3" t="inlineStr">
        <is>
          <t>aggregate</t>
        </is>
      </c>
      <c r="G394" s="3" t="inlineStr">
        <is>
          <t>aggregate</t>
        </is>
      </c>
      <c r="H394" s="10">
        <f>IFERROR(INDEX(Weights!$D:$D,MATCH($A394,Weights!$A:$A,0)),"")</f>
        <v/>
      </c>
      <c r="I394" s="10">
        <f>IFERROR(INDEX('Data_NSA'!$A:$OK,MATCH(I$2,'Data_NSA'!$A:$A,0),MATCH($D394,'Data_NSA'!$1:$1,0)),"")</f>
        <v/>
      </c>
      <c r="J394" s="10">
        <f>IF($E394="","",IFERROR(INDEX('Data_SA'!$A:$LO,MATCH(I$2,'Data_SA'!$A:$A,0),MATCH($E394,'Data_SA'!$1:$1,0)),""))</f>
        <v/>
      </c>
      <c r="K394" s="7">
        <f>IF($E394="","",IFERROR(INDEX('Data_SA'!$A:$LO,MATCH(I$2,'Data_SA'!$A:$A,0),MATCH($E394,'Data_SA'!$1:$1,0))/INDEX('Data_SA'!$A:$LO,MATCH(EDATE(I$2,-1),'Data_SA'!$A:$A,0),MATCH($E394,'Data_SA'!$1:$1,0))-1,""))</f>
        <v/>
      </c>
      <c r="L394" s="7">
        <f>IFERROR(INDEX('Data_NSA'!$A:$OK,MATCH(I$2,'Data_NSA'!$A:$A,0),MATCH($D394,'Data_NSA'!$1:$1,0))/INDEX('Data_NSA'!$A:$OK,MATCH(EDATE(I$2,-12),'Data_NSA'!$A:$A,0),MATCH($D394,'Data_NSA'!$1:$1,0))-1,"")</f>
        <v/>
      </c>
      <c r="M394" s="10">
        <f>IFERROR(INDEX('Weights'!$G:$I,MATCH($A394,'Weights'!$A:$A,0),MATCH(I$2,'Weights'!$G$1:$I$1,0)),"")</f>
        <v/>
      </c>
      <c r="N394" s="10">
        <f>IF($E394="","",IFERROR(100*(INDEX('Weights'!$D:$D,MATCH($A394,'Weights'!$A:$A,0))*(INDEX('Data_NSA'!$A:$OK,MATCH(EDATE(I$2,-1),'Data_NSA'!$A:$A,0),MATCH($D394,'Data_NSA'!$1:$1,0))/INDEX('Data_NSA'!$A:$OK,MATCH(INDEX('Weights'!$E:$E,MATCH($A394,'Weights'!$A:$A,0)),'Data_NSA'!$A:$A,0),MATCH($D394,'Data_NSA'!$1:$1,0))))/(100*(INDEX('Data_NSA'!$A:$OK,MATCH(EDATE(I$2,-1),'Data_NSA'!$A:$A,0),MATCH("CUUR0000SA0",'Data_NSA'!$1:$1,0))/INDEX('Data_NSA'!$A:$OK,MATCH(INDEX('Weights'!$E:$E,MATCH($A394,'Weights'!$A:$A,0)),'Data_NSA'!$A:$A,0),MATCH("CUUR0000SA0",'Data_NSA'!$1:$1,0))))*(INDEX('Data_SA'!$A:$LO,MATCH(I$2,'Data_SA'!$A:$A,0),MATCH($E394,'Data_SA'!$1:$1,0))/INDEX('Data_SA'!$A:$LO,MATCH(EDATE(I$2,-1),'Data_SA'!$A:$A,0),MATCH($E394,'Data_SA'!$1:$1,0))-1),""))</f>
        <v/>
      </c>
      <c r="O394" s="10">
        <f>IFERROR(INDEX('Data_NSA'!$A:$OK,MATCH(O$2,'Data_NSA'!$A:$A,0),MATCH($D394,'Data_NSA'!$1:$1,0)),"")</f>
        <v/>
      </c>
      <c r="P394" s="10">
        <f>IF($E394="","",IFERROR(INDEX('Data_SA'!$A:$LO,MATCH(O$2,'Data_SA'!$A:$A,0),MATCH($E394,'Data_SA'!$1:$1,0)),""))</f>
        <v/>
      </c>
      <c r="Q394" s="7">
        <f>IF($E394="","",IFERROR(INDEX('Data_SA'!$A:$LO,MATCH(O$2,'Data_SA'!$A:$A,0),MATCH($E394,'Data_SA'!$1:$1,0))/INDEX('Data_SA'!$A:$LO,MATCH(EDATE(O$2,-1),'Data_SA'!$A:$A,0),MATCH($E394,'Data_SA'!$1:$1,0))-1,""))</f>
        <v/>
      </c>
      <c r="R394" s="7">
        <f>IFERROR(INDEX('Data_NSA'!$A:$OK,MATCH(O$2,'Data_NSA'!$A:$A,0),MATCH($D394,'Data_NSA'!$1:$1,0))/INDEX('Data_NSA'!$A:$OK,MATCH(EDATE(O$2,-12),'Data_NSA'!$A:$A,0),MATCH($D394,'Data_NSA'!$1:$1,0))-1,"")</f>
        <v/>
      </c>
      <c r="S394" s="10">
        <f>IFERROR(INDEX('Weights'!$G:$I,MATCH($A394,'Weights'!$A:$A,0),MATCH(O$2,'Weights'!$G$1:$I$1,0)),"")</f>
        <v/>
      </c>
      <c r="T394" s="10">
        <f>IF($E394="","",IFERROR(100*(INDEX('Weights'!$D:$D,MATCH($A394,'Weights'!$A:$A,0))*(INDEX('Data_NSA'!$A:$OK,MATCH(EDATE(O$2,-1),'Data_NSA'!$A:$A,0),MATCH($D394,'Data_NSA'!$1:$1,0))/INDEX('Data_NSA'!$A:$OK,MATCH(INDEX('Weights'!$E:$E,MATCH($A394,'Weights'!$A:$A,0)),'Data_NSA'!$A:$A,0),MATCH($D394,'Data_NSA'!$1:$1,0))))/(100*(INDEX('Data_NSA'!$A:$OK,MATCH(EDATE(O$2,-1),'Data_NSA'!$A:$A,0),MATCH("CUUR0000SA0",'Data_NSA'!$1:$1,0))/INDEX('Data_NSA'!$A:$OK,MATCH(INDEX('Weights'!$E:$E,MATCH($A394,'Weights'!$A:$A,0)),'Data_NSA'!$A:$A,0),MATCH("CUUR0000SA0",'Data_NSA'!$1:$1,0))))*(INDEX('Data_SA'!$A:$LO,MATCH(O$2,'Data_SA'!$A:$A,0),MATCH($E394,'Data_SA'!$1:$1,0))/INDEX('Data_SA'!$A:$LO,MATCH(EDATE(O$2,-1),'Data_SA'!$A:$A,0),MATCH($E394,'Data_SA'!$1:$1,0))-1),""))</f>
        <v/>
      </c>
      <c r="U394" s="10">
        <f>IFERROR(INDEX('Data_NSA'!$A:$OK,MATCH(U$2,'Data_NSA'!$A:$A,0),MATCH($D394,'Data_NSA'!$1:$1,0)),"")</f>
        <v/>
      </c>
      <c r="V394" s="10">
        <f>IF($E394="","",IFERROR(INDEX('Data_SA'!$A:$LO,MATCH(U$2,'Data_SA'!$A:$A,0),MATCH($E394,'Data_SA'!$1:$1,0)),""))</f>
        <v/>
      </c>
      <c r="W394" s="7">
        <f>IF($E394="","",IFERROR(INDEX('Data_SA'!$A:$LO,MATCH(U$2,'Data_SA'!$A:$A,0),MATCH($E394,'Data_SA'!$1:$1,0))/INDEX('Data_SA'!$A:$LO,MATCH(EDATE(U$2,-1),'Data_SA'!$A:$A,0),MATCH($E394,'Data_SA'!$1:$1,0))-1,""))</f>
        <v/>
      </c>
      <c r="X394" s="7">
        <f>IFERROR(INDEX('Data_NSA'!$A:$OK,MATCH(U$2,'Data_NSA'!$A:$A,0),MATCH($D394,'Data_NSA'!$1:$1,0))/INDEX('Data_NSA'!$A:$OK,MATCH(EDATE(U$2,-12),'Data_NSA'!$A:$A,0),MATCH($D394,'Data_NSA'!$1:$1,0))-1,"")</f>
        <v/>
      </c>
      <c r="Y394" s="10">
        <f>IFERROR(INDEX('Weights'!$G:$I,MATCH($A394,'Weights'!$A:$A,0),MATCH(U$2,'Weights'!$G$1:$I$1,0)),"")</f>
        <v/>
      </c>
      <c r="Z394" s="10">
        <f>IF($E394="","",IFERROR(100*(INDEX('Weights'!$D:$D,MATCH($A394,'Weights'!$A:$A,0))*(INDEX('Data_NSA'!$A:$OK,MATCH(EDATE(U$2,-1),'Data_NSA'!$A:$A,0),MATCH($D394,'Data_NSA'!$1:$1,0))/INDEX('Data_NSA'!$A:$OK,MATCH(INDEX('Weights'!$E:$E,MATCH($A394,'Weights'!$A:$A,0)),'Data_NSA'!$A:$A,0),MATCH($D394,'Data_NSA'!$1:$1,0))))/(100*(INDEX('Data_NSA'!$A:$OK,MATCH(EDATE(U$2,-1),'Data_NSA'!$A:$A,0),MATCH("CUUR0000SA0",'Data_NSA'!$1:$1,0))/INDEX('Data_NSA'!$A:$OK,MATCH(INDEX('Weights'!$E:$E,MATCH($A394,'Weights'!$A:$A,0)),'Data_NSA'!$A:$A,0),MATCH("CUUR0000SA0",'Data_NSA'!$1:$1,0))))*(INDEX('Data_SA'!$A:$LO,MATCH(U$2,'Data_SA'!$A:$A,0),MATCH($E394,'Data_SA'!$1:$1,0))/INDEX('Data_SA'!$A:$LO,MATCH(EDATE(U$2,-1),'Data_SA'!$A:$A,0),MATCH($E394,'Data_SA'!$1:$1,0))-1),""))</f>
        <v/>
      </c>
    </row>
    <row r="395">
      <c r="A395" s="3" t="inlineStr">
        <is>
          <t>SASL5</t>
        </is>
      </c>
      <c r="B395" s="3" t="inlineStr">
        <is>
          <t>Services less medical care services</t>
        </is>
      </c>
      <c r="C395" s="3" t="inlineStr">
        <is>
          <t>SAG</t>
        </is>
      </c>
      <c r="D395" s="3" t="inlineStr">
        <is>
          <t>CUUR0000SASL5</t>
        </is>
      </c>
      <c r="E395" s="3" t="inlineStr">
        <is>
          <t>CUSR0000SASL5</t>
        </is>
      </c>
      <c r="F395" s="3" t="inlineStr">
        <is>
          <t>aggregate</t>
        </is>
      </c>
      <c r="G395" s="3" t="inlineStr">
        <is>
          <t>aggregate</t>
        </is>
      </c>
      <c r="H395" s="10">
        <f>IFERROR(INDEX(Weights!$D:$D,MATCH($A395,Weights!$A:$A,0)),"")</f>
        <v/>
      </c>
      <c r="I395" s="10">
        <f>IFERROR(INDEX('Data_NSA'!$A:$OK,MATCH(I$2,'Data_NSA'!$A:$A,0),MATCH($D395,'Data_NSA'!$1:$1,0)),"")</f>
        <v/>
      </c>
      <c r="J395" s="10">
        <f>IF($E395="","",IFERROR(INDEX('Data_SA'!$A:$LO,MATCH(I$2,'Data_SA'!$A:$A,0),MATCH($E395,'Data_SA'!$1:$1,0)),""))</f>
        <v/>
      </c>
      <c r="K395" s="7">
        <f>IF($E395="","",IFERROR(INDEX('Data_SA'!$A:$LO,MATCH(I$2,'Data_SA'!$A:$A,0),MATCH($E395,'Data_SA'!$1:$1,0))/INDEX('Data_SA'!$A:$LO,MATCH(EDATE(I$2,-1),'Data_SA'!$A:$A,0),MATCH($E395,'Data_SA'!$1:$1,0))-1,""))</f>
        <v/>
      </c>
      <c r="L395" s="7">
        <f>IFERROR(INDEX('Data_NSA'!$A:$OK,MATCH(I$2,'Data_NSA'!$A:$A,0),MATCH($D395,'Data_NSA'!$1:$1,0))/INDEX('Data_NSA'!$A:$OK,MATCH(EDATE(I$2,-12),'Data_NSA'!$A:$A,0),MATCH($D395,'Data_NSA'!$1:$1,0))-1,"")</f>
        <v/>
      </c>
      <c r="M395" s="10">
        <f>IFERROR(INDEX('Weights'!$G:$I,MATCH($A395,'Weights'!$A:$A,0),MATCH(I$2,'Weights'!$G$1:$I$1,0)),"")</f>
        <v/>
      </c>
      <c r="N395" s="10">
        <f>IF($E395="","",IFERROR(100*(INDEX('Weights'!$D:$D,MATCH($A395,'Weights'!$A:$A,0))*(INDEX('Data_NSA'!$A:$OK,MATCH(EDATE(I$2,-1),'Data_NSA'!$A:$A,0),MATCH($D395,'Data_NSA'!$1:$1,0))/INDEX('Data_NSA'!$A:$OK,MATCH(INDEX('Weights'!$E:$E,MATCH($A395,'Weights'!$A:$A,0)),'Data_NSA'!$A:$A,0),MATCH($D395,'Data_NSA'!$1:$1,0))))/(100*(INDEX('Data_NSA'!$A:$OK,MATCH(EDATE(I$2,-1),'Data_NSA'!$A:$A,0),MATCH("CUUR0000SA0",'Data_NSA'!$1:$1,0))/INDEX('Data_NSA'!$A:$OK,MATCH(INDEX('Weights'!$E:$E,MATCH($A395,'Weights'!$A:$A,0)),'Data_NSA'!$A:$A,0),MATCH("CUUR0000SA0",'Data_NSA'!$1:$1,0))))*(INDEX('Data_SA'!$A:$LO,MATCH(I$2,'Data_SA'!$A:$A,0),MATCH($E395,'Data_SA'!$1:$1,0))/INDEX('Data_SA'!$A:$LO,MATCH(EDATE(I$2,-1),'Data_SA'!$A:$A,0),MATCH($E395,'Data_SA'!$1:$1,0))-1),""))</f>
        <v/>
      </c>
      <c r="O395" s="10">
        <f>IFERROR(INDEX('Data_NSA'!$A:$OK,MATCH(O$2,'Data_NSA'!$A:$A,0),MATCH($D395,'Data_NSA'!$1:$1,0)),"")</f>
        <v/>
      </c>
      <c r="P395" s="10">
        <f>IF($E395="","",IFERROR(INDEX('Data_SA'!$A:$LO,MATCH(O$2,'Data_SA'!$A:$A,0),MATCH($E395,'Data_SA'!$1:$1,0)),""))</f>
        <v/>
      </c>
      <c r="Q395" s="7">
        <f>IF($E395="","",IFERROR(INDEX('Data_SA'!$A:$LO,MATCH(O$2,'Data_SA'!$A:$A,0),MATCH($E395,'Data_SA'!$1:$1,0))/INDEX('Data_SA'!$A:$LO,MATCH(EDATE(O$2,-1),'Data_SA'!$A:$A,0),MATCH($E395,'Data_SA'!$1:$1,0))-1,""))</f>
        <v/>
      </c>
      <c r="R395" s="7">
        <f>IFERROR(INDEX('Data_NSA'!$A:$OK,MATCH(O$2,'Data_NSA'!$A:$A,0),MATCH($D395,'Data_NSA'!$1:$1,0))/INDEX('Data_NSA'!$A:$OK,MATCH(EDATE(O$2,-12),'Data_NSA'!$A:$A,0),MATCH($D395,'Data_NSA'!$1:$1,0))-1,"")</f>
        <v/>
      </c>
      <c r="S395" s="10">
        <f>IFERROR(INDEX('Weights'!$G:$I,MATCH($A395,'Weights'!$A:$A,0),MATCH(O$2,'Weights'!$G$1:$I$1,0)),"")</f>
        <v/>
      </c>
      <c r="T395" s="10">
        <f>IF($E395="","",IFERROR(100*(INDEX('Weights'!$D:$D,MATCH($A395,'Weights'!$A:$A,0))*(INDEX('Data_NSA'!$A:$OK,MATCH(EDATE(O$2,-1),'Data_NSA'!$A:$A,0),MATCH($D395,'Data_NSA'!$1:$1,0))/INDEX('Data_NSA'!$A:$OK,MATCH(INDEX('Weights'!$E:$E,MATCH($A395,'Weights'!$A:$A,0)),'Data_NSA'!$A:$A,0),MATCH($D395,'Data_NSA'!$1:$1,0))))/(100*(INDEX('Data_NSA'!$A:$OK,MATCH(EDATE(O$2,-1),'Data_NSA'!$A:$A,0),MATCH("CUUR0000SA0",'Data_NSA'!$1:$1,0))/INDEX('Data_NSA'!$A:$OK,MATCH(INDEX('Weights'!$E:$E,MATCH($A395,'Weights'!$A:$A,0)),'Data_NSA'!$A:$A,0),MATCH("CUUR0000SA0",'Data_NSA'!$1:$1,0))))*(INDEX('Data_SA'!$A:$LO,MATCH(O$2,'Data_SA'!$A:$A,0),MATCH($E395,'Data_SA'!$1:$1,0))/INDEX('Data_SA'!$A:$LO,MATCH(EDATE(O$2,-1),'Data_SA'!$A:$A,0),MATCH($E395,'Data_SA'!$1:$1,0))-1),""))</f>
        <v/>
      </c>
      <c r="U395" s="10">
        <f>IFERROR(INDEX('Data_NSA'!$A:$OK,MATCH(U$2,'Data_NSA'!$A:$A,0),MATCH($D395,'Data_NSA'!$1:$1,0)),"")</f>
        <v/>
      </c>
      <c r="V395" s="10">
        <f>IF($E395="","",IFERROR(INDEX('Data_SA'!$A:$LO,MATCH(U$2,'Data_SA'!$A:$A,0),MATCH($E395,'Data_SA'!$1:$1,0)),""))</f>
        <v/>
      </c>
      <c r="W395" s="7">
        <f>IF($E395="","",IFERROR(INDEX('Data_SA'!$A:$LO,MATCH(U$2,'Data_SA'!$A:$A,0),MATCH($E395,'Data_SA'!$1:$1,0))/INDEX('Data_SA'!$A:$LO,MATCH(EDATE(U$2,-1),'Data_SA'!$A:$A,0),MATCH($E395,'Data_SA'!$1:$1,0))-1,""))</f>
        <v/>
      </c>
      <c r="X395" s="7">
        <f>IFERROR(INDEX('Data_NSA'!$A:$OK,MATCH(U$2,'Data_NSA'!$A:$A,0),MATCH($D395,'Data_NSA'!$1:$1,0))/INDEX('Data_NSA'!$A:$OK,MATCH(EDATE(U$2,-12),'Data_NSA'!$A:$A,0),MATCH($D395,'Data_NSA'!$1:$1,0))-1,"")</f>
        <v/>
      </c>
      <c r="Y395" s="10">
        <f>IFERROR(INDEX('Weights'!$G:$I,MATCH($A395,'Weights'!$A:$A,0),MATCH(U$2,'Weights'!$G$1:$I$1,0)),"")</f>
        <v/>
      </c>
      <c r="Z395" s="10">
        <f>IF($E395="","",IFERROR(100*(INDEX('Weights'!$D:$D,MATCH($A395,'Weights'!$A:$A,0))*(INDEX('Data_NSA'!$A:$OK,MATCH(EDATE(U$2,-1),'Data_NSA'!$A:$A,0),MATCH($D395,'Data_NSA'!$1:$1,0))/INDEX('Data_NSA'!$A:$OK,MATCH(INDEX('Weights'!$E:$E,MATCH($A395,'Weights'!$A:$A,0)),'Data_NSA'!$A:$A,0),MATCH($D395,'Data_NSA'!$1:$1,0))))/(100*(INDEX('Data_NSA'!$A:$OK,MATCH(EDATE(U$2,-1),'Data_NSA'!$A:$A,0),MATCH("CUUR0000SA0",'Data_NSA'!$1:$1,0))/INDEX('Data_NSA'!$A:$OK,MATCH(INDEX('Weights'!$E:$E,MATCH($A395,'Weights'!$A:$A,0)),'Data_NSA'!$A:$A,0),MATCH("CUUR0000SA0",'Data_NSA'!$1:$1,0))))*(INDEX('Data_SA'!$A:$LO,MATCH(U$2,'Data_SA'!$A:$A,0),MATCH($E395,'Data_SA'!$1:$1,0))/INDEX('Data_SA'!$A:$LO,MATCH(EDATE(U$2,-1),'Data_SA'!$A:$A,0),MATCH($E395,'Data_SA'!$1:$1,0))-1),""))</f>
        <v/>
      </c>
    </row>
    <row r="396">
      <c r="A396" s="3" t="inlineStr">
        <is>
          <t>SASL2RS</t>
        </is>
      </c>
      <c r="B396" s="3" t="inlineStr">
        <is>
          <t>Services less rent of shelter</t>
        </is>
      </c>
      <c r="C396" s="3" t="inlineStr">
        <is>
          <t>SAG</t>
        </is>
      </c>
      <c r="D396" s="3" t="inlineStr">
        <is>
          <t>CUUR0000SASL2RS</t>
        </is>
      </c>
      <c r="E396" s="3" t="inlineStr">
        <is>
          <t>CUSR0000SASL2RS</t>
        </is>
      </c>
      <c r="F396" s="3" t="inlineStr">
        <is>
          <t>aggregate</t>
        </is>
      </c>
      <c r="G396" s="3" t="inlineStr">
        <is>
          <t>aggregate</t>
        </is>
      </c>
      <c r="H396" s="10">
        <f>IFERROR(INDEX(Weights!$D:$D,MATCH($A396,Weights!$A:$A,0)),"")</f>
        <v/>
      </c>
      <c r="I396" s="10">
        <f>IFERROR(INDEX('Data_NSA'!$A:$OK,MATCH(I$2,'Data_NSA'!$A:$A,0),MATCH($D396,'Data_NSA'!$1:$1,0)),"")</f>
        <v/>
      </c>
      <c r="J396" s="10">
        <f>IF($E396="","",IFERROR(INDEX('Data_SA'!$A:$LO,MATCH(I$2,'Data_SA'!$A:$A,0),MATCH($E396,'Data_SA'!$1:$1,0)),""))</f>
        <v/>
      </c>
      <c r="K396" s="7">
        <f>IF($E396="","",IFERROR(INDEX('Data_SA'!$A:$LO,MATCH(I$2,'Data_SA'!$A:$A,0),MATCH($E396,'Data_SA'!$1:$1,0))/INDEX('Data_SA'!$A:$LO,MATCH(EDATE(I$2,-1),'Data_SA'!$A:$A,0),MATCH($E396,'Data_SA'!$1:$1,0))-1,""))</f>
        <v/>
      </c>
      <c r="L396" s="7">
        <f>IFERROR(INDEX('Data_NSA'!$A:$OK,MATCH(I$2,'Data_NSA'!$A:$A,0),MATCH($D396,'Data_NSA'!$1:$1,0))/INDEX('Data_NSA'!$A:$OK,MATCH(EDATE(I$2,-12),'Data_NSA'!$A:$A,0),MATCH($D396,'Data_NSA'!$1:$1,0))-1,"")</f>
        <v/>
      </c>
      <c r="M396" s="10">
        <f>IFERROR(INDEX('Weights'!$G:$I,MATCH($A396,'Weights'!$A:$A,0),MATCH(I$2,'Weights'!$G$1:$I$1,0)),"")</f>
        <v/>
      </c>
      <c r="N396" s="10">
        <f>IF($E396="","",IFERROR(100*(INDEX('Weights'!$D:$D,MATCH($A396,'Weights'!$A:$A,0))*(INDEX('Data_NSA'!$A:$OK,MATCH(EDATE(I$2,-1),'Data_NSA'!$A:$A,0),MATCH($D396,'Data_NSA'!$1:$1,0))/INDEX('Data_NSA'!$A:$OK,MATCH(INDEX('Weights'!$E:$E,MATCH($A396,'Weights'!$A:$A,0)),'Data_NSA'!$A:$A,0),MATCH($D396,'Data_NSA'!$1:$1,0))))/(100*(INDEX('Data_NSA'!$A:$OK,MATCH(EDATE(I$2,-1),'Data_NSA'!$A:$A,0),MATCH("CUUR0000SA0",'Data_NSA'!$1:$1,0))/INDEX('Data_NSA'!$A:$OK,MATCH(INDEX('Weights'!$E:$E,MATCH($A396,'Weights'!$A:$A,0)),'Data_NSA'!$A:$A,0),MATCH("CUUR0000SA0",'Data_NSA'!$1:$1,0))))*(INDEX('Data_SA'!$A:$LO,MATCH(I$2,'Data_SA'!$A:$A,0),MATCH($E396,'Data_SA'!$1:$1,0))/INDEX('Data_SA'!$A:$LO,MATCH(EDATE(I$2,-1),'Data_SA'!$A:$A,0),MATCH($E396,'Data_SA'!$1:$1,0))-1),""))</f>
        <v/>
      </c>
      <c r="O396" s="10">
        <f>IFERROR(INDEX('Data_NSA'!$A:$OK,MATCH(O$2,'Data_NSA'!$A:$A,0),MATCH($D396,'Data_NSA'!$1:$1,0)),"")</f>
        <v/>
      </c>
      <c r="P396" s="10">
        <f>IF($E396="","",IFERROR(INDEX('Data_SA'!$A:$LO,MATCH(O$2,'Data_SA'!$A:$A,0),MATCH($E396,'Data_SA'!$1:$1,0)),""))</f>
        <v/>
      </c>
      <c r="Q396" s="7">
        <f>IF($E396="","",IFERROR(INDEX('Data_SA'!$A:$LO,MATCH(O$2,'Data_SA'!$A:$A,0),MATCH($E396,'Data_SA'!$1:$1,0))/INDEX('Data_SA'!$A:$LO,MATCH(EDATE(O$2,-1),'Data_SA'!$A:$A,0),MATCH($E396,'Data_SA'!$1:$1,0))-1,""))</f>
        <v/>
      </c>
      <c r="R396" s="7">
        <f>IFERROR(INDEX('Data_NSA'!$A:$OK,MATCH(O$2,'Data_NSA'!$A:$A,0),MATCH($D396,'Data_NSA'!$1:$1,0))/INDEX('Data_NSA'!$A:$OK,MATCH(EDATE(O$2,-12),'Data_NSA'!$A:$A,0),MATCH($D396,'Data_NSA'!$1:$1,0))-1,"")</f>
        <v/>
      </c>
      <c r="S396" s="10">
        <f>IFERROR(INDEX('Weights'!$G:$I,MATCH($A396,'Weights'!$A:$A,0),MATCH(O$2,'Weights'!$G$1:$I$1,0)),"")</f>
        <v/>
      </c>
      <c r="T396" s="10">
        <f>IF($E396="","",IFERROR(100*(INDEX('Weights'!$D:$D,MATCH($A396,'Weights'!$A:$A,0))*(INDEX('Data_NSA'!$A:$OK,MATCH(EDATE(O$2,-1),'Data_NSA'!$A:$A,0),MATCH($D396,'Data_NSA'!$1:$1,0))/INDEX('Data_NSA'!$A:$OK,MATCH(INDEX('Weights'!$E:$E,MATCH($A396,'Weights'!$A:$A,0)),'Data_NSA'!$A:$A,0),MATCH($D396,'Data_NSA'!$1:$1,0))))/(100*(INDEX('Data_NSA'!$A:$OK,MATCH(EDATE(O$2,-1),'Data_NSA'!$A:$A,0),MATCH("CUUR0000SA0",'Data_NSA'!$1:$1,0))/INDEX('Data_NSA'!$A:$OK,MATCH(INDEX('Weights'!$E:$E,MATCH($A396,'Weights'!$A:$A,0)),'Data_NSA'!$A:$A,0),MATCH("CUUR0000SA0",'Data_NSA'!$1:$1,0))))*(INDEX('Data_SA'!$A:$LO,MATCH(O$2,'Data_SA'!$A:$A,0),MATCH($E396,'Data_SA'!$1:$1,0))/INDEX('Data_SA'!$A:$LO,MATCH(EDATE(O$2,-1),'Data_SA'!$A:$A,0),MATCH($E396,'Data_SA'!$1:$1,0))-1),""))</f>
        <v/>
      </c>
      <c r="U396" s="10">
        <f>IFERROR(INDEX('Data_NSA'!$A:$OK,MATCH(U$2,'Data_NSA'!$A:$A,0),MATCH($D396,'Data_NSA'!$1:$1,0)),"")</f>
        <v/>
      </c>
      <c r="V396" s="10">
        <f>IF($E396="","",IFERROR(INDEX('Data_SA'!$A:$LO,MATCH(U$2,'Data_SA'!$A:$A,0),MATCH($E396,'Data_SA'!$1:$1,0)),""))</f>
        <v/>
      </c>
      <c r="W396" s="7">
        <f>IF($E396="","",IFERROR(INDEX('Data_SA'!$A:$LO,MATCH(U$2,'Data_SA'!$A:$A,0),MATCH($E396,'Data_SA'!$1:$1,0))/INDEX('Data_SA'!$A:$LO,MATCH(EDATE(U$2,-1),'Data_SA'!$A:$A,0),MATCH($E396,'Data_SA'!$1:$1,0))-1,""))</f>
        <v/>
      </c>
      <c r="X396" s="7">
        <f>IFERROR(INDEX('Data_NSA'!$A:$OK,MATCH(U$2,'Data_NSA'!$A:$A,0),MATCH($D396,'Data_NSA'!$1:$1,0))/INDEX('Data_NSA'!$A:$OK,MATCH(EDATE(U$2,-12),'Data_NSA'!$A:$A,0),MATCH($D396,'Data_NSA'!$1:$1,0))-1,"")</f>
        <v/>
      </c>
      <c r="Y396" s="10">
        <f>IFERROR(INDEX('Weights'!$G:$I,MATCH($A396,'Weights'!$A:$A,0),MATCH(U$2,'Weights'!$G$1:$I$1,0)),"")</f>
        <v/>
      </c>
      <c r="Z396" s="10">
        <f>IF($E396="","",IFERROR(100*(INDEX('Weights'!$D:$D,MATCH($A396,'Weights'!$A:$A,0))*(INDEX('Data_NSA'!$A:$OK,MATCH(EDATE(U$2,-1),'Data_NSA'!$A:$A,0),MATCH($D396,'Data_NSA'!$1:$1,0))/INDEX('Data_NSA'!$A:$OK,MATCH(INDEX('Weights'!$E:$E,MATCH($A396,'Weights'!$A:$A,0)),'Data_NSA'!$A:$A,0),MATCH($D396,'Data_NSA'!$1:$1,0))))/(100*(INDEX('Data_NSA'!$A:$OK,MATCH(EDATE(U$2,-1),'Data_NSA'!$A:$A,0),MATCH("CUUR0000SA0",'Data_NSA'!$1:$1,0))/INDEX('Data_NSA'!$A:$OK,MATCH(INDEX('Weights'!$E:$E,MATCH($A396,'Weights'!$A:$A,0)),'Data_NSA'!$A:$A,0),MATCH("CUUR0000SA0",'Data_NSA'!$1:$1,0))))*(INDEX('Data_SA'!$A:$LO,MATCH(U$2,'Data_SA'!$A:$A,0),MATCH($E396,'Data_SA'!$1:$1,0))/INDEX('Data_SA'!$A:$LO,MATCH(EDATE(U$2,-1),'Data_SA'!$A:$A,0),MATCH($E396,'Data_SA'!$1:$1,0))-1),""))</f>
        <v/>
      </c>
    </row>
    <row r="397">
      <c r="A397" s="3" t="inlineStr">
        <is>
          <t>SATCLTB</t>
        </is>
      </c>
      <c r="B397" s="3" t="inlineStr">
        <is>
          <t>Transportation commodities less motor fuel</t>
        </is>
      </c>
      <c r="C397" s="3" t="inlineStr">
        <is>
          <t>SAG</t>
        </is>
      </c>
      <c r="D397" s="3" t="inlineStr">
        <is>
          <t>CUUR0000SATCLTB</t>
        </is>
      </c>
      <c r="E397" s="3" t="inlineStr">
        <is>
          <t>CUSR0000SATCLTB</t>
        </is>
      </c>
      <c r="F397" s="3" t="inlineStr">
        <is>
          <t>aggregate</t>
        </is>
      </c>
      <c r="G397" s="3" t="inlineStr">
        <is>
          <t>aggregate</t>
        </is>
      </c>
      <c r="H397" s="10">
        <f>IFERROR(INDEX(Weights!$D:$D,MATCH($A397,Weights!$A:$A,0)),"")</f>
        <v/>
      </c>
      <c r="I397" s="10">
        <f>IFERROR(INDEX('Data_NSA'!$A:$OK,MATCH(I$2,'Data_NSA'!$A:$A,0),MATCH($D397,'Data_NSA'!$1:$1,0)),"")</f>
        <v/>
      </c>
      <c r="J397" s="10">
        <f>IF($E397="","",IFERROR(INDEX('Data_SA'!$A:$LO,MATCH(I$2,'Data_SA'!$A:$A,0),MATCH($E397,'Data_SA'!$1:$1,0)),""))</f>
        <v/>
      </c>
      <c r="K397" s="7">
        <f>IF($E397="","",IFERROR(INDEX('Data_SA'!$A:$LO,MATCH(I$2,'Data_SA'!$A:$A,0),MATCH($E397,'Data_SA'!$1:$1,0))/INDEX('Data_SA'!$A:$LO,MATCH(EDATE(I$2,-1),'Data_SA'!$A:$A,0),MATCH($E397,'Data_SA'!$1:$1,0))-1,""))</f>
        <v/>
      </c>
      <c r="L397" s="7">
        <f>IFERROR(INDEX('Data_NSA'!$A:$OK,MATCH(I$2,'Data_NSA'!$A:$A,0),MATCH($D397,'Data_NSA'!$1:$1,0))/INDEX('Data_NSA'!$A:$OK,MATCH(EDATE(I$2,-12),'Data_NSA'!$A:$A,0),MATCH($D397,'Data_NSA'!$1:$1,0))-1,"")</f>
        <v/>
      </c>
      <c r="M397" s="10">
        <f>IFERROR(INDEX('Weights'!$G:$I,MATCH($A397,'Weights'!$A:$A,0),MATCH(I$2,'Weights'!$G$1:$I$1,0)),"")</f>
        <v/>
      </c>
      <c r="N397" s="10">
        <f>IF($E397="","",IFERROR(100*(INDEX('Weights'!$D:$D,MATCH($A397,'Weights'!$A:$A,0))*(INDEX('Data_NSA'!$A:$OK,MATCH(EDATE(I$2,-1),'Data_NSA'!$A:$A,0),MATCH($D397,'Data_NSA'!$1:$1,0))/INDEX('Data_NSA'!$A:$OK,MATCH(INDEX('Weights'!$E:$E,MATCH($A397,'Weights'!$A:$A,0)),'Data_NSA'!$A:$A,0),MATCH($D397,'Data_NSA'!$1:$1,0))))/(100*(INDEX('Data_NSA'!$A:$OK,MATCH(EDATE(I$2,-1),'Data_NSA'!$A:$A,0),MATCH("CUUR0000SA0",'Data_NSA'!$1:$1,0))/INDEX('Data_NSA'!$A:$OK,MATCH(INDEX('Weights'!$E:$E,MATCH($A397,'Weights'!$A:$A,0)),'Data_NSA'!$A:$A,0),MATCH("CUUR0000SA0",'Data_NSA'!$1:$1,0))))*(INDEX('Data_SA'!$A:$LO,MATCH(I$2,'Data_SA'!$A:$A,0),MATCH($E397,'Data_SA'!$1:$1,0))/INDEX('Data_SA'!$A:$LO,MATCH(EDATE(I$2,-1),'Data_SA'!$A:$A,0),MATCH($E397,'Data_SA'!$1:$1,0))-1),""))</f>
        <v/>
      </c>
      <c r="O397" s="10">
        <f>IFERROR(INDEX('Data_NSA'!$A:$OK,MATCH(O$2,'Data_NSA'!$A:$A,0),MATCH($D397,'Data_NSA'!$1:$1,0)),"")</f>
        <v/>
      </c>
      <c r="P397" s="10">
        <f>IF($E397="","",IFERROR(INDEX('Data_SA'!$A:$LO,MATCH(O$2,'Data_SA'!$A:$A,0),MATCH($E397,'Data_SA'!$1:$1,0)),""))</f>
        <v/>
      </c>
      <c r="Q397" s="7">
        <f>IF($E397="","",IFERROR(INDEX('Data_SA'!$A:$LO,MATCH(O$2,'Data_SA'!$A:$A,0),MATCH($E397,'Data_SA'!$1:$1,0))/INDEX('Data_SA'!$A:$LO,MATCH(EDATE(O$2,-1),'Data_SA'!$A:$A,0),MATCH($E397,'Data_SA'!$1:$1,0))-1,""))</f>
        <v/>
      </c>
      <c r="R397" s="7">
        <f>IFERROR(INDEX('Data_NSA'!$A:$OK,MATCH(O$2,'Data_NSA'!$A:$A,0),MATCH($D397,'Data_NSA'!$1:$1,0))/INDEX('Data_NSA'!$A:$OK,MATCH(EDATE(O$2,-12),'Data_NSA'!$A:$A,0),MATCH($D397,'Data_NSA'!$1:$1,0))-1,"")</f>
        <v/>
      </c>
      <c r="S397" s="10">
        <f>IFERROR(INDEX('Weights'!$G:$I,MATCH($A397,'Weights'!$A:$A,0),MATCH(O$2,'Weights'!$G$1:$I$1,0)),"")</f>
        <v/>
      </c>
      <c r="T397" s="10">
        <f>IF($E397="","",IFERROR(100*(INDEX('Weights'!$D:$D,MATCH($A397,'Weights'!$A:$A,0))*(INDEX('Data_NSA'!$A:$OK,MATCH(EDATE(O$2,-1),'Data_NSA'!$A:$A,0),MATCH($D397,'Data_NSA'!$1:$1,0))/INDEX('Data_NSA'!$A:$OK,MATCH(INDEX('Weights'!$E:$E,MATCH($A397,'Weights'!$A:$A,0)),'Data_NSA'!$A:$A,0),MATCH($D397,'Data_NSA'!$1:$1,0))))/(100*(INDEX('Data_NSA'!$A:$OK,MATCH(EDATE(O$2,-1),'Data_NSA'!$A:$A,0),MATCH("CUUR0000SA0",'Data_NSA'!$1:$1,0))/INDEX('Data_NSA'!$A:$OK,MATCH(INDEX('Weights'!$E:$E,MATCH($A397,'Weights'!$A:$A,0)),'Data_NSA'!$A:$A,0),MATCH("CUUR0000SA0",'Data_NSA'!$1:$1,0))))*(INDEX('Data_SA'!$A:$LO,MATCH(O$2,'Data_SA'!$A:$A,0),MATCH($E397,'Data_SA'!$1:$1,0))/INDEX('Data_SA'!$A:$LO,MATCH(EDATE(O$2,-1),'Data_SA'!$A:$A,0),MATCH($E397,'Data_SA'!$1:$1,0))-1),""))</f>
        <v/>
      </c>
      <c r="U397" s="10">
        <f>IFERROR(INDEX('Data_NSA'!$A:$OK,MATCH(U$2,'Data_NSA'!$A:$A,0),MATCH($D397,'Data_NSA'!$1:$1,0)),"")</f>
        <v/>
      </c>
      <c r="V397" s="10">
        <f>IF($E397="","",IFERROR(INDEX('Data_SA'!$A:$LO,MATCH(U$2,'Data_SA'!$A:$A,0),MATCH($E397,'Data_SA'!$1:$1,0)),""))</f>
        <v/>
      </c>
      <c r="W397" s="7">
        <f>IF($E397="","",IFERROR(INDEX('Data_SA'!$A:$LO,MATCH(U$2,'Data_SA'!$A:$A,0),MATCH($E397,'Data_SA'!$1:$1,0))/INDEX('Data_SA'!$A:$LO,MATCH(EDATE(U$2,-1),'Data_SA'!$A:$A,0),MATCH($E397,'Data_SA'!$1:$1,0))-1,""))</f>
        <v/>
      </c>
      <c r="X397" s="7">
        <f>IFERROR(INDEX('Data_NSA'!$A:$OK,MATCH(U$2,'Data_NSA'!$A:$A,0),MATCH($D397,'Data_NSA'!$1:$1,0))/INDEX('Data_NSA'!$A:$OK,MATCH(EDATE(U$2,-12),'Data_NSA'!$A:$A,0),MATCH($D397,'Data_NSA'!$1:$1,0))-1,"")</f>
        <v/>
      </c>
      <c r="Y397" s="10">
        <f>IFERROR(INDEX('Weights'!$G:$I,MATCH($A397,'Weights'!$A:$A,0),MATCH(U$2,'Weights'!$G$1:$I$1,0)),"")</f>
        <v/>
      </c>
      <c r="Z397" s="10">
        <f>IF($E397="","",IFERROR(100*(INDEX('Weights'!$D:$D,MATCH($A397,'Weights'!$A:$A,0))*(INDEX('Data_NSA'!$A:$OK,MATCH(EDATE(U$2,-1),'Data_NSA'!$A:$A,0),MATCH($D397,'Data_NSA'!$1:$1,0))/INDEX('Data_NSA'!$A:$OK,MATCH(INDEX('Weights'!$E:$E,MATCH($A397,'Weights'!$A:$A,0)),'Data_NSA'!$A:$A,0),MATCH($D397,'Data_NSA'!$1:$1,0))))/(100*(INDEX('Data_NSA'!$A:$OK,MATCH(EDATE(U$2,-1),'Data_NSA'!$A:$A,0),MATCH("CUUR0000SA0",'Data_NSA'!$1:$1,0))/INDEX('Data_NSA'!$A:$OK,MATCH(INDEX('Weights'!$E:$E,MATCH($A397,'Weights'!$A:$A,0)),'Data_NSA'!$A:$A,0),MATCH("CUUR0000SA0",'Data_NSA'!$1:$1,0))))*(INDEX('Data_SA'!$A:$LO,MATCH(U$2,'Data_SA'!$A:$A,0),MATCH($E397,'Data_SA'!$1:$1,0))/INDEX('Data_SA'!$A:$LO,MATCH(EDATE(U$2,-1),'Data_SA'!$A:$A,0),MATCH($E397,'Data_SA'!$1:$1,0))-1),""))</f>
        <v/>
      </c>
    </row>
    <row r="398">
      <c r="A398" s="3" t="inlineStr">
        <is>
          <t>SAS4</t>
        </is>
      </c>
      <c r="B398" s="3" t="inlineStr">
        <is>
          <t>Transportation services</t>
        </is>
      </c>
      <c r="C398" s="3" t="inlineStr">
        <is>
          <t>SAG</t>
        </is>
      </c>
      <c r="D398" s="3" t="inlineStr">
        <is>
          <t>CUUR0000SAS4</t>
        </is>
      </c>
      <c r="E398" s="3" t="inlineStr">
        <is>
          <t>CUSR0000SAS4</t>
        </is>
      </c>
      <c r="F398" s="3" t="inlineStr">
        <is>
          <t>aggregate</t>
        </is>
      </c>
      <c r="G398" s="3" t="inlineStr">
        <is>
          <t>aggregate</t>
        </is>
      </c>
      <c r="H398" s="10">
        <f>IFERROR(INDEX(Weights!$D:$D,MATCH($A398,Weights!$A:$A,0)),"")</f>
        <v/>
      </c>
      <c r="I398" s="10">
        <f>IFERROR(INDEX('Data_NSA'!$A:$OK,MATCH(I$2,'Data_NSA'!$A:$A,0),MATCH($D398,'Data_NSA'!$1:$1,0)),"")</f>
        <v/>
      </c>
      <c r="J398" s="10">
        <f>IF($E398="","",IFERROR(INDEX('Data_SA'!$A:$LO,MATCH(I$2,'Data_SA'!$A:$A,0),MATCH($E398,'Data_SA'!$1:$1,0)),""))</f>
        <v/>
      </c>
      <c r="K398" s="7">
        <f>IF($E398="","",IFERROR(INDEX('Data_SA'!$A:$LO,MATCH(I$2,'Data_SA'!$A:$A,0),MATCH($E398,'Data_SA'!$1:$1,0))/INDEX('Data_SA'!$A:$LO,MATCH(EDATE(I$2,-1),'Data_SA'!$A:$A,0),MATCH($E398,'Data_SA'!$1:$1,0))-1,""))</f>
        <v/>
      </c>
      <c r="L398" s="7">
        <f>IFERROR(INDEX('Data_NSA'!$A:$OK,MATCH(I$2,'Data_NSA'!$A:$A,0),MATCH($D398,'Data_NSA'!$1:$1,0))/INDEX('Data_NSA'!$A:$OK,MATCH(EDATE(I$2,-12),'Data_NSA'!$A:$A,0),MATCH($D398,'Data_NSA'!$1:$1,0))-1,"")</f>
        <v/>
      </c>
      <c r="M398" s="10">
        <f>IFERROR(INDEX('Weights'!$G:$I,MATCH($A398,'Weights'!$A:$A,0),MATCH(I$2,'Weights'!$G$1:$I$1,0)),"")</f>
        <v/>
      </c>
      <c r="N398" s="10">
        <f>IF($E398="","",IFERROR(100*(INDEX('Weights'!$D:$D,MATCH($A398,'Weights'!$A:$A,0))*(INDEX('Data_NSA'!$A:$OK,MATCH(EDATE(I$2,-1),'Data_NSA'!$A:$A,0),MATCH($D398,'Data_NSA'!$1:$1,0))/INDEX('Data_NSA'!$A:$OK,MATCH(INDEX('Weights'!$E:$E,MATCH($A398,'Weights'!$A:$A,0)),'Data_NSA'!$A:$A,0),MATCH($D398,'Data_NSA'!$1:$1,0))))/(100*(INDEX('Data_NSA'!$A:$OK,MATCH(EDATE(I$2,-1),'Data_NSA'!$A:$A,0),MATCH("CUUR0000SA0",'Data_NSA'!$1:$1,0))/INDEX('Data_NSA'!$A:$OK,MATCH(INDEX('Weights'!$E:$E,MATCH($A398,'Weights'!$A:$A,0)),'Data_NSA'!$A:$A,0),MATCH("CUUR0000SA0",'Data_NSA'!$1:$1,0))))*(INDEX('Data_SA'!$A:$LO,MATCH(I$2,'Data_SA'!$A:$A,0),MATCH($E398,'Data_SA'!$1:$1,0))/INDEX('Data_SA'!$A:$LO,MATCH(EDATE(I$2,-1),'Data_SA'!$A:$A,0),MATCH($E398,'Data_SA'!$1:$1,0))-1),""))</f>
        <v/>
      </c>
      <c r="O398" s="10">
        <f>IFERROR(INDEX('Data_NSA'!$A:$OK,MATCH(O$2,'Data_NSA'!$A:$A,0),MATCH($D398,'Data_NSA'!$1:$1,0)),"")</f>
        <v/>
      </c>
      <c r="P398" s="10">
        <f>IF($E398="","",IFERROR(INDEX('Data_SA'!$A:$LO,MATCH(O$2,'Data_SA'!$A:$A,0),MATCH($E398,'Data_SA'!$1:$1,0)),""))</f>
        <v/>
      </c>
      <c r="Q398" s="7">
        <f>IF($E398="","",IFERROR(INDEX('Data_SA'!$A:$LO,MATCH(O$2,'Data_SA'!$A:$A,0),MATCH($E398,'Data_SA'!$1:$1,0))/INDEX('Data_SA'!$A:$LO,MATCH(EDATE(O$2,-1),'Data_SA'!$A:$A,0),MATCH($E398,'Data_SA'!$1:$1,0))-1,""))</f>
        <v/>
      </c>
      <c r="R398" s="7">
        <f>IFERROR(INDEX('Data_NSA'!$A:$OK,MATCH(O$2,'Data_NSA'!$A:$A,0),MATCH($D398,'Data_NSA'!$1:$1,0))/INDEX('Data_NSA'!$A:$OK,MATCH(EDATE(O$2,-12),'Data_NSA'!$A:$A,0),MATCH($D398,'Data_NSA'!$1:$1,0))-1,"")</f>
        <v/>
      </c>
      <c r="S398" s="10">
        <f>IFERROR(INDEX('Weights'!$G:$I,MATCH($A398,'Weights'!$A:$A,0),MATCH(O$2,'Weights'!$G$1:$I$1,0)),"")</f>
        <v/>
      </c>
      <c r="T398" s="10">
        <f>IF($E398="","",IFERROR(100*(INDEX('Weights'!$D:$D,MATCH($A398,'Weights'!$A:$A,0))*(INDEX('Data_NSA'!$A:$OK,MATCH(EDATE(O$2,-1),'Data_NSA'!$A:$A,0),MATCH($D398,'Data_NSA'!$1:$1,0))/INDEX('Data_NSA'!$A:$OK,MATCH(INDEX('Weights'!$E:$E,MATCH($A398,'Weights'!$A:$A,0)),'Data_NSA'!$A:$A,0),MATCH($D398,'Data_NSA'!$1:$1,0))))/(100*(INDEX('Data_NSA'!$A:$OK,MATCH(EDATE(O$2,-1),'Data_NSA'!$A:$A,0),MATCH("CUUR0000SA0",'Data_NSA'!$1:$1,0))/INDEX('Data_NSA'!$A:$OK,MATCH(INDEX('Weights'!$E:$E,MATCH($A398,'Weights'!$A:$A,0)),'Data_NSA'!$A:$A,0),MATCH("CUUR0000SA0",'Data_NSA'!$1:$1,0))))*(INDEX('Data_SA'!$A:$LO,MATCH(O$2,'Data_SA'!$A:$A,0),MATCH($E398,'Data_SA'!$1:$1,0))/INDEX('Data_SA'!$A:$LO,MATCH(EDATE(O$2,-1),'Data_SA'!$A:$A,0),MATCH($E398,'Data_SA'!$1:$1,0))-1),""))</f>
        <v/>
      </c>
      <c r="U398" s="10">
        <f>IFERROR(INDEX('Data_NSA'!$A:$OK,MATCH(U$2,'Data_NSA'!$A:$A,0),MATCH($D398,'Data_NSA'!$1:$1,0)),"")</f>
        <v/>
      </c>
      <c r="V398" s="10">
        <f>IF($E398="","",IFERROR(INDEX('Data_SA'!$A:$LO,MATCH(U$2,'Data_SA'!$A:$A,0),MATCH($E398,'Data_SA'!$1:$1,0)),""))</f>
        <v/>
      </c>
      <c r="W398" s="7">
        <f>IF($E398="","",IFERROR(INDEX('Data_SA'!$A:$LO,MATCH(U$2,'Data_SA'!$A:$A,0),MATCH($E398,'Data_SA'!$1:$1,0))/INDEX('Data_SA'!$A:$LO,MATCH(EDATE(U$2,-1),'Data_SA'!$A:$A,0),MATCH($E398,'Data_SA'!$1:$1,0))-1,""))</f>
        <v/>
      </c>
      <c r="X398" s="7">
        <f>IFERROR(INDEX('Data_NSA'!$A:$OK,MATCH(U$2,'Data_NSA'!$A:$A,0),MATCH($D398,'Data_NSA'!$1:$1,0))/INDEX('Data_NSA'!$A:$OK,MATCH(EDATE(U$2,-12),'Data_NSA'!$A:$A,0),MATCH($D398,'Data_NSA'!$1:$1,0))-1,"")</f>
        <v/>
      </c>
      <c r="Y398" s="10">
        <f>IFERROR(INDEX('Weights'!$G:$I,MATCH($A398,'Weights'!$A:$A,0),MATCH(U$2,'Weights'!$G$1:$I$1,0)),"")</f>
        <v/>
      </c>
      <c r="Z398" s="10">
        <f>IF($E398="","",IFERROR(100*(INDEX('Weights'!$D:$D,MATCH($A398,'Weights'!$A:$A,0))*(INDEX('Data_NSA'!$A:$OK,MATCH(EDATE(U$2,-1),'Data_NSA'!$A:$A,0),MATCH($D398,'Data_NSA'!$1:$1,0))/INDEX('Data_NSA'!$A:$OK,MATCH(INDEX('Weights'!$E:$E,MATCH($A398,'Weights'!$A:$A,0)),'Data_NSA'!$A:$A,0),MATCH($D398,'Data_NSA'!$1:$1,0))))/(100*(INDEX('Data_NSA'!$A:$OK,MATCH(EDATE(U$2,-1),'Data_NSA'!$A:$A,0),MATCH("CUUR0000SA0",'Data_NSA'!$1:$1,0))/INDEX('Data_NSA'!$A:$OK,MATCH(INDEX('Weights'!$E:$E,MATCH($A398,'Weights'!$A:$A,0)),'Data_NSA'!$A:$A,0),MATCH("CUUR0000SA0",'Data_NSA'!$1:$1,0))))*(INDEX('Data_SA'!$A:$LO,MATCH(U$2,'Data_SA'!$A:$A,0),MATCH($E398,'Data_SA'!$1:$1,0))/INDEX('Data_SA'!$A:$LO,MATCH(EDATE(U$2,-1),'Data_SA'!$A:$A,0),MATCH($E398,'Data_SA'!$1:$1,0))-1),""))</f>
        <v/>
      </c>
    </row>
    <row r="399">
      <c r="A399" s="3" t="inlineStr">
        <is>
          <t>SAS24</t>
        </is>
      </c>
      <c r="B399" s="3" t="inlineStr">
        <is>
          <t>Utilities and public transportation</t>
        </is>
      </c>
      <c r="C399" s="3" t="inlineStr">
        <is>
          <t>SAG</t>
        </is>
      </c>
      <c r="D399" s="3" t="inlineStr">
        <is>
          <t>CUUR0000SAS24</t>
        </is>
      </c>
      <c r="E399" s="3" t="inlineStr">
        <is>
          <t>CUSR0000SAS24</t>
        </is>
      </c>
      <c r="F399" s="3" t="inlineStr">
        <is>
          <t>aggregate</t>
        </is>
      </c>
      <c r="G399" s="3" t="inlineStr">
        <is>
          <t>aggregate</t>
        </is>
      </c>
      <c r="H399" s="10">
        <f>IFERROR(INDEX(Weights!$D:$D,MATCH($A399,Weights!$A:$A,0)),"")</f>
        <v/>
      </c>
      <c r="I399" s="10">
        <f>IFERROR(INDEX('Data_NSA'!$A:$OK,MATCH(I$2,'Data_NSA'!$A:$A,0),MATCH($D399,'Data_NSA'!$1:$1,0)),"")</f>
        <v/>
      </c>
      <c r="J399" s="10">
        <f>IF($E399="","",IFERROR(INDEX('Data_SA'!$A:$LO,MATCH(I$2,'Data_SA'!$A:$A,0),MATCH($E399,'Data_SA'!$1:$1,0)),""))</f>
        <v/>
      </c>
      <c r="K399" s="7">
        <f>IF($E399="","",IFERROR(INDEX('Data_SA'!$A:$LO,MATCH(I$2,'Data_SA'!$A:$A,0),MATCH($E399,'Data_SA'!$1:$1,0))/INDEX('Data_SA'!$A:$LO,MATCH(EDATE(I$2,-1),'Data_SA'!$A:$A,0),MATCH($E399,'Data_SA'!$1:$1,0))-1,""))</f>
        <v/>
      </c>
      <c r="L399" s="7">
        <f>IFERROR(INDEX('Data_NSA'!$A:$OK,MATCH(I$2,'Data_NSA'!$A:$A,0),MATCH($D399,'Data_NSA'!$1:$1,0))/INDEX('Data_NSA'!$A:$OK,MATCH(EDATE(I$2,-12),'Data_NSA'!$A:$A,0),MATCH($D399,'Data_NSA'!$1:$1,0))-1,"")</f>
        <v/>
      </c>
      <c r="M399" s="10">
        <f>IFERROR(INDEX('Weights'!$G:$I,MATCH($A399,'Weights'!$A:$A,0),MATCH(I$2,'Weights'!$G$1:$I$1,0)),"")</f>
        <v/>
      </c>
      <c r="N399" s="10">
        <f>IF($E399="","",IFERROR(100*(INDEX('Weights'!$D:$D,MATCH($A399,'Weights'!$A:$A,0))*(INDEX('Data_NSA'!$A:$OK,MATCH(EDATE(I$2,-1),'Data_NSA'!$A:$A,0),MATCH($D399,'Data_NSA'!$1:$1,0))/INDEX('Data_NSA'!$A:$OK,MATCH(INDEX('Weights'!$E:$E,MATCH($A399,'Weights'!$A:$A,0)),'Data_NSA'!$A:$A,0),MATCH($D399,'Data_NSA'!$1:$1,0))))/(100*(INDEX('Data_NSA'!$A:$OK,MATCH(EDATE(I$2,-1),'Data_NSA'!$A:$A,0),MATCH("CUUR0000SA0",'Data_NSA'!$1:$1,0))/INDEX('Data_NSA'!$A:$OK,MATCH(INDEX('Weights'!$E:$E,MATCH($A399,'Weights'!$A:$A,0)),'Data_NSA'!$A:$A,0),MATCH("CUUR0000SA0",'Data_NSA'!$1:$1,0))))*(INDEX('Data_SA'!$A:$LO,MATCH(I$2,'Data_SA'!$A:$A,0),MATCH($E399,'Data_SA'!$1:$1,0))/INDEX('Data_SA'!$A:$LO,MATCH(EDATE(I$2,-1),'Data_SA'!$A:$A,0),MATCH($E399,'Data_SA'!$1:$1,0))-1),""))</f>
        <v/>
      </c>
      <c r="O399" s="10">
        <f>IFERROR(INDEX('Data_NSA'!$A:$OK,MATCH(O$2,'Data_NSA'!$A:$A,0),MATCH($D399,'Data_NSA'!$1:$1,0)),"")</f>
        <v/>
      </c>
      <c r="P399" s="10">
        <f>IF($E399="","",IFERROR(INDEX('Data_SA'!$A:$LO,MATCH(O$2,'Data_SA'!$A:$A,0),MATCH($E399,'Data_SA'!$1:$1,0)),""))</f>
        <v/>
      </c>
      <c r="Q399" s="7">
        <f>IF($E399="","",IFERROR(INDEX('Data_SA'!$A:$LO,MATCH(O$2,'Data_SA'!$A:$A,0),MATCH($E399,'Data_SA'!$1:$1,0))/INDEX('Data_SA'!$A:$LO,MATCH(EDATE(O$2,-1),'Data_SA'!$A:$A,0),MATCH($E399,'Data_SA'!$1:$1,0))-1,""))</f>
        <v/>
      </c>
      <c r="R399" s="7">
        <f>IFERROR(INDEX('Data_NSA'!$A:$OK,MATCH(O$2,'Data_NSA'!$A:$A,0),MATCH($D399,'Data_NSA'!$1:$1,0))/INDEX('Data_NSA'!$A:$OK,MATCH(EDATE(O$2,-12),'Data_NSA'!$A:$A,0),MATCH($D399,'Data_NSA'!$1:$1,0))-1,"")</f>
        <v/>
      </c>
      <c r="S399" s="10">
        <f>IFERROR(INDEX('Weights'!$G:$I,MATCH($A399,'Weights'!$A:$A,0),MATCH(O$2,'Weights'!$G$1:$I$1,0)),"")</f>
        <v/>
      </c>
      <c r="T399" s="10">
        <f>IF($E399="","",IFERROR(100*(INDEX('Weights'!$D:$D,MATCH($A399,'Weights'!$A:$A,0))*(INDEX('Data_NSA'!$A:$OK,MATCH(EDATE(O$2,-1),'Data_NSA'!$A:$A,0),MATCH($D399,'Data_NSA'!$1:$1,0))/INDEX('Data_NSA'!$A:$OK,MATCH(INDEX('Weights'!$E:$E,MATCH($A399,'Weights'!$A:$A,0)),'Data_NSA'!$A:$A,0),MATCH($D399,'Data_NSA'!$1:$1,0))))/(100*(INDEX('Data_NSA'!$A:$OK,MATCH(EDATE(O$2,-1),'Data_NSA'!$A:$A,0),MATCH("CUUR0000SA0",'Data_NSA'!$1:$1,0))/INDEX('Data_NSA'!$A:$OK,MATCH(INDEX('Weights'!$E:$E,MATCH($A399,'Weights'!$A:$A,0)),'Data_NSA'!$A:$A,0),MATCH("CUUR0000SA0",'Data_NSA'!$1:$1,0))))*(INDEX('Data_SA'!$A:$LO,MATCH(O$2,'Data_SA'!$A:$A,0),MATCH($E399,'Data_SA'!$1:$1,0))/INDEX('Data_SA'!$A:$LO,MATCH(EDATE(O$2,-1),'Data_SA'!$A:$A,0),MATCH($E399,'Data_SA'!$1:$1,0))-1),""))</f>
        <v/>
      </c>
      <c r="U399" s="10">
        <f>IFERROR(INDEX('Data_NSA'!$A:$OK,MATCH(U$2,'Data_NSA'!$A:$A,0),MATCH($D399,'Data_NSA'!$1:$1,0)),"")</f>
        <v/>
      </c>
      <c r="V399" s="10">
        <f>IF($E399="","",IFERROR(INDEX('Data_SA'!$A:$LO,MATCH(U$2,'Data_SA'!$A:$A,0),MATCH($E399,'Data_SA'!$1:$1,0)),""))</f>
        <v/>
      </c>
      <c r="W399" s="7">
        <f>IF($E399="","",IFERROR(INDEX('Data_SA'!$A:$LO,MATCH(U$2,'Data_SA'!$A:$A,0),MATCH($E399,'Data_SA'!$1:$1,0))/INDEX('Data_SA'!$A:$LO,MATCH(EDATE(U$2,-1),'Data_SA'!$A:$A,0),MATCH($E399,'Data_SA'!$1:$1,0))-1,""))</f>
        <v/>
      </c>
      <c r="X399" s="7">
        <f>IFERROR(INDEX('Data_NSA'!$A:$OK,MATCH(U$2,'Data_NSA'!$A:$A,0),MATCH($D399,'Data_NSA'!$1:$1,0))/INDEX('Data_NSA'!$A:$OK,MATCH(EDATE(U$2,-12),'Data_NSA'!$A:$A,0),MATCH($D399,'Data_NSA'!$1:$1,0))-1,"")</f>
        <v/>
      </c>
      <c r="Y399" s="10">
        <f>IFERROR(INDEX('Weights'!$G:$I,MATCH($A399,'Weights'!$A:$A,0),MATCH(U$2,'Weights'!$G$1:$I$1,0)),"")</f>
        <v/>
      </c>
      <c r="Z399" s="10">
        <f>IF($E399="","",IFERROR(100*(INDEX('Weights'!$D:$D,MATCH($A399,'Weights'!$A:$A,0))*(INDEX('Data_NSA'!$A:$OK,MATCH(EDATE(U$2,-1),'Data_NSA'!$A:$A,0),MATCH($D399,'Data_NSA'!$1:$1,0))/INDEX('Data_NSA'!$A:$OK,MATCH(INDEX('Weights'!$E:$E,MATCH($A399,'Weights'!$A:$A,0)),'Data_NSA'!$A:$A,0),MATCH($D399,'Data_NSA'!$1:$1,0))))/(100*(INDEX('Data_NSA'!$A:$OK,MATCH(EDATE(U$2,-1),'Data_NSA'!$A:$A,0),MATCH("CUUR0000SA0",'Data_NSA'!$1:$1,0))/INDEX('Data_NSA'!$A:$OK,MATCH(INDEX('Weights'!$E:$E,MATCH($A399,'Weights'!$A:$A,0)),'Data_NSA'!$A:$A,0),MATCH("CUUR0000SA0",'Data_NSA'!$1:$1,0))))*(INDEX('Data_SA'!$A:$LO,MATCH(U$2,'Data_SA'!$A:$A,0),MATCH($E399,'Data_SA'!$1:$1,0))/INDEX('Data_SA'!$A:$LO,MATCH(EDATE(U$2,-1),'Data_SA'!$A:$A,0),MATCH($E399,'Data_SA'!$1:$1,0))-1),""))</f>
        <v/>
      </c>
    </row>
    <row r="400">
      <c r="A400" s="3" t="inlineStr">
        <is>
          <t>SERAC</t>
        </is>
      </c>
      <c r="B400" s="3" t="inlineStr">
        <is>
          <t>Video and audio products</t>
        </is>
      </c>
      <c r="C400" s="3" t="inlineStr">
        <is>
          <t>SAG</t>
        </is>
      </c>
      <c r="D400" s="3" t="inlineStr">
        <is>
          <t>CUUR0000SERAC</t>
        </is>
      </c>
      <c r="E400" s="3" t="inlineStr">
        <is>
          <t>CUSR0000SERAC</t>
        </is>
      </c>
      <c r="F400" s="3" t="inlineStr">
        <is>
          <t>GM</t>
        </is>
      </c>
      <c r="G400" s="3" t="inlineStr">
        <is>
          <t>monthly in New York/Los Angeles/Chicago; often bimonthly elsewhere</t>
        </is>
      </c>
      <c r="H400" s="10">
        <f>IFERROR(INDEX(Weights!$D:$D,MATCH($A400,Weights!$A:$A,0)),"")</f>
        <v/>
      </c>
      <c r="I400" s="10">
        <f>IFERROR(INDEX('Data_NSA'!$A:$OK,MATCH(I$2,'Data_NSA'!$A:$A,0),MATCH($D400,'Data_NSA'!$1:$1,0)),"")</f>
        <v/>
      </c>
      <c r="J400" s="10">
        <f>IF($E400="","",IFERROR(INDEX('Data_SA'!$A:$LO,MATCH(I$2,'Data_SA'!$A:$A,0),MATCH($E400,'Data_SA'!$1:$1,0)),""))</f>
        <v/>
      </c>
      <c r="K400" s="7">
        <f>IF($E400="","",IFERROR(INDEX('Data_SA'!$A:$LO,MATCH(I$2,'Data_SA'!$A:$A,0),MATCH($E400,'Data_SA'!$1:$1,0))/INDEX('Data_SA'!$A:$LO,MATCH(EDATE(I$2,-1),'Data_SA'!$A:$A,0),MATCH($E400,'Data_SA'!$1:$1,0))-1,""))</f>
        <v/>
      </c>
      <c r="L400" s="7">
        <f>IFERROR(INDEX('Data_NSA'!$A:$OK,MATCH(I$2,'Data_NSA'!$A:$A,0),MATCH($D400,'Data_NSA'!$1:$1,0))/INDEX('Data_NSA'!$A:$OK,MATCH(EDATE(I$2,-12),'Data_NSA'!$A:$A,0),MATCH($D400,'Data_NSA'!$1:$1,0))-1,"")</f>
        <v/>
      </c>
      <c r="M400" s="10">
        <f>IFERROR(INDEX('Weights'!$G:$I,MATCH($A400,'Weights'!$A:$A,0),MATCH(I$2,'Weights'!$G$1:$I$1,0)),"")</f>
        <v/>
      </c>
      <c r="N400" s="10">
        <f>IF($E400="","",IFERROR(100*(INDEX('Weights'!$D:$D,MATCH($A400,'Weights'!$A:$A,0))*(INDEX('Data_NSA'!$A:$OK,MATCH(EDATE(I$2,-1),'Data_NSA'!$A:$A,0),MATCH($D400,'Data_NSA'!$1:$1,0))/INDEX('Data_NSA'!$A:$OK,MATCH(INDEX('Weights'!$E:$E,MATCH($A400,'Weights'!$A:$A,0)),'Data_NSA'!$A:$A,0),MATCH($D400,'Data_NSA'!$1:$1,0))))/(100*(INDEX('Data_NSA'!$A:$OK,MATCH(EDATE(I$2,-1),'Data_NSA'!$A:$A,0),MATCH("CUUR0000SA0",'Data_NSA'!$1:$1,0))/INDEX('Data_NSA'!$A:$OK,MATCH(INDEX('Weights'!$E:$E,MATCH($A400,'Weights'!$A:$A,0)),'Data_NSA'!$A:$A,0),MATCH("CUUR0000SA0",'Data_NSA'!$1:$1,0))))*(INDEX('Data_SA'!$A:$LO,MATCH(I$2,'Data_SA'!$A:$A,0),MATCH($E400,'Data_SA'!$1:$1,0))/INDEX('Data_SA'!$A:$LO,MATCH(EDATE(I$2,-1),'Data_SA'!$A:$A,0),MATCH($E400,'Data_SA'!$1:$1,0))-1),""))</f>
        <v/>
      </c>
      <c r="O400" s="10">
        <f>IFERROR(INDEX('Data_NSA'!$A:$OK,MATCH(O$2,'Data_NSA'!$A:$A,0),MATCH($D400,'Data_NSA'!$1:$1,0)),"")</f>
        <v/>
      </c>
      <c r="P400" s="10">
        <f>IF($E400="","",IFERROR(INDEX('Data_SA'!$A:$LO,MATCH(O$2,'Data_SA'!$A:$A,0),MATCH($E400,'Data_SA'!$1:$1,0)),""))</f>
        <v/>
      </c>
      <c r="Q400" s="7">
        <f>IF($E400="","",IFERROR(INDEX('Data_SA'!$A:$LO,MATCH(O$2,'Data_SA'!$A:$A,0),MATCH($E400,'Data_SA'!$1:$1,0))/INDEX('Data_SA'!$A:$LO,MATCH(EDATE(O$2,-1),'Data_SA'!$A:$A,0),MATCH($E400,'Data_SA'!$1:$1,0))-1,""))</f>
        <v/>
      </c>
      <c r="R400" s="7">
        <f>IFERROR(INDEX('Data_NSA'!$A:$OK,MATCH(O$2,'Data_NSA'!$A:$A,0),MATCH($D400,'Data_NSA'!$1:$1,0))/INDEX('Data_NSA'!$A:$OK,MATCH(EDATE(O$2,-12),'Data_NSA'!$A:$A,0),MATCH($D400,'Data_NSA'!$1:$1,0))-1,"")</f>
        <v/>
      </c>
      <c r="S400" s="10">
        <f>IFERROR(INDEX('Weights'!$G:$I,MATCH($A400,'Weights'!$A:$A,0),MATCH(O$2,'Weights'!$G$1:$I$1,0)),"")</f>
        <v/>
      </c>
      <c r="T400" s="10">
        <f>IF($E400="","",IFERROR(100*(INDEX('Weights'!$D:$D,MATCH($A400,'Weights'!$A:$A,0))*(INDEX('Data_NSA'!$A:$OK,MATCH(EDATE(O$2,-1),'Data_NSA'!$A:$A,0),MATCH($D400,'Data_NSA'!$1:$1,0))/INDEX('Data_NSA'!$A:$OK,MATCH(INDEX('Weights'!$E:$E,MATCH($A400,'Weights'!$A:$A,0)),'Data_NSA'!$A:$A,0),MATCH($D400,'Data_NSA'!$1:$1,0))))/(100*(INDEX('Data_NSA'!$A:$OK,MATCH(EDATE(O$2,-1),'Data_NSA'!$A:$A,0),MATCH("CUUR0000SA0",'Data_NSA'!$1:$1,0))/INDEX('Data_NSA'!$A:$OK,MATCH(INDEX('Weights'!$E:$E,MATCH($A400,'Weights'!$A:$A,0)),'Data_NSA'!$A:$A,0),MATCH("CUUR0000SA0",'Data_NSA'!$1:$1,0))))*(INDEX('Data_SA'!$A:$LO,MATCH(O$2,'Data_SA'!$A:$A,0),MATCH($E400,'Data_SA'!$1:$1,0))/INDEX('Data_SA'!$A:$LO,MATCH(EDATE(O$2,-1),'Data_SA'!$A:$A,0),MATCH($E400,'Data_SA'!$1:$1,0))-1),""))</f>
        <v/>
      </c>
      <c r="U400" s="10">
        <f>IFERROR(INDEX('Data_NSA'!$A:$OK,MATCH(U$2,'Data_NSA'!$A:$A,0),MATCH($D400,'Data_NSA'!$1:$1,0)),"")</f>
        <v/>
      </c>
      <c r="V400" s="10">
        <f>IF($E400="","",IFERROR(INDEX('Data_SA'!$A:$LO,MATCH(U$2,'Data_SA'!$A:$A,0),MATCH($E400,'Data_SA'!$1:$1,0)),""))</f>
        <v/>
      </c>
      <c r="W400" s="7">
        <f>IF($E400="","",IFERROR(INDEX('Data_SA'!$A:$LO,MATCH(U$2,'Data_SA'!$A:$A,0),MATCH($E400,'Data_SA'!$1:$1,0))/INDEX('Data_SA'!$A:$LO,MATCH(EDATE(U$2,-1),'Data_SA'!$A:$A,0),MATCH($E400,'Data_SA'!$1:$1,0))-1,""))</f>
        <v/>
      </c>
      <c r="X400" s="7">
        <f>IFERROR(INDEX('Data_NSA'!$A:$OK,MATCH(U$2,'Data_NSA'!$A:$A,0),MATCH($D400,'Data_NSA'!$1:$1,0))/INDEX('Data_NSA'!$A:$OK,MATCH(EDATE(U$2,-12),'Data_NSA'!$A:$A,0),MATCH($D400,'Data_NSA'!$1:$1,0))-1,"")</f>
        <v/>
      </c>
      <c r="Y400" s="10">
        <f>IFERROR(INDEX('Weights'!$G:$I,MATCH($A400,'Weights'!$A:$A,0),MATCH(U$2,'Weights'!$G$1:$I$1,0)),"")</f>
        <v/>
      </c>
      <c r="Z400" s="10">
        <f>IF($E400="","",IFERROR(100*(INDEX('Weights'!$D:$D,MATCH($A400,'Weights'!$A:$A,0))*(INDEX('Data_NSA'!$A:$OK,MATCH(EDATE(U$2,-1),'Data_NSA'!$A:$A,0),MATCH($D400,'Data_NSA'!$1:$1,0))/INDEX('Data_NSA'!$A:$OK,MATCH(INDEX('Weights'!$E:$E,MATCH($A400,'Weights'!$A:$A,0)),'Data_NSA'!$A:$A,0),MATCH($D400,'Data_NSA'!$1:$1,0))))/(100*(INDEX('Data_NSA'!$A:$OK,MATCH(EDATE(U$2,-1),'Data_NSA'!$A:$A,0),MATCH("CUUR0000SA0",'Data_NSA'!$1:$1,0))/INDEX('Data_NSA'!$A:$OK,MATCH(INDEX('Weights'!$E:$E,MATCH($A400,'Weights'!$A:$A,0)),'Data_NSA'!$A:$A,0),MATCH("CUUR0000SA0",'Data_NSA'!$1:$1,0))))*(INDEX('Data_SA'!$A:$LO,MATCH(U$2,'Data_SA'!$A:$A,0),MATCH($E400,'Data_SA'!$1:$1,0))/INDEX('Data_SA'!$A:$LO,MATCH(EDATE(U$2,-1),'Data_SA'!$A:$A,0),MATCH($E400,'Data_SA'!$1:$1,0))-1),""))</f>
        <v/>
      </c>
    </row>
    <row r="401">
      <c r="A401" s="3" t="inlineStr">
        <is>
          <t>SERAS</t>
        </is>
      </c>
      <c r="B401" s="3" t="inlineStr">
        <is>
          <t>Video and audio services</t>
        </is>
      </c>
      <c r="C401" s="3" t="inlineStr">
        <is>
          <t>SAG</t>
        </is>
      </c>
      <c r="D401" s="3" t="inlineStr">
        <is>
          <t>CUUR0000SERAS</t>
        </is>
      </c>
      <c r="E401" s="3" t="inlineStr">
        <is>
          <t>CUSR0000SERAS</t>
        </is>
      </c>
      <c r="F401" s="3" t="inlineStr">
        <is>
          <t>GM</t>
        </is>
      </c>
      <c r="G401" s="3" t="inlineStr">
        <is>
          <t>monthly in New York/Los Angeles/Chicago; often bimonthly elsewhere</t>
        </is>
      </c>
      <c r="H401" s="10">
        <f>IFERROR(INDEX(Weights!$D:$D,MATCH($A401,Weights!$A:$A,0)),"")</f>
        <v/>
      </c>
      <c r="I401" s="10">
        <f>IFERROR(INDEX('Data_NSA'!$A:$OK,MATCH(I$2,'Data_NSA'!$A:$A,0),MATCH($D401,'Data_NSA'!$1:$1,0)),"")</f>
        <v/>
      </c>
      <c r="J401" s="10">
        <f>IF($E401="","",IFERROR(INDEX('Data_SA'!$A:$LO,MATCH(I$2,'Data_SA'!$A:$A,0),MATCH($E401,'Data_SA'!$1:$1,0)),""))</f>
        <v/>
      </c>
      <c r="K401" s="7">
        <f>IF($E401="","",IFERROR(INDEX('Data_SA'!$A:$LO,MATCH(I$2,'Data_SA'!$A:$A,0),MATCH($E401,'Data_SA'!$1:$1,0))/INDEX('Data_SA'!$A:$LO,MATCH(EDATE(I$2,-1),'Data_SA'!$A:$A,0),MATCH($E401,'Data_SA'!$1:$1,0))-1,""))</f>
        <v/>
      </c>
      <c r="L401" s="7">
        <f>IFERROR(INDEX('Data_NSA'!$A:$OK,MATCH(I$2,'Data_NSA'!$A:$A,0),MATCH($D401,'Data_NSA'!$1:$1,0))/INDEX('Data_NSA'!$A:$OK,MATCH(EDATE(I$2,-12),'Data_NSA'!$A:$A,0),MATCH($D401,'Data_NSA'!$1:$1,0))-1,"")</f>
        <v/>
      </c>
      <c r="M401" s="10">
        <f>IFERROR(INDEX('Weights'!$G:$I,MATCH($A401,'Weights'!$A:$A,0),MATCH(I$2,'Weights'!$G$1:$I$1,0)),"")</f>
        <v/>
      </c>
      <c r="N401" s="10">
        <f>IF($E401="","",IFERROR(100*(INDEX('Weights'!$D:$D,MATCH($A401,'Weights'!$A:$A,0))*(INDEX('Data_NSA'!$A:$OK,MATCH(EDATE(I$2,-1),'Data_NSA'!$A:$A,0),MATCH($D401,'Data_NSA'!$1:$1,0))/INDEX('Data_NSA'!$A:$OK,MATCH(INDEX('Weights'!$E:$E,MATCH($A401,'Weights'!$A:$A,0)),'Data_NSA'!$A:$A,0),MATCH($D401,'Data_NSA'!$1:$1,0))))/(100*(INDEX('Data_NSA'!$A:$OK,MATCH(EDATE(I$2,-1),'Data_NSA'!$A:$A,0),MATCH("CUUR0000SA0",'Data_NSA'!$1:$1,0))/INDEX('Data_NSA'!$A:$OK,MATCH(INDEX('Weights'!$E:$E,MATCH($A401,'Weights'!$A:$A,0)),'Data_NSA'!$A:$A,0),MATCH("CUUR0000SA0",'Data_NSA'!$1:$1,0))))*(INDEX('Data_SA'!$A:$LO,MATCH(I$2,'Data_SA'!$A:$A,0),MATCH($E401,'Data_SA'!$1:$1,0))/INDEX('Data_SA'!$A:$LO,MATCH(EDATE(I$2,-1),'Data_SA'!$A:$A,0),MATCH($E401,'Data_SA'!$1:$1,0))-1),""))</f>
        <v/>
      </c>
      <c r="O401" s="10">
        <f>IFERROR(INDEX('Data_NSA'!$A:$OK,MATCH(O$2,'Data_NSA'!$A:$A,0),MATCH($D401,'Data_NSA'!$1:$1,0)),"")</f>
        <v/>
      </c>
      <c r="P401" s="10">
        <f>IF($E401="","",IFERROR(INDEX('Data_SA'!$A:$LO,MATCH(O$2,'Data_SA'!$A:$A,0),MATCH($E401,'Data_SA'!$1:$1,0)),""))</f>
        <v/>
      </c>
      <c r="Q401" s="7">
        <f>IF($E401="","",IFERROR(INDEX('Data_SA'!$A:$LO,MATCH(O$2,'Data_SA'!$A:$A,0),MATCH($E401,'Data_SA'!$1:$1,0))/INDEX('Data_SA'!$A:$LO,MATCH(EDATE(O$2,-1),'Data_SA'!$A:$A,0),MATCH($E401,'Data_SA'!$1:$1,0))-1,""))</f>
        <v/>
      </c>
      <c r="R401" s="7">
        <f>IFERROR(INDEX('Data_NSA'!$A:$OK,MATCH(O$2,'Data_NSA'!$A:$A,0),MATCH($D401,'Data_NSA'!$1:$1,0))/INDEX('Data_NSA'!$A:$OK,MATCH(EDATE(O$2,-12),'Data_NSA'!$A:$A,0),MATCH($D401,'Data_NSA'!$1:$1,0))-1,"")</f>
        <v/>
      </c>
      <c r="S401" s="10">
        <f>IFERROR(INDEX('Weights'!$G:$I,MATCH($A401,'Weights'!$A:$A,0),MATCH(O$2,'Weights'!$G$1:$I$1,0)),"")</f>
        <v/>
      </c>
      <c r="T401" s="10">
        <f>IF($E401="","",IFERROR(100*(INDEX('Weights'!$D:$D,MATCH($A401,'Weights'!$A:$A,0))*(INDEX('Data_NSA'!$A:$OK,MATCH(EDATE(O$2,-1),'Data_NSA'!$A:$A,0),MATCH($D401,'Data_NSA'!$1:$1,0))/INDEX('Data_NSA'!$A:$OK,MATCH(INDEX('Weights'!$E:$E,MATCH($A401,'Weights'!$A:$A,0)),'Data_NSA'!$A:$A,0),MATCH($D401,'Data_NSA'!$1:$1,0))))/(100*(INDEX('Data_NSA'!$A:$OK,MATCH(EDATE(O$2,-1),'Data_NSA'!$A:$A,0),MATCH("CUUR0000SA0",'Data_NSA'!$1:$1,0))/INDEX('Data_NSA'!$A:$OK,MATCH(INDEX('Weights'!$E:$E,MATCH($A401,'Weights'!$A:$A,0)),'Data_NSA'!$A:$A,0),MATCH("CUUR0000SA0",'Data_NSA'!$1:$1,0))))*(INDEX('Data_SA'!$A:$LO,MATCH(O$2,'Data_SA'!$A:$A,0),MATCH($E401,'Data_SA'!$1:$1,0))/INDEX('Data_SA'!$A:$LO,MATCH(EDATE(O$2,-1),'Data_SA'!$A:$A,0),MATCH($E401,'Data_SA'!$1:$1,0))-1),""))</f>
        <v/>
      </c>
      <c r="U401" s="10">
        <f>IFERROR(INDEX('Data_NSA'!$A:$OK,MATCH(U$2,'Data_NSA'!$A:$A,0),MATCH($D401,'Data_NSA'!$1:$1,0)),"")</f>
        <v/>
      </c>
      <c r="V401" s="10">
        <f>IF($E401="","",IFERROR(INDEX('Data_SA'!$A:$LO,MATCH(U$2,'Data_SA'!$A:$A,0),MATCH($E401,'Data_SA'!$1:$1,0)),""))</f>
        <v/>
      </c>
      <c r="W401" s="7">
        <f>IF($E401="","",IFERROR(INDEX('Data_SA'!$A:$LO,MATCH(U$2,'Data_SA'!$A:$A,0),MATCH($E401,'Data_SA'!$1:$1,0))/INDEX('Data_SA'!$A:$LO,MATCH(EDATE(U$2,-1),'Data_SA'!$A:$A,0),MATCH($E401,'Data_SA'!$1:$1,0))-1,""))</f>
        <v/>
      </c>
      <c r="X401" s="7">
        <f>IFERROR(INDEX('Data_NSA'!$A:$OK,MATCH(U$2,'Data_NSA'!$A:$A,0),MATCH($D401,'Data_NSA'!$1:$1,0))/INDEX('Data_NSA'!$A:$OK,MATCH(EDATE(U$2,-12),'Data_NSA'!$A:$A,0),MATCH($D401,'Data_NSA'!$1:$1,0))-1,"")</f>
        <v/>
      </c>
      <c r="Y401" s="10">
        <f>IFERROR(INDEX('Weights'!$G:$I,MATCH($A401,'Weights'!$A:$A,0),MATCH(U$2,'Weights'!$G$1:$I$1,0)),"")</f>
        <v/>
      </c>
      <c r="Z401" s="10">
        <f>IF($E401="","",IFERROR(100*(INDEX('Weights'!$D:$D,MATCH($A401,'Weights'!$A:$A,0))*(INDEX('Data_NSA'!$A:$OK,MATCH(EDATE(U$2,-1),'Data_NSA'!$A:$A,0),MATCH($D401,'Data_NSA'!$1:$1,0))/INDEX('Data_NSA'!$A:$OK,MATCH(INDEX('Weights'!$E:$E,MATCH($A401,'Weights'!$A:$A,0)),'Data_NSA'!$A:$A,0),MATCH($D401,'Data_NSA'!$1:$1,0))))/(100*(INDEX('Data_NSA'!$A:$OK,MATCH(EDATE(U$2,-1),'Data_NSA'!$A:$A,0),MATCH("CUUR0000SA0",'Data_NSA'!$1:$1,0))/INDEX('Data_NSA'!$A:$OK,MATCH(INDEX('Weights'!$E:$E,MATCH($A401,'Weights'!$A:$A,0)),'Data_NSA'!$A:$A,0),MATCH("CUUR0000SA0",'Data_NSA'!$1:$1,0))))*(INDEX('Data_SA'!$A:$LO,MATCH(U$2,'Data_SA'!$A:$A,0),MATCH($E401,'Data_SA'!$1:$1,0))/INDEX('Data_SA'!$A:$LO,MATCH(EDATE(U$2,-1),'Data_SA'!$A:$A,0),MATCH($E401,'Data_SA'!$1:$1,0))-1),""))</f>
        <v/>
      </c>
    </row>
    <row r="402">
      <c r="A402" s="3" t="inlineStr">
        <is>
          <t>SA0R</t>
        </is>
      </c>
      <c r="B402" s="3" t="inlineStr">
        <is>
          <t>Purchasing power of the consumer dollar</t>
        </is>
      </c>
      <c r="C402" s="3" t="n"/>
      <c r="D402" s="3" t="inlineStr">
        <is>
          <t>CUUR0000SA0R</t>
        </is>
      </c>
      <c r="E402" s="3" t="inlineStr"/>
      <c r="F402" s="3" t="inlineStr">
        <is>
          <t>aggregate</t>
        </is>
      </c>
      <c r="G402" s="3" t="inlineStr">
        <is>
          <t>aggregate</t>
        </is>
      </c>
      <c r="H402" s="10">
        <f>IFERROR(INDEX(Weights!$D:$D,MATCH($A402,Weights!$A:$A,0)),"")</f>
        <v/>
      </c>
      <c r="I402" s="10">
        <f>IFERROR(INDEX('Data_NSA'!$A:$OK,MATCH(I$2,'Data_NSA'!$A:$A,0),MATCH($D402,'Data_NSA'!$1:$1,0)),"")</f>
        <v/>
      </c>
      <c r="J402" s="10">
        <f>IF($E402="","",IFERROR(INDEX('Data_SA'!$A:$LO,MATCH(I$2,'Data_SA'!$A:$A,0),MATCH($E402,'Data_SA'!$1:$1,0)),""))</f>
        <v/>
      </c>
      <c r="K402" s="7">
        <f>IF($E402="","",IFERROR(INDEX('Data_SA'!$A:$LO,MATCH(I$2,'Data_SA'!$A:$A,0),MATCH($E402,'Data_SA'!$1:$1,0))/INDEX('Data_SA'!$A:$LO,MATCH(EDATE(I$2,-1),'Data_SA'!$A:$A,0),MATCH($E402,'Data_SA'!$1:$1,0))-1,""))</f>
        <v/>
      </c>
      <c r="L402" s="7">
        <f>IFERROR(INDEX('Data_NSA'!$A:$OK,MATCH(I$2,'Data_NSA'!$A:$A,0),MATCH($D402,'Data_NSA'!$1:$1,0))/INDEX('Data_NSA'!$A:$OK,MATCH(EDATE(I$2,-12),'Data_NSA'!$A:$A,0),MATCH($D402,'Data_NSA'!$1:$1,0))-1,"")</f>
        <v/>
      </c>
      <c r="M402" s="10">
        <f>IFERROR(INDEX('Weights'!$G:$I,MATCH($A402,'Weights'!$A:$A,0),MATCH(I$2,'Weights'!$G$1:$I$1,0)),"")</f>
        <v/>
      </c>
      <c r="N402" s="10">
        <f>IF($E402="","",IFERROR(100*(INDEX('Weights'!$D:$D,MATCH($A402,'Weights'!$A:$A,0))*(INDEX('Data_NSA'!$A:$OK,MATCH(EDATE(I$2,-1),'Data_NSA'!$A:$A,0),MATCH($D402,'Data_NSA'!$1:$1,0))/INDEX('Data_NSA'!$A:$OK,MATCH(INDEX('Weights'!$E:$E,MATCH($A402,'Weights'!$A:$A,0)),'Data_NSA'!$A:$A,0),MATCH($D402,'Data_NSA'!$1:$1,0))))/(100*(INDEX('Data_NSA'!$A:$OK,MATCH(EDATE(I$2,-1),'Data_NSA'!$A:$A,0),MATCH("CUUR0000SA0",'Data_NSA'!$1:$1,0))/INDEX('Data_NSA'!$A:$OK,MATCH(INDEX('Weights'!$E:$E,MATCH($A402,'Weights'!$A:$A,0)),'Data_NSA'!$A:$A,0),MATCH("CUUR0000SA0",'Data_NSA'!$1:$1,0))))*(INDEX('Data_SA'!$A:$LO,MATCH(I$2,'Data_SA'!$A:$A,0),MATCH($E402,'Data_SA'!$1:$1,0))/INDEX('Data_SA'!$A:$LO,MATCH(EDATE(I$2,-1),'Data_SA'!$A:$A,0),MATCH($E402,'Data_SA'!$1:$1,0))-1),""))</f>
        <v/>
      </c>
      <c r="O402" s="10">
        <f>IFERROR(INDEX('Data_NSA'!$A:$OK,MATCH(O$2,'Data_NSA'!$A:$A,0),MATCH($D402,'Data_NSA'!$1:$1,0)),"")</f>
        <v/>
      </c>
      <c r="P402" s="10">
        <f>IF($E402="","",IFERROR(INDEX('Data_SA'!$A:$LO,MATCH(O$2,'Data_SA'!$A:$A,0),MATCH($E402,'Data_SA'!$1:$1,0)),""))</f>
        <v/>
      </c>
      <c r="Q402" s="7">
        <f>IF($E402="","",IFERROR(INDEX('Data_SA'!$A:$LO,MATCH(O$2,'Data_SA'!$A:$A,0),MATCH($E402,'Data_SA'!$1:$1,0))/INDEX('Data_SA'!$A:$LO,MATCH(EDATE(O$2,-1),'Data_SA'!$A:$A,0),MATCH($E402,'Data_SA'!$1:$1,0))-1,""))</f>
        <v/>
      </c>
      <c r="R402" s="7">
        <f>IFERROR(INDEX('Data_NSA'!$A:$OK,MATCH(O$2,'Data_NSA'!$A:$A,0),MATCH($D402,'Data_NSA'!$1:$1,0))/INDEX('Data_NSA'!$A:$OK,MATCH(EDATE(O$2,-12),'Data_NSA'!$A:$A,0),MATCH($D402,'Data_NSA'!$1:$1,0))-1,"")</f>
        <v/>
      </c>
      <c r="S402" s="10">
        <f>IFERROR(INDEX('Weights'!$G:$I,MATCH($A402,'Weights'!$A:$A,0),MATCH(O$2,'Weights'!$G$1:$I$1,0)),"")</f>
        <v/>
      </c>
      <c r="T402" s="10">
        <f>IF($E402="","",IFERROR(100*(INDEX('Weights'!$D:$D,MATCH($A402,'Weights'!$A:$A,0))*(INDEX('Data_NSA'!$A:$OK,MATCH(EDATE(O$2,-1),'Data_NSA'!$A:$A,0),MATCH($D402,'Data_NSA'!$1:$1,0))/INDEX('Data_NSA'!$A:$OK,MATCH(INDEX('Weights'!$E:$E,MATCH($A402,'Weights'!$A:$A,0)),'Data_NSA'!$A:$A,0),MATCH($D402,'Data_NSA'!$1:$1,0))))/(100*(INDEX('Data_NSA'!$A:$OK,MATCH(EDATE(O$2,-1),'Data_NSA'!$A:$A,0),MATCH("CUUR0000SA0",'Data_NSA'!$1:$1,0))/INDEX('Data_NSA'!$A:$OK,MATCH(INDEX('Weights'!$E:$E,MATCH($A402,'Weights'!$A:$A,0)),'Data_NSA'!$A:$A,0),MATCH("CUUR0000SA0",'Data_NSA'!$1:$1,0))))*(INDEX('Data_SA'!$A:$LO,MATCH(O$2,'Data_SA'!$A:$A,0),MATCH($E402,'Data_SA'!$1:$1,0))/INDEX('Data_SA'!$A:$LO,MATCH(EDATE(O$2,-1),'Data_SA'!$A:$A,0),MATCH($E402,'Data_SA'!$1:$1,0))-1),""))</f>
        <v/>
      </c>
      <c r="U402" s="10">
        <f>IFERROR(INDEX('Data_NSA'!$A:$OK,MATCH(U$2,'Data_NSA'!$A:$A,0),MATCH($D402,'Data_NSA'!$1:$1,0)),"")</f>
        <v/>
      </c>
      <c r="V402" s="10">
        <f>IF($E402="","",IFERROR(INDEX('Data_SA'!$A:$LO,MATCH(U$2,'Data_SA'!$A:$A,0),MATCH($E402,'Data_SA'!$1:$1,0)),""))</f>
        <v/>
      </c>
      <c r="W402" s="7">
        <f>IF($E402="","",IFERROR(INDEX('Data_SA'!$A:$LO,MATCH(U$2,'Data_SA'!$A:$A,0),MATCH($E402,'Data_SA'!$1:$1,0))/INDEX('Data_SA'!$A:$LO,MATCH(EDATE(U$2,-1),'Data_SA'!$A:$A,0),MATCH($E402,'Data_SA'!$1:$1,0))-1,""))</f>
        <v/>
      </c>
      <c r="X402" s="7">
        <f>IFERROR(INDEX('Data_NSA'!$A:$OK,MATCH(U$2,'Data_NSA'!$A:$A,0),MATCH($D402,'Data_NSA'!$1:$1,0))/INDEX('Data_NSA'!$A:$OK,MATCH(EDATE(U$2,-12),'Data_NSA'!$A:$A,0),MATCH($D402,'Data_NSA'!$1:$1,0))-1,"")</f>
        <v/>
      </c>
      <c r="Y402" s="10">
        <f>IFERROR(INDEX('Weights'!$G:$I,MATCH($A402,'Weights'!$A:$A,0),MATCH(U$2,'Weights'!$G$1:$I$1,0)),"")</f>
        <v/>
      </c>
      <c r="Z402" s="10">
        <f>IF($E402="","",IFERROR(100*(INDEX('Weights'!$D:$D,MATCH($A402,'Weights'!$A:$A,0))*(INDEX('Data_NSA'!$A:$OK,MATCH(EDATE(U$2,-1),'Data_NSA'!$A:$A,0),MATCH($D402,'Data_NSA'!$1:$1,0))/INDEX('Data_NSA'!$A:$OK,MATCH(INDEX('Weights'!$E:$E,MATCH($A402,'Weights'!$A:$A,0)),'Data_NSA'!$A:$A,0),MATCH($D402,'Data_NSA'!$1:$1,0))))/(100*(INDEX('Data_NSA'!$A:$OK,MATCH(EDATE(U$2,-1),'Data_NSA'!$A:$A,0),MATCH("CUUR0000SA0",'Data_NSA'!$1:$1,0))/INDEX('Data_NSA'!$A:$OK,MATCH(INDEX('Weights'!$E:$E,MATCH($A402,'Weights'!$A:$A,0)),'Data_NSA'!$A:$A,0),MATCH("CUUR0000SA0",'Data_NSA'!$1:$1,0))))*(INDEX('Data_SA'!$A:$LO,MATCH(U$2,'Data_SA'!$A:$A,0),MATCH($E402,'Data_SA'!$1:$1,0))/INDEX('Data_SA'!$A:$LO,MATCH(EDATE(U$2,-1),'Data_SA'!$A:$A,0),MATCH($E402,'Data_SA'!$1:$1,0))-1),""))</f>
        <v/>
      </c>
    </row>
    <row r="403">
      <c r="A403" s="3" t="inlineStr">
        <is>
          <t>AA0R</t>
        </is>
      </c>
      <c r="B403" s="3" t="inlineStr">
        <is>
          <t>Purchasing power of the consumer dollar - old base</t>
        </is>
      </c>
      <c r="C403" s="3" t="n"/>
      <c r="D403" s="3" t="inlineStr">
        <is>
          <t>CUUR0000AA0R</t>
        </is>
      </c>
      <c r="E403" s="3" t="inlineStr"/>
      <c r="F403" s="3" t="inlineStr">
        <is>
          <t>GM</t>
        </is>
      </c>
      <c r="G403" s="3" t="inlineStr">
        <is>
          <t>monthly in New York/Los Angeles/Chicago; often bimonthly elsewhere</t>
        </is>
      </c>
      <c r="H403" s="10">
        <f>IFERROR(INDEX(Weights!$D:$D,MATCH($A403,Weights!$A:$A,0)),"")</f>
        <v/>
      </c>
      <c r="I403" s="10">
        <f>IFERROR(INDEX('Data_NSA'!$A:$OK,MATCH(I$2,'Data_NSA'!$A:$A,0),MATCH($D403,'Data_NSA'!$1:$1,0)),"")</f>
        <v/>
      </c>
      <c r="J403" s="10">
        <f>IF($E403="","",IFERROR(INDEX('Data_SA'!$A:$LO,MATCH(I$2,'Data_SA'!$A:$A,0),MATCH($E403,'Data_SA'!$1:$1,0)),""))</f>
        <v/>
      </c>
      <c r="K403" s="7">
        <f>IF($E403="","",IFERROR(INDEX('Data_SA'!$A:$LO,MATCH(I$2,'Data_SA'!$A:$A,0),MATCH($E403,'Data_SA'!$1:$1,0))/INDEX('Data_SA'!$A:$LO,MATCH(EDATE(I$2,-1),'Data_SA'!$A:$A,0),MATCH($E403,'Data_SA'!$1:$1,0))-1,""))</f>
        <v/>
      </c>
      <c r="L403" s="7">
        <f>IFERROR(INDEX('Data_NSA'!$A:$OK,MATCH(I$2,'Data_NSA'!$A:$A,0),MATCH($D403,'Data_NSA'!$1:$1,0))/INDEX('Data_NSA'!$A:$OK,MATCH(EDATE(I$2,-12),'Data_NSA'!$A:$A,0),MATCH($D403,'Data_NSA'!$1:$1,0))-1,"")</f>
        <v/>
      </c>
      <c r="M403" s="10">
        <f>IFERROR(INDEX('Weights'!$G:$I,MATCH($A403,'Weights'!$A:$A,0),MATCH(I$2,'Weights'!$G$1:$I$1,0)),"")</f>
        <v/>
      </c>
      <c r="N403" s="10">
        <f>IF($E403="","",IFERROR(100*(INDEX('Weights'!$D:$D,MATCH($A403,'Weights'!$A:$A,0))*(INDEX('Data_NSA'!$A:$OK,MATCH(EDATE(I$2,-1),'Data_NSA'!$A:$A,0),MATCH($D403,'Data_NSA'!$1:$1,0))/INDEX('Data_NSA'!$A:$OK,MATCH(INDEX('Weights'!$E:$E,MATCH($A403,'Weights'!$A:$A,0)),'Data_NSA'!$A:$A,0),MATCH($D403,'Data_NSA'!$1:$1,0))))/(100*(INDEX('Data_NSA'!$A:$OK,MATCH(EDATE(I$2,-1),'Data_NSA'!$A:$A,0),MATCH("CUUR0000SA0",'Data_NSA'!$1:$1,0))/INDEX('Data_NSA'!$A:$OK,MATCH(INDEX('Weights'!$E:$E,MATCH($A403,'Weights'!$A:$A,0)),'Data_NSA'!$A:$A,0),MATCH("CUUR0000SA0",'Data_NSA'!$1:$1,0))))*(INDEX('Data_SA'!$A:$LO,MATCH(I$2,'Data_SA'!$A:$A,0),MATCH($E403,'Data_SA'!$1:$1,0))/INDEX('Data_SA'!$A:$LO,MATCH(EDATE(I$2,-1),'Data_SA'!$A:$A,0),MATCH($E403,'Data_SA'!$1:$1,0))-1),""))</f>
        <v/>
      </c>
      <c r="O403" s="10">
        <f>IFERROR(INDEX('Data_NSA'!$A:$OK,MATCH(O$2,'Data_NSA'!$A:$A,0),MATCH($D403,'Data_NSA'!$1:$1,0)),"")</f>
        <v/>
      </c>
      <c r="P403" s="10">
        <f>IF($E403="","",IFERROR(INDEX('Data_SA'!$A:$LO,MATCH(O$2,'Data_SA'!$A:$A,0),MATCH($E403,'Data_SA'!$1:$1,0)),""))</f>
        <v/>
      </c>
      <c r="Q403" s="7">
        <f>IF($E403="","",IFERROR(INDEX('Data_SA'!$A:$LO,MATCH(O$2,'Data_SA'!$A:$A,0),MATCH($E403,'Data_SA'!$1:$1,0))/INDEX('Data_SA'!$A:$LO,MATCH(EDATE(O$2,-1),'Data_SA'!$A:$A,0),MATCH($E403,'Data_SA'!$1:$1,0))-1,""))</f>
        <v/>
      </c>
      <c r="R403" s="7">
        <f>IFERROR(INDEX('Data_NSA'!$A:$OK,MATCH(O$2,'Data_NSA'!$A:$A,0),MATCH($D403,'Data_NSA'!$1:$1,0))/INDEX('Data_NSA'!$A:$OK,MATCH(EDATE(O$2,-12),'Data_NSA'!$A:$A,0),MATCH($D403,'Data_NSA'!$1:$1,0))-1,"")</f>
        <v/>
      </c>
      <c r="S403" s="10">
        <f>IFERROR(INDEX('Weights'!$G:$I,MATCH($A403,'Weights'!$A:$A,0),MATCH(O$2,'Weights'!$G$1:$I$1,0)),"")</f>
        <v/>
      </c>
      <c r="T403" s="10">
        <f>IF($E403="","",IFERROR(100*(INDEX('Weights'!$D:$D,MATCH($A403,'Weights'!$A:$A,0))*(INDEX('Data_NSA'!$A:$OK,MATCH(EDATE(O$2,-1),'Data_NSA'!$A:$A,0),MATCH($D403,'Data_NSA'!$1:$1,0))/INDEX('Data_NSA'!$A:$OK,MATCH(INDEX('Weights'!$E:$E,MATCH($A403,'Weights'!$A:$A,0)),'Data_NSA'!$A:$A,0),MATCH($D403,'Data_NSA'!$1:$1,0))))/(100*(INDEX('Data_NSA'!$A:$OK,MATCH(EDATE(O$2,-1),'Data_NSA'!$A:$A,0),MATCH("CUUR0000SA0",'Data_NSA'!$1:$1,0))/INDEX('Data_NSA'!$A:$OK,MATCH(INDEX('Weights'!$E:$E,MATCH($A403,'Weights'!$A:$A,0)),'Data_NSA'!$A:$A,0),MATCH("CUUR0000SA0",'Data_NSA'!$1:$1,0))))*(INDEX('Data_SA'!$A:$LO,MATCH(O$2,'Data_SA'!$A:$A,0),MATCH($E403,'Data_SA'!$1:$1,0))/INDEX('Data_SA'!$A:$LO,MATCH(EDATE(O$2,-1),'Data_SA'!$A:$A,0),MATCH($E403,'Data_SA'!$1:$1,0))-1),""))</f>
        <v/>
      </c>
      <c r="U403" s="10">
        <f>IFERROR(INDEX('Data_NSA'!$A:$OK,MATCH(U$2,'Data_NSA'!$A:$A,0),MATCH($D403,'Data_NSA'!$1:$1,0)),"")</f>
        <v/>
      </c>
      <c r="V403" s="10">
        <f>IF($E403="","",IFERROR(INDEX('Data_SA'!$A:$LO,MATCH(U$2,'Data_SA'!$A:$A,0),MATCH($E403,'Data_SA'!$1:$1,0)),""))</f>
        <v/>
      </c>
      <c r="W403" s="7">
        <f>IF($E403="","",IFERROR(INDEX('Data_SA'!$A:$LO,MATCH(U$2,'Data_SA'!$A:$A,0),MATCH($E403,'Data_SA'!$1:$1,0))/INDEX('Data_SA'!$A:$LO,MATCH(EDATE(U$2,-1),'Data_SA'!$A:$A,0),MATCH($E403,'Data_SA'!$1:$1,0))-1,""))</f>
        <v/>
      </c>
      <c r="X403" s="7">
        <f>IFERROR(INDEX('Data_NSA'!$A:$OK,MATCH(U$2,'Data_NSA'!$A:$A,0),MATCH($D403,'Data_NSA'!$1:$1,0))/INDEX('Data_NSA'!$A:$OK,MATCH(EDATE(U$2,-12),'Data_NSA'!$A:$A,0),MATCH($D403,'Data_NSA'!$1:$1,0))-1,"")</f>
        <v/>
      </c>
      <c r="Y403" s="10">
        <f>IFERROR(INDEX('Weights'!$G:$I,MATCH($A403,'Weights'!$A:$A,0),MATCH(U$2,'Weights'!$G$1:$I$1,0)),"")</f>
        <v/>
      </c>
      <c r="Z403" s="10">
        <f>IF($E403="","",IFERROR(100*(INDEX('Weights'!$D:$D,MATCH($A403,'Weights'!$A:$A,0))*(INDEX('Data_NSA'!$A:$OK,MATCH(EDATE(U$2,-1),'Data_NSA'!$A:$A,0),MATCH($D403,'Data_NSA'!$1:$1,0))/INDEX('Data_NSA'!$A:$OK,MATCH(INDEX('Weights'!$E:$E,MATCH($A403,'Weights'!$A:$A,0)),'Data_NSA'!$A:$A,0),MATCH($D403,'Data_NSA'!$1:$1,0))))/(100*(INDEX('Data_NSA'!$A:$OK,MATCH(EDATE(U$2,-1),'Data_NSA'!$A:$A,0),MATCH("CUUR0000SA0",'Data_NSA'!$1:$1,0))/INDEX('Data_NSA'!$A:$OK,MATCH(INDEX('Weights'!$E:$E,MATCH($A403,'Weights'!$A:$A,0)),'Data_NSA'!$A:$A,0),MATCH("CUUR0000SA0",'Data_NSA'!$1:$1,0))))*(INDEX('Data_SA'!$A:$LO,MATCH(U$2,'Data_SA'!$A:$A,0),MATCH($E403,'Data_SA'!$1:$1,0))/INDEX('Data_SA'!$A:$LO,MATCH(EDATE(U$2,-1),'Data_SA'!$A:$A,0),MATCH($E403,'Data_SA'!$1:$1,0))-1),""))</f>
        <v/>
      </c>
    </row>
  </sheetData>
  <autoFilter ref="A3:Z403"/>
  <mergeCells count="4">
    <mergeCell ref="I2:N2"/>
    <mergeCell ref="U2:Z2"/>
    <mergeCell ref="A1:L1"/>
    <mergeCell ref="O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48" customWidth="1" min="3" max="3"/>
    <col width="10" customWidth="1" min="4" max="4"/>
    <col width="48" customWidth="1" min="5" max="5"/>
  </cols>
  <sheetData>
    <row r="1">
      <c r="A1" s="6" t="inlineStr">
        <is>
          <t>series_id</t>
        </is>
      </c>
      <c r="B1" s="6" t="inlineStr">
        <is>
          <t>item_code</t>
        </is>
      </c>
      <c r="C1" s="6" t="inlineStr">
        <is>
          <t>component</t>
        </is>
      </c>
      <c r="D1" s="6" t="inlineStr">
        <is>
          <t>seasonal</t>
        </is>
      </c>
      <c r="E1" s="6" t="inlineStr">
        <is>
          <t>data_url</t>
        </is>
      </c>
    </row>
    <row r="2">
      <c r="A2" s="5" t="inlineStr">
        <is>
          <t>CUUR0000SA0</t>
        </is>
      </c>
      <c r="B2" t="inlineStr">
        <is>
          <t>SA0</t>
        </is>
      </c>
      <c r="C2" t="inlineStr">
        <is>
          <t>All items</t>
        </is>
      </c>
      <c r="D2" t="inlineStr">
        <is>
          <t>NSA</t>
        </is>
      </c>
      <c r="E2" s="5" t="inlineStr">
        <is>
          <t>https://data.bls.gov/timeseries/CUUR0000SA0</t>
        </is>
      </c>
    </row>
    <row r="3">
      <c r="A3" s="5" t="inlineStr">
        <is>
          <t>CUSR0000SA0</t>
        </is>
      </c>
      <c r="B3" t="inlineStr">
        <is>
          <t>SA0</t>
        </is>
      </c>
      <c r="C3" t="inlineStr">
        <is>
          <t>All items</t>
        </is>
      </c>
      <c r="D3" t="inlineStr">
        <is>
          <t>SA</t>
        </is>
      </c>
      <c r="E3" s="5" t="inlineStr">
        <is>
          <t>https://data.bls.gov/timeseries/CUSR0000SA0</t>
        </is>
      </c>
    </row>
    <row r="4">
      <c r="A4" s="5" t="inlineStr">
        <is>
          <t>CUUR0000AA0</t>
        </is>
      </c>
      <c r="B4" t="inlineStr">
        <is>
          <t>AA0</t>
        </is>
      </c>
      <c r="C4" t="inlineStr">
        <is>
          <t>All items - old base</t>
        </is>
      </c>
      <c r="D4" t="inlineStr">
        <is>
          <t>NSA</t>
        </is>
      </c>
      <c r="E4" s="5" t="inlineStr">
        <is>
          <t>https://data.bls.gov/timeseries/CUUR0000AA0</t>
        </is>
      </c>
    </row>
    <row r="5">
      <c r="A5" s="5" t="inlineStr">
        <is>
          <t>CUUR0000SAF</t>
        </is>
      </c>
      <c r="B5" t="inlineStr">
        <is>
          <t>SAF</t>
        </is>
      </c>
      <c r="C5" t="inlineStr">
        <is>
          <t>Food and beverages</t>
        </is>
      </c>
      <c r="D5" t="inlineStr">
        <is>
          <t>NSA</t>
        </is>
      </c>
      <c r="E5" s="5" t="inlineStr">
        <is>
          <t>https://data.bls.gov/timeseries/CUUR0000SAF</t>
        </is>
      </c>
    </row>
    <row r="6">
      <c r="A6" s="5" t="inlineStr">
        <is>
          <t>CUSR0000SAF</t>
        </is>
      </c>
      <c r="B6" t="inlineStr">
        <is>
          <t>SAF</t>
        </is>
      </c>
      <c r="C6" t="inlineStr">
        <is>
          <t>Food and beverages</t>
        </is>
      </c>
      <c r="D6" t="inlineStr">
        <is>
          <t>SA</t>
        </is>
      </c>
      <c r="E6" s="5" t="inlineStr">
        <is>
          <t>https://data.bls.gov/timeseries/CUSR0000SAF</t>
        </is>
      </c>
    </row>
    <row r="7">
      <c r="A7" s="5" t="inlineStr">
        <is>
          <t>CUUR0000SAF1</t>
        </is>
      </c>
      <c r="B7" t="inlineStr">
        <is>
          <t>SAF1</t>
        </is>
      </c>
      <c r="C7" t="inlineStr">
        <is>
          <t>Food</t>
        </is>
      </c>
      <c r="D7" t="inlineStr">
        <is>
          <t>NSA</t>
        </is>
      </c>
      <c r="E7" s="5" t="inlineStr">
        <is>
          <t>https://data.bls.gov/timeseries/CUUR0000SAF1</t>
        </is>
      </c>
    </row>
    <row r="8">
      <c r="A8" s="5" t="inlineStr">
        <is>
          <t>CUSR0000SAF1</t>
        </is>
      </c>
      <c r="B8" t="inlineStr">
        <is>
          <t>SAF1</t>
        </is>
      </c>
      <c r="C8" t="inlineStr">
        <is>
          <t>Food</t>
        </is>
      </c>
      <c r="D8" t="inlineStr">
        <is>
          <t>SA</t>
        </is>
      </c>
      <c r="E8" s="5" t="inlineStr">
        <is>
          <t>https://data.bls.gov/timeseries/CUSR0000SAF1</t>
        </is>
      </c>
    </row>
    <row r="9">
      <c r="A9" s="5" t="inlineStr">
        <is>
          <t>CUUR0000SAF11</t>
        </is>
      </c>
      <c r="B9" t="inlineStr">
        <is>
          <t>SAF11</t>
        </is>
      </c>
      <c r="C9" t="inlineStr">
        <is>
          <t>Food at home</t>
        </is>
      </c>
      <c r="D9" t="inlineStr">
        <is>
          <t>NSA</t>
        </is>
      </c>
      <c r="E9" s="5" t="inlineStr">
        <is>
          <t>https://data.bls.gov/timeseries/CUUR0000SAF11</t>
        </is>
      </c>
    </row>
    <row r="10">
      <c r="A10" s="5" t="inlineStr">
        <is>
          <t>CUSR0000SAF11</t>
        </is>
      </c>
      <c r="B10" t="inlineStr">
        <is>
          <t>SAF11</t>
        </is>
      </c>
      <c r="C10" t="inlineStr">
        <is>
          <t>Food at home</t>
        </is>
      </c>
      <c r="D10" t="inlineStr">
        <is>
          <t>SA</t>
        </is>
      </c>
      <c r="E10" s="5" t="inlineStr">
        <is>
          <t>https://data.bls.gov/timeseries/CUSR0000SAF11</t>
        </is>
      </c>
    </row>
    <row r="11">
      <c r="A11" s="5" t="inlineStr">
        <is>
          <t>CUUR0000SAF111</t>
        </is>
      </c>
      <c r="B11" t="inlineStr">
        <is>
          <t>SAF111</t>
        </is>
      </c>
      <c r="C11" t="inlineStr">
        <is>
          <t>Cereals and bakery products</t>
        </is>
      </c>
      <c r="D11" t="inlineStr">
        <is>
          <t>NSA</t>
        </is>
      </c>
      <c r="E11" s="5" t="inlineStr">
        <is>
          <t>https://data.bls.gov/timeseries/CUUR0000SAF111</t>
        </is>
      </c>
    </row>
    <row r="12">
      <c r="A12" s="5" t="inlineStr">
        <is>
          <t>CUSR0000SAF111</t>
        </is>
      </c>
      <c r="B12" t="inlineStr">
        <is>
          <t>SAF111</t>
        </is>
      </c>
      <c r="C12" t="inlineStr">
        <is>
          <t>Cereals and bakery products</t>
        </is>
      </c>
      <c r="D12" t="inlineStr">
        <is>
          <t>SA</t>
        </is>
      </c>
      <c r="E12" s="5" t="inlineStr">
        <is>
          <t>https://data.bls.gov/timeseries/CUSR0000SAF111</t>
        </is>
      </c>
    </row>
    <row r="13">
      <c r="A13" s="5" t="inlineStr">
        <is>
          <t>CUUR0000SEFA</t>
        </is>
      </c>
      <c r="B13" t="inlineStr">
        <is>
          <t>SEFA</t>
        </is>
      </c>
      <c r="C13" t="inlineStr">
        <is>
          <t>Cereals and cereal products</t>
        </is>
      </c>
      <c r="D13" t="inlineStr">
        <is>
          <t>NSA</t>
        </is>
      </c>
      <c r="E13" s="5" t="inlineStr">
        <is>
          <t>https://data.bls.gov/timeseries/CUUR0000SEFA</t>
        </is>
      </c>
    </row>
    <row r="14">
      <c r="A14" s="5" t="inlineStr">
        <is>
          <t>CUSR0000SEFA</t>
        </is>
      </c>
      <c r="B14" t="inlineStr">
        <is>
          <t>SEFA</t>
        </is>
      </c>
      <c r="C14" t="inlineStr">
        <is>
          <t>Cereals and cereal products</t>
        </is>
      </c>
      <c r="D14" t="inlineStr">
        <is>
          <t>SA</t>
        </is>
      </c>
      <c r="E14" s="5" t="inlineStr">
        <is>
          <t>https://data.bls.gov/timeseries/CUSR0000SEFA</t>
        </is>
      </c>
    </row>
    <row r="15">
      <c r="A15" s="5" t="inlineStr">
        <is>
          <t>CUUR0000SEFA01</t>
        </is>
      </c>
      <c r="B15" t="inlineStr">
        <is>
          <t>SEFA01</t>
        </is>
      </c>
      <c r="C15" t="inlineStr">
        <is>
          <t>Flour and prepared flour mixes</t>
        </is>
      </c>
      <c r="D15" t="inlineStr">
        <is>
          <t>NSA</t>
        </is>
      </c>
      <c r="E15" s="5" t="inlineStr">
        <is>
          <t>https://data.bls.gov/timeseries/CUUR0000SEFA01</t>
        </is>
      </c>
    </row>
    <row r="16">
      <c r="A16" s="5" t="inlineStr">
        <is>
          <t>CUSR0000SEFA01</t>
        </is>
      </c>
      <c r="B16" t="inlineStr">
        <is>
          <t>SEFA01</t>
        </is>
      </c>
      <c r="C16" t="inlineStr">
        <is>
          <t>Flour and prepared flour mixes</t>
        </is>
      </c>
      <c r="D16" t="inlineStr">
        <is>
          <t>SA</t>
        </is>
      </c>
      <c r="E16" s="5" t="inlineStr">
        <is>
          <t>https://data.bls.gov/timeseries/CUSR0000SEFA01</t>
        </is>
      </c>
    </row>
    <row r="17">
      <c r="A17" s="5" t="inlineStr">
        <is>
          <t>CUUR0000SEFA02</t>
        </is>
      </c>
      <c r="B17" t="inlineStr">
        <is>
          <t>SEFA02</t>
        </is>
      </c>
      <c r="C17" t="inlineStr">
        <is>
          <t>Breakfast cereal</t>
        </is>
      </c>
      <c r="D17" t="inlineStr">
        <is>
          <t>NSA</t>
        </is>
      </c>
      <c r="E17" s="5" t="inlineStr">
        <is>
          <t>https://data.bls.gov/timeseries/CUUR0000SEFA02</t>
        </is>
      </c>
    </row>
    <row r="18">
      <c r="A18" s="5" t="inlineStr">
        <is>
          <t>CUSR0000SEFA02</t>
        </is>
      </c>
      <c r="B18" t="inlineStr">
        <is>
          <t>SEFA02</t>
        </is>
      </c>
      <c r="C18" t="inlineStr">
        <is>
          <t>Breakfast cereal</t>
        </is>
      </c>
      <c r="D18" t="inlineStr">
        <is>
          <t>SA</t>
        </is>
      </c>
      <c r="E18" s="5" t="inlineStr">
        <is>
          <t>https://data.bls.gov/timeseries/CUSR0000SEFA02</t>
        </is>
      </c>
    </row>
    <row r="19">
      <c r="A19" s="5" t="inlineStr">
        <is>
          <t>CUUR0000SEFA03</t>
        </is>
      </c>
      <c r="B19" t="inlineStr">
        <is>
          <t>SEFA03</t>
        </is>
      </c>
      <c r="C19" t="inlineStr">
        <is>
          <t>Rice, pasta, cornmeal</t>
        </is>
      </c>
      <c r="D19" t="inlineStr">
        <is>
          <t>NSA</t>
        </is>
      </c>
      <c r="E19" s="5" t="inlineStr">
        <is>
          <t>https://data.bls.gov/timeseries/CUUR0000SEFA03</t>
        </is>
      </c>
    </row>
    <row r="20">
      <c r="A20" s="5" t="inlineStr">
        <is>
          <t>CUSR0000SEFA03</t>
        </is>
      </c>
      <c r="B20" t="inlineStr">
        <is>
          <t>SEFA03</t>
        </is>
      </c>
      <c r="C20" t="inlineStr">
        <is>
          <t>Rice, pasta, cornmeal</t>
        </is>
      </c>
      <c r="D20" t="inlineStr">
        <is>
          <t>SA</t>
        </is>
      </c>
      <c r="E20" s="5" t="inlineStr">
        <is>
          <t>https://data.bls.gov/timeseries/CUSR0000SEFA03</t>
        </is>
      </c>
    </row>
    <row r="21">
      <c r="A21" s="5" t="inlineStr">
        <is>
          <t>CUUR0000SS01031</t>
        </is>
      </c>
      <c r="B21" t="inlineStr">
        <is>
          <t>SS01031</t>
        </is>
      </c>
      <c r="C21" t="inlineStr">
        <is>
          <t>Rice</t>
        </is>
      </c>
      <c r="D21" t="inlineStr">
        <is>
          <t>NSA</t>
        </is>
      </c>
      <c r="E21" s="5" t="inlineStr">
        <is>
          <t>https://data.bls.gov/timeseries/CUUR0000SS01031</t>
        </is>
      </c>
    </row>
    <row r="22">
      <c r="A22" s="5" t="inlineStr">
        <is>
          <t>CUUR0000SEFB</t>
        </is>
      </c>
      <c r="B22" t="inlineStr">
        <is>
          <t>SEFB</t>
        </is>
      </c>
      <c r="C22" t="inlineStr">
        <is>
          <t>Bakery products</t>
        </is>
      </c>
      <c r="D22" t="inlineStr">
        <is>
          <t>NSA</t>
        </is>
      </c>
      <c r="E22" s="5" t="inlineStr">
        <is>
          <t>https://data.bls.gov/timeseries/CUUR0000SEFB</t>
        </is>
      </c>
    </row>
    <row r="23">
      <c r="A23" s="5" t="inlineStr">
        <is>
          <t>CUSR0000SEFB</t>
        </is>
      </c>
      <c r="B23" t="inlineStr">
        <is>
          <t>SEFB</t>
        </is>
      </c>
      <c r="C23" t="inlineStr">
        <is>
          <t>Bakery products</t>
        </is>
      </c>
      <c r="D23" t="inlineStr">
        <is>
          <t>SA</t>
        </is>
      </c>
      <c r="E23" s="5" t="inlineStr">
        <is>
          <t>https://data.bls.gov/timeseries/CUSR0000SEFB</t>
        </is>
      </c>
    </row>
    <row r="24">
      <c r="A24" s="5" t="inlineStr">
        <is>
          <t>CUUR0000SEFB01</t>
        </is>
      </c>
      <c r="B24" t="inlineStr">
        <is>
          <t>SEFB01</t>
        </is>
      </c>
      <c r="C24" t="inlineStr">
        <is>
          <t>Bread</t>
        </is>
      </c>
      <c r="D24" t="inlineStr">
        <is>
          <t>NSA</t>
        </is>
      </c>
      <c r="E24" s="5" t="inlineStr">
        <is>
          <t>https://data.bls.gov/timeseries/CUUR0000SEFB01</t>
        </is>
      </c>
    </row>
    <row r="25">
      <c r="A25" s="5" t="inlineStr">
        <is>
          <t>CUSR0000SEFB01</t>
        </is>
      </c>
      <c r="B25" t="inlineStr">
        <is>
          <t>SEFB01</t>
        </is>
      </c>
      <c r="C25" t="inlineStr">
        <is>
          <t>Bread</t>
        </is>
      </c>
      <c r="D25" t="inlineStr">
        <is>
          <t>SA</t>
        </is>
      </c>
      <c r="E25" s="5" t="inlineStr">
        <is>
          <t>https://data.bls.gov/timeseries/CUSR0000SEFB01</t>
        </is>
      </c>
    </row>
    <row r="26">
      <c r="A26" s="5" t="inlineStr">
        <is>
          <t>CUUR0000SS02011</t>
        </is>
      </c>
      <c r="B26" t="inlineStr">
        <is>
          <t>SS02011</t>
        </is>
      </c>
      <c r="C26" t="inlineStr">
        <is>
          <t>White bread</t>
        </is>
      </c>
      <c r="D26" t="inlineStr">
        <is>
          <t>NSA</t>
        </is>
      </c>
      <c r="E26" s="5" t="inlineStr">
        <is>
          <t>https://data.bls.gov/timeseries/CUUR0000SS02011</t>
        </is>
      </c>
    </row>
    <row r="27">
      <c r="A27" s="5" t="inlineStr">
        <is>
          <t>CUUR0000SS02021</t>
        </is>
      </c>
      <c r="B27" t="inlineStr">
        <is>
          <t>SS02021</t>
        </is>
      </c>
      <c r="C27" t="inlineStr">
        <is>
          <t>Bread other than white</t>
        </is>
      </c>
      <c r="D27" t="inlineStr">
        <is>
          <t>NSA</t>
        </is>
      </c>
      <c r="E27" s="5" t="inlineStr">
        <is>
          <t>https://data.bls.gov/timeseries/CUUR0000SS02021</t>
        </is>
      </c>
    </row>
    <row r="28">
      <c r="A28" s="5" t="inlineStr">
        <is>
          <t>CUUR0000SEFB02</t>
        </is>
      </c>
      <c r="B28" t="inlineStr">
        <is>
          <t>SEFB02</t>
        </is>
      </c>
      <c r="C28" t="inlineStr">
        <is>
          <t>Fresh biscuits, rolls, muffins</t>
        </is>
      </c>
      <c r="D28" t="inlineStr">
        <is>
          <t>NSA</t>
        </is>
      </c>
      <c r="E28" s="5" t="inlineStr">
        <is>
          <t>https://data.bls.gov/timeseries/CUUR0000SEFB02</t>
        </is>
      </c>
    </row>
    <row r="29">
      <c r="A29" s="5" t="inlineStr">
        <is>
          <t>CUSR0000SEFB02</t>
        </is>
      </c>
      <c r="B29" t="inlineStr">
        <is>
          <t>SEFB02</t>
        </is>
      </c>
      <c r="C29" t="inlineStr">
        <is>
          <t>Fresh biscuits, rolls, muffins</t>
        </is>
      </c>
      <c r="D29" t="inlineStr">
        <is>
          <t>SA</t>
        </is>
      </c>
      <c r="E29" s="5" t="inlineStr">
        <is>
          <t>https://data.bls.gov/timeseries/CUSR0000SEFB02</t>
        </is>
      </c>
    </row>
    <row r="30">
      <c r="A30" s="5" t="inlineStr">
        <is>
          <t>CUUR0000SEFB03</t>
        </is>
      </c>
      <c r="B30" t="inlineStr">
        <is>
          <t>SEFB03</t>
        </is>
      </c>
      <c r="C30" t="inlineStr">
        <is>
          <t>Cakes, cupcakes, and cookies</t>
        </is>
      </c>
      <c r="D30" t="inlineStr">
        <is>
          <t>NSA</t>
        </is>
      </c>
      <c r="E30" s="5" t="inlineStr">
        <is>
          <t>https://data.bls.gov/timeseries/CUUR0000SEFB03</t>
        </is>
      </c>
    </row>
    <row r="31">
      <c r="A31" s="5" t="inlineStr">
        <is>
          <t>CUSR0000SEFB03</t>
        </is>
      </c>
      <c r="B31" t="inlineStr">
        <is>
          <t>SEFB03</t>
        </is>
      </c>
      <c r="C31" t="inlineStr">
        <is>
          <t>Cakes, cupcakes, and cookies</t>
        </is>
      </c>
      <c r="D31" t="inlineStr">
        <is>
          <t>SA</t>
        </is>
      </c>
      <c r="E31" s="5" t="inlineStr">
        <is>
          <t>https://data.bls.gov/timeseries/CUSR0000SEFB03</t>
        </is>
      </c>
    </row>
    <row r="32">
      <c r="A32" s="5" t="inlineStr">
        <is>
          <t>CUUR0000SS02041</t>
        </is>
      </c>
      <c r="B32" t="inlineStr">
        <is>
          <t>SS02041</t>
        </is>
      </c>
      <c r="C32" t="inlineStr">
        <is>
          <t>Fresh cakes and cupcakes</t>
        </is>
      </c>
      <c r="D32" t="inlineStr">
        <is>
          <t>NSA</t>
        </is>
      </c>
      <c r="E32" s="5" t="inlineStr">
        <is>
          <t>https://data.bls.gov/timeseries/CUUR0000SS02041</t>
        </is>
      </c>
    </row>
    <row r="33">
      <c r="A33" s="5" t="inlineStr">
        <is>
          <t>CUUR0000SS02042</t>
        </is>
      </c>
      <c r="B33" t="inlineStr">
        <is>
          <t>SS02042</t>
        </is>
      </c>
      <c r="C33" t="inlineStr">
        <is>
          <t>Cookies</t>
        </is>
      </c>
      <c r="D33" t="inlineStr">
        <is>
          <t>NSA</t>
        </is>
      </c>
      <c r="E33" s="5" t="inlineStr">
        <is>
          <t>https://data.bls.gov/timeseries/CUUR0000SS02042</t>
        </is>
      </c>
    </row>
    <row r="34">
      <c r="A34" s="5" t="inlineStr">
        <is>
          <t>CUSR0000SS02042</t>
        </is>
      </c>
      <c r="B34" t="inlineStr">
        <is>
          <t>SS02042</t>
        </is>
      </c>
      <c r="C34" t="inlineStr">
        <is>
          <t>Cookies</t>
        </is>
      </c>
      <c r="D34" t="inlineStr">
        <is>
          <t>SA</t>
        </is>
      </c>
      <c r="E34" s="5" t="inlineStr">
        <is>
          <t>https://data.bls.gov/timeseries/CUSR0000SS02042</t>
        </is>
      </c>
    </row>
    <row r="35">
      <c r="A35" s="5" t="inlineStr">
        <is>
          <t>CUUR0000SEFB04</t>
        </is>
      </c>
      <c r="B35" t="inlineStr">
        <is>
          <t>SEFB04</t>
        </is>
      </c>
      <c r="C35" t="inlineStr">
        <is>
          <t>Other bakery products</t>
        </is>
      </c>
      <c r="D35" t="inlineStr">
        <is>
          <t>NSA</t>
        </is>
      </c>
      <c r="E35" s="5" t="inlineStr">
        <is>
          <t>https://data.bls.gov/timeseries/CUUR0000SEFB04</t>
        </is>
      </c>
    </row>
    <row r="36">
      <c r="A36" s="5" t="inlineStr">
        <is>
          <t>CUSR0000SEFB04</t>
        </is>
      </c>
      <c r="B36" t="inlineStr">
        <is>
          <t>SEFB04</t>
        </is>
      </c>
      <c r="C36" t="inlineStr">
        <is>
          <t>Other bakery products</t>
        </is>
      </c>
      <c r="D36" t="inlineStr">
        <is>
          <t>SA</t>
        </is>
      </c>
      <c r="E36" s="5" t="inlineStr">
        <is>
          <t>https://data.bls.gov/timeseries/CUSR0000SEFB04</t>
        </is>
      </c>
    </row>
    <row r="37">
      <c r="A37" s="5" t="inlineStr">
        <is>
          <t>CUUR0000SS02063</t>
        </is>
      </c>
      <c r="B37" t="inlineStr">
        <is>
          <t>SS02063</t>
        </is>
      </c>
      <c r="C37" t="inlineStr">
        <is>
          <t>Fresh sweetrolls, coffeecakes, doughnuts</t>
        </is>
      </c>
      <c r="D37" t="inlineStr">
        <is>
          <t>NSA</t>
        </is>
      </c>
      <c r="E37" s="5" t="inlineStr">
        <is>
          <t>https://data.bls.gov/timeseries/CUUR0000SS02063</t>
        </is>
      </c>
    </row>
    <row r="38">
      <c r="A38" s="5" t="inlineStr">
        <is>
          <t>CUUR0000SS0206A</t>
        </is>
      </c>
      <c r="B38" t="inlineStr">
        <is>
          <t>SS0206A</t>
        </is>
      </c>
      <c r="C38" t="inlineStr">
        <is>
          <t>Crackers, bread, and cracker products</t>
        </is>
      </c>
      <c r="D38" t="inlineStr">
        <is>
          <t>NSA</t>
        </is>
      </c>
      <c r="E38" s="5" t="inlineStr">
        <is>
          <t>https://data.bls.gov/timeseries/CUUR0000SS0206A</t>
        </is>
      </c>
    </row>
    <row r="39">
      <c r="A39" s="5" t="inlineStr">
        <is>
          <t>CUSR0000SS0206A</t>
        </is>
      </c>
      <c r="B39" t="inlineStr">
        <is>
          <t>SS0206A</t>
        </is>
      </c>
      <c r="C39" t="inlineStr">
        <is>
          <t>Crackers, bread, and cracker products</t>
        </is>
      </c>
      <c r="D39" t="inlineStr">
        <is>
          <t>SA</t>
        </is>
      </c>
      <c r="E39" s="5" t="inlineStr">
        <is>
          <t>https://data.bls.gov/timeseries/CUSR0000SS0206A</t>
        </is>
      </c>
    </row>
    <row r="40">
      <c r="A40" s="5" t="inlineStr">
        <is>
          <t>CUUR0000SS0206B</t>
        </is>
      </c>
      <c r="B40" t="inlineStr">
        <is>
          <t>SS0206B</t>
        </is>
      </c>
      <c r="C40" t="inlineStr">
        <is>
          <t>Frozen and refrigerated bakery products, pies, tarts, turnovers</t>
        </is>
      </c>
      <c r="D40" t="inlineStr">
        <is>
          <t>NSA</t>
        </is>
      </c>
      <c r="E40" s="5" t="inlineStr">
        <is>
          <t>https://data.bls.gov/timeseries/CUUR0000SS0206B</t>
        </is>
      </c>
    </row>
    <row r="41">
      <c r="A41" s="5" t="inlineStr">
        <is>
          <t>CUSR0000SS0206B</t>
        </is>
      </c>
      <c r="B41" t="inlineStr">
        <is>
          <t>SS0206B</t>
        </is>
      </c>
      <c r="C41" t="inlineStr">
        <is>
          <t>Frozen and refrigerated bakery products, pies, tarts, turnovers</t>
        </is>
      </c>
      <c r="D41" t="inlineStr">
        <is>
          <t>SA</t>
        </is>
      </c>
      <c r="E41" s="5" t="inlineStr">
        <is>
          <t>https://data.bls.gov/timeseries/CUSR0000SS0206B</t>
        </is>
      </c>
    </row>
    <row r="42">
      <c r="A42" s="5" t="inlineStr">
        <is>
          <t>CUUR0000SAF112</t>
        </is>
      </c>
      <c r="B42" t="inlineStr">
        <is>
          <t>SAF112</t>
        </is>
      </c>
      <c r="C42" t="inlineStr">
        <is>
          <t>Meats, poultry, fish, and eggs</t>
        </is>
      </c>
      <c r="D42" t="inlineStr">
        <is>
          <t>NSA</t>
        </is>
      </c>
      <c r="E42" s="5" t="inlineStr">
        <is>
          <t>https://data.bls.gov/timeseries/CUUR0000SAF112</t>
        </is>
      </c>
    </row>
    <row r="43">
      <c r="A43" s="5" t="inlineStr">
        <is>
          <t>CUSR0000SAF112</t>
        </is>
      </c>
      <c r="B43" t="inlineStr">
        <is>
          <t>SAF112</t>
        </is>
      </c>
      <c r="C43" t="inlineStr">
        <is>
          <t>Meats, poultry, fish, and eggs</t>
        </is>
      </c>
      <c r="D43" t="inlineStr">
        <is>
          <t>SA</t>
        </is>
      </c>
      <c r="E43" s="5" t="inlineStr">
        <is>
          <t>https://data.bls.gov/timeseries/CUSR0000SAF112</t>
        </is>
      </c>
    </row>
    <row r="44">
      <c r="A44" s="5" t="inlineStr">
        <is>
          <t>CUUR0000SAF1121</t>
        </is>
      </c>
      <c r="B44" t="inlineStr">
        <is>
          <t>SAF1121</t>
        </is>
      </c>
      <c r="C44" t="inlineStr">
        <is>
          <t>Meats, poultry, and fish</t>
        </is>
      </c>
      <c r="D44" t="inlineStr">
        <is>
          <t>NSA</t>
        </is>
      </c>
      <c r="E44" s="5" t="inlineStr">
        <is>
          <t>https://data.bls.gov/timeseries/CUUR0000SAF1121</t>
        </is>
      </c>
    </row>
    <row r="45">
      <c r="A45" s="5" t="inlineStr">
        <is>
          <t>CUSR0000SAF1121</t>
        </is>
      </c>
      <c r="B45" t="inlineStr">
        <is>
          <t>SAF1121</t>
        </is>
      </c>
      <c r="C45" t="inlineStr">
        <is>
          <t>Meats, poultry, and fish</t>
        </is>
      </c>
      <c r="D45" t="inlineStr">
        <is>
          <t>SA</t>
        </is>
      </c>
      <c r="E45" s="5" t="inlineStr">
        <is>
          <t>https://data.bls.gov/timeseries/CUSR0000SAF1121</t>
        </is>
      </c>
    </row>
    <row r="46">
      <c r="A46" s="5" t="inlineStr">
        <is>
          <t>CUUR0000SAF11211</t>
        </is>
      </c>
      <c r="B46" t="inlineStr">
        <is>
          <t>SAF11211</t>
        </is>
      </c>
      <c r="C46" t="inlineStr">
        <is>
          <t>Meats</t>
        </is>
      </c>
      <c r="D46" t="inlineStr">
        <is>
          <t>NSA</t>
        </is>
      </c>
      <c r="E46" s="5" t="inlineStr">
        <is>
          <t>https://data.bls.gov/timeseries/CUUR0000SAF11211</t>
        </is>
      </c>
    </row>
    <row r="47">
      <c r="A47" s="5" t="inlineStr">
        <is>
          <t>CUSR0000SAF11211</t>
        </is>
      </c>
      <c r="B47" t="inlineStr">
        <is>
          <t>SAF11211</t>
        </is>
      </c>
      <c r="C47" t="inlineStr">
        <is>
          <t>Meats</t>
        </is>
      </c>
      <c r="D47" t="inlineStr">
        <is>
          <t>SA</t>
        </is>
      </c>
      <c r="E47" s="5" t="inlineStr">
        <is>
          <t>https://data.bls.gov/timeseries/CUSR0000SAF11211</t>
        </is>
      </c>
    </row>
    <row r="48">
      <c r="A48" s="5" t="inlineStr">
        <is>
          <t>CUUR0000SEFC</t>
        </is>
      </c>
      <c r="B48" t="inlineStr">
        <is>
          <t>SEFC</t>
        </is>
      </c>
      <c r="C48" t="inlineStr">
        <is>
          <t>Beef and veal</t>
        </is>
      </c>
      <c r="D48" t="inlineStr">
        <is>
          <t>NSA</t>
        </is>
      </c>
      <c r="E48" s="5" t="inlineStr">
        <is>
          <t>https://data.bls.gov/timeseries/CUUR0000SEFC</t>
        </is>
      </c>
    </row>
    <row r="49">
      <c r="A49" s="5" t="inlineStr">
        <is>
          <t>CUSR0000SEFC</t>
        </is>
      </c>
      <c r="B49" t="inlineStr">
        <is>
          <t>SEFC</t>
        </is>
      </c>
      <c r="C49" t="inlineStr">
        <is>
          <t>Beef and veal</t>
        </is>
      </c>
      <c r="D49" t="inlineStr">
        <is>
          <t>SA</t>
        </is>
      </c>
      <c r="E49" s="5" t="inlineStr">
        <is>
          <t>https://data.bls.gov/timeseries/CUSR0000SEFC</t>
        </is>
      </c>
    </row>
    <row r="50">
      <c r="A50" s="5" t="inlineStr">
        <is>
          <t>CUUR0000SEFC01</t>
        </is>
      </c>
      <c r="B50" t="inlineStr">
        <is>
          <t>SEFC01</t>
        </is>
      </c>
      <c r="C50" t="inlineStr">
        <is>
          <t>Uncooked ground beef</t>
        </is>
      </c>
      <c r="D50" t="inlineStr">
        <is>
          <t>NSA</t>
        </is>
      </c>
      <c r="E50" s="5" t="inlineStr">
        <is>
          <t>https://data.bls.gov/timeseries/CUUR0000SEFC01</t>
        </is>
      </c>
    </row>
    <row r="51">
      <c r="A51" s="5" t="inlineStr">
        <is>
          <t>CUSR0000SEFC01</t>
        </is>
      </c>
      <c r="B51" t="inlineStr">
        <is>
          <t>SEFC01</t>
        </is>
      </c>
      <c r="C51" t="inlineStr">
        <is>
          <t>Uncooked ground beef</t>
        </is>
      </c>
      <c r="D51" t="inlineStr">
        <is>
          <t>SA</t>
        </is>
      </c>
      <c r="E51" s="5" t="inlineStr">
        <is>
          <t>https://data.bls.gov/timeseries/CUSR0000SEFC01</t>
        </is>
      </c>
    </row>
    <row r="52">
      <c r="A52" s="5" t="inlineStr">
        <is>
          <t>CUUR0000SEFC02</t>
        </is>
      </c>
      <c r="B52" t="inlineStr">
        <is>
          <t>SEFC02</t>
        </is>
      </c>
      <c r="C52" t="inlineStr">
        <is>
          <t>Uncooked beef roasts</t>
        </is>
      </c>
      <c r="D52" t="inlineStr">
        <is>
          <t>NSA</t>
        </is>
      </c>
      <c r="E52" s="5" t="inlineStr">
        <is>
          <t>https://data.bls.gov/timeseries/CUUR0000SEFC02</t>
        </is>
      </c>
    </row>
    <row r="53">
      <c r="A53" s="5" t="inlineStr">
        <is>
          <t>CUSR0000SEFC02</t>
        </is>
      </c>
      <c r="B53" t="inlineStr">
        <is>
          <t>SEFC02</t>
        </is>
      </c>
      <c r="C53" t="inlineStr">
        <is>
          <t>Uncooked beef roasts</t>
        </is>
      </c>
      <c r="D53" t="inlineStr">
        <is>
          <t>SA</t>
        </is>
      </c>
      <c r="E53" s="5" t="inlineStr">
        <is>
          <t>https://data.bls.gov/timeseries/CUSR0000SEFC02</t>
        </is>
      </c>
    </row>
    <row r="54">
      <c r="A54" s="5" t="inlineStr">
        <is>
          <t>CUUR0000SEFC03</t>
        </is>
      </c>
      <c r="B54" t="inlineStr">
        <is>
          <t>SEFC03</t>
        </is>
      </c>
      <c r="C54" t="inlineStr">
        <is>
          <t>Uncooked beef steaks</t>
        </is>
      </c>
      <c r="D54" t="inlineStr">
        <is>
          <t>NSA</t>
        </is>
      </c>
      <c r="E54" s="5" t="inlineStr">
        <is>
          <t>https://data.bls.gov/timeseries/CUUR0000SEFC03</t>
        </is>
      </c>
    </row>
    <row r="55">
      <c r="A55" s="5" t="inlineStr">
        <is>
          <t>CUSR0000SEFC03</t>
        </is>
      </c>
      <c r="B55" t="inlineStr">
        <is>
          <t>SEFC03</t>
        </is>
      </c>
      <c r="C55" t="inlineStr">
        <is>
          <t>Uncooked beef steaks</t>
        </is>
      </c>
      <c r="D55" t="inlineStr">
        <is>
          <t>SA</t>
        </is>
      </c>
      <c r="E55" s="5" t="inlineStr">
        <is>
          <t>https://data.bls.gov/timeseries/CUSR0000SEFC03</t>
        </is>
      </c>
    </row>
    <row r="56">
      <c r="A56" s="5" t="inlineStr">
        <is>
          <t>CUUR0000SEFC04</t>
        </is>
      </c>
      <c r="B56" t="inlineStr">
        <is>
          <t>SEFC04</t>
        </is>
      </c>
      <c r="C56" t="inlineStr">
        <is>
          <t>Uncooked other beef and veal</t>
        </is>
      </c>
      <c r="D56" t="inlineStr">
        <is>
          <t>NSA</t>
        </is>
      </c>
      <c r="E56" s="5" t="inlineStr">
        <is>
          <t>https://data.bls.gov/timeseries/CUUR0000SEFC04</t>
        </is>
      </c>
    </row>
    <row r="57">
      <c r="A57" s="5" t="inlineStr">
        <is>
          <t>CUUR0000SEFD</t>
        </is>
      </c>
      <c r="B57" t="inlineStr">
        <is>
          <t>SEFD</t>
        </is>
      </c>
      <c r="C57" t="inlineStr">
        <is>
          <t>Pork</t>
        </is>
      </c>
      <c r="D57" t="inlineStr">
        <is>
          <t>NSA</t>
        </is>
      </c>
      <c r="E57" s="5" t="inlineStr">
        <is>
          <t>https://data.bls.gov/timeseries/CUUR0000SEFD</t>
        </is>
      </c>
    </row>
    <row r="58">
      <c r="A58" s="5" t="inlineStr">
        <is>
          <t>CUSR0000SEFD</t>
        </is>
      </c>
      <c r="B58" t="inlineStr">
        <is>
          <t>SEFD</t>
        </is>
      </c>
      <c r="C58" t="inlineStr">
        <is>
          <t>Pork</t>
        </is>
      </c>
      <c r="D58" t="inlineStr">
        <is>
          <t>SA</t>
        </is>
      </c>
      <c r="E58" s="5" t="inlineStr">
        <is>
          <t>https://data.bls.gov/timeseries/CUSR0000SEFD</t>
        </is>
      </c>
    </row>
    <row r="59">
      <c r="A59" s="5" t="inlineStr">
        <is>
          <t>CUUR0000SEFD01</t>
        </is>
      </c>
      <c r="B59" t="inlineStr">
        <is>
          <t>SEFD01</t>
        </is>
      </c>
      <c r="C59" t="inlineStr">
        <is>
          <t>Bacon, breakfast sausage, and related products</t>
        </is>
      </c>
      <c r="D59" t="inlineStr">
        <is>
          <t>NSA</t>
        </is>
      </c>
      <c r="E59" s="5" t="inlineStr">
        <is>
          <t>https://data.bls.gov/timeseries/CUUR0000SEFD01</t>
        </is>
      </c>
    </row>
    <row r="60">
      <c r="A60" s="5" t="inlineStr">
        <is>
          <t>CUSR0000SEFD01</t>
        </is>
      </c>
      <c r="B60" t="inlineStr">
        <is>
          <t>SEFD01</t>
        </is>
      </c>
      <c r="C60" t="inlineStr">
        <is>
          <t>Bacon, breakfast sausage, and related products</t>
        </is>
      </c>
      <c r="D60" t="inlineStr">
        <is>
          <t>SA</t>
        </is>
      </c>
      <c r="E60" s="5" t="inlineStr">
        <is>
          <t>https://data.bls.gov/timeseries/CUSR0000SEFD01</t>
        </is>
      </c>
    </row>
    <row r="61">
      <c r="A61" s="5" t="inlineStr">
        <is>
          <t>CUUR0000SS04011</t>
        </is>
      </c>
      <c r="B61" t="inlineStr">
        <is>
          <t>SS04011</t>
        </is>
      </c>
      <c r="C61" t="inlineStr">
        <is>
          <t>Bacon and related products</t>
        </is>
      </c>
      <c r="D61" t="inlineStr">
        <is>
          <t>NSA</t>
        </is>
      </c>
      <c r="E61" s="5" t="inlineStr">
        <is>
          <t>https://data.bls.gov/timeseries/CUUR0000SS04011</t>
        </is>
      </c>
    </row>
    <row r="62">
      <c r="A62" s="5" t="inlineStr">
        <is>
          <t>CUSR0000SS04011</t>
        </is>
      </c>
      <c r="B62" t="inlineStr">
        <is>
          <t>SS04011</t>
        </is>
      </c>
      <c r="C62" t="inlineStr">
        <is>
          <t>Bacon and related products</t>
        </is>
      </c>
      <c r="D62" t="inlineStr">
        <is>
          <t>SA</t>
        </is>
      </c>
      <c r="E62" s="5" t="inlineStr">
        <is>
          <t>https://data.bls.gov/timeseries/CUSR0000SS04011</t>
        </is>
      </c>
    </row>
    <row r="63">
      <c r="A63" s="5" t="inlineStr">
        <is>
          <t>CUUR0000SS04012</t>
        </is>
      </c>
      <c r="B63" t="inlineStr">
        <is>
          <t>SS04012</t>
        </is>
      </c>
      <c r="C63" t="inlineStr">
        <is>
          <t>Breakfast sausage and related products</t>
        </is>
      </c>
      <c r="D63" t="inlineStr">
        <is>
          <t>NSA</t>
        </is>
      </c>
      <c r="E63" s="5" t="inlineStr">
        <is>
          <t>https://data.bls.gov/timeseries/CUUR0000SS04012</t>
        </is>
      </c>
    </row>
    <row r="64">
      <c r="A64" s="5" t="inlineStr">
        <is>
          <t>CUSR0000SS04012</t>
        </is>
      </c>
      <c r="B64" t="inlineStr">
        <is>
          <t>SS04012</t>
        </is>
      </c>
      <c r="C64" t="inlineStr">
        <is>
          <t>Breakfast sausage and related products</t>
        </is>
      </c>
      <c r="D64" t="inlineStr">
        <is>
          <t>SA</t>
        </is>
      </c>
      <c r="E64" s="5" t="inlineStr">
        <is>
          <t>https://data.bls.gov/timeseries/CUSR0000SS04012</t>
        </is>
      </c>
    </row>
    <row r="65">
      <c r="A65" s="5" t="inlineStr">
        <is>
          <t>CUUR0000SEFD02</t>
        </is>
      </c>
      <c r="B65" t="inlineStr">
        <is>
          <t>SEFD02</t>
        </is>
      </c>
      <c r="C65" t="inlineStr">
        <is>
          <t>Ham</t>
        </is>
      </c>
      <c r="D65" t="inlineStr">
        <is>
          <t>NSA</t>
        </is>
      </c>
      <c r="E65" s="5" t="inlineStr">
        <is>
          <t>https://data.bls.gov/timeseries/CUUR0000SEFD02</t>
        </is>
      </c>
    </row>
    <row r="66">
      <c r="A66" s="5" t="inlineStr">
        <is>
          <t>CUSR0000SEFD02</t>
        </is>
      </c>
      <c r="B66" t="inlineStr">
        <is>
          <t>SEFD02</t>
        </is>
      </c>
      <c r="C66" t="inlineStr">
        <is>
          <t>Ham</t>
        </is>
      </c>
      <c r="D66" t="inlineStr">
        <is>
          <t>SA</t>
        </is>
      </c>
      <c r="E66" s="5" t="inlineStr">
        <is>
          <t>https://data.bls.gov/timeseries/CUSR0000SEFD02</t>
        </is>
      </c>
    </row>
    <row r="67">
      <c r="A67" s="5" t="inlineStr">
        <is>
          <t>CUUR0000SS04031</t>
        </is>
      </c>
      <c r="B67" t="inlineStr">
        <is>
          <t>SS04031</t>
        </is>
      </c>
      <c r="C67" t="inlineStr">
        <is>
          <t>Ham, excluding canned</t>
        </is>
      </c>
      <c r="D67" t="inlineStr">
        <is>
          <t>NSA</t>
        </is>
      </c>
      <c r="E67" s="5" t="inlineStr">
        <is>
          <t>https://data.bls.gov/timeseries/CUUR0000SS04031</t>
        </is>
      </c>
    </row>
    <row r="68">
      <c r="A68" s="5" t="inlineStr">
        <is>
          <t>CUSR0000SS04031</t>
        </is>
      </c>
      <c r="B68" t="inlineStr">
        <is>
          <t>SS04031</t>
        </is>
      </c>
      <c r="C68" t="inlineStr">
        <is>
          <t>Ham, excluding canned</t>
        </is>
      </c>
      <c r="D68" t="inlineStr">
        <is>
          <t>SA</t>
        </is>
      </c>
      <c r="E68" s="5" t="inlineStr">
        <is>
          <t>https://data.bls.gov/timeseries/CUSR0000SS04031</t>
        </is>
      </c>
    </row>
    <row r="69">
      <c r="A69" s="5" t="inlineStr">
        <is>
          <t>CUUR0000SEFD03</t>
        </is>
      </c>
      <c r="B69" t="inlineStr">
        <is>
          <t>SEFD03</t>
        </is>
      </c>
      <c r="C69" t="inlineStr">
        <is>
          <t>Pork chops</t>
        </is>
      </c>
      <c r="D69" t="inlineStr">
        <is>
          <t>NSA</t>
        </is>
      </c>
      <c r="E69" s="5" t="inlineStr">
        <is>
          <t>https://data.bls.gov/timeseries/CUUR0000SEFD03</t>
        </is>
      </c>
    </row>
    <row r="70">
      <c r="A70" s="5" t="inlineStr">
        <is>
          <t>CUSR0000SEFD03</t>
        </is>
      </c>
      <c r="B70" t="inlineStr">
        <is>
          <t>SEFD03</t>
        </is>
      </c>
      <c r="C70" t="inlineStr">
        <is>
          <t>Pork chops</t>
        </is>
      </c>
      <c r="D70" t="inlineStr">
        <is>
          <t>SA</t>
        </is>
      </c>
      <c r="E70" s="5" t="inlineStr">
        <is>
          <t>https://data.bls.gov/timeseries/CUSR0000SEFD03</t>
        </is>
      </c>
    </row>
    <row r="71">
      <c r="A71" s="5" t="inlineStr">
        <is>
          <t>CUUR0000SEFD04</t>
        </is>
      </c>
      <c r="B71" t="inlineStr">
        <is>
          <t>SEFD04</t>
        </is>
      </c>
      <c r="C71" t="inlineStr">
        <is>
          <t>Other pork including roasts, steaks, and ribs</t>
        </is>
      </c>
      <c r="D71" t="inlineStr">
        <is>
          <t>NSA</t>
        </is>
      </c>
      <c r="E71" s="5" t="inlineStr">
        <is>
          <t>https://data.bls.gov/timeseries/CUUR0000SEFD04</t>
        </is>
      </c>
    </row>
    <row r="72">
      <c r="A72" s="5" t="inlineStr">
        <is>
          <t>CUSR0000SEFD04</t>
        </is>
      </c>
      <c r="B72" t="inlineStr">
        <is>
          <t>SEFD04</t>
        </is>
      </c>
      <c r="C72" t="inlineStr">
        <is>
          <t>Other pork including roasts, steaks, and ribs</t>
        </is>
      </c>
      <c r="D72" t="inlineStr">
        <is>
          <t>SA</t>
        </is>
      </c>
      <c r="E72" s="5" t="inlineStr">
        <is>
          <t>https://data.bls.gov/timeseries/CUSR0000SEFD04</t>
        </is>
      </c>
    </row>
    <row r="73">
      <c r="A73" s="5" t="inlineStr">
        <is>
          <t>CUUR0000SEFE</t>
        </is>
      </c>
      <c r="B73" t="inlineStr">
        <is>
          <t>SEFE</t>
        </is>
      </c>
      <c r="C73" t="inlineStr">
        <is>
          <t>Other meats</t>
        </is>
      </c>
      <c r="D73" t="inlineStr">
        <is>
          <t>NSA</t>
        </is>
      </c>
      <c r="E73" s="5" t="inlineStr">
        <is>
          <t>https://data.bls.gov/timeseries/CUUR0000SEFE</t>
        </is>
      </c>
    </row>
    <row r="74">
      <c r="A74" s="5" t="inlineStr">
        <is>
          <t>CUSR0000SEFE</t>
        </is>
      </c>
      <c r="B74" t="inlineStr">
        <is>
          <t>SEFE</t>
        </is>
      </c>
      <c r="C74" t="inlineStr">
        <is>
          <t>Other meats</t>
        </is>
      </c>
      <c r="D74" t="inlineStr">
        <is>
          <t>SA</t>
        </is>
      </c>
      <c r="E74" s="5" t="inlineStr">
        <is>
          <t>https://data.bls.gov/timeseries/CUSR0000SEFE</t>
        </is>
      </c>
    </row>
    <row r="75">
      <c r="A75" s="5" t="inlineStr">
        <is>
          <t>CUUR0000SS05011</t>
        </is>
      </c>
      <c r="B75" t="inlineStr">
        <is>
          <t>SS05011</t>
        </is>
      </c>
      <c r="C75" t="inlineStr">
        <is>
          <t>Frankfurters</t>
        </is>
      </c>
      <c r="D75" t="inlineStr">
        <is>
          <t>NSA</t>
        </is>
      </c>
      <c r="E75" s="5" t="inlineStr">
        <is>
          <t>https://data.bls.gov/timeseries/CUUR0000SS05011</t>
        </is>
      </c>
    </row>
    <row r="76">
      <c r="A76" s="5" t="inlineStr">
        <is>
          <t>CUSR0000SS05011</t>
        </is>
      </c>
      <c r="B76" t="inlineStr">
        <is>
          <t>SS05011</t>
        </is>
      </c>
      <c r="C76" t="inlineStr">
        <is>
          <t>Frankfurters</t>
        </is>
      </c>
      <c r="D76" t="inlineStr">
        <is>
          <t>SA</t>
        </is>
      </c>
      <c r="E76" s="5" t="inlineStr">
        <is>
          <t>https://data.bls.gov/timeseries/CUSR0000SS05011</t>
        </is>
      </c>
    </row>
    <row r="77">
      <c r="A77" s="5" t="inlineStr">
        <is>
          <t>CUUR0000SS0501A</t>
        </is>
      </c>
      <c r="B77" t="inlineStr">
        <is>
          <t>SS0501A</t>
        </is>
      </c>
      <c r="C77" t="inlineStr">
        <is>
          <t>Lunchmeats</t>
        </is>
      </c>
      <c r="D77" t="inlineStr">
        <is>
          <t>NSA</t>
        </is>
      </c>
      <c r="E77" s="5" t="inlineStr">
        <is>
          <t>https://data.bls.gov/timeseries/CUUR0000SS0501A</t>
        </is>
      </c>
    </row>
    <row r="78">
      <c r="A78" s="5" t="inlineStr">
        <is>
          <t>CUSR0000SS0501A</t>
        </is>
      </c>
      <c r="B78" t="inlineStr">
        <is>
          <t>SS0501A</t>
        </is>
      </c>
      <c r="C78" t="inlineStr">
        <is>
          <t>Lunchmeats</t>
        </is>
      </c>
      <c r="D78" t="inlineStr">
        <is>
          <t>SA</t>
        </is>
      </c>
      <c r="E78" s="5" t="inlineStr">
        <is>
          <t>https://data.bls.gov/timeseries/CUSR0000SS0501A</t>
        </is>
      </c>
    </row>
    <row r="79">
      <c r="A79" s="5" t="inlineStr">
        <is>
          <t>CUUR0000SS05014</t>
        </is>
      </c>
      <c r="B79" t="inlineStr">
        <is>
          <t>SS05014</t>
        </is>
      </c>
      <c r="C79" t="inlineStr">
        <is>
          <t>Lamb and organ meats</t>
        </is>
      </c>
      <c r="D79" t="inlineStr">
        <is>
          <t>NSA</t>
        </is>
      </c>
      <c r="E79" s="5" t="inlineStr">
        <is>
          <t>https://data.bls.gov/timeseries/CUUR0000SS05014</t>
        </is>
      </c>
    </row>
    <row r="80">
      <c r="A80" s="5" t="inlineStr">
        <is>
          <t>CUUR0000SS05015</t>
        </is>
      </c>
      <c r="B80" t="inlineStr">
        <is>
          <t>SS05015</t>
        </is>
      </c>
      <c r="C80" t="inlineStr">
        <is>
          <t>Lamb and mutton</t>
        </is>
      </c>
      <c r="D80" t="inlineStr">
        <is>
          <t>NSA</t>
        </is>
      </c>
      <c r="E80" s="5" t="inlineStr">
        <is>
          <t>https://data.bls.gov/timeseries/CUUR0000SS05015</t>
        </is>
      </c>
    </row>
    <row r="81">
      <c r="A81" s="5" t="inlineStr">
        <is>
          <t>CUUR0000SEFF</t>
        </is>
      </c>
      <c r="B81" t="inlineStr">
        <is>
          <t>SEFF</t>
        </is>
      </c>
      <c r="C81" t="inlineStr">
        <is>
          <t>Poultry</t>
        </is>
      </c>
      <c r="D81" t="inlineStr">
        <is>
          <t>NSA</t>
        </is>
      </c>
      <c r="E81" s="5" t="inlineStr">
        <is>
          <t>https://data.bls.gov/timeseries/CUUR0000SEFF</t>
        </is>
      </c>
    </row>
    <row r="82">
      <c r="A82" s="5" t="inlineStr">
        <is>
          <t>CUSR0000SEFF</t>
        </is>
      </c>
      <c r="B82" t="inlineStr">
        <is>
          <t>SEFF</t>
        </is>
      </c>
      <c r="C82" t="inlineStr">
        <is>
          <t>Poultry</t>
        </is>
      </c>
      <c r="D82" t="inlineStr">
        <is>
          <t>SA</t>
        </is>
      </c>
      <c r="E82" s="5" t="inlineStr">
        <is>
          <t>https://data.bls.gov/timeseries/CUSR0000SEFF</t>
        </is>
      </c>
    </row>
    <row r="83">
      <c r="A83" s="5" t="inlineStr">
        <is>
          <t>CUUR0000SEFF01</t>
        </is>
      </c>
      <c r="B83" t="inlineStr">
        <is>
          <t>SEFF01</t>
        </is>
      </c>
      <c r="C83" t="inlineStr">
        <is>
          <t>Chicken</t>
        </is>
      </c>
      <c r="D83" t="inlineStr">
        <is>
          <t>NSA</t>
        </is>
      </c>
      <c r="E83" s="5" t="inlineStr">
        <is>
          <t>https://data.bls.gov/timeseries/CUUR0000SEFF01</t>
        </is>
      </c>
    </row>
    <row r="84">
      <c r="A84" s="5" t="inlineStr">
        <is>
          <t>CUSR0000SEFF01</t>
        </is>
      </c>
      <c r="B84" t="inlineStr">
        <is>
          <t>SEFF01</t>
        </is>
      </c>
      <c r="C84" t="inlineStr">
        <is>
          <t>Chicken</t>
        </is>
      </c>
      <c r="D84" t="inlineStr">
        <is>
          <t>SA</t>
        </is>
      </c>
      <c r="E84" s="5" t="inlineStr">
        <is>
          <t>https://data.bls.gov/timeseries/CUSR0000SEFF01</t>
        </is>
      </c>
    </row>
    <row r="85">
      <c r="A85" s="5" t="inlineStr">
        <is>
          <t>CUUR0000SS06011</t>
        </is>
      </c>
      <c r="B85" t="inlineStr">
        <is>
          <t>SS06011</t>
        </is>
      </c>
      <c r="C85" t="inlineStr">
        <is>
          <t>Fresh whole chicken</t>
        </is>
      </c>
      <c r="D85" t="inlineStr">
        <is>
          <t>NSA</t>
        </is>
      </c>
      <c r="E85" s="5" t="inlineStr">
        <is>
          <t>https://data.bls.gov/timeseries/CUUR0000SS06011</t>
        </is>
      </c>
    </row>
    <row r="86">
      <c r="A86" s="5" t="inlineStr">
        <is>
          <t>CUSR0000SS06011</t>
        </is>
      </c>
      <c r="B86" t="inlineStr">
        <is>
          <t>SS06011</t>
        </is>
      </c>
      <c r="C86" t="inlineStr">
        <is>
          <t>Fresh whole chicken</t>
        </is>
      </c>
      <c r="D86" t="inlineStr">
        <is>
          <t>SA</t>
        </is>
      </c>
      <c r="E86" s="5" t="inlineStr">
        <is>
          <t>https://data.bls.gov/timeseries/CUSR0000SS06011</t>
        </is>
      </c>
    </row>
    <row r="87">
      <c r="A87" s="5" t="inlineStr">
        <is>
          <t>CUUR0000SS06021</t>
        </is>
      </c>
      <c r="B87" t="inlineStr">
        <is>
          <t>SS06021</t>
        </is>
      </c>
      <c r="C87" t="inlineStr">
        <is>
          <t>Fresh and frozen chicken parts</t>
        </is>
      </c>
      <c r="D87" t="inlineStr">
        <is>
          <t>NSA</t>
        </is>
      </c>
      <c r="E87" s="5" t="inlineStr">
        <is>
          <t>https://data.bls.gov/timeseries/CUUR0000SS06021</t>
        </is>
      </c>
    </row>
    <row r="88">
      <c r="A88" s="5" t="inlineStr">
        <is>
          <t>CUSR0000SS06021</t>
        </is>
      </c>
      <c r="B88" t="inlineStr">
        <is>
          <t>SS06021</t>
        </is>
      </c>
      <c r="C88" t="inlineStr">
        <is>
          <t>Fresh and frozen chicken parts</t>
        </is>
      </c>
      <c r="D88" t="inlineStr">
        <is>
          <t>SA</t>
        </is>
      </c>
      <c r="E88" s="5" t="inlineStr">
        <is>
          <t>https://data.bls.gov/timeseries/CUSR0000SS06021</t>
        </is>
      </c>
    </row>
    <row r="89">
      <c r="A89" s="5" t="inlineStr">
        <is>
          <t>CUUR0000SEFF02</t>
        </is>
      </c>
      <c r="B89" t="inlineStr">
        <is>
          <t>SEFF02</t>
        </is>
      </c>
      <c r="C89" t="inlineStr">
        <is>
          <t>Other uncooked poultry including turkey</t>
        </is>
      </c>
      <c r="D89" t="inlineStr">
        <is>
          <t>NSA</t>
        </is>
      </c>
      <c r="E89" s="5" t="inlineStr">
        <is>
          <t>https://data.bls.gov/timeseries/CUUR0000SEFF02</t>
        </is>
      </c>
    </row>
    <row r="90">
      <c r="A90" s="5" t="inlineStr">
        <is>
          <t>CUSR0000SEFF02</t>
        </is>
      </c>
      <c r="B90" t="inlineStr">
        <is>
          <t>SEFF02</t>
        </is>
      </c>
      <c r="C90" t="inlineStr">
        <is>
          <t>Other uncooked poultry including turkey</t>
        </is>
      </c>
      <c r="D90" t="inlineStr">
        <is>
          <t>SA</t>
        </is>
      </c>
      <c r="E90" s="5" t="inlineStr">
        <is>
          <t>https://data.bls.gov/timeseries/CUSR0000SEFF02</t>
        </is>
      </c>
    </row>
    <row r="91">
      <c r="A91" s="5" t="inlineStr">
        <is>
          <t>CUUR0000SEFG</t>
        </is>
      </c>
      <c r="B91" t="inlineStr">
        <is>
          <t>SEFG</t>
        </is>
      </c>
      <c r="C91" t="inlineStr">
        <is>
          <t>Fish and seafood</t>
        </is>
      </c>
      <c r="D91" t="inlineStr">
        <is>
          <t>NSA</t>
        </is>
      </c>
      <c r="E91" s="5" t="inlineStr">
        <is>
          <t>https://data.bls.gov/timeseries/CUUR0000SEFG</t>
        </is>
      </c>
    </row>
    <row r="92">
      <c r="A92" s="5" t="inlineStr">
        <is>
          <t>CUSR0000SEFG</t>
        </is>
      </c>
      <c r="B92" t="inlineStr">
        <is>
          <t>SEFG</t>
        </is>
      </c>
      <c r="C92" t="inlineStr">
        <is>
          <t>Fish and seafood</t>
        </is>
      </c>
      <c r="D92" t="inlineStr">
        <is>
          <t>SA</t>
        </is>
      </c>
      <c r="E92" s="5" t="inlineStr">
        <is>
          <t>https://data.bls.gov/timeseries/CUSR0000SEFG</t>
        </is>
      </c>
    </row>
    <row r="93">
      <c r="A93" s="5" t="inlineStr">
        <is>
          <t>CUUR0000SEFG01</t>
        </is>
      </c>
      <c r="B93" t="inlineStr">
        <is>
          <t>SEFG01</t>
        </is>
      </c>
      <c r="C93" t="inlineStr">
        <is>
          <t>Fresh fish and seafood</t>
        </is>
      </c>
      <c r="D93" t="inlineStr">
        <is>
          <t>NSA</t>
        </is>
      </c>
      <c r="E93" s="5" t="inlineStr">
        <is>
          <t>https://data.bls.gov/timeseries/CUUR0000SEFG01</t>
        </is>
      </c>
    </row>
    <row r="94">
      <c r="A94" s="5" t="inlineStr">
        <is>
          <t>CUSR0000SEFG01</t>
        </is>
      </c>
      <c r="B94" t="inlineStr">
        <is>
          <t>SEFG01</t>
        </is>
      </c>
      <c r="C94" t="inlineStr">
        <is>
          <t>Fresh fish and seafood</t>
        </is>
      </c>
      <c r="D94" t="inlineStr">
        <is>
          <t>SA</t>
        </is>
      </c>
      <c r="E94" s="5" t="inlineStr">
        <is>
          <t>https://data.bls.gov/timeseries/CUSR0000SEFG01</t>
        </is>
      </c>
    </row>
    <row r="95">
      <c r="A95" s="5" t="inlineStr">
        <is>
          <t>CUUR0000SEFG02</t>
        </is>
      </c>
      <c r="B95" t="inlineStr">
        <is>
          <t>SEFG02</t>
        </is>
      </c>
      <c r="C95" t="inlineStr">
        <is>
          <t>Processed fish and seafood</t>
        </is>
      </c>
      <c r="D95" t="inlineStr">
        <is>
          <t>NSA</t>
        </is>
      </c>
      <c r="E95" s="5" t="inlineStr">
        <is>
          <t>https://data.bls.gov/timeseries/CUUR0000SEFG02</t>
        </is>
      </c>
    </row>
    <row r="96">
      <c r="A96" s="5" t="inlineStr">
        <is>
          <t>CUSR0000SEFG02</t>
        </is>
      </c>
      <c r="B96" t="inlineStr">
        <is>
          <t>SEFG02</t>
        </is>
      </c>
      <c r="C96" t="inlineStr">
        <is>
          <t>Processed fish and seafood</t>
        </is>
      </c>
      <c r="D96" t="inlineStr">
        <is>
          <t>SA</t>
        </is>
      </c>
      <c r="E96" s="5" t="inlineStr">
        <is>
          <t>https://data.bls.gov/timeseries/CUSR0000SEFG02</t>
        </is>
      </c>
    </row>
    <row r="97">
      <c r="A97" s="5" t="inlineStr">
        <is>
          <t>CUUR0000SS07011</t>
        </is>
      </c>
      <c r="B97" t="inlineStr">
        <is>
          <t>SS07011</t>
        </is>
      </c>
      <c r="C97" t="inlineStr">
        <is>
          <t>Shelf stable fish and seafood</t>
        </is>
      </c>
      <c r="D97" t="inlineStr">
        <is>
          <t>NSA</t>
        </is>
      </c>
      <c r="E97" s="5" t="inlineStr">
        <is>
          <t>https://data.bls.gov/timeseries/CUUR0000SS07011</t>
        </is>
      </c>
    </row>
    <row r="98">
      <c r="A98" s="5" t="inlineStr">
        <is>
          <t>CUSR0000SS07011</t>
        </is>
      </c>
      <c r="B98" t="inlineStr">
        <is>
          <t>SS07011</t>
        </is>
      </c>
      <c r="C98" t="inlineStr">
        <is>
          <t>Shelf stable fish and seafood</t>
        </is>
      </c>
      <c r="D98" t="inlineStr">
        <is>
          <t>SA</t>
        </is>
      </c>
      <c r="E98" s="5" t="inlineStr">
        <is>
          <t>https://data.bls.gov/timeseries/CUSR0000SS07011</t>
        </is>
      </c>
    </row>
    <row r="99">
      <c r="A99" s="5" t="inlineStr">
        <is>
          <t>CUUR0000SS07021</t>
        </is>
      </c>
      <c r="B99" t="inlineStr">
        <is>
          <t>SS07021</t>
        </is>
      </c>
      <c r="C99" t="inlineStr">
        <is>
          <t>Frozen fish and seafood</t>
        </is>
      </c>
      <c r="D99" t="inlineStr">
        <is>
          <t>NSA</t>
        </is>
      </c>
      <c r="E99" s="5" t="inlineStr">
        <is>
          <t>https://data.bls.gov/timeseries/CUUR0000SS07021</t>
        </is>
      </c>
    </row>
    <row r="100">
      <c r="A100" s="5" t="inlineStr">
        <is>
          <t>CUSR0000SS07021</t>
        </is>
      </c>
      <c r="B100" t="inlineStr">
        <is>
          <t>SS07021</t>
        </is>
      </c>
      <c r="C100" t="inlineStr">
        <is>
          <t>Frozen fish and seafood</t>
        </is>
      </c>
      <c r="D100" t="inlineStr">
        <is>
          <t>SA</t>
        </is>
      </c>
      <c r="E100" s="5" t="inlineStr">
        <is>
          <t>https://data.bls.gov/timeseries/CUSR0000SS07021</t>
        </is>
      </c>
    </row>
    <row r="101">
      <c r="A101" s="5" t="inlineStr">
        <is>
          <t>CUUR0000SEFH</t>
        </is>
      </c>
      <c r="B101" t="inlineStr">
        <is>
          <t>SEFH</t>
        </is>
      </c>
      <c r="C101" t="inlineStr">
        <is>
          <t>Eggs</t>
        </is>
      </c>
      <c r="D101" t="inlineStr">
        <is>
          <t>NSA</t>
        </is>
      </c>
      <c r="E101" s="5" t="inlineStr">
        <is>
          <t>https://data.bls.gov/timeseries/CUUR0000SEFH</t>
        </is>
      </c>
    </row>
    <row r="102">
      <c r="A102" s="5" t="inlineStr">
        <is>
          <t>CUSR0000SEFH</t>
        </is>
      </c>
      <c r="B102" t="inlineStr">
        <is>
          <t>SEFH</t>
        </is>
      </c>
      <c r="C102" t="inlineStr">
        <is>
          <t>Eggs</t>
        </is>
      </c>
      <c r="D102" t="inlineStr">
        <is>
          <t>SA</t>
        </is>
      </c>
      <c r="E102" s="5" t="inlineStr">
        <is>
          <t>https://data.bls.gov/timeseries/CUSR0000SEFH</t>
        </is>
      </c>
    </row>
    <row r="103">
      <c r="A103" s="5" t="inlineStr">
        <is>
          <t>CUUR0000SEFJ</t>
        </is>
      </c>
      <c r="B103" t="inlineStr">
        <is>
          <t>SEFJ</t>
        </is>
      </c>
      <c r="C103" t="inlineStr">
        <is>
          <t>Dairy and related products</t>
        </is>
      </c>
      <c r="D103" t="inlineStr">
        <is>
          <t>NSA</t>
        </is>
      </c>
      <c r="E103" s="5" t="inlineStr">
        <is>
          <t>https://data.bls.gov/timeseries/CUUR0000SEFJ</t>
        </is>
      </c>
    </row>
    <row r="104">
      <c r="A104" s="5" t="inlineStr">
        <is>
          <t>CUSR0000SEFJ</t>
        </is>
      </c>
      <c r="B104" t="inlineStr">
        <is>
          <t>SEFJ</t>
        </is>
      </c>
      <c r="C104" t="inlineStr">
        <is>
          <t>Dairy and related products</t>
        </is>
      </c>
      <c r="D104" t="inlineStr">
        <is>
          <t>SA</t>
        </is>
      </c>
      <c r="E104" s="5" t="inlineStr">
        <is>
          <t>https://data.bls.gov/timeseries/CUSR0000SEFJ</t>
        </is>
      </c>
    </row>
    <row r="105">
      <c r="A105" s="5" t="inlineStr">
        <is>
          <t>CUUR0000SEFJ01</t>
        </is>
      </c>
      <c r="B105" t="inlineStr">
        <is>
          <t>SEFJ01</t>
        </is>
      </c>
      <c r="C105" t="inlineStr">
        <is>
          <t>Milk</t>
        </is>
      </c>
      <c r="D105" t="inlineStr">
        <is>
          <t>NSA</t>
        </is>
      </c>
      <c r="E105" s="5" t="inlineStr">
        <is>
          <t>https://data.bls.gov/timeseries/CUUR0000SEFJ01</t>
        </is>
      </c>
    </row>
    <row r="106">
      <c r="A106" s="5" t="inlineStr">
        <is>
          <t>CUSR0000SEFJ01</t>
        </is>
      </c>
      <c r="B106" t="inlineStr">
        <is>
          <t>SEFJ01</t>
        </is>
      </c>
      <c r="C106" t="inlineStr">
        <is>
          <t>Milk</t>
        </is>
      </c>
      <c r="D106" t="inlineStr">
        <is>
          <t>SA</t>
        </is>
      </c>
      <c r="E106" s="5" t="inlineStr">
        <is>
          <t>https://data.bls.gov/timeseries/CUSR0000SEFJ01</t>
        </is>
      </c>
    </row>
    <row r="107">
      <c r="A107" s="5" t="inlineStr">
        <is>
          <t>CUUR0000SS09011</t>
        </is>
      </c>
      <c r="B107" t="inlineStr">
        <is>
          <t>SS09011</t>
        </is>
      </c>
      <c r="C107" t="inlineStr">
        <is>
          <t>Fresh whole milk</t>
        </is>
      </c>
      <c r="D107" t="inlineStr">
        <is>
          <t>NSA</t>
        </is>
      </c>
      <c r="E107" s="5" t="inlineStr">
        <is>
          <t>https://data.bls.gov/timeseries/CUUR0000SS09011</t>
        </is>
      </c>
    </row>
    <row r="108">
      <c r="A108" s="5" t="inlineStr">
        <is>
          <t>CUSR0000SS09011</t>
        </is>
      </c>
      <c r="B108" t="inlineStr">
        <is>
          <t>SS09011</t>
        </is>
      </c>
      <c r="C108" t="inlineStr">
        <is>
          <t>Fresh whole milk</t>
        </is>
      </c>
      <c r="D108" t="inlineStr">
        <is>
          <t>SA</t>
        </is>
      </c>
      <c r="E108" s="5" t="inlineStr">
        <is>
          <t>https://data.bls.gov/timeseries/CUSR0000SS09011</t>
        </is>
      </c>
    </row>
    <row r="109">
      <c r="A109" s="5" t="inlineStr">
        <is>
          <t>CUUR0000SS09021</t>
        </is>
      </c>
      <c r="B109" t="inlineStr">
        <is>
          <t>SS09021</t>
        </is>
      </c>
      <c r="C109" t="inlineStr">
        <is>
          <t>Fresh milk other than whole</t>
        </is>
      </c>
      <c r="D109" t="inlineStr">
        <is>
          <t>NSA</t>
        </is>
      </c>
      <c r="E109" s="5" t="inlineStr">
        <is>
          <t>https://data.bls.gov/timeseries/CUUR0000SS09021</t>
        </is>
      </c>
    </row>
    <row r="110">
      <c r="A110" s="5" t="inlineStr">
        <is>
          <t>CUSR0000SS09021</t>
        </is>
      </c>
      <c r="B110" t="inlineStr">
        <is>
          <t>SS09021</t>
        </is>
      </c>
      <c r="C110" t="inlineStr">
        <is>
          <t>Fresh milk other than whole</t>
        </is>
      </c>
      <c r="D110" t="inlineStr">
        <is>
          <t>SA</t>
        </is>
      </c>
      <c r="E110" s="5" t="inlineStr">
        <is>
          <t>https://data.bls.gov/timeseries/CUSR0000SS09021</t>
        </is>
      </c>
    </row>
    <row r="111">
      <c r="A111" s="5" t="inlineStr">
        <is>
          <t>CUUR0000SEFJ02</t>
        </is>
      </c>
      <c r="B111" t="inlineStr">
        <is>
          <t>SEFJ02</t>
        </is>
      </c>
      <c r="C111" t="inlineStr">
        <is>
          <t>Cheese and related products</t>
        </is>
      </c>
      <c r="D111" t="inlineStr">
        <is>
          <t>NSA</t>
        </is>
      </c>
      <c r="E111" s="5" t="inlineStr">
        <is>
          <t>https://data.bls.gov/timeseries/CUUR0000SEFJ02</t>
        </is>
      </c>
    </row>
    <row r="112">
      <c r="A112" s="5" t="inlineStr">
        <is>
          <t>CUSR0000SEFJ02</t>
        </is>
      </c>
      <c r="B112" t="inlineStr">
        <is>
          <t>SEFJ02</t>
        </is>
      </c>
      <c r="C112" t="inlineStr">
        <is>
          <t>Cheese and related products</t>
        </is>
      </c>
      <c r="D112" t="inlineStr">
        <is>
          <t>SA</t>
        </is>
      </c>
      <c r="E112" s="5" t="inlineStr">
        <is>
          <t>https://data.bls.gov/timeseries/CUSR0000SEFJ02</t>
        </is>
      </c>
    </row>
    <row r="113">
      <c r="A113" s="5" t="inlineStr">
        <is>
          <t>CUUR0000SEFJ03</t>
        </is>
      </c>
      <c r="B113" t="inlineStr">
        <is>
          <t>SEFJ03</t>
        </is>
      </c>
      <c r="C113" t="inlineStr">
        <is>
          <t>Ice cream and related products</t>
        </is>
      </c>
      <c r="D113" t="inlineStr">
        <is>
          <t>NSA</t>
        </is>
      </c>
      <c r="E113" s="5" t="inlineStr">
        <is>
          <t>https://data.bls.gov/timeseries/CUUR0000SEFJ03</t>
        </is>
      </c>
    </row>
    <row r="114">
      <c r="A114" s="5" t="inlineStr">
        <is>
          <t>CUSR0000SEFJ03</t>
        </is>
      </c>
      <c r="B114" t="inlineStr">
        <is>
          <t>SEFJ03</t>
        </is>
      </c>
      <c r="C114" t="inlineStr">
        <is>
          <t>Ice cream and related products</t>
        </is>
      </c>
      <c r="D114" t="inlineStr">
        <is>
          <t>SA</t>
        </is>
      </c>
      <c r="E114" s="5" t="inlineStr">
        <is>
          <t>https://data.bls.gov/timeseries/CUSR0000SEFJ03</t>
        </is>
      </c>
    </row>
    <row r="115">
      <c r="A115" s="5" t="inlineStr">
        <is>
          <t>CUUR0000SEFJ04</t>
        </is>
      </c>
      <c r="B115" t="inlineStr">
        <is>
          <t>SEFJ04</t>
        </is>
      </c>
      <c r="C115" t="inlineStr">
        <is>
          <t>Other dairy and related products</t>
        </is>
      </c>
      <c r="D115" t="inlineStr">
        <is>
          <t>NSA</t>
        </is>
      </c>
      <c r="E115" s="5" t="inlineStr">
        <is>
          <t>https://data.bls.gov/timeseries/CUUR0000SEFJ04</t>
        </is>
      </c>
    </row>
    <row r="116">
      <c r="A116" s="5" t="inlineStr">
        <is>
          <t>CUSR0000SEFJ04</t>
        </is>
      </c>
      <c r="B116" t="inlineStr">
        <is>
          <t>SEFJ04</t>
        </is>
      </c>
      <c r="C116" t="inlineStr">
        <is>
          <t>Other dairy and related products</t>
        </is>
      </c>
      <c r="D116" t="inlineStr">
        <is>
          <t>SA</t>
        </is>
      </c>
      <c r="E116" s="5" t="inlineStr">
        <is>
          <t>https://data.bls.gov/timeseries/CUSR0000SEFJ04</t>
        </is>
      </c>
    </row>
    <row r="117">
      <c r="A117" s="5" t="inlineStr">
        <is>
          <t>CUUR0000SAF113</t>
        </is>
      </c>
      <c r="B117" t="inlineStr">
        <is>
          <t>SAF113</t>
        </is>
      </c>
      <c r="C117" t="inlineStr">
        <is>
          <t>Fruits and vegetables</t>
        </is>
      </c>
      <c r="D117" t="inlineStr">
        <is>
          <t>NSA</t>
        </is>
      </c>
      <c r="E117" s="5" t="inlineStr">
        <is>
          <t>https://data.bls.gov/timeseries/CUUR0000SAF113</t>
        </is>
      </c>
    </row>
    <row r="118">
      <c r="A118" s="5" t="inlineStr">
        <is>
          <t>CUSR0000SAF113</t>
        </is>
      </c>
      <c r="B118" t="inlineStr">
        <is>
          <t>SAF113</t>
        </is>
      </c>
      <c r="C118" t="inlineStr">
        <is>
          <t>Fruits and vegetables</t>
        </is>
      </c>
      <c r="D118" t="inlineStr">
        <is>
          <t>SA</t>
        </is>
      </c>
      <c r="E118" s="5" t="inlineStr">
        <is>
          <t>https://data.bls.gov/timeseries/CUSR0000SAF113</t>
        </is>
      </c>
    </row>
    <row r="119">
      <c r="A119" s="5" t="inlineStr">
        <is>
          <t>CUUR0000SAF1131</t>
        </is>
      </c>
      <c r="B119" t="inlineStr">
        <is>
          <t>SAF1131</t>
        </is>
      </c>
      <c r="C119" t="inlineStr">
        <is>
          <t>Fresh fruits and vegetables</t>
        </is>
      </c>
      <c r="D119" t="inlineStr">
        <is>
          <t>NSA</t>
        </is>
      </c>
      <c r="E119" s="5" t="inlineStr">
        <is>
          <t>https://data.bls.gov/timeseries/CUUR0000SAF1131</t>
        </is>
      </c>
    </row>
    <row r="120">
      <c r="A120" s="5" t="inlineStr">
        <is>
          <t>CUSR0000SAF1131</t>
        </is>
      </c>
      <c r="B120" t="inlineStr">
        <is>
          <t>SAF1131</t>
        </is>
      </c>
      <c r="C120" t="inlineStr">
        <is>
          <t>Fresh fruits and vegetables</t>
        </is>
      </c>
      <c r="D120" t="inlineStr">
        <is>
          <t>SA</t>
        </is>
      </c>
      <c r="E120" s="5" t="inlineStr">
        <is>
          <t>https://data.bls.gov/timeseries/CUSR0000SAF1131</t>
        </is>
      </c>
    </row>
    <row r="121">
      <c r="A121" s="5" t="inlineStr">
        <is>
          <t>CUUR0000SEFK</t>
        </is>
      </c>
      <c r="B121" t="inlineStr">
        <is>
          <t>SEFK</t>
        </is>
      </c>
      <c r="C121" t="inlineStr">
        <is>
          <t>Fresh fruits</t>
        </is>
      </c>
      <c r="D121" t="inlineStr">
        <is>
          <t>NSA</t>
        </is>
      </c>
      <c r="E121" s="5" t="inlineStr">
        <is>
          <t>https://data.bls.gov/timeseries/CUUR0000SEFK</t>
        </is>
      </c>
    </row>
    <row r="122">
      <c r="A122" s="5" t="inlineStr">
        <is>
          <t>CUSR0000SEFK</t>
        </is>
      </c>
      <c r="B122" t="inlineStr">
        <is>
          <t>SEFK</t>
        </is>
      </c>
      <c r="C122" t="inlineStr">
        <is>
          <t>Fresh fruits</t>
        </is>
      </c>
      <c r="D122" t="inlineStr">
        <is>
          <t>SA</t>
        </is>
      </c>
      <c r="E122" s="5" t="inlineStr">
        <is>
          <t>https://data.bls.gov/timeseries/CUSR0000SEFK</t>
        </is>
      </c>
    </row>
    <row r="123">
      <c r="A123" s="5" t="inlineStr">
        <is>
          <t>CUUR0000SEFK01</t>
        </is>
      </c>
      <c r="B123" t="inlineStr">
        <is>
          <t>SEFK01</t>
        </is>
      </c>
      <c r="C123" t="inlineStr">
        <is>
          <t>Apples</t>
        </is>
      </c>
      <c r="D123" t="inlineStr">
        <is>
          <t>NSA</t>
        </is>
      </c>
      <c r="E123" s="5" t="inlineStr">
        <is>
          <t>https://data.bls.gov/timeseries/CUUR0000SEFK01</t>
        </is>
      </c>
    </row>
    <row r="124">
      <c r="A124" s="5" t="inlineStr">
        <is>
          <t>CUSR0000SEFK01</t>
        </is>
      </c>
      <c r="B124" t="inlineStr">
        <is>
          <t>SEFK01</t>
        </is>
      </c>
      <c r="C124" t="inlineStr">
        <is>
          <t>Apples</t>
        </is>
      </c>
      <c r="D124" t="inlineStr">
        <is>
          <t>SA</t>
        </is>
      </c>
      <c r="E124" s="5" t="inlineStr">
        <is>
          <t>https://data.bls.gov/timeseries/CUSR0000SEFK01</t>
        </is>
      </c>
    </row>
    <row r="125">
      <c r="A125" s="5" t="inlineStr">
        <is>
          <t>CUUR0000SEFK02</t>
        </is>
      </c>
      <c r="B125" t="inlineStr">
        <is>
          <t>SEFK02</t>
        </is>
      </c>
      <c r="C125" t="inlineStr">
        <is>
          <t>Bananas</t>
        </is>
      </c>
      <c r="D125" t="inlineStr">
        <is>
          <t>NSA</t>
        </is>
      </c>
      <c r="E125" s="5" t="inlineStr">
        <is>
          <t>https://data.bls.gov/timeseries/CUUR0000SEFK02</t>
        </is>
      </c>
    </row>
    <row r="126">
      <c r="A126" s="5" t="inlineStr">
        <is>
          <t>CUSR0000SEFK02</t>
        </is>
      </c>
      <c r="B126" t="inlineStr">
        <is>
          <t>SEFK02</t>
        </is>
      </c>
      <c r="C126" t="inlineStr">
        <is>
          <t>Bananas</t>
        </is>
      </c>
      <c r="D126" t="inlineStr">
        <is>
          <t>SA</t>
        </is>
      </c>
      <c r="E126" s="5" t="inlineStr">
        <is>
          <t>https://data.bls.gov/timeseries/CUSR0000SEFK02</t>
        </is>
      </c>
    </row>
    <row r="127">
      <c r="A127" s="5" t="inlineStr">
        <is>
          <t>CUUR0000SEFK03</t>
        </is>
      </c>
      <c r="B127" t="inlineStr">
        <is>
          <t>SEFK03</t>
        </is>
      </c>
      <c r="C127" t="inlineStr">
        <is>
          <t>Citrus fruits</t>
        </is>
      </c>
      <c r="D127" t="inlineStr">
        <is>
          <t>NSA</t>
        </is>
      </c>
      <c r="E127" s="5" t="inlineStr">
        <is>
          <t>https://data.bls.gov/timeseries/CUUR0000SEFK03</t>
        </is>
      </c>
    </row>
    <row r="128">
      <c r="A128" s="5" t="inlineStr">
        <is>
          <t>CUSR0000SEFK03</t>
        </is>
      </c>
      <c r="B128" t="inlineStr">
        <is>
          <t>SEFK03</t>
        </is>
      </c>
      <c r="C128" t="inlineStr">
        <is>
          <t>Citrus fruits</t>
        </is>
      </c>
      <c r="D128" t="inlineStr">
        <is>
          <t>SA</t>
        </is>
      </c>
      <c r="E128" s="5" t="inlineStr">
        <is>
          <t>https://data.bls.gov/timeseries/CUSR0000SEFK03</t>
        </is>
      </c>
    </row>
    <row r="129">
      <c r="A129" s="5" t="inlineStr">
        <is>
          <t>CUUR0000SS11031</t>
        </is>
      </c>
      <c r="B129" t="inlineStr">
        <is>
          <t>SS11031</t>
        </is>
      </c>
      <c r="C129" t="inlineStr">
        <is>
          <t>Oranges, including tangerines</t>
        </is>
      </c>
      <c r="D129" t="inlineStr">
        <is>
          <t>NSA</t>
        </is>
      </c>
      <c r="E129" s="5" t="inlineStr">
        <is>
          <t>https://data.bls.gov/timeseries/CUUR0000SS11031</t>
        </is>
      </c>
    </row>
    <row r="130">
      <c r="A130" s="5" t="inlineStr">
        <is>
          <t>CUSR0000SS11031</t>
        </is>
      </c>
      <c r="B130" t="inlineStr">
        <is>
          <t>SS11031</t>
        </is>
      </c>
      <c r="C130" t="inlineStr">
        <is>
          <t>Oranges, including tangerines</t>
        </is>
      </c>
      <c r="D130" t="inlineStr">
        <is>
          <t>SA</t>
        </is>
      </c>
      <c r="E130" s="5" t="inlineStr">
        <is>
          <t>https://data.bls.gov/timeseries/CUSR0000SS11031</t>
        </is>
      </c>
    </row>
    <row r="131">
      <c r="A131" s="5" t="inlineStr">
        <is>
          <t>CUUR0000SEFK04</t>
        </is>
      </c>
      <c r="B131" t="inlineStr">
        <is>
          <t>SEFK04</t>
        </is>
      </c>
      <c r="C131" t="inlineStr">
        <is>
          <t>Other fresh fruits</t>
        </is>
      </c>
      <c r="D131" t="inlineStr">
        <is>
          <t>NSA</t>
        </is>
      </c>
      <c r="E131" s="5" t="inlineStr">
        <is>
          <t>https://data.bls.gov/timeseries/CUUR0000SEFK04</t>
        </is>
      </c>
    </row>
    <row r="132">
      <c r="A132" s="5" t="inlineStr">
        <is>
          <t>CUSR0000SEFK04</t>
        </is>
      </c>
      <c r="B132" t="inlineStr">
        <is>
          <t>SEFK04</t>
        </is>
      </c>
      <c r="C132" t="inlineStr">
        <is>
          <t>Other fresh fruits</t>
        </is>
      </c>
      <c r="D132" t="inlineStr">
        <is>
          <t>SA</t>
        </is>
      </c>
      <c r="E132" s="5" t="inlineStr">
        <is>
          <t>https://data.bls.gov/timeseries/CUSR0000SEFK04</t>
        </is>
      </c>
    </row>
    <row r="133">
      <c r="A133" s="5" t="inlineStr">
        <is>
          <t>CUUR0000SEFL</t>
        </is>
      </c>
      <c r="B133" t="inlineStr">
        <is>
          <t>SEFL</t>
        </is>
      </c>
      <c r="C133" t="inlineStr">
        <is>
          <t>Fresh vegetables</t>
        </is>
      </c>
      <c r="D133" t="inlineStr">
        <is>
          <t>NSA</t>
        </is>
      </c>
      <c r="E133" s="5" t="inlineStr">
        <is>
          <t>https://data.bls.gov/timeseries/CUUR0000SEFL</t>
        </is>
      </c>
    </row>
    <row r="134">
      <c r="A134" s="5" t="inlineStr">
        <is>
          <t>CUSR0000SEFL</t>
        </is>
      </c>
      <c r="B134" t="inlineStr">
        <is>
          <t>SEFL</t>
        </is>
      </c>
      <c r="C134" t="inlineStr">
        <is>
          <t>Fresh vegetables</t>
        </is>
      </c>
      <c r="D134" t="inlineStr">
        <is>
          <t>SA</t>
        </is>
      </c>
      <c r="E134" s="5" t="inlineStr">
        <is>
          <t>https://data.bls.gov/timeseries/CUSR0000SEFL</t>
        </is>
      </c>
    </row>
    <row r="135">
      <c r="A135" s="5" t="inlineStr">
        <is>
          <t>CUUR0000SEFL01</t>
        </is>
      </c>
      <c r="B135" t="inlineStr">
        <is>
          <t>SEFL01</t>
        </is>
      </c>
      <c r="C135" t="inlineStr">
        <is>
          <t>Potatoes</t>
        </is>
      </c>
      <c r="D135" t="inlineStr">
        <is>
          <t>NSA</t>
        </is>
      </c>
      <c r="E135" s="5" t="inlineStr">
        <is>
          <t>https://data.bls.gov/timeseries/CUUR0000SEFL01</t>
        </is>
      </c>
    </row>
    <row r="136">
      <c r="A136" s="5" t="inlineStr">
        <is>
          <t>CUSR0000SEFL01</t>
        </is>
      </c>
      <c r="B136" t="inlineStr">
        <is>
          <t>SEFL01</t>
        </is>
      </c>
      <c r="C136" t="inlineStr">
        <is>
          <t>Potatoes</t>
        </is>
      </c>
      <c r="D136" t="inlineStr">
        <is>
          <t>SA</t>
        </is>
      </c>
      <c r="E136" s="5" t="inlineStr">
        <is>
          <t>https://data.bls.gov/timeseries/CUSR0000SEFL01</t>
        </is>
      </c>
    </row>
    <row r="137">
      <c r="A137" s="5" t="inlineStr">
        <is>
          <t>CUUR0000SEFL02</t>
        </is>
      </c>
      <c r="B137" t="inlineStr">
        <is>
          <t>SEFL02</t>
        </is>
      </c>
      <c r="C137" t="inlineStr">
        <is>
          <t>Lettuce</t>
        </is>
      </c>
      <c r="D137" t="inlineStr">
        <is>
          <t>NSA</t>
        </is>
      </c>
      <c r="E137" s="5" t="inlineStr">
        <is>
          <t>https://data.bls.gov/timeseries/CUUR0000SEFL02</t>
        </is>
      </c>
    </row>
    <row r="138">
      <c r="A138" s="5" t="inlineStr">
        <is>
          <t>CUSR0000SEFL02</t>
        </is>
      </c>
      <c r="B138" t="inlineStr">
        <is>
          <t>SEFL02</t>
        </is>
      </c>
      <c r="C138" t="inlineStr">
        <is>
          <t>Lettuce</t>
        </is>
      </c>
      <c r="D138" t="inlineStr">
        <is>
          <t>SA</t>
        </is>
      </c>
      <c r="E138" s="5" t="inlineStr">
        <is>
          <t>https://data.bls.gov/timeseries/CUSR0000SEFL02</t>
        </is>
      </c>
    </row>
    <row r="139">
      <c r="A139" s="5" t="inlineStr">
        <is>
          <t>CUUR0000SEFL03</t>
        </is>
      </c>
      <c r="B139" t="inlineStr">
        <is>
          <t>SEFL03</t>
        </is>
      </c>
      <c r="C139" t="inlineStr">
        <is>
          <t>Tomatoes</t>
        </is>
      </c>
      <c r="D139" t="inlineStr">
        <is>
          <t>NSA</t>
        </is>
      </c>
      <c r="E139" s="5" t="inlineStr">
        <is>
          <t>https://data.bls.gov/timeseries/CUUR0000SEFL03</t>
        </is>
      </c>
    </row>
    <row r="140">
      <c r="A140" s="5" t="inlineStr">
        <is>
          <t>CUSR0000SEFL03</t>
        </is>
      </c>
      <c r="B140" t="inlineStr">
        <is>
          <t>SEFL03</t>
        </is>
      </c>
      <c r="C140" t="inlineStr">
        <is>
          <t>Tomatoes</t>
        </is>
      </c>
      <c r="D140" t="inlineStr">
        <is>
          <t>SA</t>
        </is>
      </c>
      <c r="E140" s="5" t="inlineStr">
        <is>
          <t>https://data.bls.gov/timeseries/CUSR0000SEFL03</t>
        </is>
      </c>
    </row>
    <row r="141">
      <c r="A141" s="5" t="inlineStr">
        <is>
          <t>CUUR0000SEFL04</t>
        </is>
      </c>
      <c r="B141" t="inlineStr">
        <is>
          <t>SEFL04</t>
        </is>
      </c>
      <c r="C141" t="inlineStr">
        <is>
          <t>Other fresh vegetables</t>
        </is>
      </c>
      <c r="D141" t="inlineStr">
        <is>
          <t>NSA</t>
        </is>
      </c>
      <c r="E141" s="5" t="inlineStr">
        <is>
          <t>https://data.bls.gov/timeseries/CUUR0000SEFL04</t>
        </is>
      </c>
    </row>
    <row r="142">
      <c r="A142" s="5" t="inlineStr">
        <is>
          <t>CUSR0000SEFL04</t>
        </is>
      </c>
      <c r="B142" t="inlineStr">
        <is>
          <t>SEFL04</t>
        </is>
      </c>
      <c r="C142" t="inlineStr">
        <is>
          <t>Other fresh vegetables</t>
        </is>
      </c>
      <c r="D142" t="inlineStr">
        <is>
          <t>SA</t>
        </is>
      </c>
      <c r="E142" s="5" t="inlineStr">
        <is>
          <t>https://data.bls.gov/timeseries/CUSR0000SEFL04</t>
        </is>
      </c>
    </row>
    <row r="143">
      <c r="A143" s="5" t="inlineStr">
        <is>
          <t>CUUR0000SEFM</t>
        </is>
      </c>
      <c r="B143" t="inlineStr">
        <is>
          <t>SEFM</t>
        </is>
      </c>
      <c r="C143" t="inlineStr">
        <is>
          <t>Processed fruits and vegetables</t>
        </is>
      </c>
      <c r="D143" t="inlineStr">
        <is>
          <t>NSA</t>
        </is>
      </c>
      <c r="E143" s="5" t="inlineStr">
        <is>
          <t>https://data.bls.gov/timeseries/CUUR0000SEFM</t>
        </is>
      </c>
    </row>
    <row r="144">
      <c r="A144" s="5" t="inlineStr">
        <is>
          <t>CUSR0000SEFM</t>
        </is>
      </c>
      <c r="B144" t="inlineStr">
        <is>
          <t>SEFM</t>
        </is>
      </c>
      <c r="C144" t="inlineStr">
        <is>
          <t>Processed fruits and vegetables</t>
        </is>
      </c>
      <c r="D144" t="inlineStr">
        <is>
          <t>SA</t>
        </is>
      </c>
      <c r="E144" s="5" t="inlineStr">
        <is>
          <t>https://data.bls.gov/timeseries/CUSR0000SEFM</t>
        </is>
      </c>
    </row>
    <row r="145">
      <c r="A145" s="5" t="inlineStr">
        <is>
          <t>CUUR0000SEFM01</t>
        </is>
      </c>
      <c r="B145" t="inlineStr">
        <is>
          <t>SEFM01</t>
        </is>
      </c>
      <c r="C145" t="inlineStr">
        <is>
          <t>Canned fruits and vegetables</t>
        </is>
      </c>
      <c r="D145" t="inlineStr">
        <is>
          <t>NSA</t>
        </is>
      </c>
      <c r="E145" s="5" t="inlineStr">
        <is>
          <t>https://data.bls.gov/timeseries/CUUR0000SEFM01</t>
        </is>
      </c>
    </row>
    <row r="146">
      <c r="A146" s="5" t="inlineStr">
        <is>
          <t>CUSR0000SEFM01</t>
        </is>
      </c>
      <c r="B146" t="inlineStr">
        <is>
          <t>SEFM01</t>
        </is>
      </c>
      <c r="C146" t="inlineStr">
        <is>
          <t>Canned fruits and vegetables</t>
        </is>
      </c>
      <c r="D146" t="inlineStr">
        <is>
          <t>SA</t>
        </is>
      </c>
      <c r="E146" s="5" t="inlineStr">
        <is>
          <t>https://data.bls.gov/timeseries/CUSR0000SEFM01</t>
        </is>
      </c>
    </row>
    <row r="147">
      <c r="A147" s="5" t="inlineStr">
        <is>
          <t>CUUR0000SS13031</t>
        </is>
      </c>
      <c r="B147" t="inlineStr">
        <is>
          <t>SS13031</t>
        </is>
      </c>
      <c r="C147" t="inlineStr">
        <is>
          <t>Canned fruits</t>
        </is>
      </c>
      <c r="D147" t="inlineStr">
        <is>
          <t>NSA</t>
        </is>
      </c>
      <c r="E147" s="5" t="inlineStr">
        <is>
          <t>https://data.bls.gov/timeseries/CUUR0000SS13031</t>
        </is>
      </c>
    </row>
    <row r="148">
      <c r="A148" s="5" t="inlineStr">
        <is>
          <t>CUSR0000SS13031</t>
        </is>
      </c>
      <c r="B148" t="inlineStr">
        <is>
          <t>SS13031</t>
        </is>
      </c>
      <c r="C148" t="inlineStr">
        <is>
          <t>Canned fruits</t>
        </is>
      </c>
      <c r="D148" t="inlineStr">
        <is>
          <t>SA</t>
        </is>
      </c>
      <c r="E148" s="5" t="inlineStr">
        <is>
          <t>https://data.bls.gov/timeseries/CUSR0000SS13031</t>
        </is>
      </c>
    </row>
    <row r="149">
      <c r="A149" s="5" t="inlineStr">
        <is>
          <t>CUUR0000SS14021</t>
        </is>
      </c>
      <c r="B149" t="inlineStr">
        <is>
          <t>SS14021</t>
        </is>
      </c>
      <c r="C149" t="inlineStr">
        <is>
          <t>Canned vegetables</t>
        </is>
      </c>
      <c r="D149" t="inlineStr">
        <is>
          <t>NSA</t>
        </is>
      </c>
      <c r="E149" s="5" t="inlineStr">
        <is>
          <t>https://data.bls.gov/timeseries/CUUR0000SS14021</t>
        </is>
      </c>
    </row>
    <row r="150">
      <c r="A150" s="5" t="inlineStr">
        <is>
          <t>CUSR0000SS14021</t>
        </is>
      </c>
      <c r="B150" t="inlineStr">
        <is>
          <t>SS14021</t>
        </is>
      </c>
      <c r="C150" t="inlineStr">
        <is>
          <t>Canned vegetables</t>
        </is>
      </c>
      <c r="D150" t="inlineStr">
        <is>
          <t>SA</t>
        </is>
      </c>
      <c r="E150" s="5" t="inlineStr">
        <is>
          <t>https://data.bls.gov/timeseries/CUSR0000SS14021</t>
        </is>
      </c>
    </row>
    <row r="151">
      <c r="A151" s="5" t="inlineStr">
        <is>
          <t>CUUR0000SEFM02</t>
        </is>
      </c>
      <c r="B151" t="inlineStr">
        <is>
          <t>SEFM02</t>
        </is>
      </c>
      <c r="C151" t="inlineStr">
        <is>
          <t>Frozen fruits and vegetables</t>
        </is>
      </c>
      <c r="D151" t="inlineStr">
        <is>
          <t>NSA</t>
        </is>
      </c>
      <c r="E151" s="5" t="inlineStr">
        <is>
          <t>https://data.bls.gov/timeseries/CUUR0000SEFM02</t>
        </is>
      </c>
    </row>
    <row r="152">
      <c r="A152" s="5" t="inlineStr">
        <is>
          <t>CUSR0000SEFM02</t>
        </is>
      </c>
      <c r="B152" t="inlineStr">
        <is>
          <t>SEFM02</t>
        </is>
      </c>
      <c r="C152" t="inlineStr">
        <is>
          <t>Frozen fruits and vegetables</t>
        </is>
      </c>
      <c r="D152" t="inlineStr">
        <is>
          <t>SA</t>
        </is>
      </c>
      <c r="E152" s="5" t="inlineStr">
        <is>
          <t>https://data.bls.gov/timeseries/CUSR0000SEFM02</t>
        </is>
      </c>
    </row>
    <row r="153">
      <c r="A153" s="5" t="inlineStr">
        <is>
          <t>CUUR0000SS14011</t>
        </is>
      </c>
      <c r="B153" t="inlineStr">
        <is>
          <t>SS14011</t>
        </is>
      </c>
      <c r="C153" t="inlineStr">
        <is>
          <t>Frozen vegetables</t>
        </is>
      </c>
      <c r="D153" t="inlineStr">
        <is>
          <t>NSA</t>
        </is>
      </c>
      <c r="E153" s="5" t="inlineStr">
        <is>
          <t>https://data.bls.gov/timeseries/CUUR0000SS14011</t>
        </is>
      </c>
    </row>
    <row r="154">
      <c r="A154" s="5" t="inlineStr">
        <is>
          <t>CUSR0000SS14011</t>
        </is>
      </c>
      <c r="B154" t="inlineStr">
        <is>
          <t>SS14011</t>
        </is>
      </c>
      <c r="C154" t="inlineStr">
        <is>
          <t>Frozen vegetables</t>
        </is>
      </c>
      <c r="D154" t="inlineStr">
        <is>
          <t>SA</t>
        </is>
      </c>
      <c r="E154" s="5" t="inlineStr">
        <is>
          <t>https://data.bls.gov/timeseries/CUSR0000SS14011</t>
        </is>
      </c>
    </row>
    <row r="155">
      <c r="A155" s="5" t="inlineStr">
        <is>
          <t>CUUR0000SEFM03</t>
        </is>
      </c>
      <c r="B155" t="inlineStr">
        <is>
          <t>SEFM03</t>
        </is>
      </c>
      <c r="C155" t="inlineStr">
        <is>
          <t>Other processed fruits and vegetables including dried</t>
        </is>
      </c>
      <c r="D155" t="inlineStr">
        <is>
          <t>NSA</t>
        </is>
      </c>
      <c r="E155" s="5" t="inlineStr">
        <is>
          <t>https://data.bls.gov/timeseries/CUUR0000SEFM03</t>
        </is>
      </c>
    </row>
    <row r="156">
      <c r="A156" s="5" t="inlineStr">
        <is>
          <t>CUSR0000SEFM03</t>
        </is>
      </c>
      <c r="B156" t="inlineStr">
        <is>
          <t>SEFM03</t>
        </is>
      </c>
      <c r="C156" t="inlineStr">
        <is>
          <t>Other processed fruits and vegetables including dried</t>
        </is>
      </c>
      <c r="D156" t="inlineStr">
        <is>
          <t>SA</t>
        </is>
      </c>
      <c r="E156" s="5" t="inlineStr">
        <is>
          <t>https://data.bls.gov/timeseries/CUSR0000SEFM03</t>
        </is>
      </c>
    </row>
    <row r="157">
      <c r="A157" s="5" t="inlineStr">
        <is>
          <t>CUUR0000SS14022</t>
        </is>
      </c>
      <c r="B157" t="inlineStr">
        <is>
          <t>SS14022</t>
        </is>
      </c>
      <c r="C157" t="inlineStr">
        <is>
          <t>Dried beans, peas, and lentils</t>
        </is>
      </c>
      <c r="D157" t="inlineStr">
        <is>
          <t>NSA</t>
        </is>
      </c>
      <c r="E157" s="5" t="inlineStr">
        <is>
          <t>https://data.bls.gov/timeseries/CUUR0000SS14022</t>
        </is>
      </c>
    </row>
    <row r="158">
      <c r="A158" s="5" t="inlineStr">
        <is>
          <t>CUUR0000SAF114</t>
        </is>
      </c>
      <c r="B158" t="inlineStr">
        <is>
          <t>SAF114</t>
        </is>
      </c>
      <c r="C158" t="inlineStr">
        <is>
          <t>Nonalcoholic beverages and beverage materials</t>
        </is>
      </c>
      <c r="D158" t="inlineStr">
        <is>
          <t>NSA</t>
        </is>
      </c>
      <c r="E158" s="5" t="inlineStr">
        <is>
          <t>https://data.bls.gov/timeseries/CUUR0000SAF114</t>
        </is>
      </c>
    </row>
    <row r="159">
      <c r="A159" s="5" t="inlineStr">
        <is>
          <t>CUSR0000SAF114</t>
        </is>
      </c>
      <c r="B159" t="inlineStr">
        <is>
          <t>SAF114</t>
        </is>
      </c>
      <c r="C159" t="inlineStr">
        <is>
          <t>Nonalcoholic beverages and beverage materials</t>
        </is>
      </c>
      <c r="D159" t="inlineStr">
        <is>
          <t>SA</t>
        </is>
      </c>
      <c r="E159" s="5" t="inlineStr">
        <is>
          <t>https://data.bls.gov/timeseries/CUSR0000SAF114</t>
        </is>
      </c>
    </row>
    <row r="160">
      <c r="A160" s="5" t="inlineStr">
        <is>
          <t>CUUR0000SEFN</t>
        </is>
      </c>
      <c r="B160" t="inlineStr">
        <is>
          <t>SEFN</t>
        </is>
      </c>
      <c r="C160" t="inlineStr">
        <is>
          <t>Juices and nonalcoholic drinks</t>
        </is>
      </c>
      <c r="D160" t="inlineStr">
        <is>
          <t>NSA</t>
        </is>
      </c>
      <c r="E160" s="5" t="inlineStr">
        <is>
          <t>https://data.bls.gov/timeseries/CUUR0000SEFN</t>
        </is>
      </c>
    </row>
    <row r="161">
      <c r="A161" s="5" t="inlineStr">
        <is>
          <t>CUSR0000SEFN</t>
        </is>
      </c>
      <c r="B161" t="inlineStr">
        <is>
          <t>SEFN</t>
        </is>
      </c>
      <c r="C161" t="inlineStr">
        <is>
          <t>Juices and nonalcoholic drinks</t>
        </is>
      </c>
      <c r="D161" t="inlineStr">
        <is>
          <t>SA</t>
        </is>
      </c>
      <c r="E161" s="5" t="inlineStr">
        <is>
          <t>https://data.bls.gov/timeseries/CUSR0000SEFN</t>
        </is>
      </c>
    </row>
    <row r="162">
      <c r="A162" s="5" t="inlineStr">
        <is>
          <t>CUUR0000SEFN01</t>
        </is>
      </c>
      <c r="B162" t="inlineStr">
        <is>
          <t>SEFN01</t>
        </is>
      </c>
      <c r="C162" t="inlineStr">
        <is>
          <t>Carbonated drinks</t>
        </is>
      </c>
      <c r="D162" t="inlineStr">
        <is>
          <t>NSA</t>
        </is>
      </c>
      <c r="E162" s="5" t="inlineStr">
        <is>
          <t>https://data.bls.gov/timeseries/CUUR0000SEFN01</t>
        </is>
      </c>
    </row>
    <row r="163">
      <c r="A163" s="5" t="inlineStr">
        <is>
          <t>CUSR0000SEFN01</t>
        </is>
      </c>
      <c r="B163" t="inlineStr">
        <is>
          <t>SEFN01</t>
        </is>
      </c>
      <c r="C163" t="inlineStr">
        <is>
          <t>Carbonated drinks</t>
        </is>
      </c>
      <c r="D163" t="inlineStr">
        <is>
          <t>SA</t>
        </is>
      </c>
      <c r="E163" s="5" t="inlineStr">
        <is>
          <t>https://data.bls.gov/timeseries/CUSR0000SEFN01</t>
        </is>
      </c>
    </row>
    <row r="164">
      <c r="A164" s="5" t="inlineStr">
        <is>
          <t>CUUR0000SEFN02</t>
        </is>
      </c>
      <c r="B164" t="inlineStr">
        <is>
          <t>SEFN02</t>
        </is>
      </c>
      <c r="C164" t="inlineStr">
        <is>
          <t>Frozen noncarbonated juices and drinks</t>
        </is>
      </c>
      <c r="D164" t="inlineStr">
        <is>
          <t>NSA</t>
        </is>
      </c>
      <c r="E164" s="5" t="inlineStr">
        <is>
          <t>https://data.bls.gov/timeseries/CUUR0000SEFN02</t>
        </is>
      </c>
    </row>
    <row r="165">
      <c r="A165" s="5" t="inlineStr">
        <is>
          <t>CUUR0000SEFN03</t>
        </is>
      </c>
      <c r="B165" t="inlineStr">
        <is>
          <t>SEFN03</t>
        </is>
      </c>
      <c r="C165" t="inlineStr">
        <is>
          <t>Nonfrozen noncarbonated juices and drinks</t>
        </is>
      </c>
      <c r="D165" t="inlineStr">
        <is>
          <t>NSA</t>
        </is>
      </c>
      <c r="E165" s="5" t="inlineStr">
        <is>
          <t>https://data.bls.gov/timeseries/CUUR0000SEFN03</t>
        </is>
      </c>
    </row>
    <row r="166">
      <c r="A166" s="5" t="inlineStr">
        <is>
          <t>CUSR0000SEFN03</t>
        </is>
      </c>
      <c r="B166" t="inlineStr">
        <is>
          <t>SEFN03</t>
        </is>
      </c>
      <c r="C166" t="inlineStr">
        <is>
          <t>Nonfrozen noncarbonated juices and drinks</t>
        </is>
      </c>
      <c r="D166" t="inlineStr">
        <is>
          <t>SA</t>
        </is>
      </c>
      <c r="E166" s="5" t="inlineStr">
        <is>
          <t>https://data.bls.gov/timeseries/CUSR0000SEFN03</t>
        </is>
      </c>
    </row>
    <row r="167">
      <c r="A167" s="5" t="inlineStr">
        <is>
          <t>CUUR0000SEFP</t>
        </is>
      </c>
      <c r="B167" t="inlineStr">
        <is>
          <t>SEFP</t>
        </is>
      </c>
      <c r="C167" t="inlineStr">
        <is>
          <t>Beverage materials including coffee and tea</t>
        </is>
      </c>
      <c r="D167" t="inlineStr">
        <is>
          <t>NSA</t>
        </is>
      </c>
      <c r="E167" s="5" t="inlineStr">
        <is>
          <t>https://data.bls.gov/timeseries/CUUR0000SEFP</t>
        </is>
      </c>
    </row>
    <row r="168">
      <c r="A168" s="5" t="inlineStr">
        <is>
          <t>CUSR0000SEFP</t>
        </is>
      </c>
      <c r="B168" t="inlineStr">
        <is>
          <t>SEFP</t>
        </is>
      </c>
      <c r="C168" t="inlineStr">
        <is>
          <t>Beverage materials including coffee and tea</t>
        </is>
      </c>
      <c r="D168" t="inlineStr">
        <is>
          <t>SA</t>
        </is>
      </c>
      <c r="E168" s="5" t="inlineStr">
        <is>
          <t>https://data.bls.gov/timeseries/CUSR0000SEFP</t>
        </is>
      </c>
    </row>
    <row r="169">
      <c r="A169" s="5" t="inlineStr">
        <is>
          <t>CUUR0000SEFP01</t>
        </is>
      </c>
      <c r="B169" t="inlineStr">
        <is>
          <t>SEFP01</t>
        </is>
      </c>
      <c r="C169" t="inlineStr">
        <is>
          <t>Coffee</t>
        </is>
      </c>
      <c r="D169" t="inlineStr">
        <is>
          <t>NSA</t>
        </is>
      </c>
      <c r="E169" s="5" t="inlineStr">
        <is>
          <t>https://data.bls.gov/timeseries/CUUR0000SEFP01</t>
        </is>
      </c>
    </row>
    <row r="170">
      <c r="A170" s="5" t="inlineStr">
        <is>
          <t>CUSR0000SEFP01</t>
        </is>
      </c>
      <c r="B170" t="inlineStr">
        <is>
          <t>SEFP01</t>
        </is>
      </c>
      <c r="C170" t="inlineStr">
        <is>
          <t>Coffee</t>
        </is>
      </c>
      <c r="D170" t="inlineStr">
        <is>
          <t>SA</t>
        </is>
      </c>
      <c r="E170" s="5" t="inlineStr">
        <is>
          <t>https://data.bls.gov/timeseries/CUSR0000SEFP01</t>
        </is>
      </c>
    </row>
    <row r="171">
      <c r="A171" s="5" t="inlineStr">
        <is>
          <t>CUUR0000SS17031</t>
        </is>
      </c>
      <c r="B171" t="inlineStr">
        <is>
          <t>SS17031</t>
        </is>
      </c>
      <c r="C171" t="inlineStr">
        <is>
          <t>Roasted coffee</t>
        </is>
      </c>
      <c r="D171" t="inlineStr">
        <is>
          <t>NSA</t>
        </is>
      </c>
      <c r="E171" s="5" t="inlineStr">
        <is>
          <t>https://data.bls.gov/timeseries/CUUR0000SS17031</t>
        </is>
      </c>
    </row>
    <row r="172">
      <c r="A172" s="5" t="inlineStr">
        <is>
          <t>CUSR0000SS17031</t>
        </is>
      </c>
      <c r="B172" t="inlineStr">
        <is>
          <t>SS17031</t>
        </is>
      </c>
      <c r="C172" t="inlineStr">
        <is>
          <t>Roasted coffee</t>
        </is>
      </c>
      <c r="D172" t="inlineStr">
        <is>
          <t>SA</t>
        </is>
      </c>
      <c r="E172" s="5" t="inlineStr">
        <is>
          <t>https://data.bls.gov/timeseries/CUSR0000SS17031</t>
        </is>
      </c>
    </row>
    <row r="173">
      <c r="A173" s="5" t="inlineStr">
        <is>
          <t>CUUR0000SS17032</t>
        </is>
      </c>
      <c r="B173" t="inlineStr">
        <is>
          <t>SS17032</t>
        </is>
      </c>
      <c r="C173" t="inlineStr">
        <is>
          <t>Instant coffee</t>
        </is>
      </c>
      <c r="D173" t="inlineStr">
        <is>
          <t>NSA</t>
        </is>
      </c>
      <c r="E173" s="5" t="inlineStr">
        <is>
          <t>https://data.bls.gov/timeseries/CUUR0000SS17032</t>
        </is>
      </c>
    </row>
    <row r="174">
      <c r="A174" s="5" t="inlineStr">
        <is>
          <t>CUUR0000SEFP02</t>
        </is>
      </c>
      <c r="B174" t="inlineStr">
        <is>
          <t>SEFP02</t>
        </is>
      </c>
      <c r="C174" t="inlineStr">
        <is>
          <t>Other beverage materials including tea</t>
        </is>
      </c>
      <c r="D174" t="inlineStr">
        <is>
          <t>NSA</t>
        </is>
      </c>
      <c r="E174" s="5" t="inlineStr">
        <is>
          <t>https://data.bls.gov/timeseries/CUUR0000SEFP02</t>
        </is>
      </c>
    </row>
    <row r="175">
      <c r="A175" s="5" t="inlineStr">
        <is>
          <t>CUSR0000SEFP02</t>
        </is>
      </c>
      <c r="B175" t="inlineStr">
        <is>
          <t>SEFP02</t>
        </is>
      </c>
      <c r="C175" t="inlineStr">
        <is>
          <t>Other beverage materials including tea</t>
        </is>
      </c>
      <c r="D175" t="inlineStr">
        <is>
          <t>SA</t>
        </is>
      </c>
      <c r="E175" s="5" t="inlineStr">
        <is>
          <t>https://data.bls.gov/timeseries/CUSR0000SEFP02</t>
        </is>
      </c>
    </row>
    <row r="176">
      <c r="A176" s="5" t="inlineStr">
        <is>
          <t>CUUR0000SAF115</t>
        </is>
      </c>
      <c r="B176" t="inlineStr">
        <is>
          <t>SAF115</t>
        </is>
      </c>
      <c r="C176" t="inlineStr">
        <is>
          <t>Other food at home</t>
        </is>
      </c>
      <c r="D176" t="inlineStr">
        <is>
          <t>NSA</t>
        </is>
      </c>
      <c r="E176" s="5" t="inlineStr">
        <is>
          <t>https://data.bls.gov/timeseries/CUUR0000SAF115</t>
        </is>
      </c>
    </row>
    <row r="177">
      <c r="A177" s="5" t="inlineStr">
        <is>
          <t>CUSR0000SAF115</t>
        </is>
      </c>
      <c r="B177" t="inlineStr">
        <is>
          <t>SAF115</t>
        </is>
      </c>
      <c r="C177" t="inlineStr">
        <is>
          <t>Other food at home</t>
        </is>
      </c>
      <c r="D177" t="inlineStr">
        <is>
          <t>SA</t>
        </is>
      </c>
      <c r="E177" s="5" t="inlineStr">
        <is>
          <t>https://data.bls.gov/timeseries/CUSR0000SAF115</t>
        </is>
      </c>
    </row>
    <row r="178">
      <c r="A178" s="5" t="inlineStr">
        <is>
          <t>CUUR0000SEFR</t>
        </is>
      </c>
      <c r="B178" t="inlineStr">
        <is>
          <t>SEFR</t>
        </is>
      </c>
      <c r="C178" t="inlineStr">
        <is>
          <t>Sugar and sweets</t>
        </is>
      </c>
      <c r="D178" t="inlineStr">
        <is>
          <t>NSA</t>
        </is>
      </c>
      <c r="E178" s="5" t="inlineStr">
        <is>
          <t>https://data.bls.gov/timeseries/CUUR0000SEFR</t>
        </is>
      </c>
    </row>
    <row r="179">
      <c r="A179" s="5" t="inlineStr">
        <is>
          <t>CUSR0000SEFR</t>
        </is>
      </c>
      <c r="B179" t="inlineStr">
        <is>
          <t>SEFR</t>
        </is>
      </c>
      <c r="C179" t="inlineStr">
        <is>
          <t>Sugar and sweets</t>
        </is>
      </c>
      <c r="D179" t="inlineStr">
        <is>
          <t>SA</t>
        </is>
      </c>
      <c r="E179" s="5" t="inlineStr">
        <is>
          <t>https://data.bls.gov/timeseries/CUSR0000SEFR</t>
        </is>
      </c>
    </row>
    <row r="180">
      <c r="A180" s="5" t="inlineStr">
        <is>
          <t>CUUR0000SEFR01</t>
        </is>
      </c>
      <c r="B180" t="inlineStr">
        <is>
          <t>SEFR01</t>
        </is>
      </c>
      <c r="C180" t="inlineStr">
        <is>
          <t>Sugar and sugar substitutes</t>
        </is>
      </c>
      <c r="D180" t="inlineStr">
        <is>
          <t>NSA</t>
        </is>
      </c>
      <c r="E180" s="5" t="inlineStr">
        <is>
          <t>https://data.bls.gov/timeseries/CUUR0000SEFR01</t>
        </is>
      </c>
    </row>
    <row r="181">
      <c r="A181" s="5" t="inlineStr">
        <is>
          <t>CUSR0000SEFR01</t>
        </is>
      </c>
      <c r="B181" t="inlineStr">
        <is>
          <t>SEFR01</t>
        </is>
      </c>
      <c r="C181" t="inlineStr">
        <is>
          <t>Sugar and sugar substitutes</t>
        </is>
      </c>
      <c r="D181" t="inlineStr">
        <is>
          <t>SA</t>
        </is>
      </c>
      <c r="E181" s="5" t="inlineStr">
        <is>
          <t>https://data.bls.gov/timeseries/CUSR0000SEFR01</t>
        </is>
      </c>
    </row>
    <row r="182">
      <c r="A182" s="5" t="inlineStr">
        <is>
          <t>CUUR0000SEFR02</t>
        </is>
      </c>
      <c r="B182" t="inlineStr">
        <is>
          <t>SEFR02</t>
        </is>
      </c>
      <c r="C182" t="inlineStr">
        <is>
          <t>Candy and chewing gum</t>
        </is>
      </c>
      <c r="D182" t="inlineStr">
        <is>
          <t>NSA</t>
        </is>
      </c>
      <c r="E182" s="5" t="inlineStr">
        <is>
          <t>https://data.bls.gov/timeseries/CUUR0000SEFR02</t>
        </is>
      </c>
    </row>
    <row r="183">
      <c r="A183" s="5" t="inlineStr">
        <is>
          <t>CUSR0000SEFR02</t>
        </is>
      </c>
      <c r="B183" t="inlineStr">
        <is>
          <t>SEFR02</t>
        </is>
      </c>
      <c r="C183" t="inlineStr">
        <is>
          <t>Candy and chewing gum</t>
        </is>
      </c>
      <c r="D183" t="inlineStr">
        <is>
          <t>SA</t>
        </is>
      </c>
      <c r="E183" s="5" t="inlineStr">
        <is>
          <t>https://data.bls.gov/timeseries/CUSR0000SEFR02</t>
        </is>
      </c>
    </row>
    <row r="184">
      <c r="A184" s="5" t="inlineStr">
        <is>
          <t>CUUR0000SEFR03</t>
        </is>
      </c>
      <c r="B184" t="inlineStr">
        <is>
          <t>SEFR03</t>
        </is>
      </c>
      <c r="C184" t="inlineStr">
        <is>
          <t>Other sweets</t>
        </is>
      </c>
      <c r="D184" t="inlineStr">
        <is>
          <t>NSA</t>
        </is>
      </c>
      <c r="E184" s="5" t="inlineStr">
        <is>
          <t>https://data.bls.gov/timeseries/CUUR0000SEFR03</t>
        </is>
      </c>
    </row>
    <row r="185">
      <c r="A185" s="5" t="inlineStr">
        <is>
          <t>CUSR0000SEFR03</t>
        </is>
      </c>
      <c r="B185" t="inlineStr">
        <is>
          <t>SEFR03</t>
        </is>
      </c>
      <c r="C185" t="inlineStr">
        <is>
          <t>Other sweets</t>
        </is>
      </c>
      <c r="D185" t="inlineStr">
        <is>
          <t>SA</t>
        </is>
      </c>
      <c r="E185" s="5" t="inlineStr">
        <is>
          <t>https://data.bls.gov/timeseries/CUSR0000SEFR03</t>
        </is>
      </c>
    </row>
    <row r="186">
      <c r="A186" s="5" t="inlineStr">
        <is>
          <t>CUUR0000SEFS</t>
        </is>
      </c>
      <c r="B186" t="inlineStr">
        <is>
          <t>SEFS</t>
        </is>
      </c>
      <c r="C186" t="inlineStr">
        <is>
          <t>Fats and oils</t>
        </is>
      </c>
      <c r="D186" t="inlineStr">
        <is>
          <t>NSA</t>
        </is>
      </c>
      <c r="E186" s="5" t="inlineStr">
        <is>
          <t>https://data.bls.gov/timeseries/CUUR0000SEFS</t>
        </is>
      </c>
    </row>
    <row r="187">
      <c r="A187" s="5" t="inlineStr">
        <is>
          <t>CUSR0000SEFS</t>
        </is>
      </c>
      <c r="B187" t="inlineStr">
        <is>
          <t>SEFS</t>
        </is>
      </c>
      <c r="C187" t="inlineStr">
        <is>
          <t>Fats and oils</t>
        </is>
      </c>
      <c r="D187" t="inlineStr">
        <is>
          <t>SA</t>
        </is>
      </c>
      <c r="E187" s="5" t="inlineStr">
        <is>
          <t>https://data.bls.gov/timeseries/CUSR0000SEFS</t>
        </is>
      </c>
    </row>
    <row r="188">
      <c r="A188" s="5" t="inlineStr">
        <is>
          <t>CUUR0000SEFS01</t>
        </is>
      </c>
      <c r="B188" t="inlineStr">
        <is>
          <t>SEFS01</t>
        </is>
      </c>
      <c r="C188" t="inlineStr">
        <is>
          <t>Butter and margarine</t>
        </is>
      </c>
      <c r="D188" t="inlineStr">
        <is>
          <t>NSA</t>
        </is>
      </c>
      <c r="E188" s="5" t="inlineStr">
        <is>
          <t>https://data.bls.gov/timeseries/CUUR0000SEFS01</t>
        </is>
      </c>
    </row>
    <row r="189">
      <c r="A189" s="5" t="inlineStr">
        <is>
          <t>CUSR0000SEFS01</t>
        </is>
      </c>
      <c r="B189" t="inlineStr">
        <is>
          <t>SEFS01</t>
        </is>
      </c>
      <c r="C189" t="inlineStr">
        <is>
          <t>Butter and margarine</t>
        </is>
      </c>
      <c r="D189" t="inlineStr">
        <is>
          <t>SA</t>
        </is>
      </c>
      <c r="E189" s="5" t="inlineStr">
        <is>
          <t>https://data.bls.gov/timeseries/CUSR0000SEFS01</t>
        </is>
      </c>
    </row>
    <row r="190">
      <c r="A190" s="5" t="inlineStr">
        <is>
          <t>CUUR0000SS10011</t>
        </is>
      </c>
      <c r="B190" t="inlineStr">
        <is>
          <t>SS10011</t>
        </is>
      </c>
      <c r="C190" t="inlineStr">
        <is>
          <t>Butter</t>
        </is>
      </c>
      <c r="D190" t="inlineStr">
        <is>
          <t>NSA</t>
        </is>
      </c>
      <c r="E190" s="5" t="inlineStr">
        <is>
          <t>https://data.bls.gov/timeseries/CUUR0000SS10011</t>
        </is>
      </c>
    </row>
    <row r="191">
      <c r="A191" s="5" t="inlineStr">
        <is>
          <t>CUSR0000SS10011</t>
        </is>
      </c>
      <c r="B191" t="inlineStr">
        <is>
          <t>SS10011</t>
        </is>
      </c>
      <c r="C191" t="inlineStr">
        <is>
          <t>Butter</t>
        </is>
      </c>
      <c r="D191" t="inlineStr">
        <is>
          <t>SA</t>
        </is>
      </c>
      <c r="E191" s="5" t="inlineStr">
        <is>
          <t>https://data.bls.gov/timeseries/CUSR0000SS10011</t>
        </is>
      </c>
    </row>
    <row r="192">
      <c r="A192" s="5" t="inlineStr">
        <is>
          <t>CUUR0000SS16011</t>
        </is>
      </c>
      <c r="B192" t="inlineStr">
        <is>
          <t>SS16011</t>
        </is>
      </c>
      <c r="C192" t="inlineStr">
        <is>
          <t>Margarine</t>
        </is>
      </c>
      <c r="D192" t="inlineStr">
        <is>
          <t>NSA</t>
        </is>
      </c>
      <c r="E192" s="5" t="inlineStr">
        <is>
          <t>https://data.bls.gov/timeseries/CUUR0000SS16011</t>
        </is>
      </c>
    </row>
    <row r="193">
      <c r="A193" s="5" t="inlineStr">
        <is>
          <t>CUSR0000SS16011</t>
        </is>
      </c>
      <c r="B193" t="inlineStr">
        <is>
          <t>SS16011</t>
        </is>
      </c>
      <c r="C193" t="inlineStr">
        <is>
          <t>Margarine</t>
        </is>
      </c>
      <c r="D193" t="inlineStr">
        <is>
          <t>SA</t>
        </is>
      </c>
      <c r="E193" s="5" t="inlineStr">
        <is>
          <t>https://data.bls.gov/timeseries/CUSR0000SS16011</t>
        </is>
      </c>
    </row>
    <row r="194">
      <c r="A194" s="5" t="inlineStr">
        <is>
          <t>CUUR0000SEFS02</t>
        </is>
      </c>
      <c r="B194" t="inlineStr">
        <is>
          <t>SEFS02</t>
        </is>
      </c>
      <c r="C194" t="inlineStr">
        <is>
          <t>Salad dressing</t>
        </is>
      </c>
      <c r="D194" t="inlineStr">
        <is>
          <t>NSA</t>
        </is>
      </c>
      <c r="E194" s="5" t="inlineStr">
        <is>
          <t>https://data.bls.gov/timeseries/CUUR0000SEFS02</t>
        </is>
      </c>
    </row>
    <row r="195">
      <c r="A195" s="5" t="inlineStr">
        <is>
          <t>CUSR0000SEFS02</t>
        </is>
      </c>
      <c r="B195" t="inlineStr">
        <is>
          <t>SEFS02</t>
        </is>
      </c>
      <c r="C195" t="inlineStr">
        <is>
          <t>Salad dressing</t>
        </is>
      </c>
      <c r="D195" t="inlineStr">
        <is>
          <t>SA</t>
        </is>
      </c>
      <c r="E195" s="5" t="inlineStr">
        <is>
          <t>https://data.bls.gov/timeseries/CUSR0000SEFS02</t>
        </is>
      </c>
    </row>
    <row r="196">
      <c r="A196" s="5" t="inlineStr">
        <is>
          <t>CUUR0000SEFS03</t>
        </is>
      </c>
      <c r="B196" t="inlineStr">
        <is>
          <t>SEFS03</t>
        </is>
      </c>
      <c r="C196" t="inlineStr">
        <is>
          <t>Other fats and oils including peanut butter</t>
        </is>
      </c>
      <c r="D196" t="inlineStr">
        <is>
          <t>NSA</t>
        </is>
      </c>
      <c r="E196" s="5" t="inlineStr">
        <is>
          <t>https://data.bls.gov/timeseries/CUUR0000SEFS03</t>
        </is>
      </c>
    </row>
    <row r="197">
      <c r="A197" s="5" t="inlineStr">
        <is>
          <t>CUSR0000SEFS03</t>
        </is>
      </c>
      <c r="B197" t="inlineStr">
        <is>
          <t>SEFS03</t>
        </is>
      </c>
      <c r="C197" t="inlineStr">
        <is>
          <t>Other fats and oils including peanut butter</t>
        </is>
      </c>
      <c r="D197" t="inlineStr">
        <is>
          <t>SA</t>
        </is>
      </c>
      <c r="E197" s="5" t="inlineStr">
        <is>
          <t>https://data.bls.gov/timeseries/CUSR0000SEFS03</t>
        </is>
      </c>
    </row>
    <row r="198">
      <c r="A198" s="5" t="inlineStr">
        <is>
          <t>CUUR0000SS16014</t>
        </is>
      </c>
      <c r="B198" t="inlineStr">
        <is>
          <t>SS16014</t>
        </is>
      </c>
      <c r="C198" t="inlineStr">
        <is>
          <t>Peanut butter</t>
        </is>
      </c>
      <c r="D198" t="inlineStr">
        <is>
          <t>NSA</t>
        </is>
      </c>
      <c r="E198" s="5" t="inlineStr">
        <is>
          <t>https://data.bls.gov/timeseries/CUUR0000SS16014</t>
        </is>
      </c>
    </row>
    <row r="199">
      <c r="A199" s="5" t="inlineStr">
        <is>
          <t>CUUR0000SEFT</t>
        </is>
      </c>
      <c r="B199" t="inlineStr">
        <is>
          <t>SEFT</t>
        </is>
      </c>
      <c r="C199" t="inlineStr">
        <is>
          <t>Other foods</t>
        </is>
      </c>
      <c r="D199" t="inlineStr">
        <is>
          <t>NSA</t>
        </is>
      </c>
      <c r="E199" s="5" t="inlineStr">
        <is>
          <t>https://data.bls.gov/timeseries/CUUR0000SEFT</t>
        </is>
      </c>
    </row>
    <row r="200">
      <c r="A200" s="5" t="inlineStr">
        <is>
          <t>CUSR0000SEFT</t>
        </is>
      </c>
      <c r="B200" t="inlineStr">
        <is>
          <t>SEFT</t>
        </is>
      </c>
      <c r="C200" t="inlineStr">
        <is>
          <t>Other foods</t>
        </is>
      </c>
      <c r="D200" t="inlineStr">
        <is>
          <t>SA</t>
        </is>
      </c>
      <c r="E200" s="5" t="inlineStr">
        <is>
          <t>https://data.bls.gov/timeseries/CUSR0000SEFT</t>
        </is>
      </c>
    </row>
    <row r="201">
      <c r="A201" s="5" t="inlineStr">
        <is>
          <t>CUUR0000SEFT01</t>
        </is>
      </c>
      <c r="B201" t="inlineStr">
        <is>
          <t>SEFT01</t>
        </is>
      </c>
      <c r="C201" t="inlineStr">
        <is>
          <t>Soups</t>
        </is>
      </c>
      <c r="D201" t="inlineStr">
        <is>
          <t>NSA</t>
        </is>
      </c>
      <c r="E201" s="5" t="inlineStr">
        <is>
          <t>https://data.bls.gov/timeseries/CUUR0000SEFT01</t>
        </is>
      </c>
    </row>
    <row r="202">
      <c r="A202" s="5" t="inlineStr">
        <is>
          <t>CUSR0000SEFT01</t>
        </is>
      </c>
      <c r="B202" t="inlineStr">
        <is>
          <t>SEFT01</t>
        </is>
      </c>
      <c r="C202" t="inlineStr">
        <is>
          <t>Soups</t>
        </is>
      </c>
      <c r="D202" t="inlineStr">
        <is>
          <t>SA</t>
        </is>
      </c>
      <c r="E202" s="5" t="inlineStr">
        <is>
          <t>https://data.bls.gov/timeseries/CUSR0000SEFT01</t>
        </is>
      </c>
    </row>
    <row r="203">
      <c r="A203" s="5" t="inlineStr">
        <is>
          <t>CUUR0000SEFT02</t>
        </is>
      </c>
      <c r="B203" t="inlineStr">
        <is>
          <t>SEFT02</t>
        </is>
      </c>
      <c r="C203" t="inlineStr">
        <is>
          <t>Frozen and freeze dried prepared foods</t>
        </is>
      </c>
      <c r="D203" t="inlineStr">
        <is>
          <t>NSA</t>
        </is>
      </c>
      <c r="E203" s="5" t="inlineStr">
        <is>
          <t>https://data.bls.gov/timeseries/CUUR0000SEFT02</t>
        </is>
      </c>
    </row>
    <row r="204">
      <c r="A204" s="5" t="inlineStr">
        <is>
          <t>CUSR0000SEFT02</t>
        </is>
      </c>
      <c r="B204" t="inlineStr">
        <is>
          <t>SEFT02</t>
        </is>
      </c>
      <c r="C204" t="inlineStr">
        <is>
          <t>Frozen and freeze dried prepared foods</t>
        </is>
      </c>
      <c r="D204" t="inlineStr">
        <is>
          <t>SA</t>
        </is>
      </c>
      <c r="E204" s="5" t="inlineStr">
        <is>
          <t>https://data.bls.gov/timeseries/CUSR0000SEFT02</t>
        </is>
      </c>
    </row>
    <row r="205">
      <c r="A205" s="5" t="inlineStr">
        <is>
          <t>CUUR0000SEFT03</t>
        </is>
      </c>
      <c r="B205" t="inlineStr">
        <is>
          <t>SEFT03</t>
        </is>
      </c>
      <c r="C205" t="inlineStr">
        <is>
          <t>Snacks</t>
        </is>
      </c>
      <c r="D205" t="inlineStr">
        <is>
          <t>NSA</t>
        </is>
      </c>
      <c r="E205" s="5" t="inlineStr">
        <is>
          <t>https://data.bls.gov/timeseries/CUUR0000SEFT03</t>
        </is>
      </c>
    </row>
    <row r="206">
      <c r="A206" s="5" t="inlineStr">
        <is>
          <t>CUSR0000SEFT03</t>
        </is>
      </c>
      <c r="B206" t="inlineStr">
        <is>
          <t>SEFT03</t>
        </is>
      </c>
      <c r="C206" t="inlineStr">
        <is>
          <t>Snacks</t>
        </is>
      </c>
      <c r="D206" t="inlineStr">
        <is>
          <t>SA</t>
        </is>
      </c>
      <c r="E206" s="5" t="inlineStr">
        <is>
          <t>https://data.bls.gov/timeseries/CUSR0000SEFT03</t>
        </is>
      </c>
    </row>
    <row r="207">
      <c r="A207" s="5" t="inlineStr">
        <is>
          <t>CUUR0000SEFT04</t>
        </is>
      </c>
      <c r="B207" t="inlineStr">
        <is>
          <t>SEFT04</t>
        </is>
      </c>
      <c r="C207" t="inlineStr">
        <is>
          <t>Spices, seasonings, condiments, sauces</t>
        </is>
      </c>
      <c r="D207" t="inlineStr">
        <is>
          <t>NSA</t>
        </is>
      </c>
      <c r="E207" s="5" t="inlineStr">
        <is>
          <t>https://data.bls.gov/timeseries/CUUR0000SEFT04</t>
        </is>
      </c>
    </row>
    <row r="208">
      <c r="A208" s="5" t="inlineStr">
        <is>
          <t>CUSR0000SEFT04</t>
        </is>
      </c>
      <c r="B208" t="inlineStr">
        <is>
          <t>SEFT04</t>
        </is>
      </c>
      <c r="C208" t="inlineStr">
        <is>
          <t>Spices, seasonings, condiments, sauces</t>
        </is>
      </c>
      <c r="D208" t="inlineStr">
        <is>
          <t>SA</t>
        </is>
      </c>
      <c r="E208" s="5" t="inlineStr">
        <is>
          <t>https://data.bls.gov/timeseries/CUSR0000SEFT04</t>
        </is>
      </c>
    </row>
    <row r="209">
      <c r="A209" s="5" t="inlineStr">
        <is>
          <t>CUUR0000SS18041</t>
        </is>
      </c>
      <c r="B209" t="inlineStr">
        <is>
          <t>SS18041</t>
        </is>
      </c>
      <c r="C209" t="inlineStr">
        <is>
          <t>Salt and other seasonings and spices</t>
        </is>
      </c>
      <c r="D209" t="inlineStr">
        <is>
          <t>NSA</t>
        </is>
      </c>
      <c r="E209" s="5" t="inlineStr">
        <is>
          <t>https://data.bls.gov/timeseries/CUUR0000SS18041</t>
        </is>
      </c>
    </row>
    <row r="210">
      <c r="A210" s="5" t="inlineStr">
        <is>
          <t>CUSR0000SS18041</t>
        </is>
      </c>
      <c r="B210" t="inlineStr">
        <is>
          <t>SS18041</t>
        </is>
      </c>
      <c r="C210" t="inlineStr">
        <is>
          <t>Salt and other seasonings and spices</t>
        </is>
      </c>
      <c r="D210" t="inlineStr">
        <is>
          <t>SA</t>
        </is>
      </c>
      <c r="E210" s="5" t="inlineStr">
        <is>
          <t>https://data.bls.gov/timeseries/CUSR0000SS18041</t>
        </is>
      </c>
    </row>
    <row r="211">
      <c r="A211" s="5" t="inlineStr">
        <is>
          <t>CUUR0000SS18042</t>
        </is>
      </c>
      <c r="B211" t="inlineStr">
        <is>
          <t>SS18042</t>
        </is>
      </c>
      <c r="C211" t="inlineStr">
        <is>
          <t>Olives, pickles, relishes</t>
        </is>
      </c>
      <c r="D211" t="inlineStr">
        <is>
          <t>NSA</t>
        </is>
      </c>
      <c r="E211" s="5" t="inlineStr">
        <is>
          <t>https://data.bls.gov/timeseries/CUUR0000SS18042</t>
        </is>
      </c>
    </row>
    <row r="212">
      <c r="A212" s="5" t="inlineStr">
        <is>
          <t>CUSR0000SS18042</t>
        </is>
      </c>
      <c r="B212" t="inlineStr">
        <is>
          <t>SS18042</t>
        </is>
      </c>
      <c r="C212" t="inlineStr">
        <is>
          <t>Olives, pickles, relishes</t>
        </is>
      </c>
      <c r="D212" t="inlineStr">
        <is>
          <t>SA</t>
        </is>
      </c>
      <c r="E212" s="5" t="inlineStr">
        <is>
          <t>https://data.bls.gov/timeseries/CUSR0000SS18042</t>
        </is>
      </c>
    </row>
    <row r="213">
      <c r="A213" s="5" t="inlineStr">
        <is>
          <t>CUUR0000SS18043</t>
        </is>
      </c>
      <c r="B213" t="inlineStr">
        <is>
          <t>SS18043</t>
        </is>
      </c>
      <c r="C213" t="inlineStr">
        <is>
          <t>Sauces and gravies</t>
        </is>
      </c>
      <c r="D213" t="inlineStr">
        <is>
          <t>NSA</t>
        </is>
      </c>
      <c r="E213" s="5" t="inlineStr">
        <is>
          <t>https://data.bls.gov/timeseries/CUUR0000SS18043</t>
        </is>
      </c>
    </row>
    <row r="214">
      <c r="A214" s="5" t="inlineStr">
        <is>
          <t>CUSR0000SS18043</t>
        </is>
      </c>
      <c r="B214" t="inlineStr">
        <is>
          <t>SS18043</t>
        </is>
      </c>
      <c r="C214" t="inlineStr">
        <is>
          <t>Sauces and gravies</t>
        </is>
      </c>
      <c r="D214" t="inlineStr">
        <is>
          <t>SA</t>
        </is>
      </c>
      <c r="E214" s="5" t="inlineStr">
        <is>
          <t>https://data.bls.gov/timeseries/CUSR0000SS18043</t>
        </is>
      </c>
    </row>
    <row r="215">
      <c r="A215" s="5" t="inlineStr">
        <is>
          <t>CUUR0000SS1804B</t>
        </is>
      </c>
      <c r="B215" t="inlineStr">
        <is>
          <t>SS1804B</t>
        </is>
      </c>
      <c r="C215" t="inlineStr">
        <is>
          <t>Other condiments</t>
        </is>
      </c>
      <c r="D215" t="inlineStr">
        <is>
          <t>NSA</t>
        </is>
      </c>
      <c r="E215" s="5" t="inlineStr">
        <is>
          <t>https://data.bls.gov/timeseries/CUUR0000SS1804B</t>
        </is>
      </c>
    </row>
    <row r="216">
      <c r="A216" s="5" t="inlineStr">
        <is>
          <t>CUSR0000SS1804B</t>
        </is>
      </c>
      <c r="B216" t="inlineStr">
        <is>
          <t>SS1804B</t>
        </is>
      </c>
      <c r="C216" t="inlineStr">
        <is>
          <t>Other condiments</t>
        </is>
      </c>
      <c r="D216" t="inlineStr">
        <is>
          <t>SA</t>
        </is>
      </c>
      <c r="E216" s="5" t="inlineStr">
        <is>
          <t>https://data.bls.gov/timeseries/CUSR0000SS1804B</t>
        </is>
      </c>
    </row>
    <row r="217">
      <c r="A217" s="5" t="inlineStr">
        <is>
          <t>CUUR0000SEFT05</t>
        </is>
      </c>
      <c r="B217" t="inlineStr">
        <is>
          <t>SEFT05</t>
        </is>
      </c>
      <c r="C217" t="inlineStr">
        <is>
          <t>Baby food and formula</t>
        </is>
      </c>
      <c r="D217" t="inlineStr">
        <is>
          <t>NSA</t>
        </is>
      </c>
      <c r="E217" s="5" t="inlineStr">
        <is>
          <t>https://data.bls.gov/timeseries/CUUR0000SEFT05</t>
        </is>
      </c>
    </row>
    <row r="218">
      <c r="A218" s="5" t="inlineStr">
        <is>
          <t>CUUR0000SEFT06</t>
        </is>
      </c>
      <c r="B218" t="inlineStr">
        <is>
          <t>SEFT06</t>
        </is>
      </c>
      <c r="C218" t="inlineStr">
        <is>
          <t>Other miscellaneous foods</t>
        </is>
      </c>
      <c r="D218" t="inlineStr">
        <is>
          <t>NSA</t>
        </is>
      </c>
      <c r="E218" s="5" t="inlineStr">
        <is>
          <t>https://data.bls.gov/timeseries/CUUR0000SEFT06</t>
        </is>
      </c>
    </row>
    <row r="219">
      <c r="A219" s="5" t="inlineStr">
        <is>
          <t>CUSR0000SEFT06</t>
        </is>
      </c>
      <c r="B219" t="inlineStr">
        <is>
          <t>SEFT06</t>
        </is>
      </c>
      <c r="C219" t="inlineStr">
        <is>
          <t>Other miscellaneous foods</t>
        </is>
      </c>
      <c r="D219" t="inlineStr">
        <is>
          <t>SA</t>
        </is>
      </c>
      <c r="E219" s="5" t="inlineStr">
        <is>
          <t>https://data.bls.gov/timeseries/CUSR0000SEFT06</t>
        </is>
      </c>
    </row>
    <row r="220">
      <c r="A220" s="5" t="inlineStr">
        <is>
          <t>CUUR0000SS18064</t>
        </is>
      </c>
      <c r="B220" t="inlineStr">
        <is>
          <t>SS18064</t>
        </is>
      </c>
      <c r="C220" t="inlineStr">
        <is>
          <t>Prepared salads</t>
        </is>
      </c>
      <c r="D220" t="inlineStr">
        <is>
          <t>NSA</t>
        </is>
      </c>
      <c r="E220" s="5" t="inlineStr">
        <is>
          <t>https://data.bls.gov/timeseries/CUUR0000SS18064</t>
        </is>
      </c>
    </row>
    <row r="221">
      <c r="A221" s="5" t="inlineStr">
        <is>
          <t>CUSR0000SS18064</t>
        </is>
      </c>
      <c r="B221" t="inlineStr">
        <is>
          <t>SS18064</t>
        </is>
      </c>
      <c r="C221" t="inlineStr">
        <is>
          <t>Prepared salads</t>
        </is>
      </c>
      <c r="D221" t="inlineStr">
        <is>
          <t>SA</t>
        </is>
      </c>
      <c r="E221" s="5" t="inlineStr">
        <is>
          <t>https://data.bls.gov/timeseries/CUSR0000SS18064</t>
        </is>
      </c>
    </row>
    <row r="222">
      <c r="A222" s="5" t="inlineStr">
        <is>
          <t>CUUR0000SEFV</t>
        </is>
      </c>
      <c r="B222" t="inlineStr">
        <is>
          <t>SEFV</t>
        </is>
      </c>
      <c r="C222" t="inlineStr">
        <is>
          <t>Food away from home</t>
        </is>
      </c>
      <c r="D222" t="inlineStr">
        <is>
          <t>NSA</t>
        </is>
      </c>
      <c r="E222" s="5" t="inlineStr">
        <is>
          <t>https://data.bls.gov/timeseries/CUUR0000SEFV</t>
        </is>
      </c>
    </row>
    <row r="223">
      <c r="A223" s="5" t="inlineStr">
        <is>
          <t>CUSR0000SEFV</t>
        </is>
      </c>
      <c r="B223" t="inlineStr">
        <is>
          <t>SEFV</t>
        </is>
      </c>
      <c r="C223" t="inlineStr">
        <is>
          <t>Food away from home</t>
        </is>
      </c>
      <c r="D223" t="inlineStr">
        <is>
          <t>SA</t>
        </is>
      </c>
      <c r="E223" s="5" t="inlineStr">
        <is>
          <t>https://data.bls.gov/timeseries/CUSR0000SEFV</t>
        </is>
      </c>
    </row>
    <row r="224">
      <c r="A224" s="5" t="inlineStr">
        <is>
          <t>CUUR0000SEFV01</t>
        </is>
      </c>
      <c r="B224" t="inlineStr">
        <is>
          <t>SEFV01</t>
        </is>
      </c>
      <c r="C224" t="inlineStr">
        <is>
          <t>Full service meals and snacks</t>
        </is>
      </c>
      <c r="D224" t="inlineStr">
        <is>
          <t>NSA</t>
        </is>
      </c>
      <c r="E224" s="5" t="inlineStr">
        <is>
          <t>https://data.bls.gov/timeseries/CUUR0000SEFV01</t>
        </is>
      </c>
    </row>
    <row r="225">
      <c r="A225" s="5" t="inlineStr">
        <is>
          <t>CUSR0000SEFV01</t>
        </is>
      </c>
      <c r="B225" t="inlineStr">
        <is>
          <t>SEFV01</t>
        </is>
      </c>
      <c r="C225" t="inlineStr">
        <is>
          <t>Full service meals and snacks</t>
        </is>
      </c>
      <c r="D225" t="inlineStr">
        <is>
          <t>SA</t>
        </is>
      </c>
      <c r="E225" s="5" t="inlineStr">
        <is>
          <t>https://data.bls.gov/timeseries/CUSR0000SEFV01</t>
        </is>
      </c>
    </row>
    <row r="226">
      <c r="A226" s="5" t="inlineStr">
        <is>
          <t>CUUR0000SEFV02</t>
        </is>
      </c>
      <c r="B226" t="inlineStr">
        <is>
          <t>SEFV02</t>
        </is>
      </c>
      <c r="C226" t="inlineStr">
        <is>
          <t>Limited service meals and snacks</t>
        </is>
      </c>
      <c r="D226" t="inlineStr">
        <is>
          <t>NSA</t>
        </is>
      </c>
      <c r="E226" s="5" t="inlineStr">
        <is>
          <t>https://data.bls.gov/timeseries/CUUR0000SEFV02</t>
        </is>
      </c>
    </row>
    <row r="227">
      <c r="A227" s="5" t="inlineStr">
        <is>
          <t>CUUR0000SEFV03</t>
        </is>
      </c>
      <c r="B227" t="inlineStr">
        <is>
          <t>SEFV03</t>
        </is>
      </c>
      <c r="C227" t="inlineStr">
        <is>
          <t>Food at employee sites and schools</t>
        </is>
      </c>
      <c r="D227" t="inlineStr">
        <is>
          <t>NSA</t>
        </is>
      </c>
      <c r="E227" s="5" t="inlineStr">
        <is>
          <t>https://data.bls.gov/timeseries/CUUR0000SEFV03</t>
        </is>
      </c>
    </row>
    <row r="228">
      <c r="A228" s="5" t="inlineStr">
        <is>
          <t>CUSR0000SEFV03</t>
        </is>
      </c>
      <c r="B228" t="inlineStr">
        <is>
          <t>SEFV03</t>
        </is>
      </c>
      <c r="C228" t="inlineStr">
        <is>
          <t>Food at employee sites and schools</t>
        </is>
      </c>
      <c r="D228" t="inlineStr">
        <is>
          <t>SA</t>
        </is>
      </c>
      <c r="E228" s="5" t="inlineStr">
        <is>
          <t>https://data.bls.gov/timeseries/CUSR0000SEFV03</t>
        </is>
      </c>
    </row>
    <row r="229">
      <c r="A229" s="5" t="inlineStr">
        <is>
          <t>CUUR0000SSFV031A</t>
        </is>
      </c>
      <c r="B229" t="inlineStr">
        <is>
          <t>SSFV031A</t>
        </is>
      </c>
      <c r="C229" t="inlineStr">
        <is>
          <t>Food at elementary and secondary schools</t>
        </is>
      </c>
      <c r="D229" t="inlineStr">
        <is>
          <t>NSA</t>
        </is>
      </c>
      <c r="E229" s="5" t="inlineStr">
        <is>
          <t>https://data.bls.gov/timeseries/CUUR0000SSFV031A</t>
        </is>
      </c>
    </row>
    <row r="230">
      <c r="A230" s="5" t="inlineStr">
        <is>
          <t>CUSR0000SSFV031A</t>
        </is>
      </c>
      <c r="B230" t="inlineStr">
        <is>
          <t>SSFV031A</t>
        </is>
      </c>
      <c r="C230" t="inlineStr">
        <is>
          <t>Food at elementary and secondary schools</t>
        </is>
      </c>
      <c r="D230" t="inlineStr">
        <is>
          <t>SA</t>
        </is>
      </c>
      <c r="E230" s="5" t="inlineStr">
        <is>
          <t>https://data.bls.gov/timeseries/CUSR0000SSFV031A</t>
        </is>
      </c>
    </row>
    <row r="231">
      <c r="A231" s="5" t="inlineStr">
        <is>
          <t>CUUR0000SEFV04</t>
        </is>
      </c>
      <c r="B231" t="inlineStr">
        <is>
          <t>SEFV04</t>
        </is>
      </c>
      <c r="C231" t="inlineStr">
        <is>
          <t>Food from vending machines and mobile vendors</t>
        </is>
      </c>
      <c r="D231" t="inlineStr">
        <is>
          <t>NSA</t>
        </is>
      </c>
      <c r="E231" s="5" t="inlineStr">
        <is>
          <t>https://data.bls.gov/timeseries/CUUR0000SEFV04</t>
        </is>
      </c>
    </row>
    <row r="232">
      <c r="A232" s="5" t="inlineStr">
        <is>
          <t>CUUR0000SEFV05</t>
        </is>
      </c>
      <c r="B232" t="inlineStr">
        <is>
          <t>SEFV05</t>
        </is>
      </c>
      <c r="C232" t="inlineStr">
        <is>
          <t>Other food away from home</t>
        </is>
      </c>
      <c r="D232" t="inlineStr">
        <is>
          <t>NSA</t>
        </is>
      </c>
      <c r="E232" s="5" t="inlineStr">
        <is>
          <t>https://data.bls.gov/timeseries/CUUR0000SEFV05</t>
        </is>
      </c>
    </row>
    <row r="233">
      <c r="A233" s="5" t="inlineStr">
        <is>
          <t>CUSR0000SEFV05</t>
        </is>
      </c>
      <c r="B233" t="inlineStr">
        <is>
          <t>SEFV05</t>
        </is>
      </c>
      <c r="C233" t="inlineStr">
        <is>
          <t>Other food away from home</t>
        </is>
      </c>
      <c r="D233" t="inlineStr">
        <is>
          <t>SA</t>
        </is>
      </c>
      <c r="E233" s="5" t="inlineStr">
        <is>
          <t>https://data.bls.gov/timeseries/CUSR0000SEFV05</t>
        </is>
      </c>
    </row>
    <row r="234">
      <c r="A234" s="5" t="inlineStr">
        <is>
          <t>CUUR0000SAF116</t>
        </is>
      </c>
      <c r="B234" t="inlineStr">
        <is>
          <t>SAF116</t>
        </is>
      </c>
      <c r="C234" t="inlineStr">
        <is>
          <t>Alcoholic beverages</t>
        </is>
      </c>
      <c r="D234" t="inlineStr">
        <is>
          <t>NSA</t>
        </is>
      </c>
      <c r="E234" s="5" t="inlineStr">
        <is>
          <t>https://data.bls.gov/timeseries/CUUR0000SAF116</t>
        </is>
      </c>
    </row>
    <row r="235">
      <c r="A235" s="5" t="inlineStr">
        <is>
          <t>CUSR0000SAF116</t>
        </is>
      </c>
      <c r="B235" t="inlineStr">
        <is>
          <t>SAF116</t>
        </is>
      </c>
      <c r="C235" t="inlineStr">
        <is>
          <t>Alcoholic beverages</t>
        </is>
      </c>
      <c r="D235" t="inlineStr">
        <is>
          <t>SA</t>
        </is>
      </c>
      <c r="E235" s="5" t="inlineStr">
        <is>
          <t>https://data.bls.gov/timeseries/CUSR0000SAF116</t>
        </is>
      </c>
    </row>
    <row r="236">
      <c r="A236" s="5" t="inlineStr">
        <is>
          <t>CUUR0000SEFW</t>
        </is>
      </c>
      <c r="B236" t="inlineStr">
        <is>
          <t>SEFW</t>
        </is>
      </c>
      <c r="C236" t="inlineStr">
        <is>
          <t>Alcoholic beverages at home</t>
        </is>
      </c>
      <c r="D236" t="inlineStr">
        <is>
          <t>NSA</t>
        </is>
      </c>
      <c r="E236" s="5" t="inlineStr">
        <is>
          <t>https://data.bls.gov/timeseries/CUUR0000SEFW</t>
        </is>
      </c>
    </row>
    <row r="237">
      <c r="A237" s="5" t="inlineStr">
        <is>
          <t>CUSR0000SEFW</t>
        </is>
      </c>
      <c r="B237" t="inlineStr">
        <is>
          <t>SEFW</t>
        </is>
      </c>
      <c r="C237" t="inlineStr">
        <is>
          <t>Alcoholic beverages at home</t>
        </is>
      </c>
      <c r="D237" t="inlineStr">
        <is>
          <t>SA</t>
        </is>
      </c>
      <c r="E237" s="5" t="inlineStr">
        <is>
          <t>https://data.bls.gov/timeseries/CUSR0000SEFW</t>
        </is>
      </c>
    </row>
    <row r="238">
      <c r="A238" s="5" t="inlineStr">
        <is>
          <t>CUUR0000SEFW01</t>
        </is>
      </c>
      <c r="B238" t="inlineStr">
        <is>
          <t>SEFW01</t>
        </is>
      </c>
      <c r="C238" t="inlineStr">
        <is>
          <t>Beer, ale, and other malt beverages at home</t>
        </is>
      </c>
      <c r="D238" t="inlineStr">
        <is>
          <t>NSA</t>
        </is>
      </c>
      <c r="E238" s="5" t="inlineStr">
        <is>
          <t>https://data.bls.gov/timeseries/CUUR0000SEFW01</t>
        </is>
      </c>
    </row>
    <row r="239">
      <c r="A239" s="5" t="inlineStr">
        <is>
          <t>CUSR0000SEFW01</t>
        </is>
      </c>
      <c r="B239" t="inlineStr">
        <is>
          <t>SEFW01</t>
        </is>
      </c>
      <c r="C239" t="inlineStr">
        <is>
          <t>Beer, ale, and other malt beverages at home</t>
        </is>
      </c>
      <c r="D239" t="inlineStr">
        <is>
          <t>SA</t>
        </is>
      </c>
      <c r="E239" s="5" t="inlineStr">
        <is>
          <t>https://data.bls.gov/timeseries/CUSR0000SEFW01</t>
        </is>
      </c>
    </row>
    <row r="240">
      <c r="A240" s="5" t="inlineStr">
        <is>
          <t>CUUR0000SEFW02</t>
        </is>
      </c>
      <c r="B240" t="inlineStr">
        <is>
          <t>SEFW02</t>
        </is>
      </c>
      <c r="C240" t="inlineStr">
        <is>
          <t>Distilled spirits at home</t>
        </is>
      </c>
      <c r="D240" t="inlineStr">
        <is>
          <t>NSA</t>
        </is>
      </c>
      <c r="E240" s="5" t="inlineStr">
        <is>
          <t>https://data.bls.gov/timeseries/CUUR0000SEFW02</t>
        </is>
      </c>
    </row>
    <row r="241">
      <c r="A241" s="5" t="inlineStr">
        <is>
          <t>CUSR0000SEFW02</t>
        </is>
      </c>
      <c r="B241" t="inlineStr">
        <is>
          <t>SEFW02</t>
        </is>
      </c>
      <c r="C241" t="inlineStr">
        <is>
          <t>Distilled spirits at home</t>
        </is>
      </c>
      <c r="D241" t="inlineStr">
        <is>
          <t>SA</t>
        </is>
      </c>
      <c r="E241" s="5" t="inlineStr">
        <is>
          <t>https://data.bls.gov/timeseries/CUSR0000SEFW02</t>
        </is>
      </c>
    </row>
    <row r="242">
      <c r="A242" s="5" t="inlineStr">
        <is>
          <t>CUUR0000SS20021</t>
        </is>
      </c>
      <c r="B242" t="inlineStr">
        <is>
          <t>SS20021</t>
        </is>
      </c>
      <c r="C242" t="inlineStr">
        <is>
          <t>Whiskey at home</t>
        </is>
      </c>
      <c r="D242" t="inlineStr">
        <is>
          <t>NSA</t>
        </is>
      </c>
      <c r="E242" s="5" t="inlineStr">
        <is>
          <t>https://data.bls.gov/timeseries/CUUR0000SS20021</t>
        </is>
      </c>
    </row>
    <row r="243">
      <c r="A243" s="5" t="inlineStr">
        <is>
          <t>CUSR0000SS20021</t>
        </is>
      </c>
      <c r="B243" t="inlineStr">
        <is>
          <t>SS20021</t>
        </is>
      </c>
      <c r="C243" t="inlineStr">
        <is>
          <t>Whiskey at home</t>
        </is>
      </c>
      <c r="D243" t="inlineStr">
        <is>
          <t>SA</t>
        </is>
      </c>
      <c r="E243" s="5" t="inlineStr">
        <is>
          <t>https://data.bls.gov/timeseries/CUSR0000SS20021</t>
        </is>
      </c>
    </row>
    <row r="244">
      <c r="A244" s="5" t="inlineStr">
        <is>
          <t>CUUR0000SS20022</t>
        </is>
      </c>
      <c r="B244" t="inlineStr">
        <is>
          <t>SS20022</t>
        </is>
      </c>
      <c r="C244" t="inlineStr">
        <is>
          <t>Distilled spirits, excluding whiskey, at home</t>
        </is>
      </c>
      <c r="D244" t="inlineStr">
        <is>
          <t>NSA</t>
        </is>
      </c>
      <c r="E244" s="5" t="inlineStr">
        <is>
          <t>https://data.bls.gov/timeseries/CUUR0000SS20022</t>
        </is>
      </c>
    </row>
    <row r="245">
      <c r="A245" s="5" t="inlineStr">
        <is>
          <t>CUSR0000SS20022</t>
        </is>
      </c>
      <c r="B245" t="inlineStr">
        <is>
          <t>SS20022</t>
        </is>
      </c>
      <c r="C245" t="inlineStr">
        <is>
          <t>Distilled spirits, excluding whiskey, at home</t>
        </is>
      </c>
      <c r="D245" t="inlineStr">
        <is>
          <t>SA</t>
        </is>
      </c>
      <c r="E245" s="5" t="inlineStr">
        <is>
          <t>https://data.bls.gov/timeseries/CUSR0000SS20022</t>
        </is>
      </c>
    </row>
    <row r="246">
      <c r="A246" s="5" t="inlineStr">
        <is>
          <t>CUUR0000SEFW03</t>
        </is>
      </c>
      <c r="B246" t="inlineStr">
        <is>
          <t>SEFW03</t>
        </is>
      </c>
      <c r="C246" t="inlineStr">
        <is>
          <t>Wine at home</t>
        </is>
      </c>
      <c r="D246" t="inlineStr">
        <is>
          <t>NSA</t>
        </is>
      </c>
      <c r="E246" s="5" t="inlineStr">
        <is>
          <t>https://data.bls.gov/timeseries/CUUR0000SEFW03</t>
        </is>
      </c>
    </row>
    <row r="247">
      <c r="A247" s="5" t="inlineStr">
        <is>
          <t>CUSR0000SEFW03</t>
        </is>
      </c>
      <c r="B247" t="inlineStr">
        <is>
          <t>SEFW03</t>
        </is>
      </c>
      <c r="C247" t="inlineStr">
        <is>
          <t>Wine at home</t>
        </is>
      </c>
      <c r="D247" t="inlineStr">
        <is>
          <t>SA</t>
        </is>
      </c>
      <c r="E247" s="5" t="inlineStr">
        <is>
          <t>https://data.bls.gov/timeseries/CUSR0000SEFW03</t>
        </is>
      </c>
    </row>
    <row r="248">
      <c r="A248" s="5" t="inlineStr">
        <is>
          <t>CUUR0000SEFX</t>
        </is>
      </c>
      <c r="B248" t="inlineStr">
        <is>
          <t>SEFX</t>
        </is>
      </c>
      <c r="C248" t="inlineStr">
        <is>
          <t>Alcoholic beverages away from home</t>
        </is>
      </c>
      <c r="D248" t="inlineStr">
        <is>
          <t>NSA</t>
        </is>
      </c>
      <c r="E248" s="5" t="inlineStr">
        <is>
          <t>https://data.bls.gov/timeseries/CUUR0000SEFX</t>
        </is>
      </c>
    </row>
    <row r="249">
      <c r="A249" s="5" t="inlineStr">
        <is>
          <t>CUSR0000SEFX</t>
        </is>
      </c>
      <c r="B249" t="inlineStr">
        <is>
          <t>SEFX</t>
        </is>
      </c>
      <c r="C249" t="inlineStr">
        <is>
          <t>Alcoholic beverages away from home</t>
        </is>
      </c>
      <c r="D249" t="inlineStr">
        <is>
          <t>SA</t>
        </is>
      </c>
      <c r="E249" s="5" t="inlineStr">
        <is>
          <t>https://data.bls.gov/timeseries/CUSR0000SEFX</t>
        </is>
      </c>
    </row>
    <row r="250">
      <c r="A250" s="5" t="inlineStr">
        <is>
          <t>CUUR0000SS20051</t>
        </is>
      </c>
      <c r="B250" t="inlineStr">
        <is>
          <t>SS20051</t>
        </is>
      </c>
      <c r="C250" t="inlineStr">
        <is>
          <t>Beer, ale, and other malt beverages away from home</t>
        </is>
      </c>
      <c r="D250" t="inlineStr">
        <is>
          <t>NSA</t>
        </is>
      </c>
      <c r="E250" s="5" t="inlineStr">
        <is>
          <t>https://data.bls.gov/timeseries/CUUR0000SS20051</t>
        </is>
      </c>
    </row>
    <row r="251">
      <c r="A251" s="5" t="inlineStr">
        <is>
          <t>CUUR0000SS20052</t>
        </is>
      </c>
      <c r="B251" t="inlineStr">
        <is>
          <t>SS20052</t>
        </is>
      </c>
      <c r="C251" t="inlineStr">
        <is>
          <t>Wine away from home</t>
        </is>
      </c>
      <c r="D251" t="inlineStr">
        <is>
          <t>NSA</t>
        </is>
      </c>
      <c r="E251" s="5" t="inlineStr">
        <is>
          <t>https://data.bls.gov/timeseries/CUUR0000SS20052</t>
        </is>
      </c>
    </row>
    <row r="252">
      <c r="A252" s="5" t="inlineStr">
        <is>
          <t>CUUR0000SS20053</t>
        </is>
      </c>
      <c r="B252" t="inlineStr">
        <is>
          <t>SS20053</t>
        </is>
      </c>
      <c r="C252" t="inlineStr">
        <is>
          <t>Distilled spirits away from home</t>
        </is>
      </c>
      <c r="D252" t="inlineStr">
        <is>
          <t>NSA</t>
        </is>
      </c>
      <c r="E252" s="5" t="inlineStr">
        <is>
          <t>https://data.bls.gov/timeseries/CUUR0000SS20053</t>
        </is>
      </c>
    </row>
    <row r="253">
      <c r="A253" s="5" t="inlineStr">
        <is>
          <t>CUSR0000SS20053</t>
        </is>
      </c>
      <c r="B253" t="inlineStr">
        <is>
          <t>SS20053</t>
        </is>
      </c>
      <c r="C253" t="inlineStr">
        <is>
          <t>Distilled spirits away from home</t>
        </is>
      </c>
      <c r="D253" t="inlineStr">
        <is>
          <t>SA</t>
        </is>
      </c>
      <c r="E253" s="5" t="inlineStr">
        <is>
          <t>https://data.bls.gov/timeseries/CUSR0000SS20053</t>
        </is>
      </c>
    </row>
    <row r="254">
      <c r="A254" s="5" t="inlineStr">
        <is>
          <t>CUUR0000SAH</t>
        </is>
      </c>
      <c r="B254" t="inlineStr">
        <is>
          <t>SAH</t>
        </is>
      </c>
      <c r="C254" t="inlineStr">
        <is>
          <t>Housing</t>
        </is>
      </c>
      <c r="D254" t="inlineStr">
        <is>
          <t>NSA</t>
        </is>
      </c>
      <c r="E254" s="5" t="inlineStr">
        <is>
          <t>https://data.bls.gov/timeseries/CUUR0000SAH</t>
        </is>
      </c>
    </row>
    <row r="255">
      <c r="A255" s="5" t="inlineStr">
        <is>
          <t>CUSR0000SAH</t>
        </is>
      </c>
      <c r="B255" t="inlineStr">
        <is>
          <t>SAH</t>
        </is>
      </c>
      <c r="C255" t="inlineStr">
        <is>
          <t>Housing</t>
        </is>
      </c>
      <c r="D255" t="inlineStr">
        <is>
          <t>SA</t>
        </is>
      </c>
      <c r="E255" s="5" t="inlineStr">
        <is>
          <t>https://data.bls.gov/timeseries/CUSR0000SAH</t>
        </is>
      </c>
    </row>
    <row r="256">
      <c r="A256" s="5" t="inlineStr">
        <is>
          <t>CUUR0000SAH1</t>
        </is>
      </c>
      <c r="B256" t="inlineStr">
        <is>
          <t>SAH1</t>
        </is>
      </c>
      <c r="C256" t="inlineStr">
        <is>
          <t>Shelter</t>
        </is>
      </c>
      <c r="D256" t="inlineStr">
        <is>
          <t>NSA</t>
        </is>
      </c>
      <c r="E256" s="5" t="inlineStr">
        <is>
          <t>https://data.bls.gov/timeseries/CUUR0000SAH1</t>
        </is>
      </c>
    </row>
    <row r="257">
      <c r="A257" s="5" t="inlineStr">
        <is>
          <t>CUSR0000SAH1</t>
        </is>
      </c>
      <c r="B257" t="inlineStr">
        <is>
          <t>SAH1</t>
        </is>
      </c>
      <c r="C257" t="inlineStr">
        <is>
          <t>Shelter</t>
        </is>
      </c>
      <c r="D257" t="inlineStr">
        <is>
          <t>SA</t>
        </is>
      </c>
      <c r="E257" s="5" t="inlineStr">
        <is>
          <t>https://data.bls.gov/timeseries/CUSR0000SAH1</t>
        </is>
      </c>
    </row>
    <row r="258">
      <c r="A258" s="5" t="inlineStr">
        <is>
          <t>CUUR0000SEHA</t>
        </is>
      </c>
      <c r="B258" t="inlineStr">
        <is>
          <t>SEHA</t>
        </is>
      </c>
      <c r="C258" t="inlineStr">
        <is>
          <t>Rent of primary residence</t>
        </is>
      </c>
      <c r="D258" t="inlineStr">
        <is>
          <t>NSA</t>
        </is>
      </c>
      <c r="E258" s="5" t="inlineStr">
        <is>
          <t>https://data.bls.gov/timeseries/CUUR0000SEHA</t>
        </is>
      </c>
    </row>
    <row r="259">
      <c r="A259" s="5" t="inlineStr">
        <is>
          <t>CUSR0000SEHA</t>
        </is>
      </c>
      <c r="B259" t="inlineStr">
        <is>
          <t>SEHA</t>
        </is>
      </c>
      <c r="C259" t="inlineStr">
        <is>
          <t>Rent of primary residence</t>
        </is>
      </c>
      <c r="D259" t="inlineStr">
        <is>
          <t>SA</t>
        </is>
      </c>
      <c r="E259" s="5" t="inlineStr">
        <is>
          <t>https://data.bls.gov/timeseries/CUSR0000SEHA</t>
        </is>
      </c>
    </row>
    <row r="260">
      <c r="A260" s="5" t="inlineStr">
        <is>
          <t>CUUR0000SEHB</t>
        </is>
      </c>
      <c r="B260" t="inlineStr">
        <is>
          <t>SEHB</t>
        </is>
      </c>
      <c r="C260" t="inlineStr">
        <is>
          <t>Lodging away from home</t>
        </is>
      </c>
      <c r="D260" t="inlineStr">
        <is>
          <t>NSA</t>
        </is>
      </c>
      <c r="E260" s="5" t="inlineStr">
        <is>
          <t>https://data.bls.gov/timeseries/CUUR0000SEHB</t>
        </is>
      </c>
    </row>
    <row r="261">
      <c r="A261" s="5" t="inlineStr">
        <is>
          <t>CUSR0000SEHB</t>
        </is>
      </c>
      <c r="B261" t="inlineStr">
        <is>
          <t>SEHB</t>
        </is>
      </c>
      <c r="C261" t="inlineStr">
        <is>
          <t>Lodging away from home</t>
        </is>
      </c>
      <c r="D261" t="inlineStr">
        <is>
          <t>SA</t>
        </is>
      </c>
      <c r="E261" s="5" t="inlineStr">
        <is>
          <t>https://data.bls.gov/timeseries/CUSR0000SEHB</t>
        </is>
      </c>
    </row>
    <row r="262">
      <c r="A262" s="5" t="inlineStr">
        <is>
          <t>CUUR0000SEHB01</t>
        </is>
      </c>
      <c r="B262" t="inlineStr">
        <is>
          <t>SEHB01</t>
        </is>
      </c>
      <c r="C262" t="inlineStr">
        <is>
          <t>Lodging while at school</t>
        </is>
      </c>
      <c r="D262" t="inlineStr">
        <is>
          <t>NSA</t>
        </is>
      </c>
      <c r="E262" s="5" t="inlineStr">
        <is>
          <t>https://data.bls.gov/timeseries/CUUR0000SEHB01</t>
        </is>
      </c>
    </row>
    <row r="263">
      <c r="A263" s="5" t="inlineStr">
        <is>
          <t>CUSR0000SEHB01</t>
        </is>
      </c>
      <c r="B263" t="inlineStr">
        <is>
          <t>SEHB01</t>
        </is>
      </c>
      <c r="C263" t="inlineStr">
        <is>
          <t>Lodging while at school</t>
        </is>
      </c>
      <c r="D263" t="inlineStr">
        <is>
          <t>SA</t>
        </is>
      </c>
      <c r="E263" s="5" t="inlineStr">
        <is>
          <t>https://data.bls.gov/timeseries/CUSR0000SEHB01</t>
        </is>
      </c>
    </row>
    <row r="264">
      <c r="A264" s="5" t="inlineStr">
        <is>
          <t>CUUR0000SEHB02</t>
        </is>
      </c>
      <c r="B264" t="inlineStr">
        <is>
          <t>SEHB02</t>
        </is>
      </c>
      <c r="C264" t="inlineStr">
        <is>
          <t>Other lodging away from home including hotels and motels</t>
        </is>
      </c>
      <c r="D264" t="inlineStr">
        <is>
          <t>NSA</t>
        </is>
      </c>
      <c r="E264" s="5" t="inlineStr">
        <is>
          <t>https://data.bls.gov/timeseries/CUUR0000SEHB02</t>
        </is>
      </c>
    </row>
    <row r="265">
      <c r="A265" s="5" t="inlineStr">
        <is>
          <t>CUSR0000SEHB02</t>
        </is>
      </c>
      <c r="B265" t="inlineStr">
        <is>
          <t>SEHB02</t>
        </is>
      </c>
      <c r="C265" t="inlineStr">
        <is>
          <t>Other lodging away from home including hotels and motels</t>
        </is>
      </c>
      <c r="D265" t="inlineStr">
        <is>
          <t>SA</t>
        </is>
      </c>
      <c r="E265" s="5" t="inlineStr">
        <is>
          <t>https://data.bls.gov/timeseries/CUSR0000SEHB02</t>
        </is>
      </c>
    </row>
    <row r="266">
      <c r="A266" s="5" t="inlineStr">
        <is>
          <t>CUUR0000SEHC</t>
        </is>
      </c>
      <c r="B266" t="inlineStr">
        <is>
          <t>SEHC</t>
        </is>
      </c>
      <c r="C266" t="inlineStr">
        <is>
          <t>Owners' equivalent rent of residences</t>
        </is>
      </c>
      <c r="D266" t="inlineStr">
        <is>
          <t>NSA</t>
        </is>
      </c>
      <c r="E266" s="5" t="inlineStr">
        <is>
          <t>https://data.bls.gov/timeseries/CUUR0000SEHC</t>
        </is>
      </c>
    </row>
    <row r="267">
      <c r="A267" s="5" t="inlineStr">
        <is>
          <t>CUSR0000SEHC</t>
        </is>
      </c>
      <c r="B267" t="inlineStr">
        <is>
          <t>SEHC</t>
        </is>
      </c>
      <c r="C267" t="inlineStr">
        <is>
          <t>Owners' equivalent rent of residences</t>
        </is>
      </c>
      <c r="D267" t="inlineStr">
        <is>
          <t>SA</t>
        </is>
      </c>
      <c r="E267" s="5" t="inlineStr">
        <is>
          <t>https://data.bls.gov/timeseries/CUSR0000SEHC</t>
        </is>
      </c>
    </row>
    <row r="268">
      <c r="A268" s="5" t="inlineStr">
        <is>
          <t>CUUR0000SEHC01</t>
        </is>
      </c>
      <c r="B268" t="inlineStr">
        <is>
          <t>SEHC01</t>
        </is>
      </c>
      <c r="C268" t="inlineStr">
        <is>
          <t>Owners' equivalent rent of primary residence</t>
        </is>
      </c>
      <c r="D268" t="inlineStr">
        <is>
          <t>NSA</t>
        </is>
      </c>
      <c r="E268" s="5" t="inlineStr">
        <is>
          <t>https://data.bls.gov/timeseries/CUUR0000SEHC01</t>
        </is>
      </c>
    </row>
    <row r="269">
      <c r="A269" s="5" t="inlineStr">
        <is>
          <t>CUSR0000SEHC01</t>
        </is>
      </c>
      <c r="B269" t="inlineStr">
        <is>
          <t>SEHC01</t>
        </is>
      </c>
      <c r="C269" t="inlineStr">
        <is>
          <t>Owners' equivalent rent of primary residence</t>
        </is>
      </c>
      <c r="D269" t="inlineStr">
        <is>
          <t>SA</t>
        </is>
      </c>
      <c r="E269" s="5" t="inlineStr">
        <is>
          <t>https://data.bls.gov/timeseries/CUSR0000SEHC01</t>
        </is>
      </c>
    </row>
    <row r="270">
      <c r="A270" s="5" t="inlineStr">
        <is>
          <t>CUUR0000SEHD</t>
        </is>
      </c>
      <c r="B270" t="inlineStr">
        <is>
          <t>SEHD</t>
        </is>
      </c>
      <c r="C270" t="inlineStr">
        <is>
          <t>Tenants' and household insurance</t>
        </is>
      </c>
      <c r="D270" t="inlineStr">
        <is>
          <t>NSA</t>
        </is>
      </c>
      <c r="E270" s="5" t="inlineStr">
        <is>
          <t>https://data.bls.gov/timeseries/CUUR0000SEHD</t>
        </is>
      </c>
    </row>
    <row r="271">
      <c r="A271" s="5" t="inlineStr">
        <is>
          <t>CUUR0000SAH2</t>
        </is>
      </c>
      <c r="B271" t="inlineStr">
        <is>
          <t>SAH2</t>
        </is>
      </c>
      <c r="C271" t="inlineStr">
        <is>
          <t>Fuels and utilities</t>
        </is>
      </c>
      <c r="D271" t="inlineStr">
        <is>
          <t>NSA</t>
        </is>
      </c>
      <c r="E271" s="5" t="inlineStr">
        <is>
          <t>https://data.bls.gov/timeseries/CUUR0000SAH2</t>
        </is>
      </c>
    </row>
    <row r="272">
      <c r="A272" s="5" t="inlineStr">
        <is>
          <t>CUSR0000SAH2</t>
        </is>
      </c>
      <c r="B272" t="inlineStr">
        <is>
          <t>SAH2</t>
        </is>
      </c>
      <c r="C272" t="inlineStr">
        <is>
          <t>Fuels and utilities</t>
        </is>
      </c>
      <c r="D272" t="inlineStr">
        <is>
          <t>SA</t>
        </is>
      </c>
      <c r="E272" s="5" t="inlineStr">
        <is>
          <t>https://data.bls.gov/timeseries/CUSR0000SAH2</t>
        </is>
      </c>
    </row>
    <row r="273">
      <c r="A273" s="5" t="inlineStr">
        <is>
          <t>CUUR0000SAH21</t>
        </is>
      </c>
      <c r="B273" t="inlineStr">
        <is>
          <t>SAH21</t>
        </is>
      </c>
      <c r="C273" t="inlineStr">
        <is>
          <t>Household energy</t>
        </is>
      </c>
      <c r="D273" t="inlineStr">
        <is>
          <t>NSA</t>
        </is>
      </c>
      <c r="E273" s="5" t="inlineStr">
        <is>
          <t>https://data.bls.gov/timeseries/CUUR0000SAH21</t>
        </is>
      </c>
    </row>
    <row r="274">
      <c r="A274" s="5" t="inlineStr">
        <is>
          <t>CUSR0000SAH21</t>
        </is>
      </c>
      <c r="B274" t="inlineStr">
        <is>
          <t>SAH21</t>
        </is>
      </c>
      <c r="C274" t="inlineStr">
        <is>
          <t>Household energy</t>
        </is>
      </c>
      <c r="D274" t="inlineStr">
        <is>
          <t>SA</t>
        </is>
      </c>
      <c r="E274" s="5" t="inlineStr">
        <is>
          <t>https://data.bls.gov/timeseries/CUSR0000SAH21</t>
        </is>
      </c>
    </row>
    <row r="275">
      <c r="A275" s="5" t="inlineStr">
        <is>
          <t>CUUR0000SEHE</t>
        </is>
      </c>
      <c r="B275" t="inlineStr">
        <is>
          <t>SEHE</t>
        </is>
      </c>
      <c r="C275" t="inlineStr">
        <is>
          <t>Fuel oil and other fuels</t>
        </is>
      </c>
      <c r="D275" t="inlineStr">
        <is>
          <t>NSA</t>
        </is>
      </c>
      <c r="E275" s="5" t="inlineStr">
        <is>
          <t>https://data.bls.gov/timeseries/CUUR0000SEHE</t>
        </is>
      </c>
    </row>
    <row r="276">
      <c r="A276" s="5" t="inlineStr">
        <is>
          <t>CUSR0000SEHE</t>
        </is>
      </c>
      <c r="B276" t="inlineStr">
        <is>
          <t>SEHE</t>
        </is>
      </c>
      <c r="C276" t="inlineStr">
        <is>
          <t>Fuel oil and other fuels</t>
        </is>
      </c>
      <c r="D276" t="inlineStr">
        <is>
          <t>SA</t>
        </is>
      </c>
      <c r="E276" s="5" t="inlineStr">
        <is>
          <t>https://data.bls.gov/timeseries/CUSR0000SEHE</t>
        </is>
      </c>
    </row>
    <row r="277">
      <c r="A277" s="5" t="inlineStr">
        <is>
          <t>CUUR0000SEHE01</t>
        </is>
      </c>
      <c r="B277" t="inlineStr">
        <is>
          <t>SEHE01</t>
        </is>
      </c>
      <c r="C277" t="inlineStr">
        <is>
          <t>Fuel oil</t>
        </is>
      </c>
      <c r="D277" t="inlineStr">
        <is>
          <t>NSA</t>
        </is>
      </c>
      <c r="E277" s="5" t="inlineStr">
        <is>
          <t>https://data.bls.gov/timeseries/CUUR0000SEHE01</t>
        </is>
      </c>
    </row>
    <row r="278">
      <c r="A278" s="5" t="inlineStr">
        <is>
          <t>CUSR0000SEHE01</t>
        </is>
      </c>
      <c r="B278" t="inlineStr">
        <is>
          <t>SEHE01</t>
        </is>
      </c>
      <c r="C278" t="inlineStr">
        <is>
          <t>Fuel oil</t>
        </is>
      </c>
      <c r="D278" t="inlineStr">
        <is>
          <t>SA</t>
        </is>
      </c>
      <c r="E278" s="5" t="inlineStr">
        <is>
          <t>https://data.bls.gov/timeseries/CUSR0000SEHE01</t>
        </is>
      </c>
    </row>
    <row r="279">
      <c r="A279" s="5" t="inlineStr">
        <is>
          <t>CUUR0000SEHE02</t>
        </is>
      </c>
      <c r="B279" t="inlineStr">
        <is>
          <t>SEHE02</t>
        </is>
      </c>
      <c r="C279" t="inlineStr">
        <is>
          <t>Propane, kerosene, and firewood</t>
        </is>
      </c>
      <c r="D279" t="inlineStr">
        <is>
          <t>NSA</t>
        </is>
      </c>
      <c r="E279" s="5" t="inlineStr">
        <is>
          <t>https://data.bls.gov/timeseries/CUUR0000SEHE02</t>
        </is>
      </c>
    </row>
    <row r="280">
      <c r="A280" s="5" t="inlineStr">
        <is>
          <t>CUSR0000SEHE02</t>
        </is>
      </c>
      <c r="B280" t="inlineStr">
        <is>
          <t>SEHE02</t>
        </is>
      </c>
      <c r="C280" t="inlineStr">
        <is>
          <t>Propane, kerosene, and firewood</t>
        </is>
      </c>
      <c r="D280" t="inlineStr">
        <is>
          <t>SA</t>
        </is>
      </c>
      <c r="E280" s="5" t="inlineStr">
        <is>
          <t>https://data.bls.gov/timeseries/CUSR0000SEHE02</t>
        </is>
      </c>
    </row>
    <row r="281">
      <c r="A281" s="5" t="inlineStr">
        <is>
          <t>CUUR0000SEHF</t>
        </is>
      </c>
      <c r="B281" t="inlineStr">
        <is>
          <t>SEHF</t>
        </is>
      </c>
      <c r="C281" t="inlineStr">
        <is>
          <t>Energy services</t>
        </is>
      </c>
      <c r="D281" t="inlineStr">
        <is>
          <t>NSA</t>
        </is>
      </c>
      <c r="E281" s="5" t="inlineStr">
        <is>
          <t>https://data.bls.gov/timeseries/CUUR0000SEHF</t>
        </is>
      </c>
    </row>
    <row r="282">
      <c r="A282" s="5" t="inlineStr">
        <is>
          <t>CUSR0000SEHF</t>
        </is>
      </c>
      <c r="B282" t="inlineStr">
        <is>
          <t>SEHF</t>
        </is>
      </c>
      <c r="C282" t="inlineStr">
        <is>
          <t>Energy services</t>
        </is>
      </c>
      <c r="D282" t="inlineStr">
        <is>
          <t>SA</t>
        </is>
      </c>
      <c r="E282" s="5" t="inlineStr">
        <is>
          <t>https://data.bls.gov/timeseries/CUSR0000SEHF</t>
        </is>
      </c>
    </row>
    <row r="283">
      <c r="A283" s="5" t="inlineStr">
        <is>
          <t>CUUR0000SEHF01</t>
        </is>
      </c>
      <c r="B283" t="inlineStr">
        <is>
          <t>SEHF01</t>
        </is>
      </c>
      <c r="C283" t="inlineStr">
        <is>
          <t>Electricity</t>
        </is>
      </c>
      <c r="D283" t="inlineStr">
        <is>
          <t>NSA</t>
        </is>
      </c>
      <c r="E283" s="5" t="inlineStr">
        <is>
          <t>https://data.bls.gov/timeseries/CUUR0000SEHF01</t>
        </is>
      </c>
    </row>
    <row r="284">
      <c r="A284" s="5" t="inlineStr">
        <is>
          <t>CUSR0000SEHF01</t>
        </is>
      </c>
      <c r="B284" t="inlineStr">
        <is>
          <t>SEHF01</t>
        </is>
      </c>
      <c r="C284" t="inlineStr">
        <is>
          <t>Electricity</t>
        </is>
      </c>
      <c r="D284" t="inlineStr">
        <is>
          <t>SA</t>
        </is>
      </c>
      <c r="E284" s="5" t="inlineStr">
        <is>
          <t>https://data.bls.gov/timeseries/CUSR0000SEHF01</t>
        </is>
      </c>
    </row>
    <row r="285">
      <c r="A285" s="5" t="inlineStr">
        <is>
          <t>CUUR0000SEHF02</t>
        </is>
      </c>
      <c r="B285" t="inlineStr">
        <is>
          <t>SEHF02</t>
        </is>
      </c>
      <c r="C285" t="inlineStr">
        <is>
          <t>Utility (piped) gas service</t>
        </is>
      </c>
      <c r="D285" t="inlineStr">
        <is>
          <t>NSA</t>
        </is>
      </c>
      <c r="E285" s="5" t="inlineStr">
        <is>
          <t>https://data.bls.gov/timeseries/CUUR0000SEHF02</t>
        </is>
      </c>
    </row>
    <row r="286">
      <c r="A286" s="5" t="inlineStr">
        <is>
          <t>CUSR0000SEHF02</t>
        </is>
      </c>
      <c r="B286" t="inlineStr">
        <is>
          <t>SEHF02</t>
        </is>
      </c>
      <c r="C286" t="inlineStr">
        <is>
          <t>Utility (piped) gas service</t>
        </is>
      </c>
      <c r="D286" t="inlineStr">
        <is>
          <t>SA</t>
        </is>
      </c>
      <c r="E286" s="5" t="inlineStr">
        <is>
          <t>https://data.bls.gov/timeseries/CUSR0000SEHF02</t>
        </is>
      </c>
    </row>
    <row r="287">
      <c r="A287" s="5" t="inlineStr">
        <is>
          <t>CUUR0000SEHG</t>
        </is>
      </c>
      <c r="B287" t="inlineStr">
        <is>
          <t>SEHG</t>
        </is>
      </c>
      <c r="C287" t="inlineStr">
        <is>
          <t>Water and sewer and trash collection services</t>
        </is>
      </c>
      <c r="D287" t="inlineStr">
        <is>
          <t>NSA</t>
        </is>
      </c>
      <c r="E287" s="5" t="inlineStr">
        <is>
          <t>https://data.bls.gov/timeseries/CUUR0000SEHG</t>
        </is>
      </c>
    </row>
    <row r="288">
      <c r="A288" s="5" t="inlineStr">
        <is>
          <t>CUSR0000SEHG</t>
        </is>
      </c>
      <c r="B288" t="inlineStr">
        <is>
          <t>SEHG</t>
        </is>
      </c>
      <c r="C288" t="inlineStr">
        <is>
          <t>Water and sewer and trash collection services</t>
        </is>
      </c>
      <c r="D288" t="inlineStr">
        <is>
          <t>SA</t>
        </is>
      </c>
      <c r="E288" s="5" t="inlineStr">
        <is>
          <t>https://data.bls.gov/timeseries/CUSR0000SEHG</t>
        </is>
      </c>
    </row>
    <row r="289">
      <c r="A289" s="5" t="inlineStr">
        <is>
          <t>CUUR0000SEHG01</t>
        </is>
      </c>
      <c r="B289" t="inlineStr">
        <is>
          <t>SEHG01</t>
        </is>
      </c>
      <c r="C289" t="inlineStr">
        <is>
          <t>Water and sewerage maintenance</t>
        </is>
      </c>
      <c r="D289" t="inlineStr">
        <is>
          <t>NSA</t>
        </is>
      </c>
      <c r="E289" s="5" t="inlineStr">
        <is>
          <t>https://data.bls.gov/timeseries/CUUR0000SEHG01</t>
        </is>
      </c>
    </row>
    <row r="290">
      <c r="A290" s="5" t="inlineStr">
        <is>
          <t>CUSR0000SEHG01</t>
        </is>
      </c>
      <c r="B290" t="inlineStr">
        <is>
          <t>SEHG01</t>
        </is>
      </c>
      <c r="C290" t="inlineStr">
        <is>
          <t>Water and sewerage maintenance</t>
        </is>
      </c>
      <c r="D290" t="inlineStr">
        <is>
          <t>SA</t>
        </is>
      </c>
      <c r="E290" s="5" t="inlineStr">
        <is>
          <t>https://data.bls.gov/timeseries/CUSR0000SEHG01</t>
        </is>
      </c>
    </row>
    <row r="291">
      <c r="A291" s="5" t="inlineStr">
        <is>
          <t>CUUR0000SEHG02</t>
        </is>
      </c>
      <c r="B291" t="inlineStr">
        <is>
          <t>SEHG02</t>
        </is>
      </c>
      <c r="C291" t="inlineStr">
        <is>
          <t>Garbage and trash collection</t>
        </is>
      </c>
      <c r="D291" t="inlineStr">
        <is>
          <t>NSA</t>
        </is>
      </c>
      <c r="E291" s="5" t="inlineStr">
        <is>
          <t>https://data.bls.gov/timeseries/CUUR0000SEHG02</t>
        </is>
      </c>
    </row>
    <row r="292">
      <c r="A292" s="5" t="inlineStr">
        <is>
          <t>CUSR0000SEHG02</t>
        </is>
      </c>
      <c r="B292" t="inlineStr">
        <is>
          <t>SEHG02</t>
        </is>
      </c>
      <c r="C292" t="inlineStr">
        <is>
          <t>Garbage and trash collection</t>
        </is>
      </c>
      <c r="D292" t="inlineStr">
        <is>
          <t>SA</t>
        </is>
      </c>
      <c r="E292" s="5" t="inlineStr">
        <is>
          <t>https://data.bls.gov/timeseries/CUSR0000SEHG02</t>
        </is>
      </c>
    </row>
    <row r="293">
      <c r="A293" s="5" t="inlineStr">
        <is>
          <t>CUUR0000SAH3</t>
        </is>
      </c>
      <c r="B293" t="inlineStr">
        <is>
          <t>SAH3</t>
        </is>
      </c>
      <c r="C293" t="inlineStr">
        <is>
          <t>Household furnishings and operations</t>
        </is>
      </c>
      <c r="D293" t="inlineStr">
        <is>
          <t>NSA</t>
        </is>
      </c>
      <c r="E293" s="5" t="inlineStr">
        <is>
          <t>https://data.bls.gov/timeseries/CUUR0000SAH3</t>
        </is>
      </c>
    </row>
    <row r="294">
      <c r="A294" s="5" t="inlineStr">
        <is>
          <t>CUSR0000SAH3</t>
        </is>
      </c>
      <c r="B294" t="inlineStr">
        <is>
          <t>SAH3</t>
        </is>
      </c>
      <c r="C294" t="inlineStr">
        <is>
          <t>Household furnishings and operations</t>
        </is>
      </c>
      <c r="D294" t="inlineStr">
        <is>
          <t>SA</t>
        </is>
      </c>
      <c r="E294" s="5" t="inlineStr">
        <is>
          <t>https://data.bls.gov/timeseries/CUSR0000SAH3</t>
        </is>
      </c>
    </row>
    <row r="295">
      <c r="A295" s="5" t="inlineStr">
        <is>
          <t>CUUR0000SEHH</t>
        </is>
      </c>
      <c r="B295" t="inlineStr">
        <is>
          <t>SEHH</t>
        </is>
      </c>
      <c r="C295" t="inlineStr">
        <is>
          <t>Window and floor coverings and other linens</t>
        </is>
      </c>
      <c r="D295" t="inlineStr">
        <is>
          <t>NSA</t>
        </is>
      </c>
      <c r="E295" s="5" t="inlineStr">
        <is>
          <t>https://data.bls.gov/timeseries/CUUR0000SEHH</t>
        </is>
      </c>
    </row>
    <row r="296">
      <c r="A296" s="5" t="inlineStr">
        <is>
          <t>CUSR0000SEHH</t>
        </is>
      </c>
      <c r="B296" t="inlineStr">
        <is>
          <t>SEHH</t>
        </is>
      </c>
      <c r="C296" t="inlineStr">
        <is>
          <t>Window and floor coverings and other linens</t>
        </is>
      </c>
      <c r="D296" t="inlineStr">
        <is>
          <t>SA</t>
        </is>
      </c>
      <c r="E296" s="5" t="inlineStr">
        <is>
          <t>https://data.bls.gov/timeseries/CUSR0000SEHH</t>
        </is>
      </c>
    </row>
    <row r="297">
      <c r="A297" s="5" t="inlineStr">
        <is>
          <t>CUUR0000SEHH01</t>
        </is>
      </c>
      <c r="B297" t="inlineStr">
        <is>
          <t>SEHH01</t>
        </is>
      </c>
      <c r="C297" t="inlineStr">
        <is>
          <t>Floor coverings</t>
        </is>
      </c>
      <c r="D297" t="inlineStr">
        <is>
          <t>NSA</t>
        </is>
      </c>
      <c r="E297" s="5" t="inlineStr">
        <is>
          <t>https://data.bls.gov/timeseries/CUUR0000SEHH01</t>
        </is>
      </c>
    </row>
    <row r="298">
      <c r="A298" s="5" t="inlineStr">
        <is>
          <t>CUUR0000SEHH02</t>
        </is>
      </c>
      <c r="B298" t="inlineStr">
        <is>
          <t>SEHH02</t>
        </is>
      </c>
      <c r="C298" t="inlineStr">
        <is>
          <t>Window coverings</t>
        </is>
      </c>
      <c r="D298" t="inlineStr">
        <is>
          <t>NSA</t>
        </is>
      </c>
      <c r="E298" s="5" t="inlineStr">
        <is>
          <t>https://data.bls.gov/timeseries/CUUR0000SEHH02</t>
        </is>
      </c>
    </row>
    <row r="299">
      <c r="A299" s="5" t="inlineStr">
        <is>
          <t>CUSR0000SEHH02</t>
        </is>
      </c>
      <c r="B299" t="inlineStr">
        <is>
          <t>SEHH02</t>
        </is>
      </c>
      <c r="C299" t="inlineStr">
        <is>
          <t>Window coverings</t>
        </is>
      </c>
      <c r="D299" t="inlineStr">
        <is>
          <t>SA</t>
        </is>
      </c>
      <c r="E299" s="5" t="inlineStr">
        <is>
          <t>https://data.bls.gov/timeseries/CUSR0000SEHH02</t>
        </is>
      </c>
    </row>
    <row r="300">
      <c r="A300" s="5" t="inlineStr">
        <is>
          <t>CUUR0000SEHH03</t>
        </is>
      </c>
      <c r="B300" t="inlineStr">
        <is>
          <t>SEHH03</t>
        </is>
      </c>
      <c r="C300" t="inlineStr">
        <is>
          <t>Other linens</t>
        </is>
      </c>
      <c r="D300" t="inlineStr">
        <is>
          <t>NSA</t>
        </is>
      </c>
      <c r="E300" s="5" t="inlineStr">
        <is>
          <t>https://data.bls.gov/timeseries/CUUR0000SEHH03</t>
        </is>
      </c>
    </row>
    <row r="301">
      <c r="A301" s="5" t="inlineStr">
        <is>
          <t>CUSR0000SEHH03</t>
        </is>
      </c>
      <c r="B301" t="inlineStr">
        <is>
          <t>SEHH03</t>
        </is>
      </c>
      <c r="C301" t="inlineStr">
        <is>
          <t>Other linens</t>
        </is>
      </c>
      <c r="D301" t="inlineStr">
        <is>
          <t>SA</t>
        </is>
      </c>
      <c r="E301" s="5" t="inlineStr">
        <is>
          <t>https://data.bls.gov/timeseries/CUSR0000SEHH03</t>
        </is>
      </c>
    </row>
    <row r="302">
      <c r="A302" s="5" t="inlineStr">
        <is>
          <t>CUUR0000SEHJ</t>
        </is>
      </c>
      <c r="B302" t="inlineStr">
        <is>
          <t>SEHJ</t>
        </is>
      </c>
      <c r="C302" t="inlineStr">
        <is>
          <t>Furniture and bedding</t>
        </is>
      </c>
      <c r="D302" t="inlineStr">
        <is>
          <t>NSA</t>
        </is>
      </c>
      <c r="E302" s="5" t="inlineStr">
        <is>
          <t>https://data.bls.gov/timeseries/CUUR0000SEHJ</t>
        </is>
      </c>
    </row>
    <row r="303">
      <c r="A303" s="5" t="inlineStr">
        <is>
          <t>CUSR0000SEHJ</t>
        </is>
      </c>
      <c r="B303" t="inlineStr">
        <is>
          <t>SEHJ</t>
        </is>
      </c>
      <c r="C303" t="inlineStr">
        <is>
          <t>Furniture and bedding</t>
        </is>
      </c>
      <c r="D303" t="inlineStr">
        <is>
          <t>SA</t>
        </is>
      </c>
      <c r="E303" s="5" t="inlineStr">
        <is>
          <t>https://data.bls.gov/timeseries/CUSR0000SEHJ</t>
        </is>
      </c>
    </row>
    <row r="304">
      <c r="A304" s="5" t="inlineStr">
        <is>
          <t>CUUR0000SEHJ01</t>
        </is>
      </c>
      <c r="B304" t="inlineStr">
        <is>
          <t>SEHJ01</t>
        </is>
      </c>
      <c r="C304" t="inlineStr">
        <is>
          <t>Bedroom furniture</t>
        </is>
      </c>
      <c r="D304" t="inlineStr">
        <is>
          <t>NSA</t>
        </is>
      </c>
      <c r="E304" s="5" t="inlineStr">
        <is>
          <t>https://data.bls.gov/timeseries/CUUR0000SEHJ01</t>
        </is>
      </c>
    </row>
    <row r="305">
      <c r="A305" s="5" t="inlineStr">
        <is>
          <t>CUUR0000SEHJ02</t>
        </is>
      </c>
      <c r="B305" t="inlineStr">
        <is>
          <t>SEHJ02</t>
        </is>
      </c>
      <c r="C305" t="inlineStr">
        <is>
          <t>Living room, kitchen, and dining room furniture</t>
        </is>
      </c>
      <c r="D305" t="inlineStr">
        <is>
          <t>NSA</t>
        </is>
      </c>
      <c r="E305" s="5" t="inlineStr">
        <is>
          <t>https://data.bls.gov/timeseries/CUUR0000SEHJ02</t>
        </is>
      </c>
    </row>
    <row r="306">
      <c r="A306" s="5" t="inlineStr">
        <is>
          <t>CUUR0000SEHJ03</t>
        </is>
      </c>
      <c r="B306" t="inlineStr">
        <is>
          <t>SEHJ03</t>
        </is>
      </c>
      <c r="C306" t="inlineStr">
        <is>
          <t>Other furniture</t>
        </is>
      </c>
      <c r="D306" t="inlineStr">
        <is>
          <t>NSA</t>
        </is>
      </c>
      <c r="E306" s="5" t="inlineStr">
        <is>
          <t>https://data.bls.gov/timeseries/CUUR0000SEHJ03</t>
        </is>
      </c>
    </row>
    <row r="307">
      <c r="A307" s="5" t="inlineStr">
        <is>
          <t>CUSR0000SEHJ03</t>
        </is>
      </c>
      <c r="B307" t="inlineStr">
        <is>
          <t>SEHJ03</t>
        </is>
      </c>
      <c r="C307" t="inlineStr">
        <is>
          <t>Other furniture</t>
        </is>
      </c>
      <c r="D307" t="inlineStr">
        <is>
          <t>SA</t>
        </is>
      </c>
      <c r="E307" s="5" t="inlineStr">
        <is>
          <t>https://data.bls.gov/timeseries/CUSR0000SEHJ03</t>
        </is>
      </c>
    </row>
    <row r="308">
      <c r="A308" s="5" t="inlineStr">
        <is>
          <t>CUUR0000SSHJ031</t>
        </is>
      </c>
      <c r="B308" t="inlineStr">
        <is>
          <t>SSHJ031</t>
        </is>
      </c>
      <c r="C308" t="inlineStr">
        <is>
          <t>Infants' furniture</t>
        </is>
      </c>
      <c r="D308" t="inlineStr">
        <is>
          <t>NSA</t>
        </is>
      </c>
      <c r="E308" s="5" t="inlineStr">
        <is>
          <t>https://data.bls.gov/timeseries/CUUR0000SSHJ031</t>
        </is>
      </c>
    </row>
    <row r="309">
      <c r="A309" s="5" t="inlineStr">
        <is>
          <t>CUUR0000SEHK</t>
        </is>
      </c>
      <c r="B309" t="inlineStr">
        <is>
          <t>SEHK</t>
        </is>
      </c>
      <c r="C309" t="inlineStr">
        <is>
          <t>Appliances</t>
        </is>
      </c>
      <c r="D309" t="inlineStr">
        <is>
          <t>NSA</t>
        </is>
      </c>
      <c r="E309" s="5" t="inlineStr">
        <is>
          <t>https://data.bls.gov/timeseries/CUUR0000SEHK</t>
        </is>
      </c>
    </row>
    <row r="310">
      <c r="A310" s="5" t="inlineStr">
        <is>
          <t>CUSR0000SEHK</t>
        </is>
      </c>
      <c r="B310" t="inlineStr">
        <is>
          <t>SEHK</t>
        </is>
      </c>
      <c r="C310" t="inlineStr">
        <is>
          <t>Appliances</t>
        </is>
      </c>
      <c r="D310" t="inlineStr">
        <is>
          <t>SA</t>
        </is>
      </c>
      <c r="E310" s="5" t="inlineStr">
        <is>
          <t>https://data.bls.gov/timeseries/CUSR0000SEHK</t>
        </is>
      </c>
    </row>
    <row r="311">
      <c r="A311" s="5" t="inlineStr">
        <is>
          <t>CUUR0000SEHK01</t>
        </is>
      </c>
      <c r="B311" t="inlineStr">
        <is>
          <t>SEHK01</t>
        </is>
      </c>
      <c r="C311" t="inlineStr">
        <is>
          <t>Major appliances</t>
        </is>
      </c>
      <c r="D311" t="inlineStr">
        <is>
          <t>NSA</t>
        </is>
      </c>
      <c r="E311" s="5" t="inlineStr">
        <is>
          <t>https://data.bls.gov/timeseries/CUUR0000SEHK01</t>
        </is>
      </c>
    </row>
    <row r="312">
      <c r="A312" s="5" t="inlineStr">
        <is>
          <t>CUSR0000SEHK01</t>
        </is>
      </c>
      <c r="B312" t="inlineStr">
        <is>
          <t>SEHK01</t>
        </is>
      </c>
      <c r="C312" t="inlineStr">
        <is>
          <t>Major appliances</t>
        </is>
      </c>
      <c r="D312" t="inlineStr">
        <is>
          <t>SA</t>
        </is>
      </c>
      <c r="E312" s="5" t="inlineStr">
        <is>
          <t>https://data.bls.gov/timeseries/CUSR0000SEHK01</t>
        </is>
      </c>
    </row>
    <row r="313">
      <c r="A313" s="5" t="inlineStr">
        <is>
          <t>CUUR0000SS30021</t>
        </is>
      </c>
      <c r="B313" t="inlineStr">
        <is>
          <t>SS30021</t>
        </is>
      </c>
      <c r="C313" t="inlineStr">
        <is>
          <t>Laundry equipment</t>
        </is>
      </c>
      <c r="D313" t="inlineStr">
        <is>
          <t>NSA</t>
        </is>
      </c>
      <c r="E313" s="5" t="inlineStr">
        <is>
          <t>https://data.bls.gov/timeseries/CUUR0000SS30021</t>
        </is>
      </c>
    </row>
    <row r="314">
      <c r="A314" s="5" t="inlineStr">
        <is>
          <t>CUSR0000SS30021</t>
        </is>
      </c>
      <c r="B314" t="inlineStr">
        <is>
          <t>SS30021</t>
        </is>
      </c>
      <c r="C314" t="inlineStr">
        <is>
          <t>Laundry equipment</t>
        </is>
      </c>
      <c r="D314" t="inlineStr">
        <is>
          <t>SA</t>
        </is>
      </c>
      <c r="E314" s="5" t="inlineStr">
        <is>
          <t>https://data.bls.gov/timeseries/CUSR0000SS30021</t>
        </is>
      </c>
    </row>
    <row r="315">
      <c r="A315" s="5" t="inlineStr">
        <is>
          <t>CUUR0000SEHK02</t>
        </is>
      </c>
      <c r="B315" t="inlineStr">
        <is>
          <t>SEHK02</t>
        </is>
      </c>
      <c r="C315" t="inlineStr">
        <is>
          <t>Other appliances</t>
        </is>
      </c>
      <c r="D315" t="inlineStr">
        <is>
          <t>NSA</t>
        </is>
      </c>
      <c r="E315" s="5" t="inlineStr">
        <is>
          <t>https://data.bls.gov/timeseries/CUUR0000SEHK02</t>
        </is>
      </c>
    </row>
    <row r="316">
      <c r="A316" s="5" t="inlineStr">
        <is>
          <t>CUSR0000SEHK02</t>
        </is>
      </c>
      <c r="B316" t="inlineStr">
        <is>
          <t>SEHK02</t>
        </is>
      </c>
      <c r="C316" t="inlineStr">
        <is>
          <t>Other appliances</t>
        </is>
      </c>
      <c r="D316" t="inlineStr">
        <is>
          <t>SA</t>
        </is>
      </c>
      <c r="E316" s="5" t="inlineStr">
        <is>
          <t>https://data.bls.gov/timeseries/CUSR0000SEHK02</t>
        </is>
      </c>
    </row>
    <row r="317">
      <c r="A317" s="5" t="inlineStr">
        <is>
          <t>CUUR0000SEHL</t>
        </is>
      </c>
      <c r="B317" t="inlineStr">
        <is>
          <t>SEHL</t>
        </is>
      </c>
      <c r="C317" t="inlineStr">
        <is>
          <t>Other household equipment and furnishings</t>
        </is>
      </c>
      <c r="D317" t="inlineStr">
        <is>
          <t>NSA</t>
        </is>
      </c>
      <c r="E317" s="5" t="inlineStr">
        <is>
          <t>https://data.bls.gov/timeseries/CUUR0000SEHL</t>
        </is>
      </c>
    </row>
    <row r="318">
      <c r="A318" s="5" t="inlineStr">
        <is>
          <t>CUSR0000SEHL</t>
        </is>
      </c>
      <c r="B318" t="inlineStr">
        <is>
          <t>SEHL</t>
        </is>
      </c>
      <c r="C318" t="inlineStr">
        <is>
          <t>Other household equipment and furnishings</t>
        </is>
      </c>
      <c r="D318" t="inlineStr">
        <is>
          <t>SA</t>
        </is>
      </c>
      <c r="E318" s="5" t="inlineStr">
        <is>
          <t>https://data.bls.gov/timeseries/CUSR0000SEHL</t>
        </is>
      </c>
    </row>
    <row r="319">
      <c r="A319" s="5" t="inlineStr">
        <is>
          <t>CUUR0000SEHL01</t>
        </is>
      </c>
      <c r="B319" t="inlineStr">
        <is>
          <t>SEHL01</t>
        </is>
      </c>
      <c r="C319" t="inlineStr">
        <is>
          <t>Clocks, lamps, and decorator items</t>
        </is>
      </c>
      <c r="D319" t="inlineStr">
        <is>
          <t>NSA</t>
        </is>
      </c>
      <c r="E319" s="5" t="inlineStr">
        <is>
          <t>https://data.bls.gov/timeseries/CUUR0000SEHL01</t>
        </is>
      </c>
    </row>
    <row r="320">
      <c r="A320" s="5" t="inlineStr">
        <is>
          <t>CUUR0000SEHL02</t>
        </is>
      </c>
      <c r="B320" t="inlineStr">
        <is>
          <t>SEHL02</t>
        </is>
      </c>
      <c r="C320" t="inlineStr">
        <is>
          <t>Indoor plants and flowers</t>
        </is>
      </c>
      <c r="D320" t="inlineStr">
        <is>
          <t>NSA</t>
        </is>
      </c>
      <c r="E320" s="5" t="inlineStr">
        <is>
          <t>https://data.bls.gov/timeseries/CUUR0000SEHL02</t>
        </is>
      </c>
    </row>
    <row r="321">
      <c r="A321" s="5" t="inlineStr">
        <is>
          <t>CUSR0000SEHL02</t>
        </is>
      </c>
      <c r="B321" t="inlineStr">
        <is>
          <t>SEHL02</t>
        </is>
      </c>
      <c r="C321" t="inlineStr">
        <is>
          <t>Indoor plants and flowers</t>
        </is>
      </c>
      <c r="D321" t="inlineStr">
        <is>
          <t>SA</t>
        </is>
      </c>
      <c r="E321" s="5" t="inlineStr">
        <is>
          <t>https://data.bls.gov/timeseries/CUSR0000SEHL02</t>
        </is>
      </c>
    </row>
    <row r="322">
      <c r="A322" s="5" t="inlineStr">
        <is>
          <t>CUUR0000SEHL03</t>
        </is>
      </c>
      <c r="B322" t="inlineStr">
        <is>
          <t>SEHL03</t>
        </is>
      </c>
      <c r="C322" t="inlineStr">
        <is>
          <t>Dishes and flatware</t>
        </is>
      </c>
      <c r="D322" t="inlineStr">
        <is>
          <t>NSA</t>
        </is>
      </c>
      <c r="E322" s="5" t="inlineStr">
        <is>
          <t>https://data.bls.gov/timeseries/CUUR0000SEHL03</t>
        </is>
      </c>
    </row>
    <row r="323">
      <c r="A323" s="5" t="inlineStr">
        <is>
          <t>CUUR0000SEHL04</t>
        </is>
      </c>
      <c r="B323" t="inlineStr">
        <is>
          <t>SEHL04</t>
        </is>
      </c>
      <c r="C323" t="inlineStr">
        <is>
          <t>Nonelectric cookware and tableware</t>
        </is>
      </c>
      <c r="D323" t="inlineStr">
        <is>
          <t>NSA</t>
        </is>
      </c>
      <c r="E323" s="5" t="inlineStr">
        <is>
          <t>https://data.bls.gov/timeseries/CUUR0000SEHL04</t>
        </is>
      </c>
    </row>
    <row r="324">
      <c r="A324" s="5" t="inlineStr">
        <is>
          <t>CUSR0000SEHL04</t>
        </is>
      </c>
      <c r="B324" t="inlineStr">
        <is>
          <t>SEHL04</t>
        </is>
      </c>
      <c r="C324" t="inlineStr">
        <is>
          <t>Nonelectric cookware and tableware</t>
        </is>
      </c>
      <c r="D324" t="inlineStr">
        <is>
          <t>SA</t>
        </is>
      </c>
      <c r="E324" s="5" t="inlineStr">
        <is>
          <t>https://data.bls.gov/timeseries/CUSR0000SEHL04</t>
        </is>
      </c>
    </row>
    <row r="325">
      <c r="A325" s="5" t="inlineStr">
        <is>
          <t>CUUR0000SEHM</t>
        </is>
      </c>
      <c r="B325" t="inlineStr">
        <is>
          <t>SEHM</t>
        </is>
      </c>
      <c r="C325" t="inlineStr">
        <is>
          <t>Tools, hardware, outdoor equipment and supplies</t>
        </is>
      </c>
      <c r="D325" t="inlineStr">
        <is>
          <t>NSA</t>
        </is>
      </c>
      <c r="E325" s="5" t="inlineStr">
        <is>
          <t>https://data.bls.gov/timeseries/CUUR0000SEHM</t>
        </is>
      </c>
    </row>
    <row r="326">
      <c r="A326" s="5" t="inlineStr">
        <is>
          <t>CUSR0000SEHM</t>
        </is>
      </c>
      <c r="B326" t="inlineStr">
        <is>
          <t>SEHM</t>
        </is>
      </c>
      <c r="C326" t="inlineStr">
        <is>
          <t>Tools, hardware, outdoor equipment and supplies</t>
        </is>
      </c>
      <c r="D326" t="inlineStr">
        <is>
          <t>SA</t>
        </is>
      </c>
      <c r="E326" s="5" t="inlineStr">
        <is>
          <t>https://data.bls.gov/timeseries/CUSR0000SEHM</t>
        </is>
      </c>
    </row>
    <row r="327">
      <c r="A327" s="5" t="inlineStr">
        <is>
          <t>CUUR0000SEHM01</t>
        </is>
      </c>
      <c r="B327" t="inlineStr">
        <is>
          <t>SEHM01</t>
        </is>
      </c>
      <c r="C327" t="inlineStr">
        <is>
          <t>Tools, hardware and supplies</t>
        </is>
      </c>
      <c r="D327" t="inlineStr">
        <is>
          <t>NSA</t>
        </is>
      </c>
      <c r="E327" s="5" t="inlineStr">
        <is>
          <t>https://data.bls.gov/timeseries/CUUR0000SEHM01</t>
        </is>
      </c>
    </row>
    <row r="328">
      <c r="A328" s="5" t="inlineStr">
        <is>
          <t>CUSR0000SEHM01</t>
        </is>
      </c>
      <c r="B328" t="inlineStr">
        <is>
          <t>SEHM01</t>
        </is>
      </c>
      <c r="C328" t="inlineStr">
        <is>
          <t>Tools, hardware and supplies</t>
        </is>
      </c>
      <c r="D328" t="inlineStr">
        <is>
          <t>SA</t>
        </is>
      </c>
      <c r="E328" s="5" t="inlineStr">
        <is>
          <t>https://data.bls.gov/timeseries/CUSR0000SEHM01</t>
        </is>
      </c>
    </row>
    <row r="329">
      <c r="A329" s="5" t="inlineStr">
        <is>
          <t>CUUR0000SEHM02</t>
        </is>
      </c>
      <c r="B329" t="inlineStr">
        <is>
          <t>SEHM02</t>
        </is>
      </c>
      <c r="C329" t="inlineStr">
        <is>
          <t>Outdoor equipment and supplies</t>
        </is>
      </c>
      <c r="D329" t="inlineStr">
        <is>
          <t>NSA</t>
        </is>
      </c>
      <c r="E329" s="5" t="inlineStr">
        <is>
          <t>https://data.bls.gov/timeseries/CUUR0000SEHM02</t>
        </is>
      </c>
    </row>
    <row r="330">
      <c r="A330" s="5" t="inlineStr">
        <is>
          <t>CUSR0000SEHM02</t>
        </is>
      </c>
      <c r="B330" t="inlineStr">
        <is>
          <t>SEHM02</t>
        </is>
      </c>
      <c r="C330" t="inlineStr">
        <is>
          <t>Outdoor equipment and supplies</t>
        </is>
      </c>
      <c r="D330" t="inlineStr">
        <is>
          <t>SA</t>
        </is>
      </c>
      <c r="E330" s="5" t="inlineStr">
        <is>
          <t>https://data.bls.gov/timeseries/CUSR0000SEHM02</t>
        </is>
      </c>
    </row>
    <row r="331">
      <c r="A331" s="5" t="inlineStr">
        <is>
          <t>CUUR0000SEHN</t>
        </is>
      </c>
      <c r="B331" t="inlineStr">
        <is>
          <t>SEHN</t>
        </is>
      </c>
      <c r="C331" t="inlineStr">
        <is>
          <t>Housekeeping supplies</t>
        </is>
      </c>
      <c r="D331" t="inlineStr">
        <is>
          <t>NSA</t>
        </is>
      </c>
      <c r="E331" s="5" t="inlineStr">
        <is>
          <t>https://data.bls.gov/timeseries/CUUR0000SEHN</t>
        </is>
      </c>
    </row>
    <row r="332">
      <c r="A332" s="5" t="inlineStr">
        <is>
          <t>CUSR0000SEHN</t>
        </is>
      </c>
      <c r="B332" t="inlineStr">
        <is>
          <t>SEHN</t>
        </is>
      </c>
      <c r="C332" t="inlineStr">
        <is>
          <t>Housekeeping supplies</t>
        </is>
      </c>
      <c r="D332" t="inlineStr">
        <is>
          <t>SA</t>
        </is>
      </c>
      <c r="E332" s="5" t="inlineStr">
        <is>
          <t>https://data.bls.gov/timeseries/CUSR0000SEHN</t>
        </is>
      </c>
    </row>
    <row r="333">
      <c r="A333" s="5" t="inlineStr">
        <is>
          <t>CUUR0000SEHN01</t>
        </is>
      </c>
      <c r="B333" t="inlineStr">
        <is>
          <t>SEHN01</t>
        </is>
      </c>
      <c r="C333" t="inlineStr">
        <is>
          <t>Household cleaning products</t>
        </is>
      </c>
      <c r="D333" t="inlineStr">
        <is>
          <t>NSA</t>
        </is>
      </c>
      <c r="E333" s="5" t="inlineStr">
        <is>
          <t>https://data.bls.gov/timeseries/CUUR0000SEHN01</t>
        </is>
      </c>
    </row>
    <row r="334">
      <c r="A334" s="5" t="inlineStr">
        <is>
          <t>CUSR0000SEHN01</t>
        </is>
      </c>
      <c r="B334" t="inlineStr">
        <is>
          <t>SEHN01</t>
        </is>
      </c>
      <c r="C334" t="inlineStr">
        <is>
          <t>Household cleaning products</t>
        </is>
      </c>
      <c r="D334" t="inlineStr">
        <is>
          <t>SA</t>
        </is>
      </c>
      <c r="E334" s="5" t="inlineStr">
        <is>
          <t>https://data.bls.gov/timeseries/CUSR0000SEHN01</t>
        </is>
      </c>
    </row>
    <row r="335">
      <c r="A335" s="5" t="inlineStr">
        <is>
          <t>CUUR0000SEHN02</t>
        </is>
      </c>
      <c r="B335" t="inlineStr">
        <is>
          <t>SEHN02</t>
        </is>
      </c>
      <c r="C335" t="inlineStr">
        <is>
          <t>Household paper products</t>
        </is>
      </c>
      <c r="D335" t="inlineStr">
        <is>
          <t>NSA</t>
        </is>
      </c>
      <c r="E335" s="5" t="inlineStr">
        <is>
          <t>https://data.bls.gov/timeseries/CUUR0000SEHN02</t>
        </is>
      </c>
    </row>
    <row r="336">
      <c r="A336" s="5" t="inlineStr">
        <is>
          <t>CUUR0000SEHN03</t>
        </is>
      </c>
      <c r="B336" t="inlineStr">
        <is>
          <t>SEHN03</t>
        </is>
      </c>
      <c r="C336" t="inlineStr">
        <is>
          <t>Miscellaneous household products</t>
        </is>
      </c>
      <c r="D336" t="inlineStr">
        <is>
          <t>NSA</t>
        </is>
      </c>
      <c r="E336" s="5" t="inlineStr">
        <is>
          <t>https://data.bls.gov/timeseries/CUUR0000SEHN03</t>
        </is>
      </c>
    </row>
    <row r="337">
      <c r="A337" s="5" t="inlineStr">
        <is>
          <t>CUSR0000SEHN03</t>
        </is>
      </c>
      <c r="B337" t="inlineStr">
        <is>
          <t>SEHN03</t>
        </is>
      </c>
      <c r="C337" t="inlineStr">
        <is>
          <t>Miscellaneous household products</t>
        </is>
      </c>
      <c r="D337" t="inlineStr">
        <is>
          <t>SA</t>
        </is>
      </c>
      <c r="E337" s="5" t="inlineStr">
        <is>
          <t>https://data.bls.gov/timeseries/CUSR0000SEHN03</t>
        </is>
      </c>
    </row>
    <row r="338">
      <c r="A338" s="5" t="inlineStr">
        <is>
          <t>CUUR0000SEHP</t>
        </is>
      </c>
      <c r="B338" t="inlineStr">
        <is>
          <t>SEHP</t>
        </is>
      </c>
      <c r="C338" t="inlineStr">
        <is>
          <t>Household operations</t>
        </is>
      </c>
      <c r="D338" t="inlineStr">
        <is>
          <t>NSA</t>
        </is>
      </c>
      <c r="E338" s="5" t="inlineStr">
        <is>
          <t>https://data.bls.gov/timeseries/CUUR0000SEHP</t>
        </is>
      </c>
    </row>
    <row r="339">
      <c r="A339" s="5" t="inlineStr">
        <is>
          <t>CUUR0000SEHP01</t>
        </is>
      </c>
      <c r="B339" t="inlineStr">
        <is>
          <t>SEHP01</t>
        </is>
      </c>
      <c r="C339" t="inlineStr">
        <is>
          <t>Domestic services</t>
        </is>
      </c>
      <c r="D339" t="inlineStr">
        <is>
          <t>NSA</t>
        </is>
      </c>
      <c r="E339" s="5" t="inlineStr">
        <is>
          <t>https://data.bls.gov/timeseries/CUUR0000SEHP01</t>
        </is>
      </c>
    </row>
    <row r="340">
      <c r="A340" s="5" t="inlineStr">
        <is>
          <t>CUUR0000SEHP02</t>
        </is>
      </c>
      <c r="B340" t="inlineStr">
        <is>
          <t>SEHP02</t>
        </is>
      </c>
      <c r="C340" t="inlineStr">
        <is>
          <t>Gardening and lawncare services</t>
        </is>
      </c>
      <c r="D340" t="inlineStr">
        <is>
          <t>NSA</t>
        </is>
      </c>
      <c r="E340" s="5" t="inlineStr">
        <is>
          <t>https://data.bls.gov/timeseries/CUUR0000SEHP02</t>
        </is>
      </c>
    </row>
    <row r="341">
      <c r="A341" s="5" t="inlineStr">
        <is>
          <t>CUUR0000SEHP03</t>
        </is>
      </c>
      <c r="B341" t="inlineStr">
        <is>
          <t>SEHP03</t>
        </is>
      </c>
      <c r="C341" t="inlineStr">
        <is>
          <t>Moving, storage, freight expense</t>
        </is>
      </c>
      <c r="D341" t="inlineStr">
        <is>
          <t>NSA</t>
        </is>
      </c>
      <c r="E341" s="5" t="inlineStr">
        <is>
          <t>https://data.bls.gov/timeseries/CUUR0000SEHP03</t>
        </is>
      </c>
    </row>
    <row r="342">
      <c r="A342" s="5" t="inlineStr">
        <is>
          <t>CUSR0000SEHP03</t>
        </is>
      </c>
      <c r="B342" t="inlineStr">
        <is>
          <t>SEHP03</t>
        </is>
      </c>
      <c r="C342" t="inlineStr">
        <is>
          <t>Moving, storage, freight expense</t>
        </is>
      </c>
      <c r="D342" t="inlineStr">
        <is>
          <t>SA</t>
        </is>
      </c>
      <c r="E342" s="5" t="inlineStr">
        <is>
          <t>https://data.bls.gov/timeseries/CUSR0000SEHP03</t>
        </is>
      </c>
    </row>
    <row r="343">
      <c r="A343" s="5" t="inlineStr">
        <is>
          <t>CUUR0000SEHP04</t>
        </is>
      </c>
      <c r="B343" t="inlineStr">
        <is>
          <t>SEHP04</t>
        </is>
      </c>
      <c r="C343" t="inlineStr">
        <is>
          <t>Repair of household items</t>
        </is>
      </c>
      <c r="D343" t="inlineStr">
        <is>
          <t>NSA</t>
        </is>
      </c>
      <c r="E343" s="5" t="inlineStr">
        <is>
          <t>https://data.bls.gov/timeseries/CUUR0000SEHP04</t>
        </is>
      </c>
    </row>
    <row r="344">
      <c r="A344" s="5" t="inlineStr">
        <is>
          <t>CUUR0000SAA</t>
        </is>
      </c>
      <c r="B344" t="inlineStr">
        <is>
          <t>SAA</t>
        </is>
      </c>
      <c r="C344" t="inlineStr">
        <is>
          <t>Apparel</t>
        </is>
      </c>
      <c r="D344" t="inlineStr">
        <is>
          <t>NSA</t>
        </is>
      </c>
      <c r="E344" s="5" t="inlineStr">
        <is>
          <t>https://data.bls.gov/timeseries/CUUR0000SAA</t>
        </is>
      </c>
    </row>
    <row r="345">
      <c r="A345" s="5" t="inlineStr">
        <is>
          <t>CUSR0000SAA</t>
        </is>
      </c>
      <c r="B345" t="inlineStr">
        <is>
          <t>SAA</t>
        </is>
      </c>
      <c r="C345" t="inlineStr">
        <is>
          <t>Apparel</t>
        </is>
      </c>
      <c r="D345" t="inlineStr">
        <is>
          <t>SA</t>
        </is>
      </c>
      <c r="E345" s="5" t="inlineStr">
        <is>
          <t>https://data.bls.gov/timeseries/CUSR0000SAA</t>
        </is>
      </c>
    </row>
    <row r="346">
      <c r="A346" s="5" t="inlineStr">
        <is>
          <t>CUUR0000SAA1</t>
        </is>
      </c>
      <c r="B346" t="inlineStr">
        <is>
          <t>SAA1</t>
        </is>
      </c>
      <c r="C346" t="inlineStr">
        <is>
          <t>Men's and boys' apparel</t>
        </is>
      </c>
      <c r="D346" t="inlineStr">
        <is>
          <t>NSA</t>
        </is>
      </c>
      <c r="E346" s="5" t="inlineStr">
        <is>
          <t>https://data.bls.gov/timeseries/CUUR0000SAA1</t>
        </is>
      </c>
    </row>
    <row r="347">
      <c r="A347" s="5" t="inlineStr">
        <is>
          <t>CUSR0000SAA1</t>
        </is>
      </c>
      <c r="B347" t="inlineStr">
        <is>
          <t>SAA1</t>
        </is>
      </c>
      <c r="C347" t="inlineStr">
        <is>
          <t>Men's and boys' apparel</t>
        </is>
      </c>
      <c r="D347" t="inlineStr">
        <is>
          <t>SA</t>
        </is>
      </c>
      <c r="E347" s="5" t="inlineStr">
        <is>
          <t>https://data.bls.gov/timeseries/CUSR0000SAA1</t>
        </is>
      </c>
    </row>
    <row r="348">
      <c r="A348" s="5" t="inlineStr">
        <is>
          <t>CUUR0000SEAA</t>
        </is>
      </c>
      <c r="B348" t="inlineStr">
        <is>
          <t>SEAA</t>
        </is>
      </c>
      <c r="C348" t="inlineStr">
        <is>
          <t>Men's apparel</t>
        </is>
      </c>
      <c r="D348" t="inlineStr">
        <is>
          <t>NSA</t>
        </is>
      </c>
      <c r="E348" s="5" t="inlineStr">
        <is>
          <t>https://data.bls.gov/timeseries/CUUR0000SEAA</t>
        </is>
      </c>
    </row>
    <row r="349">
      <c r="A349" s="5" t="inlineStr">
        <is>
          <t>CUSR0000SEAA</t>
        </is>
      </c>
      <c r="B349" t="inlineStr">
        <is>
          <t>SEAA</t>
        </is>
      </c>
      <c r="C349" t="inlineStr">
        <is>
          <t>Men's apparel</t>
        </is>
      </c>
      <c r="D349" t="inlineStr">
        <is>
          <t>SA</t>
        </is>
      </c>
      <c r="E349" s="5" t="inlineStr">
        <is>
          <t>https://data.bls.gov/timeseries/CUSR0000SEAA</t>
        </is>
      </c>
    </row>
    <row r="350">
      <c r="A350" s="5" t="inlineStr">
        <is>
          <t>CUUR0000SEAA01</t>
        </is>
      </c>
      <c r="B350" t="inlineStr">
        <is>
          <t>SEAA01</t>
        </is>
      </c>
      <c r="C350" t="inlineStr">
        <is>
          <t>Men's suits, sport coats, and outerwear</t>
        </is>
      </c>
      <c r="D350" t="inlineStr">
        <is>
          <t>NSA</t>
        </is>
      </c>
      <c r="E350" s="5" t="inlineStr">
        <is>
          <t>https://data.bls.gov/timeseries/CUUR0000SEAA01</t>
        </is>
      </c>
    </row>
    <row r="351">
      <c r="A351" s="5" t="inlineStr">
        <is>
          <t>CUSR0000SEAA01</t>
        </is>
      </c>
      <c r="B351" t="inlineStr">
        <is>
          <t>SEAA01</t>
        </is>
      </c>
      <c r="C351" t="inlineStr">
        <is>
          <t>Men's suits, sport coats, and outerwear</t>
        </is>
      </c>
      <c r="D351" t="inlineStr">
        <is>
          <t>SA</t>
        </is>
      </c>
      <c r="E351" s="5" t="inlineStr">
        <is>
          <t>https://data.bls.gov/timeseries/CUSR0000SEAA01</t>
        </is>
      </c>
    </row>
    <row r="352">
      <c r="A352" s="5" t="inlineStr">
        <is>
          <t>CUUR0000SEAA02</t>
        </is>
      </c>
      <c r="B352" t="inlineStr">
        <is>
          <t>SEAA02</t>
        </is>
      </c>
      <c r="C352" t="inlineStr">
        <is>
          <t>Men's underwear, nightwear, swimwear and accessories</t>
        </is>
      </c>
      <c r="D352" t="inlineStr">
        <is>
          <t>NSA</t>
        </is>
      </c>
      <c r="E352" s="5" t="inlineStr">
        <is>
          <t>https://data.bls.gov/timeseries/CUUR0000SEAA02</t>
        </is>
      </c>
    </row>
    <row r="353">
      <c r="A353" s="5" t="inlineStr">
        <is>
          <t>CUSR0000SEAA02</t>
        </is>
      </c>
      <c r="B353" t="inlineStr">
        <is>
          <t>SEAA02</t>
        </is>
      </c>
      <c r="C353" t="inlineStr">
        <is>
          <t>Men's underwear, nightwear, swimwear and accessories</t>
        </is>
      </c>
      <c r="D353" t="inlineStr">
        <is>
          <t>SA</t>
        </is>
      </c>
      <c r="E353" s="5" t="inlineStr">
        <is>
          <t>https://data.bls.gov/timeseries/CUSR0000SEAA02</t>
        </is>
      </c>
    </row>
    <row r="354">
      <c r="A354" s="5" t="inlineStr">
        <is>
          <t>CUUR0000SEAA03</t>
        </is>
      </c>
      <c r="B354" t="inlineStr">
        <is>
          <t>SEAA03</t>
        </is>
      </c>
      <c r="C354" t="inlineStr">
        <is>
          <t>Men's shirts and sweaters</t>
        </is>
      </c>
      <c r="D354" t="inlineStr">
        <is>
          <t>NSA</t>
        </is>
      </c>
      <c r="E354" s="5" t="inlineStr">
        <is>
          <t>https://data.bls.gov/timeseries/CUUR0000SEAA03</t>
        </is>
      </c>
    </row>
    <row r="355">
      <c r="A355" s="5" t="inlineStr">
        <is>
          <t>CUSR0000SEAA03</t>
        </is>
      </c>
      <c r="B355" t="inlineStr">
        <is>
          <t>SEAA03</t>
        </is>
      </c>
      <c r="C355" t="inlineStr">
        <is>
          <t>Men's shirts and sweaters</t>
        </is>
      </c>
      <c r="D355" t="inlineStr">
        <is>
          <t>SA</t>
        </is>
      </c>
      <c r="E355" s="5" t="inlineStr">
        <is>
          <t>https://data.bls.gov/timeseries/CUSR0000SEAA03</t>
        </is>
      </c>
    </row>
    <row r="356">
      <c r="A356" s="5" t="inlineStr">
        <is>
          <t>CUUR0000SEAA04</t>
        </is>
      </c>
      <c r="B356" t="inlineStr">
        <is>
          <t>SEAA04</t>
        </is>
      </c>
      <c r="C356" t="inlineStr">
        <is>
          <t>Men's pants and shorts</t>
        </is>
      </c>
      <c r="D356" t="inlineStr">
        <is>
          <t>NSA</t>
        </is>
      </c>
      <c r="E356" s="5" t="inlineStr">
        <is>
          <t>https://data.bls.gov/timeseries/CUUR0000SEAA04</t>
        </is>
      </c>
    </row>
    <row r="357">
      <c r="A357" s="5" t="inlineStr">
        <is>
          <t>CUSR0000SEAA04</t>
        </is>
      </c>
      <c r="B357" t="inlineStr">
        <is>
          <t>SEAA04</t>
        </is>
      </c>
      <c r="C357" t="inlineStr">
        <is>
          <t>Men's pants and shorts</t>
        </is>
      </c>
      <c r="D357" t="inlineStr">
        <is>
          <t>SA</t>
        </is>
      </c>
      <c r="E357" s="5" t="inlineStr">
        <is>
          <t>https://data.bls.gov/timeseries/CUSR0000SEAA04</t>
        </is>
      </c>
    </row>
    <row r="358">
      <c r="A358" s="5" t="inlineStr">
        <is>
          <t>CUUR0000SEAB</t>
        </is>
      </c>
      <c r="B358" t="inlineStr">
        <is>
          <t>SEAB</t>
        </is>
      </c>
      <c r="C358" t="inlineStr">
        <is>
          <t>Boys' apparel</t>
        </is>
      </c>
      <c r="D358" t="inlineStr">
        <is>
          <t>NSA</t>
        </is>
      </c>
      <c r="E358" s="5" t="inlineStr">
        <is>
          <t>https://data.bls.gov/timeseries/CUUR0000SEAB</t>
        </is>
      </c>
    </row>
    <row r="359">
      <c r="A359" s="5" t="inlineStr">
        <is>
          <t>CUSR0000SEAB</t>
        </is>
      </c>
      <c r="B359" t="inlineStr">
        <is>
          <t>SEAB</t>
        </is>
      </c>
      <c r="C359" t="inlineStr">
        <is>
          <t>Boys' apparel</t>
        </is>
      </c>
      <c r="D359" t="inlineStr">
        <is>
          <t>SA</t>
        </is>
      </c>
      <c r="E359" s="5" t="inlineStr">
        <is>
          <t>https://data.bls.gov/timeseries/CUSR0000SEAB</t>
        </is>
      </c>
    </row>
    <row r="360">
      <c r="A360" s="5" t="inlineStr">
        <is>
          <t>CUUR0000SAA2</t>
        </is>
      </c>
      <c r="B360" t="inlineStr">
        <is>
          <t>SAA2</t>
        </is>
      </c>
      <c r="C360" t="inlineStr">
        <is>
          <t>Women's and girls' apparel</t>
        </is>
      </c>
      <c r="D360" t="inlineStr">
        <is>
          <t>NSA</t>
        </is>
      </c>
      <c r="E360" s="5" t="inlineStr">
        <is>
          <t>https://data.bls.gov/timeseries/CUUR0000SAA2</t>
        </is>
      </c>
    </row>
    <row r="361">
      <c r="A361" s="5" t="inlineStr">
        <is>
          <t>CUSR0000SAA2</t>
        </is>
      </c>
      <c r="B361" t="inlineStr">
        <is>
          <t>SAA2</t>
        </is>
      </c>
      <c r="C361" t="inlineStr">
        <is>
          <t>Women's and girls' apparel</t>
        </is>
      </c>
      <c r="D361" t="inlineStr">
        <is>
          <t>SA</t>
        </is>
      </c>
      <c r="E361" s="5" t="inlineStr">
        <is>
          <t>https://data.bls.gov/timeseries/CUSR0000SAA2</t>
        </is>
      </c>
    </row>
    <row r="362">
      <c r="A362" s="5" t="inlineStr">
        <is>
          <t>CUUR0000SEAC</t>
        </is>
      </c>
      <c r="B362" t="inlineStr">
        <is>
          <t>SEAC</t>
        </is>
      </c>
      <c r="C362" t="inlineStr">
        <is>
          <t>Women's apparel</t>
        </is>
      </c>
      <c r="D362" t="inlineStr">
        <is>
          <t>NSA</t>
        </is>
      </c>
      <c r="E362" s="5" t="inlineStr">
        <is>
          <t>https://data.bls.gov/timeseries/CUUR0000SEAC</t>
        </is>
      </c>
    </row>
    <row r="363">
      <c r="A363" s="5" t="inlineStr">
        <is>
          <t>CUSR0000SEAC</t>
        </is>
      </c>
      <c r="B363" t="inlineStr">
        <is>
          <t>SEAC</t>
        </is>
      </c>
      <c r="C363" t="inlineStr">
        <is>
          <t>Women's apparel</t>
        </is>
      </c>
      <c r="D363" t="inlineStr">
        <is>
          <t>SA</t>
        </is>
      </c>
      <c r="E363" s="5" t="inlineStr">
        <is>
          <t>https://data.bls.gov/timeseries/CUSR0000SEAC</t>
        </is>
      </c>
    </row>
    <row r="364">
      <c r="A364" s="5" t="inlineStr">
        <is>
          <t>CUUR0000SEAC01</t>
        </is>
      </c>
      <c r="B364" t="inlineStr">
        <is>
          <t>SEAC01</t>
        </is>
      </c>
      <c r="C364" t="inlineStr">
        <is>
          <t>Women's outerwear</t>
        </is>
      </c>
      <c r="D364" t="inlineStr">
        <is>
          <t>NSA</t>
        </is>
      </c>
      <c r="E364" s="5" t="inlineStr">
        <is>
          <t>https://data.bls.gov/timeseries/CUUR0000SEAC01</t>
        </is>
      </c>
    </row>
    <row r="365">
      <c r="A365" s="5" t="inlineStr">
        <is>
          <t>CUSR0000SEAC01</t>
        </is>
      </c>
      <c r="B365" t="inlineStr">
        <is>
          <t>SEAC01</t>
        </is>
      </c>
      <c r="C365" t="inlineStr">
        <is>
          <t>Women's outerwear</t>
        </is>
      </c>
      <c r="D365" t="inlineStr">
        <is>
          <t>SA</t>
        </is>
      </c>
      <c r="E365" s="5" t="inlineStr">
        <is>
          <t>https://data.bls.gov/timeseries/CUSR0000SEAC01</t>
        </is>
      </c>
    </row>
    <row r="366">
      <c r="A366" s="5" t="inlineStr">
        <is>
          <t>CUUR0000SEAC02</t>
        </is>
      </c>
      <c r="B366" t="inlineStr">
        <is>
          <t>SEAC02</t>
        </is>
      </c>
      <c r="C366" t="inlineStr">
        <is>
          <t>Women's dresses</t>
        </is>
      </c>
      <c r="D366" t="inlineStr">
        <is>
          <t>NSA</t>
        </is>
      </c>
      <c r="E366" s="5" t="inlineStr">
        <is>
          <t>https://data.bls.gov/timeseries/CUUR0000SEAC02</t>
        </is>
      </c>
    </row>
    <row r="367">
      <c r="A367" s="5" t="inlineStr">
        <is>
          <t>CUSR0000SEAC02</t>
        </is>
      </c>
      <c r="B367" t="inlineStr">
        <is>
          <t>SEAC02</t>
        </is>
      </c>
      <c r="C367" t="inlineStr">
        <is>
          <t>Women's dresses</t>
        </is>
      </c>
      <c r="D367" t="inlineStr">
        <is>
          <t>SA</t>
        </is>
      </c>
      <c r="E367" s="5" t="inlineStr">
        <is>
          <t>https://data.bls.gov/timeseries/CUSR0000SEAC02</t>
        </is>
      </c>
    </row>
    <row r="368">
      <c r="A368" s="5" t="inlineStr">
        <is>
          <t>CUUR0000SEAC03</t>
        </is>
      </c>
      <c r="B368" t="inlineStr">
        <is>
          <t>SEAC03</t>
        </is>
      </c>
      <c r="C368" t="inlineStr">
        <is>
          <t>Women's suits and separates</t>
        </is>
      </c>
      <c r="D368" t="inlineStr">
        <is>
          <t>NSA</t>
        </is>
      </c>
      <c r="E368" s="5" t="inlineStr">
        <is>
          <t>https://data.bls.gov/timeseries/CUUR0000SEAC03</t>
        </is>
      </c>
    </row>
    <row r="369">
      <c r="A369" s="5" t="inlineStr">
        <is>
          <t>CUSR0000SEAC03</t>
        </is>
      </c>
      <c r="B369" t="inlineStr">
        <is>
          <t>SEAC03</t>
        </is>
      </c>
      <c r="C369" t="inlineStr">
        <is>
          <t>Women's suits and separates</t>
        </is>
      </c>
      <c r="D369" t="inlineStr">
        <is>
          <t>SA</t>
        </is>
      </c>
      <c r="E369" s="5" t="inlineStr">
        <is>
          <t>https://data.bls.gov/timeseries/CUSR0000SEAC03</t>
        </is>
      </c>
    </row>
    <row r="370">
      <c r="A370" s="5" t="inlineStr">
        <is>
          <t>CUUR0000SEAC04</t>
        </is>
      </c>
      <c r="B370" t="inlineStr">
        <is>
          <t>SEAC04</t>
        </is>
      </c>
      <c r="C370" t="inlineStr">
        <is>
          <t>Women's underwear, nightwear, swimwear and accessories</t>
        </is>
      </c>
      <c r="D370" t="inlineStr">
        <is>
          <t>NSA</t>
        </is>
      </c>
      <c r="E370" s="5" t="inlineStr">
        <is>
          <t>https://data.bls.gov/timeseries/CUUR0000SEAC04</t>
        </is>
      </c>
    </row>
    <row r="371">
      <c r="A371" s="5" t="inlineStr">
        <is>
          <t>CUSR0000SEAC04</t>
        </is>
      </c>
      <c r="B371" t="inlineStr">
        <is>
          <t>SEAC04</t>
        </is>
      </c>
      <c r="C371" t="inlineStr">
        <is>
          <t>Women's underwear, nightwear, swimwear and accessories</t>
        </is>
      </c>
      <c r="D371" t="inlineStr">
        <is>
          <t>SA</t>
        </is>
      </c>
      <c r="E371" s="5" t="inlineStr">
        <is>
          <t>https://data.bls.gov/timeseries/CUSR0000SEAC04</t>
        </is>
      </c>
    </row>
    <row r="372">
      <c r="A372" s="5" t="inlineStr">
        <is>
          <t>CUUR0000SEAD</t>
        </is>
      </c>
      <c r="B372" t="inlineStr">
        <is>
          <t>SEAD</t>
        </is>
      </c>
      <c r="C372" t="inlineStr">
        <is>
          <t>Girls' apparel</t>
        </is>
      </c>
      <c r="D372" t="inlineStr">
        <is>
          <t>NSA</t>
        </is>
      </c>
      <c r="E372" s="5" t="inlineStr">
        <is>
          <t>https://data.bls.gov/timeseries/CUUR0000SEAD</t>
        </is>
      </c>
    </row>
    <row r="373">
      <c r="A373" s="5" t="inlineStr">
        <is>
          <t>CUSR0000SEAD</t>
        </is>
      </c>
      <c r="B373" t="inlineStr">
        <is>
          <t>SEAD</t>
        </is>
      </c>
      <c r="C373" t="inlineStr">
        <is>
          <t>Girls' apparel</t>
        </is>
      </c>
      <c r="D373" t="inlineStr">
        <is>
          <t>SA</t>
        </is>
      </c>
      <c r="E373" s="5" t="inlineStr">
        <is>
          <t>https://data.bls.gov/timeseries/CUSR0000SEAD</t>
        </is>
      </c>
    </row>
    <row r="374">
      <c r="A374" s="5" t="inlineStr">
        <is>
          <t>CUUR0000SEAE</t>
        </is>
      </c>
      <c r="B374" t="inlineStr">
        <is>
          <t>SEAE</t>
        </is>
      </c>
      <c r="C374" t="inlineStr">
        <is>
          <t>Footwear</t>
        </is>
      </c>
      <c r="D374" t="inlineStr">
        <is>
          <t>NSA</t>
        </is>
      </c>
      <c r="E374" s="5" t="inlineStr">
        <is>
          <t>https://data.bls.gov/timeseries/CUUR0000SEAE</t>
        </is>
      </c>
    </row>
    <row r="375">
      <c r="A375" s="5" t="inlineStr">
        <is>
          <t>CUSR0000SEAE</t>
        </is>
      </c>
      <c r="B375" t="inlineStr">
        <is>
          <t>SEAE</t>
        </is>
      </c>
      <c r="C375" t="inlineStr">
        <is>
          <t>Footwear</t>
        </is>
      </c>
      <c r="D375" t="inlineStr">
        <is>
          <t>SA</t>
        </is>
      </c>
      <c r="E375" s="5" t="inlineStr">
        <is>
          <t>https://data.bls.gov/timeseries/CUSR0000SEAE</t>
        </is>
      </c>
    </row>
    <row r="376">
      <c r="A376" s="5" t="inlineStr">
        <is>
          <t>CUUR0000SEAE01</t>
        </is>
      </c>
      <c r="B376" t="inlineStr">
        <is>
          <t>SEAE01</t>
        </is>
      </c>
      <c r="C376" t="inlineStr">
        <is>
          <t>Men's footwear</t>
        </is>
      </c>
      <c r="D376" t="inlineStr">
        <is>
          <t>NSA</t>
        </is>
      </c>
      <c r="E376" s="5" t="inlineStr">
        <is>
          <t>https://data.bls.gov/timeseries/CUUR0000SEAE01</t>
        </is>
      </c>
    </row>
    <row r="377">
      <c r="A377" s="5" t="inlineStr">
        <is>
          <t>CUSR0000SEAE01</t>
        </is>
      </c>
      <c r="B377" t="inlineStr">
        <is>
          <t>SEAE01</t>
        </is>
      </c>
      <c r="C377" t="inlineStr">
        <is>
          <t>Men's footwear</t>
        </is>
      </c>
      <c r="D377" t="inlineStr">
        <is>
          <t>SA</t>
        </is>
      </c>
      <c r="E377" s="5" t="inlineStr">
        <is>
          <t>https://data.bls.gov/timeseries/CUSR0000SEAE01</t>
        </is>
      </c>
    </row>
    <row r="378">
      <c r="A378" s="5" t="inlineStr">
        <is>
          <t>CUUR0000SEAE02</t>
        </is>
      </c>
      <c r="B378" t="inlineStr">
        <is>
          <t>SEAE02</t>
        </is>
      </c>
      <c r="C378" t="inlineStr">
        <is>
          <t>Boys' and girls' footwear</t>
        </is>
      </c>
      <c r="D378" t="inlineStr">
        <is>
          <t>NSA</t>
        </is>
      </c>
      <c r="E378" s="5" t="inlineStr">
        <is>
          <t>https://data.bls.gov/timeseries/CUUR0000SEAE02</t>
        </is>
      </c>
    </row>
    <row r="379">
      <c r="A379" s="5" t="inlineStr">
        <is>
          <t>CUSR0000SEAE02</t>
        </is>
      </c>
      <c r="B379" t="inlineStr">
        <is>
          <t>SEAE02</t>
        </is>
      </c>
      <c r="C379" t="inlineStr">
        <is>
          <t>Boys' and girls' footwear</t>
        </is>
      </c>
      <c r="D379" t="inlineStr">
        <is>
          <t>SA</t>
        </is>
      </c>
      <c r="E379" s="5" t="inlineStr">
        <is>
          <t>https://data.bls.gov/timeseries/CUSR0000SEAE02</t>
        </is>
      </c>
    </row>
    <row r="380">
      <c r="A380" s="5" t="inlineStr">
        <is>
          <t>CUUR0000SEAE03</t>
        </is>
      </c>
      <c r="B380" t="inlineStr">
        <is>
          <t>SEAE03</t>
        </is>
      </c>
      <c r="C380" t="inlineStr">
        <is>
          <t>Women's footwear</t>
        </is>
      </c>
      <c r="D380" t="inlineStr">
        <is>
          <t>NSA</t>
        </is>
      </c>
      <c r="E380" s="5" t="inlineStr">
        <is>
          <t>https://data.bls.gov/timeseries/CUUR0000SEAE03</t>
        </is>
      </c>
    </row>
    <row r="381">
      <c r="A381" s="5" t="inlineStr">
        <is>
          <t>CUSR0000SEAE03</t>
        </is>
      </c>
      <c r="B381" t="inlineStr">
        <is>
          <t>SEAE03</t>
        </is>
      </c>
      <c r="C381" t="inlineStr">
        <is>
          <t>Women's footwear</t>
        </is>
      </c>
      <c r="D381" t="inlineStr">
        <is>
          <t>SA</t>
        </is>
      </c>
      <c r="E381" s="5" t="inlineStr">
        <is>
          <t>https://data.bls.gov/timeseries/CUSR0000SEAE03</t>
        </is>
      </c>
    </row>
    <row r="382">
      <c r="A382" s="5" t="inlineStr">
        <is>
          <t>CUUR0000SEAF</t>
        </is>
      </c>
      <c r="B382" t="inlineStr">
        <is>
          <t>SEAF</t>
        </is>
      </c>
      <c r="C382" t="inlineStr">
        <is>
          <t>Infants' and toddlers' apparel</t>
        </is>
      </c>
      <c r="D382" t="inlineStr">
        <is>
          <t>NSA</t>
        </is>
      </c>
      <c r="E382" s="5" t="inlineStr">
        <is>
          <t>https://data.bls.gov/timeseries/CUUR0000SEAF</t>
        </is>
      </c>
    </row>
    <row r="383">
      <c r="A383" s="5" t="inlineStr">
        <is>
          <t>CUSR0000SEAF</t>
        </is>
      </c>
      <c r="B383" t="inlineStr">
        <is>
          <t>SEAF</t>
        </is>
      </c>
      <c r="C383" t="inlineStr">
        <is>
          <t>Infants' and toddlers' apparel</t>
        </is>
      </c>
      <c r="D383" t="inlineStr">
        <is>
          <t>SA</t>
        </is>
      </c>
      <c r="E383" s="5" t="inlineStr">
        <is>
          <t>https://data.bls.gov/timeseries/CUSR0000SEAF</t>
        </is>
      </c>
    </row>
    <row r="384">
      <c r="A384" s="5" t="inlineStr">
        <is>
          <t>CUUR0000SEAG</t>
        </is>
      </c>
      <c r="B384" t="inlineStr">
        <is>
          <t>SEAG</t>
        </is>
      </c>
      <c r="C384" t="inlineStr">
        <is>
          <t>Jewelry and watches</t>
        </is>
      </c>
      <c r="D384" t="inlineStr">
        <is>
          <t>NSA</t>
        </is>
      </c>
      <c r="E384" s="5" t="inlineStr">
        <is>
          <t>https://data.bls.gov/timeseries/CUUR0000SEAG</t>
        </is>
      </c>
    </row>
    <row r="385">
      <c r="A385" s="5" t="inlineStr">
        <is>
          <t>CUSR0000SEAG</t>
        </is>
      </c>
      <c r="B385" t="inlineStr">
        <is>
          <t>SEAG</t>
        </is>
      </c>
      <c r="C385" t="inlineStr">
        <is>
          <t>Jewelry and watches</t>
        </is>
      </c>
      <c r="D385" t="inlineStr">
        <is>
          <t>SA</t>
        </is>
      </c>
      <c r="E385" s="5" t="inlineStr">
        <is>
          <t>https://data.bls.gov/timeseries/CUSR0000SEAG</t>
        </is>
      </c>
    </row>
    <row r="386">
      <c r="A386" s="5" t="inlineStr">
        <is>
          <t>CUUR0000SEAG01</t>
        </is>
      </c>
      <c r="B386" t="inlineStr">
        <is>
          <t>SEAG01</t>
        </is>
      </c>
      <c r="C386" t="inlineStr">
        <is>
          <t>Watches</t>
        </is>
      </c>
      <c r="D386" t="inlineStr">
        <is>
          <t>NSA</t>
        </is>
      </c>
      <c r="E386" s="5" t="inlineStr">
        <is>
          <t>https://data.bls.gov/timeseries/CUUR0000SEAG01</t>
        </is>
      </c>
    </row>
    <row r="387">
      <c r="A387" s="5" t="inlineStr">
        <is>
          <t>CUSR0000SEAG01</t>
        </is>
      </c>
      <c r="B387" t="inlineStr">
        <is>
          <t>SEAG01</t>
        </is>
      </c>
      <c r="C387" t="inlineStr">
        <is>
          <t>Watches</t>
        </is>
      </c>
      <c r="D387" t="inlineStr">
        <is>
          <t>SA</t>
        </is>
      </c>
      <c r="E387" s="5" t="inlineStr">
        <is>
          <t>https://data.bls.gov/timeseries/CUSR0000SEAG01</t>
        </is>
      </c>
    </row>
    <row r="388">
      <c r="A388" s="5" t="inlineStr">
        <is>
          <t>CUUR0000SEAG02</t>
        </is>
      </c>
      <c r="B388" t="inlineStr">
        <is>
          <t>SEAG02</t>
        </is>
      </c>
      <c r="C388" t="inlineStr">
        <is>
          <t>Jewelry</t>
        </is>
      </c>
      <c r="D388" t="inlineStr">
        <is>
          <t>NSA</t>
        </is>
      </c>
      <c r="E388" s="5" t="inlineStr">
        <is>
          <t>https://data.bls.gov/timeseries/CUUR0000SEAG02</t>
        </is>
      </c>
    </row>
    <row r="389">
      <c r="A389" s="5" t="inlineStr">
        <is>
          <t>CUSR0000SEAG02</t>
        </is>
      </c>
      <c r="B389" t="inlineStr">
        <is>
          <t>SEAG02</t>
        </is>
      </c>
      <c r="C389" t="inlineStr">
        <is>
          <t>Jewelry</t>
        </is>
      </c>
      <c r="D389" t="inlineStr">
        <is>
          <t>SA</t>
        </is>
      </c>
      <c r="E389" s="5" t="inlineStr">
        <is>
          <t>https://data.bls.gov/timeseries/CUSR0000SEAG02</t>
        </is>
      </c>
    </row>
    <row r="390">
      <c r="A390" s="5" t="inlineStr">
        <is>
          <t>CUUR0000SAT</t>
        </is>
      </c>
      <c r="B390" t="inlineStr">
        <is>
          <t>SAT</t>
        </is>
      </c>
      <c r="C390" t="inlineStr">
        <is>
          <t>Transportation</t>
        </is>
      </c>
      <c r="D390" t="inlineStr">
        <is>
          <t>NSA</t>
        </is>
      </c>
      <c r="E390" s="5" t="inlineStr">
        <is>
          <t>https://data.bls.gov/timeseries/CUUR0000SAT</t>
        </is>
      </c>
    </row>
    <row r="391">
      <c r="A391" s="5" t="inlineStr">
        <is>
          <t>CUSR0000SAT</t>
        </is>
      </c>
      <c r="B391" t="inlineStr">
        <is>
          <t>SAT</t>
        </is>
      </c>
      <c r="C391" t="inlineStr">
        <is>
          <t>Transportation</t>
        </is>
      </c>
      <c r="D391" t="inlineStr">
        <is>
          <t>SA</t>
        </is>
      </c>
      <c r="E391" s="5" t="inlineStr">
        <is>
          <t>https://data.bls.gov/timeseries/CUSR0000SAT</t>
        </is>
      </c>
    </row>
    <row r="392">
      <c r="A392" s="5" t="inlineStr">
        <is>
          <t>CUUR0000SAT1</t>
        </is>
      </c>
      <c r="B392" t="inlineStr">
        <is>
          <t>SAT1</t>
        </is>
      </c>
      <c r="C392" t="inlineStr">
        <is>
          <t>Private transportation</t>
        </is>
      </c>
      <c r="D392" t="inlineStr">
        <is>
          <t>NSA</t>
        </is>
      </c>
      <c r="E392" s="5" t="inlineStr">
        <is>
          <t>https://data.bls.gov/timeseries/CUUR0000SAT1</t>
        </is>
      </c>
    </row>
    <row r="393">
      <c r="A393" s="5" t="inlineStr">
        <is>
          <t>CUSR0000SAT1</t>
        </is>
      </c>
      <c r="B393" t="inlineStr">
        <is>
          <t>SAT1</t>
        </is>
      </c>
      <c r="C393" t="inlineStr">
        <is>
          <t>Private transportation</t>
        </is>
      </c>
      <c r="D393" t="inlineStr">
        <is>
          <t>SA</t>
        </is>
      </c>
      <c r="E393" s="5" t="inlineStr">
        <is>
          <t>https://data.bls.gov/timeseries/CUSR0000SAT1</t>
        </is>
      </c>
    </row>
    <row r="394">
      <c r="A394" s="5" t="inlineStr">
        <is>
          <t>CUUR0000SETA</t>
        </is>
      </c>
      <c r="B394" t="inlineStr">
        <is>
          <t>SETA</t>
        </is>
      </c>
      <c r="C394" t="inlineStr">
        <is>
          <t>New and used motor vehicles</t>
        </is>
      </c>
      <c r="D394" t="inlineStr">
        <is>
          <t>NSA</t>
        </is>
      </c>
      <c r="E394" s="5" t="inlineStr">
        <is>
          <t>https://data.bls.gov/timeseries/CUUR0000SETA</t>
        </is>
      </c>
    </row>
    <row r="395">
      <c r="A395" s="5" t="inlineStr">
        <is>
          <t>CUSR0000SETA</t>
        </is>
      </c>
      <c r="B395" t="inlineStr">
        <is>
          <t>SETA</t>
        </is>
      </c>
      <c r="C395" t="inlineStr">
        <is>
          <t>New and used motor vehicles</t>
        </is>
      </c>
      <c r="D395" t="inlineStr">
        <is>
          <t>SA</t>
        </is>
      </c>
      <c r="E395" s="5" t="inlineStr">
        <is>
          <t>https://data.bls.gov/timeseries/CUSR0000SETA</t>
        </is>
      </c>
    </row>
    <row r="396">
      <c r="A396" s="5" t="inlineStr">
        <is>
          <t>CUUR0000SETA01</t>
        </is>
      </c>
      <c r="B396" t="inlineStr">
        <is>
          <t>SETA01</t>
        </is>
      </c>
      <c r="C396" t="inlineStr">
        <is>
          <t>New vehicles</t>
        </is>
      </c>
      <c r="D396" t="inlineStr">
        <is>
          <t>NSA</t>
        </is>
      </c>
      <c r="E396" s="5" t="inlineStr">
        <is>
          <t>https://data.bls.gov/timeseries/CUUR0000SETA01</t>
        </is>
      </c>
    </row>
    <row r="397">
      <c r="A397" s="5" t="inlineStr">
        <is>
          <t>CUSR0000SETA01</t>
        </is>
      </c>
      <c r="B397" t="inlineStr">
        <is>
          <t>SETA01</t>
        </is>
      </c>
      <c r="C397" t="inlineStr">
        <is>
          <t>New vehicles</t>
        </is>
      </c>
      <c r="D397" t="inlineStr">
        <is>
          <t>SA</t>
        </is>
      </c>
      <c r="E397" s="5" t="inlineStr">
        <is>
          <t>https://data.bls.gov/timeseries/CUSR0000SETA01</t>
        </is>
      </c>
    </row>
    <row r="398">
      <c r="A398" s="5" t="inlineStr">
        <is>
          <t>CUUR0000SS4501A</t>
        </is>
      </c>
      <c r="B398" t="inlineStr">
        <is>
          <t>SS4501A</t>
        </is>
      </c>
      <c r="C398" t="inlineStr">
        <is>
          <t>New cars and trucks</t>
        </is>
      </c>
      <c r="D398" t="inlineStr">
        <is>
          <t>NSA</t>
        </is>
      </c>
      <c r="E398" s="5" t="inlineStr">
        <is>
          <t>https://data.bls.gov/timeseries/CUUR0000SS4501A</t>
        </is>
      </c>
    </row>
    <row r="399">
      <c r="A399" s="5" t="inlineStr">
        <is>
          <t>CUSR0000SS4501A</t>
        </is>
      </c>
      <c r="B399" t="inlineStr">
        <is>
          <t>SS4501A</t>
        </is>
      </c>
      <c r="C399" t="inlineStr">
        <is>
          <t>New cars and trucks</t>
        </is>
      </c>
      <c r="D399" t="inlineStr">
        <is>
          <t>SA</t>
        </is>
      </c>
      <c r="E399" s="5" t="inlineStr">
        <is>
          <t>https://data.bls.gov/timeseries/CUSR0000SS4501A</t>
        </is>
      </c>
    </row>
    <row r="400">
      <c r="A400" s="5" t="inlineStr">
        <is>
          <t>CUUR0000SS45011</t>
        </is>
      </c>
      <c r="B400" t="inlineStr">
        <is>
          <t>SS45011</t>
        </is>
      </c>
      <c r="C400" t="inlineStr">
        <is>
          <t>New cars</t>
        </is>
      </c>
      <c r="D400" t="inlineStr">
        <is>
          <t>NSA</t>
        </is>
      </c>
      <c r="E400" s="5" t="inlineStr">
        <is>
          <t>https://data.bls.gov/timeseries/CUUR0000SS45011</t>
        </is>
      </c>
    </row>
    <row r="401">
      <c r="A401" s="5" t="inlineStr">
        <is>
          <t>CUSR0000SS45011</t>
        </is>
      </c>
      <c r="B401" t="inlineStr">
        <is>
          <t>SS45011</t>
        </is>
      </c>
      <c r="C401" t="inlineStr">
        <is>
          <t>New cars</t>
        </is>
      </c>
      <c r="D401" t="inlineStr">
        <is>
          <t>SA</t>
        </is>
      </c>
      <c r="E401" s="5" t="inlineStr">
        <is>
          <t>https://data.bls.gov/timeseries/CUSR0000SS45011</t>
        </is>
      </c>
    </row>
    <row r="402">
      <c r="A402" s="5" t="inlineStr">
        <is>
          <t>CUUR0000SS45021</t>
        </is>
      </c>
      <c r="B402" t="inlineStr">
        <is>
          <t>SS45021</t>
        </is>
      </c>
      <c r="C402" t="inlineStr">
        <is>
          <t>New trucks</t>
        </is>
      </c>
      <c r="D402" t="inlineStr">
        <is>
          <t>NSA</t>
        </is>
      </c>
      <c r="E402" s="5" t="inlineStr">
        <is>
          <t>https://data.bls.gov/timeseries/CUUR0000SS45021</t>
        </is>
      </c>
    </row>
    <row r="403">
      <c r="A403" s="5" t="inlineStr">
        <is>
          <t>CUSR0000SS45021</t>
        </is>
      </c>
      <c r="B403" t="inlineStr">
        <is>
          <t>SS45021</t>
        </is>
      </c>
      <c r="C403" t="inlineStr">
        <is>
          <t>New trucks</t>
        </is>
      </c>
      <c r="D403" t="inlineStr">
        <is>
          <t>SA</t>
        </is>
      </c>
      <c r="E403" s="5" t="inlineStr">
        <is>
          <t>https://data.bls.gov/timeseries/CUSR0000SS45021</t>
        </is>
      </c>
    </row>
    <row r="404">
      <c r="A404" s="5" t="inlineStr">
        <is>
          <t>CUUR0000SS45031</t>
        </is>
      </c>
      <c r="B404" t="inlineStr">
        <is>
          <t>SS45031</t>
        </is>
      </c>
      <c r="C404" t="inlineStr">
        <is>
          <t>New motorcycles</t>
        </is>
      </c>
      <c r="D404" t="inlineStr">
        <is>
          <t>NSA</t>
        </is>
      </c>
      <c r="E404" s="5" t="inlineStr">
        <is>
          <t>https://data.bls.gov/timeseries/CUUR0000SS45031</t>
        </is>
      </c>
    </row>
    <row r="405">
      <c r="A405" s="5" t="inlineStr">
        <is>
          <t>CUSR0000SS45031</t>
        </is>
      </c>
      <c r="B405" t="inlineStr">
        <is>
          <t>SS45031</t>
        </is>
      </c>
      <c r="C405" t="inlineStr">
        <is>
          <t>New motorcycles</t>
        </is>
      </c>
      <c r="D405" t="inlineStr">
        <is>
          <t>SA</t>
        </is>
      </c>
      <c r="E405" s="5" t="inlineStr">
        <is>
          <t>https://data.bls.gov/timeseries/CUSR0000SS45031</t>
        </is>
      </c>
    </row>
    <row r="406">
      <c r="A406" s="5" t="inlineStr">
        <is>
          <t>CUUR0000SETA02</t>
        </is>
      </c>
      <c r="B406" t="inlineStr">
        <is>
          <t>SETA02</t>
        </is>
      </c>
      <c r="C406" t="inlineStr">
        <is>
          <t>Used cars and trucks</t>
        </is>
      </c>
      <c r="D406" t="inlineStr">
        <is>
          <t>NSA</t>
        </is>
      </c>
      <c r="E406" s="5" t="inlineStr">
        <is>
          <t>https://data.bls.gov/timeseries/CUUR0000SETA02</t>
        </is>
      </c>
    </row>
    <row r="407">
      <c r="A407" s="5" t="inlineStr">
        <is>
          <t>CUSR0000SETA02</t>
        </is>
      </c>
      <c r="B407" t="inlineStr">
        <is>
          <t>SETA02</t>
        </is>
      </c>
      <c r="C407" t="inlineStr">
        <is>
          <t>Used cars and trucks</t>
        </is>
      </c>
      <c r="D407" t="inlineStr">
        <is>
          <t>SA</t>
        </is>
      </c>
      <c r="E407" s="5" t="inlineStr">
        <is>
          <t>https://data.bls.gov/timeseries/CUSR0000SETA02</t>
        </is>
      </c>
    </row>
    <row r="408">
      <c r="A408" s="5" t="inlineStr">
        <is>
          <t>CUUR0000SETA03</t>
        </is>
      </c>
      <c r="B408" t="inlineStr">
        <is>
          <t>SETA03</t>
        </is>
      </c>
      <c r="C408" t="inlineStr">
        <is>
          <t>Leased cars and trucks</t>
        </is>
      </c>
      <c r="D408" t="inlineStr">
        <is>
          <t>NSA</t>
        </is>
      </c>
      <c r="E408" s="5" t="inlineStr">
        <is>
          <t>https://data.bls.gov/timeseries/CUUR0000SETA03</t>
        </is>
      </c>
    </row>
    <row r="409">
      <c r="A409" s="5" t="inlineStr">
        <is>
          <t>CUSR0000SETA03</t>
        </is>
      </c>
      <c r="B409" t="inlineStr">
        <is>
          <t>SETA03</t>
        </is>
      </c>
      <c r="C409" t="inlineStr">
        <is>
          <t>Leased cars and trucks</t>
        </is>
      </c>
      <c r="D409" t="inlineStr">
        <is>
          <t>SA</t>
        </is>
      </c>
      <c r="E409" s="5" t="inlineStr">
        <is>
          <t>https://data.bls.gov/timeseries/CUSR0000SETA03</t>
        </is>
      </c>
    </row>
    <row r="410">
      <c r="A410" s="5" t="inlineStr">
        <is>
          <t>CUUR0000SETA04</t>
        </is>
      </c>
      <c r="B410" t="inlineStr">
        <is>
          <t>SETA04</t>
        </is>
      </c>
      <c r="C410" t="inlineStr">
        <is>
          <t>Car and truck rental</t>
        </is>
      </c>
      <c r="D410" t="inlineStr">
        <is>
          <t>NSA</t>
        </is>
      </c>
      <c r="E410" s="5" t="inlineStr">
        <is>
          <t>https://data.bls.gov/timeseries/CUUR0000SETA04</t>
        </is>
      </c>
    </row>
    <row r="411">
      <c r="A411" s="5" t="inlineStr">
        <is>
          <t>CUSR0000SETA04</t>
        </is>
      </c>
      <c r="B411" t="inlineStr">
        <is>
          <t>SETA04</t>
        </is>
      </c>
      <c r="C411" t="inlineStr">
        <is>
          <t>Car and truck rental</t>
        </is>
      </c>
      <c r="D411" t="inlineStr">
        <is>
          <t>SA</t>
        </is>
      </c>
      <c r="E411" s="5" t="inlineStr">
        <is>
          <t>https://data.bls.gov/timeseries/CUSR0000SETA04</t>
        </is>
      </c>
    </row>
    <row r="412">
      <c r="A412" s="5" t="inlineStr">
        <is>
          <t>CUUR0000SETB</t>
        </is>
      </c>
      <c r="B412" t="inlineStr">
        <is>
          <t>SETB</t>
        </is>
      </c>
      <c r="C412" t="inlineStr">
        <is>
          <t>Motor fuel</t>
        </is>
      </c>
      <c r="D412" t="inlineStr">
        <is>
          <t>NSA</t>
        </is>
      </c>
      <c r="E412" s="5" t="inlineStr">
        <is>
          <t>https://data.bls.gov/timeseries/CUUR0000SETB</t>
        </is>
      </c>
    </row>
    <row r="413">
      <c r="A413" s="5" t="inlineStr">
        <is>
          <t>CUSR0000SETB</t>
        </is>
      </c>
      <c r="B413" t="inlineStr">
        <is>
          <t>SETB</t>
        </is>
      </c>
      <c r="C413" t="inlineStr">
        <is>
          <t>Motor fuel</t>
        </is>
      </c>
      <c r="D413" t="inlineStr">
        <is>
          <t>SA</t>
        </is>
      </c>
      <c r="E413" s="5" t="inlineStr">
        <is>
          <t>https://data.bls.gov/timeseries/CUSR0000SETB</t>
        </is>
      </c>
    </row>
    <row r="414">
      <c r="A414" s="5" t="inlineStr">
        <is>
          <t>CUUR0000SETB01</t>
        </is>
      </c>
      <c r="B414" t="inlineStr">
        <is>
          <t>SETB01</t>
        </is>
      </c>
      <c r="C414" t="inlineStr">
        <is>
          <t>Gasoline (all types)</t>
        </is>
      </c>
      <c r="D414" t="inlineStr">
        <is>
          <t>NSA</t>
        </is>
      </c>
      <c r="E414" s="5" t="inlineStr">
        <is>
          <t>https://data.bls.gov/timeseries/CUUR0000SETB01</t>
        </is>
      </c>
    </row>
    <row r="415">
      <c r="A415" s="5" t="inlineStr">
        <is>
          <t>CUSR0000SETB01</t>
        </is>
      </c>
      <c r="B415" t="inlineStr">
        <is>
          <t>SETB01</t>
        </is>
      </c>
      <c r="C415" t="inlineStr">
        <is>
          <t>Gasoline (all types)</t>
        </is>
      </c>
      <c r="D415" t="inlineStr">
        <is>
          <t>SA</t>
        </is>
      </c>
      <c r="E415" s="5" t="inlineStr">
        <is>
          <t>https://data.bls.gov/timeseries/CUSR0000SETB01</t>
        </is>
      </c>
    </row>
    <row r="416">
      <c r="A416" s="5" t="inlineStr">
        <is>
          <t>CUUR0000SS47014</t>
        </is>
      </c>
      <c r="B416" t="inlineStr">
        <is>
          <t>SS47014</t>
        </is>
      </c>
      <c r="C416" t="inlineStr">
        <is>
          <t>Gasoline, unleaded regular</t>
        </is>
      </c>
      <c r="D416" t="inlineStr">
        <is>
          <t>NSA</t>
        </is>
      </c>
      <c r="E416" s="5" t="inlineStr">
        <is>
          <t>https://data.bls.gov/timeseries/CUUR0000SS47014</t>
        </is>
      </c>
    </row>
    <row r="417">
      <c r="A417" s="5" t="inlineStr">
        <is>
          <t>CUSR0000SS47014</t>
        </is>
      </c>
      <c r="B417" t="inlineStr">
        <is>
          <t>SS47014</t>
        </is>
      </c>
      <c r="C417" t="inlineStr">
        <is>
          <t>Gasoline, unleaded regular</t>
        </is>
      </c>
      <c r="D417" t="inlineStr">
        <is>
          <t>SA</t>
        </is>
      </c>
      <c r="E417" s="5" t="inlineStr">
        <is>
          <t>https://data.bls.gov/timeseries/CUSR0000SS47014</t>
        </is>
      </c>
    </row>
    <row r="418">
      <c r="A418" s="5" t="inlineStr">
        <is>
          <t>CUUR0000SS47015</t>
        </is>
      </c>
      <c r="B418" t="inlineStr">
        <is>
          <t>SS47015</t>
        </is>
      </c>
      <c r="C418" t="inlineStr">
        <is>
          <t>Gasoline, unleaded midgrade</t>
        </is>
      </c>
      <c r="D418" t="inlineStr">
        <is>
          <t>NSA</t>
        </is>
      </c>
      <c r="E418" s="5" t="inlineStr">
        <is>
          <t>https://data.bls.gov/timeseries/CUUR0000SS47015</t>
        </is>
      </c>
    </row>
    <row r="419">
      <c r="A419" s="5" t="inlineStr">
        <is>
          <t>CUSR0000SS47015</t>
        </is>
      </c>
      <c r="B419" t="inlineStr">
        <is>
          <t>SS47015</t>
        </is>
      </c>
      <c r="C419" t="inlineStr">
        <is>
          <t>Gasoline, unleaded midgrade</t>
        </is>
      </c>
      <c r="D419" t="inlineStr">
        <is>
          <t>SA</t>
        </is>
      </c>
      <c r="E419" s="5" t="inlineStr">
        <is>
          <t>https://data.bls.gov/timeseries/CUSR0000SS47015</t>
        </is>
      </c>
    </row>
    <row r="420">
      <c r="A420" s="5" t="inlineStr">
        <is>
          <t>CUUR0000SS47016</t>
        </is>
      </c>
      <c r="B420" t="inlineStr">
        <is>
          <t>SS47016</t>
        </is>
      </c>
      <c r="C420" t="inlineStr">
        <is>
          <t>Gasoline, unleaded premium</t>
        </is>
      </c>
      <c r="D420" t="inlineStr">
        <is>
          <t>NSA</t>
        </is>
      </c>
      <c r="E420" s="5" t="inlineStr">
        <is>
          <t>https://data.bls.gov/timeseries/CUUR0000SS47016</t>
        </is>
      </c>
    </row>
    <row r="421">
      <c r="A421" s="5" t="inlineStr">
        <is>
          <t>CUSR0000SS47016</t>
        </is>
      </c>
      <c r="B421" t="inlineStr">
        <is>
          <t>SS47016</t>
        </is>
      </c>
      <c r="C421" t="inlineStr">
        <is>
          <t>Gasoline, unleaded premium</t>
        </is>
      </c>
      <c r="D421" t="inlineStr">
        <is>
          <t>SA</t>
        </is>
      </c>
      <c r="E421" s="5" t="inlineStr">
        <is>
          <t>https://data.bls.gov/timeseries/CUSR0000SS47016</t>
        </is>
      </c>
    </row>
    <row r="422">
      <c r="A422" s="5" t="inlineStr">
        <is>
          <t>CUUR0000SETB02</t>
        </is>
      </c>
      <c r="B422" t="inlineStr">
        <is>
          <t>SETB02</t>
        </is>
      </c>
      <c r="C422" t="inlineStr">
        <is>
          <t>Other motor fuels</t>
        </is>
      </c>
      <c r="D422" t="inlineStr">
        <is>
          <t>NSA</t>
        </is>
      </c>
      <c r="E422" s="5" t="inlineStr">
        <is>
          <t>https://data.bls.gov/timeseries/CUUR0000SETB02</t>
        </is>
      </c>
    </row>
    <row r="423">
      <c r="A423" s="5" t="inlineStr">
        <is>
          <t>CUSR0000SETB02</t>
        </is>
      </c>
      <c r="B423" t="inlineStr">
        <is>
          <t>SETB02</t>
        </is>
      </c>
      <c r="C423" t="inlineStr">
        <is>
          <t>Other motor fuels</t>
        </is>
      </c>
      <c r="D423" t="inlineStr">
        <is>
          <t>SA</t>
        </is>
      </c>
      <c r="E423" s="5" t="inlineStr">
        <is>
          <t>https://data.bls.gov/timeseries/CUSR0000SETB02</t>
        </is>
      </c>
    </row>
    <row r="424">
      <c r="A424" s="5" t="inlineStr">
        <is>
          <t>CUUR0000SETC</t>
        </is>
      </c>
      <c r="B424" t="inlineStr">
        <is>
          <t>SETC</t>
        </is>
      </c>
      <c r="C424" t="inlineStr">
        <is>
          <t>Motor vehicle parts and equipment</t>
        </is>
      </c>
      <c r="D424" t="inlineStr">
        <is>
          <t>NSA</t>
        </is>
      </c>
      <c r="E424" s="5" t="inlineStr">
        <is>
          <t>https://data.bls.gov/timeseries/CUUR0000SETC</t>
        </is>
      </c>
    </row>
    <row r="425">
      <c r="A425" s="5" t="inlineStr">
        <is>
          <t>CUSR0000SETC</t>
        </is>
      </c>
      <c r="B425" t="inlineStr">
        <is>
          <t>SETC</t>
        </is>
      </c>
      <c r="C425" t="inlineStr">
        <is>
          <t>Motor vehicle parts and equipment</t>
        </is>
      </c>
      <c r="D425" t="inlineStr">
        <is>
          <t>SA</t>
        </is>
      </c>
      <c r="E425" s="5" t="inlineStr">
        <is>
          <t>https://data.bls.gov/timeseries/CUSR0000SETC</t>
        </is>
      </c>
    </row>
    <row r="426">
      <c r="A426" s="5" t="inlineStr">
        <is>
          <t>CUUR0000SETC01</t>
        </is>
      </c>
      <c r="B426" t="inlineStr">
        <is>
          <t>SETC01</t>
        </is>
      </c>
      <c r="C426" t="inlineStr">
        <is>
          <t>Tires</t>
        </is>
      </c>
      <c r="D426" t="inlineStr">
        <is>
          <t>NSA</t>
        </is>
      </c>
      <c r="E426" s="5" t="inlineStr">
        <is>
          <t>https://data.bls.gov/timeseries/CUUR0000SETC01</t>
        </is>
      </c>
    </row>
    <row r="427">
      <c r="A427" s="5" t="inlineStr">
        <is>
          <t>CUSR0000SETC01</t>
        </is>
      </c>
      <c r="B427" t="inlineStr">
        <is>
          <t>SETC01</t>
        </is>
      </c>
      <c r="C427" t="inlineStr">
        <is>
          <t>Tires</t>
        </is>
      </c>
      <c r="D427" t="inlineStr">
        <is>
          <t>SA</t>
        </is>
      </c>
      <c r="E427" s="5" t="inlineStr">
        <is>
          <t>https://data.bls.gov/timeseries/CUSR0000SETC01</t>
        </is>
      </c>
    </row>
    <row r="428">
      <c r="A428" s="5" t="inlineStr">
        <is>
          <t>CUUR0000SETC02</t>
        </is>
      </c>
      <c r="B428" t="inlineStr">
        <is>
          <t>SETC02</t>
        </is>
      </c>
      <c r="C428" t="inlineStr">
        <is>
          <t>Vehicle accessories other than tires</t>
        </is>
      </c>
      <c r="D428" t="inlineStr">
        <is>
          <t>NSA</t>
        </is>
      </c>
      <c r="E428" s="5" t="inlineStr">
        <is>
          <t>https://data.bls.gov/timeseries/CUUR0000SETC02</t>
        </is>
      </c>
    </row>
    <row r="429">
      <c r="A429" s="5" t="inlineStr">
        <is>
          <t>CUUR0000SS48021</t>
        </is>
      </c>
      <c r="B429" t="inlineStr">
        <is>
          <t>SS48021</t>
        </is>
      </c>
      <c r="C429" t="inlineStr">
        <is>
          <t>Vehicle parts and equipment other than tires</t>
        </is>
      </c>
      <c r="D429" t="inlineStr">
        <is>
          <t>NSA</t>
        </is>
      </c>
      <c r="E429" s="5" t="inlineStr">
        <is>
          <t>https://data.bls.gov/timeseries/CUUR0000SS48021</t>
        </is>
      </c>
    </row>
    <row r="430">
      <c r="A430" s="5" t="inlineStr">
        <is>
          <t>CUUR0000SS47021</t>
        </is>
      </c>
      <c r="B430" t="inlineStr">
        <is>
          <t>SS47021</t>
        </is>
      </c>
      <c r="C430" t="inlineStr">
        <is>
          <t>Motor oil, coolant, and fluids</t>
        </is>
      </c>
      <c r="D430" t="inlineStr">
        <is>
          <t>NSA</t>
        </is>
      </c>
      <c r="E430" s="5" t="inlineStr">
        <is>
          <t>https://data.bls.gov/timeseries/CUUR0000SS47021</t>
        </is>
      </c>
    </row>
    <row r="431">
      <c r="A431" s="5" t="inlineStr">
        <is>
          <t>CUUR0000SETD</t>
        </is>
      </c>
      <c r="B431" t="inlineStr">
        <is>
          <t>SETD</t>
        </is>
      </c>
      <c r="C431" t="inlineStr">
        <is>
          <t>Motor vehicle maintenance and repair</t>
        </is>
      </c>
      <c r="D431" t="inlineStr">
        <is>
          <t>NSA</t>
        </is>
      </c>
      <c r="E431" s="5" t="inlineStr">
        <is>
          <t>https://data.bls.gov/timeseries/CUUR0000SETD</t>
        </is>
      </c>
    </row>
    <row r="432">
      <c r="A432" s="5" t="inlineStr">
        <is>
          <t>CUSR0000SETD</t>
        </is>
      </c>
      <c r="B432" t="inlineStr">
        <is>
          <t>SETD</t>
        </is>
      </c>
      <c r="C432" t="inlineStr">
        <is>
          <t>Motor vehicle maintenance and repair</t>
        </is>
      </c>
      <c r="D432" t="inlineStr">
        <is>
          <t>SA</t>
        </is>
      </c>
      <c r="E432" s="5" t="inlineStr">
        <is>
          <t>https://data.bls.gov/timeseries/CUSR0000SETD</t>
        </is>
      </c>
    </row>
    <row r="433">
      <c r="A433" s="5" t="inlineStr">
        <is>
          <t>CUUR0000SETD01</t>
        </is>
      </c>
      <c r="B433" t="inlineStr">
        <is>
          <t>SETD01</t>
        </is>
      </c>
      <c r="C433" t="inlineStr">
        <is>
          <t>Motor vehicle body work</t>
        </is>
      </c>
      <c r="D433" t="inlineStr">
        <is>
          <t>NSA</t>
        </is>
      </c>
      <c r="E433" s="5" t="inlineStr">
        <is>
          <t>https://data.bls.gov/timeseries/CUUR0000SETD01</t>
        </is>
      </c>
    </row>
    <row r="434">
      <c r="A434" s="5" t="inlineStr">
        <is>
          <t>CUUR0000SETD02</t>
        </is>
      </c>
      <c r="B434" t="inlineStr">
        <is>
          <t>SETD02</t>
        </is>
      </c>
      <c r="C434" t="inlineStr">
        <is>
          <t>Motor vehicle maintenance and servicing</t>
        </is>
      </c>
      <c r="D434" t="inlineStr">
        <is>
          <t>NSA</t>
        </is>
      </c>
      <c r="E434" s="5" t="inlineStr">
        <is>
          <t>https://data.bls.gov/timeseries/CUUR0000SETD02</t>
        </is>
      </c>
    </row>
    <row r="435">
      <c r="A435" s="5" t="inlineStr">
        <is>
          <t>CUUR0000SETD03</t>
        </is>
      </c>
      <c r="B435" t="inlineStr">
        <is>
          <t>SETD03</t>
        </is>
      </c>
      <c r="C435" t="inlineStr">
        <is>
          <t>Motor vehicle repair</t>
        </is>
      </c>
      <c r="D435" t="inlineStr">
        <is>
          <t>NSA</t>
        </is>
      </c>
      <c r="E435" s="5" t="inlineStr">
        <is>
          <t>https://data.bls.gov/timeseries/CUUR0000SETD03</t>
        </is>
      </c>
    </row>
    <row r="436">
      <c r="A436" s="5" t="inlineStr">
        <is>
          <t>CUSR0000SETD03</t>
        </is>
      </c>
      <c r="B436" t="inlineStr">
        <is>
          <t>SETD03</t>
        </is>
      </c>
      <c r="C436" t="inlineStr">
        <is>
          <t>Motor vehicle repair</t>
        </is>
      </c>
      <c r="D436" t="inlineStr">
        <is>
          <t>SA</t>
        </is>
      </c>
      <c r="E436" s="5" t="inlineStr">
        <is>
          <t>https://data.bls.gov/timeseries/CUSR0000SETD03</t>
        </is>
      </c>
    </row>
    <row r="437">
      <c r="A437" s="5" t="inlineStr">
        <is>
          <t>CUUR0000SETE</t>
        </is>
      </c>
      <c r="B437" t="inlineStr">
        <is>
          <t>SETE</t>
        </is>
      </c>
      <c r="C437" t="inlineStr">
        <is>
          <t>Motor vehicle insurance</t>
        </is>
      </c>
      <c r="D437" t="inlineStr">
        <is>
          <t>NSA</t>
        </is>
      </c>
      <c r="E437" s="5" t="inlineStr">
        <is>
          <t>https://data.bls.gov/timeseries/CUUR0000SETE</t>
        </is>
      </c>
    </row>
    <row r="438">
      <c r="A438" s="5" t="inlineStr">
        <is>
          <t>CUSR0000SETE</t>
        </is>
      </c>
      <c r="B438" t="inlineStr">
        <is>
          <t>SETE</t>
        </is>
      </c>
      <c r="C438" t="inlineStr">
        <is>
          <t>Motor vehicle insurance</t>
        </is>
      </c>
      <c r="D438" t="inlineStr">
        <is>
          <t>SA</t>
        </is>
      </c>
      <c r="E438" s="5" t="inlineStr">
        <is>
          <t>https://data.bls.gov/timeseries/CUSR0000SETE</t>
        </is>
      </c>
    </row>
    <row r="439">
      <c r="A439" s="5" t="inlineStr">
        <is>
          <t>CUUR0000SETF</t>
        </is>
      </c>
      <c r="B439" t="inlineStr">
        <is>
          <t>SETF</t>
        </is>
      </c>
      <c r="C439" t="inlineStr">
        <is>
          <t>Motor vehicle fees</t>
        </is>
      </c>
      <c r="D439" t="inlineStr">
        <is>
          <t>NSA</t>
        </is>
      </c>
      <c r="E439" s="5" t="inlineStr">
        <is>
          <t>https://data.bls.gov/timeseries/CUUR0000SETF</t>
        </is>
      </c>
    </row>
    <row r="440">
      <c r="A440" s="5" t="inlineStr">
        <is>
          <t>CUUR0000SETF01</t>
        </is>
      </c>
      <c r="B440" t="inlineStr">
        <is>
          <t>SETF01</t>
        </is>
      </c>
      <c r="C440" t="inlineStr">
        <is>
          <t>State motor vehicle registration and license fees</t>
        </is>
      </c>
      <c r="D440" t="inlineStr">
        <is>
          <t>NSA</t>
        </is>
      </c>
      <c r="E440" s="5" t="inlineStr">
        <is>
          <t>https://data.bls.gov/timeseries/CUUR0000SETF01</t>
        </is>
      </c>
    </row>
    <row r="441">
      <c r="A441" s="5" t="inlineStr">
        <is>
          <t>CUUR0000SETF03</t>
        </is>
      </c>
      <c r="B441" t="inlineStr">
        <is>
          <t>SETF03</t>
        </is>
      </c>
      <c r="C441" t="inlineStr">
        <is>
          <t>Parking and other fees</t>
        </is>
      </c>
      <c r="D441" t="inlineStr">
        <is>
          <t>NSA</t>
        </is>
      </c>
      <c r="E441" s="5" t="inlineStr">
        <is>
          <t>https://data.bls.gov/timeseries/CUUR0000SETF03</t>
        </is>
      </c>
    </row>
    <row r="442">
      <c r="A442" s="5" t="inlineStr">
        <is>
          <t>CUSR0000SETF03</t>
        </is>
      </c>
      <c r="B442" t="inlineStr">
        <is>
          <t>SETF03</t>
        </is>
      </c>
      <c r="C442" t="inlineStr">
        <is>
          <t>Parking and other fees</t>
        </is>
      </c>
      <c r="D442" t="inlineStr">
        <is>
          <t>SA</t>
        </is>
      </c>
      <c r="E442" s="5" t="inlineStr">
        <is>
          <t>https://data.bls.gov/timeseries/CUSR0000SETF03</t>
        </is>
      </c>
    </row>
    <row r="443">
      <c r="A443" s="5" t="inlineStr">
        <is>
          <t>CUUR0000SS52051</t>
        </is>
      </c>
      <c r="B443" t="inlineStr">
        <is>
          <t>SS52051</t>
        </is>
      </c>
      <c r="C443" t="inlineStr">
        <is>
          <t>Parking fees and tolls</t>
        </is>
      </c>
      <c r="D443" t="inlineStr">
        <is>
          <t>NSA</t>
        </is>
      </c>
      <c r="E443" s="5" t="inlineStr">
        <is>
          <t>https://data.bls.gov/timeseries/CUUR0000SS52051</t>
        </is>
      </c>
    </row>
    <row r="444">
      <c r="A444" s="5" t="inlineStr">
        <is>
          <t>CUSR0000SS52051</t>
        </is>
      </c>
      <c r="B444" t="inlineStr">
        <is>
          <t>SS52051</t>
        </is>
      </c>
      <c r="C444" t="inlineStr">
        <is>
          <t>Parking fees and tolls</t>
        </is>
      </c>
      <c r="D444" t="inlineStr">
        <is>
          <t>SA</t>
        </is>
      </c>
      <c r="E444" s="5" t="inlineStr">
        <is>
          <t>https://data.bls.gov/timeseries/CUSR0000SS52051</t>
        </is>
      </c>
    </row>
    <row r="445">
      <c r="A445" s="5" t="inlineStr">
        <is>
          <t>CUUR0000SS62011</t>
        </is>
      </c>
      <c r="B445" t="inlineStr">
        <is>
          <t>SS62011</t>
        </is>
      </c>
      <c r="C445" t="inlineStr">
        <is>
          <t>Automobile service clubs</t>
        </is>
      </c>
      <c r="D445" t="inlineStr">
        <is>
          <t>NSA</t>
        </is>
      </c>
      <c r="E445" s="5" t="inlineStr">
        <is>
          <t>https://data.bls.gov/timeseries/CUUR0000SS62011</t>
        </is>
      </c>
    </row>
    <row r="446">
      <c r="A446" s="5" t="inlineStr">
        <is>
          <t>CUUR0000SETG</t>
        </is>
      </c>
      <c r="B446" t="inlineStr">
        <is>
          <t>SETG</t>
        </is>
      </c>
      <c r="C446" t="inlineStr">
        <is>
          <t>Public transportation</t>
        </is>
      </c>
      <c r="D446" t="inlineStr">
        <is>
          <t>NSA</t>
        </is>
      </c>
      <c r="E446" s="5" t="inlineStr">
        <is>
          <t>https://data.bls.gov/timeseries/CUUR0000SETG</t>
        </is>
      </c>
    </row>
    <row r="447">
      <c r="A447" s="5" t="inlineStr">
        <is>
          <t>CUSR0000SETG</t>
        </is>
      </c>
      <c r="B447" t="inlineStr">
        <is>
          <t>SETG</t>
        </is>
      </c>
      <c r="C447" t="inlineStr">
        <is>
          <t>Public transportation</t>
        </is>
      </c>
      <c r="D447" t="inlineStr">
        <is>
          <t>SA</t>
        </is>
      </c>
      <c r="E447" s="5" t="inlineStr">
        <is>
          <t>https://data.bls.gov/timeseries/CUSR0000SETG</t>
        </is>
      </c>
    </row>
    <row r="448">
      <c r="A448" s="5" t="inlineStr">
        <is>
          <t>CUUR0000SETG01</t>
        </is>
      </c>
      <c r="B448" t="inlineStr">
        <is>
          <t>SETG01</t>
        </is>
      </c>
      <c r="C448" t="inlineStr">
        <is>
          <t>Airline fares</t>
        </is>
      </c>
      <c r="D448" t="inlineStr">
        <is>
          <t>NSA</t>
        </is>
      </c>
      <c r="E448" s="5" t="inlineStr">
        <is>
          <t>https://data.bls.gov/timeseries/CUUR0000SETG01</t>
        </is>
      </c>
    </row>
    <row r="449">
      <c r="A449" s="5" t="inlineStr">
        <is>
          <t>CUSR0000SETG01</t>
        </is>
      </c>
      <c r="B449" t="inlineStr">
        <is>
          <t>SETG01</t>
        </is>
      </c>
      <c r="C449" t="inlineStr">
        <is>
          <t>Airline fares</t>
        </is>
      </c>
      <c r="D449" t="inlineStr">
        <is>
          <t>SA</t>
        </is>
      </c>
      <c r="E449" s="5" t="inlineStr">
        <is>
          <t>https://data.bls.gov/timeseries/CUSR0000SETG01</t>
        </is>
      </c>
    </row>
    <row r="450">
      <c r="A450" s="5" t="inlineStr">
        <is>
          <t>CUUR0000SETG02</t>
        </is>
      </c>
      <c r="B450" t="inlineStr">
        <is>
          <t>SETG02</t>
        </is>
      </c>
      <c r="C450" t="inlineStr">
        <is>
          <t>Other intercity transportation</t>
        </is>
      </c>
      <c r="D450" t="inlineStr">
        <is>
          <t>NSA</t>
        </is>
      </c>
      <c r="E450" s="5" t="inlineStr">
        <is>
          <t>https://data.bls.gov/timeseries/CUUR0000SETG02</t>
        </is>
      </c>
    </row>
    <row r="451">
      <c r="A451" s="5" t="inlineStr">
        <is>
          <t>CUSR0000SETG02</t>
        </is>
      </c>
      <c r="B451" t="inlineStr">
        <is>
          <t>SETG02</t>
        </is>
      </c>
      <c r="C451" t="inlineStr">
        <is>
          <t>Other intercity transportation</t>
        </is>
      </c>
      <c r="D451" t="inlineStr">
        <is>
          <t>SA</t>
        </is>
      </c>
      <c r="E451" s="5" t="inlineStr">
        <is>
          <t>https://data.bls.gov/timeseries/CUSR0000SETG02</t>
        </is>
      </c>
    </row>
    <row r="452">
      <c r="A452" s="5" t="inlineStr">
        <is>
          <t>CUUR0000SS53021</t>
        </is>
      </c>
      <c r="B452" t="inlineStr">
        <is>
          <t>SS53021</t>
        </is>
      </c>
      <c r="C452" t="inlineStr">
        <is>
          <t>Intercity bus fare</t>
        </is>
      </c>
      <c r="D452" t="inlineStr">
        <is>
          <t>NSA</t>
        </is>
      </c>
      <c r="E452" s="5" t="inlineStr">
        <is>
          <t>https://data.bls.gov/timeseries/CUUR0000SS53021</t>
        </is>
      </c>
    </row>
    <row r="453">
      <c r="A453" s="5" t="inlineStr">
        <is>
          <t>CUUR0000SS53022</t>
        </is>
      </c>
      <c r="B453" t="inlineStr">
        <is>
          <t>SS53022</t>
        </is>
      </c>
      <c r="C453" t="inlineStr">
        <is>
          <t>Intercity train fare</t>
        </is>
      </c>
      <c r="D453" t="inlineStr">
        <is>
          <t>NSA</t>
        </is>
      </c>
      <c r="E453" s="5" t="inlineStr">
        <is>
          <t>https://data.bls.gov/timeseries/CUUR0000SS53022</t>
        </is>
      </c>
    </row>
    <row r="454">
      <c r="A454" s="5" t="inlineStr">
        <is>
          <t>CUSR0000SS53022</t>
        </is>
      </c>
      <c r="B454" t="inlineStr">
        <is>
          <t>SS53022</t>
        </is>
      </c>
      <c r="C454" t="inlineStr">
        <is>
          <t>Intercity train fare</t>
        </is>
      </c>
      <c r="D454" t="inlineStr">
        <is>
          <t>SA</t>
        </is>
      </c>
      <c r="E454" s="5" t="inlineStr">
        <is>
          <t>https://data.bls.gov/timeseries/CUSR0000SS53022</t>
        </is>
      </c>
    </row>
    <row r="455">
      <c r="A455" s="5" t="inlineStr">
        <is>
          <t>CUUR0000SS53023</t>
        </is>
      </c>
      <c r="B455" t="inlineStr">
        <is>
          <t>SS53023</t>
        </is>
      </c>
      <c r="C455" t="inlineStr">
        <is>
          <t>Ship fare</t>
        </is>
      </c>
      <c r="D455" t="inlineStr">
        <is>
          <t>NSA</t>
        </is>
      </c>
      <c r="E455" s="5" t="inlineStr">
        <is>
          <t>https://data.bls.gov/timeseries/CUUR0000SS53023</t>
        </is>
      </c>
    </row>
    <row r="456">
      <c r="A456" s="5" t="inlineStr">
        <is>
          <t>CUSR0000SS53023</t>
        </is>
      </c>
      <c r="B456" t="inlineStr">
        <is>
          <t>SS53023</t>
        </is>
      </c>
      <c r="C456" t="inlineStr">
        <is>
          <t>Ship fare</t>
        </is>
      </c>
      <c r="D456" t="inlineStr">
        <is>
          <t>SA</t>
        </is>
      </c>
      <c r="E456" s="5" t="inlineStr">
        <is>
          <t>https://data.bls.gov/timeseries/CUSR0000SS53023</t>
        </is>
      </c>
    </row>
    <row r="457">
      <c r="A457" s="5" t="inlineStr">
        <is>
          <t>CUUR0000SETG03</t>
        </is>
      </c>
      <c r="B457" t="inlineStr">
        <is>
          <t>SETG03</t>
        </is>
      </c>
      <c r="C457" t="inlineStr">
        <is>
          <t>Intracity transportation</t>
        </is>
      </c>
      <c r="D457" t="inlineStr">
        <is>
          <t>NSA</t>
        </is>
      </c>
      <c r="E457" s="5" t="inlineStr">
        <is>
          <t>https://data.bls.gov/timeseries/CUUR0000SETG03</t>
        </is>
      </c>
    </row>
    <row r="458">
      <c r="A458" s="5" t="inlineStr">
        <is>
          <t>CUUR0000SS53031</t>
        </is>
      </c>
      <c r="B458" t="inlineStr">
        <is>
          <t>SS53031</t>
        </is>
      </c>
      <c r="C458" t="inlineStr">
        <is>
          <t>Intracity mass transit</t>
        </is>
      </c>
      <c r="D458" t="inlineStr">
        <is>
          <t>NSA</t>
        </is>
      </c>
      <c r="E458" s="5" t="inlineStr">
        <is>
          <t>https://data.bls.gov/timeseries/CUUR0000SS53031</t>
        </is>
      </c>
    </row>
    <row r="459">
      <c r="A459" s="5" t="inlineStr">
        <is>
          <t>CUUR0000SAM</t>
        </is>
      </c>
      <c r="B459" t="inlineStr">
        <is>
          <t>SAM</t>
        </is>
      </c>
      <c r="C459" t="inlineStr">
        <is>
          <t>Medical care</t>
        </is>
      </c>
      <c r="D459" t="inlineStr">
        <is>
          <t>NSA</t>
        </is>
      </c>
      <c r="E459" s="5" t="inlineStr">
        <is>
          <t>https://data.bls.gov/timeseries/CUUR0000SAM</t>
        </is>
      </c>
    </row>
    <row r="460">
      <c r="A460" s="5" t="inlineStr">
        <is>
          <t>CUSR0000SAM</t>
        </is>
      </c>
      <c r="B460" t="inlineStr">
        <is>
          <t>SAM</t>
        </is>
      </c>
      <c r="C460" t="inlineStr">
        <is>
          <t>Medical care</t>
        </is>
      </c>
      <c r="D460" t="inlineStr">
        <is>
          <t>SA</t>
        </is>
      </c>
      <c r="E460" s="5" t="inlineStr">
        <is>
          <t>https://data.bls.gov/timeseries/CUSR0000SAM</t>
        </is>
      </c>
    </row>
    <row r="461">
      <c r="A461" s="5" t="inlineStr">
        <is>
          <t>CUUR0000SAM1</t>
        </is>
      </c>
      <c r="B461" t="inlineStr">
        <is>
          <t>SAM1</t>
        </is>
      </c>
      <c r="C461" t="inlineStr">
        <is>
          <t>Medical care commodities</t>
        </is>
      </c>
      <c r="D461" t="inlineStr">
        <is>
          <t>NSA</t>
        </is>
      </c>
      <c r="E461" s="5" t="inlineStr">
        <is>
          <t>https://data.bls.gov/timeseries/CUUR0000SAM1</t>
        </is>
      </c>
    </row>
    <row r="462">
      <c r="A462" s="5" t="inlineStr">
        <is>
          <t>CUSR0000SAM1</t>
        </is>
      </c>
      <c r="B462" t="inlineStr">
        <is>
          <t>SAM1</t>
        </is>
      </c>
      <c r="C462" t="inlineStr">
        <is>
          <t>Medical care commodities</t>
        </is>
      </c>
      <c r="D462" t="inlineStr">
        <is>
          <t>SA</t>
        </is>
      </c>
      <c r="E462" s="5" t="inlineStr">
        <is>
          <t>https://data.bls.gov/timeseries/CUSR0000SAM1</t>
        </is>
      </c>
    </row>
    <row r="463">
      <c r="A463" s="5" t="inlineStr">
        <is>
          <t>CUUR0000SEMF</t>
        </is>
      </c>
      <c r="B463" t="inlineStr">
        <is>
          <t>SEMF</t>
        </is>
      </c>
      <c r="C463" t="inlineStr">
        <is>
          <t>Medicinal drugs</t>
        </is>
      </c>
      <c r="D463" t="inlineStr">
        <is>
          <t>NSA</t>
        </is>
      </c>
      <c r="E463" s="5" t="inlineStr">
        <is>
          <t>https://data.bls.gov/timeseries/CUUR0000SEMF</t>
        </is>
      </c>
    </row>
    <row r="464">
      <c r="A464" s="5" t="inlineStr">
        <is>
          <t>CUSR0000SEMF</t>
        </is>
      </c>
      <c r="B464" t="inlineStr">
        <is>
          <t>SEMF</t>
        </is>
      </c>
      <c r="C464" t="inlineStr">
        <is>
          <t>Medicinal drugs</t>
        </is>
      </c>
      <c r="D464" t="inlineStr">
        <is>
          <t>SA</t>
        </is>
      </c>
      <c r="E464" s="5" t="inlineStr">
        <is>
          <t>https://data.bls.gov/timeseries/CUSR0000SEMF</t>
        </is>
      </c>
    </row>
    <row r="465">
      <c r="A465" s="5" t="inlineStr">
        <is>
          <t>CUUR0000SEMF01</t>
        </is>
      </c>
      <c r="B465" t="inlineStr">
        <is>
          <t>SEMF01</t>
        </is>
      </c>
      <c r="C465" t="inlineStr">
        <is>
          <t>Prescription drugs</t>
        </is>
      </c>
      <c r="D465" t="inlineStr">
        <is>
          <t>NSA</t>
        </is>
      </c>
      <c r="E465" s="5" t="inlineStr">
        <is>
          <t>https://data.bls.gov/timeseries/CUUR0000SEMF01</t>
        </is>
      </c>
    </row>
    <row r="466">
      <c r="A466" s="5" t="inlineStr">
        <is>
          <t>CUSR0000SEMF01</t>
        </is>
      </c>
      <c r="B466" t="inlineStr">
        <is>
          <t>SEMF01</t>
        </is>
      </c>
      <c r="C466" t="inlineStr">
        <is>
          <t>Prescription drugs</t>
        </is>
      </c>
      <c r="D466" t="inlineStr">
        <is>
          <t>SA</t>
        </is>
      </c>
      <c r="E466" s="5" t="inlineStr">
        <is>
          <t>https://data.bls.gov/timeseries/CUSR0000SEMF01</t>
        </is>
      </c>
    </row>
    <row r="467">
      <c r="A467" s="5" t="inlineStr">
        <is>
          <t>CUUR0000SEMF02</t>
        </is>
      </c>
      <c r="B467" t="inlineStr">
        <is>
          <t>SEMF02</t>
        </is>
      </c>
      <c r="C467" t="inlineStr">
        <is>
          <t>Nonprescription drugs</t>
        </is>
      </c>
      <c r="D467" t="inlineStr">
        <is>
          <t>NSA</t>
        </is>
      </c>
      <c r="E467" s="5" t="inlineStr">
        <is>
          <t>https://data.bls.gov/timeseries/CUUR0000SEMF02</t>
        </is>
      </c>
    </row>
    <row r="468">
      <c r="A468" s="5" t="inlineStr">
        <is>
          <t>CUSR0000SEMF02</t>
        </is>
      </c>
      <c r="B468" t="inlineStr">
        <is>
          <t>SEMF02</t>
        </is>
      </c>
      <c r="C468" t="inlineStr">
        <is>
          <t>Nonprescription drugs</t>
        </is>
      </c>
      <c r="D468" t="inlineStr">
        <is>
          <t>SA</t>
        </is>
      </c>
      <c r="E468" s="5" t="inlineStr">
        <is>
          <t>https://data.bls.gov/timeseries/CUSR0000SEMF02</t>
        </is>
      </c>
    </row>
    <row r="469">
      <c r="A469" s="5" t="inlineStr">
        <is>
          <t>CUUR0000SEMG</t>
        </is>
      </c>
      <c r="B469" t="inlineStr">
        <is>
          <t>SEMG</t>
        </is>
      </c>
      <c r="C469" t="inlineStr">
        <is>
          <t>Medical equipment and supplies</t>
        </is>
      </c>
      <c r="D469" t="inlineStr">
        <is>
          <t>NSA</t>
        </is>
      </c>
      <c r="E469" s="5" t="inlineStr">
        <is>
          <t>https://data.bls.gov/timeseries/CUUR0000SEMG</t>
        </is>
      </c>
    </row>
    <row r="470">
      <c r="A470" s="5" t="inlineStr">
        <is>
          <t>CUUR0000SAM2</t>
        </is>
      </c>
      <c r="B470" t="inlineStr">
        <is>
          <t>SAM2</t>
        </is>
      </c>
      <c r="C470" t="inlineStr">
        <is>
          <t>Medical care services</t>
        </is>
      </c>
      <c r="D470" t="inlineStr">
        <is>
          <t>NSA</t>
        </is>
      </c>
      <c r="E470" s="5" t="inlineStr">
        <is>
          <t>https://data.bls.gov/timeseries/CUUR0000SAM2</t>
        </is>
      </c>
    </row>
    <row r="471">
      <c r="A471" s="5" t="inlineStr">
        <is>
          <t>CUSR0000SAM2</t>
        </is>
      </c>
      <c r="B471" t="inlineStr">
        <is>
          <t>SAM2</t>
        </is>
      </c>
      <c r="C471" t="inlineStr">
        <is>
          <t>Medical care services</t>
        </is>
      </c>
      <c r="D471" t="inlineStr">
        <is>
          <t>SA</t>
        </is>
      </c>
      <c r="E471" s="5" t="inlineStr">
        <is>
          <t>https://data.bls.gov/timeseries/CUSR0000SAM2</t>
        </is>
      </c>
    </row>
    <row r="472">
      <c r="A472" s="5" t="inlineStr">
        <is>
          <t>CUUR0000SEMC</t>
        </is>
      </c>
      <c r="B472" t="inlineStr">
        <is>
          <t>SEMC</t>
        </is>
      </c>
      <c r="C472" t="inlineStr">
        <is>
          <t>Professional services</t>
        </is>
      </c>
      <c r="D472" t="inlineStr">
        <is>
          <t>NSA</t>
        </is>
      </c>
      <c r="E472" s="5" t="inlineStr">
        <is>
          <t>https://data.bls.gov/timeseries/CUUR0000SEMC</t>
        </is>
      </c>
    </row>
    <row r="473">
      <c r="A473" s="5" t="inlineStr">
        <is>
          <t>CUSR0000SEMC</t>
        </is>
      </c>
      <c r="B473" t="inlineStr">
        <is>
          <t>SEMC</t>
        </is>
      </c>
      <c r="C473" t="inlineStr">
        <is>
          <t>Professional services</t>
        </is>
      </c>
      <c r="D473" t="inlineStr">
        <is>
          <t>SA</t>
        </is>
      </c>
      <c r="E473" s="5" t="inlineStr">
        <is>
          <t>https://data.bls.gov/timeseries/CUSR0000SEMC</t>
        </is>
      </c>
    </row>
    <row r="474">
      <c r="A474" s="5" t="inlineStr">
        <is>
          <t>CUUR0000SEMC01</t>
        </is>
      </c>
      <c r="B474" t="inlineStr">
        <is>
          <t>SEMC01</t>
        </is>
      </c>
      <c r="C474" t="inlineStr">
        <is>
          <t>Physicians' services</t>
        </is>
      </c>
      <c r="D474" t="inlineStr">
        <is>
          <t>NSA</t>
        </is>
      </c>
      <c r="E474" s="5" t="inlineStr">
        <is>
          <t>https://data.bls.gov/timeseries/CUUR0000SEMC01</t>
        </is>
      </c>
    </row>
    <row r="475">
      <c r="A475" s="5" t="inlineStr">
        <is>
          <t>CUSR0000SEMC01</t>
        </is>
      </c>
      <c r="B475" t="inlineStr">
        <is>
          <t>SEMC01</t>
        </is>
      </c>
      <c r="C475" t="inlineStr">
        <is>
          <t>Physicians' services</t>
        </is>
      </c>
      <c r="D475" t="inlineStr">
        <is>
          <t>SA</t>
        </is>
      </c>
      <c r="E475" s="5" t="inlineStr">
        <is>
          <t>https://data.bls.gov/timeseries/CUSR0000SEMC01</t>
        </is>
      </c>
    </row>
    <row r="476">
      <c r="A476" s="5" t="inlineStr">
        <is>
          <t>CUUR0000SEMC02</t>
        </is>
      </c>
      <c r="B476" t="inlineStr">
        <is>
          <t>SEMC02</t>
        </is>
      </c>
      <c r="C476" t="inlineStr">
        <is>
          <t>Dental services</t>
        </is>
      </c>
      <c r="D476" t="inlineStr">
        <is>
          <t>NSA</t>
        </is>
      </c>
      <c r="E476" s="5" t="inlineStr">
        <is>
          <t>https://data.bls.gov/timeseries/CUUR0000SEMC02</t>
        </is>
      </c>
    </row>
    <row r="477">
      <c r="A477" s="5" t="inlineStr">
        <is>
          <t>CUSR0000SEMC02</t>
        </is>
      </c>
      <c r="B477" t="inlineStr">
        <is>
          <t>SEMC02</t>
        </is>
      </c>
      <c r="C477" t="inlineStr">
        <is>
          <t>Dental services</t>
        </is>
      </c>
      <c r="D477" t="inlineStr">
        <is>
          <t>SA</t>
        </is>
      </c>
      <c r="E477" s="5" t="inlineStr">
        <is>
          <t>https://data.bls.gov/timeseries/CUSR0000SEMC02</t>
        </is>
      </c>
    </row>
    <row r="478">
      <c r="A478" s="5" t="inlineStr">
        <is>
          <t>CUUR0000SEMC03</t>
        </is>
      </c>
      <c r="B478" t="inlineStr">
        <is>
          <t>SEMC03</t>
        </is>
      </c>
      <c r="C478" t="inlineStr">
        <is>
          <t>Eyeglasses and eye care</t>
        </is>
      </c>
      <c r="D478" t="inlineStr">
        <is>
          <t>NSA</t>
        </is>
      </c>
      <c r="E478" s="5" t="inlineStr">
        <is>
          <t>https://data.bls.gov/timeseries/CUUR0000SEMC03</t>
        </is>
      </c>
    </row>
    <row r="479">
      <c r="A479" s="5" t="inlineStr">
        <is>
          <t>CUSR0000SEMC03</t>
        </is>
      </c>
      <c r="B479" t="inlineStr">
        <is>
          <t>SEMC03</t>
        </is>
      </c>
      <c r="C479" t="inlineStr">
        <is>
          <t>Eyeglasses and eye care</t>
        </is>
      </c>
      <c r="D479" t="inlineStr">
        <is>
          <t>SA</t>
        </is>
      </c>
      <c r="E479" s="5" t="inlineStr">
        <is>
          <t>https://data.bls.gov/timeseries/CUSR0000SEMC03</t>
        </is>
      </c>
    </row>
    <row r="480">
      <c r="A480" s="5" t="inlineStr">
        <is>
          <t>CUUR0000SEMC04</t>
        </is>
      </c>
      <c r="B480" t="inlineStr">
        <is>
          <t>SEMC04</t>
        </is>
      </c>
      <c r="C480" t="inlineStr">
        <is>
          <t>Services by other medical professionals</t>
        </is>
      </c>
      <c r="D480" t="inlineStr">
        <is>
          <t>NSA</t>
        </is>
      </c>
      <c r="E480" s="5" t="inlineStr">
        <is>
          <t>https://data.bls.gov/timeseries/CUUR0000SEMC04</t>
        </is>
      </c>
    </row>
    <row r="481">
      <c r="A481" s="5" t="inlineStr">
        <is>
          <t>CUSR0000SEMC04</t>
        </is>
      </c>
      <c r="B481" t="inlineStr">
        <is>
          <t>SEMC04</t>
        </is>
      </c>
      <c r="C481" t="inlineStr">
        <is>
          <t>Services by other medical professionals</t>
        </is>
      </c>
      <c r="D481" t="inlineStr">
        <is>
          <t>SA</t>
        </is>
      </c>
      <c r="E481" s="5" t="inlineStr">
        <is>
          <t>https://data.bls.gov/timeseries/CUSR0000SEMC04</t>
        </is>
      </c>
    </row>
    <row r="482">
      <c r="A482" s="5" t="inlineStr">
        <is>
          <t>CUUR0000SEMD</t>
        </is>
      </c>
      <c r="B482" t="inlineStr">
        <is>
          <t>SEMD</t>
        </is>
      </c>
      <c r="C482" t="inlineStr">
        <is>
          <t>Hospital and related services</t>
        </is>
      </c>
      <c r="D482" t="inlineStr">
        <is>
          <t>NSA</t>
        </is>
      </c>
      <c r="E482" s="5" t="inlineStr">
        <is>
          <t>https://data.bls.gov/timeseries/CUUR0000SEMD</t>
        </is>
      </c>
    </row>
    <row r="483">
      <c r="A483" s="5" t="inlineStr">
        <is>
          <t>CUSR0000SEMD</t>
        </is>
      </c>
      <c r="B483" t="inlineStr">
        <is>
          <t>SEMD</t>
        </is>
      </c>
      <c r="C483" t="inlineStr">
        <is>
          <t>Hospital and related services</t>
        </is>
      </c>
      <c r="D483" t="inlineStr">
        <is>
          <t>SA</t>
        </is>
      </c>
      <c r="E483" s="5" t="inlineStr">
        <is>
          <t>https://data.bls.gov/timeseries/CUSR0000SEMD</t>
        </is>
      </c>
    </row>
    <row r="484">
      <c r="A484" s="5" t="inlineStr">
        <is>
          <t>CUUR0000SEMD01</t>
        </is>
      </c>
      <c r="B484" t="inlineStr">
        <is>
          <t>SEMD01</t>
        </is>
      </c>
      <c r="C484" t="inlineStr">
        <is>
          <t>Hospital services</t>
        </is>
      </c>
      <c r="D484" t="inlineStr">
        <is>
          <t>NSA</t>
        </is>
      </c>
      <c r="E484" s="5" t="inlineStr">
        <is>
          <t>https://data.bls.gov/timeseries/CUUR0000SEMD01</t>
        </is>
      </c>
    </row>
    <row r="485">
      <c r="A485" s="5" t="inlineStr">
        <is>
          <t>CUSR0000SEMD01</t>
        </is>
      </c>
      <c r="B485" t="inlineStr">
        <is>
          <t>SEMD01</t>
        </is>
      </c>
      <c r="C485" t="inlineStr">
        <is>
          <t>Hospital services</t>
        </is>
      </c>
      <c r="D485" t="inlineStr">
        <is>
          <t>SA</t>
        </is>
      </c>
      <c r="E485" s="5" t="inlineStr">
        <is>
          <t>https://data.bls.gov/timeseries/CUSR0000SEMD01</t>
        </is>
      </c>
    </row>
    <row r="486">
      <c r="A486" s="5" t="inlineStr">
        <is>
          <t>CUUR0000SS5702</t>
        </is>
      </c>
      <c r="B486" t="inlineStr">
        <is>
          <t>SS5702</t>
        </is>
      </c>
      <c r="C486" t="inlineStr">
        <is>
          <t>Inpatient hospital services</t>
        </is>
      </c>
      <c r="D486" t="inlineStr">
        <is>
          <t>NSA</t>
        </is>
      </c>
      <c r="E486" s="5" t="inlineStr">
        <is>
          <t>https://data.bls.gov/timeseries/CUUR0000SS5702</t>
        </is>
      </c>
    </row>
    <row r="487">
      <c r="A487" s="5" t="inlineStr">
        <is>
          <t>CUSR0000SS5702</t>
        </is>
      </c>
      <c r="B487" t="inlineStr">
        <is>
          <t>SS5702</t>
        </is>
      </c>
      <c r="C487" t="inlineStr">
        <is>
          <t>Inpatient hospital services</t>
        </is>
      </c>
      <c r="D487" t="inlineStr">
        <is>
          <t>SA</t>
        </is>
      </c>
      <c r="E487" s="5" t="inlineStr">
        <is>
          <t>https://data.bls.gov/timeseries/CUSR0000SS5702</t>
        </is>
      </c>
    </row>
    <row r="488">
      <c r="A488" s="5" t="inlineStr">
        <is>
          <t>CUUR0000SS5703</t>
        </is>
      </c>
      <c r="B488" t="inlineStr">
        <is>
          <t>SS5703</t>
        </is>
      </c>
      <c r="C488" t="inlineStr">
        <is>
          <t>Outpatient hospital services</t>
        </is>
      </c>
      <c r="D488" t="inlineStr">
        <is>
          <t>NSA</t>
        </is>
      </c>
      <c r="E488" s="5" t="inlineStr">
        <is>
          <t>https://data.bls.gov/timeseries/CUUR0000SS5703</t>
        </is>
      </c>
    </row>
    <row r="489">
      <c r="A489" s="5" t="inlineStr">
        <is>
          <t>CUSR0000SS5703</t>
        </is>
      </c>
      <c r="B489" t="inlineStr">
        <is>
          <t>SS5703</t>
        </is>
      </c>
      <c r="C489" t="inlineStr">
        <is>
          <t>Outpatient hospital services</t>
        </is>
      </c>
      <c r="D489" t="inlineStr">
        <is>
          <t>SA</t>
        </is>
      </c>
      <c r="E489" s="5" t="inlineStr">
        <is>
          <t>https://data.bls.gov/timeseries/CUSR0000SS5703</t>
        </is>
      </c>
    </row>
    <row r="490">
      <c r="A490" s="5" t="inlineStr">
        <is>
          <t>CUUR0000SEMD02</t>
        </is>
      </c>
      <c r="B490" t="inlineStr">
        <is>
          <t>SEMD02</t>
        </is>
      </c>
      <c r="C490" t="inlineStr">
        <is>
          <t>Nursing homes and adult day services</t>
        </is>
      </c>
      <c r="D490" t="inlineStr">
        <is>
          <t>NSA</t>
        </is>
      </c>
      <c r="E490" s="5" t="inlineStr">
        <is>
          <t>https://data.bls.gov/timeseries/CUUR0000SEMD02</t>
        </is>
      </c>
    </row>
    <row r="491">
      <c r="A491" s="5" t="inlineStr">
        <is>
          <t>CUSR0000SEMD02</t>
        </is>
      </c>
      <c r="B491" t="inlineStr">
        <is>
          <t>SEMD02</t>
        </is>
      </c>
      <c r="C491" t="inlineStr">
        <is>
          <t>Nursing homes and adult day services</t>
        </is>
      </c>
      <c r="D491" t="inlineStr">
        <is>
          <t>SA</t>
        </is>
      </c>
      <c r="E491" s="5" t="inlineStr">
        <is>
          <t>https://data.bls.gov/timeseries/CUSR0000SEMD02</t>
        </is>
      </c>
    </row>
    <row r="492">
      <c r="A492" s="5" t="inlineStr">
        <is>
          <t>CUUR0000SEMD03</t>
        </is>
      </c>
      <c r="B492" t="inlineStr">
        <is>
          <t>SEMD03</t>
        </is>
      </c>
      <c r="C492" t="inlineStr">
        <is>
          <t>Home health care</t>
        </is>
      </c>
      <c r="D492" t="inlineStr">
        <is>
          <t>NSA</t>
        </is>
      </c>
      <c r="E492" s="5" t="inlineStr">
        <is>
          <t>https://data.bls.gov/timeseries/CUUR0000SEMD03</t>
        </is>
      </c>
    </row>
    <row r="493">
      <c r="A493" s="5" t="inlineStr">
        <is>
          <t>CUUR0000SEME</t>
        </is>
      </c>
      <c r="B493" t="inlineStr">
        <is>
          <t>SEME</t>
        </is>
      </c>
      <c r="C493" t="inlineStr">
        <is>
          <t>Health insurance</t>
        </is>
      </c>
      <c r="D493" t="inlineStr">
        <is>
          <t>NSA</t>
        </is>
      </c>
      <c r="E493" s="5" t="inlineStr">
        <is>
          <t>https://data.bls.gov/timeseries/CUUR0000SEME</t>
        </is>
      </c>
    </row>
    <row r="494">
      <c r="A494" s="5" t="inlineStr">
        <is>
          <t>CUUR0000SAR</t>
        </is>
      </c>
      <c r="B494" t="inlineStr">
        <is>
          <t>SAR</t>
        </is>
      </c>
      <c r="C494" t="inlineStr">
        <is>
          <t>Recreation</t>
        </is>
      </c>
      <c r="D494" t="inlineStr">
        <is>
          <t>NSA</t>
        </is>
      </c>
      <c r="E494" s="5" t="inlineStr">
        <is>
          <t>https://data.bls.gov/timeseries/CUUR0000SAR</t>
        </is>
      </c>
    </row>
    <row r="495">
      <c r="A495" s="5" t="inlineStr">
        <is>
          <t>CUSR0000SAR</t>
        </is>
      </c>
      <c r="B495" t="inlineStr">
        <is>
          <t>SAR</t>
        </is>
      </c>
      <c r="C495" t="inlineStr">
        <is>
          <t>Recreation</t>
        </is>
      </c>
      <c r="D495" t="inlineStr">
        <is>
          <t>SA</t>
        </is>
      </c>
      <c r="E495" s="5" t="inlineStr">
        <is>
          <t>https://data.bls.gov/timeseries/CUSR0000SAR</t>
        </is>
      </c>
    </row>
    <row r="496">
      <c r="A496" s="5" t="inlineStr">
        <is>
          <t>CUUR0000SERA</t>
        </is>
      </c>
      <c r="B496" t="inlineStr">
        <is>
          <t>SERA</t>
        </is>
      </c>
      <c r="C496" t="inlineStr">
        <is>
          <t>Video and audio</t>
        </is>
      </c>
      <c r="D496" t="inlineStr">
        <is>
          <t>NSA</t>
        </is>
      </c>
      <c r="E496" s="5" t="inlineStr">
        <is>
          <t>https://data.bls.gov/timeseries/CUUR0000SERA</t>
        </is>
      </c>
    </row>
    <row r="497">
      <c r="A497" s="5" t="inlineStr">
        <is>
          <t>CUSR0000SERA</t>
        </is>
      </c>
      <c r="B497" t="inlineStr">
        <is>
          <t>SERA</t>
        </is>
      </c>
      <c r="C497" t="inlineStr">
        <is>
          <t>Video and audio</t>
        </is>
      </c>
      <c r="D497" t="inlineStr">
        <is>
          <t>SA</t>
        </is>
      </c>
      <c r="E497" s="5" t="inlineStr">
        <is>
          <t>https://data.bls.gov/timeseries/CUSR0000SERA</t>
        </is>
      </c>
    </row>
    <row r="498">
      <c r="A498" s="5" t="inlineStr">
        <is>
          <t>CUUR0000SERA01</t>
        </is>
      </c>
      <c r="B498" t="inlineStr">
        <is>
          <t>SERA01</t>
        </is>
      </c>
      <c r="C498" t="inlineStr">
        <is>
          <t>Televisions</t>
        </is>
      </c>
      <c r="D498" t="inlineStr">
        <is>
          <t>NSA</t>
        </is>
      </c>
      <c r="E498" s="5" t="inlineStr">
        <is>
          <t>https://data.bls.gov/timeseries/CUUR0000SERA01</t>
        </is>
      </c>
    </row>
    <row r="499">
      <c r="A499" s="5" t="inlineStr">
        <is>
          <t>CUSR0000SERA01</t>
        </is>
      </c>
      <c r="B499" t="inlineStr">
        <is>
          <t>SERA01</t>
        </is>
      </c>
      <c r="C499" t="inlineStr">
        <is>
          <t>Televisions</t>
        </is>
      </c>
      <c r="D499" t="inlineStr">
        <is>
          <t>SA</t>
        </is>
      </c>
      <c r="E499" s="5" t="inlineStr">
        <is>
          <t>https://data.bls.gov/timeseries/CUSR0000SERA01</t>
        </is>
      </c>
    </row>
    <row r="500">
      <c r="A500" s="5" t="inlineStr">
        <is>
          <t>CUUR0000SERA02</t>
        </is>
      </c>
      <c r="B500" t="inlineStr">
        <is>
          <t>SERA02</t>
        </is>
      </c>
      <c r="C500" t="inlineStr">
        <is>
          <t>Cable, satellite, and live streaming television service</t>
        </is>
      </c>
      <c r="D500" t="inlineStr">
        <is>
          <t>NSA</t>
        </is>
      </c>
      <c r="E500" s="5" t="inlineStr">
        <is>
          <t>https://data.bls.gov/timeseries/CUUR0000SERA02</t>
        </is>
      </c>
    </row>
    <row r="501">
      <c r="A501" s="5" t="inlineStr">
        <is>
          <t>CUSR0000SERA02</t>
        </is>
      </c>
      <c r="B501" t="inlineStr">
        <is>
          <t>SERA02</t>
        </is>
      </c>
      <c r="C501" t="inlineStr">
        <is>
          <t>Cable, satellite, and live streaming television service</t>
        </is>
      </c>
      <c r="D501" t="inlineStr">
        <is>
          <t>SA</t>
        </is>
      </c>
      <c r="E501" s="5" t="inlineStr">
        <is>
          <t>https://data.bls.gov/timeseries/CUSR0000SERA02</t>
        </is>
      </c>
    </row>
    <row r="502">
      <c r="A502" s="5" t="inlineStr">
        <is>
          <t>CUUR0000SERA03</t>
        </is>
      </c>
      <c r="B502" t="inlineStr">
        <is>
          <t>SERA03</t>
        </is>
      </c>
      <c r="C502" t="inlineStr">
        <is>
          <t>Other video equipment</t>
        </is>
      </c>
      <c r="D502" t="inlineStr">
        <is>
          <t>NSA</t>
        </is>
      </c>
      <c r="E502" s="5" t="inlineStr">
        <is>
          <t>https://data.bls.gov/timeseries/CUUR0000SERA03</t>
        </is>
      </c>
    </row>
    <row r="503">
      <c r="A503" s="5" t="inlineStr">
        <is>
          <t>CUSR0000SERA03</t>
        </is>
      </c>
      <c r="B503" t="inlineStr">
        <is>
          <t>SERA03</t>
        </is>
      </c>
      <c r="C503" t="inlineStr">
        <is>
          <t>Other video equipment</t>
        </is>
      </c>
      <c r="D503" t="inlineStr">
        <is>
          <t>SA</t>
        </is>
      </c>
      <c r="E503" s="5" t="inlineStr">
        <is>
          <t>https://data.bls.gov/timeseries/CUSR0000SERA03</t>
        </is>
      </c>
    </row>
    <row r="504">
      <c r="A504" s="5" t="inlineStr">
        <is>
          <t>CUUR0000SERA04</t>
        </is>
      </c>
      <c r="B504" t="inlineStr">
        <is>
          <t>SERA04</t>
        </is>
      </c>
      <c r="C504" t="inlineStr">
        <is>
          <t>Purchase, subscription, and rental of video</t>
        </is>
      </c>
      <c r="D504" t="inlineStr">
        <is>
          <t>NSA</t>
        </is>
      </c>
      <c r="E504" s="5" t="inlineStr">
        <is>
          <t>https://data.bls.gov/timeseries/CUUR0000SERA04</t>
        </is>
      </c>
    </row>
    <row r="505">
      <c r="A505" s="5" t="inlineStr">
        <is>
          <t>CUUR0000SS31022</t>
        </is>
      </c>
      <c r="B505" t="inlineStr">
        <is>
          <t>SS31022</t>
        </is>
      </c>
      <c r="C505" t="inlineStr">
        <is>
          <t>Video discs and other media</t>
        </is>
      </c>
      <c r="D505" t="inlineStr">
        <is>
          <t>NSA</t>
        </is>
      </c>
      <c r="E505" s="5" t="inlineStr">
        <is>
          <t>https://data.bls.gov/timeseries/CUUR0000SS31022</t>
        </is>
      </c>
    </row>
    <row r="506">
      <c r="A506" s="5" t="inlineStr">
        <is>
          <t>CUUR0000SS62055</t>
        </is>
      </c>
      <c r="B506" t="inlineStr">
        <is>
          <t>SS62055</t>
        </is>
      </c>
      <c r="C506" t="inlineStr">
        <is>
          <t>Subscription and rental of video and video games</t>
        </is>
      </c>
      <c r="D506" t="inlineStr">
        <is>
          <t>NSA</t>
        </is>
      </c>
      <c r="E506" s="5" t="inlineStr">
        <is>
          <t>https://data.bls.gov/timeseries/CUUR0000SS62055</t>
        </is>
      </c>
    </row>
    <row r="507">
      <c r="A507" s="5" t="inlineStr">
        <is>
          <t>CUUR0000SERA05</t>
        </is>
      </c>
      <c r="B507" t="inlineStr">
        <is>
          <t>SERA05</t>
        </is>
      </c>
      <c r="C507" t="inlineStr">
        <is>
          <t>Audio equipment</t>
        </is>
      </c>
      <c r="D507" t="inlineStr">
        <is>
          <t>NSA</t>
        </is>
      </c>
      <c r="E507" s="5" t="inlineStr">
        <is>
          <t>https://data.bls.gov/timeseries/CUUR0000SERA05</t>
        </is>
      </c>
    </row>
    <row r="508">
      <c r="A508" s="5" t="inlineStr">
        <is>
          <t>CUSR0000SERA05</t>
        </is>
      </c>
      <c r="B508" t="inlineStr">
        <is>
          <t>SERA05</t>
        </is>
      </c>
      <c r="C508" t="inlineStr">
        <is>
          <t>Audio equipment</t>
        </is>
      </c>
      <c r="D508" t="inlineStr">
        <is>
          <t>SA</t>
        </is>
      </c>
      <c r="E508" s="5" t="inlineStr">
        <is>
          <t>https://data.bls.gov/timeseries/CUSR0000SERA05</t>
        </is>
      </c>
    </row>
    <row r="509">
      <c r="A509" s="5" t="inlineStr">
        <is>
          <t>CUUR0000SERA06</t>
        </is>
      </c>
      <c r="B509" t="inlineStr">
        <is>
          <t>SERA06</t>
        </is>
      </c>
      <c r="C509" t="inlineStr">
        <is>
          <t>Recorded music and music subscriptions</t>
        </is>
      </c>
      <c r="D509" t="inlineStr">
        <is>
          <t>NSA</t>
        </is>
      </c>
      <c r="E509" s="5" t="inlineStr">
        <is>
          <t>https://data.bls.gov/timeseries/CUUR0000SERA06</t>
        </is>
      </c>
    </row>
    <row r="510">
      <c r="A510" s="5" t="inlineStr">
        <is>
          <t>CUUR0000SERB</t>
        </is>
      </c>
      <c r="B510" t="inlineStr">
        <is>
          <t>SERB</t>
        </is>
      </c>
      <c r="C510" t="inlineStr">
        <is>
          <t>Pets, pet products and services</t>
        </is>
      </c>
      <c r="D510" t="inlineStr">
        <is>
          <t>NSA</t>
        </is>
      </c>
      <c r="E510" s="5" t="inlineStr">
        <is>
          <t>https://data.bls.gov/timeseries/CUUR0000SERB</t>
        </is>
      </c>
    </row>
    <row r="511">
      <c r="A511" s="5" t="inlineStr">
        <is>
          <t>CUSR0000SERB</t>
        </is>
      </c>
      <c r="B511" t="inlineStr">
        <is>
          <t>SERB</t>
        </is>
      </c>
      <c r="C511" t="inlineStr">
        <is>
          <t>Pets, pet products and services</t>
        </is>
      </c>
      <c r="D511" t="inlineStr">
        <is>
          <t>SA</t>
        </is>
      </c>
      <c r="E511" s="5" t="inlineStr">
        <is>
          <t>https://data.bls.gov/timeseries/CUSR0000SERB</t>
        </is>
      </c>
    </row>
    <row r="512">
      <c r="A512" s="5" t="inlineStr">
        <is>
          <t>CUUR0000SERB01</t>
        </is>
      </c>
      <c r="B512" t="inlineStr">
        <is>
          <t>SERB01</t>
        </is>
      </c>
      <c r="C512" t="inlineStr">
        <is>
          <t>Pets and pet products</t>
        </is>
      </c>
      <c r="D512" t="inlineStr">
        <is>
          <t>NSA</t>
        </is>
      </c>
      <c r="E512" s="5" t="inlineStr">
        <is>
          <t>https://data.bls.gov/timeseries/CUUR0000SERB01</t>
        </is>
      </c>
    </row>
    <row r="513">
      <c r="A513" s="5" t="inlineStr">
        <is>
          <t>CUSR0000SERB01</t>
        </is>
      </c>
      <c r="B513" t="inlineStr">
        <is>
          <t>SERB01</t>
        </is>
      </c>
      <c r="C513" t="inlineStr">
        <is>
          <t>Pets and pet products</t>
        </is>
      </c>
      <c r="D513" t="inlineStr">
        <is>
          <t>SA</t>
        </is>
      </c>
      <c r="E513" s="5" t="inlineStr">
        <is>
          <t>https://data.bls.gov/timeseries/CUSR0000SERB01</t>
        </is>
      </c>
    </row>
    <row r="514">
      <c r="A514" s="5" t="inlineStr">
        <is>
          <t>CUUR0000SS61031</t>
        </is>
      </c>
      <c r="B514" t="inlineStr">
        <is>
          <t>SS61031</t>
        </is>
      </c>
      <c r="C514" t="inlineStr">
        <is>
          <t>Pet food and treats</t>
        </is>
      </c>
      <c r="D514" t="inlineStr">
        <is>
          <t>NSA</t>
        </is>
      </c>
      <c r="E514" s="5" t="inlineStr">
        <is>
          <t>https://data.bls.gov/timeseries/CUUR0000SS61031</t>
        </is>
      </c>
    </row>
    <row r="515">
      <c r="A515" s="5" t="inlineStr">
        <is>
          <t>CUSR0000SS61031</t>
        </is>
      </c>
      <c r="B515" t="inlineStr">
        <is>
          <t>SS61031</t>
        </is>
      </c>
      <c r="C515" t="inlineStr">
        <is>
          <t>Pet food and treats</t>
        </is>
      </c>
      <c r="D515" t="inlineStr">
        <is>
          <t>SA</t>
        </is>
      </c>
      <c r="E515" s="5" t="inlineStr">
        <is>
          <t>https://data.bls.gov/timeseries/CUSR0000SS61031</t>
        </is>
      </c>
    </row>
    <row r="516">
      <c r="A516" s="5" t="inlineStr">
        <is>
          <t>CUUR0000SS61032</t>
        </is>
      </c>
      <c r="B516" t="inlineStr">
        <is>
          <t>SS61032</t>
        </is>
      </c>
      <c r="C516" t="inlineStr">
        <is>
          <t>Purchase of pets, pet supplies, accessories</t>
        </is>
      </c>
      <c r="D516" t="inlineStr">
        <is>
          <t>NSA</t>
        </is>
      </c>
      <c r="E516" s="5" t="inlineStr">
        <is>
          <t>https://data.bls.gov/timeseries/CUUR0000SS61032</t>
        </is>
      </c>
    </row>
    <row r="517">
      <c r="A517" s="5" t="inlineStr">
        <is>
          <t>CUSR0000SS61032</t>
        </is>
      </c>
      <c r="B517" t="inlineStr">
        <is>
          <t>SS61032</t>
        </is>
      </c>
      <c r="C517" t="inlineStr">
        <is>
          <t>Purchase of pets, pet supplies, accessories</t>
        </is>
      </c>
      <c r="D517" t="inlineStr">
        <is>
          <t>SA</t>
        </is>
      </c>
      <c r="E517" s="5" t="inlineStr">
        <is>
          <t>https://data.bls.gov/timeseries/CUSR0000SS61032</t>
        </is>
      </c>
    </row>
    <row r="518">
      <c r="A518" s="5" t="inlineStr">
        <is>
          <t>CUUR0000SERB02</t>
        </is>
      </c>
      <c r="B518" t="inlineStr">
        <is>
          <t>SERB02</t>
        </is>
      </c>
      <c r="C518" t="inlineStr">
        <is>
          <t>Pet services including veterinary</t>
        </is>
      </c>
      <c r="D518" t="inlineStr">
        <is>
          <t>NSA</t>
        </is>
      </c>
      <c r="E518" s="5" t="inlineStr">
        <is>
          <t>https://data.bls.gov/timeseries/CUUR0000SERB02</t>
        </is>
      </c>
    </row>
    <row r="519">
      <c r="A519" s="5" t="inlineStr">
        <is>
          <t>CUSR0000SERB02</t>
        </is>
      </c>
      <c r="B519" t="inlineStr">
        <is>
          <t>SERB02</t>
        </is>
      </c>
      <c r="C519" t="inlineStr">
        <is>
          <t>Pet services including veterinary</t>
        </is>
      </c>
      <c r="D519" t="inlineStr">
        <is>
          <t>SA</t>
        </is>
      </c>
      <c r="E519" s="5" t="inlineStr">
        <is>
          <t>https://data.bls.gov/timeseries/CUSR0000SERB02</t>
        </is>
      </c>
    </row>
    <row r="520">
      <c r="A520" s="5" t="inlineStr">
        <is>
          <t>CUUR0000SS62053</t>
        </is>
      </c>
      <c r="B520" t="inlineStr">
        <is>
          <t>SS62053</t>
        </is>
      </c>
      <c r="C520" t="inlineStr">
        <is>
          <t>Pet services</t>
        </is>
      </c>
      <c r="D520" t="inlineStr">
        <is>
          <t>NSA</t>
        </is>
      </c>
      <c r="E520" s="5" t="inlineStr">
        <is>
          <t>https://data.bls.gov/timeseries/CUUR0000SS62053</t>
        </is>
      </c>
    </row>
    <row r="521">
      <c r="A521" s="5" t="inlineStr">
        <is>
          <t>CUSR0000SS62053</t>
        </is>
      </c>
      <c r="B521" t="inlineStr">
        <is>
          <t>SS62053</t>
        </is>
      </c>
      <c r="C521" t="inlineStr">
        <is>
          <t>Pet services</t>
        </is>
      </c>
      <c r="D521" t="inlineStr">
        <is>
          <t>SA</t>
        </is>
      </c>
      <c r="E521" s="5" t="inlineStr">
        <is>
          <t>https://data.bls.gov/timeseries/CUSR0000SS62053</t>
        </is>
      </c>
    </row>
    <row r="522">
      <c r="A522" s="5" t="inlineStr">
        <is>
          <t>CUUR0000SS62054</t>
        </is>
      </c>
      <c r="B522" t="inlineStr">
        <is>
          <t>SS62054</t>
        </is>
      </c>
      <c r="C522" t="inlineStr">
        <is>
          <t>Veterinarian services</t>
        </is>
      </c>
      <c r="D522" t="inlineStr">
        <is>
          <t>NSA</t>
        </is>
      </c>
      <c r="E522" s="5" t="inlineStr">
        <is>
          <t>https://data.bls.gov/timeseries/CUUR0000SS62054</t>
        </is>
      </c>
    </row>
    <row r="523">
      <c r="A523" s="5" t="inlineStr">
        <is>
          <t>CUSR0000SS62054</t>
        </is>
      </c>
      <c r="B523" t="inlineStr">
        <is>
          <t>SS62054</t>
        </is>
      </c>
      <c r="C523" t="inlineStr">
        <is>
          <t>Veterinarian services</t>
        </is>
      </c>
      <c r="D523" t="inlineStr">
        <is>
          <t>SA</t>
        </is>
      </c>
      <c r="E523" s="5" t="inlineStr">
        <is>
          <t>https://data.bls.gov/timeseries/CUSR0000SS62054</t>
        </is>
      </c>
    </row>
    <row r="524">
      <c r="A524" s="5" t="inlineStr">
        <is>
          <t>CUUR0000SERC</t>
        </is>
      </c>
      <c r="B524" t="inlineStr">
        <is>
          <t>SERC</t>
        </is>
      </c>
      <c r="C524" t="inlineStr">
        <is>
          <t>Sporting goods</t>
        </is>
      </c>
      <c r="D524" t="inlineStr">
        <is>
          <t>NSA</t>
        </is>
      </c>
      <c r="E524" s="5" t="inlineStr">
        <is>
          <t>https://data.bls.gov/timeseries/CUUR0000SERC</t>
        </is>
      </c>
    </row>
    <row r="525">
      <c r="A525" s="5" t="inlineStr">
        <is>
          <t>CUSR0000SERC</t>
        </is>
      </c>
      <c r="B525" t="inlineStr">
        <is>
          <t>SERC</t>
        </is>
      </c>
      <c r="C525" t="inlineStr">
        <is>
          <t>Sporting goods</t>
        </is>
      </c>
      <c r="D525" t="inlineStr">
        <is>
          <t>SA</t>
        </is>
      </c>
      <c r="E525" s="5" t="inlineStr">
        <is>
          <t>https://data.bls.gov/timeseries/CUSR0000SERC</t>
        </is>
      </c>
    </row>
    <row r="526">
      <c r="A526" s="5" t="inlineStr">
        <is>
          <t>CUUR0000SERC01</t>
        </is>
      </c>
      <c r="B526" t="inlineStr">
        <is>
          <t>SERC01</t>
        </is>
      </c>
      <c r="C526" t="inlineStr">
        <is>
          <t>Sports vehicles including bicycles</t>
        </is>
      </c>
      <c r="D526" t="inlineStr">
        <is>
          <t>NSA</t>
        </is>
      </c>
      <c r="E526" s="5" t="inlineStr">
        <is>
          <t>https://data.bls.gov/timeseries/CUUR0000SERC01</t>
        </is>
      </c>
    </row>
    <row r="527">
      <c r="A527" s="5" t="inlineStr">
        <is>
          <t>CUSR0000SERC01</t>
        </is>
      </c>
      <c r="B527" t="inlineStr">
        <is>
          <t>SERC01</t>
        </is>
      </c>
      <c r="C527" t="inlineStr">
        <is>
          <t>Sports vehicles including bicycles</t>
        </is>
      </c>
      <c r="D527" t="inlineStr">
        <is>
          <t>SA</t>
        </is>
      </c>
      <c r="E527" s="5" t="inlineStr">
        <is>
          <t>https://data.bls.gov/timeseries/CUSR0000SERC01</t>
        </is>
      </c>
    </row>
    <row r="528">
      <c r="A528" s="5" t="inlineStr">
        <is>
          <t>CUUR0000SERC02</t>
        </is>
      </c>
      <c r="B528" t="inlineStr">
        <is>
          <t>SERC02</t>
        </is>
      </c>
      <c r="C528" t="inlineStr">
        <is>
          <t>Sports equipment</t>
        </is>
      </c>
      <c r="D528" t="inlineStr">
        <is>
          <t>NSA</t>
        </is>
      </c>
      <c r="E528" s="5" t="inlineStr">
        <is>
          <t>https://data.bls.gov/timeseries/CUUR0000SERC02</t>
        </is>
      </c>
    </row>
    <row r="529">
      <c r="A529" s="5" t="inlineStr">
        <is>
          <t>CUSR0000SERC02</t>
        </is>
      </c>
      <c r="B529" t="inlineStr">
        <is>
          <t>SERC02</t>
        </is>
      </c>
      <c r="C529" t="inlineStr">
        <is>
          <t>Sports equipment</t>
        </is>
      </c>
      <c r="D529" t="inlineStr">
        <is>
          <t>SA</t>
        </is>
      </c>
      <c r="E529" s="5" t="inlineStr">
        <is>
          <t>https://data.bls.gov/timeseries/CUSR0000SERC02</t>
        </is>
      </c>
    </row>
    <row r="530">
      <c r="A530" s="5" t="inlineStr">
        <is>
          <t>CUUR0000SERD</t>
        </is>
      </c>
      <c r="B530" t="inlineStr">
        <is>
          <t>SERD</t>
        </is>
      </c>
      <c r="C530" t="inlineStr">
        <is>
          <t>Photography</t>
        </is>
      </c>
      <c r="D530" t="inlineStr">
        <is>
          <t>NSA</t>
        </is>
      </c>
      <c r="E530" s="5" t="inlineStr">
        <is>
          <t>https://data.bls.gov/timeseries/CUUR0000SERD</t>
        </is>
      </c>
    </row>
    <row r="531">
      <c r="A531" s="5" t="inlineStr">
        <is>
          <t>CUSR0000SERD</t>
        </is>
      </c>
      <c r="B531" t="inlineStr">
        <is>
          <t>SERD</t>
        </is>
      </c>
      <c r="C531" t="inlineStr">
        <is>
          <t>Photography</t>
        </is>
      </c>
      <c r="D531" t="inlineStr">
        <is>
          <t>SA</t>
        </is>
      </c>
      <c r="E531" s="5" t="inlineStr">
        <is>
          <t>https://data.bls.gov/timeseries/CUSR0000SERD</t>
        </is>
      </c>
    </row>
    <row r="532">
      <c r="A532" s="5" t="inlineStr">
        <is>
          <t>CUUR0000SERD01</t>
        </is>
      </c>
      <c r="B532" t="inlineStr">
        <is>
          <t>SERD01</t>
        </is>
      </c>
      <c r="C532" t="inlineStr">
        <is>
          <t>Photographic equipment and supplies</t>
        </is>
      </c>
      <c r="D532" t="inlineStr">
        <is>
          <t>NSA</t>
        </is>
      </c>
      <c r="E532" s="5" t="inlineStr">
        <is>
          <t>https://data.bls.gov/timeseries/CUUR0000SERD01</t>
        </is>
      </c>
    </row>
    <row r="533">
      <c r="A533" s="5" t="inlineStr">
        <is>
          <t>CUSR0000SERD01</t>
        </is>
      </c>
      <c r="B533" t="inlineStr">
        <is>
          <t>SERD01</t>
        </is>
      </c>
      <c r="C533" t="inlineStr">
        <is>
          <t>Photographic equipment and supplies</t>
        </is>
      </c>
      <c r="D533" t="inlineStr">
        <is>
          <t>SA</t>
        </is>
      </c>
      <c r="E533" s="5" t="inlineStr">
        <is>
          <t>https://data.bls.gov/timeseries/CUSR0000SERD01</t>
        </is>
      </c>
    </row>
    <row r="534">
      <c r="A534" s="5" t="inlineStr">
        <is>
          <t>CUUR0000SS61021</t>
        </is>
      </c>
      <c r="B534" t="inlineStr">
        <is>
          <t>SS61021</t>
        </is>
      </c>
      <c r="C534" t="inlineStr">
        <is>
          <t>Film and photographic supplies</t>
        </is>
      </c>
      <c r="D534" t="inlineStr">
        <is>
          <t>NSA</t>
        </is>
      </c>
      <c r="E534" s="5" t="inlineStr">
        <is>
          <t>https://data.bls.gov/timeseries/CUUR0000SS61021</t>
        </is>
      </c>
    </row>
    <row r="535">
      <c r="A535" s="5" t="inlineStr">
        <is>
          <t>CUUR0000SS61023</t>
        </is>
      </c>
      <c r="B535" t="inlineStr">
        <is>
          <t>SS61023</t>
        </is>
      </c>
      <c r="C535" t="inlineStr">
        <is>
          <t>Photographic equipment</t>
        </is>
      </c>
      <c r="D535" t="inlineStr">
        <is>
          <t>NSA</t>
        </is>
      </c>
      <c r="E535" s="5" t="inlineStr">
        <is>
          <t>https://data.bls.gov/timeseries/CUUR0000SS61023</t>
        </is>
      </c>
    </row>
    <row r="536">
      <c r="A536" s="5" t="inlineStr">
        <is>
          <t>CUSR0000SS61023</t>
        </is>
      </c>
      <c r="B536" t="inlineStr">
        <is>
          <t>SS61023</t>
        </is>
      </c>
      <c r="C536" t="inlineStr">
        <is>
          <t>Photographic equipment</t>
        </is>
      </c>
      <c r="D536" t="inlineStr">
        <is>
          <t>SA</t>
        </is>
      </c>
      <c r="E536" s="5" t="inlineStr">
        <is>
          <t>https://data.bls.gov/timeseries/CUSR0000SS61023</t>
        </is>
      </c>
    </row>
    <row r="537">
      <c r="A537" s="5" t="inlineStr">
        <is>
          <t>CUUR0000SERD02</t>
        </is>
      </c>
      <c r="B537" t="inlineStr">
        <is>
          <t>SERD02</t>
        </is>
      </c>
      <c r="C537" t="inlineStr">
        <is>
          <t>Photographers and photo processing</t>
        </is>
      </c>
      <c r="D537" t="inlineStr">
        <is>
          <t>NSA</t>
        </is>
      </c>
      <c r="E537" s="5" t="inlineStr">
        <is>
          <t>https://data.bls.gov/timeseries/CUUR0000SERD02</t>
        </is>
      </c>
    </row>
    <row r="538">
      <c r="A538" s="5" t="inlineStr">
        <is>
          <t>CUUR0000SS62051</t>
        </is>
      </c>
      <c r="B538" t="inlineStr">
        <is>
          <t>SS62051</t>
        </is>
      </c>
      <c r="C538" t="inlineStr">
        <is>
          <t>Photographer fees</t>
        </is>
      </c>
      <c r="D538" t="inlineStr">
        <is>
          <t>NSA</t>
        </is>
      </c>
      <c r="E538" s="5" t="inlineStr">
        <is>
          <t>https://data.bls.gov/timeseries/CUUR0000SS62051</t>
        </is>
      </c>
    </row>
    <row r="539">
      <c r="A539" s="5" t="inlineStr">
        <is>
          <t>CUUR0000SS62052</t>
        </is>
      </c>
      <c r="B539" t="inlineStr">
        <is>
          <t>SS62052</t>
        </is>
      </c>
      <c r="C539" t="inlineStr">
        <is>
          <t>Photo Processing</t>
        </is>
      </c>
      <c r="D539" t="inlineStr">
        <is>
          <t>NSA</t>
        </is>
      </c>
      <c r="E539" s="5" t="inlineStr">
        <is>
          <t>https://data.bls.gov/timeseries/CUUR0000SS62052</t>
        </is>
      </c>
    </row>
    <row r="540">
      <c r="A540" s="5" t="inlineStr">
        <is>
          <t>CUUR0000SERE</t>
        </is>
      </c>
      <c r="B540" t="inlineStr">
        <is>
          <t>SERE</t>
        </is>
      </c>
      <c r="C540" t="inlineStr">
        <is>
          <t>Other recreational goods</t>
        </is>
      </c>
      <c r="D540" t="inlineStr">
        <is>
          <t>NSA</t>
        </is>
      </c>
      <c r="E540" s="5" t="inlineStr">
        <is>
          <t>https://data.bls.gov/timeseries/CUUR0000SERE</t>
        </is>
      </c>
    </row>
    <row r="541">
      <c r="A541" s="5" t="inlineStr">
        <is>
          <t>CUSR0000SERE</t>
        </is>
      </c>
      <c r="B541" t="inlineStr">
        <is>
          <t>SERE</t>
        </is>
      </c>
      <c r="C541" t="inlineStr">
        <is>
          <t>Other recreational goods</t>
        </is>
      </c>
      <c r="D541" t="inlineStr">
        <is>
          <t>SA</t>
        </is>
      </c>
      <c r="E541" s="5" t="inlineStr">
        <is>
          <t>https://data.bls.gov/timeseries/CUSR0000SERE</t>
        </is>
      </c>
    </row>
    <row r="542">
      <c r="A542" s="5" t="inlineStr">
        <is>
          <t>CUUR0000SERE01</t>
        </is>
      </c>
      <c r="B542" t="inlineStr">
        <is>
          <t>SERE01</t>
        </is>
      </c>
      <c r="C542" t="inlineStr">
        <is>
          <t>Toys</t>
        </is>
      </c>
      <c r="D542" t="inlineStr">
        <is>
          <t>NSA</t>
        </is>
      </c>
      <c r="E542" s="5" t="inlineStr">
        <is>
          <t>https://data.bls.gov/timeseries/CUUR0000SERE01</t>
        </is>
      </c>
    </row>
    <row r="543">
      <c r="A543" s="5" t="inlineStr">
        <is>
          <t>CUSR0000SERE01</t>
        </is>
      </c>
      <c r="B543" t="inlineStr">
        <is>
          <t>SERE01</t>
        </is>
      </c>
      <c r="C543" t="inlineStr">
        <is>
          <t>Toys</t>
        </is>
      </c>
      <c r="D543" t="inlineStr">
        <is>
          <t>SA</t>
        </is>
      </c>
      <c r="E543" s="5" t="inlineStr">
        <is>
          <t>https://data.bls.gov/timeseries/CUSR0000SERE01</t>
        </is>
      </c>
    </row>
    <row r="544">
      <c r="A544" s="5" t="inlineStr">
        <is>
          <t>CUUR0000SS61011</t>
        </is>
      </c>
      <c r="B544" t="inlineStr">
        <is>
          <t>SS61011</t>
        </is>
      </c>
      <c r="C544" t="inlineStr">
        <is>
          <t>Toys, games, hobbies and playground equipment</t>
        </is>
      </c>
      <c r="D544" t="inlineStr">
        <is>
          <t>NSA</t>
        </is>
      </c>
      <c r="E544" s="5" t="inlineStr">
        <is>
          <t>https://data.bls.gov/timeseries/CUUR0000SS61011</t>
        </is>
      </c>
    </row>
    <row r="545">
      <c r="A545" s="5" t="inlineStr">
        <is>
          <t>CUSR0000SS61011</t>
        </is>
      </c>
      <c r="B545" t="inlineStr">
        <is>
          <t>SS61011</t>
        </is>
      </c>
      <c r="C545" t="inlineStr">
        <is>
          <t>Toys, games, hobbies and playground equipment</t>
        </is>
      </c>
      <c r="D545" t="inlineStr">
        <is>
          <t>SA</t>
        </is>
      </c>
      <c r="E545" s="5" t="inlineStr">
        <is>
          <t>https://data.bls.gov/timeseries/CUSR0000SS61011</t>
        </is>
      </c>
    </row>
    <row r="546">
      <c r="A546" s="5" t="inlineStr">
        <is>
          <t>CUUR0000SS31023</t>
        </is>
      </c>
      <c r="B546" t="inlineStr">
        <is>
          <t>SS31023</t>
        </is>
      </c>
      <c r="C546" t="inlineStr">
        <is>
          <t>Video game hardware, software and accessories</t>
        </is>
      </c>
      <c r="D546" t="inlineStr">
        <is>
          <t>NSA</t>
        </is>
      </c>
      <c r="E546" s="5" t="inlineStr">
        <is>
          <t>https://data.bls.gov/timeseries/CUUR0000SS31023</t>
        </is>
      </c>
    </row>
    <row r="547">
      <c r="A547" s="5" t="inlineStr">
        <is>
          <t>CUUR0000SERE02</t>
        </is>
      </c>
      <c r="B547" t="inlineStr">
        <is>
          <t>SERE02</t>
        </is>
      </c>
      <c r="C547" t="inlineStr">
        <is>
          <t>Sewing machines, fabric and supplies</t>
        </is>
      </c>
      <c r="D547" t="inlineStr">
        <is>
          <t>NSA</t>
        </is>
      </c>
      <c r="E547" s="5" t="inlineStr">
        <is>
          <t>https://data.bls.gov/timeseries/CUUR0000SERE02</t>
        </is>
      </c>
    </row>
    <row r="548">
      <c r="A548" s="5" t="inlineStr">
        <is>
          <t>CUSR0000SERE02</t>
        </is>
      </c>
      <c r="B548" t="inlineStr">
        <is>
          <t>SERE02</t>
        </is>
      </c>
      <c r="C548" t="inlineStr">
        <is>
          <t>Sewing machines, fabric and supplies</t>
        </is>
      </c>
      <c r="D548" t="inlineStr">
        <is>
          <t>SA</t>
        </is>
      </c>
      <c r="E548" s="5" t="inlineStr">
        <is>
          <t>https://data.bls.gov/timeseries/CUSR0000SERE02</t>
        </is>
      </c>
    </row>
    <row r="549">
      <c r="A549" s="5" t="inlineStr">
        <is>
          <t>CUUR0000SERE03</t>
        </is>
      </c>
      <c r="B549" t="inlineStr">
        <is>
          <t>SERE03</t>
        </is>
      </c>
      <c r="C549" t="inlineStr">
        <is>
          <t>Music instruments and accessories</t>
        </is>
      </c>
      <c r="D549" t="inlineStr">
        <is>
          <t>NSA</t>
        </is>
      </c>
      <c r="E549" s="5" t="inlineStr">
        <is>
          <t>https://data.bls.gov/timeseries/CUUR0000SERE03</t>
        </is>
      </c>
    </row>
    <row r="550">
      <c r="A550" s="5" t="inlineStr">
        <is>
          <t>CUSR0000SERE03</t>
        </is>
      </c>
      <c r="B550" t="inlineStr">
        <is>
          <t>SERE03</t>
        </is>
      </c>
      <c r="C550" t="inlineStr">
        <is>
          <t>Music instruments and accessories</t>
        </is>
      </c>
      <c r="D550" t="inlineStr">
        <is>
          <t>SA</t>
        </is>
      </c>
      <c r="E550" s="5" t="inlineStr">
        <is>
          <t>https://data.bls.gov/timeseries/CUSR0000SERE03</t>
        </is>
      </c>
    </row>
    <row r="551">
      <c r="A551" s="5" t="inlineStr">
        <is>
          <t>CUUR0000SERF</t>
        </is>
      </c>
      <c r="B551" t="inlineStr">
        <is>
          <t>SERF</t>
        </is>
      </c>
      <c r="C551" t="inlineStr">
        <is>
          <t>Other recreation services</t>
        </is>
      </c>
      <c r="D551" t="inlineStr">
        <is>
          <t>NSA</t>
        </is>
      </c>
      <c r="E551" s="5" t="inlineStr">
        <is>
          <t>https://data.bls.gov/timeseries/CUUR0000SERF</t>
        </is>
      </c>
    </row>
    <row r="552">
      <c r="A552" s="5" t="inlineStr">
        <is>
          <t>CUSR0000SERF</t>
        </is>
      </c>
      <c r="B552" t="inlineStr">
        <is>
          <t>SERF</t>
        </is>
      </c>
      <c r="C552" t="inlineStr">
        <is>
          <t>Other recreation services</t>
        </is>
      </c>
      <c r="D552" t="inlineStr">
        <is>
          <t>SA</t>
        </is>
      </c>
      <c r="E552" s="5" t="inlineStr">
        <is>
          <t>https://data.bls.gov/timeseries/CUSR0000SERF</t>
        </is>
      </c>
    </row>
    <row r="553">
      <c r="A553" s="5" t="inlineStr">
        <is>
          <t>CUUR0000SERF01</t>
        </is>
      </c>
      <c r="B553" t="inlineStr">
        <is>
          <t>SERF01</t>
        </is>
      </c>
      <c r="C553" t="inlineStr">
        <is>
          <t>Club membership for shopping clubs, fraternal, or other organizations, or participant sports fees</t>
        </is>
      </c>
      <c r="D553" t="inlineStr">
        <is>
          <t>NSA</t>
        </is>
      </c>
      <c r="E553" s="5" t="inlineStr">
        <is>
          <t>https://data.bls.gov/timeseries/CUUR0000SERF01</t>
        </is>
      </c>
    </row>
    <row r="554">
      <c r="A554" s="5" t="inlineStr">
        <is>
          <t>CUSR0000SERF01</t>
        </is>
      </c>
      <c r="B554" t="inlineStr">
        <is>
          <t>SERF01</t>
        </is>
      </c>
      <c r="C554" t="inlineStr">
        <is>
          <t>Club membership for shopping clubs, fraternal, or other organizations, or participant sports fees</t>
        </is>
      </c>
      <c r="D554" t="inlineStr">
        <is>
          <t>SA</t>
        </is>
      </c>
      <c r="E554" s="5" t="inlineStr">
        <is>
          <t>https://data.bls.gov/timeseries/CUSR0000SERF01</t>
        </is>
      </c>
    </row>
    <row r="555">
      <c r="A555" s="5" t="inlineStr">
        <is>
          <t>CUUR0000SERF02</t>
        </is>
      </c>
      <c r="B555" t="inlineStr">
        <is>
          <t>SERF02</t>
        </is>
      </c>
      <c r="C555" t="inlineStr">
        <is>
          <t>Admissions</t>
        </is>
      </c>
      <c r="D555" t="inlineStr">
        <is>
          <t>NSA</t>
        </is>
      </c>
      <c r="E555" s="5" t="inlineStr">
        <is>
          <t>https://data.bls.gov/timeseries/CUUR0000SERF02</t>
        </is>
      </c>
    </row>
    <row r="556">
      <c r="A556" s="5" t="inlineStr">
        <is>
          <t>CUSR0000SERF02</t>
        </is>
      </c>
      <c r="B556" t="inlineStr">
        <is>
          <t>SERF02</t>
        </is>
      </c>
      <c r="C556" t="inlineStr">
        <is>
          <t>Admissions</t>
        </is>
      </c>
      <c r="D556" t="inlineStr">
        <is>
          <t>SA</t>
        </is>
      </c>
      <c r="E556" s="5" t="inlineStr">
        <is>
          <t>https://data.bls.gov/timeseries/CUSR0000SERF02</t>
        </is>
      </c>
    </row>
    <row r="557">
      <c r="A557" s="5" t="inlineStr">
        <is>
          <t>CUUR0000SS62031</t>
        </is>
      </c>
      <c r="B557" t="inlineStr">
        <is>
          <t>SS62031</t>
        </is>
      </c>
      <c r="C557" t="inlineStr">
        <is>
          <t>Admission to movies, theaters, and concerts</t>
        </is>
      </c>
      <c r="D557" t="inlineStr">
        <is>
          <t>NSA</t>
        </is>
      </c>
      <c r="E557" s="5" t="inlineStr">
        <is>
          <t>https://data.bls.gov/timeseries/CUUR0000SS62031</t>
        </is>
      </c>
    </row>
    <row r="558">
      <c r="A558" s="5" t="inlineStr">
        <is>
          <t>CUSR0000SS62031</t>
        </is>
      </c>
      <c r="B558" t="inlineStr">
        <is>
          <t>SS62031</t>
        </is>
      </c>
      <c r="C558" t="inlineStr">
        <is>
          <t>Admission to movies, theaters, and concerts</t>
        </is>
      </c>
      <c r="D558" t="inlineStr">
        <is>
          <t>SA</t>
        </is>
      </c>
      <c r="E558" s="5" t="inlineStr">
        <is>
          <t>https://data.bls.gov/timeseries/CUSR0000SS62031</t>
        </is>
      </c>
    </row>
    <row r="559">
      <c r="A559" s="5" t="inlineStr">
        <is>
          <t>CUUR0000SS62032</t>
        </is>
      </c>
      <c r="B559" t="inlineStr">
        <is>
          <t>SS62032</t>
        </is>
      </c>
      <c r="C559" t="inlineStr">
        <is>
          <t>Admission to sporting events</t>
        </is>
      </c>
      <c r="D559" t="inlineStr">
        <is>
          <t>NSA</t>
        </is>
      </c>
      <c r="E559" s="5" t="inlineStr">
        <is>
          <t>https://data.bls.gov/timeseries/CUUR0000SS62032</t>
        </is>
      </c>
    </row>
    <row r="560">
      <c r="A560" s="5" t="inlineStr">
        <is>
          <t>CUSR0000SS62032</t>
        </is>
      </c>
      <c r="B560" t="inlineStr">
        <is>
          <t>SS62032</t>
        </is>
      </c>
      <c r="C560" t="inlineStr">
        <is>
          <t>Admission to sporting events</t>
        </is>
      </c>
      <c r="D560" t="inlineStr">
        <is>
          <t>SA</t>
        </is>
      </c>
      <c r="E560" s="5" t="inlineStr">
        <is>
          <t>https://data.bls.gov/timeseries/CUSR0000SS62032</t>
        </is>
      </c>
    </row>
    <row r="561">
      <c r="A561" s="5" t="inlineStr">
        <is>
          <t>CUUR0000SERF03</t>
        </is>
      </c>
      <c r="B561" t="inlineStr">
        <is>
          <t>SERF03</t>
        </is>
      </c>
      <c r="C561" t="inlineStr">
        <is>
          <t>Fees for lessons or instructions</t>
        </is>
      </c>
      <c r="D561" t="inlineStr">
        <is>
          <t>NSA</t>
        </is>
      </c>
      <c r="E561" s="5" t="inlineStr">
        <is>
          <t>https://data.bls.gov/timeseries/CUUR0000SERF03</t>
        </is>
      </c>
    </row>
    <row r="562">
      <c r="A562" s="5" t="inlineStr">
        <is>
          <t>CUSR0000SERF03</t>
        </is>
      </c>
      <c r="B562" t="inlineStr">
        <is>
          <t>SERF03</t>
        </is>
      </c>
      <c r="C562" t="inlineStr">
        <is>
          <t>Fees for lessons or instructions</t>
        </is>
      </c>
      <c r="D562" t="inlineStr">
        <is>
          <t>SA</t>
        </is>
      </c>
      <c r="E562" s="5" t="inlineStr">
        <is>
          <t>https://data.bls.gov/timeseries/CUSR0000SERF03</t>
        </is>
      </c>
    </row>
    <row r="563">
      <c r="A563" s="5" t="inlineStr">
        <is>
          <t>CUUR0000SERG</t>
        </is>
      </c>
      <c r="B563" t="inlineStr">
        <is>
          <t>SERG</t>
        </is>
      </c>
      <c r="C563" t="inlineStr">
        <is>
          <t>Recreational reading materials</t>
        </is>
      </c>
      <c r="D563" t="inlineStr">
        <is>
          <t>NSA</t>
        </is>
      </c>
      <c r="E563" s="5" t="inlineStr">
        <is>
          <t>https://data.bls.gov/timeseries/CUUR0000SERG</t>
        </is>
      </c>
    </row>
    <row r="564">
      <c r="A564" s="5" t="inlineStr">
        <is>
          <t>CUSR0000SERG</t>
        </is>
      </c>
      <c r="B564" t="inlineStr">
        <is>
          <t>SERG</t>
        </is>
      </c>
      <c r="C564" t="inlineStr">
        <is>
          <t>Recreational reading materials</t>
        </is>
      </c>
      <c r="D564" t="inlineStr">
        <is>
          <t>SA</t>
        </is>
      </c>
      <c r="E564" s="5" t="inlineStr">
        <is>
          <t>https://data.bls.gov/timeseries/CUSR0000SERG</t>
        </is>
      </c>
    </row>
    <row r="565">
      <c r="A565" s="5" t="inlineStr">
        <is>
          <t>CUUR0000SERG01</t>
        </is>
      </c>
      <c r="B565" t="inlineStr">
        <is>
          <t>SERG01</t>
        </is>
      </c>
      <c r="C565" t="inlineStr">
        <is>
          <t>Newspapers and magazines</t>
        </is>
      </c>
      <c r="D565" t="inlineStr">
        <is>
          <t>NSA</t>
        </is>
      </c>
      <c r="E565" s="5" t="inlineStr">
        <is>
          <t>https://data.bls.gov/timeseries/CUUR0000SERG01</t>
        </is>
      </c>
    </row>
    <row r="566">
      <c r="A566" s="5" t="inlineStr">
        <is>
          <t>CUUR0000SERG02</t>
        </is>
      </c>
      <c r="B566" t="inlineStr">
        <is>
          <t>SERG02</t>
        </is>
      </c>
      <c r="C566" t="inlineStr">
        <is>
          <t>Recreational books</t>
        </is>
      </c>
      <c r="D566" t="inlineStr">
        <is>
          <t>NSA</t>
        </is>
      </c>
      <c r="E566" s="5" t="inlineStr">
        <is>
          <t>https://data.bls.gov/timeseries/CUUR0000SERG02</t>
        </is>
      </c>
    </row>
    <row r="567">
      <c r="A567" s="5" t="inlineStr">
        <is>
          <t>CUUR0000SAE</t>
        </is>
      </c>
      <c r="B567" t="inlineStr">
        <is>
          <t>SAE</t>
        </is>
      </c>
      <c r="C567" t="inlineStr">
        <is>
          <t>Education and communication</t>
        </is>
      </c>
      <c r="D567" t="inlineStr">
        <is>
          <t>NSA</t>
        </is>
      </c>
      <c r="E567" s="5" t="inlineStr">
        <is>
          <t>https://data.bls.gov/timeseries/CUUR0000SAE</t>
        </is>
      </c>
    </row>
    <row r="568">
      <c r="A568" s="5" t="inlineStr">
        <is>
          <t>CUSR0000SAE</t>
        </is>
      </c>
      <c r="B568" t="inlineStr">
        <is>
          <t>SAE</t>
        </is>
      </c>
      <c r="C568" t="inlineStr">
        <is>
          <t>Education and communication</t>
        </is>
      </c>
      <c r="D568" t="inlineStr">
        <is>
          <t>SA</t>
        </is>
      </c>
      <c r="E568" s="5" t="inlineStr">
        <is>
          <t>https://data.bls.gov/timeseries/CUSR0000SAE</t>
        </is>
      </c>
    </row>
    <row r="569">
      <c r="A569" s="5" t="inlineStr">
        <is>
          <t>CUUR0000SAE1</t>
        </is>
      </c>
      <c r="B569" t="inlineStr">
        <is>
          <t>SAE1</t>
        </is>
      </c>
      <c r="C569" t="inlineStr">
        <is>
          <t>Education</t>
        </is>
      </c>
      <c r="D569" t="inlineStr">
        <is>
          <t>NSA</t>
        </is>
      </c>
      <c r="E569" s="5" t="inlineStr">
        <is>
          <t>https://data.bls.gov/timeseries/CUUR0000SAE1</t>
        </is>
      </c>
    </row>
    <row r="570">
      <c r="A570" s="5" t="inlineStr">
        <is>
          <t>CUSR0000SAE1</t>
        </is>
      </c>
      <c r="B570" t="inlineStr">
        <is>
          <t>SAE1</t>
        </is>
      </c>
      <c r="C570" t="inlineStr">
        <is>
          <t>Education</t>
        </is>
      </c>
      <c r="D570" t="inlineStr">
        <is>
          <t>SA</t>
        </is>
      </c>
      <c r="E570" s="5" t="inlineStr">
        <is>
          <t>https://data.bls.gov/timeseries/CUSR0000SAE1</t>
        </is>
      </c>
    </row>
    <row r="571">
      <c r="A571" s="5" t="inlineStr">
        <is>
          <t>CUUR0000SEEA</t>
        </is>
      </c>
      <c r="B571" t="inlineStr">
        <is>
          <t>SEEA</t>
        </is>
      </c>
      <c r="C571" t="inlineStr">
        <is>
          <t>Educational books and supplies</t>
        </is>
      </c>
      <c r="D571" t="inlineStr">
        <is>
          <t>NSA</t>
        </is>
      </c>
      <c r="E571" s="5" t="inlineStr">
        <is>
          <t>https://data.bls.gov/timeseries/CUUR0000SEEA</t>
        </is>
      </c>
    </row>
    <row r="572">
      <c r="A572" s="5" t="inlineStr">
        <is>
          <t>CUSR0000SEEA</t>
        </is>
      </c>
      <c r="B572" t="inlineStr">
        <is>
          <t>SEEA</t>
        </is>
      </c>
      <c r="C572" t="inlineStr">
        <is>
          <t>Educational books and supplies</t>
        </is>
      </c>
      <c r="D572" t="inlineStr">
        <is>
          <t>SA</t>
        </is>
      </c>
      <c r="E572" s="5" t="inlineStr">
        <is>
          <t>https://data.bls.gov/timeseries/CUSR0000SEEA</t>
        </is>
      </c>
    </row>
    <row r="573">
      <c r="A573" s="5" t="inlineStr">
        <is>
          <t>CUUR0000SSEA011</t>
        </is>
      </c>
      <c r="B573" t="inlineStr">
        <is>
          <t>SSEA011</t>
        </is>
      </c>
      <c r="C573" t="inlineStr">
        <is>
          <t>College textbooks</t>
        </is>
      </c>
      <c r="D573" t="inlineStr">
        <is>
          <t>NSA</t>
        </is>
      </c>
      <c r="E573" s="5" t="inlineStr">
        <is>
          <t>https://data.bls.gov/timeseries/CUUR0000SSEA011</t>
        </is>
      </c>
    </row>
    <row r="574">
      <c r="A574" s="5" t="inlineStr">
        <is>
          <t>CUUR0000SEEB</t>
        </is>
      </c>
      <c r="B574" t="inlineStr">
        <is>
          <t>SEEB</t>
        </is>
      </c>
      <c r="C574" t="inlineStr">
        <is>
          <t>Tuition, other school fees, and childcare</t>
        </is>
      </c>
      <c r="D574" t="inlineStr">
        <is>
          <t>NSA</t>
        </is>
      </c>
      <c r="E574" s="5" t="inlineStr">
        <is>
          <t>https://data.bls.gov/timeseries/CUUR0000SEEB</t>
        </is>
      </c>
    </row>
    <row r="575">
      <c r="A575" s="5" t="inlineStr">
        <is>
          <t>CUSR0000SEEB</t>
        </is>
      </c>
      <c r="B575" t="inlineStr">
        <is>
          <t>SEEB</t>
        </is>
      </c>
      <c r="C575" t="inlineStr">
        <is>
          <t>Tuition, other school fees, and childcare</t>
        </is>
      </c>
      <c r="D575" t="inlineStr">
        <is>
          <t>SA</t>
        </is>
      </c>
      <c r="E575" s="5" t="inlineStr">
        <is>
          <t>https://data.bls.gov/timeseries/CUSR0000SEEB</t>
        </is>
      </c>
    </row>
    <row r="576">
      <c r="A576" s="5" t="inlineStr">
        <is>
          <t>CUUR0000SEEB01</t>
        </is>
      </c>
      <c r="B576" t="inlineStr">
        <is>
          <t>SEEB01</t>
        </is>
      </c>
      <c r="C576" t="inlineStr">
        <is>
          <t>College tuition and fees</t>
        </is>
      </c>
      <c r="D576" t="inlineStr">
        <is>
          <t>NSA</t>
        </is>
      </c>
      <c r="E576" s="5" t="inlineStr">
        <is>
          <t>https://data.bls.gov/timeseries/CUUR0000SEEB01</t>
        </is>
      </c>
    </row>
    <row r="577">
      <c r="A577" s="5" t="inlineStr">
        <is>
          <t>CUSR0000SEEB01</t>
        </is>
      </c>
      <c r="B577" t="inlineStr">
        <is>
          <t>SEEB01</t>
        </is>
      </c>
      <c r="C577" t="inlineStr">
        <is>
          <t>College tuition and fees</t>
        </is>
      </c>
      <c r="D577" t="inlineStr">
        <is>
          <t>SA</t>
        </is>
      </c>
      <c r="E577" s="5" t="inlineStr">
        <is>
          <t>https://data.bls.gov/timeseries/CUSR0000SEEB01</t>
        </is>
      </c>
    </row>
    <row r="578">
      <c r="A578" s="5" t="inlineStr">
        <is>
          <t>CUUR0000SEEB02</t>
        </is>
      </c>
      <c r="B578" t="inlineStr">
        <is>
          <t>SEEB02</t>
        </is>
      </c>
      <c r="C578" t="inlineStr">
        <is>
          <t>Elementary and high school tuition and fees</t>
        </is>
      </c>
      <c r="D578" t="inlineStr">
        <is>
          <t>NSA</t>
        </is>
      </c>
      <c r="E578" s="5" t="inlineStr">
        <is>
          <t>https://data.bls.gov/timeseries/CUUR0000SEEB02</t>
        </is>
      </c>
    </row>
    <row r="579">
      <c r="A579" s="5" t="inlineStr">
        <is>
          <t>CUSR0000SEEB02</t>
        </is>
      </c>
      <c r="B579" t="inlineStr">
        <is>
          <t>SEEB02</t>
        </is>
      </c>
      <c r="C579" t="inlineStr">
        <is>
          <t>Elementary and high school tuition and fees</t>
        </is>
      </c>
      <c r="D579" t="inlineStr">
        <is>
          <t>SA</t>
        </is>
      </c>
      <c r="E579" s="5" t="inlineStr">
        <is>
          <t>https://data.bls.gov/timeseries/CUSR0000SEEB02</t>
        </is>
      </c>
    </row>
    <row r="580">
      <c r="A580" s="5" t="inlineStr">
        <is>
          <t>CUUR0000SEEB03</t>
        </is>
      </c>
      <c r="B580" t="inlineStr">
        <is>
          <t>SEEB03</t>
        </is>
      </c>
      <c r="C580" t="inlineStr">
        <is>
          <t>Day care and preschool</t>
        </is>
      </c>
      <c r="D580" t="inlineStr">
        <is>
          <t>NSA</t>
        </is>
      </c>
      <c r="E580" s="5" t="inlineStr">
        <is>
          <t>https://data.bls.gov/timeseries/CUUR0000SEEB03</t>
        </is>
      </c>
    </row>
    <row r="581">
      <c r="A581" s="5" t="inlineStr">
        <is>
          <t>CUSR0000SEEB03</t>
        </is>
      </c>
      <c r="B581" t="inlineStr">
        <is>
          <t>SEEB03</t>
        </is>
      </c>
      <c r="C581" t="inlineStr">
        <is>
          <t>Day care and preschool</t>
        </is>
      </c>
      <c r="D581" t="inlineStr">
        <is>
          <t>SA</t>
        </is>
      </c>
      <c r="E581" s="5" t="inlineStr">
        <is>
          <t>https://data.bls.gov/timeseries/CUSR0000SEEB03</t>
        </is>
      </c>
    </row>
    <row r="582">
      <c r="A582" s="5" t="inlineStr">
        <is>
          <t>CUUR0000SEEB04</t>
        </is>
      </c>
      <c r="B582" t="inlineStr">
        <is>
          <t>SEEB04</t>
        </is>
      </c>
      <c r="C582" t="inlineStr">
        <is>
          <t>Technical and vocational school tuition and fixed fees</t>
        </is>
      </c>
      <c r="D582" t="inlineStr">
        <is>
          <t>NSA</t>
        </is>
      </c>
      <c r="E582" s="5" t="inlineStr">
        <is>
          <t>https://data.bls.gov/timeseries/CUUR0000SEEB04</t>
        </is>
      </c>
    </row>
    <row r="583">
      <c r="A583" s="5" t="inlineStr">
        <is>
          <t>CUSR0000SEEB04</t>
        </is>
      </c>
      <c r="B583" t="inlineStr">
        <is>
          <t>SEEB04</t>
        </is>
      </c>
      <c r="C583" t="inlineStr">
        <is>
          <t>Technical and vocational school tuition and fixed fees</t>
        </is>
      </c>
      <c r="D583" t="inlineStr">
        <is>
          <t>SA</t>
        </is>
      </c>
      <c r="E583" s="5" t="inlineStr">
        <is>
          <t>https://data.bls.gov/timeseries/CUSR0000SEEB04</t>
        </is>
      </c>
    </row>
    <row r="584">
      <c r="A584" s="5" t="inlineStr">
        <is>
          <t>CUUR0000SAE2</t>
        </is>
      </c>
      <c r="B584" t="inlineStr">
        <is>
          <t>SAE2</t>
        </is>
      </c>
      <c r="C584" t="inlineStr">
        <is>
          <t>Communication</t>
        </is>
      </c>
      <c r="D584" t="inlineStr">
        <is>
          <t>NSA</t>
        </is>
      </c>
      <c r="E584" s="5" t="inlineStr">
        <is>
          <t>https://data.bls.gov/timeseries/CUUR0000SAE2</t>
        </is>
      </c>
    </row>
    <row r="585">
      <c r="A585" s="5" t="inlineStr">
        <is>
          <t>CUSR0000SAE2</t>
        </is>
      </c>
      <c r="B585" t="inlineStr">
        <is>
          <t>SAE2</t>
        </is>
      </c>
      <c r="C585" t="inlineStr">
        <is>
          <t>Communication</t>
        </is>
      </c>
      <c r="D585" t="inlineStr">
        <is>
          <t>SA</t>
        </is>
      </c>
      <c r="E585" s="5" t="inlineStr">
        <is>
          <t>https://data.bls.gov/timeseries/CUSR0000SAE2</t>
        </is>
      </c>
    </row>
    <row r="586">
      <c r="A586" s="5" t="inlineStr">
        <is>
          <t>CUUR0000SEEC</t>
        </is>
      </c>
      <c r="B586" t="inlineStr">
        <is>
          <t>SEEC</t>
        </is>
      </c>
      <c r="C586" t="inlineStr">
        <is>
          <t>Postage and delivery services</t>
        </is>
      </c>
      <c r="D586" t="inlineStr">
        <is>
          <t>NSA</t>
        </is>
      </c>
      <c r="E586" s="5" t="inlineStr">
        <is>
          <t>https://data.bls.gov/timeseries/CUUR0000SEEC</t>
        </is>
      </c>
    </row>
    <row r="587">
      <c r="A587" s="5" t="inlineStr">
        <is>
          <t>CUSR0000SEEC</t>
        </is>
      </c>
      <c r="B587" t="inlineStr">
        <is>
          <t>SEEC</t>
        </is>
      </c>
      <c r="C587" t="inlineStr">
        <is>
          <t>Postage and delivery services</t>
        </is>
      </c>
      <c r="D587" t="inlineStr">
        <is>
          <t>SA</t>
        </is>
      </c>
      <c r="E587" s="5" t="inlineStr">
        <is>
          <t>https://data.bls.gov/timeseries/CUSR0000SEEC</t>
        </is>
      </c>
    </row>
    <row r="588">
      <c r="A588" s="5" t="inlineStr">
        <is>
          <t>CUUR0000SEEC01</t>
        </is>
      </c>
      <c r="B588" t="inlineStr">
        <is>
          <t>SEEC01</t>
        </is>
      </c>
      <c r="C588" t="inlineStr">
        <is>
          <t>Postage</t>
        </is>
      </c>
      <c r="D588" t="inlineStr">
        <is>
          <t>NSA</t>
        </is>
      </c>
      <c r="E588" s="5" t="inlineStr">
        <is>
          <t>https://data.bls.gov/timeseries/CUUR0000SEEC01</t>
        </is>
      </c>
    </row>
    <row r="589">
      <c r="A589" s="5" t="inlineStr">
        <is>
          <t>CUSR0000SEEC01</t>
        </is>
      </c>
      <c r="B589" t="inlineStr">
        <is>
          <t>SEEC01</t>
        </is>
      </c>
      <c r="C589" t="inlineStr">
        <is>
          <t>Postage</t>
        </is>
      </c>
      <c r="D589" t="inlineStr">
        <is>
          <t>SA</t>
        </is>
      </c>
      <c r="E589" s="5" t="inlineStr">
        <is>
          <t>https://data.bls.gov/timeseries/CUSR0000SEEC01</t>
        </is>
      </c>
    </row>
    <row r="590">
      <c r="A590" s="5" t="inlineStr">
        <is>
          <t>CUUR0000SEEC02</t>
        </is>
      </c>
      <c r="B590" t="inlineStr">
        <is>
          <t>SEEC02</t>
        </is>
      </c>
      <c r="C590" t="inlineStr">
        <is>
          <t>Delivery services</t>
        </is>
      </c>
      <c r="D590" t="inlineStr">
        <is>
          <t>NSA</t>
        </is>
      </c>
      <c r="E590" s="5" t="inlineStr">
        <is>
          <t>https://data.bls.gov/timeseries/CUUR0000SEEC02</t>
        </is>
      </c>
    </row>
    <row r="591">
      <c r="A591" s="5" t="inlineStr">
        <is>
          <t>CUSR0000SEEC02</t>
        </is>
      </c>
      <c r="B591" t="inlineStr">
        <is>
          <t>SEEC02</t>
        </is>
      </c>
      <c r="C591" t="inlineStr">
        <is>
          <t>Delivery services</t>
        </is>
      </c>
      <c r="D591" t="inlineStr">
        <is>
          <t>SA</t>
        </is>
      </c>
      <c r="E591" s="5" t="inlineStr">
        <is>
          <t>https://data.bls.gov/timeseries/CUSR0000SEEC02</t>
        </is>
      </c>
    </row>
    <row r="592">
      <c r="A592" s="5" t="inlineStr">
        <is>
          <t>CUUR0000SAE21</t>
        </is>
      </c>
      <c r="B592" t="inlineStr">
        <is>
          <t>SAE21</t>
        </is>
      </c>
      <c r="C592" t="inlineStr">
        <is>
          <t>Information and information processing</t>
        </is>
      </c>
      <c r="D592" t="inlineStr">
        <is>
          <t>NSA</t>
        </is>
      </c>
      <c r="E592" s="5" t="inlineStr">
        <is>
          <t>https://data.bls.gov/timeseries/CUUR0000SAE21</t>
        </is>
      </c>
    </row>
    <row r="593">
      <c r="A593" s="5" t="inlineStr">
        <is>
          <t>CUSR0000SAE21</t>
        </is>
      </c>
      <c r="B593" t="inlineStr">
        <is>
          <t>SAE21</t>
        </is>
      </c>
      <c r="C593" t="inlineStr">
        <is>
          <t>Information and information processing</t>
        </is>
      </c>
      <c r="D593" t="inlineStr">
        <is>
          <t>SA</t>
        </is>
      </c>
      <c r="E593" s="5" t="inlineStr">
        <is>
          <t>https://data.bls.gov/timeseries/CUSR0000SAE21</t>
        </is>
      </c>
    </row>
    <row r="594">
      <c r="A594" s="5" t="inlineStr">
        <is>
          <t>CUUR0000SEED</t>
        </is>
      </c>
      <c r="B594" t="inlineStr">
        <is>
          <t>SEED</t>
        </is>
      </c>
      <c r="C594" t="inlineStr">
        <is>
          <t>Telephone services</t>
        </is>
      </c>
      <c r="D594" t="inlineStr">
        <is>
          <t>NSA</t>
        </is>
      </c>
      <c r="E594" s="5" t="inlineStr">
        <is>
          <t>https://data.bls.gov/timeseries/CUUR0000SEED</t>
        </is>
      </c>
    </row>
    <row r="595">
      <c r="A595" s="5" t="inlineStr">
        <is>
          <t>CUUR0000SEED03</t>
        </is>
      </c>
      <c r="B595" t="inlineStr">
        <is>
          <t>SEED03</t>
        </is>
      </c>
      <c r="C595" t="inlineStr">
        <is>
          <t>Wireless telephone services</t>
        </is>
      </c>
      <c r="D595" t="inlineStr">
        <is>
          <t>NSA</t>
        </is>
      </c>
      <c r="E595" s="5" t="inlineStr">
        <is>
          <t>https://data.bls.gov/timeseries/CUUR0000SEED03</t>
        </is>
      </c>
    </row>
    <row r="596">
      <c r="A596" s="5" t="inlineStr">
        <is>
          <t>CUUR0000SEED04</t>
        </is>
      </c>
      <c r="B596" t="inlineStr">
        <is>
          <t>SEED04</t>
        </is>
      </c>
      <c r="C596" t="inlineStr">
        <is>
          <t>Residential telephone services</t>
        </is>
      </c>
      <c r="D596" t="inlineStr">
        <is>
          <t>NSA</t>
        </is>
      </c>
      <c r="E596" s="5" t="inlineStr">
        <is>
          <t>https://data.bls.gov/timeseries/CUUR0000SEED04</t>
        </is>
      </c>
    </row>
    <row r="597">
      <c r="A597" s="5" t="inlineStr">
        <is>
          <t>CUUR0000SS27051</t>
        </is>
      </c>
      <c r="B597" t="inlineStr">
        <is>
          <t>SS27051</t>
        </is>
      </c>
      <c r="C597" t="inlineStr">
        <is>
          <t>Land-line interstate toll calls</t>
        </is>
      </c>
      <c r="D597" t="inlineStr">
        <is>
          <t>NSA</t>
        </is>
      </c>
      <c r="E597" s="5" t="inlineStr">
        <is>
          <t>https://data.bls.gov/timeseries/CUUR0000SS27051</t>
        </is>
      </c>
    </row>
    <row r="598">
      <c r="A598" s="5" t="inlineStr">
        <is>
          <t>CUUR0000SS27061</t>
        </is>
      </c>
      <c r="B598" t="inlineStr">
        <is>
          <t>SS27061</t>
        </is>
      </c>
      <c r="C598" t="inlineStr">
        <is>
          <t>Land-line intrastate toll calls</t>
        </is>
      </c>
      <c r="D598" t="inlineStr">
        <is>
          <t>NSA</t>
        </is>
      </c>
      <c r="E598" s="5" t="inlineStr">
        <is>
          <t>https://data.bls.gov/timeseries/CUUR0000SS27061</t>
        </is>
      </c>
    </row>
    <row r="599">
      <c r="A599" s="5" t="inlineStr">
        <is>
          <t>CUUR0000SEEE</t>
        </is>
      </c>
      <c r="B599" t="inlineStr">
        <is>
          <t>SEEE</t>
        </is>
      </c>
      <c r="C599" t="inlineStr">
        <is>
          <t>Information technology, hardware and services</t>
        </is>
      </c>
      <c r="D599" t="inlineStr">
        <is>
          <t>NSA</t>
        </is>
      </c>
      <c r="E599" s="5" t="inlineStr">
        <is>
          <t>https://data.bls.gov/timeseries/CUUR0000SEEE</t>
        </is>
      </c>
    </row>
    <row r="600">
      <c r="A600" s="5" t="inlineStr">
        <is>
          <t>CUSR0000SEEE</t>
        </is>
      </c>
      <c r="B600" t="inlineStr">
        <is>
          <t>SEEE</t>
        </is>
      </c>
      <c r="C600" t="inlineStr">
        <is>
          <t>Information technology, hardware and services</t>
        </is>
      </c>
      <c r="D600" t="inlineStr">
        <is>
          <t>SA</t>
        </is>
      </c>
      <c r="E600" s="5" t="inlineStr">
        <is>
          <t>https://data.bls.gov/timeseries/CUSR0000SEEE</t>
        </is>
      </c>
    </row>
    <row r="601">
      <c r="A601" s="5" t="inlineStr">
        <is>
          <t>CUUR0000SEEE01</t>
        </is>
      </c>
      <c r="B601" t="inlineStr">
        <is>
          <t>SEEE01</t>
        </is>
      </c>
      <c r="C601" t="inlineStr">
        <is>
          <t>Computers, peripherals, and smart home assistants</t>
        </is>
      </c>
      <c r="D601" t="inlineStr">
        <is>
          <t>NSA</t>
        </is>
      </c>
      <c r="E601" s="5" t="inlineStr">
        <is>
          <t>https://data.bls.gov/timeseries/CUUR0000SEEE01</t>
        </is>
      </c>
    </row>
    <row r="602">
      <c r="A602" s="5" t="inlineStr">
        <is>
          <t>CUSR0000SEEE01</t>
        </is>
      </c>
      <c r="B602" t="inlineStr">
        <is>
          <t>SEEE01</t>
        </is>
      </c>
      <c r="C602" t="inlineStr">
        <is>
          <t>Computers, peripherals, and smart home assistants</t>
        </is>
      </c>
      <c r="D602" t="inlineStr">
        <is>
          <t>SA</t>
        </is>
      </c>
      <c r="E602" s="5" t="inlineStr">
        <is>
          <t>https://data.bls.gov/timeseries/CUSR0000SEEE01</t>
        </is>
      </c>
    </row>
    <row r="603">
      <c r="A603" s="5" t="inlineStr">
        <is>
          <t>CUUR0000SEEE02</t>
        </is>
      </c>
      <c r="B603" t="inlineStr">
        <is>
          <t>SEEE02</t>
        </is>
      </c>
      <c r="C603" t="inlineStr">
        <is>
          <t>Computer software and accessories</t>
        </is>
      </c>
      <c r="D603" t="inlineStr">
        <is>
          <t>NSA</t>
        </is>
      </c>
      <c r="E603" s="5" t="inlineStr">
        <is>
          <t>https://data.bls.gov/timeseries/CUUR0000SEEE02</t>
        </is>
      </c>
    </row>
    <row r="604">
      <c r="A604" s="5" t="inlineStr">
        <is>
          <t>CUUR0000SEEE03</t>
        </is>
      </c>
      <c r="B604" t="inlineStr">
        <is>
          <t>SEEE03</t>
        </is>
      </c>
      <c r="C604" t="inlineStr">
        <is>
          <t>Internet services and electronic information providers</t>
        </is>
      </c>
      <c r="D604" t="inlineStr">
        <is>
          <t>NSA</t>
        </is>
      </c>
      <c r="E604" s="5" t="inlineStr">
        <is>
          <t>https://data.bls.gov/timeseries/CUUR0000SEEE03</t>
        </is>
      </c>
    </row>
    <row r="605">
      <c r="A605" s="5" t="inlineStr">
        <is>
          <t>CUSR0000SEEE03</t>
        </is>
      </c>
      <c r="B605" t="inlineStr">
        <is>
          <t>SEEE03</t>
        </is>
      </c>
      <c r="C605" t="inlineStr">
        <is>
          <t>Internet services and electronic information providers</t>
        </is>
      </c>
      <c r="D605" t="inlineStr">
        <is>
          <t>SA</t>
        </is>
      </c>
      <c r="E605" s="5" t="inlineStr">
        <is>
          <t>https://data.bls.gov/timeseries/CUSR0000SEEE03</t>
        </is>
      </c>
    </row>
    <row r="606">
      <c r="A606" s="5" t="inlineStr">
        <is>
          <t>CUUR0000SEEE04</t>
        </is>
      </c>
      <c r="B606" t="inlineStr">
        <is>
          <t>SEEE04</t>
        </is>
      </c>
      <c r="C606" t="inlineStr">
        <is>
          <t>Telephone hardware, calculators, and other consumer information items</t>
        </is>
      </c>
      <c r="D606" t="inlineStr">
        <is>
          <t>NSA</t>
        </is>
      </c>
      <c r="E606" s="5" t="inlineStr">
        <is>
          <t>https://data.bls.gov/timeseries/CUUR0000SEEE04</t>
        </is>
      </c>
    </row>
    <row r="607">
      <c r="A607" s="5" t="inlineStr">
        <is>
          <t>CUSR0000SEEE04</t>
        </is>
      </c>
      <c r="B607" t="inlineStr">
        <is>
          <t>SEEE04</t>
        </is>
      </c>
      <c r="C607" t="inlineStr">
        <is>
          <t>Telephone hardware, calculators, and other consumer information items</t>
        </is>
      </c>
      <c r="D607" t="inlineStr">
        <is>
          <t>SA</t>
        </is>
      </c>
      <c r="E607" s="5" t="inlineStr">
        <is>
          <t>https://data.bls.gov/timeseries/CUSR0000SEEE04</t>
        </is>
      </c>
    </row>
    <row r="608">
      <c r="A608" s="5" t="inlineStr">
        <is>
          <t>CUUR0000SSEE041</t>
        </is>
      </c>
      <c r="B608" t="inlineStr">
        <is>
          <t>SSEE041</t>
        </is>
      </c>
      <c r="C608" t="inlineStr">
        <is>
          <t>Smartphones</t>
        </is>
      </c>
      <c r="D608" t="inlineStr">
        <is>
          <t>NSA</t>
        </is>
      </c>
      <c r="E608" s="5" t="inlineStr">
        <is>
          <t>https://data.bls.gov/timeseries/CUUR0000SSEE041</t>
        </is>
      </c>
    </row>
    <row r="609">
      <c r="A609" s="5" t="inlineStr">
        <is>
          <t>CUUR0000SAG</t>
        </is>
      </c>
      <c r="B609" t="inlineStr">
        <is>
          <t>SAG</t>
        </is>
      </c>
      <c r="C609" t="inlineStr">
        <is>
          <t>Other goods and services</t>
        </is>
      </c>
      <c r="D609" t="inlineStr">
        <is>
          <t>NSA</t>
        </is>
      </c>
      <c r="E609" s="5" t="inlineStr">
        <is>
          <t>https://data.bls.gov/timeseries/CUUR0000SAG</t>
        </is>
      </c>
    </row>
    <row r="610">
      <c r="A610" s="5" t="inlineStr">
        <is>
          <t>CUSR0000SAG</t>
        </is>
      </c>
      <c r="B610" t="inlineStr">
        <is>
          <t>SAG</t>
        </is>
      </c>
      <c r="C610" t="inlineStr">
        <is>
          <t>Other goods and services</t>
        </is>
      </c>
      <c r="D610" t="inlineStr">
        <is>
          <t>SA</t>
        </is>
      </c>
      <c r="E610" s="5" t="inlineStr">
        <is>
          <t>https://data.bls.gov/timeseries/CUSR0000SAG</t>
        </is>
      </c>
    </row>
    <row r="611">
      <c r="A611" s="5" t="inlineStr">
        <is>
          <t>CUUR0000SEGA</t>
        </is>
      </c>
      <c r="B611" t="inlineStr">
        <is>
          <t>SEGA</t>
        </is>
      </c>
      <c r="C611" t="inlineStr">
        <is>
          <t>Tobacco and smoking products</t>
        </is>
      </c>
      <c r="D611" t="inlineStr">
        <is>
          <t>NSA</t>
        </is>
      </c>
      <c r="E611" s="5" t="inlineStr">
        <is>
          <t>https://data.bls.gov/timeseries/CUUR0000SEGA</t>
        </is>
      </c>
    </row>
    <row r="612">
      <c r="A612" s="5" t="inlineStr">
        <is>
          <t>CUSR0000SEGA</t>
        </is>
      </c>
      <c r="B612" t="inlineStr">
        <is>
          <t>SEGA</t>
        </is>
      </c>
      <c r="C612" t="inlineStr">
        <is>
          <t>Tobacco and smoking products</t>
        </is>
      </c>
      <c r="D612" t="inlineStr">
        <is>
          <t>SA</t>
        </is>
      </c>
      <c r="E612" s="5" t="inlineStr">
        <is>
          <t>https://data.bls.gov/timeseries/CUSR0000SEGA</t>
        </is>
      </c>
    </row>
    <row r="613">
      <c r="A613" s="5" t="inlineStr">
        <is>
          <t>CUUR0000SEGA01</t>
        </is>
      </c>
      <c r="B613" t="inlineStr">
        <is>
          <t>SEGA01</t>
        </is>
      </c>
      <c r="C613" t="inlineStr">
        <is>
          <t>Cigarettes</t>
        </is>
      </c>
      <c r="D613" t="inlineStr">
        <is>
          <t>NSA</t>
        </is>
      </c>
      <c r="E613" s="5" t="inlineStr">
        <is>
          <t>https://data.bls.gov/timeseries/CUUR0000SEGA01</t>
        </is>
      </c>
    </row>
    <row r="614">
      <c r="A614" s="5" t="inlineStr">
        <is>
          <t>CUSR0000SEGA01</t>
        </is>
      </c>
      <c r="B614" t="inlineStr">
        <is>
          <t>SEGA01</t>
        </is>
      </c>
      <c r="C614" t="inlineStr">
        <is>
          <t>Cigarettes</t>
        </is>
      </c>
      <c r="D614" t="inlineStr">
        <is>
          <t>SA</t>
        </is>
      </c>
      <c r="E614" s="5" t="inlineStr">
        <is>
          <t>https://data.bls.gov/timeseries/CUSR0000SEGA01</t>
        </is>
      </c>
    </row>
    <row r="615">
      <c r="A615" s="5" t="inlineStr">
        <is>
          <t>CUUR0000SEGA02</t>
        </is>
      </c>
      <c r="B615" t="inlineStr">
        <is>
          <t>SEGA02</t>
        </is>
      </c>
      <c r="C615" t="inlineStr">
        <is>
          <t>Tobacco products other than cigarettes</t>
        </is>
      </c>
      <c r="D615" t="inlineStr">
        <is>
          <t>NSA</t>
        </is>
      </c>
      <c r="E615" s="5" t="inlineStr">
        <is>
          <t>https://data.bls.gov/timeseries/CUUR0000SEGA02</t>
        </is>
      </c>
    </row>
    <row r="616">
      <c r="A616" s="5" t="inlineStr">
        <is>
          <t>CUUR0000SAG1</t>
        </is>
      </c>
      <c r="B616" t="inlineStr">
        <is>
          <t>SAG1</t>
        </is>
      </c>
      <c r="C616" t="inlineStr">
        <is>
          <t>Personal care</t>
        </is>
      </c>
      <c r="D616" t="inlineStr">
        <is>
          <t>NSA</t>
        </is>
      </c>
      <c r="E616" s="5" t="inlineStr">
        <is>
          <t>https://data.bls.gov/timeseries/CUUR0000SAG1</t>
        </is>
      </c>
    </row>
    <row r="617">
      <c r="A617" s="5" t="inlineStr">
        <is>
          <t>CUSR0000SAG1</t>
        </is>
      </c>
      <c r="B617" t="inlineStr">
        <is>
          <t>SAG1</t>
        </is>
      </c>
      <c r="C617" t="inlineStr">
        <is>
          <t>Personal care</t>
        </is>
      </c>
      <c r="D617" t="inlineStr">
        <is>
          <t>SA</t>
        </is>
      </c>
      <c r="E617" s="5" t="inlineStr">
        <is>
          <t>https://data.bls.gov/timeseries/CUSR0000SAG1</t>
        </is>
      </c>
    </row>
    <row r="618">
      <c r="A618" s="5" t="inlineStr">
        <is>
          <t>CUUR0000SEGB</t>
        </is>
      </c>
      <c r="B618" t="inlineStr">
        <is>
          <t>SEGB</t>
        </is>
      </c>
      <c r="C618" t="inlineStr">
        <is>
          <t>Personal care products</t>
        </is>
      </c>
      <c r="D618" t="inlineStr">
        <is>
          <t>NSA</t>
        </is>
      </c>
      <c r="E618" s="5" t="inlineStr">
        <is>
          <t>https://data.bls.gov/timeseries/CUUR0000SEGB</t>
        </is>
      </c>
    </row>
    <row r="619">
      <c r="A619" s="5" t="inlineStr">
        <is>
          <t>CUSR0000SEGB</t>
        </is>
      </c>
      <c r="B619" t="inlineStr">
        <is>
          <t>SEGB</t>
        </is>
      </c>
      <c r="C619" t="inlineStr">
        <is>
          <t>Personal care products</t>
        </is>
      </c>
      <c r="D619" t="inlineStr">
        <is>
          <t>SA</t>
        </is>
      </c>
      <c r="E619" s="5" t="inlineStr">
        <is>
          <t>https://data.bls.gov/timeseries/CUSR0000SEGB</t>
        </is>
      </c>
    </row>
    <row r="620">
      <c r="A620" s="5" t="inlineStr">
        <is>
          <t>CUUR0000SEGB01</t>
        </is>
      </c>
      <c r="B620" t="inlineStr">
        <is>
          <t>SEGB01</t>
        </is>
      </c>
      <c r="C620" t="inlineStr">
        <is>
          <t>Hair, dental, shaving, and miscellaneous personal care products</t>
        </is>
      </c>
      <c r="D620" t="inlineStr">
        <is>
          <t>NSA</t>
        </is>
      </c>
      <c r="E620" s="5" t="inlineStr">
        <is>
          <t>https://data.bls.gov/timeseries/CUUR0000SEGB01</t>
        </is>
      </c>
    </row>
    <row r="621">
      <c r="A621" s="5" t="inlineStr">
        <is>
          <t>CUUR0000SEGB02</t>
        </is>
      </c>
      <c r="B621" t="inlineStr">
        <is>
          <t>SEGB02</t>
        </is>
      </c>
      <c r="C621" t="inlineStr">
        <is>
          <t>Cosmetics, perfume, bath, nail preparations and implements</t>
        </is>
      </c>
      <c r="D621" t="inlineStr">
        <is>
          <t>NSA</t>
        </is>
      </c>
      <c r="E621" s="5" t="inlineStr">
        <is>
          <t>https://data.bls.gov/timeseries/CUUR0000SEGB02</t>
        </is>
      </c>
    </row>
    <row r="622">
      <c r="A622" s="5" t="inlineStr">
        <is>
          <t>CUUR0000SEGC</t>
        </is>
      </c>
      <c r="B622" t="inlineStr">
        <is>
          <t>SEGC</t>
        </is>
      </c>
      <c r="C622" t="inlineStr">
        <is>
          <t>Personal care services</t>
        </is>
      </c>
      <c r="D622" t="inlineStr">
        <is>
          <t>NSA</t>
        </is>
      </c>
      <c r="E622" s="5" t="inlineStr">
        <is>
          <t>https://data.bls.gov/timeseries/CUUR0000SEGC</t>
        </is>
      </c>
    </row>
    <row r="623">
      <c r="A623" s="5" t="inlineStr">
        <is>
          <t>CUUR0000SEGC01</t>
        </is>
      </c>
      <c r="B623" t="inlineStr">
        <is>
          <t>SEGC01</t>
        </is>
      </c>
      <c r="C623" t="inlineStr">
        <is>
          <t>Haircuts and other personal care services</t>
        </is>
      </c>
      <c r="D623" t="inlineStr">
        <is>
          <t>NSA</t>
        </is>
      </c>
      <c r="E623" s="5" t="inlineStr">
        <is>
          <t>https://data.bls.gov/timeseries/CUUR0000SEGC01</t>
        </is>
      </c>
    </row>
    <row r="624">
      <c r="A624" s="5" t="inlineStr">
        <is>
          <t>CUUR0000SEGD</t>
        </is>
      </c>
      <c r="B624" t="inlineStr">
        <is>
          <t>SEGD</t>
        </is>
      </c>
      <c r="C624" t="inlineStr">
        <is>
          <t>Miscellaneous personal services</t>
        </is>
      </c>
      <c r="D624" t="inlineStr">
        <is>
          <t>NSA</t>
        </is>
      </c>
      <c r="E624" s="5" t="inlineStr">
        <is>
          <t>https://data.bls.gov/timeseries/CUUR0000SEGD</t>
        </is>
      </c>
    </row>
    <row r="625">
      <c r="A625" s="5" t="inlineStr">
        <is>
          <t>CUSR0000SEGD</t>
        </is>
      </c>
      <c r="B625" t="inlineStr">
        <is>
          <t>SEGD</t>
        </is>
      </c>
      <c r="C625" t="inlineStr">
        <is>
          <t>Miscellaneous personal services</t>
        </is>
      </c>
      <c r="D625" t="inlineStr">
        <is>
          <t>SA</t>
        </is>
      </c>
      <c r="E625" s="5" t="inlineStr">
        <is>
          <t>https://data.bls.gov/timeseries/CUSR0000SEGD</t>
        </is>
      </c>
    </row>
    <row r="626">
      <c r="A626" s="5" t="inlineStr">
        <is>
          <t>CUUR0000SEGD01</t>
        </is>
      </c>
      <c r="B626" t="inlineStr">
        <is>
          <t>SEGD01</t>
        </is>
      </c>
      <c r="C626" t="inlineStr">
        <is>
          <t>Legal services</t>
        </is>
      </c>
      <c r="D626" t="inlineStr">
        <is>
          <t>NSA</t>
        </is>
      </c>
      <c r="E626" s="5" t="inlineStr">
        <is>
          <t>https://data.bls.gov/timeseries/CUUR0000SEGD01</t>
        </is>
      </c>
    </row>
    <row r="627">
      <c r="A627" s="5" t="inlineStr">
        <is>
          <t>CUSR0000SEGD01</t>
        </is>
      </c>
      <c r="B627" t="inlineStr">
        <is>
          <t>SEGD01</t>
        </is>
      </c>
      <c r="C627" t="inlineStr">
        <is>
          <t>Legal services</t>
        </is>
      </c>
      <c r="D627" t="inlineStr">
        <is>
          <t>SA</t>
        </is>
      </c>
      <c r="E627" s="5" t="inlineStr">
        <is>
          <t>https://data.bls.gov/timeseries/CUSR0000SEGD01</t>
        </is>
      </c>
    </row>
    <row r="628">
      <c r="A628" s="5" t="inlineStr">
        <is>
          <t>CUUR0000SEGD02</t>
        </is>
      </c>
      <c r="B628" t="inlineStr">
        <is>
          <t>SEGD02</t>
        </is>
      </c>
      <c r="C628" t="inlineStr">
        <is>
          <t>Funeral expenses</t>
        </is>
      </c>
      <c r="D628" t="inlineStr">
        <is>
          <t>NSA</t>
        </is>
      </c>
      <c r="E628" s="5" t="inlineStr">
        <is>
          <t>https://data.bls.gov/timeseries/CUUR0000SEGD02</t>
        </is>
      </c>
    </row>
    <row r="629">
      <c r="A629" s="5" t="inlineStr">
        <is>
          <t>CUSR0000SEGD02</t>
        </is>
      </c>
      <c r="B629" t="inlineStr">
        <is>
          <t>SEGD02</t>
        </is>
      </c>
      <c r="C629" t="inlineStr">
        <is>
          <t>Funeral expenses</t>
        </is>
      </c>
      <c r="D629" t="inlineStr">
        <is>
          <t>SA</t>
        </is>
      </c>
      <c r="E629" s="5" t="inlineStr">
        <is>
          <t>https://data.bls.gov/timeseries/CUSR0000SEGD02</t>
        </is>
      </c>
    </row>
    <row r="630">
      <c r="A630" s="5" t="inlineStr">
        <is>
          <t>CUUR0000SEGD03</t>
        </is>
      </c>
      <c r="B630" t="inlineStr">
        <is>
          <t>SEGD03</t>
        </is>
      </c>
      <c r="C630" t="inlineStr">
        <is>
          <t>Laundry and dry cleaning services</t>
        </is>
      </c>
      <c r="D630" t="inlineStr">
        <is>
          <t>NSA</t>
        </is>
      </c>
      <c r="E630" s="5" t="inlineStr">
        <is>
          <t>https://data.bls.gov/timeseries/CUUR0000SEGD03</t>
        </is>
      </c>
    </row>
    <row r="631">
      <c r="A631" s="5" t="inlineStr">
        <is>
          <t>CUSR0000SEGD03</t>
        </is>
      </c>
      <c r="B631" t="inlineStr">
        <is>
          <t>SEGD03</t>
        </is>
      </c>
      <c r="C631" t="inlineStr">
        <is>
          <t>Laundry and dry cleaning services</t>
        </is>
      </c>
      <c r="D631" t="inlineStr">
        <is>
          <t>SA</t>
        </is>
      </c>
      <c r="E631" s="5" t="inlineStr">
        <is>
          <t>https://data.bls.gov/timeseries/CUSR0000SEGD03</t>
        </is>
      </c>
    </row>
    <row r="632">
      <c r="A632" s="5" t="inlineStr">
        <is>
          <t>CUUR0000SEGD04</t>
        </is>
      </c>
      <c r="B632" t="inlineStr">
        <is>
          <t>SEGD04</t>
        </is>
      </c>
      <c r="C632" t="inlineStr">
        <is>
          <t>Apparel services other than laundry and dry cleaning</t>
        </is>
      </c>
      <c r="D632" t="inlineStr">
        <is>
          <t>NSA</t>
        </is>
      </c>
      <c r="E632" s="5" t="inlineStr">
        <is>
          <t>https://data.bls.gov/timeseries/CUUR0000SEGD04</t>
        </is>
      </c>
    </row>
    <row r="633">
      <c r="A633" s="5" t="inlineStr">
        <is>
          <t>CUUR0000SEGD05</t>
        </is>
      </c>
      <c r="B633" t="inlineStr">
        <is>
          <t>SEGD05</t>
        </is>
      </c>
      <c r="C633" t="inlineStr">
        <is>
          <t>Financial services</t>
        </is>
      </c>
      <c r="D633" t="inlineStr">
        <is>
          <t>NSA</t>
        </is>
      </c>
      <c r="E633" s="5" t="inlineStr">
        <is>
          <t>https://data.bls.gov/timeseries/CUUR0000SEGD05</t>
        </is>
      </c>
    </row>
    <row r="634">
      <c r="A634" s="5" t="inlineStr">
        <is>
          <t>CUSR0000SEGD05</t>
        </is>
      </c>
      <c r="B634" t="inlineStr">
        <is>
          <t>SEGD05</t>
        </is>
      </c>
      <c r="C634" t="inlineStr">
        <is>
          <t>Financial services</t>
        </is>
      </c>
      <c r="D634" t="inlineStr">
        <is>
          <t>SA</t>
        </is>
      </c>
      <c r="E634" s="5" t="inlineStr">
        <is>
          <t>https://data.bls.gov/timeseries/CUSR0000SEGD05</t>
        </is>
      </c>
    </row>
    <row r="635">
      <c r="A635" s="5" t="inlineStr">
        <is>
          <t>CUUR0000SS68021</t>
        </is>
      </c>
      <c r="B635" t="inlineStr">
        <is>
          <t>SS68021</t>
        </is>
      </c>
      <c r="C635" t="inlineStr">
        <is>
          <t>Checking account and other bank services</t>
        </is>
      </c>
      <c r="D635" t="inlineStr">
        <is>
          <t>NSA</t>
        </is>
      </c>
      <c r="E635" s="5" t="inlineStr">
        <is>
          <t>https://data.bls.gov/timeseries/CUUR0000SS68021</t>
        </is>
      </c>
    </row>
    <row r="636">
      <c r="A636" s="5" t="inlineStr">
        <is>
          <t>CUUR0000SS68023</t>
        </is>
      </c>
      <c r="B636" t="inlineStr">
        <is>
          <t>SS68023</t>
        </is>
      </c>
      <c r="C636" t="inlineStr">
        <is>
          <t>Tax return preparation and other accounting fees</t>
        </is>
      </c>
      <c r="D636" t="inlineStr">
        <is>
          <t>NSA</t>
        </is>
      </c>
      <c r="E636" s="5" t="inlineStr">
        <is>
          <t>https://data.bls.gov/timeseries/CUUR0000SS68023</t>
        </is>
      </c>
    </row>
    <row r="637">
      <c r="A637" s="5" t="inlineStr">
        <is>
          <t>CUSR0000SS68023</t>
        </is>
      </c>
      <c r="B637" t="inlineStr">
        <is>
          <t>SS68023</t>
        </is>
      </c>
      <c r="C637" t="inlineStr">
        <is>
          <t>Tax return preparation and other accounting fees</t>
        </is>
      </c>
      <c r="D637" t="inlineStr">
        <is>
          <t>SA</t>
        </is>
      </c>
      <c r="E637" s="5" t="inlineStr">
        <is>
          <t>https://data.bls.gov/timeseries/CUSR0000SS68023</t>
        </is>
      </c>
    </row>
    <row r="638">
      <c r="A638" s="5" t="inlineStr">
        <is>
          <t>CUUR0000SEGE</t>
        </is>
      </c>
      <c r="B638" t="inlineStr">
        <is>
          <t>SEGE</t>
        </is>
      </c>
      <c r="C638" t="inlineStr">
        <is>
          <t>Miscellaneous personal goods</t>
        </is>
      </c>
      <c r="D638" t="inlineStr">
        <is>
          <t>NSA</t>
        </is>
      </c>
      <c r="E638" s="5" t="inlineStr">
        <is>
          <t>https://data.bls.gov/timeseries/CUUR0000SEGE</t>
        </is>
      </c>
    </row>
    <row r="639">
      <c r="A639" s="5" t="inlineStr">
        <is>
          <t>CUSR0000SEGE</t>
        </is>
      </c>
      <c r="B639" t="inlineStr">
        <is>
          <t>SEGE</t>
        </is>
      </c>
      <c r="C639" t="inlineStr">
        <is>
          <t>Miscellaneous personal goods</t>
        </is>
      </c>
      <c r="D639" t="inlineStr">
        <is>
          <t>SA</t>
        </is>
      </c>
      <c r="E639" s="5" t="inlineStr">
        <is>
          <t>https://data.bls.gov/timeseries/CUSR0000SEGE</t>
        </is>
      </c>
    </row>
    <row r="640">
      <c r="A640" s="5" t="inlineStr">
        <is>
          <t>CUUR0000SS33032</t>
        </is>
      </c>
      <c r="B640" t="inlineStr">
        <is>
          <t>SS33032</t>
        </is>
      </c>
      <c r="C640" t="inlineStr">
        <is>
          <t>Stationery, stationery supplies, gift wrap</t>
        </is>
      </c>
      <c r="D640" t="inlineStr">
        <is>
          <t>NSA</t>
        </is>
      </c>
      <c r="E640" s="5" t="inlineStr">
        <is>
          <t>https://data.bls.gov/timeseries/CUUR0000SS33032</t>
        </is>
      </c>
    </row>
    <row r="641">
      <c r="A641" s="5" t="inlineStr">
        <is>
          <t>CUSR0000SS33032</t>
        </is>
      </c>
      <c r="B641" t="inlineStr">
        <is>
          <t>SS33032</t>
        </is>
      </c>
      <c r="C641" t="inlineStr">
        <is>
          <t>Stationery, stationery supplies, gift wrap</t>
        </is>
      </c>
      <c r="D641" t="inlineStr">
        <is>
          <t>SA</t>
        </is>
      </c>
      <c r="E641" s="5" t="inlineStr">
        <is>
          <t>https://data.bls.gov/timeseries/CUSR0000SS33032</t>
        </is>
      </c>
    </row>
    <row r="642">
      <c r="A642" s="5" t="inlineStr">
        <is>
          <t>CUUR0000SSGE013</t>
        </is>
      </c>
      <c r="B642" t="inlineStr">
        <is>
          <t>SSGE013</t>
        </is>
      </c>
      <c r="C642" t="inlineStr">
        <is>
          <t>Infants' equipment</t>
        </is>
      </c>
      <c r="D642" t="inlineStr">
        <is>
          <t>NSA</t>
        </is>
      </c>
      <c r="E642" s="5" t="inlineStr">
        <is>
          <t>https://data.bls.gov/timeseries/CUUR0000SSGE013</t>
        </is>
      </c>
    </row>
    <row r="643">
      <c r="A643" s="5" t="inlineStr">
        <is>
          <t>CUUR0000SA0L5</t>
        </is>
      </c>
      <c r="B643" t="inlineStr">
        <is>
          <t>SA0L5</t>
        </is>
      </c>
      <c r="C643" t="inlineStr">
        <is>
          <t>All items less medical care</t>
        </is>
      </c>
      <c r="D643" t="inlineStr">
        <is>
          <t>NSA</t>
        </is>
      </c>
      <c r="E643" s="5" t="inlineStr">
        <is>
          <t>https://data.bls.gov/timeseries/CUUR0000SA0L5</t>
        </is>
      </c>
    </row>
    <row r="644">
      <c r="A644" s="5" t="inlineStr">
        <is>
          <t>CUSR0000SA0L5</t>
        </is>
      </c>
      <c r="B644" t="inlineStr">
        <is>
          <t>SA0L5</t>
        </is>
      </c>
      <c r="C644" t="inlineStr">
        <is>
          <t>All items less medical care</t>
        </is>
      </c>
      <c r="D644" t="inlineStr">
        <is>
          <t>SA</t>
        </is>
      </c>
      <c r="E644" s="5" t="inlineStr">
        <is>
          <t>https://data.bls.gov/timeseries/CUSR0000SA0L5</t>
        </is>
      </c>
    </row>
    <row r="645">
      <c r="A645" s="5" t="inlineStr">
        <is>
          <t>CUUR0000SA0LE</t>
        </is>
      </c>
      <c r="B645" t="inlineStr">
        <is>
          <t>SA0LE</t>
        </is>
      </c>
      <c r="C645" t="inlineStr">
        <is>
          <t>All items less energy</t>
        </is>
      </c>
      <c r="D645" t="inlineStr">
        <is>
          <t>NSA</t>
        </is>
      </c>
      <c r="E645" s="5" t="inlineStr">
        <is>
          <t>https://data.bls.gov/timeseries/CUUR0000SA0LE</t>
        </is>
      </c>
    </row>
    <row r="646">
      <c r="A646" s="5" t="inlineStr">
        <is>
          <t>CUSR0000SA0LE</t>
        </is>
      </c>
      <c r="B646" t="inlineStr">
        <is>
          <t>SA0LE</t>
        </is>
      </c>
      <c r="C646" t="inlineStr">
        <is>
          <t>All items less energy</t>
        </is>
      </c>
      <c r="D646" t="inlineStr">
        <is>
          <t>SA</t>
        </is>
      </c>
      <c r="E646" s="5" t="inlineStr">
        <is>
          <t>https://data.bls.gov/timeseries/CUSR0000SA0LE</t>
        </is>
      </c>
    </row>
    <row r="647">
      <c r="A647" s="5" t="inlineStr">
        <is>
          <t>CUUR0000SA0L1</t>
        </is>
      </c>
      <c r="B647" t="inlineStr">
        <is>
          <t>SA0L1</t>
        </is>
      </c>
      <c r="C647" t="inlineStr">
        <is>
          <t>All items less food</t>
        </is>
      </c>
      <c r="D647" t="inlineStr">
        <is>
          <t>NSA</t>
        </is>
      </c>
      <c r="E647" s="5" t="inlineStr">
        <is>
          <t>https://data.bls.gov/timeseries/CUUR0000SA0L1</t>
        </is>
      </c>
    </row>
    <row r="648">
      <c r="A648" s="5" t="inlineStr">
        <is>
          <t>CUSR0000SA0L1</t>
        </is>
      </c>
      <c r="B648" t="inlineStr">
        <is>
          <t>SA0L1</t>
        </is>
      </c>
      <c r="C648" t="inlineStr">
        <is>
          <t>All items less food</t>
        </is>
      </c>
      <c r="D648" t="inlineStr">
        <is>
          <t>SA</t>
        </is>
      </c>
      <c r="E648" s="5" t="inlineStr">
        <is>
          <t>https://data.bls.gov/timeseries/CUSR0000SA0L1</t>
        </is>
      </c>
    </row>
    <row r="649">
      <c r="A649" s="5" t="inlineStr">
        <is>
          <t>CUUR0000SA0L1E</t>
        </is>
      </c>
      <c r="B649" t="inlineStr">
        <is>
          <t>SA0L1E</t>
        </is>
      </c>
      <c r="C649" t="inlineStr">
        <is>
          <t>All items less food and energy</t>
        </is>
      </c>
      <c r="D649" t="inlineStr">
        <is>
          <t>NSA</t>
        </is>
      </c>
      <c r="E649" s="5" t="inlineStr">
        <is>
          <t>https://data.bls.gov/timeseries/CUUR0000SA0L1E</t>
        </is>
      </c>
    </row>
    <row r="650">
      <c r="A650" s="5" t="inlineStr">
        <is>
          <t>CUSR0000SA0L1E</t>
        </is>
      </c>
      <c r="B650" t="inlineStr">
        <is>
          <t>SA0L1E</t>
        </is>
      </c>
      <c r="C650" t="inlineStr">
        <is>
          <t>All items less food and energy</t>
        </is>
      </c>
      <c r="D650" t="inlineStr">
        <is>
          <t>SA</t>
        </is>
      </c>
      <c r="E650" s="5" t="inlineStr">
        <is>
          <t>https://data.bls.gov/timeseries/CUSR0000SA0L1E</t>
        </is>
      </c>
    </row>
    <row r="651">
      <c r="A651" s="5" t="inlineStr">
        <is>
          <t>CUUR0000SA0L2</t>
        </is>
      </c>
      <c r="B651" t="inlineStr">
        <is>
          <t>SA0L2</t>
        </is>
      </c>
      <c r="C651" t="inlineStr">
        <is>
          <t>All items less shelter</t>
        </is>
      </c>
      <c r="D651" t="inlineStr">
        <is>
          <t>NSA</t>
        </is>
      </c>
      <c r="E651" s="5" t="inlineStr">
        <is>
          <t>https://data.bls.gov/timeseries/CUUR0000SA0L2</t>
        </is>
      </c>
    </row>
    <row r="652">
      <c r="A652" s="5" t="inlineStr">
        <is>
          <t>CUSR0000SA0L2</t>
        </is>
      </c>
      <c r="B652" t="inlineStr">
        <is>
          <t>SA0L2</t>
        </is>
      </c>
      <c r="C652" t="inlineStr">
        <is>
          <t>All items less shelter</t>
        </is>
      </c>
      <c r="D652" t="inlineStr">
        <is>
          <t>SA</t>
        </is>
      </c>
      <c r="E652" s="5" t="inlineStr">
        <is>
          <t>https://data.bls.gov/timeseries/CUSR0000SA0L2</t>
        </is>
      </c>
    </row>
    <row r="653">
      <c r="A653" s="5" t="inlineStr">
        <is>
          <t>CUUR0000SA0L12</t>
        </is>
      </c>
      <c r="B653" t="inlineStr">
        <is>
          <t>SA0L12</t>
        </is>
      </c>
      <c r="C653" t="inlineStr">
        <is>
          <t>All items less food and shelter</t>
        </is>
      </c>
      <c r="D653" t="inlineStr">
        <is>
          <t>NSA</t>
        </is>
      </c>
      <c r="E653" s="5" t="inlineStr">
        <is>
          <t>https://data.bls.gov/timeseries/CUUR0000SA0L12</t>
        </is>
      </c>
    </row>
    <row r="654">
      <c r="A654" s="5" t="inlineStr">
        <is>
          <t>CUSR0000SA0L12</t>
        </is>
      </c>
      <c r="B654" t="inlineStr">
        <is>
          <t>SA0L12</t>
        </is>
      </c>
      <c r="C654" t="inlineStr">
        <is>
          <t>All items less food and shelter</t>
        </is>
      </c>
      <c r="D654" t="inlineStr">
        <is>
          <t>SA</t>
        </is>
      </c>
      <c r="E654" s="5" t="inlineStr">
        <is>
          <t>https://data.bls.gov/timeseries/CUSR0000SA0L12</t>
        </is>
      </c>
    </row>
    <row r="655">
      <c r="A655" s="5" t="inlineStr">
        <is>
          <t>CUUR0000SA0L12E</t>
        </is>
      </c>
      <c r="B655" t="inlineStr">
        <is>
          <t>SA0L12E</t>
        </is>
      </c>
      <c r="C655" t="inlineStr">
        <is>
          <t>All items less food, shelter, and energy</t>
        </is>
      </c>
      <c r="D655" t="inlineStr">
        <is>
          <t>NSA</t>
        </is>
      </c>
      <c r="E655" s="5" t="inlineStr">
        <is>
          <t>https://data.bls.gov/timeseries/CUUR0000SA0L12E</t>
        </is>
      </c>
    </row>
    <row r="656">
      <c r="A656" s="5" t="inlineStr">
        <is>
          <t>CUSR0000SA0L12E</t>
        </is>
      </c>
      <c r="B656" t="inlineStr">
        <is>
          <t>SA0L12E</t>
        </is>
      </c>
      <c r="C656" t="inlineStr">
        <is>
          <t>All items less food, shelter, and energy</t>
        </is>
      </c>
      <c r="D656" t="inlineStr">
        <is>
          <t>SA</t>
        </is>
      </c>
      <c r="E656" s="5" t="inlineStr">
        <is>
          <t>https://data.bls.gov/timeseries/CUSR0000SA0L12E</t>
        </is>
      </c>
    </row>
    <row r="657">
      <c r="A657" s="5" t="inlineStr">
        <is>
          <t>CUUR0000SA0L12E4</t>
        </is>
      </c>
      <c r="B657" t="inlineStr">
        <is>
          <t>SA0L12E4</t>
        </is>
      </c>
      <c r="C657" t="inlineStr">
        <is>
          <t>All items less food, shelter, energy, and used cars and trucks</t>
        </is>
      </c>
      <c r="D657" t="inlineStr">
        <is>
          <t>NSA</t>
        </is>
      </c>
      <c r="E657" s="5" t="inlineStr">
        <is>
          <t>https://data.bls.gov/timeseries/CUUR0000SA0L12E4</t>
        </is>
      </c>
    </row>
    <row r="658">
      <c r="A658" s="5" t="inlineStr">
        <is>
          <t>CUSR0000SA0L12E4</t>
        </is>
      </c>
      <c r="B658" t="inlineStr">
        <is>
          <t>SA0L12E4</t>
        </is>
      </c>
      <c r="C658" t="inlineStr">
        <is>
          <t>All items less food, shelter, energy, and used cars and trucks</t>
        </is>
      </c>
      <c r="D658" t="inlineStr">
        <is>
          <t>SA</t>
        </is>
      </c>
      <c r="E658" s="5" t="inlineStr">
        <is>
          <t>https://data.bls.gov/timeseries/CUSR0000SA0L12E4</t>
        </is>
      </c>
    </row>
    <row r="659">
      <c r="A659" s="5" t="inlineStr">
        <is>
          <t>CUUR0000SA311</t>
        </is>
      </c>
      <c r="B659" t="inlineStr">
        <is>
          <t>SA311</t>
        </is>
      </c>
      <c r="C659" t="inlineStr">
        <is>
          <t>Apparel less footwear</t>
        </is>
      </c>
      <c r="D659" t="inlineStr">
        <is>
          <t>NSA</t>
        </is>
      </c>
      <c r="E659" s="5" t="inlineStr">
        <is>
          <t>https://data.bls.gov/timeseries/CUUR0000SA311</t>
        </is>
      </c>
    </row>
    <row r="660">
      <c r="A660" s="5" t="inlineStr">
        <is>
          <t>CUSR0000SA311</t>
        </is>
      </c>
      <c r="B660" t="inlineStr">
        <is>
          <t>SA311</t>
        </is>
      </c>
      <c r="C660" t="inlineStr">
        <is>
          <t>Apparel less footwear</t>
        </is>
      </c>
      <c r="D660" t="inlineStr">
        <is>
          <t>SA</t>
        </is>
      </c>
      <c r="E660" s="5" t="inlineStr">
        <is>
          <t>https://data.bls.gov/timeseries/CUSR0000SA311</t>
        </is>
      </c>
    </row>
    <row r="661">
      <c r="A661" s="5" t="inlineStr">
        <is>
          <t>CUUR0000SAC</t>
        </is>
      </c>
      <c r="B661" t="inlineStr">
        <is>
          <t>SAC</t>
        </is>
      </c>
      <c r="C661" t="inlineStr">
        <is>
          <t>Commodities</t>
        </is>
      </c>
      <c r="D661" t="inlineStr">
        <is>
          <t>NSA</t>
        </is>
      </c>
      <c r="E661" s="5" t="inlineStr">
        <is>
          <t>https://data.bls.gov/timeseries/CUUR0000SAC</t>
        </is>
      </c>
    </row>
    <row r="662">
      <c r="A662" s="5" t="inlineStr">
        <is>
          <t>CUSR0000SAC</t>
        </is>
      </c>
      <c r="B662" t="inlineStr">
        <is>
          <t>SAC</t>
        </is>
      </c>
      <c r="C662" t="inlineStr">
        <is>
          <t>Commodities</t>
        </is>
      </c>
      <c r="D662" t="inlineStr">
        <is>
          <t>SA</t>
        </is>
      </c>
      <c r="E662" s="5" t="inlineStr">
        <is>
          <t>https://data.bls.gov/timeseries/CUSR0000SAC</t>
        </is>
      </c>
    </row>
    <row r="663">
      <c r="A663" s="5" t="inlineStr">
        <is>
          <t>CUUR0000SACL1</t>
        </is>
      </c>
      <c r="B663" t="inlineStr">
        <is>
          <t>SACL1</t>
        </is>
      </c>
      <c r="C663" t="inlineStr">
        <is>
          <t>Commodities less food</t>
        </is>
      </c>
      <c r="D663" t="inlineStr">
        <is>
          <t>NSA</t>
        </is>
      </c>
      <c r="E663" s="5" t="inlineStr">
        <is>
          <t>https://data.bls.gov/timeseries/CUUR0000SACL1</t>
        </is>
      </c>
    </row>
    <row r="664">
      <c r="A664" s="5" t="inlineStr">
        <is>
          <t>CUSR0000SACL1</t>
        </is>
      </c>
      <c r="B664" t="inlineStr">
        <is>
          <t>SACL1</t>
        </is>
      </c>
      <c r="C664" t="inlineStr">
        <is>
          <t>Commodities less food</t>
        </is>
      </c>
      <c r="D664" t="inlineStr">
        <is>
          <t>SA</t>
        </is>
      </c>
      <c r="E664" s="5" t="inlineStr">
        <is>
          <t>https://data.bls.gov/timeseries/CUSR0000SACL1</t>
        </is>
      </c>
    </row>
    <row r="665">
      <c r="A665" s="5" t="inlineStr">
        <is>
          <t>CUUR0000SACL11</t>
        </is>
      </c>
      <c r="B665" t="inlineStr">
        <is>
          <t>SACL11</t>
        </is>
      </c>
      <c r="C665" t="inlineStr">
        <is>
          <t>Commodities less food and beverages</t>
        </is>
      </c>
      <c r="D665" t="inlineStr">
        <is>
          <t>NSA</t>
        </is>
      </c>
      <c r="E665" s="5" t="inlineStr">
        <is>
          <t>https://data.bls.gov/timeseries/CUUR0000SACL11</t>
        </is>
      </c>
    </row>
    <row r="666">
      <c r="A666" s="5" t="inlineStr">
        <is>
          <t>CUSR0000SACL11</t>
        </is>
      </c>
      <c r="B666" t="inlineStr">
        <is>
          <t>SACL11</t>
        </is>
      </c>
      <c r="C666" t="inlineStr">
        <is>
          <t>Commodities less food and beverages</t>
        </is>
      </c>
      <c r="D666" t="inlineStr">
        <is>
          <t>SA</t>
        </is>
      </c>
      <c r="E666" s="5" t="inlineStr">
        <is>
          <t>https://data.bls.gov/timeseries/CUSR0000SACL11</t>
        </is>
      </c>
    </row>
    <row r="667">
      <c r="A667" s="5" t="inlineStr">
        <is>
          <t>CUUR0000SACL1E</t>
        </is>
      </c>
      <c r="B667" t="inlineStr">
        <is>
          <t>SACL1E</t>
        </is>
      </c>
      <c r="C667" t="inlineStr">
        <is>
          <t>Commodities less food and energy commodities</t>
        </is>
      </c>
      <c r="D667" t="inlineStr">
        <is>
          <t>NSA</t>
        </is>
      </c>
      <c r="E667" s="5" t="inlineStr">
        <is>
          <t>https://data.bls.gov/timeseries/CUUR0000SACL1E</t>
        </is>
      </c>
    </row>
    <row r="668">
      <c r="A668" s="5" t="inlineStr">
        <is>
          <t>CUSR0000SACL1E</t>
        </is>
      </c>
      <c r="B668" t="inlineStr">
        <is>
          <t>SACL1E</t>
        </is>
      </c>
      <c r="C668" t="inlineStr">
        <is>
          <t>Commodities less food and energy commodities</t>
        </is>
      </c>
      <c r="D668" t="inlineStr">
        <is>
          <t>SA</t>
        </is>
      </c>
      <c r="E668" s="5" t="inlineStr">
        <is>
          <t>https://data.bls.gov/timeseries/CUSR0000SACL1E</t>
        </is>
      </c>
    </row>
    <row r="669">
      <c r="A669" s="5" t="inlineStr">
        <is>
          <t>CUUR0000SACL1E4</t>
        </is>
      </c>
      <c r="B669" t="inlineStr">
        <is>
          <t>SACL1E4</t>
        </is>
      </c>
      <c r="C669" t="inlineStr">
        <is>
          <t>Commodities less food, energy, and used cars and trucks</t>
        </is>
      </c>
      <c r="D669" t="inlineStr">
        <is>
          <t>NSA</t>
        </is>
      </c>
      <c r="E669" s="5" t="inlineStr">
        <is>
          <t>https://data.bls.gov/timeseries/CUUR0000SACL1E4</t>
        </is>
      </c>
    </row>
    <row r="670">
      <c r="A670" s="5" t="inlineStr">
        <is>
          <t>CUSR0000SACL1E4</t>
        </is>
      </c>
      <c r="B670" t="inlineStr">
        <is>
          <t>SACL1E4</t>
        </is>
      </c>
      <c r="C670" t="inlineStr">
        <is>
          <t>Commodities less food, energy, and used cars and trucks</t>
        </is>
      </c>
      <c r="D670" t="inlineStr">
        <is>
          <t>SA</t>
        </is>
      </c>
      <c r="E670" s="5" t="inlineStr">
        <is>
          <t>https://data.bls.gov/timeseries/CUSR0000SACL1E4</t>
        </is>
      </c>
    </row>
    <row r="671">
      <c r="A671" s="5" t="inlineStr">
        <is>
          <t>CUUR0000SAN1D</t>
        </is>
      </c>
      <c r="B671" t="inlineStr">
        <is>
          <t>SAN1D</t>
        </is>
      </c>
      <c r="C671" t="inlineStr">
        <is>
          <t>Domestically produced farm food</t>
        </is>
      </c>
      <c r="D671" t="inlineStr">
        <is>
          <t>NSA</t>
        </is>
      </c>
      <c r="E671" s="5" t="inlineStr">
        <is>
          <t>https://data.bls.gov/timeseries/CUUR0000SAN1D</t>
        </is>
      </c>
    </row>
    <row r="672">
      <c r="A672" s="5" t="inlineStr">
        <is>
          <t>CUSR0000SAN1D</t>
        </is>
      </c>
      <c r="B672" t="inlineStr">
        <is>
          <t>SAN1D</t>
        </is>
      </c>
      <c r="C672" t="inlineStr">
        <is>
          <t>Domestically produced farm food</t>
        </is>
      </c>
      <c r="D672" t="inlineStr">
        <is>
          <t>SA</t>
        </is>
      </c>
      <c r="E672" s="5" t="inlineStr">
        <is>
          <t>https://data.bls.gov/timeseries/CUSR0000SAN1D</t>
        </is>
      </c>
    </row>
    <row r="673">
      <c r="A673" s="5" t="inlineStr">
        <is>
          <t>CUUR0000SAD</t>
        </is>
      </c>
      <c r="B673" t="inlineStr">
        <is>
          <t>SAD</t>
        </is>
      </c>
      <c r="C673" t="inlineStr">
        <is>
          <t>Durables</t>
        </is>
      </c>
      <c r="D673" t="inlineStr">
        <is>
          <t>NSA</t>
        </is>
      </c>
      <c r="E673" s="5" t="inlineStr">
        <is>
          <t>https://data.bls.gov/timeseries/CUUR0000SAD</t>
        </is>
      </c>
    </row>
    <row r="674">
      <c r="A674" s="5" t="inlineStr">
        <is>
          <t>CUSR0000SAD</t>
        </is>
      </c>
      <c r="B674" t="inlineStr">
        <is>
          <t>SAD</t>
        </is>
      </c>
      <c r="C674" t="inlineStr">
        <is>
          <t>Durables</t>
        </is>
      </c>
      <c r="D674" t="inlineStr">
        <is>
          <t>SA</t>
        </is>
      </c>
      <c r="E674" s="5" t="inlineStr">
        <is>
          <t>https://data.bls.gov/timeseries/CUSR0000SAD</t>
        </is>
      </c>
    </row>
    <row r="675">
      <c r="A675" s="5" t="inlineStr">
        <is>
          <t>CUUR0000SAEC</t>
        </is>
      </c>
      <c r="B675" t="inlineStr">
        <is>
          <t>SAEC</t>
        </is>
      </c>
      <c r="C675" t="inlineStr">
        <is>
          <t>Education and communication commodities</t>
        </is>
      </c>
      <c r="D675" t="inlineStr">
        <is>
          <t>NSA</t>
        </is>
      </c>
      <c r="E675" s="5" t="inlineStr">
        <is>
          <t>https://data.bls.gov/timeseries/CUUR0000SAEC</t>
        </is>
      </c>
    </row>
    <row r="676">
      <c r="A676" s="5" t="inlineStr">
        <is>
          <t>CUSR0000SAEC</t>
        </is>
      </c>
      <c r="B676" t="inlineStr">
        <is>
          <t>SAEC</t>
        </is>
      </c>
      <c r="C676" t="inlineStr">
        <is>
          <t>Education and communication commodities</t>
        </is>
      </c>
      <c r="D676" t="inlineStr">
        <is>
          <t>SA</t>
        </is>
      </c>
      <c r="E676" s="5" t="inlineStr">
        <is>
          <t>https://data.bls.gov/timeseries/CUSR0000SAEC</t>
        </is>
      </c>
    </row>
    <row r="677">
      <c r="A677" s="5" t="inlineStr">
        <is>
          <t>CUUR0000SAES</t>
        </is>
      </c>
      <c r="B677" t="inlineStr">
        <is>
          <t>SAES</t>
        </is>
      </c>
      <c r="C677" t="inlineStr">
        <is>
          <t>Education and communication services</t>
        </is>
      </c>
      <c r="D677" t="inlineStr">
        <is>
          <t>NSA</t>
        </is>
      </c>
      <c r="E677" s="5" t="inlineStr">
        <is>
          <t>https://data.bls.gov/timeseries/CUUR0000SAES</t>
        </is>
      </c>
    </row>
    <row r="678">
      <c r="A678" s="5" t="inlineStr">
        <is>
          <t>CUSR0000SAES</t>
        </is>
      </c>
      <c r="B678" t="inlineStr">
        <is>
          <t>SAES</t>
        </is>
      </c>
      <c r="C678" t="inlineStr">
        <is>
          <t>Education and communication services</t>
        </is>
      </c>
      <c r="D678" t="inlineStr">
        <is>
          <t>SA</t>
        </is>
      </c>
      <c r="E678" s="5" t="inlineStr">
        <is>
          <t>https://data.bls.gov/timeseries/CUSR0000SAES</t>
        </is>
      </c>
    </row>
    <row r="679">
      <c r="A679" s="5" t="inlineStr">
        <is>
          <t>CUUR0000SA0E</t>
        </is>
      </c>
      <c r="B679" t="inlineStr">
        <is>
          <t>SA0E</t>
        </is>
      </c>
      <c r="C679" t="inlineStr">
        <is>
          <t>Energy</t>
        </is>
      </c>
      <c r="D679" t="inlineStr">
        <is>
          <t>NSA</t>
        </is>
      </c>
      <c r="E679" s="5" t="inlineStr">
        <is>
          <t>https://data.bls.gov/timeseries/CUUR0000SA0E</t>
        </is>
      </c>
    </row>
    <row r="680">
      <c r="A680" s="5" t="inlineStr">
        <is>
          <t>CUSR0000SA0E</t>
        </is>
      </c>
      <c r="B680" t="inlineStr">
        <is>
          <t>SA0E</t>
        </is>
      </c>
      <c r="C680" t="inlineStr">
        <is>
          <t>Energy</t>
        </is>
      </c>
      <c r="D680" t="inlineStr">
        <is>
          <t>SA</t>
        </is>
      </c>
      <c r="E680" s="5" t="inlineStr">
        <is>
          <t>https://data.bls.gov/timeseries/CUSR0000SA0E</t>
        </is>
      </c>
    </row>
    <row r="681">
      <c r="A681" s="5" t="inlineStr">
        <is>
          <t>CUUR0000SACE</t>
        </is>
      </c>
      <c r="B681" t="inlineStr">
        <is>
          <t>SACE</t>
        </is>
      </c>
      <c r="C681" t="inlineStr">
        <is>
          <t>Energy commodities</t>
        </is>
      </c>
      <c r="D681" t="inlineStr">
        <is>
          <t>NSA</t>
        </is>
      </c>
      <c r="E681" s="5" t="inlineStr">
        <is>
          <t>https://data.bls.gov/timeseries/CUUR0000SACE</t>
        </is>
      </c>
    </row>
    <row r="682">
      <c r="A682" s="5" t="inlineStr">
        <is>
          <t>CUSR0000SACE</t>
        </is>
      </c>
      <c r="B682" t="inlineStr">
        <is>
          <t>SACE</t>
        </is>
      </c>
      <c r="C682" t="inlineStr">
        <is>
          <t>Energy commodities</t>
        </is>
      </c>
      <c r="D682" t="inlineStr">
        <is>
          <t>SA</t>
        </is>
      </c>
      <c r="E682" s="5" t="inlineStr">
        <is>
          <t>https://data.bls.gov/timeseries/CUSR0000SACE</t>
        </is>
      </c>
    </row>
    <row r="683">
      <c r="A683" s="5" t="inlineStr">
        <is>
          <t>CUUR0000SAH31</t>
        </is>
      </c>
      <c r="B683" t="inlineStr">
        <is>
          <t>SAH31</t>
        </is>
      </c>
      <c r="C683" t="inlineStr">
        <is>
          <t>Household furnishings and supplies</t>
        </is>
      </c>
      <c r="D683" t="inlineStr">
        <is>
          <t>NSA</t>
        </is>
      </c>
      <c r="E683" s="5" t="inlineStr">
        <is>
          <t>https://data.bls.gov/timeseries/CUUR0000SAH31</t>
        </is>
      </c>
    </row>
    <row r="684">
      <c r="A684" s="5" t="inlineStr">
        <is>
          <t>CUSR0000SAH31</t>
        </is>
      </c>
      <c r="B684" t="inlineStr">
        <is>
          <t>SAH31</t>
        </is>
      </c>
      <c r="C684" t="inlineStr">
        <is>
          <t>Household furnishings and supplies</t>
        </is>
      </c>
      <c r="D684" t="inlineStr">
        <is>
          <t>SA</t>
        </is>
      </c>
      <c r="E684" s="5" t="inlineStr">
        <is>
          <t>https://data.bls.gov/timeseries/CUSR0000SAH31</t>
        </is>
      </c>
    </row>
    <row r="685">
      <c r="A685" s="5" t="inlineStr">
        <is>
          <t>CUUR0000SEEEC</t>
        </is>
      </c>
      <c r="B685" t="inlineStr">
        <is>
          <t>SEEEC</t>
        </is>
      </c>
      <c r="C685" t="inlineStr">
        <is>
          <t>Information technology commodities</t>
        </is>
      </c>
      <c r="D685" t="inlineStr">
        <is>
          <t>NSA</t>
        </is>
      </c>
      <c r="E685" s="5" t="inlineStr">
        <is>
          <t>https://data.bls.gov/timeseries/CUUR0000SEEEC</t>
        </is>
      </c>
    </row>
    <row r="686">
      <c r="A686" s="5" t="inlineStr">
        <is>
          <t>CUSR0000SEEEC</t>
        </is>
      </c>
      <c r="B686" t="inlineStr">
        <is>
          <t>SEEEC</t>
        </is>
      </c>
      <c r="C686" t="inlineStr">
        <is>
          <t>Information technology commodities</t>
        </is>
      </c>
      <c r="D686" t="inlineStr">
        <is>
          <t>SA</t>
        </is>
      </c>
      <c r="E686" s="5" t="inlineStr">
        <is>
          <t>https://data.bls.gov/timeseries/CUSR0000SEEEC</t>
        </is>
      </c>
    </row>
    <row r="687">
      <c r="A687" s="5" t="inlineStr">
        <is>
          <t>CUUR0000SAN</t>
        </is>
      </c>
      <c r="B687" t="inlineStr">
        <is>
          <t>SAN</t>
        </is>
      </c>
      <c r="C687" t="inlineStr">
        <is>
          <t>Nondurables</t>
        </is>
      </c>
      <c r="D687" t="inlineStr">
        <is>
          <t>NSA</t>
        </is>
      </c>
      <c r="E687" s="5" t="inlineStr">
        <is>
          <t>https://data.bls.gov/timeseries/CUUR0000SAN</t>
        </is>
      </c>
    </row>
    <row r="688">
      <c r="A688" s="5" t="inlineStr">
        <is>
          <t>CUSR0000SAN</t>
        </is>
      </c>
      <c r="B688" t="inlineStr">
        <is>
          <t>SAN</t>
        </is>
      </c>
      <c r="C688" t="inlineStr">
        <is>
          <t>Nondurables</t>
        </is>
      </c>
      <c r="D688" t="inlineStr">
        <is>
          <t>SA</t>
        </is>
      </c>
      <c r="E688" s="5" t="inlineStr">
        <is>
          <t>https://data.bls.gov/timeseries/CUSR0000SAN</t>
        </is>
      </c>
    </row>
    <row r="689">
      <c r="A689" s="5" t="inlineStr">
        <is>
          <t>CUUR0000SANL1</t>
        </is>
      </c>
      <c r="B689" t="inlineStr">
        <is>
          <t>SANL1</t>
        </is>
      </c>
      <c r="C689" t="inlineStr">
        <is>
          <t>Nondurables less food</t>
        </is>
      </c>
      <c r="D689" t="inlineStr">
        <is>
          <t>NSA</t>
        </is>
      </c>
      <c r="E689" s="5" t="inlineStr">
        <is>
          <t>https://data.bls.gov/timeseries/CUUR0000SANL1</t>
        </is>
      </c>
    </row>
    <row r="690">
      <c r="A690" s="5" t="inlineStr">
        <is>
          <t>CUSR0000SANL1</t>
        </is>
      </c>
      <c r="B690" t="inlineStr">
        <is>
          <t>SANL1</t>
        </is>
      </c>
      <c r="C690" t="inlineStr">
        <is>
          <t>Nondurables less food</t>
        </is>
      </c>
      <c r="D690" t="inlineStr">
        <is>
          <t>SA</t>
        </is>
      </c>
      <c r="E690" s="5" t="inlineStr">
        <is>
          <t>https://data.bls.gov/timeseries/CUSR0000SANL1</t>
        </is>
      </c>
    </row>
    <row r="691">
      <c r="A691" s="5" t="inlineStr">
        <is>
          <t>CUUR0000SANL13</t>
        </is>
      </c>
      <c r="B691" t="inlineStr">
        <is>
          <t>SANL13</t>
        </is>
      </c>
      <c r="C691" t="inlineStr">
        <is>
          <t>Nondurables less food and apparel</t>
        </is>
      </c>
      <c r="D691" t="inlineStr">
        <is>
          <t>NSA</t>
        </is>
      </c>
      <c r="E691" s="5" t="inlineStr">
        <is>
          <t>https://data.bls.gov/timeseries/CUUR0000SANL13</t>
        </is>
      </c>
    </row>
    <row r="692">
      <c r="A692" s="5" t="inlineStr">
        <is>
          <t>CUSR0000SANL13</t>
        </is>
      </c>
      <c r="B692" t="inlineStr">
        <is>
          <t>SANL13</t>
        </is>
      </c>
      <c r="C692" t="inlineStr">
        <is>
          <t>Nondurables less food and apparel</t>
        </is>
      </c>
      <c r="D692" t="inlineStr">
        <is>
          <t>SA</t>
        </is>
      </c>
      <c r="E692" s="5" t="inlineStr">
        <is>
          <t>https://data.bls.gov/timeseries/CUSR0000SANL13</t>
        </is>
      </c>
    </row>
    <row r="693">
      <c r="A693" s="5" t="inlineStr">
        <is>
          <t>CUUR0000SANL11</t>
        </is>
      </c>
      <c r="B693" t="inlineStr">
        <is>
          <t>SANL11</t>
        </is>
      </c>
      <c r="C693" t="inlineStr">
        <is>
          <t>Nondurables less food and beverages</t>
        </is>
      </c>
      <c r="D693" t="inlineStr">
        <is>
          <t>NSA</t>
        </is>
      </c>
      <c r="E693" s="5" t="inlineStr">
        <is>
          <t>https://data.bls.gov/timeseries/CUUR0000SANL11</t>
        </is>
      </c>
    </row>
    <row r="694">
      <c r="A694" s="5" t="inlineStr">
        <is>
          <t>CUSR0000SANL11</t>
        </is>
      </c>
      <c r="B694" t="inlineStr">
        <is>
          <t>SANL11</t>
        </is>
      </c>
      <c r="C694" t="inlineStr">
        <is>
          <t>Nondurables less food and beverages</t>
        </is>
      </c>
      <c r="D694" t="inlineStr">
        <is>
          <t>SA</t>
        </is>
      </c>
      <c r="E694" s="5" t="inlineStr">
        <is>
          <t>https://data.bls.gov/timeseries/CUSR0000SANL11</t>
        </is>
      </c>
    </row>
    <row r="695">
      <c r="A695" s="5" t="inlineStr">
        <is>
          <t>CUUR0000SANL113</t>
        </is>
      </c>
      <c r="B695" t="inlineStr">
        <is>
          <t>SANL113</t>
        </is>
      </c>
      <c r="C695" t="inlineStr">
        <is>
          <t>Nondurables less food, beverages, and apparel</t>
        </is>
      </c>
      <c r="D695" t="inlineStr">
        <is>
          <t>NSA</t>
        </is>
      </c>
      <c r="E695" s="5" t="inlineStr">
        <is>
          <t>https://data.bls.gov/timeseries/CUUR0000SANL113</t>
        </is>
      </c>
    </row>
    <row r="696">
      <c r="A696" s="5" t="inlineStr">
        <is>
          <t>CUSR0000SANL113</t>
        </is>
      </c>
      <c r="B696" t="inlineStr">
        <is>
          <t>SANL113</t>
        </is>
      </c>
      <c r="C696" t="inlineStr">
        <is>
          <t>Nondurables less food, beverages, and apparel</t>
        </is>
      </c>
      <c r="D696" t="inlineStr">
        <is>
          <t>SA</t>
        </is>
      </c>
      <c r="E696" s="5" t="inlineStr">
        <is>
          <t>https://data.bls.gov/timeseries/CUSR0000SANL113</t>
        </is>
      </c>
    </row>
    <row r="697">
      <c r="A697" s="5" t="inlineStr">
        <is>
          <t>CUUR0000SAGC</t>
        </is>
      </c>
      <c r="B697" t="inlineStr">
        <is>
          <t>SAGC</t>
        </is>
      </c>
      <c r="C697" t="inlineStr">
        <is>
          <t>Other goods</t>
        </is>
      </c>
      <c r="D697" t="inlineStr">
        <is>
          <t>NSA</t>
        </is>
      </c>
      <c r="E697" s="5" t="inlineStr">
        <is>
          <t>https://data.bls.gov/timeseries/CUUR0000SAGC</t>
        </is>
      </c>
    </row>
    <row r="698">
      <c r="A698" s="5" t="inlineStr">
        <is>
          <t>CUSR0000SAGC</t>
        </is>
      </c>
      <c r="B698" t="inlineStr">
        <is>
          <t>SAGC</t>
        </is>
      </c>
      <c r="C698" t="inlineStr">
        <is>
          <t>Other goods</t>
        </is>
      </c>
      <c r="D698" t="inlineStr">
        <is>
          <t>SA</t>
        </is>
      </c>
      <c r="E698" s="5" t="inlineStr">
        <is>
          <t>https://data.bls.gov/timeseries/CUSR0000SAGC</t>
        </is>
      </c>
    </row>
    <row r="699">
      <c r="A699" s="5" t="inlineStr">
        <is>
          <t>CUUR0000SAGS</t>
        </is>
      </c>
      <c r="B699" t="inlineStr">
        <is>
          <t>SAGS</t>
        </is>
      </c>
      <c r="C699" t="inlineStr">
        <is>
          <t>Other personal services</t>
        </is>
      </c>
      <c r="D699" t="inlineStr">
        <is>
          <t>NSA</t>
        </is>
      </c>
      <c r="E699" s="5" t="inlineStr">
        <is>
          <t>https://data.bls.gov/timeseries/CUUR0000SAGS</t>
        </is>
      </c>
    </row>
    <row r="700">
      <c r="A700" s="5" t="inlineStr">
        <is>
          <t>CUUR0000SAS367</t>
        </is>
      </c>
      <c r="B700" t="inlineStr">
        <is>
          <t>SAS367</t>
        </is>
      </c>
      <c r="C700" t="inlineStr">
        <is>
          <t>Other services</t>
        </is>
      </c>
      <c r="D700" t="inlineStr">
        <is>
          <t>NSA</t>
        </is>
      </c>
      <c r="E700" s="5" t="inlineStr">
        <is>
          <t>https://data.bls.gov/timeseries/CUUR0000SAS367</t>
        </is>
      </c>
    </row>
    <row r="701">
      <c r="A701" s="5" t="inlineStr">
        <is>
          <t>CUSR0000SAS367</t>
        </is>
      </c>
      <c r="B701" t="inlineStr">
        <is>
          <t>SAS367</t>
        </is>
      </c>
      <c r="C701" t="inlineStr">
        <is>
          <t>Other services</t>
        </is>
      </c>
      <c r="D701" t="inlineStr">
        <is>
          <t>SA</t>
        </is>
      </c>
      <c r="E701" s="5" t="inlineStr">
        <is>
          <t>https://data.bls.gov/timeseries/CUSR0000SAS367</t>
        </is>
      </c>
    </row>
    <row r="702">
      <c r="A702" s="5" t="inlineStr">
        <is>
          <t>CUUR0000SARC</t>
        </is>
      </c>
      <c r="B702" t="inlineStr">
        <is>
          <t>SARC</t>
        </is>
      </c>
      <c r="C702" t="inlineStr">
        <is>
          <t>Recreation commodities</t>
        </is>
      </c>
      <c r="D702" t="inlineStr">
        <is>
          <t>NSA</t>
        </is>
      </c>
      <c r="E702" s="5" t="inlineStr">
        <is>
          <t>https://data.bls.gov/timeseries/CUUR0000SARC</t>
        </is>
      </c>
    </row>
    <row r="703">
      <c r="A703" s="5" t="inlineStr">
        <is>
          <t>CUSR0000SARC</t>
        </is>
      </c>
      <c r="B703" t="inlineStr">
        <is>
          <t>SARC</t>
        </is>
      </c>
      <c r="C703" t="inlineStr">
        <is>
          <t>Recreation commodities</t>
        </is>
      </c>
      <c r="D703" t="inlineStr">
        <is>
          <t>SA</t>
        </is>
      </c>
      <c r="E703" s="5" t="inlineStr">
        <is>
          <t>https://data.bls.gov/timeseries/CUSR0000SARC</t>
        </is>
      </c>
    </row>
    <row r="704">
      <c r="A704" s="5" t="inlineStr">
        <is>
          <t>CUUR0000SARS</t>
        </is>
      </c>
      <c r="B704" t="inlineStr">
        <is>
          <t>SARS</t>
        </is>
      </c>
      <c r="C704" t="inlineStr">
        <is>
          <t>Recreation services</t>
        </is>
      </c>
      <c r="D704" t="inlineStr">
        <is>
          <t>NSA</t>
        </is>
      </c>
      <c r="E704" s="5" t="inlineStr">
        <is>
          <t>https://data.bls.gov/timeseries/CUUR0000SARS</t>
        </is>
      </c>
    </row>
    <row r="705">
      <c r="A705" s="5" t="inlineStr">
        <is>
          <t>CUSR0000SARS</t>
        </is>
      </c>
      <c r="B705" t="inlineStr">
        <is>
          <t>SARS</t>
        </is>
      </c>
      <c r="C705" t="inlineStr">
        <is>
          <t>Recreation services</t>
        </is>
      </c>
      <c r="D705" t="inlineStr">
        <is>
          <t>SA</t>
        </is>
      </c>
      <c r="E705" s="5" t="inlineStr">
        <is>
          <t>https://data.bls.gov/timeseries/CUSR0000SARS</t>
        </is>
      </c>
    </row>
    <row r="706">
      <c r="A706" s="5" t="inlineStr">
        <is>
          <t>CUUR0000SAS2RS</t>
        </is>
      </c>
      <c r="B706" t="inlineStr">
        <is>
          <t>SAS2RS</t>
        </is>
      </c>
      <c r="C706" t="inlineStr">
        <is>
          <t>Rent of shelter</t>
        </is>
      </c>
      <c r="D706" t="inlineStr">
        <is>
          <t>NSA</t>
        </is>
      </c>
      <c r="E706" s="5" t="inlineStr">
        <is>
          <t>https://data.bls.gov/timeseries/CUUR0000SAS2RS</t>
        </is>
      </c>
    </row>
    <row r="707">
      <c r="A707" s="5" t="inlineStr">
        <is>
          <t>CUSR0000SAS2RS</t>
        </is>
      </c>
      <c r="B707" t="inlineStr">
        <is>
          <t>SAS2RS</t>
        </is>
      </c>
      <c r="C707" t="inlineStr">
        <is>
          <t>Rent of shelter</t>
        </is>
      </c>
      <c r="D707" t="inlineStr">
        <is>
          <t>SA</t>
        </is>
      </c>
      <c r="E707" s="5" t="inlineStr">
        <is>
          <t>https://data.bls.gov/timeseries/CUSR0000SAS2RS</t>
        </is>
      </c>
    </row>
    <row r="708">
      <c r="A708" s="5" t="inlineStr">
        <is>
          <t>CUUR0000SAS</t>
        </is>
      </c>
      <c r="B708" t="inlineStr">
        <is>
          <t>SAS</t>
        </is>
      </c>
      <c r="C708" t="inlineStr">
        <is>
          <t>Services</t>
        </is>
      </c>
      <c r="D708" t="inlineStr">
        <is>
          <t>NSA</t>
        </is>
      </c>
      <c r="E708" s="5" t="inlineStr">
        <is>
          <t>https://data.bls.gov/timeseries/CUUR0000SAS</t>
        </is>
      </c>
    </row>
    <row r="709">
      <c r="A709" s="5" t="inlineStr">
        <is>
          <t>CUSR0000SAS</t>
        </is>
      </c>
      <c r="B709" t="inlineStr">
        <is>
          <t>SAS</t>
        </is>
      </c>
      <c r="C709" t="inlineStr">
        <is>
          <t>Services</t>
        </is>
      </c>
      <c r="D709" t="inlineStr">
        <is>
          <t>SA</t>
        </is>
      </c>
      <c r="E709" s="5" t="inlineStr">
        <is>
          <t>https://data.bls.gov/timeseries/CUSR0000SAS</t>
        </is>
      </c>
    </row>
    <row r="710">
      <c r="A710" s="5" t="inlineStr">
        <is>
          <t>CUUR0000SASLE</t>
        </is>
      </c>
      <c r="B710" t="inlineStr">
        <is>
          <t>SASLE</t>
        </is>
      </c>
      <c r="C710" t="inlineStr">
        <is>
          <t>Services less energy services</t>
        </is>
      </c>
      <c r="D710" t="inlineStr">
        <is>
          <t>NSA</t>
        </is>
      </c>
      <c r="E710" s="5" t="inlineStr">
        <is>
          <t>https://data.bls.gov/timeseries/CUUR0000SASLE</t>
        </is>
      </c>
    </row>
    <row r="711">
      <c r="A711" s="5" t="inlineStr">
        <is>
          <t>CUSR0000SASLE</t>
        </is>
      </c>
      <c r="B711" t="inlineStr">
        <is>
          <t>SASLE</t>
        </is>
      </c>
      <c r="C711" t="inlineStr">
        <is>
          <t>Services less energy services</t>
        </is>
      </c>
      <c r="D711" t="inlineStr">
        <is>
          <t>SA</t>
        </is>
      </c>
      <c r="E711" s="5" t="inlineStr">
        <is>
          <t>https://data.bls.gov/timeseries/CUSR0000SASLE</t>
        </is>
      </c>
    </row>
    <row r="712">
      <c r="A712" s="5" t="inlineStr">
        <is>
          <t>CUUR0000SASL5</t>
        </is>
      </c>
      <c r="B712" t="inlineStr">
        <is>
          <t>SASL5</t>
        </is>
      </c>
      <c r="C712" t="inlineStr">
        <is>
          <t>Services less medical care services</t>
        </is>
      </c>
      <c r="D712" t="inlineStr">
        <is>
          <t>NSA</t>
        </is>
      </c>
      <c r="E712" s="5" t="inlineStr">
        <is>
          <t>https://data.bls.gov/timeseries/CUUR0000SASL5</t>
        </is>
      </c>
    </row>
    <row r="713">
      <c r="A713" s="5" t="inlineStr">
        <is>
          <t>CUSR0000SASL5</t>
        </is>
      </c>
      <c r="B713" t="inlineStr">
        <is>
          <t>SASL5</t>
        </is>
      </c>
      <c r="C713" t="inlineStr">
        <is>
          <t>Services less medical care services</t>
        </is>
      </c>
      <c r="D713" t="inlineStr">
        <is>
          <t>SA</t>
        </is>
      </c>
      <c r="E713" s="5" t="inlineStr">
        <is>
          <t>https://data.bls.gov/timeseries/CUSR0000SASL5</t>
        </is>
      </c>
    </row>
    <row r="714">
      <c r="A714" s="5" t="inlineStr">
        <is>
          <t>CUUR0000SASL2RS</t>
        </is>
      </c>
      <c r="B714" t="inlineStr">
        <is>
          <t>SASL2RS</t>
        </is>
      </c>
      <c r="C714" t="inlineStr">
        <is>
          <t>Services less rent of shelter</t>
        </is>
      </c>
      <c r="D714" t="inlineStr">
        <is>
          <t>NSA</t>
        </is>
      </c>
      <c r="E714" s="5" t="inlineStr">
        <is>
          <t>https://data.bls.gov/timeseries/CUUR0000SASL2RS</t>
        </is>
      </c>
    </row>
    <row r="715">
      <c r="A715" s="5" t="inlineStr">
        <is>
          <t>CUSR0000SASL2RS</t>
        </is>
      </c>
      <c r="B715" t="inlineStr">
        <is>
          <t>SASL2RS</t>
        </is>
      </c>
      <c r="C715" t="inlineStr">
        <is>
          <t>Services less rent of shelter</t>
        </is>
      </c>
      <c r="D715" t="inlineStr">
        <is>
          <t>SA</t>
        </is>
      </c>
      <c r="E715" s="5" t="inlineStr">
        <is>
          <t>https://data.bls.gov/timeseries/CUSR0000SASL2RS</t>
        </is>
      </c>
    </row>
    <row r="716">
      <c r="A716" s="5" t="inlineStr">
        <is>
          <t>CUUR0000SATCLTB</t>
        </is>
      </c>
      <c r="B716" t="inlineStr">
        <is>
          <t>SATCLTB</t>
        </is>
      </c>
      <c r="C716" t="inlineStr">
        <is>
          <t>Transportation commodities less motor fuel</t>
        </is>
      </c>
      <c r="D716" t="inlineStr">
        <is>
          <t>NSA</t>
        </is>
      </c>
      <c r="E716" s="5" t="inlineStr">
        <is>
          <t>https://data.bls.gov/timeseries/CUUR0000SATCLTB</t>
        </is>
      </c>
    </row>
    <row r="717">
      <c r="A717" s="5" t="inlineStr">
        <is>
          <t>CUSR0000SATCLTB</t>
        </is>
      </c>
      <c r="B717" t="inlineStr">
        <is>
          <t>SATCLTB</t>
        </is>
      </c>
      <c r="C717" t="inlineStr">
        <is>
          <t>Transportation commodities less motor fuel</t>
        </is>
      </c>
      <c r="D717" t="inlineStr">
        <is>
          <t>SA</t>
        </is>
      </c>
      <c r="E717" s="5" t="inlineStr">
        <is>
          <t>https://data.bls.gov/timeseries/CUSR0000SATCLTB</t>
        </is>
      </c>
    </row>
    <row r="718">
      <c r="A718" s="5" t="inlineStr">
        <is>
          <t>CUUR0000SAS4</t>
        </is>
      </c>
      <c r="B718" t="inlineStr">
        <is>
          <t>SAS4</t>
        </is>
      </c>
      <c r="C718" t="inlineStr">
        <is>
          <t>Transportation services</t>
        </is>
      </c>
      <c r="D718" t="inlineStr">
        <is>
          <t>NSA</t>
        </is>
      </c>
      <c r="E718" s="5" t="inlineStr">
        <is>
          <t>https://data.bls.gov/timeseries/CUUR0000SAS4</t>
        </is>
      </c>
    </row>
    <row r="719">
      <c r="A719" s="5" t="inlineStr">
        <is>
          <t>CUSR0000SAS4</t>
        </is>
      </c>
      <c r="B719" t="inlineStr">
        <is>
          <t>SAS4</t>
        </is>
      </c>
      <c r="C719" t="inlineStr">
        <is>
          <t>Transportation services</t>
        </is>
      </c>
      <c r="D719" t="inlineStr">
        <is>
          <t>SA</t>
        </is>
      </c>
      <c r="E719" s="5" t="inlineStr">
        <is>
          <t>https://data.bls.gov/timeseries/CUSR0000SAS4</t>
        </is>
      </c>
    </row>
    <row r="720">
      <c r="A720" s="5" t="inlineStr">
        <is>
          <t>CUUR0000SAS24</t>
        </is>
      </c>
      <c r="B720" t="inlineStr">
        <is>
          <t>SAS24</t>
        </is>
      </c>
      <c r="C720" t="inlineStr">
        <is>
          <t>Utilities and public transportation</t>
        </is>
      </c>
      <c r="D720" t="inlineStr">
        <is>
          <t>NSA</t>
        </is>
      </c>
      <c r="E720" s="5" t="inlineStr">
        <is>
          <t>https://data.bls.gov/timeseries/CUUR0000SAS24</t>
        </is>
      </c>
    </row>
    <row r="721">
      <c r="A721" s="5" t="inlineStr">
        <is>
          <t>CUSR0000SAS24</t>
        </is>
      </c>
      <c r="B721" t="inlineStr">
        <is>
          <t>SAS24</t>
        </is>
      </c>
      <c r="C721" t="inlineStr">
        <is>
          <t>Utilities and public transportation</t>
        </is>
      </c>
      <c r="D721" t="inlineStr">
        <is>
          <t>SA</t>
        </is>
      </c>
      <c r="E721" s="5" t="inlineStr">
        <is>
          <t>https://data.bls.gov/timeseries/CUSR0000SAS24</t>
        </is>
      </c>
    </row>
    <row r="722">
      <c r="A722" s="5" t="inlineStr">
        <is>
          <t>CUUR0000SERAC</t>
        </is>
      </c>
      <c r="B722" t="inlineStr">
        <is>
          <t>SERAC</t>
        </is>
      </c>
      <c r="C722" t="inlineStr">
        <is>
          <t>Video and audio products</t>
        </is>
      </c>
      <c r="D722" t="inlineStr">
        <is>
          <t>NSA</t>
        </is>
      </c>
      <c r="E722" s="5" t="inlineStr">
        <is>
          <t>https://data.bls.gov/timeseries/CUUR0000SERAC</t>
        </is>
      </c>
    </row>
    <row r="723">
      <c r="A723" s="5" t="inlineStr">
        <is>
          <t>CUSR0000SERAC</t>
        </is>
      </c>
      <c r="B723" t="inlineStr">
        <is>
          <t>SERAC</t>
        </is>
      </c>
      <c r="C723" t="inlineStr">
        <is>
          <t>Video and audio products</t>
        </is>
      </c>
      <c r="D723" t="inlineStr">
        <is>
          <t>SA</t>
        </is>
      </c>
      <c r="E723" s="5" t="inlineStr">
        <is>
          <t>https://data.bls.gov/timeseries/CUSR0000SERAC</t>
        </is>
      </c>
    </row>
    <row r="724">
      <c r="A724" s="5" t="inlineStr">
        <is>
          <t>CUUR0000SERAS</t>
        </is>
      </c>
      <c r="B724" t="inlineStr">
        <is>
          <t>SERAS</t>
        </is>
      </c>
      <c r="C724" t="inlineStr">
        <is>
          <t>Video and audio services</t>
        </is>
      </c>
      <c r="D724" t="inlineStr">
        <is>
          <t>NSA</t>
        </is>
      </c>
      <c r="E724" s="5" t="inlineStr">
        <is>
          <t>https://data.bls.gov/timeseries/CUUR0000SERAS</t>
        </is>
      </c>
    </row>
    <row r="725">
      <c r="A725" s="5" t="inlineStr">
        <is>
          <t>CUSR0000SERAS</t>
        </is>
      </c>
      <c r="B725" t="inlineStr">
        <is>
          <t>SERAS</t>
        </is>
      </c>
      <c r="C725" t="inlineStr">
        <is>
          <t>Video and audio services</t>
        </is>
      </c>
      <c r="D725" t="inlineStr">
        <is>
          <t>SA</t>
        </is>
      </c>
      <c r="E725" s="5" t="inlineStr">
        <is>
          <t>https://data.bls.gov/timeseries/CUSR0000SERAS</t>
        </is>
      </c>
    </row>
    <row r="726">
      <c r="A726" s="5" t="inlineStr">
        <is>
          <t>CUUR0000SA0R</t>
        </is>
      </c>
      <c r="B726" t="inlineStr">
        <is>
          <t>SA0R</t>
        </is>
      </c>
      <c r="C726" t="inlineStr">
        <is>
          <t>Purchasing power of the consumer dollar</t>
        </is>
      </c>
      <c r="D726" t="inlineStr">
        <is>
          <t>NSA</t>
        </is>
      </c>
      <c r="E726" s="5" t="inlineStr">
        <is>
          <t>https://data.bls.gov/timeseries/CUUR0000SA0R</t>
        </is>
      </c>
    </row>
    <row r="727">
      <c r="A727" s="5" t="inlineStr">
        <is>
          <t>CUUR0000AA0R</t>
        </is>
      </c>
      <c r="B727" t="inlineStr">
        <is>
          <t>AA0R</t>
        </is>
      </c>
      <c r="C727" t="inlineStr">
        <is>
          <t>Purchasing power of the consumer dollar - old base</t>
        </is>
      </c>
      <c r="D727" t="inlineStr">
        <is>
          <t>NSA</t>
        </is>
      </c>
      <c r="E727" s="5" t="inlineStr">
        <is>
          <t>https://data.bls.gov/timeseries/CUUR0000AA0R</t>
        </is>
      </c>
    </row>
  </sheetData>
  <autoFilter ref="A1:E727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  <hyperlink xmlns:r="http://schemas.openxmlformats.org/officeDocument/2006/relationships" ref="A306" r:id="rId609"/>
    <hyperlink xmlns:r="http://schemas.openxmlformats.org/officeDocument/2006/relationships" ref="E306" r:id="rId610"/>
    <hyperlink xmlns:r="http://schemas.openxmlformats.org/officeDocument/2006/relationships" ref="A307" r:id="rId611"/>
    <hyperlink xmlns:r="http://schemas.openxmlformats.org/officeDocument/2006/relationships" ref="E307" r:id="rId612"/>
    <hyperlink xmlns:r="http://schemas.openxmlformats.org/officeDocument/2006/relationships" ref="A308" r:id="rId613"/>
    <hyperlink xmlns:r="http://schemas.openxmlformats.org/officeDocument/2006/relationships" ref="E308" r:id="rId614"/>
    <hyperlink xmlns:r="http://schemas.openxmlformats.org/officeDocument/2006/relationships" ref="A309" r:id="rId615"/>
    <hyperlink xmlns:r="http://schemas.openxmlformats.org/officeDocument/2006/relationships" ref="E309" r:id="rId616"/>
    <hyperlink xmlns:r="http://schemas.openxmlformats.org/officeDocument/2006/relationships" ref="A310" r:id="rId617"/>
    <hyperlink xmlns:r="http://schemas.openxmlformats.org/officeDocument/2006/relationships" ref="E310" r:id="rId618"/>
    <hyperlink xmlns:r="http://schemas.openxmlformats.org/officeDocument/2006/relationships" ref="A311" r:id="rId619"/>
    <hyperlink xmlns:r="http://schemas.openxmlformats.org/officeDocument/2006/relationships" ref="E311" r:id="rId620"/>
    <hyperlink xmlns:r="http://schemas.openxmlformats.org/officeDocument/2006/relationships" ref="A312" r:id="rId621"/>
    <hyperlink xmlns:r="http://schemas.openxmlformats.org/officeDocument/2006/relationships" ref="E312" r:id="rId622"/>
    <hyperlink xmlns:r="http://schemas.openxmlformats.org/officeDocument/2006/relationships" ref="A313" r:id="rId623"/>
    <hyperlink xmlns:r="http://schemas.openxmlformats.org/officeDocument/2006/relationships" ref="E313" r:id="rId624"/>
    <hyperlink xmlns:r="http://schemas.openxmlformats.org/officeDocument/2006/relationships" ref="A314" r:id="rId625"/>
    <hyperlink xmlns:r="http://schemas.openxmlformats.org/officeDocument/2006/relationships" ref="E314" r:id="rId626"/>
    <hyperlink xmlns:r="http://schemas.openxmlformats.org/officeDocument/2006/relationships" ref="A315" r:id="rId627"/>
    <hyperlink xmlns:r="http://schemas.openxmlformats.org/officeDocument/2006/relationships" ref="E315" r:id="rId628"/>
    <hyperlink xmlns:r="http://schemas.openxmlformats.org/officeDocument/2006/relationships" ref="A316" r:id="rId629"/>
    <hyperlink xmlns:r="http://schemas.openxmlformats.org/officeDocument/2006/relationships" ref="E316" r:id="rId630"/>
    <hyperlink xmlns:r="http://schemas.openxmlformats.org/officeDocument/2006/relationships" ref="A317" r:id="rId631"/>
    <hyperlink xmlns:r="http://schemas.openxmlformats.org/officeDocument/2006/relationships" ref="E317" r:id="rId632"/>
    <hyperlink xmlns:r="http://schemas.openxmlformats.org/officeDocument/2006/relationships" ref="A318" r:id="rId633"/>
    <hyperlink xmlns:r="http://schemas.openxmlformats.org/officeDocument/2006/relationships" ref="E318" r:id="rId634"/>
    <hyperlink xmlns:r="http://schemas.openxmlformats.org/officeDocument/2006/relationships" ref="A319" r:id="rId635"/>
    <hyperlink xmlns:r="http://schemas.openxmlformats.org/officeDocument/2006/relationships" ref="E319" r:id="rId636"/>
    <hyperlink xmlns:r="http://schemas.openxmlformats.org/officeDocument/2006/relationships" ref="A320" r:id="rId637"/>
    <hyperlink xmlns:r="http://schemas.openxmlformats.org/officeDocument/2006/relationships" ref="E320" r:id="rId638"/>
    <hyperlink xmlns:r="http://schemas.openxmlformats.org/officeDocument/2006/relationships" ref="A321" r:id="rId639"/>
    <hyperlink xmlns:r="http://schemas.openxmlformats.org/officeDocument/2006/relationships" ref="E321" r:id="rId640"/>
    <hyperlink xmlns:r="http://schemas.openxmlformats.org/officeDocument/2006/relationships" ref="A322" r:id="rId641"/>
    <hyperlink xmlns:r="http://schemas.openxmlformats.org/officeDocument/2006/relationships" ref="E322" r:id="rId642"/>
    <hyperlink xmlns:r="http://schemas.openxmlformats.org/officeDocument/2006/relationships" ref="A323" r:id="rId643"/>
    <hyperlink xmlns:r="http://schemas.openxmlformats.org/officeDocument/2006/relationships" ref="E323" r:id="rId644"/>
    <hyperlink xmlns:r="http://schemas.openxmlformats.org/officeDocument/2006/relationships" ref="A324" r:id="rId645"/>
    <hyperlink xmlns:r="http://schemas.openxmlformats.org/officeDocument/2006/relationships" ref="E324" r:id="rId646"/>
    <hyperlink xmlns:r="http://schemas.openxmlformats.org/officeDocument/2006/relationships" ref="A325" r:id="rId647"/>
    <hyperlink xmlns:r="http://schemas.openxmlformats.org/officeDocument/2006/relationships" ref="E325" r:id="rId648"/>
    <hyperlink xmlns:r="http://schemas.openxmlformats.org/officeDocument/2006/relationships" ref="A326" r:id="rId649"/>
    <hyperlink xmlns:r="http://schemas.openxmlformats.org/officeDocument/2006/relationships" ref="E326" r:id="rId650"/>
    <hyperlink xmlns:r="http://schemas.openxmlformats.org/officeDocument/2006/relationships" ref="A327" r:id="rId651"/>
    <hyperlink xmlns:r="http://schemas.openxmlformats.org/officeDocument/2006/relationships" ref="E327" r:id="rId652"/>
    <hyperlink xmlns:r="http://schemas.openxmlformats.org/officeDocument/2006/relationships" ref="A328" r:id="rId653"/>
    <hyperlink xmlns:r="http://schemas.openxmlformats.org/officeDocument/2006/relationships" ref="E328" r:id="rId654"/>
    <hyperlink xmlns:r="http://schemas.openxmlformats.org/officeDocument/2006/relationships" ref="A329" r:id="rId655"/>
    <hyperlink xmlns:r="http://schemas.openxmlformats.org/officeDocument/2006/relationships" ref="E329" r:id="rId656"/>
    <hyperlink xmlns:r="http://schemas.openxmlformats.org/officeDocument/2006/relationships" ref="A330" r:id="rId657"/>
    <hyperlink xmlns:r="http://schemas.openxmlformats.org/officeDocument/2006/relationships" ref="E330" r:id="rId658"/>
    <hyperlink xmlns:r="http://schemas.openxmlformats.org/officeDocument/2006/relationships" ref="A331" r:id="rId659"/>
    <hyperlink xmlns:r="http://schemas.openxmlformats.org/officeDocument/2006/relationships" ref="E331" r:id="rId660"/>
    <hyperlink xmlns:r="http://schemas.openxmlformats.org/officeDocument/2006/relationships" ref="A332" r:id="rId661"/>
    <hyperlink xmlns:r="http://schemas.openxmlformats.org/officeDocument/2006/relationships" ref="E332" r:id="rId662"/>
    <hyperlink xmlns:r="http://schemas.openxmlformats.org/officeDocument/2006/relationships" ref="A333" r:id="rId663"/>
    <hyperlink xmlns:r="http://schemas.openxmlformats.org/officeDocument/2006/relationships" ref="E333" r:id="rId664"/>
    <hyperlink xmlns:r="http://schemas.openxmlformats.org/officeDocument/2006/relationships" ref="A334" r:id="rId665"/>
    <hyperlink xmlns:r="http://schemas.openxmlformats.org/officeDocument/2006/relationships" ref="E334" r:id="rId666"/>
    <hyperlink xmlns:r="http://schemas.openxmlformats.org/officeDocument/2006/relationships" ref="A335" r:id="rId667"/>
    <hyperlink xmlns:r="http://schemas.openxmlformats.org/officeDocument/2006/relationships" ref="E335" r:id="rId668"/>
    <hyperlink xmlns:r="http://schemas.openxmlformats.org/officeDocument/2006/relationships" ref="A336" r:id="rId669"/>
    <hyperlink xmlns:r="http://schemas.openxmlformats.org/officeDocument/2006/relationships" ref="E336" r:id="rId670"/>
    <hyperlink xmlns:r="http://schemas.openxmlformats.org/officeDocument/2006/relationships" ref="A337" r:id="rId671"/>
    <hyperlink xmlns:r="http://schemas.openxmlformats.org/officeDocument/2006/relationships" ref="E337" r:id="rId672"/>
    <hyperlink xmlns:r="http://schemas.openxmlformats.org/officeDocument/2006/relationships" ref="A338" r:id="rId673"/>
    <hyperlink xmlns:r="http://schemas.openxmlformats.org/officeDocument/2006/relationships" ref="E338" r:id="rId674"/>
    <hyperlink xmlns:r="http://schemas.openxmlformats.org/officeDocument/2006/relationships" ref="A339" r:id="rId675"/>
    <hyperlink xmlns:r="http://schemas.openxmlformats.org/officeDocument/2006/relationships" ref="E339" r:id="rId676"/>
    <hyperlink xmlns:r="http://schemas.openxmlformats.org/officeDocument/2006/relationships" ref="A340" r:id="rId677"/>
    <hyperlink xmlns:r="http://schemas.openxmlformats.org/officeDocument/2006/relationships" ref="E340" r:id="rId678"/>
    <hyperlink xmlns:r="http://schemas.openxmlformats.org/officeDocument/2006/relationships" ref="A341" r:id="rId679"/>
    <hyperlink xmlns:r="http://schemas.openxmlformats.org/officeDocument/2006/relationships" ref="E341" r:id="rId680"/>
    <hyperlink xmlns:r="http://schemas.openxmlformats.org/officeDocument/2006/relationships" ref="A342" r:id="rId681"/>
    <hyperlink xmlns:r="http://schemas.openxmlformats.org/officeDocument/2006/relationships" ref="E342" r:id="rId682"/>
    <hyperlink xmlns:r="http://schemas.openxmlformats.org/officeDocument/2006/relationships" ref="A343" r:id="rId683"/>
    <hyperlink xmlns:r="http://schemas.openxmlformats.org/officeDocument/2006/relationships" ref="E343" r:id="rId684"/>
    <hyperlink xmlns:r="http://schemas.openxmlformats.org/officeDocument/2006/relationships" ref="A344" r:id="rId685"/>
    <hyperlink xmlns:r="http://schemas.openxmlformats.org/officeDocument/2006/relationships" ref="E344" r:id="rId686"/>
    <hyperlink xmlns:r="http://schemas.openxmlformats.org/officeDocument/2006/relationships" ref="A345" r:id="rId687"/>
    <hyperlink xmlns:r="http://schemas.openxmlformats.org/officeDocument/2006/relationships" ref="E345" r:id="rId688"/>
    <hyperlink xmlns:r="http://schemas.openxmlformats.org/officeDocument/2006/relationships" ref="A346" r:id="rId689"/>
    <hyperlink xmlns:r="http://schemas.openxmlformats.org/officeDocument/2006/relationships" ref="E346" r:id="rId690"/>
    <hyperlink xmlns:r="http://schemas.openxmlformats.org/officeDocument/2006/relationships" ref="A347" r:id="rId691"/>
    <hyperlink xmlns:r="http://schemas.openxmlformats.org/officeDocument/2006/relationships" ref="E347" r:id="rId692"/>
    <hyperlink xmlns:r="http://schemas.openxmlformats.org/officeDocument/2006/relationships" ref="A348" r:id="rId693"/>
    <hyperlink xmlns:r="http://schemas.openxmlformats.org/officeDocument/2006/relationships" ref="E348" r:id="rId694"/>
    <hyperlink xmlns:r="http://schemas.openxmlformats.org/officeDocument/2006/relationships" ref="A349" r:id="rId695"/>
    <hyperlink xmlns:r="http://schemas.openxmlformats.org/officeDocument/2006/relationships" ref="E349" r:id="rId696"/>
    <hyperlink xmlns:r="http://schemas.openxmlformats.org/officeDocument/2006/relationships" ref="A350" r:id="rId697"/>
    <hyperlink xmlns:r="http://schemas.openxmlformats.org/officeDocument/2006/relationships" ref="E350" r:id="rId698"/>
    <hyperlink xmlns:r="http://schemas.openxmlformats.org/officeDocument/2006/relationships" ref="A351" r:id="rId699"/>
    <hyperlink xmlns:r="http://schemas.openxmlformats.org/officeDocument/2006/relationships" ref="E351" r:id="rId700"/>
    <hyperlink xmlns:r="http://schemas.openxmlformats.org/officeDocument/2006/relationships" ref="A352" r:id="rId701"/>
    <hyperlink xmlns:r="http://schemas.openxmlformats.org/officeDocument/2006/relationships" ref="E352" r:id="rId702"/>
    <hyperlink xmlns:r="http://schemas.openxmlformats.org/officeDocument/2006/relationships" ref="A353" r:id="rId703"/>
    <hyperlink xmlns:r="http://schemas.openxmlformats.org/officeDocument/2006/relationships" ref="E353" r:id="rId704"/>
    <hyperlink xmlns:r="http://schemas.openxmlformats.org/officeDocument/2006/relationships" ref="A354" r:id="rId705"/>
    <hyperlink xmlns:r="http://schemas.openxmlformats.org/officeDocument/2006/relationships" ref="E354" r:id="rId706"/>
    <hyperlink xmlns:r="http://schemas.openxmlformats.org/officeDocument/2006/relationships" ref="A355" r:id="rId707"/>
    <hyperlink xmlns:r="http://schemas.openxmlformats.org/officeDocument/2006/relationships" ref="E355" r:id="rId708"/>
    <hyperlink xmlns:r="http://schemas.openxmlformats.org/officeDocument/2006/relationships" ref="A356" r:id="rId709"/>
    <hyperlink xmlns:r="http://schemas.openxmlformats.org/officeDocument/2006/relationships" ref="E356" r:id="rId710"/>
    <hyperlink xmlns:r="http://schemas.openxmlformats.org/officeDocument/2006/relationships" ref="A357" r:id="rId711"/>
    <hyperlink xmlns:r="http://schemas.openxmlformats.org/officeDocument/2006/relationships" ref="E357" r:id="rId712"/>
    <hyperlink xmlns:r="http://schemas.openxmlformats.org/officeDocument/2006/relationships" ref="A358" r:id="rId713"/>
    <hyperlink xmlns:r="http://schemas.openxmlformats.org/officeDocument/2006/relationships" ref="E358" r:id="rId714"/>
    <hyperlink xmlns:r="http://schemas.openxmlformats.org/officeDocument/2006/relationships" ref="A359" r:id="rId715"/>
    <hyperlink xmlns:r="http://schemas.openxmlformats.org/officeDocument/2006/relationships" ref="E359" r:id="rId716"/>
    <hyperlink xmlns:r="http://schemas.openxmlformats.org/officeDocument/2006/relationships" ref="A360" r:id="rId717"/>
    <hyperlink xmlns:r="http://schemas.openxmlformats.org/officeDocument/2006/relationships" ref="E360" r:id="rId718"/>
    <hyperlink xmlns:r="http://schemas.openxmlformats.org/officeDocument/2006/relationships" ref="A361" r:id="rId719"/>
    <hyperlink xmlns:r="http://schemas.openxmlformats.org/officeDocument/2006/relationships" ref="E361" r:id="rId720"/>
    <hyperlink xmlns:r="http://schemas.openxmlformats.org/officeDocument/2006/relationships" ref="A362" r:id="rId721"/>
    <hyperlink xmlns:r="http://schemas.openxmlformats.org/officeDocument/2006/relationships" ref="E362" r:id="rId722"/>
    <hyperlink xmlns:r="http://schemas.openxmlformats.org/officeDocument/2006/relationships" ref="A363" r:id="rId723"/>
    <hyperlink xmlns:r="http://schemas.openxmlformats.org/officeDocument/2006/relationships" ref="E363" r:id="rId724"/>
    <hyperlink xmlns:r="http://schemas.openxmlformats.org/officeDocument/2006/relationships" ref="A364" r:id="rId725"/>
    <hyperlink xmlns:r="http://schemas.openxmlformats.org/officeDocument/2006/relationships" ref="E364" r:id="rId726"/>
    <hyperlink xmlns:r="http://schemas.openxmlformats.org/officeDocument/2006/relationships" ref="A365" r:id="rId727"/>
    <hyperlink xmlns:r="http://schemas.openxmlformats.org/officeDocument/2006/relationships" ref="E365" r:id="rId728"/>
    <hyperlink xmlns:r="http://schemas.openxmlformats.org/officeDocument/2006/relationships" ref="A366" r:id="rId729"/>
    <hyperlink xmlns:r="http://schemas.openxmlformats.org/officeDocument/2006/relationships" ref="E366" r:id="rId730"/>
    <hyperlink xmlns:r="http://schemas.openxmlformats.org/officeDocument/2006/relationships" ref="A367" r:id="rId731"/>
    <hyperlink xmlns:r="http://schemas.openxmlformats.org/officeDocument/2006/relationships" ref="E367" r:id="rId732"/>
    <hyperlink xmlns:r="http://schemas.openxmlformats.org/officeDocument/2006/relationships" ref="A368" r:id="rId733"/>
    <hyperlink xmlns:r="http://schemas.openxmlformats.org/officeDocument/2006/relationships" ref="E368" r:id="rId734"/>
    <hyperlink xmlns:r="http://schemas.openxmlformats.org/officeDocument/2006/relationships" ref="A369" r:id="rId735"/>
    <hyperlink xmlns:r="http://schemas.openxmlformats.org/officeDocument/2006/relationships" ref="E369" r:id="rId736"/>
    <hyperlink xmlns:r="http://schemas.openxmlformats.org/officeDocument/2006/relationships" ref="A370" r:id="rId737"/>
    <hyperlink xmlns:r="http://schemas.openxmlformats.org/officeDocument/2006/relationships" ref="E370" r:id="rId738"/>
    <hyperlink xmlns:r="http://schemas.openxmlformats.org/officeDocument/2006/relationships" ref="A371" r:id="rId739"/>
    <hyperlink xmlns:r="http://schemas.openxmlformats.org/officeDocument/2006/relationships" ref="E371" r:id="rId740"/>
    <hyperlink xmlns:r="http://schemas.openxmlformats.org/officeDocument/2006/relationships" ref="A372" r:id="rId741"/>
    <hyperlink xmlns:r="http://schemas.openxmlformats.org/officeDocument/2006/relationships" ref="E372" r:id="rId742"/>
    <hyperlink xmlns:r="http://schemas.openxmlformats.org/officeDocument/2006/relationships" ref="A373" r:id="rId743"/>
    <hyperlink xmlns:r="http://schemas.openxmlformats.org/officeDocument/2006/relationships" ref="E373" r:id="rId744"/>
    <hyperlink xmlns:r="http://schemas.openxmlformats.org/officeDocument/2006/relationships" ref="A374" r:id="rId745"/>
    <hyperlink xmlns:r="http://schemas.openxmlformats.org/officeDocument/2006/relationships" ref="E374" r:id="rId746"/>
    <hyperlink xmlns:r="http://schemas.openxmlformats.org/officeDocument/2006/relationships" ref="A375" r:id="rId747"/>
    <hyperlink xmlns:r="http://schemas.openxmlformats.org/officeDocument/2006/relationships" ref="E375" r:id="rId748"/>
    <hyperlink xmlns:r="http://schemas.openxmlformats.org/officeDocument/2006/relationships" ref="A376" r:id="rId749"/>
    <hyperlink xmlns:r="http://schemas.openxmlformats.org/officeDocument/2006/relationships" ref="E376" r:id="rId750"/>
    <hyperlink xmlns:r="http://schemas.openxmlformats.org/officeDocument/2006/relationships" ref="A377" r:id="rId751"/>
    <hyperlink xmlns:r="http://schemas.openxmlformats.org/officeDocument/2006/relationships" ref="E377" r:id="rId752"/>
    <hyperlink xmlns:r="http://schemas.openxmlformats.org/officeDocument/2006/relationships" ref="A378" r:id="rId753"/>
    <hyperlink xmlns:r="http://schemas.openxmlformats.org/officeDocument/2006/relationships" ref="E378" r:id="rId754"/>
    <hyperlink xmlns:r="http://schemas.openxmlformats.org/officeDocument/2006/relationships" ref="A379" r:id="rId755"/>
    <hyperlink xmlns:r="http://schemas.openxmlformats.org/officeDocument/2006/relationships" ref="E379" r:id="rId756"/>
    <hyperlink xmlns:r="http://schemas.openxmlformats.org/officeDocument/2006/relationships" ref="A380" r:id="rId757"/>
    <hyperlink xmlns:r="http://schemas.openxmlformats.org/officeDocument/2006/relationships" ref="E380" r:id="rId758"/>
    <hyperlink xmlns:r="http://schemas.openxmlformats.org/officeDocument/2006/relationships" ref="A381" r:id="rId759"/>
    <hyperlink xmlns:r="http://schemas.openxmlformats.org/officeDocument/2006/relationships" ref="E381" r:id="rId760"/>
    <hyperlink xmlns:r="http://schemas.openxmlformats.org/officeDocument/2006/relationships" ref="A382" r:id="rId761"/>
    <hyperlink xmlns:r="http://schemas.openxmlformats.org/officeDocument/2006/relationships" ref="E382" r:id="rId762"/>
    <hyperlink xmlns:r="http://schemas.openxmlformats.org/officeDocument/2006/relationships" ref="A383" r:id="rId763"/>
    <hyperlink xmlns:r="http://schemas.openxmlformats.org/officeDocument/2006/relationships" ref="E383" r:id="rId764"/>
    <hyperlink xmlns:r="http://schemas.openxmlformats.org/officeDocument/2006/relationships" ref="A384" r:id="rId765"/>
    <hyperlink xmlns:r="http://schemas.openxmlformats.org/officeDocument/2006/relationships" ref="E384" r:id="rId766"/>
    <hyperlink xmlns:r="http://schemas.openxmlformats.org/officeDocument/2006/relationships" ref="A385" r:id="rId767"/>
    <hyperlink xmlns:r="http://schemas.openxmlformats.org/officeDocument/2006/relationships" ref="E385" r:id="rId768"/>
    <hyperlink xmlns:r="http://schemas.openxmlformats.org/officeDocument/2006/relationships" ref="A386" r:id="rId769"/>
    <hyperlink xmlns:r="http://schemas.openxmlformats.org/officeDocument/2006/relationships" ref="E386" r:id="rId770"/>
    <hyperlink xmlns:r="http://schemas.openxmlformats.org/officeDocument/2006/relationships" ref="A387" r:id="rId771"/>
    <hyperlink xmlns:r="http://schemas.openxmlformats.org/officeDocument/2006/relationships" ref="E387" r:id="rId772"/>
    <hyperlink xmlns:r="http://schemas.openxmlformats.org/officeDocument/2006/relationships" ref="A388" r:id="rId773"/>
    <hyperlink xmlns:r="http://schemas.openxmlformats.org/officeDocument/2006/relationships" ref="E388" r:id="rId774"/>
    <hyperlink xmlns:r="http://schemas.openxmlformats.org/officeDocument/2006/relationships" ref="A389" r:id="rId775"/>
    <hyperlink xmlns:r="http://schemas.openxmlformats.org/officeDocument/2006/relationships" ref="E389" r:id="rId776"/>
    <hyperlink xmlns:r="http://schemas.openxmlformats.org/officeDocument/2006/relationships" ref="A390" r:id="rId777"/>
    <hyperlink xmlns:r="http://schemas.openxmlformats.org/officeDocument/2006/relationships" ref="E390" r:id="rId778"/>
    <hyperlink xmlns:r="http://schemas.openxmlformats.org/officeDocument/2006/relationships" ref="A391" r:id="rId779"/>
    <hyperlink xmlns:r="http://schemas.openxmlformats.org/officeDocument/2006/relationships" ref="E391" r:id="rId780"/>
    <hyperlink xmlns:r="http://schemas.openxmlformats.org/officeDocument/2006/relationships" ref="A392" r:id="rId781"/>
    <hyperlink xmlns:r="http://schemas.openxmlformats.org/officeDocument/2006/relationships" ref="E392" r:id="rId782"/>
    <hyperlink xmlns:r="http://schemas.openxmlformats.org/officeDocument/2006/relationships" ref="A393" r:id="rId783"/>
    <hyperlink xmlns:r="http://schemas.openxmlformats.org/officeDocument/2006/relationships" ref="E393" r:id="rId784"/>
    <hyperlink xmlns:r="http://schemas.openxmlformats.org/officeDocument/2006/relationships" ref="A394" r:id="rId785"/>
    <hyperlink xmlns:r="http://schemas.openxmlformats.org/officeDocument/2006/relationships" ref="E394" r:id="rId786"/>
    <hyperlink xmlns:r="http://schemas.openxmlformats.org/officeDocument/2006/relationships" ref="A395" r:id="rId787"/>
    <hyperlink xmlns:r="http://schemas.openxmlformats.org/officeDocument/2006/relationships" ref="E395" r:id="rId788"/>
    <hyperlink xmlns:r="http://schemas.openxmlformats.org/officeDocument/2006/relationships" ref="A396" r:id="rId789"/>
    <hyperlink xmlns:r="http://schemas.openxmlformats.org/officeDocument/2006/relationships" ref="E396" r:id="rId790"/>
    <hyperlink xmlns:r="http://schemas.openxmlformats.org/officeDocument/2006/relationships" ref="A397" r:id="rId791"/>
    <hyperlink xmlns:r="http://schemas.openxmlformats.org/officeDocument/2006/relationships" ref="E397" r:id="rId792"/>
    <hyperlink xmlns:r="http://schemas.openxmlformats.org/officeDocument/2006/relationships" ref="A398" r:id="rId793"/>
    <hyperlink xmlns:r="http://schemas.openxmlformats.org/officeDocument/2006/relationships" ref="E398" r:id="rId794"/>
    <hyperlink xmlns:r="http://schemas.openxmlformats.org/officeDocument/2006/relationships" ref="A399" r:id="rId795"/>
    <hyperlink xmlns:r="http://schemas.openxmlformats.org/officeDocument/2006/relationships" ref="E399" r:id="rId796"/>
    <hyperlink xmlns:r="http://schemas.openxmlformats.org/officeDocument/2006/relationships" ref="A400" r:id="rId797"/>
    <hyperlink xmlns:r="http://schemas.openxmlformats.org/officeDocument/2006/relationships" ref="E400" r:id="rId798"/>
    <hyperlink xmlns:r="http://schemas.openxmlformats.org/officeDocument/2006/relationships" ref="A401" r:id="rId799"/>
    <hyperlink xmlns:r="http://schemas.openxmlformats.org/officeDocument/2006/relationships" ref="E401" r:id="rId800"/>
    <hyperlink xmlns:r="http://schemas.openxmlformats.org/officeDocument/2006/relationships" ref="A402" r:id="rId801"/>
    <hyperlink xmlns:r="http://schemas.openxmlformats.org/officeDocument/2006/relationships" ref="E402" r:id="rId802"/>
    <hyperlink xmlns:r="http://schemas.openxmlformats.org/officeDocument/2006/relationships" ref="A403" r:id="rId803"/>
    <hyperlink xmlns:r="http://schemas.openxmlformats.org/officeDocument/2006/relationships" ref="E403" r:id="rId804"/>
    <hyperlink xmlns:r="http://schemas.openxmlformats.org/officeDocument/2006/relationships" ref="A404" r:id="rId805"/>
    <hyperlink xmlns:r="http://schemas.openxmlformats.org/officeDocument/2006/relationships" ref="E404" r:id="rId806"/>
    <hyperlink xmlns:r="http://schemas.openxmlformats.org/officeDocument/2006/relationships" ref="A405" r:id="rId807"/>
    <hyperlink xmlns:r="http://schemas.openxmlformats.org/officeDocument/2006/relationships" ref="E405" r:id="rId808"/>
    <hyperlink xmlns:r="http://schemas.openxmlformats.org/officeDocument/2006/relationships" ref="A406" r:id="rId809"/>
    <hyperlink xmlns:r="http://schemas.openxmlformats.org/officeDocument/2006/relationships" ref="E406" r:id="rId810"/>
    <hyperlink xmlns:r="http://schemas.openxmlformats.org/officeDocument/2006/relationships" ref="A407" r:id="rId811"/>
    <hyperlink xmlns:r="http://schemas.openxmlformats.org/officeDocument/2006/relationships" ref="E407" r:id="rId812"/>
    <hyperlink xmlns:r="http://schemas.openxmlformats.org/officeDocument/2006/relationships" ref="A408" r:id="rId813"/>
    <hyperlink xmlns:r="http://schemas.openxmlformats.org/officeDocument/2006/relationships" ref="E408" r:id="rId814"/>
    <hyperlink xmlns:r="http://schemas.openxmlformats.org/officeDocument/2006/relationships" ref="A409" r:id="rId815"/>
    <hyperlink xmlns:r="http://schemas.openxmlformats.org/officeDocument/2006/relationships" ref="E409" r:id="rId816"/>
    <hyperlink xmlns:r="http://schemas.openxmlformats.org/officeDocument/2006/relationships" ref="A410" r:id="rId817"/>
    <hyperlink xmlns:r="http://schemas.openxmlformats.org/officeDocument/2006/relationships" ref="E410" r:id="rId818"/>
    <hyperlink xmlns:r="http://schemas.openxmlformats.org/officeDocument/2006/relationships" ref="A411" r:id="rId819"/>
    <hyperlink xmlns:r="http://schemas.openxmlformats.org/officeDocument/2006/relationships" ref="E411" r:id="rId820"/>
    <hyperlink xmlns:r="http://schemas.openxmlformats.org/officeDocument/2006/relationships" ref="A412" r:id="rId821"/>
    <hyperlink xmlns:r="http://schemas.openxmlformats.org/officeDocument/2006/relationships" ref="E412" r:id="rId822"/>
    <hyperlink xmlns:r="http://schemas.openxmlformats.org/officeDocument/2006/relationships" ref="A413" r:id="rId823"/>
    <hyperlink xmlns:r="http://schemas.openxmlformats.org/officeDocument/2006/relationships" ref="E413" r:id="rId824"/>
    <hyperlink xmlns:r="http://schemas.openxmlformats.org/officeDocument/2006/relationships" ref="A414" r:id="rId825"/>
    <hyperlink xmlns:r="http://schemas.openxmlformats.org/officeDocument/2006/relationships" ref="E414" r:id="rId826"/>
    <hyperlink xmlns:r="http://schemas.openxmlformats.org/officeDocument/2006/relationships" ref="A415" r:id="rId827"/>
    <hyperlink xmlns:r="http://schemas.openxmlformats.org/officeDocument/2006/relationships" ref="E415" r:id="rId828"/>
    <hyperlink xmlns:r="http://schemas.openxmlformats.org/officeDocument/2006/relationships" ref="A416" r:id="rId829"/>
    <hyperlink xmlns:r="http://schemas.openxmlformats.org/officeDocument/2006/relationships" ref="E416" r:id="rId830"/>
    <hyperlink xmlns:r="http://schemas.openxmlformats.org/officeDocument/2006/relationships" ref="A417" r:id="rId831"/>
    <hyperlink xmlns:r="http://schemas.openxmlformats.org/officeDocument/2006/relationships" ref="E417" r:id="rId832"/>
    <hyperlink xmlns:r="http://schemas.openxmlformats.org/officeDocument/2006/relationships" ref="A418" r:id="rId833"/>
    <hyperlink xmlns:r="http://schemas.openxmlformats.org/officeDocument/2006/relationships" ref="E418" r:id="rId834"/>
    <hyperlink xmlns:r="http://schemas.openxmlformats.org/officeDocument/2006/relationships" ref="A419" r:id="rId835"/>
    <hyperlink xmlns:r="http://schemas.openxmlformats.org/officeDocument/2006/relationships" ref="E419" r:id="rId836"/>
    <hyperlink xmlns:r="http://schemas.openxmlformats.org/officeDocument/2006/relationships" ref="A420" r:id="rId837"/>
    <hyperlink xmlns:r="http://schemas.openxmlformats.org/officeDocument/2006/relationships" ref="E420" r:id="rId838"/>
    <hyperlink xmlns:r="http://schemas.openxmlformats.org/officeDocument/2006/relationships" ref="A421" r:id="rId839"/>
    <hyperlink xmlns:r="http://schemas.openxmlformats.org/officeDocument/2006/relationships" ref="E421" r:id="rId840"/>
    <hyperlink xmlns:r="http://schemas.openxmlformats.org/officeDocument/2006/relationships" ref="A422" r:id="rId841"/>
    <hyperlink xmlns:r="http://schemas.openxmlformats.org/officeDocument/2006/relationships" ref="E422" r:id="rId842"/>
    <hyperlink xmlns:r="http://schemas.openxmlformats.org/officeDocument/2006/relationships" ref="A423" r:id="rId843"/>
    <hyperlink xmlns:r="http://schemas.openxmlformats.org/officeDocument/2006/relationships" ref="E423" r:id="rId844"/>
    <hyperlink xmlns:r="http://schemas.openxmlformats.org/officeDocument/2006/relationships" ref="A424" r:id="rId845"/>
    <hyperlink xmlns:r="http://schemas.openxmlformats.org/officeDocument/2006/relationships" ref="E424" r:id="rId846"/>
    <hyperlink xmlns:r="http://schemas.openxmlformats.org/officeDocument/2006/relationships" ref="A425" r:id="rId847"/>
    <hyperlink xmlns:r="http://schemas.openxmlformats.org/officeDocument/2006/relationships" ref="E425" r:id="rId848"/>
    <hyperlink xmlns:r="http://schemas.openxmlformats.org/officeDocument/2006/relationships" ref="A426" r:id="rId849"/>
    <hyperlink xmlns:r="http://schemas.openxmlformats.org/officeDocument/2006/relationships" ref="E426" r:id="rId850"/>
    <hyperlink xmlns:r="http://schemas.openxmlformats.org/officeDocument/2006/relationships" ref="A427" r:id="rId851"/>
    <hyperlink xmlns:r="http://schemas.openxmlformats.org/officeDocument/2006/relationships" ref="E427" r:id="rId852"/>
    <hyperlink xmlns:r="http://schemas.openxmlformats.org/officeDocument/2006/relationships" ref="A428" r:id="rId853"/>
    <hyperlink xmlns:r="http://schemas.openxmlformats.org/officeDocument/2006/relationships" ref="E428" r:id="rId854"/>
    <hyperlink xmlns:r="http://schemas.openxmlformats.org/officeDocument/2006/relationships" ref="A429" r:id="rId855"/>
    <hyperlink xmlns:r="http://schemas.openxmlformats.org/officeDocument/2006/relationships" ref="E429" r:id="rId856"/>
    <hyperlink xmlns:r="http://schemas.openxmlformats.org/officeDocument/2006/relationships" ref="A430" r:id="rId857"/>
    <hyperlink xmlns:r="http://schemas.openxmlformats.org/officeDocument/2006/relationships" ref="E430" r:id="rId858"/>
    <hyperlink xmlns:r="http://schemas.openxmlformats.org/officeDocument/2006/relationships" ref="A431" r:id="rId859"/>
    <hyperlink xmlns:r="http://schemas.openxmlformats.org/officeDocument/2006/relationships" ref="E431" r:id="rId860"/>
    <hyperlink xmlns:r="http://schemas.openxmlformats.org/officeDocument/2006/relationships" ref="A432" r:id="rId861"/>
    <hyperlink xmlns:r="http://schemas.openxmlformats.org/officeDocument/2006/relationships" ref="E432" r:id="rId862"/>
    <hyperlink xmlns:r="http://schemas.openxmlformats.org/officeDocument/2006/relationships" ref="A433" r:id="rId863"/>
    <hyperlink xmlns:r="http://schemas.openxmlformats.org/officeDocument/2006/relationships" ref="E433" r:id="rId864"/>
    <hyperlink xmlns:r="http://schemas.openxmlformats.org/officeDocument/2006/relationships" ref="A434" r:id="rId865"/>
    <hyperlink xmlns:r="http://schemas.openxmlformats.org/officeDocument/2006/relationships" ref="E434" r:id="rId866"/>
    <hyperlink xmlns:r="http://schemas.openxmlformats.org/officeDocument/2006/relationships" ref="A435" r:id="rId867"/>
    <hyperlink xmlns:r="http://schemas.openxmlformats.org/officeDocument/2006/relationships" ref="E435" r:id="rId868"/>
    <hyperlink xmlns:r="http://schemas.openxmlformats.org/officeDocument/2006/relationships" ref="A436" r:id="rId869"/>
    <hyperlink xmlns:r="http://schemas.openxmlformats.org/officeDocument/2006/relationships" ref="E436" r:id="rId870"/>
    <hyperlink xmlns:r="http://schemas.openxmlformats.org/officeDocument/2006/relationships" ref="A437" r:id="rId871"/>
    <hyperlink xmlns:r="http://schemas.openxmlformats.org/officeDocument/2006/relationships" ref="E437" r:id="rId872"/>
    <hyperlink xmlns:r="http://schemas.openxmlformats.org/officeDocument/2006/relationships" ref="A438" r:id="rId873"/>
    <hyperlink xmlns:r="http://schemas.openxmlformats.org/officeDocument/2006/relationships" ref="E438" r:id="rId874"/>
    <hyperlink xmlns:r="http://schemas.openxmlformats.org/officeDocument/2006/relationships" ref="A439" r:id="rId875"/>
    <hyperlink xmlns:r="http://schemas.openxmlformats.org/officeDocument/2006/relationships" ref="E439" r:id="rId876"/>
    <hyperlink xmlns:r="http://schemas.openxmlformats.org/officeDocument/2006/relationships" ref="A440" r:id="rId877"/>
    <hyperlink xmlns:r="http://schemas.openxmlformats.org/officeDocument/2006/relationships" ref="E440" r:id="rId878"/>
    <hyperlink xmlns:r="http://schemas.openxmlformats.org/officeDocument/2006/relationships" ref="A441" r:id="rId879"/>
    <hyperlink xmlns:r="http://schemas.openxmlformats.org/officeDocument/2006/relationships" ref="E441" r:id="rId880"/>
    <hyperlink xmlns:r="http://schemas.openxmlformats.org/officeDocument/2006/relationships" ref="A442" r:id="rId881"/>
    <hyperlink xmlns:r="http://schemas.openxmlformats.org/officeDocument/2006/relationships" ref="E442" r:id="rId882"/>
    <hyperlink xmlns:r="http://schemas.openxmlformats.org/officeDocument/2006/relationships" ref="A443" r:id="rId883"/>
    <hyperlink xmlns:r="http://schemas.openxmlformats.org/officeDocument/2006/relationships" ref="E443" r:id="rId884"/>
    <hyperlink xmlns:r="http://schemas.openxmlformats.org/officeDocument/2006/relationships" ref="A444" r:id="rId885"/>
    <hyperlink xmlns:r="http://schemas.openxmlformats.org/officeDocument/2006/relationships" ref="E444" r:id="rId886"/>
    <hyperlink xmlns:r="http://schemas.openxmlformats.org/officeDocument/2006/relationships" ref="A445" r:id="rId887"/>
    <hyperlink xmlns:r="http://schemas.openxmlformats.org/officeDocument/2006/relationships" ref="E445" r:id="rId888"/>
    <hyperlink xmlns:r="http://schemas.openxmlformats.org/officeDocument/2006/relationships" ref="A446" r:id="rId889"/>
    <hyperlink xmlns:r="http://schemas.openxmlformats.org/officeDocument/2006/relationships" ref="E446" r:id="rId890"/>
    <hyperlink xmlns:r="http://schemas.openxmlformats.org/officeDocument/2006/relationships" ref="A447" r:id="rId891"/>
    <hyperlink xmlns:r="http://schemas.openxmlformats.org/officeDocument/2006/relationships" ref="E447" r:id="rId892"/>
    <hyperlink xmlns:r="http://schemas.openxmlformats.org/officeDocument/2006/relationships" ref="A448" r:id="rId893"/>
    <hyperlink xmlns:r="http://schemas.openxmlformats.org/officeDocument/2006/relationships" ref="E448" r:id="rId894"/>
    <hyperlink xmlns:r="http://schemas.openxmlformats.org/officeDocument/2006/relationships" ref="A449" r:id="rId895"/>
    <hyperlink xmlns:r="http://schemas.openxmlformats.org/officeDocument/2006/relationships" ref="E449" r:id="rId896"/>
    <hyperlink xmlns:r="http://schemas.openxmlformats.org/officeDocument/2006/relationships" ref="A450" r:id="rId897"/>
    <hyperlink xmlns:r="http://schemas.openxmlformats.org/officeDocument/2006/relationships" ref="E450" r:id="rId898"/>
    <hyperlink xmlns:r="http://schemas.openxmlformats.org/officeDocument/2006/relationships" ref="A451" r:id="rId899"/>
    <hyperlink xmlns:r="http://schemas.openxmlformats.org/officeDocument/2006/relationships" ref="E451" r:id="rId900"/>
    <hyperlink xmlns:r="http://schemas.openxmlformats.org/officeDocument/2006/relationships" ref="A452" r:id="rId901"/>
    <hyperlink xmlns:r="http://schemas.openxmlformats.org/officeDocument/2006/relationships" ref="E452" r:id="rId902"/>
    <hyperlink xmlns:r="http://schemas.openxmlformats.org/officeDocument/2006/relationships" ref="A453" r:id="rId903"/>
    <hyperlink xmlns:r="http://schemas.openxmlformats.org/officeDocument/2006/relationships" ref="E453" r:id="rId904"/>
    <hyperlink xmlns:r="http://schemas.openxmlformats.org/officeDocument/2006/relationships" ref="A454" r:id="rId905"/>
    <hyperlink xmlns:r="http://schemas.openxmlformats.org/officeDocument/2006/relationships" ref="E454" r:id="rId906"/>
    <hyperlink xmlns:r="http://schemas.openxmlformats.org/officeDocument/2006/relationships" ref="A455" r:id="rId907"/>
    <hyperlink xmlns:r="http://schemas.openxmlformats.org/officeDocument/2006/relationships" ref="E455" r:id="rId908"/>
    <hyperlink xmlns:r="http://schemas.openxmlformats.org/officeDocument/2006/relationships" ref="A456" r:id="rId909"/>
    <hyperlink xmlns:r="http://schemas.openxmlformats.org/officeDocument/2006/relationships" ref="E456" r:id="rId910"/>
    <hyperlink xmlns:r="http://schemas.openxmlformats.org/officeDocument/2006/relationships" ref="A457" r:id="rId911"/>
    <hyperlink xmlns:r="http://schemas.openxmlformats.org/officeDocument/2006/relationships" ref="E457" r:id="rId912"/>
    <hyperlink xmlns:r="http://schemas.openxmlformats.org/officeDocument/2006/relationships" ref="A458" r:id="rId913"/>
    <hyperlink xmlns:r="http://schemas.openxmlformats.org/officeDocument/2006/relationships" ref="E458" r:id="rId914"/>
    <hyperlink xmlns:r="http://schemas.openxmlformats.org/officeDocument/2006/relationships" ref="A459" r:id="rId915"/>
    <hyperlink xmlns:r="http://schemas.openxmlformats.org/officeDocument/2006/relationships" ref="E459" r:id="rId916"/>
    <hyperlink xmlns:r="http://schemas.openxmlformats.org/officeDocument/2006/relationships" ref="A460" r:id="rId917"/>
    <hyperlink xmlns:r="http://schemas.openxmlformats.org/officeDocument/2006/relationships" ref="E460" r:id="rId918"/>
    <hyperlink xmlns:r="http://schemas.openxmlformats.org/officeDocument/2006/relationships" ref="A461" r:id="rId919"/>
    <hyperlink xmlns:r="http://schemas.openxmlformats.org/officeDocument/2006/relationships" ref="E461" r:id="rId920"/>
    <hyperlink xmlns:r="http://schemas.openxmlformats.org/officeDocument/2006/relationships" ref="A462" r:id="rId921"/>
    <hyperlink xmlns:r="http://schemas.openxmlformats.org/officeDocument/2006/relationships" ref="E462" r:id="rId922"/>
    <hyperlink xmlns:r="http://schemas.openxmlformats.org/officeDocument/2006/relationships" ref="A463" r:id="rId923"/>
    <hyperlink xmlns:r="http://schemas.openxmlformats.org/officeDocument/2006/relationships" ref="E463" r:id="rId924"/>
    <hyperlink xmlns:r="http://schemas.openxmlformats.org/officeDocument/2006/relationships" ref="A464" r:id="rId925"/>
    <hyperlink xmlns:r="http://schemas.openxmlformats.org/officeDocument/2006/relationships" ref="E464" r:id="rId926"/>
    <hyperlink xmlns:r="http://schemas.openxmlformats.org/officeDocument/2006/relationships" ref="A465" r:id="rId927"/>
    <hyperlink xmlns:r="http://schemas.openxmlformats.org/officeDocument/2006/relationships" ref="E465" r:id="rId928"/>
    <hyperlink xmlns:r="http://schemas.openxmlformats.org/officeDocument/2006/relationships" ref="A466" r:id="rId929"/>
    <hyperlink xmlns:r="http://schemas.openxmlformats.org/officeDocument/2006/relationships" ref="E466" r:id="rId930"/>
    <hyperlink xmlns:r="http://schemas.openxmlformats.org/officeDocument/2006/relationships" ref="A467" r:id="rId931"/>
    <hyperlink xmlns:r="http://schemas.openxmlformats.org/officeDocument/2006/relationships" ref="E467" r:id="rId932"/>
    <hyperlink xmlns:r="http://schemas.openxmlformats.org/officeDocument/2006/relationships" ref="A468" r:id="rId933"/>
    <hyperlink xmlns:r="http://schemas.openxmlformats.org/officeDocument/2006/relationships" ref="E468" r:id="rId934"/>
    <hyperlink xmlns:r="http://schemas.openxmlformats.org/officeDocument/2006/relationships" ref="A469" r:id="rId935"/>
    <hyperlink xmlns:r="http://schemas.openxmlformats.org/officeDocument/2006/relationships" ref="E469" r:id="rId936"/>
    <hyperlink xmlns:r="http://schemas.openxmlformats.org/officeDocument/2006/relationships" ref="A470" r:id="rId937"/>
    <hyperlink xmlns:r="http://schemas.openxmlformats.org/officeDocument/2006/relationships" ref="E470" r:id="rId938"/>
    <hyperlink xmlns:r="http://schemas.openxmlformats.org/officeDocument/2006/relationships" ref="A471" r:id="rId939"/>
    <hyperlink xmlns:r="http://schemas.openxmlformats.org/officeDocument/2006/relationships" ref="E471" r:id="rId940"/>
    <hyperlink xmlns:r="http://schemas.openxmlformats.org/officeDocument/2006/relationships" ref="A472" r:id="rId941"/>
    <hyperlink xmlns:r="http://schemas.openxmlformats.org/officeDocument/2006/relationships" ref="E472" r:id="rId942"/>
    <hyperlink xmlns:r="http://schemas.openxmlformats.org/officeDocument/2006/relationships" ref="A473" r:id="rId943"/>
    <hyperlink xmlns:r="http://schemas.openxmlformats.org/officeDocument/2006/relationships" ref="E473" r:id="rId944"/>
    <hyperlink xmlns:r="http://schemas.openxmlformats.org/officeDocument/2006/relationships" ref="A474" r:id="rId945"/>
    <hyperlink xmlns:r="http://schemas.openxmlformats.org/officeDocument/2006/relationships" ref="E474" r:id="rId946"/>
    <hyperlink xmlns:r="http://schemas.openxmlformats.org/officeDocument/2006/relationships" ref="A475" r:id="rId947"/>
    <hyperlink xmlns:r="http://schemas.openxmlformats.org/officeDocument/2006/relationships" ref="E475" r:id="rId948"/>
    <hyperlink xmlns:r="http://schemas.openxmlformats.org/officeDocument/2006/relationships" ref="A476" r:id="rId949"/>
    <hyperlink xmlns:r="http://schemas.openxmlformats.org/officeDocument/2006/relationships" ref="E476" r:id="rId950"/>
    <hyperlink xmlns:r="http://schemas.openxmlformats.org/officeDocument/2006/relationships" ref="A477" r:id="rId951"/>
    <hyperlink xmlns:r="http://schemas.openxmlformats.org/officeDocument/2006/relationships" ref="E477" r:id="rId952"/>
    <hyperlink xmlns:r="http://schemas.openxmlformats.org/officeDocument/2006/relationships" ref="A478" r:id="rId953"/>
    <hyperlink xmlns:r="http://schemas.openxmlformats.org/officeDocument/2006/relationships" ref="E478" r:id="rId954"/>
    <hyperlink xmlns:r="http://schemas.openxmlformats.org/officeDocument/2006/relationships" ref="A479" r:id="rId955"/>
    <hyperlink xmlns:r="http://schemas.openxmlformats.org/officeDocument/2006/relationships" ref="E479" r:id="rId956"/>
    <hyperlink xmlns:r="http://schemas.openxmlformats.org/officeDocument/2006/relationships" ref="A480" r:id="rId957"/>
    <hyperlink xmlns:r="http://schemas.openxmlformats.org/officeDocument/2006/relationships" ref="E480" r:id="rId958"/>
    <hyperlink xmlns:r="http://schemas.openxmlformats.org/officeDocument/2006/relationships" ref="A481" r:id="rId959"/>
    <hyperlink xmlns:r="http://schemas.openxmlformats.org/officeDocument/2006/relationships" ref="E481" r:id="rId960"/>
    <hyperlink xmlns:r="http://schemas.openxmlformats.org/officeDocument/2006/relationships" ref="A482" r:id="rId961"/>
    <hyperlink xmlns:r="http://schemas.openxmlformats.org/officeDocument/2006/relationships" ref="E482" r:id="rId962"/>
    <hyperlink xmlns:r="http://schemas.openxmlformats.org/officeDocument/2006/relationships" ref="A483" r:id="rId963"/>
    <hyperlink xmlns:r="http://schemas.openxmlformats.org/officeDocument/2006/relationships" ref="E483" r:id="rId964"/>
    <hyperlink xmlns:r="http://schemas.openxmlformats.org/officeDocument/2006/relationships" ref="A484" r:id="rId965"/>
    <hyperlink xmlns:r="http://schemas.openxmlformats.org/officeDocument/2006/relationships" ref="E484" r:id="rId966"/>
    <hyperlink xmlns:r="http://schemas.openxmlformats.org/officeDocument/2006/relationships" ref="A485" r:id="rId967"/>
    <hyperlink xmlns:r="http://schemas.openxmlformats.org/officeDocument/2006/relationships" ref="E485" r:id="rId968"/>
    <hyperlink xmlns:r="http://schemas.openxmlformats.org/officeDocument/2006/relationships" ref="A486" r:id="rId969"/>
    <hyperlink xmlns:r="http://schemas.openxmlformats.org/officeDocument/2006/relationships" ref="E486" r:id="rId970"/>
    <hyperlink xmlns:r="http://schemas.openxmlformats.org/officeDocument/2006/relationships" ref="A487" r:id="rId971"/>
    <hyperlink xmlns:r="http://schemas.openxmlformats.org/officeDocument/2006/relationships" ref="E487" r:id="rId972"/>
    <hyperlink xmlns:r="http://schemas.openxmlformats.org/officeDocument/2006/relationships" ref="A488" r:id="rId973"/>
    <hyperlink xmlns:r="http://schemas.openxmlformats.org/officeDocument/2006/relationships" ref="E488" r:id="rId974"/>
    <hyperlink xmlns:r="http://schemas.openxmlformats.org/officeDocument/2006/relationships" ref="A489" r:id="rId975"/>
    <hyperlink xmlns:r="http://schemas.openxmlformats.org/officeDocument/2006/relationships" ref="E489" r:id="rId976"/>
    <hyperlink xmlns:r="http://schemas.openxmlformats.org/officeDocument/2006/relationships" ref="A490" r:id="rId977"/>
    <hyperlink xmlns:r="http://schemas.openxmlformats.org/officeDocument/2006/relationships" ref="E490" r:id="rId978"/>
    <hyperlink xmlns:r="http://schemas.openxmlformats.org/officeDocument/2006/relationships" ref="A491" r:id="rId979"/>
    <hyperlink xmlns:r="http://schemas.openxmlformats.org/officeDocument/2006/relationships" ref="E491" r:id="rId980"/>
    <hyperlink xmlns:r="http://schemas.openxmlformats.org/officeDocument/2006/relationships" ref="A492" r:id="rId981"/>
    <hyperlink xmlns:r="http://schemas.openxmlformats.org/officeDocument/2006/relationships" ref="E492" r:id="rId982"/>
    <hyperlink xmlns:r="http://schemas.openxmlformats.org/officeDocument/2006/relationships" ref="A493" r:id="rId983"/>
    <hyperlink xmlns:r="http://schemas.openxmlformats.org/officeDocument/2006/relationships" ref="E493" r:id="rId984"/>
    <hyperlink xmlns:r="http://schemas.openxmlformats.org/officeDocument/2006/relationships" ref="A494" r:id="rId985"/>
    <hyperlink xmlns:r="http://schemas.openxmlformats.org/officeDocument/2006/relationships" ref="E494" r:id="rId986"/>
    <hyperlink xmlns:r="http://schemas.openxmlformats.org/officeDocument/2006/relationships" ref="A495" r:id="rId987"/>
    <hyperlink xmlns:r="http://schemas.openxmlformats.org/officeDocument/2006/relationships" ref="E495" r:id="rId988"/>
    <hyperlink xmlns:r="http://schemas.openxmlformats.org/officeDocument/2006/relationships" ref="A496" r:id="rId989"/>
    <hyperlink xmlns:r="http://schemas.openxmlformats.org/officeDocument/2006/relationships" ref="E496" r:id="rId990"/>
    <hyperlink xmlns:r="http://schemas.openxmlformats.org/officeDocument/2006/relationships" ref="A497" r:id="rId991"/>
    <hyperlink xmlns:r="http://schemas.openxmlformats.org/officeDocument/2006/relationships" ref="E497" r:id="rId992"/>
    <hyperlink xmlns:r="http://schemas.openxmlformats.org/officeDocument/2006/relationships" ref="A498" r:id="rId993"/>
    <hyperlink xmlns:r="http://schemas.openxmlformats.org/officeDocument/2006/relationships" ref="E498" r:id="rId994"/>
    <hyperlink xmlns:r="http://schemas.openxmlformats.org/officeDocument/2006/relationships" ref="A499" r:id="rId995"/>
    <hyperlink xmlns:r="http://schemas.openxmlformats.org/officeDocument/2006/relationships" ref="E499" r:id="rId996"/>
    <hyperlink xmlns:r="http://schemas.openxmlformats.org/officeDocument/2006/relationships" ref="A500" r:id="rId997"/>
    <hyperlink xmlns:r="http://schemas.openxmlformats.org/officeDocument/2006/relationships" ref="E500" r:id="rId998"/>
    <hyperlink xmlns:r="http://schemas.openxmlformats.org/officeDocument/2006/relationships" ref="A501" r:id="rId999"/>
    <hyperlink xmlns:r="http://schemas.openxmlformats.org/officeDocument/2006/relationships" ref="E501" r:id="rId1000"/>
    <hyperlink xmlns:r="http://schemas.openxmlformats.org/officeDocument/2006/relationships" ref="A502" r:id="rId1001"/>
    <hyperlink xmlns:r="http://schemas.openxmlformats.org/officeDocument/2006/relationships" ref="E502" r:id="rId1002"/>
    <hyperlink xmlns:r="http://schemas.openxmlformats.org/officeDocument/2006/relationships" ref="A503" r:id="rId1003"/>
    <hyperlink xmlns:r="http://schemas.openxmlformats.org/officeDocument/2006/relationships" ref="E503" r:id="rId1004"/>
    <hyperlink xmlns:r="http://schemas.openxmlformats.org/officeDocument/2006/relationships" ref="A504" r:id="rId1005"/>
    <hyperlink xmlns:r="http://schemas.openxmlformats.org/officeDocument/2006/relationships" ref="E504" r:id="rId1006"/>
    <hyperlink xmlns:r="http://schemas.openxmlformats.org/officeDocument/2006/relationships" ref="A505" r:id="rId1007"/>
    <hyperlink xmlns:r="http://schemas.openxmlformats.org/officeDocument/2006/relationships" ref="E505" r:id="rId1008"/>
    <hyperlink xmlns:r="http://schemas.openxmlformats.org/officeDocument/2006/relationships" ref="A506" r:id="rId1009"/>
    <hyperlink xmlns:r="http://schemas.openxmlformats.org/officeDocument/2006/relationships" ref="E506" r:id="rId1010"/>
    <hyperlink xmlns:r="http://schemas.openxmlformats.org/officeDocument/2006/relationships" ref="A507" r:id="rId1011"/>
    <hyperlink xmlns:r="http://schemas.openxmlformats.org/officeDocument/2006/relationships" ref="E507" r:id="rId1012"/>
    <hyperlink xmlns:r="http://schemas.openxmlformats.org/officeDocument/2006/relationships" ref="A508" r:id="rId1013"/>
    <hyperlink xmlns:r="http://schemas.openxmlformats.org/officeDocument/2006/relationships" ref="E508" r:id="rId1014"/>
    <hyperlink xmlns:r="http://schemas.openxmlformats.org/officeDocument/2006/relationships" ref="A509" r:id="rId1015"/>
    <hyperlink xmlns:r="http://schemas.openxmlformats.org/officeDocument/2006/relationships" ref="E509" r:id="rId1016"/>
    <hyperlink xmlns:r="http://schemas.openxmlformats.org/officeDocument/2006/relationships" ref="A510" r:id="rId1017"/>
    <hyperlink xmlns:r="http://schemas.openxmlformats.org/officeDocument/2006/relationships" ref="E510" r:id="rId1018"/>
    <hyperlink xmlns:r="http://schemas.openxmlformats.org/officeDocument/2006/relationships" ref="A511" r:id="rId1019"/>
    <hyperlink xmlns:r="http://schemas.openxmlformats.org/officeDocument/2006/relationships" ref="E511" r:id="rId1020"/>
    <hyperlink xmlns:r="http://schemas.openxmlformats.org/officeDocument/2006/relationships" ref="A512" r:id="rId1021"/>
    <hyperlink xmlns:r="http://schemas.openxmlformats.org/officeDocument/2006/relationships" ref="E512" r:id="rId1022"/>
    <hyperlink xmlns:r="http://schemas.openxmlformats.org/officeDocument/2006/relationships" ref="A513" r:id="rId1023"/>
    <hyperlink xmlns:r="http://schemas.openxmlformats.org/officeDocument/2006/relationships" ref="E513" r:id="rId1024"/>
    <hyperlink xmlns:r="http://schemas.openxmlformats.org/officeDocument/2006/relationships" ref="A514" r:id="rId1025"/>
    <hyperlink xmlns:r="http://schemas.openxmlformats.org/officeDocument/2006/relationships" ref="E514" r:id="rId1026"/>
    <hyperlink xmlns:r="http://schemas.openxmlformats.org/officeDocument/2006/relationships" ref="A515" r:id="rId1027"/>
    <hyperlink xmlns:r="http://schemas.openxmlformats.org/officeDocument/2006/relationships" ref="E515" r:id="rId1028"/>
    <hyperlink xmlns:r="http://schemas.openxmlformats.org/officeDocument/2006/relationships" ref="A516" r:id="rId1029"/>
    <hyperlink xmlns:r="http://schemas.openxmlformats.org/officeDocument/2006/relationships" ref="E516" r:id="rId1030"/>
    <hyperlink xmlns:r="http://schemas.openxmlformats.org/officeDocument/2006/relationships" ref="A517" r:id="rId1031"/>
    <hyperlink xmlns:r="http://schemas.openxmlformats.org/officeDocument/2006/relationships" ref="E517" r:id="rId1032"/>
    <hyperlink xmlns:r="http://schemas.openxmlformats.org/officeDocument/2006/relationships" ref="A518" r:id="rId1033"/>
    <hyperlink xmlns:r="http://schemas.openxmlformats.org/officeDocument/2006/relationships" ref="E518" r:id="rId1034"/>
    <hyperlink xmlns:r="http://schemas.openxmlformats.org/officeDocument/2006/relationships" ref="A519" r:id="rId1035"/>
    <hyperlink xmlns:r="http://schemas.openxmlformats.org/officeDocument/2006/relationships" ref="E519" r:id="rId1036"/>
    <hyperlink xmlns:r="http://schemas.openxmlformats.org/officeDocument/2006/relationships" ref="A520" r:id="rId1037"/>
    <hyperlink xmlns:r="http://schemas.openxmlformats.org/officeDocument/2006/relationships" ref="E520" r:id="rId1038"/>
    <hyperlink xmlns:r="http://schemas.openxmlformats.org/officeDocument/2006/relationships" ref="A521" r:id="rId1039"/>
    <hyperlink xmlns:r="http://schemas.openxmlformats.org/officeDocument/2006/relationships" ref="E521" r:id="rId1040"/>
    <hyperlink xmlns:r="http://schemas.openxmlformats.org/officeDocument/2006/relationships" ref="A522" r:id="rId1041"/>
    <hyperlink xmlns:r="http://schemas.openxmlformats.org/officeDocument/2006/relationships" ref="E522" r:id="rId1042"/>
    <hyperlink xmlns:r="http://schemas.openxmlformats.org/officeDocument/2006/relationships" ref="A523" r:id="rId1043"/>
    <hyperlink xmlns:r="http://schemas.openxmlformats.org/officeDocument/2006/relationships" ref="E523" r:id="rId1044"/>
    <hyperlink xmlns:r="http://schemas.openxmlformats.org/officeDocument/2006/relationships" ref="A524" r:id="rId1045"/>
    <hyperlink xmlns:r="http://schemas.openxmlformats.org/officeDocument/2006/relationships" ref="E524" r:id="rId1046"/>
    <hyperlink xmlns:r="http://schemas.openxmlformats.org/officeDocument/2006/relationships" ref="A525" r:id="rId1047"/>
    <hyperlink xmlns:r="http://schemas.openxmlformats.org/officeDocument/2006/relationships" ref="E525" r:id="rId1048"/>
    <hyperlink xmlns:r="http://schemas.openxmlformats.org/officeDocument/2006/relationships" ref="A526" r:id="rId1049"/>
    <hyperlink xmlns:r="http://schemas.openxmlformats.org/officeDocument/2006/relationships" ref="E526" r:id="rId1050"/>
    <hyperlink xmlns:r="http://schemas.openxmlformats.org/officeDocument/2006/relationships" ref="A527" r:id="rId1051"/>
    <hyperlink xmlns:r="http://schemas.openxmlformats.org/officeDocument/2006/relationships" ref="E527" r:id="rId1052"/>
    <hyperlink xmlns:r="http://schemas.openxmlformats.org/officeDocument/2006/relationships" ref="A528" r:id="rId1053"/>
    <hyperlink xmlns:r="http://schemas.openxmlformats.org/officeDocument/2006/relationships" ref="E528" r:id="rId1054"/>
    <hyperlink xmlns:r="http://schemas.openxmlformats.org/officeDocument/2006/relationships" ref="A529" r:id="rId1055"/>
    <hyperlink xmlns:r="http://schemas.openxmlformats.org/officeDocument/2006/relationships" ref="E529" r:id="rId1056"/>
    <hyperlink xmlns:r="http://schemas.openxmlformats.org/officeDocument/2006/relationships" ref="A530" r:id="rId1057"/>
    <hyperlink xmlns:r="http://schemas.openxmlformats.org/officeDocument/2006/relationships" ref="E530" r:id="rId1058"/>
    <hyperlink xmlns:r="http://schemas.openxmlformats.org/officeDocument/2006/relationships" ref="A531" r:id="rId1059"/>
    <hyperlink xmlns:r="http://schemas.openxmlformats.org/officeDocument/2006/relationships" ref="E531" r:id="rId1060"/>
    <hyperlink xmlns:r="http://schemas.openxmlformats.org/officeDocument/2006/relationships" ref="A532" r:id="rId1061"/>
    <hyperlink xmlns:r="http://schemas.openxmlformats.org/officeDocument/2006/relationships" ref="E532" r:id="rId1062"/>
    <hyperlink xmlns:r="http://schemas.openxmlformats.org/officeDocument/2006/relationships" ref="A533" r:id="rId1063"/>
    <hyperlink xmlns:r="http://schemas.openxmlformats.org/officeDocument/2006/relationships" ref="E533" r:id="rId1064"/>
    <hyperlink xmlns:r="http://schemas.openxmlformats.org/officeDocument/2006/relationships" ref="A534" r:id="rId1065"/>
    <hyperlink xmlns:r="http://schemas.openxmlformats.org/officeDocument/2006/relationships" ref="E534" r:id="rId1066"/>
    <hyperlink xmlns:r="http://schemas.openxmlformats.org/officeDocument/2006/relationships" ref="A535" r:id="rId1067"/>
    <hyperlink xmlns:r="http://schemas.openxmlformats.org/officeDocument/2006/relationships" ref="E535" r:id="rId1068"/>
    <hyperlink xmlns:r="http://schemas.openxmlformats.org/officeDocument/2006/relationships" ref="A536" r:id="rId1069"/>
    <hyperlink xmlns:r="http://schemas.openxmlformats.org/officeDocument/2006/relationships" ref="E536" r:id="rId1070"/>
    <hyperlink xmlns:r="http://schemas.openxmlformats.org/officeDocument/2006/relationships" ref="A537" r:id="rId1071"/>
    <hyperlink xmlns:r="http://schemas.openxmlformats.org/officeDocument/2006/relationships" ref="E537" r:id="rId1072"/>
    <hyperlink xmlns:r="http://schemas.openxmlformats.org/officeDocument/2006/relationships" ref="A538" r:id="rId1073"/>
    <hyperlink xmlns:r="http://schemas.openxmlformats.org/officeDocument/2006/relationships" ref="E538" r:id="rId1074"/>
    <hyperlink xmlns:r="http://schemas.openxmlformats.org/officeDocument/2006/relationships" ref="A539" r:id="rId1075"/>
    <hyperlink xmlns:r="http://schemas.openxmlformats.org/officeDocument/2006/relationships" ref="E539" r:id="rId1076"/>
    <hyperlink xmlns:r="http://schemas.openxmlformats.org/officeDocument/2006/relationships" ref="A540" r:id="rId1077"/>
    <hyperlink xmlns:r="http://schemas.openxmlformats.org/officeDocument/2006/relationships" ref="E540" r:id="rId1078"/>
    <hyperlink xmlns:r="http://schemas.openxmlformats.org/officeDocument/2006/relationships" ref="A541" r:id="rId1079"/>
    <hyperlink xmlns:r="http://schemas.openxmlformats.org/officeDocument/2006/relationships" ref="E541" r:id="rId1080"/>
    <hyperlink xmlns:r="http://schemas.openxmlformats.org/officeDocument/2006/relationships" ref="A542" r:id="rId1081"/>
    <hyperlink xmlns:r="http://schemas.openxmlformats.org/officeDocument/2006/relationships" ref="E542" r:id="rId1082"/>
    <hyperlink xmlns:r="http://schemas.openxmlformats.org/officeDocument/2006/relationships" ref="A543" r:id="rId1083"/>
    <hyperlink xmlns:r="http://schemas.openxmlformats.org/officeDocument/2006/relationships" ref="E543" r:id="rId1084"/>
    <hyperlink xmlns:r="http://schemas.openxmlformats.org/officeDocument/2006/relationships" ref="A544" r:id="rId1085"/>
    <hyperlink xmlns:r="http://schemas.openxmlformats.org/officeDocument/2006/relationships" ref="E544" r:id="rId1086"/>
    <hyperlink xmlns:r="http://schemas.openxmlformats.org/officeDocument/2006/relationships" ref="A545" r:id="rId1087"/>
    <hyperlink xmlns:r="http://schemas.openxmlformats.org/officeDocument/2006/relationships" ref="E545" r:id="rId1088"/>
    <hyperlink xmlns:r="http://schemas.openxmlformats.org/officeDocument/2006/relationships" ref="A546" r:id="rId1089"/>
    <hyperlink xmlns:r="http://schemas.openxmlformats.org/officeDocument/2006/relationships" ref="E546" r:id="rId1090"/>
    <hyperlink xmlns:r="http://schemas.openxmlformats.org/officeDocument/2006/relationships" ref="A547" r:id="rId1091"/>
    <hyperlink xmlns:r="http://schemas.openxmlformats.org/officeDocument/2006/relationships" ref="E547" r:id="rId1092"/>
    <hyperlink xmlns:r="http://schemas.openxmlformats.org/officeDocument/2006/relationships" ref="A548" r:id="rId1093"/>
    <hyperlink xmlns:r="http://schemas.openxmlformats.org/officeDocument/2006/relationships" ref="E548" r:id="rId1094"/>
    <hyperlink xmlns:r="http://schemas.openxmlformats.org/officeDocument/2006/relationships" ref="A549" r:id="rId1095"/>
    <hyperlink xmlns:r="http://schemas.openxmlformats.org/officeDocument/2006/relationships" ref="E549" r:id="rId1096"/>
    <hyperlink xmlns:r="http://schemas.openxmlformats.org/officeDocument/2006/relationships" ref="A550" r:id="rId1097"/>
    <hyperlink xmlns:r="http://schemas.openxmlformats.org/officeDocument/2006/relationships" ref="E550" r:id="rId1098"/>
    <hyperlink xmlns:r="http://schemas.openxmlformats.org/officeDocument/2006/relationships" ref="A551" r:id="rId1099"/>
    <hyperlink xmlns:r="http://schemas.openxmlformats.org/officeDocument/2006/relationships" ref="E551" r:id="rId1100"/>
    <hyperlink xmlns:r="http://schemas.openxmlformats.org/officeDocument/2006/relationships" ref="A552" r:id="rId1101"/>
    <hyperlink xmlns:r="http://schemas.openxmlformats.org/officeDocument/2006/relationships" ref="E552" r:id="rId1102"/>
    <hyperlink xmlns:r="http://schemas.openxmlformats.org/officeDocument/2006/relationships" ref="A553" r:id="rId1103"/>
    <hyperlink xmlns:r="http://schemas.openxmlformats.org/officeDocument/2006/relationships" ref="E553" r:id="rId1104"/>
    <hyperlink xmlns:r="http://schemas.openxmlformats.org/officeDocument/2006/relationships" ref="A554" r:id="rId1105"/>
    <hyperlink xmlns:r="http://schemas.openxmlformats.org/officeDocument/2006/relationships" ref="E554" r:id="rId1106"/>
    <hyperlink xmlns:r="http://schemas.openxmlformats.org/officeDocument/2006/relationships" ref="A555" r:id="rId1107"/>
    <hyperlink xmlns:r="http://schemas.openxmlformats.org/officeDocument/2006/relationships" ref="E555" r:id="rId1108"/>
    <hyperlink xmlns:r="http://schemas.openxmlformats.org/officeDocument/2006/relationships" ref="A556" r:id="rId1109"/>
    <hyperlink xmlns:r="http://schemas.openxmlformats.org/officeDocument/2006/relationships" ref="E556" r:id="rId1110"/>
    <hyperlink xmlns:r="http://schemas.openxmlformats.org/officeDocument/2006/relationships" ref="A557" r:id="rId1111"/>
    <hyperlink xmlns:r="http://schemas.openxmlformats.org/officeDocument/2006/relationships" ref="E557" r:id="rId1112"/>
    <hyperlink xmlns:r="http://schemas.openxmlformats.org/officeDocument/2006/relationships" ref="A558" r:id="rId1113"/>
    <hyperlink xmlns:r="http://schemas.openxmlformats.org/officeDocument/2006/relationships" ref="E558" r:id="rId1114"/>
    <hyperlink xmlns:r="http://schemas.openxmlformats.org/officeDocument/2006/relationships" ref="A559" r:id="rId1115"/>
    <hyperlink xmlns:r="http://schemas.openxmlformats.org/officeDocument/2006/relationships" ref="E559" r:id="rId1116"/>
    <hyperlink xmlns:r="http://schemas.openxmlformats.org/officeDocument/2006/relationships" ref="A560" r:id="rId1117"/>
    <hyperlink xmlns:r="http://schemas.openxmlformats.org/officeDocument/2006/relationships" ref="E560" r:id="rId1118"/>
    <hyperlink xmlns:r="http://schemas.openxmlformats.org/officeDocument/2006/relationships" ref="A561" r:id="rId1119"/>
    <hyperlink xmlns:r="http://schemas.openxmlformats.org/officeDocument/2006/relationships" ref="E561" r:id="rId1120"/>
    <hyperlink xmlns:r="http://schemas.openxmlformats.org/officeDocument/2006/relationships" ref="A562" r:id="rId1121"/>
    <hyperlink xmlns:r="http://schemas.openxmlformats.org/officeDocument/2006/relationships" ref="E562" r:id="rId1122"/>
    <hyperlink xmlns:r="http://schemas.openxmlformats.org/officeDocument/2006/relationships" ref="A563" r:id="rId1123"/>
    <hyperlink xmlns:r="http://schemas.openxmlformats.org/officeDocument/2006/relationships" ref="E563" r:id="rId1124"/>
    <hyperlink xmlns:r="http://schemas.openxmlformats.org/officeDocument/2006/relationships" ref="A564" r:id="rId1125"/>
    <hyperlink xmlns:r="http://schemas.openxmlformats.org/officeDocument/2006/relationships" ref="E564" r:id="rId1126"/>
    <hyperlink xmlns:r="http://schemas.openxmlformats.org/officeDocument/2006/relationships" ref="A565" r:id="rId1127"/>
    <hyperlink xmlns:r="http://schemas.openxmlformats.org/officeDocument/2006/relationships" ref="E565" r:id="rId1128"/>
    <hyperlink xmlns:r="http://schemas.openxmlformats.org/officeDocument/2006/relationships" ref="A566" r:id="rId1129"/>
    <hyperlink xmlns:r="http://schemas.openxmlformats.org/officeDocument/2006/relationships" ref="E566" r:id="rId1130"/>
    <hyperlink xmlns:r="http://schemas.openxmlformats.org/officeDocument/2006/relationships" ref="A567" r:id="rId1131"/>
    <hyperlink xmlns:r="http://schemas.openxmlformats.org/officeDocument/2006/relationships" ref="E567" r:id="rId1132"/>
    <hyperlink xmlns:r="http://schemas.openxmlformats.org/officeDocument/2006/relationships" ref="A568" r:id="rId1133"/>
    <hyperlink xmlns:r="http://schemas.openxmlformats.org/officeDocument/2006/relationships" ref="E568" r:id="rId1134"/>
    <hyperlink xmlns:r="http://schemas.openxmlformats.org/officeDocument/2006/relationships" ref="A569" r:id="rId1135"/>
    <hyperlink xmlns:r="http://schemas.openxmlformats.org/officeDocument/2006/relationships" ref="E569" r:id="rId1136"/>
    <hyperlink xmlns:r="http://schemas.openxmlformats.org/officeDocument/2006/relationships" ref="A570" r:id="rId1137"/>
    <hyperlink xmlns:r="http://schemas.openxmlformats.org/officeDocument/2006/relationships" ref="E570" r:id="rId1138"/>
    <hyperlink xmlns:r="http://schemas.openxmlformats.org/officeDocument/2006/relationships" ref="A571" r:id="rId1139"/>
    <hyperlink xmlns:r="http://schemas.openxmlformats.org/officeDocument/2006/relationships" ref="E571" r:id="rId1140"/>
    <hyperlink xmlns:r="http://schemas.openxmlformats.org/officeDocument/2006/relationships" ref="A572" r:id="rId1141"/>
    <hyperlink xmlns:r="http://schemas.openxmlformats.org/officeDocument/2006/relationships" ref="E572" r:id="rId1142"/>
    <hyperlink xmlns:r="http://schemas.openxmlformats.org/officeDocument/2006/relationships" ref="A573" r:id="rId1143"/>
    <hyperlink xmlns:r="http://schemas.openxmlformats.org/officeDocument/2006/relationships" ref="E573" r:id="rId1144"/>
    <hyperlink xmlns:r="http://schemas.openxmlformats.org/officeDocument/2006/relationships" ref="A574" r:id="rId1145"/>
    <hyperlink xmlns:r="http://schemas.openxmlformats.org/officeDocument/2006/relationships" ref="E574" r:id="rId1146"/>
    <hyperlink xmlns:r="http://schemas.openxmlformats.org/officeDocument/2006/relationships" ref="A575" r:id="rId1147"/>
    <hyperlink xmlns:r="http://schemas.openxmlformats.org/officeDocument/2006/relationships" ref="E575" r:id="rId1148"/>
    <hyperlink xmlns:r="http://schemas.openxmlformats.org/officeDocument/2006/relationships" ref="A576" r:id="rId1149"/>
    <hyperlink xmlns:r="http://schemas.openxmlformats.org/officeDocument/2006/relationships" ref="E576" r:id="rId1150"/>
    <hyperlink xmlns:r="http://schemas.openxmlformats.org/officeDocument/2006/relationships" ref="A577" r:id="rId1151"/>
    <hyperlink xmlns:r="http://schemas.openxmlformats.org/officeDocument/2006/relationships" ref="E577" r:id="rId1152"/>
    <hyperlink xmlns:r="http://schemas.openxmlformats.org/officeDocument/2006/relationships" ref="A578" r:id="rId1153"/>
    <hyperlink xmlns:r="http://schemas.openxmlformats.org/officeDocument/2006/relationships" ref="E578" r:id="rId1154"/>
    <hyperlink xmlns:r="http://schemas.openxmlformats.org/officeDocument/2006/relationships" ref="A579" r:id="rId1155"/>
    <hyperlink xmlns:r="http://schemas.openxmlformats.org/officeDocument/2006/relationships" ref="E579" r:id="rId1156"/>
    <hyperlink xmlns:r="http://schemas.openxmlformats.org/officeDocument/2006/relationships" ref="A580" r:id="rId1157"/>
    <hyperlink xmlns:r="http://schemas.openxmlformats.org/officeDocument/2006/relationships" ref="E580" r:id="rId1158"/>
    <hyperlink xmlns:r="http://schemas.openxmlformats.org/officeDocument/2006/relationships" ref="A581" r:id="rId1159"/>
    <hyperlink xmlns:r="http://schemas.openxmlformats.org/officeDocument/2006/relationships" ref="E581" r:id="rId1160"/>
    <hyperlink xmlns:r="http://schemas.openxmlformats.org/officeDocument/2006/relationships" ref="A582" r:id="rId1161"/>
    <hyperlink xmlns:r="http://schemas.openxmlformats.org/officeDocument/2006/relationships" ref="E582" r:id="rId1162"/>
    <hyperlink xmlns:r="http://schemas.openxmlformats.org/officeDocument/2006/relationships" ref="A583" r:id="rId1163"/>
    <hyperlink xmlns:r="http://schemas.openxmlformats.org/officeDocument/2006/relationships" ref="E583" r:id="rId1164"/>
    <hyperlink xmlns:r="http://schemas.openxmlformats.org/officeDocument/2006/relationships" ref="A584" r:id="rId1165"/>
    <hyperlink xmlns:r="http://schemas.openxmlformats.org/officeDocument/2006/relationships" ref="E584" r:id="rId1166"/>
    <hyperlink xmlns:r="http://schemas.openxmlformats.org/officeDocument/2006/relationships" ref="A585" r:id="rId1167"/>
    <hyperlink xmlns:r="http://schemas.openxmlformats.org/officeDocument/2006/relationships" ref="E585" r:id="rId1168"/>
    <hyperlink xmlns:r="http://schemas.openxmlformats.org/officeDocument/2006/relationships" ref="A586" r:id="rId1169"/>
    <hyperlink xmlns:r="http://schemas.openxmlformats.org/officeDocument/2006/relationships" ref="E586" r:id="rId1170"/>
    <hyperlink xmlns:r="http://schemas.openxmlformats.org/officeDocument/2006/relationships" ref="A587" r:id="rId1171"/>
    <hyperlink xmlns:r="http://schemas.openxmlformats.org/officeDocument/2006/relationships" ref="E587" r:id="rId1172"/>
    <hyperlink xmlns:r="http://schemas.openxmlformats.org/officeDocument/2006/relationships" ref="A588" r:id="rId1173"/>
    <hyperlink xmlns:r="http://schemas.openxmlformats.org/officeDocument/2006/relationships" ref="E588" r:id="rId1174"/>
    <hyperlink xmlns:r="http://schemas.openxmlformats.org/officeDocument/2006/relationships" ref="A589" r:id="rId1175"/>
    <hyperlink xmlns:r="http://schemas.openxmlformats.org/officeDocument/2006/relationships" ref="E589" r:id="rId1176"/>
    <hyperlink xmlns:r="http://schemas.openxmlformats.org/officeDocument/2006/relationships" ref="A590" r:id="rId1177"/>
    <hyperlink xmlns:r="http://schemas.openxmlformats.org/officeDocument/2006/relationships" ref="E590" r:id="rId1178"/>
    <hyperlink xmlns:r="http://schemas.openxmlformats.org/officeDocument/2006/relationships" ref="A591" r:id="rId1179"/>
    <hyperlink xmlns:r="http://schemas.openxmlformats.org/officeDocument/2006/relationships" ref="E591" r:id="rId1180"/>
    <hyperlink xmlns:r="http://schemas.openxmlformats.org/officeDocument/2006/relationships" ref="A592" r:id="rId1181"/>
    <hyperlink xmlns:r="http://schemas.openxmlformats.org/officeDocument/2006/relationships" ref="E592" r:id="rId1182"/>
    <hyperlink xmlns:r="http://schemas.openxmlformats.org/officeDocument/2006/relationships" ref="A593" r:id="rId1183"/>
    <hyperlink xmlns:r="http://schemas.openxmlformats.org/officeDocument/2006/relationships" ref="E593" r:id="rId1184"/>
    <hyperlink xmlns:r="http://schemas.openxmlformats.org/officeDocument/2006/relationships" ref="A594" r:id="rId1185"/>
    <hyperlink xmlns:r="http://schemas.openxmlformats.org/officeDocument/2006/relationships" ref="E594" r:id="rId1186"/>
    <hyperlink xmlns:r="http://schemas.openxmlformats.org/officeDocument/2006/relationships" ref="A595" r:id="rId1187"/>
    <hyperlink xmlns:r="http://schemas.openxmlformats.org/officeDocument/2006/relationships" ref="E595" r:id="rId1188"/>
    <hyperlink xmlns:r="http://schemas.openxmlformats.org/officeDocument/2006/relationships" ref="A596" r:id="rId1189"/>
    <hyperlink xmlns:r="http://schemas.openxmlformats.org/officeDocument/2006/relationships" ref="E596" r:id="rId1190"/>
    <hyperlink xmlns:r="http://schemas.openxmlformats.org/officeDocument/2006/relationships" ref="A597" r:id="rId1191"/>
    <hyperlink xmlns:r="http://schemas.openxmlformats.org/officeDocument/2006/relationships" ref="E597" r:id="rId1192"/>
    <hyperlink xmlns:r="http://schemas.openxmlformats.org/officeDocument/2006/relationships" ref="A598" r:id="rId1193"/>
    <hyperlink xmlns:r="http://schemas.openxmlformats.org/officeDocument/2006/relationships" ref="E598" r:id="rId1194"/>
    <hyperlink xmlns:r="http://schemas.openxmlformats.org/officeDocument/2006/relationships" ref="A599" r:id="rId1195"/>
    <hyperlink xmlns:r="http://schemas.openxmlformats.org/officeDocument/2006/relationships" ref="E599" r:id="rId1196"/>
    <hyperlink xmlns:r="http://schemas.openxmlformats.org/officeDocument/2006/relationships" ref="A600" r:id="rId1197"/>
    <hyperlink xmlns:r="http://schemas.openxmlformats.org/officeDocument/2006/relationships" ref="E600" r:id="rId1198"/>
    <hyperlink xmlns:r="http://schemas.openxmlformats.org/officeDocument/2006/relationships" ref="A601" r:id="rId1199"/>
    <hyperlink xmlns:r="http://schemas.openxmlformats.org/officeDocument/2006/relationships" ref="E601" r:id="rId1200"/>
    <hyperlink xmlns:r="http://schemas.openxmlformats.org/officeDocument/2006/relationships" ref="A602" r:id="rId1201"/>
    <hyperlink xmlns:r="http://schemas.openxmlformats.org/officeDocument/2006/relationships" ref="E602" r:id="rId1202"/>
    <hyperlink xmlns:r="http://schemas.openxmlformats.org/officeDocument/2006/relationships" ref="A603" r:id="rId1203"/>
    <hyperlink xmlns:r="http://schemas.openxmlformats.org/officeDocument/2006/relationships" ref="E603" r:id="rId1204"/>
    <hyperlink xmlns:r="http://schemas.openxmlformats.org/officeDocument/2006/relationships" ref="A604" r:id="rId1205"/>
    <hyperlink xmlns:r="http://schemas.openxmlformats.org/officeDocument/2006/relationships" ref="E604" r:id="rId1206"/>
    <hyperlink xmlns:r="http://schemas.openxmlformats.org/officeDocument/2006/relationships" ref="A605" r:id="rId1207"/>
    <hyperlink xmlns:r="http://schemas.openxmlformats.org/officeDocument/2006/relationships" ref="E605" r:id="rId1208"/>
    <hyperlink xmlns:r="http://schemas.openxmlformats.org/officeDocument/2006/relationships" ref="A606" r:id="rId1209"/>
    <hyperlink xmlns:r="http://schemas.openxmlformats.org/officeDocument/2006/relationships" ref="E606" r:id="rId1210"/>
    <hyperlink xmlns:r="http://schemas.openxmlformats.org/officeDocument/2006/relationships" ref="A607" r:id="rId1211"/>
    <hyperlink xmlns:r="http://schemas.openxmlformats.org/officeDocument/2006/relationships" ref="E607" r:id="rId1212"/>
    <hyperlink xmlns:r="http://schemas.openxmlformats.org/officeDocument/2006/relationships" ref="A608" r:id="rId1213"/>
    <hyperlink xmlns:r="http://schemas.openxmlformats.org/officeDocument/2006/relationships" ref="E608" r:id="rId1214"/>
    <hyperlink xmlns:r="http://schemas.openxmlformats.org/officeDocument/2006/relationships" ref="A609" r:id="rId1215"/>
    <hyperlink xmlns:r="http://schemas.openxmlformats.org/officeDocument/2006/relationships" ref="E609" r:id="rId1216"/>
    <hyperlink xmlns:r="http://schemas.openxmlformats.org/officeDocument/2006/relationships" ref="A610" r:id="rId1217"/>
    <hyperlink xmlns:r="http://schemas.openxmlformats.org/officeDocument/2006/relationships" ref="E610" r:id="rId1218"/>
    <hyperlink xmlns:r="http://schemas.openxmlformats.org/officeDocument/2006/relationships" ref="A611" r:id="rId1219"/>
    <hyperlink xmlns:r="http://schemas.openxmlformats.org/officeDocument/2006/relationships" ref="E611" r:id="rId1220"/>
    <hyperlink xmlns:r="http://schemas.openxmlformats.org/officeDocument/2006/relationships" ref="A612" r:id="rId1221"/>
    <hyperlink xmlns:r="http://schemas.openxmlformats.org/officeDocument/2006/relationships" ref="E612" r:id="rId1222"/>
    <hyperlink xmlns:r="http://schemas.openxmlformats.org/officeDocument/2006/relationships" ref="A613" r:id="rId1223"/>
    <hyperlink xmlns:r="http://schemas.openxmlformats.org/officeDocument/2006/relationships" ref="E613" r:id="rId1224"/>
    <hyperlink xmlns:r="http://schemas.openxmlformats.org/officeDocument/2006/relationships" ref="A614" r:id="rId1225"/>
    <hyperlink xmlns:r="http://schemas.openxmlformats.org/officeDocument/2006/relationships" ref="E614" r:id="rId1226"/>
    <hyperlink xmlns:r="http://schemas.openxmlformats.org/officeDocument/2006/relationships" ref="A615" r:id="rId1227"/>
    <hyperlink xmlns:r="http://schemas.openxmlformats.org/officeDocument/2006/relationships" ref="E615" r:id="rId1228"/>
    <hyperlink xmlns:r="http://schemas.openxmlformats.org/officeDocument/2006/relationships" ref="A616" r:id="rId1229"/>
    <hyperlink xmlns:r="http://schemas.openxmlformats.org/officeDocument/2006/relationships" ref="E616" r:id="rId1230"/>
    <hyperlink xmlns:r="http://schemas.openxmlformats.org/officeDocument/2006/relationships" ref="A617" r:id="rId1231"/>
    <hyperlink xmlns:r="http://schemas.openxmlformats.org/officeDocument/2006/relationships" ref="E617" r:id="rId1232"/>
    <hyperlink xmlns:r="http://schemas.openxmlformats.org/officeDocument/2006/relationships" ref="A618" r:id="rId1233"/>
    <hyperlink xmlns:r="http://schemas.openxmlformats.org/officeDocument/2006/relationships" ref="E618" r:id="rId1234"/>
    <hyperlink xmlns:r="http://schemas.openxmlformats.org/officeDocument/2006/relationships" ref="A619" r:id="rId1235"/>
    <hyperlink xmlns:r="http://schemas.openxmlformats.org/officeDocument/2006/relationships" ref="E619" r:id="rId1236"/>
    <hyperlink xmlns:r="http://schemas.openxmlformats.org/officeDocument/2006/relationships" ref="A620" r:id="rId1237"/>
    <hyperlink xmlns:r="http://schemas.openxmlformats.org/officeDocument/2006/relationships" ref="E620" r:id="rId1238"/>
    <hyperlink xmlns:r="http://schemas.openxmlformats.org/officeDocument/2006/relationships" ref="A621" r:id="rId1239"/>
    <hyperlink xmlns:r="http://schemas.openxmlformats.org/officeDocument/2006/relationships" ref="E621" r:id="rId1240"/>
    <hyperlink xmlns:r="http://schemas.openxmlformats.org/officeDocument/2006/relationships" ref="A622" r:id="rId1241"/>
    <hyperlink xmlns:r="http://schemas.openxmlformats.org/officeDocument/2006/relationships" ref="E622" r:id="rId1242"/>
    <hyperlink xmlns:r="http://schemas.openxmlformats.org/officeDocument/2006/relationships" ref="A623" r:id="rId1243"/>
    <hyperlink xmlns:r="http://schemas.openxmlformats.org/officeDocument/2006/relationships" ref="E623" r:id="rId1244"/>
    <hyperlink xmlns:r="http://schemas.openxmlformats.org/officeDocument/2006/relationships" ref="A624" r:id="rId1245"/>
    <hyperlink xmlns:r="http://schemas.openxmlformats.org/officeDocument/2006/relationships" ref="E624" r:id="rId1246"/>
    <hyperlink xmlns:r="http://schemas.openxmlformats.org/officeDocument/2006/relationships" ref="A625" r:id="rId1247"/>
    <hyperlink xmlns:r="http://schemas.openxmlformats.org/officeDocument/2006/relationships" ref="E625" r:id="rId1248"/>
    <hyperlink xmlns:r="http://schemas.openxmlformats.org/officeDocument/2006/relationships" ref="A626" r:id="rId1249"/>
    <hyperlink xmlns:r="http://schemas.openxmlformats.org/officeDocument/2006/relationships" ref="E626" r:id="rId1250"/>
    <hyperlink xmlns:r="http://schemas.openxmlformats.org/officeDocument/2006/relationships" ref="A627" r:id="rId1251"/>
    <hyperlink xmlns:r="http://schemas.openxmlformats.org/officeDocument/2006/relationships" ref="E627" r:id="rId1252"/>
    <hyperlink xmlns:r="http://schemas.openxmlformats.org/officeDocument/2006/relationships" ref="A628" r:id="rId1253"/>
    <hyperlink xmlns:r="http://schemas.openxmlformats.org/officeDocument/2006/relationships" ref="E628" r:id="rId1254"/>
    <hyperlink xmlns:r="http://schemas.openxmlformats.org/officeDocument/2006/relationships" ref="A629" r:id="rId1255"/>
    <hyperlink xmlns:r="http://schemas.openxmlformats.org/officeDocument/2006/relationships" ref="E629" r:id="rId1256"/>
    <hyperlink xmlns:r="http://schemas.openxmlformats.org/officeDocument/2006/relationships" ref="A630" r:id="rId1257"/>
    <hyperlink xmlns:r="http://schemas.openxmlformats.org/officeDocument/2006/relationships" ref="E630" r:id="rId1258"/>
    <hyperlink xmlns:r="http://schemas.openxmlformats.org/officeDocument/2006/relationships" ref="A631" r:id="rId1259"/>
    <hyperlink xmlns:r="http://schemas.openxmlformats.org/officeDocument/2006/relationships" ref="E631" r:id="rId1260"/>
    <hyperlink xmlns:r="http://schemas.openxmlformats.org/officeDocument/2006/relationships" ref="A632" r:id="rId1261"/>
    <hyperlink xmlns:r="http://schemas.openxmlformats.org/officeDocument/2006/relationships" ref="E632" r:id="rId1262"/>
    <hyperlink xmlns:r="http://schemas.openxmlformats.org/officeDocument/2006/relationships" ref="A633" r:id="rId1263"/>
    <hyperlink xmlns:r="http://schemas.openxmlformats.org/officeDocument/2006/relationships" ref="E633" r:id="rId1264"/>
    <hyperlink xmlns:r="http://schemas.openxmlformats.org/officeDocument/2006/relationships" ref="A634" r:id="rId1265"/>
    <hyperlink xmlns:r="http://schemas.openxmlformats.org/officeDocument/2006/relationships" ref="E634" r:id="rId1266"/>
    <hyperlink xmlns:r="http://schemas.openxmlformats.org/officeDocument/2006/relationships" ref="A635" r:id="rId1267"/>
    <hyperlink xmlns:r="http://schemas.openxmlformats.org/officeDocument/2006/relationships" ref="E635" r:id="rId1268"/>
    <hyperlink xmlns:r="http://schemas.openxmlformats.org/officeDocument/2006/relationships" ref="A636" r:id="rId1269"/>
    <hyperlink xmlns:r="http://schemas.openxmlformats.org/officeDocument/2006/relationships" ref="E636" r:id="rId1270"/>
    <hyperlink xmlns:r="http://schemas.openxmlformats.org/officeDocument/2006/relationships" ref="A637" r:id="rId1271"/>
    <hyperlink xmlns:r="http://schemas.openxmlformats.org/officeDocument/2006/relationships" ref="E637" r:id="rId1272"/>
    <hyperlink xmlns:r="http://schemas.openxmlformats.org/officeDocument/2006/relationships" ref="A638" r:id="rId1273"/>
    <hyperlink xmlns:r="http://schemas.openxmlformats.org/officeDocument/2006/relationships" ref="E638" r:id="rId1274"/>
    <hyperlink xmlns:r="http://schemas.openxmlformats.org/officeDocument/2006/relationships" ref="A639" r:id="rId1275"/>
    <hyperlink xmlns:r="http://schemas.openxmlformats.org/officeDocument/2006/relationships" ref="E639" r:id="rId1276"/>
    <hyperlink xmlns:r="http://schemas.openxmlformats.org/officeDocument/2006/relationships" ref="A640" r:id="rId1277"/>
    <hyperlink xmlns:r="http://schemas.openxmlformats.org/officeDocument/2006/relationships" ref="E640" r:id="rId1278"/>
    <hyperlink xmlns:r="http://schemas.openxmlformats.org/officeDocument/2006/relationships" ref="A641" r:id="rId1279"/>
    <hyperlink xmlns:r="http://schemas.openxmlformats.org/officeDocument/2006/relationships" ref="E641" r:id="rId1280"/>
    <hyperlink xmlns:r="http://schemas.openxmlformats.org/officeDocument/2006/relationships" ref="A642" r:id="rId1281"/>
    <hyperlink xmlns:r="http://schemas.openxmlformats.org/officeDocument/2006/relationships" ref="E642" r:id="rId1282"/>
    <hyperlink xmlns:r="http://schemas.openxmlformats.org/officeDocument/2006/relationships" ref="A643" r:id="rId1283"/>
    <hyperlink xmlns:r="http://schemas.openxmlformats.org/officeDocument/2006/relationships" ref="E643" r:id="rId1284"/>
    <hyperlink xmlns:r="http://schemas.openxmlformats.org/officeDocument/2006/relationships" ref="A644" r:id="rId1285"/>
    <hyperlink xmlns:r="http://schemas.openxmlformats.org/officeDocument/2006/relationships" ref="E644" r:id="rId1286"/>
    <hyperlink xmlns:r="http://schemas.openxmlformats.org/officeDocument/2006/relationships" ref="A645" r:id="rId1287"/>
    <hyperlink xmlns:r="http://schemas.openxmlformats.org/officeDocument/2006/relationships" ref="E645" r:id="rId1288"/>
    <hyperlink xmlns:r="http://schemas.openxmlformats.org/officeDocument/2006/relationships" ref="A646" r:id="rId1289"/>
    <hyperlink xmlns:r="http://schemas.openxmlformats.org/officeDocument/2006/relationships" ref="E646" r:id="rId1290"/>
    <hyperlink xmlns:r="http://schemas.openxmlformats.org/officeDocument/2006/relationships" ref="A647" r:id="rId1291"/>
    <hyperlink xmlns:r="http://schemas.openxmlformats.org/officeDocument/2006/relationships" ref="E647" r:id="rId1292"/>
    <hyperlink xmlns:r="http://schemas.openxmlformats.org/officeDocument/2006/relationships" ref="A648" r:id="rId1293"/>
    <hyperlink xmlns:r="http://schemas.openxmlformats.org/officeDocument/2006/relationships" ref="E648" r:id="rId1294"/>
    <hyperlink xmlns:r="http://schemas.openxmlformats.org/officeDocument/2006/relationships" ref="A649" r:id="rId1295"/>
    <hyperlink xmlns:r="http://schemas.openxmlformats.org/officeDocument/2006/relationships" ref="E649" r:id="rId1296"/>
    <hyperlink xmlns:r="http://schemas.openxmlformats.org/officeDocument/2006/relationships" ref="A650" r:id="rId1297"/>
    <hyperlink xmlns:r="http://schemas.openxmlformats.org/officeDocument/2006/relationships" ref="E650" r:id="rId1298"/>
    <hyperlink xmlns:r="http://schemas.openxmlformats.org/officeDocument/2006/relationships" ref="A651" r:id="rId1299"/>
    <hyperlink xmlns:r="http://schemas.openxmlformats.org/officeDocument/2006/relationships" ref="E651" r:id="rId1300"/>
    <hyperlink xmlns:r="http://schemas.openxmlformats.org/officeDocument/2006/relationships" ref="A652" r:id="rId1301"/>
    <hyperlink xmlns:r="http://schemas.openxmlformats.org/officeDocument/2006/relationships" ref="E652" r:id="rId1302"/>
    <hyperlink xmlns:r="http://schemas.openxmlformats.org/officeDocument/2006/relationships" ref="A653" r:id="rId1303"/>
    <hyperlink xmlns:r="http://schemas.openxmlformats.org/officeDocument/2006/relationships" ref="E653" r:id="rId1304"/>
    <hyperlink xmlns:r="http://schemas.openxmlformats.org/officeDocument/2006/relationships" ref="A654" r:id="rId1305"/>
    <hyperlink xmlns:r="http://schemas.openxmlformats.org/officeDocument/2006/relationships" ref="E654" r:id="rId1306"/>
    <hyperlink xmlns:r="http://schemas.openxmlformats.org/officeDocument/2006/relationships" ref="A655" r:id="rId1307"/>
    <hyperlink xmlns:r="http://schemas.openxmlformats.org/officeDocument/2006/relationships" ref="E655" r:id="rId1308"/>
    <hyperlink xmlns:r="http://schemas.openxmlformats.org/officeDocument/2006/relationships" ref="A656" r:id="rId1309"/>
    <hyperlink xmlns:r="http://schemas.openxmlformats.org/officeDocument/2006/relationships" ref="E656" r:id="rId1310"/>
    <hyperlink xmlns:r="http://schemas.openxmlformats.org/officeDocument/2006/relationships" ref="A657" r:id="rId1311"/>
    <hyperlink xmlns:r="http://schemas.openxmlformats.org/officeDocument/2006/relationships" ref="E657" r:id="rId1312"/>
    <hyperlink xmlns:r="http://schemas.openxmlformats.org/officeDocument/2006/relationships" ref="A658" r:id="rId1313"/>
    <hyperlink xmlns:r="http://schemas.openxmlformats.org/officeDocument/2006/relationships" ref="E658" r:id="rId1314"/>
    <hyperlink xmlns:r="http://schemas.openxmlformats.org/officeDocument/2006/relationships" ref="A659" r:id="rId1315"/>
    <hyperlink xmlns:r="http://schemas.openxmlformats.org/officeDocument/2006/relationships" ref="E659" r:id="rId1316"/>
    <hyperlink xmlns:r="http://schemas.openxmlformats.org/officeDocument/2006/relationships" ref="A660" r:id="rId1317"/>
    <hyperlink xmlns:r="http://schemas.openxmlformats.org/officeDocument/2006/relationships" ref="E660" r:id="rId1318"/>
    <hyperlink xmlns:r="http://schemas.openxmlformats.org/officeDocument/2006/relationships" ref="A661" r:id="rId1319"/>
    <hyperlink xmlns:r="http://schemas.openxmlformats.org/officeDocument/2006/relationships" ref="E661" r:id="rId1320"/>
    <hyperlink xmlns:r="http://schemas.openxmlformats.org/officeDocument/2006/relationships" ref="A662" r:id="rId1321"/>
    <hyperlink xmlns:r="http://schemas.openxmlformats.org/officeDocument/2006/relationships" ref="E662" r:id="rId1322"/>
    <hyperlink xmlns:r="http://schemas.openxmlformats.org/officeDocument/2006/relationships" ref="A663" r:id="rId1323"/>
    <hyperlink xmlns:r="http://schemas.openxmlformats.org/officeDocument/2006/relationships" ref="E663" r:id="rId1324"/>
    <hyperlink xmlns:r="http://schemas.openxmlformats.org/officeDocument/2006/relationships" ref="A664" r:id="rId1325"/>
    <hyperlink xmlns:r="http://schemas.openxmlformats.org/officeDocument/2006/relationships" ref="E664" r:id="rId1326"/>
    <hyperlink xmlns:r="http://schemas.openxmlformats.org/officeDocument/2006/relationships" ref="A665" r:id="rId1327"/>
    <hyperlink xmlns:r="http://schemas.openxmlformats.org/officeDocument/2006/relationships" ref="E665" r:id="rId1328"/>
    <hyperlink xmlns:r="http://schemas.openxmlformats.org/officeDocument/2006/relationships" ref="A666" r:id="rId1329"/>
    <hyperlink xmlns:r="http://schemas.openxmlformats.org/officeDocument/2006/relationships" ref="E666" r:id="rId1330"/>
    <hyperlink xmlns:r="http://schemas.openxmlformats.org/officeDocument/2006/relationships" ref="A667" r:id="rId1331"/>
    <hyperlink xmlns:r="http://schemas.openxmlformats.org/officeDocument/2006/relationships" ref="E667" r:id="rId1332"/>
    <hyperlink xmlns:r="http://schemas.openxmlformats.org/officeDocument/2006/relationships" ref="A668" r:id="rId1333"/>
    <hyperlink xmlns:r="http://schemas.openxmlformats.org/officeDocument/2006/relationships" ref="E668" r:id="rId1334"/>
    <hyperlink xmlns:r="http://schemas.openxmlformats.org/officeDocument/2006/relationships" ref="A669" r:id="rId1335"/>
    <hyperlink xmlns:r="http://schemas.openxmlformats.org/officeDocument/2006/relationships" ref="E669" r:id="rId1336"/>
    <hyperlink xmlns:r="http://schemas.openxmlformats.org/officeDocument/2006/relationships" ref="A670" r:id="rId1337"/>
    <hyperlink xmlns:r="http://schemas.openxmlformats.org/officeDocument/2006/relationships" ref="E670" r:id="rId1338"/>
    <hyperlink xmlns:r="http://schemas.openxmlformats.org/officeDocument/2006/relationships" ref="A671" r:id="rId1339"/>
    <hyperlink xmlns:r="http://schemas.openxmlformats.org/officeDocument/2006/relationships" ref="E671" r:id="rId1340"/>
    <hyperlink xmlns:r="http://schemas.openxmlformats.org/officeDocument/2006/relationships" ref="A672" r:id="rId1341"/>
    <hyperlink xmlns:r="http://schemas.openxmlformats.org/officeDocument/2006/relationships" ref="E672" r:id="rId1342"/>
    <hyperlink xmlns:r="http://schemas.openxmlformats.org/officeDocument/2006/relationships" ref="A673" r:id="rId1343"/>
    <hyperlink xmlns:r="http://schemas.openxmlformats.org/officeDocument/2006/relationships" ref="E673" r:id="rId1344"/>
    <hyperlink xmlns:r="http://schemas.openxmlformats.org/officeDocument/2006/relationships" ref="A674" r:id="rId1345"/>
    <hyperlink xmlns:r="http://schemas.openxmlformats.org/officeDocument/2006/relationships" ref="E674" r:id="rId1346"/>
    <hyperlink xmlns:r="http://schemas.openxmlformats.org/officeDocument/2006/relationships" ref="A675" r:id="rId1347"/>
    <hyperlink xmlns:r="http://schemas.openxmlformats.org/officeDocument/2006/relationships" ref="E675" r:id="rId1348"/>
    <hyperlink xmlns:r="http://schemas.openxmlformats.org/officeDocument/2006/relationships" ref="A676" r:id="rId1349"/>
    <hyperlink xmlns:r="http://schemas.openxmlformats.org/officeDocument/2006/relationships" ref="E676" r:id="rId1350"/>
    <hyperlink xmlns:r="http://schemas.openxmlformats.org/officeDocument/2006/relationships" ref="A677" r:id="rId1351"/>
    <hyperlink xmlns:r="http://schemas.openxmlformats.org/officeDocument/2006/relationships" ref="E677" r:id="rId1352"/>
    <hyperlink xmlns:r="http://schemas.openxmlformats.org/officeDocument/2006/relationships" ref="A678" r:id="rId1353"/>
    <hyperlink xmlns:r="http://schemas.openxmlformats.org/officeDocument/2006/relationships" ref="E678" r:id="rId1354"/>
    <hyperlink xmlns:r="http://schemas.openxmlformats.org/officeDocument/2006/relationships" ref="A679" r:id="rId1355"/>
    <hyperlink xmlns:r="http://schemas.openxmlformats.org/officeDocument/2006/relationships" ref="E679" r:id="rId1356"/>
    <hyperlink xmlns:r="http://schemas.openxmlformats.org/officeDocument/2006/relationships" ref="A680" r:id="rId1357"/>
    <hyperlink xmlns:r="http://schemas.openxmlformats.org/officeDocument/2006/relationships" ref="E680" r:id="rId1358"/>
    <hyperlink xmlns:r="http://schemas.openxmlformats.org/officeDocument/2006/relationships" ref="A681" r:id="rId1359"/>
    <hyperlink xmlns:r="http://schemas.openxmlformats.org/officeDocument/2006/relationships" ref="E681" r:id="rId1360"/>
    <hyperlink xmlns:r="http://schemas.openxmlformats.org/officeDocument/2006/relationships" ref="A682" r:id="rId1361"/>
    <hyperlink xmlns:r="http://schemas.openxmlformats.org/officeDocument/2006/relationships" ref="E682" r:id="rId1362"/>
    <hyperlink xmlns:r="http://schemas.openxmlformats.org/officeDocument/2006/relationships" ref="A683" r:id="rId1363"/>
    <hyperlink xmlns:r="http://schemas.openxmlformats.org/officeDocument/2006/relationships" ref="E683" r:id="rId1364"/>
    <hyperlink xmlns:r="http://schemas.openxmlformats.org/officeDocument/2006/relationships" ref="A684" r:id="rId1365"/>
    <hyperlink xmlns:r="http://schemas.openxmlformats.org/officeDocument/2006/relationships" ref="E684" r:id="rId1366"/>
    <hyperlink xmlns:r="http://schemas.openxmlformats.org/officeDocument/2006/relationships" ref="A685" r:id="rId1367"/>
    <hyperlink xmlns:r="http://schemas.openxmlformats.org/officeDocument/2006/relationships" ref="E685" r:id="rId1368"/>
    <hyperlink xmlns:r="http://schemas.openxmlformats.org/officeDocument/2006/relationships" ref="A686" r:id="rId1369"/>
    <hyperlink xmlns:r="http://schemas.openxmlformats.org/officeDocument/2006/relationships" ref="E686" r:id="rId1370"/>
    <hyperlink xmlns:r="http://schemas.openxmlformats.org/officeDocument/2006/relationships" ref="A687" r:id="rId1371"/>
    <hyperlink xmlns:r="http://schemas.openxmlformats.org/officeDocument/2006/relationships" ref="E687" r:id="rId1372"/>
    <hyperlink xmlns:r="http://schemas.openxmlformats.org/officeDocument/2006/relationships" ref="A688" r:id="rId1373"/>
    <hyperlink xmlns:r="http://schemas.openxmlformats.org/officeDocument/2006/relationships" ref="E688" r:id="rId1374"/>
    <hyperlink xmlns:r="http://schemas.openxmlformats.org/officeDocument/2006/relationships" ref="A689" r:id="rId1375"/>
    <hyperlink xmlns:r="http://schemas.openxmlformats.org/officeDocument/2006/relationships" ref="E689" r:id="rId1376"/>
    <hyperlink xmlns:r="http://schemas.openxmlformats.org/officeDocument/2006/relationships" ref="A690" r:id="rId1377"/>
    <hyperlink xmlns:r="http://schemas.openxmlformats.org/officeDocument/2006/relationships" ref="E690" r:id="rId1378"/>
    <hyperlink xmlns:r="http://schemas.openxmlformats.org/officeDocument/2006/relationships" ref="A691" r:id="rId1379"/>
    <hyperlink xmlns:r="http://schemas.openxmlformats.org/officeDocument/2006/relationships" ref="E691" r:id="rId1380"/>
    <hyperlink xmlns:r="http://schemas.openxmlformats.org/officeDocument/2006/relationships" ref="A692" r:id="rId1381"/>
    <hyperlink xmlns:r="http://schemas.openxmlformats.org/officeDocument/2006/relationships" ref="E692" r:id="rId1382"/>
    <hyperlink xmlns:r="http://schemas.openxmlformats.org/officeDocument/2006/relationships" ref="A693" r:id="rId1383"/>
    <hyperlink xmlns:r="http://schemas.openxmlformats.org/officeDocument/2006/relationships" ref="E693" r:id="rId1384"/>
    <hyperlink xmlns:r="http://schemas.openxmlformats.org/officeDocument/2006/relationships" ref="A694" r:id="rId1385"/>
    <hyperlink xmlns:r="http://schemas.openxmlformats.org/officeDocument/2006/relationships" ref="E694" r:id="rId1386"/>
    <hyperlink xmlns:r="http://schemas.openxmlformats.org/officeDocument/2006/relationships" ref="A695" r:id="rId1387"/>
    <hyperlink xmlns:r="http://schemas.openxmlformats.org/officeDocument/2006/relationships" ref="E695" r:id="rId1388"/>
    <hyperlink xmlns:r="http://schemas.openxmlformats.org/officeDocument/2006/relationships" ref="A696" r:id="rId1389"/>
    <hyperlink xmlns:r="http://schemas.openxmlformats.org/officeDocument/2006/relationships" ref="E696" r:id="rId1390"/>
    <hyperlink xmlns:r="http://schemas.openxmlformats.org/officeDocument/2006/relationships" ref="A697" r:id="rId1391"/>
    <hyperlink xmlns:r="http://schemas.openxmlformats.org/officeDocument/2006/relationships" ref="E697" r:id="rId1392"/>
    <hyperlink xmlns:r="http://schemas.openxmlformats.org/officeDocument/2006/relationships" ref="A698" r:id="rId1393"/>
    <hyperlink xmlns:r="http://schemas.openxmlformats.org/officeDocument/2006/relationships" ref="E698" r:id="rId1394"/>
    <hyperlink xmlns:r="http://schemas.openxmlformats.org/officeDocument/2006/relationships" ref="A699" r:id="rId1395"/>
    <hyperlink xmlns:r="http://schemas.openxmlformats.org/officeDocument/2006/relationships" ref="E699" r:id="rId1396"/>
    <hyperlink xmlns:r="http://schemas.openxmlformats.org/officeDocument/2006/relationships" ref="A700" r:id="rId1397"/>
    <hyperlink xmlns:r="http://schemas.openxmlformats.org/officeDocument/2006/relationships" ref="E700" r:id="rId1398"/>
    <hyperlink xmlns:r="http://schemas.openxmlformats.org/officeDocument/2006/relationships" ref="A701" r:id="rId1399"/>
    <hyperlink xmlns:r="http://schemas.openxmlformats.org/officeDocument/2006/relationships" ref="E701" r:id="rId1400"/>
    <hyperlink xmlns:r="http://schemas.openxmlformats.org/officeDocument/2006/relationships" ref="A702" r:id="rId1401"/>
    <hyperlink xmlns:r="http://schemas.openxmlformats.org/officeDocument/2006/relationships" ref="E702" r:id="rId1402"/>
    <hyperlink xmlns:r="http://schemas.openxmlformats.org/officeDocument/2006/relationships" ref="A703" r:id="rId1403"/>
    <hyperlink xmlns:r="http://schemas.openxmlformats.org/officeDocument/2006/relationships" ref="E703" r:id="rId1404"/>
    <hyperlink xmlns:r="http://schemas.openxmlformats.org/officeDocument/2006/relationships" ref="A704" r:id="rId1405"/>
    <hyperlink xmlns:r="http://schemas.openxmlformats.org/officeDocument/2006/relationships" ref="E704" r:id="rId1406"/>
    <hyperlink xmlns:r="http://schemas.openxmlformats.org/officeDocument/2006/relationships" ref="A705" r:id="rId1407"/>
    <hyperlink xmlns:r="http://schemas.openxmlformats.org/officeDocument/2006/relationships" ref="E705" r:id="rId1408"/>
    <hyperlink xmlns:r="http://schemas.openxmlformats.org/officeDocument/2006/relationships" ref="A706" r:id="rId1409"/>
    <hyperlink xmlns:r="http://schemas.openxmlformats.org/officeDocument/2006/relationships" ref="E706" r:id="rId1410"/>
    <hyperlink xmlns:r="http://schemas.openxmlformats.org/officeDocument/2006/relationships" ref="A707" r:id="rId1411"/>
    <hyperlink xmlns:r="http://schemas.openxmlformats.org/officeDocument/2006/relationships" ref="E707" r:id="rId1412"/>
    <hyperlink xmlns:r="http://schemas.openxmlformats.org/officeDocument/2006/relationships" ref="A708" r:id="rId1413"/>
    <hyperlink xmlns:r="http://schemas.openxmlformats.org/officeDocument/2006/relationships" ref="E708" r:id="rId1414"/>
    <hyperlink xmlns:r="http://schemas.openxmlformats.org/officeDocument/2006/relationships" ref="A709" r:id="rId1415"/>
    <hyperlink xmlns:r="http://schemas.openxmlformats.org/officeDocument/2006/relationships" ref="E709" r:id="rId1416"/>
    <hyperlink xmlns:r="http://schemas.openxmlformats.org/officeDocument/2006/relationships" ref="A710" r:id="rId1417"/>
    <hyperlink xmlns:r="http://schemas.openxmlformats.org/officeDocument/2006/relationships" ref="E710" r:id="rId1418"/>
    <hyperlink xmlns:r="http://schemas.openxmlformats.org/officeDocument/2006/relationships" ref="A711" r:id="rId1419"/>
    <hyperlink xmlns:r="http://schemas.openxmlformats.org/officeDocument/2006/relationships" ref="E711" r:id="rId1420"/>
    <hyperlink xmlns:r="http://schemas.openxmlformats.org/officeDocument/2006/relationships" ref="A712" r:id="rId1421"/>
    <hyperlink xmlns:r="http://schemas.openxmlformats.org/officeDocument/2006/relationships" ref="E712" r:id="rId1422"/>
    <hyperlink xmlns:r="http://schemas.openxmlformats.org/officeDocument/2006/relationships" ref="A713" r:id="rId1423"/>
    <hyperlink xmlns:r="http://schemas.openxmlformats.org/officeDocument/2006/relationships" ref="E713" r:id="rId1424"/>
    <hyperlink xmlns:r="http://schemas.openxmlformats.org/officeDocument/2006/relationships" ref="A714" r:id="rId1425"/>
    <hyperlink xmlns:r="http://schemas.openxmlformats.org/officeDocument/2006/relationships" ref="E714" r:id="rId1426"/>
    <hyperlink xmlns:r="http://schemas.openxmlformats.org/officeDocument/2006/relationships" ref="A715" r:id="rId1427"/>
    <hyperlink xmlns:r="http://schemas.openxmlformats.org/officeDocument/2006/relationships" ref="E715" r:id="rId1428"/>
    <hyperlink xmlns:r="http://schemas.openxmlformats.org/officeDocument/2006/relationships" ref="A716" r:id="rId1429"/>
    <hyperlink xmlns:r="http://schemas.openxmlformats.org/officeDocument/2006/relationships" ref="E716" r:id="rId1430"/>
    <hyperlink xmlns:r="http://schemas.openxmlformats.org/officeDocument/2006/relationships" ref="A717" r:id="rId1431"/>
    <hyperlink xmlns:r="http://schemas.openxmlformats.org/officeDocument/2006/relationships" ref="E717" r:id="rId1432"/>
    <hyperlink xmlns:r="http://schemas.openxmlformats.org/officeDocument/2006/relationships" ref="A718" r:id="rId1433"/>
    <hyperlink xmlns:r="http://schemas.openxmlformats.org/officeDocument/2006/relationships" ref="E718" r:id="rId1434"/>
    <hyperlink xmlns:r="http://schemas.openxmlformats.org/officeDocument/2006/relationships" ref="A719" r:id="rId1435"/>
    <hyperlink xmlns:r="http://schemas.openxmlformats.org/officeDocument/2006/relationships" ref="E719" r:id="rId1436"/>
    <hyperlink xmlns:r="http://schemas.openxmlformats.org/officeDocument/2006/relationships" ref="A720" r:id="rId1437"/>
    <hyperlink xmlns:r="http://schemas.openxmlformats.org/officeDocument/2006/relationships" ref="E720" r:id="rId1438"/>
    <hyperlink xmlns:r="http://schemas.openxmlformats.org/officeDocument/2006/relationships" ref="A721" r:id="rId1439"/>
    <hyperlink xmlns:r="http://schemas.openxmlformats.org/officeDocument/2006/relationships" ref="E721" r:id="rId1440"/>
    <hyperlink xmlns:r="http://schemas.openxmlformats.org/officeDocument/2006/relationships" ref="A722" r:id="rId1441"/>
    <hyperlink xmlns:r="http://schemas.openxmlformats.org/officeDocument/2006/relationships" ref="E722" r:id="rId1442"/>
    <hyperlink xmlns:r="http://schemas.openxmlformats.org/officeDocument/2006/relationships" ref="A723" r:id="rId1443"/>
    <hyperlink xmlns:r="http://schemas.openxmlformats.org/officeDocument/2006/relationships" ref="E723" r:id="rId1444"/>
    <hyperlink xmlns:r="http://schemas.openxmlformats.org/officeDocument/2006/relationships" ref="A724" r:id="rId1445"/>
    <hyperlink xmlns:r="http://schemas.openxmlformats.org/officeDocument/2006/relationships" ref="E724" r:id="rId1446"/>
    <hyperlink xmlns:r="http://schemas.openxmlformats.org/officeDocument/2006/relationships" ref="A725" r:id="rId1447"/>
    <hyperlink xmlns:r="http://schemas.openxmlformats.org/officeDocument/2006/relationships" ref="E725" r:id="rId1448"/>
    <hyperlink xmlns:r="http://schemas.openxmlformats.org/officeDocument/2006/relationships" ref="A726" r:id="rId1449"/>
    <hyperlink xmlns:r="http://schemas.openxmlformats.org/officeDocument/2006/relationships" ref="E726" r:id="rId1450"/>
    <hyperlink xmlns:r="http://schemas.openxmlformats.org/officeDocument/2006/relationships" ref="A727" r:id="rId1451"/>
    <hyperlink xmlns:r="http://schemas.openxmlformats.org/officeDocument/2006/relationships" ref="E727" r:id="rId145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K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4" customWidth="1" min="5" max="5"/>
    <col width="15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7" customWidth="1" min="12" max="12"/>
    <col width="14" customWidth="1" min="13" max="13"/>
    <col width="16" customWidth="1" min="14" max="14"/>
    <col width="17" customWidth="1" min="15" max="15"/>
    <col width="17" customWidth="1" min="16" max="16"/>
    <col width="16" customWidth="1" min="17" max="17"/>
    <col width="16" customWidth="1" min="18" max="18"/>
    <col width="17" customWidth="1" min="19" max="19"/>
    <col width="17" customWidth="1" min="20" max="20"/>
    <col width="16" customWidth="1" min="21" max="21"/>
    <col width="17" customWidth="1" min="22" max="22"/>
    <col width="17" customWidth="1" min="23" max="23"/>
    <col width="17" customWidth="1" min="24" max="24"/>
    <col width="16" customWidth="1" min="25" max="25"/>
    <col width="17" customWidth="1" min="26" max="26"/>
    <col width="18" customWidth="1" min="27" max="27"/>
    <col width="14" customWidth="1" min="28" max="28"/>
    <col width="16" customWidth="1" min="29" max="29"/>
    <col width="16" customWidth="1" min="30" max="30"/>
    <col width="16" customWidth="1" min="31" max="31"/>
    <col width="16" customWidth="1" min="32" max="32"/>
    <col width="14" customWidth="1" min="33" max="33"/>
    <col width="16" customWidth="1" min="34" max="34"/>
    <col width="17" customWidth="1" min="35" max="35"/>
    <col width="17" customWidth="1" min="36" max="36"/>
    <col width="16" customWidth="1" min="37" max="37"/>
    <col width="17" customWidth="1" min="38" max="38"/>
    <col width="16" customWidth="1" min="39" max="39"/>
    <col width="16" customWidth="1" min="40" max="40"/>
    <col width="14" customWidth="1" min="41" max="41"/>
    <col width="17" customWidth="1" min="42" max="42"/>
    <col width="17" customWidth="1" min="43" max="43"/>
    <col width="17" customWidth="1" min="44" max="44"/>
    <col width="17" customWidth="1" min="45" max="45"/>
    <col width="14" customWidth="1" min="46" max="46"/>
    <col width="16" customWidth="1" min="47" max="47"/>
    <col width="17" customWidth="1" min="48" max="48"/>
    <col width="17" customWidth="1" min="49" max="49"/>
    <col width="16" customWidth="1" min="50" max="50"/>
    <col width="14" customWidth="1" min="51" max="51"/>
    <col width="16" customWidth="1" min="52" max="52"/>
    <col width="16" customWidth="1" min="53" max="53"/>
    <col width="17" customWidth="1" min="54" max="54"/>
    <col width="17" customWidth="1" min="55" max="55"/>
    <col width="14" customWidth="1" min="56" max="56"/>
    <col width="14" customWidth="1" min="57" max="57"/>
    <col width="16" customWidth="1" min="58" max="58"/>
    <col width="17" customWidth="1" min="59" max="59"/>
    <col width="17" customWidth="1" min="60" max="60"/>
    <col width="16" customWidth="1" min="61" max="61"/>
    <col width="16" customWidth="1" min="62" max="62"/>
    <col width="16" customWidth="1" min="63" max="63"/>
    <col width="16" customWidth="1" min="64" max="64"/>
    <col width="17" customWidth="1" min="65" max="65"/>
    <col width="14" customWidth="1" min="66" max="66"/>
    <col width="16" customWidth="1" min="67" max="67"/>
    <col width="16" customWidth="1" min="68" max="68"/>
    <col width="16" customWidth="1" min="69" max="69"/>
    <col width="17" customWidth="1" min="70" max="70"/>
    <col width="16" customWidth="1" min="71" max="71"/>
    <col width="14" customWidth="1" min="72" max="72"/>
    <col width="16" customWidth="1" min="73" max="73"/>
    <col width="16" customWidth="1" min="74" max="74"/>
    <col width="16" customWidth="1" min="75" max="75"/>
    <col width="16" customWidth="1" min="76" max="76"/>
    <col width="14" customWidth="1" min="77" max="77"/>
    <col width="16" customWidth="1" min="78" max="78"/>
    <col width="17" customWidth="1" min="79" max="79"/>
    <col width="17" customWidth="1" min="80" max="80"/>
    <col width="16" customWidth="1" min="81" max="81"/>
    <col width="17" customWidth="1" min="82" max="82"/>
    <col width="16" customWidth="1" min="83" max="83"/>
    <col width="17" customWidth="1" min="84" max="84"/>
    <col width="16" customWidth="1" min="85" max="85"/>
    <col width="14" customWidth="1" min="86" max="86"/>
    <col width="16" customWidth="1" min="87" max="87"/>
    <col width="16" customWidth="1" min="88" max="88"/>
    <col width="16" customWidth="1" min="89" max="89"/>
    <col width="14" customWidth="1" min="90" max="90"/>
    <col width="16" customWidth="1" min="91" max="91"/>
    <col width="17" customWidth="1" min="92" max="92"/>
    <col width="17" customWidth="1" min="93" max="93"/>
    <col width="16" customWidth="1" min="94" max="94"/>
    <col width="16" customWidth="1" min="95" max="95"/>
    <col width="14" customWidth="1" min="96" max="96"/>
    <col width="16" customWidth="1" min="97" max="97"/>
    <col width="16" customWidth="1" min="98" max="98"/>
    <col width="16" customWidth="1" min="99" max="99"/>
    <col width="14" customWidth="1" min="100" max="100"/>
    <col width="16" customWidth="1" min="101" max="101"/>
    <col width="17" customWidth="1" min="102" max="102"/>
    <col width="17" customWidth="1" min="103" max="103"/>
    <col width="16" customWidth="1" min="104" max="104"/>
    <col width="16" customWidth="1" min="105" max="105"/>
    <col width="17" customWidth="1" min="106" max="106"/>
    <col width="14" customWidth="1" min="107" max="107"/>
    <col width="16" customWidth="1" min="108" max="108"/>
    <col width="16" customWidth="1" min="109" max="109"/>
    <col width="16" customWidth="1" min="110" max="110"/>
    <col width="16" customWidth="1" min="111" max="111"/>
    <col width="17" customWidth="1" min="112" max="112"/>
    <col width="17" customWidth="1" min="113" max="113"/>
    <col width="17" customWidth="1" min="114" max="114"/>
    <col width="17" customWidth="1" min="115" max="115"/>
    <col width="16" customWidth="1" min="116" max="116"/>
    <col width="16" customWidth="1" min="117" max="117"/>
    <col width="17" customWidth="1" min="118" max="118"/>
    <col width="14" customWidth="1" min="119" max="119"/>
    <col width="16" customWidth="1" min="120" max="120"/>
    <col width="16" customWidth="1" min="121" max="121"/>
    <col width="16" customWidth="1" min="122" max="122"/>
    <col width="18" customWidth="1" min="123" max="123"/>
    <col width="16" customWidth="1" min="124" max="124"/>
    <col width="16" customWidth="1" min="125" max="125"/>
    <col width="16" customWidth="1" min="126" max="126"/>
    <col width="14" customWidth="1" min="127" max="127"/>
    <col width="16" customWidth="1" min="128" max="128"/>
    <col width="16" customWidth="1" min="129" max="129"/>
    <col width="17" customWidth="1" min="130" max="130"/>
    <col width="17" customWidth="1" min="131" max="131"/>
    <col width="16" customWidth="1" min="132" max="132"/>
    <col width="14" customWidth="1" min="133" max="133"/>
    <col width="17" customWidth="1" min="134" max="134"/>
    <col width="17" customWidth="1" min="135" max="135"/>
    <col width="17" customWidth="1" min="136" max="136"/>
    <col width="13" customWidth="1" min="137" max="137"/>
    <col width="14" customWidth="1" min="138" max="138"/>
    <col width="14" customWidth="1" min="139" max="139"/>
    <col width="14" customWidth="1" min="140" max="140"/>
    <col width="16" customWidth="1" min="141" max="141"/>
    <col width="16" customWidth="1" min="142" max="142"/>
    <col width="14" customWidth="1" min="143" max="143"/>
    <col width="16" customWidth="1" min="144" max="144"/>
    <col width="14" customWidth="1" min="145" max="145"/>
    <col width="14" customWidth="1" min="146" max="146"/>
    <col width="15" customWidth="1" min="147" max="147"/>
    <col width="14" customWidth="1" min="148" max="148"/>
    <col width="16" customWidth="1" min="149" max="149"/>
    <col width="16" customWidth="1" min="150" max="150"/>
    <col width="14" customWidth="1" min="151" max="151"/>
    <col width="16" customWidth="1" min="152" max="152"/>
    <col width="16" customWidth="1" min="153" max="153"/>
    <col width="14" customWidth="1" min="154" max="154"/>
    <col width="16" customWidth="1" min="155" max="155"/>
    <col width="16" customWidth="1" min="156" max="156"/>
    <col width="14" customWidth="1" min="157" max="157"/>
    <col width="14" customWidth="1" min="158" max="158"/>
    <col width="16" customWidth="1" min="159" max="159"/>
    <col width="16" customWidth="1" min="160" max="160"/>
    <col width="16" customWidth="1" min="161" max="161"/>
    <col width="14" customWidth="1" min="162" max="162"/>
    <col width="16" customWidth="1" min="163" max="163"/>
    <col width="16" customWidth="1" min="164" max="164"/>
    <col width="16" customWidth="1" min="165" max="165"/>
    <col width="17" customWidth="1" min="166" max="166"/>
    <col width="14" customWidth="1" min="167" max="167"/>
    <col width="16" customWidth="1" min="168" max="168"/>
    <col width="17" customWidth="1" min="169" max="169"/>
    <col width="16" customWidth="1" min="170" max="170"/>
    <col width="14" customWidth="1" min="171" max="171"/>
    <col width="16" customWidth="1" min="172" max="172"/>
    <col width="16" customWidth="1" min="173" max="173"/>
    <col width="16" customWidth="1" min="174" max="174"/>
    <col width="16" customWidth="1" min="175" max="175"/>
    <col width="14" customWidth="1" min="176" max="176"/>
    <col width="16" customWidth="1" min="177" max="177"/>
    <col width="16" customWidth="1" min="178" max="178"/>
    <col width="14" customWidth="1" min="179" max="179"/>
    <col width="16" customWidth="1" min="180" max="180"/>
    <col width="16" customWidth="1" min="181" max="181"/>
    <col width="16" customWidth="1" min="182" max="182"/>
    <col width="14" customWidth="1" min="183" max="183"/>
    <col width="16" customWidth="1" min="184" max="184"/>
    <col width="16" customWidth="1" min="185" max="185"/>
    <col width="16" customWidth="1" min="186" max="186"/>
    <col width="16" customWidth="1" min="187" max="187"/>
    <col width="13" customWidth="1" min="188" max="188"/>
    <col width="14" customWidth="1" min="189" max="189"/>
    <col width="14" customWidth="1" min="190" max="190"/>
    <col width="16" customWidth="1" min="191" max="191"/>
    <col width="16" customWidth="1" min="192" max="192"/>
    <col width="16" customWidth="1" min="193" max="193"/>
    <col width="16" customWidth="1" min="194" max="194"/>
    <col width="14" customWidth="1" min="195" max="195"/>
    <col width="14" customWidth="1" min="196" max="196"/>
    <col width="14" customWidth="1" min="197" max="197"/>
    <col width="16" customWidth="1" min="198" max="198"/>
    <col width="16" customWidth="1" min="199" max="199"/>
    <col width="16" customWidth="1" min="200" max="200"/>
    <col width="16" customWidth="1" min="201" max="201"/>
    <col width="14" customWidth="1" min="202" max="202"/>
    <col width="14" customWidth="1" min="203" max="203"/>
    <col width="16" customWidth="1" min="204" max="204"/>
    <col width="16" customWidth="1" min="205" max="205"/>
    <col width="16" customWidth="1" min="206" max="206"/>
    <col width="14" customWidth="1" min="207" max="207"/>
    <col width="14" customWidth="1" min="208" max="208"/>
    <col width="16" customWidth="1" min="209" max="209"/>
    <col width="16" customWidth="1" min="210" max="210"/>
    <col width="13" customWidth="1" min="211" max="211"/>
    <col width="14" customWidth="1" min="212" max="212"/>
    <col width="14" customWidth="1" min="213" max="213"/>
    <col width="16" customWidth="1" min="214" max="214"/>
    <col width="17" customWidth="1" min="215" max="215"/>
    <col width="17" customWidth="1" min="216" max="216"/>
    <col width="17" customWidth="1" min="217" max="217"/>
    <col width="17" customWidth="1" min="218" max="218"/>
    <col width="16" customWidth="1" min="219" max="219"/>
    <col width="16" customWidth="1" min="220" max="220"/>
    <col width="16" customWidth="1" min="221" max="221"/>
    <col width="14" customWidth="1" min="222" max="222"/>
    <col width="16" customWidth="1" min="223" max="223"/>
    <col width="17" customWidth="1" min="224" max="224"/>
    <col width="17" customWidth="1" min="225" max="225"/>
    <col width="17" customWidth="1" min="226" max="226"/>
    <col width="16" customWidth="1" min="227" max="227"/>
    <col width="14" customWidth="1" min="228" max="228"/>
    <col width="16" customWidth="1" min="229" max="229"/>
    <col width="16" customWidth="1" min="230" max="230"/>
    <col width="17" customWidth="1" min="231" max="231"/>
    <col width="17" customWidth="1" min="232" max="232"/>
    <col width="14" customWidth="1" min="233" max="233"/>
    <col width="16" customWidth="1" min="234" max="234"/>
    <col width="16" customWidth="1" min="235" max="235"/>
    <col width="16" customWidth="1" min="236" max="236"/>
    <col width="14" customWidth="1" min="237" max="237"/>
    <col width="14" customWidth="1" min="238" max="238"/>
    <col width="16" customWidth="1" min="239" max="239"/>
    <col width="16" customWidth="1" min="240" max="240"/>
    <col width="17" customWidth="1" min="241" max="241"/>
    <col width="17" customWidth="1" min="242" max="242"/>
    <col width="14" customWidth="1" min="243" max="243"/>
    <col width="16" customWidth="1" min="244" max="244"/>
    <col width="16" customWidth="1" min="245" max="245"/>
    <col width="17" customWidth="1" min="246" max="246"/>
    <col width="17" customWidth="1" min="247" max="247"/>
    <col width="17" customWidth="1" min="248" max="248"/>
    <col width="16" customWidth="1" min="249" max="249"/>
    <col width="17" customWidth="1" min="250" max="250"/>
    <col width="13" customWidth="1" min="251" max="251"/>
    <col width="14" customWidth="1" min="252" max="252"/>
    <col width="14" customWidth="1" min="253" max="253"/>
    <col width="16" customWidth="1" min="254" max="254"/>
    <col width="16" customWidth="1" min="255" max="255"/>
    <col width="14" customWidth="1" min="256" max="256"/>
    <col width="14" customWidth="1" min="257" max="257"/>
    <col width="14" customWidth="1" min="258" max="258"/>
    <col width="16" customWidth="1" min="259" max="259"/>
    <col width="16" customWidth="1" min="260" max="260"/>
    <col width="16" customWidth="1" min="261" max="261"/>
    <col width="16" customWidth="1" min="262" max="262"/>
    <col width="14" customWidth="1" min="263" max="263"/>
    <col width="16" customWidth="1" min="264" max="264"/>
    <col width="16" customWidth="1" min="265" max="265"/>
    <col width="16" customWidth="1" min="266" max="266"/>
    <col width="16" customWidth="1" min="267" max="267"/>
    <col width="16" customWidth="1" min="268" max="268"/>
    <col width="14" customWidth="1" min="269" max="269"/>
    <col width="13" customWidth="1" min="270" max="270"/>
    <col width="14" customWidth="1" min="271" max="271"/>
    <col width="16" customWidth="1" min="272" max="272"/>
    <col width="16" customWidth="1" min="273" max="273"/>
    <col width="16" customWidth="1" min="274" max="274"/>
    <col width="16" customWidth="1" min="275" max="275"/>
    <col width="17" customWidth="1" min="276" max="276"/>
    <col width="17" customWidth="1" min="277" max="277"/>
    <col width="16" customWidth="1" min="278" max="278"/>
    <col width="16" customWidth="1" min="279" max="279"/>
    <col width="14" customWidth="1" min="280" max="280"/>
    <col width="16" customWidth="1" min="281" max="281"/>
    <col width="17" customWidth="1" min="282" max="282"/>
    <col width="17" customWidth="1" min="283" max="283"/>
    <col width="16" customWidth="1" min="284" max="284"/>
    <col width="17" customWidth="1" min="285" max="285"/>
    <col width="17" customWidth="1" min="286" max="286"/>
    <col width="14" customWidth="1" min="287" max="287"/>
    <col width="16" customWidth="1" min="288" max="288"/>
    <col width="16" customWidth="1" min="289" max="289"/>
    <col width="14" customWidth="1" min="290" max="290"/>
    <col width="16" customWidth="1" min="291" max="291"/>
    <col width="17" customWidth="1" min="292" max="292"/>
    <col width="17" customWidth="1" min="293" max="293"/>
    <col width="16" customWidth="1" min="294" max="294"/>
    <col width="17" customWidth="1" min="295" max="295"/>
    <col width="17" customWidth="1" min="296" max="296"/>
    <col width="14" customWidth="1" min="297" max="297"/>
    <col width="16" customWidth="1" min="298" max="298"/>
    <col width="17" customWidth="1" min="299" max="299"/>
    <col width="17" customWidth="1" min="300" max="300"/>
    <col width="16" customWidth="1" min="301" max="301"/>
    <col width="16" customWidth="1" min="302" max="302"/>
    <col width="14" customWidth="1" min="303" max="303"/>
    <col width="16" customWidth="1" min="304" max="304"/>
    <col width="16" customWidth="1" min="305" max="305"/>
    <col width="17" customWidth="1" min="306" max="306"/>
    <col width="17" customWidth="1" min="307" max="307"/>
    <col width="16" customWidth="1" min="308" max="308"/>
    <col width="14" customWidth="1" min="309" max="309"/>
    <col width="16" customWidth="1" min="310" max="310"/>
    <col width="16" customWidth="1" min="311" max="311"/>
    <col width="13" customWidth="1" min="312" max="312"/>
    <col width="14" customWidth="1" min="313" max="313"/>
    <col width="14" customWidth="1" min="314" max="314"/>
    <col width="17" customWidth="1" min="315" max="315"/>
    <col width="14" customWidth="1" min="316" max="316"/>
    <col width="16" customWidth="1" min="317" max="317"/>
    <col width="16" customWidth="1" min="318" max="318"/>
    <col width="16" customWidth="1" min="319" max="319"/>
    <col width="16" customWidth="1" min="320" max="320"/>
    <col width="14" customWidth="1" min="321" max="321"/>
    <col width="14" customWidth="1" min="322" max="322"/>
    <col width="16" customWidth="1" min="323" max="323"/>
    <col width="16" customWidth="1" min="324" max="324"/>
    <col width="15" customWidth="1" min="325" max="325"/>
    <col width="14" customWidth="1" min="326" max="326"/>
    <col width="16" customWidth="1" min="327" max="327"/>
    <col width="16" customWidth="1" min="328" max="328"/>
    <col width="17" customWidth="1" min="329" max="329"/>
    <col width="17" customWidth="1" min="330" max="330"/>
    <col width="14" customWidth="1" min="331" max="331"/>
    <col width="16" customWidth="1" min="332" max="332"/>
    <col width="16" customWidth="1" min="333" max="333"/>
    <col width="16" customWidth="1" min="334" max="334"/>
    <col width="16" customWidth="1" min="335" max="335"/>
    <col width="17" customWidth="1" min="336" max="336"/>
    <col width="13" customWidth="1" min="337" max="337"/>
    <col width="14" customWidth="1" min="338" max="338"/>
    <col width="16" customWidth="1" min="339" max="339"/>
    <col width="16" customWidth="1" min="340" max="340"/>
    <col width="14" customWidth="1" min="341" max="341"/>
    <col width="14" customWidth="1" min="342" max="342"/>
    <col width="16" customWidth="1" min="343" max="343"/>
    <col width="16" customWidth="1" min="344" max="344"/>
    <col width="14" customWidth="1" min="345" max="345"/>
    <col width="16" customWidth="1" min="346" max="346"/>
    <col width="14" customWidth="1" min="347" max="347"/>
    <col width="16" customWidth="1" min="348" max="348"/>
    <col width="16" customWidth="1" min="349" max="349"/>
    <col width="16" customWidth="1" min="350" max="350"/>
    <col width="16" customWidth="1" min="351" max="351"/>
    <col width="16" customWidth="1" min="352" max="352"/>
    <col width="17" customWidth="1" min="353" max="353"/>
    <col width="17" customWidth="1" min="354" max="354"/>
    <col width="14" customWidth="1" min="355" max="355"/>
    <col width="17" customWidth="1" min="356" max="356"/>
    <col width="17" customWidth="1" min="357" max="357"/>
    <col width="15" customWidth="1" min="358" max="358"/>
    <col width="15" customWidth="1" min="359" max="359"/>
    <col width="15" customWidth="1" min="360" max="360"/>
    <col width="16" customWidth="1" min="361" max="361"/>
    <col width="15" customWidth="1" min="362" max="362"/>
    <col width="16" customWidth="1" min="363" max="363"/>
    <col width="17" customWidth="1" min="364" max="364"/>
    <col width="18" customWidth="1" min="365" max="365"/>
    <col width="15" customWidth="1" min="366" max="366"/>
    <col width="13" customWidth="1" min="367" max="367"/>
    <col width="15" customWidth="1" min="368" max="368"/>
    <col width="16" customWidth="1" min="369" max="369"/>
    <col width="16" customWidth="1" min="370" max="370"/>
    <col width="17" customWidth="1" min="371" max="371"/>
    <col width="15" customWidth="1" min="372" max="372"/>
    <col width="13" customWidth="1" min="373" max="373"/>
    <col width="14" customWidth="1" min="374" max="374"/>
    <col width="14" customWidth="1" min="375" max="375"/>
    <col width="14" customWidth="1" min="376" max="376"/>
    <col width="14" customWidth="1" min="377" max="377"/>
    <col width="15" customWidth="1" min="378" max="378"/>
    <col width="15" customWidth="1" min="379" max="379"/>
    <col width="13" customWidth="1" min="380" max="380"/>
    <col width="15" customWidth="1" min="381" max="381"/>
    <col width="16" customWidth="1" min="382" max="382"/>
    <col width="16" customWidth="1" min="383" max="383"/>
    <col width="17" customWidth="1" min="384" max="384"/>
    <col width="14" customWidth="1" min="385" max="385"/>
    <col width="14" customWidth="1" min="386" max="386"/>
    <col width="16" customWidth="1" min="387" max="387"/>
    <col width="14" customWidth="1" min="388" max="388"/>
    <col width="14" customWidth="1" min="389" max="389"/>
    <col width="16" customWidth="1" min="390" max="390"/>
    <col width="13" customWidth="1" min="391" max="391"/>
    <col width="15" customWidth="1" min="392" max="392"/>
    <col width="15" customWidth="1" min="393" max="393"/>
    <col width="17" customWidth="1" min="394" max="394"/>
    <col width="17" customWidth="1" min="395" max="395"/>
    <col width="14" customWidth="1" min="396" max="396"/>
    <col width="15" customWidth="1" min="397" max="397"/>
    <col width="15" customWidth="1" min="398" max="398"/>
    <col width="15" customWidth="1" min="399" max="399"/>
    <col width="14" customWidth="1" min="400" max="400"/>
    <col width="14" customWidth="1" min="401" max="401"/>
  </cols>
  <sheetData>
    <row r="1">
      <c r="A1" s="6" t="inlineStr">
        <is>
          <t>Ref Month (NSA)</t>
        </is>
      </c>
      <c r="B1" s="25" t="inlineStr">
        <is>
          <t>CUUR0000SA0</t>
        </is>
      </c>
      <c r="C1" s="25" t="inlineStr">
        <is>
          <t>CUUR0000AA0</t>
        </is>
      </c>
      <c r="D1" s="25" t="inlineStr">
        <is>
          <t>CUUR0000SAF</t>
        </is>
      </c>
      <c r="E1" s="25" t="inlineStr">
        <is>
          <t>CUUR0000SAF1</t>
        </is>
      </c>
      <c r="F1" s="25" t="inlineStr">
        <is>
          <t>CUUR0000SAF11</t>
        </is>
      </c>
      <c r="G1" s="25" t="inlineStr">
        <is>
          <t>CUUR0000SAF111</t>
        </is>
      </c>
      <c r="H1" s="25" t="inlineStr">
        <is>
          <t>CUUR0000SEFA</t>
        </is>
      </c>
      <c r="I1" s="25" t="inlineStr">
        <is>
          <t>CUUR0000SEFA01</t>
        </is>
      </c>
      <c r="J1" s="25" t="inlineStr">
        <is>
          <t>CUUR0000SEFA02</t>
        </is>
      </c>
      <c r="K1" s="25" t="inlineStr">
        <is>
          <t>CUUR0000SEFA03</t>
        </is>
      </c>
      <c r="L1" s="25" t="inlineStr">
        <is>
          <t>CUUR0000SS01031</t>
        </is>
      </c>
      <c r="M1" s="25" t="inlineStr">
        <is>
          <t>CUUR0000SEFB</t>
        </is>
      </c>
      <c r="N1" s="25" t="inlineStr">
        <is>
          <t>CUUR0000SEFB01</t>
        </is>
      </c>
      <c r="O1" s="25" t="inlineStr">
        <is>
          <t>CUUR0000SS02011</t>
        </is>
      </c>
      <c r="P1" s="25" t="inlineStr">
        <is>
          <t>CUUR0000SS02021</t>
        </is>
      </c>
      <c r="Q1" s="25" t="inlineStr">
        <is>
          <t>CUUR0000SEFB02</t>
        </is>
      </c>
      <c r="R1" s="25" t="inlineStr">
        <is>
          <t>CUUR0000SEFB03</t>
        </is>
      </c>
      <c r="S1" s="25" t="inlineStr">
        <is>
          <t>CUUR0000SS02041</t>
        </is>
      </c>
      <c r="T1" s="25" t="inlineStr">
        <is>
          <t>CUUR0000SS02042</t>
        </is>
      </c>
      <c r="U1" s="25" t="inlineStr">
        <is>
          <t>CUUR0000SEFB04</t>
        </is>
      </c>
      <c r="V1" s="25" t="inlineStr">
        <is>
          <t>CUUR0000SS02063</t>
        </is>
      </c>
      <c r="W1" s="25" t="inlineStr">
        <is>
          <t>CUUR0000SS0206A</t>
        </is>
      </c>
      <c r="X1" s="25" t="inlineStr">
        <is>
          <t>CUUR0000SS0206B</t>
        </is>
      </c>
      <c r="Y1" s="25" t="inlineStr">
        <is>
          <t>CUUR0000SAF112</t>
        </is>
      </c>
      <c r="Z1" s="25" t="inlineStr">
        <is>
          <t>CUUR0000SAF1121</t>
        </is>
      </c>
      <c r="AA1" s="25" t="inlineStr">
        <is>
          <t>CUUR0000SAF11211</t>
        </is>
      </c>
      <c r="AB1" s="25" t="inlineStr">
        <is>
          <t>CUUR0000SEFC</t>
        </is>
      </c>
      <c r="AC1" s="25" t="inlineStr">
        <is>
          <t>CUUR0000SEFC01</t>
        </is>
      </c>
      <c r="AD1" s="25" t="inlineStr">
        <is>
          <t>CUUR0000SEFC02</t>
        </is>
      </c>
      <c r="AE1" s="25" t="inlineStr">
        <is>
          <t>CUUR0000SEFC03</t>
        </is>
      </c>
      <c r="AF1" s="25" t="inlineStr">
        <is>
          <t>CUUR0000SEFC04</t>
        </is>
      </c>
      <c r="AG1" s="25" t="inlineStr">
        <is>
          <t>CUUR0000SEFD</t>
        </is>
      </c>
      <c r="AH1" s="25" t="inlineStr">
        <is>
          <t>CUUR0000SEFD01</t>
        </is>
      </c>
      <c r="AI1" s="25" t="inlineStr">
        <is>
          <t>CUUR0000SS04011</t>
        </is>
      </c>
      <c r="AJ1" s="25" t="inlineStr">
        <is>
          <t>CUUR0000SS04012</t>
        </is>
      </c>
      <c r="AK1" s="25" t="inlineStr">
        <is>
          <t>CUUR0000SEFD02</t>
        </is>
      </c>
      <c r="AL1" s="25" t="inlineStr">
        <is>
          <t>CUUR0000SS04031</t>
        </is>
      </c>
      <c r="AM1" s="25" t="inlineStr">
        <is>
          <t>CUUR0000SEFD03</t>
        </is>
      </c>
      <c r="AN1" s="25" t="inlineStr">
        <is>
          <t>CUUR0000SEFD04</t>
        </is>
      </c>
      <c r="AO1" s="25" t="inlineStr">
        <is>
          <t>CUUR0000SEFE</t>
        </is>
      </c>
      <c r="AP1" s="25" t="inlineStr">
        <is>
          <t>CUUR0000SS05011</t>
        </is>
      </c>
      <c r="AQ1" s="25" t="inlineStr">
        <is>
          <t>CUUR0000SS0501A</t>
        </is>
      </c>
      <c r="AR1" s="25" t="inlineStr">
        <is>
          <t>CUUR0000SS05014</t>
        </is>
      </c>
      <c r="AS1" s="25" t="inlineStr">
        <is>
          <t>CUUR0000SS05015</t>
        </is>
      </c>
      <c r="AT1" s="25" t="inlineStr">
        <is>
          <t>CUUR0000SEFF</t>
        </is>
      </c>
      <c r="AU1" s="25" t="inlineStr">
        <is>
          <t>CUUR0000SEFF01</t>
        </is>
      </c>
      <c r="AV1" s="25" t="inlineStr">
        <is>
          <t>CUUR0000SS06011</t>
        </is>
      </c>
      <c r="AW1" s="25" t="inlineStr">
        <is>
          <t>CUUR0000SS06021</t>
        </is>
      </c>
      <c r="AX1" s="25" t="inlineStr">
        <is>
          <t>CUUR0000SEFF02</t>
        </is>
      </c>
      <c r="AY1" s="25" t="inlineStr">
        <is>
          <t>CUUR0000SEFG</t>
        </is>
      </c>
      <c r="AZ1" s="25" t="inlineStr">
        <is>
          <t>CUUR0000SEFG01</t>
        </is>
      </c>
      <c r="BA1" s="25" t="inlineStr">
        <is>
          <t>CUUR0000SEFG02</t>
        </is>
      </c>
      <c r="BB1" s="25" t="inlineStr">
        <is>
          <t>CUUR0000SS07011</t>
        </is>
      </c>
      <c r="BC1" s="25" t="inlineStr">
        <is>
          <t>CUUR0000SS07021</t>
        </is>
      </c>
      <c r="BD1" s="25" t="inlineStr">
        <is>
          <t>CUUR0000SEFH</t>
        </is>
      </c>
      <c r="BE1" s="25" t="inlineStr">
        <is>
          <t>CUUR0000SEFJ</t>
        </is>
      </c>
      <c r="BF1" s="25" t="inlineStr">
        <is>
          <t>CUUR0000SEFJ01</t>
        </is>
      </c>
      <c r="BG1" s="25" t="inlineStr">
        <is>
          <t>CUUR0000SS09011</t>
        </is>
      </c>
      <c r="BH1" s="25" t="inlineStr">
        <is>
          <t>CUUR0000SS09021</t>
        </is>
      </c>
      <c r="BI1" s="25" t="inlineStr">
        <is>
          <t>CUUR0000SEFJ02</t>
        </is>
      </c>
      <c r="BJ1" s="25" t="inlineStr">
        <is>
          <t>CUUR0000SEFJ03</t>
        </is>
      </c>
      <c r="BK1" s="25" t="inlineStr">
        <is>
          <t>CUUR0000SEFJ04</t>
        </is>
      </c>
      <c r="BL1" s="25" t="inlineStr">
        <is>
          <t>CUUR0000SAF113</t>
        </is>
      </c>
      <c r="BM1" s="25" t="inlineStr">
        <is>
          <t>CUUR0000SAF1131</t>
        </is>
      </c>
      <c r="BN1" s="25" t="inlineStr">
        <is>
          <t>CUUR0000SEFK</t>
        </is>
      </c>
      <c r="BO1" s="25" t="inlineStr">
        <is>
          <t>CUUR0000SEFK01</t>
        </is>
      </c>
      <c r="BP1" s="25" t="inlineStr">
        <is>
          <t>CUUR0000SEFK02</t>
        </is>
      </c>
      <c r="BQ1" s="25" t="inlineStr">
        <is>
          <t>CUUR0000SEFK03</t>
        </is>
      </c>
      <c r="BR1" s="25" t="inlineStr">
        <is>
          <t>CUUR0000SS11031</t>
        </is>
      </c>
      <c r="BS1" s="25" t="inlineStr">
        <is>
          <t>CUUR0000SEFK04</t>
        </is>
      </c>
      <c r="BT1" s="25" t="inlineStr">
        <is>
          <t>CUUR0000SEFL</t>
        </is>
      </c>
      <c r="BU1" s="25" t="inlineStr">
        <is>
          <t>CUUR0000SEFL01</t>
        </is>
      </c>
      <c r="BV1" s="25" t="inlineStr">
        <is>
          <t>CUUR0000SEFL02</t>
        </is>
      </c>
      <c r="BW1" s="25" t="inlineStr">
        <is>
          <t>CUUR0000SEFL03</t>
        </is>
      </c>
      <c r="BX1" s="25" t="inlineStr">
        <is>
          <t>CUUR0000SEFL04</t>
        </is>
      </c>
      <c r="BY1" s="25" t="inlineStr">
        <is>
          <t>CUUR0000SEFM</t>
        </is>
      </c>
      <c r="BZ1" s="25" t="inlineStr">
        <is>
          <t>CUUR0000SEFM01</t>
        </is>
      </c>
      <c r="CA1" s="25" t="inlineStr">
        <is>
          <t>CUUR0000SS13031</t>
        </is>
      </c>
      <c r="CB1" s="25" t="inlineStr">
        <is>
          <t>CUUR0000SS14021</t>
        </is>
      </c>
      <c r="CC1" s="25" t="inlineStr">
        <is>
          <t>CUUR0000SEFM02</t>
        </is>
      </c>
      <c r="CD1" s="25" t="inlineStr">
        <is>
          <t>CUUR0000SS14011</t>
        </is>
      </c>
      <c r="CE1" s="25" t="inlineStr">
        <is>
          <t>CUUR0000SEFM03</t>
        </is>
      </c>
      <c r="CF1" s="25" t="inlineStr">
        <is>
          <t>CUUR0000SS14022</t>
        </is>
      </c>
      <c r="CG1" s="25" t="inlineStr">
        <is>
          <t>CUUR0000SAF114</t>
        </is>
      </c>
      <c r="CH1" s="25" t="inlineStr">
        <is>
          <t>CUUR0000SEFN</t>
        </is>
      </c>
      <c r="CI1" s="25" t="inlineStr">
        <is>
          <t>CUUR0000SEFN01</t>
        </is>
      </c>
      <c r="CJ1" s="25" t="inlineStr">
        <is>
          <t>CUUR0000SEFN02</t>
        </is>
      </c>
      <c r="CK1" s="25" t="inlineStr">
        <is>
          <t>CUUR0000SEFN03</t>
        </is>
      </c>
      <c r="CL1" s="25" t="inlineStr">
        <is>
          <t>CUUR0000SEFP</t>
        </is>
      </c>
      <c r="CM1" s="25" t="inlineStr">
        <is>
          <t>CUUR0000SEFP01</t>
        </is>
      </c>
      <c r="CN1" s="25" t="inlineStr">
        <is>
          <t>CUUR0000SS17031</t>
        </is>
      </c>
      <c r="CO1" s="25" t="inlineStr">
        <is>
          <t>CUUR0000SS17032</t>
        </is>
      </c>
      <c r="CP1" s="25" t="inlineStr">
        <is>
          <t>CUUR0000SEFP02</t>
        </is>
      </c>
      <c r="CQ1" s="25" t="inlineStr">
        <is>
          <t>CUUR0000SAF115</t>
        </is>
      </c>
      <c r="CR1" s="25" t="inlineStr">
        <is>
          <t>CUUR0000SEFR</t>
        </is>
      </c>
      <c r="CS1" s="25" t="inlineStr">
        <is>
          <t>CUUR0000SEFR01</t>
        </is>
      </c>
      <c r="CT1" s="25" t="inlineStr">
        <is>
          <t>CUUR0000SEFR02</t>
        </is>
      </c>
      <c r="CU1" s="25" t="inlineStr">
        <is>
          <t>CUUR0000SEFR03</t>
        </is>
      </c>
      <c r="CV1" s="25" t="inlineStr">
        <is>
          <t>CUUR0000SEFS</t>
        </is>
      </c>
      <c r="CW1" s="25" t="inlineStr">
        <is>
          <t>CUUR0000SEFS01</t>
        </is>
      </c>
      <c r="CX1" s="25" t="inlineStr">
        <is>
          <t>CUUR0000SS10011</t>
        </is>
      </c>
      <c r="CY1" s="25" t="inlineStr">
        <is>
          <t>CUUR0000SS16011</t>
        </is>
      </c>
      <c r="CZ1" s="25" t="inlineStr">
        <is>
          <t>CUUR0000SEFS02</t>
        </is>
      </c>
      <c r="DA1" s="25" t="inlineStr">
        <is>
          <t>CUUR0000SEFS03</t>
        </is>
      </c>
      <c r="DB1" s="25" t="inlineStr">
        <is>
          <t>CUUR0000SS16014</t>
        </is>
      </c>
      <c r="DC1" s="25" t="inlineStr">
        <is>
          <t>CUUR0000SEFT</t>
        </is>
      </c>
      <c r="DD1" s="25" t="inlineStr">
        <is>
          <t>CUUR0000SEFT01</t>
        </is>
      </c>
      <c r="DE1" s="25" t="inlineStr">
        <is>
          <t>CUUR0000SEFT02</t>
        </is>
      </c>
      <c r="DF1" s="25" t="inlineStr">
        <is>
          <t>CUUR0000SEFT03</t>
        </is>
      </c>
      <c r="DG1" s="25" t="inlineStr">
        <is>
          <t>CUUR0000SEFT04</t>
        </is>
      </c>
      <c r="DH1" s="25" t="inlineStr">
        <is>
          <t>CUUR0000SS18041</t>
        </is>
      </c>
      <c r="DI1" s="25" t="inlineStr">
        <is>
          <t>CUUR0000SS18042</t>
        </is>
      </c>
      <c r="DJ1" s="25" t="inlineStr">
        <is>
          <t>CUUR0000SS18043</t>
        </is>
      </c>
      <c r="DK1" s="25" t="inlineStr">
        <is>
          <t>CUUR0000SS1804B</t>
        </is>
      </c>
      <c r="DL1" s="25" t="inlineStr">
        <is>
          <t>CUUR0000SEFT05</t>
        </is>
      </c>
      <c r="DM1" s="25" t="inlineStr">
        <is>
          <t>CUUR0000SEFT06</t>
        </is>
      </c>
      <c r="DN1" s="25" t="inlineStr">
        <is>
          <t>CUUR0000SS18064</t>
        </is>
      </c>
      <c r="DO1" s="25" t="inlineStr">
        <is>
          <t>CUUR0000SEFV</t>
        </is>
      </c>
      <c r="DP1" s="25" t="inlineStr">
        <is>
          <t>CUUR0000SEFV01</t>
        </is>
      </c>
      <c r="DQ1" s="25" t="inlineStr">
        <is>
          <t>CUUR0000SEFV02</t>
        </is>
      </c>
      <c r="DR1" s="25" t="inlineStr">
        <is>
          <t>CUUR0000SEFV03</t>
        </is>
      </c>
      <c r="DS1" s="25" t="inlineStr">
        <is>
          <t>CUUR0000SSFV031A</t>
        </is>
      </c>
      <c r="DT1" s="25" t="inlineStr">
        <is>
          <t>CUUR0000SEFV04</t>
        </is>
      </c>
      <c r="DU1" s="25" t="inlineStr">
        <is>
          <t>CUUR0000SEFV05</t>
        </is>
      </c>
      <c r="DV1" s="25" t="inlineStr">
        <is>
          <t>CUUR0000SAF116</t>
        </is>
      </c>
      <c r="DW1" s="25" t="inlineStr">
        <is>
          <t>CUUR0000SEFW</t>
        </is>
      </c>
      <c r="DX1" s="25" t="inlineStr">
        <is>
          <t>CUUR0000SEFW01</t>
        </is>
      </c>
      <c r="DY1" s="25" t="inlineStr">
        <is>
          <t>CUUR0000SEFW02</t>
        </is>
      </c>
      <c r="DZ1" s="25" t="inlineStr">
        <is>
          <t>CUUR0000SS20021</t>
        </is>
      </c>
      <c r="EA1" s="25" t="inlineStr">
        <is>
          <t>CUUR0000SS20022</t>
        </is>
      </c>
      <c r="EB1" s="25" t="inlineStr">
        <is>
          <t>CUUR0000SEFW03</t>
        </is>
      </c>
      <c r="EC1" s="25" t="inlineStr">
        <is>
          <t>CUUR0000SEFX</t>
        </is>
      </c>
      <c r="ED1" s="25" t="inlineStr">
        <is>
          <t>CUUR0000SS20051</t>
        </is>
      </c>
      <c r="EE1" s="25" t="inlineStr">
        <is>
          <t>CUUR0000SS20052</t>
        </is>
      </c>
      <c r="EF1" s="25" t="inlineStr">
        <is>
          <t>CUUR0000SS20053</t>
        </is>
      </c>
      <c r="EG1" s="25" t="inlineStr">
        <is>
          <t>CUUR0000SAH</t>
        </is>
      </c>
      <c r="EH1" s="25" t="inlineStr">
        <is>
          <t>CUUR0000SAH1</t>
        </is>
      </c>
      <c r="EI1" s="25" t="inlineStr">
        <is>
          <t>CUUR0000SEHA</t>
        </is>
      </c>
      <c r="EJ1" s="25" t="inlineStr">
        <is>
          <t>CUUR0000SEHB</t>
        </is>
      </c>
      <c r="EK1" s="25" t="inlineStr">
        <is>
          <t>CUUR0000SEHB01</t>
        </is>
      </c>
      <c r="EL1" s="25" t="inlineStr">
        <is>
          <t>CUUR0000SEHB02</t>
        </is>
      </c>
      <c r="EM1" s="25" t="inlineStr">
        <is>
          <t>CUUR0000SEHC</t>
        </is>
      </c>
      <c r="EN1" s="25" t="inlineStr">
        <is>
          <t>CUUR0000SEHC01</t>
        </is>
      </c>
      <c r="EO1" s="25" t="inlineStr">
        <is>
          <t>CUUR0000SEHD</t>
        </is>
      </c>
      <c r="EP1" s="25" t="inlineStr">
        <is>
          <t>CUUR0000SAH2</t>
        </is>
      </c>
      <c r="EQ1" s="25" t="inlineStr">
        <is>
          <t>CUUR0000SAH21</t>
        </is>
      </c>
      <c r="ER1" s="25" t="inlineStr">
        <is>
          <t>CUUR0000SEHE</t>
        </is>
      </c>
      <c r="ES1" s="25" t="inlineStr">
        <is>
          <t>CUUR0000SEHE01</t>
        </is>
      </c>
      <c r="ET1" s="25" t="inlineStr">
        <is>
          <t>CUUR0000SEHE02</t>
        </is>
      </c>
      <c r="EU1" s="25" t="inlineStr">
        <is>
          <t>CUUR0000SEHF</t>
        </is>
      </c>
      <c r="EV1" s="25" t="inlineStr">
        <is>
          <t>CUUR0000SEHF01</t>
        </is>
      </c>
      <c r="EW1" s="25" t="inlineStr">
        <is>
          <t>CUUR0000SEHF02</t>
        </is>
      </c>
      <c r="EX1" s="25" t="inlineStr">
        <is>
          <t>CUUR0000SEHG</t>
        </is>
      </c>
      <c r="EY1" s="25" t="inlineStr">
        <is>
          <t>CUUR0000SEHG01</t>
        </is>
      </c>
      <c r="EZ1" s="25" t="inlineStr">
        <is>
          <t>CUUR0000SEHG02</t>
        </is>
      </c>
      <c r="FA1" s="25" t="inlineStr">
        <is>
          <t>CUUR0000SAH3</t>
        </is>
      </c>
      <c r="FB1" s="25" t="inlineStr">
        <is>
          <t>CUUR0000SEHH</t>
        </is>
      </c>
      <c r="FC1" s="25" t="inlineStr">
        <is>
          <t>CUUR0000SEHH01</t>
        </is>
      </c>
      <c r="FD1" s="25" t="inlineStr">
        <is>
          <t>CUUR0000SEHH02</t>
        </is>
      </c>
      <c r="FE1" s="25" t="inlineStr">
        <is>
          <t>CUUR0000SEHH03</t>
        </is>
      </c>
      <c r="FF1" s="25" t="inlineStr">
        <is>
          <t>CUUR0000SEHJ</t>
        </is>
      </c>
      <c r="FG1" s="25" t="inlineStr">
        <is>
          <t>CUUR0000SEHJ01</t>
        </is>
      </c>
      <c r="FH1" s="25" t="inlineStr">
        <is>
          <t>CUUR0000SEHJ02</t>
        </is>
      </c>
      <c r="FI1" s="25" t="inlineStr">
        <is>
          <t>CUUR0000SEHJ03</t>
        </is>
      </c>
      <c r="FJ1" s="25" t="inlineStr">
        <is>
          <t>CUUR0000SSHJ031</t>
        </is>
      </c>
      <c r="FK1" s="25" t="inlineStr">
        <is>
          <t>CUUR0000SEHK</t>
        </is>
      </c>
      <c r="FL1" s="25" t="inlineStr">
        <is>
          <t>CUUR0000SEHK01</t>
        </is>
      </c>
      <c r="FM1" s="25" t="inlineStr">
        <is>
          <t>CUUR0000SS30021</t>
        </is>
      </c>
      <c r="FN1" s="25" t="inlineStr">
        <is>
          <t>CUUR0000SEHK02</t>
        </is>
      </c>
      <c r="FO1" s="25" t="inlineStr">
        <is>
          <t>CUUR0000SEHL</t>
        </is>
      </c>
      <c r="FP1" s="25" t="inlineStr">
        <is>
          <t>CUUR0000SEHL01</t>
        </is>
      </c>
      <c r="FQ1" s="25" t="inlineStr">
        <is>
          <t>CUUR0000SEHL02</t>
        </is>
      </c>
      <c r="FR1" s="25" t="inlineStr">
        <is>
          <t>CUUR0000SEHL03</t>
        </is>
      </c>
      <c r="FS1" s="25" t="inlineStr">
        <is>
          <t>CUUR0000SEHL04</t>
        </is>
      </c>
      <c r="FT1" s="25" t="inlineStr">
        <is>
          <t>CUUR0000SEHM</t>
        </is>
      </c>
      <c r="FU1" s="25" t="inlineStr">
        <is>
          <t>CUUR0000SEHM01</t>
        </is>
      </c>
      <c r="FV1" s="25" t="inlineStr">
        <is>
          <t>CUUR0000SEHM02</t>
        </is>
      </c>
      <c r="FW1" s="25" t="inlineStr">
        <is>
          <t>CUUR0000SEHN</t>
        </is>
      </c>
      <c r="FX1" s="25" t="inlineStr">
        <is>
          <t>CUUR0000SEHN01</t>
        </is>
      </c>
      <c r="FY1" s="25" t="inlineStr">
        <is>
          <t>CUUR0000SEHN02</t>
        </is>
      </c>
      <c r="FZ1" s="25" t="inlineStr">
        <is>
          <t>CUUR0000SEHN03</t>
        </is>
      </c>
      <c r="GA1" s="25" t="inlineStr">
        <is>
          <t>CUUR0000SEHP</t>
        </is>
      </c>
      <c r="GB1" s="25" t="inlineStr">
        <is>
          <t>CUUR0000SEHP01</t>
        </is>
      </c>
      <c r="GC1" s="25" t="inlineStr">
        <is>
          <t>CUUR0000SEHP02</t>
        </is>
      </c>
      <c r="GD1" s="25" t="inlineStr">
        <is>
          <t>CUUR0000SEHP03</t>
        </is>
      </c>
      <c r="GE1" s="25" t="inlineStr">
        <is>
          <t>CUUR0000SEHP04</t>
        </is>
      </c>
      <c r="GF1" s="25" t="inlineStr">
        <is>
          <t>CUUR0000SAA</t>
        </is>
      </c>
      <c r="GG1" s="25" t="inlineStr">
        <is>
          <t>CUUR0000SAA1</t>
        </is>
      </c>
      <c r="GH1" s="25" t="inlineStr">
        <is>
          <t>CUUR0000SEAA</t>
        </is>
      </c>
      <c r="GI1" s="25" t="inlineStr">
        <is>
          <t>CUUR0000SEAA01</t>
        </is>
      </c>
      <c r="GJ1" s="25" t="inlineStr">
        <is>
          <t>CUUR0000SEAA02</t>
        </is>
      </c>
      <c r="GK1" s="25" t="inlineStr">
        <is>
          <t>CUUR0000SEAA03</t>
        </is>
      </c>
      <c r="GL1" s="25" t="inlineStr">
        <is>
          <t>CUUR0000SEAA04</t>
        </is>
      </c>
      <c r="GM1" s="25" t="inlineStr">
        <is>
          <t>CUUR0000SEAB</t>
        </is>
      </c>
      <c r="GN1" s="25" t="inlineStr">
        <is>
          <t>CUUR0000SAA2</t>
        </is>
      </c>
      <c r="GO1" s="25" t="inlineStr">
        <is>
          <t>CUUR0000SEAC</t>
        </is>
      </c>
      <c r="GP1" s="25" t="inlineStr">
        <is>
          <t>CUUR0000SEAC01</t>
        </is>
      </c>
      <c r="GQ1" s="25" t="inlineStr">
        <is>
          <t>CUUR0000SEAC02</t>
        </is>
      </c>
      <c r="GR1" s="25" t="inlineStr">
        <is>
          <t>CUUR0000SEAC03</t>
        </is>
      </c>
      <c r="GS1" s="25" t="inlineStr">
        <is>
          <t>CUUR0000SEAC04</t>
        </is>
      </c>
      <c r="GT1" s="25" t="inlineStr">
        <is>
          <t>CUUR0000SEAD</t>
        </is>
      </c>
      <c r="GU1" s="25" t="inlineStr">
        <is>
          <t>CUUR0000SEAE</t>
        </is>
      </c>
      <c r="GV1" s="25" t="inlineStr">
        <is>
          <t>CUUR0000SEAE01</t>
        </is>
      </c>
      <c r="GW1" s="25" t="inlineStr">
        <is>
          <t>CUUR0000SEAE02</t>
        </is>
      </c>
      <c r="GX1" s="25" t="inlineStr">
        <is>
          <t>CUUR0000SEAE03</t>
        </is>
      </c>
      <c r="GY1" s="25" t="inlineStr">
        <is>
          <t>CUUR0000SEAF</t>
        </is>
      </c>
      <c r="GZ1" s="25" t="inlineStr">
        <is>
          <t>CUUR0000SEAG</t>
        </is>
      </c>
      <c r="HA1" s="25" t="inlineStr">
        <is>
          <t>CUUR0000SEAG01</t>
        </is>
      </c>
      <c r="HB1" s="25" t="inlineStr">
        <is>
          <t>CUUR0000SEAG02</t>
        </is>
      </c>
      <c r="HC1" s="25" t="inlineStr">
        <is>
          <t>CUUR0000SAT</t>
        </is>
      </c>
      <c r="HD1" s="25" t="inlineStr">
        <is>
          <t>CUUR0000SAT1</t>
        </is>
      </c>
      <c r="HE1" s="25" t="inlineStr">
        <is>
          <t>CUUR0000SETA</t>
        </is>
      </c>
      <c r="HF1" s="25" t="inlineStr">
        <is>
          <t>CUUR0000SETA01</t>
        </is>
      </c>
      <c r="HG1" s="25" t="inlineStr">
        <is>
          <t>CUUR0000SS4501A</t>
        </is>
      </c>
      <c r="HH1" s="25" t="inlineStr">
        <is>
          <t>CUUR0000SS45011</t>
        </is>
      </c>
      <c r="HI1" s="25" t="inlineStr">
        <is>
          <t>CUUR0000SS45021</t>
        </is>
      </c>
      <c r="HJ1" s="25" t="inlineStr">
        <is>
          <t>CUUR0000SS45031</t>
        </is>
      </c>
      <c r="HK1" s="25" t="inlineStr">
        <is>
          <t>CUUR0000SETA02</t>
        </is>
      </c>
      <c r="HL1" s="25" t="inlineStr">
        <is>
          <t>CUUR0000SETA03</t>
        </is>
      </c>
      <c r="HM1" s="25" t="inlineStr">
        <is>
          <t>CUUR0000SETA04</t>
        </is>
      </c>
      <c r="HN1" s="25" t="inlineStr">
        <is>
          <t>CUUR0000SETB</t>
        </is>
      </c>
      <c r="HO1" s="25" t="inlineStr">
        <is>
          <t>CUUR0000SETB01</t>
        </is>
      </c>
      <c r="HP1" s="25" t="inlineStr">
        <is>
          <t>CUUR0000SS47014</t>
        </is>
      </c>
      <c r="HQ1" s="25" t="inlineStr">
        <is>
          <t>CUUR0000SS47015</t>
        </is>
      </c>
      <c r="HR1" s="25" t="inlineStr">
        <is>
          <t>CUUR0000SS47016</t>
        </is>
      </c>
      <c r="HS1" s="25" t="inlineStr">
        <is>
          <t>CUUR0000SETB02</t>
        </is>
      </c>
      <c r="HT1" s="25" t="inlineStr">
        <is>
          <t>CUUR0000SETC</t>
        </is>
      </c>
      <c r="HU1" s="25" t="inlineStr">
        <is>
          <t>CUUR0000SETC01</t>
        </is>
      </c>
      <c r="HV1" s="25" t="inlineStr">
        <is>
          <t>CUUR0000SETC02</t>
        </is>
      </c>
      <c r="HW1" s="25" t="inlineStr">
        <is>
          <t>CUUR0000SS48021</t>
        </is>
      </c>
      <c r="HX1" s="25" t="inlineStr">
        <is>
          <t>CUUR0000SS47021</t>
        </is>
      </c>
      <c r="HY1" s="25" t="inlineStr">
        <is>
          <t>CUUR0000SETD</t>
        </is>
      </c>
      <c r="HZ1" s="25" t="inlineStr">
        <is>
          <t>CUUR0000SETD01</t>
        </is>
      </c>
      <c r="IA1" s="25" t="inlineStr">
        <is>
          <t>CUUR0000SETD02</t>
        </is>
      </c>
      <c r="IB1" s="25" t="inlineStr">
        <is>
          <t>CUUR0000SETD03</t>
        </is>
      </c>
      <c r="IC1" s="25" t="inlineStr">
        <is>
          <t>CUUR0000SETE</t>
        </is>
      </c>
      <c r="ID1" s="25" t="inlineStr">
        <is>
          <t>CUUR0000SETF</t>
        </is>
      </c>
      <c r="IE1" s="25" t="inlineStr">
        <is>
          <t>CUUR0000SETF01</t>
        </is>
      </c>
      <c r="IF1" s="25" t="inlineStr">
        <is>
          <t>CUUR0000SETF03</t>
        </is>
      </c>
      <c r="IG1" s="25" t="inlineStr">
        <is>
          <t>CUUR0000SS52051</t>
        </is>
      </c>
      <c r="IH1" s="25" t="inlineStr">
        <is>
          <t>CUUR0000SS62011</t>
        </is>
      </c>
      <c r="II1" s="25" t="inlineStr">
        <is>
          <t>CUUR0000SETG</t>
        </is>
      </c>
      <c r="IJ1" s="25" t="inlineStr">
        <is>
          <t>CUUR0000SETG01</t>
        </is>
      </c>
      <c r="IK1" s="25" t="inlineStr">
        <is>
          <t>CUUR0000SETG02</t>
        </is>
      </c>
      <c r="IL1" s="25" t="inlineStr">
        <is>
          <t>CUUR0000SS53021</t>
        </is>
      </c>
      <c r="IM1" s="25" t="inlineStr">
        <is>
          <t>CUUR0000SS53022</t>
        </is>
      </c>
      <c r="IN1" s="25" t="inlineStr">
        <is>
          <t>CUUR0000SS53023</t>
        </is>
      </c>
      <c r="IO1" s="25" t="inlineStr">
        <is>
          <t>CUUR0000SETG03</t>
        </is>
      </c>
      <c r="IP1" s="25" t="inlineStr">
        <is>
          <t>CUUR0000SS53031</t>
        </is>
      </c>
      <c r="IQ1" s="25" t="inlineStr">
        <is>
          <t>CUUR0000SAM</t>
        </is>
      </c>
      <c r="IR1" s="25" t="inlineStr">
        <is>
          <t>CUUR0000SAM1</t>
        </is>
      </c>
      <c r="IS1" s="25" t="inlineStr">
        <is>
          <t>CUUR0000SEMF</t>
        </is>
      </c>
      <c r="IT1" s="25" t="inlineStr">
        <is>
          <t>CUUR0000SEMF01</t>
        </is>
      </c>
      <c r="IU1" s="25" t="inlineStr">
        <is>
          <t>CUUR0000SEMF02</t>
        </is>
      </c>
      <c r="IV1" s="25" t="inlineStr">
        <is>
          <t>CUUR0000SEMG</t>
        </is>
      </c>
      <c r="IW1" s="25" t="inlineStr">
        <is>
          <t>CUUR0000SAM2</t>
        </is>
      </c>
      <c r="IX1" s="25" t="inlineStr">
        <is>
          <t>CUUR0000SEMC</t>
        </is>
      </c>
      <c r="IY1" s="25" t="inlineStr">
        <is>
          <t>CUUR0000SEMC01</t>
        </is>
      </c>
      <c r="IZ1" s="25" t="inlineStr">
        <is>
          <t>CUUR0000SEMC02</t>
        </is>
      </c>
      <c r="JA1" s="25" t="inlineStr">
        <is>
          <t>CUUR0000SEMC03</t>
        </is>
      </c>
      <c r="JB1" s="25" t="inlineStr">
        <is>
          <t>CUUR0000SEMC04</t>
        </is>
      </c>
      <c r="JC1" s="25" t="inlineStr">
        <is>
          <t>CUUR0000SEMD</t>
        </is>
      </c>
      <c r="JD1" s="25" t="inlineStr">
        <is>
          <t>CUUR0000SEMD01</t>
        </is>
      </c>
      <c r="JE1" s="25" t="inlineStr">
        <is>
          <t>CUUR0000SS5702</t>
        </is>
      </c>
      <c r="JF1" s="25" t="inlineStr">
        <is>
          <t>CUUR0000SS5703</t>
        </is>
      </c>
      <c r="JG1" s="25" t="inlineStr">
        <is>
          <t>CUUR0000SEMD02</t>
        </is>
      </c>
      <c r="JH1" s="25" t="inlineStr">
        <is>
          <t>CUUR0000SEMD03</t>
        </is>
      </c>
      <c r="JI1" s="25" t="inlineStr">
        <is>
          <t>CUUR0000SEME</t>
        </is>
      </c>
      <c r="JJ1" s="25" t="inlineStr">
        <is>
          <t>CUUR0000SAR</t>
        </is>
      </c>
      <c r="JK1" s="25" t="inlineStr">
        <is>
          <t>CUUR0000SERA</t>
        </is>
      </c>
      <c r="JL1" s="25" t="inlineStr">
        <is>
          <t>CUUR0000SERA01</t>
        </is>
      </c>
      <c r="JM1" s="25" t="inlineStr">
        <is>
          <t>CUUR0000SERA02</t>
        </is>
      </c>
      <c r="JN1" s="25" t="inlineStr">
        <is>
          <t>CUUR0000SERA03</t>
        </is>
      </c>
      <c r="JO1" s="25" t="inlineStr">
        <is>
          <t>CUUR0000SERA04</t>
        </is>
      </c>
      <c r="JP1" s="25" t="inlineStr">
        <is>
          <t>CUUR0000SS31022</t>
        </is>
      </c>
      <c r="JQ1" s="25" t="inlineStr">
        <is>
          <t>CUUR0000SS62055</t>
        </is>
      </c>
      <c r="JR1" s="25" t="inlineStr">
        <is>
          <t>CUUR0000SERA05</t>
        </is>
      </c>
      <c r="JS1" s="25" t="inlineStr">
        <is>
          <t>CUUR0000SERA06</t>
        </is>
      </c>
      <c r="JT1" s="25" t="inlineStr">
        <is>
          <t>CUUR0000SERB</t>
        </is>
      </c>
      <c r="JU1" s="25" t="inlineStr">
        <is>
          <t>CUUR0000SERB01</t>
        </is>
      </c>
      <c r="JV1" s="25" t="inlineStr">
        <is>
          <t>CUUR0000SS61031</t>
        </is>
      </c>
      <c r="JW1" s="25" t="inlineStr">
        <is>
          <t>CUUR0000SS61032</t>
        </is>
      </c>
      <c r="JX1" s="25" t="inlineStr">
        <is>
          <t>CUUR0000SERB02</t>
        </is>
      </c>
      <c r="JY1" s="25" t="inlineStr">
        <is>
          <t>CUUR0000SS62053</t>
        </is>
      </c>
      <c r="JZ1" s="25" t="inlineStr">
        <is>
          <t>CUUR0000SS62054</t>
        </is>
      </c>
      <c r="KA1" s="25" t="inlineStr">
        <is>
          <t>CUUR0000SERC</t>
        </is>
      </c>
      <c r="KB1" s="25" t="inlineStr">
        <is>
          <t>CUUR0000SERC01</t>
        </is>
      </c>
      <c r="KC1" s="25" t="inlineStr">
        <is>
          <t>CUUR0000SERC02</t>
        </is>
      </c>
      <c r="KD1" s="25" t="inlineStr">
        <is>
          <t>CUUR0000SERD</t>
        </is>
      </c>
      <c r="KE1" s="25" t="inlineStr">
        <is>
          <t>CUUR0000SERD01</t>
        </is>
      </c>
      <c r="KF1" s="25" t="inlineStr">
        <is>
          <t>CUUR0000SS61021</t>
        </is>
      </c>
      <c r="KG1" s="25" t="inlineStr">
        <is>
          <t>CUUR0000SS61023</t>
        </is>
      </c>
      <c r="KH1" s="25" t="inlineStr">
        <is>
          <t>CUUR0000SERD02</t>
        </is>
      </c>
      <c r="KI1" s="25" t="inlineStr">
        <is>
          <t>CUUR0000SS62051</t>
        </is>
      </c>
      <c r="KJ1" s="25" t="inlineStr">
        <is>
          <t>CUUR0000SS62052</t>
        </is>
      </c>
      <c r="KK1" s="25" t="inlineStr">
        <is>
          <t>CUUR0000SERE</t>
        </is>
      </c>
      <c r="KL1" s="25" t="inlineStr">
        <is>
          <t>CUUR0000SERE01</t>
        </is>
      </c>
      <c r="KM1" s="25" t="inlineStr">
        <is>
          <t>CUUR0000SS61011</t>
        </is>
      </c>
      <c r="KN1" s="25" t="inlineStr">
        <is>
          <t>CUUR0000SS31023</t>
        </is>
      </c>
      <c r="KO1" s="25" t="inlineStr">
        <is>
          <t>CUUR0000SERE02</t>
        </is>
      </c>
      <c r="KP1" s="25" t="inlineStr">
        <is>
          <t>CUUR0000SERE03</t>
        </is>
      </c>
      <c r="KQ1" s="25" t="inlineStr">
        <is>
          <t>CUUR0000SERF</t>
        </is>
      </c>
      <c r="KR1" s="25" t="inlineStr">
        <is>
          <t>CUUR0000SERF01</t>
        </is>
      </c>
      <c r="KS1" s="25" t="inlineStr">
        <is>
          <t>CUUR0000SERF02</t>
        </is>
      </c>
      <c r="KT1" s="25" t="inlineStr">
        <is>
          <t>CUUR0000SS62031</t>
        </is>
      </c>
      <c r="KU1" s="25" t="inlineStr">
        <is>
          <t>CUUR0000SS62032</t>
        </is>
      </c>
      <c r="KV1" s="25" t="inlineStr">
        <is>
          <t>CUUR0000SERF03</t>
        </is>
      </c>
      <c r="KW1" s="25" t="inlineStr">
        <is>
          <t>CUUR0000SERG</t>
        </is>
      </c>
      <c r="KX1" s="25" t="inlineStr">
        <is>
          <t>CUUR0000SERG01</t>
        </is>
      </c>
      <c r="KY1" s="25" t="inlineStr">
        <is>
          <t>CUUR0000SERG02</t>
        </is>
      </c>
      <c r="KZ1" s="25" t="inlineStr">
        <is>
          <t>CUUR0000SAE</t>
        </is>
      </c>
      <c r="LA1" s="25" t="inlineStr">
        <is>
          <t>CUUR0000SAE1</t>
        </is>
      </c>
      <c r="LB1" s="25" t="inlineStr">
        <is>
          <t>CUUR0000SEEA</t>
        </is>
      </c>
      <c r="LC1" s="25" t="inlineStr">
        <is>
          <t>CUUR0000SSEA011</t>
        </is>
      </c>
      <c r="LD1" s="25" t="inlineStr">
        <is>
          <t>CUUR0000SEEB</t>
        </is>
      </c>
      <c r="LE1" s="25" t="inlineStr">
        <is>
          <t>CUUR0000SEEB01</t>
        </is>
      </c>
      <c r="LF1" s="25" t="inlineStr">
        <is>
          <t>CUUR0000SEEB02</t>
        </is>
      </c>
      <c r="LG1" s="25" t="inlineStr">
        <is>
          <t>CUUR0000SEEB03</t>
        </is>
      </c>
      <c r="LH1" s="25" t="inlineStr">
        <is>
          <t>CUUR0000SEEB04</t>
        </is>
      </c>
      <c r="LI1" s="25" t="inlineStr">
        <is>
          <t>CUUR0000SAE2</t>
        </is>
      </c>
      <c r="LJ1" s="25" t="inlineStr">
        <is>
          <t>CUUR0000SEEC</t>
        </is>
      </c>
      <c r="LK1" s="25" t="inlineStr">
        <is>
          <t>CUUR0000SEEC01</t>
        </is>
      </c>
      <c r="LL1" s="25" t="inlineStr">
        <is>
          <t>CUUR0000SEEC02</t>
        </is>
      </c>
      <c r="LM1" s="25" t="inlineStr">
        <is>
          <t>CUUR0000SAE21</t>
        </is>
      </c>
      <c r="LN1" s="25" t="inlineStr">
        <is>
          <t>CUUR0000SEED</t>
        </is>
      </c>
      <c r="LO1" s="25" t="inlineStr">
        <is>
          <t>CUUR0000SEED03</t>
        </is>
      </c>
      <c r="LP1" s="25" t="inlineStr">
        <is>
          <t>CUUR0000SEED04</t>
        </is>
      </c>
      <c r="LQ1" s="25" t="inlineStr">
        <is>
          <t>CUUR0000SS27051</t>
        </is>
      </c>
      <c r="LR1" s="25" t="inlineStr">
        <is>
          <t>CUUR0000SS27061</t>
        </is>
      </c>
      <c r="LS1" s="25" t="inlineStr">
        <is>
          <t>CUUR0000SEEE</t>
        </is>
      </c>
      <c r="LT1" s="25" t="inlineStr">
        <is>
          <t>CUUR0000SEEE01</t>
        </is>
      </c>
      <c r="LU1" s="25" t="inlineStr">
        <is>
          <t>CUUR0000SEEE02</t>
        </is>
      </c>
      <c r="LV1" s="25" t="inlineStr">
        <is>
          <t>CUUR0000SEEE03</t>
        </is>
      </c>
      <c r="LW1" s="25" t="inlineStr">
        <is>
          <t>CUUR0000SEEE04</t>
        </is>
      </c>
      <c r="LX1" s="25" t="inlineStr">
        <is>
          <t>CUUR0000SSEE041</t>
        </is>
      </c>
      <c r="LY1" s="25" t="inlineStr">
        <is>
          <t>CUUR0000SAG</t>
        </is>
      </c>
      <c r="LZ1" s="25" t="inlineStr">
        <is>
          <t>CUUR0000SEGA</t>
        </is>
      </c>
      <c r="MA1" s="25" t="inlineStr">
        <is>
          <t>CUUR0000SEGA01</t>
        </is>
      </c>
      <c r="MB1" s="25" t="inlineStr">
        <is>
          <t>CUUR0000SEGA02</t>
        </is>
      </c>
      <c r="MC1" s="25" t="inlineStr">
        <is>
          <t>CUUR0000SAG1</t>
        </is>
      </c>
      <c r="MD1" s="25" t="inlineStr">
        <is>
          <t>CUUR0000SEGB</t>
        </is>
      </c>
      <c r="ME1" s="25" t="inlineStr">
        <is>
          <t>CUUR0000SEGB01</t>
        </is>
      </c>
      <c r="MF1" s="25" t="inlineStr">
        <is>
          <t>CUUR0000SEGB02</t>
        </is>
      </c>
      <c r="MG1" s="25" t="inlineStr">
        <is>
          <t>CUUR0000SEGC</t>
        </is>
      </c>
      <c r="MH1" s="25" t="inlineStr">
        <is>
          <t>CUUR0000SEGC01</t>
        </is>
      </c>
      <c r="MI1" s="25" t="inlineStr">
        <is>
          <t>CUUR0000SEGD</t>
        </is>
      </c>
      <c r="MJ1" s="25" t="inlineStr">
        <is>
          <t>CUUR0000SEGD01</t>
        </is>
      </c>
      <c r="MK1" s="25" t="inlineStr">
        <is>
          <t>CUUR0000SEGD02</t>
        </is>
      </c>
      <c r="ML1" s="25" t="inlineStr">
        <is>
          <t>CUUR0000SEGD03</t>
        </is>
      </c>
      <c r="MM1" s="25" t="inlineStr">
        <is>
          <t>CUUR0000SEGD04</t>
        </is>
      </c>
      <c r="MN1" s="25" t="inlineStr">
        <is>
          <t>CUUR0000SEGD05</t>
        </is>
      </c>
      <c r="MO1" s="25" t="inlineStr">
        <is>
          <t>CUUR0000SS68021</t>
        </is>
      </c>
      <c r="MP1" s="25" t="inlineStr">
        <is>
          <t>CUUR0000SS68023</t>
        </is>
      </c>
      <c r="MQ1" s="25" t="inlineStr">
        <is>
          <t>CUUR0000SEGE</t>
        </is>
      </c>
      <c r="MR1" s="25" t="inlineStr">
        <is>
          <t>CUUR0000SS33032</t>
        </is>
      </c>
      <c r="MS1" s="25" t="inlineStr">
        <is>
          <t>CUUR0000SSGE013</t>
        </is>
      </c>
      <c r="MT1" s="25" t="inlineStr">
        <is>
          <t>CUUR0000SA0L5</t>
        </is>
      </c>
      <c r="MU1" s="25" t="inlineStr">
        <is>
          <t>CUUR0000SA0LE</t>
        </is>
      </c>
      <c r="MV1" s="25" t="inlineStr">
        <is>
          <t>CUUR0000SA0L1</t>
        </is>
      </c>
      <c r="MW1" s="25" t="inlineStr">
        <is>
          <t>CUUR0000SA0L1E</t>
        </is>
      </c>
      <c r="MX1" s="25" t="inlineStr">
        <is>
          <t>CUUR0000SA0L2</t>
        </is>
      </c>
      <c r="MY1" s="25" t="inlineStr">
        <is>
          <t>CUUR0000SA0L12</t>
        </is>
      </c>
      <c r="MZ1" s="25" t="inlineStr">
        <is>
          <t>CUUR0000SA0L12E</t>
        </is>
      </c>
      <c r="NA1" s="25" t="inlineStr">
        <is>
          <t>CUUR0000SA0L12E4</t>
        </is>
      </c>
      <c r="NB1" s="25" t="inlineStr">
        <is>
          <t>CUUR0000SA311</t>
        </is>
      </c>
      <c r="NC1" s="25" t="inlineStr">
        <is>
          <t>CUUR0000SAC</t>
        </is>
      </c>
      <c r="ND1" s="25" t="inlineStr">
        <is>
          <t>CUUR0000SACL1</t>
        </is>
      </c>
      <c r="NE1" s="25" t="inlineStr">
        <is>
          <t>CUUR0000SACL11</t>
        </is>
      </c>
      <c r="NF1" s="25" t="inlineStr">
        <is>
          <t>CUUR0000SACL1E</t>
        </is>
      </c>
      <c r="NG1" s="25" t="inlineStr">
        <is>
          <t>CUUR0000SACL1E4</t>
        </is>
      </c>
      <c r="NH1" s="25" t="inlineStr">
        <is>
          <t>CUUR0000SAN1D</t>
        </is>
      </c>
      <c r="NI1" s="25" t="inlineStr">
        <is>
          <t>CUUR0000SAD</t>
        </is>
      </c>
      <c r="NJ1" s="25" t="inlineStr">
        <is>
          <t>CUUR0000SAEC</t>
        </is>
      </c>
      <c r="NK1" s="25" t="inlineStr">
        <is>
          <t>CUUR0000SAES</t>
        </is>
      </c>
      <c r="NL1" s="25" t="inlineStr">
        <is>
          <t>CUUR0000SA0E</t>
        </is>
      </c>
      <c r="NM1" s="25" t="inlineStr">
        <is>
          <t>CUUR0000SACE</t>
        </is>
      </c>
      <c r="NN1" s="25" t="inlineStr">
        <is>
          <t>CUUR0000SAH31</t>
        </is>
      </c>
      <c r="NO1" s="25" t="inlineStr">
        <is>
          <t>CUUR0000SEEEC</t>
        </is>
      </c>
      <c r="NP1" s="25" t="inlineStr">
        <is>
          <t>CUUR0000SAN</t>
        </is>
      </c>
      <c r="NQ1" s="25" t="inlineStr">
        <is>
          <t>CUUR0000SANL1</t>
        </is>
      </c>
      <c r="NR1" s="25" t="inlineStr">
        <is>
          <t>CUUR0000SANL13</t>
        </is>
      </c>
      <c r="NS1" s="25" t="inlineStr">
        <is>
          <t>CUUR0000SANL11</t>
        </is>
      </c>
      <c r="NT1" s="25" t="inlineStr">
        <is>
          <t>CUUR0000SANL113</t>
        </is>
      </c>
      <c r="NU1" s="25" t="inlineStr">
        <is>
          <t>CUUR0000SAGC</t>
        </is>
      </c>
      <c r="NV1" s="25" t="inlineStr">
        <is>
          <t>CUUR0000SAGS</t>
        </is>
      </c>
      <c r="NW1" s="25" t="inlineStr">
        <is>
          <t>CUUR0000SAS367</t>
        </is>
      </c>
      <c r="NX1" s="25" t="inlineStr">
        <is>
          <t>CUUR0000SARC</t>
        </is>
      </c>
      <c r="NY1" s="25" t="inlineStr">
        <is>
          <t>CUUR0000SARS</t>
        </is>
      </c>
      <c r="NZ1" s="25" t="inlineStr">
        <is>
          <t>CUUR0000SAS2RS</t>
        </is>
      </c>
      <c r="OA1" s="25" t="inlineStr">
        <is>
          <t>CUUR0000SAS</t>
        </is>
      </c>
      <c r="OB1" s="25" t="inlineStr">
        <is>
          <t>CUUR0000SASLE</t>
        </is>
      </c>
      <c r="OC1" s="25" t="inlineStr">
        <is>
          <t>CUUR0000SASL5</t>
        </is>
      </c>
      <c r="OD1" s="25" t="inlineStr">
        <is>
          <t>CUUR0000SASL2RS</t>
        </is>
      </c>
      <c r="OE1" s="25" t="inlineStr">
        <is>
          <t>CUUR0000SATCLTB</t>
        </is>
      </c>
      <c r="OF1" s="25" t="inlineStr">
        <is>
          <t>CUUR0000SAS4</t>
        </is>
      </c>
      <c r="OG1" s="25" t="inlineStr">
        <is>
          <t>CUUR0000SAS24</t>
        </is>
      </c>
      <c r="OH1" s="25" t="inlineStr">
        <is>
          <t>CUUR0000SERAC</t>
        </is>
      </c>
      <c r="OI1" s="25" t="inlineStr">
        <is>
          <t>CUUR0000SERAS</t>
        </is>
      </c>
      <c r="OJ1" s="25" t="inlineStr">
        <is>
          <t>CUUR0000SA0R</t>
        </is>
      </c>
      <c r="OK1" s="25" t="inlineStr">
        <is>
          <t>CUUR0000AA0R</t>
        </is>
      </c>
    </row>
    <row r="2">
      <c r="A2" s="22" t="n">
        <v>42005</v>
      </c>
      <c r="B2" s="21" t="n">
        <v>233.707</v>
      </c>
      <c r="C2" s="21" t="n">
        <v>700.083</v>
      </c>
      <c r="D2" s="21" t="n">
        <v>246.1</v>
      </c>
      <c r="E2" s="21" t="n">
        <v>246.538</v>
      </c>
      <c r="F2" s="21" t="n">
        <v>243.123</v>
      </c>
      <c r="G2" s="21" t="n">
        <v>273.589</v>
      </c>
      <c r="H2" s="21" t="n">
        <v>234.274</v>
      </c>
      <c r="I2" s="21" t="n">
        <v>252.864</v>
      </c>
      <c r="J2" s="21" t="n">
        <v>229.484</v>
      </c>
      <c r="K2" s="21" t="n">
        <v>240.148</v>
      </c>
      <c r="L2" s="21" t="n">
        <v>168.316</v>
      </c>
      <c r="M2" s="21" t="n">
        <v>295.736</v>
      </c>
      <c r="N2" s="21" t="n">
        <v>177.851</v>
      </c>
      <c r="O2" s="21" t="n">
        <v>323.078</v>
      </c>
      <c r="P2" s="21" t="n">
        <v>341.932</v>
      </c>
      <c r="Q2" s="21" t="n">
        <v>176.441</v>
      </c>
      <c r="R2" s="21" t="n">
        <v>277.375</v>
      </c>
      <c r="S2" s="21" t="n">
        <v>286.946</v>
      </c>
      <c r="T2" s="21" t="n">
        <v>269.384</v>
      </c>
      <c r="U2" s="21" t="n">
        <v>265.872</v>
      </c>
      <c r="V2" s="21" t="n">
        <v>293.533</v>
      </c>
      <c r="W2" s="21" t="n">
        <v>305.606</v>
      </c>
      <c r="X2" s="21" t="n">
        <v>271.098</v>
      </c>
      <c r="Y2" s="21" t="n">
        <v>260.982</v>
      </c>
      <c r="Z2" s="21" t="n">
        <v>261.261</v>
      </c>
      <c r="AA2" s="21" t="n">
        <v>267.215</v>
      </c>
      <c r="AB2" s="21" t="n">
        <v>322.162</v>
      </c>
      <c r="AC2" s="21" t="n">
        <v>301.04</v>
      </c>
      <c r="AD2" s="21" t="n">
        <v>239.039</v>
      </c>
      <c r="AE2" s="21" t="n">
        <v>208.501</v>
      </c>
      <c r="AF2" s="21" t="n">
        <v>240.269</v>
      </c>
      <c r="AG2" s="21" t="n">
        <v>227.345</v>
      </c>
      <c r="AH2" s="21" t="n">
        <v>162.666</v>
      </c>
      <c r="AI2" s="21" t="n">
        <v>289.399</v>
      </c>
      <c r="AJ2" s="21" t="n">
        <v>155.813</v>
      </c>
      <c r="AK2" s="21" t="n">
        <v>223.955</v>
      </c>
      <c r="AL2" s="21" t="n">
        <v>252.296</v>
      </c>
      <c r="AM2" s="21" t="n">
        <v>205.545</v>
      </c>
      <c r="AN2" s="21" t="n">
        <v>143.09</v>
      </c>
      <c r="AO2" s="21" t="n">
        <v>228.187</v>
      </c>
      <c r="AP2" s="21" t="n">
        <v>231.091</v>
      </c>
      <c r="AQ2" s="21" t="n">
        <v>147.264</v>
      </c>
      <c r="AR2" s="21" t="n">
        <v>326.113</v>
      </c>
      <c r="AS2" s="21" t="n">
        <v>177.23</v>
      </c>
      <c r="AT2" s="21" t="n">
        <v>238.923</v>
      </c>
      <c r="AU2" s="21" t="n">
        <v>154.25</v>
      </c>
      <c r="AV2" s="21" t="n">
        <v>260.875</v>
      </c>
      <c r="AW2" s="21" t="n">
        <v>227.669</v>
      </c>
      <c r="AX2" s="21" t="n">
        <v>153.563</v>
      </c>
      <c r="AY2" s="21" t="n">
        <v>290.187</v>
      </c>
      <c r="AZ2" s="21" t="n">
        <v>176.381</v>
      </c>
      <c r="BA2" s="21" t="n">
        <v>148.602</v>
      </c>
      <c r="BB2" s="21" t="n">
        <v>200.511</v>
      </c>
      <c r="BC2" s="21" t="n">
        <v>322.538</v>
      </c>
      <c r="BD2" s="21" t="n">
        <v>256.599</v>
      </c>
      <c r="BE2" s="21" t="n">
        <v>227.8</v>
      </c>
      <c r="BF2" s="21" t="n">
        <v>154.769</v>
      </c>
      <c r="BG2" s="21" t="n">
        <v>226.569</v>
      </c>
      <c r="BH2" s="21" t="n">
        <v>156.975</v>
      </c>
      <c r="BI2" s="21" t="n">
        <v>238.322</v>
      </c>
      <c r="BJ2" s="21" t="n">
        <v>223.479</v>
      </c>
      <c r="BK2" s="21" t="n">
        <v>147.347</v>
      </c>
      <c r="BL2" s="21" t="n">
        <v>298.781</v>
      </c>
      <c r="BM2" s="21" t="n">
        <v>345.295</v>
      </c>
      <c r="BN2" s="21" t="n">
        <v>354.825</v>
      </c>
      <c r="BO2" s="21" t="n">
        <v>324.679</v>
      </c>
      <c r="BP2" s="21" t="n">
        <v>200.064</v>
      </c>
      <c r="BQ2" s="21" t="n">
        <v>216.3</v>
      </c>
      <c r="BR2" s="21" t="n">
        <v>441.245</v>
      </c>
      <c r="BS2" s="21" t="n">
        <v>127.218</v>
      </c>
      <c r="BT2" s="21" t="n">
        <v>334.067</v>
      </c>
      <c r="BU2" s="21" t="n">
        <v>328.301</v>
      </c>
      <c r="BV2" s="21" t="n">
        <v>331.185</v>
      </c>
      <c r="BW2" s="21" t="n">
        <v>367.812</v>
      </c>
      <c r="BX2" s="21" t="n">
        <v>329.486</v>
      </c>
      <c r="BY2" s="21" t="n">
        <v>158.006</v>
      </c>
      <c r="BZ2" s="21" t="n">
        <v>161.96</v>
      </c>
      <c r="CA2" s="21" t="n">
        <v>155.307</v>
      </c>
      <c r="CB2" s="21" t="n">
        <v>171.23</v>
      </c>
      <c r="CC2" s="21" t="n">
        <v>147.597</v>
      </c>
      <c r="CD2" s="21" t="n">
        <v>203.429</v>
      </c>
      <c r="CE2" s="21" t="n">
        <v>163.318</v>
      </c>
      <c r="CF2" s="21" t="n">
        <v>202.485</v>
      </c>
      <c r="CG2" s="21" t="n">
        <v>168.603</v>
      </c>
      <c r="CH2" s="21" t="n">
        <v>128.675</v>
      </c>
      <c r="CI2" s="21" t="n">
        <v>160.059</v>
      </c>
      <c r="CJ2" s="21" t="n">
        <v>177.107</v>
      </c>
      <c r="CK2" s="21" t="n">
        <v>117.961</v>
      </c>
      <c r="CL2" s="21" t="n">
        <v>121.766</v>
      </c>
      <c r="CM2" s="21" t="n">
        <v>209.121</v>
      </c>
      <c r="CN2" s="21" t="n">
        <v>217.931</v>
      </c>
      <c r="CO2" s="21" t="n">
        <v>207.862</v>
      </c>
      <c r="CP2" s="21" t="n">
        <v>128.175</v>
      </c>
      <c r="CQ2" s="21" t="n">
        <v>207.218</v>
      </c>
      <c r="CR2" s="21" t="n">
        <v>214.024</v>
      </c>
      <c r="CS2" s="21" t="n">
        <v>187.669</v>
      </c>
      <c r="CT2" s="21" t="n">
        <v>143.191</v>
      </c>
      <c r="CU2" s="21" t="n">
        <v>154.934</v>
      </c>
      <c r="CV2" s="21" t="n">
        <v>230.228</v>
      </c>
      <c r="CW2" s="21" t="n">
        <v>203.476</v>
      </c>
      <c r="CX2" s="21" t="n">
        <v>242.299</v>
      </c>
      <c r="CY2" s="21" t="n">
        <v>290.079</v>
      </c>
      <c r="CZ2" s="21" t="n">
        <v>131.069</v>
      </c>
      <c r="DA2" s="21" t="n">
        <v>161.881</v>
      </c>
      <c r="DB2" s="21" t="n">
        <v>162.152</v>
      </c>
      <c r="DC2" s="21" t="n">
        <v>220.336</v>
      </c>
      <c r="DD2" s="21" t="n">
        <v>228.042</v>
      </c>
      <c r="DE2" s="21" t="n">
        <v>168.74</v>
      </c>
      <c r="DF2" s="21" t="n">
        <v>245.162</v>
      </c>
      <c r="DG2" s="21" t="n">
        <v>233.085</v>
      </c>
      <c r="DH2" s="21" t="n">
        <v>143.842</v>
      </c>
      <c r="DI2" s="21" t="n">
        <v>133.972</v>
      </c>
      <c r="DJ2" s="21" t="n">
        <v>136.354</v>
      </c>
      <c r="DK2" s="21" t="n">
        <v>270.133</v>
      </c>
      <c r="DL2" s="21" t="n">
        <v>154.858</v>
      </c>
      <c r="DM2" s="21" t="n">
        <v>130.909</v>
      </c>
      <c r="DN2" s="21" t="n">
        <v>119.828</v>
      </c>
      <c r="DO2" s="21" t="n">
        <v>253.037</v>
      </c>
      <c r="DP2" s="21" t="n">
        <v>157.604</v>
      </c>
      <c r="DQ2" s="21" t="n">
        <v>161.489</v>
      </c>
      <c r="DR2" s="21" t="n">
        <v>160.254</v>
      </c>
      <c r="DS2" s="21" t="n">
        <v>134.805</v>
      </c>
      <c r="DT2" s="21" t="n">
        <v>145.366</v>
      </c>
      <c r="DU2" s="21" t="n">
        <v>174.953</v>
      </c>
      <c r="DV2" s="21" t="n">
        <v>238.718</v>
      </c>
      <c r="DW2" s="21" t="n">
        <v>197.257</v>
      </c>
      <c r="DX2" s="21" t="n">
        <v>214.536</v>
      </c>
      <c r="DY2" s="21" t="n">
        <v>193.425</v>
      </c>
      <c r="DZ2" s="21" t="n">
        <v>208.393</v>
      </c>
      <c r="EA2" s="21" t="n">
        <v>186.808</v>
      </c>
      <c r="EB2" s="21" t="n">
        <v>168.627</v>
      </c>
      <c r="EC2" s="21" t="n">
        <v>327.871</v>
      </c>
      <c r="ED2" s="21" t="n">
        <v>162.022</v>
      </c>
      <c r="EE2" s="21" t="n">
        <v>177.032</v>
      </c>
      <c r="EF2" s="21" t="n">
        <v>173.567</v>
      </c>
      <c r="EG2" s="21" t="n">
        <v>235.485</v>
      </c>
      <c r="EH2" s="21" t="n">
        <v>274.589</v>
      </c>
      <c r="EI2" s="21" t="n">
        <v>281.572</v>
      </c>
      <c r="EJ2" s="21" t="n">
        <v>145.132</v>
      </c>
      <c r="EK2" s="21" t="n">
        <v>502.796</v>
      </c>
      <c r="EL2" s="21" t="n">
        <v>298.098</v>
      </c>
      <c r="EM2" s="21" t="n">
        <v>281.98</v>
      </c>
      <c r="EN2" s="21" t="n">
        <v>281.951</v>
      </c>
      <c r="EO2" s="21" t="n">
        <v>145.942</v>
      </c>
      <c r="EP2" s="21" t="n">
        <v>232.309</v>
      </c>
      <c r="EQ2" s="21" t="n">
        <v>198.143</v>
      </c>
      <c r="ER2" s="21" t="n">
        <v>276.782</v>
      </c>
      <c r="ES2" s="21" t="n">
        <v>273.718</v>
      </c>
      <c r="ET2" s="21" t="n">
        <v>332.189</v>
      </c>
      <c r="EU2" s="21" t="n">
        <v>201.594</v>
      </c>
      <c r="EV2" s="21" t="n">
        <v>208.172</v>
      </c>
      <c r="EW2" s="21" t="n">
        <v>179.184</v>
      </c>
      <c r="EX2" s="21" t="n">
        <v>210.243</v>
      </c>
      <c r="EY2" s="21" t="n">
        <v>483.308</v>
      </c>
      <c r="EZ2" s="21" t="n">
        <v>427.734</v>
      </c>
      <c r="FA2" s="21" t="n">
        <v>122.351</v>
      </c>
      <c r="FB2" s="21" t="n">
        <v>61.987</v>
      </c>
      <c r="FC2" s="21" t="n">
        <v>108.67</v>
      </c>
      <c r="FD2" s="21" t="n">
        <v>70.95699999999999</v>
      </c>
      <c r="FE2" s="21" t="n">
        <v>49.019</v>
      </c>
      <c r="FF2" s="21" t="n">
        <v>114.451</v>
      </c>
      <c r="FG2" s="21" t="n">
        <v>129.445</v>
      </c>
      <c r="FH2" s="21" t="n">
        <v>87.41</v>
      </c>
      <c r="FI2" s="21" t="n">
        <v>74.20099999999999</v>
      </c>
      <c r="FJ2" s="21" t="n"/>
      <c r="FK2" s="21" t="n">
        <v>80.657</v>
      </c>
      <c r="FL2" s="21" t="n">
        <v>89.976</v>
      </c>
      <c r="FM2" s="21" t="n">
        <v>100.748</v>
      </c>
      <c r="FN2" s="21" t="n">
        <v>68.449</v>
      </c>
      <c r="FO2" s="21" t="n">
        <v>59.468</v>
      </c>
      <c r="FP2" s="21" t="n">
        <v>48.094</v>
      </c>
      <c r="FQ2" s="21" t="n">
        <v>127.4</v>
      </c>
      <c r="FR2" s="21" t="n">
        <v>54.467</v>
      </c>
      <c r="FS2" s="21" t="n">
        <v>90.524</v>
      </c>
      <c r="FT2" s="21" t="n">
        <v>90.977</v>
      </c>
      <c r="FU2" s="21" t="n">
        <v>100.851</v>
      </c>
      <c r="FV2" s="21" t="n">
        <v>86.33</v>
      </c>
      <c r="FW2" s="21" t="n">
        <v>185.978</v>
      </c>
      <c r="FX2" s="21" t="n">
        <v>118.204</v>
      </c>
      <c r="FY2" s="21" t="n">
        <v>167.89</v>
      </c>
      <c r="FZ2" s="21" t="n">
        <v>119.191</v>
      </c>
      <c r="GA2" s="21" t="n">
        <v>164.053</v>
      </c>
      <c r="GB2" s="21" t="n">
        <v>155.294</v>
      </c>
      <c r="GC2" s="21" t="n">
        <v>168.632</v>
      </c>
      <c r="GD2" s="21" t="n">
        <v>133.244</v>
      </c>
      <c r="GE2" s="21" t="n">
        <v>218.228</v>
      </c>
      <c r="GF2" s="21" t="n">
        <v>122.527</v>
      </c>
      <c r="GG2" s="21" t="n">
        <v>116.422</v>
      </c>
      <c r="GH2" s="21" t="n">
        <v>119.726</v>
      </c>
      <c r="GI2" s="21" t="n">
        <v>108.185</v>
      </c>
      <c r="GJ2" s="21" t="n">
        <v>150.084</v>
      </c>
      <c r="GK2" s="21" t="n">
        <v>76.34399999999999</v>
      </c>
      <c r="GL2" s="21" t="n">
        <v>119.665</v>
      </c>
      <c r="GM2" s="21" t="n">
        <v>103.126</v>
      </c>
      <c r="GN2" s="21" t="n">
        <v>107.439</v>
      </c>
      <c r="GO2" s="21" t="n">
        <v>109.688</v>
      </c>
      <c r="GP2" s="21" t="n">
        <v>112.412</v>
      </c>
      <c r="GQ2" s="21" t="n">
        <v>113.656</v>
      </c>
      <c r="GR2" s="21" t="n">
        <v>76.461</v>
      </c>
      <c r="GS2" s="21" t="n">
        <v>103.976</v>
      </c>
      <c r="GT2" s="21" t="n">
        <v>96.57599999999999</v>
      </c>
      <c r="GU2" s="21" t="n">
        <v>133.855</v>
      </c>
      <c r="GV2" s="21" t="n">
        <v>137.304</v>
      </c>
      <c r="GW2" s="21" t="n">
        <v>147.543</v>
      </c>
      <c r="GX2" s="21" t="n">
        <v>124.585</v>
      </c>
      <c r="GY2" s="21" t="n">
        <v>116.701</v>
      </c>
      <c r="GZ2" s="21" t="n">
        <v>160.314</v>
      </c>
      <c r="HA2" s="21" t="n">
        <v>122.792</v>
      </c>
      <c r="HB2" s="21" t="n">
        <v>166.069</v>
      </c>
      <c r="HC2" s="21" t="n">
        <v>190.871</v>
      </c>
      <c r="HD2" s="21" t="n">
        <v>185.461</v>
      </c>
      <c r="HE2" s="21" t="n">
        <v>99.498</v>
      </c>
      <c r="HF2" s="21" t="n">
        <v>146.558</v>
      </c>
      <c r="HG2" s="21" t="n">
        <v>101.61</v>
      </c>
      <c r="HH2" s="21" t="n">
        <v>144.319</v>
      </c>
      <c r="HI2" s="21" t="n">
        <v>154.385</v>
      </c>
      <c r="HJ2" s="21" t="n"/>
      <c r="HK2" s="21" t="n">
        <v>141.461</v>
      </c>
      <c r="HL2" s="21" t="n">
        <v>85.608</v>
      </c>
      <c r="HM2" s="21" t="n">
        <v>128.033</v>
      </c>
      <c r="HN2" s="21" t="n">
        <v>186.763</v>
      </c>
      <c r="HO2" s="21" t="n">
        <v>185.142</v>
      </c>
      <c r="HP2" s="21" t="n">
        <v>182.025</v>
      </c>
      <c r="HQ2" s="21" t="n">
        <v>195.549</v>
      </c>
      <c r="HR2" s="21" t="n">
        <v>192.399</v>
      </c>
      <c r="HS2" s="21" t="n">
        <v>212.73</v>
      </c>
      <c r="HT2" s="21" t="n">
        <v>144.913</v>
      </c>
      <c r="HU2" s="21" t="n">
        <v>127.601</v>
      </c>
      <c r="HV2" s="21" t="n">
        <v>165.674</v>
      </c>
      <c r="HW2" s="21" t="n">
        <v>155.505</v>
      </c>
      <c r="HX2" s="21" t="n">
        <v>371.064</v>
      </c>
      <c r="HY2" s="21" t="n">
        <v>268.869</v>
      </c>
      <c r="HZ2" s="21" t="n">
        <v>279.72</v>
      </c>
      <c r="IA2" s="21" t="n">
        <v>242.394</v>
      </c>
      <c r="IB2" s="21" t="n">
        <v>166.498</v>
      </c>
      <c r="IC2" s="21" t="n">
        <v>451.007</v>
      </c>
      <c r="ID2" s="21" t="n">
        <v>176.586</v>
      </c>
      <c r="IE2" s="21" t="n">
        <v>166.988</v>
      </c>
      <c r="IF2" s="21" t="n">
        <v>192.314</v>
      </c>
      <c r="IG2" s="21" t="n">
        <v>213.412</v>
      </c>
      <c r="IH2" s="21" t="n">
        <v>125.771</v>
      </c>
      <c r="II2" s="21" t="n">
        <v>262.179</v>
      </c>
      <c r="IJ2" s="21" t="n">
        <v>283.152</v>
      </c>
      <c r="IK2" s="21" t="n">
        <v>150.847</v>
      </c>
      <c r="IL2" s="21" t="n"/>
      <c r="IM2" s="21" t="n">
        <v>109.946</v>
      </c>
      <c r="IN2" s="21" t="n">
        <v>61.369</v>
      </c>
      <c r="IO2" s="21" t="n">
        <v>299.962</v>
      </c>
      <c r="IP2" s="21" t="n">
        <v>118.21</v>
      </c>
      <c r="IQ2" s="21" t="n">
        <v>440.969</v>
      </c>
      <c r="IR2" s="21" t="n">
        <v>349.98</v>
      </c>
      <c r="IS2" s="21" t="n">
        <v>114.289</v>
      </c>
      <c r="IT2" s="21" t="n">
        <v>471.754</v>
      </c>
      <c r="IU2" s="21" t="n">
        <v>97.337</v>
      </c>
      <c r="IV2" s="21" t="n">
        <v>99.30500000000001</v>
      </c>
      <c r="IW2" s="21" t="n">
        <v>470.03</v>
      </c>
      <c r="IX2" s="21" t="n">
        <v>358.397</v>
      </c>
      <c r="IY2" s="21" t="n">
        <v>362.74</v>
      </c>
      <c r="IZ2" s="21" t="n">
        <v>446.342</v>
      </c>
      <c r="JA2" s="21" t="n">
        <v>183.874</v>
      </c>
      <c r="JB2" s="21" t="n">
        <v>227.603</v>
      </c>
      <c r="JC2" s="21" t="n">
        <v>67.958</v>
      </c>
      <c r="JD2" s="21" t="n">
        <v>284.225</v>
      </c>
      <c r="JE2" s="21" t="n">
        <v>279.45</v>
      </c>
      <c r="JF2" s="21" t="n">
        <v>642.399</v>
      </c>
      <c r="JG2" s="21" t="n">
        <v>203.869</v>
      </c>
      <c r="JH2" s="21" t="n">
        <v>117.466</v>
      </c>
      <c r="JI2" s="21" t="n">
        <v>121.929</v>
      </c>
      <c r="JJ2" s="21" t="n">
        <v>115.288</v>
      </c>
      <c r="JK2" s="21" t="n">
        <v>99.14400000000001</v>
      </c>
      <c r="JL2" s="21" t="n">
        <v>346.17</v>
      </c>
      <c r="JM2" s="21" t="n">
        <v>418.208</v>
      </c>
      <c r="JN2" s="21" t="n">
        <v>134.991</v>
      </c>
      <c r="JO2" s="21" t="n">
        <v>72.23699999999999</v>
      </c>
      <c r="JP2" s="21" t="n">
        <v>41.052</v>
      </c>
      <c r="JQ2" s="21" t="n">
        <v>119.038</v>
      </c>
      <c r="JR2" s="21" t="n">
        <v>36.303</v>
      </c>
      <c r="JS2" s="21" t="n">
        <v>87.807</v>
      </c>
      <c r="JT2" s="21" t="n">
        <v>166.468</v>
      </c>
      <c r="JU2" s="21" t="n">
        <v>198.967</v>
      </c>
      <c r="JV2" s="21" t="n">
        <v>152.653</v>
      </c>
      <c r="JW2" s="21" t="n">
        <v>114.105</v>
      </c>
      <c r="JX2" s="21" t="n">
        <v>221.546</v>
      </c>
      <c r="JY2" s="21" t="n">
        <v>178.426</v>
      </c>
      <c r="JZ2" s="21" t="n">
        <v>231.113</v>
      </c>
      <c r="KA2" s="21" t="n">
        <v>114.59</v>
      </c>
      <c r="KB2" s="21" t="n">
        <v>148.459</v>
      </c>
      <c r="KC2" s="21" t="n">
        <v>85.404</v>
      </c>
      <c r="KD2" s="21" t="n">
        <v>75.631</v>
      </c>
      <c r="KE2" s="21" t="n">
        <v>55.739</v>
      </c>
      <c r="KF2" s="21" t="n">
        <v>128.155</v>
      </c>
      <c r="KG2" s="21" t="n">
        <v>22.92</v>
      </c>
      <c r="KH2" s="21" t="n">
        <v>122.402</v>
      </c>
      <c r="KI2" s="21" t="n">
        <v>128.385</v>
      </c>
      <c r="KJ2" s="21" t="n">
        <v>120.34</v>
      </c>
      <c r="KK2" s="21" t="n">
        <v>48.027</v>
      </c>
      <c r="KL2" s="21" t="n">
        <v>46.206</v>
      </c>
      <c r="KM2" s="21" t="n">
        <v>54.686</v>
      </c>
      <c r="KN2" s="21" t="n"/>
      <c r="KO2" s="21" t="n">
        <v>95.419</v>
      </c>
      <c r="KP2" s="21" t="n">
        <v>98.59999999999999</v>
      </c>
      <c r="KQ2" s="21" t="n">
        <v>153.908</v>
      </c>
      <c r="KR2" s="21" t="n">
        <v>130.186</v>
      </c>
      <c r="KS2" s="21" t="n">
        <v>344.509</v>
      </c>
      <c r="KT2" s="21" t="n">
        <v>164.704</v>
      </c>
      <c r="KU2" s="21" t="n">
        <v>198.621</v>
      </c>
      <c r="KV2" s="21" t="n">
        <v>284.068</v>
      </c>
      <c r="KW2" s="21" t="n">
        <v>238.816</v>
      </c>
      <c r="KX2" s="21" t="n">
        <v>162.801</v>
      </c>
      <c r="KY2" s="21" t="n">
        <v>99.869</v>
      </c>
      <c r="KZ2" s="21" t="n">
        <v>137.604</v>
      </c>
      <c r="LA2" s="21" t="n">
        <v>236.82</v>
      </c>
      <c r="LB2" s="21" t="n">
        <v>640.246</v>
      </c>
      <c r="LC2" s="21" t="n">
        <v>218.918</v>
      </c>
      <c r="LD2" s="21" t="n">
        <v>678.0309999999999</v>
      </c>
      <c r="LE2" s="21" t="n">
        <v>775.175</v>
      </c>
      <c r="LF2" s="21" t="n">
        <v>70.31999999999999</v>
      </c>
      <c r="LG2" s="21" t="n">
        <v>269.541</v>
      </c>
      <c r="LH2" s="21" t="n">
        <v>232.985</v>
      </c>
      <c r="LI2" s="21" t="n">
        <v>80.667</v>
      </c>
      <c r="LJ2" s="21" t="n">
        <v>174.946</v>
      </c>
      <c r="LK2" s="21" t="n">
        <v>274.517</v>
      </c>
      <c r="LL2" s="21" t="n">
        <v>288.754</v>
      </c>
      <c r="LM2" s="21" t="n">
        <v>76.822</v>
      </c>
      <c r="LN2" s="21" t="n">
        <v>99.44199999999999</v>
      </c>
      <c r="LO2" s="21" t="n">
        <v>55.614</v>
      </c>
      <c r="LP2" s="21" t="n">
        <v>112.316</v>
      </c>
      <c r="LQ2" s="21" t="n"/>
      <c r="LR2" s="21" t="n"/>
      <c r="LS2" s="21" t="n">
        <v>121.725</v>
      </c>
      <c r="LT2" s="21" t="n">
        <v>48.913</v>
      </c>
      <c r="LU2" s="21" t="n">
        <v>36.585</v>
      </c>
      <c r="LV2" s="21" t="n">
        <v>78.324</v>
      </c>
      <c r="LW2" s="21" t="n">
        <v>340.842</v>
      </c>
      <c r="LX2" s="21" t="n"/>
      <c r="LY2" s="21" t="n">
        <v>412.545</v>
      </c>
      <c r="LZ2" s="21" t="n">
        <v>57.868</v>
      </c>
      <c r="MA2" s="21" t="n">
        <v>374.647</v>
      </c>
      <c r="MB2" s="21" t="n">
        <v>240.945</v>
      </c>
      <c r="MC2" s="21" t="n">
        <v>220.071</v>
      </c>
      <c r="MD2" s="21" t="n">
        <v>164.83</v>
      </c>
      <c r="ME2" s="21" t="n">
        <v>104.149</v>
      </c>
      <c r="MF2" s="21" t="n">
        <v>191.029</v>
      </c>
      <c r="MG2" s="21" t="n">
        <v>244.145</v>
      </c>
      <c r="MH2" s="21" t="n">
        <v>148.968</v>
      </c>
      <c r="MI2" s="21" t="n">
        <v>395.041</v>
      </c>
      <c r="MJ2" s="21" t="n">
        <v>319.39</v>
      </c>
      <c r="MK2" s="21" t="n">
        <v>309.704</v>
      </c>
      <c r="ML2" s="21" t="n">
        <v>153.905</v>
      </c>
      <c r="MM2" s="21" t="n">
        <v>179.854</v>
      </c>
      <c r="MN2" s="21" t="n">
        <v>315.814</v>
      </c>
      <c r="MO2" s="21" t="n">
        <v>147.859</v>
      </c>
      <c r="MP2" s="21" t="n">
        <v>216.493</v>
      </c>
      <c r="MQ2" s="21" t="n">
        <v>83.59</v>
      </c>
      <c r="MR2" s="21" t="n">
        <v>153.677</v>
      </c>
      <c r="MS2" s="21" t="n">
        <v>85.43600000000001</v>
      </c>
      <c r="MT2" s="21" t="n">
        <v>223.721</v>
      </c>
      <c r="MU2" s="21" t="n">
        <v>239.67</v>
      </c>
      <c r="MV2" s="21" t="n">
        <v>231.711</v>
      </c>
      <c r="MW2" s="21" t="n">
        <v>239.248</v>
      </c>
      <c r="MX2" s="21" t="n">
        <v>220.322</v>
      </c>
      <c r="MY2" s="21" t="n">
        <v>213.576</v>
      </c>
      <c r="MZ2" s="21" t="n">
        <v>219.704</v>
      </c>
      <c r="NA2" s="21" t="n">
        <v>224.394</v>
      </c>
      <c r="NB2" s="21" t="n">
        <v>115.448</v>
      </c>
      <c r="NC2" s="21" t="n">
        <v>178.576</v>
      </c>
      <c r="ND2" s="21" t="n">
        <v>148.26</v>
      </c>
      <c r="NE2" s="21" t="n">
        <v>145.124</v>
      </c>
      <c r="NF2" s="21" t="n">
        <v>144.865</v>
      </c>
      <c r="NG2" s="21" t="n">
        <v>145.868</v>
      </c>
      <c r="NH2" s="21" t="n">
        <v>251.845</v>
      </c>
      <c r="NI2" s="21" t="n">
        <v>108.474</v>
      </c>
      <c r="NJ2" s="21" t="n">
        <v>84.46899999999999</v>
      </c>
      <c r="NK2" s="21" t="n">
        <v>109.127</v>
      </c>
      <c r="NL2" s="21" t="n">
        <v>192.619</v>
      </c>
      <c r="NM2" s="21" t="n">
        <v>192.221</v>
      </c>
      <c r="NN2" s="21" t="n">
        <v>93.524</v>
      </c>
      <c r="NO2" s="21" t="n">
        <v>66.572</v>
      </c>
      <c r="NP2" s="21" t="n">
        <v>213.108</v>
      </c>
      <c r="NQ2" s="21" t="n">
        <v>184.946</v>
      </c>
      <c r="NR2" s="21" t="n">
        <v>222.9</v>
      </c>
      <c r="NS2" s="21" t="n">
        <v>181.619</v>
      </c>
      <c r="NT2" s="21" t="n">
        <v>222.554</v>
      </c>
      <c r="NU2" s="21" t="n">
        <v>107.788</v>
      </c>
      <c r="NV2" s="21" t="n">
        <v>110.88</v>
      </c>
      <c r="NW2" s="21" t="n">
        <v>336.331</v>
      </c>
      <c r="NX2" s="21" t="n">
        <v>89.431</v>
      </c>
      <c r="NY2" s="21" t="n">
        <v>110.334</v>
      </c>
      <c r="NZ2" s="21" t="n">
        <v>285.955</v>
      </c>
      <c r="OA2" s="21" t="n">
        <v>288.178</v>
      </c>
      <c r="OB2" s="21" t="n">
        <v>296.979</v>
      </c>
      <c r="OC2" s="21" t="n">
        <v>274.345</v>
      </c>
      <c r="OD2" s="21" t="n">
        <v>313.112</v>
      </c>
      <c r="OE2" s="21" t="n">
        <v>105.018</v>
      </c>
      <c r="OF2" s="21" t="n">
        <v>286.644</v>
      </c>
      <c r="OG2" s="21" t="n">
        <v>214.665</v>
      </c>
      <c r="OH2" s="21" t="n">
        <v>62.974</v>
      </c>
      <c r="OI2" s="21" t="n">
        <v>112.13</v>
      </c>
      <c r="OJ2" s="21" t="n">
        <v>42.8</v>
      </c>
      <c r="OK2" s="21" t="n">
        <v>14.3</v>
      </c>
    </row>
    <row r="3">
      <c r="A3" s="22" t="n">
        <v>42036</v>
      </c>
      <c r="B3" s="21" t="n">
        <v>234.722</v>
      </c>
      <c r="C3" s="21" t="n">
        <v>703.122</v>
      </c>
      <c r="D3" s="21" t="n">
        <v>246.269</v>
      </c>
      <c r="E3" s="21" t="n">
        <v>246.68</v>
      </c>
      <c r="F3" s="21" t="n">
        <v>242.906</v>
      </c>
      <c r="G3" s="21" t="n">
        <v>273.052</v>
      </c>
      <c r="H3" s="21" t="n">
        <v>233.18</v>
      </c>
      <c r="I3" s="21" t="n">
        <v>252.521</v>
      </c>
      <c r="J3" s="21" t="n">
        <v>227.634</v>
      </c>
      <c r="K3" s="21" t="n">
        <v>239.943</v>
      </c>
      <c r="L3" s="21" t="n">
        <v>168.56</v>
      </c>
      <c r="M3" s="21" t="n">
        <v>295.545</v>
      </c>
      <c r="N3" s="21" t="n">
        <v>177.64</v>
      </c>
      <c r="O3" s="21" t="n">
        <v>319.578</v>
      </c>
      <c r="P3" s="21" t="n">
        <v>344.87</v>
      </c>
      <c r="Q3" s="21" t="n">
        <v>177.275</v>
      </c>
      <c r="R3" s="21" t="n">
        <v>277.96</v>
      </c>
      <c r="S3" s="21" t="n">
        <v>288.126</v>
      </c>
      <c r="T3" s="21" t="n">
        <v>269.929</v>
      </c>
      <c r="U3" s="21" t="n">
        <v>264.547</v>
      </c>
      <c r="V3" s="21" t="n">
        <v>285.134</v>
      </c>
      <c r="W3" s="21" t="n">
        <v>306.065</v>
      </c>
      <c r="X3" s="21" t="n">
        <v>270.535</v>
      </c>
      <c r="Y3" s="21" t="n">
        <v>260.863</v>
      </c>
      <c r="Z3" s="21" t="n">
        <v>260.965</v>
      </c>
      <c r="AA3" s="21" t="n">
        <v>267.185</v>
      </c>
      <c r="AB3" s="21" t="n">
        <v>324.308</v>
      </c>
      <c r="AC3" s="21" t="n">
        <v>303.062</v>
      </c>
      <c r="AD3" s="21" t="n">
        <v>239.587</v>
      </c>
      <c r="AE3" s="21" t="n">
        <v>210.841</v>
      </c>
      <c r="AF3" s="21" t="n">
        <v>239.223</v>
      </c>
      <c r="AG3" s="21" t="n">
        <v>224.759</v>
      </c>
      <c r="AH3" s="21" t="n">
        <v>160.277</v>
      </c>
      <c r="AI3" s="21" t="n">
        <v>284.602</v>
      </c>
      <c r="AJ3" s="21" t="n">
        <v>153.401</v>
      </c>
      <c r="AK3" s="21" t="n">
        <v>225.557</v>
      </c>
      <c r="AL3" s="21" t="n">
        <v>253.101</v>
      </c>
      <c r="AM3" s="21" t="n">
        <v>201.93</v>
      </c>
      <c r="AN3" s="21" t="n">
        <v>140.548</v>
      </c>
      <c r="AO3" s="21" t="n">
        <v>228.357</v>
      </c>
      <c r="AP3" s="21" t="n">
        <v>230.848</v>
      </c>
      <c r="AQ3" s="21" t="n">
        <v>147.495</v>
      </c>
      <c r="AR3" s="21" t="n">
        <v>327.701</v>
      </c>
      <c r="AS3" s="21" t="n">
        <v>176.461</v>
      </c>
      <c r="AT3" s="21" t="n">
        <v>239.28</v>
      </c>
      <c r="AU3" s="21" t="n">
        <v>153.809</v>
      </c>
      <c r="AV3" s="21" t="n">
        <v>258.439</v>
      </c>
      <c r="AW3" s="21" t="n">
        <v>227.781</v>
      </c>
      <c r="AX3" s="21" t="n">
        <v>156.716</v>
      </c>
      <c r="AY3" s="21" t="n">
        <v>287.652</v>
      </c>
      <c r="AZ3" s="21" t="n">
        <v>175.29</v>
      </c>
      <c r="BA3" s="21" t="n">
        <v>146.903</v>
      </c>
      <c r="BB3" s="21" t="n">
        <v>199.755</v>
      </c>
      <c r="BC3" s="21" t="n">
        <v>316.874</v>
      </c>
      <c r="BD3" s="21" t="n">
        <v>259.024</v>
      </c>
      <c r="BE3" s="21" t="n">
        <v>225.535</v>
      </c>
      <c r="BF3" s="21" t="n">
        <v>149.66</v>
      </c>
      <c r="BG3" s="21" t="n">
        <v>217.891</v>
      </c>
      <c r="BH3" s="21" t="n">
        <v>152.556</v>
      </c>
      <c r="BI3" s="21" t="n">
        <v>237.47</v>
      </c>
      <c r="BJ3" s="21" t="n">
        <v>225.501</v>
      </c>
      <c r="BK3" s="21" t="n">
        <v>147.462</v>
      </c>
      <c r="BL3" s="21" t="n">
        <v>295.686</v>
      </c>
      <c r="BM3" s="21" t="n">
        <v>339.855</v>
      </c>
      <c r="BN3" s="21" t="n">
        <v>352.512</v>
      </c>
      <c r="BO3" s="21" t="n">
        <v>326.073</v>
      </c>
      <c r="BP3" s="21" t="n">
        <v>200.159</v>
      </c>
      <c r="BQ3" s="21" t="n">
        <v>215.076</v>
      </c>
      <c r="BR3" s="21" t="n">
        <v>437.107</v>
      </c>
      <c r="BS3" s="21" t="n">
        <v>125.566</v>
      </c>
      <c r="BT3" s="21" t="n">
        <v>325.328</v>
      </c>
      <c r="BU3" s="21" t="n">
        <v>324.271</v>
      </c>
      <c r="BV3" s="21" t="n">
        <v>331.517</v>
      </c>
      <c r="BW3" s="21" t="n">
        <v>337.283</v>
      </c>
      <c r="BX3" s="21" t="n">
        <v>323.989</v>
      </c>
      <c r="BY3" s="21" t="n">
        <v>159.351</v>
      </c>
      <c r="BZ3" s="21" t="n">
        <v>164.133</v>
      </c>
      <c r="CA3" s="21" t="n">
        <v>157.289</v>
      </c>
      <c r="CB3" s="21" t="n">
        <v>173.156</v>
      </c>
      <c r="CC3" s="21" t="n">
        <v>147.501</v>
      </c>
      <c r="CD3" s="21" t="n">
        <v>202.213</v>
      </c>
      <c r="CE3" s="21" t="n">
        <v>164.81</v>
      </c>
      <c r="CF3" s="21" t="n">
        <v>207.19</v>
      </c>
      <c r="CG3" s="21" t="n">
        <v>168.901</v>
      </c>
      <c r="CH3" s="21" t="n">
        <v>129.015</v>
      </c>
      <c r="CI3" s="21" t="n">
        <v>161.333</v>
      </c>
      <c r="CJ3" s="21" t="n">
        <v>177.15</v>
      </c>
      <c r="CK3" s="21" t="n">
        <v>117.83</v>
      </c>
      <c r="CL3" s="21" t="n">
        <v>121.692</v>
      </c>
      <c r="CM3" s="21" t="n">
        <v>207.111</v>
      </c>
      <c r="CN3" s="21" t="n">
        <v>214.529</v>
      </c>
      <c r="CO3" s="21" t="n">
        <v>212.393</v>
      </c>
      <c r="CP3" s="21" t="n">
        <v>130.003</v>
      </c>
      <c r="CQ3" s="21" t="n">
        <v>208.954</v>
      </c>
      <c r="CR3" s="21" t="n">
        <v>216.65</v>
      </c>
      <c r="CS3" s="21" t="n">
        <v>189.741</v>
      </c>
      <c r="CT3" s="21" t="n">
        <v>145.625</v>
      </c>
      <c r="CU3" s="21" t="n">
        <v>154.782</v>
      </c>
      <c r="CV3" s="21" t="n">
        <v>229.317</v>
      </c>
      <c r="CW3" s="21" t="n">
        <v>199.317</v>
      </c>
      <c r="CX3" s="21" t="n">
        <v>233.471</v>
      </c>
      <c r="CY3" s="21" t="n">
        <v>290.458</v>
      </c>
      <c r="CZ3" s="21" t="n">
        <v>132.454</v>
      </c>
      <c r="DA3" s="21" t="n">
        <v>161.792</v>
      </c>
      <c r="DB3" s="21" t="n">
        <v>163.984</v>
      </c>
      <c r="DC3" s="21" t="n">
        <v>222.457</v>
      </c>
      <c r="DD3" s="21" t="n">
        <v>231.363</v>
      </c>
      <c r="DE3" s="21" t="n">
        <v>168.853</v>
      </c>
      <c r="DF3" s="21" t="n">
        <v>251.885</v>
      </c>
      <c r="DG3" s="21" t="n">
        <v>235.317</v>
      </c>
      <c r="DH3" s="21" t="n">
        <v>145.347</v>
      </c>
      <c r="DI3" s="21" t="n">
        <v>136.118</v>
      </c>
      <c r="DJ3" s="21" t="n">
        <v>136.608</v>
      </c>
      <c r="DK3" s="21" t="n">
        <v>275.028</v>
      </c>
      <c r="DL3" s="21" t="n">
        <v>154.493</v>
      </c>
      <c r="DM3" s="21" t="n">
        <v>131.244</v>
      </c>
      <c r="DN3" s="21" t="n">
        <v>121.121</v>
      </c>
      <c r="DO3" s="21" t="n">
        <v>253.719</v>
      </c>
      <c r="DP3" s="21" t="n">
        <v>157.885</v>
      </c>
      <c r="DQ3" s="21" t="n">
        <v>161.996</v>
      </c>
      <c r="DR3" s="21" t="n">
        <v>160.342</v>
      </c>
      <c r="DS3" s="21" t="n">
        <v>134.824</v>
      </c>
      <c r="DT3" s="21" t="n">
        <v>145.363</v>
      </c>
      <c r="DU3" s="21" t="n">
        <v>176.589</v>
      </c>
      <c r="DV3" s="21" t="n">
        <v>239.269</v>
      </c>
      <c r="DW3" s="21" t="n">
        <v>197.77</v>
      </c>
      <c r="DX3" s="21" t="n">
        <v>214.219</v>
      </c>
      <c r="DY3" s="21" t="n">
        <v>194.06</v>
      </c>
      <c r="DZ3" s="21" t="n">
        <v>208.105</v>
      </c>
      <c r="EA3" s="21" t="n">
        <v>187.577</v>
      </c>
      <c r="EB3" s="21" t="n">
        <v>169.783</v>
      </c>
      <c r="EC3" s="21" t="n">
        <v>328.492</v>
      </c>
      <c r="ED3" s="21" t="n">
        <v>162.517</v>
      </c>
      <c r="EE3" s="21" t="n">
        <v>177.434</v>
      </c>
      <c r="EF3" s="21" t="n">
        <v>173.694</v>
      </c>
      <c r="EG3" s="21" t="n">
        <v>236.016</v>
      </c>
      <c r="EH3" s="21" t="n">
        <v>275.39</v>
      </c>
      <c r="EI3" s="21" t="n">
        <v>282.389</v>
      </c>
      <c r="EJ3" s="21" t="n">
        <v>148.975</v>
      </c>
      <c r="EK3" s="21" t="n">
        <v>503.662</v>
      </c>
      <c r="EL3" s="21" t="n">
        <v>307.8</v>
      </c>
      <c r="EM3" s="21" t="n">
        <v>282.579</v>
      </c>
      <c r="EN3" s="21" t="n">
        <v>282.549</v>
      </c>
      <c r="EO3" s="21" t="n">
        <v>145.942</v>
      </c>
      <c r="EP3" s="21" t="n">
        <v>231.912</v>
      </c>
      <c r="EQ3" s="21" t="n">
        <v>197.375</v>
      </c>
      <c r="ER3" s="21" t="n">
        <v>278.792</v>
      </c>
      <c r="ES3" s="21" t="n">
        <v>279.04</v>
      </c>
      <c r="ET3" s="21" t="n">
        <v>329.195</v>
      </c>
      <c r="EU3" s="21" t="n">
        <v>200.685</v>
      </c>
      <c r="EV3" s="21" t="n">
        <v>208.696</v>
      </c>
      <c r="EW3" s="21" t="n">
        <v>173.978</v>
      </c>
      <c r="EX3" s="21" t="n">
        <v>211.397</v>
      </c>
      <c r="EY3" s="21" t="n">
        <v>486.233</v>
      </c>
      <c r="EZ3" s="21" t="n">
        <v>429.248</v>
      </c>
      <c r="FA3" s="21" t="n">
        <v>122.601</v>
      </c>
      <c r="FB3" s="21" t="n">
        <v>61.756</v>
      </c>
      <c r="FC3" s="21" t="n">
        <v>108.478</v>
      </c>
      <c r="FD3" s="21" t="n">
        <v>70.77</v>
      </c>
      <c r="FE3" s="21" t="n">
        <v>48.792</v>
      </c>
      <c r="FF3" s="21" t="n">
        <v>113.972</v>
      </c>
      <c r="FG3" s="21" t="n">
        <v>127.863</v>
      </c>
      <c r="FH3" s="21" t="n">
        <v>86.95699999999999</v>
      </c>
      <c r="FI3" s="21" t="n">
        <v>75.321</v>
      </c>
      <c r="FJ3" s="21" t="n"/>
      <c r="FK3" s="21" t="n">
        <v>80.77800000000001</v>
      </c>
      <c r="FL3" s="21" t="n">
        <v>90.152</v>
      </c>
      <c r="FM3" s="21" t="n">
        <v>101.992</v>
      </c>
      <c r="FN3" s="21" t="n">
        <v>68.518</v>
      </c>
      <c r="FO3" s="21" t="n">
        <v>59.79</v>
      </c>
      <c r="FP3" s="21" t="n">
        <v>48.006</v>
      </c>
      <c r="FQ3" s="21" t="n">
        <v>129.991</v>
      </c>
      <c r="FR3" s="21" t="n">
        <v>55.192</v>
      </c>
      <c r="FS3" s="21" t="n">
        <v>90.943</v>
      </c>
      <c r="FT3" s="21" t="n">
        <v>91.38800000000001</v>
      </c>
      <c r="FU3" s="21" t="n">
        <v>101.075</v>
      </c>
      <c r="FV3" s="21" t="n">
        <v>86.81699999999999</v>
      </c>
      <c r="FW3" s="21" t="n">
        <v>186.827</v>
      </c>
      <c r="FX3" s="21" t="n">
        <v>118.788</v>
      </c>
      <c r="FY3" s="21" t="n">
        <v>169.315</v>
      </c>
      <c r="FZ3" s="21" t="n">
        <v>119.244</v>
      </c>
      <c r="GA3" s="21" t="n">
        <v>164.57</v>
      </c>
      <c r="GB3" s="21" t="n">
        <v>155.308</v>
      </c>
      <c r="GC3" s="21" t="n">
        <v>168.979</v>
      </c>
      <c r="GD3" s="21" t="n">
        <v>135.336</v>
      </c>
      <c r="GE3" s="21" t="n">
        <v>218.31</v>
      </c>
      <c r="GF3" s="21" t="n">
        <v>124.457</v>
      </c>
      <c r="GG3" s="21" t="n">
        <v>119.608</v>
      </c>
      <c r="GH3" s="21" t="n">
        <v>124.218</v>
      </c>
      <c r="GI3" s="21" t="n">
        <v>112.964</v>
      </c>
      <c r="GJ3" s="21" t="n">
        <v>153.367</v>
      </c>
      <c r="GK3" s="21" t="n">
        <v>80.371</v>
      </c>
      <c r="GL3" s="21" t="n">
        <v>123.636</v>
      </c>
      <c r="GM3" s="21" t="n">
        <v>102.193</v>
      </c>
      <c r="GN3" s="21" t="n">
        <v>109.51</v>
      </c>
      <c r="GO3" s="21" t="n">
        <v>111.943</v>
      </c>
      <c r="GP3" s="21" t="n">
        <v>107.531</v>
      </c>
      <c r="GQ3" s="21" t="n">
        <v>121.39</v>
      </c>
      <c r="GR3" s="21" t="n">
        <v>79.45099999999999</v>
      </c>
      <c r="GS3" s="21" t="n">
        <v>103.512</v>
      </c>
      <c r="GT3" s="21" t="n">
        <v>97.8</v>
      </c>
      <c r="GU3" s="21" t="n">
        <v>134.61</v>
      </c>
      <c r="GV3" s="21" t="n">
        <v>137.565</v>
      </c>
      <c r="GW3" s="21" t="n">
        <v>146.938</v>
      </c>
      <c r="GX3" s="21" t="n">
        <v>126.252</v>
      </c>
      <c r="GY3" s="21" t="n">
        <v>114.936</v>
      </c>
      <c r="GZ3" s="21" t="n">
        <v>160.355</v>
      </c>
      <c r="HA3" s="21" t="n">
        <v>124.181</v>
      </c>
      <c r="HB3" s="21" t="n">
        <v>165.598</v>
      </c>
      <c r="HC3" s="21" t="n">
        <v>193.944</v>
      </c>
      <c r="HD3" s="21" t="n">
        <v>188.542</v>
      </c>
      <c r="HE3" s="21" t="n">
        <v>100.103</v>
      </c>
      <c r="HF3" s="21" t="n">
        <v>147.345</v>
      </c>
      <c r="HG3" s="21" t="n">
        <v>102.151</v>
      </c>
      <c r="HH3" s="21" t="n">
        <v>145.066</v>
      </c>
      <c r="HI3" s="21" t="n">
        <v>155.169</v>
      </c>
      <c r="HJ3" s="21" t="n"/>
      <c r="HK3" s="21" t="n">
        <v>143.39</v>
      </c>
      <c r="HL3" s="21" t="n">
        <v>84.422</v>
      </c>
      <c r="HM3" s="21" t="n">
        <v>125.899</v>
      </c>
      <c r="HN3" s="21" t="n">
        <v>196.272</v>
      </c>
      <c r="HO3" s="21" t="n">
        <v>194.883</v>
      </c>
      <c r="HP3" s="21" t="n">
        <v>191.924</v>
      </c>
      <c r="HQ3" s="21" t="n">
        <v>208.303</v>
      </c>
      <c r="HR3" s="21" t="n">
        <v>200.073</v>
      </c>
      <c r="HS3" s="21" t="n">
        <v>205.669</v>
      </c>
      <c r="HT3" s="21" t="n">
        <v>145.14</v>
      </c>
      <c r="HU3" s="21" t="n">
        <v>127.585</v>
      </c>
      <c r="HV3" s="21" t="n">
        <v>166.468</v>
      </c>
      <c r="HW3" s="21" t="n">
        <v>156.728</v>
      </c>
      <c r="HX3" s="21" t="n">
        <v>368.695</v>
      </c>
      <c r="HY3" s="21" t="n">
        <v>269.136</v>
      </c>
      <c r="HZ3" s="21" t="n">
        <v>278.785</v>
      </c>
      <c r="IA3" s="21" t="n">
        <v>241.998</v>
      </c>
      <c r="IB3" s="21" t="n">
        <v>167.096</v>
      </c>
      <c r="IC3" s="21" t="n">
        <v>454.335</v>
      </c>
      <c r="ID3" s="21" t="n">
        <v>177.388</v>
      </c>
      <c r="IE3" s="21" t="n">
        <v>167.232</v>
      </c>
      <c r="IF3" s="21" t="n">
        <v>193.993</v>
      </c>
      <c r="IG3" s="21" t="n">
        <v>215.029</v>
      </c>
      <c r="IH3" s="21" t="n">
        <v>125.803</v>
      </c>
      <c r="II3" s="21" t="n">
        <v>264.757</v>
      </c>
      <c r="IJ3" s="21" t="n">
        <v>288.626</v>
      </c>
      <c r="IK3" s="21" t="n">
        <v>147.608</v>
      </c>
      <c r="IL3" s="21" t="n"/>
      <c r="IM3" s="21" t="n">
        <v>104.767</v>
      </c>
      <c r="IN3" s="21" t="n">
        <v>60.648</v>
      </c>
      <c r="IO3" s="21" t="n">
        <v>300.825</v>
      </c>
      <c r="IP3" s="21" t="n">
        <v>118.55</v>
      </c>
      <c r="IQ3" s="21" t="n">
        <v>442.783</v>
      </c>
      <c r="IR3" s="21" t="n">
        <v>353.484</v>
      </c>
      <c r="IS3" s="21" t="n">
        <v>115.452</v>
      </c>
      <c r="IT3" s="21" t="n">
        <v>476.638</v>
      </c>
      <c r="IU3" s="21" t="n">
        <v>98.262</v>
      </c>
      <c r="IV3" s="21" t="n">
        <v>99.92</v>
      </c>
      <c r="IW3" s="21" t="n">
        <v>471.138</v>
      </c>
      <c r="IX3" s="21" t="n">
        <v>358.328</v>
      </c>
      <c r="IY3" s="21" t="n">
        <v>361.242</v>
      </c>
      <c r="IZ3" s="21" t="n">
        <v>449.125</v>
      </c>
      <c r="JA3" s="21" t="n">
        <v>184.091</v>
      </c>
      <c r="JB3" s="21" t="n">
        <v>228.005</v>
      </c>
      <c r="JC3" s="21" t="n">
        <v>68.383</v>
      </c>
      <c r="JD3" s="21" t="n">
        <v>286.308</v>
      </c>
      <c r="JE3" s="21" t="n">
        <v>281.338</v>
      </c>
      <c r="JF3" s="21" t="n">
        <v>645.925</v>
      </c>
      <c r="JG3" s="21" t="n">
        <v>204.776</v>
      </c>
      <c r="JH3" s="21" t="n">
        <v>116.702</v>
      </c>
      <c r="JI3" s="21" t="n">
        <v>122.102</v>
      </c>
      <c r="JJ3" s="21" t="n">
        <v>115.593</v>
      </c>
      <c r="JK3" s="21" t="n">
        <v>99.824</v>
      </c>
      <c r="JL3" s="21" t="n">
        <v>346.302</v>
      </c>
      <c r="JM3" s="21" t="n">
        <v>421.254</v>
      </c>
      <c r="JN3" s="21" t="n">
        <v>134.981</v>
      </c>
      <c r="JO3" s="21" t="n">
        <v>73.35599999999999</v>
      </c>
      <c r="JP3" s="21" t="n">
        <v>41.727</v>
      </c>
      <c r="JQ3" s="21" t="n">
        <v>120.034</v>
      </c>
      <c r="JR3" s="21" t="n">
        <v>36.498</v>
      </c>
      <c r="JS3" s="21" t="n">
        <v>87.932</v>
      </c>
      <c r="JT3" s="21" t="n">
        <v>166.746</v>
      </c>
      <c r="JU3" s="21" t="n">
        <v>199.048</v>
      </c>
      <c r="JV3" s="21" t="n">
        <v>152.559</v>
      </c>
      <c r="JW3" s="21" t="n">
        <v>113.931</v>
      </c>
      <c r="JX3" s="21" t="n">
        <v>222.372</v>
      </c>
      <c r="JY3" s="21" t="n">
        <v>179.046</v>
      </c>
      <c r="JZ3" s="21" t="n">
        <v>232.249</v>
      </c>
      <c r="KA3" s="21" t="n">
        <v>115.093</v>
      </c>
      <c r="KB3" s="21" t="n">
        <v>149.21</v>
      </c>
      <c r="KC3" s="21" t="n">
        <v>85.73399999999999</v>
      </c>
      <c r="KD3" s="21" t="n">
        <v>75.505</v>
      </c>
      <c r="KE3" s="21" t="n">
        <v>55.788</v>
      </c>
      <c r="KF3" s="21" t="n">
        <v>128.757</v>
      </c>
      <c r="KG3" s="21" t="n">
        <v>22.931</v>
      </c>
      <c r="KH3" s="21" t="n">
        <v>121.911</v>
      </c>
      <c r="KI3" s="21" t="n">
        <v>127.739</v>
      </c>
      <c r="KJ3" s="21" t="n">
        <v>119.952</v>
      </c>
      <c r="KK3" s="21" t="n">
        <v>47.72</v>
      </c>
      <c r="KL3" s="21" t="n">
        <v>45.776</v>
      </c>
      <c r="KM3" s="21" t="n">
        <v>53.775</v>
      </c>
      <c r="KN3" s="21" t="n"/>
      <c r="KO3" s="21" t="n">
        <v>96.86199999999999</v>
      </c>
      <c r="KP3" s="21" t="n">
        <v>97.438</v>
      </c>
      <c r="KQ3" s="21" t="n">
        <v>154.121</v>
      </c>
      <c r="KR3" s="21" t="n">
        <v>128.532</v>
      </c>
      <c r="KS3" s="21" t="n">
        <v>349.404</v>
      </c>
      <c r="KT3" s="21" t="n">
        <v>166.217</v>
      </c>
      <c r="KU3" s="21" t="n">
        <v>202.356</v>
      </c>
      <c r="KV3" s="21" t="n">
        <v>283.206</v>
      </c>
      <c r="KW3" s="21" t="n">
        <v>238.008</v>
      </c>
      <c r="KX3" s="21" t="n">
        <v>161.952</v>
      </c>
      <c r="KY3" s="21" t="n">
        <v>99.774</v>
      </c>
      <c r="KZ3" s="21" t="n">
        <v>137.56</v>
      </c>
      <c r="LA3" s="21" t="n">
        <v>236.814</v>
      </c>
      <c r="LB3" s="21" t="n">
        <v>639.453</v>
      </c>
      <c r="LC3" s="21" t="n">
        <v>218.268</v>
      </c>
      <c r="LD3" s="21" t="n">
        <v>678.068</v>
      </c>
      <c r="LE3" s="21" t="n">
        <v>775.0410000000001</v>
      </c>
      <c r="LF3" s="21" t="n">
        <v>70.32299999999999</v>
      </c>
      <c r="LG3" s="21" t="n">
        <v>269.711</v>
      </c>
      <c r="LH3" s="21" t="n">
        <v>232.891</v>
      </c>
      <c r="LI3" s="21" t="n">
        <v>80.62</v>
      </c>
      <c r="LJ3" s="21" t="n">
        <v>174.774</v>
      </c>
      <c r="LK3" s="21" t="n">
        <v>274.517</v>
      </c>
      <c r="LL3" s="21" t="n">
        <v>285.917</v>
      </c>
      <c r="LM3" s="21" t="n">
        <v>76.77800000000001</v>
      </c>
      <c r="LN3" s="21" t="n">
        <v>99.31399999999999</v>
      </c>
      <c r="LO3" s="21" t="n">
        <v>55.406</v>
      </c>
      <c r="LP3" s="21" t="n">
        <v>112.696</v>
      </c>
      <c r="LQ3" s="21" t="n"/>
      <c r="LR3" s="21" t="n"/>
      <c r="LS3" s="21" t="n">
        <v>121.85</v>
      </c>
      <c r="LT3" s="21" t="n">
        <v>49.111</v>
      </c>
      <c r="LU3" s="21" t="n">
        <v>36.601</v>
      </c>
      <c r="LV3" s="21" t="n">
        <v>78.327</v>
      </c>
      <c r="LW3" s="21" t="n">
        <v>340.775</v>
      </c>
      <c r="LX3" s="21" t="n"/>
      <c r="LY3" s="21" t="n">
        <v>411.837</v>
      </c>
      <c r="LZ3" s="21" t="n">
        <v>57.923</v>
      </c>
      <c r="MA3" s="21" t="n">
        <v>374.641</v>
      </c>
      <c r="MB3" s="21" t="n">
        <v>244.285</v>
      </c>
      <c r="MC3" s="21" t="n">
        <v>219.536</v>
      </c>
      <c r="MD3" s="21" t="n">
        <v>164.615</v>
      </c>
      <c r="ME3" s="21" t="n">
        <v>104.78</v>
      </c>
      <c r="MF3" s="21" t="n">
        <v>189.289</v>
      </c>
      <c r="MG3" s="21" t="n">
        <v>242.467</v>
      </c>
      <c r="MH3" s="21" t="n">
        <v>147.945</v>
      </c>
      <c r="MI3" s="21" t="n">
        <v>394.803</v>
      </c>
      <c r="MJ3" s="21" t="n">
        <v>319.613</v>
      </c>
      <c r="MK3" s="21" t="n">
        <v>310.198</v>
      </c>
      <c r="ML3" s="21" t="n">
        <v>153.806</v>
      </c>
      <c r="MM3" s="21" t="n">
        <v>180.447</v>
      </c>
      <c r="MN3" s="21" t="n">
        <v>314.407</v>
      </c>
      <c r="MO3" s="21" t="n">
        <v>148.044</v>
      </c>
      <c r="MP3" s="21" t="n">
        <v>214.839</v>
      </c>
      <c r="MQ3" s="21" t="n">
        <v>83.36499999999999</v>
      </c>
      <c r="MR3" s="21" t="n">
        <v>153.7</v>
      </c>
      <c r="MS3" s="21" t="n">
        <v>87.628</v>
      </c>
      <c r="MT3" s="21" t="n">
        <v>224.696</v>
      </c>
      <c r="MU3" s="21" t="n">
        <v>240.398</v>
      </c>
      <c r="MV3" s="21" t="n">
        <v>232.863</v>
      </c>
      <c r="MW3" s="21" t="n">
        <v>240.083</v>
      </c>
      <c r="MX3" s="21" t="n">
        <v>221.432</v>
      </c>
      <c r="MY3" s="21" t="n">
        <v>214.913</v>
      </c>
      <c r="MZ3" s="21" t="n">
        <v>220.561</v>
      </c>
      <c r="NA3" s="21" t="n">
        <v>225.19</v>
      </c>
      <c r="NB3" s="21" t="n">
        <v>117.587</v>
      </c>
      <c r="NC3" s="21" t="n">
        <v>180.005</v>
      </c>
      <c r="ND3" s="21" t="n">
        <v>150.135</v>
      </c>
      <c r="NE3" s="21" t="n">
        <v>147.028</v>
      </c>
      <c r="NF3" s="21" t="n">
        <v>145.761</v>
      </c>
      <c r="NG3" s="21" t="n">
        <v>146.673</v>
      </c>
      <c r="NH3" s="21" t="n">
        <v>251.607</v>
      </c>
      <c r="NI3" s="21" t="n">
        <v>109.062</v>
      </c>
      <c r="NJ3" s="21" t="n">
        <v>84.58799999999999</v>
      </c>
      <c r="NK3" s="21" t="n">
        <v>109.075</v>
      </c>
      <c r="NL3" s="21" t="n">
        <v>196.597</v>
      </c>
      <c r="NM3" s="21" t="n">
        <v>201.485</v>
      </c>
      <c r="NN3" s="21" t="n">
        <v>93.688</v>
      </c>
      <c r="NO3" s="21" t="n">
        <v>66.755</v>
      </c>
      <c r="NP3" s="21" t="n">
        <v>214.988</v>
      </c>
      <c r="NQ3" s="21" t="n">
        <v>188.141</v>
      </c>
      <c r="NR3" s="21" t="n">
        <v>226.857</v>
      </c>
      <c r="NS3" s="21" t="n">
        <v>184.969</v>
      </c>
      <c r="NT3" s="21" t="n">
        <v>226.866</v>
      </c>
      <c r="NU3" s="21" t="n">
        <v>107.736</v>
      </c>
      <c r="NV3" s="21" t="n">
        <v>110.562</v>
      </c>
      <c r="NW3" s="21" t="n">
        <v>336.544</v>
      </c>
      <c r="NX3" s="21" t="n">
        <v>89.40600000000001</v>
      </c>
      <c r="NY3" s="21" t="n">
        <v>110.797</v>
      </c>
      <c r="NZ3" s="21" t="n">
        <v>286.8</v>
      </c>
      <c r="OA3" s="21" t="n">
        <v>288.8</v>
      </c>
      <c r="OB3" s="21" t="n">
        <v>297.75</v>
      </c>
      <c r="OC3" s="21" t="n">
        <v>274.931</v>
      </c>
      <c r="OD3" s="21" t="n">
        <v>313.517</v>
      </c>
      <c r="OE3" s="21" t="n">
        <v>105.798</v>
      </c>
      <c r="OF3" s="21" t="n">
        <v>287.914</v>
      </c>
      <c r="OG3" s="21" t="n">
        <v>214.83</v>
      </c>
      <c r="OH3" s="21" t="n">
        <v>63.1</v>
      </c>
      <c r="OI3" s="21" t="n">
        <v>113</v>
      </c>
      <c r="OJ3" s="21" t="n">
        <v>42.6</v>
      </c>
      <c r="OK3" s="21" t="n">
        <v>14.2</v>
      </c>
    </row>
    <row r="4">
      <c r="A4" s="22" t="n">
        <v>42064</v>
      </c>
      <c r="B4" s="21" t="n">
        <v>236.119</v>
      </c>
      <c r="C4" s="21" t="n">
        <v>707.306</v>
      </c>
      <c r="D4" s="21" t="n">
        <v>245.689</v>
      </c>
      <c r="E4" s="21" t="n">
        <v>246.045</v>
      </c>
      <c r="F4" s="21" t="n">
        <v>241.588</v>
      </c>
      <c r="G4" s="21" t="n">
        <v>273.812</v>
      </c>
      <c r="H4" s="21" t="n">
        <v>234.289</v>
      </c>
      <c r="I4" s="21" t="n">
        <v>249.182</v>
      </c>
      <c r="J4" s="21" t="n">
        <v>228.916</v>
      </c>
      <c r="K4" s="21" t="n">
        <v>242.449</v>
      </c>
      <c r="L4" s="21" t="n">
        <v>167.93</v>
      </c>
      <c r="M4" s="21" t="n">
        <v>296.085</v>
      </c>
      <c r="N4" s="21" t="n">
        <v>178.336</v>
      </c>
      <c r="O4" s="21" t="n">
        <v>321.666</v>
      </c>
      <c r="P4" s="21" t="n">
        <v>344.949</v>
      </c>
      <c r="Q4" s="21" t="n">
        <v>176.366</v>
      </c>
      <c r="R4" s="21" t="n">
        <v>278.229</v>
      </c>
      <c r="S4" s="21" t="n">
        <v>288.749</v>
      </c>
      <c r="T4" s="21" t="n">
        <v>270.043</v>
      </c>
      <c r="U4" s="21" t="n">
        <v>265.596</v>
      </c>
      <c r="V4" s="21" t="n">
        <v>292.978</v>
      </c>
      <c r="W4" s="21" t="n">
        <v>308.639</v>
      </c>
      <c r="X4" s="21" t="n">
        <v>267.287</v>
      </c>
      <c r="Y4" s="21" t="n">
        <v>260.077</v>
      </c>
      <c r="Z4" s="21" t="n">
        <v>260.276</v>
      </c>
      <c r="AA4" s="21" t="n">
        <v>265.816</v>
      </c>
      <c r="AB4" s="21" t="n">
        <v>324.612</v>
      </c>
      <c r="AC4" s="21" t="n">
        <v>300.345</v>
      </c>
      <c r="AD4" s="21" t="n">
        <v>239.68</v>
      </c>
      <c r="AE4" s="21" t="n">
        <v>213.917</v>
      </c>
      <c r="AF4" s="21" t="n">
        <v>237.7</v>
      </c>
      <c r="AG4" s="21" t="n">
        <v>221.037</v>
      </c>
      <c r="AH4" s="21" t="n">
        <v>156.851</v>
      </c>
      <c r="AI4" s="21" t="n">
        <v>278.059</v>
      </c>
      <c r="AJ4" s="21" t="n">
        <v>151.565</v>
      </c>
      <c r="AK4" s="21" t="n">
        <v>224.192</v>
      </c>
      <c r="AL4" s="21" t="n">
        <v>252.354</v>
      </c>
      <c r="AM4" s="21" t="n">
        <v>197.384</v>
      </c>
      <c r="AN4" s="21" t="n">
        <v>138.582</v>
      </c>
      <c r="AO4" s="21" t="n">
        <v>227.716</v>
      </c>
      <c r="AP4" s="21" t="n">
        <v>224.768</v>
      </c>
      <c r="AQ4" s="21" t="n">
        <v>146.624</v>
      </c>
      <c r="AR4" s="21" t="n">
        <v>338.631</v>
      </c>
      <c r="AS4" s="21" t="n">
        <v>182.72</v>
      </c>
      <c r="AT4" s="21" t="n">
        <v>240.101</v>
      </c>
      <c r="AU4" s="21" t="n">
        <v>154.302</v>
      </c>
      <c r="AV4" s="21" t="n">
        <v>257.088</v>
      </c>
      <c r="AW4" s="21" t="n">
        <v>229.275</v>
      </c>
      <c r="AX4" s="21" t="n">
        <v>157.405</v>
      </c>
      <c r="AY4" s="21" t="n">
        <v>287.739</v>
      </c>
      <c r="AZ4" s="21" t="n">
        <v>176.961</v>
      </c>
      <c r="BA4" s="21" t="n">
        <v>145.508</v>
      </c>
      <c r="BB4" s="21" t="n">
        <v>198.387</v>
      </c>
      <c r="BC4" s="21" t="n">
        <v>311.178</v>
      </c>
      <c r="BD4" s="21" t="n">
        <v>256.85</v>
      </c>
      <c r="BE4" s="21" t="n">
        <v>224.449</v>
      </c>
      <c r="BF4" s="21" t="n">
        <v>149.422</v>
      </c>
      <c r="BG4" s="21" t="n">
        <v>216.74</v>
      </c>
      <c r="BH4" s="21" t="n">
        <v>152.663</v>
      </c>
      <c r="BI4" s="21" t="n">
        <v>235.601</v>
      </c>
      <c r="BJ4" s="21" t="n">
        <v>222.72</v>
      </c>
      <c r="BK4" s="21" t="n">
        <v>147.445</v>
      </c>
      <c r="BL4" s="21" t="n">
        <v>289.858</v>
      </c>
      <c r="BM4" s="21" t="n">
        <v>332.501</v>
      </c>
      <c r="BN4" s="21" t="n">
        <v>342.385</v>
      </c>
      <c r="BO4" s="21" t="n">
        <v>319.216</v>
      </c>
      <c r="BP4" s="21" t="n">
        <v>201.495</v>
      </c>
      <c r="BQ4" s="21" t="n">
        <v>215.472</v>
      </c>
      <c r="BR4" s="21" t="n">
        <v>440.039</v>
      </c>
      <c r="BS4" s="21" t="n">
        <v>117.91</v>
      </c>
      <c r="BT4" s="21" t="n">
        <v>320.939</v>
      </c>
      <c r="BU4" s="21" t="n">
        <v>321.86</v>
      </c>
      <c r="BV4" s="21" t="n">
        <v>311.368</v>
      </c>
      <c r="BW4" s="21" t="n">
        <v>331.613</v>
      </c>
      <c r="BX4" s="21" t="n">
        <v>324.043</v>
      </c>
      <c r="BY4" s="21" t="n">
        <v>157.261</v>
      </c>
      <c r="BZ4" s="21" t="n">
        <v>161.899</v>
      </c>
      <c r="CA4" s="21" t="n">
        <v>156.242</v>
      </c>
      <c r="CB4" s="21" t="n">
        <v>170.465</v>
      </c>
      <c r="CC4" s="21" t="n">
        <v>146.541</v>
      </c>
      <c r="CD4" s="21" t="n">
        <v>201.086</v>
      </c>
      <c r="CE4" s="21" t="n">
        <v>161.226</v>
      </c>
      <c r="CF4" s="21" t="n">
        <v>203.851</v>
      </c>
      <c r="CG4" s="21" t="n">
        <v>167.706</v>
      </c>
      <c r="CH4" s="21" t="n">
        <v>128.046</v>
      </c>
      <c r="CI4" s="21" t="n">
        <v>159.786</v>
      </c>
      <c r="CJ4" s="21" t="n">
        <v>175.31</v>
      </c>
      <c r="CK4" s="21" t="n">
        <v>117.136</v>
      </c>
      <c r="CL4" s="21" t="n">
        <v>120.976</v>
      </c>
      <c r="CM4" s="21" t="n">
        <v>206.962</v>
      </c>
      <c r="CN4" s="21" t="n">
        <v>215.116</v>
      </c>
      <c r="CO4" s="21" t="n">
        <v>208.124</v>
      </c>
      <c r="CP4" s="21" t="n">
        <v>128.157</v>
      </c>
      <c r="CQ4" s="21" t="n">
        <v>208.463</v>
      </c>
      <c r="CR4" s="21" t="n">
        <v>216.216</v>
      </c>
      <c r="CS4" s="21" t="n">
        <v>188.148</v>
      </c>
      <c r="CT4" s="21" t="n">
        <v>145.808</v>
      </c>
      <c r="CU4" s="21" t="n">
        <v>153.832</v>
      </c>
      <c r="CV4" s="21" t="n">
        <v>226.324</v>
      </c>
      <c r="CW4" s="21" t="n">
        <v>193.985</v>
      </c>
      <c r="CX4" s="21" t="n">
        <v>222.58</v>
      </c>
      <c r="CY4" s="21" t="n">
        <v>283.609</v>
      </c>
      <c r="CZ4" s="21" t="n">
        <v>131.225</v>
      </c>
      <c r="DA4" s="21" t="n">
        <v>160.87</v>
      </c>
      <c r="DB4" s="21" t="n">
        <v>163.238</v>
      </c>
      <c r="DC4" s="21" t="n">
        <v>222.307</v>
      </c>
      <c r="DD4" s="21" t="n">
        <v>237.048</v>
      </c>
      <c r="DE4" s="21" t="n">
        <v>169.082</v>
      </c>
      <c r="DF4" s="21" t="n">
        <v>250.486</v>
      </c>
      <c r="DG4" s="21" t="n">
        <v>233.871</v>
      </c>
      <c r="DH4" s="21" t="n">
        <v>144.185</v>
      </c>
      <c r="DI4" s="21" t="n">
        <v>136.84</v>
      </c>
      <c r="DJ4" s="21" t="n">
        <v>136.838</v>
      </c>
      <c r="DK4" s="21" t="n">
        <v>270.754</v>
      </c>
      <c r="DL4" s="21" t="n">
        <v>154.347</v>
      </c>
      <c r="DM4" s="21" t="n">
        <v>131.257</v>
      </c>
      <c r="DN4" s="21" t="n">
        <v>119.79</v>
      </c>
      <c r="DO4" s="21" t="n">
        <v>254.108</v>
      </c>
      <c r="DP4" s="21" t="n">
        <v>158.131</v>
      </c>
      <c r="DQ4" s="21" t="n">
        <v>162.169</v>
      </c>
      <c r="DR4" s="21" t="n">
        <v>160.441</v>
      </c>
      <c r="DS4" s="21" t="n">
        <v>134.838</v>
      </c>
      <c r="DT4" s="21" t="n">
        <v>145.578</v>
      </c>
      <c r="DU4" s="21" t="n">
        <v>177.551</v>
      </c>
      <c r="DV4" s="21" t="n">
        <v>239.437</v>
      </c>
      <c r="DW4" s="21" t="n">
        <v>197.913</v>
      </c>
      <c r="DX4" s="21" t="n">
        <v>214.393</v>
      </c>
      <c r="DY4" s="21" t="n">
        <v>193.087</v>
      </c>
      <c r="DZ4" s="21" t="n">
        <v>208.432</v>
      </c>
      <c r="EA4" s="21" t="n">
        <v>186.369</v>
      </c>
      <c r="EB4" s="21" t="n">
        <v>170.177</v>
      </c>
      <c r="EC4" s="21" t="n">
        <v>328.715</v>
      </c>
      <c r="ED4" s="21" t="n">
        <v>163.498</v>
      </c>
      <c r="EE4" s="21" t="n">
        <v>177.389</v>
      </c>
      <c r="EF4" s="21" t="n">
        <v>173.11</v>
      </c>
      <c r="EG4" s="21" t="n">
        <v>236.435</v>
      </c>
      <c r="EH4" s="21" t="n">
        <v>276.36</v>
      </c>
      <c r="EI4" s="21" t="n">
        <v>283.13</v>
      </c>
      <c r="EJ4" s="21" t="n">
        <v>155.576</v>
      </c>
      <c r="EK4" s="21" t="n">
        <v>502.804</v>
      </c>
      <c r="EL4" s="21" t="n">
        <v>324.805</v>
      </c>
      <c r="EM4" s="21" t="n">
        <v>283.244</v>
      </c>
      <c r="EN4" s="21" t="n">
        <v>283.216</v>
      </c>
      <c r="EO4" s="21" t="n">
        <v>145.79</v>
      </c>
      <c r="EP4" s="21" t="n">
        <v>229.829</v>
      </c>
      <c r="EQ4" s="21" t="n">
        <v>194.967</v>
      </c>
      <c r="ER4" s="21" t="n">
        <v>287.679</v>
      </c>
      <c r="ES4" s="21" t="n">
        <v>295.603</v>
      </c>
      <c r="ET4" s="21" t="n">
        <v>327.254</v>
      </c>
      <c r="EU4" s="21" t="n">
        <v>197.727</v>
      </c>
      <c r="EV4" s="21" t="n">
        <v>205.894</v>
      </c>
      <c r="EW4" s="21" t="n">
        <v>170.592</v>
      </c>
      <c r="EX4" s="21" t="n">
        <v>211.738</v>
      </c>
      <c r="EY4" s="21" t="n">
        <v>487.25</v>
      </c>
      <c r="EZ4" s="21" t="n">
        <v>429.235</v>
      </c>
      <c r="FA4" s="21" t="n">
        <v>122.803</v>
      </c>
      <c r="FB4" s="21" t="n">
        <v>61.09</v>
      </c>
      <c r="FC4" s="21" t="n">
        <v>108.412</v>
      </c>
      <c r="FD4" s="21" t="n">
        <v>68.80800000000001</v>
      </c>
      <c r="FE4" s="21" t="n">
        <v>48.384</v>
      </c>
      <c r="FF4" s="21" t="n">
        <v>114.966</v>
      </c>
      <c r="FG4" s="21" t="n">
        <v>130.16</v>
      </c>
      <c r="FH4" s="21" t="n">
        <v>86.798</v>
      </c>
      <c r="FI4" s="21" t="n">
        <v>76.78400000000001</v>
      </c>
      <c r="FJ4" s="21" t="n"/>
      <c r="FK4" s="21" t="n">
        <v>80.42100000000001</v>
      </c>
      <c r="FL4" s="21" t="n">
        <v>89.935</v>
      </c>
      <c r="FM4" s="21" t="n">
        <v>102.911</v>
      </c>
      <c r="FN4" s="21" t="n">
        <v>68.03400000000001</v>
      </c>
      <c r="FO4" s="21" t="n">
        <v>59.576</v>
      </c>
      <c r="FP4" s="21" t="n">
        <v>47.738</v>
      </c>
      <c r="FQ4" s="21" t="n">
        <v>128.647</v>
      </c>
      <c r="FR4" s="21" t="n">
        <v>55.42</v>
      </c>
      <c r="FS4" s="21" t="n">
        <v>91.75700000000001</v>
      </c>
      <c r="FT4" s="21" t="n">
        <v>91.45</v>
      </c>
      <c r="FU4" s="21" t="n">
        <v>100.913</v>
      </c>
      <c r="FV4" s="21" t="n">
        <v>86.962</v>
      </c>
      <c r="FW4" s="21" t="n">
        <v>187.802</v>
      </c>
      <c r="FX4" s="21" t="n">
        <v>119.52</v>
      </c>
      <c r="FY4" s="21" t="n">
        <v>169.413</v>
      </c>
      <c r="FZ4" s="21" t="n">
        <v>120.244</v>
      </c>
      <c r="GA4" s="21" t="n">
        <v>164.807</v>
      </c>
      <c r="GB4" s="21" t="n">
        <v>155.308</v>
      </c>
      <c r="GC4" s="21" t="n">
        <v>169.676</v>
      </c>
      <c r="GD4" s="21" t="n">
        <v>135.294</v>
      </c>
      <c r="GE4" s="21" t="n">
        <v>218.233</v>
      </c>
      <c r="GF4" s="21" t="n">
        <v>128.245</v>
      </c>
      <c r="GG4" s="21" t="n">
        <v>121.829</v>
      </c>
      <c r="GH4" s="21" t="n">
        <v>127.105</v>
      </c>
      <c r="GI4" s="21" t="n">
        <v>115.343</v>
      </c>
      <c r="GJ4" s="21" t="n">
        <v>158.949</v>
      </c>
      <c r="GK4" s="21" t="n">
        <v>80.86799999999999</v>
      </c>
      <c r="GL4" s="21" t="n">
        <v>127.367</v>
      </c>
      <c r="GM4" s="21" t="n">
        <v>102.297</v>
      </c>
      <c r="GN4" s="21" t="n">
        <v>114.671</v>
      </c>
      <c r="GO4" s="21" t="n">
        <v>118.093</v>
      </c>
      <c r="GP4" s="21" t="n">
        <v>106.777</v>
      </c>
      <c r="GQ4" s="21" t="n">
        <v>134.92</v>
      </c>
      <c r="GR4" s="21" t="n">
        <v>85.163</v>
      </c>
      <c r="GS4" s="21" t="n">
        <v>106.095</v>
      </c>
      <c r="GT4" s="21" t="n">
        <v>98.45</v>
      </c>
      <c r="GU4" s="21" t="n">
        <v>137.4</v>
      </c>
      <c r="GV4" s="21" t="n">
        <v>136.658</v>
      </c>
      <c r="GW4" s="21" t="n">
        <v>151.653</v>
      </c>
      <c r="GX4" s="21" t="n">
        <v>130.436</v>
      </c>
      <c r="GY4" s="21" t="n">
        <v>118.55</v>
      </c>
      <c r="GZ4" s="21" t="n">
        <v>160.081</v>
      </c>
      <c r="HA4" s="21" t="n">
        <v>123.227</v>
      </c>
      <c r="HB4" s="21" t="n">
        <v>165.596</v>
      </c>
      <c r="HC4" s="21" t="n">
        <v>199.363</v>
      </c>
      <c r="HD4" s="21" t="n">
        <v>194.27</v>
      </c>
      <c r="HE4" s="21" t="n">
        <v>101.032</v>
      </c>
      <c r="HF4" s="21" t="n">
        <v>147.574</v>
      </c>
      <c r="HG4" s="21" t="n">
        <v>102.318</v>
      </c>
      <c r="HH4" s="21" t="n">
        <v>145.232</v>
      </c>
      <c r="HI4" s="21" t="n">
        <v>155.567</v>
      </c>
      <c r="HJ4" s="21" t="n"/>
      <c r="HK4" s="21" t="n">
        <v>147.023</v>
      </c>
      <c r="HL4" s="21" t="n">
        <v>85.371</v>
      </c>
      <c r="HM4" s="21" t="n">
        <v>128.974</v>
      </c>
      <c r="HN4" s="21" t="n">
        <v>216.691</v>
      </c>
      <c r="HO4" s="21" t="n">
        <v>215.442</v>
      </c>
      <c r="HP4" s="21" t="n">
        <v>212.555</v>
      </c>
      <c r="HQ4" s="21" t="n">
        <v>227.524</v>
      </c>
      <c r="HR4" s="21" t="n">
        <v>220.321</v>
      </c>
      <c r="HS4" s="21" t="n">
        <v>210.851</v>
      </c>
      <c r="HT4" s="21" t="n">
        <v>144.504</v>
      </c>
      <c r="HU4" s="21" t="n">
        <v>126.843</v>
      </c>
      <c r="HV4" s="21" t="n">
        <v>166.195</v>
      </c>
      <c r="HW4" s="21" t="n">
        <v>156.273</v>
      </c>
      <c r="HX4" s="21" t="n">
        <v>369.948</v>
      </c>
      <c r="HY4" s="21" t="n">
        <v>268.907</v>
      </c>
      <c r="HZ4" s="21" t="n">
        <v>279.094</v>
      </c>
      <c r="IA4" s="21" t="n">
        <v>242.093</v>
      </c>
      <c r="IB4" s="21" t="n">
        <v>166.756</v>
      </c>
      <c r="IC4" s="21" t="n">
        <v>455.373</v>
      </c>
      <c r="ID4" s="21" t="n">
        <v>177.443</v>
      </c>
      <c r="IE4" s="21" t="n">
        <v>167.33</v>
      </c>
      <c r="IF4" s="21" t="n">
        <v>193.994</v>
      </c>
      <c r="IG4" s="21" t="n">
        <v>214.94</v>
      </c>
      <c r="IH4" s="21" t="n">
        <v>126.418</v>
      </c>
      <c r="II4" s="21" t="n">
        <v>264.248</v>
      </c>
      <c r="IJ4" s="21" t="n">
        <v>287.362</v>
      </c>
      <c r="IK4" s="21" t="n">
        <v>148.733</v>
      </c>
      <c r="IL4" s="21" t="n"/>
      <c r="IM4" s="21" t="n">
        <v>107.703</v>
      </c>
      <c r="IN4" s="21" t="n">
        <v>60.544</v>
      </c>
      <c r="IO4" s="21" t="n">
        <v>300.601</v>
      </c>
      <c r="IP4" s="21" t="n">
        <v>118.532</v>
      </c>
      <c r="IQ4" s="21" t="n">
        <v>444.02</v>
      </c>
      <c r="IR4" s="21" t="n">
        <v>353.995</v>
      </c>
      <c r="IS4" s="21" t="n">
        <v>115.638</v>
      </c>
      <c r="IT4" s="21" t="n">
        <v>478.076</v>
      </c>
      <c r="IU4" s="21" t="n">
        <v>97.883</v>
      </c>
      <c r="IV4" s="21" t="n">
        <v>99.691</v>
      </c>
      <c r="IW4" s="21" t="n">
        <v>472.645</v>
      </c>
      <c r="IX4" s="21" t="n">
        <v>359.489</v>
      </c>
      <c r="IY4" s="21" t="n">
        <v>363.531</v>
      </c>
      <c r="IZ4" s="21" t="n">
        <v>449.467</v>
      </c>
      <c r="JA4" s="21" t="n">
        <v>183.569</v>
      </c>
      <c r="JB4" s="21" t="n">
        <v>227.974</v>
      </c>
      <c r="JC4" s="21" t="n">
        <v>68.627</v>
      </c>
      <c r="JD4" s="21" t="n">
        <v>287.42</v>
      </c>
      <c r="JE4" s="21" t="n">
        <v>282.183</v>
      </c>
      <c r="JF4" s="21" t="n">
        <v>648.614</v>
      </c>
      <c r="JG4" s="21" t="n">
        <v>205.049</v>
      </c>
      <c r="JH4" s="21" t="n">
        <v>116.93</v>
      </c>
      <c r="JI4" s="21" t="n">
        <v>122.343</v>
      </c>
      <c r="JJ4" s="21" t="n">
        <v>115.835</v>
      </c>
      <c r="JK4" s="21" t="n">
        <v>100.088</v>
      </c>
      <c r="JL4" s="21" t="n">
        <v>346.103</v>
      </c>
      <c r="JM4" s="21" t="n">
        <v>423.358</v>
      </c>
      <c r="JN4" s="21" t="n">
        <v>133.593</v>
      </c>
      <c r="JO4" s="21" t="n">
        <v>72.383</v>
      </c>
      <c r="JP4" s="21" t="n">
        <v>40.538</v>
      </c>
      <c r="JQ4" s="21" t="n">
        <v>120.126</v>
      </c>
      <c r="JR4" s="21" t="n">
        <v>36.195</v>
      </c>
      <c r="JS4" s="21" t="n">
        <v>87.212</v>
      </c>
      <c r="JT4" s="21" t="n">
        <v>167.18</v>
      </c>
      <c r="JU4" s="21" t="n">
        <v>199.55</v>
      </c>
      <c r="JV4" s="21" t="n">
        <v>153.397</v>
      </c>
      <c r="JW4" s="21" t="n">
        <v>114.018</v>
      </c>
      <c r="JX4" s="21" t="n">
        <v>222.978</v>
      </c>
      <c r="JY4" s="21" t="n">
        <v>178.944</v>
      </c>
      <c r="JZ4" s="21" t="n">
        <v>233.164</v>
      </c>
      <c r="KA4" s="21" t="n">
        <v>114.519</v>
      </c>
      <c r="KB4" s="21" t="n">
        <v>148.525</v>
      </c>
      <c r="KC4" s="21" t="n">
        <v>85.283</v>
      </c>
      <c r="KD4" s="21" t="n">
        <v>75.166</v>
      </c>
      <c r="KE4" s="21" t="n">
        <v>55.515</v>
      </c>
      <c r="KF4" s="21" t="n">
        <v>128.645</v>
      </c>
      <c r="KG4" s="21" t="n">
        <v>22.795</v>
      </c>
      <c r="KH4" s="21" t="n">
        <v>121.428</v>
      </c>
      <c r="KI4" s="21" t="n">
        <v>127.418</v>
      </c>
      <c r="KJ4" s="21" t="n">
        <v>118.734</v>
      </c>
      <c r="KK4" s="21" t="n">
        <v>47.766</v>
      </c>
      <c r="KL4" s="21" t="n">
        <v>45.69</v>
      </c>
      <c r="KM4" s="21" t="n">
        <v>53.841</v>
      </c>
      <c r="KN4" s="21" t="n"/>
      <c r="KO4" s="21" t="n">
        <v>97.97499999999999</v>
      </c>
      <c r="KP4" s="21" t="n">
        <v>98.15000000000001</v>
      </c>
      <c r="KQ4" s="21" t="n">
        <v>154.679</v>
      </c>
      <c r="KR4" s="21" t="n">
        <v>128.144</v>
      </c>
      <c r="KS4" s="21" t="n">
        <v>352.893</v>
      </c>
      <c r="KT4" s="21" t="n">
        <v>168.106</v>
      </c>
      <c r="KU4" s="21" t="n">
        <v>204.659</v>
      </c>
      <c r="KV4" s="21" t="n">
        <v>284.223</v>
      </c>
      <c r="KW4" s="21" t="n">
        <v>238.325</v>
      </c>
      <c r="KX4" s="21" t="n">
        <v>162.347</v>
      </c>
      <c r="KY4" s="21" t="n">
        <v>99.764</v>
      </c>
      <c r="KZ4" s="21" t="n">
        <v>137.564</v>
      </c>
      <c r="LA4" s="21" t="n">
        <v>237.447</v>
      </c>
      <c r="LB4" s="21" t="n">
        <v>642.611</v>
      </c>
      <c r="LC4" s="21" t="n">
        <v>219.203</v>
      </c>
      <c r="LD4" s="21" t="n">
        <v>679.779</v>
      </c>
      <c r="LE4" s="21" t="n">
        <v>775.426</v>
      </c>
      <c r="LF4" s="21" t="n">
        <v>70.36199999999999</v>
      </c>
      <c r="LG4" s="21" t="n">
        <v>272.082</v>
      </c>
      <c r="LH4" s="21" t="n">
        <v>232.939</v>
      </c>
      <c r="LI4" s="21" t="n">
        <v>80.432</v>
      </c>
      <c r="LJ4" s="21" t="n">
        <v>174.534</v>
      </c>
      <c r="LK4" s="21" t="n">
        <v>274.517</v>
      </c>
      <c r="LL4" s="21" t="n">
        <v>281.97</v>
      </c>
      <c r="LM4" s="21" t="n">
        <v>76.596</v>
      </c>
      <c r="LN4" s="21" t="n">
        <v>98.93000000000001</v>
      </c>
      <c r="LO4" s="21" t="n">
        <v>54.975</v>
      </c>
      <c r="LP4" s="21" t="n">
        <v>113.104</v>
      </c>
      <c r="LQ4" s="21" t="n"/>
      <c r="LR4" s="21" t="n"/>
      <c r="LS4" s="21" t="n">
        <v>121.951</v>
      </c>
      <c r="LT4" s="21" t="n">
        <v>48.772</v>
      </c>
      <c r="LU4" s="21" t="n">
        <v>36.944</v>
      </c>
      <c r="LV4" s="21" t="n">
        <v>78.786</v>
      </c>
      <c r="LW4" s="21" t="n">
        <v>330.731</v>
      </c>
      <c r="LX4" s="21" t="n"/>
      <c r="LY4" s="21" t="n">
        <v>412.402</v>
      </c>
      <c r="LZ4" s="21" t="n">
        <v>57.963</v>
      </c>
      <c r="MA4" s="21" t="n">
        <v>375.241</v>
      </c>
      <c r="MB4" s="21" t="n">
        <v>241.542</v>
      </c>
      <c r="MC4" s="21" t="n">
        <v>219.877</v>
      </c>
      <c r="MD4" s="21" t="n">
        <v>164.086</v>
      </c>
      <c r="ME4" s="21" t="n">
        <v>104.779</v>
      </c>
      <c r="MF4" s="21" t="n">
        <v>188.025</v>
      </c>
      <c r="MG4" s="21" t="n">
        <v>243.996</v>
      </c>
      <c r="MH4" s="21" t="n">
        <v>148.877</v>
      </c>
      <c r="MI4" s="21" t="n">
        <v>395.889</v>
      </c>
      <c r="MJ4" s="21" t="n">
        <v>320.198</v>
      </c>
      <c r="MK4" s="21" t="n">
        <v>310.599</v>
      </c>
      <c r="ML4" s="21" t="n">
        <v>153.911</v>
      </c>
      <c r="MM4" s="21" t="n">
        <v>181.059</v>
      </c>
      <c r="MN4" s="21" t="n">
        <v>316.773</v>
      </c>
      <c r="MO4" s="21" t="n">
        <v>148.972</v>
      </c>
      <c r="MP4" s="21" t="n">
        <v>216.863</v>
      </c>
      <c r="MQ4" s="21" t="n">
        <v>83.114</v>
      </c>
      <c r="MR4" s="21" t="n">
        <v>151.639</v>
      </c>
      <c r="MS4" s="21" t="n">
        <v>88.38500000000001</v>
      </c>
      <c r="MT4" s="21" t="n">
        <v>226.093</v>
      </c>
      <c r="MU4" s="21" t="n">
        <v>241.135</v>
      </c>
      <c r="MV4" s="21" t="n">
        <v>234.58</v>
      </c>
      <c r="MW4" s="21" t="n">
        <v>241.067</v>
      </c>
      <c r="MX4" s="21" t="n">
        <v>223.014</v>
      </c>
      <c r="MY4" s="21" t="n">
        <v>217.015</v>
      </c>
      <c r="MZ4" s="21" t="n">
        <v>221.558</v>
      </c>
      <c r="NA4" s="21" t="n">
        <v>226.035</v>
      </c>
      <c r="NB4" s="21" t="n">
        <v>121.474</v>
      </c>
      <c r="NC4" s="21" t="n">
        <v>182.318</v>
      </c>
      <c r="ND4" s="21" t="n">
        <v>153.493</v>
      </c>
      <c r="NE4" s="21" t="n">
        <v>150.463</v>
      </c>
      <c r="NF4" s="21" t="n">
        <v>146.887</v>
      </c>
      <c r="NG4" s="21" t="n">
        <v>147.574</v>
      </c>
      <c r="NH4" s="21" t="n">
        <v>250.202</v>
      </c>
      <c r="NI4" s="21" t="n">
        <v>109.587</v>
      </c>
      <c r="NJ4" s="21" t="n">
        <v>84.27800000000001</v>
      </c>
      <c r="NK4" s="21" t="n">
        <v>109.115</v>
      </c>
      <c r="NL4" s="21" t="n">
        <v>204.731</v>
      </c>
      <c r="NM4" s="21" t="n">
        <v>221.577</v>
      </c>
      <c r="NN4" s="21" t="n">
        <v>93.849</v>
      </c>
      <c r="NO4" s="21" t="n">
        <v>66.22199999999999</v>
      </c>
      <c r="NP4" s="21" t="n">
        <v>218.297</v>
      </c>
      <c r="NQ4" s="21" t="n">
        <v>194.444</v>
      </c>
      <c r="NR4" s="21" t="n">
        <v>234.672</v>
      </c>
      <c r="NS4" s="21" t="n">
        <v>191.634</v>
      </c>
      <c r="NT4" s="21" t="n">
        <v>235.475</v>
      </c>
      <c r="NU4" s="21" t="n">
        <v>107.577</v>
      </c>
      <c r="NV4" s="21" t="n">
        <v>111.008</v>
      </c>
      <c r="NW4" s="21" t="n">
        <v>337.185</v>
      </c>
      <c r="NX4" s="21" t="n">
        <v>89.352</v>
      </c>
      <c r="NY4" s="21" t="n">
        <v>111.187</v>
      </c>
      <c r="NZ4" s="21" t="n">
        <v>287.825</v>
      </c>
      <c r="OA4" s="21" t="n">
        <v>289.323</v>
      </c>
      <c r="OB4" s="21" t="n">
        <v>298.612</v>
      </c>
      <c r="OC4" s="21" t="n">
        <v>275.388</v>
      </c>
      <c r="OD4" s="21" t="n">
        <v>313.483</v>
      </c>
      <c r="OE4" s="21" t="n">
        <v>106.636</v>
      </c>
      <c r="OF4" s="21" t="n">
        <v>288.349</v>
      </c>
      <c r="OG4" s="21" t="n">
        <v>213.584</v>
      </c>
      <c r="OH4" s="21" t="n">
        <v>62.829</v>
      </c>
      <c r="OI4" s="21" t="n">
        <v>113.443</v>
      </c>
      <c r="OJ4" s="21" t="n">
        <v>42.4</v>
      </c>
      <c r="OK4" s="21" t="n">
        <v>14.1</v>
      </c>
    </row>
    <row r="5">
      <c r="A5" s="22" t="n">
        <v>42095</v>
      </c>
      <c r="B5" s="21" t="n">
        <v>236.599</v>
      </c>
      <c r="C5" s="21" t="n">
        <v>708.746</v>
      </c>
      <c r="D5" s="21" t="n">
        <v>245.746</v>
      </c>
      <c r="E5" s="21" t="n">
        <v>246.121</v>
      </c>
      <c r="F5" s="21" t="n">
        <v>241.305</v>
      </c>
      <c r="G5" s="21" t="n">
        <v>273.366</v>
      </c>
      <c r="H5" s="21" t="n">
        <v>235.098</v>
      </c>
      <c r="I5" s="21" t="n">
        <v>248.512</v>
      </c>
      <c r="J5" s="21" t="n">
        <v>230.143</v>
      </c>
      <c r="K5" s="21" t="n">
        <v>243.164</v>
      </c>
      <c r="L5" s="21" t="n">
        <v>167.775</v>
      </c>
      <c r="M5" s="21" t="n">
        <v>294.87</v>
      </c>
      <c r="N5" s="21" t="n">
        <v>178.152</v>
      </c>
      <c r="O5" s="21" t="n">
        <v>323.733</v>
      </c>
      <c r="P5" s="21" t="n">
        <v>341.975</v>
      </c>
      <c r="Q5" s="21" t="n">
        <v>174.297</v>
      </c>
      <c r="R5" s="21" t="n">
        <v>273.531</v>
      </c>
      <c r="S5" s="21" t="n">
        <v>285.771</v>
      </c>
      <c r="T5" s="21" t="n">
        <v>263.872</v>
      </c>
      <c r="U5" s="21" t="n">
        <v>267.455</v>
      </c>
      <c r="V5" s="21" t="n">
        <v>296.342</v>
      </c>
      <c r="W5" s="21" t="n">
        <v>308.793</v>
      </c>
      <c r="X5" s="21" t="n">
        <v>272.421</v>
      </c>
      <c r="Y5" s="21" t="n">
        <v>258.991</v>
      </c>
      <c r="Z5" s="21" t="n">
        <v>259.566</v>
      </c>
      <c r="AA5" s="21" t="n">
        <v>263.991</v>
      </c>
      <c r="AB5" s="21" t="n">
        <v>325.822</v>
      </c>
      <c r="AC5" s="21" t="n">
        <v>300.281</v>
      </c>
      <c r="AD5" s="21" t="n">
        <v>241.354</v>
      </c>
      <c r="AE5" s="21" t="n">
        <v>215.411</v>
      </c>
      <c r="AF5" s="21" t="n">
        <v>238.54</v>
      </c>
      <c r="AG5" s="21" t="n">
        <v>214.958</v>
      </c>
      <c r="AH5" s="21" t="n">
        <v>154.13</v>
      </c>
      <c r="AI5" s="21" t="n">
        <v>271.994</v>
      </c>
      <c r="AJ5" s="21" t="n">
        <v>150.57</v>
      </c>
      <c r="AK5" s="21" t="n">
        <v>211.32</v>
      </c>
      <c r="AL5" s="21" t="n">
        <v>235.894</v>
      </c>
      <c r="AM5" s="21" t="n">
        <v>194.004</v>
      </c>
      <c r="AN5" s="21" t="n">
        <v>135.244</v>
      </c>
      <c r="AO5" s="21" t="n">
        <v>227.17</v>
      </c>
      <c r="AP5" s="21" t="n">
        <v>228.864</v>
      </c>
      <c r="AQ5" s="21" t="n">
        <v>145.85</v>
      </c>
      <c r="AR5" s="21" t="n">
        <v>332.201</v>
      </c>
      <c r="AS5" s="21" t="n">
        <v>178.104</v>
      </c>
      <c r="AT5" s="21" t="n">
        <v>240.017</v>
      </c>
      <c r="AU5" s="21" t="n">
        <v>154.347</v>
      </c>
      <c r="AV5" s="21" t="n">
        <v>255.772</v>
      </c>
      <c r="AW5" s="21" t="n">
        <v>229.389</v>
      </c>
      <c r="AX5" s="21" t="n">
        <v>156.92</v>
      </c>
      <c r="AY5" s="21" t="n">
        <v>291.137</v>
      </c>
      <c r="AZ5" s="21" t="n">
        <v>176.865</v>
      </c>
      <c r="BA5" s="21" t="n">
        <v>149.172</v>
      </c>
      <c r="BB5" s="21" t="n">
        <v>202.547</v>
      </c>
      <c r="BC5" s="21" t="n">
        <v>321.125</v>
      </c>
      <c r="BD5" s="21" t="n">
        <v>250.376</v>
      </c>
      <c r="BE5" s="21" t="n">
        <v>222.691</v>
      </c>
      <c r="BF5" s="21" t="n">
        <v>147.556</v>
      </c>
      <c r="BG5" s="21" t="n">
        <v>213.775</v>
      </c>
      <c r="BH5" s="21" t="n">
        <v>151.182</v>
      </c>
      <c r="BI5" s="21" t="n">
        <v>233.001</v>
      </c>
      <c r="BJ5" s="21" t="n">
        <v>222.715</v>
      </c>
      <c r="BK5" s="21" t="n">
        <v>147.137</v>
      </c>
      <c r="BL5" s="21" t="n">
        <v>290.178</v>
      </c>
      <c r="BM5" s="21" t="n">
        <v>332.648</v>
      </c>
      <c r="BN5" s="21" t="n">
        <v>346.823</v>
      </c>
      <c r="BO5" s="21" t="n">
        <v>317.223</v>
      </c>
      <c r="BP5" s="21" t="n">
        <v>201.925</v>
      </c>
      <c r="BQ5" s="21" t="n">
        <v>222.796</v>
      </c>
      <c r="BR5" s="21" t="n">
        <v>438.913</v>
      </c>
      <c r="BS5" s="21" t="n">
        <v>119.206</v>
      </c>
      <c r="BT5" s="21" t="n">
        <v>316.535</v>
      </c>
      <c r="BU5" s="21" t="n">
        <v>321.353</v>
      </c>
      <c r="BV5" s="21" t="n">
        <v>297.107</v>
      </c>
      <c r="BW5" s="21" t="n">
        <v>329.365</v>
      </c>
      <c r="BX5" s="21" t="n">
        <v>320.527</v>
      </c>
      <c r="BY5" s="21" t="n">
        <v>157.785</v>
      </c>
      <c r="BZ5" s="21" t="n">
        <v>162.576</v>
      </c>
      <c r="CA5" s="21" t="n">
        <v>155.458</v>
      </c>
      <c r="CB5" s="21" t="n">
        <v>171.969</v>
      </c>
      <c r="CC5" s="21" t="n">
        <v>146.168</v>
      </c>
      <c r="CD5" s="21" t="n">
        <v>198.886</v>
      </c>
      <c r="CE5" s="21" t="n">
        <v>162.842</v>
      </c>
      <c r="CF5" s="21" t="n">
        <v>207.756</v>
      </c>
      <c r="CG5" s="21" t="n">
        <v>168.401</v>
      </c>
      <c r="CH5" s="21" t="n">
        <v>128.551</v>
      </c>
      <c r="CI5" s="21" t="n">
        <v>159.129</v>
      </c>
      <c r="CJ5" s="21" t="n">
        <v>176.282</v>
      </c>
      <c r="CK5" s="21" t="n">
        <v>118.276</v>
      </c>
      <c r="CL5" s="21" t="n">
        <v>121.541</v>
      </c>
      <c r="CM5" s="21" t="n">
        <v>209.204</v>
      </c>
      <c r="CN5" s="21" t="n">
        <v>217.953</v>
      </c>
      <c r="CO5" s="21" t="n">
        <v>207.55</v>
      </c>
      <c r="CP5" s="21" t="n">
        <v>127.463</v>
      </c>
      <c r="CQ5" s="21" t="n">
        <v>208.648</v>
      </c>
      <c r="CR5" s="21" t="n">
        <v>214.157</v>
      </c>
      <c r="CS5" s="21" t="n">
        <v>190.699</v>
      </c>
      <c r="CT5" s="21" t="n">
        <v>142.936</v>
      </c>
      <c r="CU5" s="21" t="n">
        <v>153.944</v>
      </c>
      <c r="CV5" s="21" t="n">
        <v>225.898</v>
      </c>
      <c r="CW5" s="21" t="n">
        <v>193.435</v>
      </c>
      <c r="CX5" s="21" t="n">
        <v>222.116</v>
      </c>
      <c r="CY5" s="21" t="n">
        <v>286.916</v>
      </c>
      <c r="CZ5" s="21" t="n">
        <v>131.092</v>
      </c>
      <c r="DA5" s="21" t="n">
        <v>160.591</v>
      </c>
      <c r="DB5" s="21" t="n">
        <v>162.451</v>
      </c>
      <c r="DC5" s="21" t="n">
        <v>223.075</v>
      </c>
      <c r="DD5" s="21" t="n">
        <v>243.694</v>
      </c>
      <c r="DE5" s="21" t="n">
        <v>170.157</v>
      </c>
      <c r="DF5" s="21" t="n">
        <v>249.681</v>
      </c>
      <c r="DG5" s="21" t="n">
        <v>234.368</v>
      </c>
      <c r="DH5" s="21" t="n">
        <v>145.641</v>
      </c>
      <c r="DI5" s="21" t="n">
        <v>136.342</v>
      </c>
      <c r="DJ5" s="21" t="n">
        <v>136.244</v>
      </c>
      <c r="DK5" s="21" t="n">
        <v>274.129</v>
      </c>
      <c r="DL5" s="21" t="n">
        <v>153.317</v>
      </c>
      <c r="DM5" s="21" t="n">
        <v>131.705</v>
      </c>
      <c r="DN5" s="21" t="n">
        <v>120.549</v>
      </c>
      <c r="DO5" s="21" t="n">
        <v>254.727</v>
      </c>
      <c r="DP5" s="21" t="n">
        <v>158.515</v>
      </c>
      <c r="DQ5" s="21" t="n">
        <v>162.55</v>
      </c>
      <c r="DR5" s="21" t="n">
        <v>160.872</v>
      </c>
      <c r="DS5" s="21" t="n">
        <v>134.924</v>
      </c>
      <c r="DT5" s="21" t="n">
        <v>146.011</v>
      </c>
      <c r="DU5" s="21" t="n">
        <v>178.057</v>
      </c>
      <c r="DV5" s="21" t="n">
        <v>239.237</v>
      </c>
      <c r="DW5" s="21" t="n">
        <v>197.146</v>
      </c>
      <c r="DX5" s="21" t="n">
        <v>214.225</v>
      </c>
      <c r="DY5" s="21" t="n">
        <v>192.873</v>
      </c>
      <c r="DZ5" s="21" t="n">
        <v>208.756</v>
      </c>
      <c r="EA5" s="21" t="n">
        <v>185.8</v>
      </c>
      <c r="EB5" s="21" t="n">
        <v>168.809</v>
      </c>
      <c r="EC5" s="21" t="n">
        <v>329.865</v>
      </c>
      <c r="ED5" s="21" t="n">
        <v>163.929</v>
      </c>
      <c r="EE5" s="21" t="n">
        <v>177.706</v>
      </c>
      <c r="EF5" s="21" t="n">
        <v>175.732</v>
      </c>
      <c r="EG5" s="21" t="n">
        <v>236.777</v>
      </c>
      <c r="EH5" s="21" t="n">
        <v>276.978</v>
      </c>
      <c r="EI5" s="21" t="n">
        <v>283.598</v>
      </c>
      <c r="EJ5" s="21" t="n">
        <v>155.926</v>
      </c>
      <c r="EK5" s="21" t="n">
        <v>502.776</v>
      </c>
      <c r="EL5" s="21" t="n">
        <v>325.703</v>
      </c>
      <c r="EM5" s="21" t="n">
        <v>283.92</v>
      </c>
      <c r="EN5" s="21" t="n">
        <v>283.891</v>
      </c>
      <c r="EO5" s="21" t="n">
        <v>146.341</v>
      </c>
      <c r="EP5" s="21" t="n">
        <v>228.304</v>
      </c>
      <c r="EQ5" s="21" t="n">
        <v>193.157</v>
      </c>
      <c r="ER5" s="21" t="n">
        <v>270.254</v>
      </c>
      <c r="ES5" s="21" t="n">
        <v>270.85</v>
      </c>
      <c r="ET5" s="21" t="n">
        <v>318.537</v>
      </c>
      <c r="EU5" s="21" t="n">
        <v>196.502</v>
      </c>
      <c r="EV5" s="21" t="n">
        <v>206.179</v>
      </c>
      <c r="EW5" s="21" t="n">
        <v>164.839</v>
      </c>
      <c r="EX5" s="21" t="n">
        <v>212.153</v>
      </c>
      <c r="EY5" s="21" t="n">
        <v>488.293</v>
      </c>
      <c r="EZ5" s="21" t="n">
        <v>429.807</v>
      </c>
      <c r="FA5" s="21" t="n">
        <v>123.451</v>
      </c>
      <c r="FB5" s="21" t="n">
        <v>61.532</v>
      </c>
      <c r="FC5" s="21" t="n">
        <v>108.98</v>
      </c>
      <c r="FD5" s="21" t="n">
        <v>70.52200000000001</v>
      </c>
      <c r="FE5" s="21" t="n">
        <v>48.5</v>
      </c>
      <c r="FF5" s="21" t="n">
        <v>116.506</v>
      </c>
      <c r="FG5" s="21" t="n">
        <v>132.416</v>
      </c>
      <c r="FH5" s="21" t="n">
        <v>88.161</v>
      </c>
      <c r="FI5" s="21" t="n">
        <v>76.749</v>
      </c>
      <c r="FJ5" s="21" t="n"/>
      <c r="FK5" s="21" t="n">
        <v>80.577</v>
      </c>
      <c r="FL5" s="21" t="n">
        <v>89.962</v>
      </c>
      <c r="FM5" s="21" t="n">
        <v>102.459</v>
      </c>
      <c r="FN5" s="21" t="n">
        <v>68.29600000000001</v>
      </c>
      <c r="FO5" s="21" t="n">
        <v>59.627</v>
      </c>
      <c r="FP5" s="21" t="n">
        <v>47.89</v>
      </c>
      <c r="FQ5" s="21" t="n">
        <v>128.007</v>
      </c>
      <c r="FR5" s="21" t="n">
        <v>56.025</v>
      </c>
      <c r="FS5" s="21" t="n">
        <v>91.32899999999999</v>
      </c>
      <c r="FT5" s="21" t="n">
        <v>91.70399999999999</v>
      </c>
      <c r="FU5" s="21" t="n">
        <v>100.809</v>
      </c>
      <c r="FV5" s="21" t="n">
        <v>87.37</v>
      </c>
      <c r="FW5" s="21" t="n">
        <v>187.783</v>
      </c>
      <c r="FX5" s="21" t="n">
        <v>119.438</v>
      </c>
      <c r="FY5" s="21" t="n">
        <v>170.17</v>
      </c>
      <c r="FZ5" s="21" t="n">
        <v>119.807</v>
      </c>
      <c r="GA5" s="21" t="n">
        <v>166.19</v>
      </c>
      <c r="GB5" s="21" t="n">
        <v>155.376</v>
      </c>
      <c r="GC5" s="21" t="n">
        <v>172.652</v>
      </c>
      <c r="GD5" s="21" t="n">
        <v>136.749</v>
      </c>
      <c r="GE5" s="21" t="n">
        <v>218.237</v>
      </c>
      <c r="GF5" s="21" t="n">
        <v>128.593</v>
      </c>
      <c r="GG5" s="21" t="n">
        <v>121.454</v>
      </c>
      <c r="GH5" s="21" t="n">
        <v>125.971</v>
      </c>
      <c r="GI5" s="21" t="n">
        <v>111.473</v>
      </c>
      <c r="GJ5" s="21" t="n">
        <v>159.214</v>
      </c>
      <c r="GK5" s="21" t="n">
        <v>80.274</v>
      </c>
      <c r="GL5" s="21" t="n">
        <v>126.512</v>
      </c>
      <c r="GM5" s="21" t="n">
        <v>104.278</v>
      </c>
      <c r="GN5" s="21" t="n">
        <v>115.377</v>
      </c>
      <c r="GO5" s="21" t="n">
        <v>118.834</v>
      </c>
      <c r="GP5" s="21" t="n">
        <v>108.406</v>
      </c>
      <c r="GQ5" s="21" t="n">
        <v>131.387</v>
      </c>
      <c r="GR5" s="21" t="n">
        <v>86.81399999999999</v>
      </c>
      <c r="GS5" s="21" t="n">
        <v>105.865</v>
      </c>
      <c r="GT5" s="21" t="n">
        <v>98.99299999999999</v>
      </c>
      <c r="GU5" s="21" t="n">
        <v>138.116</v>
      </c>
      <c r="GV5" s="21" t="n">
        <v>139.689</v>
      </c>
      <c r="GW5" s="21" t="n">
        <v>151.114</v>
      </c>
      <c r="GX5" s="21" t="n">
        <v>130.284</v>
      </c>
      <c r="GY5" s="21" t="n">
        <v>119.238</v>
      </c>
      <c r="GZ5" s="21" t="n">
        <v>158.777</v>
      </c>
      <c r="HA5" s="21" t="n">
        <v>122.991</v>
      </c>
      <c r="HB5" s="21" t="n">
        <v>163.956</v>
      </c>
      <c r="HC5" s="21" t="n">
        <v>200.245</v>
      </c>
      <c r="HD5" s="21" t="n">
        <v>194.906</v>
      </c>
      <c r="HE5" s="21" t="n">
        <v>101.68</v>
      </c>
      <c r="HF5" s="21" t="n">
        <v>147.844</v>
      </c>
      <c r="HG5" s="21" t="n">
        <v>102.496</v>
      </c>
      <c r="HH5" s="21" t="n">
        <v>145.215</v>
      </c>
      <c r="HI5" s="21" t="n">
        <v>156.063</v>
      </c>
      <c r="HJ5" s="21" t="n"/>
      <c r="HK5" s="21" t="n">
        <v>149.788</v>
      </c>
      <c r="HL5" s="21" t="n">
        <v>85.26600000000001</v>
      </c>
      <c r="HM5" s="21" t="n">
        <v>128.298</v>
      </c>
      <c r="HN5" s="21" t="n">
        <v>216.595</v>
      </c>
      <c r="HO5" s="21" t="n">
        <v>215.461</v>
      </c>
      <c r="HP5" s="21" t="n">
        <v>212.601</v>
      </c>
      <c r="HQ5" s="21" t="n">
        <v>227.542</v>
      </c>
      <c r="HR5" s="21" t="n">
        <v>220.043</v>
      </c>
      <c r="HS5" s="21" t="n">
        <v>204.294</v>
      </c>
      <c r="HT5" s="21" t="n">
        <v>144.281</v>
      </c>
      <c r="HU5" s="21" t="n">
        <v>126.577</v>
      </c>
      <c r="HV5" s="21" t="n">
        <v>166.111</v>
      </c>
      <c r="HW5" s="21" t="n">
        <v>156.222</v>
      </c>
      <c r="HX5" s="21" t="n">
        <v>374.848</v>
      </c>
      <c r="HY5" s="21" t="n">
        <v>269.948</v>
      </c>
      <c r="HZ5" s="21" t="n">
        <v>279.982</v>
      </c>
      <c r="IA5" s="21" t="n">
        <v>243.096</v>
      </c>
      <c r="IB5" s="21" t="n">
        <v>167.386</v>
      </c>
      <c r="IC5" s="21" t="n">
        <v>456.564</v>
      </c>
      <c r="ID5" s="21" t="n">
        <v>177.711</v>
      </c>
      <c r="IE5" s="21" t="n">
        <v>167.611</v>
      </c>
      <c r="IF5" s="21" t="n">
        <v>194.251</v>
      </c>
      <c r="IG5" s="21" t="n">
        <v>215.3</v>
      </c>
      <c r="IH5" s="21" t="n">
        <v>126.44</v>
      </c>
      <c r="II5" s="21" t="n">
        <v>269.266</v>
      </c>
      <c r="IJ5" s="21" t="n">
        <v>294.603</v>
      </c>
      <c r="IK5" s="21" t="n">
        <v>149.272</v>
      </c>
      <c r="IL5" s="21" t="n"/>
      <c r="IM5" s="21" t="n">
        <v>109.522</v>
      </c>
      <c r="IN5" s="21" t="n">
        <v>59.882</v>
      </c>
      <c r="IO5" s="21" t="n">
        <v>303.993</v>
      </c>
      <c r="IP5" s="21" t="n">
        <v>120.178</v>
      </c>
      <c r="IQ5" s="21" t="n">
        <v>446.663</v>
      </c>
      <c r="IR5" s="21" t="n">
        <v>354.339</v>
      </c>
      <c r="IS5" s="21" t="n">
        <v>115.732</v>
      </c>
      <c r="IT5" s="21" t="n">
        <v>478.206</v>
      </c>
      <c r="IU5" s="21" t="n">
        <v>98.169</v>
      </c>
      <c r="IV5" s="21" t="n">
        <v>100.15</v>
      </c>
      <c r="IW5" s="21" t="n">
        <v>476.163</v>
      </c>
      <c r="IX5" s="21" t="n">
        <v>360.676</v>
      </c>
      <c r="IY5" s="21" t="n">
        <v>365.146</v>
      </c>
      <c r="IZ5" s="21" t="n">
        <v>451.323</v>
      </c>
      <c r="JA5" s="21" t="n">
        <v>183.312</v>
      </c>
      <c r="JB5" s="21" t="n">
        <v>227.964</v>
      </c>
      <c r="JC5" s="21" t="n">
        <v>69.527</v>
      </c>
      <c r="JD5" s="21" t="n">
        <v>291.775</v>
      </c>
      <c r="JE5" s="21" t="n">
        <v>286.328</v>
      </c>
      <c r="JF5" s="21" t="n">
        <v>658.829</v>
      </c>
      <c r="JG5" s="21" t="n">
        <v>205.286</v>
      </c>
      <c r="JH5" s="21" t="n">
        <v>116.93</v>
      </c>
      <c r="JI5" s="21" t="n">
        <v>123.285</v>
      </c>
      <c r="JJ5" s="21" t="n">
        <v>116.045</v>
      </c>
      <c r="JK5" s="21" t="n">
        <v>100.249</v>
      </c>
      <c r="JL5" s="21" t="n">
        <v>337.925</v>
      </c>
      <c r="JM5" s="21" t="n">
        <v>424.955</v>
      </c>
      <c r="JN5" s="21" t="n">
        <v>134.818</v>
      </c>
      <c r="JO5" s="21" t="n">
        <v>72.627</v>
      </c>
      <c r="JP5" s="21" t="n">
        <v>40.941</v>
      </c>
      <c r="JQ5" s="21" t="n">
        <v>120.5</v>
      </c>
      <c r="JR5" s="21" t="n">
        <v>36.245</v>
      </c>
      <c r="JS5" s="21" t="n">
        <v>86.89700000000001</v>
      </c>
      <c r="JT5" s="21" t="n">
        <v>166.727</v>
      </c>
      <c r="JU5" s="21" t="n">
        <v>198.253</v>
      </c>
      <c r="JV5" s="21" t="n">
        <v>152.395</v>
      </c>
      <c r="JW5" s="21" t="n">
        <v>113.544</v>
      </c>
      <c r="JX5" s="21" t="n">
        <v>223.748</v>
      </c>
      <c r="JY5" s="21" t="n">
        <v>179.694</v>
      </c>
      <c r="JZ5" s="21" t="n">
        <v>234.104</v>
      </c>
      <c r="KA5" s="21" t="n">
        <v>115.481</v>
      </c>
      <c r="KB5" s="21" t="n">
        <v>151.233</v>
      </c>
      <c r="KC5" s="21" t="n">
        <v>85.288</v>
      </c>
      <c r="KD5" s="21" t="n">
        <v>75.452</v>
      </c>
      <c r="KE5" s="21" t="n">
        <v>55.674</v>
      </c>
      <c r="KF5" s="21" t="n">
        <v>126.449</v>
      </c>
      <c r="KG5" s="21" t="n">
        <v>22.901</v>
      </c>
      <c r="KH5" s="21" t="n">
        <v>121.995</v>
      </c>
      <c r="KI5" s="21" t="n">
        <v>127.87</v>
      </c>
      <c r="KJ5" s="21" t="n">
        <v>119.55</v>
      </c>
      <c r="KK5" s="21" t="n">
        <v>47.804</v>
      </c>
      <c r="KL5" s="21" t="n">
        <v>45.686</v>
      </c>
      <c r="KM5" s="21" t="n">
        <v>54.073</v>
      </c>
      <c r="KN5" s="21" t="n"/>
      <c r="KO5" s="21" t="n">
        <v>98.586</v>
      </c>
      <c r="KP5" s="21" t="n">
        <v>98.16200000000001</v>
      </c>
      <c r="KQ5" s="21" t="n">
        <v>155.162</v>
      </c>
      <c r="KR5" s="21" t="n">
        <v>128.872</v>
      </c>
      <c r="KS5" s="21" t="n">
        <v>353.805</v>
      </c>
      <c r="KT5" s="21" t="n">
        <v>168.73</v>
      </c>
      <c r="KU5" s="21" t="n">
        <v>204.543</v>
      </c>
      <c r="KV5" s="21" t="n">
        <v>283.109</v>
      </c>
      <c r="KW5" s="21" t="n">
        <v>239.205</v>
      </c>
      <c r="KX5" s="21" t="n">
        <v>162.702</v>
      </c>
      <c r="KY5" s="21" t="n">
        <v>100.336</v>
      </c>
      <c r="KZ5" s="21" t="n">
        <v>137.707</v>
      </c>
      <c r="LA5" s="21" t="n">
        <v>238.003</v>
      </c>
      <c r="LB5" s="21" t="n">
        <v>642.694</v>
      </c>
      <c r="LC5" s="21" t="n">
        <v>219.466</v>
      </c>
      <c r="LD5" s="21" t="n">
        <v>681.4690000000001</v>
      </c>
      <c r="LE5" s="21" t="n">
        <v>776.1900000000001</v>
      </c>
      <c r="LF5" s="21" t="n">
        <v>70.36199999999999</v>
      </c>
      <c r="LG5" s="21" t="n">
        <v>274.181</v>
      </c>
      <c r="LH5" s="21" t="n">
        <v>232.283</v>
      </c>
      <c r="LI5" s="21" t="n">
        <v>80.422</v>
      </c>
      <c r="LJ5" s="21" t="n">
        <v>174.631</v>
      </c>
      <c r="LK5" s="21" t="n">
        <v>274.517</v>
      </c>
      <c r="LL5" s="21" t="n">
        <v>283.574</v>
      </c>
      <c r="LM5" s="21" t="n">
        <v>76.584</v>
      </c>
      <c r="LN5" s="21" t="n">
        <v>98.822</v>
      </c>
      <c r="LO5" s="21" t="n">
        <v>54.902</v>
      </c>
      <c r="LP5" s="21" t="n">
        <v>113.029</v>
      </c>
      <c r="LQ5" s="21" t="n"/>
      <c r="LR5" s="21" t="n"/>
      <c r="LS5" s="21" t="n">
        <v>122.181</v>
      </c>
      <c r="LT5" s="21" t="n">
        <v>49.047</v>
      </c>
      <c r="LU5" s="21" t="n">
        <v>36.831</v>
      </c>
      <c r="LV5" s="21" t="n">
        <v>78.976</v>
      </c>
      <c r="LW5" s="21" t="n">
        <v>326.046</v>
      </c>
      <c r="LX5" s="21" t="n"/>
      <c r="LY5" s="21" t="n">
        <v>412.231</v>
      </c>
      <c r="LZ5" s="21" t="n">
        <v>57.875</v>
      </c>
      <c r="MA5" s="21" t="n">
        <v>374.371</v>
      </c>
      <c r="MB5" s="21" t="n">
        <v>243.727</v>
      </c>
      <c r="MC5" s="21" t="n">
        <v>219.852</v>
      </c>
      <c r="MD5" s="21" t="n">
        <v>163.446</v>
      </c>
      <c r="ME5" s="21" t="n">
        <v>104.213</v>
      </c>
      <c r="MF5" s="21" t="n">
        <v>187.608</v>
      </c>
      <c r="MG5" s="21" t="n">
        <v>244.23</v>
      </c>
      <c r="MH5" s="21" t="n">
        <v>149.02</v>
      </c>
      <c r="MI5" s="21" t="n">
        <v>396.92</v>
      </c>
      <c r="MJ5" s="21" t="n">
        <v>321.015</v>
      </c>
      <c r="MK5" s="21" t="n">
        <v>312.405</v>
      </c>
      <c r="ML5" s="21" t="n">
        <v>154.069</v>
      </c>
      <c r="MM5" s="21" t="n">
        <v>181.15</v>
      </c>
      <c r="MN5" s="21" t="n">
        <v>317.595</v>
      </c>
      <c r="MO5" s="21" t="n">
        <v>150.438</v>
      </c>
      <c r="MP5" s="21" t="n">
        <v>216.896</v>
      </c>
      <c r="MQ5" s="21" t="n">
        <v>82.664</v>
      </c>
      <c r="MR5" s="21" t="n">
        <v>151.285</v>
      </c>
      <c r="MS5" s="21" t="n">
        <v>86.342</v>
      </c>
      <c r="MT5" s="21" t="n">
        <v>226.479</v>
      </c>
      <c r="MU5" s="21" t="n">
        <v>241.769</v>
      </c>
      <c r="MV5" s="21" t="n">
        <v>235.125</v>
      </c>
      <c r="MW5" s="21" t="n">
        <v>241.802</v>
      </c>
      <c r="MX5" s="21" t="n">
        <v>223.446</v>
      </c>
      <c r="MY5" s="21" t="n">
        <v>217.53</v>
      </c>
      <c r="MZ5" s="21" t="n">
        <v>222.365</v>
      </c>
      <c r="NA5" s="21" t="n">
        <v>226.729</v>
      </c>
      <c r="NB5" s="21" t="n">
        <v>121.723</v>
      </c>
      <c r="NC5" s="21" t="n">
        <v>182.533</v>
      </c>
      <c r="ND5" s="21" t="n">
        <v>153.753</v>
      </c>
      <c r="NE5" s="21" t="n">
        <v>150.735</v>
      </c>
      <c r="NF5" s="21" t="n">
        <v>147.303</v>
      </c>
      <c r="NG5" s="21" t="n">
        <v>147.776</v>
      </c>
      <c r="NH5" s="21" t="n">
        <v>249.585</v>
      </c>
      <c r="NI5" s="21" t="n">
        <v>110.212</v>
      </c>
      <c r="NJ5" s="21" t="n">
        <v>84.333</v>
      </c>
      <c r="NK5" s="21" t="n">
        <v>109.233</v>
      </c>
      <c r="NL5" s="21" t="n">
        <v>203.715</v>
      </c>
      <c r="NM5" s="21" t="n">
        <v>220.732</v>
      </c>
      <c r="NN5" s="21" t="n">
        <v>94.26900000000001</v>
      </c>
      <c r="NO5" s="21" t="n">
        <v>66.28400000000001</v>
      </c>
      <c r="NP5" s="21" t="n">
        <v>218.244</v>
      </c>
      <c r="NQ5" s="21" t="n">
        <v>194.292</v>
      </c>
      <c r="NR5" s="21" t="n">
        <v>234.235</v>
      </c>
      <c r="NS5" s="21" t="n">
        <v>191.485</v>
      </c>
      <c r="NT5" s="21" t="n">
        <v>235.013</v>
      </c>
      <c r="NU5" s="21" t="n">
        <v>107.25</v>
      </c>
      <c r="NV5" s="21" t="n">
        <v>111.231</v>
      </c>
      <c r="NW5" s="21" t="n">
        <v>337.847</v>
      </c>
      <c r="NX5" s="21" t="n">
        <v>89.238</v>
      </c>
      <c r="NY5" s="21" t="n">
        <v>111.571</v>
      </c>
      <c r="NZ5" s="21" t="n">
        <v>288.464</v>
      </c>
      <c r="OA5" s="21" t="n">
        <v>290.063</v>
      </c>
      <c r="OB5" s="21" t="n">
        <v>299.544</v>
      </c>
      <c r="OC5" s="21" t="n">
        <v>275.951</v>
      </c>
      <c r="OD5" s="21" t="n">
        <v>314.401</v>
      </c>
      <c r="OE5" s="21" t="n">
        <v>107.328</v>
      </c>
      <c r="OF5" s="21" t="n">
        <v>289.971</v>
      </c>
      <c r="OG5" s="21" t="n">
        <v>213.651</v>
      </c>
      <c r="OH5" s="21" t="n">
        <v>62.191</v>
      </c>
      <c r="OI5" s="21" t="n">
        <v>113.869</v>
      </c>
      <c r="OJ5" s="21" t="n">
        <v>42.3</v>
      </c>
      <c r="OK5" s="21" t="n">
        <v>14.1</v>
      </c>
    </row>
    <row r="6">
      <c r="A6" s="22" t="n">
        <v>42125</v>
      </c>
      <c r="B6" s="21" t="n">
        <v>237.805</v>
      </c>
      <c r="C6" s="21" t="n">
        <v>712.357</v>
      </c>
      <c r="D6" s="21" t="n">
        <v>245.846</v>
      </c>
      <c r="E6" s="21" t="n">
        <v>246.187</v>
      </c>
      <c r="F6" s="21" t="n">
        <v>241.019</v>
      </c>
      <c r="G6" s="21" t="n">
        <v>273.595</v>
      </c>
      <c r="H6" s="21" t="n">
        <v>235.494</v>
      </c>
      <c r="I6" s="21" t="n">
        <v>250.703</v>
      </c>
      <c r="J6" s="21" t="n">
        <v>230.513</v>
      </c>
      <c r="K6" s="21" t="n">
        <v>242.946</v>
      </c>
      <c r="L6" s="21" t="n">
        <v>168.551</v>
      </c>
      <c r="M6" s="21" t="n">
        <v>294.995</v>
      </c>
      <c r="N6" s="21" t="n">
        <v>177.363</v>
      </c>
      <c r="O6" s="21" t="n">
        <v>324.282</v>
      </c>
      <c r="P6" s="21" t="n">
        <v>338.993</v>
      </c>
      <c r="Q6" s="21" t="n">
        <v>173.388</v>
      </c>
      <c r="R6" s="21" t="n">
        <v>276.262</v>
      </c>
      <c r="S6" s="21" t="n">
        <v>289.296</v>
      </c>
      <c r="T6" s="21" t="n">
        <v>265.737</v>
      </c>
      <c r="U6" s="21" t="n">
        <v>267.537</v>
      </c>
      <c r="V6" s="21" t="n">
        <v>291.92</v>
      </c>
      <c r="W6" s="21" t="n">
        <v>308.786</v>
      </c>
      <c r="X6" s="21" t="n">
        <v>270.231</v>
      </c>
      <c r="Y6" s="21" t="n">
        <v>257.106</v>
      </c>
      <c r="Z6" s="21" t="n">
        <v>257.799</v>
      </c>
      <c r="AA6" s="21" t="n">
        <v>263.12</v>
      </c>
      <c r="AB6" s="21" t="n">
        <v>325.578</v>
      </c>
      <c r="AC6" s="21" t="n">
        <v>298.428</v>
      </c>
      <c r="AD6" s="21" t="n">
        <v>243.162</v>
      </c>
      <c r="AE6" s="21" t="n">
        <v>217.178</v>
      </c>
      <c r="AF6" s="21" t="n">
        <v>232.526</v>
      </c>
      <c r="AG6" s="21" t="n">
        <v>214.751</v>
      </c>
      <c r="AH6" s="21" t="n">
        <v>150.689</v>
      </c>
      <c r="AI6" s="21" t="n">
        <v>259.63</v>
      </c>
      <c r="AJ6" s="21" t="n">
        <v>150.37</v>
      </c>
      <c r="AK6" s="21" t="n">
        <v>213.419</v>
      </c>
      <c r="AL6" s="21" t="n">
        <v>238.527</v>
      </c>
      <c r="AM6" s="21" t="n">
        <v>196.751</v>
      </c>
      <c r="AN6" s="21" t="n">
        <v>137.021</v>
      </c>
      <c r="AO6" s="21" t="n">
        <v>224.498</v>
      </c>
      <c r="AP6" s="21" t="n">
        <v>223.014</v>
      </c>
      <c r="AQ6" s="21" t="n">
        <v>145.756</v>
      </c>
      <c r="AR6" s="21" t="n">
        <v>322.173</v>
      </c>
      <c r="AS6" s="21" t="n">
        <v>172.695</v>
      </c>
      <c r="AT6" s="21" t="n">
        <v>235.867</v>
      </c>
      <c r="AU6" s="21" t="n">
        <v>150.656</v>
      </c>
      <c r="AV6" s="21" t="n">
        <v>253.259</v>
      </c>
      <c r="AW6" s="21" t="n">
        <v>222.509</v>
      </c>
      <c r="AX6" s="21" t="n">
        <v>158.661</v>
      </c>
      <c r="AY6" s="21" t="n">
        <v>288.711</v>
      </c>
      <c r="AZ6" s="21" t="n">
        <v>175.366</v>
      </c>
      <c r="BA6" s="21" t="n">
        <v>147.952</v>
      </c>
      <c r="BB6" s="21" t="n">
        <v>200.04</v>
      </c>
      <c r="BC6" s="21" t="n">
        <v>320.722</v>
      </c>
      <c r="BD6" s="21" t="n">
        <v>246.821</v>
      </c>
      <c r="BE6" s="21" t="n">
        <v>221.039</v>
      </c>
      <c r="BF6" s="21" t="n">
        <v>146.907</v>
      </c>
      <c r="BG6" s="21" t="n">
        <v>211.834</v>
      </c>
      <c r="BH6" s="21" t="n">
        <v>150.779</v>
      </c>
      <c r="BI6" s="21" t="n">
        <v>233.116</v>
      </c>
      <c r="BJ6" s="21" t="n">
        <v>213.496</v>
      </c>
      <c r="BK6" s="21" t="n">
        <v>146.942</v>
      </c>
      <c r="BL6" s="21" t="n">
        <v>293.011</v>
      </c>
      <c r="BM6" s="21" t="n">
        <v>335.385</v>
      </c>
      <c r="BN6" s="21" t="n">
        <v>352.788</v>
      </c>
      <c r="BO6" s="21" t="n">
        <v>324.199</v>
      </c>
      <c r="BP6" s="21" t="n">
        <v>201.28</v>
      </c>
      <c r="BQ6" s="21" t="n">
        <v>232.439</v>
      </c>
      <c r="BR6" s="21" t="n">
        <v>464.706</v>
      </c>
      <c r="BS6" s="21" t="n">
        <v>120.02</v>
      </c>
      <c r="BT6" s="21" t="n">
        <v>315.84</v>
      </c>
      <c r="BU6" s="21" t="n">
        <v>333.387</v>
      </c>
      <c r="BV6" s="21" t="n">
        <v>303.752</v>
      </c>
      <c r="BW6" s="21" t="n">
        <v>314.359</v>
      </c>
      <c r="BX6" s="21" t="n">
        <v>318.554</v>
      </c>
      <c r="BY6" s="21" t="n">
        <v>160.143</v>
      </c>
      <c r="BZ6" s="21" t="n">
        <v>164.418</v>
      </c>
      <c r="CA6" s="21" t="n">
        <v>158.571</v>
      </c>
      <c r="CB6" s="21" t="n">
        <v>172.913</v>
      </c>
      <c r="CC6" s="21" t="n">
        <v>149.977</v>
      </c>
      <c r="CD6" s="21" t="n">
        <v>206.026</v>
      </c>
      <c r="CE6" s="21" t="n">
        <v>164.146</v>
      </c>
      <c r="CF6" s="21" t="n">
        <v>207.297</v>
      </c>
      <c r="CG6" s="21" t="n">
        <v>166.795</v>
      </c>
      <c r="CH6" s="21" t="n">
        <v>127.376</v>
      </c>
      <c r="CI6" s="21" t="n">
        <v>158.32</v>
      </c>
      <c r="CJ6" s="21" t="n">
        <v>176.275</v>
      </c>
      <c r="CK6" s="21" t="n">
        <v>116.814</v>
      </c>
      <c r="CL6" s="21" t="n">
        <v>120.252</v>
      </c>
      <c r="CM6" s="21" t="n">
        <v>207.532</v>
      </c>
      <c r="CN6" s="21" t="n">
        <v>215.874</v>
      </c>
      <c r="CO6" s="21" t="n">
        <v>205.507</v>
      </c>
      <c r="CP6" s="21" t="n">
        <v>125.558</v>
      </c>
      <c r="CQ6" s="21" t="n">
        <v>209.272</v>
      </c>
      <c r="CR6" s="21" t="n">
        <v>216.413</v>
      </c>
      <c r="CS6" s="21" t="n">
        <v>191.519</v>
      </c>
      <c r="CT6" s="21" t="n">
        <v>145.266</v>
      </c>
      <c r="CU6" s="21" t="n">
        <v>153.761</v>
      </c>
      <c r="CV6" s="21" t="n">
        <v>226.094</v>
      </c>
      <c r="CW6" s="21" t="n">
        <v>193.839</v>
      </c>
      <c r="CX6" s="21" t="n">
        <v>221.879</v>
      </c>
      <c r="CY6" s="21" t="n">
        <v>289.257</v>
      </c>
      <c r="CZ6" s="21" t="n">
        <v>130.478</v>
      </c>
      <c r="DA6" s="21" t="n">
        <v>161.111</v>
      </c>
      <c r="DB6" s="21" t="n">
        <v>163.103</v>
      </c>
      <c r="DC6" s="21" t="n">
        <v>223.48</v>
      </c>
      <c r="DD6" s="21" t="n">
        <v>244.446</v>
      </c>
      <c r="DE6" s="21" t="n">
        <v>171.588</v>
      </c>
      <c r="DF6" s="21" t="n">
        <v>249.324</v>
      </c>
      <c r="DG6" s="21" t="n">
        <v>234.683</v>
      </c>
      <c r="DH6" s="21" t="n">
        <v>145.558</v>
      </c>
      <c r="DI6" s="21" t="n">
        <v>135.19</v>
      </c>
      <c r="DJ6" s="21" t="n">
        <v>135.464</v>
      </c>
      <c r="DK6" s="21" t="n">
        <v>277.17</v>
      </c>
      <c r="DL6" s="21" t="n">
        <v>154.482</v>
      </c>
      <c r="DM6" s="21" t="n">
        <v>131.622</v>
      </c>
      <c r="DN6" s="21" t="n">
        <v>119.331</v>
      </c>
      <c r="DO6" s="21" t="n">
        <v>255.322</v>
      </c>
      <c r="DP6" s="21" t="n">
        <v>158.711</v>
      </c>
      <c r="DQ6" s="21" t="n">
        <v>163.041</v>
      </c>
      <c r="DR6" s="21" t="n">
        <v>160.985</v>
      </c>
      <c r="DS6" s="21" t="n">
        <v>134.925</v>
      </c>
      <c r="DT6" s="21" t="n">
        <v>146.406</v>
      </c>
      <c r="DU6" s="21" t="n">
        <v>179.463</v>
      </c>
      <c r="DV6" s="21" t="n">
        <v>239.8</v>
      </c>
      <c r="DW6" s="21" t="n">
        <v>197.357</v>
      </c>
      <c r="DX6" s="21" t="n">
        <v>214.457</v>
      </c>
      <c r="DY6" s="21" t="n">
        <v>193.671</v>
      </c>
      <c r="DZ6" s="21" t="n">
        <v>208.854</v>
      </c>
      <c r="EA6" s="21" t="n">
        <v>187.098</v>
      </c>
      <c r="EB6" s="21" t="n">
        <v>168.837</v>
      </c>
      <c r="EC6" s="21" t="n">
        <v>331.239</v>
      </c>
      <c r="ED6" s="21" t="n">
        <v>164.011</v>
      </c>
      <c r="EE6" s="21" t="n">
        <v>178.559</v>
      </c>
      <c r="EF6" s="21" t="n">
        <v>177.085</v>
      </c>
      <c r="EG6" s="21" t="n">
        <v>237.175</v>
      </c>
      <c r="EH6" s="21" t="n">
        <v>277.563</v>
      </c>
      <c r="EI6" s="21" t="n">
        <v>284.245</v>
      </c>
      <c r="EJ6" s="21" t="n">
        <v>156.841</v>
      </c>
      <c r="EK6" s="21" t="n">
        <v>502.806</v>
      </c>
      <c r="EL6" s="21" t="n">
        <v>328.04</v>
      </c>
      <c r="EM6" s="21" t="n">
        <v>284.473</v>
      </c>
      <c r="EN6" s="21" t="n">
        <v>284.442</v>
      </c>
      <c r="EO6" s="21" t="n">
        <v>146.364</v>
      </c>
      <c r="EP6" s="21" t="n">
        <v>228.748</v>
      </c>
      <c r="EQ6" s="21" t="n">
        <v>193.538</v>
      </c>
      <c r="ER6" s="21" t="n">
        <v>266.112</v>
      </c>
      <c r="ES6" s="21" t="n">
        <v>272.874</v>
      </c>
      <c r="ET6" s="21" t="n">
        <v>303.641</v>
      </c>
      <c r="EU6" s="21" t="n">
        <v>197.083</v>
      </c>
      <c r="EV6" s="21" t="n">
        <v>207.683</v>
      </c>
      <c r="EW6" s="21" t="n">
        <v>162.639</v>
      </c>
      <c r="EX6" s="21" t="n">
        <v>212.542</v>
      </c>
      <c r="EY6" s="21" t="n">
        <v>488.981</v>
      </c>
      <c r="EZ6" s="21" t="n">
        <v>431.234</v>
      </c>
      <c r="FA6" s="21" t="n">
        <v>123.207</v>
      </c>
      <c r="FB6" s="21" t="n">
        <v>61.091</v>
      </c>
      <c r="FC6" s="21" t="n">
        <v>108.686</v>
      </c>
      <c r="FD6" s="21" t="n">
        <v>68.95399999999999</v>
      </c>
      <c r="FE6" s="21" t="n">
        <v>48.318</v>
      </c>
      <c r="FF6" s="21" t="n">
        <v>115.645</v>
      </c>
      <c r="FG6" s="21" t="n">
        <v>132.257</v>
      </c>
      <c r="FH6" s="21" t="n">
        <v>87.56999999999999</v>
      </c>
      <c r="FI6" s="21" t="n">
        <v>75.04600000000001</v>
      </c>
      <c r="FJ6" s="21" t="n"/>
      <c r="FK6" s="21" t="n">
        <v>79.955</v>
      </c>
      <c r="FL6" s="21" t="n">
        <v>88.86799999999999</v>
      </c>
      <c r="FM6" s="21" t="n">
        <v>101.027</v>
      </c>
      <c r="FN6" s="21" t="n">
        <v>68.151</v>
      </c>
      <c r="FO6" s="21" t="n">
        <v>59.573</v>
      </c>
      <c r="FP6" s="21" t="n">
        <v>47.599</v>
      </c>
      <c r="FQ6" s="21" t="n">
        <v>129.27</v>
      </c>
      <c r="FR6" s="21" t="n">
        <v>55.91</v>
      </c>
      <c r="FS6" s="21" t="n">
        <v>91.51900000000001</v>
      </c>
      <c r="FT6" s="21" t="n">
        <v>91.874</v>
      </c>
      <c r="FU6" s="21" t="n">
        <v>100.756</v>
      </c>
      <c r="FV6" s="21" t="n">
        <v>87.64700000000001</v>
      </c>
      <c r="FW6" s="21" t="n">
        <v>187.551</v>
      </c>
      <c r="FX6" s="21" t="n">
        <v>119.751</v>
      </c>
      <c r="FY6" s="21" t="n">
        <v>169.339</v>
      </c>
      <c r="FZ6" s="21" t="n">
        <v>119.482</v>
      </c>
      <c r="GA6" s="21" t="n">
        <v>166.495</v>
      </c>
      <c r="GB6" s="21" t="n">
        <v>155.496</v>
      </c>
      <c r="GC6" s="21" t="n">
        <v>172.41</v>
      </c>
      <c r="GD6" s="21" t="n">
        <v>138.538</v>
      </c>
      <c r="GE6" s="21" t="n">
        <v>218.247</v>
      </c>
      <c r="GF6" s="21" t="n">
        <v>127.083</v>
      </c>
      <c r="GG6" s="21" t="n">
        <v>122.014</v>
      </c>
      <c r="GH6" s="21" t="n">
        <v>126.594</v>
      </c>
      <c r="GI6" s="21" t="n">
        <v>114.97</v>
      </c>
      <c r="GJ6" s="21" t="n">
        <v>159.124</v>
      </c>
      <c r="GK6" s="21" t="n">
        <v>79.288</v>
      </c>
      <c r="GL6" s="21" t="n">
        <v>128.36</v>
      </c>
      <c r="GM6" s="21" t="n">
        <v>104.624</v>
      </c>
      <c r="GN6" s="21" t="n">
        <v>112.514</v>
      </c>
      <c r="GO6" s="21" t="n">
        <v>116.064</v>
      </c>
      <c r="GP6" s="21" t="n">
        <v>104.149</v>
      </c>
      <c r="GQ6" s="21" t="n">
        <v>123.196</v>
      </c>
      <c r="GR6" s="21" t="n">
        <v>84.751</v>
      </c>
      <c r="GS6" s="21" t="n">
        <v>105.712</v>
      </c>
      <c r="GT6" s="21" t="n">
        <v>95.72199999999999</v>
      </c>
      <c r="GU6" s="21" t="n">
        <v>137.549</v>
      </c>
      <c r="GV6" s="21" t="n">
        <v>140.226</v>
      </c>
      <c r="GW6" s="21" t="n">
        <v>153.305</v>
      </c>
      <c r="GX6" s="21" t="n">
        <v>127.794</v>
      </c>
      <c r="GY6" s="21" t="n">
        <v>117.664</v>
      </c>
      <c r="GZ6" s="21" t="n">
        <v>156.988</v>
      </c>
      <c r="HA6" s="21" t="n">
        <v>122.505</v>
      </c>
      <c r="HB6" s="21" t="n">
        <v>161.768</v>
      </c>
      <c r="HC6" s="21" t="n">
        <v>206.386</v>
      </c>
      <c r="HD6" s="21" t="n">
        <v>200.528</v>
      </c>
      <c r="HE6" s="21" t="n">
        <v>101.749</v>
      </c>
      <c r="HF6" s="21" t="n">
        <v>147.889</v>
      </c>
      <c r="HG6" s="21" t="n">
        <v>102.523</v>
      </c>
      <c r="HH6" s="21" t="n">
        <v>145.19</v>
      </c>
      <c r="HI6" s="21" t="n">
        <v>156.163</v>
      </c>
      <c r="HJ6" s="21" t="n"/>
      <c r="HK6" s="21" t="n">
        <v>150.713</v>
      </c>
      <c r="HL6" s="21" t="n">
        <v>83.93000000000001</v>
      </c>
      <c r="HM6" s="21" t="n">
        <v>126.429</v>
      </c>
      <c r="HN6" s="21" t="n">
        <v>239.141</v>
      </c>
      <c r="HO6" s="21" t="n">
        <v>238.17</v>
      </c>
      <c r="HP6" s="21" t="n">
        <v>235.406</v>
      </c>
      <c r="HQ6" s="21" t="n">
        <v>249.38</v>
      </c>
      <c r="HR6" s="21" t="n">
        <v>241.972</v>
      </c>
      <c r="HS6" s="21" t="n">
        <v>209.609</v>
      </c>
      <c r="HT6" s="21" t="n">
        <v>144.581</v>
      </c>
      <c r="HU6" s="21" t="n">
        <v>126.929</v>
      </c>
      <c r="HV6" s="21" t="n">
        <v>166.236</v>
      </c>
      <c r="HW6" s="21" t="n">
        <v>156.913</v>
      </c>
      <c r="HX6" s="21" t="n">
        <v>371.558</v>
      </c>
      <c r="HY6" s="21" t="n">
        <v>270.764</v>
      </c>
      <c r="HZ6" s="21" t="n">
        <v>280.621</v>
      </c>
      <c r="IA6" s="21" t="n">
        <v>243.9</v>
      </c>
      <c r="IB6" s="21" t="n">
        <v>167.865</v>
      </c>
      <c r="IC6" s="21" t="n">
        <v>456.995</v>
      </c>
      <c r="ID6" s="21" t="n">
        <v>177.743</v>
      </c>
      <c r="IE6" s="21" t="n">
        <v>167.626</v>
      </c>
      <c r="IF6" s="21" t="n">
        <v>194.291</v>
      </c>
      <c r="IG6" s="21" t="n">
        <v>215.541</v>
      </c>
      <c r="IH6" s="21" t="n">
        <v>126.329</v>
      </c>
      <c r="II6" s="21" t="n">
        <v>283.64</v>
      </c>
      <c r="IJ6" s="21" t="n">
        <v>319.401</v>
      </c>
      <c r="IK6" s="21" t="n">
        <v>149.308</v>
      </c>
      <c r="IL6" s="21" t="n"/>
      <c r="IM6" s="21" t="n">
        <v>108.453</v>
      </c>
      <c r="IN6" s="21" t="n">
        <v>59.193</v>
      </c>
      <c r="IO6" s="21" t="n">
        <v>303.94</v>
      </c>
      <c r="IP6" s="21" t="n">
        <v>120.178</v>
      </c>
      <c r="IQ6" s="21" t="n">
        <v>447.213</v>
      </c>
      <c r="IR6" s="21" t="n">
        <v>354.647</v>
      </c>
      <c r="IS6" s="21" t="n">
        <v>115.815</v>
      </c>
      <c r="IT6" s="21" t="n">
        <v>478.566</v>
      </c>
      <c r="IU6" s="21" t="n">
        <v>98.22799999999999</v>
      </c>
      <c r="IV6" s="21" t="n">
        <v>100.575</v>
      </c>
      <c r="IW6" s="21" t="n">
        <v>476.8</v>
      </c>
      <c r="IX6" s="21" t="n">
        <v>361.01</v>
      </c>
      <c r="IY6" s="21" t="n">
        <v>365.214</v>
      </c>
      <c r="IZ6" s="21" t="n">
        <v>451.798</v>
      </c>
      <c r="JA6" s="21" t="n">
        <v>184.343</v>
      </c>
      <c r="JB6" s="21" t="n">
        <v>228.027</v>
      </c>
      <c r="JC6" s="21" t="n">
        <v>69.67400000000001</v>
      </c>
      <c r="JD6" s="21" t="n">
        <v>292.257</v>
      </c>
      <c r="JE6" s="21" t="n">
        <v>286.683</v>
      </c>
      <c r="JF6" s="21" t="n">
        <v>659.9930000000001</v>
      </c>
      <c r="JG6" s="21" t="n">
        <v>206.058</v>
      </c>
      <c r="JH6" s="21" t="n">
        <v>117.72</v>
      </c>
      <c r="JI6" s="21" t="n">
        <v>123.372</v>
      </c>
      <c r="JJ6" s="21" t="n">
        <v>116.19</v>
      </c>
      <c r="JK6" s="21" t="n">
        <v>100.058</v>
      </c>
      <c r="JL6" s="21" t="n">
        <v>337.969</v>
      </c>
      <c r="JM6" s="21" t="n">
        <v>423.62</v>
      </c>
      <c r="JN6" s="21" t="n">
        <v>134.168</v>
      </c>
      <c r="JO6" s="21" t="n">
        <v>73.505</v>
      </c>
      <c r="JP6" s="21" t="n">
        <v>41.677</v>
      </c>
      <c r="JQ6" s="21" t="n">
        <v>121.259</v>
      </c>
      <c r="JR6" s="21" t="n">
        <v>36.141</v>
      </c>
      <c r="JS6" s="21" t="n">
        <v>87.572</v>
      </c>
      <c r="JT6" s="21" t="n">
        <v>167.484</v>
      </c>
      <c r="JU6" s="21" t="n">
        <v>198.785</v>
      </c>
      <c r="JV6" s="21" t="n">
        <v>152.958</v>
      </c>
      <c r="JW6" s="21" t="n">
        <v>114.001</v>
      </c>
      <c r="JX6" s="21" t="n">
        <v>225.431</v>
      </c>
      <c r="JY6" s="21" t="n">
        <v>180.265</v>
      </c>
      <c r="JZ6" s="21" t="n">
        <v>235.848</v>
      </c>
      <c r="KA6" s="21" t="n">
        <v>114.271</v>
      </c>
      <c r="KB6" s="21" t="n">
        <v>150.829</v>
      </c>
      <c r="KC6" s="21" t="n">
        <v>83.822</v>
      </c>
      <c r="KD6" s="21" t="n">
        <v>74.956</v>
      </c>
      <c r="KE6" s="21" t="n">
        <v>55.075</v>
      </c>
      <c r="KF6" s="21" t="n">
        <v>126.487</v>
      </c>
      <c r="KG6" s="21" t="n">
        <v>22.628</v>
      </c>
      <c r="KH6" s="21" t="n">
        <v>121.659</v>
      </c>
      <c r="KI6" s="21" t="n">
        <v>128.373</v>
      </c>
      <c r="KJ6" s="21" t="n">
        <v>118.588</v>
      </c>
      <c r="KK6" s="21" t="n">
        <v>47.51</v>
      </c>
      <c r="KL6" s="21" t="n">
        <v>45.355</v>
      </c>
      <c r="KM6" s="21" t="n">
        <v>54.105</v>
      </c>
      <c r="KN6" s="21" t="n"/>
      <c r="KO6" s="21" t="n">
        <v>97.709</v>
      </c>
      <c r="KP6" s="21" t="n">
        <v>98.636</v>
      </c>
      <c r="KQ6" s="21" t="n">
        <v>156.18</v>
      </c>
      <c r="KR6" s="21" t="n">
        <v>129.237</v>
      </c>
      <c r="KS6" s="21" t="n">
        <v>356.964</v>
      </c>
      <c r="KT6" s="21" t="n">
        <v>168.981</v>
      </c>
      <c r="KU6" s="21" t="n">
        <v>208.506</v>
      </c>
      <c r="KV6" s="21" t="n">
        <v>285.536</v>
      </c>
      <c r="KW6" s="21" t="n">
        <v>241.266</v>
      </c>
      <c r="KX6" s="21" t="n">
        <v>165.435</v>
      </c>
      <c r="KY6" s="21" t="n">
        <v>100.146</v>
      </c>
      <c r="KZ6" s="21" t="n">
        <v>137.4</v>
      </c>
      <c r="LA6" s="21" t="n">
        <v>238.219</v>
      </c>
      <c r="LB6" s="21" t="n">
        <v>642.547</v>
      </c>
      <c r="LC6" s="21" t="n">
        <v>219.668</v>
      </c>
      <c r="LD6" s="21" t="n">
        <v>682.138</v>
      </c>
      <c r="LE6" s="21" t="n">
        <v>776.379</v>
      </c>
      <c r="LF6" s="21" t="n">
        <v>70.60299999999999</v>
      </c>
      <c r="LG6" s="21" t="n">
        <v>274.583</v>
      </c>
      <c r="LH6" s="21" t="n">
        <v>233.047</v>
      </c>
      <c r="LI6" s="21" t="n">
        <v>80.015</v>
      </c>
      <c r="LJ6" s="21" t="n">
        <v>174.58</v>
      </c>
      <c r="LK6" s="21" t="n">
        <v>274.517</v>
      </c>
      <c r="LL6" s="21" t="n">
        <v>282.741</v>
      </c>
      <c r="LM6" s="21" t="n">
        <v>76.182</v>
      </c>
      <c r="LN6" s="21" t="n">
        <v>98.46899999999999</v>
      </c>
      <c r="LO6" s="21" t="n">
        <v>54.537</v>
      </c>
      <c r="LP6" s="21" t="n">
        <v>113.279</v>
      </c>
      <c r="LQ6" s="21" t="n"/>
      <c r="LR6" s="21" t="n"/>
      <c r="LS6" s="21" t="n">
        <v>121.099</v>
      </c>
      <c r="LT6" s="21" t="n">
        <v>48.667</v>
      </c>
      <c r="LU6" s="21" t="n">
        <v>37.244</v>
      </c>
      <c r="LV6" s="21" t="n">
        <v>78.092</v>
      </c>
      <c r="LW6" s="21" t="n">
        <v>323.427</v>
      </c>
      <c r="LX6" s="21" t="n"/>
      <c r="LY6" s="21" t="n">
        <v>412.841</v>
      </c>
      <c r="LZ6" s="21" t="n">
        <v>58.035</v>
      </c>
      <c r="MA6" s="21" t="n">
        <v>375.648</v>
      </c>
      <c r="MB6" s="21" t="n">
        <v>242.297</v>
      </c>
      <c r="MC6" s="21" t="n">
        <v>220.101</v>
      </c>
      <c r="MD6" s="21" t="n">
        <v>163.185</v>
      </c>
      <c r="ME6" s="21" t="n">
        <v>104.215</v>
      </c>
      <c r="MF6" s="21" t="n">
        <v>186.976</v>
      </c>
      <c r="MG6" s="21" t="n">
        <v>244.802</v>
      </c>
      <c r="MH6" s="21" t="n">
        <v>149.369</v>
      </c>
      <c r="MI6" s="21" t="n">
        <v>397.696</v>
      </c>
      <c r="MJ6" s="21" t="n">
        <v>321.825</v>
      </c>
      <c r="MK6" s="21" t="n">
        <v>312.282</v>
      </c>
      <c r="ML6" s="21" t="n">
        <v>154.897</v>
      </c>
      <c r="MM6" s="21" t="n">
        <v>181.222</v>
      </c>
      <c r="MN6" s="21" t="n">
        <v>317.257</v>
      </c>
      <c r="MO6" s="21" t="n">
        <v>150.552</v>
      </c>
      <c r="MP6" s="21" t="n">
        <v>216.641</v>
      </c>
      <c r="MQ6" s="21" t="n">
        <v>82.884</v>
      </c>
      <c r="MR6" s="21" t="n">
        <v>153.453</v>
      </c>
      <c r="MS6" s="21" t="n">
        <v>85.69799999999999</v>
      </c>
      <c r="MT6" s="21" t="n">
        <v>227.707</v>
      </c>
      <c r="MU6" s="21" t="n">
        <v>242.047</v>
      </c>
      <c r="MV6" s="21" t="n">
        <v>236.51</v>
      </c>
      <c r="MW6" s="21" t="n">
        <v>242.119</v>
      </c>
      <c r="MX6" s="21" t="n">
        <v>224.911</v>
      </c>
      <c r="MY6" s="21" t="n">
        <v>219.321</v>
      </c>
      <c r="MZ6" s="21" t="n">
        <v>222.527</v>
      </c>
      <c r="NA6" s="21" t="n">
        <v>226.847</v>
      </c>
      <c r="NB6" s="21" t="n">
        <v>120.045</v>
      </c>
      <c r="NC6" s="21" t="n">
        <v>184.263</v>
      </c>
      <c r="ND6" s="21" t="n">
        <v>156.062</v>
      </c>
      <c r="NE6" s="21" t="n">
        <v>153.084</v>
      </c>
      <c r="NF6" s="21" t="n">
        <v>147.014</v>
      </c>
      <c r="NG6" s="21" t="n">
        <v>147.374</v>
      </c>
      <c r="NH6" s="21" t="n">
        <v>249.655</v>
      </c>
      <c r="NI6" s="21" t="n">
        <v>110.197</v>
      </c>
      <c r="NJ6" s="21" t="n">
        <v>84.069</v>
      </c>
      <c r="NK6" s="21" t="n">
        <v>108.999</v>
      </c>
      <c r="NL6" s="21" t="n">
        <v>214.33</v>
      </c>
      <c r="NM6" s="21" t="n">
        <v>242.315</v>
      </c>
      <c r="NN6" s="21" t="n">
        <v>93.991</v>
      </c>
      <c r="NO6" s="21" t="n">
        <v>65.979</v>
      </c>
      <c r="NP6" s="21" t="n">
        <v>220.974</v>
      </c>
      <c r="NQ6" s="21" t="n">
        <v>199.037</v>
      </c>
      <c r="NR6" s="21" t="n">
        <v>242.584</v>
      </c>
      <c r="NS6" s="21" t="n">
        <v>196.477</v>
      </c>
      <c r="NT6" s="21" t="n">
        <v>244.171</v>
      </c>
      <c r="NU6" s="21" t="n">
        <v>107.337</v>
      </c>
      <c r="NV6" s="21" t="n">
        <v>111.464</v>
      </c>
      <c r="NW6" s="21" t="n">
        <v>337.863</v>
      </c>
      <c r="NX6" s="21" t="n">
        <v>89.081</v>
      </c>
      <c r="NY6" s="21" t="n">
        <v>111.886</v>
      </c>
      <c r="NZ6" s="21" t="n">
        <v>289.079</v>
      </c>
      <c r="OA6" s="21" t="n">
        <v>290.77</v>
      </c>
      <c r="OB6" s="21" t="n">
        <v>300.264</v>
      </c>
      <c r="OC6" s="21" t="n">
        <v>276.655</v>
      </c>
      <c r="OD6" s="21" t="n">
        <v>315.271</v>
      </c>
      <c r="OE6" s="21" t="n">
        <v>107.552</v>
      </c>
      <c r="OF6" s="21" t="n">
        <v>292.994</v>
      </c>
      <c r="OG6" s="21" t="n">
        <v>214.939</v>
      </c>
      <c r="OH6" s="21" t="n">
        <v>62.196</v>
      </c>
      <c r="OI6" s="21" t="n">
        <v>113.611</v>
      </c>
      <c r="OJ6" s="21" t="n">
        <v>42.1</v>
      </c>
      <c r="OK6" s="21" t="n">
        <v>14</v>
      </c>
    </row>
    <row r="7">
      <c r="A7" s="22" t="n">
        <v>42156</v>
      </c>
      <c r="B7" s="21" t="n">
        <v>238.638</v>
      </c>
      <c r="C7" s="21" t="n">
        <v>714.855</v>
      </c>
      <c r="D7" s="21" t="n">
        <v>246.245</v>
      </c>
      <c r="E7" s="21" t="n">
        <v>246.68</v>
      </c>
      <c r="F7" s="21" t="n">
        <v>241.494</v>
      </c>
      <c r="G7" s="21" t="n">
        <v>274.479</v>
      </c>
      <c r="H7" s="21" t="n">
        <v>236.261</v>
      </c>
      <c r="I7" s="21" t="n">
        <v>250.378</v>
      </c>
      <c r="J7" s="21" t="n">
        <v>230.528</v>
      </c>
      <c r="K7" s="21" t="n">
        <v>245.318</v>
      </c>
      <c r="L7" s="21" t="n">
        <v>169.016</v>
      </c>
      <c r="M7" s="21" t="n">
        <v>295.945</v>
      </c>
      <c r="N7" s="21" t="n">
        <v>179.179</v>
      </c>
      <c r="O7" s="21" t="n">
        <v>325.16</v>
      </c>
      <c r="P7" s="21" t="n">
        <v>344.364</v>
      </c>
      <c r="Q7" s="21" t="n">
        <v>173.263</v>
      </c>
      <c r="R7" s="21" t="n">
        <v>277.605</v>
      </c>
      <c r="S7" s="21" t="n">
        <v>291.787</v>
      </c>
      <c r="T7" s="21" t="n">
        <v>266.502</v>
      </c>
      <c r="U7" s="21" t="n">
        <v>266.764</v>
      </c>
      <c r="V7" s="21" t="n">
        <v>292.575</v>
      </c>
      <c r="W7" s="21" t="n">
        <v>309.845</v>
      </c>
      <c r="X7" s="21" t="n">
        <v>269.066</v>
      </c>
      <c r="Y7" s="21" t="n">
        <v>261.189</v>
      </c>
      <c r="Z7" s="21" t="n">
        <v>259.087</v>
      </c>
      <c r="AA7" s="21" t="n">
        <v>264.536</v>
      </c>
      <c r="AB7" s="21" t="n">
        <v>328.468</v>
      </c>
      <c r="AC7" s="21" t="n">
        <v>299.1</v>
      </c>
      <c r="AD7" s="21" t="n">
        <v>244.103</v>
      </c>
      <c r="AE7" s="21" t="n">
        <v>220.201</v>
      </c>
      <c r="AF7" s="21" t="n">
        <v>238.793</v>
      </c>
      <c r="AG7" s="21" t="n">
        <v>215.313</v>
      </c>
      <c r="AH7" s="21" t="n">
        <v>151.947</v>
      </c>
      <c r="AI7" s="21" t="n">
        <v>266.031</v>
      </c>
      <c r="AJ7" s="21" t="n">
        <v>149.291</v>
      </c>
      <c r="AK7" s="21" t="n">
        <v>213.794</v>
      </c>
      <c r="AL7" s="21" t="n">
        <v>238.749</v>
      </c>
      <c r="AM7" s="21" t="n">
        <v>195.352</v>
      </c>
      <c r="AN7" s="21" t="n">
        <v>137.206</v>
      </c>
      <c r="AO7" s="21" t="n">
        <v>224.804</v>
      </c>
      <c r="AP7" s="21" t="n">
        <v>225.357</v>
      </c>
      <c r="AQ7" s="21" t="n">
        <v>145.209</v>
      </c>
      <c r="AR7" s="21" t="n">
        <v>326.497</v>
      </c>
      <c r="AS7" s="21" t="n">
        <v>174.869</v>
      </c>
      <c r="AT7" s="21" t="n">
        <v>239.178</v>
      </c>
      <c r="AU7" s="21" t="n">
        <v>153.242</v>
      </c>
      <c r="AV7" s="21" t="n">
        <v>258.315</v>
      </c>
      <c r="AW7" s="21" t="n">
        <v>226.27</v>
      </c>
      <c r="AX7" s="21" t="n">
        <v>158.833</v>
      </c>
      <c r="AY7" s="21" t="n">
        <v>286.469</v>
      </c>
      <c r="AZ7" s="21" t="n">
        <v>173.315</v>
      </c>
      <c r="BA7" s="21" t="n">
        <v>147.415</v>
      </c>
      <c r="BB7" s="21" t="n">
        <v>199.751</v>
      </c>
      <c r="BC7" s="21" t="n">
        <v>317.646</v>
      </c>
      <c r="BD7" s="21" t="n">
        <v>290.829</v>
      </c>
      <c r="BE7" s="21" t="n">
        <v>219.696</v>
      </c>
      <c r="BF7" s="21" t="n">
        <v>145.293</v>
      </c>
      <c r="BG7" s="21" t="n">
        <v>209.33</v>
      </c>
      <c r="BH7" s="21" t="n">
        <v>149.28</v>
      </c>
      <c r="BI7" s="21" t="n">
        <v>231.056</v>
      </c>
      <c r="BJ7" s="21" t="n">
        <v>213.116</v>
      </c>
      <c r="BK7" s="21" t="n">
        <v>147.169</v>
      </c>
      <c r="BL7" s="21" t="n">
        <v>288.968</v>
      </c>
      <c r="BM7" s="21" t="n">
        <v>329.532</v>
      </c>
      <c r="BN7" s="21" t="n">
        <v>341.974</v>
      </c>
      <c r="BO7" s="21" t="n">
        <v>336.155</v>
      </c>
      <c r="BP7" s="21" t="n">
        <v>199.472</v>
      </c>
      <c r="BQ7" s="21" t="n">
        <v>236.049</v>
      </c>
      <c r="BR7" s="21" t="n">
        <v>482.027</v>
      </c>
      <c r="BS7" s="21" t="n">
        <v>108.974</v>
      </c>
      <c r="BT7" s="21" t="n">
        <v>315.266</v>
      </c>
      <c r="BU7" s="21" t="n">
        <v>329.257</v>
      </c>
      <c r="BV7" s="21" t="n">
        <v>302.335</v>
      </c>
      <c r="BW7" s="21" t="n">
        <v>309.722</v>
      </c>
      <c r="BX7" s="21" t="n">
        <v>320.761</v>
      </c>
      <c r="BY7" s="21" t="n">
        <v>159.897</v>
      </c>
      <c r="BZ7" s="21" t="n">
        <v>164.369</v>
      </c>
      <c r="CA7" s="21" t="n">
        <v>158.314</v>
      </c>
      <c r="CB7" s="21" t="n">
        <v>173.079</v>
      </c>
      <c r="CC7" s="21" t="n">
        <v>148.869</v>
      </c>
      <c r="CD7" s="21" t="n">
        <v>204.552</v>
      </c>
      <c r="CE7" s="21" t="n">
        <v>164.812</v>
      </c>
      <c r="CF7" s="21" t="n">
        <v>207.452</v>
      </c>
      <c r="CG7" s="21" t="n">
        <v>166.824</v>
      </c>
      <c r="CH7" s="21" t="n">
        <v>127.523</v>
      </c>
      <c r="CI7" s="21" t="n">
        <v>158.231</v>
      </c>
      <c r="CJ7" s="21" t="n">
        <v>175.506</v>
      </c>
      <c r="CK7" s="21" t="n">
        <v>117.116</v>
      </c>
      <c r="CL7" s="21" t="n">
        <v>119.955</v>
      </c>
      <c r="CM7" s="21" t="n">
        <v>204.792</v>
      </c>
      <c r="CN7" s="21" t="n">
        <v>213.014</v>
      </c>
      <c r="CO7" s="21" t="n">
        <v>204.701</v>
      </c>
      <c r="CP7" s="21" t="n">
        <v>127.504</v>
      </c>
      <c r="CQ7" s="21" t="n">
        <v>209.787</v>
      </c>
      <c r="CR7" s="21" t="n">
        <v>215.925</v>
      </c>
      <c r="CS7" s="21" t="n">
        <v>191.255</v>
      </c>
      <c r="CT7" s="21" t="n">
        <v>144.555</v>
      </c>
      <c r="CU7" s="21" t="n">
        <v>154.55</v>
      </c>
      <c r="CV7" s="21" t="n">
        <v>225.93</v>
      </c>
      <c r="CW7" s="21" t="n">
        <v>194.868</v>
      </c>
      <c r="CX7" s="21" t="n">
        <v>222.871</v>
      </c>
      <c r="CY7" s="21" t="n">
        <v>290.775</v>
      </c>
      <c r="CZ7" s="21" t="n">
        <v>129.241</v>
      </c>
      <c r="DA7" s="21" t="n">
        <v>161.14</v>
      </c>
      <c r="DB7" s="21" t="n">
        <v>162.435</v>
      </c>
      <c r="DC7" s="21" t="n">
        <v>224.359</v>
      </c>
      <c r="DD7" s="21" t="n">
        <v>249.589</v>
      </c>
      <c r="DE7" s="21" t="n">
        <v>172.057</v>
      </c>
      <c r="DF7" s="21" t="n">
        <v>250.962</v>
      </c>
      <c r="DG7" s="21" t="n">
        <v>236.292</v>
      </c>
      <c r="DH7" s="21" t="n">
        <v>147.779</v>
      </c>
      <c r="DI7" s="21" t="n">
        <v>132.888</v>
      </c>
      <c r="DJ7" s="21" t="n">
        <v>138.006</v>
      </c>
      <c r="DK7" s="21" t="n">
        <v>273.561</v>
      </c>
      <c r="DL7" s="21" t="n">
        <v>152.693</v>
      </c>
      <c r="DM7" s="21" t="n">
        <v>131.46</v>
      </c>
      <c r="DN7" s="21" t="n">
        <v>120.001</v>
      </c>
      <c r="DO7" s="21" t="n">
        <v>255.846</v>
      </c>
      <c r="DP7" s="21" t="n">
        <v>159.282</v>
      </c>
      <c r="DQ7" s="21" t="n">
        <v>163.02</v>
      </c>
      <c r="DR7" s="21" t="n">
        <v>160.08</v>
      </c>
      <c r="DS7" s="21" t="n">
        <v>133.864</v>
      </c>
      <c r="DT7" s="21" t="n">
        <v>146.29</v>
      </c>
      <c r="DU7" s="21" t="n">
        <v>181.339</v>
      </c>
      <c r="DV7" s="21" t="n">
        <v>238.911</v>
      </c>
      <c r="DW7" s="21" t="n">
        <v>196.348</v>
      </c>
      <c r="DX7" s="21" t="n">
        <v>214.329</v>
      </c>
      <c r="DY7" s="21" t="n">
        <v>191.371</v>
      </c>
      <c r="DZ7" s="21" t="n">
        <v>206.374</v>
      </c>
      <c r="EA7" s="21" t="n">
        <v>185.61</v>
      </c>
      <c r="EB7" s="21" t="n">
        <v>167.478</v>
      </c>
      <c r="EC7" s="21" t="n">
        <v>330.669</v>
      </c>
      <c r="ED7" s="21" t="n">
        <v>163.307</v>
      </c>
      <c r="EE7" s="21" t="n">
        <v>178.232</v>
      </c>
      <c r="EF7" s="21" t="n">
        <v>177.826</v>
      </c>
      <c r="EG7" s="21" t="n">
        <v>238.568</v>
      </c>
      <c r="EH7" s="21" t="n">
        <v>278.461</v>
      </c>
      <c r="EI7" s="21" t="n">
        <v>285.031</v>
      </c>
      <c r="EJ7" s="21" t="n">
        <v>157.666</v>
      </c>
      <c r="EK7" s="21" t="n">
        <v>503.439</v>
      </c>
      <c r="EL7" s="21" t="n">
        <v>330.056</v>
      </c>
      <c r="EM7" s="21" t="n">
        <v>285.436</v>
      </c>
      <c r="EN7" s="21" t="n">
        <v>285.4</v>
      </c>
      <c r="EO7" s="21" t="n">
        <v>145.976</v>
      </c>
      <c r="EP7" s="21" t="n">
        <v>235.136</v>
      </c>
      <c r="EQ7" s="21" t="n">
        <v>200.537</v>
      </c>
      <c r="ER7" s="21" t="n">
        <v>260.468</v>
      </c>
      <c r="ES7" s="21" t="n">
        <v>267.649</v>
      </c>
      <c r="ET7" s="21" t="n">
        <v>296.29</v>
      </c>
      <c r="EU7" s="21" t="n">
        <v>204.843</v>
      </c>
      <c r="EV7" s="21" t="n">
        <v>217.468</v>
      </c>
      <c r="EW7" s="21" t="n">
        <v>164.205</v>
      </c>
      <c r="EX7" s="21" t="n">
        <v>212.863</v>
      </c>
      <c r="EY7" s="21" t="n">
        <v>490.072</v>
      </c>
      <c r="EZ7" s="21" t="n">
        <v>430.813</v>
      </c>
      <c r="FA7" s="21" t="n">
        <v>123.127</v>
      </c>
      <c r="FB7" s="21" t="n">
        <v>61.531</v>
      </c>
      <c r="FC7" s="21" t="n">
        <v>109.241</v>
      </c>
      <c r="FD7" s="21" t="n">
        <v>67.971</v>
      </c>
      <c r="FE7" s="21" t="n">
        <v>49.013</v>
      </c>
      <c r="FF7" s="21" t="n">
        <v>115.679</v>
      </c>
      <c r="FG7" s="21" t="n">
        <v>132.275</v>
      </c>
      <c r="FH7" s="21" t="n">
        <v>87.68600000000001</v>
      </c>
      <c r="FI7" s="21" t="n">
        <v>74.861</v>
      </c>
      <c r="FJ7" s="21" t="n"/>
      <c r="FK7" s="21" t="n">
        <v>79.934</v>
      </c>
      <c r="FL7" s="21" t="n">
        <v>88.661</v>
      </c>
      <c r="FM7" s="21" t="n">
        <v>100.936</v>
      </c>
      <c r="FN7" s="21" t="n">
        <v>68.30500000000001</v>
      </c>
      <c r="FO7" s="21" t="n">
        <v>59.149</v>
      </c>
      <c r="FP7" s="21" t="n">
        <v>47.147</v>
      </c>
      <c r="FQ7" s="21" t="n">
        <v>129.208</v>
      </c>
      <c r="FR7" s="21" t="n">
        <v>55.162</v>
      </c>
      <c r="FS7" s="21" t="n">
        <v>91.078</v>
      </c>
      <c r="FT7" s="21" t="n">
        <v>91.521</v>
      </c>
      <c r="FU7" s="21" t="n">
        <v>100.393</v>
      </c>
      <c r="FV7" s="21" t="n">
        <v>87.29000000000001</v>
      </c>
      <c r="FW7" s="21" t="n">
        <v>186.758</v>
      </c>
      <c r="FX7" s="21" t="n">
        <v>118.943</v>
      </c>
      <c r="FY7" s="21" t="n">
        <v>168.786</v>
      </c>
      <c r="FZ7" s="21" t="n">
        <v>119.254</v>
      </c>
      <c r="GA7" s="21" t="n">
        <v>167.457</v>
      </c>
      <c r="GB7" s="21" t="n">
        <v>155.552</v>
      </c>
      <c r="GC7" s="21" t="n">
        <v>172.418</v>
      </c>
      <c r="GD7" s="21" t="n">
        <v>142.187</v>
      </c>
      <c r="GE7" s="21" t="n">
        <v>221.704</v>
      </c>
      <c r="GF7" s="21" t="n">
        <v>124.954</v>
      </c>
      <c r="GG7" s="21" t="n">
        <v>120.04</v>
      </c>
      <c r="GH7" s="21" t="n">
        <v>124.471</v>
      </c>
      <c r="GI7" s="21" t="n">
        <v>113.799</v>
      </c>
      <c r="GJ7" s="21" t="n">
        <v>156.585</v>
      </c>
      <c r="GK7" s="21" t="n">
        <v>77.509</v>
      </c>
      <c r="GL7" s="21" t="n">
        <v>126.365</v>
      </c>
      <c r="GM7" s="21" t="n">
        <v>103.166</v>
      </c>
      <c r="GN7" s="21" t="n">
        <v>109.62</v>
      </c>
      <c r="GO7" s="21" t="n">
        <v>113.265</v>
      </c>
      <c r="GP7" s="21" t="n">
        <v>97.751</v>
      </c>
      <c r="GQ7" s="21" t="n">
        <v>119.831</v>
      </c>
      <c r="GR7" s="21" t="n">
        <v>81.785</v>
      </c>
      <c r="GS7" s="21" t="n">
        <v>106.126</v>
      </c>
      <c r="GT7" s="21" t="n">
        <v>92.42100000000001</v>
      </c>
      <c r="GU7" s="21" t="n">
        <v>135.83</v>
      </c>
      <c r="GV7" s="21" t="n">
        <v>137.674</v>
      </c>
      <c r="GW7" s="21" t="n">
        <v>151.152</v>
      </c>
      <c r="GX7" s="21" t="n">
        <v>126.798</v>
      </c>
      <c r="GY7" s="21" t="n">
        <v>117.258</v>
      </c>
      <c r="GZ7" s="21" t="n">
        <v>160.132</v>
      </c>
      <c r="HA7" s="21" t="n">
        <v>123.852</v>
      </c>
      <c r="HB7" s="21" t="n">
        <v>165.426</v>
      </c>
      <c r="HC7" s="21" t="n">
        <v>208.012</v>
      </c>
      <c r="HD7" s="21" t="n">
        <v>202.021</v>
      </c>
      <c r="HE7" s="21" t="n">
        <v>101.751</v>
      </c>
      <c r="HF7" s="21" t="n">
        <v>147.845</v>
      </c>
      <c r="HG7" s="21" t="n">
        <v>102.5</v>
      </c>
      <c r="HH7" s="21" t="n">
        <v>145.253</v>
      </c>
      <c r="HI7" s="21" t="n">
        <v>156.06</v>
      </c>
      <c r="HJ7" s="21" t="n"/>
      <c r="HK7" s="21" t="n">
        <v>150.97</v>
      </c>
      <c r="HL7" s="21" t="n">
        <v>83.292</v>
      </c>
      <c r="HM7" s="21" t="n">
        <v>128.31</v>
      </c>
      <c r="HN7" s="21" t="n">
        <v>245.147</v>
      </c>
      <c r="HO7" s="21" t="n">
        <v>244.226</v>
      </c>
      <c r="HP7" s="21" t="n">
        <v>241.676</v>
      </c>
      <c r="HQ7" s="21" t="n">
        <v>256.161</v>
      </c>
      <c r="HR7" s="21" t="n">
        <v>245.936</v>
      </c>
      <c r="HS7" s="21" t="n">
        <v>210.588</v>
      </c>
      <c r="HT7" s="21" t="n">
        <v>143.88</v>
      </c>
      <c r="HU7" s="21" t="n">
        <v>126.119</v>
      </c>
      <c r="HV7" s="21" t="n">
        <v>165.914</v>
      </c>
      <c r="HW7" s="21" t="n">
        <v>156.848</v>
      </c>
      <c r="HX7" s="21" t="n">
        <v>366.386</v>
      </c>
      <c r="HY7" s="21" t="n">
        <v>270.981</v>
      </c>
      <c r="HZ7" s="21" t="n">
        <v>280.459</v>
      </c>
      <c r="IA7" s="21" t="n">
        <v>243.673</v>
      </c>
      <c r="IB7" s="21" t="n">
        <v>168.265</v>
      </c>
      <c r="IC7" s="21" t="n">
        <v>457.774</v>
      </c>
      <c r="ID7" s="21" t="n">
        <v>177.619</v>
      </c>
      <c r="IE7" s="21" t="n">
        <v>167.633</v>
      </c>
      <c r="IF7" s="21" t="n">
        <v>193.971</v>
      </c>
      <c r="IG7" s="21" t="n">
        <v>215.201</v>
      </c>
      <c r="IH7" s="21" t="n">
        <v>126.22</v>
      </c>
      <c r="II7" s="21" t="n">
        <v>287.358</v>
      </c>
      <c r="IJ7" s="21" t="n">
        <v>324.953</v>
      </c>
      <c r="IK7" s="21" t="n">
        <v>151.157</v>
      </c>
      <c r="IL7" s="21" t="n"/>
      <c r="IM7" s="21" t="n">
        <v>114.064</v>
      </c>
      <c r="IN7" s="21" t="n">
        <v>59.564</v>
      </c>
      <c r="IO7" s="21" t="n">
        <v>304.208</v>
      </c>
      <c r="IP7" s="21" t="n">
        <v>120.417</v>
      </c>
      <c r="IQ7" s="21" t="n">
        <v>446.271</v>
      </c>
      <c r="IR7" s="21" t="n">
        <v>354.524</v>
      </c>
      <c r="IS7" s="21" t="n">
        <v>115.793</v>
      </c>
      <c r="IT7" s="21" t="n">
        <v>479.642</v>
      </c>
      <c r="IU7" s="21" t="n">
        <v>97.27200000000001</v>
      </c>
      <c r="IV7" s="21" t="n">
        <v>100.188</v>
      </c>
      <c r="IW7" s="21" t="n">
        <v>475.546</v>
      </c>
      <c r="IX7" s="21" t="n">
        <v>361.923</v>
      </c>
      <c r="IY7" s="21" t="n">
        <v>366.541</v>
      </c>
      <c r="IZ7" s="21" t="n">
        <v>452.451</v>
      </c>
      <c r="JA7" s="21" t="n">
        <v>184.845</v>
      </c>
      <c r="JB7" s="21" t="n">
        <v>227.992</v>
      </c>
      <c r="JC7" s="21" t="n">
        <v>69.01300000000001</v>
      </c>
      <c r="JD7" s="21" t="n">
        <v>288.959</v>
      </c>
      <c r="JE7" s="21" t="n">
        <v>283.331</v>
      </c>
      <c r="JF7" s="21" t="n">
        <v>652.181</v>
      </c>
      <c r="JG7" s="21" t="n">
        <v>206.365</v>
      </c>
      <c r="JH7" s="21" t="n">
        <v>117.92</v>
      </c>
      <c r="JI7" s="21" t="n">
        <v>122.963</v>
      </c>
      <c r="JJ7" s="21" t="n">
        <v>116.395</v>
      </c>
      <c r="JK7" s="21" t="n">
        <v>99.916</v>
      </c>
      <c r="JL7" s="21" t="n">
        <v>337.188</v>
      </c>
      <c r="JM7" s="21" t="n">
        <v>423.862</v>
      </c>
      <c r="JN7" s="21" t="n">
        <v>134.719</v>
      </c>
      <c r="JO7" s="21" t="n">
        <v>71.465</v>
      </c>
      <c r="JP7" s="21" t="n">
        <v>39.594</v>
      </c>
      <c r="JQ7" s="21" t="n">
        <v>121.298</v>
      </c>
      <c r="JR7" s="21" t="n">
        <v>35.821</v>
      </c>
      <c r="JS7" s="21" t="n">
        <v>87.304</v>
      </c>
      <c r="JT7" s="21" t="n">
        <v>168.056</v>
      </c>
      <c r="JU7" s="21" t="n">
        <v>199.482</v>
      </c>
      <c r="JV7" s="21" t="n">
        <v>153.511</v>
      </c>
      <c r="JW7" s="21" t="n">
        <v>114.199</v>
      </c>
      <c r="JX7" s="21" t="n">
        <v>226.17</v>
      </c>
      <c r="JY7" s="21" t="n">
        <v>180.857</v>
      </c>
      <c r="JZ7" s="21" t="n">
        <v>236.489</v>
      </c>
      <c r="KA7" s="21" t="n">
        <v>114.261</v>
      </c>
      <c r="KB7" s="21" t="n">
        <v>150.258</v>
      </c>
      <c r="KC7" s="21" t="n">
        <v>84.086</v>
      </c>
      <c r="KD7" s="21" t="n">
        <v>74.696</v>
      </c>
      <c r="KE7" s="21" t="n">
        <v>55.012</v>
      </c>
      <c r="KF7" s="21" t="n">
        <v>126.585</v>
      </c>
      <c r="KG7" s="21" t="n">
        <v>22.592</v>
      </c>
      <c r="KH7" s="21" t="n">
        <v>120.97</v>
      </c>
      <c r="KI7" s="21" t="n">
        <v>127.191</v>
      </c>
      <c r="KJ7" s="21" t="n">
        <v>118.829</v>
      </c>
      <c r="KK7" s="21" t="n">
        <v>47.186</v>
      </c>
      <c r="KL7" s="21" t="n">
        <v>45.029</v>
      </c>
      <c r="KM7" s="21" t="n">
        <v>53.936</v>
      </c>
      <c r="KN7" s="21" t="n"/>
      <c r="KO7" s="21" t="n">
        <v>96.56999999999999</v>
      </c>
      <c r="KP7" s="21" t="n">
        <v>98.768</v>
      </c>
      <c r="KQ7" s="21" t="n">
        <v>157.376</v>
      </c>
      <c r="KR7" s="21" t="n">
        <v>131.952</v>
      </c>
      <c r="KS7" s="21" t="n">
        <v>356.001</v>
      </c>
      <c r="KT7" s="21" t="n">
        <v>168.494</v>
      </c>
      <c r="KU7" s="21" t="n">
        <v>209.363</v>
      </c>
      <c r="KV7" s="21" t="n">
        <v>287.158</v>
      </c>
      <c r="KW7" s="21" t="n">
        <v>239.927</v>
      </c>
      <c r="KX7" s="21" t="n">
        <v>163.388</v>
      </c>
      <c r="KY7" s="21" t="n">
        <v>100.473</v>
      </c>
      <c r="KZ7" s="21" t="n">
        <v>137.425</v>
      </c>
      <c r="LA7" s="21" t="n">
        <v>238.669</v>
      </c>
      <c r="LB7" s="21" t="n">
        <v>637.974</v>
      </c>
      <c r="LC7" s="21" t="n">
        <v>217.868</v>
      </c>
      <c r="LD7" s="21" t="n">
        <v>683.826</v>
      </c>
      <c r="LE7" s="21" t="n">
        <v>778.244</v>
      </c>
      <c r="LF7" s="21" t="n">
        <v>70.85299999999999</v>
      </c>
      <c r="LG7" s="21" t="n">
        <v>275.183</v>
      </c>
      <c r="LH7" s="21" t="n">
        <v>233.426</v>
      </c>
      <c r="LI7" s="21" t="n">
        <v>79.90600000000001</v>
      </c>
      <c r="LJ7" s="21" t="n">
        <v>174.635</v>
      </c>
      <c r="LK7" s="21" t="n">
        <v>274.517</v>
      </c>
      <c r="LL7" s="21" t="n">
        <v>283.638</v>
      </c>
      <c r="LM7" s="21" t="n">
        <v>76.07299999999999</v>
      </c>
      <c r="LN7" s="21" t="n">
        <v>98.553</v>
      </c>
      <c r="LO7" s="21" t="n">
        <v>54.555</v>
      </c>
      <c r="LP7" s="21" t="n">
        <v>113.484</v>
      </c>
      <c r="LQ7" s="21" t="n"/>
      <c r="LR7" s="21" t="n"/>
      <c r="LS7" s="21" t="n">
        <v>120.327</v>
      </c>
      <c r="LT7" s="21" t="n">
        <v>48.164</v>
      </c>
      <c r="LU7" s="21" t="n">
        <v>36.926</v>
      </c>
      <c r="LV7" s="21" t="n">
        <v>77.889</v>
      </c>
      <c r="LW7" s="21" t="n">
        <v>313.968</v>
      </c>
      <c r="LX7" s="21" t="n"/>
      <c r="LY7" s="21" t="n">
        <v>415.022</v>
      </c>
      <c r="LZ7" s="21" t="n">
        <v>58.613</v>
      </c>
      <c r="MA7" s="21" t="n">
        <v>379.49</v>
      </c>
      <c r="MB7" s="21" t="n">
        <v>243.886</v>
      </c>
      <c r="MC7" s="21" t="n">
        <v>220.988</v>
      </c>
      <c r="MD7" s="21" t="n">
        <v>162.617</v>
      </c>
      <c r="ME7" s="21" t="n">
        <v>103.462</v>
      </c>
      <c r="MF7" s="21" t="n">
        <v>187.081</v>
      </c>
      <c r="MG7" s="21" t="n">
        <v>248.652</v>
      </c>
      <c r="MH7" s="21" t="n">
        <v>151.719</v>
      </c>
      <c r="MI7" s="21" t="n">
        <v>399.542</v>
      </c>
      <c r="MJ7" s="21" t="n">
        <v>321.793</v>
      </c>
      <c r="MK7" s="21" t="n">
        <v>312.554</v>
      </c>
      <c r="ML7" s="21" t="n">
        <v>156.189</v>
      </c>
      <c r="MM7" s="21" t="n">
        <v>181.395</v>
      </c>
      <c r="MN7" s="21" t="n">
        <v>320.542</v>
      </c>
      <c r="MO7" s="21" t="n">
        <v>151.599</v>
      </c>
      <c r="MP7" s="21" t="n">
        <v>218.41</v>
      </c>
      <c r="MQ7" s="21" t="n">
        <v>82.02800000000001</v>
      </c>
      <c r="MR7" s="21" t="n">
        <v>151.553</v>
      </c>
      <c r="MS7" s="21" t="n">
        <v>83.31</v>
      </c>
      <c r="MT7" s="21" t="n">
        <v>228.612</v>
      </c>
      <c r="MU7" s="21" t="n">
        <v>242.321</v>
      </c>
      <c r="MV7" s="21" t="n">
        <v>237.397</v>
      </c>
      <c r="MW7" s="21" t="n">
        <v>242.354</v>
      </c>
      <c r="MX7" s="21" t="n">
        <v>225.729</v>
      </c>
      <c r="MY7" s="21" t="n">
        <v>220.214</v>
      </c>
      <c r="MZ7" s="21" t="n">
        <v>222.376</v>
      </c>
      <c r="NA7" s="21" t="n">
        <v>226.673</v>
      </c>
      <c r="NB7" s="21" t="n">
        <v>117.894</v>
      </c>
      <c r="NC7" s="21" t="n">
        <v>184.523</v>
      </c>
      <c r="ND7" s="21" t="n">
        <v>156.226</v>
      </c>
      <c r="NE7" s="21" t="n">
        <v>153.278</v>
      </c>
      <c r="NF7" s="21" t="n">
        <v>146.444</v>
      </c>
      <c r="NG7" s="21" t="n">
        <v>146.725</v>
      </c>
      <c r="NH7" s="21" t="n">
        <v>250.341</v>
      </c>
      <c r="NI7" s="21" t="n">
        <v>110.049</v>
      </c>
      <c r="NJ7" s="21" t="n">
        <v>83.139</v>
      </c>
      <c r="NK7" s="21" t="n">
        <v>109.134</v>
      </c>
      <c r="NL7" s="21" t="n">
        <v>220.861</v>
      </c>
      <c r="NM7" s="21" t="n">
        <v>247.867</v>
      </c>
      <c r="NN7" s="21" t="n">
        <v>93.77500000000001</v>
      </c>
      <c r="NO7" s="21" t="n">
        <v>65.116</v>
      </c>
      <c r="NP7" s="21" t="n">
        <v>221.473</v>
      </c>
      <c r="NQ7" s="21" t="n">
        <v>199.536</v>
      </c>
      <c r="NR7" s="21" t="n">
        <v>244.575</v>
      </c>
      <c r="NS7" s="21" t="n">
        <v>197.058</v>
      </c>
      <c r="NT7" s="21" t="n">
        <v>246.457</v>
      </c>
      <c r="NU7" s="21" t="n">
        <v>107.514</v>
      </c>
      <c r="NV7" s="21" t="n">
        <v>112.426</v>
      </c>
      <c r="NW7" s="21" t="n">
        <v>338.876</v>
      </c>
      <c r="NX7" s="21" t="n">
        <v>88.967</v>
      </c>
      <c r="NY7" s="21" t="n">
        <v>112.26</v>
      </c>
      <c r="NZ7" s="21" t="n">
        <v>290.034</v>
      </c>
      <c r="OA7" s="21" t="n">
        <v>292.162</v>
      </c>
      <c r="OB7" s="21" t="n">
        <v>301.04</v>
      </c>
      <c r="OC7" s="21" t="n">
        <v>278.198</v>
      </c>
      <c r="OD7" s="21" t="n">
        <v>317.29</v>
      </c>
      <c r="OE7" s="21" t="n">
        <v>107.55</v>
      </c>
      <c r="OF7" s="21" t="n">
        <v>293.93</v>
      </c>
      <c r="OG7" s="21" t="n">
        <v>218.519</v>
      </c>
      <c r="OH7" s="21" t="n">
        <v>61.994</v>
      </c>
      <c r="OI7" s="21" t="n">
        <v>113.488</v>
      </c>
      <c r="OJ7" s="21" t="n">
        <v>41.9</v>
      </c>
      <c r="OK7" s="21" t="n">
        <v>14</v>
      </c>
    </row>
    <row r="8">
      <c r="A8" s="22" t="n">
        <v>42186</v>
      </c>
      <c r="B8" s="21" t="n">
        <v>238.654</v>
      </c>
      <c r="C8" s="21" t="n">
        <v>714.902</v>
      </c>
      <c r="D8" s="21" t="n">
        <v>246.558</v>
      </c>
      <c r="E8" s="21" t="n">
        <v>247.003</v>
      </c>
      <c r="F8" s="21" t="n">
        <v>241.993</v>
      </c>
      <c r="G8" s="21" t="n">
        <v>275.526</v>
      </c>
      <c r="H8" s="21" t="n">
        <v>235.467</v>
      </c>
      <c r="I8" s="21" t="n">
        <v>247.516</v>
      </c>
      <c r="J8" s="21" t="n">
        <v>230.69</v>
      </c>
      <c r="K8" s="21" t="n">
        <v>243.768</v>
      </c>
      <c r="L8" s="21" t="n">
        <v>168.963</v>
      </c>
      <c r="M8" s="21" t="n">
        <v>298.116</v>
      </c>
      <c r="N8" s="21" t="n">
        <v>179.015</v>
      </c>
      <c r="O8" s="21" t="n">
        <v>326.016</v>
      </c>
      <c r="P8" s="21" t="n">
        <v>342.77</v>
      </c>
      <c r="Q8" s="21" t="n">
        <v>176.304</v>
      </c>
      <c r="R8" s="21" t="n">
        <v>279.449</v>
      </c>
      <c r="S8" s="21" t="n">
        <v>291.947</v>
      </c>
      <c r="T8" s="21" t="n">
        <v>269.951</v>
      </c>
      <c r="U8" s="21" t="n">
        <v>269.682</v>
      </c>
      <c r="V8" s="21" t="n">
        <v>295.482</v>
      </c>
      <c r="W8" s="21" t="n">
        <v>311.969</v>
      </c>
      <c r="X8" s="21" t="n">
        <v>272.682</v>
      </c>
      <c r="Y8" s="21" t="n">
        <v>261.639</v>
      </c>
      <c r="Z8" s="21" t="n">
        <v>259.032</v>
      </c>
      <c r="AA8" s="21" t="n">
        <v>264.988</v>
      </c>
      <c r="AB8" s="21" t="n">
        <v>327.203</v>
      </c>
      <c r="AC8" s="21" t="n">
        <v>296.191</v>
      </c>
      <c r="AD8" s="21" t="n">
        <v>243.424</v>
      </c>
      <c r="AE8" s="21" t="n">
        <v>220.207</v>
      </c>
      <c r="AF8" s="21" t="n">
        <v>240.016</v>
      </c>
      <c r="AG8" s="21" t="n">
        <v>217.697</v>
      </c>
      <c r="AH8" s="21" t="n">
        <v>153.632</v>
      </c>
      <c r="AI8" s="21" t="n">
        <v>271.069</v>
      </c>
      <c r="AJ8" s="21" t="n">
        <v>149.752</v>
      </c>
      <c r="AK8" s="21" t="n">
        <v>213.388</v>
      </c>
      <c r="AL8" s="21" t="n">
        <v>238.713</v>
      </c>
      <c r="AM8" s="21" t="n">
        <v>200.585</v>
      </c>
      <c r="AN8" s="21" t="n">
        <v>138.752</v>
      </c>
      <c r="AO8" s="21" t="n">
        <v>225.198</v>
      </c>
      <c r="AP8" s="21" t="n">
        <v>222.075</v>
      </c>
      <c r="AQ8" s="21" t="n">
        <v>146.079</v>
      </c>
      <c r="AR8" s="21" t="n">
        <v>334.859</v>
      </c>
      <c r="AS8" s="21" t="n">
        <v>179.976</v>
      </c>
      <c r="AT8" s="21" t="n">
        <v>238.125</v>
      </c>
      <c r="AU8" s="21" t="n">
        <v>152.223</v>
      </c>
      <c r="AV8" s="21" t="n">
        <v>254.575</v>
      </c>
      <c r="AW8" s="21" t="n">
        <v>225.204</v>
      </c>
      <c r="AX8" s="21" t="n">
        <v>159.634</v>
      </c>
      <c r="AY8" s="21" t="n">
        <v>285.588</v>
      </c>
      <c r="AZ8" s="21" t="n">
        <v>170.466</v>
      </c>
      <c r="BA8" s="21" t="n">
        <v>149.023</v>
      </c>
      <c r="BB8" s="21" t="n">
        <v>202.931</v>
      </c>
      <c r="BC8" s="21" t="n">
        <v>321.858</v>
      </c>
      <c r="BD8" s="21" t="n">
        <v>298.494</v>
      </c>
      <c r="BE8" s="21" t="n">
        <v>221.443</v>
      </c>
      <c r="BF8" s="21" t="n">
        <v>147.398</v>
      </c>
      <c r="BG8" s="21" t="n">
        <v>212.579</v>
      </c>
      <c r="BH8" s="21" t="n">
        <v>151.327</v>
      </c>
      <c r="BI8" s="21" t="n">
        <v>234.226</v>
      </c>
      <c r="BJ8" s="21" t="n">
        <v>211.014</v>
      </c>
      <c r="BK8" s="21" t="n">
        <v>147.497</v>
      </c>
      <c r="BL8" s="21" t="n">
        <v>287.816</v>
      </c>
      <c r="BM8" s="21" t="n">
        <v>327.298</v>
      </c>
      <c r="BN8" s="21" t="n">
        <v>340.642</v>
      </c>
      <c r="BO8" s="21" t="n">
        <v>338.823</v>
      </c>
      <c r="BP8" s="21" t="n">
        <v>199.332</v>
      </c>
      <c r="BQ8" s="21" t="n">
        <v>245.604</v>
      </c>
      <c r="BR8" s="21" t="n">
        <v>513.075</v>
      </c>
      <c r="BS8" s="21" t="n">
        <v>104.413</v>
      </c>
      <c r="BT8" s="21" t="n">
        <v>312.082</v>
      </c>
      <c r="BU8" s="21" t="n">
        <v>338.801</v>
      </c>
      <c r="BV8" s="21" t="n">
        <v>292.679</v>
      </c>
      <c r="BW8" s="21" t="n">
        <v>312.797</v>
      </c>
      <c r="BX8" s="21" t="n">
        <v>313.248</v>
      </c>
      <c r="BY8" s="21" t="n">
        <v>160.731</v>
      </c>
      <c r="BZ8" s="21" t="n">
        <v>165.84</v>
      </c>
      <c r="CA8" s="21" t="n">
        <v>159.711</v>
      </c>
      <c r="CB8" s="21" t="n">
        <v>174.595</v>
      </c>
      <c r="CC8" s="21" t="n">
        <v>149.047</v>
      </c>
      <c r="CD8" s="21" t="n">
        <v>204.859</v>
      </c>
      <c r="CE8" s="21" t="n">
        <v>164.997</v>
      </c>
      <c r="CF8" s="21" t="n">
        <v>206.853</v>
      </c>
      <c r="CG8" s="21" t="n">
        <v>167.421</v>
      </c>
      <c r="CH8" s="21" t="n">
        <v>127.734</v>
      </c>
      <c r="CI8" s="21" t="n">
        <v>159.686</v>
      </c>
      <c r="CJ8" s="21" t="n">
        <v>176.618</v>
      </c>
      <c r="CK8" s="21" t="n">
        <v>116.656</v>
      </c>
      <c r="CL8" s="21" t="n">
        <v>121.01</v>
      </c>
      <c r="CM8" s="21" t="n">
        <v>207.826</v>
      </c>
      <c r="CN8" s="21" t="n">
        <v>216.506</v>
      </c>
      <c r="CO8" s="21" t="n">
        <v>205.312</v>
      </c>
      <c r="CP8" s="21" t="n">
        <v>127.377</v>
      </c>
      <c r="CQ8" s="21" t="n">
        <v>210.251</v>
      </c>
      <c r="CR8" s="21" t="n">
        <v>216.926</v>
      </c>
      <c r="CS8" s="21" t="n">
        <v>193.287</v>
      </c>
      <c r="CT8" s="21" t="n">
        <v>145.299</v>
      </c>
      <c r="CU8" s="21" t="n">
        <v>154.148</v>
      </c>
      <c r="CV8" s="21" t="n">
        <v>225.298</v>
      </c>
      <c r="CW8" s="21" t="n">
        <v>195.864</v>
      </c>
      <c r="CX8" s="21" t="n">
        <v>228.53</v>
      </c>
      <c r="CY8" s="21" t="n">
        <v>287.745</v>
      </c>
      <c r="CZ8" s="21" t="n">
        <v>129.417</v>
      </c>
      <c r="DA8" s="21" t="n">
        <v>159.439</v>
      </c>
      <c r="DB8" s="21" t="n">
        <v>157.888</v>
      </c>
      <c r="DC8" s="21" t="n">
        <v>224.925</v>
      </c>
      <c r="DD8" s="21" t="n">
        <v>249.829</v>
      </c>
      <c r="DE8" s="21" t="n">
        <v>172.366</v>
      </c>
      <c r="DF8" s="21" t="n">
        <v>250.915</v>
      </c>
      <c r="DG8" s="21" t="n">
        <v>237.084</v>
      </c>
      <c r="DH8" s="21" t="n">
        <v>147.304</v>
      </c>
      <c r="DI8" s="21" t="n">
        <v>137.946</v>
      </c>
      <c r="DJ8" s="21" t="n">
        <v>137.398</v>
      </c>
      <c r="DK8" s="21" t="n">
        <v>274.13</v>
      </c>
      <c r="DL8" s="21" t="n">
        <v>153.342</v>
      </c>
      <c r="DM8" s="21" t="n">
        <v>132.069</v>
      </c>
      <c r="DN8" s="21" t="n">
        <v>121.366</v>
      </c>
      <c r="DO8" s="21" t="n">
        <v>255.905</v>
      </c>
      <c r="DP8" s="21" t="n">
        <v>159.713</v>
      </c>
      <c r="DQ8" s="21" t="n">
        <v>163.251</v>
      </c>
      <c r="DR8" s="21" t="n">
        <v>152.871</v>
      </c>
      <c r="DS8" s="21" t="n"/>
      <c r="DT8" s="21" t="n">
        <v>146.326</v>
      </c>
      <c r="DU8" s="21" t="n">
        <v>181.165</v>
      </c>
      <c r="DV8" s="21" t="n">
        <v>239.092</v>
      </c>
      <c r="DW8" s="21" t="n">
        <v>196.542</v>
      </c>
      <c r="DX8" s="21" t="n">
        <v>214.085</v>
      </c>
      <c r="DY8" s="21" t="n">
        <v>192.043</v>
      </c>
      <c r="DZ8" s="21" t="n">
        <v>206.503</v>
      </c>
      <c r="EA8" s="21" t="n">
        <v>185.392</v>
      </c>
      <c r="EB8" s="21" t="n">
        <v>167.91</v>
      </c>
      <c r="EC8" s="21" t="n">
        <v>330.812</v>
      </c>
      <c r="ED8" s="21" t="n">
        <v>163.477</v>
      </c>
      <c r="EE8" s="21" t="n">
        <v>178.642</v>
      </c>
      <c r="EF8" s="21" t="n">
        <v>177.732</v>
      </c>
      <c r="EG8" s="21" t="n">
        <v>239.085</v>
      </c>
      <c r="EH8" s="21" t="n">
        <v>279.559</v>
      </c>
      <c r="EI8" s="21" t="n">
        <v>286.09</v>
      </c>
      <c r="EJ8" s="21" t="n">
        <v>163.525</v>
      </c>
      <c r="EK8" s="21" t="n">
        <v>505.965</v>
      </c>
      <c r="EL8" s="21" t="n">
        <v>344.673</v>
      </c>
      <c r="EM8" s="21" t="n">
        <v>286.22</v>
      </c>
      <c r="EN8" s="21" t="n">
        <v>286.183</v>
      </c>
      <c r="EO8" s="21" t="n">
        <v>146.348</v>
      </c>
      <c r="EP8" s="21" t="n">
        <v>234.137</v>
      </c>
      <c r="EQ8" s="21" t="n">
        <v>199.142</v>
      </c>
      <c r="ER8" s="21" t="n">
        <v>252.454</v>
      </c>
      <c r="ES8" s="21" t="n">
        <v>258.62</v>
      </c>
      <c r="ET8" s="21" t="n">
        <v>288.462</v>
      </c>
      <c r="EU8" s="21" t="n">
        <v>203.674</v>
      </c>
      <c r="EV8" s="21" t="n">
        <v>216.406</v>
      </c>
      <c r="EW8" s="21" t="n">
        <v>162.733</v>
      </c>
      <c r="EX8" s="21" t="n">
        <v>213.873</v>
      </c>
      <c r="EY8" s="21" t="n">
        <v>492.931</v>
      </c>
      <c r="EZ8" s="21" t="n">
        <v>431.229</v>
      </c>
      <c r="FA8" s="21" t="n">
        <v>122.67</v>
      </c>
      <c r="FB8" s="21" t="n">
        <v>61.135</v>
      </c>
      <c r="FC8" s="21" t="n">
        <v>109.267</v>
      </c>
      <c r="FD8" s="21" t="n">
        <v>67.645</v>
      </c>
      <c r="FE8" s="21" t="n">
        <v>48.581</v>
      </c>
      <c r="FF8" s="21" t="n">
        <v>114.991</v>
      </c>
      <c r="FG8" s="21" t="n">
        <v>130.356</v>
      </c>
      <c r="FH8" s="21" t="n">
        <v>87.57899999999999</v>
      </c>
      <c r="FI8" s="21" t="n">
        <v>74.789</v>
      </c>
      <c r="FJ8" s="21" t="n"/>
      <c r="FK8" s="21" t="n">
        <v>79.015</v>
      </c>
      <c r="FL8" s="21" t="n">
        <v>86.812</v>
      </c>
      <c r="FM8" s="21" t="n">
        <v>97.919</v>
      </c>
      <c r="FN8" s="21" t="n">
        <v>68.28</v>
      </c>
      <c r="FO8" s="21" t="n">
        <v>58.89</v>
      </c>
      <c r="FP8" s="21" t="n">
        <v>47.232</v>
      </c>
      <c r="FQ8" s="21" t="n">
        <v>126.298</v>
      </c>
      <c r="FR8" s="21" t="n">
        <v>55.147</v>
      </c>
      <c r="FS8" s="21" t="n">
        <v>90.952</v>
      </c>
      <c r="FT8" s="21" t="n">
        <v>90.968</v>
      </c>
      <c r="FU8" s="21" t="n">
        <v>99.843</v>
      </c>
      <c r="FV8" s="21" t="n">
        <v>86.738</v>
      </c>
      <c r="FW8" s="21" t="n">
        <v>186.704</v>
      </c>
      <c r="FX8" s="21" t="n">
        <v>119.029</v>
      </c>
      <c r="FY8" s="21" t="n">
        <v>169.049</v>
      </c>
      <c r="FZ8" s="21" t="n">
        <v>118.859</v>
      </c>
      <c r="GA8" s="21" t="n">
        <v>167.543</v>
      </c>
      <c r="GB8" s="21" t="n">
        <v>155.613</v>
      </c>
      <c r="GC8" s="21" t="n">
        <v>172.388</v>
      </c>
      <c r="GD8" s="21" t="n">
        <v>143.082</v>
      </c>
      <c r="GE8" s="21" t="n">
        <v>220.147</v>
      </c>
      <c r="GF8" s="21" t="n">
        <v>122.607</v>
      </c>
      <c r="GG8" s="21" t="n">
        <v>116.979</v>
      </c>
      <c r="GH8" s="21" t="n">
        <v>121.666</v>
      </c>
      <c r="GI8" s="21" t="n">
        <v>111.91</v>
      </c>
      <c r="GJ8" s="21" t="n">
        <v>153.078</v>
      </c>
      <c r="GK8" s="21" t="n">
        <v>74.479</v>
      </c>
      <c r="GL8" s="21" t="n">
        <v>125.317</v>
      </c>
      <c r="GM8" s="21" t="n">
        <v>99.395</v>
      </c>
      <c r="GN8" s="21" t="n">
        <v>106.128</v>
      </c>
      <c r="GO8" s="21" t="n">
        <v>109.325</v>
      </c>
      <c r="GP8" s="21" t="n">
        <v>97.182</v>
      </c>
      <c r="GQ8" s="21" t="n">
        <v>111.151</v>
      </c>
      <c r="GR8" s="21" t="n">
        <v>77.95</v>
      </c>
      <c r="GS8" s="21" t="n">
        <v>105.102</v>
      </c>
      <c r="GT8" s="21" t="n">
        <v>90.979</v>
      </c>
      <c r="GU8" s="21" t="n">
        <v>135.68</v>
      </c>
      <c r="GV8" s="21" t="n">
        <v>138.09</v>
      </c>
      <c r="GW8" s="21" t="n">
        <v>149.745</v>
      </c>
      <c r="GX8" s="21" t="n">
        <v>126.867</v>
      </c>
      <c r="GY8" s="21" t="n">
        <v>117.415</v>
      </c>
      <c r="GZ8" s="21" t="n">
        <v>163.867</v>
      </c>
      <c r="HA8" s="21" t="n">
        <v>124.15</v>
      </c>
      <c r="HB8" s="21" t="n">
        <v>170.266</v>
      </c>
      <c r="HC8" s="21" t="n">
        <v>207.218</v>
      </c>
      <c r="HD8" s="21" t="n">
        <v>202.049</v>
      </c>
      <c r="HE8" s="21" t="n">
        <v>101.611</v>
      </c>
      <c r="HF8" s="21" t="n">
        <v>147.154</v>
      </c>
      <c r="HG8" s="21" t="n">
        <v>102.036</v>
      </c>
      <c r="HH8" s="21" t="n">
        <v>144.375</v>
      </c>
      <c r="HI8" s="21" t="n">
        <v>155.581</v>
      </c>
      <c r="HJ8" s="21" t="n"/>
      <c r="HK8" s="21" t="n">
        <v>151.119</v>
      </c>
      <c r="HL8" s="21" t="n">
        <v>83.306</v>
      </c>
      <c r="HM8" s="21" t="n">
        <v>140.509</v>
      </c>
      <c r="HN8" s="21" t="n">
        <v>244.584</v>
      </c>
      <c r="HO8" s="21" t="n">
        <v>243.736</v>
      </c>
      <c r="HP8" s="21" t="n">
        <v>240.718</v>
      </c>
      <c r="HQ8" s="21" t="n">
        <v>256.36</v>
      </c>
      <c r="HR8" s="21" t="n">
        <v>248.282</v>
      </c>
      <c r="HS8" s="21" t="n">
        <v>206.063</v>
      </c>
      <c r="HT8" s="21" t="n">
        <v>143.823</v>
      </c>
      <c r="HU8" s="21" t="n">
        <v>126.205</v>
      </c>
      <c r="HV8" s="21" t="n">
        <v>165.511</v>
      </c>
      <c r="HW8" s="21" t="n">
        <v>156.8</v>
      </c>
      <c r="HX8" s="21" t="n">
        <v>367.29</v>
      </c>
      <c r="HY8" s="21" t="n">
        <v>271.175</v>
      </c>
      <c r="HZ8" s="21" t="n">
        <v>281.041</v>
      </c>
      <c r="IA8" s="21" t="n">
        <v>243.3</v>
      </c>
      <c r="IB8" s="21" t="n">
        <v>168.673</v>
      </c>
      <c r="IC8" s="21" t="n">
        <v>460.041</v>
      </c>
      <c r="ID8" s="21" t="n">
        <v>180.033</v>
      </c>
      <c r="IE8" s="21" t="n">
        <v>171.42</v>
      </c>
      <c r="IF8" s="21" t="n">
        <v>194.384</v>
      </c>
      <c r="IG8" s="21" t="n">
        <v>216.095</v>
      </c>
      <c r="IH8" s="21" t="n">
        <v>125.949</v>
      </c>
      <c r="II8" s="21" t="n">
        <v>272.505</v>
      </c>
      <c r="IJ8" s="21" t="n">
        <v>297.324</v>
      </c>
      <c r="IK8" s="21" t="n">
        <v>155.911</v>
      </c>
      <c r="IL8" s="21" t="n"/>
      <c r="IM8" s="21" t="n">
        <v>116.564</v>
      </c>
      <c r="IN8" s="21" t="n">
        <v>61.814</v>
      </c>
      <c r="IO8" s="21" t="n">
        <v>304.343</v>
      </c>
      <c r="IP8" s="21" t="n">
        <v>120.495</v>
      </c>
      <c r="IQ8" s="21" t="n">
        <v>446.773</v>
      </c>
      <c r="IR8" s="21" t="n">
        <v>355.235</v>
      </c>
      <c r="IS8" s="21" t="n">
        <v>116.055</v>
      </c>
      <c r="IT8" s="21" t="n">
        <v>480.21</v>
      </c>
      <c r="IU8" s="21" t="n">
        <v>97.908</v>
      </c>
      <c r="IV8" s="21" t="n">
        <v>99.79900000000001</v>
      </c>
      <c r="IW8" s="21" t="n">
        <v>475.956</v>
      </c>
      <c r="IX8" s="21" t="n">
        <v>362.504</v>
      </c>
      <c r="IY8" s="21" t="n">
        <v>367.45</v>
      </c>
      <c r="IZ8" s="21" t="n">
        <v>453.605</v>
      </c>
      <c r="JA8" s="21" t="n">
        <v>183.776</v>
      </c>
      <c r="JB8" s="21" t="n">
        <v>228.296</v>
      </c>
      <c r="JC8" s="21" t="n">
        <v>69.00700000000001</v>
      </c>
      <c r="JD8" s="21" t="n">
        <v>288.895</v>
      </c>
      <c r="JE8" s="21" t="n">
        <v>283.499</v>
      </c>
      <c r="JF8" s="21" t="n">
        <v>650.704</v>
      </c>
      <c r="JG8" s="21" t="n">
        <v>206.556</v>
      </c>
      <c r="JH8" s="21" t="n">
        <v>117.974</v>
      </c>
      <c r="JI8" s="21" t="n">
        <v>123.041</v>
      </c>
      <c r="JJ8" s="21" t="n">
        <v>116.355</v>
      </c>
      <c r="JK8" s="21" t="n">
        <v>99.705</v>
      </c>
      <c r="JL8" s="21" t="n">
        <v>327.025</v>
      </c>
      <c r="JM8" s="21" t="n">
        <v>423.764</v>
      </c>
      <c r="JN8" s="21" t="n">
        <v>132.716</v>
      </c>
      <c r="JO8" s="21" t="n">
        <v>72.075</v>
      </c>
      <c r="JP8" s="21" t="n">
        <v>40.071</v>
      </c>
      <c r="JQ8" s="21" t="n">
        <v>121.454</v>
      </c>
      <c r="JR8" s="21" t="n">
        <v>35.808</v>
      </c>
      <c r="JS8" s="21" t="n">
        <v>87.40000000000001</v>
      </c>
      <c r="JT8" s="21" t="n">
        <v>166.978</v>
      </c>
      <c r="JU8" s="21" t="n">
        <v>197.183</v>
      </c>
      <c r="JV8" s="21" t="n">
        <v>150.514</v>
      </c>
      <c r="JW8" s="21" t="n">
        <v>113.649</v>
      </c>
      <c r="JX8" s="21" t="n">
        <v>226.565</v>
      </c>
      <c r="JY8" s="21" t="n">
        <v>181.266</v>
      </c>
      <c r="JZ8" s="21" t="n">
        <v>236.944</v>
      </c>
      <c r="KA8" s="21" t="n">
        <v>115.146</v>
      </c>
      <c r="KB8" s="21" t="n">
        <v>151.523</v>
      </c>
      <c r="KC8" s="21" t="n">
        <v>84.682</v>
      </c>
      <c r="KD8" s="21" t="n">
        <v>75.336</v>
      </c>
      <c r="KE8" s="21" t="n">
        <v>55.457</v>
      </c>
      <c r="KF8" s="21" t="n">
        <v>126.142</v>
      </c>
      <c r="KG8" s="21" t="n">
        <v>22.855</v>
      </c>
      <c r="KH8" s="21" t="n">
        <v>122.048</v>
      </c>
      <c r="KI8" s="21" t="n">
        <v>127.432</v>
      </c>
      <c r="KJ8" s="21" t="n">
        <v>120.723</v>
      </c>
      <c r="KK8" s="21" t="n">
        <v>47.162</v>
      </c>
      <c r="KL8" s="21" t="n">
        <v>44.777</v>
      </c>
      <c r="KM8" s="21" t="n">
        <v>53.266</v>
      </c>
      <c r="KN8" s="21" t="n"/>
      <c r="KO8" s="21" t="n">
        <v>97.624</v>
      </c>
      <c r="KP8" s="21" t="n">
        <v>100.601</v>
      </c>
      <c r="KQ8" s="21" t="n">
        <v>157.72</v>
      </c>
      <c r="KR8" s="21" t="n">
        <v>132.608</v>
      </c>
      <c r="KS8" s="21" t="n">
        <v>355.686</v>
      </c>
      <c r="KT8" s="21" t="n">
        <v>168.777</v>
      </c>
      <c r="KU8" s="21" t="n">
        <v>207.389</v>
      </c>
      <c r="KV8" s="21" t="n">
        <v>287.116</v>
      </c>
      <c r="KW8" s="21" t="n">
        <v>240.964</v>
      </c>
      <c r="KX8" s="21" t="n">
        <v>165.37</v>
      </c>
      <c r="KY8" s="21" t="n">
        <v>99.905</v>
      </c>
      <c r="KZ8" s="21" t="n">
        <v>137.6</v>
      </c>
      <c r="LA8" s="21" t="n">
        <v>239.68</v>
      </c>
      <c r="LB8" s="21" t="n">
        <v>641.636</v>
      </c>
      <c r="LC8" s="21" t="n">
        <v>219.329</v>
      </c>
      <c r="LD8" s="21" t="n">
        <v>686.658</v>
      </c>
      <c r="LE8" s="21" t="n">
        <v>781.7140000000001</v>
      </c>
      <c r="LF8" s="21" t="n">
        <v>71.30800000000001</v>
      </c>
      <c r="LG8" s="21" t="n">
        <v>275.829</v>
      </c>
      <c r="LH8" s="21" t="n">
        <v>234.129</v>
      </c>
      <c r="LI8" s="21" t="n">
        <v>79.79300000000001</v>
      </c>
      <c r="LJ8" s="21" t="n">
        <v>174.723</v>
      </c>
      <c r="LK8" s="21" t="n">
        <v>274.517</v>
      </c>
      <c r="LL8" s="21" t="n">
        <v>285.092</v>
      </c>
      <c r="LM8" s="21" t="n">
        <v>75.959</v>
      </c>
      <c r="LN8" s="21" t="n">
        <v>98.78100000000001</v>
      </c>
      <c r="LO8" s="21" t="n">
        <v>54.711</v>
      </c>
      <c r="LP8" s="21" t="n">
        <v>113.632</v>
      </c>
      <c r="LQ8" s="21" t="n"/>
      <c r="LR8" s="21" t="n"/>
      <c r="LS8" s="21" t="n">
        <v>119.147</v>
      </c>
      <c r="LT8" s="21" t="n">
        <v>47.892</v>
      </c>
      <c r="LU8" s="21" t="n">
        <v>36.382</v>
      </c>
      <c r="LV8" s="21" t="n">
        <v>76.92700000000001</v>
      </c>
      <c r="LW8" s="21" t="n">
        <v>315.97</v>
      </c>
      <c r="LX8" s="21" t="n"/>
      <c r="LY8" s="21" t="n">
        <v>415.359</v>
      </c>
      <c r="LZ8" s="21" t="n">
        <v>59.015</v>
      </c>
      <c r="MA8" s="21" t="n">
        <v>382.222</v>
      </c>
      <c r="MB8" s="21" t="n">
        <v>244.413</v>
      </c>
      <c r="MC8" s="21" t="n">
        <v>220.808</v>
      </c>
      <c r="MD8" s="21" t="n">
        <v>162.404</v>
      </c>
      <c r="ME8" s="21" t="n">
        <v>103.475</v>
      </c>
      <c r="MF8" s="21" t="n">
        <v>186.557</v>
      </c>
      <c r="MG8" s="21" t="n">
        <v>248.908</v>
      </c>
      <c r="MH8" s="21" t="n">
        <v>151.874</v>
      </c>
      <c r="MI8" s="21" t="n">
        <v>399.476</v>
      </c>
      <c r="MJ8" s="21" t="n">
        <v>323.086</v>
      </c>
      <c r="MK8" s="21" t="n">
        <v>313.132</v>
      </c>
      <c r="ML8" s="21" t="n">
        <v>155.944</v>
      </c>
      <c r="MM8" s="21" t="n">
        <v>180.702</v>
      </c>
      <c r="MN8" s="21" t="n">
        <v>318.886</v>
      </c>
      <c r="MO8" s="21" t="n">
        <v>150.61</v>
      </c>
      <c r="MP8" s="21" t="n">
        <v>217.155</v>
      </c>
      <c r="MQ8" s="21" t="n">
        <v>81.27500000000001</v>
      </c>
      <c r="MR8" s="21" t="n">
        <v>149.366</v>
      </c>
      <c r="MS8" s="21" t="n">
        <v>83.069</v>
      </c>
      <c r="MT8" s="21" t="n">
        <v>228.607</v>
      </c>
      <c r="MU8" s="21" t="n">
        <v>242.439</v>
      </c>
      <c r="MV8" s="21" t="n">
        <v>237.365</v>
      </c>
      <c r="MW8" s="21" t="n">
        <v>242.436</v>
      </c>
      <c r="MX8" s="21" t="n">
        <v>225.318</v>
      </c>
      <c r="MY8" s="21" t="n">
        <v>219.631</v>
      </c>
      <c r="MZ8" s="21" t="n">
        <v>221.866</v>
      </c>
      <c r="NA8" s="21" t="n">
        <v>226.125</v>
      </c>
      <c r="NB8" s="21" t="n">
        <v>115.112</v>
      </c>
      <c r="NC8" s="21" t="n">
        <v>184.071</v>
      </c>
      <c r="ND8" s="21" t="n">
        <v>155.496</v>
      </c>
      <c r="NE8" s="21" t="n">
        <v>152.524</v>
      </c>
      <c r="NF8" s="21" t="n">
        <v>145.722</v>
      </c>
      <c r="NG8" s="21" t="n">
        <v>145.92</v>
      </c>
      <c r="NH8" s="21" t="n">
        <v>250.868</v>
      </c>
      <c r="NI8" s="21" t="n">
        <v>109.652</v>
      </c>
      <c r="NJ8" s="21" t="n">
        <v>83.009</v>
      </c>
      <c r="NK8" s="21" t="n">
        <v>109.302</v>
      </c>
      <c r="NL8" s="21" t="n">
        <v>219.852</v>
      </c>
      <c r="NM8" s="21" t="n">
        <v>246.977</v>
      </c>
      <c r="NN8" s="21" t="n">
        <v>93.325</v>
      </c>
      <c r="NO8" s="21" t="n">
        <v>64.771</v>
      </c>
      <c r="NP8" s="21" t="n">
        <v>221.01</v>
      </c>
      <c r="NQ8" s="21" t="n">
        <v>198.474</v>
      </c>
      <c r="NR8" s="21" t="n">
        <v>244.225</v>
      </c>
      <c r="NS8" s="21" t="n">
        <v>195.923</v>
      </c>
      <c r="NT8" s="21" t="n">
        <v>246.052</v>
      </c>
      <c r="NU8" s="21" t="n">
        <v>107.666</v>
      </c>
      <c r="NV8" s="21" t="n">
        <v>112.456</v>
      </c>
      <c r="NW8" s="21" t="n">
        <v>339.325</v>
      </c>
      <c r="NX8" s="21" t="n">
        <v>88.628</v>
      </c>
      <c r="NY8" s="21" t="n">
        <v>112.424</v>
      </c>
      <c r="NZ8" s="21" t="n">
        <v>291.182</v>
      </c>
      <c r="OA8" s="21" t="n">
        <v>292.628</v>
      </c>
      <c r="OB8" s="21" t="n">
        <v>301.665</v>
      </c>
      <c r="OC8" s="21" t="n">
        <v>278.663</v>
      </c>
      <c r="OD8" s="21" t="n">
        <v>316.982</v>
      </c>
      <c r="OE8" s="21" t="n">
        <v>107.268</v>
      </c>
      <c r="OF8" s="21" t="n">
        <v>292.119</v>
      </c>
      <c r="OG8" s="21" t="n">
        <v>216.951</v>
      </c>
      <c r="OH8" s="21" t="n">
        <v>61.045</v>
      </c>
      <c r="OI8" s="21" t="n">
        <v>113.518</v>
      </c>
      <c r="OJ8" s="21" t="n">
        <v>41.9</v>
      </c>
      <c r="OK8" s="21" t="n">
        <v>14</v>
      </c>
    </row>
    <row r="9">
      <c r="A9" s="22" t="n">
        <v>42217</v>
      </c>
      <c r="B9" s="21" t="n">
        <v>238.316</v>
      </c>
      <c r="C9" s="21" t="n">
        <v>713.89</v>
      </c>
      <c r="D9" s="21" t="n">
        <v>247.196</v>
      </c>
      <c r="E9" s="21" t="n">
        <v>247.671</v>
      </c>
      <c r="F9" s="21" t="n">
        <v>242.746</v>
      </c>
      <c r="G9" s="21" t="n">
        <v>274.968</v>
      </c>
      <c r="H9" s="21" t="n">
        <v>234.975</v>
      </c>
      <c r="I9" s="21" t="n">
        <v>246.918</v>
      </c>
      <c r="J9" s="21" t="n">
        <v>230.311</v>
      </c>
      <c r="K9" s="21" t="n">
        <v>243.125</v>
      </c>
      <c r="L9" s="21" t="n">
        <v>166.188</v>
      </c>
      <c r="M9" s="21" t="n">
        <v>297.521</v>
      </c>
      <c r="N9" s="21" t="n">
        <v>178.101</v>
      </c>
      <c r="O9" s="21" t="n">
        <v>321.254</v>
      </c>
      <c r="P9" s="21" t="n">
        <v>345.153</v>
      </c>
      <c r="Q9" s="21" t="n">
        <v>175.85</v>
      </c>
      <c r="R9" s="21" t="n">
        <v>280.122</v>
      </c>
      <c r="S9" s="21" t="n">
        <v>293.605</v>
      </c>
      <c r="T9" s="21" t="n">
        <v>269.976</v>
      </c>
      <c r="U9" s="21" t="n">
        <v>269.075</v>
      </c>
      <c r="V9" s="21" t="n">
        <v>296.939</v>
      </c>
      <c r="W9" s="21" t="n">
        <v>312.894</v>
      </c>
      <c r="X9" s="21" t="n">
        <v>270.909</v>
      </c>
      <c r="Y9" s="21" t="n">
        <v>263.601</v>
      </c>
      <c r="Z9" s="21" t="n">
        <v>259.207</v>
      </c>
      <c r="AA9" s="21" t="n">
        <v>265.154</v>
      </c>
      <c r="AB9" s="21" t="n">
        <v>325.303</v>
      </c>
      <c r="AC9" s="21" t="n">
        <v>294.072</v>
      </c>
      <c r="AD9" s="21" t="n">
        <v>241.524</v>
      </c>
      <c r="AE9" s="21" t="n">
        <v>219.301</v>
      </c>
      <c r="AF9" s="21" t="n">
        <v>239.171</v>
      </c>
      <c r="AG9" s="21" t="n">
        <v>219.06</v>
      </c>
      <c r="AH9" s="21" t="n">
        <v>156.5</v>
      </c>
      <c r="AI9" s="21" t="n">
        <v>280.298</v>
      </c>
      <c r="AJ9" s="21" t="n">
        <v>148.618</v>
      </c>
      <c r="AK9" s="21" t="n">
        <v>215.852</v>
      </c>
      <c r="AL9" s="21" t="n">
        <v>241.962</v>
      </c>
      <c r="AM9" s="21" t="n">
        <v>195.467</v>
      </c>
      <c r="AN9" s="21" t="n">
        <v>139.45</v>
      </c>
      <c r="AO9" s="21" t="n">
        <v>226.832</v>
      </c>
      <c r="AP9" s="21" t="n">
        <v>223.577</v>
      </c>
      <c r="AQ9" s="21" t="n">
        <v>147.285</v>
      </c>
      <c r="AR9" s="21" t="n">
        <v>335.187</v>
      </c>
      <c r="AS9" s="21" t="n">
        <v>180.661</v>
      </c>
      <c r="AT9" s="21" t="n">
        <v>236.987</v>
      </c>
      <c r="AU9" s="21" t="n">
        <v>151.6</v>
      </c>
      <c r="AV9" s="21" t="n">
        <v>253.129</v>
      </c>
      <c r="AW9" s="21" t="n">
        <v>223.913</v>
      </c>
      <c r="AX9" s="21" t="n">
        <v>158.416</v>
      </c>
      <c r="AY9" s="21" t="n">
        <v>287.811</v>
      </c>
      <c r="AZ9" s="21" t="n">
        <v>174.261</v>
      </c>
      <c r="BA9" s="21" t="n">
        <v>147.987</v>
      </c>
      <c r="BB9" s="21" t="n">
        <v>202.323</v>
      </c>
      <c r="BC9" s="21" t="n">
        <v>318.309</v>
      </c>
      <c r="BD9" s="21" t="n">
        <v>325.985</v>
      </c>
      <c r="BE9" s="21" t="n">
        <v>220.716</v>
      </c>
      <c r="BF9" s="21" t="n">
        <v>145.845</v>
      </c>
      <c r="BG9" s="21" t="n">
        <v>209.408</v>
      </c>
      <c r="BH9" s="21" t="n">
        <v>150.207</v>
      </c>
      <c r="BI9" s="21" t="n">
        <v>231.901</v>
      </c>
      <c r="BJ9" s="21" t="n">
        <v>214.786</v>
      </c>
      <c r="BK9" s="21" t="n">
        <v>147.931</v>
      </c>
      <c r="BL9" s="21" t="n">
        <v>291.344</v>
      </c>
      <c r="BM9" s="21" t="n">
        <v>332.715</v>
      </c>
      <c r="BN9" s="21" t="n">
        <v>348.723</v>
      </c>
      <c r="BO9" s="21" t="n">
        <v>338.884</v>
      </c>
      <c r="BP9" s="21" t="n">
        <v>201.747</v>
      </c>
      <c r="BQ9" s="21" t="n">
        <v>253.622</v>
      </c>
      <c r="BR9" s="21" t="n">
        <v>539.7430000000001</v>
      </c>
      <c r="BS9" s="21" t="n">
        <v>107.703</v>
      </c>
      <c r="BT9" s="21" t="n">
        <v>314.657</v>
      </c>
      <c r="BU9" s="21" t="n">
        <v>340.077</v>
      </c>
      <c r="BV9" s="21" t="n">
        <v>291.645</v>
      </c>
      <c r="BW9" s="21" t="n">
        <v>312.864</v>
      </c>
      <c r="BX9" s="21" t="n">
        <v>318.212</v>
      </c>
      <c r="BY9" s="21" t="n">
        <v>160.451</v>
      </c>
      <c r="BZ9" s="21" t="n">
        <v>165.282</v>
      </c>
      <c r="CA9" s="21" t="n">
        <v>159.487</v>
      </c>
      <c r="CB9" s="21" t="n">
        <v>174.288</v>
      </c>
      <c r="CC9" s="21" t="n">
        <v>149.747</v>
      </c>
      <c r="CD9" s="21" t="n">
        <v>206.441</v>
      </c>
      <c r="CE9" s="21" t="n">
        <v>163.832</v>
      </c>
      <c r="CF9" s="21" t="n">
        <v>207.256</v>
      </c>
      <c r="CG9" s="21" t="n">
        <v>168.017</v>
      </c>
      <c r="CH9" s="21" t="n">
        <v>128.364</v>
      </c>
      <c r="CI9" s="21" t="n">
        <v>160.711</v>
      </c>
      <c r="CJ9" s="21" t="n">
        <v>177.209</v>
      </c>
      <c r="CK9" s="21" t="n">
        <v>117.113</v>
      </c>
      <c r="CL9" s="21" t="n">
        <v>120.993</v>
      </c>
      <c r="CM9" s="21" t="n">
        <v>206.736</v>
      </c>
      <c r="CN9" s="21" t="n">
        <v>216.377</v>
      </c>
      <c r="CO9" s="21" t="n">
        <v>200.693</v>
      </c>
      <c r="CP9" s="21" t="n">
        <v>128.431</v>
      </c>
      <c r="CQ9" s="21" t="n">
        <v>209.892</v>
      </c>
      <c r="CR9" s="21" t="n">
        <v>217.194</v>
      </c>
      <c r="CS9" s="21" t="n">
        <v>193.216</v>
      </c>
      <c r="CT9" s="21" t="n">
        <v>145.817</v>
      </c>
      <c r="CU9" s="21" t="n">
        <v>153.463</v>
      </c>
      <c r="CV9" s="21" t="n">
        <v>227.183</v>
      </c>
      <c r="CW9" s="21" t="n">
        <v>199.912</v>
      </c>
      <c r="CX9" s="21" t="n">
        <v>232.911</v>
      </c>
      <c r="CY9" s="21" t="n">
        <v>291.796</v>
      </c>
      <c r="CZ9" s="21" t="n">
        <v>129.778</v>
      </c>
      <c r="DA9" s="21" t="n">
        <v>159.92</v>
      </c>
      <c r="DB9" s="21" t="n">
        <v>158.198</v>
      </c>
      <c r="DC9" s="21" t="n">
        <v>224.046</v>
      </c>
      <c r="DD9" s="21" t="n">
        <v>245.4</v>
      </c>
      <c r="DE9" s="21" t="n">
        <v>170.877</v>
      </c>
      <c r="DF9" s="21" t="n">
        <v>251.765</v>
      </c>
      <c r="DG9" s="21" t="n">
        <v>237.894</v>
      </c>
      <c r="DH9" s="21" t="n">
        <v>149.092</v>
      </c>
      <c r="DI9" s="21" t="n">
        <v>136.109</v>
      </c>
      <c r="DJ9" s="21" t="n">
        <v>136.431</v>
      </c>
      <c r="DK9" s="21" t="n">
        <v>279.323</v>
      </c>
      <c r="DL9" s="21" t="n">
        <v>153.202</v>
      </c>
      <c r="DM9" s="21" t="n">
        <v>130.94</v>
      </c>
      <c r="DN9" s="21" t="n">
        <v>121.255</v>
      </c>
      <c r="DO9" s="21" t="n">
        <v>256.449</v>
      </c>
      <c r="DP9" s="21" t="n">
        <v>159.97</v>
      </c>
      <c r="DQ9" s="21" t="n">
        <v>163.67</v>
      </c>
      <c r="DR9" s="21" t="n">
        <v>154.454</v>
      </c>
      <c r="DS9" s="21" t="n">
        <v>127.475</v>
      </c>
      <c r="DT9" s="21" t="n">
        <v>146.448</v>
      </c>
      <c r="DU9" s="21" t="n">
        <v>180.918</v>
      </c>
      <c r="DV9" s="21" t="n">
        <v>239.313</v>
      </c>
      <c r="DW9" s="21" t="n">
        <v>196.797</v>
      </c>
      <c r="DX9" s="21" t="n">
        <v>214.025</v>
      </c>
      <c r="DY9" s="21" t="n">
        <v>192.663</v>
      </c>
      <c r="DZ9" s="21" t="n">
        <v>207.004</v>
      </c>
      <c r="EA9" s="21" t="n">
        <v>186.143</v>
      </c>
      <c r="EB9" s="21" t="n">
        <v>168.322</v>
      </c>
      <c r="EC9" s="21" t="n">
        <v>330.945</v>
      </c>
      <c r="ED9" s="21" t="n">
        <v>163.484</v>
      </c>
      <c r="EE9" s="21" t="n">
        <v>178.649</v>
      </c>
      <c r="EF9" s="21" t="n">
        <v>177.83</v>
      </c>
      <c r="EG9" s="21" t="n">
        <v>239.298</v>
      </c>
      <c r="EH9" s="21" t="n">
        <v>280.093</v>
      </c>
      <c r="EI9" s="21" t="n">
        <v>287.068</v>
      </c>
      <c r="EJ9" s="21" t="n">
        <v>158.443</v>
      </c>
      <c r="EK9" s="21" t="n">
        <v>509.979</v>
      </c>
      <c r="EL9" s="21" t="n">
        <v>331.093</v>
      </c>
      <c r="EM9" s="21" t="n">
        <v>287.026</v>
      </c>
      <c r="EN9" s="21" t="n">
        <v>286.988</v>
      </c>
      <c r="EO9" s="21" t="n">
        <v>146.333</v>
      </c>
      <c r="EP9" s="21" t="n">
        <v>233.847</v>
      </c>
      <c r="EQ9" s="21" t="n">
        <v>198.26</v>
      </c>
      <c r="ER9" s="21" t="n">
        <v>239.905</v>
      </c>
      <c r="ES9" s="21" t="n">
        <v>237.58</v>
      </c>
      <c r="ET9" s="21" t="n">
        <v>287.395</v>
      </c>
      <c r="EU9" s="21" t="n">
        <v>203.246</v>
      </c>
      <c r="EV9" s="21" t="n">
        <v>215.786</v>
      </c>
      <c r="EW9" s="21" t="n">
        <v>162.885</v>
      </c>
      <c r="EX9" s="21" t="n">
        <v>215.844</v>
      </c>
      <c r="EY9" s="21" t="n">
        <v>498.209</v>
      </c>
      <c r="EZ9" s="21" t="n">
        <v>432.967</v>
      </c>
      <c r="FA9" s="21" t="n">
        <v>122.12</v>
      </c>
      <c r="FB9" s="21" t="n">
        <v>60.385</v>
      </c>
      <c r="FC9" s="21" t="n">
        <v>108.264</v>
      </c>
      <c r="FD9" s="21" t="n">
        <v>66.72</v>
      </c>
      <c r="FE9" s="21" t="n">
        <v>47.964</v>
      </c>
      <c r="FF9" s="21" t="n">
        <v>113.508</v>
      </c>
      <c r="FG9" s="21" t="n">
        <v>129.764</v>
      </c>
      <c r="FH9" s="21" t="n">
        <v>85.681</v>
      </c>
      <c r="FI9" s="21" t="n">
        <v>74.376</v>
      </c>
      <c r="FJ9" s="21" t="n"/>
      <c r="FK9" s="21" t="n">
        <v>78.577</v>
      </c>
      <c r="FL9" s="21" t="n">
        <v>86.755</v>
      </c>
      <c r="FM9" s="21" t="n">
        <v>97.928</v>
      </c>
      <c r="FN9" s="21" t="n">
        <v>67.506</v>
      </c>
      <c r="FO9" s="21" t="n">
        <v>58.613</v>
      </c>
      <c r="FP9" s="21" t="n">
        <v>46.675</v>
      </c>
      <c r="FQ9" s="21" t="n">
        <v>125.848</v>
      </c>
      <c r="FR9" s="21" t="n">
        <v>56.576</v>
      </c>
      <c r="FS9" s="21" t="n">
        <v>90.965</v>
      </c>
      <c r="FT9" s="21" t="n">
        <v>90.508</v>
      </c>
      <c r="FU9" s="21" t="n">
        <v>99.672</v>
      </c>
      <c r="FV9" s="21" t="n">
        <v>86.17100000000001</v>
      </c>
      <c r="FW9" s="21" t="n">
        <v>186.305</v>
      </c>
      <c r="FX9" s="21" t="n">
        <v>118.479</v>
      </c>
      <c r="FY9" s="21" t="n">
        <v>168.656</v>
      </c>
      <c r="FZ9" s="21" t="n">
        <v>119.004</v>
      </c>
      <c r="GA9" s="21" t="n">
        <v>168.204</v>
      </c>
      <c r="GB9" s="21" t="n">
        <v>155.778</v>
      </c>
      <c r="GC9" s="21" t="n">
        <v>172.856</v>
      </c>
      <c r="GD9" s="21" t="n">
        <v>145.169</v>
      </c>
      <c r="GE9" s="21" t="n">
        <v>220.115</v>
      </c>
      <c r="GF9" s="21" t="n">
        <v>124.547</v>
      </c>
      <c r="GG9" s="21" t="n">
        <v>116.892</v>
      </c>
      <c r="GH9" s="21" t="n">
        <v>122.087</v>
      </c>
      <c r="GI9" s="21" t="n">
        <v>115.744</v>
      </c>
      <c r="GJ9" s="21" t="n">
        <v>153.551</v>
      </c>
      <c r="GK9" s="21" t="n">
        <v>75.369</v>
      </c>
      <c r="GL9" s="21" t="n">
        <v>122.31</v>
      </c>
      <c r="GM9" s="21" t="n">
        <v>97.744</v>
      </c>
      <c r="GN9" s="21" t="n">
        <v>109.103</v>
      </c>
      <c r="GO9" s="21" t="n">
        <v>112.248</v>
      </c>
      <c r="GP9" s="21" t="n">
        <v>106.686</v>
      </c>
      <c r="GQ9" s="21" t="n">
        <v>120.897</v>
      </c>
      <c r="GR9" s="21" t="n">
        <v>79.589</v>
      </c>
      <c r="GS9" s="21" t="n">
        <v>104.547</v>
      </c>
      <c r="GT9" s="21" t="n">
        <v>94.17100000000001</v>
      </c>
      <c r="GU9" s="21" t="n">
        <v>137.405</v>
      </c>
      <c r="GV9" s="21" t="n">
        <v>139.035</v>
      </c>
      <c r="GW9" s="21" t="n">
        <v>151.198</v>
      </c>
      <c r="GX9" s="21" t="n">
        <v>129.184</v>
      </c>
      <c r="GY9" s="21" t="n">
        <v>122.875</v>
      </c>
      <c r="GZ9" s="21" t="n">
        <v>162.797</v>
      </c>
      <c r="HA9" s="21" t="n">
        <v>124.52</v>
      </c>
      <c r="HB9" s="21" t="n">
        <v>168.707</v>
      </c>
      <c r="HC9" s="21" t="n">
        <v>203.377</v>
      </c>
      <c r="HD9" s="21" t="n">
        <v>198.657</v>
      </c>
      <c r="HE9" s="21" t="n">
        <v>101.318</v>
      </c>
      <c r="HF9" s="21" t="n">
        <v>146.704</v>
      </c>
      <c r="HG9" s="21" t="n">
        <v>101.713</v>
      </c>
      <c r="HH9" s="21" t="n">
        <v>143.905</v>
      </c>
      <c r="HI9" s="21" t="n">
        <v>155.086</v>
      </c>
      <c r="HJ9" s="21" t="n"/>
      <c r="HK9" s="21" t="n">
        <v>150.908</v>
      </c>
      <c r="HL9" s="21" t="n">
        <v>82.614</v>
      </c>
      <c r="HM9" s="21" t="n">
        <v>140.447</v>
      </c>
      <c r="HN9" s="21" t="n">
        <v>231.305</v>
      </c>
      <c r="HO9" s="21" t="n">
        <v>230.513</v>
      </c>
      <c r="HP9" s="21" t="n">
        <v>227.099</v>
      </c>
      <c r="HQ9" s="21" t="n">
        <v>245.418</v>
      </c>
      <c r="HR9" s="21" t="n">
        <v>237.367</v>
      </c>
      <c r="HS9" s="21" t="n">
        <v>194.327</v>
      </c>
      <c r="HT9" s="21" t="n">
        <v>143.793</v>
      </c>
      <c r="HU9" s="21" t="n">
        <v>126.009</v>
      </c>
      <c r="HV9" s="21" t="n">
        <v>165.896</v>
      </c>
      <c r="HW9" s="21" t="n">
        <v>156.476</v>
      </c>
      <c r="HX9" s="21" t="n">
        <v>368.982</v>
      </c>
      <c r="HY9" s="21" t="n">
        <v>270.838</v>
      </c>
      <c r="HZ9" s="21" t="n">
        <v>280.315</v>
      </c>
      <c r="IA9" s="21" t="n">
        <v>243.371</v>
      </c>
      <c r="IB9" s="21" t="n">
        <v>168.271</v>
      </c>
      <c r="IC9" s="21" t="n">
        <v>461.046</v>
      </c>
      <c r="ID9" s="21" t="n">
        <v>180.349</v>
      </c>
      <c r="IE9" s="21" t="n">
        <v>171.635</v>
      </c>
      <c r="IF9" s="21" t="n">
        <v>194.855</v>
      </c>
      <c r="IG9" s="21" t="n">
        <v>216.639</v>
      </c>
      <c r="IH9" s="21" t="n">
        <v>126.098</v>
      </c>
      <c r="II9" s="21" t="n">
        <v>261.386</v>
      </c>
      <c r="IJ9" s="21" t="n">
        <v>277.768</v>
      </c>
      <c r="IK9" s="21" t="n">
        <v>156.598</v>
      </c>
      <c r="IL9" s="21" t="n"/>
      <c r="IM9" s="21" t="n">
        <v>111.379</v>
      </c>
      <c r="IN9" s="21" t="n">
        <v>62.617</v>
      </c>
      <c r="IO9" s="21" t="n">
        <v>304.589</v>
      </c>
      <c r="IP9" s="21" t="n">
        <v>120.608</v>
      </c>
      <c r="IQ9" s="21" t="n">
        <v>446.536</v>
      </c>
      <c r="IR9" s="21" t="n">
        <v>356.334</v>
      </c>
      <c r="IS9" s="21" t="n">
        <v>116.435</v>
      </c>
      <c r="IT9" s="21" t="n">
        <v>482.392</v>
      </c>
      <c r="IU9" s="21" t="n">
        <v>97.738</v>
      </c>
      <c r="IV9" s="21" t="n">
        <v>99.708</v>
      </c>
      <c r="IW9" s="21" t="n">
        <v>475.189</v>
      </c>
      <c r="IX9" s="21" t="n">
        <v>361.987</v>
      </c>
      <c r="IY9" s="21" t="n">
        <v>366.365</v>
      </c>
      <c r="IZ9" s="21" t="n">
        <v>453.786</v>
      </c>
      <c r="JA9" s="21" t="n">
        <v>183.27</v>
      </c>
      <c r="JB9" s="21" t="n">
        <v>228.836</v>
      </c>
      <c r="JC9" s="21" t="n">
        <v>68.884</v>
      </c>
      <c r="JD9" s="21" t="n">
        <v>288.181</v>
      </c>
      <c r="JE9" s="21" t="n">
        <v>283.344</v>
      </c>
      <c r="JF9" s="21" t="n">
        <v>647.88</v>
      </c>
      <c r="JG9" s="21" t="n">
        <v>207.298</v>
      </c>
      <c r="JH9" s="21" t="n">
        <v>118.091</v>
      </c>
      <c r="JI9" s="21" t="n">
        <v>122.809</v>
      </c>
      <c r="JJ9" s="21" t="n">
        <v>116.084</v>
      </c>
      <c r="JK9" s="21" t="n">
        <v>99.254</v>
      </c>
      <c r="JL9" s="21" t="n">
        <v>322.77</v>
      </c>
      <c r="JM9" s="21" t="n">
        <v>421.594</v>
      </c>
      <c r="JN9" s="21" t="n">
        <v>132.226</v>
      </c>
      <c r="JO9" s="21" t="n">
        <v>73.42700000000001</v>
      </c>
      <c r="JP9" s="21" t="n">
        <v>41.584</v>
      </c>
      <c r="JQ9" s="21" t="n">
        <v>120.539</v>
      </c>
      <c r="JR9" s="21" t="n">
        <v>35.749</v>
      </c>
      <c r="JS9" s="21" t="n">
        <v>86.255</v>
      </c>
      <c r="JT9" s="21" t="n">
        <v>167.187</v>
      </c>
      <c r="JU9" s="21" t="n">
        <v>197.083</v>
      </c>
      <c r="JV9" s="21" t="n">
        <v>149.901</v>
      </c>
      <c r="JW9" s="21" t="n">
        <v>114.032</v>
      </c>
      <c r="JX9" s="21" t="n">
        <v>227.477</v>
      </c>
      <c r="JY9" s="21" t="n">
        <v>182.549</v>
      </c>
      <c r="JZ9" s="21" t="n">
        <v>238.041</v>
      </c>
      <c r="KA9" s="21" t="n">
        <v>114.893</v>
      </c>
      <c r="KB9" s="21" t="n">
        <v>151.529</v>
      </c>
      <c r="KC9" s="21" t="n">
        <v>84.328</v>
      </c>
      <c r="KD9" s="21" t="n">
        <v>75.20399999999999</v>
      </c>
      <c r="KE9" s="21" t="n">
        <v>55.56</v>
      </c>
      <c r="KF9" s="21" t="n">
        <v>126.107</v>
      </c>
      <c r="KG9" s="21" t="n">
        <v>22.969</v>
      </c>
      <c r="KH9" s="21" t="n">
        <v>121.42</v>
      </c>
      <c r="KI9" s="21" t="n">
        <v>126.727</v>
      </c>
      <c r="KJ9" s="21" t="n">
        <v>120.465</v>
      </c>
      <c r="KK9" s="21" t="n">
        <v>46.541</v>
      </c>
      <c r="KL9" s="21" t="n">
        <v>44.15</v>
      </c>
      <c r="KM9" s="21" t="n">
        <v>52.557</v>
      </c>
      <c r="KN9" s="21" t="n"/>
      <c r="KO9" s="21" t="n">
        <v>96.16500000000001</v>
      </c>
      <c r="KP9" s="21" t="n">
        <v>99.999</v>
      </c>
      <c r="KQ9" s="21" t="n">
        <v>157.681</v>
      </c>
      <c r="KR9" s="21" t="n">
        <v>131.751</v>
      </c>
      <c r="KS9" s="21" t="n">
        <v>357.28</v>
      </c>
      <c r="KT9" s="21" t="n">
        <v>168.727</v>
      </c>
      <c r="KU9" s="21" t="n">
        <v>210.365</v>
      </c>
      <c r="KV9" s="21" t="n">
        <v>288.024</v>
      </c>
      <c r="KW9" s="21" t="n">
        <v>241.03</v>
      </c>
      <c r="KX9" s="21" t="n">
        <v>165.25</v>
      </c>
      <c r="KY9" s="21" t="n">
        <v>100.056</v>
      </c>
      <c r="KZ9" s="21" t="n">
        <v>138.291</v>
      </c>
      <c r="LA9" s="21" t="n">
        <v>242.076</v>
      </c>
      <c r="LB9" s="21" t="n">
        <v>651.553</v>
      </c>
      <c r="LC9" s="21" t="n">
        <v>223.486</v>
      </c>
      <c r="LD9" s="21" t="n">
        <v>693.278</v>
      </c>
      <c r="LE9" s="21" t="n">
        <v>791.039</v>
      </c>
      <c r="LF9" s="21" t="n">
        <v>72.047</v>
      </c>
      <c r="LG9" s="21" t="n">
        <v>276.893</v>
      </c>
      <c r="LH9" s="21" t="n">
        <v>234.63</v>
      </c>
      <c r="LI9" s="21" t="n">
        <v>79.83199999999999</v>
      </c>
      <c r="LJ9" s="21" t="n">
        <v>174.661</v>
      </c>
      <c r="LK9" s="21" t="n">
        <v>274.517</v>
      </c>
      <c r="LL9" s="21" t="n">
        <v>284.061</v>
      </c>
      <c r="LM9" s="21" t="n">
        <v>75.999</v>
      </c>
      <c r="LN9" s="21" t="n">
        <v>99.40900000000001</v>
      </c>
      <c r="LO9" s="21" t="n">
        <v>55.194</v>
      </c>
      <c r="LP9" s="21" t="n">
        <v>113.83</v>
      </c>
      <c r="LQ9" s="21" t="n"/>
      <c r="LR9" s="21" t="n"/>
      <c r="LS9" s="21" t="n">
        <v>117.676</v>
      </c>
      <c r="LT9" s="21" t="n">
        <v>47.132</v>
      </c>
      <c r="LU9" s="21" t="n">
        <v>36.776</v>
      </c>
      <c r="LV9" s="21" t="n">
        <v>75.962</v>
      </c>
      <c r="LW9" s="21" t="n">
        <v>309.661</v>
      </c>
      <c r="LX9" s="21" t="n"/>
      <c r="LY9" s="21" t="n">
        <v>415.576</v>
      </c>
      <c r="LZ9" s="21" t="n">
        <v>59.214</v>
      </c>
      <c r="MA9" s="21" t="n">
        <v>383.352</v>
      </c>
      <c r="MB9" s="21" t="n">
        <v>246.64</v>
      </c>
      <c r="MC9" s="21" t="n">
        <v>220.752</v>
      </c>
      <c r="MD9" s="21" t="n">
        <v>161.877</v>
      </c>
      <c r="ME9" s="21" t="n">
        <v>102.793</v>
      </c>
      <c r="MF9" s="21" t="n">
        <v>186.629</v>
      </c>
      <c r="MG9" s="21" t="n">
        <v>248.794</v>
      </c>
      <c r="MH9" s="21" t="n">
        <v>151.805</v>
      </c>
      <c r="MI9" s="21" t="n">
        <v>400.657</v>
      </c>
      <c r="MJ9" s="21" t="n">
        <v>324.413</v>
      </c>
      <c r="MK9" s="21" t="n">
        <v>315.528</v>
      </c>
      <c r="ML9" s="21" t="n">
        <v>156.161</v>
      </c>
      <c r="MM9" s="21" t="n">
        <v>181.125</v>
      </c>
      <c r="MN9" s="21" t="n">
        <v>318.797</v>
      </c>
      <c r="MO9" s="21" t="n">
        <v>150.472</v>
      </c>
      <c r="MP9" s="21" t="n">
        <v>217.215</v>
      </c>
      <c r="MQ9" s="21" t="n">
        <v>80.652</v>
      </c>
      <c r="MR9" s="21" t="n">
        <v>148.139</v>
      </c>
      <c r="MS9" s="21" t="n">
        <v>85.56100000000001</v>
      </c>
      <c r="MT9" s="21" t="n">
        <v>228.267</v>
      </c>
      <c r="MU9" s="21" t="n">
        <v>242.722</v>
      </c>
      <c r="MV9" s="21" t="n">
        <v>236.868</v>
      </c>
      <c r="MW9" s="21" t="n">
        <v>242.651</v>
      </c>
      <c r="MX9" s="21" t="n">
        <v>224.632</v>
      </c>
      <c r="MY9" s="21" t="n">
        <v>218.626</v>
      </c>
      <c r="MZ9" s="21" t="n">
        <v>221.897</v>
      </c>
      <c r="NA9" s="21" t="n">
        <v>226.169</v>
      </c>
      <c r="NB9" s="21" t="n">
        <v>117.033</v>
      </c>
      <c r="NC9" s="21" t="n">
        <v>183.137</v>
      </c>
      <c r="ND9" s="21" t="n">
        <v>153.986</v>
      </c>
      <c r="NE9" s="21" t="n">
        <v>150.972</v>
      </c>
      <c r="NF9" s="21" t="n">
        <v>145.808</v>
      </c>
      <c r="NG9" s="21" t="n">
        <v>146.033</v>
      </c>
      <c r="NH9" s="21" t="n">
        <v>251.558</v>
      </c>
      <c r="NI9" s="21" t="n">
        <v>109.187</v>
      </c>
      <c r="NJ9" s="21" t="n">
        <v>82.79000000000001</v>
      </c>
      <c r="NK9" s="21" t="n">
        <v>109.929</v>
      </c>
      <c r="NL9" s="21" t="n">
        <v>213.248</v>
      </c>
      <c r="NM9" s="21" t="n">
        <v>233.619</v>
      </c>
      <c r="NN9" s="21" t="n">
        <v>92.70099999999999</v>
      </c>
      <c r="NO9" s="21" t="n">
        <v>63.994</v>
      </c>
      <c r="NP9" s="21" t="n">
        <v>219.833</v>
      </c>
      <c r="NQ9" s="21" t="n">
        <v>195.892</v>
      </c>
      <c r="NR9" s="21" t="n">
        <v>239.049</v>
      </c>
      <c r="NS9" s="21" t="n">
        <v>193.175</v>
      </c>
      <c r="NT9" s="21" t="n">
        <v>240.318</v>
      </c>
      <c r="NU9" s="21" t="n">
        <v>107.582</v>
      </c>
      <c r="NV9" s="21" t="n">
        <v>112.649</v>
      </c>
      <c r="NW9" s="21" t="n">
        <v>340.31</v>
      </c>
      <c r="NX9" s="21" t="n">
        <v>88.248</v>
      </c>
      <c r="NY9" s="21" t="n">
        <v>112.276</v>
      </c>
      <c r="NZ9" s="21" t="n">
        <v>291.745</v>
      </c>
      <c r="OA9" s="21" t="n">
        <v>292.861</v>
      </c>
      <c r="OB9" s="21" t="n">
        <v>301.963</v>
      </c>
      <c r="OC9" s="21" t="n">
        <v>278.956</v>
      </c>
      <c r="OD9" s="21" t="n">
        <v>316.841</v>
      </c>
      <c r="OE9" s="21" t="n">
        <v>107.015</v>
      </c>
      <c r="OF9" s="21" t="n">
        <v>289.798</v>
      </c>
      <c r="OG9" s="21" t="n">
        <v>216.192</v>
      </c>
      <c r="OH9" s="21" t="n">
        <v>60.499</v>
      </c>
      <c r="OI9" s="21" t="n">
        <v>113.092</v>
      </c>
      <c r="OJ9" s="21" t="n">
        <v>42</v>
      </c>
      <c r="OK9" s="21" t="n">
        <v>14</v>
      </c>
    </row>
    <row r="10">
      <c r="A10" s="22" t="n">
        <v>42248</v>
      </c>
      <c r="B10" s="21" t="n">
        <v>237.945</v>
      </c>
      <c r="C10" s="21" t="n">
        <v>712.777</v>
      </c>
      <c r="D10" s="21" t="n">
        <v>248.09</v>
      </c>
      <c r="E10" s="21" t="n">
        <v>248.632</v>
      </c>
      <c r="F10" s="21" t="n">
        <v>243.432</v>
      </c>
      <c r="G10" s="21" t="n">
        <v>273.53</v>
      </c>
      <c r="H10" s="21" t="n">
        <v>231.297</v>
      </c>
      <c r="I10" s="21" t="n">
        <v>246.34</v>
      </c>
      <c r="J10" s="21" t="n">
        <v>226.458</v>
      </c>
      <c r="K10" s="21" t="n">
        <v>238.495</v>
      </c>
      <c r="L10" s="21" t="n">
        <v>163.139</v>
      </c>
      <c r="M10" s="21" t="n">
        <v>297.471</v>
      </c>
      <c r="N10" s="21" t="n">
        <v>179.553</v>
      </c>
      <c r="O10" s="21" t="n">
        <v>325.682</v>
      </c>
      <c r="P10" s="21" t="n">
        <v>345.74</v>
      </c>
      <c r="Q10" s="21" t="n">
        <v>176.226</v>
      </c>
      <c r="R10" s="21" t="n">
        <v>279.419</v>
      </c>
      <c r="S10" s="21" t="n">
        <v>294.36</v>
      </c>
      <c r="T10" s="21" t="n">
        <v>268.768</v>
      </c>
      <c r="U10" s="21" t="n">
        <v>267.095</v>
      </c>
      <c r="V10" s="21" t="n">
        <v>295.622</v>
      </c>
      <c r="W10" s="21" t="n">
        <v>308.153</v>
      </c>
      <c r="X10" s="21" t="n">
        <v>268.067</v>
      </c>
      <c r="Y10" s="21" t="n">
        <v>263.227</v>
      </c>
      <c r="Z10" s="21" t="n">
        <v>258.629</v>
      </c>
      <c r="AA10" s="21" t="n">
        <v>265.345</v>
      </c>
      <c r="AB10" s="21" t="n">
        <v>323.227</v>
      </c>
      <c r="AC10" s="21" t="n">
        <v>292.647</v>
      </c>
      <c r="AD10" s="21" t="n">
        <v>238.344</v>
      </c>
      <c r="AE10" s="21" t="n">
        <v>217.951</v>
      </c>
      <c r="AF10" s="21" t="n">
        <v>238.384</v>
      </c>
      <c r="AG10" s="21" t="n">
        <v>220.416</v>
      </c>
      <c r="AH10" s="21" t="n">
        <v>158.888</v>
      </c>
      <c r="AI10" s="21" t="n">
        <v>291.302</v>
      </c>
      <c r="AJ10" s="21" t="n">
        <v>146.503</v>
      </c>
      <c r="AK10" s="21" t="n">
        <v>217.486</v>
      </c>
      <c r="AL10" s="21" t="n">
        <v>243.72</v>
      </c>
      <c r="AM10" s="21" t="n">
        <v>196.688</v>
      </c>
      <c r="AN10" s="21" t="n">
        <v>138.148</v>
      </c>
      <c r="AO10" s="21" t="n">
        <v>228.834</v>
      </c>
      <c r="AP10" s="21" t="n">
        <v>234.505</v>
      </c>
      <c r="AQ10" s="21" t="n">
        <v>147.621</v>
      </c>
      <c r="AR10" s="21" t="n">
        <v>330.318</v>
      </c>
      <c r="AS10" s="21" t="n">
        <v>179.801</v>
      </c>
      <c r="AT10" s="21" t="n">
        <v>234.865</v>
      </c>
      <c r="AU10" s="21" t="n">
        <v>150.239</v>
      </c>
      <c r="AV10" s="21" t="n">
        <v>245.638</v>
      </c>
      <c r="AW10" s="21" t="n">
        <v>223.857</v>
      </c>
      <c r="AX10" s="21" t="n">
        <v>157.014</v>
      </c>
      <c r="AY10" s="21" t="n">
        <v>285.988</v>
      </c>
      <c r="AZ10" s="21" t="n">
        <v>174.06</v>
      </c>
      <c r="BA10" s="21" t="n">
        <v>146.247</v>
      </c>
      <c r="BB10" s="21" t="n">
        <v>202.307</v>
      </c>
      <c r="BC10" s="21" t="n">
        <v>311.752</v>
      </c>
      <c r="BD10" s="21" t="n">
        <v>328.54</v>
      </c>
      <c r="BE10" s="21" t="n">
        <v>222.31</v>
      </c>
      <c r="BF10" s="21" t="n">
        <v>146.675</v>
      </c>
      <c r="BG10" s="21" t="n">
        <v>210.564</v>
      </c>
      <c r="BH10" s="21" t="n">
        <v>150.514</v>
      </c>
      <c r="BI10" s="21" t="n">
        <v>233.184</v>
      </c>
      <c r="BJ10" s="21" t="n">
        <v>219.771</v>
      </c>
      <c r="BK10" s="21" t="n">
        <v>148.235</v>
      </c>
      <c r="BL10" s="21" t="n">
        <v>295.394</v>
      </c>
      <c r="BM10" s="21" t="n">
        <v>338.989</v>
      </c>
      <c r="BN10" s="21" t="n">
        <v>355.63</v>
      </c>
      <c r="BO10" s="21" t="n">
        <v>336.417</v>
      </c>
      <c r="BP10" s="21" t="n">
        <v>201.189</v>
      </c>
      <c r="BQ10" s="21" t="n">
        <v>253.924</v>
      </c>
      <c r="BR10" s="21" t="n">
        <v>533.73</v>
      </c>
      <c r="BS10" s="21" t="n">
        <v>113.589</v>
      </c>
      <c r="BT10" s="21" t="n">
        <v>320.24</v>
      </c>
      <c r="BU10" s="21" t="n">
        <v>336.421</v>
      </c>
      <c r="BV10" s="21" t="n">
        <v>307.358</v>
      </c>
      <c r="BW10" s="21" t="n">
        <v>320.101</v>
      </c>
      <c r="BX10" s="21" t="n">
        <v>323.218</v>
      </c>
      <c r="BY10" s="21" t="n">
        <v>160.042</v>
      </c>
      <c r="BZ10" s="21" t="n">
        <v>164.571</v>
      </c>
      <c r="CA10" s="21" t="n">
        <v>160.274</v>
      </c>
      <c r="CB10" s="21" t="n">
        <v>172.284</v>
      </c>
      <c r="CC10" s="21" t="n">
        <v>149.752</v>
      </c>
      <c r="CD10" s="21" t="n">
        <v>205.264</v>
      </c>
      <c r="CE10" s="21" t="n">
        <v>163.556</v>
      </c>
      <c r="CF10" s="21" t="n">
        <v>205.265</v>
      </c>
      <c r="CG10" s="21" t="n">
        <v>168.054</v>
      </c>
      <c r="CH10" s="21" t="n">
        <v>128.924</v>
      </c>
      <c r="CI10" s="21" t="n">
        <v>160.684</v>
      </c>
      <c r="CJ10" s="21" t="n">
        <v>177.602</v>
      </c>
      <c r="CK10" s="21" t="n">
        <v>118.019</v>
      </c>
      <c r="CL10" s="21" t="n">
        <v>119.664</v>
      </c>
      <c r="CM10" s="21" t="n">
        <v>204.247</v>
      </c>
      <c r="CN10" s="21" t="n">
        <v>214.005</v>
      </c>
      <c r="CO10" s="21" t="n">
        <v>198.976</v>
      </c>
      <c r="CP10" s="21" t="n">
        <v>127.241</v>
      </c>
      <c r="CQ10" s="21" t="n">
        <v>210.659</v>
      </c>
      <c r="CR10" s="21" t="n">
        <v>218.193</v>
      </c>
      <c r="CS10" s="21" t="n">
        <v>192.561</v>
      </c>
      <c r="CT10" s="21" t="n">
        <v>146.961</v>
      </c>
      <c r="CU10" s="21" t="n">
        <v>153.787</v>
      </c>
      <c r="CV10" s="21" t="n">
        <v>228.236</v>
      </c>
      <c r="CW10" s="21" t="n">
        <v>202.846</v>
      </c>
      <c r="CX10" s="21" t="n">
        <v>240.074</v>
      </c>
      <c r="CY10" s="21" t="n">
        <v>289.815</v>
      </c>
      <c r="CZ10" s="21" t="n">
        <v>130.98</v>
      </c>
      <c r="DA10" s="21" t="n">
        <v>159.103</v>
      </c>
      <c r="DB10" s="21" t="n">
        <v>160.157</v>
      </c>
      <c r="DC10" s="21" t="n">
        <v>224.787</v>
      </c>
      <c r="DD10" s="21" t="n">
        <v>238.916</v>
      </c>
      <c r="DE10" s="21" t="n">
        <v>172.624</v>
      </c>
      <c r="DF10" s="21" t="n">
        <v>252.446</v>
      </c>
      <c r="DG10" s="21" t="n">
        <v>239.402</v>
      </c>
      <c r="DH10" s="21" t="n">
        <v>148.355</v>
      </c>
      <c r="DI10" s="21" t="n">
        <v>139.516</v>
      </c>
      <c r="DJ10" s="21" t="n">
        <v>138.728</v>
      </c>
      <c r="DK10" s="21" t="n">
        <v>277.854</v>
      </c>
      <c r="DL10" s="21" t="n">
        <v>154.744</v>
      </c>
      <c r="DM10" s="21" t="n">
        <v>131.355</v>
      </c>
      <c r="DN10" s="21" t="n">
        <v>123.814</v>
      </c>
      <c r="DO10" s="21" t="n">
        <v>257.83</v>
      </c>
      <c r="DP10" s="21" t="n">
        <v>160.355</v>
      </c>
      <c r="DQ10" s="21" t="n">
        <v>164.286</v>
      </c>
      <c r="DR10" s="21" t="n">
        <v>166.374</v>
      </c>
      <c r="DS10" s="21" t="n">
        <v>138.561</v>
      </c>
      <c r="DT10" s="21" t="n">
        <v>146.708</v>
      </c>
      <c r="DU10" s="21" t="n">
        <v>180.822</v>
      </c>
      <c r="DV10" s="21" t="n">
        <v>239.287</v>
      </c>
      <c r="DW10" s="21" t="n">
        <v>196.6</v>
      </c>
      <c r="DX10" s="21" t="n">
        <v>214.468</v>
      </c>
      <c r="DY10" s="21" t="n">
        <v>191.843</v>
      </c>
      <c r="DZ10" s="21" t="n">
        <v>204.921</v>
      </c>
      <c r="EA10" s="21" t="n">
        <v>186.616</v>
      </c>
      <c r="EB10" s="21" t="n">
        <v>167.752</v>
      </c>
      <c r="EC10" s="21" t="n">
        <v>331.323</v>
      </c>
      <c r="ED10" s="21" t="n">
        <v>163.778</v>
      </c>
      <c r="EE10" s="21" t="n">
        <v>178.435</v>
      </c>
      <c r="EF10" s="21" t="n">
        <v>178.766</v>
      </c>
      <c r="EG10" s="21" t="n">
        <v>239.651</v>
      </c>
      <c r="EH10" s="21" t="n">
        <v>280.814</v>
      </c>
      <c r="EI10" s="21" t="n">
        <v>288.306</v>
      </c>
      <c r="EJ10" s="21" t="n">
        <v>154.657</v>
      </c>
      <c r="EK10" s="21" t="n">
        <v>515.057</v>
      </c>
      <c r="EL10" s="21" t="n">
        <v>320.675</v>
      </c>
      <c r="EM10" s="21" t="n">
        <v>287.916</v>
      </c>
      <c r="EN10" s="21" t="n">
        <v>287.871</v>
      </c>
      <c r="EO10" s="21" t="n">
        <v>146.523</v>
      </c>
      <c r="EP10" s="21" t="n">
        <v>232.417</v>
      </c>
      <c r="EQ10" s="21" t="n">
        <v>196.58</v>
      </c>
      <c r="ER10" s="21" t="n">
        <v>236.603</v>
      </c>
      <c r="ES10" s="21" t="n">
        <v>231.835</v>
      </c>
      <c r="ET10" s="21" t="n">
        <v>287.452</v>
      </c>
      <c r="EU10" s="21" t="n">
        <v>201.575</v>
      </c>
      <c r="EV10" s="21" t="n">
        <v>214.132</v>
      </c>
      <c r="EW10" s="21" t="n">
        <v>161.189</v>
      </c>
      <c r="EX10" s="21" t="n">
        <v>216.173</v>
      </c>
      <c r="EY10" s="21" t="n">
        <v>498.898</v>
      </c>
      <c r="EZ10" s="21" t="n">
        <v>433.843</v>
      </c>
      <c r="FA10" s="21" t="n">
        <v>122.406</v>
      </c>
      <c r="FB10" s="21" t="n">
        <v>60.57</v>
      </c>
      <c r="FC10" s="21" t="n">
        <v>107.553</v>
      </c>
      <c r="FD10" s="21" t="n">
        <v>66.867</v>
      </c>
      <c r="FE10" s="21" t="n">
        <v>48.254</v>
      </c>
      <c r="FF10" s="21" t="n">
        <v>114.085</v>
      </c>
      <c r="FG10" s="21" t="n">
        <v>130.413</v>
      </c>
      <c r="FH10" s="21" t="n">
        <v>86.02200000000001</v>
      </c>
      <c r="FI10" s="21" t="n">
        <v>75.01000000000001</v>
      </c>
      <c r="FJ10" s="21" t="n"/>
      <c r="FK10" s="21" t="n">
        <v>78.941</v>
      </c>
      <c r="FL10" s="21" t="n">
        <v>88.11</v>
      </c>
      <c r="FM10" s="21" t="n">
        <v>100.02</v>
      </c>
      <c r="FN10" s="21" t="n">
        <v>66.92400000000001</v>
      </c>
      <c r="FO10" s="21" t="n">
        <v>59.068</v>
      </c>
      <c r="FP10" s="21" t="n">
        <v>46.867</v>
      </c>
      <c r="FQ10" s="21" t="n">
        <v>128.801</v>
      </c>
      <c r="FR10" s="21" t="n">
        <v>57.15</v>
      </c>
      <c r="FS10" s="21" t="n">
        <v>90.614</v>
      </c>
      <c r="FT10" s="21" t="n">
        <v>90.624</v>
      </c>
      <c r="FU10" s="21" t="n">
        <v>99.541</v>
      </c>
      <c r="FV10" s="21" t="n">
        <v>86.381</v>
      </c>
      <c r="FW10" s="21" t="n">
        <v>186.285</v>
      </c>
      <c r="FX10" s="21" t="n">
        <v>118.776</v>
      </c>
      <c r="FY10" s="21" t="n">
        <v>169.183</v>
      </c>
      <c r="FZ10" s="21" t="n">
        <v>118.236</v>
      </c>
      <c r="GA10" s="21" t="n">
        <v>168.092</v>
      </c>
      <c r="GB10" s="21" t="n"/>
      <c r="GC10" s="21" t="n">
        <v>172.856</v>
      </c>
      <c r="GD10" s="21" t="n">
        <v>144.477</v>
      </c>
      <c r="GE10" s="21" t="n">
        <v>220.457</v>
      </c>
      <c r="GF10" s="21" t="n">
        <v>128.54</v>
      </c>
      <c r="GG10" s="21" t="n">
        <v>120.686</v>
      </c>
      <c r="GH10" s="21" t="n">
        <v>126.053</v>
      </c>
      <c r="GI10" s="21" t="n">
        <v>116.421</v>
      </c>
      <c r="GJ10" s="21" t="n">
        <v>151.329</v>
      </c>
      <c r="GK10" s="21" t="n">
        <v>84.09</v>
      </c>
      <c r="GL10" s="21" t="n">
        <v>123.475</v>
      </c>
      <c r="GM10" s="21" t="n">
        <v>100.905</v>
      </c>
      <c r="GN10" s="21" t="n">
        <v>114.315</v>
      </c>
      <c r="GO10" s="21" t="n">
        <v>117.819</v>
      </c>
      <c r="GP10" s="21" t="n">
        <v>119.399</v>
      </c>
      <c r="GQ10" s="21" t="n">
        <v>132.733</v>
      </c>
      <c r="GR10" s="21" t="n">
        <v>83.68600000000001</v>
      </c>
      <c r="GS10" s="21" t="n">
        <v>105.422</v>
      </c>
      <c r="GT10" s="21" t="n">
        <v>97.72199999999999</v>
      </c>
      <c r="GU10" s="21" t="n">
        <v>139.027</v>
      </c>
      <c r="GV10" s="21" t="n">
        <v>137.96</v>
      </c>
      <c r="GW10" s="21" t="n">
        <v>151.308</v>
      </c>
      <c r="GX10" s="21" t="n">
        <v>133.141</v>
      </c>
      <c r="GY10" s="21" t="n">
        <v>125.132</v>
      </c>
      <c r="GZ10" s="21" t="n">
        <v>163.533</v>
      </c>
      <c r="HA10" s="21" t="n">
        <v>122.521</v>
      </c>
      <c r="HB10" s="21" t="n">
        <v>170.439</v>
      </c>
      <c r="HC10" s="21" t="n">
        <v>197.593</v>
      </c>
      <c r="HD10" s="21" t="n">
        <v>192.689</v>
      </c>
      <c r="HE10" s="21" t="n">
        <v>100.702</v>
      </c>
      <c r="HF10" s="21" t="n">
        <v>146.57</v>
      </c>
      <c r="HG10" s="21" t="n">
        <v>101.617</v>
      </c>
      <c r="HH10" s="21" t="n">
        <v>143.581</v>
      </c>
      <c r="HI10" s="21" t="n">
        <v>155.096</v>
      </c>
      <c r="HJ10" s="21" t="n"/>
      <c r="HK10" s="21" t="n">
        <v>148.52</v>
      </c>
      <c r="HL10" s="21" t="n">
        <v>83.13</v>
      </c>
      <c r="HM10" s="21" t="n">
        <v>128.14</v>
      </c>
      <c r="HN10" s="21" t="n">
        <v>208.121</v>
      </c>
      <c r="HO10" s="21" t="n">
        <v>207.239</v>
      </c>
      <c r="HP10" s="21" t="n">
        <v>203.318</v>
      </c>
      <c r="HQ10" s="21" t="n">
        <v>223.142</v>
      </c>
      <c r="HR10" s="21" t="n">
        <v>217.717</v>
      </c>
      <c r="HS10" s="21" t="n">
        <v>184.485</v>
      </c>
      <c r="HT10" s="21" t="n">
        <v>144.496</v>
      </c>
      <c r="HU10" s="21" t="n">
        <v>126.455</v>
      </c>
      <c r="HV10" s="21" t="n">
        <v>167.127</v>
      </c>
      <c r="HW10" s="21" t="n">
        <v>157.745</v>
      </c>
      <c r="HX10" s="21" t="n">
        <v>371.429</v>
      </c>
      <c r="HY10" s="21" t="n">
        <v>271.119</v>
      </c>
      <c r="HZ10" s="21" t="n">
        <v>280.283</v>
      </c>
      <c r="IA10" s="21" t="n">
        <v>242.909</v>
      </c>
      <c r="IB10" s="21" t="n">
        <v>168.877</v>
      </c>
      <c r="IC10" s="21" t="n">
        <v>462.467</v>
      </c>
      <c r="ID10" s="21" t="n">
        <v>180.373</v>
      </c>
      <c r="IE10" s="21" t="n">
        <v>171.667</v>
      </c>
      <c r="IF10" s="21" t="n">
        <v>194.869</v>
      </c>
      <c r="IG10" s="21" t="n">
        <v>216.716</v>
      </c>
      <c r="IH10" s="21" t="n">
        <v>125.901</v>
      </c>
      <c r="II10" s="21" t="n">
        <v>259.43</v>
      </c>
      <c r="IJ10" s="21" t="n">
        <v>274.897</v>
      </c>
      <c r="IK10" s="21" t="n">
        <v>155.381</v>
      </c>
      <c r="IL10" s="21" t="n"/>
      <c r="IM10" s="21" t="n">
        <v>107.991</v>
      </c>
      <c r="IN10" s="21" t="n">
        <v>62.757</v>
      </c>
      <c r="IO10" s="21" t="n">
        <v>304.596</v>
      </c>
      <c r="IP10" s="21" t="n">
        <v>120.606</v>
      </c>
      <c r="IQ10" s="21" t="n">
        <v>447.289</v>
      </c>
      <c r="IR10" s="21" t="n">
        <v>355.746</v>
      </c>
      <c r="IS10" s="21" t="n">
        <v>116.244</v>
      </c>
      <c r="IT10" s="21" t="n">
        <v>481.26</v>
      </c>
      <c r="IU10" s="21" t="n">
        <v>97.849</v>
      </c>
      <c r="IV10" s="21" t="n">
        <v>99.52200000000001</v>
      </c>
      <c r="IW10" s="21" t="n">
        <v>476.466</v>
      </c>
      <c r="IX10" s="21" t="n">
        <v>362.572</v>
      </c>
      <c r="IY10" s="21" t="n">
        <v>367.176</v>
      </c>
      <c r="IZ10" s="21" t="n">
        <v>453.916</v>
      </c>
      <c r="JA10" s="21" t="n">
        <v>184.061</v>
      </c>
      <c r="JB10" s="21" t="n">
        <v>228.803</v>
      </c>
      <c r="JC10" s="21" t="n">
        <v>69.093</v>
      </c>
      <c r="JD10" s="21" t="n">
        <v>289.134</v>
      </c>
      <c r="JE10" s="21" t="n">
        <v>284.256</v>
      </c>
      <c r="JF10" s="21" t="n">
        <v>650.277</v>
      </c>
      <c r="JG10" s="21" t="n">
        <v>207.528</v>
      </c>
      <c r="JH10" s="21" t="n">
        <v>118.284</v>
      </c>
      <c r="JI10" s="21" t="n">
        <v>123.548</v>
      </c>
      <c r="JJ10" s="21" t="n">
        <v>116.024</v>
      </c>
      <c r="JK10" s="21" t="n">
        <v>99.289</v>
      </c>
      <c r="JL10" s="21" t="n">
        <v>318.635</v>
      </c>
      <c r="JM10" s="21" t="n">
        <v>421.637</v>
      </c>
      <c r="JN10" s="21" t="n">
        <v>134.576</v>
      </c>
      <c r="JO10" s="21" t="n">
        <v>74.18300000000001</v>
      </c>
      <c r="JP10" s="21" t="n">
        <v>42.522</v>
      </c>
      <c r="JQ10" s="21" t="n">
        <v>120.561</v>
      </c>
      <c r="JR10" s="21" t="n">
        <v>35.939</v>
      </c>
      <c r="JS10" s="21" t="n">
        <v>86.79900000000001</v>
      </c>
      <c r="JT10" s="21" t="n">
        <v>167.93</v>
      </c>
      <c r="JU10" s="21" t="n">
        <v>198.242</v>
      </c>
      <c r="JV10" s="21" t="n">
        <v>150.955</v>
      </c>
      <c r="JW10" s="21" t="n">
        <v>114.656</v>
      </c>
      <c r="JX10" s="21" t="n">
        <v>227.977</v>
      </c>
      <c r="JY10" s="21" t="n">
        <v>183.053</v>
      </c>
      <c r="JZ10" s="21" t="n">
        <v>238.395</v>
      </c>
      <c r="KA10" s="21" t="n">
        <v>115.015</v>
      </c>
      <c r="KB10" s="21" t="n">
        <v>150.496</v>
      </c>
      <c r="KC10" s="21" t="n">
        <v>85</v>
      </c>
      <c r="KD10" s="21" t="n">
        <v>75.55</v>
      </c>
      <c r="KE10" s="21" t="n">
        <v>55.362</v>
      </c>
      <c r="KF10" s="21" t="n">
        <v>123.069</v>
      </c>
      <c r="KG10" s="21" t="n">
        <v>22.956</v>
      </c>
      <c r="KH10" s="21" t="n">
        <v>122.926</v>
      </c>
      <c r="KI10" s="21" t="n">
        <v>126.666</v>
      </c>
      <c r="KJ10" s="21" t="n">
        <v>123.452</v>
      </c>
      <c r="KK10" s="21" t="n">
        <v>46.389</v>
      </c>
      <c r="KL10" s="21" t="n">
        <v>43.972</v>
      </c>
      <c r="KM10" s="21" t="n">
        <v>52.394</v>
      </c>
      <c r="KN10" s="21" t="n"/>
      <c r="KO10" s="21" t="n">
        <v>96.378</v>
      </c>
      <c r="KP10" s="21" t="n">
        <v>99.52500000000001</v>
      </c>
      <c r="KQ10" s="21" t="n">
        <v>156.817</v>
      </c>
      <c r="KR10" s="21" t="n">
        <v>131.427</v>
      </c>
      <c r="KS10" s="21" t="n">
        <v>352.96</v>
      </c>
      <c r="KT10" s="21" t="n">
        <v>168.254</v>
      </c>
      <c r="KU10" s="21" t="n">
        <v>206.563</v>
      </c>
      <c r="KV10" s="21" t="n">
        <v>290.819</v>
      </c>
      <c r="KW10" s="21" t="n">
        <v>242.809</v>
      </c>
      <c r="KX10" s="21" t="n">
        <v>165.587</v>
      </c>
      <c r="KY10" s="21" t="n">
        <v>101.49</v>
      </c>
      <c r="KZ10" s="21" t="n">
        <v>139.092</v>
      </c>
      <c r="LA10" s="21" t="n">
        <v>244.351</v>
      </c>
      <c r="LB10" s="21" t="n">
        <v>655.742</v>
      </c>
      <c r="LC10" s="21" t="n">
        <v>225.016</v>
      </c>
      <c r="LD10" s="21" t="n">
        <v>699.928</v>
      </c>
      <c r="LE10" s="21" t="n">
        <v>799.221</v>
      </c>
      <c r="LF10" s="21" t="n">
        <v>72.759</v>
      </c>
      <c r="LG10" s="21" t="n">
        <v>279.145</v>
      </c>
      <c r="LH10" s="21" t="n">
        <v>235.094</v>
      </c>
      <c r="LI10" s="21" t="n">
        <v>80.02800000000001</v>
      </c>
      <c r="LJ10" s="21" t="n">
        <v>174.567</v>
      </c>
      <c r="LK10" s="21" t="n">
        <v>274.517</v>
      </c>
      <c r="LL10" s="21" t="n">
        <v>282.526</v>
      </c>
      <c r="LM10" s="21" t="n">
        <v>76.19499999999999</v>
      </c>
      <c r="LN10" s="21" t="n">
        <v>99.67100000000001</v>
      </c>
      <c r="LO10" s="21" t="n">
        <v>55.388</v>
      </c>
      <c r="LP10" s="21" t="n">
        <v>113.943</v>
      </c>
      <c r="LQ10" s="21" t="n"/>
      <c r="LR10" s="21" t="n"/>
      <c r="LS10" s="21" t="n">
        <v>117.964</v>
      </c>
      <c r="LT10" s="21" t="n">
        <v>47.359</v>
      </c>
      <c r="LU10" s="21" t="n">
        <v>36.917</v>
      </c>
      <c r="LV10" s="21" t="n">
        <v>76.304</v>
      </c>
      <c r="LW10" s="21" t="n">
        <v>299.793</v>
      </c>
      <c r="LX10" s="21" t="n"/>
      <c r="LY10" s="21" t="n">
        <v>416.34</v>
      </c>
      <c r="LZ10" s="21" t="n">
        <v>59.168</v>
      </c>
      <c r="MA10" s="21" t="n">
        <v>383.243</v>
      </c>
      <c r="MB10" s="21" t="n">
        <v>244.81</v>
      </c>
      <c r="MC10" s="21" t="n">
        <v>221.315</v>
      </c>
      <c r="MD10" s="21" t="n">
        <v>162.437</v>
      </c>
      <c r="ME10" s="21" t="n">
        <v>103.06</v>
      </c>
      <c r="MF10" s="21" t="n">
        <v>187.449</v>
      </c>
      <c r="MG10" s="21" t="n">
        <v>249.468</v>
      </c>
      <c r="MH10" s="21" t="n">
        <v>152.216</v>
      </c>
      <c r="MI10" s="21" t="n">
        <v>401.837</v>
      </c>
      <c r="MJ10" s="21" t="n">
        <v>327.485</v>
      </c>
      <c r="MK10" s="21" t="n">
        <v>315.938</v>
      </c>
      <c r="ML10" s="21" t="n">
        <v>156.474</v>
      </c>
      <c r="MM10" s="21" t="n">
        <v>183.269</v>
      </c>
      <c r="MN10" s="21" t="n">
        <v>317.268</v>
      </c>
      <c r="MO10" s="21" t="n">
        <v>149.258</v>
      </c>
      <c r="MP10" s="21" t="n">
        <v>217.215</v>
      </c>
      <c r="MQ10" s="21" t="n">
        <v>80.333</v>
      </c>
      <c r="MR10" s="21" t="n">
        <v>148.184</v>
      </c>
      <c r="MS10" s="21" t="n">
        <v>85.45</v>
      </c>
      <c r="MT10" s="21" t="n">
        <v>227.849</v>
      </c>
      <c r="MU10" s="21" t="n">
        <v>243.466</v>
      </c>
      <c r="MV10" s="21" t="n">
        <v>236.287</v>
      </c>
      <c r="MW10" s="21" t="n">
        <v>243.359</v>
      </c>
      <c r="MX10" s="21" t="n">
        <v>223.824</v>
      </c>
      <c r="MY10" s="21" t="n">
        <v>217.403</v>
      </c>
      <c r="MZ10" s="21" t="n">
        <v>222.6</v>
      </c>
      <c r="NA10" s="21" t="n">
        <v>227.051</v>
      </c>
      <c r="NB10" s="21" t="n">
        <v>121.444</v>
      </c>
      <c r="NC10" s="21" t="n">
        <v>181.868</v>
      </c>
      <c r="ND10" s="21" t="n">
        <v>151.914</v>
      </c>
      <c r="NE10" s="21" t="n">
        <v>148.851</v>
      </c>
      <c r="NF10" s="21" t="n">
        <v>146.5</v>
      </c>
      <c r="NG10" s="21" t="n">
        <v>147.011</v>
      </c>
      <c r="NH10" s="21" t="n">
        <v>252.47</v>
      </c>
      <c r="NI10" s="21" t="n">
        <v>108.948</v>
      </c>
      <c r="NJ10" s="21" t="n">
        <v>82.91200000000001</v>
      </c>
      <c r="NK10" s="21" t="n">
        <v>110.608</v>
      </c>
      <c r="NL10" s="21" t="n">
        <v>201.641</v>
      </c>
      <c r="NM10" s="21" t="n">
        <v>211.099</v>
      </c>
      <c r="NN10" s="21" t="n">
        <v>92.992</v>
      </c>
      <c r="NO10" s="21" t="n">
        <v>63.92</v>
      </c>
      <c r="NP10" s="21" t="n">
        <v>217.988</v>
      </c>
      <c r="NQ10" s="21" t="n">
        <v>191.911</v>
      </c>
      <c r="NR10" s="21" t="n">
        <v>230.504</v>
      </c>
      <c r="NS10" s="21" t="n">
        <v>188.96</v>
      </c>
      <c r="NT10" s="21" t="n">
        <v>230.889</v>
      </c>
      <c r="NU10" s="21" t="n">
        <v>107.659</v>
      </c>
      <c r="NV10" s="21" t="n">
        <v>112.971</v>
      </c>
      <c r="NW10" s="21" t="n">
        <v>341.386</v>
      </c>
      <c r="NX10" s="21" t="n">
        <v>88.42700000000001</v>
      </c>
      <c r="NY10" s="21" t="n">
        <v>112.071</v>
      </c>
      <c r="NZ10" s="21" t="n">
        <v>292.501</v>
      </c>
      <c r="OA10" s="21" t="n">
        <v>293.351</v>
      </c>
      <c r="OB10" s="21" t="n">
        <v>302.663</v>
      </c>
      <c r="OC10" s="21" t="n">
        <v>279.393</v>
      </c>
      <c r="OD10" s="21" t="n">
        <v>317.052</v>
      </c>
      <c r="OE10" s="21" t="n">
        <v>106.486</v>
      </c>
      <c r="OF10" s="21" t="n">
        <v>289.576</v>
      </c>
      <c r="OG10" s="21" t="n">
        <v>215.521</v>
      </c>
      <c r="OH10" s="21" t="n">
        <v>60.403</v>
      </c>
      <c r="OI10" s="21" t="n">
        <v>113.172</v>
      </c>
      <c r="OJ10" s="21" t="n">
        <v>42</v>
      </c>
      <c r="OK10" s="21" t="n">
        <v>14</v>
      </c>
    </row>
    <row r="11">
      <c r="A11" s="22" t="n">
        <v>42278</v>
      </c>
      <c r="B11" s="21" t="n">
        <v>237.838</v>
      </c>
      <c r="C11" s="21" t="n">
        <v>712.458</v>
      </c>
      <c r="D11" s="21" t="n">
        <v>248.575</v>
      </c>
      <c r="E11" s="21" t="n">
        <v>249.052</v>
      </c>
      <c r="F11" s="21" t="n">
        <v>243.779</v>
      </c>
      <c r="G11" s="21" t="n">
        <v>275.753</v>
      </c>
      <c r="H11" s="21" t="n">
        <v>234.718</v>
      </c>
      <c r="I11" s="21" t="n">
        <v>241.338</v>
      </c>
      <c r="J11" s="21" t="n">
        <v>231.909</v>
      </c>
      <c r="K11" s="21" t="n">
        <v>241.909</v>
      </c>
      <c r="L11" s="21" t="n">
        <v>166.795</v>
      </c>
      <c r="M11" s="21" t="n">
        <v>298.941</v>
      </c>
      <c r="N11" s="21" t="n">
        <v>179.212</v>
      </c>
      <c r="O11" s="21" t="n">
        <v>324.115</v>
      </c>
      <c r="P11" s="21" t="n">
        <v>346.852</v>
      </c>
      <c r="Q11" s="21" t="n">
        <v>178.452</v>
      </c>
      <c r="R11" s="21" t="n">
        <v>282.084</v>
      </c>
      <c r="S11" s="21" t="n">
        <v>298.398</v>
      </c>
      <c r="T11" s="21" t="n">
        <v>270.045</v>
      </c>
      <c r="U11" s="21" t="n">
        <v>268.19</v>
      </c>
      <c r="V11" s="21" t="n">
        <v>296.163</v>
      </c>
      <c r="W11" s="21" t="n">
        <v>308.93</v>
      </c>
      <c r="X11" s="21" t="n">
        <v>270.095</v>
      </c>
      <c r="Y11" s="21" t="n">
        <v>261.568</v>
      </c>
      <c r="Z11" s="21" t="n">
        <v>258.032</v>
      </c>
      <c r="AA11" s="21" t="n">
        <v>264.906</v>
      </c>
      <c r="AB11" s="21" t="n">
        <v>319.94</v>
      </c>
      <c r="AC11" s="21" t="n">
        <v>290.435</v>
      </c>
      <c r="AD11" s="21" t="n">
        <v>235.869</v>
      </c>
      <c r="AE11" s="21" t="n">
        <v>215.305</v>
      </c>
      <c r="AF11" s="21" t="n">
        <v>235.187</v>
      </c>
      <c r="AG11" s="21" t="n">
        <v>221.528</v>
      </c>
      <c r="AH11" s="21" t="n">
        <v>160.692</v>
      </c>
      <c r="AI11" s="21" t="n">
        <v>296.871</v>
      </c>
      <c r="AJ11" s="21" t="n">
        <v>146.263</v>
      </c>
      <c r="AK11" s="21" t="n">
        <v>218.647</v>
      </c>
      <c r="AL11" s="21" t="n">
        <v>245.779</v>
      </c>
      <c r="AM11" s="21" t="n">
        <v>196.741</v>
      </c>
      <c r="AN11" s="21" t="n">
        <v>137.864</v>
      </c>
      <c r="AO11" s="21" t="n">
        <v>230.582</v>
      </c>
      <c r="AP11" s="21" t="n">
        <v>238.062</v>
      </c>
      <c r="AQ11" s="21" t="n">
        <v>148.695</v>
      </c>
      <c r="AR11" s="21" t="n">
        <v>333.408</v>
      </c>
      <c r="AS11" s="21" t="n">
        <v>182.134</v>
      </c>
      <c r="AT11" s="21" t="n">
        <v>236.15</v>
      </c>
      <c r="AU11" s="21" t="n">
        <v>150.875</v>
      </c>
      <c r="AV11" s="21" t="n">
        <v>247.292</v>
      </c>
      <c r="AW11" s="21" t="n">
        <v>225.242</v>
      </c>
      <c r="AX11" s="21" t="n">
        <v>158.68</v>
      </c>
      <c r="AY11" s="21" t="n">
        <v>281.766</v>
      </c>
      <c r="AZ11" s="21" t="n">
        <v>171.066</v>
      </c>
      <c r="BA11" s="21" t="n">
        <v>144.464</v>
      </c>
      <c r="BB11" s="21" t="n">
        <v>202.976</v>
      </c>
      <c r="BC11" s="21" t="n">
        <v>303.469</v>
      </c>
      <c r="BD11" s="21" t="n">
        <v>311.713</v>
      </c>
      <c r="BE11" s="21" t="n">
        <v>221.874</v>
      </c>
      <c r="BF11" s="21" t="n">
        <v>145.685</v>
      </c>
      <c r="BG11" s="21" t="n">
        <v>210.449</v>
      </c>
      <c r="BH11" s="21" t="n">
        <v>149.187</v>
      </c>
      <c r="BI11" s="21" t="n">
        <v>232.85</v>
      </c>
      <c r="BJ11" s="21" t="n">
        <v>221.521</v>
      </c>
      <c r="BK11" s="21" t="n">
        <v>147.861</v>
      </c>
      <c r="BL11" s="21" t="n">
        <v>297.931</v>
      </c>
      <c r="BM11" s="21" t="n">
        <v>344.528</v>
      </c>
      <c r="BN11" s="21" t="n">
        <v>363.315</v>
      </c>
      <c r="BO11" s="21" t="n">
        <v>324.475</v>
      </c>
      <c r="BP11" s="21" t="n">
        <v>200.414</v>
      </c>
      <c r="BQ11" s="21" t="n">
        <v>257.875</v>
      </c>
      <c r="BR11" s="21" t="n">
        <v>547.521</v>
      </c>
      <c r="BS11" s="21" t="n">
        <v>120.17</v>
      </c>
      <c r="BT11" s="21" t="n">
        <v>323.484</v>
      </c>
      <c r="BU11" s="21" t="n">
        <v>332.506</v>
      </c>
      <c r="BV11" s="21" t="n">
        <v>315.072</v>
      </c>
      <c r="BW11" s="21" t="n">
        <v>327.462</v>
      </c>
      <c r="BX11" s="21" t="n">
        <v>326.023</v>
      </c>
      <c r="BY11" s="21" t="n">
        <v>157.214</v>
      </c>
      <c r="BZ11" s="21" t="n">
        <v>160.605</v>
      </c>
      <c r="CA11" s="21" t="n">
        <v>158.675</v>
      </c>
      <c r="CB11" s="21" t="n">
        <v>167.087</v>
      </c>
      <c r="CC11" s="21" t="n">
        <v>147.523</v>
      </c>
      <c r="CD11" s="21" t="n">
        <v>201.243</v>
      </c>
      <c r="CE11" s="21" t="n">
        <v>162.866</v>
      </c>
      <c r="CF11" s="21" t="n">
        <v>205.33</v>
      </c>
      <c r="CG11" s="21" t="n">
        <v>169.045</v>
      </c>
      <c r="CH11" s="21" t="n">
        <v>130.044</v>
      </c>
      <c r="CI11" s="21" t="n">
        <v>161.035</v>
      </c>
      <c r="CJ11" s="21" t="n">
        <v>178.203</v>
      </c>
      <c r="CK11" s="21" t="n">
        <v>119.622</v>
      </c>
      <c r="CL11" s="21" t="n">
        <v>119.453</v>
      </c>
      <c r="CM11" s="21" t="n">
        <v>203.5</v>
      </c>
      <c r="CN11" s="21" t="n">
        <v>212.999</v>
      </c>
      <c r="CO11" s="21" t="n">
        <v>196.716</v>
      </c>
      <c r="CP11" s="21" t="n">
        <v>127.409</v>
      </c>
      <c r="CQ11" s="21" t="n">
        <v>210.636</v>
      </c>
      <c r="CR11" s="21" t="n">
        <v>216.697</v>
      </c>
      <c r="CS11" s="21" t="n">
        <v>190.93</v>
      </c>
      <c r="CT11" s="21" t="n">
        <v>146.318</v>
      </c>
      <c r="CU11" s="21" t="n">
        <v>151.768</v>
      </c>
      <c r="CV11" s="21" t="n">
        <v>230.541</v>
      </c>
      <c r="CW11" s="21" t="n">
        <v>210.031</v>
      </c>
      <c r="CX11" s="21" t="n">
        <v>250.853</v>
      </c>
      <c r="CY11" s="21" t="n">
        <v>294.745</v>
      </c>
      <c r="CZ11" s="21" t="n">
        <v>132.767</v>
      </c>
      <c r="DA11" s="21" t="n">
        <v>157.479</v>
      </c>
      <c r="DB11" s="21" t="n">
        <v>160.018</v>
      </c>
      <c r="DC11" s="21" t="n">
        <v>224.702</v>
      </c>
      <c r="DD11" s="21" t="n">
        <v>238.13</v>
      </c>
      <c r="DE11" s="21" t="n">
        <v>172.038</v>
      </c>
      <c r="DF11" s="21" t="n">
        <v>251.257</v>
      </c>
      <c r="DG11" s="21" t="n">
        <v>238.359</v>
      </c>
      <c r="DH11" s="21" t="n">
        <v>148.912</v>
      </c>
      <c r="DI11" s="21" t="n">
        <v>141.617</v>
      </c>
      <c r="DJ11" s="21" t="n">
        <v>137.366</v>
      </c>
      <c r="DK11" s="21" t="n">
        <v>273.362</v>
      </c>
      <c r="DL11" s="21" t="n">
        <v>153.876</v>
      </c>
      <c r="DM11" s="21" t="n">
        <v>132.531</v>
      </c>
      <c r="DN11" s="21" t="n">
        <v>124.285</v>
      </c>
      <c r="DO11" s="21" t="n">
        <v>258.363</v>
      </c>
      <c r="DP11" s="21" t="n">
        <v>160.632</v>
      </c>
      <c r="DQ11" s="21" t="n">
        <v>164.621</v>
      </c>
      <c r="DR11" s="21" t="n">
        <v>168.124</v>
      </c>
      <c r="DS11" s="21" t="n">
        <v>141.218</v>
      </c>
      <c r="DT11" s="21" t="n">
        <v>146.481</v>
      </c>
      <c r="DU11" s="21" t="n">
        <v>180.884</v>
      </c>
      <c r="DV11" s="21" t="n">
        <v>240.656</v>
      </c>
      <c r="DW11" s="21" t="n">
        <v>198.361</v>
      </c>
      <c r="DX11" s="21" t="n">
        <v>216.97</v>
      </c>
      <c r="DY11" s="21" t="n">
        <v>192.477</v>
      </c>
      <c r="DZ11" s="21" t="n">
        <v>205.618</v>
      </c>
      <c r="EA11" s="21" t="n">
        <v>186.322</v>
      </c>
      <c r="EB11" s="21" t="n">
        <v>169.034</v>
      </c>
      <c r="EC11" s="21" t="n">
        <v>331.711</v>
      </c>
      <c r="ED11" s="21" t="n">
        <v>164.047</v>
      </c>
      <c r="EE11" s="21" t="n">
        <v>178.396</v>
      </c>
      <c r="EF11" s="21" t="n">
        <v>178.976</v>
      </c>
      <c r="EG11" s="21" t="n">
        <v>239.395</v>
      </c>
      <c r="EH11" s="21" t="n">
        <v>281.499</v>
      </c>
      <c r="EI11" s="21" t="n">
        <v>289.428</v>
      </c>
      <c r="EJ11" s="21" t="n">
        <v>152.228</v>
      </c>
      <c r="EK11" s="21" t="n">
        <v>516.9109999999999</v>
      </c>
      <c r="EL11" s="21" t="n">
        <v>314.194</v>
      </c>
      <c r="EM11" s="21" t="n">
        <v>288.7</v>
      </c>
      <c r="EN11" s="21" t="n">
        <v>288.656</v>
      </c>
      <c r="EO11" s="21" t="n">
        <v>146.57</v>
      </c>
      <c r="EP11" s="21" t="n">
        <v>226.784</v>
      </c>
      <c r="EQ11" s="21" t="n">
        <v>190.269</v>
      </c>
      <c r="ER11" s="21" t="n">
        <v>238.466</v>
      </c>
      <c r="ES11" s="21" t="n">
        <v>229.191</v>
      </c>
      <c r="ET11" s="21" t="n">
        <v>296.963</v>
      </c>
      <c r="EU11" s="21" t="n">
        <v>194.713</v>
      </c>
      <c r="EV11" s="21" t="n">
        <v>205.604</v>
      </c>
      <c r="EW11" s="21" t="n">
        <v>159.422</v>
      </c>
      <c r="EX11" s="21" t="n">
        <v>216.38</v>
      </c>
      <c r="EY11" s="21" t="n">
        <v>499.187</v>
      </c>
      <c r="EZ11" s="21" t="n">
        <v>434.829</v>
      </c>
      <c r="FA11" s="21" t="n">
        <v>122.422</v>
      </c>
      <c r="FB11" s="21" t="n">
        <v>60.109</v>
      </c>
      <c r="FC11" s="21" t="n">
        <v>108.369</v>
      </c>
      <c r="FD11" s="21" t="n">
        <v>66.36</v>
      </c>
      <c r="FE11" s="21" t="n">
        <v>47.681</v>
      </c>
      <c r="FF11" s="21" t="n">
        <v>114.028</v>
      </c>
      <c r="FG11" s="21" t="n">
        <v>130.279</v>
      </c>
      <c r="FH11" s="21" t="n">
        <v>86.2</v>
      </c>
      <c r="FI11" s="21" t="n">
        <v>74.515</v>
      </c>
      <c r="FJ11" s="21" t="n"/>
      <c r="FK11" s="21" t="n">
        <v>78.515</v>
      </c>
      <c r="FL11" s="21" t="n">
        <v>87.03</v>
      </c>
      <c r="FM11" s="21" t="n">
        <v>99.732</v>
      </c>
      <c r="FN11" s="21" t="n">
        <v>67.13</v>
      </c>
      <c r="FO11" s="21" t="n">
        <v>59.263</v>
      </c>
      <c r="FP11" s="21" t="n">
        <v>47.058</v>
      </c>
      <c r="FQ11" s="21" t="n">
        <v>130.112</v>
      </c>
      <c r="FR11" s="21" t="n">
        <v>57.069</v>
      </c>
      <c r="FS11" s="21" t="n">
        <v>90.01300000000001</v>
      </c>
      <c r="FT11" s="21" t="n">
        <v>91.074</v>
      </c>
      <c r="FU11" s="21" t="n">
        <v>99.818</v>
      </c>
      <c r="FV11" s="21" t="n">
        <v>86.88200000000001</v>
      </c>
      <c r="FW11" s="21" t="n">
        <v>186.046</v>
      </c>
      <c r="FX11" s="21" t="n">
        <v>118.49</v>
      </c>
      <c r="FY11" s="21" t="n">
        <v>168.943</v>
      </c>
      <c r="FZ11" s="21" t="n">
        <v>118.268</v>
      </c>
      <c r="GA11" s="21" t="n">
        <v>168.166</v>
      </c>
      <c r="GB11" s="21" t="n">
        <v>155.831</v>
      </c>
      <c r="GC11" s="21" t="n">
        <v>172.656</v>
      </c>
      <c r="GD11" s="21" t="n">
        <v>144.862</v>
      </c>
      <c r="GE11" s="21" t="n">
        <v>221.581</v>
      </c>
      <c r="GF11" s="21" t="n">
        <v>129.446</v>
      </c>
      <c r="GG11" s="21" t="n">
        <v>121.393</v>
      </c>
      <c r="GH11" s="21" t="n">
        <v>125.137</v>
      </c>
      <c r="GI11" s="21" t="n">
        <v>114.847</v>
      </c>
      <c r="GJ11" s="21" t="n">
        <v>151.72</v>
      </c>
      <c r="GK11" s="21" t="n">
        <v>84.739</v>
      </c>
      <c r="GL11" s="21" t="n">
        <v>119.522</v>
      </c>
      <c r="GM11" s="21" t="n">
        <v>106.605</v>
      </c>
      <c r="GN11" s="21" t="n">
        <v>115.913</v>
      </c>
      <c r="GO11" s="21" t="n">
        <v>119.579</v>
      </c>
      <c r="GP11" s="21" t="n">
        <v>126.826</v>
      </c>
      <c r="GQ11" s="21" t="n">
        <v>129.571</v>
      </c>
      <c r="GR11" s="21" t="n">
        <v>85.214</v>
      </c>
      <c r="GS11" s="21" t="n">
        <v>106.688</v>
      </c>
      <c r="GT11" s="21" t="n">
        <v>98.57299999999999</v>
      </c>
      <c r="GU11" s="21" t="n">
        <v>139.431</v>
      </c>
      <c r="GV11" s="21" t="n">
        <v>137.317</v>
      </c>
      <c r="GW11" s="21" t="n">
        <v>153.281</v>
      </c>
      <c r="GX11" s="21" t="n">
        <v>133.48</v>
      </c>
      <c r="GY11" s="21" t="n">
        <v>123.786</v>
      </c>
      <c r="GZ11" s="21" t="n">
        <v>161.92</v>
      </c>
      <c r="HA11" s="21" t="n">
        <v>124.274</v>
      </c>
      <c r="HB11" s="21" t="n">
        <v>167.637</v>
      </c>
      <c r="HC11" s="21" t="n">
        <v>195.858</v>
      </c>
      <c r="HD11" s="21" t="n">
        <v>190.464</v>
      </c>
      <c r="HE11" s="21" t="n">
        <v>100.134</v>
      </c>
      <c r="HF11" s="21" t="n">
        <v>146.516</v>
      </c>
      <c r="HG11" s="21" t="n">
        <v>101.573</v>
      </c>
      <c r="HH11" s="21" t="n">
        <v>143.516</v>
      </c>
      <c r="HI11" s="21" t="n">
        <v>155.035</v>
      </c>
      <c r="HJ11" s="21" t="n"/>
      <c r="HK11" s="21" t="n">
        <v>145.821</v>
      </c>
      <c r="HL11" s="21" t="n">
        <v>83.628</v>
      </c>
      <c r="HM11" s="21" t="n">
        <v>123.411</v>
      </c>
      <c r="HN11" s="21" t="n">
        <v>199.996</v>
      </c>
      <c r="HO11" s="21" t="n">
        <v>199.077</v>
      </c>
      <c r="HP11" s="21" t="n">
        <v>195.144</v>
      </c>
      <c r="HQ11" s="21" t="n">
        <v>217.405</v>
      </c>
      <c r="HR11" s="21" t="n">
        <v>209.04</v>
      </c>
      <c r="HS11" s="21" t="n">
        <v>181.393</v>
      </c>
      <c r="HT11" s="21" t="n">
        <v>143.209</v>
      </c>
      <c r="HU11" s="21" t="n">
        <v>125.575</v>
      </c>
      <c r="HV11" s="21" t="n">
        <v>165.028</v>
      </c>
      <c r="HW11" s="21" t="n">
        <v>155.788</v>
      </c>
      <c r="HX11" s="21" t="n">
        <v>362.512</v>
      </c>
      <c r="HY11" s="21" t="n">
        <v>271.804</v>
      </c>
      <c r="HZ11" s="21" t="n">
        <v>282.879</v>
      </c>
      <c r="IA11" s="21" t="n">
        <v>243.921</v>
      </c>
      <c r="IB11" s="21" t="n">
        <v>168.976</v>
      </c>
      <c r="IC11" s="21" t="n">
        <v>465.401</v>
      </c>
      <c r="ID11" s="21" t="n">
        <v>180.418</v>
      </c>
      <c r="IE11" s="21" t="n">
        <v>171.711</v>
      </c>
      <c r="IF11" s="21" t="n">
        <v>194.928</v>
      </c>
      <c r="IG11" s="21" t="n">
        <v>216.904</v>
      </c>
      <c r="IH11" s="21" t="n">
        <v>125.83</v>
      </c>
      <c r="II11" s="21" t="n">
        <v>266.338</v>
      </c>
      <c r="IJ11" s="21" t="n">
        <v>285.837</v>
      </c>
      <c r="IK11" s="21" t="n">
        <v>156.377</v>
      </c>
      <c r="IL11" s="21" t="n"/>
      <c r="IM11" s="21" t="n">
        <v>107.612</v>
      </c>
      <c r="IN11" s="21" t="n">
        <v>63.835</v>
      </c>
      <c r="IO11" s="21" t="n">
        <v>306.176</v>
      </c>
      <c r="IP11" s="21" t="n">
        <v>121.259</v>
      </c>
      <c r="IQ11" s="21" t="n">
        <v>450.065</v>
      </c>
      <c r="IR11" s="21" t="n">
        <v>355.894</v>
      </c>
      <c r="IS11" s="21" t="n">
        <v>116.287</v>
      </c>
      <c r="IT11" s="21" t="n">
        <v>481.426</v>
      </c>
      <c r="IU11" s="21" t="n">
        <v>97.899</v>
      </c>
      <c r="IV11" s="21" t="n">
        <v>99.65600000000001</v>
      </c>
      <c r="IW11" s="21" t="n">
        <v>480.245</v>
      </c>
      <c r="IX11" s="21" t="n">
        <v>362.335</v>
      </c>
      <c r="IY11" s="21" t="n">
        <v>366.652</v>
      </c>
      <c r="IZ11" s="21" t="n">
        <v>453.685</v>
      </c>
      <c r="JA11" s="21" t="n">
        <v>184.53</v>
      </c>
      <c r="JB11" s="21" t="n">
        <v>228.8</v>
      </c>
      <c r="JC11" s="21" t="n">
        <v>70.361</v>
      </c>
      <c r="JD11" s="21" t="n">
        <v>295.282</v>
      </c>
      <c r="JE11" s="21" t="n">
        <v>290.639</v>
      </c>
      <c r="JF11" s="21" t="n">
        <v>661.811</v>
      </c>
      <c r="JG11" s="21" t="n">
        <v>207.561</v>
      </c>
      <c r="JH11" s="21" t="n">
        <v>118.456</v>
      </c>
      <c r="JI11" s="21" t="n">
        <v>125.072</v>
      </c>
      <c r="JJ11" s="21" t="n">
        <v>116.1</v>
      </c>
      <c r="JK11" s="21" t="n">
        <v>99.495</v>
      </c>
      <c r="JL11" s="21" t="n">
        <v>315.83</v>
      </c>
      <c r="JM11" s="21" t="n">
        <v>423.23</v>
      </c>
      <c r="JN11" s="21" t="n">
        <v>135.228</v>
      </c>
      <c r="JO11" s="21" t="n">
        <v>72.71899999999999</v>
      </c>
      <c r="JP11" s="21" t="n">
        <v>41.16</v>
      </c>
      <c r="JQ11" s="21" t="n">
        <v>120.561</v>
      </c>
      <c r="JR11" s="21" t="n">
        <v>35.876</v>
      </c>
      <c r="JS11" s="21" t="n">
        <v>88.95</v>
      </c>
      <c r="JT11" s="21" t="n">
        <v>168</v>
      </c>
      <c r="JU11" s="21" t="n">
        <v>198.242</v>
      </c>
      <c r="JV11" s="21" t="n">
        <v>151.697</v>
      </c>
      <c r="JW11" s="21" t="n">
        <v>113.823</v>
      </c>
      <c r="JX11" s="21" t="n">
        <v>228.223</v>
      </c>
      <c r="JY11" s="21" t="n">
        <v>182.611</v>
      </c>
      <c r="JZ11" s="21" t="n">
        <v>238.813</v>
      </c>
      <c r="KA11" s="21" t="n">
        <v>114.331</v>
      </c>
      <c r="KB11" s="21" t="n">
        <v>148.147</v>
      </c>
      <c r="KC11" s="21" t="n">
        <v>85.208</v>
      </c>
      <c r="KD11" s="21" t="n">
        <v>75.72799999999999</v>
      </c>
      <c r="KE11" s="21" t="n">
        <v>54.662</v>
      </c>
      <c r="KF11" s="21" t="n">
        <v>123.22</v>
      </c>
      <c r="KG11" s="21" t="n">
        <v>22.551</v>
      </c>
      <c r="KH11" s="21" t="n">
        <v>124.9</v>
      </c>
      <c r="KI11" s="21" t="n">
        <v>129.736</v>
      </c>
      <c r="KJ11" s="21" t="n">
        <v>124.158</v>
      </c>
      <c r="KK11" s="21" t="n">
        <v>46.388</v>
      </c>
      <c r="KL11" s="21" t="n">
        <v>43.712</v>
      </c>
      <c r="KM11" s="21" t="n">
        <v>52.437</v>
      </c>
      <c r="KN11" s="21" t="n"/>
      <c r="KO11" s="21" t="n">
        <v>98.563</v>
      </c>
      <c r="KP11" s="21" t="n">
        <v>100.389</v>
      </c>
      <c r="KQ11" s="21" t="n">
        <v>157.015</v>
      </c>
      <c r="KR11" s="21" t="n">
        <v>130.553</v>
      </c>
      <c r="KS11" s="21" t="n">
        <v>356.116</v>
      </c>
      <c r="KT11" s="21" t="n">
        <v>168.526</v>
      </c>
      <c r="KU11" s="21" t="n">
        <v>209.665</v>
      </c>
      <c r="KV11" s="21" t="n">
        <v>291.078</v>
      </c>
      <c r="KW11" s="21" t="n">
        <v>242.111</v>
      </c>
      <c r="KX11" s="21" t="n">
        <v>165.956</v>
      </c>
      <c r="KY11" s="21" t="n">
        <v>100.527</v>
      </c>
      <c r="KZ11" s="21" t="n">
        <v>139.344</v>
      </c>
      <c r="LA11" s="21" t="n">
        <v>244.7</v>
      </c>
      <c r="LB11" s="21" t="n">
        <v>658.7140000000001</v>
      </c>
      <c r="LC11" s="21" t="n">
        <v>226.644</v>
      </c>
      <c r="LD11" s="21" t="n">
        <v>700.7859999999999</v>
      </c>
      <c r="LE11" s="21" t="n">
        <v>800.426</v>
      </c>
      <c r="LF11" s="21" t="n">
        <v>72.852</v>
      </c>
      <c r="LG11" s="21" t="n">
        <v>279.305</v>
      </c>
      <c r="LH11" s="21" t="n">
        <v>235.308</v>
      </c>
      <c r="LI11" s="21" t="n">
        <v>80.202</v>
      </c>
      <c r="LJ11" s="21" t="n">
        <v>174.215</v>
      </c>
      <c r="LK11" s="21" t="n">
        <v>274.517</v>
      </c>
      <c r="LL11" s="21" t="n">
        <v>276.742</v>
      </c>
      <c r="LM11" s="21" t="n">
        <v>76.373</v>
      </c>
      <c r="LN11" s="21" t="n">
        <v>99.83499999999999</v>
      </c>
      <c r="LO11" s="21" t="n">
        <v>55.514</v>
      </c>
      <c r="LP11" s="21" t="n">
        <v>113.998</v>
      </c>
      <c r="LQ11" s="21" t="n"/>
      <c r="LR11" s="21" t="n"/>
      <c r="LS11" s="21" t="n">
        <v>118.423</v>
      </c>
      <c r="LT11" s="21" t="n">
        <v>47.094</v>
      </c>
      <c r="LU11" s="21" t="n">
        <v>37.114</v>
      </c>
      <c r="LV11" s="21" t="n">
        <v>76.843</v>
      </c>
      <c r="LW11" s="21" t="n">
        <v>301.854</v>
      </c>
      <c r="LX11" s="21" t="n"/>
      <c r="LY11" s="21" t="n">
        <v>417.968</v>
      </c>
      <c r="LZ11" s="21" t="n">
        <v>59.329</v>
      </c>
      <c r="MA11" s="21" t="n">
        <v>384.105</v>
      </c>
      <c r="MB11" s="21" t="n">
        <v>246.982</v>
      </c>
      <c r="MC11" s="21" t="n">
        <v>222.252</v>
      </c>
      <c r="MD11" s="21" t="n">
        <v>163.474</v>
      </c>
      <c r="ME11" s="21" t="n">
        <v>103.365</v>
      </c>
      <c r="MF11" s="21" t="n">
        <v>189.321</v>
      </c>
      <c r="MG11" s="21" t="n">
        <v>249.662</v>
      </c>
      <c r="MH11" s="21" t="n">
        <v>152.335</v>
      </c>
      <c r="MI11" s="21" t="n">
        <v>403.258</v>
      </c>
      <c r="MJ11" s="21" t="n">
        <v>327.557</v>
      </c>
      <c r="MK11" s="21" t="n">
        <v>317.797</v>
      </c>
      <c r="ML11" s="21" t="n">
        <v>157.509</v>
      </c>
      <c r="MM11" s="21" t="n">
        <v>183.311</v>
      </c>
      <c r="MN11" s="21" t="n">
        <v>318.359</v>
      </c>
      <c r="MO11" s="21" t="n">
        <v>149.258</v>
      </c>
      <c r="MP11" s="21" t="n">
        <v>218.149</v>
      </c>
      <c r="MQ11" s="21" t="n">
        <v>81.327</v>
      </c>
      <c r="MR11" s="21" t="n">
        <v>150.666</v>
      </c>
      <c r="MS11" s="21" t="n">
        <v>85.59999999999999</v>
      </c>
      <c r="MT11" s="21" t="n">
        <v>227.62</v>
      </c>
      <c r="MU11" s="21" t="n">
        <v>244.059</v>
      </c>
      <c r="MV11" s="21" t="n">
        <v>236.097</v>
      </c>
      <c r="MW11" s="21" t="n">
        <v>243.985</v>
      </c>
      <c r="MX11" s="21" t="n">
        <v>223.404</v>
      </c>
      <c r="MY11" s="21" t="n">
        <v>216.785</v>
      </c>
      <c r="MZ11" s="21" t="n">
        <v>223.194</v>
      </c>
      <c r="NA11" s="21" t="n">
        <v>227.837</v>
      </c>
      <c r="NB11" s="21" t="n">
        <v>122.436</v>
      </c>
      <c r="NC11" s="21" t="n">
        <v>181.306</v>
      </c>
      <c r="ND11" s="21" t="n">
        <v>150.998</v>
      </c>
      <c r="NE11" s="21" t="n">
        <v>147.873</v>
      </c>
      <c r="NF11" s="21" t="n">
        <v>146.504</v>
      </c>
      <c r="NG11" s="21" t="n">
        <v>147.264</v>
      </c>
      <c r="NH11" s="21" t="n">
        <v>252.858</v>
      </c>
      <c r="NI11" s="21" t="n">
        <v>108.5</v>
      </c>
      <c r="NJ11" s="21" t="n">
        <v>82.947</v>
      </c>
      <c r="NK11" s="21" t="n">
        <v>110.823</v>
      </c>
      <c r="NL11" s="21" t="n">
        <v>194.501</v>
      </c>
      <c r="NM11" s="21" t="n">
        <v>203.338</v>
      </c>
      <c r="NN11" s="21" t="n">
        <v>92.997</v>
      </c>
      <c r="NO11" s="21" t="n">
        <v>63.807</v>
      </c>
      <c r="NP11" s="21" t="n">
        <v>217.382</v>
      </c>
      <c r="NQ11" s="21" t="n">
        <v>190.523</v>
      </c>
      <c r="NR11" s="21" t="n">
        <v>227.8</v>
      </c>
      <c r="NS11" s="21" t="n">
        <v>187.41</v>
      </c>
      <c r="NT11" s="21" t="n">
        <v>227.771</v>
      </c>
      <c r="NU11" s="21" t="n">
        <v>108.242</v>
      </c>
      <c r="NV11" s="21" t="n">
        <v>113.258</v>
      </c>
      <c r="NW11" s="21" t="n">
        <v>342.079</v>
      </c>
      <c r="NX11" s="21" t="n">
        <v>88.264</v>
      </c>
      <c r="NY11" s="21" t="n">
        <v>112.289</v>
      </c>
      <c r="NZ11" s="21" t="n">
        <v>293.221</v>
      </c>
      <c r="OA11" s="21" t="n">
        <v>293.683</v>
      </c>
      <c r="OB11" s="21" t="n">
        <v>303.694</v>
      </c>
      <c r="OC11" s="21" t="n">
        <v>279.509</v>
      </c>
      <c r="OD11" s="21" t="n">
        <v>316.949</v>
      </c>
      <c r="OE11" s="21" t="n">
        <v>105.819</v>
      </c>
      <c r="OF11" s="21" t="n">
        <v>291.969</v>
      </c>
      <c r="OG11" s="21" t="n">
        <v>213.59</v>
      </c>
      <c r="OH11" s="21" t="n">
        <v>60.422</v>
      </c>
      <c r="OI11" s="21" t="n">
        <v>113.442</v>
      </c>
      <c r="OJ11" s="21" t="n">
        <v>42</v>
      </c>
      <c r="OK11" s="21" t="n">
        <v>14</v>
      </c>
    </row>
    <row r="12">
      <c r="A12" s="22" t="n">
        <v>42309</v>
      </c>
      <c r="B12" s="21" t="n">
        <v>237.336</v>
      </c>
      <c r="C12" s="21" t="n">
        <v>710.952</v>
      </c>
      <c r="D12" s="21" t="n">
        <v>247.87</v>
      </c>
      <c r="E12" s="21" t="n">
        <v>248.306</v>
      </c>
      <c r="F12" s="21" t="n">
        <v>242.24</v>
      </c>
      <c r="G12" s="21" t="n">
        <v>273.752</v>
      </c>
      <c r="H12" s="21" t="n">
        <v>231.769</v>
      </c>
      <c r="I12" s="21" t="n">
        <v>232.487</v>
      </c>
      <c r="J12" s="21" t="n">
        <v>229.607</v>
      </c>
      <c r="K12" s="21" t="n">
        <v>240.058</v>
      </c>
      <c r="L12" s="21" t="n">
        <v>166.908</v>
      </c>
      <c r="M12" s="21" t="n">
        <v>297.539</v>
      </c>
      <c r="N12" s="21" t="n">
        <v>179.871</v>
      </c>
      <c r="O12" s="21" t="n">
        <v>323.439</v>
      </c>
      <c r="P12" s="21" t="n">
        <v>350.054</v>
      </c>
      <c r="Q12" s="21" t="n">
        <v>178.001</v>
      </c>
      <c r="R12" s="21" t="n">
        <v>281.813</v>
      </c>
      <c r="S12" s="21" t="n">
        <v>299.012</v>
      </c>
      <c r="T12" s="21" t="n">
        <v>268.687</v>
      </c>
      <c r="U12" s="21" t="n">
        <v>263.67</v>
      </c>
      <c r="V12" s="21" t="n">
        <v>298.636</v>
      </c>
      <c r="W12" s="21" t="n">
        <v>301.365</v>
      </c>
      <c r="X12" s="21" t="n">
        <v>264.986</v>
      </c>
      <c r="Y12" s="21" t="n">
        <v>259.141</v>
      </c>
      <c r="Z12" s="21" t="n">
        <v>255.911</v>
      </c>
      <c r="AA12" s="21" t="n">
        <v>261.591</v>
      </c>
      <c r="AB12" s="21" t="n">
        <v>315.453</v>
      </c>
      <c r="AC12" s="21" t="n">
        <v>286.893</v>
      </c>
      <c r="AD12" s="21" t="n">
        <v>232.795</v>
      </c>
      <c r="AE12" s="21" t="n">
        <v>211.472</v>
      </c>
      <c r="AF12" s="21" t="n">
        <v>233.218</v>
      </c>
      <c r="AG12" s="21" t="n">
        <v>216.428</v>
      </c>
      <c r="AH12" s="21" t="n">
        <v>158.455</v>
      </c>
      <c r="AI12" s="21" t="n">
        <v>295.115</v>
      </c>
      <c r="AJ12" s="21" t="n">
        <v>142.098</v>
      </c>
      <c r="AK12" s="21" t="n">
        <v>208.51</v>
      </c>
      <c r="AL12" s="21" t="n">
        <v>232.47</v>
      </c>
      <c r="AM12" s="21" t="n">
        <v>193.013</v>
      </c>
      <c r="AN12" s="21" t="n">
        <v>135.069</v>
      </c>
      <c r="AO12" s="21" t="n">
        <v>231.562</v>
      </c>
      <c r="AP12" s="21" t="n">
        <v>239.282</v>
      </c>
      <c r="AQ12" s="21" t="n">
        <v>149.702</v>
      </c>
      <c r="AR12" s="21" t="n">
        <v>328.743</v>
      </c>
      <c r="AS12" s="21" t="n">
        <v>179.742</v>
      </c>
      <c r="AT12" s="21" t="n">
        <v>235.428</v>
      </c>
      <c r="AU12" s="21" t="n">
        <v>151.342</v>
      </c>
      <c r="AV12" s="21" t="n">
        <v>250.663</v>
      </c>
      <c r="AW12" s="21" t="n">
        <v>225.208</v>
      </c>
      <c r="AX12" s="21" t="n">
        <v>154.155</v>
      </c>
      <c r="AY12" s="21" t="n">
        <v>282.827</v>
      </c>
      <c r="AZ12" s="21" t="n">
        <v>170.835</v>
      </c>
      <c r="BA12" s="21" t="n">
        <v>145.787</v>
      </c>
      <c r="BB12" s="21" t="n">
        <v>202.884</v>
      </c>
      <c r="BC12" s="21" t="n">
        <v>307.024</v>
      </c>
      <c r="BD12" s="21" t="n">
        <v>304.898</v>
      </c>
      <c r="BE12" s="21" t="n">
        <v>220.613</v>
      </c>
      <c r="BF12" s="21" t="n">
        <v>144.813</v>
      </c>
      <c r="BG12" s="21" t="n">
        <v>208.448</v>
      </c>
      <c r="BH12" s="21" t="n">
        <v>148.208</v>
      </c>
      <c r="BI12" s="21" t="n">
        <v>232.164</v>
      </c>
      <c r="BJ12" s="21" t="n">
        <v>220.398</v>
      </c>
      <c r="BK12" s="21" t="n">
        <v>146.471</v>
      </c>
      <c r="BL12" s="21" t="n">
        <v>298.037</v>
      </c>
      <c r="BM12" s="21" t="n">
        <v>345.689</v>
      </c>
      <c r="BN12" s="21" t="n">
        <v>362.153</v>
      </c>
      <c r="BO12" s="21" t="n">
        <v>328.974</v>
      </c>
      <c r="BP12" s="21" t="n">
        <v>200.597</v>
      </c>
      <c r="BQ12" s="21" t="n">
        <v>236.456</v>
      </c>
      <c r="BR12" s="21" t="n">
        <v>488.083</v>
      </c>
      <c r="BS12" s="21" t="n">
        <v>125.727</v>
      </c>
      <c r="BT12" s="21" t="n">
        <v>327.106</v>
      </c>
      <c r="BU12" s="21" t="n">
        <v>309.41</v>
      </c>
      <c r="BV12" s="21" t="n">
        <v>331.356</v>
      </c>
      <c r="BW12" s="21" t="n">
        <v>342.969</v>
      </c>
      <c r="BX12" s="21" t="n">
        <v>330.298</v>
      </c>
      <c r="BY12" s="21" t="n">
        <v>155.609</v>
      </c>
      <c r="BZ12" s="21" t="n">
        <v>158.67</v>
      </c>
      <c r="CA12" s="21" t="n">
        <v>156.376</v>
      </c>
      <c r="CB12" s="21" t="n">
        <v>164.802</v>
      </c>
      <c r="CC12" s="21" t="n">
        <v>146.176</v>
      </c>
      <c r="CD12" s="21" t="n">
        <v>198.122</v>
      </c>
      <c r="CE12" s="21" t="n">
        <v>161.742</v>
      </c>
      <c r="CF12" s="21" t="n">
        <v>205.293</v>
      </c>
      <c r="CG12" s="21" t="n">
        <v>167.498</v>
      </c>
      <c r="CH12" s="21" t="n">
        <v>128.836</v>
      </c>
      <c r="CI12" s="21" t="n">
        <v>158.442</v>
      </c>
      <c r="CJ12" s="21" t="n">
        <v>176.693</v>
      </c>
      <c r="CK12" s="21" t="n">
        <v>119.091</v>
      </c>
      <c r="CL12" s="21" t="n">
        <v>118.407</v>
      </c>
      <c r="CM12" s="21" t="n">
        <v>199.722</v>
      </c>
      <c r="CN12" s="21" t="n">
        <v>209.85</v>
      </c>
      <c r="CO12" s="21" t="n">
        <v>196.525</v>
      </c>
      <c r="CP12" s="21" t="n">
        <v>128.314</v>
      </c>
      <c r="CQ12" s="21" t="n">
        <v>209.315</v>
      </c>
      <c r="CR12" s="21" t="n">
        <v>215.569</v>
      </c>
      <c r="CS12" s="21" t="n">
        <v>184.969</v>
      </c>
      <c r="CT12" s="21" t="n">
        <v>146.485</v>
      </c>
      <c r="CU12" s="21" t="n">
        <v>151.705</v>
      </c>
      <c r="CV12" s="21" t="n">
        <v>225.426</v>
      </c>
      <c r="CW12" s="21" t="n">
        <v>201.26</v>
      </c>
      <c r="CX12" s="21" t="n">
        <v>237.24</v>
      </c>
      <c r="CY12" s="21" t="n">
        <v>289.489</v>
      </c>
      <c r="CZ12" s="21" t="n">
        <v>130.354</v>
      </c>
      <c r="DA12" s="21" t="n">
        <v>155.931</v>
      </c>
      <c r="DB12" s="21" t="n">
        <v>155.513</v>
      </c>
      <c r="DC12" s="21" t="n">
        <v>223.825</v>
      </c>
      <c r="DD12" s="21" t="n">
        <v>233.845</v>
      </c>
      <c r="DE12" s="21" t="n">
        <v>171.427</v>
      </c>
      <c r="DF12" s="21" t="n">
        <v>251.557</v>
      </c>
      <c r="DG12" s="21" t="n">
        <v>235.097</v>
      </c>
      <c r="DH12" s="21" t="n">
        <v>147.601</v>
      </c>
      <c r="DI12" s="21" t="n">
        <v>138.744</v>
      </c>
      <c r="DJ12" s="21" t="n">
        <v>135.098</v>
      </c>
      <c r="DK12" s="21" t="n">
        <v>267.944</v>
      </c>
      <c r="DL12" s="21" t="n">
        <v>153.215</v>
      </c>
      <c r="DM12" s="21" t="n">
        <v>132.781</v>
      </c>
      <c r="DN12" s="21" t="n">
        <v>125.455</v>
      </c>
      <c r="DO12" s="21" t="n">
        <v>258.805</v>
      </c>
      <c r="DP12" s="21" t="n">
        <v>160.888</v>
      </c>
      <c r="DQ12" s="21" t="n">
        <v>164.907</v>
      </c>
      <c r="DR12" s="21" t="n">
        <v>168.027</v>
      </c>
      <c r="DS12" s="21" t="n">
        <v>140.9</v>
      </c>
      <c r="DT12" s="21" t="n">
        <v>146.661</v>
      </c>
      <c r="DU12" s="21" t="n">
        <v>181.63</v>
      </c>
      <c r="DV12" s="21" t="n">
        <v>240.512</v>
      </c>
      <c r="DW12" s="21" t="n">
        <v>198.036</v>
      </c>
      <c r="DX12" s="21" t="n">
        <v>217.315</v>
      </c>
      <c r="DY12" s="21" t="n">
        <v>192.107</v>
      </c>
      <c r="DZ12" s="21" t="n">
        <v>206.706</v>
      </c>
      <c r="EA12" s="21" t="n">
        <v>185.315</v>
      </c>
      <c r="EB12" s="21" t="n">
        <v>168.168</v>
      </c>
      <c r="EC12" s="21" t="n">
        <v>332.004</v>
      </c>
      <c r="ED12" s="21" t="n">
        <v>164.095</v>
      </c>
      <c r="EE12" s="21" t="n">
        <v>178.208</v>
      </c>
      <c r="EF12" s="21" t="n">
        <v>179.672</v>
      </c>
      <c r="EG12" s="21" t="n">
        <v>239.325</v>
      </c>
      <c r="EH12" s="21" t="n">
        <v>281.932</v>
      </c>
      <c r="EI12" s="21" t="n">
        <v>290.322</v>
      </c>
      <c r="EJ12" s="21" t="n">
        <v>145.66</v>
      </c>
      <c r="EK12" s="21" t="n">
        <v>517.063</v>
      </c>
      <c r="EL12" s="21" t="n">
        <v>297.375</v>
      </c>
      <c r="EM12" s="21" t="n">
        <v>289.48</v>
      </c>
      <c r="EN12" s="21" t="n">
        <v>289.436</v>
      </c>
      <c r="EO12" s="21" t="n">
        <v>147.024</v>
      </c>
      <c r="EP12" s="21" t="n">
        <v>224.606</v>
      </c>
      <c r="EQ12" s="21" t="n">
        <v>187.674</v>
      </c>
      <c r="ER12" s="21" t="n">
        <v>238.016</v>
      </c>
      <c r="ES12" s="21" t="n">
        <v>226.289</v>
      </c>
      <c r="ET12" s="21" t="n">
        <v>300.407</v>
      </c>
      <c r="EU12" s="21" t="n">
        <v>191.941</v>
      </c>
      <c r="EV12" s="21" t="n">
        <v>202.479</v>
      </c>
      <c r="EW12" s="21" t="n">
        <v>157.75</v>
      </c>
      <c r="EX12" s="21" t="n">
        <v>217.004</v>
      </c>
      <c r="EY12" s="21" t="n">
        <v>500.515</v>
      </c>
      <c r="EZ12" s="21" t="n">
        <v>436.428</v>
      </c>
      <c r="FA12" s="21" t="n">
        <v>121.994</v>
      </c>
      <c r="FB12" s="21" t="n">
        <v>60.288</v>
      </c>
      <c r="FC12" s="21" t="n">
        <v>108.247</v>
      </c>
      <c r="FD12" s="21" t="n">
        <v>66.982</v>
      </c>
      <c r="FE12" s="21" t="n">
        <v>47.788</v>
      </c>
      <c r="FF12" s="21" t="n">
        <v>113.993</v>
      </c>
      <c r="FG12" s="21" t="n">
        <v>131.052</v>
      </c>
      <c r="FH12" s="21" t="n">
        <v>85.767</v>
      </c>
      <c r="FI12" s="21" t="n">
        <v>74.501</v>
      </c>
      <c r="FJ12" s="21" t="n"/>
      <c r="FK12" s="21" t="n">
        <v>76.943</v>
      </c>
      <c r="FL12" s="21" t="n">
        <v>84.45399999999999</v>
      </c>
      <c r="FM12" s="21" t="n">
        <v>96.468</v>
      </c>
      <c r="FN12" s="21" t="n">
        <v>66.59099999999999</v>
      </c>
      <c r="FO12" s="21" t="n">
        <v>58.004</v>
      </c>
      <c r="FP12" s="21" t="n">
        <v>45.567</v>
      </c>
      <c r="FQ12" s="21" t="n">
        <v>130.442</v>
      </c>
      <c r="FR12" s="21" t="n">
        <v>55.544</v>
      </c>
      <c r="FS12" s="21" t="n">
        <v>88.456</v>
      </c>
      <c r="FT12" s="21" t="n">
        <v>90.63200000000001</v>
      </c>
      <c r="FU12" s="21" t="n">
        <v>98.84399999999999</v>
      </c>
      <c r="FV12" s="21" t="n">
        <v>86.68000000000001</v>
      </c>
      <c r="FW12" s="21" t="n">
        <v>186.573</v>
      </c>
      <c r="FX12" s="21" t="n">
        <v>118.597</v>
      </c>
      <c r="FY12" s="21" t="n">
        <v>169.704</v>
      </c>
      <c r="FZ12" s="21" t="n">
        <v>118.708</v>
      </c>
      <c r="GA12" s="21" t="n">
        <v>168.432</v>
      </c>
      <c r="GB12" s="21" t="n">
        <v>156.046</v>
      </c>
      <c r="GC12" s="21" t="n">
        <v>172.899</v>
      </c>
      <c r="GD12" s="21" t="n">
        <v>144.616</v>
      </c>
      <c r="GE12" s="21" t="n">
        <v>223.449</v>
      </c>
      <c r="GF12" s="21" t="n">
        <v>127.039</v>
      </c>
      <c r="GG12" s="21" t="n">
        <v>120.613</v>
      </c>
      <c r="GH12" s="21" t="n">
        <v>123.523</v>
      </c>
      <c r="GI12" s="21" t="n">
        <v>109.473</v>
      </c>
      <c r="GJ12" s="21" t="n">
        <v>155.739</v>
      </c>
      <c r="GK12" s="21" t="n">
        <v>82.172</v>
      </c>
      <c r="GL12" s="21" t="n">
        <v>118.094</v>
      </c>
      <c r="GM12" s="21" t="n">
        <v>108.42</v>
      </c>
      <c r="GN12" s="21" t="n">
        <v>112.578</v>
      </c>
      <c r="GO12" s="21" t="n">
        <v>115.931</v>
      </c>
      <c r="GP12" s="21" t="n">
        <v>118.059</v>
      </c>
      <c r="GQ12" s="21" t="n">
        <v>122.981</v>
      </c>
      <c r="GR12" s="21" t="n">
        <v>82.93300000000001</v>
      </c>
      <c r="GS12" s="21" t="n">
        <v>105.069</v>
      </c>
      <c r="GT12" s="21" t="n">
        <v>96.682</v>
      </c>
      <c r="GU12" s="21" t="n">
        <v>137.649</v>
      </c>
      <c r="GV12" s="21" t="n">
        <v>137.809</v>
      </c>
      <c r="GW12" s="21" t="n">
        <v>151.841</v>
      </c>
      <c r="GX12" s="21" t="n">
        <v>130.154</v>
      </c>
      <c r="GY12" s="21" t="n">
        <v>125.069</v>
      </c>
      <c r="GZ12" s="21" t="n">
        <v>156.234</v>
      </c>
      <c r="HA12" s="21" t="n">
        <v>122.608</v>
      </c>
      <c r="HB12" s="21" t="n">
        <v>160.729</v>
      </c>
      <c r="HC12" s="21" t="n">
        <v>194.404</v>
      </c>
      <c r="HD12" s="21" t="n">
        <v>188.675</v>
      </c>
      <c r="HE12" s="21" t="n">
        <v>99.77800000000001</v>
      </c>
      <c r="HF12" s="21" t="n">
        <v>146.804</v>
      </c>
      <c r="HG12" s="21" t="n">
        <v>101.753</v>
      </c>
      <c r="HH12" s="21" t="n">
        <v>143.456</v>
      </c>
      <c r="HI12" s="21" t="n">
        <v>155.571</v>
      </c>
      <c r="HJ12" s="21" t="n"/>
      <c r="HK12" s="21" t="n">
        <v>143.247</v>
      </c>
      <c r="HL12" s="21" t="n">
        <v>84.495</v>
      </c>
      <c r="HM12" s="21" t="n">
        <v>119.294</v>
      </c>
      <c r="HN12" s="21" t="n">
        <v>191.68</v>
      </c>
      <c r="HO12" s="21" t="n">
        <v>190.701</v>
      </c>
      <c r="HP12" s="21" t="n">
        <v>186.747</v>
      </c>
      <c r="HQ12" s="21" t="n">
        <v>206.666</v>
      </c>
      <c r="HR12" s="21" t="n">
        <v>201.739</v>
      </c>
      <c r="HS12" s="21" t="n">
        <v>179.368</v>
      </c>
      <c r="HT12" s="21" t="n">
        <v>143.967</v>
      </c>
      <c r="HU12" s="21" t="n">
        <v>126.106</v>
      </c>
      <c r="HV12" s="21" t="n">
        <v>166.232</v>
      </c>
      <c r="HW12" s="21" t="n">
        <v>157.087</v>
      </c>
      <c r="HX12" s="21" t="n">
        <v>365.842</v>
      </c>
      <c r="HY12" s="21" t="n">
        <v>272.09</v>
      </c>
      <c r="HZ12" s="21" t="n">
        <v>283.105</v>
      </c>
      <c r="IA12" s="21" t="n">
        <v>244.483</v>
      </c>
      <c r="IB12" s="21" t="n">
        <v>168.981</v>
      </c>
      <c r="IC12" s="21" t="n">
        <v>471.933</v>
      </c>
      <c r="ID12" s="21" t="n">
        <v>180.504</v>
      </c>
      <c r="IE12" s="21" t="n">
        <v>171.729</v>
      </c>
      <c r="IF12" s="21" t="n">
        <v>195.119</v>
      </c>
      <c r="IG12" s="21" t="n">
        <v>217.048</v>
      </c>
      <c r="IH12" s="21" t="n">
        <v>125.901</v>
      </c>
      <c r="II12" s="21" t="n">
        <v>270.809</v>
      </c>
      <c r="IJ12" s="21" t="n">
        <v>294.143</v>
      </c>
      <c r="IK12" s="21" t="n">
        <v>154.592</v>
      </c>
      <c r="IL12" s="21" t="n"/>
      <c r="IM12" s="21" t="n">
        <v>108.734</v>
      </c>
      <c r="IN12" s="21" t="n">
        <v>64.008</v>
      </c>
      <c r="IO12" s="21" t="n">
        <v>306.588</v>
      </c>
      <c r="IP12" s="21" t="n">
        <v>121.427</v>
      </c>
      <c r="IQ12" s="21" t="n">
        <v>451.371</v>
      </c>
      <c r="IR12" s="21" t="n">
        <v>356.286</v>
      </c>
      <c r="IS12" s="21" t="n">
        <v>116.436</v>
      </c>
      <c r="IT12" s="21" t="n">
        <v>482.478</v>
      </c>
      <c r="IU12" s="21" t="n">
        <v>97.673</v>
      </c>
      <c r="IV12" s="21" t="n">
        <v>99.36499999999999</v>
      </c>
      <c r="IW12" s="21" t="n">
        <v>481.894</v>
      </c>
      <c r="IX12" s="21" t="n">
        <v>364.456</v>
      </c>
      <c r="IY12" s="21" t="n">
        <v>370.599</v>
      </c>
      <c r="IZ12" s="21" t="n">
        <v>455.229</v>
      </c>
      <c r="JA12" s="21" t="n">
        <v>183.546</v>
      </c>
      <c r="JB12" s="21" t="n">
        <v>228.365</v>
      </c>
      <c r="JC12" s="21" t="n">
        <v>70.28</v>
      </c>
      <c r="JD12" s="21" t="n">
        <v>294.765</v>
      </c>
      <c r="JE12" s="21" t="n">
        <v>290.054</v>
      </c>
      <c r="JF12" s="21" t="n">
        <v>660.324</v>
      </c>
      <c r="JG12" s="21" t="n">
        <v>208.108</v>
      </c>
      <c r="JH12" s="21" t="n">
        <v>118.741</v>
      </c>
      <c r="JI12" s="21" t="n">
        <v>125.969</v>
      </c>
      <c r="JJ12" s="21" t="n">
        <v>115.763</v>
      </c>
      <c r="JK12" s="21" t="n">
        <v>99.414</v>
      </c>
      <c r="JL12" s="21" t="n">
        <v>310.939</v>
      </c>
      <c r="JM12" s="21" t="n">
        <v>423.953</v>
      </c>
      <c r="JN12" s="21" t="n">
        <v>131.269</v>
      </c>
      <c r="JO12" s="21" t="n">
        <v>72.027</v>
      </c>
      <c r="JP12" s="21" t="n">
        <v>40.532</v>
      </c>
      <c r="JQ12" s="21" t="n">
        <v>120.598</v>
      </c>
      <c r="JR12" s="21" t="n">
        <v>36.046</v>
      </c>
      <c r="JS12" s="21" t="n">
        <v>87.529</v>
      </c>
      <c r="JT12" s="21" t="n">
        <v>167.276</v>
      </c>
      <c r="JU12" s="21" t="n">
        <v>196.667</v>
      </c>
      <c r="JV12" s="21" t="n">
        <v>151.724</v>
      </c>
      <c r="JW12" s="21" t="n">
        <v>111.86</v>
      </c>
      <c r="JX12" s="21" t="n">
        <v>228.543</v>
      </c>
      <c r="JY12" s="21" t="n">
        <v>183.181</v>
      </c>
      <c r="JZ12" s="21" t="n">
        <v>239.103</v>
      </c>
      <c r="KA12" s="21" t="n">
        <v>113.851</v>
      </c>
      <c r="KB12" s="21" t="n">
        <v>147.582</v>
      </c>
      <c r="KC12" s="21" t="n">
        <v>84.831</v>
      </c>
      <c r="KD12" s="21" t="n">
        <v>75.036</v>
      </c>
      <c r="KE12" s="21" t="n">
        <v>54.057</v>
      </c>
      <c r="KF12" s="21" t="n">
        <v>123.22</v>
      </c>
      <c r="KG12" s="21" t="n">
        <v>22.309</v>
      </c>
      <c r="KH12" s="21" t="n">
        <v>123.959</v>
      </c>
      <c r="KI12" s="21" t="n">
        <v>129.775</v>
      </c>
      <c r="KJ12" s="21" t="n">
        <v>122.1</v>
      </c>
      <c r="KK12" s="21" t="n">
        <v>45.917</v>
      </c>
      <c r="KL12" s="21" t="n">
        <v>43.188</v>
      </c>
      <c r="KM12" s="21" t="n">
        <v>51.927</v>
      </c>
      <c r="KN12" s="21" t="n"/>
      <c r="KO12" s="21" t="n">
        <v>98.06999999999999</v>
      </c>
      <c r="KP12" s="21" t="n">
        <v>99.923</v>
      </c>
      <c r="KQ12" s="21" t="n">
        <v>156.595</v>
      </c>
      <c r="KR12" s="21" t="n">
        <v>129.403</v>
      </c>
      <c r="KS12" s="21" t="n">
        <v>356.225</v>
      </c>
      <c r="KT12" s="21" t="n">
        <v>169.546</v>
      </c>
      <c r="KU12" s="21" t="n">
        <v>208.325</v>
      </c>
      <c r="KV12" s="21" t="n">
        <v>292.013</v>
      </c>
      <c r="KW12" s="21" t="n">
        <v>242.63</v>
      </c>
      <c r="KX12" s="21" t="n">
        <v>165.319</v>
      </c>
      <c r="KY12" s="21" t="n">
        <v>101.534</v>
      </c>
      <c r="KZ12" s="21" t="n">
        <v>139.527</v>
      </c>
      <c r="LA12" s="21" t="n">
        <v>244.865</v>
      </c>
      <c r="LB12" s="21" t="n">
        <v>660.713</v>
      </c>
      <c r="LC12" s="21" t="n">
        <v>227.352</v>
      </c>
      <c r="LD12" s="21" t="n">
        <v>701.154</v>
      </c>
      <c r="LE12" s="21" t="n">
        <v>800.652</v>
      </c>
      <c r="LF12" s="21" t="n">
        <v>72.976</v>
      </c>
      <c r="LG12" s="21" t="n">
        <v>279.456</v>
      </c>
      <c r="LH12" s="21" t="n">
        <v>235.381</v>
      </c>
      <c r="LI12" s="21" t="n">
        <v>80.355</v>
      </c>
      <c r="LJ12" s="21" t="n">
        <v>174.46</v>
      </c>
      <c r="LK12" s="21" t="n">
        <v>274.517</v>
      </c>
      <c r="LL12" s="21" t="n">
        <v>280.757</v>
      </c>
      <c r="LM12" s="21" t="n">
        <v>76.521</v>
      </c>
      <c r="LN12" s="21" t="n">
        <v>100.269</v>
      </c>
      <c r="LO12" s="21" t="n">
        <v>55.908</v>
      </c>
      <c r="LP12" s="21" t="n">
        <v>113.904</v>
      </c>
      <c r="LQ12" s="21" t="n"/>
      <c r="LR12" s="21" t="n"/>
      <c r="LS12" s="21" t="n">
        <v>118.011</v>
      </c>
      <c r="LT12" s="21" t="n">
        <v>46.716</v>
      </c>
      <c r="LU12" s="21" t="n">
        <v>36.66</v>
      </c>
      <c r="LV12" s="21" t="n">
        <v>76.875</v>
      </c>
      <c r="LW12" s="21" t="n">
        <v>295.964</v>
      </c>
      <c r="LX12" s="21" t="n"/>
      <c r="LY12" s="21" t="n">
        <v>418.351</v>
      </c>
      <c r="LZ12" s="21" t="n">
        <v>59.471</v>
      </c>
      <c r="MA12" s="21" t="n">
        <v>385.026</v>
      </c>
      <c r="MB12" s="21" t="n">
        <v>247.556</v>
      </c>
      <c r="MC12" s="21" t="n">
        <v>222.367</v>
      </c>
      <c r="MD12" s="21" t="n">
        <v>163.143</v>
      </c>
      <c r="ME12" s="21" t="n">
        <v>103.171</v>
      </c>
      <c r="MF12" s="21" t="n">
        <v>188.899</v>
      </c>
      <c r="MG12" s="21" t="n">
        <v>250.679</v>
      </c>
      <c r="MH12" s="21" t="n">
        <v>152.955</v>
      </c>
      <c r="MI12" s="21" t="n">
        <v>403.691</v>
      </c>
      <c r="MJ12" s="21" t="n">
        <v>328.393</v>
      </c>
      <c r="MK12" s="21" t="n">
        <v>317.847</v>
      </c>
      <c r="ML12" s="21" t="n">
        <v>157.872</v>
      </c>
      <c r="MM12" s="21" t="n">
        <v>182.821</v>
      </c>
      <c r="MN12" s="21" t="n">
        <v>317.997</v>
      </c>
      <c r="MO12" s="21" t="n">
        <v>148.398</v>
      </c>
      <c r="MP12" s="21" t="n">
        <v>218.149</v>
      </c>
      <c r="MQ12" s="21" t="n">
        <v>80.88200000000001</v>
      </c>
      <c r="MR12" s="21" t="n">
        <v>151.426</v>
      </c>
      <c r="MS12" s="21" t="n">
        <v>85.22199999999999</v>
      </c>
      <c r="MT12" s="21" t="n">
        <v>227.042</v>
      </c>
      <c r="MU12" s="21" t="n">
        <v>244.023</v>
      </c>
      <c r="MV12" s="21" t="n">
        <v>235.633</v>
      </c>
      <c r="MW12" s="21" t="n">
        <v>244.075</v>
      </c>
      <c r="MX12" s="21" t="n">
        <v>222.526</v>
      </c>
      <c r="MY12" s="21" t="n">
        <v>215.878</v>
      </c>
      <c r="MZ12" s="21" t="n">
        <v>223.085</v>
      </c>
      <c r="NA12" s="21" t="n">
        <v>227.87</v>
      </c>
      <c r="NB12" s="21" t="n">
        <v>119.967</v>
      </c>
      <c r="NC12" s="21" t="n">
        <v>179.825</v>
      </c>
      <c r="ND12" s="21" t="n">
        <v>149.282</v>
      </c>
      <c r="NE12" s="21" t="n">
        <v>146.12</v>
      </c>
      <c r="NF12" s="21" t="n">
        <v>145.624</v>
      </c>
      <c r="NG12" s="21" t="n">
        <v>146.536</v>
      </c>
      <c r="NH12" s="21" t="n">
        <v>251.236</v>
      </c>
      <c r="NI12" s="21" t="n">
        <v>107.926</v>
      </c>
      <c r="NJ12" s="21" t="n">
        <v>82.467</v>
      </c>
      <c r="NK12" s="21" t="n">
        <v>111.041</v>
      </c>
      <c r="NL12" s="21" t="n">
        <v>189.267</v>
      </c>
      <c r="NM12" s="21" t="n">
        <v>195.291</v>
      </c>
      <c r="NN12" s="21" t="n">
        <v>92.548</v>
      </c>
      <c r="NO12" s="21" t="n">
        <v>63.133</v>
      </c>
      <c r="NP12" s="21" t="n">
        <v>215.413</v>
      </c>
      <c r="NQ12" s="21" t="n">
        <v>187.637</v>
      </c>
      <c r="NR12" s="21" t="n">
        <v>224.602</v>
      </c>
      <c r="NS12" s="21" t="n">
        <v>184.361</v>
      </c>
      <c r="NT12" s="21" t="n">
        <v>224.255</v>
      </c>
      <c r="NU12" s="21" t="n">
        <v>108.194</v>
      </c>
      <c r="NV12" s="21" t="n">
        <v>113.502</v>
      </c>
      <c r="NW12" s="21" t="n">
        <v>342.467</v>
      </c>
      <c r="NX12" s="21" t="n">
        <v>87.642</v>
      </c>
      <c r="NY12" s="21" t="n">
        <v>112.202</v>
      </c>
      <c r="NZ12" s="21" t="n">
        <v>293.667</v>
      </c>
      <c r="OA12" s="21" t="n">
        <v>294.118</v>
      </c>
      <c r="OB12" s="21" t="n">
        <v>304.441</v>
      </c>
      <c r="OC12" s="21" t="n">
        <v>279.865</v>
      </c>
      <c r="OD12" s="21" t="n">
        <v>317.405</v>
      </c>
      <c r="OE12" s="21" t="n">
        <v>105.451</v>
      </c>
      <c r="OF12" s="21" t="n">
        <v>294.8</v>
      </c>
      <c r="OG12" s="21" t="n">
        <v>213.226</v>
      </c>
      <c r="OH12" s="21" t="n">
        <v>59.73</v>
      </c>
      <c r="OI12" s="21" t="n">
        <v>113.562</v>
      </c>
      <c r="OJ12" s="21" t="n">
        <v>42.1</v>
      </c>
      <c r="OK12" s="21" t="n">
        <v>14.1</v>
      </c>
    </row>
    <row r="13">
      <c r="A13" s="22" t="n">
        <v>42339</v>
      </c>
      <c r="B13" s="21" t="n">
        <v>236.525</v>
      </c>
      <c r="C13" s="21" t="n">
        <v>708.524</v>
      </c>
      <c r="D13" s="21" t="n">
        <v>247.468</v>
      </c>
      <c r="E13" s="21" t="n">
        <v>247.903</v>
      </c>
      <c r="F13" s="21" t="n">
        <v>241.375</v>
      </c>
      <c r="G13" s="21" t="n">
        <v>273.245</v>
      </c>
      <c r="H13" s="21" t="n">
        <v>232.176</v>
      </c>
      <c r="I13" s="21" t="n">
        <v>233.272</v>
      </c>
      <c r="J13" s="21" t="n">
        <v>231.211</v>
      </c>
      <c r="K13" s="21" t="n">
        <v>238.446</v>
      </c>
      <c r="L13" s="21" t="n">
        <v>164.284</v>
      </c>
      <c r="M13" s="21" t="n">
        <v>296.472</v>
      </c>
      <c r="N13" s="21" t="n">
        <v>179.58</v>
      </c>
      <c r="O13" s="21" t="n">
        <v>325.728</v>
      </c>
      <c r="P13" s="21" t="n">
        <v>346.288</v>
      </c>
      <c r="Q13" s="21" t="n">
        <v>177.165</v>
      </c>
      <c r="R13" s="21" t="n">
        <v>281.614</v>
      </c>
      <c r="S13" s="21" t="n">
        <v>298.337</v>
      </c>
      <c r="T13" s="21" t="n">
        <v>268.512</v>
      </c>
      <c r="U13" s="21" t="n">
        <v>261.739</v>
      </c>
      <c r="V13" s="21" t="n">
        <v>289.689</v>
      </c>
      <c r="W13" s="21" t="n">
        <v>302.993</v>
      </c>
      <c r="X13" s="21" t="n">
        <v>265.123</v>
      </c>
      <c r="Y13" s="21" t="n">
        <v>255.298</v>
      </c>
      <c r="Z13" s="21" t="n">
        <v>251.817</v>
      </c>
      <c r="AA13" s="21" t="n">
        <v>256.932</v>
      </c>
      <c r="AB13" s="21" t="n">
        <v>307.976</v>
      </c>
      <c r="AC13" s="21" t="n">
        <v>281.352</v>
      </c>
      <c r="AD13" s="21" t="n">
        <v>224.408</v>
      </c>
      <c r="AE13" s="21" t="n">
        <v>205.459</v>
      </c>
      <c r="AF13" s="21" t="n">
        <v>232.125</v>
      </c>
      <c r="AG13" s="21" t="n">
        <v>211.416</v>
      </c>
      <c r="AH13" s="21" t="n">
        <v>154.824</v>
      </c>
      <c r="AI13" s="21" t="n">
        <v>287.262</v>
      </c>
      <c r="AJ13" s="21" t="n">
        <v>139.974</v>
      </c>
      <c r="AK13" s="21" t="n">
        <v>201.479</v>
      </c>
      <c r="AL13" s="21" t="n">
        <v>224.415</v>
      </c>
      <c r="AM13" s="21" t="n">
        <v>194.638</v>
      </c>
      <c r="AN13" s="21" t="n">
        <v>130.115</v>
      </c>
      <c r="AO13" s="21" t="n">
        <v>231.786</v>
      </c>
      <c r="AP13" s="21" t="n">
        <v>242.799</v>
      </c>
      <c r="AQ13" s="21" t="n">
        <v>149.88</v>
      </c>
      <c r="AR13" s="21" t="n">
        <v>324.056</v>
      </c>
      <c r="AS13" s="21" t="n">
        <v>172.933</v>
      </c>
      <c r="AT13" s="21" t="n">
        <v>232.093</v>
      </c>
      <c r="AU13" s="21" t="n">
        <v>148.812</v>
      </c>
      <c r="AV13" s="21" t="n">
        <v>246.745</v>
      </c>
      <c r="AW13" s="21" t="n">
        <v>221.44</v>
      </c>
      <c r="AX13" s="21" t="n">
        <v>153.655</v>
      </c>
      <c r="AY13" s="21" t="n">
        <v>279.822</v>
      </c>
      <c r="AZ13" s="21" t="n">
        <v>168.813</v>
      </c>
      <c r="BA13" s="21" t="n">
        <v>144.423</v>
      </c>
      <c r="BB13" s="21" t="n">
        <v>203.689</v>
      </c>
      <c r="BC13" s="21" t="n">
        <v>300.581</v>
      </c>
      <c r="BD13" s="21" t="n">
        <v>304.654</v>
      </c>
      <c r="BE13" s="21" t="n">
        <v>220.848</v>
      </c>
      <c r="BF13" s="21" t="n">
        <v>145.728</v>
      </c>
      <c r="BG13" s="21" t="n">
        <v>209.399</v>
      </c>
      <c r="BH13" s="21" t="n">
        <v>149.495</v>
      </c>
      <c r="BI13" s="21" t="n">
        <v>230.712</v>
      </c>
      <c r="BJ13" s="21" t="n">
        <v>221.814</v>
      </c>
      <c r="BK13" s="21" t="n">
        <v>146.635</v>
      </c>
      <c r="BL13" s="21" t="n">
        <v>299.078</v>
      </c>
      <c r="BM13" s="21" t="n">
        <v>347.583</v>
      </c>
      <c r="BN13" s="21" t="n">
        <v>361.76</v>
      </c>
      <c r="BO13" s="21" t="n">
        <v>334.632</v>
      </c>
      <c r="BP13" s="21" t="n">
        <v>201.757</v>
      </c>
      <c r="BQ13" s="21" t="n">
        <v>223.155</v>
      </c>
      <c r="BR13" s="21" t="n">
        <v>453.648</v>
      </c>
      <c r="BS13" s="21" t="n">
        <v>128.843</v>
      </c>
      <c r="BT13" s="21" t="n">
        <v>331.419</v>
      </c>
      <c r="BU13" s="21" t="n">
        <v>307.171</v>
      </c>
      <c r="BV13" s="21" t="n">
        <v>341.425</v>
      </c>
      <c r="BW13" s="21" t="n">
        <v>345.131</v>
      </c>
      <c r="BX13" s="21" t="n">
        <v>335.785</v>
      </c>
      <c r="BY13" s="21" t="n">
        <v>155.052</v>
      </c>
      <c r="BZ13" s="21" t="n">
        <v>158.43</v>
      </c>
      <c r="CA13" s="21" t="n">
        <v>154.734</v>
      </c>
      <c r="CB13" s="21" t="n">
        <v>165.431</v>
      </c>
      <c r="CC13" s="21" t="n">
        <v>145.167</v>
      </c>
      <c r="CD13" s="21" t="n">
        <v>197.343</v>
      </c>
      <c r="CE13" s="21" t="n">
        <v>161.08</v>
      </c>
      <c r="CF13" s="21" t="n">
        <v>204.769</v>
      </c>
      <c r="CG13" s="21" t="n">
        <v>167.482</v>
      </c>
      <c r="CH13" s="21" t="n">
        <v>128.685</v>
      </c>
      <c r="CI13" s="21" t="n">
        <v>158.32</v>
      </c>
      <c r="CJ13" s="21" t="n">
        <v>177.198</v>
      </c>
      <c r="CK13" s="21" t="n">
        <v>118.9</v>
      </c>
      <c r="CL13" s="21" t="n">
        <v>118.748</v>
      </c>
      <c r="CM13" s="21" t="n">
        <v>199.729</v>
      </c>
      <c r="CN13" s="21" t="n">
        <v>209</v>
      </c>
      <c r="CO13" s="21" t="n">
        <v>198.181</v>
      </c>
      <c r="CP13" s="21" t="n">
        <v>129.259</v>
      </c>
      <c r="CQ13" s="21" t="n">
        <v>208.915</v>
      </c>
      <c r="CR13" s="21" t="n">
        <v>215.451</v>
      </c>
      <c r="CS13" s="21" t="n">
        <v>184.873</v>
      </c>
      <c r="CT13" s="21" t="n">
        <v>145.966</v>
      </c>
      <c r="CU13" s="21" t="n">
        <v>153.059</v>
      </c>
      <c r="CV13" s="21" t="n">
        <v>227.037</v>
      </c>
      <c r="CW13" s="21" t="n">
        <v>202.867</v>
      </c>
      <c r="CX13" s="21" t="n">
        <v>239.169</v>
      </c>
      <c r="CY13" s="21" t="n">
        <v>295.025</v>
      </c>
      <c r="CZ13" s="21" t="n">
        <v>132.242</v>
      </c>
      <c r="DA13" s="21" t="n">
        <v>156.275</v>
      </c>
      <c r="DB13" s="21" t="n">
        <v>158.143</v>
      </c>
      <c r="DC13" s="21" t="n">
        <v>223.012</v>
      </c>
      <c r="DD13" s="21" t="n">
        <v>230.038</v>
      </c>
      <c r="DE13" s="21" t="n">
        <v>170.74</v>
      </c>
      <c r="DF13" s="21" t="n">
        <v>251.559</v>
      </c>
      <c r="DG13" s="21" t="n">
        <v>231.446</v>
      </c>
      <c r="DH13" s="21" t="n">
        <v>144.876</v>
      </c>
      <c r="DI13" s="21" t="n">
        <v>137.193</v>
      </c>
      <c r="DJ13" s="21" t="n">
        <v>135.448</v>
      </c>
      <c r="DK13" s="21" t="n">
        <v>268.179</v>
      </c>
      <c r="DL13" s="21" t="n">
        <v>154.439</v>
      </c>
      <c r="DM13" s="21" t="n">
        <v>133.205</v>
      </c>
      <c r="DN13" s="21" t="n">
        <v>125.398</v>
      </c>
      <c r="DO13" s="21" t="n">
        <v>259.097</v>
      </c>
      <c r="DP13" s="21" t="n">
        <v>161.042</v>
      </c>
      <c r="DQ13" s="21" t="n">
        <v>165.079</v>
      </c>
      <c r="DR13" s="21" t="n">
        <v>168.165</v>
      </c>
      <c r="DS13" s="21" t="n">
        <v>140.92</v>
      </c>
      <c r="DT13" s="21" t="n">
        <v>147.383</v>
      </c>
      <c r="DU13" s="21" t="n">
        <v>182.131</v>
      </c>
      <c r="DV13" s="21" t="n">
        <v>240.128</v>
      </c>
      <c r="DW13" s="21" t="n">
        <v>197.284</v>
      </c>
      <c r="DX13" s="21" t="n">
        <v>217.293</v>
      </c>
      <c r="DY13" s="21" t="n">
        <v>191.661</v>
      </c>
      <c r="DZ13" s="21" t="n">
        <v>206.841</v>
      </c>
      <c r="EA13" s="21" t="n">
        <v>184.984</v>
      </c>
      <c r="EB13" s="21" t="n">
        <v>166.767</v>
      </c>
      <c r="EC13" s="21" t="n">
        <v>332.505</v>
      </c>
      <c r="ED13" s="21" t="n">
        <v>164.64</v>
      </c>
      <c r="EE13" s="21" t="n">
        <v>178.47</v>
      </c>
      <c r="EF13" s="21" t="n">
        <v>179.355</v>
      </c>
      <c r="EG13" s="21" t="n">
        <v>239.514</v>
      </c>
      <c r="EH13" s="21" t="n">
        <v>282.394</v>
      </c>
      <c r="EI13" s="21" t="n">
        <v>291.204</v>
      </c>
      <c r="EJ13" s="21" t="n">
        <v>141.412</v>
      </c>
      <c r="EK13" s="21" t="n">
        <v>517.1900000000001</v>
      </c>
      <c r="EL13" s="21" t="n">
        <v>286.493</v>
      </c>
      <c r="EM13" s="21" t="n">
        <v>290.133</v>
      </c>
      <c r="EN13" s="21" t="n">
        <v>290.089</v>
      </c>
      <c r="EO13" s="21" t="n">
        <v>147.76</v>
      </c>
      <c r="EP13" s="21" t="n">
        <v>223.521</v>
      </c>
      <c r="EQ13" s="21" t="n">
        <v>186.361</v>
      </c>
      <c r="ER13" s="21" t="n">
        <v>228.614</v>
      </c>
      <c r="ES13" s="21" t="n">
        <v>208.561</v>
      </c>
      <c r="ET13" s="21" t="n">
        <v>302.791</v>
      </c>
      <c r="EU13" s="21" t="n">
        <v>190.918</v>
      </c>
      <c r="EV13" s="21" t="n">
        <v>201.787</v>
      </c>
      <c r="EW13" s="21" t="n">
        <v>155.746</v>
      </c>
      <c r="EX13" s="21" t="n">
        <v>217.386</v>
      </c>
      <c r="EY13" s="21" t="n">
        <v>501.462</v>
      </c>
      <c r="EZ13" s="21" t="n">
        <v>436.996</v>
      </c>
      <c r="FA13" s="21" t="n">
        <v>122.1</v>
      </c>
      <c r="FB13" s="21" t="n">
        <v>61.043</v>
      </c>
      <c r="FC13" s="21" t="n">
        <v>108.808</v>
      </c>
      <c r="FD13" s="21" t="n">
        <v>69.291</v>
      </c>
      <c r="FE13" s="21" t="n">
        <v>48.171</v>
      </c>
      <c r="FF13" s="21" t="n">
        <v>114.081</v>
      </c>
      <c r="FG13" s="21" t="n">
        <v>131.815</v>
      </c>
      <c r="FH13" s="21" t="n">
        <v>85.334</v>
      </c>
      <c r="FI13" s="21" t="n">
        <v>74.98</v>
      </c>
      <c r="FJ13" s="21" t="n"/>
      <c r="FK13" s="21" t="n">
        <v>76.952</v>
      </c>
      <c r="FL13" s="21" t="n">
        <v>85.087</v>
      </c>
      <c r="FM13" s="21" t="n">
        <v>95.569</v>
      </c>
      <c r="FN13" s="21" t="n">
        <v>66.02200000000001</v>
      </c>
      <c r="FO13" s="21" t="n">
        <v>57.657</v>
      </c>
      <c r="FP13" s="21" t="n">
        <v>45.607</v>
      </c>
      <c r="FQ13" s="21" t="n">
        <v>129.579</v>
      </c>
      <c r="FR13" s="21" t="n">
        <v>54.398</v>
      </c>
      <c r="FS13" s="21" t="n">
        <v>86.73099999999999</v>
      </c>
      <c r="FT13" s="21" t="n">
        <v>90.253</v>
      </c>
      <c r="FU13" s="21" t="n">
        <v>98.34399999999999</v>
      </c>
      <c r="FV13" s="21" t="n">
        <v>86.357</v>
      </c>
      <c r="FW13" s="21" t="n">
        <v>186.76</v>
      </c>
      <c r="FX13" s="21" t="n">
        <v>119.282</v>
      </c>
      <c r="FY13" s="21" t="n">
        <v>169.593</v>
      </c>
      <c r="FZ13" s="21" t="n">
        <v>118.291</v>
      </c>
      <c r="GA13" s="21" t="n">
        <v>169.33</v>
      </c>
      <c r="GB13" s="21" t="n">
        <v>156.145</v>
      </c>
      <c r="GC13" s="21" t="n">
        <v>173.241</v>
      </c>
      <c r="GD13" s="21" t="n">
        <v>148.781</v>
      </c>
      <c r="GE13" s="21" t="n">
        <v>222.58</v>
      </c>
      <c r="GF13" s="21" t="n">
        <v>122.792</v>
      </c>
      <c r="GG13" s="21" t="n">
        <v>117.445</v>
      </c>
      <c r="GH13" s="21" t="n">
        <v>120.852</v>
      </c>
      <c r="GI13" s="21" t="n">
        <v>102.792</v>
      </c>
      <c r="GJ13" s="21" t="n">
        <v>156.833</v>
      </c>
      <c r="GK13" s="21" t="n">
        <v>78.34099999999999</v>
      </c>
      <c r="GL13" s="21" t="n">
        <v>118.334</v>
      </c>
      <c r="GM13" s="21" t="n">
        <v>103.801</v>
      </c>
      <c r="GN13" s="21" t="n">
        <v>107.397</v>
      </c>
      <c r="GO13" s="21" t="n">
        <v>110.148</v>
      </c>
      <c r="GP13" s="21" t="n">
        <v>110.278</v>
      </c>
      <c r="GQ13" s="21" t="n">
        <v>111.288</v>
      </c>
      <c r="GR13" s="21" t="n">
        <v>77.62</v>
      </c>
      <c r="GS13" s="21" t="n">
        <v>104.513</v>
      </c>
      <c r="GT13" s="21" t="n">
        <v>94.264</v>
      </c>
      <c r="GU13" s="21" t="n">
        <v>134.891</v>
      </c>
      <c r="GV13" s="21" t="n">
        <v>134.994</v>
      </c>
      <c r="GW13" s="21" t="n">
        <v>148.685</v>
      </c>
      <c r="GX13" s="21" t="n">
        <v>127.63</v>
      </c>
      <c r="GY13" s="21" t="n">
        <v>118.249</v>
      </c>
      <c r="GZ13" s="21" t="n">
        <v>155.163</v>
      </c>
      <c r="HA13" s="21" t="n">
        <v>120.634</v>
      </c>
      <c r="HB13" s="21" t="n">
        <v>160.056</v>
      </c>
      <c r="HC13" s="21" t="n">
        <v>191.528</v>
      </c>
      <c r="HD13" s="21" t="n">
        <v>186.117</v>
      </c>
      <c r="HE13" s="21" t="n">
        <v>99.68600000000001</v>
      </c>
      <c r="HF13" s="21" t="n">
        <v>146.817</v>
      </c>
      <c r="HG13" s="21" t="n">
        <v>101.767</v>
      </c>
      <c r="HH13" s="21" t="n">
        <v>143.638</v>
      </c>
      <c r="HI13" s="21" t="n">
        <v>155.519</v>
      </c>
      <c r="HJ13" s="21" t="n"/>
      <c r="HK13" s="21" t="n">
        <v>142.474</v>
      </c>
      <c r="HL13" s="21" t="n">
        <v>85.614</v>
      </c>
      <c r="HM13" s="21" t="n">
        <v>115.745</v>
      </c>
      <c r="HN13" s="21" t="n">
        <v>180.452</v>
      </c>
      <c r="HO13" s="21" t="n">
        <v>179.496</v>
      </c>
      <c r="HP13" s="21" t="n">
        <v>175.324</v>
      </c>
      <c r="HQ13" s="21" t="n">
        <v>193.827</v>
      </c>
      <c r="HR13" s="21" t="n">
        <v>193.284</v>
      </c>
      <c r="HS13" s="21" t="n">
        <v>170.851</v>
      </c>
      <c r="HT13" s="21" t="n">
        <v>144.245</v>
      </c>
      <c r="HU13" s="21" t="n">
        <v>126.41</v>
      </c>
      <c r="HV13" s="21" t="n">
        <v>166.405</v>
      </c>
      <c r="HW13" s="21" t="n">
        <v>157.142</v>
      </c>
      <c r="HX13" s="21" t="n">
        <v>369.702</v>
      </c>
      <c r="HY13" s="21" t="n">
        <v>272.967</v>
      </c>
      <c r="HZ13" s="21" t="n">
        <v>283.234</v>
      </c>
      <c r="IA13" s="21" t="n">
        <v>244.9</v>
      </c>
      <c r="IB13" s="21" t="n">
        <v>169.787</v>
      </c>
      <c r="IC13" s="21" t="n">
        <v>474.392</v>
      </c>
      <c r="ID13" s="21" t="n">
        <v>180.576</v>
      </c>
      <c r="IE13" s="21" t="n">
        <v>171.738</v>
      </c>
      <c r="IF13" s="21" t="n">
        <v>195.285</v>
      </c>
      <c r="IG13" s="21" t="n">
        <v>217.384</v>
      </c>
      <c r="IH13" s="21" t="n">
        <v>125.895</v>
      </c>
      <c r="II13" s="21" t="n">
        <v>262.787</v>
      </c>
      <c r="IJ13" s="21" t="n">
        <v>278.658</v>
      </c>
      <c r="IK13" s="21" t="n">
        <v>158.511</v>
      </c>
      <c r="IL13" s="21" t="n"/>
      <c r="IM13" s="21" t="n">
        <v>112.894</v>
      </c>
      <c r="IN13" s="21" t="n">
        <v>64.884</v>
      </c>
      <c r="IO13" s="21" t="n">
        <v>306.647</v>
      </c>
      <c r="IP13" s="21" t="n">
        <v>121.427</v>
      </c>
      <c r="IQ13" s="21" t="n">
        <v>451.072</v>
      </c>
      <c r="IR13" s="21" t="n">
        <v>355.03</v>
      </c>
      <c r="IS13" s="21" t="n">
        <v>116.026</v>
      </c>
      <c r="IT13" s="21" t="n">
        <v>481.134</v>
      </c>
      <c r="IU13" s="21" t="n">
        <v>97.045</v>
      </c>
      <c r="IV13" s="21" t="n">
        <v>99.005</v>
      </c>
      <c r="IW13" s="21" t="n">
        <v>481.983</v>
      </c>
      <c r="IX13" s="21" t="n">
        <v>364.485</v>
      </c>
      <c r="IY13" s="21" t="n">
        <v>370.324</v>
      </c>
      <c r="IZ13" s="21" t="n">
        <v>455.459</v>
      </c>
      <c r="JA13" s="21" t="n">
        <v>184.297</v>
      </c>
      <c r="JB13" s="21" t="n">
        <v>228.291</v>
      </c>
      <c r="JC13" s="21" t="n">
        <v>70.23</v>
      </c>
      <c r="JD13" s="21" t="n">
        <v>294.377</v>
      </c>
      <c r="JE13" s="21" t="n">
        <v>289.7</v>
      </c>
      <c r="JF13" s="21" t="n">
        <v>659.353</v>
      </c>
      <c r="JG13" s="21" t="n">
        <v>208.422</v>
      </c>
      <c r="JH13" s="21" t="n">
        <v>119.325</v>
      </c>
      <c r="JI13" s="21" t="n">
        <v>126.372</v>
      </c>
      <c r="JJ13" s="21" t="n">
        <v>115.625</v>
      </c>
      <c r="JK13" s="21" t="n">
        <v>99.181</v>
      </c>
      <c r="JL13" s="21" t="n">
        <v>298.712</v>
      </c>
      <c r="JM13" s="21" t="n">
        <v>424.055</v>
      </c>
      <c r="JN13" s="21" t="n">
        <v>127.034</v>
      </c>
      <c r="JO13" s="21" t="n">
        <v>73.70699999999999</v>
      </c>
      <c r="JP13" s="21" t="n">
        <v>41.884</v>
      </c>
      <c r="JQ13" s="21" t="n">
        <v>121.019</v>
      </c>
      <c r="JR13" s="21" t="n">
        <v>35.416</v>
      </c>
      <c r="JS13" s="21" t="n">
        <v>87.462</v>
      </c>
      <c r="JT13" s="21" t="n">
        <v>167.652</v>
      </c>
      <c r="JU13" s="21" t="n">
        <v>196.952</v>
      </c>
      <c r="JV13" s="21" t="n">
        <v>152.068</v>
      </c>
      <c r="JW13" s="21" t="n">
        <v>112.096</v>
      </c>
      <c r="JX13" s="21" t="n">
        <v>229.342</v>
      </c>
      <c r="JY13" s="21" t="n">
        <v>183.447</v>
      </c>
      <c r="JZ13" s="21" t="n">
        <v>239.985</v>
      </c>
      <c r="KA13" s="21" t="n">
        <v>113.421</v>
      </c>
      <c r="KB13" s="21" t="n">
        <v>146.192</v>
      </c>
      <c r="KC13" s="21" t="n">
        <v>84.91800000000001</v>
      </c>
      <c r="KD13" s="21" t="n">
        <v>74.45699999999999</v>
      </c>
      <c r="KE13" s="21" t="n">
        <v>52.972</v>
      </c>
      <c r="KF13" s="21" t="n">
        <v>123.12</v>
      </c>
      <c r="KG13" s="21" t="n">
        <v>21.729</v>
      </c>
      <c r="KH13" s="21" t="n">
        <v>124.36</v>
      </c>
      <c r="KI13" s="21" t="n">
        <v>129.775</v>
      </c>
      <c r="KJ13" s="21" t="n">
        <v>122.366</v>
      </c>
      <c r="KK13" s="21" t="n">
        <v>45.215</v>
      </c>
      <c r="KL13" s="21" t="n">
        <v>42.338</v>
      </c>
      <c r="KM13" s="21" t="n">
        <v>51.259</v>
      </c>
      <c r="KN13" s="21" t="n"/>
      <c r="KO13" s="21" t="n">
        <v>98.45399999999999</v>
      </c>
      <c r="KP13" s="21" t="n">
        <v>98.88500000000001</v>
      </c>
      <c r="KQ13" s="21" t="n">
        <v>156.831</v>
      </c>
      <c r="KR13" s="21" t="n">
        <v>129.04</v>
      </c>
      <c r="KS13" s="21" t="n">
        <v>357.606</v>
      </c>
      <c r="KT13" s="21" t="n">
        <v>171.884</v>
      </c>
      <c r="KU13" s="21" t="n">
        <v>204.856</v>
      </c>
      <c r="KV13" s="21" t="n">
        <v>292.809</v>
      </c>
      <c r="KW13" s="21" t="n">
        <v>243.123</v>
      </c>
      <c r="KX13" s="21" t="n">
        <v>164.262</v>
      </c>
      <c r="KY13" s="21" t="n">
        <v>102.841</v>
      </c>
      <c r="KZ13" s="21" t="n">
        <v>139.388</v>
      </c>
      <c r="LA13" s="21" t="n">
        <v>244.777</v>
      </c>
      <c r="LB13" s="21" t="n">
        <v>664.102</v>
      </c>
      <c r="LC13" s="21" t="n">
        <v>228.681</v>
      </c>
      <c r="LD13" s="21" t="n">
        <v>700.65</v>
      </c>
      <c r="LE13" s="21" t="n">
        <v>800.6900000000001</v>
      </c>
      <c r="LF13" s="21" t="n">
        <v>72.949</v>
      </c>
      <c r="LG13" s="21" t="n">
        <v>278.668</v>
      </c>
      <c r="LH13" s="21" t="n">
        <v>235.67</v>
      </c>
      <c r="LI13" s="21" t="n">
        <v>80.227</v>
      </c>
      <c r="LJ13" s="21" t="n">
        <v>174.496</v>
      </c>
      <c r="LK13" s="21" t="n">
        <v>274.517</v>
      </c>
      <c r="LL13" s="21" t="n">
        <v>281.351</v>
      </c>
      <c r="LM13" s="21" t="n">
        <v>76.393</v>
      </c>
      <c r="LN13" s="21" t="n">
        <v>100.228</v>
      </c>
      <c r="LO13" s="21" t="n">
        <v>55.883</v>
      </c>
      <c r="LP13" s="21" t="n">
        <v>113.862</v>
      </c>
      <c r="LQ13" s="21" t="n"/>
      <c r="LR13" s="21" t="n"/>
      <c r="LS13" s="21" t="n">
        <v>117.478</v>
      </c>
      <c r="LT13" s="21" t="n">
        <v>45.997</v>
      </c>
      <c r="LU13" s="21" t="n">
        <v>36.369</v>
      </c>
      <c r="LV13" s="21" t="n">
        <v>76.988</v>
      </c>
      <c r="LW13" s="21" t="n">
        <v>288.973</v>
      </c>
      <c r="LX13" s="21" t="n"/>
      <c r="LY13" s="21" t="n">
        <v>418.298</v>
      </c>
      <c r="LZ13" s="21" t="n">
        <v>59.867</v>
      </c>
      <c r="MA13" s="21" t="n">
        <v>387.794</v>
      </c>
      <c r="MB13" s="21" t="n">
        <v>247.49</v>
      </c>
      <c r="MC13" s="21" t="n">
        <v>221.928</v>
      </c>
      <c r="MD13" s="21" t="n">
        <v>163.026</v>
      </c>
      <c r="ME13" s="21" t="n">
        <v>102.948</v>
      </c>
      <c r="MF13" s="21" t="n">
        <v>189.053</v>
      </c>
      <c r="MG13" s="21" t="n">
        <v>250.213</v>
      </c>
      <c r="MH13" s="21" t="n">
        <v>152.671</v>
      </c>
      <c r="MI13" s="21" t="n">
        <v>403.19</v>
      </c>
      <c r="MJ13" s="21" t="n">
        <v>327.925</v>
      </c>
      <c r="MK13" s="21" t="n">
        <v>316.127</v>
      </c>
      <c r="ML13" s="21" t="n">
        <v>158.222</v>
      </c>
      <c r="MM13" s="21" t="n">
        <v>183.034</v>
      </c>
      <c r="MN13" s="21" t="n">
        <v>317.151</v>
      </c>
      <c r="MO13" s="21" t="n">
        <v>148.495</v>
      </c>
      <c r="MP13" s="21" t="n">
        <v>217.516</v>
      </c>
      <c r="MQ13" s="21" t="n">
        <v>79.92700000000001</v>
      </c>
      <c r="MR13" s="21" t="n">
        <v>151.121</v>
      </c>
      <c r="MS13" s="21" t="n">
        <v>83.97799999999999</v>
      </c>
      <c r="MT13" s="21" t="n">
        <v>226.213</v>
      </c>
      <c r="MU13" s="21" t="n">
        <v>243.711</v>
      </c>
      <c r="MV13" s="21" t="n">
        <v>234.758</v>
      </c>
      <c r="MW13" s="21" t="n">
        <v>243.779</v>
      </c>
      <c r="MX13" s="21" t="n">
        <v>221.203</v>
      </c>
      <c r="MY13" s="21" t="n">
        <v>214.341</v>
      </c>
      <c r="MZ13" s="21" t="n">
        <v>222.345</v>
      </c>
      <c r="NA13" s="21" t="n">
        <v>227.132</v>
      </c>
      <c r="NB13" s="21" t="n">
        <v>115.521</v>
      </c>
      <c r="NC13" s="21" t="n">
        <v>178.016</v>
      </c>
      <c r="ND13" s="21" t="n">
        <v>146.994</v>
      </c>
      <c r="NE13" s="21" t="n">
        <v>143.787</v>
      </c>
      <c r="NF13" s="21" t="n">
        <v>144.522</v>
      </c>
      <c r="NG13" s="21" t="n">
        <v>145.398</v>
      </c>
      <c r="NH13" s="21" t="n">
        <v>250.262</v>
      </c>
      <c r="NI13" s="21" t="n">
        <v>107.599</v>
      </c>
      <c r="NJ13" s="21" t="n">
        <v>81.798</v>
      </c>
      <c r="NK13" s="21" t="n">
        <v>111.001</v>
      </c>
      <c r="NL13" s="21" t="n">
        <v>183.378</v>
      </c>
      <c r="NM13" s="21" t="n">
        <v>184.048</v>
      </c>
      <c r="NN13" s="21" t="n">
        <v>92.51900000000001</v>
      </c>
      <c r="NO13" s="21" t="n">
        <v>62.165</v>
      </c>
      <c r="NP13" s="21" t="n">
        <v>212.773</v>
      </c>
      <c r="NQ13" s="21" t="n">
        <v>183.309</v>
      </c>
      <c r="NR13" s="21" t="n">
        <v>220.164</v>
      </c>
      <c r="NS13" s="21" t="n">
        <v>179.8</v>
      </c>
      <c r="NT13" s="21" t="n">
        <v>219.395</v>
      </c>
      <c r="NU13" s="21" t="n">
        <v>108.339</v>
      </c>
      <c r="NV13" s="21" t="n">
        <v>113.336</v>
      </c>
      <c r="NW13" s="21" t="n">
        <v>342.517</v>
      </c>
      <c r="NX13" s="21" t="n">
        <v>87.032</v>
      </c>
      <c r="NY13" s="21" t="n">
        <v>112.401</v>
      </c>
      <c r="NZ13" s="21" t="n">
        <v>294.137</v>
      </c>
      <c r="OA13" s="21" t="n">
        <v>294.263</v>
      </c>
      <c r="OB13" s="21" t="n">
        <v>304.699</v>
      </c>
      <c r="OC13" s="21" t="n">
        <v>280.013</v>
      </c>
      <c r="OD13" s="21" t="n">
        <v>317.175</v>
      </c>
      <c r="OE13" s="21" t="n">
        <v>105.311</v>
      </c>
      <c r="OF13" s="21" t="n">
        <v>294.081</v>
      </c>
      <c r="OG13" s="21" t="n">
        <v>212.126</v>
      </c>
      <c r="OH13" s="21" t="n">
        <v>58.241</v>
      </c>
      <c r="OI13" s="21" t="n">
        <v>113.739</v>
      </c>
      <c r="OJ13" s="21" t="n">
        <v>42.3</v>
      </c>
      <c r="OK13" s="21" t="n">
        <v>14.1</v>
      </c>
    </row>
    <row r="14">
      <c r="A14" s="22" t="n">
        <v>42370</v>
      </c>
      <c r="B14" s="21" t="n">
        <v>236.916</v>
      </c>
      <c r="C14" s="21" t="n">
        <v>709.6950000000001</v>
      </c>
      <c r="D14" s="21" t="n">
        <v>248.241</v>
      </c>
      <c r="E14" s="21" t="n">
        <v>248.631</v>
      </c>
      <c r="F14" s="21" t="n">
        <v>242.017</v>
      </c>
      <c r="G14" s="21" t="n">
        <v>274.58</v>
      </c>
      <c r="H14" s="21" t="n">
        <v>231.964</v>
      </c>
      <c r="I14" s="21" t="n">
        <v>245.8</v>
      </c>
      <c r="J14" s="21" t="n">
        <v>226.156</v>
      </c>
      <c r="K14" s="21" t="n">
        <v>241.181</v>
      </c>
      <c r="L14" s="21" t="n">
        <v>165.145</v>
      </c>
      <c r="M14" s="21" t="n">
        <v>298.797</v>
      </c>
      <c r="N14" s="21" t="n">
        <v>179.602</v>
      </c>
      <c r="O14" s="21" t="n">
        <v>325.929</v>
      </c>
      <c r="P14" s="21" t="n">
        <v>346.033</v>
      </c>
      <c r="Q14" s="21" t="n">
        <v>178.295</v>
      </c>
      <c r="R14" s="21" t="n">
        <v>283.762</v>
      </c>
      <c r="S14" s="21" t="n">
        <v>300.418</v>
      </c>
      <c r="T14" s="21" t="n">
        <v>270.189</v>
      </c>
      <c r="U14" s="21" t="n">
        <v>265.977</v>
      </c>
      <c r="V14" s="21" t="n">
        <v>292.994</v>
      </c>
      <c r="W14" s="21" t="n">
        <v>306.867</v>
      </c>
      <c r="X14" s="21" t="n">
        <v>269.145</v>
      </c>
      <c r="Y14" s="21" t="n">
        <v>251.783</v>
      </c>
      <c r="Z14" s="21" t="n">
        <v>250.298</v>
      </c>
      <c r="AA14" s="21" t="n">
        <v>254.215</v>
      </c>
      <c r="AB14" s="21" t="n">
        <v>303.652</v>
      </c>
      <c r="AC14" s="21" t="n">
        <v>275.641</v>
      </c>
      <c r="AD14" s="21" t="n">
        <v>221.825</v>
      </c>
      <c r="AE14" s="21" t="n">
        <v>203.533</v>
      </c>
      <c r="AF14" s="21" t="n">
        <v>230.377</v>
      </c>
      <c r="AG14" s="21" t="n">
        <v>210.268</v>
      </c>
      <c r="AH14" s="21" t="n">
        <v>156.467</v>
      </c>
      <c r="AI14" s="21" t="n">
        <v>286.999</v>
      </c>
      <c r="AJ14" s="21" t="n">
        <v>144.608</v>
      </c>
      <c r="AK14" s="21" t="n">
        <v>201.281</v>
      </c>
      <c r="AL14" s="21" t="n">
        <v>223.543</v>
      </c>
      <c r="AM14" s="21" t="n">
        <v>187.37</v>
      </c>
      <c r="AN14" s="21" t="n">
        <v>128.228</v>
      </c>
      <c r="AO14" s="21" t="n">
        <v>229.318</v>
      </c>
      <c r="AP14" s="21" t="n">
        <v>234.021</v>
      </c>
      <c r="AQ14" s="21" t="n">
        <v>148.796</v>
      </c>
      <c r="AR14" s="21" t="n">
        <v>324.484</v>
      </c>
      <c r="AS14" s="21" t="n">
        <v>173.569</v>
      </c>
      <c r="AT14" s="21" t="n">
        <v>231.368</v>
      </c>
      <c r="AU14" s="21" t="n">
        <v>147.767</v>
      </c>
      <c r="AV14" s="21" t="n">
        <v>246.03</v>
      </c>
      <c r="AW14" s="21" t="n">
        <v>219.896</v>
      </c>
      <c r="AX14" s="21" t="n">
        <v>155.759</v>
      </c>
      <c r="AY14" s="21" t="n">
        <v>282.355</v>
      </c>
      <c r="AZ14" s="21" t="n">
        <v>172.3</v>
      </c>
      <c r="BA14" s="21" t="n">
        <v>143.829</v>
      </c>
      <c r="BB14" s="21" t="n">
        <v>202.177</v>
      </c>
      <c r="BC14" s="21" t="n">
        <v>301.624</v>
      </c>
      <c r="BD14" s="21" t="n">
        <v>274.002</v>
      </c>
      <c r="BE14" s="21" t="n">
        <v>220.869</v>
      </c>
      <c r="BF14" s="21" t="n">
        <v>143.629</v>
      </c>
      <c r="BG14" s="21" t="n">
        <v>209.101</v>
      </c>
      <c r="BH14" s="21" t="n">
        <v>146.654</v>
      </c>
      <c r="BI14" s="21" t="n">
        <v>231.772</v>
      </c>
      <c r="BJ14" s="21" t="n">
        <v>223.832</v>
      </c>
      <c r="BK14" s="21" t="n">
        <v>147.501</v>
      </c>
      <c r="BL14" s="21" t="n">
        <v>306.796</v>
      </c>
      <c r="BM14" s="21" t="n">
        <v>356.741</v>
      </c>
      <c r="BN14" s="21" t="n">
        <v>364.494</v>
      </c>
      <c r="BO14" s="21" t="n">
        <v>342.928</v>
      </c>
      <c r="BP14" s="21" t="n">
        <v>200.802</v>
      </c>
      <c r="BQ14" s="21" t="n">
        <v>218.298</v>
      </c>
      <c r="BR14" s="21" t="n">
        <v>441.884</v>
      </c>
      <c r="BS14" s="21" t="n">
        <v>131.697</v>
      </c>
      <c r="BT14" s="21" t="n">
        <v>347.25</v>
      </c>
      <c r="BU14" s="21" t="n">
        <v>326.236</v>
      </c>
      <c r="BV14" s="21" t="n">
        <v>328.236</v>
      </c>
      <c r="BW14" s="21" t="n">
        <v>397.785</v>
      </c>
      <c r="BX14" s="21" t="n">
        <v>347.064</v>
      </c>
      <c r="BY14" s="21" t="n">
        <v>158.742</v>
      </c>
      <c r="BZ14" s="21" t="n">
        <v>163.174</v>
      </c>
      <c r="CA14" s="21" t="n">
        <v>159.446</v>
      </c>
      <c r="CB14" s="21" t="n">
        <v>170.366</v>
      </c>
      <c r="CC14" s="21" t="n">
        <v>147.622</v>
      </c>
      <c r="CD14" s="21" t="n">
        <v>202.692</v>
      </c>
      <c r="CE14" s="21" t="n">
        <v>163.888</v>
      </c>
      <c r="CF14" s="21" t="n">
        <v>203.374</v>
      </c>
      <c r="CG14" s="21" t="n">
        <v>168.718</v>
      </c>
      <c r="CH14" s="21" t="n">
        <v>129.476</v>
      </c>
      <c r="CI14" s="21" t="n">
        <v>161.428</v>
      </c>
      <c r="CJ14" s="21" t="n">
        <v>174.259</v>
      </c>
      <c r="CK14" s="21" t="n">
        <v>118.636</v>
      </c>
      <c r="CL14" s="21" t="n">
        <v>119.971</v>
      </c>
      <c r="CM14" s="21" t="n">
        <v>203.038</v>
      </c>
      <c r="CN14" s="21" t="n">
        <v>213.159</v>
      </c>
      <c r="CO14" s="21" t="n">
        <v>196.453</v>
      </c>
      <c r="CP14" s="21" t="n">
        <v>129.233</v>
      </c>
      <c r="CQ14" s="21" t="n">
        <v>208.81</v>
      </c>
      <c r="CR14" s="21" t="n">
        <v>215.261</v>
      </c>
      <c r="CS14" s="21" t="n">
        <v>190.185</v>
      </c>
      <c r="CT14" s="21" t="n">
        <v>144.334</v>
      </c>
      <c r="CU14" s="21" t="n">
        <v>154.222</v>
      </c>
      <c r="CV14" s="21" t="n">
        <v>228.469</v>
      </c>
      <c r="CW14" s="21" t="n">
        <v>204.838</v>
      </c>
      <c r="CX14" s="21" t="n">
        <v>240.904</v>
      </c>
      <c r="CY14" s="21" t="n">
        <v>296.87</v>
      </c>
      <c r="CZ14" s="21" t="n">
        <v>130.744</v>
      </c>
      <c r="DA14" s="21" t="n">
        <v>158.393</v>
      </c>
      <c r="DB14" s="21" t="n">
        <v>157.887</v>
      </c>
      <c r="DC14" s="21" t="n">
        <v>222.674</v>
      </c>
      <c r="DD14" s="21" t="n">
        <v>231.243</v>
      </c>
      <c r="DE14" s="21" t="n">
        <v>168.308</v>
      </c>
      <c r="DF14" s="21" t="n">
        <v>251.932</v>
      </c>
      <c r="DG14" s="21" t="n">
        <v>238.408</v>
      </c>
      <c r="DH14" s="21" t="n">
        <v>151.325</v>
      </c>
      <c r="DI14" s="21" t="n">
        <v>139.338</v>
      </c>
      <c r="DJ14" s="21" t="n">
        <v>138.432</v>
      </c>
      <c r="DK14" s="21" t="n">
        <v>278.578</v>
      </c>
      <c r="DL14" s="21" t="n">
        <v>154.889</v>
      </c>
      <c r="DM14" s="21" t="n">
        <v>130.847</v>
      </c>
      <c r="DN14" s="21" t="n">
        <v>123.568</v>
      </c>
      <c r="DO14" s="21" t="n">
        <v>259.958</v>
      </c>
      <c r="DP14" s="21" t="n">
        <v>161.392</v>
      </c>
      <c r="DQ14" s="21" t="n">
        <v>165.905</v>
      </c>
      <c r="DR14" s="21" t="n">
        <v>168.544</v>
      </c>
      <c r="DS14" s="21" t="n">
        <v>141.15</v>
      </c>
      <c r="DT14" s="21" t="n">
        <v>147.755</v>
      </c>
      <c r="DU14" s="21" t="n">
        <v>182.271</v>
      </c>
      <c r="DV14" s="21" t="n">
        <v>241.535</v>
      </c>
      <c r="DW14" s="21" t="n">
        <v>198.98</v>
      </c>
      <c r="DX14" s="21" t="n">
        <v>218.554</v>
      </c>
      <c r="DY14" s="21" t="n">
        <v>192.501</v>
      </c>
      <c r="DZ14" s="21" t="n">
        <v>207.348</v>
      </c>
      <c r="EA14" s="21" t="n">
        <v>185.803</v>
      </c>
      <c r="EB14" s="21" t="n">
        <v>168.923</v>
      </c>
      <c r="EC14" s="21" t="n">
        <v>332.985</v>
      </c>
      <c r="ED14" s="21" t="n">
        <v>164.999</v>
      </c>
      <c r="EE14" s="21" t="n">
        <v>178.518</v>
      </c>
      <c r="EF14" s="21" t="n">
        <v>179.613</v>
      </c>
      <c r="EG14" s="21" t="n">
        <v>240.424</v>
      </c>
      <c r="EH14" s="21" t="n">
        <v>283.498</v>
      </c>
      <c r="EI14" s="21" t="n">
        <v>292.004</v>
      </c>
      <c r="EJ14" s="21" t="n">
        <v>149.009</v>
      </c>
      <c r="EK14" s="21" t="n">
        <v>517.573</v>
      </c>
      <c r="EL14" s="21" t="n">
        <v>304.414</v>
      </c>
      <c r="EM14" s="21" t="n">
        <v>290.884</v>
      </c>
      <c r="EN14" s="21" t="n">
        <v>290.842</v>
      </c>
      <c r="EO14" s="21" t="n">
        <v>147.943</v>
      </c>
      <c r="EP14" s="21" t="n">
        <v>224.537</v>
      </c>
      <c r="EQ14" s="21" t="n">
        <v>187.209</v>
      </c>
      <c r="ER14" s="21" t="n">
        <v>221.019</v>
      </c>
      <c r="ES14" s="21" t="n">
        <v>195.029</v>
      </c>
      <c r="ET14" s="21" t="n">
        <v>302.95</v>
      </c>
      <c r="EU14" s="21" t="n">
        <v>192.148</v>
      </c>
      <c r="EV14" s="21" t="n">
        <v>203.169</v>
      </c>
      <c r="EW14" s="21" t="n">
        <v>156.513</v>
      </c>
      <c r="EX14" s="21" t="n">
        <v>218.37</v>
      </c>
      <c r="EY14" s="21" t="n">
        <v>504.402</v>
      </c>
      <c r="EZ14" s="21" t="n">
        <v>437.205</v>
      </c>
      <c r="FA14" s="21" t="n">
        <v>122.348</v>
      </c>
      <c r="FB14" s="21" t="n">
        <v>61.37</v>
      </c>
      <c r="FC14" s="21" t="n">
        <v>109.16</v>
      </c>
      <c r="FD14" s="21" t="n">
        <v>71.26600000000001</v>
      </c>
      <c r="FE14" s="21" t="n">
        <v>48.08</v>
      </c>
      <c r="FF14" s="21" t="n">
        <v>114.132</v>
      </c>
      <c r="FG14" s="21" t="n">
        <v>130.975</v>
      </c>
      <c r="FH14" s="21" t="n">
        <v>86.503</v>
      </c>
      <c r="FI14" s="21" t="n">
        <v>73.425</v>
      </c>
      <c r="FJ14" s="21" t="n"/>
      <c r="FK14" s="21" t="n">
        <v>78.301</v>
      </c>
      <c r="FL14" s="21" t="n">
        <v>86.419</v>
      </c>
      <c r="FM14" s="21" t="n">
        <v>96.699</v>
      </c>
      <c r="FN14" s="21" t="n">
        <v>67.221</v>
      </c>
      <c r="FO14" s="21" t="n">
        <v>58.216</v>
      </c>
      <c r="FP14" s="21" t="n">
        <v>45.901</v>
      </c>
      <c r="FQ14" s="21" t="n">
        <v>129.498</v>
      </c>
      <c r="FR14" s="21" t="n">
        <v>56.526</v>
      </c>
      <c r="FS14" s="21" t="n">
        <v>87.94499999999999</v>
      </c>
      <c r="FT14" s="21" t="n">
        <v>90.357</v>
      </c>
      <c r="FU14" s="21" t="n">
        <v>98.518</v>
      </c>
      <c r="FV14" s="21" t="n">
        <v>86.416</v>
      </c>
      <c r="FW14" s="21" t="n">
        <v>186.361</v>
      </c>
      <c r="FX14" s="21" t="n">
        <v>119.022</v>
      </c>
      <c r="FY14" s="21" t="n">
        <v>169.792</v>
      </c>
      <c r="FZ14" s="21" t="n">
        <v>117.727</v>
      </c>
      <c r="GA14" s="21" t="n">
        <v>169.288</v>
      </c>
      <c r="GB14" s="21" t="n">
        <v>156.636</v>
      </c>
      <c r="GC14" s="21" t="n"/>
      <c r="GD14" s="21" t="n">
        <v>147.416</v>
      </c>
      <c r="GE14" s="21" t="n">
        <v>222.399</v>
      </c>
      <c r="GF14" s="21" t="n">
        <v>121.878</v>
      </c>
      <c r="GG14" s="21" t="n">
        <v>117.184</v>
      </c>
      <c r="GH14" s="21" t="n">
        <v>120.304</v>
      </c>
      <c r="GI14" s="21" t="n">
        <v>106.139</v>
      </c>
      <c r="GJ14" s="21" t="n">
        <v>152.554</v>
      </c>
      <c r="GK14" s="21" t="n">
        <v>75.774</v>
      </c>
      <c r="GL14" s="21" t="n">
        <v>122.81</v>
      </c>
      <c r="GM14" s="21" t="n">
        <v>104.518</v>
      </c>
      <c r="GN14" s="21" t="n">
        <v>105.148</v>
      </c>
      <c r="GO14" s="21" t="n">
        <v>107.355</v>
      </c>
      <c r="GP14" s="21" t="n">
        <v>111.136</v>
      </c>
      <c r="GQ14" s="21" t="n">
        <v>106.391</v>
      </c>
      <c r="GR14" s="21" t="n">
        <v>74.95999999999999</v>
      </c>
      <c r="GS14" s="21" t="n">
        <v>103.212</v>
      </c>
      <c r="GT14" s="21" t="n">
        <v>94.371</v>
      </c>
      <c r="GU14" s="21" t="n">
        <v>134.236</v>
      </c>
      <c r="GV14" s="21" t="n">
        <v>136.671</v>
      </c>
      <c r="GW14" s="21" t="n">
        <v>147.475</v>
      </c>
      <c r="GX14" s="21" t="n">
        <v>125.739</v>
      </c>
      <c r="GY14" s="21" t="n">
        <v>116.208</v>
      </c>
      <c r="GZ14" s="21" t="n">
        <v>163.268</v>
      </c>
      <c r="HA14" s="21" t="n">
        <v>123.781</v>
      </c>
      <c r="HB14" s="21" t="n">
        <v>170.841</v>
      </c>
      <c r="HC14" s="21" t="n">
        <v>190.162</v>
      </c>
      <c r="HD14" s="21" t="n">
        <v>184.734</v>
      </c>
      <c r="HE14" s="21" t="n">
        <v>100.009</v>
      </c>
      <c r="HF14" s="21" t="n">
        <v>147.456</v>
      </c>
      <c r="HG14" s="21" t="n">
        <v>102.208</v>
      </c>
      <c r="HH14" s="21" t="n">
        <v>144.279</v>
      </c>
      <c r="HI14" s="21" t="n">
        <v>156.133</v>
      </c>
      <c r="HJ14" s="21" t="n"/>
      <c r="HK14" s="21" t="n">
        <v>142.668</v>
      </c>
      <c r="HL14" s="21" t="n">
        <v>85.636</v>
      </c>
      <c r="HM14" s="21" t="n">
        <v>118.108</v>
      </c>
      <c r="HN14" s="21" t="n">
        <v>172.378</v>
      </c>
      <c r="HO14" s="21" t="n">
        <v>171.574</v>
      </c>
      <c r="HP14" s="21" t="n">
        <v>167.156</v>
      </c>
      <c r="HQ14" s="21" t="n">
        <v>186.168</v>
      </c>
      <c r="HR14" s="21" t="n">
        <v>187.59</v>
      </c>
      <c r="HS14" s="21" t="n">
        <v>156.682</v>
      </c>
      <c r="HT14" s="21" t="n">
        <v>144.784</v>
      </c>
      <c r="HU14" s="21" t="n">
        <v>127.05</v>
      </c>
      <c r="HV14" s="21" t="n">
        <v>166.692</v>
      </c>
      <c r="HW14" s="21" t="n">
        <v>157.261</v>
      </c>
      <c r="HX14" s="21" t="n">
        <v>370.615</v>
      </c>
      <c r="HY14" s="21" t="n">
        <v>273.097</v>
      </c>
      <c r="HZ14" s="21" t="n">
        <v>283.568</v>
      </c>
      <c r="IA14" s="21" t="n">
        <v>245.145</v>
      </c>
      <c r="IB14" s="21" t="n">
        <v>169.718</v>
      </c>
      <c r="IC14" s="21" t="n">
        <v>475.456</v>
      </c>
      <c r="ID14" s="21" t="n">
        <v>181.485</v>
      </c>
      <c r="IE14" s="21" t="n">
        <v>172.198</v>
      </c>
      <c r="IF14" s="21" t="n">
        <v>196.826</v>
      </c>
      <c r="IG14" s="21" t="n">
        <v>219.452</v>
      </c>
      <c r="IH14" s="21" t="n">
        <v>126.319</v>
      </c>
      <c r="II14" s="21" t="n">
        <v>261.893</v>
      </c>
      <c r="IJ14" s="21" t="n">
        <v>278.334</v>
      </c>
      <c r="IK14" s="21" t="n">
        <v>155.683</v>
      </c>
      <c r="IL14" s="21" t="n"/>
      <c r="IM14" s="21" t="n">
        <v>108.793</v>
      </c>
      <c r="IN14" s="21" t="n">
        <v>64.386</v>
      </c>
      <c r="IO14" s="21" t="n">
        <v>306.792</v>
      </c>
      <c r="IP14" s="21" t="n">
        <v>121.485</v>
      </c>
      <c r="IQ14" s="21" t="n">
        <v>454.175</v>
      </c>
      <c r="IR14" s="21" t="n">
        <v>357.414</v>
      </c>
      <c r="IS14" s="21" t="n">
        <v>116.819</v>
      </c>
      <c r="IT14" s="21" t="n">
        <v>485.796</v>
      </c>
      <c r="IU14" s="21" t="n">
        <v>96.673</v>
      </c>
      <c r="IV14" s="21" t="n">
        <v>99.319</v>
      </c>
      <c r="IW14" s="21" t="n">
        <v>485.321</v>
      </c>
      <c r="IX14" s="21" t="n">
        <v>365.842</v>
      </c>
      <c r="IY14" s="21" t="n">
        <v>370.911</v>
      </c>
      <c r="IZ14" s="21" t="n">
        <v>458.33</v>
      </c>
      <c r="JA14" s="21" t="n">
        <v>186.096</v>
      </c>
      <c r="JB14" s="21" t="n">
        <v>228.817</v>
      </c>
      <c r="JC14" s="21" t="n">
        <v>70.895</v>
      </c>
      <c r="JD14" s="21" t="n">
        <v>297.252</v>
      </c>
      <c r="JE14" s="21" t="n">
        <v>293.003</v>
      </c>
      <c r="JF14" s="21" t="n">
        <v>663.9880000000001</v>
      </c>
      <c r="JG14" s="21" t="n">
        <v>210.064</v>
      </c>
      <c r="JH14" s="21" t="n">
        <v>119.921</v>
      </c>
      <c r="JI14" s="21" t="n">
        <v>127.734</v>
      </c>
      <c r="JJ14" s="21" t="n">
        <v>116.062</v>
      </c>
      <c r="JK14" s="21" t="n">
        <v>99.373</v>
      </c>
      <c r="JL14" s="21" t="n">
        <v>296.661</v>
      </c>
      <c r="JM14" s="21" t="n">
        <v>425.331</v>
      </c>
      <c r="JN14" s="21" t="n">
        <v>126.987</v>
      </c>
      <c r="JO14" s="21" t="n">
        <v>73.623</v>
      </c>
      <c r="JP14" s="21" t="n">
        <v>41.129</v>
      </c>
      <c r="JQ14" s="21" t="n">
        <v>120.964</v>
      </c>
      <c r="JR14" s="21" t="n">
        <v>35.313</v>
      </c>
      <c r="JS14" s="21" t="n">
        <v>88.524</v>
      </c>
      <c r="JT14" s="21" t="n">
        <v>168.297</v>
      </c>
      <c r="JU14" s="21" t="n">
        <v>197.98</v>
      </c>
      <c r="JV14" s="21" t="n">
        <v>152.312</v>
      </c>
      <c r="JW14" s="21" t="n">
        <v>113.064</v>
      </c>
      <c r="JX14" s="21" t="n">
        <v>229.717</v>
      </c>
      <c r="JY14" s="21" t="n">
        <v>183.248</v>
      </c>
      <c r="JZ14" s="21" t="n">
        <v>240.582</v>
      </c>
      <c r="KA14" s="21" t="n">
        <v>113.404</v>
      </c>
      <c r="KB14" s="21" t="n">
        <v>146.444</v>
      </c>
      <c r="KC14" s="21" t="n">
        <v>84.723</v>
      </c>
      <c r="KD14" s="21" t="n">
        <v>74.506</v>
      </c>
      <c r="KE14" s="21" t="n">
        <v>52.866</v>
      </c>
      <c r="KF14" s="21" t="n"/>
      <c r="KG14" s="21" t="n">
        <v>21.665</v>
      </c>
      <c r="KH14" s="21" t="n">
        <v>124.702</v>
      </c>
      <c r="KI14" s="21" t="n">
        <v>129.811</v>
      </c>
      <c r="KJ14" s="21" t="n">
        <v>122.594</v>
      </c>
      <c r="KK14" s="21" t="n">
        <v>45.727</v>
      </c>
      <c r="KL14" s="21" t="n">
        <v>42.906</v>
      </c>
      <c r="KM14" s="21" t="n">
        <v>51.827</v>
      </c>
      <c r="KN14" s="21" t="n"/>
      <c r="KO14" s="21" t="n">
        <v>96.913</v>
      </c>
      <c r="KP14" s="21" t="n">
        <v>100.198</v>
      </c>
      <c r="KQ14" s="21" t="n">
        <v>157.761</v>
      </c>
      <c r="KR14" s="21" t="n">
        <v>129.269</v>
      </c>
      <c r="KS14" s="21" t="n">
        <v>361.918</v>
      </c>
      <c r="KT14" s="21" t="n">
        <v>170.532</v>
      </c>
      <c r="KU14" s="21" t="n">
        <v>216.006</v>
      </c>
      <c r="KV14" s="21" t="n">
        <v>293.187</v>
      </c>
      <c r="KW14" s="21" t="n">
        <v>241.525</v>
      </c>
      <c r="KX14" s="21" t="n">
        <v>163.77</v>
      </c>
      <c r="KY14" s="21" t="n">
        <v>101.693</v>
      </c>
      <c r="KZ14" s="21" t="n">
        <v>139.481</v>
      </c>
      <c r="LA14" s="21" t="n">
        <v>244.71</v>
      </c>
      <c r="LB14" s="21" t="n">
        <v>663.452</v>
      </c>
      <c r="LC14" s="21" t="n">
        <v>228.798</v>
      </c>
      <c r="LD14" s="21" t="n">
        <v>700.486</v>
      </c>
      <c r="LE14" s="21" t="n">
        <v>799.117</v>
      </c>
      <c r="LF14" s="21" t="n">
        <v>72.962</v>
      </c>
      <c r="LG14" s="21" t="n">
        <v>279.641</v>
      </c>
      <c r="LH14" s="21" t="n">
        <v>236.501</v>
      </c>
      <c r="LI14" s="21" t="n">
        <v>80.342</v>
      </c>
      <c r="LJ14" s="21" t="n">
        <v>175.551</v>
      </c>
      <c r="LK14" s="21" t="n">
        <v>276.197</v>
      </c>
      <c r="LL14" s="21" t="n">
        <v>282.675</v>
      </c>
      <c r="LM14" s="21" t="n">
        <v>76.48999999999999</v>
      </c>
      <c r="LN14" s="21" t="n">
        <v>100.371</v>
      </c>
      <c r="LO14" s="21" t="n">
        <v>55.85</v>
      </c>
      <c r="LP14" s="21" t="n">
        <v>114.603</v>
      </c>
      <c r="LQ14" s="21" t="n"/>
      <c r="LR14" s="21" t="n"/>
      <c r="LS14" s="21" t="n">
        <v>117.587</v>
      </c>
      <c r="LT14" s="21" t="n">
        <v>45.424</v>
      </c>
      <c r="LU14" s="21" t="n">
        <v>36.109</v>
      </c>
      <c r="LV14" s="21" t="n">
        <v>77.657</v>
      </c>
      <c r="LW14" s="21" t="n">
        <v>286.579</v>
      </c>
      <c r="LX14" s="21" t="n"/>
      <c r="LY14" s="21" t="n">
        <v>419.074</v>
      </c>
      <c r="LZ14" s="21" t="n">
        <v>60.063</v>
      </c>
      <c r="MA14" s="21" t="n">
        <v>388.821</v>
      </c>
      <c r="MB14" s="21" t="n">
        <v>250.237</v>
      </c>
      <c r="MC14" s="21" t="n">
        <v>222.259</v>
      </c>
      <c r="MD14" s="21" t="n">
        <v>163.313</v>
      </c>
      <c r="ME14" s="21" t="n">
        <v>103.09</v>
      </c>
      <c r="MF14" s="21" t="n">
        <v>189.48</v>
      </c>
      <c r="MG14" s="21" t="n">
        <v>250.83</v>
      </c>
      <c r="MH14" s="21" t="n">
        <v>153.047</v>
      </c>
      <c r="MI14" s="21" t="n">
        <v>403.709</v>
      </c>
      <c r="MJ14" s="21" t="n">
        <v>326.621</v>
      </c>
      <c r="MK14" s="21" t="n">
        <v>316.893</v>
      </c>
      <c r="ML14" s="21" t="n">
        <v>158.521</v>
      </c>
      <c r="MM14" s="21" t="n">
        <v>183.25</v>
      </c>
      <c r="MN14" s="21" t="n">
        <v>318.963</v>
      </c>
      <c r="MO14" s="21" t="n">
        <v>148.626</v>
      </c>
      <c r="MP14" s="21" t="n">
        <v>219.385</v>
      </c>
      <c r="MQ14" s="21" t="n">
        <v>79.803</v>
      </c>
      <c r="MR14" s="21" t="n">
        <v>150.297</v>
      </c>
      <c r="MS14" s="21" t="n">
        <v>84.07899999999999</v>
      </c>
      <c r="MT14" s="21" t="n">
        <v>226.479</v>
      </c>
      <c r="MU14" s="21" t="n">
        <v>244.455</v>
      </c>
      <c r="MV14" s="21" t="n">
        <v>235.097</v>
      </c>
      <c r="MW14" s="21" t="n">
        <v>244.528</v>
      </c>
      <c r="MX14" s="21" t="n">
        <v>221.321</v>
      </c>
      <c r="MY14" s="21" t="n">
        <v>214.319</v>
      </c>
      <c r="MZ14" s="21" t="n">
        <v>222.895</v>
      </c>
      <c r="NA14" s="21" t="n">
        <v>227.705</v>
      </c>
      <c r="NB14" s="21" t="n">
        <v>114.575</v>
      </c>
      <c r="NC14" s="21" t="n">
        <v>177.661</v>
      </c>
      <c r="ND14" s="21" t="n">
        <v>146.255</v>
      </c>
      <c r="NE14" s="21" t="n">
        <v>142.996</v>
      </c>
      <c r="NF14" s="21" t="n">
        <v>144.725</v>
      </c>
      <c r="NG14" s="21" t="n">
        <v>145.603</v>
      </c>
      <c r="NH14" s="21" t="n">
        <v>250.724</v>
      </c>
      <c r="NI14" s="21" t="n">
        <v>107.862</v>
      </c>
      <c r="NJ14" s="21" t="n">
        <v>81.125</v>
      </c>
      <c r="NK14" s="21" t="n">
        <v>111.175</v>
      </c>
      <c r="NL14" s="21" t="n">
        <v>180.171</v>
      </c>
      <c r="NM14" s="21" t="n">
        <v>175.931</v>
      </c>
      <c r="NN14" s="21" t="n">
        <v>92.762</v>
      </c>
      <c r="NO14" s="21" t="n">
        <v>61.506</v>
      </c>
      <c r="NP14" s="21" t="n">
        <v>212.014</v>
      </c>
      <c r="NQ14" s="21" t="n">
        <v>181.387</v>
      </c>
      <c r="NR14" s="21" t="n">
        <v>217.651</v>
      </c>
      <c r="NS14" s="21" t="n">
        <v>177.686</v>
      </c>
      <c r="NT14" s="21" t="n">
        <v>216.494</v>
      </c>
      <c r="NU14" s="21" t="n">
        <v>108.554</v>
      </c>
      <c r="NV14" s="21" t="n">
        <v>113.533</v>
      </c>
      <c r="NW14" s="21" t="n">
        <v>343.345</v>
      </c>
      <c r="NX14" s="21" t="n">
        <v>87.29600000000001</v>
      </c>
      <c r="NY14" s="21" t="n">
        <v>112.866</v>
      </c>
      <c r="NZ14" s="21" t="n">
        <v>295.295</v>
      </c>
      <c r="OA14" s="21" t="n">
        <v>295.377</v>
      </c>
      <c r="OB14" s="21" t="n">
        <v>305.803</v>
      </c>
      <c r="OC14" s="21" t="n">
        <v>280.97</v>
      </c>
      <c r="OD14" s="21" t="n">
        <v>318.322</v>
      </c>
      <c r="OE14" s="21" t="n">
        <v>105.656</v>
      </c>
      <c r="OF14" s="21" t="n">
        <v>294.42</v>
      </c>
      <c r="OG14" s="21" t="n">
        <v>212.822</v>
      </c>
      <c r="OH14" s="21" t="n">
        <v>58.06</v>
      </c>
      <c r="OI14" s="21" t="n">
        <v>114.05</v>
      </c>
      <c r="OJ14" s="21" t="n">
        <v>42.2</v>
      </c>
      <c r="OK14" s="21" t="n">
        <v>14.1</v>
      </c>
    </row>
    <row r="15">
      <c r="A15" s="22" t="n">
        <v>42401</v>
      </c>
      <c r="B15" s="21" t="n">
        <v>237.111</v>
      </c>
      <c r="C15" s="21" t="n">
        <v>710.278</v>
      </c>
      <c r="D15" s="21" t="n">
        <v>248.459</v>
      </c>
      <c r="E15" s="21" t="n">
        <v>248.8</v>
      </c>
      <c r="F15" s="21" t="n">
        <v>242.062</v>
      </c>
      <c r="G15" s="21" t="n">
        <v>274.801</v>
      </c>
      <c r="H15" s="21" t="n">
        <v>233.85</v>
      </c>
      <c r="I15" s="21" t="n">
        <v>244.83</v>
      </c>
      <c r="J15" s="21" t="n">
        <v>229.452</v>
      </c>
      <c r="K15" s="21" t="n">
        <v>241.972</v>
      </c>
      <c r="L15" s="21" t="n">
        <v>164.573</v>
      </c>
      <c r="M15" s="21" t="n">
        <v>297.931</v>
      </c>
      <c r="N15" s="21" t="n">
        <v>179.573</v>
      </c>
      <c r="O15" s="21" t="n">
        <v>324.373</v>
      </c>
      <c r="P15" s="21" t="n">
        <v>348.012</v>
      </c>
      <c r="Q15" s="21" t="n">
        <v>176.677</v>
      </c>
      <c r="R15" s="21" t="n">
        <v>281.606</v>
      </c>
      <c r="S15" s="21" t="n">
        <v>298.258</v>
      </c>
      <c r="T15" s="21" t="n">
        <v>268.799</v>
      </c>
      <c r="U15" s="21" t="n">
        <v>266.267</v>
      </c>
      <c r="V15" s="21" t="n">
        <v>295.277</v>
      </c>
      <c r="W15" s="21" t="n">
        <v>306.05</v>
      </c>
      <c r="X15" s="21" t="n">
        <v>268.844</v>
      </c>
      <c r="Y15" s="21" t="n">
        <v>251.29</v>
      </c>
      <c r="Z15" s="21" t="n">
        <v>249.726</v>
      </c>
      <c r="AA15" s="21" t="n">
        <v>254.262</v>
      </c>
      <c r="AB15" s="21" t="n">
        <v>304.702</v>
      </c>
      <c r="AC15" s="21" t="n">
        <v>273.73</v>
      </c>
      <c r="AD15" s="21" t="n">
        <v>226.865</v>
      </c>
      <c r="AE15" s="21" t="n">
        <v>204.827</v>
      </c>
      <c r="AF15" s="21" t="n">
        <v>232.843</v>
      </c>
      <c r="AG15" s="21" t="n">
        <v>208.406</v>
      </c>
      <c r="AH15" s="21" t="n">
        <v>152.801</v>
      </c>
      <c r="AI15" s="21" t="n">
        <v>275.945</v>
      </c>
      <c r="AJ15" s="21" t="n">
        <v>143.988</v>
      </c>
      <c r="AK15" s="21" t="n">
        <v>200.865</v>
      </c>
      <c r="AL15" s="21" t="n">
        <v>223.048</v>
      </c>
      <c r="AM15" s="21" t="n">
        <v>188.2</v>
      </c>
      <c r="AN15" s="21" t="n">
        <v>128.632</v>
      </c>
      <c r="AO15" s="21" t="n">
        <v>230.604</v>
      </c>
      <c r="AP15" s="21" t="n">
        <v>237.704</v>
      </c>
      <c r="AQ15" s="21" t="n">
        <v>148.878</v>
      </c>
      <c r="AR15" s="21" t="n">
        <v>327.502</v>
      </c>
      <c r="AS15" s="21" t="n">
        <v>174.458</v>
      </c>
      <c r="AT15" s="21" t="n">
        <v>231.414</v>
      </c>
      <c r="AU15" s="21" t="n">
        <v>147.673</v>
      </c>
      <c r="AV15" s="21" t="n">
        <v>251.408</v>
      </c>
      <c r="AW15" s="21" t="n">
        <v>217.023</v>
      </c>
      <c r="AX15" s="21" t="n">
        <v>156.343</v>
      </c>
      <c r="AY15" s="21" t="n">
        <v>277.929</v>
      </c>
      <c r="AZ15" s="21" t="n">
        <v>169.137</v>
      </c>
      <c r="BA15" s="21" t="n">
        <v>142.021</v>
      </c>
      <c r="BB15" s="21" t="n">
        <v>200.474</v>
      </c>
      <c r="BC15" s="21" t="n">
        <v>297.85</v>
      </c>
      <c r="BD15" s="21" t="n">
        <v>274.583</v>
      </c>
      <c r="BE15" s="21" t="n">
        <v>219.732</v>
      </c>
      <c r="BF15" s="21" t="n">
        <v>142.243</v>
      </c>
      <c r="BG15" s="21" t="n">
        <v>204.434</v>
      </c>
      <c r="BH15" s="21" t="n">
        <v>146.201</v>
      </c>
      <c r="BI15" s="21" t="n">
        <v>231.437</v>
      </c>
      <c r="BJ15" s="21" t="n">
        <v>222.532</v>
      </c>
      <c r="BK15" s="21" t="n">
        <v>146.846</v>
      </c>
      <c r="BL15" s="21" t="n">
        <v>306.778</v>
      </c>
      <c r="BM15" s="21" t="n">
        <v>356.688</v>
      </c>
      <c r="BN15" s="21" t="n">
        <v>369.011</v>
      </c>
      <c r="BO15" s="21" t="n">
        <v>351.675</v>
      </c>
      <c r="BP15" s="21" t="n">
        <v>198.712</v>
      </c>
      <c r="BQ15" s="21" t="n">
        <v>217.252</v>
      </c>
      <c r="BR15" s="21" t="n">
        <v>447.066</v>
      </c>
      <c r="BS15" s="21" t="n">
        <v>134.942</v>
      </c>
      <c r="BT15" s="21" t="n">
        <v>342.424</v>
      </c>
      <c r="BU15" s="21" t="n">
        <v>330.06</v>
      </c>
      <c r="BV15" s="21" t="n">
        <v>317.709</v>
      </c>
      <c r="BW15" s="21" t="n">
        <v>373.566</v>
      </c>
      <c r="BX15" s="21" t="n">
        <v>347.32</v>
      </c>
      <c r="BY15" s="21" t="n">
        <v>158.787</v>
      </c>
      <c r="BZ15" s="21" t="n">
        <v>163.151</v>
      </c>
      <c r="CA15" s="21" t="n">
        <v>158.433</v>
      </c>
      <c r="CB15" s="21" t="n">
        <v>171.347</v>
      </c>
      <c r="CC15" s="21" t="n">
        <v>146.99</v>
      </c>
      <c r="CD15" s="21" t="n">
        <v>200.631</v>
      </c>
      <c r="CE15" s="21" t="n">
        <v>165.291</v>
      </c>
      <c r="CF15" s="21" t="n">
        <v>206.812</v>
      </c>
      <c r="CG15" s="21" t="n">
        <v>169.248</v>
      </c>
      <c r="CH15" s="21" t="n">
        <v>130.143</v>
      </c>
      <c r="CI15" s="21" t="n">
        <v>162.842</v>
      </c>
      <c r="CJ15" s="21" t="n">
        <v>178.568</v>
      </c>
      <c r="CK15" s="21" t="n">
        <v>118.893</v>
      </c>
      <c r="CL15" s="21" t="n">
        <v>119.779</v>
      </c>
      <c r="CM15" s="21" t="n">
        <v>201.597</v>
      </c>
      <c r="CN15" s="21" t="n">
        <v>211.208</v>
      </c>
      <c r="CO15" s="21" t="n">
        <v>198.38</v>
      </c>
      <c r="CP15" s="21" t="n">
        <v>130.235</v>
      </c>
      <c r="CQ15" s="21" t="n">
        <v>209.385</v>
      </c>
      <c r="CR15" s="21" t="n">
        <v>215.325</v>
      </c>
      <c r="CS15" s="21" t="n">
        <v>191.141</v>
      </c>
      <c r="CT15" s="21" t="n">
        <v>144.378</v>
      </c>
      <c r="CU15" s="21" t="n">
        <v>153.604</v>
      </c>
      <c r="CV15" s="21" t="n">
        <v>228.557</v>
      </c>
      <c r="CW15" s="21" t="n">
        <v>203.131</v>
      </c>
      <c r="CX15" s="21" t="n">
        <v>237.277</v>
      </c>
      <c r="CY15" s="21" t="n">
        <v>297.327</v>
      </c>
      <c r="CZ15" s="21" t="n">
        <v>131.871</v>
      </c>
      <c r="DA15" s="21" t="n">
        <v>158.64</v>
      </c>
      <c r="DB15" s="21" t="n">
        <v>158.663</v>
      </c>
      <c r="DC15" s="21" t="n">
        <v>223.481</v>
      </c>
      <c r="DD15" s="21" t="n">
        <v>235.157</v>
      </c>
      <c r="DE15" s="21" t="n">
        <v>170.562</v>
      </c>
      <c r="DF15" s="21" t="n">
        <v>251.217</v>
      </c>
      <c r="DG15" s="21" t="n">
        <v>238.586</v>
      </c>
      <c r="DH15" s="21" t="n">
        <v>153.313</v>
      </c>
      <c r="DI15" s="21" t="n">
        <v>140.731</v>
      </c>
      <c r="DJ15" s="21" t="n">
        <v>136.567</v>
      </c>
      <c r="DK15" s="21" t="n">
        <v>274.838</v>
      </c>
      <c r="DL15" s="21" t="n">
        <v>156.375</v>
      </c>
      <c r="DM15" s="21" t="n">
        <v>131.004</v>
      </c>
      <c r="DN15" s="21" t="n">
        <v>123.22</v>
      </c>
      <c r="DO15" s="21" t="n">
        <v>260.319</v>
      </c>
      <c r="DP15" s="21" t="n">
        <v>161.625</v>
      </c>
      <c r="DQ15" s="21" t="n">
        <v>166.17</v>
      </c>
      <c r="DR15" s="21" t="n">
        <v>168.37</v>
      </c>
      <c r="DS15" s="21" t="n">
        <v>141.261</v>
      </c>
      <c r="DT15" s="21" t="n">
        <v>148.042</v>
      </c>
      <c r="DU15" s="21" t="n">
        <v>182.354</v>
      </c>
      <c r="DV15" s="21" t="n">
        <v>242.437</v>
      </c>
      <c r="DW15" s="21" t="n">
        <v>199.908</v>
      </c>
      <c r="DX15" s="21" t="n">
        <v>217.942</v>
      </c>
      <c r="DY15" s="21" t="n">
        <v>194.822</v>
      </c>
      <c r="DZ15" s="21" t="n">
        <v>208.627</v>
      </c>
      <c r="EA15" s="21" t="n">
        <v>188.008</v>
      </c>
      <c r="EB15" s="21" t="n">
        <v>170.713</v>
      </c>
      <c r="EC15" s="21" t="n">
        <v>333.724</v>
      </c>
      <c r="ED15" s="21" t="n">
        <v>165.338</v>
      </c>
      <c r="EE15" s="21" t="n">
        <v>178.979</v>
      </c>
      <c r="EF15" s="21" t="n">
        <v>180.172</v>
      </c>
      <c r="EG15" s="21" t="n">
        <v>241.015</v>
      </c>
      <c r="EH15" s="21" t="n">
        <v>284.435</v>
      </c>
      <c r="EI15" s="21" t="n">
        <v>292.777</v>
      </c>
      <c r="EJ15" s="21" t="n">
        <v>155.218</v>
      </c>
      <c r="EK15" s="21" t="n">
        <v>517.869</v>
      </c>
      <c r="EL15" s="21" t="n">
        <v>319.064</v>
      </c>
      <c r="EM15" s="21" t="n">
        <v>291.505</v>
      </c>
      <c r="EN15" s="21" t="n">
        <v>291.463</v>
      </c>
      <c r="EO15" s="21" t="n">
        <v>148.254</v>
      </c>
      <c r="EP15" s="21" t="n">
        <v>224.063</v>
      </c>
      <c r="EQ15" s="21" t="n">
        <v>186.518</v>
      </c>
      <c r="ER15" s="21" t="n">
        <v>217.978</v>
      </c>
      <c r="ES15" s="21" t="n">
        <v>189.373</v>
      </c>
      <c r="ET15" s="21" t="n">
        <v>303.38</v>
      </c>
      <c r="EU15" s="21" t="n">
        <v>191.532</v>
      </c>
      <c r="EV15" s="21" t="n">
        <v>202.528</v>
      </c>
      <c r="EW15" s="21" t="n">
        <v>155.981</v>
      </c>
      <c r="EX15" s="21" t="n">
        <v>219.036</v>
      </c>
      <c r="EY15" s="21" t="n">
        <v>506.031</v>
      </c>
      <c r="EZ15" s="21" t="n">
        <v>438.296</v>
      </c>
      <c r="FA15" s="21" t="n">
        <v>122.482</v>
      </c>
      <c r="FB15" s="21" t="n">
        <v>61.099</v>
      </c>
      <c r="FC15" s="21" t="n">
        <v>108.645</v>
      </c>
      <c r="FD15" s="21" t="n">
        <v>69.113</v>
      </c>
      <c r="FE15" s="21" t="n">
        <v>48.318</v>
      </c>
      <c r="FF15" s="21" t="n">
        <v>113.291</v>
      </c>
      <c r="FG15" s="21" t="n">
        <v>129.366</v>
      </c>
      <c r="FH15" s="21" t="n">
        <v>86.459</v>
      </c>
      <c r="FI15" s="21" t="n">
        <v>72.23699999999999</v>
      </c>
      <c r="FJ15" s="21" t="n"/>
      <c r="FK15" s="21" t="n">
        <v>78.431</v>
      </c>
      <c r="FL15" s="21" t="n">
        <v>85.008</v>
      </c>
      <c r="FM15" s="21" t="n">
        <v>96.262</v>
      </c>
      <c r="FN15" s="21" t="n">
        <v>67.899</v>
      </c>
      <c r="FO15" s="21" t="n">
        <v>58.421</v>
      </c>
      <c r="FP15" s="21" t="n">
        <v>45.851</v>
      </c>
      <c r="FQ15" s="21" t="n">
        <v>133.498</v>
      </c>
      <c r="FR15" s="21" t="n">
        <v>55.115</v>
      </c>
      <c r="FS15" s="21" t="n">
        <v>88.131</v>
      </c>
      <c r="FT15" s="21" t="n">
        <v>90.613</v>
      </c>
      <c r="FU15" s="21" t="n">
        <v>98.76300000000001</v>
      </c>
      <c r="FV15" s="21" t="n">
        <v>86.67400000000001</v>
      </c>
      <c r="FW15" s="21" t="n">
        <v>187.151</v>
      </c>
      <c r="FX15" s="21" t="n">
        <v>119.622</v>
      </c>
      <c r="FY15" s="21" t="n">
        <v>169.915</v>
      </c>
      <c r="FZ15" s="21" t="n">
        <v>118.453</v>
      </c>
      <c r="GA15" s="21" t="n">
        <v>170.059</v>
      </c>
      <c r="GB15" s="21" t="n">
        <v>156.721</v>
      </c>
      <c r="GC15" s="21" t="n"/>
      <c r="GD15" s="21" t="n">
        <v>151.98</v>
      </c>
      <c r="GE15" s="21" t="n">
        <v>224.699</v>
      </c>
      <c r="GF15" s="21" t="n">
        <v>125.567</v>
      </c>
      <c r="GG15" s="21" t="n">
        <v>119.151</v>
      </c>
      <c r="GH15" s="21" t="n">
        <v>123.665</v>
      </c>
      <c r="GI15" s="21" t="n">
        <v>107.756</v>
      </c>
      <c r="GJ15" s="21" t="n">
        <v>156.772</v>
      </c>
      <c r="GK15" s="21" t="n">
        <v>78.271</v>
      </c>
      <c r="GL15" s="21" t="n">
        <v>126.601</v>
      </c>
      <c r="GM15" s="21" t="n">
        <v>101.74</v>
      </c>
      <c r="GN15" s="21" t="n">
        <v>109.5</v>
      </c>
      <c r="GO15" s="21" t="n">
        <v>112.2</v>
      </c>
      <c r="GP15" s="21" t="n">
        <v>110.999</v>
      </c>
      <c r="GQ15" s="21" t="n">
        <v>116.18</v>
      </c>
      <c r="GR15" s="21" t="n">
        <v>79.208</v>
      </c>
      <c r="GS15" s="21" t="n">
        <v>105.361</v>
      </c>
      <c r="GT15" s="21" t="n">
        <v>96.554</v>
      </c>
      <c r="GU15" s="21" t="n">
        <v>137.087</v>
      </c>
      <c r="GV15" s="21" t="n">
        <v>141.491</v>
      </c>
      <c r="GW15" s="21" t="n">
        <v>150.621</v>
      </c>
      <c r="GX15" s="21" t="n">
        <v>127.174</v>
      </c>
      <c r="GY15" s="21" t="n">
        <v>118.835</v>
      </c>
      <c r="GZ15" s="21" t="n">
        <v>171.49</v>
      </c>
      <c r="HA15" s="21" t="n">
        <v>134.767</v>
      </c>
      <c r="HB15" s="21" t="n">
        <v>175.793</v>
      </c>
      <c r="HC15" s="21" t="n">
        <v>187.345</v>
      </c>
      <c r="HD15" s="21" t="n">
        <v>181.626</v>
      </c>
      <c r="HE15" s="21" t="n">
        <v>100.656</v>
      </c>
      <c r="HF15" s="21" t="n">
        <v>148.268</v>
      </c>
      <c r="HG15" s="21" t="n">
        <v>102.79</v>
      </c>
      <c r="HH15" s="21" t="n">
        <v>145.094</v>
      </c>
      <c r="HI15" s="21" t="n">
        <v>156.943</v>
      </c>
      <c r="HJ15" s="21" t="n"/>
      <c r="HK15" s="21" t="n">
        <v>144.024</v>
      </c>
      <c r="HL15" s="21" t="n">
        <v>85.224</v>
      </c>
      <c r="HM15" s="21" t="n">
        <v>123.451</v>
      </c>
      <c r="HN15" s="21" t="n">
        <v>155.361</v>
      </c>
      <c r="HO15" s="21" t="n">
        <v>154.564</v>
      </c>
      <c r="HP15" s="21" t="n">
        <v>150.119</v>
      </c>
      <c r="HQ15" s="21" t="n">
        <v>169.378</v>
      </c>
      <c r="HR15" s="21" t="n">
        <v>171.725</v>
      </c>
      <c r="HS15" s="21" t="n">
        <v>145.485</v>
      </c>
      <c r="HT15" s="21" t="n">
        <v>144.617</v>
      </c>
      <c r="HU15" s="21" t="n">
        <v>126.88</v>
      </c>
      <c r="HV15" s="21" t="n">
        <v>166.55</v>
      </c>
      <c r="HW15" s="21" t="n">
        <v>157.39</v>
      </c>
      <c r="HX15" s="21" t="n">
        <v>368.043</v>
      </c>
      <c r="HY15" s="21" t="n">
        <v>273.072</v>
      </c>
      <c r="HZ15" s="21" t="n">
        <v>284.643</v>
      </c>
      <c r="IA15" s="21" t="n">
        <v>245.028</v>
      </c>
      <c r="IB15" s="21" t="n">
        <v>169.709</v>
      </c>
      <c r="IC15" s="21" t="n">
        <v>477.297</v>
      </c>
      <c r="ID15" s="21" t="n">
        <v>181.515</v>
      </c>
      <c r="IE15" s="21" t="n">
        <v>172.211</v>
      </c>
      <c r="IF15" s="21" t="n">
        <v>196.883</v>
      </c>
      <c r="IG15" s="21" t="n">
        <v>219.622</v>
      </c>
      <c r="IH15" s="21" t="n">
        <v>126.339</v>
      </c>
      <c r="II15" s="21" t="n">
        <v>264.528</v>
      </c>
      <c r="IJ15" s="21" t="n">
        <v>283.52</v>
      </c>
      <c r="IK15" s="21" t="n">
        <v>153.901</v>
      </c>
      <c r="IL15" s="21" t="n"/>
      <c r="IM15" s="21" t="n">
        <v>109.646</v>
      </c>
      <c r="IN15" s="21" t="n">
        <v>63.88</v>
      </c>
      <c r="IO15" s="21" t="n">
        <v>307.733</v>
      </c>
      <c r="IP15" s="21" t="n">
        <v>121.927</v>
      </c>
      <c r="IQ15" s="21" t="n">
        <v>458.295</v>
      </c>
      <c r="IR15" s="21" t="n">
        <v>361.435</v>
      </c>
      <c r="IS15" s="21" t="n">
        <v>118.155</v>
      </c>
      <c r="IT15" s="21" t="n">
        <v>493.075</v>
      </c>
      <c r="IU15" s="21" t="n">
        <v>96.47799999999999</v>
      </c>
      <c r="IV15" s="21" t="n">
        <v>99.91200000000001</v>
      </c>
      <c r="IW15" s="21" t="n">
        <v>489.432</v>
      </c>
      <c r="IX15" s="21" t="n">
        <v>367.441</v>
      </c>
      <c r="IY15" s="21" t="n">
        <v>372.091</v>
      </c>
      <c r="IZ15" s="21" t="n">
        <v>463.342</v>
      </c>
      <c r="JA15" s="21" t="n">
        <v>185.749</v>
      </c>
      <c r="JB15" s="21" t="n">
        <v>228.858</v>
      </c>
      <c r="JC15" s="21" t="n">
        <v>71.736</v>
      </c>
      <c r="JD15" s="21" t="n">
        <v>301.007</v>
      </c>
      <c r="JE15" s="21" t="n">
        <v>297.924</v>
      </c>
      <c r="JF15" s="21" t="n">
        <v>666.592</v>
      </c>
      <c r="JG15" s="21" t="n">
        <v>211.326</v>
      </c>
      <c r="JH15" s="21" t="n">
        <v>120.45</v>
      </c>
      <c r="JI15" s="21" t="n">
        <v>129.393</v>
      </c>
      <c r="JJ15" s="21" t="n">
        <v>116.631</v>
      </c>
      <c r="JK15" s="21" t="n">
        <v>100.504</v>
      </c>
      <c r="JL15" s="21" t="n">
        <v>294.228</v>
      </c>
      <c r="JM15" s="21" t="n">
        <v>431.667</v>
      </c>
      <c r="JN15" s="21" t="n">
        <v>127.644</v>
      </c>
      <c r="JO15" s="21" t="n">
        <v>73.10599999999999</v>
      </c>
      <c r="JP15" s="21" t="n">
        <v>41</v>
      </c>
      <c r="JQ15" s="21" t="n">
        <v>120.962</v>
      </c>
      <c r="JR15" s="21" t="n">
        <v>35.57</v>
      </c>
      <c r="JS15" s="21" t="n">
        <v>88.32599999999999</v>
      </c>
      <c r="JT15" s="21" t="n">
        <v>168.657</v>
      </c>
      <c r="JU15" s="21" t="n">
        <v>197.839</v>
      </c>
      <c r="JV15" s="21" t="n">
        <v>151.823</v>
      </c>
      <c r="JW15" s="21" t="n">
        <v>113.586</v>
      </c>
      <c r="JX15" s="21" t="n">
        <v>231.271</v>
      </c>
      <c r="JY15" s="21" t="n">
        <v>183.707</v>
      </c>
      <c r="JZ15" s="21" t="n">
        <v>242.3</v>
      </c>
      <c r="KA15" s="21" t="n">
        <v>113.059</v>
      </c>
      <c r="KB15" s="21" t="n">
        <v>145.798</v>
      </c>
      <c r="KC15" s="21" t="n">
        <v>84.601</v>
      </c>
      <c r="KD15" s="21" t="n">
        <v>74.535</v>
      </c>
      <c r="KE15" s="21" t="n">
        <v>52.72</v>
      </c>
      <c r="KF15" s="21" t="n">
        <v>124.057</v>
      </c>
      <c r="KG15" s="21" t="n">
        <v>21.565</v>
      </c>
      <c r="KH15" s="21" t="n">
        <v>125.054</v>
      </c>
      <c r="KI15" s="21" t="n">
        <v>130.276</v>
      </c>
      <c r="KJ15" s="21" t="n">
        <v>122.642</v>
      </c>
      <c r="KK15" s="21" t="n">
        <v>45.387</v>
      </c>
      <c r="KL15" s="21" t="n">
        <v>42.564</v>
      </c>
      <c r="KM15" s="21" t="n">
        <v>51.509</v>
      </c>
      <c r="KN15" s="21" t="n"/>
      <c r="KO15" s="21" t="n">
        <v>95.28</v>
      </c>
      <c r="KP15" s="21" t="n">
        <v>100.652</v>
      </c>
      <c r="KQ15" s="21" t="n">
        <v>158.45</v>
      </c>
      <c r="KR15" s="21" t="n">
        <v>130.481</v>
      </c>
      <c r="KS15" s="21" t="n">
        <v>362.063</v>
      </c>
      <c r="KT15" s="21" t="n">
        <v>170.635</v>
      </c>
      <c r="KU15" s="21" t="n">
        <v>214.584</v>
      </c>
      <c r="KV15" s="21" t="n">
        <v>293.409</v>
      </c>
      <c r="KW15" s="21" t="n">
        <v>243.645</v>
      </c>
      <c r="KX15" s="21" t="n">
        <v>165.047</v>
      </c>
      <c r="KY15" s="21" t="n">
        <v>102.714</v>
      </c>
      <c r="KZ15" s="21" t="n">
        <v>139.236</v>
      </c>
      <c r="LA15" s="21" t="n">
        <v>244.864</v>
      </c>
      <c r="LB15" s="21" t="n">
        <v>660.05</v>
      </c>
      <c r="LC15" s="21" t="n">
        <v>227.063</v>
      </c>
      <c r="LD15" s="21" t="n">
        <v>701.138</v>
      </c>
      <c r="LE15" s="21" t="n">
        <v>799.623</v>
      </c>
      <c r="LF15" s="21" t="n">
        <v>72.983</v>
      </c>
      <c r="LG15" s="21" t="n">
        <v>280.216</v>
      </c>
      <c r="LH15" s="21" t="n">
        <v>236.395</v>
      </c>
      <c r="LI15" s="21" t="n">
        <v>80.04600000000001</v>
      </c>
      <c r="LJ15" s="21" t="n">
        <v>178.117</v>
      </c>
      <c r="LK15" s="21" t="n">
        <v>280.656</v>
      </c>
      <c r="LL15" s="21" t="n">
        <v>278.888</v>
      </c>
      <c r="LM15" s="21" t="n">
        <v>76.158</v>
      </c>
      <c r="LN15" s="21" t="n">
        <v>99.758</v>
      </c>
      <c r="LO15" s="21" t="n">
        <v>55.267</v>
      </c>
      <c r="LP15" s="21" t="n">
        <v>115.143</v>
      </c>
      <c r="LQ15" s="21" t="n"/>
      <c r="LR15" s="21" t="n"/>
      <c r="LS15" s="21" t="n">
        <v>117.513</v>
      </c>
      <c r="LT15" s="21" t="n">
        <v>45.249</v>
      </c>
      <c r="LU15" s="21" t="n">
        <v>35.883</v>
      </c>
      <c r="LV15" s="21" t="n">
        <v>77.79900000000001</v>
      </c>
      <c r="LW15" s="21" t="n">
        <v>285.447</v>
      </c>
      <c r="LX15" s="21" t="n"/>
      <c r="LY15" s="21" t="n">
        <v>419.627</v>
      </c>
      <c r="LZ15" s="21" t="n">
        <v>59.981</v>
      </c>
      <c r="MA15" s="21" t="n">
        <v>388.399</v>
      </c>
      <c r="MB15" s="21" t="n">
        <v>249.173</v>
      </c>
      <c r="MC15" s="21" t="n">
        <v>222.707</v>
      </c>
      <c r="MD15" s="21" t="n">
        <v>163.692</v>
      </c>
      <c r="ME15" s="21" t="n">
        <v>103.876</v>
      </c>
      <c r="MF15" s="21" t="n">
        <v>188.763</v>
      </c>
      <c r="MG15" s="21" t="n">
        <v>251.107</v>
      </c>
      <c r="MH15" s="21" t="n">
        <v>153.216</v>
      </c>
      <c r="MI15" s="21" t="n">
        <v>404.395</v>
      </c>
      <c r="MJ15" s="21" t="n">
        <v>326.68</v>
      </c>
      <c r="MK15" s="21" t="n">
        <v>317.399</v>
      </c>
      <c r="ML15" s="21" t="n">
        <v>158.868</v>
      </c>
      <c r="MM15" s="21" t="n">
        <v>183.712</v>
      </c>
      <c r="MN15" s="21" t="n">
        <v>319.849</v>
      </c>
      <c r="MO15" s="21" t="n">
        <v>149.52</v>
      </c>
      <c r="MP15" s="21" t="n">
        <v>220.043</v>
      </c>
      <c r="MQ15" s="21" t="n">
        <v>80.233</v>
      </c>
      <c r="MR15" s="21" t="n">
        <v>151.166</v>
      </c>
      <c r="MS15" s="21" t="n">
        <v>84.626</v>
      </c>
      <c r="MT15" s="21" t="n">
        <v>226.494</v>
      </c>
      <c r="MU15" s="21" t="n">
        <v>245.459</v>
      </c>
      <c r="MV15" s="21" t="n">
        <v>235.295</v>
      </c>
      <c r="MW15" s="21" t="n">
        <v>245.68</v>
      </c>
      <c r="MX15" s="21" t="n">
        <v>221.229</v>
      </c>
      <c r="MY15" s="21" t="n">
        <v>214.168</v>
      </c>
      <c r="MZ15" s="21" t="n">
        <v>224.171</v>
      </c>
      <c r="NA15" s="21" t="n">
        <v>228.968</v>
      </c>
      <c r="NB15" s="21" t="n">
        <v>118.342</v>
      </c>
      <c r="NC15" s="21" t="n">
        <v>177.049</v>
      </c>
      <c r="ND15" s="21" t="n">
        <v>145.378</v>
      </c>
      <c r="NE15" s="21" t="n">
        <v>142.077</v>
      </c>
      <c r="NF15" s="21" t="n">
        <v>145.856</v>
      </c>
      <c r="NG15" s="21" t="n">
        <v>146.712</v>
      </c>
      <c r="NH15" s="21" t="n">
        <v>250.853</v>
      </c>
      <c r="NI15" s="21" t="n">
        <v>108.252</v>
      </c>
      <c r="NJ15" s="21" t="n">
        <v>80.75700000000001</v>
      </c>
      <c r="NK15" s="21" t="n">
        <v>111.01</v>
      </c>
      <c r="NL15" s="21" t="n">
        <v>172.061</v>
      </c>
      <c r="NM15" s="21" t="n">
        <v>159.404</v>
      </c>
      <c r="NN15" s="21" t="n">
        <v>92.78100000000001</v>
      </c>
      <c r="NO15" s="21" t="n">
        <v>61.239</v>
      </c>
      <c r="NP15" s="21" t="n">
        <v>210.749</v>
      </c>
      <c r="NQ15" s="21" t="n">
        <v>179.008</v>
      </c>
      <c r="NR15" s="21" t="n">
        <v>211.883</v>
      </c>
      <c r="NS15" s="21" t="n">
        <v>175.116</v>
      </c>
      <c r="NT15" s="21" t="n">
        <v>210.056</v>
      </c>
      <c r="NU15" s="21" t="n">
        <v>108.68</v>
      </c>
      <c r="NV15" s="21" t="n">
        <v>113.7</v>
      </c>
      <c r="NW15" s="21" t="n">
        <v>344.061</v>
      </c>
      <c r="NX15" s="21" t="n">
        <v>87.11</v>
      </c>
      <c r="NY15" s="21" t="n">
        <v>113.809</v>
      </c>
      <c r="NZ15" s="21" t="n">
        <v>296.275</v>
      </c>
      <c r="OA15" s="21" t="n">
        <v>296.351</v>
      </c>
      <c r="OB15" s="21" t="n">
        <v>306.932</v>
      </c>
      <c r="OC15" s="21" t="n">
        <v>281.727</v>
      </c>
      <c r="OD15" s="21" t="n">
        <v>319.366</v>
      </c>
      <c r="OE15" s="21" t="n">
        <v>106.334</v>
      </c>
      <c r="OF15" s="21" t="n">
        <v>295.533</v>
      </c>
      <c r="OG15" s="21" t="n">
        <v>213.032</v>
      </c>
      <c r="OH15" s="21" t="n">
        <v>57.955</v>
      </c>
      <c r="OI15" s="21" t="n">
        <v>115.583</v>
      </c>
      <c r="OJ15" s="21" t="n">
        <v>42.2</v>
      </c>
      <c r="OK15" s="21" t="n">
        <v>14.1</v>
      </c>
    </row>
    <row r="16">
      <c r="A16" s="22" t="n">
        <v>42430</v>
      </c>
      <c r="B16" s="21" t="n">
        <v>238.132</v>
      </c>
      <c r="C16" s="21" t="n">
        <v>713.3390000000001</v>
      </c>
      <c r="D16" s="21" t="n">
        <v>247.677</v>
      </c>
      <c r="E16" s="21" t="n">
        <v>247.978</v>
      </c>
      <c r="F16" s="21" t="n">
        <v>240.329</v>
      </c>
      <c r="G16" s="21" t="n">
        <v>273.162</v>
      </c>
      <c r="H16" s="21" t="n">
        <v>231.364</v>
      </c>
      <c r="I16" s="21" t="n">
        <v>239.019</v>
      </c>
      <c r="J16" s="21" t="n">
        <v>227.129</v>
      </c>
      <c r="K16" s="21" t="n">
        <v>240.274</v>
      </c>
      <c r="L16" s="21" t="n">
        <v>164.644</v>
      </c>
      <c r="M16" s="21" t="n">
        <v>296.865</v>
      </c>
      <c r="N16" s="21" t="n">
        <v>178.446</v>
      </c>
      <c r="O16" s="21" t="n">
        <v>322.573</v>
      </c>
      <c r="P16" s="21" t="n">
        <v>345.715</v>
      </c>
      <c r="Q16" s="21" t="n">
        <v>176.468</v>
      </c>
      <c r="R16" s="21" t="n">
        <v>282.531</v>
      </c>
      <c r="S16" s="21" t="n">
        <v>299.964</v>
      </c>
      <c r="T16" s="21" t="n">
        <v>268.32</v>
      </c>
      <c r="U16" s="21" t="n">
        <v>264.29</v>
      </c>
      <c r="V16" s="21" t="n">
        <v>293.093</v>
      </c>
      <c r="W16" s="21" t="n">
        <v>303.174</v>
      </c>
      <c r="X16" s="21" t="n">
        <v>267.897</v>
      </c>
      <c r="Y16" s="21" t="n">
        <v>250.837</v>
      </c>
      <c r="Z16" s="21" t="n">
        <v>250.42</v>
      </c>
      <c r="AA16" s="21" t="n">
        <v>255.276</v>
      </c>
      <c r="AB16" s="21" t="n">
        <v>308.092</v>
      </c>
      <c r="AC16" s="21" t="n">
        <v>273.841</v>
      </c>
      <c r="AD16" s="21" t="n">
        <v>231.849</v>
      </c>
      <c r="AE16" s="21" t="n">
        <v>209.665</v>
      </c>
      <c r="AF16" s="21" t="n">
        <v>231.956</v>
      </c>
      <c r="AG16" s="21" t="n">
        <v>208.566</v>
      </c>
      <c r="AH16" s="21" t="n">
        <v>153.679</v>
      </c>
      <c r="AI16" s="21" t="n">
        <v>281.999</v>
      </c>
      <c r="AJ16" s="21" t="n">
        <v>142.291</v>
      </c>
      <c r="AK16" s="21" t="n">
        <v>202.653</v>
      </c>
      <c r="AL16" s="21" t="n">
        <v>226.166</v>
      </c>
      <c r="AM16" s="21" t="n">
        <v>189.404</v>
      </c>
      <c r="AN16" s="21" t="n">
        <v>126.287</v>
      </c>
      <c r="AO16" s="21" t="n">
        <v>229.418</v>
      </c>
      <c r="AP16" s="21" t="n">
        <v>237.895</v>
      </c>
      <c r="AQ16" s="21" t="n">
        <v>148.6</v>
      </c>
      <c r="AR16" s="21" t="n">
        <v>324.869</v>
      </c>
      <c r="AS16" s="21" t="n">
        <v>172.285</v>
      </c>
      <c r="AT16" s="21" t="n">
        <v>230.461</v>
      </c>
      <c r="AU16" s="21" t="n">
        <v>147.001</v>
      </c>
      <c r="AV16" s="21" t="n">
        <v>249.143</v>
      </c>
      <c r="AW16" s="21" t="n">
        <v>217.756</v>
      </c>
      <c r="AX16" s="21" t="n">
        <v>155.983</v>
      </c>
      <c r="AY16" s="21" t="n">
        <v>279.872</v>
      </c>
      <c r="AZ16" s="21" t="n">
        <v>172.376</v>
      </c>
      <c r="BA16" s="21" t="n">
        <v>141.019</v>
      </c>
      <c r="BB16" s="21" t="n">
        <v>197.817</v>
      </c>
      <c r="BC16" s="21" t="n">
        <v>295.546</v>
      </c>
      <c r="BD16" s="21" t="n">
        <v>258.547</v>
      </c>
      <c r="BE16" s="21" t="n">
        <v>218.131</v>
      </c>
      <c r="BF16" s="21" t="n">
        <v>140.446</v>
      </c>
      <c r="BG16" s="21" t="n">
        <v>201.704</v>
      </c>
      <c r="BH16" s="21" t="n">
        <v>144.285</v>
      </c>
      <c r="BI16" s="21" t="n">
        <v>229.518</v>
      </c>
      <c r="BJ16" s="21" t="n">
        <v>221.928</v>
      </c>
      <c r="BK16" s="21" t="n">
        <v>146.469</v>
      </c>
      <c r="BL16" s="21" t="n">
        <v>298.162</v>
      </c>
      <c r="BM16" s="21" t="n">
        <v>344.971</v>
      </c>
      <c r="BN16" s="21" t="n">
        <v>358.784</v>
      </c>
      <c r="BO16" s="21" t="n">
        <v>354.489</v>
      </c>
      <c r="BP16" s="21" t="n">
        <v>200.311</v>
      </c>
      <c r="BQ16" s="21" t="n">
        <v>223.133</v>
      </c>
      <c r="BR16" s="21" t="n">
        <v>451.397</v>
      </c>
      <c r="BS16" s="21" t="n">
        <v>124.367</v>
      </c>
      <c r="BT16" s="21" t="n">
        <v>329.196</v>
      </c>
      <c r="BU16" s="21" t="n">
        <v>328.19</v>
      </c>
      <c r="BV16" s="21" t="n">
        <v>299.284</v>
      </c>
      <c r="BW16" s="21" t="n">
        <v>346.582</v>
      </c>
      <c r="BX16" s="21" t="n">
        <v>336.333</v>
      </c>
      <c r="BY16" s="21" t="n">
        <v>157.136</v>
      </c>
      <c r="BZ16" s="21" t="n">
        <v>161.129</v>
      </c>
      <c r="CA16" s="21" t="n">
        <v>156.882</v>
      </c>
      <c r="CB16" s="21" t="n">
        <v>169.101</v>
      </c>
      <c r="CC16" s="21" t="n">
        <v>147.295</v>
      </c>
      <c r="CD16" s="21" t="n">
        <v>200.052</v>
      </c>
      <c r="CE16" s="21" t="n">
        <v>161.336</v>
      </c>
      <c r="CF16" s="21" t="n">
        <v>205.912</v>
      </c>
      <c r="CG16" s="21" t="n">
        <v>168.187</v>
      </c>
      <c r="CH16" s="21" t="n">
        <v>129.525</v>
      </c>
      <c r="CI16" s="21" t="n">
        <v>162.71</v>
      </c>
      <c r="CJ16" s="21" t="n">
        <v>178.4</v>
      </c>
      <c r="CK16" s="21" t="n">
        <v>117.994</v>
      </c>
      <c r="CL16" s="21" t="n">
        <v>118.597</v>
      </c>
      <c r="CM16" s="21" t="n">
        <v>200.182</v>
      </c>
      <c r="CN16" s="21" t="n">
        <v>208.607</v>
      </c>
      <c r="CO16" s="21" t="n">
        <v>199.252</v>
      </c>
      <c r="CP16" s="21" t="n">
        <v>128.329</v>
      </c>
      <c r="CQ16" s="21" t="n">
        <v>209.743</v>
      </c>
      <c r="CR16" s="21" t="n">
        <v>215.343</v>
      </c>
      <c r="CS16" s="21" t="n">
        <v>186.092</v>
      </c>
      <c r="CT16" s="21" t="n">
        <v>145.691</v>
      </c>
      <c r="CU16" s="21" t="n">
        <v>152.736</v>
      </c>
      <c r="CV16" s="21" t="n">
        <v>226.859</v>
      </c>
      <c r="CW16" s="21" t="n">
        <v>200.394</v>
      </c>
      <c r="CX16" s="21" t="n">
        <v>237.529</v>
      </c>
      <c r="CY16" s="21" t="n">
        <v>287.652</v>
      </c>
      <c r="CZ16" s="21" t="n">
        <v>130.837</v>
      </c>
      <c r="DA16" s="21" t="n">
        <v>158.092</v>
      </c>
      <c r="DB16" s="21" t="n">
        <v>157.698</v>
      </c>
      <c r="DC16" s="21" t="n">
        <v>224.264</v>
      </c>
      <c r="DD16" s="21" t="n">
        <v>244.007</v>
      </c>
      <c r="DE16" s="21" t="n">
        <v>169.323</v>
      </c>
      <c r="DF16" s="21" t="n">
        <v>253.786</v>
      </c>
      <c r="DG16" s="21" t="n">
        <v>238.257</v>
      </c>
      <c r="DH16" s="21" t="n">
        <v>151.805</v>
      </c>
      <c r="DI16" s="21" t="n">
        <v>139.581</v>
      </c>
      <c r="DJ16" s="21" t="n">
        <v>137.965</v>
      </c>
      <c r="DK16" s="21" t="n">
        <v>272.021</v>
      </c>
      <c r="DL16" s="21" t="n">
        <v>155.489</v>
      </c>
      <c r="DM16" s="21" t="n">
        <v>131.294</v>
      </c>
      <c r="DN16" s="21" t="n">
        <v>124.422</v>
      </c>
      <c r="DO16" s="21" t="n">
        <v>260.883</v>
      </c>
      <c r="DP16" s="21" t="n">
        <v>161.898</v>
      </c>
      <c r="DQ16" s="21" t="n">
        <v>166.668</v>
      </c>
      <c r="DR16" s="21" t="n">
        <v>168.623</v>
      </c>
      <c r="DS16" s="21" t="n">
        <v>141.23</v>
      </c>
      <c r="DT16" s="21" t="n">
        <v>148.39</v>
      </c>
      <c r="DU16" s="21" t="n">
        <v>182.32</v>
      </c>
      <c r="DV16" s="21" t="n">
        <v>242.23</v>
      </c>
      <c r="DW16" s="21" t="n">
        <v>199.493</v>
      </c>
      <c r="DX16" s="21" t="n">
        <v>218.505</v>
      </c>
      <c r="DY16" s="21" t="n">
        <v>194.16</v>
      </c>
      <c r="DZ16" s="21" t="n">
        <v>209.425</v>
      </c>
      <c r="EA16" s="21" t="n">
        <v>187</v>
      </c>
      <c r="EB16" s="21" t="n">
        <v>169.57</v>
      </c>
      <c r="EC16" s="21" t="n">
        <v>334.106</v>
      </c>
      <c r="ED16" s="21" t="n">
        <v>165.039</v>
      </c>
      <c r="EE16" s="21" t="n">
        <v>179.505</v>
      </c>
      <c r="EF16" s="21" t="n">
        <v>181.09</v>
      </c>
      <c r="EG16" s="21" t="n">
        <v>241.485</v>
      </c>
      <c r="EH16" s="21" t="n">
        <v>285.196</v>
      </c>
      <c r="EI16" s="21" t="n">
        <v>293.489</v>
      </c>
      <c r="EJ16" s="21" t="n">
        <v>159.114</v>
      </c>
      <c r="EK16" s="21" t="n">
        <v>517.373</v>
      </c>
      <c r="EL16" s="21" t="n">
        <v>328.317</v>
      </c>
      <c r="EM16" s="21" t="n">
        <v>292.08</v>
      </c>
      <c r="EN16" s="21" t="n">
        <v>292.039</v>
      </c>
      <c r="EO16" s="21" t="n">
        <v>147.946</v>
      </c>
      <c r="EP16" s="21" t="n">
        <v>223.918</v>
      </c>
      <c r="EQ16" s="21" t="n">
        <v>186.198</v>
      </c>
      <c r="ER16" s="21" t="n">
        <v>217.612</v>
      </c>
      <c r="ES16" s="21" t="n">
        <v>192.617</v>
      </c>
      <c r="ET16" s="21" t="n">
        <v>297.36</v>
      </c>
      <c r="EU16" s="21" t="n">
        <v>191.203</v>
      </c>
      <c r="EV16" s="21" t="n">
        <v>202.487</v>
      </c>
      <c r="EW16" s="21" t="n">
        <v>154.822</v>
      </c>
      <c r="EX16" s="21" t="n">
        <v>219.649</v>
      </c>
      <c r="EY16" s="21" t="n">
        <v>508.14</v>
      </c>
      <c r="EZ16" s="21" t="n">
        <v>437.699</v>
      </c>
      <c r="FA16" s="21" t="n">
        <v>122.389</v>
      </c>
      <c r="FB16" s="21" t="n">
        <v>60.036</v>
      </c>
      <c r="FC16" s="21" t="n">
        <v>109.69</v>
      </c>
      <c r="FD16" s="21" t="n">
        <v>69.34399999999999</v>
      </c>
      <c r="FE16" s="21" t="n">
        <v>46.642</v>
      </c>
      <c r="FF16" s="21" t="n">
        <v>113.588</v>
      </c>
      <c r="FG16" s="21" t="n">
        <v>130.934</v>
      </c>
      <c r="FH16" s="21" t="n">
        <v>86.27200000000001</v>
      </c>
      <c r="FI16" s="21" t="n">
        <v>71.982</v>
      </c>
      <c r="FJ16" s="21" t="n"/>
      <c r="FK16" s="21" t="n">
        <v>77.70099999999999</v>
      </c>
      <c r="FL16" s="21" t="n">
        <v>85.739</v>
      </c>
      <c r="FM16" s="21" t="n">
        <v>97.285</v>
      </c>
      <c r="FN16" s="21" t="n">
        <v>66.711</v>
      </c>
      <c r="FO16" s="21" t="n">
        <v>58.114</v>
      </c>
      <c r="FP16" s="21" t="n">
        <v>45.6</v>
      </c>
      <c r="FQ16" s="21" t="n">
        <v>131.622</v>
      </c>
      <c r="FR16" s="21" t="n">
        <v>54.898</v>
      </c>
      <c r="FS16" s="21" t="n">
        <v>88.812</v>
      </c>
      <c r="FT16" s="21" t="n">
        <v>90.791</v>
      </c>
      <c r="FU16" s="21" t="n">
        <v>99.17700000000001</v>
      </c>
      <c r="FV16" s="21" t="n">
        <v>86.762</v>
      </c>
      <c r="FW16" s="21" t="n">
        <v>187.391</v>
      </c>
      <c r="FX16" s="21" t="n">
        <v>119.898</v>
      </c>
      <c r="FY16" s="21" t="n">
        <v>170.268</v>
      </c>
      <c r="FZ16" s="21" t="n">
        <v>118.385</v>
      </c>
      <c r="GA16" s="21" t="n">
        <v>170.33</v>
      </c>
      <c r="GB16" s="21" t="n">
        <v>156.763</v>
      </c>
      <c r="GC16" s="21" t="n">
        <v>173.187</v>
      </c>
      <c r="GD16" s="21" t="n">
        <v>152.103</v>
      </c>
      <c r="GE16" s="21" t="n">
        <v>224.991</v>
      </c>
      <c r="GF16" s="21" t="n">
        <v>127.427</v>
      </c>
      <c r="GG16" s="21" t="n">
        <v>117.951</v>
      </c>
      <c r="GH16" s="21" t="n">
        <v>122.454</v>
      </c>
      <c r="GI16" s="21" t="n">
        <v>106.54</v>
      </c>
      <c r="GJ16" s="21" t="n">
        <v>157.073</v>
      </c>
      <c r="GK16" s="21" t="n">
        <v>79.48</v>
      </c>
      <c r="GL16" s="21" t="n">
        <v>119.898</v>
      </c>
      <c r="GM16" s="21" t="n">
        <v>100.6</v>
      </c>
      <c r="GN16" s="21" t="n">
        <v>114.559</v>
      </c>
      <c r="GO16" s="21" t="n">
        <v>118.003</v>
      </c>
      <c r="GP16" s="21" t="n">
        <v>112.688</v>
      </c>
      <c r="GQ16" s="21" t="n">
        <v>126.487</v>
      </c>
      <c r="GR16" s="21" t="n">
        <v>85.304</v>
      </c>
      <c r="GS16" s="21" t="n">
        <v>106.271</v>
      </c>
      <c r="GT16" s="21" t="n">
        <v>98.366</v>
      </c>
      <c r="GU16" s="21" t="n">
        <v>138.003</v>
      </c>
      <c r="GV16" s="21" t="n">
        <v>141.288</v>
      </c>
      <c r="GW16" s="21" t="n">
        <v>150.883</v>
      </c>
      <c r="GX16" s="21" t="n">
        <v>129.107</v>
      </c>
      <c r="GY16" s="21" t="n">
        <v>118.352</v>
      </c>
      <c r="GZ16" s="21" t="n">
        <v>165.622</v>
      </c>
      <c r="HA16" s="21" t="n">
        <v>128.774</v>
      </c>
      <c r="HB16" s="21" t="n">
        <v>170.839</v>
      </c>
      <c r="HC16" s="21" t="n">
        <v>191.257</v>
      </c>
      <c r="HD16" s="21" t="n">
        <v>185.706</v>
      </c>
      <c r="HE16" s="21" t="n">
        <v>101.18</v>
      </c>
      <c r="HF16" s="21" t="n">
        <v>148.227</v>
      </c>
      <c r="HG16" s="21" t="n">
        <v>102.739</v>
      </c>
      <c r="HH16" s="21" t="n">
        <v>144.78</v>
      </c>
      <c r="HI16" s="21" t="n">
        <v>157.22</v>
      </c>
      <c r="HJ16" s="21" t="n"/>
      <c r="HK16" s="21" t="n">
        <v>146.178</v>
      </c>
      <c r="HL16" s="21" t="n">
        <v>84.97799999999999</v>
      </c>
      <c r="HM16" s="21" t="n">
        <v>129.567</v>
      </c>
      <c r="HN16" s="21" t="n">
        <v>171.05</v>
      </c>
      <c r="HO16" s="21" t="n">
        <v>170.356</v>
      </c>
      <c r="HP16" s="21" t="n">
        <v>166.269</v>
      </c>
      <c r="HQ16" s="21" t="n">
        <v>187.562</v>
      </c>
      <c r="HR16" s="21" t="n">
        <v>183.44</v>
      </c>
      <c r="HS16" s="21" t="n">
        <v>149.363</v>
      </c>
      <c r="HT16" s="21" t="n">
        <v>144.179</v>
      </c>
      <c r="HU16" s="21" t="n">
        <v>126.348</v>
      </c>
      <c r="HV16" s="21" t="n">
        <v>166.339</v>
      </c>
      <c r="HW16" s="21" t="n">
        <v>157.061</v>
      </c>
      <c r="HX16" s="21" t="n">
        <v>367.368</v>
      </c>
      <c r="HY16" s="21" t="n">
        <v>273.98</v>
      </c>
      <c r="HZ16" s="21" t="n">
        <v>285.833</v>
      </c>
      <c r="IA16" s="21" t="n">
        <v>245.456</v>
      </c>
      <c r="IB16" s="21" t="n">
        <v>170.727</v>
      </c>
      <c r="IC16" s="21" t="n">
        <v>478.644</v>
      </c>
      <c r="ID16" s="21" t="n">
        <v>181.669</v>
      </c>
      <c r="IE16" s="21" t="n">
        <v>172.242</v>
      </c>
      <c r="IF16" s="21" t="n">
        <v>197.209</v>
      </c>
      <c r="IG16" s="21" t="n">
        <v>220.091</v>
      </c>
      <c r="IH16" s="21" t="n">
        <v>126.393</v>
      </c>
      <c r="II16" s="21" t="n">
        <v>265.017</v>
      </c>
      <c r="IJ16" s="21" t="n">
        <v>283.584</v>
      </c>
      <c r="IK16" s="21" t="n">
        <v>155.539</v>
      </c>
      <c r="IL16" s="21" t="n"/>
      <c r="IM16" s="21" t="n">
        <v>110.69</v>
      </c>
      <c r="IN16" s="21" t="n">
        <v>64.899</v>
      </c>
      <c r="IO16" s="21" t="n">
        <v>307.857</v>
      </c>
      <c r="IP16" s="21" t="n">
        <v>121.927</v>
      </c>
      <c r="IQ16" s="21" t="n">
        <v>458.62</v>
      </c>
      <c r="IR16" s="21" t="n">
        <v>362.386</v>
      </c>
      <c r="IS16" s="21" t="n">
        <v>118.518</v>
      </c>
      <c r="IT16" s="21" t="n">
        <v>495.191</v>
      </c>
      <c r="IU16" s="21" t="n">
        <v>96.319</v>
      </c>
      <c r="IV16" s="21" t="n">
        <v>98.90600000000001</v>
      </c>
      <c r="IW16" s="21" t="n">
        <v>489.52</v>
      </c>
      <c r="IX16" s="21" t="n">
        <v>367.647</v>
      </c>
      <c r="IY16" s="21" t="n">
        <v>372.672</v>
      </c>
      <c r="IZ16" s="21" t="n">
        <v>462.178</v>
      </c>
      <c r="JA16" s="21" t="n">
        <v>186.572</v>
      </c>
      <c r="JB16" s="21" t="n">
        <v>228.682</v>
      </c>
      <c r="JC16" s="21" t="n">
        <v>71.601</v>
      </c>
      <c r="JD16" s="21" t="n">
        <v>300.303</v>
      </c>
      <c r="JE16" s="21" t="n">
        <v>297.042</v>
      </c>
      <c r="JF16" s="21" t="n">
        <v>665.153</v>
      </c>
      <c r="JG16" s="21" t="n">
        <v>212.136</v>
      </c>
      <c r="JH16" s="21" t="n">
        <v>120.102</v>
      </c>
      <c r="JI16" s="21" t="n">
        <v>129.929</v>
      </c>
      <c r="JJ16" s="21" t="n">
        <v>117.071</v>
      </c>
      <c r="JK16" s="21" t="n">
        <v>101.51</v>
      </c>
      <c r="JL16" s="21" t="n">
        <v>288.708</v>
      </c>
      <c r="JM16" s="21" t="n">
        <v>437.576</v>
      </c>
      <c r="JN16" s="21" t="n">
        <v>130.701</v>
      </c>
      <c r="JO16" s="21" t="n">
        <v>72.871</v>
      </c>
      <c r="JP16" s="21" t="n">
        <v>40.535</v>
      </c>
      <c r="JQ16" s="21" t="n">
        <v>121.007</v>
      </c>
      <c r="JR16" s="21" t="n">
        <v>35.471</v>
      </c>
      <c r="JS16" s="21" t="n">
        <v>89.113</v>
      </c>
      <c r="JT16" s="21" t="n">
        <v>168.942</v>
      </c>
      <c r="JU16" s="21" t="n">
        <v>197.966</v>
      </c>
      <c r="JV16" s="21" t="n">
        <v>151.671</v>
      </c>
      <c r="JW16" s="21" t="n">
        <v>113.874</v>
      </c>
      <c r="JX16" s="21" t="n">
        <v>232.053</v>
      </c>
      <c r="JY16" s="21" t="n">
        <v>184.178</v>
      </c>
      <c r="JZ16" s="21" t="n">
        <v>242.837</v>
      </c>
      <c r="KA16" s="21" t="n">
        <v>113</v>
      </c>
      <c r="KB16" s="21" t="n">
        <v>145.367</v>
      </c>
      <c r="KC16" s="21" t="n">
        <v>84.786</v>
      </c>
      <c r="KD16" s="21" t="n">
        <v>74.233</v>
      </c>
      <c r="KE16" s="21" t="n">
        <v>52.404</v>
      </c>
      <c r="KF16" s="21" t="n">
        <v>124.057</v>
      </c>
      <c r="KG16" s="21" t="n">
        <v>21.432</v>
      </c>
      <c r="KH16" s="21" t="n">
        <v>124.732</v>
      </c>
      <c r="KI16" s="21" t="n">
        <v>130.266</v>
      </c>
      <c r="KJ16" s="21" t="n">
        <v>122.394</v>
      </c>
      <c r="KK16" s="21" t="n">
        <v>45.088</v>
      </c>
      <c r="KL16" s="21" t="n">
        <v>42.199</v>
      </c>
      <c r="KM16" s="21" t="n">
        <v>50.965</v>
      </c>
      <c r="KN16" s="21" t="n"/>
      <c r="KO16" s="21" t="n">
        <v>96.447</v>
      </c>
      <c r="KP16" s="21" t="n">
        <v>100.498</v>
      </c>
      <c r="KQ16" s="21" t="n">
        <v>159.052</v>
      </c>
      <c r="KR16" s="21" t="n">
        <v>131.664</v>
      </c>
      <c r="KS16" s="21" t="n">
        <v>362.163</v>
      </c>
      <c r="KT16" s="21" t="n">
        <v>174.62</v>
      </c>
      <c r="KU16" s="21" t="n">
        <v>204.738</v>
      </c>
      <c r="KV16" s="21" t="n">
        <v>292.769</v>
      </c>
      <c r="KW16" s="21" t="n">
        <v>239.842</v>
      </c>
      <c r="KX16" s="21" t="n">
        <v>166.627</v>
      </c>
      <c r="KY16" s="21" t="n">
        <v>97.71899999999999</v>
      </c>
      <c r="KZ16" s="21" t="n">
        <v>139.279</v>
      </c>
      <c r="LA16" s="21" t="n">
        <v>244.876</v>
      </c>
      <c r="LB16" s="21" t="n">
        <v>658.775</v>
      </c>
      <c r="LC16" s="21" t="n">
        <v>226.361</v>
      </c>
      <c r="LD16" s="21" t="n">
        <v>701.248</v>
      </c>
      <c r="LE16" s="21" t="n">
        <v>799.1609999999999</v>
      </c>
      <c r="LF16" s="21" t="n">
        <v>73.039</v>
      </c>
      <c r="LG16" s="21" t="n">
        <v>280.664</v>
      </c>
      <c r="LH16" s="21" t="n">
        <v>236.617</v>
      </c>
      <c r="LI16" s="21" t="n">
        <v>80.08799999999999</v>
      </c>
      <c r="LJ16" s="21" t="n">
        <v>178.099</v>
      </c>
      <c r="LK16" s="21" t="n">
        <v>280.656</v>
      </c>
      <c r="LL16" s="21" t="n">
        <v>278.337</v>
      </c>
      <c r="LM16" s="21" t="n">
        <v>76.199</v>
      </c>
      <c r="LN16" s="21" t="n">
        <v>99.712</v>
      </c>
      <c r="LO16" s="21" t="n">
        <v>55.28</v>
      </c>
      <c r="LP16" s="21" t="n">
        <v>114.896</v>
      </c>
      <c r="LQ16" s="21" t="n"/>
      <c r="LR16" s="21" t="n"/>
      <c r="LS16" s="21" t="n">
        <v>117.823</v>
      </c>
      <c r="LT16" s="21" t="n">
        <v>45.269</v>
      </c>
      <c r="LU16" s="21" t="n">
        <v>35.157</v>
      </c>
      <c r="LV16" s="21" t="n">
        <v>78.402</v>
      </c>
      <c r="LW16" s="21" t="n">
        <v>283.351</v>
      </c>
      <c r="LX16" s="21" t="n"/>
      <c r="LY16" s="21" t="n">
        <v>420.632</v>
      </c>
      <c r="LZ16" s="21" t="n">
        <v>60.124</v>
      </c>
      <c r="MA16" s="21" t="n">
        <v>389.258</v>
      </c>
      <c r="MB16" s="21" t="n">
        <v>250.361</v>
      </c>
      <c r="MC16" s="21" t="n">
        <v>223.241</v>
      </c>
      <c r="MD16" s="21" t="n">
        <v>163.554</v>
      </c>
      <c r="ME16" s="21" t="n">
        <v>103.58</v>
      </c>
      <c r="MF16" s="21" t="n">
        <v>189.048</v>
      </c>
      <c r="MG16" s="21" t="n">
        <v>251.628</v>
      </c>
      <c r="MH16" s="21" t="n">
        <v>153.534</v>
      </c>
      <c r="MI16" s="21" t="n">
        <v>405.997</v>
      </c>
      <c r="MJ16" s="21" t="n">
        <v>326.714</v>
      </c>
      <c r="MK16" s="21" t="n">
        <v>317.778</v>
      </c>
      <c r="ML16" s="21" t="n">
        <v>159.134</v>
      </c>
      <c r="MM16" s="21" t="n">
        <v>184.055</v>
      </c>
      <c r="MN16" s="21" t="n">
        <v>323.949</v>
      </c>
      <c r="MO16" s="21" t="n">
        <v>150.891</v>
      </c>
      <c r="MP16" s="21" t="n">
        <v>222.329</v>
      </c>
      <c r="MQ16" s="21" t="n">
        <v>80.828</v>
      </c>
      <c r="MR16" s="21" t="n">
        <v>151.164</v>
      </c>
      <c r="MS16" s="21" t="n">
        <v>82.298</v>
      </c>
      <c r="MT16" s="21" t="n">
        <v>227.545</v>
      </c>
      <c r="MU16" s="21" t="n">
        <v>245.913</v>
      </c>
      <c r="MV16" s="21" t="n">
        <v>236.602</v>
      </c>
      <c r="MW16" s="21" t="n">
        <v>246.358</v>
      </c>
      <c r="MX16" s="21" t="n">
        <v>222.363</v>
      </c>
      <c r="MY16" s="21" t="n">
        <v>215.747</v>
      </c>
      <c r="MZ16" s="21" t="n">
        <v>224.802</v>
      </c>
      <c r="NA16" s="21" t="n">
        <v>229.479</v>
      </c>
      <c r="NB16" s="21" t="n">
        <v>120.371</v>
      </c>
      <c r="NC16" s="21" t="n">
        <v>178.437</v>
      </c>
      <c r="ND16" s="21" t="n">
        <v>147.528</v>
      </c>
      <c r="NE16" s="21" t="n">
        <v>144.277</v>
      </c>
      <c r="NF16" s="21" t="n">
        <v>146.367</v>
      </c>
      <c r="NG16" s="21" t="n">
        <v>147.024</v>
      </c>
      <c r="NH16" s="21" t="n">
        <v>248.842</v>
      </c>
      <c r="NI16" s="21" t="n">
        <v>108.525</v>
      </c>
      <c r="NJ16" s="21" t="n">
        <v>80.404</v>
      </c>
      <c r="NK16" s="21" t="n">
        <v>111.096</v>
      </c>
      <c r="NL16" s="21" t="n">
        <v>179.017</v>
      </c>
      <c r="NM16" s="21" t="n">
        <v>174.5</v>
      </c>
      <c r="NN16" s="21" t="n">
        <v>92.654</v>
      </c>
      <c r="NO16" s="21" t="n">
        <v>60.922</v>
      </c>
      <c r="NP16" s="21" t="n">
        <v>212.806</v>
      </c>
      <c r="NQ16" s="21" t="n">
        <v>183.308</v>
      </c>
      <c r="NR16" s="21" t="n">
        <v>217.611</v>
      </c>
      <c r="NS16" s="21" t="n">
        <v>179.677</v>
      </c>
      <c r="NT16" s="21" t="n">
        <v>216.383</v>
      </c>
      <c r="NU16" s="21" t="n">
        <v>108.844</v>
      </c>
      <c r="NV16" s="21" t="n">
        <v>114.069</v>
      </c>
      <c r="NW16" s="21" t="n">
        <v>345.176</v>
      </c>
      <c r="NX16" s="21" t="n">
        <v>86.795</v>
      </c>
      <c r="NY16" s="21" t="n">
        <v>114.646</v>
      </c>
      <c r="NZ16" s="21" t="n">
        <v>297.083</v>
      </c>
      <c r="OA16" s="21" t="n">
        <v>297.024</v>
      </c>
      <c r="OB16" s="21" t="n">
        <v>307.703</v>
      </c>
      <c r="OC16" s="21" t="n">
        <v>282.437</v>
      </c>
      <c r="OD16" s="21" t="n">
        <v>319.935</v>
      </c>
      <c r="OE16" s="21" t="n">
        <v>106.835</v>
      </c>
      <c r="OF16" s="21" t="n">
        <v>296.363</v>
      </c>
      <c r="OG16" s="21" t="n">
        <v>213.433</v>
      </c>
      <c r="OH16" s="21" t="n">
        <v>57.563</v>
      </c>
      <c r="OI16" s="21" t="n">
        <v>117.039</v>
      </c>
      <c r="OJ16" s="21" t="n">
        <v>42</v>
      </c>
      <c r="OK16" s="21" t="n">
        <v>14</v>
      </c>
    </row>
    <row r="17">
      <c r="A17" s="22" t="n">
        <v>42461</v>
      </c>
      <c r="B17" s="21" t="n">
        <v>239.261</v>
      </c>
      <c r="C17" s="21" t="n">
        <v>716.7190000000001</v>
      </c>
      <c r="D17" s="21" t="n">
        <v>248.095</v>
      </c>
      <c r="E17" s="21" t="n">
        <v>248.413</v>
      </c>
      <c r="F17" s="21" t="n">
        <v>240.635</v>
      </c>
      <c r="G17" s="21" t="n">
        <v>273.924</v>
      </c>
      <c r="H17" s="21" t="n">
        <v>231.994</v>
      </c>
      <c r="I17" s="21" t="n">
        <v>243.974</v>
      </c>
      <c r="J17" s="21" t="n">
        <v>226.731</v>
      </c>
      <c r="K17" s="21" t="n">
        <v>241.017</v>
      </c>
      <c r="L17" s="21" t="n">
        <v>162.623</v>
      </c>
      <c r="M17" s="21" t="n">
        <v>297.703</v>
      </c>
      <c r="N17" s="21" t="n">
        <v>177.728</v>
      </c>
      <c r="O17" s="21" t="n">
        <v>320.497</v>
      </c>
      <c r="P17" s="21" t="n">
        <v>344.622</v>
      </c>
      <c r="Q17" s="21" t="n">
        <v>175.933</v>
      </c>
      <c r="R17" s="21" t="n">
        <v>282.389</v>
      </c>
      <c r="S17" s="21" t="n">
        <v>296.097</v>
      </c>
      <c r="T17" s="21" t="n">
        <v>271.603</v>
      </c>
      <c r="U17" s="21" t="n">
        <v>268.179</v>
      </c>
      <c r="V17" s="21" t="n">
        <v>292.48</v>
      </c>
      <c r="W17" s="21" t="n">
        <v>311.097</v>
      </c>
      <c r="X17" s="21" t="n">
        <v>270.068</v>
      </c>
      <c r="Y17" s="21" t="n">
        <v>250.839</v>
      </c>
      <c r="Z17" s="21" t="n">
        <v>251.738</v>
      </c>
      <c r="AA17" s="21" t="n">
        <v>255.1</v>
      </c>
      <c r="AB17" s="21" t="n">
        <v>307.494</v>
      </c>
      <c r="AC17" s="21" t="n">
        <v>271.059</v>
      </c>
      <c r="AD17" s="21" t="n">
        <v>228.866</v>
      </c>
      <c r="AE17" s="21" t="n">
        <v>212.252</v>
      </c>
      <c r="AF17" s="21" t="n">
        <v>230.853</v>
      </c>
      <c r="AG17" s="21" t="n">
        <v>210.359</v>
      </c>
      <c r="AH17" s="21" t="n">
        <v>156.997</v>
      </c>
      <c r="AI17" s="21" t="n">
        <v>287.903</v>
      </c>
      <c r="AJ17" s="21" t="n">
        <v>145.254</v>
      </c>
      <c r="AK17" s="21" t="n">
        <v>197.623</v>
      </c>
      <c r="AL17" s="21" t="n">
        <v>219.403</v>
      </c>
      <c r="AM17" s="21" t="n">
        <v>190.269</v>
      </c>
      <c r="AN17" s="21" t="n">
        <v>128.093</v>
      </c>
      <c r="AO17" s="21" t="n">
        <v>227.119</v>
      </c>
      <c r="AP17" s="21" t="n">
        <v>230.28</v>
      </c>
      <c r="AQ17" s="21" t="n">
        <v>147.322</v>
      </c>
      <c r="AR17" s="21" t="n">
        <v>334.221</v>
      </c>
      <c r="AS17" s="21" t="n">
        <v>179.379</v>
      </c>
      <c r="AT17" s="21" t="n">
        <v>232.688</v>
      </c>
      <c r="AU17" s="21" t="n">
        <v>148.674</v>
      </c>
      <c r="AV17" s="21" t="n">
        <v>254.822</v>
      </c>
      <c r="AW17" s="21" t="n">
        <v>218.255</v>
      </c>
      <c r="AX17" s="21" t="n">
        <v>156.364</v>
      </c>
      <c r="AY17" s="21" t="n">
        <v>286.621</v>
      </c>
      <c r="AZ17" s="21" t="n">
        <v>176.624</v>
      </c>
      <c r="BA17" s="21" t="n">
        <v>144.331</v>
      </c>
      <c r="BB17" s="21" t="n">
        <v>203.909</v>
      </c>
      <c r="BC17" s="21" t="n">
        <v>302.048</v>
      </c>
      <c r="BD17" s="21" t="n">
        <v>240.683</v>
      </c>
      <c r="BE17" s="21" t="n">
        <v>218.315</v>
      </c>
      <c r="BF17" s="21" t="n">
        <v>139.27</v>
      </c>
      <c r="BG17" s="21" t="n">
        <v>201.085</v>
      </c>
      <c r="BH17" s="21" t="n">
        <v>142.285</v>
      </c>
      <c r="BI17" s="21" t="n">
        <v>230.003</v>
      </c>
      <c r="BJ17" s="21" t="n">
        <v>222.637</v>
      </c>
      <c r="BK17" s="21" t="n">
        <v>147.663</v>
      </c>
      <c r="BL17" s="21" t="n">
        <v>296.217</v>
      </c>
      <c r="BM17" s="21" t="n">
        <v>340.76</v>
      </c>
      <c r="BN17" s="21" t="n">
        <v>358.469</v>
      </c>
      <c r="BO17" s="21" t="n">
        <v>350.451</v>
      </c>
      <c r="BP17" s="21" t="n">
        <v>197.396</v>
      </c>
      <c r="BQ17" s="21" t="n">
        <v>229.84</v>
      </c>
      <c r="BR17" s="21" t="n">
        <v>456.212</v>
      </c>
      <c r="BS17" s="21" t="n">
        <v>123.14</v>
      </c>
      <c r="BT17" s="21" t="n">
        <v>320.934</v>
      </c>
      <c r="BU17" s="21" t="n">
        <v>327.293</v>
      </c>
      <c r="BV17" s="21" t="n">
        <v>289.766</v>
      </c>
      <c r="BW17" s="21" t="n">
        <v>330.271</v>
      </c>
      <c r="BX17" s="21" t="n">
        <v>328.673</v>
      </c>
      <c r="BY17" s="21" t="n">
        <v>159.351</v>
      </c>
      <c r="BZ17" s="21" t="n">
        <v>162.993</v>
      </c>
      <c r="CA17" s="21" t="n">
        <v>158.244</v>
      </c>
      <c r="CB17" s="21" t="n">
        <v>171.327</v>
      </c>
      <c r="CC17" s="21" t="n">
        <v>150.471</v>
      </c>
      <c r="CD17" s="21" t="n">
        <v>205.669</v>
      </c>
      <c r="CE17" s="21" t="n">
        <v>162.87</v>
      </c>
      <c r="CF17" s="21" t="n">
        <v>203.738</v>
      </c>
      <c r="CG17" s="21" t="n">
        <v>168.771</v>
      </c>
      <c r="CH17" s="21" t="n">
        <v>129.936</v>
      </c>
      <c r="CI17" s="21" t="n">
        <v>163.826</v>
      </c>
      <c r="CJ17" s="21" t="n">
        <v>178.514</v>
      </c>
      <c r="CK17" s="21" t="n">
        <v>118.076</v>
      </c>
      <c r="CL17" s="21" t="n">
        <v>119.092</v>
      </c>
      <c r="CM17" s="21" t="n">
        <v>200.322</v>
      </c>
      <c r="CN17" s="21" t="n">
        <v>210.06</v>
      </c>
      <c r="CO17" s="21" t="n">
        <v>196.505</v>
      </c>
      <c r="CP17" s="21" t="n">
        <v>129.618</v>
      </c>
      <c r="CQ17" s="21" t="n">
        <v>211.009</v>
      </c>
      <c r="CR17" s="21" t="n">
        <v>216.681</v>
      </c>
      <c r="CS17" s="21" t="n">
        <v>192.215</v>
      </c>
      <c r="CT17" s="21" t="n">
        <v>145.464</v>
      </c>
      <c r="CU17" s="21" t="n">
        <v>154.044</v>
      </c>
      <c r="CV17" s="21" t="n">
        <v>227.397</v>
      </c>
      <c r="CW17" s="21" t="n">
        <v>200.332</v>
      </c>
      <c r="CX17" s="21" t="n">
        <v>234.593</v>
      </c>
      <c r="CY17" s="21" t="n">
        <v>291.957</v>
      </c>
      <c r="CZ17" s="21" t="n">
        <v>131.232</v>
      </c>
      <c r="DA17" s="21" t="n">
        <v>158.673</v>
      </c>
      <c r="DB17" s="21" t="n">
        <v>157.151</v>
      </c>
      <c r="DC17" s="21" t="n">
        <v>225.742</v>
      </c>
      <c r="DD17" s="21" t="n">
        <v>248.76</v>
      </c>
      <c r="DE17" s="21" t="n">
        <v>170.509</v>
      </c>
      <c r="DF17" s="21" t="n">
        <v>254.051</v>
      </c>
      <c r="DG17" s="21" t="n">
        <v>240.532</v>
      </c>
      <c r="DH17" s="21" t="n">
        <v>154.118</v>
      </c>
      <c r="DI17" s="21" t="n">
        <v>140.161</v>
      </c>
      <c r="DJ17" s="21" t="n">
        <v>136.554</v>
      </c>
      <c r="DK17" s="21" t="n">
        <v>281.628</v>
      </c>
      <c r="DL17" s="21" t="n">
        <v>154.673</v>
      </c>
      <c r="DM17" s="21" t="n">
        <v>132.263</v>
      </c>
      <c r="DN17" s="21" t="n">
        <v>124.181</v>
      </c>
      <c r="DO17" s="21" t="n">
        <v>261.517</v>
      </c>
      <c r="DP17" s="21" t="n">
        <v>162.125</v>
      </c>
      <c r="DQ17" s="21" t="n">
        <v>167.238</v>
      </c>
      <c r="DR17" s="21" t="n">
        <v>168.82</v>
      </c>
      <c r="DS17" s="21" t="n">
        <v>141.173</v>
      </c>
      <c r="DT17" s="21" t="n">
        <v>150.577</v>
      </c>
      <c r="DU17" s="21" t="n">
        <v>182.554</v>
      </c>
      <c r="DV17" s="21" t="n">
        <v>242.407</v>
      </c>
      <c r="DW17" s="21" t="n">
        <v>199.411</v>
      </c>
      <c r="DX17" s="21" t="n">
        <v>219.183</v>
      </c>
      <c r="DY17" s="21" t="n">
        <v>194.367</v>
      </c>
      <c r="DZ17" s="21" t="n">
        <v>210.014</v>
      </c>
      <c r="EA17" s="21" t="n">
        <v>187.166</v>
      </c>
      <c r="EB17" s="21" t="n">
        <v>168.778</v>
      </c>
      <c r="EC17" s="21" t="n">
        <v>334.97</v>
      </c>
      <c r="ED17" s="21" t="n">
        <v>165.471</v>
      </c>
      <c r="EE17" s="21" t="n">
        <v>179.845</v>
      </c>
      <c r="EF17" s="21" t="n">
        <v>181.534</v>
      </c>
      <c r="EG17" s="21" t="n">
        <v>241.79</v>
      </c>
      <c r="EH17" s="21" t="n">
        <v>285.836</v>
      </c>
      <c r="EI17" s="21" t="n">
        <v>294.175</v>
      </c>
      <c r="EJ17" s="21" t="n">
        <v>157.979</v>
      </c>
      <c r="EK17" s="21" t="n">
        <v>517.373</v>
      </c>
      <c r="EL17" s="21" t="n">
        <v>325.636</v>
      </c>
      <c r="EM17" s="21" t="n">
        <v>292.855</v>
      </c>
      <c r="EN17" s="21" t="n">
        <v>292.815</v>
      </c>
      <c r="EO17" s="21" t="n">
        <v>147.526</v>
      </c>
      <c r="EP17" s="21" t="n">
        <v>223.529</v>
      </c>
      <c r="EQ17" s="21" t="n">
        <v>185.549</v>
      </c>
      <c r="ER17" s="21" t="n">
        <v>217.852</v>
      </c>
      <c r="ES17" s="21" t="n">
        <v>196.349</v>
      </c>
      <c r="ET17" s="21" t="n">
        <v>292.242</v>
      </c>
      <c r="EU17" s="21" t="n">
        <v>190.495</v>
      </c>
      <c r="EV17" s="21" t="n">
        <v>201.778</v>
      </c>
      <c r="EW17" s="21" t="n">
        <v>154.13</v>
      </c>
      <c r="EX17" s="21" t="n">
        <v>220.506</v>
      </c>
      <c r="EY17" s="21" t="n">
        <v>510.778</v>
      </c>
      <c r="EZ17" s="21" t="n">
        <v>437.676</v>
      </c>
      <c r="FA17" s="21" t="n">
        <v>122.012</v>
      </c>
      <c r="FB17" s="21" t="n">
        <v>60.008</v>
      </c>
      <c r="FC17" s="21" t="n">
        <v>110.144</v>
      </c>
      <c r="FD17" s="21" t="n">
        <v>68.869</v>
      </c>
      <c r="FE17" s="21" t="n">
        <v>46.644</v>
      </c>
      <c r="FF17" s="21" t="n">
        <v>113.325</v>
      </c>
      <c r="FG17" s="21" t="n">
        <v>130.286</v>
      </c>
      <c r="FH17" s="21" t="n">
        <v>86.548</v>
      </c>
      <c r="FI17" s="21" t="n">
        <v>71.10599999999999</v>
      </c>
      <c r="FJ17" s="21" t="n"/>
      <c r="FK17" s="21" t="n">
        <v>77.497</v>
      </c>
      <c r="FL17" s="21" t="n">
        <v>85.661</v>
      </c>
      <c r="FM17" s="21" t="n">
        <v>96.92</v>
      </c>
      <c r="FN17" s="21" t="n">
        <v>66.48399999999999</v>
      </c>
      <c r="FO17" s="21" t="n">
        <v>58.026</v>
      </c>
      <c r="FP17" s="21" t="n">
        <v>46.019</v>
      </c>
      <c r="FQ17" s="21" t="n">
        <v>127.609</v>
      </c>
      <c r="FR17" s="21" t="n">
        <v>53.929</v>
      </c>
      <c r="FS17" s="21" t="n">
        <v>90.23999999999999</v>
      </c>
      <c r="FT17" s="21" t="n">
        <v>90.348</v>
      </c>
      <c r="FU17" s="21" t="n">
        <v>98.432</v>
      </c>
      <c r="FV17" s="21" t="n">
        <v>86.464</v>
      </c>
      <c r="FW17" s="21" t="n">
        <v>186.532</v>
      </c>
      <c r="FX17" s="21" t="n">
        <v>118.801</v>
      </c>
      <c r="FY17" s="21" t="n">
        <v>169.675</v>
      </c>
      <c r="FZ17" s="21" t="n">
        <v>118.377</v>
      </c>
      <c r="GA17" s="21" t="n">
        <v>169.891</v>
      </c>
      <c r="GB17" s="21" t="n">
        <v>156.789</v>
      </c>
      <c r="GC17" s="21" t="n">
        <v>173.314</v>
      </c>
      <c r="GD17" s="21" t="n">
        <v>150.681</v>
      </c>
      <c r="GE17" s="21" t="n">
        <v>221.927</v>
      </c>
      <c r="GF17" s="21" t="n">
        <v>127.77</v>
      </c>
      <c r="GG17" s="21" t="n">
        <v>119.482</v>
      </c>
      <c r="GH17" s="21" t="n">
        <v>123.248</v>
      </c>
      <c r="GI17" s="21" t="n">
        <v>110.223</v>
      </c>
      <c r="GJ17" s="21" t="n">
        <v>154.217</v>
      </c>
      <c r="GK17" s="21" t="n">
        <v>81.161</v>
      </c>
      <c r="GL17" s="21" t="n">
        <v>120.47</v>
      </c>
      <c r="GM17" s="21" t="n">
        <v>104.591</v>
      </c>
      <c r="GN17" s="21" t="n">
        <v>114.226</v>
      </c>
      <c r="GO17" s="21" t="n">
        <v>118.128</v>
      </c>
      <c r="GP17" s="21" t="n">
        <v>112.041</v>
      </c>
      <c r="GQ17" s="21" t="n">
        <v>128.45</v>
      </c>
      <c r="GR17" s="21" t="n">
        <v>85.208</v>
      </c>
      <c r="GS17" s="21" t="n">
        <v>106.164</v>
      </c>
      <c r="GT17" s="21" t="n">
        <v>96.077</v>
      </c>
      <c r="GU17" s="21" t="n">
        <v>139.021</v>
      </c>
      <c r="GV17" s="21" t="n">
        <v>142.075</v>
      </c>
      <c r="GW17" s="21" t="n">
        <v>152.949</v>
      </c>
      <c r="GX17" s="21" t="n">
        <v>129.78</v>
      </c>
      <c r="GY17" s="21" t="n">
        <v>116.049</v>
      </c>
      <c r="GZ17" s="21" t="n">
        <v>165.689</v>
      </c>
      <c r="HA17" s="21" t="n">
        <v>127.11</v>
      </c>
      <c r="HB17" s="21" t="n">
        <v>172.227</v>
      </c>
      <c r="HC17" s="21" t="n">
        <v>195.491</v>
      </c>
      <c r="HD17" s="21" t="n">
        <v>189.744</v>
      </c>
      <c r="HE17" s="21" t="n">
        <v>101.41</v>
      </c>
      <c r="HF17" s="21" t="n">
        <v>147.895</v>
      </c>
      <c r="HG17" s="21" t="n">
        <v>102.499</v>
      </c>
      <c r="HH17" s="21" t="n">
        <v>144.338</v>
      </c>
      <c r="HI17" s="21" t="n">
        <v>157.02</v>
      </c>
      <c r="HJ17" s="21" t="n"/>
      <c r="HK17" s="21" t="n">
        <v>147.489</v>
      </c>
      <c r="HL17" s="21" t="n">
        <v>85.471</v>
      </c>
      <c r="HM17" s="21" t="n">
        <v>130.692</v>
      </c>
      <c r="HN17" s="21" t="n">
        <v>186.428</v>
      </c>
      <c r="HO17" s="21" t="n">
        <v>185.808</v>
      </c>
      <c r="HP17" s="21" t="n">
        <v>181.882</v>
      </c>
      <c r="HQ17" s="21" t="n">
        <v>201.413</v>
      </c>
      <c r="HR17" s="21" t="n">
        <v>197.256</v>
      </c>
      <c r="HS17" s="21" t="n">
        <v>154.728</v>
      </c>
      <c r="HT17" s="21" t="n">
        <v>144.612</v>
      </c>
      <c r="HU17" s="21" t="n">
        <v>126.672</v>
      </c>
      <c r="HV17" s="21" t="n">
        <v>166.946</v>
      </c>
      <c r="HW17" s="21" t="n">
        <v>157.628</v>
      </c>
      <c r="HX17" s="21" t="n">
        <v>367.819</v>
      </c>
      <c r="HY17" s="21" t="n">
        <v>274.864</v>
      </c>
      <c r="HZ17" s="21" t="n">
        <v>286.115</v>
      </c>
      <c r="IA17" s="21" t="n">
        <v>246.007</v>
      </c>
      <c r="IB17" s="21" t="n">
        <v>171.637</v>
      </c>
      <c r="IC17" s="21" t="n">
        <v>483.823</v>
      </c>
      <c r="ID17" s="21" t="n">
        <v>181.85</v>
      </c>
      <c r="IE17" s="21" t="n">
        <v>172.183</v>
      </c>
      <c r="IF17" s="21" t="n">
        <v>197.728</v>
      </c>
      <c r="IG17" s="21" t="n">
        <v>220.701</v>
      </c>
      <c r="IH17" s="21" t="n">
        <v>126.386</v>
      </c>
      <c r="II17" s="21" t="n">
        <v>272.167</v>
      </c>
      <c r="IJ17" s="21" t="n">
        <v>295.909</v>
      </c>
      <c r="IK17" s="21" t="n">
        <v>155.73</v>
      </c>
      <c r="IL17" s="21" t="n"/>
      <c r="IM17" s="21" t="n">
        <v>110.752</v>
      </c>
      <c r="IN17" s="21" t="n">
        <v>65.41200000000001</v>
      </c>
      <c r="IO17" s="21" t="n">
        <v>308.942</v>
      </c>
      <c r="IP17" s="21" t="n">
        <v>122.332</v>
      </c>
      <c r="IQ17" s="21" t="n">
        <v>459.994</v>
      </c>
      <c r="IR17" s="21" t="n">
        <v>363.843</v>
      </c>
      <c r="IS17" s="21" t="n">
        <v>119.022</v>
      </c>
      <c r="IT17" s="21" t="n">
        <v>497.297</v>
      </c>
      <c r="IU17" s="21" t="n">
        <v>96.729</v>
      </c>
      <c r="IV17" s="21" t="n">
        <v>98.614</v>
      </c>
      <c r="IW17" s="21" t="n">
        <v>490.848</v>
      </c>
      <c r="IX17" s="21" t="n">
        <v>368.839</v>
      </c>
      <c r="IY17" s="21" t="n">
        <v>372.961</v>
      </c>
      <c r="IZ17" s="21" t="n">
        <v>465.735</v>
      </c>
      <c r="JA17" s="21" t="n">
        <v>187.847</v>
      </c>
      <c r="JB17" s="21" t="n">
        <v>228.933</v>
      </c>
      <c r="JC17" s="21" t="n">
        <v>71.714</v>
      </c>
      <c r="JD17" s="21" t="n">
        <v>300.733</v>
      </c>
      <c r="JE17" s="21" t="n">
        <v>297.66</v>
      </c>
      <c r="JF17" s="21" t="n">
        <v>665.602</v>
      </c>
      <c r="JG17" s="21" t="n">
        <v>212.927</v>
      </c>
      <c r="JH17" s="21" t="n">
        <v>120.19</v>
      </c>
      <c r="JI17" s="21" t="n">
        <v>130.429</v>
      </c>
      <c r="JJ17" s="21" t="n">
        <v>117.515</v>
      </c>
      <c r="JK17" s="21" t="n">
        <v>101.676</v>
      </c>
      <c r="JL17" s="21" t="n">
        <v>283.408</v>
      </c>
      <c r="JM17" s="21" t="n">
        <v>438.978</v>
      </c>
      <c r="JN17" s="21" t="n">
        <v>130.958</v>
      </c>
      <c r="JO17" s="21" t="n">
        <v>74.06</v>
      </c>
      <c r="JP17" s="21" t="n">
        <v>41.332</v>
      </c>
      <c r="JQ17" s="21" t="n">
        <v>120.605</v>
      </c>
      <c r="JR17" s="21" t="n">
        <v>34.861</v>
      </c>
      <c r="JS17" s="21" t="n">
        <v>88.453</v>
      </c>
      <c r="JT17" s="21" t="n">
        <v>169.637</v>
      </c>
      <c r="JU17" s="21" t="n">
        <v>198.786</v>
      </c>
      <c r="JV17" s="21" t="n">
        <v>152.957</v>
      </c>
      <c r="JW17" s="21" t="n">
        <v>113.837</v>
      </c>
      <c r="JX17" s="21" t="n">
        <v>232.995</v>
      </c>
      <c r="JY17" s="21" t="n">
        <v>184.436</v>
      </c>
      <c r="JZ17" s="21" t="n">
        <v>244.019</v>
      </c>
      <c r="KA17" s="21" t="n">
        <v>114.787</v>
      </c>
      <c r="KB17" s="21" t="n">
        <v>148.723</v>
      </c>
      <c r="KC17" s="21" t="n">
        <v>85.447</v>
      </c>
      <c r="KD17" s="21" t="n">
        <v>73.54000000000001</v>
      </c>
      <c r="KE17" s="21" t="n">
        <v>51.468</v>
      </c>
      <c r="KF17" s="21" t="n">
        <v>125.357</v>
      </c>
      <c r="KG17" s="21" t="n">
        <v>20.933</v>
      </c>
      <c r="KH17" s="21" t="n">
        <v>124.366</v>
      </c>
      <c r="KI17" s="21" t="n">
        <v>130.41</v>
      </c>
      <c r="KJ17" s="21" t="n">
        <v>121.595</v>
      </c>
      <c r="KK17" s="21" t="n">
        <v>44.993</v>
      </c>
      <c r="KL17" s="21" t="n">
        <v>42.046</v>
      </c>
      <c r="KM17" s="21" t="n">
        <v>50.876</v>
      </c>
      <c r="KN17" s="21" t="n"/>
      <c r="KO17" s="21" t="n">
        <v>97.116</v>
      </c>
      <c r="KP17" s="21" t="n">
        <v>100.953</v>
      </c>
      <c r="KQ17" s="21" t="n">
        <v>159.958</v>
      </c>
      <c r="KR17" s="21" t="n">
        <v>132.796</v>
      </c>
      <c r="KS17" s="21" t="n">
        <v>364.546</v>
      </c>
      <c r="KT17" s="21" t="n">
        <v>174.936</v>
      </c>
      <c r="KU17" s="21" t="n">
        <v>206.31</v>
      </c>
      <c r="KV17" s="21" t="n">
        <v>291.395</v>
      </c>
      <c r="KW17" s="21" t="n">
        <v>238.298</v>
      </c>
      <c r="KX17" s="21" t="n">
        <v>164.866</v>
      </c>
      <c r="KY17" s="21" t="n">
        <v>97.654</v>
      </c>
      <c r="KZ17" s="21" t="n">
        <v>139.316</v>
      </c>
      <c r="LA17" s="21" t="n">
        <v>245.206</v>
      </c>
      <c r="LB17" s="21" t="n">
        <v>666.544</v>
      </c>
      <c r="LC17" s="21" t="n">
        <v>229.959</v>
      </c>
      <c r="LD17" s="21" t="n">
        <v>701.807</v>
      </c>
      <c r="LE17" s="21" t="n">
        <v>799.7190000000001</v>
      </c>
      <c r="LF17" s="21" t="n">
        <v>73.09399999999999</v>
      </c>
      <c r="LG17" s="21" t="n">
        <v>280.972</v>
      </c>
      <c r="LH17" s="21" t="n">
        <v>236.736</v>
      </c>
      <c r="LI17" s="21" t="n">
        <v>80.039</v>
      </c>
      <c r="LJ17" s="21" t="n">
        <v>175.041</v>
      </c>
      <c r="LK17" s="21" t="n">
        <v>275.718</v>
      </c>
      <c r="LL17" s="21" t="n">
        <v>275.798</v>
      </c>
      <c r="LM17" s="21" t="n">
        <v>76.2</v>
      </c>
      <c r="LN17" s="21" t="n">
        <v>99.726</v>
      </c>
      <c r="LO17" s="21" t="n">
        <v>55.294</v>
      </c>
      <c r="LP17" s="21" t="n">
        <v>114.877</v>
      </c>
      <c r="LQ17" s="21" t="n"/>
      <c r="LR17" s="21" t="n"/>
      <c r="LS17" s="21" t="n">
        <v>117.792</v>
      </c>
      <c r="LT17" s="21" t="n">
        <v>45.282</v>
      </c>
      <c r="LU17" s="21" t="n">
        <v>35.749</v>
      </c>
      <c r="LV17" s="21" t="n">
        <v>77.928</v>
      </c>
      <c r="LW17" s="21" t="n">
        <v>290.733</v>
      </c>
      <c r="LX17" s="21" t="n"/>
      <c r="LY17" s="21" t="n">
        <v>420.977</v>
      </c>
      <c r="LZ17" s="21" t="n">
        <v>60.041</v>
      </c>
      <c r="MA17" s="21" t="n">
        <v>388.737</v>
      </c>
      <c r="MB17" s="21" t="n">
        <v>249.871</v>
      </c>
      <c r="MC17" s="21" t="n">
        <v>223.553</v>
      </c>
      <c r="MD17" s="21" t="n">
        <v>163.459</v>
      </c>
      <c r="ME17" s="21" t="n">
        <v>103.771</v>
      </c>
      <c r="MF17" s="21" t="n">
        <v>188.399</v>
      </c>
      <c r="MG17" s="21" t="n">
        <v>252.062</v>
      </c>
      <c r="MH17" s="21" t="n">
        <v>153.799</v>
      </c>
      <c r="MI17" s="21" t="n">
        <v>407.019</v>
      </c>
      <c r="MJ17" s="21" t="n">
        <v>327.114</v>
      </c>
      <c r="MK17" s="21" t="n">
        <v>317.722</v>
      </c>
      <c r="ML17" s="21" t="n">
        <v>159.526</v>
      </c>
      <c r="MM17" s="21" t="n">
        <v>184.051</v>
      </c>
      <c r="MN17" s="21" t="n">
        <v>325.931</v>
      </c>
      <c r="MO17" s="21" t="n">
        <v>150.891</v>
      </c>
      <c r="MP17" s="21" t="n">
        <v>223.997</v>
      </c>
      <c r="MQ17" s="21" t="n">
        <v>80.976</v>
      </c>
      <c r="MR17" s="21" t="n">
        <v>151.875</v>
      </c>
      <c r="MS17" s="21" t="n">
        <v>81.066</v>
      </c>
      <c r="MT17" s="21" t="n">
        <v>228.66</v>
      </c>
      <c r="MU17" s="21" t="n">
        <v>246.515</v>
      </c>
      <c r="MV17" s="21" t="n">
        <v>237.837</v>
      </c>
      <c r="MW17" s="21" t="n">
        <v>246.992</v>
      </c>
      <c r="MX17" s="21" t="n">
        <v>223.693</v>
      </c>
      <c r="MY17" s="21" t="n">
        <v>217.278</v>
      </c>
      <c r="MZ17" s="21" t="n">
        <v>225.434</v>
      </c>
      <c r="NA17" s="21" t="n">
        <v>230.055</v>
      </c>
      <c r="NB17" s="21" t="n">
        <v>120.536</v>
      </c>
      <c r="NC17" s="21" t="n">
        <v>179.941</v>
      </c>
      <c r="ND17" s="21" t="n">
        <v>149.373</v>
      </c>
      <c r="NE17" s="21" t="n">
        <v>146.157</v>
      </c>
      <c r="NF17" s="21" t="n">
        <v>146.565</v>
      </c>
      <c r="NG17" s="21" t="n">
        <v>147.086</v>
      </c>
      <c r="NH17" s="21" t="n">
        <v>248.912</v>
      </c>
      <c r="NI17" s="21" t="n">
        <v>108.676</v>
      </c>
      <c r="NJ17" s="21" t="n">
        <v>81.161</v>
      </c>
      <c r="NK17" s="21" t="n">
        <v>111.025</v>
      </c>
      <c r="NL17" s="21" t="n">
        <v>185.652</v>
      </c>
      <c r="NM17" s="21" t="n">
        <v>189.322</v>
      </c>
      <c r="NN17" s="21" t="n">
        <v>92.357</v>
      </c>
      <c r="NO17" s="21" t="n">
        <v>61.448</v>
      </c>
      <c r="NP17" s="21" t="n">
        <v>215.135</v>
      </c>
      <c r="NQ17" s="21" t="n">
        <v>187.105</v>
      </c>
      <c r="NR17" s="21" t="n">
        <v>223.382</v>
      </c>
      <c r="NS17" s="21" t="n">
        <v>183.682</v>
      </c>
      <c r="NT17" s="21" t="n">
        <v>222.72</v>
      </c>
      <c r="NU17" s="21" t="n">
        <v>108.777</v>
      </c>
      <c r="NV17" s="21" t="n">
        <v>114.322</v>
      </c>
      <c r="NW17" s="21" t="n">
        <v>345.693</v>
      </c>
      <c r="NX17" s="21" t="n">
        <v>86.95399999999999</v>
      </c>
      <c r="NY17" s="21" t="n">
        <v>115.188</v>
      </c>
      <c r="NZ17" s="21" t="n">
        <v>297.765</v>
      </c>
      <c r="OA17" s="21" t="n">
        <v>297.797</v>
      </c>
      <c r="OB17" s="21" t="n">
        <v>308.619</v>
      </c>
      <c r="OC17" s="21" t="n">
        <v>283.167</v>
      </c>
      <c r="OD17" s="21" t="n">
        <v>320.871</v>
      </c>
      <c r="OE17" s="21" t="n">
        <v>107.038</v>
      </c>
      <c r="OF17" s="21" t="n">
        <v>299.635</v>
      </c>
      <c r="OG17" s="21" t="n">
        <v>214.017</v>
      </c>
      <c r="OH17" s="21" t="n">
        <v>56.744</v>
      </c>
      <c r="OI17" s="21" t="n">
        <v>117.511</v>
      </c>
      <c r="OJ17" s="21" t="n">
        <v>41.8</v>
      </c>
      <c r="OK17" s="21" t="n">
        <v>14</v>
      </c>
    </row>
    <row r="18">
      <c r="A18" s="22" t="n">
        <v>42491</v>
      </c>
      <c r="B18" s="21" t="n">
        <v>240.229</v>
      </c>
      <c r="C18" s="21" t="n">
        <v>719.619</v>
      </c>
      <c r="D18" s="21" t="n">
        <v>247.58</v>
      </c>
      <c r="E18" s="21" t="n">
        <v>247.86</v>
      </c>
      <c r="F18" s="21" t="n">
        <v>239.354</v>
      </c>
      <c r="G18" s="21" t="n">
        <v>273.074</v>
      </c>
      <c r="H18" s="21" t="n">
        <v>232.199</v>
      </c>
      <c r="I18" s="21" t="n">
        <v>246.207</v>
      </c>
      <c r="J18" s="21" t="n">
        <v>226.857</v>
      </c>
      <c r="K18" s="21" t="n">
        <v>240.679</v>
      </c>
      <c r="L18" s="21" t="n">
        <v>163.67</v>
      </c>
      <c r="M18" s="21" t="n">
        <v>296.178</v>
      </c>
      <c r="N18" s="21" t="n">
        <v>177.656</v>
      </c>
      <c r="O18" s="21" t="n">
        <v>322.685</v>
      </c>
      <c r="P18" s="21" t="n">
        <v>341.992</v>
      </c>
      <c r="Q18" s="21" t="n">
        <v>174.469</v>
      </c>
      <c r="R18" s="21" t="n">
        <v>280.693</v>
      </c>
      <c r="S18" s="21" t="n">
        <v>294.787</v>
      </c>
      <c r="T18" s="21" t="n">
        <v>269.209</v>
      </c>
      <c r="U18" s="21" t="n">
        <v>266.202</v>
      </c>
      <c r="V18" s="21" t="n">
        <v>291.397</v>
      </c>
      <c r="W18" s="21" t="n">
        <v>310.281</v>
      </c>
      <c r="X18" s="21" t="n">
        <v>266.988</v>
      </c>
      <c r="Y18" s="21" t="n">
        <v>248.989</v>
      </c>
      <c r="Z18" s="21" t="n">
        <v>250.808</v>
      </c>
      <c r="AA18" s="21" t="n">
        <v>254.104</v>
      </c>
      <c r="AB18" s="21" t="n">
        <v>308.094</v>
      </c>
      <c r="AC18" s="21" t="n">
        <v>270.433</v>
      </c>
      <c r="AD18" s="21" t="n">
        <v>235.56</v>
      </c>
      <c r="AE18" s="21" t="n">
        <v>212.669</v>
      </c>
      <c r="AF18" s="21" t="n">
        <v>226.592</v>
      </c>
      <c r="AG18" s="21" t="n">
        <v>209.665</v>
      </c>
      <c r="AH18" s="21" t="n">
        <v>155.764</v>
      </c>
      <c r="AI18" s="21" t="n">
        <v>286.378</v>
      </c>
      <c r="AJ18" s="21" t="n">
        <v>142.901</v>
      </c>
      <c r="AK18" s="21" t="n">
        <v>197.023</v>
      </c>
      <c r="AL18" s="21" t="n">
        <v>218.442</v>
      </c>
      <c r="AM18" s="21" t="n">
        <v>190.777</v>
      </c>
      <c r="AN18" s="21" t="n">
        <v>128.17</v>
      </c>
      <c r="AO18" s="21" t="n">
        <v>223.544</v>
      </c>
      <c r="AP18" s="21" t="n">
        <v>221.048</v>
      </c>
      <c r="AQ18" s="21" t="n">
        <v>146.497</v>
      </c>
      <c r="AR18" s="21" t="n">
        <v>327.916</v>
      </c>
      <c r="AS18" s="21" t="n">
        <v>173.617</v>
      </c>
      <c r="AT18" s="21" t="n">
        <v>232.182</v>
      </c>
      <c r="AU18" s="21" t="n">
        <v>148.417</v>
      </c>
      <c r="AV18" s="21" t="n">
        <v>255.59</v>
      </c>
      <c r="AW18" s="21" t="n">
        <v>217.311</v>
      </c>
      <c r="AX18" s="21" t="n">
        <v>155.728</v>
      </c>
      <c r="AY18" s="21" t="n">
        <v>285.239</v>
      </c>
      <c r="AZ18" s="21" t="n">
        <v>175.108</v>
      </c>
      <c r="BA18" s="21" t="n">
        <v>144.28</v>
      </c>
      <c r="BB18" s="21" t="n">
        <v>202.532</v>
      </c>
      <c r="BC18" s="21" t="n">
        <v>303.247</v>
      </c>
      <c r="BD18" s="21" t="n">
        <v>226.32</v>
      </c>
      <c r="BE18" s="21" t="n">
        <v>216.122</v>
      </c>
      <c r="BF18" s="21" t="n">
        <v>139.036</v>
      </c>
      <c r="BG18" s="21" t="n">
        <v>200.588</v>
      </c>
      <c r="BH18" s="21" t="n">
        <v>142.518</v>
      </c>
      <c r="BI18" s="21" t="n">
        <v>228.626</v>
      </c>
      <c r="BJ18" s="21" t="n">
        <v>216.692</v>
      </c>
      <c r="BK18" s="21" t="n">
        <v>145.455</v>
      </c>
      <c r="BL18" s="21" t="n">
        <v>295.974</v>
      </c>
      <c r="BM18" s="21" t="n">
        <v>340.491</v>
      </c>
      <c r="BN18" s="21" t="n">
        <v>362.841</v>
      </c>
      <c r="BO18" s="21" t="n">
        <v>353.376</v>
      </c>
      <c r="BP18" s="21" t="n">
        <v>197.649</v>
      </c>
      <c r="BQ18" s="21" t="n">
        <v>242.057</v>
      </c>
      <c r="BR18" s="21" t="n">
        <v>465.334</v>
      </c>
      <c r="BS18" s="21" t="n">
        <v>122.313</v>
      </c>
      <c r="BT18" s="21" t="n">
        <v>315.818</v>
      </c>
      <c r="BU18" s="21" t="n">
        <v>335.682</v>
      </c>
      <c r="BV18" s="21" t="n">
        <v>303.296</v>
      </c>
      <c r="BW18" s="21" t="n">
        <v>306.99</v>
      </c>
      <c r="BX18" s="21" t="n">
        <v>320.165</v>
      </c>
      <c r="BY18" s="21" t="n">
        <v>159.204</v>
      </c>
      <c r="BZ18" s="21" t="n">
        <v>163.836</v>
      </c>
      <c r="CA18" s="21" t="n">
        <v>159.533</v>
      </c>
      <c r="CB18" s="21" t="n">
        <v>171.876</v>
      </c>
      <c r="CC18" s="21" t="n">
        <v>149.431</v>
      </c>
      <c r="CD18" s="21" t="n">
        <v>203.557</v>
      </c>
      <c r="CE18" s="21" t="n">
        <v>161.463</v>
      </c>
      <c r="CF18" s="21" t="n">
        <v>204.236</v>
      </c>
      <c r="CG18" s="21" t="n">
        <v>167.053</v>
      </c>
      <c r="CH18" s="21" t="n">
        <v>127.968</v>
      </c>
      <c r="CI18" s="21" t="n">
        <v>160.44</v>
      </c>
      <c r="CJ18" s="21" t="n">
        <v>179.433</v>
      </c>
      <c r="CK18" s="21" t="n">
        <v>116.674</v>
      </c>
      <c r="CL18" s="21" t="n">
        <v>119.288</v>
      </c>
      <c r="CM18" s="21" t="n">
        <v>202.21</v>
      </c>
      <c r="CN18" s="21" t="n">
        <v>211.167</v>
      </c>
      <c r="CO18" s="21" t="n">
        <v>200.486</v>
      </c>
      <c r="CP18" s="21" t="n">
        <v>128.144</v>
      </c>
      <c r="CQ18" s="21" t="n">
        <v>210.28</v>
      </c>
      <c r="CR18" s="21" t="n">
        <v>215.596</v>
      </c>
      <c r="CS18" s="21" t="n">
        <v>190.66</v>
      </c>
      <c r="CT18" s="21" t="n">
        <v>144.792</v>
      </c>
      <c r="CU18" s="21" t="n">
        <v>153.507</v>
      </c>
      <c r="CV18" s="21" t="n">
        <v>226.022</v>
      </c>
      <c r="CW18" s="21" t="n">
        <v>196.386</v>
      </c>
      <c r="CX18" s="21" t="n">
        <v>229.608</v>
      </c>
      <c r="CY18" s="21" t="n">
        <v>288.605</v>
      </c>
      <c r="CZ18" s="21" t="n">
        <v>129.323</v>
      </c>
      <c r="DA18" s="21" t="n">
        <v>159.739</v>
      </c>
      <c r="DB18" s="21" t="n">
        <v>162.047</v>
      </c>
      <c r="DC18" s="21" t="n">
        <v>225.124</v>
      </c>
      <c r="DD18" s="21" t="n">
        <v>253.464</v>
      </c>
      <c r="DE18" s="21" t="n">
        <v>170.584</v>
      </c>
      <c r="DF18" s="21" t="n">
        <v>253.912</v>
      </c>
      <c r="DG18" s="21" t="n">
        <v>236.875</v>
      </c>
      <c r="DH18" s="21" t="n">
        <v>152.599</v>
      </c>
      <c r="DI18" s="21" t="n">
        <v>134.89</v>
      </c>
      <c r="DJ18" s="21" t="n">
        <v>134.202</v>
      </c>
      <c r="DK18" s="21" t="n">
        <v>278.639</v>
      </c>
      <c r="DL18" s="21" t="n">
        <v>155.61</v>
      </c>
      <c r="DM18" s="21" t="n">
        <v>131.748</v>
      </c>
      <c r="DN18" s="21" t="n">
        <v>123.157</v>
      </c>
      <c r="DO18" s="21" t="n">
        <v>262.074</v>
      </c>
      <c r="DP18" s="21" t="n">
        <v>162.664</v>
      </c>
      <c r="DQ18" s="21" t="n">
        <v>167.433</v>
      </c>
      <c r="DR18" s="21" t="n">
        <v>168.894</v>
      </c>
      <c r="DS18" s="21" t="n">
        <v>141.208</v>
      </c>
      <c r="DT18" s="21" t="n">
        <v>150.302</v>
      </c>
      <c r="DU18" s="21" t="n">
        <v>182.692</v>
      </c>
      <c r="DV18" s="21" t="n">
        <v>242.43</v>
      </c>
      <c r="DW18" s="21" t="n">
        <v>198.944</v>
      </c>
      <c r="DX18" s="21" t="n">
        <v>218.903</v>
      </c>
      <c r="DY18" s="21" t="n">
        <v>193.332</v>
      </c>
      <c r="DZ18" s="21" t="n">
        <v>204.322</v>
      </c>
      <c r="EA18" s="21" t="n">
        <v>187.305</v>
      </c>
      <c r="EB18" s="21" t="n">
        <v>168.337</v>
      </c>
      <c r="EC18" s="21" t="n">
        <v>336.324</v>
      </c>
      <c r="ED18" s="21" t="n">
        <v>166.219</v>
      </c>
      <c r="EE18" s="21" t="n">
        <v>180.103</v>
      </c>
      <c r="EF18" s="21" t="n">
        <v>182.906</v>
      </c>
      <c r="EG18" s="21" t="n">
        <v>242.811</v>
      </c>
      <c r="EH18" s="21" t="n">
        <v>286.924</v>
      </c>
      <c r="EI18" s="21" t="n">
        <v>295.036</v>
      </c>
      <c r="EJ18" s="21" t="n">
        <v>162.843</v>
      </c>
      <c r="EK18" s="21" t="n">
        <v>517.625</v>
      </c>
      <c r="EL18" s="21" t="n">
        <v>337.11</v>
      </c>
      <c r="EM18" s="21" t="n">
        <v>293.759</v>
      </c>
      <c r="EN18" s="21" t="n">
        <v>293.722</v>
      </c>
      <c r="EO18" s="21" t="n">
        <v>147.708</v>
      </c>
      <c r="EP18" s="21" t="n">
        <v>226.197</v>
      </c>
      <c r="EQ18" s="21" t="n">
        <v>188.232</v>
      </c>
      <c r="ER18" s="21" t="n">
        <v>223.326</v>
      </c>
      <c r="ES18" s="21" t="n">
        <v>208.488</v>
      </c>
      <c r="ET18" s="21" t="n">
        <v>288.439</v>
      </c>
      <c r="EU18" s="21" t="n">
        <v>193.152</v>
      </c>
      <c r="EV18" s="21" t="n">
        <v>205.038</v>
      </c>
      <c r="EW18" s="21" t="n">
        <v>154.994</v>
      </c>
      <c r="EX18" s="21" t="n">
        <v>221.36</v>
      </c>
      <c r="EY18" s="21" t="n">
        <v>513.157</v>
      </c>
      <c r="EZ18" s="21" t="n">
        <v>438.317</v>
      </c>
      <c r="FA18" s="21" t="n">
        <v>121.82</v>
      </c>
      <c r="FB18" s="21" t="n">
        <v>59.628</v>
      </c>
      <c r="FC18" s="21" t="n">
        <v>109.645</v>
      </c>
      <c r="FD18" s="21" t="n">
        <v>69.413</v>
      </c>
      <c r="FE18" s="21" t="n">
        <v>46.079</v>
      </c>
      <c r="FF18" s="21" t="n">
        <v>112.781</v>
      </c>
      <c r="FG18" s="21" t="n">
        <v>130.852</v>
      </c>
      <c r="FH18" s="21" t="n">
        <v>85.688</v>
      </c>
      <c r="FI18" s="21" t="n">
        <v>70.446</v>
      </c>
      <c r="FJ18" s="21" t="n"/>
      <c r="FK18" s="21" t="n">
        <v>77.526</v>
      </c>
      <c r="FL18" s="21" t="n">
        <v>85.134</v>
      </c>
      <c r="FM18" s="21" t="n">
        <v>94.723</v>
      </c>
      <c r="FN18" s="21" t="n">
        <v>66.721</v>
      </c>
      <c r="FO18" s="21" t="n">
        <v>57.856</v>
      </c>
      <c r="FP18" s="21" t="n">
        <v>45.655</v>
      </c>
      <c r="FQ18" s="21" t="n">
        <v>128.452</v>
      </c>
      <c r="FR18" s="21" t="n">
        <v>54.531</v>
      </c>
      <c r="FS18" s="21" t="n">
        <v>89.39</v>
      </c>
      <c r="FT18" s="21" t="n">
        <v>90.111</v>
      </c>
      <c r="FU18" s="21" t="n">
        <v>98.267</v>
      </c>
      <c r="FV18" s="21" t="n">
        <v>86.184</v>
      </c>
      <c r="FW18" s="21" t="n">
        <v>186.419</v>
      </c>
      <c r="FX18" s="21" t="n">
        <v>119.291</v>
      </c>
      <c r="FY18" s="21" t="n">
        <v>168.744</v>
      </c>
      <c r="FZ18" s="21" t="n">
        <v>118.115</v>
      </c>
      <c r="GA18" s="21" t="n">
        <v>170.416</v>
      </c>
      <c r="GB18" s="21" t="n"/>
      <c r="GC18" s="21" t="n">
        <v>173.059</v>
      </c>
      <c r="GD18" s="21" t="n">
        <v>152.821</v>
      </c>
      <c r="GE18" s="21" t="n">
        <v>224.956</v>
      </c>
      <c r="GF18" s="21" t="n">
        <v>127.758</v>
      </c>
      <c r="GG18" s="21" t="n">
        <v>121.469</v>
      </c>
      <c r="GH18" s="21" t="n">
        <v>126.001</v>
      </c>
      <c r="GI18" s="21" t="n">
        <v>114.92</v>
      </c>
      <c r="GJ18" s="21" t="n">
        <v>159.134</v>
      </c>
      <c r="GK18" s="21" t="n">
        <v>81.099</v>
      </c>
      <c r="GL18" s="21" t="n">
        <v>123.357</v>
      </c>
      <c r="GM18" s="21" t="n">
        <v>103.956</v>
      </c>
      <c r="GN18" s="21" t="n">
        <v>112.846</v>
      </c>
      <c r="GO18" s="21" t="n">
        <v>116.576</v>
      </c>
      <c r="GP18" s="21" t="n">
        <v>110.591</v>
      </c>
      <c r="GQ18" s="21" t="n">
        <v>124.01</v>
      </c>
      <c r="GR18" s="21" t="n">
        <v>83.411</v>
      </c>
      <c r="GS18" s="21" t="n">
        <v>107.077</v>
      </c>
      <c r="GT18" s="21" t="n">
        <v>95.453</v>
      </c>
      <c r="GU18" s="21" t="n">
        <v>138.286</v>
      </c>
      <c r="GV18" s="21" t="n">
        <v>139.759</v>
      </c>
      <c r="GW18" s="21" t="n">
        <v>153.46</v>
      </c>
      <c r="GX18" s="21" t="n">
        <v>129.483</v>
      </c>
      <c r="GY18" s="21" t="n">
        <v>115.209</v>
      </c>
      <c r="GZ18" s="21" t="n">
        <v>171.108</v>
      </c>
      <c r="HA18" s="21" t="n">
        <v>131.282</v>
      </c>
      <c r="HB18" s="21" t="n">
        <v>177.848</v>
      </c>
      <c r="HC18" s="21" t="n">
        <v>198.613</v>
      </c>
      <c r="HD18" s="21" t="n">
        <v>192.537</v>
      </c>
      <c r="HE18" s="21" t="n">
        <v>101.239</v>
      </c>
      <c r="HF18" s="21" t="n">
        <v>147.646</v>
      </c>
      <c r="HG18" s="21" t="n">
        <v>102.332</v>
      </c>
      <c r="HH18" s="21" t="n">
        <v>144.074</v>
      </c>
      <c r="HI18" s="21" t="n">
        <v>156.782</v>
      </c>
      <c r="HJ18" s="21" t="n"/>
      <c r="HK18" s="21" t="n">
        <v>147.223</v>
      </c>
      <c r="HL18" s="21" t="n">
        <v>85.081</v>
      </c>
      <c r="HM18" s="21" t="n">
        <v>132.68</v>
      </c>
      <c r="HN18" s="21" t="n">
        <v>198.667</v>
      </c>
      <c r="HO18" s="21" t="n">
        <v>198.011</v>
      </c>
      <c r="HP18" s="21" t="n">
        <v>194.3</v>
      </c>
      <c r="HQ18" s="21" t="n">
        <v>213.362</v>
      </c>
      <c r="HR18" s="21" t="n">
        <v>207.377</v>
      </c>
      <c r="HS18" s="21" t="n">
        <v>164.573</v>
      </c>
      <c r="HT18" s="21" t="n">
        <v>143.694</v>
      </c>
      <c r="HU18" s="21" t="n">
        <v>125.66</v>
      </c>
      <c r="HV18" s="21" t="n">
        <v>166.3</v>
      </c>
      <c r="HW18" s="21" t="n">
        <v>157.496</v>
      </c>
      <c r="HX18" s="21" t="n">
        <v>366.377</v>
      </c>
      <c r="HY18" s="21" t="n">
        <v>275.331</v>
      </c>
      <c r="HZ18" s="21" t="n">
        <v>286.669</v>
      </c>
      <c r="IA18" s="21" t="n">
        <v>246.776</v>
      </c>
      <c r="IB18" s="21" t="n">
        <v>171.499</v>
      </c>
      <c r="IC18" s="21" t="n">
        <v>487.021</v>
      </c>
      <c r="ID18" s="21" t="n">
        <v>182.212</v>
      </c>
      <c r="IE18" s="21" t="n">
        <v>172.192</v>
      </c>
      <c r="IF18" s="21" t="n">
        <v>198.558</v>
      </c>
      <c r="IG18" s="21" t="n">
        <v>221.689</v>
      </c>
      <c r="IH18" s="21" t="n">
        <v>126.327</v>
      </c>
      <c r="II18" s="21" t="n">
        <v>280.676</v>
      </c>
      <c r="IJ18" s="21" t="n">
        <v>309.54</v>
      </c>
      <c r="IK18" s="21" t="n">
        <v>159.164</v>
      </c>
      <c r="IL18" s="21" t="n"/>
      <c r="IM18" s="21" t="n">
        <v>110.465</v>
      </c>
      <c r="IN18" s="21" t="n">
        <v>67.443</v>
      </c>
      <c r="IO18" s="21" t="n">
        <v>308.987</v>
      </c>
      <c r="IP18" s="21" t="n">
        <v>122.35</v>
      </c>
      <c r="IQ18" s="21" t="n">
        <v>461.23</v>
      </c>
      <c r="IR18" s="21" t="n">
        <v>361.866</v>
      </c>
      <c r="IS18" s="21" t="n">
        <v>118.327</v>
      </c>
      <c r="IT18" s="21" t="n">
        <v>493.293</v>
      </c>
      <c r="IU18" s="21" t="n">
        <v>96.99299999999999</v>
      </c>
      <c r="IV18" s="21" t="n">
        <v>99.277</v>
      </c>
      <c r="IW18" s="21" t="n">
        <v>493.27</v>
      </c>
      <c r="IX18" s="21" t="n">
        <v>371.145</v>
      </c>
      <c r="IY18" s="21" t="n">
        <v>376.263</v>
      </c>
      <c r="IZ18" s="21" t="n">
        <v>466.017</v>
      </c>
      <c r="JA18" s="21" t="n">
        <v>188.522</v>
      </c>
      <c r="JB18" s="21" t="n">
        <v>231.206</v>
      </c>
      <c r="JC18" s="21" t="n">
        <v>71.94</v>
      </c>
      <c r="JD18" s="21" t="n">
        <v>301.713</v>
      </c>
      <c r="JE18" s="21" t="n">
        <v>298.733</v>
      </c>
      <c r="JF18" s="21" t="n">
        <v>667.453</v>
      </c>
      <c r="JG18" s="21" t="n">
        <v>213.601</v>
      </c>
      <c r="JH18" s="21" t="n">
        <v>120.199</v>
      </c>
      <c r="JI18" s="21" t="n">
        <v>131.111</v>
      </c>
      <c r="JJ18" s="21" t="n">
        <v>117.512</v>
      </c>
      <c r="JK18" s="21" t="n">
        <v>101.719</v>
      </c>
      <c r="JL18" s="21" t="n">
        <v>278.815</v>
      </c>
      <c r="JM18" s="21" t="n">
        <v>439.4</v>
      </c>
      <c r="JN18" s="21" t="n">
        <v>131.403</v>
      </c>
      <c r="JO18" s="21" t="n">
        <v>75.16200000000001</v>
      </c>
      <c r="JP18" s="21" t="n">
        <v>41.815</v>
      </c>
      <c r="JQ18" s="21" t="n">
        <v>122.918</v>
      </c>
      <c r="JR18" s="21" t="n">
        <v>34.627</v>
      </c>
      <c r="JS18" s="21" t="n">
        <v>88.70699999999999</v>
      </c>
      <c r="JT18" s="21" t="n">
        <v>169.985</v>
      </c>
      <c r="JU18" s="21" t="n">
        <v>198.96</v>
      </c>
      <c r="JV18" s="21" t="n">
        <v>152.772</v>
      </c>
      <c r="JW18" s="21" t="n">
        <v>114.195</v>
      </c>
      <c r="JX18" s="21" t="n">
        <v>233.913</v>
      </c>
      <c r="JY18" s="21" t="n">
        <v>184.321</v>
      </c>
      <c r="JZ18" s="21" t="n">
        <v>245.21</v>
      </c>
      <c r="KA18" s="21" t="n">
        <v>114.603</v>
      </c>
      <c r="KB18" s="21" t="n">
        <v>148.686</v>
      </c>
      <c r="KC18" s="21" t="n">
        <v>85.184</v>
      </c>
      <c r="KD18" s="21" t="n">
        <v>73.86</v>
      </c>
      <c r="KE18" s="21" t="n">
        <v>51.618</v>
      </c>
      <c r="KF18" s="21" t="n">
        <v>126.244</v>
      </c>
      <c r="KG18" s="21" t="n">
        <v>20.938</v>
      </c>
      <c r="KH18" s="21" t="n">
        <v>125.037</v>
      </c>
      <c r="KI18" s="21" t="n">
        <v>130.493</v>
      </c>
      <c r="KJ18" s="21" t="n">
        <v>122.98</v>
      </c>
      <c r="KK18" s="21" t="n">
        <v>44.726</v>
      </c>
      <c r="KL18" s="21" t="n">
        <v>41.776</v>
      </c>
      <c r="KM18" s="21" t="n">
        <v>50.35</v>
      </c>
      <c r="KN18" s="21" t="n"/>
      <c r="KO18" s="21" t="n">
        <v>96.453</v>
      </c>
      <c r="KP18" s="21" t="n">
        <v>100.972</v>
      </c>
      <c r="KQ18" s="21" t="n">
        <v>159.89</v>
      </c>
      <c r="KR18" s="21" t="n">
        <v>132.334</v>
      </c>
      <c r="KS18" s="21" t="n">
        <v>365.598</v>
      </c>
      <c r="KT18" s="21" t="n">
        <v>175.455</v>
      </c>
      <c r="KU18" s="21" t="n">
        <v>207.38</v>
      </c>
      <c r="KV18" s="21" t="n">
        <v>291.382</v>
      </c>
      <c r="KW18" s="21" t="n">
        <v>239.187</v>
      </c>
      <c r="KX18" s="21" t="n">
        <v>166.835</v>
      </c>
      <c r="KY18" s="21" t="n">
        <v>96.914</v>
      </c>
      <c r="KZ18" s="21" t="n">
        <v>138.971</v>
      </c>
      <c r="LA18" s="21" t="n">
        <v>245.419</v>
      </c>
      <c r="LB18" s="21" t="n">
        <v>666.306</v>
      </c>
      <c r="LC18" s="21" t="n">
        <v>229.643</v>
      </c>
      <c r="LD18" s="21" t="n">
        <v>702.463</v>
      </c>
      <c r="LE18" s="21" t="n">
        <v>800.455</v>
      </c>
      <c r="LF18" s="21" t="n">
        <v>73.163</v>
      </c>
      <c r="LG18" s="21" t="n">
        <v>281.254</v>
      </c>
      <c r="LH18" s="21" t="n">
        <v>236.758</v>
      </c>
      <c r="LI18" s="21" t="n">
        <v>79.624</v>
      </c>
      <c r="LJ18" s="21" t="n">
        <v>175.126</v>
      </c>
      <c r="LK18" s="21" t="n">
        <v>275.718</v>
      </c>
      <c r="LL18" s="21" t="n">
        <v>278.438</v>
      </c>
      <c r="LM18" s="21" t="n">
        <v>75.789</v>
      </c>
      <c r="LN18" s="21" t="n">
        <v>99.307</v>
      </c>
      <c r="LO18" s="21" t="n">
        <v>54.967</v>
      </c>
      <c r="LP18" s="21" t="n">
        <v>114.882</v>
      </c>
      <c r="LQ18" s="21" t="n"/>
      <c r="LR18" s="21" t="n"/>
      <c r="LS18" s="21" t="n">
        <v>116.864</v>
      </c>
      <c r="LT18" s="21" t="n">
        <v>44.853</v>
      </c>
      <c r="LU18" s="21" t="n">
        <v>34.219</v>
      </c>
      <c r="LV18" s="21" t="n">
        <v>77.625</v>
      </c>
      <c r="LW18" s="21" t="n">
        <v>290.924</v>
      </c>
      <c r="LX18" s="21" t="n"/>
      <c r="LY18" s="21" t="n">
        <v>421.881</v>
      </c>
      <c r="LZ18" s="21" t="n">
        <v>60.14</v>
      </c>
      <c r="MA18" s="21" t="n">
        <v>389.369</v>
      </c>
      <c r="MB18" s="21" t="n">
        <v>250.491</v>
      </c>
      <c r="MC18" s="21" t="n">
        <v>224.06</v>
      </c>
      <c r="MD18" s="21" t="n">
        <v>163.162</v>
      </c>
      <c r="ME18" s="21" t="n">
        <v>103.025</v>
      </c>
      <c r="MF18" s="21" t="n">
        <v>189.236</v>
      </c>
      <c r="MG18" s="21" t="n">
        <v>252.721</v>
      </c>
      <c r="MH18" s="21" t="n">
        <v>154.201</v>
      </c>
      <c r="MI18" s="21" t="n">
        <v>410.007</v>
      </c>
      <c r="MJ18" s="21" t="n">
        <v>331.779</v>
      </c>
      <c r="MK18" s="21" t="n">
        <v>318.64</v>
      </c>
      <c r="ML18" s="21" t="n">
        <v>159.643</v>
      </c>
      <c r="MM18" s="21" t="n">
        <v>184.351</v>
      </c>
      <c r="MN18" s="21" t="n">
        <v>329.58</v>
      </c>
      <c r="MO18" s="21" t="n">
        <v>155.289</v>
      </c>
      <c r="MP18" s="21" t="n">
        <v>224.676</v>
      </c>
      <c r="MQ18" s="21" t="n">
        <v>80.15600000000001</v>
      </c>
      <c r="MR18" s="21" t="n">
        <v>151.892</v>
      </c>
      <c r="MS18" s="21" t="n">
        <v>81.119</v>
      </c>
      <c r="MT18" s="21" t="n">
        <v>229.614</v>
      </c>
      <c r="MU18" s="21" t="n">
        <v>246.903</v>
      </c>
      <c r="MV18" s="21" t="n">
        <v>239.04</v>
      </c>
      <c r="MW18" s="21" t="n">
        <v>247.544</v>
      </c>
      <c r="MX18" s="21" t="n">
        <v>224.625</v>
      </c>
      <c r="MY18" s="21" t="n">
        <v>218.546</v>
      </c>
      <c r="MZ18" s="21" t="n">
        <v>225.684</v>
      </c>
      <c r="NA18" s="21" t="n">
        <v>230.343</v>
      </c>
      <c r="NB18" s="21" t="n">
        <v>120.703</v>
      </c>
      <c r="NC18" s="21" t="n">
        <v>180.59</v>
      </c>
      <c r="ND18" s="21" t="n">
        <v>150.438</v>
      </c>
      <c r="NE18" s="21" t="n">
        <v>147.244</v>
      </c>
      <c r="NF18" s="21" t="n">
        <v>146.23</v>
      </c>
      <c r="NG18" s="21" t="n">
        <v>146.741</v>
      </c>
      <c r="NH18" s="21" t="n">
        <v>247.735</v>
      </c>
      <c r="NI18" s="21" t="n">
        <v>108.345</v>
      </c>
      <c r="NJ18" s="21" t="n">
        <v>80.30500000000001</v>
      </c>
      <c r="NK18" s="21" t="n">
        <v>110.839</v>
      </c>
      <c r="NL18" s="21" t="n">
        <v>192.673</v>
      </c>
      <c r="NM18" s="21" t="n">
        <v>201.355</v>
      </c>
      <c r="NN18" s="21" t="n">
        <v>92.101</v>
      </c>
      <c r="NO18" s="21" t="n">
        <v>60.591</v>
      </c>
      <c r="NP18" s="21" t="n">
        <v>216.417</v>
      </c>
      <c r="NQ18" s="21" t="n">
        <v>189.817</v>
      </c>
      <c r="NR18" s="21" t="n">
        <v>227.647</v>
      </c>
      <c r="NS18" s="21" t="n">
        <v>186.549</v>
      </c>
      <c r="NT18" s="21" t="n">
        <v>227.413</v>
      </c>
      <c r="NU18" s="21" t="n">
        <v>108.626</v>
      </c>
      <c r="NV18" s="21" t="n">
        <v>114.957</v>
      </c>
      <c r="NW18" s="21" t="n">
        <v>345.756</v>
      </c>
      <c r="NX18" s="21" t="n">
        <v>86.761</v>
      </c>
      <c r="NY18" s="21" t="n">
        <v>115.307</v>
      </c>
      <c r="NZ18" s="21" t="n">
        <v>298.907</v>
      </c>
      <c r="OA18" s="21" t="n">
        <v>299.078</v>
      </c>
      <c r="OB18" s="21" t="n">
        <v>309.77</v>
      </c>
      <c r="OC18" s="21" t="n">
        <v>284.365</v>
      </c>
      <c r="OD18" s="21" t="n">
        <v>322.414</v>
      </c>
      <c r="OE18" s="21" t="n">
        <v>106.823</v>
      </c>
      <c r="OF18" s="21" t="n">
        <v>302.381</v>
      </c>
      <c r="OG18" s="21" t="n">
        <v>215.761</v>
      </c>
      <c r="OH18" s="21" t="n">
        <v>56.219</v>
      </c>
      <c r="OI18" s="21" t="n">
        <v>117.73</v>
      </c>
      <c r="OJ18" s="21" t="n">
        <v>41.6</v>
      </c>
      <c r="OK18" s="21" t="n">
        <v>13.9</v>
      </c>
    </row>
    <row r="19">
      <c r="A19" s="22" t="n">
        <v>42522</v>
      </c>
      <c r="B19" s="21" t="n">
        <v>241.018</v>
      </c>
      <c r="C19" s="21" t="n">
        <v>721.982</v>
      </c>
      <c r="D19" s="21" t="n">
        <v>247.207</v>
      </c>
      <c r="E19" s="21" t="n">
        <v>247.482</v>
      </c>
      <c r="F19" s="21" t="n">
        <v>238.43</v>
      </c>
      <c r="G19" s="21" t="n">
        <v>273.379</v>
      </c>
      <c r="H19" s="21" t="n">
        <v>232.163</v>
      </c>
      <c r="I19" s="21" t="n">
        <v>242.653</v>
      </c>
      <c r="J19" s="21" t="n">
        <v>227.774</v>
      </c>
      <c r="K19" s="21" t="n">
        <v>240.392</v>
      </c>
      <c r="L19" s="21" t="n">
        <v>164.593</v>
      </c>
      <c r="M19" s="21" t="n">
        <v>296.7</v>
      </c>
      <c r="N19" s="21" t="n">
        <v>178.541</v>
      </c>
      <c r="O19" s="21" t="n">
        <v>323.297</v>
      </c>
      <c r="P19" s="21" t="n">
        <v>345.683</v>
      </c>
      <c r="Q19" s="21" t="n">
        <v>174.759</v>
      </c>
      <c r="R19" s="21" t="n">
        <v>279.182</v>
      </c>
      <c r="S19" s="21" t="n">
        <v>294.316</v>
      </c>
      <c r="T19" s="21" t="n">
        <v>266.711</v>
      </c>
      <c r="U19" s="21" t="n">
        <v>267.339</v>
      </c>
      <c r="V19" s="21" t="n">
        <v>294.85</v>
      </c>
      <c r="W19" s="21" t="n">
        <v>310.005</v>
      </c>
      <c r="X19" s="21" t="n">
        <v>268.212</v>
      </c>
      <c r="Y19" s="21" t="n">
        <v>248.016</v>
      </c>
      <c r="Z19" s="21" t="n">
        <v>250.769</v>
      </c>
      <c r="AA19" s="21" t="n">
        <v>254.264</v>
      </c>
      <c r="AB19" s="21" t="n">
        <v>306.307</v>
      </c>
      <c r="AC19" s="21" t="n">
        <v>267.7</v>
      </c>
      <c r="AD19" s="21" t="n">
        <v>231.525</v>
      </c>
      <c r="AE19" s="21" t="n">
        <v>211.868</v>
      </c>
      <c r="AF19" s="21" t="n">
        <v>231.344</v>
      </c>
      <c r="AG19" s="21" t="n">
        <v>212.274</v>
      </c>
      <c r="AH19" s="21" t="n">
        <v>155.782</v>
      </c>
      <c r="AI19" s="21" t="n">
        <v>283.373</v>
      </c>
      <c r="AJ19" s="21" t="n">
        <v>145.88</v>
      </c>
      <c r="AK19" s="21" t="n">
        <v>205.605</v>
      </c>
      <c r="AL19" s="21" t="n">
        <v>229.818</v>
      </c>
      <c r="AM19" s="21" t="n">
        <v>192.342</v>
      </c>
      <c r="AN19" s="21" t="n">
        <v>129.996</v>
      </c>
      <c r="AO19" s="21" t="n">
        <v>223.023</v>
      </c>
      <c r="AP19" s="21" t="n">
        <v>214.588</v>
      </c>
      <c r="AQ19" s="21" t="n">
        <v>147.003</v>
      </c>
      <c r="AR19" s="21" t="n">
        <v>331.689</v>
      </c>
      <c r="AS19" s="21" t="n">
        <v>175.45</v>
      </c>
      <c r="AT19" s="21" t="n">
        <v>231.122</v>
      </c>
      <c r="AU19" s="21" t="n">
        <v>147.098</v>
      </c>
      <c r="AV19" s="21" t="n">
        <v>241.6</v>
      </c>
      <c r="AW19" s="21" t="n">
        <v>219.892</v>
      </c>
      <c r="AX19" s="21" t="n">
        <v>157.88</v>
      </c>
      <c r="AY19" s="21" t="n">
        <v>285.941</v>
      </c>
      <c r="AZ19" s="21" t="n">
        <v>176.312</v>
      </c>
      <c r="BA19" s="21" t="n">
        <v>143.884</v>
      </c>
      <c r="BB19" s="21" t="n">
        <v>201.298</v>
      </c>
      <c r="BC19" s="21" t="n">
        <v>302.569</v>
      </c>
      <c r="BD19" s="21" t="n">
        <v>212.651</v>
      </c>
      <c r="BE19" s="21" t="n">
        <v>214.815</v>
      </c>
      <c r="BF19" s="21" t="n">
        <v>137.661</v>
      </c>
      <c r="BG19" s="21" t="n">
        <v>199.232</v>
      </c>
      <c r="BH19" s="21" t="n">
        <v>140.839</v>
      </c>
      <c r="BI19" s="21" t="n">
        <v>225.164</v>
      </c>
      <c r="BJ19" s="21" t="n">
        <v>216.569</v>
      </c>
      <c r="BK19" s="21" t="n">
        <v>146.454</v>
      </c>
      <c r="BL19" s="21" t="n">
        <v>292.733</v>
      </c>
      <c r="BM19" s="21" t="n">
        <v>335.689</v>
      </c>
      <c r="BN19" s="21" t="n">
        <v>353.238</v>
      </c>
      <c r="BO19" s="21" t="n">
        <v>368.339</v>
      </c>
      <c r="BP19" s="21" t="n">
        <v>199.292</v>
      </c>
      <c r="BQ19" s="21" t="n">
        <v>250.246</v>
      </c>
      <c r="BR19" s="21" t="n">
        <v>489.25</v>
      </c>
      <c r="BS19" s="21" t="n">
        <v>109.987</v>
      </c>
      <c r="BT19" s="21" t="n">
        <v>316.048</v>
      </c>
      <c r="BU19" s="21" t="n">
        <v>337.94</v>
      </c>
      <c r="BV19" s="21" t="n">
        <v>296.081</v>
      </c>
      <c r="BW19" s="21" t="n">
        <v>306.777</v>
      </c>
      <c r="BX19" s="21" t="n">
        <v>321.965</v>
      </c>
      <c r="BY19" s="21" t="n">
        <v>159.234</v>
      </c>
      <c r="BZ19" s="21" t="n">
        <v>163.152</v>
      </c>
      <c r="CA19" s="21" t="n">
        <v>158.789</v>
      </c>
      <c r="CB19" s="21" t="n">
        <v>170.845</v>
      </c>
      <c r="CC19" s="21" t="n">
        <v>150.02</v>
      </c>
      <c r="CD19" s="21" t="n">
        <v>204.901</v>
      </c>
      <c r="CE19" s="21" t="n">
        <v>162.548</v>
      </c>
      <c r="CF19" s="21" t="n">
        <v>203.595</v>
      </c>
      <c r="CG19" s="21" t="n">
        <v>165.94</v>
      </c>
      <c r="CH19" s="21" t="n">
        <v>127.47</v>
      </c>
      <c r="CI19" s="21" t="n">
        <v>160.266</v>
      </c>
      <c r="CJ19" s="21" t="n">
        <v>176.638</v>
      </c>
      <c r="CK19" s="21" t="n">
        <v>116.034</v>
      </c>
      <c r="CL19" s="21" t="n">
        <v>117.72</v>
      </c>
      <c r="CM19" s="21" t="n">
        <v>200.29</v>
      </c>
      <c r="CN19" s="21" t="n">
        <v>209.386</v>
      </c>
      <c r="CO19" s="21" t="n">
        <v>198.187</v>
      </c>
      <c r="CP19" s="21" t="n">
        <v>125.658</v>
      </c>
      <c r="CQ19" s="21" t="n">
        <v>210.392</v>
      </c>
      <c r="CR19" s="21" t="n">
        <v>215.527</v>
      </c>
      <c r="CS19" s="21" t="n">
        <v>189.641</v>
      </c>
      <c r="CT19" s="21" t="n">
        <v>145.095</v>
      </c>
      <c r="CU19" s="21" t="n">
        <v>152.929</v>
      </c>
      <c r="CV19" s="21" t="n">
        <v>225.319</v>
      </c>
      <c r="CW19" s="21" t="n">
        <v>200.041</v>
      </c>
      <c r="CX19" s="21" t="n">
        <v>233.61</v>
      </c>
      <c r="CY19" s="21" t="n">
        <v>294.501</v>
      </c>
      <c r="CZ19" s="21" t="n">
        <v>128.119</v>
      </c>
      <c r="DA19" s="21" t="n">
        <v>157.681</v>
      </c>
      <c r="DB19" s="21" t="n">
        <v>156.709</v>
      </c>
      <c r="DC19" s="21" t="n">
        <v>225.411</v>
      </c>
      <c r="DD19" s="21" t="n">
        <v>254.277</v>
      </c>
      <c r="DE19" s="21" t="n">
        <v>170.935</v>
      </c>
      <c r="DF19" s="21" t="n">
        <v>252.873</v>
      </c>
      <c r="DG19" s="21" t="n">
        <v>237.502</v>
      </c>
      <c r="DH19" s="21" t="n">
        <v>151.724</v>
      </c>
      <c r="DI19" s="21" t="n">
        <v>139.605</v>
      </c>
      <c r="DJ19" s="21" t="n">
        <v>134.221</v>
      </c>
      <c r="DK19" s="21" t="n">
        <v>282.464</v>
      </c>
      <c r="DL19" s="21" t="n">
        <v>154.849</v>
      </c>
      <c r="DM19" s="21" t="n">
        <v>132.32</v>
      </c>
      <c r="DN19" s="21" t="n">
        <v>124.031</v>
      </c>
      <c r="DO19" s="21" t="n">
        <v>262.529</v>
      </c>
      <c r="DP19" s="21" t="n">
        <v>163.059</v>
      </c>
      <c r="DQ19" s="21" t="n">
        <v>167.624</v>
      </c>
      <c r="DR19" s="21" t="n">
        <v>168.941</v>
      </c>
      <c r="DS19" s="21" t="n">
        <v>141.241</v>
      </c>
      <c r="DT19" s="21" t="n">
        <v>150.886</v>
      </c>
      <c r="DU19" s="21" t="n">
        <v>182.746</v>
      </c>
      <c r="DV19" s="21" t="n">
        <v>242.133</v>
      </c>
      <c r="DW19" s="21" t="n">
        <v>198.479</v>
      </c>
      <c r="DX19" s="21" t="n">
        <v>218.425</v>
      </c>
      <c r="DY19" s="21" t="n">
        <v>192.384</v>
      </c>
      <c r="DZ19" s="21" t="n">
        <v>206.008</v>
      </c>
      <c r="EA19" s="21" t="n">
        <v>186.065</v>
      </c>
      <c r="EB19" s="21" t="n">
        <v>168.047</v>
      </c>
      <c r="EC19" s="21" t="n">
        <v>336.512</v>
      </c>
      <c r="ED19" s="21" t="n">
        <v>166.401</v>
      </c>
      <c r="EE19" s="21" t="n">
        <v>180.1</v>
      </c>
      <c r="EF19" s="21" t="n">
        <v>183.002</v>
      </c>
      <c r="EG19" s="21" t="n">
        <v>244.28</v>
      </c>
      <c r="EH19" s="21" t="n">
        <v>288.069</v>
      </c>
      <c r="EI19" s="21" t="n">
        <v>295.902</v>
      </c>
      <c r="EJ19" s="21" t="n">
        <v>168.337</v>
      </c>
      <c r="EK19" s="21" t="n">
        <v>518.899</v>
      </c>
      <c r="EL19" s="21" t="n">
        <v>349.978</v>
      </c>
      <c r="EM19" s="21" t="n">
        <v>294.702</v>
      </c>
      <c r="EN19" s="21" t="n">
        <v>294.665</v>
      </c>
      <c r="EO19" s="21" t="n">
        <v>147.652</v>
      </c>
      <c r="EP19" s="21" t="n">
        <v>231.941</v>
      </c>
      <c r="EQ19" s="21" t="n">
        <v>194.481</v>
      </c>
      <c r="ER19" s="21" t="n">
        <v>227.718</v>
      </c>
      <c r="ES19" s="21" t="n">
        <v>215.295</v>
      </c>
      <c r="ET19" s="21" t="n">
        <v>289.923</v>
      </c>
      <c r="EU19" s="21" t="n">
        <v>199.691</v>
      </c>
      <c r="EV19" s="21" t="n">
        <v>213.474</v>
      </c>
      <c r="EW19" s="21" t="n">
        <v>155.914</v>
      </c>
      <c r="EX19" s="21" t="n">
        <v>221.396</v>
      </c>
      <c r="EY19" s="21" t="n">
        <v>513.4400000000001</v>
      </c>
      <c r="EZ19" s="21" t="n">
        <v>437.858</v>
      </c>
      <c r="FA19" s="21" t="n">
        <v>121.769</v>
      </c>
      <c r="FB19" s="21" t="n">
        <v>59.095</v>
      </c>
      <c r="FC19" s="21" t="n">
        <v>110.35</v>
      </c>
      <c r="FD19" s="21" t="n">
        <v>68.498</v>
      </c>
      <c r="FE19" s="21" t="n">
        <v>45.459</v>
      </c>
      <c r="FF19" s="21" t="n">
        <v>112.043</v>
      </c>
      <c r="FG19" s="21" t="n">
        <v>130.219</v>
      </c>
      <c r="FH19" s="21" t="n">
        <v>85.181</v>
      </c>
      <c r="FI19" s="21" t="n">
        <v>69.61</v>
      </c>
      <c r="FJ19" s="21" t="n"/>
      <c r="FK19" s="21" t="n">
        <v>77.536</v>
      </c>
      <c r="FL19" s="21" t="n">
        <v>84.402</v>
      </c>
      <c r="FM19" s="21" t="n">
        <v>94.858</v>
      </c>
      <c r="FN19" s="21" t="n">
        <v>66.998</v>
      </c>
      <c r="FO19" s="21" t="n">
        <v>57.337</v>
      </c>
      <c r="FP19" s="21" t="n">
        <v>44.971</v>
      </c>
      <c r="FQ19" s="21" t="n">
        <v>128.951</v>
      </c>
      <c r="FR19" s="21" t="n">
        <v>53.68</v>
      </c>
      <c r="FS19" s="21" t="n">
        <v>89.25</v>
      </c>
      <c r="FT19" s="21" t="n">
        <v>90.279</v>
      </c>
      <c r="FU19" s="21" t="n">
        <v>98.84099999999999</v>
      </c>
      <c r="FV19" s="21" t="n">
        <v>86.182</v>
      </c>
      <c r="FW19" s="21" t="n">
        <v>186.643</v>
      </c>
      <c r="FX19" s="21" t="n">
        <v>119.877</v>
      </c>
      <c r="FY19" s="21" t="n">
        <v>168.373</v>
      </c>
      <c r="FZ19" s="21" t="n">
        <v>118.064</v>
      </c>
      <c r="GA19" s="21" t="n">
        <v>171.949</v>
      </c>
      <c r="GB19" s="21" t="n">
        <v>157.195</v>
      </c>
      <c r="GC19" s="21" t="n">
        <v>173.721</v>
      </c>
      <c r="GD19" s="21" t="n">
        <v>159.438</v>
      </c>
      <c r="GE19" s="21" t="n">
        <v>225.431</v>
      </c>
      <c r="GF19" s="21" t="n">
        <v>125.472</v>
      </c>
      <c r="GG19" s="21" t="n">
        <v>119.266</v>
      </c>
      <c r="GH19" s="21" t="n">
        <v>123.258</v>
      </c>
      <c r="GI19" s="21" t="n">
        <v>111.626</v>
      </c>
      <c r="GJ19" s="21" t="n">
        <v>158.932</v>
      </c>
      <c r="GK19" s="21" t="n">
        <v>77.872</v>
      </c>
      <c r="GL19" s="21" t="n">
        <v>120.416</v>
      </c>
      <c r="GM19" s="21" t="n">
        <v>103.618</v>
      </c>
      <c r="GN19" s="21" t="n">
        <v>111.29</v>
      </c>
      <c r="GO19" s="21" t="n">
        <v>115.135</v>
      </c>
      <c r="GP19" s="21" t="n">
        <v>106.236</v>
      </c>
      <c r="GQ19" s="21" t="n">
        <v>119.752</v>
      </c>
      <c r="GR19" s="21" t="n">
        <v>82.15300000000001</v>
      </c>
      <c r="GS19" s="21" t="n">
        <v>107.801</v>
      </c>
      <c r="GT19" s="21" t="n">
        <v>93.42100000000001</v>
      </c>
      <c r="GU19" s="21" t="n">
        <v>134.666</v>
      </c>
      <c r="GV19" s="21" t="n">
        <v>136.567</v>
      </c>
      <c r="GW19" s="21" t="n">
        <v>149.547</v>
      </c>
      <c r="GX19" s="21" t="n">
        <v>125.746</v>
      </c>
      <c r="GY19" s="21" t="n">
        <v>111.005</v>
      </c>
      <c r="GZ19" s="21" t="n">
        <v>170.688</v>
      </c>
      <c r="HA19" s="21" t="n">
        <v>131.428</v>
      </c>
      <c r="HB19" s="21" t="n">
        <v>177.051</v>
      </c>
      <c r="HC19" s="21" t="n">
        <v>200.262</v>
      </c>
      <c r="HD19" s="21" t="n">
        <v>194.261</v>
      </c>
      <c r="HE19" s="21" t="n">
        <v>100.919</v>
      </c>
      <c r="HF19" s="21" t="n">
        <v>147.245</v>
      </c>
      <c r="HG19" s="21" t="n">
        <v>102.026</v>
      </c>
      <c r="HH19" s="21" t="n">
        <v>143.462</v>
      </c>
      <c r="HI19" s="21" t="n">
        <v>156.439</v>
      </c>
      <c r="HJ19" s="21" t="n"/>
      <c r="HK19" s="21" t="n">
        <v>146.303</v>
      </c>
      <c r="HL19" s="21" t="n">
        <v>84.81699999999999</v>
      </c>
      <c r="HM19" s="21" t="n">
        <v>138.318</v>
      </c>
      <c r="HN19" s="21" t="n">
        <v>207.389</v>
      </c>
      <c r="HO19" s="21" t="n">
        <v>206.681</v>
      </c>
      <c r="HP19" s="21" t="n">
        <v>203.11</v>
      </c>
      <c r="HQ19" s="21" t="n">
        <v>222.574</v>
      </c>
      <c r="HR19" s="21" t="n">
        <v>214.46</v>
      </c>
      <c r="HS19" s="21" t="n">
        <v>173.207</v>
      </c>
      <c r="HT19" s="21" t="n">
        <v>143.822</v>
      </c>
      <c r="HU19" s="21" t="n">
        <v>125.366</v>
      </c>
      <c r="HV19" s="21" t="n">
        <v>167.255</v>
      </c>
      <c r="HW19" s="21" t="n">
        <v>158.062</v>
      </c>
      <c r="HX19" s="21" t="n">
        <v>363.432</v>
      </c>
      <c r="HY19" s="21" t="n">
        <v>275.563</v>
      </c>
      <c r="HZ19" s="21" t="n">
        <v>287.054</v>
      </c>
      <c r="IA19" s="21" t="n">
        <v>246.647</v>
      </c>
      <c r="IB19" s="21" t="n">
        <v>172.013</v>
      </c>
      <c r="IC19" s="21" t="n">
        <v>487.631</v>
      </c>
      <c r="ID19" s="21" t="n">
        <v>182.302</v>
      </c>
      <c r="IE19" s="21" t="n">
        <v>172.25</v>
      </c>
      <c r="IF19" s="21" t="n">
        <v>198.699</v>
      </c>
      <c r="IG19" s="21" t="n">
        <v>221.747</v>
      </c>
      <c r="IH19" s="21" t="n">
        <v>126.671</v>
      </c>
      <c r="II19" s="21" t="n">
        <v>280.801</v>
      </c>
      <c r="IJ19" s="21" t="n">
        <v>309.679</v>
      </c>
      <c r="IK19" s="21" t="n">
        <v>159.3</v>
      </c>
      <c r="IL19" s="21" t="n"/>
      <c r="IM19" s="21" t="n">
        <v>111.667</v>
      </c>
      <c r="IN19" s="21" t="n">
        <v>67.292</v>
      </c>
      <c r="IO19" s="21" t="n">
        <v>308.987</v>
      </c>
      <c r="IP19" s="21" t="n">
        <v>122.348</v>
      </c>
      <c r="IQ19" s="21" t="n">
        <v>462.075</v>
      </c>
      <c r="IR19" s="21" t="n">
        <v>364.501</v>
      </c>
      <c r="IS19" s="21" t="n">
        <v>119.206</v>
      </c>
      <c r="IT19" s="21" t="n">
        <v>498.136</v>
      </c>
      <c r="IU19" s="21" t="n">
        <v>96.825</v>
      </c>
      <c r="IV19" s="21" t="n">
        <v>99.569</v>
      </c>
      <c r="IW19" s="21" t="n">
        <v>493.438</v>
      </c>
      <c r="IX19" s="21" t="n">
        <v>371.335</v>
      </c>
      <c r="IY19" s="21" t="n">
        <v>377.678</v>
      </c>
      <c r="IZ19" s="21" t="n">
        <v>464.704</v>
      </c>
      <c r="JA19" s="21" t="n">
        <v>187.817</v>
      </c>
      <c r="JB19" s="21" t="n">
        <v>230.324</v>
      </c>
      <c r="JC19" s="21" t="n">
        <v>71.857</v>
      </c>
      <c r="JD19" s="21" t="n">
        <v>301.277</v>
      </c>
      <c r="JE19" s="21" t="n">
        <v>297.887</v>
      </c>
      <c r="JF19" s="21" t="n">
        <v>667.072</v>
      </c>
      <c r="JG19" s="21" t="n">
        <v>213.677</v>
      </c>
      <c r="JH19" s="21" t="n">
        <v>120.591</v>
      </c>
      <c r="JI19" s="21" t="n">
        <v>131.574</v>
      </c>
      <c r="JJ19" s="21" t="n">
        <v>117.582</v>
      </c>
      <c r="JK19" s="21" t="n">
        <v>101.975</v>
      </c>
      <c r="JL19" s="21" t="n">
        <v>271.592</v>
      </c>
      <c r="JM19" s="21" t="n">
        <v>441.928</v>
      </c>
      <c r="JN19" s="21" t="n">
        <v>128.734</v>
      </c>
      <c r="JO19" s="21" t="n">
        <v>75.65600000000001</v>
      </c>
      <c r="JP19" s="21" t="n">
        <v>41.733</v>
      </c>
      <c r="JQ19" s="21" t="n">
        <v>125.13</v>
      </c>
      <c r="JR19" s="21" t="n">
        <v>34.515</v>
      </c>
      <c r="JS19" s="21" t="n">
        <v>85.241</v>
      </c>
      <c r="JT19" s="21" t="n">
        <v>169.772</v>
      </c>
      <c r="JU19" s="21" t="n">
        <v>198.459</v>
      </c>
      <c r="JV19" s="21" t="n">
        <v>153.171</v>
      </c>
      <c r="JW19" s="21" t="n">
        <v>113.329</v>
      </c>
      <c r="JX19" s="21" t="n">
        <v>234.094</v>
      </c>
      <c r="JY19" s="21" t="n">
        <v>184.498</v>
      </c>
      <c r="JZ19" s="21" t="n">
        <v>245.415</v>
      </c>
      <c r="KA19" s="21" t="n">
        <v>113.014</v>
      </c>
      <c r="KB19" s="21" t="n">
        <v>146.881</v>
      </c>
      <c r="KC19" s="21" t="n">
        <v>83.84399999999999</v>
      </c>
      <c r="KD19" s="21" t="n">
        <v>74.446</v>
      </c>
      <c r="KE19" s="21" t="n">
        <v>52.657</v>
      </c>
      <c r="KF19" s="21" t="n">
        <v>126.238</v>
      </c>
      <c r="KG19" s="21" t="n">
        <v>21.422</v>
      </c>
      <c r="KH19" s="21" t="n">
        <v>124.929</v>
      </c>
      <c r="KI19" s="21" t="n">
        <v>130.497</v>
      </c>
      <c r="KJ19" s="21" t="n">
        <v>122.439</v>
      </c>
      <c r="KK19" s="21" t="n">
        <v>44.116</v>
      </c>
      <c r="KL19" s="21" t="n">
        <v>41.283</v>
      </c>
      <c r="KM19" s="21" t="n">
        <v>49.839</v>
      </c>
      <c r="KN19" s="21" t="n"/>
      <c r="KO19" s="21" t="n">
        <v>91.352</v>
      </c>
      <c r="KP19" s="21" t="n">
        <v>100.939</v>
      </c>
      <c r="KQ19" s="21" t="n">
        <v>160.866</v>
      </c>
      <c r="KR19" s="21" t="n">
        <v>132.834</v>
      </c>
      <c r="KS19" s="21" t="n">
        <v>369.364</v>
      </c>
      <c r="KT19" s="21" t="n">
        <v>176.303</v>
      </c>
      <c r="KU19" s="21" t="n">
        <v>214.256</v>
      </c>
      <c r="KV19" s="21" t="n">
        <v>291.979</v>
      </c>
      <c r="KW19" s="21" t="n">
        <v>238.469</v>
      </c>
      <c r="KX19" s="21" t="n">
        <v>166.205</v>
      </c>
      <c r="KY19" s="21" t="n">
        <v>96.729</v>
      </c>
      <c r="KZ19" s="21" t="n">
        <v>138.898</v>
      </c>
      <c r="LA19" s="21" t="n">
        <v>245.911</v>
      </c>
      <c r="LB19" s="21" t="n">
        <v>675.052</v>
      </c>
      <c r="LC19" s="21" t="n">
        <v>232.957</v>
      </c>
      <c r="LD19" s="21" t="n">
        <v>703.458</v>
      </c>
      <c r="LE19" s="21" t="n">
        <v>801.542</v>
      </c>
      <c r="LF19" s="21" t="n">
        <v>73.264</v>
      </c>
      <c r="LG19" s="21" t="n">
        <v>281.709</v>
      </c>
      <c r="LH19" s="21" t="n">
        <v>237.066</v>
      </c>
      <c r="LI19" s="21" t="n">
        <v>79.419</v>
      </c>
      <c r="LJ19" s="21" t="n">
        <v>175.109</v>
      </c>
      <c r="LK19" s="21" t="n">
        <v>275.718</v>
      </c>
      <c r="LL19" s="21" t="n">
        <v>277.914</v>
      </c>
      <c r="LM19" s="21" t="n">
        <v>75.586</v>
      </c>
      <c r="LN19" s="21" t="n">
        <v>99.17100000000001</v>
      </c>
      <c r="LO19" s="21" t="n">
        <v>54.989</v>
      </c>
      <c r="LP19" s="21" t="n">
        <v>114.225</v>
      </c>
      <c r="LQ19" s="21" t="n"/>
      <c r="LR19" s="21" t="n"/>
      <c r="LS19" s="21" t="n">
        <v>116.231</v>
      </c>
      <c r="LT19" s="21" t="n">
        <v>44.496</v>
      </c>
      <c r="LU19" s="21" t="n">
        <v>34.277</v>
      </c>
      <c r="LV19" s="21" t="n">
        <v>77.361</v>
      </c>
      <c r="LW19" s="21" t="n">
        <v>285.246</v>
      </c>
      <c r="LX19" s="21" t="n"/>
      <c r="LY19" s="21" t="n">
        <v>422.915</v>
      </c>
      <c r="LZ19" s="21" t="n">
        <v>60.712</v>
      </c>
      <c r="MA19" s="21" t="n">
        <v>393.27</v>
      </c>
      <c r="MB19" s="21" t="n">
        <v>251.227</v>
      </c>
      <c r="MC19" s="21" t="n">
        <v>224.201</v>
      </c>
      <c r="MD19" s="21" t="n">
        <v>162.509</v>
      </c>
      <c r="ME19" s="21" t="n">
        <v>102.716</v>
      </c>
      <c r="MF19" s="21" t="n">
        <v>188.244</v>
      </c>
      <c r="MG19" s="21" t="n">
        <v>252.724</v>
      </c>
      <c r="MH19" s="21" t="n">
        <v>154.203</v>
      </c>
      <c r="MI19" s="21" t="n">
        <v>412.499</v>
      </c>
      <c r="MJ19" s="21" t="n">
        <v>333.681</v>
      </c>
      <c r="MK19" s="21" t="n">
        <v>319.181</v>
      </c>
      <c r="ML19" s="21" t="n">
        <v>160.622</v>
      </c>
      <c r="MM19" s="21" t="n">
        <v>184.225</v>
      </c>
      <c r="MN19" s="21" t="n">
        <v>332.715</v>
      </c>
      <c r="MO19" s="21" t="n">
        <v>155.847</v>
      </c>
      <c r="MP19" s="21" t="n">
        <v>227.691</v>
      </c>
      <c r="MQ19" s="21" t="n">
        <v>79.429</v>
      </c>
      <c r="MR19" s="21" t="n">
        <v>150.694</v>
      </c>
      <c r="MS19" s="21" t="n">
        <v>79.879</v>
      </c>
      <c r="MT19" s="21" t="n">
        <v>230.399</v>
      </c>
      <c r="MU19" s="21" t="n">
        <v>247.059</v>
      </c>
      <c r="MV19" s="21" t="n">
        <v>240.009</v>
      </c>
      <c r="MW19" s="21" t="n">
        <v>247.794</v>
      </c>
      <c r="MX19" s="21" t="n">
        <v>225.284</v>
      </c>
      <c r="MY19" s="21" t="n">
        <v>219.441</v>
      </c>
      <c r="MZ19" s="21" t="n">
        <v>225.427</v>
      </c>
      <c r="NA19" s="21" t="n">
        <v>230.139</v>
      </c>
      <c r="NB19" s="21" t="n">
        <v>118.827</v>
      </c>
      <c r="NC19" s="21" t="n">
        <v>180.748</v>
      </c>
      <c r="ND19" s="21" t="n">
        <v>150.786</v>
      </c>
      <c r="NE19" s="21" t="n">
        <v>147.607</v>
      </c>
      <c r="NF19" s="21" t="n">
        <v>145.517</v>
      </c>
      <c r="NG19" s="21" t="n">
        <v>146.051</v>
      </c>
      <c r="NH19" s="21" t="n">
        <v>246.776</v>
      </c>
      <c r="NI19" s="21" t="n">
        <v>107.832</v>
      </c>
      <c r="NJ19" s="21" t="n">
        <v>80.06</v>
      </c>
      <c r="NK19" s="21" t="n">
        <v>110.809</v>
      </c>
      <c r="NL19" s="21" t="n">
        <v>200.035</v>
      </c>
      <c r="NM19" s="21" t="n">
        <v>209.953</v>
      </c>
      <c r="NN19" s="21" t="n">
        <v>91.837</v>
      </c>
      <c r="NO19" s="21" t="n">
        <v>60.076</v>
      </c>
      <c r="NP19" s="21" t="n">
        <v>217.033</v>
      </c>
      <c r="NQ19" s="21" t="n">
        <v>191.207</v>
      </c>
      <c r="NR19" s="21" t="n">
        <v>231.09</v>
      </c>
      <c r="NS19" s="21" t="n">
        <v>188.037</v>
      </c>
      <c r="NT19" s="21" t="n">
        <v>231.233</v>
      </c>
      <c r="NU19" s="21" t="n">
        <v>108.74</v>
      </c>
      <c r="NV19" s="21" t="n">
        <v>115.393</v>
      </c>
      <c r="NW19" s="21" t="n">
        <v>346.491</v>
      </c>
      <c r="NX19" s="21" t="n">
        <v>85.94199999999999</v>
      </c>
      <c r="NY19" s="21" t="n">
        <v>115.927</v>
      </c>
      <c r="NZ19" s="21" t="n">
        <v>300.113</v>
      </c>
      <c r="OA19" s="21" t="n">
        <v>300.48</v>
      </c>
      <c r="OB19" s="21" t="n">
        <v>310.68</v>
      </c>
      <c r="OC19" s="21" t="n">
        <v>285.842</v>
      </c>
      <c r="OD19" s="21" t="n">
        <v>324.153</v>
      </c>
      <c r="OE19" s="21" t="n">
        <v>106.43</v>
      </c>
      <c r="OF19" s="21" t="n">
        <v>302.768</v>
      </c>
      <c r="OG19" s="21" t="n">
        <v>218.508</v>
      </c>
      <c r="OH19" s="21" t="n">
        <v>55.097</v>
      </c>
      <c r="OI19" s="21" t="n">
        <v>118.414</v>
      </c>
      <c r="OJ19" s="21" t="n">
        <v>41.5</v>
      </c>
      <c r="OK19" s="21" t="n">
        <v>13.9</v>
      </c>
    </row>
    <row r="20">
      <c r="A20" s="22" t="n">
        <v>42552</v>
      </c>
      <c r="B20" s="21" t="n">
        <v>240.628</v>
      </c>
      <c r="C20" s="21" t="n">
        <v>720.816</v>
      </c>
      <c r="D20" s="21" t="n">
        <v>247.267</v>
      </c>
      <c r="E20" s="21" t="n">
        <v>247.554</v>
      </c>
      <c r="F20" s="21" t="n">
        <v>238.207</v>
      </c>
      <c r="G20" s="21" t="n">
        <v>273.418</v>
      </c>
      <c r="H20" s="21" t="n">
        <v>233.59</v>
      </c>
      <c r="I20" s="21" t="n">
        <v>246.498</v>
      </c>
      <c r="J20" s="21" t="n">
        <v>229.139</v>
      </c>
      <c r="K20" s="21" t="n">
        <v>241.154</v>
      </c>
      <c r="L20" s="21" t="n">
        <v>163.389</v>
      </c>
      <c r="M20" s="21" t="n">
        <v>295.836</v>
      </c>
      <c r="N20" s="21" t="n">
        <v>178.547</v>
      </c>
      <c r="O20" s="21" t="n">
        <v>323.916</v>
      </c>
      <c r="P20" s="21" t="n">
        <v>344.719</v>
      </c>
      <c r="Q20" s="21" t="n">
        <v>174.306</v>
      </c>
      <c r="R20" s="21" t="n">
        <v>278.926</v>
      </c>
      <c r="S20" s="21" t="n">
        <v>299.114</v>
      </c>
      <c r="T20" s="21" t="n">
        <v>264.155</v>
      </c>
      <c r="U20" s="21" t="n">
        <v>265.37</v>
      </c>
      <c r="V20" s="21" t="n">
        <v>295.42</v>
      </c>
      <c r="W20" s="21" t="n">
        <v>306.081</v>
      </c>
      <c r="X20" s="21" t="n">
        <v>266.83</v>
      </c>
      <c r="Y20" s="21" t="n">
        <v>246.875</v>
      </c>
      <c r="Z20" s="21" t="n">
        <v>249.6</v>
      </c>
      <c r="AA20" s="21" t="n">
        <v>252.562</v>
      </c>
      <c r="AB20" s="21" t="n">
        <v>302.012</v>
      </c>
      <c r="AC20" s="21" t="n">
        <v>266.073</v>
      </c>
      <c r="AD20" s="21" t="n">
        <v>227.712</v>
      </c>
      <c r="AE20" s="21" t="n">
        <v>206.393</v>
      </c>
      <c r="AF20" s="21" t="n">
        <v>231.55</v>
      </c>
      <c r="AG20" s="21" t="n">
        <v>213.542</v>
      </c>
      <c r="AH20" s="21" t="n">
        <v>156.316</v>
      </c>
      <c r="AI20" s="21" t="n">
        <v>284.678</v>
      </c>
      <c r="AJ20" s="21" t="n">
        <v>145.46</v>
      </c>
      <c r="AK20" s="21" t="n">
        <v>207.125</v>
      </c>
      <c r="AL20" s="21" t="n">
        <v>231.854</v>
      </c>
      <c r="AM20" s="21" t="n">
        <v>196.443</v>
      </c>
      <c r="AN20" s="21" t="n">
        <v>129.811</v>
      </c>
      <c r="AO20" s="21" t="n">
        <v>220.943</v>
      </c>
      <c r="AP20" s="21" t="n">
        <v>209.533</v>
      </c>
      <c r="AQ20" s="21" t="n">
        <v>145.622</v>
      </c>
      <c r="AR20" s="21" t="n">
        <v>333.855</v>
      </c>
      <c r="AS20" s="21" t="n">
        <v>175.424</v>
      </c>
      <c r="AT20" s="21" t="n">
        <v>230.537</v>
      </c>
      <c r="AU20" s="21" t="n">
        <v>147.017</v>
      </c>
      <c r="AV20" s="21" t="n">
        <v>249.136</v>
      </c>
      <c r="AW20" s="21" t="n">
        <v>216.744</v>
      </c>
      <c r="AX20" s="21" t="n">
        <v>156.181</v>
      </c>
      <c r="AY20" s="21" t="n">
        <v>286.165</v>
      </c>
      <c r="AZ20" s="21" t="n">
        <v>177.285</v>
      </c>
      <c r="BA20" s="21" t="n">
        <v>143.187</v>
      </c>
      <c r="BB20" s="21" t="n">
        <v>198.203</v>
      </c>
      <c r="BC20" s="21" t="n">
        <v>303.32</v>
      </c>
      <c r="BD20" s="21" t="n">
        <v>211.87</v>
      </c>
      <c r="BE20" s="21" t="n">
        <v>214.605</v>
      </c>
      <c r="BF20" s="21" t="n">
        <v>137.123</v>
      </c>
      <c r="BG20" s="21" t="n">
        <v>197.784</v>
      </c>
      <c r="BH20" s="21" t="n">
        <v>140.44</v>
      </c>
      <c r="BI20" s="21" t="n">
        <v>226.619</v>
      </c>
      <c r="BJ20" s="21" t="n">
        <v>213.181</v>
      </c>
      <c r="BK20" s="21" t="n">
        <v>146.602</v>
      </c>
      <c r="BL20" s="21" t="n">
        <v>291.96</v>
      </c>
      <c r="BM20" s="21" t="n">
        <v>334.146</v>
      </c>
      <c r="BN20" s="21" t="n">
        <v>350.918</v>
      </c>
      <c r="BO20" s="21" t="n">
        <v>369.524</v>
      </c>
      <c r="BP20" s="21" t="n">
        <v>198.458</v>
      </c>
      <c r="BQ20" s="21" t="n">
        <v>253.145</v>
      </c>
      <c r="BR20" s="21" t="n">
        <v>513.537</v>
      </c>
      <c r="BS20" s="21" t="n">
        <v>107.286</v>
      </c>
      <c r="BT20" s="21" t="n">
        <v>315.325</v>
      </c>
      <c r="BU20" s="21" t="n">
        <v>341.527</v>
      </c>
      <c r="BV20" s="21" t="n">
        <v>284.513</v>
      </c>
      <c r="BW20" s="21" t="n">
        <v>308.065</v>
      </c>
      <c r="BX20" s="21" t="n">
        <v>322.268</v>
      </c>
      <c r="BY20" s="21" t="n">
        <v>159.898</v>
      </c>
      <c r="BZ20" s="21" t="n">
        <v>163.642</v>
      </c>
      <c r="CA20" s="21" t="n">
        <v>159.258</v>
      </c>
      <c r="CB20" s="21" t="n">
        <v>171.659</v>
      </c>
      <c r="CC20" s="21" t="n">
        <v>150.847</v>
      </c>
      <c r="CD20" s="21" t="n">
        <v>206.013</v>
      </c>
      <c r="CE20" s="21" t="n">
        <v>163.415</v>
      </c>
      <c r="CF20" s="21" t="n">
        <v>203.644</v>
      </c>
      <c r="CG20" s="21" t="n">
        <v>166.648</v>
      </c>
      <c r="CH20" s="21" t="n">
        <v>127.967</v>
      </c>
      <c r="CI20" s="21" t="n">
        <v>161.143</v>
      </c>
      <c r="CJ20" s="21" t="n">
        <v>173.808</v>
      </c>
      <c r="CK20" s="21" t="n">
        <v>116.424</v>
      </c>
      <c r="CL20" s="21" t="n">
        <v>118.326</v>
      </c>
      <c r="CM20" s="21" t="n">
        <v>199.61</v>
      </c>
      <c r="CN20" s="21" t="n">
        <v>208.254</v>
      </c>
      <c r="CO20" s="21" t="n">
        <v>195.281</v>
      </c>
      <c r="CP20" s="21" t="n">
        <v>128.159</v>
      </c>
      <c r="CQ20" s="21" t="n">
        <v>210.486</v>
      </c>
      <c r="CR20" s="21" t="n">
        <v>215.47</v>
      </c>
      <c r="CS20" s="21" t="n">
        <v>188.709</v>
      </c>
      <c r="CT20" s="21" t="n">
        <v>145.185</v>
      </c>
      <c r="CU20" s="21" t="n">
        <v>153.08</v>
      </c>
      <c r="CV20" s="21" t="n">
        <v>226.242</v>
      </c>
      <c r="CW20" s="21" t="n">
        <v>202.669</v>
      </c>
      <c r="CX20" s="21" t="n">
        <v>235.685</v>
      </c>
      <c r="CY20" s="21" t="n">
        <v>297.655</v>
      </c>
      <c r="CZ20" s="21" t="n">
        <v>130.451</v>
      </c>
      <c r="DA20" s="21" t="n">
        <v>156.314</v>
      </c>
      <c r="DB20" s="21" t="n">
        <v>153.368</v>
      </c>
      <c r="DC20" s="21" t="n">
        <v>225.413</v>
      </c>
      <c r="DD20" s="21" t="n">
        <v>251.195</v>
      </c>
      <c r="DE20" s="21" t="n">
        <v>169.954</v>
      </c>
      <c r="DF20" s="21" t="n">
        <v>252.335</v>
      </c>
      <c r="DG20" s="21" t="n">
        <v>240.178</v>
      </c>
      <c r="DH20" s="21" t="n">
        <v>151.52</v>
      </c>
      <c r="DI20" s="21" t="n">
        <v>142.032</v>
      </c>
      <c r="DJ20" s="21" t="n">
        <v>136.689</v>
      </c>
      <c r="DK20" s="21" t="n">
        <v>282.369</v>
      </c>
      <c r="DL20" s="21" t="n">
        <v>156.372</v>
      </c>
      <c r="DM20" s="21" t="n">
        <v>132.221</v>
      </c>
      <c r="DN20" s="21" t="n">
        <v>122.516</v>
      </c>
      <c r="DO20" s="21" t="n">
        <v>263.051</v>
      </c>
      <c r="DP20" s="21" t="n">
        <v>163.364</v>
      </c>
      <c r="DQ20" s="21" t="n">
        <v>167.989</v>
      </c>
      <c r="DR20" s="21" t="n">
        <v>169.344</v>
      </c>
      <c r="DS20" s="21" t="n"/>
      <c r="DT20" s="21" t="n">
        <v>151.352</v>
      </c>
      <c r="DU20" s="21" t="n">
        <v>182.889</v>
      </c>
      <c r="DV20" s="21" t="n">
        <v>242.032</v>
      </c>
      <c r="DW20" s="21" t="n">
        <v>198.257</v>
      </c>
      <c r="DX20" s="21" t="n">
        <v>217.922</v>
      </c>
      <c r="DY20" s="21" t="n">
        <v>192.982</v>
      </c>
      <c r="DZ20" s="21" t="n">
        <v>207.282</v>
      </c>
      <c r="EA20" s="21" t="n">
        <v>186.009</v>
      </c>
      <c r="EB20" s="21" t="n">
        <v>167.863</v>
      </c>
      <c r="EC20" s="21" t="n">
        <v>336.754</v>
      </c>
      <c r="ED20" s="21" t="n">
        <v>166.612</v>
      </c>
      <c r="EE20" s="21" t="n">
        <v>180.173</v>
      </c>
      <c r="EF20" s="21" t="n">
        <v>182.861</v>
      </c>
      <c r="EG20" s="21" t="n">
        <v>244.936</v>
      </c>
      <c r="EH20" s="21" t="n">
        <v>288.78</v>
      </c>
      <c r="EI20" s="21" t="n">
        <v>296.862</v>
      </c>
      <c r="EJ20" s="21" t="n">
        <v>166.094</v>
      </c>
      <c r="EK20" s="21" t="n">
        <v>520.099</v>
      </c>
      <c r="EL20" s="21" t="n">
        <v>344.564</v>
      </c>
      <c r="EM20" s="21" t="n">
        <v>295.554</v>
      </c>
      <c r="EN20" s="21" t="n">
        <v>295.518</v>
      </c>
      <c r="EO20" s="21" t="n">
        <v>147.758</v>
      </c>
      <c r="EP20" s="21" t="n">
        <v>233.713</v>
      </c>
      <c r="EQ20" s="21" t="n">
        <v>196.422</v>
      </c>
      <c r="ER20" s="21" t="n">
        <v>226.467</v>
      </c>
      <c r="ES20" s="21" t="n">
        <v>212.482</v>
      </c>
      <c r="ET20" s="21" t="n">
        <v>290.851</v>
      </c>
      <c r="EU20" s="21" t="n">
        <v>201.832</v>
      </c>
      <c r="EV20" s="21" t="n">
        <v>214.193</v>
      </c>
      <c r="EW20" s="21" t="n">
        <v>162.129</v>
      </c>
      <c r="EX20" s="21" t="n">
        <v>221.358</v>
      </c>
      <c r="EY20" s="21" t="n">
        <v>513.04</v>
      </c>
      <c r="EZ20" s="21" t="n">
        <v>438.607</v>
      </c>
      <c r="FA20" s="21" t="n">
        <v>121.565</v>
      </c>
      <c r="FB20" s="21" t="n">
        <v>59.944</v>
      </c>
      <c r="FC20" s="21" t="n">
        <v>109.957</v>
      </c>
      <c r="FD20" s="21" t="n">
        <v>68.554</v>
      </c>
      <c r="FE20" s="21" t="n">
        <v>46.665</v>
      </c>
      <c r="FF20" s="21" t="n">
        <v>111.511</v>
      </c>
      <c r="FG20" s="21" t="n">
        <v>129.16</v>
      </c>
      <c r="FH20" s="21" t="n">
        <v>84.893</v>
      </c>
      <c r="FI20" s="21" t="n">
        <v>69.52</v>
      </c>
      <c r="FJ20" s="21" t="n"/>
      <c r="FK20" s="21" t="n">
        <v>76.916</v>
      </c>
      <c r="FL20" s="21" t="n">
        <v>82.22499999999999</v>
      </c>
      <c r="FM20" s="21" t="n">
        <v>92.413</v>
      </c>
      <c r="FN20" s="21" t="n">
        <v>67.009</v>
      </c>
      <c r="FO20" s="21" t="n">
        <v>56.646</v>
      </c>
      <c r="FP20" s="21" t="n">
        <v>44.854</v>
      </c>
      <c r="FQ20" s="21" t="n">
        <v>122.923</v>
      </c>
      <c r="FR20" s="21" t="n">
        <v>53.925</v>
      </c>
      <c r="FS20" s="21" t="n">
        <v>88.65000000000001</v>
      </c>
      <c r="FT20" s="21" t="n">
        <v>90.25700000000001</v>
      </c>
      <c r="FU20" s="21" t="n">
        <v>98.511</v>
      </c>
      <c r="FV20" s="21" t="n">
        <v>86.301</v>
      </c>
      <c r="FW20" s="21" t="n">
        <v>186.171</v>
      </c>
      <c r="FX20" s="21" t="n">
        <v>119.998</v>
      </c>
      <c r="FY20" s="21" t="n">
        <v>168.428</v>
      </c>
      <c r="FZ20" s="21" t="n">
        <v>116.996</v>
      </c>
      <c r="GA20" s="21" t="n">
        <v>172.484</v>
      </c>
      <c r="GB20" s="21" t="n">
        <v>157.195</v>
      </c>
      <c r="GC20" s="21" t="n">
        <v>174.566</v>
      </c>
      <c r="GD20" s="21" t="n">
        <v>160.696</v>
      </c>
      <c r="GE20" s="21" t="n">
        <v>225.592</v>
      </c>
      <c r="GF20" s="21" t="n">
        <v>123.03</v>
      </c>
      <c r="GG20" s="21" t="n">
        <v>117.815</v>
      </c>
      <c r="GH20" s="21" t="n">
        <v>121.734</v>
      </c>
      <c r="GI20" s="21" t="n">
        <v>109.623</v>
      </c>
      <c r="GJ20" s="21" t="n">
        <v>153.882</v>
      </c>
      <c r="GK20" s="21" t="n">
        <v>77.878</v>
      </c>
      <c r="GL20" s="21" t="n">
        <v>120.938</v>
      </c>
      <c r="GM20" s="21" t="n">
        <v>102.437</v>
      </c>
      <c r="GN20" s="21" t="n">
        <v>106.683</v>
      </c>
      <c r="GO20" s="21" t="n">
        <v>111.041</v>
      </c>
      <c r="GP20" s="21" t="n">
        <v>102.556</v>
      </c>
      <c r="GQ20" s="21" t="n">
        <v>109.451</v>
      </c>
      <c r="GR20" s="21" t="n">
        <v>78.684</v>
      </c>
      <c r="GS20" s="21" t="n">
        <v>107.279</v>
      </c>
      <c r="GT20" s="21" t="n">
        <v>86.675</v>
      </c>
      <c r="GU20" s="21" t="n">
        <v>134.009</v>
      </c>
      <c r="GV20" s="21" t="n">
        <v>136.548</v>
      </c>
      <c r="GW20" s="21" t="n">
        <v>150.159</v>
      </c>
      <c r="GX20" s="21" t="n">
        <v>124.092</v>
      </c>
      <c r="GY20" s="21" t="n">
        <v>113.633</v>
      </c>
      <c r="GZ20" s="21" t="n">
        <v>171.861</v>
      </c>
      <c r="HA20" s="21" t="n">
        <v>133.882</v>
      </c>
      <c r="HB20" s="21" t="n">
        <v>177.077</v>
      </c>
      <c r="HC20" s="21" t="n">
        <v>197.145</v>
      </c>
      <c r="HD20" s="21" t="n">
        <v>191.796</v>
      </c>
      <c r="HE20" s="21" t="n">
        <v>100.85</v>
      </c>
      <c r="HF20" s="21" t="n">
        <v>147.119</v>
      </c>
      <c r="HG20" s="21" t="n">
        <v>101.922</v>
      </c>
      <c r="HH20" s="21" t="n">
        <v>143.237</v>
      </c>
      <c r="HI20" s="21" t="n">
        <v>156.291</v>
      </c>
      <c r="HJ20" s="21" t="n"/>
      <c r="HK20" s="21" t="n">
        <v>145.457</v>
      </c>
      <c r="HL20" s="21" t="n">
        <v>85.51000000000001</v>
      </c>
      <c r="HM20" s="21" t="n">
        <v>145.998</v>
      </c>
      <c r="HN20" s="21" t="n">
        <v>196.053</v>
      </c>
      <c r="HO20" s="21" t="n">
        <v>195.243</v>
      </c>
      <c r="HP20" s="21" t="n">
        <v>191.204</v>
      </c>
      <c r="HQ20" s="21" t="n">
        <v>210.641</v>
      </c>
      <c r="HR20" s="21" t="n">
        <v>207.183</v>
      </c>
      <c r="HS20" s="21" t="n">
        <v>172.035</v>
      </c>
      <c r="HT20" s="21" t="n">
        <v>142.932</v>
      </c>
      <c r="HU20" s="21" t="n">
        <v>124.423</v>
      </c>
      <c r="HV20" s="21" t="n">
        <v>166.552</v>
      </c>
      <c r="HW20" s="21" t="n">
        <v>158.409</v>
      </c>
      <c r="HX20" s="21" t="n">
        <v>358.013</v>
      </c>
      <c r="HY20" s="21" t="n">
        <v>276.058</v>
      </c>
      <c r="HZ20" s="21" t="n">
        <v>288.187</v>
      </c>
      <c r="IA20" s="21" t="n">
        <v>247.421</v>
      </c>
      <c r="IB20" s="21" t="n">
        <v>171.853</v>
      </c>
      <c r="IC20" s="21" t="n">
        <v>489.064</v>
      </c>
      <c r="ID20" s="21" t="n">
        <v>183.031</v>
      </c>
      <c r="IE20" s="21" t="n">
        <v>173.188</v>
      </c>
      <c r="IF20" s="21" t="n">
        <v>199.156</v>
      </c>
      <c r="IG20" s="21" t="n">
        <v>222.624</v>
      </c>
      <c r="IH20" s="21" t="n">
        <v>126.699</v>
      </c>
      <c r="II20" s="21" t="n">
        <v>266.626</v>
      </c>
      <c r="IJ20" s="21" t="n">
        <v>283.501</v>
      </c>
      <c r="IK20" s="21" t="n">
        <v>160.403</v>
      </c>
      <c r="IL20" s="21" t="n"/>
      <c r="IM20" s="21" t="n">
        <v>114.742</v>
      </c>
      <c r="IN20" s="21" t="n">
        <v>67.19499999999999</v>
      </c>
      <c r="IO20" s="21" t="n">
        <v>309.552</v>
      </c>
      <c r="IP20" s="21" t="n">
        <v>122.59</v>
      </c>
      <c r="IQ20" s="21" t="n">
        <v>464.164</v>
      </c>
      <c r="IR20" s="21" t="n">
        <v>366.784</v>
      </c>
      <c r="IS20" s="21" t="n">
        <v>119.966</v>
      </c>
      <c r="IT20" s="21" t="n">
        <v>502.833</v>
      </c>
      <c r="IU20" s="21" t="n">
        <v>96.297</v>
      </c>
      <c r="IV20" s="21" t="n">
        <v>99.849</v>
      </c>
      <c r="IW20" s="21" t="n">
        <v>495.431</v>
      </c>
      <c r="IX20" s="21" t="n">
        <v>372.854</v>
      </c>
      <c r="IY20" s="21" t="n">
        <v>380.083</v>
      </c>
      <c r="IZ20" s="21" t="n">
        <v>464.779</v>
      </c>
      <c r="JA20" s="21" t="n">
        <v>187.274</v>
      </c>
      <c r="JB20" s="21" t="n">
        <v>232.469</v>
      </c>
      <c r="JC20" s="21" t="n">
        <v>72.053</v>
      </c>
      <c r="JD20" s="21" t="n">
        <v>302.161</v>
      </c>
      <c r="JE20" s="21" t="n">
        <v>298.625</v>
      </c>
      <c r="JF20" s="21" t="n">
        <v>669.37</v>
      </c>
      <c r="JG20" s="21" t="n">
        <v>213.922</v>
      </c>
      <c r="JH20" s="21" t="n">
        <v>120.661</v>
      </c>
      <c r="JI20" s="21" t="n">
        <v>132.512</v>
      </c>
      <c r="JJ20" s="21" t="n">
        <v>117.358</v>
      </c>
      <c r="JK20" s="21" t="n">
        <v>101.719</v>
      </c>
      <c r="JL20" s="21" t="n">
        <v>261.218</v>
      </c>
      <c r="JM20" s="21" t="n">
        <v>442.505</v>
      </c>
      <c r="JN20" s="21" t="n">
        <v>129.844</v>
      </c>
      <c r="JO20" s="21" t="n">
        <v>74.318</v>
      </c>
      <c r="JP20" s="21" t="n">
        <v>40.539</v>
      </c>
      <c r="JQ20" s="21" t="n">
        <v>125.155</v>
      </c>
      <c r="JR20" s="21" t="n">
        <v>34.42</v>
      </c>
      <c r="JS20" s="21" t="n">
        <v>83.98699999999999</v>
      </c>
      <c r="JT20" s="21" t="n">
        <v>169.585</v>
      </c>
      <c r="JU20" s="21" t="n">
        <v>197.731</v>
      </c>
      <c r="JV20" s="21" t="n">
        <v>152.388</v>
      </c>
      <c r="JW20" s="21" t="n">
        <v>113.095</v>
      </c>
      <c r="JX20" s="21" t="n">
        <v>234.796</v>
      </c>
      <c r="JY20" s="21" t="n">
        <v>185.331</v>
      </c>
      <c r="JZ20" s="21" t="n">
        <v>245.687</v>
      </c>
      <c r="KA20" s="21" t="n">
        <v>113.239</v>
      </c>
      <c r="KB20" s="21" t="n">
        <v>147.166</v>
      </c>
      <c r="KC20" s="21" t="n">
        <v>84.002</v>
      </c>
      <c r="KD20" s="21" t="n">
        <v>75.59099999999999</v>
      </c>
      <c r="KE20" s="21" t="n">
        <v>54.334</v>
      </c>
      <c r="KF20" s="21" t="n">
        <v>126.749</v>
      </c>
      <c r="KG20" s="21" t="n">
        <v>22.227</v>
      </c>
      <c r="KH20" s="21" t="n">
        <v>125.261</v>
      </c>
      <c r="KI20" s="21" t="n">
        <v>130.544</v>
      </c>
      <c r="KJ20" s="21" t="n">
        <v>123.425</v>
      </c>
      <c r="KK20" s="21" t="n">
        <v>43.654</v>
      </c>
      <c r="KL20" s="21" t="n">
        <v>40.676</v>
      </c>
      <c r="KM20" s="21" t="n">
        <v>49.259</v>
      </c>
      <c r="KN20" s="21" t="n"/>
      <c r="KO20" s="21" t="n">
        <v>92.934</v>
      </c>
      <c r="KP20" s="21" t="n">
        <v>101.886</v>
      </c>
      <c r="KQ20" s="21" t="n">
        <v>160.652</v>
      </c>
      <c r="KR20" s="21" t="n">
        <v>132.198</v>
      </c>
      <c r="KS20" s="21" t="n">
        <v>369.887</v>
      </c>
      <c r="KT20" s="21" t="n">
        <v>174.501</v>
      </c>
      <c r="KU20" s="21" t="n">
        <v>219.448</v>
      </c>
      <c r="KV20" s="21" t="n">
        <v>292.555</v>
      </c>
      <c r="KW20" s="21" t="n">
        <v>237.076</v>
      </c>
      <c r="KX20" s="21" t="n">
        <v>165.777</v>
      </c>
      <c r="KY20" s="21" t="n">
        <v>95.721</v>
      </c>
      <c r="KZ20" s="21" t="n">
        <v>138.79</v>
      </c>
      <c r="LA20" s="21" t="n">
        <v>246.478</v>
      </c>
      <c r="LB20" s="21" t="n">
        <v>678.015</v>
      </c>
      <c r="LC20" s="21" t="n">
        <v>233.796</v>
      </c>
      <c r="LD20" s="21" t="n">
        <v>704.999</v>
      </c>
      <c r="LE20" s="21" t="n">
        <v>802.771</v>
      </c>
      <c r="LF20" s="21" t="n">
        <v>73.58199999999999</v>
      </c>
      <c r="LG20" s="21" t="n">
        <v>282.496</v>
      </c>
      <c r="LH20" s="21" t="n">
        <v>237.786</v>
      </c>
      <c r="LI20" s="21" t="n">
        <v>79.15600000000001</v>
      </c>
      <c r="LJ20" s="21" t="n">
        <v>175.112</v>
      </c>
      <c r="LK20" s="21" t="n">
        <v>275.718</v>
      </c>
      <c r="LL20" s="21" t="n">
        <v>277.999</v>
      </c>
      <c r="LM20" s="21" t="n">
        <v>75.327</v>
      </c>
      <c r="LN20" s="21" t="n">
        <v>98.94</v>
      </c>
      <c r="LO20" s="21" t="n">
        <v>54.848</v>
      </c>
      <c r="LP20" s="21" t="n">
        <v>114.023</v>
      </c>
      <c r="LQ20" s="21" t="n"/>
      <c r="LR20" s="21" t="n"/>
      <c r="LS20" s="21" t="n">
        <v>115.565</v>
      </c>
      <c r="LT20" s="21" t="n">
        <v>44.205</v>
      </c>
      <c r="LU20" s="21" t="n">
        <v>34.445</v>
      </c>
      <c r="LV20" s="21" t="n">
        <v>76.955</v>
      </c>
      <c r="LW20" s="21" t="n">
        <v>280.386</v>
      </c>
      <c r="LX20" s="21" t="n"/>
      <c r="LY20" s="21" t="n">
        <v>423.439</v>
      </c>
      <c r="LZ20" s="21" t="n">
        <v>60.699</v>
      </c>
      <c r="MA20" s="21" t="n">
        <v>393.168</v>
      </c>
      <c r="MB20" s="21" t="n">
        <v>251.339</v>
      </c>
      <c r="MC20" s="21" t="n">
        <v>224.563</v>
      </c>
      <c r="MD20" s="21" t="n">
        <v>162.878</v>
      </c>
      <c r="ME20" s="21" t="n">
        <v>103.082</v>
      </c>
      <c r="MF20" s="21" t="n">
        <v>188.395</v>
      </c>
      <c r="MG20" s="21" t="n">
        <v>252.79</v>
      </c>
      <c r="MH20" s="21" t="n">
        <v>154.243</v>
      </c>
      <c r="MI20" s="21" t="n">
        <v>415.087</v>
      </c>
      <c r="MJ20" s="21" t="n">
        <v>339.14</v>
      </c>
      <c r="MK20" s="21" t="n">
        <v>319.693</v>
      </c>
      <c r="ML20" s="21" t="n">
        <v>161.149</v>
      </c>
      <c r="MM20" s="21" t="n">
        <v>184.668</v>
      </c>
      <c r="MN20" s="21" t="n">
        <v>333.686</v>
      </c>
      <c r="MO20" s="21" t="n">
        <v>155.855</v>
      </c>
      <c r="MP20" s="21" t="n">
        <v>228.381</v>
      </c>
      <c r="MQ20" s="21" t="n">
        <v>77.717</v>
      </c>
      <c r="MR20" s="21" t="n">
        <v>147.303</v>
      </c>
      <c r="MS20" s="21" t="n">
        <v>79.85299999999999</v>
      </c>
      <c r="MT20" s="21" t="n">
        <v>229.897</v>
      </c>
      <c r="MU20" s="21" t="n">
        <v>247.027</v>
      </c>
      <c r="MV20" s="21" t="n">
        <v>239.548</v>
      </c>
      <c r="MW20" s="21" t="n">
        <v>247.744</v>
      </c>
      <c r="MX20" s="21" t="n">
        <v>224.463</v>
      </c>
      <c r="MY20" s="21" t="n">
        <v>218.418</v>
      </c>
      <c r="MZ20" s="21" t="n">
        <v>224.944</v>
      </c>
      <c r="NA20" s="21" t="n">
        <v>229.686</v>
      </c>
      <c r="NB20" s="21" t="n">
        <v>116.028</v>
      </c>
      <c r="NC20" s="21" t="n">
        <v>179.389</v>
      </c>
      <c r="ND20" s="21" t="n">
        <v>148.949</v>
      </c>
      <c r="NE20" s="21" t="n">
        <v>145.734</v>
      </c>
      <c r="NF20" s="21" t="n">
        <v>144.832</v>
      </c>
      <c r="NG20" s="21" t="n">
        <v>145.382</v>
      </c>
      <c r="NH20" s="21" t="n">
        <v>246.356</v>
      </c>
      <c r="NI20" s="21" t="n">
        <v>107.432</v>
      </c>
      <c r="NJ20" s="21" t="n">
        <v>79.764</v>
      </c>
      <c r="NK20" s="21" t="n">
        <v>110.754</v>
      </c>
      <c r="NL20" s="21" t="n">
        <v>195.94</v>
      </c>
      <c r="NM20" s="21" t="n">
        <v>198.978</v>
      </c>
      <c r="NN20" s="21" t="n">
        <v>91.568</v>
      </c>
      <c r="NO20" s="21" t="n">
        <v>59.687</v>
      </c>
      <c r="NP20" s="21" t="n">
        <v>215.113</v>
      </c>
      <c r="NQ20" s="21" t="n">
        <v>187.739</v>
      </c>
      <c r="NR20" s="21" t="n">
        <v>226.989</v>
      </c>
      <c r="NS20" s="21" t="n">
        <v>184.375</v>
      </c>
      <c r="NT20" s="21" t="n">
        <v>226.728</v>
      </c>
      <c r="NU20" s="21" t="n">
        <v>108.558</v>
      </c>
      <c r="NV20" s="21" t="n">
        <v>115.857</v>
      </c>
      <c r="NW20" s="21" t="n">
        <v>346.557</v>
      </c>
      <c r="NX20" s="21" t="n">
        <v>85.482</v>
      </c>
      <c r="NY20" s="21" t="n">
        <v>115.895</v>
      </c>
      <c r="NZ20" s="21" t="n">
        <v>300.859</v>
      </c>
      <c r="OA20" s="21" t="n">
        <v>301.024</v>
      </c>
      <c r="OB20" s="21" t="n">
        <v>311.072</v>
      </c>
      <c r="OC20" s="21" t="n">
        <v>286.286</v>
      </c>
      <c r="OD20" s="21" t="n">
        <v>324.504</v>
      </c>
      <c r="OE20" s="21" t="n">
        <v>106.131</v>
      </c>
      <c r="OF20" s="21" t="n">
        <v>300.823</v>
      </c>
      <c r="OG20" s="21" t="n">
        <v>217.973</v>
      </c>
      <c r="OH20" s="21" t="n">
        <v>53.973</v>
      </c>
      <c r="OI20" s="21" t="n">
        <v>118.421</v>
      </c>
      <c r="OJ20" s="21" t="n">
        <v>41.6</v>
      </c>
      <c r="OK20" s="21" t="n">
        <v>13.9</v>
      </c>
    </row>
    <row r="21">
      <c r="A21" s="22" t="n">
        <v>42583</v>
      </c>
      <c r="B21" s="21" t="n">
        <v>240.849</v>
      </c>
      <c r="C21" s="21" t="n">
        <v>721.476</v>
      </c>
      <c r="D21" s="21" t="n">
        <v>247.42</v>
      </c>
      <c r="E21" s="21" t="n">
        <v>247.719</v>
      </c>
      <c r="F21" s="21" t="n">
        <v>238.088</v>
      </c>
      <c r="G21" s="21" t="n">
        <v>273.104</v>
      </c>
      <c r="H21" s="21" t="n">
        <v>231.15</v>
      </c>
      <c r="I21" s="21" t="n">
        <v>243.309</v>
      </c>
      <c r="J21" s="21" t="n">
        <v>225.685</v>
      </c>
      <c r="K21" s="21" t="n">
        <v>240.393</v>
      </c>
      <c r="L21" s="21" t="n">
        <v>162.944</v>
      </c>
      <c r="M21" s="21" t="n">
        <v>296.908</v>
      </c>
      <c r="N21" s="21" t="n">
        <v>178.467</v>
      </c>
      <c r="O21" s="21" t="n">
        <v>321.117</v>
      </c>
      <c r="P21" s="21" t="n">
        <v>348.761</v>
      </c>
      <c r="Q21" s="21" t="n">
        <v>175.219</v>
      </c>
      <c r="R21" s="21" t="n">
        <v>279.188</v>
      </c>
      <c r="S21" s="21" t="n">
        <v>299.266</v>
      </c>
      <c r="T21" s="21" t="n">
        <v>264.874</v>
      </c>
      <c r="U21" s="21" t="n">
        <v>267.707</v>
      </c>
      <c r="V21" s="21" t="n">
        <v>291.551</v>
      </c>
      <c r="W21" s="21" t="n">
        <v>312.783</v>
      </c>
      <c r="X21" s="21" t="n">
        <v>268.452</v>
      </c>
      <c r="Y21" s="21" t="n">
        <v>246.547</v>
      </c>
      <c r="Z21" s="21" t="n">
        <v>249.949</v>
      </c>
      <c r="AA21" s="21" t="n">
        <v>253.514</v>
      </c>
      <c r="AB21" s="21" t="n">
        <v>302.478</v>
      </c>
      <c r="AC21" s="21" t="n">
        <v>268.296</v>
      </c>
      <c r="AD21" s="21" t="n">
        <v>223.755</v>
      </c>
      <c r="AE21" s="21" t="n">
        <v>207.276</v>
      </c>
      <c r="AF21" s="21" t="n">
        <v>229.307</v>
      </c>
      <c r="AG21" s="21" t="n">
        <v>214.591</v>
      </c>
      <c r="AH21" s="21" t="n">
        <v>156.307</v>
      </c>
      <c r="AI21" s="21" t="n">
        <v>283.764</v>
      </c>
      <c r="AJ21" s="21" t="n">
        <v>145.556</v>
      </c>
      <c r="AK21" s="21" t="n">
        <v>207.932</v>
      </c>
      <c r="AL21" s="21" t="n">
        <v>232.786</v>
      </c>
      <c r="AM21" s="21" t="n">
        <v>194.413</v>
      </c>
      <c r="AN21" s="21" t="n">
        <v>133.142</v>
      </c>
      <c r="AO21" s="21" t="n">
        <v>222.373</v>
      </c>
      <c r="AP21" s="21" t="n">
        <v>215.418</v>
      </c>
      <c r="AQ21" s="21" t="n">
        <v>145.335</v>
      </c>
      <c r="AR21" s="21" t="n">
        <v>329.898</v>
      </c>
      <c r="AS21" s="21" t="n">
        <v>175.227</v>
      </c>
      <c r="AT21" s="21" t="n">
        <v>230.195</v>
      </c>
      <c r="AU21" s="21" t="n">
        <v>146.687</v>
      </c>
      <c r="AV21" s="21" t="n">
        <v>244.443</v>
      </c>
      <c r="AW21" s="21" t="n">
        <v>217.51</v>
      </c>
      <c r="AX21" s="21" t="n">
        <v>156.448</v>
      </c>
      <c r="AY21" s="21" t="n">
        <v>284.914</v>
      </c>
      <c r="AZ21" s="21" t="n">
        <v>176.138</v>
      </c>
      <c r="BA21" s="21" t="n">
        <v>142.922</v>
      </c>
      <c r="BB21" s="21" t="n">
        <v>199.613</v>
      </c>
      <c r="BC21" s="21" t="n">
        <v>301.61</v>
      </c>
      <c r="BD21" s="21" t="n">
        <v>202.352</v>
      </c>
      <c r="BE21" s="21" t="n">
        <v>215.506</v>
      </c>
      <c r="BF21" s="21" t="n">
        <v>138.747</v>
      </c>
      <c r="BG21" s="21" t="n">
        <v>200.104</v>
      </c>
      <c r="BH21" s="21" t="n">
        <v>141.922</v>
      </c>
      <c r="BI21" s="21" t="n">
        <v>226.399</v>
      </c>
      <c r="BJ21" s="21" t="n">
        <v>215.878</v>
      </c>
      <c r="BK21" s="21" t="n">
        <v>146.282</v>
      </c>
      <c r="BL21" s="21" t="n">
        <v>292.156</v>
      </c>
      <c r="BM21" s="21" t="n">
        <v>335.354</v>
      </c>
      <c r="BN21" s="21" t="n">
        <v>354.578</v>
      </c>
      <c r="BO21" s="21" t="n">
        <v>373.911</v>
      </c>
      <c r="BP21" s="21" t="n">
        <v>196.862</v>
      </c>
      <c r="BQ21" s="21" t="n">
        <v>256.301</v>
      </c>
      <c r="BR21" s="21" t="n">
        <v>528.785</v>
      </c>
      <c r="BS21" s="21" t="n">
        <v>108.97</v>
      </c>
      <c r="BT21" s="21" t="n">
        <v>313.966</v>
      </c>
      <c r="BU21" s="21" t="n">
        <v>346.41</v>
      </c>
      <c r="BV21" s="21" t="n">
        <v>284.397</v>
      </c>
      <c r="BW21" s="21" t="n">
        <v>312.826</v>
      </c>
      <c r="BX21" s="21" t="n">
        <v>316.752</v>
      </c>
      <c r="BY21" s="21" t="n">
        <v>158.382</v>
      </c>
      <c r="BZ21" s="21" t="n">
        <v>162.967</v>
      </c>
      <c r="CA21" s="21" t="n">
        <v>158.835</v>
      </c>
      <c r="CB21" s="21" t="n">
        <v>170.725</v>
      </c>
      <c r="CC21" s="21" t="n">
        <v>149.574</v>
      </c>
      <c r="CD21" s="21" t="n">
        <v>203.976</v>
      </c>
      <c r="CE21" s="21" t="n">
        <v>159.12</v>
      </c>
      <c r="CF21" s="21" t="n">
        <v>200.181</v>
      </c>
      <c r="CG21" s="21" t="n">
        <v>167.044</v>
      </c>
      <c r="CH21" s="21" t="n">
        <v>128.401</v>
      </c>
      <c r="CI21" s="21" t="n">
        <v>160.725</v>
      </c>
      <c r="CJ21" s="21" t="n">
        <v>174.499</v>
      </c>
      <c r="CK21" s="21" t="n">
        <v>117.3</v>
      </c>
      <c r="CL21" s="21" t="n">
        <v>118.324</v>
      </c>
      <c r="CM21" s="21" t="n">
        <v>198.872</v>
      </c>
      <c r="CN21" s="21" t="n">
        <v>207.147</v>
      </c>
      <c r="CO21" s="21" t="n">
        <v>199.82</v>
      </c>
      <c r="CP21" s="21" t="n">
        <v>128.952</v>
      </c>
      <c r="CQ21" s="21" t="n">
        <v>209.761</v>
      </c>
      <c r="CR21" s="21" t="n">
        <v>215.865</v>
      </c>
      <c r="CS21" s="21" t="n">
        <v>190.793</v>
      </c>
      <c r="CT21" s="21" t="n">
        <v>145.329</v>
      </c>
      <c r="CU21" s="21" t="n">
        <v>152.515</v>
      </c>
      <c r="CV21" s="21" t="n">
        <v>226.142</v>
      </c>
      <c r="CW21" s="21" t="n">
        <v>204.045</v>
      </c>
      <c r="CX21" s="21" t="n">
        <v>239.037</v>
      </c>
      <c r="CY21" s="21" t="n">
        <v>298.483</v>
      </c>
      <c r="CZ21" s="21" t="n">
        <v>128.9</v>
      </c>
      <c r="DA21" s="21" t="n">
        <v>156.476</v>
      </c>
      <c r="DB21" s="21" t="n">
        <v>155.253</v>
      </c>
      <c r="DC21" s="21" t="n">
        <v>224.296</v>
      </c>
      <c r="DD21" s="21" t="n">
        <v>246.687</v>
      </c>
      <c r="DE21" s="21" t="n">
        <v>168.973</v>
      </c>
      <c r="DF21" s="21" t="n">
        <v>253.682</v>
      </c>
      <c r="DG21" s="21" t="n">
        <v>238.424</v>
      </c>
      <c r="DH21" s="21" t="n">
        <v>152.68</v>
      </c>
      <c r="DI21" s="21" t="n">
        <v>136.367</v>
      </c>
      <c r="DJ21" s="21" t="n">
        <v>135.169</v>
      </c>
      <c r="DK21" s="21" t="n">
        <v>282.669</v>
      </c>
      <c r="DL21" s="21" t="n">
        <v>155.715</v>
      </c>
      <c r="DM21" s="21" t="n">
        <v>131.169</v>
      </c>
      <c r="DN21" s="21" t="n">
        <v>121.594</v>
      </c>
      <c r="DO21" s="21" t="n">
        <v>263.649</v>
      </c>
      <c r="DP21" s="21" t="n">
        <v>163.824</v>
      </c>
      <c r="DQ21" s="21" t="n">
        <v>168.254</v>
      </c>
      <c r="DR21" s="21" t="n">
        <v>170.447</v>
      </c>
      <c r="DS21" s="21" t="n">
        <v>142.794</v>
      </c>
      <c r="DT21" s="21" t="n">
        <v>151.417</v>
      </c>
      <c r="DU21" s="21" t="n">
        <v>182.957</v>
      </c>
      <c r="DV21" s="21" t="n">
        <v>242.009</v>
      </c>
      <c r="DW21" s="21" t="n">
        <v>198.122</v>
      </c>
      <c r="DX21" s="21" t="n">
        <v>217.385</v>
      </c>
      <c r="DY21" s="21" t="n">
        <v>192.639</v>
      </c>
      <c r="DZ21" s="21" t="n">
        <v>207.908</v>
      </c>
      <c r="EA21" s="21" t="n">
        <v>185.325</v>
      </c>
      <c r="EB21" s="21" t="n">
        <v>168.132</v>
      </c>
      <c r="EC21" s="21" t="n">
        <v>337.036</v>
      </c>
      <c r="ED21" s="21" t="n">
        <v>166.368</v>
      </c>
      <c r="EE21" s="21" t="n">
        <v>181.315</v>
      </c>
      <c r="EF21" s="21" t="n">
        <v>182.734</v>
      </c>
      <c r="EG21" s="21" t="n">
        <v>245.472</v>
      </c>
      <c r="EH21" s="21" t="n">
        <v>289.605</v>
      </c>
      <c r="EI21" s="21" t="n">
        <v>297.916</v>
      </c>
      <c r="EJ21" s="21" t="n">
        <v>164.1</v>
      </c>
      <c r="EK21" s="21" t="n">
        <v>525.6950000000001</v>
      </c>
      <c r="EL21" s="21" t="n">
        <v>339.335</v>
      </c>
      <c r="EM21" s="21" t="n">
        <v>296.521</v>
      </c>
      <c r="EN21" s="21" t="n">
        <v>296.488</v>
      </c>
      <c r="EO21" s="21" t="n">
        <v>147.728</v>
      </c>
      <c r="EP21" s="21" t="n">
        <v>234.407</v>
      </c>
      <c r="EQ21" s="21" t="n">
        <v>196.863</v>
      </c>
      <c r="ER21" s="21" t="n">
        <v>221.327</v>
      </c>
      <c r="ES21" s="21" t="n">
        <v>207.143</v>
      </c>
      <c r="ET21" s="21" t="n">
        <v>285.052</v>
      </c>
      <c r="EU21" s="21" t="n">
        <v>202.521</v>
      </c>
      <c r="EV21" s="21" t="n">
        <v>214.222</v>
      </c>
      <c r="EW21" s="21" t="n">
        <v>164.715</v>
      </c>
      <c r="EX21" s="21" t="n">
        <v>222.554</v>
      </c>
      <c r="EY21" s="21" t="n">
        <v>516.427</v>
      </c>
      <c r="EZ21" s="21" t="n">
        <v>439.358</v>
      </c>
      <c r="FA21" s="21" t="n">
        <v>121.048</v>
      </c>
      <c r="FB21" s="21" t="n">
        <v>59.705</v>
      </c>
      <c r="FC21" s="21" t="n">
        <v>110.717</v>
      </c>
      <c r="FD21" s="21" t="n">
        <v>67.974</v>
      </c>
      <c r="FE21" s="21" t="n">
        <v>46.352</v>
      </c>
      <c r="FF21" s="21" t="n">
        <v>110.208</v>
      </c>
      <c r="FG21" s="21" t="n">
        <v>128.46</v>
      </c>
      <c r="FH21" s="21" t="n">
        <v>83.40600000000001</v>
      </c>
      <c r="FI21" s="21" t="n">
        <v>68.916</v>
      </c>
      <c r="FJ21" s="21" t="n"/>
      <c r="FK21" s="21" t="n">
        <v>76.254</v>
      </c>
      <c r="FL21" s="21" t="n">
        <v>81.542</v>
      </c>
      <c r="FM21" s="21" t="n">
        <v>90.26900000000001</v>
      </c>
      <c r="FN21" s="21" t="n">
        <v>66.42700000000001</v>
      </c>
      <c r="FO21" s="21" t="n">
        <v>56.609</v>
      </c>
      <c r="FP21" s="21" t="n">
        <v>44.616</v>
      </c>
      <c r="FQ21" s="21" t="n">
        <v>124.239</v>
      </c>
      <c r="FR21" s="21" t="n">
        <v>53.924</v>
      </c>
      <c r="FS21" s="21" t="n">
        <v>88.578</v>
      </c>
      <c r="FT21" s="21" t="n">
        <v>89.76000000000001</v>
      </c>
      <c r="FU21" s="21" t="n">
        <v>97.941</v>
      </c>
      <c r="FV21" s="21" t="n">
        <v>85.875</v>
      </c>
      <c r="FW21" s="21" t="n">
        <v>185.938</v>
      </c>
      <c r="FX21" s="21" t="n">
        <v>119.058</v>
      </c>
      <c r="FY21" s="21" t="n">
        <v>169.236</v>
      </c>
      <c r="FZ21" s="21" t="n">
        <v>117.198</v>
      </c>
      <c r="GA21" s="21" t="n">
        <v>172.357</v>
      </c>
      <c r="GB21" s="21" t="n">
        <v>157.3</v>
      </c>
      <c r="GC21" s="21" t="n">
        <v>174.594</v>
      </c>
      <c r="GD21" s="21" t="n">
        <v>159.425</v>
      </c>
      <c r="GE21" s="21" t="n">
        <v>225.818</v>
      </c>
      <c r="GF21" s="21" t="n">
        <v>124.871</v>
      </c>
      <c r="GG21" s="21" t="n">
        <v>118.765</v>
      </c>
      <c r="GH21" s="21" t="n">
        <v>123.42</v>
      </c>
      <c r="GI21" s="21" t="n">
        <v>115.503</v>
      </c>
      <c r="GJ21" s="21" t="n">
        <v>155.325</v>
      </c>
      <c r="GK21" s="21" t="n">
        <v>78.654</v>
      </c>
      <c r="GL21" s="21" t="n">
        <v>120.656</v>
      </c>
      <c r="GM21" s="21" t="n">
        <v>100.884</v>
      </c>
      <c r="GN21" s="21" t="n">
        <v>108.215</v>
      </c>
      <c r="GO21" s="21" t="n">
        <v>111.795</v>
      </c>
      <c r="GP21" s="21" t="n">
        <v>108.939</v>
      </c>
      <c r="GQ21" s="21" t="n">
        <v>116.181</v>
      </c>
      <c r="GR21" s="21" t="n">
        <v>79.172</v>
      </c>
      <c r="GS21" s="21" t="n">
        <v>104.682</v>
      </c>
      <c r="GT21" s="21" t="n">
        <v>91.52200000000001</v>
      </c>
      <c r="GU21" s="21" t="n">
        <v>136.768</v>
      </c>
      <c r="GV21" s="21" t="n">
        <v>137.197</v>
      </c>
      <c r="GW21" s="21" t="n">
        <v>152.164</v>
      </c>
      <c r="GX21" s="21" t="n">
        <v>128.54</v>
      </c>
      <c r="GY21" s="21" t="n">
        <v>116.042</v>
      </c>
      <c r="GZ21" s="21" t="n">
        <v>175.444</v>
      </c>
      <c r="HA21" s="21" t="n">
        <v>131.885</v>
      </c>
      <c r="HB21" s="21" t="n">
        <v>184.447</v>
      </c>
      <c r="HC21" s="21" t="n">
        <v>195.198</v>
      </c>
      <c r="HD21" s="21" t="n">
        <v>190.232</v>
      </c>
      <c r="HE21" s="21" t="n">
        <v>100.352</v>
      </c>
      <c r="HF21" s="21" t="n">
        <v>146.713</v>
      </c>
      <c r="HG21" s="21" t="n">
        <v>101.653</v>
      </c>
      <c r="HH21" s="21" t="n">
        <v>142.827</v>
      </c>
      <c r="HI21" s="21" t="n">
        <v>155.771</v>
      </c>
      <c r="HJ21" s="21" t="n"/>
      <c r="HK21" s="21" t="n">
        <v>144.858</v>
      </c>
      <c r="HL21" s="21" t="n">
        <v>84.095</v>
      </c>
      <c r="HM21" s="21" t="n">
        <v>141.157</v>
      </c>
      <c r="HN21" s="21" t="n">
        <v>190.209</v>
      </c>
      <c r="HO21" s="21" t="n">
        <v>189.375</v>
      </c>
      <c r="HP21" s="21" t="n">
        <v>185.352</v>
      </c>
      <c r="HQ21" s="21" t="n">
        <v>206.065</v>
      </c>
      <c r="HR21" s="21" t="n">
        <v>201.38</v>
      </c>
      <c r="HS21" s="21" t="n">
        <v>169.732</v>
      </c>
      <c r="HT21" s="21" t="n">
        <v>143.676</v>
      </c>
      <c r="HU21" s="21" t="n">
        <v>125.366</v>
      </c>
      <c r="HV21" s="21" t="n">
        <v>166.832</v>
      </c>
      <c r="HW21" s="21" t="n">
        <v>157.641</v>
      </c>
      <c r="HX21" s="21" t="n">
        <v>369.774</v>
      </c>
      <c r="HY21" s="21" t="n">
        <v>275.923</v>
      </c>
      <c r="HZ21" s="21" t="n">
        <v>288.13</v>
      </c>
      <c r="IA21" s="21" t="n">
        <v>247.766</v>
      </c>
      <c r="IB21" s="21" t="n">
        <v>171.218</v>
      </c>
      <c r="IC21" s="21" t="n">
        <v>491.047</v>
      </c>
      <c r="ID21" s="21" t="n">
        <v>183.594</v>
      </c>
      <c r="IE21" s="21" t="n">
        <v>173.785</v>
      </c>
      <c r="IF21" s="21" t="n">
        <v>199.637</v>
      </c>
      <c r="IG21" s="21" t="n">
        <v>223.027</v>
      </c>
      <c r="IH21" s="21" t="n">
        <v>126.861</v>
      </c>
      <c r="II21" s="21" t="n">
        <v>258.167</v>
      </c>
      <c r="IJ21" s="21" t="n">
        <v>268.04</v>
      </c>
      <c r="IK21" s="21" t="n">
        <v>161.089</v>
      </c>
      <c r="IL21" s="21" t="n"/>
      <c r="IM21" s="21" t="n">
        <v>114.006</v>
      </c>
      <c r="IN21" s="21" t="n">
        <v>68.20699999999999</v>
      </c>
      <c r="IO21" s="21" t="n">
        <v>309.522</v>
      </c>
      <c r="IP21" s="21" t="n">
        <v>122.63</v>
      </c>
      <c r="IQ21" s="21" t="n">
        <v>468.379</v>
      </c>
      <c r="IR21" s="21" t="n">
        <v>372.106</v>
      </c>
      <c r="IS21" s="21" t="n">
        <v>121.776</v>
      </c>
      <c r="IT21" s="21" t="n">
        <v>512.061</v>
      </c>
      <c r="IU21" s="21" t="n">
        <v>96.51000000000001</v>
      </c>
      <c r="IV21" s="21" t="n">
        <v>99.60899999999999</v>
      </c>
      <c r="IW21" s="21" t="n">
        <v>499.187</v>
      </c>
      <c r="IX21" s="21" t="n">
        <v>374.097</v>
      </c>
      <c r="IY21" s="21" t="n">
        <v>382.156</v>
      </c>
      <c r="IZ21" s="21" t="n">
        <v>466.432</v>
      </c>
      <c r="JA21" s="21" t="n">
        <v>186.753</v>
      </c>
      <c r="JB21" s="21" t="n">
        <v>231.911</v>
      </c>
      <c r="JC21" s="21" t="n">
        <v>72.887</v>
      </c>
      <c r="JD21" s="21" t="n">
        <v>305.972</v>
      </c>
      <c r="JE21" s="21" t="n">
        <v>301.804</v>
      </c>
      <c r="JF21" s="21" t="n">
        <v>678.5</v>
      </c>
      <c r="JG21" s="21" t="n">
        <v>215.007</v>
      </c>
      <c r="JH21" s="21" t="n">
        <v>120.467</v>
      </c>
      <c r="JI21" s="21" t="n">
        <v>133.969</v>
      </c>
      <c r="JJ21" s="21" t="n">
        <v>117.119</v>
      </c>
      <c r="JK21" s="21" t="n">
        <v>100.948</v>
      </c>
      <c r="JL21" s="21" t="n">
        <v>256.397</v>
      </c>
      <c r="JM21" s="21" t="n">
        <v>439.59</v>
      </c>
      <c r="JN21" s="21" t="n">
        <v>129.066</v>
      </c>
      <c r="JO21" s="21" t="n">
        <v>73.84399999999999</v>
      </c>
      <c r="JP21" s="21" t="n">
        <v>40.209</v>
      </c>
      <c r="JQ21" s="21" t="n">
        <v>125.43</v>
      </c>
      <c r="JR21" s="21" t="n">
        <v>33.851</v>
      </c>
      <c r="JS21" s="21" t="n">
        <v>83.61499999999999</v>
      </c>
      <c r="JT21" s="21" t="n">
        <v>170.027</v>
      </c>
      <c r="JU21" s="21" t="n">
        <v>198.518</v>
      </c>
      <c r="JV21" s="21" t="n">
        <v>152.894</v>
      </c>
      <c r="JW21" s="21" t="n">
        <v>113.535</v>
      </c>
      <c r="JX21" s="21" t="n">
        <v>234.897</v>
      </c>
      <c r="JY21" s="21" t="n">
        <v>185.395</v>
      </c>
      <c r="JZ21" s="21" t="n">
        <v>245.756</v>
      </c>
      <c r="KA21" s="21" t="n">
        <v>112.873</v>
      </c>
      <c r="KB21" s="21" t="n">
        <v>146.865</v>
      </c>
      <c r="KC21" s="21" t="n">
        <v>83.61199999999999</v>
      </c>
      <c r="KD21" s="21" t="n">
        <v>76.398</v>
      </c>
      <c r="KE21" s="21" t="n">
        <v>55.457</v>
      </c>
      <c r="KF21" s="21" t="n">
        <v>126.877</v>
      </c>
      <c r="KG21" s="21" t="n">
        <v>22.782</v>
      </c>
      <c r="KH21" s="21" t="n">
        <v>125.65</v>
      </c>
      <c r="KI21" s="21" t="n">
        <v>130.55</v>
      </c>
      <c r="KJ21" s="21" t="n">
        <v>124.618</v>
      </c>
      <c r="KK21" s="21" t="n">
        <v>43.581</v>
      </c>
      <c r="KL21" s="21" t="n">
        <v>40.648</v>
      </c>
      <c r="KM21" s="21" t="n">
        <v>49.483</v>
      </c>
      <c r="KN21" s="21" t="n"/>
      <c r="KO21" s="21" t="n">
        <v>91.48</v>
      </c>
      <c r="KP21" s="21" t="n">
        <v>101.865</v>
      </c>
      <c r="KQ21" s="21" t="n">
        <v>160.535</v>
      </c>
      <c r="KR21" s="21" t="n">
        <v>131.934</v>
      </c>
      <c r="KS21" s="21" t="n">
        <v>369.911</v>
      </c>
      <c r="KT21" s="21" t="n">
        <v>175.02</v>
      </c>
      <c r="KU21" s="21" t="n">
        <v>218.529</v>
      </c>
      <c r="KV21" s="21" t="n">
        <v>292.756</v>
      </c>
      <c r="KW21" s="21" t="n">
        <v>241.067</v>
      </c>
      <c r="KX21" s="21" t="n">
        <v>164.284</v>
      </c>
      <c r="KY21" s="21" t="n">
        <v>100.823</v>
      </c>
      <c r="KZ21" s="21" t="n">
        <v>139.311</v>
      </c>
      <c r="LA21" s="21" t="n">
        <v>248.58</v>
      </c>
      <c r="LB21" s="21" t="n">
        <v>687.438</v>
      </c>
      <c r="LC21" s="21" t="n">
        <v>237.559</v>
      </c>
      <c r="LD21" s="21" t="n">
        <v>710.8099999999999</v>
      </c>
      <c r="LE21" s="21" t="n">
        <v>809.626</v>
      </c>
      <c r="LF21" s="21" t="n">
        <v>74.408</v>
      </c>
      <c r="LG21" s="21" t="n">
        <v>284.326</v>
      </c>
      <c r="LH21" s="21" t="n">
        <v>238.83</v>
      </c>
      <c r="LI21" s="21" t="n">
        <v>79.142</v>
      </c>
      <c r="LJ21" s="21" t="n">
        <v>175.116</v>
      </c>
      <c r="LK21" s="21" t="n">
        <v>275.718</v>
      </c>
      <c r="LL21" s="21" t="n">
        <v>278.106</v>
      </c>
      <c r="LM21" s="21" t="n">
        <v>75.313</v>
      </c>
      <c r="LN21" s="21" t="n">
        <v>99.032</v>
      </c>
      <c r="LO21" s="21" t="n">
        <v>54.786</v>
      </c>
      <c r="LP21" s="21" t="n">
        <v>114.71</v>
      </c>
      <c r="LQ21" s="21" t="n"/>
      <c r="LR21" s="21" t="n"/>
      <c r="LS21" s="21" t="n">
        <v>115.271</v>
      </c>
      <c r="LT21" s="21" t="n">
        <v>43.917</v>
      </c>
      <c r="LU21" s="21" t="n">
        <v>33.996</v>
      </c>
      <c r="LV21" s="21" t="n">
        <v>76.971</v>
      </c>
      <c r="LW21" s="21" t="n">
        <v>279.906</v>
      </c>
      <c r="LX21" s="21" t="n"/>
      <c r="LY21" s="21" t="n">
        <v>424.105</v>
      </c>
      <c r="LZ21" s="21" t="n">
        <v>61.101</v>
      </c>
      <c r="MA21" s="21" t="n">
        <v>396.041</v>
      </c>
      <c r="MB21" s="21" t="n">
        <v>250.909</v>
      </c>
      <c r="MC21" s="21" t="n">
        <v>224.621</v>
      </c>
      <c r="MD21" s="21" t="n">
        <v>163.351</v>
      </c>
      <c r="ME21" s="21" t="n">
        <v>102.924</v>
      </c>
      <c r="MF21" s="21" t="n">
        <v>189.917</v>
      </c>
      <c r="MG21" s="21" t="n">
        <v>253.407</v>
      </c>
      <c r="MH21" s="21" t="n">
        <v>154.619</v>
      </c>
      <c r="MI21" s="21" t="n">
        <v>415.041</v>
      </c>
      <c r="MJ21" s="21" t="n">
        <v>339.054</v>
      </c>
      <c r="MK21" s="21" t="n">
        <v>320.071</v>
      </c>
      <c r="ML21" s="21" t="n">
        <v>161.357</v>
      </c>
      <c r="MM21" s="21" t="n">
        <v>184.662</v>
      </c>
      <c r="MN21" s="21" t="n">
        <v>332.9</v>
      </c>
      <c r="MO21" s="21" t="n">
        <v>155.909</v>
      </c>
      <c r="MP21" s="21" t="n">
        <v>227.771</v>
      </c>
      <c r="MQ21" s="21" t="n">
        <v>76.545</v>
      </c>
      <c r="MR21" s="21" t="n">
        <v>144.296</v>
      </c>
      <c r="MS21" s="21" t="n">
        <v>80.56</v>
      </c>
      <c r="MT21" s="21" t="n">
        <v>229.933</v>
      </c>
      <c r="MU21" s="21" t="n">
        <v>247.506</v>
      </c>
      <c r="MV21" s="21" t="n">
        <v>239.777</v>
      </c>
      <c r="MW21" s="21" t="n">
        <v>248.278</v>
      </c>
      <c r="MX21" s="21" t="n">
        <v>224.451</v>
      </c>
      <c r="MY21" s="21" t="n">
        <v>218.366</v>
      </c>
      <c r="MZ21" s="21" t="n">
        <v>225.316</v>
      </c>
      <c r="NA21" s="21" t="n">
        <v>230.13</v>
      </c>
      <c r="NB21" s="21" t="n">
        <v>117.577</v>
      </c>
      <c r="NC21" s="21" t="n">
        <v>179.14</v>
      </c>
      <c r="ND21" s="21" t="n">
        <v>148.557</v>
      </c>
      <c r="NE21" s="21" t="n">
        <v>145.335</v>
      </c>
      <c r="NF21" s="21" t="n">
        <v>145.14</v>
      </c>
      <c r="NG21" s="21" t="n">
        <v>145.803</v>
      </c>
      <c r="NH21" s="21" t="n">
        <v>246.194</v>
      </c>
      <c r="NI21" s="21" t="n">
        <v>106.982</v>
      </c>
      <c r="NJ21" s="21" t="n">
        <v>79.646</v>
      </c>
      <c r="NK21" s="21" t="n">
        <v>111.226</v>
      </c>
      <c r="NL21" s="21" t="n">
        <v>193.524</v>
      </c>
      <c r="NM21" s="21" t="n">
        <v>193.119</v>
      </c>
      <c r="NN21" s="21" t="n">
        <v>91.09399999999999</v>
      </c>
      <c r="NO21" s="21" t="n">
        <v>59.28</v>
      </c>
      <c r="NP21" s="21" t="n">
        <v>215.025</v>
      </c>
      <c r="NQ21" s="21" t="n">
        <v>187.453</v>
      </c>
      <c r="NR21" s="21" t="n">
        <v>225.526</v>
      </c>
      <c r="NS21" s="21" t="n">
        <v>184.074</v>
      </c>
      <c r="NT21" s="21" t="n">
        <v>225.119</v>
      </c>
      <c r="NU21" s="21" t="n">
        <v>108.813</v>
      </c>
      <c r="NV21" s="21" t="n">
        <v>115.954</v>
      </c>
      <c r="NW21" s="21" t="n">
        <v>347.044</v>
      </c>
      <c r="NX21" s="21" t="n">
        <v>85.48999999999999</v>
      </c>
      <c r="NY21" s="21" t="n">
        <v>115.544</v>
      </c>
      <c r="NZ21" s="21" t="n">
        <v>301.728</v>
      </c>
      <c r="OA21" s="21" t="n">
        <v>301.699</v>
      </c>
      <c r="OB21" s="21" t="n">
        <v>311.746</v>
      </c>
      <c r="OC21" s="21" t="n">
        <v>286.749</v>
      </c>
      <c r="OD21" s="21" t="n">
        <v>325.004</v>
      </c>
      <c r="OE21" s="21" t="n">
        <v>105.84</v>
      </c>
      <c r="OF21" s="21" t="n">
        <v>298.876</v>
      </c>
      <c r="OG21" s="21" t="n">
        <v>217.439</v>
      </c>
      <c r="OH21" s="21" t="n">
        <v>53.175</v>
      </c>
      <c r="OI21" s="21" t="n">
        <v>117.643</v>
      </c>
      <c r="OJ21" s="21" t="n">
        <v>41.5</v>
      </c>
      <c r="OK21" s="21" t="n">
        <v>13.9</v>
      </c>
    </row>
    <row r="22">
      <c r="A22" s="22" t="n">
        <v>42614</v>
      </c>
      <c r="B22" s="21" t="n">
        <v>241.428</v>
      </c>
      <c r="C22" s="21" t="n">
        <v>723.21</v>
      </c>
      <c r="D22" s="21" t="n">
        <v>247.645</v>
      </c>
      <c r="E22" s="21" t="n">
        <v>247.917</v>
      </c>
      <c r="F22" s="21" t="n">
        <v>238.12</v>
      </c>
      <c r="G22" s="21" t="n">
        <v>272.089</v>
      </c>
      <c r="H22" s="21" t="n">
        <v>229.994</v>
      </c>
      <c r="I22" s="21" t="n">
        <v>242.759</v>
      </c>
      <c r="J22" s="21" t="n">
        <v>226.812</v>
      </c>
      <c r="K22" s="21" t="n">
        <v>235.661</v>
      </c>
      <c r="L22" s="21" t="n">
        <v>158.991</v>
      </c>
      <c r="M22" s="21" t="n">
        <v>295.999</v>
      </c>
      <c r="N22" s="21" t="n">
        <v>177.627</v>
      </c>
      <c r="O22" s="21" t="n">
        <v>320.987</v>
      </c>
      <c r="P22" s="21" t="n">
        <v>344.032</v>
      </c>
      <c r="Q22" s="21" t="n">
        <v>176.423</v>
      </c>
      <c r="R22" s="21" t="n">
        <v>281.652</v>
      </c>
      <c r="S22" s="21" t="n">
        <v>301.238</v>
      </c>
      <c r="T22" s="21" t="n">
        <v>267.479</v>
      </c>
      <c r="U22" s="21" t="n">
        <v>263.646</v>
      </c>
      <c r="V22" s="21" t="n">
        <v>296.988</v>
      </c>
      <c r="W22" s="21" t="n">
        <v>301.819</v>
      </c>
      <c r="X22" s="21" t="n">
        <v>265.493</v>
      </c>
      <c r="Y22" s="21" t="n">
        <v>246.642</v>
      </c>
      <c r="Z22" s="21" t="n">
        <v>249.856</v>
      </c>
      <c r="AA22" s="21" t="n">
        <v>252.282</v>
      </c>
      <c r="AB22" s="21" t="n">
        <v>300.457</v>
      </c>
      <c r="AC22" s="21" t="n">
        <v>266.712</v>
      </c>
      <c r="AD22" s="21" t="n">
        <v>218.556</v>
      </c>
      <c r="AE22" s="21" t="n">
        <v>206.717</v>
      </c>
      <c r="AF22" s="21" t="n">
        <v>228.889</v>
      </c>
      <c r="AG22" s="21" t="n">
        <v>212.456</v>
      </c>
      <c r="AH22" s="21" t="n">
        <v>156.326</v>
      </c>
      <c r="AI22" s="21" t="n">
        <v>286.278</v>
      </c>
      <c r="AJ22" s="21" t="n">
        <v>144.896</v>
      </c>
      <c r="AK22" s="21" t="n">
        <v>209.063</v>
      </c>
      <c r="AL22" s="21" t="n">
        <v>233.559</v>
      </c>
      <c r="AM22" s="21" t="n">
        <v>187.903</v>
      </c>
      <c r="AN22" s="21" t="n">
        <v>130.077</v>
      </c>
      <c r="AO22" s="21" t="n">
        <v>223.573</v>
      </c>
      <c r="AP22" s="21" t="n">
        <v>217.035</v>
      </c>
      <c r="AQ22" s="21" t="n">
        <v>146.547</v>
      </c>
      <c r="AR22" s="21" t="n">
        <v>334.691</v>
      </c>
      <c r="AS22" s="21" t="n">
        <v>176.351</v>
      </c>
      <c r="AT22" s="21" t="n">
        <v>231.423</v>
      </c>
      <c r="AU22" s="21" t="n">
        <v>147.759</v>
      </c>
      <c r="AV22" s="21" t="n">
        <v>251.463</v>
      </c>
      <c r="AW22" s="21" t="n">
        <v>217.445</v>
      </c>
      <c r="AX22" s="21" t="n">
        <v>155.989</v>
      </c>
      <c r="AY22" s="21" t="n">
        <v>287.865</v>
      </c>
      <c r="AZ22" s="21" t="n">
        <v>178.932</v>
      </c>
      <c r="BA22" s="21" t="n">
        <v>143.46</v>
      </c>
      <c r="BB22" s="21" t="n">
        <v>200.819</v>
      </c>
      <c r="BC22" s="21" t="n">
        <v>301.901</v>
      </c>
      <c r="BD22" s="21" t="n">
        <v>205.005</v>
      </c>
      <c r="BE22" s="21" t="n">
        <v>216.693</v>
      </c>
      <c r="BF22" s="21" t="n">
        <v>141.801</v>
      </c>
      <c r="BG22" s="21" t="n">
        <v>204.263</v>
      </c>
      <c r="BH22" s="21" t="n">
        <v>144.987</v>
      </c>
      <c r="BI22" s="21" t="n">
        <v>226.001</v>
      </c>
      <c r="BJ22" s="21" t="n">
        <v>217.357</v>
      </c>
      <c r="BK22" s="21" t="n">
        <v>145.664</v>
      </c>
      <c r="BL22" s="21" t="n">
        <v>293.423</v>
      </c>
      <c r="BM22" s="21" t="n">
        <v>337.954</v>
      </c>
      <c r="BN22" s="21" t="n">
        <v>360.406</v>
      </c>
      <c r="BO22" s="21" t="n">
        <v>351.022</v>
      </c>
      <c r="BP22" s="21" t="n">
        <v>200.637</v>
      </c>
      <c r="BQ22" s="21" t="n">
        <v>263.754</v>
      </c>
      <c r="BR22" s="21" t="n">
        <v>545.122</v>
      </c>
      <c r="BS22" s="21" t="n">
        <v>113.219</v>
      </c>
      <c r="BT22" s="21" t="n">
        <v>313.185</v>
      </c>
      <c r="BU22" s="21" t="n">
        <v>343.317</v>
      </c>
      <c r="BV22" s="21" t="n">
        <v>280.744</v>
      </c>
      <c r="BW22" s="21" t="n">
        <v>321.369</v>
      </c>
      <c r="BX22" s="21" t="n">
        <v>314.467</v>
      </c>
      <c r="BY22" s="21" t="n">
        <v>157.176</v>
      </c>
      <c r="BZ22" s="21" t="n">
        <v>161.475</v>
      </c>
      <c r="CA22" s="21" t="n">
        <v>158.076</v>
      </c>
      <c r="CB22" s="21" t="n">
        <v>168.421</v>
      </c>
      <c r="CC22" s="21" t="n">
        <v>147.498</v>
      </c>
      <c r="CD22" s="21" t="n">
        <v>201.505</v>
      </c>
      <c r="CE22" s="21" t="n">
        <v>160.227</v>
      </c>
      <c r="CF22" s="21" t="n">
        <v>200.479</v>
      </c>
      <c r="CG22" s="21" t="n">
        <v>166.573</v>
      </c>
      <c r="CH22" s="21" t="n">
        <v>128.011</v>
      </c>
      <c r="CI22" s="21" t="n">
        <v>160.411</v>
      </c>
      <c r="CJ22" s="21" t="n">
        <v>176.264</v>
      </c>
      <c r="CK22" s="21" t="n">
        <v>116.814</v>
      </c>
      <c r="CL22" s="21" t="n">
        <v>118.052</v>
      </c>
      <c r="CM22" s="21" t="n">
        <v>198.458</v>
      </c>
      <c r="CN22" s="21" t="n">
        <v>207.733</v>
      </c>
      <c r="CO22" s="21" t="n">
        <v>196.041</v>
      </c>
      <c r="CP22" s="21" t="n">
        <v>128.61</v>
      </c>
      <c r="CQ22" s="21" t="n">
        <v>209.426</v>
      </c>
      <c r="CR22" s="21" t="n">
        <v>216.173</v>
      </c>
      <c r="CS22" s="21" t="n">
        <v>189.566</v>
      </c>
      <c r="CT22" s="21" t="n">
        <v>146.437</v>
      </c>
      <c r="CU22" s="21" t="n">
        <v>150.649</v>
      </c>
      <c r="CV22" s="21" t="n">
        <v>226.961</v>
      </c>
      <c r="CW22" s="21" t="n">
        <v>204.249</v>
      </c>
      <c r="CX22" s="21" t="n">
        <v>239.287</v>
      </c>
      <c r="CY22" s="21" t="n">
        <v>297.564</v>
      </c>
      <c r="CZ22" s="21" t="n">
        <v>130.404</v>
      </c>
      <c r="DA22" s="21" t="n">
        <v>156.649</v>
      </c>
      <c r="DB22" s="21" t="n">
        <v>156.332</v>
      </c>
      <c r="DC22" s="21" t="n">
        <v>223.618</v>
      </c>
      <c r="DD22" s="21" t="n">
        <v>240.695</v>
      </c>
      <c r="DE22" s="21" t="n">
        <v>168.712</v>
      </c>
      <c r="DF22" s="21" t="n">
        <v>251.332</v>
      </c>
      <c r="DG22" s="21" t="n">
        <v>239.86</v>
      </c>
      <c r="DH22" s="21" t="n">
        <v>153.356</v>
      </c>
      <c r="DI22" s="21" t="n">
        <v>140.115</v>
      </c>
      <c r="DJ22" s="21" t="n">
        <v>136.865</v>
      </c>
      <c r="DK22" s="21" t="n">
        <v>275.567</v>
      </c>
      <c r="DL22" s="21" t="n">
        <v>155.748</v>
      </c>
      <c r="DM22" s="21" t="n">
        <v>131.056</v>
      </c>
      <c r="DN22" s="21" t="n">
        <v>122.42</v>
      </c>
      <c r="DO22" s="21" t="n">
        <v>264.102</v>
      </c>
      <c r="DP22" s="21" t="n">
        <v>164.072</v>
      </c>
      <c r="DQ22" s="21" t="n">
        <v>168.537</v>
      </c>
      <c r="DR22" s="21" t="n">
        <v>171.786</v>
      </c>
      <c r="DS22" s="21" t="n">
        <v>143.715</v>
      </c>
      <c r="DT22" s="21" t="n">
        <v>152.155</v>
      </c>
      <c r="DU22" s="21" t="n">
        <v>182.669</v>
      </c>
      <c r="DV22" s="21" t="n">
        <v>242.614</v>
      </c>
      <c r="DW22" s="21" t="n">
        <v>198.605</v>
      </c>
      <c r="DX22" s="21" t="n">
        <v>217.917</v>
      </c>
      <c r="DY22" s="21" t="n">
        <v>192.481</v>
      </c>
      <c r="DZ22" s="21" t="n">
        <v>208.52</v>
      </c>
      <c r="EA22" s="21" t="n">
        <v>186.093</v>
      </c>
      <c r="EB22" s="21" t="n">
        <v>168.704</v>
      </c>
      <c r="EC22" s="21" t="n">
        <v>337.913</v>
      </c>
      <c r="ED22" s="21" t="n">
        <v>166.642</v>
      </c>
      <c r="EE22" s="21" t="n">
        <v>182.117</v>
      </c>
      <c r="EF22" s="21" t="n">
        <v>183.124</v>
      </c>
      <c r="EG22" s="21" t="n">
        <v>246.127</v>
      </c>
      <c r="EH22" s="21" t="n">
        <v>290.445</v>
      </c>
      <c r="EI22" s="21" t="n">
        <v>298.962</v>
      </c>
      <c r="EJ22" s="21" t="n">
        <v>160.425</v>
      </c>
      <c r="EK22" s="21" t="n">
        <v>529.903</v>
      </c>
      <c r="EL22" s="21" t="n">
        <v>330.261</v>
      </c>
      <c r="EM22" s="21" t="n">
        <v>297.636</v>
      </c>
      <c r="EN22" s="21" t="n">
        <v>297.606</v>
      </c>
      <c r="EO22" s="21" t="n">
        <v>147.56</v>
      </c>
      <c r="EP22" s="21" t="n">
        <v>235.057</v>
      </c>
      <c r="EQ22" s="21" t="n">
        <v>197.425</v>
      </c>
      <c r="ER22" s="21" t="n">
        <v>225.734</v>
      </c>
      <c r="ES22" s="21" t="n">
        <v>212.019</v>
      </c>
      <c r="ET22" s="21" t="n">
        <v>289.563</v>
      </c>
      <c r="EU22" s="21" t="n">
        <v>202.941</v>
      </c>
      <c r="EV22" s="21" t="n">
        <v>214.381</v>
      </c>
      <c r="EW22" s="21" t="n">
        <v>165.881</v>
      </c>
      <c r="EX22" s="21" t="n">
        <v>223.111</v>
      </c>
      <c r="EY22" s="21" t="n">
        <v>518.004</v>
      </c>
      <c r="EZ22" s="21" t="n">
        <v>439.707</v>
      </c>
      <c r="FA22" s="21" t="n">
        <v>121.126</v>
      </c>
      <c r="FB22" s="21" t="n">
        <v>59.864</v>
      </c>
      <c r="FC22" s="21" t="n">
        <v>111.752</v>
      </c>
      <c r="FD22" s="21" t="n">
        <v>67.39400000000001</v>
      </c>
      <c r="FE22" s="21" t="n">
        <v>46.538</v>
      </c>
      <c r="FF22" s="21" t="n">
        <v>110.399</v>
      </c>
      <c r="FG22" s="21" t="n">
        <v>128.914</v>
      </c>
      <c r="FH22" s="21" t="n">
        <v>83.79000000000001</v>
      </c>
      <c r="FI22" s="21" t="n">
        <v>68.20399999999999</v>
      </c>
      <c r="FJ22" s="21" t="n"/>
      <c r="FK22" s="21" t="n">
        <v>76.02500000000001</v>
      </c>
      <c r="FL22" s="21" t="n">
        <v>82.121</v>
      </c>
      <c r="FM22" s="21" t="n">
        <v>92.13</v>
      </c>
      <c r="FN22" s="21" t="n">
        <v>65.91800000000001</v>
      </c>
      <c r="FO22" s="21" t="n">
        <v>56.629</v>
      </c>
      <c r="FP22" s="21" t="n">
        <v>44.426</v>
      </c>
      <c r="FQ22" s="21" t="n">
        <v>126.65</v>
      </c>
      <c r="FR22" s="21" t="n">
        <v>53.06</v>
      </c>
      <c r="FS22" s="21" t="n">
        <v>88.733</v>
      </c>
      <c r="FT22" s="21" t="n">
        <v>89.727</v>
      </c>
      <c r="FU22" s="21" t="n">
        <v>98.095</v>
      </c>
      <c r="FV22" s="21" t="n">
        <v>85.736</v>
      </c>
      <c r="FW22" s="21" t="n">
        <v>186.212</v>
      </c>
      <c r="FX22" s="21" t="n">
        <v>119.099</v>
      </c>
      <c r="FY22" s="21" t="n">
        <v>170.021</v>
      </c>
      <c r="FZ22" s="21" t="n">
        <v>117.226</v>
      </c>
      <c r="GA22" s="21" t="n">
        <v>172.348</v>
      </c>
      <c r="GB22" s="21" t="n">
        <v>157.814</v>
      </c>
      <c r="GC22" s="21" t="n">
        <v>174.594</v>
      </c>
      <c r="GD22" s="21" t="n">
        <v>157.992</v>
      </c>
      <c r="GE22" s="21" t="n">
        <v>225.912</v>
      </c>
      <c r="GF22" s="21" t="n">
        <v>128.429</v>
      </c>
      <c r="GG22" s="21" t="n">
        <v>120.312</v>
      </c>
      <c r="GH22" s="21" t="n">
        <v>124.107</v>
      </c>
      <c r="GI22" s="21" t="n">
        <v>117.601</v>
      </c>
      <c r="GJ22" s="21" t="n">
        <v>156.183</v>
      </c>
      <c r="GK22" s="21" t="n">
        <v>80.98699999999999</v>
      </c>
      <c r="GL22" s="21" t="n">
        <v>116.781</v>
      </c>
      <c r="GM22" s="21" t="n">
        <v>105.306</v>
      </c>
      <c r="GN22" s="21" t="n">
        <v>114.313</v>
      </c>
      <c r="GO22" s="21" t="n">
        <v>117.405</v>
      </c>
      <c r="GP22" s="21" t="n">
        <v>114.128</v>
      </c>
      <c r="GQ22" s="21" t="n">
        <v>126.888</v>
      </c>
      <c r="GR22" s="21" t="n">
        <v>83.438</v>
      </c>
      <c r="GS22" s="21" t="n">
        <v>107.596</v>
      </c>
      <c r="GT22" s="21" t="n">
        <v>99.63</v>
      </c>
      <c r="GU22" s="21" t="n">
        <v>139.064</v>
      </c>
      <c r="GV22" s="21" t="n">
        <v>139.33</v>
      </c>
      <c r="GW22" s="21" t="n">
        <v>153.557</v>
      </c>
      <c r="GX22" s="21" t="n">
        <v>131.348</v>
      </c>
      <c r="GY22" s="21" t="n">
        <v>116.767</v>
      </c>
      <c r="GZ22" s="21" t="n">
        <v>172.272</v>
      </c>
      <c r="HA22" s="21" t="n">
        <v>131.377</v>
      </c>
      <c r="HB22" s="21" t="n">
        <v>179.671</v>
      </c>
      <c r="HC22" s="21" t="n">
        <v>195.402</v>
      </c>
      <c r="HD22" s="21" t="n">
        <v>190.487</v>
      </c>
      <c r="HE22" s="21" t="n">
        <v>99.53700000000001</v>
      </c>
      <c r="HF22" s="21" t="n">
        <v>146.499</v>
      </c>
      <c r="HG22" s="21" t="n">
        <v>101.508</v>
      </c>
      <c r="HH22" s="21" t="n">
        <v>142.63</v>
      </c>
      <c r="HI22" s="21" t="n">
        <v>155.722</v>
      </c>
      <c r="HJ22" s="21" t="n"/>
      <c r="HK22" s="21" t="n">
        <v>142.482</v>
      </c>
      <c r="HL22" s="21" t="n">
        <v>83.416</v>
      </c>
      <c r="HM22" s="21" t="n">
        <v>131.333</v>
      </c>
      <c r="HN22" s="21" t="n">
        <v>194.66</v>
      </c>
      <c r="HO22" s="21" t="n">
        <v>193.817</v>
      </c>
      <c r="HP22" s="21" t="n">
        <v>189.816</v>
      </c>
      <c r="HQ22" s="21" t="n">
        <v>209.29</v>
      </c>
      <c r="HR22" s="21" t="n">
        <v>205.512</v>
      </c>
      <c r="HS22" s="21" t="n">
        <v>173.095</v>
      </c>
      <c r="HT22" s="21" t="n">
        <v>142.739</v>
      </c>
      <c r="HU22" s="21" t="n">
        <v>124.656</v>
      </c>
      <c r="HV22" s="21" t="n">
        <v>165.53</v>
      </c>
      <c r="HW22" s="21" t="n">
        <v>156.746</v>
      </c>
      <c r="HX22" s="21" t="n">
        <v>366.951</v>
      </c>
      <c r="HY22" s="21" t="n">
        <v>275.331</v>
      </c>
      <c r="HZ22" s="21" t="n">
        <v>286.9</v>
      </c>
      <c r="IA22" s="21" t="n">
        <v>246.504</v>
      </c>
      <c r="IB22" s="21" t="n">
        <v>171.721</v>
      </c>
      <c r="IC22" s="21" t="n">
        <v>492.119</v>
      </c>
      <c r="ID22" s="21" t="n">
        <v>182.861</v>
      </c>
      <c r="IE22" s="21" t="n">
        <v>173.903</v>
      </c>
      <c r="IF22" s="21" t="n">
        <v>197.713</v>
      </c>
      <c r="IG22" s="21" t="n">
        <v>222.773</v>
      </c>
      <c r="IH22" s="21" t="n">
        <v>112.625</v>
      </c>
      <c r="II22" s="21" t="n">
        <v>257.462</v>
      </c>
      <c r="IJ22" s="21" t="n">
        <v>267.457</v>
      </c>
      <c r="IK22" s="21" t="n">
        <v>159.348</v>
      </c>
      <c r="IL22" s="21" t="n"/>
      <c r="IM22" s="21" t="n">
        <v>113.12</v>
      </c>
      <c r="IN22" s="21" t="n">
        <v>67.03700000000001</v>
      </c>
      <c r="IO22" s="21" t="n">
        <v>309.904</v>
      </c>
      <c r="IP22" s="21" t="n">
        <v>122.79</v>
      </c>
      <c r="IQ22" s="21" t="n">
        <v>469.154</v>
      </c>
      <c r="IR22" s="21" t="n">
        <v>374.142</v>
      </c>
      <c r="IS22" s="21" t="n">
        <v>122.493</v>
      </c>
      <c r="IT22" s="21" t="n">
        <v>514.7809999999999</v>
      </c>
      <c r="IU22" s="21" t="n">
        <v>97.29900000000001</v>
      </c>
      <c r="IV22" s="21" t="n">
        <v>98.919</v>
      </c>
      <c r="IW22" s="21" t="n">
        <v>499.483</v>
      </c>
      <c r="IX22" s="21" t="n">
        <v>374.228</v>
      </c>
      <c r="IY22" s="21" t="n">
        <v>382.134</v>
      </c>
      <c r="IZ22" s="21" t="n">
        <v>467.055</v>
      </c>
      <c r="JA22" s="21" t="n">
        <v>186.789</v>
      </c>
      <c r="JB22" s="21" t="n">
        <v>231.951</v>
      </c>
      <c r="JC22" s="21" t="n">
        <v>72.988</v>
      </c>
      <c r="JD22" s="21" t="n">
        <v>306.404</v>
      </c>
      <c r="JE22" s="21" t="n">
        <v>302.066</v>
      </c>
      <c r="JF22" s="21" t="n">
        <v>680.4829999999999</v>
      </c>
      <c r="JG22" s="21" t="n">
        <v>215.161</v>
      </c>
      <c r="JH22" s="21" t="n">
        <v>120.746</v>
      </c>
      <c r="JI22" s="21" t="n">
        <v>133.887</v>
      </c>
      <c r="JJ22" s="21" t="n">
        <v>116.945</v>
      </c>
      <c r="JK22" s="21" t="n">
        <v>100.231</v>
      </c>
      <c r="JL22" s="21" t="n">
        <v>248.737</v>
      </c>
      <c r="JM22" s="21" t="n">
        <v>437.284</v>
      </c>
      <c r="JN22" s="21" t="n">
        <v>128.548</v>
      </c>
      <c r="JO22" s="21" t="n">
        <v>73.66800000000001</v>
      </c>
      <c r="JP22" s="21" t="n">
        <v>39.856</v>
      </c>
      <c r="JQ22" s="21" t="n">
        <v>125.533</v>
      </c>
      <c r="JR22" s="21" t="n">
        <v>33.181</v>
      </c>
      <c r="JS22" s="21" t="n">
        <v>82.584</v>
      </c>
      <c r="JT22" s="21" t="n">
        <v>170.392</v>
      </c>
      <c r="JU22" s="21" t="n">
        <v>198.988</v>
      </c>
      <c r="JV22" s="21" t="n">
        <v>152.669</v>
      </c>
      <c r="JW22" s="21" t="n">
        <v>114.122</v>
      </c>
      <c r="JX22" s="21" t="n">
        <v>235.319</v>
      </c>
      <c r="JY22" s="21" t="n">
        <v>184.815</v>
      </c>
      <c r="JZ22" s="21" t="n">
        <v>246.488</v>
      </c>
      <c r="KA22" s="21" t="n">
        <v>112.536</v>
      </c>
      <c r="KB22" s="21" t="n">
        <v>147.021</v>
      </c>
      <c r="KC22" s="21" t="n">
        <v>82.967</v>
      </c>
      <c r="KD22" s="21" t="n">
        <v>76.437</v>
      </c>
      <c r="KE22" s="21" t="n">
        <v>55.475</v>
      </c>
      <c r="KF22" s="21" t="n">
        <v>130.224</v>
      </c>
      <c r="KG22" s="21" t="n">
        <v>22.736</v>
      </c>
      <c r="KH22" s="21" t="n">
        <v>125.728</v>
      </c>
      <c r="KI22" s="21" t="n">
        <v>128.245</v>
      </c>
      <c r="KJ22" s="21" t="n">
        <v>125.165</v>
      </c>
      <c r="KK22" s="21" t="n">
        <v>43.041</v>
      </c>
      <c r="KL22" s="21" t="n">
        <v>40.087</v>
      </c>
      <c r="KM22" s="21" t="n">
        <v>48.723</v>
      </c>
      <c r="KN22" s="21" t="n"/>
      <c r="KO22" s="21" t="n">
        <v>89.408</v>
      </c>
      <c r="KP22" s="21" t="n">
        <v>102.265</v>
      </c>
      <c r="KQ22" s="21" t="n">
        <v>161.188</v>
      </c>
      <c r="KR22" s="21" t="n">
        <v>133.01</v>
      </c>
      <c r="KS22" s="21" t="n">
        <v>370.007</v>
      </c>
      <c r="KT22" s="21" t="n">
        <v>175.609</v>
      </c>
      <c r="KU22" s="21" t="n">
        <v>220.783</v>
      </c>
      <c r="KV22" s="21" t="n">
        <v>294.468</v>
      </c>
      <c r="KW22" s="21" t="n">
        <v>242.879</v>
      </c>
      <c r="KX22" s="21" t="n">
        <v>168.491</v>
      </c>
      <c r="KY22" s="21" t="n">
        <v>99.166</v>
      </c>
      <c r="KZ22" s="21" t="n">
        <v>139.176</v>
      </c>
      <c r="LA22" s="21" t="n">
        <v>250.469</v>
      </c>
      <c r="LB22" s="21" t="n">
        <v>693.598</v>
      </c>
      <c r="LC22" s="21" t="n">
        <v>239.258</v>
      </c>
      <c r="LD22" s="21" t="n">
        <v>716.158</v>
      </c>
      <c r="LE22" s="21" t="n">
        <v>816.562</v>
      </c>
      <c r="LF22" s="21" t="n">
        <v>74.973</v>
      </c>
      <c r="LG22" s="21" t="n">
        <v>285.811</v>
      </c>
      <c r="LH22" s="21" t="n">
        <v>239.495</v>
      </c>
      <c r="LI22" s="21" t="n">
        <v>78.503</v>
      </c>
      <c r="LJ22" s="21" t="n">
        <v>175.037</v>
      </c>
      <c r="LK22" s="21" t="n">
        <v>275.718</v>
      </c>
      <c r="LL22" s="21" t="n">
        <v>275.658</v>
      </c>
      <c r="LM22" s="21" t="n">
        <v>74.68300000000001</v>
      </c>
      <c r="LN22" s="21" t="n">
        <v>97.833</v>
      </c>
      <c r="LO22" s="21" t="n">
        <v>54.033</v>
      </c>
      <c r="LP22" s="21" t="n">
        <v>113.779</v>
      </c>
      <c r="LQ22" s="21" t="n"/>
      <c r="LR22" s="21" t="n"/>
      <c r="LS22" s="21" t="n">
        <v>115.224</v>
      </c>
      <c r="LT22" s="21" t="n">
        <v>43.77</v>
      </c>
      <c r="LU22" s="21" t="n">
        <v>34.1</v>
      </c>
      <c r="LV22" s="21" t="n">
        <v>77.13200000000001</v>
      </c>
      <c r="LW22" s="21" t="n">
        <v>275.866</v>
      </c>
      <c r="LX22" s="21" t="n"/>
      <c r="LY22" s="21" t="n">
        <v>425.494</v>
      </c>
      <c r="LZ22" s="21" t="n">
        <v>61.222</v>
      </c>
      <c r="MA22" s="21" t="n">
        <v>396.721</v>
      </c>
      <c r="MB22" s="21" t="n">
        <v>252.208</v>
      </c>
      <c r="MC22" s="21" t="n">
        <v>225.434</v>
      </c>
      <c r="MD22" s="21" t="n">
        <v>163.164</v>
      </c>
      <c r="ME22" s="21" t="n">
        <v>103.127</v>
      </c>
      <c r="MF22" s="21" t="n">
        <v>189.021</v>
      </c>
      <c r="MG22" s="21" t="n">
        <v>253.723</v>
      </c>
      <c r="MH22" s="21" t="n">
        <v>154.813</v>
      </c>
      <c r="MI22" s="21" t="n">
        <v>416.947</v>
      </c>
      <c r="MJ22" s="21" t="n">
        <v>340.76</v>
      </c>
      <c r="MK22" s="21" t="n">
        <v>320.918</v>
      </c>
      <c r="ML22" s="21" t="n">
        <v>161.669</v>
      </c>
      <c r="MM22" s="21" t="n">
        <v>184.919</v>
      </c>
      <c r="MN22" s="21" t="n">
        <v>335.746</v>
      </c>
      <c r="MO22" s="21" t="n">
        <v>156.055</v>
      </c>
      <c r="MP22" s="21" t="n">
        <v>229.894</v>
      </c>
      <c r="MQ22" s="21" t="n">
        <v>78.43899999999999</v>
      </c>
      <c r="MR22" s="21" t="n">
        <v>147.989</v>
      </c>
      <c r="MS22" s="21" t="n">
        <v>80.64100000000001</v>
      </c>
      <c r="MT22" s="21" t="n">
        <v>230.502</v>
      </c>
      <c r="MU22" s="21" t="n">
        <v>247.919</v>
      </c>
      <c r="MV22" s="21" t="n">
        <v>240.415</v>
      </c>
      <c r="MW22" s="21" t="n">
        <v>248.731</v>
      </c>
      <c r="MX22" s="21" t="n">
        <v>224.934</v>
      </c>
      <c r="MY22" s="21" t="n">
        <v>218.913</v>
      </c>
      <c r="MZ22" s="21" t="n">
        <v>225.549</v>
      </c>
      <c r="NA22" s="21" t="n">
        <v>230.561</v>
      </c>
      <c r="NB22" s="21" t="n">
        <v>121.325</v>
      </c>
      <c r="NC22" s="21" t="n">
        <v>179.85</v>
      </c>
      <c r="ND22" s="21" t="n">
        <v>149.432</v>
      </c>
      <c r="NE22" s="21" t="n">
        <v>146.212</v>
      </c>
      <c r="NF22" s="21" t="n">
        <v>145.562</v>
      </c>
      <c r="NG22" s="21" t="n">
        <v>146.569</v>
      </c>
      <c r="NH22" s="21" t="n">
        <v>246.171</v>
      </c>
      <c r="NI22" s="21" t="n">
        <v>106.41</v>
      </c>
      <c r="NJ22" s="21" t="n">
        <v>79.578</v>
      </c>
      <c r="NK22" s="21" t="n">
        <v>111.117</v>
      </c>
      <c r="NL22" s="21" t="n">
        <v>195.852</v>
      </c>
      <c r="NM22" s="21" t="n">
        <v>197.603</v>
      </c>
      <c r="NN22" s="21" t="n">
        <v>91.169</v>
      </c>
      <c r="NO22" s="21" t="n">
        <v>59.022</v>
      </c>
      <c r="NP22" s="21" t="n">
        <v>216.577</v>
      </c>
      <c r="NQ22" s="21" t="n">
        <v>190.055</v>
      </c>
      <c r="NR22" s="21" t="n">
        <v>227.65</v>
      </c>
      <c r="NS22" s="21" t="n">
        <v>186.79</v>
      </c>
      <c r="NT22" s="21" t="n">
        <v>227.4</v>
      </c>
      <c r="NU22" s="21" t="n">
        <v>109.162</v>
      </c>
      <c r="NV22" s="21" t="n">
        <v>116.342</v>
      </c>
      <c r="NW22" s="21" t="n">
        <v>347.017</v>
      </c>
      <c r="NX22" s="21" t="n">
        <v>85.09399999999999</v>
      </c>
      <c r="NY22" s="21" t="n">
        <v>115.541</v>
      </c>
      <c r="NZ22" s="21" t="n">
        <v>302.616</v>
      </c>
      <c r="OA22" s="21" t="n">
        <v>302.153</v>
      </c>
      <c r="OB22" s="21" t="n">
        <v>312.205</v>
      </c>
      <c r="OC22" s="21" t="n">
        <v>287.212</v>
      </c>
      <c r="OD22" s="21" t="n">
        <v>324.989</v>
      </c>
      <c r="OE22" s="21" t="n">
        <v>105.108</v>
      </c>
      <c r="OF22" s="21" t="n">
        <v>298.129</v>
      </c>
      <c r="OG22" s="21" t="n">
        <v>216.773</v>
      </c>
      <c r="OH22" s="21" t="n">
        <v>52.016</v>
      </c>
      <c r="OI22" s="21" t="n">
        <v>117.047</v>
      </c>
      <c r="OJ22" s="21" t="n">
        <v>41.4</v>
      </c>
      <c r="OK22" s="21" t="n">
        <v>13.8</v>
      </c>
    </row>
    <row r="23">
      <c r="A23" s="22" t="n">
        <v>42644</v>
      </c>
      <c r="B23" s="21" t="n">
        <v>241.729</v>
      </c>
      <c r="C23" s="21" t="n">
        <v>724.1130000000001</v>
      </c>
      <c r="D23" s="21" t="n">
        <v>247.861</v>
      </c>
      <c r="E23" s="21" t="n">
        <v>248.073</v>
      </c>
      <c r="F23" s="21" t="n">
        <v>238.145</v>
      </c>
      <c r="G23" s="21" t="n">
        <v>272.502</v>
      </c>
      <c r="H23" s="21" t="n">
        <v>229.772</v>
      </c>
      <c r="I23" s="21" t="n">
        <v>236.596</v>
      </c>
      <c r="J23" s="21" t="n">
        <v>226.415</v>
      </c>
      <c r="K23" s="21" t="n">
        <v>237.632</v>
      </c>
      <c r="L23" s="21" t="n">
        <v>163.348</v>
      </c>
      <c r="M23" s="21" t="n">
        <v>296.82</v>
      </c>
      <c r="N23" s="21" t="n">
        <v>178.466</v>
      </c>
      <c r="O23" s="21" t="n">
        <v>321.879</v>
      </c>
      <c r="P23" s="21" t="n">
        <v>346.353</v>
      </c>
      <c r="Q23" s="21" t="n">
        <v>175.508</v>
      </c>
      <c r="R23" s="21" t="n">
        <v>281.936</v>
      </c>
      <c r="S23" s="21" t="n">
        <v>297.927</v>
      </c>
      <c r="T23" s="21" t="n">
        <v>269.544</v>
      </c>
      <c r="U23" s="21" t="n">
        <v>265.245</v>
      </c>
      <c r="V23" s="21" t="n">
        <v>289.044</v>
      </c>
      <c r="W23" s="21" t="n">
        <v>305.791</v>
      </c>
      <c r="X23" s="21" t="n">
        <v>270.493</v>
      </c>
      <c r="Y23" s="21" t="n">
        <v>244.77</v>
      </c>
      <c r="Z23" s="21" t="n">
        <v>248.144</v>
      </c>
      <c r="AA23" s="21" t="n">
        <v>250.377</v>
      </c>
      <c r="AB23" s="21" t="n">
        <v>295.912</v>
      </c>
      <c r="AC23" s="21" t="n">
        <v>263.3</v>
      </c>
      <c r="AD23" s="21" t="n">
        <v>216.087</v>
      </c>
      <c r="AE23" s="21" t="n">
        <v>202.245</v>
      </c>
      <c r="AF23" s="21" t="n">
        <v>227.506</v>
      </c>
      <c r="AG23" s="21" t="n">
        <v>209.885</v>
      </c>
      <c r="AH23" s="21" t="n">
        <v>154.115</v>
      </c>
      <c r="AI23" s="21" t="n">
        <v>283.33</v>
      </c>
      <c r="AJ23" s="21" t="n">
        <v>142.264</v>
      </c>
      <c r="AK23" s="21" t="n">
        <v>206.389</v>
      </c>
      <c r="AL23" s="21" t="n">
        <v>230.224</v>
      </c>
      <c r="AM23" s="21" t="n">
        <v>187.594</v>
      </c>
      <c r="AN23" s="21" t="n">
        <v>128.11</v>
      </c>
      <c r="AO23" s="21" t="n">
        <v>226.4</v>
      </c>
      <c r="AP23" s="21" t="n">
        <v>227.683</v>
      </c>
      <c r="AQ23" s="21" t="n">
        <v>147.096</v>
      </c>
      <c r="AR23" s="21" t="n">
        <v>335.745</v>
      </c>
      <c r="AS23" s="21" t="n">
        <v>177.264</v>
      </c>
      <c r="AT23" s="21" t="n">
        <v>231.48</v>
      </c>
      <c r="AU23" s="21" t="n">
        <v>147.696</v>
      </c>
      <c r="AV23" s="21" t="n">
        <v>251.006</v>
      </c>
      <c r="AW23" s="21" t="n">
        <v>217.921</v>
      </c>
      <c r="AX23" s="21" t="n">
        <v>156.476</v>
      </c>
      <c r="AY23" s="21" t="n">
        <v>284.04</v>
      </c>
      <c r="AZ23" s="21" t="n">
        <v>177.346</v>
      </c>
      <c r="BA23" s="21" t="n">
        <v>140.786</v>
      </c>
      <c r="BB23" s="21" t="n">
        <v>199.072</v>
      </c>
      <c r="BC23" s="21" t="n">
        <v>294.106</v>
      </c>
      <c r="BD23" s="21" t="n">
        <v>200.941</v>
      </c>
      <c r="BE23" s="21" t="n">
        <v>218.183</v>
      </c>
      <c r="BF23" s="21" t="n">
        <v>143.134</v>
      </c>
      <c r="BG23" s="21" t="n">
        <v>206.678</v>
      </c>
      <c r="BH23" s="21" t="n">
        <v>146.127</v>
      </c>
      <c r="BI23" s="21" t="n">
        <v>228.64</v>
      </c>
      <c r="BJ23" s="21" t="n">
        <v>218.687</v>
      </c>
      <c r="BK23" s="21" t="n">
        <v>145.421</v>
      </c>
      <c r="BL23" s="21" t="n">
        <v>295.616</v>
      </c>
      <c r="BM23" s="21" t="n">
        <v>341.287</v>
      </c>
      <c r="BN23" s="21" t="n">
        <v>365.551</v>
      </c>
      <c r="BO23" s="21" t="n">
        <v>330.634</v>
      </c>
      <c r="BP23" s="21" t="n">
        <v>199.128</v>
      </c>
      <c r="BQ23" s="21" t="n">
        <v>263.044</v>
      </c>
      <c r="BR23" s="21" t="n">
        <v>542.217</v>
      </c>
      <c r="BS23" s="21" t="n">
        <v>120.333</v>
      </c>
      <c r="BT23" s="21" t="n">
        <v>314.612</v>
      </c>
      <c r="BU23" s="21" t="n">
        <v>334.021</v>
      </c>
      <c r="BV23" s="21" t="n">
        <v>277.571</v>
      </c>
      <c r="BW23" s="21" t="n">
        <v>338.712</v>
      </c>
      <c r="BX23" s="21" t="n">
        <v>315.299</v>
      </c>
      <c r="BY23" s="21" t="n">
        <v>157.015</v>
      </c>
      <c r="BZ23" s="21" t="n">
        <v>161.647</v>
      </c>
      <c r="CA23" s="21" t="n">
        <v>158.447</v>
      </c>
      <c r="CB23" s="21" t="n">
        <v>168.617</v>
      </c>
      <c r="CC23" s="21" t="n">
        <v>148.544</v>
      </c>
      <c r="CD23" s="21" t="n">
        <v>202.474</v>
      </c>
      <c r="CE23" s="21" t="n">
        <v>157.053</v>
      </c>
      <c r="CF23" s="21" t="n">
        <v>199.401</v>
      </c>
      <c r="CG23" s="21" t="n">
        <v>166.793</v>
      </c>
      <c r="CH23" s="21" t="n">
        <v>128.596</v>
      </c>
      <c r="CI23" s="21" t="n">
        <v>162.107</v>
      </c>
      <c r="CJ23" s="21" t="n">
        <v>176.434</v>
      </c>
      <c r="CK23" s="21" t="n">
        <v>116.877</v>
      </c>
      <c r="CL23" s="21" t="n">
        <v>117.299</v>
      </c>
      <c r="CM23" s="21" t="n">
        <v>197.398</v>
      </c>
      <c r="CN23" s="21" t="n">
        <v>205.067</v>
      </c>
      <c r="CO23" s="21" t="n">
        <v>196.276</v>
      </c>
      <c r="CP23" s="21" t="n">
        <v>127.567</v>
      </c>
      <c r="CQ23" s="21" t="n">
        <v>208.985</v>
      </c>
      <c r="CR23" s="21" t="n">
        <v>214.893</v>
      </c>
      <c r="CS23" s="21" t="n">
        <v>187.669</v>
      </c>
      <c r="CT23" s="21" t="n">
        <v>144.531</v>
      </c>
      <c r="CU23" s="21" t="n">
        <v>153.998</v>
      </c>
      <c r="CV23" s="21" t="n">
        <v>226.483</v>
      </c>
      <c r="CW23" s="21" t="n">
        <v>202.667</v>
      </c>
      <c r="CX23" s="21" t="n">
        <v>235.808</v>
      </c>
      <c r="CY23" s="21" t="n">
        <v>296.774</v>
      </c>
      <c r="CZ23" s="21" t="n">
        <v>130.442</v>
      </c>
      <c r="DA23" s="21" t="n">
        <v>156.68</v>
      </c>
      <c r="DB23" s="21" t="n">
        <v>157.168</v>
      </c>
      <c r="DC23" s="21" t="n">
        <v>223.317</v>
      </c>
      <c r="DD23" s="21" t="n">
        <v>236.616</v>
      </c>
      <c r="DE23" s="21" t="n">
        <v>169.424</v>
      </c>
      <c r="DF23" s="21" t="n">
        <v>252.195</v>
      </c>
      <c r="DG23" s="21" t="n">
        <v>236.756</v>
      </c>
      <c r="DH23" s="21" t="n">
        <v>150.63</v>
      </c>
      <c r="DI23" s="21" t="n">
        <v>138.986</v>
      </c>
      <c r="DJ23" s="21" t="n">
        <v>135.742</v>
      </c>
      <c r="DK23" s="21" t="n">
        <v>274.947</v>
      </c>
      <c r="DL23" s="21" t="n">
        <v>156.51</v>
      </c>
      <c r="DM23" s="21" t="n">
        <v>131.294</v>
      </c>
      <c r="DN23" s="21" t="n">
        <v>126.814</v>
      </c>
      <c r="DO23" s="21" t="n">
        <v>264.459</v>
      </c>
      <c r="DP23" s="21" t="n">
        <v>164.143</v>
      </c>
      <c r="DQ23" s="21" t="n">
        <v>168.913</v>
      </c>
      <c r="DR23" s="21" t="n">
        <v>172.019</v>
      </c>
      <c r="DS23" s="21" t="n">
        <v>143.855</v>
      </c>
      <c r="DT23" s="21" t="n">
        <v>152.799</v>
      </c>
      <c r="DU23" s="21" t="n">
        <v>183.035</v>
      </c>
      <c r="DV23" s="21" t="n">
        <v>243.674</v>
      </c>
      <c r="DW23" s="21" t="n">
        <v>199.637</v>
      </c>
      <c r="DX23" s="21" t="n">
        <v>219.925</v>
      </c>
      <c r="DY23" s="21" t="n">
        <v>194.315</v>
      </c>
      <c r="DZ23" s="21" t="n">
        <v>209.654</v>
      </c>
      <c r="EA23" s="21" t="n">
        <v>188.209</v>
      </c>
      <c r="EB23" s="21" t="n">
        <v>168.625</v>
      </c>
      <c r="EC23" s="21" t="n">
        <v>338.942</v>
      </c>
      <c r="ED23" s="21" t="n">
        <v>167.339</v>
      </c>
      <c r="EE23" s="21" t="n">
        <v>182.26</v>
      </c>
      <c r="EF23" s="21" t="n">
        <v>183.889</v>
      </c>
      <c r="EG23" s="21" t="n">
        <v>246.264</v>
      </c>
      <c r="EH23" s="21" t="n">
        <v>291.407</v>
      </c>
      <c r="EI23" s="21" t="n">
        <v>300.4</v>
      </c>
      <c r="EJ23" s="21" t="n">
        <v>158.887</v>
      </c>
      <c r="EK23" s="21" t="n">
        <v>530.677</v>
      </c>
      <c r="EL23" s="21" t="n">
        <v>326.552</v>
      </c>
      <c r="EM23" s="21" t="n">
        <v>298.645</v>
      </c>
      <c r="EN23" s="21" t="n">
        <v>298.612</v>
      </c>
      <c r="EO23" s="21" t="n">
        <v>147.432</v>
      </c>
      <c r="EP23" s="21" t="n">
        <v>230.61</v>
      </c>
      <c r="EQ23" s="21" t="n">
        <v>192.498</v>
      </c>
      <c r="ER23" s="21" t="n">
        <v>234.376</v>
      </c>
      <c r="ES23" s="21" t="n">
        <v>224.453</v>
      </c>
      <c r="ET23" s="21" t="n">
        <v>293.97</v>
      </c>
      <c r="EU23" s="21" t="n">
        <v>197.279</v>
      </c>
      <c r="EV23" s="21" t="n">
        <v>206.397</v>
      </c>
      <c r="EW23" s="21" t="n">
        <v>167.049</v>
      </c>
      <c r="EX23" s="21" t="n">
        <v>223.42</v>
      </c>
      <c r="EY23" s="21" t="n">
        <v>518.722</v>
      </c>
      <c r="EZ23" s="21" t="n">
        <v>440.311</v>
      </c>
      <c r="FA23" s="21" t="n">
        <v>121.39</v>
      </c>
      <c r="FB23" s="21" t="n">
        <v>60.35</v>
      </c>
      <c r="FC23" s="21" t="n">
        <v>109.92</v>
      </c>
      <c r="FD23" s="21" t="n">
        <v>70.303</v>
      </c>
      <c r="FE23" s="21" t="n">
        <v>46.8</v>
      </c>
      <c r="FF23" s="21" t="n">
        <v>111.731</v>
      </c>
      <c r="FG23" s="21" t="n">
        <v>128.091</v>
      </c>
      <c r="FH23" s="21" t="n">
        <v>85.923</v>
      </c>
      <c r="FI23" s="21" t="n">
        <v>69.148</v>
      </c>
      <c r="FJ23" s="21" t="n"/>
      <c r="FK23" s="21" t="n">
        <v>75.432</v>
      </c>
      <c r="FL23" s="21" t="n">
        <v>81.651</v>
      </c>
      <c r="FM23" s="21" t="n">
        <v>89.777</v>
      </c>
      <c r="FN23" s="21" t="n">
        <v>65.342</v>
      </c>
      <c r="FO23" s="21" t="n">
        <v>56.442</v>
      </c>
      <c r="FP23" s="21" t="n">
        <v>43.927</v>
      </c>
      <c r="FQ23" s="21" t="n">
        <v>126.865</v>
      </c>
      <c r="FR23" s="21" t="n">
        <v>53.604</v>
      </c>
      <c r="FS23" s="21" t="n">
        <v>89.31100000000001</v>
      </c>
      <c r="FT23" s="21" t="n">
        <v>89.68000000000001</v>
      </c>
      <c r="FU23" s="21" t="n">
        <v>98.104</v>
      </c>
      <c r="FV23" s="21" t="n">
        <v>85.66800000000001</v>
      </c>
      <c r="FW23" s="21" t="n">
        <v>185.944</v>
      </c>
      <c r="FX23" s="21" t="n">
        <v>119.355</v>
      </c>
      <c r="FY23" s="21" t="n">
        <v>168.255</v>
      </c>
      <c r="FZ23" s="21" t="n">
        <v>117.417</v>
      </c>
      <c r="GA23" s="21" t="n">
        <v>172.786</v>
      </c>
      <c r="GB23" s="21" t="n">
        <v>157.824</v>
      </c>
      <c r="GC23" s="21" t="n">
        <v>176.033</v>
      </c>
      <c r="GD23" s="21" t="n">
        <v>155.824</v>
      </c>
      <c r="GE23" s="21" t="n">
        <v>229.143</v>
      </c>
      <c r="GF23" s="21" t="n">
        <v>130.328</v>
      </c>
      <c r="GG23" s="21" t="n">
        <v>121.682</v>
      </c>
      <c r="GH23" s="21" t="n">
        <v>124.553</v>
      </c>
      <c r="GI23" s="21" t="n">
        <v>117.855</v>
      </c>
      <c r="GJ23" s="21" t="n">
        <v>153.566</v>
      </c>
      <c r="GK23" s="21" t="n">
        <v>83.988</v>
      </c>
      <c r="GL23" s="21" t="n">
        <v>115.779</v>
      </c>
      <c r="GM23" s="21" t="n">
        <v>109.771</v>
      </c>
      <c r="GN23" s="21" t="n">
        <v>116.717</v>
      </c>
      <c r="GO23" s="21" t="n">
        <v>119.905</v>
      </c>
      <c r="GP23" s="21" t="n">
        <v>116.375</v>
      </c>
      <c r="GQ23" s="21" t="n">
        <v>129.962</v>
      </c>
      <c r="GR23" s="21" t="n">
        <v>85.926</v>
      </c>
      <c r="GS23" s="21" t="n">
        <v>108.472</v>
      </c>
      <c r="GT23" s="21" t="n">
        <v>101.59</v>
      </c>
      <c r="GU23" s="21" t="n">
        <v>141.145</v>
      </c>
      <c r="GV23" s="21" t="n">
        <v>140.098</v>
      </c>
      <c r="GW23" s="21" t="n">
        <v>157.778</v>
      </c>
      <c r="GX23" s="21" t="n">
        <v>133.265</v>
      </c>
      <c r="GY23" s="21" t="n">
        <v>116.668</v>
      </c>
      <c r="GZ23" s="21" t="n">
        <v>172.405</v>
      </c>
      <c r="HA23" s="21" t="n">
        <v>131.22</v>
      </c>
      <c r="HB23" s="21" t="n">
        <v>180.008</v>
      </c>
      <c r="HC23" s="21" t="n">
        <v>196.185</v>
      </c>
      <c r="HD23" s="21" t="n">
        <v>191.218</v>
      </c>
      <c r="HE23" s="21" t="n">
        <v>99.11199999999999</v>
      </c>
      <c r="HF23" s="21" t="n">
        <v>146.896</v>
      </c>
      <c r="HG23" s="21" t="n">
        <v>101.806</v>
      </c>
      <c r="HH23" s="21" t="n">
        <v>143.032</v>
      </c>
      <c r="HI23" s="21" t="n">
        <v>156.189</v>
      </c>
      <c r="HJ23" s="21" t="n"/>
      <c r="HK23" s="21" t="n">
        <v>139.914</v>
      </c>
      <c r="HL23" s="21" t="n">
        <v>83.79900000000001</v>
      </c>
      <c r="HM23" s="21" t="n">
        <v>128.289</v>
      </c>
      <c r="HN23" s="21" t="n">
        <v>198.212</v>
      </c>
      <c r="HO23" s="21" t="n">
        <v>197.357</v>
      </c>
      <c r="HP23" s="21" t="n">
        <v>193.335</v>
      </c>
      <c r="HQ23" s="21" t="n">
        <v>212.778</v>
      </c>
      <c r="HR23" s="21" t="n">
        <v>208.826</v>
      </c>
      <c r="HS23" s="21" t="n">
        <v>176.085</v>
      </c>
      <c r="HT23" s="21" t="n">
        <v>143.017</v>
      </c>
      <c r="HU23" s="21" t="n">
        <v>125.125</v>
      </c>
      <c r="HV23" s="21" t="n">
        <v>165.404</v>
      </c>
      <c r="HW23" s="21" t="n">
        <v>156.816</v>
      </c>
      <c r="HX23" s="21" t="n">
        <v>366.758</v>
      </c>
      <c r="HY23" s="21" t="n">
        <v>275.645</v>
      </c>
      <c r="HZ23" s="21" t="n">
        <v>289.758</v>
      </c>
      <c r="IA23" s="21" t="n">
        <v>246.617</v>
      </c>
      <c r="IB23" s="21" t="n">
        <v>171.919</v>
      </c>
      <c r="IC23" s="21" t="n">
        <v>496.658</v>
      </c>
      <c r="ID23" s="21" t="n">
        <v>182.437</v>
      </c>
      <c r="IE23" s="21" t="n">
        <v>173.901</v>
      </c>
      <c r="IF23" s="21" t="n">
        <v>196.713</v>
      </c>
      <c r="IG23" s="21" t="n">
        <v>222.195</v>
      </c>
      <c r="IH23" s="21" t="n">
        <v>112.279</v>
      </c>
      <c r="II23" s="21" t="n">
        <v>259.062</v>
      </c>
      <c r="IJ23" s="21" t="n">
        <v>270.922</v>
      </c>
      <c r="IK23" s="21" t="n">
        <v>158.075</v>
      </c>
      <c r="IL23" s="21" t="n"/>
      <c r="IM23" s="21" t="n">
        <v>111.954</v>
      </c>
      <c r="IN23" s="21" t="n">
        <v>66.38800000000001</v>
      </c>
      <c r="IO23" s="21" t="n">
        <v>309.878</v>
      </c>
      <c r="IP23" s="21" t="n">
        <v>122.781</v>
      </c>
      <c r="IQ23" s="21" t="n">
        <v>469.23</v>
      </c>
      <c r="IR23" s="21" t="n">
        <v>373.792</v>
      </c>
      <c r="IS23" s="21" t="n">
        <v>122.376</v>
      </c>
      <c r="IT23" s="21" t="n">
        <v>515.159</v>
      </c>
      <c r="IU23" s="21" t="n">
        <v>96.554</v>
      </c>
      <c r="IV23" s="21" t="n">
        <v>98.867</v>
      </c>
      <c r="IW23" s="21" t="n">
        <v>499.717</v>
      </c>
      <c r="IX23" s="21" t="n">
        <v>373.802</v>
      </c>
      <c r="IY23" s="21" t="n">
        <v>381.406</v>
      </c>
      <c r="IZ23" s="21" t="n">
        <v>467.007</v>
      </c>
      <c r="JA23" s="21" t="n">
        <v>186.586</v>
      </c>
      <c r="JB23" s="21" t="n">
        <v>232.015</v>
      </c>
      <c r="JC23" s="21" t="n">
        <v>73.217</v>
      </c>
      <c r="JD23" s="21" t="n">
        <v>307.433</v>
      </c>
      <c r="JE23" s="21" t="n">
        <v>303.849</v>
      </c>
      <c r="JF23" s="21" t="n">
        <v>681.716</v>
      </c>
      <c r="JG23" s="21" t="n">
        <v>215.153</v>
      </c>
      <c r="JH23" s="21" t="n">
        <v>121.284</v>
      </c>
      <c r="JI23" s="21" t="n">
        <v>133.739</v>
      </c>
      <c r="JJ23" s="21" t="n">
        <v>116.713</v>
      </c>
      <c r="JK23" s="21" t="n">
        <v>100.207</v>
      </c>
      <c r="JL23" s="21" t="n">
        <v>247.292</v>
      </c>
      <c r="JM23" s="21" t="n">
        <v>438.292</v>
      </c>
      <c r="JN23" s="21" t="n">
        <v>130.552</v>
      </c>
      <c r="JO23" s="21" t="n">
        <v>71.904</v>
      </c>
      <c r="JP23" s="21" t="n">
        <v>38.786</v>
      </c>
      <c r="JQ23" s="21" t="n">
        <v>125.61</v>
      </c>
      <c r="JR23" s="21" t="n">
        <v>32.604</v>
      </c>
      <c r="JS23" s="21" t="n">
        <v>81.93600000000001</v>
      </c>
      <c r="JT23" s="21" t="n">
        <v>170.066</v>
      </c>
      <c r="JU23" s="21" t="n">
        <v>198.203</v>
      </c>
      <c r="JV23" s="21" t="n">
        <v>151.435</v>
      </c>
      <c r="JW23" s="21" t="n">
        <v>114.215</v>
      </c>
      <c r="JX23" s="21" t="n">
        <v>235.631</v>
      </c>
      <c r="JY23" s="21" t="n">
        <v>185.559</v>
      </c>
      <c r="JZ23" s="21" t="n">
        <v>246.714</v>
      </c>
      <c r="KA23" s="21" t="n">
        <v>112.794</v>
      </c>
      <c r="KB23" s="21" t="n">
        <v>148.051</v>
      </c>
      <c r="KC23" s="21" t="n">
        <v>82.696</v>
      </c>
      <c r="KD23" s="21" t="n">
        <v>76.654</v>
      </c>
      <c r="KE23" s="21" t="n">
        <v>55.91</v>
      </c>
      <c r="KF23" s="21" t="n">
        <v>130.611</v>
      </c>
      <c r="KG23" s="21" t="n">
        <v>22.928</v>
      </c>
      <c r="KH23" s="21" t="n">
        <v>125.593</v>
      </c>
      <c r="KI23" s="21" t="n">
        <v>128.44</v>
      </c>
      <c r="KJ23" s="21" t="n">
        <v>124.214</v>
      </c>
      <c r="KK23" s="21" t="n">
        <v>42.662</v>
      </c>
      <c r="KL23" s="21" t="n">
        <v>39.508</v>
      </c>
      <c r="KM23" s="21" t="n">
        <v>48.363</v>
      </c>
      <c r="KN23" s="21" t="n"/>
      <c r="KO23" s="21" t="n">
        <v>94.42400000000001</v>
      </c>
      <c r="KP23" s="21" t="n">
        <v>102.022</v>
      </c>
      <c r="KQ23" s="21" t="n">
        <v>160.765</v>
      </c>
      <c r="KR23" s="21" t="n">
        <v>132.993</v>
      </c>
      <c r="KS23" s="21" t="n">
        <v>367.262</v>
      </c>
      <c r="KT23" s="21" t="n">
        <v>174.305</v>
      </c>
      <c r="KU23" s="21" t="n">
        <v>218.879</v>
      </c>
      <c r="KV23" s="21" t="n">
        <v>295.255</v>
      </c>
      <c r="KW23" s="21" t="n">
        <v>239.487</v>
      </c>
      <c r="KX23" s="21" t="n">
        <v>165.509</v>
      </c>
      <c r="KY23" s="21" t="n">
        <v>98.29300000000001</v>
      </c>
      <c r="KZ23" s="21" t="n">
        <v>138.979</v>
      </c>
      <c r="LA23" s="21" t="n">
        <v>251.173</v>
      </c>
      <c r="LB23" s="21" t="n">
        <v>695.365</v>
      </c>
      <c r="LC23" s="21" t="n">
        <v>240.059</v>
      </c>
      <c r="LD23" s="21" t="n">
        <v>718.181</v>
      </c>
      <c r="LE23" s="21" t="n">
        <v>818.2670000000001</v>
      </c>
      <c r="LF23" s="21" t="n">
        <v>75.40600000000001</v>
      </c>
      <c r="LG23" s="21" t="n">
        <v>286.834</v>
      </c>
      <c r="LH23" s="21" t="n">
        <v>239.6</v>
      </c>
      <c r="LI23" s="21" t="n">
        <v>78.113</v>
      </c>
      <c r="LJ23" s="21" t="n">
        <v>174.986</v>
      </c>
      <c r="LK23" s="21" t="n">
        <v>275.718</v>
      </c>
      <c r="LL23" s="21" t="n">
        <v>274.069</v>
      </c>
      <c r="LM23" s="21" t="n">
        <v>74.29900000000001</v>
      </c>
      <c r="LN23" s="21" t="n">
        <v>97.45399999999999</v>
      </c>
      <c r="LO23" s="21" t="n">
        <v>53.739</v>
      </c>
      <c r="LP23" s="21" t="n">
        <v>113.778</v>
      </c>
      <c r="LQ23" s="21" t="n"/>
      <c r="LR23" s="21" t="n"/>
      <c r="LS23" s="21" t="n">
        <v>114.324</v>
      </c>
      <c r="LT23" s="21" t="n">
        <v>43.721</v>
      </c>
      <c r="LU23" s="21" t="n">
        <v>33.372</v>
      </c>
      <c r="LV23" s="21" t="n">
        <v>76.559</v>
      </c>
      <c r="LW23" s="21" t="n">
        <v>270.922</v>
      </c>
      <c r="LX23" s="21" t="n"/>
      <c r="LY23" s="21" t="n">
        <v>425.524</v>
      </c>
      <c r="LZ23" s="21" t="n">
        <v>61.387</v>
      </c>
      <c r="MA23" s="21" t="n">
        <v>397.926</v>
      </c>
      <c r="MB23" s="21" t="n">
        <v>251.824</v>
      </c>
      <c r="MC23" s="21" t="n">
        <v>225.295</v>
      </c>
      <c r="MD23" s="21" t="n">
        <v>162.69</v>
      </c>
      <c r="ME23" s="21" t="n">
        <v>102.799</v>
      </c>
      <c r="MF23" s="21" t="n">
        <v>188.516</v>
      </c>
      <c r="MG23" s="21" t="n">
        <v>253.888</v>
      </c>
      <c r="MH23" s="21" t="n">
        <v>154.913</v>
      </c>
      <c r="MI23" s="21" t="n">
        <v>416.621</v>
      </c>
      <c r="MJ23" s="21" t="n">
        <v>340.873</v>
      </c>
      <c r="MK23" s="21" t="n">
        <v>321.319</v>
      </c>
      <c r="ML23" s="21" t="n">
        <v>161.293</v>
      </c>
      <c r="MM23" s="21" t="n">
        <v>185.89</v>
      </c>
      <c r="MN23" s="21" t="n">
        <v>335</v>
      </c>
      <c r="MO23" s="21" t="n">
        <v>156.223</v>
      </c>
      <c r="MP23" s="21" t="n">
        <v>229.352</v>
      </c>
      <c r="MQ23" s="21" t="n">
        <v>78.821</v>
      </c>
      <c r="MR23" s="21" t="n">
        <v>149.341</v>
      </c>
      <c r="MS23" s="21" t="n">
        <v>80.29600000000001</v>
      </c>
      <c r="MT23" s="21" t="n">
        <v>230.813</v>
      </c>
      <c r="MU23" s="21" t="n">
        <v>248.356</v>
      </c>
      <c r="MV23" s="21" t="n">
        <v>240.739</v>
      </c>
      <c r="MW23" s="21" t="n">
        <v>249.218</v>
      </c>
      <c r="MX23" s="21" t="n">
        <v>224.982</v>
      </c>
      <c r="MY23" s="21" t="n">
        <v>218.936</v>
      </c>
      <c r="MZ23" s="21" t="n">
        <v>225.768</v>
      </c>
      <c r="NA23" s="21" t="n">
        <v>230.991</v>
      </c>
      <c r="NB23" s="21" t="n">
        <v>123.112</v>
      </c>
      <c r="NC23" s="21" t="n">
        <v>180.306</v>
      </c>
      <c r="ND23" s="21" t="n">
        <v>149.983</v>
      </c>
      <c r="NE23" s="21" t="n">
        <v>146.747</v>
      </c>
      <c r="NF23" s="21" t="n">
        <v>145.701</v>
      </c>
      <c r="NG23" s="21" t="n">
        <v>147.04</v>
      </c>
      <c r="NH23" s="21" t="n">
        <v>246.312</v>
      </c>
      <c r="NI23" s="21" t="n">
        <v>106.123</v>
      </c>
      <c r="NJ23" s="21" t="n">
        <v>79.139</v>
      </c>
      <c r="NK23" s="21" t="n">
        <v>111.005</v>
      </c>
      <c r="NL23" s="21" t="n">
        <v>194.786</v>
      </c>
      <c r="NM23" s="21" t="n">
        <v>201.412</v>
      </c>
      <c r="NN23" s="21" t="n">
        <v>91.35899999999999</v>
      </c>
      <c r="NO23" s="21" t="n">
        <v>58.526</v>
      </c>
      <c r="NP23" s="21" t="n">
        <v>217.516</v>
      </c>
      <c r="NQ23" s="21" t="n">
        <v>191.602</v>
      </c>
      <c r="NR23" s="21" t="n">
        <v>229.034</v>
      </c>
      <c r="NS23" s="21" t="n">
        <v>188.364</v>
      </c>
      <c r="NT23" s="21" t="n">
        <v>228.822</v>
      </c>
      <c r="NU23" s="21" t="n">
        <v>109.206</v>
      </c>
      <c r="NV23" s="21" t="n">
        <v>116.313</v>
      </c>
      <c r="NW23" s="21" t="n">
        <v>346.717</v>
      </c>
      <c r="NX23" s="21" t="n">
        <v>84.724</v>
      </c>
      <c r="NY23" s="21" t="n">
        <v>115.44</v>
      </c>
      <c r="NZ23" s="21" t="n">
        <v>303.632</v>
      </c>
      <c r="OA23" s="21" t="n">
        <v>302.307</v>
      </c>
      <c r="OB23" s="21" t="n">
        <v>312.919</v>
      </c>
      <c r="OC23" s="21" t="n">
        <v>287.359</v>
      </c>
      <c r="OD23" s="21" t="n">
        <v>324.15</v>
      </c>
      <c r="OE23" s="21" t="n">
        <v>104.652</v>
      </c>
      <c r="OF23" s="21" t="n">
        <v>299.622</v>
      </c>
      <c r="OG23" s="21" t="n">
        <v>214.557</v>
      </c>
      <c r="OH23" s="21" t="n">
        <v>51.682</v>
      </c>
      <c r="OI23" s="21" t="n">
        <v>117.118</v>
      </c>
      <c r="OJ23" s="21" t="n">
        <v>41.4</v>
      </c>
      <c r="OK23" s="21" t="n">
        <v>13.8</v>
      </c>
    </row>
    <row r="24">
      <c r="A24" s="22" t="n">
        <v>42675</v>
      </c>
      <c r="B24" s="21" t="n">
        <v>241.353</v>
      </c>
      <c r="C24" s="21" t="n">
        <v>722.986</v>
      </c>
      <c r="D24" s="21" t="n">
        <v>247.246</v>
      </c>
      <c r="E24" s="21" t="n">
        <v>247.435</v>
      </c>
      <c r="F24" s="21" t="n">
        <v>236.93</v>
      </c>
      <c r="G24" s="21" t="n">
        <v>271.896</v>
      </c>
      <c r="H24" s="21" t="n">
        <v>228.222</v>
      </c>
      <c r="I24" s="21" t="n">
        <v>230.431</v>
      </c>
      <c r="J24" s="21" t="n">
        <v>226.983</v>
      </c>
      <c r="K24" s="21" t="n">
        <v>234.443</v>
      </c>
      <c r="L24" s="21" t="n">
        <v>162.335</v>
      </c>
      <c r="M24" s="21" t="n">
        <v>296.837</v>
      </c>
      <c r="N24" s="21" t="n">
        <v>178.731</v>
      </c>
      <c r="O24" s="21" t="n">
        <v>324.317</v>
      </c>
      <c r="P24" s="21" t="n">
        <v>345.815</v>
      </c>
      <c r="Q24" s="21" t="n">
        <v>175.709</v>
      </c>
      <c r="R24" s="21" t="n">
        <v>283.871</v>
      </c>
      <c r="S24" s="21" t="n">
        <v>303.252</v>
      </c>
      <c r="T24" s="21" t="n">
        <v>269.528</v>
      </c>
      <c r="U24" s="21" t="n">
        <v>263.365</v>
      </c>
      <c r="V24" s="21" t="n">
        <v>292.347</v>
      </c>
      <c r="W24" s="21" t="n">
        <v>300.851</v>
      </c>
      <c r="X24" s="21" t="n">
        <v>268.49</v>
      </c>
      <c r="Y24" s="21" t="n">
        <v>243.633</v>
      </c>
      <c r="Z24" s="21" t="n">
        <v>246.755</v>
      </c>
      <c r="AA24" s="21" t="n">
        <v>248.228</v>
      </c>
      <c r="AB24" s="21" t="n">
        <v>294.801</v>
      </c>
      <c r="AC24" s="21" t="n">
        <v>262.824</v>
      </c>
      <c r="AD24" s="21" t="n">
        <v>218.119</v>
      </c>
      <c r="AE24" s="21" t="n">
        <v>199.961</v>
      </c>
      <c r="AF24" s="21" t="n">
        <v>227.026</v>
      </c>
      <c r="AG24" s="21" t="n">
        <v>205.754</v>
      </c>
      <c r="AH24" s="21" t="n">
        <v>149.878</v>
      </c>
      <c r="AI24" s="21" t="n">
        <v>276.043</v>
      </c>
      <c r="AJ24" s="21" t="n">
        <v>137.243</v>
      </c>
      <c r="AK24" s="21" t="n">
        <v>200.084</v>
      </c>
      <c r="AL24" s="21" t="n">
        <v>222.84</v>
      </c>
      <c r="AM24" s="21" t="n">
        <v>184.808</v>
      </c>
      <c r="AN24" s="21" t="n">
        <v>128.057</v>
      </c>
      <c r="AO24" s="21" t="n">
        <v>225.685</v>
      </c>
      <c r="AP24" s="21" t="n">
        <v>227.664</v>
      </c>
      <c r="AQ24" s="21" t="n">
        <v>146.019</v>
      </c>
      <c r="AR24" s="21" t="n">
        <v>330.547</v>
      </c>
      <c r="AS24" s="21" t="n">
        <v>170.442</v>
      </c>
      <c r="AT24" s="21" t="n">
        <v>230.215</v>
      </c>
      <c r="AU24" s="21" t="n">
        <v>148.006</v>
      </c>
      <c r="AV24" s="21" t="n">
        <v>249.394</v>
      </c>
      <c r="AW24" s="21" t="n">
        <v>218.747</v>
      </c>
      <c r="AX24" s="21" t="n">
        <v>150.631</v>
      </c>
      <c r="AY24" s="21" t="n">
        <v>285.802</v>
      </c>
      <c r="AZ24" s="21" t="n">
        <v>177.016</v>
      </c>
      <c r="BA24" s="21" t="n">
        <v>143.047</v>
      </c>
      <c r="BB24" s="21" t="n">
        <v>201.572</v>
      </c>
      <c r="BC24" s="21" t="n">
        <v>298.414</v>
      </c>
      <c r="BD24" s="21" t="n">
        <v>203.227</v>
      </c>
      <c r="BE24" s="21" t="n">
        <v>216.773</v>
      </c>
      <c r="BF24" s="21" t="n">
        <v>141.6</v>
      </c>
      <c r="BG24" s="21" t="n">
        <v>205.71</v>
      </c>
      <c r="BH24" s="21" t="n">
        <v>143.976</v>
      </c>
      <c r="BI24" s="21" t="n">
        <v>227.038</v>
      </c>
      <c r="BJ24" s="21" t="n">
        <v>220.325</v>
      </c>
      <c r="BK24" s="21" t="n">
        <v>144.142</v>
      </c>
      <c r="BL24" s="21" t="n">
        <v>293.554</v>
      </c>
      <c r="BM24" s="21" t="n">
        <v>339.317</v>
      </c>
      <c r="BN24" s="21" t="n">
        <v>362.293</v>
      </c>
      <c r="BO24" s="21" t="n">
        <v>333.401</v>
      </c>
      <c r="BP24" s="21" t="n">
        <v>198.11</v>
      </c>
      <c r="BQ24" s="21" t="n">
        <v>238.448</v>
      </c>
      <c r="BR24" s="21" t="n">
        <v>485.802</v>
      </c>
      <c r="BS24" s="21" t="n">
        <v>125.391</v>
      </c>
      <c r="BT24" s="21" t="n">
        <v>313.995</v>
      </c>
      <c r="BU24" s="21" t="n">
        <v>322.355</v>
      </c>
      <c r="BV24" s="21" t="n">
        <v>281.249</v>
      </c>
      <c r="BW24" s="21" t="n">
        <v>336.561</v>
      </c>
      <c r="BX24" s="21" t="n">
        <v>317.277</v>
      </c>
      <c r="BY24" s="21" t="n">
        <v>155.24</v>
      </c>
      <c r="BZ24" s="21" t="n">
        <v>157.71</v>
      </c>
      <c r="CA24" s="21" t="n">
        <v>155.977</v>
      </c>
      <c r="CB24" s="21" t="n">
        <v>163.924</v>
      </c>
      <c r="CC24" s="21" t="n">
        <v>148.267</v>
      </c>
      <c r="CD24" s="21" t="n">
        <v>202.469</v>
      </c>
      <c r="CE24" s="21" t="n">
        <v>158.827</v>
      </c>
      <c r="CF24" s="21" t="n">
        <v>202.263</v>
      </c>
      <c r="CG24" s="21" t="n">
        <v>166.258</v>
      </c>
      <c r="CH24" s="21" t="n">
        <v>127.999</v>
      </c>
      <c r="CI24" s="21" t="n">
        <v>158.381</v>
      </c>
      <c r="CJ24" s="21" t="n">
        <v>177.906</v>
      </c>
      <c r="CK24" s="21" t="n">
        <v>117.781</v>
      </c>
      <c r="CL24" s="21" t="n">
        <v>117.327</v>
      </c>
      <c r="CM24" s="21" t="n">
        <v>196.144</v>
      </c>
      <c r="CN24" s="21" t="n">
        <v>203.518</v>
      </c>
      <c r="CO24" s="21" t="n">
        <v>196.625</v>
      </c>
      <c r="CP24" s="21" t="n">
        <v>129.004</v>
      </c>
      <c r="CQ24" s="21" t="n">
        <v>207.703</v>
      </c>
      <c r="CR24" s="21" t="n">
        <v>213.867</v>
      </c>
      <c r="CS24" s="21" t="n">
        <v>183.067</v>
      </c>
      <c r="CT24" s="21" t="n">
        <v>144.658</v>
      </c>
      <c r="CU24" s="21" t="n">
        <v>153.09</v>
      </c>
      <c r="CV24" s="21" t="n">
        <v>219.908</v>
      </c>
      <c r="CW24" s="21" t="n">
        <v>195.954</v>
      </c>
      <c r="CX24" s="21" t="n">
        <v>226.455</v>
      </c>
      <c r="CY24" s="21" t="n">
        <v>289.649</v>
      </c>
      <c r="CZ24" s="21" t="n">
        <v>124.698</v>
      </c>
      <c r="DA24" s="21" t="n">
        <v>153.764</v>
      </c>
      <c r="DB24" s="21" t="n">
        <v>150.186</v>
      </c>
      <c r="DC24" s="21" t="n">
        <v>222.706</v>
      </c>
      <c r="DD24" s="21" t="n">
        <v>237.02</v>
      </c>
      <c r="DE24" s="21" t="n">
        <v>169.131</v>
      </c>
      <c r="DF24" s="21" t="n">
        <v>250.225</v>
      </c>
      <c r="DG24" s="21" t="n">
        <v>233.591</v>
      </c>
      <c r="DH24" s="21" t="n">
        <v>146.886</v>
      </c>
      <c r="DI24" s="21" t="n">
        <v>131.313</v>
      </c>
      <c r="DJ24" s="21" t="n">
        <v>135.601</v>
      </c>
      <c r="DK24" s="21" t="n">
        <v>269.754</v>
      </c>
      <c r="DL24" s="21" t="n">
        <v>157.028</v>
      </c>
      <c r="DM24" s="21" t="n">
        <v>132.036</v>
      </c>
      <c r="DN24" s="21" t="n">
        <v>127.822</v>
      </c>
      <c r="DO24" s="21" t="n">
        <v>264.699</v>
      </c>
      <c r="DP24" s="21" t="n">
        <v>164.463</v>
      </c>
      <c r="DQ24" s="21" t="n">
        <v>168.883</v>
      </c>
      <c r="DR24" s="21" t="n">
        <v>172.163</v>
      </c>
      <c r="DS24" s="21" t="n">
        <v>143.923</v>
      </c>
      <c r="DT24" s="21" t="n">
        <v>152.949</v>
      </c>
      <c r="DU24" s="21" t="n">
        <v>183.031</v>
      </c>
      <c r="DV24" s="21" t="n">
        <v>243.395</v>
      </c>
      <c r="DW24" s="21" t="n">
        <v>199.037</v>
      </c>
      <c r="DX24" s="21" t="n">
        <v>221.093</v>
      </c>
      <c r="DY24" s="21" t="n">
        <v>193.224</v>
      </c>
      <c r="DZ24" s="21" t="n">
        <v>207.127</v>
      </c>
      <c r="EA24" s="21" t="n">
        <v>187.455</v>
      </c>
      <c r="EB24" s="21" t="n">
        <v>166.708</v>
      </c>
      <c r="EC24" s="21" t="n">
        <v>339.566</v>
      </c>
      <c r="ED24" s="21" t="n">
        <v>167.942</v>
      </c>
      <c r="EE24" s="21" t="n">
        <v>182.411</v>
      </c>
      <c r="EF24" s="21" t="n">
        <v>184.051</v>
      </c>
      <c r="EG24" s="21" t="n">
        <v>246.271</v>
      </c>
      <c r="EH24" s="21" t="n">
        <v>291.953</v>
      </c>
      <c r="EI24" s="21" t="n">
        <v>301.587</v>
      </c>
      <c r="EJ24" s="21" t="n">
        <v>148.931</v>
      </c>
      <c r="EK24" s="21" t="n">
        <v>532.604</v>
      </c>
      <c r="EL24" s="21" t="n">
        <v>302.843</v>
      </c>
      <c r="EM24" s="21" t="n">
        <v>299.738</v>
      </c>
      <c r="EN24" s="21" t="n">
        <v>299.707</v>
      </c>
      <c r="EO24" s="21" t="n">
        <v>147.658</v>
      </c>
      <c r="EP24" s="21" t="n">
        <v>228.801</v>
      </c>
      <c r="EQ24" s="21" t="n">
        <v>190.269</v>
      </c>
      <c r="ER24" s="21" t="n">
        <v>235.429</v>
      </c>
      <c r="ES24" s="21" t="n">
        <v>221.808</v>
      </c>
      <c r="ET24" s="21" t="n">
        <v>300.944</v>
      </c>
      <c r="EU24" s="21" t="n">
        <v>194.838</v>
      </c>
      <c r="EV24" s="21" t="n">
        <v>202.984</v>
      </c>
      <c r="EW24" s="21" t="n">
        <v>167.469</v>
      </c>
      <c r="EX24" s="21" t="n">
        <v>224.399</v>
      </c>
      <c r="EY24" s="21" t="n">
        <v>520.577</v>
      </c>
      <c r="EZ24" s="21" t="n">
        <v>443.343</v>
      </c>
      <c r="FA24" s="21" t="n">
        <v>120.717</v>
      </c>
      <c r="FB24" s="21" t="n">
        <v>59.208</v>
      </c>
      <c r="FC24" s="21" t="n">
        <v>110.129</v>
      </c>
      <c r="FD24" s="21" t="n">
        <v>69.298</v>
      </c>
      <c r="FE24" s="21" t="n">
        <v>45.455</v>
      </c>
      <c r="FF24" s="21" t="n">
        <v>110.926</v>
      </c>
      <c r="FG24" s="21" t="n">
        <v>127.644</v>
      </c>
      <c r="FH24" s="21" t="n">
        <v>84.714</v>
      </c>
      <c r="FI24" s="21" t="n">
        <v>69.497</v>
      </c>
      <c r="FJ24" s="21" t="n">
        <v>99.45699999999999</v>
      </c>
      <c r="FK24" s="21" t="n">
        <v>73.855</v>
      </c>
      <c r="FL24" s="21" t="n">
        <v>78.33</v>
      </c>
      <c r="FM24" s="21" t="n">
        <v>87.07299999999999</v>
      </c>
      <c r="FN24" s="21" t="n">
        <v>64.575</v>
      </c>
      <c r="FO24" s="21" t="n">
        <v>55.619</v>
      </c>
      <c r="FP24" s="21" t="n">
        <v>43.13</v>
      </c>
      <c r="FQ24" s="21" t="n">
        <v>126.716</v>
      </c>
      <c r="FR24" s="21" t="n">
        <v>52.22</v>
      </c>
      <c r="FS24" s="21" t="n">
        <v>88.11799999999999</v>
      </c>
      <c r="FT24" s="21" t="n">
        <v>89.785</v>
      </c>
      <c r="FU24" s="21" t="n">
        <v>97.857</v>
      </c>
      <c r="FV24" s="21" t="n">
        <v>85.961</v>
      </c>
      <c r="FW24" s="21" t="n">
        <v>185.185</v>
      </c>
      <c r="FX24" s="21" t="n">
        <v>119.09</v>
      </c>
      <c r="FY24" s="21" t="n">
        <v>168.31</v>
      </c>
      <c r="FZ24" s="21" t="n">
        <v>116.258</v>
      </c>
      <c r="GA24" s="21" t="n">
        <v>173.043</v>
      </c>
      <c r="GB24" s="21" t="n">
        <v>157.849</v>
      </c>
      <c r="GC24" s="21" t="n">
        <v>176.029</v>
      </c>
      <c r="GD24" s="21" t="n">
        <v>156.541</v>
      </c>
      <c r="GE24" s="21" t="n">
        <v>230.704</v>
      </c>
      <c r="GF24" s="21" t="n">
        <v>127.377</v>
      </c>
      <c r="GG24" s="21" t="n">
        <v>118.943</v>
      </c>
      <c r="GH24" s="21" t="n">
        <v>121.939</v>
      </c>
      <c r="GI24" s="21" t="n">
        <v>112.158</v>
      </c>
      <c r="GJ24" s="21" t="n">
        <v>152</v>
      </c>
      <c r="GK24" s="21" t="n">
        <v>81.637</v>
      </c>
      <c r="GL24" s="21" t="n">
        <v>115.032</v>
      </c>
      <c r="GM24" s="21" t="n">
        <v>106.66</v>
      </c>
      <c r="GN24" s="21" t="n">
        <v>113.624</v>
      </c>
      <c r="GO24" s="21" t="n">
        <v>116.881</v>
      </c>
      <c r="GP24" s="21" t="n">
        <v>112.869</v>
      </c>
      <c r="GQ24" s="21" t="n">
        <v>123.097</v>
      </c>
      <c r="GR24" s="21" t="n">
        <v>83.447</v>
      </c>
      <c r="GS24" s="21" t="n">
        <v>107.796</v>
      </c>
      <c r="GT24" s="21" t="n">
        <v>98.244</v>
      </c>
      <c r="GU24" s="21" t="n">
        <v>138.765</v>
      </c>
      <c r="GV24" s="21" t="n">
        <v>137.842</v>
      </c>
      <c r="GW24" s="21" t="n">
        <v>156.282</v>
      </c>
      <c r="GX24" s="21" t="n">
        <v>130.406</v>
      </c>
      <c r="GY24" s="21" t="n">
        <v>116.698</v>
      </c>
      <c r="GZ24" s="21" t="n">
        <v>166.545</v>
      </c>
      <c r="HA24" s="21" t="n">
        <v>125.458</v>
      </c>
      <c r="HB24" s="21" t="n">
        <v>174.89</v>
      </c>
      <c r="HC24" s="21" t="n">
        <v>195.411</v>
      </c>
      <c r="HD24" s="21" t="n">
        <v>190.263</v>
      </c>
      <c r="HE24" s="21" t="n">
        <v>98.59</v>
      </c>
      <c r="HF24" s="21" t="n">
        <v>147.027</v>
      </c>
      <c r="HG24" s="21" t="n">
        <v>101.914</v>
      </c>
      <c r="HH24" s="21" t="n">
        <v>143.183</v>
      </c>
      <c r="HI24" s="21" t="n">
        <v>156.193</v>
      </c>
      <c r="HJ24" s="21" t="n"/>
      <c r="HK24" s="21" t="n">
        <v>137.789</v>
      </c>
      <c r="HL24" s="21" t="n">
        <v>83.17700000000001</v>
      </c>
      <c r="HM24" s="21" t="n">
        <v>126</v>
      </c>
      <c r="HN24" s="21" t="n">
        <v>193.432</v>
      </c>
      <c r="HO24" s="21" t="n">
        <v>192.522</v>
      </c>
      <c r="HP24" s="21" t="n">
        <v>188.337</v>
      </c>
      <c r="HQ24" s="21" t="n">
        <v>206.661</v>
      </c>
      <c r="HR24" s="21" t="n">
        <v>205.969</v>
      </c>
      <c r="HS24" s="21" t="n">
        <v>176.334</v>
      </c>
      <c r="HT24" s="21" t="n">
        <v>141.855</v>
      </c>
      <c r="HU24" s="21" t="n">
        <v>123.542</v>
      </c>
      <c r="HV24" s="21" t="n">
        <v>165.185</v>
      </c>
      <c r="HW24" s="21" t="n">
        <v>156.433</v>
      </c>
      <c r="HX24" s="21" t="n">
        <v>365.907</v>
      </c>
      <c r="HY24" s="21" t="n">
        <v>277.348</v>
      </c>
      <c r="HZ24" s="21" t="n">
        <v>292.653</v>
      </c>
      <c r="IA24" s="21" t="n">
        <v>247.979</v>
      </c>
      <c r="IB24" s="21" t="n">
        <v>173.092</v>
      </c>
      <c r="IC24" s="21" t="n">
        <v>503.44</v>
      </c>
      <c r="ID24" s="21" t="n">
        <v>184.043</v>
      </c>
      <c r="IE24" s="21" t="n">
        <v>174.018</v>
      </c>
      <c r="IF24" s="21" t="n">
        <v>200.411</v>
      </c>
      <c r="IG24" s="21" t="n">
        <v>224.293</v>
      </c>
      <c r="IH24" s="21" t="n">
        <v>123.405</v>
      </c>
      <c r="II24" s="21" t="n">
        <v>261.563</v>
      </c>
      <c r="IJ24" s="21" t="n">
        <v>274.761</v>
      </c>
      <c r="IK24" s="21" t="n">
        <v>159.822</v>
      </c>
      <c r="IL24" s="21" t="n">
        <v>121.401</v>
      </c>
      <c r="IM24" s="21" t="n">
        <v>112.848</v>
      </c>
      <c r="IN24" s="21" t="n">
        <v>67.23</v>
      </c>
      <c r="IO24" s="21" t="n">
        <v>309.398</v>
      </c>
      <c r="IP24" s="21" t="n">
        <v>122.514</v>
      </c>
      <c r="IQ24" s="21" t="n">
        <v>469.333</v>
      </c>
      <c r="IR24" s="21" t="n">
        <v>371.54</v>
      </c>
      <c r="IS24" s="21" t="n">
        <v>121.603</v>
      </c>
      <c r="IT24" s="21" t="n">
        <v>511.311</v>
      </c>
      <c r="IU24" s="21" t="n">
        <v>96.393</v>
      </c>
      <c r="IV24" s="21" t="n">
        <v>99.14100000000001</v>
      </c>
      <c r="IW24" s="21" t="n">
        <v>500.697</v>
      </c>
      <c r="IX24" s="21" t="n">
        <v>375.509</v>
      </c>
      <c r="IY24" s="21" t="n">
        <v>384.11</v>
      </c>
      <c r="IZ24" s="21" t="n">
        <v>467.316</v>
      </c>
      <c r="JA24" s="21" t="n">
        <v>186.797</v>
      </c>
      <c r="JB24" s="21" t="n">
        <v>233.076</v>
      </c>
      <c r="JC24" s="21" t="n">
        <v>73.21299999999999</v>
      </c>
      <c r="JD24" s="21" t="n">
        <v>307.403</v>
      </c>
      <c r="JE24" s="21" t="n">
        <v>303.905</v>
      </c>
      <c r="JF24" s="21" t="n">
        <v>681.3</v>
      </c>
      <c r="JG24" s="21" t="n">
        <v>215.529</v>
      </c>
      <c r="JH24" s="21" t="n">
        <v>120.904</v>
      </c>
      <c r="JI24" s="21" t="n">
        <v>133.588</v>
      </c>
      <c r="JJ24" s="21" t="n">
        <v>116.746</v>
      </c>
      <c r="JK24" s="21" t="n">
        <v>100.779</v>
      </c>
      <c r="JL24" s="21" t="n">
        <v>233.821</v>
      </c>
      <c r="JM24" s="21" t="n">
        <v>442.902</v>
      </c>
      <c r="JN24" s="21" t="n">
        <v>126.512</v>
      </c>
      <c r="JO24" s="21" t="n">
        <v>71.752</v>
      </c>
      <c r="JP24" s="21" t="n">
        <v>38.127</v>
      </c>
      <c r="JQ24" s="21" t="n">
        <v>125.303</v>
      </c>
      <c r="JR24" s="21" t="n">
        <v>33.157</v>
      </c>
      <c r="JS24" s="21" t="n">
        <v>83.27500000000001</v>
      </c>
      <c r="JT24" s="21" t="n">
        <v>170.357</v>
      </c>
      <c r="JU24" s="21" t="n">
        <v>198.492</v>
      </c>
      <c r="JV24" s="21" t="n">
        <v>151.859</v>
      </c>
      <c r="JW24" s="21" t="n">
        <v>114.161</v>
      </c>
      <c r="JX24" s="21" t="n">
        <v>236.128</v>
      </c>
      <c r="JY24" s="21" t="n">
        <v>186.065</v>
      </c>
      <c r="JZ24" s="21" t="n">
        <v>247.186</v>
      </c>
      <c r="KA24" s="21" t="n">
        <v>111.999</v>
      </c>
      <c r="KB24" s="21" t="n">
        <v>147.067</v>
      </c>
      <c r="KC24" s="21" t="n">
        <v>82.077</v>
      </c>
      <c r="KD24" s="21" t="n">
        <v>76.54000000000001</v>
      </c>
      <c r="KE24" s="21" t="n">
        <v>55.719</v>
      </c>
      <c r="KF24" s="21" t="n"/>
      <c r="KG24" s="21" t="n">
        <v>22.841</v>
      </c>
      <c r="KH24" s="21" t="n">
        <v>125.61</v>
      </c>
      <c r="KI24" s="21" t="n">
        <v>128.546</v>
      </c>
      <c r="KJ24" s="21" t="n">
        <v>124.255</v>
      </c>
      <c r="KK24" s="21" t="n">
        <v>42.42</v>
      </c>
      <c r="KL24" s="21" t="n">
        <v>39.207</v>
      </c>
      <c r="KM24" s="21" t="n">
        <v>47.636</v>
      </c>
      <c r="KN24" s="21" t="n"/>
      <c r="KO24" s="21" t="n">
        <v>95.262</v>
      </c>
      <c r="KP24" s="21" t="n">
        <v>102.13</v>
      </c>
      <c r="KQ24" s="21" t="n">
        <v>160.198</v>
      </c>
      <c r="KR24" s="21" t="n">
        <v>133.789</v>
      </c>
      <c r="KS24" s="21" t="n">
        <v>362.945</v>
      </c>
      <c r="KT24" s="21" t="n">
        <v>176.012</v>
      </c>
      <c r="KU24" s="21" t="n">
        <v>207.658</v>
      </c>
      <c r="KV24" s="21" t="n">
        <v>293.455</v>
      </c>
      <c r="KW24" s="21" t="n">
        <v>241.534</v>
      </c>
      <c r="KX24" s="21" t="n">
        <v>167.097</v>
      </c>
      <c r="KY24" s="21" t="n">
        <v>98.98999999999999</v>
      </c>
      <c r="KZ24" s="21" t="n">
        <v>139.086</v>
      </c>
      <c r="LA24" s="21" t="n">
        <v>251.155</v>
      </c>
      <c r="LB24" s="21" t="n">
        <v>700.418</v>
      </c>
      <c r="LC24" s="21" t="n">
        <v>242.58</v>
      </c>
      <c r="LD24" s="21" t="n">
        <v>717.843</v>
      </c>
      <c r="LE24" s="21" t="n">
        <v>817.8</v>
      </c>
      <c r="LF24" s="21" t="n">
        <v>75.48999999999999</v>
      </c>
      <c r="LG24" s="21" t="n">
        <v>286.568</v>
      </c>
      <c r="LH24" s="21" t="n">
        <v>239.593</v>
      </c>
      <c r="LI24" s="21" t="n">
        <v>78.22799999999999</v>
      </c>
      <c r="LJ24" s="21" t="n">
        <v>174.987</v>
      </c>
      <c r="LK24" s="21" t="n">
        <v>275.718</v>
      </c>
      <c r="LL24" s="21" t="n">
        <v>274.116</v>
      </c>
      <c r="LM24" s="21" t="n">
        <v>74.414</v>
      </c>
      <c r="LN24" s="21" t="n">
        <v>97.40900000000001</v>
      </c>
      <c r="LO24" s="21" t="n">
        <v>53.578</v>
      </c>
      <c r="LP24" s="21" t="n">
        <v>114.418</v>
      </c>
      <c r="LQ24" s="21" t="n"/>
      <c r="LR24" s="21" t="n"/>
      <c r="LS24" s="21" t="n">
        <v>114.982</v>
      </c>
      <c r="LT24" s="21" t="n">
        <v>43.576</v>
      </c>
      <c r="LU24" s="21" t="n">
        <v>32.668</v>
      </c>
      <c r="LV24" s="21" t="n">
        <v>77.452</v>
      </c>
      <c r="LW24" s="21" t="n">
        <v>274.386</v>
      </c>
      <c r="LX24" s="21" t="n"/>
      <c r="LY24" s="21" t="n">
        <v>426.045</v>
      </c>
      <c r="LZ24" s="21" t="n">
        <v>61.486</v>
      </c>
      <c r="MA24" s="21" t="n">
        <v>398.492</v>
      </c>
      <c r="MB24" s="21" t="n">
        <v>252.979</v>
      </c>
      <c r="MC24" s="21" t="n">
        <v>225.548</v>
      </c>
      <c r="MD24" s="21" t="n">
        <v>162.264</v>
      </c>
      <c r="ME24" s="21" t="n">
        <v>102.507</v>
      </c>
      <c r="MF24" s="21" t="n">
        <v>188.081</v>
      </c>
      <c r="MG24" s="21" t="n">
        <v>254.868</v>
      </c>
      <c r="MH24" s="21" t="n">
        <v>155.511</v>
      </c>
      <c r="MI24" s="21" t="n">
        <v>416.587</v>
      </c>
      <c r="MJ24" s="21" t="n">
        <v>339.966</v>
      </c>
      <c r="MK24" s="21" t="n">
        <v>321.767</v>
      </c>
      <c r="ML24" s="21" t="n">
        <v>161.467</v>
      </c>
      <c r="MM24" s="21" t="n">
        <v>186.493</v>
      </c>
      <c r="MN24" s="21" t="n">
        <v>334.932</v>
      </c>
      <c r="MO24" s="21" t="n">
        <v>156.038</v>
      </c>
      <c r="MP24" s="21" t="n">
        <v>229.485</v>
      </c>
      <c r="MQ24" s="21" t="n">
        <v>79.84</v>
      </c>
      <c r="MR24" s="21" t="n">
        <v>153.384</v>
      </c>
      <c r="MS24" s="21" t="n">
        <v>80.361</v>
      </c>
      <c r="MT24" s="21" t="n">
        <v>230.416</v>
      </c>
      <c r="MU24" s="21" t="n">
        <v>248.269</v>
      </c>
      <c r="MV24" s="21" t="n">
        <v>240.403</v>
      </c>
      <c r="MW24" s="21" t="n">
        <v>249.227</v>
      </c>
      <c r="MX24" s="21" t="n">
        <v>224.244</v>
      </c>
      <c r="MY24" s="21" t="n">
        <v>218.177</v>
      </c>
      <c r="MZ24" s="21" t="n">
        <v>225.472</v>
      </c>
      <c r="NA24" s="21" t="n">
        <v>230.836</v>
      </c>
      <c r="NB24" s="21" t="n">
        <v>120.123</v>
      </c>
      <c r="NC24" s="21" t="n">
        <v>179.02</v>
      </c>
      <c r="ND24" s="21" t="n">
        <v>148.502</v>
      </c>
      <c r="NE24" s="21" t="n">
        <v>145.241</v>
      </c>
      <c r="NF24" s="21" t="n">
        <v>144.593</v>
      </c>
      <c r="NG24" s="21" t="n">
        <v>146.052</v>
      </c>
      <c r="NH24" s="21" t="n">
        <v>244.878</v>
      </c>
      <c r="NI24" s="21" t="n">
        <v>105.479</v>
      </c>
      <c r="NJ24" s="21" t="n">
        <v>79.08799999999999</v>
      </c>
      <c r="NK24" s="21" t="n">
        <v>111.105</v>
      </c>
      <c r="NL24" s="21" t="n">
        <v>191.402</v>
      </c>
      <c r="NM24" s="21" t="n">
        <v>196.855</v>
      </c>
      <c r="NN24" s="21" t="n">
        <v>90.682</v>
      </c>
      <c r="NO24" s="21" t="n">
        <v>58.319</v>
      </c>
      <c r="NP24" s="21" t="n">
        <v>215.885</v>
      </c>
      <c r="NQ24" s="21" t="n">
        <v>189.205</v>
      </c>
      <c r="NR24" s="21" t="n">
        <v>226.897</v>
      </c>
      <c r="NS24" s="21" t="n">
        <v>185.846</v>
      </c>
      <c r="NT24" s="21" t="n">
        <v>226.495</v>
      </c>
      <c r="NU24" s="21" t="n">
        <v>109.32</v>
      </c>
      <c r="NV24" s="21" t="n">
        <v>116.475</v>
      </c>
      <c r="NW24" s="21" t="n">
        <v>347.245</v>
      </c>
      <c r="NX24" s="21" t="n">
        <v>84.32899999999999</v>
      </c>
      <c r="NY24" s="21" t="n">
        <v>115.739</v>
      </c>
      <c r="NZ24" s="21" t="n">
        <v>304.202</v>
      </c>
      <c r="OA24" s="21" t="n">
        <v>302.807</v>
      </c>
      <c r="OB24" s="21" t="n">
        <v>313.702</v>
      </c>
      <c r="OC24" s="21" t="n">
        <v>287.824</v>
      </c>
      <c r="OD24" s="21" t="n">
        <v>324.607</v>
      </c>
      <c r="OE24" s="21" t="n">
        <v>104.125</v>
      </c>
      <c r="OF24" s="21" t="n">
        <v>302.164</v>
      </c>
      <c r="OG24" s="21" t="n">
        <v>214.242</v>
      </c>
      <c r="OH24" s="21" t="n">
        <v>50.45</v>
      </c>
      <c r="OI24" s="21" t="n">
        <v>118.257</v>
      </c>
      <c r="OJ24" s="21" t="n">
        <v>41.4</v>
      </c>
      <c r="OK24" s="21" t="n">
        <v>13.8</v>
      </c>
    </row>
    <row r="25">
      <c r="A25" s="22" t="n">
        <v>42705</v>
      </c>
      <c r="B25" s="21" t="n">
        <v>241.432</v>
      </c>
      <c r="C25" s="21" t="n">
        <v>723.224</v>
      </c>
      <c r="D25" s="21" t="n">
        <v>247.134</v>
      </c>
      <c r="E25" s="21" t="n">
        <v>247.313</v>
      </c>
      <c r="F25" s="21" t="n">
        <v>236.464</v>
      </c>
      <c r="G25" s="21" t="n">
        <v>271.374</v>
      </c>
      <c r="H25" s="21" t="n">
        <v>228.468</v>
      </c>
      <c r="I25" s="21" t="n">
        <v>228.792</v>
      </c>
      <c r="J25" s="21" t="n">
        <v>227.769</v>
      </c>
      <c r="K25" s="21" t="n">
        <v>234.518</v>
      </c>
      <c r="L25" s="21" t="n">
        <v>160.705</v>
      </c>
      <c r="M25" s="21" t="n">
        <v>295.821</v>
      </c>
      <c r="N25" s="21" t="n">
        <v>178.046</v>
      </c>
      <c r="O25" s="21" t="n">
        <v>324.4</v>
      </c>
      <c r="P25" s="21" t="n">
        <v>342.771</v>
      </c>
      <c r="Q25" s="21" t="n">
        <v>176.989</v>
      </c>
      <c r="R25" s="21" t="n">
        <v>283.239</v>
      </c>
      <c r="S25" s="21" t="n">
        <v>301.403</v>
      </c>
      <c r="T25" s="21" t="n">
        <v>269.367</v>
      </c>
      <c r="U25" s="21" t="n">
        <v>260.987</v>
      </c>
      <c r="V25" s="21" t="n">
        <v>294.035</v>
      </c>
      <c r="W25" s="21" t="n">
        <v>298.931</v>
      </c>
      <c r="X25" s="21" t="n">
        <v>263.174</v>
      </c>
      <c r="Y25" s="21" t="n">
        <v>241.612</v>
      </c>
      <c r="Z25" s="21" t="n">
        <v>244.706</v>
      </c>
      <c r="AA25" s="21" t="n">
        <v>246.064</v>
      </c>
      <c r="AB25" s="21" t="n">
        <v>290.748</v>
      </c>
      <c r="AC25" s="21" t="n">
        <v>258.438</v>
      </c>
      <c r="AD25" s="21" t="n">
        <v>213.412</v>
      </c>
      <c r="AE25" s="21" t="n">
        <v>196.873</v>
      </c>
      <c r="AF25" s="21" t="n">
        <v>230.374</v>
      </c>
      <c r="AG25" s="21" t="n">
        <v>202.587</v>
      </c>
      <c r="AH25" s="21" t="n">
        <v>148.905</v>
      </c>
      <c r="AI25" s="21" t="n">
        <v>275.491</v>
      </c>
      <c r="AJ25" s="21" t="n">
        <v>136.036</v>
      </c>
      <c r="AK25" s="21" t="n">
        <v>191.459</v>
      </c>
      <c r="AL25" s="21" t="n">
        <v>212.135</v>
      </c>
      <c r="AM25" s="21" t="n">
        <v>181.695</v>
      </c>
      <c r="AN25" s="21" t="n">
        <v>126.956</v>
      </c>
      <c r="AO25" s="21" t="n">
        <v>227.683</v>
      </c>
      <c r="AP25" s="21" t="n">
        <v>231.58</v>
      </c>
      <c r="AQ25" s="21" t="n">
        <v>147.366</v>
      </c>
      <c r="AR25" s="21" t="n">
        <v>324.221</v>
      </c>
      <c r="AS25" s="21" t="n">
        <v>167.956</v>
      </c>
      <c r="AT25" s="21" t="n">
        <v>228.209</v>
      </c>
      <c r="AU25" s="21" t="n">
        <v>146.355</v>
      </c>
      <c r="AV25" s="21" t="n">
        <v>249.173</v>
      </c>
      <c r="AW25" s="21" t="n">
        <v>215.227</v>
      </c>
      <c r="AX25" s="21" t="n">
        <v>150.932</v>
      </c>
      <c r="AY25" s="21" t="n">
        <v>284.052</v>
      </c>
      <c r="AZ25" s="21" t="n">
        <v>174.976</v>
      </c>
      <c r="BA25" s="21" t="n">
        <v>143.1</v>
      </c>
      <c r="BB25" s="21" t="n">
        <v>201.114</v>
      </c>
      <c r="BC25" s="21" t="n">
        <v>299.135</v>
      </c>
      <c r="BD25" s="21" t="n">
        <v>201.569</v>
      </c>
      <c r="BE25" s="21" t="n">
        <v>217.929</v>
      </c>
      <c r="BF25" s="21" t="n">
        <v>143.403</v>
      </c>
      <c r="BG25" s="21" t="n">
        <v>206.917</v>
      </c>
      <c r="BH25" s="21" t="n">
        <v>146.549</v>
      </c>
      <c r="BI25" s="21" t="n">
        <v>224.305</v>
      </c>
      <c r="BJ25" s="21" t="n">
        <v>223.549</v>
      </c>
      <c r="BK25" s="21" t="n">
        <v>146.157</v>
      </c>
      <c r="BL25" s="21" t="n">
        <v>291.957</v>
      </c>
      <c r="BM25" s="21" t="n">
        <v>336.988</v>
      </c>
      <c r="BN25" s="21" t="n">
        <v>356.987</v>
      </c>
      <c r="BO25" s="21" t="n">
        <v>337.515</v>
      </c>
      <c r="BP25" s="21" t="n">
        <v>198.865</v>
      </c>
      <c r="BQ25" s="21" t="n">
        <v>227.649</v>
      </c>
      <c r="BR25" s="21" t="n">
        <v>456.098</v>
      </c>
      <c r="BS25" s="21" t="n">
        <v>123.948</v>
      </c>
      <c r="BT25" s="21" t="n">
        <v>314.786</v>
      </c>
      <c r="BU25" s="21" t="n">
        <v>323.004</v>
      </c>
      <c r="BV25" s="21" t="n">
        <v>283.702</v>
      </c>
      <c r="BW25" s="21" t="n">
        <v>328.824</v>
      </c>
      <c r="BX25" s="21" t="n">
        <v>320.377</v>
      </c>
      <c r="BY25" s="21" t="n">
        <v>155.193</v>
      </c>
      <c r="BZ25" s="21" t="n">
        <v>159.139</v>
      </c>
      <c r="CA25" s="21" t="n">
        <v>156.161</v>
      </c>
      <c r="CB25" s="21" t="n">
        <v>166.277</v>
      </c>
      <c r="CC25" s="21" t="n">
        <v>146.034</v>
      </c>
      <c r="CD25" s="21" t="n">
        <v>199.509</v>
      </c>
      <c r="CE25" s="21" t="n">
        <v>158.367</v>
      </c>
      <c r="CF25" s="21" t="n">
        <v>197.172</v>
      </c>
      <c r="CG25" s="21" t="n">
        <v>165.965</v>
      </c>
      <c r="CH25" s="21" t="n">
        <v>128.1</v>
      </c>
      <c r="CI25" s="21" t="n">
        <v>158.624</v>
      </c>
      <c r="CJ25" s="21" t="n">
        <v>178.861</v>
      </c>
      <c r="CK25" s="21" t="n">
        <v>117.802</v>
      </c>
      <c r="CL25" s="21" t="n">
        <v>116.406</v>
      </c>
      <c r="CM25" s="21" t="n">
        <v>193.557</v>
      </c>
      <c r="CN25" s="21" t="n">
        <v>201.867</v>
      </c>
      <c r="CO25" s="21" t="n">
        <v>194.307</v>
      </c>
      <c r="CP25" s="21" t="n">
        <v>129.127</v>
      </c>
      <c r="CQ25" s="21" t="n">
        <v>208.301</v>
      </c>
      <c r="CR25" s="21" t="n">
        <v>213.943</v>
      </c>
      <c r="CS25" s="21" t="n">
        <v>180.166</v>
      </c>
      <c r="CT25" s="21" t="n">
        <v>145.06</v>
      </c>
      <c r="CU25" s="21" t="n">
        <v>154.077</v>
      </c>
      <c r="CV25" s="21" t="n">
        <v>223.004</v>
      </c>
      <c r="CW25" s="21" t="n">
        <v>195.422</v>
      </c>
      <c r="CX25" s="21" t="n">
        <v>224.015</v>
      </c>
      <c r="CY25" s="21" t="n">
        <v>296.285</v>
      </c>
      <c r="CZ25" s="21" t="n">
        <v>129.464</v>
      </c>
      <c r="DA25" s="21" t="n">
        <v>155.628</v>
      </c>
      <c r="DB25" s="21" t="n">
        <v>155.94</v>
      </c>
      <c r="DC25" s="21" t="n">
        <v>223.068</v>
      </c>
      <c r="DD25" s="21" t="n">
        <v>239.686</v>
      </c>
      <c r="DE25" s="21" t="n">
        <v>169.675</v>
      </c>
      <c r="DF25" s="21" t="n">
        <v>249.405</v>
      </c>
      <c r="DG25" s="21" t="n">
        <v>233.682</v>
      </c>
      <c r="DH25" s="21" t="n">
        <v>148.891</v>
      </c>
      <c r="DI25" s="21" t="n">
        <v>130.974</v>
      </c>
      <c r="DJ25" s="21" t="n">
        <v>135.333</v>
      </c>
      <c r="DK25" s="21" t="n">
        <v>263.684</v>
      </c>
      <c r="DL25" s="21" t="n">
        <v>156.954</v>
      </c>
      <c r="DM25" s="21" t="n">
        <v>132.488</v>
      </c>
      <c r="DN25" s="21" t="n">
        <v>128.25</v>
      </c>
      <c r="DO25" s="21" t="n">
        <v>265.104</v>
      </c>
      <c r="DP25" s="21" t="n">
        <v>164.876</v>
      </c>
      <c r="DQ25" s="21" t="n">
        <v>169.009</v>
      </c>
      <c r="DR25" s="21" t="n">
        <v>172.372</v>
      </c>
      <c r="DS25" s="21" t="n">
        <v>143.948</v>
      </c>
      <c r="DT25" s="21" t="n">
        <v>153.031</v>
      </c>
      <c r="DU25" s="21" t="n">
        <v>182.786</v>
      </c>
      <c r="DV25" s="21" t="n">
        <v>243.414</v>
      </c>
      <c r="DW25" s="21" t="n">
        <v>198.845</v>
      </c>
      <c r="DX25" s="21" t="n">
        <v>221.488</v>
      </c>
      <c r="DY25" s="21" t="n">
        <v>192.289</v>
      </c>
      <c r="DZ25" s="21" t="n">
        <v>205.969</v>
      </c>
      <c r="EA25" s="21" t="n">
        <v>187.232</v>
      </c>
      <c r="EB25" s="21" t="n">
        <v>166.231</v>
      </c>
      <c r="EC25" s="21" t="n">
        <v>340.158</v>
      </c>
      <c r="ED25" s="21" t="n">
        <v>168.391</v>
      </c>
      <c r="EE25" s="21" t="n">
        <v>182.368</v>
      </c>
      <c r="EF25" s="21" t="n">
        <v>184.029</v>
      </c>
      <c r="EG25" s="21" t="n">
        <v>246.795</v>
      </c>
      <c r="EH25" s="21" t="n">
        <v>292.612</v>
      </c>
      <c r="EI25" s="21" t="n">
        <v>302.735</v>
      </c>
      <c r="EJ25" s="21" t="n">
        <v>146.025</v>
      </c>
      <c r="EK25" s="21" t="n">
        <v>532.912</v>
      </c>
      <c r="EL25" s="21" t="n">
        <v>295.946</v>
      </c>
      <c r="EM25" s="21" t="n">
        <v>300.501</v>
      </c>
      <c r="EN25" s="21" t="n">
        <v>300.476</v>
      </c>
      <c r="EO25" s="21" t="n">
        <v>147.793</v>
      </c>
      <c r="EP25" s="21" t="n">
        <v>229.492</v>
      </c>
      <c r="EQ25" s="21" t="n">
        <v>190.931</v>
      </c>
      <c r="ER25" s="21" t="n">
        <v>246.692</v>
      </c>
      <c r="ES25" s="21" t="n">
        <v>235.127</v>
      </c>
      <c r="ET25" s="21" t="n">
        <v>311.153</v>
      </c>
      <c r="EU25" s="21" t="n">
        <v>195.079</v>
      </c>
      <c r="EV25" s="21" t="n">
        <v>203.146</v>
      </c>
      <c r="EW25" s="21" t="n">
        <v>167.935</v>
      </c>
      <c r="EX25" s="21" t="n">
        <v>224.745</v>
      </c>
      <c r="EY25" s="21" t="n">
        <v>521.107</v>
      </c>
      <c r="EZ25" s="21" t="n">
        <v>444.745</v>
      </c>
      <c r="FA25" s="21" t="n">
        <v>120.712</v>
      </c>
      <c r="FB25" s="21" t="n">
        <v>57.921</v>
      </c>
      <c r="FC25" s="21" t="n">
        <v>110.28</v>
      </c>
      <c r="FD25" s="21" t="n">
        <v>69.866</v>
      </c>
      <c r="FE25" s="21" t="n">
        <v>43.542</v>
      </c>
      <c r="FF25" s="21" t="n">
        <v>110.833</v>
      </c>
      <c r="FG25" s="21" t="n">
        <v>127.054</v>
      </c>
      <c r="FH25" s="21" t="n">
        <v>84.815</v>
      </c>
      <c r="FI25" s="21" t="n">
        <v>69.58499999999999</v>
      </c>
      <c r="FJ25" s="21" t="n">
        <v>99.699</v>
      </c>
      <c r="FK25" s="21" t="n">
        <v>73.553</v>
      </c>
      <c r="FL25" s="21" t="n">
        <v>80.104</v>
      </c>
      <c r="FM25" s="21" t="n">
        <v>90.91500000000001</v>
      </c>
      <c r="FN25" s="21" t="n">
        <v>63.556</v>
      </c>
      <c r="FO25" s="21" t="n">
        <v>55.495</v>
      </c>
      <c r="FP25" s="21" t="n">
        <v>43.231</v>
      </c>
      <c r="FQ25" s="21" t="n">
        <v>128.148</v>
      </c>
      <c r="FR25" s="21" t="n">
        <v>50.5</v>
      </c>
      <c r="FS25" s="21" t="n">
        <v>86.83799999999999</v>
      </c>
      <c r="FT25" s="21" t="n">
        <v>89.854</v>
      </c>
      <c r="FU25" s="21" t="n">
        <v>97.268</v>
      </c>
      <c r="FV25" s="21" t="n">
        <v>86.34099999999999</v>
      </c>
      <c r="FW25" s="21" t="n">
        <v>185.473</v>
      </c>
      <c r="FX25" s="21" t="n">
        <v>119.587</v>
      </c>
      <c r="FY25" s="21" t="n">
        <v>169.061</v>
      </c>
      <c r="FZ25" s="21" t="n">
        <v>115.799</v>
      </c>
      <c r="GA25" s="21" t="n">
        <v>174.251</v>
      </c>
      <c r="GB25" s="21" t="n">
        <v>157.884</v>
      </c>
      <c r="GC25" s="21" t="n">
        <v>177.71</v>
      </c>
      <c r="GD25" s="21" t="n">
        <v>158.532</v>
      </c>
      <c r="GE25" s="21" t="n">
        <v>233.676</v>
      </c>
      <c r="GF25" s="21" t="n">
        <v>122.637</v>
      </c>
      <c r="GG25" s="21" t="n">
        <v>113.982</v>
      </c>
      <c r="GH25" s="21" t="n">
        <v>116.934</v>
      </c>
      <c r="GI25" s="21" t="n">
        <v>103.183</v>
      </c>
      <c r="GJ25" s="21" t="n">
        <v>146.869</v>
      </c>
      <c r="GK25" s="21" t="n">
        <v>77.70099999999999</v>
      </c>
      <c r="GL25" s="21" t="n">
        <v>113.462</v>
      </c>
      <c r="GM25" s="21" t="n">
        <v>101.937</v>
      </c>
      <c r="GN25" s="21" t="n">
        <v>107.763</v>
      </c>
      <c r="GO25" s="21" t="n">
        <v>110.497</v>
      </c>
      <c r="GP25" s="21" t="n">
        <v>105.033</v>
      </c>
      <c r="GQ25" s="21" t="n">
        <v>115.64</v>
      </c>
      <c r="GR25" s="21" t="n">
        <v>77.538</v>
      </c>
      <c r="GS25" s="21" t="n">
        <v>104.986</v>
      </c>
      <c r="GT25" s="21" t="n">
        <v>94.693</v>
      </c>
      <c r="GU25" s="21" t="n">
        <v>136.727</v>
      </c>
      <c r="GV25" s="21" t="n">
        <v>136.722</v>
      </c>
      <c r="GW25" s="21" t="n">
        <v>152.586</v>
      </c>
      <c r="GX25" s="21" t="n">
        <v>128.563</v>
      </c>
      <c r="GY25" s="21" t="n">
        <v>115.262</v>
      </c>
      <c r="GZ25" s="21" t="n">
        <v>162.278</v>
      </c>
      <c r="HA25" s="21" t="n">
        <v>123.631</v>
      </c>
      <c r="HB25" s="21" t="n">
        <v>169.343</v>
      </c>
      <c r="HC25" s="21" t="n">
        <v>196.252</v>
      </c>
      <c r="HD25" s="21" t="n">
        <v>191.417</v>
      </c>
      <c r="HE25" s="21" t="n">
        <v>98.65600000000001</v>
      </c>
      <c r="HF25" s="21" t="n">
        <v>147.299</v>
      </c>
      <c r="HG25" s="21" t="n">
        <v>102.108</v>
      </c>
      <c r="HH25" s="21" t="n">
        <v>143.347</v>
      </c>
      <c r="HI25" s="21" t="n">
        <v>156.529</v>
      </c>
      <c r="HJ25" s="21" t="n"/>
      <c r="HK25" s="21" t="n">
        <v>137.475</v>
      </c>
      <c r="HL25" s="21" t="n">
        <v>83.252</v>
      </c>
      <c r="HM25" s="21" t="n">
        <v>127.911</v>
      </c>
      <c r="HN25" s="21" t="n">
        <v>196.831</v>
      </c>
      <c r="HO25" s="21" t="n">
        <v>195.915</v>
      </c>
      <c r="HP25" s="21" t="n">
        <v>191.969</v>
      </c>
      <c r="HQ25" s="21" t="n">
        <v>211.397</v>
      </c>
      <c r="HR25" s="21" t="n">
        <v>207.005</v>
      </c>
      <c r="HS25" s="21" t="n">
        <v>178.797</v>
      </c>
      <c r="HT25" s="21" t="n">
        <v>142.735</v>
      </c>
      <c r="HU25" s="21" t="n">
        <v>123.967</v>
      </c>
      <c r="HV25" s="21" t="n">
        <v>166.886</v>
      </c>
      <c r="HW25" s="21" t="n">
        <v>157.355</v>
      </c>
      <c r="HX25" s="21" t="n">
        <v>374.129</v>
      </c>
      <c r="HY25" s="21" t="n">
        <v>278.002</v>
      </c>
      <c r="HZ25" s="21" t="n">
        <v>291.454</v>
      </c>
      <c r="IA25" s="21" t="n">
        <v>248.616</v>
      </c>
      <c r="IB25" s="21" t="n">
        <v>173.59</v>
      </c>
      <c r="IC25" s="21" t="n">
        <v>507.589</v>
      </c>
      <c r="ID25" s="21" t="n">
        <v>183.974</v>
      </c>
      <c r="IE25" s="21" t="n">
        <v>173.925</v>
      </c>
      <c r="IF25" s="21" t="n">
        <v>200.376</v>
      </c>
      <c r="IG25" s="21" t="n">
        <v>224.301</v>
      </c>
      <c r="IH25" s="21" t="n">
        <v>123.314</v>
      </c>
      <c r="II25" s="21" t="n">
        <v>256.802</v>
      </c>
      <c r="IJ25" s="21" t="n">
        <v>265.436</v>
      </c>
      <c r="IK25" s="21" t="n">
        <v>161.515</v>
      </c>
      <c r="IL25" s="21" t="n">
        <v>128.4</v>
      </c>
      <c r="IM25" s="21" t="n">
        <v>120.206</v>
      </c>
      <c r="IN25" s="21" t="n">
        <v>66.64</v>
      </c>
      <c r="IO25" s="21" t="n">
        <v>309.396</v>
      </c>
      <c r="IP25" s="21" t="n">
        <v>122.514</v>
      </c>
      <c r="IQ25" s="21" t="n">
        <v>469.447</v>
      </c>
      <c r="IR25" s="21" t="n">
        <v>371.561</v>
      </c>
      <c r="IS25" s="21" t="n">
        <v>121.605</v>
      </c>
      <c r="IT25" s="21" t="n">
        <v>511.191</v>
      </c>
      <c r="IU25" s="21" t="n">
        <v>96.489</v>
      </c>
      <c r="IV25" s="21" t="n">
        <v>99.276</v>
      </c>
      <c r="IW25" s="21" t="n">
        <v>500.845</v>
      </c>
      <c r="IX25" s="21" t="n">
        <v>375.813</v>
      </c>
      <c r="IY25" s="21" t="n">
        <v>384.519</v>
      </c>
      <c r="IZ25" s="21" t="n">
        <v>467.568</v>
      </c>
      <c r="JA25" s="21" t="n">
        <v>186.833</v>
      </c>
      <c r="JB25" s="21" t="n">
        <v>233.259</v>
      </c>
      <c r="JC25" s="21" t="n">
        <v>73.232</v>
      </c>
      <c r="JD25" s="21" t="n">
        <v>307.465</v>
      </c>
      <c r="JE25" s="21" t="n">
        <v>303.915</v>
      </c>
      <c r="JF25" s="21" t="n">
        <v>681.253</v>
      </c>
      <c r="JG25" s="21" t="n">
        <v>215.607</v>
      </c>
      <c r="JH25" s="21" t="n">
        <v>121.088</v>
      </c>
      <c r="JI25" s="21" t="n">
        <v>133.425</v>
      </c>
      <c r="JJ25" s="21" t="n">
        <v>116.559</v>
      </c>
      <c r="JK25" s="21" t="n">
        <v>100.714</v>
      </c>
      <c r="JL25" s="21" t="n">
        <v>225.545</v>
      </c>
      <c r="JM25" s="21" t="n">
        <v>443.947</v>
      </c>
      <c r="JN25" s="21" t="n">
        <v>123.178</v>
      </c>
      <c r="JO25" s="21" t="n">
        <v>71.376</v>
      </c>
      <c r="JP25" s="21" t="n">
        <v>38.276</v>
      </c>
      <c r="JQ25" s="21" t="n">
        <v>125.528</v>
      </c>
      <c r="JR25" s="21" t="n">
        <v>33.137</v>
      </c>
      <c r="JS25" s="21" t="n">
        <v>83.26600000000001</v>
      </c>
      <c r="JT25" s="21" t="n">
        <v>169.853</v>
      </c>
      <c r="JU25" s="21" t="n">
        <v>198.403</v>
      </c>
      <c r="JV25" s="21" t="n">
        <v>151.947</v>
      </c>
      <c r="JW25" s="21" t="n">
        <v>113.832</v>
      </c>
      <c r="JX25" s="21" t="n">
        <v>234.492</v>
      </c>
      <c r="JY25" s="21" t="n">
        <v>185.895</v>
      </c>
      <c r="JZ25" s="21" t="n">
        <v>245.496</v>
      </c>
      <c r="KA25" s="21" t="n">
        <v>111.806</v>
      </c>
      <c r="KB25" s="21" t="n">
        <v>147.732</v>
      </c>
      <c r="KC25" s="21" t="n">
        <v>81.33499999999999</v>
      </c>
      <c r="KD25" s="21" t="n">
        <v>76.051</v>
      </c>
      <c r="KE25" s="21" t="n">
        <v>55.292</v>
      </c>
      <c r="KF25" s="21" t="n"/>
      <c r="KG25" s="21" t="n">
        <v>22.631</v>
      </c>
      <c r="KH25" s="21" t="n">
        <v>124.945</v>
      </c>
      <c r="KI25" s="21" t="n">
        <v>128.427</v>
      </c>
      <c r="KJ25" s="21" t="n">
        <v>123.314</v>
      </c>
      <c r="KK25" s="21" t="n">
        <v>41.914</v>
      </c>
      <c r="KL25" s="21" t="n">
        <v>38.674</v>
      </c>
      <c r="KM25" s="21" t="n">
        <v>47.172</v>
      </c>
      <c r="KN25" s="21" t="n"/>
      <c r="KO25" s="21" t="n">
        <v>96.71299999999999</v>
      </c>
      <c r="KP25" s="21" t="n">
        <v>100.43</v>
      </c>
      <c r="KQ25" s="21" t="n">
        <v>160.069</v>
      </c>
      <c r="KR25" s="21" t="n">
        <v>133.083</v>
      </c>
      <c r="KS25" s="21" t="n">
        <v>364.303</v>
      </c>
      <c r="KT25" s="21" t="n">
        <v>176.238</v>
      </c>
      <c r="KU25" s="21" t="n">
        <v>210.057</v>
      </c>
      <c r="KV25" s="21" t="n">
        <v>294.285</v>
      </c>
      <c r="KW25" s="21" t="n">
        <v>244.969</v>
      </c>
      <c r="KX25" s="21" t="n">
        <v>170.606</v>
      </c>
      <c r="KY25" s="21" t="n">
        <v>99.48099999999999</v>
      </c>
      <c r="KZ25" s="21" t="n">
        <v>139.076</v>
      </c>
      <c r="LA25" s="21" t="n">
        <v>251.466</v>
      </c>
      <c r="LB25" s="21" t="n">
        <v>700.386</v>
      </c>
      <c r="LC25" s="21" t="n">
        <v>242.555</v>
      </c>
      <c r="LD25" s="21" t="n">
        <v>718.785</v>
      </c>
      <c r="LE25" s="21" t="n">
        <v>819.362</v>
      </c>
      <c r="LF25" s="21" t="n">
        <v>75.48999999999999</v>
      </c>
      <c r="LG25" s="21" t="n">
        <v>286.699</v>
      </c>
      <c r="LH25" s="21" t="n">
        <v>239.625</v>
      </c>
      <c r="LI25" s="21" t="n">
        <v>78.13500000000001</v>
      </c>
      <c r="LJ25" s="21" t="n">
        <v>175.035</v>
      </c>
      <c r="LK25" s="21" t="n">
        <v>275.718</v>
      </c>
      <c r="LL25" s="21" t="n">
        <v>275.589</v>
      </c>
      <c r="LM25" s="21" t="n">
        <v>74.321</v>
      </c>
      <c r="LN25" s="21" t="n">
        <v>97.441</v>
      </c>
      <c r="LO25" s="21" t="n">
        <v>53.522</v>
      </c>
      <c r="LP25" s="21" t="n">
        <v>114.835</v>
      </c>
      <c r="LQ25" s="21" t="n"/>
      <c r="LR25" s="21" t="n"/>
      <c r="LS25" s="21" t="n">
        <v>114.458</v>
      </c>
      <c r="LT25" s="21" t="n">
        <v>43.377</v>
      </c>
      <c r="LU25" s="21" t="n">
        <v>32.375</v>
      </c>
      <c r="LV25" s="21" t="n">
        <v>77.09</v>
      </c>
      <c r="LW25" s="21" t="n">
        <v>274.506</v>
      </c>
      <c r="LX25" s="21" t="n"/>
      <c r="LY25" s="21" t="n">
        <v>427.159</v>
      </c>
      <c r="LZ25" s="21" t="n">
        <v>62.001</v>
      </c>
      <c r="MA25" s="21" t="n">
        <v>401.738</v>
      </c>
      <c r="MB25" s="21" t="n">
        <v>255.68</v>
      </c>
      <c r="MC25" s="21" t="n">
        <v>225.796</v>
      </c>
      <c r="MD25" s="21" t="n">
        <v>162.566</v>
      </c>
      <c r="ME25" s="21" t="n">
        <v>102.507</v>
      </c>
      <c r="MF25" s="21" t="n">
        <v>188.833</v>
      </c>
      <c r="MG25" s="21" t="n">
        <v>255.036</v>
      </c>
      <c r="MH25" s="21" t="n">
        <v>155.614</v>
      </c>
      <c r="MI25" s="21" t="n">
        <v>417.622</v>
      </c>
      <c r="MJ25" s="21" t="n">
        <v>341.357</v>
      </c>
      <c r="MK25" s="21" t="n">
        <v>321.925</v>
      </c>
      <c r="ML25" s="21" t="n">
        <v>162.291</v>
      </c>
      <c r="MM25" s="21" t="n">
        <v>186.42</v>
      </c>
      <c r="MN25" s="21" t="n">
        <v>334.625</v>
      </c>
      <c r="MO25" s="21" t="n">
        <v>156.103</v>
      </c>
      <c r="MP25" s="21" t="n">
        <v>229.305</v>
      </c>
      <c r="MQ25" s="21" t="n">
        <v>79.21899999999999</v>
      </c>
      <c r="MR25" s="21" t="n">
        <v>153.788</v>
      </c>
      <c r="MS25" s="21" t="n">
        <v>77.976</v>
      </c>
      <c r="MT25" s="21" t="n">
        <v>230.494</v>
      </c>
      <c r="MU25" s="21" t="n">
        <v>248.172</v>
      </c>
      <c r="MV25" s="21" t="n">
        <v>240.513</v>
      </c>
      <c r="MW25" s="21" t="n">
        <v>249.134</v>
      </c>
      <c r="MX25" s="21" t="n">
        <v>224.099</v>
      </c>
      <c r="MY25" s="21" t="n">
        <v>218.028</v>
      </c>
      <c r="MZ25" s="21" t="n">
        <v>224.952</v>
      </c>
      <c r="NA25" s="21" t="n">
        <v>230.304</v>
      </c>
      <c r="NB25" s="21" t="n">
        <v>114.878</v>
      </c>
      <c r="NC25" s="21" t="n">
        <v>178.7</v>
      </c>
      <c r="ND25" s="21" t="n">
        <v>148.119</v>
      </c>
      <c r="NE25" s="21" t="n">
        <v>144.851</v>
      </c>
      <c r="NF25" s="21" t="n">
        <v>143.668</v>
      </c>
      <c r="NG25" s="21" t="n">
        <v>145.048</v>
      </c>
      <c r="NH25" s="21" t="n">
        <v>244.411</v>
      </c>
      <c r="NI25" s="21" t="n">
        <v>105.431</v>
      </c>
      <c r="NJ25" s="21" t="n">
        <v>78.833</v>
      </c>
      <c r="NK25" s="21" t="n">
        <v>111.131</v>
      </c>
      <c r="NL25" s="21" t="n">
        <v>193.306</v>
      </c>
      <c r="NM25" s="21" t="n">
        <v>200.633</v>
      </c>
      <c r="NN25" s="21" t="n">
        <v>90.508</v>
      </c>
      <c r="NO25" s="21" t="n">
        <v>58.063</v>
      </c>
      <c r="NP25" s="21" t="n">
        <v>215.401</v>
      </c>
      <c r="NQ25" s="21" t="n">
        <v>188.44</v>
      </c>
      <c r="NR25" s="21" t="n">
        <v>228.307</v>
      </c>
      <c r="NS25" s="21" t="n">
        <v>185.035</v>
      </c>
      <c r="NT25" s="21" t="n">
        <v>228.046</v>
      </c>
      <c r="NU25" s="21" t="n">
        <v>109.699</v>
      </c>
      <c r="NV25" s="21" t="n">
        <v>116.685</v>
      </c>
      <c r="NW25" s="21" t="n">
        <v>347.337</v>
      </c>
      <c r="NX25" s="21" t="n">
        <v>83.959</v>
      </c>
      <c r="NY25" s="21" t="n">
        <v>115.703</v>
      </c>
      <c r="NZ25" s="21" t="n">
        <v>304.892</v>
      </c>
      <c r="OA25" s="21" t="n">
        <v>303.272</v>
      </c>
      <c r="OB25" s="21" t="n">
        <v>314.19</v>
      </c>
      <c r="OC25" s="21" t="n">
        <v>288.309</v>
      </c>
      <c r="OD25" s="21" t="n">
        <v>324.846</v>
      </c>
      <c r="OE25" s="21" t="n">
        <v>104.203</v>
      </c>
      <c r="OF25" s="21" t="n">
        <v>302.41</v>
      </c>
      <c r="OG25" s="21" t="n">
        <v>214.037</v>
      </c>
      <c r="OH25" s="21" t="n">
        <v>49.443</v>
      </c>
      <c r="OI25" s="21" t="n">
        <v>118.48</v>
      </c>
      <c r="OJ25" s="21" t="n">
        <v>41.4</v>
      </c>
      <c r="OK25" s="21" t="n">
        <v>13.8</v>
      </c>
    </row>
    <row r="26">
      <c r="A26" s="22" t="n">
        <v>42736</v>
      </c>
      <c r="B26" s="21" t="n">
        <v>242.839</v>
      </c>
      <c r="C26" s="21" t="n">
        <v>727.439</v>
      </c>
      <c r="D26" s="21" t="n">
        <v>248.074</v>
      </c>
      <c r="E26" s="21" t="n">
        <v>248.242</v>
      </c>
      <c r="F26" s="21" t="n">
        <v>237.365</v>
      </c>
      <c r="G26" s="21" t="n">
        <v>272.922</v>
      </c>
      <c r="H26" s="21" t="n">
        <v>229.374</v>
      </c>
      <c r="I26" s="21" t="n">
        <v>239.922</v>
      </c>
      <c r="J26" s="21" t="n">
        <v>225.002</v>
      </c>
      <c r="K26" s="21" t="n">
        <v>237.498</v>
      </c>
      <c r="L26" s="21" t="n">
        <v>161.789</v>
      </c>
      <c r="M26" s="21" t="n">
        <v>297.767</v>
      </c>
      <c r="N26" s="21" t="n">
        <v>177.995</v>
      </c>
      <c r="O26" s="21" t="n">
        <v>324.131</v>
      </c>
      <c r="P26" s="21" t="n">
        <v>341.707</v>
      </c>
      <c r="Q26" s="21" t="n">
        <v>176.024</v>
      </c>
      <c r="R26" s="21" t="n">
        <v>285.509</v>
      </c>
      <c r="S26" s="21" t="n">
        <v>302.732</v>
      </c>
      <c r="T26" s="21" t="n">
        <v>272.735</v>
      </c>
      <c r="U26" s="21" t="n">
        <v>265.645</v>
      </c>
      <c r="V26" s="21" t="n">
        <v>289.768</v>
      </c>
      <c r="W26" s="21" t="n">
        <v>306.109</v>
      </c>
      <c r="X26" s="21" t="n">
        <v>269.747</v>
      </c>
      <c r="Y26" s="21" t="n">
        <v>242.596</v>
      </c>
      <c r="Z26" s="21" t="n">
        <v>244.345</v>
      </c>
      <c r="AA26" s="21" t="n">
        <v>244.995</v>
      </c>
      <c r="AB26" s="21" t="n">
        <v>289.966</v>
      </c>
      <c r="AC26" s="21" t="n">
        <v>259.37</v>
      </c>
      <c r="AD26" s="21" t="n">
        <v>211.022</v>
      </c>
      <c r="AE26" s="21" t="n">
        <v>195.757</v>
      </c>
      <c r="AF26" s="21" t="n">
        <v>228.963</v>
      </c>
      <c r="AG26" s="21" t="n">
        <v>202.929</v>
      </c>
      <c r="AH26" s="21" t="n">
        <v>153.462</v>
      </c>
      <c r="AI26" s="21" t="n">
        <v>280.692</v>
      </c>
      <c r="AJ26" s="21" t="n">
        <v>141.947</v>
      </c>
      <c r="AK26" s="21" t="n">
        <v>191.646</v>
      </c>
      <c r="AL26" s="21" t="n">
        <v>211.895</v>
      </c>
      <c r="AM26" s="21" t="n">
        <v>177.097</v>
      </c>
      <c r="AN26" s="21" t="n">
        <v>123.157</v>
      </c>
      <c r="AO26" s="21" t="n">
        <v>224.334</v>
      </c>
      <c r="AP26" s="21" t="n">
        <v>233.086</v>
      </c>
      <c r="AQ26" s="21" t="n">
        <v>144.236</v>
      </c>
      <c r="AR26" s="21" t="n">
        <v>327.849</v>
      </c>
      <c r="AS26" s="21" t="n">
        <v>169.17</v>
      </c>
      <c r="AT26" s="21" t="n">
        <v>228.707</v>
      </c>
      <c r="AU26" s="21" t="n">
        <v>146.008</v>
      </c>
      <c r="AV26" s="21" t="n">
        <v>241.115</v>
      </c>
      <c r="AW26" s="21" t="n">
        <v>218.308</v>
      </c>
      <c r="AX26" s="21" t="n">
        <v>154.234</v>
      </c>
      <c r="AY26" s="21" t="n">
        <v>285.501</v>
      </c>
      <c r="AZ26" s="21" t="n">
        <v>178.271</v>
      </c>
      <c r="BA26" s="21" t="n">
        <v>141.498</v>
      </c>
      <c r="BB26" s="21" t="n">
        <v>198.684</v>
      </c>
      <c r="BC26" s="21" t="n">
        <v>298.695</v>
      </c>
      <c r="BD26" s="21" t="n">
        <v>220.813</v>
      </c>
      <c r="BE26" s="21" t="n">
        <v>219.804</v>
      </c>
      <c r="BF26" s="21" t="n">
        <v>142.639</v>
      </c>
      <c r="BG26" s="21" t="n">
        <v>206.977</v>
      </c>
      <c r="BH26" s="21" t="n">
        <v>145.138</v>
      </c>
      <c r="BI26" s="21" t="n">
        <v>228.153</v>
      </c>
      <c r="BJ26" s="21" t="n">
        <v>224.731</v>
      </c>
      <c r="BK26" s="21" t="n">
        <v>148.443</v>
      </c>
      <c r="BL26" s="21" t="n">
        <v>291.679</v>
      </c>
      <c r="BM26" s="21" t="n">
        <v>335.844</v>
      </c>
      <c r="BN26" s="21" t="n">
        <v>354.863</v>
      </c>
      <c r="BO26" s="21" t="n">
        <v>330.947</v>
      </c>
      <c r="BP26" s="21" t="n">
        <v>198.357</v>
      </c>
      <c r="BQ26" s="21" t="n">
        <v>231.109</v>
      </c>
      <c r="BR26" s="21" t="n">
        <v>467.489</v>
      </c>
      <c r="BS26" s="21" t="n">
        <v>122.115</v>
      </c>
      <c r="BT26" s="21" t="n">
        <v>314.669</v>
      </c>
      <c r="BU26" s="21" t="n">
        <v>332.772</v>
      </c>
      <c r="BV26" s="21" t="n">
        <v>273.082</v>
      </c>
      <c r="BW26" s="21" t="n">
        <v>324.704</v>
      </c>
      <c r="BX26" s="21" t="n">
        <v>321.452</v>
      </c>
      <c r="BY26" s="21" t="n">
        <v>156.407</v>
      </c>
      <c r="BZ26" s="21" t="n">
        <v>159.891</v>
      </c>
      <c r="CA26" s="21" t="n">
        <v>157.086</v>
      </c>
      <c r="CB26" s="21" t="n">
        <v>167.038</v>
      </c>
      <c r="CC26" s="21" t="n">
        <v>147.6</v>
      </c>
      <c r="CD26" s="21" t="n">
        <v>202.583</v>
      </c>
      <c r="CE26" s="21" t="n">
        <v>160.272</v>
      </c>
      <c r="CF26" s="21" t="n">
        <v>194.81</v>
      </c>
      <c r="CG26" s="21" t="n">
        <v>167.074</v>
      </c>
      <c r="CH26" s="21" t="n">
        <v>128.622</v>
      </c>
      <c r="CI26" s="21" t="n">
        <v>160.93</v>
      </c>
      <c r="CJ26" s="21" t="n">
        <v>177.187</v>
      </c>
      <c r="CK26" s="21" t="n">
        <v>117.494</v>
      </c>
      <c r="CL26" s="21" t="n">
        <v>117.912</v>
      </c>
      <c r="CM26" s="21" t="n">
        <v>197.848</v>
      </c>
      <c r="CN26" s="21" t="n">
        <v>206.886</v>
      </c>
      <c r="CO26" s="21" t="n">
        <v>198.027</v>
      </c>
      <c r="CP26" s="21" t="n">
        <v>128.863</v>
      </c>
      <c r="CQ26" s="21" t="n">
        <v>208.804</v>
      </c>
      <c r="CR26" s="21" t="n">
        <v>214.976</v>
      </c>
      <c r="CS26" s="21" t="n">
        <v>187.509</v>
      </c>
      <c r="CT26" s="21" t="n">
        <v>144.758</v>
      </c>
      <c r="CU26" s="21" t="n">
        <v>153.622</v>
      </c>
      <c r="CV26" s="21" t="n">
        <v>224.516</v>
      </c>
      <c r="CW26" s="21" t="n">
        <v>202.262</v>
      </c>
      <c r="CX26" s="21" t="n">
        <v>236.434</v>
      </c>
      <c r="CY26" s="21" t="n">
        <v>298.282</v>
      </c>
      <c r="CZ26" s="21" t="n">
        <v>128.638</v>
      </c>
      <c r="DA26" s="21" t="n">
        <v>155.086</v>
      </c>
      <c r="DB26" s="21" t="n">
        <v>152.853</v>
      </c>
      <c r="DC26" s="21" t="n">
        <v>223.347</v>
      </c>
      <c r="DD26" s="21" t="n">
        <v>240.672</v>
      </c>
      <c r="DE26" s="21" t="n">
        <v>166.034</v>
      </c>
      <c r="DF26" s="21" t="n">
        <v>250.968</v>
      </c>
      <c r="DG26" s="21" t="n">
        <v>241.006</v>
      </c>
      <c r="DH26" s="21" t="n">
        <v>151.976</v>
      </c>
      <c r="DI26" s="21" t="n">
        <v>137.629</v>
      </c>
      <c r="DJ26" s="21" t="n">
        <v>138.255</v>
      </c>
      <c r="DK26" s="21" t="n">
        <v>274.381</v>
      </c>
      <c r="DL26" s="21" t="n">
        <v>159.088</v>
      </c>
      <c r="DM26" s="21" t="n">
        <v>131.139</v>
      </c>
      <c r="DN26" s="21" t="n">
        <v>127.277</v>
      </c>
      <c r="DO26" s="21" t="n">
        <v>266.079</v>
      </c>
      <c r="DP26" s="21" t="n">
        <v>165.361</v>
      </c>
      <c r="DQ26" s="21" t="n">
        <v>169.832</v>
      </c>
      <c r="DR26" s="21" t="n">
        <v>173.004</v>
      </c>
      <c r="DS26" s="21" t="n">
        <v>143.907</v>
      </c>
      <c r="DT26" s="21" t="n">
        <v>153.249</v>
      </c>
      <c r="DU26" s="21" t="n">
        <v>182.97</v>
      </c>
      <c r="DV26" s="21" t="n">
        <v>244.516</v>
      </c>
      <c r="DW26" s="21" t="n">
        <v>200.234</v>
      </c>
      <c r="DX26" s="21" t="n">
        <v>222.349</v>
      </c>
      <c r="DY26" s="21" t="n">
        <v>193.099</v>
      </c>
      <c r="DZ26" s="21" t="n">
        <v>208.784</v>
      </c>
      <c r="EA26" s="21" t="n">
        <v>186.991</v>
      </c>
      <c r="EB26" s="21" t="n">
        <v>168.111</v>
      </c>
      <c r="EC26" s="21" t="n">
        <v>340.366</v>
      </c>
      <c r="ED26" s="21" t="n">
        <v>169.183</v>
      </c>
      <c r="EE26" s="21" t="n">
        <v>181.784</v>
      </c>
      <c r="EF26" s="21" t="n">
        <v>183.781</v>
      </c>
      <c r="EG26" s="21" t="n">
        <v>247.942</v>
      </c>
      <c r="EH26" s="21" t="n">
        <v>293.56</v>
      </c>
      <c r="EI26" s="21" t="n">
        <v>303.467</v>
      </c>
      <c r="EJ26" s="21" t="n">
        <v>151.949</v>
      </c>
      <c r="EK26" s="21" t="n">
        <v>533.4400000000001</v>
      </c>
      <c r="EL26" s="21" t="n">
        <v>309.9</v>
      </c>
      <c r="EM26" s="21" t="n">
        <v>301.181</v>
      </c>
      <c r="EN26" s="21" t="n">
        <v>301.161</v>
      </c>
      <c r="EO26" s="21" t="n">
        <v>147.758</v>
      </c>
      <c r="EP26" s="21" t="n">
        <v>232.516</v>
      </c>
      <c r="EQ26" s="21" t="n">
        <v>193.787</v>
      </c>
      <c r="ER26" s="21" t="n">
        <v>255.895</v>
      </c>
      <c r="ES26" s="21" t="n">
        <v>243.347</v>
      </c>
      <c r="ET26" s="21" t="n">
        <v>323.613</v>
      </c>
      <c r="EU26" s="21" t="n">
        <v>197.767</v>
      </c>
      <c r="EV26" s="21" t="n">
        <v>205.23</v>
      </c>
      <c r="EW26" s="21" t="n">
        <v>172.319</v>
      </c>
      <c r="EX26" s="21" t="n">
        <v>226.411</v>
      </c>
      <c r="EY26" s="21" t="n">
        <v>525.645</v>
      </c>
      <c r="EZ26" s="21" t="n">
        <v>446.266</v>
      </c>
      <c r="FA26" s="21" t="n">
        <v>121.43</v>
      </c>
      <c r="FB26" s="21" t="n">
        <v>59.022</v>
      </c>
      <c r="FC26" s="21" t="n">
        <v>109.597</v>
      </c>
      <c r="FD26" s="21" t="n">
        <v>70.072</v>
      </c>
      <c r="FE26" s="21" t="n">
        <v>45.103</v>
      </c>
      <c r="FF26" s="21" t="n">
        <v>111.802</v>
      </c>
      <c r="FG26" s="21" t="n">
        <v>127.243</v>
      </c>
      <c r="FH26" s="21" t="n">
        <v>85.86499999999999</v>
      </c>
      <c r="FI26" s="21" t="n">
        <v>70.50700000000001</v>
      </c>
      <c r="FJ26" s="21" t="n">
        <v>107.287</v>
      </c>
      <c r="FK26" s="21" t="n">
        <v>74.929</v>
      </c>
      <c r="FL26" s="21" t="n">
        <v>82.312</v>
      </c>
      <c r="FM26" s="21" t="n">
        <v>94.13800000000001</v>
      </c>
      <c r="FN26" s="21" t="n">
        <v>64.486</v>
      </c>
      <c r="FO26" s="21" t="n">
        <v>56.577</v>
      </c>
      <c r="FP26" s="21" t="n">
        <v>43.858</v>
      </c>
      <c r="FQ26" s="21" t="n">
        <v>129.396</v>
      </c>
      <c r="FR26" s="21" t="n">
        <v>54.15</v>
      </c>
      <c r="FS26" s="21" t="n">
        <v>87.994</v>
      </c>
      <c r="FT26" s="21" t="n">
        <v>89.965</v>
      </c>
      <c r="FU26" s="21" t="n">
        <v>97.625</v>
      </c>
      <c r="FV26" s="21" t="n">
        <v>86.343</v>
      </c>
      <c r="FW26" s="21" t="n">
        <v>185.203</v>
      </c>
      <c r="FX26" s="21" t="n">
        <v>119.353</v>
      </c>
      <c r="FY26" s="21" t="n">
        <v>168.183</v>
      </c>
      <c r="FZ26" s="21" t="n">
        <v>116.055</v>
      </c>
      <c r="GA26" s="21" t="n">
        <v>174.426</v>
      </c>
      <c r="GB26" s="21" t="n">
        <v>157.963</v>
      </c>
      <c r="GC26" s="21" t="n"/>
      <c r="GD26" s="21" t="n">
        <v>156.16</v>
      </c>
      <c r="GE26" s="21" t="n">
        <v>233.279</v>
      </c>
      <c r="GF26" s="21" t="n">
        <v>123.088</v>
      </c>
      <c r="GG26" s="21" t="n">
        <v>117.309</v>
      </c>
      <c r="GH26" s="21" t="n">
        <v>121.524</v>
      </c>
      <c r="GI26" s="21" t="n">
        <v>108.391</v>
      </c>
      <c r="GJ26" s="21" t="n">
        <v>152.687</v>
      </c>
      <c r="GK26" s="21" t="n">
        <v>78.34099999999999</v>
      </c>
      <c r="GL26" s="21" t="n">
        <v>121.427</v>
      </c>
      <c r="GM26" s="21" t="n">
        <v>100.939</v>
      </c>
      <c r="GN26" s="21" t="n">
        <v>106.73</v>
      </c>
      <c r="GO26" s="21" t="n">
        <v>109.611</v>
      </c>
      <c r="GP26" s="21" t="n">
        <v>101.674</v>
      </c>
      <c r="GQ26" s="21" t="n">
        <v>114.664</v>
      </c>
      <c r="GR26" s="21" t="n">
        <v>76.874</v>
      </c>
      <c r="GS26" s="21" t="n">
        <v>104.739</v>
      </c>
      <c r="GT26" s="21" t="n">
        <v>93.04900000000001</v>
      </c>
      <c r="GU26" s="21" t="n">
        <v>135.398</v>
      </c>
      <c r="GV26" s="21" t="n">
        <v>136.879</v>
      </c>
      <c r="GW26" s="21" t="n">
        <v>151.19</v>
      </c>
      <c r="GX26" s="21" t="n">
        <v>126.319</v>
      </c>
      <c r="GY26" s="21" t="n">
        <v>113.061</v>
      </c>
      <c r="GZ26" s="21" t="n">
        <v>170.302</v>
      </c>
      <c r="HA26" s="21" t="n">
        <v>130.419</v>
      </c>
      <c r="HB26" s="21" t="n">
        <v>177.198</v>
      </c>
      <c r="HC26" s="21" t="n">
        <v>199.292</v>
      </c>
      <c r="HD26" s="21" t="n">
        <v>194.508</v>
      </c>
      <c r="HE26" s="21" t="n">
        <v>99.15000000000001</v>
      </c>
      <c r="HF26" s="21" t="n">
        <v>148.848</v>
      </c>
      <c r="HG26" s="21" t="n">
        <v>103.164</v>
      </c>
      <c r="HH26" s="21" t="n">
        <v>145.022</v>
      </c>
      <c r="HI26" s="21" t="n">
        <v>158.01</v>
      </c>
      <c r="HJ26" s="21" t="n"/>
      <c r="HK26" s="21" t="n">
        <v>137.397</v>
      </c>
      <c r="HL26" s="21" t="n">
        <v>83.08</v>
      </c>
      <c r="HM26" s="21" t="n">
        <v>121.863</v>
      </c>
      <c r="HN26" s="21" t="n">
        <v>207.28</v>
      </c>
      <c r="HO26" s="21" t="n">
        <v>206.36</v>
      </c>
      <c r="HP26" s="21" t="n">
        <v>202.495</v>
      </c>
      <c r="HQ26" s="21" t="n">
        <v>221.832</v>
      </c>
      <c r="HR26" s="21" t="n">
        <v>215.958</v>
      </c>
      <c r="HS26" s="21" t="n">
        <v>185.661</v>
      </c>
      <c r="HT26" s="21" t="n">
        <v>142.993</v>
      </c>
      <c r="HU26" s="21" t="n">
        <v>124.423</v>
      </c>
      <c r="HV26" s="21" t="n">
        <v>166.727</v>
      </c>
      <c r="HW26" s="21" t="n">
        <v>157.694</v>
      </c>
      <c r="HX26" s="21" t="n">
        <v>368.224</v>
      </c>
      <c r="HY26" s="21" t="n">
        <v>279.523</v>
      </c>
      <c r="HZ26" s="21" t="n">
        <v>292.038</v>
      </c>
      <c r="IA26" s="21" t="n">
        <v>250.686</v>
      </c>
      <c r="IB26" s="21" t="n">
        <v>173.767</v>
      </c>
      <c r="IC26" s="21" t="n">
        <v>510.919</v>
      </c>
      <c r="ID26" s="21" t="n">
        <v>184.484</v>
      </c>
      <c r="IE26" s="21" t="n">
        <v>175.348</v>
      </c>
      <c r="IF26" s="21" t="n">
        <v>199.605</v>
      </c>
      <c r="IG26" s="21" t="n">
        <v>224.903</v>
      </c>
      <c r="IH26" s="21" t="n">
        <v>118.905</v>
      </c>
      <c r="II26" s="21" t="n">
        <v>258.551</v>
      </c>
      <c r="IJ26" s="21" t="n">
        <v>269.241</v>
      </c>
      <c r="IK26" s="21" t="n">
        <v>159.54</v>
      </c>
      <c r="IL26" s="21" t="n">
        <v>130.683</v>
      </c>
      <c r="IM26" s="21" t="n">
        <v>118.38</v>
      </c>
      <c r="IN26" s="21" t="n">
        <v>65.85899999999999</v>
      </c>
      <c r="IO26" s="21" t="n">
        <v>310.103</v>
      </c>
      <c r="IP26" s="21" t="n">
        <v>122.829</v>
      </c>
      <c r="IQ26" s="21" t="n">
        <v>471.7</v>
      </c>
      <c r="IR26" s="21" t="n">
        <v>374.15</v>
      </c>
      <c r="IS26" s="21" t="n">
        <v>122.483</v>
      </c>
      <c r="IT26" s="21" t="n">
        <v>515.468</v>
      </c>
      <c r="IU26" s="21" t="n">
        <v>96.744</v>
      </c>
      <c r="IV26" s="21" t="n">
        <v>99.209</v>
      </c>
      <c r="IW26" s="21" t="n">
        <v>502.948</v>
      </c>
      <c r="IX26" s="21" t="n">
        <v>376.586</v>
      </c>
      <c r="IY26" s="21" t="n">
        <v>384.882</v>
      </c>
      <c r="IZ26" s="21" t="n">
        <v>468.124</v>
      </c>
      <c r="JA26" s="21" t="n">
        <v>187.781</v>
      </c>
      <c r="JB26" s="21" t="n">
        <v>234.954</v>
      </c>
      <c r="JC26" s="21" t="n">
        <v>73.764</v>
      </c>
      <c r="JD26" s="21" t="n">
        <v>309.929</v>
      </c>
      <c r="JE26" s="21" t="n">
        <v>306.438</v>
      </c>
      <c r="JF26" s="21" t="n">
        <v>686.331</v>
      </c>
      <c r="JG26" s="21" t="n">
        <v>217.21</v>
      </c>
      <c r="JH26" s="21" t="n">
        <v>119.281</v>
      </c>
      <c r="JI26" s="21" t="n">
        <v>133.862</v>
      </c>
      <c r="JJ26" s="21" t="n">
        <v>117.337</v>
      </c>
      <c r="JK26" s="21" t="n">
        <v>101.682</v>
      </c>
      <c r="JL26" s="21" t="n">
        <v>231.938</v>
      </c>
      <c r="JM26" s="21" t="n">
        <v>447.73</v>
      </c>
      <c r="JN26" s="21" t="n">
        <v>124.071</v>
      </c>
      <c r="JO26" s="21" t="n">
        <v>72.533</v>
      </c>
      <c r="JP26" s="21" t="n">
        <v>40.13</v>
      </c>
      <c r="JQ26" s="21" t="n">
        <v>125.81</v>
      </c>
      <c r="JR26" s="21" t="n">
        <v>32.955</v>
      </c>
      <c r="JS26" s="21" t="n">
        <v>84.46899999999999</v>
      </c>
      <c r="JT26" s="21" t="n">
        <v>170.008</v>
      </c>
      <c r="JU26" s="21" t="n">
        <v>198.037</v>
      </c>
      <c r="JV26" s="21" t="n">
        <v>151.819</v>
      </c>
      <c r="JW26" s="21" t="n">
        <v>113.498</v>
      </c>
      <c r="JX26" s="21" t="n">
        <v>235.735</v>
      </c>
      <c r="JY26" s="21" t="n">
        <v>186.295</v>
      </c>
      <c r="JZ26" s="21" t="n">
        <v>246.931</v>
      </c>
      <c r="KA26" s="21" t="n">
        <v>111.551</v>
      </c>
      <c r="KB26" s="21" t="n">
        <v>147.413</v>
      </c>
      <c r="KC26" s="21" t="n">
        <v>81.136</v>
      </c>
      <c r="KD26" s="21" t="n">
        <v>75.73999999999999</v>
      </c>
      <c r="KE26" s="21" t="n">
        <v>55.113</v>
      </c>
      <c r="KF26" s="21" t="n"/>
      <c r="KG26" s="21" t="n">
        <v>22.524</v>
      </c>
      <c r="KH26" s="21" t="n">
        <v>124.352</v>
      </c>
      <c r="KI26" s="21" t="n">
        <v>127.099</v>
      </c>
      <c r="KJ26" s="21" t="n">
        <v>121.976</v>
      </c>
      <c r="KK26" s="21" t="n">
        <v>42.354</v>
      </c>
      <c r="KL26" s="21" t="n">
        <v>39.175</v>
      </c>
      <c r="KM26" s="21" t="n">
        <v>48.208</v>
      </c>
      <c r="KN26" s="21" t="n"/>
      <c r="KO26" s="21" t="n">
        <v>95.803</v>
      </c>
      <c r="KP26" s="21" t="n">
        <v>100.879</v>
      </c>
      <c r="KQ26" s="21" t="n">
        <v>161.604</v>
      </c>
      <c r="KR26" s="21" t="n">
        <v>132.751</v>
      </c>
      <c r="KS26" s="21" t="n">
        <v>371.054</v>
      </c>
      <c r="KT26" s="21" t="n">
        <v>176.399</v>
      </c>
      <c r="KU26" s="21" t="n">
        <v>221.568</v>
      </c>
      <c r="KV26" s="21" t="n">
        <v>298.435</v>
      </c>
      <c r="KW26" s="21" t="n">
        <v>243.625</v>
      </c>
      <c r="KX26" s="21" t="n">
        <v>168.914</v>
      </c>
      <c r="KY26" s="21" t="n">
        <v>99.54900000000001</v>
      </c>
      <c r="KZ26" s="21" t="n">
        <v>139.041</v>
      </c>
      <c r="LA26" s="21" t="n">
        <v>251.122</v>
      </c>
      <c r="LB26" s="21" t="n">
        <v>690.427</v>
      </c>
      <c r="LC26" s="21" t="n">
        <v>239.463</v>
      </c>
      <c r="LD26" s="21" t="n">
        <v>718.304</v>
      </c>
      <c r="LE26" s="21" t="n">
        <v>815.9109999999999</v>
      </c>
      <c r="LF26" s="21" t="n">
        <v>75.48999999999999</v>
      </c>
      <c r="LG26" s="21" t="n">
        <v>288.591</v>
      </c>
      <c r="LH26" s="21" t="n">
        <v>243.482</v>
      </c>
      <c r="LI26" s="21" t="n">
        <v>78.19</v>
      </c>
      <c r="LJ26" s="21" t="n">
        <v>175.867</v>
      </c>
      <c r="LK26" s="21" t="n">
        <v>276.385</v>
      </c>
      <c r="LL26" s="21" t="n">
        <v>288.969</v>
      </c>
      <c r="LM26" s="21" t="n">
        <v>74.36199999999999</v>
      </c>
      <c r="LN26" s="21" t="n">
        <v>97.372</v>
      </c>
      <c r="LO26" s="21" t="n">
        <v>53.435</v>
      </c>
      <c r="LP26" s="21" t="n">
        <v>115.005</v>
      </c>
      <c r="LQ26" s="21" t="n"/>
      <c r="LR26" s="21" t="n"/>
      <c r="LS26" s="21" t="n">
        <v>114.824</v>
      </c>
      <c r="LT26" s="21" t="n">
        <v>43.475</v>
      </c>
      <c r="LU26" s="21" t="n">
        <v>33.31</v>
      </c>
      <c r="LV26" s="21" t="n">
        <v>77.164</v>
      </c>
      <c r="LW26" s="21" t="n">
        <v>274.497</v>
      </c>
      <c r="LX26" s="21" t="n"/>
      <c r="LY26" s="21" t="n">
        <v>427.621</v>
      </c>
      <c r="LZ26" s="21" t="n">
        <v>62.092</v>
      </c>
      <c r="MA26" s="21" t="n">
        <v>402.189</v>
      </c>
      <c r="MB26" s="21" t="n">
        <v>257.319</v>
      </c>
      <c r="MC26" s="21" t="n">
        <v>226.017</v>
      </c>
      <c r="MD26" s="21" t="n">
        <v>162.379</v>
      </c>
      <c r="ME26" s="21" t="n">
        <v>102.633</v>
      </c>
      <c r="MF26" s="21" t="n">
        <v>188.098</v>
      </c>
      <c r="MG26" s="21" t="n">
        <v>255.634</v>
      </c>
      <c r="MH26" s="21" t="n">
        <v>155.978</v>
      </c>
      <c r="MI26" s="21" t="n">
        <v>419.268</v>
      </c>
      <c r="MJ26" s="21" t="n">
        <v>348.052</v>
      </c>
      <c r="MK26" s="21" t="n">
        <v>322.184</v>
      </c>
      <c r="ML26" s="21" t="n">
        <v>162.355</v>
      </c>
      <c r="MM26" s="21" t="n">
        <v>187.634</v>
      </c>
      <c r="MN26" s="21" t="n">
        <v>333.074</v>
      </c>
      <c r="MO26" s="21" t="n">
        <v>156.498</v>
      </c>
      <c r="MP26" s="21" t="n">
        <v>226.517</v>
      </c>
      <c r="MQ26" s="21" t="n">
        <v>78.292</v>
      </c>
      <c r="MR26" s="21" t="n">
        <v>150.722</v>
      </c>
      <c r="MS26" s="21" t="n">
        <v>77.905</v>
      </c>
      <c r="MT26" s="21" t="n">
        <v>231.859</v>
      </c>
      <c r="MU26" s="21" t="n">
        <v>249.115</v>
      </c>
      <c r="MV26" s="21" t="n">
        <v>241.994</v>
      </c>
      <c r="MW26" s="21" t="n">
        <v>250.083</v>
      </c>
      <c r="MX26" s="21" t="n">
        <v>225.699</v>
      </c>
      <c r="MY26" s="21" t="n">
        <v>219.777</v>
      </c>
      <c r="MZ26" s="21" t="n">
        <v>225.903</v>
      </c>
      <c r="NA26" s="21" t="n">
        <v>231.328</v>
      </c>
      <c r="NB26" s="21" t="n">
        <v>115.754</v>
      </c>
      <c r="NC26" s="21" t="n">
        <v>180.298</v>
      </c>
      <c r="ND26" s="21" t="n">
        <v>149.911</v>
      </c>
      <c r="NE26" s="21" t="n">
        <v>146.651</v>
      </c>
      <c r="NF26" s="21" t="n">
        <v>144.365</v>
      </c>
      <c r="NG26" s="21" t="n">
        <v>145.843</v>
      </c>
      <c r="NH26" s="21" t="n">
        <v>245.249</v>
      </c>
      <c r="NI26" s="21" t="n">
        <v>106.147</v>
      </c>
      <c r="NJ26" s="21" t="n">
        <v>78.92100000000001</v>
      </c>
      <c r="NK26" s="21" t="n">
        <v>111.088</v>
      </c>
      <c r="NL26" s="21" t="n">
        <v>199.608</v>
      </c>
      <c r="NM26" s="21" t="n">
        <v>211.11</v>
      </c>
      <c r="NN26" s="21" t="n">
        <v>91.167</v>
      </c>
      <c r="NO26" s="21" t="n">
        <v>58.457</v>
      </c>
      <c r="NP26" s="21" t="n">
        <v>217.486</v>
      </c>
      <c r="NQ26" s="21" t="n">
        <v>191.415</v>
      </c>
      <c r="NR26" s="21" t="n">
        <v>232.728</v>
      </c>
      <c r="NS26" s="21" t="n">
        <v>188.117</v>
      </c>
      <c r="NT26" s="21" t="n">
        <v>232.809</v>
      </c>
      <c r="NU26" s="21" t="n">
        <v>109.558</v>
      </c>
      <c r="NV26" s="21" t="n">
        <v>117.075</v>
      </c>
      <c r="NW26" s="21" t="n">
        <v>348.418</v>
      </c>
      <c r="NX26" s="21" t="n">
        <v>84.139</v>
      </c>
      <c r="NY26" s="21" t="n">
        <v>116.715</v>
      </c>
      <c r="NZ26" s="21" t="n">
        <v>305.891</v>
      </c>
      <c r="OA26" s="21" t="n">
        <v>304.503</v>
      </c>
      <c r="OB26" s="21" t="n">
        <v>315.282</v>
      </c>
      <c r="OC26" s="21" t="n">
        <v>289.474</v>
      </c>
      <c r="OD26" s="21" t="n">
        <v>326.442</v>
      </c>
      <c r="OE26" s="21" t="n">
        <v>104.86</v>
      </c>
      <c r="OF26" s="21" t="n">
        <v>303.718</v>
      </c>
      <c r="OG26" s="21" t="n">
        <v>215.708</v>
      </c>
      <c r="OH26" s="21" t="n">
        <v>50.156</v>
      </c>
      <c r="OI26" s="21" t="n">
        <v>119.546</v>
      </c>
      <c r="OJ26" s="21" t="n">
        <v>41.2</v>
      </c>
      <c r="OK26" s="21" t="n">
        <v>13.7</v>
      </c>
    </row>
    <row r="27">
      <c r="A27" s="22" t="n">
        <v>42767</v>
      </c>
      <c r="B27" s="21" t="n">
        <v>243.603</v>
      </c>
      <c r="C27" s="21" t="n">
        <v>729.727</v>
      </c>
      <c r="D27" s="21" t="n">
        <v>248.595</v>
      </c>
      <c r="E27" s="21" t="n">
        <v>248.791</v>
      </c>
      <c r="F27" s="21" t="n">
        <v>237.918</v>
      </c>
      <c r="G27" s="21" t="n">
        <v>271.708</v>
      </c>
      <c r="H27" s="21" t="n">
        <v>229.221</v>
      </c>
      <c r="I27" s="21" t="n">
        <v>237.603</v>
      </c>
      <c r="J27" s="21" t="n">
        <v>226.17</v>
      </c>
      <c r="K27" s="21" t="n">
        <v>236.109</v>
      </c>
      <c r="L27" s="21" t="n">
        <v>161.925</v>
      </c>
      <c r="M27" s="21" t="n">
        <v>295.878</v>
      </c>
      <c r="N27" s="21" t="n">
        <v>178.627</v>
      </c>
      <c r="O27" s="21" t="n">
        <v>325.544</v>
      </c>
      <c r="P27" s="21" t="n">
        <v>343.371</v>
      </c>
      <c r="Q27" s="21" t="n">
        <v>172.86</v>
      </c>
      <c r="R27" s="21" t="n">
        <v>282.395</v>
      </c>
      <c r="S27" s="21" t="n">
        <v>303.881</v>
      </c>
      <c r="T27" s="21" t="n">
        <v>266.285</v>
      </c>
      <c r="U27" s="21" t="n">
        <v>263.872</v>
      </c>
      <c r="V27" s="21" t="n">
        <v>293.917</v>
      </c>
      <c r="W27" s="21" t="n">
        <v>303.157</v>
      </c>
      <c r="X27" s="21" t="n">
        <v>265.572</v>
      </c>
      <c r="Y27" s="21" t="n">
        <v>243.057</v>
      </c>
      <c r="Z27" s="21" t="n">
        <v>245.648</v>
      </c>
      <c r="AA27" s="21" t="n">
        <v>246.58</v>
      </c>
      <c r="AB27" s="21" t="n">
        <v>291.384</v>
      </c>
      <c r="AC27" s="21" t="n">
        <v>257.226</v>
      </c>
      <c r="AD27" s="21" t="n">
        <v>214.434</v>
      </c>
      <c r="AE27" s="21" t="n">
        <v>199.057</v>
      </c>
      <c r="AF27" s="21" t="n">
        <v>229.261</v>
      </c>
      <c r="AG27" s="21" t="n">
        <v>206.227</v>
      </c>
      <c r="AH27" s="21" t="n">
        <v>154.876</v>
      </c>
      <c r="AI27" s="21" t="n">
        <v>286.254</v>
      </c>
      <c r="AJ27" s="21" t="n">
        <v>142.561</v>
      </c>
      <c r="AK27" s="21" t="n">
        <v>192.939</v>
      </c>
      <c r="AL27" s="21" t="n">
        <v>213.75</v>
      </c>
      <c r="AM27" s="21" t="n">
        <v>182.17</v>
      </c>
      <c r="AN27" s="21" t="n">
        <v>126.619</v>
      </c>
      <c r="AO27" s="21" t="n">
        <v>223.678</v>
      </c>
      <c r="AP27" s="21" t="n">
        <v>225.119</v>
      </c>
      <c r="AQ27" s="21" t="n">
        <v>145.15</v>
      </c>
      <c r="AR27" s="21" t="n">
        <v>316.737</v>
      </c>
      <c r="AS27" s="21" t="n">
        <v>162.312</v>
      </c>
      <c r="AT27" s="21" t="n">
        <v>228.979</v>
      </c>
      <c r="AU27" s="21" t="n">
        <v>146.181</v>
      </c>
      <c r="AV27" s="21" t="n">
        <v>243.119</v>
      </c>
      <c r="AW27" s="21" t="n">
        <v>216.687</v>
      </c>
      <c r="AX27" s="21" t="n">
        <v>154.421</v>
      </c>
      <c r="AY27" s="21" t="n">
        <v>287.281</v>
      </c>
      <c r="AZ27" s="21" t="n">
        <v>178.073</v>
      </c>
      <c r="BA27" s="21" t="n">
        <v>143.651</v>
      </c>
      <c r="BB27" s="21" t="n">
        <v>197.747</v>
      </c>
      <c r="BC27" s="21" t="n">
        <v>306.706</v>
      </c>
      <c r="BD27" s="21" t="n">
        <v>209.845</v>
      </c>
      <c r="BE27" s="21" t="n">
        <v>220.552</v>
      </c>
      <c r="BF27" s="21" t="n">
        <v>142.193</v>
      </c>
      <c r="BG27" s="21" t="n">
        <v>205.774</v>
      </c>
      <c r="BH27" s="21" t="n">
        <v>144.95</v>
      </c>
      <c r="BI27" s="21" t="n">
        <v>230.23</v>
      </c>
      <c r="BJ27" s="21" t="n">
        <v>226.873</v>
      </c>
      <c r="BK27" s="21" t="n">
        <v>148.447</v>
      </c>
      <c r="BL27" s="21" t="n">
        <v>292.222</v>
      </c>
      <c r="BM27" s="21" t="n">
        <v>336.477</v>
      </c>
      <c r="BN27" s="21" t="n">
        <v>353.25</v>
      </c>
      <c r="BO27" s="21" t="n">
        <v>332.585</v>
      </c>
      <c r="BP27" s="21" t="n">
        <v>198.605</v>
      </c>
      <c r="BQ27" s="21" t="n">
        <v>231.147</v>
      </c>
      <c r="BR27" s="21" t="n">
        <v>464.961</v>
      </c>
      <c r="BS27" s="21" t="n">
        <v>120.579</v>
      </c>
      <c r="BT27" s="21" t="n">
        <v>317.645</v>
      </c>
      <c r="BU27" s="21" t="n">
        <v>337.684</v>
      </c>
      <c r="BV27" s="21" t="n">
        <v>287.138</v>
      </c>
      <c r="BW27" s="21" t="n">
        <v>323.958</v>
      </c>
      <c r="BX27" s="21" t="n">
        <v>322.054</v>
      </c>
      <c r="BY27" s="21" t="n">
        <v>156.685</v>
      </c>
      <c r="BZ27" s="21" t="n">
        <v>160.71</v>
      </c>
      <c r="CA27" s="21" t="n">
        <v>158.356</v>
      </c>
      <c r="CB27" s="21" t="n">
        <v>167.207</v>
      </c>
      <c r="CC27" s="21" t="n">
        <v>147.662</v>
      </c>
      <c r="CD27" s="21" t="n">
        <v>202.286</v>
      </c>
      <c r="CE27" s="21" t="n">
        <v>159.394</v>
      </c>
      <c r="CF27" s="21" t="n">
        <v>195.573</v>
      </c>
      <c r="CG27" s="21" t="n">
        <v>169.451</v>
      </c>
      <c r="CH27" s="21" t="n">
        <v>130.494</v>
      </c>
      <c r="CI27" s="21" t="n">
        <v>164.325</v>
      </c>
      <c r="CJ27" s="21" t="n">
        <v>180.541</v>
      </c>
      <c r="CK27" s="21" t="n">
        <v>118.663</v>
      </c>
      <c r="CL27" s="21" t="n">
        <v>119.497</v>
      </c>
      <c r="CM27" s="21" t="n">
        <v>199.984</v>
      </c>
      <c r="CN27" s="21" t="n">
        <v>209.167</v>
      </c>
      <c r="CO27" s="21" t="n">
        <v>199.995</v>
      </c>
      <c r="CP27" s="21" t="n">
        <v>131.16</v>
      </c>
      <c r="CQ27" s="21" t="n">
        <v>208.914</v>
      </c>
      <c r="CR27" s="21" t="n">
        <v>213.745</v>
      </c>
      <c r="CS27" s="21" t="n">
        <v>186.465</v>
      </c>
      <c r="CT27" s="21" t="n">
        <v>142.968</v>
      </c>
      <c r="CU27" s="21" t="n">
        <v>156.113</v>
      </c>
      <c r="CV27" s="21" t="n">
        <v>226.134</v>
      </c>
      <c r="CW27" s="21" t="n">
        <v>202.728</v>
      </c>
      <c r="CX27" s="21" t="n">
        <v>233.948</v>
      </c>
      <c r="CY27" s="21" t="n">
        <v>301.813</v>
      </c>
      <c r="CZ27" s="21" t="n">
        <v>129.849</v>
      </c>
      <c r="DA27" s="21" t="n">
        <v>156.504</v>
      </c>
      <c r="DB27" s="21" t="n">
        <v>153.651</v>
      </c>
      <c r="DC27" s="21" t="n">
        <v>223.505</v>
      </c>
      <c r="DD27" s="21" t="n">
        <v>240.471</v>
      </c>
      <c r="DE27" s="21" t="n">
        <v>167.437</v>
      </c>
      <c r="DF27" s="21" t="n">
        <v>249.815</v>
      </c>
      <c r="DG27" s="21" t="n">
        <v>240.415</v>
      </c>
      <c r="DH27" s="21" t="n">
        <v>151.88</v>
      </c>
      <c r="DI27" s="21" t="n">
        <v>134.23</v>
      </c>
      <c r="DJ27" s="21" t="n">
        <v>137.676</v>
      </c>
      <c r="DK27" s="21" t="n">
        <v>280.831</v>
      </c>
      <c r="DL27" s="21" t="n">
        <v>158.869</v>
      </c>
      <c r="DM27" s="21" t="n">
        <v>131.514</v>
      </c>
      <c r="DN27" s="21" t="n">
        <v>127.464</v>
      </c>
      <c r="DO27" s="21" t="n">
        <v>266.626</v>
      </c>
      <c r="DP27" s="21" t="n">
        <v>165.849</v>
      </c>
      <c r="DQ27" s="21" t="n">
        <v>170.057</v>
      </c>
      <c r="DR27" s="21" t="n">
        <v>172.843</v>
      </c>
      <c r="DS27" s="21" t="n">
        <v>143.794</v>
      </c>
      <c r="DT27" s="21" t="n">
        <v>153.557</v>
      </c>
      <c r="DU27" s="21" t="n">
        <v>183.254</v>
      </c>
      <c r="DV27" s="21" t="n">
        <v>244.622</v>
      </c>
      <c r="DW27" s="21" t="n">
        <v>199.993</v>
      </c>
      <c r="DX27" s="21" t="n">
        <v>221.492</v>
      </c>
      <c r="DY27" s="21" t="n">
        <v>193.256</v>
      </c>
      <c r="DZ27" s="21" t="n">
        <v>207.484</v>
      </c>
      <c r="EA27" s="21" t="n">
        <v>186.846</v>
      </c>
      <c r="EB27" s="21" t="n">
        <v>168.304</v>
      </c>
      <c r="EC27" s="21" t="n">
        <v>341.405</v>
      </c>
      <c r="ED27" s="21" t="n">
        <v>169.648</v>
      </c>
      <c r="EE27" s="21" t="n">
        <v>182.735</v>
      </c>
      <c r="EF27" s="21" t="n">
        <v>184.434</v>
      </c>
      <c r="EG27" s="21" t="n">
        <v>248.693</v>
      </c>
      <c r="EH27" s="21" t="n">
        <v>294.444</v>
      </c>
      <c r="EI27" s="21" t="n">
        <v>304.211</v>
      </c>
      <c r="EJ27" s="21" t="n">
        <v>157.58</v>
      </c>
      <c r="EK27" s="21" t="n">
        <v>533.649</v>
      </c>
      <c r="EL27" s="21" t="n">
        <v>323.189</v>
      </c>
      <c r="EM27" s="21" t="n">
        <v>301.785</v>
      </c>
      <c r="EN27" s="21" t="n">
        <v>301.768</v>
      </c>
      <c r="EO27" s="21" t="n">
        <v>147.798</v>
      </c>
      <c r="EP27" s="21" t="n">
        <v>233.688</v>
      </c>
      <c r="EQ27" s="21" t="n">
        <v>194.837</v>
      </c>
      <c r="ER27" s="21" t="n">
        <v>257.706</v>
      </c>
      <c r="ES27" s="21" t="n">
        <v>242.467</v>
      </c>
      <c r="ET27" s="21" t="n">
        <v>329.927</v>
      </c>
      <c r="EU27" s="21" t="n">
        <v>198.82</v>
      </c>
      <c r="EV27" s="21" t="n">
        <v>206.416</v>
      </c>
      <c r="EW27" s="21" t="n">
        <v>172.967</v>
      </c>
      <c r="EX27" s="21" t="n">
        <v>227.277</v>
      </c>
      <c r="EY27" s="21" t="n">
        <v>527.759</v>
      </c>
      <c r="EZ27" s="21" t="n">
        <v>447.699</v>
      </c>
      <c r="FA27" s="21" t="n">
        <v>121.508</v>
      </c>
      <c r="FB27" s="21" t="n">
        <v>59.194</v>
      </c>
      <c r="FC27" s="21" t="n">
        <v>108.572</v>
      </c>
      <c r="FD27" s="21" t="n">
        <v>69.255</v>
      </c>
      <c r="FE27" s="21" t="n">
        <v>45.705</v>
      </c>
      <c r="FF27" s="21" t="n">
        <v>111.744</v>
      </c>
      <c r="FG27" s="21" t="n">
        <v>127.476</v>
      </c>
      <c r="FH27" s="21" t="n">
        <v>85.654</v>
      </c>
      <c r="FI27" s="21" t="n">
        <v>70.506</v>
      </c>
      <c r="FJ27" s="21" t="n"/>
      <c r="FK27" s="21" t="n">
        <v>75.557</v>
      </c>
      <c r="FL27" s="21" t="n">
        <v>81.137</v>
      </c>
      <c r="FM27" s="21" t="n">
        <v>93.20399999999999</v>
      </c>
      <c r="FN27" s="21" t="n">
        <v>65.706</v>
      </c>
      <c r="FO27" s="21" t="n">
        <v>56.637</v>
      </c>
      <c r="FP27" s="21" t="n">
        <v>43.475</v>
      </c>
      <c r="FQ27" s="21" t="n">
        <v>132.664</v>
      </c>
      <c r="FR27" s="21" t="n">
        <v>54.186</v>
      </c>
      <c r="FS27" s="21" t="n">
        <v>87.914</v>
      </c>
      <c r="FT27" s="21" t="n">
        <v>90.003</v>
      </c>
      <c r="FU27" s="21" t="n">
        <v>97.72799999999999</v>
      </c>
      <c r="FV27" s="21" t="n">
        <v>86.367</v>
      </c>
      <c r="FW27" s="21" t="n">
        <v>185.235</v>
      </c>
      <c r="FX27" s="21" t="n">
        <v>118.922</v>
      </c>
      <c r="FY27" s="21" t="n">
        <v>168.797</v>
      </c>
      <c r="FZ27" s="21" t="n">
        <v>116.275</v>
      </c>
      <c r="GA27" s="21" t="n">
        <v>174.389</v>
      </c>
      <c r="GB27" s="21" t="n"/>
      <c r="GC27" s="21" t="n"/>
      <c r="GD27" s="21" t="n">
        <v>151.946</v>
      </c>
      <c r="GE27" s="21" t="n">
        <v>233.894</v>
      </c>
      <c r="GF27" s="21" t="n">
        <v>126.1</v>
      </c>
      <c r="GG27" s="21" t="n">
        <v>121.013</v>
      </c>
      <c r="GH27" s="21" t="n">
        <v>126.344</v>
      </c>
      <c r="GI27" s="21" t="n">
        <v>113.152</v>
      </c>
      <c r="GJ27" s="21" t="n">
        <v>156.523</v>
      </c>
      <c r="GK27" s="21" t="n">
        <v>82.83199999999999</v>
      </c>
      <c r="GL27" s="21" t="n">
        <v>125.731</v>
      </c>
      <c r="GM27" s="21" t="n">
        <v>100.809</v>
      </c>
      <c r="GN27" s="21" t="n">
        <v>110.227</v>
      </c>
      <c r="GO27" s="21" t="n">
        <v>113.77</v>
      </c>
      <c r="GP27" s="21" t="n">
        <v>107.397</v>
      </c>
      <c r="GQ27" s="21" t="n">
        <v>122.47</v>
      </c>
      <c r="GR27" s="21" t="n">
        <v>80.77200000000001</v>
      </c>
      <c r="GS27" s="21" t="n">
        <v>105.207</v>
      </c>
      <c r="GT27" s="21" t="n">
        <v>93.666</v>
      </c>
      <c r="GU27" s="21" t="n">
        <v>135.525</v>
      </c>
      <c r="GV27" s="21" t="n">
        <v>139.343</v>
      </c>
      <c r="GW27" s="21" t="n">
        <v>149.493</v>
      </c>
      <c r="GX27" s="21" t="n">
        <v>125.794</v>
      </c>
      <c r="GY27" s="21" t="n">
        <v>115.347</v>
      </c>
      <c r="GZ27" s="21" t="n">
        <v>175.353</v>
      </c>
      <c r="HA27" s="21" t="n">
        <v>132.116</v>
      </c>
      <c r="HB27" s="21" t="n">
        <v>184.122</v>
      </c>
      <c r="HC27" s="21" t="n">
        <v>199.147</v>
      </c>
      <c r="HD27" s="21" t="n">
        <v>194.019</v>
      </c>
      <c r="HE27" s="21" t="n">
        <v>99.482</v>
      </c>
      <c r="HF27" s="21" t="n">
        <v>148.993</v>
      </c>
      <c r="HG27" s="21" t="n">
        <v>103.258</v>
      </c>
      <c r="HH27" s="21" t="n">
        <v>145.212</v>
      </c>
      <c r="HI27" s="21" t="n">
        <v>157.973</v>
      </c>
      <c r="HJ27" s="21" t="n"/>
      <c r="HK27" s="21" t="n">
        <v>137.899</v>
      </c>
      <c r="HL27" s="21" t="n">
        <v>84.727</v>
      </c>
      <c r="HM27" s="21" t="n">
        <v>121.347</v>
      </c>
      <c r="HN27" s="21" t="n">
        <v>202.912</v>
      </c>
      <c r="HO27" s="21" t="n">
        <v>201.957</v>
      </c>
      <c r="HP27" s="21" t="n">
        <v>197.76</v>
      </c>
      <c r="HQ27" s="21" t="n">
        <v>218.284</v>
      </c>
      <c r="HR27" s="21" t="n">
        <v>214.214</v>
      </c>
      <c r="HS27" s="21" t="n">
        <v>184.968</v>
      </c>
      <c r="HT27" s="21" t="n">
        <v>143.256</v>
      </c>
      <c r="HU27" s="21" t="n">
        <v>124.825</v>
      </c>
      <c r="HV27" s="21" t="n">
        <v>166.692</v>
      </c>
      <c r="HW27" s="21" t="n">
        <v>157.56</v>
      </c>
      <c r="HX27" s="21" t="n">
        <v>364.032</v>
      </c>
      <c r="HY27" s="21" t="n">
        <v>279.782</v>
      </c>
      <c r="HZ27" s="21" t="n">
        <v>292.243</v>
      </c>
      <c r="IA27" s="21" t="n">
        <v>251.186</v>
      </c>
      <c r="IB27" s="21" t="n">
        <v>173.626</v>
      </c>
      <c r="IC27" s="21" t="n">
        <v>513.4690000000001</v>
      </c>
      <c r="ID27" s="21" t="n">
        <v>184.488</v>
      </c>
      <c r="IE27" s="21" t="n">
        <v>175.348</v>
      </c>
      <c r="IF27" s="21" t="n">
        <v>199.621</v>
      </c>
      <c r="IG27" s="21" t="n">
        <v>225.332</v>
      </c>
      <c r="IH27" s="21" t="n">
        <v>118.958</v>
      </c>
      <c r="II27" s="21" t="n">
        <v>264.47</v>
      </c>
      <c r="IJ27" s="21" t="n">
        <v>280.517</v>
      </c>
      <c r="IK27" s="21" t="n">
        <v>157.869</v>
      </c>
      <c r="IL27" s="21" t="n">
        <v>129.673</v>
      </c>
      <c r="IM27" s="21" t="n">
        <v>115.587</v>
      </c>
      <c r="IN27" s="21" t="n">
        <v>65.136</v>
      </c>
      <c r="IO27" s="21" t="n">
        <v>310.43</v>
      </c>
      <c r="IP27" s="21" t="n">
        <v>122.962</v>
      </c>
      <c r="IQ27" s="21" t="n">
        <v>474.546</v>
      </c>
      <c r="IR27" s="21" t="n">
        <v>376.078</v>
      </c>
      <c r="IS27" s="21" t="n">
        <v>123.102</v>
      </c>
      <c r="IT27" s="21" t="n">
        <v>518.6180000000001</v>
      </c>
      <c r="IU27" s="21" t="n">
        <v>96.821</v>
      </c>
      <c r="IV27" s="21" t="n">
        <v>100.029</v>
      </c>
      <c r="IW27" s="21" t="n">
        <v>506.105</v>
      </c>
      <c r="IX27" s="21" t="n">
        <v>377.29</v>
      </c>
      <c r="IY27" s="21" t="n">
        <v>385.353</v>
      </c>
      <c r="IZ27" s="21" t="n">
        <v>469.582</v>
      </c>
      <c r="JA27" s="21" t="n">
        <v>187.965</v>
      </c>
      <c r="JB27" s="21" t="n">
        <v>235.671</v>
      </c>
      <c r="JC27" s="21" t="n">
        <v>74.675</v>
      </c>
      <c r="JD27" s="21" t="n">
        <v>313.974</v>
      </c>
      <c r="JE27" s="21" t="n">
        <v>309.514</v>
      </c>
      <c r="JF27" s="21" t="n">
        <v>695.4109999999999</v>
      </c>
      <c r="JG27" s="21" t="n">
        <v>218.287</v>
      </c>
      <c r="JH27" s="21" t="n">
        <v>120.51</v>
      </c>
      <c r="JI27" s="21" t="n">
        <v>134.52</v>
      </c>
      <c r="JJ27" s="21" t="n">
        <v>118.375</v>
      </c>
      <c r="JK27" s="21" t="n">
        <v>103.132</v>
      </c>
      <c r="JL27" s="21" t="n">
        <v>235.151</v>
      </c>
      <c r="JM27" s="21" t="n">
        <v>454.553</v>
      </c>
      <c r="JN27" s="21" t="n">
        <v>125.901</v>
      </c>
      <c r="JO27" s="21" t="n">
        <v>73.081</v>
      </c>
      <c r="JP27" s="21" t="n">
        <v>40.337</v>
      </c>
      <c r="JQ27" s="21" t="n">
        <v>125.553</v>
      </c>
      <c r="JR27" s="21" t="n">
        <v>33.127</v>
      </c>
      <c r="JS27" s="21" t="n">
        <v>84.688</v>
      </c>
      <c r="JT27" s="21" t="n">
        <v>170.166</v>
      </c>
      <c r="JU27" s="21" t="n">
        <v>197.672</v>
      </c>
      <c r="JV27" s="21" t="n">
        <v>152.094</v>
      </c>
      <c r="JW27" s="21" t="n">
        <v>112.833</v>
      </c>
      <c r="JX27" s="21" t="n">
        <v>236.988</v>
      </c>
      <c r="JY27" s="21" t="n">
        <v>186.239</v>
      </c>
      <c r="JZ27" s="21" t="n">
        <v>248.398</v>
      </c>
      <c r="KA27" s="21" t="n">
        <v>111.796</v>
      </c>
      <c r="KB27" s="21" t="n">
        <v>146.684</v>
      </c>
      <c r="KC27" s="21" t="n">
        <v>82.001</v>
      </c>
      <c r="KD27" s="21" t="n">
        <v>76.15300000000001</v>
      </c>
      <c r="KE27" s="21" t="n">
        <v>55.573</v>
      </c>
      <c r="KF27" s="21" t="n"/>
      <c r="KG27" s="21" t="n">
        <v>22.754</v>
      </c>
      <c r="KH27" s="21" t="n">
        <v>124.744</v>
      </c>
      <c r="KI27" s="21" t="n">
        <v>127.112</v>
      </c>
      <c r="KJ27" s="21" t="n">
        <v>123.024</v>
      </c>
      <c r="KK27" s="21" t="n">
        <v>42.459</v>
      </c>
      <c r="KL27" s="21" t="n">
        <v>39.24</v>
      </c>
      <c r="KM27" s="21" t="n">
        <v>48.378</v>
      </c>
      <c r="KN27" s="21" t="n"/>
      <c r="KO27" s="21" t="n">
        <v>95.468</v>
      </c>
      <c r="KP27" s="21" t="n">
        <v>102.214</v>
      </c>
      <c r="KQ27" s="21" t="n">
        <v>163.46</v>
      </c>
      <c r="KR27" s="21" t="n">
        <v>134.398</v>
      </c>
      <c r="KS27" s="21" t="n">
        <v>375.921</v>
      </c>
      <c r="KT27" s="21" t="n">
        <v>177.391</v>
      </c>
      <c r="KU27" s="21" t="n">
        <v>226.329</v>
      </c>
      <c r="KV27" s="21" t="n">
        <v>299.476</v>
      </c>
      <c r="KW27" s="21" t="n">
        <v>242.769</v>
      </c>
      <c r="KX27" s="21" t="n">
        <v>170.971</v>
      </c>
      <c r="KY27" s="21" t="n">
        <v>97.04300000000001</v>
      </c>
      <c r="KZ27" s="21" t="n">
        <v>138.796</v>
      </c>
      <c r="LA27" s="21" t="n">
        <v>251.356</v>
      </c>
      <c r="LB27" s="21" t="n">
        <v>696.371</v>
      </c>
      <c r="LC27" s="21" t="n">
        <v>241.929</v>
      </c>
      <c r="LD27" s="21" t="n">
        <v>718.677</v>
      </c>
      <c r="LE27" s="21" t="n">
        <v>815.947</v>
      </c>
      <c r="LF27" s="21" t="n">
        <v>75.485</v>
      </c>
      <c r="LG27" s="21" t="n">
        <v>289.136</v>
      </c>
      <c r="LH27" s="21" t="n">
        <v>243.665</v>
      </c>
      <c r="LI27" s="21" t="n">
        <v>77.874</v>
      </c>
      <c r="LJ27" s="21" t="n">
        <v>180.649</v>
      </c>
      <c r="LK27" s="21" t="n">
        <v>284.32</v>
      </c>
      <c r="LL27" s="21" t="n">
        <v>288.967</v>
      </c>
      <c r="LM27" s="21" t="n">
        <v>73.974</v>
      </c>
      <c r="LN27" s="21" t="n">
        <v>96.765</v>
      </c>
      <c r="LO27" s="21" t="n">
        <v>52.679</v>
      </c>
      <c r="LP27" s="21" t="n">
        <v>116.453</v>
      </c>
      <c r="LQ27" s="21" t="n"/>
      <c r="LR27" s="21" t="n"/>
      <c r="LS27" s="21" t="n">
        <v>114.471</v>
      </c>
      <c r="LT27" s="21" t="n">
        <v>43.369</v>
      </c>
      <c r="LU27" s="21" t="n">
        <v>32.928</v>
      </c>
      <c r="LV27" s="21" t="n">
        <v>76.901</v>
      </c>
      <c r="LW27" s="21" t="n">
        <v>275.965</v>
      </c>
      <c r="LX27" s="21" t="n"/>
      <c r="LY27" s="21" t="n">
        <v>427.992</v>
      </c>
      <c r="LZ27" s="21" t="n">
        <v>62.094</v>
      </c>
      <c r="MA27" s="21" t="n">
        <v>402.159</v>
      </c>
      <c r="MB27" s="21" t="n">
        <v>257.682</v>
      </c>
      <c r="MC27" s="21" t="n">
        <v>226.263</v>
      </c>
      <c r="MD27" s="21" t="n">
        <v>162.497</v>
      </c>
      <c r="ME27" s="21" t="n">
        <v>103.396</v>
      </c>
      <c r="MF27" s="21" t="n">
        <v>186.781</v>
      </c>
      <c r="MG27" s="21" t="n">
        <v>255.781</v>
      </c>
      <c r="MH27" s="21" t="n">
        <v>156.068</v>
      </c>
      <c r="MI27" s="21" t="n">
        <v>419.936</v>
      </c>
      <c r="MJ27" s="21" t="n">
        <v>345.769</v>
      </c>
      <c r="MK27" s="21" t="n">
        <v>323.838</v>
      </c>
      <c r="ML27" s="21" t="n">
        <v>162.656</v>
      </c>
      <c r="MM27" s="21" t="n">
        <v>187.593</v>
      </c>
      <c r="MN27" s="21" t="n">
        <v>335.866</v>
      </c>
      <c r="MO27" s="21" t="n">
        <v>156.498</v>
      </c>
      <c r="MP27" s="21" t="n">
        <v>229.868</v>
      </c>
      <c r="MQ27" s="21" t="n">
        <v>78.396</v>
      </c>
      <c r="MR27" s="21" t="n">
        <v>151.047</v>
      </c>
      <c r="MS27" s="21" t="n">
        <v>76.575</v>
      </c>
      <c r="MT27" s="21" t="n">
        <v>232.526</v>
      </c>
      <c r="MU27" s="21" t="n">
        <v>250.097</v>
      </c>
      <c r="MV27" s="21" t="n">
        <v>242.791</v>
      </c>
      <c r="MW27" s="21" t="n">
        <v>251.143</v>
      </c>
      <c r="MX27" s="21" t="n">
        <v>226.424</v>
      </c>
      <c r="MY27" s="21" t="n">
        <v>220.539</v>
      </c>
      <c r="MZ27" s="21" t="n">
        <v>227.066</v>
      </c>
      <c r="NA27" s="21" t="n">
        <v>232.534</v>
      </c>
      <c r="NB27" s="21" t="n">
        <v>119.376</v>
      </c>
      <c r="NC27" s="21" t="n">
        <v>180.607</v>
      </c>
      <c r="ND27" s="21" t="n">
        <v>150.122</v>
      </c>
      <c r="NE27" s="21" t="n">
        <v>146.864</v>
      </c>
      <c r="NF27" s="21" t="n">
        <v>145.14</v>
      </c>
      <c r="NG27" s="21" t="n">
        <v>146.655</v>
      </c>
      <c r="NH27" s="21" t="n">
        <v>245.365</v>
      </c>
      <c r="NI27" s="21" t="n">
        <v>106.326</v>
      </c>
      <c r="NJ27" s="21" t="n">
        <v>78.95099999999999</v>
      </c>
      <c r="NK27" s="21" t="n">
        <v>110.87</v>
      </c>
      <c r="NL27" s="21" t="n">
        <v>198.195</v>
      </c>
      <c r="NM27" s="21" t="n">
        <v>206.984</v>
      </c>
      <c r="NN27" s="21" t="n">
        <v>91.247</v>
      </c>
      <c r="NO27" s="21" t="n">
        <v>58.305</v>
      </c>
      <c r="NP27" s="21" t="n">
        <v>217.861</v>
      </c>
      <c r="NQ27" s="21" t="n">
        <v>191.649</v>
      </c>
      <c r="NR27" s="21" t="n">
        <v>231.437</v>
      </c>
      <c r="NS27" s="21" t="n">
        <v>188.358</v>
      </c>
      <c r="NT27" s="21" t="n">
        <v>231.377</v>
      </c>
      <c r="NU27" s="21" t="n">
        <v>109.613</v>
      </c>
      <c r="NV27" s="21" t="n">
        <v>117.217</v>
      </c>
      <c r="NW27" s="21" t="n">
        <v>349.503</v>
      </c>
      <c r="NX27" s="21" t="n">
        <v>84.27</v>
      </c>
      <c r="NY27" s="21" t="n">
        <v>118.136</v>
      </c>
      <c r="NZ27" s="21" t="n">
        <v>306.821</v>
      </c>
      <c r="OA27" s="21" t="n">
        <v>305.71</v>
      </c>
      <c r="OB27" s="21" t="n">
        <v>316.506</v>
      </c>
      <c r="OC27" s="21" t="n">
        <v>290.543</v>
      </c>
      <c r="OD27" s="21" t="n">
        <v>328.065</v>
      </c>
      <c r="OE27" s="21" t="n">
        <v>105.063</v>
      </c>
      <c r="OF27" s="21" t="n">
        <v>306.221</v>
      </c>
      <c r="OG27" s="21" t="n">
        <v>216.95</v>
      </c>
      <c r="OH27" s="21" t="n">
        <v>50.675</v>
      </c>
      <c r="OI27" s="21" t="n">
        <v>121.31</v>
      </c>
      <c r="OJ27" s="21" t="n">
        <v>41.1</v>
      </c>
      <c r="OK27" s="21" t="n">
        <v>13.7</v>
      </c>
    </row>
    <row r="28">
      <c r="A28" s="22" t="n">
        <v>42795</v>
      </c>
      <c r="B28" s="21" t="n">
        <v>243.801</v>
      </c>
      <c r="C28" s="21" t="n">
        <v>730.3200000000001</v>
      </c>
      <c r="D28" s="21" t="n">
        <v>248.967</v>
      </c>
      <c r="E28" s="21" t="n">
        <v>249.165</v>
      </c>
      <c r="F28" s="21" t="n">
        <v>238.256</v>
      </c>
      <c r="G28" s="21" t="n">
        <v>272.174</v>
      </c>
      <c r="H28" s="21" t="n">
        <v>228.354</v>
      </c>
      <c r="I28" s="21" t="n">
        <v>238.885</v>
      </c>
      <c r="J28" s="21" t="n">
        <v>225.579</v>
      </c>
      <c r="K28" s="21" t="n">
        <v>234.116</v>
      </c>
      <c r="L28" s="21" t="n">
        <v>160.103</v>
      </c>
      <c r="M28" s="21" t="n">
        <v>297.205</v>
      </c>
      <c r="N28" s="21" t="n">
        <v>177.539</v>
      </c>
      <c r="O28" s="21" t="n">
        <v>323.226</v>
      </c>
      <c r="P28" s="21" t="n">
        <v>341.312</v>
      </c>
      <c r="Q28" s="21" t="n">
        <v>176.797</v>
      </c>
      <c r="R28" s="21" t="n">
        <v>282.159</v>
      </c>
      <c r="S28" s="21" t="n">
        <v>302.022</v>
      </c>
      <c r="T28" s="21" t="n">
        <v>266.699</v>
      </c>
      <c r="U28" s="21" t="n">
        <v>266.58</v>
      </c>
      <c r="V28" s="21" t="n">
        <v>294.552</v>
      </c>
      <c r="W28" s="21" t="n">
        <v>307.745</v>
      </c>
      <c r="X28" s="21" t="n">
        <v>268.205</v>
      </c>
      <c r="Y28" s="21" t="n">
        <v>244.306</v>
      </c>
      <c r="Z28" s="21" t="n">
        <v>247.554</v>
      </c>
      <c r="AA28" s="21" t="n">
        <v>249.389</v>
      </c>
      <c r="AB28" s="21" t="n">
        <v>293.076</v>
      </c>
      <c r="AC28" s="21" t="n">
        <v>260.161</v>
      </c>
      <c r="AD28" s="21" t="n">
        <v>220.233</v>
      </c>
      <c r="AE28" s="21" t="n">
        <v>198.766</v>
      </c>
      <c r="AF28" s="21" t="n">
        <v>225.003</v>
      </c>
      <c r="AG28" s="21" t="n">
        <v>210.381</v>
      </c>
      <c r="AH28" s="21" t="n">
        <v>158.774</v>
      </c>
      <c r="AI28" s="21" t="n">
        <v>300.654</v>
      </c>
      <c r="AJ28" s="21" t="n">
        <v>141.223</v>
      </c>
      <c r="AK28" s="21" t="n">
        <v>204.289</v>
      </c>
      <c r="AL28" s="21" t="n">
        <v>227.909</v>
      </c>
      <c r="AM28" s="21" t="n">
        <v>183.655</v>
      </c>
      <c r="AN28" s="21" t="n">
        <v>125.376</v>
      </c>
      <c r="AO28" s="21" t="n">
        <v>226</v>
      </c>
      <c r="AP28" s="21" t="n">
        <v>233.794</v>
      </c>
      <c r="AQ28" s="21" t="n">
        <v>145.597</v>
      </c>
      <c r="AR28" s="21" t="n">
        <v>318.205</v>
      </c>
      <c r="AS28" s="21" t="n">
        <v>164.377</v>
      </c>
      <c r="AT28" s="21" t="n">
        <v>231.309</v>
      </c>
      <c r="AU28" s="21" t="n">
        <v>147.827</v>
      </c>
      <c r="AV28" s="21" t="n">
        <v>245.316</v>
      </c>
      <c r="AW28" s="21" t="n">
        <v>218.97</v>
      </c>
      <c r="AX28" s="21" t="n">
        <v>155.288</v>
      </c>
      <c r="AY28" s="21" t="n">
        <v>284.543</v>
      </c>
      <c r="AZ28" s="21" t="n">
        <v>177.881</v>
      </c>
      <c r="BA28" s="21" t="n">
        <v>140.821</v>
      </c>
      <c r="BB28" s="21" t="n">
        <v>193.701</v>
      </c>
      <c r="BC28" s="21" t="n">
        <v>299.718</v>
      </c>
      <c r="BD28" s="21" t="n">
        <v>202.193</v>
      </c>
      <c r="BE28" s="21" t="n">
        <v>218.567</v>
      </c>
      <c r="BF28" s="21" t="n">
        <v>141.301</v>
      </c>
      <c r="BG28" s="21" t="n">
        <v>204.63</v>
      </c>
      <c r="BH28" s="21" t="n">
        <v>144.336</v>
      </c>
      <c r="BI28" s="21" t="n">
        <v>227.839</v>
      </c>
      <c r="BJ28" s="21" t="n">
        <v>223.28</v>
      </c>
      <c r="BK28" s="21" t="n">
        <v>147.506</v>
      </c>
      <c r="BL28" s="21" t="n">
        <v>292.932</v>
      </c>
      <c r="BM28" s="21" t="n">
        <v>337.47</v>
      </c>
      <c r="BN28" s="21" t="n">
        <v>356.93</v>
      </c>
      <c r="BO28" s="21" t="n">
        <v>335.68</v>
      </c>
      <c r="BP28" s="21" t="n">
        <v>197.635</v>
      </c>
      <c r="BQ28" s="21" t="n">
        <v>230.793</v>
      </c>
      <c r="BR28" s="21" t="n">
        <v>461.664</v>
      </c>
      <c r="BS28" s="21" t="n">
        <v>123.408</v>
      </c>
      <c r="BT28" s="21" t="n">
        <v>315.829</v>
      </c>
      <c r="BU28" s="21" t="n">
        <v>332.092</v>
      </c>
      <c r="BV28" s="21" t="n">
        <v>291.218</v>
      </c>
      <c r="BW28" s="21" t="n">
        <v>317.552</v>
      </c>
      <c r="BX28" s="21" t="n">
        <v>321.189</v>
      </c>
      <c r="BY28" s="21" t="n">
        <v>156.776</v>
      </c>
      <c r="BZ28" s="21" t="n">
        <v>160.241</v>
      </c>
      <c r="CA28" s="21" t="n">
        <v>158.038</v>
      </c>
      <c r="CB28" s="21" t="n">
        <v>166.754</v>
      </c>
      <c r="CC28" s="21" t="n">
        <v>148.344</v>
      </c>
      <c r="CD28" s="21" t="n">
        <v>202.451</v>
      </c>
      <c r="CE28" s="21" t="n">
        <v>160.045</v>
      </c>
      <c r="CF28" s="21" t="n">
        <v>196.591</v>
      </c>
      <c r="CG28" s="21" t="n">
        <v>168.455</v>
      </c>
      <c r="CH28" s="21" t="n">
        <v>129.775</v>
      </c>
      <c r="CI28" s="21" t="n">
        <v>163.157</v>
      </c>
      <c r="CJ28" s="21" t="n">
        <v>181.544</v>
      </c>
      <c r="CK28" s="21" t="n">
        <v>118.104</v>
      </c>
      <c r="CL28" s="21" t="n">
        <v>118.69</v>
      </c>
      <c r="CM28" s="21" t="n">
        <v>200.092</v>
      </c>
      <c r="CN28" s="21" t="n">
        <v>209.507</v>
      </c>
      <c r="CO28" s="21" t="n">
        <v>197.889</v>
      </c>
      <c r="CP28" s="21" t="n">
        <v>128.697</v>
      </c>
      <c r="CQ28" s="21" t="n">
        <v>210.002</v>
      </c>
      <c r="CR28" s="21" t="n">
        <v>214.636</v>
      </c>
      <c r="CS28" s="21" t="n">
        <v>184.713</v>
      </c>
      <c r="CT28" s="21" t="n">
        <v>144.202</v>
      </c>
      <c r="CU28" s="21" t="n">
        <v>156.365</v>
      </c>
      <c r="CV28" s="21" t="n">
        <v>227.109</v>
      </c>
      <c r="CW28" s="21" t="n">
        <v>203.56</v>
      </c>
      <c r="CX28" s="21" t="n">
        <v>237.697</v>
      </c>
      <c r="CY28" s="21" t="n">
        <v>298.368</v>
      </c>
      <c r="CZ28" s="21" t="n">
        <v>130.436</v>
      </c>
      <c r="DA28" s="21" t="n">
        <v>157.182</v>
      </c>
      <c r="DB28" s="21" t="n">
        <v>155.154</v>
      </c>
      <c r="DC28" s="21" t="n">
        <v>224.746</v>
      </c>
      <c r="DD28" s="21" t="n">
        <v>246.728</v>
      </c>
      <c r="DE28" s="21" t="n">
        <v>166.749</v>
      </c>
      <c r="DF28" s="21" t="n">
        <v>253.425</v>
      </c>
      <c r="DG28" s="21" t="n">
        <v>240.737</v>
      </c>
      <c r="DH28" s="21" t="n">
        <v>152.203</v>
      </c>
      <c r="DI28" s="21" t="n">
        <v>139.094</v>
      </c>
      <c r="DJ28" s="21" t="n">
        <v>137.275</v>
      </c>
      <c r="DK28" s="21" t="n">
        <v>278.928</v>
      </c>
      <c r="DL28" s="21" t="n">
        <v>157.67</v>
      </c>
      <c r="DM28" s="21" t="n">
        <v>132.131</v>
      </c>
      <c r="DN28" s="21" t="n">
        <v>128.945</v>
      </c>
      <c r="DO28" s="21" t="n">
        <v>267.055</v>
      </c>
      <c r="DP28" s="21" t="n">
        <v>166.073</v>
      </c>
      <c r="DQ28" s="21" t="n">
        <v>170.381</v>
      </c>
      <c r="DR28" s="21" t="n">
        <v>172.85</v>
      </c>
      <c r="DS28" s="21" t="n">
        <v>143.775</v>
      </c>
      <c r="DT28" s="21" t="n">
        <v>153.874</v>
      </c>
      <c r="DU28" s="21" t="n">
        <v>183.752</v>
      </c>
      <c r="DV28" s="21" t="n">
        <v>244.978</v>
      </c>
      <c r="DW28" s="21" t="n">
        <v>200.365</v>
      </c>
      <c r="DX28" s="21" t="n">
        <v>221.949</v>
      </c>
      <c r="DY28" s="21" t="n">
        <v>194.033</v>
      </c>
      <c r="DZ28" s="21" t="n">
        <v>209.889</v>
      </c>
      <c r="EA28" s="21" t="n">
        <v>187.306</v>
      </c>
      <c r="EB28" s="21" t="n">
        <v>168.468</v>
      </c>
      <c r="EC28" s="21" t="n">
        <v>341.685</v>
      </c>
      <c r="ED28" s="21" t="n">
        <v>170.029</v>
      </c>
      <c r="EE28" s="21" t="n">
        <v>182.671</v>
      </c>
      <c r="EF28" s="21" t="n">
        <v>184.375</v>
      </c>
      <c r="EG28" s="21" t="n">
        <v>248.978</v>
      </c>
      <c r="EH28" s="21" t="n">
        <v>295.044</v>
      </c>
      <c r="EI28" s="21" t="n">
        <v>304.868</v>
      </c>
      <c r="EJ28" s="21" t="n">
        <v>159.706</v>
      </c>
      <c r="EK28" s="21" t="n">
        <v>533.1130000000001</v>
      </c>
      <c r="EL28" s="21" t="n">
        <v>328.265</v>
      </c>
      <c r="EM28" s="21" t="n">
        <v>302.259</v>
      </c>
      <c r="EN28" s="21" t="n">
        <v>302.242</v>
      </c>
      <c r="EO28" s="21" t="n">
        <v>148.078</v>
      </c>
      <c r="EP28" s="21" t="n">
        <v>232.714</v>
      </c>
      <c r="EQ28" s="21" t="n">
        <v>193.703</v>
      </c>
      <c r="ER28" s="21" t="n">
        <v>255.124</v>
      </c>
      <c r="ES28" s="21" t="n">
        <v>240.619</v>
      </c>
      <c r="ET28" s="21" t="n">
        <v>325.723</v>
      </c>
      <c r="EU28" s="21" t="n">
        <v>197.709</v>
      </c>
      <c r="EV28" s="21" t="n">
        <v>205.692</v>
      </c>
      <c r="EW28" s="21" t="n">
        <v>170.755</v>
      </c>
      <c r="EX28" s="21" t="n">
        <v>227.553</v>
      </c>
      <c r="EY28" s="21" t="n">
        <v>528.876</v>
      </c>
      <c r="EZ28" s="21" t="n">
        <v>446.987</v>
      </c>
      <c r="FA28" s="21" t="n">
        <v>121.548</v>
      </c>
      <c r="FB28" s="21" t="n">
        <v>59.499</v>
      </c>
      <c r="FC28" s="21" t="n">
        <v>108.31</v>
      </c>
      <c r="FD28" s="21" t="n">
        <v>69.093</v>
      </c>
      <c r="FE28" s="21" t="n">
        <v>46.202</v>
      </c>
      <c r="FF28" s="21" t="n">
        <v>111.645</v>
      </c>
      <c r="FG28" s="21" t="n">
        <v>127.566</v>
      </c>
      <c r="FH28" s="21" t="n">
        <v>85.452</v>
      </c>
      <c r="FI28" s="21" t="n">
        <v>70.49299999999999</v>
      </c>
      <c r="FJ28" s="21" t="n">
        <v>95.429</v>
      </c>
      <c r="FK28" s="21" t="n">
        <v>75.631</v>
      </c>
      <c r="FL28" s="21" t="n">
        <v>81.23099999999999</v>
      </c>
      <c r="FM28" s="21" t="n">
        <v>92.971</v>
      </c>
      <c r="FN28" s="21" t="n">
        <v>65.765</v>
      </c>
      <c r="FO28" s="21" t="n">
        <v>56.416</v>
      </c>
      <c r="FP28" s="21" t="n">
        <v>43.338</v>
      </c>
      <c r="FQ28" s="21" t="n">
        <v>132.675</v>
      </c>
      <c r="FR28" s="21" t="n">
        <v>53.518</v>
      </c>
      <c r="FS28" s="21" t="n">
        <v>87.378</v>
      </c>
      <c r="FT28" s="21" t="n">
        <v>90.13200000000001</v>
      </c>
      <c r="FU28" s="21" t="n">
        <v>97.637</v>
      </c>
      <c r="FV28" s="21" t="n">
        <v>86.575</v>
      </c>
      <c r="FW28" s="21" t="n">
        <v>185.353</v>
      </c>
      <c r="FX28" s="21" t="n">
        <v>118.841</v>
      </c>
      <c r="FY28" s="21" t="n">
        <v>168.496</v>
      </c>
      <c r="FZ28" s="21" t="n">
        <v>116.763</v>
      </c>
      <c r="GA28" s="21" t="n">
        <v>174.546</v>
      </c>
      <c r="GB28" s="21" t="n">
        <v>159.454</v>
      </c>
      <c r="GC28" s="21" t="n">
        <v>179.33</v>
      </c>
      <c r="GD28" s="21" t="n">
        <v>151.568</v>
      </c>
      <c r="GE28" s="21" t="n">
        <v>236.522</v>
      </c>
      <c r="GF28" s="21" t="n">
        <v>128.25</v>
      </c>
      <c r="GG28" s="21" t="n">
        <v>118.328</v>
      </c>
      <c r="GH28" s="21" t="n">
        <v>122.942</v>
      </c>
      <c r="GI28" s="21" t="n">
        <v>110.796</v>
      </c>
      <c r="GJ28" s="21" t="n">
        <v>155.656</v>
      </c>
      <c r="GK28" s="21" t="n">
        <v>80.81999999999999</v>
      </c>
      <c r="GL28" s="21" t="n">
        <v>117.825</v>
      </c>
      <c r="GM28" s="21" t="n">
        <v>100.592</v>
      </c>
      <c r="GN28" s="21" t="n">
        <v>115.827</v>
      </c>
      <c r="GO28" s="21" t="n">
        <v>119.569</v>
      </c>
      <c r="GP28" s="21" t="n">
        <v>115.052</v>
      </c>
      <c r="GQ28" s="21" t="n">
        <v>132.91</v>
      </c>
      <c r="GR28" s="21" t="n">
        <v>85.06</v>
      </c>
      <c r="GS28" s="21" t="n">
        <v>108.188</v>
      </c>
      <c r="GT28" s="21" t="n">
        <v>98.342</v>
      </c>
      <c r="GU28" s="21" t="n">
        <v>138.116</v>
      </c>
      <c r="GV28" s="21" t="n">
        <v>140.837</v>
      </c>
      <c r="GW28" s="21" t="n">
        <v>152.873</v>
      </c>
      <c r="GX28" s="21" t="n">
        <v>128.707</v>
      </c>
      <c r="GY28" s="21" t="n">
        <v>114.147</v>
      </c>
      <c r="GZ28" s="21" t="n">
        <v>171.944</v>
      </c>
      <c r="HA28" s="21" t="n">
        <v>126.812</v>
      </c>
      <c r="HB28" s="21" t="n">
        <v>182.644</v>
      </c>
      <c r="HC28" s="21" t="n">
        <v>200.091</v>
      </c>
      <c r="HD28" s="21" t="n">
        <v>194.89</v>
      </c>
      <c r="HE28" s="21" t="n">
        <v>99.58199999999999</v>
      </c>
      <c r="HF28" s="21" t="n">
        <v>148.543</v>
      </c>
      <c r="HG28" s="21" t="n">
        <v>102.951</v>
      </c>
      <c r="HH28" s="21" t="n">
        <v>144.589</v>
      </c>
      <c r="HI28" s="21" t="n">
        <v>157.662</v>
      </c>
      <c r="HJ28" s="21" t="n"/>
      <c r="HK28" s="21" t="n">
        <v>139.372</v>
      </c>
      <c r="HL28" s="21" t="n">
        <v>83.83</v>
      </c>
      <c r="HM28" s="21" t="n">
        <v>123.888</v>
      </c>
      <c r="HN28" s="21" t="n">
        <v>205.155</v>
      </c>
      <c r="HO28" s="21" t="n">
        <v>204.217</v>
      </c>
      <c r="HP28" s="21" t="n">
        <v>199.896</v>
      </c>
      <c r="HQ28" s="21" t="n">
        <v>221.312</v>
      </c>
      <c r="HR28" s="21" t="n">
        <v>216.981</v>
      </c>
      <c r="HS28" s="21" t="n">
        <v>185.393</v>
      </c>
      <c r="HT28" s="21" t="n">
        <v>143.797</v>
      </c>
      <c r="HU28" s="21" t="n">
        <v>125.414</v>
      </c>
      <c r="HV28" s="21" t="n">
        <v>167.086</v>
      </c>
      <c r="HW28" s="21" t="n">
        <v>157.529</v>
      </c>
      <c r="HX28" s="21" t="n">
        <v>372.691</v>
      </c>
      <c r="HY28" s="21" t="n">
        <v>279.6</v>
      </c>
      <c r="HZ28" s="21" t="n">
        <v>293.411</v>
      </c>
      <c r="IA28" s="21" t="n">
        <v>250.269</v>
      </c>
      <c r="IB28" s="21" t="n">
        <v>174.299</v>
      </c>
      <c r="IC28" s="21" t="n">
        <v>517.619</v>
      </c>
      <c r="ID28" s="21" t="n">
        <v>184.504</v>
      </c>
      <c r="IE28" s="21" t="n">
        <v>175.25</v>
      </c>
      <c r="IF28" s="21" t="n">
        <v>199.786</v>
      </c>
      <c r="IG28" s="21" t="n">
        <v>225.737</v>
      </c>
      <c r="IH28" s="21" t="n">
        <v>119.048</v>
      </c>
      <c r="II28" s="21" t="n">
        <v>266.591</v>
      </c>
      <c r="IJ28" s="21" t="n">
        <v>283.583</v>
      </c>
      <c r="IK28" s="21" t="n">
        <v>159.179</v>
      </c>
      <c r="IL28" s="21" t="n">
        <v>131.211</v>
      </c>
      <c r="IM28" s="21" t="n">
        <v>117.287</v>
      </c>
      <c r="IN28" s="21" t="n">
        <v>65.73699999999999</v>
      </c>
      <c r="IO28" s="21" t="n">
        <v>310.762</v>
      </c>
      <c r="IP28" s="21" t="n">
        <v>123.122</v>
      </c>
      <c r="IQ28" s="21" t="n">
        <v>474.561</v>
      </c>
      <c r="IR28" s="21" t="n">
        <v>376.44</v>
      </c>
      <c r="IS28" s="21" t="n">
        <v>123.227</v>
      </c>
      <c r="IT28" s="21" t="n">
        <v>518.47</v>
      </c>
      <c r="IU28" s="21" t="n">
        <v>97.42700000000001</v>
      </c>
      <c r="IV28" s="21" t="n">
        <v>99.974</v>
      </c>
      <c r="IW28" s="21" t="n">
        <v>505.991</v>
      </c>
      <c r="IX28" s="21" t="n">
        <v>376.827</v>
      </c>
      <c r="IY28" s="21" t="n">
        <v>383.965</v>
      </c>
      <c r="IZ28" s="21" t="n">
        <v>471.691</v>
      </c>
      <c r="JA28" s="21" t="n">
        <v>186.664</v>
      </c>
      <c r="JB28" s="21" t="n">
        <v>236.293</v>
      </c>
      <c r="JC28" s="21" t="n">
        <v>74.801</v>
      </c>
      <c r="JD28" s="21" t="n">
        <v>314.529</v>
      </c>
      <c r="JE28" s="21" t="n">
        <v>309.346</v>
      </c>
      <c r="JF28" s="21" t="n">
        <v>696.85</v>
      </c>
      <c r="JG28" s="21" t="n">
        <v>218.958</v>
      </c>
      <c r="JH28" s="21" t="n">
        <v>120.001</v>
      </c>
      <c r="JI28" s="21" t="n">
        <v>134.263</v>
      </c>
      <c r="JJ28" s="21" t="n">
        <v>118.573</v>
      </c>
      <c r="JK28" s="21" t="n">
        <v>104.011</v>
      </c>
      <c r="JL28" s="21" t="n">
        <v>234.087</v>
      </c>
      <c r="JM28" s="21" t="n">
        <v>459.685</v>
      </c>
      <c r="JN28" s="21" t="n">
        <v>125.806</v>
      </c>
      <c r="JO28" s="21" t="n">
        <v>71.66800000000001</v>
      </c>
      <c r="JP28" s="21" t="n">
        <v>38.916</v>
      </c>
      <c r="JQ28" s="21" t="n">
        <v>125.553</v>
      </c>
      <c r="JR28" s="21" t="n">
        <v>32.825</v>
      </c>
      <c r="JS28" s="21" t="n">
        <v>89.502</v>
      </c>
      <c r="JT28" s="21" t="n">
        <v>170.197</v>
      </c>
      <c r="JU28" s="21" t="n">
        <v>197.618</v>
      </c>
      <c r="JV28" s="21" t="n">
        <v>151.394</v>
      </c>
      <c r="JW28" s="21" t="n">
        <v>113.301</v>
      </c>
      <c r="JX28" s="21" t="n">
        <v>237.199</v>
      </c>
      <c r="JY28" s="21" t="n">
        <v>186.281</v>
      </c>
      <c r="JZ28" s="21" t="n">
        <v>248.605</v>
      </c>
      <c r="KA28" s="21" t="n">
        <v>111.271</v>
      </c>
      <c r="KB28" s="21" t="n">
        <v>145.503</v>
      </c>
      <c r="KC28" s="21" t="n">
        <v>81.941</v>
      </c>
      <c r="KD28" s="21" t="n">
        <v>75.883</v>
      </c>
      <c r="KE28" s="21" t="n">
        <v>55.353</v>
      </c>
      <c r="KF28" s="21" t="n"/>
      <c r="KG28" s="21" t="n">
        <v>22.654</v>
      </c>
      <c r="KH28" s="21" t="n">
        <v>124.336</v>
      </c>
      <c r="KI28" s="21" t="n">
        <v>127.112</v>
      </c>
      <c r="KJ28" s="21" t="n">
        <v>122.24</v>
      </c>
      <c r="KK28" s="21" t="n">
        <v>41.867</v>
      </c>
      <c r="KL28" s="21" t="n">
        <v>38.717</v>
      </c>
      <c r="KM28" s="21" t="n">
        <v>47.463</v>
      </c>
      <c r="KN28" s="21" t="n"/>
      <c r="KO28" s="21" t="n">
        <v>94.033</v>
      </c>
      <c r="KP28" s="21" t="n">
        <v>100.229</v>
      </c>
      <c r="KQ28" s="21" t="n">
        <v>163.52</v>
      </c>
      <c r="KR28" s="21" t="n">
        <v>134.381</v>
      </c>
      <c r="KS28" s="21" t="n">
        <v>375.376</v>
      </c>
      <c r="KT28" s="21" t="n">
        <v>176.939</v>
      </c>
      <c r="KU28" s="21" t="n">
        <v>221.56</v>
      </c>
      <c r="KV28" s="21" t="n">
        <v>301.994</v>
      </c>
      <c r="KW28" s="21" t="n">
        <v>243.07</v>
      </c>
      <c r="KX28" s="21" t="n">
        <v>171.096</v>
      </c>
      <c r="KY28" s="21" t="n">
        <v>97.238</v>
      </c>
      <c r="KZ28" s="21" t="n">
        <v>136.234</v>
      </c>
      <c r="LA28" s="21" t="n">
        <v>251.113</v>
      </c>
      <c r="LB28" s="21" t="n">
        <v>698.235</v>
      </c>
      <c r="LC28" s="21" t="n">
        <v>243.529</v>
      </c>
      <c r="LD28" s="21" t="n">
        <v>717.84</v>
      </c>
      <c r="LE28" s="21" t="n">
        <v>814.019</v>
      </c>
      <c r="LF28" s="21" t="n">
        <v>75.444</v>
      </c>
      <c r="LG28" s="21" t="n">
        <v>289.498</v>
      </c>
      <c r="LH28" s="21" t="n">
        <v>244.173</v>
      </c>
      <c r="LI28" s="21" t="n">
        <v>75.27500000000001</v>
      </c>
      <c r="LJ28" s="21" t="n">
        <v>180.683</v>
      </c>
      <c r="LK28" s="21" t="n">
        <v>284.32</v>
      </c>
      <c r="LL28" s="21" t="n">
        <v>290.017</v>
      </c>
      <c r="LM28" s="21" t="n">
        <v>71.40900000000001</v>
      </c>
      <c r="LN28" s="21" t="n">
        <v>91.971</v>
      </c>
      <c r="LO28" s="21" t="n">
        <v>49.002</v>
      </c>
      <c r="LP28" s="21" t="n">
        <v>116.158</v>
      </c>
      <c r="LQ28" s="21" t="n"/>
      <c r="LR28" s="21" t="n"/>
      <c r="LS28" s="21" t="n">
        <v>114.053</v>
      </c>
      <c r="LT28" s="21" t="n">
        <v>42.818</v>
      </c>
      <c r="LU28" s="21" t="n">
        <v>32.547</v>
      </c>
      <c r="LV28" s="21" t="n">
        <v>77.074</v>
      </c>
      <c r="LW28" s="21" t="n">
        <v>271.722</v>
      </c>
      <c r="LX28" s="21" t="n"/>
      <c r="LY28" s="21" t="n">
        <v>428.336</v>
      </c>
      <c r="LZ28" s="21" t="n">
        <v>62.293</v>
      </c>
      <c r="MA28" s="21" t="n">
        <v>403.573</v>
      </c>
      <c r="MB28" s="21" t="n">
        <v>257.416</v>
      </c>
      <c r="MC28" s="21" t="n">
        <v>226.301</v>
      </c>
      <c r="MD28" s="21" t="n">
        <v>161.555</v>
      </c>
      <c r="ME28" s="21" t="n">
        <v>103.19</v>
      </c>
      <c r="MF28" s="21" t="n">
        <v>184.866</v>
      </c>
      <c r="MG28" s="21" t="n">
        <v>256.488</v>
      </c>
      <c r="MH28" s="21" t="n">
        <v>156.5</v>
      </c>
      <c r="MI28" s="21" t="n">
        <v>422.278</v>
      </c>
      <c r="MJ28" s="21" t="n">
        <v>345.706</v>
      </c>
      <c r="MK28" s="21" t="n">
        <v>323.806</v>
      </c>
      <c r="ML28" s="21" t="n">
        <v>163.473</v>
      </c>
      <c r="MM28" s="21" t="n">
        <v>186.676</v>
      </c>
      <c r="MN28" s="21" t="n">
        <v>341.465</v>
      </c>
      <c r="MO28" s="21" t="n">
        <v>156.498</v>
      </c>
      <c r="MP28" s="21" t="n">
        <v>236.886</v>
      </c>
      <c r="MQ28" s="21" t="n">
        <v>77.15600000000001</v>
      </c>
      <c r="MR28" s="21" t="n">
        <v>150.873</v>
      </c>
      <c r="MS28" s="21" t="n">
        <v>75.426</v>
      </c>
      <c r="MT28" s="21" t="n">
        <v>232.732</v>
      </c>
      <c r="MU28" s="21" t="n">
        <v>250.277</v>
      </c>
      <c r="MV28" s="21" t="n">
        <v>242.962</v>
      </c>
      <c r="MW28" s="21" t="n">
        <v>251.29</v>
      </c>
      <c r="MX28" s="21" t="n">
        <v>226.469</v>
      </c>
      <c r="MY28" s="21" t="n">
        <v>220.508</v>
      </c>
      <c r="MZ28" s="21" t="n">
        <v>226.956</v>
      </c>
      <c r="NA28" s="21" t="n">
        <v>232.304</v>
      </c>
      <c r="NB28" s="21" t="n">
        <v>121.342</v>
      </c>
      <c r="NC28" s="21" t="n">
        <v>181.136</v>
      </c>
      <c r="ND28" s="21" t="n">
        <v>150.691</v>
      </c>
      <c r="NE28" s="21" t="n">
        <v>147.435</v>
      </c>
      <c r="NF28" s="21" t="n">
        <v>145.527</v>
      </c>
      <c r="NG28" s="21" t="n">
        <v>146.911</v>
      </c>
      <c r="NH28" s="21" t="n">
        <v>246.104</v>
      </c>
      <c r="NI28" s="21" t="n">
        <v>106.343</v>
      </c>
      <c r="NJ28" s="21" t="n">
        <v>78.255</v>
      </c>
      <c r="NK28" s="21" t="n">
        <v>108.72</v>
      </c>
      <c r="NL28" s="21" t="n">
        <v>198.597</v>
      </c>
      <c r="NM28" s="21" t="n">
        <v>209.029</v>
      </c>
      <c r="NN28" s="21" t="n">
        <v>91.262</v>
      </c>
      <c r="NO28" s="21" t="n">
        <v>57.545</v>
      </c>
      <c r="NP28" s="21" t="n">
        <v>218.705</v>
      </c>
      <c r="NQ28" s="21" t="n">
        <v>192.856</v>
      </c>
      <c r="NR28" s="21" t="n">
        <v>232.147</v>
      </c>
      <c r="NS28" s="21" t="n">
        <v>189.614</v>
      </c>
      <c r="NT28" s="21" t="n">
        <v>232.124</v>
      </c>
      <c r="NU28" s="21" t="n">
        <v>109.271</v>
      </c>
      <c r="NV28" s="21" t="n">
        <v>117.747</v>
      </c>
      <c r="NW28" s="21" t="n">
        <v>346.601</v>
      </c>
      <c r="NX28" s="21" t="n">
        <v>83.943</v>
      </c>
      <c r="NY28" s="21" t="n">
        <v>118.631</v>
      </c>
      <c r="NZ28" s="21" t="n">
        <v>307.446</v>
      </c>
      <c r="OA28" s="21" t="n">
        <v>305.59</v>
      </c>
      <c r="OB28" s="21" t="n">
        <v>316.481</v>
      </c>
      <c r="OC28" s="21" t="n">
        <v>290.423</v>
      </c>
      <c r="OD28" s="21" t="n">
        <v>327.067</v>
      </c>
      <c r="OE28" s="21" t="n">
        <v>105.262</v>
      </c>
      <c r="OF28" s="21" t="n">
        <v>307.49</v>
      </c>
      <c r="OG28" s="21" t="n">
        <v>214.482</v>
      </c>
      <c r="OH28" s="21" t="n">
        <v>50.762</v>
      </c>
      <c r="OI28" s="21" t="n">
        <v>122.45</v>
      </c>
      <c r="OJ28" s="21" t="n">
        <v>41</v>
      </c>
      <c r="OK28" s="21" t="n">
        <v>13.7</v>
      </c>
    </row>
    <row r="29">
      <c r="A29" s="22" t="n">
        <v>42826</v>
      </c>
      <c r="B29" s="21" t="n">
        <v>244.524</v>
      </c>
      <c r="C29" s="21" t="n">
        <v>732.486</v>
      </c>
      <c r="D29" s="21" t="n">
        <v>249.538</v>
      </c>
      <c r="E29" s="21" t="n">
        <v>249.739</v>
      </c>
      <c r="F29" s="21" t="n">
        <v>238.817</v>
      </c>
      <c r="G29" s="21" t="n">
        <v>271.865</v>
      </c>
      <c r="H29" s="21" t="n">
        <v>227.827</v>
      </c>
      <c r="I29" s="21" t="n">
        <v>235.001</v>
      </c>
      <c r="J29" s="21" t="n">
        <v>225.253</v>
      </c>
      <c r="K29" s="21" t="n">
        <v>234.38</v>
      </c>
      <c r="L29" s="21" t="n">
        <v>159.335</v>
      </c>
      <c r="M29" s="21" t="n">
        <v>297.043</v>
      </c>
      <c r="N29" s="21" t="n">
        <v>178.554</v>
      </c>
      <c r="O29" s="21" t="n">
        <v>322.719</v>
      </c>
      <c r="P29" s="21" t="n">
        <v>346.739</v>
      </c>
      <c r="Q29" s="21" t="n">
        <v>175.749</v>
      </c>
      <c r="R29" s="21" t="n">
        <v>283.46</v>
      </c>
      <c r="S29" s="21" t="n">
        <v>301.463</v>
      </c>
      <c r="T29" s="21" t="n">
        <v>269.502</v>
      </c>
      <c r="U29" s="21" t="n">
        <v>264.475</v>
      </c>
      <c r="V29" s="21" t="n">
        <v>288.599</v>
      </c>
      <c r="W29" s="21" t="n">
        <v>304.092</v>
      </c>
      <c r="X29" s="21" t="n">
        <v>268.69</v>
      </c>
      <c r="Y29" s="21" t="n">
        <v>243.33</v>
      </c>
      <c r="Z29" s="21" t="n">
        <v>246.466</v>
      </c>
      <c r="AA29" s="21" t="n">
        <v>248.077</v>
      </c>
      <c r="AB29" s="21" t="n">
        <v>294.466</v>
      </c>
      <c r="AC29" s="21" t="n">
        <v>260.834</v>
      </c>
      <c r="AD29" s="21" t="n">
        <v>220.266</v>
      </c>
      <c r="AE29" s="21" t="n">
        <v>200.534</v>
      </c>
      <c r="AF29" s="21" t="n">
        <v>226.118</v>
      </c>
      <c r="AG29" s="21" t="n">
        <v>208.028</v>
      </c>
      <c r="AH29" s="21" t="n">
        <v>159.024</v>
      </c>
      <c r="AI29" s="21" t="n">
        <v>301.45</v>
      </c>
      <c r="AJ29" s="21" t="n">
        <v>141.194</v>
      </c>
      <c r="AK29" s="21" t="n">
        <v>194.338</v>
      </c>
      <c r="AL29" s="21" t="n">
        <v>215.563</v>
      </c>
      <c r="AM29" s="21" t="n">
        <v>180.404</v>
      </c>
      <c r="AN29" s="21" t="n">
        <v>125.299</v>
      </c>
      <c r="AO29" s="21" t="n">
        <v>222.445</v>
      </c>
      <c r="AP29" s="21" t="n">
        <v>224.031</v>
      </c>
      <c r="AQ29" s="21" t="n">
        <v>144.802</v>
      </c>
      <c r="AR29" s="21" t="n">
        <v>306.92</v>
      </c>
      <c r="AS29" s="21" t="n">
        <v>159.219</v>
      </c>
      <c r="AT29" s="21" t="n">
        <v>230.537</v>
      </c>
      <c r="AU29" s="21" t="n">
        <v>147.576</v>
      </c>
      <c r="AV29" s="21" t="n">
        <v>240.551</v>
      </c>
      <c r="AW29" s="21" t="n">
        <v>220.066</v>
      </c>
      <c r="AX29" s="21" t="n">
        <v>153.688</v>
      </c>
      <c r="AY29" s="21" t="n">
        <v>283.879</v>
      </c>
      <c r="AZ29" s="21" t="n">
        <v>176.624</v>
      </c>
      <c r="BA29" s="21" t="n">
        <v>141.309</v>
      </c>
      <c r="BB29" s="21" t="n">
        <v>194.342</v>
      </c>
      <c r="BC29" s="21" t="n">
        <v>301.313</v>
      </c>
      <c r="BD29" s="21" t="n">
        <v>202.723</v>
      </c>
      <c r="BE29" s="21" t="n">
        <v>217.827</v>
      </c>
      <c r="BF29" s="21" t="n">
        <v>139.406</v>
      </c>
      <c r="BG29" s="21" t="n">
        <v>201.315</v>
      </c>
      <c r="BH29" s="21" t="n">
        <v>142.248</v>
      </c>
      <c r="BI29" s="21" t="n">
        <v>228.19</v>
      </c>
      <c r="BJ29" s="21" t="n">
        <v>221.502</v>
      </c>
      <c r="BK29" s="21" t="n">
        <v>148.116</v>
      </c>
      <c r="BL29" s="21" t="n">
        <v>298.164</v>
      </c>
      <c r="BM29" s="21" t="n">
        <v>345.636</v>
      </c>
      <c r="BN29" s="21" t="n">
        <v>362.473</v>
      </c>
      <c r="BO29" s="21" t="n">
        <v>335.668</v>
      </c>
      <c r="BP29" s="21" t="n">
        <v>197.638</v>
      </c>
      <c r="BQ29" s="21" t="n">
        <v>235.296</v>
      </c>
      <c r="BR29" s="21" t="n">
        <v>466.869</v>
      </c>
      <c r="BS29" s="21" t="n">
        <v>126.345</v>
      </c>
      <c r="BT29" s="21" t="n">
        <v>326.701</v>
      </c>
      <c r="BU29" s="21" t="n">
        <v>332.868</v>
      </c>
      <c r="BV29" s="21" t="n">
        <v>331.262</v>
      </c>
      <c r="BW29" s="21" t="n">
        <v>320.142</v>
      </c>
      <c r="BX29" s="21" t="n">
        <v>329.885</v>
      </c>
      <c r="BY29" s="21" t="n">
        <v>156.042</v>
      </c>
      <c r="BZ29" s="21" t="n">
        <v>158.996</v>
      </c>
      <c r="CA29" s="21" t="n">
        <v>157.901</v>
      </c>
      <c r="CB29" s="21" t="n">
        <v>165.12</v>
      </c>
      <c r="CC29" s="21" t="n">
        <v>149.478</v>
      </c>
      <c r="CD29" s="21" t="n">
        <v>204.247</v>
      </c>
      <c r="CE29" s="21" t="n">
        <v>157.55</v>
      </c>
      <c r="CF29" s="21" t="n">
        <v>196.7</v>
      </c>
      <c r="CG29" s="21" t="n">
        <v>168.354</v>
      </c>
      <c r="CH29" s="21" t="n">
        <v>129.447</v>
      </c>
      <c r="CI29" s="21" t="n">
        <v>162.356</v>
      </c>
      <c r="CJ29" s="21" t="n">
        <v>180.277</v>
      </c>
      <c r="CK29" s="21" t="n">
        <v>118.014</v>
      </c>
      <c r="CL29" s="21" t="n">
        <v>119.167</v>
      </c>
      <c r="CM29" s="21" t="n">
        <v>201.394</v>
      </c>
      <c r="CN29" s="21" t="n">
        <v>209.857</v>
      </c>
      <c r="CO29" s="21" t="n">
        <v>202.802</v>
      </c>
      <c r="CP29" s="21" t="n">
        <v>128.674</v>
      </c>
      <c r="CQ29" s="21" t="n">
        <v>210.668</v>
      </c>
      <c r="CR29" s="21" t="n">
        <v>214.014</v>
      </c>
      <c r="CS29" s="21" t="n">
        <v>184.111</v>
      </c>
      <c r="CT29" s="21" t="n">
        <v>143.741</v>
      </c>
      <c r="CU29" s="21" t="n">
        <v>156.111</v>
      </c>
      <c r="CV29" s="21" t="n">
        <v>226.858</v>
      </c>
      <c r="CW29" s="21" t="n">
        <v>202.037</v>
      </c>
      <c r="CX29" s="21" t="n">
        <v>233.797</v>
      </c>
      <c r="CY29" s="21" t="n">
        <v>305</v>
      </c>
      <c r="CZ29" s="21" t="n">
        <v>127.58</v>
      </c>
      <c r="DA29" s="21" t="n">
        <v>159.343</v>
      </c>
      <c r="DB29" s="21" t="n">
        <v>156.482</v>
      </c>
      <c r="DC29" s="21" t="n">
        <v>225.88</v>
      </c>
      <c r="DD29" s="21" t="n">
        <v>247.59</v>
      </c>
      <c r="DE29" s="21" t="n">
        <v>169.533</v>
      </c>
      <c r="DF29" s="21" t="n">
        <v>254.475</v>
      </c>
      <c r="DG29" s="21" t="n">
        <v>240.292</v>
      </c>
      <c r="DH29" s="21" t="n">
        <v>152.548</v>
      </c>
      <c r="DI29" s="21" t="n">
        <v>134.758</v>
      </c>
      <c r="DJ29" s="21" t="n">
        <v>136.956</v>
      </c>
      <c r="DK29" s="21" t="n">
        <v>279.845</v>
      </c>
      <c r="DL29" s="21" t="n">
        <v>158.718</v>
      </c>
      <c r="DM29" s="21" t="n">
        <v>132.607</v>
      </c>
      <c r="DN29" s="21" t="n">
        <v>127.928</v>
      </c>
      <c r="DO29" s="21" t="n">
        <v>267.652</v>
      </c>
      <c r="DP29" s="21" t="n">
        <v>166.343</v>
      </c>
      <c r="DQ29" s="21" t="n">
        <v>170.972</v>
      </c>
      <c r="DR29" s="21" t="n">
        <v>173.023</v>
      </c>
      <c r="DS29" s="21" t="n">
        <v>143.819</v>
      </c>
      <c r="DT29" s="21" t="n">
        <v>153.802</v>
      </c>
      <c r="DU29" s="21" t="n">
        <v>183.544</v>
      </c>
      <c r="DV29" s="21" t="n">
        <v>245.5</v>
      </c>
      <c r="DW29" s="21" t="n">
        <v>200.996</v>
      </c>
      <c r="DX29" s="21" t="n">
        <v>223.493</v>
      </c>
      <c r="DY29" s="21" t="n">
        <v>193.433</v>
      </c>
      <c r="DZ29" s="21" t="n">
        <v>209.496</v>
      </c>
      <c r="EA29" s="21" t="n">
        <v>187.058</v>
      </c>
      <c r="EB29" s="21" t="n">
        <v>168.605</v>
      </c>
      <c r="EC29" s="21" t="n">
        <v>341.854</v>
      </c>
      <c r="ED29" s="21" t="n">
        <v>170.009</v>
      </c>
      <c r="EE29" s="21" t="n">
        <v>182.789</v>
      </c>
      <c r="EF29" s="21" t="n">
        <v>184.595</v>
      </c>
      <c r="EG29" s="21" t="n">
        <v>249.514</v>
      </c>
      <c r="EH29" s="21" t="n">
        <v>295.706</v>
      </c>
      <c r="EI29" s="21" t="n">
        <v>305.477</v>
      </c>
      <c r="EJ29" s="21" t="n">
        <v>162.509</v>
      </c>
      <c r="EK29" s="21" t="n">
        <v>533.1130000000001</v>
      </c>
      <c r="EL29" s="21" t="n">
        <v>334.89</v>
      </c>
      <c r="EM29" s="21" t="n">
        <v>302.767</v>
      </c>
      <c r="EN29" s="21" t="n">
        <v>302.753</v>
      </c>
      <c r="EO29" s="21" t="n">
        <v>149.125</v>
      </c>
      <c r="EP29" s="21" t="n">
        <v>233.827</v>
      </c>
      <c r="EQ29" s="21" t="n">
        <v>194.763</v>
      </c>
      <c r="ER29" s="21" t="n">
        <v>253.523</v>
      </c>
      <c r="ES29" s="21" t="n">
        <v>239.822</v>
      </c>
      <c r="ET29" s="21" t="n">
        <v>322.578</v>
      </c>
      <c r="EU29" s="21" t="n">
        <v>198.915</v>
      </c>
      <c r="EV29" s="21" t="n">
        <v>206.671</v>
      </c>
      <c r="EW29" s="21" t="n">
        <v>172.597</v>
      </c>
      <c r="EX29" s="21" t="n">
        <v>228.133</v>
      </c>
      <c r="EY29" s="21" t="n">
        <v>530.602</v>
      </c>
      <c r="EZ29" s="21" t="n">
        <v>447.129</v>
      </c>
      <c r="FA29" s="21" t="n">
        <v>121.322</v>
      </c>
      <c r="FB29" s="21" t="n">
        <v>59.384</v>
      </c>
      <c r="FC29" s="21" t="n">
        <v>109.868</v>
      </c>
      <c r="FD29" s="21" t="n">
        <v>68.67100000000001</v>
      </c>
      <c r="FE29" s="21" t="n">
        <v>45.889</v>
      </c>
      <c r="FF29" s="21" t="n">
        <v>111.305</v>
      </c>
      <c r="FG29" s="21" t="n">
        <v>127.544</v>
      </c>
      <c r="FH29" s="21" t="n">
        <v>84.914</v>
      </c>
      <c r="FI29" s="21" t="n">
        <v>70.5</v>
      </c>
      <c r="FJ29" s="21" t="n">
        <v>95.006</v>
      </c>
      <c r="FK29" s="21" t="n">
        <v>75.339</v>
      </c>
      <c r="FL29" s="21" t="n">
        <v>80.839</v>
      </c>
      <c r="FM29" s="21" t="n">
        <v>91.678</v>
      </c>
      <c r="FN29" s="21" t="n">
        <v>65.53700000000001</v>
      </c>
      <c r="FO29" s="21" t="n">
        <v>55.274</v>
      </c>
      <c r="FP29" s="21" t="n">
        <v>41.847</v>
      </c>
      <c r="FQ29" s="21" t="n">
        <v>129.608</v>
      </c>
      <c r="FR29" s="21" t="n">
        <v>54.478</v>
      </c>
      <c r="FS29" s="21" t="n">
        <v>87.65300000000001</v>
      </c>
      <c r="FT29" s="21" t="n">
        <v>90.15000000000001</v>
      </c>
      <c r="FU29" s="21" t="n">
        <v>97.849</v>
      </c>
      <c r="FV29" s="21" t="n">
        <v>86.46899999999999</v>
      </c>
      <c r="FW29" s="21" t="n">
        <v>186.287</v>
      </c>
      <c r="FX29" s="21" t="n">
        <v>119.924</v>
      </c>
      <c r="FY29" s="21" t="n">
        <v>169.572</v>
      </c>
      <c r="FZ29" s="21" t="n">
        <v>116.658</v>
      </c>
      <c r="GA29" s="21" t="n">
        <v>174.714</v>
      </c>
      <c r="GB29" s="21" t="n">
        <v>159.795</v>
      </c>
      <c r="GC29" s="21" t="n">
        <v>178.69</v>
      </c>
      <c r="GD29" s="21" t="n">
        <v>152.719</v>
      </c>
      <c r="GE29" s="21" t="n">
        <v>237.093</v>
      </c>
      <c r="GF29" s="21" t="n">
        <v>128.349</v>
      </c>
      <c r="GG29" s="21" t="n">
        <v>116.969</v>
      </c>
      <c r="GH29" s="21" t="n">
        <v>120.874</v>
      </c>
      <c r="GI29" s="21" t="n">
        <v>106.021</v>
      </c>
      <c r="GJ29" s="21" t="n">
        <v>153.949</v>
      </c>
      <c r="GK29" s="21" t="n">
        <v>78.41800000000001</v>
      </c>
      <c r="GL29" s="21" t="n">
        <v>118.949</v>
      </c>
      <c r="GM29" s="21" t="n">
        <v>101.655</v>
      </c>
      <c r="GN29" s="21" t="n">
        <v>115.374</v>
      </c>
      <c r="GO29" s="21" t="n">
        <v>119.079</v>
      </c>
      <c r="GP29" s="21" t="n">
        <v>112.344</v>
      </c>
      <c r="GQ29" s="21" t="n">
        <v>131.247</v>
      </c>
      <c r="GR29" s="21" t="n">
        <v>84.096</v>
      </c>
      <c r="GS29" s="21" t="n">
        <v>109.751</v>
      </c>
      <c r="GT29" s="21" t="n">
        <v>98.05500000000001</v>
      </c>
      <c r="GU29" s="21" t="n">
        <v>139.703</v>
      </c>
      <c r="GV29" s="21" t="n">
        <v>141.741</v>
      </c>
      <c r="GW29" s="21" t="n">
        <v>154.881</v>
      </c>
      <c r="GX29" s="21" t="n">
        <v>130.526</v>
      </c>
      <c r="GY29" s="21" t="n">
        <v>115.446</v>
      </c>
      <c r="GZ29" s="21" t="n">
        <v>177.112</v>
      </c>
      <c r="HA29" s="21" t="n">
        <v>136.659</v>
      </c>
      <c r="HB29" s="21" t="n">
        <v>183.497</v>
      </c>
      <c r="HC29" s="21" t="n">
        <v>202.389</v>
      </c>
      <c r="HD29" s="21" t="n">
        <v>196.926</v>
      </c>
      <c r="HE29" s="21" t="n">
        <v>99.901</v>
      </c>
      <c r="HF29" s="21" t="n">
        <v>148.457</v>
      </c>
      <c r="HG29" s="21" t="n">
        <v>102.881</v>
      </c>
      <c r="HH29" s="21" t="n">
        <v>144.457</v>
      </c>
      <c r="HI29" s="21" t="n">
        <v>157.779</v>
      </c>
      <c r="HJ29" s="21" t="n"/>
      <c r="HK29" s="21" t="n">
        <v>140.654</v>
      </c>
      <c r="HL29" s="21" t="n">
        <v>84.69</v>
      </c>
      <c r="HM29" s="21" t="n">
        <v>121.871</v>
      </c>
      <c r="HN29" s="21" t="n">
        <v>213.288</v>
      </c>
      <c r="HO29" s="21" t="n">
        <v>212.424</v>
      </c>
      <c r="HP29" s="21" t="n">
        <v>208.363</v>
      </c>
      <c r="HQ29" s="21" t="n">
        <v>227.883</v>
      </c>
      <c r="HR29" s="21" t="n">
        <v>223.065</v>
      </c>
      <c r="HS29" s="21" t="n">
        <v>186.166</v>
      </c>
      <c r="HT29" s="21" t="n">
        <v>143.915</v>
      </c>
      <c r="HU29" s="21" t="n">
        <v>125.592</v>
      </c>
      <c r="HV29" s="21" t="n">
        <v>167.074</v>
      </c>
      <c r="HW29" s="21" t="n">
        <v>157.722</v>
      </c>
      <c r="HX29" s="21" t="n">
        <v>373.741</v>
      </c>
      <c r="HY29" s="21" t="n">
        <v>280.17</v>
      </c>
      <c r="HZ29" s="21" t="n">
        <v>294.511</v>
      </c>
      <c r="IA29" s="21" t="n">
        <v>250.716</v>
      </c>
      <c r="IB29" s="21" t="n">
        <v>174.693</v>
      </c>
      <c r="IC29" s="21" t="n">
        <v>516.203</v>
      </c>
      <c r="ID29" s="21" t="n">
        <v>184.623</v>
      </c>
      <c r="IE29" s="21" t="n">
        <v>175.632</v>
      </c>
      <c r="IF29" s="21" t="n">
        <v>199.556</v>
      </c>
      <c r="IG29" s="21" t="n">
        <v>225.389</v>
      </c>
      <c r="IH29" s="21" t="n">
        <v>116.209</v>
      </c>
      <c r="II29" s="21" t="n">
        <v>273.206</v>
      </c>
      <c r="IJ29" s="21" t="n">
        <v>294.034</v>
      </c>
      <c r="IK29" s="21" t="n">
        <v>159.562</v>
      </c>
      <c r="IL29" s="21" t="n">
        <v>132.229</v>
      </c>
      <c r="IM29" s="21" t="n">
        <v>113.832</v>
      </c>
      <c r="IN29" s="21" t="n">
        <v>67.163</v>
      </c>
      <c r="IO29" s="21" t="n">
        <v>313.977</v>
      </c>
      <c r="IP29" s="21" t="n">
        <v>124.654</v>
      </c>
      <c r="IQ29" s="21" t="n">
        <v>473.582</v>
      </c>
      <c r="IR29" s="21" t="n">
        <v>373.231</v>
      </c>
      <c r="IS29" s="21" t="n">
        <v>122.144</v>
      </c>
      <c r="IT29" s="21" t="n">
        <v>512.7380000000001</v>
      </c>
      <c r="IU29" s="21" t="n">
        <v>97.459</v>
      </c>
      <c r="IV29" s="21" t="n">
        <v>99.908</v>
      </c>
      <c r="IW29" s="21" t="n">
        <v>505.855</v>
      </c>
      <c r="IX29" s="21" t="n">
        <v>374.672</v>
      </c>
      <c r="IY29" s="21" t="n">
        <v>379.886</v>
      </c>
      <c r="IZ29" s="21" t="n">
        <v>471.081</v>
      </c>
      <c r="JA29" s="21" t="n">
        <v>187.283</v>
      </c>
      <c r="JB29" s="21" t="n">
        <v>236.293</v>
      </c>
      <c r="JC29" s="21" t="n">
        <v>75.34099999999999</v>
      </c>
      <c r="JD29" s="21" t="n">
        <v>317.053</v>
      </c>
      <c r="JE29" s="21" t="n">
        <v>311.323</v>
      </c>
      <c r="JF29" s="21" t="n">
        <v>705.346</v>
      </c>
      <c r="JG29" s="21" t="n">
        <v>219.119</v>
      </c>
      <c r="JH29" s="21" t="n">
        <v>119.981</v>
      </c>
      <c r="JI29" s="21" t="n">
        <v>133.972</v>
      </c>
      <c r="JJ29" s="21" t="n">
        <v>118.639</v>
      </c>
      <c r="JK29" s="21" t="n">
        <v>104.35</v>
      </c>
      <c r="JL29" s="21" t="n">
        <v>232.589</v>
      </c>
      <c r="JM29" s="21" t="n">
        <v>461.112</v>
      </c>
      <c r="JN29" s="21" t="n">
        <v>124.54</v>
      </c>
      <c r="JO29" s="21" t="n">
        <v>72.593</v>
      </c>
      <c r="JP29" s="21" t="n">
        <v>39.405</v>
      </c>
      <c r="JQ29" s="21" t="n">
        <v>125.632</v>
      </c>
      <c r="JR29" s="21" t="n">
        <v>33.197</v>
      </c>
      <c r="JS29" s="21" t="n">
        <v>90.24299999999999</v>
      </c>
      <c r="JT29" s="21" t="n">
        <v>170.475</v>
      </c>
      <c r="JU29" s="21" t="n">
        <v>197.805</v>
      </c>
      <c r="JV29" s="21" t="n">
        <v>151.053</v>
      </c>
      <c r="JW29" s="21" t="n">
        <v>113.706</v>
      </c>
      <c r="JX29" s="21" t="n">
        <v>237.841</v>
      </c>
      <c r="JY29" s="21" t="n">
        <v>186.747</v>
      </c>
      <c r="JZ29" s="21" t="n">
        <v>249.252</v>
      </c>
      <c r="KA29" s="21" t="n">
        <v>111.374</v>
      </c>
      <c r="KB29" s="21" t="n">
        <v>145.603</v>
      </c>
      <c r="KC29" s="21" t="n">
        <v>82.04600000000001</v>
      </c>
      <c r="KD29" s="21" t="n">
        <v>75.901</v>
      </c>
      <c r="KE29" s="21" t="n">
        <v>55.688</v>
      </c>
      <c r="KF29" s="21" t="n"/>
      <c r="KG29" s="21" t="n">
        <v>22.877</v>
      </c>
      <c r="KH29" s="21" t="n">
        <v>123.804</v>
      </c>
      <c r="KI29" s="21" t="n">
        <v>127.135</v>
      </c>
      <c r="KJ29" s="21" t="n">
        <v>121.692</v>
      </c>
      <c r="KK29" s="21" t="n">
        <v>41.379</v>
      </c>
      <c r="KL29" s="21" t="n">
        <v>38.316</v>
      </c>
      <c r="KM29" s="21" t="n">
        <v>46.723</v>
      </c>
      <c r="KN29" s="21" t="n"/>
      <c r="KO29" s="21" t="n">
        <v>89.185</v>
      </c>
      <c r="KP29" s="21" t="n">
        <v>100.904</v>
      </c>
      <c r="KQ29" s="21" t="n">
        <v>163.456</v>
      </c>
      <c r="KR29" s="21" t="n">
        <v>133.96</v>
      </c>
      <c r="KS29" s="21" t="n">
        <v>375.633</v>
      </c>
      <c r="KT29" s="21" t="n">
        <v>177.536</v>
      </c>
      <c r="KU29" s="21" t="n">
        <v>220.854</v>
      </c>
      <c r="KV29" s="21" t="n">
        <v>303.136</v>
      </c>
      <c r="KW29" s="21" t="n">
        <v>243.004</v>
      </c>
      <c r="KX29" s="21" t="n">
        <v>172.344</v>
      </c>
      <c r="KY29" s="21" t="n">
        <v>96.152</v>
      </c>
      <c r="KZ29" s="21" t="n">
        <v>135.781</v>
      </c>
      <c r="LA29" s="21" t="n">
        <v>251.001</v>
      </c>
      <c r="LB29" s="21" t="n">
        <v>688.5599999999999</v>
      </c>
      <c r="LC29" s="21" t="n">
        <v>240.503</v>
      </c>
      <c r="LD29" s="21" t="n">
        <v>718.043</v>
      </c>
      <c r="LE29" s="21" t="n">
        <v>814.222</v>
      </c>
      <c r="LF29" s="21" t="n">
        <v>75.492</v>
      </c>
      <c r="LG29" s="21" t="n">
        <v>289.529</v>
      </c>
      <c r="LH29" s="21" t="n">
        <v>244.609</v>
      </c>
      <c r="LI29" s="21" t="n">
        <v>74.834</v>
      </c>
      <c r="LJ29" s="21" t="n">
        <v>180.677</v>
      </c>
      <c r="LK29" s="21" t="n">
        <v>284.32</v>
      </c>
      <c r="LL29" s="21" t="n">
        <v>289.841</v>
      </c>
      <c r="LM29" s="21" t="n">
        <v>70.974</v>
      </c>
      <c r="LN29" s="21" t="n">
        <v>90.935</v>
      </c>
      <c r="LO29" s="21" t="n">
        <v>48.153</v>
      </c>
      <c r="LP29" s="21" t="n">
        <v>116.37</v>
      </c>
      <c r="LQ29" s="21" t="n"/>
      <c r="LR29" s="21" t="n"/>
      <c r="LS29" s="21" t="n">
        <v>114.529</v>
      </c>
      <c r="LT29" s="21" t="n">
        <v>42.896</v>
      </c>
      <c r="LU29" s="21" t="n">
        <v>32.243</v>
      </c>
      <c r="LV29" s="21" t="n">
        <v>77.616</v>
      </c>
      <c r="LW29" s="21" t="n">
        <v>271.99</v>
      </c>
      <c r="LX29" s="21" t="n"/>
      <c r="LY29" s="21" t="n">
        <v>432.175</v>
      </c>
      <c r="LZ29" s="21" t="n">
        <v>64.693</v>
      </c>
      <c r="MA29" s="21" t="n">
        <v>420.029</v>
      </c>
      <c r="MB29" s="21" t="n">
        <v>258.239</v>
      </c>
      <c r="MC29" s="21" t="n">
        <v>226.557</v>
      </c>
      <c r="MD29" s="21" t="n">
        <v>161.915</v>
      </c>
      <c r="ME29" s="21" t="n">
        <v>102.267</v>
      </c>
      <c r="MF29" s="21" t="n">
        <v>187.727</v>
      </c>
      <c r="MG29" s="21" t="n">
        <v>256.648</v>
      </c>
      <c r="MH29" s="21" t="n">
        <v>156.597</v>
      </c>
      <c r="MI29" s="21" t="n">
        <v>422.836</v>
      </c>
      <c r="MJ29" s="21" t="n">
        <v>345.865</v>
      </c>
      <c r="MK29" s="21" t="n">
        <v>324.773</v>
      </c>
      <c r="ML29" s="21" t="n">
        <v>164.202</v>
      </c>
      <c r="MM29" s="21" t="n">
        <v>187.217</v>
      </c>
      <c r="MN29" s="21" t="n">
        <v>340.512</v>
      </c>
      <c r="MO29" s="21" t="n">
        <v>156.539</v>
      </c>
      <c r="MP29" s="21" t="n">
        <v>236.228</v>
      </c>
      <c r="MQ29" s="21" t="n">
        <v>76.964</v>
      </c>
      <c r="MR29" s="21" t="n">
        <v>150.041</v>
      </c>
      <c r="MS29" s="21" t="n">
        <v>76.973</v>
      </c>
      <c r="MT29" s="21" t="n">
        <v>233.531</v>
      </c>
      <c r="MU29" s="21" t="n">
        <v>250.662</v>
      </c>
      <c r="MV29" s="21" t="n">
        <v>243.708</v>
      </c>
      <c r="MW29" s="21" t="n">
        <v>251.642</v>
      </c>
      <c r="MX29" s="21" t="n">
        <v>227.223</v>
      </c>
      <c r="MY29" s="21" t="n">
        <v>221.301</v>
      </c>
      <c r="MZ29" s="21" t="n">
        <v>227.133</v>
      </c>
      <c r="NA29" s="21" t="n">
        <v>232.396</v>
      </c>
      <c r="NB29" s="21" t="n">
        <v>121.069</v>
      </c>
      <c r="NC29" s="21" t="n">
        <v>182.041</v>
      </c>
      <c r="ND29" s="21" t="n">
        <v>151.688</v>
      </c>
      <c r="NE29" s="21" t="n">
        <v>148.439</v>
      </c>
      <c r="NF29" s="21" t="n">
        <v>145.665</v>
      </c>
      <c r="NG29" s="21" t="n">
        <v>146.909</v>
      </c>
      <c r="NH29" s="21" t="n">
        <v>246.842</v>
      </c>
      <c r="NI29" s="21" t="n">
        <v>106.397</v>
      </c>
      <c r="NJ29" s="21" t="n">
        <v>77.934</v>
      </c>
      <c r="NK29" s="21" t="n">
        <v>108.367</v>
      </c>
      <c r="NL29" s="21" t="n">
        <v>202.869</v>
      </c>
      <c r="NM29" s="21" t="n">
        <v>216.791</v>
      </c>
      <c r="NN29" s="21" t="n">
        <v>91.024</v>
      </c>
      <c r="NO29" s="21" t="n">
        <v>57.518</v>
      </c>
      <c r="NP29" s="21" t="n">
        <v>220.132</v>
      </c>
      <c r="NQ29" s="21" t="n">
        <v>194.939</v>
      </c>
      <c r="NR29" s="21" t="n">
        <v>235.364</v>
      </c>
      <c r="NS29" s="21" t="n">
        <v>191.787</v>
      </c>
      <c r="NT29" s="21" t="n">
        <v>235.616</v>
      </c>
      <c r="NU29" s="21" t="n">
        <v>111.168</v>
      </c>
      <c r="NV29" s="21" t="n">
        <v>117.872</v>
      </c>
      <c r="NW29" s="21" t="n">
        <v>346.244</v>
      </c>
      <c r="NX29" s="21" t="n">
        <v>83.79600000000001</v>
      </c>
      <c r="NY29" s="21" t="n">
        <v>118.82</v>
      </c>
      <c r="NZ29" s="21" t="n">
        <v>308.121</v>
      </c>
      <c r="OA29" s="21" t="n">
        <v>306.142</v>
      </c>
      <c r="OB29" s="21" t="n">
        <v>316.971</v>
      </c>
      <c r="OC29" s="21" t="n">
        <v>291.018</v>
      </c>
      <c r="OD29" s="21" t="n">
        <v>327.518</v>
      </c>
      <c r="OE29" s="21" t="n">
        <v>105.551</v>
      </c>
      <c r="OF29" s="21" t="n">
        <v>308.908</v>
      </c>
      <c r="OG29" s="21" t="n">
        <v>215.176</v>
      </c>
      <c r="OH29" s="21" t="n">
        <v>50.758</v>
      </c>
      <c r="OI29" s="21" t="n">
        <v>122.902</v>
      </c>
      <c r="OJ29" s="21" t="n">
        <v>40.9</v>
      </c>
      <c r="OK29" s="21" t="n">
        <v>13.7</v>
      </c>
    </row>
    <row r="30">
      <c r="A30" s="22" t="n">
        <v>42856</v>
      </c>
      <c r="B30" s="21" t="n">
        <v>244.733</v>
      </c>
      <c r="C30" s="21" t="n">
        <v>733.11</v>
      </c>
      <c r="D30" s="21" t="n">
        <v>249.749</v>
      </c>
      <c r="E30" s="21" t="n">
        <v>250.016</v>
      </c>
      <c r="F30" s="21" t="n">
        <v>238.964</v>
      </c>
      <c r="G30" s="21" t="n">
        <v>272.445</v>
      </c>
      <c r="H30" s="21" t="n">
        <v>228.449</v>
      </c>
      <c r="I30" s="21" t="n">
        <v>239.738</v>
      </c>
      <c r="J30" s="21" t="n">
        <v>225.388</v>
      </c>
      <c r="K30" s="21" t="n">
        <v>234.384</v>
      </c>
      <c r="L30" s="21" t="n">
        <v>158.827</v>
      </c>
      <c r="M30" s="21" t="n">
        <v>297.588</v>
      </c>
      <c r="N30" s="21" t="n">
        <v>178.625</v>
      </c>
      <c r="O30" s="21" t="n">
        <v>324.27</v>
      </c>
      <c r="P30" s="21" t="n">
        <v>345.243</v>
      </c>
      <c r="Q30" s="21" t="n">
        <v>176.058</v>
      </c>
      <c r="R30" s="21" t="n">
        <v>283.151</v>
      </c>
      <c r="S30" s="21" t="n">
        <v>301.942</v>
      </c>
      <c r="T30" s="21" t="n">
        <v>269.561</v>
      </c>
      <c r="U30" s="21" t="n">
        <v>265.94</v>
      </c>
      <c r="V30" s="21" t="n">
        <v>292.256</v>
      </c>
      <c r="W30" s="21" t="n">
        <v>305.987</v>
      </c>
      <c r="X30" s="21" t="n">
        <v>269.638</v>
      </c>
      <c r="Y30" s="21" t="n">
        <v>243.815</v>
      </c>
      <c r="Z30" s="21" t="n">
        <v>247.669</v>
      </c>
      <c r="AA30" s="21" t="n">
        <v>248.51</v>
      </c>
      <c r="AB30" s="21" t="n">
        <v>295.196</v>
      </c>
      <c r="AC30" s="21" t="n">
        <v>261.397</v>
      </c>
      <c r="AD30" s="21" t="n">
        <v>223.396</v>
      </c>
      <c r="AE30" s="21" t="n">
        <v>199.562</v>
      </c>
      <c r="AF30" s="21" t="n">
        <v>229.287</v>
      </c>
      <c r="AG30" s="21" t="n">
        <v>208.626</v>
      </c>
      <c r="AH30" s="21" t="n">
        <v>157.949</v>
      </c>
      <c r="AI30" s="21" t="n">
        <v>296.531</v>
      </c>
      <c r="AJ30" s="21" t="n">
        <v>141.409</v>
      </c>
      <c r="AK30" s="21" t="n">
        <v>193.645</v>
      </c>
      <c r="AL30" s="21" t="n">
        <v>214.979</v>
      </c>
      <c r="AM30" s="21" t="n">
        <v>185.612</v>
      </c>
      <c r="AN30" s="21" t="n">
        <v>126.321</v>
      </c>
      <c r="AO30" s="21" t="n">
        <v>222.208</v>
      </c>
      <c r="AP30" s="21" t="n">
        <v>217.451</v>
      </c>
      <c r="AQ30" s="21" t="n">
        <v>145.453</v>
      </c>
      <c r="AR30" s="21" t="n">
        <v>321.207</v>
      </c>
      <c r="AS30" s="21" t="n"/>
      <c r="AT30" s="21" t="n">
        <v>231.895</v>
      </c>
      <c r="AU30" s="21" t="n">
        <v>148.43</v>
      </c>
      <c r="AV30" s="21" t="n">
        <v>245.085</v>
      </c>
      <c r="AW30" s="21" t="n">
        <v>220.501</v>
      </c>
      <c r="AX30" s="21" t="n">
        <v>154.658</v>
      </c>
      <c r="AY30" s="21" t="n">
        <v>288.43</v>
      </c>
      <c r="AZ30" s="21" t="n">
        <v>177.507</v>
      </c>
      <c r="BA30" s="21" t="n">
        <v>145.467</v>
      </c>
      <c r="BB30" s="21" t="n">
        <v>201.604</v>
      </c>
      <c r="BC30" s="21" t="n">
        <v>307.63</v>
      </c>
      <c r="BD30" s="21" t="n">
        <v>193.459</v>
      </c>
      <c r="BE30" s="21" t="n">
        <v>217.015</v>
      </c>
      <c r="BF30" s="21" t="n">
        <v>139.684</v>
      </c>
      <c r="BG30" s="21" t="n">
        <v>201.322</v>
      </c>
      <c r="BH30" s="21" t="n">
        <v>142.658</v>
      </c>
      <c r="BI30" s="21" t="n">
        <v>227.026</v>
      </c>
      <c r="BJ30" s="21" t="n">
        <v>218.938</v>
      </c>
      <c r="BK30" s="21" t="n">
        <v>147.55</v>
      </c>
      <c r="BL30" s="21" t="n">
        <v>298.47</v>
      </c>
      <c r="BM30" s="21" t="n">
        <v>345.615</v>
      </c>
      <c r="BN30" s="21" t="n">
        <v>363.803</v>
      </c>
      <c r="BO30" s="21" t="n">
        <v>343.596</v>
      </c>
      <c r="BP30" s="21" t="n">
        <v>196.982</v>
      </c>
      <c r="BQ30" s="21" t="n">
        <v>241.963</v>
      </c>
      <c r="BR30" s="21" t="n">
        <v>482.903</v>
      </c>
      <c r="BS30" s="21" t="n">
        <v>124.452</v>
      </c>
      <c r="BT30" s="21" t="n">
        <v>325.269</v>
      </c>
      <c r="BU30" s="21" t="n">
        <v>342.532</v>
      </c>
      <c r="BV30" s="21" t="n">
        <v>325.013</v>
      </c>
      <c r="BW30" s="21" t="n">
        <v>310.957</v>
      </c>
      <c r="BX30" s="21" t="n">
        <v>328.91</v>
      </c>
      <c r="BY30" s="21" t="n">
        <v>156.822</v>
      </c>
      <c r="BZ30" s="21" t="n">
        <v>159.918</v>
      </c>
      <c r="CA30" s="21" t="n">
        <v>158.458</v>
      </c>
      <c r="CB30" s="21" t="n">
        <v>165.965</v>
      </c>
      <c r="CC30" s="21" t="n">
        <v>149.852</v>
      </c>
      <c r="CD30" s="21" t="n">
        <v>205.478</v>
      </c>
      <c r="CE30" s="21" t="n">
        <v>158.619</v>
      </c>
      <c r="CF30" s="21" t="n">
        <v>196.987</v>
      </c>
      <c r="CG30" s="21" t="n">
        <v>168.555</v>
      </c>
      <c r="CH30" s="21" t="n">
        <v>129.394</v>
      </c>
      <c r="CI30" s="21" t="n">
        <v>163.032</v>
      </c>
      <c r="CJ30" s="21" t="n">
        <v>176.678</v>
      </c>
      <c r="CK30" s="21" t="n">
        <v>117.66</v>
      </c>
      <c r="CL30" s="21" t="n">
        <v>119.761</v>
      </c>
      <c r="CM30" s="21" t="n">
        <v>203.837</v>
      </c>
      <c r="CN30" s="21" t="n">
        <v>213.478</v>
      </c>
      <c r="CO30" s="21" t="n">
        <v>199.198</v>
      </c>
      <c r="CP30" s="21" t="n">
        <v>127.757</v>
      </c>
      <c r="CQ30" s="21" t="n">
        <v>210.63</v>
      </c>
      <c r="CR30" s="21" t="n">
        <v>214.418</v>
      </c>
      <c r="CS30" s="21" t="n">
        <v>188.596</v>
      </c>
      <c r="CT30" s="21" t="n">
        <v>143.28</v>
      </c>
      <c r="CU30" s="21" t="n">
        <v>155.966</v>
      </c>
      <c r="CV30" s="21" t="n">
        <v>228.485</v>
      </c>
      <c r="CW30" s="21" t="n">
        <v>204.583</v>
      </c>
      <c r="CX30" s="21" t="n">
        <v>238.565</v>
      </c>
      <c r="CY30" s="21" t="n">
        <v>305.174</v>
      </c>
      <c r="CZ30" s="21" t="n">
        <v>129.23</v>
      </c>
      <c r="DA30" s="21" t="n">
        <v>159.492</v>
      </c>
      <c r="DB30" s="21" t="n">
        <v>157.74</v>
      </c>
      <c r="DC30" s="21" t="n">
        <v>225.484</v>
      </c>
      <c r="DD30" s="21" t="n">
        <v>254.128</v>
      </c>
      <c r="DE30" s="21" t="n">
        <v>169.673</v>
      </c>
      <c r="DF30" s="21" t="n">
        <v>252.379</v>
      </c>
      <c r="DG30" s="21" t="n">
        <v>239.119</v>
      </c>
      <c r="DH30" s="21" t="n">
        <v>153.447</v>
      </c>
      <c r="DI30" s="21" t="n">
        <v>133.648</v>
      </c>
      <c r="DJ30" s="21" t="n">
        <v>134.224</v>
      </c>
      <c r="DK30" s="21" t="n">
        <v>283.809</v>
      </c>
      <c r="DL30" s="21" t="n">
        <v>158.034</v>
      </c>
      <c r="DM30" s="21" t="n">
        <v>132.34</v>
      </c>
      <c r="DN30" s="21" t="n">
        <v>125.544</v>
      </c>
      <c r="DO30" s="21" t="n">
        <v>268.128</v>
      </c>
      <c r="DP30" s="21" t="n">
        <v>166.721</v>
      </c>
      <c r="DQ30" s="21" t="n">
        <v>171.246</v>
      </c>
      <c r="DR30" s="21" t="n">
        <v>173.025</v>
      </c>
      <c r="DS30" s="21" t="n">
        <v>143.816</v>
      </c>
      <c r="DT30" s="21" t="n">
        <v>154.17</v>
      </c>
      <c r="DU30" s="21" t="n">
        <v>183.365</v>
      </c>
      <c r="DV30" s="21" t="n">
        <v>244.785</v>
      </c>
      <c r="DW30" s="21" t="n">
        <v>199.64</v>
      </c>
      <c r="DX30" s="21" t="n">
        <v>222.871</v>
      </c>
      <c r="DY30" s="21" t="n">
        <v>192.214</v>
      </c>
      <c r="DZ30" s="21" t="n">
        <v>207.949</v>
      </c>
      <c r="EA30" s="21" t="n">
        <v>186.552</v>
      </c>
      <c r="EB30" s="21" t="n">
        <v>166.697</v>
      </c>
      <c r="EC30" s="21" t="n">
        <v>342.957</v>
      </c>
      <c r="ED30" s="21" t="n">
        <v>170.764</v>
      </c>
      <c r="EE30" s="21" t="n">
        <v>183.308</v>
      </c>
      <c r="EF30" s="21" t="n">
        <v>185.057</v>
      </c>
      <c r="EG30" s="21" t="n">
        <v>250.376</v>
      </c>
      <c r="EH30" s="21" t="n">
        <v>296.503</v>
      </c>
      <c r="EI30" s="21" t="n">
        <v>306.379</v>
      </c>
      <c r="EJ30" s="21" t="n">
        <v>166.553</v>
      </c>
      <c r="EK30" s="21" t="n">
        <v>533.304</v>
      </c>
      <c r="EL30" s="21" t="n">
        <v>344.43</v>
      </c>
      <c r="EM30" s="21" t="n">
        <v>303.312</v>
      </c>
      <c r="EN30" s="21" t="n">
        <v>303.297</v>
      </c>
      <c r="EO30" s="21" t="n">
        <v>149.164</v>
      </c>
      <c r="EP30" s="21" t="n">
        <v>236.615</v>
      </c>
      <c r="EQ30" s="21" t="n">
        <v>197.732</v>
      </c>
      <c r="ER30" s="21" t="n">
        <v>246.556</v>
      </c>
      <c r="ES30" s="21" t="n">
        <v>233.216</v>
      </c>
      <c r="ET30" s="21" t="n">
        <v>313.737</v>
      </c>
      <c r="EU30" s="21" t="n">
        <v>202.401</v>
      </c>
      <c r="EV30" s="21" t="n">
        <v>210.541</v>
      </c>
      <c r="EW30" s="21" t="n">
        <v>174.901</v>
      </c>
      <c r="EX30" s="21" t="n">
        <v>228.396</v>
      </c>
      <c r="EY30" s="21" t="n">
        <v>531.355</v>
      </c>
      <c r="EZ30" s="21" t="n">
        <v>447.272</v>
      </c>
      <c r="FA30" s="21" t="n">
        <v>121.234</v>
      </c>
      <c r="FB30" s="21" t="n">
        <v>57.829</v>
      </c>
      <c r="FC30" s="21" t="n">
        <v>110.735</v>
      </c>
      <c r="FD30" s="21" t="n">
        <v>66.572</v>
      </c>
      <c r="FE30" s="21" t="n">
        <v>44.138</v>
      </c>
      <c r="FF30" s="21" t="n">
        <v>111.207</v>
      </c>
      <c r="FG30" s="21" t="n">
        <v>127.686</v>
      </c>
      <c r="FH30" s="21" t="n">
        <v>84.818</v>
      </c>
      <c r="FI30" s="21" t="n">
        <v>70.185</v>
      </c>
      <c r="FJ30" s="21" t="n">
        <v>95.708</v>
      </c>
      <c r="FK30" s="21" t="n">
        <v>75.773</v>
      </c>
      <c r="FL30" s="21" t="n">
        <v>80.34399999999999</v>
      </c>
      <c r="FM30" s="21" t="n">
        <v>92.404</v>
      </c>
      <c r="FN30" s="21" t="n">
        <v>66.25700000000001</v>
      </c>
      <c r="FO30" s="21" t="n">
        <v>55.195</v>
      </c>
      <c r="FP30" s="21" t="n">
        <v>41.806</v>
      </c>
      <c r="FQ30" s="21" t="n">
        <v>130.623</v>
      </c>
      <c r="FR30" s="21" t="n">
        <v>53.879</v>
      </c>
      <c r="FS30" s="21" t="n">
        <v>86.837</v>
      </c>
      <c r="FT30" s="21" t="n">
        <v>90.42400000000001</v>
      </c>
      <c r="FU30" s="21" t="n">
        <v>98.498</v>
      </c>
      <c r="FV30" s="21" t="n">
        <v>86.621</v>
      </c>
      <c r="FW30" s="21" t="n">
        <v>185.862</v>
      </c>
      <c r="FX30" s="21" t="n">
        <v>119.087</v>
      </c>
      <c r="FY30" s="21" t="n">
        <v>169.482</v>
      </c>
      <c r="FZ30" s="21" t="n">
        <v>116.882</v>
      </c>
      <c r="GA30" s="21" t="n">
        <v>175.532</v>
      </c>
      <c r="GB30" s="21" t="n">
        <v>160.103</v>
      </c>
      <c r="GC30" s="21" t="n">
        <v>178.477</v>
      </c>
      <c r="GD30" s="21" t="n">
        <v>156.054</v>
      </c>
      <c r="GE30" s="21" t="n">
        <v>239.669</v>
      </c>
      <c r="GF30" s="21" t="n">
        <v>126.563</v>
      </c>
      <c r="GG30" s="21" t="n">
        <v>118.594</v>
      </c>
      <c r="GH30" s="21" t="n">
        <v>123.247</v>
      </c>
      <c r="GI30" s="21" t="n">
        <v>110.56</v>
      </c>
      <c r="GJ30" s="21" t="n">
        <v>154.636</v>
      </c>
      <c r="GK30" s="21" t="n">
        <v>80.18300000000001</v>
      </c>
      <c r="GL30" s="21" t="n">
        <v>121.542</v>
      </c>
      <c r="GM30" s="21" t="n">
        <v>100.724</v>
      </c>
      <c r="GN30" s="21" t="n">
        <v>111.732</v>
      </c>
      <c r="GO30" s="21" t="n">
        <v>115.454</v>
      </c>
      <c r="GP30" s="21" t="n">
        <v>109.388</v>
      </c>
      <c r="GQ30" s="21" t="n">
        <v>123.3</v>
      </c>
      <c r="GR30" s="21" t="n">
        <v>80.941</v>
      </c>
      <c r="GS30" s="21" t="n">
        <v>108.927</v>
      </c>
      <c r="GT30" s="21" t="n">
        <v>94.386</v>
      </c>
      <c r="GU30" s="21" t="n">
        <v>138.441</v>
      </c>
      <c r="GV30" s="21" t="n">
        <v>140.005</v>
      </c>
      <c r="GW30" s="21" t="n">
        <v>153.14</v>
      </c>
      <c r="GX30" s="21" t="n">
        <v>129.801</v>
      </c>
      <c r="GY30" s="21" t="n">
        <v>113.311</v>
      </c>
      <c r="GZ30" s="21" t="n">
        <v>173.937</v>
      </c>
      <c r="HA30" s="21" t="n">
        <v>137.654</v>
      </c>
      <c r="HB30" s="21" t="n">
        <v>177.56</v>
      </c>
      <c r="HC30" s="21" t="n">
        <v>202.212</v>
      </c>
      <c r="HD30" s="21" t="n">
        <v>196.549</v>
      </c>
      <c r="HE30" s="21" t="n">
        <v>99.851</v>
      </c>
      <c r="HF30" s="21" t="n">
        <v>148.033</v>
      </c>
      <c r="HG30" s="21" t="n">
        <v>102.581</v>
      </c>
      <c r="HH30" s="21" t="n">
        <v>143.908</v>
      </c>
      <c r="HI30" s="21" t="n">
        <v>157.573</v>
      </c>
      <c r="HJ30" s="21" t="n"/>
      <c r="HK30" s="21" t="n">
        <v>140.875</v>
      </c>
      <c r="HL30" s="21" t="n">
        <v>85.131</v>
      </c>
      <c r="HM30" s="21" t="n">
        <v>123.464</v>
      </c>
      <c r="HN30" s="21" t="n">
        <v>210.313</v>
      </c>
      <c r="HO30" s="21" t="n">
        <v>209.441</v>
      </c>
      <c r="HP30" s="21" t="n">
        <v>205.164</v>
      </c>
      <c r="HQ30" s="21" t="n">
        <v>225.365</v>
      </c>
      <c r="HR30" s="21" t="n">
        <v>221.74</v>
      </c>
      <c r="HS30" s="21" t="n">
        <v>184.764</v>
      </c>
      <c r="HT30" s="21" t="n">
        <v>143.302</v>
      </c>
      <c r="HU30" s="21" t="n">
        <v>124.578</v>
      </c>
      <c r="HV30" s="21" t="n">
        <v>167.314</v>
      </c>
      <c r="HW30" s="21" t="n">
        <v>158.536</v>
      </c>
      <c r="HX30" s="21" t="n">
        <v>370.453</v>
      </c>
      <c r="HY30" s="21" t="n">
        <v>280.388</v>
      </c>
      <c r="HZ30" s="21" t="n">
        <v>294.603</v>
      </c>
      <c r="IA30" s="21" t="n">
        <v>250.965</v>
      </c>
      <c r="IB30" s="21" t="n">
        <v>174.766</v>
      </c>
      <c r="IC30" s="21" t="n">
        <v>521.149</v>
      </c>
      <c r="ID30" s="21" t="n">
        <v>184.913</v>
      </c>
      <c r="IE30" s="21" t="n">
        <v>175.59</v>
      </c>
      <c r="IF30" s="21" t="n">
        <v>200.296</v>
      </c>
      <c r="IG30" s="21" t="n">
        <v>226.408</v>
      </c>
      <c r="IH30" s="21" t="n"/>
      <c r="II30" s="21" t="n">
        <v>276.569</v>
      </c>
      <c r="IJ30" s="21" t="n">
        <v>300.609</v>
      </c>
      <c r="IK30" s="21" t="n">
        <v>158.197</v>
      </c>
      <c r="IL30" s="21" t="n">
        <v>128.323</v>
      </c>
      <c r="IM30" s="21" t="n">
        <v>114.056</v>
      </c>
      <c r="IN30" s="21" t="n">
        <v>66.65900000000001</v>
      </c>
      <c r="IO30" s="21" t="n">
        <v>314.261</v>
      </c>
      <c r="IP30" s="21" t="n">
        <v>124.694</v>
      </c>
      <c r="IQ30" s="21" t="n">
        <v>473.512</v>
      </c>
      <c r="IR30" s="21" t="n">
        <v>373.631</v>
      </c>
      <c r="IS30" s="21" t="n">
        <v>122.28</v>
      </c>
      <c r="IT30" s="21" t="n">
        <v>512.582</v>
      </c>
      <c r="IU30" s="21" t="n">
        <v>98.114</v>
      </c>
      <c r="IV30" s="21" t="n">
        <v>99.902</v>
      </c>
      <c r="IW30" s="21" t="n">
        <v>505.611</v>
      </c>
      <c r="IX30" s="21" t="n">
        <v>374.849</v>
      </c>
      <c r="IY30" s="21" t="n">
        <v>379.207</v>
      </c>
      <c r="IZ30" s="21" t="n">
        <v>472.518</v>
      </c>
      <c r="JA30" s="21" t="n">
        <v>188.446</v>
      </c>
      <c r="JB30" s="21" t="n">
        <v>236.293</v>
      </c>
      <c r="JC30" s="21" t="n">
        <v>75.261</v>
      </c>
      <c r="JD30" s="21" t="n">
        <v>316.653</v>
      </c>
      <c r="JE30" s="21" t="n">
        <v>310.801</v>
      </c>
      <c r="JF30" s="21" t="n">
        <v>704.566</v>
      </c>
      <c r="JG30" s="21" t="n">
        <v>219.177</v>
      </c>
      <c r="JH30" s="21" t="n">
        <v>120.14</v>
      </c>
      <c r="JI30" s="21" t="n">
        <v>133.71</v>
      </c>
      <c r="JJ30" s="21" t="n">
        <v>118.577</v>
      </c>
      <c r="JK30" s="21" t="n">
        <v>104.603</v>
      </c>
      <c r="JL30" s="21" t="n">
        <v>234.351</v>
      </c>
      <c r="JM30" s="21" t="n">
        <v>462.903</v>
      </c>
      <c r="JN30" s="21" t="n">
        <v>126.003</v>
      </c>
      <c r="JO30" s="21" t="n">
        <v>72.34099999999999</v>
      </c>
      <c r="JP30" s="21" t="n">
        <v>38.851</v>
      </c>
      <c r="JQ30" s="21" t="n">
        <v>125.558</v>
      </c>
      <c r="JR30" s="21" t="n">
        <v>31.951</v>
      </c>
      <c r="JS30" s="21" t="n">
        <v>89.971</v>
      </c>
      <c r="JT30" s="21" t="n">
        <v>170.356</v>
      </c>
      <c r="JU30" s="21" t="n">
        <v>197.631</v>
      </c>
      <c r="JV30" s="21" t="n">
        <v>151.39</v>
      </c>
      <c r="JW30" s="21" t="n">
        <v>113.26</v>
      </c>
      <c r="JX30" s="21" t="n">
        <v>237.746</v>
      </c>
      <c r="JY30" s="21" t="n">
        <v>185.489</v>
      </c>
      <c r="JZ30" s="21" t="n">
        <v>249.558</v>
      </c>
      <c r="KA30" s="21" t="n">
        <v>110.979</v>
      </c>
      <c r="KB30" s="21" t="n">
        <v>145.575</v>
      </c>
      <c r="KC30" s="21" t="n">
        <v>81.44</v>
      </c>
      <c r="KD30" s="21" t="n">
        <v>75.39400000000001</v>
      </c>
      <c r="KE30" s="21" t="n">
        <v>55.057</v>
      </c>
      <c r="KF30" s="21" t="n"/>
      <c r="KG30" s="21" t="n">
        <v>22.627</v>
      </c>
      <c r="KH30" s="21" t="n">
        <v>123.432</v>
      </c>
      <c r="KI30" s="21" t="n">
        <v>127.087</v>
      </c>
      <c r="KJ30" s="21" t="n">
        <v>121.003</v>
      </c>
      <c r="KK30" s="21" t="n">
        <v>41.091</v>
      </c>
      <c r="KL30" s="21" t="n">
        <v>37.989</v>
      </c>
      <c r="KM30" s="21" t="n">
        <v>46.447</v>
      </c>
      <c r="KN30" s="21" t="n"/>
      <c r="KO30" s="21" t="n">
        <v>88.762</v>
      </c>
      <c r="KP30" s="21" t="n">
        <v>101.452</v>
      </c>
      <c r="KQ30" s="21" t="n">
        <v>163.235</v>
      </c>
      <c r="KR30" s="21" t="n">
        <v>134.226</v>
      </c>
      <c r="KS30" s="21" t="n">
        <v>373.372</v>
      </c>
      <c r="KT30" s="21" t="n">
        <v>178.41</v>
      </c>
      <c r="KU30" s="21" t="n">
        <v>217.558</v>
      </c>
      <c r="KV30" s="21" t="n">
        <v>303.459</v>
      </c>
      <c r="KW30" s="21" t="n">
        <v>243.27</v>
      </c>
      <c r="KX30" s="21" t="n">
        <v>174.165</v>
      </c>
      <c r="KY30" s="21" t="n">
        <v>94.934</v>
      </c>
      <c r="KZ30" s="21" t="n">
        <v>135.563</v>
      </c>
      <c r="LA30" s="21" t="n">
        <v>250.959</v>
      </c>
      <c r="LB30" s="21" t="n">
        <v>682.217</v>
      </c>
      <c r="LC30" s="21" t="n">
        <v>238.394</v>
      </c>
      <c r="LD30" s="21" t="n">
        <v>718.271</v>
      </c>
      <c r="LE30" s="21" t="n">
        <v>814.1900000000001</v>
      </c>
      <c r="LF30" s="21" t="n">
        <v>75.736</v>
      </c>
      <c r="LG30" s="21" t="n">
        <v>289.585</v>
      </c>
      <c r="LH30" s="21" t="n">
        <v>243.685</v>
      </c>
      <c r="LI30" s="21" t="n">
        <v>74.61799999999999</v>
      </c>
      <c r="LJ30" s="21" t="n">
        <v>180.675</v>
      </c>
      <c r="LK30" s="21" t="n">
        <v>284.32</v>
      </c>
      <c r="LL30" s="21" t="n">
        <v>289.795</v>
      </c>
      <c r="LM30" s="21" t="n">
        <v>70.76000000000001</v>
      </c>
      <c r="LN30" s="21" t="n">
        <v>90.72199999999999</v>
      </c>
      <c r="LO30" s="21" t="n">
        <v>48.118</v>
      </c>
      <c r="LP30" s="21" t="n">
        <v>115.7</v>
      </c>
      <c r="LQ30" s="21" t="n"/>
      <c r="LR30" s="21" t="n"/>
      <c r="LS30" s="21" t="n">
        <v>114.035</v>
      </c>
      <c r="LT30" s="21" t="n">
        <v>42.361</v>
      </c>
      <c r="LU30" s="21" t="n">
        <v>33.051</v>
      </c>
      <c r="LV30" s="21" t="n">
        <v>77.342</v>
      </c>
      <c r="LW30" s="21" t="n">
        <v>268.359</v>
      </c>
      <c r="LX30" s="21" t="n"/>
      <c r="LY30" s="21" t="n">
        <v>431.911</v>
      </c>
      <c r="LZ30" s="21" t="n">
        <v>64.703</v>
      </c>
      <c r="MA30" s="21" t="n">
        <v>420.017</v>
      </c>
      <c r="MB30" s="21" t="n">
        <v>259.221</v>
      </c>
      <c r="MC30" s="21" t="n">
        <v>226.37</v>
      </c>
      <c r="MD30" s="21" t="n">
        <v>161.04</v>
      </c>
      <c r="ME30" s="21" t="n">
        <v>102.037</v>
      </c>
      <c r="MF30" s="21" t="n">
        <v>186.041</v>
      </c>
      <c r="MG30" s="21" t="n">
        <v>256.586</v>
      </c>
      <c r="MH30" s="21" t="n">
        <v>156.559</v>
      </c>
      <c r="MI30" s="21" t="n">
        <v>422.764</v>
      </c>
      <c r="MJ30" s="21" t="n">
        <v>344.984</v>
      </c>
      <c r="MK30" s="21" t="n">
        <v>325.191</v>
      </c>
      <c r="ML30" s="21" t="n">
        <v>164.417</v>
      </c>
      <c r="MM30" s="21" t="n">
        <v>185.881</v>
      </c>
      <c r="MN30" s="21" t="n">
        <v>340.568</v>
      </c>
      <c r="MO30" s="21" t="n">
        <v>156.571</v>
      </c>
      <c r="MP30" s="21" t="n">
        <v>236.704</v>
      </c>
      <c r="MQ30" s="21" t="n">
        <v>77.824</v>
      </c>
      <c r="MR30" s="21" t="n">
        <v>150.662</v>
      </c>
      <c r="MS30" s="21" t="n">
        <v>77.15900000000001</v>
      </c>
      <c r="MT30" s="21" t="n">
        <v>233.752</v>
      </c>
      <c r="MU30" s="21" t="n">
        <v>250.866</v>
      </c>
      <c r="MV30" s="21" t="n">
        <v>243.906</v>
      </c>
      <c r="MW30" s="21" t="n">
        <v>251.835</v>
      </c>
      <c r="MX30" s="21" t="n">
        <v>227.205</v>
      </c>
      <c r="MY30" s="21" t="n">
        <v>221.215</v>
      </c>
      <c r="MZ30" s="21" t="n">
        <v>226.984</v>
      </c>
      <c r="NA30" s="21" t="n">
        <v>232.219</v>
      </c>
      <c r="NB30" s="21" t="n">
        <v>119.215</v>
      </c>
      <c r="NC30" s="21" t="n">
        <v>181.489</v>
      </c>
      <c r="ND30" s="21" t="n">
        <v>150.852</v>
      </c>
      <c r="NE30" s="21" t="n">
        <v>147.605</v>
      </c>
      <c r="NF30" s="21" t="n">
        <v>145.119</v>
      </c>
      <c r="NG30" s="21" t="n">
        <v>146.267</v>
      </c>
      <c r="NH30" s="21" t="n">
        <v>246.836</v>
      </c>
      <c r="NI30" s="21" t="n">
        <v>106.257</v>
      </c>
      <c r="NJ30" s="21" t="n">
        <v>77.423</v>
      </c>
      <c r="NK30" s="21" t="n">
        <v>108.245</v>
      </c>
      <c r="NL30" s="21" t="n">
        <v>203.132</v>
      </c>
      <c r="NM30" s="21" t="n">
        <v>213.613</v>
      </c>
      <c r="NN30" s="21" t="n">
        <v>90.825</v>
      </c>
      <c r="NO30" s="21" t="n">
        <v>57.197</v>
      </c>
      <c r="NP30" s="21" t="n">
        <v>219.337</v>
      </c>
      <c r="NQ30" s="21" t="n">
        <v>193.311</v>
      </c>
      <c r="NR30" s="21" t="n">
        <v>233.791</v>
      </c>
      <c r="NS30" s="21" t="n">
        <v>190.106</v>
      </c>
      <c r="NT30" s="21" t="n">
        <v>233.953</v>
      </c>
      <c r="NU30" s="21" t="n">
        <v>111.052</v>
      </c>
      <c r="NV30" s="21" t="n">
        <v>117.849</v>
      </c>
      <c r="NW30" s="21" t="n">
        <v>346.118</v>
      </c>
      <c r="NX30" s="21" t="n">
        <v>83.512</v>
      </c>
      <c r="NY30" s="21" t="n">
        <v>118.91</v>
      </c>
      <c r="NZ30" s="21" t="n">
        <v>308.96</v>
      </c>
      <c r="OA30" s="21" t="n">
        <v>307.084</v>
      </c>
      <c r="OB30" s="21" t="n">
        <v>317.67</v>
      </c>
      <c r="OC30" s="21" t="n">
        <v>292.035</v>
      </c>
      <c r="OD30" s="21" t="n">
        <v>328.654</v>
      </c>
      <c r="OE30" s="21" t="n">
        <v>105.398</v>
      </c>
      <c r="OF30" s="21" t="n">
        <v>311.178</v>
      </c>
      <c r="OG30" s="21" t="n">
        <v>216.927</v>
      </c>
      <c r="OH30" s="21" t="n">
        <v>50.472</v>
      </c>
      <c r="OI30" s="21" t="n">
        <v>123.325</v>
      </c>
      <c r="OJ30" s="21" t="n">
        <v>40.9</v>
      </c>
      <c r="OK30" s="21" t="n">
        <v>13.6</v>
      </c>
    </row>
    <row r="31">
      <c r="A31" s="22" t="n">
        <v>42887</v>
      </c>
      <c r="B31" s="21" t="n">
        <v>244.955</v>
      </c>
      <c r="C31" s="21" t="n">
        <v>733.775</v>
      </c>
      <c r="D31" s="21" t="n">
        <v>249.398</v>
      </c>
      <c r="E31" s="21" t="n">
        <v>249.653</v>
      </c>
      <c r="F31" s="21" t="n">
        <v>238.3</v>
      </c>
      <c r="G31" s="21" t="n">
        <v>272.429</v>
      </c>
      <c r="H31" s="21" t="n">
        <v>227.704</v>
      </c>
      <c r="I31" s="21" t="n">
        <v>236.902</v>
      </c>
      <c r="J31" s="21" t="n">
        <v>224.51</v>
      </c>
      <c r="K31" s="21" t="n">
        <v>234.502</v>
      </c>
      <c r="L31" s="21" t="n">
        <v>159.94</v>
      </c>
      <c r="M31" s="21" t="n">
        <v>298.046</v>
      </c>
      <c r="N31" s="21" t="n">
        <v>180.154</v>
      </c>
      <c r="O31" s="21" t="n">
        <v>326.555</v>
      </c>
      <c r="P31" s="21" t="n">
        <v>348.891</v>
      </c>
      <c r="Q31" s="21" t="n">
        <v>175.106</v>
      </c>
      <c r="R31" s="21" t="n">
        <v>282.617</v>
      </c>
      <c r="S31" s="21" t="n">
        <v>302.723</v>
      </c>
      <c r="T31" s="21" t="n">
        <v>266.862</v>
      </c>
      <c r="U31" s="21" t="n">
        <v>266.151</v>
      </c>
      <c r="V31" s="21" t="n">
        <v>293.143</v>
      </c>
      <c r="W31" s="21" t="n">
        <v>309.127</v>
      </c>
      <c r="X31" s="21" t="n">
        <v>269.047</v>
      </c>
      <c r="Y31" s="21" t="n">
        <v>245.756</v>
      </c>
      <c r="Z31" s="21" t="n">
        <v>249.912</v>
      </c>
      <c r="AA31" s="21" t="n">
        <v>251.822</v>
      </c>
      <c r="AB31" s="21" t="n">
        <v>303.852</v>
      </c>
      <c r="AC31" s="21" t="n">
        <v>268.889</v>
      </c>
      <c r="AD31" s="21" t="n">
        <v>231.152</v>
      </c>
      <c r="AE31" s="21" t="n">
        <v>205.093</v>
      </c>
      <c r="AF31" s="21" t="n">
        <v>236.229</v>
      </c>
      <c r="AG31" s="21" t="n">
        <v>210.527</v>
      </c>
      <c r="AH31" s="21" t="n">
        <v>158.705</v>
      </c>
      <c r="AI31" s="21" t="n">
        <v>296.92</v>
      </c>
      <c r="AJ31" s="21" t="n">
        <v>142.845</v>
      </c>
      <c r="AK31" s="21" t="n">
        <v>202.87</v>
      </c>
      <c r="AL31" s="21" t="n">
        <v>226.072</v>
      </c>
      <c r="AM31" s="21" t="n">
        <v>183.292</v>
      </c>
      <c r="AN31" s="21" t="n">
        <v>126.733</v>
      </c>
      <c r="AO31" s="21" t="n">
        <v>219.798</v>
      </c>
      <c r="AP31" s="21" t="n">
        <v>210.217</v>
      </c>
      <c r="AQ31" s="21" t="n">
        <v>144.096</v>
      </c>
      <c r="AR31" s="21" t="n">
        <v>324.492</v>
      </c>
      <c r="AS31" s="21" t="n"/>
      <c r="AT31" s="21" t="n">
        <v>231.781</v>
      </c>
      <c r="AU31" s="21" t="n">
        <v>148.77</v>
      </c>
      <c r="AV31" s="21" t="n">
        <v>246.893</v>
      </c>
      <c r="AW31" s="21" t="n">
        <v>220.505</v>
      </c>
      <c r="AX31" s="21" t="n">
        <v>152.744</v>
      </c>
      <c r="AY31" s="21" t="n">
        <v>289.78</v>
      </c>
      <c r="AZ31" s="21" t="n">
        <v>179.135</v>
      </c>
      <c r="BA31" s="21" t="n">
        <v>145.374</v>
      </c>
      <c r="BB31" s="21" t="n">
        <v>202.326</v>
      </c>
      <c r="BC31" s="21" t="n">
        <v>304.566</v>
      </c>
      <c r="BD31" s="21" t="n">
        <v>191.313</v>
      </c>
      <c r="BE31" s="21" t="n">
        <v>215.192</v>
      </c>
      <c r="BF31" s="21" t="n">
        <v>138.61</v>
      </c>
      <c r="BG31" s="21" t="n">
        <v>198.545</v>
      </c>
      <c r="BH31" s="21" t="n">
        <v>141.943</v>
      </c>
      <c r="BI31" s="21" t="n">
        <v>226.464</v>
      </c>
      <c r="BJ31" s="21" t="n">
        <v>214.396</v>
      </c>
      <c r="BK31" s="21" t="n">
        <v>146.108</v>
      </c>
      <c r="BL31" s="21" t="n">
        <v>294.788</v>
      </c>
      <c r="BM31" s="21" t="n">
        <v>340.08</v>
      </c>
      <c r="BN31" s="21" t="n">
        <v>356.984</v>
      </c>
      <c r="BO31" s="21" t="n">
        <v>350.374</v>
      </c>
      <c r="BP31" s="21" t="n">
        <v>198.125</v>
      </c>
      <c r="BQ31" s="21" t="n">
        <v>257.142</v>
      </c>
      <c r="BR31" s="21" t="n">
        <v>534.705</v>
      </c>
      <c r="BS31" s="21" t="n">
        <v>113.235</v>
      </c>
      <c r="BT31" s="21" t="n">
        <v>321.096</v>
      </c>
      <c r="BU31" s="21" t="n">
        <v>343.647</v>
      </c>
      <c r="BV31" s="21" t="n">
        <v>297.782</v>
      </c>
      <c r="BW31" s="21" t="n">
        <v>319.463</v>
      </c>
      <c r="BX31" s="21" t="n">
        <v>325.367</v>
      </c>
      <c r="BY31" s="21" t="n">
        <v>156.991</v>
      </c>
      <c r="BZ31" s="21" t="n">
        <v>159.396</v>
      </c>
      <c r="CA31" s="21" t="n">
        <v>158.189</v>
      </c>
      <c r="CB31" s="21" t="n">
        <v>165.442</v>
      </c>
      <c r="CC31" s="21" t="n">
        <v>151.437</v>
      </c>
      <c r="CD31" s="21" t="n">
        <v>207.903</v>
      </c>
      <c r="CE31" s="21" t="n">
        <v>158.305</v>
      </c>
      <c r="CF31" s="21" t="n">
        <v>194.05</v>
      </c>
      <c r="CG31" s="21" t="n">
        <v>167.242</v>
      </c>
      <c r="CH31" s="21" t="n">
        <v>128.518</v>
      </c>
      <c r="CI31" s="21" t="n">
        <v>161.61</v>
      </c>
      <c r="CJ31" s="21" t="n">
        <v>179.087</v>
      </c>
      <c r="CK31" s="21" t="n">
        <v>116.956</v>
      </c>
      <c r="CL31" s="21" t="n">
        <v>118.541</v>
      </c>
      <c r="CM31" s="21" t="n">
        <v>200.824</v>
      </c>
      <c r="CN31" s="21" t="n">
        <v>210.23</v>
      </c>
      <c r="CO31" s="21" t="n">
        <v>198.811</v>
      </c>
      <c r="CP31" s="21" t="n">
        <v>127.469</v>
      </c>
      <c r="CQ31" s="21" t="n">
        <v>210.119</v>
      </c>
      <c r="CR31" s="21" t="n">
        <v>215.648</v>
      </c>
      <c r="CS31" s="21" t="n">
        <v>190.196</v>
      </c>
      <c r="CT31" s="21" t="n">
        <v>144.109</v>
      </c>
      <c r="CU31" s="21" t="n">
        <v>156.452</v>
      </c>
      <c r="CV31" s="21" t="n">
        <v>227.858</v>
      </c>
      <c r="CW31" s="21" t="n">
        <v>202.801</v>
      </c>
      <c r="CX31" s="21" t="n">
        <v>236.344</v>
      </c>
      <c r="CY31" s="21" t="n">
        <v>303.989</v>
      </c>
      <c r="CZ31" s="21" t="n">
        <v>128.021</v>
      </c>
      <c r="DA31" s="21" t="n">
        <v>160.182</v>
      </c>
      <c r="DB31" s="21" t="n">
        <v>156.39</v>
      </c>
      <c r="DC31" s="21" t="n">
        <v>224.59</v>
      </c>
      <c r="DD31" s="21" t="n">
        <v>253.329</v>
      </c>
      <c r="DE31" s="21" t="n">
        <v>168.058</v>
      </c>
      <c r="DF31" s="21" t="n">
        <v>250.644</v>
      </c>
      <c r="DG31" s="21" t="n">
        <v>238.641</v>
      </c>
      <c r="DH31" s="21" t="n">
        <v>153.262</v>
      </c>
      <c r="DI31" s="21" t="n">
        <v>131.829</v>
      </c>
      <c r="DJ31" s="21" t="n">
        <v>134.162</v>
      </c>
      <c r="DK31" s="21" t="n">
        <v>281.413</v>
      </c>
      <c r="DL31" s="21" t="n">
        <v>158.87</v>
      </c>
      <c r="DM31" s="21" t="n">
        <v>132.19</v>
      </c>
      <c r="DN31" s="21" t="n">
        <v>124.35</v>
      </c>
      <c r="DO31" s="21" t="n">
        <v>268.225</v>
      </c>
      <c r="DP31" s="21" t="n">
        <v>166.959</v>
      </c>
      <c r="DQ31" s="21" t="n">
        <v>171.53</v>
      </c>
      <c r="DR31" s="21" t="n">
        <v>167.094</v>
      </c>
      <c r="DS31" s="21" t="n">
        <v>138.592</v>
      </c>
      <c r="DT31" s="21" t="n">
        <v>154.046</v>
      </c>
      <c r="DU31" s="21" t="n">
        <v>183.979</v>
      </c>
      <c r="DV31" s="21" t="n">
        <v>244.597</v>
      </c>
      <c r="DW31" s="21" t="n">
        <v>198.847</v>
      </c>
      <c r="DX31" s="21" t="n">
        <v>221.495</v>
      </c>
      <c r="DY31" s="21" t="n">
        <v>191.963</v>
      </c>
      <c r="DZ31" s="21" t="n">
        <v>207.641</v>
      </c>
      <c r="EA31" s="21" t="n">
        <v>186.393</v>
      </c>
      <c r="EB31" s="21" t="n">
        <v>166.314</v>
      </c>
      <c r="EC31" s="21" t="n">
        <v>344.436</v>
      </c>
      <c r="ED31" s="21" t="n">
        <v>171.252</v>
      </c>
      <c r="EE31" s="21" t="n">
        <v>183.756</v>
      </c>
      <c r="EF31" s="21" t="n">
        <v>185.702</v>
      </c>
      <c r="EG31" s="21" t="n">
        <v>251.629</v>
      </c>
      <c r="EH31" s="21" t="n">
        <v>297.446</v>
      </c>
      <c r="EI31" s="21" t="n">
        <v>307.314</v>
      </c>
      <c r="EJ31" s="21" t="n">
        <v>168.214</v>
      </c>
      <c r="EK31" s="21" t="n">
        <v>533.5069999999999</v>
      </c>
      <c r="EL31" s="21" t="n">
        <v>348.338</v>
      </c>
      <c r="EM31" s="21" t="n">
        <v>304.218</v>
      </c>
      <c r="EN31" s="21" t="n">
        <v>304.206</v>
      </c>
      <c r="EO31" s="21" t="n">
        <v>149.307</v>
      </c>
      <c r="EP31" s="21" t="n">
        <v>241.94</v>
      </c>
      <c r="EQ31" s="21" t="n">
        <v>203.481</v>
      </c>
      <c r="ER31" s="21" t="n">
        <v>240.176</v>
      </c>
      <c r="ES31" s="21" t="n">
        <v>224.542</v>
      </c>
      <c r="ET31" s="21" t="n">
        <v>309.7</v>
      </c>
      <c r="EU31" s="21" t="n">
        <v>208.852</v>
      </c>
      <c r="EV31" s="21" t="n">
        <v>218.865</v>
      </c>
      <c r="EW31" s="21" t="n">
        <v>175.807</v>
      </c>
      <c r="EX31" s="21" t="n">
        <v>228.599</v>
      </c>
      <c r="EY31" s="21" t="n">
        <v>531.6849999999999</v>
      </c>
      <c r="EZ31" s="21" t="n">
        <v>448.046</v>
      </c>
      <c r="FA31" s="21" t="n">
        <v>121.025</v>
      </c>
      <c r="FB31" s="21" t="n">
        <v>56.974</v>
      </c>
      <c r="FC31" s="21" t="n">
        <v>109.562</v>
      </c>
      <c r="FD31" s="21" t="n">
        <v>66.39100000000001</v>
      </c>
      <c r="FE31" s="21" t="n">
        <v>43.214</v>
      </c>
      <c r="FF31" s="21" t="n">
        <v>111.237</v>
      </c>
      <c r="FG31" s="21" t="n">
        <v>127.164</v>
      </c>
      <c r="FH31" s="21" t="n">
        <v>85.23999999999999</v>
      </c>
      <c r="FI31" s="21" t="n">
        <v>69.91800000000001</v>
      </c>
      <c r="FJ31" s="21" t="n">
        <v>96.26600000000001</v>
      </c>
      <c r="FK31" s="21" t="n">
        <v>74.935</v>
      </c>
      <c r="FL31" s="21" t="n">
        <v>78.526</v>
      </c>
      <c r="FM31" s="21" t="n">
        <v>90.169</v>
      </c>
      <c r="FN31" s="21" t="n">
        <v>65.85599999999999</v>
      </c>
      <c r="FO31" s="21" t="n">
        <v>55.457</v>
      </c>
      <c r="FP31" s="21" t="n">
        <v>42.449</v>
      </c>
      <c r="FQ31" s="21" t="n">
        <v>131.286</v>
      </c>
      <c r="FR31" s="21" t="n">
        <v>52.131</v>
      </c>
      <c r="FS31" s="21" t="n">
        <v>86.643</v>
      </c>
      <c r="FT31" s="21" t="n">
        <v>90.142</v>
      </c>
      <c r="FU31" s="21" t="n">
        <v>98.405</v>
      </c>
      <c r="FV31" s="21" t="n">
        <v>86.245</v>
      </c>
      <c r="FW31" s="21" t="n">
        <v>185.731</v>
      </c>
      <c r="FX31" s="21" t="n">
        <v>118.553</v>
      </c>
      <c r="FY31" s="21" t="n">
        <v>169.675</v>
      </c>
      <c r="FZ31" s="21" t="n">
        <v>117.15</v>
      </c>
      <c r="GA31" s="21" t="n">
        <v>175.359</v>
      </c>
      <c r="GB31" s="21" t="n"/>
      <c r="GC31" s="21" t="n">
        <v>179.626</v>
      </c>
      <c r="GD31" s="21" t="n">
        <v>151.581</v>
      </c>
      <c r="GE31" s="21" t="n">
        <v>241.242</v>
      </c>
      <c r="GF31" s="21" t="n">
        <v>124.63</v>
      </c>
      <c r="GG31" s="21" t="n">
        <v>116.006</v>
      </c>
      <c r="GH31" s="21" t="n">
        <v>121.439</v>
      </c>
      <c r="GI31" s="21" t="n">
        <v>108.065</v>
      </c>
      <c r="GJ31" s="21" t="n">
        <v>154.107</v>
      </c>
      <c r="GK31" s="21" t="n">
        <v>78.116</v>
      </c>
      <c r="GL31" s="21" t="n">
        <v>120.182</v>
      </c>
      <c r="GM31" s="21" t="n">
        <v>95.55</v>
      </c>
      <c r="GN31" s="21" t="n">
        <v>109.917</v>
      </c>
      <c r="GO31" s="21" t="n">
        <v>113.546</v>
      </c>
      <c r="GP31" s="21" t="n">
        <v>104.952</v>
      </c>
      <c r="GQ31" s="21" t="n">
        <v>121.342</v>
      </c>
      <c r="GR31" s="21" t="n">
        <v>80.601</v>
      </c>
      <c r="GS31" s="21" t="n">
        <v>105.769</v>
      </c>
      <c r="GT31" s="21" t="n">
        <v>92.992</v>
      </c>
      <c r="GU31" s="21" t="n">
        <v>137.188</v>
      </c>
      <c r="GV31" s="21" t="n">
        <v>138.805</v>
      </c>
      <c r="GW31" s="21" t="n">
        <v>151.759</v>
      </c>
      <c r="GX31" s="21" t="n">
        <v>128.579</v>
      </c>
      <c r="GY31" s="21" t="n">
        <v>111.157</v>
      </c>
      <c r="GZ31" s="21" t="n">
        <v>173.216</v>
      </c>
      <c r="HA31" s="21" t="n">
        <v>133.54</v>
      </c>
      <c r="HB31" s="21" t="n">
        <v>179.546</v>
      </c>
      <c r="HC31" s="21" t="n">
        <v>201.263</v>
      </c>
      <c r="HD31" s="21" t="n">
        <v>195.67</v>
      </c>
      <c r="HE31" s="21" t="n">
        <v>99.492</v>
      </c>
      <c r="HF31" s="21" t="n">
        <v>147.262</v>
      </c>
      <c r="HG31" s="21" t="n">
        <v>102.044</v>
      </c>
      <c r="HH31" s="21" t="n">
        <v>143.084</v>
      </c>
      <c r="HI31" s="21" t="n">
        <v>156.794</v>
      </c>
      <c r="HJ31" s="21" t="n"/>
      <c r="HK31" s="21" t="n">
        <v>140.015</v>
      </c>
      <c r="HL31" s="21" t="n">
        <v>84.80200000000001</v>
      </c>
      <c r="HM31" s="21" t="n">
        <v>136.88</v>
      </c>
      <c r="HN31" s="21" t="n">
        <v>206.76</v>
      </c>
      <c r="HO31" s="21" t="n">
        <v>205.881</v>
      </c>
      <c r="HP31" s="21" t="n">
        <v>201.511</v>
      </c>
      <c r="HQ31" s="21" t="n">
        <v>221.729</v>
      </c>
      <c r="HR31" s="21" t="n">
        <v>219.289</v>
      </c>
      <c r="HS31" s="21" t="n">
        <v>182.88</v>
      </c>
      <c r="HT31" s="21" t="n">
        <v>143.432</v>
      </c>
      <c r="HU31" s="21" t="n">
        <v>124.661</v>
      </c>
      <c r="HV31" s="21" t="n">
        <v>167.524</v>
      </c>
      <c r="HW31" s="21" t="n">
        <v>158.903</v>
      </c>
      <c r="HX31" s="21" t="n">
        <v>370.721</v>
      </c>
      <c r="HY31" s="21" t="n">
        <v>279.294</v>
      </c>
      <c r="HZ31" s="21" t="n">
        <v>293.491</v>
      </c>
      <c r="IA31" s="21" t="n">
        <v>250.736</v>
      </c>
      <c r="IB31" s="21" t="n">
        <v>173.177</v>
      </c>
      <c r="IC31" s="21" t="n">
        <v>525.397</v>
      </c>
      <c r="ID31" s="21" t="n">
        <v>184.953</v>
      </c>
      <c r="IE31" s="21" t="n">
        <v>175.635</v>
      </c>
      <c r="IF31" s="21" t="n">
        <v>200.329</v>
      </c>
      <c r="IG31" s="21" t="n">
        <v>226.782</v>
      </c>
      <c r="IH31" s="21" t="n"/>
      <c r="II31" s="21" t="n">
        <v>274.514</v>
      </c>
      <c r="IJ31" s="21" t="n">
        <v>296.384</v>
      </c>
      <c r="IK31" s="21" t="n">
        <v>158.369</v>
      </c>
      <c r="IL31" s="21" t="n">
        <v>130.925</v>
      </c>
      <c r="IM31" s="21" t="n">
        <v>114.837</v>
      </c>
      <c r="IN31" s="21" t="n">
        <v>65.14700000000001</v>
      </c>
      <c r="IO31" s="21" t="n">
        <v>315.473</v>
      </c>
      <c r="IP31" s="21" t="n">
        <v>124.658</v>
      </c>
      <c r="IQ31" s="21" t="n">
        <v>474.36</v>
      </c>
      <c r="IR31" s="21" t="n">
        <v>376.182</v>
      </c>
      <c r="IS31" s="21" t="n">
        <v>123.154</v>
      </c>
      <c r="IT31" s="21" t="n">
        <v>517.217</v>
      </c>
      <c r="IU31" s="21" t="n">
        <v>98.086</v>
      </c>
      <c r="IV31" s="21" t="n">
        <v>99.60599999999999</v>
      </c>
      <c r="IW31" s="21" t="n">
        <v>505.813</v>
      </c>
      <c r="IX31" s="21" t="n">
        <v>373.498</v>
      </c>
      <c r="IY31" s="21" t="n">
        <v>377.747</v>
      </c>
      <c r="IZ31" s="21" t="n">
        <v>472.703</v>
      </c>
      <c r="JA31" s="21" t="n">
        <v>185.586</v>
      </c>
      <c r="JB31" s="21" t="n">
        <v>236.087</v>
      </c>
      <c r="JC31" s="21" t="n">
        <v>75.64700000000001</v>
      </c>
      <c r="JD31" s="21" t="n">
        <v>318.313</v>
      </c>
      <c r="JE31" s="21" t="n">
        <v>312.686</v>
      </c>
      <c r="JF31" s="21" t="n">
        <v>707.895</v>
      </c>
      <c r="JG31" s="21" t="n">
        <v>221.045</v>
      </c>
      <c r="JH31" s="21" t="n">
        <v>119.314</v>
      </c>
      <c r="JI31" s="21" t="n">
        <v>133.818</v>
      </c>
      <c r="JJ31" s="21" t="n">
        <v>118.518</v>
      </c>
      <c r="JK31" s="21" t="n">
        <v>104.713</v>
      </c>
      <c r="JL31" s="21" t="n">
        <v>240.598</v>
      </c>
      <c r="JM31" s="21" t="n">
        <v>463.673</v>
      </c>
      <c r="JN31" s="21" t="n">
        <v>124.898</v>
      </c>
      <c r="JO31" s="21" t="n">
        <v>70.80800000000001</v>
      </c>
      <c r="JP31" s="21" t="n">
        <v>37.72</v>
      </c>
      <c r="JQ31" s="21" t="n">
        <v>125.852</v>
      </c>
      <c r="JR31" s="21" t="n">
        <v>31.46</v>
      </c>
      <c r="JS31" s="21" t="n">
        <v>89.70099999999999</v>
      </c>
      <c r="JT31" s="21" t="n">
        <v>169.991</v>
      </c>
      <c r="JU31" s="21" t="n">
        <v>197.011</v>
      </c>
      <c r="JV31" s="21" t="n">
        <v>150.434</v>
      </c>
      <c r="JW31" s="21" t="n">
        <v>113.336</v>
      </c>
      <c r="JX31" s="21" t="n">
        <v>237.606</v>
      </c>
      <c r="JY31" s="21" t="n">
        <v>185.73</v>
      </c>
      <c r="JZ31" s="21" t="n">
        <v>249.276</v>
      </c>
      <c r="KA31" s="21" t="n">
        <v>110.895</v>
      </c>
      <c r="KB31" s="21" t="n">
        <v>145.689</v>
      </c>
      <c r="KC31" s="21" t="n">
        <v>81.23099999999999</v>
      </c>
      <c r="KD31" s="21" t="n">
        <v>75.306</v>
      </c>
      <c r="KE31" s="21" t="n">
        <v>55.009</v>
      </c>
      <c r="KF31" s="21" t="n"/>
      <c r="KG31" s="21" t="n">
        <v>22.63</v>
      </c>
      <c r="KH31" s="21" t="n">
        <v>123.275</v>
      </c>
      <c r="KI31" s="21" t="n">
        <v>127.099</v>
      </c>
      <c r="KJ31" s="21" t="n">
        <v>120.284</v>
      </c>
      <c r="KK31" s="21" t="n">
        <v>40.752</v>
      </c>
      <c r="KL31" s="21" t="n">
        <v>37.564</v>
      </c>
      <c r="KM31" s="21" t="n">
        <v>46.092</v>
      </c>
      <c r="KN31" s="21" t="n"/>
      <c r="KO31" s="21" t="n">
        <v>91.15600000000001</v>
      </c>
      <c r="KP31" s="21" t="n">
        <v>100.563</v>
      </c>
      <c r="KQ31" s="21" t="n">
        <v>163.403</v>
      </c>
      <c r="KR31" s="21" t="n">
        <v>134.452</v>
      </c>
      <c r="KS31" s="21" t="n">
        <v>372.971</v>
      </c>
      <c r="KT31" s="21" t="n">
        <v>178.873</v>
      </c>
      <c r="KU31" s="21" t="n">
        <v>214.827</v>
      </c>
      <c r="KV31" s="21" t="n">
        <v>304.311</v>
      </c>
      <c r="KW31" s="21" t="n">
        <v>241.102</v>
      </c>
      <c r="KX31" s="21" t="n">
        <v>173.771</v>
      </c>
      <c r="KY31" s="21" t="n">
        <v>93.14</v>
      </c>
      <c r="KZ31" s="21" t="n">
        <v>135.497</v>
      </c>
      <c r="LA31" s="21" t="n">
        <v>251.658</v>
      </c>
      <c r="LB31" s="21" t="n">
        <v>682.327</v>
      </c>
      <c r="LC31" s="21" t="n">
        <v>238.766</v>
      </c>
      <c r="LD31" s="21" t="n">
        <v>720.371</v>
      </c>
      <c r="LE31" s="21" t="n">
        <v>817.117</v>
      </c>
      <c r="LF31" s="21" t="n">
        <v>76.009</v>
      </c>
      <c r="LG31" s="21" t="n">
        <v>289.927</v>
      </c>
      <c r="LH31" s="21" t="n">
        <v>243.541</v>
      </c>
      <c r="LI31" s="21" t="n">
        <v>74.36499999999999</v>
      </c>
      <c r="LJ31" s="21" t="n">
        <v>180.659</v>
      </c>
      <c r="LK31" s="21" t="n">
        <v>284.32</v>
      </c>
      <c r="LL31" s="21" t="n">
        <v>289.297</v>
      </c>
      <c r="LM31" s="21" t="n">
        <v>70.511</v>
      </c>
      <c r="LN31" s="21" t="n">
        <v>90.21599999999999</v>
      </c>
      <c r="LO31" s="21" t="n">
        <v>47.735</v>
      </c>
      <c r="LP31" s="21" t="n">
        <v>115.642</v>
      </c>
      <c r="LQ31" s="21" t="n"/>
      <c r="LR31" s="21" t="n"/>
      <c r="LS31" s="21" t="n">
        <v>114.096</v>
      </c>
      <c r="LT31" s="21" t="n">
        <v>42.561</v>
      </c>
      <c r="LU31" s="21" t="n">
        <v>33.269</v>
      </c>
      <c r="LV31" s="21" t="n">
        <v>77.169</v>
      </c>
      <c r="LW31" s="21" t="n">
        <v>269.533</v>
      </c>
      <c r="LX31" s="21" t="n"/>
      <c r="LY31" s="21" t="n">
        <v>433.121</v>
      </c>
      <c r="LZ31" s="21" t="n">
        <v>64.87</v>
      </c>
      <c r="MA31" s="21" t="n">
        <v>421.142</v>
      </c>
      <c r="MB31" s="21" t="n">
        <v>259.562</v>
      </c>
      <c r="MC31" s="21" t="n">
        <v>227.018</v>
      </c>
      <c r="MD31" s="21" t="n">
        <v>161.602</v>
      </c>
      <c r="ME31" s="21" t="n">
        <v>102.56</v>
      </c>
      <c r="MF31" s="21" t="n">
        <v>186.337</v>
      </c>
      <c r="MG31" s="21" t="n">
        <v>256.501</v>
      </c>
      <c r="MH31" s="21" t="n">
        <v>156.508</v>
      </c>
      <c r="MI31" s="21" t="n">
        <v>424.852</v>
      </c>
      <c r="MJ31" s="21" t="n">
        <v>349.127</v>
      </c>
      <c r="MK31" s="21" t="n">
        <v>325.291</v>
      </c>
      <c r="ML31" s="21" t="n">
        <v>164.995</v>
      </c>
      <c r="MM31" s="21" t="n">
        <v>187.848</v>
      </c>
      <c r="MN31" s="21" t="n">
        <v>341.323</v>
      </c>
      <c r="MO31" s="21" t="n">
        <v>156.571</v>
      </c>
      <c r="MP31" s="21" t="n">
        <v>237.42</v>
      </c>
      <c r="MQ31" s="21" t="n">
        <v>77.785</v>
      </c>
      <c r="MR31" s="21" t="n">
        <v>150.317</v>
      </c>
      <c r="MS31" s="21" t="n">
        <v>77.819</v>
      </c>
      <c r="MT31" s="21" t="n">
        <v>233.945</v>
      </c>
      <c r="MU31" s="21" t="n">
        <v>250.965</v>
      </c>
      <c r="MV31" s="21" t="n">
        <v>244.218</v>
      </c>
      <c r="MW31" s="21" t="n">
        <v>252.014</v>
      </c>
      <c r="MX31" s="21" t="n">
        <v>227.149</v>
      </c>
      <c r="MY31" s="21" t="n">
        <v>221.23</v>
      </c>
      <c r="MZ31" s="21" t="n">
        <v>226.73</v>
      </c>
      <c r="NA31" s="21" t="n">
        <v>232.013</v>
      </c>
      <c r="NB31" s="21" t="n">
        <v>117.182</v>
      </c>
      <c r="NC31" s="21" t="n">
        <v>180.72</v>
      </c>
      <c r="ND31" s="21" t="n">
        <v>149.96</v>
      </c>
      <c r="NE31" s="21" t="n">
        <v>146.698</v>
      </c>
      <c r="NF31" s="21" t="n">
        <v>144.577</v>
      </c>
      <c r="NG31" s="21" t="n">
        <v>145.761</v>
      </c>
      <c r="NH31" s="21" t="n">
        <v>246.227</v>
      </c>
      <c r="NI31" s="21" t="n">
        <v>105.917</v>
      </c>
      <c r="NJ31" s="21" t="n">
        <v>77.711</v>
      </c>
      <c r="NK31" s="21" t="n">
        <v>108.148</v>
      </c>
      <c r="NL31" s="21" t="n">
        <v>204.646</v>
      </c>
      <c r="NM31" s="21" t="n">
        <v>209.905</v>
      </c>
      <c r="NN31" s="21" t="n">
        <v>90.651</v>
      </c>
      <c r="NO31" s="21" t="n">
        <v>57.484</v>
      </c>
      <c r="NP31" s="21" t="n">
        <v>218.331</v>
      </c>
      <c r="NQ31" s="21" t="n">
        <v>191.808</v>
      </c>
      <c r="NR31" s="21" t="n">
        <v>232.496</v>
      </c>
      <c r="NS31" s="21" t="n">
        <v>188.528</v>
      </c>
      <c r="NT31" s="21" t="n">
        <v>232.545</v>
      </c>
      <c r="NU31" s="21" t="n">
        <v>111.343</v>
      </c>
      <c r="NV31" s="21" t="n">
        <v>118.199</v>
      </c>
      <c r="NW31" s="21" t="n">
        <v>346.161</v>
      </c>
      <c r="NX31" s="21" t="n">
        <v>83.27800000000001</v>
      </c>
      <c r="NY31" s="21" t="n">
        <v>118.973</v>
      </c>
      <c r="NZ31" s="21" t="n">
        <v>309.949</v>
      </c>
      <c r="OA31" s="21" t="n">
        <v>308.263</v>
      </c>
      <c r="OB31" s="21" t="n">
        <v>318.345</v>
      </c>
      <c r="OC31" s="21" t="n">
        <v>293.274</v>
      </c>
      <c r="OD31" s="21" t="n">
        <v>330.146</v>
      </c>
      <c r="OE31" s="21" t="n">
        <v>104.862</v>
      </c>
      <c r="OF31" s="21" t="n">
        <v>312.012</v>
      </c>
      <c r="OG31" s="21" t="n">
        <v>219.122</v>
      </c>
      <c r="OH31" s="21" t="n">
        <v>50.834</v>
      </c>
      <c r="OI31" s="21" t="n">
        <v>123.36</v>
      </c>
      <c r="OJ31" s="21" t="n">
        <v>40.8</v>
      </c>
      <c r="OK31" s="21" t="n">
        <v>13.6</v>
      </c>
    </row>
    <row r="32">
      <c r="A32" s="22" t="n">
        <v>42917</v>
      </c>
      <c r="B32" s="21" t="n">
        <v>244.786</v>
      </c>
      <c r="C32" s="21" t="n">
        <v>733.269</v>
      </c>
      <c r="D32" s="21" t="n">
        <v>249.93</v>
      </c>
      <c r="E32" s="21" t="n">
        <v>250.214</v>
      </c>
      <c r="F32" s="21" t="n">
        <v>238.953</v>
      </c>
      <c r="G32" s="21" t="n">
        <v>271.95</v>
      </c>
      <c r="H32" s="21" t="n">
        <v>228.463</v>
      </c>
      <c r="I32" s="21" t="n">
        <v>240.703</v>
      </c>
      <c r="J32" s="21" t="n">
        <v>225.284</v>
      </c>
      <c r="K32" s="21" t="n">
        <v>234.264</v>
      </c>
      <c r="L32" s="21" t="n">
        <v>159.66</v>
      </c>
      <c r="M32" s="21" t="n">
        <v>296.767</v>
      </c>
      <c r="N32" s="21" t="n">
        <v>177.622</v>
      </c>
      <c r="O32" s="21" t="n">
        <v>323.239</v>
      </c>
      <c r="P32" s="21" t="n">
        <v>342.221</v>
      </c>
      <c r="Q32" s="21" t="n">
        <v>174.445</v>
      </c>
      <c r="R32" s="21" t="n">
        <v>282.112</v>
      </c>
      <c r="S32" s="21" t="n">
        <v>304.353</v>
      </c>
      <c r="T32" s="21" t="n">
        <v>265.523</v>
      </c>
      <c r="U32" s="21" t="n">
        <v>266.915</v>
      </c>
      <c r="V32" s="21" t="n">
        <v>292.343</v>
      </c>
      <c r="W32" s="21" t="n">
        <v>307.184</v>
      </c>
      <c r="X32" s="21" t="n">
        <v>272.374</v>
      </c>
      <c r="Y32" s="21" t="n">
        <v>247.761</v>
      </c>
      <c r="Z32" s="21" t="n">
        <v>252.038</v>
      </c>
      <c r="AA32" s="21" t="n">
        <v>255.333</v>
      </c>
      <c r="AB32" s="21" t="n">
        <v>307.084</v>
      </c>
      <c r="AC32" s="21" t="n">
        <v>273.687</v>
      </c>
      <c r="AD32" s="21" t="n">
        <v>229.692</v>
      </c>
      <c r="AE32" s="21" t="n">
        <v>207.117</v>
      </c>
      <c r="AF32" s="21" t="n">
        <v>238.069</v>
      </c>
      <c r="AG32" s="21" t="n">
        <v>213.628</v>
      </c>
      <c r="AH32" s="21" t="n">
        <v>161.207</v>
      </c>
      <c r="AI32" s="21" t="n">
        <v>302.663</v>
      </c>
      <c r="AJ32" s="21" t="n">
        <v>144.483</v>
      </c>
      <c r="AK32" s="21" t="n">
        <v>210.671</v>
      </c>
      <c r="AL32" s="21" t="n">
        <v>235.839</v>
      </c>
      <c r="AM32" s="21" t="n">
        <v>182.725</v>
      </c>
      <c r="AN32" s="21" t="n">
        <v>127.544</v>
      </c>
      <c r="AO32" s="21" t="n">
        <v>224.031</v>
      </c>
      <c r="AP32" s="21" t="n">
        <v>218.991</v>
      </c>
      <c r="AQ32" s="21" t="n">
        <v>146.592</v>
      </c>
      <c r="AR32" s="21" t="n">
        <v>326.165</v>
      </c>
      <c r="AS32" s="21" t="n"/>
      <c r="AT32" s="21" t="n">
        <v>231.926</v>
      </c>
      <c r="AU32" s="21" t="n">
        <v>149.287</v>
      </c>
      <c r="AV32" s="21" t="n">
        <v>246.386</v>
      </c>
      <c r="AW32" s="21" t="n">
        <v>221.486</v>
      </c>
      <c r="AX32" s="21" t="n">
        <v>150.945</v>
      </c>
      <c r="AY32" s="21" t="n">
        <v>288.966</v>
      </c>
      <c r="AZ32" s="21" t="n">
        <v>178.004</v>
      </c>
      <c r="BA32" s="21" t="n">
        <v>145.575</v>
      </c>
      <c r="BB32" s="21" t="n">
        <v>202.596</v>
      </c>
      <c r="BC32" s="21" t="n">
        <v>307.668</v>
      </c>
      <c r="BD32" s="21" t="n">
        <v>191.698</v>
      </c>
      <c r="BE32" s="21" t="n">
        <v>216.434</v>
      </c>
      <c r="BF32" s="21" t="n">
        <v>138.775</v>
      </c>
      <c r="BG32" s="21" t="n">
        <v>200.185</v>
      </c>
      <c r="BH32" s="21" t="n">
        <v>141.908</v>
      </c>
      <c r="BI32" s="21" t="n">
        <v>227.817</v>
      </c>
      <c r="BJ32" s="21" t="n">
        <v>214.672</v>
      </c>
      <c r="BK32" s="21" t="n">
        <v>148.017</v>
      </c>
      <c r="BL32" s="21" t="n">
        <v>294.935</v>
      </c>
      <c r="BM32" s="21" t="n">
        <v>340.684</v>
      </c>
      <c r="BN32" s="21" t="n">
        <v>358.95</v>
      </c>
      <c r="BO32" s="21" t="n">
        <v>360.305</v>
      </c>
      <c r="BP32" s="21" t="n">
        <v>195.758</v>
      </c>
      <c r="BQ32" s="21" t="n">
        <v>265.484</v>
      </c>
      <c r="BR32" s="21" t="n">
        <v>560.7380000000001</v>
      </c>
      <c r="BS32" s="21" t="n">
        <v>111.437</v>
      </c>
      <c r="BT32" s="21" t="n">
        <v>320.276</v>
      </c>
      <c r="BU32" s="21" t="n">
        <v>351.767</v>
      </c>
      <c r="BV32" s="21" t="n">
        <v>281.293</v>
      </c>
      <c r="BW32" s="21" t="n">
        <v>320.481</v>
      </c>
      <c r="BX32" s="21" t="n">
        <v>325.563</v>
      </c>
      <c r="BY32" s="21" t="n">
        <v>156.349</v>
      </c>
      <c r="BZ32" s="21" t="n">
        <v>158.727</v>
      </c>
      <c r="CA32" s="21" t="n">
        <v>156.87</v>
      </c>
      <c r="CB32" s="21" t="n">
        <v>165.237</v>
      </c>
      <c r="CC32" s="21" t="n">
        <v>150.469</v>
      </c>
      <c r="CD32" s="21" t="n">
        <v>206.259</v>
      </c>
      <c r="CE32" s="21" t="n">
        <v>158.307</v>
      </c>
      <c r="CF32" s="21" t="n">
        <v>194.839</v>
      </c>
      <c r="CG32" s="21" t="n">
        <v>167.085</v>
      </c>
      <c r="CH32" s="21" t="n">
        <v>128.212</v>
      </c>
      <c r="CI32" s="21" t="n">
        <v>160.274</v>
      </c>
      <c r="CJ32" s="21" t="n">
        <v>186.064</v>
      </c>
      <c r="CK32" s="21" t="n">
        <v>117.018</v>
      </c>
      <c r="CL32" s="21" t="n">
        <v>118.833</v>
      </c>
      <c r="CM32" s="21" t="n">
        <v>200.233</v>
      </c>
      <c r="CN32" s="21" t="n">
        <v>209.987</v>
      </c>
      <c r="CO32" s="21" t="n">
        <v>197.107</v>
      </c>
      <c r="CP32" s="21" t="n">
        <v>128.96</v>
      </c>
      <c r="CQ32" s="21" t="n">
        <v>210.624</v>
      </c>
      <c r="CR32" s="21" t="n">
        <v>216.592</v>
      </c>
      <c r="CS32" s="21" t="n">
        <v>190.796</v>
      </c>
      <c r="CT32" s="21" t="n">
        <v>144.924</v>
      </c>
      <c r="CU32" s="21" t="n">
        <v>156.66</v>
      </c>
      <c r="CV32" s="21" t="n">
        <v>230.603</v>
      </c>
      <c r="CW32" s="21" t="n">
        <v>207.76</v>
      </c>
      <c r="CX32" s="21" t="n">
        <v>244.5</v>
      </c>
      <c r="CY32" s="21" t="n">
        <v>304.811</v>
      </c>
      <c r="CZ32" s="21" t="n">
        <v>131.66</v>
      </c>
      <c r="DA32" s="21" t="n">
        <v>159.576</v>
      </c>
      <c r="DB32" s="21" t="n">
        <v>156.669</v>
      </c>
      <c r="DC32" s="21" t="n">
        <v>224.695</v>
      </c>
      <c r="DD32" s="21" t="n">
        <v>253.673</v>
      </c>
      <c r="DE32" s="21" t="n">
        <v>169.368</v>
      </c>
      <c r="DF32" s="21" t="n">
        <v>248.967</v>
      </c>
      <c r="DG32" s="21" t="n">
        <v>239.717</v>
      </c>
      <c r="DH32" s="21" t="n">
        <v>153.477</v>
      </c>
      <c r="DI32" s="21" t="n">
        <v>136.005</v>
      </c>
      <c r="DJ32" s="21" t="n">
        <v>135.768</v>
      </c>
      <c r="DK32" s="21" t="n">
        <v>283.099</v>
      </c>
      <c r="DL32" s="21" t="n">
        <v>158.599</v>
      </c>
      <c r="DM32" s="21" t="n">
        <v>132.058</v>
      </c>
      <c r="DN32" s="21" t="n">
        <v>126.216</v>
      </c>
      <c r="DO32" s="21" t="n">
        <v>268.649</v>
      </c>
      <c r="DP32" s="21" t="n">
        <v>167.19</v>
      </c>
      <c r="DQ32" s="21" t="n">
        <v>172.038</v>
      </c>
      <c r="DR32" s="21" t="n">
        <v>164.94</v>
      </c>
      <c r="DS32" s="21" t="n"/>
      <c r="DT32" s="21" t="n">
        <v>154.808</v>
      </c>
      <c r="DU32" s="21" t="n">
        <v>183.991</v>
      </c>
      <c r="DV32" s="21" t="n">
        <v>244.706</v>
      </c>
      <c r="DW32" s="21" t="n">
        <v>199.224</v>
      </c>
      <c r="DX32" s="21" t="n">
        <v>221.355</v>
      </c>
      <c r="DY32" s="21" t="n">
        <v>191.655</v>
      </c>
      <c r="DZ32" s="21" t="n">
        <v>207.232</v>
      </c>
      <c r="EA32" s="21" t="n">
        <v>186.194</v>
      </c>
      <c r="EB32" s="21" t="n">
        <v>167.28</v>
      </c>
      <c r="EC32" s="21" t="n">
        <v>343.804</v>
      </c>
      <c r="ED32" s="21" t="n">
        <v>170.497</v>
      </c>
      <c r="EE32" s="21" t="n">
        <v>183.27</v>
      </c>
      <c r="EF32" s="21" t="n">
        <v>185.921</v>
      </c>
      <c r="EG32" s="21" t="n">
        <v>251.87</v>
      </c>
      <c r="EH32" s="21" t="n">
        <v>297.919</v>
      </c>
      <c r="EI32" s="21" t="n">
        <v>308.173</v>
      </c>
      <c r="EJ32" s="21" t="n">
        <v>162.167</v>
      </c>
      <c r="EK32" s="21" t="n">
        <v>534.508</v>
      </c>
      <c r="EL32" s="21" t="n">
        <v>333.952</v>
      </c>
      <c r="EM32" s="21" t="n">
        <v>305.037</v>
      </c>
      <c r="EN32" s="21" t="n">
        <v>305.03</v>
      </c>
      <c r="EO32" s="21" t="n">
        <v>149.444</v>
      </c>
      <c r="EP32" s="21" t="n">
        <v>242.119</v>
      </c>
      <c r="EQ32" s="21" t="n">
        <v>203.569</v>
      </c>
      <c r="ER32" s="21" t="n">
        <v>236.889</v>
      </c>
      <c r="ES32" s="21" t="n">
        <v>220.152</v>
      </c>
      <c r="ET32" s="21" t="n">
        <v>307.498</v>
      </c>
      <c r="EU32" s="21" t="n">
        <v>209.084</v>
      </c>
      <c r="EV32" s="21" t="n">
        <v>219.696</v>
      </c>
      <c r="EW32" s="21" t="n">
        <v>174.301</v>
      </c>
      <c r="EX32" s="21" t="n">
        <v>229.008</v>
      </c>
      <c r="EY32" s="21" t="n">
        <v>532.833</v>
      </c>
      <c r="EZ32" s="21" t="n">
        <v>448.328</v>
      </c>
      <c r="FA32" s="21" t="n">
        <v>120.526</v>
      </c>
      <c r="FB32" s="21" t="n">
        <v>57.205</v>
      </c>
      <c r="FC32" s="21" t="n">
        <v>108.588</v>
      </c>
      <c r="FD32" s="21" t="n">
        <v>65.994</v>
      </c>
      <c r="FE32" s="21" t="n">
        <v>43.786</v>
      </c>
      <c r="FF32" s="21" t="n">
        <v>110.631</v>
      </c>
      <c r="FG32" s="21" t="n">
        <v>126.896</v>
      </c>
      <c r="FH32" s="21" t="n">
        <v>85</v>
      </c>
      <c r="FI32" s="21" t="n">
        <v>68.535</v>
      </c>
      <c r="FJ32" s="21" t="n">
        <v>95.526</v>
      </c>
      <c r="FK32" s="21" t="n">
        <v>74.407</v>
      </c>
      <c r="FL32" s="21" t="n">
        <v>77.95</v>
      </c>
      <c r="FM32" s="21" t="n">
        <v>87.142</v>
      </c>
      <c r="FN32" s="21" t="n">
        <v>65.408</v>
      </c>
      <c r="FO32" s="21" t="n">
        <v>53.937</v>
      </c>
      <c r="FP32" s="21" t="n">
        <v>40.265</v>
      </c>
      <c r="FQ32" s="21" t="n">
        <v>129.341</v>
      </c>
      <c r="FR32" s="21" t="n">
        <v>53.236</v>
      </c>
      <c r="FS32" s="21" t="n">
        <v>86.44499999999999</v>
      </c>
      <c r="FT32" s="21" t="n">
        <v>89.685</v>
      </c>
      <c r="FU32" s="21" t="n">
        <v>98.127</v>
      </c>
      <c r="FV32" s="21" t="n">
        <v>85.69</v>
      </c>
      <c r="FW32" s="21" t="n">
        <v>185.2</v>
      </c>
      <c r="FX32" s="21" t="n">
        <v>117.579</v>
      </c>
      <c r="FY32" s="21" t="n">
        <v>169.064</v>
      </c>
      <c r="FZ32" s="21" t="n">
        <v>117.63</v>
      </c>
      <c r="GA32" s="21" t="n">
        <v>176.587</v>
      </c>
      <c r="GB32" s="21" t="n">
        <v>162.126</v>
      </c>
      <c r="GC32" s="21" t="n">
        <v>179.324</v>
      </c>
      <c r="GD32" s="21" t="n">
        <v>154.566</v>
      </c>
      <c r="GE32" s="21" t="n">
        <v>241.755</v>
      </c>
      <c r="GF32" s="21" t="n">
        <v>122.485</v>
      </c>
      <c r="GG32" s="21" t="n">
        <v>114.252</v>
      </c>
      <c r="GH32" s="21" t="n">
        <v>118.902</v>
      </c>
      <c r="GI32" s="21" t="n">
        <v>103.301</v>
      </c>
      <c r="GJ32" s="21" t="n">
        <v>150.691</v>
      </c>
      <c r="GK32" s="21" t="n">
        <v>75.938</v>
      </c>
      <c r="GL32" s="21" t="n">
        <v>120.735</v>
      </c>
      <c r="GM32" s="21" t="n">
        <v>96.473</v>
      </c>
      <c r="GN32" s="21" t="n">
        <v>107.046</v>
      </c>
      <c r="GO32" s="21" t="n">
        <v>110.363</v>
      </c>
      <c r="GP32" s="21" t="n">
        <v>103.115</v>
      </c>
      <c r="GQ32" s="21" t="n">
        <v>115.164</v>
      </c>
      <c r="GR32" s="21" t="n">
        <v>76.953</v>
      </c>
      <c r="GS32" s="21" t="n">
        <v>106.198</v>
      </c>
      <c r="GT32" s="21" t="n">
        <v>91.489</v>
      </c>
      <c r="GU32" s="21" t="n">
        <v>135.168</v>
      </c>
      <c r="GV32" s="21" t="n">
        <v>137.338</v>
      </c>
      <c r="GW32" s="21" t="n">
        <v>150.037</v>
      </c>
      <c r="GX32" s="21" t="n">
        <v>126.077</v>
      </c>
      <c r="GY32" s="21" t="n">
        <v>110.836</v>
      </c>
      <c r="GZ32" s="21" t="n">
        <v>174.586</v>
      </c>
      <c r="HA32" s="21" t="n">
        <v>137.517</v>
      </c>
      <c r="HB32" s="21" t="n">
        <v>178.722</v>
      </c>
      <c r="HC32" s="21" t="n">
        <v>199.466</v>
      </c>
      <c r="HD32" s="21" t="n">
        <v>194.419</v>
      </c>
      <c r="HE32" s="21" t="n">
        <v>99.12</v>
      </c>
      <c r="HF32" s="21" t="n">
        <v>146.19</v>
      </c>
      <c r="HG32" s="21" t="n">
        <v>101.297</v>
      </c>
      <c r="HH32" s="21" t="n">
        <v>141.687</v>
      </c>
      <c r="HI32" s="21" t="n">
        <v>155.938</v>
      </c>
      <c r="HJ32" s="21" t="n"/>
      <c r="HK32" s="21" t="n">
        <v>139.519</v>
      </c>
      <c r="HL32" s="21" t="n">
        <v>84.803</v>
      </c>
      <c r="HM32" s="21" t="n">
        <v>149.708</v>
      </c>
      <c r="HN32" s="21" t="n">
        <v>202.051</v>
      </c>
      <c r="HO32" s="21" t="n">
        <v>201.173</v>
      </c>
      <c r="HP32" s="21" t="n">
        <v>196.799</v>
      </c>
      <c r="HQ32" s="21" t="n">
        <v>217.981</v>
      </c>
      <c r="HR32" s="21" t="n">
        <v>214.804</v>
      </c>
      <c r="HS32" s="21" t="n">
        <v>179.902</v>
      </c>
      <c r="HT32" s="21" t="n">
        <v>143.592</v>
      </c>
      <c r="HU32" s="21" t="n">
        <v>124.148</v>
      </c>
      <c r="HV32" s="21" t="n">
        <v>169.008</v>
      </c>
      <c r="HW32" s="21" t="n">
        <v>159.526</v>
      </c>
      <c r="HX32" s="21" t="n">
        <v>379.813</v>
      </c>
      <c r="HY32" s="21" t="n">
        <v>279.605</v>
      </c>
      <c r="HZ32" s="21" t="n">
        <v>293.64</v>
      </c>
      <c r="IA32" s="21" t="n">
        <v>251.237</v>
      </c>
      <c r="IB32" s="21" t="n">
        <v>173.122</v>
      </c>
      <c r="IC32" s="21" t="n">
        <v>526.394</v>
      </c>
      <c r="ID32" s="21" t="n">
        <v>185.801</v>
      </c>
      <c r="IE32" s="21" t="n">
        <v>176.19</v>
      </c>
      <c r="IF32" s="21" t="n">
        <v>201.594</v>
      </c>
      <c r="IG32" s="21" t="n">
        <v>228.968</v>
      </c>
      <c r="IH32" s="21" t="n"/>
      <c r="II32" s="21" t="n">
        <v>263.345</v>
      </c>
      <c r="IJ32" s="21" t="n">
        <v>276.308</v>
      </c>
      <c r="IK32" s="21" t="n">
        <v>161.315</v>
      </c>
      <c r="IL32" s="21" t="n">
        <v>136.901</v>
      </c>
      <c r="IM32" s="21" t="n">
        <v>116.422</v>
      </c>
      <c r="IN32" s="21" t="n">
        <v>65.90900000000001</v>
      </c>
      <c r="IO32" s="21" t="n">
        <v>311.947</v>
      </c>
      <c r="IP32" s="21" t="n">
        <v>123.02</v>
      </c>
      <c r="IQ32" s="21" t="n">
        <v>476.126</v>
      </c>
      <c r="IR32" s="21" t="n">
        <v>380.302</v>
      </c>
      <c r="IS32" s="21" t="n">
        <v>124.57</v>
      </c>
      <c r="IT32" s="21" t="n">
        <v>524.056</v>
      </c>
      <c r="IU32" s="21" t="n">
        <v>98.539</v>
      </c>
      <c r="IV32" s="21" t="n">
        <v>99.057</v>
      </c>
      <c r="IW32" s="21" t="n">
        <v>506.681</v>
      </c>
      <c r="IX32" s="21" t="n">
        <v>373.621</v>
      </c>
      <c r="IY32" s="21" t="n">
        <v>377.989</v>
      </c>
      <c r="IZ32" s="21" t="n">
        <v>473.354</v>
      </c>
      <c r="JA32" s="21" t="n">
        <v>184.871</v>
      </c>
      <c r="JB32" s="21" t="n">
        <v>236.129</v>
      </c>
      <c r="JC32" s="21" t="n">
        <v>75.881</v>
      </c>
      <c r="JD32" s="21" t="n">
        <v>319.387</v>
      </c>
      <c r="JE32" s="21" t="n">
        <v>313.288</v>
      </c>
      <c r="JF32" s="21" t="n">
        <v>710.216</v>
      </c>
      <c r="JG32" s="21" t="n">
        <v>221.222</v>
      </c>
      <c r="JH32" s="21" t="n">
        <v>119.39</v>
      </c>
      <c r="JI32" s="21" t="n">
        <v>134.149</v>
      </c>
      <c r="JJ32" s="21" t="n">
        <v>118.863</v>
      </c>
      <c r="JK32" s="21" t="n">
        <v>104.803</v>
      </c>
      <c r="JL32" s="21" t="n">
        <v>235.554</v>
      </c>
      <c r="JM32" s="21" t="n">
        <v>465.374</v>
      </c>
      <c r="JN32" s="21" t="n">
        <v>125.941</v>
      </c>
      <c r="JO32" s="21" t="n">
        <v>69.617</v>
      </c>
      <c r="JP32" s="21" t="n">
        <v>36.602</v>
      </c>
      <c r="JQ32" s="21" t="n">
        <v>125.79</v>
      </c>
      <c r="JR32" s="21" t="n">
        <v>31.014</v>
      </c>
      <c r="JS32" s="21" t="n">
        <v>90.425</v>
      </c>
      <c r="JT32" s="21" t="n">
        <v>170.602</v>
      </c>
      <c r="JU32" s="21" t="n">
        <v>197.468</v>
      </c>
      <c r="JV32" s="21" t="n">
        <v>150.343</v>
      </c>
      <c r="JW32" s="21" t="n">
        <v>114.034</v>
      </c>
      <c r="JX32" s="21" t="n">
        <v>238.932</v>
      </c>
      <c r="JY32" s="21" t="n">
        <v>185.921</v>
      </c>
      <c r="JZ32" s="21" t="n">
        <v>250.803</v>
      </c>
      <c r="KA32" s="21" t="n">
        <v>111.115</v>
      </c>
      <c r="KB32" s="21" t="n">
        <v>145.661</v>
      </c>
      <c r="KC32" s="21" t="n">
        <v>81.605</v>
      </c>
      <c r="KD32" s="21" t="n">
        <v>75.923</v>
      </c>
      <c r="KE32" s="21" t="n">
        <v>55.634</v>
      </c>
      <c r="KF32" s="21" t="n"/>
      <c r="KG32" s="21" t="n">
        <v>22.917</v>
      </c>
      <c r="KH32" s="21" t="n">
        <v>123.973</v>
      </c>
      <c r="KI32" s="21" t="n">
        <v>127.814</v>
      </c>
      <c r="KJ32" s="21" t="n">
        <v>120.589</v>
      </c>
      <c r="KK32" s="21" t="n">
        <v>40.073</v>
      </c>
      <c r="KL32" s="21" t="n">
        <v>36.689</v>
      </c>
      <c r="KM32" s="21" t="n">
        <v>44.898</v>
      </c>
      <c r="KN32" s="21" t="n"/>
      <c r="KO32" s="21" t="n">
        <v>92.69499999999999</v>
      </c>
      <c r="KP32" s="21" t="n">
        <v>102.224</v>
      </c>
      <c r="KQ32" s="21" t="n">
        <v>164.813</v>
      </c>
      <c r="KR32" s="21" t="n">
        <v>135.363</v>
      </c>
      <c r="KS32" s="21" t="n">
        <v>378.366</v>
      </c>
      <c r="KT32" s="21" t="n">
        <v>179.374</v>
      </c>
      <c r="KU32" s="21" t="n">
        <v>218.43</v>
      </c>
      <c r="KV32" s="21" t="n">
        <v>304.327</v>
      </c>
      <c r="KW32" s="21" t="n">
        <v>241.084</v>
      </c>
      <c r="KX32" s="21" t="n">
        <v>172.147</v>
      </c>
      <c r="KY32" s="21" t="n">
        <v>94.444</v>
      </c>
      <c r="KZ32" s="21" t="n">
        <v>135.388</v>
      </c>
      <c r="LA32" s="21" t="n">
        <v>252.115</v>
      </c>
      <c r="LB32" s="21" t="n">
        <v>691.689</v>
      </c>
      <c r="LC32" s="21" t="n">
        <v>241.765</v>
      </c>
      <c r="LD32" s="21" t="n">
        <v>721.224</v>
      </c>
      <c r="LE32" s="21" t="n">
        <v>818.581</v>
      </c>
      <c r="LF32" s="21" t="n">
        <v>76.312</v>
      </c>
      <c r="LG32" s="21" t="n">
        <v>289.484</v>
      </c>
      <c r="LH32" s="21" t="n">
        <v>244.311</v>
      </c>
      <c r="LI32" s="21" t="n">
        <v>74.131</v>
      </c>
      <c r="LJ32" s="21" t="n">
        <v>180.612</v>
      </c>
      <c r="LK32" s="21" t="n">
        <v>284.32</v>
      </c>
      <c r="LL32" s="21" t="n">
        <v>287.816</v>
      </c>
      <c r="LM32" s="21" t="n">
        <v>70.28100000000001</v>
      </c>
      <c r="LN32" s="21" t="n">
        <v>90.116</v>
      </c>
      <c r="LO32" s="21" t="n">
        <v>47.58</v>
      </c>
      <c r="LP32" s="21" t="n">
        <v>116.037</v>
      </c>
      <c r="LQ32" s="21" t="n"/>
      <c r="LR32" s="21" t="n"/>
      <c r="LS32" s="21" t="n">
        <v>113.243</v>
      </c>
      <c r="LT32" s="21" t="n">
        <v>42.973</v>
      </c>
      <c r="LU32" s="21" t="n">
        <v>33.805</v>
      </c>
      <c r="LV32" s="21" t="n">
        <v>75.92</v>
      </c>
      <c r="LW32" s="21" t="n">
        <v>266.136</v>
      </c>
      <c r="LX32" s="21" t="n"/>
      <c r="LY32" s="21" t="n">
        <v>434.033</v>
      </c>
      <c r="LZ32" s="21" t="n">
        <v>64.99299999999999</v>
      </c>
      <c r="MA32" s="21" t="n">
        <v>421.811</v>
      </c>
      <c r="MB32" s="21" t="n">
        <v>261.061</v>
      </c>
      <c r="MC32" s="21" t="n">
        <v>227.509</v>
      </c>
      <c r="MD32" s="21" t="n">
        <v>161.577</v>
      </c>
      <c r="ME32" s="21" t="n">
        <v>102.388</v>
      </c>
      <c r="MF32" s="21" t="n">
        <v>186.624</v>
      </c>
      <c r="MG32" s="21" t="n">
        <v>257.544</v>
      </c>
      <c r="MH32" s="21" t="n">
        <v>157.144</v>
      </c>
      <c r="MI32" s="21" t="n">
        <v>425.931</v>
      </c>
      <c r="MJ32" s="21" t="n">
        <v>348.267</v>
      </c>
      <c r="MK32" s="21" t="n">
        <v>325.796</v>
      </c>
      <c r="ML32" s="21" t="n">
        <v>165.68</v>
      </c>
      <c r="MM32" s="21" t="n">
        <v>187.929</v>
      </c>
      <c r="MN32" s="21" t="n">
        <v>343.711</v>
      </c>
      <c r="MO32" s="21" t="n">
        <v>156.539</v>
      </c>
      <c r="MP32" s="21" t="n">
        <v>239.235</v>
      </c>
      <c r="MQ32" s="21" t="n">
        <v>77.977</v>
      </c>
      <c r="MR32" s="21" t="n">
        <v>148.311</v>
      </c>
      <c r="MS32" s="21" t="n">
        <v>77.503</v>
      </c>
      <c r="MT32" s="21" t="n">
        <v>233.688</v>
      </c>
      <c r="MU32" s="21" t="n">
        <v>250.981</v>
      </c>
      <c r="MV32" s="21" t="n">
        <v>243.937</v>
      </c>
      <c r="MW32" s="21" t="n">
        <v>251.936</v>
      </c>
      <c r="MX32" s="21" t="n">
        <v>226.729</v>
      </c>
      <c r="MY32" s="21" t="n">
        <v>220.586</v>
      </c>
      <c r="MZ32" s="21" t="n">
        <v>226.339</v>
      </c>
      <c r="NA32" s="21" t="n">
        <v>231.632</v>
      </c>
      <c r="NB32" s="21" t="n">
        <v>115.08</v>
      </c>
      <c r="NC32" s="21" t="n">
        <v>180.043</v>
      </c>
      <c r="ND32" s="21" t="n">
        <v>148.853</v>
      </c>
      <c r="NE32" s="21" t="n">
        <v>145.566</v>
      </c>
      <c r="NF32" s="21" t="n">
        <v>143.915</v>
      </c>
      <c r="NG32" s="21" t="n">
        <v>145.076</v>
      </c>
      <c r="NH32" s="21" t="n">
        <v>247.134</v>
      </c>
      <c r="NI32" s="21" t="n">
        <v>105.298</v>
      </c>
      <c r="NJ32" s="21" t="n">
        <v>78.363</v>
      </c>
      <c r="NK32" s="21" t="n">
        <v>107.964</v>
      </c>
      <c r="NL32" s="21" t="n">
        <v>202.554</v>
      </c>
      <c r="NM32" s="21" t="n">
        <v>205.222</v>
      </c>
      <c r="NN32" s="21" t="n">
        <v>90.003</v>
      </c>
      <c r="NO32" s="21" t="n">
        <v>57.855</v>
      </c>
      <c r="NP32" s="21" t="n">
        <v>217.668</v>
      </c>
      <c r="NQ32" s="21" t="n">
        <v>190.19</v>
      </c>
      <c r="NR32" s="21" t="n">
        <v>231.138</v>
      </c>
      <c r="NS32" s="21" t="n">
        <v>186.81</v>
      </c>
      <c r="NT32" s="21" t="n">
        <v>231.039</v>
      </c>
      <c r="NU32" s="21" t="n">
        <v>111.461</v>
      </c>
      <c r="NV32" s="21" t="n">
        <v>118.566</v>
      </c>
      <c r="NW32" s="21" t="n">
        <v>346.663</v>
      </c>
      <c r="NX32" s="21" t="n">
        <v>83.003</v>
      </c>
      <c r="NY32" s="21" t="n">
        <v>119.647</v>
      </c>
      <c r="NZ32" s="21" t="n">
        <v>310.444</v>
      </c>
      <c r="OA32" s="21" t="n">
        <v>308.584</v>
      </c>
      <c r="OB32" s="21" t="n">
        <v>318.674</v>
      </c>
      <c r="OC32" s="21" t="n">
        <v>293.556</v>
      </c>
      <c r="OD32" s="21" t="n">
        <v>330.288</v>
      </c>
      <c r="OE32" s="21" t="n">
        <v>104.285</v>
      </c>
      <c r="OF32" s="21" t="n">
        <v>310.567</v>
      </c>
      <c r="OG32" s="21" t="n">
        <v>218.308</v>
      </c>
      <c r="OH32" s="21" t="n">
        <v>50.234</v>
      </c>
      <c r="OI32" s="21" t="n">
        <v>123.664</v>
      </c>
      <c r="OJ32" s="21" t="n">
        <v>40.9</v>
      </c>
      <c r="OK32" s="21" t="n">
        <v>13.6</v>
      </c>
    </row>
    <row r="33">
      <c r="A33" s="22" t="n">
        <v>42948</v>
      </c>
      <c r="B33" s="21" t="n">
        <v>245.519</v>
      </c>
      <c r="C33" s="21" t="n">
        <v>735.466</v>
      </c>
      <c r="D33" s="21" t="n">
        <v>250.212</v>
      </c>
      <c r="E33" s="21" t="n">
        <v>250.493</v>
      </c>
      <c r="F33" s="21" t="n">
        <v>238.843</v>
      </c>
      <c r="G33" s="21" t="n">
        <v>272.544</v>
      </c>
      <c r="H33" s="21" t="n">
        <v>228.343</v>
      </c>
      <c r="I33" s="21" t="n">
        <v>239.306</v>
      </c>
      <c r="J33" s="21" t="n">
        <v>223.789</v>
      </c>
      <c r="K33" s="21" t="n">
        <v>236.573</v>
      </c>
      <c r="L33" s="21" t="n">
        <v>161.49</v>
      </c>
      <c r="M33" s="21" t="n">
        <v>297.819</v>
      </c>
      <c r="N33" s="21" t="n">
        <v>179.221</v>
      </c>
      <c r="O33" s="21" t="n">
        <v>325.016</v>
      </c>
      <c r="P33" s="21" t="n">
        <v>346.502</v>
      </c>
      <c r="Q33" s="21" t="n">
        <v>173.849</v>
      </c>
      <c r="R33" s="21" t="n">
        <v>282.774</v>
      </c>
      <c r="S33" s="21" t="n">
        <v>301.397</v>
      </c>
      <c r="T33" s="21" t="n">
        <v>268.792</v>
      </c>
      <c r="U33" s="21" t="n">
        <v>267.597</v>
      </c>
      <c r="V33" s="21" t="n">
        <v>295.854</v>
      </c>
      <c r="W33" s="21" t="n">
        <v>307.319</v>
      </c>
      <c r="X33" s="21" t="n">
        <v>271.147</v>
      </c>
      <c r="Y33" s="21" t="n">
        <v>247.985</v>
      </c>
      <c r="Z33" s="21" t="n">
        <v>252.043</v>
      </c>
      <c r="AA33" s="21" t="n">
        <v>255.29</v>
      </c>
      <c r="AB33" s="21" t="n">
        <v>304.918</v>
      </c>
      <c r="AC33" s="21" t="n">
        <v>273.406</v>
      </c>
      <c r="AD33" s="21" t="n">
        <v>224.824</v>
      </c>
      <c r="AE33" s="21" t="n">
        <v>204.631</v>
      </c>
      <c r="AF33" s="21" t="n">
        <v>239.288</v>
      </c>
      <c r="AG33" s="21" t="n">
        <v>216.559</v>
      </c>
      <c r="AH33" s="21" t="n">
        <v>165.612</v>
      </c>
      <c r="AI33" s="21" t="n">
        <v>319.141</v>
      </c>
      <c r="AJ33" s="21" t="n">
        <v>143.545</v>
      </c>
      <c r="AK33" s="21" t="n">
        <v>209.868</v>
      </c>
      <c r="AL33" s="21" t="n">
        <v>234.419</v>
      </c>
      <c r="AM33" s="21" t="n">
        <v>186.454</v>
      </c>
      <c r="AN33" s="21" t="n">
        <v>127.257</v>
      </c>
      <c r="AO33" s="21" t="n">
        <v>222.844</v>
      </c>
      <c r="AP33" s="21" t="n">
        <v>222.297</v>
      </c>
      <c r="AQ33" s="21" t="n">
        <v>145.14</v>
      </c>
      <c r="AR33" s="21" t="n">
        <v>323.055</v>
      </c>
      <c r="AS33" s="21" t="n"/>
      <c r="AT33" s="21" t="n">
        <v>232.404</v>
      </c>
      <c r="AU33" s="21" t="n">
        <v>149.715</v>
      </c>
      <c r="AV33" s="21" t="n">
        <v>245.134</v>
      </c>
      <c r="AW33" s="21" t="n">
        <v>222.9</v>
      </c>
      <c r="AX33" s="21" t="n">
        <v>150.718</v>
      </c>
      <c r="AY33" s="21" t="n">
        <v>288.424</v>
      </c>
      <c r="AZ33" s="21" t="n">
        <v>178.038</v>
      </c>
      <c r="BA33" s="21" t="n">
        <v>144.945</v>
      </c>
      <c r="BB33" s="21" t="n">
        <v>201.304</v>
      </c>
      <c r="BC33" s="21" t="n">
        <v>305.243</v>
      </c>
      <c r="BD33" s="21" t="n">
        <v>194.898</v>
      </c>
      <c r="BE33" s="21" t="n">
        <v>216.537</v>
      </c>
      <c r="BF33" s="21" t="n">
        <v>138.336</v>
      </c>
      <c r="BG33" s="21" t="n">
        <v>197.898</v>
      </c>
      <c r="BH33" s="21" t="n">
        <v>142.13</v>
      </c>
      <c r="BI33" s="21" t="n">
        <v>229.206</v>
      </c>
      <c r="BJ33" s="21" t="n">
        <v>216.519</v>
      </c>
      <c r="BK33" s="21" t="n">
        <v>146.965</v>
      </c>
      <c r="BL33" s="21" t="n">
        <v>295.009</v>
      </c>
      <c r="BM33" s="21" t="n">
        <v>340.816</v>
      </c>
      <c r="BN33" s="21" t="n">
        <v>359.055</v>
      </c>
      <c r="BO33" s="21" t="n">
        <v>371.283</v>
      </c>
      <c r="BP33" s="21" t="n">
        <v>195.153</v>
      </c>
      <c r="BQ33" s="21" t="n">
        <v>265.994</v>
      </c>
      <c r="BR33" s="21" t="n">
        <v>559.97</v>
      </c>
      <c r="BS33" s="21" t="n">
        <v>110.131</v>
      </c>
      <c r="BT33" s="21" t="n">
        <v>320.435</v>
      </c>
      <c r="BU33" s="21" t="n">
        <v>352.146</v>
      </c>
      <c r="BV33" s="21" t="n">
        <v>289.485</v>
      </c>
      <c r="BW33" s="21" t="n">
        <v>319.472</v>
      </c>
      <c r="BX33" s="21" t="n">
        <v>323.841</v>
      </c>
      <c r="BY33" s="21" t="n">
        <v>156.312</v>
      </c>
      <c r="BZ33" s="21" t="n">
        <v>159.613</v>
      </c>
      <c r="CA33" s="21" t="n">
        <v>157.382</v>
      </c>
      <c r="CB33" s="21" t="n">
        <v>166.479</v>
      </c>
      <c r="CC33" s="21" t="n">
        <v>150.392</v>
      </c>
      <c r="CD33" s="21" t="n">
        <v>205.277</v>
      </c>
      <c r="CE33" s="21" t="n">
        <v>155.73</v>
      </c>
      <c r="CF33" s="21" t="n">
        <v>194.599</v>
      </c>
      <c r="CG33" s="21" t="n">
        <v>166.822</v>
      </c>
      <c r="CH33" s="21" t="n">
        <v>128.694</v>
      </c>
      <c r="CI33" s="21" t="n">
        <v>161.128</v>
      </c>
      <c r="CJ33" s="21" t="n">
        <v>186.05</v>
      </c>
      <c r="CK33" s="21" t="n">
        <v>117.344</v>
      </c>
      <c r="CL33" s="21" t="n">
        <v>117.156</v>
      </c>
      <c r="CM33" s="21" t="n">
        <v>197.426</v>
      </c>
      <c r="CN33" s="21" t="n">
        <v>205.573</v>
      </c>
      <c r="CO33" s="21" t="n">
        <v>197.549</v>
      </c>
      <c r="CP33" s="21" t="n">
        <v>127.118</v>
      </c>
      <c r="CQ33" s="21" t="n">
        <v>209.905</v>
      </c>
      <c r="CR33" s="21" t="n">
        <v>216.24</v>
      </c>
      <c r="CS33" s="21" t="n">
        <v>190.595</v>
      </c>
      <c r="CT33" s="21" t="n">
        <v>144.943</v>
      </c>
      <c r="CU33" s="21" t="n">
        <v>155.424</v>
      </c>
      <c r="CV33" s="21" t="n">
        <v>228.973</v>
      </c>
      <c r="CW33" s="21" t="n">
        <v>210.098</v>
      </c>
      <c r="CX33" s="21" t="n">
        <v>249.213</v>
      </c>
      <c r="CY33" s="21" t="n">
        <v>304.532</v>
      </c>
      <c r="CZ33" s="21" t="n">
        <v>129.031</v>
      </c>
      <c r="DA33" s="21" t="n">
        <v>157.674</v>
      </c>
      <c r="DB33" s="21" t="n">
        <v>151.861</v>
      </c>
      <c r="DC33" s="21" t="n">
        <v>223.981</v>
      </c>
      <c r="DD33" s="21" t="n">
        <v>248.632</v>
      </c>
      <c r="DE33" s="21" t="n">
        <v>167.012</v>
      </c>
      <c r="DF33" s="21" t="n">
        <v>252.565</v>
      </c>
      <c r="DG33" s="21" t="n">
        <v>240.519</v>
      </c>
      <c r="DH33" s="21" t="n">
        <v>153.582</v>
      </c>
      <c r="DI33" s="21" t="n">
        <v>135.346</v>
      </c>
      <c r="DJ33" s="21" t="n">
        <v>137.484</v>
      </c>
      <c r="DK33" s="21" t="n">
        <v>281.88</v>
      </c>
      <c r="DL33" s="21" t="n">
        <v>158.564</v>
      </c>
      <c r="DM33" s="21" t="n">
        <v>130.625</v>
      </c>
      <c r="DN33" s="21" t="n">
        <v>125.418</v>
      </c>
      <c r="DO33" s="21" t="n">
        <v>269.522</v>
      </c>
      <c r="DP33" s="21" t="n">
        <v>167.448</v>
      </c>
      <c r="DQ33" s="21" t="n">
        <v>172.321</v>
      </c>
      <c r="DR33" s="21" t="n">
        <v>172.774</v>
      </c>
      <c r="DS33" s="21" t="n">
        <v>143.069</v>
      </c>
      <c r="DT33" s="21" t="n">
        <v>154.971</v>
      </c>
      <c r="DU33" s="21" t="n">
        <v>185.074</v>
      </c>
      <c r="DV33" s="21" t="n">
        <v>245.042</v>
      </c>
      <c r="DW33" s="21" t="n">
        <v>199.382</v>
      </c>
      <c r="DX33" s="21" t="n">
        <v>221.502</v>
      </c>
      <c r="DY33" s="21" t="n">
        <v>192.246</v>
      </c>
      <c r="DZ33" s="21" t="n">
        <v>206.512</v>
      </c>
      <c r="EA33" s="21" t="n">
        <v>187.181</v>
      </c>
      <c r="EB33" s="21" t="n">
        <v>167.32</v>
      </c>
      <c r="EC33" s="21" t="n">
        <v>344.593</v>
      </c>
      <c r="ED33" s="21" t="n">
        <v>170.773</v>
      </c>
      <c r="EE33" s="21" t="n">
        <v>183.532</v>
      </c>
      <c r="EF33" s="21" t="n">
        <v>186.491</v>
      </c>
      <c r="EG33" s="21" t="n">
        <v>252.615</v>
      </c>
      <c r="EH33" s="21" t="n">
        <v>299.157</v>
      </c>
      <c r="EI33" s="21" t="n">
        <v>309.479</v>
      </c>
      <c r="EJ33" s="21" t="n">
        <v>164.45</v>
      </c>
      <c r="EK33" s="21" t="n">
        <v>538.3680000000001</v>
      </c>
      <c r="EL33" s="21" t="n">
        <v>338.992</v>
      </c>
      <c r="EM33" s="21" t="n">
        <v>306.201</v>
      </c>
      <c r="EN33" s="21" t="n">
        <v>306.198</v>
      </c>
      <c r="EO33" s="21" t="n">
        <v>149.386</v>
      </c>
      <c r="EP33" s="21" t="n">
        <v>241.936</v>
      </c>
      <c r="EQ33" s="21" t="n">
        <v>203.169</v>
      </c>
      <c r="ER33" s="21" t="n">
        <v>241.67</v>
      </c>
      <c r="ES33" s="21" t="n">
        <v>226.59</v>
      </c>
      <c r="ET33" s="21" t="n">
        <v>310.619</v>
      </c>
      <c r="EU33" s="21" t="n">
        <v>208.454</v>
      </c>
      <c r="EV33" s="21" t="n">
        <v>219.078</v>
      </c>
      <c r="EW33" s="21" t="n">
        <v>173.646</v>
      </c>
      <c r="EX33" s="21" t="n">
        <v>229.772</v>
      </c>
      <c r="EY33" s="21" t="n">
        <v>535.029</v>
      </c>
      <c r="EZ33" s="21" t="n">
        <v>448.717</v>
      </c>
      <c r="FA33" s="21" t="n">
        <v>120.236</v>
      </c>
      <c r="FB33" s="21" t="n">
        <v>56.91</v>
      </c>
      <c r="FC33" s="21" t="n">
        <v>108.686</v>
      </c>
      <c r="FD33" s="21" t="n">
        <v>65.34</v>
      </c>
      <c r="FE33" s="21" t="n">
        <v>43.526</v>
      </c>
      <c r="FF33" s="21" t="n">
        <v>111.008</v>
      </c>
      <c r="FG33" s="21" t="n">
        <v>130.199</v>
      </c>
      <c r="FH33" s="21" t="n">
        <v>84.161</v>
      </c>
      <c r="FI33" s="21" t="n">
        <v>68.11499999999999</v>
      </c>
      <c r="FJ33" s="21" t="n">
        <v>95.76900000000001</v>
      </c>
      <c r="FK33" s="21" t="n">
        <v>74.904</v>
      </c>
      <c r="FL33" s="21" t="n">
        <v>78.361</v>
      </c>
      <c r="FM33" s="21" t="n">
        <v>87.476</v>
      </c>
      <c r="FN33" s="21" t="n">
        <v>65.89400000000001</v>
      </c>
      <c r="FO33" s="21" t="n">
        <v>53.063</v>
      </c>
      <c r="FP33" s="21" t="n">
        <v>39.021</v>
      </c>
      <c r="FQ33" s="21" t="n">
        <v>128.244</v>
      </c>
      <c r="FR33" s="21" t="n">
        <v>53.445</v>
      </c>
      <c r="FS33" s="21" t="n">
        <v>86.753</v>
      </c>
      <c r="FT33" s="21" t="n">
        <v>89.05</v>
      </c>
      <c r="FU33" s="21" t="n">
        <v>97.919</v>
      </c>
      <c r="FV33" s="21" t="n">
        <v>84.819</v>
      </c>
      <c r="FW33" s="21" t="n">
        <v>184.663</v>
      </c>
      <c r="FX33" s="21" t="n">
        <v>117.121</v>
      </c>
      <c r="FY33" s="21" t="n">
        <v>168.86</v>
      </c>
      <c r="FZ33" s="21" t="n">
        <v>117.263</v>
      </c>
      <c r="GA33" s="21" t="n">
        <v>177.038</v>
      </c>
      <c r="GB33" s="21" t="n"/>
      <c r="GC33" s="21" t="n">
        <v>179.552</v>
      </c>
      <c r="GD33" s="21" t="n">
        <v>157.139</v>
      </c>
      <c r="GE33" s="21" t="n">
        <v>241.062</v>
      </c>
      <c r="GF33" s="21" t="n">
        <v>124.147</v>
      </c>
      <c r="GG33" s="21" t="n">
        <v>115.875</v>
      </c>
      <c r="GH33" s="21" t="n">
        <v>118.882</v>
      </c>
      <c r="GI33" s="21" t="n">
        <v>106.506</v>
      </c>
      <c r="GJ33" s="21" t="n">
        <v>149.489</v>
      </c>
      <c r="GK33" s="21" t="n">
        <v>76.851</v>
      </c>
      <c r="GL33" s="21" t="n">
        <v>117.903</v>
      </c>
      <c r="GM33" s="21" t="n">
        <v>103.611</v>
      </c>
      <c r="GN33" s="21" t="n">
        <v>108.996</v>
      </c>
      <c r="GO33" s="21" t="n">
        <v>112.207</v>
      </c>
      <c r="GP33" s="21" t="n">
        <v>111.401</v>
      </c>
      <c r="GQ33" s="21" t="n">
        <v>118.513</v>
      </c>
      <c r="GR33" s="21" t="n">
        <v>78.124</v>
      </c>
      <c r="GS33" s="21" t="n">
        <v>106.382</v>
      </c>
      <c r="GT33" s="21" t="n">
        <v>93.86799999999999</v>
      </c>
      <c r="GU33" s="21" t="n">
        <v>135.684</v>
      </c>
      <c r="GV33" s="21" t="n">
        <v>138.72</v>
      </c>
      <c r="GW33" s="21" t="n">
        <v>149.968</v>
      </c>
      <c r="GX33" s="21" t="n">
        <v>126.306</v>
      </c>
      <c r="GY33" s="21" t="n">
        <v>112.687</v>
      </c>
      <c r="GZ33" s="21" t="n">
        <v>177.005</v>
      </c>
      <c r="HA33" s="21" t="n">
        <v>139.872</v>
      </c>
      <c r="HB33" s="21" t="n">
        <v>180.853</v>
      </c>
      <c r="HC33" s="21" t="n">
        <v>200.652</v>
      </c>
      <c r="HD33" s="21" t="n">
        <v>196.21</v>
      </c>
      <c r="HE33" s="21" t="n">
        <v>98.77200000000001</v>
      </c>
      <c r="HF33" s="21" t="n">
        <v>145.712</v>
      </c>
      <c r="HG33" s="21" t="n">
        <v>100.97</v>
      </c>
      <c r="HH33" s="21" t="n">
        <v>141.066</v>
      </c>
      <c r="HI33" s="21" t="n">
        <v>155.613</v>
      </c>
      <c r="HJ33" s="21" t="n"/>
      <c r="HK33" s="21" t="n">
        <v>139.35</v>
      </c>
      <c r="HL33" s="21" t="n">
        <v>84.336</v>
      </c>
      <c r="HM33" s="21" t="n">
        <v>143.977</v>
      </c>
      <c r="HN33" s="21" t="n">
        <v>209.881</v>
      </c>
      <c r="HO33" s="21" t="n">
        <v>209</v>
      </c>
      <c r="HP33" s="21" t="n">
        <v>204.743</v>
      </c>
      <c r="HQ33" s="21" t="n">
        <v>225.95</v>
      </c>
      <c r="HR33" s="21" t="n">
        <v>220.999</v>
      </c>
      <c r="HS33" s="21" t="n">
        <v>185.016</v>
      </c>
      <c r="HT33" s="21" t="n">
        <v>143.368</v>
      </c>
      <c r="HU33" s="21" t="n">
        <v>124.169</v>
      </c>
      <c r="HV33" s="21" t="n">
        <v>168.317</v>
      </c>
      <c r="HW33" s="21" t="n">
        <v>158.782</v>
      </c>
      <c r="HX33" s="21" t="n">
        <v>377.363</v>
      </c>
      <c r="HY33" s="21" t="n">
        <v>280.488</v>
      </c>
      <c r="HZ33" s="21" t="n">
        <v>294.255</v>
      </c>
      <c r="IA33" s="21" t="n">
        <v>252.316</v>
      </c>
      <c r="IB33" s="21" t="n">
        <v>173.357</v>
      </c>
      <c r="IC33" s="21" t="n">
        <v>530.908</v>
      </c>
      <c r="ID33" s="21" t="n">
        <v>186.125</v>
      </c>
      <c r="IE33" s="21" t="n">
        <v>176.195</v>
      </c>
      <c r="IF33" s="21" t="n">
        <v>202.361</v>
      </c>
      <c r="IG33" s="21" t="n">
        <v>229.486</v>
      </c>
      <c r="IH33" s="21" t="n"/>
      <c r="II33" s="21" t="n">
        <v>253.737</v>
      </c>
      <c r="IJ33" s="21" t="n">
        <v>259.359</v>
      </c>
      <c r="IK33" s="21" t="n">
        <v>160.155</v>
      </c>
      <c r="IL33" s="21" t="n">
        <v>132.372</v>
      </c>
      <c r="IM33" s="21" t="n">
        <v>115.779</v>
      </c>
      <c r="IN33" s="21" t="n">
        <v>65.822</v>
      </c>
      <c r="IO33" s="21" t="n">
        <v>312.633</v>
      </c>
      <c r="IP33" s="21" t="n">
        <v>123.602</v>
      </c>
      <c r="IQ33" s="21" t="n">
        <v>476.869</v>
      </c>
      <c r="IR33" s="21" t="n">
        <v>381.114</v>
      </c>
      <c r="IS33" s="21" t="n">
        <v>124.838</v>
      </c>
      <c r="IT33" s="21" t="n">
        <v>526.105</v>
      </c>
      <c r="IU33" s="21" t="n">
        <v>98.057</v>
      </c>
      <c r="IV33" s="21" t="n">
        <v>99.211</v>
      </c>
      <c r="IW33" s="21" t="n">
        <v>507.39</v>
      </c>
      <c r="IX33" s="21" t="n">
        <v>374.744</v>
      </c>
      <c r="IY33" s="21" t="n">
        <v>378.99</v>
      </c>
      <c r="IZ33" s="21" t="n">
        <v>473.689</v>
      </c>
      <c r="JA33" s="21" t="n">
        <v>187.432</v>
      </c>
      <c r="JB33" s="21" t="n">
        <v>236.129</v>
      </c>
      <c r="JC33" s="21" t="n">
        <v>75.871</v>
      </c>
      <c r="JD33" s="21" t="n">
        <v>319.394</v>
      </c>
      <c r="JE33" s="21" t="n">
        <v>313.652</v>
      </c>
      <c r="JF33" s="21" t="n">
        <v>709.3680000000001</v>
      </c>
      <c r="JG33" s="21" t="n">
        <v>220.832</v>
      </c>
      <c r="JH33" s="21" t="n">
        <v>119.295</v>
      </c>
      <c r="JI33" s="21" t="n">
        <v>134.2</v>
      </c>
      <c r="JJ33" s="21" t="n">
        <v>118.875</v>
      </c>
      <c r="JK33" s="21" t="n">
        <v>104.861</v>
      </c>
      <c r="JL33" s="21" t="n">
        <v>231.651</v>
      </c>
      <c r="JM33" s="21" t="n">
        <v>465.966</v>
      </c>
      <c r="JN33" s="21" t="n">
        <v>122.751</v>
      </c>
      <c r="JO33" s="21" t="n">
        <v>70.955</v>
      </c>
      <c r="JP33" s="21" t="n">
        <v>37.516</v>
      </c>
      <c r="JQ33" s="21" t="n">
        <v>126.879</v>
      </c>
      <c r="JR33" s="21" t="n">
        <v>30.783</v>
      </c>
      <c r="JS33" s="21" t="n">
        <v>89.78700000000001</v>
      </c>
      <c r="JT33" s="21" t="n">
        <v>170.757</v>
      </c>
      <c r="JU33" s="21" t="n">
        <v>197.378</v>
      </c>
      <c r="JV33" s="21" t="n">
        <v>151.374</v>
      </c>
      <c r="JW33" s="21" t="n">
        <v>113.086</v>
      </c>
      <c r="JX33" s="21" t="n">
        <v>239.654</v>
      </c>
      <c r="JY33" s="21" t="n">
        <v>187.196</v>
      </c>
      <c r="JZ33" s="21" t="n">
        <v>251.481</v>
      </c>
      <c r="KA33" s="21" t="n">
        <v>110.166</v>
      </c>
      <c r="KB33" s="21" t="n">
        <v>143.375</v>
      </c>
      <c r="KC33" s="21" t="n">
        <v>81.565</v>
      </c>
      <c r="KD33" s="21" t="n">
        <v>76.312</v>
      </c>
      <c r="KE33" s="21" t="n">
        <v>56.308</v>
      </c>
      <c r="KF33" s="21" t="n"/>
      <c r="KG33" s="21" t="n">
        <v>23.234</v>
      </c>
      <c r="KH33" s="21" t="n">
        <v>123.87</v>
      </c>
      <c r="KI33" s="21" t="n">
        <v>127.925</v>
      </c>
      <c r="KJ33" s="21" t="n">
        <v>120.722</v>
      </c>
      <c r="KK33" s="21" t="n">
        <v>39.831</v>
      </c>
      <c r="KL33" s="21" t="n">
        <v>36.401</v>
      </c>
      <c r="KM33" s="21" t="n">
        <v>44.603</v>
      </c>
      <c r="KN33" s="21" t="n"/>
      <c r="KO33" s="21" t="n">
        <v>93.88500000000001</v>
      </c>
      <c r="KP33" s="21" t="n">
        <v>101.734</v>
      </c>
      <c r="KQ33" s="21" t="n">
        <v>165.221</v>
      </c>
      <c r="KR33" s="21" t="n">
        <v>136.08</v>
      </c>
      <c r="KS33" s="21" t="n">
        <v>379.077</v>
      </c>
      <c r="KT33" s="21" t="n">
        <v>181.172</v>
      </c>
      <c r="KU33" s="21" t="n">
        <v>216.44</v>
      </c>
      <c r="KV33" s="21" t="n">
        <v>303.153</v>
      </c>
      <c r="KW33" s="21" t="n">
        <v>239.954</v>
      </c>
      <c r="KX33" s="21" t="n">
        <v>170.457</v>
      </c>
      <c r="KY33" s="21" t="n">
        <v>94.71899999999999</v>
      </c>
      <c r="KZ33" s="21" t="n">
        <v>135.702</v>
      </c>
      <c r="LA33" s="21" t="n">
        <v>253.805</v>
      </c>
      <c r="LB33" s="21" t="n">
        <v>690.0410000000001</v>
      </c>
      <c r="LC33" s="21" t="n">
        <v>241.516</v>
      </c>
      <c r="LD33" s="21" t="n">
        <v>726.41</v>
      </c>
      <c r="LE33" s="21" t="n">
        <v>824.932</v>
      </c>
      <c r="LF33" s="21" t="n">
        <v>77.20699999999999</v>
      </c>
      <c r="LG33" s="21" t="n">
        <v>290.566</v>
      </c>
      <c r="LH33" s="21" t="n">
        <v>247.105</v>
      </c>
      <c r="LI33" s="21" t="n">
        <v>74.011</v>
      </c>
      <c r="LJ33" s="21" t="n">
        <v>180.685</v>
      </c>
      <c r="LK33" s="21" t="n">
        <v>284.32</v>
      </c>
      <c r="LL33" s="21" t="n">
        <v>290.087</v>
      </c>
      <c r="LM33" s="21" t="n">
        <v>70.161</v>
      </c>
      <c r="LN33" s="21" t="n">
        <v>90.11199999999999</v>
      </c>
      <c r="LO33" s="21" t="n">
        <v>47.55</v>
      </c>
      <c r="LP33" s="21" t="n">
        <v>116.174</v>
      </c>
      <c r="LQ33" s="21" t="n"/>
      <c r="LR33" s="21" t="n"/>
      <c r="LS33" s="21" t="n">
        <v>112.681</v>
      </c>
      <c r="LT33" s="21" t="n">
        <v>42.451</v>
      </c>
      <c r="LU33" s="21" t="n">
        <v>33.425</v>
      </c>
      <c r="LV33" s="21" t="n">
        <v>75.83499999999999</v>
      </c>
      <c r="LW33" s="21" t="n">
        <v>264.195</v>
      </c>
      <c r="LX33" s="21" t="n"/>
      <c r="LY33" s="21" t="n">
        <v>433.328</v>
      </c>
      <c r="LZ33" s="21" t="n">
        <v>64.923</v>
      </c>
      <c r="MA33" s="21" t="n">
        <v>421.034</v>
      </c>
      <c r="MB33" s="21" t="n">
        <v>263.441</v>
      </c>
      <c r="MC33" s="21" t="n">
        <v>227.105</v>
      </c>
      <c r="MD33" s="21" t="n">
        <v>160.678</v>
      </c>
      <c r="ME33" s="21" t="n">
        <v>101.219</v>
      </c>
      <c r="MF33" s="21" t="n">
        <v>186.852</v>
      </c>
      <c r="MG33" s="21" t="n">
        <v>258.768</v>
      </c>
      <c r="MH33" s="21" t="n">
        <v>157.891</v>
      </c>
      <c r="MI33" s="21" t="n">
        <v>425.575</v>
      </c>
      <c r="MJ33" s="21" t="n">
        <v>346.046</v>
      </c>
      <c r="MK33" s="21" t="n">
        <v>327.137</v>
      </c>
      <c r="ML33" s="21" t="n">
        <v>165.555</v>
      </c>
      <c r="MM33" s="21" t="n">
        <v>186.544</v>
      </c>
      <c r="MN33" s="21" t="n">
        <v>344.346</v>
      </c>
      <c r="MO33" s="21" t="n">
        <v>156.539</v>
      </c>
      <c r="MP33" s="21" t="n">
        <v>239.951</v>
      </c>
      <c r="MQ33" s="21" t="n">
        <v>76.83199999999999</v>
      </c>
      <c r="MR33" s="21" t="n">
        <v>145.313</v>
      </c>
      <c r="MS33" s="21" t="n">
        <v>77.642</v>
      </c>
      <c r="MT33" s="21" t="n">
        <v>234.419</v>
      </c>
      <c r="MU33" s="21" t="n">
        <v>251.467</v>
      </c>
      <c r="MV33" s="21" t="n">
        <v>244.74</v>
      </c>
      <c r="MW33" s="21" t="n">
        <v>252.46</v>
      </c>
      <c r="MX33" s="21" t="n">
        <v>227.274</v>
      </c>
      <c r="MY33" s="21" t="n">
        <v>221.191</v>
      </c>
      <c r="MZ33" s="21" t="n">
        <v>226.459</v>
      </c>
      <c r="NA33" s="21" t="n">
        <v>231.773</v>
      </c>
      <c r="NB33" s="21" t="n">
        <v>116.968</v>
      </c>
      <c r="NC33" s="21" t="n">
        <v>180.763</v>
      </c>
      <c r="ND33" s="21" t="n">
        <v>149.711</v>
      </c>
      <c r="NE33" s="21" t="n">
        <v>146.433</v>
      </c>
      <c r="NF33" s="21" t="n">
        <v>143.895</v>
      </c>
      <c r="NG33" s="21" t="n">
        <v>145.074</v>
      </c>
      <c r="NH33" s="21" t="n">
        <v>247.082</v>
      </c>
      <c r="NI33" s="21" t="n">
        <v>104.9</v>
      </c>
      <c r="NJ33" s="21" t="n">
        <v>77.681</v>
      </c>
      <c r="NK33" s="21" t="n">
        <v>108.332</v>
      </c>
      <c r="NL33" s="21" t="n">
        <v>205.894</v>
      </c>
      <c r="NM33" s="21" t="n">
        <v>212.978</v>
      </c>
      <c r="NN33" s="21" t="n">
        <v>89.664</v>
      </c>
      <c r="NO33" s="21" t="n">
        <v>57.218</v>
      </c>
      <c r="NP33" s="21" t="n">
        <v>219.112</v>
      </c>
      <c r="NQ33" s="21" t="n">
        <v>192.537</v>
      </c>
      <c r="NR33" s="21" t="n">
        <v>233.906</v>
      </c>
      <c r="NS33" s="21" t="n">
        <v>189.272</v>
      </c>
      <c r="NT33" s="21" t="n">
        <v>234.055</v>
      </c>
      <c r="NU33" s="21" t="n">
        <v>110.944</v>
      </c>
      <c r="NV33" s="21" t="n">
        <v>118.714</v>
      </c>
      <c r="NW33" s="21" t="n">
        <v>347.624</v>
      </c>
      <c r="NX33" s="21" t="n">
        <v>82.572</v>
      </c>
      <c r="NY33" s="21" t="n">
        <v>119.937</v>
      </c>
      <c r="NZ33" s="21" t="n">
        <v>311.749</v>
      </c>
      <c r="OA33" s="21" t="n">
        <v>309.334</v>
      </c>
      <c r="OB33" s="21" t="n">
        <v>319.559</v>
      </c>
      <c r="OC33" s="21" t="n">
        <v>294.305</v>
      </c>
      <c r="OD33" s="21" t="n">
        <v>330.451</v>
      </c>
      <c r="OE33" s="21" t="n">
        <v>104.021</v>
      </c>
      <c r="OF33" s="21" t="n">
        <v>309.469</v>
      </c>
      <c r="OG33" s="21" t="n">
        <v>217.301</v>
      </c>
      <c r="OH33" s="21" t="n">
        <v>49.554</v>
      </c>
      <c r="OI33" s="21" t="n">
        <v>123.949</v>
      </c>
      <c r="OJ33" s="21" t="n">
        <v>40.7</v>
      </c>
      <c r="OK33" s="21" t="n">
        <v>13.6</v>
      </c>
    </row>
    <row r="34">
      <c r="A34" s="22" t="n">
        <v>42979</v>
      </c>
      <c r="B34" s="21" t="n">
        <v>246.819</v>
      </c>
      <c r="C34" s="21" t="n">
        <v>739.359</v>
      </c>
      <c r="D34" s="21" t="n">
        <v>250.735</v>
      </c>
      <c r="E34" s="21" t="n">
        <v>250.993</v>
      </c>
      <c r="F34" s="21" t="n">
        <v>239.128</v>
      </c>
      <c r="G34" s="21" t="n">
        <v>271.75</v>
      </c>
      <c r="H34" s="21" t="n">
        <v>227.171</v>
      </c>
      <c r="I34" s="21" t="n">
        <v>237.542</v>
      </c>
      <c r="J34" s="21" t="n">
        <v>224.457</v>
      </c>
      <c r="K34" s="21" t="n">
        <v>232.868</v>
      </c>
      <c r="L34" s="21" t="n">
        <v>158.456</v>
      </c>
      <c r="M34" s="21" t="n">
        <v>297.281</v>
      </c>
      <c r="N34" s="21" t="n">
        <v>178.051</v>
      </c>
      <c r="O34" s="21" t="n">
        <v>323.135</v>
      </c>
      <c r="P34" s="21" t="n">
        <v>343.697</v>
      </c>
      <c r="Q34" s="21" t="n">
        <v>175.19</v>
      </c>
      <c r="R34" s="21" t="n">
        <v>281.738</v>
      </c>
      <c r="S34" s="21" t="n">
        <v>303.065</v>
      </c>
      <c r="T34" s="21" t="n">
        <v>266.15</v>
      </c>
      <c r="U34" s="21" t="n">
        <v>267.519</v>
      </c>
      <c r="V34" s="21" t="n">
        <v>297.379</v>
      </c>
      <c r="W34" s="21" t="n">
        <v>306.764</v>
      </c>
      <c r="X34" s="21" t="n">
        <v>270.141</v>
      </c>
      <c r="Y34" s="21" t="n">
        <v>247.613</v>
      </c>
      <c r="Z34" s="21" t="n">
        <v>251.234</v>
      </c>
      <c r="AA34" s="21" t="n">
        <v>254.301</v>
      </c>
      <c r="AB34" s="21" t="n">
        <v>301.588</v>
      </c>
      <c r="AC34" s="21" t="n">
        <v>273.077</v>
      </c>
      <c r="AD34" s="21" t="n">
        <v>223.994</v>
      </c>
      <c r="AE34" s="21" t="n">
        <v>200.31</v>
      </c>
      <c r="AF34" s="21" t="n">
        <v>233.506</v>
      </c>
      <c r="AG34" s="21" t="n">
        <v>217.429</v>
      </c>
      <c r="AH34" s="21" t="n">
        <v>168.022</v>
      </c>
      <c r="AI34" s="21" t="n">
        <v>324.706</v>
      </c>
      <c r="AJ34" s="21" t="n">
        <v>145.138</v>
      </c>
      <c r="AK34" s="21" t="n">
        <v>207.655</v>
      </c>
      <c r="AL34" s="21" t="n">
        <v>231.975</v>
      </c>
      <c r="AM34" s="21" t="n">
        <v>185.582</v>
      </c>
      <c r="AN34" s="21" t="n">
        <v>127.449</v>
      </c>
      <c r="AO34" s="21" t="n">
        <v>222.613</v>
      </c>
      <c r="AP34" s="21" t="n">
        <v>228.744</v>
      </c>
      <c r="AQ34" s="21" t="n">
        <v>143.402</v>
      </c>
      <c r="AR34" s="21" t="n"/>
      <c r="AS34" s="21" t="n"/>
      <c r="AT34" s="21" t="n">
        <v>231.866</v>
      </c>
      <c r="AU34" s="21" t="n">
        <v>149.223</v>
      </c>
      <c r="AV34" s="21" t="n">
        <v>244.825</v>
      </c>
      <c r="AW34" s="21" t="n">
        <v>222.132</v>
      </c>
      <c r="AX34" s="21" t="n">
        <v>151.018</v>
      </c>
      <c r="AY34" s="21" t="n">
        <v>287.94</v>
      </c>
      <c r="AZ34" s="21" t="n">
        <v>176.654</v>
      </c>
      <c r="BA34" s="21" t="n">
        <v>145.754</v>
      </c>
      <c r="BB34" s="21" t="n">
        <v>202.975</v>
      </c>
      <c r="BC34" s="21" t="n">
        <v>306.288</v>
      </c>
      <c r="BD34" s="21" t="n">
        <v>200.45</v>
      </c>
      <c r="BE34" s="21" t="n">
        <v>216.564</v>
      </c>
      <c r="BF34" s="21" t="n">
        <v>138.117</v>
      </c>
      <c r="BG34" s="21" t="n">
        <v>198.817</v>
      </c>
      <c r="BH34" s="21" t="n">
        <v>141.5</v>
      </c>
      <c r="BI34" s="21" t="n">
        <v>228.232</v>
      </c>
      <c r="BJ34" s="21" t="n">
        <v>218.343</v>
      </c>
      <c r="BK34" s="21" t="n">
        <v>147.406</v>
      </c>
      <c r="BL34" s="21" t="n">
        <v>297.047</v>
      </c>
      <c r="BM34" s="21" t="n">
        <v>344.364</v>
      </c>
      <c r="BN34" s="21" t="n">
        <v>366.362</v>
      </c>
      <c r="BO34" s="21" t="n">
        <v>365.599</v>
      </c>
      <c r="BP34" s="21" t="n">
        <v>188.475</v>
      </c>
      <c r="BQ34" s="21" t="n">
        <v>269.616</v>
      </c>
      <c r="BR34" s="21" t="n">
        <v>566.077</v>
      </c>
      <c r="BS34" s="21" t="n">
        <v>116.877</v>
      </c>
      <c r="BT34" s="21" t="n">
        <v>320.044</v>
      </c>
      <c r="BU34" s="21" t="n">
        <v>346.636</v>
      </c>
      <c r="BV34" s="21" t="n">
        <v>288.115</v>
      </c>
      <c r="BW34" s="21" t="n">
        <v>322.746</v>
      </c>
      <c r="BX34" s="21" t="n">
        <v>324.07</v>
      </c>
      <c r="BY34" s="21" t="n">
        <v>155.42</v>
      </c>
      <c r="BZ34" s="21" t="n">
        <v>158.486</v>
      </c>
      <c r="CA34" s="21" t="n">
        <v>156.847</v>
      </c>
      <c r="CB34" s="21" t="n">
        <v>164.842</v>
      </c>
      <c r="CC34" s="21" t="n">
        <v>148.321</v>
      </c>
      <c r="CD34" s="21" t="n">
        <v>202.325</v>
      </c>
      <c r="CE34" s="21" t="n">
        <v>157.537</v>
      </c>
      <c r="CF34" s="21" t="n">
        <v>194.195</v>
      </c>
      <c r="CG34" s="21" t="n">
        <v>167.429</v>
      </c>
      <c r="CH34" s="21" t="n">
        <v>129.119</v>
      </c>
      <c r="CI34" s="21" t="n">
        <v>162.315</v>
      </c>
      <c r="CJ34" s="21" t="n">
        <v>179.034</v>
      </c>
      <c r="CK34" s="21" t="n">
        <v>117.545</v>
      </c>
      <c r="CL34" s="21" t="n">
        <v>117.675</v>
      </c>
      <c r="CM34" s="21" t="n">
        <v>199.151</v>
      </c>
      <c r="CN34" s="21" t="n">
        <v>207.071</v>
      </c>
      <c r="CO34" s="21" t="n">
        <v>194.093</v>
      </c>
      <c r="CP34" s="21" t="n">
        <v>126.761</v>
      </c>
      <c r="CQ34" s="21" t="n">
        <v>210.159</v>
      </c>
      <c r="CR34" s="21" t="n">
        <v>215.8</v>
      </c>
      <c r="CS34" s="21" t="n">
        <v>191.588</v>
      </c>
      <c r="CT34" s="21" t="n">
        <v>144.316</v>
      </c>
      <c r="CU34" s="21" t="n">
        <v>155.269</v>
      </c>
      <c r="CV34" s="21" t="n">
        <v>229.868</v>
      </c>
      <c r="CW34" s="21" t="n">
        <v>209.17</v>
      </c>
      <c r="CX34" s="21" t="n">
        <v>248.69</v>
      </c>
      <c r="CY34" s="21" t="n">
        <v>304.808</v>
      </c>
      <c r="CZ34" s="21" t="n">
        <v>129.649</v>
      </c>
      <c r="DA34" s="21" t="n">
        <v>159.064</v>
      </c>
      <c r="DB34" s="21" t="n">
        <v>157.522</v>
      </c>
      <c r="DC34" s="21" t="n">
        <v>224.299</v>
      </c>
      <c r="DD34" s="21" t="n">
        <v>249.212</v>
      </c>
      <c r="DE34" s="21" t="n">
        <v>166.742</v>
      </c>
      <c r="DF34" s="21" t="n">
        <v>250.988</v>
      </c>
      <c r="DG34" s="21" t="n">
        <v>241.697</v>
      </c>
      <c r="DH34" s="21" t="n">
        <v>154.197</v>
      </c>
      <c r="DI34" s="21" t="n">
        <v>137.624</v>
      </c>
      <c r="DJ34" s="21" t="n">
        <v>137.858</v>
      </c>
      <c r="DK34" s="21" t="n">
        <v>279.602</v>
      </c>
      <c r="DL34" s="21" t="n">
        <v>158.556</v>
      </c>
      <c r="DM34" s="21" t="n">
        <v>131.501</v>
      </c>
      <c r="DN34" s="21" t="n">
        <v>125.541</v>
      </c>
      <c r="DO34" s="21" t="n">
        <v>270.353</v>
      </c>
      <c r="DP34" s="21" t="n">
        <v>167.718</v>
      </c>
      <c r="DQ34" s="21" t="n">
        <v>172.934</v>
      </c>
      <c r="DR34" s="21" t="n">
        <v>175.993</v>
      </c>
      <c r="DS34" s="21" t="n">
        <v>146.081</v>
      </c>
      <c r="DT34" s="21" t="n">
        <v>155.411</v>
      </c>
      <c r="DU34" s="21" t="n">
        <v>185.586</v>
      </c>
      <c r="DV34" s="21" t="n">
        <v>245.884</v>
      </c>
      <c r="DW34" s="21" t="n">
        <v>200.567</v>
      </c>
      <c r="DX34" s="21" t="n">
        <v>223.345</v>
      </c>
      <c r="DY34" s="21" t="n">
        <v>192.43</v>
      </c>
      <c r="DZ34" s="21" t="n">
        <v>206.079</v>
      </c>
      <c r="EA34" s="21" t="n">
        <v>187.154</v>
      </c>
      <c r="EB34" s="21" t="n">
        <v>168.122</v>
      </c>
      <c r="EC34" s="21" t="n">
        <v>344.413</v>
      </c>
      <c r="ED34" s="21" t="n">
        <v>170.563</v>
      </c>
      <c r="EE34" s="21" t="n">
        <v>183.535</v>
      </c>
      <c r="EF34" s="21" t="n">
        <v>186.443</v>
      </c>
      <c r="EG34" s="21" t="n">
        <v>252.984</v>
      </c>
      <c r="EH34" s="21" t="n">
        <v>299.844</v>
      </c>
      <c r="EI34" s="21" t="n">
        <v>310.268</v>
      </c>
      <c r="EJ34" s="21" t="n">
        <v>161.791</v>
      </c>
      <c r="EK34" s="21" t="n">
        <v>541.997</v>
      </c>
      <c r="EL34" s="21" t="n">
        <v>332.373</v>
      </c>
      <c r="EM34" s="21" t="n">
        <v>307.106</v>
      </c>
      <c r="EN34" s="21" t="n">
        <v>307.106</v>
      </c>
      <c r="EO34" s="21" t="n">
        <v>149.328</v>
      </c>
      <c r="EP34" s="21" t="n">
        <v>241.574</v>
      </c>
      <c r="EQ34" s="21" t="n">
        <v>202.677</v>
      </c>
      <c r="ER34" s="21" t="n">
        <v>255.663</v>
      </c>
      <c r="ES34" s="21" t="n">
        <v>245.085</v>
      </c>
      <c r="ET34" s="21" t="n">
        <v>320.288</v>
      </c>
      <c r="EU34" s="21" t="n">
        <v>207.339</v>
      </c>
      <c r="EV34" s="21" t="n">
        <v>218.117</v>
      </c>
      <c r="EW34" s="21" t="n">
        <v>172.111</v>
      </c>
      <c r="EX34" s="21" t="n">
        <v>230.142</v>
      </c>
      <c r="EY34" s="21" t="n">
        <v>536.0549999999999</v>
      </c>
      <c r="EZ34" s="21" t="n">
        <v>449.008</v>
      </c>
      <c r="FA34" s="21" t="n">
        <v>120.014</v>
      </c>
      <c r="FB34" s="21" t="n">
        <v>57.909</v>
      </c>
      <c r="FC34" s="21" t="n">
        <v>108.278</v>
      </c>
      <c r="FD34" s="21" t="n">
        <v>66.102</v>
      </c>
      <c r="FE34" s="21" t="n">
        <v>44.768</v>
      </c>
      <c r="FF34" s="21" t="n">
        <v>110.815</v>
      </c>
      <c r="FG34" s="21" t="n">
        <v>130.672</v>
      </c>
      <c r="FH34" s="21" t="n">
        <v>83.637</v>
      </c>
      <c r="FI34" s="21" t="n">
        <v>68.081</v>
      </c>
      <c r="FJ34" s="21" t="n">
        <v>95.81100000000001</v>
      </c>
      <c r="FK34" s="21" t="n">
        <v>74.89100000000001</v>
      </c>
      <c r="FL34" s="21" t="n">
        <v>78.55500000000001</v>
      </c>
      <c r="FM34" s="21" t="n">
        <v>88.143</v>
      </c>
      <c r="FN34" s="21" t="n">
        <v>65.801</v>
      </c>
      <c r="FO34" s="21" t="n">
        <v>52.436</v>
      </c>
      <c r="FP34" s="21" t="n">
        <v>38.623</v>
      </c>
      <c r="FQ34" s="21" t="n">
        <v>127.24</v>
      </c>
      <c r="FR34" s="21" t="n">
        <v>51.715</v>
      </c>
      <c r="FS34" s="21" t="n">
        <v>86.133</v>
      </c>
      <c r="FT34" s="21" t="n">
        <v>88.566</v>
      </c>
      <c r="FU34" s="21" t="n">
        <v>97.821</v>
      </c>
      <c r="FV34" s="21" t="n">
        <v>84.179</v>
      </c>
      <c r="FW34" s="21" t="n">
        <v>184.308</v>
      </c>
      <c r="FX34" s="21" t="n">
        <v>116.911</v>
      </c>
      <c r="FY34" s="21" t="n">
        <v>169.148</v>
      </c>
      <c r="FZ34" s="21" t="n">
        <v>116.674</v>
      </c>
      <c r="GA34" s="21" t="n">
        <v>177.034</v>
      </c>
      <c r="GB34" s="21" t="n">
        <v>162.16</v>
      </c>
      <c r="GC34" s="21" t="n">
        <v>179.552</v>
      </c>
      <c r="GD34" s="21" t="n">
        <v>156.88</v>
      </c>
      <c r="GE34" s="21" t="n">
        <v>241.426</v>
      </c>
      <c r="GF34" s="21" t="n">
        <v>128.15</v>
      </c>
      <c r="GG34" s="21" t="n">
        <v>118.393</v>
      </c>
      <c r="GH34" s="21" t="n">
        <v>121.409</v>
      </c>
      <c r="GI34" s="21" t="n">
        <v>112.728</v>
      </c>
      <c r="GJ34" s="21" t="n">
        <v>153.397</v>
      </c>
      <c r="GK34" s="21" t="n">
        <v>78.545</v>
      </c>
      <c r="GL34" s="21" t="n">
        <v>116.593</v>
      </c>
      <c r="GM34" s="21" t="n">
        <v>106.056</v>
      </c>
      <c r="GN34" s="21" t="n">
        <v>114.014</v>
      </c>
      <c r="GO34" s="21" t="n">
        <v>116.91</v>
      </c>
      <c r="GP34" s="21" t="n">
        <v>116.935</v>
      </c>
      <c r="GQ34" s="21" t="n">
        <v>127.686</v>
      </c>
      <c r="GR34" s="21" t="n">
        <v>82.309</v>
      </c>
      <c r="GS34" s="21" t="n">
        <v>107.402</v>
      </c>
      <c r="GT34" s="21" t="n">
        <v>100.177</v>
      </c>
      <c r="GU34" s="21" t="n">
        <v>137.908</v>
      </c>
      <c r="GV34" s="21" t="n">
        <v>138.925</v>
      </c>
      <c r="GW34" s="21" t="n">
        <v>155.908</v>
      </c>
      <c r="GX34" s="21" t="n">
        <v>128.083</v>
      </c>
      <c r="GY34" s="21" t="n">
        <v>122.206</v>
      </c>
      <c r="GZ34" s="21" t="n">
        <v>178.219</v>
      </c>
      <c r="HA34" s="21" t="n">
        <v>139.385</v>
      </c>
      <c r="HB34" s="21" t="n">
        <v>183.205</v>
      </c>
      <c r="HC34" s="21" t="n">
        <v>204.775</v>
      </c>
      <c r="HD34" s="21" t="n">
        <v>200.487</v>
      </c>
      <c r="HE34" s="21" t="n">
        <v>97.831</v>
      </c>
      <c r="HF34" s="21" t="n">
        <v>145.037</v>
      </c>
      <c r="HG34" s="21" t="n">
        <v>100.498</v>
      </c>
      <c r="HH34" s="21" t="n">
        <v>140.238</v>
      </c>
      <c r="HI34" s="21" t="n">
        <v>155.036</v>
      </c>
      <c r="HJ34" s="21" t="n"/>
      <c r="HK34" s="21" t="n">
        <v>137.141</v>
      </c>
      <c r="HL34" s="21" t="n">
        <v>84.31100000000001</v>
      </c>
      <c r="HM34" s="21" t="n">
        <v>129.782</v>
      </c>
      <c r="HN34" s="21" t="n">
        <v>232.076</v>
      </c>
      <c r="HO34" s="21" t="n">
        <v>231.182</v>
      </c>
      <c r="HP34" s="21" t="n">
        <v>227.319</v>
      </c>
      <c r="HQ34" s="21" t="n">
        <v>243.698</v>
      </c>
      <c r="HR34" s="21" t="n">
        <v>239.538</v>
      </c>
      <c r="HS34" s="21" t="n">
        <v>199.803</v>
      </c>
      <c r="HT34" s="21" t="n">
        <v>143.165</v>
      </c>
      <c r="HU34" s="21" t="n">
        <v>123.976</v>
      </c>
      <c r="HV34" s="21" t="n">
        <v>168.113</v>
      </c>
      <c r="HW34" s="21" t="n">
        <v>159.447</v>
      </c>
      <c r="HX34" s="21" t="n">
        <v>373.869</v>
      </c>
      <c r="HY34" s="21" t="n">
        <v>282.203</v>
      </c>
      <c r="HZ34" s="21" t="n">
        <v>295.712</v>
      </c>
      <c r="IA34" s="21" t="n">
        <v>253.574</v>
      </c>
      <c r="IB34" s="21" t="n">
        <v>174.759</v>
      </c>
      <c r="IC34" s="21" t="n">
        <v>532.455</v>
      </c>
      <c r="ID34" s="21" t="n">
        <v>185.265</v>
      </c>
      <c r="IE34" s="21" t="n">
        <v>176.173</v>
      </c>
      <c r="IF34" s="21" t="n">
        <v>200.344</v>
      </c>
      <c r="IG34" s="21" t="n">
        <v>229.029</v>
      </c>
      <c r="IH34" s="21" t="n"/>
      <c r="II34" s="21" t="n">
        <v>254.65</v>
      </c>
      <c r="IJ34" s="21" t="n">
        <v>259.143</v>
      </c>
      <c r="IK34" s="21" t="n">
        <v>160.066</v>
      </c>
      <c r="IL34" s="21" t="n">
        <v>130.653</v>
      </c>
      <c r="IM34" s="21" t="n">
        <v>114.363</v>
      </c>
      <c r="IN34" s="21" t="n">
        <v>66.191</v>
      </c>
      <c r="IO34" s="21" t="n">
        <v>317.571</v>
      </c>
      <c r="IP34" s="21" t="n">
        <v>125.82</v>
      </c>
      <c r="IQ34" s="21" t="n">
        <v>476.485</v>
      </c>
      <c r="IR34" s="21" t="n">
        <v>377.869</v>
      </c>
      <c r="IS34" s="21" t="n">
        <v>123.726</v>
      </c>
      <c r="IT34" s="21" t="n">
        <v>522.018</v>
      </c>
      <c r="IU34" s="21" t="n">
        <v>96.73099999999999</v>
      </c>
      <c r="IV34" s="21" t="n">
        <v>99.574</v>
      </c>
      <c r="IW34" s="21" t="n">
        <v>508.078</v>
      </c>
      <c r="IX34" s="21" t="n">
        <v>375.102</v>
      </c>
      <c r="IY34" s="21" t="n">
        <v>379.169</v>
      </c>
      <c r="IZ34" s="21" t="n">
        <v>474.268</v>
      </c>
      <c r="JA34" s="21" t="n">
        <v>187.289</v>
      </c>
      <c r="JB34" s="21" t="n">
        <v>237.209</v>
      </c>
      <c r="JC34" s="21" t="n">
        <v>76.101</v>
      </c>
      <c r="JD34" s="21" t="n">
        <v>320.449</v>
      </c>
      <c r="JE34" s="21" t="n">
        <v>313.802</v>
      </c>
      <c r="JF34" s="21" t="n">
        <v>711.431</v>
      </c>
      <c r="JG34" s="21" t="n">
        <v>221.044</v>
      </c>
      <c r="JH34" s="21" t="n">
        <v>119.348</v>
      </c>
      <c r="JI34" s="21" t="n">
        <v>133.97</v>
      </c>
      <c r="JJ34" s="21" t="n">
        <v>118.87</v>
      </c>
      <c r="JK34" s="21" t="n">
        <v>104.994</v>
      </c>
      <c r="JL34" s="21" t="n">
        <v>227.727</v>
      </c>
      <c r="JM34" s="21" t="n">
        <v>467.056</v>
      </c>
      <c r="JN34" s="21" t="n">
        <v>122.127</v>
      </c>
      <c r="JO34" s="21" t="n">
        <v>71.16200000000001</v>
      </c>
      <c r="JP34" s="21" t="n">
        <v>37.97</v>
      </c>
      <c r="JQ34" s="21" t="n">
        <v>126.879</v>
      </c>
      <c r="JR34" s="21" t="n">
        <v>31.173</v>
      </c>
      <c r="JS34" s="21" t="n">
        <v>87.905</v>
      </c>
      <c r="JT34" s="21" t="n">
        <v>170.5</v>
      </c>
      <c r="JU34" s="21" t="n">
        <v>196.569</v>
      </c>
      <c r="JV34" s="21" t="n">
        <v>150.377</v>
      </c>
      <c r="JW34" s="21" t="n">
        <v>112.986</v>
      </c>
      <c r="JX34" s="21" t="n">
        <v>240.26</v>
      </c>
      <c r="JY34" s="21" t="n">
        <v>187.586</v>
      </c>
      <c r="JZ34" s="21" t="n">
        <v>251.954</v>
      </c>
      <c r="KA34" s="21" t="n">
        <v>110.678</v>
      </c>
      <c r="KB34" s="21" t="n">
        <v>144.143</v>
      </c>
      <c r="KC34" s="21" t="n">
        <v>81.881</v>
      </c>
      <c r="KD34" s="21" t="n">
        <v>76.839</v>
      </c>
      <c r="KE34" s="21" t="n">
        <v>56.835</v>
      </c>
      <c r="KF34" s="21" t="n"/>
      <c r="KG34" s="21" t="n">
        <v>23.454</v>
      </c>
      <c r="KH34" s="21" t="n">
        <v>124.487</v>
      </c>
      <c r="KI34" s="21" t="n">
        <v>127.017</v>
      </c>
      <c r="KJ34" s="21" t="n">
        <v>123.313</v>
      </c>
      <c r="KK34" s="21" t="n">
        <v>39.793</v>
      </c>
      <c r="KL34" s="21" t="n">
        <v>36.345</v>
      </c>
      <c r="KM34" s="21" t="n">
        <v>44.713</v>
      </c>
      <c r="KN34" s="21" t="n"/>
      <c r="KO34" s="21" t="n">
        <v>93.30800000000001</v>
      </c>
      <c r="KP34" s="21" t="n">
        <v>102.457</v>
      </c>
      <c r="KQ34" s="21" t="n">
        <v>164.789</v>
      </c>
      <c r="KR34" s="21" t="n">
        <v>136.148</v>
      </c>
      <c r="KS34" s="21" t="n">
        <v>375.84</v>
      </c>
      <c r="KT34" s="21" t="n">
        <v>180.337</v>
      </c>
      <c r="KU34" s="21" t="n">
        <v>216.289</v>
      </c>
      <c r="KV34" s="21" t="n">
        <v>304.319</v>
      </c>
      <c r="KW34" s="21" t="n">
        <v>242.308</v>
      </c>
      <c r="KX34" s="21" t="n">
        <v>172.377</v>
      </c>
      <c r="KY34" s="21" t="n">
        <v>95.444</v>
      </c>
      <c r="KZ34" s="21" t="n">
        <v>136.189</v>
      </c>
      <c r="LA34" s="21" t="n">
        <v>255.783</v>
      </c>
      <c r="LB34" s="21" t="n">
        <v>682.696</v>
      </c>
      <c r="LC34" s="21" t="n">
        <v>237.032</v>
      </c>
      <c r="LD34" s="21" t="n">
        <v>732.783</v>
      </c>
      <c r="LE34" s="21" t="n">
        <v>833.581</v>
      </c>
      <c r="LF34" s="21" t="n">
        <v>77.90900000000001</v>
      </c>
      <c r="LG34" s="21" t="n">
        <v>292.001</v>
      </c>
      <c r="LH34" s="21" t="n">
        <v>247.543</v>
      </c>
      <c r="LI34" s="21" t="n">
        <v>73.994</v>
      </c>
      <c r="LJ34" s="21" t="n">
        <v>180.68</v>
      </c>
      <c r="LK34" s="21" t="n">
        <v>284.32</v>
      </c>
      <c r="LL34" s="21" t="n">
        <v>289.924</v>
      </c>
      <c r="LM34" s="21" t="n">
        <v>70.145</v>
      </c>
      <c r="LN34" s="21" t="n">
        <v>90.271</v>
      </c>
      <c r="LO34" s="21" t="n">
        <v>47.73</v>
      </c>
      <c r="LP34" s="21" t="n">
        <v>115.888</v>
      </c>
      <c r="LQ34" s="21" t="n"/>
      <c r="LR34" s="21" t="n"/>
      <c r="LS34" s="21" t="n">
        <v>112.211</v>
      </c>
      <c r="LT34" s="21" t="n">
        <v>42.19</v>
      </c>
      <c r="LU34" s="21" t="n">
        <v>32.785</v>
      </c>
      <c r="LV34" s="21" t="n">
        <v>75.788</v>
      </c>
      <c r="LW34" s="21" t="n">
        <v>261.12</v>
      </c>
      <c r="LX34" s="21" t="n"/>
      <c r="LY34" s="21" t="n">
        <v>434.057</v>
      </c>
      <c r="LZ34" s="21" t="n">
        <v>65.06699999999999</v>
      </c>
      <c r="MA34" s="21" t="n">
        <v>421.894</v>
      </c>
      <c r="MB34" s="21" t="n">
        <v>264.56</v>
      </c>
      <c r="MC34" s="21" t="n">
        <v>227.454</v>
      </c>
      <c r="MD34" s="21" t="n">
        <v>161.511</v>
      </c>
      <c r="ME34" s="21" t="n">
        <v>102.369</v>
      </c>
      <c r="MF34" s="21" t="n">
        <v>186.495</v>
      </c>
      <c r="MG34" s="21" t="n">
        <v>258.48</v>
      </c>
      <c r="MH34" s="21" t="n">
        <v>157.715</v>
      </c>
      <c r="MI34" s="21" t="n">
        <v>425.519</v>
      </c>
      <c r="MJ34" s="21" t="n">
        <v>345.431</v>
      </c>
      <c r="MK34" s="21" t="n">
        <v>327.127</v>
      </c>
      <c r="ML34" s="21" t="n">
        <v>165.685</v>
      </c>
      <c r="MM34" s="21" t="n">
        <v>186.385</v>
      </c>
      <c r="MN34" s="21" t="n">
        <v>344.64</v>
      </c>
      <c r="MO34" s="21" t="n">
        <v>156.588</v>
      </c>
      <c r="MP34" s="21" t="n">
        <v>240.375</v>
      </c>
      <c r="MQ34" s="21" t="n">
        <v>77.31100000000001</v>
      </c>
      <c r="MR34" s="21" t="n">
        <v>148.53</v>
      </c>
      <c r="MS34" s="21" t="n">
        <v>77.474</v>
      </c>
      <c r="MT34" s="21" t="n">
        <v>235.793</v>
      </c>
      <c r="MU34" s="21" t="n">
        <v>251.95</v>
      </c>
      <c r="MV34" s="21" t="n">
        <v>246.163</v>
      </c>
      <c r="MW34" s="21" t="n">
        <v>252.941</v>
      </c>
      <c r="MX34" s="21" t="n">
        <v>228.825</v>
      </c>
      <c r="MY34" s="21" t="n">
        <v>222.978</v>
      </c>
      <c r="MZ34" s="21" t="n">
        <v>226.824</v>
      </c>
      <c r="NA34" s="21" t="n">
        <v>232.332</v>
      </c>
      <c r="NB34" s="21" t="n">
        <v>121.273</v>
      </c>
      <c r="NC34" s="21" t="n">
        <v>182.903</v>
      </c>
      <c r="ND34" s="21" t="n">
        <v>152.38</v>
      </c>
      <c r="NE34" s="21" t="n">
        <v>149.136</v>
      </c>
      <c r="NF34" s="21" t="n">
        <v>144.108</v>
      </c>
      <c r="NG34" s="21" t="n">
        <v>145.584</v>
      </c>
      <c r="NH34" s="21" t="n">
        <v>247.431</v>
      </c>
      <c r="NI34" s="21" t="n">
        <v>104.175</v>
      </c>
      <c r="NJ34" s="21" t="n">
        <v>76.904</v>
      </c>
      <c r="NK34" s="21" t="n">
        <v>108.864</v>
      </c>
      <c r="NL34" s="21" t="n">
        <v>215.711</v>
      </c>
      <c r="NM34" s="21" t="n">
        <v>234.982</v>
      </c>
      <c r="NN34" s="21" t="n">
        <v>89.453</v>
      </c>
      <c r="NO34" s="21" t="n">
        <v>56.659</v>
      </c>
      <c r="NP34" s="21" t="n">
        <v>223.085</v>
      </c>
      <c r="NQ34" s="21" t="n">
        <v>199.202</v>
      </c>
      <c r="NR34" s="21" t="n">
        <v>242.167</v>
      </c>
      <c r="NS34" s="21" t="n">
        <v>196.273</v>
      </c>
      <c r="NT34" s="21" t="n">
        <v>243.07</v>
      </c>
      <c r="NU34" s="21" t="n">
        <v>111.386</v>
      </c>
      <c r="NV34" s="21" t="n">
        <v>118.655</v>
      </c>
      <c r="NW34" s="21" t="n">
        <v>348.502</v>
      </c>
      <c r="NX34" s="21" t="n">
        <v>82.547</v>
      </c>
      <c r="NY34" s="21" t="n">
        <v>119.947</v>
      </c>
      <c r="NZ34" s="21" t="n">
        <v>312.473</v>
      </c>
      <c r="OA34" s="21" t="n">
        <v>309.83</v>
      </c>
      <c r="OB34" s="21" t="n">
        <v>320.21</v>
      </c>
      <c r="OC34" s="21" t="n">
        <v>294.785</v>
      </c>
      <c r="OD34" s="21" t="n">
        <v>330.718</v>
      </c>
      <c r="OE34" s="21" t="n">
        <v>103.171</v>
      </c>
      <c r="OF34" s="21" t="n">
        <v>309.704</v>
      </c>
      <c r="OG34" s="21" t="n">
        <v>217.15</v>
      </c>
      <c r="OH34" s="21" t="n">
        <v>49.175</v>
      </c>
      <c r="OI34" s="21" t="n">
        <v>124.244</v>
      </c>
      <c r="OJ34" s="21" t="n">
        <v>40.5</v>
      </c>
      <c r="OK34" s="21" t="n">
        <v>13.5</v>
      </c>
    </row>
    <row r="35">
      <c r="A35" s="22" t="n">
        <v>43009</v>
      </c>
      <c r="B35" s="21" t="n">
        <v>246.663</v>
      </c>
      <c r="C35" s="21" t="n">
        <v>738.893</v>
      </c>
      <c r="D35" s="21" t="n">
        <v>251.13</v>
      </c>
      <c r="E35" s="21" t="n">
        <v>251.364</v>
      </c>
      <c r="F35" s="21" t="n">
        <v>239.543</v>
      </c>
      <c r="G35" s="21" t="n">
        <v>270.858</v>
      </c>
      <c r="H35" s="21" t="n">
        <v>226.769</v>
      </c>
      <c r="I35" s="21" t="n">
        <v>235.462</v>
      </c>
      <c r="J35" s="21" t="n">
        <v>223.976</v>
      </c>
      <c r="K35" s="21" t="n">
        <v>233.122</v>
      </c>
      <c r="L35" s="21" t="n">
        <v>160.613</v>
      </c>
      <c r="M35" s="21" t="n">
        <v>296.082</v>
      </c>
      <c r="N35" s="21" t="n">
        <v>176.99</v>
      </c>
      <c r="O35" s="21" t="n">
        <v>320.48</v>
      </c>
      <c r="P35" s="21" t="n">
        <v>343.29</v>
      </c>
      <c r="Q35" s="21" t="n">
        <v>176.217</v>
      </c>
      <c r="R35" s="21" t="n">
        <v>281.384</v>
      </c>
      <c r="S35" s="21" t="n">
        <v>301.816</v>
      </c>
      <c r="T35" s="21" t="n">
        <v>266.77</v>
      </c>
      <c r="U35" s="21" t="n">
        <v>265.123</v>
      </c>
      <c r="V35" s="21" t="n">
        <v>295.097</v>
      </c>
      <c r="W35" s="21" t="n">
        <v>304.248</v>
      </c>
      <c r="X35" s="21" t="n">
        <v>267.902</v>
      </c>
      <c r="Y35" s="21" t="n">
        <v>248.413</v>
      </c>
      <c r="Z35" s="21" t="n">
        <v>251.294</v>
      </c>
      <c r="AA35" s="21" t="n">
        <v>254.241</v>
      </c>
      <c r="AB35" s="21" t="n">
        <v>298.647</v>
      </c>
      <c r="AC35" s="21" t="n">
        <v>269.807</v>
      </c>
      <c r="AD35" s="21" t="n">
        <v>218.92</v>
      </c>
      <c r="AE35" s="21" t="n">
        <v>200.004</v>
      </c>
      <c r="AF35" s="21" t="n">
        <v>230.758</v>
      </c>
      <c r="AG35" s="21" t="n">
        <v>217.396</v>
      </c>
      <c r="AH35" s="21" t="n">
        <v>165.546</v>
      </c>
      <c r="AI35" s="21" t="n">
        <v>316.727</v>
      </c>
      <c r="AJ35" s="21" t="n">
        <v>145.535</v>
      </c>
      <c r="AK35" s="21" t="n">
        <v>213.643</v>
      </c>
      <c r="AL35" s="21" t="n">
        <v>238.447</v>
      </c>
      <c r="AM35" s="21" t="n">
        <v>186.171</v>
      </c>
      <c r="AN35" s="21" t="n">
        <v>127.823</v>
      </c>
      <c r="AO35" s="21" t="n">
        <v>226.539</v>
      </c>
      <c r="AP35" s="21" t="n">
        <v>239.385</v>
      </c>
      <c r="AQ35" s="21" t="n">
        <v>144.982</v>
      </c>
      <c r="AR35" s="21" t="n"/>
      <c r="AS35" s="21" t="n"/>
      <c r="AT35" s="21" t="n">
        <v>232.254</v>
      </c>
      <c r="AU35" s="21" t="n">
        <v>149.382</v>
      </c>
      <c r="AV35" s="21" t="n">
        <v>246.496</v>
      </c>
      <c r="AW35" s="21" t="n">
        <v>222.366</v>
      </c>
      <c r="AX35" s="21" t="n">
        <v>151.677</v>
      </c>
      <c r="AY35" s="21" t="n">
        <v>288.016</v>
      </c>
      <c r="AZ35" s="21" t="n">
        <v>175.619</v>
      </c>
      <c r="BA35" s="21" t="n">
        <v>146.842</v>
      </c>
      <c r="BB35" s="21" t="n">
        <v>203.723</v>
      </c>
      <c r="BC35" s="21" t="n">
        <v>308.655</v>
      </c>
      <c r="BD35" s="21" t="n">
        <v>211.314</v>
      </c>
      <c r="BE35" s="21" t="n">
        <v>217.17</v>
      </c>
      <c r="BF35" s="21" t="n">
        <v>138.491</v>
      </c>
      <c r="BG35" s="21" t="n">
        <v>196.907</v>
      </c>
      <c r="BH35" s="21" t="n">
        <v>142.796</v>
      </c>
      <c r="BI35" s="21" t="n">
        <v>230.499</v>
      </c>
      <c r="BJ35" s="21" t="n">
        <v>218.865</v>
      </c>
      <c r="BK35" s="21" t="n">
        <v>146.527</v>
      </c>
      <c r="BL35" s="21" t="n">
        <v>299.7</v>
      </c>
      <c r="BM35" s="21" t="n">
        <v>348.98</v>
      </c>
      <c r="BN35" s="21" t="n">
        <v>371.532</v>
      </c>
      <c r="BO35" s="21" t="n">
        <v>342.805</v>
      </c>
      <c r="BP35" s="21" t="n">
        <v>189.561</v>
      </c>
      <c r="BQ35" s="21" t="n">
        <v>278.935</v>
      </c>
      <c r="BR35" s="21" t="n">
        <v>599.199</v>
      </c>
      <c r="BS35" s="21" t="n">
        <v>120.592</v>
      </c>
      <c r="BT35" s="21" t="n">
        <v>324.064</v>
      </c>
      <c r="BU35" s="21" t="n">
        <v>345.027</v>
      </c>
      <c r="BV35" s="21" t="n">
        <v>299.211</v>
      </c>
      <c r="BW35" s="21" t="n">
        <v>324.215</v>
      </c>
      <c r="BX35" s="21" t="n">
        <v>328.696</v>
      </c>
      <c r="BY35" s="21" t="n">
        <v>154.261</v>
      </c>
      <c r="BZ35" s="21" t="n">
        <v>156.015</v>
      </c>
      <c r="CA35" s="21" t="n">
        <v>154.852</v>
      </c>
      <c r="CB35" s="21" t="n">
        <v>161.904</v>
      </c>
      <c r="CC35" s="21" t="n">
        <v>149.062</v>
      </c>
      <c r="CD35" s="21" t="n">
        <v>204.867</v>
      </c>
      <c r="CE35" s="21" t="n">
        <v>156.823</v>
      </c>
      <c r="CF35" s="21" t="n">
        <v>194.075</v>
      </c>
      <c r="CG35" s="21" t="n">
        <v>167.99</v>
      </c>
      <c r="CH35" s="21" t="n">
        <v>129.465</v>
      </c>
      <c r="CI35" s="21" t="n">
        <v>163.48</v>
      </c>
      <c r="CJ35" s="21" t="n">
        <v>179.447</v>
      </c>
      <c r="CK35" s="21" t="n">
        <v>117.495</v>
      </c>
      <c r="CL35" s="21" t="n">
        <v>118.259</v>
      </c>
      <c r="CM35" s="21" t="n">
        <v>198.227</v>
      </c>
      <c r="CN35" s="21" t="n">
        <v>206.678</v>
      </c>
      <c r="CO35" s="21" t="n">
        <v>195.236</v>
      </c>
      <c r="CP35" s="21" t="n">
        <v>129.462</v>
      </c>
      <c r="CQ35" s="21" t="n">
        <v>209.528</v>
      </c>
      <c r="CR35" s="21" t="n">
        <v>214.78</v>
      </c>
      <c r="CS35" s="21" t="n">
        <v>188.715</v>
      </c>
      <c r="CT35" s="21" t="n">
        <v>143.893</v>
      </c>
      <c r="CU35" s="21" t="n">
        <v>155.065</v>
      </c>
      <c r="CV35" s="21" t="n">
        <v>229.835</v>
      </c>
      <c r="CW35" s="21" t="n">
        <v>207.382</v>
      </c>
      <c r="CX35" s="21" t="n">
        <v>244.848</v>
      </c>
      <c r="CY35" s="21" t="n">
        <v>303.684</v>
      </c>
      <c r="CZ35" s="21" t="n">
        <v>129.612</v>
      </c>
      <c r="DA35" s="21" t="n">
        <v>159.905</v>
      </c>
      <c r="DB35" s="21" t="n">
        <v>158.108</v>
      </c>
      <c r="DC35" s="21" t="n">
        <v>223.598</v>
      </c>
      <c r="DD35" s="21" t="n">
        <v>242.356</v>
      </c>
      <c r="DE35" s="21" t="n">
        <v>167.435</v>
      </c>
      <c r="DF35" s="21" t="n">
        <v>252.132</v>
      </c>
      <c r="DG35" s="21" t="n">
        <v>238.813</v>
      </c>
      <c r="DH35" s="21" t="n">
        <v>151.075</v>
      </c>
      <c r="DI35" s="21" t="n">
        <v>139.427</v>
      </c>
      <c r="DJ35" s="21" t="n">
        <v>137.61</v>
      </c>
      <c r="DK35" s="21" t="n">
        <v>272.366</v>
      </c>
      <c r="DL35" s="21" t="n">
        <v>158.071</v>
      </c>
      <c r="DM35" s="21" t="n">
        <v>131.227</v>
      </c>
      <c r="DN35" s="21" t="n">
        <v>127.947</v>
      </c>
      <c r="DO35" s="21" t="n">
        <v>270.658</v>
      </c>
      <c r="DP35" s="21" t="n">
        <v>168.105</v>
      </c>
      <c r="DQ35" s="21" t="n">
        <v>173.259</v>
      </c>
      <c r="DR35" s="21" t="n">
        <v>171.643</v>
      </c>
      <c r="DS35" s="21" t="n">
        <v>140.171</v>
      </c>
      <c r="DT35" s="21" t="n">
        <v>155.697</v>
      </c>
      <c r="DU35" s="21" t="n">
        <v>185.758</v>
      </c>
      <c r="DV35" s="21" t="n">
        <v>246.621</v>
      </c>
      <c r="DW35" s="21" t="n">
        <v>201.452</v>
      </c>
      <c r="DX35" s="21" t="n">
        <v>224.421</v>
      </c>
      <c r="DY35" s="21" t="n">
        <v>193.403</v>
      </c>
      <c r="DZ35" s="21" t="n">
        <v>206.783</v>
      </c>
      <c r="EA35" s="21" t="n">
        <v>187.463</v>
      </c>
      <c r="EB35" s="21" t="n">
        <v>168.754</v>
      </c>
      <c r="EC35" s="21" t="n">
        <v>344.673</v>
      </c>
      <c r="ED35" s="21" t="n">
        <v>170.73</v>
      </c>
      <c r="EE35" s="21" t="n">
        <v>183.882</v>
      </c>
      <c r="EF35" s="21" t="n">
        <v>186.358</v>
      </c>
      <c r="EG35" s="21" t="n">
        <v>253.125</v>
      </c>
      <c r="EH35" s="21" t="n">
        <v>300.846</v>
      </c>
      <c r="EI35" s="21" t="n">
        <v>311.501</v>
      </c>
      <c r="EJ35" s="21" t="n">
        <v>161.041</v>
      </c>
      <c r="EK35" s="21" t="n">
        <v>542.953</v>
      </c>
      <c r="EL35" s="21" t="n">
        <v>330.512</v>
      </c>
      <c r="EM35" s="21" t="n">
        <v>308.19</v>
      </c>
      <c r="EN35" s="21" t="n">
        <v>308.192</v>
      </c>
      <c r="EO35" s="21" t="n">
        <v>148.87</v>
      </c>
      <c r="EP35" s="21" t="n">
        <v>237.015</v>
      </c>
      <c r="EQ35" s="21" t="n">
        <v>197.585</v>
      </c>
      <c r="ER35" s="21" t="n">
        <v>260.459</v>
      </c>
      <c r="ES35" s="21" t="n">
        <v>250.64</v>
      </c>
      <c r="ET35" s="21" t="n">
        <v>324.816</v>
      </c>
      <c r="EU35" s="21" t="n">
        <v>201.661</v>
      </c>
      <c r="EV35" s="21" t="n">
        <v>210.424</v>
      </c>
      <c r="EW35" s="21" t="n">
        <v>172.373</v>
      </c>
      <c r="EX35" s="21" t="n">
        <v>230.614</v>
      </c>
      <c r="EY35" s="21" t="n">
        <v>536.295</v>
      </c>
      <c r="EZ35" s="21" t="n">
        <v>452.196</v>
      </c>
      <c r="FA35" s="21" t="n">
        <v>120.237</v>
      </c>
      <c r="FB35" s="21" t="n">
        <v>58.157</v>
      </c>
      <c r="FC35" s="21" t="n">
        <v>108.544</v>
      </c>
      <c r="FD35" s="21" t="n">
        <v>66.476</v>
      </c>
      <c r="FE35" s="21" t="n">
        <v>44.971</v>
      </c>
      <c r="FF35" s="21" t="n">
        <v>110.346</v>
      </c>
      <c r="FG35" s="21" t="n">
        <v>128.733</v>
      </c>
      <c r="FH35" s="21" t="n">
        <v>83.919</v>
      </c>
      <c r="FI35" s="21" t="n">
        <v>67.893</v>
      </c>
      <c r="FJ35" s="21" t="n">
        <v>95.84</v>
      </c>
      <c r="FK35" s="21" t="n">
        <v>74.41500000000001</v>
      </c>
      <c r="FL35" s="21" t="n">
        <v>78.755</v>
      </c>
      <c r="FM35" s="21" t="n">
        <v>89.328</v>
      </c>
      <c r="FN35" s="21" t="n">
        <v>65.133</v>
      </c>
      <c r="FO35" s="21" t="n">
        <v>52.369</v>
      </c>
      <c r="FP35" s="21" t="n">
        <v>38.596</v>
      </c>
      <c r="FQ35" s="21" t="n">
        <v>127.062</v>
      </c>
      <c r="FR35" s="21" t="n">
        <v>51.827</v>
      </c>
      <c r="FS35" s="21" t="n">
        <v>85.66800000000001</v>
      </c>
      <c r="FT35" s="21" t="n">
        <v>88.965</v>
      </c>
      <c r="FU35" s="21" t="n">
        <v>98.023</v>
      </c>
      <c r="FV35" s="21" t="n">
        <v>84.69499999999999</v>
      </c>
      <c r="FW35" s="21" t="n">
        <v>184.717</v>
      </c>
      <c r="FX35" s="21" t="n">
        <v>117.605</v>
      </c>
      <c r="FY35" s="21" t="n">
        <v>168.578</v>
      </c>
      <c r="FZ35" s="21" t="n">
        <v>116.959</v>
      </c>
      <c r="GA35" s="21" t="n">
        <v>178.33</v>
      </c>
      <c r="GB35" s="21" t="n">
        <v>162.132</v>
      </c>
      <c r="GC35" s="21" t="n">
        <v>179.513</v>
      </c>
      <c r="GD35" s="21" t="n">
        <v>164.956</v>
      </c>
      <c r="GE35" s="21" t="n">
        <v>241.137</v>
      </c>
      <c r="GF35" s="21" t="n">
        <v>129.57</v>
      </c>
      <c r="GG35" s="21" t="n">
        <v>120.191</v>
      </c>
      <c r="GH35" s="21" t="n">
        <v>124.153</v>
      </c>
      <c r="GI35" s="21" t="n">
        <v>116.324</v>
      </c>
      <c r="GJ35" s="21" t="n">
        <v>157.437</v>
      </c>
      <c r="GK35" s="21" t="n">
        <v>79.53700000000001</v>
      </c>
      <c r="GL35" s="21" t="n">
        <v>119.238</v>
      </c>
      <c r="GM35" s="21" t="n">
        <v>104.627</v>
      </c>
      <c r="GN35" s="21" t="n">
        <v>116.221</v>
      </c>
      <c r="GO35" s="21" t="n">
        <v>119.325</v>
      </c>
      <c r="GP35" s="21" t="n">
        <v>120.075</v>
      </c>
      <c r="GQ35" s="21" t="n">
        <v>129.57</v>
      </c>
      <c r="GR35" s="21" t="n">
        <v>83.16200000000001</v>
      </c>
      <c r="GS35" s="21" t="n">
        <v>111.305</v>
      </c>
      <c r="GT35" s="21" t="n">
        <v>101.461</v>
      </c>
      <c r="GU35" s="21" t="n">
        <v>138.184</v>
      </c>
      <c r="GV35" s="21" t="n">
        <v>139.16</v>
      </c>
      <c r="GW35" s="21" t="n">
        <v>157.496</v>
      </c>
      <c r="GX35" s="21" t="n">
        <v>127.773</v>
      </c>
      <c r="GY35" s="21" t="n">
        <v>119.937</v>
      </c>
      <c r="GZ35" s="21" t="n">
        <v>178.011</v>
      </c>
      <c r="HA35" s="21" t="n">
        <v>142.064</v>
      </c>
      <c r="HB35" s="21" t="n">
        <v>180.807</v>
      </c>
      <c r="HC35" s="21" t="n">
        <v>202.457</v>
      </c>
      <c r="HD35" s="21" t="n">
        <v>197.766</v>
      </c>
      <c r="HE35" s="21" t="n">
        <v>97.476</v>
      </c>
      <c r="HF35" s="21" t="n">
        <v>144.868</v>
      </c>
      <c r="HG35" s="21" t="n">
        <v>100.379</v>
      </c>
      <c r="HH35" s="21" t="n">
        <v>140.024</v>
      </c>
      <c r="HI35" s="21" t="n">
        <v>154.948</v>
      </c>
      <c r="HJ35" s="21" t="n"/>
      <c r="HK35" s="21" t="n">
        <v>135.867</v>
      </c>
      <c r="HL35" s="21" t="n">
        <v>85.175</v>
      </c>
      <c r="HM35" s="21" t="n">
        <v>122.92</v>
      </c>
      <c r="HN35" s="21" t="n">
        <v>219.64</v>
      </c>
      <c r="HO35" s="21" t="n">
        <v>218.591</v>
      </c>
      <c r="HP35" s="21" t="n">
        <v>214.401</v>
      </c>
      <c r="HQ35" s="21" t="n">
        <v>233.735</v>
      </c>
      <c r="HR35" s="21" t="n">
        <v>229.845</v>
      </c>
      <c r="HS35" s="21" t="n">
        <v>201.137</v>
      </c>
      <c r="HT35" s="21" t="n">
        <v>142.213</v>
      </c>
      <c r="HU35" s="21" t="n">
        <v>122.609</v>
      </c>
      <c r="HV35" s="21" t="n">
        <v>168.071</v>
      </c>
      <c r="HW35" s="21" t="n">
        <v>159.278</v>
      </c>
      <c r="HX35" s="21" t="n">
        <v>374.614</v>
      </c>
      <c r="HY35" s="21" t="n">
        <v>283.257</v>
      </c>
      <c r="HZ35" s="21" t="n">
        <v>296.36</v>
      </c>
      <c r="IA35" s="21" t="n">
        <v>254.361</v>
      </c>
      <c r="IB35" s="21" t="n">
        <v>175.629</v>
      </c>
      <c r="IC35" s="21" t="n">
        <v>537.222</v>
      </c>
      <c r="ID35" s="21" t="n">
        <v>185.715</v>
      </c>
      <c r="IE35" s="21" t="n">
        <v>176.206</v>
      </c>
      <c r="IF35" s="21" t="n">
        <v>201.361</v>
      </c>
      <c r="IG35" s="21" t="n">
        <v>228.186</v>
      </c>
      <c r="IH35" s="21" t="n"/>
      <c r="II35" s="21" t="n">
        <v>259.699</v>
      </c>
      <c r="IJ35" s="21" t="n">
        <v>267.297</v>
      </c>
      <c r="IK35" s="21" t="n">
        <v>161.283</v>
      </c>
      <c r="IL35" s="21" t="n">
        <v>129.819</v>
      </c>
      <c r="IM35" s="21" t="n">
        <v>116.192</v>
      </c>
      <c r="IN35" s="21" t="n">
        <v>66.803</v>
      </c>
      <c r="IO35" s="21" t="n">
        <v>318.412</v>
      </c>
      <c r="IP35" s="21" t="n">
        <v>126.248</v>
      </c>
      <c r="IQ35" s="21" t="n">
        <v>477.121</v>
      </c>
      <c r="IR35" s="21" t="n">
        <v>377.038</v>
      </c>
      <c r="IS35" s="21" t="n">
        <v>123.453</v>
      </c>
      <c r="IT35" s="21" t="n">
        <v>520.35</v>
      </c>
      <c r="IU35" s="21" t="n">
        <v>96.907</v>
      </c>
      <c r="IV35" s="21" t="n">
        <v>99.375</v>
      </c>
      <c r="IW35" s="21" t="n">
        <v>509.256</v>
      </c>
      <c r="IX35" s="21" t="n">
        <v>375.218</v>
      </c>
      <c r="IY35" s="21" t="n">
        <v>379.072</v>
      </c>
      <c r="IZ35" s="21" t="n">
        <v>474.262</v>
      </c>
      <c r="JA35" s="21" t="n">
        <v>187.714</v>
      </c>
      <c r="JB35" s="21" t="n">
        <v>237.717</v>
      </c>
      <c r="JC35" s="21" t="n">
        <v>76.538</v>
      </c>
      <c r="JD35" s="21" t="n">
        <v>322.368</v>
      </c>
      <c r="JE35" s="21" t="n">
        <v>315.669</v>
      </c>
      <c r="JF35" s="21" t="n">
        <v>714.561</v>
      </c>
      <c r="JG35" s="21" t="n">
        <v>221.987</v>
      </c>
      <c r="JH35" s="21" t="n">
        <v>119.543</v>
      </c>
      <c r="JI35" s="21" t="n">
        <v>133.941</v>
      </c>
      <c r="JJ35" s="21" t="n">
        <v>118.663</v>
      </c>
      <c r="JK35" s="21" t="n">
        <v>104.636</v>
      </c>
      <c r="JL35" s="21" t="n">
        <v>221.923</v>
      </c>
      <c r="JM35" s="21" t="n">
        <v>465.57</v>
      </c>
      <c r="JN35" s="21" t="n">
        <v>125.335</v>
      </c>
      <c r="JO35" s="21" t="n">
        <v>71.726</v>
      </c>
      <c r="JP35" s="21" t="n">
        <v>37.995</v>
      </c>
      <c r="JQ35" s="21" t="n">
        <v>126.878</v>
      </c>
      <c r="JR35" s="21" t="n">
        <v>31.096</v>
      </c>
      <c r="JS35" s="21" t="n">
        <v>87.181</v>
      </c>
      <c r="JT35" s="21" t="n">
        <v>170.556</v>
      </c>
      <c r="JU35" s="21" t="n">
        <v>196.766</v>
      </c>
      <c r="JV35" s="21" t="n">
        <v>149.996</v>
      </c>
      <c r="JW35" s="21" t="n">
        <v>113.371</v>
      </c>
      <c r="JX35" s="21" t="n">
        <v>240.088</v>
      </c>
      <c r="JY35" s="21" t="n">
        <v>187.525</v>
      </c>
      <c r="JZ35" s="21" t="n">
        <v>251.746</v>
      </c>
      <c r="KA35" s="21" t="n">
        <v>110.621</v>
      </c>
      <c r="KB35" s="21" t="n">
        <v>144.562</v>
      </c>
      <c r="KC35" s="21" t="n">
        <v>81.52200000000001</v>
      </c>
      <c r="KD35" s="21" t="n">
        <v>76.667</v>
      </c>
      <c r="KE35" s="21" t="n">
        <v>56.766</v>
      </c>
      <c r="KF35" s="21" t="n"/>
      <c r="KG35" s="21" t="n">
        <v>23.404</v>
      </c>
      <c r="KH35" s="21" t="n">
        <v>124.114</v>
      </c>
      <c r="KI35" s="21" t="n">
        <v>127.008</v>
      </c>
      <c r="KJ35" s="21" t="n">
        <v>121.957</v>
      </c>
      <c r="KK35" s="21" t="n">
        <v>39.902</v>
      </c>
      <c r="KL35" s="21" t="n">
        <v>36.344</v>
      </c>
      <c r="KM35" s="21" t="n">
        <v>44.783</v>
      </c>
      <c r="KN35" s="21" t="n"/>
      <c r="KO35" s="21" t="n">
        <v>96.79900000000001</v>
      </c>
      <c r="KP35" s="21" t="n">
        <v>102.685</v>
      </c>
      <c r="KQ35" s="21" t="n">
        <v>164.659</v>
      </c>
      <c r="KR35" s="21" t="n">
        <v>137.016</v>
      </c>
      <c r="KS35" s="21" t="n">
        <v>373.062</v>
      </c>
      <c r="KT35" s="21" t="n">
        <v>179.782</v>
      </c>
      <c r="KU35" s="21" t="n">
        <v>215.19</v>
      </c>
      <c r="KV35" s="21" t="n">
        <v>304.661</v>
      </c>
      <c r="KW35" s="21" t="n">
        <v>237.689</v>
      </c>
      <c r="KX35" s="21" t="n">
        <v>166.564</v>
      </c>
      <c r="KY35" s="21" t="n">
        <v>95.682</v>
      </c>
      <c r="KZ35" s="21" t="n">
        <v>136.502</v>
      </c>
      <c r="LA35" s="21" t="n">
        <v>256.435</v>
      </c>
      <c r="LB35" s="21" t="n">
        <v>686.535</v>
      </c>
      <c r="LC35" s="21" t="n">
        <v>238.586</v>
      </c>
      <c r="LD35" s="21" t="n">
        <v>734.535</v>
      </c>
      <c r="LE35" s="21" t="n">
        <v>835.999</v>
      </c>
      <c r="LF35" s="21" t="n">
        <v>78.105</v>
      </c>
      <c r="LG35" s="21" t="n">
        <v>292.357</v>
      </c>
      <c r="LH35" s="21" t="n">
        <v>247.63</v>
      </c>
      <c r="LI35" s="21" t="n">
        <v>74.14700000000001</v>
      </c>
      <c r="LJ35" s="21" t="n">
        <v>180.74</v>
      </c>
      <c r="LK35" s="21" t="n">
        <v>284.32</v>
      </c>
      <c r="LL35" s="21" t="n">
        <v>291.799</v>
      </c>
      <c r="LM35" s="21" t="n">
        <v>70.295</v>
      </c>
      <c r="LN35" s="21" t="n">
        <v>90.559</v>
      </c>
      <c r="LO35" s="21" t="n">
        <v>47.944</v>
      </c>
      <c r="LP35" s="21" t="n">
        <v>115.944</v>
      </c>
      <c r="LQ35" s="21" t="n"/>
      <c r="LR35" s="21" t="n"/>
      <c r="LS35" s="21" t="n">
        <v>112.216</v>
      </c>
      <c r="LT35" s="21" t="n">
        <v>42.284</v>
      </c>
      <c r="LU35" s="21" t="n">
        <v>33.395</v>
      </c>
      <c r="LV35" s="21" t="n">
        <v>75.773</v>
      </c>
      <c r="LW35" s="21" t="n">
        <v>255.092</v>
      </c>
      <c r="LX35" s="21" t="n"/>
      <c r="LY35" s="21" t="n">
        <v>436.252</v>
      </c>
      <c r="LZ35" s="21" t="n">
        <v>66.078</v>
      </c>
      <c r="MA35" s="21" t="n">
        <v>428.594</v>
      </c>
      <c r="MB35" s="21" t="n">
        <v>267.544</v>
      </c>
      <c r="MC35" s="21" t="n">
        <v>227.947</v>
      </c>
      <c r="MD35" s="21" t="n">
        <v>161.685</v>
      </c>
      <c r="ME35" s="21" t="n">
        <v>102.503</v>
      </c>
      <c r="MF35" s="21" t="n">
        <v>186.657</v>
      </c>
      <c r="MG35" s="21" t="n">
        <v>258.73</v>
      </c>
      <c r="MH35" s="21" t="n">
        <v>157.867</v>
      </c>
      <c r="MI35" s="21" t="n">
        <v>425.643</v>
      </c>
      <c r="MJ35" s="21" t="n">
        <v>345.577</v>
      </c>
      <c r="MK35" s="21" t="n">
        <v>326.99</v>
      </c>
      <c r="ML35" s="21" t="n">
        <v>165.723</v>
      </c>
      <c r="MM35" s="21" t="n">
        <v>186.516</v>
      </c>
      <c r="MN35" s="21" t="n">
        <v>344.849</v>
      </c>
      <c r="MO35" s="21" t="n">
        <v>156.588</v>
      </c>
      <c r="MP35" s="21" t="n">
        <v>240.545</v>
      </c>
      <c r="MQ35" s="21" t="n">
        <v>78.94799999999999</v>
      </c>
      <c r="MR35" s="21" t="n">
        <v>152.917</v>
      </c>
      <c r="MS35" s="21" t="n">
        <v>78.093</v>
      </c>
      <c r="MT35" s="21" t="n">
        <v>235.602</v>
      </c>
      <c r="MU35" s="21" t="n">
        <v>252.597</v>
      </c>
      <c r="MV35" s="21" t="n">
        <v>245.926</v>
      </c>
      <c r="MW35" s="21" t="n">
        <v>253.638</v>
      </c>
      <c r="MX35" s="21" t="n">
        <v>228.218</v>
      </c>
      <c r="MY35" s="21" t="n">
        <v>222.148</v>
      </c>
      <c r="MZ35" s="21" t="n">
        <v>227.349</v>
      </c>
      <c r="NA35" s="21" t="n">
        <v>232.991</v>
      </c>
      <c r="NB35" s="21" t="n">
        <v>122.927</v>
      </c>
      <c r="NC35" s="21" t="n">
        <v>182.116</v>
      </c>
      <c r="ND35" s="21" t="n">
        <v>151.197</v>
      </c>
      <c r="NE35" s="21" t="n">
        <v>147.909</v>
      </c>
      <c r="NF35" s="21" t="n">
        <v>144.273</v>
      </c>
      <c r="NG35" s="21" t="n">
        <v>145.926</v>
      </c>
      <c r="NH35" s="21" t="n">
        <v>247.806</v>
      </c>
      <c r="NI35" s="21" t="n">
        <v>103.838</v>
      </c>
      <c r="NJ35" s="21" t="n">
        <v>77.04300000000001</v>
      </c>
      <c r="NK35" s="21" t="n">
        <v>109.119</v>
      </c>
      <c r="NL35" s="21" t="n">
        <v>207.29</v>
      </c>
      <c r="NM35" s="21" t="n">
        <v>223.219</v>
      </c>
      <c r="NN35" s="21" t="n">
        <v>89.48399999999999</v>
      </c>
      <c r="NO35" s="21" t="n">
        <v>56.682</v>
      </c>
      <c r="NP35" s="21" t="n">
        <v>222.048</v>
      </c>
      <c r="NQ35" s="21" t="n">
        <v>197.068</v>
      </c>
      <c r="NR35" s="21" t="n">
        <v>238.034</v>
      </c>
      <c r="NS35" s="21" t="n">
        <v>193.973</v>
      </c>
      <c r="NT35" s="21" t="n">
        <v>238.448</v>
      </c>
      <c r="NU35" s="21" t="n">
        <v>112.478</v>
      </c>
      <c r="NV35" s="21" t="n">
        <v>118.719</v>
      </c>
      <c r="NW35" s="21" t="n">
        <v>348.774</v>
      </c>
      <c r="NX35" s="21" t="n">
        <v>82.367</v>
      </c>
      <c r="NY35" s="21" t="n">
        <v>119.761</v>
      </c>
      <c r="NZ35" s="21" t="n">
        <v>313.538</v>
      </c>
      <c r="OA35" s="21" t="n">
        <v>310.283</v>
      </c>
      <c r="OB35" s="21" t="n">
        <v>321.253</v>
      </c>
      <c r="OC35" s="21" t="n">
        <v>295.186</v>
      </c>
      <c r="OD35" s="21" t="n">
        <v>330.492</v>
      </c>
      <c r="OE35" s="21" t="n">
        <v>102.735</v>
      </c>
      <c r="OF35" s="21" t="n">
        <v>312.29</v>
      </c>
      <c r="OG35" s="21" t="n">
        <v>215.443</v>
      </c>
      <c r="OH35" s="21" t="n">
        <v>48.65</v>
      </c>
      <c r="OI35" s="21" t="n">
        <v>123.93</v>
      </c>
      <c r="OJ35" s="21" t="n">
        <v>40.5</v>
      </c>
      <c r="OK35" s="21" t="n">
        <v>13.5</v>
      </c>
    </row>
    <row r="36">
      <c r="A36" s="22" t="n">
        <v>43040</v>
      </c>
      <c r="B36" s="21" t="n">
        <v>246.669</v>
      </c>
      <c r="C36" s="21" t="n">
        <v>738.912</v>
      </c>
      <c r="D36" s="21" t="n">
        <v>250.694</v>
      </c>
      <c r="E36" s="21" t="n">
        <v>250.871</v>
      </c>
      <c r="F36" s="21" t="n">
        <v>238.403</v>
      </c>
      <c r="G36" s="21" t="n">
        <v>269.646</v>
      </c>
      <c r="H36" s="21" t="n">
        <v>225.271</v>
      </c>
      <c r="I36" s="21" t="n">
        <v>228.465</v>
      </c>
      <c r="J36" s="21" t="n">
        <v>223.375</v>
      </c>
      <c r="K36" s="21" t="n">
        <v>232.071</v>
      </c>
      <c r="L36" s="21" t="n">
        <v>160.4</v>
      </c>
      <c r="M36" s="21" t="n">
        <v>295.071</v>
      </c>
      <c r="N36" s="21" t="n">
        <v>177.923</v>
      </c>
      <c r="O36" s="21" t="n">
        <v>320.267</v>
      </c>
      <c r="P36" s="21" t="n">
        <v>347.307</v>
      </c>
      <c r="Q36" s="21" t="n">
        <v>176.519</v>
      </c>
      <c r="R36" s="21" t="n">
        <v>282.524</v>
      </c>
      <c r="S36" s="21" t="n">
        <v>306.138</v>
      </c>
      <c r="T36" s="21" t="n">
        <v>264.751</v>
      </c>
      <c r="U36" s="21" t="n">
        <v>259.873</v>
      </c>
      <c r="V36" s="21" t="n">
        <v>293.636</v>
      </c>
      <c r="W36" s="21" t="n">
        <v>292.11</v>
      </c>
      <c r="X36" s="21" t="n">
        <v>264.915</v>
      </c>
      <c r="Y36" s="21" t="n">
        <v>247.027</v>
      </c>
      <c r="Z36" s="21" t="n">
        <v>249.922</v>
      </c>
      <c r="AA36" s="21" t="n">
        <v>252.203</v>
      </c>
      <c r="AB36" s="21" t="n">
        <v>299.546</v>
      </c>
      <c r="AC36" s="21" t="n">
        <v>270.559</v>
      </c>
      <c r="AD36" s="21" t="n">
        <v>219.191</v>
      </c>
      <c r="AE36" s="21" t="n">
        <v>200.11</v>
      </c>
      <c r="AF36" s="21" t="n">
        <v>234.199</v>
      </c>
      <c r="AG36" s="21" t="n">
        <v>212.177</v>
      </c>
      <c r="AH36" s="21" t="n">
        <v>159.315</v>
      </c>
      <c r="AI36" s="21" t="n">
        <v>300.712</v>
      </c>
      <c r="AJ36" s="21" t="n">
        <v>141.938</v>
      </c>
      <c r="AK36" s="21" t="n">
        <v>202.804</v>
      </c>
      <c r="AL36" s="21" t="n">
        <v>226.458</v>
      </c>
      <c r="AM36" s="21" t="n">
        <v>187.552</v>
      </c>
      <c r="AN36" s="21" t="n">
        <v>128.14</v>
      </c>
      <c r="AO36" s="21" t="n">
        <v>224.936</v>
      </c>
      <c r="AP36" s="21" t="n">
        <v>235.249</v>
      </c>
      <c r="AQ36" s="21" t="n">
        <v>144.623</v>
      </c>
      <c r="AR36" s="21" t="n"/>
      <c r="AS36" s="21" t="n"/>
      <c r="AT36" s="21" t="n">
        <v>230.366</v>
      </c>
      <c r="AU36" s="21" t="n">
        <v>149.111</v>
      </c>
      <c r="AV36" s="21" t="n">
        <v>244.586</v>
      </c>
      <c r="AW36" s="21" t="n">
        <v>222.599</v>
      </c>
      <c r="AX36" s="21" t="n">
        <v>146.236</v>
      </c>
      <c r="AY36" s="21" t="n">
        <v>290.402</v>
      </c>
      <c r="AZ36" s="21" t="n">
        <v>178.088</v>
      </c>
      <c r="BA36" s="21" t="n">
        <v>147.076</v>
      </c>
      <c r="BB36" s="21" t="n">
        <v>205.777</v>
      </c>
      <c r="BC36" s="21" t="n">
        <v>307.385</v>
      </c>
      <c r="BD36" s="21" t="n">
        <v>209.723</v>
      </c>
      <c r="BE36" s="21" t="n">
        <v>216.878</v>
      </c>
      <c r="BF36" s="21" t="n">
        <v>139</v>
      </c>
      <c r="BG36" s="21" t="n">
        <v>199.611</v>
      </c>
      <c r="BH36" s="21" t="n">
        <v>142.934</v>
      </c>
      <c r="BI36" s="21" t="n">
        <v>229.729</v>
      </c>
      <c r="BJ36" s="21" t="n">
        <v>219.206</v>
      </c>
      <c r="BK36" s="21" t="n">
        <v>145.66</v>
      </c>
      <c r="BL36" s="21" t="n">
        <v>296.791</v>
      </c>
      <c r="BM36" s="21" t="n">
        <v>346.273</v>
      </c>
      <c r="BN36" s="21" t="n">
        <v>368.586</v>
      </c>
      <c r="BO36" s="21" t="n">
        <v>336.546</v>
      </c>
      <c r="BP36" s="21" t="n">
        <v>191.184</v>
      </c>
      <c r="BQ36" s="21" t="n">
        <v>262.887</v>
      </c>
      <c r="BR36" s="21" t="n">
        <v>547.9059999999999</v>
      </c>
      <c r="BS36" s="21" t="n">
        <v>123.751</v>
      </c>
      <c r="BT36" s="21" t="n">
        <v>321.617</v>
      </c>
      <c r="BU36" s="21" t="n">
        <v>323.967</v>
      </c>
      <c r="BV36" s="21" t="n">
        <v>298.787</v>
      </c>
      <c r="BW36" s="21" t="n">
        <v>335.432</v>
      </c>
      <c r="BX36" s="21" t="n">
        <v>326.862</v>
      </c>
      <c r="BY36" s="21" t="n">
        <v>151.639</v>
      </c>
      <c r="BZ36" s="21" t="n">
        <v>153.843</v>
      </c>
      <c r="CA36" s="21" t="n">
        <v>151.865</v>
      </c>
      <c r="CB36" s="21" t="n">
        <v>160.54</v>
      </c>
      <c r="CC36" s="21" t="n">
        <v>145.368</v>
      </c>
      <c r="CD36" s="21" t="n">
        <v>198.355</v>
      </c>
      <c r="CE36" s="21" t="n">
        <v>154.801</v>
      </c>
      <c r="CF36" s="21" t="n">
        <v>193.364</v>
      </c>
      <c r="CG36" s="21" t="n">
        <v>166.271</v>
      </c>
      <c r="CH36" s="21" t="n">
        <v>128.475</v>
      </c>
      <c r="CI36" s="21" t="n">
        <v>159.118</v>
      </c>
      <c r="CJ36" s="21" t="n">
        <v>178.029</v>
      </c>
      <c r="CK36" s="21" t="n">
        <v>118.155</v>
      </c>
      <c r="CL36" s="21" t="n">
        <v>116.319</v>
      </c>
      <c r="CM36" s="21" t="n">
        <v>193.95</v>
      </c>
      <c r="CN36" s="21" t="n">
        <v>201.246</v>
      </c>
      <c r="CO36" s="21" t="n">
        <v>192.335</v>
      </c>
      <c r="CP36" s="21" t="n">
        <v>128.449</v>
      </c>
      <c r="CQ36" s="21" t="n">
        <v>209.624</v>
      </c>
      <c r="CR36" s="21" t="n">
        <v>214.994</v>
      </c>
      <c r="CS36" s="21" t="n">
        <v>183.998</v>
      </c>
      <c r="CT36" s="21" t="n">
        <v>144.823</v>
      </c>
      <c r="CU36" s="21" t="n">
        <v>156.031</v>
      </c>
      <c r="CV36" s="21" t="n">
        <v>225.967</v>
      </c>
      <c r="CW36" s="21" t="n">
        <v>202.331</v>
      </c>
      <c r="CX36" s="21" t="n">
        <v>242.644</v>
      </c>
      <c r="CY36" s="21" t="n">
        <v>293.522</v>
      </c>
      <c r="CZ36" s="21" t="n">
        <v>126.445</v>
      </c>
      <c r="DA36" s="21" t="n">
        <v>158.589</v>
      </c>
      <c r="DB36" s="21" t="n">
        <v>156.816</v>
      </c>
      <c r="DC36" s="21" t="n">
        <v>224.303</v>
      </c>
      <c r="DD36" s="21" t="n">
        <v>242.409</v>
      </c>
      <c r="DE36" s="21" t="n">
        <v>168.199</v>
      </c>
      <c r="DF36" s="21" t="n">
        <v>254.01</v>
      </c>
      <c r="DG36" s="21" t="n">
        <v>236.714</v>
      </c>
      <c r="DH36" s="21" t="n">
        <v>147.332</v>
      </c>
      <c r="DI36" s="21" t="n">
        <v>136.757</v>
      </c>
      <c r="DJ36" s="21" t="n">
        <v>138.34</v>
      </c>
      <c r="DK36" s="21" t="n">
        <v>270.968</v>
      </c>
      <c r="DL36" s="21" t="n">
        <v>157.439</v>
      </c>
      <c r="DM36" s="21" t="n">
        <v>132.324</v>
      </c>
      <c r="DN36" s="21" t="n">
        <v>128.533</v>
      </c>
      <c r="DO36" s="21" t="n">
        <v>271.152</v>
      </c>
      <c r="DP36" s="21" t="n">
        <v>168.33</v>
      </c>
      <c r="DQ36" s="21" t="n">
        <v>173.641</v>
      </c>
      <c r="DR36" s="21" t="n">
        <v>171.549</v>
      </c>
      <c r="DS36" s="21" t="n">
        <v>140.138</v>
      </c>
      <c r="DT36" s="21" t="n">
        <v>156.783</v>
      </c>
      <c r="DU36" s="21" t="n">
        <v>186.439</v>
      </c>
      <c r="DV36" s="21" t="n">
        <v>246.991</v>
      </c>
      <c r="DW36" s="21" t="n">
        <v>201.774</v>
      </c>
      <c r="DX36" s="21" t="n">
        <v>225.626</v>
      </c>
      <c r="DY36" s="21" t="n">
        <v>192.091</v>
      </c>
      <c r="DZ36" s="21" t="n">
        <v>205.194</v>
      </c>
      <c r="EA36" s="21" t="n">
        <v>186.314</v>
      </c>
      <c r="EB36" s="21" t="n">
        <v>168.738</v>
      </c>
      <c r="EC36" s="21" t="n">
        <v>345.135</v>
      </c>
      <c r="ED36" s="21" t="n">
        <v>170.871</v>
      </c>
      <c r="EE36" s="21" t="n">
        <v>184.114</v>
      </c>
      <c r="EF36" s="21" t="n">
        <v>186.723</v>
      </c>
      <c r="EG36" s="21" t="n">
        <v>253.177</v>
      </c>
      <c r="EH36" s="21" t="n">
        <v>301.185</v>
      </c>
      <c r="EI36" s="21" t="n">
        <v>312.67</v>
      </c>
      <c r="EJ36" s="21" t="n">
        <v>149.818</v>
      </c>
      <c r="EK36" s="21" t="n">
        <v>542.953</v>
      </c>
      <c r="EL36" s="21" t="n">
        <v>303.984</v>
      </c>
      <c r="EM36" s="21" t="n">
        <v>309.101</v>
      </c>
      <c r="EN36" s="21" t="n">
        <v>309.105</v>
      </c>
      <c r="EO36" s="21" t="n">
        <v>148.629</v>
      </c>
      <c r="EP36" s="21" t="n">
        <v>236.41</v>
      </c>
      <c r="EQ36" s="21" t="n">
        <v>196.686</v>
      </c>
      <c r="ER36" s="21" t="n">
        <v>271.683</v>
      </c>
      <c r="ES36" s="21" t="n">
        <v>263.132</v>
      </c>
      <c r="ET36" s="21" t="n">
        <v>336.196</v>
      </c>
      <c r="EU36" s="21" t="n">
        <v>200.225</v>
      </c>
      <c r="EV36" s="21" t="n">
        <v>208.111</v>
      </c>
      <c r="EW36" s="21" t="n">
        <v>173.504</v>
      </c>
      <c r="EX36" s="21" t="n">
        <v>231.522</v>
      </c>
      <c r="EY36" s="21" t="n">
        <v>538.466</v>
      </c>
      <c r="EZ36" s="21" t="n">
        <v>453.82</v>
      </c>
      <c r="FA36" s="21" t="n">
        <v>119.733</v>
      </c>
      <c r="FB36" s="21" t="n">
        <v>56.567</v>
      </c>
      <c r="FC36" s="21" t="n">
        <v>110.304</v>
      </c>
      <c r="FD36" s="21" t="n">
        <v>64.66</v>
      </c>
      <c r="FE36" s="21" t="n">
        <v>42.956</v>
      </c>
      <c r="FF36" s="21" t="n">
        <v>110.311</v>
      </c>
      <c r="FG36" s="21" t="n">
        <v>128.882</v>
      </c>
      <c r="FH36" s="21" t="n">
        <v>83.389</v>
      </c>
      <c r="FI36" s="21" t="n">
        <v>68.845</v>
      </c>
      <c r="FJ36" s="21" t="n">
        <v>95.36199999999999</v>
      </c>
      <c r="FK36" s="21" t="n">
        <v>72.464</v>
      </c>
      <c r="FL36" s="21" t="n">
        <v>75.432</v>
      </c>
      <c r="FM36" s="21" t="n">
        <v>84.149</v>
      </c>
      <c r="FN36" s="21" t="n">
        <v>63.899</v>
      </c>
      <c r="FO36" s="21" t="n">
        <v>52.701</v>
      </c>
      <c r="FP36" s="21" t="n">
        <v>39.3</v>
      </c>
      <c r="FQ36" s="21" t="n">
        <v>127.864</v>
      </c>
      <c r="FR36" s="21" t="n">
        <v>50.769</v>
      </c>
      <c r="FS36" s="21" t="n">
        <v>84.795</v>
      </c>
      <c r="FT36" s="21" t="n">
        <v>89.2</v>
      </c>
      <c r="FU36" s="21" t="n">
        <v>97.69499999999999</v>
      </c>
      <c r="FV36" s="21" t="n">
        <v>85.161</v>
      </c>
      <c r="FW36" s="21" t="n">
        <v>182.199</v>
      </c>
      <c r="FX36" s="21" t="n">
        <v>117.014</v>
      </c>
      <c r="FY36" s="21" t="n">
        <v>166.514</v>
      </c>
      <c r="FZ36" s="21" t="n">
        <v>114.048</v>
      </c>
      <c r="GA36" s="21" t="n">
        <v>178.787</v>
      </c>
      <c r="GB36" s="21" t="n">
        <v>162.725</v>
      </c>
      <c r="GC36" s="21" t="n">
        <v>179.509</v>
      </c>
      <c r="GD36" s="21" t="n">
        <v>166.342</v>
      </c>
      <c r="GE36" s="21" t="n">
        <v>241.137</v>
      </c>
      <c r="GF36" s="21" t="n">
        <v>125.398</v>
      </c>
      <c r="GG36" s="21" t="n">
        <v>117.069</v>
      </c>
      <c r="GH36" s="21" t="n">
        <v>121.168</v>
      </c>
      <c r="GI36" s="21" t="n">
        <v>109.619</v>
      </c>
      <c r="GJ36" s="21" t="n">
        <v>151.304</v>
      </c>
      <c r="GK36" s="21" t="n">
        <v>79.425</v>
      </c>
      <c r="GL36" s="21" t="n">
        <v>118.487</v>
      </c>
      <c r="GM36" s="21" t="n">
        <v>101.095</v>
      </c>
      <c r="GN36" s="21" t="n">
        <v>111.001</v>
      </c>
      <c r="GO36" s="21" t="n">
        <v>114.004</v>
      </c>
      <c r="GP36" s="21" t="n">
        <v>112.74</v>
      </c>
      <c r="GQ36" s="21" t="n">
        <v>123.284</v>
      </c>
      <c r="GR36" s="21" t="n">
        <v>79.218</v>
      </c>
      <c r="GS36" s="21" t="n">
        <v>107.348</v>
      </c>
      <c r="GT36" s="21" t="n">
        <v>96.74299999999999</v>
      </c>
      <c r="GU36" s="21" t="n">
        <v>135.834</v>
      </c>
      <c r="GV36" s="21" t="n">
        <v>138.282</v>
      </c>
      <c r="GW36" s="21" t="n">
        <v>154.219</v>
      </c>
      <c r="GX36" s="21" t="n">
        <v>124.923</v>
      </c>
      <c r="GY36" s="21" t="n">
        <v>115.924</v>
      </c>
      <c r="GZ36" s="21" t="n">
        <v>173.407</v>
      </c>
      <c r="HA36" s="21" t="n">
        <v>139.536</v>
      </c>
      <c r="HB36" s="21" t="n">
        <v>175.252</v>
      </c>
      <c r="HC36" s="21" t="n">
        <v>204.014</v>
      </c>
      <c r="HD36" s="21" t="n">
        <v>199.421</v>
      </c>
      <c r="HE36" s="21" t="n">
        <v>97.553</v>
      </c>
      <c r="HF36" s="21" t="n">
        <v>145.442</v>
      </c>
      <c r="HG36" s="21" t="n">
        <v>100.763</v>
      </c>
      <c r="HH36" s="21" t="n">
        <v>140.785</v>
      </c>
      <c r="HI36" s="21" t="n">
        <v>155.207</v>
      </c>
      <c r="HJ36" s="21" t="n"/>
      <c r="HK36" s="21" t="n">
        <v>134.901</v>
      </c>
      <c r="HL36" s="21" t="n">
        <v>86.12</v>
      </c>
      <c r="HM36" s="21" t="n">
        <v>120.796</v>
      </c>
      <c r="HN36" s="21" t="n">
        <v>225.322</v>
      </c>
      <c r="HO36" s="21" t="n">
        <v>224.227</v>
      </c>
      <c r="HP36" s="21" t="n">
        <v>220.055</v>
      </c>
      <c r="HQ36" s="21" t="n">
        <v>240.757</v>
      </c>
      <c r="HR36" s="21" t="n">
        <v>234.427</v>
      </c>
      <c r="HS36" s="21" t="n">
        <v>207.419</v>
      </c>
      <c r="HT36" s="21" t="n">
        <v>141.474</v>
      </c>
      <c r="HU36" s="21" t="n">
        <v>121.391</v>
      </c>
      <c r="HV36" s="21" t="n">
        <v>168.351</v>
      </c>
      <c r="HW36" s="21" t="n">
        <v>158.851</v>
      </c>
      <c r="HX36" s="21" t="n">
        <v>386.811</v>
      </c>
      <c r="HY36" s="21" t="n">
        <v>282.502</v>
      </c>
      <c r="HZ36" s="21" t="n">
        <v>296.423</v>
      </c>
      <c r="IA36" s="21" t="n">
        <v>253.506</v>
      </c>
      <c r="IB36" s="21" t="n">
        <v>175.313</v>
      </c>
      <c r="IC36" s="21" t="n">
        <v>543.6130000000001</v>
      </c>
      <c r="ID36" s="21" t="n">
        <v>184.954</v>
      </c>
      <c r="IE36" s="21" t="n">
        <v>176.229</v>
      </c>
      <c r="IF36" s="21" t="n">
        <v>199.555</v>
      </c>
      <c r="IG36" s="21" t="n">
        <v>229.013</v>
      </c>
      <c r="IH36" s="21" t="n"/>
      <c r="II36" s="21" t="n">
        <v>259.341</v>
      </c>
      <c r="IJ36" s="21" t="n">
        <v>267.97</v>
      </c>
      <c r="IK36" s="21" t="n">
        <v>158.667</v>
      </c>
      <c r="IL36" s="21" t="n">
        <v>131.806</v>
      </c>
      <c r="IM36" s="21" t="n">
        <v>117.419</v>
      </c>
      <c r="IN36" s="21" t="n">
        <v>65.361</v>
      </c>
      <c r="IO36" s="21" t="n">
        <v>318.23</v>
      </c>
      <c r="IP36" s="21" t="n">
        <v>126.36</v>
      </c>
      <c r="IQ36" s="21" t="n">
        <v>477.198</v>
      </c>
      <c r="IR36" s="21" t="n">
        <v>378.328</v>
      </c>
      <c r="IS36" s="21" t="n">
        <v>123.872</v>
      </c>
      <c r="IT36" s="21" t="n">
        <v>522.4109999999999</v>
      </c>
      <c r="IU36" s="21" t="n">
        <v>97.01300000000001</v>
      </c>
      <c r="IV36" s="21" t="n">
        <v>99.803</v>
      </c>
      <c r="IW36" s="21" t="n">
        <v>508.879</v>
      </c>
      <c r="IX36" s="21" t="n">
        <v>374.519</v>
      </c>
      <c r="IY36" s="21" t="n">
        <v>377.037</v>
      </c>
      <c r="IZ36" s="21" t="n">
        <v>474.819</v>
      </c>
      <c r="JA36" s="21" t="n">
        <v>188.576</v>
      </c>
      <c r="JB36" s="21" t="n">
        <v>238.243</v>
      </c>
      <c r="JC36" s="21" t="n">
        <v>76.648</v>
      </c>
      <c r="JD36" s="21" t="n">
        <v>322.871</v>
      </c>
      <c r="JE36" s="21" t="n">
        <v>316.658</v>
      </c>
      <c r="JF36" s="21" t="n">
        <v>713.543</v>
      </c>
      <c r="JG36" s="21" t="n">
        <v>222.056</v>
      </c>
      <c r="JH36" s="21" t="n">
        <v>119.63</v>
      </c>
      <c r="JI36" s="21" t="n">
        <v>133.555</v>
      </c>
      <c r="JJ36" s="21" t="n">
        <v>118.42</v>
      </c>
      <c r="JK36" s="21" t="n">
        <v>104.39</v>
      </c>
      <c r="JL36" s="21" t="n">
        <v>216.277</v>
      </c>
      <c r="JM36" s="21" t="n">
        <v>467.136</v>
      </c>
      <c r="JN36" s="21" t="n">
        <v>122.993</v>
      </c>
      <c r="JO36" s="21" t="n">
        <v>68.964</v>
      </c>
      <c r="JP36" s="21" t="n">
        <v>35.119</v>
      </c>
      <c r="JQ36" s="21" t="n">
        <v>128.568</v>
      </c>
      <c r="JR36" s="21" t="n">
        <v>29.357</v>
      </c>
      <c r="JS36" s="21" t="n">
        <v>87.06699999999999</v>
      </c>
      <c r="JT36" s="21" t="n">
        <v>169.828</v>
      </c>
      <c r="JU36" s="21" t="n">
        <v>195.369</v>
      </c>
      <c r="JV36" s="21" t="n">
        <v>148.498</v>
      </c>
      <c r="JW36" s="21" t="n">
        <v>113.191</v>
      </c>
      <c r="JX36" s="21" t="n">
        <v>240.115</v>
      </c>
      <c r="JY36" s="21" t="n">
        <v>187.525</v>
      </c>
      <c r="JZ36" s="21" t="n">
        <v>251.838</v>
      </c>
      <c r="KA36" s="21" t="n">
        <v>110.49</v>
      </c>
      <c r="KB36" s="21" t="n">
        <v>144.293</v>
      </c>
      <c r="KC36" s="21" t="n">
        <v>81.477</v>
      </c>
      <c r="KD36" s="21" t="n">
        <v>76.676</v>
      </c>
      <c r="KE36" s="21" t="n">
        <v>56.794</v>
      </c>
      <c r="KF36" s="21" t="n"/>
      <c r="KG36" s="21" t="n">
        <v>23.42</v>
      </c>
      <c r="KH36" s="21" t="n">
        <v>124.083</v>
      </c>
      <c r="KI36" s="21" t="n">
        <v>129.333</v>
      </c>
      <c r="KJ36" s="21" t="n">
        <v>118.646</v>
      </c>
      <c r="KK36" s="21" t="n">
        <v>39.263</v>
      </c>
      <c r="KL36" s="21" t="n">
        <v>35.694</v>
      </c>
      <c r="KM36" s="21" t="n">
        <v>44.126</v>
      </c>
      <c r="KN36" s="21" t="n"/>
      <c r="KO36" s="21" t="n">
        <v>96.02500000000001</v>
      </c>
      <c r="KP36" s="21" t="n">
        <v>101.981</v>
      </c>
      <c r="KQ36" s="21" t="n">
        <v>164.752</v>
      </c>
      <c r="KR36" s="21" t="n">
        <v>136.893</v>
      </c>
      <c r="KS36" s="21" t="n">
        <v>373.318</v>
      </c>
      <c r="KT36" s="21" t="n">
        <v>180.805</v>
      </c>
      <c r="KU36" s="21" t="n">
        <v>212.807</v>
      </c>
      <c r="KV36" s="21" t="n">
        <v>305.855</v>
      </c>
      <c r="KW36" s="21" t="n">
        <v>240.555</v>
      </c>
      <c r="KX36" s="21" t="n">
        <v>170.266</v>
      </c>
      <c r="KY36" s="21" t="n">
        <v>95.458</v>
      </c>
      <c r="KZ36" s="21" t="n">
        <v>136.717</v>
      </c>
      <c r="LA36" s="21" t="n">
        <v>256.721</v>
      </c>
      <c r="LB36" s="21" t="n">
        <v>696.688</v>
      </c>
      <c r="LC36" s="21" t="n">
        <v>242.72</v>
      </c>
      <c r="LD36" s="21" t="n">
        <v>734.828</v>
      </c>
      <c r="LE36" s="21" t="n">
        <v>836.506</v>
      </c>
      <c r="LF36" s="21" t="n">
        <v>78.251</v>
      </c>
      <c r="LG36" s="21" t="n">
        <v>292.149</v>
      </c>
      <c r="LH36" s="21" t="n">
        <v>247.945</v>
      </c>
      <c r="LI36" s="21" t="n">
        <v>74.295</v>
      </c>
      <c r="LJ36" s="21" t="n">
        <v>180.787</v>
      </c>
      <c r="LK36" s="21" t="n">
        <v>284.32</v>
      </c>
      <c r="LL36" s="21" t="n">
        <v>293.277</v>
      </c>
      <c r="LM36" s="21" t="n">
        <v>70.44</v>
      </c>
      <c r="LN36" s="21" t="n">
        <v>90.893</v>
      </c>
      <c r="LO36" s="21" t="n">
        <v>48.09</v>
      </c>
      <c r="LP36" s="21" t="n">
        <v>116.526</v>
      </c>
      <c r="LQ36" s="21" t="n"/>
      <c r="LR36" s="21" t="n"/>
      <c r="LS36" s="21" t="n">
        <v>112.085</v>
      </c>
      <c r="LT36" s="21" t="n">
        <v>42.04</v>
      </c>
      <c r="LU36" s="21" t="n">
        <v>32.939</v>
      </c>
      <c r="LV36" s="21" t="n">
        <v>75.896</v>
      </c>
      <c r="LW36" s="21" t="n">
        <v>255.931</v>
      </c>
      <c r="LX36" s="21" t="n"/>
      <c r="LY36" s="21" t="n">
        <v>436.352</v>
      </c>
      <c r="LZ36" s="21" t="n">
        <v>66.096</v>
      </c>
      <c r="MA36" s="21" t="n">
        <v>428.776</v>
      </c>
      <c r="MB36" s="21" t="n">
        <v>267.043</v>
      </c>
      <c r="MC36" s="21" t="n">
        <v>227.997</v>
      </c>
      <c r="MD36" s="21" t="n">
        <v>162.223</v>
      </c>
      <c r="ME36" s="21" t="n">
        <v>101.838</v>
      </c>
      <c r="MF36" s="21" t="n">
        <v>189.402</v>
      </c>
      <c r="MG36" s="21" t="n">
        <v>258.356</v>
      </c>
      <c r="MH36" s="21" t="n">
        <v>157.639</v>
      </c>
      <c r="MI36" s="21" t="n">
        <v>426.179</v>
      </c>
      <c r="MJ36" s="21" t="n">
        <v>346.003</v>
      </c>
      <c r="MK36" s="21" t="n">
        <v>327.202</v>
      </c>
      <c r="ML36" s="21" t="n">
        <v>165.884</v>
      </c>
      <c r="MM36" s="21" t="n">
        <v>186.467</v>
      </c>
      <c r="MN36" s="21" t="n">
        <v>345.629</v>
      </c>
      <c r="MO36" s="21" t="n">
        <v>160.938</v>
      </c>
      <c r="MP36" s="21" t="n">
        <v>240.756</v>
      </c>
      <c r="MQ36" s="21" t="n">
        <v>78.021</v>
      </c>
      <c r="MR36" s="21" t="n">
        <v>153.151</v>
      </c>
      <c r="MS36" s="21" t="n">
        <v>79.166</v>
      </c>
      <c r="MT36" s="21" t="n">
        <v>235.605</v>
      </c>
      <c r="MU36" s="21" t="n">
        <v>252.4</v>
      </c>
      <c r="MV36" s="21" t="n">
        <v>246.009</v>
      </c>
      <c r="MW36" s="21" t="n">
        <v>253.492</v>
      </c>
      <c r="MX36" s="21" t="n">
        <v>228.096</v>
      </c>
      <c r="MY36" s="21" t="n">
        <v>222.111</v>
      </c>
      <c r="MZ36" s="21" t="n">
        <v>226.928</v>
      </c>
      <c r="NA36" s="21" t="n">
        <v>232.615</v>
      </c>
      <c r="NB36" s="21" t="n">
        <v>118.448</v>
      </c>
      <c r="NC36" s="21" t="n">
        <v>181.847</v>
      </c>
      <c r="ND36" s="21" t="n">
        <v>151.017</v>
      </c>
      <c r="NE36" s="21" t="n">
        <v>147.715</v>
      </c>
      <c r="NF36" s="21" t="n">
        <v>143.295</v>
      </c>
      <c r="NG36" s="21" t="n">
        <v>144.942</v>
      </c>
      <c r="NH36" s="21" t="n">
        <v>246.651</v>
      </c>
      <c r="NI36" s="21" t="n">
        <v>103.714</v>
      </c>
      <c r="NJ36" s="21" t="n">
        <v>77.03700000000001</v>
      </c>
      <c r="NK36" s="21" t="n">
        <v>109.308</v>
      </c>
      <c r="NL36" s="21" t="n">
        <v>209.383</v>
      </c>
      <c r="NM36" s="21" t="n">
        <v>229.195</v>
      </c>
      <c r="NN36" s="21" t="n">
        <v>88.94</v>
      </c>
      <c r="NO36" s="21" t="n">
        <v>56.365</v>
      </c>
      <c r="NP36" s="21" t="n">
        <v>221.698</v>
      </c>
      <c r="NQ36" s="21" t="n">
        <v>196.834</v>
      </c>
      <c r="NR36" s="21" t="n">
        <v>239.964</v>
      </c>
      <c r="NS36" s="21" t="n">
        <v>193.703</v>
      </c>
      <c r="NT36" s="21" t="n">
        <v>240.539</v>
      </c>
      <c r="NU36" s="21" t="n">
        <v>112.502</v>
      </c>
      <c r="NV36" s="21" t="n">
        <v>118.749</v>
      </c>
      <c r="NW36" s="21" t="n">
        <v>349.179</v>
      </c>
      <c r="NX36" s="21" t="n">
        <v>81.68899999999999</v>
      </c>
      <c r="NY36" s="21" t="n">
        <v>119.838</v>
      </c>
      <c r="NZ36" s="21" t="n">
        <v>313.899</v>
      </c>
      <c r="OA36" s="21" t="n">
        <v>310.555</v>
      </c>
      <c r="OB36" s="21" t="n">
        <v>321.69</v>
      </c>
      <c r="OC36" s="21" t="n">
        <v>295.501</v>
      </c>
      <c r="OD36" s="21" t="n">
        <v>330.682</v>
      </c>
      <c r="OE36" s="21" t="n">
        <v>102.71</v>
      </c>
      <c r="OF36" s="21" t="n">
        <v>313.772</v>
      </c>
      <c r="OG36" s="21" t="n">
        <v>215.239</v>
      </c>
      <c r="OH36" s="21" t="n">
        <v>47.235</v>
      </c>
      <c r="OI36" s="21" t="n">
        <v>124.038</v>
      </c>
      <c r="OJ36" s="21" t="n">
        <v>40.5</v>
      </c>
      <c r="OK36" s="21" t="n">
        <v>13.5</v>
      </c>
    </row>
    <row r="37">
      <c r="A37" s="22" t="n">
        <v>43070</v>
      </c>
      <c r="B37" s="21" t="n">
        <v>246.524</v>
      </c>
      <c r="C37" s="21" t="n">
        <v>738.477</v>
      </c>
      <c r="D37" s="21" t="n">
        <v>251.024</v>
      </c>
      <c r="E37" s="21" t="n">
        <v>251.238</v>
      </c>
      <c r="F37" s="21" t="n">
        <v>238.579</v>
      </c>
      <c r="G37" s="21" t="n">
        <v>269.847</v>
      </c>
      <c r="H37" s="21" t="n">
        <v>225.245</v>
      </c>
      <c r="I37" s="21" t="n">
        <v>227.737</v>
      </c>
      <c r="J37" s="21" t="n">
        <v>224.079</v>
      </c>
      <c r="K37" s="21" t="n">
        <v>231.2</v>
      </c>
      <c r="L37" s="21" t="n">
        <v>157.792</v>
      </c>
      <c r="M37" s="21" t="n">
        <v>295.417</v>
      </c>
      <c r="N37" s="21" t="n">
        <v>178.115</v>
      </c>
      <c r="O37" s="21" t="n">
        <v>322.428</v>
      </c>
      <c r="P37" s="21" t="n">
        <v>345.951</v>
      </c>
      <c r="Q37" s="21" t="n">
        <v>178.698</v>
      </c>
      <c r="R37" s="21" t="n">
        <v>282.694</v>
      </c>
      <c r="S37" s="21" t="n">
        <v>304.361</v>
      </c>
      <c r="T37" s="21" t="n">
        <v>265.101</v>
      </c>
      <c r="U37" s="21" t="n">
        <v>258.92</v>
      </c>
      <c r="V37" s="21" t="n">
        <v>292.494</v>
      </c>
      <c r="W37" s="21" t="n">
        <v>293.667</v>
      </c>
      <c r="X37" s="21" t="n">
        <v>263.187</v>
      </c>
      <c r="Y37" s="21" t="n">
        <v>248.42</v>
      </c>
      <c r="Z37" s="21" t="n">
        <v>250.292</v>
      </c>
      <c r="AA37" s="21" t="n">
        <v>251.835</v>
      </c>
      <c r="AB37" s="21" t="n">
        <v>301.064</v>
      </c>
      <c r="AC37" s="21" t="n">
        <v>271.142</v>
      </c>
      <c r="AD37" s="21" t="n">
        <v>219.989</v>
      </c>
      <c r="AE37" s="21" t="n">
        <v>202.185</v>
      </c>
      <c r="AF37" s="21" t="n">
        <v>234.312</v>
      </c>
      <c r="AG37" s="21" t="n">
        <v>208.931</v>
      </c>
      <c r="AH37" s="21" t="n">
        <v>157.683</v>
      </c>
      <c r="AI37" s="21" t="n">
        <v>297.296</v>
      </c>
      <c r="AJ37" s="21" t="n">
        <v>141.075</v>
      </c>
      <c r="AK37" s="21" t="n">
        <v>196.57</v>
      </c>
      <c r="AL37" s="21" t="n">
        <v>219.464</v>
      </c>
      <c r="AM37" s="21" t="n">
        <v>183.583</v>
      </c>
      <c r="AN37" s="21" t="n">
        <v>127.045</v>
      </c>
      <c r="AO37" s="21" t="n">
        <v>225.943</v>
      </c>
      <c r="AP37" s="21" t="n">
        <v>236.16</v>
      </c>
      <c r="AQ37" s="21" t="n">
        <v>144.508</v>
      </c>
      <c r="AR37" s="21" t="n"/>
      <c r="AS37" s="21" t="n"/>
      <c r="AT37" s="21" t="n">
        <v>233.965</v>
      </c>
      <c r="AU37" s="21" t="n">
        <v>151.159</v>
      </c>
      <c r="AV37" s="21" t="n">
        <v>248.658</v>
      </c>
      <c r="AW37" s="21" t="n">
        <v>225.225</v>
      </c>
      <c r="AX37" s="21" t="n">
        <v>149.778</v>
      </c>
      <c r="AY37" s="21" t="n">
        <v>288.952</v>
      </c>
      <c r="AZ37" s="21" t="n">
        <v>176.965</v>
      </c>
      <c r="BA37" s="21" t="n">
        <v>146.568</v>
      </c>
      <c r="BB37" s="21" t="n">
        <v>206.535</v>
      </c>
      <c r="BC37" s="21" t="n">
        <v>302.914</v>
      </c>
      <c r="BD37" s="21" t="n">
        <v>225.02</v>
      </c>
      <c r="BE37" s="21" t="n">
        <v>216.916</v>
      </c>
      <c r="BF37" s="21" t="n">
        <v>139.575</v>
      </c>
      <c r="BG37" s="21" t="n">
        <v>199.705</v>
      </c>
      <c r="BH37" s="21" t="n">
        <v>143.639</v>
      </c>
      <c r="BI37" s="21" t="n">
        <v>228.526</v>
      </c>
      <c r="BJ37" s="21" t="n">
        <v>221.363</v>
      </c>
      <c r="BK37" s="21" t="n">
        <v>145.268</v>
      </c>
      <c r="BL37" s="21" t="n">
        <v>296.476</v>
      </c>
      <c r="BM37" s="21" t="n">
        <v>346.213</v>
      </c>
      <c r="BN37" s="21" t="n">
        <v>364.445</v>
      </c>
      <c r="BO37" s="21" t="n">
        <v>328.631</v>
      </c>
      <c r="BP37" s="21" t="n">
        <v>194.545</v>
      </c>
      <c r="BQ37" s="21" t="n">
        <v>246.779</v>
      </c>
      <c r="BR37" s="21" t="n">
        <v>496.557</v>
      </c>
      <c r="BS37" s="21" t="n">
        <v>125.821</v>
      </c>
      <c r="BT37" s="21" t="n">
        <v>325.818</v>
      </c>
      <c r="BU37" s="21" t="n">
        <v>324.84</v>
      </c>
      <c r="BV37" s="21" t="n">
        <v>294.311</v>
      </c>
      <c r="BW37" s="21" t="n">
        <v>359.201</v>
      </c>
      <c r="BX37" s="21" t="n">
        <v>328.254</v>
      </c>
      <c r="BY37" s="21" t="n">
        <v>150.971</v>
      </c>
      <c r="BZ37" s="21" t="n">
        <v>152.621</v>
      </c>
      <c r="CA37" s="21" t="n">
        <v>151.53</v>
      </c>
      <c r="CB37" s="21" t="n">
        <v>158.515</v>
      </c>
      <c r="CC37" s="21" t="n">
        <v>145.825</v>
      </c>
      <c r="CD37" s="21" t="n">
        <v>198.629</v>
      </c>
      <c r="CE37" s="21" t="n">
        <v>153.768</v>
      </c>
      <c r="CF37" s="21" t="n">
        <v>194.163</v>
      </c>
      <c r="CG37" s="21" t="n">
        <v>166.006</v>
      </c>
      <c r="CH37" s="21" t="n">
        <v>127.554</v>
      </c>
      <c r="CI37" s="21" t="n">
        <v>157.7</v>
      </c>
      <c r="CJ37" s="21" t="n">
        <v>181.124</v>
      </c>
      <c r="CK37" s="21" t="n">
        <v>117.368</v>
      </c>
      <c r="CL37" s="21" t="n">
        <v>117.696</v>
      </c>
      <c r="CM37" s="21" t="n">
        <v>196.902</v>
      </c>
      <c r="CN37" s="21" t="n">
        <v>204.555</v>
      </c>
      <c r="CO37" s="21" t="n">
        <v>194.604</v>
      </c>
      <c r="CP37" s="21" t="n">
        <v>129.257</v>
      </c>
      <c r="CQ37" s="21" t="n">
        <v>209.401</v>
      </c>
      <c r="CR37" s="21" t="n">
        <v>214.975</v>
      </c>
      <c r="CS37" s="21" t="n">
        <v>183.875</v>
      </c>
      <c r="CT37" s="21" t="n">
        <v>145.607</v>
      </c>
      <c r="CU37" s="21" t="n">
        <v>153.28</v>
      </c>
      <c r="CV37" s="21" t="n">
        <v>226.371</v>
      </c>
      <c r="CW37" s="21" t="n">
        <v>202.276</v>
      </c>
      <c r="CX37" s="21" t="n">
        <v>238.23</v>
      </c>
      <c r="CY37" s="21" t="n">
        <v>294.81</v>
      </c>
      <c r="CZ37" s="21" t="n">
        <v>127.947</v>
      </c>
      <c r="DA37" s="21" t="n">
        <v>158.272</v>
      </c>
      <c r="DB37" s="21" t="n">
        <v>150.528</v>
      </c>
      <c r="DC37" s="21" t="n">
        <v>223.92</v>
      </c>
      <c r="DD37" s="21" t="n">
        <v>241.186</v>
      </c>
      <c r="DE37" s="21" t="n">
        <v>168.459</v>
      </c>
      <c r="DF37" s="21" t="n">
        <v>250.755</v>
      </c>
      <c r="DG37" s="21" t="n">
        <v>237.141</v>
      </c>
      <c r="DH37" s="21" t="n">
        <v>149.053</v>
      </c>
      <c r="DI37" s="21" t="n">
        <v>136.383</v>
      </c>
      <c r="DJ37" s="21" t="n">
        <v>139.254</v>
      </c>
      <c r="DK37" s="21" t="n">
        <v>268.969</v>
      </c>
      <c r="DL37" s="21" t="n">
        <v>157.518</v>
      </c>
      <c r="DM37" s="21" t="n">
        <v>132.714</v>
      </c>
      <c r="DN37" s="21" t="n">
        <v>129.643</v>
      </c>
      <c r="DO37" s="21" t="n">
        <v>271.811</v>
      </c>
      <c r="DP37" s="21" t="n">
        <v>168.607</v>
      </c>
      <c r="DQ37" s="21" t="n">
        <v>173.895</v>
      </c>
      <c r="DR37" s="21" t="n">
        <v>176.279</v>
      </c>
      <c r="DS37" s="21" t="n">
        <v>145.934</v>
      </c>
      <c r="DT37" s="21" t="n">
        <v>156.749</v>
      </c>
      <c r="DU37" s="21" t="n">
        <v>186.869</v>
      </c>
      <c r="DV37" s="21" t="n">
        <v>246.791</v>
      </c>
      <c r="DW37" s="21" t="n">
        <v>201.122</v>
      </c>
      <c r="DX37" s="21" t="n">
        <v>225.19</v>
      </c>
      <c r="DY37" s="21" t="n">
        <v>190.24</v>
      </c>
      <c r="DZ37" s="21" t="n">
        <v>203.18</v>
      </c>
      <c r="EA37" s="21" t="n">
        <v>184.823</v>
      </c>
      <c r="EB37" s="21" t="n">
        <v>168.267</v>
      </c>
      <c r="EC37" s="21" t="n">
        <v>346.189</v>
      </c>
      <c r="ED37" s="21" t="n">
        <v>171.691</v>
      </c>
      <c r="EE37" s="21" t="n">
        <v>185.423</v>
      </c>
      <c r="EF37" s="21" t="n">
        <v>187.153</v>
      </c>
      <c r="EG37" s="21" t="n">
        <v>253.845</v>
      </c>
      <c r="EH37" s="21" t="n">
        <v>301.985</v>
      </c>
      <c r="EI37" s="21" t="n">
        <v>313.904</v>
      </c>
      <c r="EJ37" s="21" t="n">
        <v>146.87</v>
      </c>
      <c r="EK37" s="21" t="n">
        <v>543.693</v>
      </c>
      <c r="EL37" s="21" t="n">
        <v>296.948</v>
      </c>
      <c r="EM37" s="21" t="n">
        <v>310.041</v>
      </c>
      <c r="EN37" s="21" t="n">
        <v>310.048</v>
      </c>
      <c r="EO37" s="21" t="n">
        <v>148.699</v>
      </c>
      <c r="EP37" s="21" t="n">
        <v>237.423</v>
      </c>
      <c r="EQ37" s="21" t="n">
        <v>197.705</v>
      </c>
      <c r="ER37" s="21" t="n">
        <v>277.788</v>
      </c>
      <c r="ES37" s="21" t="n">
        <v>270.955</v>
      </c>
      <c r="ET37" s="21" t="n">
        <v>340.796</v>
      </c>
      <c r="EU37" s="21" t="n">
        <v>201.066</v>
      </c>
      <c r="EV37" s="21" t="n">
        <v>208.406</v>
      </c>
      <c r="EW37" s="21" t="n">
        <v>175.909</v>
      </c>
      <c r="EX37" s="21" t="n">
        <v>231.842</v>
      </c>
      <c r="EY37" s="21" t="n">
        <v>539.5309999999999</v>
      </c>
      <c r="EZ37" s="21" t="n">
        <v>453.596</v>
      </c>
      <c r="FA37" s="21" t="n">
        <v>119.778</v>
      </c>
      <c r="FB37" s="21" t="n">
        <v>56.709</v>
      </c>
      <c r="FC37" s="21" t="n">
        <v>108.172</v>
      </c>
      <c r="FD37" s="21" t="n">
        <v>64.791</v>
      </c>
      <c r="FE37" s="21" t="n">
        <v>43.472</v>
      </c>
      <c r="FF37" s="21" t="n">
        <v>110.075</v>
      </c>
      <c r="FG37" s="21" t="n">
        <v>127.302</v>
      </c>
      <c r="FH37" s="21" t="n">
        <v>83.649</v>
      </c>
      <c r="FI37" s="21" t="n">
        <v>69.17700000000001</v>
      </c>
      <c r="FJ37" s="21" t="n">
        <v>95.048</v>
      </c>
      <c r="FK37" s="21" t="n">
        <v>72.79300000000001</v>
      </c>
      <c r="FL37" s="21" t="n">
        <v>78.044</v>
      </c>
      <c r="FM37" s="21" t="n">
        <v>86.22799999999999</v>
      </c>
      <c r="FN37" s="21" t="n">
        <v>63.347</v>
      </c>
      <c r="FO37" s="21" t="n">
        <v>52.669</v>
      </c>
      <c r="FP37" s="21" t="n">
        <v>39.393</v>
      </c>
      <c r="FQ37" s="21" t="n">
        <v>130.745</v>
      </c>
      <c r="FR37" s="21" t="n">
        <v>50.247</v>
      </c>
      <c r="FS37" s="21" t="n">
        <v>81.617</v>
      </c>
      <c r="FT37" s="21" t="n">
        <v>88.625</v>
      </c>
      <c r="FU37" s="21" t="n">
        <v>97.01000000000001</v>
      </c>
      <c r="FV37" s="21" t="n">
        <v>84.63500000000001</v>
      </c>
      <c r="FW37" s="21" t="n">
        <v>183.598</v>
      </c>
      <c r="FX37" s="21" t="n">
        <v>118.061</v>
      </c>
      <c r="FY37" s="21" t="n">
        <v>168.038</v>
      </c>
      <c r="FZ37" s="21" t="n">
        <v>114.612</v>
      </c>
      <c r="GA37" s="21" t="n">
        <v>178.74</v>
      </c>
      <c r="GB37" s="21" t="n">
        <v>162.992</v>
      </c>
      <c r="GC37" s="21" t="n"/>
      <c r="GD37" s="21" t="n">
        <v>163.848</v>
      </c>
      <c r="GE37" s="21" t="n">
        <v>243.743</v>
      </c>
      <c r="GF37" s="21" t="n">
        <v>120.614</v>
      </c>
      <c r="GG37" s="21" t="n">
        <v>112.77</v>
      </c>
      <c r="GH37" s="21" t="n">
        <v>116.542</v>
      </c>
      <c r="GI37" s="21" t="n">
        <v>104.554</v>
      </c>
      <c r="GJ37" s="21" t="n">
        <v>150.042</v>
      </c>
      <c r="GK37" s="21" t="n">
        <v>73.88800000000001</v>
      </c>
      <c r="GL37" s="21" t="n">
        <v>114.362</v>
      </c>
      <c r="GM37" s="21" t="n">
        <v>97.98099999999999</v>
      </c>
      <c r="GN37" s="21" t="n">
        <v>105.186</v>
      </c>
      <c r="GO37" s="21" t="n">
        <v>107.066</v>
      </c>
      <c r="GP37" s="21" t="n">
        <v>101.468</v>
      </c>
      <c r="GQ37" s="21" t="n">
        <v>116.545</v>
      </c>
      <c r="GR37" s="21" t="n">
        <v>73.289</v>
      </c>
      <c r="GS37" s="21" t="n">
        <v>103.402</v>
      </c>
      <c r="GT37" s="21" t="n">
        <v>95.807</v>
      </c>
      <c r="GU37" s="21" t="n">
        <v>133.114</v>
      </c>
      <c r="GV37" s="21" t="n">
        <v>133.372</v>
      </c>
      <c r="GW37" s="21" t="n">
        <v>153.679</v>
      </c>
      <c r="GX37" s="21" t="n">
        <v>122.61</v>
      </c>
      <c r="GY37" s="21" t="n">
        <v>114.94</v>
      </c>
      <c r="GZ37" s="21" t="n">
        <v>166.793</v>
      </c>
      <c r="HA37" s="21" t="n">
        <v>132.805</v>
      </c>
      <c r="HB37" s="21" t="n">
        <v>169.649</v>
      </c>
      <c r="HC37" s="21" t="n">
        <v>203.023</v>
      </c>
      <c r="HD37" s="21" t="n">
        <v>198.757</v>
      </c>
      <c r="HE37" s="21" t="n">
        <v>98.327</v>
      </c>
      <c r="HF37" s="21" t="n">
        <v>146.522</v>
      </c>
      <c r="HG37" s="21" t="n">
        <v>101.514</v>
      </c>
      <c r="HH37" s="21" t="n">
        <v>141.837</v>
      </c>
      <c r="HI37" s="21" t="n">
        <v>156.355</v>
      </c>
      <c r="HJ37" s="21" t="n"/>
      <c r="HK37" s="21" t="n">
        <v>136.118</v>
      </c>
      <c r="HL37" s="21" t="n">
        <v>86.583</v>
      </c>
      <c r="HM37" s="21" t="n">
        <v>123.179</v>
      </c>
      <c r="HN37" s="21" t="n">
        <v>217.972</v>
      </c>
      <c r="HO37" s="21" t="n">
        <v>216.781</v>
      </c>
      <c r="HP37" s="21" t="n">
        <v>212.447</v>
      </c>
      <c r="HQ37" s="21" t="n">
        <v>232.997</v>
      </c>
      <c r="HR37" s="21" t="n">
        <v>228.883</v>
      </c>
      <c r="HS37" s="21" t="n">
        <v>208.482</v>
      </c>
      <c r="HT37" s="21" t="n">
        <v>141.979</v>
      </c>
      <c r="HU37" s="21" t="n">
        <v>122.385</v>
      </c>
      <c r="HV37" s="21" t="n">
        <v>167.838</v>
      </c>
      <c r="HW37" s="21" t="n">
        <v>158.625</v>
      </c>
      <c r="HX37" s="21" t="n">
        <v>381.492</v>
      </c>
      <c r="HY37" s="21" t="n">
        <v>283.107</v>
      </c>
      <c r="HZ37" s="21" t="n">
        <v>296.864</v>
      </c>
      <c r="IA37" s="21" t="n">
        <v>254.556</v>
      </c>
      <c r="IB37" s="21" t="n">
        <v>175.132</v>
      </c>
      <c r="IC37" s="21" t="n">
        <v>547.586</v>
      </c>
      <c r="ID37" s="21" t="n">
        <v>184.452</v>
      </c>
      <c r="IE37" s="21" t="n">
        <v>176.382</v>
      </c>
      <c r="IF37" s="21" t="n">
        <v>198.166</v>
      </c>
      <c r="IG37" s="21" t="n">
        <v>228.179</v>
      </c>
      <c r="IH37" s="21" t="n"/>
      <c r="II37" s="21" t="n">
        <v>252.719</v>
      </c>
      <c r="IJ37" s="21" t="n">
        <v>254.947</v>
      </c>
      <c r="IK37" s="21" t="n">
        <v>161.531</v>
      </c>
      <c r="IL37" s="21" t="n">
        <v>134.776</v>
      </c>
      <c r="IM37" s="21" t="n">
        <v>119.013</v>
      </c>
      <c r="IN37" s="21" t="n">
        <v>65.91800000000001</v>
      </c>
      <c r="IO37" s="21" t="n">
        <v>317.697</v>
      </c>
      <c r="IP37" s="21" t="n">
        <v>126.36</v>
      </c>
      <c r="IQ37" s="21" t="n">
        <v>477.802</v>
      </c>
      <c r="IR37" s="21" t="n">
        <v>380.087</v>
      </c>
      <c r="IS37" s="21" t="n">
        <v>124.483</v>
      </c>
      <c r="IT37" s="21" t="n">
        <v>525.385</v>
      </c>
      <c r="IU37" s="21" t="n">
        <v>97.19199999999999</v>
      </c>
      <c r="IV37" s="21" t="n">
        <v>99.39700000000001</v>
      </c>
      <c r="IW37" s="21" t="n">
        <v>509.045</v>
      </c>
      <c r="IX37" s="21" t="n">
        <v>374.733</v>
      </c>
      <c r="IY37" s="21" t="n">
        <v>377.734</v>
      </c>
      <c r="IZ37" s="21" t="n">
        <v>474.763</v>
      </c>
      <c r="JA37" s="21" t="n">
        <v>187.999</v>
      </c>
      <c r="JB37" s="21" t="n">
        <v>238.09</v>
      </c>
      <c r="JC37" s="21" t="n">
        <v>76.694</v>
      </c>
      <c r="JD37" s="21" t="n">
        <v>323.114</v>
      </c>
      <c r="JE37" s="21" t="n">
        <v>316.744</v>
      </c>
      <c r="JF37" s="21" t="n">
        <v>714.211</v>
      </c>
      <c r="JG37" s="21" t="n">
        <v>222.107</v>
      </c>
      <c r="JH37" s="21" t="n">
        <v>119.269</v>
      </c>
      <c r="JI37" s="21" t="n">
        <v>133.4</v>
      </c>
      <c r="JJ37" s="21" t="n">
        <v>118.336</v>
      </c>
      <c r="JK37" s="21" t="n">
        <v>103.844</v>
      </c>
      <c r="JL37" s="21" t="n">
        <v>211.403</v>
      </c>
      <c r="JM37" s="21" t="n">
        <v>465.176</v>
      </c>
      <c r="JN37" s="21" t="n">
        <v>118.269</v>
      </c>
      <c r="JO37" s="21" t="n">
        <v>70.68899999999999</v>
      </c>
      <c r="JP37" s="21" t="n">
        <v>36.305</v>
      </c>
      <c r="JQ37" s="21" t="n">
        <v>129.387</v>
      </c>
      <c r="JR37" s="21" t="n">
        <v>27.777</v>
      </c>
      <c r="JS37" s="21" t="n">
        <v>87.751</v>
      </c>
      <c r="JT37" s="21" t="n">
        <v>170</v>
      </c>
      <c r="JU37" s="21" t="n">
        <v>195.218</v>
      </c>
      <c r="JV37" s="21" t="n">
        <v>149.028</v>
      </c>
      <c r="JW37" s="21" t="n">
        <v>112.699</v>
      </c>
      <c r="JX37" s="21" t="n">
        <v>241.012</v>
      </c>
      <c r="JY37" s="21" t="n">
        <v>188.39</v>
      </c>
      <c r="JZ37" s="21" t="n">
        <v>252.592</v>
      </c>
      <c r="KA37" s="21" t="n">
        <v>110.664</v>
      </c>
      <c r="KB37" s="21" t="n">
        <v>145.577</v>
      </c>
      <c r="KC37" s="21" t="n">
        <v>80.914</v>
      </c>
      <c r="KD37" s="21" t="n">
        <v>74.837</v>
      </c>
      <c r="KE37" s="21" t="n">
        <v>54.34</v>
      </c>
      <c r="KF37" s="21" t="n"/>
      <c r="KG37" s="21" t="n">
        <v>22.365</v>
      </c>
      <c r="KH37" s="21" t="n">
        <v>123.066</v>
      </c>
      <c r="KI37" s="21" t="n">
        <v>127.743</v>
      </c>
      <c r="KJ37" s="21" t="n">
        <v>117.812</v>
      </c>
      <c r="KK37" s="21" t="n">
        <v>38.776</v>
      </c>
      <c r="KL37" s="21" t="n">
        <v>35.158</v>
      </c>
      <c r="KM37" s="21" t="n">
        <v>43.158</v>
      </c>
      <c r="KN37" s="21" t="n"/>
      <c r="KO37" s="21" t="n">
        <v>94.93300000000001</v>
      </c>
      <c r="KP37" s="21" t="n">
        <v>102.817</v>
      </c>
      <c r="KQ37" s="21" t="n">
        <v>165.712</v>
      </c>
      <c r="KR37" s="21" t="n">
        <v>138.108</v>
      </c>
      <c r="KS37" s="21" t="n">
        <v>373.42</v>
      </c>
      <c r="KT37" s="21" t="n">
        <v>180.94</v>
      </c>
      <c r="KU37" s="21" t="n">
        <v>211.856</v>
      </c>
      <c r="KV37" s="21" t="n">
        <v>310.611</v>
      </c>
      <c r="KW37" s="21" t="n">
        <v>240.155</v>
      </c>
      <c r="KX37" s="21" t="n">
        <v>168.759</v>
      </c>
      <c r="KY37" s="21" t="n">
        <v>96.292</v>
      </c>
      <c r="KZ37" s="21" t="n">
        <v>136.671</v>
      </c>
      <c r="LA37" s="21" t="n">
        <v>256.469</v>
      </c>
      <c r="LB37" s="21" t="n">
        <v>687.646</v>
      </c>
      <c r="LC37" s="21" t="n">
        <v>239.838</v>
      </c>
      <c r="LD37" s="21" t="n">
        <v>734.576</v>
      </c>
      <c r="LE37" s="21" t="n">
        <v>836.546</v>
      </c>
      <c r="LF37" s="21" t="n">
        <v>78.249</v>
      </c>
      <c r="LG37" s="21" t="n">
        <v>291.729</v>
      </c>
      <c r="LH37" s="21" t="n">
        <v>247.858</v>
      </c>
      <c r="LI37" s="21" t="n">
        <v>74.31399999999999</v>
      </c>
      <c r="LJ37" s="21" t="n">
        <v>180.826</v>
      </c>
      <c r="LK37" s="21" t="n">
        <v>284.32</v>
      </c>
      <c r="LL37" s="21" t="n">
        <v>294.484</v>
      </c>
      <c r="LM37" s="21" t="n">
        <v>70.458</v>
      </c>
      <c r="LN37" s="21" t="n">
        <v>91.066</v>
      </c>
      <c r="LO37" s="21" t="n">
        <v>48.066</v>
      </c>
      <c r="LP37" s="21" t="n">
        <v>117.34</v>
      </c>
      <c r="LQ37" s="21" t="n"/>
      <c r="LR37" s="21" t="n"/>
      <c r="LS37" s="21" t="n">
        <v>111.744</v>
      </c>
      <c r="LT37" s="21" t="n">
        <v>41.353</v>
      </c>
      <c r="LU37" s="21" t="n">
        <v>32.53</v>
      </c>
      <c r="LV37" s="21" t="n">
        <v>75.928</v>
      </c>
      <c r="LW37" s="21" t="n">
        <v>260.862</v>
      </c>
      <c r="LX37" s="21" t="n"/>
      <c r="LY37" s="21" t="n">
        <v>435.831</v>
      </c>
      <c r="LZ37" s="21" t="n">
        <v>66.006</v>
      </c>
      <c r="MA37" s="21" t="n">
        <v>428.068</v>
      </c>
      <c r="MB37" s="21" t="n">
        <v>267.747</v>
      </c>
      <c r="MC37" s="21" t="n">
        <v>227.736</v>
      </c>
      <c r="MD37" s="21" t="n">
        <v>161.303</v>
      </c>
      <c r="ME37" s="21" t="n">
        <v>101.585</v>
      </c>
      <c r="MF37" s="21" t="n">
        <v>187.64</v>
      </c>
      <c r="MG37" s="21" t="n">
        <v>258.926</v>
      </c>
      <c r="MH37" s="21" t="n">
        <v>157.987</v>
      </c>
      <c r="MI37" s="21" t="n">
        <v>426.741</v>
      </c>
      <c r="MJ37" s="21" t="n">
        <v>345.87</v>
      </c>
      <c r="MK37" s="21" t="n">
        <v>327.777</v>
      </c>
      <c r="ML37" s="21" t="n">
        <v>165.998</v>
      </c>
      <c r="MM37" s="21" t="n">
        <v>186.29</v>
      </c>
      <c r="MN37" s="21" t="n">
        <v>347.02</v>
      </c>
      <c r="MO37" s="21" t="n">
        <v>161.777</v>
      </c>
      <c r="MP37" s="21" t="n">
        <v>240.261</v>
      </c>
      <c r="MQ37" s="21" t="n">
        <v>77.306</v>
      </c>
      <c r="MR37" s="21" t="n">
        <v>151.186</v>
      </c>
      <c r="MS37" s="21" t="n">
        <v>79.431</v>
      </c>
      <c r="MT37" s="21" t="n">
        <v>235.426</v>
      </c>
      <c r="MU37" s="21" t="n">
        <v>252.51</v>
      </c>
      <c r="MV37" s="21" t="n">
        <v>245.785</v>
      </c>
      <c r="MW37" s="21" t="n">
        <v>253.558</v>
      </c>
      <c r="MX37" s="21" t="n">
        <v>227.582</v>
      </c>
      <c r="MY37" s="21" t="n">
        <v>221.397</v>
      </c>
      <c r="MZ37" s="21" t="n">
        <v>226.578</v>
      </c>
      <c r="NA37" s="21" t="n">
        <v>232.147</v>
      </c>
      <c r="NB37" s="21" t="n">
        <v>113.32</v>
      </c>
      <c r="NC37" s="21" t="n">
        <v>180.946</v>
      </c>
      <c r="ND37" s="21" t="n">
        <v>149.683</v>
      </c>
      <c r="NE37" s="21" t="n">
        <v>146.359</v>
      </c>
      <c r="NF37" s="21" t="n">
        <v>142.647</v>
      </c>
      <c r="NG37" s="21" t="n">
        <v>144.064</v>
      </c>
      <c r="NH37" s="21" t="n">
        <v>246.92</v>
      </c>
      <c r="NI37" s="21" t="n">
        <v>104.083</v>
      </c>
      <c r="NJ37" s="21" t="n">
        <v>76.28</v>
      </c>
      <c r="NK37" s="21" t="n">
        <v>109.371</v>
      </c>
      <c r="NL37" s="21" t="n">
        <v>206.598</v>
      </c>
      <c r="NM37" s="21" t="n">
        <v>222.389</v>
      </c>
      <c r="NN37" s="21" t="n">
        <v>88.989</v>
      </c>
      <c r="NO37" s="21" t="n">
        <v>55.878</v>
      </c>
      <c r="NP37" s="21" t="n">
        <v>219.981</v>
      </c>
      <c r="NQ37" s="21" t="n">
        <v>193.495</v>
      </c>
      <c r="NR37" s="21" t="n">
        <v>237.357</v>
      </c>
      <c r="NS37" s="21" t="n">
        <v>190.183</v>
      </c>
      <c r="NT37" s="21" t="n">
        <v>237.687</v>
      </c>
      <c r="NU37" s="21" t="n">
        <v>112.034</v>
      </c>
      <c r="NV37" s="21" t="n">
        <v>118.945</v>
      </c>
      <c r="NW37" s="21" t="n">
        <v>349.586</v>
      </c>
      <c r="NX37" s="21" t="n">
        <v>81.139</v>
      </c>
      <c r="NY37" s="21" t="n">
        <v>120.065</v>
      </c>
      <c r="NZ37" s="21" t="n">
        <v>314.74</v>
      </c>
      <c r="OA37" s="21" t="n">
        <v>311.138</v>
      </c>
      <c r="OB37" s="21" t="n">
        <v>322.25</v>
      </c>
      <c r="OC37" s="21" t="n">
        <v>296.11</v>
      </c>
      <c r="OD37" s="21" t="n">
        <v>331.01</v>
      </c>
      <c r="OE37" s="21" t="n">
        <v>103.502</v>
      </c>
      <c r="OF37" s="21" t="n">
        <v>313.645</v>
      </c>
      <c r="OG37" s="21" t="n">
        <v>214.951</v>
      </c>
      <c r="OH37" s="21" t="n">
        <v>45.897</v>
      </c>
      <c r="OI37" s="21" t="n">
        <v>123.724</v>
      </c>
      <c r="OJ37" s="21" t="n">
        <v>40.6</v>
      </c>
      <c r="OK37" s="21" t="n">
        <v>13.5</v>
      </c>
    </row>
    <row r="38">
      <c r="A38" s="22" t="n">
        <v>43101</v>
      </c>
      <c r="B38" s="21" t="n">
        <v>247.867</v>
      </c>
      <c r="C38" s="21" t="n">
        <v>742.499</v>
      </c>
      <c r="D38" s="21" t="n">
        <v>252.109</v>
      </c>
      <c r="E38" s="21" t="n">
        <v>252.361</v>
      </c>
      <c r="F38" s="21" t="n">
        <v>239.828</v>
      </c>
      <c r="G38" s="21" t="n">
        <v>272.273</v>
      </c>
      <c r="H38" s="21" t="n">
        <v>226.464</v>
      </c>
      <c r="I38" s="21" t="n">
        <v>238.926</v>
      </c>
      <c r="J38" s="21" t="n">
        <v>222.5</v>
      </c>
      <c r="K38" s="21" t="n">
        <v>232.821</v>
      </c>
      <c r="L38" s="21" t="n">
        <v>160.832</v>
      </c>
      <c r="M38" s="21" t="n">
        <v>298.582</v>
      </c>
      <c r="N38" s="21" t="n">
        <v>177.242</v>
      </c>
      <c r="O38" s="21" t="n">
        <v>319.327</v>
      </c>
      <c r="P38" s="21" t="n">
        <v>345.247</v>
      </c>
      <c r="Q38" s="21" t="n">
        <v>178.154</v>
      </c>
      <c r="R38" s="21" t="n">
        <v>288.664</v>
      </c>
      <c r="S38" s="21" t="n">
        <v>306.506</v>
      </c>
      <c r="T38" s="21" t="n">
        <v>273.618</v>
      </c>
      <c r="U38" s="21" t="n">
        <v>265.02</v>
      </c>
      <c r="V38" s="21" t="n">
        <v>294.893</v>
      </c>
      <c r="W38" s="21" t="n">
        <v>301.373</v>
      </c>
      <c r="X38" s="21" t="n">
        <v>270.268</v>
      </c>
      <c r="Y38" s="21" t="n">
        <v>247.284</v>
      </c>
      <c r="Z38" s="21" t="n">
        <v>248.991</v>
      </c>
      <c r="AA38" s="21" t="n">
        <v>250.789</v>
      </c>
      <c r="AB38" s="21" t="n">
        <v>297.178</v>
      </c>
      <c r="AC38" s="21" t="n">
        <v>268.855</v>
      </c>
      <c r="AD38" s="21" t="n">
        <v>217.269</v>
      </c>
      <c r="AE38" s="21" t="n">
        <v>197.806</v>
      </c>
      <c r="AF38" s="21" t="n">
        <v>235.006</v>
      </c>
      <c r="AG38" s="21" t="n">
        <v>211.114</v>
      </c>
      <c r="AH38" s="21" t="n">
        <v>160.862</v>
      </c>
      <c r="AI38" s="21" t="n">
        <v>303.157</v>
      </c>
      <c r="AJ38" s="21" t="n">
        <v>144.617</v>
      </c>
      <c r="AK38" s="21" t="n">
        <v>194.308</v>
      </c>
      <c r="AL38" s="21" t="n">
        <v>217.279</v>
      </c>
      <c r="AM38" s="21" t="n">
        <v>186.512</v>
      </c>
      <c r="AN38" s="21" t="n">
        <v>127.684</v>
      </c>
      <c r="AO38" s="21" t="n">
        <v>224.437</v>
      </c>
      <c r="AP38" s="21" t="n">
        <v>234.014</v>
      </c>
      <c r="AQ38" s="21" t="n">
        <v>143.79</v>
      </c>
      <c r="AR38" s="21" t="n"/>
      <c r="AS38" s="21" t="n"/>
      <c r="AT38" s="21" t="n">
        <v>231.017</v>
      </c>
      <c r="AU38" s="21" t="n">
        <v>148.844</v>
      </c>
      <c r="AV38" s="21" t="n">
        <v>247.809</v>
      </c>
      <c r="AW38" s="21" t="n">
        <v>220.803</v>
      </c>
      <c r="AX38" s="21" t="n">
        <v>149.728</v>
      </c>
      <c r="AY38" s="21" t="n">
        <v>289.064</v>
      </c>
      <c r="AZ38" s="21" t="n">
        <v>179.25</v>
      </c>
      <c r="BA38" s="21" t="n">
        <v>144.741</v>
      </c>
      <c r="BB38" s="21" t="n">
        <v>202.929</v>
      </c>
      <c r="BC38" s="21" t="n">
        <v>302.207</v>
      </c>
      <c r="BD38" s="21" t="n">
        <v>226.224</v>
      </c>
      <c r="BE38" s="21" t="n">
        <v>217.897</v>
      </c>
      <c r="BF38" s="21" t="n">
        <v>137.856</v>
      </c>
      <c r="BG38" s="21" t="n">
        <v>197.963</v>
      </c>
      <c r="BH38" s="21" t="n">
        <v>141.672</v>
      </c>
      <c r="BI38" s="21" t="n">
        <v>230.754</v>
      </c>
      <c r="BJ38" s="21" t="n">
        <v>225.711</v>
      </c>
      <c r="BK38" s="21" t="n">
        <v>146.395</v>
      </c>
      <c r="BL38" s="21" t="n">
        <v>301.814</v>
      </c>
      <c r="BM38" s="21" t="n">
        <v>352.044</v>
      </c>
      <c r="BN38" s="21" t="n">
        <v>370.741</v>
      </c>
      <c r="BO38" s="21" t="n">
        <v>335.546</v>
      </c>
      <c r="BP38" s="21" t="n">
        <v>195.248</v>
      </c>
      <c r="BQ38" s="21" t="n">
        <v>246.266</v>
      </c>
      <c r="BR38" s="21" t="n">
        <v>495.648</v>
      </c>
      <c r="BS38" s="21" t="n">
        <v>129.88</v>
      </c>
      <c r="BT38" s="21" t="n">
        <v>331.144</v>
      </c>
      <c r="BU38" s="21" t="n">
        <v>335.657</v>
      </c>
      <c r="BV38" s="21" t="n">
        <v>284.309</v>
      </c>
      <c r="BW38" s="21" t="n">
        <v>378.157</v>
      </c>
      <c r="BX38" s="21" t="n">
        <v>331.893</v>
      </c>
      <c r="BY38" s="21" t="n">
        <v>154.364</v>
      </c>
      <c r="BZ38" s="21" t="n">
        <v>158.936</v>
      </c>
      <c r="CA38" s="21" t="n">
        <v>154.54</v>
      </c>
      <c r="CB38" s="21" t="n">
        <v>166.958</v>
      </c>
      <c r="CC38" s="21" t="n">
        <v>145.334</v>
      </c>
      <c r="CD38" s="21" t="n">
        <v>200.347</v>
      </c>
      <c r="CE38" s="21" t="n">
        <v>154.948</v>
      </c>
      <c r="CF38" s="21" t="n">
        <v>189.459</v>
      </c>
      <c r="CG38" s="21" t="n">
        <v>167.671</v>
      </c>
      <c r="CH38" s="21" t="n">
        <v>129.654</v>
      </c>
      <c r="CI38" s="21" t="n">
        <v>161.636</v>
      </c>
      <c r="CJ38" s="21" t="n">
        <v>180.189</v>
      </c>
      <c r="CK38" s="21" t="n">
        <v>118.657</v>
      </c>
      <c r="CL38" s="21" t="n">
        <v>117.096</v>
      </c>
      <c r="CM38" s="21" t="n">
        <v>195.168</v>
      </c>
      <c r="CN38" s="21" t="n">
        <v>204.43</v>
      </c>
      <c r="CO38" s="21" t="n">
        <v>189.693</v>
      </c>
      <c r="CP38" s="21" t="n">
        <v>129.468</v>
      </c>
      <c r="CQ38" s="21" t="n">
        <v>209.611</v>
      </c>
      <c r="CR38" s="21" t="n">
        <v>217.689</v>
      </c>
      <c r="CS38" s="21" t="n">
        <v>190.066</v>
      </c>
      <c r="CT38" s="21" t="n">
        <v>146.172</v>
      </c>
      <c r="CU38" s="21" t="n">
        <v>157.283</v>
      </c>
      <c r="CV38" s="21" t="n">
        <v>228.205</v>
      </c>
      <c r="CW38" s="21" t="n">
        <v>207.332</v>
      </c>
      <c r="CX38" s="21" t="n">
        <v>246.748</v>
      </c>
      <c r="CY38" s="21" t="n">
        <v>297.959</v>
      </c>
      <c r="CZ38" s="21" t="n">
        <v>127.357</v>
      </c>
      <c r="DA38" s="21" t="n">
        <v>159.01</v>
      </c>
      <c r="DB38" s="21" t="n">
        <v>152.969</v>
      </c>
      <c r="DC38" s="21" t="n">
        <v>223.355</v>
      </c>
      <c r="DD38" s="21" t="n">
        <v>240.426</v>
      </c>
      <c r="DE38" s="21" t="n">
        <v>165.913</v>
      </c>
      <c r="DF38" s="21" t="n">
        <v>250.284</v>
      </c>
      <c r="DG38" s="21" t="n">
        <v>243.367</v>
      </c>
      <c r="DH38" s="21" t="n">
        <v>155.686</v>
      </c>
      <c r="DI38" s="21" t="n">
        <v>137.562</v>
      </c>
      <c r="DJ38" s="21" t="n">
        <v>141.983</v>
      </c>
      <c r="DK38" s="21" t="n">
        <v>274.893</v>
      </c>
      <c r="DL38" s="21" t="n">
        <v>158.529</v>
      </c>
      <c r="DM38" s="21" t="n">
        <v>130.641</v>
      </c>
      <c r="DN38" s="21" t="n">
        <v>127.924</v>
      </c>
      <c r="DO38" s="21" t="n">
        <v>272.772</v>
      </c>
      <c r="DP38" s="21" t="n">
        <v>169.021</v>
      </c>
      <c r="DQ38" s="21" t="n">
        <v>174.704</v>
      </c>
      <c r="DR38" s="21" t="n">
        <v>176.464</v>
      </c>
      <c r="DS38" s="21" t="n">
        <v>145.969</v>
      </c>
      <c r="DT38" s="21" t="n">
        <v>157.262</v>
      </c>
      <c r="DU38" s="21" t="n">
        <v>188.329</v>
      </c>
      <c r="DV38" s="21" t="n">
        <v>247.359</v>
      </c>
      <c r="DW38" s="21" t="n">
        <v>201.276</v>
      </c>
      <c r="DX38" s="21" t="n">
        <v>224.667</v>
      </c>
      <c r="DY38" s="21" t="n">
        <v>191.51</v>
      </c>
      <c r="DZ38" s="21" t="n">
        <v>205.305</v>
      </c>
      <c r="EA38" s="21" t="n">
        <v>187.025</v>
      </c>
      <c r="EB38" s="21" t="n">
        <v>168.631</v>
      </c>
      <c r="EC38" s="21" t="n">
        <v>347.864</v>
      </c>
      <c r="ED38" s="21" t="n">
        <v>172.503</v>
      </c>
      <c r="EE38" s="21" t="n">
        <v>185.819</v>
      </c>
      <c r="EF38" s="21" t="n">
        <v>188.205</v>
      </c>
      <c r="EG38" s="21" t="n">
        <v>254.857</v>
      </c>
      <c r="EH38" s="21" t="n">
        <v>302.928</v>
      </c>
      <c r="EI38" s="21" t="n">
        <v>314.788</v>
      </c>
      <c r="EJ38" s="21" t="n">
        <v>150.024</v>
      </c>
      <c r="EK38" s="21" t="n">
        <v>543.866</v>
      </c>
      <c r="EL38" s="21" t="n">
        <v>304.237</v>
      </c>
      <c r="EM38" s="21" t="n">
        <v>310.828</v>
      </c>
      <c r="EN38" s="21" t="n">
        <v>310.832</v>
      </c>
      <c r="EO38" s="21" t="n">
        <v>149.073</v>
      </c>
      <c r="EP38" s="21" t="n">
        <v>238.77</v>
      </c>
      <c r="EQ38" s="21" t="n">
        <v>198.873</v>
      </c>
      <c r="ER38" s="21" t="n">
        <v>298.205</v>
      </c>
      <c r="ES38" s="21" t="n">
        <v>298.173</v>
      </c>
      <c r="ET38" s="21" t="n">
        <v>352.653</v>
      </c>
      <c r="EU38" s="21" t="n">
        <v>201.516</v>
      </c>
      <c r="EV38" s="21" t="n">
        <v>210.171</v>
      </c>
      <c r="EW38" s="21" t="n">
        <v>172.658</v>
      </c>
      <c r="EX38" s="21" t="n">
        <v>232.977</v>
      </c>
      <c r="EY38" s="21" t="n">
        <v>543.112</v>
      </c>
      <c r="EZ38" s="21" t="n">
        <v>453.354</v>
      </c>
      <c r="FA38" s="21" t="n">
        <v>120.834</v>
      </c>
      <c r="FB38" s="21" t="n">
        <v>59.025</v>
      </c>
      <c r="FC38" s="21" t="n">
        <v>109.725</v>
      </c>
      <c r="FD38" s="21" t="n">
        <v>66.063</v>
      </c>
      <c r="FE38" s="21" t="n">
        <v>45.92</v>
      </c>
      <c r="FF38" s="21" t="n">
        <v>110.844</v>
      </c>
      <c r="FG38" s="21" t="n">
        <v>128.138</v>
      </c>
      <c r="FH38" s="21" t="n">
        <v>84.161</v>
      </c>
      <c r="FI38" s="21" t="n">
        <v>69.93300000000001</v>
      </c>
      <c r="FJ38" s="21" t="n">
        <v>94.568</v>
      </c>
      <c r="FK38" s="21" t="n">
        <v>73.863</v>
      </c>
      <c r="FL38" s="21" t="n">
        <v>80.297</v>
      </c>
      <c r="FM38" s="21" t="n">
        <v>90.708</v>
      </c>
      <c r="FN38" s="21" t="n">
        <v>63.748</v>
      </c>
      <c r="FO38" s="21" t="n">
        <v>52.29</v>
      </c>
      <c r="FP38" s="21" t="n">
        <v>39.105</v>
      </c>
      <c r="FQ38" s="21" t="n">
        <v>128.596</v>
      </c>
      <c r="FR38" s="21" t="n">
        <v>50.699</v>
      </c>
      <c r="FS38" s="21" t="n">
        <v>80.98399999999999</v>
      </c>
      <c r="FT38" s="21" t="n">
        <v>89.134</v>
      </c>
      <c r="FU38" s="21" t="n">
        <v>97.8</v>
      </c>
      <c r="FV38" s="21" t="n">
        <v>84.995</v>
      </c>
      <c r="FW38" s="21" t="n">
        <v>184.707</v>
      </c>
      <c r="FX38" s="21" t="n">
        <v>116.67</v>
      </c>
      <c r="FY38" s="21" t="n">
        <v>168.811</v>
      </c>
      <c r="FZ38" s="21" t="n">
        <v>117.872</v>
      </c>
      <c r="GA38" s="21" t="n">
        <v>181.34</v>
      </c>
      <c r="GB38" s="21" t="n">
        <v>163.899</v>
      </c>
      <c r="GC38" s="21" t="n"/>
      <c r="GD38" s="21" t="n">
        <v>162.943</v>
      </c>
      <c r="GE38" s="21" t="n">
        <v>243.743</v>
      </c>
      <c r="GF38" s="21" t="n">
        <v>122.266</v>
      </c>
      <c r="GG38" s="21" t="n">
        <v>116.226</v>
      </c>
      <c r="GH38" s="21" t="n">
        <v>119.594</v>
      </c>
      <c r="GI38" s="21" t="n">
        <v>107.112</v>
      </c>
      <c r="GJ38" s="21" t="n">
        <v>148.966</v>
      </c>
      <c r="GK38" s="21" t="n">
        <v>76.46599999999999</v>
      </c>
      <c r="GL38" s="21" t="n">
        <v>120.236</v>
      </c>
      <c r="GM38" s="21" t="n">
        <v>102.606</v>
      </c>
      <c r="GN38" s="21" t="n">
        <v>106.651</v>
      </c>
      <c r="GO38" s="21" t="n">
        <v>109.322</v>
      </c>
      <c r="GP38" s="21" t="n">
        <v>97.02200000000001</v>
      </c>
      <c r="GQ38" s="21" t="n">
        <v>116.103</v>
      </c>
      <c r="GR38" s="21" t="n">
        <v>75.84399999999999</v>
      </c>
      <c r="GS38" s="21" t="n">
        <v>105.695</v>
      </c>
      <c r="GT38" s="21" t="n">
        <v>93.28700000000001</v>
      </c>
      <c r="GU38" s="21" t="n">
        <v>132.302</v>
      </c>
      <c r="GV38" s="21" t="n">
        <v>136.262</v>
      </c>
      <c r="GW38" s="21" t="n">
        <v>147.395</v>
      </c>
      <c r="GX38" s="21" t="n">
        <v>121.772</v>
      </c>
      <c r="GY38" s="21" t="n">
        <v>113.921</v>
      </c>
      <c r="GZ38" s="21" t="n">
        <v>171.447</v>
      </c>
      <c r="HA38" s="21" t="n">
        <v>135.959</v>
      </c>
      <c r="HB38" s="21" t="n">
        <v>174.834</v>
      </c>
      <c r="HC38" s="21" t="n">
        <v>205.338</v>
      </c>
      <c r="HD38" s="21" t="n">
        <v>201.164</v>
      </c>
      <c r="HE38" s="21" t="n">
        <v>98.64400000000001</v>
      </c>
      <c r="HF38" s="21" t="n">
        <v>146.996</v>
      </c>
      <c r="HG38" s="21" t="n">
        <v>101.857</v>
      </c>
      <c r="HH38" s="21" t="n">
        <v>142.395</v>
      </c>
      <c r="HI38" s="21" t="n">
        <v>156.746</v>
      </c>
      <c r="HJ38" s="21" t="n"/>
      <c r="HK38" s="21" t="n">
        <v>136.555</v>
      </c>
      <c r="HL38" s="21" t="n">
        <v>87.673</v>
      </c>
      <c r="HM38" s="21" t="n">
        <v>117.195</v>
      </c>
      <c r="HN38" s="21" t="n">
        <v>225.03</v>
      </c>
      <c r="HO38" s="21" t="n">
        <v>223.806</v>
      </c>
      <c r="HP38" s="21" t="n">
        <v>219.641</v>
      </c>
      <c r="HQ38" s="21" t="n">
        <v>239.251</v>
      </c>
      <c r="HR38" s="21" t="n">
        <v>234.172</v>
      </c>
      <c r="HS38" s="21" t="n">
        <v>215.013</v>
      </c>
      <c r="HT38" s="21" t="n">
        <v>142.562</v>
      </c>
      <c r="HU38" s="21" t="n">
        <v>123.077</v>
      </c>
      <c r="HV38" s="21" t="n">
        <v>168.145</v>
      </c>
      <c r="HW38" s="21" t="n">
        <v>159.286</v>
      </c>
      <c r="HX38" s="21" t="n">
        <v>380.455</v>
      </c>
      <c r="HY38" s="21" t="n">
        <v>283.305</v>
      </c>
      <c r="HZ38" s="21" t="n">
        <v>298.983</v>
      </c>
      <c r="IA38" s="21" t="n">
        <v>254.569</v>
      </c>
      <c r="IB38" s="21" t="n">
        <v>175.29</v>
      </c>
      <c r="IC38" s="21" t="n">
        <v>554.1660000000001</v>
      </c>
      <c r="ID38" s="21" t="n">
        <v>186.598</v>
      </c>
      <c r="IE38" s="21" t="n">
        <v>178.013</v>
      </c>
      <c r="IF38" s="21" t="n">
        <v>201.048</v>
      </c>
      <c r="IG38" s="21" t="n">
        <v>229.927</v>
      </c>
      <c r="IH38" s="21" t="n">
        <v>117.654</v>
      </c>
      <c r="II38" s="21" t="n">
        <v>253.228</v>
      </c>
      <c r="IJ38" s="21" t="n">
        <v>255.496</v>
      </c>
      <c r="IK38" s="21" t="n">
        <v>161.288</v>
      </c>
      <c r="IL38" s="21" t="n">
        <v>135.351</v>
      </c>
      <c r="IM38" s="21" t="n"/>
      <c r="IN38" s="21" t="n">
        <v>66.42</v>
      </c>
      <c r="IO38" s="21" t="n">
        <v>318.775</v>
      </c>
      <c r="IP38" s="21" t="n">
        <v>126.798</v>
      </c>
      <c r="IQ38" s="21" t="n">
        <v>481.06</v>
      </c>
      <c r="IR38" s="21" t="n">
        <v>380.846</v>
      </c>
      <c r="IS38" s="21" t="n">
        <v>124.721</v>
      </c>
      <c r="IT38" s="21" t="n">
        <v>527.7670000000001</v>
      </c>
      <c r="IU38" s="21" t="n">
        <v>96.40000000000001</v>
      </c>
      <c r="IV38" s="21" t="n">
        <v>99.85599999999999</v>
      </c>
      <c r="IW38" s="21" t="n">
        <v>513.135</v>
      </c>
      <c r="IX38" s="21" t="n">
        <v>375.656</v>
      </c>
      <c r="IY38" s="21" t="n">
        <v>379.077</v>
      </c>
      <c r="IZ38" s="21" t="n">
        <v>475.371</v>
      </c>
      <c r="JA38" s="21" t="n">
        <v>189.615</v>
      </c>
      <c r="JB38" s="21" t="n">
        <v>237.027</v>
      </c>
      <c r="JC38" s="21" t="n">
        <v>77.919</v>
      </c>
      <c r="JD38" s="21" t="n">
        <v>328.635</v>
      </c>
      <c r="JE38" s="21" t="n">
        <v>322.327</v>
      </c>
      <c r="JF38" s="21" t="n">
        <v>727.708</v>
      </c>
      <c r="JG38" s="21" t="n">
        <v>224.075</v>
      </c>
      <c r="JH38" s="21" t="n">
        <v>119.507</v>
      </c>
      <c r="JI38" s="21" t="n">
        <v>134.201</v>
      </c>
      <c r="JJ38" s="21" t="n">
        <v>118.647</v>
      </c>
      <c r="JK38" s="21" t="n">
        <v>104.014</v>
      </c>
      <c r="JL38" s="21" t="n">
        <v>207.207</v>
      </c>
      <c r="JM38" s="21" t="n">
        <v>465.752</v>
      </c>
      <c r="JN38" s="21" t="n">
        <v>119.225</v>
      </c>
      <c r="JO38" s="21" t="n">
        <v>73.422</v>
      </c>
      <c r="JP38" s="21" t="n">
        <v>38.213</v>
      </c>
      <c r="JQ38" s="21" t="n">
        <v>129.173</v>
      </c>
      <c r="JR38" s="21" t="n">
        <v>27.972</v>
      </c>
      <c r="JS38" s="21" t="n">
        <v>87.244</v>
      </c>
      <c r="JT38" s="21" t="n">
        <v>170.822</v>
      </c>
      <c r="JU38" s="21" t="n">
        <v>196.085</v>
      </c>
      <c r="JV38" s="21" t="n">
        <v>149.855</v>
      </c>
      <c r="JW38" s="21" t="n">
        <v>112.927</v>
      </c>
      <c r="JX38" s="21" t="n">
        <v>242.316</v>
      </c>
      <c r="JY38" s="21" t="n">
        <v>188.187</v>
      </c>
      <c r="JZ38" s="21" t="n">
        <v>254.247</v>
      </c>
      <c r="KA38" s="21" t="n">
        <v>110.878</v>
      </c>
      <c r="KB38" s="21" t="n">
        <v>145.953</v>
      </c>
      <c r="KC38" s="21" t="n">
        <v>80.994</v>
      </c>
      <c r="KD38" s="21" t="n">
        <v>73.64700000000001</v>
      </c>
      <c r="KE38" s="21" t="n">
        <v>53.082</v>
      </c>
      <c r="KF38" s="21" t="n"/>
      <c r="KG38" s="21" t="n">
        <v>21.842</v>
      </c>
      <c r="KH38" s="21" t="n">
        <v>121.86</v>
      </c>
      <c r="KI38" s="21" t="n">
        <v>127.302</v>
      </c>
      <c r="KJ38" s="21" t="n">
        <v>112.996</v>
      </c>
      <c r="KK38" s="21" t="n">
        <v>38.95</v>
      </c>
      <c r="KL38" s="21" t="n">
        <v>35.243</v>
      </c>
      <c r="KM38" s="21" t="n">
        <v>43.462</v>
      </c>
      <c r="KN38" s="21" t="n"/>
      <c r="KO38" s="21" t="n">
        <v>99.87</v>
      </c>
      <c r="KP38" s="21" t="n">
        <v>101.886</v>
      </c>
      <c r="KQ38" s="21" t="n">
        <v>166.233</v>
      </c>
      <c r="KR38" s="21" t="n">
        <v>138.316</v>
      </c>
      <c r="KS38" s="21" t="n">
        <v>374.702</v>
      </c>
      <c r="KT38" s="21" t="n">
        <v>180.433</v>
      </c>
      <c r="KU38" s="21" t="n">
        <v>216.334</v>
      </c>
      <c r="KV38" s="21" t="n">
        <v>312.298</v>
      </c>
      <c r="KW38" s="21" t="n">
        <v>240.284</v>
      </c>
      <c r="KX38" s="21" t="n">
        <v>168.646</v>
      </c>
      <c r="KY38" s="21" t="n">
        <v>96.52500000000001</v>
      </c>
      <c r="KZ38" s="21" t="n">
        <v>136.635</v>
      </c>
      <c r="LA38" s="21" t="n">
        <v>256.15</v>
      </c>
      <c r="LB38" s="21" t="n">
        <v>686.318</v>
      </c>
      <c r="LC38" s="21" t="n">
        <v>237.829</v>
      </c>
      <c r="LD38" s="21" t="n">
        <v>733.683</v>
      </c>
      <c r="LE38" s="21" t="n">
        <v>833.625</v>
      </c>
      <c r="LF38" s="21" t="n">
        <v>78.249</v>
      </c>
      <c r="LG38" s="21" t="n">
        <v>292.569</v>
      </c>
      <c r="LH38" s="21" t="n">
        <v>248.117</v>
      </c>
      <c r="LI38" s="21" t="n">
        <v>74.354</v>
      </c>
      <c r="LJ38" s="21" t="n">
        <v>182.91</v>
      </c>
      <c r="LK38" s="21" t="n">
        <v>286.075</v>
      </c>
      <c r="LL38" s="21" t="n">
        <v>308.954</v>
      </c>
      <c r="LM38" s="21" t="n">
        <v>70.473</v>
      </c>
      <c r="LN38" s="21" t="n">
        <v>90.958</v>
      </c>
      <c r="LO38" s="21" t="n">
        <v>47.972</v>
      </c>
      <c r="LP38" s="21" t="n">
        <v>117.473</v>
      </c>
      <c r="LQ38" s="21" t="n"/>
      <c r="LR38" s="21" t="n"/>
      <c r="LS38" s="21" t="n">
        <v>112.064</v>
      </c>
      <c r="LT38" s="21" t="n">
        <v>41.455</v>
      </c>
      <c r="LU38" s="21" t="n">
        <v>33.468</v>
      </c>
      <c r="LV38" s="21" t="n">
        <v>75.919</v>
      </c>
      <c r="LW38" s="21" t="n">
        <v>267.396</v>
      </c>
      <c r="LX38" s="21" t="n"/>
      <c r="LY38" s="21" t="n">
        <v>437.687</v>
      </c>
      <c r="LZ38" s="21" t="n">
        <v>66.21299999999999</v>
      </c>
      <c r="MA38" s="21" t="n">
        <v>429.313</v>
      </c>
      <c r="MB38" s="21" t="n">
        <v>269.222</v>
      </c>
      <c r="MC38" s="21" t="n">
        <v>228.771</v>
      </c>
      <c r="MD38" s="21" t="n">
        <v>161.939</v>
      </c>
      <c r="ME38" s="21" t="n">
        <v>102.088</v>
      </c>
      <c r="MF38" s="21" t="n">
        <v>188.142</v>
      </c>
      <c r="MG38" s="21" t="n">
        <v>260.157</v>
      </c>
      <c r="MH38" s="21" t="n">
        <v>158.738</v>
      </c>
      <c r="MI38" s="21" t="n">
        <v>428.192</v>
      </c>
      <c r="MJ38" s="21" t="n">
        <v>349.586</v>
      </c>
      <c r="MK38" s="21" t="n">
        <v>327.463</v>
      </c>
      <c r="ML38" s="21" t="n">
        <v>166.494</v>
      </c>
      <c r="MM38" s="21" t="n">
        <v>186.432</v>
      </c>
      <c r="MN38" s="21" t="n">
        <v>346.085</v>
      </c>
      <c r="MO38" s="21" t="n">
        <v>161.777</v>
      </c>
      <c r="MP38" s="21" t="n">
        <v>241.69</v>
      </c>
      <c r="MQ38" s="21" t="n">
        <v>78.155</v>
      </c>
      <c r="MR38" s="21" t="n">
        <v>150.644</v>
      </c>
      <c r="MS38" s="21" t="n">
        <v>79.714</v>
      </c>
      <c r="MT38" s="21" t="n">
        <v>236.677</v>
      </c>
      <c r="MU38" s="21" t="n">
        <v>253.594</v>
      </c>
      <c r="MV38" s="21" t="n">
        <v>247.161</v>
      </c>
      <c r="MW38" s="21" t="n">
        <v>254.638</v>
      </c>
      <c r="MX38" s="21" t="n">
        <v>229.08</v>
      </c>
      <c r="MY38" s="21" t="n">
        <v>222.971</v>
      </c>
      <c r="MZ38" s="21" t="n">
        <v>227.726</v>
      </c>
      <c r="NA38" s="21" t="n">
        <v>233.347</v>
      </c>
      <c r="NB38" s="21" t="n">
        <v>115.513</v>
      </c>
      <c r="NC38" s="21" t="n">
        <v>182.434</v>
      </c>
      <c r="ND38" s="21" t="n">
        <v>151.229</v>
      </c>
      <c r="NE38" s="21" t="n">
        <v>147.92</v>
      </c>
      <c r="NF38" s="21" t="n">
        <v>143.417</v>
      </c>
      <c r="NG38" s="21" t="n">
        <v>144.884</v>
      </c>
      <c r="NH38" s="21" t="n">
        <v>248.099</v>
      </c>
      <c r="NI38" s="21" t="n">
        <v>104.433</v>
      </c>
      <c r="NJ38" s="21" t="n">
        <v>76.732</v>
      </c>
      <c r="NK38" s="21" t="n">
        <v>109.28</v>
      </c>
      <c r="NL38" s="21" t="n">
        <v>210.663</v>
      </c>
      <c r="NM38" s="21" t="n">
        <v>230.005</v>
      </c>
      <c r="NN38" s="21" t="n">
        <v>89.646</v>
      </c>
      <c r="NO38" s="21" t="n">
        <v>56.343</v>
      </c>
      <c r="NP38" s="21" t="n">
        <v>222.191</v>
      </c>
      <c r="NQ38" s="21" t="n">
        <v>196.483</v>
      </c>
      <c r="NR38" s="21" t="n">
        <v>241.139</v>
      </c>
      <c r="NS38" s="21" t="n">
        <v>193.31</v>
      </c>
      <c r="NT38" s="21" t="n">
        <v>241.796</v>
      </c>
      <c r="NU38" s="21" t="n">
        <v>112.55</v>
      </c>
      <c r="NV38" s="21" t="n">
        <v>119.411</v>
      </c>
      <c r="NW38" s="21" t="n">
        <v>350.006</v>
      </c>
      <c r="NX38" s="21" t="n">
        <v>81.241</v>
      </c>
      <c r="NY38" s="21" t="n">
        <v>120.461</v>
      </c>
      <c r="NZ38" s="21" t="n">
        <v>315.725</v>
      </c>
      <c r="OA38" s="21" t="n">
        <v>312.318</v>
      </c>
      <c r="OB38" s="21" t="n">
        <v>323.5</v>
      </c>
      <c r="OC38" s="21" t="n">
        <v>297.076</v>
      </c>
      <c r="OD38" s="21" t="n">
        <v>332.499</v>
      </c>
      <c r="OE38" s="21" t="n">
        <v>103.842</v>
      </c>
      <c r="OF38" s="21" t="n">
        <v>315.764</v>
      </c>
      <c r="OG38" s="21" t="n">
        <v>215.276</v>
      </c>
      <c r="OH38" s="21" t="n">
        <v>45.506</v>
      </c>
      <c r="OI38" s="21" t="n">
        <v>124.127</v>
      </c>
      <c r="OJ38" s="21" t="n">
        <v>40.3</v>
      </c>
      <c r="OK38" s="21" t="n">
        <v>13.5</v>
      </c>
    </row>
    <row r="39">
      <c r="A39" s="22" t="n">
        <v>43132</v>
      </c>
      <c r="B39" s="21" t="n">
        <v>248.991</v>
      </c>
      <c r="C39" s="21" t="n">
        <v>745.866</v>
      </c>
      <c r="D39" s="21" t="n">
        <v>252.076</v>
      </c>
      <c r="E39" s="21" t="n">
        <v>252.266</v>
      </c>
      <c r="F39" s="21" t="n">
        <v>239.19</v>
      </c>
      <c r="G39" s="21" t="n">
        <v>271.245</v>
      </c>
      <c r="H39" s="21" t="n">
        <v>226.256</v>
      </c>
      <c r="I39" s="21" t="n">
        <v>241.662</v>
      </c>
      <c r="J39" s="21" t="n">
        <v>219.211</v>
      </c>
      <c r="K39" s="21" t="n">
        <v>235.754</v>
      </c>
      <c r="L39" s="21" t="n">
        <v>160.229</v>
      </c>
      <c r="M39" s="21" t="n">
        <v>297.046</v>
      </c>
      <c r="N39" s="21" t="n">
        <v>176.251</v>
      </c>
      <c r="O39" s="21" t="n">
        <v>317.387</v>
      </c>
      <c r="P39" s="21" t="n">
        <v>342.862</v>
      </c>
      <c r="Q39" s="21" t="n">
        <v>177.347</v>
      </c>
      <c r="R39" s="21" t="n">
        <v>288.306</v>
      </c>
      <c r="S39" s="21" t="n">
        <v>306.144</v>
      </c>
      <c r="T39" s="21" t="n">
        <v>273.048</v>
      </c>
      <c r="U39" s="21" t="n">
        <v>262.862</v>
      </c>
      <c r="V39" s="21" t="n">
        <v>297.587</v>
      </c>
      <c r="W39" s="21" t="n">
        <v>297.758</v>
      </c>
      <c r="X39" s="21" t="n">
        <v>267.902</v>
      </c>
      <c r="Y39" s="21" t="n">
        <v>247.095</v>
      </c>
      <c r="Z39" s="21" t="n">
        <v>248.385</v>
      </c>
      <c r="AA39" s="21" t="n">
        <v>250.258</v>
      </c>
      <c r="AB39" s="21" t="n">
        <v>297.508</v>
      </c>
      <c r="AC39" s="21" t="n">
        <v>267.776</v>
      </c>
      <c r="AD39" s="21" t="n">
        <v>220.027</v>
      </c>
      <c r="AE39" s="21" t="n">
        <v>198.172</v>
      </c>
      <c r="AF39" s="21" t="n">
        <v>235.843</v>
      </c>
      <c r="AG39" s="21" t="n">
        <v>209.685</v>
      </c>
      <c r="AH39" s="21" t="n">
        <v>160.153</v>
      </c>
      <c r="AI39" s="21" t="n">
        <v>301.536</v>
      </c>
      <c r="AJ39" s="21" t="n">
        <v>143.654</v>
      </c>
      <c r="AK39" s="21" t="n">
        <v>191.515</v>
      </c>
      <c r="AL39" s="21" t="n">
        <v>212.758</v>
      </c>
      <c r="AM39" s="21" t="n">
        <v>187.079</v>
      </c>
      <c r="AN39" s="21" t="n">
        <v>126.171</v>
      </c>
      <c r="AO39" s="21" t="n">
        <v>223.985</v>
      </c>
      <c r="AP39" s="21" t="n">
        <v>233.833</v>
      </c>
      <c r="AQ39" s="21" t="n">
        <v>143.158</v>
      </c>
      <c r="AR39" s="21" t="n"/>
      <c r="AS39" s="21" t="n"/>
      <c r="AT39" s="21" t="n">
        <v>231.909</v>
      </c>
      <c r="AU39" s="21" t="n">
        <v>149.787</v>
      </c>
      <c r="AV39" s="21" t="n">
        <v>246.842</v>
      </c>
      <c r="AW39" s="21" t="n">
        <v>223.218</v>
      </c>
      <c r="AX39" s="21" t="n">
        <v>148.655</v>
      </c>
      <c r="AY39" s="21" t="n">
        <v>285.678</v>
      </c>
      <c r="AZ39" s="21" t="n">
        <v>179.712</v>
      </c>
      <c r="BA39" s="21" t="n">
        <v>140.868</v>
      </c>
      <c r="BB39" s="21" t="n">
        <v>195.231</v>
      </c>
      <c r="BC39" s="21" t="n">
        <v>295.836</v>
      </c>
      <c r="BD39" s="21" t="n">
        <v>231.965</v>
      </c>
      <c r="BE39" s="21" t="n">
        <v>216.412</v>
      </c>
      <c r="BF39" s="21" t="n">
        <v>137.532</v>
      </c>
      <c r="BG39" s="21" t="n">
        <v>196.689</v>
      </c>
      <c r="BH39" s="21" t="n">
        <v>141.676</v>
      </c>
      <c r="BI39" s="21" t="n">
        <v>228.471</v>
      </c>
      <c r="BJ39" s="21" t="n">
        <v>221.256</v>
      </c>
      <c r="BK39" s="21" t="n">
        <v>146.357</v>
      </c>
      <c r="BL39" s="21" t="n">
        <v>298.503</v>
      </c>
      <c r="BM39" s="21" t="n">
        <v>346.841</v>
      </c>
      <c r="BN39" s="21" t="n">
        <v>367.225</v>
      </c>
      <c r="BO39" s="21" t="n">
        <v>338.35</v>
      </c>
      <c r="BP39" s="21" t="n">
        <v>197.969</v>
      </c>
      <c r="BQ39" s="21" t="n">
        <v>248.93</v>
      </c>
      <c r="BR39" s="21" t="n">
        <v>502.984</v>
      </c>
      <c r="BS39" s="21" t="n">
        <v>125.443</v>
      </c>
      <c r="BT39" s="21" t="n">
        <v>324.211</v>
      </c>
      <c r="BU39" s="21" t="n">
        <v>339.368</v>
      </c>
      <c r="BV39" s="21" t="n">
        <v>282.851</v>
      </c>
      <c r="BW39" s="21" t="n">
        <v>345.287</v>
      </c>
      <c r="BX39" s="21" t="n">
        <v>328.286</v>
      </c>
      <c r="BY39" s="21" t="n">
        <v>154.918</v>
      </c>
      <c r="BZ39" s="21" t="n">
        <v>158.107</v>
      </c>
      <c r="CA39" s="21" t="n">
        <v>154.028</v>
      </c>
      <c r="CB39" s="21" t="n">
        <v>165.915</v>
      </c>
      <c r="CC39" s="21" t="n">
        <v>147.197</v>
      </c>
      <c r="CD39" s="21" t="n">
        <v>199.859</v>
      </c>
      <c r="CE39" s="21" t="n">
        <v>157.527</v>
      </c>
      <c r="CF39" s="21" t="n">
        <v>192.752</v>
      </c>
      <c r="CG39" s="21" t="n">
        <v>167.736</v>
      </c>
      <c r="CH39" s="21" t="n">
        <v>129.872</v>
      </c>
      <c r="CI39" s="21" t="n">
        <v>164.038</v>
      </c>
      <c r="CJ39" s="21" t="n">
        <v>181.2</v>
      </c>
      <c r="CK39" s="21" t="n">
        <v>117.722</v>
      </c>
      <c r="CL39" s="21" t="n">
        <v>116.778</v>
      </c>
      <c r="CM39" s="21" t="n">
        <v>194.747</v>
      </c>
      <c r="CN39" s="21" t="n">
        <v>204.298</v>
      </c>
      <c r="CO39" s="21" t="n">
        <v>187.244</v>
      </c>
      <c r="CP39" s="21" t="n">
        <v>128.987</v>
      </c>
      <c r="CQ39" s="21" t="n">
        <v>210.115</v>
      </c>
      <c r="CR39" s="21" t="n">
        <v>217.059</v>
      </c>
      <c r="CS39" s="21" t="n">
        <v>187.842</v>
      </c>
      <c r="CT39" s="21" t="n">
        <v>145.931</v>
      </c>
      <c r="CU39" s="21" t="n">
        <v>157.256</v>
      </c>
      <c r="CV39" s="21" t="n">
        <v>229.721</v>
      </c>
      <c r="CW39" s="21" t="n">
        <v>204.922</v>
      </c>
      <c r="CX39" s="21" t="n">
        <v>243.154</v>
      </c>
      <c r="CY39" s="21" t="n">
        <v>299.542</v>
      </c>
      <c r="CZ39" s="21" t="n">
        <v>129.456</v>
      </c>
      <c r="DA39" s="21" t="n">
        <v>161.015</v>
      </c>
      <c r="DB39" s="21" t="n">
        <v>158.126</v>
      </c>
      <c r="DC39" s="21" t="n">
        <v>223.989</v>
      </c>
      <c r="DD39" s="21" t="n">
        <v>242.638</v>
      </c>
      <c r="DE39" s="21" t="n">
        <v>165.872</v>
      </c>
      <c r="DF39" s="21" t="n">
        <v>251.747</v>
      </c>
      <c r="DG39" s="21" t="n">
        <v>241.15</v>
      </c>
      <c r="DH39" s="21" t="n">
        <v>156.251</v>
      </c>
      <c r="DI39" s="21" t="n">
        <v>137.788</v>
      </c>
      <c r="DJ39" s="21" t="n">
        <v>139.867</v>
      </c>
      <c r="DK39" s="21" t="n">
        <v>272.599</v>
      </c>
      <c r="DL39" s="21" t="n">
        <v>159.256</v>
      </c>
      <c r="DM39" s="21" t="n">
        <v>131.823</v>
      </c>
      <c r="DN39" s="21" t="n">
        <v>129.814</v>
      </c>
      <c r="DO39" s="21" t="n">
        <v>273.435</v>
      </c>
      <c r="DP39" s="21" t="n">
        <v>169.371</v>
      </c>
      <c r="DQ39" s="21" t="n">
        <v>175.272</v>
      </c>
      <c r="DR39" s="21" t="n">
        <v>176.525</v>
      </c>
      <c r="DS39" s="21" t="n">
        <v>146.025</v>
      </c>
      <c r="DT39" s="21" t="n">
        <v>157.343</v>
      </c>
      <c r="DU39" s="21" t="n">
        <v>188.343</v>
      </c>
      <c r="DV39" s="21" t="n">
        <v>248.166</v>
      </c>
      <c r="DW39" s="21" t="n">
        <v>202.105</v>
      </c>
      <c r="DX39" s="21" t="n">
        <v>224.524</v>
      </c>
      <c r="DY39" s="21" t="n">
        <v>191.159</v>
      </c>
      <c r="DZ39" s="21" t="n">
        <v>202.921</v>
      </c>
      <c r="EA39" s="21" t="n">
        <v>187.42</v>
      </c>
      <c r="EB39" s="21" t="n">
        <v>170.49</v>
      </c>
      <c r="EC39" s="21" t="n">
        <v>348.51</v>
      </c>
      <c r="ED39" s="21" t="n">
        <v>172.594</v>
      </c>
      <c r="EE39" s="21" t="n">
        <v>185.831</v>
      </c>
      <c r="EF39" s="21" t="n">
        <v>188.89</v>
      </c>
      <c r="EG39" s="21" t="n">
        <v>255.713</v>
      </c>
      <c r="EH39" s="21" t="n">
        <v>303.653</v>
      </c>
      <c r="EI39" s="21" t="n">
        <v>315.277</v>
      </c>
      <c r="EJ39" s="21" t="n">
        <v>155.197</v>
      </c>
      <c r="EK39" s="21" t="n">
        <v>543.8869999999999</v>
      </c>
      <c r="EL39" s="21" t="n">
        <v>316.211</v>
      </c>
      <c r="EM39" s="21" t="n">
        <v>311.28</v>
      </c>
      <c r="EN39" s="21" t="n">
        <v>311.284</v>
      </c>
      <c r="EO39" s="21" t="n">
        <v>149.258</v>
      </c>
      <c r="EP39" s="21" t="n">
        <v>240.938</v>
      </c>
      <c r="EQ39" s="21" t="n">
        <v>200.993</v>
      </c>
      <c r="ER39" s="21" t="n">
        <v>294.561</v>
      </c>
      <c r="ES39" s="21" t="n">
        <v>292.718</v>
      </c>
      <c r="ET39" s="21" t="n">
        <v>351.616</v>
      </c>
      <c r="EU39" s="21" t="n">
        <v>203.932</v>
      </c>
      <c r="EV39" s="21" t="n">
        <v>210.97</v>
      </c>
      <c r="EW39" s="21" t="n">
        <v>179.557</v>
      </c>
      <c r="EX39" s="21" t="n">
        <v>233.858</v>
      </c>
      <c r="EY39" s="21" t="n">
        <v>545.227</v>
      </c>
      <c r="EZ39" s="21" t="n">
        <v>454.915</v>
      </c>
      <c r="FA39" s="21" t="n">
        <v>121.376</v>
      </c>
      <c r="FB39" s="21" t="n">
        <v>59.28</v>
      </c>
      <c r="FC39" s="21" t="n">
        <v>112.345</v>
      </c>
      <c r="FD39" s="21" t="n">
        <v>67.491</v>
      </c>
      <c r="FE39" s="21" t="n">
        <v>45.591</v>
      </c>
      <c r="FF39" s="21" t="n">
        <v>110.577</v>
      </c>
      <c r="FG39" s="21" t="n">
        <v>127.843</v>
      </c>
      <c r="FH39" s="21" t="n">
        <v>84.253</v>
      </c>
      <c r="FI39" s="21" t="n">
        <v>68.923</v>
      </c>
      <c r="FJ39" s="21" t="n">
        <v>94.58</v>
      </c>
      <c r="FK39" s="21" t="n">
        <v>73.23</v>
      </c>
      <c r="FL39" s="21" t="n">
        <v>77.711</v>
      </c>
      <c r="FM39" s="21" t="n">
        <v>86.107</v>
      </c>
      <c r="FN39" s="21" t="n">
        <v>64.09</v>
      </c>
      <c r="FO39" s="21" t="n">
        <v>52.804</v>
      </c>
      <c r="FP39" s="21" t="n">
        <v>39.045</v>
      </c>
      <c r="FQ39" s="21" t="n">
        <v>133.091</v>
      </c>
      <c r="FR39" s="21" t="n">
        <v>51.247</v>
      </c>
      <c r="FS39" s="21" t="n">
        <v>82.748</v>
      </c>
      <c r="FT39" s="21" t="n">
        <v>89.789</v>
      </c>
      <c r="FU39" s="21" t="n">
        <v>98.92700000000001</v>
      </c>
      <c r="FV39" s="21" t="n">
        <v>85.38</v>
      </c>
      <c r="FW39" s="21" t="n">
        <v>184.438</v>
      </c>
      <c r="FX39" s="21" t="n">
        <v>116.659</v>
      </c>
      <c r="FY39" s="21" t="n">
        <v>168.795</v>
      </c>
      <c r="FZ39" s="21" t="n">
        <v>117.391</v>
      </c>
      <c r="GA39" s="21" t="n">
        <v>184.096</v>
      </c>
      <c r="GB39" s="21" t="n">
        <v>163.899</v>
      </c>
      <c r="GC39" s="21" t="n">
        <v>189.571</v>
      </c>
      <c r="GD39" s="21" t="n">
        <v>165.627</v>
      </c>
      <c r="GE39" s="21" t="n">
        <v>255.99</v>
      </c>
      <c r="GF39" s="21" t="n">
        <v>126.587</v>
      </c>
      <c r="GG39" s="21" t="n">
        <v>120.244</v>
      </c>
      <c r="GH39" s="21" t="n">
        <v>124.028</v>
      </c>
      <c r="GI39" s="21" t="n">
        <v>109.818</v>
      </c>
      <c r="GJ39" s="21" t="n">
        <v>150.677</v>
      </c>
      <c r="GK39" s="21" t="n">
        <v>82.188</v>
      </c>
      <c r="GL39" s="21" t="n">
        <v>123.702</v>
      </c>
      <c r="GM39" s="21" t="n">
        <v>105.219</v>
      </c>
      <c r="GN39" s="21" t="n">
        <v>111.674</v>
      </c>
      <c r="GO39" s="21" t="n">
        <v>115.136</v>
      </c>
      <c r="GP39" s="21" t="n">
        <v>100.501</v>
      </c>
      <c r="GQ39" s="21" t="n">
        <v>127.383</v>
      </c>
      <c r="GR39" s="21" t="n">
        <v>80.85299999999999</v>
      </c>
      <c r="GS39" s="21" t="n">
        <v>107.322</v>
      </c>
      <c r="GT39" s="21" t="n">
        <v>94.33199999999999</v>
      </c>
      <c r="GU39" s="21" t="n">
        <v>135.113</v>
      </c>
      <c r="GV39" s="21" t="n">
        <v>138.757</v>
      </c>
      <c r="GW39" s="21" t="n">
        <v>146.322</v>
      </c>
      <c r="GX39" s="21" t="n">
        <v>126.446</v>
      </c>
      <c r="GY39" s="21" t="n">
        <v>116.363</v>
      </c>
      <c r="GZ39" s="21" t="n">
        <v>175.6</v>
      </c>
      <c r="HA39" s="21" t="n">
        <v>137.58</v>
      </c>
      <c r="HB39" s="21" t="n">
        <v>180.437</v>
      </c>
      <c r="HC39" s="21" t="n">
        <v>207.359</v>
      </c>
      <c r="HD39" s="21" t="n">
        <v>202.935</v>
      </c>
      <c r="HE39" s="21" t="n">
        <v>99.01000000000001</v>
      </c>
      <c r="HF39" s="21" t="n">
        <v>146.807</v>
      </c>
      <c r="HG39" s="21" t="n">
        <v>101.72</v>
      </c>
      <c r="HH39" s="21" t="n">
        <v>142.16</v>
      </c>
      <c r="HI39" s="21" t="n">
        <v>156.465</v>
      </c>
      <c r="HJ39" s="21" t="n"/>
      <c r="HK39" s="21" t="n">
        <v>137.768</v>
      </c>
      <c r="HL39" s="21" t="n">
        <v>88.773</v>
      </c>
      <c r="HM39" s="21" t="n">
        <v>118.371</v>
      </c>
      <c r="HN39" s="21" t="n">
        <v>228.666</v>
      </c>
      <c r="HO39" s="21" t="n">
        <v>227.42</v>
      </c>
      <c r="HP39" s="21" t="n">
        <v>223.084</v>
      </c>
      <c r="HQ39" s="21" t="n">
        <v>243.15</v>
      </c>
      <c r="HR39" s="21" t="n">
        <v>238.609</v>
      </c>
      <c r="HS39" s="21" t="n">
        <v>218.559</v>
      </c>
      <c r="HT39" s="21" t="n">
        <v>142.807</v>
      </c>
      <c r="HU39" s="21" t="n">
        <v>123.555</v>
      </c>
      <c r="HV39" s="21" t="n">
        <v>167.892</v>
      </c>
      <c r="HW39" s="21" t="n">
        <v>159.104</v>
      </c>
      <c r="HX39" s="21" t="n">
        <v>377.143</v>
      </c>
      <c r="HY39" s="21" t="n">
        <v>284.032</v>
      </c>
      <c r="HZ39" s="21" t="n">
        <v>300.168</v>
      </c>
      <c r="IA39" s="21" t="n">
        <v>255.132</v>
      </c>
      <c r="IB39" s="21" t="n">
        <v>175.8</v>
      </c>
      <c r="IC39" s="21" t="n">
        <v>563.365</v>
      </c>
      <c r="ID39" s="21" t="n">
        <v>187.452</v>
      </c>
      <c r="IE39" s="21" t="n">
        <v>178</v>
      </c>
      <c r="IF39" s="21" t="n">
        <v>203.08</v>
      </c>
      <c r="IG39" s="21" t="n">
        <v>230.742</v>
      </c>
      <c r="IH39" s="21" t="n">
        <v>118.52</v>
      </c>
      <c r="II39" s="21" t="n">
        <v>259.261</v>
      </c>
      <c r="IJ39" s="21" t="n">
        <v>265.272</v>
      </c>
      <c r="IK39" s="21" t="n">
        <v>160.813</v>
      </c>
      <c r="IL39" s="21" t="n">
        <v>134.705</v>
      </c>
      <c r="IM39" s="21" t="n"/>
      <c r="IN39" s="21" t="n">
        <v>66.60899999999999</v>
      </c>
      <c r="IO39" s="21" t="n">
        <v>320.379</v>
      </c>
      <c r="IP39" s="21" t="n">
        <v>127.826</v>
      </c>
      <c r="IQ39" s="21" t="n">
        <v>482.897</v>
      </c>
      <c r="IR39" s="21" t="n">
        <v>381.975</v>
      </c>
      <c r="IS39" s="21" t="n">
        <v>125.079</v>
      </c>
      <c r="IT39" s="21" t="n">
        <v>529.279</v>
      </c>
      <c r="IU39" s="21" t="n">
        <v>96.679</v>
      </c>
      <c r="IV39" s="21" t="n">
        <v>100.427</v>
      </c>
      <c r="IW39" s="21" t="n">
        <v>515.205</v>
      </c>
      <c r="IX39" s="21" t="n">
        <v>377.585</v>
      </c>
      <c r="IY39" s="21" t="n">
        <v>380.47</v>
      </c>
      <c r="IZ39" s="21" t="n">
        <v>483.491</v>
      </c>
      <c r="JA39" s="21" t="n">
        <v>189.962</v>
      </c>
      <c r="JB39" s="21" t="n">
        <v>235.056</v>
      </c>
      <c r="JC39" s="21" t="n">
        <v>78.206</v>
      </c>
      <c r="JD39" s="21" t="n">
        <v>329.701</v>
      </c>
      <c r="JE39" s="21" t="n">
        <v>323.207</v>
      </c>
      <c r="JF39" s="21" t="n">
        <v>729.28</v>
      </c>
      <c r="JG39" s="21" t="n">
        <v>225.698</v>
      </c>
      <c r="JH39" s="21" t="n">
        <v>120.434</v>
      </c>
      <c r="JI39" s="21" t="n">
        <v>134.402</v>
      </c>
      <c r="JJ39" s="21" t="n">
        <v>119.093</v>
      </c>
      <c r="JK39" s="21" t="n">
        <v>104.65</v>
      </c>
      <c r="JL39" s="21" t="n">
        <v>203.249</v>
      </c>
      <c r="JM39" s="21" t="n">
        <v>470.245</v>
      </c>
      <c r="JN39" s="21" t="n">
        <v>120.623</v>
      </c>
      <c r="JO39" s="21" t="n">
        <v>73.428</v>
      </c>
      <c r="JP39" s="21" t="n">
        <v>38.326</v>
      </c>
      <c r="JQ39" s="21" t="n">
        <v>128.999</v>
      </c>
      <c r="JR39" s="21" t="n">
        <v>27.093</v>
      </c>
      <c r="JS39" s="21" t="n">
        <v>87.43899999999999</v>
      </c>
      <c r="JT39" s="21" t="n">
        <v>170.706</v>
      </c>
      <c r="JU39" s="21" t="n">
        <v>195.963</v>
      </c>
      <c r="JV39" s="21" t="n">
        <v>150.156</v>
      </c>
      <c r="JW39" s="21" t="n">
        <v>112.162</v>
      </c>
      <c r="JX39" s="21" t="n">
        <v>242.13</v>
      </c>
      <c r="JY39" s="21" t="n">
        <v>188.349</v>
      </c>
      <c r="JZ39" s="21" t="n">
        <v>253.911</v>
      </c>
      <c r="KA39" s="21" t="n">
        <v>111.118</v>
      </c>
      <c r="KB39" s="21" t="n">
        <v>147.459</v>
      </c>
      <c r="KC39" s="21" t="n">
        <v>80.309</v>
      </c>
      <c r="KD39" s="21" t="n">
        <v>74.383</v>
      </c>
      <c r="KE39" s="21" t="n">
        <v>54.365</v>
      </c>
      <c r="KF39" s="21" t="n"/>
      <c r="KG39" s="21" t="n">
        <v>22.423</v>
      </c>
      <c r="KH39" s="21" t="n">
        <v>121.581</v>
      </c>
      <c r="KI39" s="21" t="n">
        <v>127.302</v>
      </c>
      <c r="KJ39" s="21" t="n">
        <v>112.503</v>
      </c>
      <c r="KK39" s="21" t="n">
        <v>39.244</v>
      </c>
      <c r="KL39" s="21" t="n">
        <v>35.678</v>
      </c>
      <c r="KM39" s="21" t="n">
        <v>43.883</v>
      </c>
      <c r="KN39" s="21" t="n"/>
      <c r="KO39" s="21" t="n">
        <v>98.047</v>
      </c>
      <c r="KP39" s="21" t="n">
        <v>100.628</v>
      </c>
      <c r="KQ39" s="21" t="n">
        <v>166.809</v>
      </c>
      <c r="KR39" s="21" t="n">
        <v>137.874</v>
      </c>
      <c r="KS39" s="21" t="n">
        <v>379.501</v>
      </c>
      <c r="KT39" s="21" t="n">
        <v>182.198</v>
      </c>
      <c r="KU39" s="21" t="n">
        <v>222.385</v>
      </c>
      <c r="KV39" s="21" t="n">
        <v>310.859</v>
      </c>
      <c r="KW39" s="21" t="n">
        <v>240.441</v>
      </c>
      <c r="KX39" s="21" t="n">
        <v>169.284</v>
      </c>
      <c r="KY39" s="21" t="n">
        <v>96.13500000000001</v>
      </c>
      <c r="KZ39" s="21" t="n">
        <v>136.327</v>
      </c>
      <c r="LA39" s="21" t="n">
        <v>256.291</v>
      </c>
      <c r="LB39" s="21" t="n">
        <v>693.578</v>
      </c>
      <c r="LC39" s="21" t="n">
        <v>240.659</v>
      </c>
      <c r="LD39" s="21" t="n">
        <v>733.753</v>
      </c>
      <c r="LE39" s="21" t="n">
        <v>832.62</v>
      </c>
      <c r="LF39" s="21" t="n">
        <v>78.295</v>
      </c>
      <c r="LG39" s="21" t="n">
        <v>293.297</v>
      </c>
      <c r="LH39" s="21" t="n">
        <v>248.243</v>
      </c>
      <c r="LI39" s="21" t="n">
        <v>74.015</v>
      </c>
      <c r="LJ39" s="21" t="n">
        <v>184.988</v>
      </c>
      <c r="LK39" s="21" t="n">
        <v>289.966</v>
      </c>
      <c r="LL39" s="21" t="n">
        <v>307.796</v>
      </c>
      <c r="LM39" s="21" t="n">
        <v>70.117</v>
      </c>
      <c r="LN39" s="21" t="n">
        <v>90.627</v>
      </c>
      <c r="LO39" s="21" t="n">
        <v>47.712</v>
      </c>
      <c r="LP39" s="21" t="n">
        <v>117.67</v>
      </c>
      <c r="LQ39" s="21" t="n"/>
      <c r="LR39" s="21" t="n"/>
      <c r="LS39" s="21" t="n">
        <v>111.201</v>
      </c>
      <c r="LT39" s="21" t="n">
        <v>41.278</v>
      </c>
      <c r="LU39" s="21" t="n">
        <v>32.401</v>
      </c>
      <c r="LV39" s="21" t="n">
        <v>75.26600000000001</v>
      </c>
      <c r="LW39" s="21" t="n">
        <v>266.047</v>
      </c>
      <c r="LX39" s="21" t="n"/>
      <c r="LY39" s="21" t="n">
        <v>438.306</v>
      </c>
      <c r="LZ39" s="21" t="n">
        <v>66.167</v>
      </c>
      <c r="MA39" s="21" t="n">
        <v>429.188</v>
      </c>
      <c r="MB39" s="21" t="n">
        <v>267.977</v>
      </c>
      <c r="MC39" s="21" t="n">
        <v>229.218</v>
      </c>
      <c r="MD39" s="21" t="n">
        <v>162.089</v>
      </c>
      <c r="ME39" s="21" t="n">
        <v>102.663</v>
      </c>
      <c r="MF39" s="21" t="n">
        <v>187.218</v>
      </c>
      <c r="MG39" s="21" t="n">
        <v>260.575</v>
      </c>
      <c r="MH39" s="21" t="n">
        <v>158.994</v>
      </c>
      <c r="MI39" s="21" t="n">
        <v>430.405</v>
      </c>
      <c r="MJ39" s="21" t="n">
        <v>358.637</v>
      </c>
      <c r="MK39" s="21" t="n">
        <v>328.929</v>
      </c>
      <c r="ML39" s="21" t="n">
        <v>167.238</v>
      </c>
      <c r="MM39" s="21" t="n">
        <v>186.617</v>
      </c>
      <c r="MN39" s="21" t="n">
        <v>338.947</v>
      </c>
      <c r="MO39" s="21" t="n">
        <v>163.497</v>
      </c>
      <c r="MP39" s="21" t="n">
        <v>231.119</v>
      </c>
      <c r="MQ39" s="21" t="n">
        <v>77.52</v>
      </c>
      <c r="MR39" s="21" t="n">
        <v>150.217</v>
      </c>
      <c r="MS39" s="21" t="n">
        <v>79.807</v>
      </c>
      <c r="MT39" s="21" t="n">
        <v>237.767</v>
      </c>
      <c r="MU39" s="21" t="n">
        <v>254.555</v>
      </c>
      <c r="MV39" s="21" t="n">
        <v>248.469</v>
      </c>
      <c r="MW39" s="21" t="n">
        <v>255.783</v>
      </c>
      <c r="MX39" s="21" t="n">
        <v>230.358</v>
      </c>
      <c r="MY39" s="21" t="n">
        <v>224.545</v>
      </c>
      <c r="MZ39" s="21" t="n">
        <v>229.09</v>
      </c>
      <c r="NA39" s="21" t="n">
        <v>234.707</v>
      </c>
      <c r="NB39" s="21" t="n">
        <v>120.049</v>
      </c>
      <c r="NC39" s="21" t="n">
        <v>183.385</v>
      </c>
      <c r="ND39" s="21" t="n">
        <v>152.487</v>
      </c>
      <c r="NE39" s="21" t="n">
        <v>149.182</v>
      </c>
      <c r="NF39" s="21" t="n">
        <v>144.412</v>
      </c>
      <c r="NG39" s="21" t="n">
        <v>145.851</v>
      </c>
      <c r="NH39" s="21" t="n">
        <v>247.369</v>
      </c>
      <c r="NI39" s="21" t="n">
        <v>104.626</v>
      </c>
      <c r="NJ39" s="21" t="n">
        <v>76.562</v>
      </c>
      <c r="NK39" s="21" t="n">
        <v>109.033</v>
      </c>
      <c r="NL39" s="21" t="n">
        <v>213.519</v>
      </c>
      <c r="NM39" s="21" t="n">
        <v>233.414</v>
      </c>
      <c r="NN39" s="21" t="n">
        <v>89.80500000000001</v>
      </c>
      <c r="NO39" s="21" t="n">
        <v>56.001</v>
      </c>
      <c r="NP39" s="21" t="n">
        <v>223.624</v>
      </c>
      <c r="NQ39" s="21" t="n">
        <v>199.039</v>
      </c>
      <c r="NR39" s="21" t="n">
        <v>242.772</v>
      </c>
      <c r="NS39" s="21" t="n">
        <v>195.966</v>
      </c>
      <c r="NT39" s="21" t="n">
        <v>243.516</v>
      </c>
      <c r="NU39" s="21" t="n">
        <v>112.434</v>
      </c>
      <c r="NV39" s="21" t="n">
        <v>119.865</v>
      </c>
      <c r="NW39" s="21" t="n">
        <v>350.392</v>
      </c>
      <c r="NX39" s="21" t="n">
        <v>81.28700000000001</v>
      </c>
      <c r="NY39" s="21" t="n">
        <v>121.097</v>
      </c>
      <c r="NZ39" s="21" t="n">
        <v>316.485</v>
      </c>
      <c r="OA39" s="21" t="n">
        <v>313.608</v>
      </c>
      <c r="OB39" s="21" t="n">
        <v>324.69</v>
      </c>
      <c r="OC39" s="21" t="n">
        <v>298.306</v>
      </c>
      <c r="OD39" s="21" t="n">
        <v>334.488</v>
      </c>
      <c r="OE39" s="21" t="n">
        <v>104.116</v>
      </c>
      <c r="OF39" s="21" t="n">
        <v>320.089</v>
      </c>
      <c r="OG39" s="21" t="n">
        <v>217.061</v>
      </c>
      <c r="OH39" s="21" t="n">
        <v>44.922</v>
      </c>
      <c r="OI39" s="21" t="n">
        <v>125.258</v>
      </c>
      <c r="OJ39" s="21" t="n">
        <v>40.2</v>
      </c>
      <c r="OK39" s="21" t="n">
        <v>13.4</v>
      </c>
    </row>
    <row r="40">
      <c r="A40" s="22" t="n">
        <v>43160</v>
      </c>
      <c r="B40" s="21" t="n">
        <v>249.554</v>
      </c>
      <c r="C40" s="21" t="n">
        <v>747.554</v>
      </c>
      <c r="D40" s="21" t="n">
        <v>252.182</v>
      </c>
      <c r="E40" s="21" t="n">
        <v>252.37</v>
      </c>
      <c r="F40" s="21" t="n">
        <v>239.158</v>
      </c>
      <c r="G40" s="21" t="n">
        <v>272.345</v>
      </c>
      <c r="H40" s="21" t="n">
        <v>226.046</v>
      </c>
      <c r="I40" s="21" t="n">
        <v>238.655</v>
      </c>
      <c r="J40" s="21" t="n">
        <v>220.063</v>
      </c>
      <c r="K40" s="21" t="n">
        <v>235.062</v>
      </c>
      <c r="L40" s="21" t="n">
        <v>159.276</v>
      </c>
      <c r="M40" s="21" t="n">
        <v>298.962</v>
      </c>
      <c r="N40" s="21" t="n">
        <v>179.796</v>
      </c>
      <c r="O40" s="21" t="n">
        <v>324.984</v>
      </c>
      <c r="P40" s="21" t="n">
        <v>347.639</v>
      </c>
      <c r="Q40" s="21" t="n">
        <v>178.576</v>
      </c>
      <c r="R40" s="21" t="n">
        <v>287.58</v>
      </c>
      <c r="S40" s="21" t="n">
        <v>308.332</v>
      </c>
      <c r="T40" s="21" t="n">
        <v>270.562</v>
      </c>
      <c r="U40" s="21" t="n">
        <v>263.074</v>
      </c>
      <c r="V40" s="21" t="n">
        <v>298.936</v>
      </c>
      <c r="W40" s="21" t="n">
        <v>300.279</v>
      </c>
      <c r="X40" s="21" t="n">
        <v>264.88</v>
      </c>
      <c r="Y40" s="21" t="n">
        <v>249.516</v>
      </c>
      <c r="Z40" s="21" t="n">
        <v>250.757</v>
      </c>
      <c r="AA40" s="21" t="n">
        <v>252.836</v>
      </c>
      <c r="AB40" s="21" t="n">
        <v>301.184</v>
      </c>
      <c r="AC40" s="21" t="n">
        <v>270.452</v>
      </c>
      <c r="AD40" s="21" t="n">
        <v>223.801</v>
      </c>
      <c r="AE40" s="21" t="n">
        <v>201.037</v>
      </c>
      <c r="AF40" s="21" t="n">
        <v>237.426</v>
      </c>
      <c r="AG40" s="21" t="n">
        <v>211.243</v>
      </c>
      <c r="AH40" s="21" t="n">
        <v>161.054</v>
      </c>
      <c r="AI40" s="21" t="n">
        <v>300.78</v>
      </c>
      <c r="AJ40" s="21" t="n">
        <v>146.128</v>
      </c>
      <c r="AK40" s="21" t="n">
        <v>198.57</v>
      </c>
      <c r="AL40" s="21" t="n">
        <v>221.476</v>
      </c>
      <c r="AM40" s="21" t="n">
        <v>185.371</v>
      </c>
      <c r="AN40" s="21" t="n">
        <v>126.072</v>
      </c>
      <c r="AO40" s="21" t="n">
        <v>226.273</v>
      </c>
      <c r="AP40" s="21" t="n">
        <v>236.775</v>
      </c>
      <c r="AQ40" s="21" t="n">
        <v>144.841</v>
      </c>
      <c r="AR40" s="21" t="n"/>
      <c r="AS40" s="21" t="n"/>
      <c r="AT40" s="21" t="n">
        <v>232.964</v>
      </c>
      <c r="AU40" s="21" t="n">
        <v>150.98</v>
      </c>
      <c r="AV40" s="21" t="n">
        <v>249.179</v>
      </c>
      <c r="AW40" s="21" t="n">
        <v>224.908</v>
      </c>
      <c r="AX40" s="21" t="n">
        <v>147.038</v>
      </c>
      <c r="AY40" s="21" t="n">
        <v>289.436</v>
      </c>
      <c r="AZ40" s="21" t="n">
        <v>182.032</v>
      </c>
      <c r="BA40" s="21" t="n">
        <v>142.759</v>
      </c>
      <c r="BB40" s="21" t="n">
        <v>202.756</v>
      </c>
      <c r="BC40" s="21" t="n">
        <v>294.242</v>
      </c>
      <c r="BD40" s="21" t="n">
        <v>235.107</v>
      </c>
      <c r="BE40" s="21" t="n">
        <v>216.497</v>
      </c>
      <c r="BF40" s="21" t="n">
        <v>135.724</v>
      </c>
      <c r="BG40" s="21" t="n">
        <v>194.159</v>
      </c>
      <c r="BH40" s="21" t="n">
        <v>140.228</v>
      </c>
      <c r="BI40" s="21" t="n">
        <v>229.737</v>
      </c>
      <c r="BJ40" s="21" t="n">
        <v>222.898</v>
      </c>
      <c r="BK40" s="21" t="n">
        <v>147.007</v>
      </c>
      <c r="BL40" s="21" t="n">
        <v>293.87</v>
      </c>
      <c r="BM40" s="21" t="n">
        <v>340.982</v>
      </c>
      <c r="BN40" s="21" t="n">
        <v>360.428</v>
      </c>
      <c r="BO40" s="21" t="n">
        <v>333.852</v>
      </c>
      <c r="BP40" s="21" t="n">
        <v>199.713</v>
      </c>
      <c r="BQ40" s="21" t="n">
        <v>251.797</v>
      </c>
      <c r="BR40" s="21" t="n">
        <v>490.026</v>
      </c>
      <c r="BS40" s="21" t="n">
        <v>119.47</v>
      </c>
      <c r="BT40" s="21" t="n">
        <v>319.35</v>
      </c>
      <c r="BU40" s="21" t="n">
        <v>331.902</v>
      </c>
      <c r="BV40" s="21" t="n">
        <v>283.545</v>
      </c>
      <c r="BW40" s="21" t="n">
        <v>334.656</v>
      </c>
      <c r="BX40" s="21" t="n">
        <v>324.43</v>
      </c>
      <c r="BY40" s="21" t="n">
        <v>153.311</v>
      </c>
      <c r="BZ40" s="21" t="n">
        <v>156.41</v>
      </c>
      <c r="CA40" s="21" t="n">
        <v>149.416</v>
      </c>
      <c r="CB40" s="21" t="n">
        <v>165.783</v>
      </c>
      <c r="CC40" s="21" t="n">
        <v>146.604</v>
      </c>
      <c r="CD40" s="21" t="n">
        <v>199.375</v>
      </c>
      <c r="CE40" s="21" t="n">
        <v>154.315</v>
      </c>
      <c r="CF40" s="21" t="n">
        <v>188.717</v>
      </c>
      <c r="CG40" s="21" t="n">
        <v>167.758</v>
      </c>
      <c r="CH40" s="21" t="n">
        <v>129.646</v>
      </c>
      <c r="CI40" s="21" t="n">
        <v>163.707</v>
      </c>
      <c r="CJ40" s="21" t="n">
        <v>182.001</v>
      </c>
      <c r="CK40" s="21" t="n">
        <v>117.523</v>
      </c>
      <c r="CL40" s="21" t="n">
        <v>117.321</v>
      </c>
      <c r="CM40" s="21" t="n">
        <v>196.846</v>
      </c>
      <c r="CN40" s="21" t="n">
        <v>205.059</v>
      </c>
      <c r="CO40" s="21" t="n">
        <v>190.98</v>
      </c>
      <c r="CP40" s="21" t="n">
        <v>128.167</v>
      </c>
      <c r="CQ40" s="21" t="n">
        <v>210.012</v>
      </c>
      <c r="CR40" s="21" t="n">
        <v>217.177</v>
      </c>
      <c r="CS40" s="21" t="n">
        <v>187.253</v>
      </c>
      <c r="CT40" s="21" t="n">
        <v>146.384</v>
      </c>
      <c r="CU40" s="21" t="n">
        <v>156.448</v>
      </c>
      <c r="CV40" s="21" t="n">
        <v>227.486</v>
      </c>
      <c r="CW40" s="21" t="n">
        <v>203.4</v>
      </c>
      <c r="CX40" s="21" t="n">
        <v>239.099</v>
      </c>
      <c r="CY40" s="21" t="n">
        <v>299.8</v>
      </c>
      <c r="CZ40" s="21" t="n">
        <v>128.411</v>
      </c>
      <c r="DA40" s="21" t="n">
        <v>159.097</v>
      </c>
      <c r="DB40" s="21" t="n">
        <v>156.709</v>
      </c>
      <c r="DC40" s="21" t="n">
        <v>224.164</v>
      </c>
      <c r="DD40" s="21" t="n">
        <v>241.826</v>
      </c>
      <c r="DE40" s="21" t="n">
        <v>166.446</v>
      </c>
      <c r="DF40" s="21" t="n">
        <v>252.261</v>
      </c>
      <c r="DG40" s="21" t="n">
        <v>241.506</v>
      </c>
      <c r="DH40" s="21" t="n">
        <v>155.25</v>
      </c>
      <c r="DI40" s="21" t="n">
        <v>135.054</v>
      </c>
      <c r="DJ40" s="21" t="n">
        <v>140.639</v>
      </c>
      <c r="DK40" s="21" t="n">
        <v>275.246</v>
      </c>
      <c r="DL40" s="21" t="n">
        <v>159.099</v>
      </c>
      <c r="DM40" s="21" t="n">
        <v>131.669</v>
      </c>
      <c r="DN40" s="21" t="n">
        <v>129.564</v>
      </c>
      <c r="DO40" s="21" t="n">
        <v>273.733</v>
      </c>
      <c r="DP40" s="21" t="n">
        <v>169.599</v>
      </c>
      <c r="DQ40" s="21" t="n">
        <v>175.48</v>
      </c>
      <c r="DR40" s="21" t="n">
        <v>176.424</v>
      </c>
      <c r="DS40" s="21" t="n">
        <v>146.028</v>
      </c>
      <c r="DT40" s="21" t="n">
        <v>157.457</v>
      </c>
      <c r="DU40" s="21" t="n">
        <v>187.884</v>
      </c>
      <c r="DV40" s="21" t="n">
        <v>248.287</v>
      </c>
      <c r="DW40" s="21" t="n">
        <v>202.136</v>
      </c>
      <c r="DX40" s="21" t="n">
        <v>225.03</v>
      </c>
      <c r="DY40" s="21" t="n">
        <v>191.521</v>
      </c>
      <c r="DZ40" s="21" t="n">
        <v>203.162</v>
      </c>
      <c r="EA40" s="21" t="n">
        <v>187.766</v>
      </c>
      <c r="EB40" s="21" t="n">
        <v>170.05</v>
      </c>
      <c r="EC40" s="21" t="n">
        <v>348.872</v>
      </c>
      <c r="ED40" s="21" t="n">
        <v>172.3</v>
      </c>
      <c r="EE40" s="21" t="n">
        <v>186.282</v>
      </c>
      <c r="EF40" s="21" t="n">
        <v>189.803</v>
      </c>
      <c r="EG40" s="21" t="n">
        <v>256.388</v>
      </c>
      <c r="EH40" s="21" t="n">
        <v>304.847</v>
      </c>
      <c r="EI40" s="21" t="n">
        <v>315.883</v>
      </c>
      <c r="EJ40" s="21" t="n">
        <v>163.604</v>
      </c>
      <c r="EK40" s="21" t="n">
        <v>544.003</v>
      </c>
      <c r="EL40" s="21" t="n">
        <v>335.665</v>
      </c>
      <c r="EM40" s="21" t="n">
        <v>312.107</v>
      </c>
      <c r="EN40" s="21" t="n">
        <v>312.113</v>
      </c>
      <c r="EO40" s="21" t="n">
        <v>149.288</v>
      </c>
      <c r="EP40" s="21" t="n">
        <v>239.786</v>
      </c>
      <c r="EQ40" s="21" t="n">
        <v>199.657</v>
      </c>
      <c r="ER40" s="21" t="n">
        <v>291.374</v>
      </c>
      <c r="ES40" s="21" t="n">
        <v>288.737</v>
      </c>
      <c r="ET40" s="21" t="n">
        <v>349.283</v>
      </c>
      <c r="EU40" s="21" t="n">
        <v>202.625</v>
      </c>
      <c r="EV40" s="21" t="n">
        <v>210.273</v>
      </c>
      <c r="EW40" s="21" t="n">
        <v>176.567</v>
      </c>
      <c r="EX40" s="21" t="n">
        <v>234.215</v>
      </c>
      <c r="EY40" s="21" t="n">
        <v>546.202</v>
      </c>
      <c r="EZ40" s="21" t="n">
        <v>455.23</v>
      </c>
      <c r="FA40" s="21" t="n">
        <v>121.484</v>
      </c>
      <c r="FB40" s="21" t="n">
        <v>58.511</v>
      </c>
      <c r="FC40" s="21" t="n">
        <v>113.117</v>
      </c>
      <c r="FD40" s="21" t="n">
        <v>65.304</v>
      </c>
      <c r="FE40" s="21" t="n">
        <v>44.954</v>
      </c>
      <c r="FF40" s="21" t="n">
        <v>110.177</v>
      </c>
      <c r="FG40" s="21" t="n">
        <v>127.502</v>
      </c>
      <c r="FH40" s="21" t="n">
        <v>83.733</v>
      </c>
      <c r="FI40" s="21" t="n">
        <v>69.102</v>
      </c>
      <c r="FJ40" s="21" t="n">
        <v>90.607</v>
      </c>
      <c r="FK40" s="21" t="n">
        <v>73.93899999999999</v>
      </c>
      <c r="FL40" s="21" t="n">
        <v>78.336</v>
      </c>
      <c r="FM40" s="21" t="n">
        <v>86.28</v>
      </c>
      <c r="FN40" s="21" t="n">
        <v>64.77</v>
      </c>
      <c r="FO40" s="21" t="n">
        <v>52.932</v>
      </c>
      <c r="FP40" s="21" t="n">
        <v>38.902</v>
      </c>
      <c r="FQ40" s="21" t="n">
        <v>134.661</v>
      </c>
      <c r="FR40" s="21" t="n">
        <v>49.867</v>
      </c>
      <c r="FS40" s="21" t="n">
        <v>85.643</v>
      </c>
      <c r="FT40" s="21" t="n">
        <v>90.136</v>
      </c>
      <c r="FU40" s="21" t="n">
        <v>99.023</v>
      </c>
      <c r="FV40" s="21" t="n">
        <v>85.898</v>
      </c>
      <c r="FW40" s="21" t="n">
        <v>185.164</v>
      </c>
      <c r="FX40" s="21" t="n">
        <v>117.282</v>
      </c>
      <c r="FY40" s="21" t="n">
        <v>167.59</v>
      </c>
      <c r="FZ40" s="21" t="n">
        <v>118.677</v>
      </c>
      <c r="GA40" s="21" t="n">
        <v>184.387</v>
      </c>
      <c r="GB40" s="21" t="n">
        <v>164.773</v>
      </c>
      <c r="GC40" s="21" t="n">
        <v>189.915</v>
      </c>
      <c r="GD40" s="21" t="n">
        <v>164.267</v>
      </c>
      <c r="GE40" s="21" t="n">
        <v>255.99</v>
      </c>
      <c r="GF40" s="21" t="n">
        <v>128.604</v>
      </c>
      <c r="GG40" s="21" t="n">
        <v>118.772</v>
      </c>
      <c r="GH40" s="21" t="n">
        <v>122.498</v>
      </c>
      <c r="GI40" s="21" t="n">
        <v>108.085</v>
      </c>
      <c r="GJ40" s="21" t="n">
        <v>152.788</v>
      </c>
      <c r="GK40" s="21" t="n">
        <v>80.94499999999999</v>
      </c>
      <c r="GL40" s="21" t="n">
        <v>119.854</v>
      </c>
      <c r="GM40" s="21" t="n">
        <v>103.965</v>
      </c>
      <c r="GN40" s="21" t="n">
        <v>114.624</v>
      </c>
      <c r="GO40" s="21" t="n">
        <v>118.099</v>
      </c>
      <c r="GP40" s="21" t="n">
        <v>103.999</v>
      </c>
      <c r="GQ40" s="21" t="n">
        <v>137.22</v>
      </c>
      <c r="GR40" s="21" t="n">
        <v>83.092</v>
      </c>
      <c r="GS40" s="21" t="n">
        <v>106.956</v>
      </c>
      <c r="GT40" s="21" t="n">
        <v>97.22</v>
      </c>
      <c r="GU40" s="21" t="n">
        <v>139.239</v>
      </c>
      <c r="GV40" s="21" t="n">
        <v>141.614</v>
      </c>
      <c r="GW40" s="21" t="n">
        <v>153.185</v>
      </c>
      <c r="GX40" s="21" t="n">
        <v>130.166</v>
      </c>
      <c r="GY40" s="21" t="n">
        <v>119.371</v>
      </c>
      <c r="GZ40" s="21" t="n">
        <v>176.485</v>
      </c>
      <c r="HA40" s="21" t="n">
        <v>136.671</v>
      </c>
      <c r="HB40" s="21" t="n">
        <v>182.656</v>
      </c>
      <c r="HC40" s="21" t="n">
        <v>207.845</v>
      </c>
      <c r="HD40" s="21" t="n">
        <v>203.343</v>
      </c>
      <c r="HE40" s="21" t="n">
        <v>99.55200000000001</v>
      </c>
      <c r="HF40" s="21" t="n">
        <v>146.727</v>
      </c>
      <c r="HG40" s="21" t="n">
        <v>101.663</v>
      </c>
      <c r="HH40" s="21" t="n">
        <v>142.036</v>
      </c>
      <c r="HI40" s="21" t="n">
        <v>156.486</v>
      </c>
      <c r="HJ40" s="21" t="n"/>
      <c r="HK40" s="21" t="n">
        <v>139.892</v>
      </c>
      <c r="HL40" s="21" t="n">
        <v>88.242</v>
      </c>
      <c r="HM40" s="21" t="n">
        <v>125.524</v>
      </c>
      <c r="HN40" s="21" t="n">
        <v>228.068</v>
      </c>
      <c r="HO40" s="21" t="n">
        <v>226.872</v>
      </c>
      <c r="HP40" s="21" t="n">
        <v>222.396</v>
      </c>
      <c r="HQ40" s="21" t="n">
        <v>243.233</v>
      </c>
      <c r="HR40" s="21" t="n">
        <v>239.111</v>
      </c>
      <c r="HS40" s="21" t="n">
        <v>215.972</v>
      </c>
      <c r="HT40" s="21" t="n">
        <v>143.254</v>
      </c>
      <c r="HU40" s="21" t="n">
        <v>123.529</v>
      </c>
      <c r="HV40" s="21" t="n">
        <v>169.255</v>
      </c>
      <c r="HW40" s="21" t="n">
        <v>160.969</v>
      </c>
      <c r="HX40" s="21" t="n">
        <v>377.421</v>
      </c>
      <c r="HY40" s="21" t="n">
        <v>283.656</v>
      </c>
      <c r="HZ40" s="21" t="n">
        <v>300.584</v>
      </c>
      <c r="IA40" s="21" t="n">
        <v>255.639</v>
      </c>
      <c r="IB40" s="21" t="n">
        <v>174.545</v>
      </c>
      <c r="IC40" s="21" t="n">
        <v>563.7619999999999</v>
      </c>
      <c r="ID40" s="21" t="n">
        <v>188.088</v>
      </c>
      <c r="IE40" s="21" t="n">
        <v>178.044</v>
      </c>
      <c r="IF40" s="21" t="n">
        <v>204.518</v>
      </c>
      <c r="IG40" s="21" t="n">
        <v>231.253</v>
      </c>
      <c r="IH40" s="21" t="n">
        <v>119.712</v>
      </c>
      <c r="II40" s="21" t="n">
        <v>261.019</v>
      </c>
      <c r="IJ40" s="21" t="n">
        <v>267.482</v>
      </c>
      <c r="IK40" s="21" t="n">
        <v>162.701</v>
      </c>
      <c r="IL40" s="21" t="n">
        <v>134.952</v>
      </c>
      <c r="IM40" s="21" t="n"/>
      <c r="IN40" s="21" t="n">
        <v>67.67700000000001</v>
      </c>
      <c r="IO40" s="21" t="n">
        <v>320.384</v>
      </c>
      <c r="IP40" s="21" t="n">
        <v>127.837</v>
      </c>
      <c r="IQ40" s="21" t="n">
        <v>483.984</v>
      </c>
      <c r="IR40" s="21" t="n">
        <v>381.804</v>
      </c>
      <c r="IS40" s="21" t="n">
        <v>125.107</v>
      </c>
      <c r="IT40" s="21" t="n">
        <v>528.167</v>
      </c>
      <c r="IU40" s="21" t="n">
        <v>97.575</v>
      </c>
      <c r="IV40" s="21" t="n">
        <v>98.399</v>
      </c>
      <c r="IW40" s="21" t="n">
        <v>516.713</v>
      </c>
      <c r="IX40" s="21" t="n">
        <v>379.056</v>
      </c>
      <c r="IY40" s="21" t="n">
        <v>380.766</v>
      </c>
      <c r="IZ40" s="21" t="n">
        <v>489.101</v>
      </c>
      <c r="JA40" s="21" t="n">
        <v>189.313</v>
      </c>
      <c r="JB40" s="21" t="n">
        <v>236.938</v>
      </c>
      <c r="JC40" s="21" t="n">
        <v>78.441</v>
      </c>
      <c r="JD40" s="21" t="n">
        <v>330.759</v>
      </c>
      <c r="JE40" s="21" t="n">
        <v>323.472</v>
      </c>
      <c r="JF40" s="21" t="n">
        <v>732.6180000000001</v>
      </c>
      <c r="JG40" s="21" t="n">
        <v>226.019</v>
      </c>
      <c r="JH40" s="21" t="n">
        <v>120.536</v>
      </c>
      <c r="JI40" s="21" t="n">
        <v>134.371</v>
      </c>
      <c r="JJ40" s="21" t="n">
        <v>119.281</v>
      </c>
      <c r="JK40" s="21" t="n">
        <v>104.921</v>
      </c>
      <c r="JL40" s="21" t="n">
        <v>200.643</v>
      </c>
      <c r="JM40" s="21" t="n">
        <v>472.211</v>
      </c>
      <c r="JN40" s="21" t="n">
        <v>121.195</v>
      </c>
      <c r="JO40" s="21" t="n">
        <v>73.197</v>
      </c>
      <c r="JP40" s="21" t="n">
        <v>38.422</v>
      </c>
      <c r="JQ40" s="21" t="n">
        <v>128.993</v>
      </c>
      <c r="JR40" s="21" t="n">
        <v>27.048</v>
      </c>
      <c r="JS40" s="21" t="n">
        <v>87.738</v>
      </c>
      <c r="JT40" s="21" t="n">
        <v>171.011</v>
      </c>
      <c r="JU40" s="21" t="n">
        <v>196.253</v>
      </c>
      <c r="JV40" s="21" t="n">
        <v>150.254</v>
      </c>
      <c r="JW40" s="21" t="n">
        <v>112.456</v>
      </c>
      <c r="JX40" s="21" t="n">
        <v>242.675</v>
      </c>
      <c r="JY40" s="21" t="n">
        <v>188.349</v>
      </c>
      <c r="JZ40" s="21" t="n">
        <v>254.715</v>
      </c>
      <c r="KA40" s="21" t="n">
        <v>112.143</v>
      </c>
      <c r="KB40" s="21" t="n">
        <v>149.754</v>
      </c>
      <c r="KC40" s="21" t="n">
        <v>80.376</v>
      </c>
      <c r="KD40" s="21" t="n">
        <v>74.72799999999999</v>
      </c>
      <c r="KE40" s="21" t="n">
        <v>55.423</v>
      </c>
      <c r="KF40" s="21" t="n"/>
      <c r="KG40" s="21" t="n">
        <v>22.967</v>
      </c>
      <c r="KH40" s="21" t="n">
        <v>120.56</v>
      </c>
      <c r="KI40" s="21" t="n">
        <v>127.153</v>
      </c>
      <c r="KJ40" s="21" t="n">
        <v>111.558</v>
      </c>
      <c r="KK40" s="21" t="n">
        <v>38.955</v>
      </c>
      <c r="KL40" s="21" t="n">
        <v>35.412</v>
      </c>
      <c r="KM40" s="21" t="n">
        <v>43.425</v>
      </c>
      <c r="KN40" s="21" t="n"/>
      <c r="KO40" s="21" t="n">
        <v>96.663</v>
      </c>
      <c r="KP40" s="21" t="n">
        <v>100.332</v>
      </c>
      <c r="KQ40" s="21" t="n">
        <v>166.635</v>
      </c>
      <c r="KR40" s="21" t="n">
        <v>138.748</v>
      </c>
      <c r="KS40" s="21" t="n">
        <v>376.109</v>
      </c>
      <c r="KT40" s="21" t="n">
        <v>182.049</v>
      </c>
      <c r="KU40" s="21" t="n">
        <v>214.867</v>
      </c>
      <c r="KV40" s="21" t="n">
        <v>311.862</v>
      </c>
      <c r="KW40" s="21" t="n">
        <v>244.725</v>
      </c>
      <c r="KX40" s="21" t="n">
        <v>175.395</v>
      </c>
      <c r="KY40" s="21" t="n">
        <v>95.254</v>
      </c>
      <c r="KZ40" s="21" t="n">
        <v>136.029</v>
      </c>
      <c r="LA40" s="21" t="n">
        <v>255.609</v>
      </c>
      <c r="LB40" s="21" t="n">
        <v>695.4589999999999</v>
      </c>
      <c r="LC40" s="21" t="n">
        <v>241.724</v>
      </c>
      <c r="LD40" s="21" t="n">
        <v>731.62</v>
      </c>
      <c r="LE40" s="21" t="n">
        <v>828.234</v>
      </c>
      <c r="LF40" s="21" t="n">
        <v>78.321</v>
      </c>
      <c r="LG40" s="21" t="n">
        <v>293.36</v>
      </c>
      <c r="LH40" s="21" t="n">
        <v>248.435</v>
      </c>
      <c r="LI40" s="21" t="n">
        <v>73.883</v>
      </c>
      <c r="LJ40" s="21" t="n">
        <v>184.987</v>
      </c>
      <c r="LK40" s="21" t="n">
        <v>289.966</v>
      </c>
      <c r="LL40" s="21" t="n">
        <v>307.775</v>
      </c>
      <c r="LM40" s="21" t="n">
        <v>69.988</v>
      </c>
      <c r="LN40" s="21" t="n">
        <v>90.601</v>
      </c>
      <c r="LO40" s="21" t="n">
        <v>47.822</v>
      </c>
      <c r="LP40" s="21" t="n">
        <v>116.726</v>
      </c>
      <c r="LQ40" s="21" t="n"/>
      <c r="LR40" s="21" t="n"/>
      <c r="LS40" s="21" t="n">
        <v>110.67</v>
      </c>
      <c r="LT40" s="21" t="n">
        <v>41.249</v>
      </c>
      <c r="LU40" s="21" t="n">
        <v>31.944</v>
      </c>
      <c r="LV40" s="21" t="n">
        <v>74.93300000000001</v>
      </c>
      <c r="LW40" s="21" t="n">
        <v>260.515</v>
      </c>
      <c r="LX40" s="21" t="n"/>
      <c r="LY40" s="21" t="n">
        <v>439.269</v>
      </c>
      <c r="LZ40" s="21" t="n">
        <v>65.985</v>
      </c>
      <c r="MA40" s="21" t="n">
        <v>427.487</v>
      </c>
      <c r="MB40" s="21" t="n">
        <v>270.342</v>
      </c>
      <c r="MC40" s="21" t="n">
        <v>230.011</v>
      </c>
      <c r="MD40" s="21" t="n">
        <v>161.995</v>
      </c>
      <c r="ME40" s="21" t="n">
        <v>102.613</v>
      </c>
      <c r="MF40" s="21" t="n">
        <v>187.094</v>
      </c>
      <c r="MG40" s="21" t="n">
        <v>261.442</v>
      </c>
      <c r="MH40" s="21" t="n">
        <v>159.522</v>
      </c>
      <c r="MI40" s="21" t="n">
        <v>434.048</v>
      </c>
      <c r="MJ40" s="21" t="n">
        <v>360.741</v>
      </c>
      <c r="MK40" s="21" t="n">
        <v>329.243</v>
      </c>
      <c r="ML40" s="21" t="n">
        <v>168.002</v>
      </c>
      <c r="MM40" s="21" t="n">
        <v>186.121</v>
      </c>
      <c r="MN40" s="21" t="n">
        <v>346.192</v>
      </c>
      <c r="MO40" s="21" t="n">
        <v>171.166</v>
      </c>
      <c r="MP40" s="21" t="n">
        <v>232.932</v>
      </c>
      <c r="MQ40" s="21" t="n">
        <v>77.06399999999999</v>
      </c>
      <c r="MR40" s="21" t="n">
        <v>150.171</v>
      </c>
      <c r="MS40" s="21" t="n">
        <v>78.50700000000001</v>
      </c>
      <c r="MT40" s="21" t="n">
        <v>238.305</v>
      </c>
      <c r="MU40" s="21" t="n">
        <v>255.275</v>
      </c>
      <c r="MV40" s="21" t="n">
        <v>249.102</v>
      </c>
      <c r="MW40" s="21" t="n">
        <v>256.61</v>
      </c>
      <c r="MX40" s="21" t="n">
        <v>230.692</v>
      </c>
      <c r="MY40" s="21" t="n">
        <v>224.927</v>
      </c>
      <c r="MZ40" s="21" t="n">
        <v>229.717</v>
      </c>
      <c r="NA40" s="21" t="n">
        <v>235.187</v>
      </c>
      <c r="NB40" s="21" t="n">
        <v>121.481</v>
      </c>
      <c r="NC40" s="21" t="n">
        <v>183.78</v>
      </c>
      <c r="ND40" s="21" t="n">
        <v>152.962</v>
      </c>
      <c r="NE40" s="21" t="n">
        <v>149.663</v>
      </c>
      <c r="NF40" s="21" t="n">
        <v>145.05</v>
      </c>
      <c r="NG40" s="21" t="n">
        <v>146.274</v>
      </c>
      <c r="NH40" s="21" t="n">
        <v>247.165</v>
      </c>
      <c r="NI40" s="21" t="n">
        <v>105.046</v>
      </c>
      <c r="NJ40" s="21" t="n">
        <v>76.295</v>
      </c>
      <c r="NK40" s="21" t="n">
        <v>108.808</v>
      </c>
      <c r="NL40" s="21" t="n">
        <v>212.554</v>
      </c>
      <c r="NM40" s="21" t="n">
        <v>232.716</v>
      </c>
      <c r="NN40" s="21" t="n">
        <v>89.869</v>
      </c>
      <c r="NO40" s="21" t="n">
        <v>55.699</v>
      </c>
      <c r="NP40" s="21" t="n">
        <v>223.953</v>
      </c>
      <c r="NQ40" s="21" t="n">
        <v>199.529</v>
      </c>
      <c r="NR40" s="21" t="n">
        <v>242.432</v>
      </c>
      <c r="NS40" s="21" t="n">
        <v>196.477</v>
      </c>
      <c r="NT40" s="21" t="n">
        <v>243.131</v>
      </c>
      <c r="NU40" s="21" t="n">
        <v>112.184</v>
      </c>
      <c r="NV40" s="21" t="n">
        <v>120.643</v>
      </c>
      <c r="NW40" s="21" t="n">
        <v>350.476</v>
      </c>
      <c r="NX40" s="21" t="n">
        <v>81.47499999999999</v>
      </c>
      <c r="NY40" s="21" t="n">
        <v>121.247</v>
      </c>
      <c r="NZ40" s="21" t="n">
        <v>317.743</v>
      </c>
      <c r="OA40" s="21" t="n">
        <v>314.337</v>
      </c>
      <c r="OB40" s="21" t="n">
        <v>325.61</v>
      </c>
      <c r="OC40" s="21" t="n">
        <v>298.978</v>
      </c>
      <c r="OD40" s="21" t="n">
        <v>334.676</v>
      </c>
      <c r="OE40" s="21" t="n">
        <v>104.692</v>
      </c>
      <c r="OF40" s="21" t="n">
        <v>320.774</v>
      </c>
      <c r="OG40" s="21" t="n">
        <v>216.906</v>
      </c>
      <c r="OH40" s="21" t="n">
        <v>44.694</v>
      </c>
      <c r="OI40" s="21" t="n">
        <v>125.731</v>
      </c>
      <c r="OJ40" s="21" t="n">
        <v>40.1</v>
      </c>
      <c r="OK40" s="21" t="n">
        <v>13.4</v>
      </c>
    </row>
    <row r="41">
      <c r="A41" s="22" t="n">
        <v>43191</v>
      </c>
      <c r="B41" s="21" t="n">
        <v>250.546</v>
      </c>
      <c r="C41" s="21" t="n">
        <v>750.524</v>
      </c>
      <c r="D41" s="21" t="n">
        <v>252.999</v>
      </c>
      <c r="E41" s="21" t="n">
        <v>253.209</v>
      </c>
      <c r="F41" s="21" t="n">
        <v>240.129</v>
      </c>
      <c r="G41" s="21" t="n">
        <v>271.766</v>
      </c>
      <c r="H41" s="21" t="n">
        <v>227.229</v>
      </c>
      <c r="I41" s="21" t="n">
        <v>240.692</v>
      </c>
      <c r="J41" s="21" t="n">
        <v>220.762</v>
      </c>
      <c r="K41" s="21" t="n">
        <v>236.631</v>
      </c>
      <c r="L41" s="21" t="n">
        <v>161.687</v>
      </c>
      <c r="M41" s="21" t="n">
        <v>297.276</v>
      </c>
      <c r="N41" s="21" t="n">
        <v>177.41</v>
      </c>
      <c r="O41" s="21" t="n">
        <v>319.621</v>
      </c>
      <c r="P41" s="21" t="n">
        <v>344.757</v>
      </c>
      <c r="Q41" s="21" t="n">
        <v>176.991</v>
      </c>
      <c r="R41" s="21" t="n">
        <v>285.077</v>
      </c>
      <c r="S41" s="21" t="n">
        <v>309.714</v>
      </c>
      <c r="T41" s="21" t="n">
        <v>265.448</v>
      </c>
      <c r="U41" s="21" t="n">
        <v>264.524</v>
      </c>
      <c r="V41" s="21" t="n">
        <v>298.539</v>
      </c>
      <c r="W41" s="21" t="n">
        <v>299.958</v>
      </c>
      <c r="X41" s="21" t="n">
        <v>269.759</v>
      </c>
      <c r="Y41" s="21" t="n">
        <v>251.922</v>
      </c>
      <c r="Z41" s="21" t="n">
        <v>252.304</v>
      </c>
      <c r="AA41" s="21" t="n">
        <v>254.103</v>
      </c>
      <c r="AB41" s="21" t="n">
        <v>306.338</v>
      </c>
      <c r="AC41" s="21" t="n">
        <v>273.149</v>
      </c>
      <c r="AD41" s="21" t="n">
        <v>228.441</v>
      </c>
      <c r="AE41" s="21" t="n">
        <v>206.024</v>
      </c>
      <c r="AF41" s="21" t="n">
        <v>240.246</v>
      </c>
      <c r="AG41" s="21" t="n">
        <v>209.714</v>
      </c>
      <c r="AH41" s="21" t="n">
        <v>158.816</v>
      </c>
      <c r="AI41" s="21" t="n">
        <v>296.124</v>
      </c>
      <c r="AJ41" s="21" t="n">
        <v>145.138</v>
      </c>
      <c r="AK41" s="21" t="n">
        <v>194.568</v>
      </c>
      <c r="AL41" s="21" t="n">
        <v>216.168</v>
      </c>
      <c r="AM41" s="21" t="n">
        <v>190.688</v>
      </c>
      <c r="AN41" s="21" t="n">
        <v>125.267</v>
      </c>
      <c r="AO41" s="21" t="n">
        <v>225.862</v>
      </c>
      <c r="AP41" s="21" t="n">
        <v>239.275</v>
      </c>
      <c r="AQ41" s="21" t="n">
        <v>144.135</v>
      </c>
      <c r="AR41" s="21" t="n"/>
      <c r="AS41" s="21" t="n"/>
      <c r="AT41" s="21" t="n">
        <v>233.085</v>
      </c>
      <c r="AU41" s="21" t="n">
        <v>151.21</v>
      </c>
      <c r="AV41" s="21" t="n">
        <v>248.892</v>
      </c>
      <c r="AW41" s="21" t="n">
        <v>225.83</v>
      </c>
      <c r="AX41" s="21" t="n">
        <v>146.435</v>
      </c>
      <c r="AY41" s="21" t="n">
        <v>294.618</v>
      </c>
      <c r="AZ41" s="21" t="n">
        <v>183.506</v>
      </c>
      <c r="BA41" s="21" t="n">
        <v>146.832</v>
      </c>
      <c r="BB41" s="21" t="n">
        <v>205.539</v>
      </c>
      <c r="BC41" s="21" t="n">
        <v>305.217</v>
      </c>
      <c r="BD41" s="21" t="n">
        <v>249.78</v>
      </c>
      <c r="BE41" s="21" t="n">
        <v>216.906</v>
      </c>
      <c r="BF41" s="21" t="n">
        <v>136.255</v>
      </c>
      <c r="BG41" s="21" t="n">
        <v>194.861</v>
      </c>
      <c r="BH41" s="21" t="n">
        <v>140.684</v>
      </c>
      <c r="BI41" s="21" t="n">
        <v>230.234</v>
      </c>
      <c r="BJ41" s="21" t="n">
        <v>221.776</v>
      </c>
      <c r="BK41" s="21" t="n">
        <v>147.494</v>
      </c>
      <c r="BL41" s="21" t="n">
        <v>296.863</v>
      </c>
      <c r="BM41" s="21" t="n">
        <v>344.087</v>
      </c>
      <c r="BN41" s="21" t="n">
        <v>367.381</v>
      </c>
      <c r="BO41" s="21" t="n">
        <v>339.091</v>
      </c>
      <c r="BP41" s="21" t="n">
        <v>197.638</v>
      </c>
      <c r="BQ41" s="21" t="n">
        <v>257.776</v>
      </c>
      <c r="BR41" s="21" t="n">
        <v>495.031</v>
      </c>
      <c r="BS41" s="21" t="n">
        <v>122.817</v>
      </c>
      <c r="BT41" s="21" t="n">
        <v>318.451</v>
      </c>
      <c r="BU41" s="21" t="n">
        <v>333.525</v>
      </c>
      <c r="BV41" s="21" t="n">
        <v>284.883</v>
      </c>
      <c r="BW41" s="21" t="n">
        <v>325.654</v>
      </c>
      <c r="BX41" s="21" t="n">
        <v>324.68</v>
      </c>
      <c r="BY41" s="21" t="n">
        <v>155.488</v>
      </c>
      <c r="BZ41" s="21" t="n">
        <v>158.884</v>
      </c>
      <c r="CA41" s="21" t="n">
        <v>155.534</v>
      </c>
      <c r="CB41" s="21" t="n">
        <v>166.843</v>
      </c>
      <c r="CC41" s="21" t="n">
        <v>147.71</v>
      </c>
      <c r="CD41" s="21" t="n">
        <v>200.143</v>
      </c>
      <c r="CE41" s="21" t="n">
        <v>157.524</v>
      </c>
      <c r="CF41" s="21" t="n">
        <v>192.404</v>
      </c>
      <c r="CG41" s="21" t="n">
        <v>167.041</v>
      </c>
      <c r="CH41" s="21" t="n">
        <v>129.121</v>
      </c>
      <c r="CI41" s="21" t="n">
        <v>162.408</v>
      </c>
      <c r="CJ41" s="21" t="n">
        <v>181.126</v>
      </c>
      <c r="CK41" s="21" t="n">
        <v>117.385</v>
      </c>
      <c r="CL41" s="21" t="n">
        <v>116.756</v>
      </c>
      <c r="CM41" s="21" t="n">
        <v>194.768</v>
      </c>
      <c r="CN41" s="21" t="n">
        <v>202.942</v>
      </c>
      <c r="CO41" s="21" t="n">
        <v>190.645</v>
      </c>
      <c r="CP41" s="21" t="n">
        <v>128.895</v>
      </c>
      <c r="CQ41" s="21" t="n">
        <v>210.632</v>
      </c>
      <c r="CR41" s="21" t="n">
        <v>215.453</v>
      </c>
      <c r="CS41" s="21" t="n">
        <v>187.637</v>
      </c>
      <c r="CT41" s="21" t="n">
        <v>144.381</v>
      </c>
      <c r="CU41" s="21" t="n">
        <v>157.014</v>
      </c>
      <c r="CV41" s="21" t="n">
        <v>229.133</v>
      </c>
      <c r="CW41" s="21" t="n">
        <v>205.787</v>
      </c>
      <c r="CX41" s="21" t="n">
        <v>244.122</v>
      </c>
      <c r="CY41" s="21" t="n">
        <v>299.051</v>
      </c>
      <c r="CZ41" s="21" t="n">
        <v>127.772</v>
      </c>
      <c r="DA41" s="21" t="n">
        <v>160.816</v>
      </c>
      <c r="DB41" s="21" t="n">
        <v>158.215</v>
      </c>
      <c r="DC41" s="21" t="n">
        <v>225.182</v>
      </c>
      <c r="DD41" s="21" t="n">
        <v>246.257</v>
      </c>
      <c r="DE41" s="21" t="n">
        <v>167.523</v>
      </c>
      <c r="DF41" s="21" t="n">
        <v>253.824</v>
      </c>
      <c r="DG41" s="21" t="n">
        <v>240.715</v>
      </c>
      <c r="DH41" s="21" t="n">
        <v>152.085</v>
      </c>
      <c r="DI41" s="21" t="n">
        <v>136.855</v>
      </c>
      <c r="DJ41" s="21" t="n">
        <v>139.302</v>
      </c>
      <c r="DK41" s="21" t="n">
        <v>275.703</v>
      </c>
      <c r="DL41" s="21" t="n">
        <v>158.91</v>
      </c>
      <c r="DM41" s="21" t="n">
        <v>132.367</v>
      </c>
      <c r="DN41" s="21" t="n">
        <v>128.747</v>
      </c>
      <c r="DO41" s="21" t="n">
        <v>274.393</v>
      </c>
      <c r="DP41" s="21" t="n">
        <v>170.071</v>
      </c>
      <c r="DQ41" s="21" t="n">
        <v>175.604</v>
      </c>
      <c r="DR41" s="21" t="n">
        <v>176.305</v>
      </c>
      <c r="DS41" s="21" t="n">
        <v>146.001</v>
      </c>
      <c r="DT41" s="21" t="n">
        <v>157.461</v>
      </c>
      <c r="DU41" s="21" t="n">
        <v>192.251</v>
      </c>
      <c r="DV41" s="21" t="n">
        <v>248.818</v>
      </c>
      <c r="DW41" s="21" t="n">
        <v>202.683</v>
      </c>
      <c r="DX41" s="21" t="n">
        <v>225.377</v>
      </c>
      <c r="DY41" s="21" t="n">
        <v>191.303</v>
      </c>
      <c r="DZ41" s="21" t="n">
        <v>202.473</v>
      </c>
      <c r="EA41" s="21" t="n">
        <v>187.349</v>
      </c>
      <c r="EB41" s="21" t="n">
        <v>170.925</v>
      </c>
      <c r="EC41" s="21" t="n">
        <v>349.289</v>
      </c>
      <c r="ED41" s="21" t="n">
        <v>172.69</v>
      </c>
      <c r="EE41" s="21" t="n">
        <v>186.595</v>
      </c>
      <c r="EF41" s="21" t="n">
        <v>189.6</v>
      </c>
      <c r="EG41" s="21" t="n">
        <v>256.969</v>
      </c>
      <c r="EH41" s="21" t="n">
        <v>305.716</v>
      </c>
      <c r="EI41" s="21" t="n">
        <v>316.763</v>
      </c>
      <c r="EJ41" s="21" t="n">
        <v>165.05</v>
      </c>
      <c r="EK41" s="21" t="n">
        <v>544.136</v>
      </c>
      <c r="EL41" s="21" t="n">
        <v>339.004</v>
      </c>
      <c r="EM41" s="21" t="n">
        <v>312.935</v>
      </c>
      <c r="EN41" s="21" t="n">
        <v>312.945</v>
      </c>
      <c r="EO41" s="21" t="n">
        <v>149.393</v>
      </c>
      <c r="EP41" s="21" t="n">
        <v>238.857</v>
      </c>
      <c r="EQ41" s="21" t="n">
        <v>198.418</v>
      </c>
      <c r="ER41" s="21" t="n">
        <v>292.663</v>
      </c>
      <c r="ES41" s="21" t="n">
        <v>293.991</v>
      </c>
      <c r="ET41" s="21" t="n">
        <v>343.647</v>
      </c>
      <c r="EU41" s="21" t="n">
        <v>201.245</v>
      </c>
      <c r="EV41" s="21" t="n">
        <v>209.215</v>
      </c>
      <c r="EW41" s="21" t="n">
        <v>174.318</v>
      </c>
      <c r="EX41" s="21" t="n">
        <v>235.141</v>
      </c>
      <c r="EY41" s="21" t="n">
        <v>547.718</v>
      </c>
      <c r="EZ41" s="21" t="n">
        <v>458.722</v>
      </c>
      <c r="FA41" s="21" t="n">
        <v>122.031</v>
      </c>
      <c r="FB41" s="21" t="n">
        <v>58.404</v>
      </c>
      <c r="FC41" s="21" t="n">
        <v>114.587</v>
      </c>
      <c r="FD41" s="21" t="n">
        <v>66.175</v>
      </c>
      <c r="FE41" s="21" t="n">
        <v>44.441</v>
      </c>
      <c r="FF41" s="21" t="n">
        <v>111.418</v>
      </c>
      <c r="FG41" s="21" t="n">
        <v>127.582</v>
      </c>
      <c r="FH41" s="21" t="n">
        <v>85.509</v>
      </c>
      <c r="FI41" s="21" t="n">
        <v>69.46299999999999</v>
      </c>
      <c r="FJ41" s="21" t="n"/>
      <c r="FK41" s="21" t="n">
        <v>75.52500000000001</v>
      </c>
      <c r="FL41" s="21" t="n">
        <v>82.131</v>
      </c>
      <c r="FM41" s="21" t="n">
        <v>94.18000000000001</v>
      </c>
      <c r="FN41" s="21" t="n">
        <v>65.166</v>
      </c>
      <c r="FO41" s="21" t="n">
        <v>52.709</v>
      </c>
      <c r="FP41" s="21" t="n">
        <v>38.579</v>
      </c>
      <c r="FQ41" s="21" t="n">
        <v>131.279</v>
      </c>
      <c r="FR41" s="21" t="n">
        <v>51.459</v>
      </c>
      <c r="FS41" s="21" t="n">
        <v>86.42</v>
      </c>
      <c r="FT41" s="21" t="n">
        <v>90.313</v>
      </c>
      <c r="FU41" s="21" t="n">
        <v>99.19499999999999</v>
      </c>
      <c r="FV41" s="21" t="n">
        <v>86.14400000000001</v>
      </c>
      <c r="FW41" s="21" t="n">
        <v>186.245</v>
      </c>
      <c r="FX41" s="21" t="n">
        <v>118.461</v>
      </c>
      <c r="FY41" s="21" t="n">
        <v>168.527</v>
      </c>
      <c r="FZ41" s="21" t="n">
        <v>118.821</v>
      </c>
      <c r="GA41" s="21" t="n">
        <v>184.655</v>
      </c>
      <c r="GB41" s="21" t="n">
        <v>164.779</v>
      </c>
      <c r="GC41" s="21" t="n">
        <v>191.117</v>
      </c>
      <c r="GD41" s="21" t="n">
        <v>163.15</v>
      </c>
      <c r="GE41" s="21" t="n">
        <v>256.069</v>
      </c>
      <c r="GF41" s="21" t="n">
        <v>129.365</v>
      </c>
      <c r="GG41" s="21" t="n">
        <v>119.362</v>
      </c>
      <c r="GH41" s="21" t="n">
        <v>122.155</v>
      </c>
      <c r="GI41" s="21" t="n">
        <v>106.508</v>
      </c>
      <c r="GJ41" s="21" t="n">
        <v>152.224</v>
      </c>
      <c r="GK41" s="21" t="n">
        <v>81.443</v>
      </c>
      <c r="GL41" s="21" t="n">
        <v>119.365</v>
      </c>
      <c r="GM41" s="21" t="n">
        <v>107.455</v>
      </c>
      <c r="GN41" s="21" t="n">
        <v>116.016</v>
      </c>
      <c r="GO41" s="21" t="n">
        <v>119.306</v>
      </c>
      <c r="GP41" s="21" t="n">
        <v>109.294</v>
      </c>
      <c r="GQ41" s="21" t="n">
        <v>140.066</v>
      </c>
      <c r="GR41" s="21" t="n">
        <v>83.67100000000001</v>
      </c>
      <c r="GS41" s="21" t="n">
        <v>107.141</v>
      </c>
      <c r="GT41" s="21" t="n">
        <v>99.54300000000001</v>
      </c>
      <c r="GU41" s="21" t="n">
        <v>139.101</v>
      </c>
      <c r="GV41" s="21" t="n">
        <v>141.355</v>
      </c>
      <c r="GW41" s="21" t="n">
        <v>157.136</v>
      </c>
      <c r="GX41" s="21" t="n">
        <v>128.332</v>
      </c>
      <c r="GY41" s="21" t="n">
        <v>120.858</v>
      </c>
      <c r="GZ41" s="21" t="n">
        <v>175.07</v>
      </c>
      <c r="HA41" s="21" t="n">
        <v>138.534</v>
      </c>
      <c r="HB41" s="21" t="n">
        <v>178.772</v>
      </c>
      <c r="HC41" s="21" t="n">
        <v>210.734</v>
      </c>
      <c r="HD41" s="21" t="n">
        <v>206.149</v>
      </c>
      <c r="HE41" s="21" t="n">
        <v>99.117</v>
      </c>
      <c r="HF41" s="21" t="n">
        <v>146.069</v>
      </c>
      <c r="HG41" s="21" t="n">
        <v>101.211</v>
      </c>
      <c r="HH41" s="21" t="n">
        <v>141.465</v>
      </c>
      <c r="HI41" s="21" t="n">
        <v>155.791</v>
      </c>
      <c r="HJ41" s="21" t="n"/>
      <c r="HK41" s="21" t="n">
        <v>139.368</v>
      </c>
      <c r="HL41" s="21" t="n">
        <v>87.74299999999999</v>
      </c>
      <c r="HM41" s="21" t="n">
        <v>124.738</v>
      </c>
      <c r="HN41" s="21" t="n">
        <v>242.056</v>
      </c>
      <c r="HO41" s="21" t="n">
        <v>240.962</v>
      </c>
      <c r="HP41" s="21" t="n">
        <v>236.575</v>
      </c>
      <c r="HQ41" s="21" t="n">
        <v>256.267</v>
      </c>
      <c r="HR41" s="21" t="n">
        <v>251.377</v>
      </c>
      <c r="HS41" s="21" t="n">
        <v>221.695</v>
      </c>
      <c r="HT41" s="21" t="n">
        <v>142.847</v>
      </c>
      <c r="HU41" s="21" t="n">
        <v>122.614</v>
      </c>
      <c r="HV41" s="21" t="n">
        <v>169.922</v>
      </c>
      <c r="HW41" s="21" t="n">
        <v>160.146</v>
      </c>
      <c r="HX41" s="21" t="n">
        <v>385.844</v>
      </c>
      <c r="HY41" s="21" t="n">
        <v>284.367</v>
      </c>
      <c r="HZ41" s="21" t="n">
        <v>301.049</v>
      </c>
      <c r="IA41" s="21" t="n">
        <v>256.393</v>
      </c>
      <c r="IB41" s="21" t="n">
        <v>174.88</v>
      </c>
      <c r="IC41" s="21" t="n">
        <v>562.749</v>
      </c>
      <c r="ID41" s="21" t="n">
        <v>188.218</v>
      </c>
      <c r="IE41" s="21" t="n">
        <v>178.045</v>
      </c>
      <c r="IF41" s="21" t="n">
        <v>204.81</v>
      </c>
      <c r="IG41" s="21" t="n">
        <v>231.443</v>
      </c>
      <c r="IH41" s="21" t="n">
        <v>119.864</v>
      </c>
      <c r="II41" s="21" t="n">
        <v>264.99</v>
      </c>
      <c r="IJ41" s="21" t="n">
        <v>273.817</v>
      </c>
      <c r="IK41" s="21" t="n">
        <v>163.253</v>
      </c>
      <c r="IL41" s="21" t="n">
        <v>136.62</v>
      </c>
      <c r="IM41" s="21" t="n"/>
      <c r="IN41" s="21" t="n">
        <v>67.36499999999999</v>
      </c>
      <c r="IO41" s="21" t="n">
        <v>320.602</v>
      </c>
      <c r="IP41" s="21" t="n">
        <v>127.848</v>
      </c>
      <c r="IQ41" s="21" t="n">
        <v>484.034</v>
      </c>
      <c r="IR41" s="21" t="n">
        <v>380.479</v>
      </c>
      <c r="IS41" s="21" t="n">
        <v>124.672</v>
      </c>
      <c r="IT41" s="21" t="n">
        <v>526.345</v>
      </c>
      <c r="IU41" s="21" t="n">
        <v>97.22499999999999</v>
      </c>
      <c r="IV41" s="21" t="n">
        <v>98.077</v>
      </c>
      <c r="IW41" s="21" t="n">
        <v>517.228</v>
      </c>
      <c r="IX41" s="21" t="n">
        <v>379.555</v>
      </c>
      <c r="IY41" s="21" t="n">
        <v>381.076</v>
      </c>
      <c r="IZ41" s="21" t="n">
        <v>490.192</v>
      </c>
      <c r="JA41" s="21" t="n">
        <v>189.464</v>
      </c>
      <c r="JB41" s="21" t="n">
        <v>237.43</v>
      </c>
      <c r="JC41" s="21" t="n">
        <v>78.54300000000001</v>
      </c>
      <c r="JD41" s="21" t="n">
        <v>331.289</v>
      </c>
      <c r="JE41" s="21" t="n">
        <v>323.694</v>
      </c>
      <c r="JF41" s="21" t="n">
        <v>733.7910000000001</v>
      </c>
      <c r="JG41" s="21" t="n">
        <v>226.18</v>
      </c>
      <c r="JH41" s="21" t="n">
        <v>119.871</v>
      </c>
      <c r="JI41" s="21" t="n">
        <v>134.269</v>
      </c>
      <c r="JJ41" s="21" t="n">
        <v>118.966</v>
      </c>
      <c r="JK41" s="21" t="n">
        <v>104.412</v>
      </c>
      <c r="JL41" s="21" t="n">
        <v>196.321</v>
      </c>
      <c r="JM41" s="21" t="n">
        <v>470.069</v>
      </c>
      <c r="JN41" s="21" t="n">
        <v>123.206</v>
      </c>
      <c r="JO41" s="21" t="n">
        <v>73.175</v>
      </c>
      <c r="JP41" s="21" t="n">
        <v>38.322</v>
      </c>
      <c r="JQ41" s="21" t="n">
        <v>130.45</v>
      </c>
      <c r="JR41" s="21" t="n">
        <v>27.088</v>
      </c>
      <c r="JS41" s="21" t="n">
        <v>87.57299999999999</v>
      </c>
      <c r="JT41" s="21" t="n">
        <v>171.781</v>
      </c>
      <c r="JU41" s="21" t="n">
        <v>197.607</v>
      </c>
      <c r="JV41" s="21" t="n">
        <v>150.766</v>
      </c>
      <c r="JW41" s="21" t="n">
        <v>113.814</v>
      </c>
      <c r="JX41" s="21" t="n">
        <v>242.918</v>
      </c>
      <c r="JY41" s="21" t="n">
        <v>188.139</v>
      </c>
      <c r="JZ41" s="21" t="n">
        <v>255.203</v>
      </c>
      <c r="KA41" s="21" t="n">
        <v>112.198</v>
      </c>
      <c r="KB41" s="21" t="n">
        <v>149.979</v>
      </c>
      <c r="KC41" s="21" t="n">
        <v>80.307</v>
      </c>
      <c r="KD41" s="21" t="n">
        <v>75.392</v>
      </c>
      <c r="KE41" s="21" t="n">
        <v>56.363</v>
      </c>
      <c r="KF41" s="21" t="n"/>
      <c r="KG41" s="21" t="n">
        <v>23.384</v>
      </c>
      <c r="KH41" s="21" t="n">
        <v>120.744</v>
      </c>
      <c r="KI41" s="21" t="n"/>
      <c r="KJ41" s="21" t="n">
        <v>111.08</v>
      </c>
      <c r="KK41" s="21" t="n">
        <v>38.439</v>
      </c>
      <c r="KL41" s="21" t="n">
        <v>34.871</v>
      </c>
      <c r="KM41" s="21" t="n">
        <v>42.732</v>
      </c>
      <c r="KN41" s="21" t="n"/>
      <c r="KO41" s="21" t="n">
        <v>96.548</v>
      </c>
      <c r="KP41" s="21" t="n">
        <v>99.871</v>
      </c>
      <c r="KQ41" s="21" t="n">
        <v>165.947</v>
      </c>
      <c r="KR41" s="21" t="n">
        <v>137.973</v>
      </c>
      <c r="KS41" s="21" t="n">
        <v>375.696</v>
      </c>
      <c r="KT41" s="21" t="n">
        <v>180.992</v>
      </c>
      <c r="KU41" s="21" t="n">
        <v>215.476</v>
      </c>
      <c r="KV41" s="21" t="n">
        <v>310.588</v>
      </c>
      <c r="KW41" s="21" t="n">
        <v>245.985</v>
      </c>
      <c r="KX41" s="21" t="n">
        <v>174.731</v>
      </c>
      <c r="KY41" s="21" t="n">
        <v>97.06100000000001</v>
      </c>
      <c r="KZ41" s="21" t="n">
        <v>135.943</v>
      </c>
      <c r="LA41" s="21" t="n">
        <v>255.564</v>
      </c>
      <c r="LB41" s="21" t="n">
        <v>691.264</v>
      </c>
      <c r="LC41" s="21" t="n">
        <v>239.751</v>
      </c>
      <c r="LD41" s="21" t="n">
        <v>731.689</v>
      </c>
      <c r="LE41" s="21" t="n">
        <v>828.112</v>
      </c>
      <c r="LF41" s="21" t="n">
        <v>78.383</v>
      </c>
      <c r="LG41" s="21" t="n">
        <v>293.443</v>
      </c>
      <c r="LH41" s="21" t="n">
        <v>248.488</v>
      </c>
      <c r="LI41" s="21" t="n">
        <v>73.80800000000001</v>
      </c>
      <c r="LJ41" s="21" t="n">
        <v>184.914</v>
      </c>
      <c r="LK41" s="21" t="n">
        <v>289.966</v>
      </c>
      <c r="LL41" s="21" t="n">
        <v>306.822</v>
      </c>
      <c r="LM41" s="21" t="n">
        <v>69.916</v>
      </c>
      <c r="LN41" s="21" t="n">
        <v>90.57899999999999</v>
      </c>
      <c r="LO41" s="21" t="n">
        <v>47.835</v>
      </c>
      <c r="LP41" s="21" t="n">
        <v>116.52</v>
      </c>
      <c r="LQ41" s="21" t="n"/>
      <c r="LR41" s="21" t="n"/>
      <c r="LS41" s="21" t="n">
        <v>110.391</v>
      </c>
      <c r="LT41" s="21" t="n">
        <v>41.424</v>
      </c>
      <c r="LU41" s="21" t="n">
        <v>32.084</v>
      </c>
      <c r="LV41" s="21" t="n">
        <v>74.56</v>
      </c>
      <c r="LW41" s="21" t="n">
        <v>258.389</v>
      </c>
      <c r="LX41" s="21" t="n"/>
      <c r="LY41" s="21" t="n">
        <v>442.553</v>
      </c>
      <c r="LZ41" s="21" t="n">
        <v>66.642</v>
      </c>
      <c r="MA41" s="21" t="n">
        <v>432.032</v>
      </c>
      <c r="MB41" s="21" t="n">
        <v>271.219</v>
      </c>
      <c r="MC41" s="21" t="n">
        <v>231.585</v>
      </c>
      <c r="MD41" s="21" t="n">
        <v>161.929</v>
      </c>
      <c r="ME41" s="21" t="n">
        <v>101.98</v>
      </c>
      <c r="MF41" s="21" t="n">
        <v>188.364</v>
      </c>
      <c r="MG41" s="21" t="n">
        <v>262.575</v>
      </c>
      <c r="MH41" s="21" t="n">
        <v>160.214</v>
      </c>
      <c r="MI41" s="21" t="n">
        <v>440.076</v>
      </c>
      <c r="MJ41" s="21" t="n">
        <v>360.832</v>
      </c>
      <c r="MK41" s="21" t="n">
        <v>330.243</v>
      </c>
      <c r="ML41" s="21" t="n">
        <v>168.845</v>
      </c>
      <c r="MM41" s="21" t="n">
        <v>186.199</v>
      </c>
      <c r="MN41" s="21" t="n">
        <v>362.704</v>
      </c>
      <c r="MO41" s="21" t="n">
        <v>171.993</v>
      </c>
      <c r="MP41" s="21" t="n">
        <v>251.774</v>
      </c>
      <c r="MQ41" s="21" t="n">
        <v>77.444</v>
      </c>
      <c r="MR41" s="21" t="n">
        <v>151.226</v>
      </c>
      <c r="MS41" s="21" t="n">
        <v>78.735</v>
      </c>
      <c r="MT41" s="21" t="n">
        <v>239.339</v>
      </c>
      <c r="MU41" s="21" t="n">
        <v>255.75</v>
      </c>
      <c r="MV41" s="21" t="n">
        <v>250.117</v>
      </c>
      <c r="MW41" s="21" t="n">
        <v>257.025</v>
      </c>
      <c r="MX41" s="21" t="n">
        <v>231.735</v>
      </c>
      <c r="MY41" s="21" t="n">
        <v>226.011</v>
      </c>
      <c r="MZ41" s="21" t="n">
        <v>229.888</v>
      </c>
      <c r="NA41" s="21" t="n">
        <v>235.421</v>
      </c>
      <c r="NB41" s="21" t="n">
        <v>122.435</v>
      </c>
      <c r="NC41" s="21" t="n">
        <v>185.271</v>
      </c>
      <c r="ND41" s="21" t="n">
        <v>154.606</v>
      </c>
      <c r="NE41" s="21" t="n">
        <v>151.325</v>
      </c>
      <c r="NF41" s="21" t="n">
        <v>145.131</v>
      </c>
      <c r="NG41" s="21" t="n">
        <v>146.444</v>
      </c>
      <c r="NH41" s="21" t="n">
        <v>248.373</v>
      </c>
      <c r="NI41" s="21" t="n">
        <v>104.891</v>
      </c>
      <c r="NJ41" s="21" t="n">
        <v>76.297</v>
      </c>
      <c r="NK41" s="21" t="n">
        <v>108.733</v>
      </c>
      <c r="NL41" s="21" t="n">
        <v>218.83</v>
      </c>
      <c r="NM41" s="21" t="n">
        <v>246.387</v>
      </c>
      <c r="NN41" s="21" t="n">
        <v>90.345</v>
      </c>
      <c r="NO41" s="21" t="n">
        <v>55.804</v>
      </c>
      <c r="NP41" s="21" t="n">
        <v>226.564</v>
      </c>
      <c r="NQ41" s="21" t="n">
        <v>203.427</v>
      </c>
      <c r="NR41" s="21" t="n">
        <v>248.132</v>
      </c>
      <c r="NS41" s="21" t="n">
        <v>200.568</v>
      </c>
      <c r="NT41" s="21" t="n">
        <v>249.354</v>
      </c>
      <c r="NU41" s="21" t="n">
        <v>112.702</v>
      </c>
      <c r="NV41" s="21" t="n">
        <v>121.876</v>
      </c>
      <c r="NW41" s="21" t="n">
        <v>350.431</v>
      </c>
      <c r="NX41" s="21" t="n">
        <v>81.422</v>
      </c>
      <c r="NY41" s="21" t="n">
        <v>120.811</v>
      </c>
      <c r="NZ41" s="21" t="n">
        <v>318.657</v>
      </c>
      <c r="OA41" s="21" t="n">
        <v>314.807</v>
      </c>
      <c r="OB41" s="21" t="n">
        <v>326.252</v>
      </c>
      <c r="OC41" s="21" t="n">
        <v>299.443</v>
      </c>
      <c r="OD41" s="21" t="n">
        <v>334.681</v>
      </c>
      <c r="OE41" s="21" t="n">
        <v>104.261</v>
      </c>
      <c r="OF41" s="21" t="n">
        <v>321.437</v>
      </c>
      <c r="OG41" s="21" t="n">
        <v>216.712</v>
      </c>
      <c r="OH41" s="21" t="n">
        <v>44.315</v>
      </c>
      <c r="OI41" s="21" t="n">
        <v>125.19</v>
      </c>
      <c r="OJ41" s="21" t="n">
        <v>39.9</v>
      </c>
      <c r="OK41" s="21" t="n">
        <v>13.3</v>
      </c>
    </row>
    <row r="42">
      <c r="A42" s="22" t="n">
        <v>43221</v>
      </c>
      <c r="B42" s="21" t="n">
        <v>251.588</v>
      </c>
      <c r="C42" s="21" t="n">
        <v>753.647</v>
      </c>
      <c r="D42" s="21" t="n">
        <v>252.848</v>
      </c>
      <c r="E42" s="21" t="n">
        <v>253.098</v>
      </c>
      <c r="F42" s="21" t="n">
        <v>239.287</v>
      </c>
      <c r="G42" s="21" t="n">
        <v>271.91</v>
      </c>
      <c r="H42" s="21" t="n">
        <v>226.927</v>
      </c>
      <c r="I42" s="21" t="n">
        <v>242.503</v>
      </c>
      <c r="J42" s="21" t="n">
        <v>220.894</v>
      </c>
      <c r="K42" s="21" t="n">
        <v>235.021</v>
      </c>
      <c r="L42" s="21" t="n">
        <v>160.386</v>
      </c>
      <c r="M42" s="21" t="n">
        <v>297.702</v>
      </c>
      <c r="N42" s="21" t="n">
        <v>180.051</v>
      </c>
      <c r="O42" s="21" t="n">
        <v>325.194</v>
      </c>
      <c r="P42" s="21" t="n">
        <v>348.903</v>
      </c>
      <c r="Q42" s="21" t="n">
        <v>176.382</v>
      </c>
      <c r="R42" s="21" t="n">
        <v>283.254</v>
      </c>
      <c r="S42" s="21" t="n">
        <v>308.918</v>
      </c>
      <c r="T42" s="21" t="n">
        <v>262.8</v>
      </c>
      <c r="U42" s="21" t="n">
        <v>263.822</v>
      </c>
      <c r="V42" s="21" t="n">
        <v>297.075</v>
      </c>
      <c r="W42" s="21" t="n">
        <v>296.363</v>
      </c>
      <c r="X42" s="21" t="n">
        <v>270.719</v>
      </c>
      <c r="Y42" s="21" t="n">
        <v>249.449</v>
      </c>
      <c r="Z42" s="21" t="n">
        <v>250.679</v>
      </c>
      <c r="AA42" s="21" t="n">
        <v>252.029</v>
      </c>
      <c r="AB42" s="21" t="n">
        <v>302.881</v>
      </c>
      <c r="AC42" s="21" t="n">
        <v>267.388</v>
      </c>
      <c r="AD42" s="21" t="n">
        <v>229.04</v>
      </c>
      <c r="AE42" s="21" t="n">
        <v>204.05</v>
      </c>
      <c r="AF42" s="21" t="n">
        <v>241.302</v>
      </c>
      <c r="AG42" s="21" t="n">
        <v>209.507</v>
      </c>
      <c r="AH42" s="21" t="n">
        <v>158.053</v>
      </c>
      <c r="AI42" s="21" t="n">
        <v>293.74</v>
      </c>
      <c r="AJ42" s="21" t="n">
        <v>144.747</v>
      </c>
      <c r="AK42" s="21" t="n">
        <v>199.927</v>
      </c>
      <c r="AL42" s="21" t="n">
        <v>224.579</v>
      </c>
      <c r="AM42" s="21" t="n">
        <v>187.872</v>
      </c>
      <c r="AN42" s="21" t="n">
        <v>124.443</v>
      </c>
      <c r="AO42" s="21" t="n">
        <v>223.243</v>
      </c>
      <c r="AP42" s="21" t="n">
        <v>224.841</v>
      </c>
      <c r="AQ42" s="21" t="n">
        <v>144.598</v>
      </c>
      <c r="AR42" s="21" t="n"/>
      <c r="AS42" s="21" t="n"/>
      <c r="AT42" s="21" t="n">
        <v>232.971</v>
      </c>
      <c r="AU42" s="21" t="n">
        <v>150.688</v>
      </c>
      <c r="AV42" s="21" t="n">
        <v>250.138</v>
      </c>
      <c r="AW42" s="21" t="n">
        <v>224.074</v>
      </c>
      <c r="AX42" s="21" t="n">
        <v>148.368</v>
      </c>
      <c r="AY42" s="21" t="n">
        <v>292.439</v>
      </c>
      <c r="AZ42" s="21" t="n">
        <v>181.193</v>
      </c>
      <c r="BA42" s="21" t="n">
        <v>146.558</v>
      </c>
      <c r="BB42" s="21" t="n">
        <v>206.655</v>
      </c>
      <c r="BC42" s="21" t="n">
        <v>305.572</v>
      </c>
      <c r="BD42" s="21" t="n">
        <v>235.201</v>
      </c>
      <c r="BE42" s="21" t="n">
        <v>215.659</v>
      </c>
      <c r="BF42" s="21" t="n">
        <v>136.015</v>
      </c>
      <c r="BG42" s="21" t="n">
        <v>193.963</v>
      </c>
      <c r="BH42" s="21" t="n">
        <v>140.326</v>
      </c>
      <c r="BI42" s="21" t="n">
        <v>229.57</v>
      </c>
      <c r="BJ42" s="21" t="n">
        <v>217.138</v>
      </c>
      <c r="BK42" s="21" t="n">
        <v>146.734</v>
      </c>
      <c r="BL42" s="21" t="n">
        <v>297.211</v>
      </c>
      <c r="BM42" s="21" t="n">
        <v>344.657</v>
      </c>
      <c r="BN42" s="21" t="n">
        <v>367.904</v>
      </c>
      <c r="BO42" s="21" t="n">
        <v>337.13</v>
      </c>
      <c r="BP42" s="21" t="n">
        <v>197.286</v>
      </c>
      <c r="BQ42" s="21" t="n">
        <v>265.287</v>
      </c>
      <c r="BR42" s="21" t="n">
        <v>525.466</v>
      </c>
      <c r="BS42" s="21" t="n">
        <v>121.208</v>
      </c>
      <c r="BT42" s="21" t="n">
        <v>319.066</v>
      </c>
      <c r="BU42" s="21" t="n">
        <v>342.435</v>
      </c>
      <c r="BV42" s="21" t="n">
        <v>288.686</v>
      </c>
      <c r="BW42" s="21" t="n">
        <v>312.341</v>
      </c>
      <c r="BX42" s="21" t="n">
        <v>326.325</v>
      </c>
      <c r="BY42" s="21" t="n">
        <v>155.393</v>
      </c>
      <c r="BZ42" s="21" t="n">
        <v>160.16</v>
      </c>
      <c r="CA42" s="21" t="n">
        <v>157.693</v>
      </c>
      <c r="CB42" s="21" t="n">
        <v>167.866</v>
      </c>
      <c r="CC42" s="21" t="n">
        <v>145.385</v>
      </c>
      <c r="CD42" s="21" t="n">
        <v>198.576</v>
      </c>
      <c r="CE42" s="21" t="n">
        <v>157.183</v>
      </c>
      <c r="CF42" s="21" t="n">
        <v>192.784</v>
      </c>
      <c r="CG42" s="21" t="n">
        <v>166.401</v>
      </c>
      <c r="CH42" s="21" t="n">
        <v>128.289</v>
      </c>
      <c r="CI42" s="21" t="n">
        <v>161.847</v>
      </c>
      <c r="CJ42" s="21" t="n">
        <v>181.676</v>
      </c>
      <c r="CK42" s="21" t="n">
        <v>116.346</v>
      </c>
      <c r="CL42" s="21" t="n">
        <v>117.04</v>
      </c>
      <c r="CM42" s="21" t="n">
        <v>196.21</v>
      </c>
      <c r="CN42" s="21" t="n">
        <v>204.778</v>
      </c>
      <c r="CO42" s="21" t="n">
        <v>188.558</v>
      </c>
      <c r="CP42" s="21" t="n">
        <v>128.056</v>
      </c>
      <c r="CQ42" s="21" t="n">
        <v>210.159</v>
      </c>
      <c r="CR42" s="21" t="n">
        <v>215.44</v>
      </c>
      <c r="CS42" s="21" t="n">
        <v>188.865</v>
      </c>
      <c r="CT42" s="21" t="n">
        <v>145.12</v>
      </c>
      <c r="CU42" s="21" t="n">
        <v>153.52</v>
      </c>
      <c r="CV42" s="21" t="n">
        <v>228.072</v>
      </c>
      <c r="CW42" s="21" t="n">
        <v>204.367</v>
      </c>
      <c r="CX42" s="21" t="n">
        <v>243.587</v>
      </c>
      <c r="CY42" s="21" t="n">
        <v>296.261</v>
      </c>
      <c r="CZ42" s="21" t="n">
        <v>127.125</v>
      </c>
      <c r="DA42" s="21" t="n">
        <v>160.319</v>
      </c>
      <c r="DB42" s="21" t="n">
        <v>158.316</v>
      </c>
      <c r="DC42" s="21" t="n">
        <v>224.66</v>
      </c>
      <c r="DD42" s="21" t="n">
        <v>251.057</v>
      </c>
      <c r="DE42" s="21" t="n">
        <v>167.498</v>
      </c>
      <c r="DF42" s="21" t="n">
        <v>252.203</v>
      </c>
      <c r="DG42" s="21" t="n">
        <v>241.403</v>
      </c>
      <c r="DH42" s="21" t="n">
        <v>152.04</v>
      </c>
      <c r="DI42" s="21" t="n">
        <v>137.756</v>
      </c>
      <c r="DJ42" s="21" t="n">
        <v>138.835</v>
      </c>
      <c r="DK42" s="21" t="n">
        <v>279.555</v>
      </c>
      <c r="DL42" s="21" t="n">
        <v>160.732</v>
      </c>
      <c r="DM42" s="21" t="n">
        <v>131.028</v>
      </c>
      <c r="DN42" s="21" t="n">
        <v>125.224</v>
      </c>
      <c r="DO42" s="21" t="n">
        <v>275.307</v>
      </c>
      <c r="DP42" s="21" t="n">
        <v>170.705</v>
      </c>
      <c r="DQ42" s="21" t="n">
        <v>176.143</v>
      </c>
      <c r="DR42" s="21" t="n">
        <v>177.397</v>
      </c>
      <c r="DS42" s="21" t="n">
        <v>146.348</v>
      </c>
      <c r="DT42" s="21" t="n">
        <v>157.132</v>
      </c>
      <c r="DU42" s="21" t="n">
        <v>192.364</v>
      </c>
      <c r="DV42" s="21" t="n">
        <v>248.126</v>
      </c>
      <c r="DW42" s="21" t="n">
        <v>201.669</v>
      </c>
      <c r="DX42" s="21" t="n">
        <v>224.928</v>
      </c>
      <c r="DY42" s="21" t="n">
        <v>191.706</v>
      </c>
      <c r="DZ42" s="21" t="n">
        <v>202.145</v>
      </c>
      <c r="EA42" s="21" t="n">
        <v>187.448</v>
      </c>
      <c r="EB42" s="21" t="n">
        <v>169.15</v>
      </c>
      <c r="EC42" s="21" t="n">
        <v>349.603</v>
      </c>
      <c r="ED42" s="21" t="n">
        <v>172.842</v>
      </c>
      <c r="EE42" s="21" t="n">
        <v>186.112</v>
      </c>
      <c r="EF42" s="21" t="n">
        <v>190.006</v>
      </c>
      <c r="EG42" s="21" t="n">
        <v>257.907</v>
      </c>
      <c r="EH42" s="21" t="n">
        <v>306.913</v>
      </c>
      <c r="EI42" s="21" t="n">
        <v>317.49</v>
      </c>
      <c r="EJ42" s="21" t="n">
        <v>173.85</v>
      </c>
      <c r="EK42" s="21" t="n">
        <v>543.927</v>
      </c>
      <c r="EL42" s="21" t="n">
        <v>359.393</v>
      </c>
      <c r="EM42" s="21" t="n">
        <v>313.656</v>
      </c>
      <c r="EN42" s="21" t="n">
        <v>313.667</v>
      </c>
      <c r="EO42" s="21" t="n">
        <v>150.604</v>
      </c>
      <c r="EP42" s="21" t="n">
        <v>240.911</v>
      </c>
      <c r="EQ42" s="21" t="n">
        <v>200.45</v>
      </c>
      <c r="ER42" s="21" t="n">
        <v>289.407</v>
      </c>
      <c r="ES42" s="21" t="n">
        <v>292.165</v>
      </c>
      <c r="ET42" s="21" t="n">
        <v>337.212</v>
      </c>
      <c r="EU42" s="21" t="n">
        <v>203.553</v>
      </c>
      <c r="EV42" s="21" t="n">
        <v>212.646</v>
      </c>
      <c r="EW42" s="21" t="n">
        <v>173.42</v>
      </c>
      <c r="EX42" s="21" t="n">
        <v>235.878</v>
      </c>
      <c r="EY42" s="21" t="n">
        <v>548.3920000000001</v>
      </c>
      <c r="EZ42" s="21" t="n">
        <v>462.887</v>
      </c>
      <c r="FA42" s="21" t="n">
        <v>121.571</v>
      </c>
      <c r="FB42" s="21" t="n">
        <v>57.662</v>
      </c>
      <c r="FC42" s="21" t="n">
        <v>113.751</v>
      </c>
      <c r="FD42" s="21" t="n">
        <v>65.56</v>
      </c>
      <c r="FE42" s="21" t="n">
        <v>43.744</v>
      </c>
      <c r="FF42" s="21" t="n">
        <v>111.132</v>
      </c>
      <c r="FG42" s="21" t="n">
        <v>126.597</v>
      </c>
      <c r="FH42" s="21" t="n">
        <v>86.13</v>
      </c>
      <c r="FI42" s="21" t="n">
        <v>67.883</v>
      </c>
      <c r="FJ42" s="21" t="n">
        <v>93.182</v>
      </c>
      <c r="FK42" s="21" t="n">
        <v>75.73099999999999</v>
      </c>
      <c r="FL42" s="21" t="n">
        <v>83.246</v>
      </c>
      <c r="FM42" s="21" t="n">
        <v>100.191</v>
      </c>
      <c r="FN42" s="21" t="n">
        <v>64.925</v>
      </c>
      <c r="FO42" s="21" t="n">
        <v>52.058</v>
      </c>
      <c r="FP42" s="21" t="n">
        <v>37.375</v>
      </c>
      <c r="FQ42" s="21" t="n">
        <v>133.263</v>
      </c>
      <c r="FR42" s="21" t="n">
        <v>52.049</v>
      </c>
      <c r="FS42" s="21" t="n">
        <v>86.83499999999999</v>
      </c>
      <c r="FT42" s="21" t="n">
        <v>89.58</v>
      </c>
      <c r="FU42" s="21" t="n">
        <v>98.292</v>
      </c>
      <c r="FV42" s="21" t="n">
        <v>85.508</v>
      </c>
      <c r="FW42" s="21" t="n">
        <v>185.354</v>
      </c>
      <c r="FX42" s="21" t="n">
        <v>118.866</v>
      </c>
      <c r="FY42" s="21" t="n">
        <v>167.299</v>
      </c>
      <c r="FZ42" s="21" t="n">
        <v>117.353</v>
      </c>
      <c r="GA42" s="21" t="n">
        <v>185.696</v>
      </c>
      <c r="GB42" s="21" t="n">
        <v>166.82</v>
      </c>
      <c r="GC42" s="21" t="n">
        <v>191.063</v>
      </c>
      <c r="GD42" s="21" t="n">
        <v>164.673</v>
      </c>
      <c r="GE42" s="21" t="n">
        <v>256.137</v>
      </c>
      <c r="GF42" s="21" t="n">
        <v>128.362</v>
      </c>
      <c r="GG42" s="21" t="n">
        <v>119.271</v>
      </c>
      <c r="GH42" s="21" t="n">
        <v>121.65</v>
      </c>
      <c r="GI42" s="21" t="n">
        <v>105.636</v>
      </c>
      <c r="GJ42" s="21" t="n">
        <v>153.214</v>
      </c>
      <c r="GK42" s="21" t="n">
        <v>78.91800000000001</v>
      </c>
      <c r="GL42" s="21" t="n">
        <v>121.689</v>
      </c>
      <c r="GM42" s="21" t="n">
        <v>108.658</v>
      </c>
      <c r="GN42" s="21" t="n">
        <v>114.566</v>
      </c>
      <c r="GO42" s="21" t="n">
        <v>118.076</v>
      </c>
      <c r="GP42" s="21" t="n">
        <v>104.121</v>
      </c>
      <c r="GQ42" s="21" t="n">
        <v>132.699</v>
      </c>
      <c r="GR42" s="21" t="n">
        <v>83.19499999999999</v>
      </c>
      <c r="GS42" s="21" t="n">
        <v>108.237</v>
      </c>
      <c r="GT42" s="21" t="n">
        <v>96.98699999999999</v>
      </c>
      <c r="GU42" s="21" t="n">
        <v>137.525</v>
      </c>
      <c r="GV42" s="21" t="n">
        <v>140.561</v>
      </c>
      <c r="GW42" s="21" t="n">
        <v>153.561</v>
      </c>
      <c r="GX42" s="21" t="n">
        <v>127.133</v>
      </c>
      <c r="GY42" s="21" t="n">
        <v>122.403</v>
      </c>
      <c r="GZ42" s="21" t="n">
        <v>174.122</v>
      </c>
      <c r="HA42" s="21" t="n">
        <v>136.992</v>
      </c>
      <c r="HB42" s="21" t="n">
        <v>178.452</v>
      </c>
      <c r="HC42" s="21" t="n">
        <v>214.125</v>
      </c>
      <c r="HD42" s="21" t="n">
        <v>209.49</v>
      </c>
      <c r="HE42" s="21" t="n">
        <v>98.996</v>
      </c>
      <c r="HF42" s="21" t="n">
        <v>146.349</v>
      </c>
      <c r="HG42" s="21" t="n">
        <v>101.42</v>
      </c>
      <c r="HH42" s="21" t="n">
        <v>141.929</v>
      </c>
      <c r="HI42" s="21" t="n">
        <v>156.009</v>
      </c>
      <c r="HJ42" s="21" t="n"/>
      <c r="HK42" s="21" t="n">
        <v>138.506</v>
      </c>
      <c r="HL42" s="21" t="n">
        <v>88.22499999999999</v>
      </c>
      <c r="HM42" s="21" t="n">
        <v>120.245</v>
      </c>
      <c r="HN42" s="21" t="n">
        <v>256.175</v>
      </c>
      <c r="HO42" s="21" t="n">
        <v>255.096</v>
      </c>
      <c r="HP42" s="21" t="n">
        <v>250.74</v>
      </c>
      <c r="HQ42" s="21" t="n">
        <v>270.418</v>
      </c>
      <c r="HR42" s="21" t="n">
        <v>264.017</v>
      </c>
      <c r="HS42" s="21" t="n">
        <v>231.157</v>
      </c>
      <c r="HT42" s="21" t="n">
        <v>143.655</v>
      </c>
      <c r="HU42" s="21" t="n">
        <v>123.614</v>
      </c>
      <c r="HV42" s="21" t="n">
        <v>170.26</v>
      </c>
      <c r="HW42" s="21" t="n">
        <v>160.842</v>
      </c>
      <c r="HX42" s="21" t="n">
        <v>390.168</v>
      </c>
      <c r="HY42" s="21" t="n">
        <v>284.851</v>
      </c>
      <c r="HZ42" s="21" t="n">
        <v>301.951</v>
      </c>
      <c r="IA42" s="21" t="n">
        <v>257.131</v>
      </c>
      <c r="IB42" s="21" t="n">
        <v>174.789</v>
      </c>
      <c r="IC42" s="21" t="n">
        <v>564.4450000000001</v>
      </c>
      <c r="ID42" s="21" t="n">
        <v>189.139</v>
      </c>
      <c r="IE42" s="21" t="n">
        <v>178.045</v>
      </c>
      <c r="IF42" s="21" t="n">
        <v>206.987</v>
      </c>
      <c r="IG42" s="21" t="n">
        <v>231.845</v>
      </c>
      <c r="IH42" s="21" t="n">
        <v>120.598</v>
      </c>
      <c r="II42" s="21" t="n">
        <v>268.864</v>
      </c>
      <c r="IJ42" s="21" t="n">
        <v>280.804</v>
      </c>
      <c r="IK42" s="21" t="n">
        <v>160.866</v>
      </c>
      <c r="IL42" s="21" t="n"/>
      <c r="IM42" s="21" t="n"/>
      <c r="IN42" s="21" t="n">
        <v>66.35599999999999</v>
      </c>
      <c r="IO42" s="21" t="n">
        <v>321.918</v>
      </c>
      <c r="IP42" s="21" t="n">
        <v>127.856</v>
      </c>
      <c r="IQ42" s="21" t="n">
        <v>484.853</v>
      </c>
      <c r="IR42" s="21" t="n">
        <v>383.734</v>
      </c>
      <c r="IS42" s="21" t="n">
        <v>125.672</v>
      </c>
      <c r="IT42" s="21" t="n">
        <v>531.692</v>
      </c>
      <c r="IU42" s="21" t="n">
        <v>97.206</v>
      </c>
      <c r="IV42" s="21" t="n">
        <v>100.486</v>
      </c>
      <c r="IW42" s="21" t="n">
        <v>517.22</v>
      </c>
      <c r="IX42" s="21" t="n">
        <v>379.145</v>
      </c>
      <c r="IY42" s="21" t="n">
        <v>381.309</v>
      </c>
      <c r="IZ42" s="21" t="n">
        <v>487.971</v>
      </c>
      <c r="JA42" s="21" t="n">
        <v>188.622</v>
      </c>
      <c r="JB42" s="21" t="n">
        <v>237.663</v>
      </c>
      <c r="JC42" s="21" t="n">
        <v>78.63500000000001</v>
      </c>
      <c r="JD42" s="21" t="n">
        <v>331.651</v>
      </c>
      <c r="JE42" s="21" t="n">
        <v>324.172</v>
      </c>
      <c r="JF42" s="21" t="n">
        <v>734.532</v>
      </c>
      <c r="JG42" s="21" t="n">
        <v>227.291</v>
      </c>
      <c r="JH42" s="21" t="n">
        <v>119.3</v>
      </c>
      <c r="JI42" s="21" t="n">
        <v>134.318</v>
      </c>
      <c r="JJ42" s="21" t="n">
        <v>118.851</v>
      </c>
      <c r="JK42" s="21" t="n">
        <v>104.278</v>
      </c>
      <c r="JL42" s="21" t="n">
        <v>194.562</v>
      </c>
      <c r="JM42" s="21" t="n">
        <v>469.407</v>
      </c>
      <c r="JN42" s="21" t="n">
        <v>123.785</v>
      </c>
      <c r="JO42" s="21" t="n">
        <v>73.83199999999999</v>
      </c>
      <c r="JP42" s="21" t="n">
        <v>38.772</v>
      </c>
      <c r="JQ42" s="21" t="n">
        <v>130.678</v>
      </c>
      <c r="JR42" s="21" t="n">
        <v>27.273</v>
      </c>
      <c r="JS42" s="21" t="n">
        <v>86.819</v>
      </c>
      <c r="JT42" s="21" t="n">
        <v>172.437</v>
      </c>
      <c r="JU42" s="21" t="n">
        <v>198.119</v>
      </c>
      <c r="JV42" s="21" t="n">
        <v>150.791</v>
      </c>
      <c r="JW42" s="21" t="n">
        <v>114.544</v>
      </c>
      <c r="JX42" s="21" t="n">
        <v>244.283</v>
      </c>
      <c r="JY42" s="21" t="n">
        <v>192.928</v>
      </c>
      <c r="JZ42" s="21" t="n">
        <v>255.679</v>
      </c>
      <c r="KA42" s="21" t="n">
        <v>110.51</v>
      </c>
      <c r="KB42" s="21" t="n">
        <v>147.299</v>
      </c>
      <c r="KC42" s="21" t="n">
        <v>79.401</v>
      </c>
      <c r="KD42" s="21" t="n">
        <v>74.542</v>
      </c>
      <c r="KE42" s="21" t="n">
        <v>54.639</v>
      </c>
      <c r="KF42" s="21" t="n"/>
      <c r="KG42" s="21" t="n">
        <v>22.572</v>
      </c>
      <c r="KH42" s="21" t="n">
        <v>121.553</v>
      </c>
      <c r="KI42" s="21" t="n">
        <v>128.459</v>
      </c>
      <c r="KJ42" s="21" t="n">
        <v>111.201</v>
      </c>
      <c r="KK42" s="21" t="n">
        <v>37.742</v>
      </c>
      <c r="KL42" s="21" t="n">
        <v>34.161</v>
      </c>
      <c r="KM42" s="21" t="n">
        <v>41.728</v>
      </c>
      <c r="KN42" s="21" t="n"/>
      <c r="KO42" s="21" t="n">
        <v>96.271</v>
      </c>
      <c r="KP42" s="21" t="n">
        <v>98.77800000000001</v>
      </c>
      <c r="KQ42" s="21" t="n">
        <v>166.686</v>
      </c>
      <c r="KR42" s="21" t="n">
        <v>138.208</v>
      </c>
      <c r="KS42" s="21" t="n">
        <v>379.124</v>
      </c>
      <c r="KT42" s="21" t="n">
        <v>182.291</v>
      </c>
      <c r="KU42" s="21" t="n">
        <v>220.101</v>
      </c>
      <c r="KV42" s="21" t="n">
        <v>309.987</v>
      </c>
      <c r="KW42" s="21" t="n">
        <v>245.296</v>
      </c>
      <c r="KX42" s="21" t="n">
        <v>173.761</v>
      </c>
      <c r="KY42" s="21" t="n">
        <v>97.19799999999999</v>
      </c>
      <c r="KZ42" s="21" t="n">
        <v>136.261</v>
      </c>
      <c r="LA42" s="21" t="n">
        <v>256.09</v>
      </c>
      <c r="LB42" s="21" t="n">
        <v>711.872</v>
      </c>
      <c r="LC42" s="21" t="n">
        <v>247.566</v>
      </c>
      <c r="LD42" s="21" t="n">
        <v>732.259</v>
      </c>
      <c r="LE42" s="21" t="n">
        <v>828.332</v>
      </c>
      <c r="LF42" s="21" t="n">
        <v>78.47799999999999</v>
      </c>
      <c r="LG42" s="21" t="n">
        <v>293.874</v>
      </c>
      <c r="LH42" s="21" t="n">
        <v>249.351</v>
      </c>
      <c r="LI42" s="21" t="n">
        <v>73.997</v>
      </c>
      <c r="LJ42" s="21" t="n">
        <v>185.066</v>
      </c>
      <c r="LK42" s="21" t="n">
        <v>289.966</v>
      </c>
      <c r="LL42" s="21" t="n">
        <v>308.812</v>
      </c>
      <c r="LM42" s="21" t="n">
        <v>70.099</v>
      </c>
      <c r="LN42" s="21" t="n">
        <v>90.708</v>
      </c>
      <c r="LO42" s="21" t="n">
        <v>47.887</v>
      </c>
      <c r="LP42" s="21" t="n">
        <v>116.807</v>
      </c>
      <c r="LQ42" s="21" t="n"/>
      <c r="LR42" s="21" t="n"/>
      <c r="LS42" s="21" t="n">
        <v>110.931</v>
      </c>
      <c r="LT42" s="21" t="n">
        <v>41.37</v>
      </c>
      <c r="LU42" s="21" t="n">
        <v>31.693</v>
      </c>
      <c r="LV42" s="21" t="n">
        <v>75.327</v>
      </c>
      <c r="LW42" s="21" t="n">
        <v>254.174</v>
      </c>
      <c r="LX42" s="21" t="n"/>
      <c r="LY42" s="21" t="n">
        <v>442.71</v>
      </c>
      <c r="LZ42" s="21" t="n">
        <v>66.818</v>
      </c>
      <c r="MA42" s="21" t="n">
        <v>433.658</v>
      </c>
      <c r="MB42" s="21" t="n">
        <v>269.156</v>
      </c>
      <c r="MC42" s="21" t="n">
        <v>231.533</v>
      </c>
      <c r="MD42" s="21" t="n">
        <v>161.707</v>
      </c>
      <c r="ME42" s="21" t="n">
        <v>101.868</v>
      </c>
      <c r="MF42" s="21" t="n">
        <v>188.045</v>
      </c>
      <c r="MG42" s="21" t="n">
        <v>263.094</v>
      </c>
      <c r="MH42" s="21" t="n">
        <v>160.53</v>
      </c>
      <c r="MI42" s="21" t="n">
        <v>440.358</v>
      </c>
      <c r="MJ42" s="21" t="n">
        <v>361.374</v>
      </c>
      <c r="MK42" s="21" t="n">
        <v>330.778</v>
      </c>
      <c r="ML42" s="21" t="n">
        <v>168.658</v>
      </c>
      <c r="MM42" s="21" t="n">
        <v>186.31</v>
      </c>
      <c r="MN42" s="21" t="n">
        <v>363.088</v>
      </c>
      <c r="MO42" s="21" t="n">
        <v>172.02</v>
      </c>
      <c r="MP42" s="21" t="n">
        <v>252.352</v>
      </c>
      <c r="MQ42" s="21" t="n">
        <v>76.91500000000001</v>
      </c>
      <c r="MR42" s="21" t="n">
        <v>152.143</v>
      </c>
      <c r="MS42" s="21" t="n">
        <v>76.444</v>
      </c>
      <c r="MT42" s="21" t="n">
        <v>240.391</v>
      </c>
      <c r="MU42" s="21" t="n">
        <v>256.112</v>
      </c>
      <c r="MV42" s="21" t="n">
        <v>251.333</v>
      </c>
      <c r="MW42" s="21" t="n">
        <v>257.469</v>
      </c>
      <c r="MX42" s="21" t="n">
        <v>232.727</v>
      </c>
      <c r="MY42" s="21" t="n">
        <v>227.24</v>
      </c>
      <c r="MZ42" s="21" t="n">
        <v>229.929</v>
      </c>
      <c r="NA42" s="21" t="n">
        <v>235.546</v>
      </c>
      <c r="NB42" s="21" t="n">
        <v>121.606</v>
      </c>
      <c r="NC42" s="21" t="n">
        <v>186.199</v>
      </c>
      <c r="ND42" s="21" t="n">
        <v>155.839</v>
      </c>
      <c r="NE42" s="21" t="n">
        <v>152.599</v>
      </c>
      <c r="NF42" s="21" t="n">
        <v>144.745</v>
      </c>
      <c r="NG42" s="21" t="n">
        <v>146.126</v>
      </c>
      <c r="NH42" s="21" t="n">
        <v>247.546</v>
      </c>
      <c r="NI42" s="21" t="n">
        <v>104.583</v>
      </c>
      <c r="NJ42" s="21" t="n">
        <v>76.55200000000001</v>
      </c>
      <c r="NK42" s="21" t="n">
        <v>108.976</v>
      </c>
      <c r="NL42" s="21" t="n">
        <v>226.81</v>
      </c>
      <c r="NM42" s="21" t="n">
        <v>260.02</v>
      </c>
      <c r="NN42" s="21" t="n">
        <v>89.78700000000001</v>
      </c>
      <c r="NO42" s="21" t="n">
        <v>55.537</v>
      </c>
      <c r="NP42" s="21" t="n">
        <v>228.354</v>
      </c>
      <c r="NQ42" s="21" t="n">
        <v>206.61</v>
      </c>
      <c r="NR42" s="21" t="n">
        <v>253.681</v>
      </c>
      <c r="NS42" s="21" t="n">
        <v>203.975</v>
      </c>
      <c r="NT42" s="21" t="n">
        <v>255.528</v>
      </c>
      <c r="NU42" s="21" t="n">
        <v>112.648</v>
      </c>
      <c r="NV42" s="21" t="n">
        <v>122.017</v>
      </c>
      <c r="NW42" s="21" t="n">
        <v>351.181</v>
      </c>
      <c r="NX42" s="21" t="n">
        <v>80.77200000000001</v>
      </c>
      <c r="NY42" s="21" t="n">
        <v>121.101</v>
      </c>
      <c r="NZ42" s="21" t="n">
        <v>319.889</v>
      </c>
      <c r="OA42" s="21" t="n">
        <v>315.957</v>
      </c>
      <c r="OB42" s="21" t="n">
        <v>327.298</v>
      </c>
      <c r="OC42" s="21" t="n">
        <v>300.674</v>
      </c>
      <c r="OD42" s="21" t="n">
        <v>335.825</v>
      </c>
      <c r="OE42" s="21" t="n">
        <v>104.171</v>
      </c>
      <c r="OF42" s="21" t="n">
        <v>322.966</v>
      </c>
      <c r="OG42" s="21" t="n">
        <v>218.105</v>
      </c>
      <c r="OH42" s="21" t="n">
        <v>44.128</v>
      </c>
      <c r="OI42" s="21" t="n">
        <v>125.086</v>
      </c>
      <c r="OJ42" s="21" t="n">
        <v>39.7</v>
      </c>
      <c r="OK42" s="21" t="n">
        <v>13.3</v>
      </c>
    </row>
    <row r="43">
      <c r="A43" s="22" t="n">
        <v>43252</v>
      </c>
      <c r="B43" s="21" t="n">
        <v>251.989</v>
      </c>
      <c r="C43" s="21" t="n">
        <v>754.848</v>
      </c>
      <c r="D43" s="21" t="n">
        <v>253.022</v>
      </c>
      <c r="E43" s="21" t="n">
        <v>253.231</v>
      </c>
      <c r="F43" s="21" t="n">
        <v>239.158</v>
      </c>
      <c r="G43" s="21" t="n">
        <v>273.682</v>
      </c>
      <c r="H43" s="21" t="n">
        <v>227.684</v>
      </c>
      <c r="I43" s="21" t="n">
        <v>241.001</v>
      </c>
      <c r="J43" s="21" t="n">
        <v>220.467</v>
      </c>
      <c r="K43" s="21" t="n">
        <v>238.159</v>
      </c>
      <c r="L43" s="21" t="n">
        <v>162.48</v>
      </c>
      <c r="M43" s="21" t="n">
        <v>300.096</v>
      </c>
      <c r="N43" s="21" t="n">
        <v>179.518</v>
      </c>
      <c r="O43" s="21" t="n">
        <v>324.026</v>
      </c>
      <c r="P43" s="21" t="n">
        <v>348.496</v>
      </c>
      <c r="Q43" s="21" t="n">
        <v>177.915</v>
      </c>
      <c r="R43" s="21" t="n">
        <v>289.073</v>
      </c>
      <c r="S43" s="21" t="n">
        <v>309.372</v>
      </c>
      <c r="T43" s="21" t="n">
        <v>272.457</v>
      </c>
      <c r="U43" s="21" t="n">
        <v>265.998</v>
      </c>
      <c r="V43" s="21" t="n">
        <v>293.613</v>
      </c>
      <c r="W43" s="21" t="n">
        <v>303.368</v>
      </c>
      <c r="X43" s="21" t="n">
        <v>271.473</v>
      </c>
      <c r="Y43" s="21" t="n">
        <v>248.609</v>
      </c>
      <c r="Z43" s="21" t="n">
        <v>250.967</v>
      </c>
      <c r="AA43" s="21" t="n">
        <v>252.025</v>
      </c>
      <c r="AB43" s="21" t="n">
        <v>306.24</v>
      </c>
      <c r="AC43" s="21" t="n">
        <v>268.361</v>
      </c>
      <c r="AD43" s="21" t="n">
        <v>235.452</v>
      </c>
      <c r="AE43" s="21" t="n">
        <v>206.471</v>
      </c>
      <c r="AF43" s="21" t="n">
        <v>244.679</v>
      </c>
      <c r="AG43" s="21" t="n">
        <v>209.28</v>
      </c>
      <c r="AH43" s="21" t="n">
        <v>156.149</v>
      </c>
      <c r="AI43" s="21" t="n">
        <v>288.182</v>
      </c>
      <c r="AJ43" s="21" t="n">
        <v>144.661</v>
      </c>
      <c r="AK43" s="21" t="n">
        <v>205.612</v>
      </c>
      <c r="AL43" s="21" t="n">
        <v>230.981</v>
      </c>
      <c r="AM43" s="21" t="n">
        <v>188.679</v>
      </c>
      <c r="AN43" s="21" t="n">
        <v>123.645</v>
      </c>
      <c r="AO43" s="21" t="n">
        <v>218.723</v>
      </c>
      <c r="AP43" s="21" t="n">
        <v>219.448</v>
      </c>
      <c r="AQ43" s="21" t="n">
        <v>141.845</v>
      </c>
      <c r="AR43" s="21" t="n"/>
      <c r="AS43" s="21" t="n"/>
      <c r="AT43" s="21" t="n">
        <v>233.324</v>
      </c>
      <c r="AU43" s="21" t="n">
        <v>150.834</v>
      </c>
      <c r="AV43" s="21" t="n">
        <v>250.164</v>
      </c>
      <c r="AW43" s="21" t="n">
        <v>224.737</v>
      </c>
      <c r="AX43" s="21" t="n">
        <v>148.962</v>
      </c>
      <c r="AY43" s="21" t="n">
        <v>293.934</v>
      </c>
      <c r="AZ43" s="21" t="n">
        <v>183.721</v>
      </c>
      <c r="BA43" s="21" t="n">
        <v>145.946</v>
      </c>
      <c r="BB43" s="21" t="n">
        <v>208.178</v>
      </c>
      <c r="BC43" s="21" t="n">
        <v>301.781</v>
      </c>
      <c r="BD43" s="21" t="n">
        <v>218.292</v>
      </c>
      <c r="BE43" s="21" t="n">
        <v>216.126</v>
      </c>
      <c r="BF43" s="21" t="n">
        <v>136.819</v>
      </c>
      <c r="BG43" s="21" t="n">
        <v>194.389</v>
      </c>
      <c r="BH43" s="21" t="n">
        <v>141.453</v>
      </c>
      <c r="BI43" s="21" t="n">
        <v>230.961</v>
      </c>
      <c r="BJ43" s="21" t="n">
        <v>216.739</v>
      </c>
      <c r="BK43" s="21" t="n">
        <v>146.061</v>
      </c>
      <c r="BL43" s="21" t="n">
        <v>295.523</v>
      </c>
      <c r="BM43" s="21" t="n">
        <v>342.194</v>
      </c>
      <c r="BN43" s="21" t="n">
        <v>363.653</v>
      </c>
      <c r="BO43" s="21" t="n">
        <v>335.673</v>
      </c>
      <c r="BP43" s="21" t="n">
        <v>196.475</v>
      </c>
      <c r="BQ43" s="21" t="n">
        <v>271.361</v>
      </c>
      <c r="BR43" s="21" t="n">
        <v>550.628</v>
      </c>
      <c r="BS43" s="21" t="n">
        <v>116.393</v>
      </c>
      <c r="BT43" s="21" t="n">
        <v>318.47</v>
      </c>
      <c r="BU43" s="21" t="n">
        <v>348.08</v>
      </c>
      <c r="BV43" s="21" t="n">
        <v>276.3</v>
      </c>
      <c r="BW43" s="21" t="n">
        <v>323.344</v>
      </c>
      <c r="BX43" s="21" t="n">
        <v>323.45</v>
      </c>
      <c r="BY43" s="21" t="n">
        <v>155.355</v>
      </c>
      <c r="BZ43" s="21" t="n">
        <v>159.713</v>
      </c>
      <c r="CA43" s="21" t="n">
        <v>155.668</v>
      </c>
      <c r="CB43" s="21" t="n">
        <v>168.043</v>
      </c>
      <c r="CC43" s="21" t="n">
        <v>145.556</v>
      </c>
      <c r="CD43" s="21" t="n">
        <v>198.573</v>
      </c>
      <c r="CE43" s="21" t="n">
        <v>158.084</v>
      </c>
      <c r="CF43" s="21" t="n">
        <v>191.952</v>
      </c>
      <c r="CG43" s="21" t="n">
        <v>166.431</v>
      </c>
      <c r="CH43" s="21" t="n">
        <v>128.666</v>
      </c>
      <c r="CI43" s="21" t="n">
        <v>162.689</v>
      </c>
      <c r="CJ43" s="21" t="n">
        <v>180.507</v>
      </c>
      <c r="CK43" s="21" t="n">
        <v>116.522</v>
      </c>
      <c r="CL43" s="21" t="n">
        <v>116.291</v>
      </c>
      <c r="CM43" s="21" t="n">
        <v>195.315</v>
      </c>
      <c r="CN43" s="21" t="n">
        <v>203.577</v>
      </c>
      <c r="CO43" s="21" t="n">
        <v>186.63</v>
      </c>
      <c r="CP43" s="21" t="n">
        <v>126.808</v>
      </c>
      <c r="CQ43" s="21" t="n">
        <v>210.259</v>
      </c>
      <c r="CR43" s="21" t="n">
        <v>215.968</v>
      </c>
      <c r="CS43" s="21" t="n">
        <v>189.374</v>
      </c>
      <c r="CT43" s="21" t="n">
        <v>145.132</v>
      </c>
      <c r="CU43" s="21" t="n">
        <v>155.103</v>
      </c>
      <c r="CV43" s="21" t="n">
        <v>226.871</v>
      </c>
      <c r="CW43" s="21" t="n">
        <v>203.898</v>
      </c>
      <c r="CX43" s="21" t="n">
        <v>242.881</v>
      </c>
      <c r="CY43" s="21" t="n">
        <v>295.4</v>
      </c>
      <c r="CZ43" s="21" t="n">
        <v>125.014</v>
      </c>
      <c r="DA43" s="21" t="n">
        <v>160.105</v>
      </c>
      <c r="DB43" s="21" t="n">
        <v>158.277</v>
      </c>
      <c r="DC43" s="21" t="n">
        <v>224.88</v>
      </c>
      <c r="DD43" s="21" t="n">
        <v>251.893</v>
      </c>
      <c r="DE43" s="21" t="n">
        <v>167.675</v>
      </c>
      <c r="DF43" s="21" t="n">
        <v>252.543</v>
      </c>
      <c r="DG43" s="21" t="n">
        <v>241.829</v>
      </c>
      <c r="DH43" s="21" t="n">
        <v>154.68</v>
      </c>
      <c r="DI43" s="21" t="n">
        <v>140.908</v>
      </c>
      <c r="DJ43" s="21" t="n">
        <v>139.112</v>
      </c>
      <c r="DK43" s="21" t="n">
        <v>281.013</v>
      </c>
      <c r="DL43" s="21" t="n">
        <v>161.276</v>
      </c>
      <c r="DM43" s="21" t="n">
        <v>130.938</v>
      </c>
      <c r="DN43" s="21" t="n">
        <v>125.257</v>
      </c>
      <c r="DO43" s="21" t="n">
        <v>275.808</v>
      </c>
      <c r="DP43" s="21" t="n">
        <v>170.934</v>
      </c>
      <c r="DQ43" s="21" t="n">
        <v>176.534</v>
      </c>
      <c r="DR43" s="21" t="n">
        <v>177.593</v>
      </c>
      <c r="DS43" s="21" t="n">
        <v>146.523</v>
      </c>
      <c r="DT43" s="21" t="n">
        <v>158.969</v>
      </c>
      <c r="DU43" s="21" t="n">
        <v>192.373</v>
      </c>
      <c r="DV43" s="21" t="n">
        <v>248.844</v>
      </c>
      <c r="DW43" s="21" t="n">
        <v>202.176</v>
      </c>
      <c r="DX43" s="21" t="n">
        <v>225.705</v>
      </c>
      <c r="DY43" s="21" t="n">
        <v>190.929</v>
      </c>
      <c r="DZ43" s="21" t="n">
        <v>203.703</v>
      </c>
      <c r="EA43" s="21" t="n">
        <v>185.85</v>
      </c>
      <c r="EB43" s="21" t="n">
        <v>169.763</v>
      </c>
      <c r="EC43" s="21" t="n">
        <v>350.833</v>
      </c>
      <c r="ED43" s="21" t="n">
        <v>173.344</v>
      </c>
      <c r="EE43" s="21" t="n">
        <v>187.319</v>
      </c>
      <c r="EF43" s="21" t="n">
        <v>190.272</v>
      </c>
      <c r="EG43" s="21" t="n">
        <v>258.71</v>
      </c>
      <c r="EH43" s="21" t="n">
        <v>307.521</v>
      </c>
      <c r="EI43" s="21" t="n">
        <v>318.318</v>
      </c>
      <c r="EJ43" s="21" t="n">
        <v>170.952</v>
      </c>
      <c r="EK43" s="21" t="n">
        <v>544.268</v>
      </c>
      <c r="EL43" s="21" t="n">
        <v>352.657</v>
      </c>
      <c r="EM43" s="21" t="n">
        <v>314.472</v>
      </c>
      <c r="EN43" s="21" t="n">
        <v>314.484</v>
      </c>
      <c r="EO43" s="21" t="n">
        <v>150.901</v>
      </c>
      <c r="EP43" s="21" t="n">
        <v>244.56</v>
      </c>
      <c r="EQ43" s="21" t="n">
        <v>204.238</v>
      </c>
      <c r="ER43" s="21" t="n">
        <v>288.966</v>
      </c>
      <c r="ES43" s="21" t="n">
        <v>293.685</v>
      </c>
      <c r="ET43" s="21" t="n">
        <v>333.15</v>
      </c>
      <c r="EU43" s="21" t="n">
        <v>207.631</v>
      </c>
      <c r="EV43" s="21" t="n">
        <v>218.591</v>
      </c>
      <c r="EW43" s="21" t="n">
        <v>172.167</v>
      </c>
      <c r="EX43" s="21" t="n">
        <v>236.493</v>
      </c>
      <c r="EY43" s="21" t="n">
        <v>549.461</v>
      </c>
      <c r="EZ43" s="21" t="n">
        <v>465.041</v>
      </c>
      <c r="FA43" s="21" t="n">
        <v>121.408</v>
      </c>
      <c r="FB43" s="21" t="n">
        <v>57.218</v>
      </c>
      <c r="FC43" s="21" t="n">
        <v>112.078</v>
      </c>
      <c r="FD43" s="21" t="n">
        <v>64.20999999999999</v>
      </c>
      <c r="FE43" s="21" t="n">
        <v>43.688</v>
      </c>
      <c r="FF43" s="21" t="n">
        <v>111.262</v>
      </c>
      <c r="FG43" s="21" t="n">
        <v>127.446</v>
      </c>
      <c r="FH43" s="21" t="n">
        <v>85.92700000000001</v>
      </c>
      <c r="FI43" s="21" t="n">
        <v>67.819</v>
      </c>
      <c r="FJ43" s="21" t="n">
        <v>94.038</v>
      </c>
      <c r="FK43" s="21" t="n">
        <v>75.79300000000001</v>
      </c>
      <c r="FL43" s="21" t="n">
        <v>82.938</v>
      </c>
      <c r="FM43" s="21" t="n">
        <v>102.001</v>
      </c>
      <c r="FN43" s="21" t="n">
        <v>65.166</v>
      </c>
      <c r="FO43" s="21" t="n">
        <v>51.094</v>
      </c>
      <c r="FP43" s="21" t="n">
        <v>37.257</v>
      </c>
      <c r="FQ43" s="21" t="n">
        <v>131.105</v>
      </c>
      <c r="FR43" s="21" t="n">
        <v>47.763</v>
      </c>
      <c r="FS43" s="21" t="n">
        <v>84.536</v>
      </c>
      <c r="FT43" s="21" t="n">
        <v>89.473</v>
      </c>
      <c r="FU43" s="21" t="n">
        <v>98.72</v>
      </c>
      <c r="FV43" s="21" t="n">
        <v>85.089</v>
      </c>
      <c r="FW43" s="21" t="n">
        <v>185.988</v>
      </c>
      <c r="FX43" s="21" t="n">
        <v>119.264</v>
      </c>
      <c r="FY43" s="21" t="n">
        <v>167.347</v>
      </c>
      <c r="FZ43" s="21" t="n">
        <v>118.05</v>
      </c>
      <c r="GA43" s="21" t="n">
        <v>186.246</v>
      </c>
      <c r="GB43" s="21" t="n">
        <v>165.686</v>
      </c>
      <c r="GC43" s="21" t="n">
        <v>193.198</v>
      </c>
      <c r="GD43" s="21" t="n">
        <v>166.135</v>
      </c>
      <c r="GE43" s="21" t="n">
        <v>256.267</v>
      </c>
      <c r="GF43" s="21" t="n">
        <v>125.382</v>
      </c>
      <c r="GG43" s="21" t="n">
        <v>117.077</v>
      </c>
      <c r="GH43" s="21" t="n">
        <v>119.836</v>
      </c>
      <c r="GI43" s="21" t="n">
        <v>102.92</v>
      </c>
      <c r="GJ43" s="21" t="n">
        <v>153.043</v>
      </c>
      <c r="GK43" s="21" t="n">
        <v>77.22499999999999</v>
      </c>
      <c r="GL43" s="21" t="n">
        <v>120.039</v>
      </c>
      <c r="GM43" s="21" t="n">
        <v>105.334</v>
      </c>
      <c r="GN43" s="21" t="n">
        <v>110.839</v>
      </c>
      <c r="GO43" s="21" t="n">
        <v>114.511</v>
      </c>
      <c r="GP43" s="21" t="n">
        <v>100.451</v>
      </c>
      <c r="GQ43" s="21" t="n">
        <v>124.636</v>
      </c>
      <c r="GR43" s="21" t="n">
        <v>81.565</v>
      </c>
      <c r="GS43" s="21" t="n">
        <v>104.357</v>
      </c>
      <c r="GT43" s="21" t="n">
        <v>92.444</v>
      </c>
      <c r="GU43" s="21" t="n">
        <v>135.359</v>
      </c>
      <c r="GV43" s="21" t="n">
        <v>137.608</v>
      </c>
      <c r="GW43" s="21" t="n">
        <v>149.903</v>
      </c>
      <c r="GX43" s="21" t="n">
        <v>126.15</v>
      </c>
      <c r="GY43" s="21" t="n">
        <v>121.567</v>
      </c>
      <c r="GZ43" s="21" t="n">
        <v>170.878</v>
      </c>
      <c r="HA43" s="21" t="n">
        <v>134.969</v>
      </c>
      <c r="HB43" s="21" t="n">
        <v>174.695</v>
      </c>
      <c r="HC43" s="21" t="n">
        <v>214.679</v>
      </c>
      <c r="HD43" s="21" t="n">
        <v>210.184</v>
      </c>
      <c r="HE43" s="21" t="n">
        <v>99.447</v>
      </c>
      <c r="HF43" s="21" t="n">
        <v>146.562</v>
      </c>
      <c r="HG43" s="21" t="n">
        <v>101.566</v>
      </c>
      <c r="HH43" s="21" t="n">
        <v>142.145</v>
      </c>
      <c r="HI43" s="21" t="n">
        <v>156.178</v>
      </c>
      <c r="HJ43" s="21" t="n"/>
      <c r="HK43" s="21" t="n">
        <v>139.09</v>
      </c>
      <c r="HL43" s="21" t="n">
        <v>89.61199999999999</v>
      </c>
      <c r="HM43" s="21" t="n">
        <v>126.435</v>
      </c>
      <c r="HN43" s="21" t="n">
        <v>257.041</v>
      </c>
      <c r="HO43" s="21" t="n">
        <v>255.885</v>
      </c>
      <c r="HP43" s="21" t="n">
        <v>251.42</v>
      </c>
      <c r="HQ43" s="21" t="n">
        <v>272.101</v>
      </c>
      <c r="HR43" s="21" t="n">
        <v>265.363</v>
      </c>
      <c r="HS43" s="21" t="n">
        <v>235.16</v>
      </c>
      <c r="HT43" s="21" t="n">
        <v>143.813</v>
      </c>
      <c r="HU43" s="21" t="n">
        <v>122.717</v>
      </c>
      <c r="HV43" s="21" t="n">
        <v>172.544</v>
      </c>
      <c r="HW43" s="21" t="n">
        <v>162.313</v>
      </c>
      <c r="HX43" s="21" t="n">
        <v>394.319</v>
      </c>
      <c r="HY43" s="21" t="n">
        <v>285.753</v>
      </c>
      <c r="HZ43" s="21" t="n">
        <v>301.934</v>
      </c>
      <c r="IA43" s="21" t="n">
        <v>257.981</v>
      </c>
      <c r="IB43" s="21" t="n">
        <v>175.367</v>
      </c>
      <c r="IC43" s="21" t="n">
        <v>565.284</v>
      </c>
      <c r="ID43" s="21" t="n">
        <v>188.495</v>
      </c>
      <c r="IE43" s="21" t="n">
        <v>178.041</v>
      </c>
      <c r="IF43" s="21" t="n">
        <v>205.461</v>
      </c>
      <c r="IG43" s="21" t="n">
        <v>232.051</v>
      </c>
      <c r="IH43" s="21" t="n">
        <v>120.043</v>
      </c>
      <c r="II43" s="21" t="n">
        <v>266.978</v>
      </c>
      <c r="IJ43" s="21" t="n">
        <v>278.937</v>
      </c>
      <c r="IK43" s="21" t="n">
        <v>160.466</v>
      </c>
      <c r="IL43" s="21" t="n"/>
      <c r="IM43" s="21" t="n"/>
      <c r="IN43" s="21" t="n">
        <v>66.07299999999999</v>
      </c>
      <c r="IO43" s="21" t="n">
        <v>318.544</v>
      </c>
      <c r="IP43" s="21" t="n">
        <v>127.955</v>
      </c>
      <c r="IQ43" s="21" t="n">
        <v>486.019</v>
      </c>
      <c r="IR43" s="21" t="n">
        <v>385.121</v>
      </c>
      <c r="IS43" s="21" t="n">
        <v>126.141</v>
      </c>
      <c r="IT43" s="21" t="n">
        <v>533.72</v>
      </c>
      <c r="IU43" s="21" t="n">
        <v>97.536</v>
      </c>
      <c r="IV43" s="21" t="n">
        <v>100.512</v>
      </c>
      <c r="IW43" s="21" t="n">
        <v>518.307</v>
      </c>
      <c r="IX43" s="21" t="n">
        <v>379.219</v>
      </c>
      <c r="IY43" s="21" t="n">
        <v>380.991</v>
      </c>
      <c r="IZ43" s="21" t="n">
        <v>488.643</v>
      </c>
      <c r="JA43" s="21" t="n">
        <v>189.047</v>
      </c>
      <c r="JB43" s="21" t="n">
        <v>237.826</v>
      </c>
      <c r="JC43" s="21" t="n">
        <v>79.014</v>
      </c>
      <c r="JD43" s="21" t="n">
        <v>333.408</v>
      </c>
      <c r="JE43" s="21" t="n">
        <v>325.821</v>
      </c>
      <c r="JF43" s="21" t="n">
        <v>738.403</v>
      </c>
      <c r="JG43" s="21" t="n">
        <v>227.36</v>
      </c>
      <c r="JH43" s="21" t="n">
        <v>119.525</v>
      </c>
      <c r="JI43" s="21" t="n">
        <v>134.494</v>
      </c>
      <c r="JJ43" s="21" t="n">
        <v>119.145</v>
      </c>
      <c r="JK43" s="21" t="n">
        <v>104.115</v>
      </c>
      <c r="JL43" s="21" t="n">
        <v>194.63</v>
      </c>
      <c r="JM43" s="21" t="n">
        <v>469.203</v>
      </c>
      <c r="JN43" s="21" t="n">
        <v>121.743</v>
      </c>
      <c r="JO43" s="21" t="n">
        <v>72.85899999999999</v>
      </c>
      <c r="JP43" s="21" t="n">
        <v>37.807</v>
      </c>
      <c r="JQ43" s="21" t="n">
        <v>130.452</v>
      </c>
      <c r="JR43" s="21" t="n">
        <v>26.911</v>
      </c>
      <c r="JS43" s="21" t="n">
        <v>86.774</v>
      </c>
      <c r="JT43" s="21" t="n">
        <v>172.696</v>
      </c>
      <c r="JU43" s="21" t="n">
        <v>198.323</v>
      </c>
      <c r="JV43" s="21" t="n">
        <v>150.988</v>
      </c>
      <c r="JW43" s="21" t="n">
        <v>114.779</v>
      </c>
      <c r="JX43" s="21" t="n">
        <v>244.819</v>
      </c>
      <c r="JY43" s="21" t="n">
        <v>193.052</v>
      </c>
      <c r="JZ43" s="21" t="n">
        <v>256.294</v>
      </c>
      <c r="KA43" s="21" t="n">
        <v>110.969</v>
      </c>
      <c r="KB43" s="21" t="n">
        <v>148.332</v>
      </c>
      <c r="KC43" s="21" t="n">
        <v>79.435</v>
      </c>
      <c r="KD43" s="21" t="n">
        <v>72.65600000000001</v>
      </c>
      <c r="KE43" s="21" t="n">
        <v>51.549</v>
      </c>
      <c r="KF43" s="21" t="n"/>
      <c r="KG43" s="21" t="n">
        <v>21.523</v>
      </c>
      <c r="KH43" s="21" t="n">
        <v>121.844</v>
      </c>
      <c r="KI43" s="21" t="n">
        <v>128.891</v>
      </c>
      <c r="KJ43" s="21" t="n">
        <v>111.723</v>
      </c>
      <c r="KK43" s="21" t="n">
        <v>37.404</v>
      </c>
      <c r="KL43" s="21" t="n">
        <v>33.73</v>
      </c>
      <c r="KM43" s="21" t="n">
        <v>41.289</v>
      </c>
      <c r="KN43" s="21" t="n"/>
      <c r="KO43" s="21" t="n">
        <v>98.02500000000001</v>
      </c>
      <c r="KP43" s="21" t="n">
        <v>98.925</v>
      </c>
      <c r="KQ43" s="21" t="n">
        <v>168.395</v>
      </c>
      <c r="KR43" s="21" t="n">
        <v>138.376</v>
      </c>
      <c r="KS43" s="21" t="n">
        <v>388.199</v>
      </c>
      <c r="KT43" s="21" t="n">
        <v>184.203</v>
      </c>
      <c r="KU43" s="21" t="n">
        <v>226.385</v>
      </c>
      <c r="KV43" s="21" t="n">
        <v>309.693</v>
      </c>
      <c r="KW43" s="21" t="n">
        <v>244.829</v>
      </c>
      <c r="KX43" s="21" t="n">
        <v>174.135</v>
      </c>
      <c r="KY43" s="21" t="n">
        <v>96.42</v>
      </c>
      <c r="KZ43" s="21" t="n">
        <v>136.535</v>
      </c>
      <c r="LA43" s="21" t="n">
        <v>256.679</v>
      </c>
      <c r="LB43" s="21" t="n">
        <v>701.303</v>
      </c>
      <c r="LC43" s="21" t="n">
        <v>244.283</v>
      </c>
      <c r="LD43" s="21" t="n">
        <v>734.538</v>
      </c>
      <c r="LE43" s="21" t="n">
        <v>831.1559999999999</v>
      </c>
      <c r="LF43" s="21" t="n">
        <v>78.736</v>
      </c>
      <c r="LG43" s="21" t="n">
        <v>294.642</v>
      </c>
      <c r="LH43" s="21" t="n">
        <v>249.813</v>
      </c>
      <c r="LI43" s="21" t="n">
        <v>74.129</v>
      </c>
      <c r="LJ43" s="21" t="n">
        <v>185.104</v>
      </c>
      <c r="LK43" s="21" t="n">
        <v>289.966</v>
      </c>
      <c r="LL43" s="21" t="n">
        <v>309.303</v>
      </c>
      <c r="LM43" s="21" t="n">
        <v>70.22799999999999</v>
      </c>
      <c r="LN43" s="21" t="n">
        <v>90.749</v>
      </c>
      <c r="LO43" s="21" t="n">
        <v>47.874</v>
      </c>
      <c r="LP43" s="21" t="n">
        <v>117.117</v>
      </c>
      <c r="LQ43" s="21" t="n"/>
      <c r="LR43" s="21" t="n"/>
      <c r="LS43" s="21" t="n">
        <v>111.422</v>
      </c>
      <c r="LT43" s="21" t="n">
        <v>40.986</v>
      </c>
      <c r="LU43" s="21" t="n">
        <v>31.786</v>
      </c>
      <c r="LV43" s="21" t="n">
        <v>76.169</v>
      </c>
      <c r="LW43" s="21" t="n">
        <v>252.752</v>
      </c>
      <c r="LX43" s="21" t="n"/>
      <c r="LY43" s="21" t="n">
        <v>442.851</v>
      </c>
      <c r="LZ43" s="21" t="n">
        <v>66.843</v>
      </c>
      <c r="MA43" s="21" t="n">
        <v>433.516</v>
      </c>
      <c r="MB43" s="21" t="n">
        <v>271.105</v>
      </c>
      <c r="MC43" s="21" t="n">
        <v>231.603</v>
      </c>
      <c r="MD43" s="21" t="n">
        <v>161.122</v>
      </c>
      <c r="ME43" s="21" t="n">
        <v>101.934</v>
      </c>
      <c r="MF43" s="21" t="n">
        <v>186.379</v>
      </c>
      <c r="MG43" s="21" t="n">
        <v>265.142</v>
      </c>
      <c r="MH43" s="21" t="n">
        <v>161.78</v>
      </c>
      <c r="MI43" s="21" t="n">
        <v>440.634</v>
      </c>
      <c r="MJ43" s="21" t="n">
        <v>361.374</v>
      </c>
      <c r="MK43" s="21" t="n">
        <v>331.503</v>
      </c>
      <c r="ML43" s="21" t="n">
        <v>169.145</v>
      </c>
      <c r="MM43" s="21" t="n">
        <v>187.65</v>
      </c>
      <c r="MN43" s="21" t="n">
        <v>362.303</v>
      </c>
      <c r="MO43" s="21" t="n">
        <v>172.02</v>
      </c>
      <c r="MP43" s="21" t="n">
        <v>252.923</v>
      </c>
      <c r="MQ43" s="21" t="n">
        <v>76.142</v>
      </c>
      <c r="MR43" s="21" t="n">
        <v>152.059</v>
      </c>
      <c r="MS43" s="21" t="n">
        <v>73.893</v>
      </c>
      <c r="MT43" s="21" t="n">
        <v>240.756</v>
      </c>
      <c r="MU43" s="21" t="n">
        <v>256.325</v>
      </c>
      <c r="MV43" s="21" t="n">
        <v>251.775</v>
      </c>
      <c r="MW43" s="21" t="n">
        <v>257.697</v>
      </c>
      <c r="MX43" s="21" t="n">
        <v>233.054</v>
      </c>
      <c r="MY43" s="21" t="n">
        <v>227.608</v>
      </c>
      <c r="MZ43" s="21" t="n">
        <v>229.953</v>
      </c>
      <c r="NA43" s="21" t="n">
        <v>235.517</v>
      </c>
      <c r="NB43" s="21" t="n">
        <v>118.533</v>
      </c>
      <c r="NC43" s="21" t="n">
        <v>185.965</v>
      </c>
      <c r="ND43" s="21" t="n">
        <v>155.493</v>
      </c>
      <c r="NE43" s="21" t="n">
        <v>152.228</v>
      </c>
      <c r="NF43" s="21" t="n">
        <v>144.237</v>
      </c>
      <c r="NG43" s="21" t="n">
        <v>145.458</v>
      </c>
      <c r="NH43" s="21" t="n">
        <v>247.343</v>
      </c>
      <c r="NI43" s="21" t="n">
        <v>104.636</v>
      </c>
      <c r="NJ43" s="21" t="n">
        <v>75.81999999999999</v>
      </c>
      <c r="NK43" s="21" t="n">
        <v>109.313</v>
      </c>
      <c r="NL43" s="21" t="n">
        <v>229.137</v>
      </c>
      <c r="NM43" s="21" t="n">
        <v>260.848</v>
      </c>
      <c r="NN43" s="21" t="n">
        <v>89.566</v>
      </c>
      <c r="NO43" s="21" t="n">
        <v>55.099</v>
      </c>
      <c r="NP43" s="21" t="n">
        <v>227.922</v>
      </c>
      <c r="NQ43" s="21" t="n">
        <v>205.762</v>
      </c>
      <c r="NR43" s="21" t="n">
        <v>253.99</v>
      </c>
      <c r="NS43" s="21" t="n">
        <v>203.036</v>
      </c>
      <c r="NT43" s="21" t="n">
        <v>255.799</v>
      </c>
      <c r="NU43" s="21" t="n">
        <v>112.326</v>
      </c>
      <c r="NV43" s="21" t="n">
        <v>122.426</v>
      </c>
      <c r="NW43" s="21" t="n">
        <v>352.454</v>
      </c>
      <c r="NX43" s="21" t="n">
        <v>80.614</v>
      </c>
      <c r="NY43" s="21" t="n">
        <v>121.656</v>
      </c>
      <c r="NZ43" s="21" t="n">
        <v>320.523</v>
      </c>
      <c r="OA43" s="21" t="n">
        <v>317.004</v>
      </c>
      <c r="OB43" s="21" t="n">
        <v>328.068</v>
      </c>
      <c r="OC43" s="21" t="n">
        <v>301.716</v>
      </c>
      <c r="OD43" s="21" t="n">
        <v>337.42</v>
      </c>
      <c r="OE43" s="21" t="n">
        <v>104.43</v>
      </c>
      <c r="OF43" s="21" t="n">
        <v>323.646</v>
      </c>
      <c r="OG43" s="21" t="n">
        <v>219.554</v>
      </c>
      <c r="OH43" s="21" t="n">
        <v>43.937</v>
      </c>
      <c r="OI43" s="21" t="n">
        <v>124.943</v>
      </c>
      <c r="OJ43" s="21" t="n">
        <v>39.7</v>
      </c>
      <c r="OK43" s="21" t="n">
        <v>13.2</v>
      </c>
    </row>
    <row r="44">
      <c r="A44" s="22" t="n">
        <v>43282</v>
      </c>
      <c r="B44" s="21" t="n">
        <v>252.006</v>
      </c>
      <c r="C44" s="21" t="n">
        <v>754.898</v>
      </c>
      <c r="D44" s="21" t="n">
        <v>253.476</v>
      </c>
      <c r="E44" s="21" t="n">
        <v>253.746</v>
      </c>
      <c r="F44" s="21" t="n">
        <v>239.82</v>
      </c>
      <c r="G44" s="21" t="n">
        <v>273.258</v>
      </c>
      <c r="H44" s="21" t="n">
        <v>227.818</v>
      </c>
      <c r="I44" s="21" t="n">
        <v>241.956</v>
      </c>
      <c r="J44" s="21" t="n">
        <v>219.668</v>
      </c>
      <c r="K44" s="21" t="n">
        <v>239.269</v>
      </c>
      <c r="L44" s="21" t="n">
        <v>161.384</v>
      </c>
      <c r="M44" s="21" t="n">
        <v>299.324</v>
      </c>
      <c r="N44" s="21" t="n">
        <v>179.434</v>
      </c>
      <c r="O44" s="21" t="n">
        <v>323.871</v>
      </c>
      <c r="P44" s="21" t="n">
        <v>349.831</v>
      </c>
      <c r="Q44" s="21" t="n">
        <v>177.293</v>
      </c>
      <c r="R44" s="21" t="n">
        <v>286.409</v>
      </c>
      <c r="S44" s="21" t="n">
        <v>309.208</v>
      </c>
      <c r="T44" s="21" t="n">
        <v>267.895</v>
      </c>
      <c r="U44" s="21" t="n">
        <v>266.316</v>
      </c>
      <c r="V44" s="21" t="n">
        <v>302.8</v>
      </c>
      <c r="W44" s="21" t="n">
        <v>304.307</v>
      </c>
      <c r="X44" s="21" t="n">
        <v>268.634</v>
      </c>
      <c r="Y44" s="21" t="n">
        <v>250.042</v>
      </c>
      <c r="Z44" s="21" t="n">
        <v>252.117</v>
      </c>
      <c r="AA44" s="21" t="n">
        <v>253.451</v>
      </c>
      <c r="AB44" s="21" t="n">
        <v>307.501</v>
      </c>
      <c r="AC44" s="21" t="n">
        <v>269.184</v>
      </c>
      <c r="AD44" s="21" t="n">
        <v>235.696</v>
      </c>
      <c r="AE44" s="21" t="n">
        <v>208.038</v>
      </c>
      <c r="AF44" s="21" t="n">
        <v>244.49</v>
      </c>
      <c r="AG44" s="21" t="n">
        <v>210.947</v>
      </c>
      <c r="AH44" s="21" t="n">
        <v>159.197</v>
      </c>
      <c r="AI44" s="21" t="n">
        <v>295.026</v>
      </c>
      <c r="AJ44" s="21" t="n">
        <v>146.477</v>
      </c>
      <c r="AK44" s="21" t="n">
        <v>204.692</v>
      </c>
      <c r="AL44" s="21" t="n">
        <v>230.339</v>
      </c>
      <c r="AM44" s="21" t="n">
        <v>187.005</v>
      </c>
      <c r="AN44" s="21" t="n">
        <v>124.434</v>
      </c>
      <c r="AO44" s="21" t="n">
        <v>219.951</v>
      </c>
      <c r="AP44" s="21" t="n">
        <v>216.634</v>
      </c>
      <c r="AQ44" s="21" t="n">
        <v>143.189</v>
      </c>
      <c r="AR44" s="21" t="n"/>
      <c r="AS44" s="21" t="n"/>
      <c r="AT44" s="21" t="n">
        <v>234.658</v>
      </c>
      <c r="AU44" s="21" t="n">
        <v>151.928</v>
      </c>
      <c r="AV44" s="21" t="n">
        <v>252.485</v>
      </c>
      <c r="AW44" s="21" t="n">
        <v>225.915</v>
      </c>
      <c r="AX44" s="21" t="n">
        <v>148.777</v>
      </c>
      <c r="AY44" s="21" t="n">
        <v>293.656</v>
      </c>
      <c r="AZ44" s="21" t="n">
        <v>182.321</v>
      </c>
      <c r="BA44" s="21" t="n">
        <v>146.85</v>
      </c>
      <c r="BB44" s="21" t="n">
        <v>211.264</v>
      </c>
      <c r="BC44" s="21" t="n">
        <v>302.049</v>
      </c>
      <c r="BD44" s="21" t="n">
        <v>223.775</v>
      </c>
      <c r="BE44" s="21" t="n">
        <v>215.622</v>
      </c>
      <c r="BF44" s="21" t="n">
        <v>135.735</v>
      </c>
      <c r="BG44" s="21" t="n">
        <v>194.624</v>
      </c>
      <c r="BH44" s="21" t="n">
        <v>139.524</v>
      </c>
      <c r="BI44" s="21" t="n">
        <v>229.899</v>
      </c>
      <c r="BJ44" s="21" t="n">
        <v>214.601</v>
      </c>
      <c r="BK44" s="21" t="n">
        <v>147.63</v>
      </c>
      <c r="BL44" s="21" t="n">
        <v>297.632</v>
      </c>
      <c r="BM44" s="21" t="n">
        <v>345.592</v>
      </c>
      <c r="BN44" s="21" t="n">
        <v>365.858</v>
      </c>
      <c r="BO44" s="21" t="n">
        <v>342.615</v>
      </c>
      <c r="BP44" s="21" t="n">
        <v>198.129</v>
      </c>
      <c r="BQ44" s="21" t="n">
        <v>278.488</v>
      </c>
      <c r="BR44" s="21" t="n">
        <v>576.3920000000001</v>
      </c>
      <c r="BS44" s="21" t="n">
        <v>114.735</v>
      </c>
      <c r="BT44" s="21" t="n">
        <v>323.091</v>
      </c>
      <c r="BU44" s="21" t="n">
        <v>356.259</v>
      </c>
      <c r="BV44" s="21" t="n">
        <v>285.78</v>
      </c>
      <c r="BW44" s="21" t="n">
        <v>325.122</v>
      </c>
      <c r="BX44" s="21" t="n">
        <v>326.704</v>
      </c>
      <c r="BY44" s="21" t="n">
        <v>154.863</v>
      </c>
      <c r="BZ44" s="21" t="n">
        <v>158.927</v>
      </c>
      <c r="CA44" s="21" t="n">
        <v>154.736</v>
      </c>
      <c r="CB44" s="21" t="n">
        <v>167.605</v>
      </c>
      <c r="CC44" s="21" t="n">
        <v>146.312</v>
      </c>
      <c r="CD44" s="21" t="n">
        <v>199.24</v>
      </c>
      <c r="CE44" s="21" t="n">
        <v>156.194</v>
      </c>
      <c r="CF44" s="21" t="n">
        <v>189.586</v>
      </c>
      <c r="CG44" s="21" t="n">
        <v>166.577</v>
      </c>
      <c r="CH44" s="21" t="n">
        <v>128.499</v>
      </c>
      <c r="CI44" s="21" t="n">
        <v>161.335</v>
      </c>
      <c r="CJ44" s="21" t="n">
        <v>181.855</v>
      </c>
      <c r="CK44" s="21" t="n">
        <v>116.947</v>
      </c>
      <c r="CL44" s="21" t="n">
        <v>117.002</v>
      </c>
      <c r="CM44" s="21" t="n">
        <v>195.339</v>
      </c>
      <c r="CN44" s="21" t="n">
        <v>203.597</v>
      </c>
      <c r="CO44" s="21" t="n">
        <v>188.752</v>
      </c>
      <c r="CP44" s="21" t="n">
        <v>128.975</v>
      </c>
      <c r="CQ44" s="21" t="n">
        <v>210.736</v>
      </c>
      <c r="CR44" s="21" t="n">
        <v>214.285</v>
      </c>
      <c r="CS44" s="21" t="n">
        <v>189.017</v>
      </c>
      <c r="CT44" s="21" t="n">
        <v>143.76</v>
      </c>
      <c r="CU44" s="21" t="n">
        <v>154.034</v>
      </c>
      <c r="CV44" s="21" t="n">
        <v>229.367</v>
      </c>
      <c r="CW44" s="21" t="n">
        <v>207.264</v>
      </c>
      <c r="CX44" s="21" t="n">
        <v>247.314</v>
      </c>
      <c r="CY44" s="21" t="n">
        <v>297.486</v>
      </c>
      <c r="CZ44" s="21" t="n">
        <v>127.834</v>
      </c>
      <c r="DA44" s="21" t="n">
        <v>160.442</v>
      </c>
      <c r="DB44" s="21" t="n">
        <v>153.71</v>
      </c>
      <c r="DC44" s="21" t="n">
        <v>225.548</v>
      </c>
      <c r="DD44" s="21" t="n">
        <v>251.155</v>
      </c>
      <c r="DE44" s="21" t="n">
        <v>167.738</v>
      </c>
      <c r="DF44" s="21" t="n">
        <v>253.99</v>
      </c>
      <c r="DG44" s="21" t="n">
        <v>241.753</v>
      </c>
      <c r="DH44" s="21" t="n">
        <v>155.329</v>
      </c>
      <c r="DI44" s="21" t="n">
        <v>140.382</v>
      </c>
      <c r="DJ44" s="21" t="n">
        <v>138.051</v>
      </c>
      <c r="DK44" s="21" t="n">
        <v>281.022</v>
      </c>
      <c r="DL44" s="21" t="n">
        <v>160.068</v>
      </c>
      <c r="DM44" s="21" t="n">
        <v>131.877</v>
      </c>
      <c r="DN44" s="21" t="n">
        <v>125.311</v>
      </c>
      <c r="DO44" s="21" t="n">
        <v>276.125</v>
      </c>
      <c r="DP44" s="21" t="n">
        <v>171.268</v>
      </c>
      <c r="DQ44" s="21" t="n">
        <v>176.538</v>
      </c>
      <c r="DR44" s="21" t="n">
        <v>177.86</v>
      </c>
      <c r="DS44" s="21" t="n"/>
      <c r="DT44" s="21" t="n">
        <v>159.488</v>
      </c>
      <c r="DU44" s="21" t="n">
        <v>192.802</v>
      </c>
      <c r="DV44" s="21" t="n">
        <v>248.469</v>
      </c>
      <c r="DW44" s="21" t="n">
        <v>201.666</v>
      </c>
      <c r="DX44" s="21" t="n">
        <v>224.436</v>
      </c>
      <c r="DY44" s="21" t="n">
        <v>192.012</v>
      </c>
      <c r="DZ44" s="21" t="n">
        <v>205.859</v>
      </c>
      <c r="EA44" s="21" t="n">
        <v>186.567</v>
      </c>
      <c r="EB44" s="21" t="n">
        <v>169.447</v>
      </c>
      <c r="EC44" s="21" t="n">
        <v>350.889</v>
      </c>
      <c r="ED44" s="21" t="n">
        <v>173.502</v>
      </c>
      <c r="EE44" s="21" t="n">
        <v>187.67</v>
      </c>
      <c r="EF44" s="21" t="n">
        <v>189.827</v>
      </c>
      <c r="EG44" s="21" t="n">
        <v>259.268</v>
      </c>
      <c r="EH44" s="21" t="n">
        <v>308.393</v>
      </c>
      <c r="EI44" s="21" t="n">
        <v>319.351</v>
      </c>
      <c r="EJ44" s="21" t="n">
        <v>170.378</v>
      </c>
      <c r="EK44" s="21" t="n">
        <v>544.954</v>
      </c>
      <c r="EL44" s="21" t="n">
        <v>351.275</v>
      </c>
      <c r="EM44" s="21" t="n">
        <v>315.391</v>
      </c>
      <c r="EN44" s="21" t="n">
        <v>315.406</v>
      </c>
      <c r="EO44" s="21" t="n">
        <v>151.771</v>
      </c>
      <c r="EP44" s="21" t="n">
        <v>244.269</v>
      </c>
      <c r="EQ44" s="21" t="n">
        <v>203.747</v>
      </c>
      <c r="ER44" s="21" t="n">
        <v>289.327</v>
      </c>
      <c r="ES44" s="21" t="n">
        <v>296.602</v>
      </c>
      <c r="ET44" s="21" t="n">
        <v>328.959</v>
      </c>
      <c r="EU44" s="21" t="n">
        <v>207.091</v>
      </c>
      <c r="EV44" s="21" t="n">
        <v>217.9</v>
      </c>
      <c r="EW44" s="21" t="n">
        <v>172.062</v>
      </c>
      <c r="EX44" s="21" t="n">
        <v>237.186</v>
      </c>
      <c r="EY44" s="21" t="n">
        <v>551.385</v>
      </c>
      <c r="EZ44" s="21" t="n">
        <v>465.579</v>
      </c>
      <c r="FA44" s="21" t="n">
        <v>121.48</v>
      </c>
      <c r="FB44" s="21" t="n">
        <v>56.891</v>
      </c>
      <c r="FC44" s="21" t="n">
        <v>110.15</v>
      </c>
      <c r="FD44" s="21" t="n">
        <v>63.901</v>
      </c>
      <c r="FE44" s="21" t="n">
        <v>43.605</v>
      </c>
      <c r="FF44" s="21" t="n">
        <v>110.636</v>
      </c>
      <c r="FG44" s="21" t="n">
        <v>127.965</v>
      </c>
      <c r="FH44" s="21" t="n">
        <v>84.991</v>
      </c>
      <c r="FI44" s="21" t="n">
        <v>66.983</v>
      </c>
      <c r="FJ44" s="21" t="n">
        <v>93.494</v>
      </c>
      <c r="FK44" s="21" t="n">
        <v>76.504</v>
      </c>
      <c r="FL44" s="21" t="n">
        <v>84.565</v>
      </c>
      <c r="FM44" s="21" t="n">
        <v>100.585</v>
      </c>
      <c r="FN44" s="21" t="n">
        <v>65.381</v>
      </c>
      <c r="FO44" s="21" t="n">
        <v>50.905</v>
      </c>
      <c r="FP44" s="21" t="n">
        <v>37.365</v>
      </c>
      <c r="FQ44" s="21" t="n">
        <v>129.437</v>
      </c>
      <c r="FR44" s="21" t="n">
        <v>47.299</v>
      </c>
      <c r="FS44" s="21" t="n">
        <v>83.553</v>
      </c>
      <c r="FT44" s="21" t="n">
        <v>89.624</v>
      </c>
      <c r="FU44" s="21" t="n">
        <v>98.785</v>
      </c>
      <c r="FV44" s="21" t="n">
        <v>85.27800000000001</v>
      </c>
      <c r="FW44" s="21" t="n">
        <v>187.02</v>
      </c>
      <c r="FX44" s="21" t="n">
        <v>119.219</v>
      </c>
      <c r="FY44" s="21" t="n">
        <v>169.659</v>
      </c>
      <c r="FZ44" s="21" t="n">
        <v>118.772</v>
      </c>
      <c r="GA44" s="21" t="n">
        <v>186.91</v>
      </c>
      <c r="GB44" s="21" t="n">
        <v>165.79</v>
      </c>
      <c r="GC44" s="21" t="n">
        <v>193.674</v>
      </c>
      <c r="GD44" s="21" t="n">
        <v>167.894</v>
      </c>
      <c r="GE44" s="21" t="n">
        <v>258.458</v>
      </c>
      <c r="GF44" s="21" t="n">
        <v>122.831</v>
      </c>
      <c r="GG44" s="21" t="n">
        <v>115.88</v>
      </c>
      <c r="GH44" s="21" t="n">
        <v>119.836</v>
      </c>
      <c r="GI44" s="21" t="n">
        <v>102.472</v>
      </c>
      <c r="GJ44" s="21" t="n">
        <v>157.797</v>
      </c>
      <c r="GK44" s="21" t="n">
        <v>76.91200000000001</v>
      </c>
      <c r="GL44" s="21" t="n">
        <v>117.175</v>
      </c>
      <c r="GM44" s="21" t="n">
        <v>100.434</v>
      </c>
      <c r="GN44" s="21" t="n">
        <v>105.618</v>
      </c>
      <c r="GO44" s="21" t="n">
        <v>108.796</v>
      </c>
      <c r="GP44" s="21" t="n">
        <v>97.461</v>
      </c>
      <c r="GQ44" s="21" t="n">
        <v>115.407</v>
      </c>
      <c r="GR44" s="21" t="n">
        <v>75.70399999999999</v>
      </c>
      <c r="GS44" s="21" t="n">
        <v>104.361</v>
      </c>
      <c r="GT44" s="21" t="n">
        <v>89.702</v>
      </c>
      <c r="GU44" s="21" t="n">
        <v>135.795</v>
      </c>
      <c r="GV44" s="21" t="n">
        <v>139.426</v>
      </c>
      <c r="GW44" s="21" t="n">
        <v>155.357</v>
      </c>
      <c r="GX44" s="21" t="n">
        <v>123.501</v>
      </c>
      <c r="GY44" s="21" t="n">
        <v>119.1</v>
      </c>
      <c r="GZ44" s="21" t="n">
        <v>174.726</v>
      </c>
      <c r="HA44" s="21" t="n">
        <v>137.875</v>
      </c>
      <c r="HB44" s="21" t="n">
        <v>178.738</v>
      </c>
      <c r="HC44" s="21" t="n">
        <v>214.039</v>
      </c>
      <c r="HD44" s="21" t="n">
        <v>209.959</v>
      </c>
      <c r="HE44" s="21" t="n">
        <v>100.071</v>
      </c>
      <c r="HF44" s="21" t="n">
        <v>146.526</v>
      </c>
      <c r="HG44" s="21" t="n">
        <v>101.541</v>
      </c>
      <c r="HH44" s="21" t="n">
        <v>142.216</v>
      </c>
      <c r="HI44" s="21" t="n">
        <v>155.985</v>
      </c>
      <c r="HJ44" s="21" t="n"/>
      <c r="HK44" s="21" t="n">
        <v>140.687</v>
      </c>
      <c r="HL44" s="21" t="n">
        <v>90.242</v>
      </c>
      <c r="HM44" s="21" t="n">
        <v>139.261</v>
      </c>
      <c r="HN44" s="21" t="n">
        <v>253.424</v>
      </c>
      <c r="HO44" s="21" t="n">
        <v>252.232</v>
      </c>
      <c r="HP44" s="21" t="n">
        <v>247.757</v>
      </c>
      <c r="HQ44" s="21" t="n">
        <v>268.816</v>
      </c>
      <c r="HR44" s="21" t="n">
        <v>262.084</v>
      </c>
      <c r="HS44" s="21" t="n">
        <v>234.088</v>
      </c>
      <c r="HT44" s="21" t="n">
        <v>143.763</v>
      </c>
      <c r="HU44" s="21" t="n">
        <v>122.174</v>
      </c>
      <c r="HV44" s="21" t="n">
        <v>173.501</v>
      </c>
      <c r="HW44" s="21" t="n">
        <v>164.003</v>
      </c>
      <c r="HX44" s="21" t="n">
        <v>392.277</v>
      </c>
      <c r="HY44" s="21" t="n">
        <v>286.067</v>
      </c>
      <c r="HZ44" s="21" t="n">
        <v>302.024</v>
      </c>
      <c r="IA44" s="21" t="n">
        <v>258.398</v>
      </c>
      <c r="IB44" s="21" t="n">
        <v>175.441</v>
      </c>
      <c r="IC44" s="21" t="n">
        <v>565.547</v>
      </c>
      <c r="ID44" s="21" t="n">
        <v>188.611</v>
      </c>
      <c r="IE44" s="21" t="n">
        <v>178.046</v>
      </c>
      <c r="IF44" s="21" t="n">
        <v>205.732</v>
      </c>
      <c r="IG44" s="21" t="n">
        <v>232.446</v>
      </c>
      <c r="IH44" s="21" t="n">
        <v>120.777</v>
      </c>
      <c r="II44" s="21" t="n">
        <v>259.36</v>
      </c>
      <c r="IJ44" s="21" t="n">
        <v>264.994</v>
      </c>
      <c r="IK44" s="21" t="n">
        <v>162.459</v>
      </c>
      <c r="IL44" s="21" t="n">
        <v>136.323</v>
      </c>
      <c r="IM44" s="21" t="n"/>
      <c r="IN44" s="21" t="n">
        <v>66.34</v>
      </c>
      <c r="IO44" s="21" t="n">
        <v>319.781</v>
      </c>
      <c r="IP44" s="21" t="n">
        <v>128.427</v>
      </c>
      <c r="IQ44" s="21" t="n">
        <v>485.193</v>
      </c>
      <c r="IR44" s="21" t="n">
        <v>381.954</v>
      </c>
      <c r="IS44" s="21" t="n">
        <v>125.075</v>
      </c>
      <c r="IT44" s="21" t="n">
        <v>528.865</v>
      </c>
      <c r="IU44" s="21" t="n">
        <v>96.95699999999999</v>
      </c>
      <c r="IV44" s="21" t="n">
        <v>100.349</v>
      </c>
      <c r="IW44" s="21" t="n">
        <v>518.277</v>
      </c>
      <c r="IX44" s="21" t="n">
        <v>378.837</v>
      </c>
      <c r="IY44" s="21" t="n">
        <v>380.404</v>
      </c>
      <c r="IZ44" s="21" t="n">
        <v>487.862</v>
      </c>
      <c r="JA44" s="21" t="n">
        <v>189.437</v>
      </c>
      <c r="JB44" s="21" t="n">
        <v>237.826</v>
      </c>
      <c r="JC44" s="21" t="n">
        <v>79.169</v>
      </c>
      <c r="JD44" s="21" t="n">
        <v>334.033</v>
      </c>
      <c r="JE44" s="21" t="n">
        <v>326.077</v>
      </c>
      <c r="JF44" s="21" t="n">
        <v>740.7190000000001</v>
      </c>
      <c r="JG44" s="21" t="n">
        <v>227.49</v>
      </c>
      <c r="JH44" s="21" t="n">
        <v>120.426</v>
      </c>
      <c r="JI44" s="21" t="n">
        <v>134.208</v>
      </c>
      <c r="JJ44" s="21" t="n">
        <v>119.272</v>
      </c>
      <c r="JK44" s="21" t="n">
        <v>103.973</v>
      </c>
      <c r="JL44" s="21" t="n">
        <v>192.583</v>
      </c>
      <c r="JM44" s="21" t="n">
        <v>468.929</v>
      </c>
      <c r="JN44" s="21" t="n">
        <v>119.589</v>
      </c>
      <c r="JO44" s="21" t="n">
        <v>72.58</v>
      </c>
      <c r="JP44" s="21" t="n">
        <v>37.48</v>
      </c>
      <c r="JQ44" s="21" t="n">
        <v>131.021</v>
      </c>
      <c r="JR44" s="21" t="n">
        <v>27.084</v>
      </c>
      <c r="JS44" s="21" t="n">
        <v>86.953</v>
      </c>
      <c r="JT44" s="21" t="n">
        <v>172.7</v>
      </c>
      <c r="JU44" s="21" t="n">
        <v>198.185</v>
      </c>
      <c r="JV44" s="21" t="n">
        <v>150.832</v>
      </c>
      <c r="JW44" s="21" t="n">
        <v>114.705</v>
      </c>
      <c r="JX44" s="21" t="n">
        <v>245.083</v>
      </c>
      <c r="JY44" s="21" t="n">
        <v>190.639</v>
      </c>
      <c r="JZ44" s="21" t="n">
        <v>256.895</v>
      </c>
      <c r="KA44" s="21" t="n">
        <v>111.927</v>
      </c>
      <c r="KB44" s="21" t="n">
        <v>151.566</v>
      </c>
      <c r="KC44" s="21" t="n">
        <v>78.709</v>
      </c>
      <c r="KD44" s="21" t="n">
        <v>72.913</v>
      </c>
      <c r="KE44" s="21" t="n">
        <v>52.022</v>
      </c>
      <c r="KF44" s="21" t="n"/>
      <c r="KG44" s="21" t="n">
        <v>21.798</v>
      </c>
      <c r="KH44" s="21" t="n">
        <v>121.688</v>
      </c>
      <c r="KI44" s="21" t="n">
        <v>128.891</v>
      </c>
      <c r="KJ44" s="21" t="n">
        <v>111.61</v>
      </c>
      <c r="KK44" s="21" t="n">
        <v>37.24</v>
      </c>
      <c r="KL44" s="21" t="n">
        <v>33.507</v>
      </c>
      <c r="KM44" s="21" t="n">
        <v>41.169</v>
      </c>
      <c r="KN44" s="21" t="n"/>
      <c r="KO44" s="21" t="n">
        <v>97.91500000000001</v>
      </c>
      <c r="KP44" s="21" t="n">
        <v>99.959</v>
      </c>
      <c r="KQ44" s="21" t="n">
        <v>168.72</v>
      </c>
      <c r="KR44" s="21" t="n">
        <v>138.538</v>
      </c>
      <c r="KS44" s="21" t="n">
        <v>389.439</v>
      </c>
      <c r="KT44" s="21" t="n">
        <v>184.789</v>
      </c>
      <c r="KU44" s="21" t="n">
        <v>225.795</v>
      </c>
      <c r="KV44" s="21" t="n">
        <v>308.812</v>
      </c>
      <c r="KW44" s="21" t="n">
        <v>249</v>
      </c>
      <c r="KX44" s="21" t="n">
        <v>178.686</v>
      </c>
      <c r="KY44" s="21" t="n">
        <v>96.72499999999999</v>
      </c>
      <c r="KZ44" s="21" t="n">
        <v>136.77</v>
      </c>
      <c r="LA44" s="21" t="n">
        <v>257.477</v>
      </c>
      <c r="LB44" s="21" t="n">
        <v>704.8680000000001</v>
      </c>
      <c r="LC44" s="21" t="n">
        <v>245.524</v>
      </c>
      <c r="LD44" s="21" t="n">
        <v>736.755</v>
      </c>
      <c r="LE44" s="21" t="n">
        <v>835.314</v>
      </c>
      <c r="LF44" s="21" t="n">
        <v>79.31699999999999</v>
      </c>
      <c r="LG44" s="21" t="n">
        <v>293.782</v>
      </c>
      <c r="LH44" s="21" t="n">
        <v>251.792</v>
      </c>
      <c r="LI44" s="21" t="n">
        <v>74.17100000000001</v>
      </c>
      <c r="LJ44" s="21" t="n">
        <v>185.214</v>
      </c>
      <c r="LK44" s="21" t="n">
        <v>289.966</v>
      </c>
      <c r="LL44" s="21" t="n">
        <v>310.752</v>
      </c>
      <c r="LM44" s="21" t="n">
        <v>70.267</v>
      </c>
      <c r="LN44" s="21" t="n">
        <v>90.878</v>
      </c>
      <c r="LO44" s="21" t="n">
        <v>47.872</v>
      </c>
      <c r="LP44" s="21" t="n">
        <v>117.791</v>
      </c>
      <c r="LQ44" s="21" t="n"/>
      <c r="LR44" s="21" t="n"/>
      <c r="LS44" s="21" t="n">
        <v>111.303</v>
      </c>
      <c r="LT44" s="21" t="n">
        <v>40.23</v>
      </c>
      <c r="LU44" s="21" t="n">
        <v>32.166</v>
      </c>
      <c r="LV44" s="21" t="n">
        <v>76.509</v>
      </c>
      <c r="LW44" s="21" t="n">
        <v>255.241</v>
      </c>
      <c r="LX44" s="21" t="n"/>
      <c r="LY44" s="21" t="n">
        <v>443.17</v>
      </c>
      <c r="LZ44" s="21" t="n">
        <v>67.02200000000001</v>
      </c>
      <c r="MA44" s="21" t="n">
        <v>434.71</v>
      </c>
      <c r="MB44" s="21" t="n">
        <v>271.651</v>
      </c>
      <c r="MC44" s="21" t="n">
        <v>231.655</v>
      </c>
      <c r="MD44" s="21" t="n">
        <v>161.265</v>
      </c>
      <c r="ME44" s="21" t="n">
        <v>102.046</v>
      </c>
      <c r="MF44" s="21" t="n">
        <v>186.493</v>
      </c>
      <c r="MG44" s="21" t="n">
        <v>265.283</v>
      </c>
      <c r="MH44" s="21" t="n">
        <v>161.866</v>
      </c>
      <c r="MI44" s="21" t="n">
        <v>441.092</v>
      </c>
      <c r="MJ44" s="21" t="n">
        <v>360.971</v>
      </c>
      <c r="MK44" s="21" t="n">
        <v>332.588</v>
      </c>
      <c r="ML44" s="21" t="n">
        <v>169.268</v>
      </c>
      <c r="MM44" s="21" t="n">
        <v>189.123</v>
      </c>
      <c r="MN44" s="21" t="n">
        <v>363.077</v>
      </c>
      <c r="MO44" s="21" t="n">
        <v>172.02</v>
      </c>
      <c r="MP44" s="21" t="n">
        <v>254.456</v>
      </c>
      <c r="MQ44" s="21" t="n">
        <v>75.64100000000001</v>
      </c>
      <c r="MR44" s="21" t="n">
        <v>150.093</v>
      </c>
      <c r="MS44" s="21" t="n">
        <v>73.018</v>
      </c>
      <c r="MT44" s="21" t="n">
        <v>240.812</v>
      </c>
      <c r="MU44" s="21" t="n">
        <v>256.545</v>
      </c>
      <c r="MV44" s="21" t="n">
        <v>251.716</v>
      </c>
      <c r="MW44" s="21" t="n">
        <v>257.867</v>
      </c>
      <c r="MX44" s="21" t="n">
        <v>232.755</v>
      </c>
      <c r="MY44" s="21" t="n">
        <v>227.132</v>
      </c>
      <c r="MZ44" s="21" t="n">
        <v>229.748</v>
      </c>
      <c r="NA44" s="21" t="n">
        <v>235.146</v>
      </c>
      <c r="NB44" s="21" t="n">
        <v>115.346</v>
      </c>
      <c r="NC44" s="21" t="n">
        <v>185.531</v>
      </c>
      <c r="ND44" s="21" t="n">
        <v>154.761</v>
      </c>
      <c r="NE44" s="21" t="n">
        <v>151.492</v>
      </c>
      <c r="NF44" s="21" t="n">
        <v>143.861</v>
      </c>
      <c r="NG44" s="21" t="n">
        <v>144.792</v>
      </c>
      <c r="NH44" s="21" t="n">
        <v>248.112</v>
      </c>
      <c r="NI44" s="21" t="n">
        <v>104.864</v>
      </c>
      <c r="NJ44" s="21" t="n">
        <v>75.258</v>
      </c>
      <c r="NK44" s="21" t="n">
        <v>109.592</v>
      </c>
      <c r="NL44" s="21" t="n">
        <v>227.107</v>
      </c>
      <c r="NM44" s="21" t="n">
        <v>257.338</v>
      </c>
      <c r="NN44" s="21" t="n">
        <v>89.551</v>
      </c>
      <c r="NO44" s="21" t="n">
        <v>54.472</v>
      </c>
      <c r="NP44" s="21" t="n">
        <v>227.018</v>
      </c>
      <c r="NQ44" s="21" t="n">
        <v>203.811</v>
      </c>
      <c r="NR44" s="21" t="n">
        <v>252.33</v>
      </c>
      <c r="NS44" s="21" t="n">
        <v>200.994</v>
      </c>
      <c r="NT44" s="21" t="n">
        <v>254.009</v>
      </c>
      <c r="NU44" s="21" t="n">
        <v>112.392</v>
      </c>
      <c r="NV44" s="21" t="n">
        <v>122.529</v>
      </c>
      <c r="NW44" s="21" t="n">
        <v>353.05</v>
      </c>
      <c r="NX44" s="21" t="n">
        <v>80.762</v>
      </c>
      <c r="NY44" s="21" t="n">
        <v>121.741</v>
      </c>
      <c r="NZ44" s="21" t="n">
        <v>321.421</v>
      </c>
      <c r="OA44" s="21" t="n">
        <v>317.482</v>
      </c>
      <c r="OB44" s="21" t="n">
        <v>328.641</v>
      </c>
      <c r="OC44" s="21" t="n">
        <v>302.229</v>
      </c>
      <c r="OD44" s="21" t="n">
        <v>337.46</v>
      </c>
      <c r="OE44" s="21" t="n">
        <v>104.86</v>
      </c>
      <c r="OF44" s="21" t="n">
        <v>322.842</v>
      </c>
      <c r="OG44" s="21" t="n">
        <v>218.686</v>
      </c>
      <c r="OH44" s="21" t="n">
        <v>43.705</v>
      </c>
      <c r="OI44" s="21" t="n">
        <v>124.847</v>
      </c>
      <c r="OJ44" s="21" t="n">
        <v>39.7</v>
      </c>
      <c r="OK44" s="21" t="n">
        <v>13.2</v>
      </c>
    </row>
    <row r="45">
      <c r="A45" s="22" t="n">
        <v>43313</v>
      </c>
      <c r="B45" s="21" t="n">
        <v>252.146</v>
      </c>
      <c r="C45" s="21" t="n">
        <v>755.317</v>
      </c>
      <c r="D45" s="21" t="n">
        <v>253.779</v>
      </c>
      <c r="E45" s="21" t="n">
        <v>254.077</v>
      </c>
      <c r="F45" s="21" t="n">
        <v>240.015</v>
      </c>
      <c r="G45" s="21" t="n">
        <v>273.338</v>
      </c>
      <c r="H45" s="21" t="n">
        <v>228.555</v>
      </c>
      <c r="I45" s="21" t="n">
        <v>240.13</v>
      </c>
      <c r="J45" s="21" t="n">
        <v>221.101</v>
      </c>
      <c r="K45" s="21" t="n">
        <v>239.961</v>
      </c>
      <c r="L45" s="21" t="n">
        <v>164.256</v>
      </c>
      <c r="M45" s="21" t="n">
        <v>298.989</v>
      </c>
      <c r="N45" s="21" t="n">
        <v>180.078</v>
      </c>
      <c r="O45" s="21" t="n">
        <v>324.792</v>
      </c>
      <c r="P45" s="21" t="n">
        <v>350.437</v>
      </c>
      <c r="Q45" s="21" t="n">
        <v>177.925</v>
      </c>
      <c r="R45" s="21" t="n">
        <v>283.752</v>
      </c>
      <c r="S45" s="21" t="n">
        <v>306.887</v>
      </c>
      <c r="T45" s="21" t="n">
        <v>265.099</v>
      </c>
      <c r="U45" s="21" t="n">
        <v>266.019</v>
      </c>
      <c r="V45" s="21" t="n">
        <v>299.402</v>
      </c>
      <c r="W45" s="21" t="n">
        <v>306.317</v>
      </c>
      <c r="X45" s="21" t="n">
        <v>265.621</v>
      </c>
      <c r="Y45" s="21" t="n">
        <v>250.743</v>
      </c>
      <c r="Z45" s="21" t="n">
        <v>252.887</v>
      </c>
      <c r="AA45" s="21" t="n">
        <v>254.583</v>
      </c>
      <c r="AB45" s="21" t="n">
        <v>307.298</v>
      </c>
      <c r="AC45" s="21" t="n">
        <v>270.035</v>
      </c>
      <c r="AD45" s="21" t="n">
        <v>234.675</v>
      </c>
      <c r="AE45" s="21" t="n">
        <v>207.486</v>
      </c>
      <c r="AF45" s="21" t="n">
        <v>243.68</v>
      </c>
      <c r="AG45" s="21" t="n">
        <v>213.421</v>
      </c>
      <c r="AH45" s="21" t="n">
        <v>159.754</v>
      </c>
      <c r="AI45" s="21" t="n">
        <v>300.322</v>
      </c>
      <c r="AJ45" s="21" t="n">
        <v>143.751</v>
      </c>
      <c r="AK45" s="21" t="n">
        <v>203.159</v>
      </c>
      <c r="AL45" s="21" t="n">
        <v>227.895</v>
      </c>
      <c r="AM45" s="21" t="n">
        <v>192.279</v>
      </c>
      <c r="AN45" s="21" t="n">
        <v>128.615</v>
      </c>
      <c r="AO45" s="21" t="n">
        <v>221.009</v>
      </c>
      <c r="AP45" s="21" t="n">
        <v>221.276</v>
      </c>
      <c r="AQ45" s="21" t="n">
        <v>143.098</v>
      </c>
      <c r="AR45" s="21" t="n"/>
      <c r="AS45" s="21" t="n"/>
      <c r="AT45" s="21" t="n">
        <v>232.327</v>
      </c>
      <c r="AU45" s="21" t="n">
        <v>150.341</v>
      </c>
      <c r="AV45" s="21" t="n">
        <v>249.85</v>
      </c>
      <c r="AW45" s="21" t="n">
        <v>223.455</v>
      </c>
      <c r="AX45" s="21" t="n">
        <v>147.647</v>
      </c>
      <c r="AY45" s="21" t="n">
        <v>297.855</v>
      </c>
      <c r="AZ45" s="21" t="n">
        <v>185.783</v>
      </c>
      <c r="BA45" s="21" t="n">
        <v>148.223</v>
      </c>
      <c r="BB45" s="21" t="n">
        <v>212.22</v>
      </c>
      <c r="BC45" s="21" t="n">
        <v>305.846</v>
      </c>
      <c r="BD45" s="21" t="n">
        <v>223.5</v>
      </c>
      <c r="BE45" s="21" t="n">
        <v>216.435</v>
      </c>
      <c r="BF45" s="21" t="n">
        <v>136.946</v>
      </c>
      <c r="BG45" s="21" t="n">
        <v>195.586</v>
      </c>
      <c r="BH45" s="21" t="n">
        <v>141.423</v>
      </c>
      <c r="BI45" s="21" t="n">
        <v>228.958</v>
      </c>
      <c r="BJ45" s="21" t="n">
        <v>217.72</v>
      </c>
      <c r="BK45" s="21" t="n">
        <v>148.007</v>
      </c>
      <c r="BL45" s="21" t="n">
        <v>297.644</v>
      </c>
      <c r="BM45" s="21" t="n">
        <v>344.783</v>
      </c>
      <c r="BN45" s="21" t="n">
        <v>363.832</v>
      </c>
      <c r="BO45" s="21" t="n">
        <v>349.585</v>
      </c>
      <c r="BP45" s="21" t="n">
        <v>196.087</v>
      </c>
      <c r="BQ45" s="21" t="n">
        <v>287.491</v>
      </c>
      <c r="BR45" s="21" t="n">
        <v>580.931</v>
      </c>
      <c r="BS45" s="21" t="n">
        <v>110.003</v>
      </c>
      <c r="BT45" s="21" t="n">
        <v>323.548</v>
      </c>
      <c r="BU45" s="21" t="n">
        <v>356.733</v>
      </c>
      <c r="BV45" s="21" t="n">
        <v>291.034</v>
      </c>
      <c r="BW45" s="21" t="n">
        <v>322.013</v>
      </c>
      <c r="BX45" s="21" t="n">
        <v>327</v>
      </c>
      <c r="BY45" s="21" t="n">
        <v>156.249</v>
      </c>
      <c r="BZ45" s="21" t="n">
        <v>161.316</v>
      </c>
      <c r="CA45" s="21" t="n">
        <v>156.081</v>
      </c>
      <c r="CB45" s="21" t="n">
        <v>170.489</v>
      </c>
      <c r="CC45" s="21" t="n">
        <v>146.043</v>
      </c>
      <c r="CD45" s="21" t="n">
        <v>200.335</v>
      </c>
      <c r="CE45" s="21" t="n">
        <v>157.423</v>
      </c>
      <c r="CF45" s="21" t="n">
        <v>190.928</v>
      </c>
      <c r="CG45" s="21" t="n">
        <v>167.231</v>
      </c>
      <c r="CH45" s="21" t="n">
        <v>129.184</v>
      </c>
      <c r="CI45" s="21" t="n">
        <v>164.77</v>
      </c>
      <c r="CJ45" s="21" t="n">
        <v>180.312</v>
      </c>
      <c r="CK45" s="21" t="n">
        <v>116.253</v>
      </c>
      <c r="CL45" s="21" t="n">
        <v>117.071</v>
      </c>
      <c r="CM45" s="21" t="n">
        <v>195.593</v>
      </c>
      <c r="CN45" s="21" t="n">
        <v>204.126</v>
      </c>
      <c r="CO45" s="21" t="n">
        <v>189.013</v>
      </c>
      <c r="CP45" s="21" t="n">
        <v>128.885</v>
      </c>
      <c r="CQ45" s="21" t="n">
        <v>210.158</v>
      </c>
      <c r="CR45" s="21" t="n">
        <v>214.046</v>
      </c>
      <c r="CS45" s="21" t="n">
        <v>189.489</v>
      </c>
      <c r="CT45" s="21" t="n">
        <v>144.084</v>
      </c>
      <c r="CU45" s="21" t="n">
        <v>151.682</v>
      </c>
      <c r="CV45" s="21" t="n">
        <v>228.672</v>
      </c>
      <c r="CW45" s="21" t="n">
        <v>205.854</v>
      </c>
      <c r="CX45" s="21" t="n">
        <v>245.161</v>
      </c>
      <c r="CY45" s="21" t="n">
        <v>298.755</v>
      </c>
      <c r="CZ45" s="21" t="n">
        <v>128.793</v>
      </c>
      <c r="DA45" s="21" t="n">
        <v>159.468</v>
      </c>
      <c r="DB45" s="21" t="n">
        <v>158.6</v>
      </c>
      <c r="DC45" s="21" t="n">
        <v>224.865</v>
      </c>
      <c r="DD45" s="21" t="n">
        <v>249.618</v>
      </c>
      <c r="DE45" s="21" t="n">
        <v>167.184</v>
      </c>
      <c r="DF45" s="21" t="n">
        <v>253.207</v>
      </c>
      <c r="DG45" s="21" t="n">
        <v>242.136</v>
      </c>
      <c r="DH45" s="21" t="n">
        <v>153.872</v>
      </c>
      <c r="DI45" s="21" t="n">
        <v>141.841</v>
      </c>
      <c r="DJ45" s="21" t="n">
        <v>138.692</v>
      </c>
      <c r="DK45" s="21" t="n">
        <v>276.475</v>
      </c>
      <c r="DL45" s="21" t="n">
        <v>160.661</v>
      </c>
      <c r="DM45" s="21" t="n">
        <v>131.068</v>
      </c>
      <c r="DN45" s="21" t="n">
        <v>127.26</v>
      </c>
      <c r="DO45" s="21" t="n">
        <v>276.648</v>
      </c>
      <c r="DP45" s="21" t="n">
        <v>171.465</v>
      </c>
      <c r="DQ45" s="21" t="n">
        <v>176.991</v>
      </c>
      <c r="DR45" s="21" t="n">
        <v>178.979</v>
      </c>
      <c r="DS45" s="21" t="n">
        <v>147.594</v>
      </c>
      <c r="DT45" s="21" t="n">
        <v>159.745</v>
      </c>
      <c r="DU45" s="21" t="n">
        <v>192.907</v>
      </c>
      <c r="DV45" s="21" t="n">
        <v>248.407</v>
      </c>
      <c r="DW45" s="21" t="n">
        <v>201.492</v>
      </c>
      <c r="DX45" s="21" t="n">
        <v>224.117</v>
      </c>
      <c r="DY45" s="21" t="n">
        <v>192.935</v>
      </c>
      <c r="DZ45" s="21" t="n">
        <v>206.643</v>
      </c>
      <c r="EA45" s="21" t="n">
        <v>187.572</v>
      </c>
      <c r="EB45" s="21" t="n">
        <v>169.093</v>
      </c>
      <c r="EC45" s="21" t="n">
        <v>351.155</v>
      </c>
      <c r="ED45" s="21" t="n">
        <v>173.403</v>
      </c>
      <c r="EE45" s="21" t="n">
        <v>189.154</v>
      </c>
      <c r="EF45" s="21" t="n">
        <v>189.108</v>
      </c>
      <c r="EG45" s="21" t="n">
        <v>259.884</v>
      </c>
      <c r="EH45" s="21" t="n">
        <v>309.296</v>
      </c>
      <c r="EI45" s="21" t="n">
        <v>320.651</v>
      </c>
      <c r="EJ45" s="21" t="n">
        <v>168.4</v>
      </c>
      <c r="EK45" s="21" t="n">
        <v>551.67</v>
      </c>
      <c r="EL45" s="21" t="n">
        <v>346.162</v>
      </c>
      <c r="EM45" s="21" t="n">
        <v>316.401</v>
      </c>
      <c r="EN45" s="21" t="n">
        <v>316.415</v>
      </c>
      <c r="EO45" s="21" t="n">
        <v>151.975</v>
      </c>
      <c r="EP45" s="21" t="n">
        <v>245.052</v>
      </c>
      <c r="EQ45" s="21" t="n">
        <v>204.275</v>
      </c>
      <c r="ER45" s="21" t="n">
        <v>290.343</v>
      </c>
      <c r="ES45" s="21" t="n">
        <v>296.617</v>
      </c>
      <c r="ET45" s="21" t="n">
        <v>331.968</v>
      </c>
      <c r="EU45" s="21" t="n">
        <v>207.617</v>
      </c>
      <c r="EV45" s="21" t="n">
        <v>217.967</v>
      </c>
      <c r="EW45" s="21" t="n">
        <v>173.867</v>
      </c>
      <c r="EX45" s="21" t="n">
        <v>238.439</v>
      </c>
      <c r="EY45" s="21" t="n">
        <v>553.374</v>
      </c>
      <c r="EZ45" s="21" t="n">
        <v>470.457</v>
      </c>
      <c r="FA45" s="21" t="n">
        <v>121.138</v>
      </c>
      <c r="FB45" s="21" t="n">
        <v>56.702</v>
      </c>
      <c r="FC45" s="21" t="n">
        <v>111.356</v>
      </c>
      <c r="FD45" s="21" t="n">
        <v>62.393</v>
      </c>
      <c r="FE45" s="21" t="n">
        <v>43.502</v>
      </c>
      <c r="FF45" s="21" t="n">
        <v>110.27</v>
      </c>
      <c r="FG45" s="21" t="n">
        <v>127.756</v>
      </c>
      <c r="FH45" s="21" t="n">
        <v>84.71299999999999</v>
      </c>
      <c r="FI45" s="21" t="n">
        <v>66.46599999999999</v>
      </c>
      <c r="FJ45" s="21" t="n">
        <v>93.621</v>
      </c>
      <c r="FK45" s="21" t="n">
        <v>76.63200000000001</v>
      </c>
      <c r="FL45" s="21" t="n">
        <v>84.27200000000001</v>
      </c>
      <c r="FM45" s="21" t="n">
        <v>99.39</v>
      </c>
      <c r="FN45" s="21" t="n">
        <v>65.688</v>
      </c>
      <c r="FO45" s="21" t="n">
        <v>50.355</v>
      </c>
      <c r="FP45" s="21" t="n">
        <v>36.834</v>
      </c>
      <c r="FQ45" s="21" t="n">
        <v>129.29</v>
      </c>
      <c r="FR45" s="21" t="n">
        <v>46.615</v>
      </c>
      <c r="FS45" s="21" t="n">
        <v>82.904</v>
      </c>
      <c r="FT45" s="21" t="n">
        <v>89.172</v>
      </c>
      <c r="FU45" s="21" t="n">
        <v>98.015</v>
      </c>
      <c r="FV45" s="21" t="n">
        <v>84.959</v>
      </c>
      <c r="FW45" s="21" t="n">
        <v>187.126</v>
      </c>
      <c r="FX45" s="21" t="n">
        <v>119.251</v>
      </c>
      <c r="FY45" s="21" t="n">
        <v>170.482</v>
      </c>
      <c r="FZ45" s="21" t="n">
        <v>118.488</v>
      </c>
      <c r="GA45" s="21" t="n">
        <v>186.868</v>
      </c>
      <c r="GB45" s="21" t="n">
        <v>165.788</v>
      </c>
      <c r="GC45" s="21" t="n">
        <v>195.46</v>
      </c>
      <c r="GD45" s="21" t="n">
        <v>167.399</v>
      </c>
      <c r="GE45" s="21" t="n">
        <v>252.093</v>
      </c>
      <c r="GF45" s="21" t="n">
        <v>122.447</v>
      </c>
      <c r="GG45" s="21" t="n">
        <v>114.297</v>
      </c>
      <c r="GH45" s="21" t="n">
        <v>117.879</v>
      </c>
      <c r="GI45" s="21" t="n">
        <v>101.868</v>
      </c>
      <c r="GJ45" s="21" t="n">
        <v>158.384</v>
      </c>
      <c r="GK45" s="21" t="n">
        <v>74.41200000000001</v>
      </c>
      <c r="GL45" s="21" t="n">
        <v>114.127</v>
      </c>
      <c r="GM45" s="21" t="n">
        <v>100.056</v>
      </c>
      <c r="GN45" s="21" t="n">
        <v>105.799</v>
      </c>
      <c r="GO45" s="21" t="n">
        <v>108.902</v>
      </c>
      <c r="GP45" s="21" t="n">
        <v>99.895</v>
      </c>
      <c r="GQ45" s="21" t="n">
        <v>124.246</v>
      </c>
      <c r="GR45" s="21" t="n">
        <v>73.90300000000001</v>
      </c>
      <c r="GS45" s="21" t="n">
        <v>105.463</v>
      </c>
      <c r="GT45" s="21" t="n">
        <v>90.26300000000001</v>
      </c>
      <c r="GU45" s="21" t="n">
        <v>136.077</v>
      </c>
      <c r="GV45" s="21" t="n">
        <v>141.127</v>
      </c>
      <c r="GW45" s="21" t="n">
        <v>156.855</v>
      </c>
      <c r="GX45" s="21" t="n">
        <v>122.33</v>
      </c>
      <c r="GY45" s="21" t="n">
        <v>118.55</v>
      </c>
      <c r="GZ45" s="21" t="n">
        <v>173.258</v>
      </c>
      <c r="HA45" s="21" t="n">
        <v>136.713</v>
      </c>
      <c r="HB45" s="21" t="n">
        <v>177.239</v>
      </c>
      <c r="HC45" s="21" t="n">
        <v>213.482</v>
      </c>
      <c r="HD45" s="21" t="n">
        <v>209.725</v>
      </c>
      <c r="HE45" s="21" t="n">
        <v>99.985</v>
      </c>
      <c r="HF45" s="21" t="n">
        <v>146.149</v>
      </c>
      <c r="HG45" s="21" t="n">
        <v>101.277</v>
      </c>
      <c r="HH45" s="21" t="n">
        <v>141.841</v>
      </c>
      <c r="HI45" s="21" t="n">
        <v>155.64</v>
      </c>
      <c r="HJ45" s="21" t="n"/>
      <c r="HK45" s="21" t="n">
        <v>141.095</v>
      </c>
      <c r="HL45" s="21" t="n">
        <v>90.27200000000001</v>
      </c>
      <c r="HM45" s="21" t="n">
        <v>135.243</v>
      </c>
      <c r="HN45" s="21" t="n">
        <v>252.546</v>
      </c>
      <c r="HO45" s="21" t="n">
        <v>251.367</v>
      </c>
      <c r="HP45" s="21" t="n">
        <v>246.932</v>
      </c>
      <c r="HQ45" s="21" t="n">
        <v>267.713</v>
      </c>
      <c r="HR45" s="21" t="n">
        <v>261.04</v>
      </c>
      <c r="HS45" s="21" t="n">
        <v>232.906</v>
      </c>
      <c r="HT45" s="21" t="n">
        <v>143.927</v>
      </c>
      <c r="HU45" s="21" t="n">
        <v>122.134</v>
      </c>
      <c r="HV45" s="21" t="n">
        <v>174.063</v>
      </c>
      <c r="HW45" s="21" t="n">
        <v>164.071</v>
      </c>
      <c r="HX45" s="21" t="n">
        <v>397.113</v>
      </c>
      <c r="HY45" s="21" t="n">
        <v>286.931</v>
      </c>
      <c r="HZ45" s="21" t="n">
        <v>303.956</v>
      </c>
      <c r="IA45" s="21" t="n">
        <v>259.308</v>
      </c>
      <c r="IB45" s="21" t="n">
        <v>175.731</v>
      </c>
      <c r="IC45" s="21" t="n">
        <v>565.1130000000001</v>
      </c>
      <c r="ID45" s="21" t="n">
        <v>189.229</v>
      </c>
      <c r="IE45" s="21" t="n">
        <v>178.746</v>
      </c>
      <c r="IF45" s="21" t="n">
        <v>206.245</v>
      </c>
      <c r="IG45" s="21" t="n">
        <v>233.264</v>
      </c>
      <c r="IH45" s="21" t="n">
        <v>120.767</v>
      </c>
      <c r="II45" s="21" t="n">
        <v>253.387</v>
      </c>
      <c r="IJ45" s="21" t="n">
        <v>255.877</v>
      </c>
      <c r="IK45" s="21" t="n">
        <v>159.321</v>
      </c>
      <c r="IL45" s="21" t="n">
        <v>129.011</v>
      </c>
      <c r="IM45" s="21" t="n"/>
      <c r="IN45" s="21" t="n">
        <v>65.797</v>
      </c>
      <c r="IO45" s="21" t="n">
        <v>320.866</v>
      </c>
      <c r="IP45" s="21" t="n">
        <v>128.434</v>
      </c>
      <c r="IQ45" s="21" t="n">
        <v>484.172</v>
      </c>
      <c r="IR45" s="21" t="n">
        <v>382.171</v>
      </c>
      <c r="IS45" s="21" t="n">
        <v>125.183</v>
      </c>
      <c r="IT45" s="21" t="n">
        <v>530.165</v>
      </c>
      <c r="IU45" s="21" t="n">
        <v>96.44499999999999</v>
      </c>
      <c r="IV45" s="21" t="n">
        <v>99.53</v>
      </c>
      <c r="IW45" s="21" t="n">
        <v>516.841</v>
      </c>
      <c r="IX45" s="21" t="n">
        <v>377.845</v>
      </c>
      <c r="IY45" s="21" t="n">
        <v>380.143</v>
      </c>
      <c r="IZ45" s="21" t="n">
        <v>483.471</v>
      </c>
      <c r="JA45" s="21" t="n">
        <v>189.641</v>
      </c>
      <c r="JB45" s="21" t="n">
        <v>237.499</v>
      </c>
      <c r="JC45" s="21" t="n">
        <v>78.95699999999999</v>
      </c>
      <c r="JD45" s="21" t="n">
        <v>332.708</v>
      </c>
      <c r="JE45" s="21" t="n">
        <v>324.879</v>
      </c>
      <c r="JF45" s="21" t="n">
        <v>736.52</v>
      </c>
      <c r="JG45" s="21" t="n">
        <v>229.161</v>
      </c>
      <c r="JH45" s="21" t="n">
        <v>121.622</v>
      </c>
      <c r="JI45" s="21" t="n">
        <v>133.741</v>
      </c>
      <c r="JJ45" s="21" t="n">
        <v>118.972</v>
      </c>
      <c r="JK45" s="21" t="n">
        <v>103.991</v>
      </c>
      <c r="JL45" s="21" t="n">
        <v>189.989</v>
      </c>
      <c r="JM45" s="21" t="n">
        <v>470.559</v>
      </c>
      <c r="JN45" s="21" t="n">
        <v>119.937</v>
      </c>
      <c r="JO45" s="21" t="n">
        <v>70.76900000000001</v>
      </c>
      <c r="JP45" s="21" t="n">
        <v>36.037</v>
      </c>
      <c r="JQ45" s="21" t="n">
        <v>131.182</v>
      </c>
      <c r="JR45" s="21" t="n">
        <v>26.449</v>
      </c>
      <c r="JS45" s="21" t="n">
        <v>86.44</v>
      </c>
      <c r="JT45" s="21" t="n">
        <v>172.538</v>
      </c>
      <c r="JU45" s="21" t="n">
        <v>198.083</v>
      </c>
      <c r="JV45" s="21" t="n">
        <v>150.306</v>
      </c>
      <c r="JW45" s="21" t="n">
        <v>115.092</v>
      </c>
      <c r="JX45" s="21" t="n">
        <v>244.701</v>
      </c>
      <c r="JY45" s="21" t="n">
        <v>189.382</v>
      </c>
      <c r="JZ45" s="21" t="n">
        <v>256.902</v>
      </c>
      <c r="KA45" s="21" t="n">
        <v>110.968</v>
      </c>
      <c r="KB45" s="21" t="n">
        <v>148.859</v>
      </c>
      <c r="KC45" s="21" t="n">
        <v>79.04600000000001</v>
      </c>
      <c r="KD45" s="21" t="n">
        <v>73.934</v>
      </c>
      <c r="KE45" s="21" t="n">
        <v>53.191</v>
      </c>
      <c r="KF45" s="21" t="n"/>
      <c r="KG45" s="21" t="n">
        <v>22.093</v>
      </c>
      <c r="KH45" s="21" t="n">
        <v>122.518</v>
      </c>
      <c r="KI45" s="21" t="n">
        <v>128.891</v>
      </c>
      <c r="KJ45" s="21" t="n">
        <v>113.342</v>
      </c>
      <c r="KK45" s="21" t="n">
        <v>36.798</v>
      </c>
      <c r="KL45" s="21" t="n">
        <v>33.004</v>
      </c>
      <c r="KM45" s="21" t="n">
        <v>40.428</v>
      </c>
      <c r="KN45" s="21" t="n"/>
      <c r="KO45" s="21" t="n">
        <v>96.193</v>
      </c>
      <c r="KP45" s="21" t="n">
        <v>101.599</v>
      </c>
      <c r="KQ45" s="21" t="n">
        <v>168.107</v>
      </c>
      <c r="KR45" s="21" t="n">
        <v>139.263</v>
      </c>
      <c r="KS45" s="21" t="n">
        <v>383.775</v>
      </c>
      <c r="KT45" s="21" t="n">
        <v>183.542</v>
      </c>
      <c r="KU45" s="21" t="n">
        <v>223.252</v>
      </c>
      <c r="KV45" s="21" t="n">
        <v>308.338</v>
      </c>
      <c r="KW45" s="21" t="n">
        <v>249.478</v>
      </c>
      <c r="KX45" s="21" t="n">
        <v>179.272</v>
      </c>
      <c r="KY45" s="21" t="n">
        <v>96.71299999999999</v>
      </c>
      <c r="KZ45" s="21" t="n">
        <v>137.336</v>
      </c>
      <c r="LA45" s="21" t="n">
        <v>260.613</v>
      </c>
      <c r="LB45" s="21" t="n">
        <v>697.221</v>
      </c>
      <c r="LC45" s="21" t="n">
        <v>242.673</v>
      </c>
      <c r="LD45" s="21" t="n">
        <v>746.5170000000001</v>
      </c>
      <c r="LE45" s="21" t="n">
        <v>847.0839999999999</v>
      </c>
      <c r="LF45" s="21" t="n">
        <v>80.90000000000001</v>
      </c>
      <c r="LG45" s="21" t="n">
        <v>296.443</v>
      </c>
      <c r="LH45" s="21" t="n">
        <v>252.758</v>
      </c>
      <c r="LI45" s="21" t="n">
        <v>73.983</v>
      </c>
      <c r="LJ45" s="21" t="n">
        <v>185.231</v>
      </c>
      <c r="LK45" s="21" t="n">
        <v>289.966</v>
      </c>
      <c r="LL45" s="21" t="n">
        <v>310.969</v>
      </c>
      <c r="LM45" s="21" t="n">
        <v>70.083</v>
      </c>
      <c r="LN45" s="21" t="n">
        <v>90.51600000000001</v>
      </c>
      <c r="LO45" s="21" t="n">
        <v>47.657</v>
      </c>
      <c r="LP45" s="21" t="n">
        <v>117.499</v>
      </c>
      <c r="LQ45" s="21" t="n"/>
      <c r="LR45" s="21" t="n"/>
      <c r="LS45" s="21" t="n">
        <v>111.301</v>
      </c>
      <c r="LT45" s="21" t="n">
        <v>40.575</v>
      </c>
      <c r="LU45" s="21" t="n">
        <v>32.186</v>
      </c>
      <c r="LV45" s="21" t="n">
        <v>76.36799999999999</v>
      </c>
      <c r="LW45" s="21" t="n">
        <v>251.217</v>
      </c>
      <c r="LX45" s="21" t="n"/>
      <c r="LY45" s="21" t="n">
        <v>442.934</v>
      </c>
      <c r="LZ45" s="21" t="n">
        <v>67.09699999999999</v>
      </c>
      <c r="MA45" s="21" t="n">
        <v>434.791</v>
      </c>
      <c r="MB45" s="21" t="n">
        <v>274.451</v>
      </c>
      <c r="MC45" s="21" t="n">
        <v>231.433</v>
      </c>
      <c r="MD45" s="21" t="n">
        <v>161.302</v>
      </c>
      <c r="ME45" s="21" t="n">
        <v>102.519</v>
      </c>
      <c r="MF45" s="21" t="n">
        <v>185.514</v>
      </c>
      <c r="MG45" s="21" t="n">
        <v>265.052</v>
      </c>
      <c r="MH45" s="21" t="n">
        <v>161.725</v>
      </c>
      <c r="MI45" s="21" t="n">
        <v>441.857</v>
      </c>
      <c r="MJ45" s="21" t="n">
        <v>360.971</v>
      </c>
      <c r="MK45" s="21" t="n">
        <v>333.453</v>
      </c>
      <c r="ML45" s="21" t="n">
        <v>169.86</v>
      </c>
      <c r="MM45" s="21" t="n">
        <v>190.443</v>
      </c>
      <c r="MN45" s="21" t="n">
        <v>363.425</v>
      </c>
      <c r="MO45" s="21" t="n">
        <v>172.262</v>
      </c>
      <c r="MP45" s="21" t="n">
        <v>254.029</v>
      </c>
      <c r="MQ45" s="21" t="n">
        <v>74.29900000000001</v>
      </c>
      <c r="MR45" s="21" t="n">
        <v>146.243</v>
      </c>
      <c r="MS45" s="21" t="n">
        <v>72.98699999999999</v>
      </c>
      <c r="MT45" s="21" t="n">
        <v>241.006</v>
      </c>
      <c r="MU45" s="21" t="n">
        <v>256.717</v>
      </c>
      <c r="MV45" s="21" t="n">
        <v>251.827</v>
      </c>
      <c r="MW45" s="21" t="n">
        <v>258.012</v>
      </c>
      <c r="MX45" s="21" t="n">
        <v>232.615</v>
      </c>
      <c r="MY45" s="21" t="n">
        <v>226.89</v>
      </c>
      <c r="MZ45" s="21" t="n">
        <v>229.489</v>
      </c>
      <c r="NA45" s="21" t="n">
        <v>234.829</v>
      </c>
      <c r="NB45" s="21" t="n">
        <v>114.812</v>
      </c>
      <c r="NC45" s="21" t="n">
        <v>185.366</v>
      </c>
      <c r="ND45" s="21" t="n">
        <v>154.439</v>
      </c>
      <c r="NE45" s="21" t="n">
        <v>151.165</v>
      </c>
      <c r="NF45" s="21" t="n">
        <v>143.599</v>
      </c>
      <c r="NG45" s="21" t="n">
        <v>144.432</v>
      </c>
      <c r="NH45" s="21" t="n">
        <v>248.105</v>
      </c>
      <c r="NI45" s="21" t="n">
        <v>104.669</v>
      </c>
      <c r="NJ45" s="21" t="n">
        <v>75.255</v>
      </c>
      <c r="NK45" s="21" t="n">
        <v>110.087</v>
      </c>
      <c r="NL45" s="21" t="n">
        <v>226.939</v>
      </c>
      <c r="NM45" s="21" t="n">
        <v>256.52</v>
      </c>
      <c r="NN45" s="21" t="n">
        <v>89.238</v>
      </c>
      <c r="NO45" s="21" t="n">
        <v>54.659</v>
      </c>
      <c r="NP45" s="21" t="n">
        <v>226.897</v>
      </c>
      <c r="NQ45" s="21" t="n">
        <v>203.356</v>
      </c>
      <c r="NR45" s="21" t="n">
        <v>251.828</v>
      </c>
      <c r="NS45" s="21" t="n">
        <v>200.517</v>
      </c>
      <c r="NT45" s="21" t="n">
        <v>253.462</v>
      </c>
      <c r="NU45" s="21" t="n">
        <v>112.182</v>
      </c>
      <c r="NV45" s="21" t="n">
        <v>122.62</v>
      </c>
      <c r="NW45" s="21" t="n">
        <v>353.802</v>
      </c>
      <c r="NX45" s="21" t="n">
        <v>80.304</v>
      </c>
      <c r="NY45" s="21" t="n">
        <v>121.616</v>
      </c>
      <c r="NZ45" s="21" t="n">
        <v>322.368</v>
      </c>
      <c r="OA45" s="21" t="n">
        <v>317.932</v>
      </c>
      <c r="OB45" s="21" t="n">
        <v>329.086</v>
      </c>
      <c r="OC45" s="21" t="n">
        <v>302.815</v>
      </c>
      <c r="OD45" s="21" t="n">
        <v>337.384</v>
      </c>
      <c r="OE45" s="21" t="n">
        <v>104.827</v>
      </c>
      <c r="OF45" s="21" t="n">
        <v>321.387</v>
      </c>
      <c r="OG45" s="21" t="n">
        <v>218.312</v>
      </c>
      <c r="OH45" s="21" t="n">
        <v>43.207</v>
      </c>
      <c r="OI45" s="21" t="n">
        <v>125.086</v>
      </c>
      <c r="OJ45" s="21" t="n">
        <v>39.7</v>
      </c>
      <c r="OK45" s="21" t="n">
        <v>13.2</v>
      </c>
    </row>
    <row r="46">
      <c r="A46" s="22" t="n">
        <v>43344</v>
      </c>
      <c r="B46" s="21" t="n">
        <v>252.439</v>
      </c>
      <c r="C46" s="21" t="n">
        <v>756.194</v>
      </c>
      <c r="D46" s="21" t="n">
        <v>254.178</v>
      </c>
      <c r="E46" s="21" t="n">
        <v>254.393</v>
      </c>
      <c r="F46" s="21" t="n">
        <v>240.125</v>
      </c>
      <c r="G46" s="21" t="n">
        <v>273.729</v>
      </c>
      <c r="H46" s="21" t="n">
        <v>228.602</v>
      </c>
      <c r="I46" s="21" t="n">
        <v>241.831</v>
      </c>
      <c r="J46" s="21" t="n">
        <v>221.825</v>
      </c>
      <c r="K46" s="21" t="n">
        <v>238.533</v>
      </c>
      <c r="L46" s="21" t="n">
        <v>163.225</v>
      </c>
      <c r="M46" s="21" t="n">
        <v>299.594</v>
      </c>
      <c r="N46" s="21" t="n">
        <v>179.058</v>
      </c>
      <c r="O46" s="21" t="n">
        <v>322.5</v>
      </c>
      <c r="P46" s="21" t="n">
        <v>348.356</v>
      </c>
      <c r="Q46" s="21" t="n">
        <v>180.046</v>
      </c>
      <c r="R46" s="21" t="n">
        <v>285.604</v>
      </c>
      <c r="S46" s="21" t="n">
        <v>307.868</v>
      </c>
      <c r="T46" s="21" t="n">
        <v>268.278</v>
      </c>
      <c r="U46" s="21" t="n">
        <v>266.351</v>
      </c>
      <c r="V46" s="21" t="n">
        <v>300.218</v>
      </c>
      <c r="W46" s="21" t="n">
        <v>302.763</v>
      </c>
      <c r="X46" s="21" t="n">
        <v>269.894</v>
      </c>
      <c r="Y46" s="21" t="n">
        <v>248.876</v>
      </c>
      <c r="Z46" s="21" t="n">
        <v>251.086</v>
      </c>
      <c r="AA46" s="21" t="n">
        <v>252.96</v>
      </c>
      <c r="AB46" s="21" t="n">
        <v>304.366</v>
      </c>
      <c r="AC46" s="21" t="n">
        <v>267.091</v>
      </c>
      <c r="AD46" s="21" t="n">
        <v>230.771</v>
      </c>
      <c r="AE46" s="21" t="n">
        <v>206.243</v>
      </c>
      <c r="AF46" s="21" t="n">
        <v>242.042</v>
      </c>
      <c r="AG46" s="21" t="n">
        <v>212.171</v>
      </c>
      <c r="AH46" s="21" t="n">
        <v>159.969</v>
      </c>
      <c r="AI46" s="21" t="n">
        <v>299.351</v>
      </c>
      <c r="AJ46" s="21" t="n">
        <v>144.779</v>
      </c>
      <c r="AK46" s="21" t="n">
        <v>206.461</v>
      </c>
      <c r="AL46" s="21" t="n">
        <v>232.358</v>
      </c>
      <c r="AM46" s="21" t="n">
        <v>191.128</v>
      </c>
      <c r="AN46" s="21" t="n">
        <v>123.79</v>
      </c>
      <c r="AO46" s="21" t="n">
        <v>220.845</v>
      </c>
      <c r="AP46" s="21" t="n">
        <v>223.67</v>
      </c>
      <c r="AQ46" s="21" t="n">
        <v>141.869</v>
      </c>
      <c r="AR46" s="21" t="n"/>
      <c r="AS46" s="21" t="n"/>
      <c r="AT46" s="21" t="n">
        <v>230.108</v>
      </c>
      <c r="AU46" s="21" t="n">
        <v>148.909</v>
      </c>
      <c r="AV46" s="21" t="n">
        <v>247.635</v>
      </c>
      <c r="AW46" s="21" t="n">
        <v>221.05</v>
      </c>
      <c r="AX46" s="21" t="n">
        <v>146.221</v>
      </c>
      <c r="AY46" s="21" t="n">
        <v>295.797</v>
      </c>
      <c r="AZ46" s="21" t="n">
        <v>183.035</v>
      </c>
      <c r="BA46" s="21" t="n">
        <v>148.443</v>
      </c>
      <c r="BB46" s="21" t="n">
        <v>210.129</v>
      </c>
      <c r="BC46" s="21" t="n">
        <v>308.761</v>
      </c>
      <c r="BD46" s="21" t="n">
        <v>220.666</v>
      </c>
      <c r="BE46" s="21" t="n">
        <v>216.638</v>
      </c>
      <c r="BF46" s="21" t="n">
        <v>136.883</v>
      </c>
      <c r="BG46" s="21" t="n">
        <v>195.46</v>
      </c>
      <c r="BH46" s="21" t="n">
        <v>141.059</v>
      </c>
      <c r="BI46" s="21" t="n">
        <v>229.156</v>
      </c>
      <c r="BJ46" s="21" t="n">
        <v>220.907</v>
      </c>
      <c r="BK46" s="21" t="n">
        <v>147.269</v>
      </c>
      <c r="BL46" s="21" t="n">
        <v>298.432</v>
      </c>
      <c r="BM46" s="21" t="n">
        <v>346.223</v>
      </c>
      <c r="BN46" s="21" t="n">
        <v>367.601</v>
      </c>
      <c r="BO46" s="21" t="n">
        <v>337.834</v>
      </c>
      <c r="BP46" s="21" t="n">
        <v>196.842</v>
      </c>
      <c r="BQ46" s="21" t="n">
        <v>284.053</v>
      </c>
      <c r="BR46" s="21" t="n">
        <v>564.782</v>
      </c>
      <c r="BS46" s="21" t="n">
        <v>115.196</v>
      </c>
      <c r="BT46" s="21" t="n">
        <v>322.566</v>
      </c>
      <c r="BU46" s="21" t="n">
        <v>348.24</v>
      </c>
      <c r="BV46" s="21" t="n">
        <v>288.439</v>
      </c>
      <c r="BW46" s="21" t="n">
        <v>323.46</v>
      </c>
      <c r="BX46" s="21" t="n">
        <v>327.855</v>
      </c>
      <c r="BY46" s="21" t="n">
        <v>155.778</v>
      </c>
      <c r="BZ46" s="21" t="n">
        <v>161.484</v>
      </c>
      <c r="CA46" s="21" t="n">
        <v>157.262</v>
      </c>
      <c r="CB46" s="21" t="n">
        <v>170.059</v>
      </c>
      <c r="CC46" s="21" t="n">
        <v>145.235</v>
      </c>
      <c r="CD46" s="21" t="n">
        <v>197.742</v>
      </c>
      <c r="CE46" s="21" t="n">
        <v>155.514</v>
      </c>
      <c r="CF46" s="21" t="n">
        <v>188.012</v>
      </c>
      <c r="CG46" s="21" t="n">
        <v>168.428</v>
      </c>
      <c r="CH46" s="21" t="n">
        <v>130.708</v>
      </c>
      <c r="CI46" s="21" t="n">
        <v>165.784</v>
      </c>
      <c r="CJ46" s="21" t="n">
        <v>177.866</v>
      </c>
      <c r="CK46" s="21" t="n">
        <v>118.189</v>
      </c>
      <c r="CL46" s="21" t="n">
        <v>116.607</v>
      </c>
      <c r="CM46" s="21" t="n">
        <v>194.783</v>
      </c>
      <c r="CN46" s="21" t="n">
        <v>203.549</v>
      </c>
      <c r="CO46" s="21" t="n">
        <v>186.03</v>
      </c>
      <c r="CP46" s="21" t="n">
        <v>128.418</v>
      </c>
      <c r="CQ46" s="21" t="n">
        <v>210.59</v>
      </c>
      <c r="CR46" s="21" t="n">
        <v>216.771</v>
      </c>
      <c r="CS46" s="21" t="n">
        <v>190.101</v>
      </c>
      <c r="CT46" s="21" t="n">
        <v>145.999</v>
      </c>
      <c r="CU46" s="21" t="n">
        <v>154.488</v>
      </c>
      <c r="CV46" s="21" t="n">
        <v>229.393</v>
      </c>
      <c r="CW46" s="21" t="n">
        <v>208.669</v>
      </c>
      <c r="CX46" s="21" t="n">
        <v>248.25</v>
      </c>
      <c r="CY46" s="21" t="n">
        <v>303.424</v>
      </c>
      <c r="CZ46" s="21" t="n">
        <v>129.613</v>
      </c>
      <c r="DA46" s="21" t="n">
        <v>158.717</v>
      </c>
      <c r="DB46" s="21" t="n">
        <v>155.436</v>
      </c>
      <c r="DC46" s="21" t="n">
        <v>224.795</v>
      </c>
      <c r="DD46" s="21" t="n">
        <v>239.649</v>
      </c>
      <c r="DE46" s="21" t="n">
        <v>167.15</v>
      </c>
      <c r="DF46" s="21" t="n">
        <v>255.071</v>
      </c>
      <c r="DG46" s="21" t="n">
        <v>243.616</v>
      </c>
      <c r="DH46" s="21" t="n">
        <v>156.019</v>
      </c>
      <c r="DI46" s="21" t="n">
        <v>132.236</v>
      </c>
      <c r="DJ46" s="21" t="n">
        <v>140.417</v>
      </c>
      <c r="DK46" s="21" t="n">
        <v>283.496</v>
      </c>
      <c r="DL46" s="21" t="n">
        <v>162.001</v>
      </c>
      <c r="DM46" s="21" t="n">
        <v>130.615</v>
      </c>
      <c r="DN46" s="21" t="n">
        <v>126.146</v>
      </c>
      <c r="DO46" s="21" t="n">
        <v>277.258</v>
      </c>
      <c r="DP46" s="21" t="n">
        <v>171.605</v>
      </c>
      <c r="DQ46" s="21" t="n">
        <v>177.599</v>
      </c>
      <c r="DR46" s="21" t="n">
        <v>179.816</v>
      </c>
      <c r="DS46" s="21" t="n">
        <v>148.561</v>
      </c>
      <c r="DT46" s="21" t="n">
        <v>161.466</v>
      </c>
      <c r="DU46" s="21" t="n">
        <v>193.123</v>
      </c>
      <c r="DV46" s="21" t="n">
        <v>249.921</v>
      </c>
      <c r="DW46" s="21" t="n">
        <v>202.859</v>
      </c>
      <c r="DX46" s="21" t="n">
        <v>225.79</v>
      </c>
      <c r="DY46" s="21" t="n">
        <v>192.747</v>
      </c>
      <c r="DZ46" s="21" t="n">
        <v>202.112</v>
      </c>
      <c r="EA46" s="21" t="n">
        <v>188.275</v>
      </c>
      <c r="EB46" s="21" t="n">
        <v>170.541</v>
      </c>
      <c r="EC46" s="21" t="n">
        <v>352.899</v>
      </c>
      <c r="ED46" s="21" t="n">
        <v>174.252</v>
      </c>
      <c r="EE46" s="21" t="n">
        <v>189.686</v>
      </c>
      <c r="EF46" s="21" t="n">
        <v>190.002</v>
      </c>
      <c r="EG46" s="21" t="n">
        <v>259.941</v>
      </c>
      <c r="EH46" s="21" t="n">
        <v>309.702</v>
      </c>
      <c r="EI46" s="21" t="n">
        <v>321.533</v>
      </c>
      <c r="EJ46" s="21" t="n">
        <v>162.721</v>
      </c>
      <c r="EK46" s="21" t="n">
        <v>555.678</v>
      </c>
      <c r="EL46" s="21" t="n">
        <v>332.696</v>
      </c>
      <c r="EM46" s="21" t="n">
        <v>317.149</v>
      </c>
      <c r="EN46" s="21" t="n">
        <v>317.166</v>
      </c>
      <c r="EO46" s="21" t="n">
        <v>151.825</v>
      </c>
      <c r="EP46" s="21" t="n">
        <v>242.834</v>
      </c>
      <c r="EQ46" s="21" t="n">
        <v>201.859</v>
      </c>
      <c r="ER46" s="21" t="n">
        <v>295.623</v>
      </c>
      <c r="ES46" s="21" t="n">
        <v>302.419</v>
      </c>
      <c r="ET46" s="21" t="n">
        <v>337.268</v>
      </c>
      <c r="EU46" s="21" t="n">
        <v>204.819</v>
      </c>
      <c r="EV46" s="21" t="n">
        <v>215.536</v>
      </c>
      <c r="EW46" s="21" t="n">
        <v>170.1</v>
      </c>
      <c r="EX46" s="21" t="n">
        <v>238.512</v>
      </c>
      <c r="EY46" s="21" t="n">
        <v>553.383</v>
      </c>
      <c r="EZ46" s="21" t="n">
        <v>471.026</v>
      </c>
      <c r="FA46" s="21" t="n">
        <v>121.39</v>
      </c>
      <c r="FB46" s="21" t="n">
        <v>57.33</v>
      </c>
      <c r="FC46" s="21" t="n">
        <v>111.562</v>
      </c>
      <c r="FD46" s="21" t="n">
        <v>62.154</v>
      </c>
      <c r="FE46" s="21" t="n">
        <v>44.314</v>
      </c>
      <c r="FF46" s="21" t="n">
        <v>111.429</v>
      </c>
      <c r="FG46" s="21" t="n">
        <v>129.034</v>
      </c>
      <c r="FH46" s="21" t="n">
        <v>85.58</v>
      </c>
      <c r="FI46" s="21" t="n">
        <v>67.327</v>
      </c>
      <c r="FJ46" s="21" t="n">
        <v>91.854</v>
      </c>
      <c r="FK46" s="21" t="n">
        <v>77.077</v>
      </c>
      <c r="FL46" s="21" t="n">
        <v>84.59999999999999</v>
      </c>
      <c r="FM46" s="21" t="n">
        <v>97.48</v>
      </c>
      <c r="FN46" s="21" t="n">
        <v>66.151</v>
      </c>
      <c r="FO46" s="21" t="n">
        <v>50.139</v>
      </c>
      <c r="FP46" s="21" t="n">
        <v>36.3</v>
      </c>
      <c r="FQ46" s="21" t="n">
        <v>131.163</v>
      </c>
      <c r="FR46" s="21" t="n">
        <v>46.73</v>
      </c>
      <c r="FS46" s="21" t="n">
        <v>83.276</v>
      </c>
      <c r="FT46" s="21" t="n">
        <v>89.145</v>
      </c>
      <c r="FU46" s="21" t="n">
        <v>98.727</v>
      </c>
      <c r="FV46" s="21" t="n">
        <v>84.599</v>
      </c>
      <c r="FW46" s="21" t="n">
        <v>186.72</v>
      </c>
      <c r="FX46" s="21" t="n">
        <v>119.462</v>
      </c>
      <c r="FY46" s="21" t="n">
        <v>169.762</v>
      </c>
      <c r="FZ46" s="21" t="n">
        <v>117.876</v>
      </c>
      <c r="GA46" s="21" t="n">
        <v>186.781</v>
      </c>
      <c r="GB46" s="21" t="n">
        <v>165.555</v>
      </c>
      <c r="GC46" s="21" t="n">
        <v>195.336</v>
      </c>
      <c r="GD46" s="21" t="n">
        <v>167.441</v>
      </c>
      <c r="GE46" s="21" t="n">
        <v>252.618</v>
      </c>
      <c r="GF46" s="21" t="n">
        <v>127.44</v>
      </c>
      <c r="GG46" s="21" t="n">
        <v>119.4</v>
      </c>
      <c r="GH46" s="21" t="n">
        <v>121.738</v>
      </c>
      <c r="GI46" s="21" t="n">
        <v>107.411</v>
      </c>
      <c r="GJ46" s="21" t="n">
        <v>158.919</v>
      </c>
      <c r="GK46" s="21" t="n">
        <v>78.916</v>
      </c>
      <c r="GL46" s="21" t="n">
        <v>116.201</v>
      </c>
      <c r="GM46" s="21" t="n">
        <v>108.911</v>
      </c>
      <c r="GN46" s="21" t="n">
        <v>112.851</v>
      </c>
      <c r="GO46" s="21" t="n">
        <v>115.858</v>
      </c>
      <c r="GP46" s="21" t="n">
        <v>116.842</v>
      </c>
      <c r="GQ46" s="21" t="n">
        <v>137.051</v>
      </c>
      <c r="GR46" s="21" t="n">
        <v>79.999</v>
      </c>
      <c r="GS46" s="21" t="n">
        <v>104.336</v>
      </c>
      <c r="GT46" s="21" t="n">
        <v>97.8</v>
      </c>
      <c r="GU46" s="21" t="n">
        <v>136.741</v>
      </c>
      <c r="GV46" s="21" t="n">
        <v>140.731</v>
      </c>
      <c r="GW46" s="21" t="n">
        <v>156.186</v>
      </c>
      <c r="GX46" s="21" t="n">
        <v>124.254</v>
      </c>
      <c r="GY46" s="21" t="n">
        <v>123.502</v>
      </c>
      <c r="GZ46" s="21" t="n">
        <v>173.317</v>
      </c>
      <c r="HA46" s="21" t="n">
        <v>139.824</v>
      </c>
      <c r="HB46" s="21" t="n">
        <v>174.792</v>
      </c>
      <c r="HC46" s="21" t="n">
        <v>212.414</v>
      </c>
      <c r="HD46" s="21" t="n">
        <v>208.55</v>
      </c>
      <c r="HE46" s="21" t="n">
        <v>98.261</v>
      </c>
      <c r="HF46" s="21" t="n">
        <v>145.715</v>
      </c>
      <c r="HG46" s="21" t="n">
        <v>100.981</v>
      </c>
      <c r="HH46" s="21" t="n">
        <v>141.75</v>
      </c>
      <c r="HI46" s="21" t="n">
        <v>154.963</v>
      </c>
      <c r="HJ46" s="21" t="n"/>
      <c r="HK46" s="21" t="n">
        <v>135.13</v>
      </c>
      <c r="HL46" s="21" t="n">
        <v>90.505</v>
      </c>
      <c r="HM46" s="21" t="n">
        <v>127.508</v>
      </c>
      <c r="HN46" s="21" t="n">
        <v>253.432</v>
      </c>
      <c r="HO46" s="21" t="n">
        <v>252.216</v>
      </c>
      <c r="HP46" s="21" t="n">
        <v>247.729</v>
      </c>
      <c r="HQ46" s="21" t="n">
        <v>268.759</v>
      </c>
      <c r="HR46" s="21" t="n">
        <v>262.185</v>
      </c>
      <c r="HS46" s="21" t="n">
        <v>235.13</v>
      </c>
      <c r="HT46" s="21" t="n">
        <v>143.731</v>
      </c>
      <c r="HU46" s="21" t="n">
        <v>122.087</v>
      </c>
      <c r="HV46" s="21" t="n">
        <v>173.585</v>
      </c>
      <c r="HW46" s="21" t="n">
        <v>163.776</v>
      </c>
      <c r="HX46" s="21" t="n">
        <v>399.109</v>
      </c>
      <c r="HY46" s="21" t="n">
        <v>288.457</v>
      </c>
      <c r="HZ46" s="21" t="n">
        <v>303.843</v>
      </c>
      <c r="IA46" s="21" t="n">
        <v>260.544</v>
      </c>
      <c r="IB46" s="21" t="n">
        <v>176.949</v>
      </c>
      <c r="IC46" s="21" t="n">
        <v>567.838</v>
      </c>
      <c r="ID46" s="21" t="n">
        <v>189.226</v>
      </c>
      <c r="IE46" s="21" t="n">
        <v>178.489</v>
      </c>
      <c r="IF46" s="21" t="n">
        <v>206.574</v>
      </c>
      <c r="IG46" s="21" t="n">
        <v>233.727</v>
      </c>
      <c r="IH46" s="21" t="n">
        <v>120.776</v>
      </c>
      <c r="II46" s="21" t="n">
        <v>254.266</v>
      </c>
      <c r="IJ46" s="21" t="n">
        <v>258.196</v>
      </c>
      <c r="IK46" s="21" t="n">
        <v>158.31</v>
      </c>
      <c r="IL46" s="21" t="n">
        <v>131.969</v>
      </c>
      <c r="IM46" s="21" t="n"/>
      <c r="IN46" s="21" t="n">
        <v>66.321</v>
      </c>
      <c r="IO46" s="21" t="n">
        <v>319.629</v>
      </c>
      <c r="IP46" s="21" t="n">
        <v>128.59</v>
      </c>
      <c r="IQ46" s="21" t="n">
        <v>484.708</v>
      </c>
      <c r="IR46" s="21" t="n">
        <v>380.535</v>
      </c>
      <c r="IS46" s="21" t="n">
        <v>124.587</v>
      </c>
      <c r="IT46" s="21" t="n">
        <v>528.124</v>
      </c>
      <c r="IU46" s="21" t="n">
        <v>95.64100000000001</v>
      </c>
      <c r="IV46" s="21" t="n">
        <v>100.528</v>
      </c>
      <c r="IW46" s="21" t="n">
        <v>518.1079999999999</v>
      </c>
      <c r="IX46" s="21" t="n">
        <v>378.371</v>
      </c>
      <c r="IY46" s="21" t="n">
        <v>380.928</v>
      </c>
      <c r="IZ46" s="21" t="n">
        <v>484.343</v>
      </c>
      <c r="JA46" s="21" t="n">
        <v>189.727</v>
      </c>
      <c r="JB46" s="21" t="n">
        <v>237.154</v>
      </c>
      <c r="JC46" s="21" t="n">
        <v>78.95</v>
      </c>
      <c r="JD46" s="21" t="n">
        <v>332.595</v>
      </c>
      <c r="JE46" s="21" t="n">
        <v>325.391</v>
      </c>
      <c r="JF46" s="21" t="n">
        <v>734.341</v>
      </c>
      <c r="JG46" s="21" t="n">
        <v>229.508</v>
      </c>
      <c r="JH46" s="21" t="n">
        <v>121.988</v>
      </c>
      <c r="JI46" s="21" t="n">
        <v>135.357</v>
      </c>
      <c r="JJ46" s="21" t="n">
        <v>119.163</v>
      </c>
      <c r="JK46" s="21" t="n">
        <v>104.306</v>
      </c>
      <c r="JL46" s="21" t="n">
        <v>185.285</v>
      </c>
      <c r="JM46" s="21" t="n">
        <v>472.996</v>
      </c>
      <c r="JN46" s="21" t="n">
        <v>119.931</v>
      </c>
      <c r="JO46" s="21" t="n">
        <v>71.98099999999999</v>
      </c>
      <c r="JP46" s="21" t="n">
        <v>36.811</v>
      </c>
      <c r="JQ46" s="21" t="n">
        <v>130.198</v>
      </c>
      <c r="JR46" s="21" t="n">
        <v>26.704</v>
      </c>
      <c r="JS46" s="21" t="n">
        <v>83.892</v>
      </c>
      <c r="JT46" s="21" t="n">
        <v>173.248</v>
      </c>
      <c r="JU46" s="21" t="n">
        <v>198.632</v>
      </c>
      <c r="JV46" s="21" t="n">
        <v>150.7</v>
      </c>
      <c r="JW46" s="21" t="n">
        <v>115.449</v>
      </c>
      <c r="JX46" s="21" t="n">
        <v>246.186</v>
      </c>
      <c r="JY46" s="21" t="n">
        <v>193.471</v>
      </c>
      <c r="JZ46" s="21" t="n">
        <v>258.166</v>
      </c>
      <c r="KA46" s="21" t="n">
        <v>110.153</v>
      </c>
      <c r="KB46" s="21" t="n">
        <v>147.116</v>
      </c>
      <c r="KC46" s="21" t="n">
        <v>78.943</v>
      </c>
      <c r="KD46" s="21" t="n">
        <v>74.154</v>
      </c>
      <c r="KE46" s="21" t="n">
        <v>53.076</v>
      </c>
      <c r="KF46" s="21" t="n"/>
      <c r="KG46" s="21" t="n">
        <v>22.041</v>
      </c>
      <c r="KH46" s="21" t="n">
        <v>123.414</v>
      </c>
      <c r="KI46" s="21" t="n">
        <v>129.628</v>
      </c>
      <c r="KJ46" s="21" t="n">
        <v>112.506</v>
      </c>
      <c r="KK46" s="21" t="n">
        <v>36.504</v>
      </c>
      <c r="KL46" s="21" t="n">
        <v>32.698</v>
      </c>
      <c r="KM46" s="21" t="n">
        <v>40.38</v>
      </c>
      <c r="KN46" s="21" t="n"/>
      <c r="KO46" s="21" t="n">
        <v>95.92400000000001</v>
      </c>
      <c r="KP46" s="21" t="n">
        <v>101.443</v>
      </c>
      <c r="KQ46" s="21" t="n">
        <v>168.779</v>
      </c>
      <c r="KR46" s="21" t="n">
        <v>139.35</v>
      </c>
      <c r="KS46" s="21" t="n">
        <v>384.662</v>
      </c>
      <c r="KT46" s="21" t="n">
        <v>183.286</v>
      </c>
      <c r="KU46" s="21" t="n">
        <v>224.344</v>
      </c>
      <c r="KV46" s="21" t="n">
        <v>313.515</v>
      </c>
      <c r="KW46" s="21" t="n">
        <v>245.609</v>
      </c>
      <c r="KX46" s="21" t="n">
        <v>176.453</v>
      </c>
      <c r="KY46" s="21" t="n">
        <v>95.247</v>
      </c>
      <c r="KZ46" s="21" t="n">
        <v>137.868</v>
      </c>
      <c r="LA46" s="21" t="n">
        <v>262.336</v>
      </c>
      <c r="LB46" s="21" t="n">
        <v>695.069</v>
      </c>
      <c r="LC46" s="21" t="n">
        <v>243.413</v>
      </c>
      <c r="LD46" s="21" t="n">
        <v>751.782</v>
      </c>
      <c r="LE46" s="21" t="n">
        <v>853.208</v>
      </c>
      <c r="LF46" s="21" t="n">
        <v>81.755</v>
      </c>
      <c r="LG46" s="21" t="n">
        <v>298.086</v>
      </c>
      <c r="LH46" s="21" t="n">
        <v>251.999</v>
      </c>
      <c r="LI46" s="21" t="n">
        <v>74.099</v>
      </c>
      <c r="LJ46" s="21" t="n">
        <v>185.343</v>
      </c>
      <c r="LK46" s="21" t="n">
        <v>289.966</v>
      </c>
      <c r="LL46" s="21" t="n">
        <v>312.435</v>
      </c>
      <c r="LM46" s="21" t="n">
        <v>70.19499999999999</v>
      </c>
      <c r="LN46" s="21" t="n">
        <v>90.59999999999999</v>
      </c>
      <c r="LO46" s="21" t="n">
        <v>47.656</v>
      </c>
      <c r="LP46" s="21" t="n">
        <v>117.942</v>
      </c>
      <c r="LQ46" s="21" t="n"/>
      <c r="LR46" s="21" t="n"/>
      <c r="LS46" s="21" t="n">
        <v>111.618</v>
      </c>
      <c r="LT46" s="21" t="n">
        <v>41.092</v>
      </c>
      <c r="LU46" s="21" t="n">
        <v>32.077</v>
      </c>
      <c r="LV46" s="21" t="n">
        <v>76.532</v>
      </c>
      <c r="LW46" s="21" t="n">
        <v>244.239</v>
      </c>
      <c r="LX46" s="21" t="n"/>
      <c r="LY46" s="21" t="n">
        <v>443.409</v>
      </c>
      <c r="LZ46" s="21" t="n">
        <v>67.155</v>
      </c>
      <c r="MA46" s="21" t="n">
        <v>435.379</v>
      </c>
      <c r="MB46" s="21" t="n">
        <v>273.487</v>
      </c>
      <c r="MC46" s="21" t="n">
        <v>231.694</v>
      </c>
      <c r="MD46" s="21" t="n">
        <v>161.457</v>
      </c>
      <c r="ME46" s="21" t="n">
        <v>102.822</v>
      </c>
      <c r="MF46" s="21" t="n">
        <v>185.224</v>
      </c>
      <c r="MG46" s="21" t="n">
        <v>265.285</v>
      </c>
      <c r="MH46" s="21" t="n">
        <v>161.867</v>
      </c>
      <c r="MI46" s="21" t="n">
        <v>442.57</v>
      </c>
      <c r="MJ46" s="21" t="n">
        <v>361.248</v>
      </c>
      <c r="MK46" s="21" t="n">
        <v>333.476</v>
      </c>
      <c r="ML46" s="21" t="n">
        <v>170.689</v>
      </c>
      <c r="MM46" s="21" t="n">
        <v>190.467</v>
      </c>
      <c r="MN46" s="21" t="n">
        <v>363.592</v>
      </c>
      <c r="MO46" s="21" t="n">
        <v>172.262</v>
      </c>
      <c r="MP46" s="21" t="n">
        <v>253.866</v>
      </c>
      <c r="MQ46" s="21" t="n">
        <v>74.304</v>
      </c>
      <c r="MR46" s="21" t="n">
        <v>145.992</v>
      </c>
      <c r="MS46" s="21" t="n">
        <v>71.346</v>
      </c>
      <c r="MT46" s="21" t="n">
        <v>241.287</v>
      </c>
      <c r="MU46" s="21" t="n">
        <v>257.118</v>
      </c>
      <c r="MV46" s="21" t="n">
        <v>252.116</v>
      </c>
      <c r="MW46" s="21" t="n">
        <v>258.429</v>
      </c>
      <c r="MX46" s="21" t="n">
        <v>232.868</v>
      </c>
      <c r="MY46" s="21" t="n">
        <v>227.127</v>
      </c>
      <c r="MZ46" s="21" t="n">
        <v>229.91</v>
      </c>
      <c r="NA46" s="21" t="n">
        <v>235.84</v>
      </c>
      <c r="NB46" s="21" t="n">
        <v>120.684</v>
      </c>
      <c r="NC46" s="21" t="n">
        <v>185.571</v>
      </c>
      <c r="ND46" s="21" t="n">
        <v>154.598</v>
      </c>
      <c r="NE46" s="21" t="n">
        <v>151.289</v>
      </c>
      <c r="NF46" s="21" t="n">
        <v>143.641</v>
      </c>
      <c r="NG46" s="21" t="n">
        <v>145.35</v>
      </c>
      <c r="NH46" s="21" t="n">
        <v>248.048</v>
      </c>
      <c r="NI46" s="21" t="n">
        <v>103.488</v>
      </c>
      <c r="NJ46" s="21" t="n">
        <v>75.437</v>
      </c>
      <c r="NK46" s="21" t="n">
        <v>110.528</v>
      </c>
      <c r="NL46" s="21" t="n">
        <v>226.165</v>
      </c>
      <c r="NM46" s="21" t="n">
        <v>257.575</v>
      </c>
      <c r="NN46" s="21" t="n">
        <v>89.483</v>
      </c>
      <c r="NO46" s="21" t="n">
        <v>54.887</v>
      </c>
      <c r="NP46" s="21" t="n">
        <v>228.169</v>
      </c>
      <c r="NQ46" s="21" t="n">
        <v>205.322</v>
      </c>
      <c r="NR46" s="21" t="n">
        <v>252.167</v>
      </c>
      <c r="NS46" s="21" t="n">
        <v>202.508</v>
      </c>
      <c r="NT46" s="21" t="n">
        <v>253.69</v>
      </c>
      <c r="NU46" s="21" t="n">
        <v>112.271</v>
      </c>
      <c r="NV46" s="21" t="n">
        <v>122.783</v>
      </c>
      <c r="NW46" s="21" t="n">
        <v>355.202</v>
      </c>
      <c r="NX46" s="21" t="n">
        <v>79.852</v>
      </c>
      <c r="NY46" s="21" t="n">
        <v>122.225</v>
      </c>
      <c r="NZ46" s="21" t="n">
        <v>322.8</v>
      </c>
      <c r="OA46" s="21" t="n">
        <v>318.312</v>
      </c>
      <c r="OB46" s="21" t="n">
        <v>329.761</v>
      </c>
      <c r="OC46" s="21" t="n">
        <v>303.13</v>
      </c>
      <c r="OD46" s="21" t="n">
        <v>337.734</v>
      </c>
      <c r="OE46" s="21" t="n">
        <v>102.99</v>
      </c>
      <c r="OF46" s="21" t="n">
        <v>322.241</v>
      </c>
      <c r="OG46" s="21" t="n">
        <v>217.562</v>
      </c>
      <c r="OH46" s="21" t="n">
        <v>42.526</v>
      </c>
      <c r="OI46" s="21" t="n">
        <v>125.814</v>
      </c>
      <c r="OJ46" s="21" t="n">
        <v>39.6</v>
      </c>
      <c r="OK46" s="21" t="n">
        <v>13.2</v>
      </c>
    </row>
    <row r="47">
      <c r="A47" s="22" t="n">
        <v>43374</v>
      </c>
      <c r="B47" s="21" t="n">
        <v>252.885</v>
      </c>
      <c r="C47" s="21" t="n">
        <v>757.532</v>
      </c>
      <c r="D47" s="21" t="n">
        <v>254.203</v>
      </c>
      <c r="E47" s="21" t="n">
        <v>254.358</v>
      </c>
      <c r="F47" s="21" t="n">
        <v>239.882</v>
      </c>
      <c r="G47" s="21" t="n">
        <v>272.26</v>
      </c>
      <c r="H47" s="21" t="n">
        <v>224.065</v>
      </c>
      <c r="I47" s="21" t="n">
        <v>231.474</v>
      </c>
      <c r="J47" s="21" t="n">
        <v>220.252</v>
      </c>
      <c r="K47" s="21" t="n">
        <v>231.881</v>
      </c>
      <c r="L47" s="21" t="n">
        <v>159.761</v>
      </c>
      <c r="M47" s="21" t="n">
        <v>300.074</v>
      </c>
      <c r="N47" s="21" t="n">
        <v>179.705</v>
      </c>
      <c r="O47" s="21" t="n">
        <v>325.753</v>
      </c>
      <c r="P47" s="21" t="n">
        <v>348.435</v>
      </c>
      <c r="Q47" s="21" t="n">
        <v>179.261</v>
      </c>
      <c r="R47" s="21" t="n">
        <v>287.624</v>
      </c>
      <c r="S47" s="21" t="n">
        <v>310.044</v>
      </c>
      <c r="T47" s="21" t="n">
        <v>269.875</v>
      </c>
      <c r="U47" s="21" t="n">
        <v>265.846</v>
      </c>
      <c r="V47" s="21" t="n">
        <v>303.683</v>
      </c>
      <c r="W47" s="21" t="n">
        <v>301.052</v>
      </c>
      <c r="X47" s="21" t="n">
        <v>269.804</v>
      </c>
      <c r="Y47" s="21" t="n">
        <v>247.966</v>
      </c>
      <c r="Z47" s="21" t="n">
        <v>250.348</v>
      </c>
      <c r="AA47" s="21" t="n">
        <v>251.184</v>
      </c>
      <c r="AB47" s="21" t="n">
        <v>300.588</v>
      </c>
      <c r="AC47" s="21" t="n">
        <v>264.614</v>
      </c>
      <c r="AD47" s="21" t="n">
        <v>222.095</v>
      </c>
      <c r="AE47" s="21" t="n">
        <v>203.995</v>
      </c>
      <c r="AF47" s="21" t="n">
        <v>244.111</v>
      </c>
      <c r="AG47" s="21" t="n">
        <v>209.88</v>
      </c>
      <c r="AH47" s="21" t="n">
        <v>156.945</v>
      </c>
      <c r="AI47" s="21" t="n">
        <v>292.518</v>
      </c>
      <c r="AJ47" s="21" t="n">
        <v>143.426</v>
      </c>
      <c r="AK47" s="21" t="n">
        <v>203.382</v>
      </c>
      <c r="AL47" s="21" t="n">
        <v>228.307</v>
      </c>
      <c r="AM47" s="21" t="n">
        <v>191.505</v>
      </c>
      <c r="AN47" s="21" t="n">
        <v>123.877</v>
      </c>
      <c r="AO47" s="21" t="n">
        <v>222.799</v>
      </c>
      <c r="AP47" s="21" t="n">
        <v>232.506</v>
      </c>
      <c r="AQ47" s="21" t="n">
        <v>142.581</v>
      </c>
      <c r="AR47" s="21" t="n"/>
      <c r="AS47" s="21" t="n"/>
      <c r="AT47" s="21" t="n">
        <v>231.5</v>
      </c>
      <c r="AU47" s="21" t="n">
        <v>150.447</v>
      </c>
      <c r="AV47" s="21" t="n">
        <v>248.468</v>
      </c>
      <c r="AW47" s="21" t="n">
        <v>224.26</v>
      </c>
      <c r="AX47" s="21" t="n">
        <v>144.249</v>
      </c>
      <c r="AY47" s="21" t="n">
        <v>296.172</v>
      </c>
      <c r="AZ47" s="21" t="n">
        <v>182.768</v>
      </c>
      <c r="BA47" s="21" t="n">
        <v>149.057</v>
      </c>
      <c r="BB47" s="21" t="n">
        <v>213.912</v>
      </c>
      <c r="BC47" s="21" t="n">
        <v>308.751</v>
      </c>
      <c r="BD47" s="21" t="n">
        <v>217.297</v>
      </c>
      <c r="BE47" s="21" t="n">
        <v>216.8</v>
      </c>
      <c r="BF47" s="21" t="n">
        <v>137.909</v>
      </c>
      <c r="BG47" s="21" t="n">
        <v>197.351</v>
      </c>
      <c r="BH47" s="21" t="n">
        <v>142.402</v>
      </c>
      <c r="BI47" s="21" t="n">
        <v>228.261</v>
      </c>
      <c r="BJ47" s="21" t="n">
        <v>222.092</v>
      </c>
      <c r="BK47" s="21" t="n">
        <v>146.815</v>
      </c>
      <c r="BL47" s="21" t="n">
        <v>298.531</v>
      </c>
      <c r="BM47" s="21" t="n">
        <v>347.341</v>
      </c>
      <c r="BN47" s="21" t="n">
        <v>366.018</v>
      </c>
      <c r="BO47" s="21" t="n">
        <v>325.758</v>
      </c>
      <c r="BP47" s="21" t="n">
        <v>195.409</v>
      </c>
      <c r="BQ47" s="21" t="n">
        <v>279.086</v>
      </c>
      <c r="BR47" s="21" t="n">
        <v>557.8049999999999</v>
      </c>
      <c r="BS47" s="21" t="n">
        <v>117.226</v>
      </c>
      <c r="BT47" s="21" t="n">
        <v>326.479</v>
      </c>
      <c r="BU47" s="21" t="n">
        <v>347.968</v>
      </c>
      <c r="BV47" s="21" t="n">
        <v>297.784</v>
      </c>
      <c r="BW47" s="21" t="n">
        <v>322.017</v>
      </c>
      <c r="BX47" s="21" t="n">
        <v>333.247</v>
      </c>
      <c r="BY47" s="21" t="n">
        <v>154.149</v>
      </c>
      <c r="BZ47" s="21" t="n">
        <v>158.735</v>
      </c>
      <c r="CA47" s="21" t="n">
        <v>155.784</v>
      </c>
      <c r="CB47" s="21" t="n">
        <v>165.824</v>
      </c>
      <c r="CC47" s="21" t="n">
        <v>145.115</v>
      </c>
      <c r="CD47" s="21" t="n">
        <v>197.608</v>
      </c>
      <c r="CE47" s="21" t="n">
        <v>154.698</v>
      </c>
      <c r="CF47" s="21" t="n">
        <v>186.662</v>
      </c>
      <c r="CG47" s="21" t="n">
        <v>169.57</v>
      </c>
      <c r="CH47" s="21" t="n">
        <v>131.828</v>
      </c>
      <c r="CI47" s="21" t="n">
        <v>167.657</v>
      </c>
      <c r="CJ47" s="21" t="n">
        <v>179.818</v>
      </c>
      <c r="CK47" s="21" t="n">
        <v>118.956</v>
      </c>
      <c r="CL47" s="21" t="n">
        <v>116.89</v>
      </c>
      <c r="CM47" s="21" t="n">
        <v>194.807</v>
      </c>
      <c r="CN47" s="21" t="n">
        <v>202.757</v>
      </c>
      <c r="CO47" s="21" t="n">
        <v>188.862</v>
      </c>
      <c r="CP47" s="21" t="n">
        <v>129.261</v>
      </c>
      <c r="CQ47" s="21" t="n">
        <v>210.224</v>
      </c>
      <c r="CR47" s="21" t="n">
        <v>215.318</v>
      </c>
      <c r="CS47" s="21" t="n">
        <v>186.128</v>
      </c>
      <c r="CT47" s="21" t="n">
        <v>146.172</v>
      </c>
      <c r="CU47" s="21" t="n">
        <v>151.062</v>
      </c>
      <c r="CV47" s="21" t="n">
        <v>228.868</v>
      </c>
      <c r="CW47" s="21" t="n">
        <v>207.033</v>
      </c>
      <c r="CX47" s="21" t="n">
        <v>246.214</v>
      </c>
      <c r="CY47" s="21" t="n">
        <v>300.947</v>
      </c>
      <c r="CZ47" s="21" t="n">
        <v>130.236</v>
      </c>
      <c r="DA47" s="21" t="n">
        <v>158.307</v>
      </c>
      <c r="DB47" s="21" t="n">
        <v>160.706</v>
      </c>
      <c r="DC47" s="21" t="n">
        <v>224.656</v>
      </c>
      <c r="DD47" s="21" t="n">
        <v>238.408</v>
      </c>
      <c r="DE47" s="21" t="n">
        <v>166.665</v>
      </c>
      <c r="DF47" s="21" t="n">
        <v>255.975</v>
      </c>
      <c r="DG47" s="21" t="n">
        <v>242.472</v>
      </c>
      <c r="DH47" s="21" t="n">
        <v>155.309</v>
      </c>
      <c r="DI47" s="21" t="n"/>
      <c r="DJ47" s="21" t="n">
        <v>139.646</v>
      </c>
      <c r="DK47" s="21" t="n">
        <v>272.619</v>
      </c>
      <c r="DL47" s="21" t="n">
        <v>163.715</v>
      </c>
      <c r="DM47" s="21" t="n">
        <v>130.588</v>
      </c>
      <c r="DN47" s="21" t="n">
        <v>127.179</v>
      </c>
      <c r="DO47" s="21" t="n">
        <v>277.513</v>
      </c>
      <c r="DP47" s="21" t="n">
        <v>172.018</v>
      </c>
      <c r="DQ47" s="21" t="n">
        <v>177.446</v>
      </c>
      <c r="DR47" s="21" t="n">
        <v>180.017</v>
      </c>
      <c r="DS47" s="21" t="n">
        <v>148.639</v>
      </c>
      <c r="DT47" s="21" t="n">
        <v>162.001</v>
      </c>
      <c r="DU47" s="21" t="n">
        <v>193.155</v>
      </c>
      <c r="DV47" s="21" t="n">
        <v>250.757</v>
      </c>
      <c r="DW47" s="21" t="n">
        <v>203.847</v>
      </c>
      <c r="DX47" s="21" t="n">
        <v>227.921</v>
      </c>
      <c r="DY47" s="21" t="n">
        <v>192.448</v>
      </c>
      <c r="DZ47" s="21" t="n">
        <v>202.253</v>
      </c>
      <c r="EA47" s="21" t="n">
        <v>187.98</v>
      </c>
      <c r="EB47" s="21" t="n">
        <v>170.905</v>
      </c>
      <c r="EC47" s="21" t="n">
        <v>353.196</v>
      </c>
      <c r="ED47" s="21" t="n">
        <v>174.331</v>
      </c>
      <c r="EE47" s="21" t="n">
        <v>189.994</v>
      </c>
      <c r="EF47" s="21" t="n">
        <v>190.27</v>
      </c>
      <c r="EG47" s="21" t="n">
        <v>260.268</v>
      </c>
      <c r="EH47" s="21" t="n">
        <v>310.382</v>
      </c>
      <c r="EI47" s="21" t="n">
        <v>322.628</v>
      </c>
      <c r="EJ47" s="21" t="n">
        <v>157.125</v>
      </c>
      <c r="EK47" s="21" t="n">
        <v>557.111</v>
      </c>
      <c r="EL47" s="21" t="n">
        <v>319.628</v>
      </c>
      <c r="EM47" s="21" t="n">
        <v>318.215</v>
      </c>
      <c r="EN47" s="21" t="n">
        <v>318.23</v>
      </c>
      <c r="EO47" s="21" t="n">
        <v>151.51</v>
      </c>
      <c r="EP47" s="21" t="n">
        <v>240.641</v>
      </c>
      <c r="EQ47" s="21" t="n">
        <v>199.381</v>
      </c>
      <c r="ER47" s="21" t="n">
        <v>304.893</v>
      </c>
      <c r="ES47" s="21" t="n">
        <v>316.185</v>
      </c>
      <c r="ET47" s="21" t="n">
        <v>340.109</v>
      </c>
      <c r="EU47" s="21" t="n">
        <v>201.798</v>
      </c>
      <c r="EV47" s="21" t="n">
        <v>211.937</v>
      </c>
      <c r="EW47" s="21" t="n">
        <v>168.77</v>
      </c>
      <c r="EX47" s="21" t="n">
        <v>238.936</v>
      </c>
      <c r="EY47" s="21" t="n">
        <v>554.109</v>
      </c>
      <c r="EZ47" s="21" t="n">
        <v>472.535</v>
      </c>
      <c r="FA47" s="21" t="n">
        <v>122.038</v>
      </c>
      <c r="FB47" s="21" t="n">
        <v>58.59</v>
      </c>
      <c r="FC47" s="21" t="n">
        <v>111.687</v>
      </c>
      <c r="FD47" s="21" t="n">
        <v>63.212</v>
      </c>
      <c r="FE47" s="21" t="n">
        <v>45.671</v>
      </c>
      <c r="FF47" s="21" t="n">
        <v>111.77</v>
      </c>
      <c r="FG47" s="21" t="n">
        <v>130.144</v>
      </c>
      <c r="FH47" s="21" t="n">
        <v>85.396</v>
      </c>
      <c r="FI47" s="21" t="n">
        <v>67.81100000000001</v>
      </c>
      <c r="FJ47" s="21" t="n">
        <v>90.113</v>
      </c>
      <c r="FK47" s="21" t="n">
        <v>78.026</v>
      </c>
      <c r="FL47" s="21" t="n">
        <v>85.095</v>
      </c>
      <c r="FM47" s="21" t="n">
        <v>98.16</v>
      </c>
      <c r="FN47" s="21" t="n">
        <v>67.22</v>
      </c>
      <c r="FO47" s="21" t="n">
        <v>51.008</v>
      </c>
      <c r="FP47" s="21" t="n">
        <v>37.036</v>
      </c>
      <c r="FQ47" s="21" t="n">
        <v>131.433</v>
      </c>
      <c r="FR47" s="21" t="n">
        <v>47.619</v>
      </c>
      <c r="FS47" s="21" t="n">
        <v>85.274</v>
      </c>
      <c r="FT47" s="21" t="n">
        <v>89.29000000000001</v>
      </c>
      <c r="FU47" s="21" t="n">
        <v>98.372</v>
      </c>
      <c r="FV47" s="21" t="n">
        <v>85.011</v>
      </c>
      <c r="FW47" s="21" t="n">
        <v>187.17</v>
      </c>
      <c r="FX47" s="21" t="n">
        <v>119.706</v>
      </c>
      <c r="FY47" s="21" t="n">
        <v>169.634</v>
      </c>
      <c r="FZ47" s="21" t="n">
        <v>118.502</v>
      </c>
      <c r="GA47" s="21" t="n">
        <v>186.747</v>
      </c>
      <c r="GB47" s="21" t="n">
        <v>165.555</v>
      </c>
      <c r="GC47" s="21" t="n">
        <v>195.439</v>
      </c>
      <c r="GD47" s="21" t="n">
        <v>167.975</v>
      </c>
      <c r="GE47" s="21" t="n">
        <v>251.014</v>
      </c>
      <c r="GF47" s="21" t="n">
        <v>129.108</v>
      </c>
      <c r="GG47" s="21" t="n">
        <v>122.947</v>
      </c>
      <c r="GH47" s="21" t="n">
        <v>124.771</v>
      </c>
      <c r="GI47" s="21" t="n">
        <v>111.617</v>
      </c>
      <c r="GJ47" s="21" t="n">
        <v>160.088</v>
      </c>
      <c r="GK47" s="21" t="n">
        <v>81.71899999999999</v>
      </c>
      <c r="GL47" s="21" t="n">
        <v>118.631</v>
      </c>
      <c r="GM47" s="21" t="n">
        <v>113.969</v>
      </c>
      <c r="GN47" s="21" t="n">
        <v>113.72</v>
      </c>
      <c r="GO47" s="21" t="n">
        <v>116.284</v>
      </c>
      <c r="GP47" s="21" t="n">
        <v>113.513</v>
      </c>
      <c r="GQ47" s="21" t="n">
        <v>132.284</v>
      </c>
      <c r="GR47" s="21" t="n">
        <v>81.056</v>
      </c>
      <c r="GS47" s="21" t="n">
        <v>105.651</v>
      </c>
      <c r="GT47" s="21" t="n">
        <v>100.905</v>
      </c>
      <c r="GU47" s="21" t="n">
        <v>137.22</v>
      </c>
      <c r="GV47" s="21" t="n">
        <v>140.433</v>
      </c>
      <c r="GW47" s="21" t="n">
        <v>155.478</v>
      </c>
      <c r="GX47" s="21" t="n">
        <v>125.75</v>
      </c>
      <c r="GY47" s="21" t="n">
        <v>124.719</v>
      </c>
      <c r="GZ47" s="21" t="n">
        <v>176.395</v>
      </c>
      <c r="HA47" s="21" t="n">
        <v>152.479</v>
      </c>
      <c r="HB47" s="21" t="n">
        <v>169.58</v>
      </c>
      <c r="HC47" s="21" t="n">
        <v>213.482</v>
      </c>
      <c r="HD47" s="21" t="n">
        <v>209.429</v>
      </c>
      <c r="HE47" s="21" t="n">
        <v>98.425</v>
      </c>
      <c r="HF47" s="21" t="n">
        <v>145.588</v>
      </c>
      <c r="HG47" s="21" t="n">
        <v>100.897</v>
      </c>
      <c r="HH47" s="21" t="n">
        <v>141.642</v>
      </c>
      <c r="HI47" s="21" t="n">
        <v>154.787</v>
      </c>
      <c r="HJ47" s="21" t="n"/>
      <c r="HK47" s="21" t="n">
        <v>136.45</v>
      </c>
      <c r="HL47" s="21" t="n">
        <v>89.41</v>
      </c>
      <c r="HM47" s="21" t="n">
        <v>127.127</v>
      </c>
      <c r="HN47" s="21" t="n">
        <v>255.126</v>
      </c>
      <c r="HO47" s="21" t="n">
        <v>253.793</v>
      </c>
      <c r="HP47" s="21" t="n">
        <v>249.148</v>
      </c>
      <c r="HQ47" s="21" t="n">
        <v>270.093</v>
      </c>
      <c r="HR47" s="21" t="n">
        <v>264.774</v>
      </c>
      <c r="HS47" s="21" t="n">
        <v>241.39</v>
      </c>
      <c r="HT47" s="21" t="n">
        <v>143.99</v>
      </c>
      <c r="HU47" s="21" t="n">
        <v>122.645</v>
      </c>
      <c r="HV47" s="21" t="n">
        <v>173.209</v>
      </c>
      <c r="HW47" s="21" t="n">
        <v>164.015</v>
      </c>
      <c r="HX47" s="21" t="n">
        <v>382.287</v>
      </c>
      <c r="HY47" s="21" t="n">
        <v>289.057</v>
      </c>
      <c r="HZ47" s="21" t="n">
        <v>305.946</v>
      </c>
      <c r="IA47" s="21" t="n">
        <v>261.173</v>
      </c>
      <c r="IB47" s="21" t="n">
        <v>177.09</v>
      </c>
      <c r="IC47" s="21" t="n">
        <v>573.05</v>
      </c>
      <c r="ID47" s="21" t="n">
        <v>189.382</v>
      </c>
      <c r="IE47" s="21" t="n">
        <v>178.703</v>
      </c>
      <c r="IF47" s="21" t="n">
        <v>206.671</v>
      </c>
      <c r="IG47" s="21" t="n">
        <v>233.754</v>
      </c>
      <c r="IH47" s="21" t="n"/>
      <c r="II47" s="21" t="n">
        <v>258.42</v>
      </c>
      <c r="IJ47" s="21" t="n">
        <v>265.93</v>
      </c>
      <c r="IK47" s="21" t="n">
        <v>157.104</v>
      </c>
      <c r="IL47" s="21" t="n">
        <v>129.289</v>
      </c>
      <c r="IM47" s="21" t="n"/>
      <c r="IN47" s="21" t="n">
        <v>66.386</v>
      </c>
      <c r="IO47" s="21" t="n">
        <v>318.701</v>
      </c>
      <c r="IP47" s="21" t="n">
        <v>128.177</v>
      </c>
      <c r="IQ47" s="21" t="n">
        <v>485.269</v>
      </c>
      <c r="IR47" s="21" t="n">
        <v>379.662</v>
      </c>
      <c r="IS47" s="21" t="n">
        <v>124.269</v>
      </c>
      <c r="IT47" s="21" t="n">
        <v>524.37</v>
      </c>
      <c r="IU47" s="21" t="n">
        <v>97.104</v>
      </c>
      <c r="IV47" s="21" t="n">
        <v>101.048</v>
      </c>
      <c r="IW47" s="21" t="n">
        <v>519.152</v>
      </c>
      <c r="IX47" s="21" t="n">
        <v>378.34</v>
      </c>
      <c r="IY47" s="21" t="n">
        <v>380.489</v>
      </c>
      <c r="IZ47" s="21" t="n">
        <v>485.116</v>
      </c>
      <c r="JA47" s="21" t="n">
        <v>189.815</v>
      </c>
      <c r="JB47" s="21" t="n">
        <v>237.344</v>
      </c>
      <c r="JC47" s="21" t="n">
        <v>79.021</v>
      </c>
      <c r="JD47" s="21" t="n">
        <v>332.853</v>
      </c>
      <c r="JE47" s="21" t="n">
        <v>324.754</v>
      </c>
      <c r="JF47" s="21" t="n">
        <v>735.745</v>
      </c>
      <c r="JG47" s="21" t="n">
        <v>230.134</v>
      </c>
      <c r="JH47" s="21" t="n">
        <v>121.981</v>
      </c>
      <c r="JI47" s="21" t="n">
        <v>136.877</v>
      </c>
      <c r="JJ47" s="21" t="n">
        <v>118.85</v>
      </c>
      <c r="JK47" s="21" t="n">
        <v>103.959</v>
      </c>
      <c r="JL47" s="21" t="n">
        <v>182.433</v>
      </c>
      <c r="JM47" s="21" t="n">
        <v>470.687</v>
      </c>
      <c r="JN47" s="21" t="n">
        <v>120.532</v>
      </c>
      <c r="JO47" s="21" t="n">
        <v>74.212</v>
      </c>
      <c r="JP47" s="21" t="n">
        <v>38.818</v>
      </c>
      <c r="JQ47" s="21" t="n">
        <v>130.699</v>
      </c>
      <c r="JR47" s="21" t="n">
        <v>27.39</v>
      </c>
      <c r="JS47" s="21" t="n">
        <v>82.19</v>
      </c>
      <c r="JT47" s="21" t="n">
        <v>173.449</v>
      </c>
      <c r="JU47" s="21" t="n">
        <v>198.551</v>
      </c>
      <c r="JV47" s="21" t="n">
        <v>150.916</v>
      </c>
      <c r="JW47" s="21" t="n">
        <v>115.082</v>
      </c>
      <c r="JX47" s="21" t="n">
        <v>247.035</v>
      </c>
      <c r="JY47" s="21" t="n">
        <v>194.231</v>
      </c>
      <c r="JZ47" s="21" t="n">
        <v>259.159</v>
      </c>
      <c r="KA47" s="21" t="n">
        <v>108.666</v>
      </c>
      <c r="KB47" s="21" t="n">
        <v>144.583</v>
      </c>
      <c r="KC47" s="21" t="n">
        <v>78.27500000000001</v>
      </c>
      <c r="KD47" s="21" t="n">
        <v>74.605</v>
      </c>
      <c r="KE47" s="21" t="n">
        <v>54.02</v>
      </c>
      <c r="KF47" s="21" t="n"/>
      <c r="KG47" s="21" t="n">
        <v>22.419</v>
      </c>
      <c r="KH47" s="21" t="n">
        <v>122.944</v>
      </c>
      <c r="KI47" s="21" t="n"/>
      <c r="KJ47" s="21" t="n">
        <v>110.91</v>
      </c>
      <c r="KK47" s="21" t="n">
        <v>36.213</v>
      </c>
      <c r="KL47" s="21" t="n">
        <v>32.4</v>
      </c>
      <c r="KM47" s="21" t="n">
        <v>39.734</v>
      </c>
      <c r="KN47" s="21" t="n"/>
      <c r="KO47" s="21" t="n">
        <v>94.78400000000001</v>
      </c>
      <c r="KP47" s="21" t="n">
        <v>101.7</v>
      </c>
      <c r="KQ47" s="21" t="n">
        <v>168.504</v>
      </c>
      <c r="KR47" s="21" t="n">
        <v>139.847</v>
      </c>
      <c r="KS47" s="21" t="n">
        <v>380.277</v>
      </c>
      <c r="KT47" s="21" t="n">
        <v>183.282</v>
      </c>
      <c r="KU47" s="21" t="n">
        <v>220.902</v>
      </c>
      <c r="KV47" s="21" t="n">
        <v>315.765</v>
      </c>
      <c r="KW47" s="21" t="n">
        <v>249.413</v>
      </c>
      <c r="KX47" s="21" t="n">
        <v>180.878</v>
      </c>
      <c r="KY47" s="21" t="n">
        <v>95.31</v>
      </c>
      <c r="KZ47" s="21" t="n">
        <v>137.776</v>
      </c>
      <c r="LA47" s="21" t="n">
        <v>262.947</v>
      </c>
      <c r="LB47" s="21" t="n">
        <v>691.11</v>
      </c>
      <c r="LC47" s="21" t="n">
        <v>244.307</v>
      </c>
      <c r="LD47" s="21" t="n">
        <v>753.806</v>
      </c>
      <c r="LE47" s="21" t="n">
        <v>858.998</v>
      </c>
      <c r="LF47" s="21" t="n">
        <v>81.76300000000001</v>
      </c>
      <c r="LG47" s="21" t="n">
        <v>296.74</v>
      </c>
      <c r="LH47" s="21" t="n">
        <v>253.242</v>
      </c>
      <c r="LI47" s="21" t="n">
        <v>73.86199999999999</v>
      </c>
      <c r="LJ47" s="21" t="n">
        <v>185.31</v>
      </c>
      <c r="LK47" s="21" t="n">
        <v>289.966</v>
      </c>
      <c r="LL47" s="21" t="n">
        <v>311.997</v>
      </c>
      <c r="LM47" s="21" t="n">
        <v>69.964</v>
      </c>
      <c r="LN47" s="21" t="n">
        <v>90.417</v>
      </c>
      <c r="LO47" s="21" t="n">
        <v>47.701</v>
      </c>
      <c r="LP47" s="21" t="n">
        <v>116.666</v>
      </c>
      <c r="LQ47" s="21" t="n"/>
      <c r="LR47" s="21" t="n"/>
      <c r="LS47" s="21" t="n">
        <v>110.983</v>
      </c>
      <c r="LT47" s="21" t="n">
        <v>40.573</v>
      </c>
      <c r="LU47" s="21" t="n">
        <v>32.143</v>
      </c>
      <c r="LV47" s="21" t="n">
        <v>76.434</v>
      </c>
      <c r="LW47" s="21" t="n">
        <v>238.172</v>
      </c>
      <c r="LX47" s="21" t="n"/>
      <c r="LY47" s="21" t="n">
        <v>444.334</v>
      </c>
      <c r="LZ47" s="21" t="n">
        <v>68.175</v>
      </c>
      <c r="MA47" s="21" t="n">
        <v>442.427</v>
      </c>
      <c r="MB47" s="21" t="n">
        <v>274.85</v>
      </c>
      <c r="MC47" s="21" t="n">
        <v>231.401</v>
      </c>
      <c r="MD47" s="21" t="n">
        <v>161.101</v>
      </c>
      <c r="ME47" s="21" t="n">
        <v>102.65</v>
      </c>
      <c r="MF47" s="21" t="n">
        <v>184.692</v>
      </c>
      <c r="MG47" s="21" t="n">
        <v>266.758</v>
      </c>
      <c r="MH47" s="21" t="n">
        <v>162.766</v>
      </c>
      <c r="MI47" s="21" t="n">
        <v>444.485</v>
      </c>
      <c r="MJ47" s="21" t="n">
        <v>363.273</v>
      </c>
      <c r="MK47" s="21" t="n">
        <v>334.042</v>
      </c>
      <c r="ML47" s="21" t="n">
        <v>171.696</v>
      </c>
      <c r="MM47" s="21" t="n">
        <v>191.136</v>
      </c>
      <c r="MN47" s="21" t="n">
        <v>364.499</v>
      </c>
      <c r="MO47" s="21" t="n">
        <v>172.142</v>
      </c>
      <c r="MP47" s="21" t="n">
        <v>254.755</v>
      </c>
      <c r="MQ47" s="21" t="n">
        <v>70.93000000000001</v>
      </c>
      <c r="MR47" s="21" t="n">
        <v>142.997</v>
      </c>
      <c r="MS47" s="21" t="n">
        <v>70.782</v>
      </c>
      <c r="MT47" s="21" t="n">
        <v>241.728</v>
      </c>
      <c r="MU47" s="21" t="n">
        <v>257.653</v>
      </c>
      <c r="MV47" s="21" t="n">
        <v>252.636</v>
      </c>
      <c r="MW47" s="21" t="n">
        <v>259.063</v>
      </c>
      <c r="MX47" s="21" t="n">
        <v>233.231</v>
      </c>
      <c r="MY47" s="21" t="n">
        <v>227.577</v>
      </c>
      <c r="MZ47" s="21" t="n">
        <v>230.517</v>
      </c>
      <c r="NA47" s="21" t="n">
        <v>236.373</v>
      </c>
      <c r="NB47" s="21" t="n">
        <v>122.582</v>
      </c>
      <c r="NC47" s="21" t="n">
        <v>186.071</v>
      </c>
      <c r="ND47" s="21" t="n">
        <v>155.254</v>
      </c>
      <c r="NE47" s="21" t="n">
        <v>151.937</v>
      </c>
      <c r="NF47" s="21" t="n">
        <v>144.134</v>
      </c>
      <c r="NG47" s="21" t="n">
        <v>145.724</v>
      </c>
      <c r="NH47" s="21" t="n">
        <v>247.519</v>
      </c>
      <c r="NI47" s="21" t="n">
        <v>103.726</v>
      </c>
      <c r="NJ47" s="21" t="n">
        <v>74.53100000000001</v>
      </c>
      <c r="NK47" s="21" t="n">
        <v>110.568</v>
      </c>
      <c r="NL47" s="21" t="n">
        <v>225.757</v>
      </c>
      <c r="NM47" s="21" t="n">
        <v>259.561</v>
      </c>
      <c r="NN47" s="21" t="n">
        <v>90.09</v>
      </c>
      <c r="NO47" s="21" t="n">
        <v>54.119</v>
      </c>
      <c r="NP47" s="21" t="n">
        <v>228.816</v>
      </c>
      <c r="NQ47" s="21" t="n">
        <v>206.47</v>
      </c>
      <c r="NR47" s="21" t="n">
        <v>253.05</v>
      </c>
      <c r="NS47" s="21" t="n">
        <v>203.673</v>
      </c>
      <c r="NT47" s="21" t="n">
        <v>254.582</v>
      </c>
      <c r="NU47" s="21" t="n">
        <v>112.184</v>
      </c>
      <c r="NV47" s="21" t="n">
        <v>123.372</v>
      </c>
      <c r="NW47" s="21" t="n">
        <v>355.315</v>
      </c>
      <c r="NX47" s="21" t="n">
        <v>79.474</v>
      </c>
      <c r="NY47" s="21" t="n">
        <v>122.024</v>
      </c>
      <c r="NZ47" s="21" t="n">
        <v>323.524</v>
      </c>
      <c r="OA47" s="21" t="n">
        <v>318.699</v>
      </c>
      <c r="OB47" s="21" t="n">
        <v>330.465</v>
      </c>
      <c r="OC47" s="21" t="n">
        <v>303.469</v>
      </c>
      <c r="OD47" s="21" t="n">
        <v>337.77</v>
      </c>
      <c r="OE47" s="21" t="n">
        <v>103.313</v>
      </c>
      <c r="OF47" s="21" t="n">
        <v>324.131</v>
      </c>
      <c r="OG47" s="21" t="n">
        <v>216.596</v>
      </c>
      <c r="OH47" s="21" t="n">
        <v>42.273</v>
      </c>
      <c r="OI47" s="21" t="n">
        <v>125.444</v>
      </c>
      <c r="OJ47" s="21" t="n">
        <v>39.5</v>
      </c>
      <c r="OK47" s="21" t="n">
        <v>13.2</v>
      </c>
    </row>
    <row r="48">
      <c r="A48" s="22" t="n">
        <v>43405</v>
      </c>
      <c r="B48" s="21" t="n">
        <v>252.038</v>
      </c>
      <c r="C48" s="21" t="n">
        <v>754.992</v>
      </c>
      <c r="D48" s="21" t="n">
        <v>254.262</v>
      </c>
      <c r="E48" s="21" t="n">
        <v>254.379</v>
      </c>
      <c r="F48" s="21" t="n">
        <v>239.352</v>
      </c>
      <c r="G48" s="21" t="n">
        <v>273.24</v>
      </c>
      <c r="H48" s="21" t="n">
        <v>224.32</v>
      </c>
      <c r="I48" s="21" t="n">
        <v>225.211</v>
      </c>
      <c r="J48" s="21" t="n">
        <v>219.212</v>
      </c>
      <c r="K48" s="21" t="n">
        <v>236.105</v>
      </c>
      <c r="L48" s="21" t="n">
        <v>164.101</v>
      </c>
      <c r="M48" s="21" t="n">
        <v>301.503</v>
      </c>
      <c r="N48" s="21" t="n">
        <v>180.754</v>
      </c>
      <c r="O48" s="21" t="n">
        <v>326.13</v>
      </c>
      <c r="P48" s="21" t="n">
        <v>353.227</v>
      </c>
      <c r="Q48" s="21" t="n">
        <v>182.516</v>
      </c>
      <c r="R48" s="21" t="n">
        <v>291.586</v>
      </c>
      <c r="S48" s="21" t="n">
        <v>315.489</v>
      </c>
      <c r="T48" s="21" t="n">
        <v>272.192</v>
      </c>
      <c r="U48" s="21" t="n">
        <v>263.329</v>
      </c>
      <c r="V48" s="21" t="n">
        <v>303.814</v>
      </c>
      <c r="W48" s="21" t="n">
        <v>294.986</v>
      </c>
      <c r="X48" s="21" t="n">
        <v>266.978</v>
      </c>
      <c r="Y48" s="21" t="n">
        <v>247.954</v>
      </c>
      <c r="Z48" s="21" t="n">
        <v>250.341</v>
      </c>
      <c r="AA48" s="21" t="n">
        <v>251.047</v>
      </c>
      <c r="AB48" s="21" t="n">
        <v>300.666</v>
      </c>
      <c r="AC48" s="21" t="n">
        <v>266.721</v>
      </c>
      <c r="AD48" s="21" t="n">
        <v>221.141</v>
      </c>
      <c r="AE48" s="21" t="n">
        <v>202.915</v>
      </c>
      <c r="AF48" s="21" t="n">
        <v>243.23</v>
      </c>
      <c r="AG48" s="21" t="n">
        <v>209.33</v>
      </c>
      <c r="AH48" s="21" t="n">
        <v>156.348</v>
      </c>
      <c r="AI48" s="21" t="n">
        <v>294.519</v>
      </c>
      <c r="AJ48" s="21" t="n">
        <v>140.695</v>
      </c>
      <c r="AK48" s="21" t="n">
        <v>200.186</v>
      </c>
      <c r="AL48" s="21" t="n">
        <v>224.053</v>
      </c>
      <c r="AM48" s="21" t="n">
        <v>187.146</v>
      </c>
      <c r="AN48" s="21" t="n">
        <v>126.857</v>
      </c>
      <c r="AO48" s="21" t="n">
        <v>222.95</v>
      </c>
      <c r="AP48" s="21" t="n">
        <v>233.452</v>
      </c>
      <c r="AQ48" s="21" t="n">
        <v>142.491</v>
      </c>
      <c r="AR48" s="21" t="n"/>
      <c r="AS48" s="21" t="n"/>
      <c r="AT48" s="21" t="n">
        <v>230.461</v>
      </c>
      <c r="AU48" s="21" t="n">
        <v>149.241</v>
      </c>
      <c r="AV48" s="21" t="n">
        <v>246.869</v>
      </c>
      <c r="AW48" s="21" t="n">
        <v>222.784</v>
      </c>
      <c r="AX48" s="21" t="n">
        <v>145.983</v>
      </c>
      <c r="AY48" s="21" t="n">
        <v>298.392</v>
      </c>
      <c r="AZ48" s="21" t="n">
        <v>184.765</v>
      </c>
      <c r="BA48" s="21" t="n">
        <v>149.641</v>
      </c>
      <c r="BB48" s="21" t="n">
        <v>215.22</v>
      </c>
      <c r="BC48" s="21" t="n">
        <v>309.394</v>
      </c>
      <c r="BD48" s="21" t="n">
        <v>217.225</v>
      </c>
      <c r="BE48" s="21" t="n">
        <v>215.896</v>
      </c>
      <c r="BF48" s="21" t="n">
        <v>138.537</v>
      </c>
      <c r="BG48" s="21" t="n">
        <v>196.414</v>
      </c>
      <c r="BH48" s="21" t="n">
        <v>144</v>
      </c>
      <c r="BI48" s="21" t="n">
        <v>227.412</v>
      </c>
      <c r="BJ48" s="21" t="n">
        <v>221.662</v>
      </c>
      <c r="BK48" s="21" t="n">
        <v>144.556</v>
      </c>
      <c r="BL48" s="21" t="n">
        <v>296.362</v>
      </c>
      <c r="BM48" s="21" t="n">
        <v>345.846</v>
      </c>
      <c r="BN48" s="21" t="n">
        <v>360.004</v>
      </c>
      <c r="BO48" s="21" t="n">
        <v>322.325</v>
      </c>
      <c r="BP48" s="21" t="n">
        <v>193.453</v>
      </c>
      <c r="BQ48" s="21" t="n">
        <v>265.781</v>
      </c>
      <c r="BR48" s="21" t="n">
        <v>529.23</v>
      </c>
      <c r="BS48" s="21" t="n">
        <v>117.5</v>
      </c>
      <c r="BT48" s="21" t="n">
        <v>329.68</v>
      </c>
      <c r="BU48" s="21" t="n">
        <v>329.364</v>
      </c>
      <c r="BV48" s="21" t="n">
        <v>298.639</v>
      </c>
      <c r="BW48" s="21" t="n">
        <v>346.08</v>
      </c>
      <c r="BX48" s="21" t="n">
        <v>337.035</v>
      </c>
      <c r="BY48" s="21" t="n">
        <v>151.306</v>
      </c>
      <c r="BZ48" s="21" t="n">
        <v>154.905</v>
      </c>
      <c r="CA48" s="21" t="n">
        <v>152.882</v>
      </c>
      <c r="CB48" s="21" t="n">
        <v>162.42</v>
      </c>
      <c r="CC48" s="21" t="n">
        <v>144.21</v>
      </c>
      <c r="CD48" s="21" t="n">
        <v>196.304</v>
      </c>
      <c r="CE48" s="21" t="n">
        <v>151.435</v>
      </c>
      <c r="CF48" s="21" t="n">
        <v>183.797</v>
      </c>
      <c r="CG48" s="21" t="n">
        <v>167.891</v>
      </c>
      <c r="CH48" s="21" t="n">
        <v>130.698</v>
      </c>
      <c r="CI48" s="21" t="n">
        <v>163.948</v>
      </c>
      <c r="CJ48" s="21" t="n">
        <v>181.363</v>
      </c>
      <c r="CK48" s="21" t="n">
        <v>119.084</v>
      </c>
      <c r="CL48" s="21" t="n">
        <v>115.353</v>
      </c>
      <c r="CM48" s="21" t="n">
        <v>191.876</v>
      </c>
      <c r="CN48" s="21" t="n">
        <v>200.631</v>
      </c>
      <c r="CO48" s="21" t="n">
        <v>183.175</v>
      </c>
      <c r="CP48" s="21" t="n">
        <v>127.999</v>
      </c>
      <c r="CQ48" s="21" t="n">
        <v>210.407</v>
      </c>
      <c r="CR48" s="21" t="n">
        <v>216.037</v>
      </c>
      <c r="CS48" s="21" t="n">
        <v>181.639</v>
      </c>
      <c r="CT48" s="21" t="n">
        <v>147.521</v>
      </c>
      <c r="CU48" s="21" t="n">
        <v>151.784</v>
      </c>
      <c r="CV48" s="21" t="n">
        <v>225.395</v>
      </c>
      <c r="CW48" s="21" t="n">
        <v>204.314</v>
      </c>
      <c r="CX48" s="21" t="n">
        <v>242.323</v>
      </c>
      <c r="CY48" s="21" t="n">
        <v>296.854</v>
      </c>
      <c r="CZ48" s="21" t="n">
        <v>128.074</v>
      </c>
      <c r="DA48" s="21" t="n">
        <v>155.828</v>
      </c>
      <c r="DB48" s="21" t="n">
        <v>157.808</v>
      </c>
      <c r="DC48" s="21" t="n">
        <v>225.314</v>
      </c>
      <c r="DD48" s="21" t="n">
        <v>233.887</v>
      </c>
      <c r="DE48" s="21" t="n">
        <v>166.001</v>
      </c>
      <c r="DF48" s="21" t="n">
        <v>257.227</v>
      </c>
      <c r="DG48" s="21" t="n">
        <v>240.595</v>
      </c>
      <c r="DH48" s="21" t="n">
        <v>153.155</v>
      </c>
      <c r="DI48" s="21" t="n"/>
      <c r="DJ48" s="21" t="n">
        <v>139.087</v>
      </c>
      <c r="DK48" s="21" t="n">
        <v>271.146</v>
      </c>
      <c r="DL48" s="21" t="n">
        <v>168.352</v>
      </c>
      <c r="DM48" s="21" t="n">
        <v>132.425</v>
      </c>
      <c r="DN48" s="21" t="n">
        <v>127.953</v>
      </c>
      <c r="DO48" s="21" t="n">
        <v>278.306</v>
      </c>
      <c r="DP48" s="21" t="n">
        <v>172.444</v>
      </c>
      <c r="DQ48" s="21" t="n">
        <v>178.024</v>
      </c>
      <c r="DR48" s="21" t="n">
        <v>179.975</v>
      </c>
      <c r="DS48" s="21" t="n">
        <v>148.652</v>
      </c>
      <c r="DT48" s="21" t="n">
        <v>162.804</v>
      </c>
      <c r="DU48" s="21" t="n">
        <v>194.208</v>
      </c>
      <c r="DV48" s="21" t="n">
        <v>251.326</v>
      </c>
      <c r="DW48" s="21" t="n">
        <v>204.276</v>
      </c>
      <c r="DX48" s="21" t="n">
        <v>229.57</v>
      </c>
      <c r="DY48" s="21" t="n">
        <v>192.646</v>
      </c>
      <c r="DZ48" s="21" t="n">
        <v>202.916</v>
      </c>
      <c r="EA48" s="21" t="n">
        <v>188.377</v>
      </c>
      <c r="EB48" s="21" t="n">
        <v>170.396</v>
      </c>
      <c r="EC48" s="21" t="n">
        <v>354.095</v>
      </c>
      <c r="ED48" s="21" t="n">
        <v>175.393</v>
      </c>
      <c r="EE48" s="21" t="n">
        <v>189.986</v>
      </c>
      <c r="EF48" s="21" t="n">
        <v>190.101</v>
      </c>
      <c r="EG48" s="21" t="n">
        <v>260.473</v>
      </c>
      <c r="EH48" s="21" t="n">
        <v>310.95</v>
      </c>
      <c r="EI48" s="21" t="n">
        <v>323.968</v>
      </c>
      <c r="EJ48" s="21" t="n">
        <v>147.609</v>
      </c>
      <c r="EK48" s="21" t="n">
        <v>557.46</v>
      </c>
      <c r="EL48" s="21" t="n">
        <v>297.568</v>
      </c>
      <c r="EM48" s="21" t="n">
        <v>319.338</v>
      </c>
      <c r="EN48" s="21" t="n">
        <v>319.352</v>
      </c>
      <c r="EO48" s="21" t="n">
        <v>151.699</v>
      </c>
      <c r="EP48" s="21" t="n">
        <v>239.691</v>
      </c>
      <c r="EQ48" s="21" t="n">
        <v>197.632</v>
      </c>
      <c r="ER48" s="21" t="n">
        <v>299.139</v>
      </c>
      <c r="ES48" s="21" t="n">
        <v>305.37</v>
      </c>
      <c r="ET48" s="21" t="n">
        <v>342.448</v>
      </c>
      <c r="EU48" s="21" t="n">
        <v>200.148</v>
      </c>
      <c r="EV48" s="21" t="n">
        <v>209.339</v>
      </c>
      <c r="EW48" s="21" t="n">
        <v>169.821</v>
      </c>
      <c r="EX48" s="21" t="n">
        <v>241.774</v>
      </c>
      <c r="EY48" s="21" t="n">
        <v>557.447</v>
      </c>
      <c r="EZ48" s="21" t="n">
        <v>486.65</v>
      </c>
      <c r="FA48" s="21" t="n">
        <v>121.778</v>
      </c>
      <c r="FB48" s="21" t="n">
        <v>56.957</v>
      </c>
      <c r="FC48" s="21" t="n">
        <v>112.438</v>
      </c>
      <c r="FD48" s="21" t="n">
        <v>62.341</v>
      </c>
      <c r="FE48" s="21" t="n">
        <v>43.684</v>
      </c>
      <c r="FF48" s="21" t="n">
        <v>111.217</v>
      </c>
      <c r="FG48" s="21" t="n">
        <v>128.242</v>
      </c>
      <c r="FH48" s="21" t="n">
        <v>85.47</v>
      </c>
      <c r="FI48" s="21" t="n">
        <v>67.791</v>
      </c>
      <c r="FJ48" s="21" t="n">
        <v>90.884</v>
      </c>
      <c r="FK48" s="21" t="n">
        <v>76.54600000000001</v>
      </c>
      <c r="FL48" s="21" t="n">
        <v>83.08199999999999</v>
      </c>
      <c r="FM48" s="21" t="n">
        <v>97.21299999999999</v>
      </c>
      <c r="FN48" s="21" t="n">
        <v>66.125</v>
      </c>
      <c r="FO48" s="21" t="n">
        <v>51.194</v>
      </c>
      <c r="FP48" s="21" t="n">
        <v>38.067</v>
      </c>
      <c r="FQ48" s="21" t="n">
        <v>129.401</v>
      </c>
      <c r="FR48" s="21" t="n">
        <v>46.48</v>
      </c>
      <c r="FS48" s="21" t="n">
        <v>82.131</v>
      </c>
      <c r="FT48" s="21" t="n">
        <v>89.09399999999999</v>
      </c>
      <c r="FU48" s="21" t="n">
        <v>97.426</v>
      </c>
      <c r="FV48" s="21" t="n">
        <v>85.20999999999999</v>
      </c>
      <c r="FW48" s="21" t="n">
        <v>188.132</v>
      </c>
      <c r="FX48" s="21" t="n">
        <v>119.621</v>
      </c>
      <c r="FY48" s="21" t="n">
        <v>172.862</v>
      </c>
      <c r="FZ48" s="21" t="n">
        <v>118.647</v>
      </c>
      <c r="GA48" s="21" t="n">
        <v>187.223</v>
      </c>
      <c r="GB48" s="21" t="n">
        <v>167.129</v>
      </c>
      <c r="GC48" s="21" t="n">
        <v>195.145</v>
      </c>
      <c r="GD48" s="21" t="n">
        <v>167.463</v>
      </c>
      <c r="GE48" s="21" t="n">
        <v>250.96</v>
      </c>
      <c r="GF48" s="21" t="n">
        <v>124.935</v>
      </c>
      <c r="GG48" s="21" t="n">
        <v>119.156</v>
      </c>
      <c r="GH48" s="21" t="n">
        <v>120.083</v>
      </c>
      <c r="GI48" s="21" t="n">
        <v>105.268</v>
      </c>
      <c r="GJ48" s="21" t="n">
        <v>159.858</v>
      </c>
      <c r="GK48" s="21" t="n">
        <v>77.078</v>
      </c>
      <c r="GL48" s="21" t="n">
        <v>114.118</v>
      </c>
      <c r="GM48" s="21" t="n">
        <v>113.081</v>
      </c>
      <c r="GN48" s="21" t="n">
        <v>109.128</v>
      </c>
      <c r="GO48" s="21" t="n">
        <v>111.743</v>
      </c>
      <c r="GP48" s="21" t="n">
        <v>110.024</v>
      </c>
      <c r="GQ48" s="21" t="n">
        <v>122.327</v>
      </c>
      <c r="GR48" s="21" t="n">
        <v>77.07599999999999</v>
      </c>
      <c r="GS48" s="21" t="n">
        <v>105.145</v>
      </c>
      <c r="GT48" s="21" t="n">
        <v>96.047</v>
      </c>
      <c r="GU48" s="21" t="n">
        <v>135.203</v>
      </c>
      <c r="GV48" s="21" t="n">
        <v>139.776</v>
      </c>
      <c r="GW48" s="21" t="n">
        <v>153.667</v>
      </c>
      <c r="GX48" s="21" t="n">
        <v>122.781</v>
      </c>
      <c r="GY48" s="21" t="n">
        <v>121.967</v>
      </c>
      <c r="GZ48" s="21" t="n">
        <v>167.88</v>
      </c>
      <c r="HA48" s="21" t="n">
        <v>138.193</v>
      </c>
      <c r="HB48" s="21" t="n">
        <v>167.058</v>
      </c>
      <c r="HC48" s="21" t="n">
        <v>209.924</v>
      </c>
      <c r="HD48" s="21" t="n">
        <v>205.769</v>
      </c>
      <c r="HE48" s="21" t="n">
        <v>98.90000000000001</v>
      </c>
      <c r="HF48" s="21" t="n">
        <v>145.826</v>
      </c>
      <c r="HG48" s="21" t="n">
        <v>101.06</v>
      </c>
      <c r="HH48" s="21" t="n">
        <v>141.912</v>
      </c>
      <c r="HI48" s="21" t="n">
        <v>155.035</v>
      </c>
      <c r="HJ48" s="21" t="n"/>
      <c r="HK48" s="21" t="n">
        <v>138.01</v>
      </c>
      <c r="HL48" s="21" t="n">
        <v>89.249</v>
      </c>
      <c r="HM48" s="21" t="n">
        <v>128.326</v>
      </c>
      <c r="HN48" s="21" t="n">
        <v>236.934</v>
      </c>
      <c r="HO48" s="21" t="n">
        <v>235.381</v>
      </c>
      <c r="HP48" s="21" t="n">
        <v>230.284</v>
      </c>
      <c r="HQ48" s="21" t="n">
        <v>254.424</v>
      </c>
      <c r="HR48" s="21" t="n">
        <v>250.906</v>
      </c>
      <c r="HS48" s="21" t="n">
        <v>237.781</v>
      </c>
      <c r="HT48" s="21" t="n">
        <v>144.493</v>
      </c>
      <c r="HU48" s="21" t="n">
        <v>122.769</v>
      </c>
      <c r="HV48" s="21" t="n">
        <v>174.434</v>
      </c>
      <c r="HW48" s="21" t="n">
        <v>164.579</v>
      </c>
      <c r="HX48" s="21" t="n">
        <v>398.701</v>
      </c>
      <c r="HY48" s="21" t="n">
        <v>290.114</v>
      </c>
      <c r="HZ48" s="21" t="n">
        <v>306.043</v>
      </c>
      <c r="IA48" s="21" t="n">
        <v>262.174</v>
      </c>
      <c r="IB48" s="21" t="n">
        <v>177.765</v>
      </c>
      <c r="IC48" s="21" t="n">
        <v>573.338</v>
      </c>
      <c r="ID48" s="21" t="n">
        <v>190.018</v>
      </c>
      <c r="IE48" s="21" t="n">
        <v>179.173</v>
      </c>
      <c r="IF48" s="21" t="n">
        <v>207.546</v>
      </c>
      <c r="IG48" s="21" t="n">
        <v>235.06</v>
      </c>
      <c r="IH48" s="21" t="n"/>
      <c r="II48" s="21" t="n">
        <v>256.986</v>
      </c>
      <c r="IJ48" s="21" t="n">
        <v>263.809</v>
      </c>
      <c r="IK48" s="21" t="n">
        <v>156.471</v>
      </c>
      <c r="IL48" s="21" t="n">
        <v>132.932</v>
      </c>
      <c r="IM48" s="21" t="n"/>
      <c r="IN48" s="21" t="n">
        <v>65.971</v>
      </c>
      <c r="IO48" s="21" t="n">
        <v>318.699</v>
      </c>
      <c r="IP48" s="21" t="n">
        <v>128.177</v>
      </c>
      <c r="IQ48" s="21" t="n">
        <v>486.886</v>
      </c>
      <c r="IR48" s="21" t="n">
        <v>380.658</v>
      </c>
      <c r="IS48" s="21" t="n">
        <v>124.587</v>
      </c>
      <c r="IT48" s="21" t="n">
        <v>525.494</v>
      </c>
      <c r="IU48" s="21" t="n">
        <v>97.505</v>
      </c>
      <c r="IV48" s="21" t="n">
        <v>101.516</v>
      </c>
      <c r="IW48" s="21" t="n">
        <v>520.973</v>
      </c>
      <c r="IX48" s="21" t="n">
        <v>378.26</v>
      </c>
      <c r="IY48" s="21" t="n">
        <v>379.872</v>
      </c>
      <c r="IZ48" s="21" t="n">
        <v>485.206</v>
      </c>
      <c r="JA48" s="21" t="n">
        <v>190.045</v>
      </c>
      <c r="JB48" s="21" t="n">
        <v>238.25</v>
      </c>
      <c r="JC48" s="21" t="n">
        <v>79.32899999999999</v>
      </c>
      <c r="JD48" s="21" t="n">
        <v>334.242</v>
      </c>
      <c r="JE48" s="21" t="n">
        <v>324.842</v>
      </c>
      <c r="JF48" s="21" t="n">
        <v>741.183</v>
      </c>
      <c r="JG48" s="21" t="n">
        <v>230.4</v>
      </c>
      <c r="JH48" s="21" t="n">
        <v>122.334</v>
      </c>
      <c r="JI48" s="21" t="n">
        <v>138.772</v>
      </c>
      <c r="JJ48" s="21" t="n">
        <v>119.147</v>
      </c>
      <c r="JK48" s="21" t="n">
        <v>103.995</v>
      </c>
      <c r="JL48" s="21" t="n">
        <v>176.951</v>
      </c>
      <c r="JM48" s="21" t="n">
        <v>472.254</v>
      </c>
      <c r="JN48" s="21" t="n">
        <v>118.615</v>
      </c>
      <c r="JO48" s="21" t="n">
        <v>74.03400000000001</v>
      </c>
      <c r="JP48" s="21" t="n">
        <v>38.568</v>
      </c>
      <c r="JQ48" s="21" t="n">
        <v>130.45</v>
      </c>
      <c r="JR48" s="21" t="n">
        <v>26.831</v>
      </c>
      <c r="JS48" s="21" t="n">
        <v>82.73699999999999</v>
      </c>
      <c r="JT48" s="21" t="n">
        <v>173.488</v>
      </c>
      <c r="JU48" s="21" t="n">
        <v>198.677</v>
      </c>
      <c r="JV48" s="21" t="n">
        <v>150.883</v>
      </c>
      <c r="JW48" s="21" t="n">
        <v>115.443</v>
      </c>
      <c r="JX48" s="21" t="n">
        <v>246.941</v>
      </c>
      <c r="JY48" s="21" t="n">
        <v>194.404</v>
      </c>
      <c r="JZ48" s="21" t="n">
        <v>258.617</v>
      </c>
      <c r="KA48" s="21" t="n">
        <v>109.114</v>
      </c>
      <c r="KB48" s="21" t="n">
        <v>145.303</v>
      </c>
      <c r="KC48" s="21" t="n">
        <v>78.50700000000001</v>
      </c>
      <c r="KD48" s="21" t="n">
        <v>75.273</v>
      </c>
      <c r="KE48" s="21" t="n">
        <v>54.169</v>
      </c>
      <c r="KF48" s="21" t="n"/>
      <c r="KG48" s="21" t="n">
        <v>22.496</v>
      </c>
      <c r="KH48" s="21" t="n">
        <v>124.712</v>
      </c>
      <c r="KI48" s="21" t="n"/>
      <c r="KJ48" s="21" t="n">
        <v>113.982</v>
      </c>
      <c r="KK48" s="21" t="n">
        <v>35.839</v>
      </c>
      <c r="KL48" s="21" t="n">
        <v>31.974</v>
      </c>
      <c r="KM48" s="21" t="n">
        <v>39.273</v>
      </c>
      <c r="KN48" s="21" t="n"/>
      <c r="KO48" s="21" t="n">
        <v>95.625</v>
      </c>
      <c r="KP48" s="21" t="n">
        <v>101.372</v>
      </c>
      <c r="KQ48" s="21" t="n">
        <v>169.763</v>
      </c>
      <c r="KR48" s="21" t="n">
        <v>141.997</v>
      </c>
      <c r="KS48" s="21" t="n">
        <v>380.427</v>
      </c>
      <c r="KT48" s="21" t="n">
        <v>182.109</v>
      </c>
      <c r="KU48" s="21" t="n">
        <v>220.513</v>
      </c>
      <c r="KV48" s="21" t="n">
        <v>317.633</v>
      </c>
      <c r="KW48" s="21" t="n">
        <v>250.258</v>
      </c>
      <c r="KX48" s="21" t="n">
        <v>182.297</v>
      </c>
      <c r="KY48" s="21" t="n">
        <v>94.95699999999999</v>
      </c>
      <c r="KZ48" s="21" t="n">
        <v>136.981</v>
      </c>
      <c r="LA48" s="21" t="n">
        <v>263.119</v>
      </c>
      <c r="LB48" s="21" t="n">
        <v>690.333</v>
      </c>
      <c r="LC48" s="21" t="n">
        <v>244.353</v>
      </c>
      <c r="LD48" s="21" t="n">
        <v>754.3579999999999</v>
      </c>
      <c r="LE48" s="21" t="n">
        <v>859.711</v>
      </c>
      <c r="LF48" s="21" t="n">
        <v>81.738</v>
      </c>
      <c r="LG48" s="21" t="n">
        <v>297.048</v>
      </c>
      <c r="LH48" s="21" t="n">
        <v>253.177</v>
      </c>
      <c r="LI48" s="21" t="n">
        <v>73.03100000000001</v>
      </c>
      <c r="LJ48" s="21" t="n">
        <v>185.31</v>
      </c>
      <c r="LK48" s="21" t="n">
        <v>289.966</v>
      </c>
      <c r="LL48" s="21" t="n">
        <v>312</v>
      </c>
      <c r="LM48" s="21" t="n">
        <v>69.15300000000001</v>
      </c>
      <c r="LN48" s="21" t="n">
        <v>88.976</v>
      </c>
      <c r="LO48" s="21" t="n">
        <v>46.633</v>
      </c>
      <c r="LP48" s="21" t="n">
        <v>117.06</v>
      </c>
      <c r="LQ48" s="21" t="n"/>
      <c r="LR48" s="21" t="n"/>
      <c r="LS48" s="21" t="n">
        <v>110.608</v>
      </c>
      <c r="LT48" s="21" t="n">
        <v>39.841</v>
      </c>
      <c r="LU48" s="21" t="n">
        <v>32.262</v>
      </c>
      <c r="LV48" s="21" t="n">
        <v>76.673</v>
      </c>
      <c r="LW48" s="21" t="n">
        <v>235.162</v>
      </c>
      <c r="LX48" s="21" t="n"/>
      <c r="LY48" s="21" t="n">
        <v>445.48</v>
      </c>
      <c r="LZ48" s="21" t="n">
        <v>68.322</v>
      </c>
      <c r="MA48" s="21" t="n">
        <v>443.297</v>
      </c>
      <c r="MB48" s="21" t="n">
        <v>275.938</v>
      </c>
      <c r="MC48" s="21" t="n">
        <v>232.024</v>
      </c>
      <c r="MD48" s="21" t="n">
        <v>160.79</v>
      </c>
      <c r="ME48" s="21" t="n">
        <v>102.359</v>
      </c>
      <c r="MF48" s="21" t="n">
        <v>184.545</v>
      </c>
      <c r="MG48" s="21" t="n">
        <v>267.024</v>
      </c>
      <c r="MH48" s="21" t="n">
        <v>162.928</v>
      </c>
      <c r="MI48" s="21" t="n">
        <v>446.727</v>
      </c>
      <c r="MJ48" s="21" t="n">
        <v>368.049</v>
      </c>
      <c r="MK48" s="21" t="n">
        <v>334.515</v>
      </c>
      <c r="ML48" s="21" t="n">
        <v>171.582</v>
      </c>
      <c r="MM48" s="21" t="n">
        <v>193.626</v>
      </c>
      <c r="MN48" s="21" t="n">
        <v>365.094</v>
      </c>
      <c r="MO48" s="21" t="n">
        <v>172.142</v>
      </c>
      <c r="MP48" s="21" t="n">
        <v>255.444</v>
      </c>
      <c r="MQ48" s="21" t="n">
        <v>71.779</v>
      </c>
      <c r="MR48" s="21" t="n">
        <v>146.191</v>
      </c>
      <c r="MS48" s="21" t="n">
        <v>72.36199999999999</v>
      </c>
      <c r="MT48" s="21" t="n">
        <v>240.766</v>
      </c>
      <c r="MU48" s="21" t="n">
        <v>257.692</v>
      </c>
      <c r="MV48" s="21" t="n">
        <v>251.657</v>
      </c>
      <c r="MW48" s="21" t="n">
        <v>259.105</v>
      </c>
      <c r="MX48" s="21" t="n">
        <v>231.856</v>
      </c>
      <c r="MY48" s="21" t="n">
        <v>225.902</v>
      </c>
      <c r="MZ48" s="21" t="n">
        <v>230.278</v>
      </c>
      <c r="NA48" s="21" t="n">
        <v>235.969</v>
      </c>
      <c r="NB48" s="21" t="n">
        <v>118.031</v>
      </c>
      <c r="NC48" s="21" t="n">
        <v>184.077</v>
      </c>
      <c r="ND48" s="21" t="n">
        <v>152.676</v>
      </c>
      <c r="NE48" s="21" t="n">
        <v>149.295</v>
      </c>
      <c r="NF48" s="21" t="n">
        <v>143.542</v>
      </c>
      <c r="NG48" s="21" t="n">
        <v>144.816</v>
      </c>
      <c r="NH48" s="21" t="n">
        <v>247.172</v>
      </c>
      <c r="NI48" s="21" t="n">
        <v>103.913</v>
      </c>
      <c r="NJ48" s="21" t="n">
        <v>73.619</v>
      </c>
      <c r="NK48" s="21" t="n">
        <v>109.993</v>
      </c>
      <c r="NL48" s="21" t="n">
        <v>215.91</v>
      </c>
      <c r="NM48" s="21" t="n">
        <v>241.633</v>
      </c>
      <c r="NN48" s="21" t="n">
        <v>89.788</v>
      </c>
      <c r="NO48" s="21" t="n">
        <v>53.266</v>
      </c>
      <c r="NP48" s="21" t="n">
        <v>225.342</v>
      </c>
      <c r="NQ48" s="21" t="n">
        <v>200.436</v>
      </c>
      <c r="NR48" s="21" t="n">
        <v>245.875</v>
      </c>
      <c r="NS48" s="21" t="n">
        <v>197.258</v>
      </c>
      <c r="NT48" s="21" t="n">
        <v>246.629</v>
      </c>
      <c r="NU48" s="21" t="n">
        <v>112.364</v>
      </c>
      <c r="NV48" s="21" t="n">
        <v>123.803</v>
      </c>
      <c r="NW48" s="21" t="n">
        <v>355.096</v>
      </c>
      <c r="NX48" s="21" t="n">
        <v>79.268</v>
      </c>
      <c r="NY48" s="21" t="n">
        <v>122.617</v>
      </c>
      <c r="NZ48" s="21" t="n">
        <v>324.118</v>
      </c>
      <c r="OA48" s="21" t="n">
        <v>319.034</v>
      </c>
      <c r="OB48" s="21" t="n">
        <v>330.983</v>
      </c>
      <c r="OC48" s="21" t="n">
        <v>303.695</v>
      </c>
      <c r="OD48" s="21" t="n">
        <v>337.836</v>
      </c>
      <c r="OE48" s="21" t="n">
        <v>103.863</v>
      </c>
      <c r="OF48" s="21" t="n">
        <v>324.168</v>
      </c>
      <c r="OG48" s="21" t="n">
        <v>215.39</v>
      </c>
      <c r="OH48" s="21" t="n">
        <v>41.514</v>
      </c>
      <c r="OI48" s="21" t="n">
        <v>125.821</v>
      </c>
      <c r="OJ48" s="21" t="n">
        <v>39.7</v>
      </c>
      <c r="OK48" s="21" t="n">
        <v>13.2</v>
      </c>
    </row>
    <row r="49">
      <c r="A49" s="22" t="n">
        <v>43435</v>
      </c>
      <c r="B49" s="21" t="n">
        <v>251.233</v>
      </c>
      <c r="C49" s="21" t="n">
        <v>752.5839999999999</v>
      </c>
      <c r="D49" s="21" t="n">
        <v>255.023</v>
      </c>
      <c r="E49" s="21" t="n">
        <v>255.21</v>
      </c>
      <c r="F49" s="21" t="n">
        <v>239.989</v>
      </c>
      <c r="G49" s="21" t="n">
        <v>274.321</v>
      </c>
      <c r="H49" s="21" t="n">
        <v>225.635</v>
      </c>
      <c r="I49" s="21" t="n">
        <v>226.287</v>
      </c>
      <c r="J49" s="21" t="n">
        <v>221.966</v>
      </c>
      <c r="K49" s="21" t="n">
        <v>235.595</v>
      </c>
      <c r="L49" s="21" t="n">
        <v>162.883</v>
      </c>
      <c r="M49" s="21" t="n">
        <v>302.426</v>
      </c>
      <c r="N49" s="21" t="n">
        <v>182.93</v>
      </c>
      <c r="O49" s="21" t="n">
        <v>332.367</v>
      </c>
      <c r="P49" s="21" t="n">
        <v>355.306</v>
      </c>
      <c r="Q49" s="21" t="n">
        <v>181.384</v>
      </c>
      <c r="R49" s="21" t="n">
        <v>292.612</v>
      </c>
      <c r="S49" s="21" t="n">
        <v>318.649</v>
      </c>
      <c r="T49" s="21" t="n">
        <v>272.041</v>
      </c>
      <c r="U49" s="21" t="n">
        <v>262.921</v>
      </c>
      <c r="V49" s="21" t="n">
        <v>303.659</v>
      </c>
      <c r="W49" s="21" t="n">
        <v>296.759</v>
      </c>
      <c r="X49" s="21" t="n">
        <v>265.564</v>
      </c>
      <c r="Y49" s="21" t="n">
        <v>247.327</v>
      </c>
      <c r="Z49" s="21" t="n">
        <v>249.466</v>
      </c>
      <c r="AA49" s="21" t="n">
        <v>249.641</v>
      </c>
      <c r="AB49" s="21" t="n">
        <v>299.352</v>
      </c>
      <c r="AC49" s="21" t="n">
        <v>264.493</v>
      </c>
      <c r="AD49" s="21" t="n">
        <v>223.785</v>
      </c>
      <c r="AE49" s="21" t="n">
        <v>202.199</v>
      </c>
      <c r="AF49" s="21" t="n">
        <v>239.414</v>
      </c>
      <c r="AG49" s="21" t="n">
        <v>205.951</v>
      </c>
      <c r="AH49" s="21" t="n">
        <v>154.712</v>
      </c>
      <c r="AI49" s="21" t="n">
        <v>295.937</v>
      </c>
      <c r="AJ49" s="21" t="n">
        <v>136.557</v>
      </c>
      <c r="AK49" s="21" t="n">
        <v>192.08</v>
      </c>
      <c r="AL49" s="21" t="n">
        <v>213.719</v>
      </c>
      <c r="AM49" s="21" t="n">
        <v>188.385</v>
      </c>
      <c r="AN49" s="21" t="n">
        <v>124.015</v>
      </c>
      <c r="AO49" s="21" t="n">
        <v>224.322</v>
      </c>
      <c r="AP49" s="21" t="n">
        <v>237.148</v>
      </c>
      <c r="AQ49" s="21" t="n">
        <v>143.242</v>
      </c>
      <c r="AR49" s="21" t="n"/>
      <c r="AS49" s="21" t="n"/>
      <c r="AT49" s="21" t="n">
        <v>230.602</v>
      </c>
      <c r="AU49" s="21" t="n">
        <v>150.004</v>
      </c>
      <c r="AV49" s="21" t="n">
        <v>243.174</v>
      </c>
      <c r="AW49" s="21" t="n">
        <v>225.697</v>
      </c>
      <c r="AX49" s="21" t="n">
        <v>143.058</v>
      </c>
      <c r="AY49" s="21" t="n">
        <v>298.167</v>
      </c>
      <c r="AZ49" s="21" t="n">
        <v>185.668</v>
      </c>
      <c r="BA49" s="21" t="n">
        <v>148.642</v>
      </c>
      <c r="BB49" s="21" t="n">
        <v>213.977</v>
      </c>
      <c r="BC49" s="21" t="n">
        <v>306.404</v>
      </c>
      <c r="BD49" s="21" t="n">
        <v>220.112</v>
      </c>
      <c r="BE49" s="21" t="n">
        <v>216.652</v>
      </c>
      <c r="BF49" s="21" t="n">
        <v>137.852</v>
      </c>
      <c r="BG49" s="21" t="n">
        <v>196.199</v>
      </c>
      <c r="BH49" s="21" t="n">
        <v>143.553</v>
      </c>
      <c r="BI49" s="21" t="n">
        <v>227.539</v>
      </c>
      <c r="BJ49" s="21" t="n">
        <v>224.125</v>
      </c>
      <c r="BK49" s="21" t="n">
        <v>146.323</v>
      </c>
      <c r="BL49" s="21" t="n">
        <v>301.134</v>
      </c>
      <c r="BM49" s="21" t="n">
        <v>352.281</v>
      </c>
      <c r="BN49" s="21" t="n">
        <v>361.791</v>
      </c>
      <c r="BO49" s="21" t="n">
        <v>327.632</v>
      </c>
      <c r="BP49" s="21" t="n">
        <v>196.258</v>
      </c>
      <c r="BQ49" s="21" t="n">
        <v>259.004</v>
      </c>
      <c r="BR49" s="21" t="n">
        <v>514.41</v>
      </c>
      <c r="BS49" s="21" t="n">
        <v>119.757</v>
      </c>
      <c r="BT49" s="21" t="n">
        <v>340.909</v>
      </c>
      <c r="BU49" s="21" t="n">
        <v>330.64</v>
      </c>
      <c r="BV49" s="21" t="n">
        <v>338.563</v>
      </c>
      <c r="BW49" s="21" t="n">
        <v>365.078</v>
      </c>
      <c r="BX49" s="21" t="n">
        <v>341.438</v>
      </c>
      <c r="BY49" s="21" t="n">
        <v>152.29</v>
      </c>
      <c r="BZ49" s="21" t="n">
        <v>157.383</v>
      </c>
      <c r="CA49" s="21" t="n">
        <v>154.998</v>
      </c>
      <c r="CB49" s="21" t="n">
        <v>165.133</v>
      </c>
      <c r="CC49" s="21" t="n">
        <v>142.188</v>
      </c>
      <c r="CD49" s="21" t="n">
        <v>195.265</v>
      </c>
      <c r="CE49" s="21" t="n">
        <v>153.226</v>
      </c>
      <c r="CF49" s="21" t="n">
        <v>186.211</v>
      </c>
      <c r="CG49" s="21" t="n">
        <v>168.339</v>
      </c>
      <c r="CH49" s="21" t="n">
        <v>130.754</v>
      </c>
      <c r="CI49" s="21" t="n">
        <v>164.118</v>
      </c>
      <c r="CJ49" s="21" t="n">
        <v>181.504</v>
      </c>
      <c r="CK49" s="21" t="n">
        <v>119.081</v>
      </c>
      <c r="CL49" s="21" t="n">
        <v>116.297</v>
      </c>
      <c r="CM49" s="21" t="n">
        <v>193.056</v>
      </c>
      <c r="CN49" s="21" t="n">
        <v>201.866</v>
      </c>
      <c r="CO49" s="21" t="n">
        <v>186.794</v>
      </c>
      <c r="CP49" s="21" t="n">
        <v>129.512</v>
      </c>
      <c r="CQ49" s="21" t="n">
        <v>209.739</v>
      </c>
      <c r="CR49" s="21" t="n">
        <v>214.957</v>
      </c>
      <c r="CS49" s="21" t="n">
        <v>178.289</v>
      </c>
      <c r="CT49" s="21" t="n">
        <v>147.435</v>
      </c>
      <c r="CU49" s="21" t="n">
        <v>150.265</v>
      </c>
      <c r="CV49" s="21" t="n">
        <v>225.233</v>
      </c>
      <c r="CW49" s="21" t="n">
        <v>202.343</v>
      </c>
      <c r="CX49" s="21" t="n">
        <v>237.725</v>
      </c>
      <c r="CY49" s="21" t="n">
        <v>296.522</v>
      </c>
      <c r="CZ49" s="21" t="n">
        <v>129.437</v>
      </c>
      <c r="DA49" s="21" t="n">
        <v>155.638</v>
      </c>
      <c r="DB49" s="21" t="n">
        <v>159.866</v>
      </c>
      <c r="DC49" s="21" t="n">
        <v>224.596</v>
      </c>
      <c r="DD49" s="21" t="n">
        <v>237.742</v>
      </c>
      <c r="DE49" s="21" t="n">
        <v>166.353</v>
      </c>
      <c r="DF49" s="21" t="n">
        <v>252.293</v>
      </c>
      <c r="DG49" s="21" t="n">
        <v>239.48</v>
      </c>
      <c r="DH49" s="21" t="n">
        <v>151.442</v>
      </c>
      <c r="DI49" s="21" t="n">
        <v>142.28</v>
      </c>
      <c r="DJ49" s="21" t="n">
        <v>139.21</v>
      </c>
      <c r="DK49" s="21" t="n">
        <v>271.448</v>
      </c>
      <c r="DL49" s="21" t="n">
        <v>168.788</v>
      </c>
      <c r="DM49" s="21" t="n">
        <v>132.785</v>
      </c>
      <c r="DN49" s="21" t="n">
        <v>127.224</v>
      </c>
      <c r="DO49" s="21" t="n">
        <v>279.419</v>
      </c>
      <c r="DP49" s="21" t="n">
        <v>173.266</v>
      </c>
      <c r="DQ49" s="21" t="n">
        <v>178.652</v>
      </c>
      <c r="DR49" s="21" t="n">
        <v>180.302</v>
      </c>
      <c r="DS49" s="21" t="n">
        <v>148.786</v>
      </c>
      <c r="DT49" s="21" t="n">
        <v>163.255</v>
      </c>
      <c r="DU49" s="21" t="n">
        <v>194.397</v>
      </c>
      <c r="DV49" s="21" t="n">
        <v>251.131</v>
      </c>
      <c r="DW49" s="21" t="n">
        <v>204.067</v>
      </c>
      <c r="DX49" s="21" t="n">
        <v>229.404</v>
      </c>
      <c r="DY49" s="21" t="n">
        <v>192.623</v>
      </c>
      <c r="DZ49" s="21" t="n">
        <v>202.489</v>
      </c>
      <c r="EA49" s="21" t="n">
        <v>189.174</v>
      </c>
      <c r="EB49" s="21" t="n">
        <v>170.119</v>
      </c>
      <c r="EC49" s="21" t="n">
        <v>353.965</v>
      </c>
      <c r="ED49" s="21" t="n">
        <v>175.415</v>
      </c>
      <c r="EE49" s="21" t="n">
        <v>190.286</v>
      </c>
      <c r="EF49" s="21" t="n">
        <v>189.734</v>
      </c>
      <c r="EG49" s="21" t="n">
        <v>261.36</v>
      </c>
      <c r="EH49" s="21" t="n">
        <v>311.652</v>
      </c>
      <c r="EI49" s="21" t="n">
        <v>324.815</v>
      </c>
      <c r="EJ49" s="21" t="n">
        <v>147.956</v>
      </c>
      <c r="EK49" s="21" t="n">
        <v>557.451</v>
      </c>
      <c r="EL49" s="21" t="n">
        <v>298.37</v>
      </c>
      <c r="EM49" s="21" t="n">
        <v>320.038</v>
      </c>
      <c r="EN49" s="21" t="n">
        <v>320.05</v>
      </c>
      <c r="EO49" s="21" t="n">
        <v>151.508</v>
      </c>
      <c r="EP49" s="21" t="n">
        <v>242.343</v>
      </c>
      <c r="EQ49" s="21" t="n">
        <v>200.39</v>
      </c>
      <c r="ER49" s="21" t="n">
        <v>281.486</v>
      </c>
      <c r="ES49" s="21" t="n">
        <v>276.103</v>
      </c>
      <c r="ET49" s="21" t="n">
        <v>342.55</v>
      </c>
      <c r="EU49" s="21" t="n">
        <v>203.8</v>
      </c>
      <c r="EV49" s="21" t="n">
        <v>210.637</v>
      </c>
      <c r="EW49" s="21" t="n">
        <v>179.999</v>
      </c>
      <c r="EX49" s="21" t="n">
        <v>242.204</v>
      </c>
      <c r="EY49" s="21" t="n">
        <v>559.042</v>
      </c>
      <c r="EZ49" s="21" t="n">
        <v>485.935</v>
      </c>
      <c r="FA49" s="21" t="n">
        <v>122.265</v>
      </c>
      <c r="FB49" s="21" t="n">
        <v>56.183</v>
      </c>
      <c r="FC49" s="21" t="n">
        <v>112.693</v>
      </c>
      <c r="FD49" s="21" t="n">
        <v>61.021</v>
      </c>
      <c r="FE49" s="21" t="n">
        <v>42.938</v>
      </c>
      <c r="FF49" s="21" t="n">
        <v>111.923</v>
      </c>
      <c r="FG49" s="21" t="n">
        <v>128.182</v>
      </c>
      <c r="FH49" s="21" t="n">
        <v>86.401</v>
      </c>
      <c r="FI49" s="21" t="n">
        <v>68.355</v>
      </c>
      <c r="FJ49" s="21" t="n">
        <v>90.611</v>
      </c>
      <c r="FK49" s="21" t="n">
        <v>76.242</v>
      </c>
      <c r="FL49" s="21" t="n">
        <v>85.178</v>
      </c>
      <c r="FM49" s="21" t="n">
        <v>97.637</v>
      </c>
      <c r="FN49" s="21" t="n">
        <v>64.724</v>
      </c>
      <c r="FO49" s="21" t="n">
        <v>50.101</v>
      </c>
      <c r="FP49" s="21" t="n">
        <v>36.639</v>
      </c>
      <c r="FQ49" s="21" t="n">
        <v>130.736</v>
      </c>
      <c r="FR49" s="21" t="n">
        <v>45.5</v>
      </c>
      <c r="FS49" s="21" t="n">
        <v>82.06699999999999</v>
      </c>
      <c r="FT49" s="21" t="n">
        <v>89.619</v>
      </c>
      <c r="FU49" s="21" t="n">
        <v>98.982</v>
      </c>
      <c r="FV49" s="21" t="n">
        <v>85.158</v>
      </c>
      <c r="FW49" s="21" t="n">
        <v>189.318</v>
      </c>
      <c r="FX49" s="21" t="n">
        <v>119.967</v>
      </c>
      <c r="FY49" s="21" t="n">
        <v>174.43</v>
      </c>
      <c r="FZ49" s="21" t="n">
        <v>119.608</v>
      </c>
      <c r="GA49" s="21" t="n">
        <v>190.909</v>
      </c>
      <c r="GB49" s="21" t="n">
        <v>169.391</v>
      </c>
      <c r="GC49" s="21" t="n"/>
      <c r="GD49" s="21" t="n">
        <v>170.019</v>
      </c>
      <c r="GE49" s="21" t="n">
        <v>254.597</v>
      </c>
      <c r="GF49" s="21" t="n">
        <v>120.526</v>
      </c>
      <c r="GG49" s="21" t="n">
        <v>114.64</v>
      </c>
      <c r="GH49" s="21" t="n">
        <v>114.875</v>
      </c>
      <c r="GI49" s="21" t="n">
        <v>101.687</v>
      </c>
      <c r="GJ49" s="21" t="n">
        <v>153.709</v>
      </c>
      <c r="GK49" s="21" t="n">
        <v>71.809</v>
      </c>
      <c r="GL49" s="21" t="n">
        <v>111.041</v>
      </c>
      <c r="GM49" s="21" t="n">
        <v>110.849</v>
      </c>
      <c r="GN49" s="21" t="n">
        <v>103.815</v>
      </c>
      <c r="GO49" s="21" t="n">
        <v>106.242</v>
      </c>
      <c r="GP49" s="21" t="n">
        <v>104.252</v>
      </c>
      <c r="GQ49" s="21" t="n">
        <v>114.983</v>
      </c>
      <c r="GR49" s="21" t="n">
        <v>72.709</v>
      </c>
      <c r="GS49" s="21" t="n">
        <v>102.025</v>
      </c>
      <c r="GT49" s="21" t="n">
        <v>91.676</v>
      </c>
      <c r="GU49" s="21" t="n">
        <v>132.967</v>
      </c>
      <c r="GV49" s="21" t="n">
        <v>139.105</v>
      </c>
      <c r="GW49" s="21" t="n">
        <v>150.782</v>
      </c>
      <c r="GX49" s="21" t="n">
        <v>119.831</v>
      </c>
      <c r="GY49" s="21" t="n">
        <v>121.495</v>
      </c>
      <c r="GZ49" s="21" t="n">
        <v>163.222</v>
      </c>
      <c r="HA49" s="21" t="n">
        <v>133.467</v>
      </c>
      <c r="HB49" s="21" t="n">
        <v>163.152</v>
      </c>
      <c r="HC49" s="21" t="n">
        <v>204.541</v>
      </c>
      <c r="HD49" s="21" t="n">
        <v>200.605</v>
      </c>
      <c r="HE49" s="21" t="n">
        <v>99.14700000000001</v>
      </c>
      <c r="HF49" s="21" t="n">
        <v>146.126</v>
      </c>
      <c r="HG49" s="21" t="n">
        <v>101.269</v>
      </c>
      <c r="HH49" s="21" t="n">
        <v>142.124</v>
      </c>
      <c r="HI49" s="21" t="n">
        <v>155.332</v>
      </c>
      <c r="HJ49" s="21" t="n"/>
      <c r="HK49" s="21" t="n">
        <v>138.069</v>
      </c>
      <c r="HL49" s="21" t="n">
        <v>90.136</v>
      </c>
      <c r="HM49" s="21" t="n">
        <v>130.685</v>
      </c>
      <c r="HN49" s="21" t="n">
        <v>213.838</v>
      </c>
      <c r="HO49" s="21" t="n">
        <v>212.152</v>
      </c>
      <c r="HP49" s="21" t="n">
        <v>206.779</v>
      </c>
      <c r="HQ49" s="21" t="n">
        <v>232.511</v>
      </c>
      <c r="HR49" s="21" t="n">
        <v>231.865</v>
      </c>
      <c r="HS49" s="21" t="n">
        <v>226.865</v>
      </c>
      <c r="HT49" s="21" t="n">
        <v>145.105</v>
      </c>
      <c r="HU49" s="21" t="n">
        <v>123.969</v>
      </c>
      <c r="HV49" s="21" t="n">
        <v>173.793</v>
      </c>
      <c r="HW49" s="21" t="n">
        <v>163.208</v>
      </c>
      <c r="HX49" s="21" t="n">
        <v>404.021</v>
      </c>
      <c r="HY49" s="21" t="n">
        <v>289.705</v>
      </c>
      <c r="HZ49" s="21" t="n">
        <v>306.284</v>
      </c>
      <c r="IA49" s="21" t="n">
        <v>262.573</v>
      </c>
      <c r="IB49" s="21" t="n">
        <v>176.563</v>
      </c>
      <c r="IC49" s="21" t="n">
        <v>572.824</v>
      </c>
      <c r="ID49" s="21" t="n">
        <v>189.62</v>
      </c>
      <c r="IE49" s="21" t="n">
        <v>179.162</v>
      </c>
      <c r="IF49" s="21" t="n">
        <v>206.626</v>
      </c>
      <c r="IG49" s="21" t="n">
        <v>234.58</v>
      </c>
      <c r="IH49" s="21" t="n"/>
      <c r="II49" s="21" t="n">
        <v>248.489</v>
      </c>
      <c r="IJ49" s="21" t="n">
        <v>248.29</v>
      </c>
      <c r="IK49" s="21" t="n">
        <v>159.05</v>
      </c>
      <c r="IL49" s="21" t="n">
        <v>143.408</v>
      </c>
      <c r="IM49" s="21" t="n"/>
      <c r="IN49" s="21" t="n">
        <v>65.42400000000001</v>
      </c>
      <c r="IO49" s="21" t="n">
        <v>319.57</v>
      </c>
      <c r="IP49" s="21" t="n">
        <v>128.226</v>
      </c>
      <c r="IQ49" s="21" t="n">
        <v>487.409</v>
      </c>
      <c r="IR49" s="21" t="n">
        <v>378.19</v>
      </c>
      <c r="IS49" s="21" t="n">
        <v>123.765</v>
      </c>
      <c r="IT49" s="21" t="n">
        <v>522.105</v>
      </c>
      <c r="IU49" s="21" t="n">
        <v>96.80800000000001</v>
      </c>
      <c r="IV49" s="21" t="n">
        <v>101.176</v>
      </c>
      <c r="IW49" s="21" t="n">
        <v>522.506</v>
      </c>
      <c r="IX49" s="21" t="n">
        <v>378.44</v>
      </c>
      <c r="IY49" s="21" t="n">
        <v>379.885</v>
      </c>
      <c r="IZ49" s="21" t="n">
        <v>485.53</v>
      </c>
      <c r="JA49" s="21" t="n">
        <v>190.62</v>
      </c>
      <c r="JB49" s="21" t="n">
        <v>238.25</v>
      </c>
      <c r="JC49" s="21" t="n">
        <v>79.483</v>
      </c>
      <c r="JD49" s="21" t="n">
        <v>334.964</v>
      </c>
      <c r="JE49" s="21" t="n">
        <v>325.763</v>
      </c>
      <c r="JF49" s="21" t="n">
        <v>742.921</v>
      </c>
      <c r="JG49" s="21" t="n">
        <v>230.506</v>
      </c>
      <c r="JH49" s="21" t="n">
        <v>122.25</v>
      </c>
      <c r="JI49" s="21" t="n">
        <v>140.543</v>
      </c>
      <c r="JJ49" s="21" t="n">
        <v>119.705</v>
      </c>
      <c r="JK49" s="21" t="n">
        <v>103.8</v>
      </c>
      <c r="JL49" s="21" t="n">
        <v>172.039</v>
      </c>
      <c r="JM49" s="21" t="n">
        <v>473.126</v>
      </c>
      <c r="JN49" s="21" t="n">
        <v>117.239</v>
      </c>
      <c r="JO49" s="21" t="n">
        <v>71.779</v>
      </c>
      <c r="JP49" s="21" t="n">
        <v>36.767</v>
      </c>
      <c r="JQ49" s="21" t="n">
        <v>130.584</v>
      </c>
      <c r="JR49" s="21" t="n">
        <v>26.611</v>
      </c>
      <c r="JS49" s="21" t="n">
        <v>82.667</v>
      </c>
      <c r="JT49" s="21" t="n">
        <v>174.113</v>
      </c>
      <c r="JU49" s="21" t="n">
        <v>199.524</v>
      </c>
      <c r="JV49" s="21" t="n">
        <v>151.002</v>
      </c>
      <c r="JW49" s="21" t="n">
        <v>116.411</v>
      </c>
      <c r="JX49" s="21" t="n">
        <v>247.595</v>
      </c>
      <c r="JY49" s="21" t="n">
        <v>194.52</v>
      </c>
      <c r="JZ49" s="21" t="n">
        <v>259.336</v>
      </c>
      <c r="KA49" s="21" t="n">
        <v>113.418</v>
      </c>
      <c r="KB49" s="21" t="n">
        <v>155.018</v>
      </c>
      <c r="KC49" s="21" t="n">
        <v>78.70099999999999</v>
      </c>
      <c r="KD49" s="21" t="n">
        <v>74.095</v>
      </c>
      <c r="KE49" s="21" t="n">
        <v>52.285</v>
      </c>
      <c r="KF49" s="21" t="n"/>
      <c r="KG49" s="21" t="n">
        <v>21.88</v>
      </c>
      <c r="KH49" s="21" t="n">
        <v>124.814</v>
      </c>
      <c r="KI49" s="21" t="n"/>
      <c r="KJ49" s="21" t="n">
        <v>114.068</v>
      </c>
      <c r="KK49" s="21" t="n">
        <v>36.014</v>
      </c>
      <c r="KL49" s="21" t="n">
        <v>32.011</v>
      </c>
      <c r="KM49" s="21" t="n">
        <v>39.517</v>
      </c>
      <c r="KN49" s="21" t="n"/>
      <c r="KO49" s="21" t="n">
        <v>102.386</v>
      </c>
      <c r="KP49" s="21" t="n">
        <v>100.217</v>
      </c>
      <c r="KQ49" s="21" t="n">
        <v>170.38</v>
      </c>
      <c r="KR49" s="21" t="n">
        <v>141.454</v>
      </c>
      <c r="KS49" s="21" t="n">
        <v>387.063</v>
      </c>
      <c r="KT49" s="21" t="n">
        <v>182.899</v>
      </c>
      <c r="KU49" s="21" t="n">
        <v>231.286</v>
      </c>
      <c r="KV49" s="21" t="n">
        <v>315.449</v>
      </c>
      <c r="KW49" s="21" t="n">
        <v>250.376</v>
      </c>
      <c r="KX49" s="21" t="n">
        <v>181.685</v>
      </c>
      <c r="KY49" s="21" t="n">
        <v>95.586</v>
      </c>
      <c r="KZ49" s="21" t="n">
        <v>136.976</v>
      </c>
      <c r="LA49" s="21" t="n">
        <v>263.199</v>
      </c>
      <c r="LB49" s="21" t="n">
        <v>694.8339999999999</v>
      </c>
      <c r="LC49" s="21" t="n">
        <v>239.434</v>
      </c>
      <c r="LD49" s="21" t="n">
        <v>754.38</v>
      </c>
      <c r="LE49" s="21" t="n">
        <v>859.588</v>
      </c>
      <c r="LF49" s="21" t="n">
        <v>81.666</v>
      </c>
      <c r="LG49" s="21" t="n">
        <v>297.288</v>
      </c>
      <c r="LH49" s="21" t="n">
        <v>253.127</v>
      </c>
      <c r="LI49" s="21" t="n">
        <v>73.00700000000001</v>
      </c>
      <c r="LJ49" s="21" t="n">
        <v>184.858</v>
      </c>
      <c r="LK49" s="21" t="n">
        <v>289.966</v>
      </c>
      <c r="LL49" s="21" t="n">
        <v>306.095</v>
      </c>
      <c r="LM49" s="21" t="n">
        <v>69.134</v>
      </c>
      <c r="LN49" s="21" t="n">
        <v>88.886</v>
      </c>
      <c r="LO49" s="21" t="n">
        <v>46.534</v>
      </c>
      <c r="LP49" s="21" t="n">
        <v>117.321</v>
      </c>
      <c r="LQ49" s="21" t="n"/>
      <c r="LR49" s="21" t="n"/>
      <c r="LS49" s="21" t="n">
        <v>110.731</v>
      </c>
      <c r="LT49" s="21" t="n">
        <v>40.11</v>
      </c>
      <c r="LU49" s="21" t="n">
        <v>31.55</v>
      </c>
      <c r="LV49" s="21" t="n">
        <v>76.758</v>
      </c>
      <c r="LW49" s="21" t="n">
        <v>231.664</v>
      </c>
      <c r="LX49" s="21" t="n"/>
      <c r="LY49" s="21" t="n">
        <v>445.059</v>
      </c>
      <c r="LZ49" s="21" t="n">
        <v>68.242</v>
      </c>
      <c r="MA49" s="21" t="n">
        <v>442.799</v>
      </c>
      <c r="MB49" s="21" t="n">
        <v>275.643</v>
      </c>
      <c r="MC49" s="21" t="n">
        <v>231.818</v>
      </c>
      <c r="MD49" s="21" t="n">
        <v>160.727</v>
      </c>
      <c r="ME49" s="21" t="n">
        <v>102.476</v>
      </c>
      <c r="MF49" s="21" t="n">
        <v>184.126</v>
      </c>
      <c r="MG49" s="21" t="n">
        <v>268.225</v>
      </c>
      <c r="MH49" s="21" t="n">
        <v>163.661</v>
      </c>
      <c r="MI49" s="21" t="n">
        <v>446.678</v>
      </c>
      <c r="MJ49" s="21" t="n">
        <v>367.877</v>
      </c>
      <c r="MK49" s="21" t="n">
        <v>334.618</v>
      </c>
      <c r="ML49" s="21" t="n">
        <v>171.983</v>
      </c>
      <c r="MM49" s="21" t="n">
        <v>195.22</v>
      </c>
      <c r="MN49" s="21" t="n">
        <v>363.921</v>
      </c>
      <c r="MO49" s="21" t="n">
        <v>172.063</v>
      </c>
      <c r="MP49" s="21" t="n">
        <v>254.724</v>
      </c>
      <c r="MQ49" s="21" t="n">
        <v>70.11499999999999</v>
      </c>
      <c r="MR49" s="21" t="n">
        <v>146.011</v>
      </c>
      <c r="MS49" s="21" t="n">
        <v>72.419</v>
      </c>
      <c r="MT49" s="21" t="n">
        <v>239.9</v>
      </c>
      <c r="MU49" s="21" t="n">
        <v>257.794</v>
      </c>
      <c r="MV49" s="21" t="n">
        <v>250.605</v>
      </c>
      <c r="MW49" s="21" t="n">
        <v>259.083</v>
      </c>
      <c r="MX49" s="21" t="n">
        <v>230.492</v>
      </c>
      <c r="MY49" s="21" t="n">
        <v>224.062</v>
      </c>
      <c r="MZ49" s="21" t="n">
        <v>229.872</v>
      </c>
      <c r="NA49" s="21" t="n">
        <v>235.524</v>
      </c>
      <c r="NB49" s="21" t="n">
        <v>113.249</v>
      </c>
      <c r="NC49" s="21" t="n">
        <v>181.754</v>
      </c>
      <c r="ND49" s="21" t="n">
        <v>149.403</v>
      </c>
      <c r="NE49" s="21" t="n">
        <v>145.964</v>
      </c>
      <c r="NF49" s="21" t="n">
        <v>142.84</v>
      </c>
      <c r="NG49" s="21" t="n">
        <v>144.001</v>
      </c>
      <c r="NH49" s="21" t="n">
        <v>247.826</v>
      </c>
      <c r="NI49" s="21" t="n">
        <v>104.169</v>
      </c>
      <c r="NJ49" s="21" t="n">
        <v>73.79600000000001</v>
      </c>
      <c r="NK49" s="21" t="n">
        <v>109.965</v>
      </c>
      <c r="NL49" s="21" t="n">
        <v>205.905</v>
      </c>
      <c r="NM49" s="21" t="n">
        <v>218.497</v>
      </c>
      <c r="NN49" s="21" t="n">
        <v>89.78</v>
      </c>
      <c r="NO49" s="21" t="n">
        <v>53.324</v>
      </c>
      <c r="NP49" s="21" t="n">
        <v>221.263</v>
      </c>
      <c r="NQ49" s="21" t="n">
        <v>192.75</v>
      </c>
      <c r="NR49" s="21" t="n">
        <v>236.236</v>
      </c>
      <c r="NS49" s="21" t="n">
        <v>189.142</v>
      </c>
      <c r="NT49" s="21" t="n">
        <v>236.038</v>
      </c>
      <c r="NU49" s="21" t="n">
        <v>111.948</v>
      </c>
      <c r="NV49" s="21" t="n">
        <v>124.007</v>
      </c>
      <c r="NW49" s="21" t="n">
        <v>355.373</v>
      </c>
      <c r="NX49" s="21" t="n">
        <v>80.09699999999999</v>
      </c>
      <c r="NY49" s="21" t="n">
        <v>122.865</v>
      </c>
      <c r="NZ49" s="21" t="n">
        <v>324.863</v>
      </c>
      <c r="OA49" s="21" t="n">
        <v>319.794</v>
      </c>
      <c r="OB49" s="21" t="n">
        <v>331.478</v>
      </c>
      <c r="OC49" s="21" t="n">
        <v>304.397</v>
      </c>
      <c r="OD49" s="21" t="n">
        <v>338.672</v>
      </c>
      <c r="OE49" s="21" t="n">
        <v>104.027</v>
      </c>
      <c r="OF49" s="21" t="n">
        <v>322.317</v>
      </c>
      <c r="OG49" s="21" t="n">
        <v>215.975</v>
      </c>
      <c r="OH49" s="21" t="n">
        <v>40.871</v>
      </c>
      <c r="OI49" s="21" t="n">
        <v>125.828</v>
      </c>
      <c r="OJ49" s="21" t="n">
        <v>39.8</v>
      </c>
      <c r="OK49" s="21" t="n">
        <v>13.3</v>
      </c>
    </row>
    <row r="50">
      <c r="A50" s="22" t="n">
        <v>43466</v>
      </c>
      <c r="B50" s="21" t="n">
        <v>251.712</v>
      </c>
      <c r="C50" s="21" t="n">
        <v>754.0170000000001</v>
      </c>
      <c r="D50" s="21" t="n">
        <v>256.185</v>
      </c>
      <c r="E50" s="21" t="n">
        <v>256.417</v>
      </c>
      <c r="F50" s="21" t="n">
        <v>241.381</v>
      </c>
      <c r="G50" s="21" t="n">
        <v>275.05</v>
      </c>
      <c r="H50" s="21" t="n">
        <v>225.52</v>
      </c>
      <c r="I50" s="21" t="n">
        <v>236.887</v>
      </c>
      <c r="J50" s="21" t="n">
        <v>219.572</v>
      </c>
      <c r="K50" s="21" t="n">
        <v>234.9</v>
      </c>
      <c r="L50" s="21" t="n">
        <v>162.95</v>
      </c>
      <c r="M50" s="21" t="n">
        <v>303.681</v>
      </c>
      <c r="N50" s="21" t="n">
        <v>182.471</v>
      </c>
      <c r="O50" s="21" t="n">
        <v>331.374</v>
      </c>
      <c r="P50" s="21" t="n">
        <v>355.094</v>
      </c>
      <c r="Q50" s="21" t="n">
        <v>182.847</v>
      </c>
      <c r="R50" s="21" t="n">
        <v>289.577</v>
      </c>
      <c r="S50" s="21" t="n">
        <v>313.592</v>
      </c>
      <c r="T50" s="21" t="n">
        <v>270.557</v>
      </c>
      <c r="U50" s="21" t="n">
        <v>268.355</v>
      </c>
      <c r="V50" s="21" t="n">
        <v>305.611</v>
      </c>
      <c r="W50" s="21" t="n">
        <v>305.473</v>
      </c>
      <c r="X50" s="21" t="n">
        <v>269.525</v>
      </c>
      <c r="Y50" s="21" t="n">
        <v>248.169</v>
      </c>
      <c r="Z50" s="21" t="n">
        <v>250.461</v>
      </c>
      <c r="AA50" s="21" t="n">
        <v>251.079</v>
      </c>
      <c r="AB50" s="21" t="n">
        <v>301.93</v>
      </c>
      <c r="AC50" s="21" t="n">
        <v>266.971</v>
      </c>
      <c r="AD50" s="21" t="n">
        <v>226.437</v>
      </c>
      <c r="AE50" s="21" t="n">
        <v>203.489</v>
      </c>
      <c r="AF50" s="21" t="n">
        <v>241.675</v>
      </c>
      <c r="AG50" s="21" t="n">
        <v>208.362</v>
      </c>
      <c r="AH50" s="21" t="n">
        <v>158.639</v>
      </c>
      <c r="AI50" s="21" t="n">
        <v>296.811</v>
      </c>
      <c r="AJ50" s="21" t="n">
        <v>144.631</v>
      </c>
      <c r="AK50" s="21" t="n">
        <v>195.364</v>
      </c>
      <c r="AL50" s="21" t="n">
        <v>217.434</v>
      </c>
      <c r="AM50" s="21" t="n">
        <v>180.888</v>
      </c>
      <c r="AN50" s="21" t="n">
        <v>125.793</v>
      </c>
      <c r="AO50" s="21" t="n">
        <v>222.634</v>
      </c>
      <c r="AP50" s="21" t="n">
        <v>233.952</v>
      </c>
      <c r="AQ50" s="21" t="n">
        <v>142.249</v>
      </c>
      <c r="AR50" s="21" t="n"/>
      <c r="AS50" s="21" t="n"/>
      <c r="AT50" s="21" t="n">
        <v>230.124</v>
      </c>
      <c r="AU50" s="21" t="n">
        <v>149.588</v>
      </c>
      <c r="AV50" s="21" t="n">
        <v>243.507</v>
      </c>
      <c r="AW50" s="21" t="n">
        <v>223.758</v>
      </c>
      <c r="AX50" s="21" t="n">
        <v>143.231</v>
      </c>
      <c r="AY50" s="21" t="n">
        <v>299.646</v>
      </c>
      <c r="AZ50" s="21" t="n">
        <v>187.271</v>
      </c>
      <c r="BA50" s="21" t="n">
        <v>148.799</v>
      </c>
      <c r="BB50" s="21" t="n">
        <v>214.142</v>
      </c>
      <c r="BC50" s="21" t="n">
        <v>307.854</v>
      </c>
      <c r="BD50" s="21" t="n">
        <v>218.796</v>
      </c>
      <c r="BE50" s="21" t="n">
        <v>217.079</v>
      </c>
      <c r="BF50" s="21" t="n">
        <v>138.346</v>
      </c>
      <c r="BG50" s="21" t="n">
        <v>196.967</v>
      </c>
      <c r="BH50" s="21" t="n">
        <v>143.629</v>
      </c>
      <c r="BI50" s="21" t="n">
        <v>226.001</v>
      </c>
      <c r="BJ50" s="21" t="n">
        <v>225.417</v>
      </c>
      <c r="BK50" s="21" t="n">
        <v>147.667</v>
      </c>
      <c r="BL50" s="21" t="n">
        <v>304.605</v>
      </c>
      <c r="BM50" s="21" t="n">
        <v>356.574</v>
      </c>
      <c r="BN50" s="21" t="n">
        <v>367.988</v>
      </c>
      <c r="BO50" s="21" t="n">
        <v>333.29</v>
      </c>
      <c r="BP50" s="21" t="n">
        <v>194.69</v>
      </c>
      <c r="BQ50" s="21" t="n">
        <v>253.891</v>
      </c>
      <c r="BR50" s="21" t="n">
        <v>498.808</v>
      </c>
      <c r="BS50" s="21" t="n">
        <v>125.785</v>
      </c>
      <c r="BT50" s="21" t="n">
        <v>343.209</v>
      </c>
      <c r="BU50" s="21" t="n">
        <v>351.356</v>
      </c>
      <c r="BV50" s="21" t="n">
        <v>313.112</v>
      </c>
      <c r="BW50" s="21" t="n">
        <v>359.433</v>
      </c>
      <c r="BX50" s="21" t="n">
        <v>348.098</v>
      </c>
      <c r="BY50" s="21" t="n">
        <v>153.654</v>
      </c>
      <c r="BZ50" s="21" t="n">
        <v>160.057</v>
      </c>
      <c r="CA50" s="21" t="n">
        <v>155.079</v>
      </c>
      <c r="CB50" s="21" t="n">
        <v>168.814</v>
      </c>
      <c r="CC50" s="21" t="n">
        <v>142.085</v>
      </c>
      <c r="CD50" s="21" t="n">
        <v>194.077</v>
      </c>
      <c r="CE50" s="21" t="n">
        <v>153.081</v>
      </c>
      <c r="CF50" s="21" t="n">
        <v>178.921</v>
      </c>
      <c r="CG50" s="21" t="n">
        <v>171.354</v>
      </c>
      <c r="CH50" s="21" t="n">
        <v>133.95</v>
      </c>
      <c r="CI50" s="21" t="n">
        <v>170.574</v>
      </c>
      <c r="CJ50" s="21" t="n">
        <v>180.513</v>
      </c>
      <c r="CK50" s="21" t="n">
        <v>120.79</v>
      </c>
      <c r="CL50" s="21" t="n">
        <v>116.528</v>
      </c>
      <c r="CM50" s="21" t="n">
        <v>193.793</v>
      </c>
      <c r="CN50" s="21" t="n">
        <v>201.823</v>
      </c>
      <c r="CO50" s="21" t="n">
        <v>187.873</v>
      </c>
      <c r="CP50" s="21" t="n">
        <v>129.348</v>
      </c>
      <c r="CQ50" s="21" t="n">
        <v>210.006</v>
      </c>
      <c r="CR50" s="21" t="n">
        <v>217.745</v>
      </c>
      <c r="CS50" s="21" t="n">
        <v>184.53</v>
      </c>
      <c r="CT50" s="21" t="n">
        <v>148.139</v>
      </c>
      <c r="CU50" s="21" t="n">
        <v>154.012</v>
      </c>
      <c r="CV50" s="21" t="n">
        <v>228.536</v>
      </c>
      <c r="CW50" s="21" t="n">
        <v>207.51</v>
      </c>
      <c r="CX50" s="21" t="n">
        <v>248.423</v>
      </c>
      <c r="CY50" s="21" t="n">
        <v>299.382</v>
      </c>
      <c r="CZ50" s="21" t="n">
        <v>128.976</v>
      </c>
      <c r="DA50" s="21" t="n">
        <v>158.394</v>
      </c>
      <c r="DB50" s="21" t="n">
        <v>155.843</v>
      </c>
      <c r="DC50" s="21" t="n">
        <v>223.868</v>
      </c>
      <c r="DD50" s="21" t="n">
        <v>238.488</v>
      </c>
      <c r="DE50" s="21" t="n">
        <v>164.873</v>
      </c>
      <c r="DF50" s="21" t="n">
        <v>251.247</v>
      </c>
      <c r="DG50" s="21" t="n">
        <v>243.805</v>
      </c>
      <c r="DH50" s="21" t="n">
        <v>155.35</v>
      </c>
      <c r="DI50" s="21" t="n"/>
      <c r="DJ50" s="21" t="n">
        <v>140.588</v>
      </c>
      <c r="DK50" s="21" t="n">
        <v>274.456</v>
      </c>
      <c r="DL50" s="21" t="n">
        <v>167.895</v>
      </c>
      <c r="DM50" s="21" t="n">
        <v>130.856</v>
      </c>
      <c r="DN50" s="21" t="n">
        <v>126.934</v>
      </c>
      <c r="DO50" s="21" t="n">
        <v>280.38</v>
      </c>
      <c r="DP50" s="21" t="n">
        <v>173.624</v>
      </c>
      <c r="DQ50" s="21" t="n">
        <v>179.659</v>
      </c>
      <c r="DR50" s="21" t="n">
        <v>180.342</v>
      </c>
      <c r="DS50" s="21" t="n">
        <v>148.889</v>
      </c>
      <c r="DT50" s="21" t="n">
        <v>163.357</v>
      </c>
      <c r="DU50" s="21" t="n">
        <v>194.422</v>
      </c>
      <c r="DV50" s="21" t="n">
        <v>251.688</v>
      </c>
      <c r="DW50" s="21" t="n">
        <v>204.723</v>
      </c>
      <c r="DX50" s="21" t="n">
        <v>229.684</v>
      </c>
      <c r="DY50" s="21" t="n">
        <v>194.362</v>
      </c>
      <c r="DZ50" s="21" t="n">
        <v>207.263</v>
      </c>
      <c r="EA50" s="21" t="n">
        <v>189.766</v>
      </c>
      <c r="EB50" s="21" t="n">
        <v>170.714</v>
      </c>
      <c r="EC50" s="21" t="n">
        <v>354.166</v>
      </c>
      <c r="ED50" s="21" t="n">
        <v>175.305</v>
      </c>
      <c r="EE50" s="21" t="n">
        <v>190.953</v>
      </c>
      <c r="EF50" s="21" t="n">
        <v>189.292</v>
      </c>
      <c r="EG50" s="21" t="n">
        <v>262.284</v>
      </c>
      <c r="EH50" s="21" t="n">
        <v>312.696</v>
      </c>
      <c r="EI50" s="21" t="n">
        <v>325.597</v>
      </c>
      <c r="EJ50" s="21" t="n">
        <v>153.869</v>
      </c>
      <c r="EK50" s="21" t="n">
        <v>557.7380000000001</v>
      </c>
      <c r="EL50" s="21" t="n">
        <v>312.038</v>
      </c>
      <c r="EM50" s="21" t="n">
        <v>320.789</v>
      </c>
      <c r="EN50" s="21" t="n">
        <v>320.805</v>
      </c>
      <c r="EO50" s="21" t="n">
        <v>151.641</v>
      </c>
      <c r="EP50" s="21" t="n">
        <v>242.374</v>
      </c>
      <c r="EQ50" s="21" t="n">
        <v>200.575</v>
      </c>
      <c r="ER50" s="21" t="n">
        <v>280.482</v>
      </c>
      <c r="ES50" s="21" t="n">
        <v>274.051</v>
      </c>
      <c r="ET50" s="21" t="n">
        <v>343.256</v>
      </c>
      <c r="EU50" s="21" t="n">
        <v>204.038</v>
      </c>
      <c r="EV50" s="21" t="n">
        <v>210.92</v>
      </c>
      <c r="EW50" s="21" t="n">
        <v>180.106</v>
      </c>
      <c r="EX50" s="21" t="n">
        <v>241.606</v>
      </c>
      <c r="EY50" s="21" t="n">
        <v>561.114</v>
      </c>
      <c r="EZ50" s="21" t="n">
        <v>475.687</v>
      </c>
      <c r="FA50" s="21" t="n">
        <v>123.334</v>
      </c>
      <c r="FB50" s="21" t="n">
        <v>58.335</v>
      </c>
      <c r="FC50" s="21" t="n">
        <v>113.14</v>
      </c>
      <c r="FD50" s="21" t="n">
        <v>62.984</v>
      </c>
      <c r="FE50" s="21" t="n">
        <v>45.195</v>
      </c>
      <c r="FF50" s="21" t="n">
        <v>112.313</v>
      </c>
      <c r="FG50" s="21" t="n">
        <v>129.628</v>
      </c>
      <c r="FH50" s="21" t="n">
        <v>86.55</v>
      </c>
      <c r="FI50" s="21" t="n">
        <v>67.679</v>
      </c>
      <c r="FJ50" s="21" t="n"/>
      <c r="FK50" s="21" t="n">
        <v>78.616</v>
      </c>
      <c r="FL50" s="21" t="n">
        <v>88.056</v>
      </c>
      <c r="FM50" s="21" t="n">
        <v>97.235</v>
      </c>
      <c r="FN50" s="21" t="n">
        <v>66.63500000000001</v>
      </c>
      <c r="FO50" s="21" t="n">
        <v>50.85</v>
      </c>
      <c r="FP50" s="21" t="n">
        <v>37.267</v>
      </c>
      <c r="FQ50" s="21" t="n">
        <v>130.166</v>
      </c>
      <c r="FR50" s="21" t="n">
        <v>46.719</v>
      </c>
      <c r="FS50" s="21" t="n">
        <v>83.89100000000001</v>
      </c>
      <c r="FT50" s="21" t="n">
        <v>90.53700000000001</v>
      </c>
      <c r="FU50" s="21" t="n">
        <v>99.876</v>
      </c>
      <c r="FV50" s="21" t="n">
        <v>86.09399999999999</v>
      </c>
      <c r="FW50" s="21" t="n">
        <v>189.417</v>
      </c>
      <c r="FX50" s="21" t="n">
        <v>120.03</v>
      </c>
      <c r="FY50" s="21" t="n">
        <v>173.17</v>
      </c>
      <c r="FZ50" s="21" t="n">
        <v>120.403</v>
      </c>
      <c r="GA50" s="21" t="n">
        <v>191.562</v>
      </c>
      <c r="GB50" s="21" t="n">
        <v>169.954</v>
      </c>
      <c r="GC50" s="21" t="n"/>
      <c r="GD50" s="21" t="n">
        <v>170.937</v>
      </c>
      <c r="GE50" s="21" t="n">
        <v>257.577</v>
      </c>
      <c r="GF50" s="21" t="n">
        <v>122.422</v>
      </c>
      <c r="GG50" s="21" t="n">
        <v>117.188</v>
      </c>
      <c r="GH50" s="21" t="n">
        <v>117.153</v>
      </c>
      <c r="GI50" s="21" t="n">
        <v>104.99</v>
      </c>
      <c r="GJ50" s="21" t="n">
        <v>149.069</v>
      </c>
      <c r="GK50" s="21" t="n">
        <v>73.785</v>
      </c>
      <c r="GL50" s="21" t="n">
        <v>117.245</v>
      </c>
      <c r="GM50" s="21" t="n">
        <v>114.172</v>
      </c>
      <c r="GN50" s="21" t="n">
        <v>104.835</v>
      </c>
      <c r="GO50" s="21" t="n">
        <v>107.441</v>
      </c>
      <c r="GP50" s="21" t="n">
        <v>104.761</v>
      </c>
      <c r="GQ50" s="21" t="n">
        <v>111.501</v>
      </c>
      <c r="GR50" s="21" t="n">
        <v>74.583</v>
      </c>
      <c r="GS50" s="21" t="n">
        <v>102.44</v>
      </c>
      <c r="GT50" s="21" t="n">
        <v>91.797</v>
      </c>
      <c r="GU50" s="21" t="n">
        <v>135.405</v>
      </c>
      <c r="GV50" s="21" t="n">
        <v>142.98</v>
      </c>
      <c r="GW50" s="21" t="n">
        <v>153.994</v>
      </c>
      <c r="GX50" s="21" t="n">
        <v>120.971</v>
      </c>
      <c r="GY50" s="21" t="n">
        <v>117.239</v>
      </c>
      <c r="GZ50" s="21" t="n">
        <v>170.996</v>
      </c>
      <c r="HA50" s="21" t="n">
        <v>136.069</v>
      </c>
      <c r="HB50" s="21" t="n">
        <v>173.992</v>
      </c>
      <c r="HC50" s="21" t="n">
        <v>202.57</v>
      </c>
      <c r="HD50" s="21" t="n">
        <v>198.551</v>
      </c>
      <c r="HE50" s="21" t="n">
        <v>99.548</v>
      </c>
      <c r="HF50" s="21" t="n">
        <v>147.059</v>
      </c>
      <c r="HG50" s="21" t="n">
        <v>101.918</v>
      </c>
      <c r="HH50" s="21" t="n">
        <v>142.955</v>
      </c>
      <c r="HI50" s="21" t="n">
        <v>156.401</v>
      </c>
      <c r="HJ50" s="21" t="n"/>
      <c r="HK50" s="21" t="n">
        <v>138.8</v>
      </c>
      <c r="HL50" s="21" t="n">
        <v>89.925</v>
      </c>
      <c r="HM50" s="21" t="n">
        <v>123.061</v>
      </c>
      <c r="HN50" s="21" t="n">
        <v>202.818</v>
      </c>
      <c r="HO50" s="21" t="n">
        <v>201.194</v>
      </c>
      <c r="HP50" s="21" t="n">
        <v>195.946</v>
      </c>
      <c r="HQ50" s="21" t="n">
        <v>221.554</v>
      </c>
      <c r="HR50" s="21" t="n">
        <v>221.025</v>
      </c>
      <c r="HS50" s="21" t="n">
        <v>216.239</v>
      </c>
      <c r="HT50" s="21" t="n">
        <v>145.591</v>
      </c>
      <c r="HU50" s="21" t="n">
        <v>124.369</v>
      </c>
      <c r="HV50" s="21" t="n">
        <v>174.403</v>
      </c>
      <c r="HW50" s="21" t="n">
        <v>164.328</v>
      </c>
      <c r="HX50" s="21" t="n">
        <v>400.581</v>
      </c>
      <c r="HY50" s="21" t="n">
        <v>290.758</v>
      </c>
      <c r="HZ50" s="21" t="n">
        <v>306.554</v>
      </c>
      <c r="IA50" s="21" t="n">
        <v>264.11</v>
      </c>
      <c r="IB50" s="21" t="n">
        <v>176.627</v>
      </c>
      <c r="IC50" s="21" t="n">
        <v>572.95</v>
      </c>
      <c r="ID50" s="21" t="n">
        <v>190.909</v>
      </c>
      <c r="IE50" s="21" t="n">
        <v>179.335</v>
      </c>
      <c r="IF50" s="21" t="n">
        <v>209.385</v>
      </c>
      <c r="IG50" s="21" t="n">
        <v>236.509</v>
      </c>
      <c r="IH50" s="21" t="n"/>
      <c r="II50" s="21" t="n">
        <v>248.142</v>
      </c>
      <c r="IJ50" s="21" t="n">
        <v>248.433</v>
      </c>
      <c r="IK50" s="21" t="n">
        <v>156.605</v>
      </c>
      <c r="IL50" s="21" t="n">
        <v>140.26</v>
      </c>
      <c r="IM50" s="21" t="n"/>
      <c r="IN50" s="21" t="n">
        <v>64.605</v>
      </c>
      <c r="IO50" s="21" t="n">
        <v>320.203</v>
      </c>
      <c r="IP50" s="21" t="n">
        <v>128.408</v>
      </c>
      <c r="IQ50" s="21" t="n">
        <v>490.204</v>
      </c>
      <c r="IR50" s="21" t="n">
        <v>379.777</v>
      </c>
      <c r="IS50" s="21" t="n">
        <v>124.271</v>
      </c>
      <c r="IT50" s="21" t="n">
        <v>525.103</v>
      </c>
      <c r="IU50" s="21" t="n">
        <v>96.59</v>
      </c>
      <c r="IV50" s="21" t="n">
        <v>101.924</v>
      </c>
      <c r="IW50" s="21" t="n">
        <v>525.698</v>
      </c>
      <c r="IX50" s="21" t="n">
        <v>379.995</v>
      </c>
      <c r="IY50" s="21" t="n">
        <v>382.032</v>
      </c>
      <c r="IZ50" s="21" t="n">
        <v>488.792</v>
      </c>
      <c r="JA50" s="21" t="n">
        <v>190.551</v>
      </c>
      <c r="JB50" s="21" t="n">
        <v>237.356</v>
      </c>
      <c r="JC50" s="21" t="n">
        <v>79.818</v>
      </c>
      <c r="JD50" s="21" t="n">
        <v>336.225</v>
      </c>
      <c r="JE50" s="21" t="n">
        <v>326.807</v>
      </c>
      <c r="JF50" s="21" t="n">
        <v>745.491</v>
      </c>
      <c r="JG50" s="21" t="n">
        <v>232.793</v>
      </c>
      <c r="JH50" s="21" t="n">
        <v>122.695</v>
      </c>
      <c r="JI50" s="21" t="n">
        <v>142.869</v>
      </c>
      <c r="JJ50" s="21" t="n">
        <v>120.265</v>
      </c>
      <c r="JK50" s="21" t="n">
        <v>104.478</v>
      </c>
      <c r="JL50" s="21" t="n">
        <v>172.431</v>
      </c>
      <c r="JM50" s="21" t="n">
        <v>475.061</v>
      </c>
      <c r="JN50" s="21" t="n">
        <v>120.193</v>
      </c>
      <c r="JO50" s="21" t="n">
        <v>74.527</v>
      </c>
      <c r="JP50" s="21" t="n">
        <v>38.789</v>
      </c>
      <c r="JQ50" s="21" t="n">
        <v>129.37</v>
      </c>
      <c r="JR50" s="21" t="n">
        <v>27.472</v>
      </c>
      <c r="JS50" s="21" t="n">
        <v>82.79900000000001</v>
      </c>
      <c r="JT50" s="21" t="n">
        <v>174.918</v>
      </c>
      <c r="JU50" s="21" t="n">
        <v>200.421</v>
      </c>
      <c r="JV50" s="21" t="n">
        <v>151.723</v>
      </c>
      <c r="JW50" s="21" t="n">
        <v>116.707</v>
      </c>
      <c r="JX50" s="21" t="n">
        <v>248.788</v>
      </c>
      <c r="JY50" s="21" t="n">
        <v>195.373</v>
      </c>
      <c r="JZ50" s="21" t="n">
        <v>260.653</v>
      </c>
      <c r="KA50" s="21" t="n">
        <v>113.08</v>
      </c>
      <c r="KB50" s="21" t="n">
        <v>154.466</v>
      </c>
      <c r="KC50" s="21" t="n">
        <v>78.54600000000001</v>
      </c>
      <c r="KD50" s="21" t="n">
        <v>73.672</v>
      </c>
      <c r="KE50" s="21" t="n">
        <v>52.769</v>
      </c>
      <c r="KF50" s="21" t="n"/>
      <c r="KG50" s="21" t="n">
        <v>22.075</v>
      </c>
      <c r="KH50" s="21" t="n">
        <v>122.532</v>
      </c>
      <c r="KI50" s="21" t="n">
        <v>128.145</v>
      </c>
      <c r="KJ50" s="21" t="n">
        <v>112.601</v>
      </c>
      <c r="KK50" s="21" t="n">
        <v>36.472</v>
      </c>
      <c r="KL50" s="21" t="n">
        <v>32.578</v>
      </c>
      <c r="KM50" s="21" t="n">
        <v>40.351</v>
      </c>
      <c r="KN50" s="21" t="n"/>
      <c r="KO50" s="21" t="n">
        <v>102.169</v>
      </c>
      <c r="KP50" s="21" t="n">
        <v>98.962</v>
      </c>
      <c r="KQ50" s="21" t="n">
        <v>170.859</v>
      </c>
      <c r="KR50" s="21" t="n">
        <v>142.221</v>
      </c>
      <c r="KS50" s="21" t="n">
        <v>387.181</v>
      </c>
      <c r="KT50" s="21" t="n">
        <v>182.806</v>
      </c>
      <c r="KU50" s="21" t="n">
        <v>231.572</v>
      </c>
      <c r="KV50" s="21" t="n">
        <v>316.052</v>
      </c>
      <c r="KW50" s="21" t="n">
        <v>256.169</v>
      </c>
      <c r="KX50" s="21" t="n">
        <v>186.346</v>
      </c>
      <c r="KY50" s="21" t="n">
        <v>97.419</v>
      </c>
      <c r="KZ50" s="21" t="n">
        <v>137.055</v>
      </c>
      <c r="LA50" s="21" t="n">
        <v>263.125</v>
      </c>
      <c r="LB50" s="21" t="n">
        <v>686.211</v>
      </c>
      <c r="LC50" s="21" t="n">
        <v>236.214</v>
      </c>
      <c r="LD50" s="21" t="n">
        <v>754.578</v>
      </c>
      <c r="LE50" s="21" t="n">
        <v>858.0410000000001</v>
      </c>
      <c r="LF50" s="21" t="n">
        <v>81.666</v>
      </c>
      <c r="LG50" s="21" t="n">
        <v>298.69</v>
      </c>
      <c r="LH50" s="21" t="n">
        <v>252.263</v>
      </c>
      <c r="LI50" s="21" t="n">
        <v>73.10299999999999</v>
      </c>
      <c r="LJ50" s="21" t="n">
        <v>188.597</v>
      </c>
      <c r="LK50" s="21" t="n">
        <v>295.431</v>
      </c>
      <c r="LL50" s="21" t="n">
        <v>315.201</v>
      </c>
      <c r="LM50" s="21" t="n">
        <v>69.184</v>
      </c>
      <c r="LN50" s="21" t="n">
        <v>88.893</v>
      </c>
      <c r="LO50" s="21" t="n">
        <v>46.465</v>
      </c>
      <c r="LP50" s="21" t="n">
        <v>117.866</v>
      </c>
      <c r="LQ50" s="21" t="n"/>
      <c r="LR50" s="21" t="n"/>
      <c r="LS50" s="21" t="n">
        <v>110.943</v>
      </c>
      <c r="LT50" s="21" t="n">
        <v>40.044</v>
      </c>
      <c r="LU50" s="21" t="n">
        <v>31.014</v>
      </c>
      <c r="LV50" s="21" t="n">
        <v>77.164</v>
      </c>
      <c r="LW50" s="21" t="n">
        <v>228.555</v>
      </c>
      <c r="LX50" s="21" t="n"/>
      <c r="LY50" s="21" t="n">
        <v>446</v>
      </c>
      <c r="LZ50" s="21" t="n">
        <v>68.47799999999999</v>
      </c>
      <c r="MA50" s="21" t="n">
        <v>443.924</v>
      </c>
      <c r="MB50" s="21" t="n">
        <v>279.065</v>
      </c>
      <c r="MC50" s="21" t="n">
        <v>232.227</v>
      </c>
      <c r="MD50" s="21" t="n">
        <v>161.397</v>
      </c>
      <c r="ME50" s="21" t="n">
        <v>103.02</v>
      </c>
      <c r="MF50" s="21" t="n">
        <v>184.632</v>
      </c>
      <c r="MG50" s="21" t="n">
        <v>268.556</v>
      </c>
      <c r="MH50" s="21" t="n">
        <v>163.863</v>
      </c>
      <c r="MI50" s="21" t="n">
        <v>445.705</v>
      </c>
      <c r="MJ50" s="21" t="n">
        <v>363.948</v>
      </c>
      <c r="MK50" s="21" t="n">
        <v>334.714</v>
      </c>
      <c r="ML50" s="21" t="n">
        <v>172.213</v>
      </c>
      <c r="MM50" s="21" t="n">
        <v>194.982</v>
      </c>
      <c r="MN50" s="21" t="n">
        <v>365.177</v>
      </c>
      <c r="MO50" s="21" t="n">
        <v>172.297</v>
      </c>
      <c r="MP50" s="21" t="n">
        <v>256.585</v>
      </c>
      <c r="MQ50" s="21" t="n">
        <v>71.19499999999999</v>
      </c>
      <c r="MR50" s="21" t="n">
        <v>147.139</v>
      </c>
      <c r="MS50" s="21" t="n">
        <v>71.39100000000001</v>
      </c>
      <c r="MT50" s="21" t="n">
        <v>240.27</v>
      </c>
      <c r="MU50" s="21" t="n">
        <v>258.855</v>
      </c>
      <c r="MV50" s="21" t="n">
        <v>250.974</v>
      </c>
      <c r="MW50" s="21" t="n">
        <v>260.122</v>
      </c>
      <c r="MX50" s="21" t="n">
        <v>230.765</v>
      </c>
      <c r="MY50" s="21" t="n">
        <v>224.129</v>
      </c>
      <c r="MZ50" s="21" t="n">
        <v>230.902</v>
      </c>
      <c r="NA50" s="21" t="n">
        <v>236.57</v>
      </c>
      <c r="NB50" s="21" t="n">
        <v>114.946</v>
      </c>
      <c r="NC50" s="21" t="n">
        <v>181.815</v>
      </c>
      <c r="ND50" s="21" t="n">
        <v>149.079</v>
      </c>
      <c r="NE50" s="21" t="n">
        <v>145.62</v>
      </c>
      <c r="NF50" s="21" t="n">
        <v>143.892</v>
      </c>
      <c r="NG50" s="21" t="n">
        <v>145.104</v>
      </c>
      <c r="NH50" s="21" t="n">
        <v>248.889</v>
      </c>
      <c r="NI50" s="21" t="n">
        <v>104.808</v>
      </c>
      <c r="NJ50" s="21" t="n">
        <v>73.31399999999999</v>
      </c>
      <c r="NK50" s="21" t="n">
        <v>110.098</v>
      </c>
      <c r="NL50" s="21" t="n">
        <v>200.563</v>
      </c>
      <c r="NM50" s="21" t="n">
        <v>207.727</v>
      </c>
      <c r="NN50" s="21" t="n">
        <v>90.69199999999999</v>
      </c>
      <c r="NO50" s="21" t="n">
        <v>53.077</v>
      </c>
      <c r="NP50" s="21" t="n">
        <v>220.86</v>
      </c>
      <c r="NQ50" s="21" t="n">
        <v>191.151</v>
      </c>
      <c r="NR50" s="21" t="n">
        <v>232.683</v>
      </c>
      <c r="NS50" s="21" t="n">
        <v>187.418</v>
      </c>
      <c r="NT50" s="21" t="n">
        <v>232.074</v>
      </c>
      <c r="NU50" s="21" t="n">
        <v>112.542</v>
      </c>
      <c r="NV50" s="21" t="n">
        <v>123.899</v>
      </c>
      <c r="NW50" s="21" t="n">
        <v>356.039</v>
      </c>
      <c r="NX50" s="21" t="n">
        <v>80.57299999999999</v>
      </c>
      <c r="NY50" s="21" t="n">
        <v>123.367</v>
      </c>
      <c r="NZ50" s="21" t="n">
        <v>325.96</v>
      </c>
      <c r="OA50" s="21" t="n">
        <v>320.695</v>
      </c>
      <c r="OB50" s="21" t="n">
        <v>332.444</v>
      </c>
      <c r="OC50" s="21" t="n">
        <v>305.131</v>
      </c>
      <c r="OD50" s="21" t="n">
        <v>339.422</v>
      </c>
      <c r="OE50" s="21" t="n">
        <v>104.628</v>
      </c>
      <c r="OF50" s="21" t="n">
        <v>322.216</v>
      </c>
      <c r="OG50" s="21" t="n">
        <v>216.114</v>
      </c>
      <c r="OH50" s="21" t="n">
        <v>41.313</v>
      </c>
      <c r="OI50" s="21" t="n">
        <v>126.574</v>
      </c>
      <c r="OJ50" s="21" t="n">
        <v>39.7</v>
      </c>
      <c r="OK50" s="21" t="n">
        <v>13.3</v>
      </c>
    </row>
    <row r="51">
      <c r="A51" s="22" t="n">
        <v>43497</v>
      </c>
      <c r="B51" s="21" t="n">
        <v>252.776</v>
      </c>
      <c r="C51" s="21" t="n">
        <v>757.204</v>
      </c>
      <c r="D51" s="21" t="n">
        <v>256.997</v>
      </c>
      <c r="E51" s="21" t="n">
        <v>257.222</v>
      </c>
      <c r="F51" s="21" t="n">
        <v>242.057</v>
      </c>
      <c r="G51" s="21" t="n">
        <v>275.996</v>
      </c>
      <c r="H51" s="21" t="n">
        <v>226.821</v>
      </c>
      <c r="I51" s="21" t="n">
        <v>235.755</v>
      </c>
      <c r="J51" s="21" t="n">
        <v>221.578</v>
      </c>
      <c r="K51" s="21" t="n">
        <v>236.109</v>
      </c>
      <c r="L51" s="21" t="n">
        <v>161.631</v>
      </c>
      <c r="M51" s="21" t="n">
        <v>304.393</v>
      </c>
      <c r="N51" s="21" t="n">
        <v>183.233</v>
      </c>
      <c r="O51" s="21" t="n">
        <v>332.035</v>
      </c>
      <c r="P51" s="21" t="n">
        <v>356.892</v>
      </c>
      <c r="Q51" s="21" t="n">
        <v>181.409</v>
      </c>
      <c r="R51" s="21" t="n">
        <v>291.714</v>
      </c>
      <c r="S51" s="21" t="n">
        <v>314.562</v>
      </c>
      <c r="T51" s="21" t="n">
        <v>273.511</v>
      </c>
      <c r="U51" s="21" t="n">
        <v>268.695</v>
      </c>
      <c r="V51" s="21" t="n">
        <v>309.316</v>
      </c>
      <c r="W51" s="21" t="n">
        <v>306.519</v>
      </c>
      <c r="X51" s="21" t="n">
        <v>268.827</v>
      </c>
      <c r="Y51" s="21" t="n">
        <v>248.597</v>
      </c>
      <c r="Z51" s="21" t="n">
        <v>250.962</v>
      </c>
      <c r="AA51" s="21" t="n">
        <v>251.201</v>
      </c>
      <c r="AB51" s="21" t="n">
        <v>302.155</v>
      </c>
      <c r="AC51" s="21" t="n">
        <v>266.449</v>
      </c>
      <c r="AD51" s="21" t="n">
        <v>228.25</v>
      </c>
      <c r="AE51" s="21" t="n">
        <v>203.471</v>
      </c>
      <c r="AF51" s="21" t="n">
        <v>242.825</v>
      </c>
      <c r="AG51" s="21" t="n">
        <v>206.798</v>
      </c>
      <c r="AH51" s="21" t="n">
        <v>157.919</v>
      </c>
      <c r="AI51" s="21" t="n">
        <v>295.941</v>
      </c>
      <c r="AJ51" s="21" t="n">
        <v>143.05</v>
      </c>
      <c r="AK51" s="21" t="n">
        <v>190.12</v>
      </c>
      <c r="AL51" s="21" t="n">
        <v>211.373</v>
      </c>
      <c r="AM51" s="21" t="n">
        <v>186.512</v>
      </c>
      <c r="AN51" s="21" t="n">
        <v>122.984</v>
      </c>
      <c r="AO51" s="21" t="n">
        <v>225.013</v>
      </c>
      <c r="AP51" s="21" t="n">
        <v>236.069</v>
      </c>
      <c r="AQ51" s="21" t="n">
        <v>143.894</v>
      </c>
      <c r="AR51" s="21" t="n"/>
      <c r="AS51" s="21" t="n"/>
      <c r="AT51" s="21" t="n">
        <v>232.813</v>
      </c>
      <c r="AU51" s="21" t="n">
        <v>150.587</v>
      </c>
      <c r="AV51" s="21" t="n">
        <v>246.826</v>
      </c>
      <c r="AW51" s="21" t="n">
        <v>224.745</v>
      </c>
      <c r="AX51" s="21" t="n">
        <v>148.266</v>
      </c>
      <c r="AY51" s="21" t="n">
        <v>298.35</v>
      </c>
      <c r="AZ51" s="21" t="n">
        <v>186.396</v>
      </c>
      <c r="BA51" s="21" t="n">
        <v>148.212</v>
      </c>
      <c r="BB51" s="21" t="n">
        <v>212.916</v>
      </c>
      <c r="BC51" s="21" t="n">
        <v>306.689</v>
      </c>
      <c r="BD51" s="21" t="n">
        <v>218.185</v>
      </c>
      <c r="BE51" s="21" t="n">
        <v>216.595</v>
      </c>
      <c r="BF51" s="21" t="n">
        <v>137.925</v>
      </c>
      <c r="BG51" s="21" t="n">
        <v>196.94</v>
      </c>
      <c r="BH51" s="21" t="n">
        <v>142.79</v>
      </c>
      <c r="BI51" s="21" t="n">
        <v>224.692</v>
      </c>
      <c r="BJ51" s="21" t="n">
        <v>226.736</v>
      </c>
      <c r="BK51" s="21" t="n">
        <v>147.447</v>
      </c>
      <c r="BL51" s="21" t="n">
        <v>304.621</v>
      </c>
      <c r="BM51" s="21" t="n">
        <v>355.034</v>
      </c>
      <c r="BN51" s="21" t="n">
        <v>365.288</v>
      </c>
      <c r="BO51" s="21" t="n">
        <v>335.377</v>
      </c>
      <c r="BP51" s="21" t="n">
        <v>195.987</v>
      </c>
      <c r="BQ51" s="21" t="n">
        <v>251.445</v>
      </c>
      <c r="BR51" s="21" t="n">
        <v>493.842</v>
      </c>
      <c r="BS51" s="21" t="n">
        <v>123.936</v>
      </c>
      <c r="BT51" s="21" t="n">
        <v>342.879</v>
      </c>
      <c r="BU51" s="21" t="n">
        <v>355.805</v>
      </c>
      <c r="BV51" s="21" t="n">
        <v>323.848</v>
      </c>
      <c r="BW51" s="21" t="n">
        <v>343.612</v>
      </c>
      <c r="BX51" s="21" t="n">
        <v>348.228</v>
      </c>
      <c r="BY51" s="21" t="n">
        <v>156.276</v>
      </c>
      <c r="BZ51" s="21" t="n">
        <v>164.271</v>
      </c>
      <c r="CA51" s="21" t="n">
        <v>158.787</v>
      </c>
      <c r="CB51" s="21" t="n">
        <v>173.643</v>
      </c>
      <c r="CC51" s="21" t="n">
        <v>143.653</v>
      </c>
      <c r="CD51" s="21" t="n">
        <v>197.524</v>
      </c>
      <c r="CE51" s="21" t="n">
        <v>152.484</v>
      </c>
      <c r="CF51" s="21" t="n">
        <v>178.473</v>
      </c>
      <c r="CG51" s="21" t="n">
        <v>172.488</v>
      </c>
      <c r="CH51" s="21" t="n">
        <v>135.211</v>
      </c>
      <c r="CI51" s="21" t="n">
        <v>172.314</v>
      </c>
      <c r="CJ51" s="21" t="n">
        <v>181.473</v>
      </c>
      <c r="CK51" s="21" t="n">
        <v>121.868</v>
      </c>
      <c r="CL51" s="21" t="n">
        <v>116.486</v>
      </c>
      <c r="CM51" s="21" t="n">
        <v>193.654</v>
      </c>
      <c r="CN51" s="21" t="n">
        <v>201.082</v>
      </c>
      <c r="CO51" s="21" t="n">
        <v>189.343</v>
      </c>
      <c r="CP51" s="21" t="n">
        <v>129.384</v>
      </c>
      <c r="CQ51" s="21" t="n">
        <v>211.168</v>
      </c>
      <c r="CR51" s="21" t="n">
        <v>218.293</v>
      </c>
      <c r="CS51" s="21" t="n">
        <v>185.657</v>
      </c>
      <c r="CT51" s="21" t="n">
        <v>148.168</v>
      </c>
      <c r="CU51" s="21" t="n">
        <v>155.203</v>
      </c>
      <c r="CV51" s="21" t="n">
        <v>228.762</v>
      </c>
      <c r="CW51" s="21" t="n">
        <v>208.816</v>
      </c>
      <c r="CX51" s="21" t="n">
        <v>251.979</v>
      </c>
      <c r="CY51" s="21" t="n">
        <v>295.99</v>
      </c>
      <c r="CZ51" s="21" t="n">
        <v>129.304</v>
      </c>
      <c r="DA51" s="21" t="n">
        <v>157.92</v>
      </c>
      <c r="DB51" s="21" t="n">
        <v>156.855</v>
      </c>
      <c r="DC51" s="21" t="n">
        <v>225.412</v>
      </c>
      <c r="DD51" s="21" t="n">
        <v>241.267</v>
      </c>
      <c r="DE51" s="21" t="n">
        <v>167.445</v>
      </c>
      <c r="DF51" s="21" t="n">
        <v>254.084</v>
      </c>
      <c r="DG51" s="21" t="n">
        <v>244.427</v>
      </c>
      <c r="DH51" s="21" t="n">
        <v>157.818</v>
      </c>
      <c r="DI51" s="21" t="n"/>
      <c r="DJ51" s="21" t="n">
        <v>140.177</v>
      </c>
      <c r="DK51" s="21" t="n">
        <v>277.29</v>
      </c>
      <c r="DL51" s="21" t="n">
        <v>168.237</v>
      </c>
      <c r="DM51" s="21" t="n">
        <v>130.99</v>
      </c>
      <c r="DN51" s="21" t="n">
        <v>126.068</v>
      </c>
      <c r="DO51" s="21" t="n">
        <v>281.373</v>
      </c>
      <c r="DP51" s="21" t="n">
        <v>174.151</v>
      </c>
      <c r="DQ51" s="21" t="n">
        <v>180.525</v>
      </c>
      <c r="DR51" s="21" t="n">
        <v>180.402</v>
      </c>
      <c r="DS51" s="21" t="n">
        <v>148.726</v>
      </c>
      <c r="DT51" s="21" t="n">
        <v>163.208</v>
      </c>
      <c r="DU51" s="21" t="n">
        <v>194.36</v>
      </c>
      <c r="DV51" s="21" t="n">
        <v>252.599</v>
      </c>
      <c r="DW51" s="21" t="n">
        <v>206.233</v>
      </c>
      <c r="DX51" s="21" t="n">
        <v>230.449</v>
      </c>
      <c r="DY51" s="21" t="n">
        <v>196.867</v>
      </c>
      <c r="DZ51" s="21" t="n">
        <v>209.502</v>
      </c>
      <c r="EA51" s="21" t="n">
        <v>191.939</v>
      </c>
      <c r="EB51" s="21" t="n">
        <v>172.406</v>
      </c>
      <c r="EC51" s="21" t="n">
        <v>353.257</v>
      </c>
      <c r="ED51" s="21" t="n">
        <v>175.116</v>
      </c>
      <c r="EE51" s="21" t="n">
        <v>190.916</v>
      </c>
      <c r="EF51" s="21" t="n">
        <v>187.597</v>
      </c>
      <c r="EG51" s="21" t="n">
        <v>263.057</v>
      </c>
      <c r="EH51" s="21" t="n">
        <v>313.88</v>
      </c>
      <c r="EI51" s="21" t="n">
        <v>326.351</v>
      </c>
      <c r="EJ51" s="21" t="n">
        <v>161.33</v>
      </c>
      <c r="EK51" s="21" t="n">
        <v>557.694</v>
      </c>
      <c r="EL51" s="21" t="n">
        <v>329.316</v>
      </c>
      <c r="EM51" s="21" t="n">
        <v>321.627</v>
      </c>
      <c r="EN51" s="21" t="n">
        <v>321.648</v>
      </c>
      <c r="EO51" s="21" t="n">
        <v>151.737</v>
      </c>
      <c r="EP51" s="21" t="n">
        <v>241.549</v>
      </c>
      <c r="EQ51" s="21" t="n">
        <v>199.581</v>
      </c>
      <c r="ER51" s="21" t="n">
        <v>287.643</v>
      </c>
      <c r="ES51" s="21" t="n">
        <v>285.668</v>
      </c>
      <c r="ET51" s="21" t="n">
        <v>343.674</v>
      </c>
      <c r="EU51" s="21" t="n">
        <v>202.69</v>
      </c>
      <c r="EV51" s="21" t="n">
        <v>210.939</v>
      </c>
      <c r="EW51" s="21" t="n">
        <v>174.95</v>
      </c>
      <c r="EX51" s="21" t="n">
        <v>242.011</v>
      </c>
      <c r="EY51" s="21" t="n">
        <v>561.677</v>
      </c>
      <c r="EZ51" s="21" t="n">
        <v>477.474</v>
      </c>
      <c r="FA51" s="21" t="n">
        <v>123.75</v>
      </c>
      <c r="FB51" s="21" t="n">
        <v>57.187</v>
      </c>
      <c r="FC51" s="21" t="n">
        <v>112.021</v>
      </c>
      <c r="FD51" s="21" t="n">
        <v>63.763</v>
      </c>
      <c r="FE51" s="21" t="n">
        <v>43.747</v>
      </c>
      <c r="FF51" s="21" t="n">
        <v>113.192</v>
      </c>
      <c r="FG51" s="21" t="n">
        <v>129.516</v>
      </c>
      <c r="FH51" s="21" t="n">
        <v>87.08499999999999</v>
      </c>
      <c r="FI51" s="21" t="n">
        <v>70.14700000000001</v>
      </c>
      <c r="FJ51" s="21" t="n"/>
      <c r="FK51" s="21" t="n">
        <v>78.20699999999999</v>
      </c>
      <c r="FL51" s="21" t="n">
        <v>86.279</v>
      </c>
      <c r="FM51" s="21" t="n">
        <v>93.73999999999999</v>
      </c>
      <c r="FN51" s="21" t="n">
        <v>66.896</v>
      </c>
      <c r="FO51" s="21" t="n">
        <v>51.833</v>
      </c>
      <c r="FP51" s="21" t="n">
        <v>38.238</v>
      </c>
      <c r="FQ51" s="21" t="n">
        <v>134.126</v>
      </c>
      <c r="FR51" s="21" t="n">
        <v>46.262</v>
      </c>
      <c r="FS51" s="21" t="n">
        <v>84.148</v>
      </c>
      <c r="FT51" s="21" t="n">
        <v>91.566</v>
      </c>
      <c r="FU51" s="21" t="n">
        <v>100.679</v>
      </c>
      <c r="FV51" s="21" t="n">
        <v>87.273</v>
      </c>
      <c r="FW51" s="21" t="n">
        <v>189.213</v>
      </c>
      <c r="FX51" s="21" t="n">
        <v>120.191</v>
      </c>
      <c r="FY51" s="21" t="n">
        <v>172.648</v>
      </c>
      <c r="FZ51" s="21" t="n">
        <v>120.118</v>
      </c>
      <c r="GA51" s="21" t="n">
        <v>191.011</v>
      </c>
      <c r="GB51" s="21" t="n">
        <v>170.213</v>
      </c>
      <c r="GC51" s="21" t="n"/>
      <c r="GD51" s="21" t="n">
        <v>168.971</v>
      </c>
      <c r="GE51" s="21" t="n">
        <v>256.638</v>
      </c>
      <c r="GF51" s="21" t="n">
        <v>125.631</v>
      </c>
      <c r="GG51" s="21" t="n">
        <v>123.01</v>
      </c>
      <c r="GH51" s="21" t="n">
        <v>124.129</v>
      </c>
      <c r="GI51" s="21" t="n">
        <v>111.946</v>
      </c>
      <c r="GJ51" s="21" t="n">
        <v>156.856</v>
      </c>
      <c r="GK51" s="21" t="n">
        <v>80.23</v>
      </c>
      <c r="GL51" s="21" t="n">
        <v>121.03</v>
      </c>
      <c r="GM51" s="21" t="n">
        <v>116.233</v>
      </c>
      <c r="GN51" s="21" t="n">
        <v>107.606</v>
      </c>
      <c r="GO51" s="21" t="n">
        <v>109.9</v>
      </c>
      <c r="GP51" s="21" t="n">
        <v>107.268</v>
      </c>
      <c r="GQ51" s="21" t="n">
        <v>121.247</v>
      </c>
      <c r="GR51" s="21" t="n">
        <v>76.71899999999999</v>
      </c>
      <c r="GS51" s="21" t="n">
        <v>100.976</v>
      </c>
      <c r="GT51" s="21" t="n">
        <v>96.14700000000001</v>
      </c>
      <c r="GU51" s="21" t="n">
        <v>137.072</v>
      </c>
      <c r="GV51" s="21" t="n">
        <v>141.71</v>
      </c>
      <c r="GW51" s="21" t="n">
        <v>157.706</v>
      </c>
      <c r="GX51" s="21" t="n">
        <v>123.645</v>
      </c>
      <c r="GY51" s="21" t="n">
        <v>121.822</v>
      </c>
      <c r="GZ51" s="21" t="n">
        <v>168.375</v>
      </c>
      <c r="HA51" s="21" t="n">
        <v>129.565</v>
      </c>
      <c r="HB51" s="21" t="n">
        <v>174.938</v>
      </c>
      <c r="HC51" s="21" t="n">
        <v>204.236</v>
      </c>
      <c r="HD51" s="21" t="n">
        <v>199.92</v>
      </c>
      <c r="HE51" s="21" t="n">
        <v>99.491</v>
      </c>
      <c r="HF51" s="21" t="n">
        <v>147.226</v>
      </c>
      <c r="HG51" s="21" t="n">
        <v>102.034</v>
      </c>
      <c r="HH51" s="21" t="n">
        <v>143.002</v>
      </c>
      <c r="HI51" s="21" t="n">
        <v>156.77</v>
      </c>
      <c r="HJ51" s="21" t="n"/>
      <c r="HK51" s="21" t="n">
        <v>139.301</v>
      </c>
      <c r="HL51" s="21" t="n">
        <v>88.488</v>
      </c>
      <c r="HM51" s="21" t="n">
        <v>116.274</v>
      </c>
      <c r="HN51" s="21" t="n">
        <v>208.242</v>
      </c>
      <c r="HO51" s="21" t="n">
        <v>206.749</v>
      </c>
      <c r="HP51" s="21" t="n">
        <v>201.919</v>
      </c>
      <c r="HQ51" s="21" t="n">
        <v>224.958</v>
      </c>
      <c r="HR51" s="21" t="n">
        <v>223.316</v>
      </c>
      <c r="HS51" s="21" t="n">
        <v>214.546</v>
      </c>
      <c r="HT51" s="21" t="n">
        <v>145.466</v>
      </c>
      <c r="HU51" s="21" t="n">
        <v>124.682</v>
      </c>
      <c r="HV51" s="21" t="n">
        <v>173.402</v>
      </c>
      <c r="HW51" s="21" t="n">
        <v>164.036</v>
      </c>
      <c r="HX51" s="21" t="n">
        <v>381.914</v>
      </c>
      <c r="HY51" s="21" t="n">
        <v>291.993</v>
      </c>
      <c r="HZ51" s="21" t="n">
        <v>307.83</v>
      </c>
      <c r="IA51" s="21" t="n">
        <v>264.883</v>
      </c>
      <c r="IB51" s="21" t="n">
        <v>177.765</v>
      </c>
      <c r="IC51" s="21" t="n">
        <v>574.447</v>
      </c>
      <c r="ID51" s="21" t="n">
        <v>191.515</v>
      </c>
      <c r="IE51" s="21" t="n">
        <v>179.698</v>
      </c>
      <c r="IF51" s="21" t="n">
        <v>210.336</v>
      </c>
      <c r="IG51" s="21" t="n">
        <v>237.125</v>
      </c>
      <c r="IH51" s="21" t="n"/>
      <c r="II51" s="21" t="n">
        <v>254.643</v>
      </c>
      <c r="IJ51" s="21" t="n">
        <v>259.049</v>
      </c>
      <c r="IK51" s="21" t="n">
        <v>156.586</v>
      </c>
      <c r="IL51" s="21" t="n">
        <v>135.272</v>
      </c>
      <c r="IM51" s="21" t="n"/>
      <c r="IN51" s="21" t="n">
        <v>65.128</v>
      </c>
      <c r="IO51" s="21" t="n">
        <v>321.011</v>
      </c>
      <c r="IP51" s="21" t="n">
        <v>128.398</v>
      </c>
      <c r="IQ51" s="21" t="n">
        <v>491.227</v>
      </c>
      <c r="IR51" s="21" t="n">
        <v>377.949</v>
      </c>
      <c r="IS51" s="21" t="n">
        <v>123.678</v>
      </c>
      <c r="IT51" s="21" t="n">
        <v>522.971</v>
      </c>
      <c r="IU51" s="21" t="n">
        <v>95.867</v>
      </c>
      <c r="IV51" s="21" t="n">
        <v>101.295</v>
      </c>
      <c r="IW51" s="21" t="n">
        <v>527.683</v>
      </c>
      <c r="IX51" s="21" t="n">
        <v>381.248</v>
      </c>
      <c r="IY51" s="21" t="n">
        <v>383.009</v>
      </c>
      <c r="IZ51" s="21" t="n">
        <v>491.3</v>
      </c>
      <c r="JA51" s="21" t="n">
        <v>190.968</v>
      </c>
      <c r="JB51" s="21" t="n">
        <v>238.247</v>
      </c>
      <c r="JC51" s="21" t="n">
        <v>79.863</v>
      </c>
      <c r="JD51" s="21" t="n">
        <v>336.234</v>
      </c>
      <c r="JE51" s="21" t="n">
        <v>327.081</v>
      </c>
      <c r="JF51" s="21" t="n">
        <v>744.747</v>
      </c>
      <c r="JG51" s="21" t="n">
        <v>233.786</v>
      </c>
      <c r="JH51" s="21" t="n">
        <v>123.508</v>
      </c>
      <c r="JI51" s="21" t="n">
        <v>144.69</v>
      </c>
      <c r="JJ51" s="21" t="n">
        <v>120.306</v>
      </c>
      <c r="JK51" s="21" t="n">
        <v>105</v>
      </c>
      <c r="JL51" s="21" t="n">
        <v>169.133</v>
      </c>
      <c r="JM51" s="21" t="n">
        <v>477.965</v>
      </c>
      <c r="JN51" s="21" t="n">
        <v>122.465</v>
      </c>
      <c r="JO51" s="21" t="n">
        <v>76.116</v>
      </c>
      <c r="JP51" s="21" t="n">
        <v>40.004</v>
      </c>
      <c r="JQ51" s="21" t="n">
        <v>129.457</v>
      </c>
      <c r="JR51" s="21" t="n">
        <v>26.965</v>
      </c>
      <c r="JS51" s="21" t="n">
        <v>83.05200000000001</v>
      </c>
      <c r="JT51" s="21" t="n">
        <v>176.081</v>
      </c>
      <c r="JU51" s="21" t="n">
        <v>201.523</v>
      </c>
      <c r="JV51" s="21" t="n">
        <v>152.726</v>
      </c>
      <c r="JW51" s="21" t="n">
        <v>117.106</v>
      </c>
      <c r="JX51" s="21" t="n">
        <v>250.857</v>
      </c>
      <c r="JY51" s="21" t="n">
        <v>196.02</v>
      </c>
      <c r="JZ51" s="21" t="n">
        <v>263.218</v>
      </c>
      <c r="KA51" s="21" t="n">
        <v>111.449</v>
      </c>
      <c r="KB51" s="21" t="n">
        <v>151.855</v>
      </c>
      <c r="KC51" s="21" t="n">
        <v>77.697</v>
      </c>
      <c r="KD51" s="21" t="n">
        <v>73.07299999999999</v>
      </c>
      <c r="KE51" s="21" t="n">
        <v>51.962</v>
      </c>
      <c r="KF51" s="21" t="n"/>
      <c r="KG51" s="21" t="n">
        <v>21.74</v>
      </c>
      <c r="KH51" s="21" t="n">
        <v>122.25</v>
      </c>
      <c r="KI51" s="21" t="n">
        <v>123.632</v>
      </c>
      <c r="KJ51" s="21" t="n">
        <v>116.121</v>
      </c>
      <c r="KK51" s="21" t="n">
        <v>36.503</v>
      </c>
      <c r="KL51" s="21" t="n">
        <v>32.532</v>
      </c>
      <c r="KM51" s="21" t="n">
        <v>40.436</v>
      </c>
      <c r="KN51" s="21" t="n"/>
      <c r="KO51" s="21" t="n">
        <v>104.032</v>
      </c>
      <c r="KP51" s="21" t="n">
        <v>99.464</v>
      </c>
      <c r="KQ51" s="21" t="n">
        <v>170.562</v>
      </c>
      <c r="KR51" s="21" t="n">
        <v>143.416</v>
      </c>
      <c r="KS51" s="21" t="n">
        <v>380.941</v>
      </c>
      <c r="KT51" s="21" t="n">
        <v>183.353</v>
      </c>
      <c r="KU51" s="21" t="n">
        <v>214.823</v>
      </c>
      <c r="KV51" s="21" t="n">
        <v>317.446</v>
      </c>
      <c r="KW51" s="21" t="n">
        <v>249.163</v>
      </c>
      <c r="KX51" s="21" t="n">
        <v>179.41</v>
      </c>
      <c r="KY51" s="21" t="n">
        <v>96.29300000000001</v>
      </c>
      <c r="KZ51" s="21" t="n">
        <v>137.168</v>
      </c>
      <c r="LA51" s="21" t="n">
        <v>263.62</v>
      </c>
      <c r="LB51" s="21" t="n">
        <v>692.467</v>
      </c>
      <c r="LC51" s="21" t="n">
        <v>238.122</v>
      </c>
      <c r="LD51" s="21" t="n">
        <v>755.755</v>
      </c>
      <c r="LE51" s="21" t="n">
        <v>858.687</v>
      </c>
      <c r="LF51" s="21" t="n">
        <v>81.753</v>
      </c>
      <c r="LG51" s="21" t="n">
        <v>299.732</v>
      </c>
      <c r="LH51" s="21" t="n">
        <v>252.23</v>
      </c>
      <c r="LI51" s="21" t="n">
        <v>73.09699999999999</v>
      </c>
      <c r="LJ51" s="21" t="n">
        <v>195.23</v>
      </c>
      <c r="LK51" s="21" t="n">
        <v>307.042</v>
      </c>
      <c r="LL51" s="21" t="n">
        <v>317.394</v>
      </c>
      <c r="LM51" s="21" t="n">
        <v>69.09999999999999</v>
      </c>
      <c r="LN51" s="21" t="n">
        <v>88.861</v>
      </c>
      <c r="LO51" s="21" t="n">
        <v>46.399</v>
      </c>
      <c r="LP51" s="21" t="n">
        <v>118.186</v>
      </c>
      <c r="LQ51" s="21" t="n"/>
      <c r="LR51" s="21" t="n"/>
      <c r="LS51" s="21" t="n">
        <v>110.635</v>
      </c>
      <c r="LT51" s="21" t="n">
        <v>39.649</v>
      </c>
      <c r="LU51" s="21" t="n">
        <v>31.123</v>
      </c>
      <c r="LV51" s="21" t="n">
        <v>77.21299999999999</v>
      </c>
      <c r="LW51" s="21" t="n">
        <v>225.813</v>
      </c>
      <c r="LX51" s="21" t="n"/>
      <c r="LY51" s="21" t="n">
        <v>448.15</v>
      </c>
      <c r="LZ51" s="21" t="n">
        <v>68.617</v>
      </c>
      <c r="MA51" s="21" t="n">
        <v>444.687</v>
      </c>
      <c r="MB51" s="21" t="n">
        <v>280.445</v>
      </c>
      <c r="MC51" s="21" t="n">
        <v>233.515</v>
      </c>
      <c r="MD51" s="21" t="n">
        <v>160.772</v>
      </c>
      <c r="ME51" s="21" t="n">
        <v>102.835</v>
      </c>
      <c r="MF51" s="21" t="n">
        <v>183.43</v>
      </c>
      <c r="MG51" s="21" t="n">
        <v>269.302</v>
      </c>
      <c r="MH51" s="21" t="n">
        <v>164.319</v>
      </c>
      <c r="MI51" s="21" t="n">
        <v>448.936</v>
      </c>
      <c r="MJ51" s="21" t="n">
        <v>367.054</v>
      </c>
      <c r="MK51" s="21" t="n">
        <v>335.216</v>
      </c>
      <c r="ML51" s="21" t="n">
        <v>172.911</v>
      </c>
      <c r="MM51" s="21" t="n">
        <v>195.396</v>
      </c>
      <c r="MN51" s="21" t="n">
        <v>369.746</v>
      </c>
      <c r="MO51" s="21" t="n">
        <v>172.297</v>
      </c>
      <c r="MP51" s="21" t="n">
        <v>262.951</v>
      </c>
      <c r="MQ51" s="21" t="n">
        <v>73.895</v>
      </c>
      <c r="MR51" s="21" t="n">
        <v>149.882</v>
      </c>
      <c r="MS51" s="21" t="n">
        <v>70.643</v>
      </c>
      <c r="MT51" s="21" t="n">
        <v>241.335</v>
      </c>
      <c r="MU51" s="21" t="n">
        <v>259.817</v>
      </c>
      <c r="MV51" s="21" t="n">
        <v>252.077</v>
      </c>
      <c r="MW51" s="21" t="n">
        <v>261.114</v>
      </c>
      <c r="MX51" s="21" t="n">
        <v>231.792</v>
      </c>
      <c r="MY51" s="21" t="n">
        <v>225.199</v>
      </c>
      <c r="MZ51" s="21" t="n">
        <v>231.788</v>
      </c>
      <c r="NA51" s="21" t="n">
        <v>237.48</v>
      </c>
      <c r="NB51" s="21" t="n">
        <v>118.417</v>
      </c>
      <c r="NC51" s="21" t="n">
        <v>183.001</v>
      </c>
      <c r="ND51" s="21" t="n">
        <v>150.341</v>
      </c>
      <c r="NE51" s="21" t="n">
        <v>146.883</v>
      </c>
      <c r="NF51" s="21" t="n">
        <v>144.609</v>
      </c>
      <c r="NG51" s="21" t="n">
        <v>145.854</v>
      </c>
      <c r="NH51" s="21" t="n">
        <v>249.51</v>
      </c>
      <c r="NI51" s="21" t="n">
        <v>105.042</v>
      </c>
      <c r="NJ51" s="21" t="n">
        <v>72.95099999999999</v>
      </c>
      <c r="NK51" s="21" t="n">
        <v>110.245</v>
      </c>
      <c r="NL51" s="21" t="n">
        <v>202.74</v>
      </c>
      <c r="NM51" s="21" t="n">
        <v>213.27</v>
      </c>
      <c r="NN51" s="21" t="n">
        <v>91.148</v>
      </c>
      <c r="NO51" s="21" t="n">
        <v>52.574</v>
      </c>
      <c r="NP51" s="21" t="n">
        <v>222.655</v>
      </c>
      <c r="NQ51" s="21" t="n">
        <v>193.659</v>
      </c>
      <c r="NR51" s="21" t="n">
        <v>234.854</v>
      </c>
      <c r="NS51" s="21" t="n">
        <v>190.018</v>
      </c>
      <c r="NT51" s="21" t="n">
        <v>234.377</v>
      </c>
      <c r="NU51" s="21" t="n">
        <v>112.999</v>
      </c>
      <c r="NV51" s="21" t="n">
        <v>124.585</v>
      </c>
      <c r="NW51" s="21" t="n">
        <v>356.916</v>
      </c>
      <c r="NX51" s="21" t="n">
        <v>80.15600000000001</v>
      </c>
      <c r="NY51" s="21" t="n">
        <v>123.726</v>
      </c>
      <c r="NZ51" s="21" t="n">
        <v>327.206</v>
      </c>
      <c r="OA51" s="21" t="n">
        <v>321.623</v>
      </c>
      <c r="OB51" s="21" t="n">
        <v>333.586</v>
      </c>
      <c r="OC51" s="21" t="n">
        <v>305.981</v>
      </c>
      <c r="OD51" s="21" t="n">
        <v>340.062</v>
      </c>
      <c r="OE51" s="21" t="n">
        <v>104.825</v>
      </c>
      <c r="OF51" s="21" t="n">
        <v>323.575</v>
      </c>
      <c r="OG51" s="21" t="n">
        <v>216.505</v>
      </c>
      <c r="OH51" s="21" t="n">
        <v>40.945</v>
      </c>
      <c r="OI51" s="21" t="n">
        <v>127.455</v>
      </c>
      <c r="OJ51" s="21" t="n">
        <v>39.6</v>
      </c>
      <c r="OK51" s="21" t="n">
        <v>13.2</v>
      </c>
    </row>
    <row r="52">
      <c r="A52" s="22" t="n">
        <v>43525</v>
      </c>
      <c r="B52" s="21" t="n">
        <v>254.202</v>
      </c>
      <c r="C52" s="21" t="n">
        <v>761.477</v>
      </c>
      <c r="D52" s="21" t="n">
        <v>257.43</v>
      </c>
      <c r="E52" s="21" t="n">
        <v>257.724</v>
      </c>
      <c r="F52" s="21" t="n">
        <v>242.555</v>
      </c>
      <c r="G52" s="21" t="n">
        <v>277.275</v>
      </c>
      <c r="H52" s="21" t="n">
        <v>230.342</v>
      </c>
      <c r="I52" s="21" t="n">
        <v>237.658</v>
      </c>
      <c r="J52" s="21" t="n">
        <v>224.248</v>
      </c>
      <c r="K52" s="21" t="n">
        <v>241.408</v>
      </c>
      <c r="L52" s="21" t="n">
        <v>163.179</v>
      </c>
      <c r="M52" s="21" t="n">
        <v>304.245</v>
      </c>
      <c r="N52" s="21" t="n">
        <v>183.085</v>
      </c>
      <c r="O52" s="21" t="n">
        <v>329.954</v>
      </c>
      <c r="P52" s="21" t="n">
        <v>359.559</v>
      </c>
      <c r="Q52" s="21" t="n">
        <v>182.198</v>
      </c>
      <c r="R52" s="21" t="n">
        <v>289.955</v>
      </c>
      <c r="S52" s="21" t="n">
        <v>317.889</v>
      </c>
      <c r="T52" s="21" t="n">
        <v>268.664</v>
      </c>
      <c r="U52" s="21" t="n">
        <v>269.252</v>
      </c>
      <c r="V52" s="21" t="n">
        <v>311.198</v>
      </c>
      <c r="W52" s="21" t="n">
        <v>303.647</v>
      </c>
      <c r="X52" s="21" t="n">
        <v>271.11</v>
      </c>
      <c r="Y52" s="21" t="n">
        <v>249.062</v>
      </c>
      <c r="Z52" s="21" t="n">
        <v>251.596</v>
      </c>
      <c r="AA52" s="21" t="n">
        <v>253.252</v>
      </c>
      <c r="AB52" s="21" t="n">
        <v>304.659</v>
      </c>
      <c r="AC52" s="21" t="n">
        <v>264.782</v>
      </c>
      <c r="AD52" s="21" t="n">
        <v>233.319</v>
      </c>
      <c r="AE52" s="21" t="n">
        <v>207.216</v>
      </c>
      <c r="AF52" s="21" t="n">
        <v>244.924</v>
      </c>
      <c r="AG52" s="21" t="n">
        <v>209.921</v>
      </c>
      <c r="AH52" s="21" t="n">
        <v>158.703</v>
      </c>
      <c r="AI52" s="21" t="n">
        <v>299.521</v>
      </c>
      <c r="AJ52" s="21" t="n">
        <v>142.733</v>
      </c>
      <c r="AK52" s="21" t="n">
        <v>203.141</v>
      </c>
      <c r="AL52" s="21" t="n">
        <v>226.978</v>
      </c>
      <c r="AM52" s="21" t="n">
        <v>184.792</v>
      </c>
      <c r="AN52" s="21" t="n">
        <v>124.229</v>
      </c>
      <c r="AO52" s="21" t="n">
        <v>224.747</v>
      </c>
      <c r="AP52" s="21" t="n">
        <v>237.054</v>
      </c>
      <c r="AQ52" s="21" t="n">
        <v>143.363</v>
      </c>
      <c r="AR52" s="21" t="n"/>
      <c r="AS52" s="21" t="n"/>
      <c r="AT52" s="21" t="n">
        <v>230.655</v>
      </c>
      <c r="AU52" s="21" t="n">
        <v>149.637</v>
      </c>
      <c r="AV52" s="21" t="n">
        <v>246.103</v>
      </c>
      <c r="AW52" s="21" t="n">
        <v>223.317</v>
      </c>
      <c r="AX52" s="21" t="n">
        <v>144.893</v>
      </c>
      <c r="AY52" s="21" t="n">
        <v>297.251</v>
      </c>
      <c r="AZ52" s="21" t="n">
        <v>186.845</v>
      </c>
      <c r="BA52" s="21" t="n">
        <v>146.699</v>
      </c>
      <c r="BB52" s="21" t="n">
        <v>209.4</v>
      </c>
      <c r="BC52" s="21" t="n">
        <v>303.922</v>
      </c>
      <c r="BD52" s="21" t="n">
        <v>216.25</v>
      </c>
      <c r="BE52" s="21" t="n">
        <v>217.531</v>
      </c>
      <c r="BF52" s="21" t="n">
        <v>139.408</v>
      </c>
      <c r="BG52" s="21" t="n">
        <v>198.336</v>
      </c>
      <c r="BH52" s="21" t="n">
        <v>144.605</v>
      </c>
      <c r="BI52" s="21" t="n">
        <v>225.253</v>
      </c>
      <c r="BJ52" s="21" t="n">
        <v>223.143</v>
      </c>
      <c r="BK52" s="21" t="n">
        <v>149.103</v>
      </c>
      <c r="BL52" s="21" t="n">
        <v>305.399</v>
      </c>
      <c r="BM52" s="21" t="n">
        <v>355.517</v>
      </c>
      <c r="BN52" s="21" t="n">
        <v>365.345</v>
      </c>
      <c r="BO52" s="21" t="n">
        <v>340.703</v>
      </c>
      <c r="BP52" s="21" t="n">
        <v>198.299</v>
      </c>
      <c r="BQ52" s="21" t="n">
        <v>256.72</v>
      </c>
      <c r="BR52" s="21" t="n">
        <v>503.337</v>
      </c>
      <c r="BS52" s="21" t="n">
        <v>121.242</v>
      </c>
      <c r="BT52" s="21" t="n">
        <v>343.803</v>
      </c>
      <c r="BU52" s="21" t="n">
        <v>358.3</v>
      </c>
      <c r="BV52" s="21" t="n">
        <v>337.276</v>
      </c>
      <c r="BW52" s="21" t="n">
        <v>338.164</v>
      </c>
      <c r="BX52" s="21" t="n">
        <v>347.396</v>
      </c>
      <c r="BY52" s="21" t="n">
        <v>157.385</v>
      </c>
      <c r="BZ52" s="21" t="n">
        <v>165.811</v>
      </c>
      <c r="CA52" s="21" t="n">
        <v>162.27</v>
      </c>
      <c r="CB52" s="21" t="n">
        <v>174.131</v>
      </c>
      <c r="CC52" s="21" t="n">
        <v>144.756</v>
      </c>
      <c r="CD52" s="21" t="n">
        <v>199.365</v>
      </c>
      <c r="CE52" s="21" t="n">
        <v>152.187</v>
      </c>
      <c r="CF52" s="21" t="n">
        <v>180.199</v>
      </c>
      <c r="CG52" s="21" t="n">
        <v>172.06</v>
      </c>
      <c r="CH52" s="21" t="n">
        <v>134.839</v>
      </c>
      <c r="CI52" s="21" t="n">
        <v>172.608</v>
      </c>
      <c r="CJ52" s="21" t="n">
        <v>183.852</v>
      </c>
      <c r="CK52" s="21" t="n">
        <v>121.083</v>
      </c>
      <c r="CL52" s="21" t="n">
        <v>116.274</v>
      </c>
      <c r="CM52" s="21" t="n">
        <v>193.567</v>
      </c>
      <c r="CN52" s="21" t="n">
        <v>200.975</v>
      </c>
      <c r="CO52" s="21" t="n">
        <v>189.013</v>
      </c>
      <c r="CP52" s="21" t="n">
        <v>128.834</v>
      </c>
      <c r="CQ52" s="21" t="n">
        <v>211.55</v>
      </c>
      <c r="CR52" s="21" t="n">
        <v>220.618</v>
      </c>
      <c r="CS52" s="21" t="n">
        <v>185.858</v>
      </c>
      <c r="CT52" s="21" t="n">
        <v>149.801</v>
      </c>
      <c r="CU52" s="21" t="n">
        <v>157.807</v>
      </c>
      <c r="CV52" s="21" t="n">
        <v>229.087</v>
      </c>
      <c r="CW52" s="21" t="n">
        <v>210.39</v>
      </c>
      <c r="CX52" s="21" t="n">
        <v>253.069</v>
      </c>
      <c r="CY52" s="21" t="n">
        <v>299.739</v>
      </c>
      <c r="CZ52" s="21" t="n">
        <v>129.083</v>
      </c>
      <c r="DA52" s="21" t="n">
        <v>157.813</v>
      </c>
      <c r="DB52" s="21" t="n">
        <v>155.218</v>
      </c>
      <c r="DC52" s="21" t="n">
        <v>225.417</v>
      </c>
      <c r="DD52" s="21" t="n">
        <v>243.139</v>
      </c>
      <c r="DE52" s="21" t="n">
        <v>165.47</v>
      </c>
      <c r="DF52" s="21" t="n">
        <v>254.32</v>
      </c>
      <c r="DG52" s="21" t="n">
        <v>245.227</v>
      </c>
      <c r="DH52" s="21" t="n">
        <v>155.606</v>
      </c>
      <c r="DI52" s="21" t="n"/>
      <c r="DJ52" s="21" t="n">
        <v>142.013</v>
      </c>
      <c r="DK52" s="21" t="n">
        <v>280.247</v>
      </c>
      <c r="DL52" s="21" t="n">
        <v>166.239</v>
      </c>
      <c r="DM52" s="21" t="n">
        <v>131.52</v>
      </c>
      <c r="DN52" s="21" t="n">
        <v>126.641</v>
      </c>
      <c r="DO52" s="21" t="n">
        <v>281.887</v>
      </c>
      <c r="DP52" s="21" t="n">
        <v>174.395</v>
      </c>
      <c r="DQ52" s="21" t="n">
        <v>180.931</v>
      </c>
      <c r="DR52" s="21" t="n">
        <v>180.329</v>
      </c>
      <c r="DS52" s="21" t="n">
        <v>148.74</v>
      </c>
      <c r="DT52" s="21" t="n">
        <v>163.7</v>
      </c>
      <c r="DU52" s="21" t="n">
        <v>195.182</v>
      </c>
      <c r="DV52" s="21" t="n">
        <v>252.087</v>
      </c>
      <c r="DW52" s="21" t="n">
        <v>205.315</v>
      </c>
      <c r="DX52" s="21" t="n">
        <v>229.172</v>
      </c>
      <c r="DY52" s="21" t="n">
        <v>196.616</v>
      </c>
      <c r="DZ52" s="21" t="n">
        <v>209.794</v>
      </c>
      <c r="EA52" s="21" t="n">
        <v>191.064</v>
      </c>
      <c r="EB52" s="21" t="n">
        <v>171.662</v>
      </c>
      <c r="EC52" s="21" t="n">
        <v>353.967</v>
      </c>
      <c r="ED52" s="21" t="n">
        <v>176.121</v>
      </c>
      <c r="EE52" s="21" t="n">
        <v>190.11</v>
      </c>
      <c r="EF52" s="21" t="n">
        <v>188.386</v>
      </c>
      <c r="EG52" s="21" t="n">
        <v>263.886</v>
      </c>
      <c r="EH52" s="21" t="n">
        <v>315.135</v>
      </c>
      <c r="EI52" s="21" t="n">
        <v>327.513</v>
      </c>
      <c r="EJ52" s="21" t="n">
        <v>168.321</v>
      </c>
      <c r="EK52" s="21" t="n">
        <v>557.694</v>
      </c>
      <c r="EL52" s="21" t="n">
        <v>345.501</v>
      </c>
      <c r="EM52" s="21" t="n">
        <v>322.482</v>
      </c>
      <c r="EN52" s="21" t="n">
        <v>322.507</v>
      </c>
      <c r="EO52" s="21" t="n">
        <v>151.471</v>
      </c>
      <c r="EP52" s="21" t="n">
        <v>241.55</v>
      </c>
      <c r="EQ52" s="21" t="n">
        <v>199.429</v>
      </c>
      <c r="ER52" s="21" t="n">
        <v>289.333</v>
      </c>
      <c r="ES52" s="21" t="n">
        <v>287.496</v>
      </c>
      <c r="ET52" s="21" t="n">
        <v>345.425</v>
      </c>
      <c r="EU52" s="21" t="n">
        <v>202.461</v>
      </c>
      <c r="EV52" s="21" t="n">
        <v>210.937</v>
      </c>
      <c r="EW52" s="21" t="n">
        <v>174.089</v>
      </c>
      <c r="EX52" s="21" t="n">
        <v>242.611</v>
      </c>
      <c r="EY52" s="21" t="n">
        <v>563.105</v>
      </c>
      <c r="EZ52" s="21" t="n">
        <v>478.569</v>
      </c>
      <c r="FA52" s="21" t="n">
        <v>123.746</v>
      </c>
      <c r="FB52" s="21" t="n">
        <v>57.44</v>
      </c>
      <c r="FC52" s="21" t="n">
        <v>114.085</v>
      </c>
      <c r="FD52" s="21" t="n">
        <v>62.941</v>
      </c>
      <c r="FE52" s="21" t="n">
        <v>43.944</v>
      </c>
      <c r="FF52" s="21" t="n">
        <v>113.775</v>
      </c>
      <c r="FG52" s="21" t="n">
        <v>128.854</v>
      </c>
      <c r="FH52" s="21" t="n">
        <v>87.419</v>
      </c>
      <c r="FI52" s="21" t="n">
        <v>72.63200000000001</v>
      </c>
      <c r="FJ52" s="21" t="n"/>
      <c r="FK52" s="21" t="n">
        <v>77.511</v>
      </c>
      <c r="FL52" s="21" t="n">
        <v>85.227</v>
      </c>
      <c r="FM52" s="21" t="n">
        <v>93.839</v>
      </c>
      <c r="FN52" s="21" t="n">
        <v>66.428</v>
      </c>
      <c r="FO52" s="21" t="n">
        <v>51.249</v>
      </c>
      <c r="FP52" s="21" t="n">
        <v>37.759</v>
      </c>
      <c r="FQ52" s="21" t="n">
        <v>133.528</v>
      </c>
      <c r="FR52" s="21" t="n">
        <v>44.549</v>
      </c>
      <c r="FS52" s="21" t="n">
        <v>84.30800000000001</v>
      </c>
      <c r="FT52" s="21" t="n">
        <v>91.232</v>
      </c>
      <c r="FU52" s="21" t="n">
        <v>99.988</v>
      </c>
      <c r="FV52" s="21" t="n">
        <v>87.154</v>
      </c>
      <c r="FW52" s="21" t="n">
        <v>190.492</v>
      </c>
      <c r="FX52" s="21" t="n">
        <v>121.192</v>
      </c>
      <c r="FY52" s="21" t="n">
        <v>175.682</v>
      </c>
      <c r="FZ52" s="21" t="n">
        <v>119.7</v>
      </c>
      <c r="GA52" s="21" t="n">
        <v>190.707</v>
      </c>
      <c r="GB52" s="21" t="n">
        <v>170.571</v>
      </c>
      <c r="GC52" s="21" t="n">
        <v>198.352</v>
      </c>
      <c r="GD52" s="21" t="n">
        <v>169.952</v>
      </c>
      <c r="GE52" s="21" t="n">
        <v>256.536</v>
      </c>
      <c r="GF52" s="21" t="n">
        <v>125.785</v>
      </c>
      <c r="GG52" s="21" t="n">
        <v>120.101</v>
      </c>
      <c r="GH52" s="21" t="n">
        <v>122.194</v>
      </c>
      <c r="GI52" s="21" t="n">
        <v>111.91</v>
      </c>
      <c r="GJ52" s="21" t="n">
        <v>155.795</v>
      </c>
      <c r="GK52" s="21" t="n">
        <v>78.759</v>
      </c>
      <c r="GL52" s="21" t="n">
        <v>117.141</v>
      </c>
      <c r="GM52" s="21" t="n">
        <v>110.359</v>
      </c>
      <c r="GN52" s="21" t="n">
        <v>109.631</v>
      </c>
      <c r="GO52" s="21" t="n">
        <v>112.666</v>
      </c>
      <c r="GP52" s="21" t="n">
        <v>106.212</v>
      </c>
      <c r="GQ52" s="21" t="n">
        <v>126.618</v>
      </c>
      <c r="GR52" s="21" t="n">
        <v>77.967</v>
      </c>
      <c r="GS52" s="21" t="n">
        <v>105.303</v>
      </c>
      <c r="GT52" s="21" t="n">
        <v>94.43899999999999</v>
      </c>
      <c r="GU52" s="21" t="n">
        <v>136.93</v>
      </c>
      <c r="GV52" s="21" t="n">
        <v>139.937</v>
      </c>
      <c r="GW52" s="21" t="n">
        <v>158.701</v>
      </c>
      <c r="GX52" s="21" t="n">
        <v>124.071</v>
      </c>
      <c r="GY52" s="21" t="n">
        <v>122.309</v>
      </c>
      <c r="GZ52" s="21" t="n">
        <v>167.946</v>
      </c>
      <c r="HA52" s="21" t="n">
        <v>139.287</v>
      </c>
      <c r="HB52" s="21" t="n">
        <v>166.273</v>
      </c>
      <c r="HC52" s="21" t="n">
        <v>208.836</v>
      </c>
      <c r="HD52" s="21" t="n">
        <v>204.68</v>
      </c>
      <c r="HE52" s="21" t="n">
        <v>99.97499999999999</v>
      </c>
      <c r="HF52" s="21" t="n">
        <v>147.788</v>
      </c>
      <c r="HG52" s="21" t="n">
        <v>102.412</v>
      </c>
      <c r="HH52" s="21" t="n">
        <v>143.448</v>
      </c>
      <c r="HI52" s="21" t="n">
        <v>157.419</v>
      </c>
      <c r="HJ52" s="21" t="n"/>
      <c r="HK52" s="21" t="n">
        <v>140.513</v>
      </c>
      <c r="HL52" s="21" t="n">
        <v>87.964</v>
      </c>
      <c r="HM52" s="21" t="n">
        <v>118.461</v>
      </c>
      <c r="HN52" s="21" t="n">
        <v>226.616</v>
      </c>
      <c r="HO52" s="21" t="n">
        <v>225.282</v>
      </c>
      <c r="HP52" s="21" t="n">
        <v>220.853</v>
      </c>
      <c r="HQ52" s="21" t="n">
        <v>241.846</v>
      </c>
      <c r="HR52" s="21" t="n">
        <v>237.371</v>
      </c>
      <c r="HS52" s="21" t="n">
        <v>220.913</v>
      </c>
      <c r="HT52" s="21" t="n">
        <v>145.823</v>
      </c>
      <c r="HU52" s="21" t="n">
        <v>124.866</v>
      </c>
      <c r="HV52" s="21" t="n">
        <v>174.076</v>
      </c>
      <c r="HW52" s="21" t="n">
        <v>163.997</v>
      </c>
      <c r="HX52" s="21" t="n">
        <v>401.644</v>
      </c>
      <c r="HY52" s="21" t="n">
        <v>294.226</v>
      </c>
      <c r="HZ52" s="21" t="n">
        <v>307.748</v>
      </c>
      <c r="IA52" s="21" t="n">
        <v>267.155</v>
      </c>
      <c r="IB52" s="21" t="n">
        <v>179.096</v>
      </c>
      <c r="IC52" s="21" t="n">
        <v>573.087</v>
      </c>
      <c r="ID52" s="21" t="n">
        <v>191.578</v>
      </c>
      <c r="IE52" s="21" t="n">
        <v>179.479</v>
      </c>
      <c r="IF52" s="21" t="n">
        <v>210.774</v>
      </c>
      <c r="IG52" s="21" t="n">
        <v>237.45</v>
      </c>
      <c r="IH52" s="21" t="n"/>
      <c r="II52" s="21" t="n">
        <v>256.023</v>
      </c>
      <c r="IJ52" s="21" t="n">
        <v>259.698</v>
      </c>
      <c r="IK52" s="21" t="n">
        <v>159.878</v>
      </c>
      <c r="IL52" s="21" t="n">
        <v>147.392</v>
      </c>
      <c r="IM52" s="21" t="n"/>
      <c r="IN52" s="21" t="n">
        <v>66.249</v>
      </c>
      <c r="IO52" s="21" t="n">
        <v>322.114</v>
      </c>
      <c r="IP52" s="21" t="n">
        <v>128.673</v>
      </c>
      <c r="IQ52" s="21" t="n">
        <v>492.306</v>
      </c>
      <c r="IR52" s="21" t="n">
        <v>379.568</v>
      </c>
      <c r="IS52" s="21" t="n">
        <v>124.292</v>
      </c>
      <c r="IT52" s="21" t="n">
        <v>526.097</v>
      </c>
      <c r="IU52" s="21" t="n">
        <v>95.96599999999999</v>
      </c>
      <c r="IV52" s="21" t="n">
        <v>99.755</v>
      </c>
      <c r="IW52" s="21" t="n">
        <v>528.575</v>
      </c>
      <c r="IX52" s="21" t="n">
        <v>380.538</v>
      </c>
      <c r="IY52" s="21" t="n">
        <v>381.045</v>
      </c>
      <c r="IZ52" s="21" t="n">
        <v>492.552</v>
      </c>
      <c r="JA52" s="21" t="n">
        <v>190.796</v>
      </c>
      <c r="JB52" s="21" t="n">
        <v>238.88</v>
      </c>
      <c r="JC52" s="21" t="n">
        <v>79.968</v>
      </c>
      <c r="JD52" s="21" t="n">
        <v>336.648</v>
      </c>
      <c r="JE52" s="21" t="n">
        <v>327.814</v>
      </c>
      <c r="JF52" s="21" t="n">
        <v>745.25</v>
      </c>
      <c r="JG52" s="21" t="n">
        <v>234.279</v>
      </c>
      <c r="JH52" s="21" t="n">
        <v>123.738</v>
      </c>
      <c r="JI52" s="21" t="n">
        <v>146.549</v>
      </c>
      <c r="JJ52" s="21" t="n">
        <v>120.743</v>
      </c>
      <c r="JK52" s="21" t="n">
        <v>105.119</v>
      </c>
      <c r="JL52" s="21" t="n">
        <v>161.897</v>
      </c>
      <c r="JM52" s="21" t="n">
        <v>479.506</v>
      </c>
      <c r="JN52" s="21" t="n">
        <v>123.363</v>
      </c>
      <c r="JO52" s="21" t="n">
        <v>76.893</v>
      </c>
      <c r="JP52" s="21" t="n">
        <v>40.284</v>
      </c>
      <c r="JQ52" s="21" t="n">
        <v>132.573</v>
      </c>
      <c r="JR52" s="21" t="n">
        <v>26.982</v>
      </c>
      <c r="JS52" s="21" t="n">
        <v>83.238</v>
      </c>
      <c r="JT52" s="21" t="n">
        <v>176.496</v>
      </c>
      <c r="JU52" s="21" t="n">
        <v>202.038</v>
      </c>
      <c r="JV52" s="21" t="n">
        <v>153.469</v>
      </c>
      <c r="JW52" s="21" t="n">
        <v>116.952</v>
      </c>
      <c r="JX52" s="21" t="n">
        <v>251.375</v>
      </c>
      <c r="JY52" s="21" t="n">
        <v>194.408</v>
      </c>
      <c r="JZ52" s="21" t="n">
        <v>264.507</v>
      </c>
      <c r="KA52" s="21" t="n">
        <v>112.428</v>
      </c>
      <c r="KB52" s="21" t="n">
        <v>154.27</v>
      </c>
      <c r="KC52" s="21" t="n">
        <v>77.59399999999999</v>
      </c>
      <c r="KD52" s="21" t="n">
        <v>73.161</v>
      </c>
      <c r="KE52" s="21" t="n">
        <v>52.264</v>
      </c>
      <c r="KF52" s="21" t="n"/>
      <c r="KG52" s="21" t="n">
        <v>21.875</v>
      </c>
      <c r="KH52" s="21" t="n">
        <v>121.887</v>
      </c>
      <c r="KI52" s="21" t="n">
        <v>121.975</v>
      </c>
      <c r="KJ52" s="21" t="n">
        <v>117.595</v>
      </c>
      <c r="KK52" s="21" t="n">
        <v>36.114</v>
      </c>
      <c r="KL52" s="21" t="n">
        <v>31.996</v>
      </c>
      <c r="KM52" s="21" t="n">
        <v>40.359</v>
      </c>
      <c r="KN52" s="21" t="n"/>
      <c r="KO52" s="21" t="n">
        <v>106.64</v>
      </c>
      <c r="KP52" s="21" t="n">
        <v>100.079</v>
      </c>
      <c r="KQ52" s="21" t="n">
        <v>171.979</v>
      </c>
      <c r="KR52" s="21" t="n">
        <v>143.262</v>
      </c>
      <c r="KS52" s="21" t="n">
        <v>388.264</v>
      </c>
      <c r="KT52" s="21" t="n">
        <v>184.355</v>
      </c>
      <c r="KU52" s="21" t="n">
        <v>226.098</v>
      </c>
      <c r="KV52" s="21" t="n">
        <v>319.77</v>
      </c>
      <c r="KW52" s="21" t="n">
        <v>249.33</v>
      </c>
      <c r="KX52" s="21" t="n">
        <v>180.335</v>
      </c>
      <c r="KY52" s="21" t="n">
        <v>95.684</v>
      </c>
      <c r="KZ52" s="21" t="n">
        <v>137.082</v>
      </c>
      <c r="LA52" s="21" t="n">
        <v>263.905</v>
      </c>
      <c r="LB52" s="21" t="n">
        <v>689.515</v>
      </c>
      <c r="LC52" s="21" t="n">
        <v>238.055</v>
      </c>
      <c r="LD52" s="21" t="n">
        <v>756.751</v>
      </c>
      <c r="LE52" s="21" t="n">
        <v>860.066</v>
      </c>
      <c r="LF52" s="21" t="n">
        <v>81.762</v>
      </c>
      <c r="LG52" s="21" t="n">
        <v>300.186</v>
      </c>
      <c r="LH52" s="21" t="n">
        <v>250.855</v>
      </c>
      <c r="LI52" s="21" t="n">
        <v>72.943</v>
      </c>
      <c r="LJ52" s="21" t="n">
        <v>195.278</v>
      </c>
      <c r="LK52" s="21" t="n">
        <v>307.042</v>
      </c>
      <c r="LL52" s="21" t="n">
        <v>318.026</v>
      </c>
      <c r="LM52" s="21" t="n">
        <v>68.95</v>
      </c>
      <c r="LN52" s="21" t="n">
        <v>88.85899999999999</v>
      </c>
      <c r="LO52" s="21" t="n">
        <v>46.342</v>
      </c>
      <c r="LP52" s="21" t="n">
        <v>118.592</v>
      </c>
      <c r="LQ52" s="21" t="n"/>
      <c r="LR52" s="21" t="n"/>
      <c r="LS52" s="21" t="n">
        <v>109.948</v>
      </c>
      <c r="LT52" s="21" t="n">
        <v>39.889</v>
      </c>
      <c r="LU52" s="21" t="n">
        <v>30.847</v>
      </c>
      <c r="LV52" s="21" t="n">
        <v>76.456</v>
      </c>
      <c r="LW52" s="21" t="n">
        <v>221.69</v>
      </c>
      <c r="LX52" s="21" t="n"/>
      <c r="LY52" s="21" t="n">
        <v>448.471</v>
      </c>
      <c r="LZ52" s="21" t="n">
        <v>69.565</v>
      </c>
      <c r="MA52" s="21" t="n">
        <v>451.502</v>
      </c>
      <c r="MB52" s="21" t="n">
        <v>280.186</v>
      </c>
      <c r="MC52" s="21" t="n">
        <v>232.888</v>
      </c>
      <c r="MD52" s="21" t="n">
        <v>160.19</v>
      </c>
      <c r="ME52" s="21" t="n">
        <v>102.405</v>
      </c>
      <c r="MF52" s="21" t="n">
        <v>182.898</v>
      </c>
      <c r="MG52" s="21" t="n">
        <v>269.664</v>
      </c>
      <c r="MH52" s="21" t="n">
        <v>164.539</v>
      </c>
      <c r="MI52" s="21" t="n">
        <v>446.68</v>
      </c>
      <c r="MJ52" s="21" t="n">
        <v>367.076</v>
      </c>
      <c r="MK52" s="21" t="n">
        <v>335.913</v>
      </c>
      <c r="ML52" s="21" t="n">
        <v>174.213</v>
      </c>
      <c r="MM52" s="21" t="n">
        <v>196.607</v>
      </c>
      <c r="MN52" s="21" t="n">
        <v>359.064</v>
      </c>
      <c r="MO52" s="21" t="n">
        <v>172.297</v>
      </c>
      <c r="MP52" s="21" t="n">
        <v>244.686</v>
      </c>
      <c r="MQ52" s="21" t="n">
        <v>73.872</v>
      </c>
      <c r="MR52" s="21" t="n">
        <v>150.187</v>
      </c>
      <c r="MS52" s="21" t="n">
        <v>70.127</v>
      </c>
      <c r="MT52" s="21" t="n">
        <v>242.776</v>
      </c>
      <c r="MU52" s="21" t="n">
        <v>260.505</v>
      </c>
      <c r="MV52" s="21" t="n">
        <v>253.643</v>
      </c>
      <c r="MW52" s="21" t="n">
        <v>261.836</v>
      </c>
      <c r="MX52" s="21" t="n">
        <v>233.29</v>
      </c>
      <c r="MY52" s="21" t="n">
        <v>226.909</v>
      </c>
      <c r="MZ52" s="21" t="n">
        <v>232.222</v>
      </c>
      <c r="NA52" s="21" t="n">
        <v>237.836</v>
      </c>
      <c r="NB52" s="21" t="n">
        <v>118.637</v>
      </c>
      <c r="NC52" s="21" t="n">
        <v>184.993</v>
      </c>
      <c r="ND52" s="21" t="n">
        <v>152.742</v>
      </c>
      <c r="NE52" s="21" t="n">
        <v>149.344</v>
      </c>
      <c r="NF52" s="21" t="n">
        <v>144.994</v>
      </c>
      <c r="NG52" s="21" t="n">
        <v>146.12</v>
      </c>
      <c r="NH52" s="21" t="n">
        <v>250.216</v>
      </c>
      <c r="NI52" s="21" t="n">
        <v>105.379</v>
      </c>
      <c r="NJ52" s="21" t="n">
        <v>72.92400000000001</v>
      </c>
      <c r="NK52" s="21" t="n">
        <v>110.173</v>
      </c>
      <c r="NL52" s="21" t="n">
        <v>211.724</v>
      </c>
      <c r="NM52" s="21" t="n">
        <v>231.228</v>
      </c>
      <c r="NN52" s="21" t="n">
        <v>91.182</v>
      </c>
      <c r="NO52" s="21" t="n">
        <v>52.622</v>
      </c>
      <c r="NP52" s="21" t="n">
        <v>225.714</v>
      </c>
      <c r="NQ52" s="21" t="n">
        <v>198.584</v>
      </c>
      <c r="NR52" s="21" t="n">
        <v>242.5</v>
      </c>
      <c r="NS52" s="21" t="n">
        <v>195.255</v>
      </c>
      <c r="NT52" s="21" t="n">
        <v>242.842</v>
      </c>
      <c r="NU52" s="21" t="n">
        <v>113.478</v>
      </c>
      <c r="NV52" s="21" t="n">
        <v>124.262</v>
      </c>
      <c r="NW52" s="21" t="n">
        <v>357.332</v>
      </c>
      <c r="NX52" s="21" t="n">
        <v>80.108</v>
      </c>
      <c r="NY52" s="21" t="n">
        <v>124.417</v>
      </c>
      <c r="NZ52" s="21" t="n">
        <v>328.536</v>
      </c>
      <c r="OA52" s="21" t="n">
        <v>322.456</v>
      </c>
      <c r="OB52" s="21" t="n">
        <v>334.518</v>
      </c>
      <c r="OC52" s="21" t="n">
        <v>306.807</v>
      </c>
      <c r="OD52" s="21" t="n">
        <v>340.396</v>
      </c>
      <c r="OE52" s="21" t="n">
        <v>105.405</v>
      </c>
      <c r="OF52" s="21" t="n">
        <v>323.982</v>
      </c>
      <c r="OG52" s="21" t="n">
        <v>216.735</v>
      </c>
      <c r="OH52" s="21" t="n">
        <v>40.253</v>
      </c>
      <c r="OI52" s="21" t="n">
        <v>127.916</v>
      </c>
      <c r="OJ52" s="21" t="n">
        <v>39.3</v>
      </c>
      <c r="OK52" s="21" t="n">
        <v>13.1</v>
      </c>
    </row>
    <row r="53">
      <c r="A53" s="22" t="n">
        <v>43556</v>
      </c>
      <c r="B53" s="21" t="n">
        <v>255.548</v>
      </c>
      <c r="C53" s="21" t="n">
        <v>765.5069999999999</v>
      </c>
      <c r="D53" s="21" t="n">
        <v>257.393</v>
      </c>
      <c r="E53" s="21" t="n">
        <v>257.708</v>
      </c>
      <c r="F53" s="21" t="n">
        <v>241.878</v>
      </c>
      <c r="G53" s="21" t="n">
        <v>276.64</v>
      </c>
      <c r="H53" s="21" t="n">
        <v>228.745</v>
      </c>
      <c r="I53" s="21" t="n">
        <v>236.002</v>
      </c>
      <c r="J53" s="21" t="n">
        <v>224.059</v>
      </c>
      <c r="K53" s="21" t="n">
        <v>237.898</v>
      </c>
      <c r="L53" s="21" t="n">
        <v>165.381</v>
      </c>
      <c r="M53" s="21" t="n">
        <v>304.224</v>
      </c>
      <c r="N53" s="21" t="n">
        <v>184.384</v>
      </c>
      <c r="O53" s="21" t="n">
        <v>333.87</v>
      </c>
      <c r="P53" s="21" t="n">
        <v>359.067</v>
      </c>
      <c r="Q53" s="21" t="n">
        <v>179.427</v>
      </c>
      <c r="R53" s="21" t="n">
        <v>290.258</v>
      </c>
      <c r="S53" s="21" t="n">
        <v>317.785</v>
      </c>
      <c r="T53" s="21" t="n">
        <v>269.301</v>
      </c>
      <c r="U53" s="21" t="n">
        <v>269.025</v>
      </c>
      <c r="V53" s="21" t="n">
        <v>310.535</v>
      </c>
      <c r="W53" s="21" t="n">
        <v>301.798</v>
      </c>
      <c r="X53" s="21" t="n">
        <v>272.47</v>
      </c>
      <c r="Y53" s="21" t="n">
        <v>249.203</v>
      </c>
      <c r="Z53" s="21" t="n">
        <v>252.276</v>
      </c>
      <c r="AA53" s="21" t="n">
        <v>253.466</v>
      </c>
      <c r="AB53" s="21" t="n">
        <v>306.389</v>
      </c>
      <c r="AC53" s="21" t="n">
        <v>267.757</v>
      </c>
      <c r="AD53" s="21" t="n">
        <v>232.365</v>
      </c>
      <c r="AE53" s="21" t="n">
        <v>207.722</v>
      </c>
      <c r="AF53" s="21" t="n">
        <v>247.583</v>
      </c>
      <c r="AG53" s="21" t="n">
        <v>208.776</v>
      </c>
      <c r="AH53" s="21" t="n">
        <v>157.418</v>
      </c>
      <c r="AI53" s="21" t="n">
        <v>297.722</v>
      </c>
      <c r="AJ53" s="21" t="n">
        <v>141.188</v>
      </c>
      <c r="AK53" s="21" t="n">
        <v>198.315</v>
      </c>
      <c r="AL53" s="21" t="n">
        <v>221.008</v>
      </c>
      <c r="AM53" s="21" t="n">
        <v>189.769</v>
      </c>
      <c r="AN53" s="21" t="n">
        <v>123.497</v>
      </c>
      <c r="AO53" s="21" t="n">
        <v>224.709</v>
      </c>
      <c r="AP53" s="21" t="n">
        <v>234.757</v>
      </c>
      <c r="AQ53" s="21" t="n">
        <v>143.484</v>
      </c>
      <c r="AR53" s="21" t="n"/>
      <c r="AS53" s="21" t="n"/>
      <c r="AT53" s="21" t="n">
        <v>232.401</v>
      </c>
      <c r="AU53" s="21" t="n">
        <v>150.926</v>
      </c>
      <c r="AV53" s="21" t="n">
        <v>248.703</v>
      </c>
      <c r="AW53" s="21" t="n">
        <v>225.309</v>
      </c>
      <c r="AX53" s="21" t="n">
        <v>145.284</v>
      </c>
      <c r="AY53" s="21" t="n">
        <v>298.33</v>
      </c>
      <c r="AZ53" s="21" t="n">
        <v>185.446</v>
      </c>
      <c r="BA53" s="21" t="n">
        <v>148.998</v>
      </c>
      <c r="BB53" s="21" t="n">
        <v>217.159</v>
      </c>
      <c r="BC53" s="21" t="n">
        <v>306.897</v>
      </c>
      <c r="BD53" s="21" t="n">
        <v>208.727</v>
      </c>
      <c r="BE53" s="21" t="n">
        <v>217.51</v>
      </c>
      <c r="BF53" s="21" t="n">
        <v>139.626</v>
      </c>
      <c r="BG53" s="21" t="n">
        <v>199.559</v>
      </c>
      <c r="BH53" s="21" t="n">
        <v>144.077</v>
      </c>
      <c r="BI53" s="21" t="n">
        <v>225.237</v>
      </c>
      <c r="BJ53" s="21" t="n">
        <v>224.369</v>
      </c>
      <c r="BK53" s="21" t="n">
        <v>148.355</v>
      </c>
      <c r="BL53" s="21" t="n">
        <v>303.503</v>
      </c>
      <c r="BM53" s="21" t="n">
        <v>353.656</v>
      </c>
      <c r="BN53" s="21" t="n">
        <v>366.358</v>
      </c>
      <c r="BO53" s="21" t="n">
        <v>343.561</v>
      </c>
      <c r="BP53" s="21" t="n">
        <v>194.449</v>
      </c>
      <c r="BQ53" s="21" t="n">
        <v>252.581</v>
      </c>
      <c r="BR53" s="21" t="n">
        <v>484.468</v>
      </c>
      <c r="BS53" s="21" t="n">
        <v>123.774</v>
      </c>
      <c r="BT53" s="21" t="n">
        <v>338.968</v>
      </c>
      <c r="BU53" s="21" t="n">
        <v>353.555</v>
      </c>
      <c r="BV53" s="21" t="n">
        <v>330.31</v>
      </c>
      <c r="BW53" s="21" t="n">
        <v>329.053</v>
      </c>
      <c r="BX53" s="21" t="n">
        <v>344.333</v>
      </c>
      <c r="BY53" s="21" t="n">
        <v>155.829</v>
      </c>
      <c r="BZ53" s="21" t="n">
        <v>163.448</v>
      </c>
      <c r="CA53" s="21" t="n">
        <v>158.566</v>
      </c>
      <c r="CB53" s="21" t="n">
        <v>172.648</v>
      </c>
      <c r="CC53" s="21" t="n">
        <v>144.172</v>
      </c>
      <c r="CD53" s="21" t="n">
        <v>199.53</v>
      </c>
      <c r="CE53" s="21" t="n">
        <v>151.435</v>
      </c>
      <c r="CF53" s="21" t="n">
        <v>181.943</v>
      </c>
      <c r="CG53" s="21" t="n">
        <v>170.727</v>
      </c>
      <c r="CH53" s="21" t="n">
        <v>133.2</v>
      </c>
      <c r="CI53" s="21" t="n">
        <v>170.358</v>
      </c>
      <c r="CJ53" s="21" t="n">
        <v>182.031</v>
      </c>
      <c r="CK53" s="21" t="n">
        <v>119.684</v>
      </c>
      <c r="CL53" s="21" t="n">
        <v>116.664</v>
      </c>
      <c r="CM53" s="21" t="n">
        <v>193.26</v>
      </c>
      <c r="CN53" s="21" t="n">
        <v>200.744</v>
      </c>
      <c r="CO53" s="21" t="n">
        <v>191.131</v>
      </c>
      <c r="CP53" s="21" t="n">
        <v>130.401</v>
      </c>
      <c r="CQ53" s="21" t="n">
        <v>211.078</v>
      </c>
      <c r="CR53" s="21" t="n">
        <v>217.498</v>
      </c>
      <c r="CS53" s="21" t="n">
        <v>186.288</v>
      </c>
      <c r="CT53" s="21" t="n">
        <v>147.353</v>
      </c>
      <c r="CU53" s="21" t="n">
        <v>154.781</v>
      </c>
      <c r="CV53" s="21" t="n">
        <v>224.656</v>
      </c>
      <c r="CW53" s="21" t="n">
        <v>203.329</v>
      </c>
      <c r="CX53" s="21" t="n">
        <v>240.114</v>
      </c>
      <c r="CY53" s="21" t="n">
        <v>299.134</v>
      </c>
      <c r="CZ53" s="21" t="n">
        <v>126.534</v>
      </c>
      <c r="DA53" s="21" t="n">
        <v>156.166</v>
      </c>
      <c r="DB53" s="21" t="n">
        <v>153.091</v>
      </c>
      <c r="DC53" s="21" t="n">
        <v>226.096</v>
      </c>
      <c r="DD53" s="21" t="n">
        <v>245.588</v>
      </c>
      <c r="DE53" s="21" t="n">
        <v>168.036</v>
      </c>
      <c r="DF53" s="21" t="n">
        <v>253.543</v>
      </c>
      <c r="DG53" s="21" t="n">
        <v>242.041</v>
      </c>
      <c r="DH53" s="21" t="n">
        <v>153.657</v>
      </c>
      <c r="DI53" s="21" t="n"/>
      <c r="DJ53" s="21" t="n">
        <v>140.373</v>
      </c>
      <c r="DK53" s="21" t="n">
        <v>279.16</v>
      </c>
      <c r="DL53" s="21" t="n">
        <v>168.373</v>
      </c>
      <c r="DM53" s="21" t="n">
        <v>132.682</v>
      </c>
      <c r="DN53" s="21" t="n">
        <v>127.19</v>
      </c>
      <c r="DO53" s="21" t="n">
        <v>282.798</v>
      </c>
      <c r="DP53" s="21" t="n">
        <v>175.083</v>
      </c>
      <c r="DQ53" s="21" t="n">
        <v>181.466</v>
      </c>
      <c r="DR53" s="21" t="n">
        <v>180.409</v>
      </c>
      <c r="DS53" s="21" t="n">
        <v>148.747</v>
      </c>
      <c r="DT53" s="21" t="n">
        <v>163.756</v>
      </c>
      <c r="DU53" s="21" t="n">
        <v>195.17</v>
      </c>
      <c r="DV53" s="21" t="n">
        <v>251.758</v>
      </c>
      <c r="DW53" s="21" t="n">
        <v>204.671</v>
      </c>
      <c r="DX53" s="21" t="n">
        <v>228.787</v>
      </c>
      <c r="DY53" s="21" t="n">
        <v>194.911</v>
      </c>
      <c r="DZ53" s="21" t="n">
        <v>206.046</v>
      </c>
      <c r="EA53" s="21" t="n">
        <v>190.38</v>
      </c>
      <c r="EB53" s="21" t="n">
        <v>171.164</v>
      </c>
      <c r="EC53" s="21" t="n">
        <v>354.578</v>
      </c>
      <c r="ED53" s="21" t="n">
        <v>175.706</v>
      </c>
      <c r="EE53" s="21" t="n">
        <v>190.417</v>
      </c>
      <c r="EF53" s="21" t="n">
        <v>190.253</v>
      </c>
      <c r="EG53" s="21" t="n">
        <v>264.452</v>
      </c>
      <c r="EH53" s="21" t="n">
        <v>316.263</v>
      </c>
      <c r="EI53" s="21" t="n">
        <v>328.678</v>
      </c>
      <c r="EJ53" s="21" t="n">
        <v>171.822</v>
      </c>
      <c r="EK53" s="21" t="n">
        <v>557.596</v>
      </c>
      <c r="EL53" s="21" t="n">
        <v>353.615</v>
      </c>
      <c r="EM53" s="21" t="n">
        <v>323.426</v>
      </c>
      <c r="EN53" s="21" t="n">
        <v>323.456</v>
      </c>
      <c r="EO53" s="21" t="n">
        <v>151.423</v>
      </c>
      <c r="EP53" s="21" t="n">
        <v>240.773</v>
      </c>
      <c r="EQ53" s="21" t="n">
        <v>198.366</v>
      </c>
      <c r="ER53" s="21" t="n">
        <v>288.823</v>
      </c>
      <c r="ES53" s="21" t="n">
        <v>291.424</v>
      </c>
      <c r="ET53" s="21" t="n">
        <v>336.804</v>
      </c>
      <c r="EU53" s="21" t="n">
        <v>201.341</v>
      </c>
      <c r="EV53" s="21" t="n">
        <v>210.525</v>
      </c>
      <c r="EW53" s="21" t="n">
        <v>171.004</v>
      </c>
      <c r="EX53" s="21" t="n">
        <v>243.49</v>
      </c>
      <c r="EY53" s="21" t="n">
        <v>565.47</v>
      </c>
      <c r="EZ53" s="21" t="n">
        <v>479.449</v>
      </c>
      <c r="FA53" s="21" t="n">
        <v>123.345</v>
      </c>
      <c r="FB53" s="21" t="n">
        <v>56.641</v>
      </c>
      <c r="FC53" s="21" t="n">
        <v>114.065</v>
      </c>
      <c r="FD53" s="21" t="n">
        <v>61.761</v>
      </c>
      <c r="FE53" s="21" t="n">
        <v>43.176</v>
      </c>
      <c r="FF53" s="21" t="n">
        <v>113.17</v>
      </c>
      <c r="FG53" s="21" t="n">
        <v>128.378</v>
      </c>
      <c r="FH53" s="21" t="n">
        <v>86.92100000000001</v>
      </c>
      <c r="FI53" s="21" t="n">
        <v>72.006</v>
      </c>
      <c r="FJ53" s="21" t="n"/>
      <c r="FK53" s="21" t="n">
        <v>78.04600000000001</v>
      </c>
      <c r="FL53" s="21" t="n">
        <v>86.749</v>
      </c>
      <c r="FM53" s="21" t="n">
        <v>96.96899999999999</v>
      </c>
      <c r="FN53" s="21" t="n">
        <v>66.449</v>
      </c>
      <c r="FO53" s="21" t="n">
        <v>50.53</v>
      </c>
      <c r="FP53" s="21" t="n">
        <v>37.111</v>
      </c>
      <c r="FQ53" s="21" t="n">
        <v>130.462</v>
      </c>
      <c r="FR53" s="21" t="n">
        <v>45.612</v>
      </c>
      <c r="FS53" s="21" t="n">
        <v>82.907</v>
      </c>
      <c r="FT53" s="21" t="n">
        <v>90.607</v>
      </c>
      <c r="FU53" s="21" t="n">
        <v>99.355</v>
      </c>
      <c r="FV53" s="21" t="n">
        <v>86.539</v>
      </c>
      <c r="FW53" s="21" t="n">
        <v>190.376</v>
      </c>
      <c r="FX53" s="21" t="n">
        <v>121.315</v>
      </c>
      <c r="FY53" s="21" t="n">
        <v>174.78</v>
      </c>
      <c r="FZ53" s="21" t="n">
        <v>119.831</v>
      </c>
      <c r="GA53" s="21" t="n">
        <v>191.815</v>
      </c>
      <c r="GB53" s="21" t="n">
        <v>170.575</v>
      </c>
      <c r="GC53" s="21" t="n">
        <v>196.376</v>
      </c>
      <c r="GD53" s="21" t="n">
        <v>171.256</v>
      </c>
      <c r="GE53" s="21" t="n">
        <v>272.979</v>
      </c>
      <c r="GF53" s="21" t="n">
        <v>125.542</v>
      </c>
      <c r="GG53" s="21" t="n">
        <v>118.1</v>
      </c>
      <c r="GH53" s="21" t="n">
        <v>120.29</v>
      </c>
      <c r="GI53" s="21" t="n">
        <v>106.505</v>
      </c>
      <c r="GJ53" s="21" t="n">
        <v>154.817</v>
      </c>
      <c r="GK53" s="21" t="n">
        <v>76.941</v>
      </c>
      <c r="GL53" s="21" t="n">
        <v>118.065</v>
      </c>
      <c r="GM53" s="21" t="n">
        <v>108.109</v>
      </c>
      <c r="GN53" s="21" t="n">
        <v>110.148</v>
      </c>
      <c r="GO53" s="21" t="n">
        <v>113.256</v>
      </c>
      <c r="GP53" s="21" t="n">
        <v>105.705</v>
      </c>
      <c r="GQ53" s="21" t="n">
        <v>124.648</v>
      </c>
      <c r="GR53" s="21" t="n">
        <v>78.256</v>
      </c>
      <c r="GS53" s="21" t="n">
        <v>107.395</v>
      </c>
      <c r="GT53" s="21" t="n">
        <v>94.58499999999999</v>
      </c>
      <c r="GU53" s="21" t="n">
        <v>136.131</v>
      </c>
      <c r="GV53" s="21" t="n">
        <v>137.391</v>
      </c>
      <c r="GW53" s="21" t="n">
        <v>157.813</v>
      </c>
      <c r="GX53" s="21" t="n">
        <v>124.457</v>
      </c>
      <c r="GY53" s="21" t="n">
        <v>122.149</v>
      </c>
      <c r="GZ53" s="21" t="n">
        <v>171.443</v>
      </c>
      <c r="HA53" s="21" t="n">
        <v>142.682</v>
      </c>
      <c r="HB53" s="21" t="n">
        <v>169.331</v>
      </c>
      <c r="HC53" s="21" t="n">
        <v>214.142</v>
      </c>
      <c r="HD53" s="21" t="n">
        <v>209.918</v>
      </c>
      <c r="HE53" s="21" t="n">
        <v>99.98399999999999</v>
      </c>
      <c r="HF53" s="21" t="n">
        <v>147.84</v>
      </c>
      <c r="HG53" s="21" t="n">
        <v>102.448</v>
      </c>
      <c r="HH53" s="21" t="n">
        <v>143.454</v>
      </c>
      <c r="HI53" s="21" t="n">
        <v>157.481</v>
      </c>
      <c r="HJ53" s="21" t="n"/>
      <c r="HK53" s="21" t="n">
        <v>140.458</v>
      </c>
      <c r="HL53" s="21" t="n">
        <v>87.892</v>
      </c>
      <c r="HM53" s="21" t="n">
        <v>119.325</v>
      </c>
      <c r="HN53" s="21" t="n">
        <v>249.55</v>
      </c>
      <c r="HO53" s="21" t="n">
        <v>248.499</v>
      </c>
      <c r="HP53" s="21" t="n">
        <v>243.787</v>
      </c>
      <c r="HQ53" s="21" t="n">
        <v>265.45</v>
      </c>
      <c r="HR53" s="21" t="n">
        <v>260.494</v>
      </c>
      <c r="HS53" s="21" t="n">
        <v>225.22</v>
      </c>
      <c r="HT53" s="21" t="n">
        <v>145.555</v>
      </c>
      <c r="HU53" s="21" t="n">
        <v>124.417</v>
      </c>
      <c r="HV53" s="21" t="n">
        <v>174.201</v>
      </c>
      <c r="HW53" s="21" t="n">
        <v>165.557</v>
      </c>
      <c r="HX53" s="21" t="n">
        <v>380.713</v>
      </c>
      <c r="HY53" s="21" t="n">
        <v>295.266</v>
      </c>
      <c r="HZ53" s="21" t="n">
        <v>310.724</v>
      </c>
      <c r="IA53" s="21" t="n">
        <v>267.823</v>
      </c>
      <c r="IB53" s="21" t="n">
        <v>179.958</v>
      </c>
      <c r="IC53" s="21" t="n">
        <v>570.492</v>
      </c>
      <c r="ID53" s="21" t="n">
        <v>192.022</v>
      </c>
      <c r="IE53" s="21" t="n">
        <v>179.795</v>
      </c>
      <c r="IF53" s="21" t="n">
        <v>211.389</v>
      </c>
      <c r="IG53" s="21" t="n">
        <v>238.223</v>
      </c>
      <c r="IH53" s="21" t="n"/>
      <c r="II53" s="21" t="n">
        <v>261.903</v>
      </c>
      <c r="IJ53" s="21" t="n">
        <v>268.767</v>
      </c>
      <c r="IK53" s="21" t="n">
        <v>162.213</v>
      </c>
      <c r="IL53" s="21" t="n">
        <v>151.651</v>
      </c>
      <c r="IM53" s="21" t="n"/>
      <c r="IN53" s="21" t="n">
        <v>67.111</v>
      </c>
      <c r="IO53" s="21" t="n">
        <v>321.668</v>
      </c>
      <c r="IP53" s="21" t="n">
        <v>128.673</v>
      </c>
      <c r="IQ53" s="21" t="n">
        <v>493.331</v>
      </c>
      <c r="IR53" s="21" t="n">
        <v>381.256</v>
      </c>
      <c r="IS53" s="21" t="n">
        <v>124.777</v>
      </c>
      <c r="IT53" s="21" t="n">
        <v>528.008</v>
      </c>
      <c r="IU53" s="21" t="n">
        <v>96.44199999999999</v>
      </c>
      <c r="IV53" s="21" t="n">
        <v>101.789</v>
      </c>
      <c r="IW53" s="21" t="n">
        <v>529.371</v>
      </c>
      <c r="IX53" s="21" t="n">
        <v>380.966</v>
      </c>
      <c r="IY53" s="21" t="n">
        <v>382.15</v>
      </c>
      <c r="IZ53" s="21" t="n">
        <v>492.415</v>
      </c>
      <c r="JA53" s="21" t="n">
        <v>190.689</v>
      </c>
      <c r="JB53" s="21" t="n">
        <v>238.339</v>
      </c>
      <c r="JC53" s="21" t="n">
        <v>79.67400000000001</v>
      </c>
      <c r="JD53" s="21" t="n">
        <v>335.198</v>
      </c>
      <c r="JE53" s="21" t="n">
        <v>326.736</v>
      </c>
      <c r="JF53" s="21" t="n">
        <v>740.741</v>
      </c>
      <c r="JG53" s="21" t="n">
        <v>234.499</v>
      </c>
      <c r="JH53" s="21" t="n">
        <v>124.084</v>
      </c>
      <c r="JI53" s="21" t="n">
        <v>148.679</v>
      </c>
      <c r="JJ53" s="21" t="n">
        <v>120.821</v>
      </c>
      <c r="JK53" s="21" t="n">
        <v>104.75</v>
      </c>
      <c r="JL53" s="21" t="n">
        <v>159.335</v>
      </c>
      <c r="JM53" s="21" t="n">
        <v>477.678</v>
      </c>
      <c r="JN53" s="21" t="n">
        <v>122.607</v>
      </c>
      <c r="JO53" s="21" t="n">
        <v>76.236</v>
      </c>
      <c r="JP53" s="21" t="n">
        <v>39.443</v>
      </c>
      <c r="JQ53" s="21" t="n">
        <v>134.836</v>
      </c>
      <c r="JR53" s="21" t="n">
        <v>28.126</v>
      </c>
      <c r="JS53" s="21" t="n">
        <v>83.17100000000001</v>
      </c>
      <c r="JT53" s="21" t="n">
        <v>177.07</v>
      </c>
      <c r="JU53" s="21" t="n">
        <v>202.827</v>
      </c>
      <c r="JV53" s="21" t="n">
        <v>154.079</v>
      </c>
      <c r="JW53" s="21" t="n">
        <v>117.332</v>
      </c>
      <c r="JX53" s="21" t="n">
        <v>251.954</v>
      </c>
      <c r="JY53" s="21" t="n">
        <v>194.783</v>
      </c>
      <c r="JZ53" s="21" t="n">
        <v>265.119</v>
      </c>
      <c r="KA53" s="21" t="n">
        <v>112.275</v>
      </c>
      <c r="KB53" s="21" t="n">
        <v>153.139</v>
      </c>
      <c r="KC53" s="21" t="n">
        <v>78.15600000000001</v>
      </c>
      <c r="KD53" s="21" t="n">
        <v>73.238</v>
      </c>
      <c r="KE53" s="21" t="n">
        <v>53.168</v>
      </c>
      <c r="KF53" s="21" t="n"/>
      <c r="KG53" s="21" t="n">
        <v>22.223</v>
      </c>
      <c r="KH53" s="21" t="n">
        <v>120.359</v>
      </c>
      <c r="KI53" s="21" t="n">
        <v>121.975</v>
      </c>
      <c r="KJ53" s="21" t="n">
        <v>114.236</v>
      </c>
      <c r="KK53" s="21" t="n">
        <v>35.539</v>
      </c>
      <c r="KL53" s="21" t="n">
        <v>31.47</v>
      </c>
      <c r="KM53" s="21" t="n">
        <v>39.829</v>
      </c>
      <c r="KN53" s="21" t="n"/>
      <c r="KO53" s="21" t="n">
        <v>103.868</v>
      </c>
      <c r="KP53" s="21" t="n">
        <v>99.541</v>
      </c>
      <c r="KQ53" s="21" t="n">
        <v>173.024</v>
      </c>
      <c r="KR53" s="21" t="n">
        <v>143.983</v>
      </c>
      <c r="KS53" s="21" t="n">
        <v>391.745</v>
      </c>
      <c r="KT53" s="21" t="n">
        <v>184.811</v>
      </c>
      <c r="KU53" s="21" t="n">
        <v>232.26</v>
      </c>
      <c r="KV53" s="21" t="n">
        <v>320.038</v>
      </c>
      <c r="KW53" s="21" t="n">
        <v>252.139</v>
      </c>
      <c r="KX53" s="21" t="n">
        <v>183.107</v>
      </c>
      <c r="KY53" s="21" t="n">
        <v>96.13800000000001</v>
      </c>
      <c r="KZ53" s="21" t="n">
        <v>137.182</v>
      </c>
      <c r="LA53" s="21" t="n">
        <v>263.944</v>
      </c>
      <c r="LB53" s="21" t="n">
        <v>688.736</v>
      </c>
      <c r="LC53" s="21" t="n">
        <v>238.826</v>
      </c>
      <c r="LD53" s="21" t="n">
        <v>756.908</v>
      </c>
      <c r="LE53" s="21" t="n">
        <v>860.0650000000001</v>
      </c>
      <c r="LF53" s="21" t="n">
        <v>81.80200000000001</v>
      </c>
      <c r="LG53" s="21" t="n">
        <v>300.278</v>
      </c>
      <c r="LH53" s="21" t="n">
        <v>252.136</v>
      </c>
      <c r="LI53" s="21" t="n">
        <v>73.032</v>
      </c>
      <c r="LJ53" s="21" t="n">
        <v>195.31</v>
      </c>
      <c r="LK53" s="21" t="n">
        <v>307.042</v>
      </c>
      <c r="LL53" s="21" t="n">
        <v>318.44</v>
      </c>
      <c r="LM53" s="21" t="n">
        <v>69.03700000000001</v>
      </c>
      <c r="LN53" s="21" t="n">
        <v>89.004</v>
      </c>
      <c r="LO53" s="21" t="n">
        <v>46.427</v>
      </c>
      <c r="LP53" s="21" t="n">
        <v>118.711</v>
      </c>
      <c r="LQ53" s="21" t="n"/>
      <c r="LR53" s="21" t="n"/>
      <c r="LS53" s="21" t="n">
        <v>110.011</v>
      </c>
      <c r="LT53" s="21" t="n">
        <v>39.603</v>
      </c>
      <c r="LU53" s="21" t="n">
        <v>29.548</v>
      </c>
      <c r="LV53" s="21" t="n">
        <v>76.849</v>
      </c>
      <c r="LW53" s="21" t="n">
        <v>221.243</v>
      </c>
      <c r="LX53" s="21" t="n"/>
      <c r="LY53" s="21" t="n">
        <v>448.658</v>
      </c>
      <c r="LZ53" s="21" t="n">
        <v>69.68899999999999</v>
      </c>
      <c r="MA53" s="21" t="n">
        <v>452.677</v>
      </c>
      <c r="MB53" s="21" t="n">
        <v>278.424</v>
      </c>
      <c r="MC53" s="21" t="n">
        <v>232.902</v>
      </c>
      <c r="MD53" s="21" t="n">
        <v>160.868</v>
      </c>
      <c r="ME53" s="21" t="n">
        <v>102.999</v>
      </c>
      <c r="MF53" s="21" t="n">
        <v>183.312</v>
      </c>
      <c r="MG53" s="21" t="n">
        <v>269.459</v>
      </c>
      <c r="MH53" s="21" t="n">
        <v>164.414</v>
      </c>
      <c r="MI53" s="21" t="n">
        <v>445.511</v>
      </c>
      <c r="MJ53" s="21" t="n">
        <v>362.839</v>
      </c>
      <c r="MK53" s="21" t="n">
        <v>336.752</v>
      </c>
      <c r="ML53" s="21" t="n">
        <v>174.748</v>
      </c>
      <c r="MM53" s="21" t="n">
        <v>195.034</v>
      </c>
      <c r="MN53" s="21" t="n">
        <v>359.451</v>
      </c>
      <c r="MO53" s="21" t="n">
        <v>172.297</v>
      </c>
      <c r="MP53" s="21" t="n">
        <v>245.159</v>
      </c>
      <c r="MQ53" s="21" t="n">
        <v>74.017</v>
      </c>
      <c r="MR53" s="21" t="n">
        <v>149.663</v>
      </c>
      <c r="MS53" s="21" t="n">
        <v>70.785</v>
      </c>
      <c r="MT53" s="21" t="n">
        <v>244.134</v>
      </c>
      <c r="MU53" s="21" t="n">
        <v>260.925</v>
      </c>
      <c r="MV53" s="21" t="n">
        <v>255.194</v>
      </c>
      <c r="MW53" s="21" t="n">
        <v>262.332</v>
      </c>
      <c r="MX53" s="21" t="n">
        <v>234.723</v>
      </c>
      <c r="MY53" s="21" t="n">
        <v>228.655</v>
      </c>
      <c r="MZ53" s="21" t="n">
        <v>232.38</v>
      </c>
      <c r="NA53" s="21" t="n">
        <v>238.012</v>
      </c>
      <c r="NB53" s="21" t="n">
        <v>118.538</v>
      </c>
      <c r="NC53" s="21" t="n">
        <v>186.884</v>
      </c>
      <c r="ND53" s="21" t="n">
        <v>155.187</v>
      </c>
      <c r="NE53" s="21" t="n">
        <v>151.843</v>
      </c>
      <c r="NF53" s="21" t="n">
        <v>144.851</v>
      </c>
      <c r="NG53" s="21" t="n">
        <v>145.964</v>
      </c>
      <c r="NH53" s="21" t="n">
        <v>249.685</v>
      </c>
      <c r="NI53" s="21" t="n">
        <v>105.178</v>
      </c>
      <c r="NJ53" s="21" t="n">
        <v>72.44499999999999</v>
      </c>
      <c r="NK53" s="21" t="n">
        <v>110.323</v>
      </c>
      <c r="NL53" s="21" t="n">
        <v>222.499</v>
      </c>
      <c r="NM53" s="21" t="n">
        <v>253.547</v>
      </c>
      <c r="NN53" s="21" t="n">
        <v>90.67100000000001</v>
      </c>
      <c r="NO53" s="21" t="n">
        <v>52.183</v>
      </c>
      <c r="NP53" s="21" t="n">
        <v>229.028</v>
      </c>
      <c r="NQ53" s="21" t="n">
        <v>204.336</v>
      </c>
      <c r="NR53" s="21" t="n">
        <v>251.663</v>
      </c>
      <c r="NS53" s="21" t="n">
        <v>201.358</v>
      </c>
      <c r="NT53" s="21" t="n">
        <v>252.96</v>
      </c>
      <c r="NU53" s="21" t="n">
        <v>113.805</v>
      </c>
      <c r="NV53" s="21" t="n">
        <v>124.025</v>
      </c>
      <c r="NW53" s="21" t="n">
        <v>357.646</v>
      </c>
      <c r="NX53" s="21" t="n">
        <v>80.044</v>
      </c>
      <c r="NY53" s="21" t="n">
        <v>124.58</v>
      </c>
      <c r="NZ53" s="21" t="n">
        <v>329.726</v>
      </c>
      <c r="OA53" s="21" t="n">
        <v>323.228</v>
      </c>
      <c r="OB53" s="21" t="n">
        <v>335.468</v>
      </c>
      <c r="OC53" s="21" t="n">
        <v>307.576</v>
      </c>
      <c r="OD53" s="21" t="n">
        <v>340.756</v>
      </c>
      <c r="OE53" s="21" t="n">
        <v>105.399</v>
      </c>
      <c r="OF53" s="21" t="n">
        <v>325.114</v>
      </c>
      <c r="OG53" s="21" t="n">
        <v>216.953</v>
      </c>
      <c r="OH53" s="21" t="n">
        <v>40.282</v>
      </c>
      <c r="OI53" s="21" t="n">
        <v>127.394</v>
      </c>
      <c r="OJ53" s="21" t="n">
        <v>39.1</v>
      </c>
      <c r="OK53" s="21" t="n">
        <v>13.1</v>
      </c>
    </row>
    <row r="54">
      <c r="A54" s="22" t="n">
        <v>43586</v>
      </c>
      <c r="B54" s="21" t="n">
        <v>256.092</v>
      </c>
      <c r="C54" s="21" t="n">
        <v>767.138</v>
      </c>
      <c r="D54" s="21" t="n">
        <v>257.791</v>
      </c>
      <c r="E54" s="21" t="n">
        <v>258.11</v>
      </c>
      <c r="F54" s="21" t="n">
        <v>242.145</v>
      </c>
      <c r="G54" s="21" t="n">
        <v>277.795</v>
      </c>
      <c r="H54" s="21" t="n">
        <v>228.305</v>
      </c>
      <c r="I54" s="21" t="n">
        <v>238.911</v>
      </c>
      <c r="J54" s="21" t="n">
        <v>222.799</v>
      </c>
      <c r="K54" s="21" t="n">
        <v>237.412</v>
      </c>
      <c r="L54" s="21" t="n">
        <v>162.269</v>
      </c>
      <c r="M54" s="21" t="n">
        <v>306.374</v>
      </c>
      <c r="N54" s="21" t="n">
        <v>184.131</v>
      </c>
      <c r="O54" s="21" t="n">
        <v>333.139</v>
      </c>
      <c r="P54" s="21" t="n">
        <v>359.966</v>
      </c>
      <c r="Q54" s="21" t="n">
        <v>181.098</v>
      </c>
      <c r="R54" s="21" t="n">
        <v>292.291</v>
      </c>
      <c r="S54" s="21" t="n">
        <v>317.815</v>
      </c>
      <c r="T54" s="21" t="n">
        <v>272.922</v>
      </c>
      <c r="U54" s="21" t="n">
        <v>272.823</v>
      </c>
      <c r="V54" s="21" t="n">
        <v>314.211</v>
      </c>
      <c r="W54" s="21" t="n">
        <v>310.542</v>
      </c>
      <c r="X54" s="21" t="n">
        <v>272.072</v>
      </c>
      <c r="Y54" s="21" t="n">
        <v>250.356</v>
      </c>
      <c r="Z54" s="21" t="n">
        <v>254.226</v>
      </c>
      <c r="AA54" s="21" t="n">
        <v>256.11</v>
      </c>
      <c r="AB54" s="21" t="n">
        <v>309.092</v>
      </c>
      <c r="AC54" s="21" t="n">
        <v>269.603</v>
      </c>
      <c r="AD54" s="21" t="n">
        <v>239.138</v>
      </c>
      <c r="AE54" s="21" t="n">
        <v>209.242</v>
      </c>
      <c r="AF54" s="21" t="n">
        <v>245.272</v>
      </c>
      <c r="AG54" s="21" t="n">
        <v>213.819</v>
      </c>
      <c r="AH54" s="21" t="n">
        <v>160.553</v>
      </c>
      <c r="AI54" s="21" t="n">
        <v>303.253</v>
      </c>
      <c r="AJ54" s="21" t="n">
        <v>144.378</v>
      </c>
      <c r="AK54" s="21" t="n">
        <v>204.382</v>
      </c>
      <c r="AL54" s="21" t="n">
        <v>226.842</v>
      </c>
      <c r="AM54" s="21" t="n">
        <v>194.708</v>
      </c>
      <c r="AN54" s="21" t="n">
        <v>126.741</v>
      </c>
      <c r="AO54" s="21" t="n">
        <v>223.669</v>
      </c>
      <c r="AP54" s="21" t="n">
        <v>227.986</v>
      </c>
      <c r="AQ54" s="21" t="n">
        <v>144.135</v>
      </c>
      <c r="AR54" s="21" t="n"/>
      <c r="AS54" s="21" t="n"/>
      <c r="AT54" s="21" t="n">
        <v>232.053</v>
      </c>
      <c r="AU54" s="21" t="n">
        <v>150.567</v>
      </c>
      <c r="AV54" s="21" t="n">
        <v>248.906</v>
      </c>
      <c r="AW54" s="21" t="n">
        <v>224.287</v>
      </c>
      <c r="AX54" s="21" t="n">
        <v>145.666</v>
      </c>
      <c r="AY54" s="21" t="n">
        <v>301.048</v>
      </c>
      <c r="AZ54" s="21" t="n">
        <v>186.93</v>
      </c>
      <c r="BA54" s="21" t="n">
        <v>150.53</v>
      </c>
      <c r="BB54" s="21" t="n">
        <v>218.922</v>
      </c>
      <c r="BC54" s="21" t="n">
        <v>311.132</v>
      </c>
      <c r="BD54" s="21" t="n">
        <v>198.552</v>
      </c>
      <c r="BE54" s="21" t="n">
        <v>217.841</v>
      </c>
      <c r="BF54" s="21" t="n">
        <v>139.377</v>
      </c>
      <c r="BG54" s="21" t="n">
        <v>197.641</v>
      </c>
      <c r="BH54" s="21" t="n">
        <v>144.586</v>
      </c>
      <c r="BI54" s="21" t="n">
        <v>226.827</v>
      </c>
      <c r="BJ54" s="21" t="n">
        <v>220.539</v>
      </c>
      <c r="BK54" s="21" t="n">
        <v>149.642</v>
      </c>
      <c r="BL54" s="21" t="n">
        <v>302.352</v>
      </c>
      <c r="BM54" s="21" t="n">
        <v>351.035</v>
      </c>
      <c r="BN54" s="21" t="n">
        <v>364.403</v>
      </c>
      <c r="BO54" s="21" t="n">
        <v>344.742</v>
      </c>
      <c r="BP54" s="21" t="n">
        <v>196.124</v>
      </c>
      <c r="BQ54" s="21" t="n">
        <v>255.828</v>
      </c>
      <c r="BR54" s="21" t="n">
        <v>501.278</v>
      </c>
      <c r="BS54" s="21" t="n">
        <v>120.773</v>
      </c>
      <c r="BT54" s="21" t="n">
        <v>335.667</v>
      </c>
      <c r="BU54" s="21" t="n">
        <v>363.802</v>
      </c>
      <c r="BV54" s="21" t="n">
        <v>311.239</v>
      </c>
      <c r="BW54" s="21" t="n">
        <v>315.952</v>
      </c>
      <c r="BX54" s="21" t="n">
        <v>344.173</v>
      </c>
      <c r="BY54" s="21" t="n">
        <v>157.38</v>
      </c>
      <c r="BZ54" s="21" t="n">
        <v>166.625</v>
      </c>
      <c r="CA54" s="21" t="n">
        <v>159.263</v>
      </c>
      <c r="CB54" s="21" t="n">
        <v>177.084</v>
      </c>
      <c r="CC54" s="21" t="n">
        <v>143.271</v>
      </c>
      <c r="CD54" s="21" t="n">
        <v>198.061</v>
      </c>
      <c r="CE54" s="21" t="n">
        <v>152.311</v>
      </c>
      <c r="CF54" s="21" t="n">
        <v>179.163</v>
      </c>
      <c r="CG54" s="21" t="n">
        <v>171.26</v>
      </c>
      <c r="CH54" s="21" t="n">
        <v>133.626</v>
      </c>
      <c r="CI54" s="21" t="n">
        <v>171.155</v>
      </c>
      <c r="CJ54" s="21" t="n">
        <v>182.191</v>
      </c>
      <c r="CK54" s="21" t="n">
        <v>119.941</v>
      </c>
      <c r="CL54" s="21" t="n">
        <v>117.006</v>
      </c>
      <c r="CM54" s="21" t="n">
        <v>193.651</v>
      </c>
      <c r="CN54" s="21" t="n">
        <v>200.751</v>
      </c>
      <c r="CO54" s="21" t="n">
        <v>191.445</v>
      </c>
      <c r="CP54" s="21" t="n">
        <v>130.993</v>
      </c>
      <c r="CQ54" s="21" t="n">
        <v>210.815</v>
      </c>
      <c r="CR54" s="21" t="n">
        <v>217.744</v>
      </c>
      <c r="CS54" s="21" t="n">
        <v>188.783</v>
      </c>
      <c r="CT54" s="21" t="n">
        <v>147.628</v>
      </c>
      <c r="CU54" s="21" t="n">
        <v>153.091</v>
      </c>
      <c r="CV54" s="21" t="n">
        <v>228.817</v>
      </c>
      <c r="CW54" s="21" t="n">
        <v>207.1</v>
      </c>
      <c r="CX54" s="21" t="n">
        <v>248.875</v>
      </c>
      <c r="CY54" s="21" t="n">
        <v>297.641</v>
      </c>
      <c r="CZ54" s="21" t="n">
        <v>129.071</v>
      </c>
      <c r="DA54" s="21" t="n">
        <v>158.934</v>
      </c>
      <c r="DB54" s="21" t="n">
        <v>152.62</v>
      </c>
      <c r="DC54" s="21" t="n">
        <v>225.006</v>
      </c>
      <c r="DD54" s="21" t="n">
        <v>251.975</v>
      </c>
      <c r="DE54" s="21" t="n">
        <v>166.817</v>
      </c>
      <c r="DF54" s="21" t="n">
        <v>251.952</v>
      </c>
      <c r="DG54" s="21" t="n">
        <v>241.744</v>
      </c>
      <c r="DH54" s="21" t="n">
        <v>153.909</v>
      </c>
      <c r="DI54" s="21" t="n">
        <v>141.286</v>
      </c>
      <c r="DJ54" s="21" t="n">
        <v>139.338</v>
      </c>
      <c r="DK54" s="21" t="n">
        <v>276.898</v>
      </c>
      <c r="DL54" s="21" t="n">
        <v>167.274</v>
      </c>
      <c r="DM54" s="21" t="n">
        <v>131.241</v>
      </c>
      <c r="DN54" s="21" t="n">
        <v>123.735</v>
      </c>
      <c r="DO54" s="21" t="n">
        <v>283.394</v>
      </c>
      <c r="DP54" s="21" t="n">
        <v>175.517</v>
      </c>
      <c r="DQ54" s="21" t="n">
        <v>181.813</v>
      </c>
      <c r="DR54" s="21" t="n">
        <v>179.958</v>
      </c>
      <c r="DS54" s="21" t="n">
        <v>148.747</v>
      </c>
      <c r="DT54" s="21" t="n">
        <v>165.77</v>
      </c>
      <c r="DU54" s="21" t="n">
        <v>194.857</v>
      </c>
      <c r="DV54" s="21" t="n">
        <v>252.101</v>
      </c>
      <c r="DW54" s="21" t="n">
        <v>205.415</v>
      </c>
      <c r="DX54" s="21" t="n">
        <v>229.2</v>
      </c>
      <c r="DY54" s="21" t="n">
        <v>194.627</v>
      </c>
      <c r="DZ54" s="21" t="n">
        <v>204.719</v>
      </c>
      <c r="EA54" s="21" t="n">
        <v>189.883</v>
      </c>
      <c r="EB54" s="21" t="n">
        <v>172.397</v>
      </c>
      <c r="EC54" s="21" t="n">
        <v>353.734</v>
      </c>
      <c r="ED54" s="21" t="n">
        <v>174.547</v>
      </c>
      <c r="EE54" s="21" t="n">
        <v>190.717</v>
      </c>
      <c r="EF54" s="21" t="n">
        <v>190.488</v>
      </c>
      <c r="EG54" s="21" t="n">
        <v>265.137</v>
      </c>
      <c r="EH54" s="21" t="n">
        <v>317.188</v>
      </c>
      <c r="EI54" s="21" t="n">
        <v>329.333</v>
      </c>
      <c r="EJ54" s="21" t="n">
        <v>176.575</v>
      </c>
      <c r="EK54" s="21" t="n">
        <v>557.918</v>
      </c>
      <c r="EL54" s="21" t="n">
        <v>364.595</v>
      </c>
      <c r="EM54" s="21" t="n">
        <v>324.143</v>
      </c>
      <c r="EN54" s="21" t="n">
        <v>324.175</v>
      </c>
      <c r="EO54" s="21" t="n">
        <v>151.569</v>
      </c>
      <c r="EP54" s="21" t="n">
        <v>241.39</v>
      </c>
      <c r="EQ54" s="21" t="n">
        <v>198.961</v>
      </c>
      <c r="ER54" s="21" t="n">
        <v>285.711</v>
      </c>
      <c r="ES54" s="21" t="n">
        <v>289.711</v>
      </c>
      <c r="ET54" s="21" t="n">
        <v>330.599</v>
      </c>
      <c r="EU54" s="21" t="n">
        <v>202.101</v>
      </c>
      <c r="EV54" s="21" t="n">
        <v>212.326</v>
      </c>
      <c r="EW54" s="21" t="n">
        <v>168.826</v>
      </c>
      <c r="EX54" s="21" t="n">
        <v>243.774</v>
      </c>
      <c r="EY54" s="21" t="n">
        <v>565.803</v>
      </c>
      <c r="EZ54" s="21" t="n">
        <v>480.865</v>
      </c>
      <c r="FA54" s="21" t="n">
        <v>123.344</v>
      </c>
      <c r="FB54" s="21" t="n">
        <v>56.31</v>
      </c>
      <c r="FC54" s="21" t="n">
        <v>114.559</v>
      </c>
      <c r="FD54" s="21" t="n">
        <v>59.697</v>
      </c>
      <c r="FE54" s="21" t="n">
        <v>43.104</v>
      </c>
      <c r="FF54" s="21" t="n">
        <v>113.765</v>
      </c>
      <c r="FG54" s="21" t="n">
        <v>128.443</v>
      </c>
      <c r="FH54" s="21" t="n">
        <v>87.92700000000001</v>
      </c>
      <c r="FI54" s="21" t="n">
        <v>71.744</v>
      </c>
      <c r="FJ54" s="21" t="n">
        <v>104.685</v>
      </c>
      <c r="FK54" s="21" t="n">
        <v>77.56999999999999</v>
      </c>
      <c r="FL54" s="21" t="n">
        <v>86.593</v>
      </c>
      <c r="FM54" s="21" t="n">
        <v>98.636</v>
      </c>
      <c r="FN54" s="21" t="n">
        <v>65.86799999999999</v>
      </c>
      <c r="FO54" s="21" t="n">
        <v>51.134</v>
      </c>
      <c r="FP54" s="21" t="n">
        <v>37.493</v>
      </c>
      <c r="FQ54" s="21" t="n">
        <v>132.066</v>
      </c>
      <c r="FR54" s="21" t="n">
        <v>47.882</v>
      </c>
      <c r="FS54" s="21" t="n">
        <v>82.298</v>
      </c>
      <c r="FT54" s="21" t="n">
        <v>90.372</v>
      </c>
      <c r="FU54" s="21" t="n">
        <v>99.76000000000001</v>
      </c>
      <c r="FV54" s="21" t="n">
        <v>85.85299999999999</v>
      </c>
      <c r="FW54" s="21" t="n">
        <v>190.238</v>
      </c>
      <c r="FX54" s="21" t="n">
        <v>121.241</v>
      </c>
      <c r="FY54" s="21" t="n">
        <v>175.901</v>
      </c>
      <c r="FZ54" s="21" t="n">
        <v>119.052</v>
      </c>
      <c r="GA54" s="21" t="n">
        <v>190.641</v>
      </c>
      <c r="GB54" s="21" t="n">
        <v>166.852</v>
      </c>
      <c r="GC54" s="21" t="n">
        <v>196.75</v>
      </c>
      <c r="GD54" s="21" t="n">
        <v>173.164</v>
      </c>
      <c r="GE54" s="21" t="n">
        <v>272.648</v>
      </c>
      <c r="GF54" s="21" t="n">
        <v>124.429</v>
      </c>
      <c r="GG54" s="21" t="n">
        <v>118.169</v>
      </c>
      <c r="GH54" s="21" t="n">
        <v>120.434</v>
      </c>
      <c r="GI54" s="21" t="n">
        <v>106.527</v>
      </c>
      <c r="GJ54" s="21" t="n">
        <v>157.346</v>
      </c>
      <c r="GK54" s="21" t="n">
        <v>75.66800000000001</v>
      </c>
      <c r="GL54" s="21" t="n">
        <v>118.821</v>
      </c>
      <c r="GM54" s="21" t="n">
        <v>107.941</v>
      </c>
      <c r="GN54" s="21" t="n">
        <v>108.082</v>
      </c>
      <c r="GO54" s="21" t="n">
        <v>111.179</v>
      </c>
      <c r="GP54" s="21" t="n">
        <v>102.921</v>
      </c>
      <c r="GQ54" s="21" t="n">
        <v>121.222</v>
      </c>
      <c r="GR54" s="21" t="n">
        <v>76.65900000000001</v>
      </c>
      <c r="GS54" s="21" t="n">
        <v>106.466</v>
      </c>
      <c r="GT54" s="21" t="n">
        <v>92.578</v>
      </c>
      <c r="GU54" s="21" t="n">
        <v>135.329</v>
      </c>
      <c r="GV54" s="21" t="n">
        <v>138.904</v>
      </c>
      <c r="GW54" s="21" t="n">
        <v>153.258</v>
      </c>
      <c r="GX54" s="21" t="n">
        <v>123.787</v>
      </c>
      <c r="GY54" s="21" t="n">
        <v>122.086</v>
      </c>
      <c r="GZ54" s="21" t="n">
        <v>171.41</v>
      </c>
      <c r="HA54" s="21" t="n">
        <v>139.609</v>
      </c>
      <c r="HB54" s="21" t="n">
        <v>171.788</v>
      </c>
      <c r="HC54" s="21" t="n">
        <v>215.391</v>
      </c>
      <c r="HD54" s="21" t="n">
        <v>210.674</v>
      </c>
      <c r="HE54" s="21" t="n">
        <v>99.416</v>
      </c>
      <c r="HF54" s="21" t="n">
        <v>147.659</v>
      </c>
      <c r="HG54" s="21" t="n">
        <v>102.328</v>
      </c>
      <c r="HH54" s="21" t="n">
        <v>143.48</v>
      </c>
      <c r="HI54" s="21" t="n">
        <v>157.211</v>
      </c>
      <c r="HJ54" s="21" t="n"/>
      <c r="HK54" s="21" t="n">
        <v>138.888</v>
      </c>
      <c r="HL54" s="21" t="n">
        <v>86.809</v>
      </c>
      <c r="HM54" s="21" t="n">
        <v>119.604</v>
      </c>
      <c r="HN54" s="21" t="n">
        <v>255.584</v>
      </c>
      <c r="HO54" s="21" t="n">
        <v>254.551</v>
      </c>
      <c r="HP54" s="21" t="n">
        <v>249.647</v>
      </c>
      <c r="HQ54" s="21" t="n">
        <v>271.837</v>
      </c>
      <c r="HR54" s="21" t="n">
        <v>267.248</v>
      </c>
      <c r="HS54" s="21" t="n">
        <v>228.784</v>
      </c>
      <c r="HT54" s="21" t="n">
        <v>146.445</v>
      </c>
      <c r="HU54" s="21" t="n">
        <v>125.042</v>
      </c>
      <c r="HV54" s="21" t="n">
        <v>175.542</v>
      </c>
      <c r="HW54" s="21" t="n">
        <v>166.547</v>
      </c>
      <c r="HX54" s="21" t="n">
        <v>385.2</v>
      </c>
      <c r="HY54" s="21" t="n">
        <v>294.586</v>
      </c>
      <c r="HZ54" s="21" t="n">
        <v>311.14</v>
      </c>
      <c r="IA54" s="21" t="n">
        <v>267.807</v>
      </c>
      <c r="IB54" s="21" t="n">
        <v>178.706</v>
      </c>
      <c r="IC54" s="21" t="n">
        <v>568.301</v>
      </c>
      <c r="ID54" s="21" t="n">
        <v>192.33</v>
      </c>
      <c r="IE54" s="21" t="n">
        <v>179.75</v>
      </c>
      <c r="IF54" s="21" t="n">
        <v>212.162</v>
      </c>
      <c r="IG54" s="21" t="n">
        <v>239.304</v>
      </c>
      <c r="IH54" s="21" t="n"/>
      <c r="II54" s="21" t="n">
        <v>271.37</v>
      </c>
      <c r="IJ54" s="21" t="n">
        <v>283.275</v>
      </c>
      <c r="IK54" s="21" t="n">
        <v>162.661</v>
      </c>
      <c r="IL54" s="21" t="n">
        <v>154.854</v>
      </c>
      <c r="IM54" s="21" t="n"/>
      <c r="IN54" s="21" t="n">
        <v>66.992</v>
      </c>
      <c r="IO54" s="21" t="n">
        <v>325.265</v>
      </c>
      <c r="IP54" s="21" t="n">
        <v>130.168</v>
      </c>
      <c r="IQ54" s="21" t="n">
        <v>494.928</v>
      </c>
      <c r="IR54" s="21" t="n">
        <v>381.066</v>
      </c>
      <c r="IS54" s="21" t="n">
        <v>124.643</v>
      </c>
      <c r="IT54" s="21" t="n">
        <v>526.439</v>
      </c>
      <c r="IU54" s="21" t="n">
        <v>97.048</v>
      </c>
      <c r="IV54" s="21" t="n">
        <v>103.438</v>
      </c>
      <c r="IW54" s="21" t="n">
        <v>531.566</v>
      </c>
      <c r="IX54" s="21" t="n">
        <v>381.651</v>
      </c>
      <c r="IY54" s="21" t="n">
        <v>382.436</v>
      </c>
      <c r="IZ54" s="21" t="n">
        <v>493.596</v>
      </c>
      <c r="JA54" s="21" t="n">
        <v>191.654</v>
      </c>
      <c r="JB54" s="21" t="n">
        <v>238.942</v>
      </c>
      <c r="JC54" s="21" t="n">
        <v>79.849</v>
      </c>
      <c r="JD54" s="21" t="n">
        <v>335.966</v>
      </c>
      <c r="JE54" s="21" t="n">
        <v>327.993</v>
      </c>
      <c r="JF54" s="21" t="n">
        <v>740.861</v>
      </c>
      <c r="JG54" s="21" t="n">
        <v>234.977</v>
      </c>
      <c r="JH54" s="21" t="n">
        <v>124.086</v>
      </c>
      <c r="JI54" s="21" t="n">
        <v>150.935</v>
      </c>
      <c r="JJ54" s="21" t="n">
        <v>120.254</v>
      </c>
      <c r="JK54" s="21" t="n">
        <v>104.381</v>
      </c>
      <c r="JL54" s="21" t="n">
        <v>158.33</v>
      </c>
      <c r="JM54" s="21" t="n">
        <v>476.355</v>
      </c>
      <c r="JN54" s="21" t="n">
        <v>121.507</v>
      </c>
      <c r="JO54" s="21" t="n">
        <v>75.50700000000001</v>
      </c>
      <c r="JP54" s="21" t="n">
        <v>39.166</v>
      </c>
      <c r="JQ54" s="21" t="n">
        <v>133.271</v>
      </c>
      <c r="JR54" s="21" t="n">
        <v>27.506</v>
      </c>
      <c r="JS54" s="21" t="n">
        <v>83.998</v>
      </c>
      <c r="JT54" s="21" t="n">
        <v>177.868</v>
      </c>
      <c r="JU54" s="21" t="n">
        <v>203.933</v>
      </c>
      <c r="JV54" s="21" t="n">
        <v>154.985</v>
      </c>
      <c r="JW54" s="21" t="n">
        <v>118.148</v>
      </c>
      <c r="JX54" s="21" t="n">
        <v>252.744</v>
      </c>
      <c r="JY54" s="21" t="n">
        <v>194.787</v>
      </c>
      <c r="JZ54" s="21" t="n">
        <v>266.297</v>
      </c>
      <c r="KA54" s="21" t="n">
        <v>111.269</v>
      </c>
      <c r="KB54" s="21" t="n">
        <v>149.633</v>
      </c>
      <c r="KC54" s="21" t="n">
        <v>79.01000000000001</v>
      </c>
      <c r="KD54" s="21" t="n">
        <v>73.309</v>
      </c>
      <c r="KE54" s="21" t="n">
        <v>52.821</v>
      </c>
      <c r="KF54" s="21" t="n"/>
      <c r="KG54" s="21" t="n">
        <v>21.994</v>
      </c>
      <c r="KH54" s="21" t="n">
        <v>121.261</v>
      </c>
      <c r="KI54" s="21" t="n">
        <v>124.147</v>
      </c>
      <c r="KJ54" s="21" t="n">
        <v>113.242</v>
      </c>
      <c r="KK54" s="21" t="n">
        <v>35.432</v>
      </c>
      <c r="KL54" s="21" t="n">
        <v>31.296</v>
      </c>
      <c r="KM54" s="21" t="n">
        <v>39.355</v>
      </c>
      <c r="KN54" s="21" t="n"/>
      <c r="KO54" s="21" t="n">
        <v>102.15</v>
      </c>
      <c r="KP54" s="21" t="n">
        <v>102.009</v>
      </c>
      <c r="KQ54" s="21" t="n">
        <v>171.088</v>
      </c>
      <c r="KR54" s="21" t="n">
        <v>140.975</v>
      </c>
      <c r="KS54" s="21" t="n">
        <v>390.261</v>
      </c>
      <c r="KT54" s="21" t="n">
        <v>186.395</v>
      </c>
      <c r="KU54" s="21" t="n">
        <v>224.952</v>
      </c>
      <c r="KV54" s="21" t="n">
        <v>319.871</v>
      </c>
      <c r="KW54" s="21" t="n">
        <v>254.409</v>
      </c>
      <c r="KX54" s="21" t="n">
        <v>187.205</v>
      </c>
      <c r="KY54" s="21" t="n">
        <v>94.95099999999999</v>
      </c>
      <c r="KZ54" s="21" t="n">
        <v>137.199</v>
      </c>
      <c r="LA54" s="21" t="n">
        <v>264.199</v>
      </c>
      <c r="LB54" s="21" t="n">
        <v>683.088</v>
      </c>
      <c r="LC54" s="21" t="n">
        <v>237.06</v>
      </c>
      <c r="LD54" s="21" t="n">
        <v>757.9450000000001</v>
      </c>
      <c r="LE54" s="21" t="n">
        <v>859.922</v>
      </c>
      <c r="LF54" s="21" t="n">
        <v>81.739</v>
      </c>
      <c r="LG54" s="21" t="n">
        <v>301.85</v>
      </c>
      <c r="LH54" s="21" t="n">
        <v>253.305</v>
      </c>
      <c r="LI54" s="21" t="n">
        <v>72.989</v>
      </c>
      <c r="LJ54" s="21" t="n">
        <v>195.317</v>
      </c>
      <c r="LK54" s="21" t="n">
        <v>307.042</v>
      </c>
      <c r="LL54" s="21" t="n">
        <v>318.536</v>
      </c>
      <c r="LM54" s="21" t="n">
        <v>68.994</v>
      </c>
      <c r="LN54" s="21" t="n">
        <v>89.069</v>
      </c>
      <c r="LO54" s="21" t="n">
        <v>46.4</v>
      </c>
      <c r="LP54" s="21" t="n">
        <v>119.25</v>
      </c>
      <c r="LQ54" s="21" t="n"/>
      <c r="LR54" s="21" t="n"/>
      <c r="LS54" s="21" t="n">
        <v>109.662</v>
      </c>
      <c r="LT54" s="21" t="n">
        <v>39.339</v>
      </c>
      <c r="LU54" s="21" t="n">
        <v>29.658</v>
      </c>
      <c r="LV54" s="21" t="n">
        <v>76.739</v>
      </c>
      <c r="LW54" s="21" t="n">
        <v>219.066</v>
      </c>
      <c r="LX54" s="21" t="n"/>
      <c r="LY54" s="21" t="n">
        <v>449.896</v>
      </c>
      <c r="LZ54" s="21" t="n">
        <v>69.884</v>
      </c>
      <c r="MA54" s="21" t="n">
        <v>453.809</v>
      </c>
      <c r="MB54" s="21" t="n">
        <v>280.002</v>
      </c>
      <c r="MC54" s="21" t="n">
        <v>233.542</v>
      </c>
      <c r="MD54" s="21" t="n">
        <v>160.588</v>
      </c>
      <c r="ME54" s="21" t="n">
        <v>103.208</v>
      </c>
      <c r="MF54" s="21" t="n">
        <v>182.107</v>
      </c>
      <c r="MG54" s="21" t="n">
        <v>269.429</v>
      </c>
      <c r="MH54" s="21" t="n">
        <v>164.396</v>
      </c>
      <c r="MI54" s="21" t="n">
        <v>447.689</v>
      </c>
      <c r="MJ54" s="21" t="n">
        <v>362.964</v>
      </c>
      <c r="MK54" s="21" t="n">
        <v>338.063</v>
      </c>
      <c r="ML54" s="21" t="n">
        <v>175.187</v>
      </c>
      <c r="MM54" s="21" t="n">
        <v>194.846</v>
      </c>
      <c r="MN54" s="21" t="n">
        <v>364.53</v>
      </c>
      <c r="MO54" s="21" t="n">
        <v>172.297</v>
      </c>
      <c r="MP54" s="21" t="n">
        <v>254.104</v>
      </c>
      <c r="MQ54" s="21" t="n">
        <v>75.182</v>
      </c>
      <c r="MR54" s="21" t="n">
        <v>149.194</v>
      </c>
      <c r="MS54" s="21" t="n">
        <v>71.53</v>
      </c>
      <c r="MT54" s="21" t="n">
        <v>244.629</v>
      </c>
      <c r="MU54" s="21" t="n">
        <v>261.203</v>
      </c>
      <c r="MV54" s="21" t="n">
        <v>255.759</v>
      </c>
      <c r="MW54" s="21" t="n">
        <v>262.59</v>
      </c>
      <c r="MX54" s="21" t="n">
        <v>235.131</v>
      </c>
      <c r="MY54" s="21" t="n">
        <v>229.061</v>
      </c>
      <c r="MZ54" s="21" t="n">
        <v>232.28</v>
      </c>
      <c r="NA54" s="21" t="n">
        <v>238.051</v>
      </c>
      <c r="NB54" s="21" t="n">
        <v>117.389</v>
      </c>
      <c r="NC54" s="21" t="n">
        <v>187.236</v>
      </c>
      <c r="ND54" s="21" t="n">
        <v>155.507</v>
      </c>
      <c r="NE54" s="21" t="n">
        <v>152.161</v>
      </c>
      <c r="NF54" s="21" t="n">
        <v>144.457</v>
      </c>
      <c r="NG54" s="21" t="n">
        <v>145.74</v>
      </c>
      <c r="NH54" s="21" t="n">
        <v>249.781</v>
      </c>
      <c r="NI54" s="21" t="n">
        <v>104.849</v>
      </c>
      <c r="NJ54" s="21" t="n">
        <v>71.937</v>
      </c>
      <c r="NK54" s="21" t="n">
        <v>110.405</v>
      </c>
      <c r="NL54" s="21" t="n">
        <v>225.773</v>
      </c>
      <c r="NM54" s="21" t="n">
        <v>259.31</v>
      </c>
      <c r="NN54" s="21" t="n">
        <v>90.81699999999999</v>
      </c>
      <c r="NO54" s="21" t="n">
        <v>51.837</v>
      </c>
      <c r="NP54" s="21" t="n">
        <v>229.875</v>
      </c>
      <c r="NQ54" s="21" t="n">
        <v>205.504</v>
      </c>
      <c r="NR54" s="21" t="n">
        <v>254.108</v>
      </c>
      <c r="NS54" s="21" t="n">
        <v>202.572</v>
      </c>
      <c r="NT54" s="21" t="n">
        <v>255.619</v>
      </c>
      <c r="NU54" s="21" t="n">
        <v>114.093</v>
      </c>
      <c r="NV54" s="21" t="n">
        <v>124.393</v>
      </c>
      <c r="NW54" s="21" t="n">
        <v>357.19</v>
      </c>
      <c r="NX54" s="21" t="n">
        <v>79.928</v>
      </c>
      <c r="NY54" s="21" t="n">
        <v>123.81</v>
      </c>
      <c r="NZ54" s="21" t="n">
        <v>330.698</v>
      </c>
      <c r="OA54" s="21" t="n">
        <v>323.964</v>
      </c>
      <c r="OB54" s="21" t="n">
        <v>336.204</v>
      </c>
      <c r="OC54" s="21" t="n">
        <v>308.204</v>
      </c>
      <c r="OD54" s="21" t="n">
        <v>341.281</v>
      </c>
      <c r="OE54" s="21" t="n">
        <v>104.925</v>
      </c>
      <c r="OF54" s="21" t="n">
        <v>326.397</v>
      </c>
      <c r="OG54" s="21" t="n">
        <v>218.195</v>
      </c>
      <c r="OH54" s="21" t="n">
        <v>40.03</v>
      </c>
      <c r="OI54" s="21" t="n">
        <v>126.992</v>
      </c>
      <c r="OJ54" s="21" t="n">
        <v>39</v>
      </c>
      <c r="OK54" s="21" t="n">
        <v>13</v>
      </c>
    </row>
    <row r="55">
      <c r="A55" s="22" t="n">
        <v>43617</v>
      </c>
      <c r="B55" s="21" t="n">
        <v>256.143</v>
      </c>
      <c r="C55" s="21" t="n">
        <v>767.2910000000001</v>
      </c>
      <c r="D55" s="21" t="n">
        <v>257.778</v>
      </c>
      <c r="E55" s="21" t="n">
        <v>258.064</v>
      </c>
      <c r="F55" s="21" t="n">
        <v>241.407</v>
      </c>
      <c r="G55" s="21" t="n">
        <v>276.891</v>
      </c>
      <c r="H55" s="21" t="n">
        <v>230.024</v>
      </c>
      <c r="I55" s="21" t="n">
        <v>238.545</v>
      </c>
      <c r="J55" s="21" t="n">
        <v>223.984</v>
      </c>
      <c r="K55" s="21" t="n">
        <v>240.598</v>
      </c>
      <c r="L55" s="21" t="n">
        <v>164.456</v>
      </c>
      <c r="M55" s="21" t="n">
        <v>303.823</v>
      </c>
      <c r="N55" s="21" t="n">
        <v>182.206</v>
      </c>
      <c r="O55" s="21" t="n">
        <v>329.986</v>
      </c>
      <c r="P55" s="21" t="n">
        <v>355.253</v>
      </c>
      <c r="Q55" s="21" t="n">
        <v>178.226</v>
      </c>
      <c r="R55" s="21" t="n">
        <v>291.086</v>
      </c>
      <c r="S55" s="21" t="n">
        <v>318.944</v>
      </c>
      <c r="T55" s="21" t="n">
        <v>270.304</v>
      </c>
      <c r="U55" s="21" t="n">
        <v>271.098</v>
      </c>
      <c r="V55" s="21" t="n">
        <v>310.221</v>
      </c>
      <c r="W55" s="21" t="n">
        <v>309.526</v>
      </c>
      <c r="X55" s="21" t="n">
        <v>270.15</v>
      </c>
      <c r="Y55" s="21" t="n">
        <v>249.231</v>
      </c>
      <c r="Z55" s="21" t="n">
        <v>253.541</v>
      </c>
      <c r="AA55" s="21" t="n">
        <v>255.364</v>
      </c>
      <c r="AB55" s="21" t="n">
        <v>308.185</v>
      </c>
      <c r="AC55" s="21" t="n">
        <v>266.123</v>
      </c>
      <c r="AD55" s="21" t="n">
        <v>245.025</v>
      </c>
      <c r="AE55" s="21" t="n">
        <v>208.177</v>
      </c>
      <c r="AF55" s="21" t="n">
        <v>246.474</v>
      </c>
      <c r="AG55" s="21" t="n">
        <v>213.406</v>
      </c>
      <c r="AH55" s="21" t="n">
        <v>163.213</v>
      </c>
      <c r="AI55" s="21" t="n">
        <v>308.388</v>
      </c>
      <c r="AJ55" s="21" t="n">
        <v>145.855</v>
      </c>
      <c r="AK55" s="21" t="n">
        <v>202.671</v>
      </c>
      <c r="AL55" s="21" t="n">
        <v>224.856</v>
      </c>
      <c r="AM55" s="21" t="n">
        <v>186.744</v>
      </c>
      <c r="AN55" s="21" t="n">
        <v>125.74</v>
      </c>
      <c r="AO55" s="21" t="n">
        <v>222.726</v>
      </c>
      <c r="AP55" s="21" t="n">
        <v>227.832</v>
      </c>
      <c r="AQ55" s="21" t="n">
        <v>144.319</v>
      </c>
      <c r="AR55" s="21" t="n"/>
      <c r="AS55" s="21" t="n"/>
      <c r="AT55" s="21" t="n">
        <v>232.471</v>
      </c>
      <c r="AU55" s="21" t="n">
        <v>150.442</v>
      </c>
      <c r="AV55" s="21" t="n">
        <v>253.919</v>
      </c>
      <c r="AW55" s="21" t="n">
        <v>221.976</v>
      </c>
      <c r="AX55" s="21" t="n">
        <v>147.709</v>
      </c>
      <c r="AY55" s="21" t="n">
        <v>298.81</v>
      </c>
      <c r="AZ55" s="21" t="n">
        <v>185.953</v>
      </c>
      <c r="BA55" s="21" t="n">
        <v>149.061</v>
      </c>
      <c r="BB55" s="21" t="n">
        <v>217.82</v>
      </c>
      <c r="BC55" s="21" t="n">
        <v>306.857</v>
      </c>
      <c r="BD55" s="21" t="n">
        <v>191.161</v>
      </c>
      <c r="BE55" s="21" t="n">
        <v>217.433</v>
      </c>
      <c r="BF55" s="21" t="n">
        <v>139.485</v>
      </c>
      <c r="BG55" s="21" t="n">
        <v>199.557</v>
      </c>
      <c r="BH55" s="21" t="n">
        <v>144.136</v>
      </c>
      <c r="BI55" s="21" t="n">
        <v>228.269</v>
      </c>
      <c r="BJ55" s="21" t="n">
        <v>214.387</v>
      </c>
      <c r="BK55" s="21" t="n">
        <v>149.544</v>
      </c>
      <c r="BL55" s="21" t="n">
        <v>298.611</v>
      </c>
      <c r="BM55" s="21" t="n">
        <v>345.165</v>
      </c>
      <c r="BN55" s="21" t="n">
        <v>356.912</v>
      </c>
      <c r="BO55" s="21" t="n">
        <v>347.24</v>
      </c>
      <c r="BP55" s="21" t="n">
        <v>197.12</v>
      </c>
      <c r="BQ55" s="21" t="n">
        <v>257.814</v>
      </c>
      <c r="BR55" s="21" t="n">
        <v>513.497</v>
      </c>
      <c r="BS55" s="21" t="n">
        <v>113.872</v>
      </c>
      <c r="BT55" s="21" t="n">
        <v>331.504</v>
      </c>
      <c r="BU55" s="21" t="n">
        <v>355.212</v>
      </c>
      <c r="BV55" s="21" t="n">
        <v>301.371</v>
      </c>
      <c r="BW55" s="21" t="n">
        <v>320.403</v>
      </c>
      <c r="BX55" s="21" t="n">
        <v>340.094</v>
      </c>
      <c r="BY55" s="21" t="n">
        <v>157.995</v>
      </c>
      <c r="BZ55" s="21" t="n">
        <v>165.988</v>
      </c>
      <c r="CA55" s="21" t="n">
        <v>158.81</v>
      </c>
      <c r="CB55" s="21" t="n">
        <v>176.916</v>
      </c>
      <c r="CC55" s="21" t="n">
        <v>145.905</v>
      </c>
      <c r="CD55" s="21" t="n">
        <v>203.199</v>
      </c>
      <c r="CE55" s="21" t="n">
        <v>153.181</v>
      </c>
      <c r="CF55" s="21" t="n">
        <v>180.016</v>
      </c>
      <c r="CG55" s="21" t="n">
        <v>170.23</v>
      </c>
      <c r="CH55" s="21" t="n">
        <v>132.342</v>
      </c>
      <c r="CI55" s="21" t="n">
        <v>167.821</v>
      </c>
      <c r="CJ55" s="21" t="n">
        <v>180.126</v>
      </c>
      <c r="CK55" s="21" t="n">
        <v>119.684</v>
      </c>
      <c r="CL55" s="21" t="n">
        <v>117.343</v>
      </c>
      <c r="CM55" s="21" t="n">
        <v>195.992</v>
      </c>
      <c r="CN55" s="21" t="n">
        <v>203.898</v>
      </c>
      <c r="CO55" s="21" t="n">
        <v>193.084</v>
      </c>
      <c r="CP55" s="21" t="n">
        <v>129.252</v>
      </c>
      <c r="CQ55" s="21" t="n">
        <v>212.056</v>
      </c>
      <c r="CR55" s="21" t="n">
        <v>220.473</v>
      </c>
      <c r="CS55" s="21" t="n">
        <v>188.003</v>
      </c>
      <c r="CT55" s="21" t="n">
        <v>150.379</v>
      </c>
      <c r="CU55" s="21" t="n">
        <v>153.811</v>
      </c>
      <c r="CV55" s="21" t="n">
        <v>227.018</v>
      </c>
      <c r="CW55" s="21" t="n">
        <v>206.666</v>
      </c>
      <c r="CX55" s="21" t="n">
        <v>244.773</v>
      </c>
      <c r="CY55" s="21" t="n">
        <v>299.748</v>
      </c>
      <c r="CZ55" s="21" t="n">
        <v>128.635</v>
      </c>
      <c r="DA55" s="21" t="n">
        <v>156.772</v>
      </c>
      <c r="DB55" s="21" t="n">
        <v>157.529</v>
      </c>
      <c r="DC55" s="21" t="n">
        <v>226.512</v>
      </c>
      <c r="DD55" s="21" t="n">
        <v>252.637</v>
      </c>
      <c r="DE55" s="21" t="n">
        <v>167.524</v>
      </c>
      <c r="DF55" s="21" t="n">
        <v>253.748</v>
      </c>
      <c r="DG55" s="21" t="n">
        <v>243.693</v>
      </c>
      <c r="DH55" s="21" t="n">
        <v>156.18</v>
      </c>
      <c r="DI55" s="21" t="n">
        <v>141.383</v>
      </c>
      <c r="DJ55" s="21" t="n">
        <v>140.151</v>
      </c>
      <c r="DK55" s="21" t="n">
        <v>281.894</v>
      </c>
      <c r="DL55" s="21" t="n">
        <v>168.992</v>
      </c>
      <c r="DM55" s="21" t="n">
        <v>132.198</v>
      </c>
      <c r="DN55" s="21" t="n">
        <v>124.551</v>
      </c>
      <c r="DO55" s="21" t="n">
        <v>284.316</v>
      </c>
      <c r="DP55" s="21" t="n">
        <v>176.493</v>
      </c>
      <c r="DQ55" s="21" t="n">
        <v>181.897</v>
      </c>
      <c r="DR55" s="21" t="n">
        <v>180.117</v>
      </c>
      <c r="DS55" s="21" t="n">
        <v>148.829</v>
      </c>
      <c r="DT55" s="21" t="n">
        <v>166.172</v>
      </c>
      <c r="DU55" s="21" t="n">
        <v>196.262</v>
      </c>
      <c r="DV55" s="21" t="n">
        <v>252.538</v>
      </c>
      <c r="DW55" s="21" t="n">
        <v>205.693</v>
      </c>
      <c r="DX55" s="21" t="n">
        <v>229.508</v>
      </c>
      <c r="DY55" s="21" t="n">
        <v>195.73</v>
      </c>
      <c r="DZ55" s="21" t="n">
        <v>205.945</v>
      </c>
      <c r="EA55" s="21" t="n">
        <v>190.246</v>
      </c>
      <c r="EB55" s="21" t="n">
        <v>172.396</v>
      </c>
      <c r="EC55" s="21" t="n">
        <v>354.57</v>
      </c>
      <c r="ED55" s="21" t="n">
        <v>174.813</v>
      </c>
      <c r="EE55" s="21" t="n">
        <v>191.22</v>
      </c>
      <c r="EF55" s="21" t="n">
        <v>190.623</v>
      </c>
      <c r="EG55" s="21" t="n">
        <v>266.461</v>
      </c>
      <c r="EH55" s="21" t="n">
        <v>318.3</v>
      </c>
      <c r="EI55" s="21" t="n">
        <v>330.648</v>
      </c>
      <c r="EJ55" s="21" t="n">
        <v>177.637</v>
      </c>
      <c r="EK55" s="21" t="n">
        <v>558.215</v>
      </c>
      <c r="EL55" s="21" t="n">
        <v>367.028</v>
      </c>
      <c r="EM55" s="21" t="n">
        <v>325.189</v>
      </c>
      <c r="EN55" s="21" t="n">
        <v>325.227</v>
      </c>
      <c r="EO55" s="21" t="n">
        <v>152.159</v>
      </c>
      <c r="EP55" s="21" t="n">
        <v>244.703</v>
      </c>
      <c r="EQ55" s="21" t="n">
        <v>202.402</v>
      </c>
      <c r="ER55" s="21" t="n">
        <v>274.837</v>
      </c>
      <c r="ES55" s="21" t="n">
        <v>277.244</v>
      </c>
      <c r="ET55" s="21" t="n">
        <v>320.618</v>
      </c>
      <c r="EU55" s="21" t="n">
        <v>206.219</v>
      </c>
      <c r="EV55" s="21" t="n">
        <v>217.947</v>
      </c>
      <c r="EW55" s="21" t="n">
        <v>168.628</v>
      </c>
      <c r="EX55" s="21" t="n">
        <v>244.322</v>
      </c>
      <c r="EY55" s="21" t="n">
        <v>567.442</v>
      </c>
      <c r="EZ55" s="21" t="n">
        <v>480.984</v>
      </c>
      <c r="FA55" s="21" t="n">
        <v>124.237</v>
      </c>
      <c r="FB55" s="21" t="n">
        <v>55.642</v>
      </c>
      <c r="FC55" s="21" t="n">
        <v>115.985</v>
      </c>
      <c r="FD55" s="21" t="n">
        <v>60.287</v>
      </c>
      <c r="FE55" s="21" t="n">
        <v>41.946</v>
      </c>
      <c r="FF55" s="21" t="n">
        <v>114.718</v>
      </c>
      <c r="FG55" s="21" t="n">
        <v>129.652</v>
      </c>
      <c r="FH55" s="21" t="n">
        <v>89.04900000000001</v>
      </c>
      <c r="FI55" s="21" t="n">
        <v>71.163</v>
      </c>
      <c r="FJ55" s="21" t="n">
        <v>104.67</v>
      </c>
      <c r="FK55" s="21" t="n">
        <v>77.735</v>
      </c>
      <c r="FL55" s="21" t="n">
        <v>85.377</v>
      </c>
      <c r="FM55" s="21" t="n">
        <v>97.94499999999999</v>
      </c>
      <c r="FN55" s="21" t="n">
        <v>66.655</v>
      </c>
      <c r="FO55" s="21" t="n">
        <v>51.077</v>
      </c>
      <c r="FP55" s="21" t="n">
        <v>36.758</v>
      </c>
      <c r="FQ55" s="21" t="n">
        <v>133.429</v>
      </c>
      <c r="FR55" s="21" t="n">
        <v>50.789</v>
      </c>
      <c r="FS55" s="21" t="n">
        <v>82.90000000000001</v>
      </c>
      <c r="FT55" s="21" t="n">
        <v>90.425</v>
      </c>
      <c r="FU55" s="21" t="n">
        <v>100.294</v>
      </c>
      <c r="FV55" s="21" t="n">
        <v>85.628</v>
      </c>
      <c r="FW55" s="21" t="n">
        <v>190.603</v>
      </c>
      <c r="FX55" s="21" t="n">
        <v>121.075</v>
      </c>
      <c r="FY55" s="21" t="n">
        <v>176.8</v>
      </c>
      <c r="FZ55" s="21" t="n">
        <v>119.438</v>
      </c>
      <c r="GA55" s="21" t="n">
        <v>195.896</v>
      </c>
      <c r="GB55" s="21" t="n">
        <v>167.024</v>
      </c>
      <c r="GC55" s="21" t="n">
        <v>208.666</v>
      </c>
      <c r="GD55" s="21" t="n">
        <v>175.642</v>
      </c>
      <c r="GE55" s="21" t="n">
        <v>278.908</v>
      </c>
      <c r="GF55" s="21" t="n">
        <v>123.749</v>
      </c>
      <c r="GG55" s="21" t="n">
        <v>116.96</v>
      </c>
      <c r="GH55" s="21" t="n">
        <v>119.096</v>
      </c>
      <c r="GI55" s="21" t="n">
        <v>103.26</v>
      </c>
      <c r="GJ55" s="21" t="n">
        <v>155.388</v>
      </c>
      <c r="GK55" s="21" t="n">
        <v>75.036</v>
      </c>
      <c r="GL55" s="21" t="n">
        <v>118.911</v>
      </c>
      <c r="GM55" s="21" t="n">
        <v>107.168</v>
      </c>
      <c r="GN55" s="21" t="n">
        <v>106.794</v>
      </c>
      <c r="GO55" s="21" t="n">
        <v>108.908</v>
      </c>
      <c r="GP55" s="21" t="n">
        <v>105.431</v>
      </c>
      <c r="GQ55" s="21" t="n">
        <v>115.412</v>
      </c>
      <c r="GR55" s="21" t="n">
        <v>75.128</v>
      </c>
      <c r="GS55" s="21" t="n">
        <v>104.327</v>
      </c>
      <c r="GT55" s="21" t="n">
        <v>96.239</v>
      </c>
      <c r="GU55" s="21" t="n">
        <v>135.425</v>
      </c>
      <c r="GV55" s="21" t="n">
        <v>138.28</v>
      </c>
      <c r="GW55" s="21" t="n">
        <v>152.337</v>
      </c>
      <c r="GX55" s="21" t="n">
        <v>124.791</v>
      </c>
      <c r="GY55" s="21" t="n">
        <v>118.436</v>
      </c>
      <c r="GZ55" s="21" t="n">
        <v>177.958</v>
      </c>
      <c r="HA55" s="21" t="n">
        <v>141.407</v>
      </c>
      <c r="HB55" s="21" t="n">
        <v>181.241</v>
      </c>
      <c r="HC55" s="21" t="n">
        <v>213.073</v>
      </c>
      <c r="HD55" s="21" t="n">
        <v>208.319</v>
      </c>
      <c r="HE55" s="21" t="n">
        <v>99.874</v>
      </c>
      <c r="HF55" s="21" t="n">
        <v>147.417</v>
      </c>
      <c r="HG55" s="21" t="n">
        <v>102.156</v>
      </c>
      <c r="HH55" s="21" t="n">
        <v>143.398</v>
      </c>
      <c r="HI55" s="21" t="n">
        <v>156.717</v>
      </c>
      <c r="HJ55" s="21" t="n"/>
      <c r="HK55" s="21" t="n">
        <v>140.823</v>
      </c>
      <c r="HL55" s="21" t="n">
        <v>86.196</v>
      </c>
      <c r="HM55" s="21" t="n">
        <v>129.082</v>
      </c>
      <c r="HN55" s="21" t="n">
        <v>243.163</v>
      </c>
      <c r="HO55" s="21" t="n">
        <v>242.043</v>
      </c>
      <c r="HP55" s="21" t="n">
        <v>237.023</v>
      </c>
      <c r="HQ55" s="21" t="n">
        <v>260.473</v>
      </c>
      <c r="HR55" s="21" t="n">
        <v>256.572</v>
      </c>
      <c r="HS55" s="21" t="n">
        <v>223.589</v>
      </c>
      <c r="HT55" s="21" t="n">
        <v>146.554</v>
      </c>
      <c r="HU55" s="21" t="n">
        <v>125.214</v>
      </c>
      <c r="HV55" s="21" t="n">
        <v>175.514</v>
      </c>
      <c r="HW55" s="21" t="n">
        <v>166.13</v>
      </c>
      <c r="HX55" s="21" t="n">
        <v>387.792</v>
      </c>
      <c r="HY55" s="21" t="n">
        <v>295.67</v>
      </c>
      <c r="HZ55" s="21" t="n">
        <v>313.709</v>
      </c>
      <c r="IA55" s="21" t="n">
        <v>268.853</v>
      </c>
      <c r="IB55" s="21" t="n">
        <v>179.144</v>
      </c>
      <c r="IC55" s="21" t="n">
        <v>569.079</v>
      </c>
      <c r="ID55" s="21" t="n">
        <v>192.175</v>
      </c>
      <c r="IE55" s="21" t="n">
        <v>179.526</v>
      </c>
      <c r="IF55" s="21" t="n">
        <v>212.101</v>
      </c>
      <c r="IG55" s="21" t="n">
        <v>239.5</v>
      </c>
      <c r="IH55" s="21" t="n"/>
      <c r="II55" s="21" t="n">
        <v>269.935</v>
      </c>
      <c r="IJ55" s="21" t="n">
        <v>283.001</v>
      </c>
      <c r="IK55" s="21" t="n">
        <v>159.943</v>
      </c>
      <c r="IL55" s="21" t="n">
        <v>155.238</v>
      </c>
      <c r="IM55" s="21" t="n"/>
      <c r="IN55" s="21" t="n">
        <v>65.06999999999999</v>
      </c>
      <c r="IO55" s="21" t="n">
        <v>322.159</v>
      </c>
      <c r="IP55" s="21" t="n">
        <v>130.178</v>
      </c>
      <c r="IQ55" s="21" t="n">
        <v>495.563</v>
      </c>
      <c r="IR55" s="21" t="n">
        <v>379.462</v>
      </c>
      <c r="IS55" s="21" t="n">
        <v>124.074</v>
      </c>
      <c r="IT55" s="21" t="n">
        <v>522.957</v>
      </c>
      <c r="IU55" s="21" t="n">
        <v>97.37</v>
      </c>
      <c r="IV55" s="21" t="n">
        <v>104.034</v>
      </c>
      <c r="IW55" s="21" t="n">
        <v>532.956</v>
      </c>
      <c r="IX55" s="21" t="n">
        <v>382.699</v>
      </c>
      <c r="IY55" s="21" t="n">
        <v>382.702</v>
      </c>
      <c r="IZ55" s="21" t="n">
        <v>498.135</v>
      </c>
      <c r="JA55" s="21" t="n">
        <v>191.768</v>
      </c>
      <c r="JB55" s="21" t="n">
        <v>239.093</v>
      </c>
      <c r="JC55" s="21" t="n">
        <v>79.675</v>
      </c>
      <c r="JD55" s="21" t="n">
        <v>335.078</v>
      </c>
      <c r="JE55" s="21" t="n">
        <v>327.548</v>
      </c>
      <c r="JF55" s="21" t="n">
        <v>738.8579999999999</v>
      </c>
      <c r="JG55" s="21" t="n">
        <v>235.366</v>
      </c>
      <c r="JH55" s="21" t="n">
        <v>124.27</v>
      </c>
      <c r="JI55" s="21" t="n">
        <v>152.891</v>
      </c>
      <c r="JJ55" s="21" t="n">
        <v>120.145</v>
      </c>
      <c r="JK55" s="21" t="n">
        <v>104.162</v>
      </c>
      <c r="JL55" s="21" t="n">
        <v>156.421</v>
      </c>
      <c r="JM55" s="21" t="n">
        <v>475.287</v>
      </c>
      <c r="JN55" s="21" t="n">
        <v>119.101</v>
      </c>
      <c r="JO55" s="21" t="n">
        <v>76.65900000000001</v>
      </c>
      <c r="JP55" s="21" t="n">
        <v>39.682</v>
      </c>
      <c r="JQ55" s="21" t="n">
        <v>136.189</v>
      </c>
      <c r="JR55" s="21" t="n">
        <v>27.276</v>
      </c>
      <c r="JS55" s="21" t="n">
        <v>84.408</v>
      </c>
      <c r="JT55" s="21" t="n">
        <v>178.059</v>
      </c>
      <c r="JU55" s="21" t="n">
        <v>203.949</v>
      </c>
      <c r="JV55" s="21" t="n">
        <v>155.156</v>
      </c>
      <c r="JW55" s="21" t="n">
        <v>117.856</v>
      </c>
      <c r="JX55" s="21" t="n">
        <v>253.381</v>
      </c>
      <c r="JY55" s="21" t="n">
        <v>195.595</v>
      </c>
      <c r="JZ55" s="21" t="n">
        <v>266.959</v>
      </c>
      <c r="KA55" s="21" t="n">
        <v>111.701</v>
      </c>
      <c r="KB55" s="21" t="n">
        <v>151.189</v>
      </c>
      <c r="KC55" s="21" t="n">
        <v>78.59699999999999</v>
      </c>
      <c r="KD55" s="21" t="n">
        <v>73.024</v>
      </c>
      <c r="KE55" s="21" t="n">
        <v>52.949</v>
      </c>
      <c r="KF55" s="21" t="n"/>
      <c r="KG55" s="21" t="n">
        <v>22.062</v>
      </c>
      <c r="KH55" s="21" t="n">
        <v>120.11</v>
      </c>
      <c r="KI55" s="21" t="n">
        <v>124.426</v>
      </c>
      <c r="KJ55" s="21" t="n">
        <v>111.245</v>
      </c>
      <c r="KK55" s="21" t="n">
        <v>35.311</v>
      </c>
      <c r="KL55" s="21" t="n">
        <v>31.158</v>
      </c>
      <c r="KM55" s="21" t="n">
        <v>39.361</v>
      </c>
      <c r="KN55" s="21" t="n"/>
      <c r="KO55" s="21" t="n">
        <v>102.566</v>
      </c>
      <c r="KP55" s="21" t="n">
        <v>101.731</v>
      </c>
      <c r="KQ55" s="21" t="n">
        <v>170.84</v>
      </c>
      <c r="KR55" s="21" t="n">
        <v>140.561</v>
      </c>
      <c r="KS55" s="21" t="n">
        <v>389.811</v>
      </c>
      <c r="KT55" s="21" t="n">
        <v>185.882</v>
      </c>
      <c r="KU55" s="21" t="n">
        <v>224.517</v>
      </c>
      <c r="KV55" s="21" t="n">
        <v>320.552</v>
      </c>
      <c r="KW55" s="21" t="n">
        <v>253.678</v>
      </c>
      <c r="KX55" s="21" t="n">
        <v>188.178</v>
      </c>
      <c r="KY55" s="21" t="n">
        <v>93.414</v>
      </c>
      <c r="KZ55" s="21" t="n">
        <v>137.344</v>
      </c>
      <c r="LA55" s="21" t="n">
        <v>264.612</v>
      </c>
      <c r="LB55" s="21" t="n">
        <v>686.251</v>
      </c>
      <c r="LC55" s="21" t="n">
        <v>238.258</v>
      </c>
      <c r="LD55" s="21" t="n">
        <v>759.028</v>
      </c>
      <c r="LE55" s="21" t="n">
        <v>859.798</v>
      </c>
      <c r="LF55" s="21" t="n">
        <v>81.971</v>
      </c>
      <c r="LG55" s="21" t="n">
        <v>303.008</v>
      </c>
      <c r="LH55" s="21" t="n">
        <v>254.372</v>
      </c>
      <c r="LI55" s="21" t="n">
        <v>73.03400000000001</v>
      </c>
      <c r="LJ55" s="21" t="n">
        <v>195.341</v>
      </c>
      <c r="LK55" s="21" t="n">
        <v>307.042</v>
      </c>
      <c r="LL55" s="21" t="n">
        <v>318.841</v>
      </c>
      <c r="LM55" s="21" t="n">
        <v>69.038</v>
      </c>
      <c r="LN55" s="21" t="n">
        <v>89.23699999999999</v>
      </c>
      <c r="LO55" s="21" t="n">
        <v>46.458</v>
      </c>
      <c r="LP55" s="21" t="n">
        <v>119.688</v>
      </c>
      <c r="LQ55" s="21" t="n"/>
      <c r="LR55" s="21" t="n"/>
      <c r="LS55" s="21" t="n">
        <v>109.476</v>
      </c>
      <c r="LT55" s="21" t="n">
        <v>38.586</v>
      </c>
      <c r="LU55" s="21" t="n">
        <v>30.486</v>
      </c>
      <c r="LV55" s="21" t="n">
        <v>77.101</v>
      </c>
      <c r="LW55" s="21" t="n">
        <v>217.317</v>
      </c>
      <c r="LX55" s="21" t="n"/>
      <c r="LY55" s="21" t="n">
        <v>449.345</v>
      </c>
      <c r="LZ55" s="21" t="n">
        <v>69.935</v>
      </c>
      <c r="MA55" s="21" t="n">
        <v>454.043</v>
      </c>
      <c r="MB55" s="21" t="n">
        <v>280.684</v>
      </c>
      <c r="MC55" s="21" t="n">
        <v>233.136</v>
      </c>
      <c r="MD55" s="21" t="n">
        <v>160.148</v>
      </c>
      <c r="ME55" s="21" t="n">
        <v>102.701</v>
      </c>
      <c r="MF55" s="21" t="n">
        <v>182.115</v>
      </c>
      <c r="MG55" s="21" t="n">
        <v>269.941</v>
      </c>
      <c r="MH55" s="21" t="n">
        <v>164.708</v>
      </c>
      <c r="MI55" s="21" t="n">
        <v>447.923</v>
      </c>
      <c r="MJ55" s="21" t="n">
        <v>363.152</v>
      </c>
      <c r="MK55" s="21" t="n">
        <v>337.998</v>
      </c>
      <c r="ML55" s="21" t="n">
        <v>175.869</v>
      </c>
      <c r="MM55" s="21" t="n">
        <v>196.782</v>
      </c>
      <c r="MN55" s="21" t="n">
        <v>363.222</v>
      </c>
      <c r="MO55" s="21" t="n">
        <v>172.297</v>
      </c>
      <c r="MP55" s="21" t="n">
        <v>252.936</v>
      </c>
      <c r="MQ55" s="21" t="n">
        <v>73.658</v>
      </c>
      <c r="MR55" s="21" t="n">
        <v>150.073</v>
      </c>
      <c r="MS55" s="21" t="n">
        <v>71.71299999999999</v>
      </c>
      <c r="MT55" s="21" t="n">
        <v>244.653</v>
      </c>
      <c r="MU55" s="21" t="n">
        <v>261.696</v>
      </c>
      <c r="MV55" s="21" t="n">
        <v>255.825</v>
      </c>
      <c r="MW55" s="21" t="n">
        <v>263.177</v>
      </c>
      <c r="MX55" s="21" t="n">
        <v>234.791</v>
      </c>
      <c r="MY55" s="21" t="n">
        <v>228.659</v>
      </c>
      <c r="MZ55" s="21" t="n">
        <v>232.585</v>
      </c>
      <c r="NA55" s="21" t="n">
        <v>238.2</v>
      </c>
      <c r="NB55" s="21" t="n">
        <v>116.544</v>
      </c>
      <c r="NC55" s="21" t="n">
        <v>186.112</v>
      </c>
      <c r="ND55" s="21" t="n">
        <v>154.073</v>
      </c>
      <c r="NE55" s="21" t="n">
        <v>150.688</v>
      </c>
      <c r="NF55" s="21" t="n">
        <v>144.461</v>
      </c>
      <c r="NG55" s="21" t="n">
        <v>145.462</v>
      </c>
      <c r="NH55" s="21" t="n">
        <v>249.146</v>
      </c>
      <c r="NI55" s="21" t="n">
        <v>105.167</v>
      </c>
      <c r="NJ55" s="21" t="n">
        <v>71.232</v>
      </c>
      <c r="NK55" s="21" t="n">
        <v>110.625</v>
      </c>
      <c r="NL55" s="21" t="n">
        <v>221.373</v>
      </c>
      <c r="NM55" s="21" t="n">
        <v>246.818</v>
      </c>
      <c r="NN55" s="21" t="n">
        <v>90.98999999999999</v>
      </c>
      <c r="NO55" s="21" t="n">
        <v>51.085</v>
      </c>
      <c r="NP55" s="21" t="n">
        <v>227.749</v>
      </c>
      <c r="NQ55" s="21" t="n">
        <v>201.854</v>
      </c>
      <c r="NR55" s="21" t="n">
        <v>248.754</v>
      </c>
      <c r="NS55" s="21" t="n">
        <v>198.687</v>
      </c>
      <c r="NT55" s="21" t="n">
        <v>249.683</v>
      </c>
      <c r="NU55" s="21" t="n">
        <v>113.68</v>
      </c>
      <c r="NV55" s="21" t="n">
        <v>124.524</v>
      </c>
      <c r="NW55" s="21" t="n">
        <v>357.493</v>
      </c>
      <c r="NX55" s="21" t="n">
        <v>79.875</v>
      </c>
      <c r="NY55" s="21" t="n">
        <v>123.685</v>
      </c>
      <c r="NZ55" s="21" t="n">
        <v>331.856</v>
      </c>
      <c r="OA55" s="21" t="n">
        <v>325.218</v>
      </c>
      <c r="OB55" s="21" t="n">
        <v>337.197</v>
      </c>
      <c r="OC55" s="21" t="n">
        <v>309.446</v>
      </c>
      <c r="OD55" s="21" t="n">
        <v>342.741</v>
      </c>
      <c r="OE55" s="21" t="n">
        <v>105.37</v>
      </c>
      <c r="OF55" s="21" t="n">
        <v>326.667</v>
      </c>
      <c r="OG55" s="21" t="n">
        <v>219.709</v>
      </c>
      <c r="OH55" s="21" t="n">
        <v>39.699</v>
      </c>
      <c r="OI55" s="21" t="n">
        <v>126.832</v>
      </c>
      <c r="OJ55" s="21" t="n">
        <v>39</v>
      </c>
      <c r="OK55" s="21" t="n">
        <v>13</v>
      </c>
    </row>
    <row r="56">
      <c r="A56" s="22" t="n">
        <v>43647</v>
      </c>
      <c r="B56" s="21" t="n">
        <v>256.571</v>
      </c>
      <c r="C56" s="21" t="n">
        <v>768.571</v>
      </c>
      <c r="D56" s="21" t="n">
        <v>258.015</v>
      </c>
      <c r="E56" s="21" t="n">
        <v>258.274</v>
      </c>
      <c r="F56" s="21" t="n">
        <v>241.359</v>
      </c>
      <c r="G56" s="21" t="n">
        <v>277.49</v>
      </c>
      <c r="H56" s="21" t="n">
        <v>230.425</v>
      </c>
      <c r="I56" s="21" t="n">
        <v>241.126</v>
      </c>
      <c r="J56" s="21" t="n">
        <v>224.036</v>
      </c>
      <c r="K56" s="21" t="n">
        <v>240.739</v>
      </c>
      <c r="L56" s="21" t="n">
        <v>164.408</v>
      </c>
      <c r="M56" s="21" t="n">
        <v>304.54</v>
      </c>
      <c r="N56" s="21" t="n">
        <v>183.514</v>
      </c>
      <c r="O56" s="21" t="n">
        <v>329.424</v>
      </c>
      <c r="P56" s="21" t="n">
        <v>360.225</v>
      </c>
      <c r="Q56" s="21" t="n">
        <v>177.3</v>
      </c>
      <c r="R56" s="21" t="n">
        <v>292.662</v>
      </c>
      <c r="S56" s="21" t="n">
        <v>319.192</v>
      </c>
      <c r="T56" s="21" t="n">
        <v>272.759</v>
      </c>
      <c r="U56" s="21" t="n">
        <v>270.77</v>
      </c>
      <c r="V56" s="21" t="n">
        <v>310.067</v>
      </c>
      <c r="W56" s="21" t="n">
        <v>309.496</v>
      </c>
      <c r="X56" s="21" t="n">
        <v>268.764</v>
      </c>
      <c r="Y56" s="21" t="n">
        <v>250.033</v>
      </c>
      <c r="Z56" s="21" t="n">
        <v>254.331</v>
      </c>
      <c r="AA56" s="21" t="n">
        <v>257.517</v>
      </c>
      <c r="AB56" s="21" t="n">
        <v>309.866</v>
      </c>
      <c r="AC56" s="21" t="n">
        <v>268.957</v>
      </c>
      <c r="AD56" s="21" t="n">
        <v>243.876</v>
      </c>
      <c r="AE56" s="21" t="n">
        <v>208.912</v>
      </c>
      <c r="AF56" s="21" t="n">
        <v>248.456</v>
      </c>
      <c r="AG56" s="21" t="n">
        <v>216.545</v>
      </c>
      <c r="AH56" s="21" t="n">
        <v>164.136</v>
      </c>
      <c r="AI56" s="21" t="n">
        <v>310.537</v>
      </c>
      <c r="AJ56" s="21" t="n">
        <v>147.004</v>
      </c>
      <c r="AK56" s="21" t="n">
        <v>208.138</v>
      </c>
      <c r="AL56" s="21" t="n">
        <v>231.385</v>
      </c>
      <c r="AM56" s="21" t="n">
        <v>194.467</v>
      </c>
      <c r="AN56" s="21" t="n">
        <v>126.525</v>
      </c>
      <c r="AO56" s="21" t="n">
        <v>224.009</v>
      </c>
      <c r="AP56" s="21" t="n">
        <v>224.102</v>
      </c>
      <c r="AQ56" s="21" t="n">
        <v>145.148</v>
      </c>
      <c r="AR56" s="21" t="n"/>
      <c r="AS56" s="21" t="n"/>
      <c r="AT56" s="21" t="n">
        <v>230.398</v>
      </c>
      <c r="AU56" s="21" t="n">
        <v>149.39</v>
      </c>
      <c r="AV56" s="21" t="n">
        <v>247.494</v>
      </c>
      <c r="AW56" s="21" t="n">
        <v>222.48</v>
      </c>
      <c r="AX56" s="21" t="n">
        <v>145.093</v>
      </c>
      <c r="AY56" s="21" t="n">
        <v>298.232</v>
      </c>
      <c r="AZ56" s="21" t="n">
        <v>184.897</v>
      </c>
      <c r="BA56" s="21" t="n">
        <v>149.364</v>
      </c>
      <c r="BB56" s="21" t="n">
        <v>215.587</v>
      </c>
      <c r="BC56" s="21" t="n">
        <v>309.332</v>
      </c>
      <c r="BD56" s="21" t="n">
        <v>192.124</v>
      </c>
      <c r="BE56" s="21" t="n">
        <v>217.626</v>
      </c>
      <c r="BF56" s="21" t="n">
        <v>140.072</v>
      </c>
      <c r="BG56" s="21" t="n">
        <v>200.314</v>
      </c>
      <c r="BH56" s="21" t="n">
        <v>144.551</v>
      </c>
      <c r="BI56" s="21" t="n">
        <v>227.813</v>
      </c>
      <c r="BJ56" s="21" t="n">
        <v>213.859</v>
      </c>
      <c r="BK56" s="21" t="n">
        <v>149.952</v>
      </c>
      <c r="BL56" s="21" t="n">
        <v>299.35</v>
      </c>
      <c r="BM56" s="21" t="n">
        <v>346.778</v>
      </c>
      <c r="BN56" s="21" t="n">
        <v>355.842</v>
      </c>
      <c r="BO56" s="21" t="n">
        <v>354.683</v>
      </c>
      <c r="BP56" s="21" t="n">
        <v>194.956</v>
      </c>
      <c r="BQ56" s="21" t="n">
        <v>262.994</v>
      </c>
      <c r="BR56" s="21" t="n">
        <v>537.475</v>
      </c>
      <c r="BS56" s="21" t="n">
        <v>111.029</v>
      </c>
      <c r="BT56" s="21" t="n">
        <v>335.892</v>
      </c>
      <c r="BU56" s="21" t="n">
        <v>372.192</v>
      </c>
      <c r="BV56" s="21" t="n">
        <v>326.245</v>
      </c>
      <c r="BW56" s="21" t="n">
        <v>319.464</v>
      </c>
      <c r="BX56" s="21" t="n">
        <v>337.188</v>
      </c>
      <c r="BY56" s="21" t="n">
        <v>157.113</v>
      </c>
      <c r="BZ56" s="21" t="n">
        <v>163.496</v>
      </c>
      <c r="CA56" s="21" t="n">
        <v>157.658</v>
      </c>
      <c r="CB56" s="21" t="n">
        <v>172.858</v>
      </c>
      <c r="CC56" s="21" t="n">
        <v>146.046</v>
      </c>
      <c r="CD56" s="21" t="n">
        <v>203.31</v>
      </c>
      <c r="CE56" s="21" t="n">
        <v>155.622</v>
      </c>
      <c r="CF56" s="21" t="n">
        <v>183.371</v>
      </c>
      <c r="CG56" s="21" t="n">
        <v>169.685</v>
      </c>
      <c r="CH56" s="21" t="n">
        <v>131.862</v>
      </c>
      <c r="CI56" s="21" t="n">
        <v>166.409</v>
      </c>
      <c r="CJ56" s="21" t="n">
        <v>179.657</v>
      </c>
      <c r="CK56" s="21" t="n">
        <v>119.67</v>
      </c>
      <c r="CL56" s="21" t="n">
        <v>117.091</v>
      </c>
      <c r="CM56" s="21" t="n">
        <v>193.813</v>
      </c>
      <c r="CN56" s="21" t="n">
        <v>202.175</v>
      </c>
      <c r="CO56" s="21" t="n">
        <v>190.01</v>
      </c>
      <c r="CP56" s="21" t="n">
        <v>131.062</v>
      </c>
      <c r="CQ56" s="21" t="n">
        <v>210.941</v>
      </c>
      <c r="CR56" s="21" t="n">
        <v>219.552</v>
      </c>
      <c r="CS56" s="21" t="n">
        <v>191.133</v>
      </c>
      <c r="CT56" s="21" t="n">
        <v>148.924</v>
      </c>
      <c r="CU56" s="21" t="n">
        <v>153.607</v>
      </c>
      <c r="CV56" s="21" t="n">
        <v>226.63</v>
      </c>
      <c r="CW56" s="21" t="n">
        <v>207.019</v>
      </c>
      <c r="CX56" s="21" t="n">
        <v>248.104</v>
      </c>
      <c r="CY56" s="21" t="n">
        <v>298.649</v>
      </c>
      <c r="CZ56" s="21" t="n">
        <v>127.825</v>
      </c>
      <c r="DA56" s="21" t="n">
        <v>156.552</v>
      </c>
      <c r="DB56" s="21" t="n">
        <v>155</v>
      </c>
      <c r="DC56" s="21" t="n">
        <v>225.144</v>
      </c>
      <c r="DD56" s="21" t="n">
        <v>251.256</v>
      </c>
      <c r="DE56" s="21" t="n">
        <v>167.637</v>
      </c>
      <c r="DF56" s="21" t="n">
        <v>249.846</v>
      </c>
      <c r="DG56" s="21" t="n">
        <v>242.717</v>
      </c>
      <c r="DH56" s="21" t="n">
        <v>157.283</v>
      </c>
      <c r="DI56" s="21" t="n">
        <v>139.153</v>
      </c>
      <c r="DJ56" s="21" t="n">
        <v>139.393</v>
      </c>
      <c r="DK56" s="21" t="n">
        <v>276.772</v>
      </c>
      <c r="DL56" s="21" t="n">
        <v>168.936</v>
      </c>
      <c r="DM56" s="21" t="n">
        <v>131.543</v>
      </c>
      <c r="DN56" s="21" t="n">
        <v>125.949</v>
      </c>
      <c r="DO56" s="21" t="n">
        <v>284.891</v>
      </c>
      <c r="DP56" s="21" t="n">
        <v>176.832</v>
      </c>
      <c r="DQ56" s="21" t="n">
        <v>182.264</v>
      </c>
      <c r="DR56" s="21" t="n">
        <v>180.424</v>
      </c>
      <c r="DS56" s="21" t="n"/>
      <c r="DT56" s="21" t="n">
        <v>167.061</v>
      </c>
      <c r="DU56" s="21" t="n">
        <v>196.711</v>
      </c>
      <c r="DV56" s="21" t="n">
        <v>253.129</v>
      </c>
      <c r="DW56" s="21" t="n">
        <v>205.99</v>
      </c>
      <c r="DX56" s="21" t="n">
        <v>230.22</v>
      </c>
      <c r="DY56" s="21" t="n">
        <v>196.565</v>
      </c>
      <c r="DZ56" s="21" t="n">
        <v>210.151</v>
      </c>
      <c r="EA56" s="21" t="n">
        <v>190.607</v>
      </c>
      <c r="EB56" s="21" t="n">
        <v>172.189</v>
      </c>
      <c r="EC56" s="21" t="n">
        <v>355.923</v>
      </c>
      <c r="ED56" s="21" t="n">
        <v>175.167</v>
      </c>
      <c r="EE56" s="21" t="n">
        <v>192.218</v>
      </c>
      <c r="EF56" s="21" t="n">
        <v>191.416</v>
      </c>
      <c r="EG56" s="21" t="n">
        <v>267.101</v>
      </c>
      <c r="EH56" s="21" t="n">
        <v>319.136</v>
      </c>
      <c r="EI56" s="21" t="n">
        <v>331.605</v>
      </c>
      <c r="EJ56" s="21" t="n">
        <v>178.155</v>
      </c>
      <c r="EK56" s="21" t="n">
        <v>559.1</v>
      </c>
      <c r="EL56" s="21" t="n">
        <v>368.157</v>
      </c>
      <c r="EM56" s="21" t="n">
        <v>326.023</v>
      </c>
      <c r="EN56" s="21" t="n">
        <v>326.064</v>
      </c>
      <c r="EO56" s="21" t="n">
        <v>152.186</v>
      </c>
      <c r="EP56" s="21" t="n">
        <v>245.205</v>
      </c>
      <c r="EQ56" s="21" t="n">
        <v>202.787</v>
      </c>
      <c r="ER56" s="21" t="n">
        <v>274.328</v>
      </c>
      <c r="ES56" s="21" t="n">
        <v>278.773</v>
      </c>
      <c r="ET56" s="21" t="n">
        <v>316.335</v>
      </c>
      <c r="EU56" s="21" t="n">
        <v>206.651</v>
      </c>
      <c r="EV56" s="21" t="n">
        <v>219.083</v>
      </c>
      <c r="EW56" s="21" t="n">
        <v>167.074</v>
      </c>
      <c r="EX56" s="21" t="n">
        <v>244.943</v>
      </c>
      <c r="EY56" s="21" t="n">
        <v>568.9109999999999</v>
      </c>
      <c r="EZ56" s="21" t="n">
        <v>482.138</v>
      </c>
      <c r="FA56" s="21" t="n">
        <v>124.361</v>
      </c>
      <c r="FB56" s="21" t="n">
        <v>56.465</v>
      </c>
      <c r="FC56" s="21" t="n">
        <v>116.775</v>
      </c>
      <c r="FD56" s="21" t="n">
        <v>61.605</v>
      </c>
      <c r="FE56" s="21" t="n">
        <v>42.61</v>
      </c>
      <c r="FF56" s="21" t="n">
        <v>114.901</v>
      </c>
      <c r="FG56" s="21" t="n">
        <v>130.64</v>
      </c>
      <c r="FH56" s="21" t="n">
        <v>89.306</v>
      </c>
      <c r="FI56" s="21" t="n">
        <v>69.875</v>
      </c>
      <c r="FJ56" s="21" t="n">
        <v>104.376</v>
      </c>
      <c r="FK56" s="21" t="n">
        <v>76.979</v>
      </c>
      <c r="FL56" s="21" t="n">
        <v>83.932</v>
      </c>
      <c r="FM56" s="21" t="n">
        <v>95.928</v>
      </c>
      <c r="FN56" s="21" t="n">
        <v>66.297</v>
      </c>
      <c r="FO56" s="21" t="n">
        <v>50.419</v>
      </c>
      <c r="FP56" s="21" t="n">
        <v>36.251</v>
      </c>
      <c r="FQ56" s="21" t="n">
        <v>132.499</v>
      </c>
      <c r="FR56" s="21" t="n">
        <v>50.486</v>
      </c>
      <c r="FS56" s="21" t="n">
        <v>81.096</v>
      </c>
      <c r="FT56" s="21" t="n">
        <v>90.83799999999999</v>
      </c>
      <c r="FU56" s="21" t="n">
        <v>100.125</v>
      </c>
      <c r="FV56" s="21" t="n">
        <v>86.38</v>
      </c>
      <c r="FW56" s="21" t="n">
        <v>190.412</v>
      </c>
      <c r="FX56" s="21" t="n">
        <v>120.929</v>
      </c>
      <c r="FY56" s="21" t="n">
        <v>175.352</v>
      </c>
      <c r="FZ56" s="21" t="n">
        <v>120.034</v>
      </c>
      <c r="GA56" s="21" t="n">
        <v>197.078</v>
      </c>
      <c r="GB56" s="21" t="n">
        <v>169.409</v>
      </c>
      <c r="GC56" s="21" t="n">
        <v>208.755</v>
      </c>
      <c r="GD56" s="21" t="n">
        <v>179.379</v>
      </c>
      <c r="GE56" s="21" t="n"/>
      <c r="GF56" s="21" t="n">
        <v>122.161</v>
      </c>
      <c r="GG56" s="21" t="n">
        <v>116.315</v>
      </c>
      <c r="GH56" s="21" t="n">
        <v>118.979</v>
      </c>
      <c r="GI56" s="21" t="n">
        <v>106.183</v>
      </c>
      <c r="GJ56" s="21" t="n">
        <v>152.519</v>
      </c>
      <c r="GK56" s="21" t="n">
        <v>75.20699999999999</v>
      </c>
      <c r="GL56" s="21" t="n">
        <v>118.094</v>
      </c>
      <c r="GM56" s="21" t="n">
        <v>104.89</v>
      </c>
      <c r="GN56" s="21" t="n">
        <v>104.106</v>
      </c>
      <c r="GO56" s="21" t="n">
        <v>106.272</v>
      </c>
      <c r="GP56" s="21" t="n">
        <v>103.955</v>
      </c>
      <c r="GQ56" s="21" t="n">
        <v>107.44</v>
      </c>
      <c r="GR56" s="21" t="n">
        <v>73.199</v>
      </c>
      <c r="GS56" s="21" t="n">
        <v>103.742</v>
      </c>
      <c r="GT56" s="21" t="n">
        <v>93.289</v>
      </c>
      <c r="GU56" s="21" t="n">
        <v>135.102</v>
      </c>
      <c r="GV56" s="21" t="n">
        <v>137.726</v>
      </c>
      <c r="GW56" s="21" t="n">
        <v>156.548</v>
      </c>
      <c r="GX56" s="21" t="n">
        <v>122.655</v>
      </c>
      <c r="GY56" s="21" t="n">
        <v>116.929</v>
      </c>
      <c r="GZ56" s="21" t="n">
        <v>177.463</v>
      </c>
      <c r="HA56" s="21" t="n">
        <v>141.049</v>
      </c>
      <c r="HB56" s="21" t="n">
        <v>180.707</v>
      </c>
      <c r="HC56" s="21" t="n">
        <v>213.405</v>
      </c>
      <c r="HD56" s="21" t="n">
        <v>209.185</v>
      </c>
      <c r="HE56" s="21" t="n">
        <v>100.371</v>
      </c>
      <c r="HF56" s="21" t="n">
        <v>147.035</v>
      </c>
      <c r="HG56" s="21" t="n">
        <v>101.885</v>
      </c>
      <c r="HH56" s="21" t="n">
        <v>143.109</v>
      </c>
      <c r="HI56" s="21" t="n">
        <v>156.326</v>
      </c>
      <c r="HJ56" s="21" t="n"/>
      <c r="HK56" s="21" t="n">
        <v>142.756</v>
      </c>
      <c r="HL56" s="21" t="n">
        <v>86.11199999999999</v>
      </c>
      <c r="HM56" s="21" t="n">
        <v>141.236</v>
      </c>
      <c r="HN56" s="21" t="n">
        <v>245.042</v>
      </c>
      <c r="HO56" s="21" t="n">
        <v>244</v>
      </c>
      <c r="HP56" s="21" t="n">
        <v>239.252</v>
      </c>
      <c r="HQ56" s="21" t="n">
        <v>261.848</v>
      </c>
      <c r="HR56" s="21" t="n">
        <v>256.453</v>
      </c>
      <c r="HS56" s="21" t="n">
        <v>221.544</v>
      </c>
      <c r="HT56" s="21" t="n">
        <v>145.808</v>
      </c>
      <c r="HU56" s="21" t="n">
        <v>124.688</v>
      </c>
      <c r="HV56" s="21" t="n">
        <v>174.395</v>
      </c>
      <c r="HW56" s="21" t="n">
        <v>164.02</v>
      </c>
      <c r="HX56" s="21" t="n">
        <v>403.074</v>
      </c>
      <c r="HY56" s="21" t="n">
        <v>295.377</v>
      </c>
      <c r="HZ56" s="21" t="n">
        <v>314.06</v>
      </c>
      <c r="IA56" s="21" t="n">
        <v>267.711</v>
      </c>
      <c r="IB56" s="21" t="n">
        <v>179.872</v>
      </c>
      <c r="IC56" s="21" t="n">
        <v>569.011</v>
      </c>
      <c r="ID56" s="21" t="n">
        <v>192.534</v>
      </c>
      <c r="IE56" s="21" t="n">
        <v>180.027</v>
      </c>
      <c r="IF56" s="21" t="n">
        <v>212.279</v>
      </c>
      <c r="IG56" s="21" t="n">
        <v>239.978</v>
      </c>
      <c r="IH56" s="21" t="n"/>
      <c r="II56" s="21" t="n">
        <v>261.165</v>
      </c>
      <c r="IJ56" s="21" t="n">
        <v>268.314</v>
      </c>
      <c r="IK56" s="21" t="n">
        <v>158.877</v>
      </c>
      <c r="IL56" s="21" t="n">
        <v>153.706</v>
      </c>
      <c r="IM56" s="21" t="n"/>
      <c r="IN56" s="21" t="n">
        <v>64.35899999999999</v>
      </c>
      <c r="IO56" s="21" t="n">
        <v>323.42</v>
      </c>
      <c r="IP56" s="21" t="n">
        <v>130.496</v>
      </c>
      <c r="IQ56" s="21" t="n">
        <v>497.687</v>
      </c>
      <c r="IR56" s="21" t="n">
        <v>380.278</v>
      </c>
      <c r="IS56" s="21" t="n">
        <v>124.437</v>
      </c>
      <c r="IT56" s="21" t="n">
        <v>524.829</v>
      </c>
      <c r="IU56" s="21" t="n">
        <v>97.411</v>
      </c>
      <c r="IV56" s="21" t="n">
        <v>102.009</v>
      </c>
      <c r="IW56" s="21" t="n">
        <v>535.515</v>
      </c>
      <c r="IX56" s="21" t="n">
        <v>383.037</v>
      </c>
      <c r="IY56" s="21" t="n">
        <v>383.047</v>
      </c>
      <c r="IZ56" s="21" t="n">
        <v>498.939</v>
      </c>
      <c r="JA56" s="21" t="n">
        <v>191.899</v>
      </c>
      <c r="JB56" s="21" t="n">
        <v>238.987</v>
      </c>
      <c r="JC56" s="21" t="n">
        <v>79.998</v>
      </c>
      <c r="JD56" s="21" t="n">
        <v>336.604</v>
      </c>
      <c r="JE56" s="21" t="n">
        <v>328.901</v>
      </c>
      <c r="JF56" s="21" t="n">
        <v>743.442</v>
      </c>
      <c r="JG56" s="21" t="n">
        <v>235.155</v>
      </c>
      <c r="JH56" s="21" t="n">
        <v>124.503</v>
      </c>
      <c r="JI56" s="21" t="n">
        <v>155.525</v>
      </c>
      <c r="JJ56" s="21" t="n">
        <v>120.128</v>
      </c>
      <c r="JK56" s="21" t="n">
        <v>103.922</v>
      </c>
      <c r="JL56" s="21" t="n">
        <v>153.785</v>
      </c>
      <c r="JM56" s="21" t="n">
        <v>475.86</v>
      </c>
      <c r="JN56" s="21" t="n">
        <v>120.933</v>
      </c>
      <c r="JO56" s="21" t="n">
        <v>73.32899999999999</v>
      </c>
      <c r="JP56" s="21" t="n">
        <v>37.218</v>
      </c>
      <c r="JQ56" s="21" t="n">
        <v>136.848</v>
      </c>
      <c r="JR56" s="21" t="n">
        <v>26.96</v>
      </c>
      <c r="JS56" s="21" t="n">
        <v>83.68899999999999</v>
      </c>
      <c r="JT56" s="21" t="n">
        <v>179.051</v>
      </c>
      <c r="JU56" s="21" t="n">
        <v>205.094</v>
      </c>
      <c r="JV56" s="21" t="n">
        <v>156.355</v>
      </c>
      <c r="JW56" s="21" t="n">
        <v>118.122</v>
      </c>
      <c r="JX56" s="21" t="n">
        <v>254.777</v>
      </c>
      <c r="JY56" s="21" t="n">
        <v>196.514</v>
      </c>
      <c r="JZ56" s="21" t="n">
        <v>268.492</v>
      </c>
      <c r="KA56" s="21" t="n">
        <v>110.648</v>
      </c>
      <c r="KB56" s="21" t="n">
        <v>150.546</v>
      </c>
      <c r="KC56" s="21" t="n">
        <v>77.28</v>
      </c>
      <c r="KD56" s="21" t="n">
        <v>73.694</v>
      </c>
      <c r="KE56" s="21" t="n">
        <v>53.984</v>
      </c>
      <c r="KF56" s="21" t="n"/>
      <c r="KG56" s="21" t="n">
        <v>22.541</v>
      </c>
      <c r="KH56" s="21" t="n">
        <v>120.114</v>
      </c>
      <c r="KI56" s="21" t="n"/>
      <c r="KJ56" s="21" t="n">
        <v>111.352</v>
      </c>
      <c r="KK56" s="21" t="n">
        <v>34.825</v>
      </c>
      <c r="KL56" s="21" t="n">
        <v>30.574</v>
      </c>
      <c r="KM56" s="21" t="n">
        <v>38.41</v>
      </c>
      <c r="KN56" s="21" t="n"/>
      <c r="KO56" s="21" t="n">
        <v>102.863</v>
      </c>
      <c r="KP56" s="21" t="n">
        <v>102.612</v>
      </c>
      <c r="KQ56" s="21" t="n">
        <v>171.309</v>
      </c>
      <c r="KR56" s="21" t="n">
        <v>141.982</v>
      </c>
      <c r="KS56" s="21" t="n">
        <v>388.644</v>
      </c>
      <c r="KT56" s="21" t="n">
        <v>186.611</v>
      </c>
      <c r="KU56" s="21" t="n">
        <v>223.008</v>
      </c>
      <c r="KV56" s="21" t="n">
        <v>320.314</v>
      </c>
      <c r="KW56" s="21" t="n">
        <v>255.636</v>
      </c>
      <c r="KX56" s="21" t="n">
        <v>189.072</v>
      </c>
      <c r="KY56" s="21" t="n">
        <v>94.601</v>
      </c>
      <c r="KZ56" s="21" t="n">
        <v>137.595</v>
      </c>
      <c r="LA56" s="21" t="n">
        <v>264.882</v>
      </c>
      <c r="LB56" s="21" t="n">
        <v>683.624</v>
      </c>
      <c r="LC56" s="21" t="n">
        <v>235.942</v>
      </c>
      <c r="LD56" s="21" t="n">
        <v>759.965</v>
      </c>
      <c r="LE56" s="21" t="n">
        <v>859.365</v>
      </c>
      <c r="LF56" s="21" t="n">
        <v>82.547</v>
      </c>
      <c r="LG56" s="21" t="n">
        <v>303.632</v>
      </c>
      <c r="LH56" s="21" t="n">
        <v>256.475</v>
      </c>
      <c r="LI56" s="21" t="n">
        <v>73.21899999999999</v>
      </c>
      <c r="LJ56" s="21" t="n">
        <v>195.329</v>
      </c>
      <c r="LK56" s="21" t="n">
        <v>307.042</v>
      </c>
      <c r="LL56" s="21" t="n">
        <v>318.691</v>
      </c>
      <c r="LM56" s="21" t="n">
        <v>69.218</v>
      </c>
      <c r="LN56" s="21" t="n">
        <v>89.346</v>
      </c>
      <c r="LO56" s="21" t="n">
        <v>46.431</v>
      </c>
      <c r="LP56" s="21" t="n">
        <v>120.449</v>
      </c>
      <c r="LQ56" s="21" t="n"/>
      <c r="LR56" s="21" t="n"/>
      <c r="LS56" s="21" t="n">
        <v>110.051</v>
      </c>
      <c r="LT56" s="21" t="n">
        <v>39.745</v>
      </c>
      <c r="LU56" s="21" t="n">
        <v>29.322</v>
      </c>
      <c r="LV56" s="21" t="n">
        <v>76.99299999999999</v>
      </c>
      <c r="LW56" s="21" t="n">
        <v>214.806</v>
      </c>
      <c r="LX56" s="21" t="n"/>
      <c r="LY56" s="21" t="n">
        <v>451.709</v>
      </c>
      <c r="LZ56" s="21" t="n">
        <v>70.626</v>
      </c>
      <c r="MA56" s="21" t="n">
        <v>458.871</v>
      </c>
      <c r="MB56" s="21" t="n">
        <v>281.52</v>
      </c>
      <c r="MC56" s="21" t="n">
        <v>234.077</v>
      </c>
      <c r="MD56" s="21" t="n">
        <v>161.071</v>
      </c>
      <c r="ME56" s="21" t="n">
        <v>103.308</v>
      </c>
      <c r="MF56" s="21" t="n">
        <v>183.13</v>
      </c>
      <c r="MG56" s="21" t="n">
        <v>271.295</v>
      </c>
      <c r="MH56" s="21" t="n">
        <v>165.534</v>
      </c>
      <c r="MI56" s="21" t="n">
        <v>449.868</v>
      </c>
      <c r="MJ56" s="21" t="n">
        <v>365.428</v>
      </c>
      <c r="MK56" s="21" t="n">
        <v>338.257</v>
      </c>
      <c r="ML56" s="21" t="n">
        <v>176.177</v>
      </c>
      <c r="MM56" s="21" t="n">
        <v>198.693</v>
      </c>
      <c r="MN56" s="21" t="n">
        <v>365.323</v>
      </c>
      <c r="MO56" s="21" t="n">
        <v>172.297</v>
      </c>
      <c r="MP56" s="21" t="n">
        <v>254.47</v>
      </c>
      <c r="MQ56" s="21" t="n">
        <v>73.206</v>
      </c>
      <c r="MR56" s="21" t="n">
        <v>148.186</v>
      </c>
      <c r="MS56" s="21" t="n">
        <v>71.38500000000001</v>
      </c>
      <c r="MT56" s="21" t="n">
        <v>245</v>
      </c>
      <c r="MU56" s="21" t="n">
        <v>262.059</v>
      </c>
      <c r="MV56" s="21" t="n">
        <v>256.286</v>
      </c>
      <c r="MW56" s="21" t="n">
        <v>263.566</v>
      </c>
      <c r="MX56" s="21" t="n">
        <v>235.071</v>
      </c>
      <c r="MY56" s="21" t="n">
        <v>228.952</v>
      </c>
      <c r="MZ56" s="21" t="n">
        <v>232.735</v>
      </c>
      <c r="NA56" s="21" t="n">
        <v>238.181</v>
      </c>
      <c r="NB56" s="21" t="n">
        <v>114.704</v>
      </c>
      <c r="NC56" s="21" t="n">
        <v>186.319</v>
      </c>
      <c r="ND56" s="21" t="n">
        <v>154.27</v>
      </c>
      <c r="NE56" s="21" t="n">
        <v>150.874</v>
      </c>
      <c r="NF56" s="21" t="n">
        <v>144.448</v>
      </c>
      <c r="NG56" s="21" t="n">
        <v>145.166</v>
      </c>
      <c r="NH56" s="21" t="n">
        <v>249.258</v>
      </c>
      <c r="NI56" s="21" t="n">
        <v>105.369</v>
      </c>
      <c r="NJ56" s="21" t="n">
        <v>72.164</v>
      </c>
      <c r="NK56" s="21" t="n">
        <v>110.721</v>
      </c>
      <c r="NL56" s="21" t="n">
        <v>222.492</v>
      </c>
      <c r="NM56" s="21" t="n">
        <v>248.629</v>
      </c>
      <c r="NN56" s="21" t="n">
        <v>90.958</v>
      </c>
      <c r="NO56" s="21" t="n">
        <v>52.041</v>
      </c>
      <c r="NP56" s="21" t="n">
        <v>227.936</v>
      </c>
      <c r="NQ56" s="21" t="n">
        <v>202.021</v>
      </c>
      <c r="NR56" s="21" t="n">
        <v>249.89</v>
      </c>
      <c r="NS56" s="21" t="n">
        <v>198.829</v>
      </c>
      <c r="NT56" s="21" t="n">
        <v>250.877</v>
      </c>
      <c r="NU56" s="21" t="n">
        <v>114.358</v>
      </c>
      <c r="NV56" s="21" t="n">
        <v>125.097</v>
      </c>
      <c r="NW56" s="21" t="n">
        <v>358.051</v>
      </c>
      <c r="NX56" s="21" t="n">
        <v>79.60599999999999</v>
      </c>
      <c r="NY56" s="21" t="n">
        <v>123.851</v>
      </c>
      <c r="NZ56" s="21" t="n">
        <v>332.736</v>
      </c>
      <c r="OA56" s="21" t="n">
        <v>325.866</v>
      </c>
      <c r="OB56" s="21" t="n">
        <v>337.867</v>
      </c>
      <c r="OC56" s="21" t="n">
        <v>309.955</v>
      </c>
      <c r="OD56" s="21" t="n">
        <v>343.177</v>
      </c>
      <c r="OE56" s="21" t="n">
        <v>105.723</v>
      </c>
      <c r="OF56" s="21" t="n">
        <v>325.105</v>
      </c>
      <c r="OG56" s="21" t="n">
        <v>219.139</v>
      </c>
      <c r="OH56" s="21" t="n">
        <v>39.326</v>
      </c>
      <c r="OI56" s="21" t="n">
        <v>126.662</v>
      </c>
      <c r="OJ56" s="21" t="n">
        <v>39</v>
      </c>
      <c r="OK56" s="21" t="n">
        <v>13</v>
      </c>
    </row>
    <row r="57">
      <c r="A57" s="22" t="n">
        <v>43678</v>
      </c>
      <c r="B57" s="21" t="n">
        <v>256.558</v>
      </c>
      <c r="C57" s="21" t="n">
        <v>768.533</v>
      </c>
      <c r="D57" s="21" t="n">
        <v>258.154</v>
      </c>
      <c r="E57" s="21" t="n">
        <v>258.41</v>
      </c>
      <c r="F57" s="21" t="n">
        <v>241.153</v>
      </c>
      <c r="G57" s="21" t="n">
        <v>276.619</v>
      </c>
      <c r="H57" s="21" t="n">
        <v>228.385</v>
      </c>
      <c r="I57" s="21" t="n">
        <v>239.327</v>
      </c>
      <c r="J57" s="21" t="n">
        <v>220.688</v>
      </c>
      <c r="K57" s="21" t="n">
        <v>240.329</v>
      </c>
      <c r="L57" s="21" t="n">
        <v>162.429</v>
      </c>
      <c r="M57" s="21" t="n">
        <v>304.417</v>
      </c>
      <c r="N57" s="21" t="n">
        <v>182.235</v>
      </c>
      <c r="O57" s="21" t="n">
        <v>329.145</v>
      </c>
      <c r="P57" s="21" t="n">
        <v>355.828</v>
      </c>
      <c r="Q57" s="21" t="n">
        <v>178.077</v>
      </c>
      <c r="R57" s="21" t="n">
        <v>292.71</v>
      </c>
      <c r="S57" s="21" t="n">
        <v>319.745</v>
      </c>
      <c r="T57" s="21" t="n">
        <v>273.53</v>
      </c>
      <c r="U57" s="21" t="n">
        <v>271.636</v>
      </c>
      <c r="V57" s="21" t="n">
        <v>310.597</v>
      </c>
      <c r="W57" s="21" t="n">
        <v>313.283</v>
      </c>
      <c r="X57" s="21" t="n">
        <v>268.713</v>
      </c>
      <c r="Y57" s="21" t="n">
        <v>249.277</v>
      </c>
      <c r="Z57" s="21" t="n">
        <v>253.813</v>
      </c>
      <c r="AA57" s="21" t="n">
        <v>256.51</v>
      </c>
      <c r="AB57" s="21" t="n">
        <v>308.12</v>
      </c>
      <c r="AC57" s="21" t="n">
        <v>270.224</v>
      </c>
      <c r="AD57" s="21" t="n">
        <v>237.463</v>
      </c>
      <c r="AE57" s="21" t="n">
        <v>207.398</v>
      </c>
      <c r="AF57" s="21" t="n">
        <v>246.027</v>
      </c>
      <c r="AG57" s="21" t="n">
        <v>214.593</v>
      </c>
      <c r="AH57" s="21" t="n">
        <v>160.821</v>
      </c>
      <c r="AI57" s="21" t="n">
        <v>301.375</v>
      </c>
      <c r="AJ57" s="21" t="n">
        <v>145.69</v>
      </c>
      <c r="AK57" s="21" t="n">
        <v>212.864</v>
      </c>
      <c r="AL57" s="21" t="n">
        <v>237.348</v>
      </c>
      <c r="AM57" s="21" t="n">
        <v>193.16</v>
      </c>
      <c r="AN57" s="21" t="n">
        <v>124.773</v>
      </c>
      <c r="AO57" s="21" t="n">
        <v>225.478</v>
      </c>
      <c r="AP57" s="21" t="n">
        <v>233.618</v>
      </c>
      <c r="AQ57" s="21" t="n">
        <v>145.097</v>
      </c>
      <c r="AR57" s="21" t="n"/>
      <c r="AS57" s="21" t="n"/>
      <c r="AT57" s="21" t="n">
        <v>230.637</v>
      </c>
      <c r="AU57" s="21" t="n">
        <v>149.255</v>
      </c>
      <c r="AV57" s="21" t="n">
        <v>247.636</v>
      </c>
      <c r="AW57" s="21" t="n">
        <v>221.725</v>
      </c>
      <c r="AX57" s="21" t="n">
        <v>146.537</v>
      </c>
      <c r="AY57" s="21" t="n">
        <v>298.622</v>
      </c>
      <c r="AZ57" s="21" t="n">
        <v>185.321</v>
      </c>
      <c r="BA57" s="21" t="n">
        <v>149.404</v>
      </c>
      <c r="BB57" s="21" t="n">
        <v>213.801</v>
      </c>
      <c r="BC57" s="21" t="n">
        <v>310.576</v>
      </c>
      <c r="BD57" s="21" t="n">
        <v>187.986</v>
      </c>
      <c r="BE57" s="21" t="n">
        <v>218.758</v>
      </c>
      <c r="BF57" s="21" t="n">
        <v>141.062</v>
      </c>
      <c r="BG57" s="21" t="n">
        <v>200.148</v>
      </c>
      <c r="BH57" s="21" t="n">
        <v>146.305</v>
      </c>
      <c r="BI57" s="21" t="n">
        <v>229.276</v>
      </c>
      <c r="BJ57" s="21" t="n">
        <v>216.612</v>
      </c>
      <c r="BK57" s="21" t="n">
        <v>149.596</v>
      </c>
      <c r="BL57" s="21" t="n">
        <v>298.6</v>
      </c>
      <c r="BM57" s="21" t="n">
        <v>345.918</v>
      </c>
      <c r="BN57" s="21" t="n">
        <v>353.387</v>
      </c>
      <c r="BO57" s="21" t="n">
        <v>359.976</v>
      </c>
      <c r="BP57" s="21" t="n">
        <v>195.099</v>
      </c>
      <c r="BQ57" s="21" t="n">
        <v>262.815</v>
      </c>
      <c r="BR57" s="21" t="n">
        <v>536.2569999999999</v>
      </c>
      <c r="BS57" s="21" t="n">
        <v>108.536</v>
      </c>
      <c r="BT57" s="21" t="n">
        <v>336.692</v>
      </c>
      <c r="BU57" s="21" t="n">
        <v>378.883</v>
      </c>
      <c r="BV57" s="21" t="n">
        <v>317.359</v>
      </c>
      <c r="BW57" s="21" t="n">
        <v>323.458</v>
      </c>
      <c r="BX57" s="21" t="n">
        <v>337.844</v>
      </c>
      <c r="BY57" s="21" t="n">
        <v>156.704</v>
      </c>
      <c r="BZ57" s="21" t="n">
        <v>164.8</v>
      </c>
      <c r="CA57" s="21" t="n">
        <v>158.727</v>
      </c>
      <c r="CB57" s="21" t="n">
        <v>174.81</v>
      </c>
      <c r="CC57" s="21" t="n">
        <v>143.953</v>
      </c>
      <c r="CD57" s="21" t="n">
        <v>200.21</v>
      </c>
      <c r="CE57" s="21" t="n">
        <v>152.814</v>
      </c>
      <c r="CF57" s="21" t="n">
        <v>180.61</v>
      </c>
      <c r="CG57" s="21" t="n">
        <v>170.067</v>
      </c>
      <c r="CH57" s="21" t="n">
        <v>132.235</v>
      </c>
      <c r="CI57" s="21" t="n">
        <v>168.619</v>
      </c>
      <c r="CJ57" s="21" t="n">
        <v>180.059</v>
      </c>
      <c r="CK57" s="21" t="n">
        <v>119.094</v>
      </c>
      <c r="CL57" s="21" t="n">
        <v>117.19</v>
      </c>
      <c r="CM57" s="21" t="n">
        <v>195.274</v>
      </c>
      <c r="CN57" s="21" t="n">
        <v>203.127</v>
      </c>
      <c r="CO57" s="21" t="n">
        <v>192.993</v>
      </c>
      <c r="CP57" s="21" t="n">
        <v>129.631</v>
      </c>
      <c r="CQ57" s="21" t="n">
        <v>210.841</v>
      </c>
      <c r="CR57" s="21" t="n">
        <v>219.893</v>
      </c>
      <c r="CS57" s="21" t="n">
        <v>190.558</v>
      </c>
      <c r="CT57" s="21" t="n">
        <v>149.477</v>
      </c>
      <c r="CU57" s="21" t="n">
        <v>153.253</v>
      </c>
      <c r="CV57" s="21" t="n">
        <v>225.314</v>
      </c>
      <c r="CW57" s="21" t="n">
        <v>206.861</v>
      </c>
      <c r="CX57" s="21" t="n">
        <v>248.507</v>
      </c>
      <c r="CY57" s="21" t="n">
        <v>294.858</v>
      </c>
      <c r="CZ57" s="21" t="n">
        <v>126.911</v>
      </c>
      <c r="DA57" s="21" t="n">
        <v>155.272</v>
      </c>
      <c r="DB57" s="21" t="n">
        <v>150.341</v>
      </c>
      <c r="DC57" s="21" t="n">
        <v>225.131</v>
      </c>
      <c r="DD57" s="21" t="n">
        <v>247.704</v>
      </c>
      <c r="DE57" s="21" t="n">
        <v>165.816</v>
      </c>
      <c r="DF57" s="21" t="n">
        <v>251.208</v>
      </c>
      <c r="DG57" s="21" t="n">
        <v>244.21</v>
      </c>
      <c r="DH57" s="21" t="n">
        <v>154.906</v>
      </c>
      <c r="DI57" s="21" t="n">
        <v>142.8</v>
      </c>
      <c r="DJ57" s="21" t="n">
        <v>140.577</v>
      </c>
      <c r="DK57" s="21" t="n">
        <v>279.078</v>
      </c>
      <c r="DL57" s="21" t="n">
        <v>169.998</v>
      </c>
      <c r="DM57" s="21" t="n">
        <v>131.545</v>
      </c>
      <c r="DN57" s="21" t="n">
        <v>125.396</v>
      </c>
      <c r="DO57" s="21" t="n">
        <v>285.507</v>
      </c>
      <c r="DP57" s="21" t="n">
        <v>177.263</v>
      </c>
      <c r="DQ57" s="21" t="n">
        <v>182.556</v>
      </c>
      <c r="DR57" s="21" t="n">
        <v>181.21</v>
      </c>
      <c r="DS57" s="21" t="n">
        <v>150.105</v>
      </c>
      <c r="DT57" s="21" t="n">
        <v>168.517</v>
      </c>
      <c r="DU57" s="21" t="n">
        <v>196.744</v>
      </c>
      <c r="DV57" s="21" t="n">
        <v>253.314</v>
      </c>
      <c r="DW57" s="21" t="n">
        <v>206.297</v>
      </c>
      <c r="DX57" s="21" t="n">
        <v>229.826</v>
      </c>
      <c r="DY57" s="21" t="n">
        <v>196.647</v>
      </c>
      <c r="DZ57" s="21" t="n">
        <v>210.739</v>
      </c>
      <c r="EA57" s="21" t="n">
        <v>190.74</v>
      </c>
      <c r="EB57" s="21" t="n">
        <v>173.089</v>
      </c>
      <c r="EC57" s="21" t="n">
        <v>355.739</v>
      </c>
      <c r="ED57" s="21" t="n">
        <v>174.123</v>
      </c>
      <c r="EE57" s="21" t="n">
        <v>192.211</v>
      </c>
      <c r="EF57" s="21" t="n">
        <v>192.133</v>
      </c>
      <c r="EG57" s="21" t="n">
        <v>267.263</v>
      </c>
      <c r="EH57" s="21" t="n">
        <v>319.679</v>
      </c>
      <c r="EI57" s="21" t="n">
        <v>332.638</v>
      </c>
      <c r="EJ57" s="21" t="n">
        <v>171.827</v>
      </c>
      <c r="EK57" s="21" t="n">
        <v>563.8440000000001</v>
      </c>
      <c r="EL57" s="21" t="n">
        <v>353.131</v>
      </c>
      <c r="EM57" s="21" t="n">
        <v>326.977</v>
      </c>
      <c r="EN57" s="21" t="n">
        <v>327.015</v>
      </c>
      <c r="EO57" s="21" t="n">
        <v>151.777</v>
      </c>
      <c r="EP57" s="21" t="n">
        <v>244.54</v>
      </c>
      <c r="EQ57" s="21" t="n">
        <v>201.914</v>
      </c>
      <c r="ER57" s="21" t="n">
        <v>269.636</v>
      </c>
      <c r="ES57" s="21" t="n">
        <v>271.766</v>
      </c>
      <c r="ET57" s="21" t="n">
        <v>314.97</v>
      </c>
      <c r="EU57" s="21" t="n">
        <v>205.9</v>
      </c>
      <c r="EV57" s="21" t="n">
        <v>217.811</v>
      </c>
      <c r="EW57" s="21" t="n">
        <v>167.803</v>
      </c>
      <c r="EX57" s="21" t="n">
        <v>245.549</v>
      </c>
      <c r="EY57" s="21" t="n">
        <v>570.069</v>
      </c>
      <c r="EZ57" s="21" t="n">
        <v>483.987</v>
      </c>
      <c r="FA57" s="21" t="n">
        <v>123.818</v>
      </c>
      <c r="FB57" s="21" t="n">
        <v>56.929</v>
      </c>
      <c r="FC57" s="21" t="n">
        <v>115.552</v>
      </c>
      <c r="FD57" s="21" t="n">
        <v>62.813</v>
      </c>
      <c r="FE57" s="21" t="n">
        <v>43.121</v>
      </c>
      <c r="FF57" s="21" t="n">
        <v>112.971</v>
      </c>
      <c r="FG57" s="21" t="n">
        <v>129.329</v>
      </c>
      <c r="FH57" s="21" t="n">
        <v>87.94</v>
      </c>
      <c r="FI57" s="21" t="n">
        <v>67.086</v>
      </c>
      <c r="FJ57" s="21" t="n">
        <v>105.306</v>
      </c>
      <c r="FK57" s="21" t="n">
        <v>76.687</v>
      </c>
      <c r="FL57" s="21" t="n">
        <v>83.502</v>
      </c>
      <c r="FM57" s="21" t="n">
        <v>91.07299999999999</v>
      </c>
      <c r="FN57" s="21" t="n">
        <v>66.098</v>
      </c>
      <c r="FO57" s="21" t="n">
        <v>50.308</v>
      </c>
      <c r="FP57" s="21" t="n">
        <v>36.608</v>
      </c>
      <c r="FQ57" s="21" t="n">
        <v>130.853</v>
      </c>
      <c r="FR57" s="21" t="n">
        <v>50.339</v>
      </c>
      <c r="FS57" s="21" t="n">
        <v>78.607</v>
      </c>
      <c r="FT57" s="21" t="n">
        <v>91.19499999999999</v>
      </c>
      <c r="FU57" s="21" t="n">
        <v>99.996</v>
      </c>
      <c r="FV57" s="21" t="n">
        <v>87.02200000000001</v>
      </c>
      <c r="FW57" s="21" t="n">
        <v>189.178</v>
      </c>
      <c r="FX57" s="21" t="n">
        <v>120.55</v>
      </c>
      <c r="FY57" s="21" t="n">
        <v>174.273</v>
      </c>
      <c r="FZ57" s="21" t="n">
        <v>118.756</v>
      </c>
      <c r="GA57" s="21" t="n">
        <v>196.889</v>
      </c>
      <c r="GB57" s="21" t="n">
        <v>168.786</v>
      </c>
      <c r="GC57" s="21" t="n"/>
      <c r="GD57" s="21" t="n">
        <v>180.615</v>
      </c>
      <c r="GE57" s="21" t="n">
        <v>274.062</v>
      </c>
      <c r="GF57" s="21" t="n">
        <v>123.641</v>
      </c>
      <c r="GG57" s="21" t="n">
        <v>117.794</v>
      </c>
      <c r="GH57" s="21" t="n">
        <v>120.15</v>
      </c>
      <c r="GI57" s="21" t="n">
        <v>110.312</v>
      </c>
      <c r="GJ57" s="21" t="n">
        <v>157.029</v>
      </c>
      <c r="GK57" s="21" t="n">
        <v>75.59999999999999</v>
      </c>
      <c r="GL57" s="21" t="n">
        <v>115.176</v>
      </c>
      <c r="GM57" s="21" t="n">
        <v>107.293</v>
      </c>
      <c r="GN57" s="21" t="n">
        <v>105.731</v>
      </c>
      <c r="GO57" s="21" t="n">
        <v>108.56</v>
      </c>
      <c r="GP57" s="21" t="n">
        <v>104.273</v>
      </c>
      <c r="GQ57" s="21" t="n">
        <v>109.859</v>
      </c>
      <c r="GR57" s="21" t="n">
        <v>75.836</v>
      </c>
      <c r="GS57" s="21" t="n">
        <v>103.661</v>
      </c>
      <c r="GT57" s="21" t="n">
        <v>91.57599999999999</v>
      </c>
      <c r="GU57" s="21" t="n">
        <v>137.518</v>
      </c>
      <c r="GV57" s="21" t="n">
        <v>140.848</v>
      </c>
      <c r="GW57" s="21" t="n">
        <v>159.078</v>
      </c>
      <c r="GX57" s="21" t="n">
        <v>124.535</v>
      </c>
      <c r="GY57" s="21" t="n">
        <v>118.385</v>
      </c>
      <c r="GZ57" s="21" t="n">
        <v>173.751</v>
      </c>
      <c r="HA57" s="21" t="n">
        <v>140.258</v>
      </c>
      <c r="HB57" s="21" t="n">
        <v>175.162</v>
      </c>
      <c r="HC57" s="21" t="n">
        <v>211.084</v>
      </c>
      <c r="HD57" s="21" t="n">
        <v>206.979</v>
      </c>
      <c r="HE57" s="21" t="n">
        <v>100.407</v>
      </c>
      <c r="HF57" s="21" t="n">
        <v>146.456</v>
      </c>
      <c r="HG57" s="21" t="n">
        <v>101.482</v>
      </c>
      <c r="HH57" s="21" t="n">
        <v>142.652</v>
      </c>
      <c r="HI57" s="21" t="n">
        <v>155.674</v>
      </c>
      <c r="HJ57" s="21" t="n"/>
      <c r="HK57" s="21" t="n">
        <v>144.026</v>
      </c>
      <c r="HL57" s="21" t="n">
        <v>86.095</v>
      </c>
      <c r="HM57" s="21" t="n">
        <v>136.209</v>
      </c>
      <c r="HN57" s="21" t="n">
        <v>234.746</v>
      </c>
      <c r="HO57" s="21" t="n">
        <v>233.625</v>
      </c>
      <c r="HP57" s="21" t="n">
        <v>228.686</v>
      </c>
      <c r="HQ57" s="21" t="n">
        <v>252.274</v>
      </c>
      <c r="HR57" s="21" t="n">
        <v>248.39</v>
      </c>
      <c r="HS57" s="21" t="n">
        <v>217.549</v>
      </c>
      <c r="HT57" s="21" t="n">
        <v>146.368</v>
      </c>
      <c r="HU57" s="21" t="n">
        <v>124.876</v>
      </c>
      <c r="HV57" s="21" t="n">
        <v>175.655</v>
      </c>
      <c r="HW57" s="21" t="n">
        <v>165.419</v>
      </c>
      <c r="HX57" s="21" t="n">
        <v>399.012</v>
      </c>
      <c r="HY57" s="21" t="n">
        <v>297.884</v>
      </c>
      <c r="HZ57" s="21" t="n">
        <v>315.707</v>
      </c>
      <c r="IA57" s="21" t="n">
        <v>270.935</v>
      </c>
      <c r="IB57" s="21" t="n">
        <v>180.406</v>
      </c>
      <c r="IC57" s="21" t="n">
        <v>568.972</v>
      </c>
      <c r="ID57" s="21" t="n">
        <v>192.528</v>
      </c>
      <c r="IE57" s="21" t="n">
        <v>180.598</v>
      </c>
      <c r="IF57" s="21" t="n">
        <v>211.506</v>
      </c>
      <c r="IG57" s="21" t="n">
        <v>238.821</v>
      </c>
      <c r="IH57" s="21" t="n"/>
      <c r="II57" s="21" t="n">
        <v>257.167</v>
      </c>
      <c r="IJ57" s="21" t="n">
        <v>259.849</v>
      </c>
      <c r="IK57" s="21" t="n">
        <v>161.224</v>
      </c>
      <c r="IL57" s="21" t="n">
        <v>157.198</v>
      </c>
      <c r="IM57" s="21" t="n"/>
      <c r="IN57" s="21" t="n">
        <v>65.121</v>
      </c>
      <c r="IO57" s="21" t="n">
        <v>326.006</v>
      </c>
      <c r="IP57" s="21" t="n">
        <v>130.642</v>
      </c>
      <c r="IQ57" s="21" t="n">
        <v>500.916</v>
      </c>
      <c r="IR57" s="21" t="n">
        <v>382.519</v>
      </c>
      <c r="IS57" s="21" t="n">
        <v>125.196</v>
      </c>
      <c r="IT57" s="21" t="n">
        <v>526.629</v>
      </c>
      <c r="IU57" s="21" t="n">
        <v>99</v>
      </c>
      <c r="IV57" s="21" t="n">
        <v>102.003</v>
      </c>
      <c r="IW57" s="21" t="n">
        <v>539.066</v>
      </c>
      <c r="IX57" s="21" t="n">
        <v>383.162</v>
      </c>
      <c r="IY57" s="21" t="n">
        <v>382.858</v>
      </c>
      <c r="IZ57" s="21" t="n">
        <v>499.126</v>
      </c>
      <c r="JA57" s="21" t="n">
        <v>192.015</v>
      </c>
      <c r="JB57" s="21" t="n">
        <v>239.806</v>
      </c>
      <c r="JC57" s="21" t="n">
        <v>80.684</v>
      </c>
      <c r="JD57" s="21" t="n">
        <v>339.781</v>
      </c>
      <c r="JE57" s="21" t="n">
        <v>330.923</v>
      </c>
      <c r="JF57" s="21" t="n">
        <v>751.694</v>
      </c>
      <c r="JG57" s="21" t="n">
        <v>235.592</v>
      </c>
      <c r="JH57" s="21" t="n">
        <v>124.605</v>
      </c>
      <c r="JI57" s="21" t="n">
        <v>158.555</v>
      </c>
      <c r="JJ57" s="21" t="n">
        <v>120.458</v>
      </c>
      <c r="JK57" s="21" t="n">
        <v>104.38</v>
      </c>
      <c r="JL57" s="21" t="n">
        <v>151.648</v>
      </c>
      <c r="JM57" s="21" t="n">
        <v>478.811</v>
      </c>
      <c r="JN57" s="21" t="n">
        <v>118.931</v>
      </c>
      <c r="JO57" s="21" t="n">
        <v>73.75</v>
      </c>
      <c r="JP57" s="21" t="n">
        <v>37.502</v>
      </c>
      <c r="JQ57" s="21" t="n">
        <v>136.848</v>
      </c>
      <c r="JR57" s="21" t="n">
        <v>27.26</v>
      </c>
      <c r="JS57" s="21" t="n">
        <v>82.33199999999999</v>
      </c>
      <c r="JT57" s="21" t="n">
        <v>178.751</v>
      </c>
      <c r="JU57" s="21" t="n">
        <v>204.353</v>
      </c>
      <c r="JV57" s="21" t="n">
        <v>156.185</v>
      </c>
      <c r="JW57" s="21" t="n">
        <v>117.206</v>
      </c>
      <c r="JX57" s="21" t="n">
        <v>255.066</v>
      </c>
      <c r="JY57" s="21" t="n">
        <v>195.638</v>
      </c>
      <c r="JZ57" s="21" t="n">
        <v>269.209</v>
      </c>
      <c r="KA57" s="21" t="n">
        <v>110.966</v>
      </c>
      <c r="KB57" s="21" t="n">
        <v>151.113</v>
      </c>
      <c r="KC57" s="21" t="n">
        <v>77.40300000000001</v>
      </c>
      <c r="KD57" s="21" t="n">
        <v>73.621</v>
      </c>
      <c r="KE57" s="21" t="n">
        <v>55.038</v>
      </c>
      <c r="KF57" s="21" t="n"/>
      <c r="KG57" s="21" t="n">
        <v>22.756</v>
      </c>
      <c r="KH57" s="21" t="n">
        <v>117.877</v>
      </c>
      <c r="KI57" s="21" t="n"/>
      <c r="KJ57" s="21" t="n">
        <v>112.18</v>
      </c>
      <c r="KK57" s="21" t="n">
        <v>34.915</v>
      </c>
      <c r="KL57" s="21" t="n">
        <v>30.733</v>
      </c>
      <c r="KM57" s="21" t="n">
        <v>38.721</v>
      </c>
      <c r="KN57" s="21" t="n"/>
      <c r="KO57" s="21" t="n">
        <v>101.484</v>
      </c>
      <c r="KP57" s="21" t="n">
        <v>102.203</v>
      </c>
      <c r="KQ57" s="21" t="n">
        <v>171.87</v>
      </c>
      <c r="KR57" s="21" t="n">
        <v>142.489</v>
      </c>
      <c r="KS57" s="21" t="n">
        <v>390.294</v>
      </c>
      <c r="KT57" s="21" t="n">
        <v>187.345</v>
      </c>
      <c r="KU57" s="21" t="n">
        <v>225.016</v>
      </c>
      <c r="KV57" s="21" t="n">
        <v>320.148</v>
      </c>
      <c r="KW57" s="21" t="n">
        <v>258.316</v>
      </c>
      <c r="KX57" s="21" t="n">
        <v>191.72</v>
      </c>
      <c r="KY57" s="21" t="n">
        <v>95.032</v>
      </c>
      <c r="KZ57" s="21" t="n">
        <v>138.154</v>
      </c>
      <c r="LA57" s="21" t="n">
        <v>266.979</v>
      </c>
      <c r="LB57" s="21" t="n">
        <v>694.264</v>
      </c>
      <c r="LC57" s="21" t="n">
        <v>240.785</v>
      </c>
      <c r="LD57" s="21" t="n">
        <v>765.726</v>
      </c>
      <c r="LE57" s="21" t="n">
        <v>868.3200000000001</v>
      </c>
      <c r="LF57" s="21" t="n">
        <v>83.29600000000001</v>
      </c>
      <c r="LG57" s="21" t="n">
        <v>304.401</v>
      </c>
      <c r="LH57" s="21" t="n">
        <v>251.953</v>
      </c>
      <c r="LI57" s="21" t="n">
        <v>73.27200000000001</v>
      </c>
      <c r="LJ57" s="21" t="n">
        <v>195.293</v>
      </c>
      <c r="LK57" s="21" t="n">
        <v>307.042</v>
      </c>
      <c r="LL57" s="21" t="n">
        <v>318.221</v>
      </c>
      <c r="LM57" s="21" t="n">
        <v>69.271</v>
      </c>
      <c r="LN57" s="21" t="n">
        <v>89.3</v>
      </c>
      <c r="LO57" s="21" t="n">
        <v>46.368</v>
      </c>
      <c r="LP57" s="21" t="n">
        <v>120.669</v>
      </c>
      <c r="LQ57" s="21" t="n"/>
      <c r="LR57" s="21" t="n"/>
      <c r="LS57" s="21" t="n">
        <v>110.398</v>
      </c>
      <c r="LT57" s="21" t="n">
        <v>40.056</v>
      </c>
      <c r="LU57" s="21" t="n">
        <v>28.997</v>
      </c>
      <c r="LV57" s="21" t="n">
        <v>77.16800000000001</v>
      </c>
      <c r="LW57" s="21" t="n">
        <v>214.142</v>
      </c>
      <c r="LX57" s="21" t="n"/>
      <c r="LY57" s="21" t="n">
        <v>453.074</v>
      </c>
      <c r="LZ57" s="21" t="n">
        <v>70.88</v>
      </c>
      <c r="MA57" s="21" t="n">
        <v>460.27</v>
      </c>
      <c r="MB57" s="21" t="n">
        <v>284.137</v>
      </c>
      <c r="MC57" s="21" t="n">
        <v>234.749</v>
      </c>
      <c r="MD57" s="21" t="n">
        <v>161.094</v>
      </c>
      <c r="ME57" s="21" t="n">
        <v>102.898</v>
      </c>
      <c r="MF57" s="21" t="n">
        <v>184.129</v>
      </c>
      <c r="MG57" s="21" t="n">
        <v>272.385</v>
      </c>
      <c r="MH57" s="21" t="n">
        <v>166.2</v>
      </c>
      <c r="MI57" s="21" t="n">
        <v>449.945</v>
      </c>
      <c r="MJ57" s="21" t="n">
        <v>365.428</v>
      </c>
      <c r="MK57" s="21" t="n">
        <v>338.612</v>
      </c>
      <c r="ML57" s="21" t="n">
        <v>176.628</v>
      </c>
      <c r="MM57" s="21" t="n">
        <v>198.585</v>
      </c>
      <c r="MN57" s="21" t="n">
        <v>364.348</v>
      </c>
      <c r="MO57" s="21" t="n">
        <v>172.297</v>
      </c>
      <c r="MP57" s="21" t="n">
        <v>254.009</v>
      </c>
      <c r="MQ57" s="21" t="n">
        <v>74.804</v>
      </c>
      <c r="MR57" s="21" t="n">
        <v>149.468</v>
      </c>
      <c r="MS57" s="21" t="n">
        <v>71.74299999999999</v>
      </c>
      <c r="MT57" s="21" t="n">
        <v>244.836</v>
      </c>
      <c r="MU57" s="21" t="n">
        <v>262.592</v>
      </c>
      <c r="MV57" s="21" t="n">
        <v>256.25</v>
      </c>
      <c r="MW57" s="21" t="n">
        <v>264.169</v>
      </c>
      <c r="MX57" s="21" t="n">
        <v>234.853</v>
      </c>
      <c r="MY57" s="21" t="n">
        <v>228.658</v>
      </c>
      <c r="MZ57" s="21" t="n">
        <v>233.367</v>
      </c>
      <c r="NA57" s="21" t="n">
        <v>238.745</v>
      </c>
      <c r="NB57" s="21" t="n">
        <v>115.904</v>
      </c>
      <c r="NC57" s="21" t="n">
        <v>185.686</v>
      </c>
      <c r="ND57" s="21" t="n">
        <v>153.408</v>
      </c>
      <c r="NE57" s="21" t="n">
        <v>149.991</v>
      </c>
      <c r="NF57" s="21" t="n">
        <v>144.806</v>
      </c>
      <c r="NG57" s="21" t="n">
        <v>145.392</v>
      </c>
      <c r="NH57" s="21" t="n">
        <v>248.907</v>
      </c>
      <c r="NI57" s="21" t="n">
        <v>105.331</v>
      </c>
      <c r="NJ57" s="21" t="n">
        <v>72.70699999999999</v>
      </c>
      <c r="NK57" s="21" t="n">
        <v>111.138</v>
      </c>
      <c r="NL57" s="21" t="n">
        <v>216.978</v>
      </c>
      <c r="NM57" s="21" t="n">
        <v>238.431</v>
      </c>
      <c r="NN57" s="21" t="n">
        <v>90.476</v>
      </c>
      <c r="NO57" s="21" t="n">
        <v>52.296</v>
      </c>
      <c r="NP57" s="21" t="n">
        <v>226.909</v>
      </c>
      <c r="NQ57" s="21" t="n">
        <v>200.141</v>
      </c>
      <c r="NR57" s="21" t="n">
        <v>246.124</v>
      </c>
      <c r="NS57" s="21" t="n">
        <v>196.83</v>
      </c>
      <c r="NT57" s="21" t="n">
        <v>246.714</v>
      </c>
      <c r="NU57" s="21" t="n">
        <v>114.87</v>
      </c>
      <c r="NV57" s="21" t="n">
        <v>125.303</v>
      </c>
      <c r="NW57" s="21" t="n">
        <v>359.32</v>
      </c>
      <c r="NX57" s="21" t="n">
        <v>79.605</v>
      </c>
      <c r="NY57" s="21" t="n">
        <v>124.347</v>
      </c>
      <c r="NZ57" s="21" t="n">
        <v>333.319</v>
      </c>
      <c r="OA57" s="21" t="n">
        <v>326.489</v>
      </c>
      <c r="OB57" s="21" t="n">
        <v>338.619</v>
      </c>
      <c r="OC57" s="21" t="n">
        <v>310.364</v>
      </c>
      <c r="OD57" s="21" t="n">
        <v>343.892</v>
      </c>
      <c r="OE57" s="21" t="n">
        <v>105.861</v>
      </c>
      <c r="OF57" s="21" t="n">
        <v>324.396</v>
      </c>
      <c r="OG57" s="21" t="n">
        <v>218.69</v>
      </c>
      <c r="OH57" s="21" t="n">
        <v>38.978</v>
      </c>
      <c r="OI57" s="21" t="n">
        <v>127.444</v>
      </c>
      <c r="OJ57" s="21" t="n">
        <v>39</v>
      </c>
      <c r="OK57" s="21" t="n">
        <v>13</v>
      </c>
    </row>
    <row r="58">
      <c r="A58" s="22" t="n">
        <v>43709</v>
      </c>
      <c r="B58" s="21" t="n">
        <v>256.759</v>
      </c>
      <c r="C58" s="21" t="n">
        <v>769.136</v>
      </c>
      <c r="D58" s="21" t="n">
        <v>258.646</v>
      </c>
      <c r="E58" s="21" t="n">
        <v>258.943</v>
      </c>
      <c r="F58" s="21" t="n">
        <v>241.543</v>
      </c>
      <c r="G58" s="21" t="n">
        <v>277.308</v>
      </c>
      <c r="H58" s="21" t="n">
        <v>226.997</v>
      </c>
      <c r="I58" s="21" t="n">
        <v>238.686</v>
      </c>
      <c r="J58" s="21" t="n">
        <v>220.068</v>
      </c>
      <c r="K58" s="21" t="n">
        <v>237.621</v>
      </c>
      <c r="L58" s="21" t="n">
        <v>161.998</v>
      </c>
      <c r="M58" s="21" t="n">
        <v>306.41</v>
      </c>
      <c r="N58" s="21" t="n">
        <v>185.084</v>
      </c>
      <c r="O58" s="21" t="n">
        <v>336.742</v>
      </c>
      <c r="P58" s="21" t="n">
        <v>358</v>
      </c>
      <c r="Q58" s="21" t="n">
        <v>179.626</v>
      </c>
      <c r="R58" s="21" t="n">
        <v>292.693</v>
      </c>
      <c r="S58" s="21" t="n">
        <v>318.247</v>
      </c>
      <c r="T58" s="21" t="n">
        <v>274.655</v>
      </c>
      <c r="U58" s="21" t="n">
        <v>272.291</v>
      </c>
      <c r="V58" s="21" t="n">
        <v>311.474</v>
      </c>
      <c r="W58" s="21" t="n">
        <v>311.267</v>
      </c>
      <c r="X58" s="21" t="n">
        <v>270.456</v>
      </c>
      <c r="Y58" s="21" t="n">
        <v>249.74</v>
      </c>
      <c r="Z58" s="21" t="n">
        <v>253.266</v>
      </c>
      <c r="AA58" s="21" t="n">
        <v>256.336</v>
      </c>
      <c r="AB58" s="21" t="n">
        <v>307.493</v>
      </c>
      <c r="AC58" s="21" t="n">
        <v>269.095</v>
      </c>
      <c r="AD58" s="21" t="n">
        <v>236.045</v>
      </c>
      <c r="AE58" s="21" t="n">
        <v>207.137</v>
      </c>
      <c r="AF58" s="21" t="n">
        <v>248.732</v>
      </c>
      <c r="AG58" s="21" t="n">
        <v>215.449</v>
      </c>
      <c r="AH58" s="21" t="n">
        <v>161.856</v>
      </c>
      <c r="AI58" s="21" t="n">
        <v>302.182</v>
      </c>
      <c r="AJ58" s="21" t="n">
        <v>147.807</v>
      </c>
      <c r="AK58" s="21" t="n">
        <v>214.492</v>
      </c>
      <c r="AL58" s="21" t="n">
        <v>238.834</v>
      </c>
      <c r="AM58" s="21" t="n">
        <v>191.184</v>
      </c>
      <c r="AN58" s="21" t="n">
        <v>125.443</v>
      </c>
      <c r="AO58" s="21" t="n">
        <v>224.495</v>
      </c>
      <c r="AP58" s="21" t="n">
        <v>226.115</v>
      </c>
      <c r="AQ58" s="21" t="n">
        <v>144.625</v>
      </c>
      <c r="AR58" s="21" t="n"/>
      <c r="AS58" s="21" t="n"/>
      <c r="AT58" s="21" t="n">
        <v>229.692</v>
      </c>
      <c r="AU58" s="21" t="n">
        <v>147.686</v>
      </c>
      <c r="AV58" s="21" t="n">
        <v>242.076</v>
      </c>
      <c r="AW58" s="21" t="n">
        <v>220.487</v>
      </c>
      <c r="AX58" s="21" t="n">
        <v>150.233</v>
      </c>
      <c r="AY58" s="21" t="n">
        <v>297.023</v>
      </c>
      <c r="AZ58" s="21" t="n">
        <v>183.794</v>
      </c>
      <c r="BA58" s="21" t="n">
        <v>149.059</v>
      </c>
      <c r="BB58" s="21" t="n">
        <v>217.929</v>
      </c>
      <c r="BC58" s="21" t="n">
        <v>306.704</v>
      </c>
      <c r="BD58" s="21" t="n">
        <v>202.825</v>
      </c>
      <c r="BE58" s="21" t="n">
        <v>219.771</v>
      </c>
      <c r="BF58" s="21" t="n">
        <v>141.841</v>
      </c>
      <c r="BG58" s="21" t="n">
        <v>200.912</v>
      </c>
      <c r="BH58" s="21" t="n">
        <v>146.768</v>
      </c>
      <c r="BI58" s="21" t="n">
        <v>229.735</v>
      </c>
      <c r="BJ58" s="21" t="n">
        <v>221.951</v>
      </c>
      <c r="BK58" s="21" t="n">
        <v>149.027</v>
      </c>
      <c r="BL58" s="21" t="n">
        <v>297.309</v>
      </c>
      <c r="BM58" s="21" t="n">
        <v>344.181</v>
      </c>
      <c r="BN58" s="21" t="n">
        <v>354.56</v>
      </c>
      <c r="BO58" s="21" t="n">
        <v>336.943</v>
      </c>
      <c r="BP58" s="21" t="n">
        <v>194.269</v>
      </c>
      <c r="BQ58" s="21" t="n">
        <v>265.105</v>
      </c>
      <c r="BR58" s="21" t="n">
        <v>527.143</v>
      </c>
      <c r="BS58" s="21" t="n">
        <v>111.616</v>
      </c>
      <c r="BT58" s="21" t="n">
        <v>331.944</v>
      </c>
      <c r="BU58" s="21" t="n">
        <v>377.34</v>
      </c>
      <c r="BV58" s="21" t="n">
        <v>307.661</v>
      </c>
      <c r="BW58" s="21" t="n">
        <v>323.252</v>
      </c>
      <c r="BX58" s="21" t="n">
        <v>332.013</v>
      </c>
      <c r="BY58" s="21" t="n">
        <v>156.43</v>
      </c>
      <c r="BZ58" s="21" t="n">
        <v>164.878</v>
      </c>
      <c r="CA58" s="21" t="n">
        <v>157.757</v>
      </c>
      <c r="CB58" s="21" t="n">
        <v>175.695</v>
      </c>
      <c r="CC58" s="21" t="n">
        <v>142.756</v>
      </c>
      <c r="CD58" s="21" t="n">
        <v>198</v>
      </c>
      <c r="CE58" s="21" t="n">
        <v>153.146</v>
      </c>
      <c r="CF58" s="21" t="n">
        <v>178.382</v>
      </c>
      <c r="CG58" s="21" t="n">
        <v>170.63</v>
      </c>
      <c r="CH58" s="21" t="n">
        <v>133.147</v>
      </c>
      <c r="CI58" s="21" t="n">
        <v>170.026</v>
      </c>
      <c r="CJ58" s="21" t="n">
        <v>176.154</v>
      </c>
      <c r="CK58" s="21" t="n">
        <v>119.869</v>
      </c>
      <c r="CL58" s="21" t="n">
        <v>116.549</v>
      </c>
      <c r="CM58" s="21" t="n">
        <v>192.726</v>
      </c>
      <c r="CN58" s="21" t="n">
        <v>200.697</v>
      </c>
      <c r="CO58" s="21" t="n">
        <v>187.575</v>
      </c>
      <c r="CP58" s="21" t="n">
        <v>130.681</v>
      </c>
      <c r="CQ58" s="21" t="n">
        <v>211.49</v>
      </c>
      <c r="CR58" s="21" t="n">
        <v>223.481</v>
      </c>
      <c r="CS58" s="21" t="n">
        <v>192.551</v>
      </c>
      <c r="CT58" s="21" t="n">
        <v>152.423</v>
      </c>
      <c r="CU58" s="21" t="n">
        <v>154.657</v>
      </c>
      <c r="CV58" s="21" t="n">
        <v>226.372</v>
      </c>
      <c r="CW58" s="21" t="n">
        <v>206.818</v>
      </c>
      <c r="CX58" s="21" t="n">
        <v>248.227</v>
      </c>
      <c r="CY58" s="21" t="n">
        <v>299.993</v>
      </c>
      <c r="CZ58" s="21" t="n">
        <v>128.891</v>
      </c>
      <c r="DA58" s="21" t="n">
        <v>155.596</v>
      </c>
      <c r="DB58" s="21" t="n">
        <v>146.2</v>
      </c>
      <c r="DC58" s="21" t="n">
        <v>225.139</v>
      </c>
      <c r="DD58" s="21" t="n">
        <v>243.986</v>
      </c>
      <c r="DE58" s="21" t="n">
        <v>164.947</v>
      </c>
      <c r="DF58" s="21" t="n">
        <v>251.931</v>
      </c>
      <c r="DG58" s="21" t="n">
        <v>245.026</v>
      </c>
      <c r="DH58" s="21" t="n">
        <v>156.424</v>
      </c>
      <c r="DI58" s="21" t="n">
        <v>141.217</v>
      </c>
      <c r="DJ58" s="21" t="n">
        <v>140.42</v>
      </c>
      <c r="DK58" s="21" t="n">
        <v>287.716</v>
      </c>
      <c r="DL58" s="21" t="n">
        <v>168.867</v>
      </c>
      <c r="DM58" s="21" t="n">
        <v>131.899</v>
      </c>
      <c r="DN58" s="21" t="n">
        <v>125.51</v>
      </c>
      <c r="DO58" s="21" t="n">
        <v>286.246</v>
      </c>
      <c r="DP58" s="21" t="n">
        <v>177.743</v>
      </c>
      <c r="DQ58" s="21" t="n">
        <v>182.911</v>
      </c>
      <c r="DR58" s="21" t="n">
        <v>182.622</v>
      </c>
      <c r="DS58" s="21" t="n">
        <v>151.915</v>
      </c>
      <c r="DT58" s="21" t="n">
        <v>168.777</v>
      </c>
      <c r="DU58" s="21" t="n">
        <v>197.715</v>
      </c>
      <c r="DV58" s="21" t="n">
        <v>253.261</v>
      </c>
      <c r="DW58" s="21" t="n">
        <v>205.95</v>
      </c>
      <c r="DX58" s="21" t="n">
        <v>229.357</v>
      </c>
      <c r="DY58" s="21" t="n">
        <v>195.055</v>
      </c>
      <c r="DZ58" s="21" t="n">
        <v>208.256</v>
      </c>
      <c r="EA58" s="21" t="n">
        <v>189.47</v>
      </c>
      <c r="EB58" s="21" t="n">
        <v>173.217</v>
      </c>
      <c r="EC58" s="21" t="n">
        <v>356.532</v>
      </c>
      <c r="ED58" s="21" t="n">
        <v>174.701</v>
      </c>
      <c r="EE58" s="21" t="n">
        <v>192.533</v>
      </c>
      <c r="EF58" s="21" t="n">
        <v>192.772</v>
      </c>
      <c r="EG58" s="21" t="n">
        <v>267.822</v>
      </c>
      <c r="EH58" s="21" t="n">
        <v>320.569</v>
      </c>
      <c r="EI58" s="21" t="n">
        <v>333.834</v>
      </c>
      <c r="EJ58" s="21" t="n">
        <v>170.792</v>
      </c>
      <c r="EK58" s="21" t="n">
        <v>568.11</v>
      </c>
      <c r="EL58" s="21" t="n">
        <v>350.397</v>
      </c>
      <c r="EM58" s="21" t="n">
        <v>327.933</v>
      </c>
      <c r="EN58" s="21" t="n">
        <v>327.975</v>
      </c>
      <c r="EO58" s="21" t="n">
        <v>151.787</v>
      </c>
      <c r="EP58" s="21" t="n">
        <v>243.643</v>
      </c>
      <c r="EQ58" s="21" t="n">
        <v>200.855</v>
      </c>
      <c r="ER58" s="21" t="n">
        <v>272.271</v>
      </c>
      <c r="ES58" s="21" t="n">
        <v>276.664</v>
      </c>
      <c r="ET58" s="21" t="n">
        <v>313.998</v>
      </c>
      <c r="EU58" s="21" t="n">
        <v>204.66</v>
      </c>
      <c r="EV58" s="21" t="n">
        <v>216.938</v>
      </c>
      <c r="EW58" s="21" t="n">
        <v>165.562</v>
      </c>
      <c r="EX58" s="21" t="n">
        <v>245.903</v>
      </c>
      <c r="EY58" s="21" t="n">
        <v>571.018</v>
      </c>
      <c r="EZ58" s="21" t="n">
        <v>484.346</v>
      </c>
      <c r="FA58" s="21" t="n">
        <v>124.183</v>
      </c>
      <c r="FB58" s="21" t="n">
        <v>57.027</v>
      </c>
      <c r="FC58" s="21" t="n">
        <v>113.535</v>
      </c>
      <c r="FD58" s="21" t="n">
        <v>63.276</v>
      </c>
      <c r="FE58" s="21" t="n">
        <v>43.433</v>
      </c>
      <c r="FF58" s="21" t="n">
        <v>113.987</v>
      </c>
      <c r="FG58" s="21" t="n">
        <v>130.356</v>
      </c>
      <c r="FH58" s="21" t="n">
        <v>89.128</v>
      </c>
      <c r="FI58" s="21" t="n">
        <v>66.801</v>
      </c>
      <c r="FJ58" s="21" t="n">
        <v>103.475</v>
      </c>
      <c r="FK58" s="21" t="n">
        <v>77.878</v>
      </c>
      <c r="FL58" s="21" t="n">
        <v>84.541</v>
      </c>
      <c r="FM58" s="21" t="n">
        <v>91.065</v>
      </c>
      <c r="FN58" s="21" t="n">
        <v>67.249</v>
      </c>
      <c r="FO58" s="21" t="n">
        <v>50.204</v>
      </c>
      <c r="FP58" s="21" t="n">
        <v>36.389</v>
      </c>
      <c r="FQ58" s="21" t="n">
        <v>131.222</v>
      </c>
      <c r="FR58" s="21" t="n">
        <v>50.511</v>
      </c>
      <c r="FS58" s="21" t="n">
        <v>78.754</v>
      </c>
      <c r="FT58" s="21" t="n">
        <v>91.687</v>
      </c>
      <c r="FU58" s="21" t="n">
        <v>100.587</v>
      </c>
      <c r="FV58" s="21" t="n">
        <v>87.499</v>
      </c>
      <c r="FW58" s="21" t="n">
        <v>189.269</v>
      </c>
      <c r="FX58" s="21" t="n">
        <v>120.589</v>
      </c>
      <c r="FY58" s="21" t="n">
        <v>175.07</v>
      </c>
      <c r="FZ58" s="21" t="n">
        <v>118.449</v>
      </c>
      <c r="GA58" s="21" t="n">
        <v>196.414</v>
      </c>
      <c r="GB58" s="21" t="n">
        <v>167.779</v>
      </c>
      <c r="GC58" s="21" t="n">
        <v>210.942</v>
      </c>
      <c r="GD58" s="21" t="n">
        <v>178.118</v>
      </c>
      <c r="GE58" s="21" t="n"/>
      <c r="GF58" s="21" t="n">
        <v>127.009</v>
      </c>
      <c r="GG58" s="21" t="n">
        <v>122.579</v>
      </c>
      <c r="GH58" s="21" t="n">
        <v>124.012</v>
      </c>
      <c r="GI58" s="21" t="n">
        <v>114.314</v>
      </c>
      <c r="GJ58" s="21" t="n">
        <v>161.218</v>
      </c>
      <c r="GK58" s="21" t="n">
        <v>78.878</v>
      </c>
      <c r="GL58" s="21" t="n">
        <v>117.721</v>
      </c>
      <c r="GM58" s="21" t="n">
        <v>114.831</v>
      </c>
      <c r="GN58" s="21" t="n">
        <v>109.598</v>
      </c>
      <c r="GO58" s="21" t="n">
        <v>112.179</v>
      </c>
      <c r="GP58" s="21" t="n">
        <v>108.463</v>
      </c>
      <c r="GQ58" s="21" t="n">
        <v>119.459</v>
      </c>
      <c r="GR58" s="21" t="n">
        <v>78.163</v>
      </c>
      <c r="GS58" s="21" t="n">
        <v>105.279</v>
      </c>
      <c r="GT58" s="21" t="n">
        <v>96.69499999999999</v>
      </c>
      <c r="GU58" s="21" t="n">
        <v>139.167</v>
      </c>
      <c r="GV58" s="21" t="n">
        <v>142.927</v>
      </c>
      <c r="GW58" s="21" t="n">
        <v>158.381</v>
      </c>
      <c r="GX58" s="21" t="n">
        <v>126.906</v>
      </c>
      <c r="GY58" s="21" t="n">
        <v>120.606</v>
      </c>
      <c r="GZ58" s="21" t="n">
        <v>171.672</v>
      </c>
      <c r="HA58" s="21" t="n">
        <v>136.326</v>
      </c>
      <c r="HB58" s="21" t="n">
        <v>174.91</v>
      </c>
      <c r="HC58" s="21" t="n">
        <v>209.35</v>
      </c>
      <c r="HD58" s="21" t="n">
        <v>205.068</v>
      </c>
      <c r="HE58" s="21" t="n">
        <v>98.751</v>
      </c>
      <c r="HF58" s="21" t="n">
        <v>145.854</v>
      </c>
      <c r="HG58" s="21" t="n">
        <v>101.069</v>
      </c>
      <c r="HH58" s="21" t="n">
        <v>141.934</v>
      </c>
      <c r="HI58" s="21" t="n">
        <v>155.155</v>
      </c>
      <c r="HJ58" s="21" t="n"/>
      <c r="HK58" s="21" t="n">
        <v>138.653</v>
      </c>
      <c r="HL58" s="21" t="n">
        <v>86.407</v>
      </c>
      <c r="HM58" s="21" t="n">
        <v>126.641</v>
      </c>
      <c r="HN58" s="21" t="n">
        <v>232.658</v>
      </c>
      <c r="HO58" s="21" t="n">
        <v>231.496</v>
      </c>
      <c r="HP58" s="21" t="n">
        <v>226.347</v>
      </c>
      <c r="HQ58" s="21" t="n">
        <v>251.354</v>
      </c>
      <c r="HR58" s="21" t="n">
        <v>247.802</v>
      </c>
      <c r="HS58" s="21" t="n">
        <v>217.838</v>
      </c>
      <c r="HT58" s="21" t="n">
        <v>147.314</v>
      </c>
      <c r="HU58" s="21" t="n">
        <v>125.825</v>
      </c>
      <c r="HV58" s="21" t="n">
        <v>176.5</v>
      </c>
      <c r="HW58" s="21" t="n">
        <v>166.075</v>
      </c>
      <c r="HX58" s="21" t="n">
        <v>404.34</v>
      </c>
      <c r="HY58" s="21" t="n">
        <v>298.441</v>
      </c>
      <c r="HZ58" s="21" t="n">
        <v>317.517</v>
      </c>
      <c r="IA58" s="21" t="n">
        <v>272.279</v>
      </c>
      <c r="IB58" s="21" t="n">
        <v>179.729</v>
      </c>
      <c r="IC58" s="21" t="n">
        <v>569.106</v>
      </c>
      <c r="ID58" s="21" t="n">
        <v>193.711</v>
      </c>
      <c r="IE58" s="21" t="n">
        <v>181.871</v>
      </c>
      <c r="IF58" s="21" t="n">
        <v>212.637</v>
      </c>
      <c r="IG58" s="21" t="n">
        <v>240.326</v>
      </c>
      <c r="IH58" s="21" t="n"/>
      <c r="II58" s="21" t="n">
        <v>258.612</v>
      </c>
      <c r="IJ58" s="21" t="n">
        <v>263.149</v>
      </c>
      <c r="IK58" s="21" t="n">
        <v>160.679</v>
      </c>
      <c r="IL58" s="21" t="n">
        <v>159.158</v>
      </c>
      <c r="IM58" s="21" t="n"/>
      <c r="IN58" s="21" t="n">
        <v>64.801</v>
      </c>
      <c r="IO58" s="21" t="n">
        <v>324.016</v>
      </c>
      <c r="IP58" s="21" t="n">
        <v>130.405</v>
      </c>
      <c r="IQ58" s="21" t="n">
        <v>501.468</v>
      </c>
      <c r="IR58" s="21" t="n">
        <v>379.53</v>
      </c>
      <c r="IS58" s="21" t="n">
        <v>124.202</v>
      </c>
      <c r="IT58" s="21" t="n">
        <v>522.518</v>
      </c>
      <c r="IU58" s="21" t="n">
        <v>98.163</v>
      </c>
      <c r="IV58" s="21" t="n">
        <v>101.577</v>
      </c>
      <c r="IW58" s="21" t="n">
        <v>540.813</v>
      </c>
      <c r="IX58" s="21" t="n">
        <v>384.005</v>
      </c>
      <c r="IY58" s="21" t="n">
        <v>384.454</v>
      </c>
      <c r="IZ58" s="21" t="n">
        <v>499.255</v>
      </c>
      <c r="JA58" s="21" t="n">
        <v>190.799</v>
      </c>
      <c r="JB58" s="21" t="n">
        <v>240.832</v>
      </c>
      <c r="JC58" s="21" t="n">
        <v>80.64700000000001</v>
      </c>
      <c r="JD58" s="21" t="n">
        <v>339.512</v>
      </c>
      <c r="JE58" s="21" t="n">
        <v>330.796</v>
      </c>
      <c r="JF58" s="21" t="n">
        <v>750.251</v>
      </c>
      <c r="JG58" s="21" t="n">
        <v>236.491</v>
      </c>
      <c r="JH58" s="21" t="n">
        <v>124.456</v>
      </c>
      <c r="JI58" s="21" t="n">
        <v>160.768</v>
      </c>
      <c r="JJ58" s="21" t="n">
        <v>120.357</v>
      </c>
      <c r="JK58" s="21" t="n">
        <v>104.552</v>
      </c>
      <c r="JL58" s="21" t="n">
        <v>149.453</v>
      </c>
      <c r="JM58" s="21" t="n">
        <v>480.344</v>
      </c>
      <c r="JN58" s="21" t="n">
        <v>118.548</v>
      </c>
      <c r="JO58" s="21" t="n">
        <v>74.37</v>
      </c>
      <c r="JP58" s="21" t="n">
        <v>37.414</v>
      </c>
      <c r="JQ58" s="21" t="n">
        <v>137.675</v>
      </c>
      <c r="JR58" s="21" t="n">
        <v>27.508</v>
      </c>
      <c r="JS58" s="21" t="n">
        <v>79.378</v>
      </c>
      <c r="JT58" s="21" t="n">
        <v>178.723</v>
      </c>
      <c r="JU58" s="21" t="n">
        <v>204.189</v>
      </c>
      <c r="JV58" s="21" t="n">
        <v>155.656</v>
      </c>
      <c r="JW58" s="21" t="n">
        <v>117.617</v>
      </c>
      <c r="JX58" s="21" t="n">
        <v>255.265</v>
      </c>
      <c r="JY58" s="21" t="n">
        <v>196.516</v>
      </c>
      <c r="JZ58" s="21" t="n">
        <v>269.362</v>
      </c>
      <c r="KA58" s="21" t="n">
        <v>112.768</v>
      </c>
      <c r="KB58" s="21" t="n">
        <v>155.598</v>
      </c>
      <c r="KC58" s="21" t="n">
        <v>77.17700000000001</v>
      </c>
      <c r="KD58" s="21" t="n">
        <v>74.095</v>
      </c>
      <c r="KE58" s="21" t="n">
        <v>55.911</v>
      </c>
      <c r="KF58" s="21" t="n"/>
      <c r="KG58" s="21" t="n">
        <v>23.16</v>
      </c>
      <c r="KH58" s="21" t="n">
        <v>117.602</v>
      </c>
      <c r="KI58" s="21" t="n">
        <v>121.126</v>
      </c>
      <c r="KJ58" s="21" t="n">
        <v>111.753</v>
      </c>
      <c r="KK58" s="21" t="n">
        <v>34.761</v>
      </c>
      <c r="KL58" s="21" t="n">
        <v>30.72</v>
      </c>
      <c r="KM58" s="21" t="n">
        <v>38.768</v>
      </c>
      <c r="KN58" s="21" t="n"/>
      <c r="KO58" s="21" t="n">
        <v>98.724</v>
      </c>
      <c r="KP58" s="21" t="n">
        <v>100.545</v>
      </c>
      <c r="KQ58" s="21" t="n">
        <v>170.683</v>
      </c>
      <c r="KR58" s="21" t="n">
        <v>141.79</v>
      </c>
      <c r="KS58" s="21" t="n">
        <v>387.043</v>
      </c>
      <c r="KT58" s="21" t="n">
        <v>186.828</v>
      </c>
      <c r="KU58" s="21" t="n">
        <v>221.414</v>
      </c>
      <c r="KV58" s="21" t="n">
        <v>317.051</v>
      </c>
      <c r="KW58" s="21" t="n">
        <v>254.051</v>
      </c>
      <c r="KX58" s="21" t="n">
        <v>188.072</v>
      </c>
      <c r="KY58" s="21" t="n">
        <v>93.871</v>
      </c>
      <c r="KZ58" s="21" t="n">
        <v>138.409</v>
      </c>
      <c r="LA58" s="21" t="n">
        <v>268.357</v>
      </c>
      <c r="LB58" s="21" t="n">
        <v>681.853</v>
      </c>
      <c r="LC58" s="21" t="n">
        <v>235.332</v>
      </c>
      <c r="LD58" s="21" t="n">
        <v>770.457</v>
      </c>
      <c r="LE58" s="21" t="n">
        <v>873.995</v>
      </c>
      <c r="LF58" s="21" t="n">
        <v>83.535</v>
      </c>
      <c r="LG58" s="21" t="n">
        <v>306.478</v>
      </c>
      <c r="LH58" s="21" t="n">
        <v>254.333</v>
      </c>
      <c r="LI58" s="21" t="n">
        <v>73.19499999999999</v>
      </c>
      <c r="LJ58" s="21" t="n">
        <v>195.286</v>
      </c>
      <c r="LK58" s="21" t="n">
        <v>307.042</v>
      </c>
      <c r="LL58" s="21" t="n">
        <v>318.128</v>
      </c>
      <c r="LM58" s="21" t="n">
        <v>69.196</v>
      </c>
      <c r="LN58" s="21" t="n">
        <v>89.518</v>
      </c>
      <c r="LO58" s="21" t="n">
        <v>46.322</v>
      </c>
      <c r="LP58" s="21" t="n">
        <v>122.137</v>
      </c>
      <c r="LQ58" s="21" t="n"/>
      <c r="LR58" s="21" t="n"/>
      <c r="LS58" s="21" t="n">
        <v>109.548</v>
      </c>
      <c r="LT58" s="21" t="n">
        <v>39.73</v>
      </c>
      <c r="LU58" s="21" t="n">
        <v>28.956</v>
      </c>
      <c r="LV58" s="21" t="n">
        <v>76.63800000000001</v>
      </c>
      <c r="LW58" s="21" t="n">
        <v>210.368</v>
      </c>
      <c r="LX58" s="21" t="n"/>
      <c r="LY58" s="21" t="n">
        <v>453.193</v>
      </c>
      <c r="LZ58" s="21" t="n">
        <v>71.134</v>
      </c>
      <c r="MA58" s="21" t="n">
        <v>462.169</v>
      </c>
      <c r="MB58" s="21" t="n">
        <v>283.59</v>
      </c>
      <c r="MC58" s="21" t="n">
        <v>234.603</v>
      </c>
      <c r="MD58" s="21" t="n">
        <v>160.662</v>
      </c>
      <c r="ME58" s="21" t="n">
        <v>102.563</v>
      </c>
      <c r="MF58" s="21" t="n">
        <v>183.76</v>
      </c>
      <c r="MG58" s="21" t="n">
        <v>272.645</v>
      </c>
      <c r="MH58" s="21" t="n">
        <v>166.358</v>
      </c>
      <c r="MI58" s="21" t="n">
        <v>450.439</v>
      </c>
      <c r="MJ58" s="21" t="n">
        <v>365.193</v>
      </c>
      <c r="MK58" s="21" t="n">
        <v>338.776</v>
      </c>
      <c r="ML58" s="21" t="n">
        <v>177.497</v>
      </c>
      <c r="MM58" s="21" t="n">
        <v>198.295</v>
      </c>
      <c r="MN58" s="21" t="n">
        <v>364.385</v>
      </c>
      <c r="MO58" s="21" t="n">
        <v>172.382</v>
      </c>
      <c r="MP58" s="21" t="n">
        <v>254.009</v>
      </c>
      <c r="MQ58" s="21" t="n">
        <v>74.276</v>
      </c>
      <c r="MR58" s="21" t="n">
        <v>151.621</v>
      </c>
      <c r="MS58" s="21" t="n">
        <v>70.294</v>
      </c>
      <c r="MT58" s="21" t="n">
        <v>245.02</v>
      </c>
      <c r="MU58" s="21" t="n">
        <v>262.969</v>
      </c>
      <c r="MV58" s="21" t="n">
        <v>256.401</v>
      </c>
      <c r="MW58" s="21" t="n">
        <v>264.522</v>
      </c>
      <c r="MX58" s="21" t="n">
        <v>234.802</v>
      </c>
      <c r="MY58" s="21" t="n">
        <v>228.479</v>
      </c>
      <c r="MZ58" s="21" t="n">
        <v>233.432</v>
      </c>
      <c r="NA58" s="21" t="n">
        <v>239.317</v>
      </c>
      <c r="NB58" s="21" t="n">
        <v>119.572</v>
      </c>
      <c r="NC58" s="21" t="n">
        <v>185.508</v>
      </c>
      <c r="ND58" s="21" t="n">
        <v>153.002</v>
      </c>
      <c r="NE58" s="21" t="n">
        <v>149.578</v>
      </c>
      <c r="NF58" s="21" t="n">
        <v>144.596</v>
      </c>
      <c r="NG58" s="21" t="n">
        <v>145.933</v>
      </c>
      <c r="NH58" s="21" t="n">
        <v>249.339</v>
      </c>
      <c r="NI58" s="21" t="n">
        <v>104.385</v>
      </c>
      <c r="NJ58" s="21" t="n">
        <v>71.874</v>
      </c>
      <c r="NK58" s="21" t="n">
        <v>111.471</v>
      </c>
      <c r="NL58" s="21" t="n">
        <v>215.418</v>
      </c>
      <c r="NM58" s="21" t="n">
        <v>236.493</v>
      </c>
      <c r="NN58" s="21" t="n">
        <v>90.875</v>
      </c>
      <c r="NO58" s="21" t="n">
        <v>51.808</v>
      </c>
      <c r="NP58" s="21" t="n">
        <v>227.358</v>
      </c>
      <c r="NQ58" s="21" t="n">
        <v>200.521</v>
      </c>
      <c r="NR58" s="21" t="n">
        <v>244.867</v>
      </c>
      <c r="NS58" s="21" t="n">
        <v>197.235</v>
      </c>
      <c r="NT58" s="21" t="n">
        <v>245.336</v>
      </c>
      <c r="NU58" s="21" t="n">
        <v>114.805</v>
      </c>
      <c r="NV58" s="21" t="n">
        <v>125.434</v>
      </c>
      <c r="NW58" s="21" t="n">
        <v>359.723</v>
      </c>
      <c r="NX58" s="21" t="n">
        <v>79.69799999999999</v>
      </c>
      <c r="NY58" s="21" t="n">
        <v>124.129</v>
      </c>
      <c r="NZ58" s="21" t="n">
        <v>334.257</v>
      </c>
      <c r="OA58" s="21" t="n">
        <v>327.076</v>
      </c>
      <c r="OB58" s="21" t="n">
        <v>339.377</v>
      </c>
      <c r="OC58" s="21" t="n">
        <v>310.866</v>
      </c>
      <c r="OD58" s="21" t="n">
        <v>344.128</v>
      </c>
      <c r="OE58" s="21" t="n">
        <v>104.164</v>
      </c>
      <c r="OF58" s="21" t="n">
        <v>324.717</v>
      </c>
      <c r="OG58" s="21" t="n">
        <v>218.639</v>
      </c>
      <c r="OH58" s="21" t="n">
        <v>38.499</v>
      </c>
      <c r="OI58" s="21" t="n">
        <v>127.888</v>
      </c>
      <c r="OJ58" s="21" t="n">
        <v>38.9</v>
      </c>
      <c r="OK58" s="21" t="n">
        <v>13</v>
      </c>
    </row>
    <row r="59">
      <c r="A59" s="22" t="n">
        <v>43739</v>
      </c>
      <c r="B59" s="21" t="n">
        <v>257.346</v>
      </c>
      <c r="C59" s="21" t="n">
        <v>770.895</v>
      </c>
      <c r="D59" s="21" t="n">
        <v>259.284</v>
      </c>
      <c r="E59" s="21" t="n">
        <v>259.632</v>
      </c>
      <c r="F59" s="21" t="n">
        <v>242.34</v>
      </c>
      <c r="G59" s="21" t="n">
        <v>276.47</v>
      </c>
      <c r="H59" s="21" t="n">
        <v>226.009</v>
      </c>
      <c r="I59" s="21" t="n">
        <v>232.78</v>
      </c>
      <c r="J59" s="21" t="n">
        <v>220.408</v>
      </c>
      <c r="K59" s="21" t="n">
        <v>236.496</v>
      </c>
      <c r="L59" s="21" t="n">
        <v>162.585</v>
      </c>
      <c r="M59" s="21" t="n">
        <v>305.674</v>
      </c>
      <c r="N59" s="21" t="n">
        <v>185.162</v>
      </c>
      <c r="O59" s="21" t="n">
        <v>336.293</v>
      </c>
      <c r="P59" s="21" t="n">
        <v>359.226</v>
      </c>
      <c r="Q59" s="21" t="n">
        <v>180.528</v>
      </c>
      <c r="R59" s="21" t="n">
        <v>289.839</v>
      </c>
      <c r="S59" s="21" t="n">
        <v>310.384</v>
      </c>
      <c r="T59" s="21" t="n">
        <v>273.999</v>
      </c>
      <c r="U59" s="21" t="n">
        <v>271.611</v>
      </c>
      <c r="V59" s="21" t="n">
        <v>312.167</v>
      </c>
      <c r="W59" s="21" t="n">
        <v>311.228</v>
      </c>
      <c r="X59" s="21" t="n">
        <v>268.891</v>
      </c>
      <c r="Y59" s="21" t="n">
        <v>250.592</v>
      </c>
      <c r="Z59" s="21" t="n">
        <v>254.491</v>
      </c>
      <c r="AA59" s="21" t="n">
        <v>257.392</v>
      </c>
      <c r="AB59" s="21" t="n">
        <v>308.032</v>
      </c>
      <c r="AC59" s="21" t="n">
        <v>272.685</v>
      </c>
      <c r="AD59" s="21" t="n">
        <v>229.078</v>
      </c>
      <c r="AE59" s="21" t="n">
        <v>207.611</v>
      </c>
      <c r="AF59" s="21" t="n">
        <v>248.555</v>
      </c>
      <c r="AG59" s="21" t="n">
        <v>216.288</v>
      </c>
      <c r="AH59" s="21" t="n">
        <v>162.977</v>
      </c>
      <c r="AI59" s="21" t="n">
        <v>307.207</v>
      </c>
      <c r="AJ59" s="21" t="n">
        <v>147.205</v>
      </c>
      <c r="AK59" s="21" t="n">
        <v>217.184</v>
      </c>
      <c r="AL59" s="21" t="n">
        <v>242.928</v>
      </c>
      <c r="AM59" s="21" t="n">
        <v>186.006</v>
      </c>
      <c r="AN59" s="21" t="n">
        <v>126.783</v>
      </c>
      <c r="AO59" s="21" t="n">
        <v>226.54</v>
      </c>
      <c r="AP59" s="21" t="n">
        <v>236.463</v>
      </c>
      <c r="AQ59" s="21" t="n">
        <v>144.962</v>
      </c>
      <c r="AR59" s="21" t="n"/>
      <c r="AS59" s="21" t="n"/>
      <c r="AT59" s="21" t="n">
        <v>231.472</v>
      </c>
      <c r="AU59" s="21" t="n">
        <v>149.301</v>
      </c>
      <c r="AV59" s="21" t="n">
        <v>247.066</v>
      </c>
      <c r="AW59" s="21" t="n">
        <v>222.679</v>
      </c>
      <c r="AX59" s="21" t="n">
        <v>149.289</v>
      </c>
      <c r="AY59" s="21" t="n">
        <v>298.194</v>
      </c>
      <c r="AZ59" s="21" t="n">
        <v>185.344</v>
      </c>
      <c r="BA59" s="21" t="n">
        <v>148.945</v>
      </c>
      <c r="BB59" s="21" t="n">
        <v>216.617</v>
      </c>
      <c r="BC59" s="21" t="n">
        <v>309.876</v>
      </c>
      <c r="BD59" s="21" t="n">
        <v>198.374</v>
      </c>
      <c r="BE59" s="21" t="n">
        <v>220.738</v>
      </c>
      <c r="BF59" s="21" t="n">
        <v>143</v>
      </c>
      <c r="BG59" s="21" t="n">
        <v>204.033</v>
      </c>
      <c r="BH59" s="21" t="n">
        <v>147.528</v>
      </c>
      <c r="BI59" s="21" t="n">
        <v>232.49</v>
      </c>
      <c r="BJ59" s="21" t="n">
        <v>225.138</v>
      </c>
      <c r="BK59" s="21" t="n">
        <v>146.819</v>
      </c>
      <c r="BL59" s="21" t="n">
        <v>301.318</v>
      </c>
      <c r="BM59" s="21" t="n">
        <v>350.148</v>
      </c>
      <c r="BN59" s="21" t="n">
        <v>363.135</v>
      </c>
      <c r="BO59" s="21" t="n">
        <v>333.259</v>
      </c>
      <c r="BP59" s="21" t="n">
        <v>195.904</v>
      </c>
      <c r="BQ59" s="21" t="n">
        <v>271.388</v>
      </c>
      <c r="BR59" s="21" t="n">
        <v>546.346</v>
      </c>
      <c r="BS59" s="21" t="n">
        <v>116.389</v>
      </c>
      <c r="BT59" s="21" t="n">
        <v>335.179</v>
      </c>
      <c r="BU59" s="21" t="n">
        <v>378.772</v>
      </c>
      <c r="BV59" s="21" t="n">
        <v>321.697</v>
      </c>
      <c r="BW59" s="21" t="n">
        <v>320.159</v>
      </c>
      <c r="BX59" s="21" t="n">
        <v>334.928</v>
      </c>
      <c r="BY59" s="21" t="n">
        <v>156.318</v>
      </c>
      <c r="BZ59" s="21" t="n">
        <v>163.841</v>
      </c>
      <c r="CA59" s="21" t="n">
        <v>156.939</v>
      </c>
      <c r="CB59" s="21" t="n">
        <v>174.198</v>
      </c>
      <c r="CC59" s="21" t="n">
        <v>144.03</v>
      </c>
      <c r="CD59" s="21" t="n">
        <v>199.043</v>
      </c>
      <c r="CE59" s="21" t="n">
        <v>153.427</v>
      </c>
      <c r="CF59" s="21" t="n">
        <v>183.614</v>
      </c>
      <c r="CG59" s="21" t="n">
        <v>170.842</v>
      </c>
      <c r="CH59" s="21" t="n">
        <v>133.558</v>
      </c>
      <c r="CI59" s="21" t="n">
        <v>168.958</v>
      </c>
      <c r="CJ59" s="21" t="n">
        <v>175.268</v>
      </c>
      <c r="CK59" s="21" t="n">
        <v>121.102</v>
      </c>
      <c r="CL59" s="21" t="n">
        <v>116.16</v>
      </c>
      <c r="CM59" s="21" t="n">
        <v>191.857</v>
      </c>
      <c r="CN59" s="21" t="n">
        <v>200.05</v>
      </c>
      <c r="CO59" s="21" t="n">
        <v>184.367</v>
      </c>
      <c r="CP59" s="21" t="n">
        <v>130.514</v>
      </c>
      <c r="CQ59" s="21" t="n">
        <v>211.492</v>
      </c>
      <c r="CR59" s="21" t="n">
        <v>223.642</v>
      </c>
      <c r="CS59" s="21" t="n">
        <v>190.999</v>
      </c>
      <c r="CT59" s="21" t="n">
        <v>152.782</v>
      </c>
      <c r="CU59" s="21" t="n">
        <v>154.967</v>
      </c>
      <c r="CV59" s="21" t="n">
        <v>226.629</v>
      </c>
      <c r="CW59" s="21" t="n">
        <v>206.614</v>
      </c>
      <c r="CX59" s="21" t="n">
        <v>247.83</v>
      </c>
      <c r="CY59" s="21" t="n">
        <v>298.217</v>
      </c>
      <c r="CZ59" s="21" t="n">
        <v>129.25</v>
      </c>
      <c r="DA59" s="21" t="n">
        <v>155.84</v>
      </c>
      <c r="DB59" s="21" t="n">
        <v>150.416</v>
      </c>
      <c r="DC59" s="21" t="n">
        <v>225.067</v>
      </c>
      <c r="DD59" s="21" t="n">
        <v>238.563</v>
      </c>
      <c r="DE59" s="21" t="n">
        <v>167.453</v>
      </c>
      <c r="DF59" s="21" t="n">
        <v>250.993</v>
      </c>
      <c r="DG59" s="21" t="n">
        <v>243.518</v>
      </c>
      <c r="DH59" s="21" t="n">
        <v>155.08</v>
      </c>
      <c r="DI59" s="21" t="n">
        <v>144.982</v>
      </c>
      <c r="DJ59" s="21" t="n">
        <v>140.213</v>
      </c>
      <c r="DK59" s="21" t="n">
        <v>276.271</v>
      </c>
      <c r="DL59" s="21" t="n">
        <v>170.783</v>
      </c>
      <c r="DM59" s="21" t="n">
        <v>131.944</v>
      </c>
      <c r="DN59" s="21" t="n">
        <v>128.071</v>
      </c>
      <c r="DO59" s="21" t="n">
        <v>286.791</v>
      </c>
      <c r="DP59" s="21" t="n">
        <v>178.117</v>
      </c>
      <c r="DQ59" s="21" t="n">
        <v>183.223</v>
      </c>
      <c r="DR59" s="21" t="n">
        <v>182.855</v>
      </c>
      <c r="DS59" s="21" t="n">
        <v>152.24</v>
      </c>
      <c r="DT59" s="21" t="n">
        <v>168.681</v>
      </c>
      <c r="DU59" s="21" t="n">
        <v>198.339</v>
      </c>
      <c r="DV59" s="21" t="n">
        <v>253.207</v>
      </c>
      <c r="DW59" s="21" t="n">
        <v>206.087</v>
      </c>
      <c r="DX59" s="21" t="n">
        <v>231.715</v>
      </c>
      <c r="DY59" s="21" t="n">
        <v>192.525</v>
      </c>
      <c r="DZ59" s="21" t="n">
        <v>204.425</v>
      </c>
      <c r="EA59" s="21" t="n">
        <v>187.64</v>
      </c>
      <c r="EB59" s="21" t="n">
        <v>172.336</v>
      </c>
      <c r="EC59" s="21" t="n">
        <v>355.939</v>
      </c>
      <c r="ED59" s="21" t="n">
        <v>174.274</v>
      </c>
      <c r="EE59" s="21" t="n">
        <v>192.476</v>
      </c>
      <c r="EF59" s="21" t="n">
        <v>192.569</v>
      </c>
      <c r="EG59" s="21" t="n">
        <v>267.794</v>
      </c>
      <c r="EH59" s="21" t="n">
        <v>320.762</v>
      </c>
      <c r="EI59" s="21" t="n">
        <v>334.68</v>
      </c>
      <c r="EJ59" s="21" t="n">
        <v>160.34</v>
      </c>
      <c r="EK59" s="21" t="n">
        <v>568.913</v>
      </c>
      <c r="EL59" s="21" t="n">
        <v>326.134</v>
      </c>
      <c r="EM59" s="21" t="n">
        <v>328.762</v>
      </c>
      <c r="EN59" s="21" t="n">
        <v>328.805</v>
      </c>
      <c r="EO59" s="21" t="n">
        <v>151.906</v>
      </c>
      <c r="EP59" s="21" t="n">
        <v>242.207</v>
      </c>
      <c r="EQ59" s="21" t="n">
        <v>199.089</v>
      </c>
      <c r="ER59" s="21" t="n">
        <v>277.631</v>
      </c>
      <c r="ES59" s="21" t="n">
        <v>282.534</v>
      </c>
      <c r="ET59" s="21" t="n">
        <v>319.414</v>
      </c>
      <c r="EU59" s="21" t="n">
        <v>202.556</v>
      </c>
      <c r="EV59" s="21" t="n">
        <v>212.829</v>
      </c>
      <c r="EW59" s="21" t="n">
        <v>169.138</v>
      </c>
      <c r="EX59" s="21" t="n">
        <v>246.741</v>
      </c>
      <c r="EY59" s="21" t="n">
        <v>572.912</v>
      </c>
      <c r="EZ59" s="21" t="n">
        <v>486.133</v>
      </c>
      <c r="FA59" s="21" t="n">
        <v>124.256</v>
      </c>
      <c r="FB59" s="21" t="n">
        <v>55.923</v>
      </c>
      <c r="FC59" s="21" t="n">
        <v>111.861</v>
      </c>
      <c r="FD59" s="21" t="n">
        <v>60.525</v>
      </c>
      <c r="FE59" s="21" t="n">
        <v>42.825</v>
      </c>
      <c r="FF59" s="21" t="n">
        <v>114.079</v>
      </c>
      <c r="FG59" s="21" t="n">
        <v>130.971</v>
      </c>
      <c r="FH59" s="21" t="n">
        <v>88.449</v>
      </c>
      <c r="FI59" s="21" t="n">
        <v>68.134</v>
      </c>
      <c r="FJ59" s="21" t="n">
        <v>103.568</v>
      </c>
      <c r="FK59" s="21" t="n">
        <v>77.44199999999999</v>
      </c>
      <c r="FL59" s="21" t="n">
        <v>82.31999999999999</v>
      </c>
      <c r="FM59" s="21" t="n">
        <v>92.06100000000001</v>
      </c>
      <c r="FN59" s="21" t="n">
        <v>67.68899999999999</v>
      </c>
      <c r="FO59" s="21" t="n">
        <v>50.775</v>
      </c>
      <c r="FP59" s="21" t="n">
        <v>37.263</v>
      </c>
      <c r="FQ59" s="21" t="n">
        <v>131.393</v>
      </c>
      <c r="FR59" s="21" t="n">
        <v>49.288</v>
      </c>
      <c r="FS59" s="21" t="n">
        <v>79.218</v>
      </c>
      <c r="FT59" s="21" t="n">
        <v>91.48399999999999</v>
      </c>
      <c r="FU59" s="21" t="n">
        <v>100.345</v>
      </c>
      <c r="FV59" s="21" t="n">
        <v>87.28700000000001</v>
      </c>
      <c r="FW59" s="21" t="n">
        <v>189.53</v>
      </c>
      <c r="FX59" s="21" t="n">
        <v>120.419</v>
      </c>
      <c r="FY59" s="21" t="n">
        <v>175.848</v>
      </c>
      <c r="FZ59" s="21" t="n">
        <v>118.713</v>
      </c>
      <c r="GA59" s="21" t="n">
        <v>197.005</v>
      </c>
      <c r="GB59" s="21" t="n">
        <v>170.404</v>
      </c>
      <c r="GC59" s="21" t="n">
        <v>210.975</v>
      </c>
      <c r="GD59" s="21" t="n">
        <v>173.947</v>
      </c>
      <c r="GE59" s="21" t="n">
        <v>269.956</v>
      </c>
      <c r="GF59" s="21" t="n">
        <v>126.154</v>
      </c>
      <c r="GG59" s="21" t="n">
        <v>122.583</v>
      </c>
      <c r="GH59" s="21" t="n">
        <v>124.179</v>
      </c>
      <c r="GI59" s="21" t="n">
        <v>116.754</v>
      </c>
      <c r="GJ59" s="21" t="n">
        <v>159.172</v>
      </c>
      <c r="GK59" s="21" t="n">
        <v>79.565</v>
      </c>
      <c r="GL59" s="21" t="n">
        <v>116.864</v>
      </c>
      <c r="GM59" s="21" t="n">
        <v>114.325</v>
      </c>
      <c r="GN59" s="21" t="n">
        <v>107.698</v>
      </c>
      <c r="GO59" s="21" t="n">
        <v>110.066</v>
      </c>
      <c r="GP59" s="21" t="n">
        <v>108.532</v>
      </c>
      <c r="GQ59" s="21" t="n">
        <v>120.68</v>
      </c>
      <c r="GR59" s="21" t="n">
        <v>75.001</v>
      </c>
      <c r="GS59" s="21" t="n">
        <v>105.826</v>
      </c>
      <c r="GT59" s="21" t="n">
        <v>95.866</v>
      </c>
      <c r="GU59" s="21" t="n">
        <v>139.211</v>
      </c>
      <c r="GV59" s="21" t="n">
        <v>142</v>
      </c>
      <c r="GW59" s="21" t="n">
        <v>160.484</v>
      </c>
      <c r="GX59" s="21" t="n">
        <v>126.687</v>
      </c>
      <c r="GY59" s="21" t="n">
        <v>119.036</v>
      </c>
      <c r="GZ59" s="21" t="n">
        <v>173.276</v>
      </c>
      <c r="HA59" s="21" t="n">
        <v>141.002</v>
      </c>
      <c r="HB59" s="21" t="n">
        <v>173.761</v>
      </c>
      <c r="HC59" s="21" t="n">
        <v>210.487</v>
      </c>
      <c r="HD59" s="21" t="n">
        <v>206.07</v>
      </c>
      <c r="HE59" s="21" t="n">
        <v>98.684</v>
      </c>
      <c r="HF59" s="21" t="n">
        <v>145.726</v>
      </c>
      <c r="HG59" s="21" t="n">
        <v>100.982</v>
      </c>
      <c r="HH59" s="21" t="n">
        <v>141.97</v>
      </c>
      <c r="HI59" s="21" t="n">
        <v>154.989</v>
      </c>
      <c r="HJ59" s="21" t="n"/>
      <c r="HK59" s="21" t="n">
        <v>138.407</v>
      </c>
      <c r="HL59" s="21" t="n">
        <v>86.396</v>
      </c>
      <c r="HM59" s="21" t="n">
        <v>129.79</v>
      </c>
      <c r="HN59" s="21" t="n">
        <v>236.346</v>
      </c>
      <c r="HO59" s="21" t="n">
        <v>235.168</v>
      </c>
      <c r="HP59" s="21" t="n">
        <v>229.656</v>
      </c>
      <c r="HQ59" s="21" t="n">
        <v>255.534</v>
      </c>
      <c r="HR59" s="21" t="n">
        <v>253.672</v>
      </c>
      <c r="HS59" s="21" t="n">
        <v>221.182</v>
      </c>
      <c r="HT59" s="21" t="n">
        <v>146.957</v>
      </c>
      <c r="HU59" s="21" t="n">
        <v>124.964</v>
      </c>
      <c r="HV59" s="21" t="n">
        <v>177.202</v>
      </c>
      <c r="HW59" s="21" t="n">
        <v>166.906</v>
      </c>
      <c r="HX59" s="21" t="n">
        <v>394.692</v>
      </c>
      <c r="HY59" s="21" t="n">
        <v>298.925</v>
      </c>
      <c r="HZ59" s="21" t="n">
        <v>318.572</v>
      </c>
      <c r="IA59" s="21" t="n">
        <v>272.41</v>
      </c>
      <c r="IB59" s="21" t="n">
        <v>180.317</v>
      </c>
      <c r="IC59" s="21" t="n">
        <v>571.975</v>
      </c>
      <c r="ID59" s="21" t="n">
        <v>194.724</v>
      </c>
      <c r="IE59" s="21" t="n">
        <v>183.034</v>
      </c>
      <c r="IF59" s="21" t="n">
        <v>213.484</v>
      </c>
      <c r="IG59" s="21" t="n">
        <v>239.837</v>
      </c>
      <c r="IH59" s="21" t="n"/>
      <c r="II59" s="21" t="n">
        <v>261.927</v>
      </c>
      <c r="IJ59" s="21" t="n">
        <v>269.871</v>
      </c>
      <c r="IK59" s="21" t="n">
        <v>156.959</v>
      </c>
      <c r="IL59" s="21" t="n">
        <v>155.056</v>
      </c>
      <c r="IM59" s="21" t="n"/>
      <c r="IN59" s="21" t="n">
        <v>63.926</v>
      </c>
      <c r="IO59" s="21" t="n">
        <v>324.915</v>
      </c>
      <c r="IP59" s="21" t="n">
        <v>130.55</v>
      </c>
      <c r="IQ59" s="21" t="n">
        <v>506.1</v>
      </c>
      <c r="IR59" s="21" t="n">
        <v>383.498</v>
      </c>
      <c r="IS59" s="21" t="n">
        <v>125.508</v>
      </c>
      <c r="IT59" s="21" t="n">
        <v>529.635</v>
      </c>
      <c r="IU59" s="21" t="n">
        <v>98.04600000000001</v>
      </c>
      <c r="IV59" s="21" t="n">
        <v>102.459</v>
      </c>
      <c r="IW59" s="21" t="n">
        <v>545.652</v>
      </c>
      <c r="IX59" s="21" t="n">
        <v>384.244</v>
      </c>
      <c r="IY59" s="21" t="n">
        <v>384.901</v>
      </c>
      <c r="IZ59" s="21" t="n">
        <v>499.402</v>
      </c>
      <c r="JA59" s="21" t="n">
        <v>191.643</v>
      </c>
      <c r="JB59" s="21" t="n">
        <v>239.906</v>
      </c>
      <c r="JC59" s="21" t="n">
        <v>81.688</v>
      </c>
      <c r="JD59" s="21" t="n">
        <v>344.363</v>
      </c>
      <c r="JE59" s="21" t="n">
        <v>335.305</v>
      </c>
      <c r="JF59" s="21" t="n">
        <v>757.4690000000001</v>
      </c>
      <c r="JG59" s="21" t="n">
        <v>236.695</v>
      </c>
      <c r="JH59" s="21" t="n">
        <v>124.834</v>
      </c>
      <c r="JI59" s="21" t="n">
        <v>164.375</v>
      </c>
      <c r="JJ59" s="21" t="n">
        <v>120.982</v>
      </c>
      <c r="JK59" s="21" t="n">
        <v>104.763</v>
      </c>
      <c r="JL59" s="21" t="n">
        <v>146.623</v>
      </c>
      <c r="JM59" s="21" t="n">
        <v>482.189</v>
      </c>
      <c r="JN59" s="21" t="n">
        <v>119.681</v>
      </c>
      <c r="JO59" s="21" t="n">
        <v>73.15600000000001</v>
      </c>
      <c r="JP59" s="21" t="n">
        <v>36.364</v>
      </c>
      <c r="JQ59" s="21" t="n">
        <v>137.535</v>
      </c>
      <c r="JR59" s="21" t="n">
        <v>27.652</v>
      </c>
      <c r="JS59" s="21" t="n">
        <v>80.003</v>
      </c>
      <c r="JT59" s="21" t="n">
        <v>179.34</v>
      </c>
      <c r="JU59" s="21" t="n">
        <v>205.062</v>
      </c>
      <c r="JV59" s="21" t="n">
        <v>156.534</v>
      </c>
      <c r="JW59" s="21" t="n">
        <v>117.826</v>
      </c>
      <c r="JX59" s="21" t="n">
        <v>255.844</v>
      </c>
      <c r="JY59" s="21" t="n"/>
      <c r="JZ59" s="21" t="n">
        <v>269.832</v>
      </c>
      <c r="KA59" s="21" t="n">
        <v>113.309</v>
      </c>
      <c r="KB59" s="21" t="n">
        <v>156.336</v>
      </c>
      <c r="KC59" s="21" t="n">
        <v>77.55</v>
      </c>
      <c r="KD59" s="21" t="n">
        <v>74.422</v>
      </c>
      <c r="KE59" s="21" t="n">
        <v>55.704</v>
      </c>
      <c r="KF59" s="21" t="n"/>
      <c r="KG59" s="21" t="n">
        <v>23.393</v>
      </c>
      <c r="KH59" s="21" t="n">
        <v>119.006</v>
      </c>
      <c r="KI59" s="21" t="n">
        <v>122.927</v>
      </c>
      <c r="KJ59" s="21" t="n">
        <v>112.36</v>
      </c>
      <c r="KK59" s="21" t="n">
        <v>34.655</v>
      </c>
      <c r="KL59" s="21" t="n">
        <v>30.467</v>
      </c>
      <c r="KM59" s="21" t="n">
        <v>38.27</v>
      </c>
      <c r="KN59" s="21" t="n"/>
      <c r="KO59" s="21" t="n">
        <v>98.994</v>
      </c>
      <c r="KP59" s="21" t="n">
        <v>103.304</v>
      </c>
      <c r="KQ59" s="21" t="n">
        <v>172.276</v>
      </c>
      <c r="KR59" s="21" t="n">
        <v>143.243</v>
      </c>
      <c r="KS59" s="21" t="n">
        <v>391.579</v>
      </c>
      <c r="KT59" s="21" t="n">
        <v>188.214</v>
      </c>
      <c r="KU59" s="21" t="n">
        <v>223.859</v>
      </c>
      <c r="KV59" s="21" t="n">
        <v>316.647</v>
      </c>
      <c r="KW59" s="21" t="n">
        <v>261.594</v>
      </c>
      <c r="KX59" s="21" t="n">
        <v>193.881</v>
      </c>
      <c r="KY59" s="21" t="n">
        <v>96.465</v>
      </c>
      <c r="KZ59" s="21" t="n">
        <v>138.529</v>
      </c>
      <c r="LA59" s="21" t="n">
        <v>268.878</v>
      </c>
      <c r="LB59" s="21" t="n">
        <v>676.9640000000001</v>
      </c>
      <c r="LC59" s="21" t="n">
        <v>233.943</v>
      </c>
      <c r="LD59" s="21" t="n">
        <v>772.258</v>
      </c>
      <c r="LE59" s="21" t="n">
        <v>876.145</v>
      </c>
      <c r="LF59" s="21" t="n">
        <v>83.923</v>
      </c>
      <c r="LG59" s="21" t="n">
        <v>306.811</v>
      </c>
      <c r="LH59" s="21" t="n">
        <v>254.787</v>
      </c>
      <c r="LI59" s="21" t="n">
        <v>73.19</v>
      </c>
      <c r="LJ59" s="21" t="n">
        <v>195.409</v>
      </c>
      <c r="LK59" s="21" t="n">
        <v>307.042</v>
      </c>
      <c r="LL59" s="21" t="n">
        <v>319.733</v>
      </c>
      <c r="LM59" s="21" t="n">
        <v>69.18899999999999</v>
      </c>
      <c r="LN59" s="21" t="n">
        <v>89.746</v>
      </c>
      <c r="LO59" s="21" t="n">
        <v>46.299</v>
      </c>
      <c r="LP59" s="21" t="n">
        <v>123.474</v>
      </c>
      <c r="LQ59" s="21" t="n"/>
      <c r="LR59" s="21" t="n"/>
      <c r="LS59" s="21" t="n">
        <v>108.99</v>
      </c>
      <c r="LT59" s="21" t="n">
        <v>38.938</v>
      </c>
      <c r="LU59" s="21" t="n">
        <v>28.88</v>
      </c>
      <c r="LV59" s="21" t="n">
        <v>76.84</v>
      </c>
      <c r="LW59" s="21" t="n">
        <v>204.284</v>
      </c>
      <c r="LX59" s="21" t="n"/>
      <c r="LY59" s="21" t="n">
        <v>455.225</v>
      </c>
      <c r="LZ59" s="21" t="n">
        <v>71.54000000000001</v>
      </c>
      <c r="MA59" s="21" t="n">
        <v>465.075</v>
      </c>
      <c r="MB59" s="21" t="n">
        <v>283.637</v>
      </c>
      <c r="MC59" s="21" t="n">
        <v>235.578</v>
      </c>
      <c r="MD59" s="21" t="n">
        <v>161.103</v>
      </c>
      <c r="ME59" s="21" t="n">
        <v>103.371</v>
      </c>
      <c r="MF59" s="21" t="n">
        <v>183.061</v>
      </c>
      <c r="MG59" s="21" t="n">
        <v>273.425</v>
      </c>
      <c r="MH59" s="21" t="n">
        <v>166.834</v>
      </c>
      <c r="MI59" s="21" t="n">
        <v>450.882</v>
      </c>
      <c r="MJ59" s="21" t="n">
        <v>365.193</v>
      </c>
      <c r="MK59" s="21" t="n">
        <v>339.009</v>
      </c>
      <c r="ML59" s="21" t="n">
        <v>177.734</v>
      </c>
      <c r="MM59" s="21" t="n">
        <v>200.907</v>
      </c>
      <c r="MN59" s="21" t="n">
        <v>364.582</v>
      </c>
      <c r="MO59" s="21" t="n">
        <v>172.617</v>
      </c>
      <c r="MP59" s="21" t="n">
        <v>254.064</v>
      </c>
      <c r="MQ59" s="21" t="n">
        <v>76.376</v>
      </c>
      <c r="MR59" s="21" t="n">
        <v>156.191</v>
      </c>
      <c r="MS59" s="21" t="n">
        <v>72.158</v>
      </c>
      <c r="MT59" s="21" t="n">
        <v>245.418</v>
      </c>
      <c r="MU59" s="21" t="n">
        <v>263.527</v>
      </c>
      <c r="MV59" s="21" t="n">
        <v>256.973</v>
      </c>
      <c r="MW59" s="21" t="n">
        <v>265.059</v>
      </c>
      <c r="MX59" s="21" t="n">
        <v>235.538</v>
      </c>
      <c r="MY59" s="21" t="n">
        <v>229.222</v>
      </c>
      <c r="MZ59" s="21" t="n">
        <v>234.15</v>
      </c>
      <c r="NA59" s="21" t="n">
        <v>240.116</v>
      </c>
      <c r="NB59" s="21" t="n">
        <v>118.528</v>
      </c>
      <c r="NC59" s="21" t="n">
        <v>186.012</v>
      </c>
      <c r="ND59" s="21" t="n">
        <v>153.421</v>
      </c>
      <c r="NE59" s="21" t="n">
        <v>150.007</v>
      </c>
      <c r="NF59" s="21" t="n">
        <v>144.577</v>
      </c>
      <c r="NG59" s="21" t="n">
        <v>145.948</v>
      </c>
      <c r="NH59" s="21" t="n">
        <v>250.212</v>
      </c>
      <c r="NI59" s="21" t="n">
        <v>104.263</v>
      </c>
      <c r="NJ59" s="21" t="n">
        <v>70.63800000000001</v>
      </c>
      <c r="NK59" s="21" t="n">
        <v>111.739</v>
      </c>
      <c r="NL59" s="21" t="n">
        <v>216.351</v>
      </c>
      <c r="NM59" s="21" t="n">
        <v>240.279</v>
      </c>
      <c r="NN59" s="21" t="n">
        <v>90.869</v>
      </c>
      <c r="NO59" s="21" t="n">
        <v>50.747</v>
      </c>
      <c r="NP59" s="21" t="n">
        <v>228.294</v>
      </c>
      <c r="NQ59" s="21" t="n">
        <v>201.629</v>
      </c>
      <c r="NR59" s="21" t="n">
        <v>247.077</v>
      </c>
      <c r="NS59" s="21" t="n">
        <v>198.41</v>
      </c>
      <c r="NT59" s="21" t="n">
        <v>247.773</v>
      </c>
      <c r="NU59" s="21" t="n">
        <v>115.657</v>
      </c>
      <c r="NV59" s="21" t="n">
        <v>125.647</v>
      </c>
      <c r="NW59" s="21" t="n">
        <v>360.968</v>
      </c>
      <c r="NX59" s="21" t="n">
        <v>79.996</v>
      </c>
      <c r="NY59" s="21" t="n">
        <v>124.857</v>
      </c>
      <c r="NZ59" s="21" t="n">
        <v>334.457</v>
      </c>
      <c r="OA59" s="21" t="n">
        <v>327.744</v>
      </c>
      <c r="OB59" s="21" t="n">
        <v>340.302</v>
      </c>
      <c r="OC59" s="21" t="n">
        <v>311.231</v>
      </c>
      <c r="OD59" s="21" t="n">
        <v>345.375</v>
      </c>
      <c r="OE59" s="21" t="n">
        <v>104.03</v>
      </c>
      <c r="OF59" s="21" t="n">
        <v>326.582</v>
      </c>
      <c r="OG59" s="21" t="n">
        <v>218.527</v>
      </c>
      <c r="OH59" s="21" t="n">
        <v>38.362</v>
      </c>
      <c r="OI59" s="21" t="n">
        <v>128.238</v>
      </c>
      <c r="OJ59" s="21" t="n">
        <v>38.9</v>
      </c>
      <c r="OK59" s="21" t="n">
        <v>13</v>
      </c>
    </row>
    <row r="60">
      <c r="A60" s="22" t="n">
        <v>43770</v>
      </c>
      <c r="B60" s="21" t="n">
        <v>257.208</v>
      </c>
      <c r="C60" s="21" t="n">
        <v>770.482</v>
      </c>
      <c r="D60" s="21" t="n">
        <v>259.08</v>
      </c>
      <c r="E60" s="21" t="n">
        <v>259.467</v>
      </c>
      <c r="F60" s="21" t="n">
        <v>241.726</v>
      </c>
      <c r="G60" s="21" t="n">
        <v>276.166</v>
      </c>
      <c r="H60" s="21" t="n">
        <v>224.887</v>
      </c>
      <c r="I60" s="21" t="n">
        <v>224.422</v>
      </c>
      <c r="J60" s="21" t="n">
        <v>218.774</v>
      </c>
      <c r="K60" s="21" t="n">
        <v>238.499</v>
      </c>
      <c r="L60" s="21" t="n">
        <v>161.442</v>
      </c>
      <c r="M60" s="21" t="n">
        <v>305.89</v>
      </c>
      <c r="N60" s="21" t="n">
        <v>187.598</v>
      </c>
      <c r="O60" s="21" t="n">
        <v>341.143</v>
      </c>
      <c r="P60" s="21" t="n">
        <v>362.753</v>
      </c>
      <c r="Q60" s="21" t="n">
        <v>180.255</v>
      </c>
      <c r="R60" s="21" t="n">
        <v>294.04</v>
      </c>
      <c r="S60" s="21" t="n">
        <v>323.576</v>
      </c>
      <c r="T60" s="21" t="n">
        <v>273.424</v>
      </c>
      <c r="U60" s="21" t="n">
        <v>265.935</v>
      </c>
      <c r="V60" s="21" t="n">
        <v>311.954</v>
      </c>
      <c r="W60" s="21" t="n">
        <v>296.462</v>
      </c>
      <c r="X60" s="21" t="n">
        <v>267.969</v>
      </c>
      <c r="Y60" s="21" t="n">
        <v>250.491</v>
      </c>
      <c r="Z60" s="21" t="n">
        <v>254.268</v>
      </c>
      <c r="AA60" s="21" t="n">
        <v>257.298</v>
      </c>
      <c r="AB60" s="21" t="n">
        <v>308.601</v>
      </c>
      <c r="AC60" s="21" t="n">
        <v>272.517</v>
      </c>
      <c r="AD60" s="21" t="n">
        <v>231.818</v>
      </c>
      <c r="AE60" s="21" t="n">
        <v>207.329</v>
      </c>
      <c r="AF60" s="21" t="n">
        <v>251.126</v>
      </c>
      <c r="AG60" s="21" t="n">
        <v>215.04</v>
      </c>
      <c r="AH60" s="21" t="n">
        <v>160.826</v>
      </c>
      <c r="AI60" s="21" t="n">
        <v>305.741</v>
      </c>
      <c r="AJ60" s="21" t="n">
        <v>143.345</v>
      </c>
      <c r="AK60" s="21" t="n">
        <v>210.88</v>
      </c>
      <c r="AL60" s="21" t="n">
        <v>235.639</v>
      </c>
      <c r="AM60" s="21" t="n">
        <v>191.235</v>
      </c>
      <c r="AN60" s="21" t="n">
        <v>127.784</v>
      </c>
      <c r="AO60" s="21" t="n">
        <v>227.145</v>
      </c>
      <c r="AP60" s="21" t="n">
        <v>238.933</v>
      </c>
      <c r="AQ60" s="21" t="n">
        <v>145.463</v>
      </c>
      <c r="AR60" s="21" t="n"/>
      <c r="AS60" s="21" t="n"/>
      <c r="AT60" s="21" t="n">
        <v>230.686</v>
      </c>
      <c r="AU60" s="21" t="n">
        <v>149.412</v>
      </c>
      <c r="AV60" s="21" t="n">
        <v>246.251</v>
      </c>
      <c r="AW60" s="21" t="n">
        <v>222.913</v>
      </c>
      <c r="AX60" s="21" t="n">
        <v>146.009</v>
      </c>
      <c r="AY60" s="21" t="n">
        <v>298.291</v>
      </c>
      <c r="AZ60" s="21" t="n">
        <v>185.024</v>
      </c>
      <c r="BA60" s="21" t="n">
        <v>149.316</v>
      </c>
      <c r="BB60" s="21" t="n">
        <v>214.588</v>
      </c>
      <c r="BC60" s="21" t="n">
        <v>311.69</v>
      </c>
      <c r="BD60" s="21" t="n">
        <v>200.008</v>
      </c>
      <c r="BE60" s="21" t="n">
        <v>221.515</v>
      </c>
      <c r="BF60" s="21" t="n">
        <v>143.933</v>
      </c>
      <c r="BG60" s="21" t="n">
        <v>205.147</v>
      </c>
      <c r="BH60" s="21" t="n">
        <v>148.691</v>
      </c>
      <c r="BI60" s="21" t="n">
        <v>233.878</v>
      </c>
      <c r="BJ60" s="21" t="n">
        <v>225.638</v>
      </c>
      <c r="BK60" s="21" t="n">
        <v>146.489</v>
      </c>
      <c r="BL60" s="21" t="n">
        <v>297.472</v>
      </c>
      <c r="BM60" s="21" t="n">
        <v>345.551</v>
      </c>
      <c r="BN60" s="21" t="n">
        <v>354.704</v>
      </c>
      <c r="BO60" s="21" t="n">
        <v>322.44</v>
      </c>
      <c r="BP60" s="21" t="n">
        <v>197.388</v>
      </c>
      <c r="BQ60" s="21" t="n">
        <v>257.927</v>
      </c>
      <c r="BR60" s="21" t="n">
        <v>517.973</v>
      </c>
      <c r="BS60" s="21" t="n">
        <v>114.989</v>
      </c>
      <c r="BT60" s="21" t="n">
        <v>334.579</v>
      </c>
      <c r="BU60" s="21" t="n">
        <v>347.904</v>
      </c>
      <c r="BV60" s="21" t="n">
        <v>341.849</v>
      </c>
      <c r="BW60" s="21" t="n">
        <v>329.771</v>
      </c>
      <c r="BX60" s="21" t="n">
        <v>334.546</v>
      </c>
      <c r="BY60" s="21" t="n">
        <v>154.538</v>
      </c>
      <c r="BZ60" s="21" t="n">
        <v>160.047</v>
      </c>
      <c r="CA60" s="21" t="n">
        <v>155.519</v>
      </c>
      <c r="CB60" s="21" t="n">
        <v>168.743</v>
      </c>
      <c r="CC60" s="21" t="n">
        <v>144.163</v>
      </c>
      <c r="CD60" s="21" t="n">
        <v>199.326</v>
      </c>
      <c r="CE60" s="21" t="n">
        <v>154.612</v>
      </c>
      <c r="CF60" s="21" t="n">
        <v>183.868</v>
      </c>
      <c r="CG60" s="21" t="n">
        <v>170.675</v>
      </c>
      <c r="CH60" s="21" t="n">
        <v>133.21</v>
      </c>
      <c r="CI60" s="21" t="n">
        <v>168.605</v>
      </c>
      <c r="CJ60" s="21" t="n">
        <v>175.654</v>
      </c>
      <c r="CK60" s="21" t="n">
        <v>120.726</v>
      </c>
      <c r="CL60" s="21" t="n">
        <v>116.519</v>
      </c>
      <c r="CM60" s="21" t="n">
        <v>192.688</v>
      </c>
      <c r="CN60" s="21" t="n">
        <v>200.36</v>
      </c>
      <c r="CO60" s="21" t="n">
        <v>187.462</v>
      </c>
      <c r="CP60" s="21" t="n">
        <v>130.633</v>
      </c>
      <c r="CQ60" s="21" t="n">
        <v>211.25</v>
      </c>
      <c r="CR60" s="21" t="n">
        <v>223.429</v>
      </c>
      <c r="CS60" s="21" t="n">
        <v>187.506</v>
      </c>
      <c r="CT60" s="21" t="n">
        <v>153.73</v>
      </c>
      <c r="CU60" s="21" t="n">
        <v>153.036</v>
      </c>
      <c r="CV60" s="21" t="n">
        <v>223.277</v>
      </c>
      <c r="CW60" s="21" t="n">
        <v>201.54</v>
      </c>
      <c r="CX60" s="21" t="n">
        <v>240.226</v>
      </c>
      <c r="CY60" s="21" t="n">
        <v>294.869</v>
      </c>
      <c r="CZ60" s="21" t="n">
        <v>128.356</v>
      </c>
      <c r="DA60" s="21" t="n">
        <v>153.821</v>
      </c>
      <c r="DB60" s="21" t="n">
        <v>152.233</v>
      </c>
      <c r="DC60" s="21" t="n">
        <v>225.287</v>
      </c>
      <c r="DD60" s="21" t="n">
        <v>237.823</v>
      </c>
      <c r="DE60" s="21" t="n">
        <v>168.087</v>
      </c>
      <c r="DF60" s="21" t="n">
        <v>251.09</v>
      </c>
      <c r="DG60" s="21" t="n">
        <v>239.777</v>
      </c>
      <c r="DH60" s="21" t="n">
        <v>151.537</v>
      </c>
      <c r="DI60" s="21" t="n">
        <v>141.371</v>
      </c>
      <c r="DJ60" s="21" t="n">
        <v>137.868</v>
      </c>
      <c r="DK60" s="21" t="n">
        <v>273.245</v>
      </c>
      <c r="DL60" s="21" t="n">
        <v>170.38</v>
      </c>
      <c r="DM60" s="21" t="n">
        <v>133.558</v>
      </c>
      <c r="DN60" s="21" t="n">
        <v>128.787</v>
      </c>
      <c r="DO60" s="21" t="n">
        <v>287.255</v>
      </c>
      <c r="DP60" s="21" t="n">
        <v>178.585</v>
      </c>
      <c r="DQ60" s="21" t="n">
        <v>183.32</v>
      </c>
      <c r="DR60" s="21" t="n">
        <v>182.993</v>
      </c>
      <c r="DS60" s="21" t="n">
        <v>152.243</v>
      </c>
      <c r="DT60" s="21" t="n">
        <v>169.395</v>
      </c>
      <c r="DU60" s="21" t="n">
        <v>198.339</v>
      </c>
      <c r="DV60" s="21" t="n">
        <v>252.463</v>
      </c>
      <c r="DW60" s="21" t="n">
        <v>205.127</v>
      </c>
      <c r="DX60" s="21" t="n">
        <v>231.225</v>
      </c>
      <c r="DY60" s="21" t="n">
        <v>191.565</v>
      </c>
      <c r="DZ60" s="21" t="n">
        <v>204.246</v>
      </c>
      <c r="EA60" s="21" t="n">
        <v>187.302</v>
      </c>
      <c r="EB60" s="21" t="n">
        <v>171.085</v>
      </c>
      <c r="EC60" s="21" t="n">
        <v>355.902</v>
      </c>
      <c r="ED60" s="21" t="n">
        <v>174.305</v>
      </c>
      <c r="EE60" s="21" t="n">
        <v>192.161</v>
      </c>
      <c r="EF60" s="21" t="n">
        <v>192.692</v>
      </c>
      <c r="EG60" s="21" t="n">
        <v>267.925</v>
      </c>
      <c r="EH60" s="21" t="n">
        <v>321.267</v>
      </c>
      <c r="EI60" s="21" t="n">
        <v>335.819</v>
      </c>
      <c r="EJ60" s="21" t="n">
        <v>152.399</v>
      </c>
      <c r="EK60" s="21" t="n">
        <v>568.894</v>
      </c>
      <c r="EL60" s="21" t="n">
        <v>307.752</v>
      </c>
      <c r="EM60" s="21" t="n">
        <v>329.745</v>
      </c>
      <c r="EN60" s="21" t="n">
        <v>329.785</v>
      </c>
      <c r="EO60" s="21" t="n">
        <v>151.842</v>
      </c>
      <c r="EP60" s="21" t="n">
        <v>241.459</v>
      </c>
      <c r="EQ60" s="21" t="n">
        <v>198.123</v>
      </c>
      <c r="ER60" s="21" t="n">
        <v>281.017</v>
      </c>
      <c r="ES60" s="21" t="n">
        <v>284.797</v>
      </c>
      <c r="ET60" s="21" t="n">
        <v>325.446</v>
      </c>
      <c r="EU60" s="21" t="n">
        <v>201.387</v>
      </c>
      <c r="EV60" s="21" t="n">
        <v>210.365</v>
      </c>
      <c r="EW60" s="21" t="n">
        <v>171.629</v>
      </c>
      <c r="EX60" s="21" t="n">
        <v>247.364</v>
      </c>
      <c r="EY60" s="21" t="n">
        <v>574.691</v>
      </c>
      <c r="EZ60" s="21" t="n">
        <v>486.485</v>
      </c>
      <c r="FA60" s="21" t="n">
        <v>123.733</v>
      </c>
      <c r="FB60" s="21" t="n">
        <v>54.557</v>
      </c>
      <c r="FC60" s="21" t="n">
        <v>111.1</v>
      </c>
      <c r="FD60" s="21" t="n">
        <v>60.762</v>
      </c>
      <c r="FE60" s="21" t="n">
        <v>41.161</v>
      </c>
      <c r="FF60" s="21" t="n">
        <v>113.699</v>
      </c>
      <c r="FG60" s="21" t="n">
        <v>130.478</v>
      </c>
      <c r="FH60" s="21" t="n">
        <v>88.45399999999999</v>
      </c>
      <c r="FI60" s="21" t="n">
        <v>67.142</v>
      </c>
      <c r="FJ60" s="21" t="n">
        <v>110.155</v>
      </c>
      <c r="FK60" s="21" t="n">
        <v>76.714</v>
      </c>
      <c r="FL60" s="21" t="n">
        <v>79.914</v>
      </c>
      <c r="FM60" s="21" t="n">
        <v>90.83199999999999</v>
      </c>
      <c r="FN60" s="21" t="n">
        <v>67.812</v>
      </c>
      <c r="FO60" s="21" t="n">
        <v>50.462</v>
      </c>
      <c r="FP60" s="21" t="n">
        <v>37.395</v>
      </c>
      <c r="FQ60" s="21" t="n">
        <v>130.382</v>
      </c>
      <c r="FR60" s="21" t="n">
        <v>47.272</v>
      </c>
      <c r="FS60" s="21" t="n">
        <v>78.13500000000001</v>
      </c>
      <c r="FT60" s="21" t="n">
        <v>90.42400000000001</v>
      </c>
      <c r="FU60" s="21" t="n">
        <v>98.11799999999999</v>
      </c>
      <c r="FV60" s="21" t="n">
        <v>86.83799999999999</v>
      </c>
      <c r="FW60" s="21" t="n">
        <v>190.082</v>
      </c>
      <c r="FX60" s="21" t="n">
        <v>120.526</v>
      </c>
      <c r="FY60" s="21" t="n">
        <v>178.201</v>
      </c>
      <c r="FZ60" s="21" t="n">
        <v>118.341</v>
      </c>
      <c r="GA60" s="21" t="n">
        <v>197.336</v>
      </c>
      <c r="GB60" s="21" t="n">
        <v>172.001</v>
      </c>
      <c r="GC60" s="21" t="n">
        <v>211.474</v>
      </c>
      <c r="GD60" s="21" t="n">
        <v>169.806</v>
      </c>
      <c r="GE60" s="21" t="n">
        <v>270.743</v>
      </c>
      <c r="GF60" s="21" t="n">
        <v>122.986</v>
      </c>
      <c r="GG60" s="21" t="n">
        <v>117.218</v>
      </c>
      <c r="GH60" s="21" t="n">
        <v>118.951</v>
      </c>
      <c r="GI60" s="21" t="n">
        <v>109.803</v>
      </c>
      <c r="GJ60" s="21" t="n">
        <v>155.353</v>
      </c>
      <c r="GK60" s="21" t="n">
        <v>74.79300000000001</v>
      </c>
      <c r="GL60" s="21" t="n">
        <v>113.678</v>
      </c>
      <c r="GM60" s="21" t="n">
        <v>108.679</v>
      </c>
      <c r="GN60" s="21" t="n">
        <v>105.181</v>
      </c>
      <c r="GO60" s="21" t="n">
        <v>107.423</v>
      </c>
      <c r="GP60" s="21" t="n">
        <v>103.916</v>
      </c>
      <c r="GQ60" s="21" t="n">
        <v>112.622</v>
      </c>
      <c r="GR60" s="21" t="n">
        <v>73.93000000000001</v>
      </c>
      <c r="GS60" s="21" t="n">
        <v>103.796</v>
      </c>
      <c r="GT60" s="21" t="n">
        <v>93.98099999999999</v>
      </c>
      <c r="GU60" s="21" t="n">
        <v>137.767</v>
      </c>
      <c r="GV60" s="21" t="n">
        <v>141.208</v>
      </c>
      <c r="GW60" s="21" t="n">
        <v>158.478</v>
      </c>
      <c r="GX60" s="21" t="n">
        <v>125.078</v>
      </c>
      <c r="GY60" s="21" t="n">
        <v>116.964</v>
      </c>
      <c r="GZ60" s="21" t="n">
        <v>169.844</v>
      </c>
      <c r="HA60" s="21" t="n">
        <v>140.624</v>
      </c>
      <c r="HB60" s="21" t="n">
        <v>168.345</v>
      </c>
      <c r="HC60" s="21" t="n">
        <v>209.763</v>
      </c>
      <c r="HD60" s="21" t="n">
        <v>205.317</v>
      </c>
      <c r="HE60" s="21" t="n">
        <v>98.441</v>
      </c>
      <c r="HF60" s="21" t="n">
        <v>145.728</v>
      </c>
      <c r="HG60" s="21" t="n">
        <v>100.983</v>
      </c>
      <c r="HH60" s="21" t="n">
        <v>141.921</v>
      </c>
      <c r="HI60" s="21" t="n">
        <v>155.123</v>
      </c>
      <c r="HJ60" s="21" t="n"/>
      <c r="HK60" s="21" t="n">
        <v>137.407</v>
      </c>
      <c r="HL60" s="21" t="n">
        <v>85.84099999999999</v>
      </c>
      <c r="HM60" s="21" t="n">
        <v>134.654</v>
      </c>
      <c r="HN60" s="21" t="n">
        <v>233.851</v>
      </c>
      <c r="HO60" s="21" t="n">
        <v>232.575</v>
      </c>
      <c r="HP60" s="21" t="n">
        <v>226.962</v>
      </c>
      <c r="HQ60" s="21" t="n">
        <v>253.54</v>
      </c>
      <c r="HR60" s="21" t="n">
        <v>251.971</v>
      </c>
      <c r="HS60" s="21" t="n">
        <v>223.62</v>
      </c>
      <c r="HT60" s="21" t="n">
        <v>147.608</v>
      </c>
      <c r="HU60" s="21" t="n">
        <v>125.742</v>
      </c>
      <c r="HV60" s="21" t="n">
        <v>177.531</v>
      </c>
      <c r="HW60" s="21" t="n">
        <v>167.719</v>
      </c>
      <c r="HX60" s="21" t="n">
        <v>389.716</v>
      </c>
      <c r="HY60" s="21" t="n">
        <v>299.26</v>
      </c>
      <c r="HZ60" s="21" t="n">
        <v>318.36</v>
      </c>
      <c r="IA60" s="21" t="n">
        <v>272.934</v>
      </c>
      <c r="IB60" s="21" t="n">
        <v>180.352</v>
      </c>
      <c r="IC60" s="21" t="n">
        <v>571.987</v>
      </c>
      <c r="ID60" s="21" t="n">
        <v>194.994</v>
      </c>
      <c r="IE60" s="21" t="n">
        <v>183.185</v>
      </c>
      <c r="IF60" s="21" t="n">
        <v>213.915</v>
      </c>
      <c r="IG60" s="21" t="n">
        <v>240.387</v>
      </c>
      <c r="IH60" s="21" t="n">
        <v>120.361</v>
      </c>
      <c r="II60" s="21" t="n">
        <v>261.77</v>
      </c>
      <c r="IJ60" s="21" t="n">
        <v>268.994</v>
      </c>
      <c r="IK60" s="21" t="n">
        <v>157.462</v>
      </c>
      <c r="IL60" s="21" t="n">
        <v>170.179</v>
      </c>
      <c r="IM60" s="21" t="n"/>
      <c r="IN60" s="21" t="n">
        <v>63.234</v>
      </c>
      <c r="IO60" s="21" t="n">
        <v>326.193</v>
      </c>
      <c r="IP60" s="21" t="n">
        <v>130.55</v>
      </c>
      <c r="IQ60" s="21" t="n">
        <v>507.541</v>
      </c>
      <c r="IR60" s="21" t="n">
        <v>383.025</v>
      </c>
      <c r="IS60" s="21" t="n">
        <v>125.305</v>
      </c>
      <c r="IT60" s="21" t="n">
        <v>528.285</v>
      </c>
      <c r="IU60" s="21" t="n">
        <v>98.23699999999999</v>
      </c>
      <c r="IV60" s="21" t="n">
        <v>103.465</v>
      </c>
      <c r="IW60" s="21" t="n">
        <v>547.735</v>
      </c>
      <c r="IX60" s="21" t="n">
        <v>384.543</v>
      </c>
      <c r="IY60" s="21" t="n">
        <v>385.01</v>
      </c>
      <c r="IZ60" s="21" t="n">
        <v>500.131</v>
      </c>
      <c r="JA60" s="21" t="n">
        <v>192.157</v>
      </c>
      <c r="JB60" s="21" t="n">
        <v>239.923</v>
      </c>
      <c r="JC60" s="21" t="n">
        <v>81.866</v>
      </c>
      <c r="JD60" s="21" t="n">
        <v>345.227</v>
      </c>
      <c r="JE60" s="21" t="n">
        <v>336.401</v>
      </c>
      <c r="JF60" s="21" t="n">
        <v>757.64</v>
      </c>
      <c r="JG60" s="21" t="n">
        <v>236.866</v>
      </c>
      <c r="JH60" s="21" t="n">
        <v>124.421</v>
      </c>
      <c r="JI60" s="21" t="n">
        <v>166.852</v>
      </c>
      <c r="JJ60" s="21" t="n">
        <v>121.381</v>
      </c>
      <c r="JK60" s="21" t="n">
        <v>104.946</v>
      </c>
      <c r="JL60" s="21" t="n">
        <v>140.996</v>
      </c>
      <c r="JM60" s="21" t="n">
        <v>484.836</v>
      </c>
      <c r="JN60" s="21" t="n">
        <v>118.728</v>
      </c>
      <c r="JO60" s="21" t="n">
        <v>72.148</v>
      </c>
      <c r="JP60" s="21" t="n">
        <v>35.788</v>
      </c>
      <c r="JQ60" s="21" t="n">
        <v>136.219</v>
      </c>
      <c r="JR60" s="21" t="n">
        <v>27.066</v>
      </c>
      <c r="JS60" s="21" t="n">
        <v>80.586</v>
      </c>
      <c r="JT60" s="21" t="n">
        <v>179.583</v>
      </c>
      <c r="JU60" s="21" t="n">
        <v>205.186</v>
      </c>
      <c r="JV60" s="21" t="n">
        <v>156.5</v>
      </c>
      <c r="JW60" s="21" t="n">
        <v>117.942</v>
      </c>
      <c r="JX60" s="21" t="n">
        <v>256.464</v>
      </c>
      <c r="JY60" s="21" t="n">
        <v>197.415</v>
      </c>
      <c r="JZ60" s="21" t="n">
        <v>270.766</v>
      </c>
      <c r="KA60" s="21" t="n">
        <v>114.091</v>
      </c>
      <c r="KB60" s="21" t="n">
        <v>158.258</v>
      </c>
      <c r="KC60" s="21" t="n">
        <v>77.479</v>
      </c>
      <c r="KD60" s="21" t="n">
        <v>74.443</v>
      </c>
      <c r="KE60" s="21" t="n">
        <v>55.778</v>
      </c>
      <c r="KF60" s="21" t="n"/>
      <c r="KG60" s="21" t="n">
        <v>23.37</v>
      </c>
      <c r="KH60" s="21" t="n">
        <v>118.919</v>
      </c>
      <c r="KI60" s="21" t="n">
        <v>122.596</v>
      </c>
      <c r="KJ60" s="21" t="n">
        <v>112.72</v>
      </c>
      <c r="KK60" s="21" t="n">
        <v>34.35</v>
      </c>
      <c r="KL60" s="21" t="n">
        <v>30.012</v>
      </c>
      <c r="KM60" s="21" t="n">
        <v>37.543</v>
      </c>
      <c r="KN60" s="21" t="n"/>
      <c r="KO60" s="21" t="n">
        <v>99.842</v>
      </c>
      <c r="KP60" s="21" t="n">
        <v>105.324</v>
      </c>
      <c r="KQ60" s="21" t="n">
        <v>173.494</v>
      </c>
      <c r="KR60" s="21" t="n">
        <v>144.777</v>
      </c>
      <c r="KS60" s="21" t="n">
        <v>392.517</v>
      </c>
      <c r="KT60" s="21" t="n">
        <v>188.09</v>
      </c>
      <c r="KU60" s="21" t="n">
        <v>232.212</v>
      </c>
      <c r="KV60" s="21" t="n">
        <v>320.39</v>
      </c>
      <c r="KW60" s="21" t="n">
        <v>262.555</v>
      </c>
      <c r="KX60" s="21" t="n">
        <v>195.332</v>
      </c>
      <c r="KY60" s="21" t="n">
        <v>96.211</v>
      </c>
      <c r="KZ60" s="21" t="n">
        <v>138.92</v>
      </c>
      <c r="LA60" s="21" t="n">
        <v>268.88</v>
      </c>
      <c r="LB60" s="21" t="n">
        <v>680.251</v>
      </c>
      <c r="LC60" s="21" t="n">
        <v>235.006</v>
      </c>
      <c r="LD60" s="21" t="n">
        <v>772.102</v>
      </c>
      <c r="LE60" s="21" t="n">
        <v>875.756</v>
      </c>
      <c r="LF60" s="21" t="n">
        <v>83.90300000000001</v>
      </c>
      <c r="LG60" s="21" t="n">
        <v>306.903</v>
      </c>
      <c r="LH60" s="21" t="n">
        <v>254.64</v>
      </c>
      <c r="LI60" s="21" t="n">
        <v>73.578</v>
      </c>
      <c r="LJ60" s="21" t="n">
        <v>195.354</v>
      </c>
      <c r="LK60" s="21" t="n">
        <v>307.042</v>
      </c>
      <c r="LL60" s="21" t="n">
        <v>319.014</v>
      </c>
      <c r="LM60" s="21" t="n">
        <v>69.569</v>
      </c>
      <c r="LN60" s="21" t="n">
        <v>90.172</v>
      </c>
      <c r="LO60" s="21" t="n">
        <v>46.387</v>
      </c>
      <c r="LP60" s="21" t="n">
        <v>125.027</v>
      </c>
      <c r="LQ60" s="21" t="n"/>
      <c r="LR60" s="21" t="n"/>
      <c r="LS60" s="21" t="n">
        <v>109.741</v>
      </c>
      <c r="LT60" s="21" t="n">
        <v>38.868</v>
      </c>
      <c r="LU60" s="21" t="n">
        <v>28.077</v>
      </c>
      <c r="LV60" s="21" t="n">
        <v>77.79000000000001</v>
      </c>
      <c r="LW60" s="21" t="n">
        <v>202.685</v>
      </c>
      <c r="LX60" s="21" t="n"/>
      <c r="LY60" s="21" t="n">
        <v>456.262</v>
      </c>
      <c r="LZ60" s="21" t="n">
        <v>72.06399999999999</v>
      </c>
      <c r="MA60" s="21" t="n">
        <v>468.795</v>
      </c>
      <c r="MB60" s="21" t="n">
        <v>283.894</v>
      </c>
      <c r="MC60" s="21" t="n">
        <v>235.797</v>
      </c>
      <c r="MD60" s="21" t="n">
        <v>161.193</v>
      </c>
      <c r="ME60" s="21" t="n">
        <v>103.776</v>
      </c>
      <c r="MF60" s="21" t="n">
        <v>182.375</v>
      </c>
      <c r="MG60" s="21" t="n">
        <v>274.682</v>
      </c>
      <c r="MH60" s="21" t="n">
        <v>167.601</v>
      </c>
      <c r="MI60" s="21" t="n">
        <v>450.613</v>
      </c>
      <c r="MJ60" s="21" t="n">
        <v>364.384</v>
      </c>
      <c r="MK60" s="21" t="n">
        <v>339.836</v>
      </c>
      <c r="ML60" s="21" t="n">
        <v>177.883</v>
      </c>
      <c r="MM60" s="21" t="n">
        <v>201.64</v>
      </c>
      <c r="MN60" s="21" t="n">
        <v>363.696</v>
      </c>
      <c r="MO60" s="21" t="n">
        <v>172.617</v>
      </c>
      <c r="MP60" s="21" t="n">
        <v>253.03</v>
      </c>
      <c r="MQ60" s="21" t="n">
        <v>76.258</v>
      </c>
      <c r="MR60" s="21" t="n">
        <v>156.694</v>
      </c>
      <c r="MS60" s="21" t="n">
        <v>68.185</v>
      </c>
      <c r="MT60" s="21" t="n">
        <v>245.206</v>
      </c>
      <c r="MU60" s="21" t="n">
        <v>263.545</v>
      </c>
      <c r="MV60" s="21" t="n">
        <v>256.839</v>
      </c>
      <c r="MW60" s="21" t="n">
        <v>265.108</v>
      </c>
      <c r="MX60" s="21" t="n">
        <v>235.162</v>
      </c>
      <c r="MY60" s="21" t="n">
        <v>228.802</v>
      </c>
      <c r="MZ60" s="21" t="n">
        <v>233.955</v>
      </c>
      <c r="NA60" s="21" t="n">
        <v>239.999</v>
      </c>
      <c r="NB60" s="21" t="n">
        <v>115.053</v>
      </c>
      <c r="NC60" s="21" t="n">
        <v>185.186</v>
      </c>
      <c r="ND60" s="21" t="n">
        <v>152.412</v>
      </c>
      <c r="NE60" s="21" t="n">
        <v>148.997</v>
      </c>
      <c r="NF60" s="21" t="n">
        <v>143.722</v>
      </c>
      <c r="NG60" s="21" t="n">
        <v>145.111</v>
      </c>
      <c r="NH60" s="21" t="n">
        <v>249.46</v>
      </c>
      <c r="NI60" s="21" t="n">
        <v>103.902</v>
      </c>
      <c r="NJ60" s="21" t="n">
        <v>70.496</v>
      </c>
      <c r="NK60" s="21" t="n">
        <v>112.099</v>
      </c>
      <c r="NL60" s="21" t="n">
        <v>214.636</v>
      </c>
      <c r="NM60" s="21" t="n">
        <v>237.972</v>
      </c>
      <c r="NN60" s="21" t="n">
        <v>90.342</v>
      </c>
      <c r="NO60" s="21" t="n">
        <v>50.53</v>
      </c>
      <c r="NP60" s="21" t="n">
        <v>227.202</v>
      </c>
      <c r="NQ60" s="21" t="n">
        <v>199.858</v>
      </c>
      <c r="NR60" s="21" t="n">
        <v>246.041</v>
      </c>
      <c r="NS60" s="21" t="n">
        <v>196.581</v>
      </c>
      <c r="NT60" s="21" t="n">
        <v>246.704</v>
      </c>
      <c r="NU60" s="21" t="n">
        <v>116.027</v>
      </c>
      <c r="NV60" s="21" t="n">
        <v>125.823</v>
      </c>
      <c r="NW60" s="21" t="n">
        <v>362.303</v>
      </c>
      <c r="NX60" s="21" t="n">
        <v>79.889</v>
      </c>
      <c r="NY60" s="21" t="n">
        <v>125.533</v>
      </c>
      <c r="NZ60" s="21" t="n">
        <v>334.992</v>
      </c>
      <c r="OA60" s="21" t="n">
        <v>328.311</v>
      </c>
      <c r="OB60" s="21" t="n">
        <v>341.032</v>
      </c>
      <c r="OC60" s="21" t="n">
        <v>311.687</v>
      </c>
      <c r="OD60" s="21" t="n">
        <v>346.023</v>
      </c>
      <c r="OE60" s="21" t="n">
        <v>103.779</v>
      </c>
      <c r="OF60" s="21" t="n">
        <v>326.686</v>
      </c>
      <c r="OG60" s="21" t="n">
        <v>218.568</v>
      </c>
      <c r="OH60" s="21" t="n">
        <v>37.625</v>
      </c>
      <c r="OI60" s="21" t="n">
        <v>128.809</v>
      </c>
      <c r="OJ60" s="21" t="n">
        <v>38.9</v>
      </c>
      <c r="OK60" s="21" t="n">
        <v>13</v>
      </c>
    </row>
    <row r="61">
      <c r="A61" s="22" t="n">
        <v>43800</v>
      </c>
      <c r="B61" s="21" t="n">
        <v>256.974</v>
      </c>
      <c r="C61" s="21" t="n">
        <v>769.7809999999999</v>
      </c>
      <c r="D61" s="21" t="n">
        <v>259.403</v>
      </c>
      <c r="E61" s="21" t="n">
        <v>259.823</v>
      </c>
      <c r="F61" s="21" t="n">
        <v>241.75</v>
      </c>
      <c r="G61" s="21" t="n">
        <v>275.036</v>
      </c>
      <c r="H61" s="21" t="n">
        <v>224.896</v>
      </c>
      <c r="I61" s="21" t="n">
        <v>225.638</v>
      </c>
      <c r="J61" s="21" t="n">
        <v>221.618</v>
      </c>
      <c r="K61" s="21" t="n">
        <v>234.282</v>
      </c>
      <c r="L61" s="21" t="n">
        <v>158.079</v>
      </c>
      <c r="M61" s="21" t="n">
        <v>304.051</v>
      </c>
      <c r="N61" s="21" t="n">
        <v>186.499</v>
      </c>
      <c r="O61" s="21" t="n">
        <v>339.524</v>
      </c>
      <c r="P61" s="21" t="n">
        <v>361.061</v>
      </c>
      <c r="Q61" s="21" t="n">
        <v>180.359</v>
      </c>
      <c r="R61" s="21" t="n">
        <v>287.726</v>
      </c>
      <c r="S61" s="21" t="n">
        <v>312.827</v>
      </c>
      <c r="T61" s="21" t="n">
        <v>268.471</v>
      </c>
      <c r="U61" s="21" t="n">
        <v>266.853</v>
      </c>
      <c r="V61" s="21" t="n">
        <v>314.018</v>
      </c>
      <c r="W61" s="21" t="n">
        <v>303.588</v>
      </c>
      <c r="X61" s="21" t="n">
        <v>262.152</v>
      </c>
      <c r="Y61" s="21" t="n">
        <v>252.893</v>
      </c>
      <c r="Z61" s="21" t="n">
        <v>255.899</v>
      </c>
      <c r="AA61" s="21" t="n">
        <v>258.572</v>
      </c>
      <c r="AB61" s="21" t="n">
        <v>313.818</v>
      </c>
      <c r="AC61" s="21" t="n">
        <v>275.926</v>
      </c>
      <c r="AD61" s="21" t="n">
        <v>240.213</v>
      </c>
      <c r="AE61" s="21" t="n">
        <v>211.16</v>
      </c>
      <c r="AF61" s="21" t="n">
        <v>250.883</v>
      </c>
      <c r="AG61" s="21" t="n">
        <v>213.177</v>
      </c>
      <c r="AH61" s="21" t="n">
        <v>160.178</v>
      </c>
      <c r="AI61" s="21" t="n">
        <v>302.752</v>
      </c>
      <c r="AJ61" s="21" t="n">
        <v>143.451</v>
      </c>
      <c r="AK61" s="21" t="n">
        <v>199.772</v>
      </c>
      <c r="AL61" s="21" t="n">
        <v>221.789</v>
      </c>
      <c r="AM61" s="21" t="n">
        <v>191.834</v>
      </c>
      <c r="AN61" s="21" t="n">
        <v>129.193</v>
      </c>
      <c r="AO61" s="21" t="n">
        <v>227.149</v>
      </c>
      <c r="AP61" s="21" t="n">
        <v>234.689</v>
      </c>
      <c r="AQ61" s="21" t="n">
        <v>145.986</v>
      </c>
      <c r="AR61" s="21" t="n"/>
      <c r="AS61" s="21" t="n"/>
      <c r="AT61" s="21" t="n">
        <v>234.502</v>
      </c>
      <c r="AU61" s="21" t="n">
        <v>152.095</v>
      </c>
      <c r="AV61" s="21" t="n">
        <v>254.314</v>
      </c>
      <c r="AW61" s="21" t="n">
        <v>225.547</v>
      </c>
      <c r="AX61" s="21" t="n">
        <v>147.475</v>
      </c>
      <c r="AY61" s="21" t="n">
        <v>298.123</v>
      </c>
      <c r="AZ61" s="21" t="n">
        <v>186.119</v>
      </c>
      <c r="BA61" s="21" t="n">
        <v>148.213</v>
      </c>
      <c r="BB61" s="21" t="n">
        <v>214.012</v>
      </c>
      <c r="BC61" s="21" t="n">
        <v>307.827</v>
      </c>
      <c r="BD61" s="21" t="n">
        <v>213.421</v>
      </c>
      <c r="BE61" s="21" t="n">
        <v>221.924</v>
      </c>
      <c r="BF61" s="21" t="n">
        <v>144.845</v>
      </c>
      <c r="BG61" s="21" t="n">
        <v>206.342</v>
      </c>
      <c r="BH61" s="21" t="n">
        <v>148.983</v>
      </c>
      <c r="BI61" s="21" t="n">
        <v>234.486</v>
      </c>
      <c r="BJ61" s="21" t="n">
        <v>224.202</v>
      </c>
      <c r="BK61" s="21" t="n">
        <v>146.563</v>
      </c>
      <c r="BL61" s="21" t="n">
        <v>297.105</v>
      </c>
      <c r="BM61" s="21" t="n">
        <v>344.851</v>
      </c>
      <c r="BN61" s="21" t="n">
        <v>353.047</v>
      </c>
      <c r="BO61" s="21" t="n">
        <v>314.932</v>
      </c>
      <c r="BP61" s="21" t="n">
        <v>197.506</v>
      </c>
      <c r="BQ61" s="21" t="n">
        <v>242.295</v>
      </c>
      <c r="BR61" s="21" t="n">
        <v>476.229</v>
      </c>
      <c r="BS61" s="21" t="n">
        <v>119.388</v>
      </c>
      <c r="BT61" s="21" t="n">
        <v>334.875</v>
      </c>
      <c r="BU61" s="21" t="n">
        <v>351.033</v>
      </c>
      <c r="BV61" s="21" t="n">
        <v>335.223</v>
      </c>
      <c r="BW61" s="21" t="n">
        <v>337.043</v>
      </c>
      <c r="BX61" s="21" t="n">
        <v>333.702</v>
      </c>
      <c r="BY61" s="21" t="n">
        <v>154.805</v>
      </c>
      <c r="BZ61" s="21" t="n">
        <v>161.607</v>
      </c>
      <c r="CA61" s="21" t="n">
        <v>158.701</v>
      </c>
      <c r="CB61" s="21" t="n">
        <v>169.146</v>
      </c>
      <c r="CC61" s="21" t="n">
        <v>142.654</v>
      </c>
      <c r="CD61" s="21" t="n">
        <v>195.858</v>
      </c>
      <c r="CE61" s="21" t="n">
        <v>154.022</v>
      </c>
      <c r="CF61" s="21" t="n">
        <v>182.756</v>
      </c>
      <c r="CG61" s="21" t="n">
        <v>170.006</v>
      </c>
      <c r="CH61" s="21" t="n">
        <v>133.202</v>
      </c>
      <c r="CI61" s="21" t="n">
        <v>166.556</v>
      </c>
      <c r="CJ61" s="21" t="n">
        <v>177.387</v>
      </c>
      <c r="CK61" s="21" t="n">
        <v>121.766</v>
      </c>
      <c r="CL61" s="21" t="n">
        <v>114.948</v>
      </c>
      <c r="CM61" s="21" t="n">
        <v>188.564</v>
      </c>
      <c r="CN61" s="21" t="n">
        <v>196.173</v>
      </c>
      <c r="CO61" s="21" t="n">
        <v>183.984</v>
      </c>
      <c r="CP61" s="21" t="n">
        <v>130.685</v>
      </c>
      <c r="CQ61" s="21" t="n">
        <v>210.432</v>
      </c>
      <c r="CR61" s="21" t="n">
        <v>220.581</v>
      </c>
      <c r="CS61" s="21" t="n">
        <v>186.257</v>
      </c>
      <c r="CT61" s="21" t="n">
        <v>151.161</v>
      </c>
      <c r="CU61" s="21" t="n">
        <v>152.533</v>
      </c>
      <c r="CV61" s="21" t="n">
        <v>221.93</v>
      </c>
      <c r="CW61" s="21" t="n">
        <v>199.761</v>
      </c>
      <c r="CX61" s="21" t="n">
        <v>239.313</v>
      </c>
      <c r="CY61" s="21" t="n">
        <v>290.637</v>
      </c>
      <c r="CZ61" s="21" t="n">
        <v>129.856</v>
      </c>
      <c r="DA61" s="21" t="n">
        <v>151.723</v>
      </c>
      <c r="DB61" s="21" t="n">
        <v>151.943</v>
      </c>
      <c r="DC61" s="21" t="n">
        <v>224.916</v>
      </c>
      <c r="DD61" s="21" t="n">
        <v>238.148</v>
      </c>
      <c r="DE61" s="21" t="n">
        <v>166.066</v>
      </c>
      <c r="DF61" s="21" t="n">
        <v>248.192</v>
      </c>
      <c r="DG61" s="21" t="n">
        <v>238.479</v>
      </c>
      <c r="DH61" s="21" t="n">
        <v>151.423</v>
      </c>
      <c r="DI61" s="21" t="n">
        <v>140.679</v>
      </c>
      <c r="DJ61" s="21" t="n">
        <v>137.783</v>
      </c>
      <c r="DK61" s="21" t="n">
        <v>270.737</v>
      </c>
      <c r="DL61" s="21" t="n">
        <v>167.801</v>
      </c>
      <c r="DM61" s="21" t="n">
        <v>135.649</v>
      </c>
      <c r="DN61" s="21" t="n">
        <v>133.665</v>
      </c>
      <c r="DO61" s="21" t="n">
        <v>288.078</v>
      </c>
      <c r="DP61" s="21" t="n">
        <v>178.981</v>
      </c>
      <c r="DQ61" s="21" t="n">
        <v>184.074</v>
      </c>
      <c r="DR61" s="21" t="n">
        <v>183.089</v>
      </c>
      <c r="DS61" s="21" t="n">
        <v>152.15</v>
      </c>
      <c r="DT61" s="21" t="n">
        <v>169.431</v>
      </c>
      <c r="DU61" s="21" t="n">
        <v>198.31</v>
      </c>
      <c r="DV61" s="21" t="n">
        <v>252.361</v>
      </c>
      <c r="DW61" s="21" t="n">
        <v>204.376</v>
      </c>
      <c r="DX61" s="21" t="n">
        <v>232.228</v>
      </c>
      <c r="DY61" s="21" t="n">
        <v>191.793</v>
      </c>
      <c r="DZ61" s="21" t="n">
        <v>204.407</v>
      </c>
      <c r="EA61" s="21" t="n">
        <v>187.821</v>
      </c>
      <c r="EB61" s="21" t="n">
        <v>168.734</v>
      </c>
      <c r="EC61" s="21" t="n">
        <v>357.664</v>
      </c>
      <c r="ED61" s="21" t="n">
        <v>175.329</v>
      </c>
      <c r="EE61" s="21" t="n">
        <v>192.856</v>
      </c>
      <c r="EF61" s="21" t="n">
        <v>192.885</v>
      </c>
      <c r="EG61" s="21" t="n">
        <v>268.236</v>
      </c>
      <c r="EH61" s="21" t="n">
        <v>321.766</v>
      </c>
      <c r="EI61" s="21" t="n">
        <v>336.789</v>
      </c>
      <c r="EJ61" s="21" t="n">
        <v>147.59</v>
      </c>
      <c r="EK61" s="21" t="n">
        <v>570.4299999999999</v>
      </c>
      <c r="EL61" s="21" t="n">
        <v>296.495</v>
      </c>
      <c r="EM61" s="21" t="n">
        <v>330.527</v>
      </c>
      <c r="EN61" s="21" t="n">
        <v>330.569</v>
      </c>
      <c r="EO61" s="21" t="n">
        <v>151.654</v>
      </c>
      <c r="EP61" s="21" t="n">
        <v>241.788</v>
      </c>
      <c r="EQ61" s="21" t="n">
        <v>198.426</v>
      </c>
      <c r="ER61" s="21" t="n">
        <v>287.781</v>
      </c>
      <c r="ES61" s="21" t="n">
        <v>288.766</v>
      </c>
      <c r="ET61" s="21" t="n">
        <v>338.492</v>
      </c>
      <c r="EU61" s="21" t="n">
        <v>201.446</v>
      </c>
      <c r="EV61" s="21" t="n">
        <v>209.725</v>
      </c>
      <c r="EW61" s="21" t="n">
        <v>173.652</v>
      </c>
      <c r="EX61" s="21" t="n">
        <v>247.567</v>
      </c>
      <c r="EY61" s="21" t="n">
        <v>575.232</v>
      </c>
      <c r="EZ61" s="21" t="n">
        <v>486.708</v>
      </c>
      <c r="FA61" s="21" t="n">
        <v>123.462</v>
      </c>
      <c r="FB61" s="21" t="n">
        <v>55.132</v>
      </c>
      <c r="FC61" s="21" t="n">
        <v>111.938</v>
      </c>
      <c r="FD61" s="21" t="n">
        <v>64.161</v>
      </c>
      <c r="FE61" s="21" t="n">
        <v>41.088</v>
      </c>
      <c r="FF61" s="21" t="n">
        <v>113.223</v>
      </c>
      <c r="FG61" s="21" t="n">
        <v>130.664</v>
      </c>
      <c r="FH61" s="21" t="n">
        <v>87.574</v>
      </c>
      <c r="FI61" s="21" t="n">
        <v>67.271</v>
      </c>
      <c r="FJ61" s="21" t="n">
        <v>110.538</v>
      </c>
      <c r="FK61" s="21" t="n">
        <v>76.396</v>
      </c>
      <c r="FL61" s="21" t="n">
        <v>79.224</v>
      </c>
      <c r="FM61" s="21" t="n">
        <v>89.295</v>
      </c>
      <c r="FN61" s="21" t="n">
        <v>67.694</v>
      </c>
      <c r="FO61" s="21" t="n">
        <v>49.601</v>
      </c>
      <c r="FP61" s="21" t="n">
        <v>36.253</v>
      </c>
      <c r="FQ61" s="21" t="n">
        <v>131.012</v>
      </c>
      <c r="FR61" s="21" t="n">
        <v>46.697</v>
      </c>
      <c r="FS61" s="21" t="n">
        <v>78.29000000000001</v>
      </c>
      <c r="FT61" s="21" t="n">
        <v>90.42</v>
      </c>
      <c r="FU61" s="21" t="n">
        <v>97.398</v>
      </c>
      <c r="FV61" s="21" t="n">
        <v>87.217</v>
      </c>
      <c r="FW61" s="21" t="n">
        <v>190.155</v>
      </c>
      <c r="FX61" s="21" t="n">
        <v>121.04</v>
      </c>
      <c r="FY61" s="21" t="n">
        <v>178.361</v>
      </c>
      <c r="FZ61" s="21" t="n">
        <v>117.796</v>
      </c>
      <c r="GA61" s="21" t="n">
        <v>197.513</v>
      </c>
      <c r="GB61" s="21" t="n">
        <v>172.015</v>
      </c>
      <c r="GC61" s="21" t="n"/>
      <c r="GD61" s="21" t="n">
        <v>170.734</v>
      </c>
      <c r="GE61" s="21" t="n">
        <v>270.42</v>
      </c>
      <c r="GF61" s="21" t="n">
        <v>119.111</v>
      </c>
      <c r="GG61" s="21" t="n">
        <v>112.442</v>
      </c>
      <c r="GH61" s="21" t="n">
        <v>113.414</v>
      </c>
      <c r="GI61" s="21" t="n">
        <v>98.32599999999999</v>
      </c>
      <c r="GJ61" s="21" t="n">
        <v>151.248</v>
      </c>
      <c r="GK61" s="21" t="n">
        <v>70.878</v>
      </c>
      <c r="GL61" s="21" t="n">
        <v>111.673</v>
      </c>
      <c r="GM61" s="21" t="n">
        <v>106.406</v>
      </c>
      <c r="GN61" s="21" t="n">
        <v>101.556</v>
      </c>
      <c r="GO61" s="21" t="n">
        <v>103.033</v>
      </c>
      <c r="GP61" s="21" t="n">
        <v>97.22499999999999</v>
      </c>
      <c r="GQ61" s="21" t="n">
        <v>107.06</v>
      </c>
      <c r="GR61" s="21" t="n">
        <v>70.86799999999999</v>
      </c>
      <c r="GS61" s="21" t="n">
        <v>100.623</v>
      </c>
      <c r="GT61" s="21" t="n">
        <v>94.203</v>
      </c>
      <c r="GU61" s="21" t="n">
        <v>135.25</v>
      </c>
      <c r="GV61" s="21" t="n">
        <v>138.699</v>
      </c>
      <c r="GW61" s="21" t="n">
        <v>155.829</v>
      </c>
      <c r="GX61" s="21" t="n">
        <v>122.639</v>
      </c>
      <c r="GY61" s="21" t="n">
        <v>115.94</v>
      </c>
      <c r="GZ61" s="21" t="n">
        <v>163.426</v>
      </c>
      <c r="HA61" s="21" t="n">
        <v>137.653</v>
      </c>
      <c r="HB61" s="21" t="n">
        <v>160.068</v>
      </c>
      <c r="HC61" s="21" t="n">
        <v>208.482</v>
      </c>
      <c r="HD61" s="21" t="n">
        <v>204.61</v>
      </c>
      <c r="HE61" s="21" t="n">
        <v>98.495</v>
      </c>
      <c r="HF61" s="21" t="n">
        <v>146.22</v>
      </c>
      <c r="HG61" s="21" t="n">
        <v>101.328</v>
      </c>
      <c r="HH61" s="21" t="n">
        <v>142.279</v>
      </c>
      <c r="HI61" s="21" t="n">
        <v>155.819</v>
      </c>
      <c r="HJ61" s="21" t="n"/>
      <c r="HK61" s="21" t="n">
        <v>137.125</v>
      </c>
      <c r="HL61" s="21" t="n">
        <v>85.23999999999999</v>
      </c>
      <c r="HM61" s="21" t="n">
        <v>135.33</v>
      </c>
      <c r="HN61" s="21" t="n">
        <v>230.189</v>
      </c>
      <c r="HO61" s="21" t="n">
        <v>228.857</v>
      </c>
      <c r="HP61" s="21" t="n">
        <v>223.598</v>
      </c>
      <c r="HQ61" s="21" t="n">
        <v>249.082</v>
      </c>
      <c r="HR61" s="21" t="n">
        <v>246.167</v>
      </c>
      <c r="HS61" s="21" t="n">
        <v>223.376</v>
      </c>
      <c r="HT61" s="21" t="n">
        <v>147.757</v>
      </c>
      <c r="HU61" s="21" t="n">
        <v>125.542</v>
      </c>
      <c r="HV61" s="21" t="n">
        <v>178.376</v>
      </c>
      <c r="HW61" s="21" t="n">
        <v>168.146</v>
      </c>
      <c r="HX61" s="21" t="n">
        <v>410.895</v>
      </c>
      <c r="HY61" s="21" t="n">
        <v>299.614</v>
      </c>
      <c r="HZ61" s="21" t="n">
        <v>319.654</v>
      </c>
      <c r="IA61" s="21" t="n">
        <v>273.386</v>
      </c>
      <c r="IB61" s="21" t="n">
        <v>180.348</v>
      </c>
      <c r="IC61" s="21" t="n">
        <v>572.979</v>
      </c>
      <c r="ID61" s="21" t="n">
        <v>195.327</v>
      </c>
      <c r="IE61" s="21" t="n">
        <v>183.347</v>
      </c>
      <c r="IF61" s="21" t="n">
        <v>214.472</v>
      </c>
      <c r="IG61" s="21" t="n">
        <v>240.478</v>
      </c>
      <c r="IH61" s="21" t="n">
        <v>120.636</v>
      </c>
      <c r="II61" s="21" t="n">
        <v>250.902</v>
      </c>
      <c r="IJ61" s="21" t="n">
        <v>252.411</v>
      </c>
      <c r="IK61" s="21" t="n">
        <v>156.241</v>
      </c>
      <c r="IL61" s="21" t="n">
        <v>171.677</v>
      </c>
      <c r="IM61" s="21" t="n">
        <v>112.085</v>
      </c>
      <c r="IN61" s="21" t="n">
        <v>62.402</v>
      </c>
      <c r="IO61" s="21" t="n">
        <v>322.767</v>
      </c>
      <c r="IP61" s="21" t="n">
        <v>130.55</v>
      </c>
      <c r="IQ61" s="21" t="n">
        <v>509.689</v>
      </c>
      <c r="IR61" s="21" t="n">
        <v>387.533</v>
      </c>
      <c r="IS61" s="21" t="n">
        <v>126.875</v>
      </c>
      <c r="IT61" s="21" t="n">
        <v>537.946</v>
      </c>
      <c r="IU61" s="21" t="n">
        <v>97.309</v>
      </c>
      <c r="IV61" s="21" t="n">
        <v>102.461</v>
      </c>
      <c r="IW61" s="21" t="n">
        <v>549.077</v>
      </c>
      <c r="IX61" s="21" t="n">
        <v>384.667</v>
      </c>
      <c r="IY61" s="21" t="n">
        <v>385.092</v>
      </c>
      <c r="IZ61" s="21" t="n">
        <v>500.275</v>
      </c>
      <c r="JA61" s="21" t="n">
        <v>192.205</v>
      </c>
      <c r="JB61" s="21" t="n">
        <v>240.138</v>
      </c>
      <c r="JC61" s="21" t="n">
        <v>81.812</v>
      </c>
      <c r="JD61" s="21" t="n">
        <v>344.933</v>
      </c>
      <c r="JE61" s="21" t="n">
        <v>336.525</v>
      </c>
      <c r="JF61" s="21" t="n">
        <v>757.749</v>
      </c>
      <c r="JG61" s="21" t="n">
        <v>237.008</v>
      </c>
      <c r="JH61" s="21" t="n">
        <v>124.607</v>
      </c>
      <c r="JI61" s="21" t="n">
        <v>169.236</v>
      </c>
      <c r="JJ61" s="21" t="n">
        <v>121.545</v>
      </c>
      <c r="JK61" s="21" t="n">
        <v>105.427</v>
      </c>
      <c r="JL61" s="21" t="n">
        <v>136.829</v>
      </c>
      <c r="JM61" s="21" t="n">
        <v>489.021</v>
      </c>
      <c r="JN61" s="21" t="n">
        <v>118.056</v>
      </c>
      <c r="JO61" s="21" t="n">
        <v>71.377</v>
      </c>
      <c r="JP61" s="21" t="n">
        <v>35.35</v>
      </c>
      <c r="JQ61" s="21" t="n">
        <v>134.491</v>
      </c>
      <c r="JR61" s="21" t="n">
        <v>26.294</v>
      </c>
      <c r="JS61" s="21" t="n">
        <v>80.14100000000001</v>
      </c>
      <c r="JT61" s="21" t="n">
        <v>180.308</v>
      </c>
      <c r="JU61" s="21" t="n">
        <v>205.683</v>
      </c>
      <c r="JV61" s="21" t="n">
        <v>156.207</v>
      </c>
      <c r="JW61" s="21" t="n">
        <v>118.921</v>
      </c>
      <c r="JX61" s="21" t="n">
        <v>258.099</v>
      </c>
      <c r="JY61" s="21" t="n">
        <v>198.701</v>
      </c>
      <c r="JZ61" s="21" t="n">
        <v>272.146</v>
      </c>
      <c r="KA61" s="21" t="n">
        <v>113.537</v>
      </c>
      <c r="KB61" s="21" t="n">
        <v>157.706</v>
      </c>
      <c r="KC61" s="21" t="n">
        <v>76.94199999999999</v>
      </c>
      <c r="KD61" s="21" t="n">
        <v>72.66500000000001</v>
      </c>
      <c r="KE61" s="21" t="n">
        <v>53.144</v>
      </c>
      <c r="KF61" s="21" t="n"/>
      <c r="KG61" s="21" t="n">
        <v>22.051</v>
      </c>
      <c r="KH61" s="21" t="n">
        <v>118.627</v>
      </c>
      <c r="KI61" s="21" t="n">
        <v>122.902</v>
      </c>
      <c r="KJ61" s="21" t="n">
        <v>112.031</v>
      </c>
      <c r="KK61" s="21" t="n">
        <v>33.952</v>
      </c>
      <c r="KL61" s="21" t="n">
        <v>29.724</v>
      </c>
      <c r="KM61" s="21" t="n">
        <v>37.204</v>
      </c>
      <c r="KN61" s="21" t="n"/>
      <c r="KO61" s="21" t="n">
        <v>98.893</v>
      </c>
      <c r="KP61" s="21" t="n">
        <v>102.629</v>
      </c>
      <c r="KQ61" s="21" t="n">
        <v>173.887</v>
      </c>
      <c r="KR61" s="21" t="n">
        <v>145.706</v>
      </c>
      <c r="KS61" s="21" t="n">
        <v>392.439</v>
      </c>
      <c r="KT61" s="21" t="n">
        <v>187.226</v>
      </c>
      <c r="KU61" s="21" t="n">
        <v>235.763</v>
      </c>
      <c r="KV61" s="21" t="n">
        <v>320.252</v>
      </c>
      <c r="KW61" s="21" t="n">
        <v>259.783</v>
      </c>
      <c r="KX61" s="21" t="n">
        <v>192.77</v>
      </c>
      <c r="KY61" s="21" t="n">
        <v>95.611</v>
      </c>
      <c r="KZ61" s="21" t="n">
        <v>138.839</v>
      </c>
      <c r="LA61" s="21" t="n">
        <v>268.7</v>
      </c>
      <c r="LB61" s="21" t="n">
        <v>681.151</v>
      </c>
      <c r="LC61" s="21" t="n">
        <v>235.265</v>
      </c>
      <c r="LD61" s="21" t="n">
        <v>771.519</v>
      </c>
      <c r="LE61" s="21" t="n">
        <v>874.088</v>
      </c>
      <c r="LF61" s="21" t="n">
        <v>83.90900000000001</v>
      </c>
      <c r="LG61" s="21" t="n">
        <v>307.252</v>
      </c>
      <c r="LH61" s="21" t="n">
        <v>254.64</v>
      </c>
      <c r="LI61" s="21" t="n">
        <v>73.541</v>
      </c>
      <c r="LJ61" s="21" t="n">
        <v>195.407</v>
      </c>
      <c r="LK61" s="21" t="n">
        <v>307.042</v>
      </c>
      <c r="LL61" s="21" t="n">
        <v>319.707</v>
      </c>
      <c r="LM61" s="21" t="n">
        <v>69.532</v>
      </c>
      <c r="LN61" s="21" t="n">
        <v>90.28700000000001</v>
      </c>
      <c r="LO61" s="21" t="n">
        <v>46.412</v>
      </c>
      <c r="LP61" s="21" t="n">
        <v>125.437</v>
      </c>
      <c r="LQ61" s="21" t="n"/>
      <c r="LR61" s="21" t="n"/>
      <c r="LS61" s="21" t="n">
        <v>109.304</v>
      </c>
      <c r="LT61" s="21" t="n">
        <v>38.001</v>
      </c>
      <c r="LU61" s="21" t="n">
        <v>28.02</v>
      </c>
      <c r="LV61" s="21" t="n">
        <v>78.133</v>
      </c>
      <c r="LW61" s="21" t="n">
        <v>197.913</v>
      </c>
      <c r="LX61" s="21" t="n">
        <v>100</v>
      </c>
      <c r="LY61" s="21" t="n">
        <v>455.413</v>
      </c>
      <c r="LZ61" s="21" t="n">
        <v>71.98399999999999</v>
      </c>
      <c r="MA61" s="21" t="n">
        <v>468.309</v>
      </c>
      <c r="MB61" s="21" t="n">
        <v>283.361</v>
      </c>
      <c r="MC61" s="21" t="n">
        <v>235.31</v>
      </c>
      <c r="MD61" s="21" t="n">
        <v>159.352</v>
      </c>
      <c r="ME61" s="21" t="n">
        <v>103.168</v>
      </c>
      <c r="MF61" s="21" t="n">
        <v>178.974</v>
      </c>
      <c r="MG61" s="21" t="n">
        <v>275.461</v>
      </c>
      <c r="MH61" s="21" t="n">
        <v>168.076</v>
      </c>
      <c r="MI61" s="21" t="n">
        <v>452.586</v>
      </c>
      <c r="MJ61" s="21" t="n">
        <v>364.384</v>
      </c>
      <c r="MK61" s="21" t="n">
        <v>341.837</v>
      </c>
      <c r="ML61" s="21" t="n">
        <v>178.513</v>
      </c>
      <c r="MM61" s="21" t="n">
        <v>202.038</v>
      </c>
      <c r="MN61" s="21" t="n">
        <v>367.351</v>
      </c>
      <c r="MO61" s="21" t="n">
        <v>172.617</v>
      </c>
      <c r="MP61" s="21" t="n">
        <v>256.19</v>
      </c>
      <c r="MQ61" s="21" t="n">
        <v>74.90900000000001</v>
      </c>
      <c r="MR61" s="21" t="n">
        <v>158.915</v>
      </c>
      <c r="MS61" s="21" t="n">
        <v>67.777</v>
      </c>
      <c r="MT61" s="21" t="n">
        <v>244.861</v>
      </c>
      <c r="MU61" s="21" t="n">
        <v>263.45</v>
      </c>
      <c r="MV61" s="21" t="n">
        <v>256.516</v>
      </c>
      <c r="MW61" s="21" t="n">
        <v>264.935</v>
      </c>
      <c r="MX61" s="21" t="n">
        <v>234.656</v>
      </c>
      <c r="MY61" s="21" t="n">
        <v>228.109</v>
      </c>
      <c r="MZ61" s="21" t="n">
        <v>233.426</v>
      </c>
      <c r="NA61" s="21" t="n">
        <v>239.454</v>
      </c>
      <c r="NB61" s="21" t="n">
        <v>110.983</v>
      </c>
      <c r="NC61" s="21" t="n">
        <v>184.441</v>
      </c>
      <c r="ND61" s="21" t="n">
        <v>151.332</v>
      </c>
      <c r="NE61" s="21" t="n">
        <v>147.899</v>
      </c>
      <c r="NF61" s="21" t="n">
        <v>142.92</v>
      </c>
      <c r="NG61" s="21" t="n">
        <v>144.23</v>
      </c>
      <c r="NH61" s="21" t="n">
        <v>249.635</v>
      </c>
      <c r="NI61" s="21" t="n">
        <v>103.695</v>
      </c>
      <c r="NJ61" s="21" t="n">
        <v>69.39</v>
      </c>
      <c r="NK61" s="21" t="n">
        <v>112.175</v>
      </c>
      <c r="NL61" s="21" t="n">
        <v>212.982</v>
      </c>
      <c r="NM61" s="21" t="n">
        <v>234.651</v>
      </c>
      <c r="NN61" s="21" t="n">
        <v>90.068</v>
      </c>
      <c r="NO61" s="21" t="n">
        <v>49.45</v>
      </c>
      <c r="NP61" s="21" t="n">
        <v>226.12</v>
      </c>
      <c r="NQ61" s="21" t="n">
        <v>197.719</v>
      </c>
      <c r="NR61" s="21" t="n">
        <v>244.816</v>
      </c>
      <c r="NS61" s="21" t="n">
        <v>194.325</v>
      </c>
      <c r="NT61" s="21" t="n">
        <v>245.365</v>
      </c>
      <c r="NU61" s="21" t="n">
        <v>115.125</v>
      </c>
      <c r="NV61" s="21" t="n">
        <v>126.299</v>
      </c>
      <c r="NW61" s="21" t="n">
        <v>363.215</v>
      </c>
      <c r="NX61" s="21" t="n">
        <v>79.38</v>
      </c>
      <c r="NY61" s="21" t="n">
        <v>126.142</v>
      </c>
      <c r="NZ61" s="21" t="n">
        <v>335.522</v>
      </c>
      <c r="OA61" s="21" t="n">
        <v>328.603</v>
      </c>
      <c r="OB61" s="21" t="n">
        <v>341.347</v>
      </c>
      <c r="OC61" s="21" t="n">
        <v>311.903</v>
      </c>
      <c r="OD61" s="21" t="n">
        <v>346.068</v>
      </c>
      <c r="OE61" s="21" t="n">
        <v>103.905</v>
      </c>
      <c r="OF61" s="21" t="n">
        <v>324.209</v>
      </c>
      <c r="OG61" s="21" t="n">
        <v>217.864</v>
      </c>
      <c r="OH61" s="21" t="n">
        <v>36.891</v>
      </c>
      <c r="OI61" s="21" t="n">
        <v>129.789</v>
      </c>
      <c r="OJ61" s="21" t="n">
        <v>38.9</v>
      </c>
      <c r="OK61" s="21" t="n">
        <v>13</v>
      </c>
    </row>
    <row r="62">
      <c r="A62" s="22" t="n">
        <v>43831</v>
      </c>
      <c r="B62" s="21" t="n">
        <v>257.971</v>
      </c>
      <c r="C62" s="21" t="n">
        <v>772.768</v>
      </c>
      <c r="D62" s="21" t="n">
        <v>260.638</v>
      </c>
      <c r="E62" s="21" t="n">
        <v>261.057</v>
      </c>
      <c r="F62" s="21" t="n">
        <v>243.11</v>
      </c>
      <c r="G62" s="21" t="n">
        <v>275.916</v>
      </c>
      <c r="H62" s="21" t="n">
        <v>226.53</v>
      </c>
      <c r="I62" s="21" t="n">
        <v>235.711</v>
      </c>
      <c r="J62" s="21" t="n">
        <v>219.421</v>
      </c>
      <c r="K62" s="21" t="n">
        <v>237.732</v>
      </c>
      <c r="L62" s="21" t="n">
        <v>159.609</v>
      </c>
      <c r="M62" s="21" t="n">
        <v>304.479</v>
      </c>
      <c r="N62" s="21" t="n">
        <v>185.053</v>
      </c>
      <c r="O62" s="21" t="n">
        <v>338.123</v>
      </c>
      <c r="P62" s="21" t="n">
        <v>357.306</v>
      </c>
      <c r="Q62" s="21" t="n">
        <v>179.172</v>
      </c>
      <c r="R62" s="21" t="n">
        <v>292.549</v>
      </c>
      <c r="S62" s="21" t="n">
        <v>316.44</v>
      </c>
      <c r="T62" s="21" t="n">
        <v>271.855</v>
      </c>
      <c r="U62" s="21" t="n">
        <v>267.099</v>
      </c>
      <c r="V62" s="21" t="n">
        <v>310.438</v>
      </c>
      <c r="W62" s="21" t="n">
        <v>301.606</v>
      </c>
      <c r="X62" s="21" t="n">
        <v>267.144</v>
      </c>
      <c r="Y62" s="21" t="n">
        <v>252.905</v>
      </c>
      <c r="Z62" s="21" t="n">
        <v>256.269</v>
      </c>
      <c r="AA62" s="21" t="n">
        <v>259.503</v>
      </c>
      <c r="AB62" s="21" t="n">
        <v>313.61</v>
      </c>
      <c r="AC62" s="21" t="n">
        <v>277.71</v>
      </c>
      <c r="AD62" s="21" t="n">
        <v>238.609</v>
      </c>
      <c r="AE62" s="21" t="n">
        <v>209.953</v>
      </c>
      <c r="AF62" s="21" t="n">
        <v>251.451</v>
      </c>
      <c r="AG62" s="21" t="n">
        <v>215.09</v>
      </c>
      <c r="AH62" s="21" t="n">
        <v>163.837</v>
      </c>
      <c r="AI62" s="21" t="n">
        <v>304.75</v>
      </c>
      <c r="AJ62" s="21" t="n">
        <v>149.992</v>
      </c>
      <c r="AK62" s="21" t="n">
        <v>204.344</v>
      </c>
      <c r="AL62" s="21" t="n">
        <v>226.858</v>
      </c>
      <c r="AM62" s="21" t="n">
        <v>188.587</v>
      </c>
      <c r="AN62" s="21" t="n">
        <v>127.855</v>
      </c>
      <c r="AO62" s="21" t="n">
        <v>228.236</v>
      </c>
      <c r="AP62" s="21" t="n">
        <v>243.8</v>
      </c>
      <c r="AQ62" s="21" t="n">
        <v>146.352</v>
      </c>
      <c r="AR62" s="21" t="n"/>
      <c r="AS62" s="21" t="n"/>
      <c r="AT62" s="21" t="n">
        <v>231.801</v>
      </c>
      <c r="AU62" s="21" t="n">
        <v>149.467</v>
      </c>
      <c r="AV62" s="21" t="n">
        <v>248.944</v>
      </c>
      <c r="AW62" s="21" t="n">
        <v>222.016</v>
      </c>
      <c r="AX62" s="21" t="n">
        <v>149.683</v>
      </c>
      <c r="AY62" s="21" t="n">
        <v>300.842</v>
      </c>
      <c r="AZ62" s="21" t="n">
        <v>188.896</v>
      </c>
      <c r="BA62" s="21" t="n">
        <v>148.695</v>
      </c>
      <c r="BB62" s="21" t="n">
        <v>215.459</v>
      </c>
      <c r="BC62" s="21" t="n">
        <v>308.041</v>
      </c>
      <c r="BD62" s="21" t="n">
        <v>208.788</v>
      </c>
      <c r="BE62" s="21" t="n">
        <v>223.035</v>
      </c>
      <c r="BF62" s="21" t="n">
        <v>146.652</v>
      </c>
      <c r="BG62" s="21" t="n">
        <v>209.253</v>
      </c>
      <c r="BH62" s="21" t="n">
        <v>151.053</v>
      </c>
      <c r="BI62" s="21" t="n">
        <v>233.932</v>
      </c>
      <c r="BJ62" s="21" t="n">
        <v>227.147</v>
      </c>
      <c r="BK62" s="21" t="n">
        <v>146.9</v>
      </c>
      <c r="BL62" s="21" t="n">
        <v>301.679</v>
      </c>
      <c r="BM62" s="21" t="n">
        <v>350.506</v>
      </c>
      <c r="BN62" s="21" t="n">
        <v>352.185</v>
      </c>
      <c r="BO62" s="21" t="n">
        <v>317.302</v>
      </c>
      <c r="BP62" s="21" t="n">
        <v>195.848</v>
      </c>
      <c r="BQ62" s="21" t="n">
        <v>238.849</v>
      </c>
      <c r="BR62" s="21" t="n">
        <v>471.217</v>
      </c>
      <c r="BS62" s="21" t="n">
        <v>119.723</v>
      </c>
      <c r="BT62" s="21" t="n">
        <v>347.123</v>
      </c>
      <c r="BU62" s="21" t="n">
        <v>370.133</v>
      </c>
      <c r="BV62" s="21" t="n">
        <v>337.029</v>
      </c>
      <c r="BW62" s="21" t="n">
        <v>361.063</v>
      </c>
      <c r="BX62" s="21" t="n">
        <v>343.36</v>
      </c>
      <c r="BY62" s="21" t="n">
        <v>156.607</v>
      </c>
      <c r="BZ62" s="21" t="n">
        <v>163.242</v>
      </c>
      <c r="CA62" s="21" t="n">
        <v>158.715</v>
      </c>
      <c r="CB62" s="21" t="n">
        <v>172.181</v>
      </c>
      <c r="CC62" s="21" t="n">
        <v>145.137</v>
      </c>
      <c r="CD62" s="21" t="n">
        <v>201.196</v>
      </c>
      <c r="CE62" s="21" t="n">
        <v>155.027</v>
      </c>
      <c r="CF62" s="21" t="n">
        <v>182.471</v>
      </c>
      <c r="CG62" s="21" t="n">
        <v>172.313</v>
      </c>
      <c r="CH62" s="21" t="n">
        <v>135.439</v>
      </c>
      <c r="CI62" s="21" t="n">
        <v>171.883</v>
      </c>
      <c r="CJ62" s="21" t="n">
        <v>177.699</v>
      </c>
      <c r="CK62" s="21" t="n">
        <v>122.533</v>
      </c>
      <c r="CL62" s="21" t="n">
        <v>115.597</v>
      </c>
      <c r="CM62" s="21" t="n">
        <v>190.995</v>
      </c>
      <c r="CN62" s="21" t="n">
        <v>199.209</v>
      </c>
      <c r="CO62" s="21" t="n">
        <v>181.53</v>
      </c>
      <c r="CP62" s="21" t="n">
        <v>129.74</v>
      </c>
      <c r="CQ62" s="21" t="n">
        <v>210.763</v>
      </c>
      <c r="CR62" s="21" t="n">
        <v>226.31</v>
      </c>
      <c r="CS62" s="21" t="n">
        <v>193.91</v>
      </c>
      <c r="CT62" s="21" t="n">
        <v>154.723</v>
      </c>
      <c r="CU62" s="21" t="n">
        <v>156.192</v>
      </c>
      <c r="CV62" s="21" t="n">
        <v>227.123</v>
      </c>
      <c r="CW62" s="21" t="n">
        <v>208.924</v>
      </c>
      <c r="CX62" s="21" t="n">
        <v>252.787</v>
      </c>
      <c r="CY62" s="21" t="n">
        <v>300.611</v>
      </c>
      <c r="CZ62" s="21" t="n">
        <v>130.872</v>
      </c>
      <c r="DA62" s="21" t="n">
        <v>154.311</v>
      </c>
      <c r="DB62" s="21" t="n">
        <v>146.492</v>
      </c>
      <c r="DC62" s="21" t="n">
        <v>223.574</v>
      </c>
      <c r="DD62" s="21" t="n">
        <v>240.203</v>
      </c>
      <c r="DE62" s="21" t="n">
        <v>165.763</v>
      </c>
      <c r="DF62" s="21" t="n">
        <v>246.369</v>
      </c>
      <c r="DG62" s="21" t="n">
        <v>242.536</v>
      </c>
      <c r="DH62" s="21" t="n">
        <v>155.945</v>
      </c>
      <c r="DI62" s="21" t="n">
        <v>146.246</v>
      </c>
      <c r="DJ62" s="21" t="n">
        <v>139.344</v>
      </c>
      <c r="DK62" s="21" t="n">
        <v>275.419</v>
      </c>
      <c r="DL62" s="21" t="n">
        <v>165.818</v>
      </c>
      <c r="DM62" s="21" t="n">
        <v>132.477</v>
      </c>
      <c r="DN62" s="21" t="n">
        <v>132.98</v>
      </c>
      <c r="DO62" s="21" t="n">
        <v>289.137</v>
      </c>
      <c r="DP62" s="21" t="n">
        <v>179.613</v>
      </c>
      <c r="DQ62" s="21" t="n">
        <v>184.856</v>
      </c>
      <c r="DR62" s="21" t="n">
        <v>183.357</v>
      </c>
      <c r="DS62" s="21" t="n">
        <v>152.124</v>
      </c>
      <c r="DT62" s="21" t="n">
        <v>169.929</v>
      </c>
      <c r="DU62" s="21" t="n">
        <v>198.249</v>
      </c>
      <c r="DV62" s="21" t="n">
        <v>253.592</v>
      </c>
      <c r="DW62" s="21" t="n">
        <v>205.582</v>
      </c>
      <c r="DX62" s="21" t="n">
        <v>233.964</v>
      </c>
      <c r="DY62" s="21" t="n">
        <v>193.892</v>
      </c>
      <c r="DZ62" s="21" t="n">
        <v>207.422</v>
      </c>
      <c r="EA62" s="21" t="n">
        <v>189.638</v>
      </c>
      <c r="EB62" s="21" t="n">
        <v>169.201</v>
      </c>
      <c r="EC62" s="21" t="n">
        <v>358.947</v>
      </c>
      <c r="ED62" s="21" t="n">
        <v>176.212</v>
      </c>
      <c r="EE62" s="21" t="n">
        <v>193.173</v>
      </c>
      <c r="EF62" s="21" t="n">
        <v>193.331</v>
      </c>
      <c r="EG62" s="21" t="n">
        <v>269.468</v>
      </c>
      <c r="EH62" s="21" t="n">
        <v>323.053</v>
      </c>
      <c r="EI62" s="21" t="n">
        <v>337.825</v>
      </c>
      <c r="EJ62" s="21" t="n">
        <v>153.531</v>
      </c>
      <c r="EK62" s="21" t="n">
        <v>570.703</v>
      </c>
      <c r="EL62" s="21" t="n">
        <v>310.149</v>
      </c>
      <c r="EM62" s="21" t="n">
        <v>331.522</v>
      </c>
      <c r="EN62" s="21" t="n">
        <v>331.565</v>
      </c>
      <c r="EO62" s="21" t="n">
        <v>151.251</v>
      </c>
      <c r="EP62" s="21" t="n">
        <v>243.739</v>
      </c>
      <c r="EQ62" s="21" t="n">
        <v>200.219</v>
      </c>
      <c r="ER62" s="21" t="n">
        <v>289.038</v>
      </c>
      <c r="ES62" s="21" t="n">
        <v>291.872</v>
      </c>
      <c r="ET62" s="21" t="n">
        <v>336.333</v>
      </c>
      <c r="EU62" s="21" t="n">
        <v>203.318</v>
      </c>
      <c r="EV62" s="21" t="n">
        <v>212.018</v>
      </c>
      <c r="EW62" s="21" t="n">
        <v>174.272</v>
      </c>
      <c r="EX62" s="21" t="n">
        <v>248.846</v>
      </c>
      <c r="EY62" s="21" t="n">
        <v>577.441</v>
      </c>
      <c r="EZ62" s="21" t="n">
        <v>491.003</v>
      </c>
      <c r="FA62" s="21" t="n">
        <v>124.151</v>
      </c>
      <c r="FB62" s="21" t="n">
        <v>57.547</v>
      </c>
      <c r="FC62" s="21" t="n">
        <v>112.874</v>
      </c>
      <c r="FD62" s="21" t="n">
        <v>65.554</v>
      </c>
      <c r="FE62" s="21" t="n">
        <v>43.818</v>
      </c>
      <c r="FF62" s="21" t="n">
        <v>113.491</v>
      </c>
      <c r="FG62" s="21" t="n">
        <v>131.483</v>
      </c>
      <c r="FH62" s="21" t="n">
        <v>87.137</v>
      </c>
      <c r="FI62" s="21" t="n">
        <v>68.381</v>
      </c>
      <c r="FJ62" s="21" t="n">
        <v>111.689</v>
      </c>
      <c r="FK62" s="21" t="n">
        <v>76.97799999999999</v>
      </c>
      <c r="FL62" s="21" t="n">
        <v>81.309</v>
      </c>
      <c r="FM62" s="21" t="n">
        <v>88.843</v>
      </c>
      <c r="FN62" s="21" t="n">
        <v>67.599</v>
      </c>
      <c r="FO62" s="21" t="n">
        <v>50.043</v>
      </c>
      <c r="FP62" s="21" t="n">
        <v>36.375</v>
      </c>
      <c r="FQ62" s="21" t="n">
        <v>129.051</v>
      </c>
      <c r="FR62" s="21" t="n">
        <v>49.062</v>
      </c>
      <c r="FS62" s="21" t="n">
        <v>80.627</v>
      </c>
      <c r="FT62" s="21" t="n">
        <v>90.925</v>
      </c>
      <c r="FU62" s="21" t="n">
        <v>98.404</v>
      </c>
      <c r="FV62" s="21" t="n">
        <v>87.461</v>
      </c>
      <c r="FW62" s="21" t="n">
        <v>189.899</v>
      </c>
      <c r="FX62" s="21" t="n">
        <v>120.977</v>
      </c>
      <c r="FY62" s="21" t="n">
        <v>177.019</v>
      </c>
      <c r="FZ62" s="21" t="n">
        <v>118.036</v>
      </c>
      <c r="GA62" s="21" t="n">
        <v>197.771</v>
      </c>
      <c r="GB62" s="21" t="n">
        <v>172.336</v>
      </c>
      <c r="GC62" s="21" t="n">
        <v>210.903</v>
      </c>
      <c r="GD62" s="21" t="n">
        <v>172.927</v>
      </c>
      <c r="GE62" s="21" t="n">
        <v>271.638</v>
      </c>
      <c r="GF62" s="21" t="n">
        <v>120.853</v>
      </c>
      <c r="GG62" s="21" t="n">
        <v>116.548</v>
      </c>
      <c r="GH62" s="21" t="n">
        <v>119.589</v>
      </c>
      <c r="GI62" s="21" t="n">
        <v>102.626</v>
      </c>
      <c r="GJ62" s="21" t="n">
        <v>157.608</v>
      </c>
      <c r="GK62" s="21" t="n">
        <v>72.325</v>
      </c>
      <c r="GL62" s="21" t="n">
        <v>125.004</v>
      </c>
      <c r="GM62" s="21" t="n">
        <v>102.959</v>
      </c>
      <c r="GN62" s="21" t="n">
        <v>101.628</v>
      </c>
      <c r="GO62" s="21" t="n">
        <v>103.18</v>
      </c>
      <c r="GP62" s="21" t="n">
        <v>92.081</v>
      </c>
      <c r="GQ62" s="21" t="n">
        <v>102.814</v>
      </c>
      <c r="GR62" s="21" t="n">
        <v>70.494</v>
      </c>
      <c r="GS62" s="21" t="n">
        <v>104.803</v>
      </c>
      <c r="GT62" s="21" t="n">
        <v>93.943</v>
      </c>
      <c r="GU62" s="21" t="n">
        <v>136.587</v>
      </c>
      <c r="GV62" s="21" t="n">
        <v>140.498</v>
      </c>
      <c r="GW62" s="21" t="n">
        <v>155.679</v>
      </c>
      <c r="GX62" s="21" t="n">
        <v>124.184</v>
      </c>
      <c r="GY62" s="21" t="n">
        <v>115.241</v>
      </c>
      <c r="GZ62" s="21" t="n">
        <v>173.01</v>
      </c>
      <c r="HA62" s="21" t="n">
        <v>140.923</v>
      </c>
      <c r="HB62" s="21" t="n">
        <v>171.278</v>
      </c>
      <c r="HC62" s="21" t="n">
        <v>208.284</v>
      </c>
      <c r="HD62" s="21" t="n">
        <v>204.277</v>
      </c>
      <c r="HE62" s="21" t="n">
        <v>98.491</v>
      </c>
      <c r="HF62" s="21" t="n">
        <v>147.253</v>
      </c>
      <c r="HG62" s="21" t="n">
        <v>102.046</v>
      </c>
      <c r="HH62" s="21" t="n">
        <v>143.388</v>
      </c>
      <c r="HI62" s="21" t="n">
        <v>156.764</v>
      </c>
      <c r="HJ62" s="21" t="n"/>
      <c r="HK62" s="21" t="n">
        <v>136.064</v>
      </c>
      <c r="HL62" s="21" t="n">
        <v>85.101</v>
      </c>
      <c r="HM62" s="21" t="n">
        <v>129.538</v>
      </c>
      <c r="HN62" s="21" t="n">
        <v>228.343</v>
      </c>
      <c r="HO62" s="21" t="n">
        <v>227.01</v>
      </c>
      <c r="HP62" s="21" t="n">
        <v>221.952</v>
      </c>
      <c r="HQ62" s="21" t="n">
        <v>246.871</v>
      </c>
      <c r="HR62" s="21" t="n">
        <v>243.141</v>
      </c>
      <c r="HS62" s="21" t="n">
        <v>222.092</v>
      </c>
      <c r="HT62" s="21" t="n">
        <v>148.335</v>
      </c>
      <c r="HU62" s="21" t="n">
        <v>125.288</v>
      </c>
      <c r="HV62" s="21" t="n">
        <v>180.915</v>
      </c>
      <c r="HW62" s="21" t="n">
        <v>171.141</v>
      </c>
      <c r="HX62" s="21" t="n">
        <v>398.627</v>
      </c>
      <c r="HY62" s="21" t="n">
        <v>300.112</v>
      </c>
      <c r="HZ62" s="21" t="n">
        <v>318.983</v>
      </c>
      <c r="IA62" s="21" t="n">
        <v>273.414</v>
      </c>
      <c r="IB62" s="21" t="n">
        <v>181.305</v>
      </c>
      <c r="IC62" s="21" t="n">
        <v>572.693</v>
      </c>
      <c r="ID62" s="21" t="n">
        <v>195.981</v>
      </c>
      <c r="IE62" s="21" t="n">
        <v>184.163</v>
      </c>
      <c r="IF62" s="21" t="n">
        <v>214.92</v>
      </c>
      <c r="IG62" s="21" t="n">
        <v>241.788</v>
      </c>
      <c r="IH62" s="21" t="n">
        <v>120.924</v>
      </c>
      <c r="II62" s="21" t="n">
        <v>252.59</v>
      </c>
      <c r="IJ62" s="21" t="n">
        <v>255.2</v>
      </c>
      <c r="IK62" s="21" t="n">
        <v>155.205</v>
      </c>
      <c r="IL62" s="21" t="n">
        <v>143.69</v>
      </c>
      <c r="IM62" s="21" t="n"/>
      <c r="IN62" s="21" t="n">
        <v>62.558</v>
      </c>
      <c r="IO62" s="21" t="n">
        <v>323.882</v>
      </c>
      <c r="IP62" s="21" t="n">
        <v>130.692</v>
      </c>
      <c r="IQ62" s="21" t="n">
        <v>512.149</v>
      </c>
      <c r="IR62" s="21" t="n">
        <v>386.331</v>
      </c>
      <c r="IS62" s="21" t="n">
        <v>126.512</v>
      </c>
      <c r="IT62" s="21" t="n">
        <v>538.154</v>
      </c>
      <c r="IU62" s="21" t="n">
        <v>96.059</v>
      </c>
      <c r="IV62" s="21" t="n">
        <v>101.605</v>
      </c>
      <c r="IW62" s="21" t="n">
        <v>552.721</v>
      </c>
      <c r="IX62" s="21" t="n">
        <v>384.681</v>
      </c>
      <c r="IY62" s="21" t="n">
        <v>384.715</v>
      </c>
      <c r="IZ62" s="21" t="n">
        <v>500.97</v>
      </c>
      <c r="JA62" s="21" t="n">
        <v>192.022</v>
      </c>
      <c r="JB62" s="21" t="n">
        <v>240.585</v>
      </c>
      <c r="JC62" s="21" t="n">
        <v>82.75700000000001</v>
      </c>
      <c r="JD62" s="21" t="n">
        <v>349.152</v>
      </c>
      <c r="JE62" s="21" t="n">
        <v>340.435</v>
      </c>
      <c r="JF62" s="21" t="n">
        <v>768.845</v>
      </c>
      <c r="JG62" s="21" t="n">
        <v>238.502</v>
      </c>
      <c r="JH62" s="21" t="n">
        <v>124.546</v>
      </c>
      <c r="JI62" s="21" t="n">
        <v>172.145</v>
      </c>
      <c r="JJ62" s="21" t="n">
        <v>121.986</v>
      </c>
      <c r="JK62" s="21" t="n">
        <v>105.68</v>
      </c>
      <c r="JL62" s="21" t="n">
        <v>136.544</v>
      </c>
      <c r="JM62" s="21" t="n">
        <v>491.484</v>
      </c>
      <c r="JN62" s="21" t="n">
        <v>118.419</v>
      </c>
      <c r="JO62" s="21" t="n">
        <v>69.672</v>
      </c>
      <c r="JP62" s="21" t="n">
        <v>33.912</v>
      </c>
      <c r="JQ62" s="21" t="n">
        <v>134.781</v>
      </c>
      <c r="JR62" s="21" t="n">
        <v>26.346</v>
      </c>
      <c r="JS62" s="21" t="n">
        <v>79.611</v>
      </c>
      <c r="JT62" s="21" t="n">
        <v>180.442</v>
      </c>
      <c r="JU62" s="21" t="n">
        <v>205.46</v>
      </c>
      <c r="JV62" s="21" t="n">
        <v>155.686</v>
      </c>
      <c r="JW62" s="21" t="n">
        <v>119.197</v>
      </c>
      <c r="JX62" s="21" t="n">
        <v>258.849</v>
      </c>
      <c r="JY62" s="21" t="n">
        <v>199.04</v>
      </c>
      <c r="JZ62" s="21" t="n">
        <v>272.86</v>
      </c>
      <c r="KA62" s="21" t="n">
        <v>113.971</v>
      </c>
      <c r="KB62" s="21" t="n">
        <v>158.651</v>
      </c>
      <c r="KC62" s="21" t="n">
        <v>76.943</v>
      </c>
      <c r="KD62" s="21" t="n">
        <v>73.348</v>
      </c>
      <c r="KE62" s="21" t="n">
        <v>54.299</v>
      </c>
      <c r="KF62" s="21" t="n"/>
      <c r="KG62" s="21" t="n">
        <v>22.498</v>
      </c>
      <c r="KH62" s="21" t="n">
        <v>118.892</v>
      </c>
      <c r="KI62" s="21" t="n">
        <v>122.551</v>
      </c>
      <c r="KJ62" s="21" t="n">
        <v>112.741</v>
      </c>
      <c r="KK62" s="21" t="n">
        <v>34.405</v>
      </c>
      <c r="KL62" s="21" t="n">
        <v>30.196</v>
      </c>
      <c r="KM62" s="21" t="n">
        <v>37.939</v>
      </c>
      <c r="KN62" s="21" t="n"/>
      <c r="KO62" s="21" t="n">
        <v>99.282</v>
      </c>
      <c r="KP62" s="21" t="n">
        <v>103.043</v>
      </c>
      <c r="KQ62" s="21" t="n">
        <v>174.516</v>
      </c>
      <c r="KR62" s="21" t="n">
        <v>146.473</v>
      </c>
      <c r="KS62" s="21" t="n">
        <v>393.525</v>
      </c>
      <c r="KT62" s="21" t="n">
        <v>187.781</v>
      </c>
      <c r="KU62" s="21" t="n">
        <v>236.789</v>
      </c>
      <c r="KV62" s="21" t="n">
        <v>320.779</v>
      </c>
      <c r="KW62" s="21" t="n">
        <v>263.407</v>
      </c>
      <c r="KX62" s="21" t="n">
        <v>197.476</v>
      </c>
      <c r="KY62" s="21" t="n">
        <v>95.563</v>
      </c>
      <c r="KZ62" s="21" t="n">
        <v>139.132</v>
      </c>
      <c r="LA62" s="21" t="n">
        <v>268.841</v>
      </c>
      <c r="LB62" s="21" t="n">
        <v>664.948</v>
      </c>
      <c r="LC62" s="21" t="n">
        <v>228.855</v>
      </c>
      <c r="LD62" s="21" t="n">
        <v>772.63</v>
      </c>
      <c r="LE62" s="21" t="n">
        <v>874.769</v>
      </c>
      <c r="LF62" s="21" t="n">
        <v>83.90900000000001</v>
      </c>
      <c r="LG62" s="21" t="n">
        <v>308.335</v>
      </c>
      <c r="LH62" s="21" t="n">
        <v>255.645</v>
      </c>
      <c r="LI62" s="21" t="n">
        <v>73.79000000000001</v>
      </c>
      <c r="LJ62" s="21" t="n">
        <v>197.85</v>
      </c>
      <c r="LK62" s="21" t="n">
        <v>310.652</v>
      </c>
      <c r="LL62" s="21" t="n">
        <v>326.095</v>
      </c>
      <c r="LM62" s="21" t="n">
        <v>69.749</v>
      </c>
      <c r="LN62" s="21" t="n">
        <v>90.529</v>
      </c>
      <c r="LO62" s="21" t="n">
        <v>46.404</v>
      </c>
      <c r="LP62" s="21" t="n">
        <v>127.489</v>
      </c>
      <c r="LQ62" s="21" t="n"/>
      <c r="LR62" s="21" t="n"/>
      <c r="LS62" s="21" t="n">
        <v>109.729</v>
      </c>
      <c r="LT62" s="21" t="n">
        <v>37.728</v>
      </c>
      <c r="LU62" s="21" t="n">
        <v>27.69</v>
      </c>
      <c r="LV62" s="21" t="n">
        <v>78.839</v>
      </c>
      <c r="LW62" s="21" t="n">
        <v>196.548</v>
      </c>
      <c r="LX62" s="21" t="n">
        <v>98.185</v>
      </c>
      <c r="LY62" s="21" t="n">
        <v>458.336</v>
      </c>
      <c r="LZ62" s="21" t="n">
        <v>72.176</v>
      </c>
      <c r="MA62" s="21" t="n">
        <v>469.963</v>
      </c>
      <c r="MB62" s="21" t="n">
        <v>282</v>
      </c>
      <c r="MC62" s="21" t="n">
        <v>237.024</v>
      </c>
      <c r="MD62" s="21" t="n">
        <v>159.47</v>
      </c>
      <c r="ME62" s="21" t="n">
        <v>102.979</v>
      </c>
      <c r="MF62" s="21" t="n">
        <v>179.656</v>
      </c>
      <c r="MG62" s="21" t="n">
        <v>277.341</v>
      </c>
      <c r="MH62" s="21" t="n">
        <v>169.223</v>
      </c>
      <c r="MI62" s="21" t="n">
        <v>455.094</v>
      </c>
      <c r="MJ62" s="21" t="n">
        <v>367.022</v>
      </c>
      <c r="MK62" s="21" t="n">
        <v>342.759</v>
      </c>
      <c r="ML62" s="21" t="n">
        <v>179.047</v>
      </c>
      <c r="MM62" s="21" t="n">
        <v>202.346</v>
      </c>
      <c r="MN62" s="21" t="n">
        <v>370.423</v>
      </c>
      <c r="MO62" s="21" t="n">
        <v>172.617</v>
      </c>
      <c r="MP62" s="21" t="n">
        <v>261.275</v>
      </c>
      <c r="MQ62" s="21" t="n">
        <v>77.901</v>
      </c>
      <c r="MR62" s="21" t="n">
        <v>158.511</v>
      </c>
      <c r="MS62" s="21" t="n">
        <v>78.673</v>
      </c>
      <c r="MT62" s="21" t="n">
        <v>245.789</v>
      </c>
      <c r="MU62" s="21" t="n">
        <v>264.54</v>
      </c>
      <c r="MV62" s="21" t="n">
        <v>257.476</v>
      </c>
      <c r="MW62" s="21" t="n">
        <v>266.004</v>
      </c>
      <c r="MX62" s="21" t="n">
        <v>235.553</v>
      </c>
      <c r="MY62" s="21" t="n">
        <v>228.926</v>
      </c>
      <c r="MZ62" s="21" t="n">
        <v>234.373</v>
      </c>
      <c r="NA62" s="21" t="n">
        <v>240.588</v>
      </c>
      <c r="NB62" s="21" t="n">
        <v>112.77</v>
      </c>
      <c r="NC62" s="21" t="n">
        <v>185.055</v>
      </c>
      <c r="ND62" s="21" t="n">
        <v>151.711</v>
      </c>
      <c r="NE62" s="21" t="n">
        <v>148.253</v>
      </c>
      <c r="NF62" s="21" t="n">
        <v>143.532</v>
      </c>
      <c r="NG62" s="21" t="n">
        <v>145.098</v>
      </c>
      <c r="NH62" s="21" t="n">
        <v>250.763</v>
      </c>
      <c r="NI62" s="21" t="n">
        <v>103.896</v>
      </c>
      <c r="NJ62" s="21" t="n">
        <v>68.64100000000001</v>
      </c>
      <c r="NK62" s="21" t="n">
        <v>112.532</v>
      </c>
      <c r="NL62" s="21" t="n">
        <v>213.043</v>
      </c>
      <c r="NM62" s="21" t="n">
        <v>232.906</v>
      </c>
      <c r="NN62" s="21" t="n">
        <v>90.661</v>
      </c>
      <c r="NO62" s="21" t="n">
        <v>49.088</v>
      </c>
      <c r="NP62" s="21" t="n">
        <v>226.998</v>
      </c>
      <c r="NQ62" s="21" t="n">
        <v>198.307</v>
      </c>
      <c r="NR62" s="21" t="n">
        <v>244.762</v>
      </c>
      <c r="NS62" s="21" t="n">
        <v>194.871</v>
      </c>
      <c r="NT62" s="21" t="n">
        <v>245.172</v>
      </c>
      <c r="NU62" s="21" t="n">
        <v>115.91</v>
      </c>
      <c r="NV62" s="21" t="n">
        <v>127.065</v>
      </c>
      <c r="NW62" s="21" t="n">
        <v>364.536</v>
      </c>
      <c r="NX62" s="21" t="n">
        <v>79.71299999999999</v>
      </c>
      <c r="NY62" s="21" t="n">
        <v>126.561</v>
      </c>
      <c r="NZ62" s="21" t="n">
        <v>336.889</v>
      </c>
      <c r="OA62" s="21" t="n">
        <v>329.987</v>
      </c>
      <c r="OB62" s="21" t="n">
        <v>342.694</v>
      </c>
      <c r="OC62" s="21" t="n">
        <v>313.118</v>
      </c>
      <c r="OD62" s="21" t="n">
        <v>347.578</v>
      </c>
      <c r="OE62" s="21" t="n">
        <v>104.022</v>
      </c>
      <c r="OF62" s="21" t="n">
        <v>324.5</v>
      </c>
      <c r="OG62" s="21" t="n">
        <v>219.206</v>
      </c>
      <c r="OH62" s="21" t="n">
        <v>36.866</v>
      </c>
      <c r="OI62" s="21" t="n">
        <v>130.19</v>
      </c>
      <c r="OJ62" s="21" t="n">
        <v>38.8</v>
      </c>
      <c r="OK62" s="21" t="n">
        <v>12.9</v>
      </c>
    </row>
    <row r="63">
      <c r="A63" s="22" t="n">
        <v>43862</v>
      </c>
      <c r="B63" s="21" t="n">
        <v>258.678</v>
      </c>
      <c r="C63" s="21" t="n">
        <v>774.886</v>
      </c>
      <c r="D63" s="21" t="n">
        <v>261.487</v>
      </c>
      <c r="E63" s="21" t="n">
        <v>261.876</v>
      </c>
      <c r="F63" s="21" t="n">
        <v>244.054</v>
      </c>
      <c r="G63" s="21" t="n">
        <v>276.641</v>
      </c>
      <c r="H63" s="21" t="n">
        <v>226.169</v>
      </c>
      <c r="I63" s="21" t="n">
        <v>234.17</v>
      </c>
      <c r="J63" s="21" t="n">
        <v>217.695</v>
      </c>
      <c r="K63" s="21" t="n">
        <v>239.446</v>
      </c>
      <c r="L63" s="21" t="n">
        <v>159.819</v>
      </c>
      <c r="M63" s="21" t="n">
        <v>305.85</v>
      </c>
      <c r="N63" s="21" t="n">
        <v>186.696</v>
      </c>
      <c r="O63" s="21" t="n">
        <v>340.669</v>
      </c>
      <c r="P63" s="21" t="n">
        <v>360.304</v>
      </c>
      <c r="Q63" s="21" t="n">
        <v>179.86</v>
      </c>
      <c r="R63" s="21" t="n">
        <v>288.073</v>
      </c>
      <c r="S63" s="21" t="n">
        <v>313.595</v>
      </c>
      <c r="T63" s="21" t="n">
        <v>268.435</v>
      </c>
      <c r="U63" s="21" t="n">
        <v>271.76</v>
      </c>
      <c r="V63" s="21" t="n">
        <v>314.009</v>
      </c>
      <c r="W63" s="21" t="n">
        <v>307.955</v>
      </c>
      <c r="X63" s="21" t="n">
        <v>271.689</v>
      </c>
      <c r="Y63" s="21" t="n">
        <v>253.396</v>
      </c>
      <c r="Z63" s="21" t="n">
        <v>256.753</v>
      </c>
      <c r="AA63" s="21" t="n">
        <v>260.417</v>
      </c>
      <c r="AB63" s="21" t="n">
        <v>314.232</v>
      </c>
      <c r="AC63" s="21" t="n">
        <v>276.504</v>
      </c>
      <c r="AD63" s="21" t="n">
        <v>241.55</v>
      </c>
      <c r="AE63" s="21" t="n">
        <v>210.502</v>
      </c>
      <c r="AF63" s="21" t="n">
        <v>253.389</v>
      </c>
      <c r="AG63" s="21" t="n">
        <v>216.823</v>
      </c>
      <c r="AH63" s="21" t="n">
        <v>162.266</v>
      </c>
      <c r="AI63" s="21" t="n">
        <v>303.583</v>
      </c>
      <c r="AJ63" s="21" t="n">
        <v>148.035</v>
      </c>
      <c r="AK63" s="21" t="n">
        <v>209.558</v>
      </c>
      <c r="AL63" s="21" t="n">
        <v>232.832</v>
      </c>
      <c r="AM63" s="21" t="n">
        <v>193.058</v>
      </c>
      <c r="AN63" s="21" t="n">
        <v>129.717</v>
      </c>
      <c r="AO63" s="21" t="n">
        <v>228.312</v>
      </c>
      <c r="AP63" s="21" t="n">
        <v>235.332</v>
      </c>
      <c r="AQ63" s="21" t="n">
        <v>146.413</v>
      </c>
      <c r="AR63" s="21" t="n"/>
      <c r="AS63" s="21" t="n"/>
      <c r="AT63" s="21" t="n">
        <v>232.82</v>
      </c>
      <c r="AU63" s="21" t="n">
        <v>149.496</v>
      </c>
      <c r="AV63" s="21" t="n">
        <v>246.729</v>
      </c>
      <c r="AW63" s="21" t="n">
        <v>223.032</v>
      </c>
      <c r="AX63" s="21" t="n">
        <v>153.139</v>
      </c>
      <c r="AY63" s="21" t="n">
        <v>298.721</v>
      </c>
      <c r="AZ63" s="21" t="n">
        <v>188.573</v>
      </c>
      <c r="BA63" s="21" t="n">
        <v>146.836</v>
      </c>
      <c r="BB63" s="21" t="n">
        <v>212.508</v>
      </c>
      <c r="BC63" s="21" t="n">
        <v>305.14</v>
      </c>
      <c r="BD63" s="21" t="n">
        <v>209.359</v>
      </c>
      <c r="BE63" s="21" t="n">
        <v>224.443</v>
      </c>
      <c r="BF63" s="21" t="n">
        <v>146.24</v>
      </c>
      <c r="BG63" s="21" t="n">
        <v>208.44</v>
      </c>
      <c r="BH63" s="21" t="n">
        <v>150.743</v>
      </c>
      <c r="BI63" s="21" t="n">
        <v>236.598</v>
      </c>
      <c r="BJ63" s="21" t="n">
        <v>226.516</v>
      </c>
      <c r="BK63" s="21" t="n">
        <v>149.05</v>
      </c>
      <c r="BL63" s="21" t="n">
        <v>299.817</v>
      </c>
      <c r="BM63" s="21" t="n">
        <v>347.538</v>
      </c>
      <c r="BN63" s="21" t="n">
        <v>350.446</v>
      </c>
      <c r="BO63" s="21" t="n">
        <v>315.191</v>
      </c>
      <c r="BP63" s="21" t="n">
        <v>195.034</v>
      </c>
      <c r="BQ63" s="21" t="n">
        <v>232.326</v>
      </c>
      <c r="BR63" s="21" t="n">
        <v>455.632</v>
      </c>
      <c r="BS63" s="21" t="n">
        <v>120.582</v>
      </c>
      <c r="BT63" s="21" t="n">
        <v>342.92</v>
      </c>
      <c r="BU63" s="21" t="n">
        <v>370.054</v>
      </c>
      <c r="BV63" s="21" t="n">
        <v>324.882</v>
      </c>
      <c r="BW63" s="21" t="n">
        <v>356.969</v>
      </c>
      <c r="BX63" s="21" t="n">
        <v>339.797</v>
      </c>
      <c r="BY63" s="21" t="n">
        <v>156.991</v>
      </c>
      <c r="BZ63" s="21" t="n">
        <v>164.047</v>
      </c>
      <c r="CA63" s="21" t="n">
        <v>160.349</v>
      </c>
      <c r="CB63" s="21" t="n">
        <v>172.637</v>
      </c>
      <c r="CC63" s="21" t="n">
        <v>144.953</v>
      </c>
      <c r="CD63" s="21" t="n">
        <v>201.604</v>
      </c>
      <c r="CE63" s="21" t="n">
        <v>155.259</v>
      </c>
      <c r="CF63" s="21" t="n">
        <v>181.507</v>
      </c>
      <c r="CG63" s="21" t="n">
        <v>173.194</v>
      </c>
      <c r="CH63" s="21" t="n">
        <v>135.914</v>
      </c>
      <c r="CI63" s="21" t="n">
        <v>173.629</v>
      </c>
      <c r="CJ63" s="21" t="n">
        <v>175.807</v>
      </c>
      <c r="CK63" s="21" t="n">
        <v>122.401</v>
      </c>
      <c r="CL63" s="21" t="n">
        <v>116.65</v>
      </c>
      <c r="CM63" s="21" t="n">
        <v>191.996</v>
      </c>
      <c r="CN63" s="21" t="n">
        <v>199.522</v>
      </c>
      <c r="CO63" s="21" t="n">
        <v>184.342</v>
      </c>
      <c r="CP63" s="21" t="n">
        <v>131.831</v>
      </c>
      <c r="CQ63" s="21" t="n">
        <v>213.215</v>
      </c>
      <c r="CR63" s="21" t="n">
        <v>224.932</v>
      </c>
      <c r="CS63" s="21" t="n">
        <v>194.962</v>
      </c>
      <c r="CT63" s="21" t="n">
        <v>153.671</v>
      </c>
      <c r="CU63" s="21" t="n">
        <v>154.4</v>
      </c>
      <c r="CV63" s="21" t="n">
        <v>226.89</v>
      </c>
      <c r="CW63" s="21" t="n">
        <v>205.638</v>
      </c>
      <c r="CX63" s="21" t="n">
        <v>248.632</v>
      </c>
      <c r="CY63" s="21" t="n">
        <v>299.503</v>
      </c>
      <c r="CZ63" s="21" t="n">
        <v>130.667</v>
      </c>
      <c r="DA63" s="21" t="n">
        <v>155.713</v>
      </c>
      <c r="DB63" s="21" t="n">
        <v>152.586</v>
      </c>
      <c r="DC63" s="21" t="n">
        <v>227.332</v>
      </c>
      <c r="DD63" s="21" t="n">
        <v>246.051</v>
      </c>
      <c r="DE63" s="21" t="n">
        <v>168.182</v>
      </c>
      <c r="DF63" s="21" t="n">
        <v>252.516</v>
      </c>
      <c r="DG63" s="21" t="n">
        <v>245.756</v>
      </c>
      <c r="DH63" s="21" t="n">
        <v>156.131</v>
      </c>
      <c r="DI63" s="21" t="n">
        <v>146.395</v>
      </c>
      <c r="DJ63" s="21" t="n">
        <v>142.018</v>
      </c>
      <c r="DK63" s="21" t="n">
        <v>274.895</v>
      </c>
      <c r="DL63" s="21" t="n">
        <v>171.917</v>
      </c>
      <c r="DM63" s="21" t="n">
        <v>133.956</v>
      </c>
      <c r="DN63" s="21" t="n">
        <v>133.401</v>
      </c>
      <c r="DO63" s="21" t="n">
        <v>289.781</v>
      </c>
      <c r="DP63" s="21" t="n">
        <v>180.011</v>
      </c>
      <c r="DQ63" s="21" t="n">
        <v>185.342</v>
      </c>
      <c r="DR63" s="21" t="n">
        <v>183.257</v>
      </c>
      <c r="DS63" s="21" t="n">
        <v>152.027</v>
      </c>
      <c r="DT63" s="21" t="n">
        <v>169.364</v>
      </c>
      <c r="DU63" s="21" t="n">
        <v>198.475</v>
      </c>
      <c r="DV63" s="21" t="n">
        <v>254.831</v>
      </c>
      <c r="DW63" s="21" t="n">
        <v>207.03</v>
      </c>
      <c r="DX63" s="21" t="n">
        <v>235.16</v>
      </c>
      <c r="DY63" s="21" t="n">
        <v>194.358</v>
      </c>
      <c r="DZ63" s="21" t="n">
        <v>209.403</v>
      </c>
      <c r="EA63" s="21" t="n">
        <v>189.536</v>
      </c>
      <c r="EB63" s="21" t="n">
        <v>170.954</v>
      </c>
      <c r="EC63" s="21" t="n">
        <v>359.716</v>
      </c>
      <c r="ED63" s="21" t="n">
        <v>176.336</v>
      </c>
      <c r="EE63" s="21" t="n">
        <v>193.376</v>
      </c>
      <c r="EF63" s="21" t="n">
        <v>194.496</v>
      </c>
      <c r="EG63" s="21" t="n">
        <v>270.281</v>
      </c>
      <c r="EH63" s="21" t="n">
        <v>324.254</v>
      </c>
      <c r="EI63" s="21" t="n">
        <v>338.616</v>
      </c>
      <c r="EJ63" s="21" t="n">
        <v>162.574</v>
      </c>
      <c r="EK63" s="21" t="n">
        <v>570.643</v>
      </c>
      <c r="EL63" s="21" t="n">
        <v>330.966</v>
      </c>
      <c r="EM63" s="21" t="n">
        <v>332.177</v>
      </c>
      <c r="EN63" s="21" t="n">
        <v>332.22</v>
      </c>
      <c r="EO63" s="21" t="n">
        <v>151.731</v>
      </c>
      <c r="EP63" s="21" t="n">
        <v>242.951</v>
      </c>
      <c r="EQ63" s="21" t="n">
        <v>199.117</v>
      </c>
      <c r="ER63" s="21" t="n">
        <v>274.06</v>
      </c>
      <c r="ES63" s="21" t="n">
        <v>268.835</v>
      </c>
      <c r="ET63" s="21" t="n">
        <v>334.515</v>
      </c>
      <c r="EU63" s="21" t="n">
        <v>202.712</v>
      </c>
      <c r="EV63" s="21" t="n">
        <v>212.18</v>
      </c>
      <c r="EW63" s="21" t="n">
        <v>171.469</v>
      </c>
      <c r="EX63" s="21" t="n">
        <v>249.751</v>
      </c>
      <c r="EY63" s="21" t="n">
        <v>578.838</v>
      </c>
      <c r="EZ63" s="21" t="n">
        <v>494.429</v>
      </c>
      <c r="FA63" s="21" t="n">
        <v>124.636</v>
      </c>
      <c r="FB63" s="21" t="n">
        <v>58.254</v>
      </c>
      <c r="FC63" s="21" t="n">
        <v>113.133</v>
      </c>
      <c r="FD63" s="21" t="n">
        <v>66.482</v>
      </c>
      <c r="FE63" s="21" t="n">
        <v>44.495</v>
      </c>
      <c r="FF63" s="21" t="n">
        <v>114.491</v>
      </c>
      <c r="FG63" s="21" t="n">
        <v>130.443</v>
      </c>
      <c r="FH63" s="21" t="n">
        <v>88.80500000000001</v>
      </c>
      <c r="FI63" s="21" t="n">
        <v>69.462</v>
      </c>
      <c r="FJ63" s="21" t="n">
        <v>111.671</v>
      </c>
      <c r="FK63" s="21" t="n">
        <v>77.29000000000001</v>
      </c>
      <c r="FL63" s="21" t="n">
        <v>83.441</v>
      </c>
      <c r="FM63" s="21" t="n">
        <v>87.726</v>
      </c>
      <c r="FN63" s="21" t="n">
        <v>67.127</v>
      </c>
      <c r="FO63" s="21" t="n">
        <v>49.771</v>
      </c>
      <c r="FP63" s="21" t="n">
        <v>36.17</v>
      </c>
      <c r="FQ63" s="21" t="n">
        <v>130.707</v>
      </c>
      <c r="FR63" s="21" t="n">
        <v>48.314</v>
      </c>
      <c r="FS63" s="21" t="n">
        <v>79.18000000000001</v>
      </c>
      <c r="FT63" s="21" t="n">
        <v>91.3</v>
      </c>
      <c r="FU63" s="21" t="n">
        <v>99.017</v>
      </c>
      <c r="FV63" s="21" t="n">
        <v>87.70099999999999</v>
      </c>
      <c r="FW63" s="21" t="n">
        <v>189.614</v>
      </c>
      <c r="FX63" s="21" t="n">
        <v>120.154</v>
      </c>
      <c r="FY63" s="21" t="n">
        <v>177.497</v>
      </c>
      <c r="FZ63" s="21" t="n">
        <v>118.206</v>
      </c>
      <c r="GA63" s="21" t="n">
        <v>199.139</v>
      </c>
      <c r="GB63" s="21" t="n">
        <v>172.336</v>
      </c>
      <c r="GC63" s="21" t="n">
        <v>214.442</v>
      </c>
      <c r="GD63" s="21" t="n">
        <v>174.519</v>
      </c>
      <c r="GE63" s="21" t="n">
        <v>270.914</v>
      </c>
      <c r="GF63" s="21" t="n">
        <v>124.438</v>
      </c>
      <c r="GG63" s="21" t="n">
        <v>120.077</v>
      </c>
      <c r="GH63" s="21" t="n">
        <v>123.976</v>
      </c>
      <c r="GI63" s="21" t="n">
        <v>108.926</v>
      </c>
      <c r="GJ63" s="21" t="n">
        <v>163.036</v>
      </c>
      <c r="GK63" s="21" t="n">
        <v>76.10599999999999</v>
      </c>
      <c r="GL63" s="21" t="n">
        <v>125.493</v>
      </c>
      <c r="GM63" s="21" t="n">
        <v>103.315</v>
      </c>
      <c r="GN63" s="21" t="n">
        <v>106.218</v>
      </c>
      <c r="GO63" s="21" t="n">
        <v>108.011</v>
      </c>
      <c r="GP63" s="21" t="n">
        <v>97.646</v>
      </c>
      <c r="GQ63" s="21" t="n">
        <v>112.785</v>
      </c>
      <c r="GR63" s="21" t="n">
        <v>73.723</v>
      </c>
      <c r="GS63" s="21" t="n">
        <v>107.774</v>
      </c>
      <c r="GT63" s="21" t="n">
        <v>97.423</v>
      </c>
      <c r="GU63" s="21" t="n">
        <v>138.315</v>
      </c>
      <c r="GV63" s="21" t="n">
        <v>141.221</v>
      </c>
      <c r="GW63" s="21" t="n">
        <v>159.88</v>
      </c>
      <c r="GX63" s="21" t="n">
        <v>125.659</v>
      </c>
      <c r="GY63" s="21" t="n">
        <v>116.744</v>
      </c>
      <c r="GZ63" s="21" t="n">
        <v>173.122</v>
      </c>
      <c r="HA63" s="21" t="n">
        <v>141.651</v>
      </c>
      <c r="HB63" s="21" t="n">
        <v>171.147</v>
      </c>
      <c r="HC63" s="21" t="n">
        <v>207.772</v>
      </c>
      <c r="HD63" s="21" t="n">
        <v>203.291</v>
      </c>
      <c r="HE63" s="21" t="n">
        <v>99.02800000000001</v>
      </c>
      <c r="HF63" s="21" t="n">
        <v>147.803</v>
      </c>
      <c r="HG63" s="21" t="n">
        <v>102.43</v>
      </c>
      <c r="HH63" s="21" t="n">
        <v>144.178</v>
      </c>
      <c r="HI63" s="21" t="n">
        <v>157.245</v>
      </c>
      <c r="HJ63" s="21" t="n"/>
      <c r="HK63" s="21" t="n">
        <v>137.452</v>
      </c>
      <c r="HL63" s="21" t="n">
        <v>85.321</v>
      </c>
      <c r="HM63" s="21" t="n">
        <v>126.263</v>
      </c>
      <c r="HN63" s="21" t="n">
        <v>219.677</v>
      </c>
      <c r="HO63" s="21" t="n">
        <v>218.373</v>
      </c>
      <c r="HP63" s="21" t="n">
        <v>213.106</v>
      </c>
      <c r="HQ63" s="21" t="n">
        <v>238.565</v>
      </c>
      <c r="HR63" s="21" t="n">
        <v>236.752</v>
      </c>
      <c r="HS63" s="21" t="n">
        <v>214.568</v>
      </c>
      <c r="HT63" s="21" t="n">
        <v>148.457</v>
      </c>
      <c r="HU63" s="21" t="n">
        <v>125.59</v>
      </c>
      <c r="HV63" s="21" t="n">
        <v>180.573</v>
      </c>
      <c r="HW63" s="21" t="n">
        <v>170.55</v>
      </c>
      <c r="HX63" s="21" t="n">
        <v>412.025</v>
      </c>
      <c r="HY63" s="21" t="n">
        <v>302.22</v>
      </c>
      <c r="HZ63" s="21" t="n">
        <v>319.639</v>
      </c>
      <c r="IA63" s="21" t="n">
        <v>274.206</v>
      </c>
      <c r="IB63" s="21" t="n">
        <v>184.133</v>
      </c>
      <c r="IC63" s="21" t="n">
        <v>576.45</v>
      </c>
      <c r="ID63" s="21" t="n">
        <v>196.341</v>
      </c>
      <c r="IE63" s="21" t="n">
        <v>184.388</v>
      </c>
      <c r="IF63" s="21" t="n">
        <v>215.462</v>
      </c>
      <c r="IG63" s="21" t="n">
        <v>242.636</v>
      </c>
      <c r="IH63" s="21" t="n">
        <v>121.091</v>
      </c>
      <c r="II63" s="21" t="n">
        <v>258.708</v>
      </c>
      <c r="IJ63" s="21" t="n">
        <v>265.142</v>
      </c>
      <c r="IK63" s="21" t="n">
        <v>154.346</v>
      </c>
      <c r="IL63" s="21" t="n">
        <v>142.837</v>
      </c>
      <c r="IM63" s="21" t="n"/>
      <c r="IN63" s="21" t="n">
        <v>62.033</v>
      </c>
      <c r="IO63" s="21" t="n">
        <v>324.988</v>
      </c>
      <c r="IP63" s="21" t="n">
        <v>130.941</v>
      </c>
      <c r="IQ63" s="21" t="n">
        <v>513.923</v>
      </c>
      <c r="IR63" s="21" t="n">
        <v>384.701</v>
      </c>
      <c r="IS63" s="21" t="n">
        <v>125.97</v>
      </c>
      <c r="IT63" s="21" t="n">
        <v>535.548</v>
      </c>
      <c r="IU63" s="21" t="n">
        <v>95.815</v>
      </c>
      <c r="IV63" s="21" t="n">
        <v>101.32</v>
      </c>
      <c r="IW63" s="21" t="n">
        <v>555.597</v>
      </c>
      <c r="IX63" s="21" t="n">
        <v>385.779</v>
      </c>
      <c r="IY63" s="21" t="n">
        <v>386.202</v>
      </c>
      <c r="IZ63" s="21" t="n">
        <v>502.668</v>
      </c>
      <c r="JA63" s="21" t="n">
        <v>191.943</v>
      </c>
      <c r="JB63" s="21" t="n">
        <v>240.689</v>
      </c>
      <c r="JC63" s="21" t="n">
        <v>83.11799999999999</v>
      </c>
      <c r="JD63" s="21" t="n">
        <v>350.635</v>
      </c>
      <c r="JE63" s="21" t="n">
        <v>340.068</v>
      </c>
      <c r="JF63" s="21" t="n">
        <v>771.0549999999999</v>
      </c>
      <c r="JG63" s="21" t="n">
        <v>239.615</v>
      </c>
      <c r="JH63" s="21" t="n">
        <v>125.463</v>
      </c>
      <c r="JI63" s="21" t="n">
        <v>174.574</v>
      </c>
      <c r="JJ63" s="21" t="n">
        <v>122.067</v>
      </c>
      <c r="JK63" s="21" t="n">
        <v>106.034</v>
      </c>
      <c r="JL63" s="21" t="n">
        <v>135.61</v>
      </c>
      <c r="JM63" s="21" t="n">
        <v>493.577</v>
      </c>
      <c r="JN63" s="21" t="n">
        <v>120.358</v>
      </c>
      <c r="JO63" s="21" t="n">
        <v>69.229</v>
      </c>
      <c r="JP63" s="21" t="n">
        <v>33.536</v>
      </c>
      <c r="JQ63" s="21" t="n">
        <v>135.042</v>
      </c>
      <c r="JR63" s="21" t="n">
        <v>26.645</v>
      </c>
      <c r="JS63" s="21" t="n">
        <v>79.099</v>
      </c>
      <c r="JT63" s="21" t="n">
        <v>180.819</v>
      </c>
      <c r="JU63" s="21" t="n">
        <v>206.424</v>
      </c>
      <c r="JV63" s="21" t="n">
        <v>156.738</v>
      </c>
      <c r="JW63" s="21" t="n">
        <v>119.569</v>
      </c>
      <c r="JX63" s="21" t="n">
        <v>258.595</v>
      </c>
      <c r="JY63" s="21" t="n">
        <v>200.243</v>
      </c>
      <c r="JZ63" s="21" t="n">
        <v>272.278</v>
      </c>
      <c r="KA63" s="21" t="n">
        <v>113.741</v>
      </c>
      <c r="KB63" s="21" t="n">
        <v>156.907</v>
      </c>
      <c r="KC63" s="21" t="n">
        <v>77.91800000000001</v>
      </c>
      <c r="KD63" s="21" t="n">
        <v>75.996</v>
      </c>
      <c r="KE63" s="21" t="n">
        <v>56.947</v>
      </c>
      <c r="KF63" s="21" t="n"/>
      <c r="KG63" s="21" t="n">
        <v>23.734</v>
      </c>
      <c r="KH63" s="21" t="n">
        <v>122.303</v>
      </c>
      <c r="KI63" s="21" t="n">
        <v>125.485</v>
      </c>
      <c r="KJ63" s="21" t="n">
        <v>113.366</v>
      </c>
      <c r="KK63" s="21" t="n">
        <v>34.315</v>
      </c>
      <c r="KL63" s="21" t="n">
        <v>29.99</v>
      </c>
      <c r="KM63" s="21" t="n">
        <v>37.356</v>
      </c>
      <c r="KN63" s="21" t="n"/>
      <c r="KO63" s="21" t="n">
        <v>101.928</v>
      </c>
      <c r="KP63" s="21" t="n">
        <v>104.056</v>
      </c>
      <c r="KQ63" s="21" t="n">
        <v>174.117</v>
      </c>
      <c r="KR63" s="21" t="n">
        <v>146.023</v>
      </c>
      <c r="KS63" s="21" t="n">
        <v>392.645</v>
      </c>
      <c r="KT63" s="21" t="n">
        <v>189.097</v>
      </c>
      <c r="KU63" s="21" t="n">
        <v>227.205</v>
      </c>
      <c r="KV63" s="21" t="n">
        <v>321.493</v>
      </c>
      <c r="KW63" s="21" t="n">
        <v>264.224</v>
      </c>
      <c r="KX63" s="21" t="n">
        <v>194.308</v>
      </c>
      <c r="KY63" s="21" t="n">
        <v>98.419</v>
      </c>
      <c r="KZ63" s="21" t="n">
        <v>139.256</v>
      </c>
      <c r="LA63" s="21" t="n">
        <v>269.36</v>
      </c>
      <c r="LB63" s="21" t="n">
        <v>670.41</v>
      </c>
      <c r="LC63" s="21" t="n">
        <v>230.845</v>
      </c>
      <c r="LD63" s="21" t="n">
        <v>773.944</v>
      </c>
      <c r="LE63" s="21" t="n">
        <v>874.821</v>
      </c>
      <c r="LF63" s="21" t="n">
        <v>83.91</v>
      </c>
      <c r="LG63" s="21" t="n">
        <v>310.206</v>
      </c>
      <c r="LH63" s="21" t="n">
        <v>256.076</v>
      </c>
      <c r="LI63" s="21" t="n">
        <v>73.79300000000001</v>
      </c>
      <c r="LJ63" s="21" t="n">
        <v>203.393</v>
      </c>
      <c r="LK63" s="21" t="n">
        <v>320.396</v>
      </c>
      <c r="LL63" s="21" t="n">
        <v>324.348</v>
      </c>
      <c r="LM63" s="21" t="n">
        <v>69.693</v>
      </c>
      <c r="LN63" s="21" t="n">
        <v>90.417</v>
      </c>
      <c r="LO63" s="21" t="n">
        <v>46.302</v>
      </c>
      <c r="LP63" s="21" t="n">
        <v>127.916</v>
      </c>
      <c r="LQ63" s="21" t="n"/>
      <c r="LR63" s="21" t="n"/>
      <c r="LS63" s="21" t="n">
        <v>109.725</v>
      </c>
      <c r="LT63" s="21" t="n">
        <v>38.247</v>
      </c>
      <c r="LU63" s="21" t="n">
        <v>27.816</v>
      </c>
      <c r="LV63" s="21" t="n">
        <v>78.56100000000001</v>
      </c>
      <c r="LW63" s="21" t="n">
        <v>194.423</v>
      </c>
      <c r="LX63" s="21" t="n">
        <v>97.197</v>
      </c>
      <c r="LY63" s="21" t="n">
        <v>460.144</v>
      </c>
      <c r="LZ63" s="21" t="n">
        <v>72.435</v>
      </c>
      <c r="MA63" s="21" t="n">
        <v>471.704</v>
      </c>
      <c r="MB63" s="21" t="n">
        <v>282.809</v>
      </c>
      <c r="MC63" s="21" t="n">
        <v>237.978</v>
      </c>
      <c r="MD63" s="21" t="n">
        <v>161.196</v>
      </c>
      <c r="ME63" s="21" t="n">
        <v>104.203</v>
      </c>
      <c r="MF63" s="21" t="n">
        <v>181.381</v>
      </c>
      <c r="MG63" s="21" t="n">
        <v>278.218</v>
      </c>
      <c r="MH63" s="21" t="n">
        <v>169.758</v>
      </c>
      <c r="MI63" s="21" t="n">
        <v>456.285</v>
      </c>
      <c r="MJ63" s="21" t="n">
        <v>369.233</v>
      </c>
      <c r="MK63" s="21" t="n">
        <v>341.365</v>
      </c>
      <c r="ML63" s="21" t="n">
        <v>179.794</v>
      </c>
      <c r="MM63" s="21" t="n">
        <v>203.895</v>
      </c>
      <c r="MN63" s="21" t="n">
        <v>370.741</v>
      </c>
      <c r="MO63" s="21" t="n">
        <v>174.058</v>
      </c>
      <c r="MP63" s="21" t="n">
        <v>261.585</v>
      </c>
      <c r="MQ63" s="21" t="n">
        <v>77.197</v>
      </c>
      <c r="MR63" s="21" t="n">
        <v>158.428</v>
      </c>
      <c r="MS63" s="21" t="n">
        <v>76.46299999999999</v>
      </c>
      <c r="MT63" s="21" t="n">
        <v>246.445</v>
      </c>
      <c r="MU63" s="21" t="n">
        <v>265.734</v>
      </c>
      <c r="MV63" s="21" t="n">
        <v>258.165</v>
      </c>
      <c r="MW63" s="21" t="n">
        <v>267.268</v>
      </c>
      <c r="MX63" s="21" t="n">
        <v>236.084</v>
      </c>
      <c r="MY63" s="21" t="n">
        <v>229.39</v>
      </c>
      <c r="MZ63" s="21" t="n">
        <v>235.659</v>
      </c>
      <c r="NA63" s="21" t="n">
        <v>241.844</v>
      </c>
      <c r="NB63" s="21" t="n">
        <v>116.71</v>
      </c>
      <c r="NC63" s="21" t="n">
        <v>185.331</v>
      </c>
      <c r="ND63" s="21" t="n">
        <v>151.792</v>
      </c>
      <c r="NE63" s="21" t="n">
        <v>148.304</v>
      </c>
      <c r="NF63" s="21" t="n">
        <v>144.605</v>
      </c>
      <c r="NG63" s="21" t="n">
        <v>146.126</v>
      </c>
      <c r="NH63" s="21" t="n">
        <v>251.833</v>
      </c>
      <c r="NI63" s="21" t="n">
        <v>104.421</v>
      </c>
      <c r="NJ63" s="21" t="n">
        <v>69.179</v>
      </c>
      <c r="NK63" s="21" t="n">
        <v>112.567</v>
      </c>
      <c r="NL63" s="21" t="n">
        <v>208.354</v>
      </c>
      <c r="NM63" s="21" t="n">
        <v>223.913</v>
      </c>
      <c r="NN63" s="21" t="n">
        <v>90.952</v>
      </c>
      <c r="NO63" s="21" t="n">
        <v>49.468</v>
      </c>
      <c r="NP63" s="21" t="n">
        <v>227.015</v>
      </c>
      <c r="NQ63" s="21" t="n">
        <v>197.68</v>
      </c>
      <c r="NR63" s="21" t="n">
        <v>241.755</v>
      </c>
      <c r="NS63" s="21" t="n">
        <v>194.122</v>
      </c>
      <c r="NT63" s="21" t="n">
        <v>241.692</v>
      </c>
      <c r="NU63" s="21" t="n">
        <v>116.511</v>
      </c>
      <c r="NV63" s="21" t="n">
        <v>127.425</v>
      </c>
      <c r="NW63" s="21" t="n">
        <v>364.767</v>
      </c>
      <c r="NX63" s="21" t="n">
        <v>79.83499999999999</v>
      </c>
      <c r="NY63" s="21" t="n">
        <v>126.586</v>
      </c>
      <c r="NZ63" s="21" t="n">
        <v>338.144</v>
      </c>
      <c r="OA63" s="21" t="n">
        <v>331.139</v>
      </c>
      <c r="OB63" s="21" t="n">
        <v>344.006</v>
      </c>
      <c r="OC63" s="21" t="n">
        <v>314.141</v>
      </c>
      <c r="OD63" s="21" t="n">
        <v>348.701</v>
      </c>
      <c r="OE63" s="21" t="n">
        <v>104.647</v>
      </c>
      <c r="OF63" s="21" t="n">
        <v>327.466</v>
      </c>
      <c r="OG63" s="21" t="n">
        <v>219.886</v>
      </c>
      <c r="OH63" s="21" t="n">
        <v>36.953</v>
      </c>
      <c r="OI63" s="21" t="n">
        <v>130.653</v>
      </c>
      <c r="OJ63" s="21" t="n">
        <v>38.7</v>
      </c>
      <c r="OK63" s="21" t="n">
        <v>12.9</v>
      </c>
    </row>
    <row r="64">
      <c r="A64" s="22" t="n">
        <v>43891</v>
      </c>
      <c r="B64" s="21" t="n">
        <v>258.115</v>
      </c>
      <c r="C64" s="21" t="n">
        <v>773.199</v>
      </c>
      <c r="D64" s="21" t="n">
        <v>262.32</v>
      </c>
      <c r="E64" s="21" t="n">
        <v>262.708</v>
      </c>
      <c r="F64" s="21" t="n">
        <v>245.163</v>
      </c>
      <c r="G64" s="21" t="n">
        <v>277.646</v>
      </c>
      <c r="H64" s="21" t="n">
        <v>228.033</v>
      </c>
      <c r="I64" s="21" t="n">
        <v>235.939</v>
      </c>
      <c r="J64" s="21" t="n">
        <v>221.578</v>
      </c>
      <c r="K64" s="21" t="n">
        <v>238.912</v>
      </c>
      <c r="L64" s="21" t="n">
        <v>159.431</v>
      </c>
      <c r="M64" s="21" t="n">
        <v>306.338</v>
      </c>
      <c r="N64" s="21" t="n">
        <v>187.308</v>
      </c>
      <c r="O64" s="21" t="n">
        <v>343.249</v>
      </c>
      <c r="P64" s="21" t="n">
        <v>361.991</v>
      </c>
      <c r="Q64" s="21" t="n">
        <v>179.659</v>
      </c>
      <c r="R64" s="21" t="n">
        <v>292.379</v>
      </c>
      <c r="S64" s="21" t="n">
        <v>316.188</v>
      </c>
      <c r="T64" s="21" t="n">
        <v>272.291</v>
      </c>
      <c r="U64" s="21" t="n">
        <v>269.163</v>
      </c>
      <c r="V64" s="21" t="n">
        <v>306.855</v>
      </c>
      <c r="W64" s="21" t="n">
        <v>308.985</v>
      </c>
      <c r="X64" s="21" t="n">
        <v>267.546</v>
      </c>
      <c r="Y64" s="21" t="n">
        <v>254.724</v>
      </c>
      <c r="Z64" s="21" t="n">
        <v>257.912</v>
      </c>
      <c r="AA64" s="21" t="n">
        <v>261.489</v>
      </c>
      <c r="AB64" s="21" t="n">
        <v>316.27</v>
      </c>
      <c r="AC64" s="21" t="n">
        <v>280.336</v>
      </c>
      <c r="AD64" s="21" t="n">
        <v>241.647</v>
      </c>
      <c r="AE64" s="21" t="n">
        <v>211.594</v>
      </c>
      <c r="AF64" s="21" t="n">
        <v>251.51</v>
      </c>
      <c r="AG64" s="21" t="n">
        <v>217.168</v>
      </c>
      <c r="AH64" s="21" t="n">
        <v>161.539</v>
      </c>
      <c r="AI64" s="21" t="n">
        <v>296.226</v>
      </c>
      <c r="AJ64" s="21" t="n">
        <v>151.891</v>
      </c>
      <c r="AK64" s="21" t="n">
        <v>219.842</v>
      </c>
      <c r="AL64" s="21" t="n">
        <v>244.469</v>
      </c>
      <c r="AM64" s="21" t="n">
        <v>190.618</v>
      </c>
      <c r="AN64" s="21" t="n">
        <v>127.032</v>
      </c>
      <c r="AO64" s="21" t="n">
        <v>228.971</v>
      </c>
      <c r="AP64" s="21" t="n">
        <v>241.603</v>
      </c>
      <c r="AQ64" s="21" t="n">
        <v>146.05</v>
      </c>
      <c r="AR64" s="21" t="n"/>
      <c r="AS64" s="21" t="n"/>
      <c r="AT64" s="21" t="n">
        <v>235.803</v>
      </c>
      <c r="AU64" s="21" t="n">
        <v>151.403</v>
      </c>
      <c r="AV64" s="21" t="n">
        <v>249.805</v>
      </c>
      <c r="AW64" s="21" t="n">
        <v>225.667</v>
      </c>
      <c r="AX64" s="21" t="n">
        <v>155.139</v>
      </c>
      <c r="AY64" s="21" t="n">
        <v>297.55</v>
      </c>
      <c r="AZ64" s="21" t="n">
        <v>189.458</v>
      </c>
      <c r="BA64" s="21" t="n">
        <v>144.951</v>
      </c>
      <c r="BB64" s="21" t="n">
        <v>211.27</v>
      </c>
      <c r="BC64" s="21" t="n">
        <v>297.425</v>
      </c>
      <c r="BD64" s="21" t="n">
        <v>212.876</v>
      </c>
      <c r="BE64" s="21" t="n">
        <v>225.627</v>
      </c>
      <c r="BF64" s="21" t="n">
        <v>146.295</v>
      </c>
      <c r="BG64" s="21" t="n">
        <v>208.402</v>
      </c>
      <c r="BH64" s="21" t="n">
        <v>150.732</v>
      </c>
      <c r="BI64" s="21" t="n">
        <v>236.61</v>
      </c>
      <c r="BJ64" s="21" t="n">
        <v>228.986</v>
      </c>
      <c r="BK64" s="21" t="n">
        <v>151.2</v>
      </c>
      <c r="BL64" s="21" t="n">
        <v>299.641</v>
      </c>
      <c r="BM64" s="21" t="n">
        <v>346.823</v>
      </c>
      <c r="BN64" s="21" t="n">
        <v>352.394</v>
      </c>
      <c r="BO64" s="21" t="n">
        <v>310.774</v>
      </c>
      <c r="BP64" s="21" t="n">
        <v>195.553</v>
      </c>
      <c r="BQ64" s="21" t="n">
        <v>232.223</v>
      </c>
      <c r="BR64" s="21" t="n">
        <v>449.124</v>
      </c>
      <c r="BS64" s="21" t="n">
        <v>122.423</v>
      </c>
      <c r="BT64" s="21" t="n">
        <v>339.504</v>
      </c>
      <c r="BU64" s="21" t="n">
        <v>373.131</v>
      </c>
      <c r="BV64" s="21" t="n">
        <v>323.178</v>
      </c>
      <c r="BW64" s="21" t="n">
        <v>364.552</v>
      </c>
      <c r="BX64" s="21" t="n">
        <v>331.212</v>
      </c>
      <c r="BY64" s="21" t="n">
        <v>157.754</v>
      </c>
      <c r="BZ64" s="21" t="n">
        <v>164.599</v>
      </c>
      <c r="CA64" s="21" t="n">
        <v>159.232</v>
      </c>
      <c r="CB64" s="21" t="n">
        <v>174.878</v>
      </c>
      <c r="CC64" s="21" t="n">
        <v>145.935</v>
      </c>
      <c r="CD64" s="21" t="n">
        <v>201.175</v>
      </c>
      <c r="CE64" s="21" t="n">
        <v>156.19</v>
      </c>
      <c r="CF64" s="21" t="n">
        <v>183.424</v>
      </c>
      <c r="CG64" s="21" t="n">
        <v>174.454</v>
      </c>
      <c r="CH64" s="21" t="n">
        <v>136.903</v>
      </c>
      <c r="CI64" s="21" t="n">
        <v>175.423</v>
      </c>
      <c r="CJ64" s="21" t="n">
        <v>176.258</v>
      </c>
      <c r="CK64" s="21" t="n">
        <v>123.026</v>
      </c>
      <c r="CL64" s="21" t="n">
        <v>117.496</v>
      </c>
      <c r="CM64" s="21" t="n">
        <v>194.066</v>
      </c>
      <c r="CN64" s="21" t="n">
        <v>202.498</v>
      </c>
      <c r="CO64" s="21" t="n">
        <v>183.167</v>
      </c>
      <c r="CP64" s="21" t="n">
        <v>131.954</v>
      </c>
      <c r="CQ64" s="21" t="n">
        <v>214.565</v>
      </c>
      <c r="CR64" s="21" t="n">
        <v>226.391</v>
      </c>
      <c r="CS64" s="21" t="n">
        <v>196.892</v>
      </c>
      <c r="CT64" s="21" t="n">
        <v>154.605</v>
      </c>
      <c r="CU64" s="21" t="n">
        <v>155.25</v>
      </c>
      <c r="CV64" s="21" t="n">
        <v>228.497</v>
      </c>
      <c r="CW64" s="21" t="n">
        <v>210.774</v>
      </c>
      <c r="CX64" s="21" t="n">
        <v>254.716</v>
      </c>
      <c r="CY64" s="21" t="n">
        <v>305.728</v>
      </c>
      <c r="CZ64" s="21" t="n">
        <v>132.549</v>
      </c>
      <c r="DA64" s="21" t="n">
        <v>154.406</v>
      </c>
      <c r="DB64" s="21" t="n">
        <v>152.257</v>
      </c>
      <c r="DC64" s="21" t="n">
        <v>228.741</v>
      </c>
      <c r="DD64" s="21" t="n">
        <v>250.847</v>
      </c>
      <c r="DE64" s="21" t="n">
        <v>168.064</v>
      </c>
      <c r="DF64" s="21" t="n">
        <v>253.683</v>
      </c>
      <c r="DG64" s="21" t="n">
        <v>249.685</v>
      </c>
      <c r="DH64" s="21" t="n">
        <v>158.062</v>
      </c>
      <c r="DI64" s="21" t="n">
        <v>147.653</v>
      </c>
      <c r="DJ64" s="21" t="n">
        <v>145.255</v>
      </c>
      <c r="DK64" s="21" t="n">
        <v>280.084</v>
      </c>
      <c r="DL64" s="21" t="n">
        <v>172.296</v>
      </c>
      <c r="DM64" s="21" t="n">
        <v>134.325</v>
      </c>
      <c r="DN64" s="21" t="n">
        <v>133.45</v>
      </c>
      <c r="DO64" s="21" t="n">
        <v>290.216</v>
      </c>
      <c r="DP64" s="21" t="n">
        <v>179.94</v>
      </c>
      <c r="DQ64" s="21" t="n">
        <v>186.02</v>
      </c>
      <c r="DR64" s="21" t="n">
        <v>183.737</v>
      </c>
      <c r="DS64" s="21" t="n">
        <v>152.044</v>
      </c>
      <c r="DT64" s="21" t="n">
        <v>169.643</v>
      </c>
      <c r="DU64" s="21" t="n">
        <v>198.759</v>
      </c>
      <c r="DV64" s="21" t="n">
        <v>255.66</v>
      </c>
      <c r="DW64" s="21" t="n">
        <v>208.219</v>
      </c>
      <c r="DX64" s="21" t="n">
        <v>236.893</v>
      </c>
      <c r="DY64" s="21" t="n">
        <v>194.605</v>
      </c>
      <c r="DZ64" s="21" t="n">
        <v>207.491</v>
      </c>
      <c r="EA64" s="21" t="n">
        <v>190.477</v>
      </c>
      <c r="EB64" s="21" t="n">
        <v>171.972</v>
      </c>
      <c r="EC64" s="21" t="n">
        <v>359.743</v>
      </c>
      <c r="ED64" s="21" t="n">
        <v>176.064</v>
      </c>
      <c r="EE64" s="21" t="n">
        <v>193.479</v>
      </c>
      <c r="EF64" s="21" t="n">
        <v>195.015</v>
      </c>
      <c r="EG64" s="21" t="n">
        <v>270.273</v>
      </c>
      <c r="EH64" s="21" t="n">
        <v>324.615</v>
      </c>
      <c r="EI64" s="21" t="n">
        <v>339.519</v>
      </c>
      <c r="EJ64" s="21" t="n">
        <v>157.565</v>
      </c>
      <c r="EK64" s="21" t="n">
        <v>570.643</v>
      </c>
      <c r="EL64" s="21" t="n">
        <v>319.437</v>
      </c>
      <c r="EM64" s="21" t="n">
        <v>332.864</v>
      </c>
      <c r="EN64" s="21" t="n">
        <v>332.904</v>
      </c>
      <c r="EO64" s="21" t="n">
        <v>150.753</v>
      </c>
      <c r="EP64" s="21" t="n">
        <v>241.16</v>
      </c>
      <c r="EQ64" s="21" t="n">
        <v>196.998</v>
      </c>
      <c r="ER64" s="21" t="n">
        <v>248.114</v>
      </c>
      <c r="ES64" s="21" t="n">
        <v>229.794</v>
      </c>
      <c r="ET64" s="21" t="n">
        <v>329.657</v>
      </c>
      <c r="EU64" s="21" t="n">
        <v>201.439</v>
      </c>
      <c r="EV64" s="21" t="n">
        <v>211.332</v>
      </c>
      <c r="EW64" s="21" t="n">
        <v>168.994</v>
      </c>
      <c r="EX64" s="21" t="n">
        <v>250.359</v>
      </c>
      <c r="EY64" s="21" t="n">
        <v>580.394</v>
      </c>
      <c r="EZ64" s="21" t="n">
        <v>495.288</v>
      </c>
      <c r="FA64" s="21" t="n">
        <v>124.469</v>
      </c>
      <c r="FB64" s="21" t="n">
        <v>57.847</v>
      </c>
      <c r="FC64" s="21" t="n">
        <v>112.681</v>
      </c>
      <c r="FD64" s="21" t="n">
        <v>67.422</v>
      </c>
      <c r="FE64" s="21" t="n">
        <v>43.796</v>
      </c>
      <c r="FF64" s="21" t="n">
        <v>113.176</v>
      </c>
      <c r="FG64" s="21" t="n">
        <v>127.818</v>
      </c>
      <c r="FH64" s="21" t="n">
        <v>88.279</v>
      </c>
      <c r="FI64" s="21" t="n">
        <v>68.824</v>
      </c>
      <c r="FJ64" s="21" t="n">
        <v>104.325</v>
      </c>
      <c r="FK64" s="21" t="n">
        <v>77.26900000000001</v>
      </c>
      <c r="FL64" s="21" t="n">
        <v>83.592</v>
      </c>
      <c r="FM64" s="21" t="n">
        <v>92.498</v>
      </c>
      <c r="FN64" s="21" t="n">
        <v>67.04000000000001</v>
      </c>
      <c r="FO64" s="21" t="n">
        <v>49.769</v>
      </c>
      <c r="FP64" s="21" t="n">
        <v>35.938</v>
      </c>
      <c r="FQ64" s="21" t="n">
        <v>133.292</v>
      </c>
      <c r="FR64" s="21" t="n">
        <v>48.784</v>
      </c>
      <c r="FS64" s="21" t="n">
        <v>78.83499999999999</v>
      </c>
      <c r="FT64" s="21" t="n">
        <v>91.602</v>
      </c>
      <c r="FU64" s="21" t="n">
        <v>99.63800000000001</v>
      </c>
      <c r="FV64" s="21" t="n">
        <v>87.878</v>
      </c>
      <c r="FW64" s="21" t="n">
        <v>190.279</v>
      </c>
      <c r="FX64" s="21" t="n">
        <v>121.468</v>
      </c>
      <c r="FY64" s="21" t="n">
        <v>177.763</v>
      </c>
      <c r="FZ64" s="21" t="n">
        <v>117.825</v>
      </c>
      <c r="GA64" s="21" t="n">
        <v>199.308</v>
      </c>
      <c r="GB64" s="21" t="n">
        <v>172.336</v>
      </c>
      <c r="GC64" s="21" t="n"/>
      <c r="GD64" s="21" t="n">
        <v>173.819</v>
      </c>
      <c r="GE64" s="21" t="n">
        <v>271.169</v>
      </c>
      <c r="GF64" s="21" t="n">
        <v>123.815</v>
      </c>
      <c r="GG64" s="21" t="n">
        <v>119.09</v>
      </c>
      <c r="GH64" s="21" t="n">
        <v>122.359</v>
      </c>
      <c r="GI64" s="21" t="n">
        <v>107.27</v>
      </c>
      <c r="GJ64" s="21" t="n">
        <v>161.888</v>
      </c>
      <c r="GK64" s="21" t="n">
        <v>75.69199999999999</v>
      </c>
      <c r="GL64" s="21" t="n">
        <v>122.108</v>
      </c>
      <c r="GM64" s="21" t="n">
        <v>104.624</v>
      </c>
      <c r="GN64" s="21" t="n">
        <v>106.796</v>
      </c>
      <c r="GO64" s="21" t="n">
        <v>108.686</v>
      </c>
      <c r="GP64" s="21" t="n">
        <v>97.69</v>
      </c>
      <c r="GQ64" s="21" t="n">
        <v>113.973</v>
      </c>
      <c r="GR64" s="21" t="n">
        <v>74.646</v>
      </c>
      <c r="GS64" s="21" t="n">
        <v>107.258</v>
      </c>
      <c r="GT64" s="21" t="n">
        <v>97.56399999999999</v>
      </c>
      <c r="GU64" s="21" t="n">
        <v>136.592</v>
      </c>
      <c r="GV64" s="21" t="n">
        <v>138.063</v>
      </c>
      <c r="GW64" s="21" t="n">
        <v>158.009</v>
      </c>
      <c r="GX64" s="21" t="n">
        <v>125.024</v>
      </c>
      <c r="GY64" s="21" t="n">
        <v>112.504</v>
      </c>
      <c r="GZ64" s="21" t="n">
        <v>171.237</v>
      </c>
      <c r="HA64" s="21" t="n">
        <v>143.381</v>
      </c>
      <c r="HB64" s="21" t="n">
        <v>168.042</v>
      </c>
      <c r="HC64" s="21" t="n">
        <v>203.854</v>
      </c>
      <c r="HD64" s="21" t="n">
        <v>200.626</v>
      </c>
      <c r="HE64" s="21" t="n">
        <v>99.527</v>
      </c>
      <c r="HF64" s="21" t="n">
        <v>147.124</v>
      </c>
      <c r="HG64" s="21" t="n">
        <v>101.956</v>
      </c>
      <c r="HH64" s="21" t="n">
        <v>143.517</v>
      </c>
      <c r="HI64" s="21" t="n">
        <v>156.543</v>
      </c>
      <c r="HJ64" s="21" t="n"/>
      <c r="HK64" s="21" t="n">
        <v>140.689</v>
      </c>
      <c r="HL64" s="21" t="n">
        <v>84.83</v>
      </c>
      <c r="HM64" s="21" t="n">
        <v>122.708</v>
      </c>
      <c r="HN64" s="21" t="n">
        <v>203.512</v>
      </c>
      <c r="HO64" s="21" t="n">
        <v>202.205</v>
      </c>
      <c r="HP64" s="21" t="n">
        <v>196.578</v>
      </c>
      <c r="HQ64" s="21" t="n">
        <v>225.054</v>
      </c>
      <c r="HR64" s="21" t="n">
        <v>224.163</v>
      </c>
      <c r="HS64" s="21" t="n">
        <v>202.915</v>
      </c>
      <c r="HT64" s="21" t="n">
        <v>148.19</v>
      </c>
      <c r="HU64" s="21" t="n">
        <v>125.377</v>
      </c>
      <c r="HV64" s="21" t="n">
        <v>180.216</v>
      </c>
      <c r="HW64" s="21" t="n">
        <v>170.771</v>
      </c>
      <c r="HX64" s="21" t="n">
        <v>396.931</v>
      </c>
      <c r="HY64" s="21" t="n">
        <v>304.131</v>
      </c>
      <c r="HZ64" s="21" t="n">
        <v>319.578</v>
      </c>
      <c r="IA64" s="21" t="n">
        <v>276.441</v>
      </c>
      <c r="IB64" s="21" t="n">
        <v>184.825</v>
      </c>
      <c r="IC64" s="21" t="n">
        <v>579.462</v>
      </c>
      <c r="ID64" s="21" t="n">
        <v>196.743</v>
      </c>
      <c r="IE64" s="21" t="n">
        <v>184.576</v>
      </c>
      <c r="IF64" s="21" t="n">
        <v>216.153</v>
      </c>
      <c r="IG64" s="21" t="n">
        <v>243.289</v>
      </c>
      <c r="IH64" s="21" t="n">
        <v>122.599</v>
      </c>
      <c r="II64" s="21" t="n">
        <v>237.553</v>
      </c>
      <c r="IJ64" s="21" t="n">
        <v>232.113</v>
      </c>
      <c r="IK64" s="21" t="n">
        <v>150.147</v>
      </c>
      <c r="IL64" s="21" t="n">
        <v>139.797</v>
      </c>
      <c r="IM64" s="21" t="n"/>
      <c r="IN64" s="21" t="n">
        <v>61.143</v>
      </c>
      <c r="IO64" s="21" t="n">
        <v>325.612</v>
      </c>
      <c r="IP64" s="21" t="n">
        <v>130.941</v>
      </c>
      <c r="IQ64" s="21" t="n">
        <v>515.605</v>
      </c>
      <c r="IR64" s="21" t="n">
        <v>384.498</v>
      </c>
      <c r="IS64" s="21" t="n">
        <v>125.914</v>
      </c>
      <c r="IT64" s="21" t="n">
        <v>533.885</v>
      </c>
      <c r="IU64" s="21" t="n">
        <v>96.565</v>
      </c>
      <c r="IV64" s="21" t="n">
        <v>101.093</v>
      </c>
      <c r="IW64" s="21" t="n">
        <v>557.889</v>
      </c>
      <c r="IX64" s="21" t="n">
        <v>386.691</v>
      </c>
      <c r="IY64" s="21" t="n">
        <v>386.483</v>
      </c>
      <c r="IZ64" s="21" t="n">
        <v>506.285</v>
      </c>
      <c r="JA64" s="21" t="n">
        <v>192.006</v>
      </c>
      <c r="JB64" s="21" t="n">
        <v>240.707</v>
      </c>
      <c r="JC64" s="21" t="n">
        <v>83.324</v>
      </c>
      <c r="JD64" s="21" t="n">
        <v>351.35</v>
      </c>
      <c r="JE64" s="21" t="n">
        <v>340.909</v>
      </c>
      <c r="JF64" s="21" t="n">
        <v>772.073</v>
      </c>
      <c r="JG64" s="21" t="n">
        <v>240.157</v>
      </c>
      <c r="JH64" s="21" t="n">
        <v>127.609</v>
      </c>
      <c r="JI64" s="21" t="n">
        <v>176.799</v>
      </c>
      <c r="JJ64" s="21" t="n">
        <v>122.265</v>
      </c>
      <c r="JK64" s="21" t="n">
        <v>106.466</v>
      </c>
      <c r="JL64" s="21" t="n">
        <v>134.736</v>
      </c>
      <c r="JM64" s="21" t="n">
        <v>495.647</v>
      </c>
      <c r="JN64" s="21" t="n">
        <v>120.595</v>
      </c>
      <c r="JO64" s="21" t="n">
        <v>69.544</v>
      </c>
      <c r="JP64" s="21" t="n">
        <v>33.84</v>
      </c>
      <c r="JQ64" s="21" t="n">
        <v>136.147</v>
      </c>
      <c r="JR64" s="21" t="n">
        <v>26.999</v>
      </c>
      <c r="JS64" s="21" t="n">
        <v>79.764</v>
      </c>
      <c r="JT64" s="21" t="n">
        <v>180.452</v>
      </c>
      <c r="JU64" s="21" t="n">
        <v>205.207</v>
      </c>
      <c r="JV64" s="21" t="n">
        <v>156.25</v>
      </c>
      <c r="JW64" s="21" t="n">
        <v>118.424</v>
      </c>
      <c r="JX64" s="21" t="n">
        <v>259.258</v>
      </c>
      <c r="JY64" s="21" t="n">
        <v>200.489</v>
      </c>
      <c r="JZ64" s="21" t="n">
        <v>273.358</v>
      </c>
      <c r="KA64" s="21" t="n">
        <v>112.053</v>
      </c>
      <c r="KB64" s="21" t="n">
        <v>153.566</v>
      </c>
      <c r="KC64" s="21" t="n">
        <v>77.527</v>
      </c>
      <c r="KD64" s="21" t="n">
        <v>76.30500000000001</v>
      </c>
      <c r="KE64" s="21" t="n">
        <v>57.384</v>
      </c>
      <c r="KF64" s="21" t="n"/>
      <c r="KG64" s="21" t="n">
        <v>23.875</v>
      </c>
      <c r="KH64" s="21" t="n">
        <v>122.544</v>
      </c>
      <c r="KI64" s="21" t="n">
        <v>125.485</v>
      </c>
      <c r="KJ64" s="21" t="n">
        <v>113.962</v>
      </c>
      <c r="KK64" s="21" t="n">
        <v>33.918</v>
      </c>
      <c r="KL64" s="21" t="n">
        <v>29.664</v>
      </c>
      <c r="KM64" s="21" t="n">
        <v>37.121</v>
      </c>
      <c r="KN64" s="21" t="n"/>
      <c r="KO64" s="21" t="n">
        <v>94.72199999999999</v>
      </c>
      <c r="KP64" s="21" t="n">
        <v>105.216</v>
      </c>
      <c r="KQ64" s="21" t="n">
        <v>175.805</v>
      </c>
      <c r="KR64" s="21" t="n">
        <v>147.256</v>
      </c>
      <c r="KS64" s="21" t="n">
        <v>397.663</v>
      </c>
      <c r="KT64" s="21" t="n">
        <v>190.094</v>
      </c>
      <c r="KU64" s="21" t="n">
        <v>232.141</v>
      </c>
      <c r="KV64" s="21" t="n">
        <v>321.432</v>
      </c>
      <c r="KW64" s="21" t="n">
        <v>263.738</v>
      </c>
      <c r="KX64" s="21" t="n">
        <v>195.683</v>
      </c>
      <c r="KY64" s="21" t="n">
        <v>97.03700000000001</v>
      </c>
      <c r="KZ64" s="21" t="n">
        <v>139.199</v>
      </c>
      <c r="LA64" s="21" t="n">
        <v>269.45</v>
      </c>
      <c r="LB64" s="21" t="n">
        <v>671.048</v>
      </c>
      <c r="LC64" s="21" t="n">
        <v>231.129</v>
      </c>
      <c r="LD64" s="21" t="n">
        <v>774.1849999999999</v>
      </c>
      <c r="LE64" s="21" t="n">
        <v>874.617</v>
      </c>
      <c r="LF64" s="21" t="n">
        <v>83.982</v>
      </c>
      <c r="LG64" s="21" t="n">
        <v>310.546</v>
      </c>
      <c r="LH64" s="21" t="n">
        <v>256.245</v>
      </c>
      <c r="LI64" s="21" t="n">
        <v>73.71899999999999</v>
      </c>
      <c r="LJ64" s="21" t="n">
        <v>203.278</v>
      </c>
      <c r="LK64" s="21" t="n">
        <v>320.396</v>
      </c>
      <c r="LL64" s="21" t="n">
        <v>322.28</v>
      </c>
      <c r="LM64" s="21" t="n">
        <v>69.622</v>
      </c>
      <c r="LN64" s="21" t="n">
        <v>90.416</v>
      </c>
      <c r="LO64" s="21" t="n">
        <v>46.295</v>
      </c>
      <c r="LP64" s="21" t="n">
        <v>127.995</v>
      </c>
      <c r="LQ64" s="21" t="n"/>
      <c r="LR64" s="21" t="n"/>
      <c r="LS64" s="21" t="n">
        <v>109.421</v>
      </c>
      <c r="LT64" s="21" t="n">
        <v>38.706</v>
      </c>
      <c r="LU64" s="21" t="n">
        <v>27.477</v>
      </c>
      <c r="LV64" s="21" t="n">
        <v>78.06100000000001</v>
      </c>
      <c r="LW64" s="21" t="n">
        <v>191.777</v>
      </c>
      <c r="LX64" s="21" t="n">
        <v>95.90300000000001</v>
      </c>
      <c r="LY64" s="21" t="n">
        <v>461.495</v>
      </c>
      <c r="LZ64" s="21" t="n">
        <v>73.312</v>
      </c>
      <c r="MA64" s="21" t="n">
        <v>477.891</v>
      </c>
      <c r="MB64" s="21" t="n">
        <v>283.696</v>
      </c>
      <c r="MC64" s="21" t="n">
        <v>238.175</v>
      </c>
      <c r="MD64" s="21" t="n">
        <v>161.018</v>
      </c>
      <c r="ME64" s="21" t="n">
        <v>103.852</v>
      </c>
      <c r="MF64" s="21" t="n">
        <v>181.669</v>
      </c>
      <c r="MG64" s="21" t="n">
        <v>278.442</v>
      </c>
      <c r="MH64" s="21" t="n">
        <v>169.895</v>
      </c>
      <c r="MI64" s="21" t="n">
        <v>457.608</v>
      </c>
      <c r="MJ64" s="21" t="n">
        <v>369.233</v>
      </c>
      <c r="MK64" s="21" t="n">
        <v>341.245</v>
      </c>
      <c r="ML64" s="21" t="n">
        <v>179.985</v>
      </c>
      <c r="MM64" s="21" t="n">
        <v>207.22</v>
      </c>
      <c r="MN64" s="21" t="n">
        <v>373.578</v>
      </c>
      <c r="MO64" s="21" t="n">
        <v>176.076</v>
      </c>
      <c r="MP64" s="21" t="n">
        <v>262.909</v>
      </c>
      <c r="MQ64" s="21" t="n">
        <v>77.002</v>
      </c>
      <c r="MR64" s="21" t="n">
        <v>157.643</v>
      </c>
      <c r="MS64" s="21" t="n">
        <v>78.282</v>
      </c>
      <c r="MT64" s="21" t="n">
        <v>245.778</v>
      </c>
      <c r="MU64" s="21" t="n">
        <v>265.896</v>
      </c>
      <c r="MV64" s="21" t="n">
        <v>257.382</v>
      </c>
      <c r="MW64" s="21" t="n">
        <v>267.312</v>
      </c>
      <c r="MX64" s="21" t="n">
        <v>235.184</v>
      </c>
      <c r="MY64" s="21" t="n">
        <v>228.099</v>
      </c>
      <c r="MZ64" s="21" t="n">
        <v>235.539</v>
      </c>
      <c r="NA64" s="21" t="n">
        <v>241.387</v>
      </c>
      <c r="NB64" s="21" t="n">
        <v>116.39</v>
      </c>
      <c r="NC64" s="21" t="n">
        <v>184.364</v>
      </c>
      <c r="ND64" s="21" t="n">
        <v>150.257</v>
      </c>
      <c r="NE64" s="21" t="n">
        <v>146.714</v>
      </c>
      <c r="NF64" s="21" t="n">
        <v>144.718</v>
      </c>
      <c r="NG64" s="21" t="n">
        <v>145.767</v>
      </c>
      <c r="NH64" s="21" t="n">
        <v>252.974</v>
      </c>
      <c r="NI64" s="21" t="n">
        <v>104.703</v>
      </c>
      <c r="NJ64" s="21" t="n">
        <v>69.47499999999999</v>
      </c>
      <c r="NK64" s="21" t="n">
        <v>112.478</v>
      </c>
      <c r="NL64" s="21" t="n">
        <v>199.573</v>
      </c>
      <c r="NM64" s="21" t="n">
        <v>207.215</v>
      </c>
      <c r="NN64" s="21" t="n">
        <v>90.783</v>
      </c>
      <c r="NO64" s="21" t="n">
        <v>49.722</v>
      </c>
      <c r="NP64" s="21" t="n">
        <v>225.113</v>
      </c>
      <c r="NQ64" s="21" t="n">
        <v>193.597</v>
      </c>
      <c r="NR64" s="21" t="n">
        <v>235.665</v>
      </c>
      <c r="NS64" s="21" t="n">
        <v>189.714</v>
      </c>
      <c r="NT64" s="21" t="n">
        <v>234.822</v>
      </c>
      <c r="NU64" s="21" t="n">
        <v>116.967</v>
      </c>
      <c r="NV64" s="21" t="n">
        <v>127.687</v>
      </c>
      <c r="NW64" s="21" t="n">
        <v>365.516</v>
      </c>
      <c r="NX64" s="21" t="n">
        <v>79.206</v>
      </c>
      <c r="NY64" s="21" t="n">
        <v>127.441</v>
      </c>
      <c r="NZ64" s="21" t="n">
        <v>338.549</v>
      </c>
      <c r="OA64" s="21" t="n">
        <v>331.021</v>
      </c>
      <c r="OB64" s="21" t="n">
        <v>343.99</v>
      </c>
      <c r="OC64" s="21" t="n">
        <v>313.845</v>
      </c>
      <c r="OD64" s="21" t="n">
        <v>347.979</v>
      </c>
      <c r="OE64" s="21" t="n">
        <v>105.299</v>
      </c>
      <c r="OF64" s="21" t="n">
        <v>321.61</v>
      </c>
      <c r="OG64" s="21" t="n">
        <v>216.968</v>
      </c>
      <c r="OH64" s="21" t="n">
        <v>37.08</v>
      </c>
      <c r="OI64" s="21" t="n">
        <v>131.204</v>
      </c>
      <c r="OJ64" s="21" t="n">
        <v>38.7</v>
      </c>
      <c r="OK64" s="21" t="n">
        <v>12.9</v>
      </c>
    </row>
    <row r="65">
      <c r="A65" s="22" t="n">
        <v>43922</v>
      </c>
      <c r="B65" s="21" t="n">
        <v>256.389</v>
      </c>
      <c r="C65" s="21" t="n">
        <v>768.029</v>
      </c>
      <c r="D65" s="21" t="n">
        <v>266.137</v>
      </c>
      <c r="E65" s="21" t="n">
        <v>266.757</v>
      </c>
      <c r="F65" s="21" t="n">
        <v>251.717</v>
      </c>
      <c r="G65" s="21" t="n">
        <v>285.16</v>
      </c>
      <c r="H65" s="21" t="n">
        <v>232.267</v>
      </c>
      <c r="I65" s="21" t="n">
        <v>238.985</v>
      </c>
      <c r="J65" s="21" t="n">
        <v>224.844</v>
      </c>
      <c r="K65" s="21" t="n">
        <v>244.852</v>
      </c>
      <c r="L65" s="21" t="n">
        <v>165.218</v>
      </c>
      <c r="M65" s="21" t="n">
        <v>315.786</v>
      </c>
      <c r="N65" s="21" t="n">
        <v>194.227</v>
      </c>
      <c r="O65" s="21" t="n">
        <v>355.262</v>
      </c>
      <c r="P65" s="21" t="n">
        <v>374.51</v>
      </c>
      <c r="Q65" s="21" t="n">
        <v>186.219</v>
      </c>
      <c r="R65" s="21" t="n">
        <v>296.846</v>
      </c>
      <c r="S65" s="21" t="n">
        <v>308.843</v>
      </c>
      <c r="T65" s="21" t="n">
        <v>286.192</v>
      </c>
      <c r="U65" s="21" t="n">
        <v>278.737</v>
      </c>
      <c r="V65" s="21" t="n">
        <v>322.216</v>
      </c>
      <c r="W65" s="21" t="n">
        <v>321.13</v>
      </c>
      <c r="X65" s="21" t="n">
        <v>272.966</v>
      </c>
      <c r="Y65" s="21" t="n">
        <v>266.263</v>
      </c>
      <c r="Z65" s="21" t="n">
        <v>267.876</v>
      </c>
      <c r="AA65" s="21" t="n">
        <v>270.149</v>
      </c>
      <c r="AB65" s="21" t="n">
        <v>329.503</v>
      </c>
      <c r="AC65" s="21" t="n">
        <v>293.69</v>
      </c>
      <c r="AD65" s="21" t="n">
        <v>253.826</v>
      </c>
      <c r="AE65" s="21" t="n">
        <v>218.764</v>
      </c>
      <c r="AF65" s="21" t="n">
        <v>260.944</v>
      </c>
      <c r="AG65" s="21" t="n">
        <v>223.007</v>
      </c>
      <c r="AH65" s="21" t="n">
        <v>162.428</v>
      </c>
      <c r="AI65" s="21" t="n">
        <v>298.948</v>
      </c>
      <c r="AJ65" s="21" t="n">
        <v>151.529</v>
      </c>
      <c r="AK65" s="21" t="n">
        <v>210.336</v>
      </c>
      <c r="AL65" s="21" t="n">
        <v>233.472</v>
      </c>
      <c r="AM65" s="21" t="n">
        <v>204.752</v>
      </c>
      <c r="AN65" s="21" t="n">
        <v>139.949</v>
      </c>
      <c r="AO65" s="21" t="n">
        <v>234.515</v>
      </c>
      <c r="AP65" s="21" t="n">
        <v>251.006</v>
      </c>
      <c r="AQ65" s="21" t="n">
        <v>149.934</v>
      </c>
      <c r="AR65" s="21" t="n"/>
      <c r="AS65" s="21" t="n"/>
      <c r="AT65" s="21" t="n">
        <v>246.991</v>
      </c>
      <c r="AU65" s="21" t="n">
        <v>160.175</v>
      </c>
      <c r="AV65" s="21" t="n">
        <v>267.535</v>
      </c>
      <c r="AW65" s="21" t="n">
        <v>237.339</v>
      </c>
      <c r="AX65" s="21" t="n">
        <v>155.424</v>
      </c>
      <c r="AY65" s="21" t="n">
        <v>311.987</v>
      </c>
      <c r="AZ65" s="21" t="n">
        <v>197.665</v>
      </c>
      <c r="BA65" s="21" t="n">
        <v>152.777</v>
      </c>
      <c r="BB65" s="21" t="n">
        <v>219.757</v>
      </c>
      <c r="BC65" s="21" t="n">
        <v>319.781</v>
      </c>
      <c r="BD65" s="21" t="n">
        <v>244.826</v>
      </c>
      <c r="BE65" s="21" t="n">
        <v>228.755</v>
      </c>
      <c r="BF65" s="21" t="n">
        <v>147.742</v>
      </c>
      <c r="BG65" s="21" t="n">
        <v>209.286</v>
      </c>
      <c r="BH65" s="21" t="n">
        <v>152.919</v>
      </c>
      <c r="BI65" s="21" t="n">
        <v>240.897</v>
      </c>
      <c r="BJ65" s="21" t="n">
        <v>233.015</v>
      </c>
      <c r="BK65" s="21" t="n">
        <v>152.772</v>
      </c>
      <c r="BL65" s="21" t="n">
        <v>304.809</v>
      </c>
      <c r="BM65" s="21" t="n">
        <v>351.845</v>
      </c>
      <c r="BN65" s="21" t="n">
        <v>360.185</v>
      </c>
      <c r="BO65" s="21" t="n">
        <v>328.641</v>
      </c>
      <c r="BP65" s="21" t="n">
        <v>195.89</v>
      </c>
      <c r="BQ65" s="21" t="n">
        <v>245.671</v>
      </c>
      <c r="BR65" s="21" t="n">
        <v>475.288</v>
      </c>
      <c r="BS65" s="21" t="n">
        <v>122.442</v>
      </c>
      <c r="BT65" s="21" t="n">
        <v>341.69</v>
      </c>
      <c r="BU65" s="21" t="n">
        <v>380.959</v>
      </c>
      <c r="BV65" s="21" t="n">
        <v>323.722</v>
      </c>
      <c r="BW65" s="21" t="n">
        <v>351.82</v>
      </c>
      <c r="BX65" s="21" t="n">
        <v>336.517</v>
      </c>
      <c r="BY65" s="21" t="n">
        <v>162.084</v>
      </c>
      <c r="BZ65" s="21" t="n">
        <v>169.917</v>
      </c>
      <c r="CA65" s="21" t="n">
        <v>163.007</v>
      </c>
      <c r="CB65" s="21" t="n">
        <v>181.206</v>
      </c>
      <c r="CC65" s="21" t="n">
        <v>150.468</v>
      </c>
      <c r="CD65" s="21" t="n">
        <v>207.732</v>
      </c>
      <c r="CE65" s="21" t="n">
        <v>157.358</v>
      </c>
      <c r="CF65" s="21" t="n">
        <v>185.376</v>
      </c>
      <c r="CG65" s="21" t="n">
        <v>179.235</v>
      </c>
      <c r="CH65" s="21" t="n">
        <v>141.51</v>
      </c>
      <c r="CI65" s="21" t="n">
        <v>181.539</v>
      </c>
      <c r="CJ65" s="21" t="n">
        <v>181.406</v>
      </c>
      <c r="CK65" s="21" t="n">
        <v>127.064</v>
      </c>
      <c r="CL65" s="21" t="n">
        <v>118.908</v>
      </c>
      <c r="CM65" s="21" t="n">
        <v>196.12</v>
      </c>
      <c r="CN65" s="21" t="n">
        <v>204.638</v>
      </c>
      <c r="CO65" s="21" t="n">
        <v>187.835</v>
      </c>
      <c r="CP65" s="21" t="n">
        <v>133.88</v>
      </c>
      <c r="CQ65" s="21" t="n">
        <v>219.233</v>
      </c>
      <c r="CR65" s="21" t="n">
        <v>227.387</v>
      </c>
      <c r="CS65" s="21" t="n">
        <v>201.562</v>
      </c>
      <c r="CT65" s="21" t="n">
        <v>154.955</v>
      </c>
      <c r="CU65" s="21" t="n">
        <v>154.98</v>
      </c>
      <c r="CV65" s="21" t="n">
        <v>230.824</v>
      </c>
      <c r="CW65" s="21" t="n">
        <v>207.287</v>
      </c>
      <c r="CX65" s="21" t="n">
        <v>247.899</v>
      </c>
      <c r="CY65" s="21" t="n">
        <v>304.458</v>
      </c>
      <c r="CZ65" s="21" t="n">
        <v>132.73</v>
      </c>
      <c r="DA65" s="21" t="n">
        <v>159.482</v>
      </c>
      <c r="DB65" s="21" t="n"/>
      <c r="DC65" s="21" t="n">
        <v>234.825</v>
      </c>
      <c r="DD65" s="21" t="n">
        <v>259.71</v>
      </c>
      <c r="DE65" s="21" t="n">
        <v>172.642</v>
      </c>
      <c r="DF65" s="21" t="n">
        <v>263.338</v>
      </c>
      <c r="DG65" s="21" t="n">
        <v>251.238</v>
      </c>
      <c r="DH65" s="21" t="n">
        <v>156.671</v>
      </c>
      <c r="DI65" s="21" t="n">
        <v>149.349</v>
      </c>
      <c r="DJ65" s="21" t="n">
        <v>146.336</v>
      </c>
      <c r="DK65" s="21" t="n">
        <v>283.89</v>
      </c>
      <c r="DL65" s="21" t="n">
        <v>176.949</v>
      </c>
      <c r="DM65" s="21" t="n">
        <v>138.257</v>
      </c>
      <c r="DN65" s="21" t="n">
        <v>128.687</v>
      </c>
      <c r="DO65" s="21" t="n">
        <v>290.639</v>
      </c>
      <c r="DP65" s="21" t="n">
        <v>179.359</v>
      </c>
      <c r="DQ65" s="21" t="n">
        <v>187.311</v>
      </c>
      <c r="DR65" s="21" t="n">
        <v>183.714</v>
      </c>
      <c r="DS65" s="21" t="n"/>
      <c r="DT65" s="21" t="n">
        <v>169.64</v>
      </c>
      <c r="DU65" s="21" t="n">
        <v>199.425</v>
      </c>
      <c r="DV65" s="21" t="n">
        <v>256.423</v>
      </c>
      <c r="DW65" s="21" t="n">
        <v>209.282</v>
      </c>
      <c r="DX65" s="21" t="n">
        <v>240.502</v>
      </c>
      <c r="DY65" s="21" t="n">
        <v>195.435</v>
      </c>
      <c r="DZ65" s="21" t="n">
        <v>206.391</v>
      </c>
      <c r="EA65" s="21" t="n">
        <v>192.102</v>
      </c>
      <c r="EB65" s="21" t="n">
        <v>171.425</v>
      </c>
      <c r="EC65" s="21" t="n">
        <v>359.839</v>
      </c>
      <c r="ED65" s="21" t="n">
        <v>175.799</v>
      </c>
      <c r="EE65" s="21" t="n">
        <v>194.611</v>
      </c>
      <c r="EF65" s="21" t="n"/>
      <c r="EG65" s="21" t="n">
        <v>270.184</v>
      </c>
      <c r="EH65" s="21" t="n">
        <v>324.522</v>
      </c>
      <c r="EI65" s="21" t="n">
        <v>340.135</v>
      </c>
      <c r="EJ65" s="21" t="n">
        <v>147.847</v>
      </c>
      <c r="EK65" s="21" t="n">
        <v>570.643</v>
      </c>
      <c r="EL65" s="21" t="n">
        <v>297.071</v>
      </c>
      <c r="EM65" s="21" t="n">
        <v>333.358</v>
      </c>
      <c r="EN65" s="21" t="n">
        <v>333.392</v>
      </c>
      <c r="EO65" s="21" t="n">
        <v>151.161</v>
      </c>
      <c r="EP65" s="21" t="n">
        <v>239.897</v>
      </c>
      <c r="EQ65" s="21" t="n">
        <v>195.534</v>
      </c>
      <c r="ER65" s="21" t="n">
        <v>221.341</v>
      </c>
      <c r="ES65" s="21" t="n">
        <v>194.716</v>
      </c>
      <c r="ET65" s="21" t="n">
        <v>314.372</v>
      </c>
      <c r="EU65" s="21" t="n">
        <v>200.899</v>
      </c>
      <c r="EV65" s="21" t="n">
        <v>211.04</v>
      </c>
      <c r="EW65" s="21" t="n">
        <v>167.751</v>
      </c>
      <c r="EX65" s="21" t="n">
        <v>250.673</v>
      </c>
      <c r="EY65" s="21" t="n">
        <v>581.7569999999999</v>
      </c>
      <c r="EZ65" s="21" t="n">
        <v>494.432</v>
      </c>
      <c r="FA65" s="21" t="n">
        <v>124.961</v>
      </c>
      <c r="FB65" s="21" t="n">
        <v>57.421</v>
      </c>
      <c r="FC65" s="21" t="n">
        <v>112.365</v>
      </c>
      <c r="FD65" s="21" t="n">
        <v>67.98399999999999</v>
      </c>
      <c r="FE65" s="21" t="n">
        <v>43.143</v>
      </c>
      <c r="FF65" s="21" t="n">
        <v>111.007</v>
      </c>
      <c r="FG65" s="21" t="n">
        <v>124.797</v>
      </c>
      <c r="FH65" s="21" t="n">
        <v>86.589</v>
      </c>
      <c r="FI65" s="21" t="n">
        <v>68.203</v>
      </c>
      <c r="FJ65" s="21" t="n">
        <v>104.824</v>
      </c>
      <c r="FK65" s="21" t="n">
        <v>78.492</v>
      </c>
      <c r="FL65" s="21" t="n">
        <v>85.931</v>
      </c>
      <c r="FM65" s="21" t="n">
        <v>93.848</v>
      </c>
      <c r="FN65" s="21" t="n">
        <v>67.68300000000001</v>
      </c>
      <c r="FO65" s="21" t="n">
        <v>50.461</v>
      </c>
      <c r="FP65" s="21" t="n">
        <v>37.053</v>
      </c>
      <c r="FQ65" s="21" t="n">
        <v>132.803</v>
      </c>
      <c r="FR65" s="21" t="n">
        <v>47.719</v>
      </c>
      <c r="FS65" s="21" t="n">
        <v>78.28400000000001</v>
      </c>
      <c r="FT65" s="21" t="n">
        <v>92.062</v>
      </c>
      <c r="FU65" s="21" t="n">
        <v>100.068</v>
      </c>
      <c r="FV65" s="21" t="n">
        <v>88.39100000000001</v>
      </c>
      <c r="FW65" s="21" t="n">
        <v>195.194</v>
      </c>
      <c r="FX65" s="21" t="n">
        <v>122.61</v>
      </c>
      <c r="FY65" s="21" t="n">
        <v>185.841</v>
      </c>
      <c r="FZ65" s="21" t="n">
        <v>121.416</v>
      </c>
      <c r="GA65" s="21" t="n">
        <v>199.331</v>
      </c>
      <c r="GB65" s="21" t="n">
        <v>173.064</v>
      </c>
      <c r="GC65" s="21" t="n">
        <v>214.153</v>
      </c>
      <c r="GD65" s="21" t="n">
        <v>173.604</v>
      </c>
      <c r="GE65" s="21" t="n">
        <v>271.813</v>
      </c>
      <c r="GF65" s="21" t="n">
        <v>118.394</v>
      </c>
      <c r="GG65" s="21" t="n">
        <v>112.671</v>
      </c>
      <c r="GH65" s="21" t="n">
        <v>115.466</v>
      </c>
      <c r="GI65" s="21" t="n">
        <v>92.602</v>
      </c>
      <c r="GJ65" s="21" t="n">
        <v>158.653</v>
      </c>
      <c r="GK65" s="21" t="n">
        <v>71.867</v>
      </c>
      <c r="GL65" s="21" t="n">
        <v>116.89</v>
      </c>
      <c r="GM65" s="21" t="n">
        <v>100.054</v>
      </c>
      <c r="GN65" s="21" t="n">
        <v>101.651</v>
      </c>
      <c r="GO65" s="21" t="n">
        <v>102.578</v>
      </c>
      <c r="GP65" s="21" t="n">
        <v>89.92</v>
      </c>
      <c r="GQ65" s="21" t="n">
        <v>102.499</v>
      </c>
      <c r="GR65" s="21" t="n">
        <v>71.066</v>
      </c>
      <c r="GS65" s="21" t="n">
        <v>102.046</v>
      </c>
      <c r="GT65" s="21" t="n">
        <v>96.745</v>
      </c>
      <c r="GU65" s="21" t="n">
        <v>132.288</v>
      </c>
      <c r="GV65" s="21" t="n">
        <v>136.513</v>
      </c>
      <c r="GW65" s="21" t="n">
        <v>152.674</v>
      </c>
      <c r="GX65" s="21" t="n">
        <v>119.264</v>
      </c>
      <c r="GY65" s="21" t="n">
        <v>108.793</v>
      </c>
      <c r="GZ65" s="21" t="n">
        <v>167.097</v>
      </c>
      <c r="HA65" s="21" t="n">
        <v>141.765</v>
      </c>
      <c r="HB65" s="21" t="n">
        <v>163.276</v>
      </c>
      <c r="HC65" s="21" t="n">
        <v>193.732</v>
      </c>
      <c r="HD65" s="21" t="n">
        <v>191.079</v>
      </c>
      <c r="HE65" s="21" t="n">
        <v>98.98699999999999</v>
      </c>
      <c r="HF65" s="21" t="n">
        <v>147.007</v>
      </c>
      <c r="HG65" s="21" t="n">
        <v>101.877</v>
      </c>
      <c r="HH65" s="21" t="n">
        <v>143.116</v>
      </c>
      <c r="HI65" s="21" t="n">
        <v>156.598</v>
      </c>
      <c r="HJ65" s="21" t="n"/>
      <c r="HK65" s="21" t="n">
        <v>139.411</v>
      </c>
      <c r="HL65" s="21" t="n"/>
      <c r="HM65" s="21" t="n">
        <v>101.088</v>
      </c>
      <c r="HN65" s="21" t="n">
        <v>170.378</v>
      </c>
      <c r="HO65" s="21" t="n">
        <v>168.891</v>
      </c>
      <c r="HP65" s="21" t="n">
        <v>162.959</v>
      </c>
      <c r="HQ65" s="21" t="n">
        <v>194.611</v>
      </c>
      <c r="HR65" s="21" t="n">
        <v>195.907</v>
      </c>
      <c r="HS65" s="21" t="n">
        <v>186.26</v>
      </c>
      <c r="HT65" s="21" t="n">
        <v>147.403</v>
      </c>
      <c r="HU65" s="21" t="n">
        <v>124.59</v>
      </c>
      <c r="HV65" s="21" t="n">
        <v>179.557</v>
      </c>
      <c r="HW65" s="21" t="n">
        <v>170.077</v>
      </c>
      <c r="HX65" s="21" t="n">
        <v>399.661</v>
      </c>
      <c r="HY65" s="21" t="n">
        <v>304.376</v>
      </c>
      <c r="HZ65" s="21" t="n">
        <v>323.973</v>
      </c>
      <c r="IA65" s="21" t="n">
        <v>276.105</v>
      </c>
      <c r="IB65" s="21" t="n">
        <v>185.235</v>
      </c>
      <c r="IC65" s="21" t="n">
        <v>534.842</v>
      </c>
      <c r="ID65" s="21" t="n">
        <v>194.649</v>
      </c>
      <c r="IE65" s="21" t="n">
        <v>184.536</v>
      </c>
      <c r="IF65" s="21" t="n">
        <v>211.297</v>
      </c>
      <c r="IG65" s="21" t="n">
        <v>238.982</v>
      </c>
      <c r="IH65" s="21" t="n">
        <v>117.372</v>
      </c>
      <c r="II65" s="21" t="n">
        <v>219.993</v>
      </c>
      <c r="IJ65" s="21" t="n">
        <v>203.342</v>
      </c>
      <c r="IK65" s="21" t="n">
        <v>150.724</v>
      </c>
      <c r="IL65" s="21" t="n">
        <v>141.882</v>
      </c>
      <c r="IM65" s="21" t="n"/>
      <c r="IN65" s="21" t="n">
        <v>60.806</v>
      </c>
      <c r="IO65" s="21" t="n">
        <v>325.612</v>
      </c>
      <c r="IP65" s="21" t="n">
        <v>130.941</v>
      </c>
      <c r="IQ65" s="21" t="n">
        <v>517.053</v>
      </c>
      <c r="IR65" s="21" t="n">
        <v>383.911</v>
      </c>
      <c r="IS65" s="21" t="n">
        <v>125.751</v>
      </c>
      <c r="IT65" s="21" t="n">
        <v>533.7670000000001</v>
      </c>
      <c r="IU65" s="21" t="n">
        <v>96.121</v>
      </c>
      <c r="IV65" s="21" t="n">
        <v>100.438</v>
      </c>
      <c r="IW65" s="21" t="n">
        <v>559.994</v>
      </c>
      <c r="IX65" s="21" t="n">
        <v>387.309</v>
      </c>
      <c r="IY65" s="21" t="n">
        <v>386.862</v>
      </c>
      <c r="IZ65" s="21" t="n">
        <v>507.924</v>
      </c>
      <c r="JA65" s="21" t="n">
        <v>192.051</v>
      </c>
      <c r="JB65" s="21" t="n">
        <v>241.085</v>
      </c>
      <c r="JC65" s="21" t="n">
        <v>83.623</v>
      </c>
      <c r="JD65" s="21" t="n">
        <v>352.676</v>
      </c>
      <c r="JE65" s="21" t="n">
        <v>342.044</v>
      </c>
      <c r="JF65" s="21" t="n">
        <v>771.403</v>
      </c>
      <c r="JG65" s="21" t="n">
        <v>240.858</v>
      </c>
      <c r="JH65" s="21" t="n">
        <v>127.476</v>
      </c>
      <c r="JI65" s="21" t="n">
        <v>178.683</v>
      </c>
      <c r="JJ65" s="21" t="n">
        <v>121.935</v>
      </c>
      <c r="JK65" s="21" t="n">
        <v>106.51</v>
      </c>
      <c r="JL65" s="21" t="n">
        <v>133.575</v>
      </c>
      <c r="JM65" s="21" t="n">
        <v>496.543</v>
      </c>
      <c r="JN65" s="21" t="n">
        <v>121.661</v>
      </c>
      <c r="JO65" s="21" t="n">
        <v>69.73399999999999</v>
      </c>
      <c r="JP65" s="21" t="n">
        <v>34.153</v>
      </c>
      <c r="JQ65" s="21" t="n">
        <v>136.301</v>
      </c>
      <c r="JR65" s="21" t="n">
        <v>26.793</v>
      </c>
      <c r="JS65" s="21" t="n">
        <v>78.61799999999999</v>
      </c>
      <c r="JT65" s="21" t="n">
        <v>179.555</v>
      </c>
      <c r="JU65" s="21" t="n">
        <v>202.746</v>
      </c>
      <c r="JV65" s="21" t="n">
        <v>155.792</v>
      </c>
      <c r="JW65" s="21" t="n">
        <v>115.184</v>
      </c>
      <c r="JX65" s="21" t="n">
        <v>260.112</v>
      </c>
      <c r="JY65" s="21" t="n">
        <v>200.294</v>
      </c>
      <c r="JZ65" s="21" t="n">
        <v>274.089</v>
      </c>
      <c r="KA65" s="21" t="n">
        <v>111.084</v>
      </c>
      <c r="KB65" s="21" t="n">
        <v>152.322</v>
      </c>
      <c r="KC65" s="21" t="n">
        <v>76.797</v>
      </c>
      <c r="KD65" s="21" t="n">
        <v>75.44499999999999</v>
      </c>
      <c r="KE65" s="21" t="n">
        <v>57.483</v>
      </c>
      <c r="KF65" s="21" t="n"/>
      <c r="KG65" s="21" t="n">
        <v>23.931</v>
      </c>
      <c r="KH65" s="21" t="n">
        <v>120.201</v>
      </c>
      <c r="KI65" s="21" t="n"/>
      <c r="KJ65" s="21" t="n">
        <v>113.944</v>
      </c>
      <c r="KK65" s="21" t="n">
        <v>33.6</v>
      </c>
      <c r="KL65" s="21" t="n">
        <v>29.284</v>
      </c>
      <c r="KM65" s="21" t="n">
        <v>36.801</v>
      </c>
      <c r="KN65" s="21" t="n"/>
      <c r="KO65" s="21" t="n">
        <v>93.505</v>
      </c>
      <c r="KP65" s="21" t="n">
        <v>106.458</v>
      </c>
      <c r="KQ65" s="21" t="n">
        <v>175.805</v>
      </c>
      <c r="KR65" s="21" t="n">
        <v>147.657</v>
      </c>
      <c r="KS65" s="21" t="n">
        <v>396.562</v>
      </c>
      <c r="KT65" s="21" t="n">
        <v>188.129</v>
      </c>
      <c r="KU65" s="21" t="n">
        <v>238.247</v>
      </c>
      <c r="KV65" s="21" t="n"/>
      <c r="KW65" s="21" t="n">
        <v>261.502</v>
      </c>
      <c r="KX65" s="21" t="n">
        <v>194.63</v>
      </c>
      <c r="KY65" s="21" t="n">
        <v>95.81100000000001</v>
      </c>
      <c r="KZ65" s="21" t="n">
        <v>139.378</v>
      </c>
      <c r="LA65" s="21" t="n">
        <v>269.614</v>
      </c>
      <c r="LB65" s="21" t="n">
        <v>677.144</v>
      </c>
      <c r="LC65" s="21" t="n">
        <v>233.493</v>
      </c>
      <c r="LD65" s="21" t="n">
        <v>774.413</v>
      </c>
      <c r="LE65" s="21" t="n">
        <v>874.234</v>
      </c>
      <c r="LF65" s="21" t="n">
        <v>84.19</v>
      </c>
      <c r="LG65" s="21" t="n">
        <v>310.647</v>
      </c>
      <c r="LH65" s="21" t="n">
        <v>257.758</v>
      </c>
      <c r="LI65" s="21" t="n">
        <v>73.854</v>
      </c>
      <c r="LJ65" s="21" t="n">
        <v>203.017</v>
      </c>
      <c r="LK65" s="21" t="n">
        <v>320.396</v>
      </c>
      <c r="LL65" s="21" t="n">
        <v>317.564</v>
      </c>
      <c r="LM65" s="21" t="n">
        <v>69.756</v>
      </c>
      <c r="LN65" s="21" t="n">
        <v>90.621</v>
      </c>
      <c r="LO65" s="21" t="n">
        <v>46.34</v>
      </c>
      <c r="LP65" s="21" t="n">
        <v>129.071</v>
      </c>
      <c r="LQ65" s="21" t="n"/>
      <c r="LR65" s="21" t="n"/>
      <c r="LS65" s="21" t="n">
        <v>109.568</v>
      </c>
      <c r="LT65" s="21" t="n">
        <v>39.015</v>
      </c>
      <c r="LU65" s="21" t="n">
        <v>26.42</v>
      </c>
      <c r="LV65" s="21" t="n">
        <v>78.145</v>
      </c>
      <c r="LW65" s="21" t="n">
        <v>189.827</v>
      </c>
      <c r="LX65" s="21" t="n">
        <v>94.89100000000001</v>
      </c>
      <c r="LY65" s="21" t="n">
        <v>461.294</v>
      </c>
      <c r="LZ65" s="21" t="n">
        <v>73.13500000000001</v>
      </c>
      <c r="MA65" s="21" t="n">
        <v>476.534</v>
      </c>
      <c r="MB65" s="21" t="n">
        <v>283.993</v>
      </c>
      <c r="MC65" s="21" t="n">
        <v>238.181</v>
      </c>
      <c r="MD65" s="21" t="n">
        <v>160.797</v>
      </c>
      <c r="ME65" s="21" t="n">
        <v>103.935</v>
      </c>
      <c r="MF65" s="21" t="n">
        <v>180.95</v>
      </c>
      <c r="MG65" s="21" t="n">
        <v>278.442</v>
      </c>
      <c r="MH65" s="21" t="n">
        <v>169.895</v>
      </c>
      <c r="MI65" s="21" t="n">
        <v>456.797</v>
      </c>
      <c r="MJ65" s="21" t="n">
        <v>367.647</v>
      </c>
      <c r="MK65" s="21" t="n">
        <v>342.173</v>
      </c>
      <c r="ML65" s="21" t="n">
        <v>179.856</v>
      </c>
      <c r="MM65" s="21" t="n">
        <v>208.413</v>
      </c>
      <c r="MN65" s="21" t="n">
        <v>372.504</v>
      </c>
      <c r="MO65" s="21" t="n">
        <v>176.121</v>
      </c>
      <c r="MP65" s="21" t="n">
        <v>260.387</v>
      </c>
      <c r="MQ65" s="21" t="n">
        <v>78.044</v>
      </c>
      <c r="MR65" s="21" t="n">
        <v>161.343</v>
      </c>
      <c r="MS65" s="21" t="n">
        <v>78.813</v>
      </c>
      <c r="MT65" s="21" t="n">
        <v>243.907</v>
      </c>
      <c r="MU65" s="21" t="n">
        <v>265.465</v>
      </c>
      <c r="MV65" s="21" t="n">
        <v>254.746</v>
      </c>
      <c r="MW65" s="21" t="n">
        <v>266.089</v>
      </c>
      <c r="MX65" s="21" t="n">
        <v>232.86</v>
      </c>
      <c r="MY65" s="21" t="n">
        <v>224.331</v>
      </c>
      <c r="MZ65" s="21" t="n">
        <v>233.74</v>
      </c>
      <c r="NA65" s="21" t="n">
        <v>239.563</v>
      </c>
      <c r="NB65" s="21" t="n">
        <v>110.865</v>
      </c>
      <c r="NC65" s="21" t="n">
        <v>182.141</v>
      </c>
      <c r="ND65" s="21" t="n">
        <v>146.008</v>
      </c>
      <c r="NE65" s="21" t="n">
        <v>142.355</v>
      </c>
      <c r="NF65" s="21" t="n">
        <v>143.613</v>
      </c>
      <c r="NG65" s="21" t="n">
        <v>144.685</v>
      </c>
      <c r="NH65" s="21" t="n">
        <v>259.558</v>
      </c>
      <c r="NI65" s="21" t="n">
        <v>104.336</v>
      </c>
      <c r="NJ65" s="21" t="n">
        <v>69.709</v>
      </c>
      <c r="NK65" s="21" t="n">
        <v>112.603</v>
      </c>
      <c r="NL65" s="21" t="n">
        <v>183.081</v>
      </c>
      <c r="NM65" s="21" t="n">
        <v>174.001</v>
      </c>
      <c r="NN65" s="21" t="n">
        <v>91.224</v>
      </c>
      <c r="NO65" s="21" t="n">
        <v>49.816</v>
      </c>
      <c r="NP65" s="21" t="n">
        <v>221.622</v>
      </c>
      <c r="NQ65" s="21" t="n">
        <v>184.081</v>
      </c>
      <c r="NR65" s="21" t="n">
        <v>223.707</v>
      </c>
      <c r="NS65" s="21" t="n">
        <v>179.517</v>
      </c>
      <c r="NT65" s="21" t="n">
        <v>221.427</v>
      </c>
      <c r="NU65" s="21" t="n">
        <v>116.997</v>
      </c>
      <c r="NV65" s="21" t="n">
        <v>127.552</v>
      </c>
      <c r="NW65" s="21" t="n">
        <v>365.78</v>
      </c>
      <c r="NX65" s="21" t="n">
        <v>78.464</v>
      </c>
      <c r="NY65" s="21" t="n">
        <v>127.551</v>
      </c>
      <c r="NZ65" s="21" t="n">
        <v>338.441</v>
      </c>
      <c r="OA65" s="21" t="n">
        <v>329.866</v>
      </c>
      <c r="OB65" s="21" t="n">
        <v>342.776</v>
      </c>
      <c r="OC65" s="21" t="n">
        <v>312.451</v>
      </c>
      <c r="OD65" s="21" t="n">
        <v>345.544</v>
      </c>
      <c r="OE65" s="21" t="n">
        <v>104.85</v>
      </c>
      <c r="OF65" s="21" t="n">
        <v>307.25</v>
      </c>
      <c r="OG65" s="21" t="n">
        <v>214.801</v>
      </c>
      <c r="OH65" s="21" t="n">
        <v>36.849</v>
      </c>
      <c r="OI65" s="21" t="n">
        <v>131.449</v>
      </c>
      <c r="OJ65" s="21" t="n">
        <v>39</v>
      </c>
      <c r="OK65" s="21" t="n">
        <v>13</v>
      </c>
    </row>
    <row r="66">
      <c r="A66" s="22" t="n">
        <v>43952</v>
      </c>
      <c r="B66" s="21" t="n">
        <v>256.394</v>
      </c>
      <c r="C66" s="21" t="n">
        <v>768.044</v>
      </c>
      <c r="D66" s="21" t="n">
        <v>267.792</v>
      </c>
      <c r="E66" s="21" t="n">
        <v>268.439</v>
      </c>
      <c r="F66" s="21" t="n">
        <v>253.827</v>
      </c>
      <c r="G66" s="21" t="n">
        <v>284.937</v>
      </c>
      <c r="H66" s="21" t="n">
        <v>235.715</v>
      </c>
      <c r="I66" s="21" t="n">
        <v>240.779</v>
      </c>
      <c r="J66" s="21" t="n">
        <v>228.013</v>
      </c>
      <c r="K66" s="21" t="n">
        <v>249.304</v>
      </c>
      <c r="L66" s="21" t="n">
        <v>166.804</v>
      </c>
      <c r="M66" s="21" t="n">
        <v>313.372</v>
      </c>
      <c r="N66" s="21" t="n">
        <v>190.654</v>
      </c>
      <c r="O66" s="21" t="n">
        <v>347.542</v>
      </c>
      <c r="P66" s="21" t="n">
        <v>369.676</v>
      </c>
      <c r="Q66" s="21" t="n">
        <v>184.492</v>
      </c>
      <c r="R66" s="21" t="n">
        <v>294.435</v>
      </c>
      <c r="S66" s="21" t="n">
        <v>314.521</v>
      </c>
      <c r="T66" s="21" t="n">
        <v>277.178</v>
      </c>
      <c r="U66" s="21" t="n">
        <v>279.694</v>
      </c>
      <c r="V66" s="21" t="n">
        <v>323.281</v>
      </c>
      <c r="W66" s="21" t="n">
        <v>323.007</v>
      </c>
      <c r="X66" s="21" t="n">
        <v>274.977</v>
      </c>
      <c r="Y66" s="21" t="n">
        <v>275.405</v>
      </c>
      <c r="Z66" s="21" t="n">
        <v>279.226</v>
      </c>
      <c r="AA66" s="21" t="n">
        <v>286.185</v>
      </c>
      <c r="AB66" s="21" t="n">
        <v>365.484</v>
      </c>
      <c r="AC66" s="21" t="n">
        <v>314.981</v>
      </c>
      <c r="AD66" s="21" t="n">
        <v>303.401</v>
      </c>
      <c r="AE66" s="21" t="n">
        <v>244.034</v>
      </c>
      <c r="AF66" s="21" t="n">
        <v>283.515</v>
      </c>
      <c r="AG66" s="21" t="n">
        <v>229.467</v>
      </c>
      <c r="AH66" s="21" t="n">
        <v>161.798</v>
      </c>
      <c r="AI66" s="21" t="n">
        <v>297.806</v>
      </c>
      <c r="AJ66" s="21" t="n">
        <v>150.286</v>
      </c>
      <c r="AK66" s="21" t="n">
        <v>221.91</v>
      </c>
      <c r="AL66" s="21" t="n">
        <v>247.432</v>
      </c>
      <c r="AM66" s="21" t="n">
        <v>221.889</v>
      </c>
      <c r="AN66" s="21" t="n">
        <v>143.534</v>
      </c>
      <c r="AO66" s="21" t="n">
        <v>234.429</v>
      </c>
      <c r="AP66" s="21" t="n">
        <v>246.818</v>
      </c>
      <c r="AQ66" s="21" t="n">
        <v>152.281</v>
      </c>
      <c r="AR66" s="21" t="n"/>
      <c r="AS66" s="21" t="n"/>
      <c r="AT66" s="21" t="n">
        <v>252.418</v>
      </c>
      <c r="AU66" s="21" t="n">
        <v>163.158</v>
      </c>
      <c r="AV66" s="21" t="n">
        <v>272.87</v>
      </c>
      <c r="AW66" s="21" t="n">
        <v>241.52</v>
      </c>
      <c r="AX66" s="21" t="n">
        <v>161.23</v>
      </c>
      <c r="AY66" s="21" t="n">
        <v>313.424</v>
      </c>
      <c r="AZ66" s="21" t="n">
        <v>196.794</v>
      </c>
      <c r="BA66" s="21" t="n">
        <v>154.917</v>
      </c>
      <c r="BB66" s="21" t="n">
        <v>223.527</v>
      </c>
      <c r="BC66" s="21" t="n">
        <v>322.465</v>
      </c>
      <c r="BD66" s="21" t="n">
        <v>225.315</v>
      </c>
      <c r="BE66" s="21" t="n">
        <v>230.166</v>
      </c>
      <c r="BF66" s="21" t="n">
        <v>146.865</v>
      </c>
      <c r="BG66" s="21" t="n">
        <v>208.256</v>
      </c>
      <c r="BH66" s="21" t="n">
        <v>152.349</v>
      </c>
      <c r="BI66" s="21" t="n">
        <v>242.776</v>
      </c>
      <c r="BJ66" s="21" t="n">
        <v>233.377</v>
      </c>
      <c r="BK66" s="21" t="n">
        <v>155.743</v>
      </c>
      <c r="BL66" s="21" t="n">
        <v>306.798</v>
      </c>
      <c r="BM66" s="21" t="n">
        <v>353.765</v>
      </c>
      <c r="BN66" s="21" t="n">
        <v>360.968</v>
      </c>
      <c r="BO66" s="21" t="n">
        <v>329.827</v>
      </c>
      <c r="BP66" s="21" t="n">
        <v>196.546</v>
      </c>
      <c r="BQ66" s="21" t="n">
        <v>249.797</v>
      </c>
      <c r="BR66" s="21" t="n">
        <v>486.213</v>
      </c>
      <c r="BS66" s="21" t="n">
        <v>121.659</v>
      </c>
      <c r="BT66" s="21" t="n">
        <v>344.754</v>
      </c>
      <c r="BU66" s="21" t="n">
        <v>395.407</v>
      </c>
      <c r="BV66" s="21" t="n">
        <v>324.13</v>
      </c>
      <c r="BW66" s="21" t="n">
        <v>343.868</v>
      </c>
      <c r="BX66" s="21" t="n">
        <v>340.369</v>
      </c>
      <c r="BY66" s="21" t="n">
        <v>163.772</v>
      </c>
      <c r="BZ66" s="21" t="n">
        <v>170.346</v>
      </c>
      <c r="CA66" s="21" t="n">
        <v>163.973</v>
      </c>
      <c r="CB66" s="21" t="n">
        <v>180.836</v>
      </c>
      <c r="CC66" s="21" t="n">
        <v>152.234</v>
      </c>
      <c r="CD66" s="21" t="n">
        <v>209.38</v>
      </c>
      <c r="CE66" s="21" t="n">
        <v>162.303</v>
      </c>
      <c r="CF66" s="21" t="n">
        <v>194.491</v>
      </c>
      <c r="CG66" s="21" t="n">
        <v>178.234</v>
      </c>
      <c r="CH66" s="21" t="n">
        <v>140.585</v>
      </c>
      <c r="CI66" s="21" t="n">
        <v>179.466</v>
      </c>
      <c r="CJ66" s="21" t="n">
        <v>181.355</v>
      </c>
      <c r="CK66" s="21" t="n">
        <v>126.679</v>
      </c>
      <c r="CL66" s="21" t="n">
        <v>118.527</v>
      </c>
      <c r="CM66" s="21" t="n">
        <v>194.799</v>
      </c>
      <c r="CN66" s="21" t="n">
        <v>202.814</v>
      </c>
      <c r="CO66" s="21" t="n">
        <v>188.474</v>
      </c>
      <c r="CP66" s="21" t="n">
        <v>134.307</v>
      </c>
      <c r="CQ66" s="21" t="n">
        <v>218.988</v>
      </c>
      <c r="CR66" s="21" t="n">
        <v>228.497</v>
      </c>
      <c r="CS66" s="21" t="n">
        <v>205.793</v>
      </c>
      <c r="CT66" s="21" t="n">
        <v>154.793</v>
      </c>
      <c r="CU66" s="21" t="n">
        <v>157.06</v>
      </c>
      <c r="CV66" s="21" t="n">
        <v>231.069</v>
      </c>
      <c r="CW66" s="21" t="n">
        <v>208.781</v>
      </c>
      <c r="CX66" s="21" t="n">
        <v>252.121</v>
      </c>
      <c r="CY66" s="21" t="n">
        <v>305.295</v>
      </c>
      <c r="CZ66" s="21" t="n">
        <v>132.625</v>
      </c>
      <c r="DA66" s="21" t="n">
        <v>159.175</v>
      </c>
      <c r="DB66" s="21" t="n"/>
      <c r="DC66" s="21" t="n">
        <v>234.238</v>
      </c>
      <c r="DD66" s="21" t="n">
        <v>256.798</v>
      </c>
      <c r="DE66" s="21" t="n">
        <v>174.635</v>
      </c>
      <c r="DF66" s="21" t="n">
        <v>260.068</v>
      </c>
      <c r="DG66" s="21" t="n">
        <v>250.637</v>
      </c>
      <c r="DH66" s="21" t="n">
        <v>158.413</v>
      </c>
      <c r="DI66" s="21" t="n">
        <v>145.706</v>
      </c>
      <c r="DJ66" s="21" t="n">
        <v>145.313</v>
      </c>
      <c r="DK66" s="21" t="n">
        <v>278.807</v>
      </c>
      <c r="DL66" s="21" t="n">
        <v>176.468</v>
      </c>
      <c r="DM66" s="21" t="n">
        <v>138.084</v>
      </c>
      <c r="DN66" s="21" t="n">
        <v>128.163</v>
      </c>
      <c r="DO66" s="21" t="n">
        <v>291.709</v>
      </c>
      <c r="DP66" s="21" t="n">
        <v>179.72</v>
      </c>
      <c r="DQ66" s="21" t="n">
        <v>188.422</v>
      </c>
      <c r="DR66" s="21" t="n">
        <v>183.918</v>
      </c>
      <c r="DS66" s="21" t="n"/>
      <c r="DT66" s="21" t="n">
        <v>169.914</v>
      </c>
      <c r="DU66" s="21" t="n">
        <v>199.763</v>
      </c>
      <c r="DV66" s="21" t="n">
        <v>257.713</v>
      </c>
      <c r="DW66" s="21" t="n">
        <v>209.557</v>
      </c>
      <c r="DX66" s="21" t="n">
        <v>240.292</v>
      </c>
      <c r="DY66" s="21" t="n">
        <v>195.778</v>
      </c>
      <c r="DZ66" s="21" t="n">
        <v>204.757</v>
      </c>
      <c r="EA66" s="21" t="n">
        <v>193.369</v>
      </c>
      <c r="EB66" s="21" t="n">
        <v>171.946</v>
      </c>
      <c r="EC66" s="21" t="n">
        <v>363.372</v>
      </c>
      <c r="ED66" s="21" t="n">
        <v>177.805</v>
      </c>
      <c r="EE66" s="21" t="n">
        <v>196.208</v>
      </c>
      <c r="EF66" s="21" t="n"/>
      <c r="EG66" s="21" t="n">
        <v>270.823</v>
      </c>
      <c r="EH66" s="21" t="n">
        <v>325.265</v>
      </c>
      <c r="EI66" s="21" t="n">
        <v>340.811</v>
      </c>
      <c r="EJ66" s="21" t="n">
        <v>149.8</v>
      </c>
      <c r="EK66" s="21" t="n">
        <v>570.9</v>
      </c>
      <c r="EL66" s="21" t="n">
        <v>301.547</v>
      </c>
      <c r="EM66" s="21" t="n">
        <v>334.052</v>
      </c>
      <c r="EN66" s="21" t="n">
        <v>334.087</v>
      </c>
      <c r="EO66" s="21" t="n">
        <v>150.428</v>
      </c>
      <c r="EP66" s="21" t="n">
        <v>240.361</v>
      </c>
      <c r="EQ66" s="21" t="n">
        <v>195.974</v>
      </c>
      <c r="ER66" s="21" t="n">
        <v>211.401</v>
      </c>
      <c r="ES66" s="21" t="n">
        <v>180.999</v>
      </c>
      <c r="ET66" s="21" t="n">
        <v>310.065</v>
      </c>
      <c r="EU66" s="21" t="n">
        <v>201.752</v>
      </c>
      <c r="EV66" s="21" t="n">
        <v>211.988</v>
      </c>
      <c r="EW66" s="21" t="n">
        <v>168.316</v>
      </c>
      <c r="EX66" s="21" t="n">
        <v>250.921</v>
      </c>
      <c r="EY66" s="21" t="n">
        <v>582.322</v>
      </c>
      <c r="EZ66" s="21" t="n">
        <v>494.946</v>
      </c>
      <c r="FA66" s="21" t="n">
        <v>125.373</v>
      </c>
      <c r="FB66" s="21" t="n">
        <v>56.635</v>
      </c>
      <c r="FC66" s="21" t="n">
        <v>111.506</v>
      </c>
      <c r="FD66" s="21" t="n">
        <v>66.322</v>
      </c>
      <c r="FE66" s="21" t="n">
        <v>42.628</v>
      </c>
      <c r="FF66" s="21" t="n">
        <v>112.314</v>
      </c>
      <c r="FG66" s="21" t="n">
        <v>125.828</v>
      </c>
      <c r="FH66" s="21" t="n">
        <v>87.748</v>
      </c>
      <c r="FI66" s="21" t="n">
        <v>69.223</v>
      </c>
      <c r="FJ66" s="21" t="n">
        <v>114.678</v>
      </c>
      <c r="FK66" s="21" t="n">
        <v>78.5</v>
      </c>
      <c r="FL66" s="21" t="n">
        <v>85.93300000000001</v>
      </c>
      <c r="FM66" s="21" t="n">
        <v>91.00700000000001</v>
      </c>
      <c r="FN66" s="21" t="n">
        <v>67.68300000000001</v>
      </c>
      <c r="FO66" s="21" t="n">
        <v>50.375</v>
      </c>
      <c r="FP66" s="21" t="n">
        <v>36.954</v>
      </c>
      <c r="FQ66" s="21" t="n">
        <v>133.279</v>
      </c>
      <c r="FR66" s="21" t="n">
        <v>47.459</v>
      </c>
      <c r="FS66" s="21" t="n">
        <v>78.169</v>
      </c>
      <c r="FT66" s="21" t="n">
        <v>92.333</v>
      </c>
      <c r="FU66" s="21" t="n">
        <v>99.755</v>
      </c>
      <c r="FV66" s="21" t="n">
        <v>88.928</v>
      </c>
      <c r="FW66" s="21" t="n">
        <v>196.757</v>
      </c>
      <c r="FX66" s="21" t="n">
        <v>123.45</v>
      </c>
      <c r="FY66" s="21" t="n">
        <v>186.222</v>
      </c>
      <c r="FZ66" s="21" t="n">
        <v>123.047</v>
      </c>
      <c r="GA66" s="21" t="n">
        <v>199.224</v>
      </c>
      <c r="GB66" s="21" t="n">
        <v>173.577</v>
      </c>
      <c r="GC66" s="21" t="n">
        <v>215.812</v>
      </c>
      <c r="GD66" s="21" t="n">
        <v>169.376</v>
      </c>
      <c r="GE66" s="21" t="n">
        <v>268.205</v>
      </c>
      <c r="GF66" s="21" t="n">
        <v>114.582</v>
      </c>
      <c r="GG66" s="21" t="n">
        <v>110.121</v>
      </c>
      <c r="GH66" s="21" t="n">
        <v>113.17</v>
      </c>
      <c r="GI66" s="21" t="n">
        <v>89.69199999999999</v>
      </c>
      <c r="GJ66" s="21" t="n">
        <v>156.995</v>
      </c>
      <c r="GK66" s="21" t="n">
        <v>69.39</v>
      </c>
      <c r="GL66" s="21" t="n">
        <v>116.206</v>
      </c>
      <c r="GM66" s="21" t="n">
        <v>96.648</v>
      </c>
      <c r="GN66" s="21" t="n">
        <v>96.654</v>
      </c>
      <c r="GO66" s="21" t="n">
        <v>97.548</v>
      </c>
      <c r="GP66" s="21" t="n">
        <v>86.729</v>
      </c>
      <c r="GQ66" s="21" t="n">
        <v>89.423</v>
      </c>
      <c r="GR66" s="21" t="n">
        <v>68.672</v>
      </c>
      <c r="GS66" s="21" t="n">
        <v>96.848</v>
      </c>
      <c r="GT66" s="21" t="n">
        <v>91.938</v>
      </c>
      <c r="GU66" s="21" t="n">
        <v>129.157</v>
      </c>
      <c r="GV66" s="21" t="n">
        <v>133.844</v>
      </c>
      <c r="GW66" s="21" t="n">
        <v>148.589</v>
      </c>
      <c r="GX66" s="21" t="n">
        <v>116.225</v>
      </c>
      <c r="GY66" s="21" t="n">
        <v>108.124</v>
      </c>
      <c r="GZ66" s="21" t="n">
        <v>166.095</v>
      </c>
      <c r="HA66" s="21" t="n">
        <v>143.456</v>
      </c>
      <c r="HB66" s="21" t="n">
        <v>161.334</v>
      </c>
      <c r="HC66" s="21" t="n">
        <v>191.419</v>
      </c>
      <c r="HD66" s="21" t="n">
        <v>188.771</v>
      </c>
      <c r="HE66" s="21" t="n">
        <v>98.717</v>
      </c>
      <c r="HF66" s="21" t="n">
        <v>147.222</v>
      </c>
      <c r="HG66" s="21" t="n">
        <v>102.019</v>
      </c>
      <c r="HH66" s="21" t="n">
        <v>143.223</v>
      </c>
      <c r="HI66" s="21" t="n">
        <v>156.836</v>
      </c>
      <c r="HJ66" s="21" t="n"/>
      <c r="HK66" s="21" t="n">
        <v>138.383</v>
      </c>
      <c r="HL66" s="21" t="n">
        <v>85.792</v>
      </c>
      <c r="HM66" s="21" t="n">
        <v>96.60899999999999</v>
      </c>
      <c r="HN66" s="21" t="n">
        <v>169.882</v>
      </c>
      <c r="HO66" s="21" t="n">
        <v>168.528</v>
      </c>
      <c r="HP66" s="21" t="n">
        <v>163.196</v>
      </c>
      <c r="HQ66" s="21" t="n">
        <v>190.824</v>
      </c>
      <c r="HR66" s="21" t="n">
        <v>191.991</v>
      </c>
      <c r="HS66" s="21" t="n">
        <v>180.357</v>
      </c>
      <c r="HT66" s="21" t="n">
        <v>148.642</v>
      </c>
      <c r="HU66" s="21" t="n">
        <v>125.412</v>
      </c>
      <c r="HV66" s="21" t="n">
        <v>181.622</v>
      </c>
      <c r="HW66" s="21" t="n">
        <v>172.66</v>
      </c>
      <c r="HX66" s="21" t="n">
        <v>395.833</v>
      </c>
      <c r="HY66" s="21" t="n">
        <v>305.574</v>
      </c>
      <c r="HZ66" s="21" t="n">
        <v>325.227</v>
      </c>
      <c r="IA66" s="21" t="n">
        <v>276.493</v>
      </c>
      <c r="IB66" s="21" t="n">
        <v>186.823</v>
      </c>
      <c r="IC66" s="21" t="n">
        <v>486.761</v>
      </c>
      <c r="ID66" s="21" t="n">
        <v>194.421</v>
      </c>
      <c r="IE66" s="21" t="n">
        <v>184.853</v>
      </c>
      <c r="IF66" s="21" t="n">
        <v>210.333</v>
      </c>
      <c r="IG66" s="21" t="n">
        <v>238.792</v>
      </c>
      <c r="IH66" s="21" t="n">
        <v>116.791</v>
      </c>
      <c r="II66" s="21" t="n">
        <v>217.731</v>
      </c>
      <c r="IJ66" s="21" t="n">
        <v>201.649</v>
      </c>
      <c r="IK66" s="21" t="n">
        <v>149.774</v>
      </c>
      <c r="IL66" s="21" t="n"/>
      <c r="IM66" s="21" t="n"/>
      <c r="IN66" s="21" t="n">
        <v>60.438</v>
      </c>
      <c r="IO66" s="21" t="n">
        <v>320.218</v>
      </c>
      <c r="IP66" s="21" t="n">
        <v>128.52</v>
      </c>
      <c r="IQ66" s="21" t="n">
        <v>519.194</v>
      </c>
      <c r="IR66" s="21" t="n">
        <v>384.304</v>
      </c>
      <c r="IS66" s="21" t="n">
        <v>125.8</v>
      </c>
      <c r="IT66" s="21" t="n">
        <v>533.325</v>
      </c>
      <c r="IU66" s="21" t="n">
        <v>96.521</v>
      </c>
      <c r="IV66" s="21" t="n">
        <v>101.902</v>
      </c>
      <c r="IW66" s="21" t="n">
        <v>562.701</v>
      </c>
      <c r="IX66" s="21" t="n">
        <v>389.872</v>
      </c>
      <c r="IY66" s="21" t="n">
        <v>389.329</v>
      </c>
      <c r="IZ66" s="21" t="n">
        <v>513.03</v>
      </c>
      <c r="JA66" s="21" t="n">
        <v>193.05</v>
      </c>
      <c r="JB66" s="21" t="n">
        <v>241.419</v>
      </c>
      <c r="JC66" s="21" t="n">
        <v>83.545</v>
      </c>
      <c r="JD66" s="21" t="n">
        <v>352.287</v>
      </c>
      <c r="JE66" s="21" t="n">
        <v>342.649</v>
      </c>
      <c r="JF66" s="21" t="n">
        <v>766.407</v>
      </c>
      <c r="JG66" s="21" t="n">
        <v>241.104</v>
      </c>
      <c r="JH66" s="21" t="n">
        <v>127.57</v>
      </c>
      <c r="JI66" s="21" t="n">
        <v>180.631</v>
      </c>
      <c r="JJ66" s="21" t="n">
        <v>122.779</v>
      </c>
      <c r="JK66" s="21" t="n">
        <v>106.53</v>
      </c>
      <c r="JL66" s="21" t="n">
        <v>133.69</v>
      </c>
      <c r="JM66" s="21" t="n">
        <v>497.488</v>
      </c>
      <c r="JN66" s="21" t="n">
        <v>122.883</v>
      </c>
      <c r="JO66" s="21" t="n">
        <v>68.645</v>
      </c>
      <c r="JP66" s="21" t="n">
        <v>33.368</v>
      </c>
      <c r="JQ66" s="21" t="n">
        <v>136.496</v>
      </c>
      <c r="JR66" s="21" t="n">
        <v>26.578</v>
      </c>
      <c r="JS66" s="21" t="n">
        <v>77.675</v>
      </c>
      <c r="JT66" s="21" t="n">
        <v>179.788</v>
      </c>
      <c r="JU66" s="21" t="n">
        <v>202.407</v>
      </c>
      <c r="JV66" s="21" t="n">
        <v>155.297</v>
      </c>
      <c r="JW66" s="21" t="n">
        <v>115.279</v>
      </c>
      <c r="JX66" s="21" t="n">
        <v>261.344</v>
      </c>
      <c r="JY66" s="21" t="n">
        <v>201.041</v>
      </c>
      <c r="JZ66" s="21" t="n">
        <v>275.171</v>
      </c>
      <c r="KA66" s="21" t="n">
        <v>110.733</v>
      </c>
      <c r="KB66" s="21" t="n">
        <v>152.507</v>
      </c>
      <c r="KC66" s="21" t="n">
        <v>76.036</v>
      </c>
      <c r="KD66" s="21" t="n">
        <v>74.506</v>
      </c>
      <c r="KE66" s="21" t="n">
        <v>56.134</v>
      </c>
      <c r="KF66" s="21" t="n"/>
      <c r="KG66" s="21" t="n">
        <v>23.25</v>
      </c>
      <c r="KH66" s="21" t="n">
        <v>119.533</v>
      </c>
      <c r="KI66" s="21" t="n"/>
      <c r="KJ66" s="21" t="n">
        <v>113.387</v>
      </c>
      <c r="KK66" s="21" t="n">
        <v>33.357</v>
      </c>
      <c r="KL66" s="21" t="n">
        <v>29.061</v>
      </c>
      <c r="KM66" s="21" t="n">
        <v>36.776</v>
      </c>
      <c r="KN66" s="21" t="n"/>
      <c r="KO66" s="21" t="n">
        <v>95.392</v>
      </c>
      <c r="KP66" s="21" t="n">
        <v>104.849</v>
      </c>
      <c r="KQ66" s="21" t="n">
        <v>179.631</v>
      </c>
      <c r="KR66" s="21" t="n">
        <v>151.327</v>
      </c>
      <c r="KS66" s="21" t="n">
        <v>404.439</v>
      </c>
      <c r="KT66" s="21" t="n">
        <v>192.183</v>
      </c>
      <c r="KU66" s="21" t="n">
        <v>241.201</v>
      </c>
      <c r="KV66" s="21" t="n">
        <v>321.285</v>
      </c>
      <c r="KW66" s="21" t="n">
        <v>264.242</v>
      </c>
      <c r="KX66" s="21" t="n">
        <v>195.864</v>
      </c>
      <c r="KY66" s="21" t="n">
        <v>97.351</v>
      </c>
      <c r="KZ66" s="21" t="n">
        <v>139.34</v>
      </c>
      <c r="LA66" s="21" t="n">
        <v>269.725</v>
      </c>
      <c r="LB66" s="21" t="n">
        <v>677.189</v>
      </c>
      <c r="LC66" s="21" t="n">
        <v>233.322</v>
      </c>
      <c r="LD66" s="21" t="n">
        <v>774.7430000000001</v>
      </c>
      <c r="LE66" s="21" t="n">
        <v>874.153</v>
      </c>
      <c r="LF66" s="21" t="n">
        <v>84.47</v>
      </c>
      <c r="LG66" s="21" t="n">
        <v>310.605</v>
      </c>
      <c r="LH66" s="21" t="n">
        <v>257.981</v>
      </c>
      <c r="LI66" s="21" t="n">
        <v>73.79300000000001</v>
      </c>
      <c r="LJ66" s="21" t="n">
        <v>202.818</v>
      </c>
      <c r="LK66" s="21" t="n">
        <v>320.396</v>
      </c>
      <c r="LL66" s="21" t="n">
        <v>313.968</v>
      </c>
      <c r="LM66" s="21" t="n">
        <v>69.699</v>
      </c>
      <c r="LN66" s="21" t="n">
        <v>90.607</v>
      </c>
      <c r="LO66" s="21" t="n">
        <v>46.373</v>
      </c>
      <c r="LP66" s="21" t="n">
        <v>128.518</v>
      </c>
      <c r="LQ66" s="21" t="n"/>
      <c r="LR66" s="21" t="n"/>
      <c r="LS66" s="21" t="n">
        <v>109.351</v>
      </c>
      <c r="LT66" s="21" t="n">
        <v>38.629</v>
      </c>
      <c r="LU66" s="21" t="n">
        <v>26.532</v>
      </c>
      <c r="LV66" s="21" t="n">
        <v>78.09999999999999</v>
      </c>
      <c r="LW66" s="21" t="n">
        <v>191.644</v>
      </c>
      <c r="LX66" s="21" t="n">
        <v>95.806</v>
      </c>
      <c r="LY66" s="21" t="n">
        <v>460.73</v>
      </c>
      <c r="LZ66" s="21" t="n">
        <v>72.904</v>
      </c>
      <c r="MA66" s="21" t="n">
        <v>474.692</v>
      </c>
      <c r="MB66" s="21" t="n">
        <v>284.898</v>
      </c>
      <c r="MC66" s="21" t="n">
        <v>237.997</v>
      </c>
      <c r="MD66" s="21" t="n">
        <v>160.212</v>
      </c>
      <c r="ME66" s="21" t="n">
        <v>103.92</v>
      </c>
      <c r="MF66" s="21" t="n">
        <v>179.553</v>
      </c>
      <c r="MG66" s="21" t="n">
        <v>278.889</v>
      </c>
      <c r="MH66" s="21" t="n">
        <v>170.168</v>
      </c>
      <c r="MI66" s="21" t="n">
        <v>456.946</v>
      </c>
      <c r="MJ66" s="21" t="n">
        <v>367.911</v>
      </c>
      <c r="MK66" s="21" t="n">
        <v>342.951</v>
      </c>
      <c r="ML66" s="21" t="n">
        <v>179.586</v>
      </c>
      <c r="MM66" s="21" t="n">
        <v>207.348</v>
      </c>
      <c r="MN66" s="21" t="n">
        <v>372.926</v>
      </c>
      <c r="MO66" s="21" t="n">
        <v>175.983</v>
      </c>
      <c r="MP66" s="21" t="n">
        <v>261.064</v>
      </c>
      <c r="MQ66" s="21" t="n">
        <v>77.721</v>
      </c>
      <c r="MR66" s="21" t="n">
        <v>162.882</v>
      </c>
      <c r="MS66" s="21" t="n">
        <v>77.035</v>
      </c>
      <c r="MT66" s="21" t="n">
        <v>243.812</v>
      </c>
      <c r="MU66" s="21" t="n">
        <v>265.471</v>
      </c>
      <c r="MV66" s="21" t="n">
        <v>254.486</v>
      </c>
      <c r="MW66" s="21" t="n">
        <v>265.799</v>
      </c>
      <c r="MX66" s="21" t="n">
        <v>232.598</v>
      </c>
      <c r="MY66" s="21" t="n">
        <v>223.627</v>
      </c>
      <c r="MZ66" s="21" t="n">
        <v>232.916</v>
      </c>
      <c r="NA66" s="21" t="n">
        <v>238.773</v>
      </c>
      <c r="NB66" s="21" t="n">
        <v>107.006</v>
      </c>
      <c r="NC66" s="21" t="n">
        <v>182.064</v>
      </c>
      <c r="ND66" s="21" t="n">
        <v>145.341</v>
      </c>
      <c r="NE66" s="21" t="n">
        <v>141.639</v>
      </c>
      <c r="NF66" s="21" t="n">
        <v>142.964</v>
      </c>
      <c r="NG66" s="21" t="n">
        <v>144.091</v>
      </c>
      <c r="NH66" s="21" t="n">
        <v>262.316</v>
      </c>
      <c r="NI66" s="21" t="n">
        <v>104.309</v>
      </c>
      <c r="NJ66" s="21" t="n">
        <v>69.431</v>
      </c>
      <c r="NK66" s="21" t="n">
        <v>112.607</v>
      </c>
      <c r="NL66" s="21" t="n">
        <v>183.076</v>
      </c>
      <c r="NM66" s="21" t="n">
        <v>173.138</v>
      </c>
      <c r="NN66" s="21" t="n">
        <v>91.607</v>
      </c>
      <c r="NO66" s="21" t="n">
        <v>49.564</v>
      </c>
      <c r="NP66" s="21" t="n">
        <v>221.514</v>
      </c>
      <c r="NQ66" s="21" t="n">
        <v>182.539</v>
      </c>
      <c r="NR66" s="21" t="n">
        <v>223.42</v>
      </c>
      <c r="NS66" s="21" t="n">
        <v>177.787</v>
      </c>
      <c r="NT66" s="21" t="n">
        <v>220.969</v>
      </c>
      <c r="NU66" s="21" t="n">
        <v>116.586</v>
      </c>
      <c r="NV66" s="21" t="n">
        <v>127.66</v>
      </c>
      <c r="NW66" s="21" t="n">
        <v>367.263</v>
      </c>
      <c r="NX66" s="21" t="n">
        <v>78.24299999999999</v>
      </c>
      <c r="NY66" s="21" t="n">
        <v>129.088</v>
      </c>
      <c r="NZ66" s="21" t="n">
        <v>339.243</v>
      </c>
      <c r="OA66" s="21" t="n">
        <v>329.958</v>
      </c>
      <c r="OB66" s="21" t="n">
        <v>342.801</v>
      </c>
      <c r="OC66" s="21" t="n">
        <v>312.35</v>
      </c>
      <c r="OD66" s="21" t="n">
        <v>344.834</v>
      </c>
      <c r="OE66" s="21" t="n">
        <v>104.682</v>
      </c>
      <c r="OF66" s="21" t="n">
        <v>297.882</v>
      </c>
      <c r="OG66" s="21" t="n">
        <v>214.913</v>
      </c>
      <c r="OH66" s="21" t="n">
        <v>36.76</v>
      </c>
      <c r="OI66" s="21" t="n">
        <v>131.55</v>
      </c>
      <c r="OJ66" s="21" t="n">
        <v>39</v>
      </c>
      <c r="OK66" s="21" t="n">
        <v>13</v>
      </c>
    </row>
    <row r="67">
      <c r="A67" s="22" t="n">
        <v>43983</v>
      </c>
      <c r="B67" s="21" t="n">
        <v>257.797</v>
      </c>
      <c r="C67" s="21" t="n">
        <v>772.245</v>
      </c>
      <c r="D67" s="21" t="n">
        <v>269.051</v>
      </c>
      <c r="E67" s="21" t="n">
        <v>269.77</v>
      </c>
      <c r="F67" s="21" t="n">
        <v>255.042</v>
      </c>
      <c r="G67" s="21" t="n">
        <v>286.092</v>
      </c>
      <c r="H67" s="21" t="n">
        <v>236.93</v>
      </c>
      <c r="I67" s="21" t="n">
        <v>244.665</v>
      </c>
      <c r="J67" s="21" t="n">
        <v>230.49</v>
      </c>
      <c r="K67" s="21" t="n">
        <v>248.073</v>
      </c>
      <c r="L67" s="21" t="n">
        <v>166.399</v>
      </c>
      <c r="M67" s="21" t="n">
        <v>314.487</v>
      </c>
      <c r="N67" s="21" t="n">
        <v>189.75</v>
      </c>
      <c r="O67" s="21" t="n">
        <v>345.37</v>
      </c>
      <c r="P67" s="21" t="n">
        <v>368.162</v>
      </c>
      <c r="Q67" s="21" t="n">
        <v>184.62</v>
      </c>
      <c r="R67" s="21" t="n">
        <v>298.935</v>
      </c>
      <c r="S67" s="21" t="n">
        <v>325.515</v>
      </c>
      <c r="T67" s="21" t="n">
        <v>279.055</v>
      </c>
      <c r="U67" s="21" t="n">
        <v>280.501</v>
      </c>
      <c r="V67" s="21" t="n">
        <v>329.159</v>
      </c>
      <c r="W67" s="21" t="n">
        <v>320.816</v>
      </c>
      <c r="X67" s="21" t="n">
        <v>274.218</v>
      </c>
      <c r="Y67" s="21" t="n">
        <v>281.139</v>
      </c>
      <c r="Z67" s="21" t="n">
        <v>286.245</v>
      </c>
      <c r="AA67" s="21" t="n">
        <v>298.033</v>
      </c>
      <c r="AB67" s="21" t="n">
        <v>385.495</v>
      </c>
      <c r="AC67" s="21" t="n">
        <v>336.424</v>
      </c>
      <c r="AD67" s="21" t="n">
        <v>307.274</v>
      </c>
      <c r="AE67" s="21" t="n">
        <v>258.987</v>
      </c>
      <c r="AF67" s="21" t="n">
        <v>297.987</v>
      </c>
      <c r="AG67" s="21" t="n">
        <v>238.597</v>
      </c>
      <c r="AH67" s="21" t="n">
        <v>171.255</v>
      </c>
      <c r="AI67" s="21" t="n">
        <v>319.364</v>
      </c>
      <c r="AJ67" s="21" t="n">
        <v>155.988</v>
      </c>
      <c r="AK67" s="21" t="n">
        <v>227.745</v>
      </c>
      <c r="AL67" s="21" t="n">
        <v>254.356</v>
      </c>
      <c r="AM67" s="21" t="n">
        <v>231.435</v>
      </c>
      <c r="AN67" s="21" t="n">
        <v>146.24</v>
      </c>
      <c r="AO67" s="21" t="n">
        <v>237.561</v>
      </c>
      <c r="AP67" s="21" t="n">
        <v>256.135</v>
      </c>
      <c r="AQ67" s="21" t="n">
        <v>152.292</v>
      </c>
      <c r="AR67" s="21" t="n"/>
      <c r="AS67" s="21" t="n"/>
      <c r="AT67" s="21" t="n">
        <v>252.765</v>
      </c>
      <c r="AU67" s="21" t="n">
        <v>163.525</v>
      </c>
      <c r="AV67" s="21" t="n">
        <v>272.167</v>
      </c>
      <c r="AW67" s="21" t="n">
        <v>242.565</v>
      </c>
      <c r="AX67" s="21" t="n">
        <v>160.813</v>
      </c>
      <c r="AY67" s="21" t="n">
        <v>310.716</v>
      </c>
      <c r="AZ67" s="21" t="n">
        <v>194.058</v>
      </c>
      <c r="BA67" s="21" t="n">
        <v>154.412</v>
      </c>
      <c r="BB67" s="21" t="n">
        <v>222.301</v>
      </c>
      <c r="BC67" s="21" t="n">
        <v>322.122</v>
      </c>
      <c r="BD67" s="21" t="n">
        <v>214.368</v>
      </c>
      <c r="BE67" s="21" t="n">
        <v>228.437</v>
      </c>
      <c r="BF67" s="21" t="n">
        <v>145.469</v>
      </c>
      <c r="BG67" s="21" t="n">
        <v>207.343</v>
      </c>
      <c r="BH67" s="21" t="n">
        <v>150.514</v>
      </c>
      <c r="BI67" s="21" t="n">
        <v>242.237</v>
      </c>
      <c r="BJ67" s="21" t="n">
        <v>231.814</v>
      </c>
      <c r="BK67" s="21" t="n">
        <v>153.738</v>
      </c>
      <c r="BL67" s="21" t="n">
        <v>305.393</v>
      </c>
      <c r="BM67" s="21" t="n">
        <v>351.193</v>
      </c>
      <c r="BN67" s="21" t="n">
        <v>353.031</v>
      </c>
      <c r="BO67" s="21" t="n">
        <v>326.202</v>
      </c>
      <c r="BP67" s="21" t="n">
        <v>195.506</v>
      </c>
      <c r="BQ67" s="21" t="n">
        <v>256.196</v>
      </c>
      <c r="BR67" s="21" t="n">
        <v>505.558</v>
      </c>
      <c r="BS67" s="21" t="n">
        <v>114.799</v>
      </c>
      <c r="BT67" s="21" t="n">
        <v>347.644</v>
      </c>
      <c r="BU67" s="21" t="n">
        <v>402.28</v>
      </c>
      <c r="BV67" s="21" t="n">
        <v>322.566</v>
      </c>
      <c r="BW67" s="21" t="n">
        <v>347.268</v>
      </c>
      <c r="BX67" s="21" t="n">
        <v>343.12</v>
      </c>
      <c r="BY67" s="21" t="n">
        <v>164.619</v>
      </c>
      <c r="BZ67" s="21" t="n">
        <v>171.793</v>
      </c>
      <c r="CA67" s="21" t="n">
        <v>163.063</v>
      </c>
      <c r="CB67" s="21" t="n">
        <v>183.696</v>
      </c>
      <c r="CC67" s="21" t="n">
        <v>152.979</v>
      </c>
      <c r="CD67" s="21" t="n">
        <v>210.497</v>
      </c>
      <c r="CE67" s="21" t="n">
        <v>161.668</v>
      </c>
      <c r="CF67" s="21" t="n">
        <v>194.869</v>
      </c>
      <c r="CG67" s="21" t="n">
        <v>179.19</v>
      </c>
      <c r="CH67" s="21" t="n">
        <v>141.336</v>
      </c>
      <c r="CI67" s="21" t="n">
        <v>182.446</v>
      </c>
      <c r="CJ67" s="21" t="n">
        <v>179.43</v>
      </c>
      <c r="CK67" s="21" t="n">
        <v>126.344</v>
      </c>
      <c r="CL67" s="21" t="n">
        <v>119.172</v>
      </c>
      <c r="CM67" s="21" t="n">
        <v>197.66</v>
      </c>
      <c r="CN67" s="21" t="n">
        <v>205.651</v>
      </c>
      <c r="CO67" s="21" t="n">
        <v>191.835</v>
      </c>
      <c r="CP67" s="21" t="n">
        <v>132.816</v>
      </c>
      <c r="CQ67" s="21" t="n">
        <v>219.311</v>
      </c>
      <c r="CR67" s="21" t="n">
        <v>226.962</v>
      </c>
      <c r="CS67" s="21" t="n">
        <v>202.859</v>
      </c>
      <c r="CT67" s="21" t="n">
        <v>153.507</v>
      </c>
      <c r="CU67" s="21" t="n">
        <v>157.671</v>
      </c>
      <c r="CV67" s="21" t="n">
        <v>230.438</v>
      </c>
      <c r="CW67" s="21" t="n">
        <v>205.349</v>
      </c>
      <c r="CX67" s="21" t="n">
        <v>246.007</v>
      </c>
      <c r="CY67" s="21" t="n">
        <v>300.849</v>
      </c>
      <c r="CZ67" s="21" t="n">
        <v>131.122</v>
      </c>
      <c r="DA67" s="21" t="n">
        <v>160.859</v>
      </c>
      <c r="DB67" s="21" t="n">
        <v>164.662</v>
      </c>
      <c r="DC67" s="21" t="n">
        <v>235.07</v>
      </c>
      <c r="DD67" s="21" t="n">
        <v>258.646</v>
      </c>
      <c r="DE67" s="21" t="n">
        <v>173.396</v>
      </c>
      <c r="DF67" s="21" t="n">
        <v>265.419</v>
      </c>
      <c r="DG67" s="21" t="n">
        <v>250.476</v>
      </c>
      <c r="DH67" s="21" t="n">
        <v>158.073</v>
      </c>
      <c r="DI67" s="21" t="n">
        <v>146.043</v>
      </c>
      <c r="DJ67" s="21" t="n">
        <v>145.515</v>
      </c>
      <c r="DK67" s="21" t="n">
        <v>283.292</v>
      </c>
      <c r="DL67" s="21" t="n">
        <v>176.077</v>
      </c>
      <c r="DM67" s="21" t="n">
        <v>138.02</v>
      </c>
      <c r="DN67" s="21" t="n">
        <v>128.535</v>
      </c>
      <c r="DO67" s="21" t="n">
        <v>293.219</v>
      </c>
      <c r="DP67" s="21" t="n">
        <v>181.276</v>
      </c>
      <c r="DQ67" s="21" t="n">
        <v>189.28</v>
      </c>
      <c r="DR67" s="21" t="n">
        <v>172.576</v>
      </c>
      <c r="DS67" s="21" t="n"/>
      <c r="DT67" s="21" t="n">
        <v>170.311</v>
      </c>
      <c r="DU67" s="21" t="n">
        <v>201.685</v>
      </c>
      <c r="DV67" s="21" t="n">
        <v>258.033</v>
      </c>
      <c r="DW67" s="21" t="n">
        <v>209.412</v>
      </c>
      <c r="DX67" s="21" t="n">
        <v>238.315</v>
      </c>
      <c r="DY67" s="21" t="n">
        <v>196.88</v>
      </c>
      <c r="DZ67" s="21" t="n">
        <v>207.329</v>
      </c>
      <c r="EA67" s="21" t="n">
        <v>193.447</v>
      </c>
      <c r="EB67" s="21" t="n">
        <v>172.553</v>
      </c>
      <c r="EC67" s="21" t="n">
        <v>364.722</v>
      </c>
      <c r="ED67" s="21" t="n">
        <v>178.799</v>
      </c>
      <c r="EE67" s="21" t="n">
        <v>197.338</v>
      </c>
      <c r="EF67" s="21" t="n">
        <v>198.655</v>
      </c>
      <c r="EG67" s="21" t="n">
        <v>271.831</v>
      </c>
      <c r="EH67" s="21" t="n">
        <v>325.814</v>
      </c>
      <c r="EI67" s="21" t="n">
        <v>341.294</v>
      </c>
      <c r="EJ67" s="21" t="n">
        <v>152.721</v>
      </c>
      <c r="EK67" s="21" t="n">
        <v>570.96</v>
      </c>
      <c r="EL67" s="21" t="n">
        <v>308.264</v>
      </c>
      <c r="EM67" s="21" t="n">
        <v>334.424</v>
      </c>
      <c r="EN67" s="21" t="n">
        <v>334.454</v>
      </c>
      <c r="EO67" s="21" t="n">
        <v>150.444</v>
      </c>
      <c r="EP67" s="21" t="n">
        <v>244.717</v>
      </c>
      <c r="EQ67" s="21" t="n">
        <v>200.599</v>
      </c>
      <c r="ER67" s="21" t="n">
        <v>220.187</v>
      </c>
      <c r="ES67" s="21" t="n">
        <v>194.267</v>
      </c>
      <c r="ET67" s="21" t="n">
        <v>311.615</v>
      </c>
      <c r="EU67" s="21" t="n">
        <v>206.368</v>
      </c>
      <c r="EV67" s="21" t="n">
        <v>218.191</v>
      </c>
      <c r="EW67" s="21" t="n">
        <v>168.267</v>
      </c>
      <c r="EX67" s="21" t="n">
        <v>251.435</v>
      </c>
      <c r="EY67" s="21" t="n">
        <v>583.204</v>
      </c>
      <c r="EZ67" s="21" t="n">
        <v>496.679</v>
      </c>
      <c r="FA67" s="21" t="n">
        <v>125.997</v>
      </c>
      <c r="FB67" s="21" t="n">
        <v>57.816</v>
      </c>
      <c r="FC67" s="21" t="n">
        <v>111.117</v>
      </c>
      <c r="FD67" s="21" t="n">
        <v>65.834</v>
      </c>
      <c r="FE67" s="21" t="n">
        <v>44.37</v>
      </c>
      <c r="FF67" s="21" t="n">
        <v>113.116</v>
      </c>
      <c r="FG67" s="21" t="n">
        <v>127.789</v>
      </c>
      <c r="FH67" s="21" t="n">
        <v>87.253</v>
      </c>
      <c r="FI67" s="21" t="n">
        <v>71.17700000000001</v>
      </c>
      <c r="FJ67" s="21" t="n">
        <v>113.996</v>
      </c>
      <c r="FK67" s="21" t="n">
        <v>79.723</v>
      </c>
      <c r="FL67" s="21" t="n">
        <v>86.416</v>
      </c>
      <c r="FM67" s="21" t="n">
        <v>92.105</v>
      </c>
      <c r="FN67" s="21" t="n">
        <v>69.105</v>
      </c>
      <c r="FO67" s="21" t="n">
        <v>50.329</v>
      </c>
      <c r="FP67" s="21" t="n">
        <v>36.776</v>
      </c>
      <c r="FQ67" s="21" t="n">
        <v>133.835</v>
      </c>
      <c r="FR67" s="21" t="n">
        <v>48.047</v>
      </c>
      <c r="FS67" s="21" t="n">
        <v>78.149</v>
      </c>
      <c r="FT67" s="21" t="n">
        <v>93.03400000000001</v>
      </c>
      <c r="FU67" s="21" t="n">
        <v>100.082</v>
      </c>
      <c r="FV67" s="21" t="n">
        <v>89.77200000000001</v>
      </c>
      <c r="FW67" s="21" t="n">
        <v>196.827</v>
      </c>
      <c r="FX67" s="21" t="n">
        <v>124.37</v>
      </c>
      <c r="FY67" s="21" t="n">
        <v>186.57</v>
      </c>
      <c r="FZ67" s="21" t="n">
        <v>122.021</v>
      </c>
      <c r="GA67" s="21" t="n">
        <v>199.375</v>
      </c>
      <c r="GB67" s="21" t="n">
        <v>173.452</v>
      </c>
      <c r="GC67" s="21" t="n">
        <v>215.735</v>
      </c>
      <c r="GD67" s="21" t="n">
        <v>171.168</v>
      </c>
      <c r="GE67" s="21" t="n">
        <v>268.257</v>
      </c>
      <c r="GF67" s="21" t="n">
        <v>114.734</v>
      </c>
      <c r="GG67" s="21" t="n">
        <v>110.683</v>
      </c>
      <c r="GH67" s="21" t="n">
        <v>113.349</v>
      </c>
      <c r="GI67" s="21" t="n">
        <v>91.953</v>
      </c>
      <c r="GJ67" s="21" t="n">
        <v>159.121</v>
      </c>
      <c r="GK67" s="21" t="n">
        <v>68.723</v>
      </c>
      <c r="GL67" s="21" t="n">
        <v>114.36</v>
      </c>
      <c r="GM67" s="21" t="n">
        <v>98.57899999999999</v>
      </c>
      <c r="GN67" s="21" t="n">
        <v>95.961</v>
      </c>
      <c r="GO67" s="21" t="n">
        <v>96.684</v>
      </c>
      <c r="GP67" s="21" t="n">
        <v>86.83199999999999</v>
      </c>
      <c r="GQ67" s="21" t="n">
        <v>85.608</v>
      </c>
      <c r="GR67" s="21" t="n">
        <v>68.051</v>
      </c>
      <c r="GS67" s="21" t="n">
        <v>96.87</v>
      </c>
      <c r="GT67" s="21" t="n">
        <v>92.009</v>
      </c>
      <c r="GU67" s="21" t="n">
        <v>129.451</v>
      </c>
      <c r="GV67" s="21" t="n">
        <v>135.467</v>
      </c>
      <c r="GW67" s="21" t="n">
        <v>148.458</v>
      </c>
      <c r="GX67" s="21" t="n">
        <v>115.745</v>
      </c>
      <c r="GY67" s="21" t="n">
        <v>112.495</v>
      </c>
      <c r="GZ67" s="21" t="n">
        <v>167.714</v>
      </c>
      <c r="HA67" s="21" t="n">
        <v>142.676</v>
      </c>
      <c r="HB67" s="21" t="n">
        <v>163.733</v>
      </c>
      <c r="HC67" s="21" t="n">
        <v>195.609</v>
      </c>
      <c r="HD67" s="21" t="n">
        <v>193.105</v>
      </c>
      <c r="HE67" s="21" t="n">
        <v>98.565</v>
      </c>
      <c r="HF67" s="21" t="n">
        <v>147.108</v>
      </c>
      <c r="HG67" s="21" t="n">
        <v>101.939</v>
      </c>
      <c r="HH67" s="21" t="n">
        <v>143.546</v>
      </c>
      <c r="HI67" s="21" t="n">
        <v>156.516</v>
      </c>
      <c r="HJ67" s="21" t="n"/>
      <c r="HK67" s="21" t="n">
        <v>136.915</v>
      </c>
      <c r="HL67" s="21" t="n"/>
      <c r="HM67" s="21" t="n">
        <v>120.904</v>
      </c>
      <c r="HN67" s="21" t="n">
        <v>186.494</v>
      </c>
      <c r="HO67" s="21" t="n">
        <v>185.422</v>
      </c>
      <c r="HP67" s="21" t="n">
        <v>180.237</v>
      </c>
      <c r="HQ67" s="21" t="n">
        <v>206.779</v>
      </c>
      <c r="HR67" s="21" t="n">
        <v>206.27</v>
      </c>
      <c r="HS67" s="21" t="n">
        <v>180.684</v>
      </c>
      <c r="HT67" s="21" t="n">
        <v>147.643</v>
      </c>
      <c r="HU67" s="21" t="n">
        <v>124.033</v>
      </c>
      <c r="HV67" s="21" t="n">
        <v>181.725</v>
      </c>
      <c r="HW67" s="21" t="n">
        <v>173.423</v>
      </c>
      <c r="HX67" s="21" t="n">
        <v>393.425</v>
      </c>
      <c r="HY67" s="21" t="n">
        <v>305.736</v>
      </c>
      <c r="HZ67" s="21" t="n">
        <v>325.233</v>
      </c>
      <c r="IA67" s="21" t="n">
        <v>276.647</v>
      </c>
      <c r="IB67" s="21" t="n">
        <v>186.976</v>
      </c>
      <c r="IC67" s="21" t="n">
        <v>511.639</v>
      </c>
      <c r="ID67" s="21" t="n">
        <v>193.609</v>
      </c>
      <c r="IE67" s="21" t="n">
        <v>184.853</v>
      </c>
      <c r="IF67" s="21" t="n">
        <v>208.479</v>
      </c>
      <c r="IG67" s="21" t="n">
        <v>234.946</v>
      </c>
      <c r="IH67" s="21" t="n">
        <v>121.116</v>
      </c>
      <c r="II67" s="21" t="n">
        <v>219.68</v>
      </c>
      <c r="IJ67" s="21" t="n">
        <v>206.066</v>
      </c>
      <c r="IK67" s="21" t="n">
        <v>147.635</v>
      </c>
      <c r="IL67" s="21" t="n"/>
      <c r="IM67" s="21" t="n"/>
      <c r="IN67" s="21" t="n">
        <v>59.397</v>
      </c>
      <c r="IO67" s="21" t="n">
        <v>318.72</v>
      </c>
      <c r="IP67" s="21" t="n">
        <v>128.096</v>
      </c>
      <c r="IQ67" s="21" t="n">
        <v>520.734</v>
      </c>
      <c r="IR67" s="21" t="n">
        <v>384.259</v>
      </c>
      <c r="IS67" s="21" t="n">
        <v>125.789</v>
      </c>
      <c r="IT67" s="21" t="n">
        <v>533.46</v>
      </c>
      <c r="IU67" s="21" t="n">
        <v>96.411</v>
      </c>
      <c r="IV67" s="21" t="n">
        <v>101.831</v>
      </c>
      <c r="IW67" s="21" t="n">
        <v>564.754</v>
      </c>
      <c r="IX67" s="21" t="n">
        <v>390.982</v>
      </c>
      <c r="IY67" s="21" t="n">
        <v>390.718</v>
      </c>
      <c r="IZ67" s="21" t="n">
        <v>513.83</v>
      </c>
      <c r="JA67" s="21" t="n">
        <v>193.585</v>
      </c>
      <c r="JB67" s="21" t="n">
        <v>242.115</v>
      </c>
      <c r="JC67" s="21" t="n">
        <v>83.661</v>
      </c>
      <c r="JD67" s="21" t="n">
        <v>352.794</v>
      </c>
      <c r="JE67" s="21" t="n">
        <v>343.004</v>
      </c>
      <c r="JF67" s="21" t="n">
        <v>768.096</v>
      </c>
      <c r="JG67" s="21" t="n">
        <v>241.234</v>
      </c>
      <c r="JH67" s="21" t="n"/>
      <c r="JI67" s="21" t="n">
        <v>182.508</v>
      </c>
      <c r="JJ67" s="21" t="n">
        <v>122.015</v>
      </c>
      <c r="JK67" s="21" t="n">
        <v>106.214</v>
      </c>
      <c r="JL67" s="21" t="n">
        <v>132.737</v>
      </c>
      <c r="JM67" s="21" t="n">
        <v>495.854</v>
      </c>
      <c r="JN67" s="21" t="n">
        <v>119.877</v>
      </c>
      <c r="JO67" s="21" t="n">
        <v>69.366</v>
      </c>
      <c r="JP67" s="21" t="n">
        <v>33.999</v>
      </c>
      <c r="JQ67" s="21" t="n">
        <v>136.91</v>
      </c>
      <c r="JR67" s="21" t="n">
        <v>26.432</v>
      </c>
      <c r="JS67" s="21" t="n">
        <v>78.89</v>
      </c>
      <c r="JT67" s="21" t="n">
        <v>178.984</v>
      </c>
      <c r="JU67" s="21" t="n">
        <v>200.475</v>
      </c>
      <c r="JV67" s="21" t="n">
        <v>154.131</v>
      </c>
      <c r="JW67" s="21" t="n">
        <v>113.859</v>
      </c>
      <c r="JX67" s="21" t="n">
        <v>261.701</v>
      </c>
      <c r="JY67" s="21" t="n">
        <v>201.065</v>
      </c>
      <c r="JZ67" s="21" t="n">
        <v>275.904</v>
      </c>
      <c r="KA67" s="21" t="n">
        <v>112.281</v>
      </c>
      <c r="KB67" s="21" t="n">
        <v>156.054</v>
      </c>
      <c r="KC67" s="21" t="n">
        <v>76.001</v>
      </c>
      <c r="KD67" s="21" t="n">
        <v>75.566</v>
      </c>
      <c r="KE67" s="21" t="n">
        <v>55.921</v>
      </c>
      <c r="KF67" s="21" t="n"/>
      <c r="KG67" s="21" t="n">
        <v>23.069</v>
      </c>
      <c r="KH67" s="21" t="n">
        <v>122.546</v>
      </c>
      <c r="KI67" s="21" t="n"/>
      <c r="KJ67" s="21" t="n"/>
      <c r="KK67" s="21" t="n">
        <v>32.984</v>
      </c>
      <c r="KL67" s="21" t="n">
        <v>28.769</v>
      </c>
      <c r="KM67" s="21" t="n">
        <v>36.537</v>
      </c>
      <c r="KN67" s="21" t="n"/>
      <c r="KO67" s="21" t="n">
        <v>90.98999999999999</v>
      </c>
      <c r="KP67" s="21" t="n">
        <v>104.364</v>
      </c>
      <c r="KQ67" s="21" t="n">
        <v>176.613</v>
      </c>
      <c r="KR67" s="21" t="n">
        <v>145.961</v>
      </c>
      <c r="KS67" s="21" t="n">
        <v>405.896</v>
      </c>
      <c r="KT67" s="21" t="n">
        <v>193.557</v>
      </c>
      <c r="KU67" s="21" t="n">
        <v>240.494</v>
      </c>
      <c r="KV67" s="21" t="n">
        <v>323.188</v>
      </c>
      <c r="KW67" s="21" t="n">
        <v>268.709</v>
      </c>
      <c r="KX67" s="21" t="n">
        <v>198.749</v>
      </c>
      <c r="KY67" s="21" t="n">
        <v>99.258</v>
      </c>
      <c r="KZ67" s="21" t="n">
        <v>139.258</v>
      </c>
      <c r="LA67" s="21" t="n">
        <v>269.993</v>
      </c>
      <c r="LB67" s="21" t="n">
        <v>674.802</v>
      </c>
      <c r="LC67" s="21" t="n">
        <v>232.707</v>
      </c>
      <c r="LD67" s="21" t="n">
        <v>775.6420000000001</v>
      </c>
      <c r="LE67" s="21" t="n">
        <v>874.774</v>
      </c>
      <c r="LF67" s="21" t="n">
        <v>84.288</v>
      </c>
      <c r="LG67" s="21" t="n">
        <v>311.779</v>
      </c>
      <c r="LH67" s="21" t="n">
        <v>259.408</v>
      </c>
      <c r="LI67" s="21" t="n">
        <v>73.655</v>
      </c>
      <c r="LJ67" s="21" t="n">
        <v>202.921</v>
      </c>
      <c r="LK67" s="21" t="n">
        <v>320.396</v>
      </c>
      <c r="LL67" s="21" t="n">
        <v>315.816</v>
      </c>
      <c r="LM67" s="21" t="n">
        <v>69.56399999999999</v>
      </c>
      <c r="LN67" s="21" t="n">
        <v>90.48099999999999</v>
      </c>
      <c r="LO67" s="21" t="n">
        <v>46.322</v>
      </c>
      <c r="LP67" s="21" t="n">
        <v>128.169</v>
      </c>
      <c r="LQ67" s="21" t="n"/>
      <c r="LR67" s="21" t="n"/>
      <c r="LS67" s="21" t="n">
        <v>109.035</v>
      </c>
      <c r="LT67" s="21" t="n">
        <v>38.778</v>
      </c>
      <c r="LU67" s="21" t="n">
        <v>25.931</v>
      </c>
      <c r="LV67" s="21" t="n">
        <v>77.93600000000001</v>
      </c>
      <c r="LW67" s="21" t="n">
        <v>186.015</v>
      </c>
      <c r="LX67" s="21" t="n">
        <v>92.23</v>
      </c>
      <c r="LY67" s="21" t="n">
        <v>462.149</v>
      </c>
      <c r="LZ67" s="21" t="n">
        <v>73.508</v>
      </c>
      <c r="MA67" s="21" t="n">
        <v>479.396</v>
      </c>
      <c r="MB67" s="21" t="n">
        <v>283.295</v>
      </c>
      <c r="MC67" s="21" t="n">
        <v>238.444</v>
      </c>
      <c r="MD67" s="21" t="n">
        <v>159.331</v>
      </c>
      <c r="ME67" s="21" t="n">
        <v>103.413</v>
      </c>
      <c r="MF67" s="21" t="n">
        <v>178.426</v>
      </c>
      <c r="MG67" s="21" t="n">
        <v>282.026</v>
      </c>
      <c r="MH67" s="21" t="n">
        <v>172.082</v>
      </c>
      <c r="MI67" s="21" t="n">
        <v>457.128</v>
      </c>
      <c r="MJ67" s="21" t="n">
        <v>368.924</v>
      </c>
      <c r="MK67" s="21" t="n">
        <v>343.031</v>
      </c>
      <c r="ML67" s="21" t="n">
        <v>179.705</v>
      </c>
      <c r="MM67" s="21" t="n">
        <v>207.563</v>
      </c>
      <c r="MN67" s="21" t="n">
        <v>372.023</v>
      </c>
      <c r="MO67" s="21" t="n">
        <v>175.899</v>
      </c>
      <c r="MP67" s="21" t="n">
        <v>259.709</v>
      </c>
      <c r="MQ67" s="21" t="n">
        <v>77.964</v>
      </c>
      <c r="MR67" s="21" t="n">
        <v>161.682</v>
      </c>
      <c r="MS67" s="21" t="n">
        <v>79.812</v>
      </c>
      <c r="MT67" s="21" t="n">
        <v>245.207</v>
      </c>
      <c r="MU67" s="21" t="n">
        <v>266.097</v>
      </c>
      <c r="MV67" s="21" t="n">
        <v>255.9</v>
      </c>
      <c r="MW67" s="21" t="n">
        <v>266.302</v>
      </c>
      <c r="MX67" s="21" t="n">
        <v>234.316</v>
      </c>
      <c r="MY67" s="21" t="n">
        <v>225.426</v>
      </c>
      <c r="MZ67" s="21" t="n">
        <v>233.39</v>
      </c>
      <c r="NA67" s="21" t="n">
        <v>239.436</v>
      </c>
      <c r="NB67" s="21" t="n">
        <v>107.117</v>
      </c>
      <c r="NC67" s="21" t="n">
        <v>183.619</v>
      </c>
      <c r="ND67" s="21" t="n">
        <v>146.906</v>
      </c>
      <c r="NE67" s="21" t="n">
        <v>143.229</v>
      </c>
      <c r="NF67" s="21" t="n">
        <v>142.908</v>
      </c>
      <c r="NG67" s="21" t="n">
        <v>144.249</v>
      </c>
      <c r="NH67" s="21" t="n">
        <v>263.731</v>
      </c>
      <c r="NI67" s="21" t="n">
        <v>104.188</v>
      </c>
      <c r="NJ67" s="21" t="n">
        <v>69.126</v>
      </c>
      <c r="NK67" s="21" t="n">
        <v>112.577</v>
      </c>
      <c r="NL67" s="21" t="n">
        <v>193.379</v>
      </c>
      <c r="NM67" s="21" t="n">
        <v>189.613</v>
      </c>
      <c r="NN67" s="21" t="n">
        <v>92.152</v>
      </c>
      <c r="NO67" s="21" t="n">
        <v>49.334</v>
      </c>
      <c r="NP67" s="21" t="n">
        <v>224.283</v>
      </c>
      <c r="NQ67" s="21" t="n">
        <v>186.445</v>
      </c>
      <c r="NR67" s="21" t="n">
        <v>229.496</v>
      </c>
      <c r="NS67" s="21" t="n">
        <v>181.931</v>
      </c>
      <c r="NT67" s="21" t="n">
        <v>227.698</v>
      </c>
      <c r="NU67" s="21" t="n">
        <v>116.723</v>
      </c>
      <c r="NV67" s="21" t="n">
        <v>128.27</v>
      </c>
      <c r="NW67" s="21" t="n">
        <v>366.375</v>
      </c>
      <c r="NX67" s="21" t="n">
        <v>78.176</v>
      </c>
      <c r="NY67" s="21" t="n">
        <v>127.925</v>
      </c>
      <c r="NZ67" s="21" t="n">
        <v>339.822</v>
      </c>
      <c r="OA67" s="21" t="n">
        <v>331.166</v>
      </c>
      <c r="OB67" s="21" t="n">
        <v>343.713</v>
      </c>
      <c r="OC67" s="21" t="n">
        <v>313.494</v>
      </c>
      <c r="OD67" s="21" t="n">
        <v>346.852</v>
      </c>
      <c r="OE67" s="21" t="n">
        <v>104.187</v>
      </c>
      <c r="OF67" s="21" t="n">
        <v>303.942</v>
      </c>
      <c r="OG67" s="21" t="n">
        <v>216.77</v>
      </c>
      <c r="OH67" s="21" t="n">
        <v>36.556</v>
      </c>
      <c r="OI67" s="21" t="n">
        <v>131.234</v>
      </c>
      <c r="OJ67" s="21" t="n">
        <v>38.8</v>
      </c>
      <c r="OK67" s="21" t="n">
        <v>12.9</v>
      </c>
    </row>
    <row r="68">
      <c r="A68" s="22" t="n">
        <v>44013</v>
      </c>
      <c r="B68" s="21" t="n">
        <v>259.101</v>
      </c>
      <c r="C68" s="21" t="n">
        <v>776.152</v>
      </c>
      <c r="D68" s="21" t="n">
        <v>268.132</v>
      </c>
      <c r="E68" s="21" t="n">
        <v>268.863</v>
      </c>
      <c r="F68" s="21" t="n">
        <v>252.563</v>
      </c>
      <c r="G68" s="21" t="n">
        <v>285.204</v>
      </c>
      <c r="H68" s="21" t="n">
        <v>234.667</v>
      </c>
      <c r="I68" s="21" t="n">
        <v>243.504</v>
      </c>
      <c r="J68" s="21" t="n">
        <v>226.335</v>
      </c>
      <c r="K68" s="21" t="n">
        <v>247.693</v>
      </c>
      <c r="L68" s="21" t="n">
        <v>167.349</v>
      </c>
      <c r="M68" s="21" t="n">
        <v>314.422</v>
      </c>
      <c r="N68" s="21" t="n">
        <v>190.894</v>
      </c>
      <c r="O68" s="21" t="n">
        <v>347.792</v>
      </c>
      <c r="P68" s="21" t="n">
        <v>369.721</v>
      </c>
      <c r="Q68" s="21" t="n">
        <v>183.603</v>
      </c>
      <c r="R68" s="21" t="n">
        <v>296.97</v>
      </c>
      <c r="S68" s="21" t="n">
        <v>320.66</v>
      </c>
      <c r="T68" s="21" t="n">
        <v>278.336</v>
      </c>
      <c r="U68" s="21" t="n">
        <v>281.017</v>
      </c>
      <c r="V68" s="21" t="n">
        <v>327.321</v>
      </c>
      <c r="W68" s="21" t="n">
        <v>320.73</v>
      </c>
      <c r="X68" s="21" t="n">
        <v>275.362</v>
      </c>
      <c r="Y68" s="21" t="n">
        <v>271.028</v>
      </c>
      <c r="Z68" s="21" t="n">
        <v>275.995</v>
      </c>
      <c r="AA68" s="21" t="n">
        <v>283.826</v>
      </c>
      <c r="AB68" s="21" t="n">
        <v>354.009</v>
      </c>
      <c r="AC68" s="21" t="n">
        <v>309.349</v>
      </c>
      <c r="AD68" s="21" t="n">
        <v>280.565</v>
      </c>
      <c r="AE68" s="21" t="n">
        <v>236.773</v>
      </c>
      <c r="AF68" s="21" t="n">
        <v>280.408</v>
      </c>
      <c r="AG68" s="21" t="n">
        <v>233.416</v>
      </c>
      <c r="AH68" s="21" t="n">
        <v>171.441</v>
      </c>
      <c r="AI68" s="21" t="n">
        <v>320.309</v>
      </c>
      <c r="AJ68" s="21" t="n">
        <v>155.664</v>
      </c>
      <c r="AK68" s="21" t="n">
        <v>217.932</v>
      </c>
      <c r="AL68" s="21" t="n">
        <v>243.74</v>
      </c>
      <c r="AM68" s="21" t="n">
        <v>218.186</v>
      </c>
      <c r="AN68" s="21" t="n">
        <v>143.896</v>
      </c>
      <c r="AO68" s="21" t="n">
        <v>236.269</v>
      </c>
      <c r="AP68" s="21" t="n">
        <v>259.381</v>
      </c>
      <c r="AQ68" s="21" t="n">
        <v>151.09</v>
      </c>
      <c r="AR68" s="21" t="n"/>
      <c r="AS68" s="21" t="n"/>
      <c r="AT68" s="21" t="n">
        <v>247.459</v>
      </c>
      <c r="AU68" s="21" t="n">
        <v>159.299</v>
      </c>
      <c r="AV68" s="21" t="n">
        <v>268.191</v>
      </c>
      <c r="AW68" s="21" t="n">
        <v>235.603</v>
      </c>
      <c r="AX68" s="21" t="n">
        <v>160.975</v>
      </c>
      <c r="AY68" s="21" t="n">
        <v>308.877</v>
      </c>
      <c r="AZ68" s="21" t="n">
        <v>192.804</v>
      </c>
      <c r="BA68" s="21" t="n">
        <v>153.583</v>
      </c>
      <c r="BB68" s="21" t="n">
        <v>223.545</v>
      </c>
      <c r="BC68" s="21" t="n">
        <v>318.333</v>
      </c>
      <c r="BD68" s="21" t="n">
        <v>206.072</v>
      </c>
      <c r="BE68" s="21" t="n">
        <v>227.114</v>
      </c>
      <c r="BF68" s="21" t="n">
        <v>146.046</v>
      </c>
      <c r="BG68" s="21" t="n">
        <v>209.485</v>
      </c>
      <c r="BH68" s="21" t="n">
        <v>150.672</v>
      </c>
      <c r="BI68" s="21" t="n">
        <v>238.402</v>
      </c>
      <c r="BJ68" s="21" t="n">
        <v>229.501</v>
      </c>
      <c r="BK68" s="21" t="n">
        <v>153.702</v>
      </c>
      <c r="BL68" s="21" t="n">
        <v>306.123</v>
      </c>
      <c r="BM68" s="21" t="n">
        <v>352.504</v>
      </c>
      <c r="BN68" s="21" t="n">
        <v>353.685</v>
      </c>
      <c r="BO68" s="21" t="n">
        <v>330.308</v>
      </c>
      <c r="BP68" s="21" t="n">
        <v>192.992</v>
      </c>
      <c r="BQ68" s="21" t="n">
        <v>264.26</v>
      </c>
      <c r="BR68" s="21" t="n">
        <v>524.1950000000001</v>
      </c>
      <c r="BS68" s="21" t="n">
        <v>113.149</v>
      </c>
      <c r="BT68" s="21" t="n">
        <v>349.617</v>
      </c>
      <c r="BU68" s="21" t="n">
        <v>397.984</v>
      </c>
      <c r="BV68" s="21" t="n">
        <v>327.74</v>
      </c>
      <c r="BW68" s="21" t="n">
        <v>349.717</v>
      </c>
      <c r="BX68" s="21" t="n">
        <v>345.876</v>
      </c>
      <c r="BY68" s="21" t="n">
        <v>164.22</v>
      </c>
      <c r="BZ68" s="21" t="n">
        <v>171.562</v>
      </c>
      <c r="CA68" s="21" t="n">
        <v>164.113</v>
      </c>
      <c r="CB68" s="21" t="n">
        <v>182.754</v>
      </c>
      <c r="CC68" s="21" t="n">
        <v>152.077</v>
      </c>
      <c r="CD68" s="21" t="n">
        <v>209.112</v>
      </c>
      <c r="CE68" s="21" t="n">
        <v>161.714</v>
      </c>
      <c r="CF68" s="21" t="n">
        <v>195.472</v>
      </c>
      <c r="CG68" s="21" t="n">
        <v>178.167</v>
      </c>
      <c r="CH68" s="21" t="n">
        <v>140.747</v>
      </c>
      <c r="CI68" s="21" t="n">
        <v>181.699</v>
      </c>
      <c r="CJ68" s="21" t="n">
        <v>180.623</v>
      </c>
      <c r="CK68" s="21" t="n">
        <v>125.79</v>
      </c>
      <c r="CL68" s="21" t="n">
        <v>118.026</v>
      </c>
      <c r="CM68" s="21" t="n">
        <v>195.196</v>
      </c>
      <c r="CN68" s="21" t="n">
        <v>203.915</v>
      </c>
      <c r="CO68" s="21" t="n">
        <v>187.589</v>
      </c>
      <c r="CP68" s="21" t="n">
        <v>132.234</v>
      </c>
      <c r="CQ68" s="21" t="n">
        <v>219.254</v>
      </c>
      <c r="CR68" s="21" t="n">
        <v>225.011</v>
      </c>
      <c r="CS68" s="21" t="n">
        <v>201.436</v>
      </c>
      <c r="CT68" s="21" t="n">
        <v>151.83</v>
      </c>
      <c r="CU68" s="21" t="n">
        <v>157.339</v>
      </c>
      <c r="CV68" s="21" t="n">
        <v>231.628</v>
      </c>
      <c r="CW68" s="21" t="n">
        <v>209.209</v>
      </c>
      <c r="CX68" s="21" t="n">
        <v>251.324</v>
      </c>
      <c r="CY68" s="21" t="n">
        <v>308.345</v>
      </c>
      <c r="CZ68" s="21" t="n">
        <v>131.668</v>
      </c>
      <c r="DA68" s="21" t="n">
        <v>160.392</v>
      </c>
      <c r="DB68" s="21" t="n">
        <v>160.678</v>
      </c>
      <c r="DC68" s="21" t="n">
        <v>235.174</v>
      </c>
      <c r="DD68" s="21" t="n">
        <v>260.599</v>
      </c>
      <c r="DE68" s="21" t="n">
        <v>174.231</v>
      </c>
      <c r="DF68" s="21" t="n">
        <v>264.843</v>
      </c>
      <c r="DG68" s="21" t="n">
        <v>249.663</v>
      </c>
      <c r="DH68" s="21" t="n">
        <v>157.353</v>
      </c>
      <c r="DI68" s="21" t="n">
        <v>145.746</v>
      </c>
      <c r="DJ68" s="21" t="n">
        <v>144.213</v>
      </c>
      <c r="DK68" s="21" t="n">
        <v>284.848</v>
      </c>
      <c r="DL68" s="21" t="n">
        <v>173.111</v>
      </c>
      <c r="DM68" s="21" t="n">
        <v>138.366</v>
      </c>
      <c r="DN68" s="21" t="n">
        <v>126.5</v>
      </c>
      <c r="DO68" s="21" t="n">
        <v>294.599</v>
      </c>
      <c r="DP68" s="21" t="n">
        <v>182.035</v>
      </c>
      <c r="DQ68" s="21" t="n">
        <v>190.472</v>
      </c>
      <c r="DR68" s="21" t="n"/>
      <c r="DS68" s="21" t="n"/>
      <c r="DT68" s="21" t="n">
        <v>170.286</v>
      </c>
      <c r="DU68" s="21" t="n">
        <v>200.591</v>
      </c>
      <c r="DV68" s="21" t="n">
        <v>256.96</v>
      </c>
      <c r="DW68" s="21" t="n">
        <v>209.356</v>
      </c>
      <c r="DX68" s="21" t="n">
        <v>238.526</v>
      </c>
      <c r="DY68" s="21" t="n">
        <v>196.056</v>
      </c>
      <c r="DZ68" s="21" t="n">
        <v>210.312</v>
      </c>
      <c r="EA68" s="21" t="n">
        <v>191.909</v>
      </c>
      <c r="EB68" s="21" t="n">
        <v>172.58</v>
      </c>
      <c r="EC68" s="21" t="n">
        <v>361.401</v>
      </c>
      <c r="ED68" s="21" t="n">
        <v>175.864</v>
      </c>
      <c r="EE68" s="21" t="n">
        <v>195.772</v>
      </c>
      <c r="EF68" s="21" t="n">
        <v>197.85</v>
      </c>
      <c r="EG68" s="21" t="n">
        <v>272.445</v>
      </c>
      <c r="EH68" s="21" t="n">
        <v>326.58</v>
      </c>
      <c r="EI68" s="21" t="n">
        <v>341.95</v>
      </c>
      <c r="EJ68" s="21" t="n">
        <v>154.349</v>
      </c>
      <c r="EK68" s="21" t="n">
        <v>572.4299999999999</v>
      </c>
      <c r="EL68" s="21" t="n">
        <v>311.901</v>
      </c>
      <c r="EM68" s="21" t="n">
        <v>335.144</v>
      </c>
      <c r="EN68" s="21" t="n">
        <v>335.174</v>
      </c>
      <c r="EO68" s="21" t="n">
        <v>150.869</v>
      </c>
      <c r="EP68" s="21" t="n">
        <v>245.125</v>
      </c>
      <c r="EQ68" s="21" t="n">
        <v>200.788</v>
      </c>
      <c r="ER68" s="21" t="n">
        <v>224.92</v>
      </c>
      <c r="ES68" s="21" t="n">
        <v>203.084</v>
      </c>
      <c r="ET68" s="21" t="n">
        <v>309.156</v>
      </c>
      <c r="EU68" s="21" t="n">
        <v>206.388</v>
      </c>
      <c r="EV68" s="21" t="n">
        <v>218.82</v>
      </c>
      <c r="EW68" s="21" t="n">
        <v>166.536</v>
      </c>
      <c r="EX68" s="21" t="n">
        <v>252.401</v>
      </c>
      <c r="EY68" s="21" t="n">
        <v>585.456</v>
      </c>
      <c r="EZ68" s="21" t="n">
        <v>498.564</v>
      </c>
      <c r="FA68" s="21" t="n">
        <v>126.269</v>
      </c>
      <c r="FB68" s="21" t="n">
        <v>57.389</v>
      </c>
      <c r="FC68" s="21" t="n">
        <v>111.588</v>
      </c>
      <c r="FD68" s="21" t="n">
        <v>64.61199999999999</v>
      </c>
      <c r="FE68" s="21" t="n">
        <v>44.027</v>
      </c>
      <c r="FF68" s="21" t="n">
        <v>112.222</v>
      </c>
      <c r="FG68" s="21" t="n">
        <v>126.29</v>
      </c>
      <c r="FH68" s="21" t="n">
        <v>86.601</v>
      </c>
      <c r="FI68" s="21" t="n">
        <v>71.121</v>
      </c>
      <c r="FJ68" s="21" t="n">
        <v>112.704</v>
      </c>
      <c r="FK68" s="21" t="n">
        <v>80.364</v>
      </c>
      <c r="FL68" s="21" t="n">
        <v>88.289</v>
      </c>
      <c r="FM68" s="21" t="n">
        <v>100.146</v>
      </c>
      <c r="FN68" s="21" t="n">
        <v>69.181</v>
      </c>
      <c r="FO68" s="21" t="n">
        <v>50.317</v>
      </c>
      <c r="FP68" s="21" t="n">
        <v>36.823</v>
      </c>
      <c r="FQ68" s="21" t="n">
        <v>133.635</v>
      </c>
      <c r="FR68" s="21" t="n">
        <v>47.269</v>
      </c>
      <c r="FS68" s="21" t="n">
        <v>78.639</v>
      </c>
      <c r="FT68" s="21" t="n">
        <v>92.889</v>
      </c>
      <c r="FU68" s="21" t="n">
        <v>100.52</v>
      </c>
      <c r="FV68" s="21" t="n">
        <v>89.315</v>
      </c>
      <c r="FW68" s="21" t="n">
        <v>200.321</v>
      </c>
      <c r="FX68" s="21" t="n">
        <v>126.653</v>
      </c>
      <c r="FY68" s="21" t="n">
        <v>193.457</v>
      </c>
      <c r="FZ68" s="21" t="n">
        <v>122.471</v>
      </c>
      <c r="GA68" s="21" t="n">
        <v>200.071</v>
      </c>
      <c r="GB68" s="21" t="n">
        <v>173.936</v>
      </c>
      <c r="GC68" s="21" t="n">
        <v>215.709</v>
      </c>
      <c r="GD68" s="21" t="n">
        <v>175.189</v>
      </c>
      <c r="GE68" s="21" t="n">
        <v>268.305</v>
      </c>
      <c r="GF68" s="21" t="n">
        <v>114.267</v>
      </c>
      <c r="GG68" s="21" t="n">
        <v>110.29</v>
      </c>
      <c r="GH68" s="21" t="n">
        <v>112.189</v>
      </c>
      <c r="GI68" s="21" t="n">
        <v>92.56399999999999</v>
      </c>
      <c r="GJ68" s="21" t="n">
        <v>157.693</v>
      </c>
      <c r="GK68" s="21" t="n">
        <v>67.09699999999999</v>
      </c>
      <c r="GL68" s="21" t="n">
        <v>113.384</v>
      </c>
      <c r="GM68" s="21" t="n">
        <v>100.961</v>
      </c>
      <c r="GN68" s="21" t="n">
        <v>94.209</v>
      </c>
      <c r="GO68" s="21" t="n">
        <v>95.16800000000001</v>
      </c>
      <c r="GP68" s="21" t="n">
        <v>88.07599999999999</v>
      </c>
      <c r="GQ68" s="21" t="n">
        <v>82.65300000000001</v>
      </c>
      <c r="GR68" s="21" t="n">
        <v>66.158</v>
      </c>
      <c r="GS68" s="21" t="n">
        <v>97.32899999999999</v>
      </c>
      <c r="GT68" s="21" t="n">
        <v>89.22</v>
      </c>
      <c r="GU68" s="21" t="n">
        <v>130.666</v>
      </c>
      <c r="GV68" s="21" t="n">
        <v>137.337</v>
      </c>
      <c r="GW68" s="21" t="n">
        <v>148.749</v>
      </c>
      <c r="GX68" s="21" t="n">
        <v>116.826</v>
      </c>
      <c r="GY68" s="21" t="n">
        <v>112.987</v>
      </c>
      <c r="GZ68" s="21" t="n">
        <v>172.855</v>
      </c>
      <c r="HA68" s="21" t="n">
        <v>141.982</v>
      </c>
      <c r="HB68" s="21" t="n">
        <v>170.675</v>
      </c>
      <c r="HC68" s="21" t="n">
        <v>200.766</v>
      </c>
      <c r="HD68" s="21" t="n">
        <v>198.657</v>
      </c>
      <c r="HE68" s="21" t="n">
        <v>100.161</v>
      </c>
      <c r="HF68" s="21" t="n">
        <v>147.803</v>
      </c>
      <c r="HG68" s="21" t="n">
        <v>102.425</v>
      </c>
      <c r="HH68" s="21" t="n">
        <v>144.381</v>
      </c>
      <c r="HI68" s="21" t="n">
        <v>157.168</v>
      </c>
      <c r="HJ68" s="21" t="n"/>
      <c r="HK68" s="21" t="n">
        <v>141.493</v>
      </c>
      <c r="HL68" s="21" t="n"/>
      <c r="HM68" s="21" t="n">
        <v>136.483</v>
      </c>
      <c r="HN68" s="21" t="n">
        <v>195.317</v>
      </c>
      <c r="HO68" s="21" t="n">
        <v>194.397</v>
      </c>
      <c r="HP68" s="21" t="n">
        <v>189.142</v>
      </c>
      <c r="HQ68" s="21" t="n">
        <v>215.88</v>
      </c>
      <c r="HR68" s="21" t="n">
        <v>214.932</v>
      </c>
      <c r="HS68" s="21" t="n">
        <v>180.8</v>
      </c>
      <c r="HT68" s="21" t="n">
        <v>148.123</v>
      </c>
      <c r="HU68" s="21" t="n">
        <v>124.958</v>
      </c>
      <c r="HV68" s="21" t="n">
        <v>181.028</v>
      </c>
      <c r="HW68" s="21" t="n">
        <v>171.761</v>
      </c>
      <c r="HX68" s="21" t="n">
        <v>397.977</v>
      </c>
      <c r="HY68" s="21" t="n">
        <v>305.573</v>
      </c>
      <c r="HZ68" s="21" t="n">
        <v>324.397</v>
      </c>
      <c r="IA68" s="21" t="n">
        <v>276.98</v>
      </c>
      <c r="IB68" s="21" t="n">
        <v>186.342</v>
      </c>
      <c r="IC68" s="21" t="n">
        <v>558.276</v>
      </c>
      <c r="ID68" s="21" t="n">
        <v>194.807</v>
      </c>
      <c r="IE68" s="21" t="n">
        <v>185.484</v>
      </c>
      <c r="IF68" s="21" t="n">
        <v>210.404</v>
      </c>
      <c r="IG68" s="21" t="n">
        <v>237.394</v>
      </c>
      <c r="IH68" s="21" t="n">
        <v>121.211</v>
      </c>
      <c r="II68" s="21" t="n">
        <v>219.055</v>
      </c>
      <c r="IJ68" s="21" t="n">
        <v>204.785</v>
      </c>
      <c r="IK68" s="21" t="n">
        <v>148.8</v>
      </c>
      <c r="IL68" s="21" t="n">
        <v>156.518</v>
      </c>
      <c r="IM68" s="21" t="n"/>
      <c r="IN68" s="21" t="n">
        <v>59.023</v>
      </c>
      <c r="IO68" s="21" t="n">
        <v>318.165</v>
      </c>
      <c r="IP68" s="21" t="n">
        <v>128.344</v>
      </c>
      <c r="IQ68" s="21" t="n">
        <v>522.686</v>
      </c>
      <c r="IR68" s="21" t="n">
        <v>384.377</v>
      </c>
      <c r="IS68" s="21" t="n">
        <v>125.809</v>
      </c>
      <c r="IT68" s="21" t="n">
        <v>533.551</v>
      </c>
      <c r="IU68" s="21" t="n">
        <v>96.423</v>
      </c>
      <c r="IV68" s="21" t="n">
        <v>102.184</v>
      </c>
      <c r="IW68" s="21" t="n">
        <v>567.299</v>
      </c>
      <c r="IX68" s="21" t="n">
        <v>392.585</v>
      </c>
      <c r="IY68" s="21" t="n">
        <v>392.928</v>
      </c>
      <c r="IZ68" s="21" t="n">
        <v>516.437</v>
      </c>
      <c r="JA68" s="21" t="n">
        <v>193.121</v>
      </c>
      <c r="JB68" s="21" t="n">
        <v>242.38</v>
      </c>
      <c r="JC68" s="21" t="n">
        <v>83.795</v>
      </c>
      <c r="JD68" s="21" t="n">
        <v>353.381</v>
      </c>
      <c r="JE68" s="21" t="n">
        <v>343.534</v>
      </c>
      <c r="JF68" s="21" t="n">
        <v>770.0940000000001</v>
      </c>
      <c r="JG68" s="21" t="n">
        <v>241.7</v>
      </c>
      <c r="JH68" s="21" t="n">
        <v>127.651</v>
      </c>
      <c r="JI68" s="21" t="n">
        <v>184.569</v>
      </c>
      <c r="JJ68" s="21" t="n">
        <v>121.304</v>
      </c>
      <c r="JK68" s="21" t="n">
        <v>107.223</v>
      </c>
      <c r="JL68" s="21" t="n">
        <v>132.523</v>
      </c>
      <c r="JM68" s="21" t="n">
        <v>500.988</v>
      </c>
      <c r="JN68" s="21" t="n">
        <v>119.037</v>
      </c>
      <c r="JO68" s="21" t="n">
        <v>70.71599999999999</v>
      </c>
      <c r="JP68" s="21" t="n">
        <v>34.714</v>
      </c>
      <c r="JQ68" s="21" t="n">
        <v>136.921</v>
      </c>
      <c r="JR68" s="21" t="n">
        <v>26.775</v>
      </c>
      <c r="JS68" s="21" t="n">
        <v>78.98399999999999</v>
      </c>
      <c r="JT68" s="21" t="n">
        <v>179.54</v>
      </c>
      <c r="JU68" s="21" t="n">
        <v>200.726</v>
      </c>
      <c r="JV68" s="21" t="n">
        <v>154.041</v>
      </c>
      <c r="JW68" s="21" t="n">
        <v>114.255</v>
      </c>
      <c r="JX68" s="21" t="n">
        <v>263.066</v>
      </c>
      <c r="JY68" s="21" t="n">
        <v>199.656</v>
      </c>
      <c r="JZ68" s="21" t="n">
        <v>278.167</v>
      </c>
      <c r="KA68" s="21" t="n">
        <v>114.094</v>
      </c>
      <c r="KB68" s="21" t="n">
        <v>159.858</v>
      </c>
      <c r="KC68" s="21" t="n">
        <v>76.212</v>
      </c>
      <c r="KD68" s="21" t="n">
        <v>75.92100000000001</v>
      </c>
      <c r="KE68" s="21" t="n">
        <v>56.868</v>
      </c>
      <c r="KF68" s="21" t="n"/>
      <c r="KG68" s="21" t="n">
        <v>23.549</v>
      </c>
      <c r="KH68" s="21" t="n">
        <v>122.215</v>
      </c>
      <c r="KI68" s="21" t="n">
        <v>124.651</v>
      </c>
      <c r="KJ68" s="21" t="n">
        <v>112.135</v>
      </c>
      <c r="KK68" s="21" t="n">
        <v>32.9</v>
      </c>
      <c r="KL68" s="21" t="n">
        <v>28.496</v>
      </c>
      <c r="KM68" s="21" t="n">
        <v>36.54</v>
      </c>
      <c r="KN68" s="21" t="n"/>
      <c r="KO68" s="21" t="n">
        <v>96.08</v>
      </c>
      <c r="KP68" s="21" t="n">
        <v>105.829</v>
      </c>
      <c r="KQ68" s="21" t="n">
        <v>171.125</v>
      </c>
      <c r="KR68" s="21" t="n">
        <v>139.042</v>
      </c>
      <c r="KS68" s="21" t="n">
        <v>393.361</v>
      </c>
      <c r="KT68" s="21" t="n">
        <v>185.452</v>
      </c>
      <c r="KU68" s="21" t="n"/>
      <c r="KV68" s="21" t="n">
        <v>324.421</v>
      </c>
      <c r="KW68" s="21" t="n">
        <v>268.818</v>
      </c>
      <c r="KX68" s="21" t="n">
        <v>200.192</v>
      </c>
      <c r="KY68" s="21" t="n">
        <v>98.37</v>
      </c>
      <c r="KZ68" s="21" t="n">
        <v>140.794</v>
      </c>
      <c r="LA68" s="21" t="n">
        <v>270.659</v>
      </c>
      <c r="LB68" s="21" t="n">
        <v>677.979</v>
      </c>
      <c r="LC68" s="21" t="n">
        <v>233.885</v>
      </c>
      <c r="LD68" s="21" t="n">
        <v>777.492</v>
      </c>
      <c r="LE68" s="21" t="n">
        <v>877.356</v>
      </c>
      <c r="LF68" s="21" t="n">
        <v>84.373</v>
      </c>
      <c r="LG68" s="21" t="n">
        <v>312.33</v>
      </c>
      <c r="LH68" s="21" t="n">
        <v>261.278</v>
      </c>
      <c r="LI68" s="21" t="n">
        <v>74.98</v>
      </c>
      <c r="LJ68" s="21" t="n">
        <v>203.113</v>
      </c>
      <c r="LK68" s="21" t="n">
        <v>320.396</v>
      </c>
      <c r="LL68" s="21" t="n">
        <v>319.289</v>
      </c>
      <c r="LM68" s="21" t="n">
        <v>70.852</v>
      </c>
      <c r="LN68" s="21" t="n">
        <v>93.178</v>
      </c>
      <c r="LO68" s="21" t="n">
        <v>48.007</v>
      </c>
      <c r="LP68" s="21" t="n">
        <v>128.038</v>
      </c>
      <c r="LQ68" s="21" t="n"/>
      <c r="LR68" s="21" t="n"/>
      <c r="LS68" s="21" t="n">
        <v>108.902</v>
      </c>
      <c r="LT68" s="21" t="n">
        <v>38.686</v>
      </c>
      <c r="LU68" s="21" t="n">
        <v>26.661</v>
      </c>
      <c r="LV68" s="21" t="n">
        <v>77.879</v>
      </c>
      <c r="LW68" s="21" t="n">
        <v>184.518</v>
      </c>
      <c r="LX68" s="21" t="n">
        <v>92.211</v>
      </c>
      <c r="LY68" s="21" t="n">
        <v>463.712</v>
      </c>
      <c r="LZ68" s="21" t="n">
        <v>74.283</v>
      </c>
      <c r="MA68" s="21" t="n">
        <v>484.649</v>
      </c>
      <c r="MB68" s="21" t="n">
        <v>285.28</v>
      </c>
      <c r="MC68" s="21" t="n">
        <v>238.852</v>
      </c>
      <c r="MD68" s="21" t="n">
        <v>160.218</v>
      </c>
      <c r="ME68" s="21" t="n">
        <v>104.003</v>
      </c>
      <c r="MF68" s="21" t="n">
        <v>179.374</v>
      </c>
      <c r="MG68" s="21" t="n">
        <v>286.383</v>
      </c>
      <c r="MH68" s="21" t="n">
        <v>174.74</v>
      </c>
      <c r="MI68" s="21" t="n">
        <v>456.784</v>
      </c>
      <c r="MJ68" s="21" t="n">
        <v>368.854</v>
      </c>
      <c r="MK68" s="21" t="n">
        <v>343.271</v>
      </c>
      <c r="ML68" s="21" t="n">
        <v>179.81</v>
      </c>
      <c r="MM68" s="21" t="n">
        <v>207.497</v>
      </c>
      <c r="MN68" s="21" t="n">
        <v>370.785</v>
      </c>
      <c r="MO68" s="21" t="n">
        <v>175.899</v>
      </c>
      <c r="MP68" s="21" t="n">
        <v>258.772</v>
      </c>
      <c r="MQ68" s="21" t="n">
        <v>74.515</v>
      </c>
      <c r="MR68" s="21" t="n">
        <v>153.173</v>
      </c>
      <c r="MS68" s="21" t="n"/>
      <c r="MT68" s="21" t="n">
        <v>246.479</v>
      </c>
      <c r="MU68" s="21" t="n">
        <v>267.149</v>
      </c>
      <c r="MV68" s="21" t="n">
        <v>257.553</v>
      </c>
      <c r="MW68" s="21" t="n">
        <v>267.703</v>
      </c>
      <c r="MX68" s="21" t="n">
        <v>235.82</v>
      </c>
      <c r="MY68" s="21" t="n">
        <v>227.475</v>
      </c>
      <c r="MZ68" s="21" t="n">
        <v>235.111</v>
      </c>
      <c r="NA68" s="21" t="n">
        <v>240.841</v>
      </c>
      <c r="NB68" s="21" t="n">
        <v>106.236</v>
      </c>
      <c r="NC68" s="21" t="n">
        <v>184.59</v>
      </c>
      <c r="ND68" s="21" t="n">
        <v>148.471</v>
      </c>
      <c r="NE68" s="21" t="n">
        <v>144.856</v>
      </c>
      <c r="NF68" s="21" t="n">
        <v>143.696</v>
      </c>
      <c r="NG68" s="21" t="n">
        <v>144.465</v>
      </c>
      <c r="NH68" s="21" t="n">
        <v>260.984</v>
      </c>
      <c r="NI68" s="21" t="n">
        <v>105.252</v>
      </c>
      <c r="NJ68" s="21" t="n">
        <v>69.071</v>
      </c>
      <c r="NK68" s="21" t="n">
        <v>113.928</v>
      </c>
      <c r="NL68" s="21" t="n">
        <v>197.665</v>
      </c>
      <c r="NM68" s="21" t="n">
        <v>198.365</v>
      </c>
      <c r="NN68" s="21" t="n">
        <v>92.32299999999999</v>
      </c>
      <c r="NO68" s="21" t="n">
        <v>49.223</v>
      </c>
      <c r="NP68" s="21" t="n">
        <v>225.024</v>
      </c>
      <c r="NQ68" s="21" t="n">
        <v>188.502</v>
      </c>
      <c r="NR68" s="21" t="n">
        <v>233.004</v>
      </c>
      <c r="NS68" s="21" t="n">
        <v>184.196</v>
      </c>
      <c r="NT68" s="21" t="n">
        <v>231.72</v>
      </c>
      <c r="NU68" s="21" t="n">
        <v>116.796</v>
      </c>
      <c r="NV68" s="21" t="n">
        <v>129.02</v>
      </c>
      <c r="NW68" s="21" t="n">
        <v>367.63</v>
      </c>
      <c r="NX68" s="21" t="n">
        <v>78.59099999999999</v>
      </c>
      <c r="NY68" s="21" t="n">
        <v>126.432</v>
      </c>
      <c r="NZ68" s="21" t="n">
        <v>340.618</v>
      </c>
      <c r="OA68" s="21" t="n">
        <v>332.797</v>
      </c>
      <c r="OB68" s="21" t="n">
        <v>345.493</v>
      </c>
      <c r="OC68" s="21" t="n">
        <v>315.055</v>
      </c>
      <c r="OD68" s="21" t="n">
        <v>349.557</v>
      </c>
      <c r="OE68" s="21" t="n">
        <v>105.807</v>
      </c>
      <c r="OF68" s="21" t="n">
        <v>312.938</v>
      </c>
      <c r="OG68" s="21" t="n">
        <v>218.783</v>
      </c>
      <c r="OH68" s="21" t="n">
        <v>36.658</v>
      </c>
      <c r="OI68" s="21" t="n">
        <v>132.67</v>
      </c>
      <c r="OJ68" s="21" t="n">
        <v>38.6</v>
      </c>
      <c r="OK68" s="21" t="n">
        <v>12.9</v>
      </c>
    </row>
    <row r="69">
      <c r="A69" s="22" t="n">
        <v>44044</v>
      </c>
      <c r="B69" s="21" t="n">
        <v>259.918</v>
      </c>
      <c r="C69" s="21" t="n">
        <v>778.599</v>
      </c>
      <c r="D69" s="21" t="n">
        <v>268.383</v>
      </c>
      <c r="E69" s="21" t="n">
        <v>269.079</v>
      </c>
      <c r="F69" s="21" t="n">
        <v>252.352</v>
      </c>
      <c r="G69" s="21" t="n">
        <v>284.472</v>
      </c>
      <c r="H69" s="21" t="n">
        <v>232.293</v>
      </c>
      <c r="I69" s="21" t="n">
        <v>242.61</v>
      </c>
      <c r="J69" s="21" t="n">
        <v>221.886</v>
      </c>
      <c r="K69" s="21" t="n">
        <v>247.294</v>
      </c>
      <c r="L69" s="21" t="n">
        <v>167.389</v>
      </c>
      <c r="M69" s="21" t="n">
        <v>314.673</v>
      </c>
      <c r="N69" s="21" t="n">
        <v>191.783</v>
      </c>
      <c r="O69" s="21" t="n">
        <v>351.435</v>
      </c>
      <c r="P69" s="21" t="n">
        <v>369.878</v>
      </c>
      <c r="Q69" s="21" t="n">
        <v>186.284</v>
      </c>
      <c r="R69" s="21" t="n">
        <v>295.675</v>
      </c>
      <c r="S69" s="21" t="n">
        <v>313.592</v>
      </c>
      <c r="T69" s="21" t="n">
        <v>279.458</v>
      </c>
      <c r="U69" s="21" t="n">
        <v>279.681</v>
      </c>
      <c r="V69" s="21" t="n">
        <v>326.261</v>
      </c>
      <c r="W69" s="21" t="n">
        <v>321.669</v>
      </c>
      <c r="X69" s="21" t="n">
        <v>272.202</v>
      </c>
      <c r="Y69" s="21" t="n">
        <v>266.969</v>
      </c>
      <c r="Z69" s="21" t="n">
        <v>271.991</v>
      </c>
      <c r="AA69" s="21" t="n">
        <v>277.383</v>
      </c>
      <c r="AB69" s="21" t="n">
        <v>337.768</v>
      </c>
      <c r="AC69" s="21" t="n">
        <v>297.108</v>
      </c>
      <c r="AD69" s="21" t="n">
        <v>266.123</v>
      </c>
      <c r="AE69" s="21" t="n">
        <v>224.432</v>
      </c>
      <c r="AF69" s="21" t="n">
        <v>270.645</v>
      </c>
      <c r="AG69" s="21" t="n">
        <v>230.836</v>
      </c>
      <c r="AH69" s="21" t="n">
        <v>168.525</v>
      </c>
      <c r="AI69" s="21" t="n">
        <v>312.352</v>
      </c>
      <c r="AJ69" s="21" t="n">
        <v>155.435</v>
      </c>
      <c r="AK69" s="21" t="n">
        <v>220.614</v>
      </c>
      <c r="AL69" s="21" t="n">
        <v>246.615</v>
      </c>
      <c r="AM69" s="21" t="n">
        <v>211.034</v>
      </c>
      <c r="AN69" s="21" t="n">
        <v>143.086</v>
      </c>
      <c r="AO69" s="21" t="n">
        <v>238.886</v>
      </c>
      <c r="AP69" s="21" t="n">
        <v>256.208</v>
      </c>
      <c r="AQ69" s="21" t="n">
        <v>152.801</v>
      </c>
      <c r="AR69" s="21" t="n"/>
      <c r="AS69" s="21" t="n"/>
      <c r="AT69" s="21" t="n">
        <v>247.053</v>
      </c>
      <c r="AU69" s="21" t="n">
        <v>158.494</v>
      </c>
      <c r="AV69" s="21" t="n">
        <v>263.988</v>
      </c>
      <c r="AW69" s="21" t="n">
        <v>234.901</v>
      </c>
      <c r="AX69" s="21" t="n">
        <v>163.132</v>
      </c>
      <c r="AY69" s="21" t="n">
        <v>309.391</v>
      </c>
      <c r="AZ69" s="21" t="n">
        <v>190.771</v>
      </c>
      <c r="BA69" s="21" t="n">
        <v>155.734</v>
      </c>
      <c r="BB69" s="21" t="n">
        <v>225.007</v>
      </c>
      <c r="BC69" s="21" t="n">
        <v>324.014</v>
      </c>
      <c r="BD69" s="21" t="n">
        <v>201.312</v>
      </c>
      <c r="BE69" s="21" t="n">
        <v>231.231</v>
      </c>
      <c r="BF69" s="21" t="n">
        <v>151.94</v>
      </c>
      <c r="BG69" s="21" t="n">
        <v>218.064</v>
      </c>
      <c r="BH69" s="21" t="n">
        <v>156.513</v>
      </c>
      <c r="BI69" s="21" t="n">
        <v>244.669</v>
      </c>
      <c r="BJ69" s="21" t="n">
        <v>229.135</v>
      </c>
      <c r="BK69" s="21" t="n">
        <v>152.935</v>
      </c>
      <c r="BL69" s="21" t="n">
        <v>306.754</v>
      </c>
      <c r="BM69" s="21" t="n">
        <v>353.654</v>
      </c>
      <c r="BN69" s="21" t="n">
        <v>358.764</v>
      </c>
      <c r="BO69" s="21" t="n">
        <v>333.698</v>
      </c>
      <c r="BP69" s="21" t="n">
        <v>189.923</v>
      </c>
      <c r="BQ69" s="21" t="n">
        <v>266.997</v>
      </c>
      <c r="BR69" s="21" t="n">
        <v>531.349</v>
      </c>
      <c r="BS69" s="21" t="n">
        <v>116.312</v>
      </c>
      <c r="BT69" s="21" t="n">
        <v>346.769</v>
      </c>
      <c r="BU69" s="21" t="n">
        <v>397.532</v>
      </c>
      <c r="BV69" s="21" t="n">
        <v>323.843</v>
      </c>
      <c r="BW69" s="21" t="n">
        <v>347.027</v>
      </c>
      <c r="BX69" s="21" t="n">
        <v>342.571</v>
      </c>
      <c r="BY69" s="21" t="n">
        <v>163.852</v>
      </c>
      <c r="BZ69" s="21" t="n">
        <v>170.29</v>
      </c>
      <c r="CA69" s="21" t="n">
        <v>163.281</v>
      </c>
      <c r="CB69" s="21" t="n">
        <v>181.669</v>
      </c>
      <c r="CC69" s="21" t="n">
        <v>152.291</v>
      </c>
      <c r="CD69" s="21" t="n">
        <v>209.043</v>
      </c>
      <c r="CE69" s="21" t="n">
        <v>162.792</v>
      </c>
      <c r="CF69" s="21" t="n">
        <v>199.128</v>
      </c>
      <c r="CG69" s="21" t="n">
        <v>178.684</v>
      </c>
      <c r="CH69" s="21" t="n">
        <v>140.972</v>
      </c>
      <c r="CI69" s="21" t="n">
        <v>183.22</v>
      </c>
      <c r="CJ69" s="21" t="n">
        <v>180.603</v>
      </c>
      <c r="CK69" s="21" t="n">
        <v>125.358</v>
      </c>
      <c r="CL69" s="21" t="n">
        <v>118.76</v>
      </c>
      <c r="CM69" s="21" t="n">
        <v>195.673</v>
      </c>
      <c r="CN69" s="21" t="n">
        <v>204.268</v>
      </c>
      <c r="CO69" s="21" t="n">
        <v>189.031</v>
      </c>
      <c r="CP69" s="21" t="n">
        <v>133.963</v>
      </c>
      <c r="CQ69" s="21" t="n">
        <v>219.607</v>
      </c>
      <c r="CR69" s="21" t="n">
        <v>226.895</v>
      </c>
      <c r="CS69" s="21" t="n">
        <v>201.95</v>
      </c>
      <c r="CT69" s="21" t="n">
        <v>153.738</v>
      </c>
      <c r="CU69" s="21" t="n">
        <v>157.157</v>
      </c>
      <c r="CV69" s="21" t="n">
        <v>230.656</v>
      </c>
      <c r="CW69" s="21" t="n">
        <v>211.15</v>
      </c>
      <c r="CX69" s="21" t="n">
        <v>254.389</v>
      </c>
      <c r="CY69" s="21" t="n">
        <v>307.922</v>
      </c>
      <c r="CZ69" s="21" t="n">
        <v>129.69</v>
      </c>
      <c r="DA69" s="21" t="n">
        <v>159.211</v>
      </c>
      <c r="DB69" s="21" t="n">
        <v>162.316</v>
      </c>
      <c r="DC69" s="21" t="n">
        <v>235.469</v>
      </c>
      <c r="DD69" s="21" t="n">
        <v>261.041</v>
      </c>
      <c r="DE69" s="21" t="n">
        <v>174.852</v>
      </c>
      <c r="DF69" s="21" t="n">
        <v>262.682</v>
      </c>
      <c r="DG69" s="21" t="n">
        <v>252.872</v>
      </c>
      <c r="DH69" s="21" t="n">
        <v>157.718</v>
      </c>
      <c r="DI69" s="21" t="n">
        <v>148.742</v>
      </c>
      <c r="DJ69" s="21" t="n">
        <v>146.899</v>
      </c>
      <c r="DK69" s="21" t="n">
        <v>286.311</v>
      </c>
      <c r="DL69" s="21" t="n">
        <v>172.509</v>
      </c>
      <c r="DM69" s="21" t="n">
        <v>138.37</v>
      </c>
      <c r="DN69" s="21" t="n">
        <v>129.2</v>
      </c>
      <c r="DO69" s="21" t="n">
        <v>295.437</v>
      </c>
      <c r="DP69" s="21" t="n">
        <v>182.162</v>
      </c>
      <c r="DQ69" s="21" t="n">
        <v>191.307</v>
      </c>
      <c r="DR69" s="21" t="n">
        <v>175.849</v>
      </c>
      <c r="DS69" s="21" t="n"/>
      <c r="DT69" s="21" t="n">
        <v>170.228</v>
      </c>
      <c r="DU69" s="21" t="n">
        <v>202.014</v>
      </c>
      <c r="DV69" s="21" t="n">
        <v>257.678</v>
      </c>
      <c r="DW69" s="21" t="n">
        <v>209.118</v>
      </c>
      <c r="DX69" s="21" t="n">
        <v>237.5</v>
      </c>
      <c r="DY69" s="21" t="n">
        <v>196.405</v>
      </c>
      <c r="DZ69" s="21" t="n">
        <v>209.942</v>
      </c>
      <c r="EA69" s="21" t="n">
        <v>192.667</v>
      </c>
      <c r="EB69" s="21" t="n">
        <v>172.669</v>
      </c>
      <c r="EC69" s="21" t="n">
        <v>364.232</v>
      </c>
      <c r="ED69" s="21" t="n">
        <v>178.382</v>
      </c>
      <c r="EE69" s="21" t="n">
        <v>196.483</v>
      </c>
      <c r="EF69" s="21" t="n">
        <v>198.84</v>
      </c>
      <c r="EG69" s="21" t="n">
        <v>272.866</v>
      </c>
      <c r="EH69" s="21" t="n">
        <v>326.997</v>
      </c>
      <c r="EI69" s="21" t="n">
        <v>342.444</v>
      </c>
      <c r="EJ69" s="21" t="n">
        <v>152.224</v>
      </c>
      <c r="EK69" s="21" t="n">
        <v>575.473</v>
      </c>
      <c r="EL69" s="21" t="n">
        <v>306.78</v>
      </c>
      <c r="EM69" s="21" t="n">
        <v>335.763</v>
      </c>
      <c r="EN69" s="21" t="n">
        <v>335.791</v>
      </c>
      <c r="EO69" s="21" t="n">
        <v>150.818</v>
      </c>
      <c r="EP69" s="21" t="n">
        <v>244.948</v>
      </c>
      <c r="EQ69" s="21" t="n">
        <v>200.177</v>
      </c>
      <c r="ER69" s="21" t="n">
        <v>227.453</v>
      </c>
      <c r="ES69" s="21" t="n">
        <v>207.623</v>
      </c>
      <c r="ET69" s="21" t="n">
        <v>308.197</v>
      </c>
      <c r="EU69" s="21" t="n">
        <v>205.636</v>
      </c>
      <c r="EV69" s="21" t="n">
        <v>217.68</v>
      </c>
      <c r="EW69" s="21" t="n">
        <v>166.916</v>
      </c>
      <c r="EX69" s="21" t="n">
        <v>253.974</v>
      </c>
      <c r="EY69" s="21" t="n">
        <v>589.444</v>
      </c>
      <c r="EZ69" s="21" t="n">
        <v>500.882</v>
      </c>
      <c r="FA69" s="21" t="n">
        <v>126.974</v>
      </c>
      <c r="FB69" s="21" t="n">
        <v>57.807</v>
      </c>
      <c r="FC69" s="21" t="n">
        <v>112.865</v>
      </c>
      <c r="FD69" s="21" t="n">
        <v>66.801</v>
      </c>
      <c r="FE69" s="21" t="n">
        <v>43.865</v>
      </c>
      <c r="FF69" s="21" t="n">
        <v>114.047</v>
      </c>
      <c r="FG69" s="21" t="n">
        <v>128.574</v>
      </c>
      <c r="FH69" s="21" t="n">
        <v>87.827</v>
      </c>
      <c r="FI69" s="21" t="n">
        <v>72.416</v>
      </c>
      <c r="FJ69" s="21" t="n">
        <v>112.308</v>
      </c>
      <c r="FK69" s="21" t="n">
        <v>81.827</v>
      </c>
      <c r="FL69" s="21" t="n">
        <v>92.72</v>
      </c>
      <c r="FM69" s="21" t="n">
        <v>103.595</v>
      </c>
      <c r="FN69" s="21" t="n">
        <v>69.28</v>
      </c>
      <c r="FO69" s="21" t="n">
        <v>50.787</v>
      </c>
      <c r="FP69" s="21" t="n">
        <v>37.433</v>
      </c>
      <c r="FQ69" s="21" t="n">
        <v>131.375</v>
      </c>
      <c r="FR69" s="21" t="n">
        <v>48.627</v>
      </c>
      <c r="FS69" s="21" t="n">
        <v>78.47199999999999</v>
      </c>
      <c r="FT69" s="21" t="n">
        <v>92.926</v>
      </c>
      <c r="FU69" s="21" t="n">
        <v>100.979</v>
      </c>
      <c r="FV69" s="21" t="n">
        <v>89.16</v>
      </c>
      <c r="FW69" s="21" t="n">
        <v>199.34</v>
      </c>
      <c r="FX69" s="21" t="n">
        <v>126.075</v>
      </c>
      <c r="FY69" s="21" t="n">
        <v>191.513</v>
      </c>
      <c r="FZ69" s="21" t="n">
        <v>122.282</v>
      </c>
      <c r="GA69" s="21" t="n">
        <v>201.012</v>
      </c>
      <c r="GB69" s="21" t="n">
        <v>174.738</v>
      </c>
      <c r="GC69" s="21" t="n">
        <v>215.715</v>
      </c>
      <c r="GD69" s="21" t="n">
        <v>179.733</v>
      </c>
      <c r="GE69" s="21" t="n">
        <v>268.646</v>
      </c>
      <c r="GF69" s="21" t="n">
        <v>116.299</v>
      </c>
      <c r="GG69" s="21" t="n">
        <v>112.272</v>
      </c>
      <c r="GH69" s="21" t="n">
        <v>114.669</v>
      </c>
      <c r="GI69" s="21" t="n">
        <v>91.48</v>
      </c>
      <c r="GJ69" s="21" t="n">
        <v>163.379</v>
      </c>
      <c r="GK69" s="21" t="n">
        <v>68.771</v>
      </c>
      <c r="GL69" s="21" t="n">
        <v>116.366</v>
      </c>
      <c r="GM69" s="21" t="n">
        <v>101.102</v>
      </c>
      <c r="GN69" s="21" t="n">
        <v>96.492</v>
      </c>
      <c r="GO69" s="21" t="n">
        <v>97.28100000000001</v>
      </c>
      <c r="GP69" s="21" t="n">
        <v>91.239</v>
      </c>
      <c r="GQ69" s="21" t="n">
        <v>91.16</v>
      </c>
      <c r="GR69" s="21" t="n">
        <v>67.03100000000001</v>
      </c>
      <c r="GS69" s="21" t="n">
        <v>98.349</v>
      </c>
      <c r="GT69" s="21" t="n">
        <v>92.244</v>
      </c>
      <c r="GU69" s="21" t="n">
        <v>132.17</v>
      </c>
      <c r="GV69" s="21" t="n">
        <v>138.111</v>
      </c>
      <c r="GW69" s="21" t="n">
        <v>147.31</v>
      </c>
      <c r="GX69" s="21" t="n">
        <v>119.91</v>
      </c>
      <c r="GY69" s="21" t="n">
        <v>115.024</v>
      </c>
      <c r="GZ69" s="21" t="n">
        <v>172.681</v>
      </c>
      <c r="HA69" s="21" t="n">
        <v>145.826</v>
      </c>
      <c r="HB69" s="21" t="n">
        <v>168.99</v>
      </c>
      <c r="HC69" s="21" t="n">
        <v>202.386</v>
      </c>
      <c r="HD69" s="21" t="n">
        <v>200.884</v>
      </c>
      <c r="HE69" s="21" t="n">
        <v>102.07</v>
      </c>
      <c r="HF69" s="21" t="n">
        <v>147.412</v>
      </c>
      <c r="HG69" s="21" t="n">
        <v>102.152</v>
      </c>
      <c r="HH69" s="21" t="n">
        <v>144.106</v>
      </c>
      <c r="HI69" s="21" t="n">
        <v>156.686</v>
      </c>
      <c r="HJ69" s="21" t="n"/>
      <c r="HK69" s="21" t="n">
        <v>149.765</v>
      </c>
      <c r="HL69" s="21" t="n">
        <v>83.676</v>
      </c>
      <c r="HM69" s="21" t="n">
        <v>138.973</v>
      </c>
      <c r="HN69" s="21" t="n">
        <v>195.352</v>
      </c>
      <c r="HO69" s="21" t="n">
        <v>194.449</v>
      </c>
      <c r="HP69" s="21" t="n">
        <v>189.06</v>
      </c>
      <c r="HQ69" s="21" t="n">
        <v>216.482</v>
      </c>
      <c r="HR69" s="21" t="n">
        <v>215.819</v>
      </c>
      <c r="HS69" s="21" t="n">
        <v>180.088</v>
      </c>
      <c r="HT69" s="21" t="n">
        <v>148.096</v>
      </c>
      <c r="HU69" s="21" t="n">
        <v>125.634</v>
      </c>
      <c r="HV69" s="21" t="n">
        <v>179.271</v>
      </c>
      <c r="HW69" s="21" t="n">
        <v>170.091</v>
      </c>
      <c r="HX69" s="21" t="n">
        <v>388.697</v>
      </c>
      <c r="HY69" s="21" t="n">
        <v>307.554</v>
      </c>
      <c r="HZ69" s="21" t="n">
        <v>326.078</v>
      </c>
      <c r="IA69" s="21" t="n">
        <v>278.224</v>
      </c>
      <c r="IB69" s="21" t="n">
        <v>188.27</v>
      </c>
      <c r="IC69" s="21" t="n">
        <v>560.623</v>
      </c>
      <c r="ID69" s="21" t="n">
        <v>195.451</v>
      </c>
      <c r="IE69" s="21" t="n">
        <v>185.484</v>
      </c>
      <c r="IF69" s="21" t="n">
        <v>211.923</v>
      </c>
      <c r="IG69" s="21" t="n">
        <v>238.574</v>
      </c>
      <c r="IH69" s="21" t="n">
        <v>121.472</v>
      </c>
      <c r="II69" s="21" t="n">
        <v>212.132</v>
      </c>
      <c r="IJ69" s="21" t="n">
        <v>199.496</v>
      </c>
      <c r="IK69" s="21" t="n">
        <v>150.22</v>
      </c>
      <c r="IL69" s="21" t="n">
        <v>158.797</v>
      </c>
      <c r="IM69" s="21" t="n"/>
      <c r="IN69" s="21" t="n">
        <v>59.017</v>
      </c>
      <c r="IO69" s="21" t="n">
        <v>296.674</v>
      </c>
      <c r="IP69" s="21" t="n">
        <v>115.164</v>
      </c>
      <c r="IQ69" s="21" t="n">
        <v>523.295</v>
      </c>
      <c r="IR69" s="21" t="n">
        <v>385.409</v>
      </c>
      <c r="IS69" s="21" t="n">
        <v>126.233</v>
      </c>
      <c r="IT69" s="21" t="n">
        <v>534.254</v>
      </c>
      <c r="IU69" s="21" t="n">
        <v>97.357</v>
      </c>
      <c r="IV69" s="21" t="n">
        <v>100.979</v>
      </c>
      <c r="IW69" s="21" t="n">
        <v>567.771</v>
      </c>
      <c r="IX69" s="21" t="n">
        <v>391.945</v>
      </c>
      <c r="IY69" s="21" t="n">
        <v>393.025</v>
      </c>
      <c r="IZ69" s="21" t="n">
        <v>513.403</v>
      </c>
      <c r="JA69" s="21" t="n">
        <v>192.852</v>
      </c>
      <c r="JB69" s="21" t="n">
        <v>242.38</v>
      </c>
      <c r="JC69" s="21" t="n">
        <v>83.82899999999999</v>
      </c>
      <c r="JD69" s="21" t="n">
        <v>353.332</v>
      </c>
      <c r="JE69" s="21" t="n">
        <v>343.123</v>
      </c>
      <c r="JF69" s="21" t="n">
        <v>771.766</v>
      </c>
      <c r="JG69" s="21" t="n">
        <v>242.667</v>
      </c>
      <c r="JH69" s="21" t="n">
        <v>129.089</v>
      </c>
      <c r="JI69" s="21" t="n">
        <v>186.2</v>
      </c>
      <c r="JJ69" s="21" t="n">
        <v>122.074</v>
      </c>
      <c r="JK69" s="21" t="n">
        <v>107.898</v>
      </c>
      <c r="JL69" s="21" t="n">
        <v>132.791</v>
      </c>
      <c r="JM69" s="21" t="n">
        <v>503.704</v>
      </c>
      <c r="JN69" s="21" t="n">
        <v>122.431</v>
      </c>
      <c r="JO69" s="21" t="n">
        <v>70.887</v>
      </c>
      <c r="JP69" s="21" t="n">
        <v>35.232</v>
      </c>
      <c r="JQ69" s="21" t="n">
        <v>137.207</v>
      </c>
      <c r="JR69" s="21" t="n">
        <v>26.994</v>
      </c>
      <c r="JS69" s="21" t="n">
        <v>80.717</v>
      </c>
      <c r="JT69" s="21" t="n">
        <v>181.015</v>
      </c>
      <c r="JU69" s="21" t="n">
        <v>203.281</v>
      </c>
      <c r="JV69" s="21" t="n">
        <v>155.271</v>
      </c>
      <c r="JW69" s="21" t="n">
        <v>116.451</v>
      </c>
      <c r="JX69" s="21" t="n">
        <v>263.881</v>
      </c>
      <c r="JY69" s="21" t="n">
        <v>199.887</v>
      </c>
      <c r="JZ69" s="21" t="n">
        <v>279.335</v>
      </c>
      <c r="KA69" s="21" t="n">
        <v>114.691</v>
      </c>
      <c r="KB69" s="21" t="n">
        <v>159.697</v>
      </c>
      <c r="KC69" s="21" t="n">
        <v>77.39400000000001</v>
      </c>
      <c r="KD69" s="21" t="n">
        <v>75.65900000000001</v>
      </c>
      <c r="KE69" s="21" t="n">
        <v>56.952</v>
      </c>
      <c r="KF69" s="21" t="n"/>
      <c r="KG69" s="21" t="n">
        <v>23.675</v>
      </c>
      <c r="KH69" s="21" t="n">
        <v>121.448</v>
      </c>
      <c r="KI69" s="21" t="n"/>
      <c r="KJ69" s="21" t="n"/>
      <c r="KK69" s="21" t="n">
        <v>33.195</v>
      </c>
      <c r="KL69" s="21" t="n">
        <v>28.516</v>
      </c>
      <c r="KM69" s="21" t="n">
        <v>36.863</v>
      </c>
      <c r="KN69" s="21" t="n"/>
      <c r="KO69" s="21" t="n">
        <v>110.478</v>
      </c>
      <c r="KP69" s="21" t="n">
        <v>105.398</v>
      </c>
      <c r="KQ69" s="21" t="n">
        <v>172.058</v>
      </c>
      <c r="KR69" s="21" t="n">
        <v>139.393</v>
      </c>
      <c r="KS69" s="21" t="n">
        <v>396.727</v>
      </c>
      <c r="KT69" s="21" t="n">
        <v>188.142</v>
      </c>
      <c r="KU69" s="21" t="n"/>
      <c r="KV69" s="21" t="n">
        <v>324.746</v>
      </c>
      <c r="KW69" s="21" t="n">
        <v>270.573</v>
      </c>
      <c r="KX69" s="21" t="n">
        <v>201.698</v>
      </c>
      <c r="KY69" s="21" t="n">
        <v>98.916</v>
      </c>
      <c r="KZ69" s="21" t="n">
        <v>141.32</v>
      </c>
      <c r="LA69" s="21" t="n">
        <v>271.626</v>
      </c>
      <c r="LB69" s="21" t="n">
        <v>685.181</v>
      </c>
      <c r="LC69" s="21" t="n">
        <v>235.695</v>
      </c>
      <c r="LD69" s="21" t="n">
        <v>780.064</v>
      </c>
      <c r="LE69" s="21" t="n">
        <v>879.662</v>
      </c>
      <c r="LF69" s="21" t="n">
        <v>85.28400000000001</v>
      </c>
      <c r="LG69" s="21" t="n">
        <v>312.538</v>
      </c>
      <c r="LH69" s="21" t="n">
        <v>260.964</v>
      </c>
      <c r="LI69" s="21" t="n">
        <v>75.271</v>
      </c>
      <c r="LJ69" s="21" t="n">
        <v>203.128</v>
      </c>
      <c r="LK69" s="21" t="n">
        <v>320.396</v>
      </c>
      <c r="LL69" s="21" t="n">
        <v>319.563</v>
      </c>
      <c r="LM69" s="21" t="n">
        <v>71.134</v>
      </c>
      <c r="LN69" s="21" t="n">
        <v>93.752</v>
      </c>
      <c r="LO69" s="21" t="n">
        <v>48.374</v>
      </c>
      <c r="LP69" s="21" t="n">
        <v>127.899</v>
      </c>
      <c r="LQ69" s="21" t="n"/>
      <c r="LR69" s="21" t="n"/>
      <c r="LS69" s="21" t="n">
        <v>108.909</v>
      </c>
      <c r="LT69" s="21" t="n">
        <v>38.866</v>
      </c>
      <c r="LU69" s="21" t="n">
        <v>26.309</v>
      </c>
      <c r="LV69" s="21" t="n">
        <v>77.874</v>
      </c>
      <c r="LW69" s="21" t="n">
        <v>182.311</v>
      </c>
      <c r="LX69" s="21" t="n">
        <v>91.63800000000001</v>
      </c>
      <c r="LY69" s="21" t="n">
        <v>462.847</v>
      </c>
      <c r="LZ69" s="21" t="n">
        <v>74.44</v>
      </c>
      <c r="MA69" s="21" t="n">
        <v>485.157</v>
      </c>
      <c r="MB69" s="21" t="n">
        <v>288.66</v>
      </c>
      <c r="MC69" s="21" t="n">
        <v>238.184</v>
      </c>
      <c r="MD69" s="21" t="n">
        <v>160.328</v>
      </c>
      <c r="ME69" s="21" t="n">
        <v>104.238</v>
      </c>
      <c r="MF69" s="21" t="n">
        <v>179.164</v>
      </c>
      <c r="MG69" s="21" t="n">
        <v>285.587</v>
      </c>
      <c r="MH69" s="21" t="n">
        <v>174.255</v>
      </c>
      <c r="MI69" s="21" t="n">
        <v>457.32</v>
      </c>
      <c r="MJ69" s="21" t="n">
        <v>369.22</v>
      </c>
      <c r="MK69" s="21" t="n">
        <v>343.608</v>
      </c>
      <c r="ML69" s="21" t="n">
        <v>180.018</v>
      </c>
      <c r="MM69" s="21" t="n">
        <v>208.307</v>
      </c>
      <c r="MN69" s="21" t="n">
        <v>371.152</v>
      </c>
      <c r="MO69" s="21" t="n">
        <v>175.899</v>
      </c>
      <c r="MP69" s="21" t="n">
        <v>259.103</v>
      </c>
      <c r="MQ69" s="21" t="n">
        <v>71.923</v>
      </c>
      <c r="MR69" s="21" t="n">
        <v>146.107</v>
      </c>
      <c r="MS69" s="21" t="n">
        <v>79.54600000000001</v>
      </c>
      <c r="MT69" s="21" t="n">
        <v>247.304</v>
      </c>
      <c r="MU69" s="21" t="n">
        <v>268.073</v>
      </c>
      <c r="MV69" s="21" t="n">
        <v>258.465</v>
      </c>
      <c r="MW69" s="21" t="n">
        <v>268.756</v>
      </c>
      <c r="MX69" s="21" t="n">
        <v>236.785</v>
      </c>
      <c r="MY69" s="21" t="n">
        <v>228.608</v>
      </c>
      <c r="MZ69" s="21" t="n">
        <v>236.485</v>
      </c>
      <c r="NA69" s="21" t="n">
        <v>241.498</v>
      </c>
      <c r="NB69" s="21" t="n">
        <v>108.334</v>
      </c>
      <c r="NC69" s="21" t="n">
        <v>185.83</v>
      </c>
      <c r="ND69" s="21" t="n">
        <v>150.007</v>
      </c>
      <c r="NE69" s="21" t="n">
        <v>146.405</v>
      </c>
      <c r="NF69" s="21" t="n">
        <v>145.391</v>
      </c>
      <c r="NG69" s="21" t="n">
        <v>145.171</v>
      </c>
      <c r="NH69" s="21" t="n">
        <v>260.645</v>
      </c>
      <c r="NI69" s="21" t="n">
        <v>106.97</v>
      </c>
      <c r="NJ69" s="21" t="n">
        <v>69.24299999999999</v>
      </c>
      <c r="NK69" s="21" t="n">
        <v>114.366</v>
      </c>
      <c r="NL69" s="21" t="n">
        <v>197.362</v>
      </c>
      <c r="NM69" s="21" t="n">
        <v>198.496</v>
      </c>
      <c r="NN69" s="21" t="n">
        <v>92.857</v>
      </c>
      <c r="NO69" s="21" t="n">
        <v>49.239</v>
      </c>
      <c r="NP69" s="21" t="n">
        <v>225.659</v>
      </c>
      <c r="NQ69" s="21" t="n">
        <v>189.47</v>
      </c>
      <c r="NR69" s="21" t="n">
        <v>233.387</v>
      </c>
      <c r="NS69" s="21" t="n">
        <v>185.181</v>
      </c>
      <c r="NT69" s="21" t="n">
        <v>232.069</v>
      </c>
      <c r="NU69" s="21" t="n">
        <v>116.392</v>
      </c>
      <c r="NV69" s="21" t="n">
        <v>128.962</v>
      </c>
      <c r="NW69" s="21" t="n">
        <v>368.939</v>
      </c>
      <c r="NX69" s="21" t="n">
        <v>79.30800000000001</v>
      </c>
      <c r="NY69" s="21" t="n">
        <v>127.05</v>
      </c>
      <c r="NZ69" s="21" t="n">
        <v>341.06</v>
      </c>
      <c r="OA69" s="21" t="n">
        <v>333.141</v>
      </c>
      <c r="OB69" s="21" t="n">
        <v>345.936</v>
      </c>
      <c r="OC69" s="21" t="n">
        <v>315.39</v>
      </c>
      <c r="OD69" s="21" t="n">
        <v>349.819</v>
      </c>
      <c r="OE69" s="21" t="n">
        <v>108.022</v>
      </c>
      <c r="OF69" s="21" t="n">
        <v>311.422</v>
      </c>
      <c r="OG69" s="21" t="n">
        <v>218.326</v>
      </c>
      <c r="OH69" s="21" t="n">
        <v>37.073</v>
      </c>
      <c r="OI69" s="21" t="n">
        <v>133.363</v>
      </c>
      <c r="OJ69" s="21" t="n">
        <v>38.5</v>
      </c>
      <c r="OK69" s="21" t="n">
        <v>12.8</v>
      </c>
    </row>
    <row r="70">
      <c r="A70" s="22" t="n">
        <v>44075</v>
      </c>
      <c r="B70" s="21" t="n">
        <v>260.28</v>
      </c>
      <c r="C70" s="21" t="n">
        <v>779.684</v>
      </c>
      <c r="D70" s="21" t="n">
        <v>268.465</v>
      </c>
      <c r="E70" s="21" t="n">
        <v>269.163</v>
      </c>
      <c r="F70" s="21" t="n">
        <v>251.369</v>
      </c>
      <c r="G70" s="21" t="n">
        <v>284.416</v>
      </c>
      <c r="H70" s="21" t="n">
        <v>232.81</v>
      </c>
      <c r="I70" s="21" t="n">
        <v>240.29</v>
      </c>
      <c r="J70" s="21" t="n">
        <v>226.417</v>
      </c>
      <c r="K70" s="21" t="n">
        <v>243.879</v>
      </c>
      <c r="L70" s="21" t="n">
        <v>166.567</v>
      </c>
      <c r="M70" s="21" t="n">
        <v>314.275</v>
      </c>
      <c r="N70" s="21" t="n">
        <v>192.332</v>
      </c>
      <c r="O70" s="21" t="n">
        <v>350.518</v>
      </c>
      <c r="P70" s="21" t="n">
        <v>373.051</v>
      </c>
      <c r="Q70" s="21" t="n">
        <v>187.342</v>
      </c>
      <c r="R70" s="21" t="n">
        <v>294.172</v>
      </c>
      <c r="S70" s="21" t="n">
        <v>311.898</v>
      </c>
      <c r="T70" s="21" t="n">
        <v>277.278</v>
      </c>
      <c r="U70" s="21" t="n">
        <v>278.25</v>
      </c>
      <c r="V70" s="21" t="n">
        <v>319.747</v>
      </c>
      <c r="W70" s="21" t="n">
        <v>317.965</v>
      </c>
      <c r="X70" s="21" t="n">
        <v>276.116</v>
      </c>
      <c r="Y70" s="21" t="n">
        <v>265.386</v>
      </c>
      <c r="Z70" s="21" t="n">
        <v>270.158</v>
      </c>
      <c r="AA70" s="21" t="n">
        <v>273.73</v>
      </c>
      <c r="AB70" s="21" t="n">
        <v>332.996</v>
      </c>
      <c r="AC70" s="21" t="n">
        <v>291.531</v>
      </c>
      <c r="AD70" s="21" t="n">
        <v>264.233</v>
      </c>
      <c r="AE70" s="21" t="n">
        <v>221.13</v>
      </c>
      <c r="AF70" s="21" t="n">
        <v>269.271</v>
      </c>
      <c r="AG70" s="21" t="n">
        <v>227.639</v>
      </c>
      <c r="AH70" s="21" t="n">
        <v>168.405</v>
      </c>
      <c r="AI70" s="21" t="n">
        <v>314.387</v>
      </c>
      <c r="AJ70" s="21" t="n">
        <v>153.35</v>
      </c>
      <c r="AK70" s="21" t="n">
        <v>221.066</v>
      </c>
      <c r="AL70" s="21" t="n">
        <v>246.517</v>
      </c>
      <c r="AM70" s="21" t="n">
        <v>212.637</v>
      </c>
      <c r="AN70" s="21" t="n">
        <v>133.897</v>
      </c>
      <c r="AO70" s="21" t="n">
        <v>236.441</v>
      </c>
      <c r="AP70" s="21" t="n">
        <v>249.129</v>
      </c>
      <c r="AQ70" s="21" t="n">
        <v>152.646</v>
      </c>
      <c r="AR70" s="21" t="n"/>
      <c r="AS70" s="21" t="n"/>
      <c r="AT70" s="21" t="n">
        <v>247.951</v>
      </c>
      <c r="AU70" s="21" t="n">
        <v>157.875</v>
      </c>
      <c r="AV70" s="21" t="n">
        <v>258.26</v>
      </c>
      <c r="AW70" s="21" t="n">
        <v>236.015</v>
      </c>
      <c r="AX70" s="21" t="n">
        <v>169.052</v>
      </c>
      <c r="AY70" s="21" t="n">
        <v>310.962</v>
      </c>
      <c r="AZ70" s="21" t="n">
        <v>193.679</v>
      </c>
      <c r="BA70" s="21" t="n">
        <v>154.963</v>
      </c>
      <c r="BB70" s="21" t="n">
        <v>225.678</v>
      </c>
      <c r="BC70" s="21" t="n">
        <v>320.406</v>
      </c>
      <c r="BD70" s="21" t="n">
        <v>202.968</v>
      </c>
      <c r="BE70" s="21" t="n">
        <v>230.656</v>
      </c>
      <c r="BF70" s="21" t="n">
        <v>152.025</v>
      </c>
      <c r="BG70" s="21" t="n">
        <v>219.306</v>
      </c>
      <c r="BH70" s="21" t="n">
        <v>156.156</v>
      </c>
      <c r="BI70" s="21" t="n">
        <v>243.109</v>
      </c>
      <c r="BJ70" s="21" t="n">
        <v>231.992</v>
      </c>
      <c r="BK70" s="21" t="n">
        <v>151.59</v>
      </c>
      <c r="BL70" s="21" t="n">
        <v>306.249</v>
      </c>
      <c r="BM70" s="21" t="n">
        <v>352.821</v>
      </c>
      <c r="BN70" s="21" t="n">
        <v>358.661</v>
      </c>
      <c r="BO70" s="21" t="n">
        <v>326.216</v>
      </c>
      <c r="BP70" s="21" t="n">
        <v>190.21</v>
      </c>
      <c r="BQ70" s="21" t="n">
        <v>266.27</v>
      </c>
      <c r="BR70" s="21" t="n">
        <v>530.601</v>
      </c>
      <c r="BS70" s="21" t="n">
        <v>117.217</v>
      </c>
      <c r="BT70" s="21" t="n">
        <v>345.2</v>
      </c>
      <c r="BU70" s="21" t="n">
        <v>376.693</v>
      </c>
      <c r="BV70" s="21" t="n">
        <v>331.71</v>
      </c>
      <c r="BW70" s="21" t="n">
        <v>348.353</v>
      </c>
      <c r="BX70" s="21" t="n">
        <v>343.017</v>
      </c>
      <c r="BY70" s="21" t="n">
        <v>163.999</v>
      </c>
      <c r="BZ70" s="21" t="n">
        <v>171.087</v>
      </c>
      <c r="CA70" s="21" t="n">
        <v>164.972</v>
      </c>
      <c r="CB70" s="21" t="n">
        <v>181.708</v>
      </c>
      <c r="CC70" s="21" t="n">
        <v>152.172</v>
      </c>
      <c r="CD70" s="21" t="n">
        <v>208.282</v>
      </c>
      <c r="CE70" s="21" t="n">
        <v>161.635</v>
      </c>
      <c r="CF70" s="21" t="n">
        <v>193.027</v>
      </c>
      <c r="CG70" s="21" t="n">
        <v>177.848</v>
      </c>
      <c r="CH70" s="21" t="n">
        <v>140.505</v>
      </c>
      <c r="CI70" s="21" t="n">
        <v>180.478</v>
      </c>
      <c r="CJ70" s="21" t="n">
        <v>176.68</v>
      </c>
      <c r="CK70" s="21" t="n">
        <v>126.083</v>
      </c>
      <c r="CL70" s="21" t="n">
        <v>117.795</v>
      </c>
      <c r="CM70" s="21" t="n">
        <v>194.133</v>
      </c>
      <c r="CN70" s="21" t="n">
        <v>202.434</v>
      </c>
      <c r="CO70" s="21" t="n">
        <v>186.482</v>
      </c>
      <c r="CP70" s="21" t="n">
        <v>132.814</v>
      </c>
      <c r="CQ70" s="21" t="n">
        <v>218.358</v>
      </c>
      <c r="CR70" s="21" t="n">
        <v>228.434</v>
      </c>
      <c r="CS70" s="21" t="n">
        <v>201.597</v>
      </c>
      <c r="CT70" s="21" t="n">
        <v>155.991</v>
      </c>
      <c r="CU70" s="21" t="n">
        <v>155.095</v>
      </c>
      <c r="CV70" s="21" t="n">
        <v>231.286</v>
      </c>
      <c r="CW70" s="21" t="n">
        <v>210.666</v>
      </c>
      <c r="CX70" s="21" t="n">
        <v>251.076</v>
      </c>
      <c r="CY70" s="21" t="n">
        <v>312.88</v>
      </c>
      <c r="CZ70" s="21" t="n">
        <v>132.377</v>
      </c>
      <c r="DA70" s="21" t="n">
        <v>158.723</v>
      </c>
      <c r="DB70" s="21" t="n">
        <v>158.114</v>
      </c>
      <c r="DC70" s="21" t="n">
        <v>233.326</v>
      </c>
      <c r="DD70" s="21" t="n">
        <v>259.159</v>
      </c>
      <c r="DE70" s="21" t="n">
        <v>173.392</v>
      </c>
      <c r="DF70" s="21" t="n">
        <v>260.175</v>
      </c>
      <c r="DG70" s="21" t="n">
        <v>251.466</v>
      </c>
      <c r="DH70" s="21" t="n">
        <v>156.469</v>
      </c>
      <c r="DI70" s="21" t="n">
        <v>149.616</v>
      </c>
      <c r="DJ70" s="21" t="n">
        <v>146.328</v>
      </c>
      <c r="DK70" s="21" t="n">
        <v>283.978</v>
      </c>
      <c r="DL70" s="21" t="n">
        <v>173.016</v>
      </c>
      <c r="DM70" s="21" t="n">
        <v>136.586</v>
      </c>
      <c r="DN70" s="21" t="n">
        <v>128.115</v>
      </c>
      <c r="DO70" s="21" t="n">
        <v>297.08</v>
      </c>
      <c r="DP70" s="21" t="n">
        <v>182.638</v>
      </c>
      <c r="DQ70" s="21" t="n">
        <v>193.053</v>
      </c>
      <c r="DR70" s="21" t="n">
        <v>176.453</v>
      </c>
      <c r="DS70" s="21" t="n">
        <v>142.885</v>
      </c>
      <c r="DT70" s="21" t="n">
        <v>170.891</v>
      </c>
      <c r="DU70" s="21" t="n">
        <v>203.052</v>
      </c>
      <c r="DV70" s="21" t="n">
        <v>257.73</v>
      </c>
      <c r="DW70" s="21" t="n">
        <v>209.093</v>
      </c>
      <c r="DX70" s="21" t="n">
        <v>237.124</v>
      </c>
      <c r="DY70" s="21" t="n">
        <v>198.035</v>
      </c>
      <c r="DZ70" s="21" t="n">
        <v>211.356</v>
      </c>
      <c r="EA70" s="21" t="n">
        <v>193.725</v>
      </c>
      <c r="EB70" s="21" t="n">
        <v>172.345</v>
      </c>
      <c r="EC70" s="21" t="n">
        <v>364.456</v>
      </c>
      <c r="ED70" s="21" t="n">
        <v>178.287</v>
      </c>
      <c r="EE70" s="21" t="n">
        <v>196.58</v>
      </c>
      <c r="EF70" s="21" t="n">
        <v>200.81</v>
      </c>
      <c r="EG70" s="21" t="n">
        <v>273.116</v>
      </c>
      <c r="EH70" s="21" t="n">
        <v>327.116</v>
      </c>
      <c r="EI70" s="21" t="n">
        <v>342.91</v>
      </c>
      <c r="EJ70" s="21" t="n">
        <v>148.585</v>
      </c>
      <c r="EK70" s="21" t="n">
        <v>580.883</v>
      </c>
      <c r="EL70" s="21" t="n">
        <v>297.994</v>
      </c>
      <c r="EM70" s="21" t="n">
        <v>336.095</v>
      </c>
      <c r="EN70" s="21" t="n">
        <v>336.121</v>
      </c>
      <c r="EO70" s="21" t="n">
        <v>150.839</v>
      </c>
      <c r="EP70" s="21" t="n">
        <v>246.471</v>
      </c>
      <c r="EQ70" s="21" t="n">
        <v>201.763</v>
      </c>
      <c r="ER70" s="21" t="n">
        <v>224.364</v>
      </c>
      <c r="ES70" s="21" t="n">
        <v>201.474</v>
      </c>
      <c r="ET70" s="21" t="n">
        <v>310.578</v>
      </c>
      <c r="EU70" s="21" t="n">
        <v>207.454</v>
      </c>
      <c r="EV70" s="21" t="n">
        <v>218.395</v>
      </c>
      <c r="EW70" s="21" t="n">
        <v>171.873</v>
      </c>
      <c r="EX70" s="21" t="n">
        <v>254.266</v>
      </c>
      <c r="EY70" s="21" t="n">
        <v>589.992</v>
      </c>
      <c r="EZ70" s="21" t="n">
        <v>501.756</v>
      </c>
      <c r="FA70" s="21" t="n">
        <v>126.965</v>
      </c>
      <c r="FB70" s="21" t="n">
        <v>57.848</v>
      </c>
      <c r="FC70" s="21" t="n">
        <v>111.988</v>
      </c>
      <c r="FD70" s="21" t="n">
        <v>66.16800000000001</v>
      </c>
      <c r="FE70" s="21" t="n">
        <v>44.203</v>
      </c>
      <c r="FF70" s="21" t="n">
        <v>114.96</v>
      </c>
      <c r="FG70" s="21" t="n">
        <v>127.884</v>
      </c>
      <c r="FH70" s="21" t="n">
        <v>89.51300000000001</v>
      </c>
      <c r="FI70" s="21" t="n">
        <v>72.702</v>
      </c>
      <c r="FJ70" s="21" t="n">
        <v>114.514</v>
      </c>
      <c r="FK70" s="21" t="n">
        <v>80.93899999999999</v>
      </c>
      <c r="FL70" s="21" t="n">
        <v>91.372</v>
      </c>
      <c r="FM70" s="21" t="n">
        <v>97.871</v>
      </c>
      <c r="FN70" s="21" t="n">
        <v>68.66800000000001</v>
      </c>
      <c r="FO70" s="21" t="n">
        <v>50.766</v>
      </c>
      <c r="FP70" s="21" t="n">
        <v>37.184</v>
      </c>
      <c r="FQ70" s="21" t="n">
        <v>133.581</v>
      </c>
      <c r="FR70" s="21" t="n">
        <v>47.696</v>
      </c>
      <c r="FS70" s="21" t="n">
        <v>79.914</v>
      </c>
      <c r="FT70" s="21" t="n">
        <v>93.188</v>
      </c>
      <c r="FU70" s="21" t="n">
        <v>102.259</v>
      </c>
      <c r="FV70" s="21" t="n">
        <v>88.899</v>
      </c>
      <c r="FW70" s="21" t="n">
        <v>196.956</v>
      </c>
      <c r="FX70" s="21" t="n">
        <v>126.036</v>
      </c>
      <c r="FY70" s="21" t="n">
        <v>184.698</v>
      </c>
      <c r="FZ70" s="21" t="n">
        <v>121.312</v>
      </c>
      <c r="GA70" s="21" t="n">
        <v>201.743</v>
      </c>
      <c r="GB70" s="21" t="n">
        <v>175.204</v>
      </c>
      <c r="GC70" s="21" t="n">
        <v>215.715</v>
      </c>
      <c r="GD70" s="21" t="n">
        <v>183.109</v>
      </c>
      <c r="GE70" s="21" t="n">
        <v>269.794</v>
      </c>
      <c r="GF70" s="21" t="n">
        <v>119.354</v>
      </c>
      <c r="GG70" s="21" t="n">
        <v>113.745</v>
      </c>
      <c r="GH70" s="21" t="n">
        <v>116.361</v>
      </c>
      <c r="GI70" s="21" t="n">
        <v>92.892</v>
      </c>
      <c r="GJ70" s="21" t="n">
        <v>168.442</v>
      </c>
      <c r="GK70" s="21" t="n">
        <v>70.008</v>
      </c>
      <c r="GL70" s="21" t="n">
        <v>115.273</v>
      </c>
      <c r="GM70" s="21" t="n">
        <v>101.753</v>
      </c>
      <c r="GN70" s="21" t="n">
        <v>101.725</v>
      </c>
      <c r="GO70" s="21" t="n">
        <v>102.166</v>
      </c>
      <c r="GP70" s="21" t="n">
        <v>97.313</v>
      </c>
      <c r="GQ70" s="21" t="n">
        <v>99.40000000000001</v>
      </c>
      <c r="GR70" s="21" t="n">
        <v>71.188</v>
      </c>
      <c r="GS70" s="21" t="n">
        <v>99.65300000000001</v>
      </c>
      <c r="GT70" s="21" t="n">
        <v>98.98699999999999</v>
      </c>
      <c r="GU70" s="21" t="n">
        <v>132.444</v>
      </c>
      <c r="GV70" s="21" t="n">
        <v>138.746</v>
      </c>
      <c r="GW70" s="21" t="n">
        <v>144.554</v>
      </c>
      <c r="GX70" s="21" t="n">
        <v>121.059</v>
      </c>
      <c r="GY70" s="21" t="n">
        <v>113.612</v>
      </c>
      <c r="GZ70" s="21" t="n">
        <v>176.463</v>
      </c>
      <c r="HA70" s="21" t="n">
        <v>144.529</v>
      </c>
      <c r="HB70" s="21" t="n">
        <v>174.396</v>
      </c>
      <c r="HC70" s="21" t="n">
        <v>202.715</v>
      </c>
      <c r="HD70" s="21" t="n">
        <v>200.967</v>
      </c>
      <c r="HE70" s="21" t="n">
        <v>102.575</v>
      </c>
      <c r="HF70" s="21" t="n">
        <v>147.361</v>
      </c>
      <c r="HG70" s="21" t="n">
        <v>102.119</v>
      </c>
      <c r="HH70" s="21" t="n">
        <v>144.084</v>
      </c>
      <c r="HI70" s="21" t="n">
        <v>156.672</v>
      </c>
      <c r="HJ70" s="21" t="n"/>
      <c r="HK70" s="21" t="n">
        <v>152.887</v>
      </c>
      <c r="HL70" s="21" t="n"/>
      <c r="HM70" s="21" t="n">
        <v>134.635</v>
      </c>
      <c r="HN70" s="21" t="n">
        <v>196.756</v>
      </c>
      <c r="HO70" s="21" t="n">
        <v>195.888</v>
      </c>
      <c r="HP70" s="21" t="n">
        <v>190.498</v>
      </c>
      <c r="HQ70" s="21" t="n">
        <v>218.111</v>
      </c>
      <c r="HR70" s="21" t="n">
        <v>217.023</v>
      </c>
      <c r="HS70" s="21" t="n">
        <v>179.631</v>
      </c>
      <c r="HT70" s="21" t="n">
        <v>148.193</v>
      </c>
      <c r="HU70" s="21" t="n">
        <v>125.058</v>
      </c>
      <c r="HV70" s="21" t="n">
        <v>181.013</v>
      </c>
      <c r="HW70" s="21" t="n">
        <v>173.247</v>
      </c>
      <c r="HX70" s="21" t="n">
        <v>390.613</v>
      </c>
      <c r="HY70" s="21" t="n">
        <v>308.198</v>
      </c>
      <c r="HZ70" s="21" t="n">
        <v>328.295</v>
      </c>
      <c r="IA70" s="21" t="n">
        <v>277.982</v>
      </c>
      <c r="IB70" s="21" t="n">
        <v>189.628</v>
      </c>
      <c r="IC70" s="21" t="n">
        <v>540.491</v>
      </c>
      <c r="ID70" s="21" t="n">
        <v>197.065</v>
      </c>
      <c r="IE70" s="21" t="n">
        <v>185.486</v>
      </c>
      <c r="IF70" s="21" t="n">
        <v>215.751</v>
      </c>
      <c r="IG70" s="21" t="n">
        <v>243.917</v>
      </c>
      <c r="IH70" s="21" t="n">
        <v>121.761</v>
      </c>
      <c r="II70" s="21" t="n">
        <v>215.875</v>
      </c>
      <c r="IJ70" s="21" t="n">
        <v>197.424</v>
      </c>
      <c r="IK70" s="21" t="n">
        <v>150.827</v>
      </c>
      <c r="IL70" s="21" t="n">
        <v>167.159</v>
      </c>
      <c r="IM70" s="21" t="n"/>
      <c r="IN70" s="21" t="n">
        <v>58.57</v>
      </c>
      <c r="IO70" s="21" t="n">
        <v>322.913</v>
      </c>
      <c r="IP70" s="21" t="n">
        <v>130.47</v>
      </c>
      <c r="IQ70" s="21" t="n">
        <v>522.528</v>
      </c>
      <c r="IR70" s="21" t="n">
        <v>383.031</v>
      </c>
      <c r="IS70" s="21" t="n">
        <v>125.534</v>
      </c>
      <c r="IT70" s="21" t="n">
        <v>529.966</v>
      </c>
      <c r="IU70" s="21" t="n">
        <v>97.56</v>
      </c>
      <c r="IV70" s="21" t="n">
        <v>98.982</v>
      </c>
      <c r="IW70" s="21" t="n">
        <v>567.525</v>
      </c>
      <c r="IX70" s="21" t="n">
        <v>392.373</v>
      </c>
      <c r="IY70" s="21" t="n">
        <v>392.474</v>
      </c>
      <c r="IZ70" s="21" t="n">
        <v>514.043</v>
      </c>
      <c r="JA70" s="21" t="n">
        <v>194.419</v>
      </c>
      <c r="JB70" s="21" t="n">
        <v>243.578</v>
      </c>
      <c r="JC70" s="21" t="n">
        <v>84.242</v>
      </c>
      <c r="JD70" s="21" t="n">
        <v>355.129</v>
      </c>
      <c r="JE70" s="21" t="n">
        <v>344.165</v>
      </c>
      <c r="JF70" s="21" t="n">
        <v>775.039</v>
      </c>
      <c r="JG70" s="21" t="n">
        <v>243.015</v>
      </c>
      <c r="JH70" s="21" t="n">
        <v>129.868</v>
      </c>
      <c r="JI70" s="21" t="n">
        <v>183.412</v>
      </c>
      <c r="JJ70" s="21" t="n">
        <v>122.188</v>
      </c>
      <c r="JK70" s="21" t="n">
        <v>108.103</v>
      </c>
      <c r="JL70" s="21" t="n">
        <v>132.432</v>
      </c>
      <c r="JM70" s="21" t="n">
        <v>504.178</v>
      </c>
      <c r="JN70" s="21" t="n">
        <v>123.221</v>
      </c>
      <c r="JO70" s="21" t="n">
        <v>71.553</v>
      </c>
      <c r="JP70" s="21" t="n">
        <v>35.839</v>
      </c>
      <c r="JQ70" s="21" t="n">
        <v>137.014</v>
      </c>
      <c r="JR70" s="21" t="n">
        <v>27.063</v>
      </c>
      <c r="JS70" s="21" t="n">
        <v>82.083</v>
      </c>
      <c r="JT70" s="21" t="n">
        <v>180.024</v>
      </c>
      <c r="JU70" s="21" t="n">
        <v>200.833</v>
      </c>
      <c r="JV70" s="21" t="n">
        <v>154.382</v>
      </c>
      <c r="JW70" s="21" t="n">
        <v>114.164</v>
      </c>
      <c r="JX70" s="21" t="n">
        <v>264.422</v>
      </c>
      <c r="JY70" s="21" t="n">
        <v>200.943</v>
      </c>
      <c r="JZ70" s="21" t="n">
        <v>280.032</v>
      </c>
      <c r="KA70" s="21" t="n">
        <v>114.34</v>
      </c>
      <c r="KB70" s="21" t="n">
        <v>157.628</v>
      </c>
      <c r="KC70" s="21" t="n">
        <v>78.32899999999999</v>
      </c>
      <c r="KD70" s="21" t="n">
        <v>75.991</v>
      </c>
      <c r="KE70" s="21" t="n">
        <v>56.49</v>
      </c>
      <c r="KF70" s="21" t="n"/>
      <c r="KG70" s="21" t="n">
        <v>23.392</v>
      </c>
      <c r="KH70" s="21" t="n">
        <v>122.913</v>
      </c>
      <c r="KI70" s="21" t="n">
        <v>124.669</v>
      </c>
      <c r="KJ70" s="21" t="n">
        <v>112.067</v>
      </c>
      <c r="KK70" s="21" t="n">
        <v>33.556</v>
      </c>
      <c r="KL70" s="21" t="n">
        <v>28.954</v>
      </c>
      <c r="KM70" s="21" t="n">
        <v>37.076</v>
      </c>
      <c r="KN70" s="21" t="n"/>
      <c r="KO70" s="21" t="n">
        <v>106.717</v>
      </c>
      <c r="KP70" s="21" t="n">
        <v>106.192</v>
      </c>
      <c r="KQ70" s="21" t="n">
        <v>172.805</v>
      </c>
      <c r="KR70" s="21" t="n">
        <v>143.042</v>
      </c>
      <c r="KS70" s="21" t="n">
        <v>392.607</v>
      </c>
      <c r="KT70" s="21" t="n">
        <v>187.431</v>
      </c>
      <c r="KU70" s="21" t="n"/>
      <c r="KV70" s="21" t="n">
        <v>324.636</v>
      </c>
      <c r="KW70" s="21" t="n">
        <v>266.863</v>
      </c>
      <c r="KX70" s="21" t="n">
        <v>198.627</v>
      </c>
      <c r="KY70" s="21" t="n">
        <v>97.76000000000001</v>
      </c>
      <c r="KZ70" s="21" t="n">
        <v>141.369</v>
      </c>
      <c r="LA70" s="21" t="n">
        <v>272.241</v>
      </c>
      <c r="LB70" s="21" t="n">
        <v>683.136</v>
      </c>
      <c r="LC70" s="21" t="n">
        <v>235.046</v>
      </c>
      <c r="LD70" s="21" t="n">
        <v>781.984</v>
      </c>
      <c r="LE70" s="21" t="n">
        <v>880.234</v>
      </c>
      <c r="LF70" s="21" t="n">
        <v>85.902</v>
      </c>
      <c r="LG70" s="21" t="n">
        <v>313.713</v>
      </c>
      <c r="LH70" s="21" t="n">
        <v>260.297</v>
      </c>
      <c r="LI70" s="21" t="n">
        <v>75.181</v>
      </c>
      <c r="LJ70" s="21" t="n">
        <v>203.214</v>
      </c>
      <c r="LK70" s="21" t="n">
        <v>320.396</v>
      </c>
      <c r="LL70" s="21" t="n">
        <v>321.107</v>
      </c>
      <c r="LM70" s="21" t="n">
        <v>71.04600000000001</v>
      </c>
      <c r="LN70" s="21" t="n">
        <v>93.953</v>
      </c>
      <c r="LO70" s="21" t="n">
        <v>48.45</v>
      </c>
      <c r="LP70" s="21" t="n">
        <v>128.526</v>
      </c>
      <c r="LQ70" s="21" t="n"/>
      <c r="LR70" s="21" t="n"/>
      <c r="LS70" s="21" t="n">
        <v>108.106</v>
      </c>
      <c r="LT70" s="21" t="n">
        <v>37.459</v>
      </c>
      <c r="LU70" s="21" t="n">
        <v>24.823</v>
      </c>
      <c r="LV70" s="21" t="n">
        <v>78.11</v>
      </c>
      <c r="LW70" s="21" t="n">
        <v>181.695</v>
      </c>
      <c r="LX70" s="21" t="n">
        <v>91.45399999999999</v>
      </c>
      <c r="LY70" s="21" t="n">
        <v>463.656</v>
      </c>
      <c r="LZ70" s="21" t="n">
        <v>74.65600000000001</v>
      </c>
      <c r="MA70" s="21" t="n">
        <v>486.877</v>
      </c>
      <c r="MB70" s="21" t="n">
        <v>287.616</v>
      </c>
      <c r="MC70" s="21" t="n">
        <v>238.535</v>
      </c>
      <c r="MD70" s="21" t="n">
        <v>159.878</v>
      </c>
      <c r="ME70" s="21" t="n">
        <v>104.446</v>
      </c>
      <c r="MF70" s="21" t="n">
        <v>177.631</v>
      </c>
      <c r="MG70" s="21" t="n">
        <v>286.396</v>
      </c>
      <c r="MH70" s="21" t="n">
        <v>174.748</v>
      </c>
      <c r="MI70" s="21" t="n">
        <v>458.345</v>
      </c>
      <c r="MJ70" s="21" t="n">
        <v>369.317</v>
      </c>
      <c r="MK70" s="21" t="n">
        <v>344.59</v>
      </c>
      <c r="ML70" s="21" t="n">
        <v>180.839</v>
      </c>
      <c r="MM70" s="21" t="n">
        <v>210.295</v>
      </c>
      <c r="MN70" s="21" t="n">
        <v>371.369</v>
      </c>
      <c r="MO70" s="21" t="n">
        <v>175.575</v>
      </c>
      <c r="MP70" s="21" t="n">
        <v>260.876</v>
      </c>
      <c r="MQ70" s="21" t="n">
        <v>72.5</v>
      </c>
      <c r="MR70" s="21" t="n">
        <v>146.677</v>
      </c>
      <c r="MS70" s="21" t="n">
        <v>79.955</v>
      </c>
      <c r="MT70" s="21" t="n">
        <v>247.719</v>
      </c>
      <c r="MU70" s="21" t="n">
        <v>268.338</v>
      </c>
      <c r="MV70" s="21" t="n">
        <v>258.871</v>
      </c>
      <c r="MW70" s="21" t="n">
        <v>269.054</v>
      </c>
      <c r="MX70" s="21" t="n">
        <v>237.237</v>
      </c>
      <c r="MY70" s="21" t="n">
        <v>229.142</v>
      </c>
      <c r="MZ70" s="21" t="n">
        <v>236.874</v>
      </c>
      <c r="NA70" s="21" t="n">
        <v>241.605</v>
      </c>
      <c r="NB70" s="21" t="n">
        <v>111.998</v>
      </c>
      <c r="NC70" s="21" t="n">
        <v>186.434</v>
      </c>
      <c r="ND70" s="21" t="n">
        <v>150.761</v>
      </c>
      <c r="NE70" s="21" t="n">
        <v>147.175</v>
      </c>
      <c r="NF70" s="21" t="n">
        <v>146.096</v>
      </c>
      <c r="NG70" s="21" t="n">
        <v>145.512</v>
      </c>
      <c r="NH70" s="21" t="n">
        <v>259.544</v>
      </c>
      <c r="NI70" s="21" t="n">
        <v>107.474</v>
      </c>
      <c r="NJ70" s="21" t="n">
        <v>67.553</v>
      </c>
      <c r="NK70" s="21" t="n">
        <v>114.637</v>
      </c>
      <c r="NL70" s="21" t="n">
        <v>198.858</v>
      </c>
      <c r="NM70" s="21" t="n">
        <v>199.741</v>
      </c>
      <c r="NN70" s="21" t="n">
        <v>92.771</v>
      </c>
      <c r="NO70" s="21" t="n">
        <v>47.752</v>
      </c>
      <c r="NP70" s="21" t="n">
        <v>226.258</v>
      </c>
      <c r="NQ70" s="21" t="n">
        <v>190.477</v>
      </c>
      <c r="NR70" s="21" t="n">
        <v>233.256</v>
      </c>
      <c r="NS70" s="21" t="n">
        <v>186.252</v>
      </c>
      <c r="NT70" s="21" t="n">
        <v>231.917</v>
      </c>
      <c r="NU70" s="21" t="n">
        <v>116.499</v>
      </c>
      <c r="NV70" s="21" t="n">
        <v>129.282</v>
      </c>
      <c r="NW70" s="21" t="n">
        <v>369.91</v>
      </c>
      <c r="NX70" s="21" t="n">
        <v>79.05500000000001</v>
      </c>
      <c r="NY70" s="21" t="n">
        <v>127.448</v>
      </c>
      <c r="NZ70" s="21" t="n">
        <v>341.185</v>
      </c>
      <c r="OA70" s="21" t="n">
        <v>333.236</v>
      </c>
      <c r="OB70" s="21" t="n">
        <v>345.88</v>
      </c>
      <c r="OC70" s="21" t="n">
        <v>315.51</v>
      </c>
      <c r="OD70" s="21" t="n">
        <v>349.887</v>
      </c>
      <c r="OE70" s="21" t="n">
        <v>108.903</v>
      </c>
      <c r="OF70" s="21" t="n">
        <v>308.143</v>
      </c>
      <c r="OG70" s="21" t="n">
        <v>219.656</v>
      </c>
      <c r="OH70" s="21" t="n">
        <v>37.212</v>
      </c>
      <c r="OI70" s="21" t="n">
        <v>133.562</v>
      </c>
      <c r="OJ70" s="21" t="n">
        <v>38.4</v>
      </c>
      <c r="OK70" s="21" t="n">
        <v>12.8</v>
      </c>
    </row>
    <row r="71">
      <c r="A71" s="22" t="n">
        <v>44105</v>
      </c>
      <c r="B71" s="21" t="n">
        <v>260.388</v>
      </c>
      <c r="C71" s="21" t="n">
        <v>780.008</v>
      </c>
      <c r="D71" s="21" t="n">
        <v>269.169</v>
      </c>
      <c r="E71" s="21" t="n">
        <v>269.828</v>
      </c>
      <c r="F71" s="21" t="n">
        <v>251.937</v>
      </c>
      <c r="G71" s="21" t="n">
        <v>284.74</v>
      </c>
      <c r="H71" s="21" t="n">
        <v>232.244</v>
      </c>
      <c r="I71" s="21" t="n">
        <v>238.125</v>
      </c>
      <c r="J71" s="21" t="n">
        <v>226.858</v>
      </c>
      <c r="K71" s="21" t="n">
        <v>242.619</v>
      </c>
      <c r="L71" s="21" t="n">
        <v>165.524</v>
      </c>
      <c r="M71" s="21" t="n">
        <v>315.13</v>
      </c>
      <c r="N71" s="21" t="n">
        <v>193.623</v>
      </c>
      <c r="O71" s="21" t="n">
        <v>352.991</v>
      </c>
      <c r="P71" s="21" t="n">
        <v>375.864</v>
      </c>
      <c r="Q71" s="21" t="n">
        <v>186.338</v>
      </c>
      <c r="R71" s="21" t="n">
        <v>297.045</v>
      </c>
      <c r="S71" s="21" t="n">
        <v>309.678</v>
      </c>
      <c r="T71" s="21" t="n">
        <v>282.99</v>
      </c>
      <c r="U71" s="21" t="n">
        <v>277.445</v>
      </c>
      <c r="V71" s="21" t="n">
        <v>324.387</v>
      </c>
      <c r="W71" s="21" t="n">
        <v>314.782</v>
      </c>
      <c r="X71" s="21" t="n">
        <v>275.921</v>
      </c>
      <c r="Y71" s="21" t="n">
        <v>265.796</v>
      </c>
      <c r="Z71" s="21" t="n">
        <v>270.384</v>
      </c>
      <c r="AA71" s="21" t="n">
        <v>274.473</v>
      </c>
      <c r="AB71" s="21" t="n">
        <v>332.092</v>
      </c>
      <c r="AC71" s="21" t="n">
        <v>292.378</v>
      </c>
      <c r="AD71" s="21" t="n">
        <v>256.383</v>
      </c>
      <c r="AE71" s="21" t="n">
        <v>221.458</v>
      </c>
      <c r="AF71" s="21" t="n">
        <v>270.383</v>
      </c>
      <c r="AG71" s="21" t="n">
        <v>229.743</v>
      </c>
      <c r="AH71" s="21" t="n">
        <v>171.027</v>
      </c>
      <c r="AI71" s="21" t="n">
        <v>318.629</v>
      </c>
      <c r="AJ71" s="21" t="n">
        <v>156.162</v>
      </c>
      <c r="AK71" s="21" t="n">
        <v>220.397</v>
      </c>
      <c r="AL71" s="21" t="n">
        <v>245.956</v>
      </c>
      <c r="AM71" s="21" t="n">
        <v>204.053</v>
      </c>
      <c r="AN71" s="21" t="n">
        <v>139.91</v>
      </c>
      <c r="AO71" s="21" t="n">
        <v>237.538</v>
      </c>
      <c r="AP71" s="21" t="n">
        <v>261.006</v>
      </c>
      <c r="AQ71" s="21" t="n">
        <v>152.886</v>
      </c>
      <c r="AR71" s="21" t="n"/>
      <c r="AS71" s="21" t="n"/>
      <c r="AT71" s="21" t="n">
        <v>246.904</v>
      </c>
      <c r="AU71" s="21" t="n">
        <v>157.681</v>
      </c>
      <c r="AV71" s="21" t="n">
        <v>258.094</v>
      </c>
      <c r="AW71" s="21" t="n">
        <v>234.952</v>
      </c>
      <c r="AX71" s="21" t="n">
        <v>166.231</v>
      </c>
      <c r="AY71" s="21" t="n">
        <v>310.959</v>
      </c>
      <c r="AZ71" s="21" t="n">
        <v>193.648</v>
      </c>
      <c r="BA71" s="21" t="n">
        <v>154.985</v>
      </c>
      <c r="BB71" s="21" t="n">
        <v>223.707</v>
      </c>
      <c r="BC71" s="21" t="n">
        <v>323.98</v>
      </c>
      <c r="BD71" s="21" t="n">
        <v>205.772</v>
      </c>
      <c r="BE71" s="21" t="n">
        <v>229.155</v>
      </c>
      <c r="BF71" s="21" t="n">
        <v>149.081</v>
      </c>
      <c r="BG71" s="21" t="n">
        <v>214.942</v>
      </c>
      <c r="BH71" s="21" t="n">
        <v>153.055</v>
      </c>
      <c r="BI71" s="21" t="n">
        <v>243.122</v>
      </c>
      <c r="BJ71" s="21" t="n">
        <v>229.21</v>
      </c>
      <c r="BK71" s="21" t="n">
        <v>151.87</v>
      </c>
      <c r="BL71" s="21" t="n">
        <v>309.071</v>
      </c>
      <c r="BM71" s="21" t="n">
        <v>357.967</v>
      </c>
      <c r="BN71" s="21" t="n">
        <v>364.954</v>
      </c>
      <c r="BO71" s="21" t="n">
        <v>322.554</v>
      </c>
      <c r="BP71" s="21" t="n">
        <v>190.704</v>
      </c>
      <c r="BQ71" s="21" t="n">
        <v>266.773</v>
      </c>
      <c r="BR71" s="21" t="n">
        <v>532.45</v>
      </c>
      <c r="BS71" s="21" t="n">
        <v>121.972</v>
      </c>
      <c r="BT71" s="21" t="n">
        <v>349.157</v>
      </c>
      <c r="BU71" s="21" t="n">
        <v>380.061</v>
      </c>
      <c r="BV71" s="21" t="n">
        <v>355.621</v>
      </c>
      <c r="BW71" s="21" t="n">
        <v>353.223</v>
      </c>
      <c r="BX71" s="21" t="n">
        <v>342.451</v>
      </c>
      <c r="BY71" s="21" t="n">
        <v>162.335</v>
      </c>
      <c r="BZ71" s="21" t="n">
        <v>168.44</v>
      </c>
      <c r="CA71" s="21" t="n">
        <v>163.602</v>
      </c>
      <c r="CB71" s="21" t="n">
        <v>178.994</v>
      </c>
      <c r="CC71" s="21" t="n">
        <v>152.444</v>
      </c>
      <c r="CD71" s="21" t="n">
        <v>208.844</v>
      </c>
      <c r="CE71" s="21" t="n">
        <v>159.257</v>
      </c>
      <c r="CF71" s="21" t="n">
        <v>189.019</v>
      </c>
      <c r="CG71" s="21" t="n">
        <v>178.4</v>
      </c>
      <c r="CH71" s="21" t="n">
        <v>140.997</v>
      </c>
      <c r="CI71" s="21" t="n">
        <v>182.262</v>
      </c>
      <c r="CJ71" s="21" t="n">
        <v>178.122</v>
      </c>
      <c r="CK71" s="21" t="n">
        <v>125.919</v>
      </c>
      <c r="CL71" s="21" t="n">
        <v>118.045</v>
      </c>
      <c r="CM71" s="21" t="n">
        <v>196.077</v>
      </c>
      <c r="CN71" s="21" t="n">
        <v>204.384</v>
      </c>
      <c r="CO71" s="21" t="n">
        <v>189.437</v>
      </c>
      <c r="CP71" s="21" t="n">
        <v>131.207</v>
      </c>
      <c r="CQ71" s="21" t="n">
        <v>218.758</v>
      </c>
      <c r="CR71" s="21" t="n">
        <v>229.884</v>
      </c>
      <c r="CS71" s="21" t="n">
        <v>204.319</v>
      </c>
      <c r="CT71" s="21" t="n">
        <v>156.512</v>
      </c>
      <c r="CU71" s="21" t="n">
        <v>156.87</v>
      </c>
      <c r="CV71" s="21" t="n">
        <v>230.279</v>
      </c>
      <c r="CW71" s="21" t="n">
        <v>209.295</v>
      </c>
      <c r="CX71" s="21" t="n">
        <v>250.06</v>
      </c>
      <c r="CY71" s="21" t="n">
        <v>307.805</v>
      </c>
      <c r="CZ71" s="21" t="n">
        <v>131.286</v>
      </c>
      <c r="DA71" s="21" t="n">
        <v>158.575</v>
      </c>
      <c r="DB71" s="21" t="n">
        <v>163.536</v>
      </c>
      <c r="DC71" s="21" t="n">
        <v>233.772</v>
      </c>
      <c r="DD71" s="21" t="n">
        <v>253.517</v>
      </c>
      <c r="DE71" s="21" t="n">
        <v>173.546</v>
      </c>
      <c r="DF71" s="21" t="n">
        <v>262.196</v>
      </c>
      <c r="DG71" s="21" t="n">
        <v>251.914</v>
      </c>
      <c r="DH71" s="21" t="n">
        <v>156.291</v>
      </c>
      <c r="DI71" s="21" t="n">
        <v>150.225</v>
      </c>
      <c r="DJ71" s="21" t="n">
        <v>147.042</v>
      </c>
      <c r="DK71" s="21" t="n">
        <v>283.399</v>
      </c>
      <c r="DL71" s="21" t="n">
        <v>171.91</v>
      </c>
      <c r="DM71" s="21" t="n">
        <v>137.091</v>
      </c>
      <c r="DN71" s="21" t="n">
        <v>129.262</v>
      </c>
      <c r="DO71" s="21" t="n">
        <v>297.893</v>
      </c>
      <c r="DP71" s="21" t="n">
        <v>183.177</v>
      </c>
      <c r="DQ71" s="21" t="n">
        <v>193.708</v>
      </c>
      <c r="DR71" s="21" t="n">
        <v>176.445</v>
      </c>
      <c r="DS71" s="21" t="n">
        <v>142.994</v>
      </c>
      <c r="DT71" s="21" t="n">
        <v>170.598</v>
      </c>
      <c r="DU71" s="21" t="n">
        <v>201.58</v>
      </c>
      <c r="DV71" s="21" t="n">
        <v>258.936</v>
      </c>
      <c r="DW71" s="21" t="n">
        <v>210.418</v>
      </c>
      <c r="DX71" s="21" t="n">
        <v>238.502</v>
      </c>
      <c r="DY71" s="21" t="n">
        <v>197.594</v>
      </c>
      <c r="DZ71" s="21" t="n">
        <v>211.596</v>
      </c>
      <c r="EA71" s="21" t="n">
        <v>193.517</v>
      </c>
      <c r="EB71" s="21" t="n">
        <v>174.045</v>
      </c>
      <c r="EC71" s="21" t="n">
        <v>365.392</v>
      </c>
      <c r="ED71" s="21" t="n">
        <v>177.245</v>
      </c>
      <c r="EE71" s="21" t="n">
        <v>197.211</v>
      </c>
      <c r="EF71" s="21" t="n">
        <v>203.421</v>
      </c>
      <c r="EG71" s="21" t="n">
        <v>273.014</v>
      </c>
      <c r="EH71" s="21" t="n">
        <v>327.273</v>
      </c>
      <c r="EI71" s="21" t="n">
        <v>343.615</v>
      </c>
      <c r="EJ71" s="21" t="n">
        <v>138.3</v>
      </c>
      <c r="EK71" s="21" t="n">
        <v>582.477</v>
      </c>
      <c r="EL71" s="21" t="n">
        <v>274.203</v>
      </c>
      <c r="EM71" s="21" t="n">
        <v>336.965</v>
      </c>
      <c r="EN71" s="21" t="n">
        <v>336.993</v>
      </c>
      <c r="EO71" s="21" t="n">
        <v>151.186</v>
      </c>
      <c r="EP71" s="21" t="n">
        <v>244.978</v>
      </c>
      <c r="EQ71" s="21" t="n">
        <v>199.995</v>
      </c>
      <c r="ER71" s="21" t="n">
        <v>227.348</v>
      </c>
      <c r="ES71" s="21" t="n">
        <v>202.805</v>
      </c>
      <c r="ET71" s="21" t="n">
        <v>317.369</v>
      </c>
      <c r="EU71" s="21" t="n">
        <v>205.445</v>
      </c>
      <c r="EV71" s="21" t="n">
        <v>215.57</v>
      </c>
      <c r="EW71" s="21" t="n">
        <v>172.255</v>
      </c>
      <c r="EX71" s="21" t="n">
        <v>254.781</v>
      </c>
      <c r="EY71" s="21" t="n">
        <v>590.957</v>
      </c>
      <c r="EZ71" s="21" t="n">
        <v>503.315</v>
      </c>
      <c r="FA71" s="21" t="n">
        <v>126.821</v>
      </c>
      <c r="FB71" s="21" t="n">
        <v>56.977</v>
      </c>
      <c r="FC71" s="21" t="n">
        <v>112.178</v>
      </c>
      <c r="FD71" s="21" t="n">
        <v>66.408</v>
      </c>
      <c r="FE71" s="21" t="n">
        <v>42.96</v>
      </c>
      <c r="FF71" s="21" t="n">
        <v>114.508</v>
      </c>
      <c r="FG71" s="21" t="n">
        <v>127.332</v>
      </c>
      <c r="FH71" s="21" t="n">
        <v>89.175</v>
      </c>
      <c r="FI71" s="21" t="n">
        <v>72.47499999999999</v>
      </c>
      <c r="FJ71" s="21" t="n">
        <v>113.462</v>
      </c>
      <c r="FK71" s="21" t="n">
        <v>81.175</v>
      </c>
      <c r="FL71" s="21" t="n">
        <v>93.575</v>
      </c>
      <c r="FM71" s="21" t="n">
        <v>99.316</v>
      </c>
      <c r="FN71" s="21" t="n">
        <v>68.06399999999999</v>
      </c>
      <c r="FO71" s="21" t="n">
        <v>50.188</v>
      </c>
      <c r="FP71" s="21" t="n">
        <v>36.657</v>
      </c>
      <c r="FQ71" s="21" t="n">
        <v>134.676</v>
      </c>
      <c r="FR71" s="21" t="n">
        <v>45.748</v>
      </c>
      <c r="FS71" s="21" t="n">
        <v>79.70399999999999</v>
      </c>
      <c r="FT71" s="21" t="n">
        <v>93.251</v>
      </c>
      <c r="FU71" s="21" t="n">
        <v>102.396</v>
      </c>
      <c r="FV71" s="21" t="n">
        <v>88.932</v>
      </c>
      <c r="FW71" s="21" t="n">
        <v>198.021</v>
      </c>
      <c r="FX71" s="21" t="n">
        <v>126.666</v>
      </c>
      <c r="FY71" s="21" t="n">
        <v>184.48</v>
      </c>
      <c r="FZ71" s="21" t="n">
        <v>122.582</v>
      </c>
      <c r="GA71" s="21" t="n">
        <v>202.375</v>
      </c>
      <c r="GB71" s="21" t="n">
        <v>177.23</v>
      </c>
      <c r="GC71" s="21" t="n"/>
      <c r="GD71" s="21" t="n">
        <v>181.44</v>
      </c>
      <c r="GE71" s="21" t="n"/>
      <c r="GF71" s="21" t="n">
        <v>119.172</v>
      </c>
      <c r="GG71" s="21" t="n">
        <v>112.383</v>
      </c>
      <c r="GH71" s="21" t="n">
        <v>114.356</v>
      </c>
      <c r="GI71" s="21" t="n">
        <v>89.434</v>
      </c>
      <c r="GJ71" s="21" t="n">
        <v>164.311</v>
      </c>
      <c r="GK71" s="21" t="n">
        <v>69.663</v>
      </c>
      <c r="GL71" s="21" t="n">
        <v>114.354</v>
      </c>
      <c r="GM71" s="21" t="n">
        <v>102.738</v>
      </c>
      <c r="GN71" s="21" t="n">
        <v>101.854</v>
      </c>
      <c r="GO71" s="21" t="n">
        <v>102.623</v>
      </c>
      <c r="GP71" s="21" t="n">
        <v>99.71299999999999</v>
      </c>
      <c r="GQ71" s="21" t="n">
        <v>100.72</v>
      </c>
      <c r="GR71" s="21" t="n">
        <v>71.298</v>
      </c>
      <c r="GS71" s="21" t="n">
        <v>99.818</v>
      </c>
      <c r="GT71" s="21" t="n">
        <v>97.652</v>
      </c>
      <c r="GU71" s="21" t="n">
        <v>134.374</v>
      </c>
      <c r="GV71" s="21" t="n">
        <v>139.258</v>
      </c>
      <c r="GW71" s="21" t="n">
        <v>150.983</v>
      </c>
      <c r="GX71" s="21" t="n">
        <v>122.262</v>
      </c>
      <c r="GY71" s="21" t="n">
        <v>109.933</v>
      </c>
      <c r="GZ71" s="21" t="n">
        <v>173.682</v>
      </c>
      <c r="HA71" s="21" t="n">
        <v>144.976</v>
      </c>
      <c r="HB71" s="21" t="n">
        <v>170.613</v>
      </c>
      <c r="HC71" s="21" t="n">
        <v>203.086</v>
      </c>
      <c r="HD71" s="21" t="n">
        <v>200.711</v>
      </c>
      <c r="HE71" s="21" t="n">
        <v>103.35</v>
      </c>
      <c r="HF71" s="21" t="n">
        <v>147.956</v>
      </c>
      <c r="HG71" s="21" t="n">
        <v>102.535</v>
      </c>
      <c r="HH71" s="21" t="n">
        <v>144.317</v>
      </c>
      <c r="HI71" s="21" t="n">
        <v>157.645</v>
      </c>
      <c r="HJ71" s="21" t="n"/>
      <c r="HK71" s="21" t="n">
        <v>154.381</v>
      </c>
      <c r="HL71" s="21" t="n"/>
      <c r="HM71" s="21" t="n">
        <v>142.362</v>
      </c>
      <c r="HN71" s="21" t="n">
        <v>193.647</v>
      </c>
      <c r="HO71" s="21" t="n">
        <v>192.792</v>
      </c>
      <c r="HP71" s="21" t="n">
        <v>187.358</v>
      </c>
      <c r="HQ71" s="21" t="n">
        <v>215.541</v>
      </c>
      <c r="HR71" s="21" t="n">
        <v>214.531</v>
      </c>
      <c r="HS71" s="21" t="n">
        <v>176.848</v>
      </c>
      <c r="HT71" s="21" t="n">
        <v>147.723</v>
      </c>
      <c r="HU71" s="21" t="n">
        <v>125.43</v>
      </c>
      <c r="HV71" s="21" t="n">
        <v>178.541</v>
      </c>
      <c r="HW71" s="21" t="n">
        <v>169.711</v>
      </c>
      <c r="HX71" s="21" t="n">
        <v>382.656</v>
      </c>
      <c r="HY71" s="21" t="n">
        <v>308.569</v>
      </c>
      <c r="HZ71" s="21" t="n">
        <v>328.68</v>
      </c>
      <c r="IA71" s="21" t="n">
        <v>278.545</v>
      </c>
      <c r="IB71" s="21" t="n">
        <v>189.548</v>
      </c>
      <c r="IC71" s="21" t="n">
        <v>531.217</v>
      </c>
      <c r="ID71" s="21" t="n">
        <v>196.587</v>
      </c>
      <c r="IE71" s="21" t="n">
        <v>185.496</v>
      </c>
      <c r="IF71" s="21" t="n">
        <v>214.627</v>
      </c>
      <c r="IG71" s="21" t="n">
        <v>242.389</v>
      </c>
      <c r="IH71" s="21" t="n">
        <v>121.755</v>
      </c>
      <c r="II71" s="21" t="n">
        <v>224.953</v>
      </c>
      <c r="IJ71" s="21" t="n">
        <v>215.993</v>
      </c>
      <c r="IK71" s="21" t="n">
        <v>151.258</v>
      </c>
      <c r="IL71" s="21" t="n">
        <v>164.132</v>
      </c>
      <c r="IM71" s="21" t="n"/>
      <c r="IN71" s="21" t="n">
        <v>59.407</v>
      </c>
      <c r="IO71" s="21" t="n">
        <v>309.809</v>
      </c>
      <c r="IP71" s="21" t="n">
        <v>118.367</v>
      </c>
      <c r="IQ71" s="21" t="n">
        <v>520.725</v>
      </c>
      <c r="IR71" s="21" t="n">
        <v>380.371</v>
      </c>
      <c r="IS71" s="21" t="n">
        <v>124.703</v>
      </c>
      <c r="IT71" s="21" t="n">
        <v>527.649</v>
      </c>
      <c r="IU71" s="21" t="n">
        <v>96.251</v>
      </c>
      <c r="IV71" s="21" t="n">
        <v>97.59099999999999</v>
      </c>
      <c r="IW71" s="21" t="n">
        <v>565.999</v>
      </c>
      <c r="IX71" s="21" t="n">
        <v>392.273</v>
      </c>
      <c r="IY71" s="21" t="n">
        <v>392.099</v>
      </c>
      <c r="IZ71" s="21" t="n">
        <v>514.706</v>
      </c>
      <c r="JA71" s="21" t="n">
        <v>194.162</v>
      </c>
      <c r="JB71" s="21" t="n">
        <v>243.578</v>
      </c>
      <c r="JC71" s="21" t="n">
        <v>84.13</v>
      </c>
      <c r="JD71" s="21" t="n">
        <v>354.289</v>
      </c>
      <c r="JE71" s="21" t="n">
        <v>343.19</v>
      </c>
      <c r="JF71" s="21" t="n">
        <v>773.631</v>
      </c>
      <c r="JG71" s="21" t="n">
        <v>243.444</v>
      </c>
      <c r="JH71" s="21" t="n">
        <v>133.222</v>
      </c>
      <c r="JI71" s="21" t="n">
        <v>181.128</v>
      </c>
      <c r="JJ71" s="21" t="n">
        <v>122.581</v>
      </c>
      <c r="JK71" s="21" t="n">
        <v>108.183</v>
      </c>
      <c r="JL71" s="21" t="n">
        <v>131.449</v>
      </c>
      <c r="JM71" s="21" t="n">
        <v>505.518</v>
      </c>
      <c r="JN71" s="21" t="n">
        <v>124.151</v>
      </c>
      <c r="JO71" s="21" t="n">
        <v>69.794</v>
      </c>
      <c r="JP71" s="21" t="n">
        <v>34.375</v>
      </c>
      <c r="JQ71" s="21" t="n">
        <v>137.078</v>
      </c>
      <c r="JR71" s="21" t="n">
        <v>27.347</v>
      </c>
      <c r="JS71" s="21" t="n">
        <v>81.271</v>
      </c>
      <c r="JT71" s="21" t="n">
        <v>179.618</v>
      </c>
      <c r="JU71" s="21" t="n">
        <v>199.186</v>
      </c>
      <c r="JV71" s="21" t="n">
        <v>153.825</v>
      </c>
      <c r="JW71" s="21" t="n">
        <v>112.545</v>
      </c>
      <c r="JX71" s="21" t="n">
        <v>265.6</v>
      </c>
      <c r="JY71" s="21" t="n">
        <v>202.509</v>
      </c>
      <c r="JZ71" s="21" t="n">
        <v>280.975</v>
      </c>
      <c r="KA71" s="21" t="n">
        <v>114.921</v>
      </c>
      <c r="KB71" s="21" t="n">
        <v>160.308</v>
      </c>
      <c r="KC71" s="21" t="n">
        <v>77.232</v>
      </c>
      <c r="KD71" s="21" t="n">
        <v>76.33199999999999</v>
      </c>
      <c r="KE71" s="21" t="n">
        <v>56.541</v>
      </c>
      <c r="KF71" s="21" t="n"/>
      <c r="KG71" s="21" t="n">
        <v>23.384</v>
      </c>
      <c r="KH71" s="21" t="n">
        <v>123.711</v>
      </c>
      <c r="KI71" s="21" t="n"/>
      <c r="KJ71" s="21" t="n">
        <v>115.66</v>
      </c>
      <c r="KK71" s="21" t="n">
        <v>33.49</v>
      </c>
      <c r="KL71" s="21" t="n">
        <v>29.002</v>
      </c>
      <c r="KM71" s="21" t="n">
        <v>37.513</v>
      </c>
      <c r="KN71" s="21" t="n"/>
      <c r="KO71" s="21" t="n">
        <v>101.861</v>
      </c>
      <c r="KP71" s="21" t="n">
        <v>106.023</v>
      </c>
      <c r="KQ71" s="21" t="n">
        <v>174.274</v>
      </c>
      <c r="KR71" s="21" t="n">
        <v>144.308</v>
      </c>
      <c r="KS71" s="21" t="n">
        <v>395.011</v>
      </c>
      <c r="KT71" s="21" t="n">
        <v>187.632</v>
      </c>
      <c r="KU71" s="21" t="n"/>
      <c r="KV71" s="21" t="n">
        <v>327.303</v>
      </c>
      <c r="KW71" s="21" t="n">
        <v>269.735</v>
      </c>
      <c r="KX71" s="21" t="n">
        <v>199.21</v>
      </c>
      <c r="KY71" s="21" t="n">
        <v>99.908</v>
      </c>
      <c r="KZ71" s="21" t="n">
        <v>141.469</v>
      </c>
      <c r="LA71" s="21" t="n">
        <v>272.465</v>
      </c>
      <c r="LB71" s="21" t="n">
        <v>683.131</v>
      </c>
      <c r="LC71" s="21" t="n">
        <v>234.783</v>
      </c>
      <c r="LD71" s="21" t="n">
        <v>782.652</v>
      </c>
      <c r="LE71" s="21" t="n">
        <v>881.128</v>
      </c>
      <c r="LF71" s="21" t="n">
        <v>85.911</v>
      </c>
      <c r="LG71" s="21" t="n">
        <v>313.928</v>
      </c>
      <c r="LH71" s="21" t="n">
        <v>261.906</v>
      </c>
      <c r="LI71" s="21" t="n">
        <v>75.22799999999999</v>
      </c>
      <c r="LJ71" s="21" t="n">
        <v>203.092</v>
      </c>
      <c r="LK71" s="21" t="n">
        <v>320.396</v>
      </c>
      <c r="LL71" s="21" t="n">
        <v>318.912</v>
      </c>
      <c r="LM71" s="21" t="n">
        <v>71.093</v>
      </c>
      <c r="LN71" s="21" t="n">
        <v>94.212</v>
      </c>
      <c r="LO71" s="21" t="n">
        <v>48.427</v>
      </c>
      <c r="LP71" s="21" t="n">
        <v>130.917</v>
      </c>
      <c r="LQ71" s="21" t="n"/>
      <c r="LR71" s="21" t="n"/>
      <c r="LS71" s="21" t="n">
        <v>107.762</v>
      </c>
      <c r="LT71" s="21" t="n">
        <v>37.201</v>
      </c>
      <c r="LU71" s="21" t="n">
        <v>25.002</v>
      </c>
      <c r="LV71" s="21" t="n">
        <v>78.039</v>
      </c>
      <c r="LW71" s="21" t="n">
        <v>178.736</v>
      </c>
      <c r="LX71" s="21" t="n">
        <v>89.345</v>
      </c>
      <c r="LY71" s="21" t="n">
        <v>463.919</v>
      </c>
      <c r="LZ71" s="21" t="n">
        <v>74.792</v>
      </c>
      <c r="MA71" s="21" t="n">
        <v>487.648</v>
      </c>
      <c r="MB71" s="21" t="n">
        <v>288.945</v>
      </c>
      <c r="MC71" s="21" t="n">
        <v>238.6</v>
      </c>
      <c r="MD71" s="21" t="n">
        <v>159.704</v>
      </c>
      <c r="ME71" s="21" t="n">
        <v>103.995</v>
      </c>
      <c r="MF71" s="21" t="n">
        <v>178.135</v>
      </c>
      <c r="MG71" s="21" t="n">
        <v>287.565</v>
      </c>
      <c r="MH71" s="21" t="n">
        <v>175.462</v>
      </c>
      <c r="MI71" s="21" t="n">
        <v>456.58</v>
      </c>
      <c r="MJ71" s="21" t="n">
        <v>369.071</v>
      </c>
      <c r="MK71" s="21" t="n">
        <v>344.749</v>
      </c>
      <c r="ML71" s="21" t="n">
        <v>180.578</v>
      </c>
      <c r="MM71" s="21" t="n">
        <v>209.782</v>
      </c>
      <c r="MN71" s="21" t="n">
        <v>366.858</v>
      </c>
      <c r="MO71" s="21" t="n">
        <v>169.913</v>
      </c>
      <c r="MP71" s="21" t="n">
        <v>260.786</v>
      </c>
      <c r="MQ71" s="21" t="n">
        <v>73.425</v>
      </c>
      <c r="MR71" s="21" t="n">
        <v>153.968</v>
      </c>
      <c r="MS71" s="21" t="n">
        <v>80.3</v>
      </c>
      <c r="MT71" s="21" t="n">
        <v>247.916</v>
      </c>
      <c r="MU71" s="21" t="n">
        <v>268.671</v>
      </c>
      <c r="MV71" s="21" t="n">
        <v>258.891</v>
      </c>
      <c r="MW71" s="21" t="n">
        <v>269.328</v>
      </c>
      <c r="MX71" s="21" t="n">
        <v>237.328</v>
      </c>
      <c r="MY71" s="21" t="n">
        <v>229.102</v>
      </c>
      <c r="MZ71" s="21" t="n">
        <v>237.207</v>
      </c>
      <c r="NA71" s="21" t="n">
        <v>241.816</v>
      </c>
      <c r="NB71" s="21" t="n">
        <v>111.282</v>
      </c>
      <c r="NC71" s="21" t="n">
        <v>186.502</v>
      </c>
      <c r="ND71" s="21" t="n">
        <v>150.625</v>
      </c>
      <c r="NE71" s="21" t="n">
        <v>147.003</v>
      </c>
      <c r="NF71" s="21" t="n">
        <v>146.261</v>
      </c>
      <c r="NG71" s="21" t="n">
        <v>145.476</v>
      </c>
      <c r="NH71" s="21" t="n">
        <v>260.122</v>
      </c>
      <c r="NI71" s="21" t="n">
        <v>107.819</v>
      </c>
      <c r="NJ71" s="21" t="n">
        <v>67.113</v>
      </c>
      <c r="NK71" s="21" t="n">
        <v>114.784</v>
      </c>
      <c r="NL71" s="21" t="n">
        <v>196.458</v>
      </c>
      <c r="NM71" s="21" t="n">
        <v>196.835</v>
      </c>
      <c r="NN71" s="21" t="n">
        <v>92.574</v>
      </c>
      <c r="NO71" s="21" t="n">
        <v>47.355</v>
      </c>
      <c r="NP71" s="21" t="n">
        <v>226.074</v>
      </c>
      <c r="NQ71" s="21" t="n">
        <v>189.614</v>
      </c>
      <c r="NR71" s="21" t="n">
        <v>231.996</v>
      </c>
      <c r="NS71" s="21" t="n">
        <v>185.252</v>
      </c>
      <c r="NT71" s="21" t="n">
        <v>230.385</v>
      </c>
      <c r="NU71" s="21" t="n">
        <v>116.719</v>
      </c>
      <c r="NV71" s="21" t="n">
        <v>129.205</v>
      </c>
      <c r="NW71" s="21" t="n">
        <v>370.766</v>
      </c>
      <c r="NX71" s="21" t="n">
        <v>78.995</v>
      </c>
      <c r="NY71" s="21" t="n">
        <v>128.127</v>
      </c>
      <c r="NZ71" s="21" t="n">
        <v>341.341</v>
      </c>
      <c r="OA71" s="21" t="n">
        <v>333.385</v>
      </c>
      <c r="OB71" s="21" t="n">
        <v>346.22</v>
      </c>
      <c r="OC71" s="21" t="n">
        <v>315.782</v>
      </c>
      <c r="OD71" s="21" t="n">
        <v>350.038</v>
      </c>
      <c r="OE71" s="21" t="n">
        <v>109.567</v>
      </c>
      <c r="OF71" s="21" t="n">
        <v>309.965</v>
      </c>
      <c r="OG71" s="21" t="n">
        <v>220.322</v>
      </c>
      <c r="OH71" s="21" t="n">
        <v>37.218</v>
      </c>
      <c r="OI71" s="21" t="n">
        <v>133.678</v>
      </c>
      <c r="OJ71" s="21" t="n">
        <v>38.4</v>
      </c>
      <c r="OK71" s="21" t="n">
        <v>12.8</v>
      </c>
    </row>
    <row r="72">
      <c r="A72" s="22" t="n">
        <v>44136</v>
      </c>
      <c r="B72" s="21" t="n">
        <v>260.229</v>
      </c>
      <c r="C72" s="21" t="n">
        <v>779.5309999999999</v>
      </c>
      <c r="D72" s="21" t="n">
        <v>268.539</v>
      </c>
      <c r="E72" s="21" t="n">
        <v>269.069</v>
      </c>
      <c r="F72" s="21" t="n">
        <v>250.407</v>
      </c>
      <c r="G72" s="21" t="n">
        <v>282.782</v>
      </c>
      <c r="H72" s="21" t="n">
        <v>230.994</v>
      </c>
      <c r="I72" s="21" t="n">
        <v>232.226</v>
      </c>
      <c r="J72" s="21" t="n">
        <v>225.593</v>
      </c>
      <c r="K72" s="21" t="n">
        <v>242.967</v>
      </c>
      <c r="L72" s="21" t="n">
        <v>167.444</v>
      </c>
      <c r="M72" s="21" t="n">
        <v>312.756</v>
      </c>
      <c r="N72" s="21" t="n">
        <v>192.66</v>
      </c>
      <c r="O72" s="21" t="n">
        <v>350.717</v>
      </c>
      <c r="P72" s="21" t="n">
        <v>373.592</v>
      </c>
      <c r="Q72" s="21" t="n">
        <v>185.199</v>
      </c>
      <c r="R72" s="21" t="n">
        <v>295.483</v>
      </c>
      <c r="S72" s="21" t="n">
        <v>310.119</v>
      </c>
      <c r="T72" s="21" t="n">
        <v>278.205</v>
      </c>
      <c r="U72" s="21" t="n">
        <v>273.998</v>
      </c>
      <c r="V72" s="21" t="n">
        <v>327.615</v>
      </c>
      <c r="W72" s="21" t="n">
        <v>312.475</v>
      </c>
      <c r="X72" s="21" t="n">
        <v>266.578</v>
      </c>
      <c r="Y72" s="21" t="n">
        <v>265.307</v>
      </c>
      <c r="Z72" s="21" t="n">
        <v>269.635</v>
      </c>
      <c r="AA72" s="21" t="n">
        <v>272.939</v>
      </c>
      <c r="AB72" s="21" t="n">
        <v>331.779</v>
      </c>
      <c r="AC72" s="21" t="n">
        <v>293.417</v>
      </c>
      <c r="AD72" s="21" t="n">
        <v>257.939</v>
      </c>
      <c r="AE72" s="21" t="n">
        <v>219.335</v>
      </c>
      <c r="AF72" s="21" t="n">
        <v>271.841</v>
      </c>
      <c r="AG72" s="21" t="n">
        <v>225.981</v>
      </c>
      <c r="AH72" s="21" t="n">
        <v>167.902</v>
      </c>
      <c r="AI72" s="21" t="n">
        <v>318.588</v>
      </c>
      <c r="AJ72" s="21" t="n">
        <v>149.323</v>
      </c>
      <c r="AK72" s="21" t="n">
        <v>209.243</v>
      </c>
      <c r="AL72" s="21" t="n">
        <v>233.667</v>
      </c>
      <c r="AM72" s="21" t="n">
        <v>210.221</v>
      </c>
      <c r="AN72" s="21" t="n">
        <v>137.979</v>
      </c>
      <c r="AO72" s="21" t="n">
        <v>237.596</v>
      </c>
      <c r="AP72" s="21" t="n">
        <v>250.787</v>
      </c>
      <c r="AQ72" s="21" t="n">
        <v>152.397</v>
      </c>
      <c r="AR72" s="21" t="n"/>
      <c r="AS72" s="21" t="n"/>
      <c r="AT72" s="21" t="n">
        <v>246.865</v>
      </c>
      <c r="AU72" s="21" t="n">
        <v>159.378</v>
      </c>
      <c r="AV72" s="21" t="n">
        <v>261.893</v>
      </c>
      <c r="AW72" s="21" t="n">
        <v>237.487</v>
      </c>
      <c r="AX72" s="21" t="n">
        <v>158.531</v>
      </c>
      <c r="AY72" s="21" t="n">
        <v>312.401</v>
      </c>
      <c r="AZ72" s="21" t="n">
        <v>194.12</v>
      </c>
      <c r="BA72" s="21" t="n">
        <v>156.046</v>
      </c>
      <c r="BB72" s="21" t="n">
        <v>227.387</v>
      </c>
      <c r="BC72" s="21" t="n">
        <v>324.164</v>
      </c>
      <c r="BD72" s="21" t="n">
        <v>208.656</v>
      </c>
      <c r="BE72" s="21" t="n">
        <v>229.503</v>
      </c>
      <c r="BF72" s="21" t="n">
        <v>150.175</v>
      </c>
      <c r="BG72" s="21" t="n">
        <v>216.523</v>
      </c>
      <c r="BH72" s="21" t="n">
        <v>153.578</v>
      </c>
      <c r="BI72" s="21" t="n">
        <v>242.399</v>
      </c>
      <c r="BJ72" s="21" t="n">
        <v>231.552</v>
      </c>
      <c r="BK72" s="21" t="n">
        <v>151.34</v>
      </c>
      <c r="BL72" s="21" t="n">
        <v>306.311</v>
      </c>
      <c r="BM72" s="21" t="n">
        <v>354.721</v>
      </c>
      <c r="BN72" s="21" t="n">
        <v>361.413</v>
      </c>
      <c r="BO72" s="21" t="n">
        <v>314.608</v>
      </c>
      <c r="BP72" s="21" t="n">
        <v>191.855</v>
      </c>
      <c r="BQ72" s="21" t="n">
        <v>262.747</v>
      </c>
      <c r="BR72" s="21" t="n">
        <v>522.272</v>
      </c>
      <c r="BS72" s="21" t="n">
        <v>121.144</v>
      </c>
      <c r="BT72" s="21" t="n">
        <v>346.225</v>
      </c>
      <c r="BU72" s="21" t="n">
        <v>351.417</v>
      </c>
      <c r="BV72" s="21" t="n">
        <v>366.381</v>
      </c>
      <c r="BW72" s="21" t="n">
        <v>351.226</v>
      </c>
      <c r="BX72" s="21" t="n">
        <v>342.77</v>
      </c>
      <c r="BY72" s="21" t="n">
        <v>160.97</v>
      </c>
      <c r="BZ72" s="21" t="n">
        <v>168.186</v>
      </c>
      <c r="CA72" s="21" t="n">
        <v>163.957</v>
      </c>
      <c r="CB72" s="21" t="n">
        <v>178.236</v>
      </c>
      <c r="CC72" s="21" t="n">
        <v>150.12</v>
      </c>
      <c r="CD72" s="21" t="n">
        <v>205.802</v>
      </c>
      <c r="CE72" s="21" t="n">
        <v>156.596</v>
      </c>
      <c r="CF72" s="21" t="n">
        <v>187.216</v>
      </c>
      <c r="CG72" s="21" t="n">
        <v>175.869</v>
      </c>
      <c r="CH72" s="21" t="n">
        <v>139.034</v>
      </c>
      <c r="CI72" s="21" t="n">
        <v>176.557</v>
      </c>
      <c r="CJ72" s="21" t="n">
        <v>176.461</v>
      </c>
      <c r="CK72" s="21" t="n">
        <v>125.795</v>
      </c>
      <c r="CL72" s="21" t="n">
        <v>116.288</v>
      </c>
      <c r="CM72" s="21" t="n">
        <v>190.378</v>
      </c>
      <c r="CN72" s="21" t="n">
        <v>199.051</v>
      </c>
      <c r="CO72" s="21" t="n">
        <v>179.647</v>
      </c>
      <c r="CP72" s="21" t="n">
        <v>132.682</v>
      </c>
      <c r="CQ72" s="21" t="n">
        <v>217.31</v>
      </c>
      <c r="CR72" s="21" t="n">
        <v>229.668</v>
      </c>
      <c r="CS72" s="21" t="n">
        <v>204.892</v>
      </c>
      <c r="CT72" s="21" t="n">
        <v>156.482</v>
      </c>
      <c r="CU72" s="21" t="n">
        <v>155.919</v>
      </c>
      <c r="CV72" s="21" t="n">
        <v>226.69</v>
      </c>
      <c r="CW72" s="21" t="n">
        <v>200.173</v>
      </c>
      <c r="CX72" s="21" t="n">
        <v>237.134</v>
      </c>
      <c r="CY72" s="21" t="n">
        <v>299.163</v>
      </c>
      <c r="CZ72" s="21" t="n">
        <v>131</v>
      </c>
      <c r="DA72" s="21" t="n">
        <v>157.903</v>
      </c>
      <c r="DB72" s="21" t="n">
        <v>163.721</v>
      </c>
      <c r="DC72" s="21" t="n">
        <v>232.288</v>
      </c>
      <c r="DD72" s="21" t="n">
        <v>249.037</v>
      </c>
      <c r="DE72" s="21" t="n">
        <v>173.619</v>
      </c>
      <c r="DF72" s="21" t="n">
        <v>259.768</v>
      </c>
      <c r="DG72" s="21" t="n">
        <v>248.83</v>
      </c>
      <c r="DH72" s="21" t="n">
        <v>156.383</v>
      </c>
      <c r="DI72" s="21" t="n">
        <v>149.988</v>
      </c>
      <c r="DJ72" s="21" t="n">
        <v>144.358</v>
      </c>
      <c r="DK72" s="21" t="n">
        <v>276.382</v>
      </c>
      <c r="DL72" s="21" t="n">
        <v>174.361</v>
      </c>
      <c r="DM72" s="21" t="n">
        <v>136.555</v>
      </c>
      <c r="DN72" s="21" t="n">
        <v>131.188</v>
      </c>
      <c r="DO72" s="21" t="n">
        <v>298.253</v>
      </c>
      <c r="DP72" s="21" t="n">
        <v>183.794</v>
      </c>
      <c r="DQ72" s="21" t="n">
        <v>194.102</v>
      </c>
      <c r="DR72" s="21" t="n">
        <v>165.329</v>
      </c>
      <c r="DS72" s="21" t="n">
        <v>130.444</v>
      </c>
      <c r="DT72" s="21" t="n">
        <v>170.504</v>
      </c>
      <c r="DU72" s="21" t="n">
        <v>201.72</v>
      </c>
      <c r="DV72" s="21" t="n">
        <v>259.995</v>
      </c>
      <c r="DW72" s="21" t="n">
        <v>211.002</v>
      </c>
      <c r="DX72" s="21" t="n">
        <v>240.856</v>
      </c>
      <c r="DY72" s="21" t="n">
        <v>197.461</v>
      </c>
      <c r="DZ72" s="21" t="n">
        <v>211.826</v>
      </c>
      <c r="EA72" s="21" t="n">
        <v>193.242</v>
      </c>
      <c r="EB72" s="21" t="n">
        <v>173.699</v>
      </c>
      <c r="EC72" s="21" t="n">
        <v>367.5</v>
      </c>
      <c r="ED72" s="21" t="n">
        <v>178.846</v>
      </c>
      <c r="EE72" s="21" t="n">
        <v>198.046</v>
      </c>
      <c r="EF72" s="21" t="n">
        <v>204.911</v>
      </c>
      <c r="EG72" s="21" t="n">
        <v>273.29</v>
      </c>
      <c r="EH72" s="21" t="n">
        <v>327.435</v>
      </c>
      <c r="EI72" s="21" t="n">
        <v>344.039</v>
      </c>
      <c r="EJ72" s="21" t="n">
        <v>135.954</v>
      </c>
      <c r="EK72" s="21" t="n">
        <v>582.477</v>
      </c>
      <c r="EL72" s="21" t="n">
        <v>268.801</v>
      </c>
      <c r="EM72" s="21" t="n">
        <v>337.247</v>
      </c>
      <c r="EN72" s="21" t="n">
        <v>337.27</v>
      </c>
      <c r="EO72" s="21" t="n">
        <v>151.634</v>
      </c>
      <c r="EP72" s="21" t="n">
        <v>245.807</v>
      </c>
      <c r="EQ72" s="21" t="n">
        <v>200.67</v>
      </c>
      <c r="ER72" s="21" t="n">
        <v>233.806</v>
      </c>
      <c r="ES72" s="21" t="n">
        <v>209.579</v>
      </c>
      <c r="ET72" s="21" t="n">
        <v>324.389</v>
      </c>
      <c r="EU72" s="21" t="n">
        <v>205.921</v>
      </c>
      <c r="EV72" s="21" t="n">
        <v>213.787</v>
      </c>
      <c r="EW72" s="21" t="n">
        <v>179.226</v>
      </c>
      <c r="EX72" s="21" t="n">
        <v>255.65</v>
      </c>
      <c r="EY72" s="21" t="n">
        <v>592.998</v>
      </c>
      <c r="EZ72" s="21" t="n">
        <v>504.97</v>
      </c>
      <c r="FA72" s="21" t="n">
        <v>127.134</v>
      </c>
      <c r="FB72" s="21" t="n">
        <v>55.374</v>
      </c>
      <c r="FC72" s="21" t="n">
        <v>111.684</v>
      </c>
      <c r="FD72" s="21" t="n">
        <v>64.727</v>
      </c>
      <c r="FE72" s="21" t="n">
        <v>41.311</v>
      </c>
      <c r="FF72" s="21" t="n">
        <v>115.428</v>
      </c>
      <c r="FG72" s="21" t="n">
        <v>129.517</v>
      </c>
      <c r="FH72" s="21" t="n">
        <v>89.242</v>
      </c>
      <c r="FI72" s="21" t="n">
        <v>73.221</v>
      </c>
      <c r="FJ72" s="21" t="n"/>
      <c r="FK72" s="21" t="n">
        <v>81.414</v>
      </c>
      <c r="FL72" s="21" t="n">
        <v>93.69</v>
      </c>
      <c r="FM72" s="21" t="n">
        <v>103.148</v>
      </c>
      <c r="FN72" s="21" t="n">
        <v>68.32299999999999</v>
      </c>
      <c r="FO72" s="21" t="n">
        <v>50.25</v>
      </c>
      <c r="FP72" s="21" t="n">
        <v>37.049</v>
      </c>
      <c r="FQ72" s="21" t="n">
        <v>133.338</v>
      </c>
      <c r="FR72" s="21" t="n">
        <v>46.648</v>
      </c>
      <c r="FS72" s="21" t="n">
        <v>76.92</v>
      </c>
      <c r="FT72" s="21" t="n">
        <v>93.57299999999999</v>
      </c>
      <c r="FU72" s="21" t="n">
        <v>100.491</v>
      </c>
      <c r="FV72" s="21" t="n">
        <v>90.408</v>
      </c>
      <c r="FW72" s="21" t="n">
        <v>200.348</v>
      </c>
      <c r="FX72" s="21" t="n">
        <v>126.85</v>
      </c>
      <c r="FY72" s="21" t="n">
        <v>191.923</v>
      </c>
      <c r="FZ72" s="21" t="n">
        <v>123.008</v>
      </c>
      <c r="GA72" s="21" t="n">
        <v>201.664</v>
      </c>
      <c r="GB72" s="21" t="n">
        <v>175.357</v>
      </c>
      <c r="GC72" s="21" t="n"/>
      <c r="GD72" s="21" t="n">
        <v>181.913</v>
      </c>
      <c r="GE72" s="21" t="n">
        <v>269.549</v>
      </c>
      <c r="GF72" s="21" t="n">
        <v>116.602</v>
      </c>
      <c r="GG72" s="21" t="n">
        <v>110.649</v>
      </c>
      <c r="GH72" s="21" t="n">
        <v>112.646</v>
      </c>
      <c r="GI72" s="21" t="n">
        <v>86.35599999999999</v>
      </c>
      <c r="GJ72" s="21" t="n">
        <v>160.343</v>
      </c>
      <c r="GK72" s="21" t="n">
        <v>69.27800000000001</v>
      </c>
      <c r="GL72" s="21" t="n">
        <v>114.246</v>
      </c>
      <c r="GM72" s="21" t="n">
        <v>100.962</v>
      </c>
      <c r="GN72" s="21" t="n">
        <v>97.974</v>
      </c>
      <c r="GO72" s="21" t="n">
        <v>98.26900000000001</v>
      </c>
      <c r="GP72" s="21" t="n">
        <v>94.16</v>
      </c>
      <c r="GQ72" s="21" t="n">
        <v>97.42</v>
      </c>
      <c r="GR72" s="21" t="n">
        <v>66.57599999999999</v>
      </c>
      <c r="GS72" s="21" t="n">
        <v>99.80200000000001</v>
      </c>
      <c r="GT72" s="21" t="n">
        <v>95.913</v>
      </c>
      <c r="GU72" s="21" t="n">
        <v>134.281</v>
      </c>
      <c r="GV72" s="21" t="n">
        <v>137.779</v>
      </c>
      <c r="GW72" s="21" t="n">
        <v>156.981</v>
      </c>
      <c r="GX72" s="21" t="n">
        <v>120.861</v>
      </c>
      <c r="GY72" s="21" t="n">
        <v>111.688</v>
      </c>
      <c r="GZ72" s="21" t="n">
        <v>166.018</v>
      </c>
      <c r="HA72" s="21" t="n">
        <v>143.649</v>
      </c>
      <c r="HB72" s="21" t="n">
        <v>161.16</v>
      </c>
      <c r="HC72" s="21" t="n">
        <v>202.828</v>
      </c>
      <c r="HD72" s="21" t="n">
        <v>200.039</v>
      </c>
      <c r="HE72" s="21" t="n">
        <v>103.442</v>
      </c>
      <c r="HF72" s="21" t="n">
        <v>148.063</v>
      </c>
      <c r="HG72" s="21" t="n">
        <v>102.597</v>
      </c>
      <c r="HH72" s="21" t="n">
        <v>144.281</v>
      </c>
      <c r="HI72" s="21" t="n">
        <v>157.835</v>
      </c>
      <c r="HJ72" s="21" t="n"/>
      <c r="HK72" s="21" t="n">
        <v>152.324</v>
      </c>
      <c r="HL72" s="21" t="n"/>
      <c r="HM72" s="21" t="n">
        <v>147.717</v>
      </c>
      <c r="HN72" s="21" t="n">
        <v>188.544</v>
      </c>
      <c r="HO72" s="21" t="n">
        <v>187.609</v>
      </c>
      <c r="HP72" s="21" t="n">
        <v>182.044</v>
      </c>
      <c r="HQ72" s="21" t="n">
        <v>210.889</v>
      </c>
      <c r="HR72" s="21" t="n">
        <v>210.715</v>
      </c>
      <c r="HS72" s="21" t="n">
        <v>176.468</v>
      </c>
      <c r="HT72" s="21" t="n">
        <v>147.439</v>
      </c>
      <c r="HU72" s="21" t="n">
        <v>124.884</v>
      </c>
      <c r="HV72" s="21" t="n">
        <v>178.95</v>
      </c>
      <c r="HW72" s="21" t="n">
        <v>169.73</v>
      </c>
      <c r="HX72" s="21" t="n">
        <v>385.426</v>
      </c>
      <c r="HY72" s="21" t="n">
        <v>309.949</v>
      </c>
      <c r="HZ72" s="21" t="n">
        <v>328.222</v>
      </c>
      <c r="IA72" s="21" t="n">
        <v>280.385</v>
      </c>
      <c r="IB72" s="21" t="n">
        <v>189.791</v>
      </c>
      <c r="IC72" s="21" t="n">
        <v>537.765</v>
      </c>
      <c r="ID72" s="21" t="n">
        <v>196.012</v>
      </c>
      <c r="IE72" s="21" t="n">
        <v>185.702</v>
      </c>
      <c r="IF72" s="21" t="n">
        <v>213.018</v>
      </c>
      <c r="IG72" s="21" t="n">
        <v>242.645</v>
      </c>
      <c r="IH72" s="21" t="n">
        <v>121.316</v>
      </c>
      <c r="II72" s="21" t="n">
        <v>230.478</v>
      </c>
      <c r="IJ72" s="21" t="n">
        <v>223.36</v>
      </c>
      <c r="IK72" s="21" t="n">
        <v>156.019</v>
      </c>
      <c r="IL72" s="21" t="n">
        <v>193.633</v>
      </c>
      <c r="IM72" s="21" t="n"/>
      <c r="IN72" s="21" t="n">
        <v>60.947</v>
      </c>
      <c r="IO72" s="21" t="n">
        <v>309.338</v>
      </c>
      <c r="IP72" s="21" t="n">
        <v>118.171</v>
      </c>
      <c r="IQ72" s="21" t="n">
        <v>519.848</v>
      </c>
      <c r="IR72" s="21" t="n">
        <v>378.81</v>
      </c>
      <c r="IS72" s="21" t="n">
        <v>124.469</v>
      </c>
      <c r="IT72" s="21" t="n">
        <v>526.167</v>
      </c>
      <c r="IU72" s="21" t="n">
        <v>96.342</v>
      </c>
      <c r="IV72" s="21" t="n">
        <v>92.429</v>
      </c>
      <c r="IW72" s="21" t="n">
        <v>565.345</v>
      </c>
      <c r="IX72" s="21" t="n">
        <v>392.062</v>
      </c>
      <c r="IY72" s="21" t="n">
        <v>392.156</v>
      </c>
      <c r="IZ72" s="21" t="n">
        <v>514.692</v>
      </c>
      <c r="JA72" s="21" t="n">
        <v>193.143</v>
      </c>
      <c r="JB72" s="21" t="n">
        <v>243.437</v>
      </c>
      <c r="JC72" s="21" t="n">
        <v>84.339</v>
      </c>
      <c r="JD72" s="21" t="n">
        <v>355.164</v>
      </c>
      <c r="JE72" s="21" t="n">
        <v>343.942</v>
      </c>
      <c r="JF72" s="21" t="n">
        <v>775.1660000000001</v>
      </c>
      <c r="JG72" s="21" t="n">
        <v>244.146</v>
      </c>
      <c r="JH72" s="21" t="n">
        <v>133.541</v>
      </c>
      <c r="JI72" s="21" t="n">
        <v>179.297</v>
      </c>
      <c r="JJ72" s="21" t="n">
        <v>123.016</v>
      </c>
      <c r="JK72" s="21" t="n">
        <v>107.882</v>
      </c>
      <c r="JL72" s="21" t="n">
        <v>130.764</v>
      </c>
      <c r="JM72" s="21" t="n">
        <v>507.017</v>
      </c>
      <c r="JN72" s="21" t="n">
        <v>119.839</v>
      </c>
      <c r="JO72" s="21" t="n">
        <v>66.089</v>
      </c>
      <c r="JP72" s="21" t="n">
        <v>32.284</v>
      </c>
      <c r="JQ72" s="21" t="n">
        <v>136.227</v>
      </c>
      <c r="JR72" s="21" t="n">
        <v>26.916</v>
      </c>
      <c r="JS72" s="21" t="n">
        <v>80.883</v>
      </c>
      <c r="JT72" s="21" t="n">
        <v>180.412</v>
      </c>
      <c r="JU72" s="21" t="n">
        <v>200.897</v>
      </c>
      <c r="JV72" s="21" t="n">
        <v>155.057</v>
      </c>
      <c r="JW72" s="21" t="n">
        <v>113.746</v>
      </c>
      <c r="JX72" s="21" t="n">
        <v>265.541</v>
      </c>
      <c r="JY72" s="21" t="n">
        <v>202.002</v>
      </c>
      <c r="JZ72" s="21" t="n">
        <v>281.293</v>
      </c>
      <c r="KA72" s="21" t="n">
        <v>115.564</v>
      </c>
      <c r="KB72" s="21" t="n">
        <v>161.063</v>
      </c>
      <c r="KC72" s="21" t="n">
        <v>77.77</v>
      </c>
      <c r="KD72" s="21" t="n">
        <v>76.34099999999999</v>
      </c>
      <c r="KE72" s="21" t="n">
        <v>56.901</v>
      </c>
      <c r="KF72" s="21" t="n"/>
      <c r="KG72" s="21" t="n">
        <v>23.623</v>
      </c>
      <c r="KH72" s="21" t="n">
        <v>123.269</v>
      </c>
      <c r="KI72" s="21" t="n">
        <v>124.516</v>
      </c>
      <c r="KJ72" s="21" t="n">
        <v>115.532</v>
      </c>
      <c r="KK72" s="21" t="n">
        <v>33.203</v>
      </c>
      <c r="KL72" s="21" t="n">
        <v>28.717</v>
      </c>
      <c r="KM72" s="21" t="n">
        <v>36.937</v>
      </c>
      <c r="KN72" s="21" t="n"/>
      <c r="KO72" s="21" t="n">
        <v>102.029</v>
      </c>
      <c r="KP72" s="21" t="n">
        <v>105.173</v>
      </c>
      <c r="KQ72" s="21" t="n">
        <v>176.019</v>
      </c>
      <c r="KR72" s="21" t="n">
        <v>144.728</v>
      </c>
      <c r="KS72" s="21" t="n">
        <v>401.761</v>
      </c>
      <c r="KT72" s="21" t="n">
        <v>189.093</v>
      </c>
      <c r="KU72" s="21" t="n"/>
      <c r="KV72" s="21" t="n">
        <v>332.168</v>
      </c>
      <c r="KW72" s="21" t="n">
        <v>270.007</v>
      </c>
      <c r="KX72" s="21" t="n">
        <v>201.152</v>
      </c>
      <c r="KY72" s="21" t="n">
        <v>98.89</v>
      </c>
      <c r="KZ72" s="21" t="n">
        <v>141.534</v>
      </c>
      <c r="LA72" s="21" t="n">
        <v>272.359</v>
      </c>
      <c r="LB72" s="21" t="n">
        <v>681.564</v>
      </c>
      <c r="LC72" s="21" t="n">
        <v>233.731</v>
      </c>
      <c r="LD72" s="21" t="n">
        <v>782.403</v>
      </c>
      <c r="LE72" s="21" t="n">
        <v>880.819</v>
      </c>
      <c r="LF72" s="21" t="n">
        <v>85.854</v>
      </c>
      <c r="LG72" s="21" t="n">
        <v>313.885</v>
      </c>
      <c r="LH72" s="21" t="n">
        <v>261.97</v>
      </c>
      <c r="LI72" s="21" t="n">
        <v>75.313</v>
      </c>
      <c r="LJ72" s="21" t="n">
        <v>203.146</v>
      </c>
      <c r="LK72" s="21" t="n">
        <v>320.396</v>
      </c>
      <c r="LL72" s="21" t="n">
        <v>319.895</v>
      </c>
      <c r="LM72" s="21" t="n">
        <v>71.176</v>
      </c>
      <c r="LN72" s="21" t="n">
        <v>94.117</v>
      </c>
      <c r="LO72" s="21" t="n">
        <v>48.352</v>
      </c>
      <c r="LP72" s="21" t="n">
        <v>131.126</v>
      </c>
      <c r="LQ72" s="21" t="n"/>
      <c r="LR72" s="21" t="n"/>
      <c r="LS72" s="21" t="n">
        <v>108.318</v>
      </c>
      <c r="LT72" s="21" t="n">
        <v>37.964</v>
      </c>
      <c r="LU72" s="21" t="n">
        <v>26.142</v>
      </c>
      <c r="LV72" s="21" t="n">
        <v>78.372</v>
      </c>
      <c r="LW72" s="21" t="n">
        <v>170.425</v>
      </c>
      <c r="LX72" s="21" t="n">
        <v>83.776</v>
      </c>
      <c r="LY72" s="21" t="n">
        <v>464.211</v>
      </c>
      <c r="LZ72" s="21" t="n">
        <v>75.20099999999999</v>
      </c>
      <c r="MA72" s="21" t="n">
        <v>490.481</v>
      </c>
      <c r="MB72" s="21" t="n">
        <v>289.619</v>
      </c>
      <c r="MC72" s="21" t="n">
        <v>238.477</v>
      </c>
      <c r="MD72" s="21" t="n">
        <v>159.758</v>
      </c>
      <c r="ME72" s="21" t="n">
        <v>103.6</v>
      </c>
      <c r="MF72" s="21" t="n">
        <v>179.082</v>
      </c>
      <c r="MG72" s="21" t="n">
        <v>287.932</v>
      </c>
      <c r="MH72" s="21" t="n">
        <v>175.685</v>
      </c>
      <c r="MI72" s="21" t="n">
        <v>453.714</v>
      </c>
      <c r="MJ72" s="21" t="n">
        <v>369.112</v>
      </c>
      <c r="MK72" s="21" t="n">
        <v>344.931</v>
      </c>
      <c r="ML72" s="21" t="n">
        <v>181.128</v>
      </c>
      <c r="MM72" s="21" t="n">
        <v>208.461</v>
      </c>
      <c r="MN72" s="21" t="n">
        <v>356.985</v>
      </c>
      <c r="MO72" s="21" t="n">
        <v>155.795</v>
      </c>
      <c r="MP72" s="21" t="n">
        <v>261.952</v>
      </c>
      <c r="MQ72" s="21" t="n">
        <v>74.84</v>
      </c>
      <c r="MR72" s="21" t="n">
        <v>159.61</v>
      </c>
      <c r="MS72" s="21" t="n">
        <v>80.379</v>
      </c>
      <c r="MT72" s="21" t="n">
        <v>247.79</v>
      </c>
      <c r="MU72" s="21" t="n">
        <v>268.68</v>
      </c>
      <c r="MV72" s="21" t="n">
        <v>258.826</v>
      </c>
      <c r="MW72" s="21" t="n">
        <v>269.473</v>
      </c>
      <c r="MX72" s="21" t="n">
        <v>237.052</v>
      </c>
      <c r="MY72" s="21" t="n">
        <v>228.936</v>
      </c>
      <c r="MZ72" s="21" t="n">
        <v>237.342</v>
      </c>
      <c r="NA72" s="21" t="n">
        <v>242.169</v>
      </c>
      <c r="NB72" s="21" t="n">
        <v>108.165</v>
      </c>
      <c r="NC72" s="21" t="n">
        <v>185.594</v>
      </c>
      <c r="ND72" s="21" t="n">
        <v>149.704</v>
      </c>
      <c r="NE72" s="21" t="n">
        <v>146.034</v>
      </c>
      <c r="NF72" s="21" t="n">
        <v>145.75</v>
      </c>
      <c r="NG72" s="21" t="n">
        <v>145.197</v>
      </c>
      <c r="NH72" s="21" t="n">
        <v>258.692</v>
      </c>
      <c r="NI72" s="21" t="n">
        <v>107.612</v>
      </c>
      <c r="NJ72" s="21" t="n">
        <v>67.458</v>
      </c>
      <c r="NK72" s="21" t="n">
        <v>114.794</v>
      </c>
      <c r="NL72" s="21" t="n">
        <v>194.388</v>
      </c>
      <c r="NM72" s="21" t="n">
        <v>192.126</v>
      </c>
      <c r="NN72" s="21" t="n">
        <v>92.932</v>
      </c>
      <c r="NO72" s="21" t="n">
        <v>47.697</v>
      </c>
      <c r="NP72" s="21" t="n">
        <v>224.697</v>
      </c>
      <c r="NQ72" s="21" t="n">
        <v>187.75</v>
      </c>
      <c r="NR72" s="21" t="n">
        <v>230.503</v>
      </c>
      <c r="NS72" s="21" t="n">
        <v>183.195</v>
      </c>
      <c r="NT72" s="21" t="n">
        <v>228.608</v>
      </c>
      <c r="NU72" s="21" t="n">
        <v>117.292</v>
      </c>
      <c r="NV72" s="21" t="n">
        <v>128.795</v>
      </c>
      <c r="NW72" s="21" t="n">
        <v>371.19</v>
      </c>
      <c r="NX72" s="21" t="n">
        <v>79.089</v>
      </c>
      <c r="NY72" s="21" t="n">
        <v>128.741</v>
      </c>
      <c r="NZ72" s="21" t="n">
        <v>341.501</v>
      </c>
      <c r="OA72" s="21" t="n">
        <v>334.031</v>
      </c>
      <c r="OB72" s="21" t="n">
        <v>346.884</v>
      </c>
      <c r="OC72" s="21" t="n">
        <v>316.523</v>
      </c>
      <c r="OD72" s="21" t="n">
        <v>351.287</v>
      </c>
      <c r="OE72" s="21" t="n">
        <v>109.02</v>
      </c>
      <c r="OF72" s="21" t="n">
        <v>315.554</v>
      </c>
      <c r="OG72" s="21" t="n">
        <v>221.306</v>
      </c>
      <c r="OH72" s="21" t="n">
        <v>36.744</v>
      </c>
      <c r="OI72" s="21" t="n">
        <v>133.594</v>
      </c>
      <c r="OJ72" s="21" t="n">
        <v>38.4</v>
      </c>
      <c r="OK72" s="21" t="n">
        <v>12.8</v>
      </c>
    </row>
    <row r="73">
      <c r="A73" s="22" t="n">
        <v>44166</v>
      </c>
      <c r="B73" s="21" t="n">
        <v>260.474</v>
      </c>
      <c r="C73" s="21" t="n">
        <v>780.263</v>
      </c>
      <c r="D73" s="21" t="n">
        <v>269.383</v>
      </c>
      <c r="E73" s="21" t="n">
        <v>270.023</v>
      </c>
      <c r="F73" s="21" t="n">
        <v>251.253</v>
      </c>
      <c r="G73" s="21" t="n">
        <v>283.735</v>
      </c>
      <c r="H73" s="21" t="n">
        <v>232.794</v>
      </c>
      <c r="I73" s="21" t="n">
        <v>232.911</v>
      </c>
      <c r="J73" s="21" t="n">
        <v>227.887</v>
      </c>
      <c r="K73" s="21" t="n">
        <v>244.594</v>
      </c>
      <c r="L73" s="21" t="n">
        <v>167.403</v>
      </c>
      <c r="M73" s="21" t="n">
        <v>313.199</v>
      </c>
      <c r="N73" s="21" t="n">
        <v>193.093</v>
      </c>
      <c r="O73" s="21" t="n">
        <v>350.661</v>
      </c>
      <c r="P73" s="21" t="n">
        <v>376.157</v>
      </c>
      <c r="Q73" s="21" t="n">
        <v>185.711</v>
      </c>
      <c r="R73" s="21" t="n">
        <v>296.454</v>
      </c>
      <c r="S73" s="21" t="n">
        <v>310.389</v>
      </c>
      <c r="T73" s="21" t="n">
        <v>280.096</v>
      </c>
      <c r="U73" s="21" t="n">
        <v>273.577</v>
      </c>
      <c r="V73" s="21" t="n">
        <v>327.884</v>
      </c>
      <c r="W73" s="21" t="n">
        <v>307.241</v>
      </c>
      <c r="X73" s="21" t="n">
        <v>270.016</v>
      </c>
      <c r="Y73" s="21" t="n">
        <v>264.475</v>
      </c>
      <c r="Z73" s="21" t="n">
        <v>268.621</v>
      </c>
      <c r="AA73" s="21" t="n">
        <v>272.013</v>
      </c>
      <c r="AB73" s="21" t="n">
        <v>330.521</v>
      </c>
      <c r="AC73" s="21" t="n">
        <v>290.523</v>
      </c>
      <c r="AD73" s="21" t="n">
        <v>256.824</v>
      </c>
      <c r="AE73" s="21" t="n">
        <v>219.186</v>
      </c>
      <c r="AF73" s="21" t="n">
        <v>274.15</v>
      </c>
      <c r="AG73" s="21" t="n">
        <v>224.361</v>
      </c>
      <c r="AH73" s="21" t="n">
        <v>169.292</v>
      </c>
      <c r="AI73" s="21" t="n">
        <v>321.428</v>
      </c>
      <c r="AJ73" s="21" t="n">
        <v>150.527</v>
      </c>
      <c r="AK73" s="21" t="n">
        <v>202.6</v>
      </c>
      <c r="AL73" s="21" t="n">
        <v>225.654</v>
      </c>
      <c r="AM73" s="21" t="n">
        <v>208.335</v>
      </c>
      <c r="AN73" s="21" t="n">
        <v>136.298</v>
      </c>
      <c r="AO73" s="21" t="n">
        <v>238.234</v>
      </c>
      <c r="AP73" s="21" t="n">
        <v>256.072</v>
      </c>
      <c r="AQ73" s="21" t="n">
        <v>152.767</v>
      </c>
      <c r="AR73" s="21" t="n"/>
      <c r="AS73" s="21" t="n"/>
      <c r="AT73" s="21" t="n">
        <v>244.527</v>
      </c>
      <c r="AU73" s="21" t="n">
        <v>158.208</v>
      </c>
      <c r="AV73" s="21" t="n">
        <v>259.196</v>
      </c>
      <c r="AW73" s="21" t="n">
        <v>236.543</v>
      </c>
      <c r="AX73" s="21" t="n">
        <v>155.517</v>
      </c>
      <c r="AY73" s="21" t="n">
        <v>312.957</v>
      </c>
      <c r="AZ73" s="21" t="n">
        <v>195.613</v>
      </c>
      <c r="BA73" s="21" t="n">
        <v>155.4</v>
      </c>
      <c r="BB73" s="21" t="n">
        <v>225.868</v>
      </c>
      <c r="BC73" s="21" t="n">
        <v>321.603</v>
      </c>
      <c r="BD73" s="21" t="n">
        <v>210.186</v>
      </c>
      <c r="BE73" s="21" t="n">
        <v>231.74</v>
      </c>
      <c r="BF73" s="21" t="n">
        <v>153.549</v>
      </c>
      <c r="BG73" s="21" t="n">
        <v>222.156</v>
      </c>
      <c r="BH73" s="21" t="n">
        <v>157.096</v>
      </c>
      <c r="BI73" s="21" t="n">
        <v>243.45</v>
      </c>
      <c r="BJ73" s="21" t="n">
        <v>233.089</v>
      </c>
      <c r="BK73" s="21" t="n">
        <v>152.089</v>
      </c>
      <c r="BL73" s="21" t="n">
        <v>306.506</v>
      </c>
      <c r="BM73" s="21" t="n">
        <v>354.288</v>
      </c>
      <c r="BN73" s="21" t="n">
        <v>358.011</v>
      </c>
      <c r="BO73" s="21" t="n">
        <v>315.538</v>
      </c>
      <c r="BP73" s="21" t="n">
        <v>189.622</v>
      </c>
      <c r="BQ73" s="21" t="n">
        <v>248.506</v>
      </c>
      <c r="BR73" s="21" t="n">
        <v>485.496</v>
      </c>
      <c r="BS73" s="21" t="n">
        <v>122.771</v>
      </c>
      <c r="BT73" s="21" t="n">
        <v>348.809</v>
      </c>
      <c r="BU73" s="21" t="n">
        <v>350.759</v>
      </c>
      <c r="BV73" s="21" t="n">
        <v>364.916</v>
      </c>
      <c r="BW73" s="21" t="n">
        <v>352.36</v>
      </c>
      <c r="BX73" s="21" t="n">
        <v>347.528</v>
      </c>
      <c r="BY73" s="21" t="n">
        <v>162.177</v>
      </c>
      <c r="BZ73" s="21" t="n">
        <v>169.633</v>
      </c>
      <c r="CA73" s="21" t="n">
        <v>164.768</v>
      </c>
      <c r="CB73" s="21" t="n">
        <v>179.874</v>
      </c>
      <c r="CC73" s="21" t="n">
        <v>149.923</v>
      </c>
      <c r="CD73" s="21" t="n">
        <v>204.398</v>
      </c>
      <c r="CE73" s="21" t="n">
        <v>159.609</v>
      </c>
      <c r="CF73" s="21" t="n">
        <v>191.08</v>
      </c>
      <c r="CG73" s="21" t="n">
        <v>177.539</v>
      </c>
      <c r="CH73" s="21" t="n">
        <v>140.185</v>
      </c>
      <c r="CI73" s="21" t="n">
        <v>178.391</v>
      </c>
      <c r="CJ73" s="21" t="n">
        <v>179.249</v>
      </c>
      <c r="CK73" s="21" t="n">
        <v>126.628</v>
      </c>
      <c r="CL73" s="21" t="n">
        <v>117.752</v>
      </c>
      <c r="CM73" s="21" t="n">
        <v>193.029</v>
      </c>
      <c r="CN73" s="21" t="n">
        <v>201.162</v>
      </c>
      <c r="CO73" s="21" t="n">
        <v>187.177</v>
      </c>
      <c r="CP73" s="21" t="n">
        <v>134.04</v>
      </c>
      <c r="CQ73" s="21" t="n">
        <v>218.534</v>
      </c>
      <c r="CR73" s="21" t="n">
        <v>230.721</v>
      </c>
      <c r="CS73" s="21" t="n">
        <v>203.687</v>
      </c>
      <c r="CT73" s="21" t="n">
        <v>157.659</v>
      </c>
      <c r="CU73" s="21" t="n">
        <v>156.252</v>
      </c>
      <c r="CV73" s="21" t="n">
        <v>228.076</v>
      </c>
      <c r="CW73" s="21" t="n">
        <v>203.122</v>
      </c>
      <c r="CX73" s="21" t="n">
        <v>238.152</v>
      </c>
      <c r="CY73" s="21" t="n">
        <v>307.28</v>
      </c>
      <c r="CZ73" s="21" t="n">
        <v>132.825</v>
      </c>
      <c r="DA73" s="21" t="n">
        <v>157.383</v>
      </c>
      <c r="DB73" s="21" t="n">
        <v>169.015</v>
      </c>
      <c r="DC73" s="21" t="n">
        <v>233.624</v>
      </c>
      <c r="DD73" s="21" t="n">
        <v>254.156</v>
      </c>
      <c r="DE73" s="21" t="n">
        <v>174.222</v>
      </c>
      <c r="DF73" s="21" t="n">
        <v>260.072</v>
      </c>
      <c r="DG73" s="21" t="n">
        <v>247.243</v>
      </c>
      <c r="DH73" s="21" t="n">
        <v>159.153</v>
      </c>
      <c r="DI73" s="21" t="n">
        <v>149.458</v>
      </c>
      <c r="DJ73" s="21" t="n">
        <v>142.269</v>
      </c>
      <c r="DK73" s="21" t="n">
        <v>274.267</v>
      </c>
      <c r="DL73" s="21" t="n">
        <v>172.418</v>
      </c>
      <c r="DM73" s="21" t="n">
        <v>138.854</v>
      </c>
      <c r="DN73" s="21" t="n">
        <v>133.706</v>
      </c>
      <c r="DO73" s="21" t="n">
        <v>299.369</v>
      </c>
      <c r="DP73" s="21" t="n">
        <v>184.314</v>
      </c>
      <c r="DQ73" s="21" t="n">
        <v>195.12</v>
      </c>
      <c r="DR73" s="21" t="n">
        <v>165.308</v>
      </c>
      <c r="DS73" s="21" t="n">
        <v>130.562</v>
      </c>
      <c r="DT73" s="21" t="n">
        <v>170.634</v>
      </c>
      <c r="DU73" s="21" t="n">
        <v>201.855</v>
      </c>
      <c r="DV73" s="21" t="n">
        <v>259.397</v>
      </c>
      <c r="DW73" s="21" t="n">
        <v>210.074</v>
      </c>
      <c r="DX73" s="21" t="n">
        <v>239.104</v>
      </c>
      <c r="DY73" s="21" t="n">
        <v>197.618</v>
      </c>
      <c r="DZ73" s="21" t="n">
        <v>211.197</v>
      </c>
      <c r="EA73" s="21" t="n">
        <v>193.642</v>
      </c>
      <c r="EB73" s="21" t="n">
        <v>173.041</v>
      </c>
      <c r="EC73" s="21" t="n">
        <v>367.636</v>
      </c>
      <c r="ED73" s="21" t="n">
        <v>179.773</v>
      </c>
      <c r="EE73" s="21" t="n">
        <v>198.326</v>
      </c>
      <c r="EF73" s="21" t="n">
        <v>204.314</v>
      </c>
      <c r="EG73" s="21" t="n">
        <v>273.684</v>
      </c>
      <c r="EH73" s="21" t="n">
        <v>327.702</v>
      </c>
      <c r="EI73" s="21" t="n">
        <v>344.455</v>
      </c>
      <c r="EJ73" s="21" t="n">
        <v>133.538</v>
      </c>
      <c r="EK73" s="21" t="n">
        <v>582.4400000000001</v>
      </c>
      <c r="EL73" s="21" t="n">
        <v>263.245</v>
      </c>
      <c r="EM73" s="21" t="n">
        <v>337.695</v>
      </c>
      <c r="EN73" s="21" t="n">
        <v>337.721</v>
      </c>
      <c r="EO73" s="21" t="n">
        <v>151.786</v>
      </c>
      <c r="EP73" s="21" t="n">
        <v>247.236</v>
      </c>
      <c r="EQ73" s="21" t="n">
        <v>202.017</v>
      </c>
      <c r="ER73" s="21" t="n">
        <v>249.564</v>
      </c>
      <c r="ES73" s="21" t="n">
        <v>231.044</v>
      </c>
      <c r="ET73" s="21" t="n">
        <v>331.768</v>
      </c>
      <c r="EU73" s="21" t="n">
        <v>206.758</v>
      </c>
      <c r="EV73" s="21" t="n">
        <v>214.375</v>
      </c>
      <c r="EW73" s="21" t="n">
        <v>180.767</v>
      </c>
      <c r="EX73" s="21" t="n">
        <v>256.456</v>
      </c>
      <c r="EY73" s="21" t="n">
        <v>594.169</v>
      </c>
      <c r="EZ73" s="21" t="n">
        <v>508.19</v>
      </c>
      <c r="FA73" s="21" t="n">
        <v>127.367</v>
      </c>
      <c r="FB73" s="21" t="n">
        <v>54.127</v>
      </c>
      <c r="FC73" s="21" t="n">
        <v>110.208</v>
      </c>
      <c r="FD73" s="21" t="n">
        <v>63.979</v>
      </c>
      <c r="FE73" s="21" t="n">
        <v>40.055</v>
      </c>
      <c r="FF73" s="21" t="n">
        <v>115.696</v>
      </c>
      <c r="FG73" s="21" t="n">
        <v>129.718</v>
      </c>
      <c r="FH73" s="21" t="n">
        <v>89.432</v>
      </c>
      <c r="FI73" s="21" t="n">
        <v>73.562</v>
      </c>
      <c r="FJ73" s="21" t="n"/>
      <c r="FK73" s="21" t="n">
        <v>81.127</v>
      </c>
      <c r="FL73" s="21" t="n">
        <v>92.41200000000001</v>
      </c>
      <c r="FM73" s="21" t="n">
        <v>103.948</v>
      </c>
      <c r="FN73" s="21" t="n">
        <v>68.473</v>
      </c>
      <c r="FO73" s="21" t="n">
        <v>50.1</v>
      </c>
      <c r="FP73" s="21" t="n">
        <v>36.818</v>
      </c>
      <c r="FQ73" s="21" t="n">
        <v>136.451</v>
      </c>
      <c r="FR73" s="21" t="n">
        <v>45.292</v>
      </c>
      <c r="FS73" s="21" t="n">
        <v>76.7</v>
      </c>
      <c r="FT73" s="21" t="n">
        <v>93.749</v>
      </c>
      <c r="FU73" s="21" t="n">
        <v>100.602</v>
      </c>
      <c r="FV73" s="21" t="n">
        <v>90.624</v>
      </c>
      <c r="FW73" s="21" t="n">
        <v>199.451</v>
      </c>
      <c r="FX73" s="21" t="n">
        <v>128.018</v>
      </c>
      <c r="FY73" s="21" t="n">
        <v>192.163</v>
      </c>
      <c r="FZ73" s="21" t="n">
        <v>120.091</v>
      </c>
      <c r="GA73" s="21" t="n">
        <v>205.655</v>
      </c>
      <c r="GB73" s="21" t="n">
        <v>180.933</v>
      </c>
      <c r="GC73" s="21" t="n"/>
      <c r="GD73" s="21" t="n">
        <v>180.942</v>
      </c>
      <c r="GE73" s="21" t="n"/>
      <c r="GF73" s="21" t="n">
        <v>114.434</v>
      </c>
      <c r="GG73" s="21" t="n">
        <v>108.861</v>
      </c>
      <c r="GH73" s="21" t="n">
        <v>110.482</v>
      </c>
      <c r="GI73" s="21" t="n">
        <v>85.16800000000001</v>
      </c>
      <c r="GJ73" s="21" t="n">
        <v>156.094</v>
      </c>
      <c r="GK73" s="21" t="n">
        <v>68.032</v>
      </c>
      <c r="GL73" s="21" t="n">
        <v>112.516</v>
      </c>
      <c r="GM73" s="21" t="n">
        <v>100.567</v>
      </c>
      <c r="GN73" s="21" t="n">
        <v>95.581</v>
      </c>
      <c r="GO73" s="21" t="n">
        <v>95.13800000000001</v>
      </c>
      <c r="GP73" s="21" t="n">
        <v>90.81100000000001</v>
      </c>
      <c r="GQ73" s="21" t="n">
        <v>95.02200000000001</v>
      </c>
      <c r="GR73" s="21" t="n">
        <v>64.654</v>
      </c>
      <c r="GS73" s="21" t="n">
        <v>95.971</v>
      </c>
      <c r="GT73" s="21" t="n">
        <v>96.825</v>
      </c>
      <c r="GU73" s="21" t="n">
        <v>132.314</v>
      </c>
      <c r="GV73" s="21" t="n">
        <v>135.585</v>
      </c>
      <c r="GW73" s="21" t="n">
        <v>153.4</v>
      </c>
      <c r="GX73" s="21" t="n">
        <v>119.693</v>
      </c>
      <c r="GY73" s="21" t="n">
        <v>109.706</v>
      </c>
      <c r="GZ73" s="21" t="n">
        <v>165.197</v>
      </c>
      <c r="HA73" s="21" t="n">
        <v>146.158</v>
      </c>
      <c r="HB73" s="21" t="n">
        <v>159.141</v>
      </c>
      <c r="HC73" s="21" t="n">
        <v>203.56</v>
      </c>
      <c r="HD73" s="21" t="n">
        <v>201.523</v>
      </c>
      <c r="HE73" s="21" t="n">
        <v>103.242</v>
      </c>
      <c r="HF73" s="21" t="n">
        <v>149.091</v>
      </c>
      <c r="HG73" s="21" t="n">
        <v>103.313</v>
      </c>
      <c r="HH73" s="21" t="n">
        <v>145.325</v>
      </c>
      <c r="HI73" s="21" t="n">
        <v>158.85</v>
      </c>
      <c r="HJ73" s="21" t="n"/>
      <c r="HK73" s="21" t="n">
        <v>150.891</v>
      </c>
      <c r="HL73" s="21" t="n"/>
      <c r="HM73" s="21" t="n">
        <v>142.452</v>
      </c>
      <c r="HN73" s="21" t="n">
        <v>194.996</v>
      </c>
      <c r="HO73" s="21" t="n">
        <v>193.99</v>
      </c>
      <c r="HP73" s="21" t="n">
        <v>188.738</v>
      </c>
      <c r="HQ73" s="21" t="n">
        <v>216.387</v>
      </c>
      <c r="HR73" s="21" t="n">
        <v>214.341</v>
      </c>
      <c r="HS73" s="21" t="n">
        <v>184.103</v>
      </c>
      <c r="HT73" s="21" t="n">
        <v>148.363</v>
      </c>
      <c r="HU73" s="21" t="n">
        <v>125.806</v>
      </c>
      <c r="HV73" s="21" t="n">
        <v>179.729</v>
      </c>
      <c r="HW73" s="21" t="n">
        <v>169.492</v>
      </c>
      <c r="HX73" s="21" t="n">
        <v>390.184</v>
      </c>
      <c r="HY73" s="21" t="n">
        <v>309.888</v>
      </c>
      <c r="HZ73" s="21" t="n">
        <v>327.931</v>
      </c>
      <c r="IA73" s="21" t="n">
        <v>280.533</v>
      </c>
      <c r="IB73" s="21" t="n">
        <v>189.525</v>
      </c>
      <c r="IC73" s="21" t="n">
        <v>545.376</v>
      </c>
      <c r="ID73" s="21" t="n">
        <v>195.481</v>
      </c>
      <c r="IE73" s="21" t="n">
        <v>185.678</v>
      </c>
      <c r="IF73" s="21" t="n">
        <v>211.789</v>
      </c>
      <c r="IG73" s="21" t="n">
        <v>241.017</v>
      </c>
      <c r="IH73" s="21" t="n">
        <v>119.935</v>
      </c>
      <c r="II73" s="21" t="n">
        <v>220.685</v>
      </c>
      <c r="IJ73" s="21" t="n">
        <v>205.983</v>
      </c>
      <c r="IK73" s="21" t="n">
        <v>160.162</v>
      </c>
      <c r="IL73" s="21" t="n">
        <v>193.668</v>
      </c>
      <c r="IM73" s="21" t="n"/>
      <c r="IN73" s="21" t="n">
        <v>63.244</v>
      </c>
      <c r="IO73" s="21" t="n">
        <v>309.029</v>
      </c>
      <c r="IP73" s="21" t="n">
        <v>118.139</v>
      </c>
      <c r="IQ73" s="21" t="n">
        <v>518.766</v>
      </c>
      <c r="IR73" s="21" t="n">
        <v>377.921</v>
      </c>
      <c r="IS73" s="21" t="n">
        <v>124.176</v>
      </c>
      <c r="IT73" s="21" t="n">
        <v>525.244</v>
      </c>
      <c r="IU73" s="21" t="n">
        <v>95.941</v>
      </c>
      <c r="IV73" s="21" t="n">
        <v>92.21899999999999</v>
      </c>
      <c r="IW73" s="21" t="n">
        <v>564.201</v>
      </c>
      <c r="IX73" s="21" t="n">
        <v>391.877</v>
      </c>
      <c r="IY73" s="21" t="n">
        <v>391.807</v>
      </c>
      <c r="IZ73" s="21" t="n">
        <v>514.957</v>
      </c>
      <c r="JA73" s="21" t="n">
        <v>192.93</v>
      </c>
      <c r="JB73" s="21" t="n">
        <v>243.32</v>
      </c>
      <c r="JC73" s="21" t="n">
        <v>84.35599999999999</v>
      </c>
      <c r="JD73" s="21" t="n">
        <v>355.232</v>
      </c>
      <c r="JE73" s="21" t="n">
        <v>343.512</v>
      </c>
      <c r="JF73" s="21" t="n">
        <v>775.417</v>
      </c>
      <c r="JG73" s="21" t="n">
        <v>243.926</v>
      </c>
      <c r="JH73" s="21" t="n">
        <v>133.861</v>
      </c>
      <c r="JI73" s="21" t="n">
        <v>177.311</v>
      </c>
      <c r="JJ73" s="21" t="n">
        <v>122.692</v>
      </c>
      <c r="JK73" s="21" t="n">
        <v>108.207</v>
      </c>
      <c r="JL73" s="21" t="n">
        <v>130.145</v>
      </c>
      <c r="JM73" s="21" t="n">
        <v>509.545</v>
      </c>
      <c r="JN73" s="21" t="n">
        <v>120.181</v>
      </c>
      <c r="JO73" s="21" t="n">
        <v>65.931</v>
      </c>
      <c r="JP73" s="21" t="n">
        <v>32.056</v>
      </c>
      <c r="JQ73" s="21" t="n">
        <v>137.522</v>
      </c>
      <c r="JR73" s="21" t="n">
        <v>26.826</v>
      </c>
      <c r="JS73" s="21" t="n">
        <v>79.919</v>
      </c>
      <c r="JT73" s="21" t="n">
        <v>181.066</v>
      </c>
      <c r="JU73" s="21" t="n">
        <v>201.995</v>
      </c>
      <c r="JV73" s="21" t="n">
        <v>155.04</v>
      </c>
      <c r="JW73" s="21" t="n">
        <v>115.05</v>
      </c>
      <c r="JX73" s="21" t="n">
        <v>265.951</v>
      </c>
      <c r="JY73" s="21" t="n">
        <v>202.153</v>
      </c>
      <c r="JZ73" s="21" t="n">
        <v>281.656</v>
      </c>
      <c r="KA73" s="21" t="n">
        <v>116.4</v>
      </c>
      <c r="KB73" s="21" t="n">
        <v>159.73</v>
      </c>
      <c r="KC73" s="21" t="n">
        <v>80.282</v>
      </c>
      <c r="KD73" s="21" t="n">
        <v>74.997</v>
      </c>
      <c r="KE73" s="21" t="n">
        <v>56.028</v>
      </c>
      <c r="KF73" s="21" t="n"/>
      <c r="KG73" s="21" t="n">
        <v>23.527</v>
      </c>
      <c r="KH73" s="21" t="n">
        <v>120.926</v>
      </c>
      <c r="KI73" s="21" t="n"/>
      <c r="KJ73" s="21" t="n">
        <v>109.013</v>
      </c>
      <c r="KK73" s="21" t="n">
        <v>32.785</v>
      </c>
      <c r="KL73" s="21" t="n">
        <v>28.618</v>
      </c>
      <c r="KM73" s="21" t="n">
        <v>36.89</v>
      </c>
      <c r="KN73" s="21" t="n"/>
      <c r="KO73" s="21" t="n">
        <v>91.373</v>
      </c>
      <c r="KP73" s="21" t="n">
        <v>102.637</v>
      </c>
      <c r="KQ73" s="21" t="n">
        <v>173.883</v>
      </c>
      <c r="KR73" s="21" t="n">
        <v>145.185</v>
      </c>
      <c r="KS73" s="21" t="n">
        <v>388.75</v>
      </c>
      <c r="KT73" s="21" t="n">
        <v>189.497</v>
      </c>
      <c r="KU73" s="21" t="n"/>
      <c r="KV73" s="21" t="n">
        <v>331.694</v>
      </c>
      <c r="KW73" s="21" t="n">
        <v>271.818</v>
      </c>
      <c r="KX73" s="21" t="n">
        <v>201.633</v>
      </c>
      <c r="KY73" s="21" t="n">
        <v>100.111</v>
      </c>
      <c r="KZ73" s="21" t="n">
        <v>141.549</v>
      </c>
      <c r="LA73" s="21" t="n">
        <v>272.437</v>
      </c>
      <c r="LB73" s="21" t="n">
        <v>686.054</v>
      </c>
      <c r="LC73" s="21" t="n">
        <v>235.545</v>
      </c>
      <c r="LD73" s="21" t="n">
        <v>782.444</v>
      </c>
      <c r="LE73" s="21" t="n">
        <v>880.5839999999999</v>
      </c>
      <c r="LF73" s="21" t="n">
        <v>85.849</v>
      </c>
      <c r="LG73" s="21" t="n">
        <v>314.138</v>
      </c>
      <c r="LH73" s="21" t="n">
        <v>261.802</v>
      </c>
      <c r="LI73" s="21" t="n">
        <v>75.31100000000001</v>
      </c>
      <c r="LJ73" s="21" t="n">
        <v>203.321</v>
      </c>
      <c r="LK73" s="21" t="n">
        <v>320.396</v>
      </c>
      <c r="LL73" s="21" t="n">
        <v>323.047</v>
      </c>
      <c r="LM73" s="21" t="n">
        <v>71.17100000000001</v>
      </c>
      <c r="LN73" s="21" t="n">
        <v>94.057</v>
      </c>
      <c r="LO73" s="21" t="n">
        <v>48.306</v>
      </c>
      <c r="LP73" s="21" t="n">
        <v>131.237</v>
      </c>
      <c r="LQ73" s="21" t="n"/>
      <c r="LR73" s="21" t="n"/>
      <c r="LS73" s="21" t="n">
        <v>108.426</v>
      </c>
      <c r="LT73" s="21" t="n">
        <v>38.315</v>
      </c>
      <c r="LU73" s="21" t="n">
        <v>26.59</v>
      </c>
      <c r="LV73" s="21" t="n">
        <v>78.41500000000001</v>
      </c>
      <c r="LW73" s="21" t="n">
        <v>165.634</v>
      </c>
      <c r="LX73" s="21" t="n">
        <v>81.22199999999999</v>
      </c>
      <c r="LY73" s="21" t="n">
        <v>466.332</v>
      </c>
      <c r="LZ73" s="21" t="n">
        <v>75.636</v>
      </c>
      <c r="MA73" s="21" t="n">
        <v>493.672</v>
      </c>
      <c r="MB73" s="21" t="n">
        <v>289.385</v>
      </c>
      <c r="MC73" s="21" t="n">
        <v>239.497</v>
      </c>
      <c r="MD73" s="21" t="n">
        <v>158.846</v>
      </c>
      <c r="ME73" s="21" t="n">
        <v>102.763</v>
      </c>
      <c r="MF73" s="21" t="n">
        <v>178.552</v>
      </c>
      <c r="MG73" s="21" t="n">
        <v>290.861</v>
      </c>
      <c r="MH73" s="21" t="n">
        <v>177.473</v>
      </c>
      <c r="MI73" s="21" t="n">
        <v>457.446</v>
      </c>
      <c r="MJ73" s="21" t="n">
        <v>369.112</v>
      </c>
      <c r="MK73" s="21" t="n">
        <v>345.188</v>
      </c>
      <c r="ML73" s="21" t="n">
        <v>181.813</v>
      </c>
      <c r="MM73" s="21" t="n">
        <v>209.372</v>
      </c>
      <c r="MN73" s="21" t="n">
        <v>366.894</v>
      </c>
      <c r="MO73" s="21" t="n">
        <v>168.982</v>
      </c>
      <c r="MP73" s="21" t="n">
        <v>260.387</v>
      </c>
      <c r="MQ73" s="21" t="n">
        <v>74.749</v>
      </c>
      <c r="MR73" s="21" t="n">
        <v>158.543</v>
      </c>
      <c r="MS73" s="21" t="n">
        <v>82.913</v>
      </c>
      <c r="MT73" s="21" t="n">
        <v>248.096</v>
      </c>
      <c r="MU73" s="21" t="n">
        <v>268.613</v>
      </c>
      <c r="MV73" s="21" t="n">
        <v>258.959</v>
      </c>
      <c r="MW73" s="21" t="n">
        <v>269.226</v>
      </c>
      <c r="MX73" s="21" t="n">
        <v>237.289</v>
      </c>
      <c r="MY73" s="21" t="n">
        <v>229.01</v>
      </c>
      <c r="MZ73" s="21" t="n">
        <v>236.831</v>
      </c>
      <c r="NA73" s="21" t="n">
        <v>241.759</v>
      </c>
      <c r="NB73" s="21" t="n">
        <v>106.018</v>
      </c>
      <c r="NC73" s="21" t="n">
        <v>186.063</v>
      </c>
      <c r="ND73" s="21" t="n">
        <v>149.989</v>
      </c>
      <c r="NE73" s="21" t="n">
        <v>146.342</v>
      </c>
      <c r="NF73" s="21" t="n">
        <v>145.317</v>
      </c>
      <c r="NG73" s="21" t="n">
        <v>144.915</v>
      </c>
      <c r="NH73" s="21" t="n">
        <v>259.404</v>
      </c>
      <c r="NI73" s="21" t="n">
        <v>107.691</v>
      </c>
      <c r="NJ73" s="21" t="n">
        <v>67.66200000000001</v>
      </c>
      <c r="NK73" s="21" t="n">
        <v>114.78</v>
      </c>
      <c r="NL73" s="21" t="n">
        <v>198.155</v>
      </c>
      <c r="NM73" s="21" t="n">
        <v>198.997</v>
      </c>
      <c r="NN73" s="21" t="n">
        <v>92.714</v>
      </c>
      <c r="NO73" s="21" t="n">
        <v>47.794</v>
      </c>
      <c r="NP73" s="21" t="n">
        <v>225.432</v>
      </c>
      <c r="NQ73" s="21" t="n">
        <v>188.305</v>
      </c>
      <c r="NR73" s="21" t="n">
        <v>232.599</v>
      </c>
      <c r="NS73" s="21" t="n">
        <v>183.826</v>
      </c>
      <c r="NT73" s="21" t="n">
        <v>231.006</v>
      </c>
      <c r="NU73" s="21" t="n">
        <v>117.242</v>
      </c>
      <c r="NV73" s="21" t="n">
        <v>129.959</v>
      </c>
      <c r="NW73" s="21" t="n">
        <v>371.076</v>
      </c>
      <c r="NX73" s="21" t="n">
        <v>79.188</v>
      </c>
      <c r="NY73" s="21" t="n">
        <v>128.138</v>
      </c>
      <c r="NZ73" s="21" t="n">
        <v>341.779</v>
      </c>
      <c r="OA73" s="21" t="n">
        <v>334.03</v>
      </c>
      <c r="OB73" s="21" t="n">
        <v>346.808</v>
      </c>
      <c r="OC73" s="21" t="n">
        <v>316.606</v>
      </c>
      <c r="OD73" s="21" t="n">
        <v>350.968</v>
      </c>
      <c r="OE73" s="21" t="n">
        <v>109.051</v>
      </c>
      <c r="OF73" s="21" t="n">
        <v>312.959</v>
      </c>
      <c r="OG73" s="21" t="n">
        <v>220.601</v>
      </c>
      <c r="OH73" s="21" t="n">
        <v>36.593</v>
      </c>
      <c r="OI73" s="21" t="n">
        <v>134.2</v>
      </c>
      <c r="OJ73" s="21" t="n">
        <v>38.4</v>
      </c>
      <c r="OK73" s="21" t="n">
        <v>12.8</v>
      </c>
    </row>
    <row r="74">
      <c r="A74" s="22" t="n">
        <v>44197</v>
      </c>
      <c r="B74" s="21" t="n">
        <v>261.582</v>
      </c>
      <c r="C74" s="21" t="n">
        <v>783.5839999999999</v>
      </c>
      <c r="D74" s="21" t="n">
        <v>270.26</v>
      </c>
      <c r="E74" s="21" t="n">
        <v>270.938</v>
      </c>
      <c r="F74" s="21" t="n">
        <v>252.107</v>
      </c>
      <c r="G74" s="21" t="n">
        <v>282.911</v>
      </c>
      <c r="H74" s="21" t="n">
        <v>232.504</v>
      </c>
      <c r="I74" s="21" t="n">
        <v>239.72</v>
      </c>
      <c r="J74" s="21" t="n">
        <v>226.376</v>
      </c>
      <c r="K74" s="21" t="n">
        <v>243.333</v>
      </c>
      <c r="L74" s="21" t="n">
        <v>166.652</v>
      </c>
      <c r="M74" s="21" t="n">
        <v>312.06</v>
      </c>
      <c r="N74" s="21" t="n">
        <v>191.579</v>
      </c>
      <c r="O74" s="21" t="n">
        <v>345.97</v>
      </c>
      <c r="P74" s="21" t="n">
        <v>374.39</v>
      </c>
      <c r="Q74" s="21" t="n">
        <v>186.468</v>
      </c>
      <c r="R74" s="21" t="n">
        <v>297.056</v>
      </c>
      <c r="S74" s="21" t="n">
        <v>316.489</v>
      </c>
      <c r="T74" s="21" t="n">
        <v>277.49</v>
      </c>
      <c r="U74" s="21" t="n">
        <v>271.376</v>
      </c>
      <c r="V74" s="21" t="n">
        <v>323.39</v>
      </c>
      <c r="W74" s="21" t="n">
        <v>311.17</v>
      </c>
      <c r="X74" s="21" t="n">
        <v>265.393</v>
      </c>
      <c r="Y74" s="21" t="n">
        <v>265.922</v>
      </c>
      <c r="Z74" s="21" t="n">
        <v>270.152</v>
      </c>
      <c r="AA74" s="21" t="n">
        <v>273.843</v>
      </c>
      <c r="AB74" s="21" t="n">
        <v>333.526</v>
      </c>
      <c r="AC74" s="21" t="n">
        <v>289.968</v>
      </c>
      <c r="AD74" s="21" t="n">
        <v>258.766</v>
      </c>
      <c r="AE74" s="21" t="n">
        <v>223.768</v>
      </c>
      <c r="AF74" s="21" t="n">
        <v>275.955</v>
      </c>
      <c r="AG74" s="21" t="n">
        <v>226.453</v>
      </c>
      <c r="AH74" s="21" t="n">
        <v>169.545</v>
      </c>
      <c r="AI74" s="21" t="n">
        <v>320.036</v>
      </c>
      <c r="AJ74" s="21" t="n">
        <v>152.779</v>
      </c>
      <c r="AK74" s="21" t="n">
        <v>210.361</v>
      </c>
      <c r="AL74" s="21" t="n">
        <v>234.341</v>
      </c>
      <c r="AM74" s="21" t="n">
        <v>203.256</v>
      </c>
      <c r="AN74" s="21" t="n">
        <v>139.39</v>
      </c>
      <c r="AO74" s="21" t="n">
        <v>237.845</v>
      </c>
      <c r="AP74" s="21" t="n">
        <v>254.535</v>
      </c>
      <c r="AQ74" s="21" t="n">
        <v>152.624</v>
      </c>
      <c r="AR74" s="21" t="n"/>
      <c r="AS74" s="21" t="n"/>
      <c r="AT74" s="21" t="n">
        <v>245.84</v>
      </c>
      <c r="AU74" s="21" t="n">
        <v>157.889</v>
      </c>
      <c r="AV74" s="21" t="n">
        <v>258.407</v>
      </c>
      <c r="AW74" s="21" t="n">
        <v>235.836</v>
      </c>
      <c r="AX74" s="21" t="n">
        <v>161.56</v>
      </c>
      <c r="AY74" s="21" t="n">
        <v>313.669</v>
      </c>
      <c r="AZ74" s="21" t="n">
        <v>195.868</v>
      </c>
      <c r="BA74" s="21" t="n">
        <v>155.907</v>
      </c>
      <c r="BB74" s="21" t="n">
        <v>227.216</v>
      </c>
      <c r="BC74" s="21" t="n">
        <v>323.479</v>
      </c>
      <c r="BD74" s="21" t="n">
        <v>210.553</v>
      </c>
      <c r="BE74" s="21" t="n">
        <v>231.546</v>
      </c>
      <c r="BF74" s="21" t="n">
        <v>151.392</v>
      </c>
      <c r="BG74" s="21" t="n">
        <v>219.14</v>
      </c>
      <c r="BH74" s="21" t="n">
        <v>155.161</v>
      </c>
      <c r="BI74" s="21" t="n">
        <v>244.437</v>
      </c>
      <c r="BJ74" s="21" t="n">
        <v>234.615</v>
      </c>
      <c r="BK74" s="21" t="n">
        <v>152.552</v>
      </c>
      <c r="BL74" s="21" t="n">
        <v>309.954</v>
      </c>
      <c r="BM74" s="21" t="n">
        <v>358.851</v>
      </c>
      <c r="BN74" s="21" t="n">
        <v>364.882</v>
      </c>
      <c r="BO74" s="21" t="n">
        <v>322.045</v>
      </c>
      <c r="BP74" s="21" t="n">
        <v>196.779</v>
      </c>
      <c r="BQ74" s="21" t="n">
        <v>251.847</v>
      </c>
      <c r="BR74" s="21" t="n">
        <v>493.088</v>
      </c>
      <c r="BS74" s="21" t="n">
        <v>124.788</v>
      </c>
      <c r="BT74" s="21" t="n">
        <v>351.007</v>
      </c>
      <c r="BU74" s="21" t="n">
        <v>375.454</v>
      </c>
      <c r="BV74" s="21" t="n">
        <v>350.892</v>
      </c>
      <c r="BW74" s="21" t="n">
        <v>356.149</v>
      </c>
      <c r="BX74" s="21" t="n">
        <v>347.15</v>
      </c>
      <c r="BY74" s="21" t="n">
        <v>163.033</v>
      </c>
      <c r="BZ74" s="21" t="n">
        <v>170.968</v>
      </c>
      <c r="CA74" s="21" t="n">
        <v>163.634</v>
      </c>
      <c r="CB74" s="21" t="n">
        <v>183.386</v>
      </c>
      <c r="CC74" s="21" t="n">
        <v>151.11</v>
      </c>
      <c r="CD74" s="21" t="n">
        <v>206.418</v>
      </c>
      <c r="CE74" s="21" t="n">
        <v>158.548</v>
      </c>
      <c r="CF74" s="21" t="n">
        <v>189.956</v>
      </c>
      <c r="CG74" s="21" t="n">
        <v>179.789</v>
      </c>
      <c r="CH74" s="21" t="n">
        <v>142.196</v>
      </c>
      <c r="CI74" s="21" t="n">
        <v>184.601</v>
      </c>
      <c r="CJ74" s="21" t="n">
        <v>179.217</v>
      </c>
      <c r="CK74" s="21" t="n">
        <v>126.587</v>
      </c>
      <c r="CL74" s="21" t="n">
        <v>118.748</v>
      </c>
      <c r="CM74" s="21" t="n">
        <v>195.758</v>
      </c>
      <c r="CN74" s="21" t="n">
        <v>204.327</v>
      </c>
      <c r="CO74" s="21" t="n">
        <v>186.071</v>
      </c>
      <c r="CP74" s="21" t="n">
        <v>133.823</v>
      </c>
      <c r="CQ74" s="21" t="n">
        <v>217.824</v>
      </c>
      <c r="CR74" s="21" t="n">
        <v>232.56</v>
      </c>
      <c r="CS74" s="21" t="n">
        <v>205.7</v>
      </c>
      <c r="CT74" s="21" t="n">
        <v>159.009</v>
      </c>
      <c r="CU74" s="21" t="n">
        <v>156.973</v>
      </c>
      <c r="CV74" s="21" t="n">
        <v>231.62</v>
      </c>
      <c r="CW74" s="21" t="n">
        <v>206.79</v>
      </c>
      <c r="CX74" s="21" t="n">
        <v>246.297</v>
      </c>
      <c r="CY74" s="21" t="n">
        <v>301.761</v>
      </c>
      <c r="CZ74" s="21" t="n">
        <v>133.404</v>
      </c>
      <c r="DA74" s="21" t="n">
        <v>160.497</v>
      </c>
      <c r="DB74" s="21" t="n"/>
      <c r="DC74" s="21" t="n">
        <v>231.763</v>
      </c>
      <c r="DD74" s="21" t="n">
        <v>246.905</v>
      </c>
      <c r="DE74" s="21" t="n">
        <v>170.84</v>
      </c>
      <c r="DF74" s="21" t="n">
        <v>255.377</v>
      </c>
      <c r="DG74" s="21" t="n">
        <v>251.557</v>
      </c>
      <c r="DH74" s="21" t="n">
        <v>160.754</v>
      </c>
      <c r="DI74" s="21" t="n">
        <v>148.693</v>
      </c>
      <c r="DJ74" s="21" t="n">
        <v>145.908</v>
      </c>
      <c r="DK74" s="21" t="n">
        <v>280.216</v>
      </c>
      <c r="DL74" s="21" t="n">
        <v>172.794</v>
      </c>
      <c r="DM74" s="21" t="n">
        <v>137.879</v>
      </c>
      <c r="DN74" s="21" t="n">
        <v>133.529</v>
      </c>
      <c r="DO74" s="21" t="n">
        <v>300.382</v>
      </c>
      <c r="DP74" s="21" t="n">
        <v>184.776</v>
      </c>
      <c r="DQ74" s="21" t="n">
        <v>196.386</v>
      </c>
      <c r="DR74" s="21" t="n">
        <v>157.583</v>
      </c>
      <c r="DS74" s="21" t="n">
        <v>118.831</v>
      </c>
      <c r="DT74" s="21" t="n">
        <v>173.716</v>
      </c>
      <c r="DU74" s="21" t="n">
        <v>201.915</v>
      </c>
      <c r="DV74" s="21" t="n">
        <v>259.765</v>
      </c>
      <c r="DW74" s="21" t="n">
        <v>210.458</v>
      </c>
      <c r="DX74" s="21" t="n">
        <v>239.16</v>
      </c>
      <c r="DY74" s="21" t="n">
        <v>199.253</v>
      </c>
      <c r="DZ74" s="21" t="n">
        <v>213.064</v>
      </c>
      <c r="EA74" s="21" t="n">
        <v>195.557</v>
      </c>
      <c r="EB74" s="21" t="n">
        <v>173.193</v>
      </c>
      <c r="EC74" s="21" t="n">
        <v>367.968</v>
      </c>
      <c r="ED74" s="21" t="n">
        <v>179.841</v>
      </c>
      <c r="EE74" s="21" t="n">
        <v>198.23</v>
      </c>
      <c r="EF74" s="21" t="n">
        <v>204.712</v>
      </c>
      <c r="EG74" s="21" t="n">
        <v>274.336</v>
      </c>
      <c r="EH74" s="21" t="n">
        <v>328.282</v>
      </c>
      <c r="EI74" s="21" t="n">
        <v>344.758</v>
      </c>
      <c r="EJ74" s="21" t="n">
        <v>136.034</v>
      </c>
      <c r="EK74" s="21" t="n">
        <v>582.375</v>
      </c>
      <c r="EL74" s="21" t="n">
        <v>268.995</v>
      </c>
      <c r="EM74" s="21" t="n">
        <v>338.181</v>
      </c>
      <c r="EN74" s="21" t="n">
        <v>338.21</v>
      </c>
      <c r="EO74" s="21" t="n">
        <v>152.493</v>
      </c>
      <c r="EP74" s="21" t="n">
        <v>248.879</v>
      </c>
      <c r="EQ74" s="21" t="n">
        <v>203.476</v>
      </c>
      <c r="ER74" s="21" t="n">
        <v>267.049</v>
      </c>
      <c r="ES74" s="21" t="n">
        <v>243.588</v>
      </c>
      <c r="ET74" s="21" t="n">
        <v>362.2</v>
      </c>
      <c r="EU74" s="21" t="n">
        <v>207.649</v>
      </c>
      <c r="EV74" s="21" t="n">
        <v>215.242</v>
      </c>
      <c r="EW74" s="21" t="n">
        <v>181.709</v>
      </c>
      <c r="EX74" s="21" t="n">
        <v>257.722</v>
      </c>
      <c r="EY74" s="21" t="n">
        <v>596.237</v>
      </c>
      <c r="EZ74" s="21" t="n">
        <v>512.722</v>
      </c>
      <c r="FA74" s="21" t="n">
        <v>127.716</v>
      </c>
      <c r="FB74" s="21" t="n">
        <v>55.777</v>
      </c>
      <c r="FC74" s="21" t="n">
        <v>110.759</v>
      </c>
      <c r="FD74" s="21" t="n">
        <v>63.32</v>
      </c>
      <c r="FE74" s="21" t="n">
        <v>42.321</v>
      </c>
      <c r="FF74" s="21" t="n">
        <v>115.163</v>
      </c>
      <c r="FG74" s="21" t="n">
        <v>128.341</v>
      </c>
      <c r="FH74" s="21" t="n">
        <v>89.42400000000001</v>
      </c>
      <c r="FI74" s="21" t="n">
        <v>73.185</v>
      </c>
      <c r="FJ74" s="21" t="n"/>
      <c r="FK74" s="21" t="n">
        <v>81.349</v>
      </c>
      <c r="FL74" s="21" t="n">
        <v>94.121</v>
      </c>
      <c r="FM74" s="21" t="n">
        <v>109.401</v>
      </c>
      <c r="FN74" s="21" t="n">
        <v>68.065</v>
      </c>
      <c r="FO74" s="21" t="n">
        <v>51.23</v>
      </c>
      <c r="FP74" s="21" t="n">
        <v>37.626</v>
      </c>
      <c r="FQ74" s="21" t="n">
        <v>139</v>
      </c>
      <c r="FR74" s="21" t="n">
        <v>46.638</v>
      </c>
      <c r="FS74" s="21" t="n">
        <v>78.602</v>
      </c>
      <c r="FT74" s="21" t="n">
        <v>92.441</v>
      </c>
      <c r="FU74" s="21" t="n">
        <v>100.718</v>
      </c>
      <c r="FV74" s="21" t="n">
        <v>88.58</v>
      </c>
      <c r="FW74" s="21" t="n">
        <v>199.947</v>
      </c>
      <c r="FX74" s="21" t="n">
        <v>128.551</v>
      </c>
      <c r="FY74" s="21" t="n">
        <v>193.185</v>
      </c>
      <c r="FZ74" s="21" t="n">
        <v>119.91</v>
      </c>
      <c r="GA74" s="21" t="n">
        <v>207.123</v>
      </c>
      <c r="GB74" s="21" t="n">
        <v>183.296</v>
      </c>
      <c r="GC74" s="21" t="n"/>
      <c r="GD74" s="21" t="n">
        <v>184.576</v>
      </c>
      <c r="GE74" s="21" t="n">
        <v>272.086</v>
      </c>
      <c r="GF74" s="21" t="n">
        <v>117.785</v>
      </c>
      <c r="GG74" s="21" t="n">
        <v>113.504</v>
      </c>
      <c r="GH74" s="21" t="n">
        <v>115.305</v>
      </c>
      <c r="GI74" s="21" t="n">
        <v>86.658</v>
      </c>
      <c r="GJ74" s="21" t="n">
        <v>156.571</v>
      </c>
      <c r="GK74" s="21" t="n">
        <v>70.151</v>
      </c>
      <c r="GL74" s="21" t="n">
        <v>126.647</v>
      </c>
      <c r="GM74" s="21" t="n">
        <v>104.455</v>
      </c>
      <c r="GN74" s="21" t="n">
        <v>98.301</v>
      </c>
      <c r="GO74" s="21" t="n">
        <v>97.492</v>
      </c>
      <c r="GP74" s="21" t="n">
        <v>90.642</v>
      </c>
      <c r="GQ74" s="21" t="n">
        <v>90.881</v>
      </c>
      <c r="GR74" s="21" t="n">
        <v>67.98099999999999</v>
      </c>
      <c r="GS74" s="21" t="n">
        <v>96.923</v>
      </c>
      <c r="GT74" s="21" t="n">
        <v>101.155</v>
      </c>
      <c r="GU74" s="21" t="n">
        <v>133.687</v>
      </c>
      <c r="GV74" s="21" t="n">
        <v>140.705</v>
      </c>
      <c r="GW74" s="21" t="n">
        <v>152.742</v>
      </c>
      <c r="GX74" s="21" t="n">
        <v>119.186</v>
      </c>
      <c r="GY74" s="21" t="n">
        <v>108.665</v>
      </c>
      <c r="GZ74" s="21" t="n">
        <v>179.725</v>
      </c>
      <c r="HA74" s="21" t="n">
        <v>146.565</v>
      </c>
      <c r="HB74" s="21" t="n">
        <v>177.861</v>
      </c>
      <c r="HC74" s="21" t="n">
        <v>205.631</v>
      </c>
      <c r="HD74" s="21" t="n">
        <v>203.963</v>
      </c>
      <c r="HE74" s="21" t="n">
        <v>102.492</v>
      </c>
      <c r="HF74" s="21" t="n">
        <v>149.377</v>
      </c>
      <c r="HG74" s="21" t="n">
        <v>103.526</v>
      </c>
      <c r="HH74" s="21" t="n">
        <v>145.725</v>
      </c>
      <c r="HI74" s="21" t="n">
        <v>159.136</v>
      </c>
      <c r="HJ74" s="21" t="n"/>
      <c r="HK74" s="21" t="n">
        <v>149.659</v>
      </c>
      <c r="HL74" s="21" t="n">
        <v>82.018</v>
      </c>
      <c r="HM74" s="21" t="n">
        <v>133.433</v>
      </c>
      <c r="HN74" s="21" t="n">
        <v>208.387</v>
      </c>
      <c r="HO74" s="21" t="n">
        <v>207.406</v>
      </c>
      <c r="HP74" s="21" t="n">
        <v>202.401</v>
      </c>
      <c r="HQ74" s="21" t="n">
        <v>228.27</v>
      </c>
      <c r="HR74" s="21" t="n">
        <v>225.014</v>
      </c>
      <c r="HS74" s="21" t="n">
        <v>192.812</v>
      </c>
      <c r="HT74" s="21" t="n">
        <v>149.198</v>
      </c>
      <c r="HU74" s="21" t="n">
        <v>127.029</v>
      </c>
      <c r="HV74" s="21" t="n">
        <v>179.466</v>
      </c>
      <c r="HW74" s="21" t="n">
        <v>169.872</v>
      </c>
      <c r="HX74" s="21" t="n">
        <v>389.111</v>
      </c>
      <c r="HY74" s="21" t="n">
        <v>310.662</v>
      </c>
      <c r="HZ74" s="21" t="n">
        <v>329.361</v>
      </c>
      <c r="IA74" s="21" t="n">
        <v>280.494</v>
      </c>
      <c r="IB74" s="21" t="n">
        <v>190.854</v>
      </c>
      <c r="IC74" s="21" t="n">
        <v>551.552</v>
      </c>
      <c r="ID74" s="21" t="n">
        <v>196.997</v>
      </c>
      <c r="IE74" s="21" t="n">
        <v>186.013</v>
      </c>
      <c r="IF74" s="21" t="n">
        <v>214.896</v>
      </c>
      <c r="IG74" s="21" t="n">
        <v>247.097</v>
      </c>
      <c r="IH74" s="21" t="n"/>
      <c r="II74" s="21" t="n">
        <v>217.5</v>
      </c>
      <c r="IJ74" s="21" t="n">
        <v>200.825</v>
      </c>
      <c r="IK74" s="21" t="n">
        <v>159.675</v>
      </c>
      <c r="IL74" s="21" t="n"/>
      <c r="IM74" s="21" t="n"/>
      <c r="IN74" s="21" t="n">
        <v>63.907</v>
      </c>
      <c r="IO74" s="21" t="n">
        <v>309.54</v>
      </c>
      <c r="IP74" s="21" t="n">
        <v>117.46</v>
      </c>
      <c r="IQ74" s="21" t="n">
        <v>522.133</v>
      </c>
      <c r="IR74" s="21" t="n">
        <v>377.546</v>
      </c>
      <c r="IS74" s="21" t="n">
        <v>123.862</v>
      </c>
      <c r="IT74" s="21" t="n">
        <v>525.434</v>
      </c>
      <c r="IU74" s="21" t="n">
        <v>94.85299999999999</v>
      </c>
      <c r="IV74" s="21" t="n">
        <v>95.402</v>
      </c>
      <c r="IW74" s="21" t="n">
        <v>568.778</v>
      </c>
      <c r="IX74" s="21" t="n">
        <v>395.911</v>
      </c>
      <c r="IY74" s="21" t="n">
        <v>397.892</v>
      </c>
      <c r="IZ74" s="21" t="n">
        <v>516.519</v>
      </c>
      <c r="JA74" s="21" t="n">
        <v>192.378</v>
      </c>
      <c r="JB74" s="21" t="n">
        <v>247.153</v>
      </c>
      <c r="JC74" s="21" t="n">
        <v>85.15900000000001</v>
      </c>
      <c r="JD74" s="21" t="n">
        <v>358.733</v>
      </c>
      <c r="JE74" s="21" t="n">
        <v>346.381</v>
      </c>
      <c r="JF74" s="21" t="n">
        <v>784.494</v>
      </c>
      <c r="JG74" s="21" t="n">
        <v>245.25</v>
      </c>
      <c r="JH74" s="21" t="n">
        <v>134.678</v>
      </c>
      <c r="JI74" s="21" t="n">
        <v>177.079</v>
      </c>
      <c r="JJ74" s="21" t="n">
        <v>122.14</v>
      </c>
      <c r="JK74" s="21" t="n">
        <v>107.888</v>
      </c>
      <c r="JL74" s="21" t="n">
        <v>132.592</v>
      </c>
      <c r="JM74" s="21" t="n">
        <v>507.562</v>
      </c>
      <c r="JN74" s="21" t="n">
        <v>124.1</v>
      </c>
      <c r="JO74" s="21" t="n">
        <v>66.232</v>
      </c>
      <c r="JP74" s="21" t="n">
        <v>32.234</v>
      </c>
      <c r="JQ74" s="21" t="n">
        <v>139.211</v>
      </c>
      <c r="JR74" s="21" t="n">
        <v>25.936</v>
      </c>
      <c r="JS74" s="21" t="n">
        <v>78.718</v>
      </c>
      <c r="JT74" s="21" t="n">
        <v>182.431</v>
      </c>
      <c r="JU74" s="21" t="n">
        <v>202.042</v>
      </c>
      <c r="JV74" s="21" t="n">
        <v>154.958</v>
      </c>
      <c r="JW74" s="21" t="n">
        <v>115.225</v>
      </c>
      <c r="JX74" s="21" t="n">
        <v>270.153</v>
      </c>
      <c r="JY74" s="21" t="n">
        <v>204.842</v>
      </c>
      <c r="JZ74" s="21" t="n">
        <v>285.033</v>
      </c>
      <c r="KA74" s="21" t="n">
        <v>117.219</v>
      </c>
      <c r="KB74" s="21" t="n">
        <v>160.236</v>
      </c>
      <c r="KC74" s="21" t="n">
        <v>81.31999999999999</v>
      </c>
      <c r="KD74" s="21" t="n">
        <v>75.71899999999999</v>
      </c>
      <c r="KE74" s="21" t="n">
        <v>56.809</v>
      </c>
      <c r="KF74" s="21" t="n"/>
      <c r="KG74" s="21" t="n">
        <v>23.952</v>
      </c>
      <c r="KH74" s="21" t="n">
        <v>121.776</v>
      </c>
      <c r="KI74" s="21" t="n"/>
      <c r="KJ74" s="21" t="n"/>
      <c r="KK74" s="21" t="n">
        <v>33.108</v>
      </c>
      <c r="KL74" s="21" t="n">
        <v>28.969</v>
      </c>
      <c r="KM74" s="21" t="n">
        <v>37.571</v>
      </c>
      <c r="KN74" s="21" t="n"/>
      <c r="KO74" s="21" t="n">
        <v>93.21599999999999</v>
      </c>
      <c r="KP74" s="21" t="n">
        <v>101.921</v>
      </c>
      <c r="KQ74" s="21" t="n">
        <v>170.235</v>
      </c>
      <c r="KR74" s="21" t="n">
        <v>145.086</v>
      </c>
      <c r="KS74" s="21" t="n">
        <v>367.426</v>
      </c>
      <c r="KT74" s="21" t="n">
        <v>189.962</v>
      </c>
      <c r="KU74" s="21" t="n">
        <v>186.073</v>
      </c>
      <c r="KV74" s="21" t="n">
        <v>338.351</v>
      </c>
      <c r="KW74" s="21" t="n">
        <v>274.619</v>
      </c>
      <c r="KX74" s="21" t="n">
        <v>205.939</v>
      </c>
      <c r="KY74" s="21" t="n">
        <v>99.67100000000001</v>
      </c>
      <c r="KZ74" s="21" t="n">
        <v>141.556</v>
      </c>
      <c r="LA74" s="21" t="n">
        <v>272.238</v>
      </c>
      <c r="LB74" s="21" t="n">
        <v>684.568</v>
      </c>
      <c r="LC74" s="21" t="n">
        <v>235.084</v>
      </c>
      <c r="LD74" s="21" t="n">
        <v>781.914</v>
      </c>
      <c r="LE74" s="21" t="n">
        <v>878.569</v>
      </c>
      <c r="LF74" s="21" t="n">
        <v>85.849</v>
      </c>
      <c r="LG74" s="21" t="n">
        <v>314.785</v>
      </c>
      <c r="LH74" s="21" t="n">
        <v>262.113</v>
      </c>
      <c r="LI74" s="21" t="n">
        <v>75.361</v>
      </c>
      <c r="LJ74" s="21" t="n">
        <v>205.418</v>
      </c>
      <c r="LK74" s="21" t="n">
        <v>322.935</v>
      </c>
      <c r="LL74" s="21" t="n">
        <v>334.396</v>
      </c>
      <c r="LM74" s="21" t="n">
        <v>71.199</v>
      </c>
      <c r="LN74" s="21" t="n">
        <v>94.16500000000001</v>
      </c>
      <c r="LO74" s="21" t="n">
        <v>48.312</v>
      </c>
      <c r="LP74" s="21" t="n">
        <v>132.04</v>
      </c>
      <c r="LQ74" s="21" t="n"/>
      <c r="LR74" s="21" t="n"/>
      <c r="LS74" s="21" t="n">
        <v>108.314</v>
      </c>
      <c r="LT74" s="21" t="n">
        <v>38.316</v>
      </c>
      <c r="LU74" s="21" t="n">
        <v>26.28</v>
      </c>
      <c r="LV74" s="21" t="n">
        <v>78.485</v>
      </c>
      <c r="LW74" s="21" t="n">
        <v>161.466</v>
      </c>
      <c r="LX74" s="21" t="n">
        <v>81.345</v>
      </c>
      <c r="LY74" s="21" t="n">
        <v>467.995</v>
      </c>
      <c r="LZ74" s="21" t="n">
        <v>76.98699999999999</v>
      </c>
      <c r="MA74" s="21" t="n">
        <v>502.735</v>
      </c>
      <c r="MB74" s="21" t="n">
        <v>293.502</v>
      </c>
      <c r="MC74" s="21" t="n">
        <v>239.535</v>
      </c>
      <c r="MD74" s="21" t="n">
        <v>159.785</v>
      </c>
      <c r="ME74" s="21" t="n">
        <v>103.209</v>
      </c>
      <c r="MF74" s="21" t="n">
        <v>179.952</v>
      </c>
      <c r="MG74" s="21" t="n">
        <v>293.012</v>
      </c>
      <c r="MH74" s="21" t="n">
        <v>178.785</v>
      </c>
      <c r="MI74" s="21" t="n">
        <v>452.841</v>
      </c>
      <c r="MJ74" s="21" t="n">
        <v>369.417</v>
      </c>
      <c r="MK74" s="21" t="n">
        <v>345.498</v>
      </c>
      <c r="ML74" s="21" t="n">
        <v>183.159</v>
      </c>
      <c r="MM74" s="21" t="n">
        <v>209.546</v>
      </c>
      <c r="MN74" s="21" t="n">
        <v>349.467</v>
      </c>
      <c r="MO74" s="21" t="n">
        <v>150.043</v>
      </c>
      <c r="MP74" s="21" t="n">
        <v>261.103</v>
      </c>
      <c r="MQ74" s="21" t="n">
        <v>75.182</v>
      </c>
      <c r="MR74" s="21" t="n">
        <v>159.876</v>
      </c>
      <c r="MS74" s="21" t="n"/>
      <c r="MT74" s="21" t="n">
        <v>249.098</v>
      </c>
      <c r="MU74" s="21" t="n">
        <v>269.199</v>
      </c>
      <c r="MV74" s="21" t="n">
        <v>260.098</v>
      </c>
      <c r="MW74" s="21" t="n">
        <v>269.755</v>
      </c>
      <c r="MX74" s="21" t="n">
        <v>238.594</v>
      </c>
      <c r="MY74" s="21" t="n">
        <v>230.398</v>
      </c>
      <c r="MZ74" s="21" t="n">
        <v>237.329</v>
      </c>
      <c r="NA74" s="21" t="n">
        <v>242.424</v>
      </c>
      <c r="NB74" s="21" t="n">
        <v>109.762</v>
      </c>
      <c r="NC74" s="21" t="n">
        <v>187.79</v>
      </c>
      <c r="ND74" s="21" t="n">
        <v>151.918</v>
      </c>
      <c r="NE74" s="21" t="n">
        <v>148.303</v>
      </c>
      <c r="NF74" s="21" t="n">
        <v>145.973</v>
      </c>
      <c r="NG74" s="21" t="n">
        <v>145.857</v>
      </c>
      <c r="NH74" s="21" t="n">
        <v>259.851</v>
      </c>
      <c r="NI74" s="21" t="n">
        <v>107.517</v>
      </c>
      <c r="NJ74" s="21" t="n">
        <v>67.34</v>
      </c>
      <c r="NK74" s="21" t="n">
        <v>114.829</v>
      </c>
      <c r="NL74" s="21" t="n">
        <v>205.273</v>
      </c>
      <c r="NM74" s="21" t="n">
        <v>212.676</v>
      </c>
      <c r="NN74" s="21" t="n">
        <v>92.871</v>
      </c>
      <c r="NO74" s="21" t="n">
        <v>47.532</v>
      </c>
      <c r="NP74" s="21" t="n">
        <v>228.543</v>
      </c>
      <c r="NQ74" s="21" t="n">
        <v>193.157</v>
      </c>
      <c r="NR74" s="21" t="n">
        <v>238.365</v>
      </c>
      <c r="NS74" s="21" t="n">
        <v>188.975</v>
      </c>
      <c r="NT74" s="21" t="n">
        <v>237.386</v>
      </c>
      <c r="NU74" s="21" t="n">
        <v>118.508</v>
      </c>
      <c r="NV74" s="21" t="n">
        <v>129.591</v>
      </c>
      <c r="NW74" s="21" t="n">
        <v>369.899</v>
      </c>
      <c r="NX74" s="21" t="n">
        <v>79.553</v>
      </c>
      <c r="NY74" s="21" t="n">
        <v>126.944</v>
      </c>
      <c r="NZ74" s="21" t="n">
        <v>342.373</v>
      </c>
      <c r="OA74" s="21" t="n">
        <v>334.451</v>
      </c>
      <c r="OB74" s="21" t="n">
        <v>347.19</v>
      </c>
      <c r="OC74" s="21" t="n">
        <v>316.72</v>
      </c>
      <c r="OD74" s="21" t="n">
        <v>351.226</v>
      </c>
      <c r="OE74" s="21" t="n">
        <v>108.805</v>
      </c>
      <c r="OF74" s="21" t="n">
        <v>311.312</v>
      </c>
      <c r="OG74" s="21" t="n">
        <v>220.629</v>
      </c>
      <c r="OH74" s="21" t="n">
        <v>36.56</v>
      </c>
      <c r="OI74" s="21" t="n">
        <v>133.747</v>
      </c>
      <c r="OJ74" s="21" t="n">
        <v>38.2</v>
      </c>
      <c r="OK74" s="21" t="n">
        <v>12.8</v>
      </c>
    </row>
    <row r="75">
      <c r="A75" s="22" t="n">
        <v>44228</v>
      </c>
      <c r="B75" s="21" t="n">
        <v>263.014</v>
      </c>
      <c r="C75" s="21" t="n">
        <v>787.872</v>
      </c>
      <c r="D75" s="21" t="n">
        <v>270.672</v>
      </c>
      <c r="E75" s="21" t="n">
        <v>271.363</v>
      </c>
      <c r="F75" s="21" t="n">
        <v>252.716</v>
      </c>
      <c r="G75" s="21" t="n">
        <v>284.095</v>
      </c>
      <c r="H75" s="21" t="n">
        <v>231.699</v>
      </c>
      <c r="I75" s="21" t="n">
        <v>238.561</v>
      </c>
      <c r="J75" s="21" t="n">
        <v>223.913</v>
      </c>
      <c r="K75" s="21" t="n">
        <v>244.664</v>
      </c>
      <c r="L75" s="21" t="n">
        <v>166.248</v>
      </c>
      <c r="M75" s="21" t="n">
        <v>314.428</v>
      </c>
      <c r="N75" s="21" t="n">
        <v>191.171</v>
      </c>
      <c r="O75" s="21" t="n">
        <v>345.249</v>
      </c>
      <c r="P75" s="21" t="n">
        <v>372.687</v>
      </c>
      <c r="Q75" s="21" t="n">
        <v>189.257</v>
      </c>
      <c r="R75" s="21" t="n">
        <v>296.6</v>
      </c>
      <c r="S75" s="21" t="n">
        <v>314.74</v>
      </c>
      <c r="T75" s="21" t="n">
        <v>277.566</v>
      </c>
      <c r="U75" s="21" t="n">
        <v>277.028</v>
      </c>
      <c r="V75" s="21" t="n">
        <v>324.689</v>
      </c>
      <c r="W75" s="21" t="n">
        <v>317.346</v>
      </c>
      <c r="X75" s="21" t="n">
        <v>270.441</v>
      </c>
      <c r="Y75" s="21" t="n">
        <v>266.606</v>
      </c>
      <c r="Z75" s="21" t="n">
        <v>270.278</v>
      </c>
      <c r="AA75" s="21" t="n">
        <v>275.065</v>
      </c>
      <c r="AB75" s="21" t="n">
        <v>334.797</v>
      </c>
      <c r="AC75" s="21" t="n">
        <v>290.26</v>
      </c>
      <c r="AD75" s="21" t="n">
        <v>264.311</v>
      </c>
      <c r="AE75" s="21" t="n">
        <v>223.867</v>
      </c>
      <c r="AF75" s="21" t="n">
        <v>275.772</v>
      </c>
      <c r="AG75" s="21" t="n">
        <v>228.134</v>
      </c>
      <c r="AH75" s="21" t="n">
        <v>168.012</v>
      </c>
      <c r="AI75" s="21" t="n">
        <v>316.901</v>
      </c>
      <c r="AJ75" s="21" t="n">
        <v>151.023</v>
      </c>
      <c r="AK75" s="21" t="n">
        <v>221.941</v>
      </c>
      <c r="AL75" s="21" t="n">
        <v>248.338</v>
      </c>
      <c r="AM75" s="21" t="n">
        <v>205.226</v>
      </c>
      <c r="AN75" s="21" t="n">
        <v>138.639</v>
      </c>
      <c r="AO75" s="21" t="n">
        <v>238.241</v>
      </c>
      <c r="AP75" s="21" t="n">
        <v>256.436</v>
      </c>
      <c r="AQ75" s="21" t="n">
        <v>151.742</v>
      </c>
      <c r="AR75" s="21" t="n"/>
      <c r="AS75" s="21" t="n"/>
      <c r="AT75" s="21" t="n">
        <v>244.068</v>
      </c>
      <c r="AU75" s="21" t="n">
        <v>156.594</v>
      </c>
      <c r="AV75" s="21" t="n">
        <v>258.55</v>
      </c>
      <c r="AW75" s="21" t="n">
        <v>232.716</v>
      </c>
      <c r="AX75" s="21" t="n">
        <v>161.092</v>
      </c>
      <c r="AY75" s="21" t="n">
        <v>312.061</v>
      </c>
      <c r="AZ75" s="21" t="n">
        <v>196.115</v>
      </c>
      <c r="BA75" s="21" t="n">
        <v>154.1</v>
      </c>
      <c r="BB75" s="21" t="n">
        <v>225.37</v>
      </c>
      <c r="BC75" s="21" t="n">
        <v>319.101</v>
      </c>
      <c r="BD75" s="21" t="n">
        <v>218.46</v>
      </c>
      <c r="BE75" s="21" t="n">
        <v>230.452</v>
      </c>
      <c r="BF75" s="21" t="n">
        <v>149.192</v>
      </c>
      <c r="BG75" s="21" t="n">
        <v>214.775</v>
      </c>
      <c r="BH75" s="21" t="n">
        <v>154.017</v>
      </c>
      <c r="BI75" s="21" t="n">
        <v>243.24</v>
      </c>
      <c r="BJ75" s="21" t="n">
        <v>232.63</v>
      </c>
      <c r="BK75" s="21" t="n">
        <v>153.82</v>
      </c>
      <c r="BL75" s="21" t="n">
        <v>309.993</v>
      </c>
      <c r="BM75" s="21" t="n">
        <v>358.712</v>
      </c>
      <c r="BN75" s="21" t="n">
        <v>369.444</v>
      </c>
      <c r="BO75" s="21" t="n">
        <v>330.695</v>
      </c>
      <c r="BP75" s="21" t="n">
        <v>193.05</v>
      </c>
      <c r="BQ75" s="21" t="n">
        <v>254.399</v>
      </c>
      <c r="BR75" s="21" t="n">
        <v>495.755</v>
      </c>
      <c r="BS75" s="21" t="n">
        <v>127.159</v>
      </c>
      <c r="BT75" s="21" t="n">
        <v>346.094</v>
      </c>
      <c r="BU75" s="21" t="n">
        <v>370.123</v>
      </c>
      <c r="BV75" s="21" t="n">
        <v>344.154</v>
      </c>
      <c r="BW75" s="21" t="n">
        <v>349.198</v>
      </c>
      <c r="BX75" s="21" t="n">
        <v>343.27</v>
      </c>
      <c r="BY75" s="21" t="n">
        <v>163.36</v>
      </c>
      <c r="BZ75" s="21" t="n">
        <v>172.091</v>
      </c>
      <c r="CA75" s="21" t="n">
        <v>164.936</v>
      </c>
      <c r="CB75" s="21" t="n">
        <v>183.597</v>
      </c>
      <c r="CC75" s="21" t="n">
        <v>150.055</v>
      </c>
      <c r="CD75" s="21" t="n">
        <v>204.053</v>
      </c>
      <c r="CE75" s="21" t="n">
        <v>159.154</v>
      </c>
      <c r="CF75" s="21" t="n">
        <v>189.961</v>
      </c>
      <c r="CG75" s="21" t="n">
        <v>180.202</v>
      </c>
      <c r="CH75" s="21" t="n">
        <v>142.742</v>
      </c>
      <c r="CI75" s="21" t="n">
        <v>185.775</v>
      </c>
      <c r="CJ75" s="21" t="n">
        <v>180.148</v>
      </c>
      <c r="CK75" s="21" t="n">
        <v>126.831</v>
      </c>
      <c r="CL75" s="21" t="n">
        <v>118.556</v>
      </c>
      <c r="CM75" s="21" t="n">
        <v>195.501</v>
      </c>
      <c r="CN75" s="21" t="n">
        <v>204.57</v>
      </c>
      <c r="CO75" s="21" t="n">
        <v>183.787</v>
      </c>
      <c r="CP75" s="21" t="n">
        <v>133.531</v>
      </c>
      <c r="CQ75" s="21" t="n">
        <v>219.11</v>
      </c>
      <c r="CR75" s="21" t="n">
        <v>231.515</v>
      </c>
      <c r="CS75" s="21" t="n">
        <v>207.205</v>
      </c>
      <c r="CT75" s="21" t="n">
        <v>157.5</v>
      </c>
      <c r="CU75" s="21" t="n">
        <v>157.617</v>
      </c>
      <c r="CV75" s="21" t="n">
        <v>233.393</v>
      </c>
      <c r="CW75" s="21" t="n">
        <v>209.978</v>
      </c>
      <c r="CX75" s="21" t="n">
        <v>248.713</v>
      </c>
      <c r="CY75" s="21" t="n">
        <v>310.701</v>
      </c>
      <c r="CZ75" s="21" t="n">
        <v>132.761</v>
      </c>
      <c r="DA75" s="21" t="n">
        <v>161.965</v>
      </c>
      <c r="DB75" s="21" t="n"/>
      <c r="DC75" s="21" t="n">
        <v>233.516</v>
      </c>
      <c r="DD75" s="21" t="n">
        <v>250.762</v>
      </c>
      <c r="DE75" s="21" t="n">
        <v>171.443</v>
      </c>
      <c r="DF75" s="21" t="n">
        <v>259.836</v>
      </c>
      <c r="DG75" s="21" t="n">
        <v>253.813</v>
      </c>
      <c r="DH75" s="21" t="n">
        <v>162.408</v>
      </c>
      <c r="DI75" s="21" t="n">
        <v>151.37</v>
      </c>
      <c r="DJ75" s="21" t="n">
        <v>146.828</v>
      </c>
      <c r="DK75" s="21" t="n">
        <v>282.339</v>
      </c>
      <c r="DL75" s="21" t="n">
        <v>172.967</v>
      </c>
      <c r="DM75" s="21" t="n">
        <v>137.999</v>
      </c>
      <c r="DN75" s="21" t="n">
        <v>133.939</v>
      </c>
      <c r="DO75" s="21" t="n">
        <v>300.54</v>
      </c>
      <c r="DP75" s="21" t="n">
        <v>185.256</v>
      </c>
      <c r="DQ75" s="21" t="n">
        <v>197.076</v>
      </c>
      <c r="DR75" s="21" t="n">
        <v>138.337</v>
      </c>
      <c r="DS75" s="21" t="n">
        <v>102.565</v>
      </c>
      <c r="DT75" s="21" t="n">
        <v>173.686</v>
      </c>
      <c r="DU75" s="21" t="n">
        <v>202.261</v>
      </c>
      <c r="DV75" s="21" t="n">
        <v>260.011</v>
      </c>
      <c r="DW75" s="21" t="n">
        <v>210.73</v>
      </c>
      <c r="DX75" s="21" t="n">
        <v>239.803</v>
      </c>
      <c r="DY75" s="21" t="n">
        <v>200.616</v>
      </c>
      <c r="DZ75" s="21" t="n">
        <v>214.867</v>
      </c>
      <c r="EA75" s="21" t="n">
        <v>196.809</v>
      </c>
      <c r="EB75" s="21" t="n">
        <v>172.866</v>
      </c>
      <c r="EC75" s="21" t="n">
        <v>368.156</v>
      </c>
      <c r="ED75" s="21" t="n">
        <v>179.983</v>
      </c>
      <c r="EE75" s="21" t="n">
        <v>198.012</v>
      </c>
      <c r="EF75" s="21" t="n">
        <v>204.856</v>
      </c>
      <c r="EG75" s="21" t="n">
        <v>275.137</v>
      </c>
      <c r="EH75" s="21" t="n">
        <v>329.005</v>
      </c>
      <c r="EI75" s="21" t="n">
        <v>345.242</v>
      </c>
      <c r="EJ75" s="21" t="n">
        <v>138.283</v>
      </c>
      <c r="EK75" s="21" t="n">
        <v>582.857</v>
      </c>
      <c r="EL75" s="21" t="n">
        <v>274.134</v>
      </c>
      <c r="EM75" s="21" t="n">
        <v>338.918</v>
      </c>
      <c r="EN75" s="21" t="n">
        <v>338.947</v>
      </c>
      <c r="EO75" s="21" t="n">
        <v>150.665</v>
      </c>
      <c r="EP75" s="21" t="n">
        <v>251.277</v>
      </c>
      <c r="EQ75" s="21" t="n">
        <v>205.82</v>
      </c>
      <c r="ER75" s="21" t="n">
        <v>289.571</v>
      </c>
      <c r="ES75" s="21" t="n">
        <v>267.613</v>
      </c>
      <c r="ET75" s="21" t="n">
        <v>385.879</v>
      </c>
      <c r="EU75" s="21" t="n">
        <v>209.296</v>
      </c>
      <c r="EV75" s="21" t="n">
        <v>216.998</v>
      </c>
      <c r="EW75" s="21" t="n">
        <v>183.006</v>
      </c>
      <c r="EX75" s="21" t="n">
        <v>258.763</v>
      </c>
      <c r="EY75" s="21" t="n">
        <v>597.5839999999999</v>
      </c>
      <c r="EZ75" s="21" t="n">
        <v>517.27</v>
      </c>
      <c r="FA75" s="21" t="n">
        <v>127.935</v>
      </c>
      <c r="FB75" s="21" t="n">
        <v>56.058</v>
      </c>
      <c r="FC75" s="21" t="n">
        <v>111.802</v>
      </c>
      <c r="FD75" s="21" t="n">
        <v>62.571</v>
      </c>
      <c r="FE75" s="21" t="n">
        <v>42.718</v>
      </c>
      <c r="FF75" s="21" t="n">
        <v>115.123</v>
      </c>
      <c r="FG75" s="21" t="n">
        <v>126.493</v>
      </c>
      <c r="FH75" s="21" t="n">
        <v>89.64700000000001</v>
      </c>
      <c r="FI75" s="21" t="n">
        <v>74.77</v>
      </c>
      <c r="FJ75" s="21" t="n"/>
      <c r="FK75" s="21" t="n">
        <v>82.88200000000001</v>
      </c>
      <c r="FL75" s="21" t="n">
        <v>94.223</v>
      </c>
      <c r="FM75" s="21" t="n">
        <v>109.057</v>
      </c>
      <c r="FN75" s="21" t="n">
        <v>70.03</v>
      </c>
      <c r="FO75" s="21" t="n">
        <v>51.874</v>
      </c>
      <c r="FP75" s="21" t="n">
        <v>37.864</v>
      </c>
      <c r="FQ75" s="21" t="n">
        <v>143.157</v>
      </c>
      <c r="FR75" s="21" t="n">
        <v>47.311</v>
      </c>
      <c r="FS75" s="21" t="n">
        <v>79.846</v>
      </c>
      <c r="FT75" s="21" t="n">
        <v>93.04600000000001</v>
      </c>
      <c r="FU75" s="21" t="n">
        <v>101.634</v>
      </c>
      <c r="FV75" s="21" t="n">
        <v>89.001</v>
      </c>
      <c r="FW75" s="21" t="n">
        <v>197.246</v>
      </c>
      <c r="FX75" s="21" t="n">
        <v>127.847</v>
      </c>
      <c r="FY75" s="21" t="n">
        <v>192.919</v>
      </c>
      <c r="FZ75" s="21" t="n">
        <v>116.109</v>
      </c>
      <c r="GA75" s="21" t="n">
        <v>207.736</v>
      </c>
      <c r="GB75" s="21" t="n">
        <v>183.766</v>
      </c>
      <c r="GC75" s="21" t="n"/>
      <c r="GD75" s="21" t="n">
        <v>185.829</v>
      </c>
      <c r="GE75" s="21" t="n">
        <v>274.327</v>
      </c>
      <c r="GF75" s="21" t="n">
        <v>119.998</v>
      </c>
      <c r="GG75" s="21" t="n">
        <v>115.138</v>
      </c>
      <c r="GH75" s="21" t="n">
        <v>117.781</v>
      </c>
      <c r="GI75" s="21" t="n">
        <v>90.675</v>
      </c>
      <c r="GJ75" s="21" t="n">
        <v>159.987</v>
      </c>
      <c r="GK75" s="21" t="n">
        <v>71.072</v>
      </c>
      <c r="GL75" s="21" t="n">
        <v>128.495</v>
      </c>
      <c r="GM75" s="21" t="n">
        <v>103.015</v>
      </c>
      <c r="GN75" s="21" t="n">
        <v>101.743</v>
      </c>
      <c r="GO75" s="21" t="n">
        <v>101.789</v>
      </c>
      <c r="GP75" s="21" t="n">
        <v>94.21599999999999</v>
      </c>
      <c r="GQ75" s="21" t="n">
        <v>93.886</v>
      </c>
      <c r="GR75" s="21" t="n">
        <v>71.908</v>
      </c>
      <c r="GS75" s="21" t="n">
        <v>99.315</v>
      </c>
      <c r="GT75" s="21" t="n">
        <v>100.765</v>
      </c>
      <c r="GU75" s="21" t="n">
        <v>135.095</v>
      </c>
      <c r="GV75" s="21" t="n">
        <v>141.815</v>
      </c>
      <c r="GW75" s="21" t="n">
        <v>151.066</v>
      </c>
      <c r="GX75" s="21" t="n">
        <v>121.928</v>
      </c>
      <c r="GY75" s="21" t="n">
        <v>108.827</v>
      </c>
      <c r="GZ75" s="21" t="n">
        <v>175.144</v>
      </c>
      <c r="HA75" s="21" t="n">
        <v>146.121</v>
      </c>
      <c r="HB75" s="21" t="n">
        <v>172.078</v>
      </c>
      <c r="HC75" s="21" t="n">
        <v>209.054</v>
      </c>
      <c r="HD75" s="21" t="n">
        <v>207.664</v>
      </c>
      <c r="HE75" s="21" t="n">
        <v>102.704</v>
      </c>
      <c r="HF75" s="21" t="n">
        <v>149.515</v>
      </c>
      <c r="HG75" s="21" t="n">
        <v>103.62</v>
      </c>
      <c r="HH75" s="21" t="n">
        <v>145.991</v>
      </c>
      <c r="HI75" s="21" t="n">
        <v>159.22</v>
      </c>
      <c r="HJ75" s="21" t="n"/>
      <c r="HK75" s="21" t="n">
        <v>150.221</v>
      </c>
      <c r="HL75" s="21" t="n"/>
      <c r="HM75" s="21" t="n">
        <v>140.829</v>
      </c>
      <c r="HN75" s="21" t="n">
        <v>222.667</v>
      </c>
      <c r="HO75" s="21" t="n">
        <v>221.689</v>
      </c>
      <c r="HP75" s="21" t="n">
        <v>216.914</v>
      </c>
      <c r="HQ75" s="21" t="n">
        <v>241.454</v>
      </c>
      <c r="HR75" s="21" t="n">
        <v>236.51</v>
      </c>
      <c r="HS75" s="21" t="n">
        <v>203.109</v>
      </c>
      <c r="HT75" s="21" t="n">
        <v>149.324</v>
      </c>
      <c r="HU75" s="21" t="n">
        <v>127.274</v>
      </c>
      <c r="HV75" s="21" t="n">
        <v>179.277</v>
      </c>
      <c r="HW75" s="21" t="n">
        <v>168.523</v>
      </c>
      <c r="HX75" s="21" t="n">
        <v>391.588</v>
      </c>
      <c r="HY75" s="21" t="n">
        <v>311.627</v>
      </c>
      <c r="HZ75" s="21" t="n">
        <v>331.32</v>
      </c>
      <c r="IA75" s="21" t="n">
        <v>281.643</v>
      </c>
      <c r="IB75" s="21" t="n">
        <v>191.095</v>
      </c>
      <c r="IC75" s="21" t="n">
        <v>560.386</v>
      </c>
      <c r="ID75" s="21" t="n">
        <v>197.841</v>
      </c>
      <c r="IE75" s="21" t="n">
        <v>186.228</v>
      </c>
      <c r="IF75" s="21" t="n">
        <v>216.585</v>
      </c>
      <c r="IG75" s="21" t="n">
        <v>247.356</v>
      </c>
      <c r="IH75" s="21" t="n"/>
      <c r="II75" s="21" t="n">
        <v>216.869</v>
      </c>
      <c r="IJ75" s="21" t="n">
        <v>197.204</v>
      </c>
      <c r="IK75" s="21" t="n">
        <v>159.951</v>
      </c>
      <c r="IL75" s="21" t="n"/>
      <c r="IM75" s="21" t="n"/>
      <c r="IN75" s="21" t="n">
        <v>64.389</v>
      </c>
      <c r="IO75" s="21" t="n">
        <v>317.766</v>
      </c>
      <c r="IP75" s="21" t="n">
        <v>122.498</v>
      </c>
      <c r="IQ75" s="21" t="n">
        <v>524.207</v>
      </c>
      <c r="IR75" s="21" t="n">
        <v>374.905</v>
      </c>
      <c r="IS75" s="21" t="n">
        <v>122.935</v>
      </c>
      <c r="IT75" s="21" t="n">
        <v>521.231</v>
      </c>
      <c r="IU75" s="21" t="n">
        <v>94.29300000000001</v>
      </c>
      <c r="IV75" s="21" t="n">
        <v>95.782</v>
      </c>
      <c r="IW75" s="21" t="n">
        <v>572.378</v>
      </c>
      <c r="IX75" s="21" t="n">
        <v>400.762</v>
      </c>
      <c r="IY75" s="21" t="n">
        <v>405.897</v>
      </c>
      <c r="IZ75" s="21" t="n">
        <v>520.21</v>
      </c>
      <c r="JA75" s="21" t="n">
        <v>193.394</v>
      </c>
      <c r="JB75" s="21" t="n">
        <v>246.671</v>
      </c>
      <c r="JC75" s="21" t="n">
        <v>85.36499999999999</v>
      </c>
      <c r="JD75" s="21" t="n">
        <v>359.521</v>
      </c>
      <c r="JE75" s="21" t="n">
        <v>347.602</v>
      </c>
      <c r="JF75" s="21" t="n">
        <v>784.471</v>
      </c>
      <c r="JG75" s="21" t="n">
        <v>247.128</v>
      </c>
      <c r="JH75" s="21" t="n">
        <v>134.684</v>
      </c>
      <c r="JI75" s="21" t="n">
        <v>176.39</v>
      </c>
      <c r="JJ75" s="21" t="n">
        <v>123.021</v>
      </c>
      <c r="JK75" s="21" t="n">
        <v>108.911</v>
      </c>
      <c r="JL75" s="21" t="n">
        <v>134.886</v>
      </c>
      <c r="JM75" s="21" t="n">
        <v>512.696</v>
      </c>
      <c r="JN75" s="21" t="n">
        <v>123.753</v>
      </c>
      <c r="JO75" s="21" t="n">
        <v>68.179</v>
      </c>
      <c r="JP75" s="21" t="n">
        <v>33.826</v>
      </c>
      <c r="JQ75" s="21" t="n">
        <v>139.028</v>
      </c>
      <c r="JR75" s="21" t="n">
        <v>25.48</v>
      </c>
      <c r="JS75" s="21" t="n">
        <v>78.73399999999999</v>
      </c>
      <c r="JT75" s="21" t="n">
        <v>182.884</v>
      </c>
      <c r="JU75" s="21" t="n">
        <v>202.178</v>
      </c>
      <c r="JV75" s="21" t="n">
        <v>155.237</v>
      </c>
      <c r="JW75" s="21" t="n">
        <v>115.241</v>
      </c>
      <c r="JX75" s="21" t="n">
        <v>271.365</v>
      </c>
      <c r="JY75" s="21" t="n">
        <v>205.469</v>
      </c>
      <c r="JZ75" s="21" t="n">
        <v>286.637</v>
      </c>
      <c r="KA75" s="21" t="n">
        <v>119.02</v>
      </c>
      <c r="KB75" s="21" t="n">
        <v>163.468</v>
      </c>
      <c r="KC75" s="21" t="n">
        <v>81.98099999999999</v>
      </c>
      <c r="KD75" s="21" t="n">
        <v>77.10899999999999</v>
      </c>
      <c r="KE75" s="21" t="n">
        <v>57.639</v>
      </c>
      <c r="KF75" s="21" t="n"/>
      <c r="KG75" s="21" t="n">
        <v>24.122</v>
      </c>
      <c r="KH75" s="21" t="n">
        <v>124.256</v>
      </c>
      <c r="KI75" s="21" t="n"/>
      <c r="KJ75" s="21" t="n"/>
      <c r="KK75" s="21" t="n">
        <v>33.348</v>
      </c>
      <c r="KL75" s="21" t="n">
        <v>29.161</v>
      </c>
      <c r="KM75" s="21" t="n">
        <v>37.504</v>
      </c>
      <c r="KN75" s="21" t="n"/>
      <c r="KO75" s="21" t="n">
        <v>95.392</v>
      </c>
      <c r="KP75" s="21" t="n">
        <v>102.352</v>
      </c>
      <c r="KQ75" s="21" t="n">
        <v>171.279</v>
      </c>
      <c r="KR75" s="21" t="n">
        <v>145.5</v>
      </c>
      <c r="KS75" s="21" t="n">
        <v>372.105</v>
      </c>
      <c r="KT75" s="21" t="n">
        <v>191.18</v>
      </c>
      <c r="KU75" s="21" t="n">
        <v>195.263</v>
      </c>
      <c r="KV75" s="21" t="n">
        <v>338.165</v>
      </c>
      <c r="KW75" s="21" t="n">
        <v>273.091</v>
      </c>
      <c r="KX75" s="21" t="n">
        <v>205.781</v>
      </c>
      <c r="KY75" s="21" t="n">
        <v>98.42700000000001</v>
      </c>
      <c r="KZ75" s="21" t="n">
        <v>141.679</v>
      </c>
      <c r="LA75" s="21" t="n">
        <v>272.539</v>
      </c>
      <c r="LB75" s="21" t="n">
        <v>693.357</v>
      </c>
      <c r="LC75" s="21" t="n">
        <v>238.366</v>
      </c>
      <c r="LD75" s="21" t="n">
        <v>782.437</v>
      </c>
      <c r="LE75" s="21" t="n">
        <v>878.405</v>
      </c>
      <c r="LF75" s="21" t="n">
        <v>85.869</v>
      </c>
      <c r="LG75" s="21" t="n">
        <v>315.633</v>
      </c>
      <c r="LH75" s="21" t="n">
        <v>261.812</v>
      </c>
      <c r="LI75" s="21" t="n">
        <v>75.41200000000001</v>
      </c>
      <c r="LJ75" s="21" t="n">
        <v>209.167</v>
      </c>
      <c r="LK75" s="21" t="n">
        <v>329.355</v>
      </c>
      <c r="LL75" s="21" t="n">
        <v>334.989</v>
      </c>
      <c r="LM75" s="21" t="n">
        <v>71.208</v>
      </c>
      <c r="LN75" s="21" t="n">
        <v>94.321</v>
      </c>
      <c r="LO75" s="21" t="n">
        <v>48.311</v>
      </c>
      <c r="LP75" s="21" t="n">
        <v>133.303</v>
      </c>
      <c r="LQ75" s="21" t="n"/>
      <c r="LR75" s="21" t="n"/>
      <c r="LS75" s="21" t="n">
        <v>108.028</v>
      </c>
      <c r="LT75" s="21" t="n">
        <v>38.204</v>
      </c>
      <c r="LU75" s="21" t="n">
        <v>26.186</v>
      </c>
      <c r="LV75" s="21" t="n">
        <v>78.34399999999999</v>
      </c>
      <c r="LW75" s="21" t="n">
        <v>159.587</v>
      </c>
      <c r="LX75" s="21" t="n">
        <v>79.91</v>
      </c>
      <c r="LY75" s="21" t="n">
        <v>469.886</v>
      </c>
      <c r="LZ75" s="21" t="n">
        <v>77.48</v>
      </c>
      <c r="MA75" s="21" t="n">
        <v>506.058</v>
      </c>
      <c r="MB75" s="21" t="n">
        <v>295.071</v>
      </c>
      <c r="MC75" s="21" t="n">
        <v>240.366</v>
      </c>
      <c r="MD75" s="21" t="n">
        <v>160.214</v>
      </c>
      <c r="ME75" s="21" t="n">
        <v>103.459</v>
      </c>
      <c r="MF75" s="21" t="n">
        <v>180.497</v>
      </c>
      <c r="MG75" s="21" t="n">
        <v>293.726</v>
      </c>
      <c r="MH75" s="21" t="n">
        <v>179.221</v>
      </c>
      <c r="MI75" s="21" t="n">
        <v>455.705</v>
      </c>
      <c r="MJ75" s="21" t="n">
        <v>371.052</v>
      </c>
      <c r="MK75" s="21" t="n">
        <v>347.41</v>
      </c>
      <c r="ML75" s="21" t="n">
        <v>183.249</v>
      </c>
      <c r="MM75" s="21" t="n">
        <v>209.114</v>
      </c>
      <c r="MN75" s="21" t="n">
        <v>355.234</v>
      </c>
      <c r="MO75" s="21" t="n">
        <v>156.049</v>
      </c>
      <c r="MP75" s="21" t="n">
        <v>262.726</v>
      </c>
      <c r="MQ75" s="21" t="n">
        <v>74.866</v>
      </c>
      <c r="MR75" s="21" t="n">
        <v>159.109</v>
      </c>
      <c r="MS75" s="21" t="n"/>
      <c r="MT75" s="21" t="n">
        <v>250.497</v>
      </c>
      <c r="MU75" s="21" t="n">
        <v>270.06</v>
      </c>
      <c r="MV75" s="21" t="n">
        <v>261.688</v>
      </c>
      <c r="MW75" s="21" t="n">
        <v>270.696</v>
      </c>
      <c r="MX75" s="21" t="n">
        <v>240.288</v>
      </c>
      <c r="MY75" s="21" t="n">
        <v>232.376</v>
      </c>
      <c r="MZ75" s="21" t="n">
        <v>238.376</v>
      </c>
      <c r="NA75" s="21" t="n">
        <v>243.504</v>
      </c>
      <c r="NB75" s="21" t="n">
        <v>112.107</v>
      </c>
      <c r="NC75" s="21" t="n">
        <v>189.402</v>
      </c>
      <c r="ND75" s="21" t="n">
        <v>153.865</v>
      </c>
      <c r="NE75" s="21" t="n">
        <v>150.285</v>
      </c>
      <c r="NF75" s="21" t="n">
        <v>146.532</v>
      </c>
      <c r="NG75" s="21" t="n">
        <v>146.418</v>
      </c>
      <c r="NH75" s="21" t="n">
        <v>260.634</v>
      </c>
      <c r="NI75" s="21" t="n">
        <v>107.893</v>
      </c>
      <c r="NJ75" s="21" t="n">
        <v>67.28400000000001</v>
      </c>
      <c r="NK75" s="21" t="n">
        <v>114.944</v>
      </c>
      <c r="NL75" s="21" t="n">
        <v>213.277</v>
      </c>
      <c r="NM75" s="21" t="n">
        <v>227.412</v>
      </c>
      <c r="NN75" s="21" t="n">
        <v>93.003</v>
      </c>
      <c r="NO75" s="21" t="n">
        <v>47.311</v>
      </c>
      <c r="NP75" s="21" t="n">
        <v>230.98</v>
      </c>
      <c r="NQ75" s="21" t="n">
        <v>197.194</v>
      </c>
      <c r="NR75" s="21" t="n">
        <v>243.488</v>
      </c>
      <c r="NS75" s="21" t="n">
        <v>193.264</v>
      </c>
      <c r="NT75" s="21" t="n">
        <v>243.062</v>
      </c>
      <c r="NU75" s="21" t="n">
        <v>118.9</v>
      </c>
      <c r="NV75" s="21" t="n">
        <v>130.199</v>
      </c>
      <c r="NW75" s="21" t="n">
        <v>371.267</v>
      </c>
      <c r="NX75" s="21" t="n">
        <v>80.041</v>
      </c>
      <c r="NY75" s="21" t="n">
        <v>127.933</v>
      </c>
      <c r="NZ75" s="21" t="n">
        <v>343.181</v>
      </c>
      <c r="OA75" s="21" t="n">
        <v>335.655</v>
      </c>
      <c r="OB75" s="21" t="n">
        <v>348.361</v>
      </c>
      <c r="OC75" s="21" t="n">
        <v>317.746</v>
      </c>
      <c r="OD75" s="21" t="n">
        <v>352.974</v>
      </c>
      <c r="OE75" s="21" t="n">
        <v>109.019</v>
      </c>
      <c r="OF75" s="21" t="n">
        <v>313.16</v>
      </c>
      <c r="OG75" s="21" t="n">
        <v>221.675</v>
      </c>
      <c r="OH75" s="21" t="n">
        <v>36.596</v>
      </c>
      <c r="OI75" s="21" t="n">
        <v>135.256</v>
      </c>
      <c r="OJ75" s="21" t="n">
        <v>38</v>
      </c>
      <c r="OK75" s="21" t="n">
        <v>12.7</v>
      </c>
    </row>
    <row r="76">
      <c r="A76" s="22" t="n">
        <v>44256</v>
      </c>
      <c r="B76" s="21" t="n">
        <v>264.877</v>
      </c>
      <c r="C76" s="21" t="n">
        <v>793.455</v>
      </c>
      <c r="D76" s="21" t="n">
        <v>271.135</v>
      </c>
      <c r="E76" s="21" t="n">
        <v>271.812</v>
      </c>
      <c r="F76" s="21" t="n">
        <v>253.231</v>
      </c>
      <c r="G76" s="21" t="n">
        <v>284.746</v>
      </c>
      <c r="H76" s="21" t="n">
        <v>232.402</v>
      </c>
      <c r="I76" s="21" t="n">
        <v>239.229</v>
      </c>
      <c r="J76" s="21" t="n">
        <v>225.778</v>
      </c>
      <c r="K76" s="21" t="n">
        <v>243.971</v>
      </c>
      <c r="L76" s="21" t="n">
        <v>165.565</v>
      </c>
      <c r="M76" s="21" t="n">
        <v>315.045</v>
      </c>
      <c r="N76" s="21" t="n">
        <v>191.582</v>
      </c>
      <c r="O76" s="21" t="n">
        <v>348.937</v>
      </c>
      <c r="P76" s="21" t="n">
        <v>371.433</v>
      </c>
      <c r="Q76" s="21" t="n">
        <v>187.584</v>
      </c>
      <c r="R76" s="21" t="n">
        <v>302.167</v>
      </c>
      <c r="S76" s="21" t="n">
        <v>316.681</v>
      </c>
      <c r="T76" s="21" t="n">
        <v>284.635</v>
      </c>
      <c r="U76" s="21" t="n">
        <v>275.116</v>
      </c>
      <c r="V76" s="21" t="n">
        <v>321.308</v>
      </c>
      <c r="W76" s="21" t="n">
        <v>314.652</v>
      </c>
      <c r="X76" s="21" t="n">
        <v>269.663</v>
      </c>
      <c r="Y76" s="21" t="n">
        <v>268.457</v>
      </c>
      <c r="Z76" s="21" t="n">
        <v>271.932</v>
      </c>
      <c r="AA76" s="21" t="n">
        <v>276.764</v>
      </c>
      <c r="AB76" s="21" t="n">
        <v>338.61</v>
      </c>
      <c r="AC76" s="21" t="n">
        <v>295.827</v>
      </c>
      <c r="AD76" s="21" t="n">
        <v>268.702</v>
      </c>
      <c r="AE76" s="21" t="n">
        <v>225.313</v>
      </c>
      <c r="AF76" s="21" t="n">
        <v>273.758</v>
      </c>
      <c r="AG76" s="21" t="n">
        <v>228.59</v>
      </c>
      <c r="AH76" s="21" t="n">
        <v>170.396</v>
      </c>
      <c r="AI76" s="21" t="n">
        <v>320.198</v>
      </c>
      <c r="AJ76" s="21" t="n">
        <v>153.945</v>
      </c>
      <c r="AK76" s="21" t="n">
        <v>212.316</v>
      </c>
      <c r="AL76" s="21" t="n">
        <v>237.241</v>
      </c>
      <c r="AM76" s="21" t="n">
        <v>208.45</v>
      </c>
      <c r="AN76" s="21" t="n">
        <v>140.313</v>
      </c>
      <c r="AO76" s="21" t="n">
        <v>238.561</v>
      </c>
      <c r="AP76" s="21" t="n">
        <v>258.091</v>
      </c>
      <c r="AQ76" s="21" t="n">
        <v>151.269</v>
      </c>
      <c r="AR76" s="21" t="n"/>
      <c r="AS76" s="21" t="n"/>
      <c r="AT76" s="21" t="n">
        <v>246.176</v>
      </c>
      <c r="AU76" s="21" t="n">
        <v>158.667</v>
      </c>
      <c r="AV76" s="21" t="n">
        <v>263.332</v>
      </c>
      <c r="AW76" s="21" t="n">
        <v>235.846</v>
      </c>
      <c r="AX76" s="21" t="n">
        <v>159.274</v>
      </c>
      <c r="AY76" s="21" t="n">
        <v>312.965</v>
      </c>
      <c r="AZ76" s="21" t="n">
        <v>199.903</v>
      </c>
      <c r="BA76" s="21" t="n">
        <v>151.953</v>
      </c>
      <c r="BB76" s="21" t="n">
        <v>226.356</v>
      </c>
      <c r="BC76" s="21" t="n">
        <v>311.11</v>
      </c>
      <c r="BD76" s="21" t="n">
        <v>222.874</v>
      </c>
      <c r="BE76" s="21" t="n">
        <v>229.249</v>
      </c>
      <c r="BF76" s="21" t="n">
        <v>148.091</v>
      </c>
      <c r="BG76" s="21" t="n">
        <v>213.568</v>
      </c>
      <c r="BH76" s="21" t="n">
        <v>152.276</v>
      </c>
      <c r="BI76" s="21" t="n">
        <v>242.959</v>
      </c>
      <c r="BJ76" s="21" t="n">
        <v>231.814</v>
      </c>
      <c r="BK76" s="21" t="n">
        <v>152.39</v>
      </c>
      <c r="BL76" s="21" t="n">
        <v>311.168</v>
      </c>
      <c r="BM76" s="21" t="n">
        <v>360.01</v>
      </c>
      <c r="BN76" s="21" t="n">
        <v>371.974</v>
      </c>
      <c r="BO76" s="21" t="n">
        <v>333.649</v>
      </c>
      <c r="BP76" s="21" t="n">
        <v>193.22</v>
      </c>
      <c r="BQ76" s="21" t="n">
        <v>255.056</v>
      </c>
      <c r="BR76" s="21" t="n">
        <v>484.966</v>
      </c>
      <c r="BS76" s="21" t="n">
        <v>128.459</v>
      </c>
      <c r="BT76" s="21" t="n">
        <v>346.135</v>
      </c>
      <c r="BU76" s="21" t="n">
        <v>377.55</v>
      </c>
      <c r="BV76" s="21" t="n">
        <v>341.387</v>
      </c>
      <c r="BW76" s="21" t="n">
        <v>346.026</v>
      </c>
      <c r="BX76" s="21" t="n">
        <v>342.94</v>
      </c>
      <c r="BY76" s="21" t="n">
        <v>164.085</v>
      </c>
      <c r="BZ76" s="21" t="n">
        <v>172.353</v>
      </c>
      <c r="CA76" s="21" t="n">
        <v>165.409</v>
      </c>
      <c r="CB76" s="21" t="n">
        <v>183.671</v>
      </c>
      <c r="CC76" s="21" t="n">
        <v>150.927</v>
      </c>
      <c r="CD76" s="21" t="n">
        <v>204.147</v>
      </c>
      <c r="CE76" s="21" t="n">
        <v>160.861</v>
      </c>
      <c r="CF76" s="21" t="n">
        <v>195.309</v>
      </c>
      <c r="CG76" s="21" t="n">
        <v>180.018</v>
      </c>
      <c r="CH76" s="21" t="n">
        <v>142.507</v>
      </c>
      <c r="CI76" s="21" t="n">
        <v>185.054</v>
      </c>
      <c r="CJ76" s="21" t="n">
        <v>176.851</v>
      </c>
      <c r="CK76" s="21" t="n">
        <v>126.871</v>
      </c>
      <c r="CL76" s="21" t="n">
        <v>118.624</v>
      </c>
      <c r="CM76" s="21" t="n">
        <v>195.236</v>
      </c>
      <c r="CN76" s="21" t="n">
        <v>204.795</v>
      </c>
      <c r="CO76" s="21" t="n">
        <v>186.516</v>
      </c>
      <c r="CP76" s="21" t="n">
        <v>134.073</v>
      </c>
      <c r="CQ76" s="21" t="n">
        <v>219.263</v>
      </c>
      <c r="CR76" s="21" t="n">
        <v>232.477</v>
      </c>
      <c r="CS76" s="21" t="n">
        <v>207.391</v>
      </c>
      <c r="CT76" s="21" t="n">
        <v>158.202</v>
      </c>
      <c r="CU76" s="21" t="n">
        <v>158.478</v>
      </c>
      <c r="CV76" s="21" t="n">
        <v>232.023</v>
      </c>
      <c r="CW76" s="21" t="n">
        <v>208.648</v>
      </c>
      <c r="CX76" s="21" t="n">
        <v>249.981</v>
      </c>
      <c r="CY76" s="21" t="n">
        <v>308.451</v>
      </c>
      <c r="CZ76" s="21" t="n">
        <v>131.859</v>
      </c>
      <c r="DA76" s="21" t="n">
        <v>161.138</v>
      </c>
      <c r="DB76" s="21" t="n"/>
      <c r="DC76" s="21" t="n">
        <v>233.756</v>
      </c>
      <c r="DD76" s="21" t="n">
        <v>254.956</v>
      </c>
      <c r="DE76" s="21" t="n">
        <v>171.334</v>
      </c>
      <c r="DF76" s="21" t="n">
        <v>261.342</v>
      </c>
      <c r="DG76" s="21" t="n">
        <v>251.738</v>
      </c>
      <c r="DH76" s="21" t="n">
        <v>161.073</v>
      </c>
      <c r="DI76" s="21" t="n">
        <v>151.107</v>
      </c>
      <c r="DJ76" s="21" t="n">
        <v>145.174</v>
      </c>
      <c r="DK76" s="21" t="n">
        <v>282.061</v>
      </c>
      <c r="DL76" s="21" t="n">
        <v>172.045</v>
      </c>
      <c r="DM76" s="21" t="n">
        <v>138.266</v>
      </c>
      <c r="DN76" s="21" t="n">
        <v>131.831</v>
      </c>
      <c r="DO76" s="21" t="n">
        <v>300.897</v>
      </c>
      <c r="DP76" s="21" t="n">
        <v>185.703</v>
      </c>
      <c r="DQ76" s="21" t="n">
        <v>198.042</v>
      </c>
      <c r="DR76" s="21" t="n">
        <v>119.919</v>
      </c>
      <c r="DS76" s="21" t="n">
        <v>85.872</v>
      </c>
      <c r="DT76" s="21" t="n">
        <v>173.996</v>
      </c>
      <c r="DU76" s="21" t="n">
        <v>202.67</v>
      </c>
      <c r="DV76" s="21" t="n">
        <v>260.652</v>
      </c>
      <c r="DW76" s="21" t="n">
        <v>211.263</v>
      </c>
      <c r="DX76" s="21" t="n">
        <v>241.398</v>
      </c>
      <c r="DY76" s="21" t="n">
        <v>200.344</v>
      </c>
      <c r="DZ76" s="21" t="n">
        <v>211.17</v>
      </c>
      <c r="EA76" s="21" t="n">
        <v>197.336</v>
      </c>
      <c r="EB76" s="21" t="n">
        <v>172.939</v>
      </c>
      <c r="EC76" s="21" t="n">
        <v>369.031</v>
      </c>
      <c r="ED76" s="21" t="n">
        <v>181.164</v>
      </c>
      <c r="EE76" s="21" t="n">
        <v>198.853</v>
      </c>
      <c r="EF76" s="21" t="n">
        <v>204.175</v>
      </c>
      <c r="EG76" s="21" t="n">
        <v>276.028</v>
      </c>
      <c r="EH76" s="21" t="n">
        <v>330.122</v>
      </c>
      <c r="EI76" s="21" t="n">
        <v>345.717</v>
      </c>
      <c r="EJ76" s="21" t="n">
        <v>147.47</v>
      </c>
      <c r="EK76" s="21" t="n">
        <v>582.769</v>
      </c>
      <c r="EL76" s="21" t="n">
        <v>295.285</v>
      </c>
      <c r="EM76" s="21" t="n">
        <v>339.565</v>
      </c>
      <c r="EN76" s="21" t="n">
        <v>339.589</v>
      </c>
      <c r="EO76" s="21" t="n">
        <v>150.46</v>
      </c>
      <c r="EP76" s="21" t="n">
        <v>251.797</v>
      </c>
      <c r="EQ76" s="21" t="n">
        <v>206.271</v>
      </c>
      <c r="ER76" s="21" t="n">
        <v>293.642</v>
      </c>
      <c r="ES76" s="21" t="n">
        <v>276.1</v>
      </c>
      <c r="ET76" s="21" t="n">
        <v>381.982</v>
      </c>
      <c r="EU76" s="21" t="n">
        <v>209.623</v>
      </c>
      <c r="EV76" s="21" t="n">
        <v>216.528</v>
      </c>
      <c r="EW76" s="21" t="n">
        <v>185.624</v>
      </c>
      <c r="EX76" s="21" t="n">
        <v>259.204</v>
      </c>
      <c r="EY76" s="21" t="n">
        <v>598.452</v>
      </c>
      <c r="EZ76" s="21" t="n">
        <v>518.505</v>
      </c>
      <c r="FA76" s="21" t="n">
        <v>128.35</v>
      </c>
      <c r="FB76" s="21" t="n">
        <v>55.862</v>
      </c>
      <c r="FC76" s="21" t="n">
        <v>110.96</v>
      </c>
      <c r="FD76" s="21" t="n">
        <v>61.922</v>
      </c>
      <c r="FE76" s="21" t="n">
        <v>42.74</v>
      </c>
      <c r="FF76" s="21" t="n">
        <v>117.165</v>
      </c>
      <c r="FG76" s="21" t="n">
        <v>128.411</v>
      </c>
      <c r="FH76" s="21" t="n">
        <v>91.78100000000001</v>
      </c>
      <c r="FI76" s="21" t="n">
        <v>75.152</v>
      </c>
      <c r="FJ76" s="21" t="n"/>
      <c r="FK76" s="21" t="n">
        <v>83.38500000000001</v>
      </c>
      <c r="FL76" s="21" t="n">
        <v>95.70399999999999</v>
      </c>
      <c r="FM76" s="21" t="n">
        <v>114.876</v>
      </c>
      <c r="FN76" s="21" t="n">
        <v>70.084</v>
      </c>
      <c r="FO76" s="21" t="n">
        <v>51.773</v>
      </c>
      <c r="FP76" s="21" t="n">
        <v>37.683</v>
      </c>
      <c r="FQ76" s="21" t="n">
        <v>143.447</v>
      </c>
      <c r="FR76" s="21" t="n">
        <v>47.794</v>
      </c>
      <c r="FS76" s="21" t="n">
        <v>79.56399999999999</v>
      </c>
      <c r="FT76" s="21" t="n">
        <v>93.636</v>
      </c>
      <c r="FU76" s="21" t="n">
        <v>103.275</v>
      </c>
      <c r="FV76" s="21" t="n">
        <v>89.10599999999999</v>
      </c>
      <c r="FW76" s="21" t="n">
        <v>195.666</v>
      </c>
      <c r="FX76" s="21" t="n">
        <v>125.942</v>
      </c>
      <c r="FY76" s="21" t="n">
        <v>191.804</v>
      </c>
      <c r="FZ76" s="21" t="n">
        <v>115.927</v>
      </c>
      <c r="GA76" s="21" t="n">
        <v>207.952</v>
      </c>
      <c r="GB76" s="21" t="n">
        <v>184.038</v>
      </c>
      <c r="GC76" s="21" t="n"/>
      <c r="GD76" s="21" t="n">
        <v>183.084</v>
      </c>
      <c r="GE76" s="21" t="n">
        <v>275.549</v>
      </c>
      <c r="GF76" s="21" t="n">
        <v>120.746</v>
      </c>
      <c r="GG76" s="21" t="n">
        <v>115.85</v>
      </c>
      <c r="GH76" s="21" t="n">
        <v>117.403</v>
      </c>
      <c r="GI76" s="21" t="n">
        <v>87.996</v>
      </c>
      <c r="GJ76" s="21" t="n">
        <v>161.254</v>
      </c>
      <c r="GK76" s="21" t="n">
        <v>71.577</v>
      </c>
      <c r="GL76" s="21" t="n">
        <v>127.251</v>
      </c>
      <c r="GM76" s="21" t="n">
        <v>107.644</v>
      </c>
      <c r="GN76" s="21" t="n">
        <v>101.877</v>
      </c>
      <c r="GO76" s="21" t="n">
        <v>102.772</v>
      </c>
      <c r="GP76" s="21" t="n">
        <v>93.535</v>
      </c>
      <c r="GQ76" s="21" t="n">
        <v>101</v>
      </c>
      <c r="GR76" s="21" t="n">
        <v>71.297</v>
      </c>
      <c r="GS76" s="21" t="n">
        <v>101.746</v>
      </c>
      <c r="GT76" s="21" t="n">
        <v>97.114</v>
      </c>
      <c r="GU76" s="21" t="n">
        <v>136.288</v>
      </c>
      <c r="GV76" s="21" t="n">
        <v>142.743</v>
      </c>
      <c r="GW76" s="21" t="n">
        <v>150.57</v>
      </c>
      <c r="GX76" s="21" t="n">
        <v>123.915</v>
      </c>
      <c r="GY76" s="21" t="n">
        <v>107.753</v>
      </c>
      <c r="GZ76" s="21" t="n">
        <v>182.651</v>
      </c>
      <c r="HA76" s="21" t="n">
        <v>149.586</v>
      </c>
      <c r="HB76" s="21" t="n">
        <v>180.516</v>
      </c>
      <c r="HC76" s="21" t="n">
        <v>215.761</v>
      </c>
      <c r="HD76" s="21" t="n">
        <v>214.743</v>
      </c>
      <c r="HE76" s="21" t="n">
        <v>103.909</v>
      </c>
      <c r="HF76" s="21" t="n">
        <v>149.321</v>
      </c>
      <c r="HG76" s="21" t="n">
        <v>103.493</v>
      </c>
      <c r="HH76" s="21" t="n">
        <v>145.372</v>
      </c>
      <c r="HI76" s="21" t="n">
        <v>159.208</v>
      </c>
      <c r="HJ76" s="21" t="n"/>
      <c r="HK76" s="21" t="n">
        <v>153.873</v>
      </c>
      <c r="HL76" s="21" t="n"/>
      <c r="HM76" s="21" t="n">
        <v>161.023</v>
      </c>
      <c r="HN76" s="21" t="n">
        <v>248.681</v>
      </c>
      <c r="HO76" s="21" t="n">
        <v>247.652</v>
      </c>
      <c r="HP76" s="21" t="n">
        <v>242.749</v>
      </c>
      <c r="HQ76" s="21" t="n">
        <v>266.678</v>
      </c>
      <c r="HR76" s="21" t="n">
        <v>261.3</v>
      </c>
      <c r="HS76" s="21" t="n">
        <v>224.236</v>
      </c>
      <c r="HT76" s="21" t="n">
        <v>149.147</v>
      </c>
      <c r="HU76" s="21" t="n">
        <v>126.044</v>
      </c>
      <c r="HV76" s="21" t="n">
        <v>181.733</v>
      </c>
      <c r="HW76" s="21" t="n">
        <v>172.593</v>
      </c>
      <c r="HX76" s="21" t="n">
        <v>393.402</v>
      </c>
      <c r="HY76" s="21" t="n">
        <v>314.66</v>
      </c>
      <c r="HZ76" s="21" t="n">
        <v>333.865</v>
      </c>
      <c r="IA76" s="21" t="n">
        <v>283.593</v>
      </c>
      <c r="IB76" s="21" t="n">
        <v>193.984</v>
      </c>
      <c r="IC76" s="21" t="n">
        <v>565.1660000000001</v>
      </c>
      <c r="ID76" s="21" t="n">
        <v>197.156</v>
      </c>
      <c r="IE76" s="21" t="n">
        <v>186.169</v>
      </c>
      <c r="IF76" s="21" t="n">
        <v>215.09</v>
      </c>
      <c r="IG76" s="21" t="n">
        <v>245.714</v>
      </c>
      <c r="IH76" s="21" t="n"/>
      <c r="II76" s="21" t="n">
        <v>218.036</v>
      </c>
      <c r="IJ76" s="21" t="n">
        <v>197.134</v>
      </c>
      <c r="IK76" s="21" t="n">
        <v>162.114</v>
      </c>
      <c r="IL76" s="21" t="n"/>
      <c r="IM76" s="21" t="n"/>
      <c r="IN76" s="21" t="n">
        <v>64.786</v>
      </c>
      <c r="IO76" s="21" t="n">
        <v>321.568</v>
      </c>
      <c r="IP76" s="21" t="n">
        <v>125.807</v>
      </c>
      <c r="IQ76" s="21" t="n">
        <v>524.734</v>
      </c>
      <c r="IR76" s="21" t="n">
        <v>375.111</v>
      </c>
      <c r="IS76" s="21" t="n">
        <v>123.029</v>
      </c>
      <c r="IT76" s="21" t="n">
        <v>521.375</v>
      </c>
      <c r="IU76" s="21" t="n">
        <v>94.50700000000001</v>
      </c>
      <c r="IV76" s="21" t="n">
        <v>95.379</v>
      </c>
      <c r="IW76" s="21" t="n">
        <v>573.009</v>
      </c>
      <c r="IX76" s="21" t="n">
        <v>401.208</v>
      </c>
      <c r="IY76" s="21" t="n">
        <v>407.048</v>
      </c>
      <c r="IZ76" s="21" t="n">
        <v>519.424</v>
      </c>
      <c r="JA76" s="21" t="n">
        <v>193.179</v>
      </c>
      <c r="JB76" s="21" t="n">
        <v>247.069</v>
      </c>
      <c r="JC76" s="21" t="n">
        <v>85.815</v>
      </c>
      <c r="JD76" s="21" t="n">
        <v>361.468</v>
      </c>
      <c r="JE76" s="21" t="n">
        <v>348.994</v>
      </c>
      <c r="JF76" s="21" t="n">
        <v>789.7329999999999</v>
      </c>
      <c r="JG76" s="21" t="n">
        <v>248.129</v>
      </c>
      <c r="JH76" s="21" t="n">
        <v>135.085</v>
      </c>
      <c r="JI76" s="21" t="n">
        <v>175.082</v>
      </c>
      <c r="JJ76" s="21" t="n">
        <v>123.567</v>
      </c>
      <c r="JK76" s="21" t="n">
        <v>109.417</v>
      </c>
      <c r="JL76" s="21" t="n">
        <v>133.72</v>
      </c>
      <c r="JM76" s="21" t="n">
        <v>516.234</v>
      </c>
      <c r="JN76" s="21" t="n">
        <v>123.433</v>
      </c>
      <c r="JO76" s="21" t="n">
        <v>67.377</v>
      </c>
      <c r="JP76" s="21" t="n">
        <v>33.328</v>
      </c>
      <c r="JQ76" s="21" t="n">
        <v>138.819</v>
      </c>
      <c r="JR76" s="21" t="n">
        <v>25.766</v>
      </c>
      <c r="JS76" s="21" t="n">
        <v>78.508</v>
      </c>
      <c r="JT76" s="21" t="n">
        <v>183.075</v>
      </c>
      <c r="JU76" s="21" t="n">
        <v>202.372</v>
      </c>
      <c r="JV76" s="21" t="n">
        <v>155.473</v>
      </c>
      <c r="JW76" s="21" t="n">
        <v>115.238</v>
      </c>
      <c r="JX76" s="21" t="n">
        <v>271.674</v>
      </c>
      <c r="JY76" s="21" t="n">
        <v>209.093</v>
      </c>
      <c r="JZ76" s="21" t="n">
        <v>285.777</v>
      </c>
      <c r="KA76" s="21" t="n">
        <v>117.459</v>
      </c>
      <c r="KB76" s="21" t="n">
        <v>161.139</v>
      </c>
      <c r="KC76" s="21" t="n">
        <v>81.039</v>
      </c>
      <c r="KD76" s="21" t="n">
        <v>76.729</v>
      </c>
      <c r="KE76" s="21" t="n">
        <v>57.379</v>
      </c>
      <c r="KF76" s="21" t="n"/>
      <c r="KG76" s="21" t="n">
        <v>24.093</v>
      </c>
      <c r="KH76" s="21" t="n">
        <v>123.61</v>
      </c>
      <c r="KI76" s="21" t="n"/>
      <c r="KJ76" s="21" t="n"/>
      <c r="KK76" s="21" t="n">
        <v>33.572</v>
      </c>
      <c r="KL76" s="21" t="n">
        <v>29.188</v>
      </c>
      <c r="KM76" s="21" t="n">
        <v>37.874</v>
      </c>
      <c r="KN76" s="21" t="n"/>
      <c r="KO76" s="21" t="n">
        <v>97.041</v>
      </c>
      <c r="KP76" s="21" t="n">
        <v>106.129</v>
      </c>
      <c r="KQ76" s="21" t="n">
        <v>173.456</v>
      </c>
      <c r="KR76" s="21" t="n">
        <v>145.734</v>
      </c>
      <c r="KS76" s="21" t="n">
        <v>381.683</v>
      </c>
      <c r="KT76" s="21" t="n">
        <v>193.267</v>
      </c>
      <c r="KU76" s="21" t="n">
        <v>204.443</v>
      </c>
      <c r="KV76" s="21" t="n">
        <v>340.877</v>
      </c>
      <c r="KW76" s="21" t="n">
        <v>271.754</v>
      </c>
      <c r="KX76" s="21" t="n">
        <v>205.993</v>
      </c>
      <c r="KY76" s="21" t="n">
        <v>97.039</v>
      </c>
      <c r="KZ76" s="21" t="n">
        <v>141.289</v>
      </c>
      <c r="LA76" s="21" t="n">
        <v>271.559</v>
      </c>
      <c r="LB76" s="21" t="n">
        <v>677.099</v>
      </c>
      <c r="LC76" s="21" t="n">
        <v>232.958</v>
      </c>
      <c r="LD76" s="21" t="n">
        <v>780.2089999999999</v>
      </c>
      <c r="LE76" s="21" t="n">
        <v>877.503</v>
      </c>
      <c r="LF76" s="21" t="n">
        <v>85.94</v>
      </c>
      <c r="LG76" s="21" t="n">
        <v>312.97</v>
      </c>
      <c r="LH76" s="21" t="n">
        <v>260.927</v>
      </c>
      <c r="LI76" s="21" t="n">
        <v>75.255</v>
      </c>
      <c r="LJ76" s="21" t="n">
        <v>209.285</v>
      </c>
      <c r="LK76" s="21" t="n">
        <v>329.355</v>
      </c>
      <c r="LL76" s="21" t="n">
        <v>337.113</v>
      </c>
      <c r="LM76" s="21" t="n">
        <v>71.054</v>
      </c>
      <c r="LN76" s="21" t="n">
        <v>94.139</v>
      </c>
      <c r="LO76" s="21" t="n">
        <v>48.15</v>
      </c>
      <c r="LP76" s="21" t="n">
        <v>133.94</v>
      </c>
      <c r="LQ76" s="21" t="n"/>
      <c r="LR76" s="21" t="n"/>
      <c r="LS76" s="21" t="n">
        <v>107.747</v>
      </c>
      <c r="LT76" s="21" t="n">
        <v>37.453</v>
      </c>
      <c r="LU76" s="21" t="n">
        <v>26.635</v>
      </c>
      <c r="LV76" s="21" t="n">
        <v>78.63200000000001</v>
      </c>
      <c r="LW76" s="21" t="n">
        <v>157.343</v>
      </c>
      <c r="LX76" s="21" t="n">
        <v>76.84099999999999</v>
      </c>
      <c r="LY76" s="21" t="n">
        <v>472.607</v>
      </c>
      <c r="LZ76" s="21" t="n">
        <v>77.959</v>
      </c>
      <c r="MA76" s="21" t="n">
        <v>509.124</v>
      </c>
      <c r="MB76" s="21" t="n">
        <v>297.424</v>
      </c>
      <c r="MC76" s="21" t="n">
        <v>241.735</v>
      </c>
      <c r="MD76" s="21" t="n">
        <v>159.962</v>
      </c>
      <c r="ME76" s="21" t="n">
        <v>103.394</v>
      </c>
      <c r="MF76" s="21" t="n">
        <v>180.006</v>
      </c>
      <c r="MG76" s="21" t="n">
        <v>294.98</v>
      </c>
      <c r="MH76" s="21" t="n">
        <v>179.986</v>
      </c>
      <c r="MI76" s="21" t="n">
        <v>461.258</v>
      </c>
      <c r="MJ76" s="21" t="n">
        <v>371.083</v>
      </c>
      <c r="MK76" s="21" t="n">
        <v>347.621</v>
      </c>
      <c r="ML76" s="21" t="n">
        <v>183.077</v>
      </c>
      <c r="MM76" s="21" t="n">
        <v>209.867</v>
      </c>
      <c r="MN76" s="21" t="n">
        <v>372.478</v>
      </c>
      <c r="MO76" s="21" t="n">
        <v>176.279</v>
      </c>
      <c r="MP76" s="21" t="n">
        <v>263.432</v>
      </c>
      <c r="MQ76" s="21" t="n">
        <v>75.15000000000001</v>
      </c>
      <c r="MR76" s="21" t="n">
        <v>159.374</v>
      </c>
      <c r="MS76" s="21" t="n"/>
      <c r="MT76" s="21" t="n">
        <v>252.421</v>
      </c>
      <c r="MU76" s="21" t="n">
        <v>270.989</v>
      </c>
      <c r="MV76" s="21" t="n">
        <v>263.775</v>
      </c>
      <c r="MW76" s="21" t="n">
        <v>271.713</v>
      </c>
      <c r="MX76" s="21" t="n">
        <v>242.43</v>
      </c>
      <c r="MY76" s="21" t="n">
        <v>234.896</v>
      </c>
      <c r="MZ76" s="21" t="n">
        <v>239.333</v>
      </c>
      <c r="NA76" s="21" t="n">
        <v>244.174</v>
      </c>
      <c r="NB76" s="21" t="n">
        <v>112.717</v>
      </c>
      <c r="NC76" s="21" t="n">
        <v>191.877</v>
      </c>
      <c r="ND76" s="21" t="n">
        <v>156.922</v>
      </c>
      <c r="NE76" s="21" t="n">
        <v>153.389</v>
      </c>
      <c r="NF76" s="21" t="n">
        <v>147.16</v>
      </c>
      <c r="NG76" s="21" t="n">
        <v>146.59</v>
      </c>
      <c r="NH76" s="21" t="n">
        <v>261.273</v>
      </c>
      <c r="NI76" s="21" t="n">
        <v>108.597</v>
      </c>
      <c r="NJ76" s="21" t="n">
        <v>66.05</v>
      </c>
      <c r="NK76" s="21" t="n">
        <v>114.769</v>
      </c>
      <c r="NL76" s="21" t="n">
        <v>225.861</v>
      </c>
      <c r="NM76" s="21" t="n">
        <v>252.84</v>
      </c>
      <c r="NN76" s="21" t="n">
        <v>93.35299999999999</v>
      </c>
      <c r="NO76" s="21" t="n">
        <v>46.512</v>
      </c>
      <c r="NP76" s="21" t="n">
        <v>234.611</v>
      </c>
      <c r="NQ76" s="21" t="n">
        <v>203.354</v>
      </c>
      <c r="NR76" s="21" t="n">
        <v>252.783</v>
      </c>
      <c r="NS76" s="21" t="n">
        <v>199.791</v>
      </c>
      <c r="NT76" s="21" t="n">
        <v>253.342</v>
      </c>
      <c r="NU76" s="21" t="n">
        <v>119.178</v>
      </c>
      <c r="NV76" s="21" t="n">
        <v>131.356</v>
      </c>
      <c r="NW76" s="21" t="n">
        <v>372.434</v>
      </c>
      <c r="NX76" s="21" t="n">
        <v>79.807</v>
      </c>
      <c r="NY76" s="21" t="n">
        <v>129.006</v>
      </c>
      <c r="NZ76" s="21" t="n">
        <v>344.364</v>
      </c>
      <c r="OA76" s="21" t="n">
        <v>336.822</v>
      </c>
      <c r="OB76" s="21" t="n">
        <v>349.607</v>
      </c>
      <c r="OC76" s="21" t="n">
        <v>318.951</v>
      </c>
      <c r="OD76" s="21" t="n">
        <v>354.212</v>
      </c>
      <c r="OE76" s="21" t="n">
        <v>109.991</v>
      </c>
      <c r="OF76" s="21" t="n">
        <v>316.345</v>
      </c>
      <c r="OG76" s="21" t="n">
        <v>222.081</v>
      </c>
      <c r="OH76" s="21" t="n">
        <v>36.574</v>
      </c>
      <c r="OI76" s="21" t="n">
        <v>136.033</v>
      </c>
      <c r="OJ76" s="21" t="n">
        <v>37.8</v>
      </c>
      <c r="OK76" s="21" t="n">
        <v>12.6</v>
      </c>
    </row>
    <row r="77">
      <c r="A77" s="22" t="n">
        <v>44287</v>
      </c>
      <c r="B77" s="21" t="n">
        <v>267.054</v>
      </c>
      <c r="C77" s="21" t="n">
        <v>799.975</v>
      </c>
      <c r="D77" s="21" t="n">
        <v>272.367</v>
      </c>
      <c r="E77" s="21" t="n">
        <v>273.09</v>
      </c>
      <c r="F77" s="21" t="n">
        <v>254.76</v>
      </c>
      <c r="G77" s="21" t="n">
        <v>285.377</v>
      </c>
      <c r="H77" s="21" t="n">
        <v>231.213</v>
      </c>
      <c r="I77" s="21" t="n">
        <v>235.836</v>
      </c>
      <c r="J77" s="21" t="n">
        <v>225.246</v>
      </c>
      <c r="K77" s="21" t="n">
        <v>242.711</v>
      </c>
      <c r="L77" s="21" t="n">
        <v>165.84</v>
      </c>
      <c r="M77" s="21" t="n">
        <v>316.761</v>
      </c>
      <c r="N77" s="21" t="n">
        <v>191.929</v>
      </c>
      <c r="O77" s="21" t="n">
        <v>347.162</v>
      </c>
      <c r="P77" s="21" t="n">
        <v>374.117</v>
      </c>
      <c r="Q77" s="21" t="n">
        <v>186.982</v>
      </c>
      <c r="R77" s="21" t="n">
        <v>303.122</v>
      </c>
      <c r="S77" s="21" t="n">
        <v>320.673</v>
      </c>
      <c r="T77" s="21" t="n">
        <v>283.775</v>
      </c>
      <c r="U77" s="21" t="n">
        <v>279.194</v>
      </c>
      <c r="V77" s="21" t="n">
        <v>328.259</v>
      </c>
      <c r="W77" s="21" t="n">
        <v>323.142</v>
      </c>
      <c r="X77" s="21" t="n">
        <v>268.194</v>
      </c>
      <c r="Y77" s="21" t="n">
        <v>271.459</v>
      </c>
      <c r="Z77" s="21" t="n">
        <v>275.147</v>
      </c>
      <c r="AA77" s="21" t="n">
        <v>280.945</v>
      </c>
      <c r="AB77" s="21" t="n">
        <v>343.185</v>
      </c>
      <c r="AC77" s="21" t="n">
        <v>296.906</v>
      </c>
      <c r="AD77" s="21" t="n">
        <v>268.55</v>
      </c>
      <c r="AE77" s="21" t="n">
        <v>232.175</v>
      </c>
      <c r="AF77" s="21" t="n">
        <v>275.482</v>
      </c>
      <c r="AG77" s="21" t="n">
        <v>233.987</v>
      </c>
      <c r="AH77" s="21" t="n">
        <v>174.707</v>
      </c>
      <c r="AI77" s="21" t="n">
        <v>330.843</v>
      </c>
      <c r="AJ77" s="21" t="n">
        <v>155.146</v>
      </c>
      <c r="AK77" s="21" t="n">
        <v>214.204</v>
      </c>
      <c r="AL77" s="21" t="n">
        <v>239.886</v>
      </c>
      <c r="AM77" s="21" t="n">
        <v>212.226</v>
      </c>
      <c r="AN77" s="21" t="n">
        <v>145.479</v>
      </c>
      <c r="AO77" s="21" t="n">
        <v>240.101</v>
      </c>
      <c r="AP77" s="21" t="n">
        <v>259.303</v>
      </c>
      <c r="AQ77" s="21" t="n">
        <v>152.8</v>
      </c>
      <c r="AR77" s="21" t="n"/>
      <c r="AS77" s="21" t="n"/>
      <c r="AT77" s="21" t="n">
        <v>248.794</v>
      </c>
      <c r="AU77" s="21" t="n">
        <v>160.017</v>
      </c>
      <c r="AV77" s="21" t="n">
        <v>263.308</v>
      </c>
      <c r="AW77" s="21" t="n">
        <v>238.368</v>
      </c>
      <c r="AX77" s="21" t="n">
        <v>162.468</v>
      </c>
      <c r="AY77" s="21" t="n">
        <v>313.251</v>
      </c>
      <c r="AZ77" s="21" t="n">
        <v>198.501</v>
      </c>
      <c r="BA77" s="21" t="n">
        <v>153.368</v>
      </c>
      <c r="BB77" s="21" t="n">
        <v>225.442</v>
      </c>
      <c r="BC77" s="21" t="n">
        <v>317.078</v>
      </c>
      <c r="BD77" s="21" t="n">
        <v>223.098</v>
      </c>
      <c r="BE77" s="21" t="n">
        <v>230.17</v>
      </c>
      <c r="BF77" s="21" t="n">
        <v>150.968</v>
      </c>
      <c r="BG77" s="21" t="n">
        <v>218.456</v>
      </c>
      <c r="BH77" s="21" t="n">
        <v>155.22</v>
      </c>
      <c r="BI77" s="21" t="n">
        <v>240.069</v>
      </c>
      <c r="BJ77" s="21" t="n">
        <v>232.323</v>
      </c>
      <c r="BK77" s="21" t="n">
        <v>153.92</v>
      </c>
      <c r="BL77" s="21" t="n">
        <v>314.973</v>
      </c>
      <c r="BM77" s="21" t="n">
        <v>364.631</v>
      </c>
      <c r="BN77" s="21" t="n">
        <v>382.464</v>
      </c>
      <c r="BO77" s="21" t="n">
        <v>337.24</v>
      </c>
      <c r="BP77" s="21" t="n">
        <v>195.866</v>
      </c>
      <c r="BQ77" s="21" t="n">
        <v>264.864</v>
      </c>
      <c r="BR77" s="21" t="n">
        <v>503.775</v>
      </c>
      <c r="BS77" s="21" t="n">
        <v>132.572</v>
      </c>
      <c r="BT77" s="21" t="n">
        <v>344.771</v>
      </c>
      <c r="BU77" s="21" t="n">
        <v>373.44</v>
      </c>
      <c r="BV77" s="21" t="n">
        <v>340.343</v>
      </c>
      <c r="BW77" s="21" t="n">
        <v>347.055</v>
      </c>
      <c r="BX77" s="21" t="n">
        <v>341.527</v>
      </c>
      <c r="BY77" s="21" t="n">
        <v>165.723</v>
      </c>
      <c r="BZ77" s="21" t="n">
        <v>173.585</v>
      </c>
      <c r="CA77" s="21" t="n">
        <v>166.879</v>
      </c>
      <c r="CB77" s="21" t="n">
        <v>185.105</v>
      </c>
      <c r="CC77" s="21" t="n">
        <v>153.594</v>
      </c>
      <c r="CD77" s="21" t="n">
        <v>208.365</v>
      </c>
      <c r="CE77" s="21" t="n">
        <v>161.741</v>
      </c>
      <c r="CF77" s="21" t="n">
        <v>197.753</v>
      </c>
      <c r="CG77" s="21" t="n">
        <v>179.57</v>
      </c>
      <c r="CH77" s="21" t="n">
        <v>141.888</v>
      </c>
      <c r="CI77" s="21" t="n">
        <v>182.201</v>
      </c>
      <c r="CJ77" s="21" t="n">
        <v>179.899</v>
      </c>
      <c r="CK77" s="21" t="n">
        <v>127.336</v>
      </c>
      <c r="CL77" s="21" t="n">
        <v>118.888</v>
      </c>
      <c r="CM77" s="21" t="n">
        <v>196.026</v>
      </c>
      <c r="CN77" s="21" t="n">
        <v>204.175</v>
      </c>
      <c r="CO77" s="21" t="n">
        <v>190.297</v>
      </c>
      <c r="CP77" s="21" t="n">
        <v>133.933</v>
      </c>
      <c r="CQ77" s="21" t="n">
        <v>220.143</v>
      </c>
      <c r="CR77" s="21" t="n">
        <v>232.004</v>
      </c>
      <c r="CS77" s="21" t="n">
        <v>208.744</v>
      </c>
      <c r="CT77" s="21" t="n">
        <v>157.38</v>
      </c>
      <c r="CU77" s="21" t="n">
        <v>158.875</v>
      </c>
      <c r="CV77" s="21" t="n">
        <v>234.797</v>
      </c>
      <c r="CW77" s="21" t="n">
        <v>207.12</v>
      </c>
      <c r="CX77" s="21" t="n">
        <v>246.396</v>
      </c>
      <c r="CY77" s="21" t="n">
        <v>309.958</v>
      </c>
      <c r="CZ77" s="21" t="n">
        <v>133.272</v>
      </c>
      <c r="DA77" s="21" t="n">
        <v>165.15</v>
      </c>
      <c r="DB77" s="21" t="n"/>
      <c r="DC77" s="21" t="n">
        <v>234.685</v>
      </c>
      <c r="DD77" s="21" t="n">
        <v>256.757</v>
      </c>
      <c r="DE77" s="21" t="n">
        <v>173.015</v>
      </c>
      <c r="DF77" s="21" t="n">
        <v>262.018</v>
      </c>
      <c r="DG77" s="21" t="n">
        <v>253.19</v>
      </c>
      <c r="DH77" s="21" t="n">
        <v>160.591</v>
      </c>
      <c r="DI77" s="21" t="n">
        <v>150.634</v>
      </c>
      <c r="DJ77" s="21" t="n">
        <v>145.985</v>
      </c>
      <c r="DK77" s="21" t="n">
        <v>285.761</v>
      </c>
      <c r="DL77" s="21" t="n">
        <v>173.891</v>
      </c>
      <c r="DM77" s="21" t="n">
        <v>138.192</v>
      </c>
      <c r="DN77" s="21" t="n">
        <v>132.451</v>
      </c>
      <c r="DO77" s="21" t="n">
        <v>301.819</v>
      </c>
      <c r="DP77" s="21" t="n">
        <v>186.076</v>
      </c>
      <c r="DQ77" s="21" t="n">
        <v>198.99</v>
      </c>
      <c r="DR77" s="21" t="n">
        <v>119.129</v>
      </c>
      <c r="DS77" s="21" t="n">
        <v>85.045</v>
      </c>
      <c r="DT77" s="21" t="n">
        <v>173.986</v>
      </c>
      <c r="DU77" s="21" t="n">
        <v>202.9</v>
      </c>
      <c r="DV77" s="21" t="n">
        <v>261.265</v>
      </c>
      <c r="DW77" s="21" t="n">
        <v>211.526</v>
      </c>
      <c r="DX77" s="21" t="n">
        <v>239.532</v>
      </c>
      <c r="DY77" s="21" t="n">
        <v>200.91</v>
      </c>
      <c r="DZ77" s="21" t="n">
        <v>210.728</v>
      </c>
      <c r="EA77" s="21" t="n">
        <v>198.695</v>
      </c>
      <c r="EB77" s="21" t="n">
        <v>174.389</v>
      </c>
      <c r="EC77" s="21" t="n">
        <v>370.416</v>
      </c>
      <c r="ED77" s="21" t="n">
        <v>181.963</v>
      </c>
      <c r="EE77" s="21" t="n">
        <v>199.381</v>
      </c>
      <c r="EF77" s="21" t="n">
        <v>204.538</v>
      </c>
      <c r="EG77" s="21" t="n">
        <v>277.258</v>
      </c>
      <c r="EH77" s="21" t="n">
        <v>331.354</v>
      </c>
      <c r="EI77" s="21" t="n">
        <v>346.267</v>
      </c>
      <c r="EJ77" s="21" t="n">
        <v>158.737</v>
      </c>
      <c r="EK77" s="21" t="n">
        <v>582.742</v>
      </c>
      <c r="EL77" s="21" t="n">
        <v>321.218</v>
      </c>
      <c r="EM77" s="21" t="n">
        <v>340.162</v>
      </c>
      <c r="EN77" s="21" t="n">
        <v>340.184</v>
      </c>
      <c r="EO77" s="21" t="n">
        <v>150.559</v>
      </c>
      <c r="EP77" s="21" t="n">
        <v>253.46</v>
      </c>
      <c r="EQ77" s="21" t="n">
        <v>207.988</v>
      </c>
      <c r="ER77" s="21" t="n">
        <v>283.824</v>
      </c>
      <c r="ES77" s="21" t="n">
        <v>267.262</v>
      </c>
      <c r="ET77" s="21" t="n">
        <v>368.431</v>
      </c>
      <c r="EU77" s="21" t="n">
        <v>211.838</v>
      </c>
      <c r="EV77" s="21" t="n">
        <v>218.627</v>
      </c>
      <c r="EW77" s="21" t="n">
        <v>188.129</v>
      </c>
      <c r="EX77" s="21" t="n">
        <v>259.581</v>
      </c>
      <c r="EY77" s="21" t="n">
        <v>599.614</v>
      </c>
      <c r="EZ77" s="21" t="n">
        <v>518.579</v>
      </c>
      <c r="FA77" s="21" t="n">
        <v>129.321</v>
      </c>
      <c r="FB77" s="21" t="n">
        <v>56.234</v>
      </c>
      <c r="FC77" s="21" t="n">
        <v>110.77</v>
      </c>
      <c r="FD77" s="21" t="n">
        <v>61.62</v>
      </c>
      <c r="FE77" s="21" t="n">
        <v>43.334</v>
      </c>
      <c r="FF77" s="21" t="n">
        <v>119.675</v>
      </c>
      <c r="FG77" s="21" t="n">
        <v>130.64</v>
      </c>
      <c r="FH77" s="21" t="n">
        <v>94.389</v>
      </c>
      <c r="FI77" s="21" t="n">
        <v>75.804</v>
      </c>
      <c r="FJ77" s="21" t="n"/>
      <c r="FK77" s="21" t="n">
        <v>83.584</v>
      </c>
      <c r="FL77" s="21" t="n">
        <v>96.533</v>
      </c>
      <c r="FM77" s="21" t="n">
        <v>115.967</v>
      </c>
      <c r="FN77" s="21" t="n">
        <v>70.008</v>
      </c>
      <c r="FO77" s="21" t="n">
        <v>51.828</v>
      </c>
      <c r="FP77" s="21" t="n">
        <v>37.922</v>
      </c>
      <c r="FQ77" s="21" t="n">
        <v>138.977</v>
      </c>
      <c r="FR77" s="21" t="n">
        <v>47.268</v>
      </c>
      <c r="FS77" s="21" t="n">
        <v>81.764</v>
      </c>
      <c r="FT77" s="21" t="n">
        <v>93.601</v>
      </c>
      <c r="FU77" s="21" t="n">
        <v>102.811</v>
      </c>
      <c r="FV77" s="21" t="n">
        <v>89.259</v>
      </c>
      <c r="FW77" s="21" t="n">
        <v>197.266</v>
      </c>
      <c r="FX77" s="21" t="n">
        <v>126.442</v>
      </c>
      <c r="FY77" s="21" t="n">
        <v>191.563</v>
      </c>
      <c r="FZ77" s="21" t="n">
        <v>118.273</v>
      </c>
      <c r="GA77" s="21" t="n">
        <v>209.136</v>
      </c>
      <c r="GB77" s="21" t="n">
        <v>185.429</v>
      </c>
      <c r="GC77" s="21" t="n">
        <v>219.432</v>
      </c>
      <c r="GD77" s="21" t="n">
        <v>186.531</v>
      </c>
      <c r="GE77" s="21" t="n">
        <v>282.25</v>
      </c>
      <c r="GF77" s="21" t="n">
        <v>120.656</v>
      </c>
      <c r="GG77" s="21" t="n">
        <v>115.006</v>
      </c>
      <c r="GH77" s="21" t="n">
        <v>116.578</v>
      </c>
      <c r="GI77" s="21" t="n">
        <v>85.788</v>
      </c>
      <c r="GJ77" s="21" t="n">
        <v>161.924</v>
      </c>
      <c r="GK77" s="21" t="n">
        <v>69.596</v>
      </c>
      <c r="GL77" s="21" t="n">
        <v>129.009</v>
      </c>
      <c r="GM77" s="21" t="n">
        <v>106.748</v>
      </c>
      <c r="GN77" s="21" t="n">
        <v>101.321</v>
      </c>
      <c r="GO77" s="21" t="n">
        <v>102.048</v>
      </c>
      <c r="GP77" s="21" t="n">
        <v>90.855</v>
      </c>
      <c r="GQ77" s="21" t="n">
        <v>101.292</v>
      </c>
      <c r="GR77" s="21" t="n">
        <v>70.107</v>
      </c>
      <c r="GS77" s="21" t="n">
        <v>102.892</v>
      </c>
      <c r="GT77" s="21" t="n">
        <v>97.30800000000001</v>
      </c>
      <c r="GU77" s="21" t="n">
        <v>137.479</v>
      </c>
      <c r="GV77" s="21" t="n">
        <v>144.842</v>
      </c>
      <c r="GW77" s="21" t="n">
        <v>155.786</v>
      </c>
      <c r="GX77" s="21" t="n">
        <v>122.947</v>
      </c>
      <c r="GY77" s="21" t="n">
        <v>110.591</v>
      </c>
      <c r="GZ77" s="21" t="n">
        <v>182.968</v>
      </c>
      <c r="HA77" s="21" t="n">
        <v>153.38</v>
      </c>
      <c r="HB77" s="21" t="n">
        <v>179.488</v>
      </c>
      <c r="HC77" s="21" t="n">
        <v>222.547</v>
      </c>
      <c r="HD77" s="21" t="n">
        <v>220.742</v>
      </c>
      <c r="HE77" s="21" t="n">
        <v>108.477</v>
      </c>
      <c r="HF77" s="21" t="n">
        <v>149.892</v>
      </c>
      <c r="HG77" s="21" t="n">
        <v>103.888</v>
      </c>
      <c r="HH77" s="21" t="n">
        <v>145.466</v>
      </c>
      <c r="HI77" s="21" t="n">
        <v>160.137</v>
      </c>
      <c r="HJ77" s="21" t="n"/>
      <c r="HK77" s="21" t="n">
        <v>168.647</v>
      </c>
      <c r="HL77" s="21" t="n"/>
      <c r="HM77" s="21" t="n">
        <v>184.21</v>
      </c>
      <c r="HN77" s="21" t="n">
        <v>253.648</v>
      </c>
      <c r="HO77" s="21" t="n">
        <v>252.603</v>
      </c>
      <c r="HP77" s="21" t="n">
        <v>247.49</v>
      </c>
      <c r="HQ77" s="21" t="n">
        <v>272.925</v>
      </c>
      <c r="HR77" s="21" t="n">
        <v>267.22</v>
      </c>
      <c r="HS77" s="21" t="n">
        <v>228.499</v>
      </c>
      <c r="HT77" s="21" t="n">
        <v>150.454</v>
      </c>
      <c r="HU77" s="21" t="n">
        <v>127.971</v>
      </c>
      <c r="HV77" s="21" t="n">
        <v>181.294</v>
      </c>
      <c r="HW77" s="21" t="n">
        <v>172.714</v>
      </c>
      <c r="HX77" s="21" t="n">
        <v>388.419</v>
      </c>
      <c r="HY77" s="21" t="n">
        <v>315.177</v>
      </c>
      <c r="HZ77" s="21" t="n">
        <v>336.014</v>
      </c>
      <c r="IA77" s="21" t="n">
        <v>284.623</v>
      </c>
      <c r="IB77" s="21" t="n">
        <v>193.512</v>
      </c>
      <c r="IC77" s="21" t="n">
        <v>567.509</v>
      </c>
      <c r="ID77" s="21" t="n">
        <v>197.187</v>
      </c>
      <c r="IE77" s="21" t="n">
        <v>186.164</v>
      </c>
      <c r="IF77" s="21" t="n">
        <v>215.16</v>
      </c>
      <c r="IG77" s="21" t="n">
        <v>245.292</v>
      </c>
      <c r="IH77" s="21" t="n"/>
      <c r="II77" s="21" t="n">
        <v>235.401</v>
      </c>
      <c r="IJ77" s="21" t="n">
        <v>222.953</v>
      </c>
      <c r="IK77" s="21" t="n">
        <v>163.933</v>
      </c>
      <c r="IL77" s="21" t="n"/>
      <c r="IM77" s="21" t="n"/>
      <c r="IN77" s="21" t="n">
        <v>65.486</v>
      </c>
      <c r="IO77" s="21" t="n">
        <v>327.319</v>
      </c>
      <c r="IP77" s="21" t="n">
        <v>125.807</v>
      </c>
      <c r="IQ77" s="21" t="n">
        <v>524.585</v>
      </c>
      <c r="IR77" s="21" t="n">
        <v>377.284</v>
      </c>
      <c r="IS77" s="21" t="n">
        <v>123.804</v>
      </c>
      <c r="IT77" s="21" t="n">
        <v>523.876</v>
      </c>
      <c r="IU77" s="21" t="n">
        <v>95.538</v>
      </c>
      <c r="IV77" s="21" t="n">
        <v>94.864</v>
      </c>
      <c r="IW77" s="21" t="n">
        <v>572.1079999999999</v>
      </c>
      <c r="IX77" s="21" t="n">
        <v>400.834</v>
      </c>
      <c r="IY77" s="21" t="n">
        <v>405.869</v>
      </c>
      <c r="IZ77" s="21" t="n">
        <v>520.273</v>
      </c>
      <c r="JA77" s="21" t="n">
        <v>193.166</v>
      </c>
      <c r="JB77" s="21" t="n">
        <v>247.246</v>
      </c>
      <c r="JC77" s="21" t="n">
        <v>85.931</v>
      </c>
      <c r="JD77" s="21" t="n">
        <v>361.585</v>
      </c>
      <c r="JE77" s="21" t="n">
        <v>349.651</v>
      </c>
      <c r="JF77" s="21" t="n">
        <v>785.951</v>
      </c>
      <c r="JG77" s="21" t="n">
        <v>248.938</v>
      </c>
      <c r="JH77" s="21" t="n">
        <v>139.128</v>
      </c>
      <c r="JI77" s="21" t="n">
        <v>173.396</v>
      </c>
      <c r="JJ77" s="21" t="n">
        <v>124.546</v>
      </c>
      <c r="JK77" s="21" t="n">
        <v>109.612</v>
      </c>
      <c r="JL77" s="21" t="n">
        <v>136.935</v>
      </c>
      <c r="JM77" s="21" t="n">
        <v>516.7089999999999</v>
      </c>
      <c r="JN77" s="21" t="n">
        <v>125.074</v>
      </c>
      <c r="JO77" s="21" t="n">
        <v>65.51000000000001</v>
      </c>
      <c r="JP77" s="21" t="n">
        <v>31.956</v>
      </c>
      <c r="JQ77" s="21" t="n">
        <v>138.812</v>
      </c>
      <c r="JR77" s="21" t="n">
        <v>25.947</v>
      </c>
      <c r="JS77" s="21" t="n">
        <v>79.29000000000001</v>
      </c>
      <c r="JT77" s="21" t="n">
        <v>183.781</v>
      </c>
      <c r="JU77" s="21" t="n">
        <v>203.299</v>
      </c>
      <c r="JV77" s="21" t="n">
        <v>155.767</v>
      </c>
      <c r="JW77" s="21" t="n">
        <v>116.174</v>
      </c>
      <c r="JX77" s="21" t="n">
        <v>272.507</v>
      </c>
      <c r="JY77" s="21" t="n">
        <v>210.791</v>
      </c>
      <c r="JZ77" s="21" t="n">
        <v>286.369</v>
      </c>
      <c r="KA77" s="21" t="n">
        <v>118.879</v>
      </c>
      <c r="KB77" s="21" t="n">
        <v>163.224</v>
      </c>
      <c r="KC77" s="21" t="n">
        <v>81.90900000000001</v>
      </c>
      <c r="KD77" s="21" t="n">
        <v>76.59099999999999</v>
      </c>
      <c r="KE77" s="21" t="n">
        <v>57.38</v>
      </c>
      <c r="KF77" s="21" t="n"/>
      <c r="KG77" s="21" t="n">
        <v>24.165</v>
      </c>
      <c r="KH77" s="21" t="n">
        <v>123.257</v>
      </c>
      <c r="KI77" s="21" t="n"/>
      <c r="KJ77" s="21" t="n"/>
      <c r="KK77" s="21" t="n">
        <v>34.21</v>
      </c>
      <c r="KL77" s="21" t="n">
        <v>29.789</v>
      </c>
      <c r="KM77" s="21" t="n">
        <v>38.552</v>
      </c>
      <c r="KN77" s="21" t="n"/>
      <c r="KO77" s="21" t="n">
        <v>101.855</v>
      </c>
      <c r="KP77" s="21" t="n">
        <v>105.651</v>
      </c>
      <c r="KQ77" s="21" t="n">
        <v>175.527</v>
      </c>
      <c r="KR77" s="21" t="n">
        <v>146.026</v>
      </c>
      <c r="KS77" s="21" t="n">
        <v>394.708</v>
      </c>
      <c r="KT77" s="21" t="n">
        <v>193.202</v>
      </c>
      <c r="KU77" s="21" t="n">
        <v>225.058</v>
      </c>
      <c r="KV77" s="21" t="n">
        <v>335.978</v>
      </c>
      <c r="KW77" s="21" t="n">
        <v>275.956</v>
      </c>
      <c r="KX77" s="21" t="n">
        <v>209.125</v>
      </c>
      <c r="KY77" s="21" t="n">
        <v>98.64100000000001</v>
      </c>
      <c r="KZ77" s="21" t="n">
        <v>141.742</v>
      </c>
      <c r="LA77" s="21" t="n">
        <v>271.829</v>
      </c>
      <c r="LB77" s="21" t="n">
        <v>686.521</v>
      </c>
      <c r="LC77" s="21" t="n">
        <v>235.133</v>
      </c>
      <c r="LD77" s="21" t="n">
        <v>780.614</v>
      </c>
      <c r="LE77" s="21" t="n">
        <v>876.996</v>
      </c>
      <c r="LF77" s="21" t="n">
        <v>85.992</v>
      </c>
      <c r="LG77" s="21" t="n">
        <v>313.787</v>
      </c>
      <c r="LH77" s="21" t="n">
        <v>261.641</v>
      </c>
      <c r="LI77" s="21" t="n">
        <v>75.63</v>
      </c>
      <c r="LJ77" s="21" t="n">
        <v>209.232</v>
      </c>
      <c r="LK77" s="21" t="n">
        <v>329.355</v>
      </c>
      <c r="LL77" s="21" t="n">
        <v>336.157</v>
      </c>
      <c r="LM77" s="21" t="n">
        <v>71.42</v>
      </c>
      <c r="LN77" s="21" t="n">
        <v>94.04600000000001</v>
      </c>
      <c r="LO77" s="21" t="n">
        <v>48.111</v>
      </c>
      <c r="LP77" s="21" t="n">
        <v>133.687</v>
      </c>
      <c r="LQ77" s="21" t="n"/>
      <c r="LR77" s="21" t="n"/>
      <c r="LS77" s="21" t="n">
        <v>109.519</v>
      </c>
      <c r="LT77" s="21" t="n">
        <v>39.358</v>
      </c>
      <c r="LU77" s="21" t="n">
        <v>26.131</v>
      </c>
      <c r="LV77" s="21" t="n">
        <v>79.23099999999999</v>
      </c>
      <c r="LW77" s="21" t="n">
        <v>156.866</v>
      </c>
      <c r="LX77" s="21" t="n">
        <v>75.80200000000001</v>
      </c>
      <c r="LY77" s="21" t="n">
        <v>473.649</v>
      </c>
      <c r="LZ77" s="21" t="n">
        <v>78.08499999999999</v>
      </c>
      <c r="MA77" s="21" t="n">
        <v>509.948</v>
      </c>
      <c r="MB77" s="21" t="n">
        <v>297.791</v>
      </c>
      <c r="MC77" s="21" t="n">
        <v>242.303</v>
      </c>
      <c r="MD77" s="21" t="n">
        <v>160.308</v>
      </c>
      <c r="ME77" s="21" t="n">
        <v>103.675</v>
      </c>
      <c r="MF77" s="21" t="n">
        <v>180.289</v>
      </c>
      <c r="MG77" s="21" t="n">
        <v>294.971</v>
      </c>
      <c r="MH77" s="21" t="n">
        <v>179.98</v>
      </c>
      <c r="MI77" s="21" t="n">
        <v>461.446</v>
      </c>
      <c r="MJ77" s="21" t="n">
        <v>371.157</v>
      </c>
      <c r="MK77" s="21" t="n">
        <v>347.504</v>
      </c>
      <c r="ML77" s="21" t="n">
        <v>183.798</v>
      </c>
      <c r="MM77" s="21" t="n">
        <v>210.288</v>
      </c>
      <c r="MN77" s="21" t="n">
        <v>371.628</v>
      </c>
      <c r="MO77" s="21" t="n">
        <v>170.273</v>
      </c>
      <c r="MP77" s="21" t="n"/>
      <c r="MQ77" s="21" t="n">
        <v>76.739</v>
      </c>
      <c r="MR77" s="21" t="n">
        <v>160.702</v>
      </c>
      <c r="MS77" s="21" t="n"/>
      <c r="MT77" s="21" t="n">
        <v>254.703</v>
      </c>
      <c r="MU77" s="21" t="n">
        <v>273.092</v>
      </c>
      <c r="MV77" s="21" t="n">
        <v>266.093</v>
      </c>
      <c r="MW77" s="21" t="n">
        <v>273.968</v>
      </c>
      <c r="MX77" s="21" t="n">
        <v>244.958</v>
      </c>
      <c r="MY77" s="21" t="n">
        <v>237.7</v>
      </c>
      <c r="MZ77" s="21" t="n">
        <v>242.101</v>
      </c>
      <c r="NA77" s="21" t="n">
        <v>245.687</v>
      </c>
      <c r="NB77" s="21" t="n">
        <v>112.301</v>
      </c>
      <c r="NC77" s="21" t="n">
        <v>194.456</v>
      </c>
      <c r="ND77" s="21" t="n">
        <v>159.832</v>
      </c>
      <c r="NE77" s="21" t="n">
        <v>156.346</v>
      </c>
      <c r="NF77" s="21" t="n">
        <v>149.915</v>
      </c>
      <c r="NG77" s="21" t="n">
        <v>147.536</v>
      </c>
      <c r="NH77" s="21" t="n">
        <v>263.207</v>
      </c>
      <c r="NI77" s="21" t="n">
        <v>111.983</v>
      </c>
      <c r="NJ77" s="21" t="n">
        <v>68.167</v>
      </c>
      <c r="NK77" s="21" t="n">
        <v>114.88</v>
      </c>
      <c r="NL77" s="21" t="n">
        <v>229.116</v>
      </c>
      <c r="NM77" s="21" t="n">
        <v>257.289</v>
      </c>
      <c r="NN77" s="21" t="n">
        <v>94.101</v>
      </c>
      <c r="NO77" s="21" t="n">
        <v>48.241</v>
      </c>
      <c r="NP77" s="21" t="n">
        <v>236.092</v>
      </c>
      <c r="NQ77" s="21" t="n">
        <v>204.988</v>
      </c>
      <c r="NR77" s="21" t="n">
        <v>255.411</v>
      </c>
      <c r="NS77" s="21" t="n">
        <v>201.493</v>
      </c>
      <c r="NT77" s="21" t="n">
        <v>256.202</v>
      </c>
      <c r="NU77" s="21" t="n">
        <v>119.706</v>
      </c>
      <c r="NV77" s="21" t="n">
        <v>131.385</v>
      </c>
      <c r="NW77" s="21" t="n">
        <v>373.376</v>
      </c>
      <c r="NX77" s="21" t="n">
        <v>80.709</v>
      </c>
      <c r="NY77" s="21" t="n">
        <v>129.797</v>
      </c>
      <c r="NZ77" s="21" t="n">
        <v>345.661</v>
      </c>
      <c r="OA77" s="21" t="n">
        <v>338.518</v>
      </c>
      <c r="OB77" s="21" t="n">
        <v>351.265</v>
      </c>
      <c r="OC77" s="21" t="n">
        <v>320.837</v>
      </c>
      <c r="OD77" s="21" t="n">
        <v>356.494</v>
      </c>
      <c r="OE77" s="21" t="n">
        <v>114.538</v>
      </c>
      <c r="OF77" s="21" t="n">
        <v>324.519</v>
      </c>
      <c r="OG77" s="21" t="n">
        <v>225.076</v>
      </c>
      <c r="OH77" s="21" t="n">
        <v>37.094</v>
      </c>
      <c r="OI77" s="21" t="n">
        <v>135.922</v>
      </c>
      <c r="OJ77" s="21" t="n">
        <v>37.4</v>
      </c>
      <c r="OK77" s="21" t="n">
        <v>12.5</v>
      </c>
    </row>
    <row r="78">
      <c r="A78" s="22" t="n">
        <v>44317</v>
      </c>
      <c r="B78" s="21" t="n">
        <v>269.195</v>
      </c>
      <c r="C78" s="21" t="n">
        <v>806.3869999999999</v>
      </c>
      <c r="D78" s="21" t="n">
        <v>273.441</v>
      </c>
      <c r="E78" s="21" t="n">
        <v>274.212</v>
      </c>
      <c r="F78" s="21" t="n">
        <v>255.516</v>
      </c>
      <c r="G78" s="21" t="n">
        <v>286.649</v>
      </c>
      <c r="H78" s="21" t="n">
        <v>233.894</v>
      </c>
      <c r="I78" s="21" t="n">
        <v>241.371</v>
      </c>
      <c r="J78" s="21" t="n">
        <v>228.209</v>
      </c>
      <c r="K78" s="21" t="n">
        <v>244.122</v>
      </c>
      <c r="L78" s="21" t="n">
        <v>165.131</v>
      </c>
      <c r="M78" s="21" t="n">
        <v>317.187</v>
      </c>
      <c r="N78" s="21" t="n">
        <v>193.564</v>
      </c>
      <c r="O78" s="21" t="n">
        <v>350.866</v>
      </c>
      <c r="P78" s="21" t="n">
        <v>377.717</v>
      </c>
      <c r="Q78" s="21" t="n">
        <v>187.304</v>
      </c>
      <c r="R78" s="21" t="n">
        <v>299.796</v>
      </c>
      <c r="S78" s="21" t="n">
        <v>319.21</v>
      </c>
      <c r="T78" s="21" t="n">
        <v>279.246</v>
      </c>
      <c r="U78" s="21" t="n">
        <v>280.559</v>
      </c>
      <c r="V78" s="21" t="n">
        <v>326.641</v>
      </c>
      <c r="W78" s="21" t="n">
        <v>327.639</v>
      </c>
      <c r="X78" s="21" t="n">
        <v>269.573</v>
      </c>
      <c r="Y78" s="21" t="n">
        <v>275.776</v>
      </c>
      <c r="Z78" s="21" t="n">
        <v>280.239</v>
      </c>
      <c r="AA78" s="21" t="n">
        <v>285.991</v>
      </c>
      <c r="AB78" s="21" t="n">
        <v>355.918</v>
      </c>
      <c r="AC78" s="21" t="n">
        <v>298.089</v>
      </c>
      <c r="AD78" s="21" t="n">
        <v>285.682</v>
      </c>
      <c r="AE78" s="21" t="n">
        <v>244.853</v>
      </c>
      <c r="AF78" s="21" t="n">
        <v>288.623</v>
      </c>
      <c r="AG78" s="21" t="n">
        <v>236.751</v>
      </c>
      <c r="AH78" s="21" t="n">
        <v>177.278</v>
      </c>
      <c r="AI78" s="21" t="n">
        <v>336.43</v>
      </c>
      <c r="AJ78" s="21" t="n">
        <v>156.989</v>
      </c>
      <c r="AK78" s="21" t="n">
        <v>214.351</v>
      </c>
      <c r="AL78" s="21" t="n">
        <v>239.281</v>
      </c>
      <c r="AM78" s="21" t="n">
        <v>214.056</v>
      </c>
      <c r="AN78" s="21" t="n">
        <v>148.105</v>
      </c>
      <c r="AO78" s="21" t="n">
        <v>236.945</v>
      </c>
      <c r="AP78" s="21" t="n">
        <v>247.524</v>
      </c>
      <c r="AQ78" s="21" t="n">
        <v>151.955</v>
      </c>
      <c r="AR78" s="21" t="n"/>
      <c r="AS78" s="21" t="n"/>
      <c r="AT78" s="21" t="n">
        <v>253.544</v>
      </c>
      <c r="AU78" s="21" t="n">
        <v>162.973</v>
      </c>
      <c r="AV78" s="21" t="n">
        <v>268.738</v>
      </c>
      <c r="AW78" s="21" t="n">
        <v>242.774</v>
      </c>
      <c r="AX78" s="21" t="n">
        <v>166.015</v>
      </c>
      <c r="AY78" s="21" t="n">
        <v>319.479</v>
      </c>
      <c r="AZ78" s="21" t="n">
        <v>202.711</v>
      </c>
      <c r="BA78" s="21" t="n">
        <v>156.205</v>
      </c>
      <c r="BB78" s="21" t="n">
        <v>227.413</v>
      </c>
      <c r="BC78" s="21" t="n">
        <v>323.844</v>
      </c>
      <c r="BD78" s="21" t="n">
        <v>217.353</v>
      </c>
      <c r="BE78" s="21" t="n">
        <v>230.38</v>
      </c>
      <c r="BF78" s="21" t="n">
        <v>153.593</v>
      </c>
      <c r="BG78" s="21" t="n">
        <v>223.276</v>
      </c>
      <c r="BH78" s="21" t="n">
        <v>157.196</v>
      </c>
      <c r="BI78" s="21" t="n">
        <v>239.858</v>
      </c>
      <c r="BJ78" s="21" t="n">
        <v>227.303</v>
      </c>
      <c r="BK78" s="21" t="n">
        <v>153.61</v>
      </c>
      <c r="BL78" s="21" t="n">
        <v>315.748</v>
      </c>
      <c r="BM78" s="21" t="n">
        <v>365.13</v>
      </c>
      <c r="BN78" s="21" t="n">
        <v>382.112</v>
      </c>
      <c r="BO78" s="21" t="n">
        <v>338.874</v>
      </c>
      <c r="BP78" s="21" t="n">
        <v>195.818</v>
      </c>
      <c r="BQ78" s="21" t="n">
        <v>272.299</v>
      </c>
      <c r="BR78" s="21" t="n">
        <v>523.343</v>
      </c>
      <c r="BS78" s="21" t="n">
        <v>130.169</v>
      </c>
      <c r="BT78" s="21" t="n">
        <v>346.131</v>
      </c>
      <c r="BU78" s="21" t="n">
        <v>376.478</v>
      </c>
      <c r="BV78" s="21" t="n">
        <v>337.942</v>
      </c>
      <c r="BW78" s="21" t="n">
        <v>340.697</v>
      </c>
      <c r="BX78" s="21" t="n">
        <v>345.473</v>
      </c>
      <c r="BY78" s="21" t="n">
        <v>166.799</v>
      </c>
      <c r="BZ78" s="21" t="n">
        <v>175.53</v>
      </c>
      <c r="CA78" s="21" t="n">
        <v>166.312</v>
      </c>
      <c r="CB78" s="21" t="n">
        <v>188.324</v>
      </c>
      <c r="CC78" s="21" t="n">
        <v>153.741</v>
      </c>
      <c r="CD78" s="21" t="n">
        <v>208.814</v>
      </c>
      <c r="CE78" s="21" t="n">
        <v>162.072</v>
      </c>
      <c r="CF78" s="21" t="n">
        <v>196.76</v>
      </c>
      <c r="CG78" s="21" t="n">
        <v>177.814</v>
      </c>
      <c r="CH78" s="21" t="n">
        <v>139.73</v>
      </c>
      <c r="CI78" s="21" t="n">
        <v>178.359</v>
      </c>
      <c r="CJ78" s="21" t="n">
        <v>180.464</v>
      </c>
      <c r="CK78" s="21" t="n">
        <v>125.915</v>
      </c>
      <c r="CL78" s="21" t="n">
        <v>119.356</v>
      </c>
      <c r="CM78" s="21" t="n">
        <v>197.575</v>
      </c>
      <c r="CN78" s="21" t="n">
        <v>207.48</v>
      </c>
      <c r="CO78" s="21" t="n">
        <v>184.858</v>
      </c>
      <c r="CP78" s="21" t="n">
        <v>133.502</v>
      </c>
      <c r="CQ78" s="21" t="n">
        <v>219.664</v>
      </c>
      <c r="CR78" s="21" t="n">
        <v>233.269</v>
      </c>
      <c r="CS78" s="21" t="n">
        <v>209.344</v>
      </c>
      <c r="CT78" s="21" t="n">
        <v>158.622</v>
      </c>
      <c r="CU78" s="21" t="n">
        <v>158.741</v>
      </c>
      <c r="CV78" s="21" t="n">
        <v>237.089</v>
      </c>
      <c r="CW78" s="21" t="n">
        <v>211.912</v>
      </c>
      <c r="CX78" s="21" t="n">
        <v>253.423</v>
      </c>
      <c r="CY78" s="21" t="n">
        <v>315.847</v>
      </c>
      <c r="CZ78" s="21" t="n">
        <v>134.865</v>
      </c>
      <c r="DA78" s="21" t="n">
        <v>165.215</v>
      </c>
      <c r="DB78" s="21" t="n">
        <v>166.882</v>
      </c>
      <c r="DC78" s="21" t="n">
        <v>233.438</v>
      </c>
      <c r="DD78" s="21" t="n">
        <v>259.186</v>
      </c>
      <c r="DE78" s="21" t="n">
        <v>172.85</v>
      </c>
      <c r="DF78" s="21" t="n">
        <v>257.55</v>
      </c>
      <c r="DG78" s="21" t="n">
        <v>252.98</v>
      </c>
      <c r="DH78" s="21" t="n">
        <v>161.153</v>
      </c>
      <c r="DI78" s="21" t="n">
        <v>147.522</v>
      </c>
      <c r="DJ78" s="21" t="n">
        <v>145.396</v>
      </c>
      <c r="DK78" s="21" t="n">
        <v>286.159</v>
      </c>
      <c r="DL78" s="21" t="n">
        <v>173.949</v>
      </c>
      <c r="DM78" s="21" t="n">
        <v>137.457</v>
      </c>
      <c r="DN78" s="21" t="n">
        <v>131.813</v>
      </c>
      <c r="DO78" s="21" t="n">
        <v>303.481</v>
      </c>
      <c r="DP78" s="21" t="n">
        <v>187.156</v>
      </c>
      <c r="DQ78" s="21" t="n">
        <v>199.889</v>
      </c>
      <c r="DR78" s="21" t="n">
        <v>120.565</v>
      </c>
      <c r="DS78" s="21" t="n">
        <v>86.087</v>
      </c>
      <c r="DT78" s="21" t="n">
        <v>175.993</v>
      </c>
      <c r="DU78" s="21" t="n">
        <v>204.899</v>
      </c>
      <c r="DV78" s="21" t="n">
        <v>261.711</v>
      </c>
      <c r="DW78" s="21" t="n">
        <v>212.051</v>
      </c>
      <c r="DX78" s="21" t="n">
        <v>241.243</v>
      </c>
      <c r="DY78" s="21" t="n">
        <v>201.658</v>
      </c>
      <c r="DZ78" s="21" t="n">
        <v>212.232</v>
      </c>
      <c r="EA78" s="21" t="n">
        <v>198.766</v>
      </c>
      <c r="EB78" s="21" t="n">
        <v>174.056</v>
      </c>
      <c r="EC78" s="21" t="n">
        <v>370.685</v>
      </c>
      <c r="ED78" s="21" t="n">
        <v>182.063</v>
      </c>
      <c r="EE78" s="21" t="n">
        <v>199.666</v>
      </c>
      <c r="EF78" s="21" t="n">
        <v>204.621</v>
      </c>
      <c r="EG78" s="21" t="n">
        <v>278.648</v>
      </c>
      <c r="EH78" s="21" t="n">
        <v>332.454</v>
      </c>
      <c r="EI78" s="21" t="n">
        <v>347.016</v>
      </c>
      <c r="EJ78" s="21" t="n">
        <v>163.276</v>
      </c>
      <c r="EK78" s="21" t="n">
        <v>582.956</v>
      </c>
      <c r="EL78" s="21" t="n">
        <v>331.65</v>
      </c>
      <c r="EM78" s="21" t="n">
        <v>341.095</v>
      </c>
      <c r="EN78" s="21" t="n">
        <v>341.115</v>
      </c>
      <c r="EO78" s="21" t="n">
        <v>150.423</v>
      </c>
      <c r="EP78" s="21" t="n">
        <v>255.631</v>
      </c>
      <c r="EQ78" s="21" t="n">
        <v>210.371</v>
      </c>
      <c r="ER78" s="21" t="n">
        <v>285.256</v>
      </c>
      <c r="ES78" s="21" t="n">
        <v>272.99</v>
      </c>
      <c r="ET78" s="21" t="n">
        <v>361.652</v>
      </c>
      <c r="EU78" s="21" t="n">
        <v>214.335</v>
      </c>
      <c r="EV78" s="21" t="n">
        <v>220.948</v>
      </c>
      <c r="EW78" s="21" t="n">
        <v>191.083</v>
      </c>
      <c r="EX78" s="21" t="n">
        <v>259.542</v>
      </c>
      <c r="EY78" s="21" t="n">
        <v>600.405</v>
      </c>
      <c r="EZ78" s="21" t="n">
        <v>516.4400000000001</v>
      </c>
      <c r="FA78" s="21" t="n">
        <v>131.086</v>
      </c>
      <c r="FB78" s="21" t="n">
        <v>56.516</v>
      </c>
      <c r="FC78" s="21" t="n">
        <v>113.723</v>
      </c>
      <c r="FD78" s="21" t="n">
        <v>63.258</v>
      </c>
      <c r="FE78" s="21" t="n">
        <v>42.875</v>
      </c>
      <c r="FF78" s="21" t="n">
        <v>121.954</v>
      </c>
      <c r="FG78" s="21" t="n">
        <v>132.865</v>
      </c>
      <c r="FH78" s="21" t="n">
        <v>96.37</v>
      </c>
      <c r="FI78" s="21" t="n">
        <v>77.146</v>
      </c>
      <c r="FJ78" s="21" t="n"/>
      <c r="FK78" s="21" t="n">
        <v>83.947</v>
      </c>
      <c r="FL78" s="21" t="n">
        <v>96.51000000000001</v>
      </c>
      <c r="FM78" s="21" t="n">
        <v>115.088</v>
      </c>
      <c r="FN78" s="21" t="n">
        <v>70.495</v>
      </c>
      <c r="FO78" s="21" t="n">
        <v>51.86</v>
      </c>
      <c r="FP78" s="21" t="n">
        <v>37.844</v>
      </c>
      <c r="FQ78" s="21" t="n">
        <v>140.287</v>
      </c>
      <c r="FR78" s="21" t="n">
        <v>46.977</v>
      </c>
      <c r="FS78" s="21" t="n">
        <v>82.218</v>
      </c>
      <c r="FT78" s="21" t="n">
        <v>94.92100000000001</v>
      </c>
      <c r="FU78" s="21" t="n">
        <v>103.052</v>
      </c>
      <c r="FV78" s="21" t="n">
        <v>91.12</v>
      </c>
      <c r="FW78" s="21" t="n">
        <v>197.781</v>
      </c>
      <c r="FX78" s="21" t="n">
        <v>126.961</v>
      </c>
      <c r="FY78" s="21" t="n">
        <v>192.733</v>
      </c>
      <c r="FZ78" s="21" t="n">
        <v>118.071</v>
      </c>
      <c r="GA78" s="21" t="n">
        <v>215.682</v>
      </c>
      <c r="GB78" s="21" t="n">
        <v>197.341</v>
      </c>
      <c r="GC78" s="21" t="n">
        <v>220.122</v>
      </c>
      <c r="GD78" s="21" t="n">
        <v>196.825</v>
      </c>
      <c r="GE78" s="21" t="n">
        <v>282.589</v>
      </c>
      <c r="GF78" s="21" t="n">
        <v>120.951</v>
      </c>
      <c r="GG78" s="21" t="n">
        <v>114.749</v>
      </c>
      <c r="GH78" s="21" t="n">
        <v>116.911</v>
      </c>
      <c r="GI78" s="21" t="n">
        <v>86.992</v>
      </c>
      <c r="GJ78" s="21" t="n">
        <v>163.403</v>
      </c>
      <c r="GK78" s="21" t="n">
        <v>68.169</v>
      </c>
      <c r="GL78" s="21" t="n">
        <v>130.741</v>
      </c>
      <c r="GM78" s="21" t="n">
        <v>104.367</v>
      </c>
      <c r="GN78" s="21" t="n">
        <v>101.288</v>
      </c>
      <c r="GO78" s="21" t="n">
        <v>101.668</v>
      </c>
      <c r="GP78" s="21" t="n">
        <v>92.265</v>
      </c>
      <c r="GQ78" s="21" t="n">
        <v>98.63200000000001</v>
      </c>
      <c r="GR78" s="21" t="n">
        <v>69.81999999999999</v>
      </c>
      <c r="GS78" s="21" t="n">
        <v>102.941</v>
      </c>
      <c r="GT78" s="21" t="n">
        <v>98.827</v>
      </c>
      <c r="GU78" s="21" t="n">
        <v>138.385</v>
      </c>
      <c r="GV78" s="21" t="n">
        <v>144.981</v>
      </c>
      <c r="GW78" s="21" t="n">
        <v>158.131</v>
      </c>
      <c r="GX78" s="21" t="n">
        <v>123.833</v>
      </c>
      <c r="GY78" s="21" t="n">
        <v>111.481</v>
      </c>
      <c r="GZ78" s="21" t="n">
        <v>186.617</v>
      </c>
      <c r="HA78" s="21" t="n">
        <v>151.157</v>
      </c>
      <c r="HB78" s="21" t="n">
        <v>185.072</v>
      </c>
      <c r="HC78" s="21" t="n">
        <v>229.689</v>
      </c>
      <c r="HD78" s="21" t="n">
        <v>227.144</v>
      </c>
      <c r="HE78" s="21" t="n">
        <v>112.405</v>
      </c>
      <c r="HF78" s="21" t="n">
        <v>152.143</v>
      </c>
      <c r="HG78" s="21" t="n">
        <v>105.447</v>
      </c>
      <c r="HH78" s="21" t="n">
        <v>147.724</v>
      </c>
      <c r="HI78" s="21" t="n">
        <v>162.498</v>
      </c>
      <c r="HJ78" s="21" t="n"/>
      <c r="HK78" s="21" t="n">
        <v>179.532</v>
      </c>
      <c r="HL78" s="21" t="n"/>
      <c r="HM78" s="21" t="n">
        <v>202.64</v>
      </c>
      <c r="HN78" s="21" t="n">
        <v>264.135</v>
      </c>
      <c r="HO78" s="21" t="n">
        <v>263.17</v>
      </c>
      <c r="HP78" s="21" t="n">
        <v>258.134</v>
      </c>
      <c r="HQ78" s="21" t="n">
        <v>283.235</v>
      </c>
      <c r="HR78" s="21" t="n">
        <v>276.355</v>
      </c>
      <c r="HS78" s="21" t="n">
        <v>232.801</v>
      </c>
      <c r="HT78" s="21" t="n">
        <v>151.777</v>
      </c>
      <c r="HU78" s="21" t="n">
        <v>129.326</v>
      </c>
      <c r="HV78" s="21" t="n">
        <v>182.318</v>
      </c>
      <c r="HW78" s="21" t="n">
        <v>173.211</v>
      </c>
      <c r="HX78" s="21" t="n">
        <v>393.733</v>
      </c>
      <c r="HY78" s="21" t="n">
        <v>314.164</v>
      </c>
      <c r="HZ78" s="21" t="n">
        <v>337.399</v>
      </c>
      <c r="IA78" s="21" t="n">
        <v>284.487</v>
      </c>
      <c r="IB78" s="21" t="n">
        <v>191.667</v>
      </c>
      <c r="IC78" s="21" t="n">
        <v>569.01</v>
      </c>
      <c r="ID78" s="21" t="n">
        <v>197.634</v>
      </c>
      <c r="IE78" s="21" t="n">
        <v>186.128</v>
      </c>
      <c r="IF78" s="21" t="n">
        <v>216.253</v>
      </c>
      <c r="IG78" s="21" t="n">
        <v>248.537</v>
      </c>
      <c r="IH78" s="21" t="n"/>
      <c r="II78" s="21" t="n">
        <v>252.454</v>
      </c>
      <c r="IJ78" s="21" t="n">
        <v>250.209</v>
      </c>
      <c r="IK78" s="21" t="n">
        <v>166.38</v>
      </c>
      <c r="IL78" s="21" t="n"/>
      <c r="IM78" s="21" t="n"/>
      <c r="IN78" s="21" t="n">
        <v>66.06</v>
      </c>
      <c r="IO78" s="21" t="n">
        <v>325.914</v>
      </c>
      <c r="IP78" s="21" t="n">
        <v>125.695</v>
      </c>
      <c r="IQ78" s="21" t="n">
        <v>523.918</v>
      </c>
      <c r="IR78" s="21" t="n">
        <v>377.191</v>
      </c>
      <c r="IS78" s="21" t="n">
        <v>123.705</v>
      </c>
      <c r="IT78" s="21" t="n">
        <v>522.116</v>
      </c>
      <c r="IU78" s="21" t="n">
        <v>96.211</v>
      </c>
      <c r="IV78" s="21" t="n">
        <v>96.003</v>
      </c>
      <c r="IW78" s="21" t="n">
        <v>571.255</v>
      </c>
      <c r="IX78" s="21" t="n">
        <v>401.147</v>
      </c>
      <c r="IY78" s="21" t="n">
        <v>405.744</v>
      </c>
      <c r="IZ78" s="21" t="n">
        <v>520.102</v>
      </c>
      <c r="JA78" s="21" t="n">
        <v>194.638</v>
      </c>
      <c r="JB78" s="21" t="n">
        <v>247.784</v>
      </c>
      <c r="JC78" s="21" t="n">
        <v>85.872</v>
      </c>
      <c r="JD78" s="21" t="n">
        <v>361.285</v>
      </c>
      <c r="JE78" s="21" t="n">
        <v>349.541</v>
      </c>
      <c r="JF78" s="21" t="n">
        <v>785.713</v>
      </c>
      <c r="JG78" s="21" t="n">
        <v>249.121</v>
      </c>
      <c r="JH78" s="21" t="n">
        <v>139.297</v>
      </c>
      <c r="JI78" s="21" t="n">
        <v>171.6</v>
      </c>
      <c r="JJ78" s="21" t="n">
        <v>124.769</v>
      </c>
      <c r="JK78" s="21" t="n">
        <v>109.731</v>
      </c>
      <c r="JL78" s="21" t="n">
        <v>139.754</v>
      </c>
      <c r="JM78" s="21" t="n">
        <v>516.933</v>
      </c>
      <c r="JN78" s="21" t="n">
        <v>125.295</v>
      </c>
      <c r="JO78" s="21" t="n">
        <v>65.819</v>
      </c>
      <c r="JP78" s="21" t="n">
        <v>32.434</v>
      </c>
      <c r="JQ78" s="21" t="n">
        <v>138.818</v>
      </c>
      <c r="JR78" s="21" t="n">
        <v>25.484</v>
      </c>
      <c r="JS78" s="21" t="n">
        <v>79.48099999999999</v>
      </c>
      <c r="JT78" s="21" t="n">
        <v>184.359</v>
      </c>
      <c r="JU78" s="21" t="n">
        <v>203.247</v>
      </c>
      <c r="JV78" s="21" t="n">
        <v>155.278</v>
      </c>
      <c r="JW78" s="21" t="n">
        <v>116.309</v>
      </c>
      <c r="JX78" s="21" t="n">
        <v>274.389</v>
      </c>
      <c r="JY78" s="21" t="n">
        <v>208.959</v>
      </c>
      <c r="JZ78" s="21" t="n">
        <v>289.945</v>
      </c>
      <c r="KA78" s="21" t="n">
        <v>120.713</v>
      </c>
      <c r="KB78" s="21" t="n">
        <v>167.891</v>
      </c>
      <c r="KC78" s="21" t="n">
        <v>81.523</v>
      </c>
      <c r="KD78" s="21" t="n">
        <v>76.8</v>
      </c>
      <c r="KE78" s="21" t="n">
        <v>57.706</v>
      </c>
      <c r="KF78" s="21" t="n"/>
      <c r="KG78" s="21" t="n">
        <v>24.309</v>
      </c>
      <c r="KH78" s="21" t="n">
        <v>123.379</v>
      </c>
      <c r="KI78" s="21" t="n"/>
      <c r="KJ78" s="21" t="n"/>
      <c r="KK78" s="21" t="n">
        <v>34.041</v>
      </c>
      <c r="KL78" s="21" t="n">
        <v>29.514</v>
      </c>
      <c r="KM78" s="21" t="n">
        <v>38.014</v>
      </c>
      <c r="KN78" s="21" t="n"/>
      <c r="KO78" s="21" t="n">
        <v>102.574</v>
      </c>
      <c r="KP78" s="21" t="n">
        <v>107.266</v>
      </c>
      <c r="KQ78" s="21" t="n">
        <v>175.337</v>
      </c>
      <c r="KR78" s="21" t="n">
        <v>145.417</v>
      </c>
      <c r="KS78" s="21" t="n">
        <v>396.158</v>
      </c>
      <c r="KT78" s="21" t="n">
        <v>192.026</v>
      </c>
      <c r="KU78" s="21" t="n">
        <v>228.351</v>
      </c>
      <c r="KV78" s="21" t="n">
        <v>333.62</v>
      </c>
      <c r="KW78" s="21" t="n">
        <v>274.272</v>
      </c>
      <c r="KX78" s="21" t="n">
        <v>206.494</v>
      </c>
      <c r="KY78" s="21" t="n">
        <v>98.869</v>
      </c>
      <c r="KZ78" s="21" t="n">
        <v>142.002</v>
      </c>
      <c r="LA78" s="21" t="n">
        <v>272.544</v>
      </c>
      <c r="LB78" s="21" t="n">
        <v>691.128</v>
      </c>
      <c r="LC78" s="21" t="n">
        <v>236.375</v>
      </c>
      <c r="LD78" s="21" t="n">
        <v>782.548</v>
      </c>
      <c r="LE78" s="21" t="n">
        <v>877.052</v>
      </c>
      <c r="LF78" s="21" t="n">
        <v>86.55800000000001</v>
      </c>
      <c r="LG78" s="21" t="n">
        <v>315.422</v>
      </c>
      <c r="LH78" s="21" t="n">
        <v>261.544</v>
      </c>
      <c r="LI78" s="21" t="n">
        <v>75.721</v>
      </c>
      <c r="LJ78" s="21" t="n">
        <v>209.281</v>
      </c>
      <c r="LK78" s="21" t="n">
        <v>329.355</v>
      </c>
      <c r="LL78" s="21" t="n">
        <v>337.048</v>
      </c>
      <c r="LM78" s="21" t="n">
        <v>71.508</v>
      </c>
      <c r="LN78" s="21" t="n">
        <v>94.251</v>
      </c>
      <c r="LO78" s="21" t="n">
        <v>48.123</v>
      </c>
      <c r="LP78" s="21" t="n">
        <v>135.191</v>
      </c>
      <c r="LQ78" s="21" t="n"/>
      <c r="LR78" s="21" t="n"/>
      <c r="LS78" s="21" t="n">
        <v>109.466</v>
      </c>
      <c r="LT78" s="21" t="n">
        <v>39.611</v>
      </c>
      <c r="LU78" s="21" t="n">
        <v>26.386</v>
      </c>
      <c r="LV78" s="21" t="n">
        <v>79.062</v>
      </c>
      <c r="LW78" s="21" t="n">
        <v>155.027</v>
      </c>
      <c r="LX78" s="21" t="n">
        <v>75.43000000000001</v>
      </c>
      <c r="LY78" s="21" t="n">
        <v>473.011</v>
      </c>
      <c r="LZ78" s="21" t="n">
        <v>78.194</v>
      </c>
      <c r="MA78" s="21" t="n">
        <v>510.579</v>
      </c>
      <c r="MB78" s="21" t="n">
        <v>298.916</v>
      </c>
      <c r="MC78" s="21" t="n">
        <v>241.814</v>
      </c>
      <c r="MD78" s="21" t="n">
        <v>159.678</v>
      </c>
      <c r="ME78" s="21" t="n">
        <v>103.926</v>
      </c>
      <c r="MF78" s="21" t="n">
        <v>178.222</v>
      </c>
      <c r="MG78" s="21" t="n">
        <v>293.245</v>
      </c>
      <c r="MH78" s="21" t="n">
        <v>178.928</v>
      </c>
      <c r="MI78" s="21" t="n">
        <v>462.325</v>
      </c>
      <c r="MJ78" s="21" t="n">
        <v>371.157</v>
      </c>
      <c r="MK78" s="21" t="n">
        <v>348.826</v>
      </c>
      <c r="ML78" s="21" t="n">
        <v>184.51</v>
      </c>
      <c r="MM78" s="21" t="n">
        <v>210.758</v>
      </c>
      <c r="MN78" s="21" t="n">
        <v>371.925</v>
      </c>
      <c r="MO78" s="21" t="n">
        <v>169.941</v>
      </c>
      <c r="MP78" s="21" t="n">
        <v>267.767</v>
      </c>
      <c r="MQ78" s="21" t="n">
        <v>76.633</v>
      </c>
      <c r="MR78" s="21" t="n">
        <v>160.899</v>
      </c>
      <c r="MS78" s="21" t="n"/>
      <c r="MT78" s="21" t="n">
        <v>256.971</v>
      </c>
      <c r="MU78" s="21" t="n">
        <v>274.891</v>
      </c>
      <c r="MV78" s="21" t="n">
        <v>268.394</v>
      </c>
      <c r="MW78" s="21" t="n">
        <v>275.893</v>
      </c>
      <c r="MX78" s="21" t="n">
        <v>247.484</v>
      </c>
      <c r="MY78" s="21" t="n">
        <v>240.537</v>
      </c>
      <c r="MZ78" s="21" t="n">
        <v>244.439</v>
      </c>
      <c r="NA78" s="21" t="n">
        <v>247.125</v>
      </c>
      <c r="NB78" s="21" t="n">
        <v>112.43</v>
      </c>
      <c r="NC78" s="21" t="n">
        <v>197.117</v>
      </c>
      <c r="ND78" s="21" t="n">
        <v>162.903</v>
      </c>
      <c r="NE78" s="21" t="n">
        <v>159.47</v>
      </c>
      <c r="NF78" s="21" t="n">
        <v>152.217</v>
      </c>
      <c r="NG78" s="21" t="n">
        <v>148.545</v>
      </c>
      <c r="NH78" s="21" t="n">
        <v>264.29</v>
      </c>
      <c r="NI78" s="21" t="n">
        <v>115.051</v>
      </c>
      <c r="NJ78" s="21" t="n">
        <v>68.43899999999999</v>
      </c>
      <c r="NK78" s="21" t="n">
        <v>115.071</v>
      </c>
      <c r="NL78" s="21" t="n">
        <v>235.339</v>
      </c>
      <c r="NM78" s="21" t="n">
        <v>267.532</v>
      </c>
      <c r="NN78" s="21" t="n">
        <v>94.98999999999999</v>
      </c>
      <c r="NO78" s="21" t="n">
        <v>48.397</v>
      </c>
      <c r="NP78" s="21" t="n">
        <v>237.991</v>
      </c>
      <c r="NQ78" s="21" t="n">
        <v>207.498</v>
      </c>
      <c r="NR78" s="21" t="n">
        <v>259.205</v>
      </c>
      <c r="NS78" s="21" t="n">
        <v>204.141</v>
      </c>
      <c r="NT78" s="21" t="n">
        <v>260.377</v>
      </c>
      <c r="NU78" s="21" t="n">
        <v>119.541</v>
      </c>
      <c r="NV78" s="21" t="n">
        <v>131.212</v>
      </c>
      <c r="NW78" s="21" t="n">
        <v>373.725</v>
      </c>
      <c r="NX78" s="21" t="n">
        <v>81.015</v>
      </c>
      <c r="NY78" s="21" t="n">
        <v>129.892</v>
      </c>
      <c r="NZ78" s="21" t="n">
        <v>346.824</v>
      </c>
      <c r="OA78" s="21" t="n">
        <v>340.052</v>
      </c>
      <c r="OB78" s="21" t="n">
        <v>352.721</v>
      </c>
      <c r="OC78" s="21" t="n">
        <v>322.545</v>
      </c>
      <c r="OD78" s="21" t="n">
        <v>358.568</v>
      </c>
      <c r="OE78" s="21" t="n">
        <v>118.625</v>
      </c>
      <c r="OF78" s="21" t="n">
        <v>331.188</v>
      </c>
      <c r="OG78" s="21" t="n">
        <v>228.265</v>
      </c>
      <c r="OH78" s="21" t="n">
        <v>37.206</v>
      </c>
      <c r="OI78" s="21" t="n">
        <v>136.015</v>
      </c>
      <c r="OJ78" s="21" t="n">
        <v>37.1</v>
      </c>
      <c r="OK78" s="21" t="n">
        <v>12.4</v>
      </c>
    </row>
    <row r="79">
      <c r="A79" s="22" t="n">
        <v>44348</v>
      </c>
      <c r="B79" s="21" t="n">
        <v>271.696</v>
      </c>
      <c r="C79" s="21" t="n">
        <v>813.879</v>
      </c>
      <c r="D79" s="21" t="n">
        <v>275.38</v>
      </c>
      <c r="E79" s="21" t="n">
        <v>276.206</v>
      </c>
      <c r="F79" s="21" t="n">
        <v>257.412</v>
      </c>
      <c r="G79" s="21" t="n">
        <v>286.761</v>
      </c>
      <c r="H79" s="21" t="n">
        <v>234.892</v>
      </c>
      <c r="I79" s="21" t="n">
        <v>242.767</v>
      </c>
      <c r="J79" s="21" t="n">
        <v>229.794</v>
      </c>
      <c r="K79" s="21" t="n">
        <v>244.286</v>
      </c>
      <c r="L79" s="21" t="n">
        <v>164.153</v>
      </c>
      <c r="M79" s="21" t="n">
        <v>316.77</v>
      </c>
      <c r="N79" s="21" t="n">
        <v>192.878</v>
      </c>
      <c r="O79" s="21" t="n">
        <v>350.546</v>
      </c>
      <c r="P79" s="21" t="n">
        <v>374.352</v>
      </c>
      <c r="Q79" s="21" t="n">
        <v>187.762</v>
      </c>
      <c r="R79" s="21" t="n">
        <v>300.883</v>
      </c>
      <c r="S79" s="21" t="n">
        <v>325.601</v>
      </c>
      <c r="T79" s="21" t="n">
        <v>277.514</v>
      </c>
      <c r="U79" s="21" t="n">
        <v>279.138</v>
      </c>
      <c r="V79" s="21" t="n">
        <v>320.51</v>
      </c>
      <c r="W79" s="21" t="n">
        <v>323.949</v>
      </c>
      <c r="X79" s="21" t="n">
        <v>271.264</v>
      </c>
      <c r="Y79" s="21" t="n">
        <v>282.993</v>
      </c>
      <c r="Z79" s="21" t="n">
        <v>288.082</v>
      </c>
      <c r="AA79" s="21" t="n">
        <v>296.597</v>
      </c>
      <c r="AB79" s="21" t="n">
        <v>374.863</v>
      </c>
      <c r="AC79" s="21" t="n">
        <v>308.319</v>
      </c>
      <c r="AD79" s="21" t="n">
        <v>299.826</v>
      </c>
      <c r="AE79" s="21" t="n">
        <v>261.72</v>
      </c>
      <c r="AF79" s="21" t="n">
        <v>307.146</v>
      </c>
      <c r="AG79" s="21" t="n">
        <v>246.128</v>
      </c>
      <c r="AH79" s="21" t="n">
        <v>181.695</v>
      </c>
      <c r="AI79" s="21" t="n">
        <v>346.051</v>
      </c>
      <c r="AJ79" s="21" t="n">
        <v>160.628</v>
      </c>
      <c r="AK79" s="21" t="n">
        <v>224.633</v>
      </c>
      <c r="AL79" s="21" t="n">
        <v>251.305</v>
      </c>
      <c r="AM79" s="21" t="n">
        <v>224.766</v>
      </c>
      <c r="AN79" s="21" t="n">
        <v>155.707</v>
      </c>
      <c r="AO79" s="21" t="n">
        <v>236.477</v>
      </c>
      <c r="AP79" s="21" t="n">
        <v>246.324</v>
      </c>
      <c r="AQ79" s="21" t="n">
        <v>151.389</v>
      </c>
      <c r="AR79" s="21" t="n"/>
      <c r="AS79" s="21" t="n"/>
      <c r="AT79" s="21" t="n">
        <v>255.917</v>
      </c>
      <c r="AU79" s="21" t="n">
        <v>164.003</v>
      </c>
      <c r="AV79" s="21" t="n">
        <v>270.098</v>
      </c>
      <c r="AW79" s="21" t="n">
        <v>244.606</v>
      </c>
      <c r="AX79" s="21" t="n">
        <v>169.78</v>
      </c>
      <c r="AY79" s="21" t="n">
        <v>324.598</v>
      </c>
      <c r="AZ79" s="21" t="n">
        <v>206.552</v>
      </c>
      <c r="BA79" s="21" t="n">
        <v>158.23</v>
      </c>
      <c r="BB79" s="21" t="n">
        <v>228.376</v>
      </c>
      <c r="BC79" s="21" t="n">
        <v>329.809</v>
      </c>
      <c r="BD79" s="21" t="n">
        <v>216.428</v>
      </c>
      <c r="BE79" s="21" t="n">
        <v>230.152</v>
      </c>
      <c r="BF79" s="21" t="n">
        <v>153.599</v>
      </c>
      <c r="BG79" s="21" t="n">
        <v>222.941</v>
      </c>
      <c r="BH79" s="21" t="n">
        <v>157.351</v>
      </c>
      <c r="BI79" s="21" t="n">
        <v>240.1</v>
      </c>
      <c r="BJ79" s="21" t="n">
        <v>228.197</v>
      </c>
      <c r="BK79" s="21" t="n">
        <v>152.469</v>
      </c>
      <c r="BL79" s="21" t="n">
        <v>315.211</v>
      </c>
      <c r="BM79" s="21" t="n">
        <v>364.417</v>
      </c>
      <c r="BN79" s="21" t="n">
        <v>378.79</v>
      </c>
      <c r="BO79" s="21" t="n">
        <v>347.403</v>
      </c>
      <c r="BP79" s="21" t="n">
        <v>194.976</v>
      </c>
      <c r="BQ79" s="21" t="n">
        <v>280.602</v>
      </c>
      <c r="BR79" s="21" t="n">
        <v>544.102</v>
      </c>
      <c r="BS79" s="21" t="n">
        <v>124.752</v>
      </c>
      <c r="BT79" s="21" t="n">
        <v>348.074</v>
      </c>
      <c r="BU79" s="21" t="n">
        <v>383.24</v>
      </c>
      <c r="BV79" s="21" t="n">
        <v>339.031</v>
      </c>
      <c r="BW79" s="21" t="n">
        <v>348.261</v>
      </c>
      <c r="BX79" s="21" t="n">
        <v>344.814</v>
      </c>
      <c r="BY79" s="21" t="n">
        <v>166.668</v>
      </c>
      <c r="BZ79" s="21" t="n">
        <v>175.443</v>
      </c>
      <c r="CA79" s="21" t="n">
        <v>166.963</v>
      </c>
      <c r="CB79" s="21" t="n">
        <v>187.759</v>
      </c>
      <c r="CC79" s="21" t="n">
        <v>153.792</v>
      </c>
      <c r="CD79" s="21" t="n">
        <v>209.006</v>
      </c>
      <c r="CE79" s="21" t="n">
        <v>161.5</v>
      </c>
      <c r="CF79" s="21" t="n">
        <v>195.842</v>
      </c>
      <c r="CG79" s="21" t="n">
        <v>179.527</v>
      </c>
      <c r="CH79" s="21" t="n">
        <v>141.072</v>
      </c>
      <c r="CI79" s="21" t="n">
        <v>181.765</v>
      </c>
      <c r="CJ79" s="21" t="n">
        <v>180.279</v>
      </c>
      <c r="CK79" s="21" t="n">
        <v>126.271</v>
      </c>
      <c r="CL79" s="21" t="n">
        <v>120.516</v>
      </c>
      <c r="CM79" s="21" t="n">
        <v>198.558</v>
      </c>
      <c r="CN79" s="21" t="n">
        <v>207.686</v>
      </c>
      <c r="CO79" s="21" t="n">
        <v>189.39</v>
      </c>
      <c r="CP79" s="21" t="n">
        <v>135.956</v>
      </c>
      <c r="CQ79" s="21" t="n">
        <v>220.221</v>
      </c>
      <c r="CR79" s="21" t="n">
        <v>232.923</v>
      </c>
      <c r="CS79" s="21" t="n">
        <v>208.719</v>
      </c>
      <c r="CT79" s="21" t="n">
        <v>158.704</v>
      </c>
      <c r="CU79" s="21" t="n">
        <v>157.609</v>
      </c>
      <c r="CV79" s="21" t="n">
        <v>236.724</v>
      </c>
      <c r="CW79" s="21" t="n">
        <v>209.296</v>
      </c>
      <c r="CX79" s="21" t="n">
        <v>249.285</v>
      </c>
      <c r="CY79" s="21" t="n">
        <v>313.361</v>
      </c>
      <c r="CZ79" s="21" t="n">
        <v>134.474</v>
      </c>
      <c r="DA79" s="21" t="n">
        <v>166.204</v>
      </c>
      <c r="DB79" s="21" t="n">
        <v>167.359</v>
      </c>
      <c r="DC79" s="21" t="n">
        <v>234.343</v>
      </c>
      <c r="DD79" s="21" t="n">
        <v>259.66</v>
      </c>
      <c r="DE79" s="21" t="n">
        <v>173.802</v>
      </c>
      <c r="DF79" s="21" t="n">
        <v>260.318</v>
      </c>
      <c r="DG79" s="21" t="n">
        <v>250.568</v>
      </c>
      <c r="DH79" s="21" t="n">
        <v>160.383</v>
      </c>
      <c r="DI79" s="21" t="n">
        <v>147.929</v>
      </c>
      <c r="DJ79" s="21" t="n">
        <v>144.037</v>
      </c>
      <c r="DK79" s="21" t="n">
        <v>282.128</v>
      </c>
      <c r="DL79" s="21" t="n">
        <v>174.247</v>
      </c>
      <c r="DM79" s="21" t="n">
        <v>138.441</v>
      </c>
      <c r="DN79" s="21" t="n">
        <v>128.841</v>
      </c>
      <c r="DO79" s="21" t="n">
        <v>305.634</v>
      </c>
      <c r="DP79" s="21" t="n">
        <v>188.743</v>
      </c>
      <c r="DQ79" s="21" t="n">
        <v>201.006</v>
      </c>
      <c r="DR79" s="21" t="n">
        <v>121.058</v>
      </c>
      <c r="DS79" s="21" t="n"/>
      <c r="DT79" s="21" t="n">
        <v>180.016</v>
      </c>
      <c r="DU79" s="21" t="n">
        <v>204.966</v>
      </c>
      <c r="DV79" s="21" t="n">
        <v>262.913</v>
      </c>
      <c r="DW79" s="21" t="n">
        <v>212.838</v>
      </c>
      <c r="DX79" s="21" t="n">
        <v>243.565</v>
      </c>
      <c r="DY79" s="21" t="n">
        <v>201.967</v>
      </c>
      <c r="DZ79" s="21" t="n">
        <v>212.423</v>
      </c>
      <c r="EA79" s="21" t="n">
        <v>198.708</v>
      </c>
      <c r="EB79" s="21" t="n">
        <v>173.962</v>
      </c>
      <c r="EC79" s="21" t="n">
        <v>372.805</v>
      </c>
      <c r="ED79" s="21" t="n">
        <v>182.013</v>
      </c>
      <c r="EE79" s="21" t="n">
        <v>199.755</v>
      </c>
      <c r="EF79" s="21" t="n">
        <v>207.886</v>
      </c>
      <c r="EG79" s="21" t="n">
        <v>280.366</v>
      </c>
      <c r="EH79" s="21" t="n">
        <v>334.222</v>
      </c>
      <c r="EI79" s="21" t="n">
        <v>347.833</v>
      </c>
      <c r="EJ79" s="21" t="n">
        <v>175.746</v>
      </c>
      <c r="EK79" s="21" t="n">
        <v>583.3630000000001</v>
      </c>
      <c r="EL79" s="21" t="n">
        <v>360.319</v>
      </c>
      <c r="EM79" s="21" t="n">
        <v>342.258</v>
      </c>
      <c r="EN79" s="21" t="n">
        <v>342.278</v>
      </c>
      <c r="EO79" s="21" t="n">
        <v>150.608</v>
      </c>
      <c r="EP79" s="21" t="n">
        <v>260.4</v>
      </c>
      <c r="EQ79" s="21" t="n">
        <v>215.355</v>
      </c>
      <c r="ER79" s="21" t="n">
        <v>291.703</v>
      </c>
      <c r="ES79" s="21" t="n">
        <v>280.786</v>
      </c>
      <c r="ET79" s="21" t="n">
        <v>366.616</v>
      </c>
      <c r="EU79" s="21" t="n">
        <v>219.425</v>
      </c>
      <c r="EV79" s="21" t="n">
        <v>226.562</v>
      </c>
      <c r="EW79" s="21" t="n">
        <v>194.563</v>
      </c>
      <c r="EX79" s="21" t="n">
        <v>260.4</v>
      </c>
      <c r="EY79" s="21" t="n">
        <v>602.795</v>
      </c>
      <c r="EZ79" s="21" t="n">
        <v>517.202</v>
      </c>
      <c r="FA79" s="21" t="n">
        <v>131.131</v>
      </c>
      <c r="FB79" s="21" t="n">
        <v>57.548</v>
      </c>
      <c r="FC79" s="21" t="n">
        <v>117.014</v>
      </c>
      <c r="FD79" s="21" t="n">
        <v>62.372</v>
      </c>
      <c r="FE79" s="21" t="n">
        <v>43.966</v>
      </c>
      <c r="FF79" s="21" t="n">
        <v>122.793</v>
      </c>
      <c r="FG79" s="21" t="n">
        <v>135.015</v>
      </c>
      <c r="FH79" s="21" t="n">
        <v>96.64400000000001</v>
      </c>
      <c r="FI79" s="21" t="n">
        <v>77.136</v>
      </c>
      <c r="FJ79" s="21" t="n"/>
      <c r="FK79" s="21" t="n">
        <v>84.321</v>
      </c>
      <c r="FL79" s="21" t="n">
        <v>98.29600000000001</v>
      </c>
      <c r="FM79" s="21" t="n">
        <v>119.139</v>
      </c>
      <c r="FN79" s="21" t="n">
        <v>70.247</v>
      </c>
      <c r="FO79" s="21" t="n">
        <v>51.467</v>
      </c>
      <c r="FP79" s="21" t="n">
        <v>37.515</v>
      </c>
      <c r="FQ79" s="21" t="n">
        <v>140.197</v>
      </c>
      <c r="FR79" s="21" t="n">
        <v>47.863</v>
      </c>
      <c r="FS79" s="21" t="n">
        <v>79.86799999999999</v>
      </c>
      <c r="FT79" s="21" t="n">
        <v>95.255</v>
      </c>
      <c r="FU79" s="21" t="n">
        <v>104.002</v>
      </c>
      <c r="FV79" s="21" t="n">
        <v>91.187</v>
      </c>
      <c r="FW79" s="21" t="n">
        <v>197.461</v>
      </c>
      <c r="FX79" s="21" t="n">
        <v>125.977</v>
      </c>
      <c r="FY79" s="21" t="n">
        <v>193.138</v>
      </c>
      <c r="FZ79" s="21" t="n">
        <v>118.388</v>
      </c>
      <c r="GA79" s="21" t="n">
        <v>213.658</v>
      </c>
      <c r="GB79" s="21" t="n">
        <v>191.889</v>
      </c>
      <c r="GC79" s="21" t="n">
        <v>219.289</v>
      </c>
      <c r="GD79" s="21" t="n">
        <v>200.81</v>
      </c>
      <c r="GE79" s="21" t="n"/>
      <c r="GF79" s="21" t="n">
        <v>120.324</v>
      </c>
      <c r="GG79" s="21" t="n">
        <v>113.204</v>
      </c>
      <c r="GH79" s="21" t="n">
        <v>115.05</v>
      </c>
      <c r="GI79" s="21" t="n">
        <v>85.494</v>
      </c>
      <c r="GJ79" s="21" t="n">
        <v>161.42</v>
      </c>
      <c r="GK79" s="21" t="n">
        <v>67.68000000000001</v>
      </c>
      <c r="GL79" s="21" t="n">
        <v>127.07</v>
      </c>
      <c r="GM79" s="21" t="n">
        <v>104</v>
      </c>
      <c r="GN79" s="21" t="n">
        <v>101.006</v>
      </c>
      <c r="GO79" s="21" t="n">
        <v>101.689</v>
      </c>
      <c r="GP79" s="21" t="n">
        <v>94.113</v>
      </c>
      <c r="GQ79" s="21" t="n">
        <v>99.101</v>
      </c>
      <c r="GR79" s="21" t="n">
        <v>69.90000000000001</v>
      </c>
      <c r="GS79" s="21" t="n">
        <v>102.2</v>
      </c>
      <c r="GT79" s="21" t="n">
        <v>97.19499999999999</v>
      </c>
      <c r="GU79" s="21" t="n">
        <v>137.91</v>
      </c>
      <c r="GV79" s="21" t="n">
        <v>144.216</v>
      </c>
      <c r="GW79" s="21" t="n">
        <v>156.941</v>
      </c>
      <c r="GX79" s="21" t="n">
        <v>123.835</v>
      </c>
      <c r="GY79" s="21" t="n">
        <v>111.899</v>
      </c>
      <c r="GZ79" s="21" t="n">
        <v>186.471</v>
      </c>
      <c r="HA79" s="21" t="n">
        <v>153.739</v>
      </c>
      <c r="HB79" s="21" t="n">
        <v>183.902</v>
      </c>
      <c r="HC79" s="21" t="n">
        <v>237.701</v>
      </c>
      <c r="HD79" s="21" t="n">
        <v>235.331</v>
      </c>
      <c r="HE79" s="21" t="n">
        <v>118.941</v>
      </c>
      <c r="HF79" s="21" t="n">
        <v>154.847</v>
      </c>
      <c r="HG79" s="21" t="n">
        <v>107.327</v>
      </c>
      <c r="HH79" s="21" t="n">
        <v>150.329</v>
      </c>
      <c r="HI79" s="21" t="n">
        <v>165.367</v>
      </c>
      <c r="HJ79" s="21" t="n"/>
      <c r="HK79" s="21" t="n">
        <v>198.855</v>
      </c>
      <c r="HL79" s="21" t="n"/>
      <c r="HM79" s="21" t="n">
        <v>226.888</v>
      </c>
      <c r="HN79" s="21" t="n">
        <v>269.983</v>
      </c>
      <c r="HO79" s="21" t="n">
        <v>268.979</v>
      </c>
      <c r="HP79" s="21" t="n">
        <v>263.857</v>
      </c>
      <c r="HQ79" s="21" t="n">
        <v>289.64</v>
      </c>
      <c r="HR79" s="21" t="n">
        <v>282.261</v>
      </c>
      <c r="HS79" s="21" t="n">
        <v>238.688</v>
      </c>
      <c r="HT79" s="21" t="n">
        <v>152.863</v>
      </c>
      <c r="HU79" s="21" t="n">
        <v>130.529</v>
      </c>
      <c r="HV79" s="21" t="n">
        <v>182.937</v>
      </c>
      <c r="HW79" s="21" t="n">
        <v>172.666</v>
      </c>
      <c r="HX79" s="21" t="n">
        <v>398.422</v>
      </c>
      <c r="HY79" s="21" t="n">
        <v>315.209</v>
      </c>
      <c r="HZ79" s="21" t="n">
        <v>341.753</v>
      </c>
      <c r="IA79" s="21" t="n">
        <v>285.505</v>
      </c>
      <c r="IB79" s="21" t="n">
        <v>191.865</v>
      </c>
      <c r="IC79" s="21" t="n">
        <v>569.6559999999999</v>
      </c>
      <c r="ID79" s="21" t="n">
        <v>197.585</v>
      </c>
      <c r="IE79" s="21" t="n">
        <v>186.065</v>
      </c>
      <c r="IF79" s="21" t="n">
        <v>216.216</v>
      </c>
      <c r="IG79" s="21" t="n">
        <v>248.437</v>
      </c>
      <c r="IH79" s="21" t="n"/>
      <c r="II79" s="21" t="n">
        <v>257.579</v>
      </c>
      <c r="IJ79" s="21" t="n">
        <v>256.684</v>
      </c>
      <c r="IK79" s="21" t="n">
        <v>167.283</v>
      </c>
      <c r="IL79" s="21" t="n"/>
      <c r="IM79" s="21" t="n"/>
      <c r="IN79" s="21" t="n">
        <v>66.43000000000001</v>
      </c>
      <c r="IO79" s="21" t="n">
        <v>330.963</v>
      </c>
      <c r="IP79" s="21" t="n">
        <v>127.206</v>
      </c>
      <c r="IQ79" s="21" t="n">
        <v>522.989</v>
      </c>
      <c r="IR79" s="21" t="n">
        <v>375.697</v>
      </c>
      <c r="IS79" s="21" t="n">
        <v>123.225</v>
      </c>
      <c r="IT79" s="21" t="n">
        <v>519.861</v>
      </c>
      <c r="IU79" s="21" t="n">
        <v>95.965</v>
      </c>
      <c r="IV79" s="21" t="n">
        <v>95.452</v>
      </c>
      <c r="IW79" s="21" t="n">
        <v>570.509</v>
      </c>
      <c r="IX79" s="21" t="n">
        <v>401.227</v>
      </c>
      <c r="IY79" s="21" t="n">
        <v>406.812</v>
      </c>
      <c r="IZ79" s="21" t="n">
        <v>520.101</v>
      </c>
      <c r="JA79" s="21" t="n">
        <v>192.457</v>
      </c>
      <c r="JB79" s="21" t="n">
        <v>247.745</v>
      </c>
      <c r="JC79" s="21" t="n">
        <v>85.914</v>
      </c>
      <c r="JD79" s="21" t="n">
        <v>361.384</v>
      </c>
      <c r="JE79" s="21" t="n">
        <v>349.254</v>
      </c>
      <c r="JF79" s="21" t="n">
        <v>788.0069999999999</v>
      </c>
      <c r="JG79" s="21" t="n">
        <v>249.493</v>
      </c>
      <c r="JH79" s="21" t="n">
        <v>140.041</v>
      </c>
      <c r="JI79" s="21" t="n">
        <v>169.9</v>
      </c>
      <c r="JJ79" s="21" t="n">
        <v>124.893</v>
      </c>
      <c r="JK79" s="21" t="n">
        <v>110.503</v>
      </c>
      <c r="JL79" s="21" t="n">
        <v>142.786</v>
      </c>
      <c r="JM79" s="21" t="n">
        <v>521.3049999999999</v>
      </c>
      <c r="JN79" s="21" t="n">
        <v>122.458</v>
      </c>
      <c r="JO79" s="21" t="n">
        <v>65.492</v>
      </c>
      <c r="JP79" s="21" t="n">
        <v>32.513</v>
      </c>
      <c r="JQ79" s="21" t="n">
        <v>138.896</v>
      </c>
      <c r="JR79" s="21" t="n">
        <v>25.263</v>
      </c>
      <c r="JS79" s="21" t="n">
        <v>80.348</v>
      </c>
      <c r="JT79" s="21" t="n">
        <v>184.134</v>
      </c>
      <c r="JU79" s="21" t="n">
        <v>202.727</v>
      </c>
      <c r="JV79" s="21" t="n">
        <v>155.513</v>
      </c>
      <c r="JW79" s="21" t="n">
        <v>115.017</v>
      </c>
      <c r="JX79" s="21" t="n">
        <v>274.462</v>
      </c>
      <c r="JY79" s="21" t="n">
        <v>209.884</v>
      </c>
      <c r="JZ79" s="21" t="n">
        <v>290.147</v>
      </c>
      <c r="KA79" s="21" t="n">
        <v>120.742</v>
      </c>
      <c r="KB79" s="21" t="n">
        <v>168.646</v>
      </c>
      <c r="KC79" s="21" t="n">
        <v>80.991</v>
      </c>
      <c r="KD79" s="21" t="n">
        <v>76.697</v>
      </c>
      <c r="KE79" s="21" t="n">
        <v>57.993</v>
      </c>
      <c r="KF79" s="21" t="n"/>
      <c r="KG79" s="21" t="n">
        <v>24.421</v>
      </c>
      <c r="KH79" s="21" t="n">
        <v>122.753</v>
      </c>
      <c r="KI79" s="21" t="n"/>
      <c r="KJ79" s="21" t="n"/>
      <c r="KK79" s="21" t="n">
        <v>33.49</v>
      </c>
      <c r="KL79" s="21" t="n">
        <v>28.956</v>
      </c>
      <c r="KM79" s="21" t="n">
        <v>37.106</v>
      </c>
      <c r="KN79" s="21" t="n"/>
      <c r="KO79" s="21" t="n">
        <v>103.053</v>
      </c>
      <c r="KP79" s="21" t="n">
        <v>106.141</v>
      </c>
      <c r="KQ79" s="21" t="n">
        <v>175.696</v>
      </c>
      <c r="KR79" s="21" t="n">
        <v>145.415</v>
      </c>
      <c r="KS79" s="21" t="n">
        <v>394.897</v>
      </c>
      <c r="KT79" s="21" t="n">
        <v>193.83</v>
      </c>
      <c r="KU79" s="21" t="n">
        <v>223.214</v>
      </c>
      <c r="KV79" s="21" t="n">
        <v>342.809</v>
      </c>
      <c r="KW79" s="21" t="n">
        <v>270.474</v>
      </c>
      <c r="KX79" s="21" t="n">
        <v>203.258</v>
      </c>
      <c r="KY79" s="21" t="n">
        <v>97.77800000000001</v>
      </c>
      <c r="KZ79" s="21" t="n">
        <v>142.174</v>
      </c>
      <c r="LA79" s="21" t="n">
        <v>273.169</v>
      </c>
      <c r="LB79" s="21" t="n">
        <v>691.804</v>
      </c>
      <c r="LC79" s="21" t="n">
        <v>236.796</v>
      </c>
      <c r="LD79" s="21" t="n">
        <v>784.38</v>
      </c>
      <c r="LE79" s="21" t="n">
        <v>878.506</v>
      </c>
      <c r="LF79" s="21" t="n">
        <v>86.881</v>
      </c>
      <c r="LG79" s="21" t="n">
        <v>316.38</v>
      </c>
      <c r="LH79" s="21" t="n">
        <v>261.892</v>
      </c>
      <c r="LI79" s="21" t="n">
        <v>75.748</v>
      </c>
      <c r="LJ79" s="21" t="n">
        <v>209.453</v>
      </c>
      <c r="LK79" s="21" t="n">
        <v>329.355</v>
      </c>
      <c r="LL79" s="21" t="n">
        <v>340.16</v>
      </c>
      <c r="LM79" s="21" t="n">
        <v>71.532</v>
      </c>
      <c r="LN79" s="21" t="n">
        <v>94.437</v>
      </c>
      <c r="LO79" s="21" t="n">
        <v>48.149</v>
      </c>
      <c r="LP79" s="21" t="n">
        <v>136.346</v>
      </c>
      <c r="LQ79" s="21" t="n"/>
      <c r="LR79" s="21" t="n"/>
      <c r="LS79" s="21" t="n">
        <v>109.177</v>
      </c>
      <c r="LT79" s="21" t="n">
        <v>39.662</v>
      </c>
      <c r="LU79" s="21" t="n">
        <v>25.908</v>
      </c>
      <c r="LV79" s="21" t="n">
        <v>78.842</v>
      </c>
      <c r="LW79" s="21" t="n">
        <v>152.906</v>
      </c>
      <c r="LX79" s="21" t="n">
        <v>75.152</v>
      </c>
      <c r="LY79" s="21" t="n">
        <v>473.718</v>
      </c>
      <c r="LZ79" s="21" t="n">
        <v>78.667</v>
      </c>
      <c r="MA79" s="21" t="n">
        <v>514.294</v>
      </c>
      <c r="MB79" s="21" t="n">
        <v>297.604</v>
      </c>
      <c r="MC79" s="21" t="n">
        <v>241.907</v>
      </c>
      <c r="MD79" s="21" t="n">
        <v>159.296</v>
      </c>
      <c r="ME79" s="21" t="n">
        <v>103.538</v>
      </c>
      <c r="MF79" s="21" t="n">
        <v>178.072</v>
      </c>
      <c r="MG79" s="21" t="n">
        <v>293.908</v>
      </c>
      <c r="MH79" s="21" t="n">
        <v>179.332</v>
      </c>
      <c r="MI79" s="21" t="n">
        <v>462.991</v>
      </c>
      <c r="MJ79" s="21" t="n">
        <v>371.157</v>
      </c>
      <c r="MK79" s="21" t="n">
        <v>348.793</v>
      </c>
      <c r="ML79" s="21" t="n">
        <v>185.87</v>
      </c>
      <c r="MM79" s="21" t="n">
        <v>211.478</v>
      </c>
      <c r="MN79" s="21" t="n">
        <v>371.227</v>
      </c>
      <c r="MO79" s="21" t="n">
        <v>170.234</v>
      </c>
      <c r="MP79" s="21" t="n">
        <v>267.042</v>
      </c>
      <c r="MQ79" s="21" t="n">
        <v>76.48399999999999</v>
      </c>
      <c r="MR79" s="21" t="n">
        <v>161.781</v>
      </c>
      <c r="MS79" s="21" t="n"/>
      <c r="MT79" s="21" t="n">
        <v>259.628</v>
      </c>
      <c r="MU79" s="21" t="n">
        <v>277.161</v>
      </c>
      <c r="MV79" s="21" t="n">
        <v>270.975</v>
      </c>
      <c r="MW79" s="21" t="n">
        <v>278.218</v>
      </c>
      <c r="MX79" s="21" t="n">
        <v>250.261</v>
      </c>
      <c r="MY79" s="21" t="n">
        <v>243.483</v>
      </c>
      <c r="MZ79" s="21" t="n">
        <v>247.036</v>
      </c>
      <c r="NA79" s="21" t="n">
        <v>247.993</v>
      </c>
      <c r="NB79" s="21" t="n">
        <v>111.785</v>
      </c>
      <c r="NC79" s="21" t="n">
        <v>200.209</v>
      </c>
      <c r="ND79" s="21" t="n">
        <v>166.238</v>
      </c>
      <c r="NE79" s="21" t="n">
        <v>162.845</v>
      </c>
      <c r="NF79" s="21" t="n">
        <v>155.284</v>
      </c>
      <c r="NG79" s="21" t="n">
        <v>149.161</v>
      </c>
      <c r="NH79" s="21" t="n">
        <v>266.106</v>
      </c>
      <c r="NI79" s="21" t="n">
        <v>119.434</v>
      </c>
      <c r="NJ79" s="21" t="n">
        <v>68.32899999999999</v>
      </c>
      <c r="NK79" s="21" t="n">
        <v>115.237</v>
      </c>
      <c r="NL79" s="21" t="n">
        <v>240.72</v>
      </c>
      <c r="NM79" s="21" t="n">
        <v>273.459</v>
      </c>
      <c r="NN79" s="21" t="n">
        <v>95.247</v>
      </c>
      <c r="NO79" s="21" t="n">
        <v>48.285</v>
      </c>
      <c r="NP79" s="21" t="n">
        <v>239.487</v>
      </c>
      <c r="NQ79" s="21" t="n">
        <v>208.587</v>
      </c>
      <c r="NR79" s="21" t="n">
        <v>261.275</v>
      </c>
      <c r="NS79" s="21" t="n">
        <v>205.223</v>
      </c>
      <c r="NT79" s="21" t="n">
        <v>262.552</v>
      </c>
      <c r="NU79" s="21" t="n">
        <v>119.682</v>
      </c>
      <c r="NV79" s="21" t="n">
        <v>131.445</v>
      </c>
      <c r="NW79" s="21" t="n">
        <v>374.539</v>
      </c>
      <c r="NX79" s="21" t="n">
        <v>80.703</v>
      </c>
      <c r="NY79" s="21" t="n">
        <v>130.356</v>
      </c>
      <c r="NZ79" s="21" t="n">
        <v>348.684</v>
      </c>
      <c r="OA79" s="21" t="n">
        <v>341.863</v>
      </c>
      <c r="OB79" s="21" t="n">
        <v>354.25</v>
      </c>
      <c r="OC79" s="21" t="n">
        <v>324.542</v>
      </c>
      <c r="OD79" s="21" t="n">
        <v>360.462</v>
      </c>
      <c r="OE79" s="21" t="n">
        <v>125.324</v>
      </c>
      <c r="OF79" s="21" t="n">
        <v>335.548</v>
      </c>
      <c r="OG79" s="21" t="n">
        <v>231.273</v>
      </c>
      <c r="OH79" s="21" t="n">
        <v>37.357</v>
      </c>
      <c r="OI79" s="21" t="n">
        <v>137.057</v>
      </c>
      <c r="OJ79" s="21" t="n">
        <v>36.8</v>
      </c>
      <c r="OK79" s="21" t="n">
        <v>12.3</v>
      </c>
    </row>
    <row r="80">
      <c r="A80" s="22" t="n">
        <v>44378</v>
      </c>
      <c r="B80" s="21" t="n">
        <v>273.003</v>
      </c>
      <c r="C80" s="21" t="n">
        <v>817.796</v>
      </c>
      <c r="D80" s="21" t="n">
        <v>277.187</v>
      </c>
      <c r="E80" s="21" t="n">
        <v>278.127</v>
      </c>
      <c r="F80" s="21" t="n">
        <v>259.022</v>
      </c>
      <c r="G80" s="21" t="n">
        <v>289.533</v>
      </c>
      <c r="H80" s="21" t="n">
        <v>236.236</v>
      </c>
      <c r="I80" s="21" t="n">
        <v>245.336</v>
      </c>
      <c r="J80" s="21" t="n">
        <v>229.959</v>
      </c>
      <c r="K80" s="21" t="n">
        <v>246.687</v>
      </c>
      <c r="L80" s="21" t="n">
        <v>165.367</v>
      </c>
      <c r="M80" s="21" t="n">
        <v>320.386</v>
      </c>
      <c r="N80" s="21" t="n">
        <v>193.094</v>
      </c>
      <c r="O80" s="21" t="n">
        <v>348.643</v>
      </c>
      <c r="P80" s="21" t="n">
        <v>378.241</v>
      </c>
      <c r="Q80" s="21" t="n">
        <v>188.868</v>
      </c>
      <c r="R80" s="21" t="n">
        <v>304.215</v>
      </c>
      <c r="S80" s="21" t="n">
        <v>327.218</v>
      </c>
      <c r="T80" s="21" t="n">
        <v>282.886</v>
      </c>
      <c r="U80" s="21" t="n">
        <v>285.755</v>
      </c>
      <c r="V80" s="21" t="n">
        <v>329.336</v>
      </c>
      <c r="W80" s="21" t="n">
        <v>335.46</v>
      </c>
      <c r="X80" s="21" t="n">
        <v>275.65</v>
      </c>
      <c r="Y80" s="21" t="n">
        <v>286.994</v>
      </c>
      <c r="Z80" s="21" t="n">
        <v>292.29</v>
      </c>
      <c r="AA80" s="21" t="n">
        <v>300.549</v>
      </c>
      <c r="AB80" s="21" t="n">
        <v>376.883</v>
      </c>
      <c r="AC80" s="21" t="n">
        <v>310.588</v>
      </c>
      <c r="AD80" s="21" t="n">
        <v>302.083</v>
      </c>
      <c r="AE80" s="21" t="n">
        <v>262.207</v>
      </c>
      <c r="AF80" s="21" t="n">
        <v>310.119</v>
      </c>
      <c r="AG80" s="21" t="n">
        <v>251.62</v>
      </c>
      <c r="AH80" s="21" t="n">
        <v>185.338</v>
      </c>
      <c r="AI80" s="21" t="n">
        <v>355.913</v>
      </c>
      <c r="AJ80" s="21" t="n">
        <v>161.805</v>
      </c>
      <c r="AK80" s="21" t="n">
        <v>223.932</v>
      </c>
      <c r="AL80" s="21" t="n">
        <v>250.513</v>
      </c>
      <c r="AM80" s="21" t="n">
        <v>228.531</v>
      </c>
      <c r="AN80" s="21" t="n">
        <v>163.539</v>
      </c>
      <c r="AO80" s="21" t="n">
        <v>240.721</v>
      </c>
      <c r="AP80" s="21" t="n">
        <v>255.79</v>
      </c>
      <c r="AQ80" s="21" t="n">
        <v>153.08</v>
      </c>
      <c r="AR80" s="21" t="n"/>
      <c r="AS80" s="21" t="n"/>
      <c r="AT80" s="21" t="n">
        <v>260.68</v>
      </c>
      <c r="AU80" s="21" t="n">
        <v>167.637</v>
      </c>
      <c r="AV80" s="21" t="n">
        <v>274.126</v>
      </c>
      <c r="AW80" s="21" t="n">
        <v>251.115</v>
      </c>
      <c r="AX80" s="21" t="n">
        <v>170.346</v>
      </c>
      <c r="AY80" s="21" t="n">
        <v>329.386</v>
      </c>
      <c r="AZ80" s="21" t="n">
        <v>209.217</v>
      </c>
      <c r="BA80" s="21" t="n">
        <v>160.872</v>
      </c>
      <c r="BB80" s="21" t="n">
        <v>228.117</v>
      </c>
      <c r="BC80" s="21" t="n">
        <v>339.387</v>
      </c>
      <c r="BD80" s="21" t="n">
        <v>217.736</v>
      </c>
      <c r="BE80" s="21" t="n">
        <v>231.233</v>
      </c>
      <c r="BF80" s="21" t="n">
        <v>155.057</v>
      </c>
      <c r="BG80" s="21" t="n">
        <v>226.418</v>
      </c>
      <c r="BH80" s="21" t="n">
        <v>158.394</v>
      </c>
      <c r="BI80" s="21" t="n">
        <v>238.678</v>
      </c>
      <c r="BJ80" s="21" t="n">
        <v>230.311</v>
      </c>
      <c r="BK80" s="21" t="n">
        <v>154.148</v>
      </c>
      <c r="BL80" s="21" t="n">
        <v>312.875</v>
      </c>
      <c r="BM80" s="21" t="n">
        <v>360.733</v>
      </c>
      <c r="BN80" s="21" t="n">
        <v>371.97</v>
      </c>
      <c r="BO80" s="21" t="n">
        <v>350.021</v>
      </c>
      <c r="BP80" s="21" t="n">
        <v>195.118</v>
      </c>
      <c r="BQ80" s="21" t="n">
        <v>272.548</v>
      </c>
      <c r="BR80" s="21" t="n">
        <v>530.5069999999999</v>
      </c>
      <c r="BS80" s="21" t="n">
        <v>121.615</v>
      </c>
      <c r="BT80" s="21" t="n">
        <v>347.591</v>
      </c>
      <c r="BU80" s="21" t="n">
        <v>385.554</v>
      </c>
      <c r="BV80" s="21" t="n">
        <v>344.304</v>
      </c>
      <c r="BW80" s="21" t="n">
        <v>346.862</v>
      </c>
      <c r="BX80" s="21" t="n">
        <v>342.577</v>
      </c>
      <c r="BY80" s="21" t="n">
        <v>167.082</v>
      </c>
      <c r="BZ80" s="21" t="n">
        <v>176.602</v>
      </c>
      <c r="CA80" s="21" t="n">
        <v>167.906</v>
      </c>
      <c r="CB80" s="21" t="n">
        <v>189.303</v>
      </c>
      <c r="CC80" s="21" t="n">
        <v>153.961</v>
      </c>
      <c r="CD80" s="21" t="n">
        <v>208.685</v>
      </c>
      <c r="CE80" s="21" t="n">
        <v>160.302</v>
      </c>
      <c r="CF80" s="21" t="n">
        <v>196.909</v>
      </c>
      <c r="CG80" s="21" t="n">
        <v>180.136</v>
      </c>
      <c r="CH80" s="21" t="n">
        <v>142.052</v>
      </c>
      <c r="CI80" s="21" t="n">
        <v>182.751</v>
      </c>
      <c r="CJ80" s="21" t="n">
        <v>180.284</v>
      </c>
      <c r="CK80" s="21" t="n">
        <v>127.306</v>
      </c>
      <c r="CL80" s="21" t="n">
        <v>119.861</v>
      </c>
      <c r="CM80" s="21" t="n">
        <v>196.243</v>
      </c>
      <c r="CN80" s="21" t="n">
        <v>206.113</v>
      </c>
      <c r="CO80" s="21" t="n">
        <v>184.589</v>
      </c>
      <c r="CP80" s="21" t="n">
        <v>136.74</v>
      </c>
      <c r="CQ80" s="21" t="n">
        <v>222.116</v>
      </c>
      <c r="CR80" s="21" t="n">
        <v>233.429</v>
      </c>
      <c r="CS80" s="21" t="n">
        <v>209.563</v>
      </c>
      <c r="CT80" s="21" t="n">
        <v>158.332</v>
      </c>
      <c r="CU80" s="21" t="n">
        <v>160.15</v>
      </c>
      <c r="CV80" s="21" t="n">
        <v>240.931</v>
      </c>
      <c r="CW80" s="21" t="n">
        <v>212.35</v>
      </c>
      <c r="CX80" s="21" t="n">
        <v>251.269</v>
      </c>
      <c r="CY80" s="21" t="n">
        <v>316.166</v>
      </c>
      <c r="CZ80" s="21" t="n">
        <v>136.617</v>
      </c>
      <c r="DA80" s="21" t="n">
        <v>169.639</v>
      </c>
      <c r="DB80" s="21" t="n">
        <v>167.774</v>
      </c>
      <c r="DC80" s="21" t="n">
        <v>236.318</v>
      </c>
      <c r="DD80" s="21" t="n">
        <v>259.799</v>
      </c>
      <c r="DE80" s="21" t="n">
        <v>176.741</v>
      </c>
      <c r="DF80" s="21" t="n">
        <v>260.017</v>
      </c>
      <c r="DG80" s="21" t="n">
        <v>251.898</v>
      </c>
      <c r="DH80" s="21" t="n">
        <v>161.63</v>
      </c>
      <c r="DI80" s="21" t="n">
        <v>148.166</v>
      </c>
      <c r="DJ80" s="21" t="n">
        <v>145.409</v>
      </c>
      <c r="DK80" s="21" t="n">
        <v>281.165</v>
      </c>
      <c r="DL80" s="21" t="n">
        <v>176.483</v>
      </c>
      <c r="DM80" s="21" t="n">
        <v>140.354</v>
      </c>
      <c r="DN80" s="21" t="n">
        <v>134.053</v>
      </c>
      <c r="DO80" s="21" t="n">
        <v>308.023</v>
      </c>
      <c r="DP80" s="21" t="n">
        <v>189.862</v>
      </c>
      <c r="DQ80" s="21" t="n">
        <v>203.027</v>
      </c>
      <c r="DR80" s="21" t="n">
        <v>121.861</v>
      </c>
      <c r="DS80" s="21" t="n"/>
      <c r="DT80" s="21" t="n">
        <v>180.591</v>
      </c>
      <c r="DU80" s="21" t="n">
        <v>206.824</v>
      </c>
      <c r="DV80" s="21" t="n">
        <v>263.226</v>
      </c>
      <c r="DW80" s="21" t="n">
        <v>213.054</v>
      </c>
      <c r="DX80" s="21" t="n">
        <v>243.653</v>
      </c>
      <c r="DY80" s="21" t="n">
        <v>202.202</v>
      </c>
      <c r="DZ80" s="21" t="n">
        <v>211.943</v>
      </c>
      <c r="EA80" s="21" t="n">
        <v>199.686</v>
      </c>
      <c r="EB80" s="21" t="n">
        <v>174.227</v>
      </c>
      <c r="EC80" s="21" t="n">
        <v>373.331</v>
      </c>
      <c r="ED80" s="21" t="n">
        <v>182.58</v>
      </c>
      <c r="EE80" s="21" t="n">
        <v>199.811</v>
      </c>
      <c r="EF80" s="21" t="n">
        <v>207.504</v>
      </c>
      <c r="EG80" s="21" t="n">
        <v>281.604</v>
      </c>
      <c r="EH80" s="21" t="n">
        <v>335.812</v>
      </c>
      <c r="EI80" s="21" t="n">
        <v>348.469</v>
      </c>
      <c r="EJ80" s="21" t="n">
        <v>187.487</v>
      </c>
      <c r="EK80" s="21" t="n">
        <v>584.926</v>
      </c>
      <c r="EL80" s="21" t="n">
        <v>387.224</v>
      </c>
      <c r="EM80" s="21" t="n">
        <v>343.293</v>
      </c>
      <c r="EN80" s="21" t="n">
        <v>343.311</v>
      </c>
      <c r="EO80" s="21" t="n">
        <v>150.71</v>
      </c>
      <c r="EP80" s="21" t="n">
        <v>262.32</v>
      </c>
      <c r="EQ80" s="21" t="n">
        <v>217.106</v>
      </c>
      <c r="ER80" s="21" t="n">
        <v>294.395</v>
      </c>
      <c r="ES80" s="21" t="n">
        <v>282.484</v>
      </c>
      <c r="ET80" s="21" t="n">
        <v>371.761</v>
      </c>
      <c r="EU80" s="21" t="n">
        <v>221.196</v>
      </c>
      <c r="EV80" s="21" t="n">
        <v>227.672</v>
      </c>
      <c r="EW80" s="21" t="n">
        <v>198.207</v>
      </c>
      <c r="EX80" s="21" t="n">
        <v>261.706</v>
      </c>
      <c r="EY80" s="21" t="n">
        <v>605.224</v>
      </c>
      <c r="EZ80" s="21" t="n">
        <v>521.1849999999999</v>
      </c>
      <c r="FA80" s="21" t="n">
        <v>131.024</v>
      </c>
      <c r="FB80" s="21" t="n">
        <v>56.752</v>
      </c>
      <c r="FC80" s="21" t="n">
        <v>118.122</v>
      </c>
      <c r="FD80" s="21" t="n">
        <v>62.236</v>
      </c>
      <c r="FE80" s="21" t="n">
        <v>42.778</v>
      </c>
      <c r="FF80" s="21" t="n">
        <v>122.111</v>
      </c>
      <c r="FG80" s="21" t="n">
        <v>137.127</v>
      </c>
      <c r="FH80" s="21" t="n">
        <v>94.78100000000001</v>
      </c>
      <c r="FI80" s="21" t="n">
        <v>76.417</v>
      </c>
      <c r="FJ80" s="21" t="n"/>
      <c r="FK80" s="21" t="n">
        <v>84.31699999999999</v>
      </c>
      <c r="FL80" s="21" t="n">
        <v>99.137</v>
      </c>
      <c r="FM80" s="21" t="n">
        <v>118.116</v>
      </c>
      <c r="FN80" s="21" t="n">
        <v>69.889</v>
      </c>
      <c r="FO80" s="21" t="n">
        <v>51.014</v>
      </c>
      <c r="FP80" s="21" t="n">
        <v>37.126</v>
      </c>
      <c r="FQ80" s="21" t="n">
        <v>138.757</v>
      </c>
      <c r="FR80" s="21" t="n">
        <v>46.74</v>
      </c>
      <c r="FS80" s="21" t="n">
        <v>80.607</v>
      </c>
      <c r="FT80" s="21" t="n">
        <v>95.124</v>
      </c>
      <c r="FU80" s="21" t="n">
        <v>104.046</v>
      </c>
      <c r="FV80" s="21" t="n">
        <v>90.986</v>
      </c>
      <c r="FW80" s="21" t="n">
        <v>199.611</v>
      </c>
      <c r="FX80" s="21" t="n">
        <v>127.031</v>
      </c>
      <c r="FY80" s="21" t="n">
        <v>194.33</v>
      </c>
      <c r="FZ80" s="21" t="n">
        <v>120.436</v>
      </c>
      <c r="GA80" s="21" t="n">
        <v>214.057</v>
      </c>
      <c r="GB80" s="21" t="n">
        <v>193.025</v>
      </c>
      <c r="GC80" s="21" t="n">
        <v>219.289</v>
      </c>
      <c r="GD80" s="21" t="n">
        <v>198.539</v>
      </c>
      <c r="GE80" s="21" t="n"/>
      <c r="GF80" s="21" t="n">
        <v>119.078</v>
      </c>
      <c r="GG80" s="21" t="n">
        <v>113.589</v>
      </c>
      <c r="GH80" s="21" t="n">
        <v>115.653</v>
      </c>
      <c r="GI80" s="21" t="n">
        <v>86.959</v>
      </c>
      <c r="GJ80" s="21" t="n">
        <v>163.733</v>
      </c>
      <c r="GK80" s="21" t="n">
        <v>67.78</v>
      </c>
      <c r="GL80" s="21" t="n">
        <v>126.054</v>
      </c>
      <c r="GM80" s="21" t="n">
        <v>103.592</v>
      </c>
      <c r="GN80" s="21" t="n">
        <v>98.539</v>
      </c>
      <c r="GO80" s="21" t="n">
        <v>99.45399999999999</v>
      </c>
      <c r="GP80" s="21" t="n">
        <v>91.264</v>
      </c>
      <c r="GQ80" s="21" t="n">
        <v>98.22</v>
      </c>
      <c r="GR80" s="21" t="n">
        <v>67.533</v>
      </c>
      <c r="GS80" s="21" t="n">
        <v>101.755</v>
      </c>
      <c r="GT80" s="21" t="n">
        <v>93.71299999999999</v>
      </c>
      <c r="GU80" s="21" t="n">
        <v>136.707</v>
      </c>
      <c r="GV80" s="21" t="n">
        <v>142.475</v>
      </c>
      <c r="GW80" s="21" t="n">
        <v>154.073</v>
      </c>
      <c r="GX80" s="21" t="n">
        <v>123.653</v>
      </c>
      <c r="GY80" s="21" t="n">
        <v>111.639</v>
      </c>
      <c r="GZ80" s="21" t="n">
        <v>189.214</v>
      </c>
      <c r="HA80" s="21" t="n">
        <v>152.476</v>
      </c>
      <c r="HB80" s="21" t="n">
        <v>187.945</v>
      </c>
      <c r="HC80" s="21" t="n">
        <v>239.722</v>
      </c>
      <c r="HD80" s="21" t="n">
        <v>238.055</v>
      </c>
      <c r="HE80" s="21" t="n">
        <v>120.058</v>
      </c>
      <c r="HF80" s="21" t="n">
        <v>157.203</v>
      </c>
      <c r="HG80" s="21" t="n">
        <v>108.955</v>
      </c>
      <c r="HH80" s="21" t="n">
        <v>152.617</v>
      </c>
      <c r="HI80" s="21" t="n">
        <v>167.816</v>
      </c>
      <c r="HJ80" s="21" t="n"/>
      <c r="HK80" s="21" t="n">
        <v>200.425</v>
      </c>
      <c r="HL80" s="21" t="n"/>
      <c r="HM80" s="21" t="n">
        <v>236.797</v>
      </c>
      <c r="HN80" s="21" t="n">
        <v>276.65</v>
      </c>
      <c r="HO80" s="21" t="n">
        <v>275.656</v>
      </c>
      <c r="HP80" s="21" t="n">
        <v>270.409</v>
      </c>
      <c r="HQ80" s="21" t="n">
        <v>296.743</v>
      </c>
      <c r="HR80" s="21" t="n">
        <v>289.268</v>
      </c>
      <c r="HS80" s="21" t="n">
        <v>243.157</v>
      </c>
      <c r="HT80" s="21" t="n">
        <v>154.484</v>
      </c>
      <c r="HU80" s="21" t="n">
        <v>131.545</v>
      </c>
      <c r="HV80" s="21" t="n">
        <v>185.785</v>
      </c>
      <c r="HW80" s="21" t="n">
        <v>173.964</v>
      </c>
      <c r="HX80" s="21" t="n">
        <v>404.882</v>
      </c>
      <c r="HY80" s="21" t="n">
        <v>318.031</v>
      </c>
      <c r="HZ80" s="21" t="n">
        <v>342.214</v>
      </c>
      <c r="IA80" s="21" t="n">
        <v>286.585</v>
      </c>
      <c r="IB80" s="21" t="n">
        <v>195.676</v>
      </c>
      <c r="IC80" s="21" t="n">
        <v>567.463</v>
      </c>
      <c r="ID80" s="21" t="n">
        <v>198.421</v>
      </c>
      <c r="IE80" s="21" t="n">
        <v>186.281</v>
      </c>
      <c r="IF80" s="21" t="n">
        <v>217.872</v>
      </c>
      <c r="IG80" s="21" t="n">
        <v>250.66</v>
      </c>
      <c r="IH80" s="21" t="n"/>
      <c r="II80" s="21" t="n">
        <v>249.703</v>
      </c>
      <c r="IJ80" s="21" t="n">
        <v>243.613</v>
      </c>
      <c r="IK80" s="21" t="n">
        <v>165.829</v>
      </c>
      <c r="IL80" s="21" t="n"/>
      <c r="IM80" s="21" t="n"/>
      <c r="IN80" s="21" t="n">
        <v>66.232</v>
      </c>
      <c r="IO80" s="21" t="n">
        <v>333.603</v>
      </c>
      <c r="IP80" s="21" t="n">
        <v>127.317</v>
      </c>
      <c r="IQ80" s="21" t="n">
        <v>524.2190000000001</v>
      </c>
      <c r="IR80" s="21" t="n">
        <v>376.323</v>
      </c>
      <c r="IS80" s="21" t="n">
        <v>123.433</v>
      </c>
      <c r="IT80" s="21" t="n">
        <v>519.957</v>
      </c>
      <c r="IU80" s="21" t="n">
        <v>96.562</v>
      </c>
      <c r="IV80" s="21" t="n">
        <v>95.572</v>
      </c>
      <c r="IW80" s="21" t="n">
        <v>571.934</v>
      </c>
      <c r="IX80" s="21" t="n">
        <v>402.687</v>
      </c>
      <c r="IY80" s="21" t="n">
        <v>408.445</v>
      </c>
      <c r="IZ80" s="21" t="n">
        <v>522.7</v>
      </c>
      <c r="JA80" s="21" t="n">
        <v>192.923</v>
      </c>
      <c r="JB80" s="21" t="n">
        <v>247.804</v>
      </c>
      <c r="JC80" s="21" t="n">
        <v>86.32599999999999</v>
      </c>
      <c r="JD80" s="21" t="n">
        <v>363.254</v>
      </c>
      <c r="JE80" s="21" t="n">
        <v>351.345</v>
      </c>
      <c r="JF80" s="21" t="n">
        <v>790.199</v>
      </c>
      <c r="JG80" s="21" t="n">
        <v>249.876</v>
      </c>
      <c r="JH80" s="21" t="n">
        <v>139.893</v>
      </c>
      <c r="JI80" s="21" t="n">
        <v>168.868</v>
      </c>
      <c r="JJ80" s="21" t="n">
        <v>125.588</v>
      </c>
      <c r="JK80" s="21" t="n">
        <v>111.16</v>
      </c>
      <c r="JL80" s="21" t="n">
        <v>145.674</v>
      </c>
      <c r="JM80" s="21" t="n">
        <v>524.4109999999999</v>
      </c>
      <c r="JN80" s="21" t="n">
        <v>120.289</v>
      </c>
      <c r="JO80" s="21" t="n">
        <v>66.09699999999999</v>
      </c>
      <c r="JP80" s="21" t="n">
        <v>32.841</v>
      </c>
      <c r="JQ80" s="21" t="n">
        <v>137.077</v>
      </c>
      <c r="JR80" s="21" t="n">
        <v>25.413</v>
      </c>
      <c r="JS80" s="21" t="n">
        <v>79.624</v>
      </c>
      <c r="JT80" s="21" t="n">
        <v>185.297</v>
      </c>
      <c r="JU80" s="21" t="n">
        <v>205.637</v>
      </c>
      <c r="JV80" s="21" t="n">
        <v>156.406</v>
      </c>
      <c r="JW80" s="21" t="n">
        <v>118.585</v>
      </c>
      <c r="JX80" s="21" t="n">
        <v>273.772</v>
      </c>
      <c r="JY80" s="21" t="n">
        <v>211.847</v>
      </c>
      <c r="JZ80" s="21" t="n">
        <v>287.732</v>
      </c>
      <c r="KA80" s="21" t="n">
        <v>120.636</v>
      </c>
      <c r="KB80" s="21" t="n">
        <v>167.529</v>
      </c>
      <c r="KC80" s="21" t="n">
        <v>81.672</v>
      </c>
      <c r="KD80" s="21" t="n">
        <v>77.59699999999999</v>
      </c>
      <c r="KE80" s="21" t="n">
        <v>58.835</v>
      </c>
      <c r="KF80" s="21" t="n"/>
      <c r="KG80" s="21" t="n">
        <v>24.745</v>
      </c>
      <c r="KH80" s="21" t="n">
        <v>123.984</v>
      </c>
      <c r="KI80" s="21" t="n"/>
      <c r="KJ80" s="21" t="n"/>
      <c r="KK80" s="21" t="n">
        <v>33.334</v>
      </c>
      <c r="KL80" s="21" t="n">
        <v>28.849</v>
      </c>
      <c r="KM80" s="21" t="n">
        <v>36.954</v>
      </c>
      <c r="KN80" s="21" t="n"/>
      <c r="KO80" s="21" t="n">
        <v>100.908</v>
      </c>
      <c r="KP80" s="21" t="n">
        <v>105.834</v>
      </c>
      <c r="KQ80" s="21" t="n">
        <v>177.167</v>
      </c>
      <c r="KR80" s="21" t="n">
        <v>146.031</v>
      </c>
      <c r="KS80" s="21" t="n">
        <v>400.229</v>
      </c>
      <c r="KT80" s="21" t="n">
        <v>197.176</v>
      </c>
      <c r="KU80" s="21" t="n">
        <v>226.134</v>
      </c>
      <c r="KV80" s="21" t="n">
        <v>343.407</v>
      </c>
      <c r="KW80" s="21" t="n">
        <v>272.834</v>
      </c>
      <c r="KX80" s="21" t="n">
        <v>205.213</v>
      </c>
      <c r="KY80" s="21" t="n">
        <v>98.47199999999999</v>
      </c>
      <c r="KZ80" s="21" t="n">
        <v>142.386</v>
      </c>
      <c r="LA80" s="21" t="n">
        <v>273.812</v>
      </c>
      <c r="LB80" s="21" t="n">
        <v>695.36</v>
      </c>
      <c r="LC80" s="21" t="n">
        <v>238.535</v>
      </c>
      <c r="LD80" s="21" t="n">
        <v>786.143</v>
      </c>
      <c r="LE80" s="21" t="n">
        <v>879.192</v>
      </c>
      <c r="LF80" s="21" t="n">
        <v>87.349</v>
      </c>
      <c r="LG80" s="21" t="n">
        <v>317.395</v>
      </c>
      <c r="LH80" s="21" t="n">
        <v>264.194</v>
      </c>
      <c r="LI80" s="21" t="n">
        <v>75.80800000000001</v>
      </c>
      <c r="LJ80" s="21" t="n">
        <v>209.659</v>
      </c>
      <c r="LK80" s="21" t="n">
        <v>329.355</v>
      </c>
      <c r="LL80" s="21" t="n">
        <v>343.871</v>
      </c>
      <c r="LM80" s="21" t="n">
        <v>71.58799999999999</v>
      </c>
      <c r="LN80" s="21" t="n">
        <v>94.37</v>
      </c>
      <c r="LO80" s="21" t="n">
        <v>48.065</v>
      </c>
      <c r="LP80" s="21" t="n">
        <v>136.898</v>
      </c>
      <c r="LQ80" s="21" t="n"/>
      <c r="LR80" s="21" t="n"/>
      <c r="LS80" s="21" t="n">
        <v>109.563</v>
      </c>
      <c r="LT80" s="21" t="n">
        <v>40.135</v>
      </c>
      <c r="LU80" s="21" t="n">
        <v>25.782</v>
      </c>
      <c r="LV80" s="21" t="n">
        <v>78.889</v>
      </c>
      <c r="LW80" s="21" t="n">
        <v>153.868</v>
      </c>
      <c r="LX80" s="21" t="n">
        <v>75.203</v>
      </c>
      <c r="LY80" s="21" t="n">
        <v>477.103</v>
      </c>
      <c r="LZ80" s="21" t="n">
        <v>79.026</v>
      </c>
      <c r="MA80" s="21" t="n">
        <v>516.725</v>
      </c>
      <c r="MB80" s="21" t="n">
        <v>298.569</v>
      </c>
      <c r="MC80" s="21" t="n">
        <v>243.789</v>
      </c>
      <c r="MD80" s="21" t="n">
        <v>159.111</v>
      </c>
      <c r="ME80" s="21" t="n">
        <v>104.221</v>
      </c>
      <c r="MF80" s="21" t="n">
        <v>176.207</v>
      </c>
      <c r="MG80" s="21" t="n">
        <v>300.262</v>
      </c>
      <c r="MH80" s="21" t="n">
        <v>183.209</v>
      </c>
      <c r="MI80" s="21" t="n">
        <v>465.255</v>
      </c>
      <c r="MJ80" s="21" t="n">
        <v>371.157</v>
      </c>
      <c r="MK80" s="21" t="n">
        <v>348.509</v>
      </c>
      <c r="ML80" s="21" t="n">
        <v>187.672</v>
      </c>
      <c r="MM80" s="21" t="n">
        <v>211.975</v>
      </c>
      <c r="MN80" s="21" t="n">
        <v>374.833</v>
      </c>
      <c r="MO80" s="21" t="n">
        <v>170.376</v>
      </c>
      <c r="MP80" s="21" t="n">
        <v>270.068</v>
      </c>
      <c r="MQ80" s="21" t="n">
        <v>76.792</v>
      </c>
      <c r="MR80" s="21" t="n">
        <v>160.401</v>
      </c>
      <c r="MS80" s="21" t="n"/>
      <c r="MT80" s="21" t="n">
        <v>260.938</v>
      </c>
      <c r="MU80" s="21" t="n">
        <v>278.235</v>
      </c>
      <c r="MV80" s="21" t="n">
        <v>272.186</v>
      </c>
      <c r="MW80" s="21" t="n">
        <v>279.146</v>
      </c>
      <c r="MX80" s="21" t="n">
        <v>251.473</v>
      </c>
      <c r="MY80" s="21" t="n">
        <v>244.528</v>
      </c>
      <c r="MZ80" s="21" t="n">
        <v>247.614</v>
      </c>
      <c r="NA80" s="21" t="n">
        <v>248.462</v>
      </c>
      <c r="NB80" s="21" t="n">
        <v>110.57</v>
      </c>
      <c r="NC80" s="21" t="n">
        <v>201.615</v>
      </c>
      <c r="ND80" s="21" t="n">
        <v>167.412</v>
      </c>
      <c r="NE80" s="21" t="n">
        <v>164.035</v>
      </c>
      <c r="NF80" s="21" t="n">
        <v>155.873</v>
      </c>
      <c r="NG80" s="21" t="n">
        <v>149.603</v>
      </c>
      <c r="NH80" s="21" t="n">
        <v>267.797</v>
      </c>
      <c r="NI80" s="21" t="n">
        <v>120.31</v>
      </c>
      <c r="NJ80" s="21" t="n">
        <v>68.95</v>
      </c>
      <c r="NK80" s="21" t="n">
        <v>115.339</v>
      </c>
      <c r="NL80" s="21" t="n">
        <v>244.8</v>
      </c>
      <c r="NM80" s="21" t="n">
        <v>280.04</v>
      </c>
      <c r="NN80" s="21" t="n">
        <v>95.108</v>
      </c>
      <c r="NO80" s="21" t="n">
        <v>48.776</v>
      </c>
      <c r="NP80" s="21" t="n">
        <v>241.137</v>
      </c>
      <c r="NQ80" s="21" t="n">
        <v>210.008</v>
      </c>
      <c r="NR80" s="21" t="n">
        <v>264.219</v>
      </c>
      <c r="NS80" s="21" t="n">
        <v>206.718</v>
      </c>
      <c r="NT80" s="21" t="n">
        <v>265.795</v>
      </c>
      <c r="NU80" s="21" t="n">
        <v>119.912</v>
      </c>
      <c r="NV80" s="21" t="n">
        <v>132.998</v>
      </c>
      <c r="NW80" s="21" t="n">
        <v>376.077</v>
      </c>
      <c r="NX80" s="21" t="n">
        <v>81.08499999999999</v>
      </c>
      <c r="NY80" s="21" t="n">
        <v>131.14</v>
      </c>
      <c r="NZ80" s="21" t="n">
        <v>350.358</v>
      </c>
      <c r="OA80" s="21" t="n">
        <v>343.035</v>
      </c>
      <c r="OB80" s="21" t="n">
        <v>355.375</v>
      </c>
      <c r="OC80" s="21" t="n">
        <v>325.694</v>
      </c>
      <c r="OD80" s="21" t="n">
        <v>361.153</v>
      </c>
      <c r="OE80" s="21" t="n">
        <v>126.781</v>
      </c>
      <c r="OF80" s="21" t="n">
        <v>332.917</v>
      </c>
      <c r="OG80" s="21" t="n">
        <v>231.239</v>
      </c>
      <c r="OH80" s="21" t="n">
        <v>37.544</v>
      </c>
      <c r="OI80" s="21" t="n">
        <v>137.9</v>
      </c>
      <c r="OJ80" s="21" t="n">
        <v>36.6</v>
      </c>
      <c r="OK80" s="21" t="n">
        <v>12.2</v>
      </c>
    </row>
    <row r="81">
      <c r="A81" s="22" t="n">
        <v>44409</v>
      </c>
      <c r="B81" s="21" t="n">
        <v>273.567</v>
      </c>
      <c r="C81" s="21" t="n">
        <v>819.485</v>
      </c>
      <c r="D81" s="21" t="n">
        <v>278.201</v>
      </c>
      <c r="E81" s="21" t="n">
        <v>279.135</v>
      </c>
      <c r="F81" s="21" t="n">
        <v>259.825</v>
      </c>
      <c r="G81" s="21" t="n">
        <v>288.99</v>
      </c>
      <c r="H81" s="21" t="n">
        <v>236.194</v>
      </c>
      <c r="I81" s="21" t="n">
        <v>248.823</v>
      </c>
      <c r="J81" s="21" t="n">
        <v>229.855</v>
      </c>
      <c r="K81" s="21" t="n">
        <v>245.495</v>
      </c>
      <c r="L81" s="21" t="n">
        <v>165.886</v>
      </c>
      <c r="M81" s="21" t="n">
        <v>319.545</v>
      </c>
      <c r="N81" s="21" t="n">
        <v>192.971</v>
      </c>
      <c r="O81" s="21" t="n">
        <v>346.969</v>
      </c>
      <c r="P81" s="21" t="n">
        <v>378.95</v>
      </c>
      <c r="Q81" s="21" t="n">
        <v>186.28</v>
      </c>
      <c r="R81" s="21" t="n">
        <v>304.406</v>
      </c>
      <c r="S81" s="21" t="n">
        <v>325.354</v>
      </c>
      <c r="T81" s="21" t="n">
        <v>283.2</v>
      </c>
      <c r="U81" s="21" t="n">
        <v>285.187</v>
      </c>
      <c r="V81" s="21" t="n">
        <v>330.131</v>
      </c>
      <c r="W81" s="21" t="n">
        <v>333.913</v>
      </c>
      <c r="X81" s="21" t="n">
        <v>275.179</v>
      </c>
      <c r="Y81" s="21" t="n">
        <v>288.367</v>
      </c>
      <c r="Z81" s="21" t="n">
        <v>293.5</v>
      </c>
      <c r="AA81" s="21" t="n">
        <v>301.283</v>
      </c>
      <c r="AB81" s="21" t="n">
        <v>379.108</v>
      </c>
      <c r="AC81" s="21" t="n">
        <v>317.667</v>
      </c>
      <c r="AD81" s="21" t="n">
        <v>301.017</v>
      </c>
      <c r="AE81" s="21" t="n">
        <v>261.578</v>
      </c>
      <c r="AF81" s="21" t="n">
        <v>308.724</v>
      </c>
      <c r="AG81" s="21" t="n">
        <v>253.417</v>
      </c>
      <c r="AH81" s="21" t="n">
        <v>189.373</v>
      </c>
      <c r="AI81" s="21" t="n">
        <v>365.329</v>
      </c>
      <c r="AJ81" s="21" t="n">
        <v>163.936</v>
      </c>
      <c r="AK81" s="21" t="n">
        <v>229.619</v>
      </c>
      <c r="AL81" s="21" t="n">
        <v>257.536</v>
      </c>
      <c r="AM81" s="21" t="n">
        <v>228.555</v>
      </c>
      <c r="AN81" s="21" t="n">
        <v>159.243</v>
      </c>
      <c r="AO81" s="21" t="n">
        <v>237.671</v>
      </c>
      <c r="AP81" s="21" t="n">
        <v>239.827</v>
      </c>
      <c r="AQ81" s="21" t="n">
        <v>152.385</v>
      </c>
      <c r="AR81" s="21" t="n"/>
      <c r="AS81" s="21" t="n"/>
      <c r="AT81" s="21" t="n">
        <v>264.382</v>
      </c>
      <c r="AU81" s="21" t="n">
        <v>169.947</v>
      </c>
      <c r="AV81" s="21" t="n">
        <v>276.794</v>
      </c>
      <c r="AW81" s="21" t="n">
        <v>255.065</v>
      </c>
      <c r="AX81" s="21" t="n">
        <v>173.08</v>
      </c>
      <c r="AY81" s="21" t="n">
        <v>328.899</v>
      </c>
      <c r="AZ81" s="21" t="n">
        <v>210.898</v>
      </c>
      <c r="BA81" s="21" t="n">
        <v>159.032</v>
      </c>
      <c r="BB81" s="21" t="n">
        <v>222.446</v>
      </c>
      <c r="BC81" s="21" t="n">
        <v>334.95</v>
      </c>
      <c r="BD81" s="21" t="n">
        <v>221.234</v>
      </c>
      <c r="BE81" s="21" t="n">
        <v>230.145</v>
      </c>
      <c r="BF81" s="21" t="n">
        <v>153.989</v>
      </c>
      <c r="BG81" s="21" t="n">
        <v>224.425</v>
      </c>
      <c r="BH81" s="21" t="n">
        <v>157.608</v>
      </c>
      <c r="BI81" s="21" t="n">
        <v>238.682</v>
      </c>
      <c r="BJ81" s="21" t="n">
        <v>229.474</v>
      </c>
      <c r="BK81" s="21" t="n">
        <v>152.751</v>
      </c>
      <c r="BL81" s="21" t="n">
        <v>313.672</v>
      </c>
      <c r="BM81" s="21" t="n">
        <v>362.018</v>
      </c>
      <c r="BN81" s="21" t="n">
        <v>372.189</v>
      </c>
      <c r="BO81" s="21" t="n">
        <v>352.329</v>
      </c>
      <c r="BP81" s="21" t="n">
        <v>192.983</v>
      </c>
      <c r="BQ81" s="21" t="n">
        <v>277.503</v>
      </c>
      <c r="BR81" s="21" t="n">
        <v>536.901</v>
      </c>
      <c r="BS81" s="21" t="n">
        <v>120.603</v>
      </c>
      <c r="BT81" s="21" t="n">
        <v>349.953</v>
      </c>
      <c r="BU81" s="21" t="n">
        <v>390.908</v>
      </c>
      <c r="BV81" s="21" t="n">
        <v>340.784</v>
      </c>
      <c r="BW81" s="21" t="n">
        <v>351.451</v>
      </c>
      <c r="BX81" s="21" t="n">
        <v>344.888</v>
      </c>
      <c r="BY81" s="21" t="n">
        <v>166.896</v>
      </c>
      <c r="BZ81" s="21" t="n">
        <v>175.917</v>
      </c>
      <c r="CA81" s="21" t="n">
        <v>166.505</v>
      </c>
      <c r="CB81" s="21" t="n">
        <v>189.327</v>
      </c>
      <c r="CC81" s="21" t="n">
        <v>154.547</v>
      </c>
      <c r="CD81" s="21" t="n">
        <v>209.327</v>
      </c>
      <c r="CE81" s="21" t="n">
        <v>160.111</v>
      </c>
      <c r="CF81" s="21" t="n">
        <v>196.396</v>
      </c>
      <c r="CG81" s="21" t="n">
        <v>182.277</v>
      </c>
      <c r="CH81" s="21" t="n">
        <v>143.661</v>
      </c>
      <c r="CI81" s="21" t="n">
        <v>186.827</v>
      </c>
      <c r="CJ81" s="21" t="n">
        <v>177.113</v>
      </c>
      <c r="CK81" s="21" t="n">
        <v>127.769</v>
      </c>
      <c r="CL81" s="21" t="n">
        <v>121.455</v>
      </c>
      <c r="CM81" s="21" t="n">
        <v>199.521</v>
      </c>
      <c r="CN81" s="21" t="n">
        <v>208.909</v>
      </c>
      <c r="CO81" s="21" t="n">
        <v>189.495</v>
      </c>
      <c r="CP81" s="21" t="n">
        <v>137.734</v>
      </c>
      <c r="CQ81" s="21" t="n">
        <v>222.863</v>
      </c>
      <c r="CR81" s="21" t="n">
        <v>234.13</v>
      </c>
      <c r="CS81" s="21" t="n">
        <v>208.501</v>
      </c>
      <c r="CT81" s="21" t="n">
        <v>159.018</v>
      </c>
      <c r="CU81" s="21" t="n">
        <v>160.838</v>
      </c>
      <c r="CV81" s="21" t="n">
        <v>243.444</v>
      </c>
      <c r="CW81" s="21" t="n">
        <v>214.385</v>
      </c>
      <c r="CX81" s="21" t="n">
        <v>252.952</v>
      </c>
      <c r="CY81" s="21" t="n">
        <v>324.354</v>
      </c>
      <c r="CZ81" s="21" t="n">
        <v>141.028</v>
      </c>
      <c r="DA81" s="21" t="n">
        <v>169.646</v>
      </c>
      <c r="DB81" s="21" t="n">
        <v>163.036</v>
      </c>
      <c r="DC81" s="21" t="n">
        <v>236.881</v>
      </c>
      <c r="DD81" s="21" t="n">
        <v>262.246</v>
      </c>
      <c r="DE81" s="21" t="n">
        <v>177.439</v>
      </c>
      <c r="DF81" s="21" t="n">
        <v>261.638</v>
      </c>
      <c r="DG81" s="21" t="n">
        <v>252.819</v>
      </c>
      <c r="DH81" s="21" t="n">
        <v>159.855</v>
      </c>
      <c r="DI81" s="21" t="n">
        <v>149.415</v>
      </c>
      <c r="DJ81" s="21" t="n">
        <v>145.779</v>
      </c>
      <c r="DK81" s="21" t="n">
        <v>288.693</v>
      </c>
      <c r="DL81" s="21" t="n">
        <v>176.722</v>
      </c>
      <c r="DM81" s="21" t="n">
        <v>139.888</v>
      </c>
      <c r="DN81" s="21" t="n">
        <v>132.018</v>
      </c>
      <c r="DO81" s="21" t="n">
        <v>309.336</v>
      </c>
      <c r="DP81" s="21" t="n">
        <v>191.071</v>
      </c>
      <c r="DQ81" s="21" t="n">
        <v>204.59</v>
      </c>
      <c r="DR81" s="21" t="n">
        <v>101.164</v>
      </c>
      <c r="DS81" s="21" t="n">
        <v>70.033</v>
      </c>
      <c r="DT81" s="21" t="n">
        <v>181.585</v>
      </c>
      <c r="DU81" s="21" t="n">
        <v>207.31</v>
      </c>
      <c r="DV81" s="21" t="n">
        <v>264.315</v>
      </c>
      <c r="DW81" s="21" t="n">
        <v>213.75</v>
      </c>
      <c r="DX81" s="21" t="n">
        <v>243.687</v>
      </c>
      <c r="DY81" s="21" t="n">
        <v>202.678</v>
      </c>
      <c r="DZ81" s="21" t="n">
        <v>213.328</v>
      </c>
      <c r="EA81" s="21" t="n">
        <v>199.427</v>
      </c>
      <c r="EB81" s="21" t="n">
        <v>175.322</v>
      </c>
      <c r="EC81" s="21" t="n">
        <v>375.285</v>
      </c>
      <c r="ED81" s="21" t="n">
        <v>183.623</v>
      </c>
      <c r="EE81" s="21" t="n">
        <v>200.556</v>
      </c>
      <c r="EF81" s="21" t="n">
        <v>207.652</v>
      </c>
      <c r="EG81" s="21" t="n">
        <v>282.391</v>
      </c>
      <c r="EH81" s="21" t="n">
        <v>336.284</v>
      </c>
      <c r="EI81" s="21" t="n">
        <v>349.71</v>
      </c>
      <c r="EJ81" s="21" t="n">
        <v>178.758</v>
      </c>
      <c r="EK81" s="21" t="n">
        <v>589.687</v>
      </c>
      <c r="EL81" s="21" t="n">
        <v>366.772</v>
      </c>
      <c r="EM81" s="21" t="n">
        <v>344.327</v>
      </c>
      <c r="EN81" s="21" t="n">
        <v>344.346</v>
      </c>
      <c r="EO81" s="21" t="n">
        <v>150.428</v>
      </c>
      <c r="EP81" s="21" t="n">
        <v>264.303</v>
      </c>
      <c r="EQ81" s="21" t="n">
        <v>218.98</v>
      </c>
      <c r="ER81" s="21" t="n">
        <v>292.603</v>
      </c>
      <c r="ES81" s="21" t="n">
        <v>276.557</v>
      </c>
      <c r="ET81" s="21" t="n">
        <v>377.798</v>
      </c>
      <c r="EU81" s="21" t="n">
        <v>223.272</v>
      </c>
      <c r="EV81" s="21" t="n">
        <v>229.088</v>
      </c>
      <c r="EW81" s="21" t="n">
        <v>202.14</v>
      </c>
      <c r="EX81" s="21" t="n">
        <v>262.81</v>
      </c>
      <c r="EY81" s="21" t="n">
        <v>607.3390000000001</v>
      </c>
      <c r="EZ81" s="21" t="n">
        <v>524.408</v>
      </c>
      <c r="FA81" s="21" t="n">
        <v>132.076</v>
      </c>
      <c r="FB81" s="21" t="n">
        <v>58.079</v>
      </c>
      <c r="FC81" s="21" t="n">
        <v>114.952</v>
      </c>
      <c r="FD81" s="21" t="n">
        <v>72.95399999999999</v>
      </c>
      <c r="FE81" s="21" t="n">
        <v>42.438</v>
      </c>
      <c r="FF81" s="21" t="n">
        <v>124.877</v>
      </c>
      <c r="FG81" s="21" t="n">
        <v>138.427</v>
      </c>
      <c r="FH81" s="21" t="n">
        <v>98.34699999999999</v>
      </c>
      <c r="FI81" s="21" t="n">
        <v>76.84699999999999</v>
      </c>
      <c r="FJ81" s="21" t="n"/>
      <c r="FK81" s="21" t="n">
        <v>85.334</v>
      </c>
      <c r="FL81" s="21" t="n">
        <v>99.745</v>
      </c>
      <c r="FM81" s="21" t="n">
        <v>115.021</v>
      </c>
      <c r="FN81" s="21" t="n">
        <v>70.976</v>
      </c>
      <c r="FO81" s="21" t="n">
        <v>50.923</v>
      </c>
      <c r="FP81" s="21" t="n">
        <v>37.133</v>
      </c>
      <c r="FQ81" s="21" t="n">
        <v>139.26</v>
      </c>
      <c r="FR81" s="21" t="n">
        <v>44.596</v>
      </c>
      <c r="FS81" s="21" t="n">
        <v>81.67</v>
      </c>
      <c r="FT81" s="21" t="n">
        <v>95.479</v>
      </c>
      <c r="FU81" s="21" t="n">
        <v>106.166</v>
      </c>
      <c r="FV81" s="21" t="n">
        <v>90.458</v>
      </c>
      <c r="FW81" s="21" t="n">
        <v>199.041</v>
      </c>
      <c r="FX81" s="21" t="n">
        <v>128.008</v>
      </c>
      <c r="FY81" s="21" t="n">
        <v>192.027</v>
      </c>
      <c r="FZ81" s="21" t="n">
        <v>119.454</v>
      </c>
      <c r="GA81" s="21" t="n">
        <v>215.646</v>
      </c>
      <c r="GB81" s="21" t="n">
        <v>194.844</v>
      </c>
      <c r="GC81" s="21" t="n">
        <v>220.304</v>
      </c>
      <c r="GD81" s="21" t="n">
        <v>201.935</v>
      </c>
      <c r="GE81" s="21" t="n"/>
      <c r="GF81" s="21" t="n">
        <v>121.194</v>
      </c>
      <c r="GG81" s="21" t="n">
        <v>116.61</v>
      </c>
      <c r="GH81" s="21" t="n">
        <v>119.797</v>
      </c>
      <c r="GI81" s="21" t="n">
        <v>95.785</v>
      </c>
      <c r="GJ81" s="21" t="n">
        <v>167.846</v>
      </c>
      <c r="GK81" s="21" t="n">
        <v>71.76600000000001</v>
      </c>
      <c r="GL81" s="21" t="n">
        <v>124.057</v>
      </c>
      <c r="GM81" s="21" t="n">
        <v>102.497</v>
      </c>
      <c r="GN81" s="21" t="n">
        <v>99.943</v>
      </c>
      <c r="GO81" s="21" t="n">
        <v>100.925</v>
      </c>
      <c r="GP81" s="21" t="n">
        <v>94.009</v>
      </c>
      <c r="GQ81" s="21" t="n">
        <v>101.97</v>
      </c>
      <c r="GR81" s="21" t="n">
        <v>67.877</v>
      </c>
      <c r="GS81" s="21" t="n">
        <v>103.76</v>
      </c>
      <c r="GT81" s="21" t="n">
        <v>94.809</v>
      </c>
      <c r="GU81" s="21" t="n">
        <v>138.975</v>
      </c>
      <c r="GV81" s="21" t="n">
        <v>143.982</v>
      </c>
      <c r="GW81" s="21" t="n">
        <v>155.985</v>
      </c>
      <c r="GX81" s="21" t="n">
        <v>126.541</v>
      </c>
      <c r="GY81" s="21" t="n">
        <v>113.446</v>
      </c>
      <c r="GZ81" s="21" t="n">
        <v>191.241</v>
      </c>
      <c r="HA81" s="21" t="n">
        <v>151.745</v>
      </c>
      <c r="HB81" s="21" t="n">
        <v>190.855</v>
      </c>
      <c r="HC81" s="21" t="n">
        <v>238.333</v>
      </c>
      <c r="HD81" s="21" t="n">
        <v>237.994</v>
      </c>
      <c r="HE81" s="21" t="n">
        <v>119.475</v>
      </c>
      <c r="HF81" s="21" t="n">
        <v>158.652</v>
      </c>
      <c r="HG81" s="21" t="n">
        <v>109.967</v>
      </c>
      <c r="HH81" s="21" t="n">
        <v>154.335</v>
      </c>
      <c r="HI81" s="21" t="n">
        <v>169.234</v>
      </c>
      <c r="HJ81" s="21" t="n"/>
      <c r="HK81" s="21" t="n">
        <v>197.535</v>
      </c>
      <c r="HL81" s="21" t="n"/>
      <c r="HM81" s="21" t="n">
        <v>212.07</v>
      </c>
      <c r="HN81" s="21" t="n">
        <v>278.461</v>
      </c>
      <c r="HO81" s="21" t="n">
        <v>277.448</v>
      </c>
      <c r="HP81" s="21" t="n">
        <v>272.01</v>
      </c>
      <c r="HQ81" s="21" t="n">
        <v>299.298</v>
      </c>
      <c r="HR81" s="21" t="n">
        <v>292.146</v>
      </c>
      <c r="HS81" s="21" t="n">
        <v>245.219</v>
      </c>
      <c r="HT81" s="21" t="n">
        <v>157.12</v>
      </c>
      <c r="HU81" s="21" t="n">
        <v>134.259</v>
      </c>
      <c r="HV81" s="21" t="n">
        <v>187.794</v>
      </c>
      <c r="HW81" s="21" t="n">
        <v>175.096</v>
      </c>
      <c r="HX81" s="21" t="n">
        <v>420.16</v>
      </c>
      <c r="HY81" s="21" t="n">
        <v>320.504</v>
      </c>
      <c r="HZ81" s="21" t="n">
        <v>347.305</v>
      </c>
      <c r="IA81" s="21" t="n">
        <v>287.834</v>
      </c>
      <c r="IB81" s="21" t="n">
        <v>198.203</v>
      </c>
      <c r="IC81" s="21" t="n">
        <v>566.183</v>
      </c>
      <c r="ID81" s="21" t="n">
        <v>198.251</v>
      </c>
      <c r="IE81" s="21" t="n">
        <v>186.571</v>
      </c>
      <c r="IF81" s="21" t="n">
        <v>217.108</v>
      </c>
      <c r="IG81" s="21" t="n">
        <v>249.197</v>
      </c>
      <c r="IH81" s="21" t="n"/>
      <c r="II81" s="21" t="n">
        <v>229.893</v>
      </c>
      <c r="IJ81" s="21" t="n">
        <v>212.882</v>
      </c>
      <c r="IK81" s="21" t="n">
        <v>165.504</v>
      </c>
      <c r="IL81" s="21" t="n"/>
      <c r="IM81" s="21" t="n"/>
      <c r="IN81" s="21" t="n">
        <v>66.476</v>
      </c>
      <c r="IO81" s="21" t="n">
        <v>329.094</v>
      </c>
      <c r="IP81" s="21" t="n">
        <v>127.364</v>
      </c>
      <c r="IQ81" s="21" t="n">
        <v>525.247</v>
      </c>
      <c r="IR81" s="21" t="n">
        <v>375.685</v>
      </c>
      <c r="IS81" s="21" t="n">
        <v>123.164</v>
      </c>
      <c r="IT81" s="21" t="n">
        <v>519.729</v>
      </c>
      <c r="IU81" s="21" t="n">
        <v>95.84699999999999</v>
      </c>
      <c r="IV81" s="21" t="n">
        <v>96.435</v>
      </c>
      <c r="IW81" s="21" t="n">
        <v>573.5</v>
      </c>
      <c r="IX81" s="21" t="n">
        <v>403.86</v>
      </c>
      <c r="IY81" s="21" t="n">
        <v>408.49</v>
      </c>
      <c r="IZ81" s="21" t="n">
        <v>526.559</v>
      </c>
      <c r="JA81" s="21" t="n">
        <v>194.621</v>
      </c>
      <c r="JB81" s="21" t="n">
        <v>247.804</v>
      </c>
      <c r="JC81" s="21" t="n">
        <v>86.896</v>
      </c>
      <c r="JD81" s="21" t="n">
        <v>365.843</v>
      </c>
      <c r="JE81" s="21" t="n">
        <v>354.945</v>
      </c>
      <c r="JF81" s="21" t="n">
        <v>794.254</v>
      </c>
      <c r="JG81" s="21" t="n">
        <v>250.098</v>
      </c>
      <c r="JH81" s="21" t="n">
        <v>139.925</v>
      </c>
      <c r="JI81" s="21" t="n">
        <v>167.834</v>
      </c>
      <c r="JJ81" s="21" t="n">
        <v>126.245</v>
      </c>
      <c r="JK81" s="21" t="n">
        <v>111.756</v>
      </c>
      <c r="JL81" s="21" t="n">
        <v>150.415</v>
      </c>
      <c r="JM81" s="21" t="n">
        <v>525.761</v>
      </c>
      <c r="JN81" s="21" t="n">
        <v>123.422</v>
      </c>
      <c r="JO81" s="21" t="n">
        <v>67.41800000000001</v>
      </c>
      <c r="JP81" s="21" t="n">
        <v>32.951</v>
      </c>
      <c r="JQ81" s="21" t="n">
        <v>139.141</v>
      </c>
      <c r="JR81" s="21" t="n">
        <v>25.187</v>
      </c>
      <c r="JS81" s="21" t="n">
        <v>79.54900000000001</v>
      </c>
      <c r="JT81" s="21" t="n">
        <v>185.437</v>
      </c>
      <c r="JU81" s="21" t="n">
        <v>205.495</v>
      </c>
      <c r="JV81" s="21" t="n">
        <v>156.024</v>
      </c>
      <c r="JW81" s="21" t="n">
        <v>118.987</v>
      </c>
      <c r="JX81" s="21" t="n">
        <v>274.42</v>
      </c>
      <c r="JY81" s="21" t="n">
        <v>211.868</v>
      </c>
      <c r="JZ81" s="21" t="n">
        <v>288.233</v>
      </c>
      <c r="KA81" s="21" t="n">
        <v>123.413</v>
      </c>
      <c r="KB81" s="21" t="n">
        <v>172.229</v>
      </c>
      <c r="KC81" s="21" t="n">
        <v>82.889</v>
      </c>
      <c r="KD81" s="21" t="n">
        <v>77.624</v>
      </c>
      <c r="KE81" s="21" t="n">
        <v>59.483</v>
      </c>
      <c r="KF81" s="21" t="n"/>
      <c r="KG81" s="21" t="n">
        <v>24.989</v>
      </c>
      <c r="KH81" s="21" t="n">
        <v>123.208</v>
      </c>
      <c r="KI81" s="21" t="n"/>
      <c r="KJ81" s="21" t="n"/>
      <c r="KK81" s="21" t="n">
        <v>33.566</v>
      </c>
      <c r="KL81" s="21" t="n">
        <v>29.01</v>
      </c>
      <c r="KM81" s="21" t="n">
        <v>37.348</v>
      </c>
      <c r="KN81" s="21" t="n"/>
      <c r="KO81" s="21" t="n">
        <v>98.574</v>
      </c>
      <c r="KP81" s="21" t="n">
        <v>108.771</v>
      </c>
      <c r="KQ81" s="21" t="n">
        <v>177.538</v>
      </c>
      <c r="KR81" s="21" t="n">
        <v>146.267</v>
      </c>
      <c r="KS81" s="21" t="n">
        <v>401.483</v>
      </c>
      <c r="KT81" s="21" t="n">
        <v>195.903</v>
      </c>
      <c r="KU81" s="21" t="n">
        <v>229.099</v>
      </c>
      <c r="KV81" s="21" t="n">
        <v>343.802</v>
      </c>
      <c r="KW81" s="21" t="n">
        <v>274.18</v>
      </c>
      <c r="KX81" s="21" t="n">
        <v>206.99</v>
      </c>
      <c r="KY81" s="21" t="n">
        <v>98.455</v>
      </c>
      <c r="KZ81" s="21" t="n">
        <v>143.011</v>
      </c>
      <c r="LA81" s="21" t="n">
        <v>275.373</v>
      </c>
      <c r="LB81" s="21" t="n">
        <v>687.667</v>
      </c>
      <c r="LC81" s="21" t="n">
        <v>235.954</v>
      </c>
      <c r="LD81" s="21" t="n">
        <v>791.123</v>
      </c>
      <c r="LE81" s="21" t="n">
        <v>886.919</v>
      </c>
      <c r="LF81" s="21" t="n">
        <v>87.92700000000001</v>
      </c>
      <c r="LG81" s="21" t="n">
        <v>317.848</v>
      </c>
      <c r="LH81" s="21" t="n">
        <v>264.975</v>
      </c>
      <c r="LI81" s="21" t="n">
        <v>76.06100000000001</v>
      </c>
      <c r="LJ81" s="21" t="n">
        <v>209.971</v>
      </c>
      <c r="LK81" s="21" t="n">
        <v>329.497</v>
      </c>
      <c r="LL81" s="21" t="n">
        <v>348.02</v>
      </c>
      <c r="LM81" s="21" t="n">
        <v>71.831</v>
      </c>
      <c r="LN81" s="21" t="n">
        <v>94.446</v>
      </c>
      <c r="LO81" s="21" t="n">
        <v>47.978</v>
      </c>
      <c r="LP81" s="21" t="n">
        <v>138.643</v>
      </c>
      <c r="LQ81" s="21" t="n"/>
      <c r="LR81" s="21" t="n"/>
      <c r="LS81" s="21" t="n">
        <v>110.448</v>
      </c>
      <c r="LT81" s="21" t="n">
        <v>40.184</v>
      </c>
      <c r="LU81" s="21" t="n">
        <v>25.982</v>
      </c>
      <c r="LV81" s="21" t="n">
        <v>79.718</v>
      </c>
      <c r="LW81" s="21" t="n">
        <v>155.017</v>
      </c>
      <c r="LX81" s="21" t="n">
        <v>75.063</v>
      </c>
      <c r="LY81" s="21" t="n">
        <v>479.048</v>
      </c>
      <c r="LZ81" s="21" t="n">
        <v>79.10299999999999</v>
      </c>
      <c r="MA81" s="21" t="n">
        <v>517.138</v>
      </c>
      <c r="MB81" s="21" t="n">
        <v>299.304</v>
      </c>
      <c r="MC81" s="21" t="n">
        <v>244.968</v>
      </c>
      <c r="MD81" s="21" t="n">
        <v>159.966</v>
      </c>
      <c r="ME81" s="21" t="n">
        <v>104.098</v>
      </c>
      <c r="MF81" s="21" t="n">
        <v>178.556</v>
      </c>
      <c r="MG81" s="21" t="n">
        <v>301.932</v>
      </c>
      <c r="MH81" s="21" t="n">
        <v>184.228</v>
      </c>
      <c r="MI81" s="21" t="n">
        <v>466.928</v>
      </c>
      <c r="MJ81" s="21" t="n">
        <v>371.13</v>
      </c>
      <c r="MK81" s="21" t="n">
        <v>349.337</v>
      </c>
      <c r="ML81" s="21" t="n">
        <v>191.405</v>
      </c>
      <c r="MM81" s="21" t="n">
        <v>210.415</v>
      </c>
      <c r="MN81" s="21" t="n">
        <v>372.5</v>
      </c>
      <c r="MO81" s="21" t="n">
        <v>169.603</v>
      </c>
      <c r="MP81" s="21" t="n">
        <v>269.443</v>
      </c>
      <c r="MQ81" s="21" t="n">
        <v>77.297</v>
      </c>
      <c r="MR81" s="21" t="n">
        <v>160.595</v>
      </c>
      <c r="MS81" s="21" t="n"/>
      <c r="MT81" s="21" t="n">
        <v>261.479</v>
      </c>
      <c r="MU81" s="21" t="n">
        <v>278.691</v>
      </c>
      <c r="MV81" s="21" t="n">
        <v>272.68</v>
      </c>
      <c r="MW81" s="21" t="n">
        <v>279.507</v>
      </c>
      <c r="MX81" s="21" t="n">
        <v>252.072</v>
      </c>
      <c r="MY81" s="21" t="n">
        <v>245.033</v>
      </c>
      <c r="MZ81" s="21" t="n">
        <v>247.913</v>
      </c>
      <c r="NA81" s="21" t="n">
        <v>249.078</v>
      </c>
      <c r="NB81" s="21" t="n">
        <v>112.577</v>
      </c>
      <c r="NC81" s="21" t="n">
        <v>202.496</v>
      </c>
      <c r="ND81" s="21" t="n">
        <v>168.214</v>
      </c>
      <c r="NE81" s="21" t="n">
        <v>164.825</v>
      </c>
      <c r="NF81" s="21" t="n">
        <v>156.581</v>
      </c>
      <c r="NG81" s="21" t="n">
        <v>150.858</v>
      </c>
      <c r="NH81" s="21" t="n">
        <v>268.392</v>
      </c>
      <c r="NI81" s="21" t="n">
        <v>120.666</v>
      </c>
      <c r="NJ81" s="21" t="n">
        <v>68.926</v>
      </c>
      <c r="NK81" s="21" t="n">
        <v>115.888</v>
      </c>
      <c r="NL81" s="21" t="n">
        <v>246.639</v>
      </c>
      <c r="NM81" s="21" t="n">
        <v>281.73</v>
      </c>
      <c r="NN81" s="21" t="n">
        <v>95.886</v>
      </c>
      <c r="NO81" s="21" t="n">
        <v>48.904</v>
      </c>
      <c r="NP81" s="21" t="n">
        <v>242.338</v>
      </c>
      <c r="NQ81" s="21" t="n">
        <v>211.357</v>
      </c>
      <c r="NR81" s="21" t="n">
        <v>265.155</v>
      </c>
      <c r="NS81" s="21" t="n">
        <v>208.085</v>
      </c>
      <c r="NT81" s="21" t="n">
        <v>266.72</v>
      </c>
      <c r="NU81" s="21" t="n">
        <v>120.354</v>
      </c>
      <c r="NV81" s="21" t="n">
        <v>133.586</v>
      </c>
      <c r="NW81" s="21" t="n">
        <v>377.579</v>
      </c>
      <c r="NX81" s="21" t="n">
        <v>81.919</v>
      </c>
      <c r="NY81" s="21" t="n">
        <v>131.474</v>
      </c>
      <c r="NZ81" s="21" t="n">
        <v>350.863</v>
      </c>
      <c r="OA81" s="21" t="n">
        <v>343.246</v>
      </c>
      <c r="OB81" s="21" t="n">
        <v>355.423</v>
      </c>
      <c r="OC81" s="21" t="n">
        <v>325.805</v>
      </c>
      <c r="OD81" s="21" t="n">
        <v>361.047</v>
      </c>
      <c r="OE81" s="21" t="n">
        <v>126.616</v>
      </c>
      <c r="OF81" s="21" t="n">
        <v>325.652</v>
      </c>
      <c r="OG81" s="21" t="n">
        <v>229.805</v>
      </c>
      <c r="OH81" s="21" t="n">
        <v>38.057</v>
      </c>
      <c r="OI81" s="21" t="n">
        <v>138.396</v>
      </c>
      <c r="OJ81" s="21" t="n">
        <v>36.6</v>
      </c>
      <c r="OK81" s="21" t="n">
        <v>12.2</v>
      </c>
    </row>
    <row r="82">
      <c r="A82" s="22" t="n">
        <v>44440</v>
      </c>
      <c r="B82" s="21" t="n">
        <v>274.31</v>
      </c>
      <c r="C82" s="21" t="n">
        <v>821.71</v>
      </c>
      <c r="D82" s="21" t="n">
        <v>280.452</v>
      </c>
      <c r="E82" s="21" t="n">
        <v>281.506</v>
      </c>
      <c r="F82" s="21" t="n">
        <v>262.695</v>
      </c>
      <c r="G82" s="21" t="n">
        <v>292.069</v>
      </c>
      <c r="H82" s="21" t="n">
        <v>236.183</v>
      </c>
      <c r="I82" s="21" t="n">
        <v>250.198</v>
      </c>
      <c r="J82" s="21" t="n">
        <v>229.122</v>
      </c>
      <c r="K82" s="21" t="n">
        <v>245.89</v>
      </c>
      <c r="L82" s="21" t="n">
        <v>166.677</v>
      </c>
      <c r="M82" s="21" t="n">
        <v>324.458</v>
      </c>
      <c r="N82" s="21" t="n">
        <v>196.492</v>
      </c>
      <c r="O82" s="21" t="n">
        <v>355.554</v>
      </c>
      <c r="P82" s="21" t="n">
        <v>383.377</v>
      </c>
      <c r="Q82" s="21" t="n">
        <v>194.852</v>
      </c>
      <c r="R82" s="21" t="n">
        <v>305.507</v>
      </c>
      <c r="S82" s="21" t="n">
        <v>327.677</v>
      </c>
      <c r="T82" s="21" t="n">
        <v>283.991</v>
      </c>
      <c r="U82" s="21" t="n">
        <v>287.626</v>
      </c>
      <c r="V82" s="21" t="n">
        <v>329.037</v>
      </c>
      <c r="W82" s="21" t="n">
        <v>340.564</v>
      </c>
      <c r="X82" s="21" t="n">
        <v>276.877</v>
      </c>
      <c r="Y82" s="21" t="n">
        <v>293.217</v>
      </c>
      <c r="Z82" s="21" t="n">
        <v>298.154</v>
      </c>
      <c r="AA82" s="21" t="n">
        <v>308.306</v>
      </c>
      <c r="AB82" s="21" t="n">
        <v>391.645</v>
      </c>
      <c r="AC82" s="21" t="n">
        <v>323.036</v>
      </c>
      <c r="AD82" s="21" t="n">
        <v>319.206</v>
      </c>
      <c r="AE82" s="21" t="n">
        <v>269.96</v>
      </c>
      <c r="AF82" s="21" t="n">
        <v>324.683</v>
      </c>
      <c r="AG82" s="21" t="n">
        <v>256.442</v>
      </c>
      <c r="AH82" s="21" t="n">
        <v>192.989</v>
      </c>
      <c r="AI82" s="21" t="n">
        <v>375.125</v>
      </c>
      <c r="AJ82" s="21" t="n">
        <v>165.414</v>
      </c>
      <c r="AK82" s="21" t="n">
        <v>236.459</v>
      </c>
      <c r="AL82" s="21" t="n">
        <v>265.378</v>
      </c>
      <c r="AM82" s="21" t="n">
        <v>225.262</v>
      </c>
      <c r="AN82" s="21" t="n">
        <v>159.638</v>
      </c>
      <c r="AO82" s="21" t="n">
        <v>242.044</v>
      </c>
      <c r="AP82" s="21" t="n">
        <v>246.09</v>
      </c>
      <c r="AQ82" s="21" t="n">
        <v>155.074</v>
      </c>
      <c r="AR82" s="21" t="n"/>
      <c r="AS82" s="21" t="n"/>
      <c r="AT82" s="21" t="n">
        <v>263.135</v>
      </c>
      <c r="AU82" s="21" t="n">
        <v>169.901</v>
      </c>
      <c r="AV82" s="21" t="n">
        <v>276.957</v>
      </c>
      <c r="AW82" s="21" t="n">
        <v>255.061</v>
      </c>
      <c r="AX82" s="21" t="n">
        <v>168.893</v>
      </c>
      <c r="AY82" s="21" t="n">
        <v>332.906</v>
      </c>
      <c r="AZ82" s="21" t="n">
        <v>214.314</v>
      </c>
      <c r="BA82" s="21" t="n">
        <v>160.287</v>
      </c>
      <c r="BB82" s="21" t="n">
        <v>222.761</v>
      </c>
      <c r="BC82" s="21" t="n">
        <v>341.541</v>
      </c>
      <c r="BD82" s="21" t="n">
        <v>228.603</v>
      </c>
      <c r="BE82" s="21" t="n">
        <v>231.973</v>
      </c>
      <c r="BF82" s="21" t="n">
        <v>154.83</v>
      </c>
      <c r="BG82" s="21" t="n">
        <v>226.314</v>
      </c>
      <c r="BH82" s="21" t="n">
        <v>158.272</v>
      </c>
      <c r="BI82" s="21" t="n">
        <v>240.622</v>
      </c>
      <c r="BJ82" s="21" t="n">
        <v>232.587</v>
      </c>
      <c r="BK82" s="21" t="n">
        <v>153.872</v>
      </c>
      <c r="BL82" s="21" t="n">
        <v>315.428</v>
      </c>
      <c r="BM82" s="21" t="n">
        <v>364.607</v>
      </c>
      <c r="BN82" s="21" t="n">
        <v>376.624</v>
      </c>
      <c r="BO82" s="21" t="n">
        <v>351.704</v>
      </c>
      <c r="BP82" s="21" t="n">
        <v>193.775</v>
      </c>
      <c r="BQ82" s="21" t="n">
        <v>275.809</v>
      </c>
      <c r="BR82" s="21" t="n">
        <v>538.0410000000001</v>
      </c>
      <c r="BS82" s="21" t="n">
        <v>124.195</v>
      </c>
      <c r="BT82" s="21" t="n">
        <v>350.656</v>
      </c>
      <c r="BU82" s="21" t="n">
        <v>389.753</v>
      </c>
      <c r="BV82" s="21" t="n">
        <v>348.185</v>
      </c>
      <c r="BW82" s="21" t="n">
        <v>351.828</v>
      </c>
      <c r="BX82" s="21" t="n">
        <v>344.669</v>
      </c>
      <c r="BY82" s="21" t="n">
        <v>166.887</v>
      </c>
      <c r="BZ82" s="21" t="n">
        <v>175.253</v>
      </c>
      <c r="CA82" s="21" t="n">
        <v>165.891</v>
      </c>
      <c r="CB82" s="21" t="n">
        <v>188.528</v>
      </c>
      <c r="CC82" s="21" t="n">
        <v>153.885</v>
      </c>
      <c r="CD82" s="21" t="n">
        <v>206.132</v>
      </c>
      <c r="CE82" s="21" t="n">
        <v>163.051</v>
      </c>
      <c r="CF82" s="21" t="n">
        <v>199.745</v>
      </c>
      <c r="CG82" s="21" t="n">
        <v>184.49</v>
      </c>
      <c r="CH82" s="21" t="n">
        <v>145.927</v>
      </c>
      <c r="CI82" s="21" t="n">
        <v>190.118</v>
      </c>
      <c r="CJ82" s="21" t="n">
        <v>179.914</v>
      </c>
      <c r="CK82" s="21" t="n">
        <v>129.607</v>
      </c>
      <c r="CL82" s="21" t="n">
        <v>121.825</v>
      </c>
      <c r="CM82" s="21" t="n">
        <v>201.807</v>
      </c>
      <c r="CN82" s="21" t="n">
        <v>211.207</v>
      </c>
      <c r="CO82" s="21" t="n">
        <v>192.446</v>
      </c>
      <c r="CP82" s="21" t="n">
        <v>136.086</v>
      </c>
      <c r="CQ82" s="21" t="n">
        <v>225.141</v>
      </c>
      <c r="CR82" s="21" t="n">
        <v>234.881</v>
      </c>
      <c r="CS82" s="21" t="n">
        <v>209.516</v>
      </c>
      <c r="CT82" s="21" t="n">
        <v>159.102</v>
      </c>
      <c r="CU82" s="21" t="n">
        <v>162.599</v>
      </c>
      <c r="CV82" s="21" t="n">
        <v>247.322</v>
      </c>
      <c r="CW82" s="21" t="n">
        <v>212.817</v>
      </c>
      <c r="CX82" s="21" t="n">
        <v>247.871</v>
      </c>
      <c r="CY82" s="21" t="n">
        <v>324.617</v>
      </c>
      <c r="CZ82" s="21" t="n">
        <v>141.871</v>
      </c>
      <c r="DA82" s="21" t="n">
        <v>175.675</v>
      </c>
      <c r="DB82" s="21" t="n">
        <v>167.854</v>
      </c>
      <c r="DC82" s="21" t="n">
        <v>239.401</v>
      </c>
      <c r="DD82" s="21" t="n">
        <v>261.29</v>
      </c>
      <c r="DE82" s="21" t="n">
        <v>179.325</v>
      </c>
      <c r="DF82" s="21" t="n">
        <v>265.007</v>
      </c>
      <c r="DG82" s="21" t="n">
        <v>255.573</v>
      </c>
      <c r="DH82" s="21" t="n">
        <v>163.017</v>
      </c>
      <c r="DI82" s="21" t="n">
        <v>151.029</v>
      </c>
      <c r="DJ82" s="21" t="n">
        <v>147.513</v>
      </c>
      <c r="DK82" s="21" t="n">
        <v>288.987</v>
      </c>
      <c r="DL82" s="21" t="n">
        <v>180.697</v>
      </c>
      <c r="DM82" s="21" t="n">
        <v>141.367</v>
      </c>
      <c r="DN82" s="21" t="n">
        <v>136.82</v>
      </c>
      <c r="DO82" s="21" t="n">
        <v>310.996</v>
      </c>
      <c r="DP82" s="21" t="n">
        <v>192.203</v>
      </c>
      <c r="DQ82" s="21" t="n">
        <v>205.893</v>
      </c>
      <c r="DR82" s="21" t="n">
        <v>94.72799999999999</v>
      </c>
      <c r="DS82" s="21" t="n">
        <v>62.755</v>
      </c>
      <c r="DT82" s="21" t="n">
        <v>181.086</v>
      </c>
      <c r="DU82" s="21" t="n">
        <v>210.067</v>
      </c>
      <c r="DV82" s="21" t="n">
        <v>264.98</v>
      </c>
      <c r="DW82" s="21" t="n">
        <v>214.075</v>
      </c>
      <c r="DX82" s="21" t="n">
        <v>244.352</v>
      </c>
      <c r="DY82" s="21" t="n">
        <v>203.872</v>
      </c>
      <c r="DZ82" s="21" t="n">
        <v>214.278</v>
      </c>
      <c r="EA82" s="21" t="n">
        <v>201.275</v>
      </c>
      <c r="EB82" s="21" t="n">
        <v>175.13</v>
      </c>
      <c r="EC82" s="21" t="n">
        <v>376.7</v>
      </c>
      <c r="ED82" s="21" t="n">
        <v>184.141</v>
      </c>
      <c r="EE82" s="21" t="n">
        <v>201.915</v>
      </c>
      <c r="EF82" s="21" t="n">
        <v>208.337</v>
      </c>
      <c r="EG82" s="21" t="n">
        <v>283.744</v>
      </c>
      <c r="EH82" s="21" t="n">
        <v>337.451</v>
      </c>
      <c r="EI82" s="21" t="n">
        <v>351.255</v>
      </c>
      <c r="EJ82" s="21" t="n">
        <v>174.644</v>
      </c>
      <c r="EK82" s="21" t="n">
        <v>592.683</v>
      </c>
      <c r="EL82" s="21" t="n">
        <v>357.078</v>
      </c>
      <c r="EM82" s="21" t="n">
        <v>345.824</v>
      </c>
      <c r="EN82" s="21" t="n">
        <v>345.84</v>
      </c>
      <c r="EO82" s="21" t="n">
        <v>150.92</v>
      </c>
      <c r="EP82" s="21" t="n">
        <v>266.559</v>
      </c>
      <c r="EQ82" s="21" t="n">
        <v>221.196</v>
      </c>
      <c r="ER82" s="21" t="n">
        <v>305.233</v>
      </c>
      <c r="ES82" s="21" t="n">
        <v>287.325</v>
      </c>
      <c r="ET82" s="21" t="n">
        <v>396.415</v>
      </c>
      <c r="EU82" s="21" t="n">
        <v>225.16</v>
      </c>
      <c r="EV82" s="21" t="n">
        <v>229.831</v>
      </c>
      <c r="EW82" s="21" t="n">
        <v>207.29</v>
      </c>
      <c r="EX82" s="21" t="n">
        <v>263.747</v>
      </c>
      <c r="EY82" s="21" t="n">
        <v>607.938</v>
      </c>
      <c r="EZ82" s="21" t="n">
        <v>529.934</v>
      </c>
      <c r="FA82" s="21" t="n">
        <v>133.462</v>
      </c>
      <c r="FB82" s="21" t="n">
        <v>60.319</v>
      </c>
      <c r="FC82" s="21" t="n">
        <v>116.042</v>
      </c>
      <c r="FD82" s="21" t="n">
        <v>70.482</v>
      </c>
      <c r="FE82" s="21" t="n">
        <v>45.842</v>
      </c>
      <c r="FF82" s="21" t="n">
        <v>127.817</v>
      </c>
      <c r="FG82" s="21" t="n">
        <v>140.44</v>
      </c>
      <c r="FH82" s="21" t="n">
        <v>101.761</v>
      </c>
      <c r="FI82" s="21" t="n">
        <v>77.51300000000001</v>
      </c>
      <c r="FJ82" s="21" t="n"/>
      <c r="FK82" s="21" t="n">
        <v>86.65900000000001</v>
      </c>
      <c r="FL82" s="21" t="n">
        <v>100.129</v>
      </c>
      <c r="FM82" s="21" t="n">
        <v>116.612</v>
      </c>
      <c r="FN82" s="21" t="n">
        <v>72.56399999999999</v>
      </c>
      <c r="FO82" s="21" t="n">
        <v>51.327</v>
      </c>
      <c r="FP82" s="21" t="n">
        <v>37.455</v>
      </c>
      <c r="FQ82" s="21" t="n">
        <v>138.41</v>
      </c>
      <c r="FR82" s="21" t="n">
        <v>45.901</v>
      </c>
      <c r="FS82" s="21" t="n">
        <v>82.34399999999999</v>
      </c>
      <c r="FT82" s="21" t="n">
        <v>96.124</v>
      </c>
      <c r="FU82" s="21" t="n">
        <v>107.238</v>
      </c>
      <c r="FV82" s="21" t="n">
        <v>90.935</v>
      </c>
      <c r="FW82" s="21" t="n">
        <v>199.9</v>
      </c>
      <c r="FX82" s="21" t="n">
        <v>127.449</v>
      </c>
      <c r="FY82" s="21" t="n">
        <v>194.556</v>
      </c>
      <c r="FZ82" s="21" t="n">
        <v>120.384</v>
      </c>
      <c r="GA82" s="21" t="n">
        <v>215.125</v>
      </c>
      <c r="GB82" s="21" t="n">
        <v>190.314</v>
      </c>
      <c r="GC82" s="21" t="n">
        <v>224.575</v>
      </c>
      <c r="GD82" s="21" t="n">
        <v>200.298</v>
      </c>
      <c r="GE82" s="21" t="n"/>
      <c r="GF82" s="21" t="n">
        <v>123.406</v>
      </c>
      <c r="GG82" s="21" t="n">
        <v>118.796</v>
      </c>
      <c r="GH82" s="21" t="n">
        <v>121.53</v>
      </c>
      <c r="GI82" s="21" t="n">
        <v>96.97</v>
      </c>
      <c r="GJ82" s="21" t="n">
        <v>168.872</v>
      </c>
      <c r="GK82" s="21" t="n">
        <v>74.842</v>
      </c>
      <c r="GL82" s="21" t="n">
        <v>123.337</v>
      </c>
      <c r="GM82" s="21" t="n">
        <v>106.268</v>
      </c>
      <c r="GN82" s="21" t="n">
        <v>102.298</v>
      </c>
      <c r="GO82" s="21" t="n">
        <v>102.986</v>
      </c>
      <c r="GP82" s="21" t="n">
        <v>101.866</v>
      </c>
      <c r="GQ82" s="21" t="n">
        <v>108.798</v>
      </c>
      <c r="GR82" s="21" t="n">
        <v>69.145</v>
      </c>
      <c r="GS82" s="21" t="n">
        <v>103.043</v>
      </c>
      <c r="GT82" s="21" t="n">
        <v>98.452</v>
      </c>
      <c r="GU82" s="21" t="n">
        <v>141.066</v>
      </c>
      <c r="GV82" s="21" t="n">
        <v>146.376</v>
      </c>
      <c r="GW82" s="21" t="n">
        <v>161.778</v>
      </c>
      <c r="GX82" s="21" t="n">
        <v>126.999</v>
      </c>
      <c r="GY82" s="21" t="n">
        <v>117.04</v>
      </c>
      <c r="GZ82" s="21" t="n">
        <v>188.399</v>
      </c>
      <c r="HA82" s="21" t="n">
        <v>148.287</v>
      </c>
      <c r="HB82" s="21" t="n">
        <v>188.476</v>
      </c>
      <c r="HC82" s="21" t="n">
        <v>236.373</v>
      </c>
      <c r="HD82" s="21" t="n">
        <v>236.655</v>
      </c>
      <c r="HE82" s="21" t="n">
        <v>117.947</v>
      </c>
      <c r="HF82" s="21" t="n">
        <v>160.244</v>
      </c>
      <c r="HG82" s="21" t="n">
        <v>111.078</v>
      </c>
      <c r="HH82" s="21" t="n">
        <v>155.707</v>
      </c>
      <c r="HI82" s="21" t="n">
        <v>171.031</v>
      </c>
      <c r="HJ82" s="21" t="n"/>
      <c r="HK82" s="21" t="n">
        <v>190.207</v>
      </c>
      <c r="HL82" s="21" t="n"/>
      <c r="HM82" s="21" t="n">
        <v>192.339</v>
      </c>
      <c r="HN82" s="21" t="n">
        <v>279.367</v>
      </c>
      <c r="HO82" s="21" t="n">
        <v>278.338</v>
      </c>
      <c r="HP82" s="21" t="n">
        <v>272.929</v>
      </c>
      <c r="HQ82" s="21" t="n">
        <v>300.146</v>
      </c>
      <c r="HR82" s="21" t="n">
        <v>292.775</v>
      </c>
      <c r="HS82" s="21" t="n">
        <v>246.59</v>
      </c>
      <c r="HT82" s="21" t="n">
        <v>158.454</v>
      </c>
      <c r="HU82" s="21" t="n">
        <v>135.377</v>
      </c>
      <c r="HV82" s="21" t="n">
        <v>189.444</v>
      </c>
      <c r="HW82" s="21" t="n">
        <v>176.789</v>
      </c>
      <c r="HX82" s="21" t="n">
        <v>417.053</v>
      </c>
      <c r="HY82" s="21" t="n">
        <v>320.446</v>
      </c>
      <c r="HZ82" s="21" t="n">
        <v>347.886</v>
      </c>
      <c r="IA82" s="21" t="n">
        <v>289.802</v>
      </c>
      <c r="IB82" s="21" t="n">
        <v>195.587</v>
      </c>
      <c r="IC82" s="21" t="n">
        <v>566.211</v>
      </c>
      <c r="ID82" s="21" t="n">
        <v>198.675</v>
      </c>
      <c r="IE82" s="21" t="n">
        <v>186.551</v>
      </c>
      <c r="IF82" s="21" t="n">
        <v>218.099</v>
      </c>
      <c r="IG82" s="21" t="n">
        <v>250.881</v>
      </c>
      <c r="IH82" s="21" t="n"/>
      <c r="II82" s="21" t="n">
        <v>219.394</v>
      </c>
      <c r="IJ82" s="21" t="n">
        <v>198.975</v>
      </c>
      <c r="IK82" s="21" t="n">
        <v>162.105</v>
      </c>
      <c r="IL82" s="21" t="n"/>
      <c r="IM82" s="21" t="n"/>
      <c r="IN82" s="21" t="n">
        <v>64.886</v>
      </c>
      <c r="IO82" s="21" t="n">
        <v>322.801</v>
      </c>
      <c r="IP82" s="21" t="n">
        <v>126.965</v>
      </c>
      <c r="IQ82" s="21" t="n">
        <v>524.818</v>
      </c>
      <c r="IR82" s="21" t="n">
        <v>376.842</v>
      </c>
      <c r="IS82" s="21" t="n">
        <v>123.507</v>
      </c>
      <c r="IT82" s="21" t="n">
        <v>521.506</v>
      </c>
      <c r="IU82" s="21" t="n">
        <v>95.929</v>
      </c>
      <c r="IV82" s="21" t="n">
        <v>97.36199999999999</v>
      </c>
      <c r="IW82" s="21" t="n">
        <v>572.559</v>
      </c>
      <c r="IX82" s="21" t="n">
        <v>403.271</v>
      </c>
      <c r="IY82" s="21" t="n">
        <v>407.266</v>
      </c>
      <c r="IZ82" s="21" t="n">
        <v>525.8869999999999</v>
      </c>
      <c r="JA82" s="21" t="n">
        <v>194.574</v>
      </c>
      <c r="JB82" s="21" t="n">
        <v>248.614</v>
      </c>
      <c r="JC82" s="21" t="n">
        <v>87.045</v>
      </c>
      <c r="JD82" s="21" t="n">
        <v>366.394</v>
      </c>
      <c r="JE82" s="21" t="n">
        <v>355.187</v>
      </c>
      <c r="JF82" s="21" t="n">
        <v>795.813</v>
      </c>
      <c r="JG82" s="21" t="n">
        <v>251.227</v>
      </c>
      <c r="JH82" s="21" t="n">
        <v>140.411</v>
      </c>
      <c r="JI82" s="21" t="n">
        <v>166.229</v>
      </c>
      <c r="JJ82" s="21" t="n">
        <v>126.438</v>
      </c>
      <c r="JK82" s="21" t="n">
        <v>111.917</v>
      </c>
      <c r="JL82" s="21" t="n">
        <v>149.275</v>
      </c>
      <c r="JM82" s="21" t="n">
        <v>527.652</v>
      </c>
      <c r="JN82" s="21" t="n">
        <v>124.709</v>
      </c>
      <c r="JO82" s="21" t="n">
        <v>66.84999999999999</v>
      </c>
      <c r="JP82" s="21" t="n">
        <v>32.21</v>
      </c>
      <c r="JQ82" s="21" t="n">
        <v>140.137</v>
      </c>
      <c r="JR82" s="21" t="n">
        <v>24.748</v>
      </c>
      <c r="JS82" s="21" t="n">
        <v>79.81999999999999</v>
      </c>
      <c r="JT82" s="21" t="n">
        <v>186.043</v>
      </c>
      <c r="JU82" s="21" t="n">
        <v>206.448</v>
      </c>
      <c r="JV82" s="21" t="n">
        <v>156.843</v>
      </c>
      <c r="JW82" s="21" t="n">
        <v>118.912</v>
      </c>
      <c r="JX82" s="21" t="n">
        <v>274.898</v>
      </c>
      <c r="JY82" s="21" t="n">
        <v>211.825</v>
      </c>
      <c r="JZ82" s="21" t="n">
        <v>288.913</v>
      </c>
      <c r="KA82" s="21" t="n">
        <v>122.967</v>
      </c>
      <c r="KB82" s="21" t="n">
        <v>171.661</v>
      </c>
      <c r="KC82" s="21" t="n">
        <v>82.57299999999999</v>
      </c>
      <c r="KD82" s="21" t="n">
        <v>77.749</v>
      </c>
      <c r="KE82" s="21" t="n">
        <v>59.686</v>
      </c>
      <c r="KF82" s="21" t="n"/>
      <c r="KG82" s="21" t="n">
        <v>25.002</v>
      </c>
      <c r="KH82" s="21" t="n">
        <v>123.267</v>
      </c>
      <c r="KI82" s="21" t="n"/>
      <c r="KJ82" s="21" t="n"/>
      <c r="KK82" s="21" t="n">
        <v>33.359</v>
      </c>
      <c r="KL82" s="21" t="n">
        <v>28.85</v>
      </c>
      <c r="KM82" s="21" t="n">
        <v>37.389</v>
      </c>
      <c r="KN82" s="21" t="n"/>
      <c r="KO82" s="21" t="n">
        <v>95.714</v>
      </c>
      <c r="KP82" s="21" t="n">
        <v>108.86</v>
      </c>
      <c r="KQ82" s="21" t="n">
        <v>178.2</v>
      </c>
      <c r="KR82" s="21" t="n">
        <v>146.223</v>
      </c>
      <c r="KS82" s="21" t="n">
        <v>405.305</v>
      </c>
      <c r="KT82" s="21" t="n">
        <v>195.781</v>
      </c>
      <c r="KU82" s="21" t="n">
        <v>229.47</v>
      </c>
      <c r="KV82" s="21" t="n">
        <v>341.669</v>
      </c>
      <c r="KW82" s="21" t="n">
        <v>274.225</v>
      </c>
      <c r="KX82" s="21" t="n">
        <v>206.844</v>
      </c>
      <c r="KY82" s="21" t="n">
        <v>98.605</v>
      </c>
      <c r="KZ82" s="21" t="n">
        <v>143.807</v>
      </c>
      <c r="LA82" s="21" t="n">
        <v>277.551</v>
      </c>
      <c r="LB82" s="21" t="n">
        <v>685.005</v>
      </c>
      <c r="LC82" s="21" t="n">
        <v>235.282</v>
      </c>
      <c r="LD82" s="21" t="n">
        <v>797.726</v>
      </c>
      <c r="LE82" s="21" t="n">
        <v>895.395</v>
      </c>
      <c r="LF82" s="21" t="n">
        <v>87.998</v>
      </c>
      <c r="LG82" s="21" t="n">
        <v>321.245</v>
      </c>
      <c r="LH82" s="21" t="n">
        <v>264.17</v>
      </c>
      <c r="LI82" s="21" t="n">
        <v>76.34099999999999</v>
      </c>
      <c r="LJ82" s="21" t="n">
        <v>209.672</v>
      </c>
      <c r="LK82" s="21" t="n">
        <v>329.597</v>
      </c>
      <c r="LL82" s="21" t="n">
        <v>341.577</v>
      </c>
      <c r="LM82" s="21" t="n">
        <v>72.107</v>
      </c>
      <c r="LN82" s="21" t="n">
        <v>94.68000000000001</v>
      </c>
      <c r="LO82" s="21" t="n">
        <v>48.178</v>
      </c>
      <c r="LP82" s="21" t="n">
        <v>137.938</v>
      </c>
      <c r="LQ82" s="21" t="n"/>
      <c r="LR82" s="21" t="n"/>
      <c r="LS82" s="21" t="n">
        <v>111.143</v>
      </c>
      <c r="LT82" s="21" t="n">
        <v>40.649</v>
      </c>
      <c r="LU82" s="21" t="n">
        <v>25.083</v>
      </c>
      <c r="LV82" s="21" t="n">
        <v>80.167</v>
      </c>
      <c r="LW82" s="21" t="n">
        <v>155.364</v>
      </c>
      <c r="LX82" s="21" t="n">
        <v>73.503</v>
      </c>
      <c r="LY82" s="21" t="n">
        <v>479.525</v>
      </c>
      <c r="LZ82" s="21" t="n">
        <v>79.673</v>
      </c>
      <c r="MA82" s="21" t="n">
        <v>520.9829999999999</v>
      </c>
      <c r="MB82" s="21" t="n">
        <v>300.878</v>
      </c>
      <c r="MC82" s="21" t="n">
        <v>244.84</v>
      </c>
      <c r="MD82" s="21" t="n">
        <v>159.755</v>
      </c>
      <c r="ME82" s="21" t="n">
        <v>103.769</v>
      </c>
      <c r="MF82" s="21" t="n">
        <v>178.72</v>
      </c>
      <c r="MG82" s="21" t="n">
        <v>300.838</v>
      </c>
      <c r="MH82" s="21" t="n">
        <v>183.561</v>
      </c>
      <c r="MI82" s="21" t="n">
        <v>469.066</v>
      </c>
      <c r="MJ82" s="21" t="n">
        <v>377.635</v>
      </c>
      <c r="MK82" s="21" t="n">
        <v>349.311</v>
      </c>
      <c r="ML82" s="21" t="n">
        <v>191.766</v>
      </c>
      <c r="MM82" s="21" t="n">
        <v>212.044</v>
      </c>
      <c r="MN82" s="21" t="n">
        <v>371.14</v>
      </c>
      <c r="MO82" s="21" t="n">
        <v>169.681</v>
      </c>
      <c r="MP82" s="21" t="n">
        <v>267.609</v>
      </c>
      <c r="MQ82" s="21" t="n">
        <v>76.373</v>
      </c>
      <c r="MR82" s="21" t="n">
        <v>161.069</v>
      </c>
      <c r="MS82" s="21" t="n"/>
      <c r="MT82" s="21" t="n">
        <v>262.275</v>
      </c>
      <c r="MU82" s="21" t="n">
        <v>279.366</v>
      </c>
      <c r="MV82" s="21" t="n">
        <v>273.165</v>
      </c>
      <c r="MW82" s="21" t="n">
        <v>279.884</v>
      </c>
      <c r="MX82" s="21" t="n">
        <v>252.664</v>
      </c>
      <c r="MY82" s="21" t="n">
        <v>245.218</v>
      </c>
      <c r="MZ82" s="21" t="n">
        <v>247.878</v>
      </c>
      <c r="NA82" s="21" t="n">
        <v>249.78</v>
      </c>
      <c r="NB82" s="21" t="n">
        <v>114.746</v>
      </c>
      <c r="NC82" s="21" t="n">
        <v>203.313</v>
      </c>
      <c r="ND82" s="21" t="n">
        <v>168.472</v>
      </c>
      <c r="NE82" s="21" t="n">
        <v>165.071</v>
      </c>
      <c r="NF82" s="21" t="n">
        <v>156.72</v>
      </c>
      <c r="NG82" s="21" t="n">
        <v>152.127</v>
      </c>
      <c r="NH82" s="21" t="n">
        <v>271.322</v>
      </c>
      <c r="NI82" s="21" t="n">
        <v>120.107</v>
      </c>
      <c r="NJ82" s="21" t="n">
        <v>69.294</v>
      </c>
      <c r="NK82" s="21" t="n">
        <v>116.536</v>
      </c>
      <c r="NL82" s="21" t="n">
        <v>248.228</v>
      </c>
      <c r="NM82" s="21" t="n">
        <v>283.095</v>
      </c>
      <c r="NN82" s="21" t="n">
        <v>97.19</v>
      </c>
      <c r="NO82" s="21" t="n">
        <v>49.288</v>
      </c>
      <c r="NP82" s="21" t="n">
        <v>244.222</v>
      </c>
      <c r="NQ82" s="21" t="n">
        <v>212.84</v>
      </c>
      <c r="NR82" s="21" t="n">
        <v>266.249</v>
      </c>
      <c r="NS82" s="21" t="n">
        <v>209.623</v>
      </c>
      <c r="NT82" s="21" t="n">
        <v>267.867</v>
      </c>
      <c r="NU82" s="21" t="n">
        <v>120.453</v>
      </c>
      <c r="NV82" s="21" t="n">
        <v>133.739</v>
      </c>
      <c r="NW82" s="21" t="n">
        <v>379.144</v>
      </c>
      <c r="NX82" s="21" t="n">
        <v>81.803</v>
      </c>
      <c r="NY82" s="21" t="n">
        <v>131.883</v>
      </c>
      <c r="NZ82" s="21" t="n">
        <v>352.081</v>
      </c>
      <c r="OA82" s="21" t="n">
        <v>343.892</v>
      </c>
      <c r="OB82" s="21" t="n">
        <v>355.962</v>
      </c>
      <c r="OC82" s="21" t="n">
        <v>326.567</v>
      </c>
      <c r="OD82" s="21" t="n">
        <v>361.09</v>
      </c>
      <c r="OE82" s="21" t="n">
        <v>125.181</v>
      </c>
      <c r="OF82" s="21" t="n">
        <v>321.673</v>
      </c>
      <c r="OG82" s="21" t="n">
        <v>229.568</v>
      </c>
      <c r="OH82" s="21" t="n">
        <v>37.856</v>
      </c>
      <c r="OI82" s="21" t="n">
        <v>138.795</v>
      </c>
      <c r="OJ82" s="21" t="n">
        <v>36.5</v>
      </c>
      <c r="OK82" s="21" t="n">
        <v>12.2</v>
      </c>
    </row>
    <row r="83">
      <c r="A83" s="22" t="n">
        <v>44470</v>
      </c>
      <c r="B83" s="21" t="n">
        <v>276.589</v>
      </c>
      <c r="C83" s="21" t="n">
        <v>828.538</v>
      </c>
      <c r="D83" s="21" t="n">
        <v>282.943</v>
      </c>
      <c r="E83" s="21" t="n">
        <v>284.205</v>
      </c>
      <c r="F83" s="21" t="n">
        <v>265.478</v>
      </c>
      <c r="G83" s="21" t="n">
        <v>294.625</v>
      </c>
      <c r="H83" s="21" t="n">
        <v>239.371</v>
      </c>
      <c r="I83" s="21" t="n">
        <v>249.956</v>
      </c>
      <c r="J83" s="21" t="n">
        <v>236.615</v>
      </c>
      <c r="K83" s="21" t="n">
        <v>245.062</v>
      </c>
      <c r="L83" s="21" t="n">
        <v>166.752</v>
      </c>
      <c r="M83" s="21" t="n">
        <v>326.628</v>
      </c>
      <c r="N83" s="21" t="n">
        <v>198.052</v>
      </c>
      <c r="O83" s="21" t="n">
        <v>357.543</v>
      </c>
      <c r="P83" s="21" t="n">
        <v>387.707</v>
      </c>
      <c r="Q83" s="21" t="n">
        <v>195.203</v>
      </c>
      <c r="R83" s="21" t="n">
        <v>305.051</v>
      </c>
      <c r="S83" s="21" t="n">
        <v>329.989</v>
      </c>
      <c r="T83" s="21" t="n">
        <v>282.346</v>
      </c>
      <c r="U83" s="21" t="n">
        <v>291.804</v>
      </c>
      <c r="V83" s="21" t="n">
        <v>329.164</v>
      </c>
      <c r="W83" s="21" t="n">
        <v>338.328</v>
      </c>
      <c r="X83" s="21" t="n">
        <v>287.105</v>
      </c>
      <c r="Y83" s="21" t="n">
        <v>297.377</v>
      </c>
      <c r="Z83" s="21" t="n">
        <v>302.558</v>
      </c>
      <c r="AA83" s="21" t="n">
        <v>314.292</v>
      </c>
      <c r="AB83" s="21" t="n">
        <v>398.898</v>
      </c>
      <c r="AC83" s="21" t="n">
        <v>331.442</v>
      </c>
      <c r="AD83" s="21" t="n">
        <v>320.251</v>
      </c>
      <c r="AE83" s="21" t="n">
        <v>275.127</v>
      </c>
      <c r="AF83" s="21" t="n">
        <v>329.502</v>
      </c>
      <c r="AG83" s="21" t="n">
        <v>262.199</v>
      </c>
      <c r="AH83" s="21" t="n">
        <v>197.371</v>
      </c>
      <c r="AI83" s="21" t="n">
        <v>382.958</v>
      </c>
      <c r="AJ83" s="21" t="n">
        <v>169.191</v>
      </c>
      <c r="AK83" s="21" t="n">
        <v>236.034</v>
      </c>
      <c r="AL83" s="21" t="n">
        <v>264.649</v>
      </c>
      <c r="AM83" s="21" t="n">
        <v>236.503</v>
      </c>
      <c r="AN83" s="21" t="n">
        <v>163.543</v>
      </c>
      <c r="AO83" s="21" t="n">
        <v>246.114</v>
      </c>
      <c r="AP83" s="21" t="n">
        <v>252.337</v>
      </c>
      <c r="AQ83" s="21" t="n">
        <v>157.588</v>
      </c>
      <c r="AR83" s="21" t="n"/>
      <c r="AS83" s="21" t="n"/>
      <c r="AT83" s="21" t="n">
        <v>265.358</v>
      </c>
      <c r="AU83" s="21" t="n">
        <v>171.628</v>
      </c>
      <c r="AV83" s="21" t="n">
        <v>275.654</v>
      </c>
      <c r="AW83" s="21" t="n">
        <v>258.894</v>
      </c>
      <c r="AX83" s="21" t="n">
        <v>169.022</v>
      </c>
      <c r="AY83" s="21" t="n">
        <v>334.283</v>
      </c>
      <c r="AZ83" s="21" t="n">
        <v>214.998</v>
      </c>
      <c r="BA83" s="21" t="n">
        <v>161.113</v>
      </c>
      <c r="BB83" s="21" t="n">
        <v>224.778</v>
      </c>
      <c r="BC83" s="21" t="n">
        <v>338.805</v>
      </c>
      <c r="BD83" s="21" t="n">
        <v>229.61</v>
      </c>
      <c r="BE83" s="21" t="n">
        <v>233.168</v>
      </c>
      <c r="BF83" s="21" t="n">
        <v>155.562</v>
      </c>
      <c r="BG83" s="21" t="n">
        <v>227.465</v>
      </c>
      <c r="BH83" s="21" t="n">
        <v>158.922</v>
      </c>
      <c r="BI83" s="21" t="n">
        <v>241.554</v>
      </c>
      <c r="BJ83" s="21" t="n">
        <v>237.133</v>
      </c>
      <c r="BK83" s="21" t="n">
        <v>153.767</v>
      </c>
      <c r="BL83" s="21" t="n">
        <v>318.316</v>
      </c>
      <c r="BM83" s="21" t="n">
        <v>368.158</v>
      </c>
      <c r="BN83" s="21" t="n">
        <v>379.316</v>
      </c>
      <c r="BO83" s="21" t="n">
        <v>344.025</v>
      </c>
      <c r="BP83" s="21" t="n">
        <v>196.264</v>
      </c>
      <c r="BQ83" s="21" t="n">
        <v>276.628</v>
      </c>
      <c r="BR83" s="21" t="n">
        <v>543.454</v>
      </c>
      <c r="BS83" s="21" t="n">
        <v>126.326</v>
      </c>
      <c r="BT83" s="21" t="n">
        <v>355.061</v>
      </c>
      <c r="BU83" s="21" t="n">
        <v>386.414</v>
      </c>
      <c r="BV83" s="21" t="n">
        <v>353.471</v>
      </c>
      <c r="BW83" s="21" t="n">
        <v>353.868</v>
      </c>
      <c r="BX83" s="21" t="n">
        <v>351.578</v>
      </c>
      <c r="BY83" s="21" t="n">
        <v>168.057</v>
      </c>
      <c r="BZ83" s="21" t="n">
        <v>177.396</v>
      </c>
      <c r="CA83" s="21" t="n">
        <v>168.294</v>
      </c>
      <c r="CB83" s="21" t="n">
        <v>190.816</v>
      </c>
      <c r="CC83" s="21" t="n">
        <v>154.844</v>
      </c>
      <c r="CD83" s="21" t="n">
        <v>208.218</v>
      </c>
      <c r="CE83" s="21" t="n">
        <v>161.913</v>
      </c>
      <c r="CF83" s="21" t="n">
        <v>197.269</v>
      </c>
      <c r="CG83" s="21" t="n">
        <v>186.387</v>
      </c>
      <c r="CH83" s="21" t="n">
        <v>147.34</v>
      </c>
      <c r="CI83" s="21" t="n">
        <v>191.728</v>
      </c>
      <c r="CJ83" s="21" t="n">
        <v>183.574</v>
      </c>
      <c r="CK83" s="21" t="n">
        <v>130.96</v>
      </c>
      <c r="CL83" s="21" t="n">
        <v>123.263</v>
      </c>
      <c r="CM83" s="21" t="n">
        <v>205.241</v>
      </c>
      <c r="CN83" s="21" t="n">
        <v>215.793</v>
      </c>
      <c r="CO83" s="21" t="n">
        <v>191.71</v>
      </c>
      <c r="CP83" s="21" t="n">
        <v>136.396</v>
      </c>
      <c r="CQ83" s="21" t="n">
        <v>227.701</v>
      </c>
      <c r="CR83" s="21" t="n">
        <v>235.383</v>
      </c>
      <c r="CS83" s="21" t="n">
        <v>214.923</v>
      </c>
      <c r="CT83" s="21" t="n">
        <v>158.966</v>
      </c>
      <c r="CU83" s="21" t="n">
        <v>161.854</v>
      </c>
      <c r="CV83" s="21" t="n">
        <v>247.859</v>
      </c>
      <c r="CW83" s="21" t="n">
        <v>214.128</v>
      </c>
      <c r="CX83" s="21" t="n">
        <v>252.322</v>
      </c>
      <c r="CY83" s="21" t="n">
        <v>322.1</v>
      </c>
      <c r="CZ83" s="21" t="n">
        <v>141.447</v>
      </c>
      <c r="DA83" s="21" t="n">
        <v>176.093</v>
      </c>
      <c r="DB83" s="21" t="n">
        <v>173.364</v>
      </c>
      <c r="DC83" s="21" t="n">
        <v>242.853</v>
      </c>
      <c r="DD83" s="21" t="n">
        <v>261.713</v>
      </c>
      <c r="DE83" s="21" t="n">
        <v>180.914</v>
      </c>
      <c r="DF83" s="21" t="n">
        <v>270.643</v>
      </c>
      <c r="DG83" s="21" t="n">
        <v>258.559</v>
      </c>
      <c r="DH83" s="21" t="n">
        <v>163.918</v>
      </c>
      <c r="DI83" s="21" t="n">
        <v>153.532</v>
      </c>
      <c r="DJ83" s="21" t="n">
        <v>149.626</v>
      </c>
      <c r="DK83" s="21" t="n">
        <v>290.816</v>
      </c>
      <c r="DL83" s="21" t="n">
        <v>185.45</v>
      </c>
      <c r="DM83" s="21" t="n">
        <v>143.576</v>
      </c>
      <c r="DN83" s="21" t="n">
        <v>138.107</v>
      </c>
      <c r="DO83" s="21" t="n">
        <v>313.592</v>
      </c>
      <c r="DP83" s="21" t="n">
        <v>194.003</v>
      </c>
      <c r="DQ83" s="21" t="n">
        <v>207.453</v>
      </c>
      <c r="DR83" s="21" t="n">
        <v>96.402</v>
      </c>
      <c r="DS83" s="21" t="n">
        <v>58.952</v>
      </c>
      <c r="DT83" s="21" t="n">
        <v>181.046</v>
      </c>
      <c r="DU83" s="21" t="n">
        <v>210.568</v>
      </c>
      <c r="DV83" s="21" t="n">
        <v>264.748</v>
      </c>
      <c r="DW83" s="21" t="n">
        <v>213.596</v>
      </c>
      <c r="DX83" s="21" t="n">
        <v>243.325</v>
      </c>
      <c r="DY83" s="21" t="n">
        <v>204.511</v>
      </c>
      <c r="DZ83" s="21" t="n">
        <v>215.554</v>
      </c>
      <c r="EA83" s="21" t="n">
        <v>201.459</v>
      </c>
      <c r="EB83" s="21" t="n">
        <v>174.691</v>
      </c>
      <c r="EC83" s="21" t="n">
        <v>377.016</v>
      </c>
      <c r="ED83" s="21" t="n">
        <v>184.245</v>
      </c>
      <c r="EE83" s="21" t="n">
        <v>202.345</v>
      </c>
      <c r="EF83" s="21" t="n">
        <v>208.311</v>
      </c>
      <c r="EG83" s="21" t="n">
        <v>285.31</v>
      </c>
      <c r="EH83" s="21" t="n">
        <v>338.671</v>
      </c>
      <c r="EI83" s="21" t="n">
        <v>352.892</v>
      </c>
      <c r="EJ83" s="21" t="n">
        <v>169.076</v>
      </c>
      <c r="EK83" s="21" t="n">
        <v>593.272</v>
      </c>
      <c r="EL83" s="21" t="n">
        <v>344.218</v>
      </c>
      <c r="EM83" s="21" t="n">
        <v>347.522</v>
      </c>
      <c r="EN83" s="21" t="n">
        <v>347.535</v>
      </c>
      <c r="EO83" s="21" t="n">
        <v>150.535</v>
      </c>
      <c r="EP83" s="21" t="n">
        <v>270.577</v>
      </c>
      <c r="EQ83" s="21" t="n">
        <v>225.447</v>
      </c>
      <c r="ER83" s="21" t="n">
        <v>337.245</v>
      </c>
      <c r="ES83" s="21" t="n">
        <v>322.736</v>
      </c>
      <c r="ET83" s="21" t="n">
        <v>427.579</v>
      </c>
      <c r="EU83" s="21" t="n">
        <v>228.484</v>
      </c>
      <c r="EV83" s="21" t="n">
        <v>229.641</v>
      </c>
      <c r="EW83" s="21" t="n">
        <v>220.668</v>
      </c>
      <c r="EX83" s="21" t="n">
        <v>264.278</v>
      </c>
      <c r="EY83" s="21" t="n">
        <v>609.5410000000001</v>
      </c>
      <c r="EZ83" s="21" t="n">
        <v>530.114</v>
      </c>
      <c r="FA83" s="21" t="n">
        <v>134.745</v>
      </c>
      <c r="FB83" s="21" t="n">
        <v>59.744</v>
      </c>
      <c r="FC83" s="21" t="n">
        <v>116.608</v>
      </c>
      <c r="FD83" s="21" t="n">
        <v>71.747</v>
      </c>
      <c r="FE83" s="21" t="n">
        <v>44.691</v>
      </c>
      <c r="FF83" s="21" t="n">
        <v>128.263</v>
      </c>
      <c r="FG83" s="21" t="n">
        <v>142.313</v>
      </c>
      <c r="FH83" s="21" t="n">
        <v>100.898</v>
      </c>
      <c r="FI83" s="21" t="n">
        <v>79.093</v>
      </c>
      <c r="FJ83" s="21" t="n"/>
      <c r="FK83" s="21" t="n">
        <v>86.523</v>
      </c>
      <c r="FL83" s="21" t="n">
        <v>99.205</v>
      </c>
      <c r="FM83" s="21" t="n">
        <v>114.162</v>
      </c>
      <c r="FN83" s="21" t="n">
        <v>72.776</v>
      </c>
      <c r="FO83" s="21" t="n">
        <v>51.919</v>
      </c>
      <c r="FP83" s="21" t="n">
        <v>38.117</v>
      </c>
      <c r="FQ83" s="21" t="n">
        <v>140.538</v>
      </c>
      <c r="FR83" s="21" t="n">
        <v>45.133</v>
      </c>
      <c r="FS83" s="21" t="n">
        <v>82.447</v>
      </c>
      <c r="FT83" s="21" t="n">
        <v>99.181</v>
      </c>
      <c r="FU83" s="21" t="n">
        <v>106.507</v>
      </c>
      <c r="FV83" s="21" t="n">
        <v>95.905</v>
      </c>
      <c r="FW83" s="21" t="n">
        <v>201.313</v>
      </c>
      <c r="FX83" s="21" t="n">
        <v>128.109</v>
      </c>
      <c r="FY83" s="21" t="n">
        <v>196.441</v>
      </c>
      <c r="FZ83" s="21" t="n">
        <v>121.26</v>
      </c>
      <c r="GA83" s="21" t="n">
        <v>216.24</v>
      </c>
      <c r="GB83" s="21" t="n">
        <v>190.481</v>
      </c>
      <c r="GC83" s="21" t="n">
        <v>227.047</v>
      </c>
      <c r="GD83" s="21" t="n">
        <v>195.817</v>
      </c>
      <c r="GE83" s="21" t="n"/>
      <c r="GF83" s="21" t="n">
        <v>124.323</v>
      </c>
      <c r="GG83" s="21" t="n">
        <v>119.422</v>
      </c>
      <c r="GH83" s="21" t="n">
        <v>121.596</v>
      </c>
      <c r="GI83" s="21" t="n">
        <v>97.73399999999999</v>
      </c>
      <c r="GJ83" s="21" t="n">
        <v>170.986</v>
      </c>
      <c r="GK83" s="21" t="n">
        <v>74.598</v>
      </c>
      <c r="GL83" s="21" t="n">
        <v>121.52</v>
      </c>
      <c r="GM83" s="21" t="n">
        <v>108.897</v>
      </c>
      <c r="GN83" s="21" t="n">
        <v>103.96</v>
      </c>
      <c r="GO83" s="21" t="n">
        <v>105.143</v>
      </c>
      <c r="GP83" s="21" t="n">
        <v>105.178</v>
      </c>
      <c r="GQ83" s="21" t="n">
        <v>110.018</v>
      </c>
      <c r="GR83" s="21" t="n">
        <v>71.47</v>
      </c>
      <c r="GS83" s="21" t="n">
        <v>103.083</v>
      </c>
      <c r="GT83" s="21" t="n">
        <v>97.898</v>
      </c>
      <c r="GU83" s="21" t="n">
        <v>141.31</v>
      </c>
      <c r="GV83" s="21" t="n">
        <v>146.22</v>
      </c>
      <c r="GW83" s="21" t="n">
        <v>162.369</v>
      </c>
      <c r="GX83" s="21" t="n">
        <v>127.389</v>
      </c>
      <c r="GY83" s="21" t="n">
        <v>118.341</v>
      </c>
      <c r="GZ83" s="21" t="n">
        <v>184.24</v>
      </c>
      <c r="HA83" s="21" t="n">
        <v>147.534</v>
      </c>
      <c r="HB83" s="21" t="n">
        <v>183.358</v>
      </c>
      <c r="HC83" s="21" t="n">
        <v>241.042</v>
      </c>
      <c r="HD83" s="21" t="n">
        <v>241.413</v>
      </c>
      <c r="HE83" s="21" t="n">
        <v>120.192</v>
      </c>
      <c r="HF83" s="21" t="n">
        <v>162.527</v>
      </c>
      <c r="HG83" s="21" t="n">
        <v>112.672</v>
      </c>
      <c r="HH83" s="21" t="n">
        <v>157.55</v>
      </c>
      <c r="HI83" s="21" t="n">
        <v>173.7</v>
      </c>
      <c r="HJ83" s="21" t="n"/>
      <c r="HK83" s="21" t="n">
        <v>195.213</v>
      </c>
      <c r="HL83" s="21" t="n"/>
      <c r="HM83" s="21" t="n">
        <v>198.085</v>
      </c>
      <c r="HN83" s="21" t="n">
        <v>289.665</v>
      </c>
      <c r="HO83" s="21" t="n">
        <v>288.501</v>
      </c>
      <c r="HP83" s="21" t="n">
        <v>283.437</v>
      </c>
      <c r="HQ83" s="21" t="n">
        <v>309.121</v>
      </c>
      <c r="HR83" s="21" t="n">
        <v>300.016</v>
      </c>
      <c r="HS83" s="21" t="n">
        <v>259.72</v>
      </c>
      <c r="HT83" s="21" t="n">
        <v>160.727</v>
      </c>
      <c r="HU83" s="21" t="n">
        <v>137.005</v>
      </c>
      <c r="HV83" s="21" t="n">
        <v>192.939</v>
      </c>
      <c r="HW83" s="21" t="n">
        <v>179.351</v>
      </c>
      <c r="HX83" s="21" t="n">
        <v>425.765</v>
      </c>
      <c r="HY83" s="21" t="n">
        <v>325.095</v>
      </c>
      <c r="HZ83" s="21" t="n">
        <v>351.035</v>
      </c>
      <c r="IA83" s="21" t="n">
        <v>294.186</v>
      </c>
      <c r="IB83" s="21" t="n">
        <v>198.456</v>
      </c>
      <c r="IC83" s="21" t="n">
        <v>564.5069999999999</v>
      </c>
      <c r="ID83" s="21" t="n">
        <v>198.275</v>
      </c>
      <c r="IE83" s="21" t="n">
        <v>186.569</v>
      </c>
      <c r="IF83" s="21" t="n">
        <v>217.141</v>
      </c>
      <c r="IG83" s="21" t="n">
        <v>249.743</v>
      </c>
      <c r="IH83" s="21" t="n"/>
      <c r="II83" s="21" t="n">
        <v>222.577</v>
      </c>
      <c r="IJ83" s="21" t="n">
        <v>205.994</v>
      </c>
      <c r="IK83" s="21" t="n">
        <v>158.209</v>
      </c>
      <c r="IL83" s="21" t="n"/>
      <c r="IM83" s="21" t="n"/>
      <c r="IN83" s="21" t="n">
        <v>62.715</v>
      </c>
      <c r="IO83" s="21" t="n">
        <v>321.476</v>
      </c>
      <c r="IP83" s="21" t="n">
        <v>126.965</v>
      </c>
      <c r="IQ83" s="21" t="n">
        <v>527.564</v>
      </c>
      <c r="IR83" s="21" t="n">
        <v>379.003</v>
      </c>
      <c r="IS83" s="21" t="n">
        <v>124.232</v>
      </c>
      <c r="IT83" s="21" t="n">
        <v>523.862</v>
      </c>
      <c r="IU83" s="21" t="n">
        <v>96.887</v>
      </c>
      <c r="IV83" s="21" t="n">
        <v>97.624</v>
      </c>
      <c r="IW83" s="21" t="n">
        <v>575.4930000000001</v>
      </c>
      <c r="IX83" s="21" t="n">
        <v>403.378</v>
      </c>
      <c r="IY83" s="21" t="n">
        <v>407.391</v>
      </c>
      <c r="IZ83" s="21" t="n">
        <v>525.795</v>
      </c>
      <c r="JA83" s="21" t="n">
        <v>194.892</v>
      </c>
      <c r="JB83" s="21" t="n">
        <v>248.614</v>
      </c>
      <c r="JC83" s="21" t="n">
        <v>87.545</v>
      </c>
      <c r="JD83" s="21" t="n">
        <v>368.593</v>
      </c>
      <c r="JE83" s="21" t="n">
        <v>357.105</v>
      </c>
      <c r="JF83" s="21" t="n">
        <v>800.1319999999999</v>
      </c>
      <c r="JG83" s="21" t="n">
        <v>252.068</v>
      </c>
      <c r="JH83" s="21" t="n">
        <v>140.678</v>
      </c>
      <c r="JI83" s="21" t="n">
        <v>169.54</v>
      </c>
      <c r="JJ83" s="21" t="n">
        <v>127.301</v>
      </c>
      <c r="JK83" s="21" t="n">
        <v>111.704</v>
      </c>
      <c r="JL83" s="21" t="n">
        <v>145.072</v>
      </c>
      <c r="JM83" s="21" t="n">
        <v>527.003</v>
      </c>
      <c r="JN83" s="21" t="n">
        <v>122.515</v>
      </c>
      <c r="JO83" s="21" t="n">
        <v>67.22</v>
      </c>
      <c r="JP83" s="21" t="n">
        <v>33.124</v>
      </c>
      <c r="JQ83" s="21" t="n">
        <v>140.102</v>
      </c>
      <c r="JR83" s="21" t="n">
        <v>25.34</v>
      </c>
      <c r="JS83" s="21" t="n">
        <v>79.95399999999999</v>
      </c>
      <c r="JT83" s="21" t="n">
        <v>186.424</v>
      </c>
      <c r="JU83" s="21" t="n">
        <v>206.487</v>
      </c>
      <c r="JV83" s="21" t="n">
        <v>157.035</v>
      </c>
      <c r="JW83" s="21" t="n">
        <v>118.61</v>
      </c>
      <c r="JX83" s="21" t="n">
        <v>276.029</v>
      </c>
      <c r="JY83" s="21" t="n">
        <v>213.355</v>
      </c>
      <c r="JZ83" s="21" t="n">
        <v>290.044</v>
      </c>
      <c r="KA83" s="21" t="n">
        <v>124.886</v>
      </c>
      <c r="KB83" s="21" t="n">
        <v>174.922</v>
      </c>
      <c r="KC83" s="21" t="n">
        <v>83.399</v>
      </c>
      <c r="KD83" s="21" t="n">
        <v>77.827</v>
      </c>
      <c r="KE83" s="21" t="n">
        <v>59.668</v>
      </c>
      <c r="KF83" s="21" t="n"/>
      <c r="KG83" s="21" t="n">
        <v>25.094</v>
      </c>
      <c r="KH83" s="21" t="n">
        <v>123.495</v>
      </c>
      <c r="KI83" s="21" t="n"/>
      <c r="KJ83" s="21" t="n"/>
      <c r="KK83" s="21" t="n">
        <v>33.379</v>
      </c>
      <c r="KL83" s="21" t="n">
        <v>28.873</v>
      </c>
      <c r="KM83" s="21" t="n">
        <v>37.538</v>
      </c>
      <c r="KN83" s="21" t="n"/>
      <c r="KO83" s="21" t="n">
        <v>96.018</v>
      </c>
      <c r="KP83" s="21" t="n">
        <v>108.802</v>
      </c>
      <c r="KQ83" s="21" t="n">
        <v>181.01</v>
      </c>
      <c r="KR83" s="21" t="n">
        <v>146.754</v>
      </c>
      <c r="KS83" s="21" t="n">
        <v>418.1</v>
      </c>
      <c r="KT83" s="21" t="n">
        <v>196.023</v>
      </c>
      <c r="KU83" s="21" t="n">
        <v>248.438</v>
      </c>
      <c r="KV83" s="21" t="n">
        <v>341.557</v>
      </c>
      <c r="KW83" s="21" t="n">
        <v>274.424</v>
      </c>
      <c r="KX83" s="21" t="n">
        <v>208.246</v>
      </c>
      <c r="KY83" s="21" t="n">
        <v>97.84</v>
      </c>
      <c r="KZ83" s="21" t="n">
        <v>143.974</v>
      </c>
      <c r="LA83" s="21" t="n">
        <v>278.047</v>
      </c>
      <c r="LB83" s="21" t="n">
        <v>685.851</v>
      </c>
      <c r="LC83" s="21" t="n">
        <v>235.351</v>
      </c>
      <c r="LD83" s="21" t="n">
        <v>799.1660000000001</v>
      </c>
      <c r="LE83" s="21" t="n">
        <v>896.77</v>
      </c>
      <c r="LF83" s="21" t="n">
        <v>87.97499999999999</v>
      </c>
      <c r="LG83" s="21" t="n">
        <v>322.356</v>
      </c>
      <c r="LH83" s="21" t="n">
        <v>265.216</v>
      </c>
      <c r="LI83" s="21" t="n">
        <v>76.39100000000001</v>
      </c>
      <c r="LJ83" s="21" t="n">
        <v>217.775</v>
      </c>
      <c r="LK83" s="21" t="n">
        <v>343.466</v>
      </c>
      <c r="LL83" s="21" t="n">
        <v>342.949</v>
      </c>
      <c r="LM83" s="21" t="n">
        <v>72.06999999999999</v>
      </c>
      <c r="LN83" s="21" t="n">
        <v>94.795</v>
      </c>
      <c r="LO83" s="21" t="n">
        <v>48.176</v>
      </c>
      <c r="LP83" s="21" t="n">
        <v>138.884</v>
      </c>
      <c r="LQ83" s="21" t="n"/>
      <c r="LR83" s="21" t="n"/>
      <c r="LS83" s="21" t="n">
        <v>110.742</v>
      </c>
      <c r="LT83" s="21" t="n">
        <v>40.31</v>
      </c>
      <c r="LU83" s="21" t="n">
        <v>25.902</v>
      </c>
      <c r="LV83" s="21" t="n">
        <v>80.081</v>
      </c>
      <c r="LW83" s="21" t="n">
        <v>151.774</v>
      </c>
      <c r="LX83" s="21" t="n">
        <v>70.892</v>
      </c>
      <c r="LY83" s="21" t="n">
        <v>483.592</v>
      </c>
      <c r="LZ83" s="21" t="n">
        <v>81.157</v>
      </c>
      <c r="MA83" s="21" t="n">
        <v>531.816</v>
      </c>
      <c r="MB83" s="21" t="n">
        <v>300.842</v>
      </c>
      <c r="MC83" s="21" t="n">
        <v>246.307</v>
      </c>
      <c r="MD83" s="21" t="n">
        <v>160.038</v>
      </c>
      <c r="ME83" s="21" t="n">
        <v>104.304</v>
      </c>
      <c r="MF83" s="21" t="n">
        <v>178.309</v>
      </c>
      <c r="MG83" s="21" t="n">
        <v>299.962</v>
      </c>
      <c r="MH83" s="21" t="n">
        <v>183.026</v>
      </c>
      <c r="MI83" s="21" t="n">
        <v>474.208</v>
      </c>
      <c r="MJ83" s="21" t="n">
        <v>384.455</v>
      </c>
      <c r="MK83" s="21" t="n">
        <v>349.997</v>
      </c>
      <c r="ML83" s="21" t="n">
        <v>193.065</v>
      </c>
      <c r="MM83" s="21" t="n">
        <v>214.124</v>
      </c>
      <c r="MN83" s="21" t="n">
        <v>376.184</v>
      </c>
      <c r="MO83" s="21" t="n">
        <v>171.288</v>
      </c>
      <c r="MP83" s="21" t="n"/>
      <c r="MQ83" s="21" t="n">
        <v>78.449</v>
      </c>
      <c r="MR83" s="21" t="n">
        <v>166.672</v>
      </c>
      <c r="MS83" s="21" t="n"/>
      <c r="MT83" s="21" t="n">
        <v>264.53</v>
      </c>
      <c r="MU83" s="21" t="n">
        <v>281.238</v>
      </c>
      <c r="MV83" s="21" t="n">
        <v>275.379</v>
      </c>
      <c r="MW83" s="21" t="n">
        <v>281.617</v>
      </c>
      <c r="MX83" s="21" t="n">
        <v>255.337</v>
      </c>
      <c r="MY83" s="21" t="n">
        <v>247.875</v>
      </c>
      <c r="MZ83" s="21" t="n">
        <v>249.864</v>
      </c>
      <c r="NA83" s="21" t="n">
        <v>251.429</v>
      </c>
      <c r="NB83" s="21" t="n">
        <v>115.803</v>
      </c>
      <c r="NC83" s="21" t="n">
        <v>206.134</v>
      </c>
      <c r="ND83" s="21" t="n">
        <v>171.217</v>
      </c>
      <c r="NE83" s="21" t="n">
        <v>167.881</v>
      </c>
      <c r="NF83" s="21" t="n">
        <v>158.55</v>
      </c>
      <c r="NG83" s="21" t="n">
        <v>153.483</v>
      </c>
      <c r="NH83" s="21" t="n">
        <v>274.278</v>
      </c>
      <c r="NI83" s="21" t="n">
        <v>122.097</v>
      </c>
      <c r="NJ83" s="21" t="n">
        <v>68.80800000000001</v>
      </c>
      <c r="NK83" s="21" t="n">
        <v>116.748</v>
      </c>
      <c r="NL83" s="21" t="n">
        <v>255.338</v>
      </c>
      <c r="NM83" s="21" t="n">
        <v>294.326</v>
      </c>
      <c r="NN83" s="21" t="n">
        <v>98.227</v>
      </c>
      <c r="NO83" s="21" t="n">
        <v>48.832</v>
      </c>
      <c r="NP83" s="21" t="n">
        <v>247.33</v>
      </c>
      <c r="NQ83" s="21" t="n">
        <v>216.257</v>
      </c>
      <c r="NR83" s="21" t="n">
        <v>271.121</v>
      </c>
      <c r="NS83" s="21" t="n">
        <v>213.281</v>
      </c>
      <c r="NT83" s="21" t="n">
        <v>273.316</v>
      </c>
      <c r="NU83" s="21" t="n">
        <v>121.924</v>
      </c>
      <c r="NV83" s="21" t="n">
        <v>134.432</v>
      </c>
      <c r="NW83" s="21" t="n">
        <v>380.812</v>
      </c>
      <c r="NX83" s="21" t="n">
        <v>82.136</v>
      </c>
      <c r="NY83" s="21" t="n">
        <v>132.976</v>
      </c>
      <c r="NZ83" s="21" t="n">
        <v>353.377</v>
      </c>
      <c r="OA83" s="21" t="n">
        <v>345.54</v>
      </c>
      <c r="OB83" s="21" t="n">
        <v>357.469</v>
      </c>
      <c r="OC83" s="21" t="n">
        <v>328.118</v>
      </c>
      <c r="OD83" s="21" t="n">
        <v>363.265</v>
      </c>
      <c r="OE83" s="21" t="n">
        <v>127.614</v>
      </c>
      <c r="OF83" s="21" t="n">
        <v>323.903</v>
      </c>
      <c r="OG83" s="21" t="n">
        <v>231.301</v>
      </c>
      <c r="OH83" s="21" t="n">
        <v>37.593</v>
      </c>
      <c r="OI83" s="21" t="n">
        <v>138.679</v>
      </c>
      <c r="OJ83" s="21" t="n">
        <v>36.2</v>
      </c>
      <c r="OK83" s="21" t="n">
        <v>12.1</v>
      </c>
    </row>
    <row r="84">
      <c r="A84" s="22" t="n">
        <v>44501</v>
      </c>
      <c r="B84" s="21" t="n">
        <v>277.948</v>
      </c>
      <c r="C84" s="21" t="n">
        <v>832.609</v>
      </c>
      <c r="D84" s="21" t="n">
        <v>284.168</v>
      </c>
      <c r="E84" s="21" t="n">
        <v>285.507</v>
      </c>
      <c r="F84" s="21" t="n">
        <v>266.384</v>
      </c>
      <c r="G84" s="21" t="n">
        <v>295.909</v>
      </c>
      <c r="H84" s="21" t="n">
        <v>241.091</v>
      </c>
      <c r="I84" s="21" t="n">
        <v>246.663</v>
      </c>
      <c r="J84" s="21" t="n">
        <v>238.343</v>
      </c>
      <c r="K84" s="21" t="n">
        <v>248.552</v>
      </c>
      <c r="L84" s="21" t="n">
        <v>169.238</v>
      </c>
      <c r="M84" s="21" t="n">
        <v>327.648</v>
      </c>
      <c r="N84" s="21" t="n">
        <v>200.415</v>
      </c>
      <c r="O84" s="21" t="n">
        <v>362.989</v>
      </c>
      <c r="P84" s="21" t="n">
        <v>391.287</v>
      </c>
      <c r="Q84" s="21" t="n">
        <v>197.481</v>
      </c>
      <c r="R84" s="21" t="n">
        <v>305.434</v>
      </c>
      <c r="S84" s="21" t="n">
        <v>331.511</v>
      </c>
      <c r="T84" s="21" t="n">
        <v>280.956</v>
      </c>
      <c r="U84" s="21" t="n">
        <v>289.684</v>
      </c>
      <c r="V84" s="21" t="n">
        <v>340.701</v>
      </c>
      <c r="W84" s="21" t="n">
        <v>330.866</v>
      </c>
      <c r="X84" s="21" t="n">
        <v>283.982</v>
      </c>
      <c r="Y84" s="21" t="n">
        <v>299.228</v>
      </c>
      <c r="Z84" s="21" t="n">
        <v>304.876</v>
      </c>
      <c r="AA84" s="21" t="n">
        <v>316.52</v>
      </c>
      <c r="AB84" s="21" t="n">
        <v>401.107</v>
      </c>
      <c r="AC84" s="21" t="n">
        <v>334.337</v>
      </c>
      <c r="AD84" s="21" t="n">
        <v>325.982</v>
      </c>
      <c r="AE84" s="21" t="n">
        <v>273.276</v>
      </c>
      <c r="AF84" s="21" t="n">
        <v>337.584</v>
      </c>
      <c r="AG84" s="21" t="n">
        <v>263.869</v>
      </c>
      <c r="AH84" s="21" t="n">
        <v>197.752</v>
      </c>
      <c r="AI84" s="21" t="n">
        <v>385.413</v>
      </c>
      <c r="AJ84" s="21" t="n">
        <v>168.546</v>
      </c>
      <c r="AK84" s="21" t="n">
        <v>231.732</v>
      </c>
      <c r="AL84" s="21" t="n">
        <v>259.582</v>
      </c>
      <c r="AM84" s="21" t="n">
        <v>236.883</v>
      </c>
      <c r="AN84" s="21" t="n">
        <v>169.605</v>
      </c>
      <c r="AO84" s="21" t="n">
        <v>249.038</v>
      </c>
      <c r="AP84" s="21" t="n">
        <v>258.293</v>
      </c>
      <c r="AQ84" s="21" t="n">
        <v>159.12</v>
      </c>
      <c r="AR84" s="21" t="n"/>
      <c r="AS84" s="21" t="n"/>
      <c r="AT84" s="21" t="n">
        <v>267.483</v>
      </c>
      <c r="AU84" s="21" t="n">
        <v>174.031</v>
      </c>
      <c r="AV84" s="21" t="n">
        <v>279.318</v>
      </c>
      <c r="AW84" s="21" t="n">
        <v>262.8</v>
      </c>
      <c r="AX84" s="21" t="n">
        <v>165.79</v>
      </c>
      <c r="AY84" s="21" t="n">
        <v>337.47</v>
      </c>
      <c r="AZ84" s="21" t="n">
        <v>214.629</v>
      </c>
      <c r="BA84" s="21" t="n">
        <v>164.597</v>
      </c>
      <c r="BB84" s="21" t="n">
        <v>227.276</v>
      </c>
      <c r="BC84" s="21" t="n">
        <v>350.308</v>
      </c>
      <c r="BD84" s="21" t="n">
        <v>225.386</v>
      </c>
      <c r="BE84" s="21" t="n">
        <v>233.157</v>
      </c>
      <c r="BF84" s="21" t="n">
        <v>157.118</v>
      </c>
      <c r="BG84" s="21" t="n">
        <v>230.717</v>
      </c>
      <c r="BH84" s="21" t="n">
        <v>160.316</v>
      </c>
      <c r="BI84" s="21" t="n">
        <v>241.573</v>
      </c>
      <c r="BJ84" s="21" t="n">
        <v>233.066</v>
      </c>
      <c r="BK84" s="21" t="n">
        <v>153.505</v>
      </c>
      <c r="BL84" s="21" t="n">
        <v>318.436</v>
      </c>
      <c r="BM84" s="21" t="n">
        <v>369.055</v>
      </c>
      <c r="BN84" s="21" t="n">
        <v>382.267</v>
      </c>
      <c r="BO84" s="21" t="n">
        <v>337.858</v>
      </c>
      <c r="BP84" s="21" t="n">
        <v>199.042</v>
      </c>
      <c r="BQ84" s="21" t="n">
        <v>269.521</v>
      </c>
      <c r="BR84" s="21" t="n">
        <v>526.73</v>
      </c>
      <c r="BS84" s="21" t="n">
        <v>130.522</v>
      </c>
      <c r="BT84" s="21" t="n">
        <v>353.869</v>
      </c>
      <c r="BU84" s="21" t="n">
        <v>350.548</v>
      </c>
      <c r="BV84" s="21" t="n">
        <v>378.033</v>
      </c>
      <c r="BW84" s="21" t="n">
        <v>361.717</v>
      </c>
      <c r="BX84" s="21" t="n">
        <v>350.993</v>
      </c>
      <c r="BY84" s="21" t="n">
        <v>166.849</v>
      </c>
      <c r="BZ84" s="21" t="n">
        <v>175.229</v>
      </c>
      <c r="CA84" s="21" t="n">
        <v>164.018</v>
      </c>
      <c r="CB84" s="21" t="n">
        <v>189.81</v>
      </c>
      <c r="CC84" s="21" t="n">
        <v>154.305</v>
      </c>
      <c r="CD84" s="21" t="n">
        <v>206.821</v>
      </c>
      <c r="CE84" s="21" t="n">
        <v>162.161</v>
      </c>
      <c r="CF84" s="21" t="n">
        <v>203.39</v>
      </c>
      <c r="CG84" s="21" t="n">
        <v>185.119</v>
      </c>
      <c r="CH84" s="21" t="n">
        <v>146.353</v>
      </c>
      <c r="CI84" s="21" t="n">
        <v>189.704</v>
      </c>
      <c r="CJ84" s="21" t="n">
        <v>182.845</v>
      </c>
      <c r="CK84" s="21" t="n">
        <v>130.46</v>
      </c>
      <c r="CL84" s="21" t="n">
        <v>122.392</v>
      </c>
      <c r="CM84" s="21" t="n">
        <v>204.578</v>
      </c>
      <c r="CN84" s="21" t="n">
        <v>214.241</v>
      </c>
      <c r="CO84" s="21" t="n">
        <v>191.804</v>
      </c>
      <c r="CP84" s="21" t="n">
        <v>134.459</v>
      </c>
      <c r="CQ84" s="21" t="n">
        <v>229.643</v>
      </c>
      <c r="CR84" s="21" t="n">
        <v>238.492</v>
      </c>
      <c r="CS84" s="21" t="n">
        <v>211.673</v>
      </c>
      <c r="CT84" s="21" t="n">
        <v>161.318</v>
      </c>
      <c r="CU84" s="21" t="n">
        <v>166.445</v>
      </c>
      <c r="CV84" s="21" t="n">
        <v>247.314</v>
      </c>
      <c r="CW84" s="21" t="n">
        <v>207.891</v>
      </c>
      <c r="CX84" s="21" t="n">
        <v>242.89</v>
      </c>
      <c r="CY84" s="21" t="n">
        <v>314.166</v>
      </c>
      <c r="CZ84" s="21" t="n">
        <v>141.697</v>
      </c>
      <c r="DA84" s="21" t="n">
        <v>178.202</v>
      </c>
      <c r="DB84" s="21" t="n">
        <v>174.905</v>
      </c>
      <c r="DC84" s="21" t="n">
        <v>245.111</v>
      </c>
      <c r="DD84" s="21" t="n">
        <v>257.91</v>
      </c>
      <c r="DE84" s="21" t="n">
        <v>183.599</v>
      </c>
      <c r="DF84" s="21" t="n">
        <v>275.042</v>
      </c>
      <c r="DG84" s="21" t="n">
        <v>260.46</v>
      </c>
      <c r="DH84" s="21" t="n">
        <v>166.822</v>
      </c>
      <c r="DI84" s="21" t="n">
        <v>156.702</v>
      </c>
      <c r="DJ84" s="21" t="n">
        <v>149.097</v>
      </c>
      <c r="DK84" s="21" t="n">
        <v>295.35</v>
      </c>
      <c r="DL84" s="21" t="n">
        <v>186.108</v>
      </c>
      <c r="DM84" s="21" t="n">
        <v>144.642</v>
      </c>
      <c r="DN84" s="21" t="n">
        <v>141.258</v>
      </c>
      <c r="DO84" s="21" t="n">
        <v>315.481</v>
      </c>
      <c r="DP84" s="21" t="n">
        <v>194.875</v>
      </c>
      <c r="DQ84" s="21" t="n">
        <v>209.483</v>
      </c>
      <c r="DR84" s="21" t="n">
        <v>91.11</v>
      </c>
      <c r="DS84" s="21" t="n">
        <v>54.044</v>
      </c>
      <c r="DT84" s="21" t="n">
        <v>181.475</v>
      </c>
      <c r="DU84" s="21" t="n">
        <v>210.521</v>
      </c>
      <c r="DV84" s="21" t="n">
        <v>264.957</v>
      </c>
      <c r="DW84" s="21" t="n">
        <v>213.675</v>
      </c>
      <c r="DX84" s="21" t="n">
        <v>243.783</v>
      </c>
      <c r="DY84" s="21" t="n">
        <v>203.829</v>
      </c>
      <c r="DZ84" s="21" t="n">
        <v>215.195</v>
      </c>
      <c r="EA84" s="21" t="n">
        <v>200.533</v>
      </c>
      <c r="EB84" s="21" t="n">
        <v>174.767</v>
      </c>
      <c r="EC84" s="21" t="n">
        <v>377.515</v>
      </c>
      <c r="ED84" s="21" t="n">
        <v>185.178</v>
      </c>
      <c r="EE84" s="21" t="n">
        <v>202.633</v>
      </c>
      <c r="EF84" s="21" t="n">
        <v>207.454</v>
      </c>
      <c r="EG84" s="21" t="n">
        <v>286.308</v>
      </c>
      <c r="EH84" s="21" t="n">
        <v>339.997</v>
      </c>
      <c r="EI84" s="21" t="n">
        <v>354.526</v>
      </c>
      <c r="EJ84" s="21" t="n">
        <v>166.08</v>
      </c>
      <c r="EK84" s="21" t="n">
        <v>592.718</v>
      </c>
      <c r="EL84" s="21" t="n">
        <v>337.364</v>
      </c>
      <c r="EM84" s="21" t="n">
        <v>349.152</v>
      </c>
      <c r="EN84" s="21" t="n">
        <v>349.161</v>
      </c>
      <c r="EO84" s="21" t="n">
        <v>150.113</v>
      </c>
      <c r="EP84" s="21" t="n">
        <v>270.444</v>
      </c>
      <c r="EQ84" s="21" t="n">
        <v>225.221</v>
      </c>
      <c r="ER84" s="21" t="n">
        <v>346.826</v>
      </c>
      <c r="ES84" s="21" t="n">
        <v>333.899</v>
      </c>
      <c r="ET84" s="21" t="n">
        <v>435.79</v>
      </c>
      <c r="EU84" s="21" t="n">
        <v>227.874</v>
      </c>
      <c r="EV84" s="21" t="n">
        <v>227.588</v>
      </c>
      <c r="EW84" s="21" t="n">
        <v>224.225</v>
      </c>
      <c r="EX84" s="21" t="n">
        <v>264.58</v>
      </c>
      <c r="EY84" s="21" t="n">
        <v>610.952</v>
      </c>
      <c r="EZ84" s="21" t="n">
        <v>529.053</v>
      </c>
      <c r="FA84" s="21" t="n">
        <v>135.345</v>
      </c>
      <c r="FB84" s="21" t="n">
        <v>58.597</v>
      </c>
      <c r="FC84" s="21" t="n">
        <v>120.196</v>
      </c>
      <c r="FD84" s="21" t="n">
        <v>71.678</v>
      </c>
      <c r="FE84" s="21" t="n">
        <v>42.651</v>
      </c>
      <c r="FF84" s="21" t="n">
        <v>129.017</v>
      </c>
      <c r="FG84" s="21" t="n">
        <v>142.289</v>
      </c>
      <c r="FH84" s="21" t="n">
        <v>101.809</v>
      </c>
      <c r="FI84" s="21" t="n">
        <v>79.833</v>
      </c>
      <c r="FJ84" s="21" t="n"/>
      <c r="FK84" s="21" t="n">
        <v>85.419</v>
      </c>
      <c r="FL84" s="21" t="n">
        <v>98.879</v>
      </c>
      <c r="FM84" s="21" t="n">
        <v>112.672</v>
      </c>
      <c r="FN84" s="21" t="n">
        <v>71.449</v>
      </c>
      <c r="FO84" s="21" t="n">
        <v>52.268</v>
      </c>
      <c r="FP84" s="21" t="n">
        <v>38.622</v>
      </c>
      <c r="FQ84" s="21" t="n">
        <v>141.925</v>
      </c>
      <c r="FR84" s="21" t="n">
        <v>44.815</v>
      </c>
      <c r="FS84" s="21" t="n">
        <v>81.279</v>
      </c>
      <c r="FT84" s="21" t="n">
        <v>100.055</v>
      </c>
      <c r="FU84" s="21" t="n">
        <v>106.478</v>
      </c>
      <c r="FV84" s="21" t="n">
        <v>97.208</v>
      </c>
      <c r="FW84" s="21" t="n">
        <v>201.718</v>
      </c>
      <c r="FX84" s="21" t="n">
        <v>128.168</v>
      </c>
      <c r="FY84" s="21" t="n">
        <v>196.861</v>
      </c>
      <c r="FZ84" s="21" t="n">
        <v>121.706</v>
      </c>
      <c r="GA84" s="21" t="n">
        <v>218.692</v>
      </c>
      <c r="GB84" s="21" t="n">
        <v>193.307</v>
      </c>
      <c r="GC84" s="21" t="n">
        <v>227.489</v>
      </c>
      <c r="GD84" s="21" t="n">
        <v>195.479</v>
      </c>
      <c r="GE84" s="21" t="n"/>
      <c r="GF84" s="21" t="n">
        <v>122.383</v>
      </c>
      <c r="GG84" s="21" t="n">
        <v>119.242</v>
      </c>
      <c r="GH84" s="21" t="n">
        <v>121.205</v>
      </c>
      <c r="GI84" s="21" t="n">
        <v>98.48999999999999</v>
      </c>
      <c r="GJ84" s="21" t="n">
        <v>170.751</v>
      </c>
      <c r="GK84" s="21" t="n">
        <v>73.423</v>
      </c>
      <c r="GL84" s="21" t="n">
        <v>121.689</v>
      </c>
      <c r="GM84" s="21" t="n">
        <v>109.477</v>
      </c>
      <c r="GN84" s="21" t="n">
        <v>101.275</v>
      </c>
      <c r="GO84" s="21" t="n">
        <v>102.385</v>
      </c>
      <c r="GP84" s="21" t="n">
        <v>99.214</v>
      </c>
      <c r="GQ84" s="21" t="n">
        <v>105.767</v>
      </c>
      <c r="GR84" s="21" t="n">
        <v>69.792</v>
      </c>
      <c r="GS84" s="21" t="n">
        <v>101.159</v>
      </c>
      <c r="GT84" s="21" t="n">
        <v>95.55800000000001</v>
      </c>
      <c r="GU84" s="21" t="n">
        <v>140.655</v>
      </c>
      <c r="GV84" s="21" t="n">
        <v>146.328</v>
      </c>
      <c r="GW84" s="21" t="n">
        <v>160.449</v>
      </c>
      <c r="GX84" s="21" t="n">
        <v>126.685</v>
      </c>
      <c r="GY84" s="21" t="n">
        <v>116.751</v>
      </c>
      <c r="GZ84" s="21" t="n">
        <v>174.715</v>
      </c>
      <c r="HA84" s="21" t="n">
        <v>145.114</v>
      </c>
      <c r="HB84" s="21" t="n">
        <v>171.902</v>
      </c>
      <c r="HC84" s="21" t="n">
        <v>245.532</v>
      </c>
      <c r="HD84" s="21" t="n">
        <v>245.735</v>
      </c>
      <c r="HE84" s="21" t="n">
        <v>122.436</v>
      </c>
      <c r="HF84" s="21" t="n">
        <v>164.511</v>
      </c>
      <c r="HG84" s="21" t="n">
        <v>114.035</v>
      </c>
      <c r="HH84" s="21" t="n">
        <v>159.941</v>
      </c>
      <c r="HI84" s="21" t="n">
        <v>175.56</v>
      </c>
      <c r="HJ84" s="21" t="n"/>
      <c r="HK84" s="21" t="n">
        <v>200.209</v>
      </c>
      <c r="HL84" s="21" t="n"/>
      <c r="HM84" s="21" t="n">
        <v>202.687</v>
      </c>
      <c r="HN84" s="21" t="n">
        <v>297.841</v>
      </c>
      <c r="HO84" s="21" t="n">
        <v>296.571</v>
      </c>
      <c r="HP84" s="21" t="n">
        <v>291.432</v>
      </c>
      <c r="HQ84" s="21" t="n">
        <v>317.685</v>
      </c>
      <c r="HR84" s="21" t="n">
        <v>307.966</v>
      </c>
      <c r="HS84" s="21" t="n">
        <v>270.088</v>
      </c>
      <c r="HT84" s="21" t="n">
        <v>162.524</v>
      </c>
      <c r="HU84" s="21" t="n">
        <v>138.803</v>
      </c>
      <c r="HV84" s="21" t="n">
        <v>194.438</v>
      </c>
      <c r="HW84" s="21" t="n">
        <v>181.83</v>
      </c>
      <c r="HX84" s="21" t="n">
        <v>422.932</v>
      </c>
      <c r="HY84" s="21" t="n">
        <v>325.076</v>
      </c>
      <c r="HZ84" s="21" t="n">
        <v>354.548</v>
      </c>
      <c r="IA84" s="21" t="n">
        <v>293.133</v>
      </c>
      <c r="IB84" s="21" t="n">
        <v>199.387</v>
      </c>
      <c r="IC84" s="21" t="n">
        <v>568.239</v>
      </c>
      <c r="ID84" s="21" t="n">
        <v>198.874</v>
      </c>
      <c r="IE84" s="21" t="n">
        <v>186.236</v>
      </c>
      <c r="IF84" s="21" t="n">
        <v>218.992</v>
      </c>
      <c r="IG84" s="21" t="n">
        <v>252.431</v>
      </c>
      <c r="IH84" s="21" t="n"/>
      <c r="II84" s="21" t="n">
        <v>229.161</v>
      </c>
      <c r="IJ84" s="21" t="n">
        <v>215.159</v>
      </c>
      <c r="IK84" s="21" t="n">
        <v>159.699</v>
      </c>
      <c r="IL84" s="21" t="n"/>
      <c r="IM84" s="21" t="n"/>
      <c r="IN84" s="21" t="n">
        <v>63.212</v>
      </c>
      <c r="IO84" s="21" t="n">
        <v>324.752</v>
      </c>
      <c r="IP84" s="21" t="n">
        <v>128.232</v>
      </c>
      <c r="IQ84" s="21" t="n">
        <v>528.877</v>
      </c>
      <c r="IR84" s="21" t="n">
        <v>379.483</v>
      </c>
      <c r="IS84" s="21" t="n">
        <v>124.422</v>
      </c>
      <c r="IT84" s="21" t="n">
        <v>524.509</v>
      </c>
      <c r="IU84" s="21" t="n">
        <v>97.119</v>
      </c>
      <c r="IV84" s="21" t="n">
        <v>97.19199999999999</v>
      </c>
      <c r="IW84" s="21" t="n">
        <v>577.076</v>
      </c>
      <c r="IX84" s="21" t="n">
        <v>404.22</v>
      </c>
      <c r="IY84" s="21" t="n">
        <v>408.843</v>
      </c>
      <c r="IZ84" s="21" t="n">
        <v>526.02</v>
      </c>
      <c r="JA84" s="21" t="n">
        <v>195.256</v>
      </c>
      <c r="JB84" s="21" t="n">
        <v>248.614</v>
      </c>
      <c r="JC84" s="21" t="n">
        <v>87.295</v>
      </c>
      <c r="JD84" s="21" t="n">
        <v>367.479</v>
      </c>
      <c r="JE84" s="21" t="n">
        <v>356.093</v>
      </c>
      <c r="JF84" s="21" t="n">
        <v>795.8819999999999</v>
      </c>
      <c r="JG84" s="21" t="n">
        <v>251.858</v>
      </c>
      <c r="JH84" s="21" t="n">
        <v>140.494</v>
      </c>
      <c r="JI84" s="21" t="n">
        <v>172.437</v>
      </c>
      <c r="JJ84" s="21" t="n">
        <v>126.952</v>
      </c>
      <c r="JK84" s="21" t="n">
        <v>111.366</v>
      </c>
      <c r="JL84" s="21" t="n">
        <v>141.076</v>
      </c>
      <c r="JM84" s="21" t="n">
        <v>526.649</v>
      </c>
      <c r="JN84" s="21" t="n">
        <v>122.221</v>
      </c>
      <c r="JO84" s="21" t="n">
        <v>66.027</v>
      </c>
      <c r="JP84" s="21" t="n">
        <v>31.906</v>
      </c>
      <c r="JQ84" s="21" t="n">
        <v>140.395</v>
      </c>
      <c r="JR84" s="21" t="n">
        <v>25.568</v>
      </c>
      <c r="JS84" s="21" t="n">
        <v>79.38500000000001</v>
      </c>
      <c r="JT84" s="21" t="n">
        <v>186.695</v>
      </c>
      <c r="JU84" s="21" t="n">
        <v>206.598</v>
      </c>
      <c r="JV84" s="21" t="n">
        <v>157.431</v>
      </c>
      <c r="JW84" s="21" t="n">
        <v>118.64</v>
      </c>
      <c r="JX84" s="21" t="n">
        <v>276.713</v>
      </c>
      <c r="JY84" s="21" t="n">
        <v>213.602</v>
      </c>
      <c r="JZ84" s="21" t="n">
        <v>290.93</v>
      </c>
      <c r="KA84" s="21" t="n">
        <v>125.235</v>
      </c>
      <c r="KB84" s="21" t="n">
        <v>176.251</v>
      </c>
      <c r="KC84" s="21" t="n">
        <v>82.999</v>
      </c>
      <c r="KD84" s="21" t="n">
        <v>78.76300000000001</v>
      </c>
      <c r="KE84" s="21" t="n">
        <v>59.162</v>
      </c>
      <c r="KF84" s="21" t="n"/>
      <c r="KG84" s="21" t="n">
        <v>24.853</v>
      </c>
      <c r="KH84" s="21" t="n">
        <v>126.589</v>
      </c>
      <c r="KI84" s="21" t="n"/>
      <c r="KJ84" s="21" t="n"/>
      <c r="KK84" s="21" t="n">
        <v>33.562</v>
      </c>
      <c r="KL84" s="21" t="n">
        <v>29.064</v>
      </c>
      <c r="KM84" s="21" t="n">
        <v>37.798</v>
      </c>
      <c r="KN84" s="21" t="n"/>
      <c r="KO84" s="21" t="n">
        <v>97.16</v>
      </c>
      <c r="KP84" s="21" t="n">
        <v>108.179</v>
      </c>
      <c r="KQ84" s="21" t="n">
        <v>179.303</v>
      </c>
      <c r="KR84" s="21" t="n">
        <v>146.886</v>
      </c>
      <c r="KS84" s="21" t="n">
        <v>408.902</v>
      </c>
      <c r="KT84" s="21" t="n">
        <v>197.515</v>
      </c>
      <c r="KU84" s="21" t="n">
        <v>236.622</v>
      </c>
      <c r="KV84" s="21" t="n">
        <v>341.685</v>
      </c>
      <c r="KW84" s="21" t="n">
        <v>275.845</v>
      </c>
      <c r="KX84" s="21" t="n">
        <v>208.25</v>
      </c>
      <c r="KY84" s="21" t="n">
        <v>99.10599999999999</v>
      </c>
      <c r="KZ84" s="21" t="n">
        <v>143.884</v>
      </c>
      <c r="LA84" s="21" t="n">
        <v>278.097</v>
      </c>
      <c r="LB84" s="21" t="n">
        <v>682.9109999999999</v>
      </c>
      <c r="LC84" s="21" t="n">
        <v>233.29</v>
      </c>
      <c r="LD84" s="21" t="n">
        <v>799.443</v>
      </c>
      <c r="LE84" s="21" t="n">
        <v>897.128</v>
      </c>
      <c r="LF84" s="21" t="n">
        <v>87.986</v>
      </c>
      <c r="LG84" s="21" t="n">
        <v>322.483</v>
      </c>
      <c r="LH84" s="21" t="n">
        <v>265.079</v>
      </c>
      <c r="LI84" s="21" t="n">
        <v>76.294</v>
      </c>
      <c r="LJ84" s="21" t="n">
        <v>217.832</v>
      </c>
      <c r="LK84" s="21" t="n">
        <v>343.466</v>
      </c>
      <c r="LL84" s="21" t="n">
        <v>343.979</v>
      </c>
      <c r="LM84" s="21" t="n">
        <v>71.974</v>
      </c>
      <c r="LN84" s="21" t="n">
        <v>94.762</v>
      </c>
      <c r="LO84" s="21" t="n">
        <v>48.176</v>
      </c>
      <c r="LP84" s="21" t="n">
        <v>138.62</v>
      </c>
      <c r="LQ84" s="21" t="n"/>
      <c r="LR84" s="21" t="n"/>
      <c r="LS84" s="21" t="n">
        <v>110.399</v>
      </c>
      <c r="LT84" s="21" t="n">
        <v>39.78</v>
      </c>
      <c r="LU84" s="21" t="n">
        <v>25.54</v>
      </c>
      <c r="LV84" s="21" t="n">
        <v>80.14700000000001</v>
      </c>
      <c r="LW84" s="21" t="n">
        <v>150.792</v>
      </c>
      <c r="LX84" s="21" t="n">
        <v>70.334</v>
      </c>
      <c r="LY84" s="21" t="n">
        <v>484.683</v>
      </c>
      <c r="LZ84" s="21" t="n">
        <v>81.893</v>
      </c>
      <c r="MA84" s="21" t="n">
        <v>536.761</v>
      </c>
      <c r="MB84" s="21" t="n">
        <v>302.958</v>
      </c>
      <c r="MC84" s="21" t="n">
        <v>246.445</v>
      </c>
      <c r="MD84" s="21" t="n">
        <v>159.359</v>
      </c>
      <c r="ME84" s="21" t="n">
        <v>104.136</v>
      </c>
      <c r="MF84" s="21" t="n">
        <v>176.978</v>
      </c>
      <c r="MG84" s="21" t="n">
        <v>300.653</v>
      </c>
      <c r="MH84" s="21" t="n">
        <v>183.447</v>
      </c>
      <c r="MI84" s="21" t="n">
        <v>474.401</v>
      </c>
      <c r="MJ84" s="21" t="n">
        <v>380.812</v>
      </c>
      <c r="MK84" s="21" t="n">
        <v>350.677</v>
      </c>
      <c r="ML84" s="21" t="n">
        <v>194.799</v>
      </c>
      <c r="MM84" s="21" t="n">
        <v>214.179</v>
      </c>
      <c r="MN84" s="21" t="n">
        <v>376.816</v>
      </c>
      <c r="MO84" s="21" t="n">
        <v>171.288</v>
      </c>
      <c r="MP84" s="21" t="n">
        <v>272.817</v>
      </c>
      <c r="MQ84" s="21" t="n">
        <v>79.32299999999999</v>
      </c>
      <c r="MR84" s="21" t="n">
        <v>171.337</v>
      </c>
      <c r="MS84" s="21" t="n"/>
      <c r="MT84" s="21" t="n">
        <v>265.889</v>
      </c>
      <c r="MU84" s="21" t="n">
        <v>282.397</v>
      </c>
      <c r="MV84" s="21" t="n">
        <v>276.747</v>
      </c>
      <c r="MW84" s="21" t="n">
        <v>282.754</v>
      </c>
      <c r="MX84" s="21" t="n">
        <v>256.714</v>
      </c>
      <c r="MY84" s="21" t="n">
        <v>249.264</v>
      </c>
      <c r="MZ84" s="21" t="n">
        <v>250.894</v>
      </c>
      <c r="NA84" s="21" t="n">
        <v>252.043</v>
      </c>
      <c r="NB84" s="21" t="n">
        <v>113.6</v>
      </c>
      <c r="NC84" s="21" t="n">
        <v>207.708</v>
      </c>
      <c r="ND84" s="21" t="n">
        <v>172.817</v>
      </c>
      <c r="NE84" s="21" t="n">
        <v>169.51</v>
      </c>
      <c r="NF84" s="21" t="n">
        <v>159.426</v>
      </c>
      <c r="NG84" s="21" t="n">
        <v>153.738</v>
      </c>
      <c r="NH84" s="21" t="n">
        <v>275.508</v>
      </c>
      <c r="NI84" s="21" t="n">
        <v>123.678</v>
      </c>
      <c r="NJ84" s="21" t="n">
        <v>68.095</v>
      </c>
      <c r="NK84" s="21" t="n">
        <v>116.765</v>
      </c>
      <c r="NL84" s="21" t="n">
        <v>259.1</v>
      </c>
      <c r="NM84" s="21" t="n">
        <v>302.635</v>
      </c>
      <c r="NN84" s="21" t="n">
        <v>98.504</v>
      </c>
      <c r="NO84" s="21" t="n">
        <v>48.246</v>
      </c>
      <c r="NP84" s="21" t="n">
        <v>248.656</v>
      </c>
      <c r="NQ84" s="21" t="n">
        <v>217.593</v>
      </c>
      <c r="NR84" s="21" t="n">
        <v>274.322</v>
      </c>
      <c r="NS84" s="21" t="n">
        <v>214.693</v>
      </c>
      <c r="NT84" s="21" t="n">
        <v>276.857</v>
      </c>
      <c r="NU84" s="21" t="n">
        <v>122.345</v>
      </c>
      <c r="NV84" s="21" t="n">
        <v>134.592</v>
      </c>
      <c r="NW84" s="21" t="n">
        <v>380.326</v>
      </c>
      <c r="NX84" s="21" t="n">
        <v>82.212</v>
      </c>
      <c r="NY84" s="21" t="n">
        <v>132.352</v>
      </c>
      <c r="NZ84" s="21" t="n">
        <v>354.787</v>
      </c>
      <c r="OA84" s="21" t="n">
        <v>346.637</v>
      </c>
      <c r="OB84" s="21" t="n">
        <v>358.722</v>
      </c>
      <c r="OC84" s="21" t="n">
        <v>329.178</v>
      </c>
      <c r="OD84" s="21" t="n">
        <v>364.091</v>
      </c>
      <c r="OE84" s="21" t="n">
        <v>129.914</v>
      </c>
      <c r="OF84" s="21" t="n">
        <v>327.749</v>
      </c>
      <c r="OG84" s="21" t="n">
        <v>231.88</v>
      </c>
      <c r="OH84" s="21" t="n">
        <v>37.24</v>
      </c>
      <c r="OI84" s="21" t="n">
        <v>138.445</v>
      </c>
      <c r="OJ84" s="21" t="n">
        <v>36</v>
      </c>
      <c r="OK84" s="21" t="n">
        <v>12</v>
      </c>
    </row>
    <row r="85">
      <c r="A85" s="22" t="n">
        <v>44531</v>
      </c>
      <c r="B85" s="21" t="n">
        <v>278.802</v>
      </c>
      <c r="C85" s="21" t="n">
        <v>835.168</v>
      </c>
      <c r="D85" s="21" t="n">
        <v>285.556</v>
      </c>
      <c r="E85" s="21" t="n">
        <v>286.966</v>
      </c>
      <c r="F85" s="21" t="n">
        <v>267.555</v>
      </c>
      <c r="G85" s="21" t="n">
        <v>297.279</v>
      </c>
      <c r="H85" s="21" t="n">
        <v>243.944</v>
      </c>
      <c r="I85" s="21" t="n">
        <v>248.322</v>
      </c>
      <c r="J85" s="21" t="n">
        <v>241.597</v>
      </c>
      <c r="K85" s="21" t="n">
        <v>251.399</v>
      </c>
      <c r="L85" s="21" t="n">
        <v>170.563</v>
      </c>
      <c r="M85" s="21" t="n">
        <v>328.129</v>
      </c>
      <c r="N85" s="21" t="n">
        <v>200.504</v>
      </c>
      <c r="O85" s="21" t="n">
        <v>361.14</v>
      </c>
      <c r="P85" s="21" t="n">
        <v>393.523</v>
      </c>
      <c r="Q85" s="21" t="n">
        <v>194.413</v>
      </c>
      <c r="R85" s="21" t="n">
        <v>307.683</v>
      </c>
      <c r="S85" s="21" t="n">
        <v>328.681</v>
      </c>
      <c r="T85" s="21" t="n">
        <v>286.068</v>
      </c>
      <c r="U85" s="21" t="n">
        <v>291.326</v>
      </c>
      <c r="V85" s="21" t="n">
        <v>337.339</v>
      </c>
      <c r="W85" s="21" t="n">
        <v>340.956</v>
      </c>
      <c r="X85" s="21" t="n">
        <v>283.144</v>
      </c>
      <c r="Y85" s="21" t="n">
        <v>297.604</v>
      </c>
      <c r="Z85" s="21" t="n">
        <v>302.497</v>
      </c>
      <c r="AA85" s="21" t="n">
        <v>312.139</v>
      </c>
      <c r="AB85" s="21" t="n">
        <v>392.057</v>
      </c>
      <c r="AC85" s="21" t="n">
        <v>328.379</v>
      </c>
      <c r="AD85" s="21" t="n">
        <v>313.704</v>
      </c>
      <c r="AE85" s="21" t="n">
        <v>266.132</v>
      </c>
      <c r="AF85" s="21" t="n">
        <v>337.797</v>
      </c>
      <c r="AG85" s="21" t="n">
        <v>258.211</v>
      </c>
      <c r="AH85" s="21" t="n">
        <v>196.881</v>
      </c>
      <c r="AI85" s="21" t="n">
        <v>381.325</v>
      </c>
      <c r="AJ85" s="21" t="n">
        <v>169.825</v>
      </c>
      <c r="AK85" s="21" t="n">
        <v>223.042</v>
      </c>
      <c r="AL85" s="21" t="n">
        <v>249.276</v>
      </c>
      <c r="AM85" s="21" t="n">
        <v>234.362</v>
      </c>
      <c r="AN85" s="21" t="n">
        <v>162.026</v>
      </c>
      <c r="AO85" s="21" t="n">
        <v>253.637</v>
      </c>
      <c r="AP85" s="21" t="n">
        <v>254.607</v>
      </c>
      <c r="AQ85" s="21" t="n">
        <v>163.359</v>
      </c>
      <c r="AR85" s="21" t="n"/>
      <c r="AS85" s="21" t="n"/>
      <c r="AT85" s="21" t="n">
        <v>267.769</v>
      </c>
      <c r="AU85" s="21" t="n">
        <v>174.595</v>
      </c>
      <c r="AV85" s="21" t="n">
        <v>279.309</v>
      </c>
      <c r="AW85" s="21" t="n">
        <v>263.735</v>
      </c>
      <c r="AX85" s="21" t="n">
        <v>164.285</v>
      </c>
      <c r="AY85" s="21" t="n">
        <v>339.321</v>
      </c>
      <c r="AZ85" s="21" t="n">
        <v>215.658</v>
      </c>
      <c r="BA85" s="21" t="n">
        <v>165.619</v>
      </c>
      <c r="BB85" s="21" t="n">
        <v>227.354</v>
      </c>
      <c r="BC85" s="21" t="n">
        <v>352.628</v>
      </c>
      <c r="BD85" s="21" t="n">
        <v>233.555</v>
      </c>
      <c r="BE85" s="21" t="n">
        <v>235.442</v>
      </c>
      <c r="BF85" s="21" t="n">
        <v>160.028</v>
      </c>
      <c r="BG85" s="21" t="n">
        <v>233.097</v>
      </c>
      <c r="BH85" s="21" t="n">
        <v>163.46</v>
      </c>
      <c r="BI85" s="21" t="n">
        <v>242.001</v>
      </c>
      <c r="BJ85" s="21" t="n">
        <v>236.785</v>
      </c>
      <c r="BK85" s="21" t="n">
        <v>154.618</v>
      </c>
      <c r="BL85" s="21" t="n">
        <v>321.931</v>
      </c>
      <c r="BM85" s="21" t="n">
        <v>372.694</v>
      </c>
      <c r="BN85" s="21" t="n">
        <v>386.234</v>
      </c>
      <c r="BO85" s="21" t="n">
        <v>340.128</v>
      </c>
      <c r="BP85" s="21" t="n">
        <v>200.986</v>
      </c>
      <c r="BQ85" s="21" t="n">
        <v>272.708</v>
      </c>
      <c r="BR85" s="21" t="n">
        <v>533.465</v>
      </c>
      <c r="BS85" s="21" t="n">
        <v>131.935</v>
      </c>
      <c r="BT85" s="21" t="n">
        <v>357.157</v>
      </c>
      <c r="BU85" s="21" t="n">
        <v>367.49</v>
      </c>
      <c r="BV85" s="21" t="n">
        <v>377.197</v>
      </c>
      <c r="BW85" s="21" t="n">
        <v>358.104</v>
      </c>
      <c r="BX85" s="21" t="n">
        <v>353.663</v>
      </c>
      <c r="BY85" s="21" t="n">
        <v>169.371</v>
      </c>
      <c r="BZ85" s="21" t="n">
        <v>176.863</v>
      </c>
      <c r="CA85" s="21" t="n">
        <v>169.569</v>
      </c>
      <c r="CB85" s="21" t="n">
        <v>188.952</v>
      </c>
      <c r="CC85" s="21" t="n">
        <v>158.286</v>
      </c>
      <c r="CD85" s="21" t="n">
        <v>210.987</v>
      </c>
      <c r="CE85" s="21" t="n">
        <v>164.454</v>
      </c>
      <c r="CF85" s="21" t="n">
        <v>206.556</v>
      </c>
      <c r="CG85" s="21" t="n">
        <v>186.723</v>
      </c>
      <c r="CH85" s="21" t="n">
        <v>148.155</v>
      </c>
      <c r="CI85" s="21" t="n">
        <v>191.613</v>
      </c>
      <c r="CJ85" s="21" t="n">
        <v>182.284</v>
      </c>
      <c r="CK85" s="21" t="n">
        <v>132.317</v>
      </c>
      <c r="CL85" s="21" t="n">
        <v>122.323</v>
      </c>
      <c r="CM85" s="21" t="n">
        <v>205.111</v>
      </c>
      <c r="CN85" s="21" t="n">
        <v>215.101</v>
      </c>
      <c r="CO85" s="21" t="n">
        <v>192.777</v>
      </c>
      <c r="CP85" s="21" t="n">
        <v>133.585</v>
      </c>
      <c r="CQ85" s="21" t="n">
        <v>230.809</v>
      </c>
      <c r="CR85" s="21" t="n">
        <v>241.25</v>
      </c>
      <c r="CS85" s="21" t="n">
        <v>211.733</v>
      </c>
      <c r="CT85" s="21" t="n">
        <v>164.704</v>
      </c>
      <c r="CU85" s="21" t="n">
        <v>164.564</v>
      </c>
      <c r="CV85" s="21" t="n">
        <v>248.145</v>
      </c>
      <c r="CW85" s="21" t="n">
        <v>209.519</v>
      </c>
      <c r="CX85" s="21" t="n">
        <v>240.046</v>
      </c>
      <c r="CY85" s="21" t="n">
        <v>328.01</v>
      </c>
      <c r="CZ85" s="21" t="n">
        <v>143.405</v>
      </c>
      <c r="DA85" s="21" t="n">
        <v>177.578</v>
      </c>
      <c r="DB85" s="21" t="n">
        <v>175.392</v>
      </c>
      <c r="DC85" s="21" t="n">
        <v>246.133</v>
      </c>
      <c r="DD85" s="21" t="n">
        <v>260.641</v>
      </c>
      <c r="DE85" s="21" t="n">
        <v>183.943</v>
      </c>
      <c r="DF85" s="21" t="n">
        <v>274.765</v>
      </c>
      <c r="DG85" s="21" t="n">
        <v>260.302</v>
      </c>
      <c r="DH85" s="21" t="n">
        <v>166.855</v>
      </c>
      <c r="DI85" s="21" t="n">
        <v>157.966</v>
      </c>
      <c r="DJ85" s="21" t="n">
        <v>148.778</v>
      </c>
      <c r="DK85" s="21" t="n">
        <v>296.466</v>
      </c>
      <c r="DL85" s="21" t="n">
        <v>185.99</v>
      </c>
      <c r="DM85" s="21" t="n">
        <v>146.306</v>
      </c>
      <c r="DN85" s="21" t="n">
        <v>141.893</v>
      </c>
      <c r="DO85" s="21" t="n">
        <v>317.372</v>
      </c>
      <c r="DP85" s="21" t="n">
        <v>196.449</v>
      </c>
      <c r="DQ85" s="21" t="n">
        <v>210.803</v>
      </c>
      <c r="DR85" s="21" t="n">
        <v>83.876</v>
      </c>
      <c r="DS85" s="21" t="n">
        <v>47.349</v>
      </c>
      <c r="DT85" s="21" t="n">
        <v>178.831</v>
      </c>
      <c r="DU85" s="21" t="n">
        <v>211.71</v>
      </c>
      <c r="DV85" s="21" t="n">
        <v>265.41</v>
      </c>
      <c r="DW85" s="21" t="n">
        <v>212.602</v>
      </c>
      <c r="DX85" s="21" t="n">
        <v>243.84</v>
      </c>
      <c r="DY85" s="21" t="n">
        <v>203.708</v>
      </c>
      <c r="DZ85" s="21" t="n">
        <v>215.514</v>
      </c>
      <c r="EA85" s="21" t="n">
        <v>200.271</v>
      </c>
      <c r="EB85" s="21" t="n">
        <v>172.818</v>
      </c>
      <c r="EC85" s="21" t="n">
        <v>381.344</v>
      </c>
      <c r="ED85" s="21" t="n">
        <v>186.741</v>
      </c>
      <c r="EE85" s="21" t="n">
        <v>204.799</v>
      </c>
      <c r="EF85" s="21" t="n">
        <v>209.591</v>
      </c>
      <c r="EG85" s="21" t="n">
        <v>287.511</v>
      </c>
      <c r="EH85" s="21" t="n">
        <v>341.241</v>
      </c>
      <c r="EI85" s="21" t="n">
        <v>355.931</v>
      </c>
      <c r="EJ85" s="21" t="n">
        <v>165.472</v>
      </c>
      <c r="EK85" s="21" t="n">
        <v>592.8579999999999</v>
      </c>
      <c r="EL85" s="21" t="n">
        <v>335.955</v>
      </c>
      <c r="EM85" s="21" t="n">
        <v>350.508</v>
      </c>
      <c r="EN85" s="21" t="n">
        <v>350.511</v>
      </c>
      <c r="EO85" s="21" t="n">
        <v>150.408</v>
      </c>
      <c r="EP85" s="21" t="n">
        <v>270.831</v>
      </c>
      <c r="EQ85" s="21" t="n">
        <v>225.435</v>
      </c>
      <c r="ER85" s="21" t="n">
        <v>344.353</v>
      </c>
      <c r="ES85" s="21" t="n">
        <v>325.879</v>
      </c>
      <c r="ET85" s="21" t="n">
        <v>443.81</v>
      </c>
      <c r="EU85" s="21" t="n">
        <v>228.199</v>
      </c>
      <c r="EV85" s="21" t="n">
        <v>227.974</v>
      </c>
      <c r="EW85" s="21" t="n">
        <v>224.366</v>
      </c>
      <c r="EX85" s="21" t="n">
        <v>265.365</v>
      </c>
      <c r="EY85" s="21" t="n">
        <v>611.944</v>
      </c>
      <c r="EZ85" s="21" t="n">
        <v>532.538</v>
      </c>
      <c r="FA85" s="21" t="n">
        <v>136.787</v>
      </c>
      <c r="FB85" s="21" t="n">
        <v>58.849</v>
      </c>
      <c r="FC85" s="21" t="n">
        <v>117.741</v>
      </c>
      <c r="FD85" s="21" t="n">
        <v>72.261</v>
      </c>
      <c r="FE85" s="21" t="n">
        <v>43.211</v>
      </c>
      <c r="FF85" s="21" t="n">
        <v>131.628</v>
      </c>
      <c r="FG85" s="21" t="n">
        <v>143.227</v>
      </c>
      <c r="FH85" s="21" t="n">
        <v>104.925</v>
      </c>
      <c r="FI85" s="21" t="n">
        <v>81.242</v>
      </c>
      <c r="FJ85" s="21" t="n"/>
      <c r="FK85" s="21" t="n">
        <v>86.014</v>
      </c>
      <c r="FL85" s="21" t="n">
        <v>100.175</v>
      </c>
      <c r="FM85" s="21" t="n">
        <v>116.541</v>
      </c>
      <c r="FN85" s="21" t="n">
        <v>71.68600000000001</v>
      </c>
      <c r="FO85" s="21" t="n">
        <v>52.752</v>
      </c>
      <c r="FP85" s="21" t="n">
        <v>38.976</v>
      </c>
      <c r="FQ85" s="21" t="n">
        <v>143.582</v>
      </c>
      <c r="FR85" s="21" t="n">
        <v>45.398</v>
      </c>
      <c r="FS85" s="21" t="n">
        <v>81.649</v>
      </c>
      <c r="FT85" s="21" t="n">
        <v>100.522</v>
      </c>
      <c r="FU85" s="21" t="n">
        <v>106.869</v>
      </c>
      <c r="FV85" s="21" t="n">
        <v>97.709</v>
      </c>
      <c r="FW85" s="21" t="n">
        <v>203.693</v>
      </c>
      <c r="FX85" s="21" t="n">
        <v>130.231</v>
      </c>
      <c r="FY85" s="21" t="n">
        <v>198.262</v>
      </c>
      <c r="FZ85" s="21" t="n">
        <v>122.272</v>
      </c>
      <c r="GA85" s="21" t="n"/>
      <c r="GB85" s="21" t="n">
        <v>197.967</v>
      </c>
      <c r="GC85" s="21" t="n"/>
      <c r="GD85" s="21" t="n">
        <v>197.638</v>
      </c>
      <c r="GE85" s="21" t="n"/>
      <c r="GF85" s="21" t="n">
        <v>121.068</v>
      </c>
      <c r="GG85" s="21" t="n">
        <v>117.39</v>
      </c>
      <c r="GH85" s="21" t="n">
        <v>119.059</v>
      </c>
      <c r="GI85" s="21" t="n">
        <v>94.30500000000001</v>
      </c>
      <c r="GJ85" s="21" t="n">
        <v>167.052</v>
      </c>
      <c r="GK85" s="21" t="n">
        <v>72.852</v>
      </c>
      <c r="GL85" s="21" t="n">
        <v>120.898</v>
      </c>
      <c r="GM85" s="21" t="n">
        <v>108.73</v>
      </c>
      <c r="GN85" s="21" t="n">
        <v>99.745</v>
      </c>
      <c r="GO85" s="21" t="n">
        <v>100.767</v>
      </c>
      <c r="GP85" s="21" t="n">
        <v>96.3</v>
      </c>
      <c r="GQ85" s="21" t="n">
        <v>102.625</v>
      </c>
      <c r="GR85" s="21" t="n">
        <v>68.764</v>
      </c>
      <c r="GS85" s="21" t="n">
        <v>100.209</v>
      </c>
      <c r="GT85" s="21" t="n">
        <v>94.434</v>
      </c>
      <c r="GU85" s="21" t="n">
        <v>140.219</v>
      </c>
      <c r="GV85" s="21" t="n">
        <v>145.56</v>
      </c>
      <c r="GW85" s="21" t="n">
        <v>159.639</v>
      </c>
      <c r="GX85" s="21" t="n">
        <v>126.63</v>
      </c>
      <c r="GY85" s="21" t="n">
        <v>114.78</v>
      </c>
      <c r="GZ85" s="21" t="n">
        <v>177.17</v>
      </c>
      <c r="HA85" s="21" t="n">
        <v>150.074</v>
      </c>
      <c r="HB85" s="21" t="n">
        <v>173.21</v>
      </c>
      <c r="HC85" s="21" t="n">
        <v>246.499</v>
      </c>
      <c r="HD85" s="21" t="n">
        <v>246.999</v>
      </c>
      <c r="HE85" s="21" t="n">
        <v>124.853</v>
      </c>
      <c r="HF85" s="21" t="n">
        <v>166.653</v>
      </c>
      <c r="HG85" s="21" t="n">
        <v>115.534</v>
      </c>
      <c r="HH85" s="21" t="n">
        <v>162.733</v>
      </c>
      <c r="HI85" s="21" t="n">
        <v>177.345</v>
      </c>
      <c r="HJ85" s="21" t="n"/>
      <c r="HK85" s="21" t="n">
        <v>207.164</v>
      </c>
      <c r="HL85" s="21" t="n"/>
      <c r="HM85" s="21" t="n">
        <v>193.747</v>
      </c>
      <c r="HN85" s="21" t="n">
        <v>291.51</v>
      </c>
      <c r="HO85" s="21" t="n">
        <v>290.185</v>
      </c>
      <c r="HP85" s="21" t="n">
        <v>284.7</v>
      </c>
      <c r="HQ85" s="21" t="n">
        <v>312.781</v>
      </c>
      <c r="HR85" s="21" t="n">
        <v>304.193</v>
      </c>
      <c r="HS85" s="21" t="n">
        <v>267.792</v>
      </c>
      <c r="HT85" s="21" t="n">
        <v>165.122</v>
      </c>
      <c r="HU85" s="21" t="n">
        <v>141.422</v>
      </c>
      <c r="HV85" s="21" t="n">
        <v>196.557</v>
      </c>
      <c r="HW85" s="21" t="n">
        <v>184.743</v>
      </c>
      <c r="HX85" s="21" t="n">
        <v>426.13</v>
      </c>
      <c r="HY85" s="21" t="n">
        <v>324.688</v>
      </c>
      <c r="HZ85" s="21" t="n">
        <v>362.832</v>
      </c>
      <c r="IA85" s="21" t="n">
        <v>294.56</v>
      </c>
      <c r="IB85" s="21" t="n">
        <v>196.086</v>
      </c>
      <c r="IC85" s="21" t="n">
        <v>567.875</v>
      </c>
      <c r="ID85" s="21" t="n">
        <v>199.162</v>
      </c>
      <c r="IE85" s="21" t="n">
        <v>186.236</v>
      </c>
      <c r="IF85" s="21" t="n">
        <v>219.658</v>
      </c>
      <c r="IG85" s="21" t="n">
        <v>253.359</v>
      </c>
      <c r="IH85" s="21" t="n"/>
      <c r="II85" s="21" t="n">
        <v>225.937</v>
      </c>
      <c r="IJ85" s="21" t="n">
        <v>208.954</v>
      </c>
      <c r="IK85" s="21" t="n">
        <v>159.987</v>
      </c>
      <c r="IL85" s="21" t="n"/>
      <c r="IM85" s="21" t="n"/>
      <c r="IN85" s="21" t="n">
        <v>63.456</v>
      </c>
      <c r="IO85" s="21" t="n">
        <v>327.564</v>
      </c>
      <c r="IP85" s="21" t="n">
        <v>128.232</v>
      </c>
      <c r="IQ85" s="21" t="n">
        <v>530.026</v>
      </c>
      <c r="IR85" s="21" t="n">
        <v>379.611</v>
      </c>
      <c r="IS85" s="21" t="n">
        <v>124.437</v>
      </c>
      <c r="IT85" s="21" t="n">
        <v>525.251</v>
      </c>
      <c r="IU85" s="21" t="n">
        <v>96.752</v>
      </c>
      <c r="IV85" s="21" t="n">
        <v>97.69199999999999</v>
      </c>
      <c r="IW85" s="21" t="n">
        <v>578.5549999999999</v>
      </c>
      <c r="IX85" s="21" t="n">
        <v>404.764</v>
      </c>
      <c r="IY85" s="21" t="n">
        <v>408.644</v>
      </c>
      <c r="IZ85" s="21" t="n">
        <v>526.4059999999999</v>
      </c>
      <c r="JA85" s="21" t="n">
        <v>196.341</v>
      </c>
      <c r="JB85" s="21" t="n">
        <v>250.259</v>
      </c>
      <c r="JC85" s="21" t="n">
        <v>87.11199999999999</v>
      </c>
      <c r="JD85" s="21" t="n">
        <v>366.854</v>
      </c>
      <c r="JE85" s="21" t="n">
        <v>355.683</v>
      </c>
      <c r="JF85" s="21" t="n">
        <v>793.985</v>
      </c>
      <c r="JG85" s="21" t="n">
        <v>252.182</v>
      </c>
      <c r="JH85" s="21" t="n">
        <v>137.745</v>
      </c>
      <c r="JI85" s="21" t="n">
        <v>175.263</v>
      </c>
      <c r="JJ85" s="21" t="n">
        <v>126.695</v>
      </c>
      <c r="JK85" s="21" t="n">
        <v>110.531</v>
      </c>
      <c r="JL85" s="21" t="n">
        <v>135.915</v>
      </c>
      <c r="JM85" s="21" t="n">
        <v>524.005</v>
      </c>
      <c r="JN85" s="21" t="n">
        <v>118.66</v>
      </c>
      <c r="JO85" s="21" t="n">
        <v>65.46299999999999</v>
      </c>
      <c r="JP85" s="21" t="n">
        <v>31.383</v>
      </c>
      <c r="JQ85" s="21" t="n">
        <v>139.684</v>
      </c>
      <c r="JR85" s="21" t="n">
        <v>25.48</v>
      </c>
      <c r="JS85" s="21" t="n">
        <v>79.733</v>
      </c>
      <c r="JT85" s="21" t="n">
        <v>188.497</v>
      </c>
      <c r="JU85" s="21" t="n">
        <v>207.516</v>
      </c>
      <c r="JV85" s="21" t="n">
        <v>158.73</v>
      </c>
      <c r="JW85" s="21" t="n">
        <v>118.946</v>
      </c>
      <c r="JX85" s="21" t="n">
        <v>280.986</v>
      </c>
      <c r="JY85" s="21" t="n">
        <v>214.763</v>
      </c>
      <c r="JZ85" s="21" t="n">
        <v>295.463</v>
      </c>
      <c r="KA85" s="21" t="n">
        <v>123.733</v>
      </c>
      <c r="KB85" s="21" t="n">
        <v>172.14</v>
      </c>
      <c r="KC85" s="21" t="n">
        <v>83.575</v>
      </c>
      <c r="KD85" s="21" t="n">
        <v>77.661</v>
      </c>
      <c r="KE85" s="21" t="n">
        <v>58.434</v>
      </c>
      <c r="KF85" s="21" t="n"/>
      <c r="KG85" s="21" t="n">
        <v>24.382</v>
      </c>
      <c r="KH85" s="21" t="n">
        <v>124.677</v>
      </c>
      <c r="KI85" s="21" t="n"/>
      <c r="KJ85" s="21" t="n"/>
      <c r="KK85" s="21" t="n">
        <v>33.62</v>
      </c>
      <c r="KL85" s="21" t="n">
        <v>29.144</v>
      </c>
      <c r="KM85" s="21" t="n">
        <v>38.487</v>
      </c>
      <c r="KN85" s="21" t="n"/>
      <c r="KO85" s="21" t="n">
        <v>95.54000000000001</v>
      </c>
      <c r="KP85" s="21" t="n">
        <v>108.658</v>
      </c>
      <c r="KQ85" s="21" t="n">
        <v>179.075</v>
      </c>
      <c r="KR85" s="21" t="n">
        <v>147.742</v>
      </c>
      <c r="KS85" s="21" t="n">
        <v>405.863</v>
      </c>
      <c r="KT85" s="21" t="n">
        <v>198.719</v>
      </c>
      <c r="KU85" s="21" t="n">
        <v>233.036</v>
      </c>
      <c r="KV85" s="21" t="n">
        <v>341.467</v>
      </c>
      <c r="KW85" s="21" t="n">
        <v>272.606</v>
      </c>
      <c r="KX85" s="21" t="n">
        <v>206.266</v>
      </c>
      <c r="KY85" s="21" t="n">
        <v>97.559</v>
      </c>
      <c r="KZ85" s="21" t="n">
        <v>143.844</v>
      </c>
      <c r="LA85" s="21" t="n">
        <v>277.904</v>
      </c>
      <c r="LB85" s="21" t="n">
        <v>683.6319999999999</v>
      </c>
      <c r="LC85" s="21" t="n">
        <v>233.45</v>
      </c>
      <c r="LD85" s="21" t="n">
        <v>798.837</v>
      </c>
      <c r="LE85" s="21" t="n">
        <v>896.184</v>
      </c>
      <c r="LF85" s="21" t="n">
        <v>87.824</v>
      </c>
      <c r="LG85" s="21" t="n">
        <v>322.648</v>
      </c>
      <c r="LH85" s="21" t="n">
        <v>264.801</v>
      </c>
      <c r="LI85" s="21" t="n">
        <v>76.298</v>
      </c>
      <c r="LJ85" s="21" t="n">
        <v>217.153</v>
      </c>
      <c r="LK85" s="21" t="n">
        <v>342.081</v>
      </c>
      <c r="LL85" s="21" t="n">
        <v>346.193</v>
      </c>
      <c r="LM85" s="21" t="n">
        <v>71.986</v>
      </c>
      <c r="LN85" s="21" t="n">
        <v>94.735</v>
      </c>
      <c r="LO85" s="21" t="n">
        <v>48.139</v>
      </c>
      <c r="LP85" s="21" t="n">
        <v>138.89</v>
      </c>
      <c r="LQ85" s="21" t="n"/>
      <c r="LR85" s="21" t="n"/>
      <c r="LS85" s="21" t="n">
        <v>110.506</v>
      </c>
      <c r="LT85" s="21" t="n">
        <v>39.401</v>
      </c>
      <c r="LU85" s="21" t="n">
        <v>25.68</v>
      </c>
      <c r="LV85" s="21" t="n">
        <v>80.48099999999999</v>
      </c>
      <c r="LW85" s="21" t="n">
        <v>151.5</v>
      </c>
      <c r="LX85" s="21" t="n">
        <v>69.789</v>
      </c>
      <c r="LY85" s="21" t="n">
        <v>487.131</v>
      </c>
      <c r="LZ85" s="21" t="n">
        <v>82.47799999999999</v>
      </c>
      <c r="MA85" s="21" t="n">
        <v>540.914</v>
      </c>
      <c r="MB85" s="21" t="n">
        <v>303.512</v>
      </c>
      <c r="MC85" s="21" t="n">
        <v>247.561</v>
      </c>
      <c r="MD85" s="21" t="n">
        <v>159.06</v>
      </c>
      <c r="ME85" s="21" t="n">
        <v>104.129</v>
      </c>
      <c r="MF85" s="21" t="n">
        <v>176.243</v>
      </c>
      <c r="MG85" s="21" t="n">
        <v>302.994</v>
      </c>
      <c r="MH85" s="21" t="n">
        <v>184.876</v>
      </c>
      <c r="MI85" s="21" t="n">
        <v>477.817</v>
      </c>
      <c r="MJ85" s="21" t="n">
        <v>382.358</v>
      </c>
      <c r="MK85" s="21" t="n">
        <v>352.118</v>
      </c>
      <c r="ML85" s="21" t="n">
        <v>197.17</v>
      </c>
      <c r="MM85" s="21" t="n">
        <v>220.154</v>
      </c>
      <c r="MN85" s="21" t="n">
        <v>378.805</v>
      </c>
      <c r="MO85" s="21" t="n">
        <v>171.626</v>
      </c>
      <c r="MP85" s="21" t="n"/>
      <c r="MQ85" s="21" t="n">
        <v>79.416</v>
      </c>
      <c r="MR85" s="21" t="n">
        <v>172.779</v>
      </c>
      <c r="MS85" s="21" t="n"/>
      <c r="MT85" s="21" t="n">
        <v>266.729</v>
      </c>
      <c r="MU85" s="21" t="n">
        <v>283.593</v>
      </c>
      <c r="MV85" s="21" t="n">
        <v>277.506</v>
      </c>
      <c r="MW85" s="21" t="n">
        <v>283.908</v>
      </c>
      <c r="MX85" s="21" t="n">
        <v>257.431</v>
      </c>
      <c r="MY85" s="21" t="n">
        <v>249.81</v>
      </c>
      <c r="MZ85" s="21" t="n">
        <v>251.992</v>
      </c>
      <c r="NA85" s="21" t="n">
        <v>252.533</v>
      </c>
      <c r="NB85" s="21" t="n">
        <v>112.104</v>
      </c>
      <c r="NC85" s="21" t="n">
        <v>208.602</v>
      </c>
      <c r="ND85" s="21" t="n">
        <v>173.484</v>
      </c>
      <c r="NE85" s="21" t="n">
        <v>170.179</v>
      </c>
      <c r="NF85" s="21" t="n">
        <v>160.85</v>
      </c>
      <c r="NG85" s="21" t="n">
        <v>154.329</v>
      </c>
      <c r="NH85" s="21" t="n">
        <v>276.523</v>
      </c>
      <c r="NI85" s="21" t="n">
        <v>125.747</v>
      </c>
      <c r="NJ85" s="21" t="n">
        <v>67.771</v>
      </c>
      <c r="NK85" s="21" t="n">
        <v>116.774</v>
      </c>
      <c r="NL85" s="21" t="n">
        <v>256.207</v>
      </c>
      <c r="NM85" s="21" t="n">
        <v>296.391</v>
      </c>
      <c r="NN85" s="21" t="n">
        <v>99.556</v>
      </c>
      <c r="NO85" s="21" t="n">
        <v>47.94</v>
      </c>
      <c r="NP85" s="21" t="n">
        <v>248.393</v>
      </c>
      <c r="NQ85" s="21" t="n">
        <v>215.952</v>
      </c>
      <c r="NR85" s="21" t="n">
        <v>272.474</v>
      </c>
      <c r="NS85" s="21" t="n">
        <v>212.913</v>
      </c>
      <c r="NT85" s="21" t="n">
        <v>274.75</v>
      </c>
      <c r="NU85" s="21" t="n">
        <v>122.635</v>
      </c>
      <c r="NV85" s="21" t="n">
        <v>135.594</v>
      </c>
      <c r="NW85" s="21" t="n">
        <v>380.714</v>
      </c>
      <c r="NX85" s="21" t="n">
        <v>81.776</v>
      </c>
      <c r="NY85" s="21" t="n">
        <v>132.316</v>
      </c>
      <c r="NZ85" s="21" t="n">
        <v>356.091</v>
      </c>
      <c r="OA85" s="21" t="n">
        <v>347.429</v>
      </c>
      <c r="OB85" s="21" t="n">
        <v>359.559</v>
      </c>
      <c r="OC85" s="21" t="n">
        <v>329.918</v>
      </c>
      <c r="OD85" s="21" t="n">
        <v>364.361</v>
      </c>
      <c r="OE85" s="21" t="n">
        <v>132.861</v>
      </c>
      <c r="OF85" s="21" t="n">
        <v>326.063</v>
      </c>
      <c r="OG85" s="21" t="n">
        <v>231.516</v>
      </c>
      <c r="OH85" s="21" t="n">
        <v>36.557</v>
      </c>
      <c r="OI85" s="21" t="n">
        <v>137.722</v>
      </c>
      <c r="OJ85" s="21" t="n">
        <v>35.9</v>
      </c>
      <c r="OK85" s="21" t="n">
        <v>12</v>
      </c>
    </row>
    <row r="86">
      <c r="A86" s="22" t="n">
        <v>44562</v>
      </c>
      <c r="B86" s="21" t="n">
        <v>281.148</v>
      </c>
      <c r="C86" s="21" t="n">
        <v>842.196</v>
      </c>
      <c r="D86" s="21" t="n">
        <v>288.264</v>
      </c>
      <c r="E86" s="21" t="n">
        <v>289.772</v>
      </c>
      <c r="F86" s="21" t="n">
        <v>270.711</v>
      </c>
      <c r="G86" s="21" t="n">
        <v>302.242</v>
      </c>
      <c r="H86" s="21" t="n">
        <v>246.536</v>
      </c>
      <c r="I86" s="21" t="n">
        <v>264.478</v>
      </c>
      <c r="J86" s="21" t="n">
        <v>238.165</v>
      </c>
      <c r="K86" s="21" t="n">
        <v>255.463</v>
      </c>
      <c r="L86" s="21" t="n">
        <v>172.596</v>
      </c>
      <c r="M86" s="21" t="n">
        <v>334.55</v>
      </c>
      <c r="N86" s="21" t="n">
        <v>202.802</v>
      </c>
      <c r="O86" s="21" t="n">
        <v>365.274</v>
      </c>
      <c r="P86" s="21" t="n">
        <v>398.061</v>
      </c>
      <c r="Q86" s="21" t="n">
        <v>197.864</v>
      </c>
      <c r="R86" s="21" t="n">
        <v>315.217</v>
      </c>
      <c r="S86" s="21" t="n">
        <v>336.662</v>
      </c>
      <c r="T86" s="21" t="n">
        <v>294.312</v>
      </c>
      <c r="U86" s="21" t="n">
        <v>298.282</v>
      </c>
      <c r="V86" s="21" t="n">
        <v>346.638</v>
      </c>
      <c r="W86" s="21" t="n">
        <v>350.407</v>
      </c>
      <c r="X86" s="21" t="n">
        <v>287.687</v>
      </c>
      <c r="Y86" s="21" t="n">
        <v>298.441</v>
      </c>
      <c r="Z86" s="21" t="n">
        <v>303.03</v>
      </c>
      <c r="AA86" s="21" t="n">
        <v>311.191</v>
      </c>
      <c r="AB86" s="21" t="n">
        <v>386.953</v>
      </c>
      <c r="AC86" s="21" t="n">
        <v>327.558</v>
      </c>
      <c r="AD86" s="21" t="n">
        <v>308.437</v>
      </c>
      <c r="AE86" s="21" t="n">
        <v>262.132</v>
      </c>
      <c r="AF86" s="21" t="n">
        <v>325.486</v>
      </c>
      <c r="AG86" s="21" t="n">
        <v>258.369</v>
      </c>
      <c r="AH86" s="21" t="n">
        <v>196.618</v>
      </c>
      <c r="AI86" s="21" t="n">
        <v>377.828</v>
      </c>
      <c r="AJ86" s="21" t="n">
        <v>171.056</v>
      </c>
      <c r="AK86" s="21" t="n">
        <v>231.335</v>
      </c>
      <c r="AL86" s="21" t="n">
        <v>258.472</v>
      </c>
      <c r="AM86" s="21" t="n">
        <v>232.72</v>
      </c>
      <c r="AN86" s="21" t="n">
        <v>159.208</v>
      </c>
      <c r="AO86" s="21" t="n">
        <v>257.304</v>
      </c>
      <c r="AP86" s="21" t="n">
        <v>260.003</v>
      </c>
      <c r="AQ86" s="21" t="n">
        <v>165.157</v>
      </c>
      <c r="AR86" s="21" t="n"/>
      <c r="AS86" s="21" t="n"/>
      <c r="AT86" s="21" t="n">
        <v>269.905</v>
      </c>
      <c r="AU86" s="21" t="n">
        <v>174.096</v>
      </c>
      <c r="AV86" s="21" t="n">
        <v>277.98</v>
      </c>
      <c r="AW86" s="21" t="n">
        <v>263.296</v>
      </c>
      <c r="AX86" s="21" t="n">
        <v>173.654</v>
      </c>
      <c r="AY86" s="21" t="n">
        <v>343.868</v>
      </c>
      <c r="AZ86" s="21" t="n">
        <v>220.733</v>
      </c>
      <c r="BA86" s="21" t="n">
        <v>166.105</v>
      </c>
      <c r="BB86" s="21" t="n">
        <v>229.03</v>
      </c>
      <c r="BC86" s="21" t="n">
        <v>353.041</v>
      </c>
      <c r="BD86" s="21" t="n">
        <v>238.225</v>
      </c>
      <c r="BE86" s="21" t="n">
        <v>238.675</v>
      </c>
      <c r="BF86" s="21" t="n">
        <v>161.713</v>
      </c>
      <c r="BG86" s="21" t="n">
        <v>237.014</v>
      </c>
      <c r="BH86" s="21" t="n">
        <v>165.273</v>
      </c>
      <c r="BI86" s="21" t="n">
        <v>244.895</v>
      </c>
      <c r="BJ86" s="21" t="n">
        <v>237.231</v>
      </c>
      <c r="BK86" s="21" t="n">
        <v>158.645</v>
      </c>
      <c r="BL86" s="21" t="n">
        <v>327.451</v>
      </c>
      <c r="BM86" s="21" t="n">
        <v>379.065</v>
      </c>
      <c r="BN86" s="21" t="n">
        <v>394.945</v>
      </c>
      <c r="BO86" s="21" t="n">
        <v>343.824</v>
      </c>
      <c r="BP86" s="21" t="n">
        <v>203.353</v>
      </c>
      <c r="BQ86" s="21" t="n">
        <v>278.58</v>
      </c>
      <c r="BR86" s="21" t="n">
        <v>543.374</v>
      </c>
      <c r="BS86" s="21" t="n">
        <v>135.865</v>
      </c>
      <c r="BT86" s="21" t="n">
        <v>361.01</v>
      </c>
      <c r="BU86" s="21" t="n">
        <v>375.764</v>
      </c>
      <c r="BV86" s="21" t="n">
        <v>372.472</v>
      </c>
      <c r="BW86" s="21" t="n">
        <v>359.932</v>
      </c>
      <c r="BX86" s="21" t="n">
        <v>358.774</v>
      </c>
      <c r="BY86" s="21" t="n">
        <v>172.304</v>
      </c>
      <c r="BZ86" s="21" t="n">
        <v>181.418</v>
      </c>
      <c r="CA86" s="21" t="n">
        <v>175.22</v>
      </c>
      <c r="CB86" s="21" t="n">
        <v>192.774</v>
      </c>
      <c r="CC86" s="21" t="n">
        <v>159.389</v>
      </c>
      <c r="CD86" s="21" t="n">
        <v>212.071</v>
      </c>
      <c r="CE86" s="21" t="n">
        <v>166.376</v>
      </c>
      <c r="CF86" s="21" t="n">
        <v>207.187</v>
      </c>
      <c r="CG86" s="21" t="n">
        <v>188.719</v>
      </c>
      <c r="CH86" s="21" t="n">
        <v>148.707</v>
      </c>
      <c r="CI86" s="21" t="n">
        <v>191.568</v>
      </c>
      <c r="CJ86" s="21" t="n">
        <v>178.944</v>
      </c>
      <c r="CK86" s="21" t="n">
        <v>133.25</v>
      </c>
      <c r="CL86" s="21" t="n">
        <v>125.719</v>
      </c>
      <c r="CM86" s="21" t="n">
        <v>212.671</v>
      </c>
      <c r="CN86" s="21" t="n">
        <v>223.356</v>
      </c>
      <c r="CO86" s="21" t="n">
        <v>197.143</v>
      </c>
      <c r="CP86" s="21" t="n">
        <v>135.107</v>
      </c>
      <c r="CQ86" s="21" t="n">
        <v>233.956</v>
      </c>
      <c r="CR86" s="21" t="n">
        <v>245.158</v>
      </c>
      <c r="CS86" s="21" t="n">
        <v>217.259</v>
      </c>
      <c r="CT86" s="21" t="n">
        <v>166.658</v>
      </c>
      <c r="CU86" s="21" t="n">
        <v>168.285</v>
      </c>
      <c r="CV86" s="21" t="n">
        <v>256.387</v>
      </c>
      <c r="CW86" s="21" t="n">
        <v>218.1</v>
      </c>
      <c r="CX86" s="21" t="n">
        <v>255.302</v>
      </c>
      <c r="CY86" s="21" t="n">
        <v>329.656</v>
      </c>
      <c r="CZ86" s="21" t="n">
        <v>143.873</v>
      </c>
      <c r="DA86" s="21" t="n">
        <v>185.347</v>
      </c>
      <c r="DB86" s="21" t="n">
        <v>180.815</v>
      </c>
      <c r="DC86" s="21" t="n">
        <v>248.709</v>
      </c>
      <c r="DD86" s="21" t="n">
        <v>261.73</v>
      </c>
      <c r="DE86" s="21" t="n">
        <v>187.512</v>
      </c>
      <c r="DF86" s="21" t="n">
        <v>276.331</v>
      </c>
      <c r="DG86" s="21" t="n">
        <v>265.883</v>
      </c>
      <c r="DH86" s="21" t="n">
        <v>169.219</v>
      </c>
      <c r="DI86" s="21" t="n">
        <v>158.726</v>
      </c>
      <c r="DJ86" s="21" t="n">
        <v>152.921</v>
      </c>
      <c r="DK86" s="21" t="n">
        <v>303.008</v>
      </c>
      <c r="DL86" s="21" t="n">
        <v>186.204</v>
      </c>
      <c r="DM86" s="21" t="n">
        <v>147.038</v>
      </c>
      <c r="DN86" s="21" t="n">
        <v>140.056</v>
      </c>
      <c r="DO86" s="21" t="n">
        <v>319.471</v>
      </c>
      <c r="DP86" s="21" t="n">
        <v>197.808</v>
      </c>
      <c r="DQ86" s="21" t="n">
        <v>212.192</v>
      </c>
      <c r="DR86" s="21" t="n">
        <v>83.735</v>
      </c>
      <c r="DS86" s="21" t="n">
        <v>47.741</v>
      </c>
      <c r="DT86" s="21" t="n">
        <v>183.491</v>
      </c>
      <c r="DU86" s="21" t="n">
        <v>211.806</v>
      </c>
      <c r="DV86" s="21" t="n">
        <v>266.749</v>
      </c>
      <c r="DW86" s="21" t="n">
        <v>213.595</v>
      </c>
      <c r="DX86" s="21" t="n">
        <v>243.472</v>
      </c>
      <c r="DY86" s="21" t="n">
        <v>204.032</v>
      </c>
      <c r="DZ86" s="21" t="n">
        <v>216.591</v>
      </c>
      <c r="EA86" s="21" t="n">
        <v>200.126</v>
      </c>
      <c r="EB86" s="21" t="n">
        <v>174.771</v>
      </c>
      <c r="EC86" s="21" t="n">
        <v>383.554</v>
      </c>
      <c r="ED86" s="21" t="n">
        <v>188.532</v>
      </c>
      <c r="EE86" s="21" t="n">
        <v>205.701</v>
      </c>
      <c r="EF86" s="21" t="n">
        <v>211.264</v>
      </c>
      <c r="EG86" s="21" t="n">
        <v>289.889</v>
      </c>
      <c r="EH86" s="21" t="n">
        <v>342.604</v>
      </c>
      <c r="EI86" s="21" t="n">
        <v>357.737</v>
      </c>
      <c r="EJ86" s="21" t="n">
        <v>163.968</v>
      </c>
      <c r="EK86" s="21" t="n">
        <v>592.135</v>
      </c>
      <c r="EL86" s="21" t="n">
        <v>332.464</v>
      </c>
      <c r="EM86" s="21" t="n">
        <v>352.005</v>
      </c>
      <c r="EN86" s="21" t="n">
        <v>352.014</v>
      </c>
      <c r="EO86" s="21" t="n">
        <v>149.942</v>
      </c>
      <c r="EP86" s="21" t="n">
        <v>278.758</v>
      </c>
      <c r="EQ86" s="21" t="n">
        <v>233.373</v>
      </c>
      <c r="ER86" s="21" t="n">
        <v>364.145</v>
      </c>
      <c r="ES86" s="21" t="n">
        <v>356.864</v>
      </c>
      <c r="ET86" s="21" t="n">
        <v>444.168</v>
      </c>
      <c r="EU86" s="21" t="n">
        <v>235.941</v>
      </c>
      <c r="EV86" s="21" t="n">
        <v>238.183</v>
      </c>
      <c r="EW86" s="21" t="n">
        <v>225.181</v>
      </c>
      <c r="EX86" s="21" t="n">
        <v>268.128</v>
      </c>
      <c r="EY86" s="21" t="n">
        <v>620.547</v>
      </c>
      <c r="EZ86" s="21" t="n">
        <v>533.078</v>
      </c>
      <c r="FA86" s="21" t="n">
        <v>139.162</v>
      </c>
      <c r="FB86" s="21" t="n">
        <v>59.776</v>
      </c>
      <c r="FC86" s="21" t="n">
        <v>118.733</v>
      </c>
      <c r="FD86" s="21" t="n">
        <v>73.596</v>
      </c>
      <c r="FE86" s="21" t="n">
        <v>43.972</v>
      </c>
      <c r="FF86" s="21" t="n">
        <v>134.732</v>
      </c>
      <c r="FG86" s="21" t="n">
        <v>145.874</v>
      </c>
      <c r="FH86" s="21" t="n">
        <v>107.226</v>
      </c>
      <c r="FI86" s="21" t="n">
        <v>84.27800000000001</v>
      </c>
      <c r="FJ86" s="21" t="n"/>
      <c r="FK86" s="21" t="n">
        <v>88.254</v>
      </c>
      <c r="FL86" s="21" t="n">
        <v>103.428</v>
      </c>
      <c r="FM86" s="21" t="n">
        <v>118.009</v>
      </c>
      <c r="FN86" s="21" t="n">
        <v>73.328</v>
      </c>
      <c r="FO86" s="21" t="n">
        <v>53.975</v>
      </c>
      <c r="FP86" s="21" t="n">
        <v>40.012</v>
      </c>
      <c r="FQ86" s="21" t="n">
        <v>144.629</v>
      </c>
      <c r="FR86" s="21" t="n">
        <v>47.22</v>
      </c>
      <c r="FS86" s="21" t="n">
        <v>83.14100000000001</v>
      </c>
      <c r="FT86" s="21" t="n">
        <v>102.35</v>
      </c>
      <c r="FU86" s="21" t="n">
        <v>109.426</v>
      </c>
      <c r="FV86" s="21" t="n">
        <v>99.11799999999999</v>
      </c>
      <c r="FW86" s="21" t="n">
        <v>206.962</v>
      </c>
      <c r="FX86" s="21" t="n">
        <v>132.741</v>
      </c>
      <c r="FY86" s="21" t="n">
        <v>199.963</v>
      </c>
      <c r="FZ86" s="21" t="n">
        <v>124.399</v>
      </c>
      <c r="GA86" s="21" t="n"/>
      <c r="GB86" s="21" t="n">
        <v>199.826</v>
      </c>
      <c r="GC86" s="21" t="n"/>
      <c r="GD86" s="21" t="n">
        <v>197.574</v>
      </c>
      <c r="GE86" s="21" t="n"/>
      <c r="GF86" s="21" t="n">
        <v>124.079</v>
      </c>
      <c r="GG86" s="21" t="n">
        <v>120.948</v>
      </c>
      <c r="GH86" s="21" t="n">
        <v>122.869</v>
      </c>
      <c r="GI86" s="21" t="n">
        <v>98.443</v>
      </c>
      <c r="GJ86" s="21" t="n">
        <v>170.644</v>
      </c>
      <c r="GK86" s="21" t="n">
        <v>75.17400000000001</v>
      </c>
      <c r="GL86" s="21" t="n">
        <v>125.67</v>
      </c>
      <c r="GM86" s="21" t="n">
        <v>111.432</v>
      </c>
      <c r="GN86" s="21" t="n">
        <v>101.805</v>
      </c>
      <c r="GO86" s="21" t="n">
        <v>102.766</v>
      </c>
      <c r="GP86" s="21" t="n">
        <v>100.717</v>
      </c>
      <c r="GQ86" s="21" t="n">
        <v>100.998</v>
      </c>
      <c r="GR86" s="21" t="n">
        <v>69.732</v>
      </c>
      <c r="GS86" s="21" t="n">
        <v>103.677</v>
      </c>
      <c r="GT86" s="21" t="n">
        <v>96.78</v>
      </c>
      <c r="GU86" s="21" t="n">
        <v>141.803</v>
      </c>
      <c r="GV86" s="21" t="n">
        <v>147.901</v>
      </c>
      <c r="GW86" s="21" t="n">
        <v>162.38</v>
      </c>
      <c r="GX86" s="21" t="n">
        <v>127.319</v>
      </c>
      <c r="GY86" s="21" t="n">
        <v>118.218</v>
      </c>
      <c r="GZ86" s="21" t="n">
        <v>190.928</v>
      </c>
      <c r="HA86" s="21" t="n">
        <v>152.118</v>
      </c>
      <c r="HB86" s="21" t="n">
        <v>189.367</v>
      </c>
      <c r="HC86" s="21" t="n">
        <v>248.424</v>
      </c>
      <c r="HD86" s="21" t="n">
        <v>248.995</v>
      </c>
      <c r="HE86" s="21" t="n">
        <v>126.211</v>
      </c>
      <c r="HF86" s="21" t="n">
        <v>167.582</v>
      </c>
      <c r="HG86" s="21" t="n">
        <v>116.185</v>
      </c>
      <c r="HH86" s="21" t="n">
        <v>163.15</v>
      </c>
      <c r="HI86" s="21" t="n">
        <v>178.47</v>
      </c>
      <c r="HJ86" s="21" t="n"/>
      <c r="HK86" s="21" t="n">
        <v>210.293</v>
      </c>
      <c r="HL86" s="21" t="n"/>
      <c r="HM86" s="21" t="n">
        <v>172.565</v>
      </c>
      <c r="HN86" s="21" t="n">
        <v>291.767</v>
      </c>
      <c r="HO86" s="21" t="n">
        <v>290.416</v>
      </c>
      <c r="HP86" s="21" t="n">
        <v>284.96</v>
      </c>
      <c r="HQ86" s="21" t="n">
        <v>312.856</v>
      </c>
      <c r="HR86" s="21" t="n">
        <v>304.2</v>
      </c>
      <c r="HS86" s="21" t="n">
        <v>269.178</v>
      </c>
      <c r="HT86" s="21" t="n">
        <v>167.991</v>
      </c>
      <c r="HU86" s="21" t="n">
        <v>144.773</v>
      </c>
      <c r="HV86" s="21" t="n">
        <v>197.828</v>
      </c>
      <c r="HW86" s="21" t="n">
        <v>184.136</v>
      </c>
      <c r="HX86" s="21" t="n">
        <v>438.398</v>
      </c>
      <c r="HY86" s="21" t="n">
        <v>325.448</v>
      </c>
      <c r="HZ86" s="21" t="n">
        <v>365.007</v>
      </c>
      <c r="IA86" s="21" t="n">
        <v>296.122</v>
      </c>
      <c r="IB86" s="21" t="n">
        <v>195.474</v>
      </c>
      <c r="IC86" s="21" t="n">
        <v>574.042</v>
      </c>
      <c r="ID86" s="21" t="n">
        <v>199.71</v>
      </c>
      <c r="IE86" s="21" t="n">
        <v>186.969</v>
      </c>
      <c r="IF86" s="21" t="n">
        <v>219.91</v>
      </c>
      <c r="IG86" s="21" t="n">
        <v>253.695</v>
      </c>
      <c r="IH86" s="21" t="n"/>
      <c r="II86" s="21" t="n">
        <v>226.308</v>
      </c>
      <c r="IJ86" s="21" t="n">
        <v>210.762</v>
      </c>
      <c r="IK86" s="21" t="n">
        <v>156.059</v>
      </c>
      <c r="IL86" s="21" t="n"/>
      <c r="IM86" s="21" t="n"/>
      <c r="IN86" s="21" t="n">
        <v>62.592</v>
      </c>
      <c r="IO86" s="21" t="n">
        <v>326.681</v>
      </c>
      <c r="IP86" s="21" t="n">
        <v>128.279</v>
      </c>
      <c r="IQ86" s="21" t="n">
        <v>535.048</v>
      </c>
      <c r="IR86" s="21" t="n">
        <v>382.984</v>
      </c>
      <c r="IS86" s="21" t="n">
        <v>125.504</v>
      </c>
      <c r="IT86" s="21" t="n">
        <v>532.044</v>
      </c>
      <c r="IU86" s="21" t="n">
        <v>96.42</v>
      </c>
      <c r="IV86" s="21" t="n">
        <v>98.971</v>
      </c>
      <c r="IW86" s="21" t="n">
        <v>584.111</v>
      </c>
      <c r="IX86" s="21" t="n">
        <v>406.197</v>
      </c>
      <c r="IY86" s="21" t="n">
        <v>408.335</v>
      </c>
      <c r="IZ86" s="21" t="n">
        <v>528.62</v>
      </c>
      <c r="JA86" s="21" t="n">
        <v>196.673</v>
      </c>
      <c r="JB86" s="21" t="n">
        <v>256.437</v>
      </c>
      <c r="JC86" s="21" t="n">
        <v>88.199</v>
      </c>
      <c r="JD86" s="21" t="n">
        <v>371.646</v>
      </c>
      <c r="JE86" s="21" t="n">
        <v>360.567</v>
      </c>
      <c r="JF86" s="21" t="n">
        <v>803.413</v>
      </c>
      <c r="JG86" s="21" t="n">
        <v>255.351</v>
      </c>
      <c r="JH86" s="21" t="n">
        <v>138.372</v>
      </c>
      <c r="JI86" s="21" t="n">
        <v>180.07</v>
      </c>
      <c r="JJ86" s="21" t="n">
        <v>127.937</v>
      </c>
      <c r="JK86" s="21" t="n">
        <v>111.376</v>
      </c>
      <c r="JL86" s="21" t="n">
        <v>135.734</v>
      </c>
      <c r="JM86" s="21" t="n">
        <v>529.522</v>
      </c>
      <c r="JN86" s="21" t="n">
        <v>118.013</v>
      </c>
      <c r="JO86" s="21" t="n">
        <v>65.304</v>
      </c>
      <c r="JP86" s="21" t="n">
        <v>31.121</v>
      </c>
      <c r="JQ86" s="21" t="n">
        <v>140.977</v>
      </c>
      <c r="JR86" s="21" t="n">
        <v>25.621</v>
      </c>
      <c r="JS86" s="21" t="n">
        <v>79.855</v>
      </c>
      <c r="JT86" s="21" t="n">
        <v>190.444</v>
      </c>
      <c r="JU86" s="21" t="n">
        <v>209.441</v>
      </c>
      <c r="JV86" s="21" t="n">
        <v>159.179</v>
      </c>
      <c r="JW86" s="21" t="n">
        <v>121.095</v>
      </c>
      <c r="JX86" s="21" t="n">
        <v>284.202</v>
      </c>
      <c r="JY86" s="21" t="n">
        <v>216.063</v>
      </c>
      <c r="JZ86" s="21" t="n">
        <v>299.474</v>
      </c>
      <c r="KA86" s="21" t="n">
        <v>126.795</v>
      </c>
      <c r="KB86" s="21" t="n">
        <v>177.096</v>
      </c>
      <c r="KC86" s="21" t="n">
        <v>85.15900000000001</v>
      </c>
      <c r="KD86" s="21" t="n">
        <v>78.31699999999999</v>
      </c>
      <c r="KE86" s="21" t="n">
        <v>58.838</v>
      </c>
      <c r="KF86" s="21" t="n"/>
      <c r="KG86" s="21" t="n">
        <v>24.794</v>
      </c>
      <c r="KH86" s="21" t="n">
        <v>125.879</v>
      </c>
      <c r="KI86" s="21" t="n"/>
      <c r="KJ86" s="21" t="n"/>
      <c r="KK86" s="21" t="n">
        <v>34.065</v>
      </c>
      <c r="KL86" s="21" t="n">
        <v>29.55</v>
      </c>
      <c r="KM86" s="21" t="n">
        <v>39.181</v>
      </c>
      <c r="KN86" s="21" t="n"/>
      <c r="KO86" s="21" t="n">
        <v>94.736</v>
      </c>
      <c r="KP86" s="21" t="n">
        <v>111.143</v>
      </c>
      <c r="KQ86" s="21" t="n">
        <v>180.003</v>
      </c>
      <c r="KR86" s="21" t="n">
        <v>148.622</v>
      </c>
      <c r="KS86" s="21" t="n">
        <v>406.999</v>
      </c>
      <c r="KT86" s="21" t="n">
        <v>200.342</v>
      </c>
      <c r="KU86" s="21" t="n">
        <v>229.761</v>
      </c>
      <c r="KV86" s="21" t="n">
        <v>344.338</v>
      </c>
      <c r="KW86" s="21" t="n">
        <v>274.72</v>
      </c>
      <c r="KX86" s="21" t="n">
        <v>207.647</v>
      </c>
      <c r="KY86" s="21" t="n">
        <v>98.459</v>
      </c>
      <c r="KZ86" s="21" t="n">
        <v>143.876</v>
      </c>
      <c r="LA86" s="21" t="n">
        <v>278.087</v>
      </c>
      <c r="LB86" s="21" t="n">
        <v>702.326</v>
      </c>
      <c r="LC86" s="21" t="n">
        <v>240.959</v>
      </c>
      <c r="LD86" s="21" t="n">
        <v>798.643</v>
      </c>
      <c r="LE86" s="21" t="n">
        <v>895.2569999999999</v>
      </c>
      <c r="LF86" s="21" t="n">
        <v>87.824</v>
      </c>
      <c r="LG86" s="21" t="n">
        <v>323.184</v>
      </c>
      <c r="LH86" s="21" t="n">
        <v>263.766</v>
      </c>
      <c r="LI86" s="21" t="n">
        <v>76.292</v>
      </c>
      <c r="LJ86" s="21" t="n">
        <v>215.705</v>
      </c>
      <c r="LK86" s="21" t="n">
        <v>337.645</v>
      </c>
      <c r="LL86" s="21" t="n">
        <v>364.446</v>
      </c>
      <c r="LM86" s="21" t="n">
        <v>71.991</v>
      </c>
      <c r="LN86" s="21" t="n">
        <v>94.77800000000001</v>
      </c>
      <c r="LO86" s="21" t="n">
        <v>48.073</v>
      </c>
      <c r="LP86" s="21" t="n">
        <v>140.232</v>
      </c>
      <c r="LQ86" s="21" t="n"/>
      <c r="LR86" s="21" t="n"/>
      <c r="LS86" s="21" t="n">
        <v>110.467</v>
      </c>
      <c r="LT86" s="21" t="n">
        <v>39.651</v>
      </c>
      <c r="LU86" s="21" t="n">
        <v>25.746</v>
      </c>
      <c r="LV86" s="21" t="n">
        <v>80.54900000000001</v>
      </c>
      <c r="LW86" s="21" t="n">
        <v>150.012</v>
      </c>
      <c r="LX86" s="21" t="n">
        <v>70.535</v>
      </c>
      <c r="LY86" s="21" t="n">
        <v>490.856</v>
      </c>
      <c r="LZ86" s="21" t="n">
        <v>82.408</v>
      </c>
      <c r="MA86" s="21" t="n">
        <v>539.197</v>
      </c>
      <c r="MB86" s="21" t="n">
        <v>308.292</v>
      </c>
      <c r="MC86" s="21" t="n">
        <v>249.954</v>
      </c>
      <c r="MD86" s="21" t="n">
        <v>160.224</v>
      </c>
      <c r="ME86" s="21" t="n">
        <v>105.278</v>
      </c>
      <c r="MF86" s="21" t="n">
        <v>176.817</v>
      </c>
      <c r="MG86" s="21" t="n">
        <v>306.709</v>
      </c>
      <c r="MH86" s="21" t="n">
        <v>187.143</v>
      </c>
      <c r="MI86" s="21" t="n">
        <v>479.831</v>
      </c>
      <c r="MJ86" s="21" t="n">
        <v>381.584</v>
      </c>
      <c r="MK86" s="21" t="n">
        <v>353.787</v>
      </c>
      <c r="ML86" s="21" t="n">
        <v>198.762</v>
      </c>
      <c r="MM86" s="21" t="n">
        <v>219.913</v>
      </c>
      <c r="MN86" s="21" t="n">
        <v>382.021</v>
      </c>
      <c r="MO86" s="21" t="n">
        <v>171.626</v>
      </c>
      <c r="MP86" s="21" t="n">
        <v>279.941</v>
      </c>
      <c r="MQ86" s="21" t="n">
        <v>82.19199999999999</v>
      </c>
      <c r="MR86" s="21" t="n">
        <v>173.333</v>
      </c>
      <c r="MS86" s="21" t="n"/>
      <c r="MT86" s="21" t="n">
        <v>268.947</v>
      </c>
      <c r="MU86" s="21" t="n">
        <v>285.779</v>
      </c>
      <c r="MV86" s="21" t="n">
        <v>279.782</v>
      </c>
      <c r="MW86" s="21" t="n">
        <v>285.996</v>
      </c>
      <c r="MX86" s="21" t="n">
        <v>260.156</v>
      </c>
      <c r="MY86" s="21" t="n">
        <v>252.505</v>
      </c>
      <c r="MZ86" s="21" t="n">
        <v>254.448</v>
      </c>
      <c r="NA86" s="21" t="n">
        <v>254.861</v>
      </c>
      <c r="NB86" s="21" t="n">
        <v>115.394</v>
      </c>
      <c r="NC86" s="21" t="n">
        <v>210.918</v>
      </c>
      <c r="ND86" s="21" t="n">
        <v>175.53</v>
      </c>
      <c r="NE86" s="21" t="n">
        <v>172.227</v>
      </c>
      <c r="NF86" s="21" t="n">
        <v>162.991</v>
      </c>
      <c r="NG86" s="21" t="n">
        <v>156.318</v>
      </c>
      <c r="NH86" s="21" t="n">
        <v>279.808</v>
      </c>
      <c r="NI86" s="21" t="n">
        <v>127.345</v>
      </c>
      <c r="NJ86" s="21" t="n">
        <v>67.846</v>
      </c>
      <c r="NK86" s="21" t="n">
        <v>116.784</v>
      </c>
      <c r="NL86" s="21" t="n">
        <v>260.653</v>
      </c>
      <c r="NM86" s="21" t="n">
        <v>297.454</v>
      </c>
      <c r="NN86" s="21" t="n">
        <v>101.553</v>
      </c>
      <c r="NO86" s="21" t="n">
        <v>47.849</v>
      </c>
      <c r="NP86" s="21" t="n">
        <v>250.951</v>
      </c>
      <c r="NQ86" s="21" t="n">
        <v>218.295</v>
      </c>
      <c r="NR86" s="21" t="n">
        <v>274.509</v>
      </c>
      <c r="NS86" s="21" t="n">
        <v>215.316</v>
      </c>
      <c r="NT86" s="21" t="n">
        <v>276.866</v>
      </c>
      <c r="NU86" s="21" t="n">
        <v>123.603</v>
      </c>
      <c r="NV86" s="21" t="n">
        <v>136.598</v>
      </c>
      <c r="NW86" s="21" t="n">
        <v>382.052</v>
      </c>
      <c r="NX86" s="21" t="n">
        <v>82.849</v>
      </c>
      <c r="NY86" s="21" t="n">
        <v>133.348</v>
      </c>
      <c r="NZ86" s="21" t="n">
        <v>357.543</v>
      </c>
      <c r="OA86" s="21" t="n">
        <v>349.753</v>
      </c>
      <c r="OB86" s="21" t="n">
        <v>361.397</v>
      </c>
      <c r="OC86" s="21" t="n">
        <v>332.001</v>
      </c>
      <c r="OD86" s="21" t="n">
        <v>367.891</v>
      </c>
      <c r="OE86" s="21" t="n">
        <v>134.285</v>
      </c>
      <c r="OF86" s="21" t="n">
        <v>328.665</v>
      </c>
      <c r="OG86" s="21" t="n">
        <v>235.419</v>
      </c>
      <c r="OH86" s="21" t="n">
        <v>36.582</v>
      </c>
      <c r="OI86" s="21" t="n">
        <v>139.028</v>
      </c>
      <c r="OJ86" s="21" t="n">
        <v>35.6</v>
      </c>
      <c r="OK86" s="21" t="n">
        <v>11.9</v>
      </c>
    </row>
    <row r="87">
      <c r="A87" s="22" t="n">
        <v>44593</v>
      </c>
      <c r="B87" s="21" t="n">
        <v>283.716</v>
      </c>
      <c r="C87" s="21" t="n">
        <v>849.8869999999999</v>
      </c>
      <c r="D87" s="21" t="n">
        <v>291.244</v>
      </c>
      <c r="E87" s="21" t="n">
        <v>292.794</v>
      </c>
      <c r="F87" s="21" t="n">
        <v>274.568</v>
      </c>
      <c r="G87" s="21" t="n">
        <v>306.193</v>
      </c>
      <c r="H87" s="21" t="n">
        <v>249.59</v>
      </c>
      <c r="I87" s="21" t="n">
        <v>266.133</v>
      </c>
      <c r="J87" s="21" t="n">
        <v>240.812</v>
      </c>
      <c r="K87" s="21" t="n">
        <v>259.56</v>
      </c>
      <c r="L87" s="21" t="n">
        <v>174.179</v>
      </c>
      <c r="M87" s="21" t="n">
        <v>339.033</v>
      </c>
      <c r="N87" s="21" t="n">
        <v>203.586</v>
      </c>
      <c r="O87" s="21" t="n">
        <v>367.584</v>
      </c>
      <c r="P87" s="21" t="n">
        <v>399.72</v>
      </c>
      <c r="Q87" s="21" t="n">
        <v>202.667</v>
      </c>
      <c r="R87" s="21" t="n">
        <v>319.043</v>
      </c>
      <c r="S87" s="21" t="n">
        <v>338.044</v>
      </c>
      <c r="T87" s="21" t="n">
        <v>299.803</v>
      </c>
      <c r="U87" s="21" t="n">
        <v>303.535</v>
      </c>
      <c r="V87" s="21" t="n">
        <v>360.943</v>
      </c>
      <c r="W87" s="21" t="n">
        <v>357.617</v>
      </c>
      <c r="X87" s="21" t="n">
        <v>291.714</v>
      </c>
      <c r="Y87" s="21" t="n">
        <v>301.24</v>
      </c>
      <c r="Z87" s="21" t="n">
        <v>305.641</v>
      </c>
      <c r="AA87" s="21" t="n">
        <v>313.597</v>
      </c>
      <c r="AB87" s="21" t="n">
        <v>388.888</v>
      </c>
      <c r="AC87" s="21" t="n">
        <v>329.701</v>
      </c>
      <c r="AD87" s="21" t="n">
        <v>313.372</v>
      </c>
      <c r="AE87" s="21" t="n">
        <v>261.646</v>
      </c>
      <c r="AF87" s="21" t="n">
        <v>328.8</v>
      </c>
      <c r="AG87" s="21" t="n">
        <v>260.08</v>
      </c>
      <c r="AH87" s="21" t="n">
        <v>196.697</v>
      </c>
      <c r="AI87" s="21" t="n">
        <v>376.427</v>
      </c>
      <c r="AJ87" s="21" t="n">
        <v>172.019</v>
      </c>
      <c r="AK87" s="21" t="n">
        <v>237.715</v>
      </c>
      <c r="AL87" s="21" t="n">
        <v>264.851</v>
      </c>
      <c r="AM87" s="21" t="n">
        <v>232.694</v>
      </c>
      <c r="AN87" s="21" t="n">
        <v>160.293</v>
      </c>
      <c r="AO87" s="21" t="n">
        <v>261.316</v>
      </c>
      <c r="AP87" s="21" t="n">
        <v>265.434</v>
      </c>
      <c r="AQ87" s="21" t="n">
        <v>168.398</v>
      </c>
      <c r="AR87" s="21" t="n"/>
      <c r="AS87" s="21" t="n"/>
      <c r="AT87" s="21" t="n">
        <v>274.557</v>
      </c>
      <c r="AU87" s="21" t="n">
        <v>177.293</v>
      </c>
      <c r="AV87" s="21" t="n">
        <v>285.084</v>
      </c>
      <c r="AW87" s="21" t="n">
        <v>267.655</v>
      </c>
      <c r="AX87" s="21" t="n">
        <v>175.812</v>
      </c>
      <c r="AY87" s="21" t="n">
        <v>344.518</v>
      </c>
      <c r="AZ87" s="21" t="n">
        <v>219.198</v>
      </c>
      <c r="BA87" s="21" t="n">
        <v>167.968</v>
      </c>
      <c r="BB87" s="21" t="n">
        <v>231.568</v>
      </c>
      <c r="BC87" s="21" t="n">
        <v>357.658</v>
      </c>
      <c r="BD87" s="21" t="n">
        <v>243.365</v>
      </c>
      <c r="BE87" s="21" t="n">
        <v>242.386</v>
      </c>
      <c r="BF87" s="21" t="n">
        <v>165.941</v>
      </c>
      <c r="BG87" s="21" t="n">
        <v>241.365</v>
      </c>
      <c r="BH87" s="21" t="n">
        <v>170.004</v>
      </c>
      <c r="BI87" s="21" t="n">
        <v>247.864</v>
      </c>
      <c r="BJ87" s="21" t="n">
        <v>240.373</v>
      </c>
      <c r="BK87" s="21" t="n">
        <v>160.351</v>
      </c>
      <c r="BL87" s="21" t="n">
        <v>333.675</v>
      </c>
      <c r="BM87" s="21" t="n">
        <v>386.178</v>
      </c>
      <c r="BN87" s="21" t="n">
        <v>408.722</v>
      </c>
      <c r="BO87" s="21" t="n">
        <v>356.638</v>
      </c>
      <c r="BP87" s="21" t="n">
        <v>203.153</v>
      </c>
      <c r="BQ87" s="21" t="n">
        <v>295.623</v>
      </c>
      <c r="BR87" s="21" t="n">
        <v>566.731</v>
      </c>
      <c r="BS87" s="21" t="n">
        <v>139.851</v>
      </c>
      <c r="BT87" s="21" t="n">
        <v>360.989</v>
      </c>
      <c r="BU87" s="21" t="n">
        <v>381.098</v>
      </c>
      <c r="BV87" s="21" t="n">
        <v>371.389</v>
      </c>
      <c r="BW87" s="21" t="n">
        <v>353.178</v>
      </c>
      <c r="BX87" s="21" t="n">
        <v>359.581</v>
      </c>
      <c r="BY87" s="21" t="n">
        <v>175.719</v>
      </c>
      <c r="BZ87" s="21" t="n">
        <v>185.295</v>
      </c>
      <c r="CA87" s="21" t="n">
        <v>176.105</v>
      </c>
      <c r="CB87" s="21" t="n">
        <v>198.153</v>
      </c>
      <c r="CC87" s="21" t="n">
        <v>162.581</v>
      </c>
      <c r="CD87" s="21" t="n">
        <v>216.969</v>
      </c>
      <c r="CE87" s="21" t="n">
        <v>168.941</v>
      </c>
      <c r="CF87" s="21" t="n">
        <v>208.282</v>
      </c>
      <c r="CG87" s="21" t="n">
        <v>192.21</v>
      </c>
      <c r="CH87" s="21" t="n">
        <v>151.438</v>
      </c>
      <c r="CI87" s="21" t="n">
        <v>195.887</v>
      </c>
      <c r="CJ87" s="21" t="n">
        <v>187.086</v>
      </c>
      <c r="CK87" s="21" t="n">
        <v>135.224</v>
      </c>
      <c r="CL87" s="21" t="n">
        <v>128.086</v>
      </c>
      <c r="CM87" s="21" t="n">
        <v>215.997</v>
      </c>
      <c r="CN87" s="21" t="n">
        <v>226.913</v>
      </c>
      <c r="CO87" s="21" t="n">
        <v>198.52</v>
      </c>
      <c r="CP87" s="21" t="n">
        <v>138.445</v>
      </c>
      <c r="CQ87" s="21" t="n">
        <v>237.143</v>
      </c>
      <c r="CR87" s="21" t="n">
        <v>247.832</v>
      </c>
      <c r="CS87" s="21" t="n">
        <v>219.558</v>
      </c>
      <c r="CT87" s="21" t="n">
        <v>168.711</v>
      </c>
      <c r="CU87" s="21" t="n">
        <v>169.445</v>
      </c>
      <c r="CV87" s="21" t="n">
        <v>260.676</v>
      </c>
      <c r="CW87" s="21" t="n">
        <v>225.344</v>
      </c>
      <c r="CX87" s="21" t="n">
        <v>262.486</v>
      </c>
      <c r="CY87" s="21" t="n">
        <v>346.195</v>
      </c>
      <c r="CZ87" s="21" t="n">
        <v>145.227</v>
      </c>
      <c r="DA87" s="21" t="n">
        <v>187.245</v>
      </c>
      <c r="DB87" s="21" t="n">
        <v>184.416</v>
      </c>
      <c r="DC87" s="21" t="n">
        <v>252.102</v>
      </c>
      <c r="DD87" s="21" t="n">
        <v>275.822</v>
      </c>
      <c r="DE87" s="21" t="n">
        <v>190.449</v>
      </c>
      <c r="DF87" s="21" t="n">
        <v>280.691</v>
      </c>
      <c r="DG87" s="21" t="n">
        <v>267.198</v>
      </c>
      <c r="DH87" s="21" t="n">
        <v>170.132</v>
      </c>
      <c r="DI87" s="21" t="n">
        <v>159.751</v>
      </c>
      <c r="DJ87" s="21" t="n">
        <v>154.5</v>
      </c>
      <c r="DK87" s="21" t="n">
        <v>301.418</v>
      </c>
      <c r="DL87" s="21" t="n">
        <v>187.551</v>
      </c>
      <c r="DM87" s="21" t="n">
        <v>148.522</v>
      </c>
      <c r="DN87" s="21" t="n">
        <v>143.791</v>
      </c>
      <c r="DO87" s="21" t="n">
        <v>320.88</v>
      </c>
      <c r="DP87" s="21" t="n">
        <v>199.077</v>
      </c>
      <c r="DQ87" s="21" t="n">
        <v>212.755</v>
      </c>
      <c r="DR87" s="21" t="n">
        <v>82.066</v>
      </c>
      <c r="DS87" s="21" t="n">
        <v>47.935</v>
      </c>
      <c r="DT87" s="21" t="n">
        <v>183.891</v>
      </c>
      <c r="DU87" s="21" t="n">
        <v>213.474</v>
      </c>
      <c r="DV87" s="21" t="n">
        <v>269.128</v>
      </c>
      <c r="DW87" s="21" t="n">
        <v>216.099</v>
      </c>
      <c r="DX87" s="21" t="n">
        <v>248.705</v>
      </c>
      <c r="DY87" s="21" t="n">
        <v>204.445</v>
      </c>
      <c r="DZ87" s="21" t="n">
        <v>218.334</v>
      </c>
      <c r="EA87" s="21" t="n">
        <v>200.016</v>
      </c>
      <c r="EB87" s="21" t="n">
        <v>176.08</v>
      </c>
      <c r="EC87" s="21" t="n">
        <v>384.823</v>
      </c>
      <c r="ED87" s="21" t="n">
        <v>189.457</v>
      </c>
      <c r="EE87" s="21" t="n">
        <v>206.1</v>
      </c>
      <c r="EF87" s="21" t="n">
        <v>211.961</v>
      </c>
      <c r="EG87" s="21" t="n">
        <v>291.504</v>
      </c>
      <c r="EH87" s="21" t="n">
        <v>344.607</v>
      </c>
      <c r="EI87" s="21" t="n">
        <v>359.627</v>
      </c>
      <c r="EJ87" s="21" t="n">
        <v>172.949</v>
      </c>
      <c r="EK87" s="21" t="n">
        <v>592.353</v>
      </c>
      <c r="EL87" s="21" t="n">
        <v>353.679</v>
      </c>
      <c r="EM87" s="21" t="n">
        <v>353.512</v>
      </c>
      <c r="EN87" s="21" t="n">
        <v>353.522</v>
      </c>
      <c r="EO87" s="21" t="n">
        <v>150.018</v>
      </c>
      <c r="EP87" s="21" t="n">
        <v>279.032</v>
      </c>
      <c r="EQ87" s="21" t="n">
        <v>233.3</v>
      </c>
      <c r="ER87" s="21" t="n">
        <v>386.315</v>
      </c>
      <c r="ES87" s="21" t="n">
        <v>384.179</v>
      </c>
      <c r="ET87" s="21" t="n">
        <v>459.742</v>
      </c>
      <c r="EU87" s="21" t="n">
        <v>235.017</v>
      </c>
      <c r="EV87" s="21" t="n">
        <v>236.453</v>
      </c>
      <c r="EW87" s="21" t="n">
        <v>226.491</v>
      </c>
      <c r="EX87" s="21" t="n">
        <v>269.521</v>
      </c>
      <c r="EY87" s="21" t="n">
        <v>622.672</v>
      </c>
      <c r="EZ87" s="21" t="n">
        <v>538.313</v>
      </c>
      <c r="FA87" s="21" t="n">
        <v>140.306</v>
      </c>
      <c r="FB87" s="21" t="n">
        <v>59.851</v>
      </c>
      <c r="FC87" s="21" t="n">
        <v>124.41</v>
      </c>
      <c r="FD87" s="21" t="n">
        <v>69.563</v>
      </c>
      <c r="FE87" s="21" t="n">
        <v>44.096</v>
      </c>
      <c r="FF87" s="21" t="n">
        <v>134.841</v>
      </c>
      <c r="FG87" s="21" t="n">
        <v>146.628</v>
      </c>
      <c r="FH87" s="21" t="n">
        <v>106.967</v>
      </c>
      <c r="FI87" s="21" t="n">
        <v>84.401</v>
      </c>
      <c r="FJ87" s="21" t="n"/>
      <c r="FK87" s="21" t="n">
        <v>88.934</v>
      </c>
      <c r="FL87" s="21" t="n">
        <v>104.657</v>
      </c>
      <c r="FM87" s="21" t="n">
        <v>121.596</v>
      </c>
      <c r="FN87" s="21" t="n">
        <v>73.742</v>
      </c>
      <c r="FO87" s="21" t="n">
        <v>55.764</v>
      </c>
      <c r="FP87" s="21" t="n">
        <v>41.495</v>
      </c>
      <c r="FQ87" s="21" t="n">
        <v>150.389</v>
      </c>
      <c r="FR87" s="21" t="n">
        <v>48.195</v>
      </c>
      <c r="FS87" s="21" t="n">
        <v>84.351</v>
      </c>
      <c r="FT87" s="21" t="n">
        <v>102.933</v>
      </c>
      <c r="FU87" s="21" t="n">
        <v>110.452</v>
      </c>
      <c r="FV87" s="21" t="n">
        <v>99.452</v>
      </c>
      <c r="FW87" s="21" t="n">
        <v>209.758</v>
      </c>
      <c r="FX87" s="21" t="n">
        <v>135.277</v>
      </c>
      <c r="FY87" s="21" t="n">
        <v>203.326</v>
      </c>
      <c r="FZ87" s="21" t="n">
        <v>125.223</v>
      </c>
      <c r="GA87" s="21" t="n"/>
      <c r="GB87" s="21" t="n">
        <v>201.09</v>
      </c>
      <c r="GC87" s="21" t="n"/>
      <c r="GD87" s="21" t="n">
        <v>196.372</v>
      </c>
      <c r="GE87" s="21" t="n"/>
      <c r="GF87" s="21" t="n">
        <v>127.868</v>
      </c>
      <c r="GG87" s="21" t="n">
        <v>124.996</v>
      </c>
      <c r="GH87" s="21" t="n">
        <v>127.924</v>
      </c>
      <c r="GI87" s="21" t="n">
        <v>101.759</v>
      </c>
      <c r="GJ87" s="21" t="n">
        <v>174.732</v>
      </c>
      <c r="GK87" s="21" t="n">
        <v>80.155</v>
      </c>
      <c r="GL87" s="21" t="n">
        <v>131.284</v>
      </c>
      <c r="GM87" s="21" t="n">
        <v>112.378</v>
      </c>
      <c r="GN87" s="21" t="n">
        <v>106.733</v>
      </c>
      <c r="GO87" s="21" t="n">
        <v>107.893</v>
      </c>
      <c r="GP87" s="21" t="n">
        <v>103.003</v>
      </c>
      <c r="GQ87" s="21" t="n">
        <v>106.533</v>
      </c>
      <c r="GR87" s="21" t="n">
        <v>73.673</v>
      </c>
      <c r="GS87" s="21" t="n">
        <v>108.355</v>
      </c>
      <c r="GT87" s="21" t="n">
        <v>100.724</v>
      </c>
      <c r="GU87" s="21" t="n">
        <v>144.497</v>
      </c>
      <c r="GV87" s="21" t="n">
        <v>149.399</v>
      </c>
      <c r="GW87" s="21" t="n">
        <v>166.679</v>
      </c>
      <c r="GX87" s="21" t="n">
        <v>130.164</v>
      </c>
      <c r="GY87" s="21" t="n">
        <v>122.351</v>
      </c>
      <c r="GZ87" s="21" t="n">
        <v>182.549</v>
      </c>
      <c r="HA87" s="21" t="n">
        <v>153.529</v>
      </c>
      <c r="HB87" s="21" t="n">
        <v>178.778</v>
      </c>
      <c r="HC87" s="21" t="n">
        <v>253.15</v>
      </c>
      <c r="HD87" s="21" t="n">
        <v>253.525</v>
      </c>
      <c r="HE87" s="21" t="n">
        <v>126.822</v>
      </c>
      <c r="HF87" s="21" t="n">
        <v>168.027</v>
      </c>
      <c r="HG87" s="21" t="n">
        <v>116.496</v>
      </c>
      <c r="HH87" s="21" t="n">
        <v>163.723</v>
      </c>
      <c r="HI87" s="21" t="n">
        <v>178.916</v>
      </c>
      <c r="HJ87" s="21" t="n"/>
      <c r="HK87" s="21" t="n">
        <v>212.04</v>
      </c>
      <c r="HL87" s="21" t="n"/>
      <c r="HM87" s="21" t="n">
        <v>175.002</v>
      </c>
      <c r="HN87" s="21" t="n">
        <v>307.422</v>
      </c>
      <c r="HO87" s="21" t="n">
        <v>305.959</v>
      </c>
      <c r="HP87" s="21" t="n">
        <v>300.917</v>
      </c>
      <c r="HQ87" s="21" t="n">
        <v>327.39</v>
      </c>
      <c r="HR87" s="21" t="n">
        <v>315.323</v>
      </c>
      <c r="HS87" s="21" t="n">
        <v>285.424</v>
      </c>
      <c r="HT87" s="21" t="n">
        <v>170.629</v>
      </c>
      <c r="HU87" s="21" t="n">
        <v>146.908</v>
      </c>
      <c r="HV87" s="21" t="n">
        <v>201.268</v>
      </c>
      <c r="HW87" s="21" t="n">
        <v>187.594</v>
      </c>
      <c r="HX87" s="21" t="n">
        <v>444.006</v>
      </c>
      <c r="HY87" s="21" t="n">
        <v>331.13</v>
      </c>
      <c r="HZ87" s="21" t="n">
        <v>370.713</v>
      </c>
      <c r="IA87" s="21" t="n">
        <v>296.713</v>
      </c>
      <c r="IB87" s="21" t="n">
        <v>203.861</v>
      </c>
      <c r="IC87" s="21" t="n">
        <v>584.317</v>
      </c>
      <c r="ID87" s="21" t="n">
        <v>200.009</v>
      </c>
      <c r="IE87" s="21" t="n">
        <v>186.969</v>
      </c>
      <c r="IF87" s="21" t="n">
        <v>220.722</v>
      </c>
      <c r="IG87" s="21" t="n">
        <v>255.263</v>
      </c>
      <c r="IH87" s="21" t="n"/>
      <c r="II87" s="21" t="n">
        <v>234.857</v>
      </c>
      <c r="IJ87" s="21" t="n">
        <v>222.227</v>
      </c>
      <c r="IK87" s="21" t="n">
        <v>157.493</v>
      </c>
      <c r="IL87" s="21" t="n"/>
      <c r="IM87" s="21" t="n"/>
      <c r="IN87" s="21" t="n">
        <v>63.82</v>
      </c>
      <c r="IO87" s="21" t="n">
        <v>330.176</v>
      </c>
      <c r="IP87" s="21" t="n">
        <v>128.33</v>
      </c>
      <c r="IQ87" s="21" t="n">
        <v>536.932</v>
      </c>
      <c r="IR87" s="21" t="n">
        <v>384.304</v>
      </c>
      <c r="IS87" s="21" t="n">
        <v>126.013</v>
      </c>
      <c r="IT87" s="21" t="n">
        <v>533.592</v>
      </c>
      <c r="IU87" s="21" t="n">
        <v>97.12</v>
      </c>
      <c r="IV87" s="21" t="n">
        <v>98.48699999999999</v>
      </c>
      <c r="IW87" s="21" t="n">
        <v>586.177</v>
      </c>
      <c r="IX87" s="21" t="n">
        <v>406.917</v>
      </c>
      <c r="IY87" s="21" t="n">
        <v>407.984</v>
      </c>
      <c r="IZ87" s="21" t="n">
        <v>530.99</v>
      </c>
      <c r="JA87" s="21" t="n">
        <v>196.917</v>
      </c>
      <c r="JB87" s="21" t="n">
        <v>258.611</v>
      </c>
      <c r="JC87" s="21" t="n">
        <v>88.28</v>
      </c>
      <c r="JD87" s="21" t="n">
        <v>371.745</v>
      </c>
      <c r="JE87" s="21" t="n">
        <v>360.123</v>
      </c>
      <c r="JF87" s="21" t="n">
        <v>805.131</v>
      </c>
      <c r="JG87" s="21" t="n">
        <v>256.152</v>
      </c>
      <c r="JH87" s="21" t="n">
        <v>139.312</v>
      </c>
      <c r="JI87" s="21" t="n">
        <v>183.578</v>
      </c>
      <c r="JJ87" s="21" t="n">
        <v>129.116</v>
      </c>
      <c r="JK87" s="21" t="n">
        <v>112.225</v>
      </c>
      <c r="JL87" s="21" t="n">
        <v>135.382</v>
      </c>
      <c r="JM87" s="21" t="n">
        <v>535.075</v>
      </c>
      <c r="JN87" s="21" t="n">
        <v>120.455</v>
      </c>
      <c r="JO87" s="21" t="n">
        <v>65.627</v>
      </c>
      <c r="JP87" s="21" t="n">
        <v>31.338</v>
      </c>
      <c r="JQ87" s="21" t="n">
        <v>143.91</v>
      </c>
      <c r="JR87" s="21" t="n">
        <v>25.589</v>
      </c>
      <c r="JS87" s="21" t="n">
        <v>78.968</v>
      </c>
      <c r="JT87" s="21" t="n">
        <v>192.891</v>
      </c>
      <c r="JU87" s="21" t="n">
        <v>212.692</v>
      </c>
      <c r="JV87" s="21" t="n">
        <v>160.926</v>
      </c>
      <c r="JW87" s="21" t="n">
        <v>123.893</v>
      </c>
      <c r="JX87" s="21" t="n">
        <v>287.047</v>
      </c>
      <c r="JY87" s="21" t="n">
        <v>218.908</v>
      </c>
      <c r="JZ87" s="21" t="n">
        <v>301.593</v>
      </c>
      <c r="KA87" s="21" t="n">
        <v>127.469</v>
      </c>
      <c r="KB87" s="21" t="n">
        <v>176.722</v>
      </c>
      <c r="KC87" s="21" t="n">
        <v>86.518</v>
      </c>
      <c r="KD87" s="21" t="n">
        <v>78.68300000000001</v>
      </c>
      <c r="KE87" s="21" t="n">
        <v>59.231</v>
      </c>
      <c r="KF87" s="21" t="n"/>
      <c r="KG87" s="21" t="n">
        <v>24.84</v>
      </c>
      <c r="KH87" s="21" t="n">
        <v>126.29</v>
      </c>
      <c r="KI87" s="21" t="n"/>
      <c r="KJ87" s="21" t="n"/>
      <c r="KK87" s="21" t="n">
        <v>34.512</v>
      </c>
      <c r="KL87" s="21" t="n">
        <v>29.925</v>
      </c>
      <c r="KM87" s="21" t="n">
        <v>40.002</v>
      </c>
      <c r="KN87" s="21" t="n"/>
      <c r="KO87" s="21" t="n">
        <v>96.562</v>
      </c>
      <c r="KP87" s="21" t="n">
        <v>112.278</v>
      </c>
      <c r="KQ87" s="21" t="n">
        <v>181.287</v>
      </c>
      <c r="KR87" s="21" t="n">
        <v>149.004</v>
      </c>
      <c r="KS87" s="21" t="n">
        <v>413.596</v>
      </c>
      <c r="KT87" s="21" t="n">
        <v>199.95</v>
      </c>
      <c r="KU87" s="21" t="n">
        <v>235.986</v>
      </c>
      <c r="KV87" s="21" t="n">
        <v>345.094</v>
      </c>
      <c r="KW87" s="21" t="n">
        <v>284.417</v>
      </c>
      <c r="KX87" s="21" t="n">
        <v>218.607</v>
      </c>
      <c r="KY87" s="21" t="n">
        <v>99.608</v>
      </c>
      <c r="KZ87" s="21" t="n">
        <v>143.913</v>
      </c>
      <c r="LA87" s="21" t="n">
        <v>278.38</v>
      </c>
      <c r="LB87" s="21" t="n">
        <v>699.194</v>
      </c>
      <c r="LC87" s="21" t="n">
        <v>240.061</v>
      </c>
      <c r="LD87" s="21" t="n">
        <v>799.639</v>
      </c>
      <c r="LE87" s="21" t="n">
        <v>895.553</v>
      </c>
      <c r="LF87" s="21" t="n">
        <v>87.824</v>
      </c>
      <c r="LG87" s="21" t="n">
        <v>324.504</v>
      </c>
      <c r="LH87" s="21" t="n">
        <v>263.798</v>
      </c>
      <c r="LI87" s="21" t="n">
        <v>76.267</v>
      </c>
      <c r="LJ87" s="21" t="n">
        <v>216.816</v>
      </c>
      <c r="LK87" s="21" t="n">
        <v>339.273</v>
      </c>
      <c r="LL87" s="21" t="n">
        <v>367.378</v>
      </c>
      <c r="LM87" s="21" t="n">
        <v>71.959</v>
      </c>
      <c r="LN87" s="21" t="n">
        <v>94.934</v>
      </c>
      <c r="LO87" s="21" t="n">
        <v>48.117</v>
      </c>
      <c r="LP87" s="21" t="n">
        <v>140.97</v>
      </c>
      <c r="LQ87" s="21" t="n"/>
      <c r="LR87" s="21" t="n"/>
      <c r="LS87" s="21" t="n">
        <v>110.165</v>
      </c>
      <c r="LT87" s="21" t="n">
        <v>39.958</v>
      </c>
      <c r="LU87" s="21" t="n">
        <v>25.623</v>
      </c>
      <c r="LV87" s="21" t="n">
        <v>80.499</v>
      </c>
      <c r="LW87" s="21" t="n">
        <v>147.305</v>
      </c>
      <c r="LX87" s="21" t="n">
        <v>69.36799999999999</v>
      </c>
      <c r="LY87" s="21" t="n">
        <v>496.045</v>
      </c>
      <c r="LZ87" s="21" t="n">
        <v>82.908</v>
      </c>
      <c r="MA87" s="21" t="n">
        <v>543.212</v>
      </c>
      <c r="MB87" s="21" t="n">
        <v>307.297</v>
      </c>
      <c r="MC87" s="21" t="n">
        <v>252.862</v>
      </c>
      <c r="MD87" s="21" t="n">
        <v>161.496</v>
      </c>
      <c r="ME87" s="21" t="n">
        <v>105.753</v>
      </c>
      <c r="MF87" s="21" t="n">
        <v>178.891</v>
      </c>
      <c r="MG87" s="21" t="n">
        <v>310.075</v>
      </c>
      <c r="MH87" s="21" t="n">
        <v>189.197</v>
      </c>
      <c r="MI87" s="21" t="n">
        <v>485.806</v>
      </c>
      <c r="MJ87" s="21" t="n">
        <v>389.25</v>
      </c>
      <c r="MK87" s="21" t="n">
        <v>354.424</v>
      </c>
      <c r="ML87" s="21" t="n">
        <v>200.587</v>
      </c>
      <c r="MM87" s="21" t="n">
        <v>222.608</v>
      </c>
      <c r="MN87" s="21" t="n">
        <v>387.695</v>
      </c>
      <c r="MO87" s="21" t="n">
        <v>171.677</v>
      </c>
      <c r="MP87" s="21" t="n">
        <v>288.414</v>
      </c>
      <c r="MQ87" s="21" t="n">
        <v>84.051</v>
      </c>
      <c r="MR87" s="21" t="n">
        <v>178.317</v>
      </c>
      <c r="MS87" s="21" t="n"/>
      <c r="MT87" s="21" t="n">
        <v>271.543</v>
      </c>
      <c r="MU87" s="21" t="n">
        <v>287.972</v>
      </c>
      <c r="MV87" s="21" t="n">
        <v>282.281</v>
      </c>
      <c r="MW87" s="21" t="n">
        <v>288.059</v>
      </c>
      <c r="MX87" s="21" t="n">
        <v>262.949</v>
      </c>
      <c r="MY87" s="21" t="n">
        <v>255.235</v>
      </c>
      <c r="MZ87" s="21" t="n">
        <v>256.529</v>
      </c>
      <c r="NA87" s="21" t="n">
        <v>256.942</v>
      </c>
      <c r="NB87" s="21" t="n">
        <v>119.35</v>
      </c>
      <c r="NC87" s="21" t="n">
        <v>213.96</v>
      </c>
      <c r="ND87" s="21" t="n">
        <v>178.425</v>
      </c>
      <c r="NE87" s="21" t="n">
        <v>175.114</v>
      </c>
      <c r="NF87" s="21" t="n">
        <v>164.559</v>
      </c>
      <c r="NG87" s="21" t="n">
        <v>157.87</v>
      </c>
      <c r="NH87" s="21" t="n">
        <v>283.829</v>
      </c>
      <c r="NI87" s="21" t="n">
        <v>128.109</v>
      </c>
      <c r="NJ87" s="21" t="n">
        <v>67.483</v>
      </c>
      <c r="NK87" s="21" t="n">
        <v>116.914</v>
      </c>
      <c r="NL87" s="21" t="n">
        <v>267.771</v>
      </c>
      <c r="NM87" s="21" t="n">
        <v>313.522</v>
      </c>
      <c r="NN87" s="21" t="n">
        <v>102.571</v>
      </c>
      <c r="NO87" s="21" t="n">
        <v>47.589</v>
      </c>
      <c r="NP87" s="21" t="n">
        <v>255.634</v>
      </c>
      <c r="NQ87" s="21" t="n">
        <v>224.264</v>
      </c>
      <c r="NR87" s="21" t="n">
        <v>281.8</v>
      </c>
      <c r="NS87" s="21" t="n">
        <v>221.502</v>
      </c>
      <c r="NT87" s="21" t="n">
        <v>284.685</v>
      </c>
      <c r="NU87" s="21" t="n">
        <v>124.748</v>
      </c>
      <c r="NV87" s="21" t="n">
        <v>138.219</v>
      </c>
      <c r="NW87" s="21" t="n">
        <v>383.948</v>
      </c>
      <c r="NX87" s="21" t="n">
        <v>83.694</v>
      </c>
      <c r="NY87" s="21" t="n">
        <v>134.498</v>
      </c>
      <c r="NZ87" s="21" t="n">
        <v>359.655</v>
      </c>
      <c r="OA87" s="21" t="n">
        <v>351.754</v>
      </c>
      <c r="OB87" s="21" t="n">
        <v>363.672</v>
      </c>
      <c r="OC87" s="21" t="n">
        <v>333.994</v>
      </c>
      <c r="OD87" s="21" t="n">
        <v>369.918</v>
      </c>
      <c r="OE87" s="21" t="n">
        <v>135.091</v>
      </c>
      <c r="OF87" s="21" t="n">
        <v>333.919</v>
      </c>
      <c r="OG87" s="21" t="n">
        <v>236.442</v>
      </c>
      <c r="OH87" s="21" t="n">
        <v>36.525</v>
      </c>
      <c r="OI87" s="21" t="n">
        <v>140.425</v>
      </c>
      <c r="OJ87" s="21" t="n">
        <v>35.2</v>
      </c>
      <c r="OK87" s="21" t="n">
        <v>11.8</v>
      </c>
    </row>
    <row r="88">
      <c r="A88" s="22" t="n">
        <v>44621</v>
      </c>
      <c r="B88" s="21" t="n">
        <v>287.504</v>
      </c>
      <c r="C88" s="21" t="n">
        <v>861.235</v>
      </c>
      <c r="D88" s="21" t="n">
        <v>294.064</v>
      </c>
      <c r="E88" s="21" t="n">
        <v>295.728</v>
      </c>
      <c r="F88" s="21" t="n">
        <v>278.612</v>
      </c>
      <c r="G88" s="21" t="n">
        <v>311.606</v>
      </c>
      <c r="H88" s="21" t="n">
        <v>255.99</v>
      </c>
      <c r="I88" s="21" t="n">
        <v>273.106</v>
      </c>
      <c r="J88" s="21" t="n">
        <v>246.618</v>
      </c>
      <c r="K88" s="21" t="n">
        <v>266.558</v>
      </c>
      <c r="L88" s="21" t="n">
        <v>179.757</v>
      </c>
      <c r="M88" s="21" t="n">
        <v>343.758</v>
      </c>
      <c r="N88" s="21" t="n">
        <v>205.262</v>
      </c>
      <c r="O88" s="21" t="n">
        <v>369.642</v>
      </c>
      <c r="P88" s="21" t="n">
        <v>402.862</v>
      </c>
      <c r="Q88" s="21" t="n">
        <v>207.902</v>
      </c>
      <c r="R88" s="21" t="n">
        <v>322.175</v>
      </c>
      <c r="S88" s="21" t="n">
        <v>343.367</v>
      </c>
      <c r="T88" s="21" t="n">
        <v>301.355</v>
      </c>
      <c r="U88" s="21" t="n">
        <v>308.504</v>
      </c>
      <c r="V88" s="21" t="n">
        <v>354.845</v>
      </c>
      <c r="W88" s="21" t="n">
        <v>365.888</v>
      </c>
      <c r="X88" s="21" t="n">
        <v>298.14</v>
      </c>
      <c r="Y88" s="21" t="n">
        <v>305.116</v>
      </c>
      <c r="Z88" s="21" t="n">
        <v>309.463</v>
      </c>
      <c r="AA88" s="21" t="n">
        <v>317.642</v>
      </c>
      <c r="AB88" s="21" t="n">
        <v>392.812</v>
      </c>
      <c r="AC88" s="21" t="n">
        <v>336.526</v>
      </c>
      <c r="AD88" s="21" t="n">
        <v>316.201</v>
      </c>
      <c r="AE88" s="21" t="n">
        <v>262.35</v>
      </c>
      <c r="AF88" s="21" t="n">
        <v>329.62</v>
      </c>
      <c r="AG88" s="21" t="n">
        <v>263.619</v>
      </c>
      <c r="AH88" s="21" t="n">
        <v>198.545</v>
      </c>
      <c r="AI88" s="21" t="n">
        <v>378.406</v>
      </c>
      <c r="AJ88" s="21" t="n">
        <v>174.693</v>
      </c>
      <c r="AK88" s="21" t="n">
        <v>243.372</v>
      </c>
      <c r="AL88" s="21" t="n">
        <v>271.36</v>
      </c>
      <c r="AM88" s="21" t="n">
        <v>237.24</v>
      </c>
      <c r="AN88" s="21" t="n">
        <v>161.906</v>
      </c>
      <c r="AO88" s="21" t="n">
        <v>266.046</v>
      </c>
      <c r="AP88" s="21" t="n">
        <v>274.794</v>
      </c>
      <c r="AQ88" s="21" t="n">
        <v>170.444</v>
      </c>
      <c r="AR88" s="21" t="n"/>
      <c r="AS88" s="21" t="n"/>
      <c r="AT88" s="21" t="n">
        <v>278.705</v>
      </c>
      <c r="AU88" s="21" t="n">
        <v>179.99</v>
      </c>
      <c r="AV88" s="21" t="n">
        <v>290.162</v>
      </c>
      <c r="AW88" s="21" t="n">
        <v>271.491</v>
      </c>
      <c r="AX88" s="21" t="n">
        <v>178.389</v>
      </c>
      <c r="AY88" s="21" t="n">
        <v>347.215</v>
      </c>
      <c r="AZ88" s="21" t="n">
        <v>222.437</v>
      </c>
      <c r="BA88" s="21" t="n">
        <v>168.075</v>
      </c>
      <c r="BB88" s="21" t="n">
        <v>235.855</v>
      </c>
      <c r="BC88" s="21" t="n">
        <v>354.388</v>
      </c>
      <c r="BD88" s="21" t="n">
        <v>247.902</v>
      </c>
      <c r="BE88" s="21" t="n">
        <v>245.258</v>
      </c>
      <c r="BF88" s="21" t="n">
        <v>167.724</v>
      </c>
      <c r="BG88" s="21" t="n">
        <v>244.452</v>
      </c>
      <c r="BH88" s="21" t="n">
        <v>171.695</v>
      </c>
      <c r="BI88" s="21" t="n">
        <v>250.502</v>
      </c>
      <c r="BJ88" s="21" t="n">
        <v>239.418</v>
      </c>
      <c r="BK88" s="21" t="n">
        <v>164.111</v>
      </c>
      <c r="BL88" s="21" t="n">
        <v>337.503</v>
      </c>
      <c r="BM88" s="21" t="n">
        <v>389.297</v>
      </c>
      <c r="BN88" s="21" t="n">
        <v>409.552</v>
      </c>
      <c r="BO88" s="21" t="n">
        <v>357.692</v>
      </c>
      <c r="BP88" s="21" t="n">
        <v>205.368</v>
      </c>
      <c r="BQ88" s="21" t="n">
        <v>304.733</v>
      </c>
      <c r="BR88" s="21" t="n">
        <v>573.894</v>
      </c>
      <c r="BS88" s="21" t="n">
        <v>137.28</v>
      </c>
      <c r="BT88" s="21" t="n">
        <v>366.541</v>
      </c>
      <c r="BU88" s="21" t="n">
        <v>390.547</v>
      </c>
      <c r="BV88" s="21" t="n">
        <v>382.519</v>
      </c>
      <c r="BW88" s="21" t="n">
        <v>351.782</v>
      </c>
      <c r="BX88" s="21" t="n">
        <v>365.095</v>
      </c>
      <c r="BY88" s="21" t="n">
        <v>179.737</v>
      </c>
      <c r="BZ88" s="21" t="n">
        <v>191.67</v>
      </c>
      <c r="CA88" s="21" t="n">
        <v>179.609</v>
      </c>
      <c r="CB88" s="21" t="n">
        <v>206.633</v>
      </c>
      <c r="CC88" s="21" t="n">
        <v>163.465</v>
      </c>
      <c r="CD88" s="21" t="n">
        <v>218.656</v>
      </c>
      <c r="CE88" s="21" t="n">
        <v>172.266</v>
      </c>
      <c r="CF88" s="21" t="n">
        <v>217.391</v>
      </c>
      <c r="CG88" s="21" t="n">
        <v>194.342</v>
      </c>
      <c r="CH88" s="21" t="n">
        <v>153.295</v>
      </c>
      <c r="CI88" s="21" t="n">
        <v>198.585</v>
      </c>
      <c r="CJ88" s="21" t="n">
        <v>186.97</v>
      </c>
      <c r="CK88" s="21" t="n">
        <v>136.766</v>
      </c>
      <c r="CL88" s="21" t="n">
        <v>129.147</v>
      </c>
      <c r="CM88" s="21" t="n">
        <v>217.111</v>
      </c>
      <c r="CN88" s="21" t="n">
        <v>228.747</v>
      </c>
      <c r="CO88" s="21" t="n">
        <v>197.843</v>
      </c>
      <c r="CP88" s="21" t="n">
        <v>140.383</v>
      </c>
      <c r="CQ88" s="21" t="n">
        <v>241.804</v>
      </c>
      <c r="CR88" s="21" t="n">
        <v>251.096</v>
      </c>
      <c r="CS88" s="21" t="n">
        <v>223.019</v>
      </c>
      <c r="CT88" s="21" t="n">
        <v>170.255</v>
      </c>
      <c r="CU88" s="21" t="n">
        <v>173.43</v>
      </c>
      <c r="CV88" s="21" t="n">
        <v>266.583</v>
      </c>
      <c r="CW88" s="21" t="n">
        <v>237.806</v>
      </c>
      <c r="CX88" s="21" t="n">
        <v>281.247</v>
      </c>
      <c r="CY88" s="21" t="n">
        <v>357.309</v>
      </c>
      <c r="CZ88" s="21" t="n">
        <v>150.191</v>
      </c>
      <c r="DA88" s="21" t="n">
        <v>186.61</v>
      </c>
      <c r="DB88" s="21" t="n">
        <v>181.644</v>
      </c>
      <c r="DC88" s="21" t="n">
        <v>257.224</v>
      </c>
      <c r="DD88" s="21" t="n">
        <v>281.133</v>
      </c>
      <c r="DE88" s="21" t="n">
        <v>195.322</v>
      </c>
      <c r="DF88" s="21" t="n">
        <v>285.59</v>
      </c>
      <c r="DG88" s="21" t="n">
        <v>274.89</v>
      </c>
      <c r="DH88" s="21" t="n">
        <v>177.007</v>
      </c>
      <c r="DI88" s="21" t="n">
        <v>164.812</v>
      </c>
      <c r="DJ88" s="21" t="n">
        <v>158.019</v>
      </c>
      <c r="DK88" s="21" t="n">
        <v>303.791</v>
      </c>
      <c r="DL88" s="21" t="n">
        <v>190.637</v>
      </c>
      <c r="DM88" s="21" t="n">
        <v>150.805</v>
      </c>
      <c r="DN88" s="21" t="n">
        <v>143.303</v>
      </c>
      <c r="DO88" s="21" t="n">
        <v>321.689</v>
      </c>
      <c r="DP88" s="21" t="n">
        <v>200.496</v>
      </c>
      <c r="DQ88" s="21" t="n">
        <v>212.352</v>
      </c>
      <c r="DR88" s="21" t="n">
        <v>83.31999999999999</v>
      </c>
      <c r="DS88" s="21" t="n">
        <v>48.509</v>
      </c>
      <c r="DT88" s="21" t="n">
        <v>183.6</v>
      </c>
      <c r="DU88" s="21" t="n">
        <v>213.814</v>
      </c>
      <c r="DV88" s="21" t="n">
        <v>270.352</v>
      </c>
      <c r="DW88" s="21" t="n">
        <v>216.881</v>
      </c>
      <c r="DX88" s="21" t="n">
        <v>251.206</v>
      </c>
      <c r="DY88" s="21" t="n">
        <v>203.254</v>
      </c>
      <c r="DZ88" s="21" t="n">
        <v>216.655</v>
      </c>
      <c r="EA88" s="21" t="n">
        <v>198.9</v>
      </c>
      <c r="EB88" s="21" t="n">
        <v>176.435</v>
      </c>
      <c r="EC88" s="21" t="n">
        <v>387.294</v>
      </c>
      <c r="ED88" s="21" t="n">
        <v>189.846</v>
      </c>
      <c r="EE88" s="21" t="n">
        <v>208.617</v>
      </c>
      <c r="EF88" s="21" t="n">
        <v>213.54</v>
      </c>
      <c r="EG88" s="21" t="n">
        <v>293.577</v>
      </c>
      <c r="EH88" s="21" t="n">
        <v>346.618</v>
      </c>
      <c r="EI88" s="21" t="n">
        <v>361.083</v>
      </c>
      <c r="EJ88" s="21" t="n">
        <v>184.463</v>
      </c>
      <c r="EK88" s="21" t="n">
        <v>592.353</v>
      </c>
      <c r="EL88" s="21" t="n">
        <v>380.905</v>
      </c>
      <c r="EM88" s="21" t="n">
        <v>354.968</v>
      </c>
      <c r="EN88" s="21" t="n">
        <v>354.98</v>
      </c>
      <c r="EO88" s="21" t="n">
        <v>149.886</v>
      </c>
      <c r="EP88" s="21" t="n">
        <v>283.376</v>
      </c>
      <c r="EQ88" s="21" t="n">
        <v>238.029</v>
      </c>
      <c r="ER88" s="21" t="n">
        <v>445.388</v>
      </c>
      <c r="ES88" s="21" t="n">
        <v>469.743</v>
      </c>
      <c r="ET88" s="21" t="n">
        <v>475.011</v>
      </c>
      <c r="EU88" s="21" t="n">
        <v>237.825</v>
      </c>
      <c r="EV88" s="21" t="n">
        <v>240.558</v>
      </c>
      <c r="EW88" s="21" t="n">
        <v>225.679</v>
      </c>
      <c r="EX88" s="21" t="n">
        <v>269.621</v>
      </c>
      <c r="EY88" s="21" t="n">
        <v>621.92</v>
      </c>
      <c r="EZ88" s="21" t="n">
        <v>540.7190000000001</v>
      </c>
      <c r="FA88" s="21" t="n">
        <v>141.358</v>
      </c>
      <c r="FB88" s="21" t="n">
        <v>60.338</v>
      </c>
      <c r="FC88" s="21" t="n">
        <v>122.387</v>
      </c>
      <c r="FD88" s="21" t="n">
        <v>73.304</v>
      </c>
      <c r="FE88" s="21" t="n">
        <v>44.231</v>
      </c>
      <c r="FF88" s="21" t="n">
        <v>135.635</v>
      </c>
      <c r="FG88" s="21" t="n">
        <v>147.278</v>
      </c>
      <c r="FH88" s="21" t="n">
        <v>107.245</v>
      </c>
      <c r="FI88" s="21" t="n">
        <v>85.848</v>
      </c>
      <c r="FJ88" s="21" t="n"/>
      <c r="FK88" s="21" t="n">
        <v>90.029</v>
      </c>
      <c r="FL88" s="21" t="n">
        <v>107.55</v>
      </c>
      <c r="FM88" s="21" t="n">
        <v>122.155</v>
      </c>
      <c r="FN88" s="21" t="n">
        <v>74.07899999999999</v>
      </c>
      <c r="FO88" s="21" t="n">
        <v>56.777</v>
      </c>
      <c r="FP88" s="21" t="n">
        <v>42.276</v>
      </c>
      <c r="FQ88" s="21" t="n">
        <v>151.831</v>
      </c>
      <c r="FR88" s="21" t="n">
        <v>49.684</v>
      </c>
      <c r="FS88" s="21" t="n">
        <v>85.90000000000001</v>
      </c>
      <c r="FT88" s="21" t="n">
        <v>103.766</v>
      </c>
      <c r="FU88" s="21" t="n">
        <v>112.13</v>
      </c>
      <c r="FV88" s="21" t="n">
        <v>99.991</v>
      </c>
      <c r="FW88" s="21" t="n">
        <v>211.063</v>
      </c>
      <c r="FX88" s="21" t="n">
        <v>136.873</v>
      </c>
      <c r="FY88" s="21" t="n">
        <v>205.968</v>
      </c>
      <c r="FZ88" s="21" t="n">
        <v>124.884</v>
      </c>
      <c r="GA88" s="21" t="n"/>
      <c r="GB88" s="21" t="n">
        <v>201.327</v>
      </c>
      <c r="GC88" s="21" t="n"/>
      <c r="GD88" s="21" t="n">
        <v>195.642</v>
      </c>
      <c r="GE88" s="21" t="n"/>
      <c r="GF88" s="21" t="n">
        <v>128.919</v>
      </c>
      <c r="GG88" s="21" t="n">
        <v>124.868</v>
      </c>
      <c r="GH88" s="21" t="n">
        <v>127.74</v>
      </c>
      <c r="GI88" s="21" t="n">
        <v>100.761</v>
      </c>
      <c r="GJ88" s="21" t="n">
        <v>175.267</v>
      </c>
      <c r="GK88" s="21" t="n">
        <v>79.371</v>
      </c>
      <c r="GL88" s="21" t="n">
        <v>132.048</v>
      </c>
      <c r="GM88" s="21" t="n">
        <v>112.418</v>
      </c>
      <c r="GN88" s="21" t="n">
        <v>108.263</v>
      </c>
      <c r="GO88" s="21" t="n">
        <v>109.488</v>
      </c>
      <c r="GP88" s="21" t="n">
        <v>100.774</v>
      </c>
      <c r="GQ88" s="21" t="n">
        <v>111.238</v>
      </c>
      <c r="GR88" s="21" t="n">
        <v>75.798</v>
      </c>
      <c r="GS88" s="21" t="n">
        <v>107.575</v>
      </c>
      <c r="GT88" s="21" t="n">
        <v>101.935</v>
      </c>
      <c r="GU88" s="21" t="n">
        <v>145.306</v>
      </c>
      <c r="GV88" s="21" t="n">
        <v>150.07</v>
      </c>
      <c r="GW88" s="21" t="n">
        <v>167.136</v>
      </c>
      <c r="GX88" s="21" t="n">
        <v>131.151</v>
      </c>
      <c r="GY88" s="21" t="n">
        <v>121.735</v>
      </c>
      <c r="GZ88" s="21" t="n">
        <v>187.593</v>
      </c>
      <c r="HA88" s="21" t="n">
        <v>151.237</v>
      </c>
      <c r="HB88" s="21" t="n">
        <v>185.559</v>
      </c>
      <c r="HC88" s="21" t="n">
        <v>264.525</v>
      </c>
      <c r="HD88" s="21" t="n">
        <v>264.669</v>
      </c>
      <c r="HE88" s="21" t="n">
        <v>126.417</v>
      </c>
      <c r="HF88" s="21" t="n">
        <v>168.056</v>
      </c>
      <c r="HG88" s="21" t="n">
        <v>116.523</v>
      </c>
      <c r="HH88" s="21" t="n">
        <v>163.753</v>
      </c>
      <c r="HI88" s="21" t="n">
        <v>179.03</v>
      </c>
      <c r="HJ88" s="21" t="n"/>
      <c r="HK88" s="21" t="n">
        <v>208.216</v>
      </c>
      <c r="HL88" s="21" t="n"/>
      <c r="HM88" s="21" t="n">
        <v>198.632</v>
      </c>
      <c r="HN88" s="21" t="n">
        <v>368.44</v>
      </c>
      <c r="HO88" s="21" t="n">
        <v>366.499</v>
      </c>
      <c r="HP88" s="21" t="n">
        <v>361.265</v>
      </c>
      <c r="HQ88" s="21" t="n">
        <v>388.592</v>
      </c>
      <c r="HR88" s="21" t="n">
        <v>372.147</v>
      </c>
      <c r="HS88" s="21" t="n">
        <v>350.825</v>
      </c>
      <c r="HT88" s="21" t="n">
        <v>170.323</v>
      </c>
      <c r="HU88" s="21" t="n">
        <v>146.719</v>
      </c>
      <c r="HV88" s="21" t="n">
        <v>200.727</v>
      </c>
      <c r="HW88" s="21" t="n">
        <v>187.364</v>
      </c>
      <c r="HX88" s="21" t="n">
        <v>438.826</v>
      </c>
      <c r="HY88" s="21" t="n">
        <v>329.992</v>
      </c>
      <c r="HZ88" s="21" t="n">
        <v>375.119</v>
      </c>
      <c r="IA88" s="21" t="n">
        <v>293.847</v>
      </c>
      <c r="IB88" s="21" t="n">
        <v>204.698</v>
      </c>
      <c r="IC88" s="21" t="n">
        <v>589.143</v>
      </c>
      <c r="ID88" s="21" t="n">
        <v>199.703</v>
      </c>
      <c r="IE88" s="21" t="n">
        <v>187.158</v>
      </c>
      <c r="IF88" s="21" t="n">
        <v>219.555</v>
      </c>
      <c r="IG88" s="21" t="n">
        <v>253.125</v>
      </c>
      <c r="IH88" s="21" t="n"/>
      <c r="II88" s="21" t="n">
        <v>250.489</v>
      </c>
      <c r="IJ88" s="21" t="n">
        <v>243.689</v>
      </c>
      <c r="IK88" s="21" t="n">
        <v>159.391</v>
      </c>
      <c r="IL88" s="21" t="n"/>
      <c r="IM88" s="21" t="n"/>
      <c r="IN88" s="21" t="n">
        <v>63.738</v>
      </c>
      <c r="IO88" s="21" t="n">
        <v>335.348</v>
      </c>
      <c r="IP88" s="21" t="n">
        <v>128.228</v>
      </c>
      <c r="IQ88" s="21" t="n">
        <v>539.739</v>
      </c>
      <c r="IR88" s="21" t="n">
        <v>385.084</v>
      </c>
      <c r="IS88" s="21" t="n">
        <v>126.307</v>
      </c>
      <c r="IT88" s="21" t="n">
        <v>532.722</v>
      </c>
      <c r="IU88" s="21" t="n">
        <v>98.422</v>
      </c>
      <c r="IV88" s="21" t="n">
        <v>98.274</v>
      </c>
      <c r="IW88" s="21" t="n">
        <v>589.652</v>
      </c>
      <c r="IX88" s="21" t="n">
        <v>408.052</v>
      </c>
      <c r="IY88" s="21" t="n">
        <v>409.998</v>
      </c>
      <c r="IZ88" s="21" t="n">
        <v>532.022</v>
      </c>
      <c r="JA88" s="21" t="n">
        <v>196.839</v>
      </c>
      <c r="JB88" s="21" t="n">
        <v>257.988</v>
      </c>
      <c r="JC88" s="21" t="n">
        <v>88.73</v>
      </c>
      <c r="JD88" s="21" t="n">
        <v>373.307</v>
      </c>
      <c r="JE88" s="21" t="n">
        <v>361.318</v>
      </c>
      <c r="JF88" s="21" t="n">
        <v>809.201</v>
      </c>
      <c r="JG88" s="21" t="n">
        <v>257.247</v>
      </c>
      <c r="JH88" s="21" t="n">
        <v>141.863</v>
      </c>
      <c r="JI88" s="21" t="n">
        <v>187.599</v>
      </c>
      <c r="JJ88" s="21" t="n">
        <v>129.437</v>
      </c>
      <c r="JK88" s="21" t="n">
        <v>112.236</v>
      </c>
      <c r="JL88" s="21" t="n">
        <v>131.772</v>
      </c>
      <c r="JM88" s="21" t="n">
        <v>537.9299999999999</v>
      </c>
      <c r="JN88" s="21" t="n">
        <v>119.002</v>
      </c>
      <c r="JO88" s="21" t="n">
        <v>65.88800000000001</v>
      </c>
      <c r="JP88" s="21" t="n">
        <v>31.283</v>
      </c>
      <c r="JQ88" s="21" t="n">
        <v>144.925</v>
      </c>
      <c r="JR88" s="21" t="n">
        <v>25.002</v>
      </c>
      <c r="JS88" s="21" t="n">
        <v>78.819</v>
      </c>
      <c r="JT88" s="21" t="n">
        <v>196.819</v>
      </c>
      <c r="JU88" s="21" t="n">
        <v>216.289</v>
      </c>
      <c r="JV88" s="21" t="n">
        <v>164.706</v>
      </c>
      <c r="JW88" s="21" t="n">
        <v>124.618</v>
      </c>
      <c r="JX88" s="21" t="n">
        <v>293.95</v>
      </c>
      <c r="JY88" s="21" t="n">
        <v>219.626</v>
      </c>
      <c r="JZ88" s="21" t="n">
        <v>311.775</v>
      </c>
      <c r="KA88" s="21" t="n">
        <v>126.733</v>
      </c>
      <c r="KB88" s="21" t="n">
        <v>175.074</v>
      </c>
      <c r="KC88" s="21" t="n">
        <v>86.446</v>
      </c>
      <c r="KD88" s="21" t="n">
        <v>79.18899999999999</v>
      </c>
      <c r="KE88" s="21" t="n">
        <v>59.412</v>
      </c>
      <c r="KF88" s="21" t="n"/>
      <c r="KG88" s="21" t="n">
        <v>24.935</v>
      </c>
      <c r="KH88" s="21" t="n">
        <v>127.398</v>
      </c>
      <c r="KI88" s="21" t="n"/>
      <c r="KJ88" s="21" t="n"/>
      <c r="KK88" s="21" t="n">
        <v>34.474</v>
      </c>
      <c r="KL88" s="21" t="n">
        <v>29.78</v>
      </c>
      <c r="KM88" s="21" t="n">
        <v>39.55</v>
      </c>
      <c r="KN88" s="21" t="n"/>
      <c r="KO88" s="21" t="n">
        <v>98.739</v>
      </c>
      <c r="KP88" s="21" t="n">
        <v>113.171</v>
      </c>
      <c r="KQ88" s="21" t="n">
        <v>180.94</v>
      </c>
      <c r="KR88" s="21" t="n">
        <v>149.578</v>
      </c>
      <c r="KS88" s="21" t="n">
        <v>408.404</v>
      </c>
      <c r="KT88" s="21" t="n">
        <v>202.214</v>
      </c>
      <c r="KU88" s="21" t="n">
        <v>222.163</v>
      </c>
      <c r="KV88" s="21" t="n">
        <v>345.041</v>
      </c>
      <c r="KW88" s="21" t="n">
        <v>276.223</v>
      </c>
      <c r="KX88" s="21" t="n">
        <v>210.152</v>
      </c>
      <c r="KY88" s="21" t="n">
        <v>98.116</v>
      </c>
      <c r="KZ88" s="21" t="n">
        <v>143.475</v>
      </c>
      <c r="LA88" s="21" t="n">
        <v>278.388</v>
      </c>
      <c r="LB88" s="21" t="n">
        <v>702.848</v>
      </c>
      <c r="LC88" s="21" t="n">
        <v>241.622</v>
      </c>
      <c r="LD88" s="21" t="n">
        <v>799.5170000000001</v>
      </c>
      <c r="LE88" s="21" t="n">
        <v>895.552</v>
      </c>
      <c r="LF88" s="21" t="n">
        <v>87.925</v>
      </c>
      <c r="LG88" s="21" t="n">
        <v>324.205</v>
      </c>
      <c r="LH88" s="21" t="n">
        <v>262.782</v>
      </c>
      <c r="LI88" s="21" t="n">
        <v>75.866</v>
      </c>
      <c r="LJ88" s="21" t="n">
        <v>217.305</v>
      </c>
      <c r="LK88" s="21" t="n">
        <v>339.273</v>
      </c>
      <c r="LL88" s="21" t="n">
        <v>375.506</v>
      </c>
      <c r="LM88" s="21" t="n">
        <v>71.568</v>
      </c>
      <c r="LN88" s="21" t="n">
        <v>94.339</v>
      </c>
      <c r="LO88" s="21" t="n">
        <v>47.778</v>
      </c>
      <c r="LP88" s="21" t="n">
        <v>140.64</v>
      </c>
      <c r="LQ88" s="21" t="n"/>
      <c r="LR88" s="21" t="n"/>
      <c r="LS88" s="21" t="n">
        <v>109.667</v>
      </c>
      <c r="LT88" s="21" t="n">
        <v>40.302</v>
      </c>
      <c r="LU88" s="21" t="n">
        <v>25.375</v>
      </c>
      <c r="LV88" s="21" t="n">
        <v>80.47199999999999</v>
      </c>
      <c r="LW88" s="21" t="n">
        <v>143.193</v>
      </c>
      <c r="LX88" s="21" t="n">
        <v>66.48</v>
      </c>
      <c r="LY88" s="21" t="n">
        <v>498.538</v>
      </c>
      <c r="LZ88" s="21" t="n">
        <v>83.354</v>
      </c>
      <c r="MA88" s="21" t="n">
        <v>545.331</v>
      </c>
      <c r="MB88" s="21" t="n">
        <v>312.062</v>
      </c>
      <c r="MC88" s="21" t="n">
        <v>254.111</v>
      </c>
      <c r="MD88" s="21" t="n">
        <v>163.175</v>
      </c>
      <c r="ME88" s="21" t="n">
        <v>106.917</v>
      </c>
      <c r="MF88" s="21" t="n">
        <v>180.642</v>
      </c>
      <c r="MG88" s="21" t="n">
        <v>308.692</v>
      </c>
      <c r="MH88" s="21" t="n">
        <v>188.353</v>
      </c>
      <c r="MI88" s="21" t="n">
        <v>490.67</v>
      </c>
      <c r="MJ88" s="21" t="n">
        <v>390.992</v>
      </c>
      <c r="MK88" s="21" t="n">
        <v>356.655</v>
      </c>
      <c r="ML88" s="21" t="n">
        <v>201.936</v>
      </c>
      <c r="MM88" s="21" t="n">
        <v>230.969</v>
      </c>
      <c r="MN88" s="21" t="n">
        <v>395.601</v>
      </c>
      <c r="MO88" s="21" t="n">
        <v>171.71</v>
      </c>
      <c r="MP88" s="21" t="n"/>
      <c r="MQ88" s="21" t="n">
        <v>83.33</v>
      </c>
      <c r="MR88" s="21" t="n">
        <v>181.009</v>
      </c>
      <c r="MS88" s="21" t="n"/>
      <c r="MT88" s="21" t="n">
        <v>275.372</v>
      </c>
      <c r="MU88" s="21" t="n">
        <v>289.456</v>
      </c>
      <c r="MV88" s="21" t="n">
        <v>286.196</v>
      </c>
      <c r="MW88" s="21" t="n">
        <v>289.305</v>
      </c>
      <c r="MX88" s="21" t="n">
        <v>267.42</v>
      </c>
      <c r="MY88" s="21" t="n">
        <v>260.018</v>
      </c>
      <c r="MZ88" s="21" t="n">
        <v>257.366</v>
      </c>
      <c r="NA88" s="21" t="n">
        <v>258.321</v>
      </c>
      <c r="NB88" s="21" t="n">
        <v>120.43</v>
      </c>
      <c r="NC88" s="21" t="n">
        <v>219.057</v>
      </c>
      <c r="ND88" s="21" t="n">
        <v>183.946</v>
      </c>
      <c r="NE88" s="21" t="n">
        <v>180.695</v>
      </c>
      <c r="NF88" s="21" t="n">
        <v>164.449</v>
      </c>
      <c r="NG88" s="21" t="n">
        <v>158.413</v>
      </c>
      <c r="NH88" s="21" t="n">
        <v>288.245</v>
      </c>
      <c r="NI88" s="21" t="n">
        <v>127.471</v>
      </c>
      <c r="NJ88" s="21" t="n">
        <v>66.925</v>
      </c>
      <c r="NK88" s="21" t="n">
        <v>116.652</v>
      </c>
      <c r="NL88" s="21" t="n">
        <v>298.246</v>
      </c>
      <c r="NM88" s="21" t="n">
        <v>375.027</v>
      </c>
      <c r="NN88" s="21" t="n">
        <v>103.48</v>
      </c>
      <c r="NO88" s="21" t="n">
        <v>47.12</v>
      </c>
      <c r="NP88" s="21" t="n">
        <v>265.38</v>
      </c>
      <c r="NQ88" s="21" t="n">
        <v>239.355</v>
      </c>
      <c r="NR88" s="21" t="n">
        <v>304.859</v>
      </c>
      <c r="NS88" s="21" t="n">
        <v>237.431</v>
      </c>
      <c r="NT88" s="21" t="n">
        <v>310.037</v>
      </c>
      <c r="NU88" s="21" t="n">
        <v>125.472</v>
      </c>
      <c r="NV88" s="21" t="n">
        <v>138.807</v>
      </c>
      <c r="NW88" s="21" t="n">
        <v>384.312</v>
      </c>
      <c r="NX88" s="21" t="n">
        <v>83.55500000000001</v>
      </c>
      <c r="NY88" s="21" t="n">
        <v>135.17</v>
      </c>
      <c r="NZ88" s="21" t="n">
        <v>361.783</v>
      </c>
      <c r="OA88" s="21" t="n">
        <v>354.058</v>
      </c>
      <c r="OB88" s="21" t="n">
        <v>365.938</v>
      </c>
      <c r="OC88" s="21" t="n">
        <v>336.208</v>
      </c>
      <c r="OD88" s="21" t="n">
        <v>372.608</v>
      </c>
      <c r="OE88" s="21" t="n">
        <v>133.923</v>
      </c>
      <c r="OF88" s="21" t="n">
        <v>340.671</v>
      </c>
      <c r="OG88" s="21" t="n">
        <v>238.961</v>
      </c>
      <c r="OH88" s="21" t="n">
        <v>35.808</v>
      </c>
      <c r="OI88" s="21" t="n">
        <v>141.159</v>
      </c>
      <c r="OJ88" s="21" t="n">
        <v>34.8</v>
      </c>
      <c r="OK88" s="21" t="n">
        <v>11.6</v>
      </c>
    </row>
    <row r="89">
      <c r="A89" s="22" t="n">
        <v>44652</v>
      </c>
      <c r="B89" s="21" t="n">
        <v>289.109</v>
      </c>
      <c r="C89" s="21" t="n">
        <v>866.042</v>
      </c>
      <c r="D89" s="21" t="n">
        <v>296.915</v>
      </c>
      <c r="E89" s="21" t="n">
        <v>298.711</v>
      </c>
      <c r="F89" s="21" t="n">
        <v>282.161</v>
      </c>
      <c r="G89" s="21" t="n">
        <v>314.787</v>
      </c>
      <c r="H89" s="21" t="n">
        <v>258.814</v>
      </c>
      <c r="I89" s="21" t="n">
        <v>268.748</v>
      </c>
      <c r="J89" s="21" t="n">
        <v>252.613</v>
      </c>
      <c r="K89" s="21" t="n">
        <v>268.736</v>
      </c>
      <c r="L89" s="21" t="n">
        <v>181.031</v>
      </c>
      <c r="M89" s="21" t="n">
        <v>347.132</v>
      </c>
      <c r="N89" s="21" t="n">
        <v>209.338</v>
      </c>
      <c r="O89" s="21" t="n">
        <v>376.973</v>
      </c>
      <c r="P89" s="21" t="n">
        <v>410.661</v>
      </c>
      <c r="Q89" s="21" t="n">
        <v>205.891</v>
      </c>
      <c r="R89" s="21" t="n">
        <v>325.062</v>
      </c>
      <c r="S89" s="21" t="n">
        <v>346.861</v>
      </c>
      <c r="T89" s="21" t="n">
        <v>302.404</v>
      </c>
      <c r="U89" s="21" t="n">
        <v>311.949</v>
      </c>
      <c r="V89" s="21" t="n">
        <v>357.362</v>
      </c>
      <c r="W89" s="21" t="n">
        <v>368.812</v>
      </c>
      <c r="X89" s="21" t="n">
        <v>303.841</v>
      </c>
      <c r="Y89" s="21" t="n">
        <v>310.399</v>
      </c>
      <c r="Z89" s="21" t="n">
        <v>313.133</v>
      </c>
      <c r="AA89" s="21" t="n">
        <v>319.884</v>
      </c>
      <c r="AB89" s="21" t="n">
        <v>392.39</v>
      </c>
      <c r="AC89" s="21" t="n">
        <v>340.975</v>
      </c>
      <c r="AD89" s="21" t="n">
        <v>313.886</v>
      </c>
      <c r="AE89" s="21" t="n">
        <v>259.539</v>
      </c>
      <c r="AF89" s="21" t="n">
        <v>327.591</v>
      </c>
      <c r="AG89" s="21" t="n">
        <v>266.009</v>
      </c>
      <c r="AH89" s="21" t="n">
        <v>203.113</v>
      </c>
      <c r="AI89" s="21" t="n">
        <v>389.5</v>
      </c>
      <c r="AJ89" s="21" t="n">
        <v>176.771</v>
      </c>
      <c r="AK89" s="21" t="n">
        <v>233.085</v>
      </c>
      <c r="AL89" s="21" t="n">
        <v>259.211</v>
      </c>
      <c r="AM89" s="21" t="n">
        <v>241.837</v>
      </c>
      <c r="AN89" s="21" t="n">
        <v>164.573</v>
      </c>
      <c r="AO89" s="21" t="n">
        <v>271.91</v>
      </c>
      <c r="AP89" s="21" t="n">
        <v>277.315</v>
      </c>
      <c r="AQ89" s="21" t="n">
        <v>174.874</v>
      </c>
      <c r="AR89" s="21" t="n"/>
      <c r="AS89" s="21" t="n"/>
      <c r="AT89" s="21" t="n">
        <v>286.935</v>
      </c>
      <c r="AU89" s="21" t="n">
        <v>186.18</v>
      </c>
      <c r="AV89" s="21" t="n">
        <v>301.862</v>
      </c>
      <c r="AW89" s="21" t="n">
        <v>281.02</v>
      </c>
      <c r="AX89" s="21" t="n">
        <v>179.928</v>
      </c>
      <c r="AY89" s="21" t="n">
        <v>350.492</v>
      </c>
      <c r="AZ89" s="21" t="n">
        <v>224.402</v>
      </c>
      <c r="BA89" s="21" t="n">
        <v>169.768</v>
      </c>
      <c r="BB89" s="21" t="n">
        <v>236.161</v>
      </c>
      <c r="BC89" s="21" t="n">
        <v>357.987</v>
      </c>
      <c r="BD89" s="21" t="n">
        <v>273.464</v>
      </c>
      <c r="BE89" s="21" t="n">
        <v>251.03</v>
      </c>
      <c r="BF89" s="21" t="n">
        <v>173.158</v>
      </c>
      <c r="BG89" s="21" t="n">
        <v>252.229</v>
      </c>
      <c r="BH89" s="21" t="n">
        <v>177.285</v>
      </c>
      <c r="BI89" s="21" t="n">
        <v>255.698</v>
      </c>
      <c r="BJ89" s="21" t="n">
        <v>243.175</v>
      </c>
      <c r="BK89" s="21" t="n">
        <v>167.824</v>
      </c>
      <c r="BL89" s="21" t="n">
        <v>339.385</v>
      </c>
      <c r="BM89" s="21" t="n">
        <v>391.637</v>
      </c>
      <c r="BN89" s="21" t="n">
        <v>414.32</v>
      </c>
      <c r="BO89" s="21" t="n">
        <v>359.487</v>
      </c>
      <c r="BP89" s="21" t="n">
        <v>204.099</v>
      </c>
      <c r="BQ89" s="21" t="n">
        <v>314.133</v>
      </c>
      <c r="BR89" s="21" t="n">
        <v>587.191</v>
      </c>
      <c r="BS89" s="21" t="n">
        <v>138.18</v>
      </c>
      <c r="BT89" s="21" t="n">
        <v>366.283</v>
      </c>
      <c r="BU89" s="21" t="n">
        <v>400.249</v>
      </c>
      <c r="BV89" s="21" t="n">
        <v>383.518</v>
      </c>
      <c r="BW89" s="21" t="n">
        <v>348.275</v>
      </c>
      <c r="BX89" s="21" t="n">
        <v>363.004</v>
      </c>
      <c r="BY89" s="21" t="n">
        <v>180.479</v>
      </c>
      <c r="BZ89" s="21" t="n">
        <v>191.564</v>
      </c>
      <c r="CA89" s="21" t="n">
        <v>179.991</v>
      </c>
      <c r="CB89" s="21" t="n">
        <v>206.26</v>
      </c>
      <c r="CC89" s="21" t="n">
        <v>165.746</v>
      </c>
      <c r="CD89" s="21" t="n">
        <v>221.959</v>
      </c>
      <c r="CE89" s="21" t="n">
        <v>172.525</v>
      </c>
      <c r="CF89" s="21" t="n">
        <v>217.051</v>
      </c>
      <c r="CG89" s="21" t="n">
        <v>197.138</v>
      </c>
      <c r="CH89" s="21" t="n">
        <v>154.979</v>
      </c>
      <c r="CI89" s="21" t="n">
        <v>198.978</v>
      </c>
      <c r="CJ89" s="21" t="n">
        <v>187.928</v>
      </c>
      <c r="CK89" s="21" t="n">
        <v>139.188</v>
      </c>
      <c r="CL89" s="21" t="n">
        <v>132.061</v>
      </c>
      <c r="CM89" s="21" t="n">
        <v>222.449</v>
      </c>
      <c r="CN89" s="21" t="n">
        <v>234.172</v>
      </c>
      <c r="CO89" s="21" t="n">
        <v>205.066</v>
      </c>
      <c r="CP89" s="21" t="n">
        <v>143.035</v>
      </c>
      <c r="CQ89" s="21" t="n">
        <v>244.282</v>
      </c>
      <c r="CR89" s="21" t="n">
        <v>250.611</v>
      </c>
      <c r="CS89" s="21" t="n">
        <v>222.745</v>
      </c>
      <c r="CT89" s="21" t="n">
        <v>168.895</v>
      </c>
      <c r="CU89" s="21" t="n">
        <v>176.124</v>
      </c>
      <c r="CV89" s="21" t="n">
        <v>270.665</v>
      </c>
      <c r="CW89" s="21" t="n">
        <v>246.796</v>
      </c>
      <c r="CX89" s="21" t="n">
        <v>285.767</v>
      </c>
      <c r="CY89" s="21" t="n">
        <v>382.687</v>
      </c>
      <c r="CZ89" s="21" t="n">
        <v>150.669</v>
      </c>
      <c r="DA89" s="21" t="n">
        <v>187.84</v>
      </c>
      <c r="DB89" s="21" t="n">
        <v>181.1</v>
      </c>
      <c r="DC89" s="21" t="n">
        <v>260.199</v>
      </c>
      <c r="DD89" s="21" t="n">
        <v>290.324</v>
      </c>
      <c r="DE89" s="21" t="n">
        <v>197.666</v>
      </c>
      <c r="DF89" s="21" t="n">
        <v>287.636</v>
      </c>
      <c r="DG89" s="21" t="n">
        <v>274.716</v>
      </c>
      <c r="DH89" s="21" t="n">
        <v>176.295</v>
      </c>
      <c r="DI89" s="21" t="n">
        <v>164.586</v>
      </c>
      <c r="DJ89" s="21" t="n">
        <v>159.371</v>
      </c>
      <c r="DK89" s="21" t="n">
        <v>300.578</v>
      </c>
      <c r="DL89" s="21" t="n">
        <v>196.443</v>
      </c>
      <c r="DM89" s="21" t="n">
        <v>153.219</v>
      </c>
      <c r="DN89" s="21" t="n">
        <v>144.789</v>
      </c>
      <c r="DO89" s="21" t="n">
        <v>323.559</v>
      </c>
      <c r="DP89" s="21" t="n">
        <v>202.346</v>
      </c>
      <c r="DQ89" s="21" t="n">
        <v>212.95</v>
      </c>
      <c r="DR89" s="21" t="n">
        <v>83.39100000000001</v>
      </c>
      <c r="DS89" s="21" t="n">
        <v>48.551</v>
      </c>
      <c r="DT89" s="21" t="n">
        <v>186.425</v>
      </c>
      <c r="DU89" s="21" t="n">
        <v>213.997</v>
      </c>
      <c r="DV89" s="21" t="n">
        <v>271.376</v>
      </c>
      <c r="DW89" s="21" t="n">
        <v>217.55</v>
      </c>
      <c r="DX89" s="21" t="n">
        <v>251.585</v>
      </c>
      <c r="DY89" s="21" t="n">
        <v>204.262</v>
      </c>
      <c r="DZ89" s="21" t="n">
        <v>217.75</v>
      </c>
      <c r="EA89" s="21" t="n">
        <v>199.852</v>
      </c>
      <c r="EB89" s="21" t="n">
        <v>177.083</v>
      </c>
      <c r="EC89" s="21" t="n">
        <v>389.313</v>
      </c>
      <c r="ED89" s="21" t="n">
        <v>191.004</v>
      </c>
      <c r="EE89" s="21" t="n">
        <v>209.381</v>
      </c>
      <c r="EF89" s="21" t="n">
        <v>215.379</v>
      </c>
      <c r="EG89" s="21" t="n">
        <v>295.259</v>
      </c>
      <c r="EH89" s="21" t="n">
        <v>348.389</v>
      </c>
      <c r="EI89" s="21" t="n">
        <v>362.951</v>
      </c>
      <c r="EJ89" s="21" t="n">
        <v>189.951</v>
      </c>
      <c r="EK89" s="21" t="n">
        <v>592.353</v>
      </c>
      <c r="EL89" s="21" t="n">
        <v>393.879</v>
      </c>
      <c r="EM89" s="21" t="n">
        <v>356.439</v>
      </c>
      <c r="EN89" s="21" t="n">
        <v>356.458</v>
      </c>
      <c r="EO89" s="21" t="n">
        <v>149.895</v>
      </c>
      <c r="EP89" s="21" t="n">
        <v>286.339</v>
      </c>
      <c r="EQ89" s="21" t="n">
        <v>241.059</v>
      </c>
      <c r="ER89" s="21" t="n">
        <v>450.703</v>
      </c>
      <c r="ES89" s="21" t="n">
        <v>482.516</v>
      </c>
      <c r="ET89" s="21" t="n">
        <v>465.969</v>
      </c>
      <c r="EU89" s="21" t="n">
        <v>240.865</v>
      </c>
      <c r="EV89" s="21" t="n">
        <v>242.778</v>
      </c>
      <c r="EW89" s="21" t="n">
        <v>230.916</v>
      </c>
      <c r="EX89" s="21" t="n">
        <v>270.419</v>
      </c>
      <c r="EY89" s="21" t="n">
        <v>623.653</v>
      </c>
      <c r="EZ89" s="21" t="n">
        <v>542.564</v>
      </c>
      <c r="FA89" s="21" t="n">
        <v>142.11</v>
      </c>
      <c r="FB89" s="21" t="n">
        <v>60.848</v>
      </c>
      <c r="FC89" s="21" t="n">
        <v>123.398</v>
      </c>
      <c r="FD89" s="21" t="n">
        <v>76.746</v>
      </c>
      <c r="FE89" s="21" t="n">
        <v>44.031</v>
      </c>
      <c r="FF89" s="21" t="n">
        <v>137.665</v>
      </c>
      <c r="FG89" s="21" t="n">
        <v>149.709</v>
      </c>
      <c r="FH89" s="21" t="n">
        <v>108.414</v>
      </c>
      <c r="FI89" s="21" t="n">
        <v>87.837</v>
      </c>
      <c r="FJ89" s="21" t="n"/>
      <c r="FK89" s="21" t="n">
        <v>90.134</v>
      </c>
      <c r="FL89" s="21" t="n">
        <v>108.206</v>
      </c>
      <c r="FM89" s="21" t="n">
        <v>118.362</v>
      </c>
      <c r="FN89" s="21" t="n">
        <v>73.97</v>
      </c>
      <c r="FO89" s="21" t="n">
        <v>56.004</v>
      </c>
      <c r="FP89" s="21" t="n">
        <v>41.832</v>
      </c>
      <c r="FQ89" s="21" t="n">
        <v>145.436</v>
      </c>
      <c r="FR89" s="21" t="n">
        <v>49.537</v>
      </c>
      <c r="FS89" s="21" t="n">
        <v>86.196</v>
      </c>
      <c r="FT89" s="21" t="n">
        <v>104.103</v>
      </c>
      <c r="FU89" s="21" t="n">
        <v>113.48</v>
      </c>
      <c r="FV89" s="21" t="n">
        <v>99.90600000000001</v>
      </c>
      <c r="FW89" s="21" t="n">
        <v>213.732</v>
      </c>
      <c r="FX89" s="21" t="n">
        <v>139.159</v>
      </c>
      <c r="FY89" s="21" t="n">
        <v>206.953</v>
      </c>
      <c r="FZ89" s="21" t="n">
        <v>126.562</v>
      </c>
      <c r="GA89" s="21" t="n">
        <v>222.581</v>
      </c>
      <c r="GB89" s="21" t="n">
        <v>198.978</v>
      </c>
      <c r="GC89" s="21" t="n"/>
      <c r="GD89" s="21" t="n">
        <v>199.803</v>
      </c>
      <c r="GE89" s="21" t="n"/>
      <c r="GF89" s="21" t="n">
        <v>127.126</v>
      </c>
      <c r="GG89" s="21" t="n">
        <v>123.096</v>
      </c>
      <c r="GH89" s="21" t="n">
        <v>125.928</v>
      </c>
      <c r="GI89" s="21" t="n">
        <v>104.38</v>
      </c>
      <c r="GJ89" s="21" t="n">
        <v>172.91</v>
      </c>
      <c r="GK89" s="21" t="n">
        <v>76.303</v>
      </c>
      <c r="GL89" s="21" t="n">
        <v>129.199</v>
      </c>
      <c r="GM89" s="21" t="n">
        <v>110.823</v>
      </c>
      <c r="GN89" s="21" t="n">
        <v>106.563</v>
      </c>
      <c r="GO89" s="21" t="n">
        <v>107.458</v>
      </c>
      <c r="GP89" s="21" t="n">
        <v>98.68300000000001</v>
      </c>
      <c r="GQ89" s="21" t="n">
        <v>109.685</v>
      </c>
      <c r="GR89" s="21" t="n">
        <v>73.64400000000001</v>
      </c>
      <c r="GS89" s="21" t="n">
        <v>107.067</v>
      </c>
      <c r="GT89" s="21" t="n">
        <v>101.844</v>
      </c>
      <c r="GU89" s="21" t="n">
        <v>143.995</v>
      </c>
      <c r="GV89" s="21" t="n">
        <v>148.427</v>
      </c>
      <c r="GW89" s="21" t="n">
        <v>163.521</v>
      </c>
      <c r="GX89" s="21" t="n">
        <v>130.835</v>
      </c>
      <c r="GY89" s="21" t="n">
        <v>120.308</v>
      </c>
      <c r="GZ89" s="21" t="n">
        <v>183.522</v>
      </c>
      <c r="HA89" s="21" t="n">
        <v>152.89</v>
      </c>
      <c r="HB89" s="21" t="n">
        <v>180.142</v>
      </c>
      <c r="HC89" s="21" t="n">
        <v>266.892</v>
      </c>
      <c r="HD89" s="21" t="n">
        <v>265.383</v>
      </c>
      <c r="HE89" s="21" t="n">
        <v>127.338</v>
      </c>
      <c r="HF89" s="21" t="n">
        <v>169.699</v>
      </c>
      <c r="HG89" s="21" t="n"/>
      <c r="HH89" s="21" t="n">
        <v>166.114</v>
      </c>
      <c r="HI89" s="21" t="n">
        <v>180.593</v>
      </c>
      <c r="HJ89" s="21" t="n"/>
      <c r="HK89" s="21" t="n">
        <v>206.981</v>
      </c>
      <c r="HL89" s="21" t="n"/>
      <c r="HM89" s="21" t="n">
        <v>203.44</v>
      </c>
      <c r="HN89" s="21" t="n">
        <v>365.314</v>
      </c>
      <c r="HO89" s="21" t="n">
        <v>362.802</v>
      </c>
      <c r="HP89" s="21" t="n">
        <v>356.934</v>
      </c>
      <c r="HQ89" s="21" t="n">
        <v>387.269</v>
      </c>
      <c r="HR89" s="21" t="n">
        <v>373.303</v>
      </c>
      <c r="HS89" s="21" t="n">
        <v>375.202</v>
      </c>
      <c r="HT89" s="21" t="n">
        <v>172.308</v>
      </c>
      <c r="HU89" s="21" t="n">
        <v>148.062</v>
      </c>
      <c r="HV89" s="21" t="n">
        <v>203.946</v>
      </c>
      <c r="HW89" s="21" t="n">
        <v>189.036</v>
      </c>
      <c r="HX89" s="21" t="n">
        <v>454.853</v>
      </c>
      <c r="HY89" s="21" t="n">
        <v>331.735</v>
      </c>
      <c r="HZ89" s="21" t="n">
        <v>379.836</v>
      </c>
      <c r="IA89" s="21" t="n">
        <v>297.502</v>
      </c>
      <c r="IB89" s="21" t="n">
        <v>203.359</v>
      </c>
      <c r="IC89" s="21" t="n">
        <v>592.317</v>
      </c>
      <c r="ID89" s="21" t="n">
        <v>199.462</v>
      </c>
      <c r="IE89" s="21" t="n">
        <v>187.151</v>
      </c>
      <c r="IF89" s="21" t="n">
        <v>218.904</v>
      </c>
      <c r="IG89" s="21" t="n">
        <v>252.92</v>
      </c>
      <c r="IH89" s="21" t="n"/>
      <c r="II89" s="21" t="n">
        <v>286.601</v>
      </c>
      <c r="IJ89" s="21" t="n">
        <v>297.143</v>
      </c>
      <c r="IK89" s="21" t="n">
        <v>160.419</v>
      </c>
      <c r="IL89" s="21" t="n"/>
      <c r="IM89" s="21" t="n"/>
      <c r="IN89" s="21" t="n">
        <v>63.075</v>
      </c>
      <c r="IO89" s="21" t="n">
        <v>336.078</v>
      </c>
      <c r="IP89" s="21" t="n">
        <v>128.174</v>
      </c>
      <c r="IQ89" s="21" t="n">
        <v>541.515</v>
      </c>
      <c r="IR89" s="21" t="n">
        <v>385.307</v>
      </c>
      <c r="IS89" s="21" t="n">
        <v>126.356</v>
      </c>
      <c r="IT89" s="21" t="n">
        <v>532.975</v>
      </c>
      <c r="IU89" s="21" t="n">
        <v>98.437</v>
      </c>
      <c r="IV89" s="21" t="n">
        <v>98.593</v>
      </c>
      <c r="IW89" s="21" t="n">
        <v>591.9400000000001</v>
      </c>
      <c r="IX89" s="21" t="n">
        <v>408.209</v>
      </c>
      <c r="IY89" s="21" t="n">
        <v>410.83</v>
      </c>
      <c r="IZ89" s="21" t="n">
        <v>530.804</v>
      </c>
      <c r="JA89" s="21" t="n">
        <v>197.221</v>
      </c>
      <c r="JB89" s="21" t="n">
        <v>257.303</v>
      </c>
      <c r="JC89" s="21" t="n">
        <v>89.02</v>
      </c>
      <c r="JD89" s="21" t="n">
        <v>374.501</v>
      </c>
      <c r="JE89" s="21" t="n">
        <v>362.516</v>
      </c>
      <c r="JF89" s="21" t="n">
        <v>811.686</v>
      </c>
      <c r="JG89" s="21" t="n">
        <v>257.868</v>
      </c>
      <c r="JH89" s="21" t="n">
        <v>142.597</v>
      </c>
      <c r="JI89" s="21" t="n">
        <v>191.433</v>
      </c>
      <c r="JJ89" s="21" t="n">
        <v>129.892</v>
      </c>
      <c r="JK89" s="21" t="n">
        <v>112.568</v>
      </c>
      <c r="JL89" s="21" t="n">
        <v>128.968</v>
      </c>
      <c r="JM89" s="21" t="n">
        <v>540.675</v>
      </c>
      <c r="JN89" s="21" t="n">
        <v>119.088</v>
      </c>
      <c r="JO89" s="21" t="n">
        <v>66.371</v>
      </c>
      <c r="JP89" s="21" t="n">
        <v>31.805</v>
      </c>
      <c r="JQ89" s="21" t="n">
        <v>145.983</v>
      </c>
      <c r="JR89" s="21" t="n">
        <v>25.263</v>
      </c>
      <c r="JS89" s="21" t="n">
        <v>79.313</v>
      </c>
      <c r="JT89" s="21" t="n">
        <v>198.626</v>
      </c>
      <c r="JU89" s="21" t="n">
        <v>217.956</v>
      </c>
      <c r="JV89" s="21" t="n">
        <v>166.72</v>
      </c>
      <c r="JW89" s="21" t="n">
        <v>124.494</v>
      </c>
      <c r="JX89" s="21" t="n">
        <v>297.108</v>
      </c>
      <c r="JY89" s="21" t="n">
        <v>223.311</v>
      </c>
      <c r="JZ89" s="21" t="n">
        <v>314.416</v>
      </c>
      <c r="KA89" s="21" t="n">
        <v>127.853</v>
      </c>
      <c r="KB89" s="21" t="n">
        <v>176.212</v>
      </c>
      <c r="KC89" s="21" t="n">
        <v>87.491</v>
      </c>
      <c r="KD89" s="21" t="n">
        <v>79.727</v>
      </c>
      <c r="KE89" s="21" t="n">
        <v>58.845</v>
      </c>
      <c r="KF89" s="21" t="n"/>
      <c r="KG89" s="21" t="n">
        <v>24.688</v>
      </c>
      <c r="KH89" s="21" t="n">
        <v>129.713</v>
      </c>
      <c r="KI89" s="21" t="n"/>
      <c r="KJ89" s="21" t="n"/>
      <c r="KK89" s="21" t="n">
        <v>34.489</v>
      </c>
      <c r="KL89" s="21" t="n">
        <v>29.688</v>
      </c>
      <c r="KM89" s="21" t="n">
        <v>39.532</v>
      </c>
      <c r="KN89" s="21" t="n"/>
      <c r="KO89" s="21" t="n">
        <v>103.252</v>
      </c>
      <c r="KP89" s="21" t="n">
        <v>112.705</v>
      </c>
      <c r="KQ89" s="21" t="n">
        <v>180.483</v>
      </c>
      <c r="KR89" s="21" t="n">
        <v>150.116</v>
      </c>
      <c r="KS89" s="21" t="n">
        <v>402.643</v>
      </c>
      <c r="KT89" s="21" t="n">
        <v>204.389</v>
      </c>
      <c r="KU89" s="21" t="n">
        <v>203.91</v>
      </c>
      <c r="KV89" s="21" t="n">
        <v>346.248</v>
      </c>
      <c r="KW89" s="21" t="n">
        <v>281.751</v>
      </c>
      <c r="KX89" s="21" t="n">
        <v>215.88</v>
      </c>
      <c r="KY89" s="21" t="n">
        <v>99.10899999999999</v>
      </c>
      <c r="KZ89" s="21" t="n">
        <v>143.212</v>
      </c>
      <c r="LA89" s="21" t="n">
        <v>278.647</v>
      </c>
      <c r="LB89" s="21" t="n">
        <v>701.848</v>
      </c>
      <c r="LC89" s="21" t="n">
        <v>242.478</v>
      </c>
      <c r="LD89" s="21" t="n">
        <v>800.327</v>
      </c>
      <c r="LE89" s="21" t="n">
        <v>895.552</v>
      </c>
      <c r="LF89" s="21" t="n">
        <v>87.959</v>
      </c>
      <c r="LG89" s="21" t="n">
        <v>325.369</v>
      </c>
      <c r="LH89" s="21" t="n">
        <v>263.467</v>
      </c>
      <c r="LI89" s="21" t="n">
        <v>75.57599999999999</v>
      </c>
      <c r="LJ89" s="21" t="n">
        <v>217.756</v>
      </c>
      <c r="LK89" s="21" t="n">
        <v>339.273</v>
      </c>
      <c r="LL89" s="21" t="n">
        <v>383.006</v>
      </c>
      <c r="LM89" s="21" t="n">
        <v>71.28400000000001</v>
      </c>
      <c r="LN89" s="21" t="n">
        <v>94.482</v>
      </c>
      <c r="LO89" s="21" t="n">
        <v>47.793</v>
      </c>
      <c r="LP89" s="21" t="n">
        <v>141.694</v>
      </c>
      <c r="LQ89" s="21" t="n"/>
      <c r="LR89" s="21" t="n"/>
      <c r="LS89" s="21" t="n">
        <v>108.574</v>
      </c>
      <c r="LT89" s="21" t="n">
        <v>39.446</v>
      </c>
      <c r="LU89" s="21" t="n">
        <v>25.026</v>
      </c>
      <c r="LV89" s="21" t="n">
        <v>80.598</v>
      </c>
      <c r="LW89" s="21" t="n">
        <v>139.04</v>
      </c>
      <c r="LX89" s="21" t="n">
        <v>63.593</v>
      </c>
      <c r="LY89" s="21" t="n">
        <v>500.673</v>
      </c>
      <c r="LZ89" s="21" t="n">
        <v>83.69199999999999</v>
      </c>
      <c r="MA89" s="21" t="n">
        <v>548.0650000000001</v>
      </c>
      <c r="MB89" s="21" t="n">
        <v>311.298</v>
      </c>
      <c r="MC89" s="21" t="n">
        <v>255.213</v>
      </c>
      <c r="MD89" s="21" t="n">
        <v>163.713</v>
      </c>
      <c r="ME89" s="21" t="n">
        <v>108.232</v>
      </c>
      <c r="MF89" s="21" t="n">
        <v>179.464</v>
      </c>
      <c r="MG89" s="21" t="n">
        <v>309.947</v>
      </c>
      <c r="MH89" s="21" t="n">
        <v>189.118</v>
      </c>
      <c r="MI89" s="21" t="n">
        <v>493.539</v>
      </c>
      <c r="MJ89" s="21" t="n">
        <v>395.288</v>
      </c>
      <c r="MK89" s="21" t="n">
        <v>357.608</v>
      </c>
      <c r="ML89" s="21" t="n">
        <v>202.76</v>
      </c>
      <c r="MM89" s="21" t="n">
        <v>232.326</v>
      </c>
      <c r="MN89" s="21" t="n">
        <v>397.115</v>
      </c>
      <c r="MO89" s="21" t="n">
        <v>175.257</v>
      </c>
      <c r="MP89" s="21" t="n"/>
      <c r="MQ89" s="21" t="n">
        <v>83.499</v>
      </c>
      <c r="MR89" s="21" t="n">
        <v>181.78</v>
      </c>
      <c r="MS89" s="21" t="n"/>
      <c r="MT89" s="21" t="n">
        <v>276.967</v>
      </c>
      <c r="MU89" s="21" t="n">
        <v>291.199</v>
      </c>
      <c r="MV89" s="21" t="n">
        <v>287.595</v>
      </c>
      <c r="MW89" s="21" t="n">
        <v>290.846</v>
      </c>
      <c r="MX89" s="21" t="n">
        <v>268.974</v>
      </c>
      <c r="MY89" s="21" t="n">
        <v>261.255</v>
      </c>
      <c r="MZ89" s="21" t="n">
        <v>258.776</v>
      </c>
      <c r="NA89" s="21" t="n">
        <v>260.02</v>
      </c>
      <c r="NB89" s="21" t="n">
        <v>118.568</v>
      </c>
      <c r="NC89" s="21" t="n">
        <v>219.647</v>
      </c>
      <c r="ND89" s="21" t="n">
        <v>183.754</v>
      </c>
      <c r="NE89" s="21" t="n">
        <v>180.477</v>
      </c>
      <c r="NF89" s="21" t="n">
        <v>164.52</v>
      </c>
      <c r="NG89" s="21" t="n">
        <v>158.714</v>
      </c>
      <c r="NH89" s="21" t="n">
        <v>291.954</v>
      </c>
      <c r="NI89" s="21" t="n">
        <v>127.622</v>
      </c>
      <c r="NJ89" s="21" t="n">
        <v>65.43300000000001</v>
      </c>
      <c r="NK89" s="21" t="n">
        <v>116.801</v>
      </c>
      <c r="NL89" s="21" t="n">
        <v>298.469</v>
      </c>
      <c r="NM89" s="21" t="n">
        <v>372.22</v>
      </c>
      <c r="NN89" s="21" t="n">
        <v>104.108</v>
      </c>
      <c r="NO89" s="21" t="n">
        <v>45.952</v>
      </c>
      <c r="NP89" s="21" t="n">
        <v>266.284</v>
      </c>
      <c r="NQ89" s="21" t="n">
        <v>238.601</v>
      </c>
      <c r="NR89" s="21" t="n">
        <v>304.652</v>
      </c>
      <c r="NS89" s="21" t="n">
        <v>236.569</v>
      </c>
      <c r="NT89" s="21" t="n">
        <v>309.706</v>
      </c>
      <c r="NU89" s="21" t="n">
        <v>125.899</v>
      </c>
      <c r="NV89" s="21" t="n">
        <v>139.521</v>
      </c>
      <c r="NW89" s="21" t="n">
        <v>385.184</v>
      </c>
      <c r="NX89" s="21" t="n">
        <v>83.962</v>
      </c>
      <c r="NY89" s="21" t="n">
        <v>135.535</v>
      </c>
      <c r="NZ89" s="21" t="n">
        <v>363.652</v>
      </c>
      <c r="OA89" s="21" t="n">
        <v>356.71</v>
      </c>
      <c r="OB89" s="21" t="n">
        <v>368.565</v>
      </c>
      <c r="OC89" s="21" t="n">
        <v>338.884</v>
      </c>
      <c r="OD89" s="21" t="n">
        <v>376.389</v>
      </c>
      <c r="OE89" s="21" t="n">
        <v>134.246</v>
      </c>
      <c r="OF89" s="21" t="n">
        <v>351.985</v>
      </c>
      <c r="OG89" s="21" t="n">
        <v>244.061</v>
      </c>
      <c r="OH89" s="21" t="n">
        <v>35.588</v>
      </c>
      <c r="OI89" s="21" t="n">
        <v>141.904</v>
      </c>
      <c r="OJ89" s="21" t="n">
        <v>34.6</v>
      </c>
      <c r="OK89" s="21" t="n">
        <v>11.5</v>
      </c>
    </row>
    <row r="90">
      <c r="A90" s="22" t="n">
        <v>44682</v>
      </c>
      <c r="B90" s="21" t="n">
        <v>292.296</v>
      </c>
      <c r="C90" s="21" t="n">
        <v>875.5890000000001</v>
      </c>
      <c r="D90" s="21" t="n">
        <v>300.081</v>
      </c>
      <c r="E90" s="21" t="n">
        <v>302.038</v>
      </c>
      <c r="F90" s="21" t="n">
        <v>285.953</v>
      </c>
      <c r="G90" s="21" t="n">
        <v>319.93</v>
      </c>
      <c r="H90" s="21" t="n">
        <v>263.814</v>
      </c>
      <c r="I90" s="21" t="n">
        <v>274.327</v>
      </c>
      <c r="J90" s="21" t="n">
        <v>255.993</v>
      </c>
      <c r="K90" s="21" t="n">
        <v>275.397</v>
      </c>
      <c r="L90" s="21" t="n">
        <v>185.676</v>
      </c>
      <c r="M90" s="21" t="n">
        <v>352.31</v>
      </c>
      <c r="N90" s="21" t="n">
        <v>210.342</v>
      </c>
      <c r="O90" s="21" t="n">
        <v>379.278</v>
      </c>
      <c r="P90" s="21" t="n">
        <v>412.423</v>
      </c>
      <c r="Q90" s="21" t="n">
        <v>205.554</v>
      </c>
      <c r="R90" s="21" t="n">
        <v>335.043</v>
      </c>
      <c r="S90" s="21" t="n">
        <v>353.099</v>
      </c>
      <c r="T90" s="21" t="n">
        <v>314.374</v>
      </c>
      <c r="U90" s="21" t="n">
        <v>318.042</v>
      </c>
      <c r="V90" s="21" t="n">
        <v>361.282</v>
      </c>
      <c r="W90" s="21" t="n">
        <v>375.637</v>
      </c>
      <c r="X90" s="21" t="n">
        <v>309.054</v>
      </c>
      <c r="Y90" s="21" t="n">
        <v>314.929</v>
      </c>
      <c r="Z90" s="21" t="n">
        <v>316.924</v>
      </c>
      <c r="AA90" s="21" t="n">
        <v>321.06</v>
      </c>
      <c r="AB90" s="21" t="n">
        <v>392.396</v>
      </c>
      <c r="AC90" s="21" t="n">
        <v>338.5</v>
      </c>
      <c r="AD90" s="21" t="n">
        <v>317.134</v>
      </c>
      <c r="AE90" s="21" t="n">
        <v>261.127</v>
      </c>
      <c r="AF90" s="21" t="n">
        <v>323.534</v>
      </c>
      <c r="AG90" s="21" t="n">
        <v>268.222</v>
      </c>
      <c r="AH90" s="21" t="n">
        <v>204.937</v>
      </c>
      <c r="AI90" s="21" t="n">
        <v>387.791</v>
      </c>
      <c r="AJ90" s="21" t="n">
        <v>182.13</v>
      </c>
      <c r="AK90" s="21" t="n">
        <v>238.086</v>
      </c>
      <c r="AL90" s="21" t="n">
        <v>265.174</v>
      </c>
      <c r="AM90" s="21" t="n">
        <v>237.643</v>
      </c>
      <c r="AN90" s="21" t="n">
        <v>166.777</v>
      </c>
      <c r="AO90" s="21" t="n">
        <v>273.187</v>
      </c>
      <c r="AP90" s="21" t="n">
        <v>273.283</v>
      </c>
      <c r="AQ90" s="21" t="n">
        <v>177.517</v>
      </c>
      <c r="AR90" s="21" t="n"/>
      <c r="AS90" s="21" t="n"/>
      <c r="AT90" s="21" t="n">
        <v>295.666</v>
      </c>
      <c r="AU90" s="21" t="n">
        <v>191.275</v>
      </c>
      <c r="AV90" s="21" t="n">
        <v>308.26</v>
      </c>
      <c r="AW90" s="21" t="n">
        <v>289.516</v>
      </c>
      <c r="AX90" s="21" t="n">
        <v>187.833</v>
      </c>
      <c r="AY90" s="21" t="n">
        <v>358.446</v>
      </c>
      <c r="AZ90" s="21" t="n">
        <v>229.367</v>
      </c>
      <c r="BA90" s="21" t="n">
        <v>173.722</v>
      </c>
      <c r="BB90" s="21" t="n">
        <v>240.952</v>
      </c>
      <c r="BC90" s="21" t="n">
        <v>369.123</v>
      </c>
      <c r="BD90" s="21" t="n">
        <v>287.261</v>
      </c>
      <c r="BE90" s="21" t="n">
        <v>257.678</v>
      </c>
      <c r="BF90" s="21" t="n">
        <v>178.025</v>
      </c>
      <c r="BG90" s="21" t="n">
        <v>260.917</v>
      </c>
      <c r="BH90" s="21" t="n">
        <v>182.036</v>
      </c>
      <c r="BI90" s="21" t="n">
        <v>260.814</v>
      </c>
      <c r="BJ90" s="21" t="n">
        <v>249.201</v>
      </c>
      <c r="BK90" s="21" t="n">
        <v>173.501</v>
      </c>
      <c r="BL90" s="21" t="n">
        <v>341.594</v>
      </c>
      <c r="BM90" s="21" t="n">
        <v>392.719</v>
      </c>
      <c r="BN90" s="21" t="n">
        <v>414.423</v>
      </c>
      <c r="BO90" s="21" t="n">
        <v>359.984</v>
      </c>
      <c r="BP90" s="21" t="n">
        <v>206.744</v>
      </c>
      <c r="BQ90" s="21" t="n">
        <v>316.212</v>
      </c>
      <c r="BR90" s="21" t="n">
        <v>599.503</v>
      </c>
      <c r="BS90" s="21" t="n">
        <v>137.073</v>
      </c>
      <c r="BT90" s="21" t="n">
        <v>368.407</v>
      </c>
      <c r="BU90" s="21" t="n">
        <v>408.901</v>
      </c>
      <c r="BV90" s="21" t="n">
        <v>376.486</v>
      </c>
      <c r="BW90" s="21" t="n">
        <v>347.659</v>
      </c>
      <c r="BX90" s="21" t="n">
        <v>366.161</v>
      </c>
      <c r="BY90" s="21" t="n">
        <v>183.892</v>
      </c>
      <c r="BZ90" s="21" t="n">
        <v>196.701</v>
      </c>
      <c r="CA90" s="21" t="n">
        <v>186.799</v>
      </c>
      <c r="CB90" s="21" t="n">
        <v>210.293</v>
      </c>
      <c r="CC90" s="21" t="n">
        <v>167.805</v>
      </c>
      <c r="CD90" s="21" t="n">
        <v>226.43</v>
      </c>
      <c r="CE90" s="21" t="n">
        <v>173.895</v>
      </c>
      <c r="CF90" s="21" t="n">
        <v>217.39</v>
      </c>
      <c r="CG90" s="21" t="n">
        <v>199.166</v>
      </c>
      <c r="CH90" s="21" t="n">
        <v>156.228</v>
      </c>
      <c r="CI90" s="21" t="n">
        <v>201.904</v>
      </c>
      <c r="CJ90" s="21" t="n">
        <v>190.725</v>
      </c>
      <c r="CK90" s="21" t="n">
        <v>139.624</v>
      </c>
      <c r="CL90" s="21" t="n">
        <v>134.117</v>
      </c>
      <c r="CM90" s="21" t="n">
        <v>227.737</v>
      </c>
      <c r="CN90" s="21" t="n">
        <v>239.783</v>
      </c>
      <c r="CO90" s="21" t="n">
        <v>208.652</v>
      </c>
      <c r="CP90" s="21" t="n">
        <v>143.122</v>
      </c>
      <c r="CQ90" s="21" t="n">
        <v>247.3</v>
      </c>
      <c r="CR90" s="21" t="n">
        <v>252.071</v>
      </c>
      <c r="CS90" s="21" t="n">
        <v>228.791</v>
      </c>
      <c r="CT90" s="21" t="n">
        <v>168.485</v>
      </c>
      <c r="CU90" s="21" t="n">
        <v>178.871</v>
      </c>
      <c r="CV90" s="21" t="n">
        <v>277.206</v>
      </c>
      <c r="CW90" s="21" t="n">
        <v>254.739</v>
      </c>
      <c r="CX90" s="21" t="n">
        <v>293.809</v>
      </c>
      <c r="CY90" s="21" t="n">
        <v>394.817</v>
      </c>
      <c r="CZ90" s="21" t="n">
        <v>151.65</v>
      </c>
      <c r="DA90" s="21" t="n">
        <v>193.032</v>
      </c>
      <c r="DB90" s="21" t="n">
        <v>187.065</v>
      </c>
      <c r="DC90" s="21" t="n">
        <v>263.252</v>
      </c>
      <c r="DD90" s="21" t="n">
        <v>295.237</v>
      </c>
      <c r="DE90" s="21" t="n">
        <v>198.787</v>
      </c>
      <c r="DF90" s="21" t="n">
        <v>292.451</v>
      </c>
      <c r="DG90" s="21" t="n">
        <v>278.624</v>
      </c>
      <c r="DH90" s="21" t="n">
        <v>179.343</v>
      </c>
      <c r="DI90" s="21" t="n">
        <v>165.062</v>
      </c>
      <c r="DJ90" s="21" t="n">
        <v>161.78</v>
      </c>
      <c r="DK90" s="21" t="n">
        <v>306.211</v>
      </c>
      <c r="DL90" s="21" t="n">
        <v>196.455</v>
      </c>
      <c r="DM90" s="21" t="n">
        <v>154.756</v>
      </c>
      <c r="DN90" s="21" t="n">
        <v>146.974</v>
      </c>
      <c r="DO90" s="21" t="n">
        <v>325.952</v>
      </c>
      <c r="DP90" s="21" t="n">
        <v>203.954</v>
      </c>
      <c r="DQ90" s="21" t="n">
        <v>214.416</v>
      </c>
      <c r="DR90" s="21" t="n">
        <v>83.75700000000001</v>
      </c>
      <c r="DS90" s="21" t="n">
        <v>48.676</v>
      </c>
      <c r="DT90" s="21" t="n">
        <v>190.113</v>
      </c>
      <c r="DU90" s="21" t="n">
        <v>215.088</v>
      </c>
      <c r="DV90" s="21" t="n">
        <v>272.293</v>
      </c>
      <c r="DW90" s="21" t="n">
        <v>217.797</v>
      </c>
      <c r="DX90" s="21" t="n">
        <v>252.14</v>
      </c>
      <c r="DY90" s="21" t="n">
        <v>204.429</v>
      </c>
      <c r="DZ90" s="21" t="n">
        <v>218.057</v>
      </c>
      <c r="EA90" s="21" t="n">
        <v>200.211</v>
      </c>
      <c r="EB90" s="21" t="n">
        <v>177.142</v>
      </c>
      <c r="EC90" s="21" t="n">
        <v>392.382</v>
      </c>
      <c r="ED90" s="21" t="n">
        <v>192.556</v>
      </c>
      <c r="EE90" s="21" t="n">
        <v>212.383</v>
      </c>
      <c r="EF90" s="21" t="n">
        <v>215.9</v>
      </c>
      <c r="EG90" s="21" t="n">
        <v>297.868</v>
      </c>
      <c r="EH90" s="21" t="n">
        <v>350.58</v>
      </c>
      <c r="EI90" s="21" t="n">
        <v>365.116</v>
      </c>
      <c r="EJ90" s="21" t="n">
        <v>194.733</v>
      </c>
      <c r="EK90" s="21" t="n">
        <v>592.353</v>
      </c>
      <c r="EL90" s="21" t="n">
        <v>405.186</v>
      </c>
      <c r="EM90" s="21" t="n">
        <v>358.469</v>
      </c>
      <c r="EN90" s="21" t="n">
        <v>358.494</v>
      </c>
      <c r="EO90" s="21" t="n">
        <v>149.795</v>
      </c>
      <c r="EP90" s="21" t="n">
        <v>295.153</v>
      </c>
      <c r="EQ90" s="21" t="n">
        <v>250.594</v>
      </c>
      <c r="ER90" s="21" t="n">
        <v>501.647</v>
      </c>
      <c r="ES90" s="21" t="n">
        <v>564.147</v>
      </c>
      <c r="ET90" s="21" t="n">
        <v>463.046</v>
      </c>
      <c r="EU90" s="21" t="n">
        <v>249.129</v>
      </c>
      <c r="EV90" s="21" t="n">
        <v>247.461</v>
      </c>
      <c r="EW90" s="21" t="n">
        <v>248.854</v>
      </c>
      <c r="EX90" s="21" t="n">
        <v>270.844</v>
      </c>
      <c r="EY90" s="21" t="n">
        <v>624.129</v>
      </c>
      <c r="EZ90" s="21" t="n">
        <v>544.546</v>
      </c>
      <c r="FA90" s="21" t="n">
        <v>142.736</v>
      </c>
      <c r="FB90" s="21" t="n">
        <v>60.585</v>
      </c>
      <c r="FC90" s="21" t="n">
        <v>126.094</v>
      </c>
      <c r="FD90" s="21" t="n">
        <v>75.223</v>
      </c>
      <c r="FE90" s="21" t="n">
        <v>43.631</v>
      </c>
      <c r="FF90" s="21" t="n">
        <v>137.398</v>
      </c>
      <c r="FG90" s="21" t="n">
        <v>147.32</v>
      </c>
      <c r="FH90" s="21" t="n">
        <v>109.219</v>
      </c>
      <c r="FI90" s="21" t="n">
        <v>87.726</v>
      </c>
      <c r="FJ90" s="21" t="n"/>
      <c r="FK90" s="21" t="n">
        <v>89.325</v>
      </c>
      <c r="FL90" s="21" t="n">
        <v>105.656</v>
      </c>
      <c r="FM90" s="21" t="n">
        <v>118.226</v>
      </c>
      <c r="FN90" s="21" t="n">
        <v>73.86799999999999</v>
      </c>
      <c r="FO90" s="21" t="n">
        <v>54.893</v>
      </c>
      <c r="FP90" s="21" t="n">
        <v>40.273</v>
      </c>
      <c r="FQ90" s="21" t="n">
        <v>147.008</v>
      </c>
      <c r="FR90" s="21" t="n">
        <v>49.85</v>
      </c>
      <c r="FS90" s="21" t="n">
        <v>86.449</v>
      </c>
      <c r="FT90" s="21" t="n">
        <v>105.362</v>
      </c>
      <c r="FU90" s="21" t="n">
        <v>114.169</v>
      </c>
      <c r="FV90" s="21" t="n">
        <v>101.272</v>
      </c>
      <c r="FW90" s="21" t="n">
        <v>215.957</v>
      </c>
      <c r="FX90" s="21" t="n">
        <v>139.554</v>
      </c>
      <c r="FY90" s="21" t="n">
        <v>206.797</v>
      </c>
      <c r="FZ90" s="21" t="n">
        <v>129.577</v>
      </c>
      <c r="GA90" s="21" t="n">
        <v>227.202</v>
      </c>
      <c r="GB90" s="21" t="n">
        <v>200.477</v>
      </c>
      <c r="GC90" s="21" t="n"/>
      <c r="GD90" s="21" t="n">
        <v>204.606</v>
      </c>
      <c r="GE90" s="21" t="n"/>
      <c r="GF90" s="21" t="n">
        <v>126.97</v>
      </c>
      <c r="GG90" s="21" t="n">
        <v>123.127</v>
      </c>
      <c r="GH90" s="21" t="n">
        <v>126.066</v>
      </c>
      <c r="GI90" s="21" t="n">
        <v>106.352</v>
      </c>
      <c r="GJ90" s="21" t="n">
        <v>173.245</v>
      </c>
      <c r="GK90" s="21" t="n">
        <v>75.81100000000001</v>
      </c>
      <c r="GL90" s="21" t="n">
        <v>128.697</v>
      </c>
      <c r="GM90" s="21" t="n">
        <v>110.537</v>
      </c>
      <c r="GN90" s="21" t="n">
        <v>105.491</v>
      </c>
      <c r="GO90" s="21" t="n">
        <v>106.687</v>
      </c>
      <c r="GP90" s="21" t="n">
        <v>99.66500000000001</v>
      </c>
      <c r="GQ90" s="21" t="n">
        <v>107.315</v>
      </c>
      <c r="GR90" s="21" t="n">
        <v>72.47499999999999</v>
      </c>
      <c r="GS90" s="21" t="n">
        <v>107.807</v>
      </c>
      <c r="GT90" s="21" t="n">
        <v>99.31100000000001</v>
      </c>
      <c r="GU90" s="21" t="n">
        <v>144.589</v>
      </c>
      <c r="GV90" s="21" t="n">
        <v>149.057</v>
      </c>
      <c r="GW90" s="21" t="n">
        <v>166.087</v>
      </c>
      <c r="GX90" s="21" t="n">
        <v>130.748</v>
      </c>
      <c r="GY90" s="21" t="n">
        <v>122.903</v>
      </c>
      <c r="GZ90" s="21" t="n">
        <v>185.496</v>
      </c>
      <c r="HA90" s="21" t="n">
        <v>151.856</v>
      </c>
      <c r="HB90" s="21" t="n">
        <v>182.834</v>
      </c>
      <c r="HC90" s="21" t="n">
        <v>274.282</v>
      </c>
      <c r="HD90" s="21" t="n">
        <v>271.545</v>
      </c>
      <c r="HE90" s="21" t="n">
        <v>127.847</v>
      </c>
      <c r="HF90" s="21" t="n">
        <v>171.35</v>
      </c>
      <c r="HG90" s="21" t="n"/>
      <c r="HH90" s="21" t="n">
        <v>168.029</v>
      </c>
      <c r="HI90" s="21" t="n">
        <v>182.296</v>
      </c>
      <c r="HJ90" s="21" t="n"/>
      <c r="HK90" s="21" t="n">
        <v>208.373</v>
      </c>
      <c r="HL90" s="21" t="n"/>
      <c r="HM90" s="21" t="n">
        <v>201.928</v>
      </c>
      <c r="HN90" s="21" t="n">
        <v>393.95</v>
      </c>
      <c r="HO90" s="21" t="n">
        <v>391.262</v>
      </c>
      <c r="HP90" s="21" t="n">
        <v>386.033</v>
      </c>
      <c r="HQ90" s="21" t="n">
        <v>413.34</v>
      </c>
      <c r="HR90" s="21" t="n">
        <v>394.782</v>
      </c>
      <c r="HS90" s="21" t="n">
        <v>403.635</v>
      </c>
      <c r="HT90" s="21" t="n">
        <v>174.963</v>
      </c>
      <c r="HU90" s="21" t="n">
        <v>149.673</v>
      </c>
      <c r="HV90" s="21" t="n">
        <v>208.696</v>
      </c>
      <c r="HW90" s="21" t="n">
        <v>193.945</v>
      </c>
      <c r="HX90" s="21" t="n">
        <v>460.949</v>
      </c>
      <c r="HY90" s="21" t="n">
        <v>333.258</v>
      </c>
      <c r="HZ90" s="21" t="n">
        <v>383.777</v>
      </c>
      <c r="IA90" s="21" t="n">
        <v>298.283</v>
      </c>
      <c r="IB90" s="21" t="n">
        <v>204.806</v>
      </c>
      <c r="IC90" s="21" t="n">
        <v>594.437</v>
      </c>
      <c r="ID90" s="21" t="n">
        <v>199.663</v>
      </c>
      <c r="IE90" s="21" t="n">
        <v>187.274</v>
      </c>
      <c r="IF90" s="21" t="n">
        <v>219.247</v>
      </c>
      <c r="IG90" s="21" t="n">
        <v>254.361</v>
      </c>
      <c r="IH90" s="21" t="n"/>
      <c r="II90" s="21" t="n">
        <v>318.823</v>
      </c>
      <c r="IJ90" s="21" t="n">
        <v>344.853</v>
      </c>
      <c r="IK90" s="21" t="n">
        <v>160.377</v>
      </c>
      <c r="IL90" s="21" t="n"/>
      <c r="IM90" s="21" t="n"/>
      <c r="IN90" s="21" t="n">
        <v>62.535</v>
      </c>
      <c r="IO90" s="21" t="n">
        <v>337.501</v>
      </c>
      <c r="IP90" s="21" t="n">
        <v>128.174</v>
      </c>
      <c r="IQ90" s="21" t="n">
        <v>543.4880000000001</v>
      </c>
      <c r="IR90" s="21" t="n">
        <v>386.273</v>
      </c>
      <c r="IS90" s="21" t="n">
        <v>126.516</v>
      </c>
      <c r="IT90" s="21" t="n">
        <v>532.1950000000001</v>
      </c>
      <c r="IU90" s="21" t="n">
        <v>99.30200000000001</v>
      </c>
      <c r="IV90" s="21" t="n">
        <v>100.542</v>
      </c>
      <c r="IW90" s="21" t="n">
        <v>594.2430000000001</v>
      </c>
      <c r="IX90" s="21" t="n">
        <v>408.873</v>
      </c>
      <c r="IY90" s="21" t="n">
        <v>410.249</v>
      </c>
      <c r="IZ90" s="21" t="n">
        <v>533.992</v>
      </c>
      <c r="JA90" s="21" t="n">
        <v>197.381</v>
      </c>
      <c r="JB90" s="21" t="n">
        <v>259.026</v>
      </c>
      <c r="JC90" s="21" t="n">
        <v>89.17100000000001</v>
      </c>
      <c r="JD90" s="21" t="n">
        <v>375.273</v>
      </c>
      <c r="JE90" s="21" t="n">
        <v>363.185</v>
      </c>
      <c r="JF90" s="21" t="n">
        <v>813.5650000000001</v>
      </c>
      <c r="JG90" s="21" t="n">
        <v>257.616</v>
      </c>
      <c r="JH90" s="21" t="n">
        <v>142.653</v>
      </c>
      <c r="JI90" s="21" t="n">
        <v>195.213</v>
      </c>
      <c r="JJ90" s="21" t="n">
        <v>130.36</v>
      </c>
      <c r="JK90" s="21" t="n">
        <v>113.457</v>
      </c>
      <c r="JL90" s="21" t="n">
        <v>126.549</v>
      </c>
      <c r="JM90" s="21" t="n">
        <v>546.7329999999999</v>
      </c>
      <c r="JN90" s="21" t="n">
        <v>119.886</v>
      </c>
      <c r="JO90" s="21" t="n">
        <v>67.884</v>
      </c>
      <c r="JP90" s="21" t="n">
        <v>33.868</v>
      </c>
      <c r="JQ90" s="21" t="n">
        <v>147.469</v>
      </c>
      <c r="JR90" s="21" t="n">
        <v>25.295</v>
      </c>
      <c r="JS90" s="21" t="n">
        <v>78.75700000000001</v>
      </c>
      <c r="JT90" s="21" t="n">
        <v>199.268</v>
      </c>
      <c r="JU90" s="21" t="n">
        <v>220.21</v>
      </c>
      <c r="JV90" s="21" t="n">
        <v>169.335</v>
      </c>
      <c r="JW90" s="21" t="n">
        <v>124.597</v>
      </c>
      <c r="JX90" s="21" t="n">
        <v>295.833</v>
      </c>
      <c r="JY90" s="21" t="n">
        <v>224.442</v>
      </c>
      <c r="JZ90" s="21" t="n">
        <v>311.374</v>
      </c>
      <c r="KA90" s="21" t="n">
        <v>127.587</v>
      </c>
      <c r="KB90" s="21" t="n">
        <v>175.798</v>
      </c>
      <c r="KC90" s="21" t="n">
        <v>87.348</v>
      </c>
      <c r="KD90" s="21" t="n">
        <v>80.455</v>
      </c>
      <c r="KE90" s="21" t="n">
        <v>59.819</v>
      </c>
      <c r="KF90" s="21" t="n"/>
      <c r="KG90" s="21" t="n">
        <v>25.014</v>
      </c>
      <c r="KH90" s="21" t="n">
        <v>130.255</v>
      </c>
      <c r="KI90" s="21" t="n"/>
      <c r="KJ90" s="21" t="n"/>
      <c r="KK90" s="21" t="n">
        <v>34.51</v>
      </c>
      <c r="KL90" s="21" t="n">
        <v>29.678</v>
      </c>
      <c r="KM90" s="21" t="n">
        <v>39.119</v>
      </c>
      <c r="KN90" s="21" t="n"/>
      <c r="KO90" s="21" t="n">
        <v>104.937</v>
      </c>
      <c r="KP90" s="21" t="n">
        <v>112.198</v>
      </c>
      <c r="KQ90" s="21" t="n">
        <v>180.96</v>
      </c>
      <c r="KR90" s="21" t="n">
        <v>150.851</v>
      </c>
      <c r="KS90" s="21" t="n">
        <v>403.07</v>
      </c>
      <c r="KT90" s="21" t="n">
        <v>204.41</v>
      </c>
      <c r="KU90" s="21" t="n">
        <v>203.769</v>
      </c>
      <c r="KV90" s="21" t="n">
        <v>346.301</v>
      </c>
      <c r="KW90" s="21" t="n">
        <v>281.646</v>
      </c>
      <c r="KX90" s="21" t="n">
        <v>216.399</v>
      </c>
      <c r="KY90" s="21" t="n">
        <v>98.688</v>
      </c>
      <c r="KZ90" s="21" t="n">
        <v>143.108</v>
      </c>
      <c r="LA90" s="21" t="n">
        <v>279.356</v>
      </c>
      <c r="LB90" s="21" t="n">
        <v>717.038</v>
      </c>
      <c r="LC90" s="21" t="n">
        <v>248.539</v>
      </c>
      <c r="LD90" s="21" t="n">
        <v>801.837</v>
      </c>
      <c r="LE90" s="21" t="n">
        <v>895.552</v>
      </c>
      <c r="LF90" s="21" t="n">
        <v>89.081</v>
      </c>
      <c r="LG90" s="21" t="n">
        <v>325.592</v>
      </c>
      <c r="LH90" s="21" t="n">
        <v>264.262</v>
      </c>
      <c r="LI90" s="21" t="n">
        <v>75.34099999999999</v>
      </c>
      <c r="LJ90" s="21" t="n">
        <v>218.32</v>
      </c>
      <c r="LK90" s="21" t="n">
        <v>339.273</v>
      </c>
      <c r="LL90" s="21" t="n">
        <v>392.383</v>
      </c>
      <c r="LM90" s="21" t="n">
        <v>71.053</v>
      </c>
      <c r="LN90" s="21" t="n">
        <v>94.45399999999999</v>
      </c>
      <c r="LO90" s="21" t="n">
        <v>47.786</v>
      </c>
      <c r="LP90" s="21" t="n">
        <v>141.536</v>
      </c>
      <c r="LQ90" s="21" t="n"/>
      <c r="LR90" s="21" t="n"/>
      <c r="LS90" s="21" t="n">
        <v>107.869</v>
      </c>
      <c r="LT90" s="21" t="n">
        <v>38.909</v>
      </c>
      <c r="LU90" s="21" t="n">
        <v>25.346</v>
      </c>
      <c r="LV90" s="21" t="n">
        <v>81.01300000000001</v>
      </c>
      <c r="LW90" s="21" t="n">
        <v>134.552</v>
      </c>
      <c r="LX90" s="21" t="n">
        <v>60.428</v>
      </c>
      <c r="LY90" s="21" t="n">
        <v>502.966</v>
      </c>
      <c r="LZ90" s="21" t="n">
        <v>84.404</v>
      </c>
      <c r="MA90" s="21" t="n">
        <v>552.622</v>
      </c>
      <c r="MB90" s="21" t="n">
        <v>314.399</v>
      </c>
      <c r="MC90" s="21" t="n">
        <v>256.147</v>
      </c>
      <c r="MD90" s="21" t="n">
        <v>164.174</v>
      </c>
      <c r="ME90" s="21" t="n">
        <v>108.472</v>
      </c>
      <c r="MF90" s="21" t="n">
        <v>180.083</v>
      </c>
      <c r="MG90" s="21" t="n">
        <v>311.454</v>
      </c>
      <c r="MH90" s="21" t="n">
        <v>190.038</v>
      </c>
      <c r="MI90" s="21" t="n">
        <v>492.985</v>
      </c>
      <c r="MJ90" s="21" t="n">
        <v>399.211</v>
      </c>
      <c r="MK90" s="21" t="n">
        <v>358.288</v>
      </c>
      <c r="ML90" s="21" t="n">
        <v>203.217</v>
      </c>
      <c r="MM90" s="21" t="n">
        <v>226.241</v>
      </c>
      <c r="MN90" s="21" t="n">
        <v>390.394</v>
      </c>
      <c r="MO90" s="21" t="n">
        <v>175.257</v>
      </c>
      <c r="MP90" s="21" t="n"/>
      <c r="MQ90" s="21" t="n">
        <v>85.535</v>
      </c>
      <c r="MR90" s="21" t="n">
        <v>183.873</v>
      </c>
      <c r="MS90" s="21" t="n"/>
      <c r="MT90" s="21" t="n">
        <v>280.207</v>
      </c>
      <c r="MU90" s="21" t="n">
        <v>293.092</v>
      </c>
      <c r="MV90" s="21" t="n">
        <v>290.76</v>
      </c>
      <c r="MW90" s="21" t="n">
        <v>292.506</v>
      </c>
      <c r="MX90" s="21" t="n">
        <v>272.55</v>
      </c>
      <c r="MY90" s="21" t="n">
        <v>264.868</v>
      </c>
      <c r="MZ90" s="21" t="n">
        <v>260.146</v>
      </c>
      <c r="NA90" s="21" t="n">
        <v>261.361</v>
      </c>
      <c r="NB90" s="21" t="n">
        <v>118.22</v>
      </c>
      <c r="NC90" s="21" t="n">
        <v>223.076</v>
      </c>
      <c r="ND90" s="21" t="n">
        <v>187.042</v>
      </c>
      <c r="NE90" s="21" t="n">
        <v>183.797</v>
      </c>
      <c r="NF90" s="21" t="n">
        <v>165.14</v>
      </c>
      <c r="NG90" s="21" t="n">
        <v>159.204</v>
      </c>
      <c r="NH90" s="21" t="n">
        <v>295.893</v>
      </c>
      <c r="NI90" s="21" t="n">
        <v>128.122</v>
      </c>
      <c r="NJ90" s="21" t="n">
        <v>64.31100000000001</v>
      </c>
      <c r="NK90" s="21" t="n">
        <v>117.001</v>
      </c>
      <c r="NL90" s="21" t="n">
        <v>316.761</v>
      </c>
      <c r="NM90" s="21" t="n">
        <v>402.04</v>
      </c>
      <c r="NN90" s="21" t="n">
        <v>104.216</v>
      </c>
      <c r="NO90" s="21" t="n">
        <v>44.947</v>
      </c>
      <c r="NP90" s="21" t="n">
        <v>271.921</v>
      </c>
      <c r="NQ90" s="21" t="n">
        <v>246.034</v>
      </c>
      <c r="NR90" s="21" t="n">
        <v>316.375</v>
      </c>
      <c r="NS90" s="21" t="n">
        <v>244.396</v>
      </c>
      <c r="NT90" s="21" t="n">
        <v>322.565</v>
      </c>
      <c r="NU90" s="21" t="n">
        <v>126.905</v>
      </c>
      <c r="NV90" s="21" t="n">
        <v>139.693</v>
      </c>
      <c r="NW90" s="21" t="n">
        <v>386.219</v>
      </c>
      <c r="NX90" s="21" t="n">
        <v>84.07299999999999</v>
      </c>
      <c r="NY90" s="21" t="n">
        <v>136.211</v>
      </c>
      <c r="NZ90" s="21" t="n">
        <v>365.969</v>
      </c>
      <c r="OA90" s="21" t="n">
        <v>359.566</v>
      </c>
      <c r="OB90" s="21" t="n">
        <v>370.937</v>
      </c>
      <c r="OC90" s="21" t="n">
        <v>341.776</v>
      </c>
      <c r="OD90" s="21" t="n">
        <v>380.099</v>
      </c>
      <c r="OE90" s="21" t="n">
        <v>135.398</v>
      </c>
      <c r="OF90" s="21" t="n">
        <v>357.437</v>
      </c>
      <c r="OG90" s="21" t="n">
        <v>250.991</v>
      </c>
      <c r="OH90" s="21" t="n">
        <v>35.27</v>
      </c>
      <c r="OI90" s="21" t="n">
        <v>143.625</v>
      </c>
      <c r="OJ90" s="21" t="n">
        <v>34.2</v>
      </c>
      <c r="OK90" s="21" t="n">
        <v>11.4</v>
      </c>
    </row>
    <row r="91">
      <c r="A91" s="22" t="n">
        <v>44713</v>
      </c>
      <c r="B91" s="21" t="n">
        <v>296.311</v>
      </c>
      <c r="C91" s="21" t="n">
        <v>887.615</v>
      </c>
      <c r="D91" s="21" t="n">
        <v>302.967</v>
      </c>
      <c r="E91" s="21" t="n">
        <v>305.041</v>
      </c>
      <c r="F91" s="21" t="n">
        <v>288.884</v>
      </c>
      <c r="G91" s="21" t="n">
        <v>326.378</v>
      </c>
      <c r="H91" s="21" t="n">
        <v>270.358</v>
      </c>
      <c r="I91" s="21" t="n">
        <v>289.439</v>
      </c>
      <c r="J91" s="21" t="n">
        <v>262.495</v>
      </c>
      <c r="K91" s="21" t="n">
        <v>278.953</v>
      </c>
      <c r="L91" s="21" t="n">
        <v>183.646</v>
      </c>
      <c r="M91" s="21" t="n">
        <v>358.628</v>
      </c>
      <c r="N91" s="21" t="n">
        <v>213.644</v>
      </c>
      <c r="O91" s="21" t="n">
        <v>385.937</v>
      </c>
      <c r="P91" s="21" t="n">
        <v>417.85</v>
      </c>
      <c r="Q91" s="21" t="n">
        <v>212.614</v>
      </c>
      <c r="R91" s="21" t="n">
        <v>341.175</v>
      </c>
      <c r="S91" s="21" t="n">
        <v>363.364</v>
      </c>
      <c r="T91" s="21" t="n">
        <v>318.379</v>
      </c>
      <c r="U91" s="21" t="n">
        <v>321.866</v>
      </c>
      <c r="V91" s="21" t="n">
        <v>367.264</v>
      </c>
      <c r="W91" s="21" t="n">
        <v>377.592</v>
      </c>
      <c r="X91" s="21" t="n">
        <v>317.94</v>
      </c>
      <c r="Y91" s="21" t="n">
        <v>316.11</v>
      </c>
      <c r="Z91" s="21" t="n">
        <v>318.131</v>
      </c>
      <c r="AA91" s="21" t="n">
        <v>320.989</v>
      </c>
      <c r="AB91" s="21" t="n">
        <v>390.206</v>
      </c>
      <c r="AC91" s="21" t="n">
        <v>338.124</v>
      </c>
      <c r="AD91" s="21" t="n">
        <v>310.754</v>
      </c>
      <c r="AE91" s="21" t="n">
        <v>260.906</v>
      </c>
      <c r="AF91" s="21" t="n">
        <v>317.494</v>
      </c>
      <c r="AG91" s="21" t="n">
        <v>268.376</v>
      </c>
      <c r="AH91" s="21" t="n">
        <v>203.345</v>
      </c>
      <c r="AI91" s="21" t="n">
        <v>383.532</v>
      </c>
      <c r="AJ91" s="21" t="n">
        <v>182.491</v>
      </c>
      <c r="AK91" s="21" t="n">
        <v>246.139</v>
      </c>
      <c r="AL91" s="21" t="n">
        <v>274.709</v>
      </c>
      <c r="AM91" s="21" t="n">
        <v>234.207</v>
      </c>
      <c r="AN91" s="21" t="n">
        <v>166.905</v>
      </c>
      <c r="AO91" s="21" t="n">
        <v>275.958</v>
      </c>
      <c r="AP91" s="21" t="n">
        <v>286.433</v>
      </c>
      <c r="AQ91" s="21" t="n">
        <v>178.637</v>
      </c>
      <c r="AR91" s="21" t="n"/>
      <c r="AS91" s="21" t="n"/>
      <c r="AT91" s="21" t="n">
        <v>300.207</v>
      </c>
      <c r="AU91" s="21" t="n">
        <v>194.465</v>
      </c>
      <c r="AV91" s="21" t="n">
        <v>311.912</v>
      </c>
      <c r="AW91" s="21" t="n">
        <v>294.531</v>
      </c>
      <c r="AX91" s="21" t="n">
        <v>189.643</v>
      </c>
      <c r="AY91" s="21" t="n">
        <v>360.244</v>
      </c>
      <c r="AZ91" s="21" t="n">
        <v>228.491</v>
      </c>
      <c r="BA91" s="21" t="n">
        <v>176.2</v>
      </c>
      <c r="BB91" s="21" t="n">
        <v>245.276</v>
      </c>
      <c r="BC91" s="21" t="n">
        <v>376.341</v>
      </c>
      <c r="BD91" s="21" t="n">
        <v>288.109</v>
      </c>
      <c r="BE91" s="21" t="n">
        <v>261.255</v>
      </c>
      <c r="BF91" s="21" t="n">
        <v>178.856</v>
      </c>
      <c r="BG91" s="21" t="n">
        <v>260.983</v>
      </c>
      <c r="BH91" s="21" t="n">
        <v>183.664</v>
      </c>
      <c r="BI91" s="21" t="n">
        <v>263.462</v>
      </c>
      <c r="BJ91" s="21" t="n">
        <v>256.804</v>
      </c>
      <c r="BK91" s="21" t="n">
        <v>176.711</v>
      </c>
      <c r="BL91" s="21" t="n">
        <v>340.594</v>
      </c>
      <c r="BM91" s="21" t="n">
        <v>389.84</v>
      </c>
      <c r="BN91" s="21" t="n">
        <v>406.601</v>
      </c>
      <c r="BO91" s="21" t="n">
        <v>368.101</v>
      </c>
      <c r="BP91" s="21" t="n">
        <v>207.786</v>
      </c>
      <c r="BQ91" s="21" t="n">
        <v>306.682</v>
      </c>
      <c r="BR91" s="21" t="n">
        <v>603.636</v>
      </c>
      <c r="BS91" s="21" t="n">
        <v>132.874</v>
      </c>
      <c r="BT91" s="21" t="n">
        <v>370.814</v>
      </c>
      <c r="BU91" s="21" t="n">
        <v>417.643</v>
      </c>
      <c r="BV91" s="21" t="n">
        <v>377.604</v>
      </c>
      <c r="BW91" s="21" t="n">
        <v>350.437</v>
      </c>
      <c r="BX91" s="21" t="n">
        <v>367.138</v>
      </c>
      <c r="BY91" s="21" t="n">
        <v>185.992</v>
      </c>
      <c r="BZ91" s="21" t="n">
        <v>199.028</v>
      </c>
      <c r="CA91" s="21" t="n">
        <v>186.404</v>
      </c>
      <c r="CB91" s="21" t="n">
        <v>214.537</v>
      </c>
      <c r="CC91" s="21" t="n">
        <v>169.463</v>
      </c>
      <c r="CD91" s="21" t="n">
        <v>229.478</v>
      </c>
      <c r="CE91" s="21" t="n">
        <v>176.107</v>
      </c>
      <c r="CF91" s="21" t="n">
        <v>215.176</v>
      </c>
      <c r="CG91" s="21" t="n">
        <v>200.876</v>
      </c>
      <c r="CH91" s="21" t="n">
        <v>157.49</v>
      </c>
      <c r="CI91" s="21" t="n">
        <v>201.77</v>
      </c>
      <c r="CJ91" s="21" t="n">
        <v>195.379</v>
      </c>
      <c r="CK91" s="21" t="n">
        <v>141.602</v>
      </c>
      <c r="CL91" s="21" t="n">
        <v>135.43</v>
      </c>
      <c r="CM91" s="21" t="n">
        <v>229.899</v>
      </c>
      <c r="CN91" s="21" t="n">
        <v>242.618</v>
      </c>
      <c r="CO91" s="21" t="n">
        <v>210.667</v>
      </c>
      <c r="CP91" s="21" t="n">
        <v>144.602</v>
      </c>
      <c r="CQ91" s="21" t="n">
        <v>252.015</v>
      </c>
      <c r="CR91" s="21" t="n">
        <v>254.877</v>
      </c>
      <c r="CS91" s="21" t="n">
        <v>232.417</v>
      </c>
      <c r="CT91" s="21" t="n">
        <v>169.688</v>
      </c>
      <c r="CU91" s="21" t="n">
        <v>182.326</v>
      </c>
      <c r="CV91" s="21" t="n">
        <v>282.821</v>
      </c>
      <c r="CW91" s="21" t="n">
        <v>264.29</v>
      </c>
      <c r="CX91" s="21" t="n">
        <v>302.283</v>
      </c>
      <c r="CY91" s="21" t="n">
        <v>421.561</v>
      </c>
      <c r="CZ91" s="21" t="n">
        <v>154.711</v>
      </c>
      <c r="DA91" s="21" t="n">
        <v>194.669</v>
      </c>
      <c r="DB91" s="21" t="n">
        <v>183.299</v>
      </c>
      <c r="DC91" s="21" t="n">
        <v>268.568</v>
      </c>
      <c r="DD91" s="21" t="n">
        <v>301.106</v>
      </c>
      <c r="DE91" s="21" t="n">
        <v>204.582</v>
      </c>
      <c r="DF91" s="21" t="n">
        <v>297.641</v>
      </c>
      <c r="DG91" s="21" t="n">
        <v>281.164</v>
      </c>
      <c r="DH91" s="21" t="n">
        <v>179.506</v>
      </c>
      <c r="DI91" s="21" t="n">
        <v>166.627</v>
      </c>
      <c r="DJ91" s="21" t="n">
        <v>163.626</v>
      </c>
      <c r="DK91" s="21" t="n">
        <v>312.455</v>
      </c>
      <c r="DL91" s="21" t="n">
        <v>198.654</v>
      </c>
      <c r="DM91" s="21" t="n">
        <v>158.545</v>
      </c>
      <c r="DN91" s="21" t="n">
        <v>151.498</v>
      </c>
      <c r="DO91" s="21" t="n">
        <v>329.033</v>
      </c>
      <c r="DP91" s="21" t="n">
        <v>205.581</v>
      </c>
      <c r="DQ91" s="21" t="n">
        <v>215.905</v>
      </c>
      <c r="DR91" s="21" t="n">
        <v>104.007</v>
      </c>
      <c r="DS91" s="21" t="n"/>
      <c r="DT91" s="21" t="n">
        <v>193.625</v>
      </c>
      <c r="DU91" s="21" t="n">
        <v>218.945</v>
      </c>
      <c r="DV91" s="21" t="n">
        <v>273.537</v>
      </c>
      <c r="DW91" s="21" t="n">
        <v>218.948</v>
      </c>
      <c r="DX91" s="21" t="n">
        <v>254.144</v>
      </c>
      <c r="DY91" s="21" t="n">
        <v>204.643</v>
      </c>
      <c r="DZ91" s="21" t="n">
        <v>217.802</v>
      </c>
      <c r="EA91" s="21" t="n">
        <v>200.379</v>
      </c>
      <c r="EB91" s="21" t="n">
        <v>177.981</v>
      </c>
      <c r="EC91" s="21" t="n">
        <v>393.612</v>
      </c>
      <c r="ED91" s="21" t="n">
        <v>192.941</v>
      </c>
      <c r="EE91" s="21" t="n">
        <v>212.956</v>
      </c>
      <c r="EF91" s="21" t="n">
        <v>216.096</v>
      </c>
      <c r="EG91" s="21" t="n">
        <v>300.927</v>
      </c>
      <c r="EH91" s="21" t="n">
        <v>352.967</v>
      </c>
      <c r="EI91" s="21" t="n">
        <v>367.927</v>
      </c>
      <c r="EJ91" s="21" t="n">
        <v>193.324</v>
      </c>
      <c r="EK91" s="21" t="n">
        <v>592.95</v>
      </c>
      <c r="EL91" s="21" t="n">
        <v>401.798</v>
      </c>
      <c r="EM91" s="21" t="n">
        <v>361.018</v>
      </c>
      <c r="EN91" s="21" t="n">
        <v>361.053</v>
      </c>
      <c r="EO91" s="21" t="n">
        <v>151.123</v>
      </c>
      <c r="EP91" s="21" t="n">
        <v>306.293</v>
      </c>
      <c r="EQ91" s="21" t="n">
        <v>262.5</v>
      </c>
      <c r="ER91" s="21" t="n">
        <v>497.126</v>
      </c>
      <c r="ES91" s="21" t="n">
        <v>557.4400000000001</v>
      </c>
      <c r="ET91" s="21" t="n">
        <v>462.201</v>
      </c>
      <c r="EU91" s="21" t="n">
        <v>262.048</v>
      </c>
      <c r="EV91" s="21" t="n">
        <v>257.557</v>
      </c>
      <c r="EW91" s="21" t="n">
        <v>269.278</v>
      </c>
      <c r="EX91" s="21" t="n">
        <v>271.925</v>
      </c>
      <c r="EY91" s="21" t="n">
        <v>626.248</v>
      </c>
      <c r="EZ91" s="21" t="n">
        <v>547.554</v>
      </c>
      <c r="FA91" s="21" t="n">
        <v>143.586</v>
      </c>
      <c r="FB91" s="21" t="n">
        <v>60.785</v>
      </c>
      <c r="FC91" s="21" t="n">
        <v>127.305</v>
      </c>
      <c r="FD91" s="21" t="n">
        <v>72.285</v>
      </c>
      <c r="FE91" s="21" t="n">
        <v>44.316</v>
      </c>
      <c r="FF91" s="21" t="n">
        <v>138.927</v>
      </c>
      <c r="FG91" s="21" t="n">
        <v>148.938</v>
      </c>
      <c r="FH91" s="21" t="n">
        <v>111.542</v>
      </c>
      <c r="FI91" s="21" t="n">
        <v>86.411</v>
      </c>
      <c r="FJ91" s="21" t="n"/>
      <c r="FK91" s="21" t="n">
        <v>89.818</v>
      </c>
      <c r="FL91" s="21" t="n">
        <v>105.63</v>
      </c>
      <c r="FM91" s="21" t="n">
        <v>117.219</v>
      </c>
      <c r="FN91" s="21" t="n">
        <v>74.494</v>
      </c>
      <c r="FO91" s="21" t="n">
        <v>55.245</v>
      </c>
      <c r="FP91" s="21" t="n">
        <v>40.49</v>
      </c>
      <c r="FQ91" s="21" t="n">
        <v>148.059</v>
      </c>
      <c r="FR91" s="21" t="n">
        <v>50.012</v>
      </c>
      <c r="FS91" s="21" t="n">
        <v>87.496</v>
      </c>
      <c r="FT91" s="21" t="n">
        <v>105.23</v>
      </c>
      <c r="FU91" s="21" t="n">
        <v>114.579</v>
      </c>
      <c r="FV91" s="21" t="n">
        <v>101.037</v>
      </c>
      <c r="FW91" s="21" t="n">
        <v>218.647</v>
      </c>
      <c r="FX91" s="21" t="n">
        <v>140.248</v>
      </c>
      <c r="FY91" s="21" t="n">
        <v>211.309</v>
      </c>
      <c r="FZ91" s="21" t="n">
        <v>131.392</v>
      </c>
      <c r="GA91" s="21" t="n">
        <v>227.529</v>
      </c>
      <c r="GB91" s="21" t="n">
        <v>201.703</v>
      </c>
      <c r="GC91" s="21" t="n"/>
      <c r="GD91" s="21" t="n">
        <v>206.245</v>
      </c>
      <c r="GE91" s="21" t="n"/>
      <c r="GF91" s="21" t="n">
        <v>126.619</v>
      </c>
      <c r="GG91" s="21" t="n">
        <v>122.43</v>
      </c>
      <c r="GH91" s="21" t="n">
        <v>125.047</v>
      </c>
      <c r="GI91" s="21" t="n">
        <v>106.793</v>
      </c>
      <c r="GJ91" s="21" t="n">
        <v>174.705</v>
      </c>
      <c r="GK91" s="21" t="n">
        <v>73.569</v>
      </c>
      <c r="GL91" s="21" t="n">
        <v>126.475</v>
      </c>
      <c r="GM91" s="21" t="n">
        <v>110.811</v>
      </c>
      <c r="GN91" s="21" t="n">
        <v>104.214</v>
      </c>
      <c r="GO91" s="21" t="n">
        <v>105.226</v>
      </c>
      <c r="GP91" s="21" t="n">
        <v>101.274</v>
      </c>
      <c r="GQ91" s="21" t="n">
        <v>104.854</v>
      </c>
      <c r="GR91" s="21" t="n">
        <v>72.095</v>
      </c>
      <c r="GS91" s="21" t="n">
        <v>104.637</v>
      </c>
      <c r="GT91" s="21" t="n">
        <v>98.93300000000001</v>
      </c>
      <c r="GU91" s="21" t="n">
        <v>145.931</v>
      </c>
      <c r="GV91" s="21" t="n">
        <v>151.607</v>
      </c>
      <c r="GW91" s="21" t="n">
        <v>167.49</v>
      </c>
      <c r="GX91" s="21" t="n">
        <v>131.277</v>
      </c>
      <c r="GY91" s="21" t="n">
        <v>123.115</v>
      </c>
      <c r="GZ91" s="21" t="n">
        <v>188.556</v>
      </c>
      <c r="HA91" s="21" t="n">
        <v>152.073</v>
      </c>
      <c r="HB91" s="21" t="n">
        <v>186.494</v>
      </c>
      <c r="HC91" s="21" t="n">
        <v>284.644</v>
      </c>
      <c r="HD91" s="21" t="n">
        <v>282.398</v>
      </c>
      <c r="HE91" s="21" t="n">
        <v>130.45</v>
      </c>
      <c r="HF91" s="21" t="n">
        <v>172.546</v>
      </c>
      <c r="HG91" s="21" t="n"/>
      <c r="HH91" s="21" t="n">
        <v>169.079</v>
      </c>
      <c r="HI91" s="21" t="n">
        <v>183.658</v>
      </c>
      <c r="HJ91" s="21" t="n"/>
      <c r="HK91" s="21" t="n">
        <v>212.98</v>
      </c>
      <c r="HL91" s="21" t="n">
        <v>103.603</v>
      </c>
      <c r="HM91" s="21" t="n">
        <v>209.314</v>
      </c>
      <c r="HN91" s="21" t="n">
        <v>432.585</v>
      </c>
      <c r="HO91" s="21" t="n">
        <v>430.142</v>
      </c>
      <c r="HP91" s="21" t="n">
        <v>425.037</v>
      </c>
      <c r="HQ91" s="21" t="n">
        <v>453.102</v>
      </c>
      <c r="HR91" s="21" t="n">
        <v>429.272</v>
      </c>
      <c r="HS91" s="21" t="n">
        <v>419.546</v>
      </c>
      <c r="HT91" s="21" t="n">
        <v>175.693</v>
      </c>
      <c r="HU91" s="21" t="n">
        <v>150.68</v>
      </c>
      <c r="HV91" s="21" t="n">
        <v>208.652</v>
      </c>
      <c r="HW91" s="21" t="n">
        <v>192.627</v>
      </c>
      <c r="HX91" s="21" t="n">
        <v>472.916</v>
      </c>
      <c r="HY91" s="21" t="n">
        <v>340.058</v>
      </c>
      <c r="HZ91" s="21" t="n">
        <v>390.872</v>
      </c>
      <c r="IA91" s="21" t="n">
        <v>304.244</v>
      </c>
      <c r="IB91" s="21" t="n">
        <v>209.119</v>
      </c>
      <c r="IC91" s="21" t="n">
        <v>603.932</v>
      </c>
      <c r="ID91" s="21" t="n">
        <v>200.631</v>
      </c>
      <c r="IE91" s="21" t="n">
        <v>187.339</v>
      </c>
      <c r="IF91" s="21" t="n">
        <v>221.767</v>
      </c>
      <c r="IG91" s="21" t="n">
        <v>257.486</v>
      </c>
      <c r="IH91" s="21" t="n"/>
      <c r="II91" s="21" t="n">
        <v>318.712</v>
      </c>
      <c r="IJ91" s="21" t="n">
        <v>344.101</v>
      </c>
      <c r="IK91" s="21" t="n">
        <v>160.039</v>
      </c>
      <c r="IL91" s="21" t="n"/>
      <c r="IM91" s="21" t="n"/>
      <c r="IN91" s="21" t="n">
        <v>61.251</v>
      </c>
      <c r="IO91" s="21" t="n">
        <v>340.084</v>
      </c>
      <c r="IP91" s="21" t="n">
        <v>128.174</v>
      </c>
      <c r="IQ91" s="21" t="n">
        <v>546.717</v>
      </c>
      <c r="IR91" s="21" t="n">
        <v>387.787</v>
      </c>
      <c r="IS91" s="21" t="n">
        <v>126.994</v>
      </c>
      <c r="IT91" s="21" t="n">
        <v>532.6559999999999</v>
      </c>
      <c r="IU91" s="21" t="n">
        <v>100.465</v>
      </c>
      <c r="IV91" s="21" t="n">
        <v>101.129</v>
      </c>
      <c r="IW91" s="21" t="n">
        <v>598.035</v>
      </c>
      <c r="IX91" s="21" t="n">
        <v>411.55</v>
      </c>
      <c r="IY91" s="21" t="n">
        <v>410.729</v>
      </c>
      <c r="IZ91" s="21" t="n">
        <v>544.421</v>
      </c>
      <c r="JA91" s="21" t="n">
        <v>198.764</v>
      </c>
      <c r="JB91" s="21" t="n">
        <v>259.384</v>
      </c>
      <c r="JC91" s="21" t="n">
        <v>89.282</v>
      </c>
      <c r="JD91" s="21" t="n">
        <v>375.318</v>
      </c>
      <c r="JE91" s="21" t="n">
        <v>362.833</v>
      </c>
      <c r="JF91" s="21" t="n">
        <v>813.7380000000001</v>
      </c>
      <c r="JG91" s="21" t="n">
        <v>260.915</v>
      </c>
      <c r="JH91" s="21" t="n">
        <v>142.857</v>
      </c>
      <c r="JI91" s="21" t="n">
        <v>199.279</v>
      </c>
      <c r="JJ91" s="21" t="n">
        <v>130.677</v>
      </c>
      <c r="JK91" s="21" t="n">
        <v>113.514</v>
      </c>
      <c r="JL91" s="21" t="n">
        <v>124.622</v>
      </c>
      <c r="JM91" s="21" t="n">
        <v>546.71</v>
      </c>
      <c r="JN91" s="21" t="n">
        <v>117.095</v>
      </c>
      <c r="JO91" s="21" t="n">
        <v>68.568</v>
      </c>
      <c r="JP91" s="21" t="n">
        <v>33.975</v>
      </c>
      <c r="JQ91" s="21" t="n">
        <v>147.201</v>
      </c>
      <c r="JR91" s="21" t="n">
        <v>26.094</v>
      </c>
      <c r="JS91" s="21" t="n">
        <v>78.985</v>
      </c>
      <c r="JT91" s="21" t="n">
        <v>200.39</v>
      </c>
      <c r="JU91" s="21" t="n">
        <v>222.471</v>
      </c>
      <c r="JV91" s="21" t="n">
        <v>171.516</v>
      </c>
      <c r="JW91" s="21" t="n">
        <v>125.745</v>
      </c>
      <c r="JX91" s="21" t="n">
        <v>296.028</v>
      </c>
      <c r="JY91" s="21" t="n">
        <v>222.933</v>
      </c>
      <c r="JZ91" s="21" t="n">
        <v>312.02</v>
      </c>
      <c r="KA91" s="21" t="n">
        <v>127.197</v>
      </c>
      <c r="KB91" s="21" t="n">
        <v>174.713</v>
      </c>
      <c r="KC91" s="21" t="n">
        <v>87.473</v>
      </c>
      <c r="KD91" s="21" t="n">
        <v>79.905</v>
      </c>
      <c r="KE91" s="21" t="n">
        <v>59.231</v>
      </c>
      <c r="KF91" s="21" t="n"/>
      <c r="KG91" s="21" t="n">
        <v>24.85</v>
      </c>
      <c r="KH91" s="21" t="n">
        <v>129.63</v>
      </c>
      <c r="KI91" s="21" t="n"/>
      <c r="KJ91" s="21" t="n"/>
      <c r="KK91" s="21" t="n">
        <v>34.39</v>
      </c>
      <c r="KL91" s="21" t="n">
        <v>29.506</v>
      </c>
      <c r="KM91" s="21" t="n">
        <v>38.903</v>
      </c>
      <c r="KN91" s="21" t="n"/>
      <c r="KO91" s="21" t="n">
        <v>106.883</v>
      </c>
      <c r="KP91" s="21" t="n">
        <v>112.079</v>
      </c>
      <c r="KQ91" s="21" t="n">
        <v>181.701</v>
      </c>
      <c r="KR91" s="21" t="n">
        <v>150.466</v>
      </c>
      <c r="KS91" s="21" t="n">
        <v>409.776</v>
      </c>
      <c r="KT91" s="21" t="n">
        <v>206.238</v>
      </c>
      <c r="KU91" s="21" t="n">
        <v>209.672</v>
      </c>
      <c r="KV91" s="21" t="n">
        <v>345.397</v>
      </c>
      <c r="KW91" s="21" t="n">
        <v>290.364</v>
      </c>
      <c r="KX91" s="21" t="n">
        <v>225.399</v>
      </c>
      <c r="KY91" s="21" t="n">
        <v>100.273</v>
      </c>
      <c r="KZ91" s="21" t="n">
        <v>143.335</v>
      </c>
      <c r="LA91" s="21" t="n">
        <v>280.562</v>
      </c>
      <c r="LB91" s="21" t="n">
        <v>717.247</v>
      </c>
      <c r="LC91" s="21" t="n">
        <v>248.593</v>
      </c>
      <c r="LD91" s="21" t="n">
        <v>805.41</v>
      </c>
      <c r="LE91" s="21" t="n">
        <v>898.003</v>
      </c>
      <c r="LF91" s="21" t="n">
        <v>89.569</v>
      </c>
      <c r="LG91" s="21" t="n">
        <v>328.156</v>
      </c>
      <c r="LH91" s="21" t="n">
        <v>265.006</v>
      </c>
      <c r="LI91" s="21" t="n">
        <v>75.31100000000001</v>
      </c>
      <c r="LJ91" s="21" t="n">
        <v>218.133</v>
      </c>
      <c r="LK91" s="21" t="n">
        <v>339.273</v>
      </c>
      <c r="LL91" s="21" t="n">
        <v>389.28</v>
      </c>
      <c r="LM91" s="21" t="n">
        <v>71.02500000000001</v>
      </c>
      <c r="LN91" s="21" t="n">
        <v>94.374</v>
      </c>
      <c r="LO91" s="21" t="n">
        <v>47.724</v>
      </c>
      <c r="LP91" s="21" t="n">
        <v>141.735</v>
      </c>
      <c r="LQ91" s="21" t="n"/>
      <c r="LR91" s="21" t="n"/>
      <c r="LS91" s="21" t="n">
        <v>107.88</v>
      </c>
      <c r="LT91" s="21" t="n">
        <v>39.421</v>
      </c>
      <c r="LU91" s="21" t="n">
        <v>25.921</v>
      </c>
      <c r="LV91" s="21" t="n">
        <v>80.90900000000001</v>
      </c>
      <c r="LW91" s="21" t="n">
        <v>133.084</v>
      </c>
      <c r="LX91" s="21" t="n">
        <v>60.097</v>
      </c>
      <c r="LY91" s="21" t="n">
        <v>505.312</v>
      </c>
      <c r="LZ91" s="21" t="n">
        <v>84.876</v>
      </c>
      <c r="MA91" s="21" t="n">
        <v>555.866</v>
      </c>
      <c r="MB91" s="21" t="n">
        <v>315.467</v>
      </c>
      <c r="MC91" s="21" t="n">
        <v>257.287</v>
      </c>
      <c r="MD91" s="21" t="n">
        <v>165.353</v>
      </c>
      <c r="ME91" s="21" t="n">
        <v>109.771</v>
      </c>
      <c r="MF91" s="21" t="n">
        <v>180.437</v>
      </c>
      <c r="MG91" s="21" t="n">
        <v>312.519</v>
      </c>
      <c r="MH91" s="21" t="n">
        <v>190.688</v>
      </c>
      <c r="MI91" s="21" t="n">
        <v>495.391</v>
      </c>
      <c r="MJ91" s="21" t="n"/>
      <c r="MK91" s="21" t="n">
        <v>358.623</v>
      </c>
      <c r="ML91" s="21" t="n">
        <v>204.889</v>
      </c>
      <c r="MM91" s="21" t="n">
        <v>228.53</v>
      </c>
      <c r="MN91" s="21" t="n">
        <v>388.334</v>
      </c>
      <c r="MO91" s="21" t="n">
        <v>175.257</v>
      </c>
      <c r="MP91" s="21" t="n">
        <v>286.003</v>
      </c>
      <c r="MQ91" s="21" t="n">
        <v>85.214</v>
      </c>
      <c r="MR91" s="21" t="n">
        <v>182.833</v>
      </c>
      <c r="MS91" s="21" t="n"/>
      <c r="MT91" s="21" t="n">
        <v>284.253</v>
      </c>
      <c r="MU91" s="21" t="n">
        <v>295.378</v>
      </c>
      <c r="MV91" s="21" t="n">
        <v>294.924</v>
      </c>
      <c r="MW91" s="21" t="n">
        <v>294.68</v>
      </c>
      <c r="MX91" s="21" t="n">
        <v>277.194</v>
      </c>
      <c r="MY91" s="21" t="n">
        <v>269.845</v>
      </c>
      <c r="MZ91" s="21" t="n">
        <v>262.195</v>
      </c>
      <c r="NA91" s="21" t="n">
        <v>263.065</v>
      </c>
      <c r="NB91" s="21" t="n">
        <v>117.433</v>
      </c>
      <c r="NC91" s="21" t="n">
        <v>227.423</v>
      </c>
      <c r="ND91" s="21" t="n">
        <v>191.593</v>
      </c>
      <c r="NE91" s="21" t="n">
        <v>188.392</v>
      </c>
      <c r="NF91" s="21" t="n">
        <v>166.403</v>
      </c>
      <c r="NG91" s="21" t="n">
        <v>159.892</v>
      </c>
      <c r="NH91" s="21" t="n">
        <v>299.074</v>
      </c>
      <c r="NI91" s="21" t="n">
        <v>129.464</v>
      </c>
      <c r="NJ91" s="21" t="n">
        <v>64.425</v>
      </c>
      <c r="NK91" s="21" t="n">
        <v>117.183</v>
      </c>
      <c r="NL91" s="21" t="n">
        <v>340.917</v>
      </c>
      <c r="NM91" s="21" t="n">
        <v>439.256</v>
      </c>
      <c r="NN91" s="21" t="n">
        <v>104.935</v>
      </c>
      <c r="NO91" s="21" t="n">
        <v>45.035</v>
      </c>
      <c r="NP91" s="21" t="n">
        <v>278.363</v>
      </c>
      <c r="NQ91" s="21" t="n">
        <v>255.163</v>
      </c>
      <c r="NR91" s="21" t="n">
        <v>330.86</v>
      </c>
      <c r="NS91" s="21" t="n">
        <v>254.001</v>
      </c>
      <c r="NT91" s="21" t="n">
        <v>338.444</v>
      </c>
      <c r="NU91" s="21" t="n">
        <v>127.544</v>
      </c>
      <c r="NV91" s="21" t="n">
        <v>140.295</v>
      </c>
      <c r="NW91" s="21" t="n">
        <v>387.049</v>
      </c>
      <c r="NX91" s="21" t="n">
        <v>84.307</v>
      </c>
      <c r="NY91" s="21" t="n">
        <v>136.513</v>
      </c>
      <c r="NZ91" s="21" t="n">
        <v>368.451</v>
      </c>
      <c r="OA91" s="21" t="n">
        <v>363.133</v>
      </c>
      <c r="OB91" s="21" t="n">
        <v>373.664</v>
      </c>
      <c r="OC91" s="21" t="n">
        <v>345.321</v>
      </c>
      <c r="OD91" s="21" t="n">
        <v>385.22</v>
      </c>
      <c r="OE91" s="21" t="n">
        <v>137.291</v>
      </c>
      <c r="OF91" s="21" t="n">
        <v>365.178</v>
      </c>
      <c r="OG91" s="21" t="n">
        <v>256.396</v>
      </c>
      <c r="OH91" s="21" t="n">
        <v>35.25</v>
      </c>
      <c r="OI91" s="21" t="n">
        <v>143.735</v>
      </c>
      <c r="OJ91" s="21" t="n">
        <v>33.7</v>
      </c>
      <c r="OK91" s="21" t="n">
        <v>11.3</v>
      </c>
    </row>
    <row r="92">
      <c r="A92" s="22" t="n">
        <v>44743</v>
      </c>
      <c r="B92" s="21" t="n">
        <v>296.276</v>
      </c>
      <c r="C92" s="21" t="n">
        <v>887.511</v>
      </c>
      <c r="D92" s="21" t="n">
        <v>306.278</v>
      </c>
      <c r="E92" s="21" t="n">
        <v>308.532</v>
      </c>
      <c r="F92" s="21" t="n">
        <v>292.972</v>
      </c>
      <c r="G92" s="21" t="n">
        <v>332.968</v>
      </c>
      <c r="H92" s="21" t="n">
        <v>275.846</v>
      </c>
      <c r="I92" s="21" t="n">
        <v>301.121</v>
      </c>
      <c r="J92" s="21" t="n">
        <v>267.762</v>
      </c>
      <c r="K92" s="21" t="n">
        <v>282.504</v>
      </c>
      <c r="L92" s="21" t="n">
        <v>186.308</v>
      </c>
      <c r="M92" s="21" t="n">
        <v>365.851</v>
      </c>
      <c r="N92" s="21" t="n">
        <v>219.552</v>
      </c>
      <c r="O92" s="21" t="n">
        <v>393.507</v>
      </c>
      <c r="P92" s="21" t="n">
        <v>432.399</v>
      </c>
      <c r="Q92" s="21" t="n">
        <v>215.168</v>
      </c>
      <c r="R92" s="21" t="n">
        <v>346.857</v>
      </c>
      <c r="S92" s="21" t="n">
        <v>367.885</v>
      </c>
      <c r="T92" s="21" t="n">
        <v>323.786</v>
      </c>
      <c r="U92" s="21" t="n">
        <v>328.366</v>
      </c>
      <c r="V92" s="21" t="n">
        <v>369.103</v>
      </c>
      <c r="W92" s="21" t="n">
        <v>391.854</v>
      </c>
      <c r="X92" s="21" t="n">
        <v>320.317</v>
      </c>
      <c r="Y92" s="21" t="n">
        <v>318.141</v>
      </c>
      <c r="Z92" s="21" t="n">
        <v>319.337</v>
      </c>
      <c r="AA92" s="21" t="n">
        <v>322.115</v>
      </c>
      <c r="AB92" s="21" t="n">
        <v>389.76</v>
      </c>
      <c r="AC92" s="21" t="n">
        <v>340.82</v>
      </c>
      <c r="AD92" s="21" t="n">
        <v>306.713</v>
      </c>
      <c r="AE92" s="21" t="n">
        <v>258.347</v>
      </c>
      <c r="AF92" s="21" t="n">
        <v>323.063</v>
      </c>
      <c r="AG92" s="21" t="n">
        <v>270.829</v>
      </c>
      <c r="AH92" s="21" t="n">
        <v>207.114</v>
      </c>
      <c r="AI92" s="21" t="n">
        <v>388.712</v>
      </c>
      <c r="AJ92" s="21" t="n">
        <v>187.236</v>
      </c>
      <c r="AK92" s="21" t="n">
        <v>244.618</v>
      </c>
      <c r="AL92" s="21" t="n">
        <v>272.419</v>
      </c>
      <c r="AM92" s="21" t="n">
        <v>239.545</v>
      </c>
      <c r="AN92" s="21" t="n">
        <v>166.071</v>
      </c>
      <c r="AO92" s="21" t="n">
        <v>277.355</v>
      </c>
      <c r="AP92" s="21" t="n">
        <v>269.367</v>
      </c>
      <c r="AQ92" s="21" t="n">
        <v>180.603</v>
      </c>
      <c r="AR92" s="21" t="n"/>
      <c r="AS92" s="21" t="n"/>
      <c r="AT92" s="21" t="n">
        <v>303.876</v>
      </c>
      <c r="AU92" s="21" t="n">
        <v>197.109</v>
      </c>
      <c r="AV92" s="21" t="n">
        <v>317.802</v>
      </c>
      <c r="AW92" s="21" t="n">
        <v>297.917</v>
      </c>
      <c r="AX92" s="21" t="n">
        <v>190.821</v>
      </c>
      <c r="AY92" s="21" t="n">
        <v>358.193</v>
      </c>
      <c r="AZ92" s="21" t="n">
        <v>228.731</v>
      </c>
      <c r="BA92" s="21" t="n">
        <v>173.975</v>
      </c>
      <c r="BB92" s="21" t="n">
        <v>237.078</v>
      </c>
      <c r="BC92" s="21" t="n">
        <v>376.109</v>
      </c>
      <c r="BD92" s="21" t="n">
        <v>300.515</v>
      </c>
      <c r="BE92" s="21" t="n">
        <v>265.638</v>
      </c>
      <c r="BF92" s="21" t="n">
        <v>179.209</v>
      </c>
      <c r="BG92" s="21" t="n">
        <v>259.219</v>
      </c>
      <c r="BH92" s="21" t="n">
        <v>184.544</v>
      </c>
      <c r="BI92" s="21" t="n">
        <v>268.71</v>
      </c>
      <c r="BJ92" s="21" t="n">
        <v>256.386</v>
      </c>
      <c r="BK92" s="21" t="n">
        <v>183.332</v>
      </c>
      <c r="BL92" s="21" t="n">
        <v>341.839</v>
      </c>
      <c r="BM92" s="21" t="n">
        <v>390.291</v>
      </c>
      <c r="BN92" s="21" t="n">
        <v>405.537</v>
      </c>
      <c r="BO92" s="21" t="n">
        <v>367.947</v>
      </c>
      <c r="BP92" s="21" t="n">
        <v>209.58</v>
      </c>
      <c r="BQ92" s="21" t="n">
        <v>302.645</v>
      </c>
      <c r="BR92" s="21" t="n">
        <v>604.688</v>
      </c>
      <c r="BS92" s="21" t="n">
        <v>132.905</v>
      </c>
      <c r="BT92" s="21" t="n">
        <v>372.881</v>
      </c>
      <c r="BU92" s="21" t="n">
        <v>436.751</v>
      </c>
      <c r="BV92" s="21" t="n">
        <v>373.967</v>
      </c>
      <c r="BW92" s="21" t="n">
        <v>342.081</v>
      </c>
      <c r="BX92" s="21" t="n">
        <v>369.117</v>
      </c>
      <c r="BY92" s="21" t="n">
        <v>188.156</v>
      </c>
      <c r="BZ92" s="21" t="n">
        <v>201.348</v>
      </c>
      <c r="CA92" s="21" t="n">
        <v>188.497</v>
      </c>
      <c r="CB92" s="21" t="n">
        <v>216.991</v>
      </c>
      <c r="CC92" s="21" t="n">
        <v>170.351</v>
      </c>
      <c r="CD92" s="21" t="n">
        <v>231.041</v>
      </c>
      <c r="CE92" s="21" t="n">
        <v>179.901</v>
      </c>
      <c r="CF92" s="21" t="n">
        <v>218.862</v>
      </c>
      <c r="CG92" s="21" t="n">
        <v>204.944</v>
      </c>
      <c r="CH92" s="21" t="n">
        <v>160.309</v>
      </c>
      <c r="CI92" s="21" t="n">
        <v>206.353</v>
      </c>
      <c r="CJ92" s="21" t="n">
        <v>193.144</v>
      </c>
      <c r="CK92" s="21" t="n">
        <v>143.724</v>
      </c>
      <c r="CL92" s="21" t="n">
        <v>138.922</v>
      </c>
      <c r="CM92" s="21" t="n">
        <v>236.108</v>
      </c>
      <c r="CN92" s="21" t="n">
        <v>248.841</v>
      </c>
      <c r="CO92" s="21" t="n">
        <v>215.421</v>
      </c>
      <c r="CP92" s="21" t="n">
        <v>148.003</v>
      </c>
      <c r="CQ92" s="21" t="n">
        <v>257.295</v>
      </c>
      <c r="CR92" s="21" t="n">
        <v>260.058</v>
      </c>
      <c r="CS92" s="21" t="n">
        <v>237.501</v>
      </c>
      <c r="CT92" s="21" t="n">
        <v>173.142</v>
      </c>
      <c r="CU92" s="21" t="n">
        <v>185.831</v>
      </c>
      <c r="CV92" s="21" t="n">
        <v>290.957</v>
      </c>
      <c r="CW92" s="21" t="n">
        <v>268.446</v>
      </c>
      <c r="CX92" s="21" t="n">
        <v>307.008</v>
      </c>
      <c r="CY92" s="21" t="n">
        <v>418.242</v>
      </c>
      <c r="CZ92" s="21" t="n">
        <v>158.413</v>
      </c>
      <c r="DA92" s="21" t="n">
        <v>202.531</v>
      </c>
      <c r="DB92" s="21" t="n">
        <v>189.68</v>
      </c>
      <c r="DC92" s="21" t="n">
        <v>273.916</v>
      </c>
      <c r="DD92" s="21" t="n">
        <v>309.488</v>
      </c>
      <c r="DE92" s="21" t="n">
        <v>208.497</v>
      </c>
      <c r="DF92" s="21" t="n">
        <v>302.864</v>
      </c>
      <c r="DG92" s="21" t="n">
        <v>287.733</v>
      </c>
      <c r="DH92" s="21" t="n">
        <v>183.084</v>
      </c>
      <c r="DI92" s="21" t="n">
        <v>171.56</v>
      </c>
      <c r="DJ92" s="21" t="n">
        <v>168.79</v>
      </c>
      <c r="DK92" s="21" t="n">
        <v>312.945</v>
      </c>
      <c r="DL92" s="21" t="n">
        <v>202.92</v>
      </c>
      <c r="DM92" s="21" t="n">
        <v>161.454</v>
      </c>
      <c r="DN92" s="21" t="n">
        <v>152.579</v>
      </c>
      <c r="DO92" s="21" t="n">
        <v>331.342</v>
      </c>
      <c r="DP92" s="21" t="n">
        <v>206.732</v>
      </c>
      <c r="DQ92" s="21" t="n">
        <v>217.719</v>
      </c>
      <c r="DR92" s="21" t="n">
        <v>104.924</v>
      </c>
      <c r="DS92" s="21" t="n"/>
      <c r="DT92" s="21" t="n">
        <v>193.859</v>
      </c>
      <c r="DU92" s="21" t="n">
        <v>220.606</v>
      </c>
      <c r="DV92" s="21" t="n">
        <v>274.344</v>
      </c>
      <c r="DW92" s="21" t="n">
        <v>219.597</v>
      </c>
      <c r="DX92" s="21" t="n">
        <v>254.957</v>
      </c>
      <c r="DY92" s="21" t="n">
        <v>205.987</v>
      </c>
      <c r="DZ92" s="21" t="n">
        <v>219.001</v>
      </c>
      <c r="EA92" s="21" t="n">
        <v>201.96</v>
      </c>
      <c r="EB92" s="21" t="n">
        <v>178.207</v>
      </c>
      <c r="EC92" s="21" t="n">
        <v>394.764</v>
      </c>
      <c r="ED92" s="21" t="n">
        <v>194.65</v>
      </c>
      <c r="EE92" s="21" t="n">
        <v>213.06</v>
      </c>
      <c r="EF92" s="21" t="n">
        <v>215.937</v>
      </c>
      <c r="EG92" s="21" t="n">
        <v>302.327</v>
      </c>
      <c r="EH92" s="21" t="n">
        <v>354.935</v>
      </c>
      <c r="EI92" s="21" t="n">
        <v>370.448</v>
      </c>
      <c r="EJ92" s="21" t="n">
        <v>189.446</v>
      </c>
      <c r="EK92" s="21" t="n">
        <v>597.46</v>
      </c>
      <c r="EL92" s="21" t="n">
        <v>392.209</v>
      </c>
      <c r="EM92" s="21" t="n">
        <v>363.311</v>
      </c>
      <c r="EN92" s="21" t="n">
        <v>363.359</v>
      </c>
      <c r="EO92" s="21" t="n">
        <v>151.288</v>
      </c>
      <c r="EP92" s="21" t="n">
        <v>305.797</v>
      </c>
      <c r="EQ92" s="21" t="n">
        <v>261.643</v>
      </c>
      <c r="ER92" s="21" t="n">
        <v>455.18</v>
      </c>
      <c r="ES92" s="21" t="n">
        <v>495.91</v>
      </c>
      <c r="ET92" s="21" t="n">
        <v>452.948</v>
      </c>
      <c r="EU92" s="21" t="n">
        <v>262.731</v>
      </c>
      <c r="EV92" s="21" t="n">
        <v>262.347</v>
      </c>
      <c r="EW92" s="21" t="n">
        <v>258.666</v>
      </c>
      <c r="EX92" s="21" t="n">
        <v>273.097</v>
      </c>
      <c r="EY92" s="21" t="n">
        <v>629.717</v>
      </c>
      <c r="EZ92" s="21" t="n">
        <v>548.187</v>
      </c>
      <c r="FA92" s="21" t="n">
        <v>144.291</v>
      </c>
      <c r="FB92" s="21" t="n">
        <v>60.656</v>
      </c>
      <c r="FC92" s="21" t="n">
        <v>127.471</v>
      </c>
      <c r="FD92" s="21" t="n">
        <v>75.172</v>
      </c>
      <c r="FE92" s="21" t="n">
        <v>43.538</v>
      </c>
      <c r="FF92" s="21" t="n">
        <v>140.189</v>
      </c>
      <c r="FG92" s="21" t="n">
        <v>150.689</v>
      </c>
      <c r="FH92" s="21" t="n">
        <v>114.502</v>
      </c>
      <c r="FI92" s="21" t="n">
        <v>82.691</v>
      </c>
      <c r="FJ92" s="21" t="n"/>
      <c r="FK92" s="21" t="n">
        <v>88.78100000000001</v>
      </c>
      <c r="FL92" s="21" t="n">
        <v>103.7</v>
      </c>
      <c r="FM92" s="21" t="n">
        <v>119.192</v>
      </c>
      <c r="FN92" s="21" t="n">
        <v>73.896</v>
      </c>
      <c r="FO92" s="21" t="n">
        <v>54.981</v>
      </c>
      <c r="FP92" s="21" t="n">
        <v>40.358</v>
      </c>
      <c r="FQ92" s="21" t="n">
        <v>146.268</v>
      </c>
      <c r="FR92" s="21" t="n">
        <v>50.139</v>
      </c>
      <c r="FS92" s="21" t="n">
        <v>86.90000000000001</v>
      </c>
      <c r="FT92" s="21" t="n">
        <v>105.362</v>
      </c>
      <c r="FU92" s="21" t="n">
        <v>114.493</v>
      </c>
      <c r="FV92" s="21" t="n">
        <v>101.302</v>
      </c>
      <c r="FW92" s="21" t="n">
        <v>221.479</v>
      </c>
      <c r="FX92" s="21" t="n">
        <v>140.952</v>
      </c>
      <c r="FY92" s="21" t="n">
        <v>217.817</v>
      </c>
      <c r="FZ92" s="21" t="n">
        <v>132.71</v>
      </c>
      <c r="GA92" s="21" t="n"/>
      <c r="GB92" s="21" t="n"/>
      <c r="GC92" s="21" t="n"/>
      <c r="GD92" s="21" t="n">
        <v>209.362</v>
      </c>
      <c r="GE92" s="21" t="n"/>
      <c r="GF92" s="21" t="n">
        <v>125.188</v>
      </c>
      <c r="GG92" s="21" t="n">
        <v>120.569</v>
      </c>
      <c r="GH92" s="21" t="n">
        <v>123.329</v>
      </c>
      <c r="GI92" s="21" t="n">
        <v>105.079</v>
      </c>
      <c r="GJ92" s="21" t="n">
        <v>170.464</v>
      </c>
      <c r="GK92" s="21" t="n">
        <v>72.62</v>
      </c>
      <c r="GL92" s="21" t="n">
        <v>126.62</v>
      </c>
      <c r="GM92" s="21" t="n">
        <v>108.588</v>
      </c>
      <c r="GN92" s="21" t="n">
        <v>102.536</v>
      </c>
      <c r="GO92" s="21" t="n">
        <v>103.974</v>
      </c>
      <c r="GP92" s="21" t="n">
        <v>98.023</v>
      </c>
      <c r="GQ92" s="21" t="n">
        <v>101.343</v>
      </c>
      <c r="GR92" s="21" t="n">
        <v>71.242</v>
      </c>
      <c r="GS92" s="21" t="n">
        <v>104.627</v>
      </c>
      <c r="GT92" s="21" t="n">
        <v>95.19</v>
      </c>
      <c r="GU92" s="21" t="n">
        <v>145.144</v>
      </c>
      <c r="GV92" s="21" t="n">
        <v>149.451</v>
      </c>
      <c r="GW92" s="21" t="n">
        <v>165.948</v>
      </c>
      <c r="GX92" s="21" t="n">
        <v>131.614</v>
      </c>
      <c r="GY92" s="21" t="n">
        <v>120.84</v>
      </c>
      <c r="GZ92" s="21" t="n">
        <v>191.42</v>
      </c>
      <c r="HA92" s="21" t="n">
        <v>153.847</v>
      </c>
      <c r="HB92" s="21" t="n">
        <v>189.479</v>
      </c>
      <c r="HC92" s="21" t="n">
        <v>278.958</v>
      </c>
      <c r="HD92" s="21" t="n">
        <v>277.502</v>
      </c>
      <c r="HE92" s="21" t="n">
        <v>131.074</v>
      </c>
      <c r="HF92" s="21" t="n">
        <v>173.618</v>
      </c>
      <c r="HG92" s="21" t="n"/>
      <c r="HH92" s="21" t="n">
        <v>170.452</v>
      </c>
      <c r="HI92" s="21" t="n">
        <v>184.849</v>
      </c>
      <c r="HJ92" s="21" t="n"/>
      <c r="HK92" s="21" t="n">
        <v>213.683</v>
      </c>
      <c r="HL92" s="21" t="n">
        <v>104.258</v>
      </c>
      <c r="HM92" s="21" t="n">
        <v>208.66</v>
      </c>
      <c r="HN92" s="21" t="n">
        <v>399.682</v>
      </c>
      <c r="HO92" s="21" t="n">
        <v>396.952</v>
      </c>
      <c r="HP92" s="21" t="n">
        <v>390.907</v>
      </c>
      <c r="HQ92" s="21" t="n">
        <v>423.728</v>
      </c>
      <c r="HR92" s="21" t="n">
        <v>405.46</v>
      </c>
      <c r="HS92" s="21" t="n">
        <v>409.664</v>
      </c>
      <c r="HT92" s="21" t="n">
        <v>176.316</v>
      </c>
      <c r="HU92" s="21" t="n">
        <v>150.9</v>
      </c>
      <c r="HV92" s="21" t="n">
        <v>210.142</v>
      </c>
      <c r="HW92" s="21" t="n">
        <v>193.443</v>
      </c>
      <c r="HX92" s="21" t="n">
        <v>476.738</v>
      </c>
      <c r="HY92" s="21" t="n">
        <v>343.678</v>
      </c>
      <c r="HZ92" s="21" t="n">
        <v>392.031</v>
      </c>
      <c r="IA92" s="21" t="n">
        <v>306.502</v>
      </c>
      <c r="IB92" s="21" t="n">
        <v>212.635</v>
      </c>
      <c r="IC92" s="21" t="n">
        <v>609.585</v>
      </c>
      <c r="ID92" s="21" t="n">
        <v>201.967</v>
      </c>
      <c r="IE92" s="21" t="n">
        <v>189.979</v>
      </c>
      <c r="IF92" s="21" t="n">
        <v>220.814</v>
      </c>
      <c r="IG92" s="21" t="n">
        <v>257.954</v>
      </c>
      <c r="IH92" s="21" t="n"/>
      <c r="II92" s="21" t="n">
        <v>297.077</v>
      </c>
      <c r="IJ92" s="21" t="n">
        <v>311.205</v>
      </c>
      <c r="IK92" s="21" t="n">
        <v>161.114</v>
      </c>
      <c r="IL92" s="21" t="n"/>
      <c r="IM92" s="21" t="n"/>
      <c r="IN92" s="21" t="n">
        <v>61.279</v>
      </c>
      <c r="IO92" s="21" t="n">
        <v>341.348</v>
      </c>
      <c r="IP92" s="21" t="n">
        <v>127.971</v>
      </c>
      <c r="IQ92" s="21" t="n">
        <v>549.562</v>
      </c>
      <c r="IR92" s="21" t="n">
        <v>390.077</v>
      </c>
      <c r="IS92" s="21" t="n">
        <v>127.727</v>
      </c>
      <c r="IT92" s="21" t="n">
        <v>534.312</v>
      </c>
      <c r="IU92" s="21" t="n">
        <v>101.766</v>
      </c>
      <c r="IV92" s="21" t="n">
        <v>101.914</v>
      </c>
      <c r="IW92" s="21" t="n">
        <v>601.056</v>
      </c>
      <c r="IX92" s="21" t="n">
        <v>411.626</v>
      </c>
      <c r="IY92" s="21" t="n">
        <v>411.846</v>
      </c>
      <c r="IZ92" s="21" t="n">
        <v>544.1369999999999</v>
      </c>
      <c r="JA92" s="21" t="n">
        <v>197.266</v>
      </c>
      <c r="JB92" s="21" t="n">
        <v>258.62</v>
      </c>
      <c r="JC92" s="21" t="n">
        <v>89.804</v>
      </c>
      <c r="JD92" s="21" t="n">
        <v>377.415</v>
      </c>
      <c r="JE92" s="21" t="n">
        <v>365.071</v>
      </c>
      <c r="JF92" s="21" t="n">
        <v>817.657</v>
      </c>
      <c r="JG92" s="21" t="n">
        <v>261.207</v>
      </c>
      <c r="JH92" s="21" t="n">
        <v>145.055</v>
      </c>
      <c r="JI92" s="21" t="n">
        <v>203.69</v>
      </c>
      <c r="JJ92" s="21" t="n">
        <v>131.087</v>
      </c>
      <c r="JK92" s="21" t="n">
        <v>113</v>
      </c>
      <c r="JL92" s="21" t="n">
        <v>124.428</v>
      </c>
      <c r="JM92" s="21" t="n">
        <v>543.295</v>
      </c>
      <c r="JN92" s="21" t="n">
        <v>114.763</v>
      </c>
      <c r="JO92" s="21" t="n">
        <v>69.727</v>
      </c>
      <c r="JP92" s="21" t="n">
        <v>34.949</v>
      </c>
      <c r="JQ92" s="21" t="n">
        <v>147.161</v>
      </c>
      <c r="JR92" s="21" t="n">
        <v>25.73</v>
      </c>
      <c r="JS92" s="21" t="n">
        <v>79.449</v>
      </c>
      <c r="JT92" s="21" t="n">
        <v>202.111</v>
      </c>
      <c r="JU92" s="21" t="n">
        <v>223.846</v>
      </c>
      <c r="JV92" s="21" t="n">
        <v>173.512</v>
      </c>
      <c r="JW92" s="21" t="n">
        <v>125.785</v>
      </c>
      <c r="JX92" s="21" t="n">
        <v>299.341</v>
      </c>
      <c r="JY92" s="21" t="n">
        <v>223.642</v>
      </c>
      <c r="JZ92" s="21" t="n">
        <v>314.531</v>
      </c>
      <c r="KA92" s="21" t="n">
        <v>126.948</v>
      </c>
      <c r="KB92" s="21" t="n">
        <v>175.488</v>
      </c>
      <c r="KC92" s="21" t="n">
        <v>86.54600000000001</v>
      </c>
      <c r="KD92" s="21" t="n">
        <v>81.343</v>
      </c>
      <c r="KE92" s="21" t="n">
        <v>62.45</v>
      </c>
      <c r="KF92" s="21" t="n"/>
      <c r="KG92" s="21" t="n">
        <v>26.249</v>
      </c>
      <c r="KH92" s="21" t="n">
        <v>128.77</v>
      </c>
      <c r="KI92" s="21" t="n"/>
      <c r="KJ92" s="21" t="n"/>
      <c r="KK92" s="21" t="n">
        <v>34.532</v>
      </c>
      <c r="KL92" s="21" t="n">
        <v>29.653</v>
      </c>
      <c r="KM92" s="21" t="n">
        <v>39.318</v>
      </c>
      <c r="KN92" s="21" t="n"/>
      <c r="KO92" s="21" t="n">
        <v>107.309</v>
      </c>
      <c r="KP92" s="21" t="n">
        <v>112.094</v>
      </c>
      <c r="KQ92" s="21" t="n">
        <v>183.305</v>
      </c>
      <c r="KR92" s="21" t="n">
        <v>151.033</v>
      </c>
      <c r="KS92" s="21" t="n">
        <v>418.189</v>
      </c>
      <c r="KT92" s="21" t="n">
        <v>209.319</v>
      </c>
      <c r="KU92" s="21" t="n">
        <v>220.012</v>
      </c>
      <c r="KV92" s="21" t="n">
        <v>344.324</v>
      </c>
      <c r="KW92" s="21" t="n">
        <v>287.496</v>
      </c>
      <c r="KX92" s="21" t="n">
        <v>224.305</v>
      </c>
      <c r="KY92" s="21" t="n">
        <v>98.559</v>
      </c>
      <c r="KZ92" s="21" t="n">
        <v>143.15</v>
      </c>
      <c r="LA92" s="21" t="n">
        <v>280.974</v>
      </c>
      <c r="LB92" s="21" t="n">
        <v>717.006</v>
      </c>
      <c r="LC92" s="21" t="n">
        <v>248.651</v>
      </c>
      <c r="LD92" s="21" t="n">
        <v>806.644</v>
      </c>
      <c r="LE92" s="21" t="n">
        <v>899.856</v>
      </c>
      <c r="LF92" s="21" t="n">
        <v>90.083</v>
      </c>
      <c r="LG92" s="21" t="n">
        <v>327.521</v>
      </c>
      <c r="LH92" s="21" t="n">
        <v>265.833</v>
      </c>
      <c r="LI92" s="21" t="n">
        <v>75.06100000000001</v>
      </c>
      <c r="LJ92" s="21" t="n">
        <v>218.328</v>
      </c>
      <c r="LK92" s="21" t="n">
        <v>339.34</v>
      </c>
      <c r="LL92" s="21" t="n">
        <v>391.886</v>
      </c>
      <c r="LM92" s="21" t="n">
        <v>70.782</v>
      </c>
      <c r="LN92" s="21" t="n">
        <v>94.34</v>
      </c>
      <c r="LO92" s="21" t="n">
        <v>47.716</v>
      </c>
      <c r="LP92" s="21" t="n">
        <v>141.55</v>
      </c>
      <c r="LQ92" s="21" t="n"/>
      <c r="LR92" s="21" t="n"/>
      <c r="LS92" s="21" t="n">
        <v>107.144</v>
      </c>
      <c r="LT92" s="21" t="n">
        <v>38.719</v>
      </c>
      <c r="LU92" s="21" t="n">
        <v>25.433</v>
      </c>
      <c r="LV92" s="21" t="n">
        <v>80.255</v>
      </c>
      <c r="LW92" s="21" t="n">
        <v>134.309</v>
      </c>
      <c r="LX92" s="21" t="n">
        <v>60.175</v>
      </c>
      <c r="LY92" s="21" t="n">
        <v>507.204</v>
      </c>
      <c r="LZ92" s="21" t="n">
        <v>85.102</v>
      </c>
      <c r="MA92" s="21" t="n">
        <v>557.34</v>
      </c>
      <c r="MB92" s="21" t="n">
        <v>316.446</v>
      </c>
      <c r="MC92" s="21" t="n">
        <v>258.315</v>
      </c>
      <c r="MD92" s="21" t="n">
        <v>167.052</v>
      </c>
      <c r="ME92" s="21" t="n">
        <v>111.162</v>
      </c>
      <c r="MF92" s="21" t="n">
        <v>181.816</v>
      </c>
      <c r="MG92" s="21" t="n">
        <v>313.204</v>
      </c>
      <c r="MH92" s="21" t="n">
        <v>191.105</v>
      </c>
      <c r="MI92" s="21" t="n">
        <v>497.991</v>
      </c>
      <c r="MJ92" s="21" t="n">
        <v>406.267</v>
      </c>
      <c r="MK92" s="21" t="n">
        <v>360.282</v>
      </c>
      <c r="ML92" s="21" t="n">
        <v>206.522</v>
      </c>
      <c r="MM92" s="21" t="n">
        <v>231.89</v>
      </c>
      <c r="MN92" s="21" t="n">
        <v>389.606</v>
      </c>
      <c r="MO92" s="21" t="n">
        <v>175.257</v>
      </c>
      <c r="MP92" s="21" t="n">
        <v>287.696</v>
      </c>
      <c r="MQ92" s="21" t="n">
        <v>83.703</v>
      </c>
      <c r="MR92" s="21" t="n">
        <v>178.065</v>
      </c>
      <c r="MS92" s="21" t="n"/>
      <c r="MT92" s="21" t="n">
        <v>284.084</v>
      </c>
      <c r="MU92" s="21" t="n">
        <v>296.702</v>
      </c>
      <c r="MV92" s="21" t="n">
        <v>294.363</v>
      </c>
      <c r="MW92" s="21" t="n">
        <v>295.646</v>
      </c>
      <c r="MX92" s="21" t="n">
        <v>276.416</v>
      </c>
      <c r="MY92" s="21" t="n">
        <v>268.146</v>
      </c>
      <c r="MZ92" s="21" t="n">
        <v>262.628</v>
      </c>
      <c r="NA92" s="21" t="n">
        <v>263.458</v>
      </c>
      <c r="NB92" s="21" t="n">
        <v>115.879</v>
      </c>
      <c r="NC92" s="21" t="n">
        <v>226.11</v>
      </c>
      <c r="ND92" s="21" t="n">
        <v>188.836</v>
      </c>
      <c r="NE92" s="21" t="n">
        <v>185.573</v>
      </c>
      <c r="NF92" s="21" t="n">
        <v>166.746</v>
      </c>
      <c r="NG92" s="21" t="n">
        <v>160.175</v>
      </c>
      <c r="NH92" s="21" t="n">
        <v>303.324</v>
      </c>
      <c r="NI92" s="21" t="n">
        <v>129.856</v>
      </c>
      <c r="NJ92" s="21" t="n">
        <v>64.129</v>
      </c>
      <c r="NK92" s="21" t="n">
        <v>117.088</v>
      </c>
      <c r="NL92" s="21" t="n">
        <v>325.407</v>
      </c>
      <c r="NM92" s="21" t="n">
        <v>405.676</v>
      </c>
      <c r="NN92" s="21" t="n">
        <v>105.36</v>
      </c>
      <c r="NO92" s="21" t="n">
        <v>44.804</v>
      </c>
      <c r="NP92" s="21" t="n">
        <v>275.627</v>
      </c>
      <c r="NQ92" s="21" t="n">
        <v>247.498</v>
      </c>
      <c r="NR92" s="21" t="n">
        <v>319.632</v>
      </c>
      <c r="NS92" s="21" t="n">
        <v>245.823</v>
      </c>
      <c r="NT92" s="21" t="n">
        <v>325.961</v>
      </c>
      <c r="NU92" s="21" t="n">
        <v>127.983</v>
      </c>
      <c r="NV92" s="21" t="n">
        <v>140.861</v>
      </c>
      <c r="NW92" s="21" t="n">
        <v>387.616</v>
      </c>
      <c r="NX92" s="21" t="n">
        <v>84.423</v>
      </c>
      <c r="NY92" s="21" t="n">
        <v>137.086</v>
      </c>
      <c r="NZ92" s="21" t="n">
        <v>370.525</v>
      </c>
      <c r="OA92" s="21" t="n">
        <v>364.465</v>
      </c>
      <c r="OB92" s="21" t="n">
        <v>375.06</v>
      </c>
      <c r="OC92" s="21" t="n">
        <v>346.527</v>
      </c>
      <c r="OD92" s="21" t="n">
        <v>385.783</v>
      </c>
      <c r="OE92" s="21" t="n">
        <v>137.939</v>
      </c>
      <c r="OF92" s="21" t="n">
        <v>363.389</v>
      </c>
      <c r="OG92" s="21" t="n">
        <v>254.496</v>
      </c>
      <c r="OH92" s="21" t="n">
        <v>35.069</v>
      </c>
      <c r="OI92" s="21" t="n">
        <v>143.105</v>
      </c>
      <c r="OJ92" s="21" t="n">
        <v>33.8</v>
      </c>
      <c r="OK92" s="21" t="n">
        <v>11.3</v>
      </c>
    </row>
    <row r="93">
      <c r="A93" s="22" t="n">
        <v>44774</v>
      </c>
      <c r="B93" s="21" t="n">
        <v>296.171</v>
      </c>
      <c r="C93" s="21" t="n">
        <v>887.197</v>
      </c>
      <c r="D93" s="21" t="n">
        <v>308.55</v>
      </c>
      <c r="E93" s="21" t="n">
        <v>310.875</v>
      </c>
      <c r="F93" s="21" t="n">
        <v>295.007</v>
      </c>
      <c r="G93" s="21" t="n">
        <v>336.399</v>
      </c>
      <c r="H93" s="21" t="n">
        <v>277.234</v>
      </c>
      <c r="I93" s="21" t="n">
        <v>306.855</v>
      </c>
      <c r="J93" s="21" t="n">
        <v>267.629</v>
      </c>
      <c r="K93" s="21" t="n">
        <v>283.939</v>
      </c>
      <c r="L93" s="21" t="n">
        <v>187.433</v>
      </c>
      <c r="M93" s="21" t="n">
        <v>370.549</v>
      </c>
      <c r="N93" s="21" t="n">
        <v>224.282</v>
      </c>
      <c r="O93" s="21" t="n">
        <v>403.711</v>
      </c>
      <c r="P93" s="21" t="n">
        <v>439.803</v>
      </c>
      <c r="Q93" s="21" t="n">
        <v>218.223</v>
      </c>
      <c r="R93" s="21" t="n">
        <v>348.207</v>
      </c>
      <c r="S93" s="21" t="n">
        <v>367.396</v>
      </c>
      <c r="T93" s="21" t="n">
        <v>323.636</v>
      </c>
      <c r="U93" s="21" t="n">
        <v>332.156</v>
      </c>
      <c r="V93" s="21" t="n">
        <v>376.53</v>
      </c>
      <c r="W93" s="21" t="n">
        <v>393.021</v>
      </c>
      <c r="X93" s="21" t="n">
        <v>324.915</v>
      </c>
      <c r="Y93" s="21" t="n">
        <v>318.867</v>
      </c>
      <c r="Z93" s="21" t="n">
        <v>319.433</v>
      </c>
      <c r="AA93" s="21" t="n">
        <v>321.534</v>
      </c>
      <c r="AB93" s="21" t="n">
        <v>388.665</v>
      </c>
      <c r="AC93" s="21" t="n">
        <v>342.409</v>
      </c>
      <c r="AD93" s="21" t="n">
        <v>310.822</v>
      </c>
      <c r="AE93" s="21" t="n">
        <v>253.85</v>
      </c>
      <c r="AF93" s="21" t="n">
        <v>323.75</v>
      </c>
      <c r="AG93" s="21" t="n">
        <v>270.578</v>
      </c>
      <c r="AH93" s="21" t="n">
        <v>206.427</v>
      </c>
      <c r="AI93" s="21" t="n">
        <v>386.09</v>
      </c>
      <c r="AJ93" s="21" t="n">
        <v>187.529</v>
      </c>
      <c r="AK93" s="21" t="n">
        <v>250.704</v>
      </c>
      <c r="AL93" s="21" t="n">
        <v>280.094</v>
      </c>
      <c r="AM93" s="21" t="n">
        <v>240.387</v>
      </c>
      <c r="AN93" s="21" t="n">
        <v>162.927</v>
      </c>
      <c r="AO93" s="21" t="n">
        <v>277.081</v>
      </c>
      <c r="AP93" s="21" t="n">
        <v>283.738</v>
      </c>
      <c r="AQ93" s="21" t="n">
        <v>180.129</v>
      </c>
      <c r="AR93" s="21" t="n"/>
      <c r="AS93" s="21" t="n"/>
      <c r="AT93" s="21" t="n">
        <v>306.399</v>
      </c>
      <c r="AU93" s="21" t="n">
        <v>198.1</v>
      </c>
      <c r="AV93" s="21" t="n">
        <v>317.801</v>
      </c>
      <c r="AW93" s="21" t="n">
        <v>300.404</v>
      </c>
      <c r="AX93" s="21" t="n">
        <v>195.155</v>
      </c>
      <c r="AY93" s="21" t="n">
        <v>357.561</v>
      </c>
      <c r="AZ93" s="21" t="n">
        <v>227.283</v>
      </c>
      <c r="BA93" s="21" t="n">
        <v>174.496</v>
      </c>
      <c r="BB93" s="21" t="n">
        <v>240.552</v>
      </c>
      <c r="BC93" s="21" t="n">
        <v>374.081</v>
      </c>
      <c r="BD93" s="21" t="n">
        <v>309.183</v>
      </c>
      <c r="BE93" s="21" t="n">
        <v>267.461</v>
      </c>
      <c r="BF93" s="21" t="n">
        <v>180.113</v>
      </c>
      <c r="BG93" s="21" t="n">
        <v>260.45</v>
      </c>
      <c r="BH93" s="21" t="n">
        <v>185.56</v>
      </c>
      <c r="BI93" s="21" t="n">
        <v>270.972</v>
      </c>
      <c r="BJ93" s="21" t="n">
        <v>261.632</v>
      </c>
      <c r="BK93" s="21" t="n">
        <v>183.247</v>
      </c>
      <c r="BL93" s="21" t="n">
        <v>343.221</v>
      </c>
      <c r="BM93" s="21" t="n">
        <v>390.736</v>
      </c>
      <c r="BN93" s="21" t="n">
        <v>402.947</v>
      </c>
      <c r="BO93" s="21" t="n">
        <v>365.559</v>
      </c>
      <c r="BP93" s="21" t="n">
        <v>209.062</v>
      </c>
      <c r="BQ93" s="21" t="n">
        <v>301.355</v>
      </c>
      <c r="BR93" s="21" t="n">
        <v>614.242</v>
      </c>
      <c r="BS93" s="21" t="n">
        <v>131.711</v>
      </c>
      <c r="BT93" s="21" t="n">
        <v>376.564</v>
      </c>
      <c r="BU93" s="21" t="n">
        <v>450.179</v>
      </c>
      <c r="BV93" s="21" t="n">
        <v>377.138</v>
      </c>
      <c r="BW93" s="21" t="n">
        <v>350.76</v>
      </c>
      <c r="BX93" s="21" t="n">
        <v>369.007</v>
      </c>
      <c r="BY93" s="21" t="n">
        <v>190.647</v>
      </c>
      <c r="BZ93" s="21" t="n">
        <v>205.107</v>
      </c>
      <c r="CA93" s="21" t="n">
        <v>194.213</v>
      </c>
      <c r="CB93" s="21" t="n">
        <v>219.786</v>
      </c>
      <c r="CC93" s="21" t="n">
        <v>172.141</v>
      </c>
      <c r="CD93" s="21" t="n">
        <v>234.271</v>
      </c>
      <c r="CE93" s="21" t="n">
        <v>180.412</v>
      </c>
      <c r="CF93" s="21" t="n">
        <v>219.256</v>
      </c>
      <c r="CG93" s="21" t="n">
        <v>206.693</v>
      </c>
      <c r="CH93" s="21" t="n">
        <v>162.48</v>
      </c>
      <c r="CI93" s="21" t="n">
        <v>210.887</v>
      </c>
      <c r="CJ93" s="21" t="n">
        <v>187.182</v>
      </c>
      <c r="CK93" s="21" t="n">
        <v>144.91</v>
      </c>
      <c r="CL93" s="21" t="n">
        <v>138.481</v>
      </c>
      <c r="CM93" s="21" t="n">
        <v>234.668</v>
      </c>
      <c r="CN93" s="21" t="n">
        <v>247.889</v>
      </c>
      <c r="CO93" s="21" t="n">
        <v>214.056</v>
      </c>
      <c r="CP93" s="21" t="n">
        <v>148.342</v>
      </c>
      <c r="CQ93" s="21" t="n">
        <v>259.976</v>
      </c>
      <c r="CR93" s="21" t="n">
        <v>263.972</v>
      </c>
      <c r="CS93" s="21" t="n">
        <v>241.683</v>
      </c>
      <c r="CT93" s="21" t="n">
        <v>176.422</v>
      </c>
      <c r="CU93" s="21" t="n">
        <v>186.273</v>
      </c>
      <c r="CV93" s="21" t="n">
        <v>295.759</v>
      </c>
      <c r="CW93" s="21" t="n">
        <v>277.137</v>
      </c>
      <c r="CX93" s="21" t="n">
        <v>315.154</v>
      </c>
      <c r="CY93" s="21" t="n">
        <v>448.619</v>
      </c>
      <c r="CZ93" s="21" t="n">
        <v>157.68</v>
      </c>
      <c r="DA93" s="21" t="n">
        <v>205.776</v>
      </c>
      <c r="DB93" s="21" t="n">
        <v>187.805</v>
      </c>
      <c r="DC93" s="21" t="n">
        <v>276.318</v>
      </c>
      <c r="DD93" s="21" t="n">
        <v>310.71</v>
      </c>
      <c r="DE93" s="21" t="n">
        <v>210.195</v>
      </c>
      <c r="DF93" s="21" t="n">
        <v>305.205</v>
      </c>
      <c r="DG93" s="21" t="n">
        <v>291.838</v>
      </c>
      <c r="DH93" s="21" t="n">
        <v>183.44</v>
      </c>
      <c r="DI93" s="21" t="n">
        <v>178.384</v>
      </c>
      <c r="DJ93" s="21" t="n">
        <v>171.428</v>
      </c>
      <c r="DK93" s="21" t="n">
        <v>320.807</v>
      </c>
      <c r="DL93" s="21" t="n">
        <v>198.959</v>
      </c>
      <c r="DM93" s="21" t="n">
        <v>163.007</v>
      </c>
      <c r="DN93" s="21" t="n">
        <v>154.841</v>
      </c>
      <c r="DO93" s="21" t="n">
        <v>334.212</v>
      </c>
      <c r="DP93" s="21" t="n">
        <v>208.3</v>
      </c>
      <c r="DQ93" s="21" t="n">
        <v>219.286</v>
      </c>
      <c r="DR93" s="21" t="n">
        <v>125.165</v>
      </c>
      <c r="DS93" s="21" t="n"/>
      <c r="DT93" s="21" t="n">
        <v>194.072</v>
      </c>
      <c r="DU93" s="21" t="n">
        <v>220.798</v>
      </c>
      <c r="DV93" s="21" t="n">
        <v>275.627</v>
      </c>
      <c r="DW93" s="21" t="n">
        <v>220.654</v>
      </c>
      <c r="DX93" s="21" t="n">
        <v>255.601</v>
      </c>
      <c r="DY93" s="21" t="n">
        <v>206.138</v>
      </c>
      <c r="DZ93" s="21" t="n">
        <v>219.654</v>
      </c>
      <c r="EA93" s="21" t="n">
        <v>201.869</v>
      </c>
      <c r="EB93" s="21" t="n">
        <v>179.723</v>
      </c>
      <c r="EC93" s="21" t="n">
        <v>396.501</v>
      </c>
      <c r="ED93" s="21" t="n">
        <v>195.319</v>
      </c>
      <c r="EE93" s="21" t="n">
        <v>214.803</v>
      </c>
      <c r="EF93" s="21" t="n">
        <v>216.407</v>
      </c>
      <c r="EG93" s="21" t="n">
        <v>304.506</v>
      </c>
      <c r="EH93" s="21" t="n">
        <v>357.264</v>
      </c>
      <c r="EI93" s="21" t="n">
        <v>373.283</v>
      </c>
      <c r="EJ93" s="21" t="n">
        <v>185.97</v>
      </c>
      <c r="EK93" s="21" t="n">
        <v>604.674</v>
      </c>
      <c r="EL93" s="21" t="n">
        <v>383.319</v>
      </c>
      <c r="EM93" s="21" t="n">
        <v>365.993</v>
      </c>
      <c r="EN93" s="21" t="n">
        <v>366.046</v>
      </c>
      <c r="EO93" s="21" t="n">
        <v>151.116</v>
      </c>
      <c r="EP93" s="21" t="n">
        <v>309.739</v>
      </c>
      <c r="EQ93" s="21" t="n">
        <v>265.453</v>
      </c>
      <c r="ER93" s="21" t="n">
        <v>435.427</v>
      </c>
      <c r="ES93" s="21" t="n">
        <v>466.755</v>
      </c>
      <c r="ET93" s="21" t="n">
        <v>448.958</v>
      </c>
      <c r="EU93" s="21" t="n">
        <v>267.564</v>
      </c>
      <c r="EV93" s="21" t="n">
        <v>265.191</v>
      </c>
      <c r="EW93" s="21" t="n">
        <v>268.866</v>
      </c>
      <c r="EX93" s="21" t="n">
        <v>274.984</v>
      </c>
      <c r="EY93" s="21" t="n">
        <v>635.522</v>
      </c>
      <c r="EZ93" s="21" t="n">
        <v>548.706</v>
      </c>
      <c r="FA93" s="21" t="n">
        <v>145.11</v>
      </c>
      <c r="FB93" s="21" t="n">
        <v>62.034</v>
      </c>
      <c r="FC93" s="21" t="n">
        <v>132.019</v>
      </c>
      <c r="FD93" s="21" t="n">
        <v>77.973</v>
      </c>
      <c r="FE93" s="21" t="n">
        <v>44.072</v>
      </c>
      <c r="FF93" s="21" t="n">
        <v>140.884</v>
      </c>
      <c r="FG93" s="21" t="n">
        <v>150.427</v>
      </c>
      <c r="FH93" s="21" t="n">
        <v>115.797</v>
      </c>
      <c r="FI93" s="21" t="n">
        <v>82.64700000000001</v>
      </c>
      <c r="FJ93" s="21" t="n"/>
      <c r="FK93" s="21" t="n">
        <v>87.89100000000001</v>
      </c>
      <c r="FL93" s="21" t="n">
        <v>101.918</v>
      </c>
      <c r="FM93" s="21" t="n">
        <v>127.387</v>
      </c>
      <c r="FN93" s="21" t="n">
        <v>73.42</v>
      </c>
      <c r="FO93" s="21" t="n">
        <v>55.157</v>
      </c>
      <c r="FP93" s="21" t="n">
        <v>40.467</v>
      </c>
      <c r="FQ93" s="21" t="n">
        <v>147.112</v>
      </c>
      <c r="FR93" s="21" t="n">
        <v>50.706</v>
      </c>
      <c r="FS93" s="21" t="n">
        <v>86.602</v>
      </c>
      <c r="FT93" s="21" t="n">
        <v>106.653</v>
      </c>
      <c r="FU93" s="21" t="n">
        <v>116.38</v>
      </c>
      <c r="FV93" s="21" t="n">
        <v>102.289</v>
      </c>
      <c r="FW93" s="21" t="n">
        <v>222.394</v>
      </c>
      <c r="FX93" s="21" t="n">
        <v>141.459</v>
      </c>
      <c r="FY93" s="21" t="n">
        <v>219.069</v>
      </c>
      <c r="FZ93" s="21" t="n">
        <v>133.199</v>
      </c>
      <c r="GA93" s="21" t="n">
        <v>229.891</v>
      </c>
      <c r="GB93" s="21" t="n">
        <v>206.252</v>
      </c>
      <c r="GC93" s="21" t="n"/>
      <c r="GD93" s="21" t="n">
        <v>209.333</v>
      </c>
      <c r="GE93" s="21" t="n"/>
      <c r="GF93" s="21" t="n">
        <v>127.328</v>
      </c>
      <c r="GG93" s="21" t="n">
        <v>122.657</v>
      </c>
      <c r="GH93" s="21" t="n">
        <v>125.582</v>
      </c>
      <c r="GI93" s="21" t="n">
        <v>106.292</v>
      </c>
      <c r="GJ93" s="21" t="n">
        <v>171.686</v>
      </c>
      <c r="GK93" s="21" t="n">
        <v>75.755</v>
      </c>
      <c r="GL93" s="21" t="n">
        <v>128.452</v>
      </c>
      <c r="GM93" s="21" t="n">
        <v>110.123</v>
      </c>
      <c r="GN93" s="21" t="n">
        <v>105.386</v>
      </c>
      <c r="GO93" s="21" t="n">
        <v>106.56</v>
      </c>
      <c r="GP93" s="21" t="n">
        <v>100.52</v>
      </c>
      <c r="GQ93" s="21" t="n">
        <v>103.555</v>
      </c>
      <c r="GR93" s="21" t="n">
        <v>72.956</v>
      </c>
      <c r="GS93" s="21" t="n">
        <v>107.444</v>
      </c>
      <c r="GT93" s="21" t="n">
        <v>99.31699999999999</v>
      </c>
      <c r="GU93" s="21" t="n">
        <v>145.937</v>
      </c>
      <c r="GV93" s="21" t="n">
        <v>149.771</v>
      </c>
      <c r="GW93" s="21" t="n">
        <v>166.515</v>
      </c>
      <c r="GX93" s="21" t="n">
        <v>132.754</v>
      </c>
      <c r="GY93" s="21" t="n">
        <v>123.191</v>
      </c>
      <c r="GZ93" s="21" t="n">
        <v>190.683</v>
      </c>
      <c r="HA93" s="21" t="n">
        <v>153.666</v>
      </c>
      <c r="HB93" s="21" t="n">
        <v>188.633</v>
      </c>
      <c r="HC93" s="21" t="n">
        <v>270.334</v>
      </c>
      <c r="HD93" s="21" t="n">
        <v>269.389</v>
      </c>
      <c r="HE93" s="21" t="n">
        <v>131.226</v>
      </c>
      <c r="HF93" s="21" t="n">
        <v>174.598</v>
      </c>
      <c r="HG93" s="21" t="n"/>
      <c r="HH93" s="21" t="n">
        <v>171.158</v>
      </c>
      <c r="HI93" s="21" t="n">
        <v>185.87</v>
      </c>
      <c r="HJ93" s="21" t="n"/>
      <c r="HK93" s="21" t="n">
        <v>212.895</v>
      </c>
      <c r="HL93" s="21" t="n"/>
      <c r="HM93" s="21" t="n">
        <v>199.001</v>
      </c>
      <c r="HN93" s="21" t="n">
        <v>351.315</v>
      </c>
      <c r="HO93" s="21" t="n">
        <v>348.593</v>
      </c>
      <c r="HP93" s="21" t="n">
        <v>342.137</v>
      </c>
      <c r="HQ93" s="21" t="n">
        <v>375.531</v>
      </c>
      <c r="HR93" s="21" t="n">
        <v>364.439</v>
      </c>
      <c r="HS93" s="21" t="n">
        <v>375.072</v>
      </c>
      <c r="HT93" s="21" t="n">
        <v>178.179</v>
      </c>
      <c r="HU93" s="21" t="n">
        <v>152.656</v>
      </c>
      <c r="HV93" s="21" t="n">
        <v>211.975</v>
      </c>
      <c r="HW93" s="21" t="n">
        <v>195.18</v>
      </c>
      <c r="HX93" s="21" t="n">
        <v>477.945</v>
      </c>
      <c r="HY93" s="21" t="n">
        <v>349.539</v>
      </c>
      <c r="HZ93" s="21" t="n">
        <v>387.153</v>
      </c>
      <c r="IA93" s="21" t="n">
        <v>308.972</v>
      </c>
      <c r="IB93" s="21" t="n">
        <v>220.161</v>
      </c>
      <c r="IC93" s="21" t="n">
        <v>615.559</v>
      </c>
      <c r="ID93" s="21" t="n">
        <v>203</v>
      </c>
      <c r="IE93" s="21" t="n">
        <v>191.418</v>
      </c>
      <c r="IF93" s="21" t="n">
        <v>221.155</v>
      </c>
      <c r="IG93" s="21" t="n">
        <v>259.443</v>
      </c>
      <c r="IH93" s="21" t="n"/>
      <c r="II93" s="21" t="n">
        <v>278.352</v>
      </c>
      <c r="IJ93" s="21" t="n">
        <v>283.911</v>
      </c>
      <c r="IK93" s="21" t="n">
        <v>161.19</v>
      </c>
      <c r="IL93" s="21" t="n"/>
      <c r="IM93" s="21" t="n"/>
      <c r="IN93" s="21" t="n">
        <v>61.552</v>
      </c>
      <c r="IO93" s="21" t="n">
        <v>338.735</v>
      </c>
      <c r="IP93" s="21" t="n">
        <v>128.117</v>
      </c>
      <c r="IQ93" s="21" t="n">
        <v>553.429</v>
      </c>
      <c r="IR93" s="21" t="n">
        <v>391.032</v>
      </c>
      <c r="IS93" s="21" t="n">
        <v>128.03</v>
      </c>
      <c r="IT93" s="21" t="n">
        <v>536.212</v>
      </c>
      <c r="IU93" s="21" t="n">
        <v>101.686</v>
      </c>
      <c r="IV93" s="21" t="n">
        <v>102.264</v>
      </c>
      <c r="IW93" s="21" t="n">
        <v>605.883</v>
      </c>
      <c r="IX93" s="21" t="n">
        <v>413.59</v>
      </c>
      <c r="IY93" s="21" t="n">
        <v>412.828</v>
      </c>
      <c r="IZ93" s="21" t="n">
        <v>551.2670000000001</v>
      </c>
      <c r="JA93" s="21" t="n">
        <v>197.271</v>
      </c>
      <c r="JB93" s="21" t="n">
        <v>258.812</v>
      </c>
      <c r="JC93" s="21" t="n">
        <v>90.419</v>
      </c>
      <c r="JD93" s="21" t="n">
        <v>380.339</v>
      </c>
      <c r="JE93" s="21" t="n"/>
      <c r="JF93" s="21" t="n">
        <v>823.097</v>
      </c>
      <c r="JG93" s="21" t="n">
        <v>262.017</v>
      </c>
      <c r="JH93" s="21" t="n">
        <v>145.011</v>
      </c>
      <c r="JI93" s="21" t="n">
        <v>208.603</v>
      </c>
      <c r="JJ93" s="21" t="n">
        <v>131.437</v>
      </c>
      <c r="JK93" s="21" t="n">
        <v>112.544</v>
      </c>
      <c r="JL93" s="21" t="n">
        <v>121.656</v>
      </c>
      <c r="JM93" s="21" t="n">
        <v>541.47</v>
      </c>
      <c r="JN93" s="21" t="n">
        <v>118.098</v>
      </c>
      <c r="JO93" s="21" t="n">
        <v>70.571</v>
      </c>
      <c r="JP93" s="21" t="n">
        <v>35.894</v>
      </c>
      <c r="JQ93" s="21" t="n">
        <v>147.355</v>
      </c>
      <c r="JR93" s="21" t="n">
        <v>25.39</v>
      </c>
      <c r="JS93" s="21" t="n">
        <v>79.051</v>
      </c>
      <c r="JT93" s="21" t="n">
        <v>204.246</v>
      </c>
      <c r="JU93" s="21" t="n">
        <v>227.417</v>
      </c>
      <c r="JV93" s="21" t="n">
        <v>176.467</v>
      </c>
      <c r="JW93" s="21" t="n">
        <v>127.688</v>
      </c>
      <c r="JX93" s="21" t="n">
        <v>300.763</v>
      </c>
      <c r="JY93" s="21" t="n">
        <v>223.869</v>
      </c>
      <c r="JZ93" s="21" t="n">
        <v>316.994</v>
      </c>
      <c r="KA93" s="21" t="n">
        <v>128.044</v>
      </c>
      <c r="KB93" s="21" t="n">
        <v>177.173</v>
      </c>
      <c r="KC93" s="21" t="n">
        <v>87.15300000000001</v>
      </c>
      <c r="KD93" s="21" t="n">
        <v>82.42400000000001</v>
      </c>
      <c r="KE93" s="21" t="n">
        <v>63.218</v>
      </c>
      <c r="KF93" s="21" t="n"/>
      <c r="KG93" s="21" t="n">
        <v>26.427</v>
      </c>
      <c r="KH93" s="21" t="n">
        <v>130.574</v>
      </c>
      <c r="KI93" s="21" t="n"/>
      <c r="KJ93" s="21" t="n"/>
      <c r="KK93" s="21" t="n">
        <v>34.687</v>
      </c>
      <c r="KL93" s="21" t="n">
        <v>29.827</v>
      </c>
      <c r="KM93" s="21" t="n">
        <v>39.912</v>
      </c>
      <c r="KN93" s="21" t="n"/>
      <c r="KO93" s="21" t="n">
        <v>106.6</v>
      </c>
      <c r="KP93" s="21" t="n">
        <v>112.639</v>
      </c>
      <c r="KQ93" s="21" t="n">
        <v>183.135</v>
      </c>
      <c r="KR93" s="21" t="n">
        <v>151.627</v>
      </c>
      <c r="KS93" s="21" t="n">
        <v>412.342</v>
      </c>
      <c r="KT93" s="21" t="n">
        <v>208.127</v>
      </c>
      <c r="KU93" s="21" t="n">
        <v>213.861</v>
      </c>
      <c r="KV93" s="21" t="n">
        <v>350.602</v>
      </c>
      <c r="KW93" s="21" t="n">
        <v>293.481</v>
      </c>
      <c r="KX93" s="21" t="n">
        <v>230.261</v>
      </c>
      <c r="KY93" s="21" t="n">
        <v>99.786</v>
      </c>
      <c r="KZ93" s="21" t="n">
        <v>143.687</v>
      </c>
      <c r="LA93" s="21" t="n">
        <v>283.882</v>
      </c>
      <c r="LB93" s="21" t="n">
        <v>719.287</v>
      </c>
      <c r="LC93" s="21" t="n">
        <v>248.349</v>
      </c>
      <c r="LD93" s="21" t="n">
        <v>815.196</v>
      </c>
      <c r="LE93" s="21" t="n">
        <v>911.691</v>
      </c>
      <c r="LF93" s="21" t="n">
        <v>90.729</v>
      </c>
      <c r="LG93" s="21" t="n">
        <v>329.583</v>
      </c>
      <c r="LH93" s="21" t="n">
        <v>268.122</v>
      </c>
      <c r="LI93" s="21" t="n">
        <v>74.977</v>
      </c>
      <c r="LJ93" s="21" t="n">
        <v>218.094</v>
      </c>
      <c r="LK93" s="21" t="n">
        <v>339.34</v>
      </c>
      <c r="LL93" s="21" t="n">
        <v>387.995</v>
      </c>
      <c r="LM93" s="21" t="n">
        <v>70.703</v>
      </c>
      <c r="LN93" s="21" t="n">
        <v>94.35599999999999</v>
      </c>
      <c r="LO93" s="21" t="n">
        <v>47.693</v>
      </c>
      <c r="LP93" s="21" t="n">
        <v>142.026</v>
      </c>
      <c r="LQ93" s="21" t="n"/>
      <c r="LR93" s="21" t="n"/>
      <c r="LS93" s="21" t="n">
        <v>106.871</v>
      </c>
      <c r="LT93" s="21" t="n">
        <v>38.469</v>
      </c>
      <c r="LU93" s="21" t="n">
        <v>25.902</v>
      </c>
      <c r="LV93" s="21" t="n">
        <v>80.191</v>
      </c>
      <c r="LW93" s="21" t="n">
        <v>133.674</v>
      </c>
      <c r="LX93" s="21" t="n">
        <v>59.762</v>
      </c>
      <c r="LY93" s="21" t="n">
        <v>510.892</v>
      </c>
      <c r="LZ93" s="21" t="n">
        <v>86.056</v>
      </c>
      <c r="MA93" s="21" t="n">
        <v>563.545</v>
      </c>
      <c r="MB93" s="21" t="n">
        <v>320.154</v>
      </c>
      <c r="MC93" s="21" t="n">
        <v>259.954</v>
      </c>
      <c r="MD93" s="21" t="n">
        <v>169.576</v>
      </c>
      <c r="ME93" s="21" t="n">
        <v>112.038</v>
      </c>
      <c r="MF93" s="21" t="n">
        <v>186.043</v>
      </c>
      <c r="MG93" s="21" t="n">
        <v>315.268</v>
      </c>
      <c r="MH93" s="21" t="n">
        <v>192.365</v>
      </c>
      <c r="MI93" s="21" t="n">
        <v>498.352</v>
      </c>
      <c r="MJ93" s="21" t="n">
        <v>405.729</v>
      </c>
      <c r="MK93" s="21" t="n">
        <v>358.464</v>
      </c>
      <c r="ML93" s="21" t="n">
        <v>206.62</v>
      </c>
      <c r="MM93" s="21" t="n">
        <v>229.66</v>
      </c>
      <c r="MN93" s="21" t="n">
        <v>393.005</v>
      </c>
      <c r="MO93" s="21" t="n">
        <v>175.948</v>
      </c>
      <c r="MP93" s="21" t="n">
        <v>293.02</v>
      </c>
      <c r="MQ93" s="21" t="n">
        <v>83.70399999999999</v>
      </c>
      <c r="MR93" s="21" t="n">
        <v>175.478</v>
      </c>
      <c r="MS93" s="21" t="n"/>
      <c r="MT93" s="21" t="n">
        <v>283.794</v>
      </c>
      <c r="MU93" s="21" t="n">
        <v>298.346</v>
      </c>
      <c r="MV93" s="21" t="n">
        <v>293.893</v>
      </c>
      <c r="MW93" s="21" t="n">
        <v>297.178</v>
      </c>
      <c r="MX93" s="21" t="n">
        <v>275.409</v>
      </c>
      <c r="MY93" s="21" t="n">
        <v>266.417</v>
      </c>
      <c r="MZ93" s="21" t="n">
        <v>263.732</v>
      </c>
      <c r="NA93" s="21" t="n">
        <v>264.767</v>
      </c>
      <c r="NB93" s="21" t="n">
        <v>118.305</v>
      </c>
      <c r="NC93" s="21" t="n">
        <v>223.891</v>
      </c>
      <c r="ND93" s="21" t="n">
        <v>185.295</v>
      </c>
      <c r="NE93" s="21" t="n">
        <v>181.945</v>
      </c>
      <c r="NF93" s="21" t="n">
        <v>167.637</v>
      </c>
      <c r="NG93" s="21" t="n">
        <v>161.371</v>
      </c>
      <c r="NH93" s="21" t="n">
        <v>305.505</v>
      </c>
      <c r="NI93" s="21" t="n">
        <v>130.123</v>
      </c>
      <c r="NJ93" s="21" t="n">
        <v>63.872</v>
      </c>
      <c r="NK93" s="21" t="n">
        <v>117.659</v>
      </c>
      <c r="NL93" s="21" t="n">
        <v>305.372</v>
      </c>
      <c r="NM93" s="21" t="n">
        <v>358.038</v>
      </c>
      <c r="NN93" s="21" t="n">
        <v>106.054</v>
      </c>
      <c r="NO93" s="21" t="n">
        <v>44.583</v>
      </c>
      <c r="NP93" s="21" t="n">
        <v>271.395</v>
      </c>
      <c r="NQ93" s="21" t="n">
        <v>238.068</v>
      </c>
      <c r="NR93" s="21" t="n">
        <v>303.708</v>
      </c>
      <c r="NS93" s="21" t="n">
        <v>235.747</v>
      </c>
      <c r="NT93" s="21" t="n">
        <v>308.244</v>
      </c>
      <c r="NU93" s="21" t="n">
        <v>129.461</v>
      </c>
      <c r="NV93" s="21" t="n">
        <v>141.289</v>
      </c>
      <c r="NW93" s="21" t="n">
        <v>388.767</v>
      </c>
      <c r="NX93" s="21" t="n">
        <v>85.062</v>
      </c>
      <c r="NY93" s="21" t="n">
        <v>137.048</v>
      </c>
      <c r="NZ93" s="21" t="n">
        <v>372.989</v>
      </c>
      <c r="OA93" s="21" t="n">
        <v>366.622</v>
      </c>
      <c r="OB93" s="21" t="n">
        <v>376.98</v>
      </c>
      <c r="OC93" s="21" t="n">
        <v>348.484</v>
      </c>
      <c r="OD93" s="21" t="n">
        <v>387.748</v>
      </c>
      <c r="OE93" s="21" t="n">
        <v>138.138</v>
      </c>
      <c r="OF93" s="21" t="n">
        <v>362.511</v>
      </c>
      <c r="OG93" s="21" t="n">
        <v>254.797</v>
      </c>
      <c r="OH93" s="21" t="n">
        <v>34.648</v>
      </c>
      <c r="OI93" s="21" t="n">
        <v>142.807</v>
      </c>
      <c r="OJ93" s="21" t="n">
        <v>33.8</v>
      </c>
      <c r="OK93" s="21" t="n">
        <v>11.3</v>
      </c>
    </row>
    <row r="94">
      <c r="A94" s="22" t="n">
        <v>44805</v>
      </c>
      <c r="B94" s="21" t="n">
        <v>296.808</v>
      </c>
      <c r="C94" s="21" t="n">
        <v>889.104</v>
      </c>
      <c r="D94" s="21" t="n">
        <v>310.678</v>
      </c>
      <c r="E94" s="21" t="n">
        <v>313.142</v>
      </c>
      <c r="F94" s="21" t="n">
        <v>296.771</v>
      </c>
      <c r="G94" s="21" t="n">
        <v>339.336</v>
      </c>
      <c r="H94" s="21" t="n">
        <v>278.011</v>
      </c>
      <c r="I94" s="21" t="n">
        <v>310.842</v>
      </c>
      <c r="J94" s="21" t="n">
        <v>267.059</v>
      </c>
      <c r="K94" s="21" t="n">
        <v>284.984</v>
      </c>
      <c r="L94" s="21" t="n">
        <v>189.276</v>
      </c>
      <c r="M94" s="21" t="n">
        <v>374.832</v>
      </c>
      <c r="N94" s="21" t="n">
        <v>225.321</v>
      </c>
      <c r="O94" s="21" t="n">
        <v>405.578</v>
      </c>
      <c r="P94" s="21" t="n">
        <v>441.963</v>
      </c>
      <c r="Q94" s="21" t="n">
        <v>219.946</v>
      </c>
      <c r="R94" s="21" t="n">
        <v>354.393</v>
      </c>
      <c r="S94" s="21" t="n">
        <v>376.686</v>
      </c>
      <c r="T94" s="21" t="n">
        <v>328.629</v>
      </c>
      <c r="U94" s="21" t="n">
        <v>337.004</v>
      </c>
      <c r="V94" s="21" t="n">
        <v>381.641</v>
      </c>
      <c r="W94" s="21" t="n">
        <v>396.476</v>
      </c>
      <c r="X94" s="21" t="n">
        <v>333.244</v>
      </c>
      <c r="Y94" s="21" t="n">
        <v>319.486</v>
      </c>
      <c r="Z94" s="21" t="n">
        <v>320.97</v>
      </c>
      <c r="AA94" s="21" t="n">
        <v>322.857</v>
      </c>
      <c r="AB94" s="21" t="n">
        <v>387.441</v>
      </c>
      <c r="AC94" s="21" t="n">
        <v>335.547</v>
      </c>
      <c r="AD94" s="21" t="n">
        <v>310.394</v>
      </c>
      <c r="AE94" s="21" t="n">
        <v>256.874</v>
      </c>
      <c r="AF94" s="21" t="n">
        <v>323.766</v>
      </c>
      <c r="AG94" s="21" t="n">
        <v>273.648</v>
      </c>
      <c r="AH94" s="21" t="n">
        <v>208.163</v>
      </c>
      <c r="AI94" s="21" t="n">
        <v>389.122</v>
      </c>
      <c r="AJ94" s="21" t="n">
        <v>189.721</v>
      </c>
      <c r="AK94" s="21" t="n">
        <v>255.643</v>
      </c>
      <c r="AL94" s="21" t="n">
        <v>285.29</v>
      </c>
      <c r="AM94" s="21" t="n">
        <v>237.554</v>
      </c>
      <c r="AN94" s="21" t="n">
        <v>166.992</v>
      </c>
      <c r="AO94" s="21" t="n">
        <v>279.483</v>
      </c>
      <c r="AP94" s="21" t="n">
        <v>286.634</v>
      </c>
      <c r="AQ94" s="21" t="n">
        <v>181.456</v>
      </c>
      <c r="AR94" s="21" t="n"/>
      <c r="AS94" s="21" t="n"/>
      <c r="AT94" s="21" t="n">
        <v>308.372</v>
      </c>
      <c r="AU94" s="21" t="n">
        <v>199.087</v>
      </c>
      <c r="AV94" s="21" t="n">
        <v>318.151</v>
      </c>
      <c r="AW94" s="21" t="n">
        <v>302.083</v>
      </c>
      <c r="AX94" s="21" t="n">
        <v>197.642</v>
      </c>
      <c r="AY94" s="21" t="n">
        <v>359.5</v>
      </c>
      <c r="AZ94" s="21" t="n">
        <v>227.964</v>
      </c>
      <c r="BA94" s="21" t="n">
        <v>175.88</v>
      </c>
      <c r="BB94" s="21" t="n">
        <v>240.493</v>
      </c>
      <c r="BC94" s="21" t="n">
        <v>379.176</v>
      </c>
      <c r="BD94" s="21" t="n">
        <v>298.22</v>
      </c>
      <c r="BE94" s="21" t="n">
        <v>268.793</v>
      </c>
      <c r="BF94" s="21" t="n">
        <v>178.295</v>
      </c>
      <c r="BG94" s="21" t="n">
        <v>258.857</v>
      </c>
      <c r="BH94" s="21" t="n">
        <v>182.932</v>
      </c>
      <c r="BI94" s="21" t="n">
        <v>272.768</v>
      </c>
      <c r="BJ94" s="21" t="n">
        <v>264.259</v>
      </c>
      <c r="BK94" s="21" t="n">
        <v>185.903</v>
      </c>
      <c r="BL94" s="21" t="n">
        <v>348.173</v>
      </c>
      <c r="BM94" s="21" t="n">
        <v>396.205</v>
      </c>
      <c r="BN94" s="21" t="n">
        <v>407.691</v>
      </c>
      <c r="BO94" s="21" t="n">
        <v>372.75</v>
      </c>
      <c r="BP94" s="21" t="n">
        <v>207.853</v>
      </c>
      <c r="BQ94" s="21" t="n">
        <v>303.97</v>
      </c>
      <c r="BR94" s="21" t="n">
        <v>618.068</v>
      </c>
      <c r="BS94" s="21" t="n">
        <v>133.942</v>
      </c>
      <c r="BT94" s="21" t="n">
        <v>382.793</v>
      </c>
      <c r="BU94" s="21" t="n">
        <v>458.09</v>
      </c>
      <c r="BV94" s="21" t="n">
        <v>402.682</v>
      </c>
      <c r="BW94" s="21" t="n">
        <v>348.159</v>
      </c>
      <c r="BX94" s="21" t="n">
        <v>373.516</v>
      </c>
      <c r="BY94" s="21" t="n">
        <v>193.652</v>
      </c>
      <c r="BZ94" s="21" t="n">
        <v>208.55</v>
      </c>
      <c r="CA94" s="21" t="n">
        <v>196.799</v>
      </c>
      <c r="CB94" s="21" t="n">
        <v>224.059</v>
      </c>
      <c r="CC94" s="21" t="n">
        <v>175.564</v>
      </c>
      <c r="CD94" s="21" t="n">
        <v>240.327</v>
      </c>
      <c r="CE94" s="21" t="n">
        <v>181.602</v>
      </c>
      <c r="CF94" s="21" t="n">
        <v>218.963</v>
      </c>
      <c r="CG94" s="21" t="n">
        <v>208.332</v>
      </c>
      <c r="CH94" s="21" t="n">
        <v>164.44</v>
      </c>
      <c r="CI94" s="21" t="n">
        <v>213.733</v>
      </c>
      <c r="CJ94" s="21" t="n">
        <v>190.396</v>
      </c>
      <c r="CK94" s="21" t="n">
        <v>146.492</v>
      </c>
      <c r="CL94" s="21" t="n">
        <v>138.221</v>
      </c>
      <c r="CM94" s="21" t="n">
        <v>233.462</v>
      </c>
      <c r="CN94" s="21" t="n">
        <v>246.426</v>
      </c>
      <c r="CO94" s="21" t="n">
        <v>214.958</v>
      </c>
      <c r="CP94" s="21" t="n">
        <v>148.962</v>
      </c>
      <c r="CQ94" s="21" t="n">
        <v>260.58</v>
      </c>
      <c r="CR94" s="21" t="n">
        <v>268.639</v>
      </c>
      <c r="CS94" s="21" t="n">
        <v>245.28</v>
      </c>
      <c r="CT94" s="21" t="n">
        <v>179.917</v>
      </c>
      <c r="CU94" s="21" t="n">
        <v>188.787</v>
      </c>
      <c r="CV94" s="21" t="n">
        <v>300.642</v>
      </c>
      <c r="CW94" s="21" t="n">
        <v>281.283</v>
      </c>
      <c r="CX94" s="21" t="n">
        <v>313.811</v>
      </c>
      <c r="CY94" s="21" t="n">
        <v>467.556</v>
      </c>
      <c r="CZ94" s="21" t="n">
        <v>163.431</v>
      </c>
      <c r="DA94" s="21" t="n">
        <v>207.408</v>
      </c>
      <c r="DB94" s="21" t="n">
        <v>186.661</v>
      </c>
      <c r="DC94" s="21" t="n">
        <v>275.682</v>
      </c>
      <c r="DD94" s="21" t="n">
        <v>314.742</v>
      </c>
      <c r="DE94" s="21" t="n">
        <v>208.384</v>
      </c>
      <c r="DF94" s="21" t="n">
        <v>304.036</v>
      </c>
      <c r="DG94" s="21" t="n">
        <v>290.779</v>
      </c>
      <c r="DH94" s="21" t="n">
        <v>180.402</v>
      </c>
      <c r="DI94" s="21" t="n">
        <v>177.294</v>
      </c>
      <c r="DJ94" s="21" t="n">
        <v>171.534</v>
      </c>
      <c r="DK94" s="21" t="n">
        <v>319.614</v>
      </c>
      <c r="DL94" s="21" t="n">
        <v>202.011</v>
      </c>
      <c r="DM94" s="21" t="n">
        <v>162.747</v>
      </c>
      <c r="DN94" s="21" t="n">
        <v>153.464</v>
      </c>
      <c r="DO94" s="21" t="n">
        <v>337.369</v>
      </c>
      <c r="DP94" s="21" t="n">
        <v>209.211</v>
      </c>
      <c r="DQ94" s="21" t="n">
        <v>220.602</v>
      </c>
      <c r="DR94" s="21" t="n">
        <v>181.338</v>
      </c>
      <c r="DS94" s="21" t="n"/>
      <c r="DT94" s="21" t="n">
        <v>194.175</v>
      </c>
      <c r="DU94" s="21" t="n">
        <v>221.474</v>
      </c>
      <c r="DV94" s="21" t="n">
        <v>275.81</v>
      </c>
      <c r="DW94" s="21" t="n">
        <v>220.343</v>
      </c>
      <c r="DX94" s="21" t="n">
        <v>255.435</v>
      </c>
      <c r="DY94" s="21" t="n">
        <v>204.561</v>
      </c>
      <c r="DZ94" s="21" t="n">
        <v>216.505</v>
      </c>
      <c r="EA94" s="21" t="n">
        <v>201.341</v>
      </c>
      <c r="EB94" s="21" t="n">
        <v>179.815</v>
      </c>
      <c r="EC94" s="21" t="n">
        <v>398.404</v>
      </c>
      <c r="ED94" s="21" t="n">
        <v>195.915</v>
      </c>
      <c r="EE94" s="21" t="n">
        <v>215.945</v>
      </c>
      <c r="EF94" s="21" t="n">
        <v>217.825</v>
      </c>
      <c r="EG94" s="21" t="n">
        <v>306.521</v>
      </c>
      <c r="EH94" s="21" t="n">
        <v>359.704</v>
      </c>
      <c r="EI94" s="21" t="n">
        <v>376.569</v>
      </c>
      <c r="EJ94" s="21" t="n">
        <v>179.733</v>
      </c>
      <c r="EK94" s="21" t="n">
        <v>608.317</v>
      </c>
      <c r="EL94" s="21" t="n">
        <v>368.23</v>
      </c>
      <c r="EM94" s="21" t="n">
        <v>368.932</v>
      </c>
      <c r="EN94" s="21" t="n">
        <v>368.989</v>
      </c>
      <c r="EO94" s="21" t="n">
        <v>150.48</v>
      </c>
      <c r="EP94" s="21" t="n">
        <v>311.69</v>
      </c>
      <c r="EQ94" s="21" t="n">
        <v>267.114</v>
      </c>
      <c r="ER94" s="21" t="n">
        <v>426.919</v>
      </c>
      <c r="ES94" s="21" t="n">
        <v>454.177</v>
      </c>
      <c r="ET94" s="21" t="n">
        <v>447.283</v>
      </c>
      <c r="EU94" s="21" t="n">
        <v>269.667</v>
      </c>
      <c r="EV94" s="21" t="n">
        <v>265.487</v>
      </c>
      <c r="EW94" s="21" t="n">
        <v>275.894</v>
      </c>
      <c r="EX94" s="21" t="n">
        <v>276.759</v>
      </c>
      <c r="EY94" s="21" t="n">
        <v>636.951</v>
      </c>
      <c r="EZ94" s="21" t="n">
        <v>558.254</v>
      </c>
      <c r="FA94" s="21" t="n">
        <v>145.912</v>
      </c>
      <c r="FB94" s="21" t="n">
        <v>62.665</v>
      </c>
      <c r="FC94" s="21" t="n">
        <v>133.398</v>
      </c>
      <c r="FD94" s="21" t="n">
        <v>75.289</v>
      </c>
      <c r="FE94" s="21" t="n">
        <v>45.227</v>
      </c>
      <c r="FF94" s="21" t="n">
        <v>140.692</v>
      </c>
      <c r="FG94" s="21" t="n">
        <v>148.462</v>
      </c>
      <c r="FH94" s="21" t="n">
        <v>114.708</v>
      </c>
      <c r="FI94" s="21" t="n">
        <v>86.31999999999999</v>
      </c>
      <c r="FJ94" s="21" t="n"/>
      <c r="FK94" s="21" t="n">
        <v>88.173</v>
      </c>
      <c r="FL94" s="21" t="n">
        <v>100.117</v>
      </c>
      <c r="FM94" s="21" t="n">
        <v>125.783</v>
      </c>
      <c r="FN94" s="21" t="n">
        <v>74.408</v>
      </c>
      <c r="FO94" s="21" t="n">
        <v>55.886</v>
      </c>
      <c r="FP94" s="21" t="n">
        <v>41.209</v>
      </c>
      <c r="FQ94" s="21" t="n">
        <v>148.564</v>
      </c>
      <c r="FR94" s="21" t="n">
        <v>52.384</v>
      </c>
      <c r="FS94" s="21" t="n">
        <v>84.98099999999999</v>
      </c>
      <c r="FT94" s="21" t="n">
        <v>108.115</v>
      </c>
      <c r="FU94" s="21" t="n">
        <v>119.473</v>
      </c>
      <c r="FV94" s="21" t="n">
        <v>103.031</v>
      </c>
      <c r="FW94" s="21" t="n">
        <v>223.694</v>
      </c>
      <c r="FX94" s="21" t="n">
        <v>141.48</v>
      </c>
      <c r="FY94" s="21" t="n">
        <v>218.763</v>
      </c>
      <c r="FZ94" s="21" t="n">
        <v>135.212</v>
      </c>
      <c r="GA94" s="21" t="n"/>
      <c r="GB94" s="21" t="n"/>
      <c r="GC94" s="21" t="n"/>
      <c r="GD94" s="21" t="n">
        <v>204.655</v>
      </c>
      <c r="GE94" s="21" t="n"/>
      <c r="GF94" s="21" t="n">
        <v>130.143</v>
      </c>
      <c r="GG94" s="21" t="n">
        <v>123.185</v>
      </c>
      <c r="GH94" s="21" t="n">
        <v>126.288</v>
      </c>
      <c r="GI94" s="21" t="n">
        <v>106.184</v>
      </c>
      <c r="GJ94" s="21" t="n">
        <v>173.4</v>
      </c>
      <c r="GK94" s="21" t="n">
        <v>77.967</v>
      </c>
      <c r="GL94" s="21" t="n">
        <v>126.066</v>
      </c>
      <c r="GM94" s="21" t="n">
        <v>110.107</v>
      </c>
      <c r="GN94" s="21" t="n">
        <v>110.048</v>
      </c>
      <c r="GO94" s="21" t="n">
        <v>110.534</v>
      </c>
      <c r="GP94" s="21" t="n">
        <v>105.496</v>
      </c>
      <c r="GQ94" s="21" t="n">
        <v>111.759</v>
      </c>
      <c r="GR94" s="21" t="n">
        <v>76.093</v>
      </c>
      <c r="GS94" s="21" t="n">
        <v>108.798</v>
      </c>
      <c r="GT94" s="21" t="n">
        <v>107.313</v>
      </c>
      <c r="GU94" s="21" t="n">
        <v>146.62</v>
      </c>
      <c r="GV94" s="21" t="n">
        <v>150.969</v>
      </c>
      <c r="GW94" s="21" t="n">
        <v>167.388</v>
      </c>
      <c r="GX94" s="21" t="n">
        <v>133.033</v>
      </c>
      <c r="GY94" s="21" t="n">
        <v>124.922</v>
      </c>
      <c r="GZ94" s="21" t="n">
        <v>196.489</v>
      </c>
      <c r="HA94" s="21" t="n">
        <v>151.537</v>
      </c>
      <c r="HB94" s="21" t="n">
        <v>196.293</v>
      </c>
      <c r="HC94" s="21" t="n">
        <v>266.109</v>
      </c>
      <c r="HD94" s="21" t="n">
        <v>264.941</v>
      </c>
      <c r="HE94" s="21" t="n">
        <v>129.572</v>
      </c>
      <c r="HF94" s="21" t="n">
        <v>175.312</v>
      </c>
      <c r="HG94" s="21" t="n"/>
      <c r="HH94" s="21" t="n">
        <v>172.096</v>
      </c>
      <c r="HI94" s="21" t="n">
        <v>186.586</v>
      </c>
      <c r="HJ94" s="21" t="n"/>
      <c r="HK94" s="21" t="n">
        <v>203.867</v>
      </c>
      <c r="HL94" s="21" t="n">
        <v>111.488</v>
      </c>
      <c r="HM94" s="21" t="n">
        <v>189.605</v>
      </c>
      <c r="HN94" s="21" t="n">
        <v>331.772</v>
      </c>
      <c r="HO94" s="21" t="n">
        <v>328.918</v>
      </c>
      <c r="HP94" s="21" t="n">
        <v>322.093</v>
      </c>
      <c r="HQ94" s="21" t="n">
        <v>355.21</v>
      </c>
      <c r="HR94" s="21" t="n">
        <v>349.508</v>
      </c>
      <c r="HS94" s="21" t="n">
        <v>367.379</v>
      </c>
      <c r="HT94" s="21" t="n">
        <v>179.653</v>
      </c>
      <c r="HU94" s="21" t="n">
        <v>152.898</v>
      </c>
      <c r="HV94" s="21" t="n">
        <v>216.18</v>
      </c>
      <c r="HW94" s="21" t="n">
        <v>198.971</v>
      </c>
      <c r="HX94" s="21" t="n">
        <v>485.805</v>
      </c>
      <c r="HY94" s="21" t="n">
        <v>356.076</v>
      </c>
      <c r="HZ94" s="21" t="n">
        <v>391.647</v>
      </c>
      <c r="IA94" s="21" t="n">
        <v>314.162</v>
      </c>
      <c r="IB94" s="21" t="n">
        <v>224.991</v>
      </c>
      <c r="IC94" s="21" t="n">
        <v>624.558</v>
      </c>
      <c r="ID94" s="21" t="n">
        <v>203.956</v>
      </c>
      <c r="IE94" s="21" t="n">
        <v>191.166</v>
      </c>
      <c r="IF94" s="21" t="n">
        <v>224.15</v>
      </c>
      <c r="IG94" s="21" t="n">
        <v>259.044</v>
      </c>
      <c r="IH94" s="21" t="n"/>
      <c r="II94" s="21" t="n">
        <v>278.88</v>
      </c>
      <c r="IJ94" s="21" t="n">
        <v>284.313</v>
      </c>
      <c r="IK94" s="21" t="n">
        <v>163.766</v>
      </c>
      <c r="IL94" s="21" t="n"/>
      <c r="IM94" s="21" t="n"/>
      <c r="IN94" s="21" t="n">
        <v>62.502</v>
      </c>
      <c r="IO94" s="21" t="n">
        <v>337.624</v>
      </c>
      <c r="IP94" s="21" t="n">
        <v>128.579</v>
      </c>
      <c r="IQ94" s="21" t="n">
        <v>556.323</v>
      </c>
      <c r="IR94" s="21" t="n">
        <v>390.677</v>
      </c>
      <c r="IS94" s="21" t="n">
        <v>127.817</v>
      </c>
      <c r="IT94" s="21" t="n">
        <v>535.8200000000001</v>
      </c>
      <c r="IU94" s="21" t="n">
        <v>101.262</v>
      </c>
      <c r="IV94" s="21" t="n">
        <v>103.225</v>
      </c>
      <c r="IW94" s="21" t="n">
        <v>609.852</v>
      </c>
      <c r="IX94" s="21" t="n">
        <v>416.501</v>
      </c>
      <c r="IY94" s="21" t="n">
        <v>414.767</v>
      </c>
      <c r="IZ94" s="21" t="n">
        <v>553.9450000000001</v>
      </c>
      <c r="JA94" s="21" t="n">
        <v>203.641</v>
      </c>
      <c r="JB94" s="21" t="n">
        <v>258.826</v>
      </c>
      <c r="JC94" s="21" t="n">
        <v>90.474</v>
      </c>
      <c r="JD94" s="21" t="n">
        <v>380.465</v>
      </c>
      <c r="JE94" s="21" t="n">
        <v>368.926</v>
      </c>
      <c r="JF94" s="21" t="n">
        <v>823.057</v>
      </c>
      <c r="JG94" s="21" t="n">
        <v>262.888</v>
      </c>
      <c r="JH94" s="21" t="n">
        <v>145.14</v>
      </c>
      <c r="JI94" s="21" t="n">
        <v>213.036</v>
      </c>
      <c r="JJ94" s="21" t="n">
        <v>131.581</v>
      </c>
      <c r="JK94" s="21" t="n">
        <v>112.307</v>
      </c>
      <c r="JL94" s="21" t="n">
        <v>122.547</v>
      </c>
      <c r="JM94" s="21" t="n">
        <v>539.325</v>
      </c>
      <c r="JN94" s="21" t="n">
        <v>118.677</v>
      </c>
      <c r="JO94" s="21" t="n">
        <v>70.59699999999999</v>
      </c>
      <c r="JP94" s="21" t="n">
        <v>36.2</v>
      </c>
      <c r="JQ94" s="21" t="n">
        <v>147.73</v>
      </c>
      <c r="JR94" s="21" t="n">
        <v>25.461</v>
      </c>
      <c r="JS94" s="21" t="n">
        <v>78.895</v>
      </c>
      <c r="JT94" s="21" t="n">
        <v>206.572</v>
      </c>
      <c r="JU94" s="21" t="n">
        <v>229.425</v>
      </c>
      <c r="JV94" s="21" t="n">
        <v>178.728</v>
      </c>
      <c r="JW94" s="21" t="n">
        <v>128.077</v>
      </c>
      <c r="JX94" s="21" t="n">
        <v>305.029</v>
      </c>
      <c r="JY94" s="21" t="n">
        <v>225.198</v>
      </c>
      <c r="JZ94" s="21" t="n">
        <v>322.463</v>
      </c>
      <c r="KA94" s="21" t="n">
        <v>126.612</v>
      </c>
      <c r="KB94" s="21" t="n">
        <v>172.641</v>
      </c>
      <c r="KC94" s="21" t="n">
        <v>87.917</v>
      </c>
      <c r="KD94" s="21" t="n">
        <v>82.691</v>
      </c>
      <c r="KE94" s="21" t="n">
        <v>63.308</v>
      </c>
      <c r="KF94" s="21" t="n"/>
      <c r="KG94" s="21" t="n">
        <v>26.468</v>
      </c>
      <c r="KH94" s="21" t="n">
        <v>131.163</v>
      </c>
      <c r="KI94" s="21" t="n"/>
      <c r="KJ94" s="21" t="n"/>
      <c r="KK94" s="21" t="n">
        <v>34.916</v>
      </c>
      <c r="KL94" s="21" t="n">
        <v>30.058</v>
      </c>
      <c r="KM94" s="21" t="n">
        <v>40.164</v>
      </c>
      <c r="KN94" s="21" t="n"/>
      <c r="KO94" s="21" t="n">
        <v>106.289</v>
      </c>
      <c r="KP94" s="21" t="n">
        <v>113.183</v>
      </c>
      <c r="KQ94" s="21" t="n">
        <v>183.26</v>
      </c>
      <c r="KR94" s="21" t="n">
        <v>152.253</v>
      </c>
      <c r="KS94" s="21" t="n">
        <v>406.891</v>
      </c>
      <c r="KT94" s="21" t="n">
        <v>206.917</v>
      </c>
      <c r="KU94" s="21" t="n">
        <v>207.678</v>
      </c>
      <c r="KV94" s="21" t="n">
        <v>360.351</v>
      </c>
      <c r="KW94" s="21" t="n">
        <v>289.659</v>
      </c>
      <c r="KX94" s="21" t="n">
        <v>224.833</v>
      </c>
      <c r="KY94" s="21" t="n">
        <v>100.043</v>
      </c>
      <c r="KZ94" s="21" t="n">
        <v>144.089</v>
      </c>
      <c r="LA94" s="21" t="n">
        <v>286.151</v>
      </c>
      <c r="LB94" s="21" t="n">
        <v>716.259</v>
      </c>
      <c r="LC94" s="21" t="n">
        <v>247.752</v>
      </c>
      <c r="LD94" s="21" t="n">
        <v>822.056</v>
      </c>
      <c r="LE94" s="21" t="n">
        <v>914.023</v>
      </c>
      <c r="LF94" s="21" t="n">
        <v>91.101</v>
      </c>
      <c r="LG94" s="21" t="n">
        <v>337.74</v>
      </c>
      <c r="LH94" s="21" t="n">
        <v>267.782</v>
      </c>
      <c r="LI94" s="21" t="n">
        <v>74.895</v>
      </c>
      <c r="LJ94" s="21" t="n">
        <v>218.676</v>
      </c>
      <c r="LK94" s="21" t="n">
        <v>339.34</v>
      </c>
      <c r="LL94" s="21" t="n">
        <v>397.677</v>
      </c>
      <c r="LM94" s="21" t="n">
        <v>70.619</v>
      </c>
      <c r="LN94" s="21" t="n">
        <v>94.38500000000001</v>
      </c>
      <c r="LO94" s="21" t="n">
        <v>47.653</v>
      </c>
      <c r="LP94" s="21" t="n">
        <v>142.877</v>
      </c>
      <c r="LQ94" s="21" t="n"/>
      <c r="LR94" s="21" t="n"/>
      <c r="LS94" s="21" t="n">
        <v>106.566</v>
      </c>
      <c r="LT94" s="21" t="n">
        <v>39.175</v>
      </c>
      <c r="LU94" s="21" t="n">
        <v>26.218</v>
      </c>
      <c r="LV94" s="21" t="n">
        <v>80.123</v>
      </c>
      <c r="LW94" s="21" t="n">
        <v>129.497</v>
      </c>
      <c r="LX94" s="21" t="n">
        <v>58.056</v>
      </c>
      <c r="LY94" s="21" t="n">
        <v>512.5650000000001</v>
      </c>
      <c r="LZ94" s="21" t="n">
        <v>86.226</v>
      </c>
      <c r="MA94" s="21" t="n">
        <v>564.504</v>
      </c>
      <c r="MB94" s="21" t="n">
        <v>321.422</v>
      </c>
      <c r="MC94" s="21" t="n">
        <v>260.886</v>
      </c>
      <c r="MD94" s="21" t="n">
        <v>170.217</v>
      </c>
      <c r="ME94" s="21" t="n">
        <v>112.42</v>
      </c>
      <c r="MF94" s="21" t="n">
        <v>186.805</v>
      </c>
      <c r="MG94" s="21" t="n">
        <v>316.133</v>
      </c>
      <c r="MH94" s="21" t="n">
        <v>192.893</v>
      </c>
      <c r="MI94" s="21" t="n">
        <v>499.652</v>
      </c>
      <c r="MJ94" s="21" t="n">
        <v>405.729</v>
      </c>
      <c r="MK94" s="21" t="n">
        <v>359.84</v>
      </c>
      <c r="ML94" s="21" t="n">
        <v>205.279</v>
      </c>
      <c r="MM94" s="21" t="n">
        <v>241.029</v>
      </c>
      <c r="MN94" s="21" t="n">
        <v>396.44</v>
      </c>
      <c r="MO94" s="21" t="n">
        <v>175.541</v>
      </c>
      <c r="MP94" s="21" t="n">
        <v>296.555</v>
      </c>
      <c r="MQ94" s="21" t="n">
        <v>84.518</v>
      </c>
      <c r="MR94" s="21" t="n">
        <v>177.77</v>
      </c>
      <c r="MS94" s="21" t="n"/>
      <c r="MT94" s="21" t="n">
        <v>284.324</v>
      </c>
      <c r="MU94" s="21" t="n">
        <v>299.749</v>
      </c>
      <c r="MV94" s="21" t="n">
        <v>294.286</v>
      </c>
      <c r="MW94" s="21" t="n">
        <v>298.442</v>
      </c>
      <c r="MX94" s="21" t="n">
        <v>275.381</v>
      </c>
      <c r="MY94" s="21" t="n">
        <v>265.891</v>
      </c>
      <c r="MZ94" s="21" t="n">
        <v>264.37</v>
      </c>
      <c r="NA94" s="21" t="n">
        <v>266.55</v>
      </c>
      <c r="NB94" s="21" t="n">
        <v>121.592</v>
      </c>
      <c r="NC94" s="21" t="n">
        <v>222.678</v>
      </c>
      <c r="ND94" s="21" t="n">
        <v>183.048</v>
      </c>
      <c r="NE94" s="21" t="n">
        <v>179.658</v>
      </c>
      <c r="NF94" s="21" t="n">
        <v>167.104</v>
      </c>
      <c r="NG94" s="21" t="n">
        <v>162.325</v>
      </c>
      <c r="NH94" s="21" t="n">
        <v>307.297</v>
      </c>
      <c r="NI94" s="21" t="n">
        <v>128.688</v>
      </c>
      <c r="NJ94" s="21" t="n">
        <v>63.532</v>
      </c>
      <c r="NK94" s="21" t="n">
        <v>118.126</v>
      </c>
      <c r="NL94" s="21" t="n">
        <v>297.343</v>
      </c>
      <c r="NM94" s="21" t="n">
        <v>338.768</v>
      </c>
      <c r="NN94" s="21" t="n">
        <v>106.807</v>
      </c>
      <c r="NO94" s="21" t="n">
        <v>44.339</v>
      </c>
      <c r="NP94" s="21" t="n">
        <v>270.648</v>
      </c>
      <c r="NQ94" s="21" t="n">
        <v>234.93</v>
      </c>
      <c r="NR94" s="21" t="n">
        <v>297.267</v>
      </c>
      <c r="NS94" s="21" t="n">
        <v>232.407</v>
      </c>
      <c r="NT94" s="21" t="n">
        <v>301.11</v>
      </c>
      <c r="NU94" s="21" t="n">
        <v>129.965</v>
      </c>
      <c r="NV94" s="21" t="n">
        <v>141.665</v>
      </c>
      <c r="NW94" s="21" t="n">
        <v>389.919</v>
      </c>
      <c r="NX94" s="21" t="n">
        <v>85.114</v>
      </c>
      <c r="NY94" s="21" t="n">
        <v>137.24</v>
      </c>
      <c r="NZ94" s="21" t="n">
        <v>375.583</v>
      </c>
      <c r="OA94" s="21" t="n">
        <v>369.22</v>
      </c>
      <c r="OB94" s="21" t="n">
        <v>379.634</v>
      </c>
      <c r="OC94" s="21" t="n">
        <v>350.978</v>
      </c>
      <c r="OD94" s="21" t="n">
        <v>390.555</v>
      </c>
      <c r="OE94" s="21" t="n">
        <v>135.702</v>
      </c>
      <c r="OF94" s="21" t="n">
        <v>368.643</v>
      </c>
      <c r="OG94" s="21" t="n">
        <v>255.82</v>
      </c>
      <c r="OH94" s="21" t="n">
        <v>34.787</v>
      </c>
      <c r="OI94" s="21" t="n">
        <v>142.293</v>
      </c>
      <c r="OJ94" s="21" t="n">
        <v>33.7</v>
      </c>
      <c r="OK94" s="21" t="n">
        <v>11.2</v>
      </c>
    </row>
    <row r="95">
      <c r="A95" s="22" t="n">
        <v>44835</v>
      </c>
      <c r="B95" s="21" t="n">
        <v>298.012</v>
      </c>
      <c r="C95" s="21" t="n">
        <v>892.711</v>
      </c>
      <c r="D95" s="21" t="n">
        <v>312.86</v>
      </c>
      <c r="E95" s="21" t="n">
        <v>315.323</v>
      </c>
      <c r="F95" s="21" t="n">
        <v>298.401</v>
      </c>
      <c r="G95" s="21" t="n">
        <v>341.492</v>
      </c>
      <c r="H95" s="21" t="n">
        <v>279.715</v>
      </c>
      <c r="I95" s="21" t="n">
        <v>311.388</v>
      </c>
      <c r="J95" s="21" t="n">
        <v>268.971</v>
      </c>
      <c r="K95" s="21" t="n">
        <v>286.942</v>
      </c>
      <c r="L95" s="21" t="n">
        <v>191.476</v>
      </c>
      <c r="M95" s="21" t="n">
        <v>377.255</v>
      </c>
      <c r="N95" s="21" t="n">
        <v>227.319</v>
      </c>
      <c r="O95" s="21" t="n">
        <v>412.327</v>
      </c>
      <c r="P95" s="21" t="n">
        <v>442.158</v>
      </c>
      <c r="Q95" s="21" t="n">
        <v>221.689</v>
      </c>
      <c r="R95" s="21" t="n">
        <v>354.609</v>
      </c>
      <c r="S95" s="21" t="n">
        <v>373.696</v>
      </c>
      <c r="T95" s="21" t="n">
        <v>329.73</v>
      </c>
      <c r="U95" s="21" t="n">
        <v>339.755</v>
      </c>
      <c r="V95" s="21" t="n">
        <v>374.211</v>
      </c>
      <c r="W95" s="21" t="n">
        <v>401.701</v>
      </c>
      <c r="X95" s="21" t="n">
        <v>340.474</v>
      </c>
      <c r="Y95" s="21" t="n">
        <v>321.271</v>
      </c>
      <c r="Z95" s="21" t="n">
        <v>320.499</v>
      </c>
      <c r="AA95" s="21" t="n">
        <v>323.412</v>
      </c>
      <c r="AB95" s="21" t="n">
        <v>384.408</v>
      </c>
      <c r="AC95" s="21" t="n">
        <v>333.945</v>
      </c>
      <c r="AD95" s="21" t="n">
        <v>303.39</v>
      </c>
      <c r="AE95" s="21" t="n">
        <v>256.237</v>
      </c>
      <c r="AF95" s="21" t="n">
        <v>318.013</v>
      </c>
      <c r="AG95" s="21" t="n">
        <v>272.643</v>
      </c>
      <c r="AH95" s="21" t="n">
        <v>207.547</v>
      </c>
      <c r="AI95" s="21" t="n">
        <v>390.887</v>
      </c>
      <c r="AJ95" s="21" t="n">
        <v>186.637</v>
      </c>
      <c r="AK95" s="21" t="n">
        <v>257.469</v>
      </c>
      <c r="AL95" s="21" t="n">
        <v>287.685</v>
      </c>
      <c r="AM95" s="21" t="n">
        <v>238.072</v>
      </c>
      <c r="AN95" s="21" t="n">
        <v>164.107</v>
      </c>
      <c r="AO95" s="21" t="n">
        <v>287.753</v>
      </c>
      <c r="AP95" s="21" t="n">
        <v>290.731</v>
      </c>
      <c r="AQ95" s="21" t="n">
        <v>187.696</v>
      </c>
      <c r="AR95" s="21" t="n"/>
      <c r="AS95" s="21" t="n"/>
      <c r="AT95" s="21" t="n">
        <v>305.016</v>
      </c>
      <c r="AU95" s="21" t="n">
        <v>196.431</v>
      </c>
      <c r="AV95" s="21" t="n">
        <v>315.747</v>
      </c>
      <c r="AW95" s="21" t="n">
        <v>297.158</v>
      </c>
      <c r="AX95" s="21" t="n">
        <v>197.577</v>
      </c>
      <c r="AY95" s="21" t="n">
        <v>358.913</v>
      </c>
      <c r="AZ95" s="21" t="n">
        <v>229.389</v>
      </c>
      <c r="BA95" s="21" t="n">
        <v>174.167</v>
      </c>
      <c r="BB95" s="21" t="n">
        <v>237.986</v>
      </c>
      <c r="BC95" s="21" t="n">
        <v>373.735</v>
      </c>
      <c r="BD95" s="21" t="n">
        <v>328.423</v>
      </c>
      <c r="BE95" s="21" t="n">
        <v>269.355</v>
      </c>
      <c r="BF95" s="21" t="n">
        <v>178.172</v>
      </c>
      <c r="BG95" s="21" t="n">
        <v>257.461</v>
      </c>
      <c r="BH95" s="21" t="n">
        <v>183.356</v>
      </c>
      <c r="BI95" s="21" t="n">
        <v>271.448</v>
      </c>
      <c r="BJ95" s="21" t="n">
        <v>268.785</v>
      </c>
      <c r="BK95" s="21" t="n">
        <v>186.804</v>
      </c>
      <c r="BL95" s="21" t="n">
        <v>348.021</v>
      </c>
      <c r="BM95" s="21" t="n">
        <v>395.247</v>
      </c>
      <c r="BN95" s="21" t="n">
        <v>404.194</v>
      </c>
      <c r="BO95" s="21" t="n">
        <v>360.647</v>
      </c>
      <c r="BP95" s="21" t="n">
        <v>205.588</v>
      </c>
      <c r="BQ95" s="21" t="n">
        <v>298.639</v>
      </c>
      <c r="BR95" s="21" t="n">
        <v>601.939</v>
      </c>
      <c r="BS95" s="21" t="n">
        <v>134.666</v>
      </c>
      <c r="BT95" s="21" t="n">
        <v>384.547</v>
      </c>
      <c r="BU95" s="21" t="n">
        <v>445.082</v>
      </c>
      <c r="BV95" s="21" t="n">
        <v>416.065</v>
      </c>
      <c r="BW95" s="21" t="n">
        <v>357.037</v>
      </c>
      <c r="BX95" s="21" t="n">
        <v>374.575</v>
      </c>
      <c r="BY95" s="21" t="n">
        <v>194.766</v>
      </c>
      <c r="BZ95" s="21" t="n">
        <v>210.491</v>
      </c>
      <c r="CA95" s="21" t="n">
        <v>199.731</v>
      </c>
      <c r="CB95" s="21" t="n">
        <v>225.222</v>
      </c>
      <c r="CC95" s="21" t="n">
        <v>176.616</v>
      </c>
      <c r="CD95" s="21" t="n">
        <v>243.07</v>
      </c>
      <c r="CE95" s="21" t="n">
        <v>180.795</v>
      </c>
      <c r="CF95" s="21" t="n">
        <v>220.821</v>
      </c>
      <c r="CG95" s="21" t="n">
        <v>210.121</v>
      </c>
      <c r="CH95" s="21" t="n">
        <v>166.046</v>
      </c>
      <c r="CI95" s="21" t="n">
        <v>217.011</v>
      </c>
      <c r="CJ95" s="21" t="n">
        <v>192.871</v>
      </c>
      <c r="CK95" s="21" t="n">
        <v>147.312</v>
      </c>
      <c r="CL95" s="21" t="n">
        <v>139.015</v>
      </c>
      <c r="CM95" s="21" t="n">
        <v>235.623</v>
      </c>
      <c r="CN95" s="21" t="n">
        <v>249.54</v>
      </c>
      <c r="CO95" s="21" t="n">
        <v>214.227</v>
      </c>
      <c r="CP95" s="21" t="n">
        <v>148.856</v>
      </c>
      <c r="CQ95" s="21" t="n">
        <v>262.814</v>
      </c>
      <c r="CR95" s="21" t="n">
        <v>270.465</v>
      </c>
      <c r="CS95" s="21" t="n">
        <v>245.175</v>
      </c>
      <c r="CT95" s="21" t="n">
        <v>181.485</v>
      </c>
      <c r="CU95" s="21" t="n">
        <v>189.955</v>
      </c>
      <c r="CV95" s="21" t="n">
        <v>305.834</v>
      </c>
      <c r="CW95" s="21" t="n">
        <v>285.98</v>
      </c>
      <c r="CX95" s="21" t="n">
        <v>319.634</v>
      </c>
      <c r="CY95" s="21" t="n">
        <v>473.742</v>
      </c>
      <c r="CZ95" s="21" t="n">
        <v>169.318</v>
      </c>
      <c r="DA95" s="21" t="n">
        <v>209.137</v>
      </c>
      <c r="DB95" s="21" t="n">
        <v>187.943</v>
      </c>
      <c r="DC95" s="21" t="n">
        <v>277.766</v>
      </c>
      <c r="DD95" s="21" t="n">
        <v>306.115</v>
      </c>
      <c r="DE95" s="21" t="n">
        <v>210.619</v>
      </c>
      <c r="DF95" s="21" t="n">
        <v>308.003</v>
      </c>
      <c r="DG95" s="21" t="n">
        <v>292.166</v>
      </c>
      <c r="DH95" s="21" t="n">
        <v>180.849</v>
      </c>
      <c r="DI95" s="21" t="n">
        <v>180.416</v>
      </c>
      <c r="DJ95" s="21" t="n">
        <v>171.422</v>
      </c>
      <c r="DK95" s="21" t="n">
        <v>319.663</v>
      </c>
      <c r="DL95" s="21" t="n">
        <v>205.666</v>
      </c>
      <c r="DM95" s="21" t="n">
        <v>164.327</v>
      </c>
      <c r="DN95" s="21" t="n">
        <v>153.08</v>
      </c>
      <c r="DO95" s="21" t="n">
        <v>340.532</v>
      </c>
      <c r="DP95" s="21" t="n">
        <v>211.417</v>
      </c>
      <c r="DQ95" s="21" t="n">
        <v>222.257</v>
      </c>
      <c r="DR95" s="21" t="n">
        <v>188.144</v>
      </c>
      <c r="DS95" s="21" t="n"/>
      <c r="DT95" s="21" t="n">
        <v>201.382</v>
      </c>
      <c r="DU95" s="21" t="n">
        <v>222.016</v>
      </c>
      <c r="DV95" s="21" t="n">
        <v>278.009</v>
      </c>
      <c r="DW95" s="21" t="n">
        <v>221.624</v>
      </c>
      <c r="DX95" s="21" t="n">
        <v>257.914</v>
      </c>
      <c r="DY95" s="21" t="n">
        <v>205.523</v>
      </c>
      <c r="DZ95" s="21" t="n">
        <v>216.799</v>
      </c>
      <c r="EA95" s="21" t="n">
        <v>202.32</v>
      </c>
      <c r="EB95" s="21" t="n">
        <v>180.335</v>
      </c>
      <c r="EC95" s="21" t="n">
        <v>403.29</v>
      </c>
      <c r="ED95" s="21" t="n">
        <v>197.228</v>
      </c>
      <c r="EE95" s="21" t="n">
        <v>218.537</v>
      </c>
      <c r="EF95" s="21" t="n">
        <v>220.141</v>
      </c>
      <c r="EG95" s="21" t="n">
        <v>307.816</v>
      </c>
      <c r="EH95" s="21" t="n">
        <v>362.093</v>
      </c>
      <c r="EI95" s="21" t="n">
        <v>379.436</v>
      </c>
      <c r="EJ95" s="21" t="n">
        <v>178.981</v>
      </c>
      <c r="EK95" s="21" t="n">
        <v>608.924</v>
      </c>
      <c r="EL95" s="21" t="n">
        <v>366.396</v>
      </c>
      <c r="EM95" s="21" t="n">
        <v>371.45</v>
      </c>
      <c r="EN95" s="21" t="n">
        <v>371.51</v>
      </c>
      <c r="EO95" s="21" t="n">
        <v>150.871</v>
      </c>
      <c r="EP95" s="21" t="n">
        <v>308.978</v>
      </c>
      <c r="EQ95" s="21" t="n">
        <v>264.11</v>
      </c>
      <c r="ER95" s="21" t="n">
        <v>486.195</v>
      </c>
      <c r="ES95" s="21" t="n">
        <v>543.915</v>
      </c>
      <c r="ET95" s="21" t="n">
        <v>454.641</v>
      </c>
      <c r="EU95" s="21" t="n">
        <v>264.188</v>
      </c>
      <c r="EV95" s="21" t="n">
        <v>262.1</v>
      </c>
      <c r="EW95" s="21" t="n">
        <v>264.774</v>
      </c>
      <c r="EX95" s="21" t="n">
        <v>276.892</v>
      </c>
      <c r="EY95" s="21" t="n">
        <v>636.111</v>
      </c>
      <c r="EZ95" s="21" t="n">
        <v>561.09</v>
      </c>
      <c r="FA95" s="21" t="n">
        <v>146.101</v>
      </c>
      <c r="FB95" s="21" t="n">
        <v>63.005</v>
      </c>
      <c r="FC95" s="21" t="n">
        <v>131.581</v>
      </c>
      <c r="FD95" s="21" t="n">
        <v>74.417</v>
      </c>
      <c r="FE95" s="21" t="n">
        <v>46.09</v>
      </c>
      <c r="FF95" s="21" t="n">
        <v>138.939</v>
      </c>
      <c r="FG95" s="21" t="n">
        <v>147.07</v>
      </c>
      <c r="FH95" s="21" t="n">
        <v>112.567</v>
      </c>
      <c r="FI95" s="21" t="n">
        <v>86.229</v>
      </c>
      <c r="FJ95" s="21" t="n"/>
      <c r="FK95" s="21" t="n">
        <v>87.336</v>
      </c>
      <c r="FL95" s="21" t="n">
        <v>99.31999999999999</v>
      </c>
      <c r="FM95" s="21" t="n">
        <v>115.91</v>
      </c>
      <c r="FN95" s="21" t="n">
        <v>73.646</v>
      </c>
      <c r="FO95" s="21" t="n">
        <v>55.848</v>
      </c>
      <c r="FP95" s="21" t="n">
        <v>41.37</v>
      </c>
      <c r="FQ95" s="21" t="n">
        <v>150.125</v>
      </c>
      <c r="FR95" s="21" t="n">
        <v>50.423</v>
      </c>
      <c r="FS95" s="21" t="n">
        <v>84.113</v>
      </c>
      <c r="FT95" s="21" t="n">
        <v>109.181</v>
      </c>
      <c r="FU95" s="21" t="n">
        <v>121.114</v>
      </c>
      <c r="FV95" s="21" t="n">
        <v>103.678</v>
      </c>
      <c r="FW95" s="21" t="n">
        <v>225.236</v>
      </c>
      <c r="FX95" s="21" t="n">
        <v>142.866</v>
      </c>
      <c r="FY95" s="21" t="n">
        <v>219.705</v>
      </c>
      <c r="FZ95" s="21" t="n">
        <v>135.996</v>
      </c>
      <c r="GA95" s="21" t="n">
        <v>230.437</v>
      </c>
      <c r="GB95" s="21" t="n">
        <v>208.102</v>
      </c>
      <c r="GC95" s="21" t="n"/>
      <c r="GD95" s="21" t="n">
        <v>204.838</v>
      </c>
      <c r="GE95" s="21" t="n">
        <v>310.581</v>
      </c>
      <c r="GF95" s="21" t="n">
        <v>129.414</v>
      </c>
      <c r="GG95" s="21" t="n">
        <v>122.642</v>
      </c>
      <c r="GH95" s="21" t="n">
        <v>125.535</v>
      </c>
      <c r="GI95" s="21" t="n">
        <v>104.791</v>
      </c>
      <c r="GJ95" s="21" t="n">
        <v>174.051</v>
      </c>
      <c r="GK95" s="21" t="n">
        <v>76.26300000000001</v>
      </c>
      <c r="GL95" s="21" t="n">
        <v>126.251</v>
      </c>
      <c r="GM95" s="21" t="n">
        <v>110.204</v>
      </c>
      <c r="GN95" s="21" t="n">
        <v>110.561</v>
      </c>
      <c r="GO95" s="21" t="n">
        <v>111.66</v>
      </c>
      <c r="GP95" s="21" t="n">
        <v>103.72</v>
      </c>
      <c r="GQ95" s="21" t="n">
        <v>110.467</v>
      </c>
      <c r="GR95" s="21" t="n">
        <v>76.78</v>
      </c>
      <c r="GS95" s="21" t="n">
        <v>111.588</v>
      </c>
      <c r="GT95" s="21" t="n">
        <v>104.836</v>
      </c>
      <c r="GU95" s="21" t="n">
        <v>145.192</v>
      </c>
      <c r="GV95" s="21" t="n">
        <v>149.568</v>
      </c>
      <c r="GW95" s="21" t="n">
        <v>166.511</v>
      </c>
      <c r="GX95" s="21" t="n">
        <v>131.451</v>
      </c>
      <c r="GY95" s="21" t="n">
        <v>121.059</v>
      </c>
      <c r="GZ95" s="21" t="n">
        <v>188.858</v>
      </c>
      <c r="HA95" s="21" t="n">
        <v>151.421</v>
      </c>
      <c r="HB95" s="21" t="n">
        <v>187.045</v>
      </c>
      <c r="HC95" s="21" t="n">
        <v>267.979</v>
      </c>
      <c r="HD95" s="21" t="n">
        <v>266.595</v>
      </c>
      <c r="HE95" s="21" t="n">
        <v>128.523</v>
      </c>
      <c r="HF95" s="21" t="n">
        <v>176.157</v>
      </c>
      <c r="HG95" s="21" t="n"/>
      <c r="HH95" s="21" t="n">
        <v>172.648</v>
      </c>
      <c r="HI95" s="21" t="n">
        <v>187.613</v>
      </c>
      <c r="HJ95" s="21" t="n"/>
      <c r="HK95" s="21" t="n">
        <v>199.176</v>
      </c>
      <c r="HL95" s="21" t="n">
        <v>110.885</v>
      </c>
      <c r="HM95" s="21" t="n">
        <v>191.128</v>
      </c>
      <c r="HN95" s="21" t="n">
        <v>341.954</v>
      </c>
      <c r="HO95" s="21" t="n">
        <v>339.017</v>
      </c>
      <c r="HP95" s="21" t="n">
        <v>331.828</v>
      </c>
      <c r="HQ95" s="21" t="n">
        <v>363.671</v>
      </c>
      <c r="HR95" s="21" t="n">
        <v>361.803</v>
      </c>
      <c r="HS95" s="21" t="n">
        <v>378.429</v>
      </c>
      <c r="HT95" s="21" t="n">
        <v>180.275</v>
      </c>
      <c r="HU95" s="21" t="n">
        <v>152.737</v>
      </c>
      <c r="HV95" s="21" t="n">
        <v>218.582</v>
      </c>
      <c r="HW95" s="21" t="n">
        <v>199.755</v>
      </c>
      <c r="HX95" s="21" t="n">
        <v>507.198</v>
      </c>
      <c r="HY95" s="21" t="n">
        <v>358.597</v>
      </c>
      <c r="HZ95" s="21" t="n">
        <v>397.088</v>
      </c>
      <c r="IA95" s="21" t="n">
        <v>317.855</v>
      </c>
      <c r="IB95" s="21" t="n">
        <v>224.735</v>
      </c>
      <c r="IC95" s="21" t="n">
        <v>637.103</v>
      </c>
      <c r="ID95" s="21" t="n">
        <v>203.288</v>
      </c>
      <c r="IE95" s="21" t="n">
        <v>191.166</v>
      </c>
      <c r="IF95" s="21" t="n">
        <v>222.329</v>
      </c>
      <c r="IG95" s="21" t="n">
        <v>256.419</v>
      </c>
      <c r="IH95" s="21" t="n"/>
      <c r="II95" s="21" t="n">
        <v>285.095</v>
      </c>
      <c r="IJ95" s="21" t="n">
        <v>294.34</v>
      </c>
      <c r="IK95" s="21" t="n">
        <v>164.65</v>
      </c>
      <c r="IL95" s="21" t="n"/>
      <c r="IM95" s="21" t="n"/>
      <c r="IN95" s="21" t="n">
        <v>62.359</v>
      </c>
      <c r="IO95" s="21" t="n">
        <v>333.883</v>
      </c>
      <c r="IP95" s="21" t="n">
        <v>128.595</v>
      </c>
      <c r="IQ95" s="21" t="n">
        <v>554.043</v>
      </c>
      <c r="IR95" s="21" t="n">
        <v>390.614</v>
      </c>
      <c r="IS95" s="21" t="n">
        <v>127.855</v>
      </c>
      <c r="IT95" s="21" t="n">
        <v>535.248</v>
      </c>
      <c r="IU95" s="21" t="n">
        <v>101.664</v>
      </c>
      <c r="IV95" s="21" t="n">
        <v>102.574</v>
      </c>
      <c r="IW95" s="21" t="n">
        <v>606.8390000000001</v>
      </c>
      <c r="IX95" s="21" t="n">
        <v>416.72</v>
      </c>
      <c r="IY95" s="21" t="n">
        <v>414.897</v>
      </c>
      <c r="IZ95" s="21" t="n">
        <v>554.436</v>
      </c>
      <c r="JA95" s="21" t="n">
        <v>203.796</v>
      </c>
      <c r="JB95" s="21" t="n">
        <v>258.94</v>
      </c>
      <c r="JC95" s="21" t="n">
        <v>90.509</v>
      </c>
      <c r="JD95" s="21" t="n"/>
      <c r="JE95" s="21" t="n"/>
      <c r="JF95" s="21" t="n"/>
      <c r="JG95" s="21" t="n">
        <v>262.594</v>
      </c>
      <c r="JH95" s="21" t="n">
        <v>145.826</v>
      </c>
      <c r="JI95" s="21" t="n">
        <v>204.489</v>
      </c>
      <c r="JJ95" s="21" t="n">
        <v>132.49</v>
      </c>
      <c r="JK95" s="21" t="n">
        <v>112.911</v>
      </c>
      <c r="JL95" s="21" t="n">
        <v>121.05</v>
      </c>
      <c r="JM95" s="21" t="n">
        <v>542.687</v>
      </c>
      <c r="JN95" s="21" t="n">
        <v>115.349</v>
      </c>
      <c r="JO95" s="21" t="n">
        <v>70.749</v>
      </c>
      <c r="JP95" s="21" t="n">
        <v>36.185</v>
      </c>
      <c r="JQ95" s="21" t="n">
        <v>148.049</v>
      </c>
      <c r="JR95" s="21" t="n">
        <v>26.208</v>
      </c>
      <c r="JS95" s="21" t="n">
        <v>80.47799999999999</v>
      </c>
      <c r="JT95" s="21" t="n">
        <v>208.107</v>
      </c>
      <c r="JU95" s="21" t="n">
        <v>232.387</v>
      </c>
      <c r="JV95" s="21" t="n">
        <v>180.587</v>
      </c>
      <c r="JW95" s="21" t="n">
        <v>129.827</v>
      </c>
      <c r="JX95" s="21" t="n">
        <v>305.481</v>
      </c>
      <c r="JY95" s="21" t="n">
        <v>226.879</v>
      </c>
      <c r="JZ95" s="21" t="n">
        <v>322.371</v>
      </c>
      <c r="KA95" s="21" t="n">
        <v>128.609</v>
      </c>
      <c r="KB95" s="21" t="n">
        <v>177.054</v>
      </c>
      <c r="KC95" s="21" t="n">
        <v>88.169</v>
      </c>
      <c r="KD95" s="21" t="n">
        <v>82.197</v>
      </c>
      <c r="KE95" s="21" t="n">
        <v>62.127</v>
      </c>
      <c r="KF95" s="21" t="n"/>
      <c r="KG95" s="21" t="n">
        <v>25.841</v>
      </c>
      <c r="KH95" s="21" t="n">
        <v>131.575</v>
      </c>
      <c r="KI95" s="21" t="n"/>
      <c r="KJ95" s="21" t="n"/>
      <c r="KK95" s="21" t="n">
        <v>34.626</v>
      </c>
      <c r="KL95" s="21" t="n">
        <v>29.764</v>
      </c>
      <c r="KM95" s="21" t="n">
        <v>40.06</v>
      </c>
      <c r="KN95" s="21" t="n"/>
      <c r="KO95" s="21" t="n">
        <v>104.593</v>
      </c>
      <c r="KP95" s="21" t="n">
        <v>113.899</v>
      </c>
      <c r="KQ95" s="21" t="n">
        <v>185.132</v>
      </c>
      <c r="KR95" s="21" t="n">
        <v>154.097</v>
      </c>
      <c r="KS95" s="21" t="n">
        <v>409.997</v>
      </c>
      <c r="KT95" s="21" t="n">
        <v>208.79</v>
      </c>
      <c r="KU95" s="21" t="n">
        <v>204.342</v>
      </c>
      <c r="KV95" s="21" t="n">
        <v>361.713</v>
      </c>
      <c r="KW95" s="21" t="n">
        <v>286.882</v>
      </c>
      <c r="KX95" s="21" t="n">
        <v>224.633</v>
      </c>
      <c r="KY95" s="21" t="n">
        <v>97.83199999999999</v>
      </c>
      <c r="KZ95" s="21" t="n">
        <v>143.988</v>
      </c>
      <c r="LA95" s="21" t="n">
        <v>286.449</v>
      </c>
      <c r="LB95" s="21" t="n">
        <v>717.775</v>
      </c>
      <c r="LC95" s="21" t="n">
        <v>247.875</v>
      </c>
      <c r="LD95" s="21" t="n">
        <v>822.8819999999999</v>
      </c>
      <c r="LE95" s="21" t="n">
        <v>915.107</v>
      </c>
      <c r="LF95" s="21" t="n">
        <v>91.069</v>
      </c>
      <c r="LG95" s="21" t="n">
        <v>338.18</v>
      </c>
      <c r="LH95" s="21" t="n">
        <v>268.254</v>
      </c>
      <c r="LI95" s="21" t="n">
        <v>74.745</v>
      </c>
      <c r="LJ95" s="21" t="n">
        <v>226.984</v>
      </c>
      <c r="LK95" s="21" t="n">
        <v>354.565</v>
      </c>
      <c r="LL95" s="21" t="n">
        <v>390.512</v>
      </c>
      <c r="LM95" s="21" t="n">
        <v>70.40900000000001</v>
      </c>
      <c r="LN95" s="21" t="n">
        <v>94.25</v>
      </c>
      <c r="LO95" s="21" t="n">
        <v>47.518</v>
      </c>
      <c r="LP95" s="21" t="n">
        <v>143.642</v>
      </c>
      <c r="LQ95" s="21" t="n"/>
      <c r="LR95" s="21" t="n"/>
      <c r="LS95" s="21" t="n">
        <v>106.061</v>
      </c>
      <c r="LT95" s="21" t="n">
        <v>39.076</v>
      </c>
      <c r="LU95" s="21" t="n">
        <v>25.669</v>
      </c>
      <c r="LV95" s="21" t="n">
        <v>80.501</v>
      </c>
      <c r="LW95" s="21" t="n">
        <v>125.119</v>
      </c>
      <c r="LX95" s="21" t="n">
        <v>54.654</v>
      </c>
      <c r="LY95" s="21" t="n">
        <v>514.958</v>
      </c>
      <c r="LZ95" s="21" t="n">
        <v>86.504</v>
      </c>
      <c r="MA95" s="21" t="n">
        <v>567.465</v>
      </c>
      <c r="MB95" s="21" t="n">
        <v>318.024</v>
      </c>
      <c r="MC95" s="21" t="n">
        <v>262.193</v>
      </c>
      <c r="MD95" s="21" t="n">
        <v>170.89</v>
      </c>
      <c r="ME95" s="21" t="n">
        <v>113.271</v>
      </c>
      <c r="MF95" s="21" t="n">
        <v>186.811</v>
      </c>
      <c r="MG95" s="21" t="n">
        <v>316.74</v>
      </c>
      <c r="MH95" s="21" t="n">
        <v>193.263</v>
      </c>
      <c r="MI95" s="21" t="n">
        <v>501.987</v>
      </c>
      <c r="MJ95" s="21" t="n">
        <v>405.325</v>
      </c>
      <c r="MK95" s="21" t="n">
        <v>365.903</v>
      </c>
      <c r="ML95" s="21" t="n">
        <v>206.952</v>
      </c>
      <c r="MM95" s="21" t="n">
        <v>244.324</v>
      </c>
      <c r="MN95" s="21" t="n">
        <v>395.961</v>
      </c>
      <c r="MO95" s="21" t="n">
        <v>174.705</v>
      </c>
      <c r="MP95" s="21" t="n">
        <v>296.541</v>
      </c>
      <c r="MQ95" s="21" t="n">
        <v>86.145</v>
      </c>
      <c r="MR95" s="21" t="n">
        <v>188.551</v>
      </c>
      <c r="MS95" s="21" t="n"/>
      <c r="MT95" s="21" t="n">
        <v>285.69</v>
      </c>
      <c r="MU95" s="21" t="n">
        <v>300.807</v>
      </c>
      <c r="MV95" s="21" t="n">
        <v>295.344</v>
      </c>
      <c r="MW95" s="21" t="n">
        <v>299.315</v>
      </c>
      <c r="MX95" s="21" t="n">
        <v>276.154</v>
      </c>
      <c r="MY95" s="21" t="n">
        <v>266.355</v>
      </c>
      <c r="MZ95" s="21" t="n">
        <v>264.442</v>
      </c>
      <c r="NA95" s="21" t="n">
        <v>267.191</v>
      </c>
      <c r="NB95" s="21" t="n">
        <v>121.07</v>
      </c>
      <c r="NC95" s="21" t="n">
        <v>223.747</v>
      </c>
      <c r="ND95" s="21" t="n">
        <v>183.714</v>
      </c>
      <c r="NE95" s="21" t="n">
        <v>180.284</v>
      </c>
      <c r="NF95" s="21" t="n">
        <v>166.601</v>
      </c>
      <c r="NG95" s="21" t="n">
        <v>162.553</v>
      </c>
      <c r="NH95" s="21" t="n">
        <v>308.998</v>
      </c>
      <c r="NI95" s="21" t="n">
        <v>127.903</v>
      </c>
      <c r="NJ95" s="21" t="n">
        <v>62.557</v>
      </c>
      <c r="NK95" s="21" t="n">
        <v>118.289</v>
      </c>
      <c r="NL95" s="21" t="n">
        <v>300.359</v>
      </c>
      <c r="NM95" s="21" t="n">
        <v>351.065</v>
      </c>
      <c r="NN95" s="21" t="n">
        <v>106.878</v>
      </c>
      <c r="NO95" s="21" t="n">
        <v>43.559</v>
      </c>
      <c r="NP95" s="21" t="n">
        <v>273.337</v>
      </c>
      <c r="NQ95" s="21" t="n">
        <v>238.004</v>
      </c>
      <c r="NR95" s="21" t="n">
        <v>302.476</v>
      </c>
      <c r="NS95" s="21" t="n">
        <v>235.534</v>
      </c>
      <c r="NT95" s="21" t="n">
        <v>306.647</v>
      </c>
      <c r="NU95" s="21" t="n">
        <v>130.713</v>
      </c>
      <c r="NV95" s="21" t="n">
        <v>142.173</v>
      </c>
      <c r="NW95" s="21" t="n">
        <v>391.29</v>
      </c>
      <c r="NX95" s="21" t="n">
        <v>85.673</v>
      </c>
      <c r="NY95" s="21" t="n">
        <v>138.216</v>
      </c>
      <c r="NZ95" s="21" t="n">
        <v>378.094</v>
      </c>
      <c r="OA95" s="21" t="n">
        <v>370.542</v>
      </c>
      <c r="OB95" s="21" t="n">
        <v>381.58</v>
      </c>
      <c r="OC95" s="21" t="n">
        <v>352.617</v>
      </c>
      <c r="OD95" s="21" t="n">
        <v>390.582</v>
      </c>
      <c r="OE95" s="21" t="n">
        <v>134.609</v>
      </c>
      <c r="OF95" s="21" t="n">
        <v>373.098</v>
      </c>
      <c r="OG95" s="21" t="n">
        <v>254.295</v>
      </c>
      <c r="OH95" s="21" t="n">
        <v>34.902</v>
      </c>
      <c r="OI95" s="21" t="n">
        <v>143.131</v>
      </c>
      <c r="OJ95" s="21" t="n">
        <v>33.6</v>
      </c>
      <c r="OK95" s="21" t="n">
        <v>11.2</v>
      </c>
    </row>
    <row r="96">
      <c r="A96" s="22" t="n">
        <v>44866</v>
      </c>
      <c r="B96" s="21" t="n">
        <v>297.711</v>
      </c>
      <c r="C96" s="21" t="n">
        <v>891.809</v>
      </c>
      <c r="D96" s="21" t="n">
        <v>313.467</v>
      </c>
      <c r="E96" s="21" t="n">
        <v>315.857</v>
      </c>
      <c r="F96" s="21" t="n">
        <v>298.284</v>
      </c>
      <c r="G96" s="21" t="n">
        <v>344.393</v>
      </c>
      <c r="H96" s="21" t="n">
        <v>281.043</v>
      </c>
      <c r="I96" s="21" t="n">
        <v>308.154</v>
      </c>
      <c r="J96" s="21" t="n">
        <v>270.004</v>
      </c>
      <c r="K96" s="21" t="n">
        <v>290.335</v>
      </c>
      <c r="L96" s="21" t="n">
        <v>193.072</v>
      </c>
      <c r="M96" s="21" t="n">
        <v>381.128</v>
      </c>
      <c r="N96" s="21" t="n">
        <v>231.939</v>
      </c>
      <c r="O96" s="21" t="n">
        <v>419.42</v>
      </c>
      <c r="P96" s="21" t="n">
        <v>452.114</v>
      </c>
      <c r="Q96" s="21" t="n">
        <v>226.792</v>
      </c>
      <c r="R96" s="21" t="n">
        <v>359.269</v>
      </c>
      <c r="S96" s="21" t="n">
        <v>379.389</v>
      </c>
      <c r="T96" s="21" t="n">
        <v>334.81</v>
      </c>
      <c r="U96" s="21" t="n">
        <v>337.544</v>
      </c>
      <c r="V96" s="21" t="n">
        <v>373.052</v>
      </c>
      <c r="W96" s="21" t="n">
        <v>396.591</v>
      </c>
      <c r="X96" s="21" t="n">
        <v>339.014</v>
      </c>
      <c r="Y96" s="21" t="n">
        <v>319.444</v>
      </c>
      <c r="Z96" s="21" t="n">
        <v>317.922</v>
      </c>
      <c r="AA96" s="21" t="n">
        <v>320.049</v>
      </c>
      <c r="AB96" s="21" t="n">
        <v>380.073</v>
      </c>
      <c r="AC96" s="21" t="n">
        <v>330.935</v>
      </c>
      <c r="AD96" s="21" t="n">
        <v>299.541</v>
      </c>
      <c r="AE96" s="21" t="n">
        <v>253.151</v>
      </c>
      <c r="AF96" s="21" t="n">
        <v>313.353</v>
      </c>
      <c r="AG96" s="21" t="n">
        <v>267.13</v>
      </c>
      <c r="AH96" s="21" t="n">
        <v>202.07</v>
      </c>
      <c r="AI96" s="21" t="n">
        <v>381.051</v>
      </c>
      <c r="AJ96" s="21" t="n">
        <v>181.49</v>
      </c>
      <c r="AK96" s="21" t="n">
        <v>249.744</v>
      </c>
      <c r="AL96" s="21" t="n">
        <v>279.344</v>
      </c>
      <c r="AM96" s="21" t="n">
        <v>240.781</v>
      </c>
      <c r="AN96" s="21" t="n">
        <v>160.889</v>
      </c>
      <c r="AO96" s="21" t="n">
        <v>289.338</v>
      </c>
      <c r="AP96" s="21" t="n">
        <v>292.876</v>
      </c>
      <c r="AQ96" s="21" t="n">
        <v>188.379</v>
      </c>
      <c r="AR96" s="21" t="n"/>
      <c r="AS96" s="21" t="n"/>
      <c r="AT96" s="21" t="n">
        <v>302.432</v>
      </c>
      <c r="AU96" s="21" t="n">
        <v>194.861</v>
      </c>
      <c r="AV96" s="21" t="n">
        <v>317.476</v>
      </c>
      <c r="AW96" s="21" t="n">
        <v>293.287</v>
      </c>
      <c r="AX96" s="21" t="n">
        <v>195.503</v>
      </c>
      <c r="AY96" s="21" t="n">
        <v>359.506</v>
      </c>
      <c r="AZ96" s="21" t="n">
        <v>226.237</v>
      </c>
      <c r="BA96" s="21" t="n">
        <v>177.256</v>
      </c>
      <c r="BB96" s="21" t="n">
        <v>242.329</v>
      </c>
      <c r="BC96" s="21" t="n">
        <v>381.196</v>
      </c>
      <c r="BD96" s="21" t="n">
        <v>336.064</v>
      </c>
      <c r="BE96" s="21" t="n">
        <v>271.307</v>
      </c>
      <c r="BF96" s="21" t="n">
        <v>180.187</v>
      </c>
      <c r="BG96" s="21" t="n">
        <v>260.954</v>
      </c>
      <c r="BH96" s="21" t="n">
        <v>185.278</v>
      </c>
      <c r="BI96" s="21" t="n">
        <v>271.488</v>
      </c>
      <c r="BJ96" s="21" t="n">
        <v>273.776</v>
      </c>
      <c r="BK96" s="21" t="n">
        <v>187.879</v>
      </c>
      <c r="BL96" s="21" t="n">
        <v>349.462</v>
      </c>
      <c r="BM96" s="21" t="n">
        <v>398.482</v>
      </c>
      <c r="BN96" s="21" t="n">
        <v>407.519</v>
      </c>
      <c r="BO96" s="21" t="n">
        <v>362.838</v>
      </c>
      <c r="BP96" s="21" t="n">
        <v>206.64</v>
      </c>
      <c r="BQ96" s="21" t="n">
        <v>295.214</v>
      </c>
      <c r="BR96" s="21" t="n">
        <v>591.803</v>
      </c>
      <c r="BS96" s="21" t="n">
        <v>137.687</v>
      </c>
      <c r="BT96" s="21" t="n">
        <v>387.677</v>
      </c>
      <c r="BU96" s="21" t="n">
        <v>407.501</v>
      </c>
      <c r="BV96" s="21" t="n">
        <v>452.899</v>
      </c>
      <c r="BW96" s="21" t="n">
        <v>374.731</v>
      </c>
      <c r="BX96" s="21" t="n">
        <v>376.928</v>
      </c>
      <c r="BY96" s="21" t="n">
        <v>193.136</v>
      </c>
      <c r="BZ96" s="21" t="n">
        <v>207.403</v>
      </c>
      <c r="CA96" s="21" t="n">
        <v>198.28</v>
      </c>
      <c r="CB96" s="21" t="n">
        <v>220.569</v>
      </c>
      <c r="CC96" s="21" t="n">
        <v>177.246</v>
      </c>
      <c r="CD96" s="21" t="n">
        <v>244.687</v>
      </c>
      <c r="CE96" s="21" t="n">
        <v>179.048</v>
      </c>
      <c r="CF96" s="21" t="n">
        <v>219.323</v>
      </c>
      <c r="CG96" s="21" t="n">
        <v>209.507</v>
      </c>
      <c r="CH96" s="21" t="n">
        <v>165.289</v>
      </c>
      <c r="CI96" s="21" t="n">
        <v>213.934</v>
      </c>
      <c r="CJ96" s="21" t="n">
        <v>196.11</v>
      </c>
      <c r="CK96" s="21" t="n">
        <v>147.639</v>
      </c>
      <c r="CL96" s="21" t="n">
        <v>139.159</v>
      </c>
      <c r="CM96" s="21" t="n">
        <v>234.445</v>
      </c>
      <c r="CN96" s="21" t="n">
        <v>246.907</v>
      </c>
      <c r="CO96" s="21" t="n">
        <v>218.444</v>
      </c>
      <c r="CP96" s="21" t="n">
        <v>150.678</v>
      </c>
      <c r="CQ96" s="21" t="n">
        <v>261.583</v>
      </c>
      <c r="CR96" s="21" t="n">
        <v>269.638</v>
      </c>
      <c r="CS96" s="21" t="n">
        <v>241.498</v>
      </c>
      <c r="CT96" s="21" t="n">
        <v>182.05</v>
      </c>
      <c r="CU96" s="21" t="n">
        <v>187.53</v>
      </c>
      <c r="CV96" s="21" t="n">
        <v>301.174</v>
      </c>
      <c r="CW96" s="21" t="n">
        <v>278.959</v>
      </c>
      <c r="CX96" s="21" t="n">
        <v>308.533</v>
      </c>
      <c r="CY96" s="21" t="n">
        <v>462.974</v>
      </c>
      <c r="CZ96" s="21" t="n">
        <v>169.86</v>
      </c>
      <c r="DA96" s="21" t="n">
        <v>205.361</v>
      </c>
      <c r="DB96" s="21" t="n">
        <v>184.91</v>
      </c>
      <c r="DC96" s="21" t="n">
        <v>276.837</v>
      </c>
      <c r="DD96" s="21" t="n">
        <v>296.57</v>
      </c>
      <c r="DE96" s="21" t="n">
        <v>209.34</v>
      </c>
      <c r="DF96" s="21" t="n">
        <v>305.464</v>
      </c>
      <c r="DG96" s="21" t="n">
        <v>289.328</v>
      </c>
      <c r="DH96" s="21" t="n">
        <v>178.359</v>
      </c>
      <c r="DI96" s="21" t="n">
        <v>181.896</v>
      </c>
      <c r="DJ96" s="21" t="n">
        <v>169.537</v>
      </c>
      <c r="DK96" s="21" t="n">
        <v>310.638</v>
      </c>
      <c r="DL96" s="21" t="n">
        <v>206.37</v>
      </c>
      <c r="DM96" s="21" t="n">
        <v>165.782</v>
      </c>
      <c r="DN96" s="21" t="n">
        <v>154.72</v>
      </c>
      <c r="DO96" s="21" t="n">
        <v>342.266</v>
      </c>
      <c r="DP96" s="21" t="n">
        <v>212.346</v>
      </c>
      <c r="DQ96" s="21" t="n">
        <v>223.53</v>
      </c>
      <c r="DR96" s="21" t="n">
        <v>191.379</v>
      </c>
      <c r="DS96" s="21" t="n">
        <v>191.395</v>
      </c>
      <c r="DT96" s="21" t="n">
        <v>202.351</v>
      </c>
      <c r="DU96" s="21" t="n">
        <v>222.09</v>
      </c>
      <c r="DV96" s="21" t="n">
        <v>279.629</v>
      </c>
      <c r="DW96" s="21" t="n">
        <v>223.272</v>
      </c>
      <c r="DX96" s="21" t="n">
        <v>262.453</v>
      </c>
      <c r="DY96" s="21" t="n">
        <v>207.306</v>
      </c>
      <c r="DZ96" s="21" t="n">
        <v>218.806</v>
      </c>
      <c r="EA96" s="21" t="n">
        <v>203.899</v>
      </c>
      <c r="EB96" s="21" t="n">
        <v>179.983</v>
      </c>
      <c r="EC96" s="21" t="n">
        <v>404.362</v>
      </c>
      <c r="ED96" s="21" t="n">
        <v>197.346</v>
      </c>
      <c r="EE96" s="21" t="n">
        <v>218.734</v>
      </c>
      <c r="EF96" s="21" t="n">
        <v>222.003</v>
      </c>
      <c r="EG96" s="21" t="n">
        <v>308.72</v>
      </c>
      <c r="EH96" s="21" t="n">
        <v>364.195</v>
      </c>
      <c r="EI96" s="21" t="n">
        <v>382.562</v>
      </c>
      <c r="EJ96" s="21" t="n">
        <v>171.458</v>
      </c>
      <c r="EK96" s="21" t="n">
        <v>609.359</v>
      </c>
      <c r="EL96" s="21" t="n">
        <v>348.569</v>
      </c>
      <c r="EM96" s="21" t="n">
        <v>374.04</v>
      </c>
      <c r="EN96" s="21" t="n">
        <v>374.109</v>
      </c>
      <c r="EO96" s="21" t="n">
        <v>150.98</v>
      </c>
      <c r="EP96" s="21" t="n">
        <v>305.991</v>
      </c>
      <c r="EQ96" s="21" t="n">
        <v>260.589</v>
      </c>
      <c r="ER96" s="21" t="n">
        <v>491.416</v>
      </c>
      <c r="ES96" s="21" t="n">
        <v>553.234</v>
      </c>
      <c r="ET96" s="21" t="n">
        <v>452.386</v>
      </c>
      <c r="EU96" s="21" t="n">
        <v>260.22</v>
      </c>
      <c r="EV96" s="21" t="n">
        <v>258.864</v>
      </c>
      <c r="EW96" s="21" t="n">
        <v>258.872</v>
      </c>
      <c r="EX96" s="21" t="n">
        <v>277.824</v>
      </c>
      <c r="EY96" s="21" t="n">
        <v>637.8819999999999</v>
      </c>
      <c r="EZ96" s="21" t="n">
        <v>563.816</v>
      </c>
      <c r="FA96" s="21" t="n">
        <v>145.568</v>
      </c>
      <c r="FB96" s="21" t="n">
        <v>61.897</v>
      </c>
      <c r="FC96" s="21" t="n">
        <v>132.413</v>
      </c>
      <c r="FD96" s="21" t="n">
        <v>73.363</v>
      </c>
      <c r="FE96" s="21" t="n">
        <v>44.786</v>
      </c>
      <c r="FF96" s="21" t="n">
        <v>137.797</v>
      </c>
      <c r="FG96" s="21" t="n">
        <v>146.276</v>
      </c>
      <c r="FH96" s="21" t="n">
        <v>112.254</v>
      </c>
      <c r="FI96" s="21" t="n">
        <v>83.79000000000001</v>
      </c>
      <c r="FJ96" s="21" t="n"/>
      <c r="FK96" s="21" t="n">
        <v>86.861</v>
      </c>
      <c r="FL96" s="21" t="n">
        <v>97.923</v>
      </c>
      <c r="FM96" s="21" t="n">
        <v>112.757</v>
      </c>
      <c r="FN96" s="21" t="n">
        <v>73.547</v>
      </c>
      <c r="FO96" s="21" t="n">
        <v>55.131</v>
      </c>
      <c r="FP96" s="21" t="n">
        <v>40.857</v>
      </c>
      <c r="FQ96" s="21" t="n">
        <v>151.145</v>
      </c>
      <c r="FR96" s="21" t="n">
        <v>48.604</v>
      </c>
      <c r="FS96" s="21" t="n">
        <v>81.967</v>
      </c>
      <c r="FT96" s="21" t="n">
        <v>110.04</v>
      </c>
      <c r="FU96" s="21" t="n">
        <v>120.121</v>
      </c>
      <c r="FV96" s="21" t="n">
        <v>105.42</v>
      </c>
      <c r="FW96" s="21" t="n">
        <v>226.671</v>
      </c>
      <c r="FX96" s="21" t="n">
        <v>143.137</v>
      </c>
      <c r="FY96" s="21" t="n">
        <v>224.543</v>
      </c>
      <c r="FZ96" s="21" t="n">
        <v>136.196</v>
      </c>
      <c r="GA96" s="21" t="n"/>
      <c r="GB96" s="21" t="n">
        <v>201.809</v>
      </c>
      <c r="GC96" s="21" t="n"/>
      <c r="GD96" s="21" t="n">
        <v>202.34</v>
      </c>
      <c r="GE96" s="21" t="n"/>
      <c r="GF96" s="21" t="n">
        <v>126.728</v>
      </c>
      <c r="GG96" s="21" t="n">
        <v>120.776</v>
      </c>
      <c r="GH96" s="21" t="n">
        <v>123.947</v>
      </c>
      <c r="GI96" s="21" t="n">
        <v>104.675</v>
      </c>
      <c r="GJ96" s="21" t="n">
        <v>172.111</v>
      </c>
      <c r="GK96" s="21" t="n">
        <v>75.279</v>
      </c>
      <c r="GL96" s="21" t="n">
        <v>123.473</v>
      </c>
      <c r="GM96" s="21" t="n">
        <v>107.575</v>
      </c>
      <c r="GN96" s="21" t="n">
        <v>106.94</v>
      </c>
      <c r="GO96" s="21" t="n">
        <v>108.182</v>
      </c>
      <c r="GP96" s="21" t="n">
        <v>97.23399999999999</v>
      </c>
      <c r="GQ96" s="21" t="n">
        <v>106.918</v>
      </c>
      <c r="GR96" s="21" t="n">
        <v>73.937</v>
      </c>
      <c r="GS96" s="21" t="n">
        <v>109.894</v>
      </c>
      <c r="GT96" s="21" t="n">
        <v>100.53</v>
      </c>
      <c r="GU96" s="21" t="n">
        <v>143.874</v>
      </c>
      <c r="GV96" s="21" t="n">
        <v>149.887</v>
      </c>
      <c r="GW96" s="21" t="n">
        <v>164.206</v>
      </c>
      <c r="GX96" s="21" t="n">
        <v>129.466</v>
      </c>
      <c r="GY96" s="21" t="n">
        <v>121.269</v>
      </c>
      <c r="GZ96" s="21" t="n">
        <v>183.786</v>
      </c>
      <c r="HA96" s="21" t="n">
        <v>152.451</v>
      </c>
      <c r="HB96" s="21" t="n">
        <v>180.587</v>
      </c>
      <c r="HC96" s="21" t="n">
        <v>264.668</v>
      </c>
      <c r="HD96" s="21" t="n">
        <v>263.196</v>
      </c>
      <c r="HE96" s="21" t="n">
        <v>126.795</v>
      </c>
      <c r="HF96" s="21" t="n">
        <v>176.354</v>
      </c>
      <c r="HG96" s="21" t="n"/>
      <c r="HH96" s="21" t="n">
        <v>172.442</v>
      </c>
      <c r="HI96" s="21" t="n">
        <v>187.945</v>
      </c>
      <c r="HJ96" s="21" t="n"/>
      <c r="HK96" s="21" t="n">
        <v>193.53</v>
      </c>
      <c r="HL96" s="21" t="n">
        <v>108.744</v>
      </c>
      <c r="HM96" s="21" t="n">
        <v>190.603</v>
      </c>
      <c r="HN96" s="21" t="n">
        <v>329.954</v>
      </c>
      <c r="HO96" s="21" t="n">
        <v>326.649</v>
      </c>
      <c r="HP96" s="21" t="n">
        <v>319.994</v>
      </c>
      <c r="HQ96" s="21" t="n">
        <v>351.812</v>
      </c>
      <c r="HR96" s="21" t="n">
        <v>346.213</v>
      </c>
      <c r="HS96" s="21" t="n">
        <v>387.053</v>
      </c>
      <c r="HT96" s="21" t="n">
        <v>181.299</v>
      </c>
      <c r="HU96" s="21" t="n">
        <v>153.056</v>
      </c>
      <c r="HV96" s="21" t="n">
        <v>221.138</v>
      </c>
      <c r="HW96" s="21" t="n">
        <v>203.36</v>
      </c>
      <c r="HX96" s="21" t="n">
        <v>505.862</v>
      </c>
      <c r="HY96" s="21" t="n">
        <v>363.195</v>
      </c>
      <c r="HZ96" s="21" t="n">
        <v>398.631</v>
      </c>
      <c r="IA96" s="21" t="n">
        <v>320.498</v>
      </c>
      <c r="IB96" s="21" t="n">
        <v>229.336</v>
      </c>
      <c r="IC96" s="21" t="n">
        <v>644.317</v>
      </c>
      <c r="ID96" s="21" t="n">
        <v>202.455</v>
      </c>
      <c r="IE96" s="21" t="n">
        <v>190.608</v>
      </c>
      <c r="IF96" s="21" t="n">
        <v>221.031</v>
      </c>
      <c r="IG96" s="21" t="n">
        <v>255.087</v>
      </c>
      <c r="IH96" s="21" t="n"/>
      <c r="II96" s="21" t="n">
        <v>283.705</v>
      </c>
      <c r="IJ96" s="21" t="n">
        <v>292.656</v>
      </c>
      <c r="IK96" s="21" t="n">
        <v>162.266</v>
      </c>
      <c r="IL96" s="21" t="n"/>
      <c r="IM96" s="21" t="n"/>
      <c r="IN96" s="21" t="n">
        <v>60.937</v>
      </c>
      <c r="IO96" s="21" t="n">
        <v>334.798</v>
      </c>
      <c r="IP96" s="21" t="n">
        <v>128.691</v>
      </c>
      <c r="IQ96" s="21" t="n">
        <v>550.8440000000001</v>
      </c>
      <c r="IR96" s="21" t="n">
        <v>391.36</v>
      </c>
      <c r="IS96" s="21" t="n">
        <v>127.958</v>
      </c>
      <c r="IT96" s="21" t="n">
        <v>534.424</v>
      </c>
      <c r="IU96" s="21" t="n">
        <v>102.385</v>
      </c>
      <c r="IV96" s="21" t="n">
        <v>104.3</v>
      </c>
      <c r="IW96" s="21" t="n">
        <v>602.333</v>
      </c>
      <c r="IX96" s="21" t="n">
        <v>416.614</v>
      </c>
      <c r="IY96" s="21" t="n">
        <v>415.048</v>
      </c>
      <c r="IZ96" s="21" t="n">
        <v>559.881</v>
      </c>
      <c r="JA96" s="21" t="n">
        <v>198.784</v>
      </c>
      <c r="JB96" s="21" t="n">
        <v>257.836</v>
      </c>
      <c r="JC96" s="21" t="n">
        <v>90.056</v>
      </c>
      <c r="JD96" s="21" t="n">
        <v>378.209</v>
      </c>
      <c r="JE96" s="21" t="n">
        <v>366.005</v>
      </c>
      <c r="JF96" s="21" t="n">
        <v>819.651</v>
      </c>
      <c r="JG96" s="21" t="n">
        <v>263.227</v>
      </c>
      <c r="JH96" s="21" t="n">
        <v>145.89</v>
      </c>
      <c r="JI96" s="21" t="n">
        <v>195.796</v>
      </c>
      <c r="JJ96" s="21" t="n">
        <v>132.965</v>
      </c>
      <c r="JK96" s="21" t="n">
        <v>113.219</v>
      </c>
      <c r="JL96" s="21" t="n">
        <v>117.028</v>
      </c>
      <c r="JM96" s="21" t="n">
        <v>547.975</v>
      </c>
      <c r="JN96" s="21" t="n">
        <v>110.603</v>
      </c>
      <c r="JO96" s="21" t="n">
        <v>70.23</v>
      </c>
      <c r="JP96" s="21" t="n">
        <v>34.734</v>
      </c>
      <c r="JQ96" s="21" t="n">
        <v>150.586</v>
      </c>
      <c r="JR96" s="21" t="n">
        <v>25.937</v>
      </c>
      <c r="JS96" s="21" t="n">
        <v>80.801</v>
      </c>
      <c r="JT96" s="21" t="n">
        <v>209.095</v>
      </c>
      <c r="JU96" s="21" t="n">
        <v>233.434</v>
      </c>
      <c r="JV96" s="21" t="n">
        <v>182.118</v>
      </c>
      <c r="JW96" s="21" t="n">
        <v>129.256</v>
      </c>
      <c r="JX96" s="21" t="n">
        <v>307.013</v>
      </c>
      <c r="JY96" s="21" t="n">
        <v>229.383</v>
      </c>
      <c r="JZ96" s="21" t="n">
        <v>322.822</v>
      </c>
      <c r="KA96" s="21" t="n">
        <v>128.623</v>
      </c>
      <c r="KB96" s="21" t="n">
        <v>178.227</v>
      </c>
      <c r="KC96" s="21" t="n">
        <v>87.39700000000001</v>
      </c>
      <c r="KD96" s="21" t="n">
        <v>81.866</v>
      </c>
      <c r="KE96" s="21" t="n">
        <v>61.107</v>
      </c>
      <c r="KF96" s="21" t="n"/>
      <c r="KG96" s="21" t="n">
        <v>25.353</v>
      </c>
      <c r="KH96" s="21" t="n">
        <v>132.186</v>
      </c>
      <c r="KI96" s="21" t="n"/>
      <c r="KJ96" s="21" t="n"/>
      <c r="KK96" s="21" t="n">
        <v>34.031</v>
      </c>
      <c r="KL96" s="21" t="n">
        <v>29.231</v>
      </c>
      <c r="KM96" s="21" t="n">
        <v>39.74</v>
      </c>
      <c r="KN96" s="21" t="n"/>
      <c r="KO96" s="21" t="n">
        <v>98.014</v>
      </c>
      <c r="KP96" s="21" t="n">
        <v>115.895</v>
      </c>
      <c r="KQ96" s="21" t="n">
        <v>187.214</v>
      </c>
      <c r="KR96" s="21" t="n">
        <v>154.341</v>
      </c>
      <c r="KS96" s="21" t="n">
        <v>424.162</v>
      </c>
      <c r="KT96" s="21" t="n">
        <v>212.133</v>
      </c>
      <c r="KU96" s="21" t="n">
        <v>219.688</v>
      </c>
      <c r="KV96" s="21" t="n">
        <v>358.762</v>
      </c>
      <c r="KW96" s="21" t="n">
        <v>284.67</v>
      </c>
      <c r="KX96" s="21" t="n">
        <v>219.698</v>
      </c>
      <c r="KY96" s="21" t="n">
        <v>99.127</v>
      </c>
      <c r="KZ96" s="21" t="n">
        <v>144.852</v>
      </c>
      <c r="LA96" s="21" t="n">
        <v>286.792</v>
      </c>
      <c r="LB96" s="21" t="n">
        <v>718.85</v>
      </c>
      <c r="LC96" s="21" t="n">
        <v>247.764</v>
      </c>
      <c r="LD96" s="21" t="n">
        <v>823.859</v>
      </c>
      <c r="LE96" s="21" t="n">
        <v>915.423</v>
      </c>
      <c r="LF96" s="21" t="n">
        <v>91.084</v>
      </c>
      <c r="LG96" s="21" t="n">
        <v>339.447</v>
      </c>
      <c r="LH96" s="21" t="n">
        <v>267.906</v>
      </c>
      <c r="LI96" s="21" t="n">
        <v>75.464</v>
      </c>
      <c r="LJ96" s="21" t="n">
        <v>227.043</v>
      </c>
      <c r="LK96" s="21" t="n">
        <v>354.565</v>
      </c>
      <c r="LL96" s="21" t="n">
        <v>391.502</v>
      </c>
      <c r="LM96" s="21" t="n">
        <v>71.10299999999999</v>
      </c>
      <c r="LN96" s="21" t="n">
        <v>96.21599999999999</v>
      </c>
      <c r="LO96" s="21" t="n">
        <v>48.642</v>
      </c>
      <c r="LP96" s="21" t="n">
        <v>144.694</v>
      </c>
      <c r="LQ96" s="21" t="n"/>
      <c r="LR96" s="21" t="n"/>
      <c r="LS96" s="21" t="n">
        <v>105.79</v>
      </c>
      <c r="LT96" s="21" t="n">
        <v>38.02</v>
      </c>
      <c r="LU96" s="21" t="n">
        <v>25.111</v>
      </c>
      <c r="LV96" s="21" t="n">
        <v>81.259</v>
      </c>
      <c r="LW96" s="21" t="n">
        <v>123.817</v>
      </c>
      <c r="LX96" s="21" t="n">
        <v>53.882</v>
      </c>
      <c r="LY96" s="21" t="n">
        <v>518.668</v>
      </c>
      <c r="LZ96" s="21" t="n">
        <v>87.077</v>
      </c>
      <c r="MA96" s="21" t="n">
        <v>571.361</v>
      </c>
      <c r="MB96" s="21" t="n">
        <v>319.628</v>
      </c>
      <c r="MC96" s="21" t="n">
        <v>264.117</v>
      </c>
      <c r="MD96" s="21" t="n">
        <v>171.226</v>
      </c>
      <c r="ME96" s="21" t="n">
        <v>113.859</v>
      </c>
      <c r="MF96" s="21" t="n">
        <v>186.524</v>
      </c>
      <c r="MG96" s="21" t="n">
        <v>321.146</v>
      </c>
      <c r="MH96" s="21" t="n">
        <v>195.951</v>
      </c>
      <c r="MI96" s="21" t="n">
        <v>504.201</v>
      </c>
      <c r="MJ96" s="21" t="n">
        <v>404.33</v>
      </c>
      <c r="MK96" s="21" t="n">
        <v>367.833</v>
      </c>
      <c r="ML96" s="21" t="n">
        <v>210.261</v>
      </c>
      <c r="MM96" s="21" t="n">
        <v>244.467</v>
      </c>
      <c r="MN96" s="21" t="n">
        <v>397.3</v>
      </c>
      <c r="MO96" s="21" t="n">
        <v>175.334</v>
      </c>
      <c r="MP96" s="21" t="n">
        <v>297.721</v>
      </c>
      <c r="MQ96" s="21" t="n">
        <v>87.88200000000001</v>
      </c>
      <c r="MR96" s="21" t="n">
        <v>195.882</v>
      </c>
      <c r="MS96" s="21" t="n"/>
      <c r="MT96" s="21" t="n">
        <v>285.524</v>
      </c>
      <c r="MU96" s="21" t="n">
        <v>301.126</v>
      </c>
      <c r="MV96" s="21" t="n">
        <v>294.918</v>
      </c>
      <c r="MW96" s="21" t="n">
        <v>299.6</v>
      </c>
      <c r="MX96" s="21" t="n">
        <v>274.96</v>
      </c>
      <c r="MY96" s="21" t="n">
        <v>264.792</v>
      </c>
      <c r="MZ96" s="21" t="n">
        <v>263.771</v>
      </c>
      <c r="NA96" s="21" t="n">
        <v>267.127</v>
      </c>
      <c r="NB96" s="21" t="n">
        <v>118.11</v>
      </c>
      <c r="NC96" s="21" t="n">
        <v>222.112</v>
      </c>
      <c r="ND96" s="21" t="n">
        <v>181.48</v>
      </c>
      <c r="NE96" s="21" t="n">
        <v>177.977</v>
      </c>
      <c r="NF96" s="21" t="n">
        <v>165.291</v>
      </c>
      <c r="NG96" s="21" t="n">
        <v>161.993</v>
      </c>
      <c r="NH96" s="21" t="n">
        <v>308.94</v>
      </c>
      <c r="NI96" s="21" t="n">
        <v>126.596</v>
      </c>
      <c r="NJ96" s="21" t="n">
        <v>61.502</v>
      </c>
      <c r="NK96" s="21" t="n">
        <v>119.377</v>
      </c>
      <c r="NL96" s="21" t="n">
        <v>292.953</v>
      </c>
      <c r="NM96" s="21" t="n">
        <v>339.663</v>
      </c>
      <c r="NN96" s="21" t="n">
        <v>106.661</v>
      </c>
      <c r="NO96" s="21" t="n">
        <v>42.719</v>
      </c>
      <c r="NP96" s="21" t="n">
        <v>271.71</v>
      </c>
      <c r="NQ96" s="21" t="n">
        <v>234.67</v>
      </c>
      <c r="NR96" s="21" t="n">
        <v>298.713</v>
      </c>
      <c r="NS96" s="21" t="n">
        <v>231.901</v>
      </c>
      <c r="NT96" s="21" t="n">
        <v>302.33</v>
      </c>
      <c r="NU96" s="21" t="n">
        <v>131.529</v>
      </c>
      <c r="NV96" s="21" t="n">
        <v>143.333</v>
      </c>
      <c r="NW96" s="21" t="n">
        <v>394.818</v>
      </c>
      <c r="NX96" s="21" t="n">
        <v>85.2</v>
      </c>
      <c r="NY96" s="21" t="n">
        <v>139.47</v>
      </c>
      <c r="NZ96" s="21" t="n">
        <v>380.31</v>
      </c>
      <c r="OA96" s="21" t="n">
        <v>371.672</v>
      </c>
      <c r="OB96" s="21" t="n">
        <v>383.179</v>
      </c>
      <c r="OC96" s="21" t="n">
        <v>354.16</v>
      </c>
      <c r="OD96" s="21" t="n">
        <v>390.523</v>
      </c>
      <c r="OE96" s="21" t="n">
        <v>132.991</v>
      </c>
      <c r="OF96" s="21" t="n">
        <v>374.248</v>
      </c>
      <c r="OG96" s="21" t="n">
        <v>254.051</v>
      </c>
      <c r="OH96" s="21" t="n">
        <v>34.198</v>
      </c>
      <c r="OI96" s="21" t="n">
        <v>144.322</v>
      </c>
      <c r="OJ96" s="21" t="n">
        <v>33.6</v>
      </c>
      <c r="OK96" s="21" t="n">
        <v>11.2</v>
      </c>
    </row>
    <row r="97">
      <c r="A97" s="22" t="n">
        <v>44896</v>
      </c>
      <c r="B97" s="21" t="n">
        <v>296.797</v>
      </c>
      <c r="C97" s="21" t="n">
        <v>889.073</v>
      </c>
      <c r="D97" s="21" t="n">
        <v>314.459</v>
      </c>
      <c r="E97" s="21" t="n">
        <v>316.839</v>
      </c>
      <c r="F97" s="21" t="n">
        <v>299.089</v>
      </c>
      <c r="G97" s="21" t="n">
        <v>345.029</v>
      </c>
      <c r="H97" s="21" t="n">
        <v>281.996</v>
      </c>
      <c r="I97" s="21" t="n">
        <v>306.469</v>
      </c>
      <c r="J97" s="21" t="n">
        <v>272.978</v>
      </c>
      <c r="K97" s="21" t="n">
        <v>290.126</v>
      </c>
      <c r="L97" s="21" t="n">
        <v>194.108</v>
      </c>
      <c r="M97" s="21" t="n">
        <v>381.554</v>
      </c>
      <c r="N97" s="21" t="n">
        <v>232.457</v>
      </c>
      <c r="O97" s="21" t="n">
        <v>424.977</v>
      </c>
      <c r="P97" s="21" t="n">
        <v>448.742</v>
      </c>
      <c r="Q97" s="21" t="n">
        <v>226.085</v>
      </c>
      <c r="R97" s="21" t="n">
        <v>360.381</v>
      </c>
      <c r="S97" s="21" t="n">
        <v>377.705</v>
      </c>
      <c r="T97" s="21" t="n">
        <v>338.132</v>
      </c>
      <c r="U97" s="21" t="n">
        <v>337.758</v>
      </c>
      <c r="V97" s="21" t="n">
        <v>382.723</v>
      </c>
      <c r="W97" s="21" t="n">
        <v>395.411</v>
      </c>
      <c r="X97" s="21" t="n">
        <v>335.143</v>
      </c>
      <c r="Y97" s="21" t="n">
        <v>320.455</v>
      </c>
      <c r="Z97" s="21" t="n">
        <v>316.051</v>
      </c>
      <c r="AA97" s="21" t="n">
        <v>318.44</v>
      </c>
      <c r="AB97" s="21" t="n">
        <v>379.943</v>
      </c>
      <c r="AC97" s="21" t="n">
        <v>330.548</v>
      </c>
      <c r="AD97" s="21" t="n">
        <v>302.821</v>
      </c>
      <c r="AE97" s="21" t="n">
        <v>251.804</v>
      </c>
      <c r="AF97" s="21" t="n">
        <v>315.096</v>
      </c>
      <c r="AG97" s="21" t="n">
        <v>261.956</v>
      </c>
      <c r="AH97" s="21" t="n">
        <v>198.95</v>
      </c>
      <c r="AI97" s="21" t="n">
        <v>367.169</v>
      </c>
      <c r="AJ97" s="21" t="n">
        <v>185.061</v>
      </c>
      <c r="AK97" s="21" t="n">
        <v>235.809</v>
      </c>
      <c r="AL97" s="21" t="n">
        <v>262.125</v>
      </c>
      <c r="AM97" s="21" t="n">
        <v>241.227</v>
      </c>
      <c r="AN97" s="21" t="n">
        <v>159.128</v>
      </c>
      <c r="AO97" s="21" t="n">
        <v>291.034</v>
      </c>
      <c r="AP97" s="21" t="n">
        <v>300.95</v>
      </c>
      <c r="AQ97" s="21" t="n">
        <v>188.057</v>
      </c>
      <c r="AR97" s="21" t="n"/>
      <c r="AS97" s="21" t="n"/>
      <c r="AT97" s="21" t="n">
        <v>300.49</v>
      </c>
      <c r="AU97" s="21" t="n">
        <v>193.655</v>
      </c>
      <c r="AV97" s="21" t="n">
        <v>316.577</v>
      </c>
      <c r="AW97" s="21" t="n">
        <v>290.955</v>
      </c>
      <c r="AX97" s="21" t="n">
        <v>194.053</v>
      </c>
      <c r="AY97" s="21" t="n">
        <v>356.452</v>
      </c>
      <c r="AZ97" s="21" t="n">
        <v>223.947</v>
      </c>
      <c r="BA97" s="21" t="n">
        <v>176.042</v>
      </c>
      <c r="BB97" s="21" t="n">
        <v>246.832</v>
      </c>
      <c r="BC97" s="21" t="n">
        <v>374.731</v>
      </c>
      <c r="BD97" s="21" t="n">
        <v>373.379</v>
      </c>
      <c r="BE97" s="21" t="n">
        <v>271.376</v>
      </c>
      <c r="BF97" s="21" t="n">
        <v>180.048</v>
      </c>
      <c r="BG97" s="21" t="n">
        <v>260.325</v>
      </c>
      <c r="BH97" s="21" t="n">
        <v>185.51</v>
      </c>
      <c r="BI97" s="21" t="n">
        <v>272.885</v>
      </c>
      <c r="BJ97" s="21" t="n">
        <v>272.229</v>
      </c>
      <c r="BK97" s="21" t="n">
        <v>187.636</v>
      </c>
      <c r="BL97" s="21" t="n">
        <v>349.134</v>
      </c>
      <c r="BM97" s="21" t="n">
        <v>396.405</v>
      </c>
      <c r="BN97" s="21" t="n">
        <v>399.257</v>
      </c>
      <c r="BO97" s="21" t="n">
        <v>362.529</v>
      </c>
      <c r="BP97" s="21" t="n">
        <v>205.751</v>
      </c>
      <c r="BQ97" s="21" t="n">
        <v>279.41</v>
      </c>
      <c r="BR97" s="21" t="n">
        <v>549.204</v>
      </c>
      <c r="BS97" s="21" t="n">
        <v>136.292</v>
      </c>
      <c r="BT97" s="21" t="n">
        <v>392.208</v>
      </c>
      <c r="BU97" s="21" t="n">
        <v>414.961</v>
      </c>
      <c r="BV97" s="21" t="n">
        <v>471.238</v>
      </c>
      <c r="BW97" s="21" t="n">
        <v>390.595</v>
      </c>
      <c r="BX97" s="21" t="n">
        <v>374.63</v>
      </c>
      <c r="BY97" s="21" t="n">
        <v>195.551</v>
      </c>
      <c r="BZ97" s="21" t="n">
        <v>209.373</v>
      </c>
      <c r="CA97" s="21" t="n">
        <v>200.396</v>
      </c>
      <c r="CB97" s="21" t="n">
        <v>222.255</v>
      </c>
      <c r="CC97" s="21" t="n">
        <v>178.748</v>
      </c>
      <c r="CD97" s="21" t="n">
        <v>245.693</v>
      </c>
      <c r="CE97" s="21" t="n">
        <v>183.948</v>
      </c>
      <c r="CF97" s="21" t="n">
        <v>226.382</v>
      </c>
      <c r="CG97" s="21" t="n">
        <v>210.324</v>
      </c>
      <c r="CH97" s="21" t="n">
        <v>166.177</v>
      </c>
      <c r="CI97" s="21" t="n">
        <v>216.534</v>
      </c>
      <c r="CJ97" s="21" t="n">
        <v>198.082</v>
      </c>
      <c r="CK97" s="21" t="n">
        <v>147.686</v>
      </c>
      <c r="CL97" s="21" t="n">
        <v>139.208</v>
      </c>
      <c r="CM97" s="21" t="n">
        <v>234.473</v>
      </c>
      <c r="CN97" s="21" t="n">
        <v>248.379</v>
      </c>
      <c r="CO97" s="21" t="n">
        <v>213.661</v>
      </c>
      <c r="CP97" s="21" t="n">
        <v>150.794</v>
      </c>
      <c r="CQ97" s="21" t="n">
        <v>262.985</v>
      </c>
      <c r="CR97" s="21" t="n">
        <v>270.762</v>
      </c>
      <c r="CS97" s="21" t="n">
        <v>241.983</v>
      </c>
      <c r="CT97" s="21" t="n">
        <v>183.81</v>
      </c>
      <c r="CU97" s="21" t="n">
        <v>185.561</v>
      </c>
      <c r="CV97" s="21" t="n">
        <v>305.66</v>
      </c>
      <c r="CW97" s="21" t="n">
        <v>283.45</v>
      </c>
      <c r="CX97" s="21" t="n">
        <v>315.527</v>
      </c>
      <c r="CY97" s="21" t="n">
        <v>471.679</v>
      </c>
      <c r="CZ97" s="21" t="n">
        <v>169.719</v>
      </c>
      <c r="DA97" s="21" t="n">
        <v>209.932</v>
      </c>
      <c r="DB97" s="21" t="n">
        <v>188.29</v>
      </c>
      <c r="DC97" s="21" t="n">
        <v>277.978</v>
      </c>
      <c r="DD97" s="21" t="n">
        <v>301.463</v>
      </c>
      <c r="DE97" s="21" t="n">
        <v>211.492</v>
      </c>
      <c r="DF97" s="21" t="n">
        <v>304.987</v>
      </c>
      <c r="DG97" s="21" t="n">
        <v>291.027</v>
      </c>
      <c r="DH97" s="21" t="n">
        <v>177.628</v>
      </c>
      <c r="DI97" s="21" t="n">
        <v>182.92</v>
      </c>
      <c r="DJ97" s="21" t="n">
        <v>171.44</v>
      </c>
      <c r="DK97" s="21" t="n">
        <v>320.245</v>
      </c>
      <c r="DL97" s="21" t="n">
        <v>205.866</v>
      </c>
      <c r="DM97" s="21" t="n">
        <v>166.155</v>
      </c>
      <c r="DN97" s="21" t="n">
        <v>154.871</v>
      </c>
      <c r="DO97" s="21" t="n">
        <v>343.559</v>
      </c>
      <c r="DP97" s="21" t="n">
        <v>212.628</v>
      </c>
      <c r="DQ97" s="21" t="n">
        <v>224.75</v>
      </c>
      <c r="DR97" s="21" t="n">
        <v>192.55</v>
      </c>
      <c r="DS97" s="21" t="n">
        <v>191.841</v>
      </c>
      <c r="DT97" s="21" t="n">
        <v>205.244</v>
      </c>
      <c r="DU97" s="21" t="n">
        <v>224.396</v>
      </c>
      <c r="DV97" s="21" t="n">
        <v>280.755</v>
      </c>
      <c r="DW97" s="21" t="n">
        <v>223.765</v>
      </c>
      <c r="DX97" s="21" t="n">
        <v>264.71</v>
      </c>
      <c r="DY97" s="21" t="n">
        <v>207.118</v>
      </c>
      <c r="DZ97" s="21" t="n">
        <v>219.055</v>
      </c>
      <c r="EA97" s="21" t="n">
        <v>203.2</v>
      </c>
      <c r="EB97" s="21" t="n">
        <v>179.59</v>
      </c>
      <c r="EC97" s="21" t="n">
        <v>407.448</v>
      </c>
      <c r="ED97" s="21" t="n">
        <v>198.214</v>
      </c>
      <c r="EE97" s="21" t="n">
        <v>220.819</v>
      </c>
      <c r="EF97" s="21" t="n">
        <v>225.022</v>
      </c>
      <c r="EG97" s="21" t="n">
        <v>310.725</v>
      </c>
      <c r="EH97" s="21" t="n">
        <v>366.868</v>
      </c>
      <c r="EI97" s="21" t="n">
        <v>385.649</v>
      </c>
      <c r="EJ97" s="21" t="n">
        <v>170.729</v>
      </c>
      <c r="EK97" s="21" t="n">
        <v>610.039</v>
      </c>
      <c r="EL97" s="21" t="n">
        <v>346.782</v>
      </c>
      <c r="EM97" s="21" t="n">
        <v>376.897</v>
      </c>
      <c r="EN97" s="21" t="n">
        <v>376.97</v>
      </c>
      <c r="EO97" s="21" t="n">
        <v>151.079</v>
      </c>
      <c r="EP97" s="21" t="n">
        <v>307.348</v>
      </c>
      <c r="EQ97" s="21" t="n">
        <v>261.904</v>
      </c>
      <c r="ER97" s="21" t="n">
        <v>433.858</v>
      </c>
      <c r="ES97" s="21" t="n">
        <v>461.14</v>
      </c>
      <c r="ET97" s="21" t="n">
        <v>455.414</v>
      </c>
      <c r="EU97" s="21" t="n">
        <v>263.825</v>
      </c>
      <c r="EV97" s="21" t="n">
        <v>260.548</v>
      </c>
      <c r="EW97" s="21" t="n">
        <v>267.683</v>
      </c>
      <c r="EX97" s="21" t="n">
        <v>278.464</v>
      </c>
      <c r="EY97" s="21" t="n">
        <v>639.319</v>
      </c>
      <c r="EZ97" s="21" t="n">
        <v>565.1849999999999</v>
      </c>
      <c r="FA97" s="21" t="n">
        <v>145.972</v>
      </c>
      <c r="FB97" s="21" t="n">
        <v>61.673</v>
      </c>
      <c r="FC97" s="21" t="n">
        <v>132.404</v>
      </c>
      <c r="FD97" s="21" t="n">
        <v>74.574</v>
      </c>
      <c r="FE97" s="21" t="n">
        <v>44.257</v>
      </c>
      <c r="FF97" s="21" t="n">
        <v>137.754</v>
      </c>
      <c r="FG97" s="21" t="n">
        <v>147.145</v>
      </c>
      <c r="FH97" s="21" t="n">
        <v>111.547</v>
      </c>
      <c r="FI97" s="21" t="n">
        <v>84.236</v>
      </c>
      <c r="FJ97" s="21" t="n"/>
      <c r="FK97" s="21" t="n">
        <v>86.91800000000001</v>
      </c>
      <c r="FL97" s="21" t="n">
        <v>99.535</v>
      </c>
      <c r="FM97" s="21" t="n">
        <v>117.392</v>
      </c>
      <c r="FN97" s="21" t="n">
        <v>73.045</v>
      </c>
      <c r="FO97" s="21" t="n">
        <v>54.517</v>
      </c>
      <c r="FP97" s="21" t="n">
        <v>39.808</v>
      </c>
      <c r="FQ97" s="21" t="n">
        <v>152.563</v>
      </c>
      <c r="FR97" s="21" t="n">
        <v>48.951</v>
      </c>
      <c r="FS97" s="21" t="n">
        <v>83.25</v>
      </c>
      <c r="FT97" s="21" t="n">
        <v>111.158</v>
      </c>
      <c r="FU97" s="21" t="n">
        <v>121.588</v>
      </c>
      <c r="FV97" s="21" t="n">
        <v>106.494</v>
      </c>
      <c r="FW97" s="21" t="n">
        <v>227.358</v>
      </c>
      <c r="FX97" s="21" t="n">
        <v>142.948</v>
      </c>
      <c r="FY97" s="21" t="n">
        <v>227.773</v>
      </c>
      <c r="FZ97" s="21" t="n">
        <v>136.241</v>
      </c>
      <c r="GA97" s="21" t="n"/>
      <c r="GB97" s="21" t="n">
        <v>205.307</v>
      </c>
      <c r="GC97" s="21" t="n"/>
      <c r="GD97" s="21" t="n">
        <v>199.717</v>
      </c>
      <c r="GE97" s="21" t="n"/>
      <c r="GF97" s="21" t="n">
        <v>124.587</v>
      </c>
      <c r="GG97" s="21" t="n">
        <v>119.983</v>
      </c>
      <c r="GH97" s="21" t="n">
        <v>122.494</v>
      </c>
      <c r="GI97" s="21" t="n">
        <v>102.159</v>
      </c>
      <c r="GJ97" s="21" t="n">
        <v>169.714</v>
      </c>
      <c r="GK97" s="21" t="n">
        <v>74.85299999999999</v>
      </c>
      <c r="GL97" s="21" t="n">
        <v>122.668</v>
      </c>
      <c r="GM97" s="21" t="n">
        <v>108.754</v>
      </c>
      <c r="GN97" s="21" t="n">
        <v>103.861</v>
      </c>
      <c r="GO97" s="21" t="n">
        <v>104.743</v>
      </c>
      <c r="GP97" s="21" t="n">
        <v>95.768</v>
      </c>
      <c r="GQ97" s="21" t="n">
        <v>100.289</v>
      </c>
      <c r="GR97" s="21" t="n">
        <v>71.877</v>
      </c>
      <c r="GS97" s="21" t="n">
        <v>106.467</v>
      </c>
      <c r="GT97" s="21" t="n">
        <v>99.21899999999999</v>
      </c>
      <c r="GU97" s="21" t="n">
        <v>141.327</v>
      </c>
      <c r="GV97" s="21" t="n">
        <v>146.254</v>
      </c>
      <c r="GW97" s="21" t="n">
        <v>164.338</v>
      </c>
      <c r="GX97" s="21" t="n">
        <v>126.798</v>
      </c>
      <c r="GY97" s="21" t="n">
        <v>120.463</v>
      </c>
      <c r="GZ97" s="21" t="n">
        <v>186.073</v>
      </c>
      <c r="HA97" s="21" t="n">
        <v>152.291</v>
      </c>
      <c r="HB97" s="21" t="n">
        <v>183.413</v>
      </c>
      <c r="HC97" s="21" t="n">
        <v>255.993</v>
      </c>
      <c r="HD97" s="21" t="n">
        <v>254.846</v>
      </c>
      <c r="HE97" s="21" t="n">
        <v>125.674</v>
      </c>
      <c r="HF97" s="21" t="n">
        <v>176.463</v>
      </c>
      <c r="HG97" s="21" t="n"/>
      <c r="HH97" s="21" t="n">
        <v>172.757</v>
      </c>
      <c r="HI97" s="21" t="n">
        <v>188.055</v>
      </c>
      <c r="HJ97" s="21" t="n"/>
      <c r="HK97" s="21" t="n">
        <v>188.864</v>
      </c>
      <c r="HL97" s="21" t="n">
        <v>110.411</v>
      </c>
      <c r="HM97" s="21" t="n">
        <v>184.218</v>
      </c>
      <c r="HN97" s="21" t="n">
        <v>288.979</v>
      </c>
      <c r="HO97" s="21" t="n">
        <v>285.757</v>
      </c>
      <c r="HP97" s="21" t="n">
        <v>279.075</v>
      </c>
      <c r="HQ97" s="21" t="n">
        <v>313.277</v>
      </c>
      <c r="HR97" s="21" t="n">
        <v>308.908</v>
      </c>
      <c r="HS97" s="21" t="n">
        <v>354.231</v>
      </c>
      <c r="HT97" s="21" t="n">
        <v>181.39</v>
      </c>
      <c r="HU97" s="21" t="n">
        <v>153.751</v>
      </c>
      <c r="HV97" s="21" t="n">
        <v>219.77</v>
      </c>
      <c r="HW97" s="21" t="n">
        <v>200.912</v>
      </c>
      <c r="HX97" s="21" t="n">
        <v>507.308</v>
      </c>
      <c r="HY97" s="21" t="n">
        <v>366.96</v>
      </c>
      <c r="HZ97" s="21" t="n">
        <v>399.411</v>
      </c>
      <c r="IA97" s="21" t="n">
        <v>321.717</v>
      </c>
      <c r="IB97" s="21" t="n">
        <v>234.246</v>
      </c>
      <c r="IC97" s="21" t="n">
        <v>648.771</v>
      </c>
      <c r="ID97" s="21" t="n">
        <v>202.739</v>
      </c>
      <c r="IE97" s="21" t="n">
        <v>190.938</v>
      </c>
      <c r="IF97" s="21" t="n">
        <v>221.243</v>
      </c>
      <c r="IG97" s="21" t="n">
        <v>257.107</v>
      </c>
      <c r="IH97" s="21" t="n"/>
      <c r="II97" s="21" t="n">
        <v>268.746</v>
      </c>
      <c r="IJ97" s="21" t="n">
        <v>268.519</v>
      </c>
      <c r="IK97" s="21" t="n">
        <v>163.19</v>
      </c>
      <c r="IL97" s="21" t="n"/>
      <c r="IM97" s="21" t="n"/>
      <c r="IN97" s="21" t="n">
        <v>61.781</v>
      </c>
      <c r="IO97" s="21" t="n">
        <v>340.709</v>
      </c>
      <c r="IP97" s="21" t="n">
        <v>128.526</v>
      </c>
      <c r="IQ97" s="21" t="n">
        <v>551.002</v>
      </c>
      <c r="IR97" s="21" t="n">
        <v>391.809</v>
      </c>
      <c r="IS97" s="21" t="n">
        <v>127.898</v>
      </c>
      <c r="IT97" s="21" t="n">
        <v>534.9</v>
      </c>
      <c r="IU97" s="21" t="n">
        <v>101.968</v>
      </c>
      <c r="IV97" s="21" t="n">
        <v>106.664</v>
      </c>
      <c r="IW97" s="21" t="n">
        <v>602.395</v>
      </c>
      <c r="IX97" s="21" t="n">
        <v>416.732</v>
      </c>
      <c r="IY97" s="21" t="n">
        <v>415.611</v>
      </c>
      <c r="IZ97" s="21" t="n">
        <v>560.198</v>
      </c>
      <c r="JA97" s="21" t="n">
        <v>199.607</v>
      </c>
      <c r="JB97" s="21" t="n">
        <v>255.471</v>
      </c>
      <c r="JC97" s="21" t="n">
        <v>91.09</v>
      </c>
      <c r="JD97" s="21" t="n">
        <v>383.15</v>
      </c>
      <c r="JE97" s="21" t="n">
        <v>370.417</v>
      </c>
      <c r="JF97" s="21" t="n">
        <v>830.987</v>
      </c>
      <c r="JG97" s="21" t="n">
        <v>263.996</v>
      </c>
      <c r="JH97" s="21" t="n">
        <v>146.138</v>
      </c>
      <c r="JI97" s="21" t="n">
        <v>189.07</v>
      </c>
      <c r="JJ97" s="21" t="n">
        <v>133.172</v>
      </c>
      <c r="JK97" s="21" t="n">
        <v>112.507</v>
      </c>
      <c r="JL97" s="21" t="n">
        <v>116.307</v>
      </c>
      <c r="JM97" s="21" t="n">
        <v>544.717</v>
      </c>
      <c r="JN97" s="21" t="n">
        <v>108.45</v>
      </c>
      <c r="JO97" s="21" t="n">
        <v>70.416</v>
      </c>
      <c r="JP97" s="21" t="n">
        <v>34.425</v>
      </c>
      <c r="JQ97" s="21" t="n">
        <v>153.969</v>
      </c>
      <c r="JR97" s="21" t="n">
        <v>25.319</v>
      </c>
      <c r="JS97" s="21" t="n">
        <v>80.849</v>
      </c>
      <c r="JT97" s="21" t="n">
        <v>209.069</v>
      </c>
      <c r="JU97" s="21" t="n">
        <v>233.766</v>
      </c>
      <c r="JV97" s="21" t="n">
        <v>182.82</v>
      </c>
      <c r="JW97" s="21" t="n">
        <v>129.33</v>
      </c>
      <c r="JX97" s="21" t="n">
        <v>306.453</v>
      </c>
      <c r="JY97" s="21" t="n">
        <v>230.847</v>
      </c>
      <c r="JZ97" s="21" t="n">
        <v>321.434</v>
      </c>
      <c r="KA97" s="21" t="n">
        <v>128.01</v>
      </c>
      <c r="KB97" s="21" t="n">
        <v>177.07</v>
      </c>
      <c r="KC97" s="21" t="n">
        <v>87.193</v>
      </c>
      <c r="KD97" s="21" t="n">
        <v>82.17400000000001</v>
      </c>
      <c r="KE97" s="21" t="n">
        <v>61.854</v>
      </c>
      <c r="KF97" s="21" t="n"/>
      <c r="KG97" s="21" t="n">
        <v>25.619</v>
      </c>
      <c r="KH97" s="21" t="n">
        <v>131.904</v>
      </c>
      <c r="KI97" s="21" t="n"/>
      <c r="KJ97" s="21" t="n"/>
      <c r="KK97" s="21" t="n">
        <v>34.33</v>
      </c>
      <c r="KL97" s="21" t="n">
        <v>29.511</v>
      </c>
      <c r="KM97" s="21" t="n">
        <v>39.84</v>
      </c>
      <c r="KN97" s="21" t="n"/>
      <c r="KO97" s="21" t="n">
        <v>101.516</v>
      </c>
      <c r="KP97" s="21" t="n">
        <v>114.649</v>
      </c>
      <c r="KQ97" s="21" t="n">
        <v>189.292</v>
      </c>
      <c r="KR97" s="21" t="n">
        <v>155.473</v>
      </c>
      <c r="KS97" s="21" t="n">
        <v>428.825</v>
      </c>
      <c r="KT97" s="21" t="n">
        <v>211.575</v>
      </c>
      <c r="KU97" s="21" t="n">
        <v>229.55</v>
      </c>
      <c r="KV97" s="21" t="n">
        <v>368.247</v>
      </c>
      <c r="KW97" s="21" t="n">
        <v>284.49</v>
      </c>
      <c r="KX97" s="21" t="n">
        <v>219.681</v>
      </c>
      <c r="KY97" s="21" t="n">
        <v>98.988</v>
      </c>
      <c r="KZ97" s="21" t="n">
        <v>144.922</v>
      </c>
      <c r="LA97" s="21" t="n">
        <v>287.177</v>
      </c>
      <c r="LB97" s="21" t="n">
        <v>720.6420000000001</v>
      </c>
      <c r="LC97" s="21" t="n">
        <v>248.213</v>
      </c>
      <c r="LD97" s="21" t="n">
        <v>824.931</v>
      </c>
      <c r="LE97" s="21" t="n">
        <v>916.495</v>
      </c>
      <c r="LF97" s="21" t="n">
        <v>91.084</v>
      </c>
      <c r="LG97" s="21" t="n">
        <v>340.174</v>
      </c>
      <c r="LH97" s="21" t="n">
        <v>268.689</v>
      </c>
      <c r="LI97" s="21" t="n">
        <v>75.452</v>
      </c>
      <c r="LJ97" s="21" t="n">
        <v>227.089</v>
      </c>
      <c r="LK97" s="21" t="n">
        <v>354.565</v>
      </c>
      <c r="LL97" s="21" t="n">
        <v>392.261</v>
      </c>
      <c r="LM97" s="21" t="n">
        <v>71.09099999999999</v>
      </c>
      <c r="LN97" s="21" t="n">
        <v>96.508</v>
      </c>
      <c r="LO97" s="21" t="n">
        <v>48.75</v>
      </c>
      <c r="LP97" s="21" t="n">
        <v>145.719</v>
      </c>
      <c r="LQ97" s="21" t="n"/>
      <c r="LR97" s="21" t="n"/>
      <c r="LS97" s="21" t="n">
        <v>105.38</v>
      </c>
      <c r="LT97" s="21" t="n">
        <v>37.115</v>
      </c>
      <c r="LU97" s="21" t="n">
        <v>24.887</v>
      </c>
      <c r="LV97" s="21" t="n">
        <v>81.33199999999999</v>
      </c>
      <c r="LW97" s="21" t="n">
        <v>124.27</v>
      </c>
      <c r="LX97" s="21" t="n">
        <v>54.284</v>
      </c>
      <c r="LY97" s="21" t="n">
        <v>518.088</v>
      </c>
      <c r="LZ97" s="21" t="n">
        <v>86.991</v>
      </c>
      <c r="MA97" s="21" t="n">
        <v>570.914</v>
      </c>
      <c r="MB97" s="21" t="n">
        <v>318.85</v>
      </c>
      <c r="MC97" s="21" t="n">
        <v>263.813</v>
      </c>
      <c r="MD97" s="21" t="n">
        <v>171.058</v>
      </c>
      <c r="ME97" s="21" t="n">
        <v>114.437</v>
      </c>
      <c r="MF97" s="21" t="n">
        <v>185.069</v>
      </c>
      <c r="MG97" s="21" t="n">
        <v>322.018</v>
      </c>
      <c r="MH97" s="21" t="n">
        <v>196.484</v>
      </c>
      <c r="MI97" s="21" t="n">
        <v>502.035</v>
      </c>
      <c r="MJ97" s="21" t="n">
        <v>405.211</v>
      </c>
      <c r="MK97" s="21" t="n">
        <v>370.228</v>
      </c>
      <c r="ML97" s="21" t="n">
        <v>211.187</v>
      </c>
      <c r="MM97" s="21" t="n">
        <v>248.369</v>
      </c>
      <c r="MN97" s="21" t="n">
        <v>385.656</v>
      </c>
      <c r="MO97" s="21" t="n">
        <v>175.701</v>
      </c>
      <c r="MP97" s="21" t="n">
        <v>287.25</v>
      </c>
      <c r="MQ97" s="21" t="n">
        <v>87.95699999999999</v>
      </c>
      <c r="MR97" s="21" t="n">
        <v>201.201</v>
      </c>
      <c r="MS97" s="21" t="n"/>
      <c r="MT97" s="21" t="n">
        <v>284.562</v>
      </c>
      <c r="MU97" s="21" t="n">
        <v>301.705</v>
      </c>
      <c r="MV97" s="21" t="n">
        <v>293.722</v>
      </c>
      <c r="MW97" s="21" t="n">
        <v>300.113</v>
      </c>
      <c r="MX97" s="21" t="n">
        <v>272.711</v>
      </c>
      <c r="MY97" s="21" t="n">
        <v>261.854</v>
      </c>
      <c r="MZ97" s="21" t="n">
        <v>263.147</v>
      </c>
      <c r="NA97" s="21" t="n">
        <v>266.999</v>
      </c>
      <c r="NB97" s="21" t="n">
        <v>116.146</v>
      </c>
      <c r="NC97" s="21" t="n">
        <v>218.607</v>
      </c>
      <c r="ND97" s="21" t="n">
        <v>176.74</v>
      </c>
      <c r="NE97" s="21" t="n">
        <v>173.135</v>
      </c>
      <c r="NF97" s="21" t="n">
        <v>164.304</v>
      </c>
      <c r="NG97" s="21" t="n">
        <v>161.642</v>
      </c>
      <c r="NH97" s="21" t="n">
        <v>309.885</v>
      </c>
      <c r="NI97" s="21" t="n">
        <v>125.624</v>
      </c>
      <c r="NJ97" s="21" t="n">
        <v>60.939</v>
      </c>
      <c r="NK97" s="21" t="n">
        <v>119.592</v>
      </c>
      <c r="NL97" s="21" t="n">
        <v>274.937</v>
      </c>
      <c r="NM97" s="21" t="n">
        <v>297.625</v>
      </c>
      <c r="NN97" s="21" t="n">
        <v>106.804</v>
      </c>
      <c r="NO97" s="21" t="n">
        <v>42.262</v>
      </c>
      <c r="NP97" s="21" t="n">
        <v>266.405</v>
      </c>
      <c r="NQ97" s="21" t="n">
        <v>224.406</v>
      </c>
      <c r="NR97" s="21" t="n">
        <v>283.802</v>
      </c>
      <c r="NS97" s="21" t="n">
        <v>220.948</v>
      </c>
      <c r="NT97" s="21" t="n">
        <v>285.747</v>
      </c>
      <c r="NU97" s="21" t="n">
        <v>131.434</v>
      </c>
      <c r="NV97" s="21" t="n">
        <v>143.117</v>
      </c>
      <c r="NW97" s="21" t="n">
        <v>395.485</v>
      </c>
      <c r="NX97" s="21" t="n">
        <v>85.14100000000001</v>
      </c>
      <c r="NY97" s="21" t="n">
        <v>139.874</v>
      </c>
      <c r="NZ97" s="21" t="n">
        <v>383.129</v>
      </c>
      <c r="OA97" s="21" t="n">
        <v>373.549</v>
      </c>
      <c r="OB97" s="21" t="n">
        <v>384.906</v>
      </c>
      <c r="OC97" s="21" t="n">
        <v>356.168</v>
      </c>
      <c r="OD97" s="21" t="n">
        <v>391.44</v>
      </c>
      <c r="OE97" s="21" t="n">
        <v>131.605</v>
      </c>
      <c r="OF97" s="21" t="n">
        <v>373.598</v>
      </c>
      <c r="OG97" s="21" t="n">
        <v>254.138</v>
      </c>
      <c r="OH97" s="21" t="n">
        <v>33.831</v>
      </c>
      <c r="OI97" s="21" t="n">
        <v>143.566</v>
      </c>
      <c r="OJ97" s="21" t="n">
        <v>33.7</v>
      </c>
      <c r="OK97" s="21" t="n">
        <v>11.2</v>
      </c>
    </row>
    <row r="98">
      <c r="A98" s="22" t="n">
        <v>44927</v>
      </c>
      <c r="B98" s="21" t="n">
        <v>299.17</v>
      </c>
      <c r="C98" s="21" t="n">
        <v>896.182</v>
      </c>
      <c r="D98" s="21" t="n">
        <v>316.705</v>
      </c>
      <c r="E98" s="21" t="n">
        <v>319.136</v>
      </c>
      <c r="F98" s="21" t="n">
        <v>301.435</v>
      </c>
      <c r="G98" s="21" t="n">
        <v>349.294</v>
      </c>
      <c r="H98" s="21" t="n">
        <v>285.624</v>
      </c>
      <c r="I98" s="21" t="n">
        <v>318.54</v>
      </c>
      <c r="J98" s="21" t="n">
        <v>273.962</v>
      </c>
      <c r="K98" s="21" t="n">
        <v>293.434</v>
      </c>
      <c r="L98" s="21" t="n">
        <v>196.789</v>
      </c>
      <c r="M98" s="21" t="n">
        <v>386.184</v>
      </c>
      <c r="N98" s="21" t="n">
        <v>232.931</v>
      </c>
      <c r="O98" s="21" t="n">
        <v>424.714</v>
      </c>
      <c r="P98" s="21" t="n">
        <v>452.281</v>
      </c>
      <c r="Q98" s="21" t="n">
        <v>229.073</v>
      </c>
      <c r="R98" s="21" t="n">
        <v>366.553</v>
      </c>
      <c r="S98" s="21" t="n">
        <v>381.978</v>
      </c>
      <c r="T98" s="21" t="n">
        <v>346.527</v>
      </c>
      <c r="U98" s="21" t="n">
        <v>343.373</v>
      </c>
      <c r="V98" s="21" t="n">
        <v>381.893</v>
      </c>
      <c r="W98" s="21" t="n">
        <v>405.08</v>
      </c>
      <c r="X98" s="21" t="n">
        <v>340.372</v>
      </c>
      <c r="Y98" s="21" t="n">
        <v>322.737</v>
      </c>
      <c r="Z98" s="21" t="n">
        <v>315.855</v>
      </c>
      <c r="AA98" s="21" t="n">
        <v>317.902</v>
      </c>
      <c r="AB98" s="21" t="n">
        <v>382.271</v>
      </c>
      <c r="AC98" s="21" t="n">
        <v>329.943</v>
      </c>
      <c r="AD98" s="21" t="n">
        <v>306.92</v>
      </c>
      <c r="AE98" s="21" t="n">
        <v>254.334</v>
      </c>
      <c r="AF98" s="21" t="n">
        <v>317.996</v>
      </c>
      <c r="AG98" s="21" t="n">
        <v>262.262</v>
      </c>
      <c r="AH98" s="21" t="n">
        <v>199.108</v>
      </c>
      <c r="AI98" s="21" t="n">
        <v>363.05</v>
      </c>
      <c r="AJ98" s="21" t="n">
        <v>188.373</v>
      </c>
      <c r="AK98" s="21" t="n">
        <v>248.034</v>
      </c>
      <c r="AL98" s="21" t="n">
        <v>276.587</v>
      </c>
      <c r="AM98" s="21" t="n">
        <v>232.855</v>
      </c>
      <c r="AN98" s="21" t="n">
        <v>156.233</v>
      </c>
      <c r="AO98" s="21" t="n">
        <v>285.678</v>
      </c>
      <c r="AP98" s="21" t="n">
        <v>289.661</v>
      </c>
      <c r="AQ98" s="21" t="n">
        <v>184.789</v>
      </c>
      <c r="AR98" s="21" t="n"/>
      <c r="AS98" s="21" t="n"/>
      <c r="AT98" s="21" t="n">
        <v>300.213</v>
      </c>
      <c r="AU98" s="21" t="n">
        <v>192.413</v>
      </c>
      <c r="AV98" s="21" t="n">
        <v>316.322</v>
      </c>
      <c r="AW98" s="21" t="n">
        <v>288.026</v>
      </c>
      <c r="AX98" s="21" t="n">
        <v>198.27</v>
      </c>
      <c r="AY98" s="21" t="n">
        <v>357.719</v>
      </c>
      <c r="AZ98" s="21" t="n">
        <v>227.546</v>
      </c>
      <c r="BA98" s="21" t="n">
        <v>174.6</v>
      </c>
      <c r="BB98" s="21" t="n">
        <v>242.027</v>
      </c>
      <c r="BC98" s="21" t="n">
        <v>369.462</v>
      </c>
      <c r="BD98" s="21" t="n">
        <v>405.153</v>
      </c>
      <c r="BE98" s="21" t="n">
        <v>272.04</v>
      </c>
      <c r="BF98" s="21" t="n">
        <v>179.482</v>
      </c>
      <c r="BG98" s="21" t="n">
        <v>259.791</v>
      </c>
      <c r="BH98" s="21" t="n">
        <v>184.674</v>
      </c>
      <c r="BI98" s="21" t="n">
        <v>272.064</v>
      </c>
      <c r="BJ98" s="21" t="n">
        <v>275.865</v>
      </c>
      <c r="BK98" s="21" t="n">
        <v>189.019</v>
      </c>
      <c r="BL98" s="21" t="n">
        <v>351.029</v>
      </c>
      <c r="BM98" s="21" t="n">
        <v>398.196</v>
      </c>
      <c r="BN98" s="21" t="n">
        <v>406.905</v>
      </c>
      <c r="BO98" s="21" t="n">
        <v>372.933</v>
      </c>
      <c r="BP98" s="21" t="n">
        <v>208.819</v>
      </c>
      <c r="BQ98" s="21" t="n">
        <v>288.893</v>
      </c>
      <c r="BR98" s="21" t="n">
        <v>569.592</v>
      </c>
      <c r="BS98" s="21" t="n">
        <v>137.308</v>
      </c>
      <c r="BT98" s="21" t="n">
        <v>387.76</v>
      </c>
      <c r="BU98" s="21" t="n">
        <v>422.248</v>
      </c>
      <c r="BV98" s="21" t="n">
        <v>436.546</v>
      </c>
      <c r="BW98" s="21" t="n">
        <v>374.035</v>
      </c>
      <c r="BX98" s="21" t="n">
        <v>378.017</v>
      </c>
      <c r="BY98" s="21" t="n">
        <v>197.142</v>
      </c>
      <c r="BZ98" s="21" t="n">
        <v>210.102</v>
      </c>
      <c r="CA98" s="21" t="n">
        <v>198.517</v>
      </c>
      <c r="CB98" s="21" t="n">
        <v>225.334</v>
      </c>
      <c r="CC98" s="21" t="n">
        <v>179.755</v>
      </c>
      <c r="CD98" s="21" t="n">
        <v>251.446</v>
      </c>
      <c r="CE98" s="21" t="n">
        <v>188.305</v>
      </c>
      <c r="CF98" s="21" t="n">
        <v>228.258</v>
      </c>
      <c r="CG98" s="21" t="n">
        <v>213.359</v>
      </c>
      <c r="CH98" s="21" t="n">
        <v>168.424</v>
      </c>
      <c r="CI98" s="21" t="n">
        <v>219.037</v>
      </c>
      <c r="CJ98" s="21" t="n">
        <v>201.064</v>
      </c>
      <c r="CK98" s="21" t="n">
        <v>149.894</v>
      </c>
      <c r="CL98" s="21" t="n">
        <v>141.512</v>
      </c>
      <c r="CM98" s="21" t="n">
        <v>239.827</v>
      </c>
      <c r="CN98" s="21" t="n">
        <v>252.268</v>
      </c>
      <c r="CO98" s="21" t="n">
        <v>221.354</v>
      </c>
      <c r="CP98" s="21" t="n">
        <v>151.576</v>
      </c>
      <c r="CQ98" s="21" t="n">
        <v>264.746</v>
      </c>
      <c r="CR98" s="21" t="n">
        <v>275.471</v>
      </c>
      <c r="CS98" s="21" t="n">
        <v>246.607</v>
      </c>
      <c r="CT98" s="21" t="n">
        <v>186.999</v>
      </c>
      <c r="CU98" s="21" t="n">
        <v>188.628</v>
      </c>
      <c r="CV98" s="21" t="n">
        <v>310.036</v>
      </c>
      <c r="CW98" s="21" t="n">
        <v>288.971</v>
      </c>
      <c r="CX98" s="21" t="n">
        <v>322.559</v>
      </c>
      <c r="CY98" s="21" t="n">
        <v>477.158</v>
      </c>
      <c r="CZ98" s="21" t="n">
        <v>171.163</v>
      </c>
      <c r="DA98" s="21" t="n">
        <v>212.775</v>
      </c>
      <c r="DB98" s="21" t="n">
        <v>187.269</v>
      </c>
      <c r="DC98" s="21" t="n">
        <v>279.029</v>
      </c>
      <c r="DD98" s="21" t="n">
        <v>304.929</v>
      </c>
      <c r="DE98" s="21" t="n">
        <v>209.115</v>
      </c>
      <c r="DF98" s="21" t="n">
        <v>304.771</v>
      </c>
      <c r="DG98" s="21" t="n">
        <v>296.992</v>
      </c>
      <c r="DH98" s="21" t="n">
        <v>182.566</v>
      </c>
      <c r="DI98" s="21" t="n">
        <v>182.957</v>
      </c>
      <c r="DJ98" s="21" t="n">
        <v>174.761</v>
      </c>
      <c r="DK98" s="21" t="n">
        <v>344.226</v>
      </c>
      <c r="DL98" s="21" t="n">
        <v>204.744</v>
      </c>
      <c r="DM98" s="21" t="n">
        <v>166.645</v>
      </c>
      <c r="DN98" s="21" t="n">
        <v>158.123</v>
      </c>
      <c r="DO98" s="21" t="n">
        <v>345.677</v>
      </c>
      <c r="DP98" s="21" t="n">
        <v>213.792</v>
      </c>
      <c r="DQ98" s="21" t="n">
        <v>226.409</v>
      </c>
      <c r="DR98" s="21" t="n">
        <v>192.829</v>
      </c>
      <c r="DS98" s="21" t="n">
        <v>191.879</v>
      </c>
      <c r="DT98" s="21" t="n">
        <v>208.792</v>
      </c>
      <c r="DU98" s="21" t="n">
        <v>224.386</v>
      </c>
      <c r="DV98" s="21" t="n">
        <v>282.286</v>
      </c>
      <c r="DW98" s="21" t="n">
        <v>224.865</v>
      </c>
      <c r="DX98" s="21" t="n">
        <v>265.396</v>
      </c>
      <c r="DY98" s="21" t="n">
        <v>208.978</v>
      </c>
      <c r="DZ98" s="21" t="n">
        <v>219.513</v>
      </c>
      <c r="EA98" s="21" t="n">
        <v>204.866</v>
      </c>
      <c r="EB98" s="21" t="n">
        <v>180.552</v>
      </c>
      <c r="EC98" s="21" t="n">
        <v>410.007</v>
      </c>
      <c r="ED98" s="21" t="n">
        <v>199.445</v>
      </c>
      <c r="EE98" s="21" t="n">
        <v>221.657</v>
      </c>
      <c r="EF98" s="21" t="n">
        <v>225.8</v>
      </c>
      <c r="EG98" s="21" t="n">
        <v>313.747</v>
      </c>
      <c r="EH98" s="21" t="n">
        <v>369.585</v>
      </c>
      <c r="EI98" s="21" t="n">
        <v>388.372</v>
      </c>
      <c r="EJ98" s="21" t="n">
        <v>176.578</v>
      </c>
      <c r="EK98" s="21" t="n">
        <v>610.135</v>
      </c>
      <c r="EL98" s="21" t="n">
        <v>360.746</v>
      </c>
      <c r="EM98" s="21" t="n">
        <v>379.328</v>
      </c>
      <c r="EN98" s="21" t="n">
        <v>379.405</v>
      </c>
      <c r="EO98" s="21" t="n">
        <v>151.289</v>
      </c>
      <c r="EP98" s="21" t="n">
        <v>315.652</v>
      </c>
      <c r="EQ98" s="21" t="n">
        <v>270.214</v>
      </c>
      <c r="ER98" s="21" t="n">
        <v>430.693</v>
      </c>
      <c r="ES98" s="21" t="n">
        <v>455.595</v>
      </c>
      <c r="ET98" s="21" t="n">
        <v>457.114</v>
      </c>
      <c r="EU98" s="21" t="n">
        <v>272.84</v>
      </c>
      <c r="EV98" s="21" t="n">
        <v>266.528</v>
      </c>
      <c r="EW98" s="21" t="n">
        <v>285.407</v>
      </c>
      <c r="EX98" s="21" t="n">
        <v>281.461</v>
      </c>
      <c r="EY98" s="21" t="n">
        <v>646.581</v>
      </c>
      <c r="EZ98" s="21" t="n">
        <v>570.412</v>
      </c>
      <c r="FA98" s="21" t="n">
        <v>147.352</v>
      </c>
      <c r="FB98" s="21" t="n">
        <v>63.788</v>
      </c>
      <c r="FC98" s="21" t="n">
        <v>134.377</v>
      </c>
      <c r="FD98" s="21" t="n">
        <v>78.91800000000001</v>
      </c>
      <c r="FE98" s="21" t="n">
        <v>45.742</v>
      </c>
      <c r="FF98" s="21" t="n">
        <v>137.692</v>
      </c>
      <c r="FG98" s="21" t="n">
        <v>147.788</v>
      </c>
      <c r="FH98" s="21" t="n">
        <v>111.091</v>
      </c>
      <c r="FI98" s="21" t="n">
        <v>84.307</v>
      </c>
      <c r="FJ98" s="21" t="n"/>
      <c r="FK98" s="21" t="n">
        <v>89.447</v>
      </c>
      <c r="FL98" s="21" t="n">
        <v>99.41800000000001</v>
      </c>
      <c r="FM98" s="21" t="n">
        <v>119.219</v>
      </c>
      <c r="FN98" s="21" t="n">
        <v>76.556</v>
      </c>
      <c r="FO98" s="21" t="n">
        <v>55.315</v>
      </c>
      <c r="FP98" s="21" t="n">
        <v>40.425</v>
      </c>
      <c r="FQ98" s="21" t="n">
        <v>151.912</v>
      </c>
      <c r="FR98" s="21" t="n">
        <v>50.547</v>
      </c>
      <c r="FS98" s="21" t="n">
        <v>85.893</v>
      </c>
      <c r="FT98" s="21" t="n">
        <v>112.205</v>
      </c>
      <c r="FU98" s="21" t="n">
        <v>122.305</v>
      </c>
      <c r="FV98" s="21" t="n">
        <v>107.618</v>
      </c>
      <c r="FW98" s="21" t="n">
        <v>230.435</v>
      </c>
      <c r="FX98" s="21" t="n">
        <v>144.69</v>
      </c>
      <c r="FY98" s="21" t="n">
        <v>225.736</v>
      </c>
      <c r="FZ98" s="21" t="n">
        <v>139.407</v>
      </c>
      <c r="GA98" s="21" t="n"/>
      <c r="GB98" s="21" t="n">
        <v>206.259</v>
      </c>
      <c r="GC98" s="21" t="n"/>
      <c r="GD98" s="21" t="n">
        <v>200.77</v>
      </c>
      <c r="GE98" s="21" t="n">
        <v>319.469</v>
      </c>
      <c r="GF98" s="21" t="n">
        <v>127.875</v>
      </c>
      <c r="GG98" s="21" t="n">
        <v>124.709</v>
      </c>
      <c r="GH98" s="21" t="n">
        <v>128.391</v>
      </c>
      <c r="GI98" s="21" t="n">
        <v>105.754</v>
      </c>
      <c r="GJ98" s="21" t="n">
        <v>179.033</v>
      </c>
      <c r="GK98" s="21" t="n">
        <v>76.062</v>
      </c>
      <c r="GL98" s="21" t="n">
        <v>132.587</v>
      </c>
      <c r="GM98" s="21" t="n">
        <v>110.357</v>
      </c>
      <c r="GN98" s="21" t="n">
        <v>105.574</v>
      </c>
      <c r="GO98" s="21" t="n">
        <v>106.344</v>
      </c>
      <c r="GP98" s="21" t="n">
        <v>96.664</v>
      </c>
      <c r="GQ98" s="21" t="n">
        <v>96.751</v>
      </c>
      <c r="GR98" s="21" t="n">
        <v>72.316</v>
      </c>
      <c r="GS98" s="21" t="n">
        <v>110.954</v>
      </c>
      <c r="GT98" s="21" t="n">
        <v>101.456</v>
      </c>
      <c r="GU98" s="21" t="n">
        <v>142.307</v>
      </c>
      <c r="GV98" s="21" t="n">
        <v>148.569</v>
      </c>
      <c r="GW98" s="21" t="n">
        <v>163.875</v>
      </c>
      <c r="GX98" s="21" t="n">
        <v>127.397</v>
      </c>
      <c r="GY98" s="21" t="n">
        <v>124.212</v>
      </c>
      <c r="GZ98" s="21" t="n">
        <v>200.266</v>
      </c>
      <c r="HA98" s="21" t="n">
        <v>155.678</v>
      </c>
      <c r="HB98" s="21" t="n">
        <v>199.401</v>
      </c>
      <c r="HC98" s="21" t="n">
        <v>257.874</v>
      </c>
      <c r="HD98" s="21" t="n">
        <v>256.981</v>
      </c>
      <c r="HE98" s="21" t="n">
        <v>125.343</v>
      </c>
      <c r="HF98" s="21" t="n">
        <v>177.276</v>
      </c>
      <c r="HG98" s="21" t="n"/>
      <c r="HH98" s="21" t="n">
        <v>173.423</v>
      </c>
      <c r="HI98" s="21" t="n">
        <v>188.99</v>
      </c>
      <c r="HJ98" s="21" t="n"/>
      <c r="HK98" s="21" t="n">
        <v>185.857</v>
      </c>
      <c r="HL98" s="21" t="n">
        <v>111.465</v>
      </c>
      <c r="HM98" s="21" t="n">
        <v>175.721</v>
      </c>
      <c r="HN98" s="21" t="n">
        <v>297.413</v>
      </c>
      <c r="HO98" s="21" t="n">
        <v>294.759</v>
      </c>
      <c r="HP98" s="21" t="n">
        <v>288.818</v>
      </c>
      <c r="HQ98" s="21" t="n">
        <v>319.619</v>
      </c>
      <c r="HR98" s="21" t="n">
        <v>312.344</v>
      </c>
      <c r="HS98" s="21" t="n">
        <v>339.263</v>
      </c>
      <c r="HT98" s="21" t="n">
        <v>181.894</v>
      </c>
      <c r="HU98" s="21" t="n">
        <v>153.734</v>
      </c>
      <c r="HV98" s="21" t="n">
        <v>221.739</v>
      </c>
      <c r="HW98" s="21" t="n">
        <v>203.701</v>
      </c>
      <c r="HX98" s="21" t="n">
        <v>497.999</v>
      </c>
      <c r="HY98" s="21" t="n">
        <v>371.78</v>
      </c>
      <c r="HZ98" s="21" t="n">
        <v>401.172</v>
      </c>
      <c r="IA98" s="21" t="n">
        <v>322.869</v>
      </c>
      <c r="IB98" s="21" t="n">
        <v>240.662</v>
      </c>
      <c r="IC98" s="21" t="n">
        <v>658.513</v>
      </c>
      <c r="ID98" s="21" t="n">
        <v>205.103</v>
      </c>
      <c r="IE98" s="21" t="n">
        <v>192.801</v>
      </c>
      <c r="IF98" s="21" t="n">
        <v>224.454</v>
      </c>
      <c r="IG98" s="21" t="n">
        <v>259.352</v>
      </c>
      <c r="IH98" s="21" t="n"/>
      <c r="II98" s="21" t="n">
        <v>265.099</v>
      </c>
      <c r="IJ98" s="21" t="n">
        <v>264.629</v>
      </c>
      <c r="IK98" s="21" t="n">
        <v>161.377</v>
      </c>
      <c r="IL98" s="21" t="n"/>
      <c r="IM98" s="21" t="n"/>
      <c r="IN98" s="21" t="n">
        <v>61.386</v>
      </c>
      <c r="IO98" s="21" t="n">
        <v>336.875</v>
      </c>
      <c r="IP98" s="21" t="n">
        <v>128.526</v>
      </c>
      <c r="IQ98" s="21" t="n">
        <v>551.422</v>
      </c>
      <c r="IR98" s="21" t="n">
        <v>395.981</v>
      </c>
      <c r="IS98" s="21" t="n">
        <v>129.459</v>
      </c>
      <c r="IT98" s="21" t="n">
        <v>546.107</v>
      </c>
      <c r="IU98" s="21" t="n">
        <v>101.081</v>
      </c>
      <c r="IV98" s="21" t="n">
        <v>105.862</v>
      </c>
      <c r="IW98" s="21" t="n">
        <v>601.551</v>
      </c>
      <c r="IX98" s="21" t="n">
        <v>417.035</v>
      </c>
      <c r="IY98" s="21" t="n">
        <v>415.197</v>
      </c>
      <c r="IZ98" s="21" t="n">
        <v>563.582</v>
      </c>
      <c r="JA98" s="21" t="n">
        <v>198.971</v>
      </c>
      <c r="JB98" s="21" t="n">
        <v>255.438</v>
      </c>
      <c r="JC98" s="21" t="n">
        <v>91.715</v>
      </c>
      <c r="JD98" s="21" t="n">
        <v>385.064</v>
      </c>
      <c r="JE98" s="21" t="n">
        <v>372.36</v>
      </c>
      <c r="JF98" s="21" t="n">
        <v>835.095</v>
      </c>
      <c r="JG98" s="21" t="n">
        <v>269.002</v>
      </c>
      <c r="JH98" s="21" t="n">
        <v>148.486</v>
      </c>
      <c r="JI98" s="21" t="n">
        <v>182.312</v>
      </c>
      <c r="JJ98" s="21" t="n">
        <v>134.077</v>
      </c>
      <c r="JK98" s="21" t="n">
        <v>113.362</v>
      </c>
      <c r="JL98" s="21" t="n">
        <v>117.839</v>
      </c>
      <c r="JM98" s="21" t="n">
        <v>547.509</v>
      </c>
      <c r="JN98" s="21" t="n">
        <v>110.66</v>
      </c>
      <c r="JO98" s="21" t="n">
        <v>71.145</v>
      </c>
      <c r="JP98" s="21" t="n">
        <v>34.358</v>
      </c>
      <c r="JQ98" s="21" t="n">
        <v>155.195</v>
      </c>
      <c r="JR98" s="21" t="n">
        <v>26.016</v>
      </c>
      <c r="JS98" s="21" t="n">
        <v>81.012</v>
      </c>
      <c r="JT98" s="21" t="n">
        <v>210.689</v>
      </c>
      <c r="JU98" s="21" t="n">
        <v>234.331</v>
      </c>
      <c r="JV98" s="21" t="n">
        <v>183.17</v>
      </c>
      <c r="JW98" s="21" t="n">
        <v>129.808</v>
      </c>
      <c r="JX98" s="21" t="n">
        <v>310.869</v>
      </c>
      <c r="JY98" s="21" t="n">
        <v>234.266</v>
      </c>
      <c r="JZ98" s="21" t="n">
        <v>324.585</v>
      </c>
      <c r="KA98" s="21" t="n">
        <v>128.688</v>
      </c>
      <c r="KB98" s="21" t="n">
        <v>179.054</v>
      </c>
      <c r="KC98" s="21" t="n">
        <v>86.93899999999999</v>
      </c>
      <c r="KD98" s="21" t="n">
        <v>83.747</v>
      </c>
      <c r="KE98" s="21" t="n">
        <v>62.039</v>
      </c>
      <c r="KF98" s="21" t="n"/>
      <c r="KG98" s="21" t="n">
        <v>25.707</v>
      </c>
      <c r="KH98" s="21" t="n">
        <v>135.521</v>
      </c>
      <c r="KI98" s="21" t="n"/>
      <c r="KJ98" s="21" t="n"/>
      <c r="KK98" s="21" t="n">
        <v>34.486</v>
      </c>
      <c r="KL98" s="21" t="n">
        <v>29.639</v>
      </c>
      <c r="KM98" s="21" t="n">
        <v>39.774</v>
      </c>
      <c r="KN98" s="21" t="n"/>
      <c r="KO98" s="21" t="n">
        <v>102.999</v>
      </c>
      <c r="KP98" s="21" t="n">
        <v>115.199</v>
      </c>
      <c r="KQ98" s="21" t="n">
        <v>190.636</v>
      </c>
      <c r="KR98" s="21" t="n">
        <v>156.205</v>
      </c>
      <c r="KS98" s="21" t="n">
        <v>433.278</v>
      </c>
      <c r="KT98" s="21" t="n">
        <v>213.386</v>
      </c>
      <c r="KU98" s="21" t="n">
        <v>230.395</v>
      </c>
      <c r="KV98" s="21" t="n">
        <v>372.114</v>
      </c>
      <c r="KW98" s="21" t="n">
        <v>283.33</v>
      </c>
      <c r="KX98" s="21" t="n">
        <v>219.673</v>
      </c>
      <c r="KY98" s="21" t="n">
        <v>98.11799999999999</v>
      </c>
      <c r="KZ98" s="21" t="n">
        <v>145.336</v>
      </c>
      <c r="LA98" s="21" t="n">
        <v>287.509</v>
      </c>
      <c r="LB98" s="21" t="n">
        <v>717.542</v>
      </c>
      <c r="LC98" s="21" t="n">
        <v>247.568</v>
      </c>
      <c r="LD98" s="21" t="n">
        <v>826.0890000000001</v>
      </c>
      <c r="LE98" s="21" t="n">
        <v>916.002</v>
      </c>
      <c r="LF98" s="21" t="n">
        <v>91.09099999999999</v>
      </c>
      <c r="LG98" s="21" t="n">
        <v>342.261</v>
      </c>
      <c r="LH98" s="21" t="n">
        <v>269.401</v>
      </c>
      <c r="LI98" s="21" t="n">
        <v>75.75</v>
      </c>
      <c r="LJ98" s="21" t="n">
        <v>230.418</v>
      </c>
      <c r="LK98" s="21" t="n">
        <v>356.967</v>
      </c>
      <c r="LL98" s="21" t="n">
        <v>416.625</v>
      </c>
      <c r="LM98" s="21" t="n">
        <v>71.35599999999999</v>
      </c>
      <c r="LN98" s="21" t="n">
        <v>96.709</v>
      </c>
      <c r="LO98" s="21" t="n">
        <v>48.732</v>
      </c>
      <c r="LP98" s="21" t="n">
        <v>148.163</v>
      </c>
      <c r="LQ98" s="21" t="n"/>
      <c r="LR98" s="21" t="n"/>
      <c r="LS98" s="21" t="n">
        <v>105.933</v>
      </c>
      <c r="LT98" s="21" t="n">
        <v>37.21</v>
      </c>
      <c r="LU98" s="21" t="n">
        <v>25.012</v>
      </c>
      <c r="LV98" s="21" t="n">
        <v>82.15900000000001</v>
      </c>
      <c r="LW98" s="21" t="n">
        <v>123.861</v>
      </c>
      <c r="LX98" s="21" t="n">
        <v>53.668</v>
      </c>
      <c r="LY98" s="21" t="n">
        <v>521.433</v>
      </c>
      <c r="LZ98" s="21" t="n">
        <v>87.571</v>
      </c>
      <c r="MA98" s="21" t="n">
        <v>575.277</v>
      </c>
      <c r="MB98" s="21" t="n">
        <v>319.382</v>
      </c>
      <c r="MC98" s="21" t="n">
        <v>265.504</v>
      </c>
      <c r="MD98" s="21" t="n">
        <v>171.539</v>
      </c>
      <c r="ME98" s="21" t="n">
        <v>114.054</v>
      </c>
      <c r="MF98" s="21" t="n">
        <v>186.935</v>
      </c>
      <c r="MG98" s="21" t="n">
        <v>322.717</v>
      </c>
      <c r="MH98" s="21" t="n">
        <v>196.91</v>
      </c>
      <c r="MI98" s="21" t="n">
        <v>505.919</v>
      </c>
      <c r="MJ98" s="21" t="n">
        <v>405.211</v>
      </c>
      <c r="MK98" s="21" t="n">
        <v>371.99</v>
      </c>
      <c r="ML98" s="21" t="n">
        <v>212.302</v>
      </c>
      <c r="MM98" s="21" t="n">
        <v>250.111</v>
      </c>
      <c r="MN98" s="21" t="n">
        <v>395.285</v>
      </c>
      <c r="MO98" s="21" t="n">
        <v>175.91</v>
      </c>
      <c r="MP98" s="21" t="n">
        <v>297.179</v>
      </c>
      <c r="MQ98" s="21" t="n">
        <v>90.664</v>
      </c>
      <c r="MR98" s="21" t="n">
        <v>201.433</v>
      </c>
      <c r="MS98" s="21" t="n"/>
      <c r="MT98" s="21" t="n">
        <v>287.019</v>
      </c>
      <c r="MU98" s="21" t="n">
        <v>303.612</v>
      </c>
      <c r="MV98" s="21" t="n">
        <v>296.105</v>
      </c>
      <c r="MW98" s="21" t="n">
        <v>301.962</v>
      </c>
      <c r="MX98" s="21" t="n">
        <v>274.976</v>
      </c>
      <c r="MY98" s="21" t="n">
        <v>264.101</v>
      </c>
      <c r="MZ98" s="21" t="n">
        <v>264.519</v>
      </c>
      <c r="NA98" s="21" t="n">
        <v>268.746</v>
      </c>
      <c r="NB98" s="21" t="n">
        <v>119.789</v>
      </c>
      <c r="NC98" s="21" t="n">
        <v>220.468</v>
      </c>
      <c r="ND98" s="21" t="n">
        <v>178.367</v>
      </c>
      <c r="NE98" s="21" t="n">
        <v>174.751</v>
      </c>
      <c r="NF98" s="21" t="n">
        <v>165.34</v>
      </c>
      <c r="NG98" s="21" t="n">
        <v>163.174</v>
      </c>
      <c r="NH98" s="21" t="n">
        <v>312.052</v>
      </c>
      <c r="NI98" s="21" t="n">
        <v>125.749</v>
      </c>
      <c r="NJ98" s="21" t="n">
        <v>60.887</v>
      </c>
      <c r="NK98" s="21" t="n">
        <v>120.018</v>
      </c>
      <c r="NL98" s="21" t="n">
        <v>283.33</v>
      </c>
      <c r="NM98" s="21" t="n">
        <v>305.643</v>
      </c>
      <c r="NN98" s="21" t="n">
        <v>108.022</v>
      </c>
      <c r="NO98" s="21" t="n">
        <v>42.242</v>
      </c>
      <c r="NP98" s="21" t="n">
        <v>269.657</v>
      </c>
      <c r="NQ98" s="21" t="n">
        <v>228.378</v>
      </c>
      <c r="NR98" s="21" t="n">
        <v>288.197</v>
      </c>
      <c r="NS98" s="21" t="n">
        <v>225.06</v>
      </c>
      <c r="NT98" s="21" t="n">
        <v>290.445</v>
      </c>
      <c r="NU98" s="21" t="n">
        <v>132.446</v>
      </c>
      <c r="NV98" s="21" t="n">
        <v>143.887</v>
      </c>
      <c r="NW98" s="21" t="n">
        <v>397.606</v>
      </c>
      <c r="NX98" s="21" t="n">
        <v>85.559</v>
      </c>
      <c r="NY98" s="21" t="n">
        <v>141.021</v>
      </c>
      <c r="NZ98" s="21" t="n">
        <v>385.992</v>
      </c>
      <c r="OA98" s="21" t="n">
        <v>376.415</v>
      </c>
      <c r="OB98" s="21" t="n">
        <v>387.258</v>
      </c>
      <c r="OC98" s="21" t="n">
        <v>359.292</v>
      </c>
      <c r="OD98" s="21" t="n">
        <v>394.542</v>
      </c>
      <c r="OE98" s="21" t="n">
        <v>131.247</v>
      </c>
      <c r="OF98" s="21" t="n">
        <v>376.743</v>
      </c>
      <c r="OG98" s="21" t="n">
        <v>258.227</v>
      </c>
      <c r="OH98" s="21" t="n">
        <v>34.305</v>
      </c>
      <c r="OI98" s="21" t="n">
        <v>144.391</v>
      </c>
      <c r="OJ98" s="21" t="n">
        <v>33.4</v>
      </c>
      <c r="OK98" s="21" t="n">
        <v>11.2</v>
      </c>
    </row>
    <row r="99">
      <c r="A99" s="22" t="n">
        <v>44958</v>
      </c>
      <c r="B99" s="21" t="n">
        <v>300.84</v>
      </c>
      <c r="C99" s="21" t="n">
        <v>901.182</v>
      </c>
      <c r="D99" s="21" t="n">
        <v>318.05</v>
      </c>
      <c r="E99" s="21" t="n">
        <v>320.569</v>
      </c>
      <c r="F99" s="21" t="n">
        <v>302.483</v>
      </c>
      <c r="G99" s="21" t="n">
        <v>350.772</v>
      </c>
      <c r="H99" s="21" t="n">
        <v>285.005</v>
      </c>
      <c r="I99" s="21" t="n">
        <v>318.911</v>
      </c>
      <c r="J99" s="21" t="n">
        <v>270.99</v>
      </c>
      <c r="K99" s="21" t="n">
        <v>294.753</v>
      </c>
      <c r="L99" s="21" t="n">
        <v>195.887</v>
      </c>
      <c r="M99" s="21" t="n">
        <v>388.948</v>
      </c>
      <c r="N99" s="21" t="n">
        <v>235.673</v>
      </c>
      <c r="O99" s="21" t="n">
        <v>426.359</v>
      </c>
      <c r="P99" s="21" t="n">
        <v>459.837</v>
      </c>
      <c r="Q99" s="21" t="n">
        <v>231.631</v>
      </c>
      <c r="R99" s="21" t="n">
        <v>369.452</v>
      </c>
      <c r="S99" s="21" t="n">
        <v>384.67</v>
      </c>
      <c r="T99" s="21" t="n">
        <v>349.569</v>
      </c>
      <c r="U99" s="21" t="n">
        <v>343.552</v>
      </c>
      <c r="V99" s="21" t="n">
        <v>379.259</v>
      </c>
      <c r="W99" s="21" t="n">
        <v>409.724</v>
      </c>
      <c r="X99" s="21" t="n">
        <v>337.507</v>
      </c>
      <c r="Y99" s="21" t="n">
        <v>321.803</v>
      </c>
      <c r="Z99" s="21" t="n">
        <v>317.108</v>
      </c>
      <c r="AA99" s="21" t="n">
        <v>319.16</v>
      </c>
      <c r="AB99" s="21" t="n">
        <v>383.434</v>
      </c>
      <c r="AC99" s="21" t="n">
        <v>330.661</v>
      </c>
      <c r="AD99" s="21" t="n">
        <v>305.775</v>
      </c>
      <c r="AE99" s="21" t="n">
        <v>256.768</v>
      </c>
      <c r="AF99" s="21" t="n">
        <v>314.294</v>
      </c>
      <c r="AG99" s="21" t="n">
        <v>263.954</v>
      </c>
      <c r="AH99" s="21" t="n">
        <v>196.192</v>
      </c>
      <c r="AI99" s="21" t="n">
        <v>354.096</v>
      </c>
      <c r="AJ99" s="21" t="n">
        <v>188.754</v>
      </c>
      <c r="AK99" s="21" t="n">
        <v>257.342</v>
      </c>
      <c r="AL99" s="21" t="n">
        <v>287.536</v>
      </c>
      <c r="AM99" s="21" t="n">
        <v>238.206</v>
      </c>
      <c r="AN99" s="21" t="n">
        <v>157.716</v>
      </c>
      <c r="AO99" s="21" t="n">
        <v>286.318</v>
      </c>
      <c r="AP99" s="21" t="n">
        <v>294.727</v>
      </c>
      <c r="AQ99" s="21" t="n">
        <v>185.977</v>
      </c>
      <c r="AR99" s="21" t="n"/>
      <c r="AS99" s="21" t="n"/>
      <c r="AT99" s="21" t="n">
        <v>300.64</v>
      </c>
      <c r="AU99" s="21" t="n">
        <v>192.83</v>
      </c>
      <c r="AV99" s="21" t="n">
        <v>318.5</v>
      </c>
      <c r="AW99" s="21" t="n">
        <v>288.255</v>
      </c>
      <c r="AX99" s="21" t="n">
        <v>197.958</v>
      </c>
      <c r="AY99" s="21" t="n">
        <v>360.246</v>
      </c>
      <c r="AZ99" s="21" t="n">
        <v>228.047</v>
      </c>
      <c r="BA99" s="21" t="n">
        <v>176.649</v>
      </c>
      <c r="BB99" s="21" t="n">
        <v>249.255</v>
      </c>
      <c r="BC99" s="21" t="n">
        <v>372.608</v>
      </c>
      <c r="BD99" s="21" t="n">
        <v>378.199</v>
      </c>
      <c r="BE99" s="21" t="n">
        <v>272.271</v>
      </c>
      <c r="BF99" s="21" t="n">
        <v>179.36</v>
      </c>
      <c r="BG99" s="21" t="n">
        <v>258.081</v>
      </c>
      <c r="BH99" s="21" t="n">
        <v>185.242</v>
      </c>
      <c r="BI99" s="21" t="n">
        <v>271.117</v>
      </c>
      <c r="BJ99" s="21" t="n">
        <v>273.87</v>
      </c>
      <c r="BK99" s="21" t="n">
        <v>191.083</v>
      </c>
      <c r="BL99" s="21" t="n">
        <v>351.249</v>
      </c>
      <c r="BM99" s="21" t="n">
        <v>396.163</v>
      </c>
      <c r="BN99" s="21" t="n">
        <v>410.242</v>
      </c>
      <c r="BO99" s="21" t="n">
        <v>376.556</v>
      </c>
      <c r="BP99" s="21" t="n">
        <v>212.403</v>
      </c>
      <c r="BQ99" s="21" t="n">
        <v>292.211</v>
      </c>
      <c r="BR99" s="21" t="n">
        <v>564.609</v>
      </c>
      <c r="BS99" s="21" t="n">
        <v>137.594</v>
      </c>
      <c r="BT99" s="21" t="n">
        <v>380.016</v>
      </c>
      <c r="BU99" s="21" t="n">
        <v>432.55</v>
      </c>
      <c r="BV99" s="21" t="n">
        <v>410.066</v>
      </c>
      <c r="BW99" s="21" t="n">
        <v>365.251</v>
      </c>
      <c r="BX99" s="21" t="n">
        <v>369.993</v>
      </c>
      <c r="BY99" s="21" t="n">
        <v>200.624</v>
      </c>
      <c r="BZ99" s="21" t="n">
        <v>212.165</v>
      </c>
      <c r="CA99" s="21" t="n">
        <v>202.009</v>
      </c>
      <c r="CB99" s="21" t="n">
        <v>226.573</v>
      </c>
      <c r="CC99" s="21" t="n">
        <v>188.216</v>
      </c>
      <c r="CD99" s="21" t="n">
        <v>263.467</v>
      </c>
      <c r="CE99" s="21" t="n">
        <v>187.616</v>
      </c>
      <c r="CF99" s="21" t="n">
        <v>220.879</v>
      </c>
      <c r="CG99" s="21" t="n">
        <v>215.925</v>
      </c>
      <c r="CH99" s="21" t="n">
        <v>170.753</v>
      </c>
      <c r="CI99" s="21" t="n">
        <v>220.774</v>
      </c>
      <c r="CJ99" s="21" t="n">
        <v>208.506</v>
      </c>
      <c r="CK99" s="21" t="n">
        <v>152.554</v>
      </c>
      <c r="CL99" s="21" t="n">
        <v>142.619</v>
      </c>
      <c r="CM99" s="21" t="n">
        <v>240.617</v>
      </c>
      <c r="CN99" s="21" t="n">
        <v>252.125</v>
      </c>
      <c r="CO99" s="21" t="n">
        <v>223.829</v>
      </c>
      <c r="CP99" s="21" t="n">
        <v>154.026</v>
      </c>
      <c r="CQ99" s="21" t="n">
        <v>266.612</v>
      </c>
      <c r="CR99" s="21" t="n">
        <v>276.775</v>
      </c>
      <c r="CS99" s="21" t="n">
        <v>252.1</v>
      </c>
      <c r="CT99" s="21" t="n">
        <v>186.574</v>
      </c>
      <c r="CU99" s="21" t="n">
        <v>191.259</v>
      </c>
      <c r="CV99" s="21" t="n">
        <v>311.318</v>
      </c>
      <c r="CW99" s="21" t="n">
        <v>286.033</v>
      </c>
      <c r="CX99" s="21" t="n">
        <v>316.944</v>
      </c>
      <c r="CY99" s="21" t="n">
        <v>484.077</v>
      </c>
      <c r="CZ99" s="21" t="n">
        <v>172.011</v>
      </c>
      <c r="DA99" s="21" t="n">
        <v>215.866</v>
      </c>
      <c r="DB99" s="21" t="n">
        <v>191.894</v>
      </c>
      <c r="DC99" s="21" t="n">
        <v>281.225</v>
      </c>
      <c r="DD99" s="21" t="n">
        <v>308.897</v>
      </c>
      <c r="DE99" s="21" t="n">
        <v>210.625</v>
      </c>
      <c r="DF99" s="21" t="n">
        <v>306.191</v>
      </c>
      <c r="DG99" s="21" t="n">
        <v>302.142</v>
      </c>
      <c r="DH99" s="21" t="n">
        <v>185.828</v>
      </c>
      <c r="DI99" s="21" t="n">
        <v>184.34</v>
      </c>
      <c r="DJ99" s="21" t="n">
        <v>178.416</v>
      </c>
      <c r="DK99" s="21" t="n">
        <v>345.214</v>
      </c>
      <c r="DL99" s="21" t="n">
        <v>205.838</v>
      </c>
      <c r="DM99" s="21" t="n">
        <v>167.314</v>
      </c>
      <c r="DN99" s="21" t="n">
        <v>159.002</v>
      </c>
      <c r="DO99" s="21" t="n">
        <v>347.869</v>
      </c>
      <c r="DP99" s="21" t="n">
        <v>214.996</v>
      </c>
      <c r="DQ99" s="21" t="n">
        <v>228.07</v>
      </c>
      <c r="DR99" s="21" t="n">
        <v>192.362</v>
      </c>
      <c r="DS99" s="21" t="n">
        <v>191.617</v>
      </c>
      <c r="DT99" s="21" t="n">
        <v>211.561</v>
      </c>
      <c r="DU99" s="21" t="n">
        <v>225.682</v>
      </c>
      <c r="DV99" s="21" t="n">
        <v>282.377</v>
      </c>
      <c r="DW99" s="21" t="n">
        <v>225.402</v>
      </c>
      <c r="DX99" s="21" t="n">
        <v>266.014</v>
      </c>
      <c r="DY99" s="21" t="n">
        <v>209.413</v>
      </c>
      <c r="DZ99" s="21" t="n">
        <v>218.868</v>
      </c>
      <c r="EA99" s="21" t="n">
        <v>205.973</v>
      </c>
      <c r="EB99" s="21" t="n">
        <v>181.015</v>
      </c>
      <c r="EC99" s="21" t="n">
        <v>408.833</v>
      </c>
      <c r="ED99" s="21" t="n">
        <v>199.582</v>
      </c>
      <c r="EE99" s="21" t="n">
        <v>222.659</v>
      </c>
      <c r="EF99" s="21" t="n">
        <v>224.064</v>
      </c>
      <c r="EG99" s="21" t="n">
        <v>315.431</v>
      </c>
      <c r="EH99" s="21" t="n">
        <v>372.51</v>
      </c>
      <c r="EI99" s="21" t="n">
        <v>391.141</v>
      </c>
      <c r="EJ99" s="21" t="n">
        <v>184.583</v>
      </c>
      <c r="EK99" s="21" t="n">
        <v>610.092</v>
      </c>
      <c r="EL99" s="21" t="n">
        <v>379.878</v>
      </c>
      <c r="EM99" s="21" t="n">
        <v>381.844</v>
      </c>
      <c r="EN99" s="21" t="n">
        <v>381.919</v>
      </c>
      <c r="EO99" s="21" t="n">
        <v>151.176</v>
      </c>
      <c r="EP99" s="21" t="n">
        <v>309.96</v>
      </c>
      <c r="EQ99" s="21" t="n">
        <v>263.358</v>
      </c>
      <c r="ER99" s="21" t="n">
        <v>408.338</v>
      </c>
      <c r="ES99" s="21" t="n">
        <v>419.629</v>
      </c>
      <c r="ET99" s="21" t="n">
        <v>461.744</v>
      </c>
      <c r="EU99" s="21" t="n">
        <v>266.353</v>
      </c>
      <c r="EV99" s="21" t="n">
        <v>266.887</v>
      </c>
      <c r="EW99" s="21" t="n">
        <v>258.976</v>
      </c>
      <c r="EX99" s="21" t="n">
        <v>283.663</v>
      </c>
      <c r="EY99" s="21" t="n">
        <v>651.274</v>
      </c>
      <c r="EZ99" s="21" t="n">
        <v>575.697</v>
      </c>
      <c r="FA99" s="21" t="n">
        <v>148.826</v>
      </c>
      <c r="FB99" s="21" t="n">
        <v>62.948</v>
      </c>
      <c r="FC99" s="21" t="n">
        <v>134.809</v>
      </c>
      <c r="FD99" s="21" t="n">
        <v>76.322</v>
      </c>
      <c r="FE99" s="21" t="n">
        <v>45.174</v>
      </c>
      <c r="FF99" s="21" t="n">
        <v>137.918</v>
      </c>
      <c r="FG99" s="21" t="n">
        <v>148.948</v>
      </c>
      <c r="FH99" s="21" t="n">
        <v>110.16</v>
      </c>
      <c r="FI99" s="21" t="n">
        <v>85.812</v>
      </c>
      <c r="FJ99" s="21" t="n"/>
      <c r="FK99" s="21" t="n">
        <v>90.392</v>
      </c>
      <c r="FL99" s="21" t="n">
        <v>98.44499999999999</v>
      </c>
      <c r="FM99" s="21" t="n">
        <v>115.364</v>
      </c>
      <c r="FN99" s="21" t="n">
        <v>78.292</v>
      </c>
      <c r="FO99" s="21" t="n">
        <v>56.222</v>
      </c>
      <c r="FP99" s="21" t="n">
        <v>40.952</v>
      </c>
      <c r="FQ99" s="21" t="n">
        <v>156.278</v>
      </c>
      <c r="FR99" s="21" t="n">
        <v>51.49</v>
      </c>
      <c r="FS99" s="21" t="n">
        <v>86.694</v>
      </c>
      <c r="FT99" s="21" t="n">
        <v>115.078</v>
      </c>
      <c r="FU99" s="21" t="n">
        <v>123.353</v>
      </c>
      <c r="FV99" s="21" t="n">
        <v>111.92</v>
      </c>
      <c r="FW99" s="21" t="n">
        <v>231.626</v>
      </c>
      <c r="FX99" s="21" t="n">
        <v>145.699</v>
      </c>
      <c r="FY99" s="21" t="n">
        <v>225.188</v>
      </c>
      <c r="FZ99" s="21" t="n">
        <v>140.351</v>
      </c>
      <c r="GA99" s="21" t="n"/>
      <c r="GB99" s="21" t="n">
        <v>203.676</v>
      </c>
      <c r="GC99" s="21" t="n"/>
      <c r="GD99" s="21" t="n">
        <v>194.408</v>
      </c>
      <c r="GE99" s="21" t="n"/>
      <c r="GF99" s="21" t="n">
        <v>132.039</v>
      </c>
      <c r="GG99" s="21" t="n">
        <v>127.681</v>
      </c>
      <c r="GH99" s="21" t="n">
        <v>130.744</v>
      </c>
      <c r="GI99" s="21" t="n">
        <v>105.52</v>
      </c>
      <c r="GJ99" s="21" t="n">
        <v>181.547</v>
      </c>
      <c r="GK99" s="21" t="n">
        <v>80.887</v>
      </c>
      <c r="GL99" s="21" t="n">
        <v>131.588</v>
      </c>
      <c r="GM99" s="21" t="n">
        <v>114.752</v>
      </c>
      <c r="GN99" s="21" t="n">
        <v>111.282</v>
      </c>
      <c r="GO99" s="21" t="n">
        <v>111.984</v>
      </c>
      <c r="GP99" s="21" t="n">
        <v>102.577</v>
      </c>
      <c r="GQ99" s="21" t="n">
        <v>109.28</v>
      </c>
      <c r="GR99" s="21" t="n">
        <v>76.786</v>
      </c>
      <c r="GS99" s="21" t="n">
        <v>113.147</v>
      </c>
      <c r="GT99" s="21" t="n">
        <v>107.461</v>
      </c>
      <c r="GU99" s="21" t="n">
        <v>145.612</v>
      </c>
      <c r="GV99" s="21" t="n">
        <v>149.143</v>
      </c>
      <c r="GW99" s="21" t="n">
        <v>165.037</v>
      </c>
      <c r="GX99" s="21" t="n">
        <v>133.895</v>
      </c>
      <c r="GY99" s="21" t="n">
        <v>127.05</v>
      </c>
      <c r="GZ99" s="21" t="n">
        <v>197.97</v>
      </c>
      <c r="HA99" s="21" t="n">
        <v>158.438</v>
      </c>
      <c r="HB99" s="21" t="n">
        <v>196.012</v>
      </c>
      <c r="HC99" s="21" t="n">
        <v>259.712</v>
      </c>
      <c r="HD99" s="21" t="n">
        <v>258.339</v>
      </c>
      <c r="HE99" s="21" t="n">
        <v>125.178</v>
      </c>
      <c r="HF99" s="21" t="n">
        <v>177.817</v>
      </c>
      <c r="HG99" s="21" t="n"/>
      <c r="HH99" s="21" t="n">
        <v>173.972</v>
      </c>
      <c r="HI99" s="21" t="n">
        <v>189.586</v>
      </c>
      <c r="HJ99" s="21" t="n"/>
      <c r="HK99" s="21" t="n">
        <v>183.241</v>
      </c>
      <c r="HL99" s="21" t="n"/>
      <c r="HM99" s="21" t="n">
        <v>173.533</v>
      </c>
      <c r="HN99" s="21" t="n">
        <v>302.153</v>
      </c>
      <c r="HO99" s="21" t="n">
        <v>299.774</v>
      </c>
      <c r="HP99" s="21" t="n">
        <v>293.488</v>
      </c>
      <c r="HQ99" s="21" t="n">
        <v>325.85</v>
      </c>
      <c r="HR99" s="21" t="n">
        <v>319.252</v>
      </c>
      <c r="HS99" s="21" t="n">
        <v>332.558</v>
      </c>
      <c r="HT99" s="21" t="n">
        <v>181.037</v>
      </c>
      <c r="HU99" s="21" t="n">
        <v>153.169</v>
      </c>
      <c r="HV99" s="21" t="n">
        <v>220.208</v>
      </c>
      <c r="HW99" s="21" t="n">
        <v>201.087</v>
      </c>
      <c r="HX99" s="21" t="n">
        <v>497.887</v>
      </c>
      <c r="HY99" s="21" t="n">
        <v>372.572</v>
      </c>
      <c r="HZ99" s="21" t="n">
        <v>404.94</v>
      </c>
      <c r="IA99" s="21" t="n">
        <v>324.572</v>
      </c>
      <c r="IB99" s="21" t="n">
        <v>239.881</v>
      </c>
      <c r="IC99" s="21" t="n">
        <v>668.806</v>
      </c>
      <c r="ID99" s="21" t="n">
        <v>205.964</v>
      </c>
      <c r="IE99" s="21" t="n">
        <v>193.534</v>
      </c>
      <c r="IF99" s="21" t="n">
        <v>225.517</v>
      </c>
      <c r="IG99" s="21" t="n">
        <v>260.326</v>
      </c>
      <c r="IH99" s="21" t="n"/>
      <c r="II99" s="21" t="n">
        <v>277.142</v>
      </c>
      <c r="IJ99" s="21" t="n">
        <v>281.216</v>
      </c>
      <c r="IK99" s="21" t="n">
        <v>161.481</v>
      </c>
      <c r="IL99" s="21" t="n"/>
      <c r="IM99" s="21" t="n"/>
      <c r="IN99" s="21" t="n">
        <v>61.795</v>
      </c>
      <c r="IO99" s="21" t="n">
        <v>333.902</v>
      </c>
      <c r="IP99" s="21" t="n">
        <v>128.526</v>
      </c>
      <c r="IQ99" s="21" t="n">
        <v>549.487</v>
      </c>
      <c r="IR99" s="21" t="n">
        <v>396.56</v>
      </c>
      <c r="IS99" s="21" t="n">
        <v>129.638</v>
      </c>
      <c r="IT99" s="21" t="n">
        <v>546.312</v>
      </c>
      <c r="IU99" s="21" t="n">
        <v>101.472</v>
      </c>
      <c r="IV99" s="21" t="n">
        <v>106.114</v>
      </c>
      <c r="IW99" s="21" t="n">
        <v>598.778</v>
      </c>
      <c r="IX99" s="21" t="n">
        <v>416.709</v>
      </c>
      <c r="IY99" s="21" t="n">
        <v>413.034</v>
      </c>
      <c r="IZ99" s="21" t="n">
        <v>566.11</v>
      </c>
      <c r="JA99" s="21" t="n">
        <v>199.544</v>
      </c>
      <c r="JB99" s="21" t="n">
        <v>256.305</v>
      </c>
      <c r="JC99" s="21" t="n">
        <v>91.813</v>
      </c>
      <c r="JD99" s="21" t="n">
        <v>384.996</v>
      </c>
      <c r="JE99" s="21" t="n">
        <v>372.233</v>
      </c>
      <c r="JF99" s="21" t="n">
        <v>834.3390000000001</v>
      </c>
      <c r="JG99" s="21" t="n">
        <v>271.942</v>
      </c>
      <c r="JH99" s="21" t="n">
        <v>149.215</v>
      </c>
      <c r="JI99" s="21" t="n">
        <v>174.883</v>
      </c>
      <c r="JJ99" s="21" t="n">
        <v>135.519</v>
      </c>
      <c r="JK99" s="21" t="n">
        <v>115.056</v>
      </c>
      <c r="JL99" s="21" t="n">
        <v>115.377</v>
      </c>
      <c r="JM99" s="21" t="n">
        <v>560.978</v>
      </c>
      <c r="JN99" s="21" t="n">
        <v>111.444</v>
      </c>
      <c r="JO99" s="21" t="n">
        <v>71.179</v>
      </c>
      <c r="JP99" s="21" t="n">
        <v>34.848</v>
      </c>
      <c r="JQ99" s="21" t="n">
        <v>154.695</v>
      </c>
      <c r="JR99" s="21" t="n">
        <v>26.325</v>
      </c>
      <c r="JS99" s="21" t="n">
        <v>80.67700000000001</v>
      </c>
      <c r="JT99" s="21" t="n">
        <v>213.861</v>
      </c>
      <c r="JU99" s="21" t="n">
        <v>236.802</v>
      </c>
      <c r="JV99" s="21" t="n">
        <v>185.33</v>
      </c>
      <c r="JW99" s="21" t="n">
        <v>130.482</v>
      </c>
      <c r="JX99" s="21" t="n">
        <v>317.279</v>
      </c>
      <c r="JY99" s="21" t="n">
        <v>235.427</v>
      </c>
      <c r="JZ99" s="21" t="n">
        <v>332.604</v>
      </c>
      <c r="KA99" s="21" t="n">
        <v>128.931</v>
      </c>
      <c r="KB99" s="21" t="n">
        <v>180.039</v>
      </c>
      <c r="KC99" s="21" t="n">
        <v>86.663</v>
      </c>
      <c r="KD99" s="21" t="n">
        <v>84.664</v>
      </c>
      <c r="KE99" s="21" t="n">
        <v>62.645</v>
      </c>
      <c r="KF99" s="21" t="n"/>
      <c r="KG99" s="21" t="n">
        <v>25.983</v>
      </c>
      <c r="KH99" s="21" t="n">
        <v>137.14</v>
      </c>
      <c r="KI99" s="21" t="n"/>
      <c r="KJ99" s="21" t="n"/>
      <c r="KK99" s="21" t="n">
        <v>35.068</v>
      </c>
      <c r="KL99" s="21" t="n">
        <v>30.278</v>
      </c>
      <c r="KM99" s="21" t="n">
        <v>39.948</v>
      </c>
      <c r="KN99" s="21" t="n"/>
      <c r="KO99" s="21" t="n">
        <v>97.706</v>
      </c>
      <c r="KP99" s="21" t="n">
        <v>117.339</v>
      </c>
      <c r="KQ99" s="21" t="n">
        <v>192</v>
      </c>
      <c r="KR99" s="21" t="n">
        <v>157.391</v>
      </c>
      <c r="KS99" s="21" t="n">
        <v>438.028</v>
      </c>
      <c r="KT99" s="21" t="n">
        <v>213.034</v>
      </c>
      <c r="KU99" s="21" t="n">
        <v>240.169</v>
      </c>
      <c r="KV99" s="21" t="n">
        <v>370.449</v>
      </c>
      <c r="KW99" s="21" t="n">
        <v>284.162</v>
      </c>
      <c r="KX99" s="21" t="n">
        <v>220.029</v>
      </c>
      <c r="KY99" s="21" t="n">
        <v>98.55800000000001</v>
      </c>
      <c r="KZ99" s="21" t="n">
        <v>145.407</v>
      </c>
      <c r="LA99" s="21" t="n">
        <v>287.651</v>
      </c>
      <c r="LB99" s="21" t="n">
        <v>717.706</v>
      </c>
      <c r="LC99" s="21" t="n">
        <v>247.836</v>
      </c>
      <c r="LD99" s="21" t="n">
        <v>826.508</v>
      </c>
      <c r="LE99" s="21" t="n">
        <v>915.9690000000001</v>
      </c>
      <c r="LF99" s="21" t="n">
        <v>91.11</v>
      </c>
      <c r="LG99" s="21" t="n">
        <v>342.877</v>
      </c>
      <c r="LH99" s="21" t="n">
        <v>269.449</v>
      </c>
      <c r="LI99" s="21" t="n">
        <v>75.786</v>
      </c>
      <c r="LJ99" s="21" t="n">
        <v>233.484</v>
      </c>
      <c r="LK99" s="21" t="n">
        <v>361.992</v>
      </c>
      <c r="LL99" s="21" t="n">
        <v>420.336</v>
      </c>
      <c r="LM99" s="21" t="n">
        <v>71.37</v>
      </c>
      <c r="LN99" s="21" t="n">
        <v>96.675</v>
      </c>
      <c r="LO99" s="21" t="n">
        <v>48.57</v>
      </c>
      <c r="LP99" s="21" t="n">
        <v>150.698</v>
      </c>
      <c r="LQ99" s="21" t="n"/>
      <c r="LR99" s="21" t="n"/>
      <c r="LS99" s="21" t="n">
        <v>106.009</v>
      </c>
      <c r="LT99" s="21" t="n">
        <v>37.712</v>
      </c>
      <c r="LU99" s="21" t="n">
        <v>25.228</v>
      </c>
      <c r="LV99" s="21" t="n">
        <v>82.869</v>
      </c>
      <c r="LW99" s="21" t="n">
        <v>120.348</v>
      </c>
      <c r="LX99" s="21" t="n">
        <v>51.952</v>
      </c>
      <c r="LY99" s="21" t="n">
        <v>526.196</v>
      </c>
      <c r="LZ99" s="21" t="n">
        <v>88.45699999999999</v>
      </c>
      <c r="MA99" s="21" t="n">
        <v>579.953</v>
      </c>
      <c r="MB99" s="21" t="n">
        <v>326.019</v>
      </c>
      <c r="MC99" s="21" t="n">
        <v>267.871</v>
      </c>
      <c r="MD99" s="21" t="n">
        <v>172.394</v>
      </c>
      <c r="ME99" s="21" t="n">
        <v>114.814</v>
      </c>
      <c r="MF99" s="21" t="n">
        <v>187.494</v>
      </c>
      <c r="MG99" s="21" t="n">
        <v>324.811</v>
      </c>
      <c r="MH99" s="21" t="n">
        <v>198.188</v>
      </c>
      <c r="MI99" s="21" t="n">
        <v>512.826</v>
      </c>
      <c r="MJ99" s="21" t="n">
        <v>409.39</v>
      </c>
      <c r="MK99" s="21" t="n">
        <v>372.592</v>
      </c>
      <c r="ML99" s="21" t="n">
        <v>214.178</v>
      </c>
      <c r="MM99" s="21" t="n">
        <v>252.248</v>
      </c>
      <c r="MN99" s="21" t="n">
        <v>406.441</v>
      </c>
      <c r="MO99" s="21" t="n">
        <v>175.401</v>
      </c>
      <c r="MP99" s="21" t="n">
        <v>309.021</v>
      </c>
      <c r="MQ99" s="21" t="n">
        <v>91.402</v>
      </c>
      <c r="MR99" s="21" t="n">
        <v>201.701</v>
      </c>
      <c r="MS99" s="21" t="n"/>
      <c r="MT99" s="21" t="n">
        <v>288.849</v>
      </c>
      <c r="MU99" s="21" t="n">
        <v>305.57</v>
      </c>
      <c r="MV99" s="21" t="n">
        <v>297.808</v>
      </c>
      <c r="MW99" s="21" t="n">
        <v>304.011</v>
      </c>
      <c r="MX99" s="21" t="n">
        <v>276.174</v>
      </c>
      <c r="MY99" s="21" t="n">
        <v>265.242</v>
      </c>
      <c r="MZ99" s="21" t="n">
        <v>266.085</v>
      </c>
      <c r="NA99" s="21" t="n">
        <v>270.667</v>
      </c>
      <c r="NB99" s="21" t="n">
        <v>123.971</v>
      </c>
      <c r="NC99" s="21" t="n">
        <v>221.731</v>
      </c>
      <c r="ND99" s="21" t="n">
        <v>179.508</v>
      </c>
      <c r="NE99" s="21" t="n">
        <v>175.907</v>
      </c>
      <c r="NF99" s="21" t="n">
        <v>166.246</v>
      </c>
      <c r="NG99" s="21" t="n">
        <v>164.512</v>
      </c>
      <c r="NH99" s="21" t="n">
        <v>312.657</v>
      </c>
      <c r="NI99" s="21" t="n">
        <v>125.825</v>
      </c>
      <c r="NJ99" s="21" t="n">
        <v>60.42</v>
      </c>
      <c r="NK99" s="21" t="n">
        <v>120.261</v>
      </c>
      <c r="NL99" s="21" t="n">
        <v>281.673</v>
      </c>
      <c r="NM99" s="21" t="n">
        <v>309.28</v>
      </c>
      <c r="NN99" s="21" t="n">
        <v>109.065</v>
      </c>
      <c r="NO99" s="21" t="n">
        <v>41.879</v>
      </c>
      <c r="NP99" s="21" t="n">
        <v>271.873</v>
      </c>
      <c r="NQ99" s="21" t="n">
        <v>231.189</v>
      </c>
      <c r="NR99" s="21" t="n">
        <v>290.24</v>
      </c>
      <c r="NS99" s="21" t="n">
        <v>228.028</v>
      </c>
      <c r="NT99" s="21" t="n">
        <v>292.689</v>
      </c>
      <c r="NU99" s="21" t="n">
        <v>133.427</v>
      </c>
      <c r="NV99" s="21" t="n">
        <v>145.417</v>
      </c>
      <c r="NW99" s="21" t="n">
        <v>400.518</v>
      </c>
      <c r="NX99" s="21" t="n">
        <v>86.083</v>
      </c>
      <c r="NY99" s="21" t="n">
        <v>143.02</v>
      </c>
      <c r="NZ99" s="21" t="n">
        <v>389.083</v>
      </c>
      <c r="OA99" s="21" t="n">
        <v>378.481</v>
      </c>
      <c r="OB99" s="21" t="n">
        <v>390.07</v>
      </c>
      <c r="OC99" s="21" t="n">
        <v>361.699</v>
      </c>
      <c r="OD99" s="21" t="n">
        <v>395.48</v>
      </c>
      <c r="OE99" s="21" t="n">
        <v>130.792</v>
      </c>
      <c r="OF99" s="21" t="n">
        <v>382.801</v>
      </c>
      <c r="OG99" s="21" t="n">
        <v>257.578</v>
      </c>
      <c r="OH99" s="21" t="n">
        <v>34.021</v>
      </c>
      <c r="OI99" s="21" t="n">
        <v>147.527</v>
      </c>
      <c r="OJ99" s="21" t="n">
        <v>33.2</v>
      </c>
      <c r="OK99" s="21" t="n">
        <v>11.1</v>
      </c>
    </row>
    <row r="100">
      <c r="A100" s="22" t="n">
        <v>44986</v>
      </c>
      <c r="B100" s="21" t="n">
        <v>301.836</v>
      </c>
      <c r="C100" s="21" t="n">
        <v>904.167</v>
      </c>
      <c r="D100" s="21" t="n">
        <v>318.338</v>
      </c>
      <c r="E100" s="21" t="n">
        <v>320.863</v>
      </c>
      <c r="F100" s="21" t="n">
        <v>301.918</v>
      </c>
      <c r="G100" s="21" t="n">
        <v>353.866</v>
      </c>
      <c r="H100" s="21" t="n">
        <v>288.714</v>
      </c>
      <c r="I100" s="21" t="n">
        <v>320.897</v>
      </c>
      <c r="J100" s="21" t="n">
        <v>277.523</v>
      </c>
      <c r="K100" s="21" t="n">
        <v>296.413</v>
      </c>
      <c r="L100" s="21" t="n">
        <v>196.903</v>
      </c>
      <c r="M100" s="21" t="n">
        <v>391.639</v>
      </c>
      <c r="N100" s="21" t="n">
        <v>236.502</v>
      </c>
      <c r="O100" s="21" t="n">
        <v>430.513</v>
      </c>
      <c r="P100" s="21" t="n">
        <v>458.389</v>
      </c>
      <c r="Q100" s="21" t="n">
        <v>229.399</v>
      </c>
      <c r="R100" s="21" t="n">
        <v>372.111</v>
      </c>
      <c r="S100" s="21" t="n">
        <v>387.899</v>
      </c>
      <c r="T100" s="21" t="n">
        <v>351.309</v>
      </c>
      <c r="U100" s="21" t="n">
        <v>349.616</v>
      </c>
      <c r="V100" s="21" t="n">
        <v>384.323</v>
      </c>
      <c r="W100" s="21" t="n">
        <v>415.762</v>
      </c>
      <c r="X100" s="21" t="n">
        <v>346.379</v>
      </c>
      <c r="Y100" s="21" t="n">
        <v>318.306</v>
      </c>
      <c r="Z100" s="21" t="n">
        <v>316.772</v>
      </c>
      <c r="AA100" s="21" t="n">
        <v>320.002</v>
      </c>
      <c r="AB100" s="21" t="n">
        <v>385.438</v>
      </c>
      <c r="AC100" s="21" t="n">
        <v>331.897</v>
      </c>
      <c r="AD100" s="21" t="n">
        <v>302.145</v>
      </c>
      <c r="AE100" s="21" t="n">
        <v>260.392</v>
      </c>
      <c r="AF100" s="21" t="n">
        <v>313.066</v>
      </c>
      <c r="AG100" s="21" t="n">
        <v>262.124</v>
      </c>
      <c r="AH100" s="21" t="n">
        <v>197.236</v>
      </c>
      <c r="AI100" s="21" t="n">
        <v>357.468</v>
      </c>
      <c r="AJ100" s="21" t="n">
        <v>188.884</v>
      </c>
      <c r="AK100" s="21" t="n">
        <v>253.624</v>
      </c>
      <c r="AL100" s="21" t="n">
        <v>282.867</v>
      </c>
      <c r="AM100" s="21" t="n">
        <v>234.76</v>
      </c>
      <c r="AN100" s="21" t="n">
        <v>154.858</v>
      </c>
      <c r="AO100" s="21" t="n">
        <v>289.421</v>
      </c>
      <c r="AP100" s="21" t="n">
        <v>290.868</v>
      </c>
      <c r="AQ100" s="21" t="n">
        <v>188.327</v>
      </c>
      <c r="AR100" s="21" t="n"/>
      <c r="AS100" s="21" t="n"/>
      <c r="AT100" s="21" t="n">
        <v>299.538</v>
      </c>
      <c r="AU100" s="21" t="n">
        <v>191.668</v>
      </c>
      <c r="AV100" s="21" t="n">
        <v>315.982</v>
      </c>
      <c r="AW100" s="21" t="n">
        <v>287.073</v>
      </c>
      <c r="AX100" s="21" t="n">
        <v>199.114</v>
      </c>
      <c r="AY100" s="21" t="n">
        <v>356.279</v>
      </c>
      <c r="AZ100" s="21" t="n">
        <v>226.775</v>
      </c>
      <c r="BA100" s="21" t="n">
        <v>173.791</v>
      </c>
      <c r="BB100" s="21" t="n">
        <v>244.048</v>
      </c>
      <c r="BC100" s="21" t="n">
        <v>367.404</v>
      </c>
      <c r="BD100" s="21" t="n">
        <v>337.068</v>
      </c>
      <c r="BE100" s="21" t="n">
        <v>271.384</v>
      </c>
      <c r="BF100" s="21" t="n">
        <v>176.994</v>
      </c>
      <c r="BG100" s="21" t="n">
        <v>254.998</v>
      </c>
      <c r="BH100" s="21" t="n">
        <v>182.889</v>
      </c>
      <c r="BI100" s="21" t="n">
        <v>271.021</v>
      </c>
      <c r="BJ100" s="21" t="n">
        <v>276.088</v>
      </c>
      <c r="BK100" s="21" t="n">
        <v>190.363</v>
      </c>
      <c r="BL100" s="21" t="n">
        <v>345.814</v>
      </c>
      <c r="BM100" s="21" t="n">
        <v>388.507</v>
      </c>
      <c r="BN100" s="21" t="n">
        <v>403.347</v>
      </c>
      <c r="BO100" s="21" t="n">
        <v>376.465</v>
      </c>
      <c r="BP100" s="21" t="n">
        <v>209.243</v>
      </c>
      <c r="BQ100" s="21" t="n">
        <v>293.528</v>
      </c>
      <c r="BR100" s="21" t="n">
        <v>556.254</v>
      </c>
      <c r="BS100" s="21" t="n">
        <v>132.328</v>
      </c>
      <c r="BT100" s="21" t="n">
        <v>371.572</v>
      </c>
      <c r="BU100" s="21" t="n">
        <v>428.283</v>
      </c>
      <c r="BV100" s="21" t="n">
        <v>386.943</v>
      </c>
      <c r="BW100" s="21" t="n">
        <v>352.798</v>
      </c>
      <c r="BX100" s="21" t="n">
        <v>365.064</v>
      </c>
      <c r="BY100" s="21" t="n">
        <v>199.766</v>
      </c>
      <c r="BZ100" s="21" t="n">
        <v>211.166</v>
      </c>
      <c r="CA100" s="21" t="n">
        <v>200.415</v>
      </c>
      <c r="CB100" s="21" t="n">
        <v>225.915</v>
      </c>
      <c r="CC100" s="21" t="n">
        <v>188.17</v>
      </c>
      <c r="CD100" s="21" t="n">
        <v>262.581</v>
      </c>
      <c r="CE100" s="21" t="n">
        <v>185.91</v>
      </c>
      <c r="CF100" s="21" t="n">
        <v>220.26</v>
      </c>
      <c r="CG100" s="21" t="n">
        <v>216.329</v>
      </c>
      <c r="CH100" s="21" t="n">
        <v>171.251</v>
      </c>
      <c r="CI100" s="21" t="n">
        <v>221.504</v>
      </c>
      <c r="CJ100" s="21" t="n">
        <v>207.773</v>
      </c>
      <c r="CK100" s="21" t="n">
        <v>152.973</v>
      </c>
      <c r="CL100" s="21" t="n">
        <v>142.537</v>
      </c>
      <c r="CM100" s="21" t="n">
        <v>239.478</v>
      </c>
      <c r="CN100" s="21" t="n">
        <v>252.586</v>
      </c>
      <c r="CO100" s="21" t="n">
        <v>218.463</v>
      </c>
      <c r="CP100" s="21" t="n">
        <v>155.101</v>
      </c>
      <c r="CQ100" s="21" t="n">
        <v>268.567</v>
      </c>
      <c r="CR100" s="21" t="n">
        <v>276.16</v>
      </c>
      <c r="CS100" s="21" t="n">
        <v>251.335</v>
      </c>
      <c r="CT100" s="21" t="n">
        <v>186.643</v>
      </c>
      <c r="CU100" s="21" t="n">
        <v>189.583</v>
      </c>
      <c r="CV100" s="21" t="n">
        <v>309.071</v>
      </c>
      <c r="CW100" s="21" t="n">
        <v>278.837</v>
      </c>
      <c r="CX100" s="21" t="n">
        <v>305.763</v>
      </c>
      <c r="CY100" s="21" t="n">
        <v>476.712</v>
      </c>
      <c r="CZ100" s="21" t="n">
        <v>174.88</v>
      </c>
      <c r="DA100" s="21" t="n">
        <v>214.45</v>
      </c>
      <c r="DB100" s="21" t="n">
        <v>187.431</v>
      </c>
      <c r="DC100" s="21" t="n">
        <v>284.346</v>
      </c>
      <c r="DD100" s="21" t="n">
        <v>312.678</v>
      </c>
      <c r="DE100" s="21" t="n">
        <v>213.796</v>
      </c>
      <c r="DF100" s="21" t="n">
        <v>312.833</v>
      </c>
      <c r="DG100" s="21" t="n">
        <v>303.701</v>
      </c>
      <c r="DH100" s="21" t="n">
        <v>189.39</v>
      </c>
      <c r="DI100" s="21" t="n">
        <v>186.398</v>
      </c>
      <c r="DJ100" s="21" t="n">
        <v>179.702</v>
      </c>
      <c r="DK100" s="21" t="n">
        <v>345.527</v>
      </c>
      <c r="DL100" s="21" t="n">
        <v>205.068</v>
      </c>
      <c r="DM100" s="21" t="n">
        <v>168.529</v>
      </c>
      <c r="DN100" s="21" t="n">
        <v>159.807</v>
      </c>
      <c r="DO100" s="21" t="n">
        <v>349.944</v>
      </c>
      <c r="DP100" s="21" t="n">
        <v>216.558</v>
      </c>
      <c r="DQ100" s="21" t="n">
        <v>229.128</v>
      </c>
      <c r="DR100" s="21" t="n">
        <v>192.711</v>
      </c>
      <c r="DS100" s="21" t="n">
        <v>192.25</v>
      </c>
      <c r="DT100" s="21" t="n">
        <v>213.263</v>
      </c>
      <c r="DU100" s="21" t="n">
        <v>227.327</v>
      </c>
      <c r="DV100" s="21" t="n">
        <v>282.588</v>
      </c>
      <c r="DW100" s="21" t="n">
        <v>225.297</v>
      </c>
      <c r="DX100" s="21" t="n">
        <v>266.425</v>
      </c>
      <c r="DY100" s="21" t="n">
        <v>207.534</v>
      </c>
      <c r="DZ100" s="21" t="n">
        <v>218.845</v>
      </c>
      <c r="EA100" s="21" t="n">
        <v>203.83</v>
      </c>
      <c r="EB100" s="21" t="n">
        <v>181.209</v>
      </c>
      <c r="EC100" s="21" t="n">
        <v>409.906</v>
      </c>
      <c r="ED100" s="21" t="n">
        <v>200.237</v>
      </c>
      <c r="EE100" s="21" t="n">
        <v>223.079</v>
      </c>
      <c r="EF100" s="21" t="n">
        <v>224.529</v>
      </c>
      <c r="EG100" s="21" t="n">
        <v>316.514</v>
      </c>
      <c r="EH100" s="21" t="n">
        <v>374.971</v>
      </c>
      <c r="EI100" s="21" t="n">
        <v>392.91</v>
      </c>
      <c r="EJ100" s="21" t="n">
        <v>197.855</v>
      </c>
      <c r="EK100" s="21" t="n">
        <v>609.85</v>
      </c>
      <c r="EL100" s="21" t="n">
        <v>411.613</v>
      </c>
      <c r="EM100" s="21" t="n">
        <v>383.502</v>
      </c>
      <c r="EN100" s="21" t="n">
        <v>383.578</v>
      </c>
      <c r="EO100" s="21" t="n">
        <v>151.229</v>
      </c>
      <c r="EP100" s="21" t="n">
        <v>304.032</v>
      </c>
      <c r="EQ100" s="21" t="n">
        <v>256.705</v>
      </c>
      <c r="ER100" s="21" t="n">
        <v>397.426</v>
      </c>
      <c r="ES100" s="21" t="n">
        <v>403.04</v>
      </c>
      <c r="ET100" s="21" t="n">
        <v>461.775</v>
      </c>
      <c r="EU100" s="21" t="n">
        <v>259.647</v>
      </c>
      <c r="EV100" s="21" t="n">
        <v>265.033</v>
      </c>
      <c r="EW100" s="21" t="n">
        <v>238.182</v>
      </c>
      <c r="EX100" s="21" t="n">
        <v>284.166</v>
      </c>
      <c r="EY100" s="21" t="n">
        <v>652.403</v>
      </c>
      <c r="EZ100" s="21" t="n">
        <v>576.773</v>
      </c>
      <c r="FA100" s="21" t="n">
        <v>149.23</v>
      </c>
      <c r="FB100" s="21" t="n">
        <v>63.249</v>
      </c>
      <c r="FC100" s="21" t="n">
        <v>135.839</v>
      </c>
      <c r="FD100" s="21" t="n">
        <v>75.93000000000001</v>
      </c>
      <c r="FE100" s="21" t="n">
        <v>45.533</v>
      </c>
      <c r="FF100" s="21" t="n">
        <v>138.416</v>
      </c>
      <c r="FG100" s="21" t="n">
        <v>147.749</v>
      </c>
      <c r="FH100" s="21" t="n">
        <v>110.803</v>
      </c>
      <c r="FI100" s="21" t="n">
        <v>87.40900000000001</v>
      </c>
      <c r="FJ100" s="21" t="n"/>
      <c r="FK100" s="21" t="n">
        <v>90.976</v>
      </c>
      <c r="FL100" s="21" t="n">
        <v>99.032</v>
      </c>
      <c r="FM100" s="21" t="n">
        <v>118.41</v>
      </c>
      <c r="FN100" s="21" t="n">
        <v>78.81699999999999</v>
      </c>
      <c r="FO100" s="21" t="n">
        <v>56.181</v>
      </c>
      <c r="FP100" s="21" t="n">
        <v>41.011</v>
      </c>
      <c r="FQ100" s="21" t="n">
        <v>158.685</v>
      </c>
      <c r="FR100" s="21" t="n">
        <v>50.388</v>
      </c>
      <c r="FS100" s="21" t="n">
        <v>84.70999999999999</v>
      </c>
      <c r="FT100" s="21" t="n">
        <v>115.515</v>
      </c>
      <c r="FU100" s="21" t="n">
        <v>124.47</v>
      </c>
      <c r="FV100" s="21" t="n">
        <v>112.102</v>
      </c>
      <c r="FW100" s="21" t="n">
        <v>232.82</v>
      </c>
      <c r="FX100" s="21" t="n">
        <v>147.222</v>
      </c>
      <c r="FY100" s="21" t="n">
        <v>228.328</v>
      </c>
      <c r="FZ100" s="21" t="n">
        <v>140.097</v>
      </c>
      <c r="GA100" s="21" t="n"/>
      <c r="GB100" s="21" t="n">
        <v>203.739</v>
      </c>
      <c r="GC100" s="21" t="n"/>
      <c r="GD100" s="21" t="n">
        <v>197.293</v>
      </c>
      <c r="GE100" s="21" t="n">
        <v>324.894</v>
      </c>
      <c r="GF100" s="21" t="n">
        <v>133.112</v>
      </c>
      <c r="GG100" s="21" t="n">
        <v>128.461</v>
      </c>
      <c r="GH100" s="21" t="n">
        <v>131.25</v>
      </c>
      <c r="GI100" s="21" t="n">
        <v>105.046</v>
      </c>
      <c r="GJ100" s="21" t="n">
        <v>180.818</v>
      </c>
      <c r="GK100" s="21" t="n">
        <v>80.384</v>
      </c>
      <c r="GL100" s="21" t="n">
        <v>135.724</v>
      </c>
      <c r="GM100" s="21" t="n">
        <v>116.187</v>
      </c>
      <c r="GN100" s="21" t="n">
        <v>112.658</v>
      </c>
      <c r="GO100" s="21" t="n">
        <v>113.581</v>
      </c>
      <c r="GP100" s="21" t="n">
        <v>105.242</v>
      </c>
      <c r="GQ100" s="21" t="n">
        <v>112.942</v>
      </c>
      <c r="GR100" s="21" t="n">
        <v>77.968</v>
      </c>
      <c r="GS100" s="21" t="n">
        <v>113.786</v>
      </c>
      <c r="GT100" s="21" t="n">
        <v>107.779</v>
      </c>
      <c r="GU100" s="21" t="n">
        <v>145.715</v>
      </c>
      <c r="GV100" s="21" t="n">
        <v>146.688</v>
      </c>
      <c r="GW100" s="21" t="n">
        <v>170.764</v>
      </c>
      <c r="GX100" s="21" t="n">
        <v>133.382</v>
      </c>
      <c r="GY100" s="21" t="n">
        <v>126.561</v>
      </c>
      <c r="GZ100" s="21" t="n">
        <v>201.232</v>
      </c>
      <c r="HA100" s="21" t="n">
        <v>151.827</v>
      </c>
      <c r="HB100" s="21" t="n">
        <v>201.48</v>
      </c>
      <c r="HC100" s="21" t="n">
        <v>261.969</v>
      </c>
      <c r="HD100" s="21" t="n">
        <v>260.495</v>
      </c>
      <c r="HE100" s="21" t="n">
        <v>126.28</v>
      </c>
      <c r="HF100" s="21" t="n">
        <v>178.342</v>
      </c>
      <c r="HG100" s="21" t="n"/>
      <c r="HH100" s="21" t="n">
        <v>174.508</v>
      </c>
      <c r="HI100" s="21" t="n">
        <v>190.119</v>
      </c>
      <c r="HJ100" s="21" t="n"/>
      <c r="HK100" s="21" t="n">
        <v>184.997</v>
      </c>
      <c r="HL100" s="21" t="n">
        <v>117.69</v>
      </c>
      <c r="HM100" s="21" t="n">
        <v>180.991</v>
      </c>
      <c r="HN100" s="21" t="n">
        <v>304.575</v>
      </c>
      <c r="HO100" s="21" t="n">
        <v>302.673</v>
      </c>
      <c r="HP100" s="21" t="n">
        <v>296.244</v>
      </c>
      <c r="HQ100" s="21" t="n">
        <v>328.993</v>
      </c>
      <c r="HR100" s="21" t="n">
        <v>322.915</v>
      </c>
      <c r="HS100" s="21" t="n">
        <v>316.209</v>
      </c>
      <c r="HT100" s="21" t="n">
        <v>181.282</v>
      </c>
      <c r="HU100" s="21" t="n">
        <v>153.059</v>
      </c>
      <c r="HV100" s="21" t="n">
        <v>221.479</v>
      </c>
      <c r="HW100" s="21" t="n">
        <v>203.433</v>
      </c>
      <c r="HX100" s="21" t="n">
        <v>501.144</v>
      </c>
      <c r="HY100" s="21" t="n">
        <v>373.865</v>
      </c>
      <c r="HZ100" s="21" t="n"/>
      <c r="IA100" s="21" t="n">
        <v>325.729</v>
      </c>
      <c r="IB100" s="21" t="n">
        <v>240.376</v>
      </c>
      <c r="IC100" s="21" t="n">
        <v>677.4450000000001</v>
      </c>
      <c r="ID100" s="21" t="n">
        <v>205.417</v>
      </c>
      <c r="IE100" s="21" t="n">
        <v>193.709</v>
      </c>
      <c r="IF100" s="21" t="n">
        <v>223.788</v>
      </c>
      <c r="IG100" s="21" t="n">
        <v>259.251</v>
      </c>
      <c r="IH100" s="21" t="n"/>
      <c r="II100" s="21" t="n">
        <v>281.448</v>
      </c>
      <c r="IJ100" s="21" t="n">
        <v>286.814</v>
      </c>
      <c r="IK100" s="21" t="n">
        <v>161.824</v>
      </c>
      <c r="IL100" s="21" t="n"/>
      <c r="IM100" s="21" t="n"/>
      <c r="IN100" s="21" t="n">
        <v>62.01</v>
      </c>
      <c r="IO100" s="21" t="n">
        <v>334.405</v>
      </c>
      <c r="IP100" s="21" t="n">
        <v>128.475</v>
      </c>
      <c r="IQ100" s="21" t="n">
        <v>547.8049999999999</v>
      </c>
      <c r="IR100" s="21" t="n">
        <v>398.917</v>
      </c>
      <c r="IS100" s="21" t="n">
        <v>130.344</v>
      </c>
      <c r="IT100" s="21" t="n">
        <v>547.078</v>
      </c>
      <c r="IU100" s="21" t="n">
        <v>103.03</v>
      </c>
      <c r="IV100" s="21" t="n">
        <v>107.376</v>
      </c>
      <c r="IW100" s="21" t="n">
        <v>595.745</v>
      </c>
      <c r="IX100" s="21" t="n">
        <v>416.899</v>
      </c>
      <c r="IY100" s="21" t="n">
        <v>412.119</v>
      </c>
      <c r="IZ100" s="21" t="n">
        <v>567.994</v>
      </c>
      <c r="JA100" s="21" t="n">
        <v>199.757</v>
      </c>
      <c r="JB100" s="21" t="n">
        <v>257.431</v>
      </c>
      <c r="JC100" s="21" t="n">
        <v>91.59099999999999</v>
      </c>
      <c r="JD100" s="21" t="n">
        <v>383.42</v>
      </c>
      <c r="JE100" s="21" t="n">
        <v>369.734</v>
      </c>
      <c r="JF100" s="21" t="n">
        <v>842.261</v>
      </c>
      <c r="JG100" s="21" t="n">
        <v>273.241</v>
      </c>
      <c r="JH100" s="21" t="n">
        <v>150.721</v>
      </c>
      <c r="JI100" s="21" t="n">
        <v>167.618</v>
      </c>
      <c r="JJ100" s="21" t="n">
        <v>135.693</v>
      </c>
      <c r="JK100" s="21" t="n">
        <v>116.021</v>
      </c>
      <c r="JL100" s="21" t="n">
        <v>113.292</v>
      </c>
      <c r="JM100" s="21" t="n">
        <v>569.723</v>
      </c>
      <c r="JN100" s="21" t="n">
        <v>114.899</v>
      </c>
      <c r="JO100" s="21" t="n">
        <v>70.30500000000001</v>
      </c>
      <c r="JP100" s="21" t="n">
        <v>33.467</v>
      </c>
      <c r="JQ100" s="21" t="n">
        <v>153.964</v>
      </c>
      <c r="JR100" s="21" t="n">
        <v>26.224</v>
      </c>
      <c r="JS100" s="21" t="n">
        <v>81.38200000000001</v>
      </c>
      <c r="JT100" s="21" t="n">
        <v>215.341</v>
      </c>
      <c r="JU100" s="21" t="n">
        <v>238.643</v>
      </c>
      <c r="JV100" s="21" t="n">
        <v>188.38</v>
      </c>
      <c r="JW100" s="21" t="n">
        <v>130.043</v>
      </c>
      <c r="JX100" s="21" t="n">
        <v>319.143</v>
      </c>
      <c r="JY100" s="21" t="n">
        <v>237.214</v>
      </c>
      <c r="JZ100" s="21" t="n">
        <v>335.663</v>
      </c>
      <c r="KA100" s="21" t="n">
        <v>128.15</v>
      </c>
      <c r="KB100" s="21" t="n">
        <v>178.682</v>
      </c>
      <c r="KC100" s="21" t="n">
        <v>86.324</v>
      </c>
      <c r="KD100" s="21" t="n">
        <v>84.322</v>
      </c>
      <c r="KE100" s="21" t="n">
        <v>63.183</v>
      </c>
      <c r="KF100" s="21" t="n"/>
      <c r="KG100" s="21" t="n">
        <v>26.211</v>
      </c>
      <c r="KH100" s="21" t="n">
        <v>135.723</v>
      </c>
      <c r="KI100" s="21" t="n"/>
      <c r="KJ100" s="21" t="n"/>
      <c r="KK100" s="21" t="n">
        <v>35.285</v>
      </c>
      <c r="KL100" s="21" t="n">
        <v>30.366</v>
      </c>
      <c r="KM100" s="21" t="n">
        <v>40.16</v>
      </c>
      <c r="KN100" s="21" t="n"/>
      <c r="KO100" s="21" t="n">
        <v>100.482</v>
      </c>
      <c r="KP100" s="21" t="n">
        <v>119.432</v>
      </c>
      <c r="KQ100" s="21" t="n">
        <v>190.619</v>
      </c>
      <c r="KR100" s="21" t="n">
        <v>156.758</v>
      </c>
      <c r="KS100" s="21" t="n">
        <v>431.088</v>
      </c>
      <c r="KT100" s="21" t="n">
        <v>215.38</v>
      </c>
      <c r="KU100" s="21" t="n">
        <v>230.877</v>
      </c>
      <c r="KV100" s="21" t="n">
        <v>369.676</v>
      </c>
      <c r="KW100" s="21" t="n">
        <v>286.582</v>
      </c>
      <c r="KX100" s="21" t="n">
        <v>223.245</v>
      </c>
      <c r="KY100" s="21" t="n">
        <v>98.69199999999999</v>
      </c>
      <c r="KZ100" s="21" t="n">
        <v>145.481</v>
      </c>
      <c r="LA100" s="21" t="n">
        <v>288.26</v>
      </c>
      <c r="LB100" s="21" t="n">
        <v>707.8200000000001</v>
      </c>
      <c r="LC100" s="21" t="n">
        <v>244.94</v>
      </c>
      <c r="LD100" s="21" t="n">
        <v>828.853</v>
      </c>
      <c r="LE100" s="21" t="n">
        <v>916.072</v>
      </c>
      <c r="LF100" s="21" t="n">
        <v>91.20099999999999</v>
      </c>
      <c r="LG100" s="21" t="n">
        <v>346.178</v>
      </c>
      <c r="LH100" s="21" t="n">
        <v>269.446</v>
      </c>
      <c r="LI100" s="21" t="n">
        <v>75.748</v>
      </c>
      <c r="LJ100" s="21" t="n">
        <v>233.05</v>
      </c>
      <c r="LK100" s="21" t="n">
        <v>361.992</v>
      </c>
      <c r="LL100" s="21" t="n">
        <v>415.081</v>
      </c>
      <c r="LM100" s="21" t="n">
        <v>71.336</v>
      </c>
      <c r="LN100" s="21" t="n">
        <v>96.258</v>
      </c>
      <c r="LO100" s="21" t="n">
        <v>48.353</v>
      </c>
      <c r="LP100" s="21" t="n">
        <v>150.178</v>
      </c>
      <c r="LQ100" s="21" t="n"/>
      <c r="LR100" s="21" t="n"/>
      <c r="LS100" s="21" t="n">
        <v>106.336</v>
      </c>
      <c r="LT100" s="21" t="n">
        <v>37.957</v>
      </c>
      <c r="LU100" s="21" t="n">
        <v>25.109</v>
      </c>
      <c r="LV100" s="21" t="n">
        <v>83.61</v>
      </c>
      <c r="LW100" s="21" t="n">
        <v>118.769</v>
      </c>
      <c r="LX100" s="21" t="n">
        <v>50.608</v>
      </c>
      <c r="LY100" s="21" t="n">
        <v>528.811</v>
      </c>
      <c r="LZ100" s="21" t="n">
        <v>89.122</v>
      </c>
      <c r="MA100" s="21" t="n">
        <v>585.879</v>
      </c>
      <c r="MB100" s="21" t="n">
        <v>323.814</v>
      </c>
      <c r="MC100" s="21" t="n">
        <v>269.047</v>
      </c>
      <c r="MD100" s="21" t="n">
        <v>173.801</v>
      </c>
      <c r="ME100" s="21" t="n">
        <v>116.255</v>
      </c>
      <c r="MF100" s="21" t="n">
        <v>188.158</v>
      </c>
      <c r="MG100" s="21" t="n">
        <v>325.3</v>
      </c>
      <c r="MH100" s="21" t="n">
        <v>198.486</v>
      </c>
      <c r="MI100" s="21" t="n">
        <v>516.389</v>
      </c>
      <c r="MJ100" s="21" t="n">
        <v>410.273</v>
      </c>
      <c r="MK100" s="21" t="n">
        <v>374.628</v>
      </c>
      <c r="ML100" s="21" t="n">
        <v>214.712</v>
      </c>
      <c r="MM100" s="21" t="n">
        <v>253.261</v>
      </c>
      <c r="MN100" s="21" t="n">
        <v>413.62</v>
      </c>
      <c r="MO100" s="21" t="n">
        <v>175.492</v>
      </c>
      <c r="MP100" s="21" t="n">
        <v>316.313</v>
      </c>
      <c r="MQ100" s="21" t="n">
        <v>90.224</v>
      </c>
      <c r="MR100" s="21" t="n">
        <v>199.754</v>
      </c>
      <c r="MS100" s="21" t="n"/>
      <c r="MT100" s="21" t="n">
        <v>289.965</v>
      </c>
      <c r="MU100" s="21" t="n">
        <v>306.869</v>
      </c>
      <c r="MV100" s="21" t="n">
        <v>298.906</v>
      </c>
      <c r="MW100" s="21" t="n">
        <v>305.476</v>
      </c>
      <c r="MX100" s="21" t="n">
        <v>276.61</v>
      </c>
      <c r="MY100" s="21" t="n">
        <v>265.706</v>
      </c>
      <c r="MZ100" s="21" t="n">
        <v>267.003</v>
      </c>
      <c r="NA100" s="21" t="n">
        <v>271.501</v>
      </c>
      <c r="NB100" s="21" t="n">
        <v>125.205</v>
      </c>
      <c r="NC100" s="21" t="n">
        <v>222.457</v>
      </c>
      <c r="ND100" s="21" t="n">
        <v>180.326</v>
      </c>
      <c r="NE100" s="21" t="n">
        <v>176.732</v>
      </c>
      <c r="NF100" s="21" t="n">
        <v>166.961</v>
      </c>
      <c r="NG100" s="21" t="n">
        <v>165.102</v>
      </c>
      <c r="NH100" s="21" t="n">
        <v>312.069</v>
      </c>
      <c r="NI100" s="21" t="n">
        <v>126.227</v>
      </c>
      <c r="NJ100" s="21" t="n">
        <v>60.119</v>
      </c>
      <c r="NK100" s="21" t="n">
        <v>120.447</v>
      </c>
      <c r="NL100" s="21" t="n">
        <v>279.084</v>
      </c>
      <c r="NM100" s="21" t="n">
        <v>311.16</v>
      </c>
      <c r="NN100" s="21" t="n">
        <v>109.468</v>
      </c>
      <c r="NO100" s="21" t="n">
        <v>41.715</v>
      </c>
      <c r="NP100" s="21" t="n">
        <v>272.775</v>
      </c>
      <c r="NQ100" s="21" t="n">
        <v>232.561</v>
      </c>
      <c r="NR100" s="21" t="n">
        <v>291.794</v>
      </c>
      <c r="NS100" s="21" t="n">
        <v>229.467</v>
      </c>
      <c r="NT100" s="21" t="n">
        <v>294.383</v>
      </c>
      <c r="NU100" s="21" t="n">
        <v>134.137</v>
      </c>
      <c r="NV100" s="21" t="n">
        <v>146.096</v>
      </c>
      <c r="NW100" s="21" t="n">
        <v>401.293</v>
      </c>
      <c r="NX100" s="21" t="n">
        <v>86.193</v>
      </c>
      <c r="NY100" s="21" t="n">
        <v>143.204</v>
      </c>
      <c r="NZ100" s="21" t="n">
        <v>391.681</v>
      </c>
      <c r="OA100" s="21" t="n">
        <v>379.743</v>
      </c>
      <c r="OB100" s="21" t="n">
        <v>392.024</v>
      </c>
      <c r="OC100" s="21" t="n">
        <v>363.264</v>
      </c>
      <c r="OD100" s="21" t="n">
        <v>395.158</v>
      </c>
      <c r="OE100" s="21" t="n">
        <v>131.485</v>
      </c>
      <c r="OF100" s="21" t="n">
        <v>387.966</v>
      </c>
      <c r="OG100" s="21" t="n">
        <v>255.43</v>
      </c>
      <c r="OH100" s="21" t="n">
        <v>33.831</v>
      </c>
      <c r="OI100" s="21" t="n">
        <v>149.347</v>
      </c>
      <c r="OJ100" s="21" t="n">
        <v>33.1</v>
      </c>
      <c r="OK100" s="21" t="n">
        <v>11.1</v>
      </c>
    </row>
    <row r="101">
      <c r="A101" s="22" t="n">
        <v>45017</v>
      </c>
      <c r="B101" s="21" t="n">
        <v>303.363</v>
      </c>
      <c r="C101" s="21" t="n">
        <v>908.742</v>
      </c>
      <c r="D101" s="21" t="n">
        <v>319.085</v>
      </c>
      <c r="E101" s="21" t="n">
        <v>321.566</v>
      </c>
      <c r="F101" s="21" t="n">
        <v>302.328</v>
      </c>
      <c r="G101" s="21" t="n">
        <v>353.742</v>
      </c>
      <c r="H101" s="21" t="n">
        <v>288.128</v>
      </c>
      <c r="I101" s="21" t="n">
        <v>316.654</v>
      </c>
      <c r="J101" s="21" t="n">
        <v>277.748</v>
      </c>
      <c r="K101" s="21" t="n">
        <v>296.32</v>
      </c>
      <c r="L101" s="21" t="n">
        <v>197.052</v>
      </c>
      <c r="M101" s="21" t="n">
        <v>391.801</v>
      </c>
      <c r="N101" s="21" t="n">
        <v>235.683</v>
      </c>
      <c r="O101" s="21" t="n">
        <v>431.004</v>
      </c>
      <c r="P101" s="21" t="n">
        <v>454.842</v>
      </c>
      <c r="Q101" s="21" t="n">
        <v>232.5</v>
      </c>
      <c r="R101" s="21" t="n">
        <v>370.885</v>
      </c>
      <c r="S101" s="21" t="n">
        <v>388.529</v>
      </c>
      <c r="T101" s="21" t="n">
        <v>350.42</v>
      </c>
      <c r="U101" s="21" t="n">
        <v>349.918</v>
      </c>
      <c r="V101" s="21" t="n">
        <v>383.104</v>
      </c>
      <c r="W101" s="21" t="n">
        <v>417.303</v>
      </c>
      <c r="X101" s="21" t="n">
        <v>345.15</v>
      </c>
      <c r="Y101" s="21" t="n">
        <v>318.996</v>
      </c>
      <c r="Z101" s="21" t="n">
        <v>317.942</v>
      </c>
      <c r="AA101" s="21" t="n">
        <v>320.985</v>
      </c>
      <c r="AB101" s="21" t="n">
        <v>390.559</v>
      </c>
      <c r="AC101" s="21" t="n">
        <v>333.806</v>
      </c>
      <c r="AD101" s="21" t="n">
        <v>307.412</v>
      </c>
      <c r="AE101" s="21" t="n">
        <v>264.942</v>
      </c>
      <c r="AF101" s="21" t="n">
        <v>318.567</v>
      </c>
      <c r="AG101" s="21" t="n">
        <v>260.211</v>
      </c>
      <c r="AH101" s="21" t="n">
        <v>194.709</v>
      </c>
      <c r="AI101" s="21" t="n">
        <v>354.707</v>
      </c>
      <c r="AJ101" s="21" t="n">
        <v>185.367</v>
      </c>
      <c r="AK101" s="21" t="n">
        <v>248.335</v>
      </c>
      <c r="AL101" s="21" t="n">
        <v>275.974</v>
      </c>
      <c r="AM101" s="21" t="n">
        <v>236.125</v>
      </c>
      <c r="AN101" s="21" t="n">
        <v>156</v>
      </c>
      <c r="AO101" s="21" t="n">
        <v>289.167</v>
      </c>
      <c r="AP101" s="21" t="n">
        <v>283.548</v>
      </c>
      <c r="AQ101" s="21" t="n">
        <v>189.349</v>
      </c>
      <c r="AR101" s="21" t="n"/>
      <c r="AS101" s="21" t="n"/>
      <c r="AT101" s="21" t="n">
        <v>301.343</v>
      </c>
      <c r="AU101" s="21" t="n">
        <v>192.578</v>
      </c>
      <c r="AV101" s="21" t="n">
        <v>316.063</v>
      </c>
      <c r="AW101" s="21" t="n">
        <v>288.755</v>
      </c>
      <c r="AX101" s="21" t="n">
        <v>201.327</v>
      </c>
      <c r="AY101" s="21" t="n">
        <v>357.389</v>
      </c>
      <c r="AZ101" s="21" t="n">
        <v>226.747</v>
      </c>
      <c r="BA101" s="21" t="n">
        <v>174.874</v>
      </c>
      <c r="BB101" s="21" t="n">
        <v>243.434</v>
      </c>
      <c r="BC101" s="21" t="n">
        <v>373.244</v>
      </c>
      <c r="BD101" s="21" t="n">
        <v>332.046</v>
      </c>
      <c r="BE101" s="21" t="n">
        <v>271.102</v>
      </c>
      <c r="BF101" s="21" t="n">
        <v>175.86</v>
      </c>
      <c r="BG101" s="21" t="n">
        <v>251.997</v>
      </c>
      <c r="BH101" s="21" t="n">
        <v>182.314</v>
      </c>
      <c r="BI101" s="21" t="n">
        <v>271.312</v>
      </c>
      <c r="BJ101" s="21" t="n">
        <v>274.415</v>
      </c>
      <c r="BK101" s="21" t="n">
        <v>191.091</v>
      </c>
      <c r="BL101" s="21" t="n">
        <v>346.269</v>
      </c>
      <c r="BM101" s="21" t="n">
        <v>390.265</v>
      </c>
      <c r="BN101" s="21" t="n">
        <v>407.008</v>
      </c>
      <c r="BO101" s="21" t="n">
        <v>380.371</v>
      </c>
      <c r="BP101" s="21" t="n">
        <v>209.66</v>
      </c>
      <c r="BQ101" s="21" t="n">
        <v>297.207</v>
      </c>
      <c r="BR101" s="21" t="n">
        <v>559.333</v>
      </c>
      <c r="BS101" s="21" t="n">
        <v>133.491</v>
      </c>
      <c r="BT101" s="21" t="n">
        <v>371.298</v>
      </c>
      <c r="BU101" s="21" t="n">
        <v>430.341</v>
      </c>
      <c r="BV101" s="21" t="n">
        <v>398.562</v>
      </c>
      <c r="BW101" s="21" t="n">
        <v>342.056</v>
      </c>
      <c r="BX101" s="21" t="n">
        <v>364.561</v>
      </c>
      <c r="BY101" s="21" t="n">
        <v>198.194</v>
      </c>
      <c r="BZ101" s="21" t="n">
        <v>209.815</v>
      </c>
      <c r="CA101" s="21" t="n">
        <v>200.391</v>
      </c>
      <c r="CB101" s="21" t="n">
        <v>222.954</v>
      </c>
      <c r="CC101" s="21" t="n">
        <v>185.55</v>
      </c>
      <c r="CD101" s="21" t="n">
        <v>263.951</v>
      </c>
      <c r="CE101" s="21" t="n">
        <v>185.414</v>
      </c>
      <c r="CF101" s="21" t="n">
        <v>216.599</v>
      </c>
      <c r="CG101" s="21" t="n">
        <v>215.833</v>
      </c>
      <c r="CH101" s="21" t="n">
        <v>171.162</v>
      </c>
      <c r="CI101" s="21" t="n">
        <v>222.687</v>
      </c>
      <c r="CJ101" s="21" t="n">
        <v>205.675</v>
      </c>
      <c r="CK101" s="21" t="n">
        <v>152.266</v>
      </c>
      <c r="CL101" s="21" t="n">
        <v>141.613</v>
      </c>
      <c r="CM101" s="21" t="n">
        <v>237.183</v>
      </c>
      <c r="CN101" s="21" t="n">
        <v>248.998</v>
      </c>
      <c r="CO101" s="21" t="n">
        <v>219.488</v>
      </c>
      <c r="CP101" s="21" t="n">
        <v>154.96</v>
      </c>
      <c r="CQ101" s="21" t="n">
        <v>269.657</v>
      </c>
      <c r="CR101" s="21" t="n">
        <v>276.858</v>
      </c>
      <c r="CS101" s="21" t="n">
        <v>252.124</v>
      </c>
      <c r="CT101" s="21" t="n">
        <v>187.326</v>
      </c>
      <c r="CU101" s="21" t="n">
        <v>189.408</v>
      </c>
      <c r="CV101" s="21" t="n">
        <v>308.073</v>
      </c>
      <c r="CW101" s="21" t="n">
        <v>274.425</v>
      </c>
      <c r="CX101" s="21" t="n">
        <v>299.94</v>
      </c>
      <c r="CY101" s="21" t="n">
        <v>473.619</v>
      </c>
      <c r="CZ101" s="21" t="n">
        <v>173.041</v>
      </c>
      <c r="DA101" s="21" t="n">
        <v>216.558</v>
      </c>
      <c r="DB101" s="21" t="n">
        <v>188.993</v>
      </c>
      <c r="DC101" s="21" t="n">
        <v>285.872</v>
      </c>
      <c r="DD101" s="21" t="n">
        <v>316.55</v>
      </c>
      <c r="DE101" s="21" t="n">
        <v>215.21</v>
      </c>
      <c r="DF101" s="21" t="n">
        <v>316.614</v>
      </c>
      <c r="DG101" s="21" t="n">
        <v>303.01</v>
      </c>
      <c r="DH101" s="21" t="n">
        <v>185.177</v>
      </c>
      <c r="DI101" s="21" t="n">
        <v>187.276</v>
      </c>
      <c r="DJ101" s="21" t="n">
        <v>179.364</v>
      </c>
      <c r="DK101" s="21" t="n">
        <v>340.53</v>
      </c>
      <c r="DL101" s="21" t="n">
        <v>213.793</v>
      </c>
      <c r="DM101" s="21" t="n">
        <v>168.839</v>
      </c>
      <c r="DN101" s="21" t="n">
        <v>158.044</v>
      </c>
      <c r="DO101" s="21" t="n">
        <v>351.237</v>
      </c>
      <c r="DP101" s="21" t="n">
        <v>216.852</v>
      </c>
      <c r="DQ101" s="21" t="n">
        <v>230.419</v>
      </c>
      <c r="DR101" s="21" t="n">
        <v>192.554</v>
      </c>
      <c r="DS101" s="21" t="n">
        <v>192.28</v>
      </c>
      <c r="DT101" s="21" t="n">
        <v>213.92</v>
      </c>
      <c r="DU101" s="21" t="n">
        <v>230.117</v>
      </c>
      <c r="DV101" s="21" t="n">
        <v>283.961</v>
      </c>
      <c r="DW101" s="21" t="n">
        <v>225.46</v>
      </c>
      <c r="DX101" s="21" t="n">
        <v>266.491</v>
      </c>
      <c r="DY101" s="21" t="n">
        <v>207.386</v>
      </c>
      <c r="DZ101" s="21" t="n">
        <v>219.851</v>
      </c>
      <c r="EA101" s="21" t="n">
        <v>202.371</v>
      </c>
      <c r="EB101" s="21" t="n">
        <v>181.513</v>
      </c>
      <c r="EC101" s="21" t="n">
        <v>414.514</v>
      </c>
      <c r="ED101" s="21" t="n">
        <v>200.789</v>
      </c>
      <c r="EE101" s="21" t="n">
        <v>224.122</v>
      </c>
      <c r="EF101" s="21" t="n">
        <v>229.754</v>
      </c>
      <c r="EG101" s="21" t="n">
        <v>317.278</v>
      </c>
      <c r="EH101" s="21" t="n">
        <v>376.636</v>
      </c>
      <c r="EI101" s="21" t="n">
        <v>394.898</v>
      </c>
      <c r="EJ101" s="21" t="n">
        <v>196.239</v>
      </c>
      <c r="EK101" s="21" t="n">
        <v>609.85</v>
      </c>
      <c r="EL101" s="21" t="n">
        <v>407.751</v>
      </c>
      <c r="EM101" s="21" t="n">
        <v>385.366</v>
      </c>
      <c r="EN101" s="21" t="n">
        <v>385.453</v>
      </c>
      <c r="EO101" s="21" t="n">
        <v>151.966</v>
      </c>
      <c r="EP101" s="21" t="n">
        <v>299.962</v>
      </c>
      <c r="EQ101" s="21" t="n">
        <v>251.991</v>
      </c>
      <c r="ER101" s="21" t="n">
        <v>382.076</v>
      </c>
      <c r="ES101" s="21" t="n">
        <v>384.903</v>
      </c>
      <c r="ET101" s="21" t="n">
        <v>449.857</v>
      </c>
      <c r="EU101" s="21" t="n">
        <v>255.185</v>
      </c>
      <c r="EV101" s="21" t="n">
        <v>263.216</v>
      </c>
      <c r="EW101" s="21" t="n">
        <v>226.062</v>
      </c>
      <c r="EX101" s="21" t="n">
        <v>285.052</v>
      </c>
      <c r="EY101" s="21" t="n">
        <v>653.74</v>
      </c>
      <c r="EZ101" s="21" t="n">
        <v>580.124</v>
      </c>
      <c r="FA101" s="21" t="n">
        <v>149.65</v>
      </c>
      <c r="FB101" s="21" t="n">
        <v>62.116</v>
      </c>
      <c r="FC101" s="21" t="n">
        <v>135.604</v>
      </c>
      <c r="FD101" s="21" t="n">
        <v>74.47499999999999</v>
      </c>
      <c r="FE101" s="21" t="n">
        <v>44.339</v>
      </c>
      <c r="FF101" s="21" t="n">
        <v>137.709</v>
      </c>
      <c r="FG101" s="21" t="n">
        <v>148.768</v>
      </c>
      <c r="FH101" s="21" t="n">
        <v>110.392</v>
      </c>
      <c r="FI101" s="21" t="n">
        <v>84.79300000000001</v>
      </c>
      <c r="FJ101" s="21" t="n"/>
      <c r="FK101" s="21" t="n">
        <v>89.729</v>
      </c>
      <c r="FL101" s="21" t="n">
        <v>96.946</v>
      </c>
      <c r="FM101" s="21" t="n">
        <v>118.606</v>
      </c>
      <c r="FN101" s="21" t="n">
        <v>78.06999999999999</v>
      </c>
      <c r="FO101" s="21" t="n">
        <v>55.742</v>
      </c>
      <c r="FP101" s="21" t="n">
        <v>41.424</v>
      </c>
      <c r="FQ101" s="21" t="n">
        <v>151.84</v>
      </c>
      <c r="FR101" s="21" t="n">
        <v>49.282</v>
      </c>
      <c r="FS101" s="21" t="n">
        <v>83.621</v>
      </c>
      <c r="FT101" s="21" t="n">
        <v>115.183</v>
      </c>
      <c r="FU101" s="21" t="n">
        <v>123.619</v>
      </c>
      <c r="FV101" s="21" t="n">
        <v>111.948</v>
      </c>
      <c r="FW101" s="21" t="n">
        <v>234.581</v>
      </c>
      <c r="FX101" s="21" t="n">
        <v>147.232</v>
      </c>
      <c r="FY101" s="21" t="n">
        <v>231.591</v>
      </c>
      <c r="FZ101" s="21" t="n">
        <v>141.538</v>
      </c>
      <c r="GA101" s="21" t="n">
        <v>240.416</v>
      </c>
      <c r="GB101" s="21" t="n">
        <v>217.796</v>
      </c>
      <c r="GC101" s="21" t="n">
        <v>247.558</v>
      </c>
      <c r="GD101" s="21" t="n">
        <v>199.206</v>
      </c>
      <c r="GE101" s="21" t="n"/>
      <c r="GF101" s="21" t="n">
        <v>131.762</v>
      </c>
      <c r="GG101" s="21" t="n">
        <v>127.441</v>
      </c>
      <c r="GH101" s="21" t="n">
        <v>130.604</v>
      </c>
      <c r="GI101" s="21" t="n">
        <v>104.788</v>
      </c>
      <c r="GJ101" s="21" t="n">
        <v>179.363</v>
      </c>
      <c r="GK101" s="21" t="n">
        <v>78.39700000000001</v>
      </c>
      <c r="GL101" s="21" t="n">
        <v>138.081</v>
      </c>
      <c r="GM101" s="21" t="n">
        <v>114.274</v>
      </c>
      <c r="GN101" s="21" t="n">
        <v>111.052</v>
      </c>
      <c r="GO101" s="21" t="n">
        <v>111.671</v>
      </c>
      <c r="GP101" s="21" t="n">
        <v>104.336</v>
      </c>
      <c r="GQ101" s="21" t="n">
        <v>109.656</v>
      </c>
      <c r="GR101" s="21" t="n">
        <v>76.15600000000001</v>
      </c>
      <c r="GS101" s="21" t="n">
        <v>113.138</v>
      </c>
      <c r="GT101" s="21" t="n">
        <v>107.624</v>
      </c>
      <c r="GU101" s="21" t="n">
        <v>144.949</v>
      </c>
      <c r="GV101" s="21" t="n">
        <v>146.128</v>
      </c>
      <c r="GW101" s="21" t="n">
        <v>170.107</v>
      </c>
      <c r="GX101" s="21" t="n">
        <v>132.399</v>
      </c>
      <c r="GY101" s="21" t="n">
        <v>126.622</v>
      </c>
      <c r="GZ101" s="21" t="n">
        <v>198.596</v>
      </c>
      <c r="HA101" s="21" t="n">
        <v>153.21</v>
      </c>
      <c r="HB101" s="21" t="n">
        <v>198.021</v>
      </c>
      <c r="HC101" s="21" t="n">
        <v>267.402</v>
      </c>
      <c r="HD101" s="21" t="n">
        <v>265.893</v>
      </c>
      <c r="HE101" s="21" t="n">
        <v>128.294</v>
      </c>
      <c r="HF101" s="21" t="n">
        <v>178.892</v>
      </c>
      <c r="HG101" s="21" t="n"/>
      <c r="HH101" s="21" t="n">
        <v>174.923</v>
      </c>
      <c r="HI101" s="21" t="n">
        <v>190.703</v>
      </c>
      <c r="HJ101" s="21" t="n"/>
      <c r="HK101" s="21" t="n">
        <v>193.394</v>
      </c>
      <c r="HL101" s="21" t="n">
        <v>116.765</v>
      </c>
      <c r="HM101" s="21" t="n">
        <v>180.66</v>
      </c>
      <c r="HN101" s="21" t="n">
        <v>319.843</v>
      </c>
      <c r="HO101" s="21" t="n">
        <v>318.482</v>
      </c>
      <c r="HP101" s="21" t="n">
        <v>312.514</v>
      </c>
      <c r="HQ101" s="21" t="n">
        <v>343.467</v>
      </c>
      <c r="HR101" s="21" t="n">
        <v>334.494</v>
      </c>
      <c r="HS101" s="21" t="n">
        <v>307.755</v>
      </c>
      <c r="HT101" s="21" t="n">
        <v>182.321</v>
      </c>
      <c r="HU101" s="21" t="n">
        <v>153.661</v>
      </c>
      <c r="HV101" s="21" t="n">
        <v>223.59</v>
      </c>
      <c r="HW101" s="21" t="n">
        <v>205.492</v>
      </c>
      <c r="HX101" s="21" t="n">
        <v>514.397</v>
      </c>
      <c r="HY101" s="21" t="n">
        <v>375.89</v>
      </c>
      <c r="HZ101" s="21" t="n">
        <v>413.218</v>
      </c>
      <c r="IA101" s="21" t="n">
        <v>324.758</v>
      </c>
      <c r="IB101" s="21" t="n">
        <v>244.384</v>
      </c>
      <c r="IC101" s="21" t="n">
        <v>684.1660000000001</v>
      </c>
      <c r="ID101" s="21" t="n">
        <v>205.629</v>
      </c>
      <c r="IE101" s="21" t="n">
        <v>193.708</v>
      </c>
      <c r="IF101" s="21" t="n">
        <v>224.342</v>
      </c>
      <c r="IG101" s="21" t="n">
        <v>259.834</v>
      </c>
      <c r="IH101" s="21" t="n"/>
      <c r="II101" s="21" t="n">
        <v>287.398</v>
      </c>
      <c r="IJ101" s="21" t="n">
        <v>294.55</v>
      </c>
      <c r="IK101" s="21" t="n">
        <v>160.678</v>
      </c>
      <c r="IL101" s="21" t="n"/>
      <c r="IM101" s="21" t="n"/>
      <c r="IN101" s="21" t="n">
        <v>62.504</v>
      </c>
      <c r="IO101" s="21" t="n">
        <v>336.034</v>
      </c>
      <c r="IP101" s="21" t="n">
        <v>128.419</v>
      </c>
      <c r="IQ101" s="21" t="n">
        <v>547.2190000000001</v>
      </c>
      <c r="IR101" s="21" t="n">
        <v>400.755</v>
      </c>
      <c r="IS101" s="21" t="n">
        <v>130.894</v>
      </c>
      <c r="IT101" s="21" t="n">
        <v>548.51</v>
      </c>
      <c r="IU101" s="21" t="n">
        <v>103.863</v>
      </c>
      <c r="IV101" s="21" t="n">
        <v>108.365</v>
      </c>
      <c r="IW101" s="21" t="n">
        <v>594.346</v>
      </c>
      <c r="IX101" s="21" t="n">
        <v>416.998</v>
      </c>
      <c r="IY101" s="21" t="n">
        <v>411.951</v>
      </c>
      <c r="IZ101" s="21" t="n">
        <v>568.403</v>
      </c>
      <c r="JA101" s="21" t="n">
        <v>199.64</v>
      </c>
      <c r="JB101" s="21" t="n">
        <v>257.98</v>
      </c>
      <c r="JC101" s="21" t="n">
        <v>91.98099999999999</v>
      </c>
      <c r="JD101" s="21" t="n">
        <v>385.355</v>
      </c>
      <c r="JE101" s="21" t="n">
        <v>371.811</v>
      </c>
      <c r="JF101" s="21" t="n">
        <v>845.6660000000001</v>
      </c>
      <c r="JG101" s="21" t="n">
        <v>272.209</v>
      </c>
      <c r="JH101" s="21" t="n">
        <v>151.372</v>
      </c>
      <c r="JI101" s="21" t="n">
        <v>161.226</v>
      </c>
      <c r="JJ101" s="21" t="n">
        <v>136.375</v>
      </c>
      <c r="JK101" s="21" t="n">
        <v>116.545</v>
      </c>
      <c r="JL101" s="21" t="n">
        <v>113.562</v>
      </c>
      <c r="JM101" s="21" t="n">
        <v>571.894</v>
      </c>
      <c r="JN101" s="21" t="n">
        <v>117.297</v>
      </c>
      <c r="JO101" s="21" t="n">
        <v>70.721</v>
      </c>
      <c r="JP101" s="21" t="n">
        <v>34.162</v>
      </c>
      <c r="JQ101" s="21" t="n">
        <v>155.798</v>
      </c>
      <c r="JR101" s="21" t="n">
        <v>26.5</v>
      </c>
      <c r="JS101" s="21" t="n">
        <v>81.935</v>
      </c>
      <c r="JT101" s="21" t="n">
        <v>219.264</v>
      </c>
      <c r="JU101" s="21" t="n">
        <v>241.168</v>
      </c>
      <c r="JV101" s="21" t="n">
        <v>191.055</v>
      </c>
      <c r="JW101" s="21" t="n">
        <v>130.458</v>
      </c>
      <c r="JX101" s="21" t="n">
        <v>327.938</v>
      </c>
      <c r="JY101" s="21" t="n">
        <v>237.508</v>
      </c>
      <c r="JZ101" s="21" t="n">
        <v>346.352</v>
      </c>
      <c r="KA101" s="21" t="n">
        <v>127.802</v>
      </c>
      <c r="KB101" s="21" t="n">
        <v>177.422</v>
      </c>
      <c r="KC101" s="21" t="n">
        <v>86.614</v>
      </c>
      <c r="KD101" s="21" t="n">
        <v>84.137</v>
      </c>
      <c r="KE101" s="21" t="n">
        <v>62.903</v>
      </c>
      <c r="KF101" s="21" t="n"/>
      <c r="KG101" s="21" t="n">
        <v>26.147</v>
      </c>
      <c r="KH101" s="21" t="n">
        <v>135.592</v>
      </c>
      <c r="KI101" s="21" t="n"/>
      <c r="KJ101" s="21" t="n"/>
      <c r="KK101" s="21" t="n">
        <v>35.211</v>
      </c>
      <c r="KL101" s="21" t="n">
        <v>30.147</v>
      </c>
      <c r="KM101" s="21" t="n">
        <v>40.269</v>
      </c>
      <c r="KN101" s="21" t="n"/>
      <c r="KO101" s="21" t="n">
        <v>107.682</v>
      </c>
      <c r="KP101" s="21" t="n">
        <v>119.361</v>
      </c>
      <c r="KQ101" s="21" t="n">
        <v>190.929</v>
      </c>
      <c r="KR101" s="21" t="n">
        <v>156.862</v>
      </c>
      <c r="KS101" s="21" t="n">
        <v>424.303</v>
      </c>
      <c r="KT101" s="21" t="n">
        <v>218.441</v>
      </c>
      <c r="KU101" s="21" t="n">
        <v>212.824</v>
      </c>
      <c r="KV101" s="21" t="n">
        <v>388.049</v>
      </c>
      <c r="KW101" s="21" t="n">
        <v>285.777</v>
      </c>
      <c r="KX101" s="21" t="n">
        <v>219.429</v>
      </c>
      <c r="KY101" s="21" t="n">
        <v>100.091</v>
      </c>
      <c r="KZ101" s="21" t="n">
        <v>145.449</v>
      </c>
      <c r="LA101" s="21" t="n">
        <v>288.606</v>
      </c>
      <c r="LB101" s="21" t="n">
        <v>704.119</v>
      </c>
      <c r="LC101" s="21" t="n">
        <v>243.45</v>
      </c>
      <c r="LD101" s="21" t="n">
        <v>830.083</v>
      </c>
      <c r="LE101" s="21" t="n">
        <v>916.096</v>
      </c>
      <c r="LF101" s="21" t="n">
        <v>91.20699999999999</v>
      </c>
      <c r="LG101" s="21" t="n">
        <v>348.006</v>
      </c>
      <c r="LH101" s="21" t="n">
        <v>269.635</v>
      </c>
      <c r="LI101" s="21" t="n">
        <v>75.66200000000001</v>
      </c>
      <c r="LJ101" s="21" t="n">
        <v>232.738</v>
      </c>
      <c r="LK101" s="21" t="n">
        <v>361.992</v>
      </c>
      <c r="LL101" s="21" t="n">
        <v>411.304</v>
      </c>
      <c r="LM101" s="21" t="n">
        <v>71.256</v>
      </c>
      <c r="LN101" s="21" t="n">
        <v>96.283</v>
      </c>
      <c r="LO101" s="21" t="n">
        <v>48.363</v>
      </c>
      <c r="LP101" s="21" t="n">
        <v>150.279</v>
      </c>
      <c r="LQ101" s="21" t="n"/>
      <c r="LR101" s="21" t="n"/>
      <c r="LS101" s="21" t="n">
        <v>106.081</v>
      </c>
      <c r="LT101" s="21" t="n">
        <v>37.449</v>
      </c>
      <c r="LU101" s="21" t="n">
        <v>24.563</v>
      </c>
      <c r="LV101" s="21" t="n">
        <v>83.34099999999999</v>
      </c>
      <c r="LW101" s="21" t="n">
        <v>120.021</v>
      </c>
      <c r="LX101" s="21" t="n">
        <v>50.862</v>
      </c>
      <c r="LY101" s="21" t="n">
        <v>533.706</v>
      </c>
      <c r="LZ101" s="21" t="n">
        <v>89.21899999999999</v>
      </c>
      <c r="MA101" s="21" t="n">
        <v>583.9109999999999</v>
      </c>
      <c r="MB101" s="21" t="n">
        <v>331.94</v>
      </c>
      <c r="MC101" s="21" t="n">
        <v>272.037</v>
      </c>
      <c r="MD101" s="21" t="n">
        <v>174.724</v>
      </c>
      <c r="ME101" s="21" t="n">
        <v>117.146</v>
      </c>
      <c r="MF101" s="21" t="n">
        <v>188.647</v>
      </c>
      <c r="MG101" s="21" t="n">
        <v>326.322</v>
      </c>
      <c r="MH101" s="21" t="n">
        <v>199.11</v>
      </c>
      <c r="MI101" s="21" t="n">
        <v>528.701</v>
      </c>
      <c r="MJ101" s="21" t="n"/>
      <c r="MK101" s="21" t="n">
        <v>375.691</v>
      </c>
      <c r="ML101" s="21" t="n">
        <v>215.774</v>
      </c>
      <c r="MM101" s="21" t="n">
        <v>253.779</v>
      </c>
      <c r="MN101" s="21" t="n">
        <v>430.464</v>
      </c>
      <c r="MO101" s="21" t="n">
        <v>175.492</v>
      </c>
      <c r="MP101" s="21" t="n">
        <v>336.575</v>
      </c>
      <c r="MQ101" s="21" t="n">
        <v>89.79000000000001</v>
      </c>
      <c r="MR101" s="21" t="n">
        <v>199.422</v>
      </c>
      <c r="MS101" s="21" t="n"/>
      <c r="MT101" s="21" t="n">
        <v>291.585</v>
      </c>
      <c r="MU101" s="21" t="n">
        <v>308.189</v>
      </c>
      <c r="MV101" s="21" t="n">
        <v>300.552</v>
      </c>
      <c r="MW101" s="21" t="n">
        <v>306.899</v>
      </c>
      <c r="MX101" s="21" t="n">
        <v>278.101</v>
      </c>
      <c r="MY101" s="21" t="n">
        <v>267.358</v>
      </c>
      <c r="MZ101" s="21" t="n">
        <v>268.292</v>
      </c>
      <c r="NA101" s="21" t="n">
        <v>272.145</v>
      </c>
      <c r="NB101" s="21" t="n">
        <v>123.785</v>
      </c>
      <c r="NC101" s="21" t="n">
        <v>224.216</v>
      </c>
      <c r="ND101" s="21" t="n">
        <v>182.309</v>
      </c>
      <c r="NE101" s="21" t="n">
        <v>178.713</v>
      </c>
      <c r="NF101" s="21" t="n">
        <v>167.833</v>
      </c>
      <c r="NG101" s="21" t="n">
        <v>165.056</v>
      </c>
      <c r="NH101" s="21" t="n">
        <v>312.634</v>
      </c>
      <c r="NI101" s="21" t="n">
        <v>127.406</v>
      </c>
      <c r="NJ101" s="21" t="n">
        <v>60.009</v>
      </c>
      <c r="NK101" s="21" t="n">
        <v>120.456</v>
      </c>
      <c r="NL101" s="21" t="n">
        <v>283.352</v>
      </c>
      <c r="NM101" s="21" t="n">
        <v>325.269</v>
      </c>
      <c r="NN101" s="21" t="n">
        <v>109.071</v>
      </c>
      <c r="NO101" s="21" t="n">
        <v>41.655</v>
      </c>
      <c r="NP101" s="21" t="n">
        <v>274.743</v>
      </c>
      <c r="NQ101" s="21" t="n">
        <v>235.504</v>
      </c>
      <c r="NR101" s="21" t="n">
        <v>297.25</v>
      </c>
      <c r="NS101" s="21" t="n">
        <v>232.501</v>
      </c>
      <c r="NT101" s="21" t="n">
        <v>300.265</v>
      </c>
      <c r="NU101" s="21" t="n">
        <v>134.46</v>
      </c>
      <c r="NV101" s="21" t="n">
        <v>148.314</v>
      </c>
      <c r="NW101" s="21" t="n">
        <v>403.162</v>
      </c>
      <c r="NX101" s="21" t="n">
        <v>86.399</v>
      </c>
      <c r="NY101" s="21" t="n">
        <v>144.199</v>
      </c>
      <c r="NZ101" s="21" t="n">
        <v>393.418</v>
      </c>
      <c r="OA101" s="21" t="n">
        <v>380.99</v>
      </c>
      <c r="OB101" s="21" t="n">
        <v>393.769</v>
      </c>
      <c r="OC101" s="21" t="n">
        <v>364.698</v>
      </c>
      <c r="OD101" s="21" t="n">
        <v>395.889</v>
      </c>
      <c r="OE101" s="21" t="n">
        <v>133.849</v>
      </c>
      <c r="OF101" s="21" t="n">
        <v>390.805</v>
      </c>
      <c r="OG101" s="21" t="n">
        <v>254.346</v>
      </c>
      <c r="OH101" s="21" t="n">
        <v>34.04</v>
      </c>
      <c r="OI101" s="21" t="n">
        <v>149.952</v>
      </c>
      <c r="OJ101" s="21" t="n">
        <v>33</v>
      </c>
      <c r="OK101" s="21" t="n">
        <v>11</v>
      </c>
    </row>
    <row r="102">
      <c r="A102" s="22" t="n">
        <v>45047</v>
      </c>
      <c r="B102" s="21" t="n">
        <v>304.127</v>
      </c>
      <c r="C102" s="21" t="n">
        <v>911.0309999999999</v>
      </c>
      <c r="D102" s="21" t="n">
        <v>319.811</v>
      </c>
      <c r="E102" s="21" t="n">
        <v>322.249</v>
      </c>
      <c r="F102" s="21" t="n">
        <v>302.535</v>
      </c>
      <c r="G102" s="21" t="n">
        <v>354.195</v>
      </c>
      <c r="H102" s="21" t="n">
        <v>288.225</v>
      </c>
      <c r="I102" s="21" t="n">
        <v>321.222</v>
      </c>
      <c r="J102" s="21" t="n">
        <v>277.736</v>
      </c>
      <c r="K102" s="21" t="n">
        <v>294.931</v>
      </c>
      <c r="L102" s="21" t="n">
        <v>196.595</v>
      </c>
      <c r="M102" s="21" t="n">
        <v>392.471</v>
      </c>
      <c r="N102" s="21" t="n">
        <v>236.574</v>
      </c>
      <c r="O102" s="21" t="n">
        <v>429.988</v>
      </c>
      <c r="P102" s="21" t="n">
        <v>458.584</v>
      </c>
      <c r="Q102" s="21" t="n">
        <v>229.439</v>
      </c>
      <c r="R102" s="21" t="n">
        <v>371.758</v>
      </c>
      <c r="S102" s="21" t="n">
        <v>392.12</v>
      </c>
      <c r="T102" s="21" t="n">
        <v>348.753</v>
      </c>
      <c r="U102" s="21" t="n">
        <v>352.132</v>
      </c>
      <c r="V102" s="21" t="n">
        <v>382.052</v>
      </c>
      <c r="W102" s="21" t="n">
        <v>422.102</v>
      </c>
      <c r="X102" s="21" t="n">
        <v>346.372</v>
      </c>
      <c r="Y102" s="21" t="n">
        <v>315.968</v>
      </c>
      <c r="Z102" s="21" t="n">
        <v>318.511</v>
      </c>
      <c r="AA102" s="21" t="n">
        <v>322.462</v>
      </c>
      <c r="AB102" s="21" t="n">
        <v>396.327</v>
      </c>
      <c r="AC102" s="21" t="n">
        <v>340.629</v>
      </c>
      <c r="AD102" s="21" t="n">
        <v>317.137</v>
      </c>
      <c r="AE102" s="21" t="n">
        <v>267.699</v>
      </c>
      <c r="AF102" s="21" t="n">
        <v>315.623</v>
      </c>
      <c r="AG102" s="21" t="n">
        <v>260.347</v>
      </c>
      <c r="AH102" s="21" t="n">
        <v>193.428</v>
      </c>
      <c r="AI102" s="21" t="n">
        <v>349.822</v>
      </c>
      <c r="AJ102" s="21" t="n">
        <v>185.878</v>
      </c>
      <c r="AK102" s="21" t="n">
        <v>257.632</v>
      </c>
      <c r="AL102" s="21" t="n">
        <v>287.708</v>
      </c>
      <c r="AM102" s="21" t="n">
        <v>232.533</v>
      </c>
      <c r="AN102" s="21" t="n">
        <v>154.537</v>
      </c>
      <c r="AO102" s="21" t="n">
        <v>286.944</v>
      </c>
      <c r="AP102" s="21" t="n">
        <v>276.191</v>
      </c>
      <c r="AQ102" s="21" t="n">
        <v>188.498</v>
      </c>
      <c r="AR102" s="21" t="n"/>
      <c r="AS102" s="21" t="n"/>
      <c r="AT102" s="21" t="n">
        <v>301.812</v>
      </c>
      <c r="AU102" s="21" t="n">
        <v>193.066</v>
      </c>
      <c r="AV102" s="21" t="n">
        <v>321.946</v>
      </c>
      <c r="AW102" s="21" t="n">
        <v>287.435</v>
      </c>
      <c r="AX102" s="21" t="n">
        <v>200.862</v>
      </c>
      <c r="AY102" s="21" t="n">
        <v>354.525</v>
      </c>
      <c r="AZ102" s="21" t="n">
        <v>224.813</v>
      </c>
      <c r="BA102" s="21" t="n">
        <v>173.558</v>
      </c>
      <c r="BB102" s="21" t="n">
        <v>242.024</v>
      </c>
      <c r="BC102" s="21" t="n">
        <v>370.258</v>
      </c>
      <c r="BD102" s="21" t="n">
        <v>286.21</v>
      </c>
      <c r="BE102" s="21" t="n">
        <v>269.573</v>
      </c>
      <c r="BF102" s="21" t="n">
        <v>176.564</v>
      </c>
      <c r="BG102" s="21" t="n">
        <v>252.174</v>
      </c>
      <c r="BH102" s="21" t="n">
        <v>183.101</v>
      </c>
      <c r="BI102" s="21" t="n">
        <v>270.145</v>
      </c>
      <c r="BJ102" s="21" t="n">
        <v>269.037</v>
      </c>
      <c r="BK102" s="21" t="n">
        <v>189.602</v>
      </c>
      <c r="BL102" s="21" t="n">
        <v>350.986</v>
      </c>
      <c r="BM102" s="21" t="n">
        <v>395.219</v>
      </c>
      <c r="BN102" s="21" t="n">
        <v>412.308</v>
      </c>
      <c r="BO102" s="21" t="n">
        <v>387.719</v>
      </c>
      <c r="BP102" s="21" t="n">
        <v>209.503</v>
      </c>
      <c r="BQ102" s="21" t="n">
        <v>299.477</v>
      </c>
      <c r="BR102" s="21" t="n">
        <v>571.1660000000001</v>
      </c>
      <c r="BS102" s="21" t="n">
        <v>136.161</v>
      </c>
      <c r="BT102" s="21" t="n">
        <v>375.87</v>
      </c>
      <c r="BU102" s="21" t="n">
        <v>437.938</v>
      </c>
      <c r="BV102" s="21" t="n">
        <v>411.932</v>
      </c>
      <c r="BW102" s="21" t="n">
        <v>335.461</v>
      </c>
      <c r="BX102" s="21" t="n">
        <v>369.777</v>
      </c>
      <c r="BY102" s="21" t="n">
        <v>201.428</v>
      </c>
      <c r="BZ102" s="21" t="n">
        <v>211.946</v>
      </c>
      <c r="CA102" s="21" t="n">
        <v>202.958</v>
      </c>
      <c r="CB102" s="21" t="n">
        <v>224.883</v>
      </c>
      <c r="CC102" s="21" t="n">
        <v>189.457</v>
      </c>
      <c r="CD102" s="21" t="n">
        <v>268.798</v>
      </c>
      <c r="CE102" s="21" t="n">
        <v>190.079</v>
      </c>
      <c r="CF102" s="21" t="n">
        <v>221.659</v>
      </c>
      <c r="CG102" s="21" t="n">
        <v>216.46</v>
      </c>
      <c r="CH102" s="21" t="n">
        <v>171.635</v>
      </c>
      <c r="CI102" s="21" t="n">
        <v>221.116</v>
      </c>
      <c r="CJ102" s="21" t="n">
        <v>220.915</v>
      </c>
      <c r="CK102" s="21" t="n">
        <v>153.581</v>
      </c>
      <c r="CL102" s="21" t="n">
        <v>142.074</v>
      </c>
      <c r="CM102" s="21" t="n">
        <v>238.576</v>
      </c>
      <c r="CN102" s="21" t="n">
        <v>250.465</v>
      </c>
      <c r="CO102" s="21" t="n">
        <v>220.773</v>
      </c>
      <c r="CP102" s="21" t="n">
        <v>154.743</v>
      </c>
      <c r="CQ102" s="21" t="n">
        <v>269.999</v>
      </c>
      <c r="CR102" s="21" t="n">
        <v>277.906</v>
      </c>
      <c r="CS102" s="21" t="n">
        <v>254.136</v>
      </c>
      <c r="CT102" s="21" t="n">
        <v>187.949</v>
      </c>
      <c r="CU102" s="21" t="n">
        <v>189.9</v>
      </c>
      <c r="CV102" s="21" t="n">
        <v>309.98</v>
      </c>
      <c r="CW102" s="21" t="n">
        <v>278.29</v>
      </c>
      <c r="CX102" s="21" t="n">
        <v>302.859</v>
      </c>
      <c r="CY102" s="21" t="n">
        <v>483.588</v>
      </c>
      <c r="CZ102" s="21" t="n">
        <v>173.31</v>
      </c>
      <c r="DA102" s="21" t="n">
        <v>217.222</v>
      </c>
      <c r="DB102" s="21" t="n">
        <v>187.344</v>
      </c>
      <c r="DC102" s="21" t="n">
        <v>285.912</v>
      </c>
      <c r="DD102" s="21" t="n">
        <v>321.022</v>
      </c>
      <c r="DE102" s="21" t="n">
        <v>215.438</v>
      </c>
      <c r="DF102" s="21" t="n">
        <v>315.683</v>
      </c>
      <c r="DG102" s="21" t="n">
        <v>305.094</v>
      </c>
      <c r="DH102" s="21" t="n">
        <v>187.003</v>
      </c>
      <c r="DI102" s="21" t="n">
        <v>186.467</v>
      </c>
      <c r="DJ102" s="21" t="n">
        <v>180.844</v>
      </c>
      <c r="DK102" s="21" t="n">
        <v>354.428</v>
      </c>
      <c r="DL102" s="21" t="n">
        <v>216.328</v>
      </c>
      <c r="DM102" s="21" t="n">
        <v>167.947</v>
      </c>
      <c r="DN102" s="21" t="n">
        <v>153.161</v>
      </c>
      <c r="DO102" s="21" t="n">
        <v>352.892</v>
      </c>
      <c r="DP102" s="21" t="n">
        <v>217.744</v>
      </c>
      <c r="DQ102" s="21" t="n">
        <v>231.665</v>
      </c>
      <c r="DR102" s="21" t="n">
        <v>193.125</v>
      </c>
      <c r="DS102" s="21" t="n">
        <v>191.786</v>
      </c>
      <c r="DT102" s="21" t="n">
        <v>219.253</v>
      </c>
      <c r="DU102" s="21" t="n">
        <v>230.426</v>
      </c>
      <c r="DV102" s="21" t="n">
        <v>285.285</v>
      </c>
      <c r="DW102" s="21" t="n">
        <v>226.231</v>
      </c>
      <c r="DX102" s="21" t="n">
        <v>267.478</v>
      </c>
      <c r="DY102" s="21" t="n">
        <v>207.755</v>
      </c>
      <c r="DZ102" s="21" t="n">
        <v>220.365</v>
      </c>
      <c r="EA102" s="21" t="n">
        <v>202.819</v>
      </c>
      <c r="EB102" s="21" t="n">
        <v>182.203</v>
      </c>
      <c r="EC102" s="21" t="n">
        <v>417.235</v>
      </c>
      <c r="ED102" s="21" t="n">
        <v>202.266</v>
      </c>
      <c r="EE102" s="21" t="n">
        <v>225.864</v>
      </c>
      <c r="EF102" s="21" t="n">
        <v>231.202</v>
      </c>
      <c r="EG102" s="21" t="n">
        <v>318.205</v>
      </c>
      <c r="EH102" s="21" t="n">
        <v>378.776</v>
      </c>
      <c r="EI102" s="21" t="n">
        <v>396.726</v>
      </c>
      <c r="EJ102" s="21" t="n">
        <v>201.364</v>
      </c>
      <c r="EK102" s="21" t="n">
        <v>609.85</v>
      </c>
      <c r="EL102" s="21" t="n">
        <v>419.997</v>
      </c>
      <c r="EM102" s="21" t="n">
        <v>387.323</v>
      </c>
      <c r="EN102" s="21" t="n">
        <v>387.416</v>
      </c>
      <c r="EO102" s="21" t="n">
        <v>152.185</v>
      </c>
      <c r="EP102" s="21" t="n">
        <v>297.818</v>
      </c>
      <c r="EQ102" s="21" t="n">
        <v>249.289</v>
      </c>
      <c r="ER102" s="21" t="n">
        <v>358.143</v>
      </c>
      <c r="ES102" s="21" t="n">
        <v>355.185</v>
      </c>
      <c r="ET102" s="21" t="n">
        <v>434.59</v>
      </c>
      <c r="EU102" s="21" t="n">
        <v>253.204</v>
      </c>
      <c r="EV102" s="21" t="n">
        <v>262.135</v>
      </c>
      <c r="EW102" s="21" t="n">
        <v>221.484</v>
      </c>
      <c r="EX102" s="21" t="n">
        <v>286.322</v>
      </c>
      <c r="EY102" s="21" t="n">
        <v>654.537</v>
      </c>
      <c r="EZ102" s="21" t="n">
        <v>587.431</v>
      </c>
      <c r="FA102" s="21" t="n">
        <v>148.667</v>
      </c>
      <c r="FB102" s="21" t="n">
        <v>61.896</v>
      </c>
      <c r="FC102" s="21" t="n">
        <v>135.798</v>
      </c>
      <c r="FD102" s="21" t="n">
        <v>74.884</v>
      </c>
      <c r="FE102" s="21" t="n">
        <v>43.869</v>
      </c>
      <c r="FF102" s="21" t="n">
        <v>136.692</v>
      </c>
      <c r="FG102" s="21" t="n">
        <v>148.832</v>
      </c>
      <c r="FH102" s="21" t="n">
        <v>108.995</v>
      </c>
      <c r="FI102" s="21" t="n">
        <v>84.185</v>
      </c>
      <c r="FJ102" s="21" t="n"/>
      <c r="FK102" s="21" t="n">
        <v>89.175</v>
      </c>
      <c r="FL102" s="21" t="n">
        <v>95.136</v>
      </c>
      <c r="FM102" s="21" t="n">
        <v>116.224</v>
      </c>
      <c r="FN102" s="21" t="n">
        <v>78.149</v>
      </c>
      <c r="FO102" s="21" t="n">
        <v>55.135</v>
      </c>
      <c r="FP102" s="21" t="n">
        <v>40.965</v>
      </c>
      <c r="FQ102" s="21" t="n">
        <v>149.814</v>
      </c>
      <c r="FR102" s="21" t="n">
        <v>48.51</v>
      </c>
      <c r="FS102" s="21" t="n">
        <v>83.28100000000001</v>
      </c>
      <c r="FT102" s="21" t="n">
        <v>114.653</v>
      </c>
      <c r="FU102" s="21" t="n">
        <v>122.659</v>
      </c>
      <c r="FV102" s="21" t="n">
        <v>111.606</v>
      </c>
      <c r="FW102" s="21" t="n">
        <v>234.244</v>
      </c>
      <c r="FX102" s="21" t="n">
        <v>147.882</v>
      </c>
      <c r="FY102" s="21" t="n">
        <v>232.412</v>
      </c>
      <c r="FZ102" s="21" t="n">
        <v>140.489</v>
      </c>
      <c r="GA102" s="21" t="n">
        <v>237.544</v>
      </c>
      <c r="GB102" s="21" t="n">
        <v>213.519</v>
      </c>
      <c r="GC102" s="21" t="n"/>
      <c r="GD102" s="21" t="n">
        <v>202.859</v>
      </c>
      <c r="GE102" s="21" t="n">
        <v>343.642</v>
      </c>
      <c r="GF102" s="21" t="n">
        <v>131.382</v>
      </c>
      <c r="GG102" s="21" t="n">
        <v>127.355</v>
      </c>
      <c r="GH102" s="21" t="n">
        <v>131.262</v>
      </c>
      <c r="GI102" s="21" t="n">
        <v>105.682</v>
      </c>
      <c r="GJ102" s="21" t="n">
        <v>181.619</v>
      </c>
      <c r="GK102" s="21" t="n">
        <v>77.495</v>
      </c>
      <c r="GL102" s="21" t="n">
        <v>139.187</v>
      </c>
      <c r="GM102" s="21" t="n">
        <v>112.329</v>
      </c>
      <c r="GN102" s="21" t="n">
        <v>110.371</v>
      </c>
      <c r="GO102" s="21" t="n">
        <v>111.181</v>
      </c>
      <c r="GP102" s="21" t="n">
        <v>107.391</v>
      </c>
      <c r="GQ102" s="21" t="n">
        <v>109.592</v>
      </c>
      <c r="GR102" s="21" t="n">
        <v>75.956</v>
      </c>
      <c r="GS102" s="21" t="n">
        <v>111.709</v>
      </c>
      <c r="GT102" s="21" t="n">
        <v>106.039</v>
      </c>
      <c r="GU102" s="21" t="n">
        <v>144.829</v>
      </c>
      <c r="GV102" s="21" t="n">
        <v>148.079</v>
      </c>
      <c r="GW102" s="21" t="n">
        <v>167.134</v>
      </c>
      <c r="GX102" s="21" t="n">
        <v>131.976</v>
      </c>
      <c r="GY102" s="21" t="n">
        <v>127.225</v>
      </c>
      <c r="GZ102" s="21" t="n">
        <v>198.119</v>
      </c>
      <c r="HA102" s="21" t="n">
        <v>154.989</v>
      </c>
      <c r="HB102" s="21" t="n">
        <v>197.025</v>
      </c>
      <c r="HC102" s="21" t="n">
        <v>268.862</v>
      </c>
      <c r="HD102" s="21" t="n">
        <v>267.275</v>
      </c>
      <c r="HE102" s="21" t="n">
        <v>129.619</v>
      </c>
      <c r="HF102" s="21" t="n">
        <v>179.329</v>
      </c>
      <c r="HG102" s="21" t="n"/>
      <c r="HH102" s="21" t="n">
        <v>175.094</v>
      </c>
      <c r="HI102" s="21" t="n">
        <v>191.234</v>
      </c>
      <c r="HJ102" s="21" t="n"/>
      <c r="HK102" s="21" t="n">
        <v>199.576</v>
      </c>
      <c r="HL102" s="21" t="n">
        <v>114.904</v>
      </c>
      <c r="HM102" s="21" t="n">
        <v>176.851</v>
      </c>
      <c r="HN102" s="21" t="n">
        <v>315.31</v>
      </c>
      <c r="HO102" s="21" t="n">
        <v>314.116</v>
      </c>
      <c r="HP102" s="21" t="n">
        <v>307.757</v>
      </c>
      <c r="HQ102" s="21" t="n">
        <v>340.295</v>
      </c>
      <c r="HR102" s="21" t="n">
        <v>333.036</v>
      </c>
      <c r="HS102" s="21" t="n">
        <v>297.692</v>
      </c>
      <c r="HT102" s="21" t="n">
        <v>182.357</v>
      </c>
      <c r="HU102" s="21" t="n">
        <v>154.632</v>
      </c>
      <c r="HV102" s="21" t="n">
        <v>220.749</v>
      </c>
      <c r="HW102" s="21" t="n">
        <v>202.874</v>
      </c>
      <c r="HX102" s="21" t="n">
        <v>509.272</v>
      </c>
      <c r="HY102" s="21" t="n">
        <v>378.182</v>
      </c>
      <c r="HZ102" s="21" t="n">
        <v>411.334</v>
      </c>
      <c r="IA102" s="21" t="n">
        <v>327.844</v>
      </c>
      <c r="IB102" s="21" t="n">
        <v>245.129</v>
      </c>
      <c r="IC102" s="21" t="n">
        <v>695.929</v>
      </c>
      <c r="ID102" s="21" t="n">
        <v>205.725</v>
      </c>
      <c r="IE102" s="21" t="n">
        <v>193.535</v>
      </c>
      <c r="IF102" s="21" t="n">
        <v>224.922</v>
      </c>
      <c r="IG102" s="21" t="n">
        <v>260.622</v>
      </c>
      <c r="IH102" s="21" t="n"/>
      <c r="II102" s="21" t="n">
        <v>290.442</v>
      </c>
      <c r="IJ102" s="21" t="n">
        <v>298.489</v>
      </c>
      <c r="IK102" s="21" t="n">
        <v>163.819</v>
      </c>
      <c r="IL102" s="21" t="n"/>
      <c r="IM102" s="21" t="n"/>
      <c r="IN102" s="21" t="n">
        <v>64.181</v>
      </c>
      <c r="IO102" s="21" t="n">
        <v>334.374</v>
      </c>
      <c r="IP102" s="21" t="n">
        <v>128.419</v>
      </c>
      <c r="IQ102" s="21" t="n">
        <v>547.42</v>
      </c>
      <c r="IR102" s="21" t="n">
        <v>403.358</v>
      </c>
      <c r="IS102" s="21" t="n">
        <v>131.558</v>
      </c>
      <c r="IT102" s="21" t="n">
        <v>548.929</v>
      </c>
      <c r="IU102" s="21" t="n">
        <v>105.467</v>
      </c>
      <c r="IV102" s="21" t="n">
        <v>110.885</v>
      </c>
      <c r="IW102" s="21" t="n">
        <v>593.7380000000001</v>
      </c>
      <c r="IX102" s="21" t="n">
        <v>416.998</v>
      </c>
      <c r="IY102" s="21" t="n">
        <v>409.885</v>
      </c>
      <c r="IZ102" s="21" t="n">
        <v>569.167</v>
      </c>
      <c r="JA102" s="21" t="n">
        <v>200.699</v>
      </c>
      <c r="JB102" s="21" t="n">
        <v>261.049</v>
      </c>
      <c r="JC102" s="21" t="n">
        <v>92.681</v>
      </c>
      <c r="JD102" s="21" t="n">
        <v>389.166</v>
      </c>
      <c r="JE102" s="21" t="n">
        <v>375.702</v>
      </c>
      <c r="JF102" s="21" t="n">
        <v>853.182</v>
      </c>
      <c r="JG102" s="21" t="n">
        <v>269.898</v>
      </c>
      <c r="JH102" s="21" t="n">
        <v>151.19</v>
      </c>
      <c r="JI102" s="21" t="n">
        <v>155.288</v>
      </c>
      <c r="JJ102" s="21" t="n">
        <v>136.28</v>
      </c>
      <c r="JK102" s="21" t="n">
        <v>116.495</v>
      </c>
      <c r="JL102" s="21" t="n">
        <v>112.07</v>
      </c>
      <c r="JM102" s="21" t="n">
        <v>571.495</v>
      </c>
      <c r="JN102" s="21" t="n">
        <v>115.057</v>
      </c>
      <c r="JO102" s="21" t="n">
        <v>71.67700000000001</v>
      </c>
      <c r="JP102" s="21" t="n">
        <v>36.502</v>
      </c>
      <c r="JQ102" s="21" t="n">
        <v>154.929</v>
      </c>
      <c r="JR102" s="21" t="n">
        <v>26.651</v>
      </c>
      <c r="JS102" s="21" t="n">
        <v>82.417</v>
      </c>
      <c r="JT102" s="21" t="n">
        <v>219.876</v>
      </c>
      <c r="JU102" s="21" t="n">
        <v>243.555</v>
      </c>
      <c r="JV102" s="21" t="n">
        <v>192.666</v>
      </c>
      <c r="JW102" s="21" t="n">
        <v>131.661</v>
      </c>
      <c r="JX102" s="21" t="n">
        <v>326.048</v>
      </c>
      <c r="JY102" s="21" t="n">
        <v>236.9</v>
      </c>
      <c r="JZ102" s="21" t="n">
        <v>345.535</v>
      </c>
      <c r="KA102" s="21" t="n">
        <v>126.427</v>
      </c>
      <c r="KB102" s="21" t="n">
        <v>175.038</v>
      </c>
      <c r="KC102" s="21" t="n">
        <v>86.024</v>
      </c>
      <c r="KD102" s="21" t="n">
        <v>84.267</v>
      </c>
      <c r="KE102" s="21" t="n">
        <v>62.792</v>
      </c>
      <c r="KF102" s="21" t="n"/>
      <c r="KG102" s="21" t="n">
        <v>26.008</v>
      </c>
      <c r="KH102" s="21" t="n">
        <v>135.959</v>
      </c>
      <c r="KI102" s="21" t="n"/>
      <c r="KJ102" s="21" t="n"/>
      <c r="KK102" s="21" t="n">
        <v>35.249</v>
      </c>
      <c r="KL102" s="21" t="n">
        <v>30.174</v>
      </c>
      <c r="KM102" s="21" t="n">
        <v>40.493</v>
      </c>
      <c r="KN102" s="21" t="n"/>
      <c r="KO102" s="21" t="n">
        <v>106.74</v>
      </c>
      <c r="KP102" s="21" t="n">
        <v>120.348</v>
      </c>
      <c r="KQ102" s="21" t="n">
        <v>190.831</v>
      </c>
      <c r="KR102" s="21" t="n">
        <v>157.337</v>
      </c>
      <c r="KS102" s="21" t="n">
        <v>421.545</v>
      </c>
      <c r="KT102" s="21" t="n">
        <v>217.889</v>
      </c>
      <c r="KU102" s="21" t="n">
        <v>204.91</v>
      </c>
      <c r="KV102" s="21" t="n">
        <v>388.601</v>
      </c>
      <c r="KW102" s="21" t="n">
        <v>289.888</v>
      </c>
      <c r="KX102" s="21" t="n">
        <v>226.255</v>
      </c>
      <c r="KY102" s="21" t="n">
        <v>99.602</v>
      </c>
      <c r="KZ102" s="21" t="n">
        <v>145.205</v>
      </c>
      <c r="LA102" s="21" t="n">
        <v>288.843</v>
      </c>
      <c r="LB102" s="21" t="n">
        <v>707.8579999999999</v>
      </c>
      <c r="LC102" s="21" t="n">
        <v>244.819</v>
      </c>
      <c r="LD102" s="21" t="n">
        <v>830.6</v>
      </c>
      <c r="LE102" s="21" t="n">
        <v>916.096</v>
      </c>
      <c r="LF102" s="21" t="n">
        <v>92.30800000000001</v>
      </c>
      <c r="LG102" s="21" t="n">
        <v>346.568</v>
      </c>
      <c r="LH102" s="21" t="n">
        <v>269.949</v>
      </c>
      <c r="LI102" s="21" t="n">
        <v>75.41500000000001</v>
      </c>
      <c r="LJ102" s="21" t="n">
        <v>232.171</v>
      </c>
      <c r="LK102" s="21" t="n">
        <v>361.992</v>
      </c>
      <c r="LL102" s="21" t="n">
        <v>404.426</v>
      </c>
      <c r="LM102" s="21" t="n">
        <v>71.02200000000001</v>
      </c>
      <c r="LN102" s="21" t="n">
        <v>95.771</v>
      </c>
      <c r="LO102" s="21" t="n">
        <v>48.089</v>
      </c>
      <c r="LP102" s="21" t="n">
        <v>149.77</v>
      </c>
      <c r="LQ102" s="21" t="n"/>
      <c r="LR102" s="21" t="n"/>
      <c r="LS102" s="21" t="n">
        <v>105.932</v>
      </c>
      <c r="LT102" s="21" t="n">
        <v>37.289</v>
      </c>
      <c r="LU102" s="21" t="n">
        <v>24.637</v>
      </c>
      <c r="LV102" s="21" t="n">
        <v>83.324</v>
      </c>
      <c r="LW102" s="21" t="n">
        <v>119.782</v>
      </c>
      <c r="LX102" s="21" t="n">
        <v>51.198</v>
      </c>
      <c r="LY102" s="21" t="n">
        <v>536.518</v>
      </c>
      <c r="LZ102" s="21" t="n">
        <v>89.73399999999999</v>
      </c>
      <c r="MA102" s="21" t="n">
        <v>587.437</v>
      </c>
      <c r="MB102" s="21" t="n">
        <v>333.409</v>
      </c>
      <c r="MC102" s="21" t="n">
        <v>273.439</v>
      </c>
      <c r="MD102" s="21" t="n">
        <v>176.484</v>
      </c>
      <c r="ME102" s="21" t="n">
        <v>118.851</v>
      </c>
      <c r="MF102" s="21" t="n">
        <v>189.549</v>
      </c>
      <c r="MG102" s="21" t="n">
        <v>326.849</v>
      </c>
      <c r="MH102" s="21" t="n">
        <v>199.432</v>
      </c>
      <c r="MI102" s="21" t="n">
        <v>532.3630000000001</v>
      </c>
      <c r="MJ102" s="21" t="n">
        <v>428.416</v>
      </c>
      <c r="MK102" s="21" t="n">
        <v>377.241</v>
      </c>
      <c r="ML102" s="21" t="n">
        <v>217.996</v>
      </c>
      <c r="MM102" s="21" t="n">
        <v>258.529</v>
      </c>
      <c r="MN102" s="21" t="n">
        <v>432.798</v>
      </c>
      <c r="MO102" s="21" t="n">
        <v>175.492</v>
      </c>
      <c r="MP102" s="21" t="n">
        <v>338.925</v>
      </c>
      <c r="MQ102" s="21" t="n">
        <v>88.845</v>
      </c>
      <c r="MR102" s="21" t="n">
        <v>201.243</v>
      </c>
      <c r="MS102" s="21" t="n"/>
      <c r="MT102" s="21" t="n">
        <v>292.373</v>
      </c>
      <c r="MU102" s="21" t="n">
        <v>309.312</v>
      </c>
      <c r="MV102" s="21" t="n">
        <v>301.327</v>
      </c>
      <c r="MW102" s="21" t="n">
        <v>308.096</v>
      </c>
      <c r="MX102" s="21" t="n">
        <v>278.336</v>
      </c>
      <c r="MY102" s="21" t="n">
        <v>267.496</v>
      </c>
      <c r="MZ102" s="21" t="n">
        <v>268.97</v>
      </c>
      <c r="NA102" s="21" t="n">
        <v>272.328</v>
      </c>
      <c r="NB102" s="21" t="n">
        <v>123.366</v>
      </c>
      <c r="NC102" s="21" t="n">
        <v>224.515</v>
      </c>
      <c r="ND102" s="21" t="n">
        <v>182.475</v>
      </c>
      <c r="NE102" s="21" t="n">
        <v>178.852</v>
      </c>
      <c r="NF102" s="21" t="n">
        <v>168.499</v>
      </c>
      <c r="NG102" s="21" t="n">
        <v>165.049</v>
      </c>
      <c r="NH102" s="21" t="n">
        <v>312.861</v>
      </c>
      <c r="NI102" s="21" t="n">
        <v>128.059</v>
      </c>
      <c r="NJ102" s="21" t="n">
        <v>59.888</v>
      </c>
      <c r="NK102" s="21" t="n">
        <v>120.262</v>
      </c>
      <c r="NL102" s="21" t="n">
        <v>279.816</v>
      </c>
      <c r="NM102" s="21" t="n">
        <v>319.876</v>
      </c>
      <c r="NN102" s="21" t="n">
        <v>108.473</v>
      </c>
      <c r="NO102" s="21" t="n">
        <v>41.535</v>
      </c>
      <c r="NP102" s="21" t="n">
        <v>274.606</v>
      </c>
      <c r="NQ102" s="21" t="n">
        <v>234.724</v>
      </c>
      <c r="NR102" s="21" t="n">
        <v>296.231</v>
      </c>
      <c r="NS102" s="21" t="n">
        <v>231.597</v>
      </c>
      <c r="NT102" s="21" t="n">
        <v>299.013</v>
      </c>
      <c r="NU102" s="21" t="n">
        <v>135.253</v>
      </c>
      <c r="NV102" s="21" t="n">
        <v>149.015</v>
      </c>
      <c r="NW102" s="21" t="n">
        <v>402.996</v>
      </c>
      <c r="NX102" s="21" t="n">
        <v>86.369</v>
      </c>
      <c r="NY102" s="21" t="n">
        <v>144.062</v>
      </c>
      <c r="NZ102" s="21" t="n">
        <v>395.672</v>
      </c>
      <c r="OA102" s="21" t="n">
        <v>382.233</v>
      </c>
      <c r="OB102" s="21" t="n">
        <v>395.295</v>
      </c>
      <c r="OC102" s="21" t="n">
        <v>366.07</v>
      </c>
      <c r="OD102" s="21" t="n">
        <v>395.956</v>
      </c>
      <c r="OE102" s="21" t="n">
        <v>135.557</v>
      </c>
      <c r="OF102" s="21" t="n">
        <v>393.836</v>
      </c>
      <c r="OG102" s="21" t="n">
        <v>253.643</v>
      </c>
      <c r="OH102" s="21" t="n">
        <v>33.86</v>
      </c>
      <c r="OI102" s="21" t="n">
        <v>150.091</v>
      </c>
      <c r="OJ102" s="21" t="n">
        <v>32.9</v>
      </c>
      <c r="OK102" s="21" t="n">
        <v>11</v>
      </c>
    </row>
    <row r="103">
      <c r="A103" s="22" t="n">
        <v>45078</v>
      </c>
      <c r="B103" s="21" t="n">
        <v>305.109</v>
      </c>
      <c r="C103" s="21" t="n">
        <v>913.97</v>
      </c>
      <c r="D103" s="21" t="n">
        <v>320.12</v>
      </c>
      <c r="E103" s="21" t="n">
        <v>322.556</v>
      </c>
      <c r="F103" s="21" t="n">
        <v>302.335</v>
      </c>
      <c r="G103" s="21" t="n">
        <v>355.074</v>
      </c>
      <c r="H103" s="21" t="n">
        <v>290.191</v>
      </c>
      <c r="I103" s="21" t="n">
        <v>324.483</v>
      </c>
      <c r="J103" s="21" t="n">
        <v>280.706</v>
      </c>
      <c r="K103" s="21" t="n">
        <v>295.502</v>
      </c>
      <c r="L103" s="21" t="n">
        <v>196.659</v>
      </c>
      <c r="M103" s="21" t="n">
        <v>392.673</v>
      </c>
      <c r="N103" s="21" t="n">
        <v>238.159</v>
      </c>
      <c r="O103" s="21" t="n">
        <v>431.681</v>
      </c>
      <c r="P103" s="21" t="n">
        <v>462.875</v>
      </c>
      <c r="Q103" s="21" t="n">
        <v>230.041</v>
      </c>
      <c r="R103" s="21" t="n">
        <v>369.396</v>
      </c>
      <c r="S103" s="21" t="n">
        <v>391.861</v>
      </c>
      <c r="T103" s="21" t="n">
        <v>346.468</v>
      </c>
      <c r="U103" s="21" t="n">
        <v>352.029</v>
      </c>
      <c r="V103" s="21" t="n">
        <v>389.697</v>
      </c>
      <c r="W103" s="21" t="n">
        <v>423.224</v>
      </c>
      <c r="X103" s="21" t="n">
        <v>344.27</v>
      </c>
      <c r="Y103" s="21" t="n">
        <v>315.561</v>
      </c>
      <c r="Z103" s="21" t="n">
        <v>319.818</v>
      </c>
      <c r="AA103" s="21" t="n">
        <v>323.049</v>
      </c>
      <c r="AB103" s="21" t="n">
        <v>400.683</v>
      </c>
      <c r="AC103" s="21" t="n">
        <v>346.066</v>
      </c>
      <c r="AD103" s="21" t="n">
        <v>312.739</v>
      </c>
      <c r="AE103" s="21" t="n">
        <v>272.052</v>
      </c>
      <c r="AF103" s="21" t="n">
        <v>316.754</v>
      </c>
      <c r="AG103" s="21" t="n">
        <v>258.165</v>
      </c>
      <c r="AH103" s="21" t="n">
        <v>191.581</v>
      </c>
      <c r="AI103" s="21" t="n">
        <v>344.881</v>
      </c>
      <c r="AJ103" s="21" t="n">
        <v>185.751</v>
      </c>
      <c r="AK103" s="21" t="n">
        <v>257.682</v>
      </c>
      <c r="AL103" s="21" t="n">
        <v>287.55</v>
      </c>
      <c r="AM103" s="21" t="n">
        <v>233.532</v>
      </c>
      <c r="AN103" s="21" t="n">
        <v>151.262</v>
      </c>
      <c r="AO103" s="21" t="n">
        <v>286.621</v>
      </c>
      <c r="AP103" s="21" t="n">
        <v>277.847</v>
      </c>
      <c r="AQ103" s="21" t="n">
        <v>187.379</v>
      </c>
      <c r="AR103" s="21" t="n"/>
      <c r="AS103" s="21" t="n"/>
      <c r="AT103" s="21" t="n">
        <v>304.357</v>
      </c>
      <c r="AU103" s="21" t="n">
        <v>194.307</v>
      </c>
      <c r="AV103" s="21" t="n">
        <v>325.841</v>
      </c>
      <c r="AW103" s="21" t="n">
        <v>289.012</v>
      </c>
      <c r="AX103" s="21" t="n">
        <v>204.151</v>
      </c>
      <c r="AY103" s="21" t="n">
        <v>357.044</v>
      </c>
      <c r="AZ103" s="21" t="n">
        <v>225.314</v>
      </c>
      <c r="BA103" s="21" t="n">
        <v>175.6</v>
      </c>
      <c r="BB103" s="21" t="n">
        <v>245.837</v>
      </c>
      <c r="BC103" s="21" t="n">
        <v>373.265</v>
      </c>
      <c r="BD103" s="21" t="n">
        <v>265.399</v>
      </c>
      <c r="BE103" s="21" t="n">
        <v>268.338</v>
      </c>
      <c r="BF103" s="21" t="n">
        <v>175.416</v>
      </c>
      <c r="BG103" s="21" t="n">
        <v>250.639</v>
      </c>
      <c r="BH103" s="21" t="n">
        <v>181.965</v>
      </c>
      <c r="BI103" s="21" t="n">
        <v>266.48</v>
      </c>
      <c r="BJ103" s="21" t="n">
        <v>270.426</v>
      </c>
      <c r="BK103" s="21" t="n">
        <v>189.873</v>
      </c>
      <c r="BL103" s="21" t="n">
        <v>350.724</v>
      </c>
      <c r="BM103" s="21" t="n">
        <v>394.243</v>
      </c>
      <c r="BN103" s="21" t="n">
        <v>407.828</v>
      </c>
      <c r="BO103" s="21" t="n">
        <v>384.824</v>
      </c>
      <c r="BP103" s="21" t="n">
        <v>208.359</v>
      </c>
      <c r="BQ103" s="21" t="n">
        <v>289.919</v>
      </c>
      <c r="BR103" s="21" t="n">
        <v>569.873</v>
      </c>
      <c r="BS103" s="21" t="n">
        <v>136.336</v>
      </c>
      <c r="BT103" s="21" t="n">
        <v>378.627</v>
      </c>
      <c r="BU103" s="21" t="n">
        <v>444.869</v>
      </c>
      <c r="BV103" s="21" t="n">
        <v>398.196</v>
      </c>
      <c r="BW103" s="21" t="n">
        <v>350.732</v>
      </c>
      <c r="BX103" s="21" t="n">
        <v>371.472</v>
      </c>
      <c r="BY103" s="21" t="n">
        <v>202.28</v>
      </c>
      <c r="BZ103" s="21" t="n">
        <v>212.93</v>
      </c>
      <c r="CA103" s="21" t="n">
        <v>202.402</v>
      </c>
      <c r="CB103" s="21" t="n">
        <v>226.376</v>
      </c>
      <c r="CC103" s="21" t="n">
        <v>190.689</v>
      </c>
      <c r="CD103" s="21" t="n">
        <v>269.788</v>
      </c>
      <c r="CE103" s="21" t="n">
        <v>190.05</v>
      </c>
      <c r="CF103" s="21" t="n">
        <v>221.07</v>
      </c>
      <c r="CG103" s="21" t="n">
        <v>216.146</v>
      </c>
      <c r="CH103" s="21" t="n">
        <v>171.057</v>
      </c>
      <c r="CI103" s="21" t="n">
        <v>220.123</v>
      </c>
      <c r="CJ103" s="21" t="n">
        <v>221.279</v>
      </c>
      <c r="CK103" s="21" t="n">
        <v>153.175</v>
      </c>
      <c r="CL103" s="21" t="n">
        <v>142.513</v>
      </c>
      <c r="CM103" s="21" t="n">
        <v>237.471</v>
      </c>
      <c r="CN103" s="21" t="n">
        <v>249.818</v>
      </c>
      <c r="CO103" s="21" t="n">
        <v>218.516</v>
      </c>
      <c r="CP103" s="21" t="n">
        <v>157.364</v>
      </c>
      <c r="CQ103" s="21" t="n">
        <v>269.995</v>
      </c>
      <c r="CR103" s="21" t="n">
        <v>282.813</v>
      </c>
      <c r="CS103" s="21" t="n">
        <v>258.142</v>
      </c>
      <c r="CT103" s="21" t="n">
        <v>192.062</v>
      </c>
      <c r="CU103" s="21" t="n">
        <v>191.259</v>
      </c>
      <c r="CV103" s="21" t="n">
        <v>307.52</v>
      </c>
      <c r="CW103" s="21" t="n">
        <v>273.824</v>
      </c>
      <c r="CX103" s="21" t="n">
        <v>298.079</v>
      </c>
      <c r="CY103" s="21" t="n">
        <v>476.599</v>
      </c>
      <c r="CZ103" s="21" t="n">
        <v>170.632</v>
      </c>
      <c r="DA103" s="21" t="n">
        <v>217.617</v>
      </c>
      <c r="DB103" s="21" t="n">
        <v>186.378</v>
      </c>
      <c r="DC103" s="21" t="n">
        <v>285.382</v>
      </c>
      <c r="DD103" s="21" t="n">
        <v>322.954</v>
      </c>
      <c r="DE103" s="21" t="n">
        <v>214.324</v>
      </c>
      <c r="DF103" s="21" t="n">
        <v>310.783</v>
      </c>
      <c r="DG103" s="21" t="n">
        <v>304.692</v>
      </c>
      <c r="DH103" s="21" t="n">
        <v>187.271</v>
      </c>
      <c r="DI103" s="21" t="n">
        <v>184.395</v>
      </c>
      <c r="DJ103" s="21" t="n">
        <v>180.093</v>
      </c>
      <c r="DK103" s="21" t="n">
        <v>357.01</v>
      </c>
      <c r="DL103" s="21" t="n">
        <v>213.534</v>
      </c>
      <c r="DM103" s="21" t="n">
        <v>169.094</v>
      </c>
      <c r="DN103" s="21" t="n">
        <v>153.889</v>
      </c>
      <c r="DO103" s="21" t="n">
        <v>354.245</v>
      </c>
      <c r="DP103" s="21" t="n">
        <v>218.301</v>
      </c>
      <c r="DQ103" s="21" t="n">
        <v>232.64</v>
      </c>
      <c r="DR103" s="21" t="n">
        <v>193.222</v>
      </c>
      <c r="DS103" s="21" t="n">
        <v>191.83</v>
      </c>
      <c r="DT103" s="21" t="n">
        <v>221.734</v>
      </c>
      <c r="DU103" s="21" t="n">
        <v>234.295</v>
      </c>
      <c r="DV103" s="21" t="n">
        <v>285.633</v>
      </c>
      <c r="DW103" s="21" t="n">
        <v>225.916</v>
      </c>
      <c r="DX103" s="21" t="n">
        <v>267.894</v>
      </c>
      <c r="DY103" s="21" t="n">
        <v>208.618</v>
      </c>
      <c r="DZ103" s="21" t="n">
        <v>221.053</v>
      </c>
      <c r="EA103" s="21" t="n">
        <v>204.472</v>
      </c>
      <c r="EB103" s="21" t="n">
        <v>181.106</v>
      </c>
      <c r="EC103" s="21" t="n">
        <v>419.404</v>
      </c>
      <c r="ED103" s="21" t="n">
        <v>203.172</v>
      </c>
      <c r="EE103" s="21" t="n">
        <v>227.173</v>
      </c>
      <c r="EF103" s="21" t="n">
        <v>233.078</v>
      </c>
      <c r="EG103" s="21" t="n">
        <v>320.002</v>
      </c>
      <c r="EH103" s="21" t="n">
        <v>380.594</v>
      </c>
      <c r="EI103" s="21" t="n">
        <v>398.593</v>
      </c>
      <c r="EJ103" s="21" t="n">
        <v>202.106</v>
      </c>
      <c r="EK103" s="21" t="n">
        <v>610.355</v>
      </c>
      <c r="EL103" s="21" t="n">
        <v>421.719</v>
      </c>
      <c r="EM103" s="21" t="n">
        <v>389.223</v>
      </c>
      <c r="EN103" s="21" t="n">
        <v>389.31</v>
      </c>
      <c r="EO103" s="21" t="n">
        <v>152.682</v>
      </c>
      <c r="EP103" s="21" t="n">
        <v>303.365</v>
      </c>
      <c r="EQ103" s="21" t="n">
        <v>255.076</v>
      </c>
      <c r="ER103" s="21" t="n">
        <v>353.809</v>
      </c>
      <c r="ES103" s="21" t="n">
        <v>353.673</v>
      </c>
      <c r="ET103" s="21" t="n">
        <v>422.917</v>
      </c>
      <c r="EU103" s="21" t="n">
        <v>259.564</v>
      </c>
      <c r="EV103" s="21" t="n">
        <v>271.369</v>
      </c>
      <c r="EW103" s="21" t="n">
        <v>219.272</v>
      </c>
      <c r="EX103" s="21" t="n">
        <v>287.457</v>
      </c>
      <c r="EY103" s="21" t="n">
        <v>657.11</v>
      </c>
      <c r="EZ103" s="21" t="n">
        <v>589.812</v>
      </c>
      <c r="FA103" s="21" t="n">
        <v>148.702</v>
      </c>
      <c r="FB103" s="21" t="n">
        <v>61.49</v>
      </c>
      <c r="FC103" s="21" t="n">
        <v>135.025</v>
      </c>
      <c r="FD103" s="21" t="n">
        <v>74.655</v>
      </c>
      <c r="FE103" s="21" t="n">
        <v>43.487</v>
      </c>
      <c r="FF103" s="21" t="n">
        <v>136.784</v>
      </c>
      <c r="FG103" s="21" t="n">
        <v>147.901</v>
      </c>
      <c r="FH103" s="21" t="n">
        <v>109.213</v>
      </c>
      <c r="FI103" s="21" t="n">
        <v>85.017</v>
      </c>
      <c r="FJ103" s="21" t="n"/>
      <c r="FK103" s="21" t="n">
        <v>88.53100000000001</v>
      </c>
      <c r="FL103" s="21" t="n">
        <v>94.327</v>
      </c>
      <c r="FM103" s="21" t="n">
        <v>112.317</v>
      </c>
      <c r="FN103" s="21" t="n">
        <v>77.643</v>
      </c>
      <c r="FO103" s="21" t="n">
        <v>54.922</v>
      </c>
      <c r="FP103" s="21" t="n">
        <v>40.399</v>
      </c>
      <c r="FQ103" s="21" t="n">
        <v>150.717</v>
      </c>
      <c r="FR103" s="21" t="n">
        <v>49.217</v>
      </c>
      <c r="FS103" s="21" t="n">
        <v>84.148</v>
      </c>
      <c r="FT103" s="21" t="n">
        <v>114.498</v>
      </c>
      <c r="FU103" s="21" t="n">
        <v>121.745</v>
      </c>
      <c r="FV103" s="21" t="n">
        <v>111.725</v>
      </c>
      <c r="FW103" s="21" t="n">
        <v>234.574</v>
      </c>
      <c r="FX103" s="21" t="n">
        <v>148.315</v>
      </c>
      <c r="FY103" s="21" t="n">
        <v>233.4</v>
      </c>
      <c r="FZ103" s="21" t="n">
        <v>140.382</v>
      </c>
      <c r="GA103" s="21" t="n">
        <v>239.388</v>
      </c>
      <c r="GB103" s="21" t="n">
        <v>216.758</v>
      </c>
      <c r="GC103" s="21" t="n">
        <v>242.877</v>
      </c>
      <c r="GD103" s="21" t="n">
        <v>206.745</v>
      </c>
      <c r="GE103" s="21" t="n"/>
      <c r="GF103" s="21" t="n">
        <v>130.51</v>
      </c>
      <c r="GG103" s="21" t="n">
        <v>126.786</v>
      </c>
      <c r="GH103" s="21" t="n">
        <v>129.937</v>
      </c>
      <c r="GI103" s="21" t="n">
        <v>106.2</v>
      </c>
      <c r="GJ103" s="21" t="n">
        <v>182.411</v>
      </c>
      <c r="GK103" s="21" t="n">
        <v>74.72199999999999</v>
      </c>
      <c r="GL103" s="21" t="n">
        <v>136.991</v>
      </c>
      <c r="GM103" s="21" t="n">
        <v>113.677</v>
      </c>
      <c r="GN103" s="21" t="n">
        <v>108.642</v>
      </c>
      <c r="GO103" s="21" t="n">
        <v>109.727</v>
      </c>
      <c r="GP103" s="21" t="n">
        <v>105.074</v>
      </c>
      <c r="GQ103" s="21" t="n">
        <v>106.464</v>
      </c>
      <c r="GR103" s="21" t="n">
        <v>74.265</v>
      </c>
      <c r="GS103" s="21" t="n">
        <v>112.223</v>
      </c>
      <c r="GT103" s="21" t="n">
        <v>103.012</v>
      </c>
      <c r="GU103" s="21" t="n">
        <v>144.571</v>
      </c>
      <c r="GV103" s="21" t="n">
        <v>149.195</v>
      </c>
      <c r="GW103" s="21" t="n">
        <v>166.129</v>
      </c>
      <c r="GX103" s="21" t="n">
        <v>130.975</v>
      </c>
      <c r="GY103" s="21" t="n">
        <v>127.882</v>
      </c>
      <c r="GZ103" s="21" t="n">
        <v>200.533</v>
      </c>
      <c r="HA103" s="21" t="n">
        <v>154.286</v>
      </c>
      <c r="HB103" s="21" t="n">
        <v>200.055</v>
      </c>
      <c r="HC103" s="21" t="n">
        <v>270.146</v>
      </c>
      <c r="HD103" s="21" t="n">
        <v>269.273</v>
      </c>
      <c r="HE103" s="21" t="n">
        <v>130.41</v>
      </c>
      <c r="HF103" s="21" t="n">
        <v>179.577</v>
      </c>
      <c r="HG103" s="21" t="n"/>
      <c r="HH103" s="21" t="n">
        <v>175.389</v>
      </c>
      <c r="HI103" s="21" t="n">
        <v>191.508</v>
      </c>
      <c r="HJ103" s="21" t="n"/>
      <c r="HK103" s="21" t="n">
        <v>202.007</v>
      </c>
      <c r="HL103" s="21" t="n">
        <v>115.583</v>
      </c>
      <c r="HM103" s="21" t="n">
        <v>183.273</v>
      </c>
      <c r="HN103" s="21" t="n">
        <v>317.17</v>
      </c>
      <c r="HO103" s="21" t="n">
        <v>316.258</v>
      </c>
      <c r="HP103" s="21" t="n">
        <v>309.872</v>
      </c>
      <c r="HQ103" s="21" t="n">
        <v>342.44</v>
      </c>
      <c r="HR103" s="21" t="n">
        <v>335.192</v>
      </c>
      <c r="HS103" s="21" t="n">
        <v>288.457</v>
      </c>
      <c r="HT103" s="21" t="n">
        <v>182.104</v>
      </c>
      <c r="HU103" s="21" t="n">
        <v>154.987</v>
      </c>
      <c r="HV103" s="21" t="n">
        <v>218.695</v>
      </c>
      <c r="HW103" s="21" t="n">
        <v>201.996</v>
      </c>
      <c r="HX103" s="21" t="n">
        <v>492.56</v>
      </c>
      <c r="HY103" s="21" t="n">
        <v>383.196</v>
      </c>
      <c r="HZ103" s="21" t="n">
        <v>412.212</v>
      </c>
      <c r="IA103" s="21" t="n">
        <v>330.377</v>
      </c>
      <c r="IB103" s="21" t="n">
        <v>250.599</v>
      </c>
      <c r="IC103" s="21" t="n">
        <v>705.717</v>
      </c>
      <c r="ID103" s="21" t="n">
        <v>206.044</v>
      </c>
      <c r="IE103" s="21" t="n">
        <v>193.57</v>
      </c>
      <c r="IF103" s="21" t="n">
        <v>225.739</v>
      </c>
      <c r="IG103" s="21" t="n">
        <v>262.945</v>
      </c>
      <c r="IH103" s="21" t="n"/>
      <c r="II103" s="21" t="n">
        <v>276.382</v>
      </c>
      <c r="IJ103" s="21" t="n">
        <v>279.224</v>
      </c>
      <c r="IK103" s="21" t="n">
        <v>167.597</v>
      </c>
      <c r="IL103" s="21" t="n"/>
      <c r="IM103" s="21" t="n"/>
      <c r="IN103" s="21" t="n">
        <v>65.852</v>
      </c>
      <c r="IO103" s="21" t="n">
        <v>334.666</v>
      </c>
      <c r="IP103" s="21" t="n">
        <v>128.419</v>
      </c>
      <c r="IQ103" s="21" t="n">
        <v>547.432</v>
      </c>
      <c r="IR103" s="21" t="n">
        <v>404.109</v>
      </c>
      <c r="IS103" s="21" t="n">
        <v>131.819</v>
      </c>
      <c r="IT103" s="21" t="n">
        <v>549.14</v>
      </c>
      <c r="IU103" s="21" t="n">
        <v>106.078</v>
      </c>
      <c r="IV103" s="21" t="n">
        <v>110.93</v>
      </c>
      <c r="IW103" s="21" t="n">
        <v>593.503</v>
      </c>
      <c r="IX103" s="21" t="n">
        <v>418.41</v>
      </c>
      <c r="IY103" s="21" t="n">
        <v>412.812</v>
      </c>
      <c r="IZ103" s="21" t="n">
        <v>569.369</v>
      </c>
      <c r="JA103" s="21" t="n">
        <v>202.07</v>
      </c>
      <c r="JB103" s="21" t="n">
        <v>259.432</v>
      </c>
      <c r="JC103" s="21" t="n">
        <v>93.001</v>
      </c>
      <c r="JD103" s="21" t="n">
        <v>390.793</v>
      </c>
      <c r="JE103" s="21" t="n">
        <v>376.235</v>
      </c>
      <c r="JF103" s="21" t="n">
        <v>860.404</v>
      </c>
      <c r="JG103" s="21" t="n">
        <v>269.609</v>
      </c>
      <c r="JH103" s="21" t="n">
        <v>151.145</v>
      </c>
      <c r="JI103" s="21" t="n">
        <v>149.684</v>
      </c>
      <c r="JJ103" s="21" t="n">
        <v>136.3</v>
      </c>
      <c r="JK103" s="21" t="n">
        <v>116.289</v>
      </c>
      <c r="JL103" s="21" t="n">
        <v>112.187</v>
      </c>
      <c r="JM103" s="21" t="n">
        <v>570.953</v>
      </c>
      <c r="JN103" s="21" t="n">
        <v>113.475</v>
      </c>
      <c r="JO103" s="21" t="n">
        <v>71.437</v>
      </c>
      <c r="JP103" s="21" t="n">
        <v>36.807</v>
      </c>
      <c r="JQ103" s="21" t="n">
        <v>153.845</v>
      </c>
      <c r="JR103" s="21" t="n">
        <v>26.02</v>
      </c>
      <c r="JS103" s="21" t="n">
        <v>83.012</v>
      </c>
      <c r="JT103" s="21" t="n">
        <v>219.542</v>
      </c>
      <c r="JU103" s="21" t="n">
        <v>242.387</v>
      </c>
      <c r="JV103" s="21" t="n">
        <v>192.219</v>
      </c>
      <c r="JW103" s="21" t="n">
        <v>130.974</v>
      </c>
      <c r="JX103" s="21" t="n">
        <v>326.86</v>
      </c>
      <c r="JY103" s="21" t="n">
        <v>236.998</v>
      </c>
      <c r="JZ103" s="21" t="n">
        <v>347.585</v>
      </c>
      <c r="KA103" s="21" t="n">
        <v>126.082</v>
      </c>
      <c r="KB103" s="21" t="n">
        <v>174.574</v>
      </c>
      <c r="KC103" s="21" t="n">
        <v>85.782</v>
      </c>
      <c r="KD103" s="21" t="n">
        <v>84.31</v>
      </c>
      <c r="KE103" s="21" t="n">
        <v>62.989</v>
      </c>
      <c r="KF103" s="21" t="n"/>
      <c r="KG103" s="21" t="n">
        <v>26.101</v>
      </c>
      <c r="KH103" s="21" t="n">
        <v>135.831</v>
      </c>
      <c r="KI103" s="21" t="n"/>
      <c r="KJ103" s="21" t="n"/>
      <c r="KK103" s="21" t="n">
        <v>34.982</v>
      </c>
      <c r="KL103" s="21" t="n">
        <v>29.817</v>
      </c>
      <c r="KM103" s="21" t="n">
        <v>40.096</v>
      </c>
      <c r="KN103" s="21" t="n"/>
      <c r="KO103" s="21" t="n">
        <v>104.657</v>
      </c>
      <c r="KP103" s="21" t="n">
        <v>123.56</v>
      </c>
      <c r="KQ103" s="21" t="n">
        <v>192.264</v>
      </c>
      <c r="KR103" s="21" t="n">
        <v>157.093</v>
      </c>
      <c r="KS103" s="21" t="n">
        <v>432.065</v>
      </c>
      <c r="KT103" s="21" t="n">
        <v>218.948</v>
      </c>
      <c r="KU103" s="21" t="n">
        <v>216.081</v>
      </c>
      <c r="KV103" s="21" t="n">
        <v>388.856</v>
      </c>
      <c r="KW103" s="21" t="n">
        <v>287.092</v>
      </c>
      <c r="KX103" s="21" t="n">
        <v>226.882</v>
      </c>
      <c r="KY103" s="21" t="n">
        <v>97.16500000000001</v>
      </c>
      <c r="KZ103" s="21" t="n">
        <v>144.9</v>
      </c>
      <c r="LA103" s="21" t="n">
        <v>289.382</v>
      </c>
      <c r="LB103" s="21" t="n">
        <v>697.925</v>
      </c>
      <c r="LC103" s="21" t="n">
        <v>240.373</v>
      </c>
      <c r="LD103" s="21" t="n">
        <v>832.736</v>
      </c>
      <c r="LE103" s="21" t="n">
        <v>916.37</v>
      </c>
      <c r="LF103" s="21" t="n">
        <v>93.652</v>
      </c>
      <c r="LG103" s="21" t="n">
        <v>346.809</v>
      </c>
      <c r="LH103" s="21" t="n">
        <v>270.931</v>
      </c>
      <c r="LI103" s="21" t="n">
        <v>75.06399999999999</v>
      </c>
      <c r="LJ103" s="21" t="n">
        <v>232.149</v>
      </c>
      <c r="LK103" s="21" t="n">
        <v>361.992</v>
      </c>
      <c r="LL103" s="21" t="n">
        <v>404.162</v>
      </c>
      <c r="LM103" s="21" t="n">
        <v>70.685</v>
      </c>
      <c r="LN103" s="21" t="n">
        <v>94.608</v>
      </c>
      <c r="LO103" s="21" t="n">
        <v>47.388</v>
      </c>
      <c r="LP103" s="21" t="n">
        <v>150.035</v>
      </c>
      <c r="LQ103" s="21" t="n"/>
      <c r="LR103" s="21" t="n"/>
      <c r="LS103" s="21" t="n">
        <v>106.15</v>
      </c>
      <c r="LT103" s="21" t="n">
        <v>37.357</v>
      </c>
      <c r="LU103" s="21" t="n">
        <v>24.235</v>
      </c>
      <c r="LV103" s="21" t="n">
        <v>83.572</v>
      </c>
      <c r="LW103" s="21" t="n">
        <v>119.916</v>
      </c>
      <c r="LX103" s="21" t="n">
        <v>50.423</v>
      </c>
      <c r="LY103" s="21" t="n">
        <v>537.386</v>
      </c>
      <c r="LZ103" s="21" t="n">
        <v>89.809</v>
      </c>
      <c r="MA103" s="21" t="n">
        <v>587.655</v>
      </c>
      <c r="MB103" s="21" t="n">
        <v>334.51</v>
      </c>
      <c r="MC103" s="21" t="n">
        <v>273.929</v>
      </c>
      <c r="MD103" s="21" t="n">
        <v>176.846</v>
      </c>
      <c r="ME103" s="21" t="n">
        <v>119.114</v>
      </c>
      <c r="MF103" s="21" t="n">
        <v>189.937</v>
      </c>
      <c r="MG103" s="21" t="n">
        <v>328.023</v>
      </c>
      <c r="MH103" s="21" t="n">
        <v>200.148</v>
      </c>
      <c r="MI103" s="21" t="n">
        <v>533.0839999999999</v>
      </c>
      <c r="MJ103" s="21" t="n"/>
      <c r="MK103" s="21" t="n">
        <v>377.563</v>
      </c>
      <c r="ML103" s="21" t="n">
        <v>217.129</v>
      </c>
      <c r="MM103" s="21" t="n">
        <v>261.808</v>
      </c>
      <c r="MN103" s="21" t="n">
        <v>439.647</v>
      </c>
      <c r="MO103" s="21" t="n">
        <v>177.761</v>
      </c>
      <c r="MP103" s="21" t="n">
        <v>345.068</v>
      </c>
      <c r="MQ103" s="21" t="n">
        <v>88.482</v>
      </c>
      <c r="MR103" s="21" t="n">
        <v>200.445</v>
      </c>
      <c r="MS103" s="21" t="n"/>
      <c r="MT103" s="21" t="n">
        <v>293.396</v>
      </c>
      <c r="MU103" s="21" t="n">
        <v>310.054</v>
      </c>
      <c r="MV103" s="21" t="n">
        <v>302.406</v>
      </c>
      <c r="MW103" s="21" t="n">
        <v>308.91</v>
      </c>
      <c r="MX103" s="21" t="n">
        <v>279.002</v>
      </c>
      <c r="MY103" s="21" t="n">
        <v>268.236</v>
      </c>
      <c r="MZ103" s="21" t="n">
        <v>269.235</v>
      </c>
      <c r="NA103" s="21" t="n">
        <v>272.397</v>
      </c>
      <c r="NB103" s="21" t="n">
        <v>122.399</v>
      </c>
      <c r="NC103" s="21" t="n">
        <v>224.764</v>
      </c>
      <c r="ND103" s="21" t="n">
        <v>182.692</v>
      </c>
      <c r="NE103" s="21" t="n">
        <v>179.065</v>
      </c>
      <c r="NF103" s="21" t="n">
        <v>168.588</v>
      </c>
      <c r="NG103" s="21" t="n">
        <v>164.853</v>
      </c>
      <c r="NH103" s="21" t="n">
        <v>312.614</v>
      </c>
      <c r="NI103" s="21" t="n">
        <v>128.392</v>
      </c>
      <c r="NJ103" s="21" t="n">
        <v>59.849</v>
      </c>
      <c r="NK103" s="21" t="n">
        <v>119.976</v>
      </c>
      <c r="NL103" s="21" t="n">
        <v>283.854</v>
      </c>
      <c r="NM103" s="21" t="n">
        <v>321.491</v>
      </c>
      <c r="NN103" s="21" t="n">
        <v>108.334</v>
      </c>
      <c r="NO103" s="21" t="n">
        <v>41.574</v>
      </c>
      <c r="NP103" s="21" t="n">
        <v>274.711</v>
      </c>
      <c r="NQ103" s="21" t="n">
        <v>234.67</v>
      </c>
      <c r="NR103" s="21" t="n">
        <v>296.653</v>
      </c>
      <c r="NS103" s="21" t="n">
        <v>231.52</v>
      </c>
      <c r="NT103" s="21" t="n">
        <v>299.444</v>
      </c>
      <c r="NU103" s="21" t="n">
        <v>135.367</v>
      </c>
      <c r="NV103" s="21" t="n">
        <v>149.354</v>
      </c>
      <c r="NW103" s="21" t="n">
        <v>403.139</v>
      </c>
      <c r="NX103" s="21" t="n">
        <v>85.96299999999999</v>
      </c>
      <c r="NY103" s="21" t="n">
        <v>144.594</v>
      </c>
      <c r="NZ103" s="21" t="n">
        <v>397.578</v>
      </c>
      <c r="OA103" s="21" t="n">
        <v>383.972</v>
      </c>
      <c r="OB103" s="21" t="n">
        <v>396.646</v>
      </c>
      <c r="OC103" s="21" t="n">
        <v>367.946</v>
      </c>
      <c r="OD103" s="21" t="n">
        <v>397.625</v>
      </c>
      <c r="OE103" s="21" t="n">
        <v>136.262</v>
      </c>
      <c r="OF103" s="21" t="n">
        <v>395.238</v>
      </c>
      <c r="OG103" s="21" t="n">
        <v>254.447</v>
      </c>
      <c r="OH103" s="21" t="n">
        <v>33.734</v>
      </c>
      <c r="OI103" s="21" t="n">
        <v>149.907</v>
      </c>
      <c r="OJ103" s="21" t="n">
        <v>32.8</v>
      </c>
      <c r="OK103" s="21" t="n">
        <v>10.9</v>
      </c>
    </row>
    <row r="104">
      <c r="A104" s="22" t="n">
        <v>45108</v>
      </c>
      <c r="B104" s="21" t="n">
        <v>305.691</v>
      </c>
      <c r="C104" s="21" t="n">
        <v>915.7140000000001</v>
      </c>
      <c r="D104" s="21" t="n">
        <v>321.02</v>
      </c>
      <c r="E104" s="21" t="n">
        <v>323.523</v>
      </c>
      <c r="F104" s="21" t="n">
        <v>303.455</v>
      </c>
      <c r="G104" s="21" t="n">
        <v>356.377</v>
      </c>
      <c r="H104" s="21" t="n">
        <v>291.867</v>
      </c>
      <c r="I104" s="21" t="n">
        <v>326.611</v>
      </c>
      <c r="J104" s="21" t="n">
        <v>281.392</v>
      </c>
      <c r="K104" s="21" t="n">
        <v>298.037</v>
      </c>
      <c r="L104" s="21" t="n">
        <v>198.434</v>
      </c>
      <c r="M104" s="21" t="n">
        <v>393.736</v>
      </c>
      <c r="N104" s="21" t="n">
        <v>240.341</v>
      </c>
      <c r="O104" s="21" t="n">
        <v>435.62</v>
      </c>
      <c r="P104" s="21" t="n">
        <v>467.205</v>
      </c>
      <c r="Q104" s="21" t="n">
        <v>227.75</v>
      </c>
      <c r="R104" s="21" t="n">
        <v>370.79</v>
      </c>
      <c r="S104" s="21" t="n">
        <v>391.239</v>
      </c>
      <c r="T104" s="21" t="n">
        <v>349.334</v>
      </c>
      <c r="U104" s="21" t="n">
        <v>352.712</v>
      </c>
      <c r="V104" s="21" t="n">
        <v>388.889</v>
      </c>
      <c r="W104" s="21" t="n">
        <v>423.986</v>
      </c>
      <c r="X104" s="21" t="n">
        <v>345.787</v>
      </c>
      <c r="Y104" s="21" t="n">
        <v>317.445</v>
      </c>
      <c r="Z104" s="21" t="n">
        <v>322.36</v>
      </c>
      <c r="AA104" s="21" t="n">
        <v>328.094</v>
      </c>
      <c r="AB104" s="21" t="n">
        <v>410.4</v>
      </c>
      <c r="AC104" s="21" t="n">
        <v>351.379</v>
      </c>
      <c r="AD104" s="21" t="n">
        <v>326.145</v>
      </c>
      <c r="AE104" s="21" t="n">
        <v>278.448</v>
      </c>
      <c r="AF104" s="21" t="n">
        <v>328.162</v>
      </c>
      <c r="AG104" s="21" t="n">
        <v>260.751</v>
      </c>
      <c r="AH104" s="21" t="n">
        <v>193.257</v>
      </c>
      <c r="AI104" s="21" t="n">
        <v>347.165</v>
      </c>
      <c r="AJ104" s="21" t="n">
        <v>187.793</v>
      </c>
      <c r="AK104" s="21" t="n">
        <v>258.679</v>
      </c>
      <c r="AL104" s="21" t="n">
        <v>288.923</v>
      </c>
      <c r="AM104" s="21" t="n">
        <v>233.915</v>
      </c>
      <c r="AN104" s="21" t="n">
        <v>154.724</v>
      </c>
      <c r="AO104" s="21" t="n">
        <v>288.748</v>
      </c>
      <c r="AP104" s="21" t="n">
        <v>278.378</v>
      </c>
      <c r="AQ104" s="21" t="n">
        <v>188.6</v>
      </c>
      <c r="AR104" s="21" t="n"/>
      <c r="AS104" s="21" t="n"/>
      <c r="AT104" s="21" t="n">
        <v>303.121</v>
      </c>
      <c r="AU104" s="21" t="n">
        <v>192.199</v>
      </c>
      <c r="AV104" s="21" t="n">
        <v>318.999</v>
      </c>
      <c r="AW104" s="21" t="n">
        <v>287.274</v>
      </c>
      <c r="AX104" s="21" t="n">
        <v>208.768</v>
      </c>
      <c r="AY104" s="21" t="n">
        <v>355.236</v>
      </c>
      <c r="AZ104" s="21" t="n">
        <v>222.893</v>
      </c>
      <c r="BA104" s="21" t="n">
        <v>175.656</v>
      </c>
      <c r="BB104" s="21" t="n">
        <v>248.474</v>
      </c>
      <c r="BC104" s="21" t="n">
        <v>369.139</v>
      </c>
      <c r="BD104" s="21" t="n">
        <v>259.462</v>
      </c>
      <c r="BE104" s="21" t="n">
        <v>269.143</v>
      </c>
      <c r="BF104" s="21" t="n">
        <v>173.791</v>
      </c>
      <c r="BG104" s="21" t="n">
        <v>247.44</v>
      </c>
      <c r="BH104" s="21" t="n">
        <v>180.849</v>
      </c>
      <c r="BI104" s="21" t="n">
        <v>267.792</v>
      </c>
      <c r="BJ104" s="21" t="n">
        <v>272.482</v>
      </c>
      <c r="BK104" s="21" t="n">
        <v>191.543</v>
      </c>
      <c r="BL104" s="21" t="n">
        <v>351.646</v>
      </c>
      <c r="BM104" s="21" t="n">
        <v>394.826</v>
      </c>
      <c r="BN104" s="21" t="n">
        <v>407.104</v>
      </c>
      <c r="BO104" s="21" t="n">
        <v>395.575</v>
      </c>
      <c r="BP104" s="21" t="n">
        <v>209.612</v>
      </c>
      <c r="BQ104" s="21" t="n">
        <v>293.798</v>
      </c>
      <c r="BR104" s="21" t="n">
        <v>582.717</v>
      </c>
      <c r="BS104" s="21" t="n">
        <v>132.805</v>
      </c>
      <c r="BT104" s="21" t="n">
        <v>380.599</v>
      </c>
      <c r="BU104" s="21" t="n">
        <v>455.949</v>
      </c>
      <c r="BV104" s="21" t="n">
        <v>398.761</v>
      </c>
      <c r="BW104" s="21" t="n">
        <v>348.881</v>
      </c>
      <c r="BX104" s="21" t="n">
        <v>372.503</v>
      </c>
      <c r="BY104" s="21" t="n">
        <v>203.478</v>
      </c>
      <c r="BZ104" s="21" t="n">
        <v>215.537</v>
      </c>
      <c r="CA104" s="21" t="n">
        <v>203.091</v>
      </c>
      <c r="CB104" s="21" t="n">
        <v>230.253</v>
      </c>
      <c r="CC104" s="21" t="n">
        <v>190.385</v>
      </c>
      <c r="CD104" s="21" t="n">
        <v>270.491</v>
      </c>
      <c r="CE104" s="21" t="n">
        <v>190.23</v>
      </c>
      <c r="CF104" s="21" t="n">
        <v>221.908</v>
      </c>
      <c r="CG104" s="21" t="n">
        <v>216.056</v>
      </c>
      <c r="CH104" s="21" t="n">
        <v>170.83</v>
      </c>
      <c r="CI104" s="21" t="n">
        <v>219.834</v>
      </c>
      <c r="CJ104" s="21" t="n">
        <v>224.696</v>
      </c>
      <c r="CK104" s="21" t="n">
        <v>152.917</v>
      </c>
      <c r="CL104" s="21" t="n">
        <v>142.759</v>
      </c>
      <c r="CM104" s="21" t="n">
        <v>238.433</v>
      </c>
      <c r="CN104" s="21" t="n">
        <v>251.538</v>
      </c>
      <c r="CO104" s="21" t="n">
        <v>216.698</v>
      </c>
      <c r="CP104" s="21" t="n">
        <v>156.992</v>
      </c>
      <c r="CQ104" s="21" t="n">
        <v>271.276</v>
      </c>
      <c r="CR104" s="21" t="n">
        <v>283.315</v>
      </c>
      <c r="CS104" s="21" t="n">
        <v>260.529</v>
      </c>
      <c r="CT104" s="21" t="n">
        <v>192.344</v>
      </c>
      <c r="CU104" s="21" t="n">
        <v>190.917</v>
      </c>
      <c r="CV104" s="21" t="n">
        <v>309.399</v>
      </c>
      <c r="CW104" s="21" t="n">
        <v>274.419</v>
      </c>
      <c r="CX104" s="21" t="n">
        <v>303.77</v>
      </c>
      <c r="CY104" s="21" t="n">
        <v>465.363</v>
      </c>
      <c r="CZ104" s="21" t="n">
        <v>173.065</v>
      </c>
      <c r="DA104" s="21" t="n">
        <v>218.629</v>
      </c>
      <c r="DB104" s="21" t="n">
        <v>186.548</v>
      </c>
      <c r="DC104" s="21" t="n">
        <v>286.826</v>
      </c>
      <c r="DD104" s="21" t="n">
        <v>320.836</v>
      </c>
      <c r="DE104" s="21" t="n">
        <v>216.53</v>
      </c>
      <c r="DF104" s="21" t="n">
        <v>314.181</v>
      </c>
      <c r="DG104" s="21" t="n">
        <v>305.599</v>
      </c>
      <c r="DH104" s="21" t="n">
        <v>186.765</v>
      </c>
      <c r="DI104" s="21" t="n">
        <v>186.086</v>
      </c>
      <c r="DJ104" s="21" t="n">
        <v>180.676</v>
      </c>
      <c r="DK104" s="21" t="n">
        <v>361.279</v>
      </c>
      <c r="DL104" s="21" t="n">
        <v>214.841</v>
      </c>
      <c r="DM104" s="21" t="n">
        <v>169.513</v>
      </c>
      <c r="DN104" s="21" t="n">
        <v>155.546</v>
      </c>
      <c r="DO104" s="21" t="n">
        <v>354.862</v>
      </c>
      <c r="DP104" s="21" t="n">
        <v>218.655</v>
      </c>
      <c r="DQ104" s="21" t="n">
        <v>233.174</v>
      </c>
      <c r="DR104" s="21" t="n">
        <v>193.484</v>
      </c>
      <c r="DS104" s="21" t="n"/>
      <c r="DT104" s="21" t="n">
        <v>220.965</v>
      </c>
      <c r="DU104" s="21" t="n">
        <v>233.605</v>
      </c>
      <c r="DV104" s="21" t="n">
        <v>285.58</v>
      </c>
      <c r="DW104" s="21" t="n">
        <v>225.602</v>
      </c>
      <c r="DX104" s="21" t="n">
        <v>266.014</v>
      </c>
      <c r="DY104" s="21" t="n">
        <v>210.389</v>
      </c>
      <c r="DZ104" s="21" t="n">
        <v>222.835</v>
      </c>
      <c r="EA104" s="21" t="n">
        <v>205.852</v>
      </c>
      <c r="EB104" s="21" t="n">
        <v>181.051</v>
      </c>
      <c r="EC104" s="21" t="n">
        <v>420.092</v>
      </c>
      <c r="ED104" s="21" t="n">
        <v>203.38</v>
      </c>
      <c r="EE104" s="21" t="n">
        <v>227.683</v>
      </c>
      <c r="EF104" s="21" t="n">
        <v>233.409</v>
      </c>
      <c r="EG104" s="21" t="n">
        <v>321.087</v>
      </c>
      <c r="EH104" s="21" t="n">
        <v>382.226</v>
      </c>
      <c r="EI104" s="21" t="n">
        <v>400.21</v>
      </c>
      <c r="EJ104" s="21" t="n">
        <v>200.893</v>
      </c>
      <c r="EK104" s="21" t="n">
        <v>616.596</v>
      </c>
      <c r="EL104" s="21" t="n">
        <v>418.196</v>
      </c>
      <c r="EM104" s="21" t="n">
        <v>391.131</v>
      </c>
      <c r="EN104" s="21" t="n">
        <v>391.206</v>
      </c>
      <c r="EO104" s="21" t="n">
        <v>152.87</v>
      </c>
      <c r="EP104" s="21" t="n">
        <v>304.077</v>
      </c>
      <c r="EQ104" s="21" t="n">
        <v>255.436</v>
      </c>
      <c r="ER104" s="21" t="n">
        <v>358.648</v>
      </c>
      <c r="ES104" s="21" t="n">
        <v>364.304</v>
      </c>
      <c r="ET104" s="21" t="n">
        <v>415.361</v>
      </c>
      <c r="EU104" s="21" t="n">
        <v>259.766</v>
      </c>
      <c r="EV104" s="21" t="n">
        <v>270.268</v>
      </c>
      <c r="EW104" s="21" t="n">
        <v>223.29</v>
      </c>
      <c r="EX104" s="21" t="n">
        <v>289.005</v>
      </c>
      <c r="EY104" s="21" t="n">
        <v>659.223</v>
      </c>
      <c r="EZ104" s="21" t="n">
        <v>596.167</v>
      </c>
      <c r="FA104" s="21" t="n">
        <v>148.453</v>
      </c>
      <c r="FB104" s="21" t="n">
        <v>60.359</v>
      </c>
      <c r="FC104" s="21" t="n">
        <v>133.684</v>
      </c>
      <c r="FD104" s="21" t="n">
        <v>73.84099999999999</v>
      </c>
      <c r="FE104" s="21" t="n">
        <v>42.32</v>
      </c>
      <c r="FF104" s="21" t="n">
        <v>136.291</v>
      </c>
      <c r="FG104" s="21" t="n">
        <v>149.011</v>
      </c>
      <c r="FH104" s="21" t="n">
        <v>108.987</v>
      </c>
      <c r="FI104" s="21" t="n">
        <v>82.649</v>
      </c>
      <c r="FJ104" s="21" t="n"/>
      <c r="FK104" s="21" t="n">
        <v>88.29900000000001</v>
      </c>
      <c r="FL104" s="21" t="n">
        <v>93.416</v>
      </c>
      <c r="FM104" s="21" t="n">
        <v>111.143</v>
      </c>
      <c r="FN104" s="21" t="n">
        <v>77.745</v>
      </c>
      <c r="FO104" s="21" t="n">
        <v>54.735</v>
      </c>
      <c r="FP104" s="21" t="n">
        <v>40.71</v>
      </c>
      <c r="FQ104" s="21" t="n">
        <v>146.104</v>
      </c>
      <c r="FR104" s="21" t="n">
        <v>49.673</v>
      </c>
      <c r="FS104" s="21" t="n">
        <v>83.28700000000001</v>
      </c>
      <c r="FT104" s="21" t="n">
        <v>113.166</v>
      </c>
      <c r="FU104" s="21" t="n">
        <v>121.402</v>
      </c>
      <c r="FV104" s="21" t="n">
        <v>109.807</v>
      </c>
      <c r="FW104" s="21" t="n">
        <v>234.643</v>
      </c>
      <c r="FX104" s="21" t="n">
        <v>148.77</v>
      </c>
      <c r="FY104" s="21" t="n">
        <v>234.037</v>
      </c>
      <c r="FZ104" s="21" t="n">
        <v>140.016</v>
      </c>
      <c r="GA104" s="21" t="n">
        <v>243.683</v>
      </c>
      <c r="GB104" s="21" t="n">
        <v>219.431</v>
      </c>
      <c r="GC104" s="21" t="n"/>
      <c r="GD104" s="21" t="n">
        <v>207.695</v>
      </c>
      <c r="GE104" s="21" t="n">
        <v>374.579</v>
      </c>
      <c r="GF104" s="21" t="n">
        <v>129.172</v>
      </c>
      <c r="GG104" s="21" t="n">
        <v>125.71</v>
      </c>
      <c r="GH104" s="21" t="n">
        <v>129.014</v>
      </c>
      <c r="GI104" s="21" t="n">
        <v>104.212</v>
      </c>
      <c r="GJ104" s="21" t="n">
        <v>180.616</v>
      </c>
      <c r="GK104" s="21" t="n">
        <v>74.95699999999999</v>
      </c>
      <c r="GL104" s="21" t="n">
        <v>136.358</v>
      </c>
      <c r="GM104" s="21" t="n">
        <v>112.258</v>
      </c>
      <c r="GN104" s="21" t="n">
        <v>106.767</v>
      </c>
      <c r="GO104" s="21" t="n">
        <v>107.655</v>
      </c>
      <c r="GP104" s="21" t="n">
        <v>103.175</v>
      </c>
      <c r="GQ104" s="21" t="n">
        <v>101.153</v>
      </c>
      <c r="GR104" s="21" t="n">
        <v>72.009</v>
      </c>
      <c r="GS104" s="21" t="n">
        <v>112.657</v>
      </c>
      <c r="GT104" s="21" t="n">
        <v>102.084</v>
      </c>
      <c r="GU104" s="21" t="n">
        <v>142.793</v>
      </c>
      <c r="GV104" s="21" t="n">
        <v>147.651</v>
      </c>
      <c r="GW104" s="21" t="n">
        <v>163.83</v>
      </c>
      <c r="GX104" s="21" t="n">
        <v>129.252</v>
      </c>
      <c r="GY104" s="21" t="n">
        <v>127.71</v>
      </c>
      <c r="GZ104" s="21" t="n">
        <v>203.817</v>
      </c>
      <c r="HA104" s="21" t="n">
        <v>155.239</v>
      </c>
      <c r="HB104" s="21" t="n">
        <v>203.712</v>
      </c>
      <c r="HC104" s="21" t="n">
        <v>270.602</v>
      </c>
      <c r="HD104" s="21" t="n">
        <v>270.609</v>
      </c>
      <c r="HE104" s="21" t="n">
        <v>130.469</v>
      </c>
      <c r="HF104" s="21" t="n">
        <v>179.696</v>
      </c>
      <c r="HG104" s="21" t="n"/>
      <c r="HH104" s="21" t="n">
        <v>175.364</v>
      </c>
      <c r="HI104" s="21" t="n">
        <v>191.657</v>
      </c>
      <c r="HJ104" s="21" t="n"/>
      <c r="HK104" s="21" t="n">
        <v>201.624</v>
      </c>
      <c r="HL104" s="21" t="n">
        <v>115.476</v>
      </c>
      <c r="HM104" s="21" t="n">
        <v>193.713</v>
      </c>
      <c r="HN104" s="21" t="n">
        <v>318.891</v>
      </c>
      <c r="HO104" s="21" t="n">
        <v>318.071</v>
      </c>
      <c r="HP104" s="21" t="n">
        <v>311.601</v>
      </c>
      <c r="HQ104" s="21" t="n">
        <v>344.841</v>
      </c>
      <c r="HR104" s="21" t="n">
        <v>337.407</v>
      </c>
      <c r="HS104" s="21" t="n">
        <v>286.268</v>
      </c>
      <c r="HT104" s="21" t="n">
        <v>181.454</v>
      </c>
      <c r="HU104" s="21" t="n">
        <v>155.085</v>
      </c>
      <c r="HV104" s="21" t="n">
        <v>215.918</v>
      </c>
      <c r="HW104" s="21" t="n">
        <v>198.51</v>
      </c>
      <c r="HX104" s="21" t="n">
        <v>482.851</v>
      </c>
      <c r="HY104" s="21" t="n">
        <v>387.159</v>
      </c>
      <c r="HZ104" s="21" t="n">
        <v>413.066</v>
      </c>
      <c r="IA104" s="21" t="n">
        <v>333.322</v>
      </c>
      <c r="IB104" s="21" t="n">
        <v>254.016</v>
      </c>
      <c r="IC104" s="21" t="n">
        <v>717.799</v>
      </c>
      <c r="ID104" s="21" t="n">
        <v>207.467</v>
      </c>
      <c r="IE104" s="21" t="n">
        <v>194.529</v>
      </c>
      <c r="IF104" s="21" t="n">
        <v>227.901</v>
      </c>
      <c r="IG104" s="21" t="n">
        <v>265.157</v>
      </c>
      <c r="IH104" s="21" t="n"/>
      <c r="II104" s="21" t="n">
        <v>257.946</v>
      </c>
      <c r="IJ104" s="21" t="n">
        <v>253.345</v>
      </c>
      <c r="IK104" s="21" t="n">
        <v>169.495</v>
      </c>
      <c r="IL104" s="21" t="n"/>
      <c r="IM104" s="21" t="n"/>
      <c r="IN104" s="21" t="n">
        <v>66.762</v>
      </c>
      <c r="IO104" s="21" t="n">
        <v>340.213</v>
      </c>
      <c r="IP104" s="21" t="n">
        <v>128.733</v>
      </c>
      <c r="IQ104" s="21" t="n">
        <v>546.698</v>
      </c>
      <c r="IR104" s="21" t="n">
        <v>406.169</v>
      </c>
      <c r="IS104" s="21" t="n">
        <v>132.587</v>
      </c>
      <c r="IT104" s="21" t="n">
        <v>549.212</v>
      </c>
      <c r="IU104" s="21" t="n">
        <v>108.119</v>
      </c>
      <c r="IV104" s="21" t="n">
        <v>110.558</v>
      </c>
      <c r="IW104" s="21" t="n">
        <v>591.832</v>
      </c>
      <c r="IX104" s="21" t="n">
        <v>419.559</v>
      </c>
      <c r="IY104" s="21" t="n">
        <v>413.437</v>
      </c>
      <c r="IZ104" s="21" t="n">
        <v>571.744</v>
      </c>
      <c r="JA104" s="21" t="n">
        <v>202.064</v>
      </c>
      <c r="JB104" s="21" t="n">
        <v>261.034</v>
      </c>
      <c r="JC104" s="21" t="n">
        <v>92.854</v>
      </c>
      <c r="JD104" s="21" t="n">
        <v>389.061</v>
      </c>
      <c r="JE104" s="21" t="n">
        <v>374.505</v>
      </c>
      <c r="JF104" s="21" t="n">
        <v>857.49</v>
      </c>
      <c r="JG104" s="21" t="n">
        <v>275.719</v>
      </c>
      <c r="JH104" s="21" t="n">
        <v>151.917</v>
      </c>
      <c r="JI104" s="21" t="n">
        <v>143.612</v>
      </c>
      <c r="JJ104" s="21" t="n">
        <v>136.401</v>
      </c>
      <c r="JK104" s="21" t="n">
        <v>116.39</v>
      </c>
      <c r="JL104" s="21" t="n">
        <v>111.76</v>
      </c>
      <c r="JM104" s="21" t="n">
        <v>573.038</v>
      </c>
      <c r="JN104" s="21" t="n">
        <v>114.026</v>
      </c>
      <c r="JO104" s="21" t="n">
        <v>71.536</v>
      </c>
      <c r="JP104" s="21" t="n">
        <v>37.431</v>
      </c>
      <c r="JQ104" s="21" t="n">
        <v>154.606</v>
      </c>
      <c r="JR104" s="21" t="n">
        <v>25.209</v>
      </c>
      <c r="JS104" s="21" t="n">
        <v>82.842</v>
      </c>
      <c r="JT104" s="21" t="n">
        <v>219.611</v>
      </c>
      <c r="JU104" s="21" t="n">
        <v>241.371</v>
      </c>
      <c r="JV104" s="21" t="n">
        <v>191.917</v>
      </c>
      <c r="JW104" s="21" t="n">
        <v>130.287</v>
      </c>
      <c r="JX104" s="21" t="n">
        <v>328.751</v>
      </c>
      <c r="JY104" s="21" t="n">
        <v>237.837</v>
      </c>
      <c r="JZ104" s="21" t="n">
        <v>347.967</v>
      </c>
      <c r="KA104" s="21" t="n">
        <v>126.264</v>
      </c>
      <c r="KB104" s="21" t="n">
        <v>175.21</v>
      </c>
      <c r="KC104" s="21" t="n">
        <v>85.642</v>
      </c>
      <c r="KD104" s="21" t="n">
        <v>83.88500000000001</v>
      </c>
      <c r="KE104" s="21" t="n">
        <v>62.117</v>
      </c>
      <c r="KF104" s="21" t="n"/>
      <c r="KG104" s="21" t="n">
        <v>25.719</v>
      </c>
      <c r="KH104" s="21" t="n">
        <v>135.817</v>
      </c>
      <c r="KI104" s="21" t="n"/>
      <c r="KJ104" s="21" t="n"/>
      <c r="KK104" s="21" t="n">
        <v>34.004</v>
      </c>
      <c r="KL104" s="21" t="n">
        <v>28.779</v>
      </c>
      <c r="KM104" s="21" t="n">
        <v>38.603</v>
      </c>
      <c r="KN104" s="21" t="n"/>
      <c r="KO104" s="21" t="n">
        <v>107.163</v>
      </c>
      <c r="KP104" s="21" t="n">
        <v>122.977</v>
      </c>
      <c r="KQ104" s="21" t="n">
        <v>194.178</v>
      </c>
      <c r="KR104" s="21" t="n">
        <v>158.392</v>
      </c>
      <c r="KS104" s="21" t="n">
        <v>437.642</v>
      </c>
      <c r="KT104" s="21" t="n">
        <v>219.131</v>
      </c>
      <c r="KU104" s="21" t="n">
        <v>228.731</v>
      </c>
      <c r="KV104" s="21" t="n">
        <v>393.212</v>
      </c>
      <c r="KW104" s="21" t="n">
        <v>283.935</v>
      </c>
      <c r="KX104" s="21" t="n">
        <v>220.514</v>
      </c>
      <c r="KY104" s="21" t="n">
        <v>98.131</v>
      </c>
      <c r="KZ104" s="21" t="n">
        <v>144.919</v>
      </c>
      <c r="LA104" s="21" t="n">
        <v>290.069</v>
      </c>
      <c r="LB104" s="21" t="n">
        <v>695.378</v>
      </c>
      <c r="LC104" s="21" t="n">
        <v>239.628</v>
      </c>
      <c r="LD104" s="21" t="n">
        <v>834.9299999999999</v>
      </c>
      <c r="LE104" s="21" t="n">
        <v>917.804</v>
      </c>
      <c r="LF104" s="21" t="n">
        <v>94.611</v>
      </c>
      <c r="LG104" s="21" t="n">
        <v>347.2</v>
      </c>
      <c r="LH104" s="21" t="n">
        <v>271.817</v>
      </c>
      <c r="LI104" s="21" t="n">
        <v>74.96599999999999</v>
      </c>
      <c r="LJ104" s="21" t="n">
        <v>229.362</v>
      </c>
      <c r="LK104" s="21" t="n">
        <v>357.194</v>
      </c>
      <c r="LL104" s="21" t="n">
        <v>402.313</v>
      </c>
      <c r="LM104" s="21" t="n">
        <v>70.60899999999999</v>
      </c>
      <c r="LN104" s="21" t="n">
        <v>94.727</v>
      </c>
      <c r="LO104" s="21" t="n">
        <v>47.385</v>
      </c>
      <c r="LP104" s="21" t="n">
        <v>151.355</v>
      </c>
      <c r="LQ104" s="21" t="n"/>
      <c r="LR104" s="21" t="n"/>
      <c r="LS104" s="21" t="n">
        <v>105.811</v>
      </c>
      <c r="LT104" s="21" t="n">
        <v>36.82</v>
      </c>
      <c r="LU104" s="21" t="n">
        <v>23.583</v>
      </c>
      <c r="LV104" s="21" t="n">
        <v>84.014</v>
      </c>
      <c r="LW104" s="21" t="n">
        <v>118.472</v>
      </c>
      <c r="LX104" s="21" t="n">
        <v>49.603</v>
      </c>
      <c r="LY104" s="21" t="n">
        <v>537.926</v>
      </c>
      <c r="LZ104" s="21" t="n">
        <v>90.252</v>
      </c>
      <c r="MA104" s="21" t="n">
        <v>591.944</v>
      </c>
      <c r="MB104" s="21" t="n">
        <v>331.922</v>
      </c>
      <c r="MC104" s="21" t="n">
        <v>273.964</v>
      </c>
      <c r="MD104" s="21" t="n">
        <v>177.651</v>
      </c>
      <c r="ME104" s="21" t="n">
        <v>119.576</v>
      </c>
      <c r="MF104" s="21" t="n">
        <v>190.996</v>
      </c>
      <c r="MG104" s="21" t="n">
        <v>329.904</v>
      </c>
      <c r="MH104" s="21" t="n">
        <v>201.295</v>
      </c>
      <c r="MI104" s="21" t="n">
        <v>530.282</v>
      </c>
      <c r="MJ104" s="21" t="n">
        <v>424.823</v>
      </c>
      <c r="MK104" s="21" t="n">
        <v>380.987</v>
      </c>
      <c r="ML104" s="21" t="n">
        <v>217.47</v>
      </c>
      <c r="MM104" s="21" t="n">
        <v>263.008</v>
      </c>
      <c r="MN104" s="21" t="n">
        <v>425.897</v>
      </c>
      <c r="MO104" s="21" t="n">
        <v>177.761</v>
      </c>
      <c r="MP104" s="21" t="n">
        <v>329.063</v>
      </c>
      <c r="MQ104" s="21" t="n">
        <v>87.62</v>
      </c>
      <c r="MR104" s="21" t="n">
        <v>194.712</v>
      </c>
      <c r="MS104" s="21" t="n"/>
      <c r="MT104" s="21" t="n">
        <v>294.037</v>
      </c>
      <c r="MU104" s="21" t="n">
        <v>310.611</v>
      </c>
      <c r="MV104" s="21" t="n">
        <v>302.932</v>
      </c>
      <c r="MW104" s="21" t="n">
        <v>309.402</v>
      </c>
      <c r="MX104" s="21" t="n">
        <v>279.181</v>
      </c>
      <c r="MY104" s="21" t="n">
        <v>268.245</v>
      </c>
      <c r="MZ104" s="21" t="n">
        <v>269.102</v>
      </c>
      <c r="NA104" s="21" t="n">
        <v>272.288</v>
      </c>
      <c r="NB104" s="21" t="n">
        <v>121.207</v>
      </c>
      <c r="NC104" s="21" t="n">
        <v>224.698</v>
      </c>
      <c r="ND104" s="21" t="n">
        <v>182.317</v>
      </c>
      <c r="NE104" s="21" t="n">
        <v>178.686</v>
      </c>
      <c r="NF104" s="21" t="n">
        <v>168.014</v>
      </c>
      <c r="NG104" s="21" t="n">
        <v>164.254</v>
      </c>
      <c r="NH104" s="21" t="n">
        <v>314.057</v>
      </c>
      <c r="NI104" s="21" t="n">
        <v>128.029</v>
      </c>
      <c r="NJ104" s="21" t="n">
        <v>59.102</v>
      </c>
      <c r="NK104" s="21" t="n">
        <v>120.274</v>
      </c>
      <c r="NL104" s="21" t="n">
        <v>284.828</v>
      </c>
      <c r="NM104" s="21" t="n">
        <v>323.358</v>
      </c>
      <c r="NN104" s="21" t="n">
        <v>107.72</v>
      </c>
      <c r="NO104" s="21" t="n">
        <v>41.012</v>
      </c>
      <c r="NP104" s="21" t="n">
        <v>274.97</v>
      </c>
      <c r="NQ104" s="21" t="n">
        <v>234.37</v>
      </c>
      <c r="NR104" s="21" t="n">
        <v>296.954</v>
      </c>
      <c r="NS104" s="21" t="n">
        <v>231.206</v>
      </c>
      <c r="NT104" s="21" t="n">
        <v>299.782</v>
      </c>
      <c r="NU104" s="21" t="n">
        <v>135.777</v>
      </c>
      <c r="NV104" s="21" t="n">
        <v>149.247</v>
      </c>
      <c r="NW104" s="21" t="n">
        <v>404.54</v>
      </c>
      <c r="NX104" s="21" t="n">
        <v>85.286</v>
      </c>
      <c r="NY104" s="21" t="n">
        <v>145.602</v>
      </c>
      <c r="NZ104" s="21" t="n">
        <v>399.295</v>
      </c>
      <c r="OA104" s="21" t="n">
        <v>385.231</v>
      </c>
      <c r="OB104" s="21" t="n">
        <v>398.002</v>
      </c>
      <c r="OC104" s="21" t="n">
        <v>369.411</v>
      </c>
      <c r="OD104" s="21" t="n">
        <v>398.407</v>
      </c>
      <c r="OE104" s="21" t="n">
        <v>136.186</v>
      </c>
      <c r="OF104" s="21" t="n">
        <v>396.199</v>
      </c>
      <c r="OG104" s="21" t="n">
        <v>253.149</v>
      </c>
      <c r="OH104" s="21" t="n">
        <v>33.455</v>
      </c>
      <c r="OI104" s="21" t="n">
        <v>150.415</v>
      </c>
      <c r="OJ104" s="21" t="n">
        <v>32.7</v>
      </c>
      <c r="OK104" s="21" t="n">
        <v>10.9</v>
      </c>
    </row>
    <row r="105">
      <c r="A105" s="22" t="n">
        <v>45139</v>
      </c>
      <c r="B105" s="21" t="n">
        <v>307.026</v>
      </c>
      <c r="C105" s="21" t="n">
        <v>919.713</v>
      </c>
      <c r="D105" s="21" t="n">
        <v>321.578</v>
      </c>
      <c r="E105" s="21" t="n">
        <v>324.1</v>
      </c>
      <c r="F105" s="21" t="n">
        <v>303.716</v>
      </c>
      <c r="G105" s="21" t="n">
        <v>356.563</v>
      </c>
      <c r="H105" s="21" t="n">
        <v>289.279</v>
      </c>
      <c r="I105" s="21" t="n">
        <v>324.17</v>
      </c>
      <c r="J105" s="21" t="n">
        <v>278.236</v>
      </c>
      <c r="K105" s="21" t="n">
        <v>295.881</v>
      </c>
      <c r="L105" s="21" t="n">
        <v>197.749</v>
      </c>
      <c r="M105" s="21" t="n">
        <v>395.634</v>
      </c>
      <c r="N105" s="21" t="n">
        <v>238.475</v>
      </c>
      <c r="O105" s="21" t="n">
        <v>434.697</v>
      </c>
      <c r="P105" s="21" t="n">
        <v>461.543</v>
      </c>
      <c r="Q105" s="21" t="n">
        <v>233.918</v>
      </c>
      <c r="R105" s="21" t="n">
        <v>373.071</v>
      </c>
      <c r="S105" s="21" t="n">
        <v>395.012</v>
      </c>
      <c r="T105" s="21" t="n">
        <v>349.751</v>
      </c>
      <c r="U105" s="21" t="n">
        <v>354.428</v>
      </c>
      <c r="V105" s="21" t="n">
        <v>391.202</v>
      </c>
      <c r="W105" s="21" t="n">
        <v>423.704</v>
      </c>
      <c r="X105" s="21" t="n">
        <v>349.898</v>
      </c>
      <c r="Y105" s="21" t="n">
        <v>318.944</v>
      </c>
      <c r="Z105" s="21" t="n">
        <v>324.535</v>
      </c>
      <c r="AA105" s="21" t="n">
        <v>329.919</v>
      </c>
      <c r="AB105" s="21" t="n">
        <v>413.156</v>
      </c>
      <c r="AC105" s="21" t="n">
        <v>352.959</v>
      </c>
      <c r="AD105" s="21" t="n">
        <v>328.301</v>
      </c>
      <c r="AE105" s="21" t="n">
        <v>281.016</v>
      </c>
      <c r="AF105" s="21" t="n">
        <v>329.525</v>
      </c>
      <c r="AG105" s="21" t="n">
        <v>265.41</v>
      </c>
      <c r="AH105" s="21" t="n">
        <v>196.62</v>
      </c>
      <c r="AI105" s="21" t="n">
        <v>361.261</v>
      </c>
      <c r="AJ105" s="21" t="n">
        <v>185.242</v>
      </c>
      <c r="AK105" s="21" t="n">
        <v>260.056</v>
      </c>
      <c r="AL105" s="21" t="n">
        <v>290.8</v>
      </c>
      <c r="AM105" s="21" t="n">
        <v>241.15</v>
      </c>
      <c r="AN105" s="21" t="n">
        <v>158.218</v>
      </c>
      <c r="AO105" s="21" t="n">
        <v>285.158</v>
      </c>
      <c r="AP105" s="21" t="n">
        <v>276.229</v>
      </c>
      <c r="AQ105" s="21" t="n">
        <v>186.064</v>
      </c>
      <c r="AR105" s="21" t="n"/>
      <c r="AS105" s="21" t="n"/>
      <c r="AT105" s="21" t="n">
        <v>306.096</v>
      </c>
      <c r="AU105" s="21" t="n">
        <v>194.79</v>
      </c>
      <c r="AV105" s="21" t="n">
        <v>325.801</v>
      </c>
      <c r="AW105" s="21" t="n">
        <v>290.164</v>
      </c>
      <c r="AX105" s="21" t="n">
        <v>207.911</v>
      </c>
      <c r="AY105" s="21" t="n">
        <v>357.852</v>
      </c>
      <c r="AZ105" s="21" t="n">
        <v>224.06</v>
      </c>
      <c r="BA105" s="21" t="n">
        <v>177.299</v>
      </c>
      <c r="BB105" s="21" t="n">
        <v>253.199</v>
      </c>
      <c r="BC105" s="21" t="n">
        <v>372.982</v>
      </c>
      <c r="BD105" s="21" t="n">
        <v>252.907</v>
      </c>
      <c r="BE105" s="21" t="n">
        <v>268.281</v>
      </c>
      <c r="BF105" s="21" t="n">
        <v>173.731</v>
      </c>
      <c r="BG105" s="21" t="n">
        <v>247.073</v>
      </c>
      <c r="BH105" s="21" t="n">
        <v>180.836</v>
      </c>
      <c r="BI105" s="21" t="n">
        <v>266.238</v>
      </c>
      <c r="BJ105" s="21" t="n">
        <v>272.839</v>
      </c>
      <c r="BK105" s="21" t="n">
        <v>190.555</v>
      </c>
      <c r="BL105" s="21" t="n">
        <v>350.428</v>
      </c>
      <c r="BM105" s="21" t="n">
        <v>393.72</v>
      </c>
      <c r="BN105" s="21" t="n">
        <v>405.319</v>
      </c>
      <c r="BO105" s="21" t="n">
        <v>396.512</v>
      </c>
      <c r="BP105" s="21" t="n">
        <v>209.58</v>
      </c>
      <c r="BQ105" s="21" t="n">
        <v>293.631</v>
      </c>
      <c r="BR105" s="21" t="n">
        <v>587.039</v>
      </c>
      <c r="BS105" s="21" t="n">
        <v>131.3</v>
      </c>
      <c r="BT105" s="21" t="n">
        <v>380.219</v>
      </c>
      <c r="BU105" s="21" t="n">
        <v>463.969</v>
      </c>
      <c r="BV105" s="21" t="n">
        <v>390.431</v>
      </c>
      <c r="BW105" s="21" t="n">
        <v>346.99</v>
      </c>
      <c r="BX105" s="21" t="n">
        <v>372.192</v>
      </c>
      <c r="BY105" s="21" t="n">
        <v>202.389</v>
      </c>
      <c r="BZ105" s="21" t="n">
        <v>214.322</v>
      </c>
      <c r="CA105" s="21" t="n">
        <v>200.388</v>
      </c>
      <c r="CB105" s="21" t="n">
        <v>230.449</v>
      </c>
      <c r="CC105" s="21" t="n">
        <v>189.463</v>
      </c>
      <c r="CD105" s="21" t="n">
        <v>268.672</v>
      </c>
      <c r="CE105" s="21" t="n">
        <v>189.208</v>
      </c>
      <c r="CF105" s="21" t="n">
        <v>219.374</v>
      </c>
      <c r="CG105" s="21" t="n">
        <v>216.642</v>
      </c>
      <c r="CH105" s="21" t="n">
        <v>171.9</v>
      </c>
      <c r="CI105" s="21" t="n">
        <v>223.668</v>
      </c>
      <c r="CJ105" s="21" t="n">
        <v>225.338</v>
      </c>
      <c r="CK105" s="21" t="n">
        <v>152.641</v>
      </c>
      <c r="CL105" s="21" t="n">
        <v>141.955</v>
      </c>
      <c r="CM105" s="21" t="n">
        <v>236.862</v>
      </c>
      <c r="CN105" s="21" t="n">
        <v>249.034</v>
      </c>
      <c r="CO105" s="21" t="n">
        <v>219.228</v>
      </c>
      <c r="CP105" s="21" t="n">
        <v>156.376</v>
      </c>
      <c r="CQ105" s="21" t="n">
        <v>271.648</v>
      </c>
      <c r="CR105" s="21" t="n">
        <v>285.144</v>
      </c>
      <c r="CS105" s="21" t="n">
        <v>263.001</v>
      </c>
      <c r="CT105" s="21" t="n">
        <v>193.059</v>
      </c>
      <c r="CU105" s="21" t="n">
        <v>193.264</v>
      </c>
      <c r="CV105" s="21" t="n">
        <v>309.632</v>
      </c>
      <c r="CW105" s="21" t="n">
        <v>273.148</v>
      </c>
      <c r="CX105" s="21" t="n">
        <v>300</v>
      </c>
      <c r="CY105" s="21" t="n">
        <v>466.156</v>
      </c>
      <c r="CZ105" s="21" t="n">
        <v>176.775</v>
      </c>
      <c r="DA105" s="21" t="n">
        <v>217.25</v>
      </c>
      <c r="DB105" s="21" t="n">
        <v>189.187</v>
      </c>
      <c r="DC105" s="21" t="n">
        <v>286.995</v>
      </c>
      <c r="DD105" s="21" t="n">
        <v>323.235</v>
      </c>
      <c r="DE105" s="21" t="n">
        <v>215.661</v>
      </c>
      <c r="DF105" s="21" t="n">
        <v>314.032</v>
      </c>
      <c r="DG105" s="21" t="n">
        <v>307.903</v>
      </c>
      <c r="DH105" s="21" t="n">
        <v>189.36</v>
      </c>
      <c r="DI105" s="21" t="n">
        <v>185.198</v>
      </c>
      <c r="DJ105" s="21" t="n">
        <v>182.988</v>
      </c>
      <c r="DK105" s="21" t="n">
        <v>349.266</v>
      </c>
      <c r="DL105" s="21" t="n">
        <v>215.686</v>
      </c>
      <c r="DM105" s="21" t="n">
        <v>169.154</v>
      </c>
      <c r="DN105" s="21" t="n">
        <v>152.834</v>
      </c>
      <c r="DO105" s="21" t="n">
        <v>356.083</v>
      </c>
      <c r="DP105" s="21" t="n">
        <v>219.097</v>
      </c>
      <c r="DQ105" s="21" t="n">
        <v>233.911</v>
      </c>
      <c r="DR105" s="21" t="n">
        <v>197.299</v>
      </c>
      <c r="DS105" s="21" t="n">
        <v>194.901</v>
      </c>
      <c r="DT105" s="21" t="n">
        <v>224.426</v>
      </c>
      <c r="DU105" s="21" t="n">
        <v>237.69</v>
      </c>
      <c r="DV105" s="21" t="n">
        <v>285.859</v>
      </c>
      <c r="DW105" s="21" t="n">
        <v>225.922</v>
      </c>
      <c r="DX105" s="21" t="n">
        <v>266.454</v>
      </c>
      <c r="DY105" s="21" t="n">
        <v>210.179</v>
      </c>
      <c r="DZ105" s="21" t="n">
        <v>224.795</v>
      </c>
      <c r="EA105" s="21" t="n">
        <v>204.783</v>
      </c>
      <c r="EB105" s="21" t="n">
        <v>181.439</v>
      </c>
      <c r="EC105" s="21" t="n">
        <v>420.221</v>
      </c>
      <c r="ED105" s="21" t="n">
        <v>205.4</v>
      </c>
      <c r="EE105" s="21" t="n">
        <v>227.576</v>
      </c>
      <c r="EF105" s="21" t="n">
        <v>233.36</v>
      </c>
      <c r="EG105" s="21" t="n">
        <v>321.894</v>
      </c>
      <c r="EH105" s="21" t="n">
        <v>383.221</v>
      </c>
      <c r="EI105" s="21" t="n">
        <v>402.247</v>
      </c>
      <c r="EJ105" s="21" t="n">
        <v>191.511</v>
      </c>
      <c r="EK105" s="21" t="n">
        <v>626.727</v>
      </c>
      <c r="EL105" s="21" t="n">
        <v>394.762</v>
      </c>
      <c r="EM105" s="21" t="n">
        <v>392.794</v>
      </c>
      <c r="EN105" s="21" t="n">
        <v>392.863</v>
      </c>
      <c r="EO105" s="21" t="n">
        <v>153.309</v>
      </c>
      <c r="EP105" s="21" t="n">
        <v>305.887</v>
      </c>
      <c r="EQ105" s="21" t="n">
        <v>256.889</v>
      </c>
      <c r="ER105" s="21" t="n">
        <v>381.562</v>
      </c>
      <c r="ES105" s="21" t="n">
        <v>397.444</v>
      </c>
      <c r="ET105" s="21" t="n">
        <v>419.189</v>
      </c>
      <c r="EU105" s="21" t="n">
        <v>260.448</v>
      </c>
      <c r="EV105" s="21" t="n">
        <v>270.752</v>
      </c>
      <c r="EW105" s="21" t="n">
        <v>224.539</v>
      </c>
      <c r="EX105" s="21" t="n">
        <v>290.975</v>
      </c>
      <c r="EY105" s="21" t="n">
        <v>665.008</v>
      </c>
      <c r="EZ105" s="21" t="n">
        <v>597.347</v>
      </c>
      <c r="FA105" s="21" t="n">
        <v>148.295</v>
      </c>
      <c r="FB105" s="21" t="n">
        <v>61.869</v>
      </c>
      <c r="FC105" s="21" t="n">
        <v>132.339</v>
      </c>
      <c r="FD105" s="21" t="n">
        <v>78.84</v>
      </c>
      <c r="FE105" s="21" t="n">
        <v>43.351</v>
      </c>
      <c r="FF105" s="21" t="n">
        <v>134.705</v>
      </c>
      <c r="FG105" s="21" t="n">
        <v>147.542</v>
      </c>
      <c r="FH105" s="21" t="n">
        <v>108.245</v>
      </c>
      <c r="FI105" s="21" t="n">
        <v>80.29000000000001</v>
      </c>
      <c r="FJ105" s="21" t="n"/>
      <c r="FK105" s="21" t="n">
        <v>87.961</v>
      </c>
      <c r="FL105" s="21" t="n">
        <v>93.408</v>
      </c>
      <c r="FM105" s="21" t="n">
        <v>111.145</v>
      </c>
      <c r="FN105" s="21" t="n">
        <v>77.28400000000001</v>
      </c>
      <c r="FO105" s="21" t="n">
        <v>55.137</v>
      </c>
      <c r="FP105" s="21" t="n">
        <v>41.023</v>
      </c>
      <c r="FQ105" s="21" t="n">
        <v>149.125</v>
      </c>
      <c r="FR105" s="21" t="n">
        <v>49.097</v>
      </c>
      <c r="FS105" s="21" t="n">
        <v>82.94199999999999</v>
      </c>
      <c r="FT105" s="21" t="n">
        <v>114.498</v>
      </c>
      <c r="FU105" s="21" t="n">
        <v>122.824</v>
      </c>
      <c r="FV105" s="21" t="n">
        <v>111.399</v>
      </c>
      <c r="FW105" s="21" t="n">
        <v>233.425</v>
      </c>
      <c r="FX105" s="21" t="n">
        <v>149.024</v>
      </c>
      <c r="FY105" s="21" t="n">
        <v>233.627</v>
      </c>
      <c r="FZ105" s="21" t="n">
        <v>138.413</v>
      </c>
      <c r="GA105" s="21" t="n">
        <v>240.913</v>
      </c>
      <c r="GB105" s="21" t="n">
        <v>216.572</v>
      </c>
      <c r="GC105" s="21" t="n">
        <v>242.942</v>
      </c>
      <c r="GD105" s="21" t="n">
        <v>203.673</v>
      </c>
      <c r="GE105" s="21" t="n">
        <v>364.272</v>
      </c>
      <c r="GF105" s="21" t="n">
        <v>131.262</v>
      </c>
      <c r="GG105" s="21" t="n">
        <v>127.04</v>
      </c>
      <c r="GH105" s="21" t="n">
        <v>129.998</v>
      </c>
      <c r="GI105" s="21" t="n">
        <v>102.057</v>
      </c>
      <c r="GJ105" s="21" t="n">
        <v>180.676</v>
      </c>
      <c r="GK105" s="21" t="n">
        <v>79.54000000000001</v>
      </c>
      <c r="GL105" s="21" t="n">
        <v>134.113</v>
      </c>
      <c r="GM105" s="21" t="n">
        <v>114.402</v>
      </c>
      <c r="GN105" s="21" t="n">
        <v>109.544</v>
      </c>
      <c r="GO105" s="21" t="n">
        <v>110.858</v>
      </c>
      <c r="GP105" s="21" t="n">
        <v>109.898</v>
      </c>
      <c r="GQ105" s="21" t="n">
        <v>110.246</v>
      </c>
      <c r="GR105" s="21" t="n">
        <v>74.889</v>
      </c>
      <c r="GS105" s="21" t="n">
        <v>112.151</v>
      </c>
      <c r="GT105" s="21" t="n">
        <v>102.824</v>
      </c>
      <c r="GU105" s="21" t="n">
        <v>145.862</v>
      </c>
      <c r="GV105" s="21" t="n">
        <v>148.675</v>
      </c>
      <c r="GW105" s="21" t="n">
        <v>168.051</v>
      </c>
      <c r="GX105" s="21" t="n">
        <v>133.414</v>
      </c>
      <c r="GY105" s="21" t="n">
        <v>127.192</v>
      </c>
      <c r="GZ105" s="21" t="n">
        <v>201.221</v>
      </c>
      <c r="HA105" s="21" t="n">
        <v>153.663</v>
      </c>
      <c r="HB105" s="21" t="n">
        <v>201.021</v>
      </c>
      <c r="HC105" s="21" t="n">
        <v>274.22</v>
      </c>
      <c r="HD105" s="21" t="n">
        <v>274.66</v>
      </c>
      <c r="HE105" s="21" t="n">
        <v>129.864</v>
      </c>
      <c r="HF105" s="21" t="n">
        <v>179.691</v>
      </c>
      <c r="HG105" s="21" t="n"/>
      <c r="HH105" s="21" t="n">
        <v>175.208</v>
      </c>
      <c r="HI105" s="21" t="n">
        <v>191.69</v>
      </c>
      <c r="HJ105" s="21" t="n"/>
      <c r="HK105" s="21" t="n">
        <v>198.768</v>
      </c>
      <c r="HL105" s="21" t="n">
        <v>116.786</v>
      </c>
      <c r="HM105" s="21" t="n">
        <v>185.505</v>
      </c>
      <c r="HN105" s="21" t="n">
        <v>338.207</v>
      </c>
      <c r="HO105" s="21" t="n">
        <v>336.979</v>
      </c>
      <c r="HP105" s="21" t="n">
        <v>330.718</v>
      </c>
      <c r="HQ105" s="21" t="n">
        <v>363.175</v>
      </c>
      <c r="HR105" s="21" t="n">
        <v>353.559</v>
      </c>
      <c r="HS105" s="21" t="n">
        <v>317.338</v>
      </c>
      <c r="HT105" s="21" t="n">
        <v>181.785</v>
      </c>
      <c r="HU105" s="21" t="n">
        <v>155.238</v>
      </c>
      <c r="HV105" s="21" t="n">
        <v>216.712</v>
      </c>
      <c r="HW105" s="21" t="n">
        <v>199.014</v>
      </c>
      <c r="HX105" s="21" t="n">
        <v>489.312</v>
      </c>
      <c r="HY105" s="21" t="n">
        <v>391.395</v>
      </c>
      <c r="HZ105" s="21" t="n">
        <v>414.729</v>
      </c>
      <c r="IA105" s="21" t="n">
        <v>336.433</v>
      </c>
      <c r="IB105" s="21" t="n">
        <v>257.624</v>
      </c>
      <c r="IC105" s="21" t="n">
        <v>733.141</v>
      </c>
      <c r="ID105" s="21" t="n">
        <v>207.755</v>
      </c>
      <c r="IE105" s="21" t="n">
        <v>194.529</v>
      </c>
      <c r="IF105" s="21" t="n">
        <v>228.626</v>
      </c>
      <c r="IG105" s="21" t="n">
        <v>267.988</v>
      </c>
      <c r="IH105" s="21" t="n"/>
      <c r="II105" s="21" t="n">
        <v>252.113</v>
      </c>
      <c r="IJ105" s="21" t="n">
        <v>246.185</v>
      </c>
      <c r="IK105" s="21" t="n">
        <v>168.232</v>
      </c>
      <c r="IL105" s="21" t="n"/>
      <c r="IM105" s="21" t="n"/>
      <c r="IN105" s="21" t="n">
        <v>67.62</v>
      </c>
      <c r="IO105" s="21" t="n">
        <v>338.028</v>
      </c>
      <c r="IP105" s="21" t="n">
        <v>128.707</v>
      </c>
      <c r="IQ105" s="21" t="n">
        <v>548.082</v>
      </c>
      <c r="IR105" s="21" t="n">
        <v>408.437</v>
      </c>
      <c r="IS105" s="21" t="n">
        <v>133.402</v>
      </c>
      <c r="IT105" s="21" t="n">
        <v>551.3440000000001</v>
      </c>
      <c r="IU105" s="21" t="n">
        <v>109.349</v>
      </c>
      <c r="IV105" s="21" t="n">
        <v>110.453</v>
      </c>
      <c r="IW105" s="21" t="n">
        <v>592.913</v>
      </c>
      <c r="IX105" s="21" t="n">
        <v>421.297</v>
      </c>
      <c r="IY105" s="21" t="n">
        <v>413.877</v>
      </c>
      <c r="IZ105" s="21" t="n">
        <v>580.468</v>
      </c>
      <c r="JA105" s="21" t="n">
        <v>203.98</v>
      </c>
      <c r="JB105" s="21" t="n">
        <v>258.989</v>
      </c>
      <c r="JC105" s="21" t="n">
        <v>93.572</v>
      </c>
      <c r="JD105" s="21" t="n">
        <v>391.678</v>
      </c>
      <c r="JE105" s="21" t="n">
        <v>377.091</v>
      </c>
      <c r="JF105" s="21" t="n">
        <v>863.514</v>
      </c>
      <c r="JG105" s="21" t="n">
        <v>277.909</v>
      </c>
      <c r="JH105" s="21" t="n">
        <v>155.044</v>
      </c>
      <c r="JI105" s="21" t="n">
        <v>138.443</v>
      </c>
      <c r="JJ105" s="21" t="n">
        <v>136.102</v>
      </c>
      <c r="JK105" s="21" t="n">
        <v>116.65</v>
      </c>
      <c r="JL105" s="21" t="n">
        <v>109.449</v>
      </c>
      <c r="JM105" s="21" t="n">
        <v>575.575</v>
      </c>
      <c r="JN105" s="21" t="n">
        <v>112.334</v>
      </c>
      <c r="JO105" s="21" t="n">
        <v>72.63800000000001</v>
      </c>
      <c r="JP105" s="21" t="n">
        <v>37.953</v>
      </c>
      <c r="JQ105" s="21" t="n">
        <v>154.811</v>
      </c>
      <c r="JR105" s="21" t="n">
        <v>24.876</v>
      </c>
      <c r="JS105" s="21" t="n">
        <v>84.06399999999999</v>
      </c>
      <c r="JT105" s="21" t="n">
        <v>217.646</v>
      </c>
      <c r="JU105" s="21" t="n">
        <v>238.928</v>
      </c>
      <c r="JV105" s="21" t="n">
        <v>191.735</v>
      </c>
      <c r="JW105" s="21" t="n">
        <v>126.915</v>
      </c>
      <c r="JX105" s="21" t="n">
        <v>326.271</v>
      </c>
      <c r="JY105" s="21" t="n">
        <v>239.91</v>
      </c>
      <c r="JZ105" s="21" t="n">
        <v>343.726</v>
      </c>
      <c r="KA105" s="21" t="n">
        <v>126.46</v>
      </c>
      <c r="KB105" s="21" t="n">
        <v>175.919</v>
      </c>
      <c r="KC105" s="21" t="n">
        <v>85.479</v>
      </c>
      <c r="KD105" s="21" t="n">
        <v>83.93300000000001</v>
      </c>
      <c r="KE105" s="21" t="n">
        <v>61.127</v>
      </c>
      <c r="KF105" s="21" t="n"/>
      <c r="KG105" s="21" t="n">
        <v>25.258</v>
      </c>
      <c r="KH105" s="21" t="n">
        <v>137.017</v>
      </c>
      <c r="KI105" s="21" t="n"/>
      <c r="KJ105" s="21" t="n"/>
      <c r="KK105" s="21" t="n">
        <v>34.176</v>
      </c>
      <c r="KL105" s="21" t="n">
        <v>28.975</v>
      </c>
      <c r="KM105" s="21" t="n">
        <v>38.973</v>
      </c>
      <c r="KN105" s="21" t="n"/>
      <c r="KO105" s="21" t="n">
        <v>107.581</v>
      </c>
      <c r="KP105" s="21" t="n">
        <v>122.14</v>
      </c>
      <c r="KQ105" s="21" t="n">
        <v>193.433</v>
      </c>
      <c r="KR105" s="21" t="n">
        <v>158.565</v>
      </c>
      <c r="KS105" s="21" t="n">
        <v>436.234</v>
      </c>
      <c r="KT105" s="21" t="n">
        <v>218.875</v>
      </c>
      <c r="KU105" s="21" t="n">
        <v>229.205</v>
      </c>
      <c r="KV105" s="21" t="n">
        <v>383.226</v>
      </c>
      <c r="KW105" s="21" t="n">
        <v>281.338</v>
      </c>
      <c r="KX105" s="21" t="n">
        <v>217.089</v>
      </c>
      <c r="KY105" s="21" t="n">
        <v>97.974</v>
      </c>
      <c r="KZ105" s="21" t="n">
        <v>145.174</v>
      </c>
      <c r="LA105" s="21" t="n">
        <v>292.014</v>
      </c>
      <c r="LB105" s="21" t="n">
        <v>694.564</v>
      </c>
      <c r="LC105" s="21" t="n">
        <v>235.485</v>
      </c>
      <c r="LD105" s="21" t="n">
        <v>840.8150000000001</v>
      </c>
      <c r="LE105" s="21" t="n">
        <v>926.302</v>
      </c>
      <c r="LF105" s="21" t="n">
        <v>95.292</v>
      </c>
      <c r="LG105" s="21" t="n">
        <v>348.173</v>
      </c>
      <c r="LH105" s="21" t="n">
        <v>271.686</v>
      </c>
      <c r="LI105" s="21" t="n">
        <v>74.858</v>
      </c>
      <c r="LJ105" s="21" t="n">
        <v>228.446</v>
      </c>
      <c r="LK105" s="21" t="n">
        <v>354.347</v>
      </c>
      <c r="LL105" s="21" t="n">
        <v>410.161</v>
      </c>
      <c r="LM105" s="21" t="n">
        <v>70.51000000000001</v>
      </c>
      <c r="LN105" s="21" t="n">
        <v>94.56699999999999</v>
      </c>
      <c r="LO105" s="21" t="n">
        <v>47.33</v>
      </c>
      <c r="LP105" s="21" t="n">
        <v>150.646</v>
      </c>
      <c r="LQ105" s="21" t="n"/>
      <c r="LR105" s="21" t="n"/>
      <c r="LS105" s="21" t="n">
        <v>105.692</v>
      </c>
      <c r="LT105" s="21" t="n">
        <v>36.529</v>
      </c>
      <c r="LU105" s="21" t="n">
        <v>23.265</v>
      </c>
      <c r="LV105" s="21" t="n">
        <v>84.369</v>
      </c>
      <c r="LW105" s="21" t="n">
        <v>117.607</v>
      </c>
      <c r="LX105" s="21" t="n">
        <v>49.479</v>
      </c>
      <c r="LY105" s="21" t="n">
        <v>540.27</v>
      </c>
      <c r="LZ105" s="21" t="n">
        <v>90.836</v>
      </c>
      <c r="MA105" s="21" t="n">
        <v>596.473</v>
      </c>
      <c r="MB105" s="21" t="n">
        <v>332.075</v>
      </c>
      <c r="MC105" s="21" t="n">
        <v>275.026</v>
      </c>
      <c r="MD105" s="21" t="n">
        <v>178.14</v>
      </c>
      <c r="ME105" s="21" t="n">
        <v>120.187</v>
      </c>
      <c r="MF105" s="21" t="n">
        <v>190.978</v>
      </c>
      <c r="MG105" s="21" t="n">
        <v>331.261</v>
      </c>
      <c r="MH105" s="21" t="n">
        <v>202.123</v>
      </c>
      <c r="MI105" s="21" t="n">
        <v>535.122</v>
      </c>
      <c r="MJ105" s="21" t="n"/>
      <c r="MK105" s="21" t="n">
        <v>382.302</v>
      </c>
      <c r="ML105" s="21" t="n">
        <v>218.748</v>
      </c>
      <c r="MM105" s="21" t="n">
        <v>262.941</v>
      </c>
      <c r="MN105" s="21" t="n">
        <v>417.501</v>
      </c>
      <c r="MO105" s="21" t="n">
        <v>176.403</v>
      </c>
      <c r="MP105" s="21" t="n">
        <v>321.31</v>
      </c>
      <c r="MQ105" s="21" t="n">
        <v>85.57299999999999</v>
      </c>
      <c r="MR105" s="21" t="n">
        <v>185.17</v>
      </c>
      <c r="MS105" s="21" t="n"/>
      <c r="MT105" s="21" t="n">
        <v>295.367</v>
      </c>
      <c r="MU105" s="21" t="n">
        <v>311.293</v>
      </c>
      <c r="MV105" s="21" t="n">
        <v>304.376</v>
      </c>
      <c r="MW105" s="21" t="n">
        <v>310.103</v>
      </c>
      <c r="MX105" s="21" t="n">
        <v>280.663</v>
      </c>
      <c r="MY105" s="21" t="n">
        <v>269.913</v>
      </c>
      <c r="MZ105" s="21" t="n">
        <v>269.642</v>
      </c>
      <c r="NA105" s="21" t="n">
        <v>273.124</v>
      </c>
      <c r="NB105" s="21" t="n">
        <v>123.008</v>
      </c>
      <c r="NC105" s="21" t="n">
        <v>226.161</v>
      </c>
      <c r="ND105" s="21" t="n">
        <v>183.968</v>
      </c>
      <c r="NE105" s="21" t="n">
        <v>180.354</v>
      </c>
      <c r="NF105" s="21" t="n">
        <v>168.029</v>
      </c>
      <c r="NG105" s="21" t="n">
        <v>164.62</v>
      </c>
      <c r="NH105" s="21" t="n">
        <v>314.167</v>
      </c>
      <c r="NI105" s="21" t="n">
        <v>127.556</v>
      </c>
      <c r="NJ105" s="21" t="n">
        <v>58.686</v>
      </c>
      <c r="NK105" s="21" t="n">
        <v>120.679</v>
      </c>
      <c r="NL105" s="21" t="n">
        <v>294.328</v>
      </c>
      <c r="NM105" s="21" t="n">
        <v>342.996</v>
      </c>
      <c r="NN105" s="21" t="n">
        <v>107.837</v>
      </c>
      <c r="NO105" s="21" t="n">
        <v>40.695</v>
      </c>
      <c r="NP105" s="21" t="n">
        <v>278.122</v>
      </c>
      <c r="NQ105" s="21" t="n">
        <v>239.516</v>
      </c>
      <c r="NR105" s="21" t="n">
        <v>303.906</v>
      </c>
      <c r="NS105" s="21" t="n">
        <v>236.633</v>
      </c>
      <c r="NT105" s="21" t="n">
        <v>307.421</v>
      </c>
      <c r="NU105" s="21" t="n">
        <v>135.943</v>
      </c>
      <c r="NV105" s="21" t="n">
        <v>150.298</v>
      </c>
      <c r="NW105" s="21" t="n">
        <v>405.504</v>
      </c>
      <c r="NX105" s="21" t="n">
        <v>84.991</v>
      </c>
      <c r="NY105" s="21" t="n">
        <v>145.413</v>
      </c>
      <c r="NZ105" s="21" t="n">
        <v>400.334</v>
      </c>
      <c r="OA105" s="21" t="n">
        <v>386.4</v>
      </c>
      <c r="OB105" s="21" t="n">
        <v>399.219</v>
      </c>
      <c r="OC105" s="21" t="n">
        <v>370.583</v>
      </c>
      <c r="OD105" s="21" t="n">
        <v>399.835</v>
      </c>
      <c r="OE105" s="21" t="n">
        <v>135.487</v>
      </c>
      <c r="OF105" s="21" t="n">
        <v>400.016</v>
      </c>
      <c r="OG105" s="21" t="n">
        <v>253.166</v>
      </c>
      <c r="OH105" s="21" t="n">
        <v>33.106</v>
      </c>
      <c r="OI105" s="21" t="n">
        <v>151.271</v>
      </c>
      <c r="OJ105" s="21" t="n">
        <v>32.6</v>
      </c>
      <c r="OK105" s="21" t="n">
        <v>10.9</v>
      </c>
    </row>
    <row r="106">
      <c r="A106" s="22" t="n">
        <v>45170</v>
      </c>
      <c r="B106" s="21" t="n">
        <v>307.789</v>
      </c>
      <c r="C106" s="21" t="n">
        <v>921.999</v>
      </c>
      <c r="D106" s="21" t="n">
        <v>322.249</v>
      </c>
      <c r="E106" s="21" t="n">
        <v>324.704</v>
      </c>
      <c r="F106" s="21" t="n">
        <v>303.925</v>
      </c>
      <c r="G106" s="21" t="n">
        <v>355.576</v>
      </c>
      <c r="H106" s="21" t="n">
        <v>287.999</v>
      </c>
      <c r="I106" s="21" t="n">
        <v>322.856</v>
      </c>
      <c r="J106" s="21" t="n">
        <v>276.814</v>
      </c>
      <c r="K106" s="21" t="n">
        <v>294.714</v>
      </c>
      <c r="L106" s="21" t="n">
        <v>195.222</v>
      </c>
      <c r="M106" s="21" t="n">
        <v>394.837</v>
      </c>
      <c r="N106" s="21" t="n">
        <v>239.147</v>
      </c>
      <c r="O106" s="21" t="n">
        <v>437.092</v>
      </c>
      <c r="P106" s="21" t="n">
        <v>461.642</v>
      </c>
      <c r="Q106" s="21" t="n">
        <v>233.345</v>
      </c>
      <c r="R106" s="21" t="n">
        <v>371.514</v>
      </c>
      <c r="S106" s="21" t="n">
        <v>391.189</v>
      </c>
      <c r="T106" s="21" t="n">
        <v>350.275</v>
      </c>
      <c r="U106" s="21" t="n">
        <v>352.894</v>
      </c>
      <c r="V106" s="21" t="n">
        <v>387.375</v>
      </c>
      <c r="W106" s="21" t="n">
        <v>423.8</v>
      </c>
      <c r="X106" s="21" t="n">
        <v>344.766</v>
      </c>
      <c r="Y106" s="21" t="n">
        <v>320.14</v>
      </c>
      <c r="Z106" s="21" t="n">
        <v>325.646</v>
      </c>
      <c r="AA106" s="21" t="n">
        <v>332.27</v>
      </c>
      <c r="AB106" s="21" t="n">
        <v>414.461</v>
      </c>
      <c r="AC106" s="21" t="n">
        <v>355.019</v>
      </c>
      <c r="AD106" s="21" t="n">
        <v>329.05</v>
      </c>
      <c r="AE106" s="21" t="n">
        <v>281.751</v>
      </c>
      <c r="AF106" s="21" t="n">
        <v>328.482</v>
      </c>
      <c r="AG106" s="21" t="n">
        <v>269.103</v>
      </c>
      <c r="AH106" s="21" t="n">
        <v>203.045</v>
      </c>
      <c r="AI106" s="21" t="n">
        <v>382.612</v>
      </c>
      <c r="AJ106" s="21" t="n">
        <v>184.066</v>
      </c>
      <c r="AK106" s="21" t="n">
        <v>257.954</v>
      </c>
      <c r="AL106" s="21" t="n">
        <v>287.885</v>
      </c>
      <c r="AM106" s="21" t="n">
        <v>239.949</v>
      </c>
      <c r="AN106" s="21" t="n">
        <v>159.883</v>
      </c>
      <c r="AO106" s="21" t="n">
        <v>286.707</v>
      </c>
      <c r="AP106" s="21" t="n">
        <v>292.088</v>
      </c>
      <c r="AQ106" s="21" t="n">
        <v>185.739</v>
      </c>
      <c r="AR106" s="21" t="n"/>
      <c r="AS106" s="21" t="n"/>
      <c r="AT106" s="21" t="n">
        <v>307.23</v>
      </c>
      <c r="AU106" s="21" t="n">
        <v>194.99</v>
      </c>
      <c r="AV106" s="21" t="n">
        <v>322.294</v>
      </c>
      <c r="AW106" s="21" t="n">
        <v>292.023</v>
      </c>
      <c r="AX106" s="21" t="n">
        <v>210.832</v>
      </c>
      <c r="AY106" s="21" t="n">
        <v>354.079</v>
      </c>
      <c r="AZ106" s="21" t="n">
        <v>221.115</v>
      </c>
      <c r="BA106" s="21" t="n">
        <v>175.86</v>
      </c>
      <c r="BB106" s="21" t="n">
        <v>251.736</v>
      </c>
      <c r="BC106" s="21" t="n">
        <v>372.405</v>
      </c>
      <c r="BD106" s="21" t="n">
        <v>255.116</v>
      </c>
      <c r="BE106" s="21" t="n">
        <v>268.377</v>
      </c>
      <c r="BF106" s="21" t="n">
        <v>174.62</v>
      </c>
      <c r="BG106" s="21" t="n">
        <v>249.533</v>
      </c>
      <c r="BH106" s="21" t="n">
        <v>181.208</v>
      </c>
      <c r="BI106" s="21" t="n">
        <v>265.159</v>
      </c>
      <c r="BJ106" s="21" t="n">
        <v>276.218</v>
      </c>
      <c r="BK106" s="21" t="n">
        <v>189.569</v>
      </c>
      <c r="BL106" s="21" t="n">
        <v>351.02</v>
      </c>
      <c r="BM106" s="21" t="n">
        <v>394.039</v>
      </c>
      <c r="BN106" s="21" t="n">
        <v>407.913</v>
      </c>
      <c r="BO106" s="21" t="n">
        <v>387.201</v>
      </c>
      <c r="BP106" s="21" t="n">
        <v>208.806</v>
      </c>
      <c r="BQ106" s="21" t="n">
        <v>296.557</v>
      </c>
      <c r="BR106" s="21" t="n">
        <v>592.537</v>
      </c>
      <c r="BS106" s="21" t="n">
        <v>133.793</v>
      </c>
      <c r="BT106" s="21" t="n">
        <v>378.117</v>
      </c>
      <c r="BU106" s="21" t="n">
        <v>448.409</v>
      </c>
      <c r="BV106" s="21" t="n">
        <v>391.509</v>
      </c>
      <c r="BW106" s="21" t="n">
        <v>350.142</v>
      </c>
      <c r="BX106" s="21" t="n">
        <v>371.354</v>
      </c>
      <c r="BY106" s="21" t="n">
        <v>203.24</v>
      </c>
      <c r="BZ106" s="21" t="n">
        <v>216.101</v>
      </c>
      <c r="CA106" s="21" t="n">
        <v>205.908</v>
      </c>
      <c r="CB106" s="21" t="n">
        <v>230.546</v>
      </c>
      <c r="CC106" s="21" t="n">
        <v>189.783</v>
      </c>
      <c r="CD106" s="21" t="n">
        <v>268.118</v>
      </c>
      <c r="CE106" s="21" t="n">
        <v>188.71</v>
      </c>
      <c r="CF106" s="21" t="n">
        <v>219.182</v>
      </c>
      <c r="CG106" s="21" t="n">
        <v>216.736</v>
      </c>
      <c r="CH106" s="21" t="n">
        <v>171.744</v>
      </c>
      <c r="CI106" s="21" t="n">
        <v>221.685</v>
      </c>
      <c r="CJ106" s="21" t="n">
        <v>230.858</v>
      </c>
      <c r="CK106" s="21" t="n">
        <v>153.321</v>
      </c>
      <c r="CL106" s="21" t="n">
        <v>142.471</v>
      </c>
      <c r="CM106" s="21" t="n">
        <v>237.098</v>
      </c>
      <c r="CN106" s="21" t="n">
        <v>249.755</v>
      </c>
      <c r="CO106" s="21" t="n">
        <v>218.211</v>
      </c>
      <c r="CP106" s="21" t="n">
        <v>157.672</v>
      </c>
      <c r="CQ106" s="21" t="n">
        <v>271.561</v>
      </c>
      <c r="CR106" s="21" t="n">
        <v>286.04</v>
      </c>
      <c r="CS106" s="21" t="n">
        <v>264.241</v>
      </c>
      <c r="CT106" s="21" t="n">
        <v>193.493</v>
      </c>
      <c r="CU106" s="21" t="n">
        <v>194.169</v>
      </c>
      <c r="CV106" s="21" t="n">
        <v>308.824</v>
      </c>
      <c r="CW106" s="21" t="n">
        <v>273.521</v>
      </c>
      <c r="CX106" s="21" t="n">
        <v>301.16</v>
      </c>
      <c r="CY106" s="21" t="n">
        <v>468.481</v>
      </c>
      <c r="CZ106" s="21" t="n">
        <v>173.802</v>
      </c>
      <c r="DA106" s="21" t="n">
        <v>217.738</v>
      </c>
      <c r="DB106" s="21" t="n">
        <v>190.364</v>
      </c>
      <c r="DC106" s="21" t="n">
        <v>286.826</v>
      </c>
      <c r="DD106" s="21" t="n">
        <v>312.019</v>
      </c>
      <c r="DE106" s="21" t="n">
        <v>214.354</v>
      </c>
      <c r="DF106" s="21" t="n">
        <v>316.589</v>
      </c>
      <c r="DG106" s="21" t="n">
        <v>306.169</v>
      </c>
      <c r="DH106" s="21" t="n">
        <v>186.494</v>
      </c>
      <c r="DI106" s="21" t="n">
        <v>184.684</v>
      </c>
      <c r="DJ106" s="21" t="n">
        <v>183.01</v>
      </c>
      <c r="DK106" s="21" t="n">
        <v>339.517</v>
      </c>
      <c r="DL106" s="21" t="n">
        <v>220.633</v>
      </c>
      <c r="DM106" s="21" t="n">
        <v>169.814</v>
      </c>
      <c r="DN106" s="21" t="n">
        <v>155.488</v>
      </c>
      <c r="DO106" s="21" t="n">
        <v>357.488</v>
      </c>
      <c r="DP106" s="21" t="n">
        <v>219.918</v>
      </c>
      <c r="DQ106" s="21" t="n">
        <v>234.755</v>
      </c>
      <c r="DR106" s="21" t="n">
        <v>197.883</v>
      </c>
      <c r="DS106" s="21" t="n">
        <v>196.018</v>
      </c>
      <c r="DT106" s="21" t="n">
        <v>225.278</v>
      </c>
      <c r="DU106" s="21" t="n">
        <v>240.429</v>
      </c>
      <c r="DV106" s="21" t="n">
        <v>287.496</v>
      </c>
      <c r="DW106" s="21" t="n">
        <v>226.791</v>
      </c>
      <c r="DX106" s="21" t="n">
        <v>267.458</v>
      </c>
      <c r="DY106" s="21" t="n">
        <v>210.651</v>
      </c>
      <c r="DZ106" s="21" t="n">
        <v>225.812</v>
      </c>
      <c r="EA106" s="21" t="n">
        <v>204.806</v>
      </c>
      <c r="EB106" s="21" t="n">
        <v>182.261</v>
      </c>
      <c r="EC106" s="21" t="n">
        <v>423.822</v>
      </c>
      <c r="ED106" s="21" t="n">
        <v>207.092</v>
      </c>
      <c r="EE106" s="21" t="n">
        <v>230.356</v>
      </c>
      <c r="EF106" s="21" t="n">
        <v>234.885</v>
      </c>
      <c r="EG106" s="21" t="n">
        <v>323.563</v>
      </c>
      <c r="EH106" s="21" t="n">
        <v>385.433</v>
      </c>
      <c r="EI106" s="21" t="n">
        <v>404.487</v>
      </c>
      <c r="EJ106" s="21" t="n">
        <v>192.906</v>
      </c>
      <c r="EK106" s="21" t="n">
        <v>631.7670000000001</v>
      </c>
      <c r="EL106" s="21" t="n">
        <v>397.591</v>
      </c>
      <c r="EM106" s="21" t="n">
        <v>395.039</v>
      </c>
      <c r="EN106" s="21" t="n">
        <v>395.111</v>
      </c>
      <c r="EO106" s="21" t="n">
        <v>154.656</v>
      </c>
      <c r="EP106" s="21" t="n">
        <v>306.948</v>
      </c>
      <c r="EQ106" s="21" t="n">
        <v>257.971</v>
      </c>
      <c r="ER106" s="21" t="n">
        <v>402.969</v>
      </c>
      <c r="ES106" s="21" t="n">
        <v>431.201</v>
      </c>
      <c r="ET106" s="21" t="n">
        <v>416.331</v>
      </c>
      <c r="EU106" s="21" t="n">
        <v>260.791</v>
      </c>
      <c r="EV106" s="21" t="n">
        <v>272.401</v>
      </c>
      <c r="EW106" s="21" t="n">
        <v>221.045</v>
      </c>
      <c r="EX106" s="21" t="n">
        <v>291.279</v>
      </c>
      <c r="EY106" s="21" t="n">
        <v>666.141</v>
      </c>
      <c r="EZ106" s="21" t="n">
        <v>596.997</v>
      </c>
      <c r="FA106" s="21" t="n">
        <v>148.7</v>
      </c>
      <c r="FB106" s="21" t="n">
        <v>61.857</v>
      </c>
      <c r="FC106" s="21" t="n">
        <v>132.828</v>
      </c>
      <c r="FD106" s="21" t="n">
        <v>77.50700000000001</v>
      </c>
      <c r="FE106" s="21" t="n">
        <v>43.62</v>
      </c>
      <c r="FF106" s="21" t="n">
        <v>133.112</v>
      </c>
      <c r="FG106" s="21" t="n">
        <v>145.53</v>
      </c>
      <c r="FH106" s="21" t="n">
        <v>107.084</v>
      </c>
      <c r="FI106" s="21" t="n">
        <v>79.366</v>
      </c>
      <c r="FJ106" s="21" t="n"/>
      <c r="FK106" s="21" t="n">
        <v>87.21899999999999</v>
      </c>
      <c r="FL106" s="21" t="n">
        <v>92.378</v>
      </c>
      <c r="FM106" s="21" t="n">
        <v>108.677</v>
      </c>
      <c r="FN106" s="21" t="n">
        <v>76.744</v>
      </c>
      <c r="FO106" s="21" t="n">
        <v>55.667</v>
      </c>
      <c r="FP106" s="21" t="n">
        <v>41.22</v>
      </c>
      <c r="FQ106" s="21" t="n">
        <v>152.77</v>
      </c>
      <c r="FR106" s="21" t="n">
        <v>49.436</v>
      </c>
      <c r="FS106" s="21" t="n">
        <v>83.527</v>
      </c>
      <c r="FT106" s="21" t="n">
        <v>114.952</v>
      </c>
      <c r="FU106" s="21" t="n">
        <v>124.527</v>
      </c>
      <c r="FV106" s="21" t="n">
        <v>111.34</v>
      </c>
      <c r="FW106" s="21" t="n">
        <v>234.314</v>
      </c>
      <c r="FX106" s="21" t="n">
        <v>149.2</v>
      </c>
      <c r="FY106" s="21" t="n">
        <v>233.069</v>
      </c>
      <c r="FZ106" s="21" t="n">
        <v>139.54</v>
      </c>
      <c r="GA106" s="21" t="n"/>
      <c r="GB106" s="21" t="n"/>
      <c r="GC106" s="21" t="n">
        <v>255.092</v>
      </c>
      <c r="GD106" s="21" t="n">
        <v>203.288</v>
      </c>
      <c r="GE106" s="21" t="n">
        <v>370.645</v>
      </c>
      <c r="GF106" s="21" t="n">
        <v>133.157</v>
      </c>
      <c r="GG106" s="21" t="n">
        <v>129.198</v>
      </c>
      <c r="GH106" s="21" t="n">
        <v>132.274</v>
      </c>
      <c r="GI106" s="21" t="n">
        <v>100.463</v>
      </c>
      <c r="GJ106" s="21" t="n">
        <v>184.211</v>
      </c>
      <c r="GK106" s="21" t="n">
        <v>82.087</v>
      </c>
      <c r="GL106" s="21" t="n">
        <v>136.318</v>
      </c>
      <c r="GM106" s="21" t="n">
        <v>116.175</v>
      </c>
      <c r="GN106" s="21" t="n">
        <v>112.025</v>
      </c>
      <c r="GO106" s="21" t="n">
        <v>113.089</v>
      </c>
      <c r="GP106" s="21" t="n">
        <v>113.355</v>
      </c>
      <c r="GQ106" s="21" t="n">
        <v>112.892</v>
      </c>
      <c r="GR106" s="21" t="n">
        <v>77.751</v>
      </c>
      <c r="GS106" s="21" t="n">
        <v>111.643</v>
      </c>
      <c r="GT106" s="21" t="n">
        <v>106.477</v>
      </c>
      <c r="GU106" s="21" t="n">
        <v>147.469</v>
      </c>
      <c r="GV106" s="21" t="n">
        <v>149.488</v>
      </c>
      <c r="GW106" s="21" t="n">
        <v>169.156</v>
      </c>
      <c r="GX106" s="21" t="n">
        <v>135.893</v>
      </c>
      <c r="GY106" s="21" t="n">
        <v>127.328</v>
      </c>
      <c r="GZ106" s="21" t="n">
        <v>197.976</v>
      </c>
      <c r="HA106" s="21" t="n">
        <v>147.619</v>
      </c>
      <c r="HB106" s="21" t="n">
        <v>198.644</v>
      </c>
      <c r="HC106" s="21" t="n">
        <v>272.517</v>
      </c>
      <c r="HD106" s="21" t="n">
        <v>272.841</v>
      </c>
      <c r="HE106" s="21" t="n">
        <v>127.194</v>
      </c>
      <c r="HF106" s="21" t="n">
        <v>179.75</v>
      </c>
      <c r="HG106" s="21" t="n"/>
      <c r="HH106" s="21" t="n">
        <v>175.074</v>
      </c>
      <c r="HI106" s="21" t="n">
        <v>191.759</v>
      </c>
      <c r="HJ106" s="21" t="n"/>
      <c r="HK106" s="21" t="n">
        <v>187.587</v>
      </c>
      <c r="HL106" s="21" t="n">
        <v>116.609</v>
      </c>
      <c r="HM106" s="21" t="n">
        <v>173.272</v>
      </c>
      <c r="HN106" s="21" t="n">
        <v>340.6</v>
      </c>
      <c r="HO106" s="21" t="n">
        <v>338.893</v>
      </c>
      <c r="HP106" s="21" t="n">
        <v>331.914</v>
      </c>
      <c r="HQ106" s="21" t="n">
        <v>367.18</v>
      </c>
      <c r="HR106" s="21" t="n">
        <v>360.103</v>
      </c>
      <c r="HS106" s="21" t="n">
        <v>337.553</v>
      </c>
      <c r="HT106" s="21" t="n">
        <v>179.115</v>
      </c>
      <c r="HU106" s="21" t="n">
        <v>151.978</v>
      </c>
      <c r="HV106" s="21" t="n">
        <v>216.533</v>
      </c>
      <c r="HW106" s="21" t="n">
        <v>199.213</v>
      </c>
      <c r="HX106" s="21" t="n">
        <v>484.532</v>
      </c>
      <c r="HY106" s="21" t="n">
        <v>392.222</v>
      </c>
      <c r="HZ106" s="21" t="n">
        <v>414.917</v>
      </c>
      <c r="IA106" s="21" t="n">
        <v>336.876</v>
      </c>
      <c r="IB106" s="21" t="n">
        <v>258.443</v>
      </c>
      <c r="IC106" s="21" t="n">
        <v>742.292</v>
      </c>
      <c r="ID106" s="21" t="n">
        <v>207.755</v>
      </c>
      <c r="IE106" s="21" t="n">
        <v>194.563</v>
      </c>
      <c r="IF106" s="21" t="n">
        <v>228.557</v>
      </c>
      <c r="IG106" s="21" t="n">
        <v>269.752</v>
      </c>
      <c r="IH106" s="21" t="n"/>
      <c r="II106" s="21" t="n">
        <v>252.991</v>
      </c>
      <c r="IJ106" s="21" t="n">
        <v>246.151</v>
      </c>
      <c r="IK106" s="21" t="n">
        <v>167.729</v>
      </c>
      <c r="IL106" s="21" t="n"/>
      <c r="IM106" s="21" t="n"/>
      <c r="IN106" s="21" t="n">
        <v>67.627</v>
      </c>
      <c r="IO106" s="21" t="n">
        <v>344.517</v>
      </c>
      <c r="IP106" s="21" t="n">
        <v>131.57</v>
      </c>
      <c r="IQ106" s="21" t="n">
        <v>548.431</v>
      </c>
      <c r="IR106" s="21" t="n">
        <v>407.25</v>
      </c>
      <c r="IS106" s="21" t="n">
        <v>132.921</v>
      </c>
      <c r="IT106" s="21" t="n">
        <v>547.579</v>
      </c>
      <c r="IU106" s="21" t="n">
        <v>109.766</v>
      </c>
      <c r="IV106" s="21" t="n">
        <v>111.037</v>
      </c>
      <c r="IW106" s="21" t="n">
        <v>593.777</v>
      </c>
      <c r="IX106" s="21" t="n">
        <v>421.462</v>
      </c>
      <c r="IY106" s="21" t="n">
        <v>413.966</v>
      </c>
      <c r="IZ106" s="21" t="n">
        <v>579.997</v>
      </c>
      <c r="JA106" s="21" t="n">
        <v>204.834</v>
      </c>
      <c r="JB106" s="21" t="n">
        <v>259.21</v>
      </c>
      <c r="JC106" s="21" t="n">
        <v>94.69499999999999</v>
      </c>
      <c r="JD106" s="21" t="n">
        <v>397.531</v>
      </c>
      <c r="JE106" s="21" t="n">
        <v>382.919</v>
      </c>
      <c r="JF106" s="21" t="n">
        <v>873.65</v>
      </c>
      <c r="JG106" s="21" t="n">
        <v>275.622</v>
      </c>
      <c r="JH106" s="21" t="n">
        <v>155.036</v>
      </c>
      <c r="JI106" s="21" t="n">
        <v>133.557</v>
      </c>
      <c r="JJ106" s="21" t="n">
        <v>136.687</v>
      </c>
      <c r="JK106" s="21" t="n">
        <v>116.753</v>
      </c>
      <c r="JL106" s="21" t="n">
        <v>109.894</v>
      </c>
      <c r="JM106" s="21" t="n">
        <v>574.749</v>
      </c>
      <c r="JN106" s="21" t="n">
        <v>112.578</v>
      </c>
      <c r="JO106" s="21" t="n">
        <v>73.313</v>
      </c>
      <c r="JP106" s="21" t="n">
        <v>39.051</v>
      </c>
      <c r="JQ106" s="21" t="n">
        <v>155.018</v>
      </c>
      <c r="JR106" s="21" t="n">
        <v>25.145</v>
      </c>
      <c r="JS106" s="21" t="n">
        <v>84.343</v>
      </c>
      <c r="JT106" s="21" t="n">
        <v>218.417</v>
      </c>
      <c r="JU106" s="21" t="n">
        <v>240.443</v>
      </c>
      <c r="JV106" s="21" t="n">
        <v>192.229</v>
      </c>
      <c r="JW106" s="21" t="n">
        <v>128.166</v>
      </c>
      <c r="JX106" s="21" t="n">
        <v>326.335</v>
      </c>
      <c r="JY106" s="21" t="n">
        <v>238.611</v>
      </c>
      <c r="JZ106" s="21" t="n">
        <v>346.801</v>
      </c>
      <c r="KA106" s="21" t="n">
        <v>126.481</v>
      </c>
      <c r="KB106" s="21" t="n">
        <v>175.525</v>
      </c>
      <c r="KC106" s="21" t="n">
        <v>85.759</v>
      </c>
      <c r="KD106" s="21" t="n">
        <v>85.76900000000001</v>
      </c>
      <c r="KE106" s="21" t="n">
        <v>62.713</v>
      </c>
      <c r="KF106" s="21" t="n"/>
      <c r="KG106" s="21" t="n">
        <v>26</v>
      </c>
      <c r="KH106" s="21" t="n">
        <v>139.758</v>
      </c>
      <c r="KI106" s="21" t="n"/>
      <c r="KJ106" s="21" t="n"/>
      <c r="KK106" s="21" t="n">
        <v>34.256</v>
      </c>
      <c r="KL106" s="21" t="n">
        <v>28.989</v>
      </c>
      <c r="KM106" s="21" t="n">
        <v>38.95</v>
      </c>
      <c r="KN106" s="21" t="n"/>
      <c r="KO106" s="21" t="n">
        <v>111.353</v>
      </c>
      <c r="KP106" s="21" t="n">
        <v>122.181</v>
      </c>
      <c r="KQ106" s="21" t="n">
        <v>195.148</v>
      </c>
      <c r="KR106" s="21" t="n">
        <v>158.294</v>
      </c>
      <c r="KS106" s="21" t="n">
        <v>449.167</v>
      </c>
      <c r="KT106" s="21" t="n">
        <v>218.054</v>
      </c>
      <c r="KU106" s="21" t="n">
        <v>246.887</v>
      </c>
      <c r="KV106" s="21" t="n">
        <v>383.499</v>
      </c>
      <c r="KW106" s="21" t="n">
        <v>285.482</v>
      </c>
      <c r="KX106" s="21" t="n">
        <v>218.854</v>
      </c>
      <c r="KY106" s="21" t="n">
        <v>100.17</v>
      </c>
      <c r="KZ106" s="21" t="n">
        <v>145.598</v>
      </c>
      <c r="LA106" s="21" t="n">
        <v>294.357</v>
      </c>
      <c r="LB106" s="21" t="n">
        <v>698.45</v>
      </c>
      <c r="LC106" s="21" t="n">
        <v>236.951</v>
      </c>
      <c r="LD106" s="21" t="n">
        <v>847.649</v>
      </c>
      <c r="LE106" s="21" t="n">
        <v>931.439</v>
      </c>
      <c r="LF106" s="21" t="n">
        <v>95.58499999999999</v>
      </c>
      <c r="LG106" s="21" t="n">
        <v>354.05</v>
      </c>
      <c r="LH106" s="21" t="n">
        <v>271.444</v>
      </c>
      <c r="LI106" s="21" t="n">
        <v>74.827</v>
      </c>
      <c r="LJ106" s="21" t="n">
        <v>228.787</v>
      </c>
      <c r="LK106" s="21" t="n">
        <v>354.347</v>
      </c>
      <c r="LL106" s="21" t="n">
        <v>414.293</v>
      </c>
      <c r="LM106" s="21" t="n">
        <v>70.47799999999999</v>
      </c>
      <c r="LN106" s="21" t="n">
        <v>94.47499999999999</v>
      </c>
      <c r="LO106" s="21" t="n">
        <v>47.304</v>
      </c>
      <c r="LP106" s="21" t="n">
        <v>150.149</v>
      </c>
      <c r="LQ106" s="21" t="n"/>
      <c r="LR106" s="21" t="n"/>
      <c r="LS106" s="21" t="n">
        <v>105.693</v>
      </c>
      <c r="LT106" s="21" t="n">
        <v>37.146</v>
      </c>
      <c r="LU106" s="21" t="n">
        <v>23.79</v>
      </c>
      <c r="LV106" s="21" t="n">
        <v>84.16500000000001</v>
      </c>
      <c r="LW106" s="21" t="n">
        <v>116.42</v>
      </c>
      <c r="LX106" s="21" t="n">
        <v>49.103</v>
      </c>
      <c r="LY106" s="21" t="n">
        <v>543.35</v>
      </c>
      <c r="LZ106" s="21" t="n">
        <v>91.03400000000001</v>
      </c>
      <c r="MA106" s="21" t="n">
        <v>598.851</v>
      </c>
      <c r="MB106" s="21" t="n">
        <v>329.529</v>
      </c>
      <c r="MC106" s="21" t="n">
        <v>276.813</v>
      </c>
      <c r="MD106" s="21" t="n">
        <v>178.898</v>
      </c>
      <c r="ME106" s="21" t="n">
        <v>120.543</v>
      </c>
      <c r="MF106" s="21" t="n">
        <v>192.057</v>
      </c>
      <c r="MG106" s="21" t="n">
        <v>331.275</v>
      </c>
      <c r="MH106" s="21" t="n">
        <v>202.132</v>
      </c>
      <c r="MI106" s="21" t="n">
        <v>540.99</v>
      </c>
      <c r="MJ106" s="21" t="n">
        <v>456.146</v>
      </c>
      <c r="MK106" s="21" t="n">
        <v>382.422</v>
      </c>
      <c r="ML106" s="21" t="n">
        <v>219.015</v>
      </c>
      <c r="MM106" s="21" t="n">
        <v>260.416</v>
      </c>
      <c r="MN106" s="21" t="n">
        <v>417.947</v>
      </c>
      <c r="MO106" s="21" t="n">
        <v>182.067</v>
      </c>
      <c r="MP106" s="21" t="n"/>
      <c r="MQ106" s="21" t="n">
        <v>87.00700000000001</v>
      </c>
      <c r="MR106" s="21" t="n">
        <v>188.588</v>
      </c>
      <c r="MS106" s="21" t="n"/>
      <c r="MT106" s="21" t="n">
        <v>296.147</v>
      </c>
      <c r="MU106" s="21" t="n">
        <v>311.99</v>
      </c>
      <c r="MV106" s="21" t="n">
        <v>305.162</v>
      </c>
      <c r="MW106" s="21" t="n">
        <v>310.817</v>
      </c>
      <c r="MX106" s="21" t="n">
        <v>280.869</v>
      </c>
      <c r="MY106" s="21" t="n">
        <v>270.034</v>
      </c>
      <c r="MZ106" s="21" t="n">
        <v>269.536</v>
      </c>
      <c r="NA106" s="21" t="n">
        <v>274.002</v>
      </c>
      <c r="NB106" s="21" t="n">
        <v>124.889</v>
      </c>
      <c r="NC106" s="21" t="n">
        <v>225.866</v>
      </c>
      <c r="ND106" s="21" t="n">
        <v>183.416</v>
      </c>
      <c r="NE106" s="21" t="n">
        <v>179.759</v>
      </c>
      <c r="NF106" s="21" t="n">
        <v>167.141</v>
      </c>
      <c r="NG106" s="21" t="n">
        <v>164.988</v>
      </c>
      <c r="NH106" s="21" t="n">
        <v>314.552</v>
      </c>
      <c r="NI106" s="21" t="n">
        <v>125.849</v>
      </c>
      <c r="NJ106" s="21" t="n">
        <v>58.882</v>
      </c>
      <c r="NK106" s="21" t="n">
        <v>121.022</v>
      </c>
      <c r="NL106" s="21" t="n">
        <v>296.004</v>
      </c>
      <c r="NM106" s="21" t="n">
        <v>346.212</v>
      </c>
      <c r="NN106" s="21" t="n">
        <v>107.776</v>
      </c>
      <c r="NO106" s="21" t="n">
        <v>40.82</v>
      </c>
      <c r="NP106" s="21" t="n">
        <v>279.363</v>
      </c>
      <c r="NQ106" s="21" t="n">
        <v>241.247</v>
      </c>
      <c r="NR106" s="21" t="n">
        <v>305.553</v>
      </c>
      <c r="NS106" s="21" t="n">
        <v>238.368</v>
      </c>
      <c r="NT106" s="21" t="n">
        <v>309.078</v>
      </c>
      <c r="NU106" s="21" t="n">
        <v>136.6</v>
      </c>
      <c r="NV106" s="21" t="n">
        <v>151.266</v>
      </c>
      <c r="NW106" s="21" t="n">
        <v>407.114</v>
      </c>
      <c r="NX106" s="21" t="n">
        <v>85.32599999999999</v>
      </c>
      <c r="NY106" s="21" t="n">
        <v>146.076</v>
      </c>
      <c r="NZ106" s="21" t="n">
        <v>402.631</v>
      </c>
      <c r="OA106" s="21" t="n">
        <v>388.274</v>
      </c>
      <c r="OB106" s="21" t="n">
        <v>401.234</v>
      </c>
      <c r="OC106" s="21" t="n">
        <v>372.524</v>
      </c>
      <c r="OD106" s="21" t="n">
        <v>401.324</v>
      </c>
      <c r="OE106" s="21" t="n">
        <v>132.599</v>
      </c>
      <c r="OF106" s="21" t="n">
        <v>402.021</v>
      </c>
      <c r="OG106" s="21" t="n">
        <v>253.337</v>
      </c>
      <c r="OH106" s="21" t="n">
        <v>33.267</v>
      </c>
      <c r="OI106" s="21" t="n">
        <v>151.242</v>
      </c>
      <c r="OJ106" s="21" t="n">
        <v>32.5</v>
      </c>
      <c r="OK106" s="21" t="n">
        <v>10.8</v>
      </c>
    </row>
    <row r="107">
      <c r="A107" s="22" t="n">
        <v>45200</v>
      </c>
      <c r="B107" s="21" t="n">
        <v>307.671</v>
      </c>
      <c r="C107" s="21" t="n">
        <v>921.645</v>
      </c>
      <c r="D107" s="21" t="n">
        <v>323.262</v>
      </c>
      <c r="E107" s="21" t="n">
        <v>325.731</v>
      </c>
      <c r="F107" s="21" t="n">
        <v>304.788</v>
      </c>
      <c r="G107" s="21" t="n">
        <v>355.752</v>
      </c>
      <c r="H107" s="21" t="n">
        <v>286.804</v>
      </c>
      <c r="I107" s="21" t="n">
        <v>321.342</v>
      </c>
      <c r="J107" s="21" t="n">
        <v>278.376</v>
      </c>
      <c r="K107" s="21" t="n">
        <v>290.895</v>
      </c>
      <c r="L107" s="21" t="n">
        <v>193.376</v>
      </c>
      <c r="M107" s="21" t="n">
        <v>395.858</v>
      </c>
      <c r="N107" s="21" t="n">
        <v>241.583</v>
      </c>
      <c r="O107" s="21" t="n">
        <v>441.488</v>
      </c>
      <c r="P107" s="21" t="n">
        <v>466.758</v>
      </c>
      <c r="Q107" s="21" t="n">
        <v>234.286</v>
      </c>
      <c r="R107" s="21" t="n">
        <v>367.844</v>
      </c>
      <c r="S107" s="21" t="n">
        <v>390.052</v>
      </c>
      <c r="T107" s="21" t="n">
        <v>346.515</v>
      </c>
      <c r="U107" s="21" t="n">
        <v>354.777</v>
      </c>
      <c r="V107" s="21" t="n">
        <v>393.217</v>
      </c>
      <c r="W107" s="21" t="n">
        <v>425.742</v>
      </c>
      <c r="X107" s="21" t="n">
        <v>349.687</v>
      </c>
      <c r="Y107" s="21" t="n">
        <v>322.536</v>
      </c>
      <c r="Z107" s="21" t="n">
        <v>328.213</v>
      </c>
      <c r="AA107" s="21" t="n">
        <v>336.508</v>
      </c>
      <c r="AB107" s="21" t="n">
        <v>418.533</v>
      </c>
      <c r="AC107" s="21" t="n">
        <v>360.211</v>
      </c>
      <c r="AD107" s="21" t="n">
        <v>332.957</v>
      </c>
      <c r="AE107" s="21" t="n">
        <v>283.295</v>
      </c>
      <c r="AF107" s="21" t="n">
        <v>331.187</v>
      </c>
      <c r="AG107" s="21" t="n">
        <v>273.58</v>
      </c>
      <c r="AH107" s="21" t="n">
        <v>206.245</v>
      </c>
      <c r="AI107" s="21" t="n">
        <v>391.98</v>
      </c>
      <c r="AJ107" s="21" t="n">
        <v>184.488</v>
      </c>
      <c r="AK107" s="21" t="n">
        <v>258.64</v>
      </c>
      <c r="AL107" s="21" t="n">
        <v>288.813</v>
      </c>
      <c r="AM107" s="21" t="n">
        <v>248.324</v>
      </c>
      <c r="AN107" s="21" t="n">
        <v>163.091</v>
      </c>
      <c r="AO107" s="21" t="n">
        <v>290.419</v>
      </c>
      <c r="AP107" s="21" t="n">
        <v>305.047</v>
      </c>
      <c r="AQ107" s="21" t="n">
        <v>188.095</v>
      </c>
      <c r="AR107" s="21" t="n"/>
      <c r="AS107" s="21" t="n"/>
      <c r="AT107" s="21" t="n">
        <v>308.281</v>
      </c>
      <c r="AU107" s="21" t="n">
        <v>195.575</v>
      </c>
      <c r="AV107" s="21" t="n">
        <v>323.007</v>
      </c>
      <c r="AW107" s="21" t="n">
        <v>292.627</v>
      </c>
      <c r="AX107" s="21" t="n">
        <v>211.895</v>
      </c>
      <c r="AY107" s="21" t="n">
        <v>352.376</v>
      </c>
      <c r="AZ107" s="21" t="n">
        <v>221.113</v>
      </c>
      <c r="BA107" s="21" t="n">
        <v>174.231</v>
      </c>
      <c r="BB107" s="21" t="n">
        <v>248.29</v>
      </c>
      <c r="BC107" s="21" t="n">
        <v>366.808</v>
      </c>
      <c r="BD107" s="21" t="n">
        <v>255.489</v>
      </c>
      <c r="BE107" s="21" t="n">
        <v>268.326</v>
      </c>
      <c r="BF107" s="21" t="n">
        <v>175.364</v>
      </c>
      <c r="BG107" s="21" t="n">
        <v>251.77</v>
      </c>
      <c r="BH107" s="21" t="n">
        <v>181.649</v>
      </c>
      <c r="BI107" s="21" t="n">
        <v>266.375</v>
      </c>
      <c r="BJ107" s="21" t="n">
        <v>273.692</v>
      </c>
      <c r="BK107" s="21" t="n">
        <v>188.801</v>
      </c>
      <c r="BL107" s="21" t="n">
        <v>351.952</v>
      </c>
      <c r="BM107" s="21" t="n">
        <v>394.814</v>
      </c>
      <c r="BN107" s="21" t="n">
        <v>411.392</v>
      </c>
      <c r="BO107" s="21" t="n">
        <v>346.674</v>
      </c>
      <c r="BP107" s="21" t="n">
        <v>208.615</v>
      </c>
      <c r="BQ107" s="21" t="n">
        <v>301.922</v>
      </c>
      <c r="BR107" s="21" t="n">
        <v>603.274</v>
      </c>
      <c r="BS107" s="21" t="n">
        <v>139.97</v>
      </c>
      <c r="BT107" s="21" t="n">
        <v>376.011</v>
      </c>
      <c r="BU107" s="21" t="n">
        <v>430.23</v>
      </c>
      <c r="BV107" s="21" t="n">
        <v>397.336</v>
      </c>
      <c r="BW107" s="21" t="n">
        <v>347.495</v>
      </c>
      <c r="BX107" s="21" t="n">
        <v>371.917</v>
      </c>
      <c r="BY107" s="21" t="n">
        <v>204.179</v>
      </c>
      <c r="BZ107" s="21" t="n">
        <v>217.223</v>
      </c>
      <c r="CA107" s="21" t="n">
        <v>205.668</v>
      </c>
      <c r="CB107" s="21" t="n">
        <v>232.629</v>
      </c>
      <c r="CC107" s="21" t="n">
        <v>190.659</v>
      </c>
      <c r="CD107" s="21" t="n">
        <v>269.053</v>
      </c>
      <c r="CE107" s="21" t="n">
        <v>189.304</v>
      </c>
      <c r="CF107" s="21" t="n">
        <v>223.153</v>
      </c>
      <c r="CG107" s="21" t="n">
        <v>216.952</v>
      </c>
      <c r="CH107" s="21" t="n">
        <v>172.506</v>
      </c>
      <c r="CI107" s="21" t="n">
        <v>223.706</v>
      </c>
      <c r="CJ107" s="21" t="n">
        <v>235.483</v>
      </c>
      <c r="CK107" s="21" t="n">
        <v>153.424</v>
      </c>
      <c r="CL107" s="21" t="n">
        <v>141.452</v>
      </c>
      <c r="CM107" s="21" t="n">
        <v>236.496</v>
      </c>
      <c r="CN107" s="21" t="n">
        <v>248.964</v>
      </c>
      <c r="CO107" s="21" t="n">
        <v>215.712</v>
      </c>
      <c r="CP107" s="21" t="n">
        <v>155.271</v>
      </c>
      <c r="CQ107" s="21" t="n">
        <v>272.215</v>
      </c>
      <c r="CR107" s="21" t="n">
        <v>284.572</v>
      </c>
      <c r="CS107" s="21" t="n">
        <v>266.733</v>
      </c>
      <c r="CT107" s="21" t="n">
        <v>192.176</v>
      </c>
      <c r="CU107" s="21" t="n">
        <v>192.388</v>
      </c>
      <c r="CV107" s="21" t="n">
        <v>314.283</v>
      </c>
      <c r="CW107" s="21" t="n">
        <v>277.819</v>
      </c>
      <c r="CX107" s="21" t="n">
        <v>307.87</v>
      </c>
      <c r="CY107" s="21" t="n">
        <v>470.966</v>
      </c>
      <c r="CZ107" s="21" t="n">
        <v>176.117</v>
      </c>
      <c r="DA107" s="21" t="n">
        <v>222.388</v>
      </c>
      <c r="DB107" s="21" t="n">
        <v>193.171</v>
      </c>
      <c r="DC107" s="21" t="n">
        <v>287.266</v>
      </c>
      <c r="DD107" s="21" t="n">
        <v>305.878</v>
      </c>
      <c r="DE107" s="21" t="n">
        <v>213.197</v>
      </c>
      <c r="DF107" s="21" t="n">
        <v>317.664</v>
      </c>
      <c r="DG107" s="21" t="n">
        <v>308.614</v>
      </c>
      <c r="DH107" s="21" t="n">
        <v>188.199</v>
      </c>
      <c r="DI107" s="21" t="n">
        <v>188.165</v>
      </c>
      <c r="DJ107" s="21" t="n">
        <v>184.237</v>
      </c>
      <c r="DK107" s="21" t="n">
        <v>338.391</v>
      </c>
      <c r="DL107" s="21" t="n">
        <v>222.817</v>
      </c>
      <c r="DM107" s="21" t="n">
        <v>170.272</v>
      </c>
      <c r="DN107" s="21" t="n">
        <v>157.393</v>
      </c>
      <c r="DO107" s="21" t="n">
        <v>358.824</v>
      </c>
      <c r="DP107" s="21" t="n">
        <v>220.572</v>
      </c>
      <c r="DQ107" s="21" t="n">
        <v>235.997</v>
      </c>
      <c r="DR107" s="21" t="n">
        <v>198.238</v>
      </c>
      <c r="DS107" s="21" t="n">
        <v>196.2</v>
      </c>
      <c r="DT107" s="21" t="n">
        <v>231.302</v>
      </c>
      <c r="DU107" s="21" t="n">
        <v>238.267</v>
      </c>
      <c r="DV107" s="21" t="n">
        <v>288.303</v>
      </c>
      <c r="DW107" s="21" t="n">
        <v>227.524</v>
      </c>
      <c r="DX107" s="21" t="n">
        <v>270.045</v>
      </c>
      <c r="DY107" s="21" t="n">
        <v>209.858</v>
      </c>
      <c r="DZ107" s="21" t="n">
        <v>223.536</v>
      </c>
      <c r="EA107" s="21" t="n">
        <v>204.764</v>
      </c>
      <c r="EB107" s="21" t="n">
        <v>182.333</v>
      </c>
      <c r="EC107" s="21" t="n">
        <v>424.74</v>
      </c>
      <c r="ED107" s="21" t="n">
        <v>207.564</v>
      </c>
      <c r="EE107" s="21" t="n">
        <v>230.22</v>
      </c>
      <c r="EF107" s="21" t="n">
        <v>235.523</v>
      </c>
      <c r="EG107" s="21" t="n">
        <v>323.964</v>
      </c>
      <c r="EH107" s="21" t="n">
        <v>386.435</v>
      </c>
      <c r="EI107" s="21" t="n">
        <v>406.683</v>
      </c>
      <c r="EJ107" s="21" t="n">
        <v>181.157</v>
      </c>
      <c r="EK107" s="21" t="n">
        <v>631.985</v>
      </c>
      <c r="EL107" s="21" t="n">
        <v>369.497</v>
      </c>
      <c r="EM107" s="21" t="n">
        <v>396.881</v>
      </c>
      <c r="EN107" s="21" t="n">
        <v>396.945</v>
      </c>
      <c r="EO107" s="21" t="n">
        <v>155.298</v>
      </c>
      <c r="EP107" s="21" t="n">
        <v>304.885</v>
      </c>
      <c r="EQ107" s="21" t="n">
        <v>255.594</v>
      </c>
      <c r="ER107" s="21" t="n">
        <v>403.263</v>
      </c>
      <c r="ES107" s="21" t="n">
        <v>427.572</v>
      </c>
      <c r="ET107" s="21" t="n">
        <v>425.713</v>
      </c>
      <c r="EU107" s="21" t="n">
        <v>258.236</v>
      </c>
      <c r="EV107" s="21" t="n">
        <v>268.342</v>
      </c>
      <c r="EW107" s="21" t="n">
        <v>222.955</v>
      </c>
      <c r="EX107" s="21" t="n">
        <v>291.683</v>
      </c>
      <c r="EY107" s="21" t="n">
        <v>667.177</v>
      </c>
      <c r="EZ107" s="21" t="n">
        <v>597.569</v>
      </c>
      <c r="FA107" s="21" t="n">
        <v>148.558</v>
      </c>
      <c r="FB107" s="21" t="n">
        <v>60.731</v>
      </c>
      <c r="FC107" s="21" t="n">
        <v>133.015</v>
      </c>
      <c r="FD107" s="21" t="n">
        <v>78.45699999999999</v>
      </c>
      <c r="FE107" s="21" t="n">
        <v>41.684</v>
      </c>
      <c r="FF107" s="21" t="n">
        <v>134.962</v>
      </c>
      <c r="FG107" s="21" t="n">
        <v>146.926</v>
      </c>
      <c r="FH107" s="21" t="n">
        <v>107.625</v>
      </c>
      <c r="FI107" s="21" t="n">
        <v>83.12</v>
      </c>
      <c r="FJ107" s="21" t="n"/>
      <c r="FK107" s="21" t="n">
        <v>85.56100000000001</v>
      </c>
      <c r="FL107" s="21" t="n">
        <v>89.79900000000001</v>
      </c>
      <c r="FM107" s="21" t="n">
        <v>103.227</v>
      </c>
      <c r="FN107" s="21" t="n">
        <v>75.663</v>
      </c>
      <c r="FO107" s="21" t="n">
        <v>55.373</v>
      </c>
      <c r="FP107" s="21" t="n">
        <v>40.854</v>
      </c>
      <c r="FQ107" s="21" t="n">
        <v>155.388</v>
      </c>
      <c r="FR107" s="21" t="n">
        <v>48.879</v>
      </c>
      <c r="FS107" s="21" t="n">
        <v>81.622</v>
      </c>
      <c r="FT107" s="21" t="n">
        <v>113.791</v>
      </c>
      <c r="FU107" s="21" t="n">
        <v>123.609</v>
      </c>
      <c r="FV107" s="21" t="n">
        <v>109.857</v>
      </c>
      <c r="FW107" s="21" t="n">
        <v>234.951</v>
      </c>
      <c r="FX107" s="21" t="n">
        <v>149.404</v>
      </c>
      <c r="FY107" s="21" t="n">
        <v>233.541</v>
      </c>
      <c r="FZ107" s="21" t="n">
        <v>140.093</v>
      </c>
      <c r="GA107" s="21" t="n">
        <v>245.87</v>
      </c>
      <c r="GB107" s="21" t="n">
        <v>218.73</v>
      </c>
      <c r="GC107" s="21" t="n">
        <v>254.862</v>
      </c>
      <c r="GD107" s="21" t="n">
        <v>196.986</v>
      </c>
      <c r="GE107" s="21" t="n"/>
      <c r="GF107" s="21" t="n">
        <v>132.786</v>
      </c>
      <c r="GG107" s="21" t="n">
        <v>129.19</v>
      </c>
      <c r="GH107" s="21" t="n">
        <v>131.794</v>
      </c>
      <c r="GI107" s="21" t="n">
        <v>100.825</v>
      </c>
      <c r="GJ107" s="21" t="n">
        <v>183.248</v>
      </c>
      <c r="GK107" s="21" t="n">
        <v>81.336</v>
      </c>
      <c r="GL107" s="21" t="n">
        <v>136.427</v>
      </c>
      <c r="GM107" s="21" t="n">
        <v>117.352</v>
      </c>
      <c r="GN107" s="21" t="n">
        <v>111.999</v>
      </c>
      <c r="GO107" s="21" t="n">
        <v>113.492</v>
      </c>
      <c r="GP107" s="21" t="n">
        <v>107.598</v>
      </c>
      <c r="GQ107" s="21" t="n">
        <v>109.926</v>
      </c>
      <c r="GR107" s="21" t="n">
        <v>78.90300000000001</v>
      </c>
      <c r="GS107" s="21" t="n">
        <v>112.559</v>
      </c>
      <c r="GT107" s="21" t="n">
        <v>104.416</v>
      </c>
      <c r="GU107" s="21" t="n">
        <v>146.764</v>
      </c>
      <c r="GV107" s="21" t="n">
        <v>150.712</v>
      </c>
      <c r="GW107" s="21" t="n">
        <v>168.21</v>
      </c>
      <c r="GX107" s="21" t="n">
        <v>133.764</v>
      </c>
      <c r="GY107" s="21" t="n">
        <v>126.359</v>
      </c>
      <c r="GZ107" s="21" t="n">
        <v>194.782</v>
      </c>
      <c r="HA107" s="21" t="n">
        <v>151.512</v>
      </c>
      <c r="HB107" s="21" t="n">
        <v>193.917</v>
      </c>
      <c r="HC107" s="21" t="n">
        <v>270.027</v>
      </c>
      <c r="HD107" s="21" t="n">
        <v>269.92</v>
      </c>
      <c r="HE107" s="21" t="n">
        <v>126.347</v>
      </c>
      <c r="HF107" s="21" t="n">
        <v>179.446</v>
      </c>
      <c r="HG107" s="21" t="n"/>
      <c r="HH107" s="21" t="n">
        <v>174.888</v>
      </c>
      <c r="HI107" s="21" t="n">
        <v>191.429</v>
      </c>
      <c r="HJ107" s="21" t="n"/>
      <c r="HK107" s="21" t="n">
        <v>184.961</v>
      </c>
      <c r="HL107" s="21" t="n"/>
      <c r="HM107" s="21" t="n">
        <v>172.795</v>
      </c>
      <c r="HN107" s="21" t="n">
        <v>322.975</v>
      </c>
      <c r="HO107" s="21" t="n">
        <v>320.999</v>
      </c>
      <c r="HP107" s="21" t="n">
        <v>313.296</v>
      </c>
      <c r="HQ107" s="21" t="n">
        <v>351.761</v>
      </c>
      <c r="HR107" s="21" t="n">
        <v>348.33</v>
      </c>
      <c r="HS107" s="21" t="n">
        <v>333.768</v>
      </c>
      <c r="HT107" s="21" t="n">
        <v>178.518</v>
      </c>
      <c r="HU107" s="21" t="n">
        <v>151.745</v>
      </c>
      <c r="HV107" s="21" t="n">
        <v>214.974</v>
      </c>
      <c r="HW107" s="21" t="n">
        <v>197.168</v>
      </c>
      <c r="HX107" s="21" t="n">
        <v>482.054</v>
      </c>
      <c r="HY107" s="21" t="n">
        <v>392.861</v>
      </c>
      <c r="HZ107" s="21" t="n">
        <v>411.97</v>
      </c>
      <c r="IA107" s="21" t="n">
        <v>337.862</v>
      </c>
      <c r="IB107" s="21" t="n">
        <v>258.606</v>
      </c>
      <c r="IC107" s="21" t="n">
        <v>759.704</v>
      </c>
      <c r="ID107" s="21" t="n">
        <v>209.234</v>
      </c>
      <c r="IE107" s="21" t="n">
        <v>194.623</v>
      </c>
      <c r="IF107" s="21" t="n">
        <v>232.211</v>
      </c>
      <c r="IG107" s="21" t="n">
        <v>270.214</v>
      </c>
      <c r="IH107" s="21" t="n"/>
      <c r="II107" s="21" t="n">
        <v>259.852</v>
      </c>
      <c r="IJ107" s="21" t="n">
        <v>255.48</v>
      </c>
      <c r="IK107" s="21" t="n">
        <v>165.266</v>
      </c>
      <c r="IL107" s="21" t="n"/>
      <c r="IM107" s="21" t="n"/>
      <c r="IN107" s="21" t="n">
        <v>67.11199999999999</v>
      </c>
      <c r="IO107" s="21" t="n">
        <v>345.175</v>
      </c>
      <c r="IP107" s="21" t="n">
        <v>132.115</v>
      </c>
      <c r="IQ107" s="21" t="n">
        <v>549.7619999999999</v>
      </c>
      <c r="IR107" s="21" t="n">
        <v>408.965</v>
      </c>
      <c r="IS107" s="21" t="n">
        <v>133.725</v>
      </c>
      <c r="IT107" s="21" t="n">
        <v>552.058</v>
      </c>
      <c r="IU107" s="21" t="n">
        <v>109.897</v>
      </c>
      <c r="IV107" s="21" t="n">
        <v>109.127</v>
      </c>
      <c r="IW107" s="21" t="n">
        <v>594.974</v>
      </c>
      <c r="IX107" s="21" t="n">
        <v>419.663</v>
      </c>
      <c r="IY107" s="21" t="n">
        <v>409.755</v>
      </c>
      <c r="IZ107" s="21" t="n">
        <v>581.674</v>
      </c>
      <c r="JA107" s="21" t="n">
        <v>205.221</v>
      </c>
      <c r="JB107" s="21" t="n">
        <v>259.137</v>
      </c>
      <c r="JC107" s="21" t="n">
        <v>95.614</v>
      </c>
      <c r="JD107" s="21" t="n">
        <v>401.752</v>
      </c>
      <c r="JE107" s="21" t="n">
        <v>386.364</v>
      </c>
      <c r="JF107" s="21" t="n">
        <v>878.7329999999999</v>
      </c>
      <c r="JG107" s="21" t="n">
        <v>276.647</v>
      </c>
      <c r="JH107" s="21" t="n">
        <v>155.881</v>
      </c>
      <c r="JI107" s="21" t="n">
        <v>135</v>
      </c>
      <c r="JJ107" s="21" t="n">
        <v>136.726</v>
      </c>
      <c r="JK107" s="21" t="n">
        <v>116.379</v>
      </c>
      <c r="JL107" s="21" t="n">
        <v>109.668</v>
      </c>
      <c r="JM107" s="21" t="n">
        <v>572.417</v>
      </c>
      <c r="JN107" s="21" t="n">
        <v>111.233</v>
      </c>
      <c r="JO107" s="21" t="n">
        <v>72.92400000000001</v>
      </c>
      <c r="JP107" s="21" t="n">
        <v>38.288</v>
      </c>
      <c r="JQ107" s="21" t="n">
        <v>154.835</v>
      </c>
      <c r="JR107" s="21" t="n">
        <v>25.298</v>
      </c>
      <c r="JS107" s="21" t="n">
        <v>84.788</v>
      </c>
      <c r="JT107" s="21" t="n">
        <v>218.853</v>
      </c>
      <c r="JU107" s="21" t="n">
        <v>240.453</v>
      </c>
      <c r="JV107" s="21" t="n">
        <v>192.364</v>
      </c>
      <c r="JW107" s="21" t="n">
        <v>128.28</v>
      </c>
      <c r="JX107" s="21" t="n">
        <v>327.752</v>
      </c>
      <c r="JY107" s="21" t="n">
        <v>237.606</v>
      </c>
      <c r="JZ107" s="21" t="n">
        <v>348.346</v>
      </c>
      <c r="KA107" s="21" t="n">
        <v>127.02</v>
      </c>
      <c r="KB107" s="21" t="n">
        <v>176.481</v>
      </c>
      <c r="KC107" s="21" t="n">
        <v>85.977</v>
      </c>
      <c r="KD107" s="21" t="n">
        <v>87.476</v>
      </c>
      <c r="KE107" s="21" t="n">
        <v>66.429</v>
      </c>
      <c r="KF107" s="21" t="n"/>
      <c r="KG107" s="21" t="n">
        <v>27.625</v>
      </c>
      <c r="KH107" s="21" t="n">
        <v>139.802</v>
      </c>
      <c r="KI107" s="21" t="n"/>
      <c r="KJ107" s="21" t="n"/>
      <c r="KK107" s="21" t="n">
        <v>33.901</v>
      </c>
      <c r="KL107" s="21" t="n">
        <v>28.654</v>
      </c>
      <c r="KM107" s="21" t="n">
        <v>38.485</v>
      </c>
      <c r="KN107" s="21" t="n"/>
      <c r="KO107" s="21" t="n">
        <v>109.777</v>
      </c>
      <c r="KP107" s="21" t="n">
        <v>122.075</v>
      </c>
      <c r="KQ107" s="21" t="n">
        <v>195.456</v>
      </c>
      <c r="KR107" s="21" t="n">
        <v>157.242</v>
      </c>
      <c r="KS107" s="21" t="n">
        <v>454.535</v>
      </c>
      <c r="KT107" s="21" t="n">
        <v>218.163</v>
      </c>
      <c r="KU107" s="21" t="n">
        <v>255.688</v>
      </c>
      <c r="KV107" s="21" t="n">
        <v>386.986</v>
      </c>
      <c r="KW107" s="21" t="n">
        <v>287.554</v>
      </c>
      <c r="KX107" s="21" t="n">
        <v>222.836</v>
      </c>
      <c r="KY107" s="21" t="n">
        <v>99.639</v>
      </c>
      <c r="KZ107" s="21" t="n">
        <v>145.295</v>
      </c>
      <c r="LA107" s="21" t="n">
        <v>294.084</v>
      </c>
      <c r="LB107" s="21" t="n">
        <v>694.5599999999999</v>
      </c>
      <c r="LC107" s="21" t="n">
        <v>236.126</v>
      </c>
      <c r="LD107" s="21" t="n">
        <v>847.0309999999999</v>
      </c>
      <c r="LE107" s="21" t="n">
        <v>929.177</v>
      </c>
      <c r="LF107" s="21" t="n">
        <v>95.729</v>
      </c>
      <c r="LG107" s="21" t="n">
        <v>354.469</v>
      </c>
      <c r="LH107" s="21" t="n">
        <v>273.061</v>
      </c>
      <c r="LI107" s="21" t="n">
        <v>74.614</v>
      </c>
      <c r="LJ107" s="21" t="n">
        <v>228.756</v>
      </c>
      <c r="LK107" s="21" t="n">
        <v>354.347</v>
      </c>
      <c r="LL107" s="21" t="n">
        <v>413.914</v>
      </c>
      <c r="LM107" s="21" t="n">
        <v>70.274</v>
      </c>
      <c r="LN107" s="21" t="n">
        <v>94.602</v>
      </c>
      <c r="LO107" s="21" t="n">
        <v>47.305</v>
      </c>
      <c r="LP107" s="21" t="n">
        <v>151.478</v>
      </c>
      <c r="LQ107" s="21" t="n"/>
      <c r="LR107" s="21" t="n"/>
      <c r="LS107" s="21" t="n">
        <v>104.979</v>
      </c>
      <c r="LT107" s="21" t="n">
        <v>36.845</v>
      </c>
      <c r="LU107" s="21" t="n">
        <v>23.485</v>
      </c>
      <c r="LV107" s="21" t="n">
        <v>84.05200000000001</v>
      </c>
      <c r="LW107" s="21" t="n">
        <v>114.267</v>
      </c>
      <c r="LX107" s="21" t="n">
        <v>48.095</v>
      </c>
      <c r="LY107" s="21" t="n">
        <v>546.825</v>
      </c>
      <c r="LZ107" s="21" t="n">
        <v>92.756</v>
      </c>
      <c r="MA107" s="21" t="n">
        <v>610.505</v>
      </c>
      <c r="MB107" s="21" t="n">
        <v>334.874</v>
      </c>
      <c r="MC107" s="21" t="n">
        <v>277.802</v>
      </c>
      <c r="MD107" s="21" t="n">
        <v>179.617</v>
      </c>
      <c r="ME107" s="21" t="n">
        <v>120.701</v>
      </c>
      <c r="MF107" s="21" t="n">
        <v>193.472</v>
      </c>
      <c r="MG107" s="21" t="n">
        <v>332.717</v>
      </c>
      <c r="MH107" s="21" t="n">
        <v>203.012</v>
      </c>
      <c r="MI107" s="21" t="n">
        <v>541.691</v>
      </c>
      <c r="MJ107" s="21" t="n"/>
      <c r="MK107" s="21" t="n">
        <v>383.029</v>
      </c>
      <c r="ML107" s="21" t="n">
        <v>219.691</v>
      </c>
      <c r="MM107" s="21" t="n">
        <v>258.581</v>
      </c>
      <c r="MN107" s="21" t="n">
        <v>419.081</v>
      </c>
      <c r="MO107" s="21" t="n">
        <v>182.067</v>
      </c>
      <c r="MP107" s="21" t="n">
        <v>322.777</v>
      </c>
      <c r="MQ107" s="21" t="n">
        <v>88.065</v>
      </c>
      <c r="MR107" s="21" t="n">
        <v>199.452</v>
      </c>
      <c r="MS107" s="21" t="n"/>
      <c r="MT107" s="21" t="n">
        <v>295.963</v>
      </c>
      <c r="MU107" s="21" t="n">
        <v>312.616</v>
      </c>
      <c r="MV107" s="21" t="n">
        <v>304.877</v>
      </c>
      <c r="MW107" s="21" t="n">
        <v>311.38</v>
      </c>
      <c r="MX107" s="21" t="n">
        <v>280.313</v>
      </c>
      <c r="MY107" s="21" t="n">
        <v>269.14</v>
      </c>
      <c r="MZ107" s="21" t="n">
        <v>269.858</v>
      </c>
      <c r="NA107" s="21" t="n">
        <v>274.583</v>
      </c>
      <c r="NB107" s="21" t="n">
        <v>124.603</v>
      </c>
      <c r="NC107" s="21" t="n">
        <v>224.696</v>
      </c>
      <c r="ND107" s="21" t="n">
        <v>181.643</v>
      </c>
      <c r="NE107" s="21" t="n">
        <v>177.943</v>
      </c>
      <c r="NF107" s="21" t="n">
        <v>166.759</v>
      </c>
      <c r="NG107" s="21" t="n">
        <v>164.879</v>
      </c>
      <c r="NH107" s="21" t="n">
        <v>315.637</v>
      </c>
      <c r="NI107" s="21" t="n">
        <v>125.259</v>
      </c>
      <c r="NJ107" s="21" t="n">
        <v>58.135</v>
      </c>
      <c r="NK107" s="21" t="n">
        <v>121.002</v>
      </c>
      <c r="NL107" s="21" t="n">
        <v>286.754</v>
      </c>
      <c r="NM107" s="21" t="n">
        <v>329.191</v>
      </c>
      <c r="NN107" s="21" t="n">
        <v>107.611</v>
      </c>
      <c r="NO107" s="21" t="n">
        <v>40.268</v>
      </c>
      <c r="NP107" s="21" t="n">
        <v>277.852</v>
      </c>
      <c r="NQ107" s="21" t="n">
        <v>237.755</v>
      </c>
      <c r="NR107" s="21" t="n">
        <v>300.228</v>
      </c>
      <c r="NS107" s="21" t="n">
        <v>234.628</v>
      </c>
      <c r="NT107" s="21" t="n">
        <v>303.128</v>
      </c>
      <c r="NU107" s="21" t="n">
        <v>138.09</v>
      </c>
      <c r="NV107" s="21" t="n">
        <v>151.653</v>
      </c>
      <c r="NW107" s="21" t="n">
        <v>407.271</v>
      </c>
      <c r="NX107" s="21" t="n">
        <v>85.36</v>
      </c>
      <c r="NY107" s="21" t="n">
        <v>146.105</v>
      </c>
      <c r="NZ107" s="21" t="n">
        <v>403.671</v>
      </c>
      <c r="OA107" s="21" t="n">
        <v>389.278</v>
      </c>
      <c r="OB107" s="21" t="n">
        <v>402.549</v>
      </c>
      <c r="OC107" s="21" t="n">
        <v>373.512</v>
      </c>
      <c r="OD107" s="21" t="n">
        <v>402.364</v>
      </c>
      <c r="OE107" s="21" t="n">
        <v>131.784</v>
      </c>
      <c r="OF107" s="21" t="n">
        <v>407.526</v>
      </c>
      <c r="OG107" s="21" t="n">
        <v>252.91</v>
      </c>
      <c r="OH107" s="21" t="n">
        <v>33.284</v>
      </c>
      <c r="OI107" s="21" t="n">
        <v>150.607</v>
      </c>
      <c r="OJ107" s="21" t="n">
        <v>32.5</v>
      </c>
      <c r="OK107" s="21" t="n">
        <v>10.9</v>
      </c>
    </row>
    <row r="108">
      <c r="A108" s="22" t="n">
        <v>45231</v>
      </c>
      <c r="B108" s="21" t="n">
        <v>307.051</v>
      </c>
      <c r="C108" s="21" t="n">
        <v>919.789</v>
      </c>
      <c r="D108" s="21" t="n">
        <v>322.703</v>
      </c>
      <c r="E108" s="21" t="n">
        <v>325.172</v>
      </c>
      <c r="F108" s="21" t="n">
        <v>303.224</v>
      </c>
      <c r="G108" s="21" t="n">
        <v>356.169</v>
      </c>
      <c r="H108" s="21" t="n">
        <v>286.694</v>
      </c>
      <c r="I108" s="21" t="n">
        <v>317.632</v>
      </c>
      <c r="J108" s="21" t="n">
        <v>280.692</v>
      </c>
      <c r="K108" s="21" t="n">
        <v>289.689</v>
      </c>
      <c r="L108" s="21" t="n">
        <v>194.128</v>
      </c>
      <c r="M108" s="21" t="n">
        <v>396.598</v>
      </c>
      <c r="N108" s="21" t="n">
        <v>240.52</v>
      </c>
      <c r="O108" s="21" t="n">
        <v>435.431</v>
      </c>
      <c r="P108" s="21" t="n">
        <v>469.612</v>
      </c>
      <c r="Q108" s="21" t="n">
        <v>240.198</v>
      </c>
      <c r="R108" s="21" t="n">
        <v>370.456</v>
      </c>
      <c r="S108" s="21" t="n">
        <v>393.772</v>
      </c>
      <c r="T108" s="21" t="n">
        <v>347.063</v>
      </c>
      <c r="U108" s="21" t="n">
        <v>352.069</v>
      </c>
      <c r="V108" s="21" t="n">
        <v>393.851</v>
      </c>
      <c r="W108" s="21" t="n">
        <v>422.214</v>
      </c>
      <c r="X108" s="21" t="n">
        <v>345.871</v>
      </c>
      <c r="Y108" s="21" t="n">
        <v>319.86</v>
      </c>
      <c r="Z108" s="21" t="n">
        <v>324.839</v>
      </c>
      <c r="AA108" s="21" t="n">
        <v>331.599</v>
      </c>
      <c r="AB108" s="21" t="n">
        <v>413.21</v>
      </c>
      <c r="AC108" s="21" t="n">
        <v>354.917</v>
      </c>
      <c r="AD108" s="21" t="n">
        <v>336.874</v>
      </c>
      <c r="AE108" s="21" t="n">
        <v>276.134</v>
      </c>
      <c r="AF108" s="21" t="n">
        <v>336.537</v>
      </c>
      <c r="AG108" s="21" t="n">
        <v>265.863</v>
      </c>
      <c r="AH108" s="21" t="n">
        <v>199.762</v>
      </c>
      <c r="AI108" s="21" t="n">
        <v>378.703</v>
      </c>
      <c r="AJ108" s="21" t="n">
        <v>179.105</v>
      </c>
      <c r="AK108" s="21" t="n">
        <v>247.732</v>
      </c>
      <c r="AL108" s="21" t="n">
        <v>275.317</v>
      </c>
      <c r="AM108" s="21" t="n">
        <v>242.457</v>
      </c>
      <c r="AN108" s="21" t="n">
        <v>160.978</v>
      </c>
      <c r="AO108" s="21" t="n">
        <v>290.514</v>
      </c>
      <c r="AP108" s="21" t="n">
        <v>307.747</v>
      </c>
      <c r="AQ108" s="21" t="n">
        <v>188.136</v>
      </c>
      <c r="AR108" s="21" t="n"/>
      <c r="AS108" s="21" t="n"/>
      <c r="AT108" s="21" t="n">
        <v>305.387</v>
      </c>
      <c r="AU108" s="21" t="n">
        <v>194.86</v>
      </c>
      <c r="AV108" s="21" t="n">
        <v>327.616</v>
      </c>
      <c r="AW108" s="21" t="n">
        <v>289.529</v>
      </c>
      <c r="AX108" s="21" t="n">
        <v>205.275</v>
      </c>
      <c r="AY108" s="21" t="n">
        <v>354.148</v>
      </c>
      <c r="AZ108" s="21" t="n">
        <v>220.513</v>
      </c>
      <c r="BA108" s="21" t="n">
        <v>176.37</v>
      </c>
      <c r="BB108" s="21" t="n">
        <v>254.482</v>
      </c>
      <c r="BC108" s="21" t="n">
        <v>371.161</v>
      </c>
      <c r="BD108" s="21" t="n">
        <v>261.105</v>
      </c>
      <c r="BE108" s="21" t="n">
        <v>267.609</v>
      </c>
      <c r="BF108" s="21" t="n">
        <v>175.83</v>
      </c>
      <c r="BG108" s="21" t="n">
        <v>253.379</v>
      </c>
      <c r="BH108" s="21" t="n">
        <v>181.896</v>
      </c>
      <c r="BI108" s="21" t="n">
        <v>264.392</v>
      </c>
      <c r="BJ108" s="21" t="n">
        <v>276.603</v>
      </c>
      <c r="BK108" s="21" t="n">
        <v>187.086</v>
      </c>
      <c r="BL108" s="21" t="n">
        <v>350.736</v>
      </c>
      <c r="BM108" s="21" t="n">
        <v>397.04</v>
      </c>
      <c r="BN108" s="21" t="n">
        <v>416.135</v>
      </c>
      <c r="BO108" s="21" t="n">
        <v>341.815</v>
      </c>
      <c r="BP108" s="21" t="n">
        <v>207.731</v>
      </c>
      <c r="BQ108" s="21" t="n">
        <v>306.679</v>
      </c>
      <c r="BR108" s="21" t="n">
        <v>611.186</v>
      </c>
      <c r="BS108" s="21" t="n">
        <v>143.069</v>
      </c>
      <c r="BT108" s="21" t="n">
        <v>375.55</v>
      </c>
      <c r="BU108" s="21" t="n">
        <v>410.579</v>
      </c>
      <c r="BV108" s="21" t="n">
        <v>406.738</v>
      </c>
      <c r="BW108" s="21" t="n">
        <v>358.148</v>
      </c>
      <c r="BX108" s="21" t="n">
        <v>370.866</v>
      </c>
      <c r="BY108" s="21" t="n">
        <v>198.189</v>
      </c>
      <c r="BZ108" s="21" t="n">
        <v>210.827</v>
      </c>
      <c r="CA108" s="21" t="n">
        <v>202.124</v>
      </c>
      <c r="CB108" s="21" t="n">
        <v>224.394</v>
      </c>
      <c r="CC108" s="21" t="n">
        <v>184.937</v>
      </c>
      <c r="CD108" s="21" t="n">
        <v>259.507</v>
      </c>
      <c r="CE108" s="21" t="n">
        <v>183.994</v>
      </c>
      <c r="CF108" s="21" t="n">
        <v>218.062</v>
      </c>
      <c r="CG108" s="21" t="n">
        <v>215.604</v>
      </c>
      <c r="CH108" s="21" t="n">
        <v>171.322</v>
      </c>
      <c r="CI108" s="21" t="n">
        <v>221.733</v>
      </c>
      <c r="CJ108" s="21" t="n">
        <v>232.597</v>
      </c>
      <c r="CK108" s="21" t="n">
        <v>152.611</v>
      </c>
      <c r="CL108" s="21" t="n">
        <v>140.795</v>
      </c>
      <c r="CM108" s="21" t="n">
        <v>234.11</v>
      </c>
      <c r="CN108" s="21" t="n">
        <v>246.181</v>
      </c>
      <c r="CO108" s="21" t="n">
        <v>216.189</v>
      </c>
      <c r="CP108" s="21" t="n">
        <v>156.047</v>
      </c>
      <c r="CQ108" s="21" t="n">
        <v>270.25</v>
      </c>
      <c r="CR108" s="21" t="n">
        <v>284.194</v>
      </c>
      <c r="CS108" s="21" t="n">
        <v>257.84</v>
      </c>
      <c r="CT108" s="21" t="n">
        <v>193.398</v>
      </c>
      <c r="CU108" s="21" t="n">
        <v>191.773</v>
      </c>
      <c r="CV108" s="21" t="n">
        <v>310.139</v>
      </c>
      <c r="CW108" s="21" t="n">
        <v>276.222</v>
      </c>
      <c r="CX108" s="21" t="n">
        <v>305.867</v>
      </c>
      <c r="CY108" s="21" t="n">
        <v>461.449</v>
      </c>
      <c r="CZ108" s="21" t="n">
        <v>173.319</v>
      </c>
      <c r="DA108" s="21" t="n">
        <v>218.618</v>
      </c>
      <c r="DB108" s="21" t="n">
        <v>189.144</v>
      </c>
      <c r="DC108" s="21" t="n">
        <v>285.15</v>
      </c>
      <c r="DD108" s="21" t="n">
        <v>303.465</v>
      </c>
      <c r="DE108" s="21" t="n">
        <v>210.543</v>
      </c>
      <c r="DF108" s="21" t="n">
        <v>312.105</v>
      </c>
      <c r="DG108" s="21" t="n">
        <v>304.465</v>
      </c>
      <c r="DH108" s="21" t="n">
        <v>186.556</v>
      </c>
      <c r="DI108" s="21" t="n">
        <v>189.168</v>
      </c>
      <c r="DJ108" s="21" t="n">
        <v>183.02</v>
      </c>
      <c r="DK108" s="21" t="n">
        <v>326.314</v>
      </c>
      <c r="DL108" s="21" t="n">
        <v>222.026</v>
      </c>
      <c r="DM108" s="21" t="n">
        <v>170.98</v>
      </c>
      <c r="DN108" s="21" t="n">
        <v>156.599</v>
      </c>
      <c r="DO108" s="21" t="n">
        <v>360.383</v>
      </c>
      <c r="DP108" s="21" t="n">
        <v>221.574</v>
      </c>
      <c r="DQ108" s="21" t="n">
        <v>236.999</v>
      </c>
      <c r="DR108" s="21" t="n">
        <v>199.124</v>
      </c>
      <c r="DS108" s="21" t="n">
        <v>196.222</v>
      </c>
      <c r="DT108" s="21" t="n">
        <v>231.885</v>
      </c>
      <c r="DU108" s="21" t="n">
        <v>239.041</v>
      </c>
      <c r="DV108" s="21" t="n">
        <v>287.731</v>
      </c>
      <c r="DW108" s="21" t="n">
        <v>226.591</v>
      </c>
      <c r="DX108" s="21" t="n">
        <v>269.611</v>
      </c>
      <c r="DY108" s="21" t="n">
        <v>209.679</v>
      </c>
      <c r="DZ108" s="21" t="n">
        <v>223.413</v>
      </c>
      <c r="EA108" s="21" t="n">
        <v>204.991</v>
      </c>
      <c r="EB108" s="21" t="n">
        <v>180.967</v>
      </c>
      <c r="EC108" s="21" t="n">
        <v>425.252</v>
      </c>
      <c r="ED108" s="21" t="n">
        <v>207.55</v>
      </c>
      <c r="EE108" s="21" t="n">
        <v>231.017</v>
      </c>
      <c r="EF108" s="21" t="n">
        <v>235.717</v>
      </c>
      <c r="EG108" s="21" t="n">
        <v>324.735</v>
      </c>
      <c r="EH108" s="21" t="n">
        <v>387.892</v>
      </c>
      <c r="EI108" s="21" t="n">
        <v>408.838</v>
      </c>
      <c r="EJ108" s="21" t="n">
        <v>172.922</v>
      </c>
      <c r="EK108" s="21" t="n">
        <v>632.607</v>
      </c>
      <c r="EL108" s="21" t="n">
        <v>349.76</v>
      </c>
      <c r="EM108" s="21" t="n">
        <v>399.032</v>
      </c>
      <c r="EN108" s="21" t="n">
        <v>399.093</v>
      </c>
      <c r="EO108" s="21" t="n">
        <v>156.059</v>
      </c>
      <c r="EP108" s="21" t="n">
        <v>306.379</v>
      </c>
      <c r="EQ108" s="21" t="n">
        <v>256.961</v>
      </c>
      <c r="ER108" s="21" t="n">
        <v>396.814</v>
      </c>
      <c r="ES108" s="21" t="n">
        <v>416.239</v>
      </c>
      <c r="ET108" s="21" t="n">
        <v>429.254</v>
      </c>
      <c r="EU108" s="21" t="n">
        <v>259.944</v>
      </c>
      <c r="EV108" s="21" t="n">
        <v>267.545</v>
      </c>
      <c r="EW108" s="21" t="n">
        <v>231.976</v>
      </c>
      <c r="EX108" s="21" t="n">
        <v>292.694</v>
      </c>
      <c r="EY108" s="21" t="n">
        <v>668.597</v>
      </c>
      <c r="EZ108" s="21" t="n">
        <v>601.631</v>
      </c>
      <c r="FA108" s="21" t="n">
        <v>147.19</v>
      </c>
      <c r="FB108" s="21" t="n">
        <v>58.717</v>
      </c>
      <c r="FC108" s="21" t="n">
        <v>130.834</v>
      </c>
      <c r="FD108" s="21" t="n">
        <v>78.68300000000001</v>
      </c>
      <c r="FE108" s="21" t="n">
        <v>39.096</v>
      </c>
      <c r="FF108" s="21" t="n">
        <v>133.515</v>
      </c>
      <c r="FG108" s="21" t="n">
        <v>145.492</v>
      </c>
      <c r="FH108" s="21" t="n">
        <v>106.514</v>
      </c>
      <c r="FI108" s="21" t="n">
        <v>81.98099999999999</v>
      </c>
      <c r="FJ108" s="21" t="n"/>
      <c r="FK108" s="21" t="n">
        <v>83.789</v>
      </c>
      <c r="FL108" s="21" t="n">
        <v>87.51300000000001</v>
      </c>
      <c r="FM108" s="21" t="n">
        <v>99.264</v>
      </c>
      <c r="FN108" s="21" t="n">
        <v>74.289</v>
      </c>
      <c r="FO108" s="21" t="n">
        <v>54.033</v>
      </c>
      <c r="FP108" s="21" t="n">
        <v>39.518</v>
      </c>
      <c r="FQ108" s="21" t="n">
        <v>156.139</v>
      </c>
      <c r="FR108" s="21" t="n">
        <v>46.568</v>
      </c>
      <c r="FS108" s="21" t="n">
        <v>79.504</v>
      </c>
      <c r="FT108" s="21" t="n">
        <v>113.159</v>
      </c>
      <c r="FU108" s="21" t="n">
        <v>123.09</v>
      </c>
      <c r="FV108" s="21" t="n">
        <v>109.272</v>
      </c>
      <c r="FW108" s="21" t="n">
        <v>233.691</v>
      </c>
      <c r="FX108" s="21" t="n">
        <v>148.325</v>
      </c>
      <c r="FY108" s="21" t="n">
        <v>232.315</v>
      </c>
      <c r="FZ108" s="21" t="n">
        <v>139.521</v>
      </c>
      <c r="GA108" s="21" t="n"/>
      <c r="GB108" s="21" t="n"/>
      <c r="GC108" s="21" t="n">
        <v>257.149</v>
      </c>
      <c r="GD108" s="21" t="n">
        <v>196.917</v>
      </c>
      <c r="GE108" s="21" t="n"/>
      <c r="GF108" s="21" t="n">
        <v>128.093</v>
      </c>
      <c r="GG108" s="21" t="n">
        <v>124.168</v>
      </c>
      <c r="GH108" s="21" t="n">
        <v>127.236</v>
      </c>
      <c r="GI108" s="21" t="n">
        <v>100.717</v>
      </c>
      <c r="GJ108" s="21" t="n">
        <v>178.125</v>
      </c>
      <c r="GK108" s="21" t="n">
        <v>78.77800000000001</v>
      </c>
      <c r="GL108" s="21" t="n">
        <v>127.558</v>
      </c>
      <c r="GM108" s="21" t="n">
        <v>111.373</v>
      </c>
      <c r="GN108" s="21" t="n">
        <v>107.06</v>
      </c>
      <c r="GO108" s="21" t="n">
        <v>108.643</v>
      </c>
      <c r="GP108" s="21" t="n">
        <v>100.699</v>
      </c>
      <c r="GQ108" s="21" t="n">
        <v>106.361</v>
      </c>
      <c r="GR108" s="21" t="n">
        <v>74.17400000000001</v>
      </c>
      <c r="GS108" s="21" t="n">
        <v>110.203</v>
      </c>
      <c r="GT108" s="21" t="n">
        <v>99.06999999999999</v>
      </c>
      <c r="GU108" s="21" t="n">
        <v>144.951</v>
      </c>
      <c r="GV108" s="21" t="n">
        <v>151.13</v>
      </c>
      <c r="GW108" s="21" t="n">
        <v>163.419</v>
      </c>
      <c r="GX108" s="21" t="n">
        <v>131.574</v>
      </c>
      <c r="GY108" s="21" t="n">
        <v>123.242</v>
      </c>
      <c r="GZ108" s="21" t="n">
        <v>186.85</v>
      </c>
      <c r="HA108" s="21" t="n">
        <v>152.631</v>
      </c>
      <c r="HB108" s="21" t="n">
        <v>184.251</v>
      </c>
      <c r="HC108" s="21" t="n">
        <v>267.035</v>
      </c>
      <c r="HD108" s="21" t="n">
        <v>266.755</v>
      </c>
      <c r="HE108" s="21" t="n">
        <v>126.89</v>
      </c>
      <c r="HF108" s="21" t="n">
        <v>178.7</v>
      </c>
      <c r="HG108" s="21" t="n"/>
      <c r="HH108" s="21" t="n">
        <v>174.092</v>
      </c>
      <c r="HI108" s="21" t="n">
        <v>190.604</v>
      </c>
      <c r="HJ108" s="21" t="n"/>
      <c r="HK108" s="21" t="n">
        <v>186.27</v>
      </c>
      <c r="HL108" s="21" t="n"/>
      <c r="HM108" s="21" t="n">
        <v>170.131</v>
      </c>
      <c r="HN108" s="21" t="n">
        <v>299.696</v>
      </c>
      <c r="HO108" s="21" t="n">
        <v>297.598</v>
      </c>
      <c r="HP108" s="21" t="n">
        <v>290.139</v>
      </c>
      <c r="HQ108" s="21" t="n">
        <v>327.694</v>
      </c>
      <c r="HR108" s="21" t="n">
        <v>325.074</v>
      </c>
      <c r="HS108" s="21" t="n">
        <v>319.829</v>
      </c>
      <c r="HT108" s="21" t="n">
        <v>178.625</v>
      </c>
      <c r="HU108" s="21" t="n">
        <v>150.196</v>
      </c>
      <c r="HV108" s="21" t="n">
        <v>220.134</v>
      </c>
      <c r="HW108" s="21" t="n">
        <v>204.339</v>
      </c>
      <c r="HX108" s="21" t="n">
        <v>488.392</v>
      </c>
      <c r="HY108" s="21" t="n">
        <v>393.924</v>
      </c>
      <c r="HZ108" s="21" t="n">
        <v>411.612</v>
      </c>
      <c r="IA108" s="21" t="n">
        <v>339.607</v>
      </c>
      <c r="IB108" s="21" t="n">
        <v>258.558</v>
      </c>
      <c r="IC108" s="21" t="n">
        <v>768.249</v>
      </c>
      <c r="ID108" s="21" t="n">
        <v>206.851</v>
      </c>
      <c r="IE108" s="21" t="n">
        <v>194.623</v>
      </c>
      <c r="IF108" s="21" t="n">
        <v>226.083</v>
      </c>
      <c r="IG108" s="21" t="n">
        <v>269.409</v>
      </c>
      <c r="IH108" s="21" t="n"/>
      <c r="II108" s="21" t="n">
        <v>260.699</v>
      </c>
      <c r="IJ108" s="21" t="n">
        <v>257.222</v>
      </c>
      <c r="IK108" s="21" t="n">
        <v>161.864</v>
      </c>
      <c r="IL108" s="21" t="n"/>
      <c r="IM108" s="21" t="n"/>
      <c r="IN108" s="21" t="n">
        <v>66.036</v>
      </c>
      <c r="IO108" s="21" t="n">
        <v>344.527</v>
      </c>
      <c r="IP108" s="21" t="n">
        <v>132.115</v>
      </c>
      <c r="IQ108" s="21" t="n">
        <v>551.769</v>
      </c>
      <c r="IR108" s="21" t="n">
        <v>410.847</v>
      </c>
      <c r="IS108" s="21" t="n">
        <v>134.331</v>
      </c>
      <c r="IT108" s="21" t="n">
        <v>554.6</v>
      </c>
      <c r="IU108" s="21" t="n">
        <v>110.377</v>
      </c>
      <c r="IV108" s="21" t="n">
        <v>109.718</v>
      </c>
      <c r="IW108" s="21" t="n">
        <v>597.016</v>
      </c>
      <c r="IX108" s="21" t="n">
        <v>421.347</v>
      </c>
      <c r="IY108" s="21" t="n">
        <v>412.011</v>
      </c>
      <c r="IZ108" s="21" t="n">
        <v>584.793</v>
      </c>
      <c r="JA108" s="21" t="n">
        <v>204.823</v>
      </c>
      <c r="JB108" s="21" t="n">
        <v>259.16</v>
      </c>
      <c r="JC108" s="21" t="n">
        <v>95.693</v>
      </c>
      <c r="JD108" s="21" t="n">
        <v>402.222</v>
      </c>
      <c r="JE108" s="21" t="n">
        <v>386.614</v>
      </c>
      <c r="JF108" s="21" t="n">
        <v>879.812</v>
      </c>
      <c r="JG108" s="21" t="n">
        <v>276.863</v>
      </c>
      <c r="JH108" s="21" t="n">
        <v>155.308</v>
      </c>
      <c r="JI108" s="21" t="n">
        <v>136.472</v>
      </c>
      <c r="JJ108" s="21" t="n">
        <v>136.292</v>
      </c>
      <c r="JK108" s="21" t="n">
        <v>115.469</v>
      </c>
      <c r="JL108" s="21" t="n">
        <v>105.891</v>
      </c>
      <c r="JM108" s="21" t="n">
        <v>571.726</v>
      </c>
      <c r="JN108" s="21" t="n">
        <v>106.977</v>
      </c>
      <c r="JO108" s="21" t="n">
        <v>72.30500000000001</v>
      </c>
      <c r="JP108" s="21" t="n">
        <v>37.427</v>
      </c>
      <c r="JQ108" s="21" t="n">
        <v>156.461</v>
      </c>
      <c r="JR108" s="21" t="n">
        <v>24.902</v>
      </c>
      <c r="JS108" s="21" t="n">
        <v>82.247</v>
      </c>
      <c r="JT108" s="21" t="n">
        <v>218.164</v>
      </c>
      <c r="JU108" s="21" t="n">
        <v>239.754</v>
      </c>
      <c r="JV108" s="21" t="n">
        <v>192.388</v>
      </c>
      <c r="JW108" s="21" t="n">
        <v>127.681</v>
      </c>
      <c r="JX108" s="21" t="n">
        <v>326.628</v>
      </c>
      <c r="JY108" s="21" t="n">
        <v>232.555</v>
      </c>
      <c r="JZ108" s="21" t="n">
        <v>351.868</v>
      </c>
      <c r="KA108" s="21" t="n">
        <v>126.274</v>
      </c>
      <c r="KB108" s="21" t="n">
        <v>174.831</v>
      </c>
      <c r="KC108" s="21" t="n">
        <v>85.91800000000001</v>
      </c>
      <c r="KD108" s="21" t="n">
        <v>87.842</v>
      </c>
      <c r="KE108" s="21" t="n">
        <v>67.119</v>
      </c>
      <c r="KF108" s="21" t="n"/>
      <c r="KG108" s="21" t="n">
        <v>27.92</v>
      </c>
      <c r="KH108" s="21" t="n">
        <v>139.919</v>
      </c>
      <c r="KI108" s="21" t="n"/>
      <c r="KJ108" s="21" t="n"/>
      <c r="KK108" s="21" t="n">
        <v>33.607</v>
      </c>
      <c r="KL108" s="21" t="n">
        <v>28.426</v>
      </c>
      <c r="KM108" s="21" t="n">
        <v>38.165</v>
      </c>
      <c r="KN108" s="21" t="n"/>
      <c r="KO108" s="21" t="n">
        <v>108.804</v>
      </c>
      <c r="KP108" s="21" t="n">
        <v>120.5</v>
      </c>
      <c r="KQ108" s="21" t="n">
        <v>196.064</v>
      </c>
      <c r="KR108" s="21" t="n">
        <v>157.502</v>
      </c>
      <c r="KS108" s="21" t="n">
        <v>458.495</v>
      </c>
      <c r="KT108" s="21" t="n">
        <v>221.462</v>
      </c>
      <c r="KU108" s="21" t="n">
        <v>255.779</v>
      </c>
      <c r="KV108" s="21" t="n">
        <v>385.341</v>
      </c>
      <c r="KW108" s="21" t="n">
        <v>286.751</v>
      </c>
      <c r="KX108" s="21" t="n">
        <v>222.189</v>
      </c>
      <c r="KY108" s="21" t="n">
        <v>99.374</v>
      </c>
      <c r="KZ108" s="21" t="n">
        <v>144.743</v>
      </c>
      <c r="LA108" s="21" t="n">
        <v>293.674</v>
      </c>
      <c r="LB108" s="21" t="n">
        <v>684.378</v>
      </c>
      <c r="LC108" s="21" t="n">
        <v>232.741</v>
      </c>
      <c r="LD108" s="21" t="n">
        <v>846.33</v>
      </c>
      <c r="LE108" s="21" t="n">
        <v>927.75</v>
      </c>
      <c r="LF108" s="21" t="n">
        <v>95.521</v>
      </c>
      <c r="LG108" s="21" t="n">
        <v>354.89</v>
      </c>
      <c r="LH108" s="21" t="n">
        <v>273.707</v>
      </c>
      <c r="LI108" s="21" t="n">
        <v>74.21299999999999</v>
      </c>
      <c r="LJ108" s="21" t="n">
        <v>228.951</v>
      </c>
      <c r="LK108" s="21" t="n">
        <v>354.347</v>
      </c>
      <c r="LL108" s="21" t="n">
        <v>416.285</v>
      </c>
      <c r="LM108" s="21" t="n">
        <v>69.887</v>
      </c>
      <c r="LN108" s="21" t="n">
        <v>94.605</v>
      </c>
      <c r="LO108" s="21" t="n">
        <v>47.304</v>
      </c>
      <c r="LP108" s="21" t="n">
        <v>151.521</v>
      </c>
      <c r="LQ108" s="21" t="n"/>
      <c r="LR108" s="21" t="n"/>
      <c r="LS108" s="21" t="n">
        <v>103.867</v>
      </c>
      <c r="LT108" s="21" t="n">
        <v>36.258</v>
      </c>
      <c r="LU108" s="21" t="n">
        <v>23.071</v>
      </c>
      <c r="LV108" s="21" t="n">
        <v>84.247</v>
      </c>
      <c r="LW108" s="21" t="n">
        <v>110.007</v>
      </c>
      <c r="LX108" s="21" t="n">
        <v>46.332</v>
      </c>
      <c r="LY108" s="21" t="n">
        <v>547.96</v>
      </c>
      <c r="LZ108" s="21" t="n">
        <v>93.81399999999999</v>
      </c>
      <c r="MA108" s="21" t="n">
        <v>617.028</v>
      </c>
      <c r="MB108" s="21" t="n">
        <v>340.047</v>
      </c>
      <c r="MC108" s="21" t="n">
        <v>277.785</v>
      </c>
      <c r="MD108" s="21" t="n">
        <v>178.553</v>
      </c>
      <c r="ME108" s="21" t="n">
        <v>120.32</v>
      </c>
      <c r="MF108" s="21" t="n">
        <v>191.709</v>
      </c>
      <c r="MG108" s="21" t="n">
        <v>333.806</v>
      </c>
      <c r="MH108" s="21" t="n">
        <v>203.676</v>
      </c>
      <c r="MI108" s="21" t="n">
        <v>543.1559999999999</v>
      </c>
      <c r="MJ108" s="21" t="n"/>
      <c r="MK108" s="21" t="n">
        <v>385.609</v>
      </c>
      <c r="ML108" s="21" t="n">
        <v>221.196</v>
      </c>
      <c r="MM108" s="21" t="n">
        <v>260.019</v>
      </c>
      <c r="MN108" s="21" t="n">
        <v>418.684</v>
      </c>
      <c r="MO108" s="21" t="n">
        <v>182.067</v>
      </c>
      <c r="MP108" s="21" t="n">
        <v>322.395</v>
      </c>
      <c r="MQ108" s="21" t="n">
        <v>87.545</v>
      </c>
      <c r="MR108" s="21" t="n">
        <v>200.47</v>
      </c>
      <c r="MS108" s="21" t="n"/>
      <c r="MT108" s="21" t="n">
        <v>295.225</v>
      </c>
      <c r="MU108" s="21" t="n">
        <v>312.732</v>
      </c>
      <c r="MV108" s="21" t="n">
        <v>304.249</v>
      </c>
      <c r="MW108" s="21" t="n">
        <v>311.606</v>
      </c>
      <c r="MX108" s="21" t="n">
        <v>278.876</v>
      </c>
      <c r="MY108" s="21" t="n">
        <v>267.522</v>
      </c>
      <c r="MZ108" s="21" t="n">
        <v>269.409</v>
      </c>
      <c r="NA108" s="21" t="n">
        <v>273.983</v>
      </c>
      <c r="NB108" s="21" t="n">
        <v>119.489</v>
      </c>
      <c r="NC108" s="21" t="n">
        <v>222.008</v>
      </c>
      <c r="ND108" s="21" t="n">
        <v>178.456</v>
      </c>
      <c r="NE108" s="21" t="n">
        <v>174.724</v>
      </c>
      <c r="NF108" s="21" t="n">
        <v>165.367</v>
      </c>
      <c r="NG108" s="21" t="n">
        <v>163.154</v>
      </c>
      <c r="NH108" s="21" t="n">
        <v>313.939</v>
      </c>
      <c r="NI108" s="21" t="n">
        <v>124.57</v>
      </c>
      <c r="NJ108" s="21" t="n">
        <v>56.651</v>
      </c>
      <c r="NK108" s="21" t="n">
        <v>121.014</v>
      </c>
      <c r="NL108" s="21" t="n">
        <v>277.029</v>
      </c>
      <c r="NM108" s="21" t="n">
        <v>306.419</v>
      </c>
      <c r="NN108" s="21" t="n">
        <v>106.296</v>
      </c>
      <c r="NO108" s="21" t="n">
        <v>39.188</v>
      </c>
      <c r="NP108" s="21" t="n">
        <v>273.685</v>
      </c>
      <c r="NQ108" s="21" t="n">
        <v>230.793</v>
      </c>
      <c r="NR108" s="21" t="n">
        <v>291.903</v>
      </c>
      <c r="NS108" s="21" t="n">
        <v>227.296</v>
      </c>
      <c r="NT108" s="21" t="n">
        <v>294.004</v>
      </c>
      <c r="NU108" s="21" t="n">
        <v>138.238</v>
      </c>
      <c r="NV108" s="21" t="n">
        <v>152.098</v>
      </c>
      <c r="NW108" s="21" t="n">
        <v>407.515</v>
      </c>
      <c r="NX108" s="21" t="n">
        <v>84.675</v>
      </c>
      <c r="NY108" s="21" t="n">
        <v>146.145</v>
      </c>
      <c r="NZ108" s="21" t="n">
        <v>405.189</v>
      </c>
      <c r="OA108" s="21" t="n">
        <v>390.873</v>
      </c>
      <c r="OB108" s="21" t="n">
        <v>404.143</v>
      </c>
      <c r="OC108" s="21" t="n">
        <v>375.071</v>
      </c>
      <c r="OD108" s="21" t="n">
        <v>404.184</v>
      </c>
      <c r="OE108" s="21" t="n">
        <v>131.799</v>
      </c>
      <c r="OF108" s="21" t="n">
        <v>411.892</v>
      </c>
      <c r="OG108" s="21" t="n">
        <v>253.803</v>
      </c>
      <c r="OH108" s="21" t="n">
        <v>32.316</v>
      </c>
      <c r="OI108" s="21" t="n">
        <v>150.296</v>
      </c>
      <c r="OJ108" s="21" t="n">
        <v>32.6</v>
      </c>
      <c r="OK108" s="21" t="n">
        <v>10.9</v>
      </c>
    </row>
    <row r="109">
      <c r="A109" s="22" t="n">
        <v>45261</v>
      </c>
      <c r="B109" s="21" t="n">
        <v>306.746</v>
      </c>
      <c r="C109" s="21" t="n">
        <v>918.875</v>
      </c>
      <c r="D109" s="21" t="n">
        <v>322.933</v>
      </c>
      <c r="E109" s="21" t="n">
        <v>325.409</v>
      </c>
      <c r="F109" s="21" t="n">
        <v>303.005</v>
      </c>
      <c r="G109" s="21" t="n">
        <v>353.844</v>
      </c>
      <c r="H109" s="21" t="n">
        <v>283.027</v>
      </c>
      <c r="I109" s="21" t="n">
        <v>313.261</v>
      </c>
      <c r="J109" s="21" t="n">
        <v>273.819</v>
      </c>
      <c r="K109" s="21" t="n">
        <v>289.314</v>
      </c>
      <c r="L109" s="21" t="n">
        <v>194.313</v>
      </c>
      <c r="M109" s="21" t="n">
        <v>395.119</v>
      </c>
      <c r="N109" s="21" t="n">
        <v>239.743</v>
      </c>
      <c r="O109" s="21" t="n">
        <v>436.391</v>
      </c>
      <c r="P109" s="21" t="n">
        <v>464.871</v>
      </c>
      <c r="Q109" s="21" t="n">
        <v>235.434</v>
      </c>
      <c r="R109" s="21" t="n">
        <v>369.811</v>
      </c>
      <c r="S109" s="21" t="n">
        <v>392.202</v>
      </c>
      <c r="T109" s="21" t="n">
        <v>347.391</v>
      </c>
      <c r="U109" s="21" t="n">
        <v>352.758</v>
      </c>
      <c r="V109" s="21" t="n">
        <v>394.64</v>
      </c>
      <c r="W109" s="21" t="n">
        <v>425.77</v>
      </c>
      <c r="X109" s="21" t="n">
        <v>342.7</v>
      </c>
      <c r="Y109" s="21" t="n">
        <v>320.143</v>
      </c>
      <c r="Z109" s="21" t="n">
        <v>323.19</v>
      </c>
      <c r="AA109" s="21" t="n">
        <v>330.049</v>
      </c>
      <c r="AB109" s="21" t="n">
        <v>413.061</v>
      </c>
      <c r="AC109" s="21" t="n">
        <v>352.556</v>
      </c>
      <c r="AD109" s="21" t="n">
        <v>329.909</v>
      </c>
      <c r="AE109" s="21" t="n">
        <v>280.079</v>
      </c>
      <c r="AF109" s="21" t="n">
        <v>332.734</v>
      </c>
      <c r="AG109" s="21" t="n">
        <v>262.096</v>
      </c>
      <c r="AH109" s="21" t="n">
        <v>197.316</v>
      </c>
      <c r="AI109" s="21" t="n">
        <v>373.123</v>
      </c>
      <c r="AJ109" s="21" t="n">
        <v>178.159</v>
      </c>
      <c r="AK109" s="21" t="n">
        <v>241.709</v>
      </c>
      <c r="AL109" s="21" t="n">
        <v>268.563</v>
      </c>
      <c r="AM109" s="21" t="n">
        <v>240.258</v>
      </c>
      <c r="AN109" s="21" t="n">
        <v>159.032</v>
      </c>
      <c r="AO109" s="21" t="n">
        <v>290.491</v>
      </c>
      <c r="AP109" s="21" t="n">
        <v>307.515</v>
      </c>
      <c r="AQ109" s="21" t="n">
        <v>188.589</v>
      </c>
      <c r="AR109" s="21" t="n"/>
      <c r="AS109" s="21" t="n"/>
      <c r="AT109" s="21" t="n">
        <v>304.193</v>
      </c>
      <c r="AU109" s="21" t="n">
        <v>195.061</v>
      </c>
      <c r="AV109" s="21" t="n">
        <v>326.386</v>
      </c>
      <c r="AW109" s="21" t="n">
        <v>290.837</v>
      </c>
      <c r="AX109" s="21" t="n">
        <v>200.494</v>
      </c>
      <c r="AY109" s="21" t="n">
        <v>351.3</v>
      </c>
      <c r="AZ109" s="21" t="n">
        <v>218.341</v>
      </c>
      <c r="BA109" s="21" t="n">
        <v>175.245</v>
      </c>
      <c r="BB109" s="21" t="n">
        <v>256.219</v>
      </c>
      <c r="BC109" s="21" t="n">
        <v>364.101</v>
      </c>
      <c r="BD109" s="21" t="n">
        <v>284.388</v>
      </c>
      <c r="BE109" s="21" t="n">
        <v>267.889</v>
      </c>
      <c r="BF109" s="21" t="n">
        <v>176.731</v>
      </c>
      <c r="BG109" s="21" t="n">
        <v>254.406</v>
      </c>
      <c r="BH109" s="21" t="n">
        <v>182.948</v>
      </c>
      <c r="BI109" s="21" t="n">
        <v>263.884</v>
      </c>
      <c r="BJ109" s="21" t="n">
        <v>279.735</v>
      </c>
      <c r="BK109" s="21" t="n">
        <v>186.198</v>
      </c>
      <c r="BL109" s="21" t="n">
        <v>350.25</v>
      </c>
      <c r="BM109" s="21" t="n">
        <v>394.565</v>
      </c>
      <c r="BN109" s="21" t="n">
        <v>413.441</v>
      </c>
      <c r="BO109" s="21" t="n">
        <v>341.314</v>
      </c>
      <c r="BP109" s="21" t="n">
        <v>207.757</v>
      </c>
      <c r="BQ109" s="21" t="n">
        <v>294.514</v>
      </c>
      <c r="BR109" s="21" t="n">
        <v>578.095</v>
      </c>
      <c r="BS109" s="21" t="n">
        <v>144.978</v>
      </c>
      <c r="BT109" s="21" t="n">
        <v>373.315</v>
      </c>
      <c r="BU109" s="21" t="n">
        <v>403.266</v>
      </c>
      <c r="BV109" s="21" t="n">
        <v>392.374</v>
      </c>
      <c r="BW109" s="21" t="n">
        <v>362.546</v>
      </c>
      <c r="BX109" s="21" t="n">
        <v>370.845</v>
      </c>
      <c r="BY109" s="21" t="n">
        <v>200.748</v>
      </c>
      <c r="BZ109" s="21" t="n">
        <v>214.317</v>
      </c>
      <c r="CA109" s="21" t="n">
        <v>205.242</v>
      </c>
      <c r="CB109" s="21" t="n">
        <v>226.922</v>
      </c>
      <c r="CC109" s="21" t="n">
        <v>185.691</v>
      </c>
      <c r="CD109" s="21" t="n">
        <v>260.632</v>
      </c>
      <c r="CE109" s="21" t="n">
        <v>187.024</v>
      </c>
      <c r="CF109" s="21" t="n">
        <v>222.896</v>
      </c>
      <c r="CG109" s="21" t="n">
        <v>215.872</v>
      </c>
      <c r="CH109" s="21" t="n">
        <v>172.225</v>
      </c>
      <c r="CI109" s="21" t="n">
        <v>222.813</v>
      </c>
      <c r="CJ109" s="21" t="n">
        <v>235.86</v>
      </c>
      <c r="CK109" s="21" t="n">
        <v>153.431</v>
      </c>
      <c r="CL109" s="21" t="n">
        <v>139.615</v>
      </c>
      <c r="CM109" s="21" t="n">
        <v>230.788</v>
      </c>
      <c r="CN109" s="21" t="n">
        <v>243.395</v>
      </c>
      <c r="CO109" s="21" t="n">
        <v>212.49</v>
      </c>
      <c r="CP109" s="21" t="n">
        <v>156.322</v>
      </c>
      <c r="CQ109" s="21" t="n">
        <v>270.223</v>
      </c>
      <c r="CR109" s="21" t="n">
        <v>284.861</v>
      </c>
      <c r="CS109" s="21" t="n">
        <v>258.686</v>
      </c>
      <c r="CT109" s="21" t="n">
        <v>193.973</v>
      </c>
      <c r="CU109" s="21" t="n">
        <v>191.783</v>
      </c>
      <c r="CV109" s="21" t="n">
        <v>312.639</v>
      </c>
      <c r="CW109" s="21" t="n">
        <v>275.503</v>
      </c>
      <c r="CX109" s="21" t="n">
        <v>306.327</v>
      </c>
      <c r="CY109" s="21" t="n">
        <v>463.041</v>
      </c>
      <c r="CZ109" s="21" t="n">
        <v>174.743</v>
      </c>
      <c r="DA109" s="21" t="n">
        <v>222.006</v>
      </c>
      <c r="DB109" s="21" t="n">
        <v>193.985</v>
      </c>
      <c r="DC109" s="21" t="n">
        <v>284.666</v>
      </c>
      <c r="DD109" s="21" t="n">
        <v>303.199</v>
      </c>
      <c r="DE109" s="21" t="n">
        <v>212.981</v>
      </c>
      <c r="DF109" s="21" t="n">
        <v>310.956</v>
      </c>
      <c r="DG109" s="21" t="n">
        <v>303.103</v>
      </c>
      <c r="DH109" s="21" t="n">
        <v>183.647</v>
      </c>
      <c r="DI109" s="21" t="n">
        <v>188.935</v>
      </c>
      <c r="DJ109" s="21" t="n">
        <v>182.894</v>
      </c>
      <c r="DK109" s="21" t="n">
        <v>327.083</v>
      </c>
      <c r="DL109" s="21" t="n">
        <v>220.871</v>
      </c>
      <c r="DM109" s="21" t="n">
        <v>170.224</v>
      </c>
      <c r="DN109" s="21" t="n">
        <v>157.704</v>
      </c>
      <c r="DO109" s="21" t="n">
        <v>361.564</v>
      </c>
      <c r="DP109" s="21" t="n">
        <v>222.175</v>
      </c>
      <c r="DQ109" s="21" t="n">
        <v>238</v>
      </c>
      <c r="DR109" s="21" t="n">
        <v>198.967</v>
      </c>
      <c r="DS109" s="21" t="n">
        <v>196.003</v>
      </c>
      <c r="DT109" s="21" t="n">
        <v>232.216</v>
      </c>
      <c r="DU109" s="21" t="n">
        <v>239.135</v>
      </c>
      <c r="DV109" s="21" t="n">
        <v>287.873</v>
      </c>
      <c r="DW109" s="21" t="n">
        <v>226.415</v>
      </c>
      <c r="DX109" s="21" t="n">
        <v>269.828</v>
      </c>
      <c r="DY109" s="21" t="n">
        <v>208.696</v>
      </c>
      <c r="DZ109" s="21" t="n">
        <v>221.566</v>
      </c>
      <c r="EA109" s="21" t="n">
        <v>204.625</v>
      </c>
      <c r="EB109" s="21" t="n">
        <v>180.85</v>
      </c>
      <c r="EC109" s="21" t="n">
        <v>426.268</v>
      </c>
      <c r="ED109" s="21" t="n">
        <v>207.646</v>
      </c>
      <c r="EE109" s="21" t="n">
        <v>230.811</v>
      </c>
      <c r="EF109" s="21" t="n">
        <v>236.702</v>
      </c>
      <c r="EG109" s="21" t="n">
        <v>325.64</v>
      </c>
      <c r="EH109" s="21" t="n">
        <v>389.433</v>
      </c>
      <c r="EI109" s="21" t="n">
        <v>410.606</v>
      </c>
      <c r="EJ109" s="21" t="n">
        <v>171.025</v>
      </c>
      <c r="EK109" s="21" t="n">
        <v>633.6180000000001</v>
      </c>
      <c r="EL109" s="21" t="n">
        <v>345.125</v>
      </c>
      <c r="EM109" s="21" t="n">
        <v>400.828</v>
      </c>
      <c r="EN109" s="21" t="n">
        <v>400.888</v>
      </c>
      <c r="EO109" s="21" t="n">
        <v>156.454</v>
      </c>
      <c r="EP109" s="21" t="n">
        <v>306.768</v>
      </c>
      <c r="EQ109" s="21" t="n">
        <v>257.327</v>
      </c>
      <c r="ER109" s="21" t="n">
        <v>382.609</v>
      </c>
      <c r="ES109" s="21" t="n">
        <v>393.189</v>
      </c>
      <c r="ET109" s="21" t="n">
        <v>432.646</v>
      </c>
      <c r="EU109" s="21" t="n">
        <v>260.877</v>
      </c>
      <c r="EV109" s="21" t="n">
        <v>269.17</v>
      </c>
      <c r="EW109" s="21" t="n">
        <v>230.862</v>
      </c>
      <c r="EX109" s="21" t="n">
        <v>292.915</v>
      </c>
      <c r="EY109" s="21" t="n">
        <v>669.069</v>
      </c>
      <c r="EZ109" s="21" t="n">
        <v>602.164</v>
      </c>
      <c r="FA109" s="21" t="n">
        <v>146.6</v>
      </c>
      <c r="FB109" s="21" t="n">
        <v>59.784</v>
      </c>
      <c r="FC109" s="21" t="n">
        <v>133.611</v>
      </c>
      <c r="FD109" s="21" t="n">
        <v>78.729</v>
      </c>
      <c r="FE109" s="21" t="n">
        <v>40.123</v>
      </c>
      <c r="FF109" s="21" t="n">
        <v>131.895</v>
      </c>
      <c r="FG109" s="21" t="n">
        <v>144.623</v>
      </c>
      <c r="FH109" s="21" t="n">
        <v>104.839</v>
      </c>
      <c r="FI109" s="21" t="n">
        <v>80.85599999999999</v>
      </c>
      <c r="FJ109" s="21" t="n"/>
      <c r="FK109" s="21" t="n">
        <v>83.465</v>
      </c>
      <c r="FL109" s="21" t="n">
        <v>89.276</v>
      </c>
      <c r="FM109" s="21" t="n">
        <v>101.376</v>
      </c>
      <c r="FN109" s="21" t="n">
        <v>73.03700000000001</v>
      </c>
      <c r="FO109" s="21" t="n">
        <v>53.904</v>
      </c>
      <c r="FP109" s="21" t="n">
        <v>39.395</v>
      </c>
      <c r="FQ109" s="21" t="n">
        <v>155.321</v>
      </c>
      <c r="FR109" s="21" t="n">
        <v>47.974</v>
      </c>
      <c r="FS109" s="21" t="n">
        <v>78.654</v>
      </c>
      <c r="FT109" s="21" t="n">
        <v>112.161</v>
      </c>
      <c r="FU109" s="21" t="n">
        <v>122.81</v>
      </c>
      <c r="FV109" s="21" t="n">
        <v>107.771</v>
      </c>
      <c r="FW109" s="21" t="n">
        <v>233.628</v>
      </c>
      <c r="FX109" s="21" t="n">
        <v>148.324</v>
      </c>
      <c r="FY109" s="21" t="n">
        <v>234.011</v>
      </c>
      <c r="FZ109" s="21" t="n">
        <v>139.047</v>
      </c>
      <c r="GA109" s="21" t="n"/>
      <c r="GB109" s="21" t="n"/>
      <c r="GC109" s="21" t="n"/>
      <c r="GD109" s="21" t="n">
        <v>192.937</v>
      </c>
      <c r="GE109" s="21" t="n"/>
      <c r="GF109" s="21" t="n">
        <v>125.794</v>
      </c>
      <c r="GG109" s="21" t="n">
        <v>121.594</v>
      </c>
      <c r="GH109" s="21" t="n">
        <v>124.649</v>
      </c>
      <c r="GI109" s="21" t="n">
        <v>96.01300000000001</v>
      </c>
      <c r="GJ109" s="21" t="n">
        <v>175.274</v>
      </c>
      <c r="GK109" s="21" t="n">
        <v>77.70099999999999</v>
      </c>
      <c r="GL109" s="21" t="n">
        <v>125.133</v>
      </c>
      <c r="GM109" s="21" t="n">
        <v>108.938</v>
      </c>
      <c r="GN109" s="21" t="n">
        <v>104.456</v>
      </c>
      <c r="GO109" s="21" t="n">
        <v>106.354</v>
      </c>
      <c r="GP109" s="21" t="n">
        <v>98.322</v>
      </c>
      <c r="GQ109" s="21" t="n">
        <v>100.828</v>
      </c>
      <c r="GR109" s="21" t="n">
        <v>72.15000000000001</v>
      </c>
      <c r="GS109" s="21" t="n">
        <v>109.773</v>
      </c>
      <c r="GT109" s="21" t="n">
        <v>94.982</v>
      </c>
      <c r="GU109" s="21" t="n">
        <v>142.328</v>
      </c>
      <c r="GV109" s="21" t="n">
        <v>148.138</v>
      </c>
      <c r="GW109" s="21" t="n">
        <v>160.993</v>
      </c>
      <c r="GX109" s="21" t="n">
        <v>129.149</v>
      </c>
      <c r="GY109" s="21" t="n">
        <v>121.948</v>
      </c>
      <c r="GZ109" s="21" t="n">
        <v>190.093</v>
      </c>
      <c r="HA109" s="21" t="n">
        <v>152.967</v>
      </c>
      <c r="HB109" s="21" t="n">
        <v>188.01</v>
      </c>
      <c r="HC109" s="21" t="n">
        <v>263.375</v>
      </c>
      <c r="HD109" s="21" t="n">
        <v>263.427</v>
      </c>
      <c r="HE109" s="21" t="n">
        <v>125.975</v>
      </c>
      <c r="HF109" s="21" t="n">
        <v>178.269</v>
      </c>
      <c r="HG109" s="21" t="n"/>
      <c r="HH109" s="21" t="n">
        <v>173.479</v>
      </c>
      <c r="HI109" s="21" t="n">
        <v>190.153</v>
      </c>
      <c r="HJ109" s="21" t="n"/>
      <c r="HK109" s="21" t="n">
        <v>186.383</v>
      </c>
      <c r="HL109" s="21" t="n"/>
      <c r="HM109" s="21" t="n">
        <v>161.996</v>
      </c>
      <c r="HN109" s="21" t="n">
        <v>282.246</v>
      </c>
      <c r="HO109" s="21" t="n">
        <v>280.289</v>
      </c>
      <c r="HP109" s="21" t="n">
        <v>272.886</v>
      </c>
      <c r="HQ109" s="21" t="n">
        <v>310.727</v>
      </c>
      <c r="HR109" s="21" t="n">
        <v>308.702</v>
      </c>
      <c r="HS109" s="21" t="n">
        <v>300.47</v>
      </c>
      <c r="HT109" s="21" t="n">
        <v>179.178</v>
      </c>
      <c r="HU109" s="21" t="n">
        <v>151.986</v>
      </c>
      <c r="HV109" s="21" t="n">
        <v>216.75</v>
      </c>
      <c r="HW109" s="21" t="n">
        <v>199.312</v>
      </c>
      <c r="HX109" s="21" t="n">
        <v>490.586</v>
      </c>
      <c r="HY109" s="21" t="n">
        <v>392.897</v>
      </c>
      <c r="HZ109" s="21" t="n">
        <v>415.651</v>
      </c>
      <c r="IA109" s="21" t="n">
        <v>337.836</v>
      </c>
      <c r="IB109" s="21" t="n">
        <v>258.363</v>
      </c>
      <c r="IC109" s="21" t="n">
        <v>780.284</v>
      </c>
      <c r="ID109" s="21" t="n">
        <v>208.173</v>
      </c>
      <c r="IE109" s="21" t="n">
        <v>195.125</v>
      </c>
      <c r="IF109" s="21" t="n">
        <v>228.652</v>
      </c>
      <c r="IG109" s="21" t="n">
        <v>267.076</v>
      </c>
      <c r="IH109" s="21" t="n"/>
      <c r="II109" s="21" t="n">
        <v>250.092</v>
      </c>
      <c r="IJ109" s="21" t="n">
        <v>243.348</v>
      </c>
      <c r="IK109" s="21" t="n">
        <v>158.283</v>
      </c>
      <c r="IL109" s="21" t="n"/>
      <c r="IM109" s="21" t="n"/>
      <c r="IN109" s="21" t="n">
        <v>65.61499999999999</v>
      </c>
      <c r="IO109" s="21" t="n">
        <v>345.904</v>
      </c>
      <c r="IP109" s="21" t="n">
        <v>131.735</v>
      </c>
      <c r="IQ109" s="21" t="n">
        <v>553.485</v>
      </c>
      <c r="IR109" s="21" t="n">
        <v>410.365</v>
      </c>
      <c r="IS109" s="21" t="n">
        <v>134.022</v>
      </c>
      <c r="IT109" s="21" t="n">
        <v>552.625</v>
      </c>
      <c r="IU109" s="21" t="n">
        <v>110.441</v>
      </c>
      <c r="IV109" s="21" t="n">
        <v>111.067</v>
      </c>
      <c r="IW109" s="21" t="n">
        <v>599.4640000000001</v>
      </c>
      <c r="IX109" s="21" t="n">
        <v>422.433</v>
      </c>
      <c r="IY109" s="21" t="n">
        <v>412.93</v>
      </c>
      <c r="IZ109" s="21" t="n">
        <v>588.478</v>
      </c>
      <c r="JA109" s="21" t="n">
        <v>204.366</v>
      </c>
      <c r="JB109" s="21" t="n">
        <v>259.16</v>
      </c>
      <c r="JC109" s="21" t="n">
        <v>96.16200000000001</v>
      </c>
      <c r="JD109" s="21" t="n">
        <v>404.407</v>
      </c>
      <c r="JE109" s="21" t="n">
        <v>388.542</v>
      </c>
      <c r="JF109" s="21" t="n">
        <v>886.629</v>
      </c>
      <c r="JG109" s="21" t="n">
        <v>276.933</v>
      </c>
      <c r="JH109" s="21" t="n">
        <v>155.909</v>
      </c>
      <c r="JI109" s="21" t="n">
        <v>137.923</v>
      </c>
      <c r="JJ109" s="21" t="n">
        <v>136.811</v>
      </c>
      <c r="JK109" s="21" t="n">
        <v>115.495</v>
      </c>
      <c r="JL109" s="21" t="n">
        <v>104.335</v>
      </c>
      <c r="JM109" s="21" t="n">
        <v>575.175</v>
      </c>
      <c r="JN109" s="21" t="n">
        <v>105.39</v>
      </c>
      <c r="JO109" s="21" t="n">
        <v>72.63</v>
      </c>
      <c r="JP109" s="21" t="n">
        <v>37.727</v>
      </c>
      <c r="JQ109" s="21" t="n">
        <v>157.02</v>
      </c>
      <c r="JR109" s="21" t="n">
        <v>23.689</v>
      </c>
      <c r="JS109" s="21" t="n">
        <v>80.995</v>
      </c>
      <c r="JT109" s="21" t="n">
        <v>219.648</v>
      </c>
      <c r="JU109" s="21" t="n">
        <v>240.924</v>
      </c>
      <c r="JV109" s="21" t="n">
        <v>192.123</v>
      </c>
      <c r="JW109" s="21" t="n">
        <v>129.506</v>
      </c>
      <c r="JX109" s="21" t="n">
        <v>329.604</v>
      </c>
      <c r="JY109" s="21" t="n">
        <v>232.512</v>
      </c>
      <c r="JZ109" s="21" t="n">
        <v>356.115</v>
      </c>
      <c r="KA109" s="21" t="n">
        <v>124.807</v>
      </c>
      <c r="KB109" s="21" t="n">
        <v>172.509</v>
      </c>
      <c r="KC109" s="21" t="n">
        <v>85.108</v>
      </c>
      <c r="KD109" s="21" t="n">
        <v>87.336</v>
      </c>
      <c r="KE109" s="21" t="n">
        <v>65.837</v>
      </c>
      <c r="KF109" s="21" t="n"/>
      <c r="KG109" s="21" t="n">
        <v>27.266</v>
      </c>
      <c r="KH109" s="21" t="n">
        <v>140.108</v>
      </c>
      <c r="KI109" s="21" t="n"/>
      <c r="KJ109" s="21" t="n"/>
      <c r="KK109" s="21" t="n">
        <v>33.377</v>
      </c>
      <c r="KL109" s="21" t="n">
        <v>28.176</v>
      </c>
      <c r="KM109" s="21" t="n">
        <v>38.039</v>
      </c>
      <c r="KN109" s="21" t="n"/>
      <c r="KO109" s="21" t="n">
        <v>112.273</v>
      </c>
      <c r="KP109" s="21" t="n">
        <v>119.1</v>
      </c>
      <c r="KQ109" s="21" t="n">
        <v>199.11</v>
      </c>
      <c r="KR109" s="21" t="n">
        <v>159.937</v>
      </c>
      <c r="KS109" s="21" t="n">
        <v>464.973</v>
      </c>
      <c r="KT109" s="21" t="n">
        <v>223.66</v>
      </c>
      <c r="KU109" s="21" t="n">
        <v>263.849</v>
      </c>
      <c r="KV109" s="21" t="n">
        <v>392.422</v>
      </c>
      <c r="KW109" s="21" t="n">
        <v>285.502</v>
      </c>
      <c r="KX109" s="21" t="n">
        <v>223.181</v>
      </c>
      <c r="KY109" s="21" t="n">
        <v>97.91200000000001</v>
      </c>
      <c r="KZ109" s="21" t="n">
        <v>144.806</v>
      </c>
      <c r="LA109" s="21" t="n">
        <v>294.04</v>
      </c>
      <c r="LB109" s="21" t="n">
        <v>694.59</v>
      </c>
      <c r="LC109" s="21" t="n">
        <v>235.995</v>
      </c>
      <c r="LD109" s="21" t="n">
        <v>846.897</v>
      </c>
      <c r="LE109" s="21" t="n">
        <v>927.876</v>
      </c>
      <c r="LF109" s="21" t="n">
        <v>95.51600000000001</v>
      </c>
      <c r="LG109" s="21" t="n">
        <v>355.633</v>
      </c>
      <c r="LH109" s="21" t="n">
        <v>273.988</v>
      </c>
      <c r="LI109" s="21" t="n">
        <v>74.205</v>
      </c>
      <c r="LJ109" s="21" t="n">
        <v>228.61</v>
      </c>
      <c r="LK109" s="21" t="n">
        <v>354.347</v>
      </c>
      <c r="LL109" s="21" t="n">
        <v>412.149</v>
      </c>
      <c r="LM109" s="21" t="n">
        <v>69.88200000000001</v>
      </c>
      <c r="LN109" s="21" t="n">
        <v>94.715</v>
      </c>
      <c r="LO109" s="21" t="n">
        <v>47.302</v>
      </c>
      <c r="LP109" s="21" t="n">
        <v>152.712</v>
      </c>
      <c r="LQ109" s="21" t="n"/>
      <c r="LR109" s="21" t="n"/>
      <c r="LS109" s="21" t="n">
        <v>103.74</v>
      </c>
      <c r="LT109" s="21" t="n">
        <v>35.773</v>
      </c>
      <c r="LU109" s="21" t="n">
        <v>22.422</v>
      </c>
      <c r="LV109" s="21" t="n">
        <v>84.319</v>
      </c>
      <c r="LW109" s="21" t="n">
        <v>110.697</v>
      </c>
      <c r="LX109" s="21" t="n">
        <v>46.488</v>
      </c>
      <c r="LY109" s="21" t="n">
        <v>546.784</v>
      </c>
      <c r="LZ109" s="21" t="n">
        <v>93.75700000000001</v>
      </c>
      <c r="MA109" s="21" t="n">
        <v>615.331</v>
      </c>
      <c r="MB109" s="21" t="n">
        <v>343.766</v>
      </c>
      <c r="MC109" s="21" t="n">
        <v>277.089</v>
      </c>
      <c r="MD109" s="21" t="n">
        <v>176.62</v>
      </c>
      <c r="ME109" s="21" t="n">
        <v>120.267</v>
      </c>
      <c r="MF109" s="21" t="n">
        <v>187.349</v>
      </c>
      <c r="MG109" s="21" t="n">
        <v>334.085</v>
      </c>
      <c r="MH109" s="21" t="n">
        <v>203.847</v>
      </c>
      <c r="MI109" s="21" t="n">
        <v>543.85</v>
      </c>
      <c r="MJ109" s="21" t="n"/>
      <c r="MK109" s="21" t="n">
        <v>387.561</v>
      </c>
      <c r="ML109" s="21" t="n">
        <v>222.115</v>
      </c>
      <c r="MM109" s="21" t="n">
        <v>260.292</v>
      </c>
      <c r="MN109" s="21" t="n">
        <v>417.974</v>
      </c>
      <c r="MO109" s="21" t="n">
        <v>183.605</v>
      </c>
      <c r="MP109" s="21" t="n"/>
      <c r="MQ109" s="21" t="n">
        <v>87.15600000000001</v>
      </c>
      <c r="MR109" s="21" t="n">
        <v>201.023</v>
      </c>
      <c r="MS109" s="21" t="n"/>
      <c r="MT109" s="21" t="n">
        <v>294.829</v>
      </c>
      <c r="MU109" s="21" t="n">
        <v>313.024</v>
      </c>
      <c r="MV109" s="21" t="n">
        <v>303.866</v>
      </c>
      <c r="MW109" s="21" t="n">
        <v>311.907</v>
      </c>
      <c r="MX109" s="21" t="n">
        <v>277.848</v>
      </c>
      <c r="MY109" s="21" t="n">
        <v>266.227</v>
      </c>
      <c r="MZ109" s="21" t="n">
        <v>269.032</v>
      </c>
      <c r="NA109" s="21" t="n">
        <v>273.566</v>
      </c>
      <c r="NB109" s="21" t="n">
        <v>117.348</v>
      </c>
      <c r="NC109" s="21" t="n">
        <v>220.324</v>
      </c>
      <c r="ND109" s="21" t="n">
        <v>176.282</v>
      </c>
      <c r="NE109" s="21" t="n">
        <v>172.516</v>
      </c>
      <c r="NF109" s="21" t="n">
        <v>164.59</v>
      </c>
      <c r="NG109" s="21" t="n">
        <v>162.267</v>
      </c>
      <c r="NH109" s="21" t="n">
        <v>313.71</v>
      </c>
      <c r="NI109" s="21" t="n">
        <v>124.061</v>
      </c>
      <c r="NJ109" s="21" t="n">
        <v>56.545</v>
      </c>
      <c r="NK109" s="21" t="n">
        <v>121.115</v>
      </c>
      <c r="NL109" s="21" t="n">
        <v>269.375</v>
      </c>
      <c r="NM109" s="21" t="n">
        <v>288.953</v>
      </c>
      <c r="NN109" s="21" t="n">
        <v>105.791</v>
      </c>
      <c r="NO109" s="21" t="n">
        <v>39.034</v>
      </c>
      <c r="NP109" s="21" t="n">
        <v>271.155</v>
      </c>
      <c r="NQ109" s="21" t="n">
        <v>226.113</v>
      </c>
      <c r="NR109" s="21" t="n">
        <v>285.811</v>
      </c>
      <c r="NS109" s="21" t="n">
        <v>222.337</v>
      </c>
      <c r="NT109" s="21" t="n">
        <v>287.273</v>
      </c>
      <c r="NU109" s="21" t="n">
        <v>137.418</v>
      </c>
      <c r="NV109" s="21" t="n">
        <v>152.265</v>
      </c>
      <c r="NW109" s="21" t="n">
        <v>409.266</v>
      </c>
      <c r="NX109" s="21" t="n">
        <v>84.11799999999999</v>
      </c>
      <c r="NY109" s="21" t="n">
        <v>147.772</v>
      </c>
      <c r="NZ109" s="21" t="n">
        <v>406.805</v>
      </c>
      <c r="OA109" s="21" t="n">
        <v>392.042</v>
      </c>
      <c r="OB109" s="21" t="n">
        <v>405.338</v>
      </c>
      <c r="OC109" s="21" t="n">
        <v>376.145</v>
      </c>
      <c r="OD109" s="21" t="n">
        <v>404.884</v>
      </c>
      <c r="OE109" s="21" t="n">
        <v>131.652</v>
      </c>
      <c r="OF109" s="21" t="n">
        <v>409.749</v>
      </c>
      <c r="OG109" s="21" t="n">
        <v>253.458</v>
      </c>
      <c r="OH109" s="21" t="n">
        <v>31.634</v>
      </c>
      <c r="OI109" s="21" t="n">
        <v>151.176</v>
      </c>
      <c r="OJ109" s="21" t="n">
        <v>32.6</v>
      </c>
      <c r="OK109" s="21" t="n">
        <v>10.9</v>
      </c>
    </row>
    <row r="110">
      <c r="A110" s="22" t="n">
        <v>45292</v>
      </c>
      <c r="B110" s="21" t="n">
        <v>308.417</v>
      </c>
      <c r="C110" s="21" t="n">
        <v>923.881</v>
      </c>
      <c r="D110" s="21" t="n">
        <v>324.782</v>
      </c>
      <c r="E110" s="21" t="n">
        <v>327.327</v>
      </c>
      <c r="F110" s="21" t="n">
        <v>305.037</v>
      </c>
      <c r="G110" s="21" t="n">
        <v>354.532</v>
      </c>
      <c r="H110" s="21" t="n">
        <v>283.917</v>
      </c>
      <c r="I110" s="21" t="n">
        <v>321.589</v>
      </c>
      <c r="J110" s="21" t="n">
        <v>271.667</v>
      </c>
      <c r="K110" s="21" t="n">
        <v>290.564</v>
      </c>
      <c r="L110" s="21" t="n">
        <v>193.243</v>
      </c>
      <c r="M110" s="21" t="n">
        <v>395.688</v>
      </c>
      <c r="N110" s="21" t="n">
        <v>240.416</v>
      </c>
      <c r="O110" s="21" t="n">
        <v>438.774</v>
      </c>
      <c r="P110" s="21" t="n">
        <v>464.991</v>
      </c>
      <c r="Q110" s="21" t="n">
        <v>235.808</v>
      </c>
      <c r="R110" s="21" t="n">
        <v>370.172</v>
      </c>
      <c r="S110" s="21" t="n">
        <v>388.321</v>
      </c>
      <c r="T110" s="21" t="n">
        <v>348.565</v>
      </c>
      <c r="U110" s="21" t="n">
        <v>352.967</v>
      </c>
      <c r="V110" s="21" t="n">
        <v>391.948</v>
      </c>
      <c r="W110" s="21" t="n">
        <v>425.593</v>
      </c>
      <c r="X110" s="21" t="n">
        <v>343.408</v>
      </c>
      <c r="Y110" s="21" t="n">
        <v>319.752</v>
      </c>
      <c r="Z110" s="21" t="n">
        <v>322.344</v>
      </c>
      <c r="AA110" s="21" t="n">
        <v>329.052</v>
      </c>
      <c r="AB110" s="21" t="n">
        <v>411.781</v>
      </c>
      <c r="AC110" s="21" t="n">
        <v>348.091</v>
      </c>
      <c r="AD110" s="21" t="n">
        <v>327.589</v>
      </c>
      <c r="AE110" s="21" t="n">
        <v>281.658</v>
      </c>
      <c r="AF110" s="21" t="n">
        <v>333.81</v>
      </c>
      <c r="AG110" s="21" t="n">
        <v>261.308</v>
      </c>
      <c r="AH110" s="21" t="n">
        <v>196.563</v>
      </c>
      <c r="AI110" s="21" t="n">
        <v>365.105</v>
      </c>
      <c r="AJ110" s="21" t="n">
        <v>181.914</v>
      </c>
      <c r="AK110" s="21" t="n">
        <v>240.486</v>
      </c>
      <c r="AL110" s="21" t="n">
        <v>266.504</v>
      </c>
      <c r="AM110" s="21" t="n">
        <v>241.303</v>
      </c>
      <c r="AN110" s="21" t="n">
        <v>158.425</v>
      </c>
      <c r="AO110" s="21" t="n">
        <v>289.651</v>
      </c>
      <c r="AP110" s="21" t="n">
        <v>310.183</v>
      </c>
      <c r="AQ110" s="21" t="n">
        <v>187.12</v>
      </c>
      <c r="AR110" s="21" t="n"/>
      <c r="AS110" s="21" t="n"/>
      <c r="AT110" s="21" t="n">
        <v>305.187</v>
      </c>
      <c r="AU110" s="21" t="n">
        <v>194.666</v>
      </c>
      <c r="AV110" s="21" t="n">
        <v>328.095</v>
      </c>
      <c r="AW110" s="21" t="n">
        <v>289.057</v>
      </c>
      <c r="AX110" s="21" t="n">
        <v>205.629</v>
      </c>
      <c r="AY110" s="21" t="n">
        <v>348.419</v>
      </c>
      <c r="AZ110" s="21" t="n">
        <v>218.637</v>
      </c>
      <c r="BA110" s="21" t="n">
        <v>172.31</v>
      </c>
      <c r="BB110" s="21" t="n">
        <v>246.535</v>
      </c>
      <c r="BC110" s="21" t="n">
        <v>365.173</v>
      </c>
      <c r="BD110" s="21" t="n">
        <v>289.4</v>
      </c>
      <c r="BE110" s="21" t="n">
        <v>268.941</v>
      </c>
      <c r="BF110" s="21" t="n">
        <v>175.241</v>
      </c>
      <c r="BG110" s="21" t="n">
        <v>251.813</v>
      </c>
      <c r="BH110" s="21" t="n">
        <v>181.357</v>
      </c>
      <c r="BI110" s="21" t="n">
        <v>266.477</v>
      </c>
      <c r="BJ110" s="21" t="n">
        <v>276.331</v>
      </c>
      <c r="BK110" s="21" t="n">
        <v>189.087</v>
      </c>
      <c r="BL110" s="21" t="n">
        <v>354.798</v>
      </c>
      <c r="BM110" s="21" t="n">
        <v>400.509</v>
      </c>
      <c r="BN110" s="21" t="n">
        <v>414.589</v>
      </c>
      <c r="BO110" s="21" t="n">
        <v>339.744</v>
      </c>
      <c r="BP110" s="21" t="n">
        <v>204.602</v>
      </c>
      <c r="BQ110" s="21" t="n">
        <v>292.283</v>
      </c>
      <c r="BR110" s="21" t="n">
        <v>571.259</v>
      </c>
      <c r="BS110" s="21" t="n">
        <v>147.471</v>
      </c>
      <c r="BT110" s="21" t="n">
        <v>384.271</v>
      </c>
      <c r="BU110" s="21" t="n">
        <v>420.962</v>
      </c>
      <c r="BV110" s="21" t="n">
        <v>385.519</v>
      </c>
      <c r="BW110" s="21" t="n">
        <v>380.774</v>
      </c>
      <c r="BX110" s="21" t="n">
        <v>382.051</v>
      </c>
      <c r="BY110" s="21" t="n">
        <v>202.042</v>
      </c>
      <c r="BZ110" s="21" t="n">
        <v>215.444</v>
      </c>
      <c r="CA110" s="21" t="n">
        <v>202.795</v>
      </c>
      <c r="CB110" s="21" t="n">
        <v>231.164</v>
      </c>
      <c r="CC110" s="21" t="n">
        <v>186.672</v>
      </c>
      <c r="CD110" s="21" t="n">
        <v>263.955</v>
      </c>
      <c r="CE110" s="21" t="n">
        <v>189.109</v>
      </c>
      <c r="CF110" s="21" t="n">
        <v>222.964</v>
      </c>
      <c r="CG110" s="21" t="n">
        <v>220.573</v>
      </c>
      <c r="CH110" s="21" t="n">
        <v>176.438</v>
      </c>
      <c r="CI110" s="21" t="n">
        <v>229.578</v>
      </c>
      <c r="CJ110" s="21" t="n">
        <v>259.311</v>
      </c>
      <c r="CK110" s="21" t="n">
        <v>156.204</v>
      </c>
      <c r="CL110" s="21" t="n">
        <v>141.736</v>
      </c>
      <c r="CM110" s="21" t="n">
        <v>236.506</v>
      </c>
      <c r="CN110" s="21" t="n">
        <v>249.264</v>
      </c>
      <c r="CO110" s="21" t="n">
        <v>216.21</v>
      </c>
      <c r="CP110" s="21" t="n">
        <v>156.204</v>
      </c>
      <c r="CQ110" s="21" t="n">
        <v>271.6</v>
      </c>
      <c r="CR110" s="21" t="n">
        <v>287.715</v>
      </c>
      <c r="CS110" s="21" t="n">
        <v>264.277</v>
      </c>
      <c r="CT110" s="21" t="n">
        <v>195.837</v>
      </c>
      <c r="CU110" s="21" t="n">
        <v>192.426</v>
      </c>
      <c r="CV110" s="21" t="n">
        <v>315.941</v>
      </c>
      <c r="CW110" s="21" t="n">
        <v>282.242</v>
      </c>
      <c r="CX110" s="21" t="n">
        <v>317.36</v>
      </c>
      <c r="CY110" s="21" t="n">
        <v>467.498</v>
      </c>
      <c r="CZ110" s="21" t="n">
        <v>174.534</v>
      </c>
      <c r="DA110" s="21" t="n">
        <v>223.673</v>
      </c>
      <c r="DB110" s="21" t="n">
        <v>194.059</v>
      </c>
      <c r="DC110" s="21" t="n">
        <v>285.627</v>
      </c>
      <c r="DD110" s="21" t="n">
        <v>306.698</v>
      </c>
      <c r="DE110" s="21" t="n">
        <v>211.474</v>
      </c>
      <c r="DF110" s="21" t="n">
        <v>310.667</v>
      </c>
      <c r="DG110" s="21" t="n">
        <v>310.732</v>
      </c>
      <c r="DH110" s="21" t="n">
        <v>188.461</v>
      </c>
      <c r="DI110" s="21" t="n">
        <v>187.583</v>
      </c>
      <c r="DJ110" s="21" t="n">
        <v>186.525</v>
      </c>
      <c r="DK110" s="21" t="n">
        <v>358.436</v>
      </c>
      <c r="DL110" s="21" t="n">
        <v>222.49</v>
      </c>
      <c r="DM110" s="21" t="n">
        <v>169.685</v>
      </c>
      <c r="DN110" s="21" t="n">
        <v>157.465</v>
      </c>
      <c r="DO110" s="21" t="n">
        <v>363.249</v>
      </c>
      <c r="DP110" s="21" t="n">
        <v>222.981</v>
      </c>
      <c r="DQ110" s="21" t="n">
        <v>239.515</v>
      </c>
      <c r="DR110" s="21" t="n">
        <v>198.737</v>
      </c>
      <c r="DS110" s="21" t="n">
        <v>196.001</v>
      </c>
      <c r="DT110" s="21" t="n">
        <v>231.014</v>
      </c>
      <c r="DU110" s="21" t="n">
        <v>239.526</v>
      </c>
      <c r="DV110" s="21" t="n">
        <v>288.758</v>
      </c>
      <c r="DW110" s="21" t="n">
        <v>227.588</v>
      </c>
      <c r="DX110" s="21" t="n">
        <v>271.719</v>
      </c>
      <c r="DY110" s="21" t="n">
        <v>208.652</v>
      </c>
      <c r="DZ110" s="21" t="n">
        <v>223.133</v>
      </c>
      <c r="EA110" s="21" t="n">
        <v>203.295</v>
      </c>
      <c r="EB110" s="21" t="n">
        <v>182.087</v>
      </c>
      <c r="EC110" s="21" t="n">
        <v>426.445</v>
      </c>
      <c r="ED110" s="21" t="n">
        <v>207.41</v>
      </c>
      <c r="EE110" s="21" t="n">
        <v>231.695</v>
      </c>
      <c r="EF110" s="21" t="n">
        <v>236.501</v>
      </c>
      <c r="EG110" s="21" t="n">
        <v>328.222</v>
      </c>
      <c r="EH110" s="21" t="n">
        <v>391.896</v>
      </c>
      <c r="EI110" s="21" t="n">
        <v>412.019</v>
      </c>
      <c r="EJ110" s="21" t="n">
        <v>178.309</v>
      </c>
      <c r="EK110" s="21" t="n">
        <v>634.043</v>
      </c>
      <c r="EL110" s="21" t="n">
        <v>363.076</v>
      </c>
      <c r="EM110" s="21" t="n">
        <v>402.965</v>
      </c>
      <c r="EN110" s="21" t="n">
        <v>403.025</v>
      </c>
      <c r="EO110" s="21" t="n">
        <v>157.49</v>
      </c>
      <c r="EP110" s="21" t="n">
        <v>313.469</v>
      </c>
      <c r="EQ110" s="21" t="n">
        <v>263.599</v>
      </c>
      <c r="ER110" s="21" t="n">
        <v>385.388</v>
      </c>
      <c r="ES110" s="21" t="n">
        <v>390.877</v>
      </c>
      <c r="ET110" s="21" t="n">
        <v>441.538</v>
      </c>
      <c r="EU110" s="21" t="n">
        <v>267.475</v>
      </c>
      <c r="EV110" s="21" t="n">
        <v>276.698</v>
      </c>
      <c r="EW110" s="21" t="n">
        <v>234.515</v>
      </c>
      <c r="EX110" s="21" t="n">
        <v>297.079</v>
      </c>
      <c r="EY110" s="21" t="n">
        <v>680.466</v>
      </c>
      <c r="EZ110" s="21" t="n">
        <v>606.773</v>
      </c>
      <c r="FA110" s="21" t="n">
        <v>147.673</v>
      </c>
      <c r="FB110" s="21" t="n">
        <v>60.873</v>
      </c>
      <c r="FC110" s="21" t="n">
        <v>134.993</v>
      </c>
      <c r="FD110" s="21" t="n">
        <v>78.434</v>
      </c>
      <c r="FE110" s="21" t="n">
        <v>41.459</v>
      </c>
      <c r="FF110" s="21" t="n">
        <v>133.656</v>
      </c>
      <c r="FG110" s="21" t="n">
        <v>146.512</v>
      </c>
      <c r="FH110" s="21" t="n">
        <v>106.219</v>
      </c>
      <c r="FI110" s="21" t="n">
        <v>82.047</v>
      </c>
      <c r="FJ110" s="21" t="n"/>
      <c r="FK110" s="21" t="n">
        <v>85.923</v>
      </c>
      <c r="FL110" s="21" t="n">
        <v>92.18000000000001</v>
      </c>
      <c r="FM110" s="21" t="n">
        <v>104.462</v>
      </c>
      <c r="FN110" s="21" t="n">
        <v>75.086</v>
      </c>
      <c r="FO110" s="21" t="n">
        <v>54.223</v>
      </c>
      <c r="FP110" s="21" t="n">
        <v>39.574</v>
      </c>
      <c r="FQ110" s="21" t="n">
        <v>156.484</v>
      </c>
      <c r="FR110" s="21" t="n">
        <v>48.303</v>
      </c>
      <c r="FS110" s="21" t="n">
        <v>79.35899999999999</v>
      </c>
      <c r="FT110" s="21" t="n">
        <v>111.346</v>
      </c>
      <c r="FU110" s="21" t="n">
        <v>121.184</v>
      </c>
      <c r="FV110" s="21" t="n">
        <v>107.407</v>
      </c>
      <c r="FW110" s="21" t="n">
        <v>234.64</v>
      </c>
      <c r="FX110" s="21" t="n">
        <v>149.099</v>
      </c>
      <c r="FY110" s="21" t="n">
        <v>234.297</v>
      </c>
      <c r="FZ110" s="21" t="n">
        <v>139.763</v>
      </c>
      <c r="GA110" s="21" t="n"/>
      <c r="GB110" s="21" t="n"/>
      <c r="GC110" s="21" t="n"/>
      <c r="GD110" s="21" t="n">
        <v>190.913</v>
      </c>
      <c r="GE110" s="21" t="n">
        <v>377.611</v>
      </c>
      <c r="GF110" s="21" t="n">
        <v>127.946</v>
      </c>
      <c r="GG110" s="21" t="n">
        <v>126.872</v>
      </c>
      <c r="GH110" s="21" t="n">
        <v>130.819</v>
      </c>
      <c r="GI110" s="21" t="n">
        <v>100.14</v>
      </c>
      <c r="GJ110" s="21" t="n">
        <v>182.934</v>
      </c>
      <c r="GK110" s="21" t="n">
        <v>79.38800000000001</v>
      </c>
      <c r="GL110" s="21" t="n">
        <v>136.992</v>
      </c>
      <c r="GM110" s="21" t="n">
        <v>111.469</v>
      </c>
      <c r="GN110" s="21" t="n">
        <v>104.54</v>
      </c>
      <c r="GO110" s="21" t="n">
        <v>106.857</v>
      </c>
      <c r="GP110" s="21" t="n">
        <v>95.574</v>
      </c>
      <c r="GQ110" s="21" t="n">
        <v>95.15000000000001</v>
      </c>
      <c r="GR110" s="21" t="n">
        <v>72.84699999999999</v>
      </c>
      <c r="GS110" s="21" t="n">
        <v>113.113</v>
      </c>
      <c r="GT110" s="21" t="n">
        <v>92.348</v>
      </c>
      <c r="GU110" s="21" t="n">
        <v>142.357</v>
      </c>
      <c r="GV110" s="21" t="n">
        <v>148.171</v>
      </c>
      <c r="GW110" s="21" t="n">
        <v>161.174</v>
      </c>
      <c r="GX110" s="21" t="n">
        <v>129.117</v>
      </c>
      <c r="GY110" s="21" t="n">
        <v>122.16</v>
      </c>
      <c r="GZ110" s="21" t="n">
        <v>201.526</v>
      </c>
      <c r="HA110" s="21" t="n">
        <v>156.862</v>
      </c>
      <c r="HB110" s="21" t="n">
        <v>200.671</v>
      </c>
      <c r="HC110" s="21" t="n">
        <v>262.11</v>
      </c>
      <c r="HD110" s="21" t="n">
        <v>261.899</v>
      </c>
      <c r="HE110" s="21" t="n">
        <v>124.005</v>
      </c>
      <c r="HF110" s="21" t="n">
        <v>178.595</v>
      </c>
      <c r="HG110" s="21" t="n"/>
      <c r="HH110" s="21" t="n">
        <v>173.981</v>
      </c>
      <c r="HI110" s="21" t="n">
        <v>190.445</v>
      </c>
      <c r="HJ110" s="21" t="n"/>
      <c r="HK110" s="21" t="n">
        <v>179.41</v>
      </c>
      <c r="HL110" s="21" t="n">
        <v>109.689</v>
      </c>
      <c r="HM110" s="21" t="n">
        <v>150.918</v>
      </c>
      <c r="HN110" s="21" t="n">
        <v>277.709</v>
      </c>
      <c r="HO110" s="21" t="n">
        <v>276.003</v>
      </c>
      <c r="HP110" s="21" t="n">
        <v>268.82</v>
      </c>
      <c r="HQ110" s="21" t="n">
        <v>306.128</v>
      </c>
      <c r="HR110" s="21" t="n">
        <v>303.385</v>
      </c>
      <c r="HS110" s="21" t="n">
        <v>288.702</v>
      </c>
      <c r="HT110" s="21" t="n">
        <v>180.393</v>
      </c>
      <c r="HU110" s="21" t="n">
        <v>153.148</v>
      </c>
      <c r="HV110" s="21" t="n">
        <v>217.802</v>
      </c>
      <c r="HW110" s="21" t="n">
        <v>202.464</v>
      </c>
      <c r="HX110" s="21" t="n">
        <v>484.381</v>
      </c>
      <c r="HY110" s="21" t="n">
        <v>396.004</v>
      </c>
      <c r="HZ110" s="21" t="n">
        <v>418.535</v>
      </c>
      <c r="IA110" s="21" t="n">
        <v>341.35</v>
      </c>
      <c r="IB110" s="21" t="n">
        <v>259.694</v>
      </c>
      <c r="IC110" s="21" t="n">
        <v>794.1420000000001</v>
      </c>
      <c r="ID110" s="21" t="n">
        <v>210.485</v>
      </c>
      <c r="IE110" s="21" t="n">
        <v>196.215</v>
      </c>
      <c r="IF110" s="21" t="n">
        <v>232.923</v>
      </c>
      <c r="IG110" s="21" t="n">
        <v>271.824</v>
      </c>
      <c r="IH110" s="21" t="n"/>
      <c r="II110" s="21" t="n">
        <v>252.347</v>
      </c>
      <c r="IJ110" s="21" t="n">
        <v>247.606</v>
      </c>
      <c r="IK110" s="21" t="n">
        <v>155.852</v>
      </c>
      <c r="IL110" s="21" t="n"/>
      <c r="IM110" s="21" t="n"/>
      <c r="IN110" s="21" t="n">
        <v>66.979</v>
      </c>
      <c r="IO110" s="21" t="n">
        <v>342.499</v>
      </c>
      <c r="IP110" s="21" t="n">
        <v>131.19</v>
      </c>
      <c r="IQ110" s="21" t="n">
        <v>557.215</v>
      </c>
      <c r="IR110" s="21" t="n">
        <v>407.879</v>
      </c>
      <c r="IS110" s="21" t="n">
        <v>133.302</v>
      </c>
      <c r="IT110" s="21" t="n">
        <v>548.245</v>
      </c>
      <c r="IU110" s="21" t="n">
        <v>110.412</v>
      </c>
      <c r="IV110" s="21" t="n">
        <v>109.506</v>
      </c>
      <c r="IW110" s="21" t="n">
        <v>605.2569999999999</v>
      </c>
      <c r="IX110" s="21" t="n">
        <v>424.531</v>
      </c>
      <c r="IY110" s="21" t="n">
        <v>415.427</v>
      </c>
      <c r="IZ110" s="21" t="n">
        <v>590.616</v>
      </c>
      <c r="JA110" s="21" t="n">
        <v>204.385</v>
      </c>
      <c r="JB110" s="21" t="n">
        <v>260.839</v>
      </c>
      <c r="JC110" s="21" t="n">
        <v>97.69199999999999</v>
      </c>
      <c r="JD110" s="21" t="n">
        <v>410.695</v>
      </c>
      <c r="JE110" s="21" t="n">
        <v>394.389</v>
      </c>
      <c r="JF110" s="21" t="n">
        <v>904.516</v>
      </c>
      <c r="JG110" s="21" t="n">
        <v>282.478</v>
      </c>
      <c r="JH110" s="21" t="n">
        <v>158.409</v>
      </c>
      <c r="JI110" s="21" t="n">
        <v>139.891</v>
      </c>
      <c r="JJ110" s="21" t="n">
        <v>137.8</v>
      </c>
      <c r="JK110" s="21" t="n">
        <v>116.615</v>
      </c>
      <c r="JL110" s="21" t="n">
        <v>106.496</v>
      </c>
      <c r="JM110" s="21" t="n">
        <v>578.566</v>
      </c>
      <c r="JN110" s="21" t="n">
        <v>107.049</v>
      </c>
      <c r="JO110" s="21" t="n">
        <v>73.18300000000001</v>
      </c>
      <c r="JP110" s="21" t="n">
        <v>37.959</v>
      </c>
      <c r="JQ110" s="21" t="n">
        <v>156.556</v>
      </c>
      <c r="JR110" s="21" t="n">
        <v>24.307</v>
      </c>
      <c r="JS110" s="21" t="n">
        <v>82.652</v>
      </c>
      <c r="JT110" s="21" t="n">
        <v>220.617</v>
      </c>
      <c r="JU110" s="21" t="n">
        <v>241.19</v>
      </c>
      <c r="JV110" s="21" t="n">
        <v>191.939</v>
      </c>
      <c r="JW110" s="21" t="n">
        <v>130.418</v>
      </c>
      <c r="JX110" s="21" t="n">
        <v>332.664</v>
      </c>
      <c r="JY110" s="21" t="n">
        <v>245.443</v>
      </c>
      <c r="JZ110" s="21" t="n">
        <v>355.679</v>
      </c>
      <c r="KA110" s="21" t="n">
        <v>127.326</v>
      </c>
      <c r="KB110" s="21" t="n">
        <v>177.3</v>
      </c>
      <c r="KC110" s="21" t="n">
        <v>85.59099999999999</v>
      </c>
      <c r="KD110" s="21" t="n">
        <v>88.366</v>
      </c>
      <c r="KE110" s="21" t="n">
        <v>67.337</v>
      </c>
      <c r="KF110" s="21" t="n"/>
      <c r="KG110" s="21" t="n">
        <v>27.868</v>
      </c>
      <c r="KH110" s="21" t="n">
        <v>141.055</v>
      </c>
      <c r="KI110" s="21" t="n"/>
      <c r="KJ110" s="21" t="n"/>
      <c r="KK110" s="21" t="n">
        <v>33.531</v>
      </c>
      <c r="KL110" s="21" t="n">
        <v>28.393</v>
      </c>
      <c r="KM110" s="21" t="n">
        <v>38.291</v>
      </c>
      <c r="KN110" s="21" t="n"/>
      <c r="KO110" s="21" t="n">
        <v>110.298</v>
      </c>
      <c r="KP110" s="21" t="n">
        <v>118.608</v>
      </c>
      <c r="KQ110" s="21" t="n">
        <v>199.827</v>
      </c>
      <c r="KR110" s="21" t="n">
        <v>161.015</v>
      </c>
      <c r="KS110" s="21" t="n">
        <v>463.605</v>
      </c>
      <c r="KT110" s="21" t="n">
        <v>224.532</v>
      </c>
      <c r="KU110" s="21" t="n">
        <v>261.598</v>
      </c>
      <c r="KV110" s="21" t="n">
        <v>395.251</v>
      </c>
      <c r="KW110" s="21" t="n">
        <v>284.832</v>
      </c>
      <c r="KX110" s="21" t="n">
        <v>219.639</v>
      </c>
      <c r="KY110" s="21" t="n">
        <v>99.218</v>
      </c>
      <c r="KZ110" s="21" t="n">
        <v>145.37</v>
      </c>
      <c r="LA110" s="21" t="n">
        <v>294.574</v>
      </c>
      <c r="LB110" s="21" t="n">
        <v>688.843</v>
      </c>
      <c r="LC110" s="21" t="n">
        <v>233.508</v>
      </c>
      <c r="LD110" s="21" t="n">
        <v>848.728</v>
      </c>
      <c r="LE110" s="21" t="n">
        <v>927.649</v>
      </c>
      <c r="LF110" s="21" t="n">
        <v>95.51600000000001</v>
      </c>
      <c r="LG110" s="21" t="n">
        <v>358.314</v>
      </c>
      <c r="LH110" s="21" t="n">
        <v>273.992</v>
      </c>
      <c r="LI110" s="21" t="n">
        <v>74.607</v>
      </c>
      <c r="LJ110" s="21" t="n">
        <v>233.073</v>
      </c>
      <c r="LK110" s="21" t="n">
        <v>359.752</v>
      </c>
      <c r="LL110" s="21" t="n">
        <v>431.581</v>
      </c>
      <c r="LM110" s="21" t="n">
        <v>70.241</v>
      </c>
      <c r="LN110" s="21" t="n">
        <v>94.68000000000001</v>
      </c>
      <c r="LO110" s="21" t="n">
        <v>47.181</v>
      </c>
      <c r="LP110" s="21" t="n">
        <v>154.879</v>
      </c>
      <c r="LQ110" s="21" t="n"/>
      <c r="LR110" s="21" t="n"/>
      <c r="LS110" s="21" t="n">
        <v>104.781</v>
      </c>
      <c r="LT110" s="21" t="n">
        <v>36.441</v>
      </c>
      <c r="LU110" s="21" t="n">
        <v>22.868</v>
      </c>
      <c r="LV110" s="21" t="n">
        <v>85.319</v>
      </c>
      <c r="LW110" s="21" t="n">
        <v>110.669</v>
      </c>
      <c r="LX110" s="21" t="n">
        <v>46.579</v>
      </c>
      <c r="LY110" s="21" t="n">
        <v>551.14</v>
      </c>
      <c r="LZ110" s="21" t="n">
        <v>94.05</v>
      </c>
      <c r="MA110" s="21" t="n">
        <v>618.561</v>
      </c>
      <c r="MB110" s="21" t="n">
        <v>341.333</v>
      </c>
      <c r="MC110" s="21" t="n">
        <v>279.606</v>
      </c>
      <c r="MD110" s="21" t="n">
        <v>177.546</v>
      </c>
      <c r="ME110" s="21" t="n">
        <v>121.133</v>
      </c>
      <c r="MF110" s="21" t="n">
        <v>187.892</v>
      </c>
      <c r="MG110" s="21" t="n">
        <v>336.316</v>
      </c>
      <c r="MH110" s="21" t="n">
        <v>205.207</v>
      </c>
      <c r="MI110" s="21" t="n">
        <v>550.139</v>
      </c>
      <c r="MJ110" s="21" t="n"/>
      <c r="MK110" s="21" t="n">
        <v>389.304</v>
      </c>
      <c r="ML110" s="21" t="n">
        <v>223.674</v>
      </c>
      <c r="MM110" s="21" t="n">
        <v>264.242</v>
      </c>
      <c r="MN110" s="21" t="n">
        <v>427.966</v>
      </c>
      <c r="MO110" s="21" t="n">
        <v>183.605</v>
      </c>
      <c r="MP110" s="21" t="n">
        <v>330.392</v>
      </c>
      <c r="MQ110" s="21" t="n">
        <v>88.919</v>
      </c>
      <c r="MR110" s="21" t="n">
        <v>201.166</v>
      </c>
      <c r="MS110" s="21" t="n"/>
      <c r="MT110" s="21" t="n">
        <v>296.402</v>
      </c>
      <c r="MU110" s="21" t="n">
        <v>314.764</v>
      </c>
      <c r="MV110" s="21" t="n">
        <v>305.5</v>
      </c>
      <c r="MW110" s="21" t="n">
        <v>313.623</v>
      </c>
      <c r="MX110" s="21" t="n">
        <v>279.224</v>
      </c>
      <c r="MY110" s="21" t="n">
        <v>267.478</v>
      </c>
      <c r="MZ110" s="21" t="n">
        <v>270.329</v>
      </c>
      <c r="NA110" s="21" t="n">
        <v>275.444</v>
      </c>
      <c r="NB110" s="21" t="n">
        <v>119.886</v>
      </c>
      <c r="NC110" s="21" t="n">
        <v>220.683</v>
      </c>
      <c r="ND110" s="21" t="n">
        <v>176.114</v>
      </c>
      <c r="NE110" s="21" t="n">
        <v>172.324</v>
      </c>
      <c r="NF110" s="21" t="n">
        <v>164.866</v>
      </c>
      <c r="NG110" s="21" t="n">
        <v>163.295</v>
      </c>
      <c r="NH110" s="21" t="n">
        <v>315.361</v>
      </c>
      <c r="NI110" s="21" t="n">
        <v>123.752</v>
      </c>
      <c r="NJ110" s="21" t="n">
        <v>56.895</v>
      </c>
      <c r="NK110" s="21" t="n">
        <v>121.539</v>
      </c>
      <c r="NL110" s="21" t="n">
        <v>270.42</v>
      </c>
      <c r="NM110" s="21" t="n">
        <v>284.627</v>
      </c>
      <c r="NN110" s="21" t="n">
        <v>106.575</v>
      </c>
      <c r="NO110" s="21" t="n">
        <v>39.335</v>
      </c>
      <c r="NP110" s="21" t="n">
        <v>272.044</v>
      </c>
      <c r="NQ110" s="21" t="n">
        <v>226.194</v>
      </c>
      <c r="NR110" s="21" t="n">
        <v>284.663</v>
      </c>
      <c r="NS110" s="21" t="n">
        <v>222.371</v>
      </c>
      <c r="NT110" s="21" t="n">
        <v>285.921</v>
      </c>
      <c r="NU110" s="21" t="n">
        <v>138.271</v>
      </c>
      <c r="NV110" s="21" t="n">
        <v>153.719</v>
      </c>
      <c r="NW110" s="21" t="n">
        <v>411.301</v>
      </c>
      <c r="NX110" s="21" t="n">
        <v>85.011</v>
      </c>
      <c r="NY110" s="21" t="n">
        <v>148.526</v>
      </c>
      <c r="NZ110" s="21" t="n">
        <v>409.376</v>
      </c>
      <c r="OA110" s="21" t="n">
        <v>395.02</v>
      </c>
      <c r="OB110" s="21" t="n">
        <v>408.051</v>
      </c>
      <c r="OC110" s="21" t="n">
        <v>378.914</v>
      </c>
      <c r="OD110" s="21" t="n">
        <v>408.614</v>
      </c>
      <c r="OE110" s="21" t="n">
        <v>130.245</v>
      </c>
      <c r="OF110" s="21" t="n">
        <v>412.643</v>
      </c>
      <c r="OG110" s="21" t="n">
        <v>257.042</v>
      </c>
      <c r="OH110" s="21" t="n">
        <v>32.304</v>
      </c>
      <c r="OI110" s="21" t="n">
        <v>152.104</v>
      </c>
      <c r="OJ110" s="21" t="n">
        <v>32.4</v>
      </c>
      <c r="OK110" s="21" t="n">
        <v>10.8</v>
      </c>
    </row>
    <row r="111">
      <c r="A111" s="22" t="n">
        <v>45323</v>
      </c>
      <c r="B111" s="21" t="n">
        <v>310.326</v>
      </c>
      <c r="C111" s="21" t="n">
        <v>929.598</v>
      </c>
      <c r="D111" s="21" t="n">
        <v>325.19</v>
      </c>
      <c r="E111" s="21" t="n">
        <v>327.731</v>
      </c>
      <c r="F111" s="21" t="n">
        <v>305.469</v>
      </c>
      <c r="G111" s="21" t="n">
        <v>356.633</v>
      </c>
      <c r="H111" s="21" t="n">
        <v>286.959</v>
      </c>
      <c r="I111" s="21" t="n">
        <v>320.821</v>
      </c>
      <c r="J111" s="21" t="n">
        <v>277.211</v>
      </c>
      <c r="K111" s="21" t="n">
        <v>292.636</v>
      </c>
      <c r="L111" s="21" t="n">
        <v>193.11</v>
      </c>
      <c r="M111" s="21" t="n">
        <v>397.243</v>
      </c>
      <c r="N111" s="21" t="n">
        <v>239.121</v>
      </c>
      <c r="O111" s="21" t="n">
        <v>433.486</v>
      </c>
      <c r="P111" s="21" t="n">
        <v>466.91</v>
      </c>
      <c r="Q111" s="21" t="n">
        <v>234.251</v>
      </c>
      <c r="R111" s="21" t="n">
        <v>376.722</v>
      </c>
      <c r="S111" s="21" t="n">
        <v>392.205</v>
      </c>
      <c r="T111" s="21" t="n">
        <v>356.053</v>
      </c>
      <c r="U111" s="21" t="n">
        <v>355.072</v>
      </c>
      <c r="V111" s="21" t="n">
        <v>384.429</v>
      </c>
      <c r="W111" s="21" t="n">
        <v>429.659</v>
      </c>
      <c r="X111" s="21" t="n">
        <v>350.479</v>
      </c>
      <c r="Y111" s="21" t="n">
        <v>320.096</v>
      </c>
      <c r="Z111" s="21" t="n">
        <v>320.658</v>
      </c>
      <c r="AA111" s="21" t="n">
        <v>328.205</v>
      </c>
      <c r="AB111" s="21" t="n">
        <v>411.667</v>
      </c>
      <c r="AC111" s="21" t="n">
        <v>350.107</v>
      </c>
      <c r="AD111" s="21" t="n">
        <v>333.842</v>
      </c>
      <c r="AE111" s="21" t="n">
        <v>277.495</v>
      </c>
      <c r="AF111" s="21" t="n">
        <v>334.363</v>
      </c>
      <c r="AG111" s="21" t="n">
        <v>259.794</v>
      </c>
      <c r="AH111" s="21" t="n">
        <v>195.282</v>
      </c>
      <c r="AI111" s="21" t="n">
        <v>363.136</v>
      </c>
      <c r="AJ111" s="21" t="n">
        <v>180.886</v>
      </c>
      <c r="AK111" s="21" t="n">
        <v>245.713</v>
      </c>
      <c r="AL111" s="21" t="n">
        <v>272.93</v>
      </c>
      <c r="AM111" s="21" t="n">
        <v>233.08</v>
      </c>
      <c r="AN111" s="21" t="n">
        <v>156.691</v>
      </c>
      <c r="AO111" s="21" t="n">
        <v>288.901</v>
      </c>
      <c r="AP111" s="21" t="n">
        <v>299.121</v>
      </c>
      <c r="AQ111" s="21" t="n">
        <v>187.275</v>
      </c>
      <c r="AR111" s="21" t="n"/>
      <c r="AS111" s="21" t="n"/>
      <c r="AT111" s="21" t="n">
        <v>301.281</v>
      </c>
      <c r="AU111" s="21" t="n">
        <v>192.132</v>
      </c>
      <c r="AV111" s="21" t="n">
        <v>318.612</v>
      </c>
      <c r="AW111" s="21" t="n">
        <v>287.062</v>
      </c>
      <c r="AX111" s="21" t="n">
        <v>203.18</v>
      </c>
      <c r="AY111" s="21" t="n">
        <v>346.123</v>
      </c>
      <c r="AZ111" s="21" t="n">
        <v>219.535</v>
      </c>
      <c r="BA111" s="21" t="n">
        <v>169.497</v>
      </c>
      <c r="BB111" s="21" t="n">
        <v>247.94</v>
      </c>
      <c r="BC111" s="21" t="n">
        <v>355.372</v>
      </c>
      <c r="BD111" s="21" t="n">
        <v>313.792</v>
      </c>
      <c r="BE111" s="21" t="n">
        <v>267.334</v>
      </c>
      <c r="BF111" s="21" t="n">
        <v>174.823</v>
      </c>
      <c r="BG111" s="21" t="n">
        <v>251.102</v>
      </c>
      <c r="BH111" s="21" t="n">
        <v>181.169</v>
      </c>
      <c r="BI111" s="21" t="n">
        <v>263.416</v>
      </c>
      <c r="BJ111" s="21" t="n">
        <v>272.883</v>
      </c>
      <c r="BK111" s="21" t="n">
        <v>189.121</v>
      </c>
      <c r="BL111" s="21" t="n">
        <v>353.965</v>
      </c>
      <c r="BM111" s="21" t="n">
        <v>399.154</v>
      </c>
      <c r="BN111" s="21" t="n">
        <v>411.253</v>
      </c>
      <c r="BO111" s="21" t="n">
        <v>340.215</v>
      </c>
      <c r="BP111" s="21" t="n">
        <v>207.981</v>
      </c>
      <c r="BQ111" s="21" t="n">
        <v>288.092</v>
      </c>
      <c r="BR111" s="21" t="n">
        <v>563.705</v>
      </c>
      <c r="BS111" s="21" t="n">
        <v>145.332</v>
      </c>
      <c r="BT111" s="21" t="n">
        <v>385</v>
      </c>
      <c r="BU111" s="21" t="n">
        <v>422.773</v>
      </c>
      <c r="BV111" s="21" t="n">
        <v>385.117</v>
      </c>
      <c r="BW111" s="21" t="n">
        <v>382.323</v>
      </c>
      <c r="BX111" s="21" t="n">
        <v>382.529</v>
      </c>
      <c r="BY111" s="21" t="n">
        <v>202.23</v>
      </c>
      <c r="BZ111" s="21" t="n">
        <v>215.793</v>
      </c>
      <c r="CA111" s="21" t="n">
        <v>203.319</v>
      </c>
      <c r="CB111" s="21" t="n">
        <v>231.385</v>
      </c>
      <c r="CC111" s="21" t="n">
        <v>187.249</v>
      </c>
      <c r="CD111" s="21" t="n">
        <v>264.659</v>
      </c>
      <c r="CE111" s="21" t="n">
        <v>188.341</v>
      </c>
      <c r="CF111" s="21" t="n">
        <v>226.073</v>
      </c>
      <c r="CG111" s="21" t="n">
        <v>220.956</v>
      </c>
      <c r="CH111" s="21" t="n">
        <v>176.618</v>
      </c>
      <c r="CI111" s="21" t="n">
        <v>230.099</v>
      </c>
      <c r="CJ111" s="21" t="n">
        <v>265.151</v>
      </c>
      <c r="CK111" s="21" t="n">
        <v>156.124</v>
      </c>
      <c r="CL111" s="21" t="n">
        <v>142.235</v>
      </c>
      <c r="CM111" s="21" t="n">
        <v>233.865</v>
      </c>
      <c r="CN111" s="21" t="n">
        <v>245.65</v>
      </c>
      <c r="CO111" s="21" t="n">
        <v>216.322</v>
      </c>
      <c r="CP111" s="21" t="n">
        <v>160.669</v>
      </c>
      <c r="CQ111" s="21" t="n">
        <v>272.768</v>
      </c>
      <c r="CR111" s="21" t="n">
        <v>290.269</v>
      </c>
      <c r="CS111" s="21" t="n">
        <v>267.537</v>
      </c>
      <c r="CT111" s="21" t="n">
        <v>197.362</v>
      </c>
      <c r="CU111" s="21" t="n">
        <v>194.328</v>
      </c>
      <c r="CV111" s="21" t="n">
        <v>317.454</v>
      </c>
      <c r="CW111" s="21" t="n">
        <v>280.142</v>
      </c>
      <c r="CX111" s="21" t="n">
        <v>316.353</v>
      </c>
      <c r="CY111" s="21" t="n">
        <v>462.293</v>
      </c>
      <c r="CZ111" s="21" t="n">
        <v>176.431</v>
      </c>
      <c r="DA111" s="21" t="n">
        <v>225.876</v>
      </c>
      <c r="DB111" s="21" t="n">
        <v>195.218</v>
      </c>
      <c r="DC111" s="21" t="n">
        <v>286.597</v>
      </c>
      <c r="DD111" s="21" t="n">
        <v>311.404</v>
      </c>
      <c r="DE111" s="21" t="n">
        <v>210.301</v>
      </c>
      <c r="DF111" s="21" t="n">
        <v>311.209</v>
      </c>
      <c r="DG111" s="21" t="n">
        <v>313.344</v>
      </c>
      <c r="DH111" s="21" t="n">
        <v>193.569</v>
      </c>
      <c r="DI111" s="21" t="n">
        <v>190.418</v>
      </c>
      <c r="DJ111" s="21" t="n">
        <v>185.85</v>
      </c>
      <c r="DK111" s="21" t="n">
        <v>355.788</v>
      </c>
      <c r="DL111" s="21" t="n">
        <v>223.942</v>
      </c>
      <c r="DM111" s="21" t="n">
        <v>170.246</v>
      </c>
      <c r="DN111" s="21" t="n">
        <v>157.348</v>
      </c>
      <c r="DO111" s="21" t="n">
        <v>363.596</v>
      </c>
      <c r="DP111" s="21" t="n">
        <v>223.137</v>
      </c>
      <c r="DQ111" s="21" t="n">
        <v>239.869</v>
      </c>
      <c r="DR111" s="21" t="n">
        <v>199.201</v>
      </c>
      <c r="DS111" s="21" t="n">
        <v>196.024</v>
      </c>
      <c r="DT111" s="21" t="n">
        <v>227.812</v>
      </c>
      <c r="DU111" s="21" t="n">
        <v>239.705</v>
      </c>
      <c r="DV111" s="21" t="n">
        <v>289.22</v>
      </c>
      <c r="DW111" s="21" t="n">
        <v>229.53</v>
      </c>
      <c r="DX111" s="21" t="n">
        <v>273.946</v>
      </c>
      <c r="DY111" s="21" t="n">
        <v>211.47</v>
      </c>
      <c r="DZ111" s="21" t="n">
        <v>225.912</v>
      </c>
      <c r="EA111" s="21" t="n">
        <v>205.961</v>
      </c>
      <c r="EB111" s="21" t="n">
        <v>183.131</v>
      </c>
      <c r="EC111" s="21" t="n">
        <v>423.368</v>
      </c>
      <c r="ED111" s="21" t="n">
        <v>207.706</v>
      </c>
      <c r="EE111" s="21" t="n">
        <v>231.304</v>
      </c>
      <c r="EF111" s="21" t="n">
        <v>234.211</v>
      </c>
      <c r="EG111" s="21" t="n">
        <v>329.704</v>
      </c>
      <c r="EH111" s="21" t="n">
        <v>393.906</v>
      </c>
      <c r="EI111" s="21" t="n">
        <v>413.695</v>
      </c>
      <c r="EJ111" s="21" t="n">
        <v>183.811</v>
      </c>
      <c r="EK111" s="21" t="n">
        <v>634.273</v>
      </c>
      <c r="EL111" s="21" t="n">
        <v>376.645</v>
      </c>
      <c r="EM111" s="21" t="n">
        <v>404.656</v>
      </c>
      <c r="EN111" s="21" t="n">
        <v>404.709</v>
      </c>
      <c r="EO111" s="21" t="n">
        <v>157.314</v>
      </c>
      <c r="EP111" s="21" t="n">
        <v>314.229</v>
      </c>
      <c r="EQ111" s="21" t="n">
        <v>263.961</v>
      </c>
      <c r="ER111" s="21" t="n">
        <v>390.851</v>
      </c>
      <c r="ES111" s="21" t="n">
        <v>396.859</v>
      </c>
      <c r="ET111" s="21" t="n">
        <v>447.305</v>
      </c>
      <c r="EU111" s="21" t="n">
        <v>267.662</v>
      </c>
      <c r="EV111" s="21" t="n">
        <v>276.384</v>
      </c>
      <c r="EW111" s="21" t="n">
        <v>236.218</v>
      </c>
      <c r="EX111" s="21" t="n">
        <v>298.751</v>
      </c>
      <c r="EY111" s="21" t="n">
        <v>684.121</v>
      </c>
      <c r="EZ111" s="21" t="n">
        <v>610.551</v>
      </c>
      <c r="FA111" s="21" t="n">
        <v>147.915</v>
      </c>
      <c r="FB111" s="21" t="n">
        <v>60.9</v>
      </c>
      <c r="FC111" s="21" t="n">
        <v>135.495</v>
      </c>
      <c r="FD111" s="21" t="n">
        <v>78.483</v>
      </c>
      <c r="FE111" s="21" t="n">
        <v>41.409</v>
      </c>
      <c r="FF111" s="21" t="n">
        <v>132.767</v>
      </c>
      <c r="FG111" s="21" t="n">
        <v>145.451</v>
      </c>
      <c r="FH111" s="21" t="n">
        <v>105.745</v>
      </c>
      <c r="FI111" s="21" t="n">
        <v>81.03100000000001</v>
      </c>
      <c r="FJ111" s="21" t="n"/>
      <c r="FK111" s="21" t="n">
        <v>85.69199999999999</v>
      </c>
      <c r="FL111" s="21" t="n">
        <v>91.012</v>
      </c>
      <c r="FM111" s="21" t="n">
        <v>102.364</v>
      </c>
      <c r="FN111" s="21" t="n">
        <v>75.21299999999999</v>
      </c>
      <c r="FO111" s="21" t="n">
        <v>55.017</v>
      </c>
      <c r="FP111" s="21" t="n">
        <v>39.709</v>
      </c>
      <c r="FQ111" s="21" t="n">
        <v>163.44</v>
      </c>
      <c r="FR111" s="21" t="n">
        <v>48.373</v>
      </c>
      <c r="FS111" s="21" t="n">
        <v>81.286</v>
      </c>
      <c r="FT111" s="21" t="n">
        <v>111.366</v>
      </c>
      <c r="FU111" s="21" t="n">
        <v>121.023</v>
      </c>
      <c r="FV111" s="21" t="n">
        <v>107.533</v>
      </c>
      <c r="FW111" s="21" t="n">
        <v>234.665</v>
      </c>
      <c r="FX111" s="21" t="n">
        <v>148.494</v>
      </c>
      <c r="FY111" s="21" t="n">
        <v>232.813</v>
      </c>
      <c r="FZ111" s="21" t="n">
        <v>140.698</v>
      </c>
      <c r="GA111" s="21" t="n">
        <v>250.384</v>
      </c>
      <c r="GB111" s="21" t="n">
        <v>223.921</v>
      </c>
      <c r="GC111" s="21" t="n"/>
      <c r="GD111" s="21" t="n">
        <v>194.799</v>
      </c>
      <c r="GE111" s="21" t="n"/>
      <c r="GF111" s="21" t="n">
        <v>131.985</v>
      </c>
      <c r="GG111" s="21" t="n">
        <v>131.072</v>
      </c>
      <c r="GH111" s="21" t="n">
        <v>134.829</v>
      </c>
      <c r="GI111" s="21" t="n">
        <v>102.154</v>
      </c>
      <c r="GJ111" s="21" t="n">
        <v>187.295</v>
      </c>
      <c r="GK111" s="21" t="n">
        <v>84.658</v>
      </c>
      <c r="GL111" s="21" t="n">
        <v>137.833</v>
      </c>
      <c r="GM111" s="21" t="n">
        <v>116.09</v>
      </c>
      <c r="GN111" s="21" t="n">
        <v>109.613</v>
      </c>
      <c r="GO111" s="21" t="n">
        <v>111.006</v>
      </c>
      <c r="GP111" s="21" t="n">
        <v>100.637</v>
      </c>
      <c r="GQ111" s="21" t="n">
        <v>104.998</v>
      </c>
      <c r="GR111" s="21" t="n">
        <v>76.791</v>
      </c>
      <c r="GS111" s="21" t="n">
        <v>111.93</v>
      </c>
      <c r="GT111" s="21" t="n">
        <v>103.55</v>
      </c>
      <c r="GU111" s="21" t="n">
        <v>146.782</v>
      </c>
      <c r="GV111" s="21" t="n">
        <v>151.822</v>
      </c>
      <c r="GW111" s="21" t="n">
        <v>165.879</v>
      </c>
      <c r="GX111" s="21" t="n">
        <v>133.912</v>
      </c>
      <c r="GY111" s="21" t="n">
        <v>130.717</v>
      </c>
      <c r="GZ111" s="21" t="n">
        <v>190.522</v>
      </c>
      <c r="HA111" s="21" t="n">
        <v>156.819</v>
      </c>
      <c r="HB111" s="21" t="n">
        <v>187.54</v>
      </c>
      <c r="HC111" s="21" t="n">
        <v>266.638</v>
      </c>
      <c r="HD111" s="21" t="n">
        <v>265.965</v>
      </c>
      <c r="HE111" s="21" t="n">
        <v>124.762</v>
      </c>
      <c r="HF111" s="21" t="n">
        <v>178.592</v>
      </c>
      <c r="HG111" s="21" t="n"/>
      <c r="HH111" s="21" t="n">
        <v>173.704</v>
      </c>
      <c r="HI111" s="21" t="n">
        <v>190.493</v>
      </c>
      <c r="HJ111" s="21" t="n"/>
      <c r="HK111" s="21" t="n">
        <v>180.006</v>
      </c>
      <c r="HL111" s="21" t="n"/>
      <c r="HM111" s="21" t="n">
        <v>156.097</v>
      </c>
      <c r="HN111" s="21" t="n">
        <v>289.546</v>
      </c>
      <c r="HO111" s="21" t="n">
        <v>287.943</v>
      </c>
      <c r="HP111" s="21" t="n">
        <v>281.198</v>
      </c>
      <c r="HQ111" s="21" t="n">
        <v>317.008</v>
      </c>
      <c r="HR111" s="21" t="n">
        <v>312.168</v>
      </c>
      <c r="HS111" s="21" t="n">
        <v>295.463</v>
      </c>
      <c r="HT111" s="21" t="n">
        <v>180.048</v>
      </c>
      <c r="HU111" s="21" t="n">
        <v>152.526</v>
      </c>
      <c r="HV111" s="21" t="n">
        <v>218.434</v>
      </c>
      <c r="HW111" s="21" t="n">
        <v>203.516</v>
      </c>
      <c r="HX111" s="21" t="n">
        <v>485.911</v>
      </c>
      <c r="HY111" s="21" t="n">
        <v>397.541</v>
      </c>
      <c r="HZ111" s="21" t="n">
        <v>417.467</v>
      </c>
      <c r="IA111" s="21" t="n">
        <v>343.3</v>
      </c>
      <c r="IB111" s="21" t="n">
        <v>260.258</v>
      </c>
      <c r="IC111" s="21" t="n">
        <v>806.444</v>
      </c>
      <c r="ID111" s="21" t="n">
        <v>210.849</v>
      </c>
      <c r="IE111" s="21" t="n">
        <v>196.045</v>
      </c>
      <c r="IF111" s="21" t="n">
        <v>234.091</v>
      </c>
      <c r="IG111" s="21" t="n">
        <v>271.942</v>
      </c>
      <c r="IH111" s="21" t="n"/>
      <c r="II111" s="21" t="n">
        <v>262.734</v>
      </c>
      <c r="IJ111" s="21" t="n">
        <v>263.952</v>
      </c>
      <c r="IK111" s="21" t="n">
        <v>151.489</v>
      </c>
      <c r="IL111" s="21" t="n"/>
      <c r="IM111" s="21" t="n"/>
      <c r="IN111" s="21" t="n">
        <v>66.029</v>
      </c>
      <c r="IO111" s="21" t="n">
        <v>336.597</v>
      </c>
      <c r="IP111" s="21" t="n">
        <v>131.131</v>
      </c>
      <c r="IQ111" s="21" t="n">
        <v>557.236</v>
      </c>
      <c r="IR111" s="21" t="n">
        <v>408.246</v>
      </c>
      <c r="IS111" s="21" t="n">
        <v>133.41</v>
      </c>
      <c r="IT111" s="21" t="n">
        <v>547.682</v>
      </c>
      <c r="IU111" s="21" t="n">
        <v>110.902</v>
      </c>
      <c r="IV111" s="21" t="n">
        <v>109.723</v>
      </c>
      <c r="IW111" s="21" t="n">
        <v>605.162</v>
      </c>
      <c r="IX111" s="21" t="n">
        <v>424.859</v>
      </c>
      <c r="IY111" s="21" t="n">
        <v>414.702</v>
      </c>
      <c r="IZ111" s="21" t="n">
        <v>594.116</v>
      </c>
      <c r="JA111" s="21" t="n">
        <v>205.819</v>
      </c>
      <c r="JB111" s="21" t="n">
        <v>260.056</v>
      </c>
      <c r="JC111" s="21" t="n">
        <v>97.425</v>
      </c>
      <c r="JD111" s="21" t="n">
        <v>408.345</v>
      </c>
      <c r="JE111" s="21" t="n">
        <v>392.757</v>
      </c>
      <c r="JF111" s="21" t="n">
        <v>900.466</v>
      </c>
      <c r="JG111" s="21" t="n">
        <v>284.282</v>
      </c>
      <c r="JH111" s="21" t="n">
        <v>162.583</v>
      </c>
      <c r="JI111" s="21" t="n">
        <v>140.498</v>
      </c>
      <c r="JJ111" s="21" t="n">
        <v>138.322</v>
      </c>
      <c r="JK111" s="21" t="n">
        <v>118.019</v>
      </c>
      <c r="JL111" s="21" t="n">
        <v>107.548</v>
      </c>
      <c r="JM111" s="21" t="n">
        <v>585.862</v>
      </c>
      <c r="JN111" s="21" t="n">
        <v>107.504</v>
      </c>
      <c r="JO111" s="21" t="n">
        <v>73.261</v>
      </c>
      <c r="JP111" s="21" t="n">
        <v>37.954</v>
      </c>
      <c r="JQ111" s="21" t="n">
        <v>156.1</v>
      </c>
      <c r="JR111" s="21" t="n">
        <v>25.289</v>
      </c>
      <c r="JS111" s="21" t="n">
        <v>83.32599999999999</v>
      </c>
      <c r="JT111" s="21" t="n">
        <v>221.316</v>
      </c>
      <c r="JU111" s="21" t="n">
        <v>240.859</v>
      </c>
      <c r="JV111" s="21" t="n">
        <v>190.158</v>
      </c>
      <c r="JW111" s="21" t="n">
        <v>131.658</v>
      </c>
      <c r="JX111" s="21" t="n">
        <v>335.931</v>
      </c>
      <c r="JY111" s="21" t="n">
        <v>247.776</v>
      </c>
      <c r="JZ111" s="21" t="n">
        <v>358.833</v>
      </c>
      <c r="KA111" s="21" t="n">
        <v>126.554</v>
      </c>
      <c r="KB111" s="21" t="n">
        <v>175.512</v>
      </c>
      <c r="KC111" s="21" t="n">
        <v>85.797</v>
      </c>
      <c r="KD111" s="21" t="n">
        <v>87.048</v>
      </c>
      <c r="KE111" s="21" t="n">
        <v>68.495</v>
      </c>
      <c r="KF111" s="21" t="n"/>
      <c r="KG111" s="21" t="n">
        <v>28.316</v>
      </c>
      <c r="KH111" s="21" t="n">
        <v>136.833</v>
      </c>
      <c r="KI111" s="21" t="n"/>
      <c r="KJ111" s="21" t="n"/>
      <c r="KK111" s="21" t="n">
        <v>33.532</v>
      </c>
      <c r="KL111" s="21" t="n">
        <v>28.399</v>
      </c>
      <c r="KM111" s="21" t="n">
        <v>38.237</v>
      </c>
      <c r="KN111" s="21" t="n"/>
      <c r="KO111" s="21" t="n">
        <v>108.454</v>
      </c>
      <c r="KP111" s="21" t="n">
        <v>120.125</v>
      </c>
      <c r="KQ111" s="21" t="n">
        <v>200.644</v>
      </c>
      <c r="KR111" s="21" t="n">
        <v>161.636</v>
      </c>
      <c r="KS111" s="21" t="n">
        <v>468.42</v>
      </c>
      <c r="KT111" s="21" t="n">
        <v>226.238</v>
      </c>
      <c r="KU111" s="21" t="n">
        <v>266.599</v>
      </c>
      <c r="KV111" s="21" t="n">
        <v>389.429</v>
      </c>
      <c r="KW111" s="21" t="n">
        <v>284.522</v>
      </c>
      <c r="KX111" s="21" t="n">
        <v>226.415</v>
      </c>
      <c r="KY111" s="21" t="n">
        <v>95.536</v>
      </c>
      <c r="KZ111" s="21" t="n">
        <v>145.966</v>
      </c>
      <c r="LA111" s="21" t="n">
        <v>295.488</v>
      </c>
      <c r="LB111" s="21" t="n">
        <v>692.835</v>
      </c>
      <c r="LC111" s="21" t="n">
        <v>234.765</v>
      </c>
      <c r="LD111" s="21" t="n">
        <v>851.283</v>
      </c>
      <c r="LE111" s="21" t="n">
        <v>927.649</v>
      </c>
      <c r="LF111" s="21" t="n">
        <v>95.51600000000001</v>
      </c>
      <c r="LG111" s="21" t="n">
        <v>361.836</v>
      </c>
      <c r="LH111" s="21" t="n">
        <v>274.139</v>
      </c>
      <c r="LI111" s="21" t="n">
        <v>74.967</v>
      </c>
      <c r="LJ111" s="21" t="n">
        <v>241.03</v>
      </c>
      <c r="LK111" s="21" t="n">
        <v>373.561</v>
      </c>
      <c r="LL111" s="21" t="n">
        <v>434.822</v>
      </c>
      <c r="LM111" s="21" t="n">
        <v>70.539</v>
      </c>
      <c r="LN111" s="21" t="n">
        <v>94.66</v>
      </c>
      <c r="LO111" s="21" t="n">
        <v>47.08</v>
      </c>
      <c r="LP111" s="21" t="n">
        <v>156.802</v>
      </c>
      <c r="LQ111" s="21" t="n"/>
      <c r="LR111" s="21" t="n"/>
      <c r="LS111" s="21" t="n">
        <v>105.639</v>
      </c>
      <c r="LT111" s="21" t="n">
        <v>36.695</v>
      </c>
      <c r="LU111" s="21" t="n">
        <v>23.688</v>
      </c>
      <c r="LV111" s="21" t="n">
        <v>86.434</v>
      </c>
      <c r="LW111" s="21" t="n">
        <v>110.353</v>
      </c>
      <c r="LX111" s="21" t="n">
        <v>46.478</v>
      </c>
      <c r="LY111" s="21" t="n">
        <v>551.15</v>
      </c>
      <c r="LZ111" s="21" t="n">
        <v>94.771</v>
      </c>
      <c r="MA111" s="21" t="n">
        <v>623.95</v>
      </c>
      <c r="MB111" s="21" t="n">
        <v>342.26</v>
      </c>
      <c r="MC111" s="21" t="n">
        <v>279.122</v>
      </c>
      <c r="MD111" s="21" t="n">
        <v>179.311</v>
      </c>
      <c r="ME111" s="21" t="n">
        <v>121.531</v>
      </c>
      <c r="MF111" s="21" t="n">
        <v>191.222</v>
      </c>
      <c r="MG111" s="21" t="n">
        <v>337.358</v>
      </c>
      <c r="MH111" s="21" t="n">
        <v>205.843</v>
      </c>
      <c r="MI111" s="21" t="n">
        <v>543.14</v>
      </c>
      <c r="MJ111" s="21" t="n"/>
      <c r="MK111" s="21" t="n">
        <v>389.61</v>
      </c>
      <c r="ML111" s="21" t="n">
        <v>224.273</v>
      </c>
      <c r="MM111" s="21" t="n">
        <v>264.119</v>
      </c>
      <c r="MN111" s="21" t="n">
        <v>435.381</v>
      </c>
      <c r="MO111" s="21" t="n">
        <v>184.205</v>
      </c>
      <c r="MP111" s="21" t="n">
        <v>339.253</v>
      </c>
      <c r="MQ111" s="21" t="n">
        <v>88.297</v>
      </c>
      <c r="MR111" s="21" t="n">
        <v>200.229</v>
      </c>
      <c r="MS111" s="21" t="n"/>
      <c r="MT111" s="21" t="n">
        <v>298.395</v>
      </c>
      <c r="MU111" s="21" t="n">
        <v>316.361</v>
      </c>
      <c r="MV111" s="21" t="n">
        <v>307.628</v>
      </c>
      <c r="MW111" s="21" t="n">
        <v>315.419</v>
      </c>
      <c r="MX111" s="21" t="n">
        <v>281.119</v>
      </c>
      <c r="MY111" s="21" t="n">
        <v>269.695</v>
      </c>
      <c r="MZ111" s="21" t="n">
        <v>272.011</v>
      </c>
      <c r="NA111" s="21" t="n">
        <v>277.195</v>
      </c>
      <c r="NB111" s="21" t="n">
        <v>123.686</v>
      </c>
      <c r="NC111" s="21" t="n">
        <v>222.289</v>
      </c>
      <c r="ND111" s="21" t="n">
        <v>178.043</v>
      </c>
      <c r="NE111" s="21" t="n">
        <v>174.276</v>
      </c>
      <c r="NF111" s="21" t="n">
        <v>165.752</v>
      </c>
      <c r="NG111" s="21" t="n">
        <v>164.21</v>
      </c>
      <c r="NH111" s="21" t="n">
        <v>315.828</v>
      </c>
      <c r="NI111" s="21" t="n">
        <v>123.847</v>
      </c>
      <c r="NJ111" s="21" t="n">
        <v>57.033</v>
      </c>
      <c r="NK111" s="21" t="n">
        <v>122.072</v>
      </c>
      <c r="NL111" s="21" t="n">
        <v>276.331</v>
      </c>
      <c r="NM111" s="21" t="n">
        <v>296.368</v>
      </c>
      <c r="NN111" s="21" t="n">
        <v>106.599</v>
      </c>
      <c r="NO111" s="21" t="n">
        <v>39.417</v>
      </c>
      <c r="NP111" s="21" t="n">
        <v>274.73</v>
      </c>
      <c r="NQ111" s="21" t="n">
        <v>230.623</v>
      </c>
      <c r="NR111" s="21" t="n">
        <v>289.326</v>
      </c>
      <c r="NS111" s="21" t="n">
        <v>227.029</v>
      </c>
      <c r="NT111" s="21" t="n">
        <v>291.019</v>
      </c>
      <c r="NU111" s="21" t="n">
        <v>139.236</v>
      </c>
      <c r="NV111" s="21" t="n">
        <v>152.762</v>
      </c>
      <c r="NW111" s="21" t="n">
        <v>412.674</v>
      </c>
      <c r="NX111" s="21" t="n">
        <v>85.006</v>
      </c>
      <c r="NY111" s="21" t="n">
        <v>149.448</v>
      </c>
      <c r="NZ111" s="21" t="n">
        <v>411.505</v>
      </c>
      <c r="OA111" s="21" t="n">
        <v>397.225</v>
      </c>
      <c r="OB111" s="21" t="n">
        <v>410.432</v>
      </c>
      <c r="OC111" s="21" t="n">
        <v>381.276</v>
      </c>
      <c r="OD111" s="21" t="n">
        <v>411.089</v>
      </c>
      <c r="OE111" s="21" t="n">
        <v>130.369</v>
      </c>
      <c r="OF111" s="21" t="n">
        <v>420.85</v>
      </c>
      <c r="OG111" s="21" t="n">
        <v>259.117</v>
      </c>
      <c r="OH111" s="21" t="n">
        <v>32.802</v>
      </c>
      <c r="OI111" s="21" t="n">
        <v>153.773</v>
      </c>
      <c r="OJ111" s="21" t="n">
        <v>32.2</v>
      </c>
      <c r="OK111" s="21" t="n">
        <v>10.8</v>
      </c>
    </row>
    <row r="112">
      <c r="A112" s="22" t="n">
        <v>45352</v>
      </c>
      <c r="B112" s="21" t="n">
        <v>312.332</v>
      </c>
      <c r="C112" s="21" t="n">
        <v>935.609</v>
      </c>
      <c r="D112" s="21" t="n">
        <v>325.491</v>
      </c>
      <c r="E112" s="21" t="n">
        <v>328.043</v>
      </c>
      <c r="F112" s="21" t="n">
        <v>305.426</v>
      </c>
      <c r="G112" s="21" t="n">
        <v>354.666</v>
      </c>
      <c r="H112" s="21" t="n">
        <v>284.879</v>
      </c>
      <c r="I112" s="21" t="n">
        <v>320.125</v>
      </c>
      <c r="J112" s="21" t="n">
        <v>272.853</v>
      </c>
      <c r="K112" s="21" t="n">
        <v>292.16</v>
      </c>
      <c r="L112" s="21" t="n">
        <v>194.25</v>
      </c>
      <c r="M112" s="21" t="n">
        <v>395.341</v>
      </c>
      <c r="N112" s="21" t="n">
        <v>236.944</v>
      </c>
      <c r="O112" s="21" t="n">
        <v>431.268</v>
      </c>
      <c r="P112" s="21" t="n">
        <v>458.978</v>
      </c>
      <c r="Q112" s="21" t="n">
        <v>235.333</v>
      </c>
      <c r="R112" s="21" t="n">
        <v>372.93</v>
      </c>
      <c r="S112" s="21" t="n">
        <v>391.899</v>
      </c>
      <c r="T112" s="21" t="n">
        <v>351.627</v>
      </c>
      <c r="U112" s="21" t="n">
        <v>354.561</v>
      </c>
      <c r="V112" s="21" t="n">
        <v>385.004</v>
      </c>
      <c r="W112" s="21" t="n">
        <v>429.93</v>
      </c>
      <c r="X112" s="21" t="n">
        <v>346.429</v>
      </c>
      <c r="Y112" s="21" t="n">
        <v>322.589</v>
      </c>
      <c r="Z112" s="21" t="n">
        <v>323.322</v>
      </c>
      <c r="AA112" s="21" t="n">
        <v>330.732</v>
      </c>
      <c r="AB112" s="21" t="n">
        <v>414.602</v>
      </c>
      <c r="AC112" s="21" t="n">
        <v>352.629</v>
      </c>
      <c r="AD112" s="21" t="n">
        <v>335.995</v>
      </c>
      <c r="AE112" s="21" t="n">
        <v>279.194</v>
      </c>
      <c r="AF112" s="21" t="n">
        <v>338.186</v>
      </c>
      <c r="AG112" s="21" t="n">
        <v>262.888</v>
      </c>
      <c r="AH112" s="21" t="n">
        <v>196.575</v>
      </c>
      <c r="AI112" s="21" t="n">
        <v>366.302</v>
      </c>
      <c r="AJ112" s="21" t="n">
        <v>181.393</v>
      </c>
      <c r="AK112" s="21" t="n">
        <v>243.04</v>
      </c>
      <c r="AL112" s="21" t="n">
        <v>269.53</v>
      </c>
      <c r="AM112" s="21" t="n">
        <v>240.746</v>
      </c>
      <c r="AN112" s="21" t="n">
        <v>161.179</v>
      </c>
      <c r="AO112" s="21" t="n">
        <v>289.812</v>
      </c>
      <c r="AP112" s="21" t="n">
        <v>308.936</v>
      </c>
      <c r="AQ112" s="21" t="n">
        <v>188.397</v>
      </c>
      <c r="AR112" s="21" t="n"/>
      <c r="AS112" s="21" t="n"/>
      <c r="AT112" s="21" t="n">
        <v>305.746</v>
      </c>
      <c r="AU112" s="21" t="n">
        <v>195.597</v>
      </c>
      <c r="AV112" s="21" t="n">
        <v>325.614</v>
      </c>
      <c r="AW112" s="21" t="n">
        <v>291.482</v>
      </c>
      <c r="AX112" s="21" t="n">
        <v>203.511</v>
      </c>
      <c r="AY112" s="21" t="n">
        <v>347.077</v>
      </c>
      <c r="AZ112" s="21" t="n">
        <v>219.688</v>
      </c>
      <c r="BA112" s="21" t="n">
        <v>170.289</v>
      </c>
      <c r="BB112" s="21" t="n">
        <v>244.138</v>
      </c>
      <c r="BC112" s="21" t="n">
        <v>357.958</v>
      </c>
      <c r="BD112" s="21" t="n">
        <v>314.27</v>
      </c>
      <c r="BE112" s="21" t="n">
        <v>266.274</v>
      </c>
      <c r="BF112" s="21" t="n">
        <v>174.122</v>
      </c>
      <c r="BG112" s="21" t="n">
        <v>249.889</v>
      </c>
      <c r="BH112" s="21" t="n">
        <v>180.548</v>
      </c>
      <c r="BI112" s="21" t="n">
        <v>262.534</v>
      </c>
      <c r="BJ112" s="21" t="n">
        <v>270.936</v>
      </c>
      <c r="BK112" s="21" t="n">
        <v>188.541</v>
      </c>
      <c r="BL112" s="21" t="n">
        <v>352.841</v>
      </c>
      <c r="BM112" s="21" t="n">
        <v>397.096</v>
      </c>
      <c r="BN112" s="21" t="n">
        <v>409.391</v>
      </c>
      <c r="BO112" s="21" t="n">
        <v>338.499</v>
      </c>
      <c r="BP112" s="21" t="n">
        <v>209.329</v>
      </c>
      <c r="BQ112" s="21" t="n">
        <v>289.583</v>
      </c>
      <c r="BR112" s="21" t="n">
        <v>561.427</v>
      </c>
      <c r="BS112" s="21" t="n">
        <v>143.302</v>
      </c>
      <c r="BT112" s="21" t="n">
        <v>382.744</v>
      </c>
      <c r="BU112" s="21" t="n">
        <v>424.479</v>
      </c>
      <c r="BV112" s="21" t="n">
        <v>409.464</v>
      </c>
      <c r="BW112" s="21" t="n">
        <v>368.78</v>
      </c>
      <c r="BX112" s="21" t="n">
        <v>376.849</v>
      </c>
      <c r="BY112" s="21" t="n">
        <v>202.852</v>
      </c>
      <c r="BZ112" s="21" t="n">
        <v>216.778</v>
      </c>
      <c r="CA112" s="21" t="n">
        <v>203.752</v>
      </c>
      <c r="CB112" s="21" t="n">
        <v>233.469</v>
      </c>
      <c r="CC112" s="21" t="n">
        <v>186.542</v>
      </c>
      <c r="CD112" s="21" t="n">
        <v>264.553</v>
      </c>
      <c r="CE112" s="21" t="n">
        <v>190.215</v>
      </c>
      <c r="CF112" s="21" t="n">
        <v>226.819</v>
      </c>
      <c r="CG112" s="21" t="n">
        <v>221.423</v>
      </c>
      <c r="CH112" s="21" t="n">
        <v>177.498</v>
      </c>
      <c r="CI112" s="21" t="n">
        <v>230.855</v>
      </c>
      <c r="CJ112" s="21" t="n">
        <v>264.952</v>
      </c>
      <c r="CK112" s="21" t="n">
        <v>157.144</v>
      </c>
      <c r="CL112" s="21" t="n">
        <v>141.529</v>
      </c>
      <c r="CM112" s="21" t="n">
        <v>234.126</v>
      </c>
      <c r="CN112" s="21" t="n">
        <v>247.818</v>
      </c>
      <c r="CO112" s="21" t="n">
        <v>211.411</v>
      </c>
      <c r="CP112" s="21" t="n">
        <v>158.268</v>
      </c>
      <c r="CQ112" s="21" t="n">
        <v>272.352</v>
      </c>
      <c r="CR112" s="21" t="n">
        <v>287.958</v>
      </c>
      <c r="CS112" s="21" t="n">
        <v>265.469</v>
      </c>
      <c r="CT112" s="21" t="n">
        <v>194.926</v>
      </c>
      <c r="CU112" s="21" t="n">
        <v>195.418</v>
      </c>
      <c r="CV112" s="21" t="n">
        <v>313.42</v>
      </c>
      <c r="CW112" s="21" t="n">
        <v>272.985</v>
      </c>
      <c r="CX112" s="21" t="n">
        <v>304.248</v>
      </c>
      <c r="CY112" s="21" t="n">
        <v>460.251</v>
      </c>
      <c r="CZ112" s="21" t="n">
        <v>174.265</v>
      </c>
      <c r="DA112" s="21" t="n">
        <v>224.864</v>
      </c>
      <c r="DB112" s="21" t="n">
        <v>190.492</v>
      </c>
      <c r="DC112" s="21" t="n">
        <v>286.99</v>
      </c>
      <c r="DD112" s="21" t="n">
        <v>312.017</v>
      </c>
      <c r="DE112" s="21" t="n">
        <v>212.892</v>
      </c>
      <c r="DF112" s="21" t="n">
        <v>313.274</v>
      </c>
      <c r="DG112" s="21" t="n">
        <v>311.519</v>
      </c>
      <c r="DH112" s="21" t="n">
        <v>191.308</v>
      </c>
      <c r="DI112" s="21" t="n">
        <v>191.163</v>
      </c>
      <c r="DJ112" s="21" t="n">
        <v>185.222</v>
      </c>
      <c r="DK112" s="21" t="n">
        <v>360.012</v>
      </c>
      <c r="DL112" s="21" t="n">
        <v>225.451</v>
      </c>
      <c r="DM112" s="21" t="n">
        <v>169.71</v>
      </c>
      <c r="DN112" s="21" t="n">
        <v>157.95</v>
      </c>
      <c r="DO112" s="21" t="n">
        <v>364.546</v>
      </c>
      <c r="DP112" s="21" t="n">
        <v>223.589</v>
      </c>
      <c r="DQ112" s="21" t="n">
        <v>240.587</v>
      </c>
      <c r="DR112" s="21" t="n">
        <v>199.838</v>
      </c>
      <c r="DS112" s="21" t="n">
        <v>196.026</v>
      </c>
      <c r="DT112" s="21" t="n">
        <v>226.384</v>
      </c>
      <c r="DU112" s="21" t="n">
        <v>241.155</v>
      </c>
      <c r="DV112" s="21" t="n">
        <v>289.36</v>
      </c>
      <c r="DW112" s="21" t="n">
        <v>229.101</v>
      </c>
      <c r="DX112" s="21" t="n">
        <v>273.274</v>
      </c>
      <c r="DY112" s="21" t="n">
        <v>211.136</v>
      </c>
      <c r="DZ112" s="21" t="n">
        <v>223.575</v>
      </c>
      <c r="EA112" s="21" t="n">
        <v>206.677</v>
      </c>
      <c r="EB112" s="21" t="n">
        <v>182.858</v>
      </c>
      <c r="EC112" s="21" t="n">
        <v>424.86</v>
      </c>
      <c r="ED112" s="21" t="n">
        <v>208.54</v>
      </c>
      <c r="EE112" s="21" t="n">
        <v>231.628</v>
      </c>
      <c r="EF112" s="21" t="n">
        <v>235.735</v>
      </c>
      <c r="EG112" s="21" t="n">
        <v>331.247</v>
      </c>
      <c r="EH112" s="21" t="n">
        <v>396.174</v>
      </c>
      <c r="EI112" s="21" t="n">
        <v>415.219</v>
      </c>
      <c r="EJ112" s="21" t="n">
        <v>194.039</v>
      </c>
      <c r="EK112" s="21" t="n">
        <v>634.349</v>
      </c>
      <c r="EL112" s="21" t="n">
        <v>401.913</v>
      </c>
      <c r="EM112" s="21" t="n">
        <v>406.155</v>
      </c>
      <c r="EN112" s="21" t="n">
        <v>406.206</v>
      </c>
      <c r="EO112" s="21" t="n">
        <v>158.11</v>
      </c>
      <c r="EP112" s="21" t="n">
        <v>314.168</v>
      </c>
      <c r="EQ112" s="21" t="n">
        <v>263.767</v>
      </c>
      <c r="ER112" s="21" t="n">
        <v>385.284</v>
      </c>
      <c r="ES112" s="21" t="n">
        <v>388.191</v>
      </c>
      <c r="ET112" s="21" t="n">
        <v>444.288</v>
      </c>
      <c r="EU112" s="21" t="n">
        <v>267.658</v>
      </c>
      <c r="EV112" s="21" t="n">
        <v>278.233</v>
      </c>
      <c r="EW112" s="21" t="n">
        <v>230.601</v>
      </c>
      <c r="EX112" s="21" t="n">
        <v>299.183</v>
      </c>
      <c r="EY112" s="21" t="n">
        <v>685.789</v>
      </c>
      <c r="EZ112" s="21" t="n">
        <v>610.015</v>
      </c>
      <c r="FA112" s="21" t="n">
        <v>148.038</v>
      </c>
      <c r="FB112" s="21" t="n">
        <v>61.459</v>
      </c>
      <c r="FC112" s="21" t="n">
        <v>134.293</v>
      </c>
      <c r="FD112" s="21" t="n">
        <v>80.55200000000001</v>
      </c>
      <c r="FE112" s="21" t="n">
        <v>41.802</v>
      </c>
      <c r="FF112" s="21" t="n">
        <v>133.108</v>
      </c>
      <c r="FG112" s="21" t="n">
        <v>145.588</v>
      </c>
      <c r="FH112" s="21" t="n">
        <v>106.582</v>
      </c>
      <c r="FI112" s="21" t="n">
        <v>80.119</v>
      </c>
      <c r="FJ112" s="21" t="n"/>
      <c r="FK112" s="21" t="n">
        <v>85.205</v>
      </c>
      <c r="FL112" s="21" t="n">
        <v>92.979</v>
      </c>
      <c r="FM112" s="21" t="n">
        <v>101.154</v>
      </c>
      <c r="FN112" s="21" t="n">
        <v>73.861</v>
      </c>
      <c r="FO112" s="21" t="n">
        <v>54.852</v>
      </c>
      <c r="FP112" s="21" t="n">
        <v>39.595</v>
      </c>
      <c r="FQ112" s="21" t="n">
        <v>163.183</v>
      </c>
      <c r="FR112" s="21" t="n">
        <v>48.438</v>
      </c>
      <c r="FS112" s="21" t="n">
        <v>80.548</v>
      </c>
      <c r="FT112" s="21" t="n">
        <v>111.205</v>
      </c>
      <c r="FU112" s="21" t="n">
        <v>122.022</v>
      </c>
      <c r="FV112" s="21" t="n">
        <v>106.636</v>
      </c>
      <c r="FW112" s="21" t="n">
        <v>232.968</v>
      </c>
      <c r="FX112" s="21" t="n">
        <v>147.644</v>
      </c>
      <c r="FY112" s="21" t="n">
        <v>232.573</v>
      </c>
      <c r="FZ112" s="21" t="n">
        <v>139.084</v>
      </c>
      <c r="GA112" s="21" t="n">
        <v>252.465</v>
      </c>
      <c r="GB112" s="21" t="n">
        <v>225.914</v>
      </c>
      <c r="GC112" s="21" t="n"/>
      <c r="GD112" s="21" t="n">
        <v>196.233</v>
      </c>
      <c r="GE112" s="21" t="n">
        <v>383.372</v>
      </c>
      <c r="GF112" s="21" t="n">
        <v>133.64</v>
      </c>
      <c r="GG112" s="21" t="n">
        <v>129.778</v>
      </c>
      <c r="GH112" s="21" t="n">
        <v>133.413</v>
      </c>
      <c r="GI112" s="21" t="n">
        <v>98.212</v>
      </c>
      <c r="GJ112" s="21" t="n">
        <v>186.333</v>
      </c>
      <c r="GK112" s="21" t="n">
        <v>84.48999999999999</v>
      </c>
      <c r="GL112" s="21" t="n">
        <v>136.473</v>
      </c>
      <c r="GM112" s="21" t="n">
        <v>115.187</v>
      </c>
      <c r="GN112" s="21" t="n">
        <v>112.58</v>
      </c>
      <c r="GO112" s="21" t="n">
        <v>113.449</v>
      </c>
      <c r="GP112" s="21" t="n">
        <v>102.968</v>
      </c>
      <c r="GQ112" s="21" t="n">
        <v>112.073</v>
      </c>
      <c r="GR112" s="21" t="n">
        <v>77.95399999999999</v>
      </c>
      <c r="GS112" s="21" t="n">
        <v>113.294</v>
      </c>
      <c r="GT112" s="21" t="n">
        <v>110.006</v>
      </c>
      <c r="GU112" s="21" t="n">
        <v>147.887</v>
      </c>
      <c r="GV112" s="21" t="n">
        <v>153.455</v>
      </c>
      <c r="GW112" s="21" t="n">
        <v>167.566</v>
      </c>
      <c r="GX112" s="21" t="n">
        <v>134.41</v>
      </c>
      <c r="GY112" s="21" t="n">
        <v>129.244</v>
      </c>
      <c r="GZ112" s="21" t="n">
        <v>197.099</v>
      </c>
      <c r="HA112" s="21" t="n">
        <v>158.669</v>
      </c>
      <c r="HB112" s="21" t="n">
        <v>194.924</v>
      </c>
      <c r="HC112" s="21" t="n">
        <v>272.485</v>
      </c>
      <c r="HD112" s="21" t="n">
        <v>272.008</v>
      </c>
      <c r="HE112" s="21" t="n">
        <v>125.25</v>
      </c>
      <c r="HF112" s="21" t="n">
        <v>178.247</v>
      </c>
      <c r="HG112" s="21" t="n"/>
      <c r="HH112" s="21" t="n">
        <v>173.019</v>
      </c>
      <c r="HI112" s="21" t="n">
        <v>190.181</v>
      </c>
      <c r="HJ112" s="21" t="n"/>
      <c r="HK112" s="21" t="n">
        <v>180.891</v>
      </c>
      <c r="HL112" s="21" t="n">
        <v>118.946</v>
      </c>
      <c r="HM112" s="21" t="n">
        <v>165.002</v>
      </c>
      <c r="HN112" s="21" t="n">
        <v>307.684</v>
      </c>
      <c r="HO112" s="21" t="n">
        <v>306.513</v>
      </c>
      <c r="HP112" s="21" t="n">
        <v>299.972</v>
      </c>
      <c r="HQ112" s="21" t="n">
        <v>335.093</v>
      </c>
      <c r="HR112" s="21" t="n">
        <v>328.588</v>
      </c>
      <c r="HS112" s="21" t="n">
        <v>297.161</v>
      </c>
      <c r="HT112" s="21" t="n">
        <v>179.766</v>
      </c>
      <c r="HU112" s="21" t="n">
        <v>152.093</v>
      </c>
      <c r="HV112" s="21" t="n">
        <v>218.711</v>
      </c>
      <c r="HW112" s="21" t="n">
        <v>201.346</v>
      </c>
      <c r="HX112" s="21" t="n">
        <v>494.82</v>
      </c>
      <c r="HY112" s="21" t="n">
        <v>404.475</v>
      </c>
      <c r="HZ112" s="21" t="n"/>
      <c r="IA112" s="21" t="n">
        <v>345.99</v>
      </c>
      <c r="IB112" s="21" t="n">
        <v>268.199</v>
      </c>
      <c r="IC112" s="21" t="n">
        <v>827.852</v>
      </c>
      <c r="ID112" s="21" t="n">
        <v>211.189</v>
      </c>
      <c r="IE112" s="21" t="n">
        <v>196.045</v>
      </c>
      <c r="IF112" s="21" t="n">
        <v>234.947</v>
      </c>
      <c r="IG112" s="21" t="n">
        <v>273.01</v>
      </c>
      <c r="IH112" s="21" t="n"/>
      <c r="II112" s="21" t="n">
        <v>265.724</v>
      </c>
      <c r="IJ112" s="21" t="n">
        <v>266.481</v>
      </c>
      <c r="IK112" s="21" t="n">
        <v>155.738</v>
      </c>
      <c r="IL112" s="21" t="n"/>
      <c r="IM112" s="21" t="n"/>
      <c r="IN112" s="21" t="n">
        <v>66.232</v>
      </c>
      <c r="IO112" s="21" t="n">
        <v>340.495</v>
      </c>
      <c r="IP112" s="21" t="n">
        <v>131.097</v>
      </c>
      <c r="IQ112" s="21" t="n">
        <v>559.9349999999999</v>
      </c>
      <c r="IR112" s="21" t="n">
        <v>408.919</v>
      </c>
      <c r="IS112" s="21" t="n">
        <v>133.577</v>
      </c>
      <c r="IT112" s="21" t="n">
        <v>549.405</v>
      </c>
      <c r="IU112" s="21" t="n">
        <v>110.628</v>
      </c>
      <c r="IV112" s="21" t="n">
        <v>110.409</v>
      </c>
      <c r="IW112" s="21" t="n">
        <v>608.528</v>
      </c>
      <c r="IX112" s="21" t="n">
        <v>424.972</v>
      </c>
      <c r="IY112" s="21" t="n">
        <v>415.118</v>
      </c>
      <c r="IZ112" s="21" t="n">
        <v>591.249</v>
      </c>
      <c r="JA112" s="21" t="n">
        <v>205.856</v>
      </c>
      <c r="JB112" s="21" t="n">
        <v>261.658</v>
      </c>
      <c r="JC112" s="21" t="n">
        <v>98.625</v>
      </c>
      <c r="JD112" s="21" t="n">
        <v>412.365</v>
      </c>
      <c r="JE112" s="21" t="n">
        <v>395.193</v>
      </c>
      <c r="JF112" s="21" t="n">
        <v>912.152</v>
      </c>
      <c r="JG112" s="21" t="n">
        <v>283.782</v>
      </c>
      <c r="JH112" s="21" t="n">
        <v>172.185</v>
      </c>
      <c r="JI112" s="21" t="n">
        <v>142.123</v>
      </c>
      <c r="JJ112" s="21" t="n">
        <v>138.183</v>
      </c>
      <c r="JK112" s="21" t="n">
        <v>118.983</v>
      </c>
      <c r="JL112" s="21" t="n">
        <v>105.496</v>
      </c>
      <c r="JM112" s="21" t="n">
        <v>591.481</v>
      </c>
      <c r="JN112" s="21" t="n">
        <v>107.674</v>
      </c>
      <c r="JO112" s="21" t="n">
        <v>76.03</v>
      </c>
      <c r="JP112" s="21" t="n">
        <v>43.547</v>
      </c>
      <c r="JQ112" s="21" t="n">
        <v>156.638</v>
      </c>
      <c r="JR112" s="21" t="n">
        <v>24.683</v>
      </c>
      <c r="JS112" s="21" t="n">
        <v>84.88200000000001</v>
      </c>
      <c r="JT112" s="21" t="n">
        <v>223.518</v>
      </c>
      <c r="JU112" s="21" t="n">
        <v>241.732</v>
      </c>
      <c r="JV112" s="21" t="n">
        <v>191.698</v>
      </c>
      <c r="JW112" s="21" t="n">
        <v>131.164</v>
      </c>
      <c r="JX112" s="21" t="n">
        <v>342.348</v>
      </c>
      <c r="JY112" s="21" t="n">
        <v>248.564</v>
      </c>
      <c r="JZ112" s="21" t="n">
        <v>367.749</v>
      </c>
      <c r="KA112" s="21" t="n">
        <v>125.286</v>
      </c>
      <c r="KB112" s="21" t="n">
        <v>172.647</v>
      </c>
      <c r="KC112" s="21" t="n">
        <v>86</v>
      </c>
      <c r="KD112" s="21" t="n">
        <v>87.117</v>
      </c>
      <c r="KE112" s="21" t="n">
        <v>68.48</v>
      </c>
      <c r="KF112" s="21" t="n"/>
      <c r="KG112" s="21" t="n">
        <v>28.298</v>
      </c>
      <c r="KH112" s="21" t="n">
        <v>137.013</v>
      </c>
      <c r="KI112" s="21" t="n"/>
      <c r="KJ112" s="21" t="n"/>
      <c r="KK112" s="21" t="n">
        <v>33.026</v>
      </c>
      <c r="KL112" s="21" t="n">
        <v>27.89</v>
      </c>
      <c r="KM112" s="21" t="n">
        <v>37.492</v>
      </c>
      <c r="KN112" s="21" t="n"/>
      <c r="KO112" s="21" t="n">
        <v>107.089</v>
      </c>
      <c r="KP112" s="21" t="n">
        <v>121.1</v>
      </c>
      <c r="KQ112" s="21" t="n">
        <v>198.999</v>
      </c>
      <c r="KR112" s="21" t="n">
        <v>161.946</v>
      </c>
      <c r="KS112" s="21" t="n">
        <v>458.586</v>
      </c>
      <c r="KT112" s="21" t="n">
        <v>226.087</v>
      </c>
      <c r="KU112" s="21" t="n">
        <v>242.989</v>
      </c>
      <c r="KV112" s="21" t="n">
        <v>388.071</v>
      </c>
      <c r="KW112" s="21" t="n">
        <v>288.798</v>
      </c>
      <c r="KX112" s="21" t="n">
        <v>224.157</v>
      </c>
      <c r="KY112" s="21" t="n">
        <v>99.858</v>
      </c>
      <c r="KZ112" s="21" t="n">
        <v>145.822</v>
      </c>
      <c r="LA112" s="21" t="n">
        <v>295.297</v>
      </c>
      <c r="LB112" s="21" t="n">
        <v>686.679</v>
      </c>
      <c r="LC112" s="21" t="n">
        <v>233.096</v>
      </c>
      <c r="LD112" s="21" t="n">
        <v>850.973</v>
      </c>
      <c r="LE112" s="21" t="n">
        <v>927.502</v>
      </c>
      <c r="LF112" s="21" t="n">
        <v>95.554</v>
      </c>
      <c r="LG112" s="21" t="n">
        <v>361.405</v>
      </c>
      <c r="LH112" s="21" t="n">
        <v>274.605</v>
      </c>
      <c r="LI112" s="21" t="n">
        <v>74.874</v>
      </c>
      <c r="LJ112" s="21" t="n">
        <v>241.126</v>
      </c>
      <c r="LK112" s="21" t="n">
        <v>373.561</v>
      </c>
      <c r="LL112" s="21" t="n">
        <v>436.112</v>
      </c>
      <c r="LM112" s="21" t="n">
        <v>70.45</v>
      </c>
      <c r="LN112" s="21" t="n">
        <v>94.504</v>
      </c>
      <c r="LO112" s="21" t="n">
        <v>47.062</v>
      </c>
      <c r="LP112" s="21" t="n">
        <v>155.264</v>
      </c>
      <c r="LQ112" s="21" t="n"/>
      <c r="LR112" s="21" t="n"/>
      <c r="LS112" s="21" t="n">
        <v>105.539</v>
      </c>
      <c r="LT112" s="21" t="n">
        <v>36.528</v>
      </c>
      <c r="LU112" s="21" t="n">
        <v>23.936</v>
      </c>
      <c r="LV112" s="21" t="n">
        <v>87.102</v>
      </c>
      <c r="LW112" s="21" t="n">
        <v>108.359</v>
      </c>
      <c r="LX112" s="21" t="n">
        <v>46.078</v>
      </c>
      <c r="LY112" s="21" t="n">
        <v>553.6660000000001</v>
      </c>
      <c r="LZ112" s="21" t="n">
        <v>95.161</v>
      </c>
      <c r="MA112" s="21" t="n">
        <v>628.544</v>
      </c>
      <c r="MB112" s="21" t="n">
        <v>338.238</v>
      </c>
      <c r="MC112" s="21" t="n">
        <v>280.425</v>
      </c>
      <c r="MD112" s="21" t="n">
        <v>179.706</v>
      </c>
      <c r="ME112" s="21" t="n">
        <v>121.817</v>
      </c>
      <c r="MF112" s="21" t="n">
        <v>191.607</v>
      </c>
      <c r="MG112" s="21" t="n">
        <v>337.564</v>
      </c>
      <c r="MH112" s="21" t="n">
        <v>205.969</v>
      </c>
      <c r="MI112" s="21" t="n">
        <v>549.966</v>
      </c>
      <c r="MJ112" s="21" t="n">
        <v>446.314</v>
      </c>
      <c r="MK112" s="21" t="n">
        <v>395.364</v>
      </c>
      <c r="ML112" s="21" t="n">
        <v>224.083</v>
      </c>
      <c r="MM112" s="21" t="n">
        <v>269.925</v>
      </c>
      <c r="MN112" s="21" t="n">
        <v>436.668</v>
      </c>
      <c r="MO112" s="21" t="n">
        <v>186.779</v>
      </c>
      <c r="MP112" s="21" t="n">
        <v>338.584</v>
      </c>
      <c r="MQ112" s="21" t="n">
        <v>87.209</v>
      </c>
      <c r="MR112" s="21" t="n">
        <v>202.632</v>
      </c>
      <c r="MS112" s="21" t="n"/>
      <c r="MT112" s="21" t="n">
        <v>300.366</v>
      </c>
      <c r="MU112" s="21" t="n">
        <v>317.836</v>
      </c>
      <c r="MV112" s="21" t="n">
        <v>309.882</v>
      </c>
      <c r="MW112" s="21" t="n">
        <v>317.088</v>
      </c>
      <c r="MX112" s="21" t="n">
        <v>283.05</v>
      </c>
      <c r="MY112" s="21" t="n">
        <v>271.975</v>
      </c>
      <c r="MZ112" s="21" t="n">
        <v>273.345</v>
      </c>
      <c r="NA112" s="21" t="n">
        <v>278.554</v>
      </c>
      <c r="NB112" s="21" t="n">
        <v>125.399</v>
      </c>
      <c r="NC112" s="21" t="n">
        <v>223.766</v>
      </c>
      <c r="ND112" s="21" t="n">
        <v>179.838</v>
      </c>
      <c r="NE112" s="21" t="n">
        <v>176.099</v>
      </c>
      <c r="NF112" s="21" t="n">
        <v>165.875</v>
      </c>
      <c r="NG112" s="21" t="n">
        <v>164.254</v>
      </c>
      <c r="NH112" s="21" t="n">
        <v>315.615</v>
      </c>
      <c r="NI112" s="21" t="n">
        <v>123.613</v>
      </c>
      <c r="NJ112" s="21" t="n">
        <v>56.371</v>
      </c>
      <c r="NK112" s="21" t="n">
        <v>122.175</v>
      </c>
      <c r="NL112" s="21" t="n">
        <v>285.002</v>
      </c>
      <c r="NM112" s="21" t="n">
        <v>313.861</v>
      </c>
      <c r="NN112" s="21" t="n">
        <v>106.463</v>
      </c>
      <c r="NO112" s="21" t="n">
        <v>38.948</v>
      </c>
      <c r="NP112" s="21" t="n">
        <v>277.483</v>
      </c>
      <c r="NQ112" s="21" t="n">
        <v>235.242</v>
      </c>
      <c r="NR112" s="21" t="n">
        <v>295.707</v>
      </c>
      <c r="NS112" s="21" t="n">
        <v>231.906</v>
      </c>
      <c r="NT112" s="21" t="n">
        <v>298.044</v>
      </c>
      <c r="NU112" s="21" t="n">
        <v>139.405</v>
      </c>
      <c r="NV112" s="21" t="n">
        <v>153.925</v>
      </c>
      <c r="NW112" s="21" t="n">
        <v>413.562</v>
      </c>
      <c r="NX112" s="21" t="n">
        <v>84.562</v>
      </c>
      <c r="NY112" s="21" t="n">
        <v>149.692</v>
      </c>
      <c r="NZ112" s="21" t="n">
        <v>413.877</v>
      </c>
      <c r="OA112" s="21" t="n">
        <v>399.752</v>
      </c>
      <c r="OB112" s="21" t="n">
        <v>413.179</v>
      </c>
      <c r="OC112" s="21" t="n">
        <v>383.736</v>
      </c>
      <c r="OD112" s="21" t="n">
        <v>414.016</v>
      </c>
      <c r="OE112" s="21" t="n">
        <v>130.411</v>
      </c>
      <c r="OF112" s="21" t="n">
        <v>429.591</v>
      </c>
      <c r="OG112" s="21" t="n">
        <v>259.761</v>
      </c>
      <c r="OH112" s="21" t="n">
        <v>32.511</v>
      </c>
      <c r="OI112" s="21" t="n">
        <v>155.858</v>
      </c>
      <c r="OJ112" s="21" t="n">
        <v>32</v>
      </c>
      <c r="OK112" s="21" t="n">
        <v>10.7</v>
      </c>
    </row>
    <row r="113">
      <c r="A113" s="22" t="n">
        <v>45383</v>
      </c>
      <c r="B113" s="21" t="n">
        <v>313.548</v>
      </c>
      <c r="C113" s="21" t="n">
        <v>939.251</v>
      </c>
      <c r="D113" s="21" t="n">
        <v>326.107</v>
      </c>
      <c r="E113" s="21" t="n">
        <v>328.678</v>
      </c>
      <c r="F113" s="21" t="n">
        <v>305.707</v>
      </c>
      <c r="G113" s="21" t="n">
        <v>355.852</v>
      </c>
      <c r="H113" s="21" t="n">
        <v>289.964</v>
      </c>
      <c r="I113" s="21" t="n">
        <v>324.476</v>
      </c>
      <c r="J113" s="21" t="n">
        <v>281.413</v>
      </c>
      <c r="K113" s="21" t="n">
        <v>294.388</v>
      </c>
      <c r="L113" s="21" t="n">
        <v>194.991</v>
      </c>
      <c r="M113" s="21" t="n">
        <v>394.257</v>
      </c>
      <c r="N113" s="21" t="n">
        <v>236.535</v>
      </c>
      <c r="O113" s="21" t="n">
        <v>428.146</v>
      </c>
      <c r="P113" s="21" t="n">
        <v>461.076</v>
      </c>
      <c r="Q113" s="21" t="n">
        <v>231.445</v>
      </c>
      <c r="R113" s="21" t="n">
        <v>371.092</v>
      </c>
      <c r="S113" s="21" t="n">
        <v>388.95</v>
      </c>
      <c r="T113" s="21" t="n">
        <v>349.456</v>
      </c>
      <c r="U113" s="21" t="n">
        <v>356.255</v>
      </c>
      <c r="V113" s="21" t="n">
        <v>385.689</v>
      </c>
      <c r="W113" s="21" t="n">
        <v>432.471</v>
      </c>
      <c r="X113" s="21" t="n">
        <v>350.296</v>
      </c>
      <c r="Y113" s="21" t="n">
        <v>322.323</v>
      </c>
      <c r="Z113" s="21" t="n">
        <v>324.061</v>
      </c>
      <c r="AA113" s="21" t="n">
        <v>331.798</v>
      </c>
      <c r="AB113" s="21" t="n">
        <v>417.922</v>
      </c>
      <c r="AC113" s="21" t="n">
        <v>353.833</v>
      </c>
      <c r="AD113" s="21" t="n">
        <v>338.324</v>
      </c>
      <c r="AE113" s="21" t="n">
        <v>282.155</v>
      </c>
      <c r="AF113" s="21" t="n">
        <v>343.365</v>
      </c>
      <c r="AG113" s="21" t="n">
        <v>263.377</v>
      </c>
      <c r="AH113" s="21" t="n">
        <v>199.417</v>
      </c>
      <c r="AI113" s="21" t="n">
        <v>368.393</v>
      </c>
      <c r="AJ113" s="21" t="n">
        <v>186.665</v>
      </c>
      <c r="AK113" s="21" t="n">
        <v>239.999</v>
      </c>
      <c r="AL113" s="21" t="n">
        <v>265.581</v>
      </c>
      <c r="AM113" s="21" t="n">
        <v>240.083</v>
      </c>
      <c r="AN113" s="21" t="n">
        <v>160.134</v>
      </c>
      <c r="AO113" s="21" t="n">
        <v>288.647</v>
      </c>
      <c r="AP113" s="21" t="n">
        <v>303.753</v>
      </c>
      <c r="AQ113" s="21" t="n">
        <v>187.408</v>
      </c>
      <c r="AR113" s="21" t="n"/>
      <c r="AS113" s="21" t="n"/>
      <c r="AT113" s="21" t="n">
        <v>304.054</v>
      </c>
      <c r="AU113" s="21" t="n">
        <v>193.963</v>
      </c>
      <c r="AV113" s="21" t="n">
        <v>325.654</v>
      </c>
      <c r="AW113" s="21" t="n">
        <v>288.288</v>
      </c>
      <c r="AX113" s="21" t="n">
        <v>204.781</v>
      </c>
      <c r="AY113" s="21" t="n">
        <v>349.925</v>
      </c>
      <c r="AZ113" s="21" t="n">
        <v>220.703</v>
      </c>
      <c r="BA113" s="21" t="n">
        <v>172.251</v>
      </c>
      <c r="BB113" s="21" t="n">
        <v>247.993</v>
      </c>
      <c r="BC113" s="21" t="n">
        <v>362.277</v>
      </c>
      <c r="BD113" s="21" t="n">
        <v>302.09</v>
      </c>
      <c r="BE113" s="21" t="n">
        <v>267.474</v>
      </c>
      <c r="BF113" s="21" t="n">
        <v>173.711</v>
      </c>
      <c r="BG113" s="21" t="n">
        <v>248.44</v>
      </c>
      <c r="BH113" s="21" t="n">
        <v>180.276</v>
      </c>
      <c r="BI113" s="21" t="n">
        <v>262.278</v>
      </c>
      <c r="BJ113" s="21" t="n">
        <v>279.615</v>
      </c>
      <c r="BK113" s="21" t="n">
        <v>189.004</v>
      </c>
      <c r="BL113" s="21" t="n">
        <v>352.274</v>
      </c>
      <c r="BM113" s="21" t="n">
        <v>395.559</v>
      </c>
      <c r="BN113" s="21" t="n">
        <v>409.21</v>
      </c>
      <c r="BO113" s="21" t="n">
        <v>331.963</v>
      </c>
      <c r="BP113" s="21" t="n">
        <v>210.049</v>
      </c>
      <c r="BQ113" s="21" t="n">
        <v>289.031</v>
      </c>
      <c r="BR113" s="21" t="n">
        <v>559.429</v>
      </c>
      <c r="BS113" s="21" t="n">
        <v>143.916</v>
      </c>
      <c r="BT113" s="21" t="n">
        <v>379.789</v>
      </c>
      <c r="BU113" s="21" t="n">
        <v>421.228</v>
      </c>
      <c r="BV113" s="21" t="n">
        <v>416.278</v>
      </c>
      <c r="BW113" s="21" t="n">
        <v>358.278</v>
      </c>
      <c r="BX113" s="21" t="n">
        <v>374.059</v>
      </c>
      <c r="BY113" s="21" t="n">
        <v>203.965</v>
      </c>
      <c r="BZ113" s="21" t="n">
        <v>217.134</v>
      </c>
      <c r="CA113" s="21" t="n">
        <v>203.069</v>
      </c>
      <c r="CB113" s="21" t="n">
        <v>233.657</v>
      </c>
      <c r="CC113" s="21" t="n">
        <v>188.124</v>
      </c>
      <c r="CD113" s="21" t="n">
        <v>267.145</v>
      </c>
      <c r="CE113" s="21" t="n">
        <v>192.182</v>
      </c>
      <c r="CF113" s="21" t="n">
        <v>226.316</v>
      </c>
      <c r="CG113" s="21" t="n">
        <v>220.712</v>
      </c>
      <c r="CH113" s="21" t="n">
        <v>176.732</v>
      </c>
      <c r="CI113" s="21" t="n">
        <v>231.877</v>
      </c>
      <c r="CJ113" s="21" t="n">
        <v>265.733</v>
      </c>
      <c r="CK113" s="21" t="n">
        <v>155.305</v>
      </c>
      <c r="CL113" s="21" t="n">
        <v>141.462</v>
      </c>
      <c r="CM113" s="21" t="n">
        <v>232.507</v>
      </c>
      <c r="CN113" s="21" t="n">
        <v>244.376</v>
      </c>
      <c r="CO113" s="21" t="n">
        <v>215.543</v>
      </c>
      <c r="CP113" s="21" t="n">
        <v>159.895</v>
      </c>
      <c r="CQ113" s="21" t="n">
        <v>273.306</v>
      </c>
      <c r="CR113" s="21" t="n">
        <v>288.76</v>
      </c>
      <c r="CS113" s="21" t="n">
        <v>268.865</v>
      </c>
      <c r="CT113" s="21" t="n">
        <v>194.822</v>
      </c>
      <c r="CU113" s="21" t="n">
        <v>196.607</v>
      </c>
      <c r="CV113" s="21" t="n">
        <v>316.561</v>
      </c>
      <c r="CW113" s="21" t="n">
        <v>278.214</v>
      </c>
      <c r="CX113" s="21" t="n">
        <v>310.46</v>
      </c>
      <c r="CY113" s="21" t="n">
        <v>467.744</v>
      </c>
      <c r="CZ113" s="21" t="n">
        <v>173.576</v>
      </c>
      <c r="DA113" s="21" t="n">
        <v>227.4</v>
      </c>
      <c r="DB113" s="21" t="n">
        <v>188.346</v>
      </c>
      <c r="DC113" s="21" t="n">
        <v>287.747</v>
      </c>
      <c r="DD113" s="21" t="n">
        <v>317.487</v>
      </c>
      <c r="DE113" s="21" t="n">
        <v>209.89</v>
      </c>
      <c r="DF113" s="21" t="n">
        <v>312.532</v>
      </c>
      <c r="DG113" s="21" t="n">
        <v>313.901</v>
      </c>
      <c r="DH113" s="21" t="n">
        <v>191.619</v>
      </c>
      <c r="DI113" s="21" t="n">
        <v>191.349</v>
      </c>
      <c r="DJ113" s="21" t="n">
        <v>185.727</v>
      </c>
      <c r="DK113" s="21" t="n">
        <v>370.066</v>
      </c>
      <c r="DL113" s="21" t="n">
        <v>224.699</v>
      </c>
      <c r="DM113" s="21" t="n">
        <v>171.142</v>
      </c>
      <c r="DN113" s="21" t="n">
        <v>154.973</v>
      </c>
      <c r="DO113" s="21" t="n">
        <v>365.813</v>
      </c>
      <c r="DP113" s="21" t="n">
        <v>224.294</v>
      </c>
      <c r="DQ113" s="21" t="n">
        <v>241.515</v>
      </c>
      <c r="DR113" s="21" t="n">
        <v>200.031</v>
      </c>
      <c r="DS113" s="21" t="n">
        <v>196.006</v>
      </c>
      <c r="DT113" s="21" t="n">
        <v>229.597</v>
      </c>
      <c r="DU113" s="21" t="n">
        <v>241.539</v>
      </c>
      <c r="DV113" s="21" t="n">
        <v>289.717</v>
      </c>
      <c r="DW113" s="21" t="n">
        <v>229.006</v>
      </c>
      <c r="DX113" s="21" t="n">
        <v>274.594</v>
      </c>
      <c r="DY113" s="21" t="n">
        <v>209.046</v>
      </c>
      <c r="DZ113" s="21" t="n">
        <v>221.966</v>
      </c>
      <c r="EA113" s="21" t="n">
        <v>204.671</v>
      </c>
      <c r="EB113" s="21" t="n">
        <v>182.96</v>
      </c>
      <c r="EC113" s="21" t="n">
        <v>426.284</v>
      </c>
      <c r="ED113" s="21" t="n">
        <v>208.843</v>
      </c>
      <c r="EE113" s="21" t="n">
        <v>231.719</v>
      </c>
      <c r="EF113" s="21" t="n">
        <v>236.036</v>
      </c>
      <c r="EG113" s="21" t="n">
        <v>331.688</v>
      </c>
      <c r="EH113" s="21" t="n">
        <v>397.539</v>
      </c>
      <c r="EI113" s="21" t="n">
        <v>416.386</v>
      </c>
      <c r="EJ113" s="21" t="n">
        <v>195.706</v>
      </c>
      <c r="EK113" s="21" t="n">
        <v>634.871</v>
      </c>
      <c r="EL113" s="21" t="n">
        <v>405.968</v>
      </c>
      <c r="EM113" s="21" t="n">
        <v>407.538</v>
      </c>
      <c r="EN113" s="21" t="n">
        <v>407.588</v>
      </c>
      <c r="EO113" s="21" t="n">
        <v>158.001</v>
      </c>
      <c r="EP113" s="21" t="n">
        <v>311.41</v>
      </c>
      <c r="EQ113" s="21" t="n">
        <v>260.399</v>
      </c>
      <c r="ER113" s="21" t="n">
        <v>380.047</v>
      </c>
      <c r="ES113" s="21" t="n">
        <v>381.962</v>
      </c>
      <c r="ET113" s="21" t="n">
        <v>439.309</v>
      </c>
      <c r="EU113" s="21" t="n">
        <v>264.252</v>
      </c>
      <c r="EV113" s="21" t="n">
        <v>276.653</v>
      </c>
      <c r="EW113" s="21" t="n">
        <v>221.729</v>
      </c>
      <c r="EX113" s="21" t="n">
        <v>300.178</v>
      </c>
      <c r="EY113" s="21" t="n">
        <v>688.533</v>
      </c>
      <c r="EZ113" s="21" t="n">
        <v>611.073</v>
      </c>
      <c r="FA113" s="21" t="n">
        <v>147.173</v>
      </c>
      <c r="FB113" s="21" t="n">
        <v>61.231</v>
      </c>
      <c r="FC113" s="21" t="n">
        <v>133.513</v>
      </c>
      <c r="FD113" s="21" t="n">
        <v>81.642</v>
      </c>
      <c r="FE113" s="21" t="n">
        <v>41.329</v>
      </c>
      <c r="FF113" s="21" t="n">
        <v>132.445</v>
      </c>
      <c r="FG113" s="21" t="n">
        <v>146.034</v>
      </c>
      <c r="FH113" s="21" t="n">
        <v>106.291</v>
      </c>
      <c r="FI113" s="21" t="n">
        <v>77.71599999999999</v>
      </c>
      <c r="FJ113" s="21" t="n"/>
      <c r="FK113" s="21" t="n">
        <v>84.714</v>
      </c>
      <c r="FL113" s="21" t="n">
        <v>91.288</v>
      </c>
      <c r="FM113" s="21" t="n">
        <v>104.844</v>
      </c>
      <c r="FN113" s="21" t="n">
        <v>73.874</v>
      </c>
      <c r="FO113" s="21" t="n">
        <v>54.438</v>
      </c>
      <c r="FP113" s="21" t="n">
        <v>39.968</v>
      </c>
      <c r="FQ113" s="21" t="n">
        <v>159.574</v>
      </c>
      <c r="FR113" s="21" t="n">
        <v>46.083</v>
      </c>
      <c r="FS113" s="21" t="n">
        <v>77.90900000000001</v>
      </c>
      <c r="FT113" s="21" t="n">
        <v>110.476</v>
      </c>
      <c r="FU113" s="21" t="n">
        <v>122.623</v>
      </c>
      <c r="FV113" s="21" t="n">
        <v>105.079</v>
      </c>
      <c r="FW113" s="21" t="n">
        <v>233.471</v>
      </c>
      <c r="FX113" s="21" t="n">
        <v>147.61</v>
      </c>
      <c r="FY113" s="21" t="n">
        <v>233.246</v>
      </c>
      <c r="FZ113" s="21" t="n">
        <v>139.604</v>
      </c>
      <c r="GA113" s="21" t="n">
        <v>249.352</v>
      </c>
      <c r="GB113" s="21" t="n">
        <v>221.136</v>
      </c>
      <c r="GC113" s="21" t="n">
        <v>255.393</v>
      </c>
      <c r="GD113" s="21" t="n">
        <v>200.403</v>
      </c>
      <c r="GE113" s="21" t="n"/>
      <c r="GF113" s="21" t="n">
        <v>133.502</v>
      </c>
      <c r="GG113" s="21" t="n">
        <v>130.302</v>
      </c>
      <c r="GH113" s="21" t="n">
        <v>133.659</v>
      </c>
      <c r="GI113" s="21" t="n">
        <v>95.996</v>
      </c>
      <c r="GJ113" s="21" t="n">
        <v>187.154</v>
      </c>
      <c r="GK113" s="21" t="n">
        <v>84.017</v>
      </c>
      <c r="GL113" s="21" t="n">
        <v>139.556</v>
      </c>
      <c r="GM113" s="21" t="n">
        <v>116.498</v>
      </c>
      <c r="GN113" s="21" t="n">
        <v>112.528</v>
      </c>
      <c r="GO113" s="21" t="n">
        <v>113.453</v>
      </c>
      <c r="GP113" s="21" t="n">
        <v>98.65900000000001</v>
      </c>
      <c r="GQ113" s="21" t="n">
        <v>112.831</v>
      </c>
      <c r="GR113" s="21" t="n">
        <v>77.97799999999999</v>
      </c>
      <c r="GS113" s="21" t="n">
        <v>113.842</v>
      </c>
      <c r="GT113" s="21" t="n">
        <v>109.586</v>
      </c>
      <c r="GU113" s="21" t="n">
        <v>147.003</v>
      </c>
      <c r="GV113" s="21" t="n">
        <v>152.006</v>
      </c>
      <c r="GW113" s="21" t="n">
        <v>166.945</v>
      </c>
      <c r="GX113" s="21" t="n">
        <v>133.833</v>
      </c>
      <c r="GY113" s="21" t="n">
        <v>127.858</v>
      </c>
      <c r="GZ113" s="21" t="n">
        <v>196.648</v>
      </c>
      <c r="HA113" s="21" t="n">
        <v>158.232</v>
      </c>
      <c r="HB113" s="21" t="n">
        <v>194.496</v>
      </c>
      <c r="HC113" s="21" t="n">
        <v>276.687</v>
      </c>
      <c r="HD113" s="21" t="n">
        <v>275.873</v>
      </c>
      <c r="HE113" s="21" t="n">
        <v>125.017</v>
      </c>
      <c r="HF113" s="21" t="n">
        <v>178.25</v>
      </c>
      <c r="HG113" s="21" t="n"/>
      <c r="HH113" s="21" t="n">
        <v>172.662</v>
      </c>
      <c r="HI113" s="21" t="n">
        <v>190.277</v>
      </c>
      <c r="HJ113" s="21" t="n"/>
      <c r="HK113" s="21" t="n">
        <v>180.132</v>
      </c>
      <c r="HL113" s="21" t="n"/>
      <c r="HM113" s="21" t="n">
        <v>162.356</v>
      </c>
      <c r="HN113" s="21" t="n">
        <v>323.189</v>
      </c>
      <c r="HO113" s="21" t="n">
        <v>322.434</v>
      </c>
      <c r="HP113" s="21" t="n">
        <v>315.68</v>
      </c>
      <c r="HQ113" s="21" t="n">
        <v>351.212</v>
      </c>
      <c r="HR113" s="21" t="n">
        <v>344.919</v>
      </c>
      <c r="HS113" s="21" t="n">
        <v>297.106</v>
      </c>
      <c r="HT113" s="21" t="n">
        <v>179.504</v>
      </c>
      <c r="HU113" s="21" t="n">
        <v>151.653</v>
      </c>
      <c r="HV113" s="21" t="n">
        <v>219.091</v>
      </c>
      <c r="HW113" s="21" t="n">
        <v>202.834</v>
      </c>
      <c r="HX113" s="21" t="n">
        <v>490.845</v>
      </c>
      <c r="HY113" s="21" t="n">
        <v>404.38</v>
      </c>
      <c r="HZ113" s="21" t="n">
        <v>420.216</v>
      </c>
      <c r="IA113" s="21" t="n">
        <v>345.467</v>
      </c>
      <c r="IB113" s="21" t="n">
        <v>268.324</v>
      </c>
      <c r="IC113" s="21" t="n">
        <v>839.077</v>
      </c>
      <c r="ID113" s="21" t="n">
        <v>213.106</v>
      </c>
      <c r="IE113" s="21" t="n">
        <v>196.509</v>
      </c>
      <c r="IF113" s="21" t="n">
        <v>239.047</v>
      </c>
      <c r="IG113" s="21" t="n">
        <v>278.826</v>
      </c>
      <c r="IH113" s="21" t="n"/>
      <c r="II113" s="21" t="n">
        <v>274.164</v>
      </c>
      <c r="IJ113" s="21" t="n">
        <v>277.45</v>
      </c>
      <c r="IK113" s="21" t="n">
        <v>158.044</v>
      </c>
      <c r="IL113" s="21" t="n"/>
      <c r="IM113" s="21" t="n"/>
      <c r="IN113" s="21" t="n">
        <v>66.953</v>
      </c>
      <c r="IO113" s="21" t="n">
        <v>341.615</v>
      </c>
      <c r="IP113" s="21" t="n">
        <v>131.073</v>
      </c>
      <c r="IQ113" s="21" t="n">
        <v>561.612</v>
      </c>
      <c r="IR113" s="21" t="n">
        <v>410.743</v>
      </c>
      <c r="IS113" s="21" t="n">
        <v>134.266</v>
      </c>
      <c r="IT113" s="21" t="n">
        <v>550.678</v>
      </c>
      <c r="IU113" s="21" t="n">
        <v>111.821</v>
      </c>
      <c r="IV113" s="21" t="n">
        <v>110.01</v>
      </c>
      <c r="IW113" s="21" t="n">
        <v>610.151</v>
      </c>
      <c r="IX113" s="21" t="n">
        <v>425.213</v>
      </c>
      <c r="IY113" s="21" t="n">
        <v>415.648</v>
      </c>
      <c r="IZ113" s="21" t="n">
        <v>591.931</v>
      </c>
      <c r="JA113" s="21" t="n">
        <v>207.792</v>
      </c>
      <c r="JB113" s="21" t="n">
        <v>259.595</v>
      </c>
      <c r="JC113" s="21" t="n">
        <v>99.20099999999999</v>
      </c>
      <c r="JD113" s="21" t="n">
        <v>415.025</v>
      </c>
      <c r="JE113" s="21" t="n">
        <v>398.315</v>
      </c>
      <c r="JF113" s="21" t="n">
        <v>915.379</v>
      </c>
      <c r="JG113" s="21" t="n">
        <v>284.751</v>
      </c>
      <c r="JH113" s="21" t="n">
        <v>172.346</v>
      </c>
      <c r="JI113" s="21" t="n">
        <v>142.54</v>
      </c>
      <c r="JJ113" s="21" t="n">
        <v>138.412</v>
      </c>
      <c r="JK113" s="21" t="n">
        <v>119.272</v>
      </c>
      <c r="JL113" s="21" t="n">
        <v>104.291</v>
      </c>
      <c r="JM113" s="21" t="n">
        <v>593.511</v>
      </c>
      <c r="JN113" s="21" t="n">
        <v>106.638</v>
      </c>
      <c r="JO113" s="21" t="n">
        <v>77.08499999999999</v>
      </c>
      <c r="JP113" s="21" t="n">
        <v>44.059</v>
      </c>
      <c r="JQ113" s="21" t="n">
        <v>157.908</v>
      </c>
      <c r="JR113" s="21" t="n">
        <v>24.836</v>
      </c>
      <c r="JS113" s="21" t="n">
        <v>84.47799999999999</v>
      </c>
      <c r="JT113" s="21" t="n">
        <v>223.045</v>
      </c>
      <c r="JU113" s="21" t="n">
        <v>240.037</v>
      </c>
      <c r="JV113" s="21" t="n">
        <v>190.83</v>
      </c>
      <c r="JW113" s="21" t="n">
        <v>129.542</v>
      </c>
      <c r="JX113" s="21" t="n">
        <v>344.012</v>
      </c>
      <c r="JY113" s="21" t="n">
        <v>248.282</v>
      </c>
      <c r="JZ113" s="21" t="n">
        <v>370.786</v>
      </c>
      <c r="KA113" s="21" t="n">
        <v>126.442</v>
      </c>
      <c r="KB113" s="21" t="n">
        <v>175.089</v>
      </c>
      <c r="KC113" s="21" t="n">
        <v>85.94799999999999</v>
      </c>
      <c r="KD113" s="21" t="n">
        <v>87.154</v>
      </c>
      <c r="KE113" s="21" t="n">
        <v>68.42100000000001</v>
      </c>
      <c r="KF113" s="21" t="n"/>
      <c r="KG113" s="21" t="n">
        <v>28.236</v>
      </c>
      <c r="KH113" s="21" t="n">
        <v>137.152</v>
      </c>
      <c r="KI113" s="21" t="n"/>
      <c r="KJ113" s="21" t="n"/>
      <c r="KK113" s="21" t="n">
        <v>32.982</v>
      </c>
      <c r="KL113" s="21" t="n">
        <v>27.91</v>
      </c>
      <c r="KM113" s="21" t="n">
        <v>37.517</v>
      </c>
      <c r="KN113" s="21" t="n"/>
      <c r="KO113" s="21" t="n">
        <v>106.657</v>
      </c>
      <c r="KP113" s="21" t="n">
        <v>119.219</v>
      </c>
      <c r="KQ113" s="21" t="n">
        <v>199.316</v>
      </c>
      <c r="KR113" s="21" t="n">
        <v>162.022</v>
      </c>
      <c r="KS113" s="21" t="n">
        <v>458.796</v>
      </c>
      <c r="KT113" s="21" t="n">
        <v>225.907</v>
      </c>
      <c r="KU113" s="21" t="n">
        <v>245.517</v>
      </c>
      <c r="KV113" s="21" t="n">
        <v>390.726</v>
      </c>
      <c r="KW113" s="21" t="n">
        <v>287.743</v>
      </c>
      <c r="KX113" s="21" t="n">
        <v>225.037</v>
      </c>
      <c r="KY113" s="21" t="n">
        <v>98.626</v>
      </c>
      <c r="KZ113" s="21" t="n">
        <v>146.04</v>
      </c>
      <c r="LA113" s="21" t="n">
        <v>295.736</v>
      </c>
      <c r="LB113" s="21" t="n">
        <v>698.591</v>
      </c>
      <c r="LC113" s="21" t="n">
        <v>238.077</v>
      </c>
      <c r="LD113" s="21" t="n">
        <v>851.783</v>
      </c>
      <c r="LE113" s="21" t="n">
        <v>927.502</v>
      </c>
      <c r="LF113" s="21" t="n">
        <v>95.605</v>
      </c>
      <c r="LG113" s="21" t="n">
        <v>362.422</v>
      </c>
      <c r="LH113" s="21" t="n">
        <v>274.904</v>
      </c>
      <c r="LI113" s="21" t="n">
        <v>74.986</v>
      </c>
      <c r="LJ113" s="21" t="n">
        <v>241.267</v>
      </c>
      <c r="LK113" s="21" t="n">
        <v>373.561</v>
      </c>
      <c r="LL113" s="21" t="n">
        <v>438.015</v>
      </c>
      <c r="LM113" s="21" t="n">
        <v>70.556</v>
      </c>
      <c r="LN113" s="21" t="n">
        <v>94.624</v>
      </c>
      <c r="LO113" s="21" t="n">
        <v>47.071</v>
      </c>
      <c r="LP113" s="21" t="n">
        <v>156.548</v>
      </c>
      <c r="LQ113" s="21" t="n"/>
      <c r="LR113" s="21" t="n"/>
      <c r="LS113" s="21" t="n">
        <v>105.722</v>
      </c>
      <c r="LT113" s="21" t="n">
        <v>36.865</v>
      </c>
      <c r="LU113" s="21" t="n">
        <v>23.932</v>
      </c>
      <c r="LV113" s="21" t="n">
        <v>87.45399999999999</v>
      </c>
      <c r="LW113" s="21" t="n">
        <v>107.42</v>
      </c>
      <c r="LX113" s="21" t="n">
        <v>45.899</v>
      </c>
      <c r="LY113" s="21" t="n">
        <v>556.486</v>
      </c>
      <c r="LZ113" s="21" t="n">
        <v>95.20699999999999</v>
      </c>
      <c r="MA113" s="21" t="n">
        <v>627.3920000000001</v>
      </c>
      <c r="MB113" s="21" t="n">
        <v>342.292</v>
      </c>
      <c r="MC113" s="21" t="n">
        <v>282.151</v>
      </c>
      <c r="MD113" s="21" t="n">
        <v>179.28</v>
      </c>
      <c r="ME113" s="21" t="n">
        <v>121.976</v>
      </c>
      <c r="MF113" s="21" t="n">
        <v>190.319</v>
      </c>
      <c r="MG113" s="21" t="n">
        <v>341.653</v>
      </c>
      <c r="MH113" s="21" t="n">
        <v>208.464</v>
      </c>
      <c r="MI113" s="21" t="n">
        <v>555.152</v>
      </c>
      <c r="MJ113" s="21" t="n"/>
      <c r="MK113" s="21" t="n">
        <v>397.599</v>
      </c>
      <c r="ML113" s="21" t="n">
        <v>227.954</v>
      </c>
      <c r="MM113" s="21" t="n">
        <v>277.064</v>
      </c>
      <c r="MN113" s="21" t="n">
        <v>447.659</v>
      </c>
      <c r="MO113" s="21" t="n">
        <v>186.779</v>
      </c>
      <c r="MP113" s="21" t="n">
        <v>349.633</v>
      </c>
      <c r="MQ113" s="21" t="n">
        <v>87.22799999999999</v>
      </c>
      <c r="MR113" s="21" t="n">
        <v>200.371</v>
      </c>
      <c r="MS113" s="21" t="n"/>
      <c r="MT113" s="21" t="n">
        <v>301.559</v>
      </c>
      <c r="MU113" s="21" t="n">
        <v>318.689</v>
      </c>
      <c r="MV113" s="21" t="n">
        <v>311.182</v>
      </c>
      <c r="MW113" s="21" t="n">
        <v>317.978</v>
      </c>
      <c r="MX113" s="21" t="n">
        <v>284.224</v>
      </c>
      <c r="MY113" s="21" t="n">
        <v>273.263</v>
      </c>
      <c r="MZ113" s="21" t="n">
        <v>273.967</v>
      </c>
      <c r="NA113" s="21" t="n">
        <v>279.271</v>
      </c>
      <c r="NB113" s="21" t="n">
        <v>125.431</v>
      </c>
      <c r="NC113" s="21" t="n">
        <v>224.926</v>
      </c>
      <c r="ND113" s="21" t="n">
        <v>181.119</v>
      </c>
      <c r="NE113" s="21" t="n">
        <v>177.393</v>
      </c>
      <c r="NF113" s="21" t="n">
        <v>165.7</v>
      </c>
      <c r="NG113" s="21" t="n">
        <v>164.141</v>
      </c>
      <c r="NH113" s="21" t="n">
        <v>316.011</v>
      </c>
      <c r="NI113" s="21" t="n">
        <v>123.372</v>
      </c>
      <c r="NJ113" s="21" t="n">
        <v>56.4</v>
      </c>
      <c r="NK113" s="21" t="n">
        <v>122.378</v>
      </c>
      <c r="NL113" s="21" t="n">
        <v>290.76</v>
      </c>
      <c r="NM113" s="21" t="n">
        <v>328.797</v>
      </c>
      <c r="NN113" s="21" t="n">
        <v>106.037</v>
      </c>
      <c r="NO113" s="21" t="n">
        <v>38.9</v>
      </c>
      <c r="NP113" s="21" t="n">
        <v>279.693</v>
      </c>
      <c r="NQ113" s="21" t="n">
        <v>238.653</v>
      </c>
      <c r="NR113" s="21" t="n">
        <v>301.226</v>
      </c>
      <c r="NS113" s="21" t="n">
        <v>235.493</v>
      </c>
      <c r="NT113" s="21" t="n">
        <v>304.097</v>
      </c>
      <c r="NU113" s="21" t="n">
        <v>139.274</v>
      </c>
      <c r="NV113" s="21" t="n">
        <v>155.547</v>
      </c>
      <c r="NW113" s="21" t="n">
        <v>414.998</v>
      </c>
      <c r="NX113" s="21" t="n">
        <v>84.524</v>
      </c>
      <c r="NY113" s="21" t="n">
        <v>150.136</v>
      </c>
      <c r="NZ113" s="21" t="n">
        <v>415.324</v>
      </c>
      <c r="OA113" s="21" t="n">
        <v>401.02</v>
      </c>
      <c r="OB113" s="21" t="n">
        <v>414.828</v>
      </c>
      <c r="OC113" s="21" t="n">
        <v>384.975</v>
      </c>
      <c r="OD113" s="21" t="n">
        <v>415.161</v>
      </c>
      <c r="OE113" s="21" t="n">
        <v>130.222</v>
      </c>
      <c r="OF113" s="21" t="n">
        <v>434.629</v>
      </c>
      <c r="OG113" s="21" t="n">
        <v>259.89</v>
      </c>
      <c r="OH113" s="21" t="n">
        <v>32.325</v>
      </c>
      <c r="OI113" s="21" t="n">
        <v>156.628</v>
      </c>
      <c r="OJ113" s="21" t="n">
        <v>31.9</v>
      </c>
      <c r="OK113" s="21" t="n">
        <v>10.6</v>
      </c>
    </row>
    <row r="114">
      <c r="A114" s="22" t="n">
        <v>45413</v>
      </c>
      <c r="B114" s="21" t="n">
        <v>314.069</v>
      </c>
      <c r="C114" s="21" t="n">
        <v>940.811</v>
      </c>
      <c r="D114" s="21" t="n">
        <v>326.545</v>
      </c>
      <c r="E114" s="21" t="n">
        <v>329.12</v>
      </c>
      <c r="F114" s="21" t="n">
        <v>305.679</v>
      </c>
      <c r="G114" s="21" t="n">
        <v>356.758</v>
      </c>
      <c r="H114" s="21" t="n">
        <v>288.543</v>
      </c>
      <c r="I114" s="21" t="n">
        <v>323.141</v>
      </c>
      <c r="J114" s="21" t="n">
        <v>282.447</v>
      </c>
      <c r="K114" s="21" t="n">
        <v>290.608</v>
      </c>
      <c r="L114" s="21" t="n">
        <v>192.623</v>
      </c>
      <c r="M114" s="21" t="n">
        <v>396.517</v>
      </c>
      <c r="N114" s="21" t="n">
        <v>239.025</v>
      </c>
      <c r="O114" s="21" t="n">
        <v>428.433</v>
      </c>
      <c r="P114" s="21" t="n">
        <v>471.101</v>
      </c>
      <c r="Q114" s="21" t="n">
        <v>235.78</v>
      </c>
      <c r="R114" s="21" t="n">
        <v>371.021</v>
      </c>
      <c r="S114" s="21" t="n">
        <v>387.4</v>
      </c>
      <c r="T114" s="21" t="n">
        <v>349.133</v>
      </c>
      <c r="U114" s="21" t="n">
        <v>356.377</v>
      </c>
      <c r="V114" s="21" t="n">
        <v>385.51</v>
      </c>
      <c r="W114" s="21" t="n">
        <v>439.969</v>
      </c>
      <c r="X114" s="21" t="n">
        <v>346.999</v>
      </c>
      <c r="Y114" s="21" t="n">
        <v>323.414</v>
      </c>
      <c r="Z114" s="21" t="n">
        <v>325.849</v>
      </c>
      <c r="AA114" s="21" t="n">
        <v>333.936</v>
      </c>
      <c r="AB114" s="21" t="n">
        <v>418.976</v>
      </c>
      <c r="AC114" s="21" t="n">
        <v>357.438</v>
      </c>
      <c r="AD114" s="21" t="n">
        <v>336.248</v>
      </c>
      <c r="AE114" s="21" t="n">
        <v>283.049</v>
      </c>
      <c r="AF114" s="21" t="n">
        <v>339.8</v>
      </c>
      <c r="AG114" s="21" t="n">
        <v>267.029</v>
      </c>
      <c r="AH114" s="21" t="n">
        <v>201.472</v>
      </c>
      <c r="AI114" s="21" t="n">
        <v>374.039</v>
      </c>
      <c r="AJ114" s="21" t="n">
        <v>187.438</v>
      </c>
      <c r="AK114" s="21" t="n">
        <v>243.775</v>
      </c>
      <c r="AL114" s="21" t="n">
        <v>269.606</v>
      </c>
      <c r="AM114" s="21" t="n">
        <v>243.287</v>
      </c>
      <c r="AN114" s="21" t="n">
        <v>163.172</v>
      </c>
      <c r="AO114" s="21" t="n">
        <v>289.778</v>
      </c>
      <c r="AP114" s="21" t="n">
        <v>296.36</v>
      </c>
      <c r="AQ114" s="21" t="n">
        <v>189.517</v>
      </c>
      <c r="AR114" s="21" t="n"/>
      <c r="AS114" s="21" t="n"/>
      <c r="AT114" s="21" t="n">
        <v>305.357</v>
      </c>
      <c r="AU114" s="21" t="n">
        <v>195.816</v>
      </c>
      <c r="AV114" s="21" t="n">
        <v>326.79</v>
      </c>
      <c r="AW114" s="21" t="n">
        <v>291.035</v>
      </c>
      <c r="AX114" s="21" t="n">
        <v>201.224</v>
      </c>
      <c r="AY114" s="21" t="n">
        <v>351.067</v>
      </c>
      <c r="AZ114" s="21" t="n">
        <v>218.895</v>
      </c>
      <c r="BA114" s="21" t="n">
        <v>174.627</v>
      </c>
      <c r="BB114" s="21" t="n">
        <v>252.744</v>
      </c>
      <c r="BC114" s="21" t="n">
        <v>370.274</v>
      </c>
      <c r="BD114" s="21" t="n">
        <v>294.913</v>
      </c>
      <c r="BE114" s="21" t="n">
        <v>266.749</v>
      </c>
      <c r="BF114" s="21" t="n">
        <v>172.936</v>
      </c>
      <c r="BG114" s="21" t="n">
        <v>249.118</v>
      </c>
      <c r="BH114" s="21" t="n">
        <v>178.996</v>
      </c>
      <c r="BI114" s="21" t="n">
        <v>260.84</v>
      </c>
      <c r="BJ114" s="21" t="n">
        <v>271.615</v>
      </c>
      <c r="BK114" s="21" t="n">
        <v>191.681</v>
      </c>
      <c r="BL114" s="21" t="n">
        <v>353.084</v>
      </c>
      <c r="BM114" s="21" t="n">
        <v>396.207</v>
      </c>
      <c r="BN114" s="21" t="n">
        <v>411.452</v>
      </c>
      <c r="BO114" s="21" t="n">
        <v>336.544</v>
      </c>
      <c r="BP114" s="21" t="n">
        <v>210.238</v>
      </c>
      <c r="BQ114" s="21" t="n">
        <v>292</v>
      </c>
      <c r="BR114" s="21" t="n">
        <v>580.591</v>
      </c>
      <c r="BS114" s="21" t="n">
        <v>144.18</v>
      </c>
      <c r="BT114" s="21" t="n">
        <v>378.762</v>
      </c>
      <c r="BU114" s="21" t="n">
        <v>423.716</v>
      </c>
      <c r="BV114" s="21" t="n">
        <v>416.052</v>
      </c>
      <c r="BW114" s="21" t="n">
        <v>348.47</v>
      </c>
      <c r="BX114" s="21" t="n">
        <v>374.655</v>
      </c>
      <c r="BY114" s="21" t="n">
        <v>204.853</v>
      </c>
      <c r="BZ114" s="21" t="n">
        <v>217.36</v>
      </c>
      <c r="CA114" s="21" t="n">
        <v>205.639</v>
      </c>
      <c r="CB114" s="21" t="n">
        <v>231.985</v>
      </c>
      <c r="CC114" s="21" t="n">
        <v>188.816</v>
      </c>
      <c r="CD114" s="21" t="n">
        <v>269.256</v>
      </c>
      <c r="CE114" s="21" t="n">
        <v>194.753</v>
      </c>
      <c r="CF114" s="21" t="n">
        <v>231.78</v>
      </c>
      <c r="CG114" s="21" t="n">
        <v>219.354</v>
      </c>
      <c r="CH114" s="21" t="n">
        <v>174.994</v>
      </c>
      <c r="CI114" s="21" t="n">
        <v>226.171</v>
      </c>
      <c r="CJ114" s="21" t="n">
        <v>263.957</v>
      </c>
      <c r="CK114" s="21" t="n">
        <v>155.691</v>
      </c>
      <c r="CL114" s="21" t="n">
        <v>141.884</v>
      </c>
      <c r="CM114" s="21" t="n">
        <v>232.674</v>
      </c>
      <c r="CN114" s="21" t="n">
        <v>244.139</v>
      </c>
      <c r="CO114" s="21" t="n">
        <v>216.715</v>
      </c>
      <c r="CP114" s="21" t="n">
        <v>160.965</v>
      </c>
      <c r="CQ114" s="21" t="n">
        <v>272.796</v>
      </c>
      <c r="CR114" s="21" t="n">
        <v>288.868</v>
      </c>
      <c r="CS114" s="21" t="n">
        <v>270.462</v>
      </c>
      <c r="CT114" s="21" t="n">
        <v>194.502</v>
      </c>
      <c r="CU114" s="21" t="n">
        <v>197.132</v>
      </c>
      <c r="CV114" s="21" t="n">
        <v>316.81</v>
      </c>
      <c r="CW114" s="21" t="n">
        <v>278.383</v>
      </c>
      <c r="CX114" s="21" t="n">
        <v>313.472</v>
      </c>
      <c r="CY114" s="21" t="n">
        <v>458.306</v>
      </c>
      <c r="CZ114" s="21" t="n">
        <v>175.481</v>
      </c>
      <c r="DA114" s="21" t="n">
        <v>226.439</v>
      </c>
      <c r="DB114" s="21" t="n">
        <v>193.219</v>
      </c>
      <c r="DC114" s="21" t="n">
        <v>286.978</v>
      </c>
      <c r="DD114" s="21" t="n">
        <v>324.254</v>
      </c>
      <c r="DE114" s="21" t="n">
        <v>210.703</v>
      </c>
      <c r="DF114" s="21" t="n">
        <v>311.568</v>
      </c>
      <c r="DG114" s="21" t="n">
        <v>311.299</v>
      </c>
      <c r="DH114" s="21" t="n">
        <v>188.787</v>
      </c>
      <c r="DI114" s="21" t="n">
        <v>189.378</v>
      </c>
      <c r="DJ114" s="21" t="n">
        <v>186.319</v>
      </c>
      <c r="DK114" s="21" t="n">
        <v>351.029</v>
      </c>
      <c r="DL114" s="21" t="n">
        <v>221.809</v>
      </c>
      <c r="DM114" s="21" t="n">
        <v>170.223</v>
      </c>
      <c r="DN114" s="21" t="n">
        <v>152.699</v>
      </c>
      <c r="DO114" s="21" t="n">
        <v>367.099</v>
      </c>
      <c r="DP114" s="21" t="n">
        <v>225.29</v>
      </c>
      <c r="DQ114" s="21" t="n">
        <v>242.012</v>
      </c>
      <c r="DR114" s="21" t="n">
        <v>200.427</v>
      </c>
      <c r="DS114" s="21" t="n">
        <v>196.144</v>
      </c>
      <c r="DT114" s="21" t="n">
        <v>231.857</v>
      </c>
      <c r="DU114" s="21" t="n">
        <v>243.508</v>
      </c>
      <c r="DV114" s="21" t="n">
        <v>290.094</v>
      </c>
      <c r="DW114" s="21" t="n">
        <v>229.407</v>
      </c>
      <c r="DX114" s="21" t="n">
        <v>275.689</v>
      </c>
      <c r="DY114" s="21" t="n">
        <v>208.958</v>
      </c>
      <c r="DZ114" s="21" t="n">
        <v>224.078</v>
      </c>
      <c r="EA114" s="21" t="n">
        <v>203.763</v>
      </c>
      <c r="EB114" s="21" t="n">
        <v>183.135</v>
      </c>
      <c r="EC114" s="21" t="n">
        <v>426.596</v>
      </c>
      <c r="ED114" s="21" t="n">
        <v>208.607</v>
      </c>
      <c r="EE114" s="21" t="n">
        <v>231.933</v>
      </c>
      <c r="EF114" s="21" t="n">
        <v>236.338</v>
      </c>
      <c r="EG114" s="21" t="n">
        <v>332.777</v>
      </c>
      <c r="EH114" s="21" t="n">
        <v>399.274</v>
      </c>
      <c r="EI114" s="21" t="n">
        <v>417.772</v>
      </c>
      <c r="EJ114" s="21" t="n">
        <v>198.511</v>
      </c>
      <c r="EK114" s="21" t="n">
        <v>634.799</v>
      </c>
      <c r="EL114" s="21" t="n">
        <v>412.909</v>
      </c>
      <c r="EM114" s="21" t="n">
        <v>409.208</v>
      </c>
      <c r="EN114" s="21" t="n">
        <v>409.252</v>
      </c>
      <c r="EO114" s="21" t="n">
        <v>158.713</v>
      </c>
      <c r="EP114" s="21" t="n">
        <v>311.649</v>
      </c>
      <c r="EQ114" s="21" t="n">
        <v>260.721</v>
      </c>
      <c r="ER114" s="21" t="n">
        <v>368.224</v>
      </c>
      <c r="ES114" s="21" t="n">
        <v>368.137</v>
      </c>
      <c r="ET114" s="21" t="n">
        <v>427.804</v>
      </c>
      <c r="EU114" s="21" t="n">
        <v>265.029</v>
      </c>
      <c r="EV114" s="21" t="n">
        <v>277.584</v>
      </c>
      <c r="EW114" s="21" t="n">
        <v>222.024</v>
      </c>
      <c r="EX114" s="21" t="n">
        <v>299.987</v>
      </c>
      <c r="EY114" s="21" t="n">
        <v>688.641</v>
      </c>
      <c r="EZ114" s="21" t="n">
        <v>609.538</v>
      </c>
      <c r="FA114" s="21" t="n">
        <v>146.719</v>
      </c>
      <c r="FB114" s="21" t="n">
        <v>60.027</v>
      </c>
      <c r="FC114" s="21" t="n">
        <v>129.957</v>
      </c>
      <c r="FD114" s="21" t="n">
        <v>78.93300000000001</v>
      </c>
      <c r="FE114" s="21" t="n">
        <v>40.942</v>
      </c>
      <c r="FF114" s="21" t="n">
        <v>131.599</v>
      </c>
      <c r="FG114" s="21" t="n">
        <v>144.769</v>
      </c>
      <c r="FH114" s="21" t="n">
        <v>105.4</v>
      </c>
      <c r="FI114" s="21" t="n">
        <v>78.154</v>
      </c>
      <c r="FJ114" s="21" t="n"/>
      <c r="FK114" s="21" t="n">
        <v>84.84699999999999</v>
      </c>
      <c r="FL114" s="21" t="n">
        <v>89.25</v>
      </c>
      <c r="FM114" s="21" t="n">
        <v>105.962</v>
      </c>
      <c r="FN114" s="21" t="n">
        <v>74.803</v>
      </c>
      <c r="FO114" s="21" t="n">
        <v>54.13</v>
      </c>
      <c r="FP114" s="21" t="n">
        <v>39.65</v>
      </c>
      <c r="FQ114" s="21" t="n">
        <v>161.293</v>
      </c>
      <c r="FR114" s="21" t="n">
        <v>44.587</v>
      </c>
      <c r="FS114" s="21" t="n">
        <v>77.383</v>
      </c>
      <c r="FT114" s="21" t="n">
        <v>110.882</v>
      </c>
      <c r="FU114" s="21" t="n">
        <v>122.048</v>
      </c>
      <c r="FV114" s="21" t="n">
        <v>106.076</v>
      </c>
      <c r="FW114" s="21" t="n">
        <v>233.932</v>
      </c>
      <c r="FX114" s="21" t="n">
        <v>148.008</v>
      </c>
      <c r="FY114" s="21" t="n">
        <v>232.155</v>
      </c>
      <c r="FZ114" s="21" t="n">
        <v>140.256</v>
      </c>
      <c r="GA114" s="21" t="n"/>
      <c r="GB114" s="21" t="n"/>
      <c r="GC114" s="21" t="n"/>
      <c r="GD114" s="21" t="n">
        <v>200.414</v>
      </c>
      <c r="GE114" s="21" t="n"/>
      <c r="GF114" s="21" t="n">
        <v>132.433</v>
      </c>
      <c r="GG114" s="21" t="n">
        <v>130.636</v>
      </c>
      <c r="GH114" s="21" t="n">
        <v>133.894</v>
      </c>
      <c r="GI114" s="21" t="n">
        <v>99.98</v>
      </c>
      <c r="GJ114" s="21" t="n">
        <v>187.362</v>
      </c>
      <c r="GK114" s="21" t="n">
        <v>82.95</v>
      </c>
      <c r="GL114" s="21" t="n">
        <v>138.998</v>
      </c>
      <c r="GM114" s="21" t="n">
        <v>117.108</v>
      </c>
      <c r="GN114" s="21" t="n">
        <v>110.577</v>
      </c>
      <c r="GO114" s="21" t="n">
        <v>111.899</v>
      </c>
      <c r="GP114" s="21" t="n">
        <v>96.488</v>
      </c>
      <c r="GQ114" s="21" t="n">
        <v>110.925</v>
      </c>
      <c r="GR114" s="21" t="n">
        <v>76.688</v>
      </c>
      <c r="GS114" s="21" t="n">
        <v>113.118</v>
      </c>
      <c r="GT114" s="21" t="n">
        <v>105.013</v>
      </c>
      <c r="GU114" s="21" t="n">
        <v>146.401</v>
      </c>
      <c r="GV114" s="21" t="n">
        <v>151.211</v>
      </c>
      <c r="GW114" s="21" t="n">
        <v>165.213</v>
      </c>
      <c r="GX114" s="21" t="n">
        <v>133.804</v>
      </c>
      <c r="GY114" s="21" t="n">
        <v>126.121</v>
      </c>
      <c r="GZ114" s="21" t="n">
        <v>196.172</v>
      </c>
      <c r="HA114" s="21" t="n">
        <v>155.238</v>
      </c>
      <c r="HB114" s="21" t="n">
        <v>194.692</v>
      </c>
      <c r="HC114" s="21" t="n">
        <v>276.623</v>
      </c>
      <c r="HD114" s="21" t="n">
        <v>275.609</v>
      </c>
      <c r="HE114" s="21" t="n">
        <v>125.162</v>
      </c>
      <c r="HF114" s="21" t="n">
        <v>177.958</v>
      </c>
      <c r="HG114" s="21" t="n"/>
      <c r="HH114" s="21" t="n">
        <v>172.709</v>
      </c>
      <c r="HI114" s="21" t="n">
        <v>189.936</v>
      </c>
      <c r="HJ114" s="21" t="n"/>
      <c r="HK114" s="21" t="n">
        <v>180.971</v>
      </c>
      <c r="HL114" s="21" t="n">
        <v>119.81</v>
      </c>
      <c r="HM114" s="21" t="n">
        <v>161.241</v>
      </c>
      <c r="HN114" s="21" t="n">
        <v>321.561</v>
      </c>
      <c r="HO114" s="21" t="n">
        <v>320.981</v>
      </c>
      <c r="HP114" s="21" t="n">
        <v>314.237</v>
      </c>
      <c r="HQ114" s="21" t="n">
        <v>350.056</v>
      </c>
      <c r="HR114" s="21" t="n">
        <v>343.486</v>
      </c>
      <c r="HS114" s="21" t="n">
        <v>290.176</v>
      </c>
      <c r="HT114" s="21" t="n">
        <v>180.329</v>
      </c>
      <c r="HU114" s="21" t="n">
        <v>152.97</v>
      </c>
      <c r="HV114" s="21" t="n">
        <v>218.119</v>
      </c>
      <c r="HW114" s="21" t="n">
        <v>203.976</v>
      </c>
      <c r="HX114" s="21" t="n">
        <v>481.018</v>
      </c>
      <c r="HY114" s="21" t="n">
        <v>405.487</v>
      </c>
      <c r="HZ114" s="21" t="n">
        <v>416.629</v>
      </c>
      <c r="IA114" s="21" t="n">
        <v>347.694</v>
      </c>
      <c r="IB114" s="21" t="n">
        <v>268.341</v>
      </c>
      <c r="IC114" s="21" t="n">
        <v>836.941</v>
      </c>
      <c r="ID114" s="21" t="n">
        <v>212.814</v>
      </c>
      <c r="IE114" s="21" t="n">
        <v>196.593</v>
      </c>
      <c r="IF114" s="21" t="n">
        <v>238.176</v>
      </c>
      <c r="IG114" s="21" t="n">
        <v>279.259</v>
      </c>
      <c r="IH114" s="21" t="n"/>
      <c r="II114" s="21" t="n">
        <v>276.719</v>
      </c>
      <c r="IJ114" s="21" t="n">
        <v>280.958</v>
      </c>
      <c r="IK114" s="21" t="n">
        <v>156.619</v>
      </c>
      <c r="IL114" s="21" t="n"/>
      <c r="IM114" s="21" t="n"/>
      <c r="IN114" s="21" t="n">
        <v>66.27500000000001</v>
      </c>
      <c r="IO114" s="21" t="n">
        <v>342.982</v>
      </c>
      <c r="IP114" s="21" t="n">
        <v>131.073</v>
      </c>
      <c r="IQ114" s="21" t="n">
        <v>564.249</v>
      </c>
      <c r="IR114" s="21" t="n">
        <v>416.001</v>
      </c>
      <c r="IS114" s="21" t="n">
        <v>136.054</v>
      </c>
      <c r="IT114" s="21" t="n">
        <v>562.168</v>
      </c>
      <c r="IU114" s="21" t="n">
        <v>111.652</v>
      </c>
      <c r="IV114" s="21" t="n">
        <v>110.758</v>
      </c>
      <c r="IW114" s="21" t="n">
        <v>611.904</v>
      </c>
      <c r="IX114" s="21" t="n">
        <v>426.244</v>
      </c>
      <c r="IY114" s="21" t="n">
        <v>415.581</v>
      </c>
      <c r="IZ114" s="21" t="n">
        <v>598.139</v>
      </c>
      <c r="JA114" s="21" t="n">
        <v>207.559</v>
      </c>
      <c r="JB114" s="21" t="n">
        <v>259.587</v>
      </c>
      <c r="JC114" s="21" t="n">
        <v>99.49299999999999</v>
      </c>
      <c r="JD114" s="21" t="n">
        <v>417.163</v>
      </c>
      <c r="JE114" s="21" t="n">
        <v>400.042</v>
      </c>
      <c r="JF114" s="21" t="n">
        <v>920.335</v>
      </c>
      <c r="JG114" s="21" t="n">
        <v>285.845</v>
      </c>
      <c r="JH114" s="21" t="n">
        <v>168.046</v>
      </c>
      <c r="JI114" s="21" t="n">
        <v>143.303</v>
      </c>
      <c r="JJ114" s="21" t="n">
        <v>138.118</v>
      </c>
      <c r="JK114" s="21" t="n">
        <v>117.916</v>
      </c>
      <c r="JL114" s="21" t="n">
        <v>104.631</v>
      </c>
      <c r="JM114" s="21" t="n">
        <v>584.9640000000001</v>
      </c>
      <c r="JN114" s="21" t="n">
        <v>105.477</v>
      </c>
      <c r="JO114" s="21" t="n">
        <v>75.56</v>
      </c>
      <c r="JP114" s="21" t="n">
        <v>44.053</v>
      </c>
      <c r="JQ114" s="21" t="n">
        <v>151.695</v>
      </c>
      <c r="JR114" s="21" t="n">
        <v>24.902</v>
      </c>
      <c r="JS114" s="21" t="n">
        <v>84.574</v>
      </c>
      <c r="JT114" s="21" t="n">
        <v>223.379</v>
      </c>
      <c r="JU114" s="21" t="n">
        <v>240.008</v>
      </c>
      <c r="JV114" s="21" t="n">
        <v>190.634</v>
      </c>
      <c r="JW114" s="21" t="n">
        <v>130.37</v>
      </c>
      <c r="JX114" s="21" t="n">
        <v>345.311</v>
      </c>
      <c r="JY114" s="21" t="n">
        <v>252.067</v>
      </c>
      <c r="JZ114" s="21" t="n">
        <v>371.756</v>
      </c>
      <c r="KA114" s="21" t="n">
        <v>126.108</v>
      </c>
      <c r="KB114" s="21" t="n">
        <v>175.035</v>
      </c>
      <c r="KC114" s="21" t="n">
        <v>85.325</v>
      </c>
      <c r="KD114" s="21" t="n">
        <v>85.614</v>
      </c>
      <c r="KE114" s="21" t="n">
        <v>68.58799999999999</v>
      </c>
      <c r="KF114" s="21" t="n"/>
      <c r="KG114" s="21" t="n">
        <v>28.27</v>
      </c>
      <c r="KH114" s="21" t="n">
        <v>133.373</v>
      </c>
      <c r="KI114" s="21" t="n"/>
      <c r="KJ114" s="21" t="n"/>
      <c r="KK114" s="21" t="n">
        <v>32.969</v>
      </c>
      <c r="KL114" s="21" t="n">
        <v>27.833</v>
      </c>
      <c r="KM114" s="21" t="n">
        <v>37.148</v>
      </c>
      <c r="KN114" s="21" t="n"/>
      <c r="KO114" s="21" t="n">
        <v>109.109</v>
      </c>
      <c r="KP114" s="21" t="n">
        <v>119.562</v>
      </c>
      <c r="KQ114" s="21" t="n">
        <v>199.877</v>
      </c>
      <c r="KR114" s="21" t="n">
        <v>162.512</v>
      </c>
      <c r="KS114" s="21" t="n">
        <v>459.768</v>
      </c>
      <c r="KT114" s="21" t="n">
        <v>224.519</v>
      </c>
      <c r="KU114" s="21" t="n">
        <v>249.278</v>
      </c>
      <c r="KV114" s="21" t="n">
        <v>392.021</v>
      </c>
      <c r="KW114" s="21" t="n">
        <v>284.744</v>
      </c>
      <c r="KX114" s="21" t="n">
        <v>222.897</v>
      </c>
      <c r="KY114" s="21" t="n">
        <v>97.492</v>
      </c>
      <c r="KZ114" s="21" t="n">
        <v>145.955</v>
      </c>
      <c r="LA114" s="21" t="n">
        <v>296.691</v>
      </c>
      <c r="LB114" s="21" t="n">
        <v>703.798</v>
      </c>
      <c r="LC114" s="21" t="n">
        <v>239.977</v>
      </c>
      <c r="LD114" s="21" t="n">
        <v>854.408</v>
      </c>
      <c r="LE114" s="21" t="n">
        <v>928.217</v>
      </c>
      <c r="LF114" s="21" t="n">
        <v>96.809</v>
      </c>
      <c r="LG114" s="21" t="n">
        <v>363.688</v>
      </c>
      <c r="LH114" s="21" t="n">
        <v>274.933</v>
      </c>
      <c r="LI114" s="21" t="n">
        <v>74.736</v>
      </c>
      <c r="LJ114" s="21" t="n">
        <v>240.949</v>
      </c>
      <c r="LK114" s="21" t="n">
        <v>373.561</v>
      </c>
      <c r="LL114" s="21" t="n">
        <v>433.734</v>
      </c>
      <c r="LM114" s="21" t="n">
        <v>70.318</v>
      </c>
      <c r="LN114" s="21" t="n">
        <v>94.783</v>
      </c>
      <c r="LO114" s="21" t="n">
        <v>47.071</v>
      </c>
      <c r="LP114" s="21" t="n">
        <v>158.493</v>
      </c>
      <c r="LQ114" s="21" t="n"/>
      <c r="LR114" s="21" t="n"/>
      <c r="LS114" s="21" t="n">
        <v>104.899</v>
      </c>
      <c r="LT114" s="21" t="n">
        <v>36.476</v>
      </c>
      <c r="LU114" s="21" t="n">
        <v>23.01</v>
      </c>
      <c r="LV114" s="21" t="n">
        <v>87.514</v>
      </c>
      <c r="LW114" s="21" t="n">
        <v>104.871</v>
      </c>
      <c r="LX114" s="21" t="n">
        <v>45.334</v>
      </c>
      <c r="LY114" s="21" t="n">
        <v>556.772</v>
      </c>
      <c r="LZ114" s="21" t="n">
        <v>96.73099999999999</v>
      </c>
      <c r="MA114" s="21" t="n">
        <v>637.136</v>
      </c>
      <c r="MB114" s="21" t="n">
        <v>348.61</v>
      </c>
      <c r="MC114" s="21" t="n">
        <v>281.294</v>
      </c>
      <c r="MD114" s="21" t="n">
        <v>178.83</v>
      </c>
      <c r="ME114" s="21" t="n">
        <v>121.6</v>
      </c>
      <c r="MF114" s="21" t="n">
        <v>189.984</v>
      </c>
      <c r="MG114" s="21" t="n">
        <v>342.45</v>
      </c>
      <c r="MH114" s="21" t="n">
        <v>208.95</v>
      </c>
      <c r="MI114" s="21" t="n">
        <v>551.272</v>
      </c>
      <c r="MJ114" s="21" t="n"/>
      <c r="MK114" s="21" t="n">
        <v>395.684</v>
      </c>
      <c r="ML114" s="21" t="n">
        <v>228.456</v>
      </c>
      <c r="MM114" s="21" t="n">
        <v>281.157</v>
      </c>
      <c r="MN114" s="21" t="n">
        <v>447.359</v>
      </c>
      <c r="MO114" s="21" t="n">
        <v>186.779</v>
      </c>
      <c r="MP114" s="21" t="n">
        <v>349.395</v>
      </c>
      <c r="MQ114" s="21" t="n">
        <v>86.864</v>
      </c>
      <c r="MR114" s="21" t="n">
        <v>199.147</v>
      </c>
      <c r="MS114" s="21" t="n"/>
      <c r="MT114" s="21" t="n">
        <v>301.981</v>
      </c>
      <c r="MU114" s="21" t="n">
        <v>319.309</v>
      </c>
      <c r="MV114" s="21" t="n">
        <v>311.714</v>
      </c>
      <c r="MW114" s="21" t="n">
        <v>318.629</v>
      </c>
      <c r="MX114" s="21" t="n">
        <v>284.261</v>
      </c>
      <c r="MY114" s="21" t="n">
        <v>273.211</v>
      </c>
      <c r="MZ114" s="21" t="n">
        <v>274.001</v>
      </c>
      <c r="NA114" s="21" t="n">
        <v>279.247</v>
      </c>
      <c r="NB114" s="21" t="n">
        <v>124.3</v>
      </c>
      <c r="NC114" s="21" t="n">
        <v>224.786</v>
      </c>
      <c r="ND114" s="21" t="n">
        <v>180.794</v>
      </c>
      <c r="NE114" s="21" t="n">
        <v>177.054</v>
      </c>
      <c r="NF114" s="21" t="n">
        <v>165.555</v>
      </c>
      <c r="NG114" s="21" t="n">
        <v>163.893</v>
      </c>
      <c r="NH114" s="21" t="n">
        <v>316.232</v>
      </c>
      <c r="NI114" s="21" t="n">
        <v>123.167</v>
      </c>
      <c r="NJ114" s="21" t="n">
        <v>55.483</v>
      </c>
      <c r="NK114" s="21" t="n">
        <v>122.634</v>
      </c>
      <c r="NL114" s="21" t="n">
        <v>290.139</v>
      </c>
      <c r="NM114" s="21" t="n">
        <v>326.788</v>
      </c>
      <c r="NN114" s="21" t="n">
        <v>105.722</v>
      </c>
      <c r="NO114" s="21" t="n">
        <v>38.169</v>
      </c>
      <c r="NP114" s="21" t="n">
        <v>279.631</v>
      </c>
      <c r="NQ114" s="21" t="n">
        <v>238.2</v>
      </c>
      <c r="NR114" s="21" t="n">
        <v>301.139</v>
      </c>
      <c r="NS114" s="21" t="n">
        <v>234.992</v>
      </c>
      <c r="NT114" s="21" t="n">
        <v>303.965</v>
      </c>
      <c r="NU114" s="21" t="n">
        <v>139.917</v>
      </c>
      <c r="NV114" s="21" t="n">
        <v>155.057</v>
      </c>
      <c r="NW114" s="21" t="n">
        <v>414.873</v>
      </c>
      <c r="NX114" s="21" t="n">
        <v>84.41500000000001</v>
      </c>
      <c r="NY114" s="21" t="n">
        <v>149.741</v>
      </c>
      <c r="NZ114" s="21" t="n">
        <v>417.135</v>
      </c>
      <c r="OA114" s="21" t="n">
        <v>402.2</v>
      </c>
      <c r="OB114" s="21" t="n">
        <v>416.048</v>
      </c>
      <c r="OC114" s="21" t="n">
        <v>386.111</v>
      </c>
      <c r="OD114" s="21" t="n">
        <v>415.639</v>
      </c>
      <c r="OE114" s="21" t="n">
        <v>130.333</v>
      </c>
      <c r="OF114" s="21" t="n">
        <v>435.299</v>
      </c>
      <c r="OG114" s="21" t="n">
        <v>260.241</v>
      </c>
      <c r="OH114" s="21" t="n">
        <v>32.361</v>
      </c>
      <c r="OI114" s="21" t="n">
        <v>154.249</v>
      </c>
      <c r="OJ114" s="21" t="n">
        <v>31.8</v>
      </c>
      <c r="OK114" s="21" t="n">
        <v>10.6</v>
      </c>
    </row>
    <row r="115">
      <c r="A115" s="22" t="n">
        <v>45444</v>
      </c>
      <c r="B115" s="21" t="n">
        <v>314.175</v>
      </c>
      <c r="C115" s="21" t="n">
        <v>941.129</v>
      </c>
      <c r="D115" s="21" t="n">
        <v>327.144</v>
      </c>
      <c r="E115" s="21" t="n">
        <v>329.71</v>
      </c>
      <c r="F115" s="21" t="n">
        <v>305.752</v>
      </c>
      <c r="G115" s="21" t="n">
        <v>356.938</v>
      </c>
      <c r="H115" s="21" t="n">
        <v>286.565</v>
      </c>
      <c r="I115" s="21" t="n">
        <v>327.564</v>
      </c>
      <c r="J115" s="21" t="n">
        <v>276.877</v>
      </c>
      <c r="K115" s="21" t="n">
        <v>289.771</v>
      </c>
      <c r="L115" s="21" t="n">
        <v>191.887</v>
      </c>
      <c r="M115" s="21" t="n">
        <v>397.954</v>
      </c>
      <c r="N115" s="21" t="n">
        <v>240.668</v>
      </c>
      <c r="O115" s="21" t="n">
        <v>433.745</v>
      </c>
      <c r="P115" s="21" t="n">
        <v>471.074</v>
      </c>
      <c r="Q115" s="21" t="n">
        <v>234.344</v>
      </c>
      <c r="R115" s="21" t="n">
        <v>370.569</v>
      </c>
      <c r="S115" s="21" t="n">
        <v>390.994</v>
      </c>
      <c r="T115" s="21" t="n">
        <v>348.181</v>
      </c>
      <c r="U115" s="21" t="n">
        <v>359.723</v>
      </c>
      <c r="V115" s="21" t="n">
        <v>391.962</v>
      </c>
      <c r="W115" s="21" t="n">
        <v>440.658</v>
      </c>
      <c r="X115" s="21" t="n">
        <v>349.708</v>
      </c>
      <c r="Y115" s="21" t="n">
        <v>323.848</v>
      </c>
      <c r="Z115" s="21" t="n">
        <v>326.526</v>
      </c>
      <c r="AA115" s="21" t="n">
        <v>334.44</v>
      </c>
      <c r="AB115" s="21" t="n">
        <v>421.277</v>
      </c>
      <c r="AC115" s="21" t="n">
        <v>361.504</v>
      </c>
      <c r="AD115" s="21" t="n">
        <v>344.129</v>
      </c>
      <c r="AE115" s="21" t="n">
        <v>278.772</v>
      </c>
      <c r="AF115" s="21" t="n">
        <v>350.075</v>
      </c>
      <c r="AG115" s="21" t="n">
        <v>268.013</v>
      </c>
      <c r="AH115" s="21" t="n">
        <v>201.106</v>
      </c>
      <c r="AI115" s="21" t="n">
        <v>373.309</v>
      </c>
      <c r="AJ115" s="21" t="n">
        <v>186.158</v>
      </c>
      <c r="AK115" s="21" t="n">
        <v>246.658</v>
      </c>
      <c r="AL115" s="21" t="n">
        <v>273.263</v>
      </c>
      <c r="AM115" s="21" t="n">
        <v>250.87</v>
      </c>
      <c r="AN115" s="21" t="n">
        <v>162.037</v>
      </c>
      <c r="AO115" s="21" t="n">
        <v>287.135</v>
      </c>
      <c r="AP115" s="21" t="n">
        <v>296.953</v>
      </c>
      <c r="AQ115" s="21" t="n">
        <v>187.573</v>
      </c>
      <c r="AR115" s="21" t="n"/>
      <c r="AS115" s="21" t="n"/>
      <c r="AT115" s="21" t="n">
        <v>305.323</v>
      </c>
      <c r="AU115" s="21" t="n">
        <v>195.345</v>
      </c>
      <c r="AV115" s="21" t="n">
        <v>329.301</v>
      </c>
      <c r="AW115" s="21" t="n">
        <v>289.735</v>
      </c>
      <c r="AX115" s="21" t="n">
        <v>203.149</v>
      </c>
      <c r="AY115" s="21" t="n">
        <v>353.556</v>
      </c>
      <c r="AZ115" s="21" t="n">
        <v>223.554</v>
      </c>
      <c r="BA115" s="21" t="n">
        <v>173.636</v>
      </c>
      <c r="BB115" s="21" t="n">
        <v>248.78</v>
      </c>
      <c r="BC115" s="21" t="n">
        <v>372.208</v>
      </c>
      <c r="BD115" s="21" t="n">
        <v>292.475</v>
      </c>
      <c r="BE115" s="21" t="n">
        <v>268.098</v>
      </c>
      <c r="BF115" s="21" t="n">
        <v>173.621</v>
      </c>
      <c r="BG115" s="21" t="n">
        <v>250.417</v>
      </c>
      <c r="BH115" s="21" t="n">
        <v>179.575</v>
      </c>
      <c r="BI115" s="21" t="n">
        <v>260.934</v>
      </c>
      <c r="BJ115" s="21" t="n">
        <v>276.107</v>
      </c>
      <c r="BK115" s="21" t="n">
        <v>192.694</v>
      </c>
      <c r="BL115" s="21" t="n">
        <v>348.901</v>
      </c>
      <c r="BM115" s="21" t="n">
        <v>390.244</v>
      </c>
      <c r="BN115" s="21" t="n">
        <v>400.923</v>
      </c>
      <c r="BO115" s="21" t="n">
        <v>338.506</v>
      </c>
      <c r="BP115" s="21" t="n">
        <v>210.306</v>
      </c>
      <c r="BQ115" s="21" t="n">
        <v>293.395</v>
      </c>
      <c r="BR115" s="21" t="n">
        <v>586.938</v>
      </c>
      <c r="BS115" s="21" t="n">
        <v>135.28</v>
      </c>
      <c r="BT115" s="21" t="n">
        <v>377.612</v>
      </c>
      <c r="BU115" s="21" t="n">
        <v>427.461</v>
      </c>
      <c r="BV115" s="21" t="n">
        <v>408.247</v>
      </c>
      <c r="BW115" s="21" t="n">
        <v>346.809</v>
      </c>
      <c r="BX115" s="21" t="n">
        <v>373.921</v>
      </c>
      <c r="BY115" s="21" t="n">
        <v>204.455</v>
      </c>
      <c r="BZ115" s="21" t="n">
        <v>217.783</v>
      </c>
      <c r="CA115" s="21" t="n">
        <v>206.802</v>
      </c>
      <c r="CB115" s="21" t="n">
        <v>232.161</v>
      </c>
      <c r="CC115" s="21" t="n">
        <v>187.264</v>
      </c>
      <c r="CD115" s="21" t="n">
        <v>266.265</v>
      </c>
      <c r="CE115" s="21" t="n">
        <v>194.397</v>
      </c>
      <c r="CF115" s="21" t="n">
        <v>231.77</v>
      </c>
      <c r="CG115" s="21" t="n">
        <v>219.373</v>
      </c>
      <c r="CH115" s="21" t="n">
        <v>174.72</v>
      </c>
      <c r="CI115" s="21" t="n">
        <v>226.943</v>
      </c>
      <c r="CJ115" s="21" t="n">
        <v>266.073</v>
      </c>
      <c r="CK115" s="21" t="n">
        <v>154.779</v>
      </c>
      <c r="CL115" s="21" t="n">
        <v>142.471</v>
      </c>
      <c r="CM115" s="21" t="n">
        <v>233.741</v>
      </c>
      <c r="CN115" s="21" t="n">
        <v>245.582</v>
      </c>
      <c r="CO115" s="21" t="n">
        <v>220.12</v>
      </c>
      <c r="CP115" s="21" t="n">
        <v>161.512</v>
      </c>
      <c r="CQ115" s="21" t="n">
        <v>274.285</v>
      </c>
      <c r="CR115" s="21" t="n">
        <v>288.533</v>
      </c>
      <c r="CS115" s="21" t="n">
        <v>270.568</v>
      </c>
      <c r="CT115" s="21" t="n">
        <v>194.242</v>
      </c>
      <c r="CU115" s="21" t="n">
        <v>196.8</v>
      </c>
      <c r="CV115" s="21" t="n">
        <v>319.909</v>
      </c>
      <c r="CW115" s="21" t="n">
        <v>282.851</v>
      </c>
      <c r="CX115" s="21" t="n">
        <v>318.776</v>
      </c>
      <c r="CY115" s="21" t="n">
        <v>471.476</v>
      </c>
      <c r="CZ115" s="21" t="n">
        <v>174.333</v>
      </c>
      <c r="DA115" s="21" t="n">
        <v>229.617</v>
      </c>
      <c r="DB115" s="21" t="n">
        <v>191.017</v>
      </c>
      <c r="DC115" s="21" t="n">
        <v>288.695</v>
      </c>
      <c r="DD115" s="21" t="n">
        <v>324.996</v>
      </c>
      <c r="DE115" s="21" t="n">
        <v>211.395</v>
      </c>
      <c r="DF115" s="21" t="n">
        <v>312.857</v>
      </c>
      <c r="DG115" s="21" t="n">
        <v>311.227</v>
      </c>
      <c r="DH115" s="21" t="n">
        <v>186.477</v>
      </c>
      <c r="DI115" s="21" t="n">
        <v>192.365</v>
      </c>
      <c r="DJ115" s="21" t="n">
        <v>186.584</v>
      </c>
      <c r="DK115" s="21" t="n">
        <v>354.382</v>
      </c>
      <c r="DL115" s="21" t="n">
        <v>225.509</v>
      </c>
      <c r="DM115" s="21" t="n">
        <v>172.21</v>
      </c>
      <c r="DN115" s="21" t="n">
        <v>156.469</v>
      </c>
      <c r="DO115" s="21" t="n">
        <v>368.616</v>
      </c>
      <c r="DP115" s="21" t="n">
        <v>226.754</v>
      </c>
      <c r="DQ115" s="21" t="n">
        <v>242.533</v>
      </c>
      <c r="DR115" s="21" t="n">
        <v>200.433</v>
      </c>
      <c r="DS115" s="21" t="n">
        <v>196.143</v>
      </c>
      <c r="DT115" s="21" t="n">
        <v>232.777</v>
      </c>
      <c r="DU115" s="21" t="n">
        <v>244.043</v>
      </c>
      <c r="DV115" s="21" t="n">
        <v>290.825</v>
      </c>
      <c r="DW115" s="21" t="n">
        <v>229.78</v>
      </c>
      <c r="DX115" s="21" t="n">
        <v>276.065</v>
      </c>
      <c r="DY115" s="21" t="n">
        <v>210.209</v>
      </c>
      <c r="DZ115" s="21" t="n">
        <v>225.773</v>
      </c>
      <c r="EA115" s="21" t="n">
        <v>203.708</v>
      </c>
      <c r="EB115" s="21" t="n">
        <v>182.981</v>
      </c>
      <c r="EC115" s="21" t="n">
        <v>428.157</v>
      </c>
      <c r="ED115" s="21" t="n">
        <v>209.037</v>
      </c>
      <c r="EE115" s="21" t="n">
        <v>232.516</v>
      </c>
      <c r="EF115" s="21" t="n">
        <v>237.547</v>
      </c>
      <c r="EG115" s="21" t="n">
        <v>334.087</v>
      </c>
      <c r="EH115" s="21" t="n">
        <v>400.234</v>
      </c>
      <c r="EI115" s="21" t="n">
        <v>418.82</v>
      </c>
      <c r="EJ115" s="21" t="n">
        <v>197.362</v>
      </c>
      <c r="EK115" s="21" t="n">
        <v>637.506</v>
      </c>
      <c r="EL115" s="21" t="n">
        <v>409.738</v>
      </c>
      <c r="EM115" s="21" t="n">
        <v>410.428</v>
      </c>
      <c r="EN115" s="21" t="n">
        <v>410.464</v>
      </c>
      <c r="EO115" s="21" t="n">
        <v>157.614</v>
      </c>
      <c r="EP115" s="21" t="n">
        <v>316.248</v>
      </c>
      <c r="EQ115" s="21" t="n">
        <v>265.662</v>
      </c>
      <c r="ER115" s="21" t="n">
        <v>358.323</v>
      </c>
      <c r="ES115" s="21" t="n">
        <v>356.646</v>
      </c>
      <c r="ET115" s="21" t="n">
        <v>418.071</v>
      </c>
      <c r="EU115" s="21" t="n">
        <v>270.669</v>
      </c>
      <c r="EV115" s="21" t="n">
        <v>283.25</v>
      </c>
      <c r="EW115" s="21" t="n">
        <v>227.478</v>
      </c>
      <c r="EX115" s="21" t="n">
        <v>300.652</v>
      </c>
      <c r="EY115" s="21" t="n">
        <v>689.664</v>
      </c>
      <c r="EZ115" s="21" t="n">
        <v>611.946</v>
      </c>
      <c r="FA115" s="21" t="n">
        <v>147.583</v>
      </c>
      <c r="FB115" s="21" t="n">
        <v>59.841</v>
      </c>
      <c r="FC115" s="21" t="n">
        <v>129.754</v>
      </c>
      <c r="FD115" s="21" t="n">
        <v>81.282</v>
      </c>
      <c r="FE115" s="21" t="n">
        <v>40.112</v>
      </c>
      <c r="FF115" s="21" t="n">
        <v>130.479</v>
      </c>
      <c r="FG115" s="21" t="n">
        <v>144.713</v>
      </c>
      <c r="FH115" s="21" t="n">
        <v>103.91</v>
      </c>
      <c r="FI115" s="21" t="n">
        <v>77.54600000000001</v>
      </c>
      <c r="FJ115" s="21" t="n"/>
      <c r="FK115" s="21" t="n">
        <v>85.38</v>
      </c>
      <c r="FL115" s="21" t="n">
        <v>90.646</v>
      </c>
      <c r="FM115" s="21" t="n">
        <v>105.476</v>
      </c>
      <c r="FN115" s="21" t="n">
        <v>74.95999999999999</v>
      </c>
      <c r="FO115" s="21" t="n">
        <v>54.374</v>
      </c>
      <c r="FP115" s="21" t="n">
        <v>39.695</v>
      </c>
      <c r="FQ115" s="21" t="n">
        <v>164.905</v>
      </c>
      <c r="FR115" s="21" t="n">
        <v>44.202</v>
      </c>
      <c r="FS115" s="21" t="n">
        <v>77.077</v>
      </c>
      <c r="FT115" s="21" t="n">
        <v>110.769</v>
      </c>
      <c r="FU115" s="21" t="n">
        <v>120.215</v>
      </c>
      <c r="FV115" s="21" t="n">
        <v>106.963</v>
      </c>
      <c r="FW115" s="21" t="n">
        <v>234.582</v>
      </c>
      <c r="FX115" s="21" t="n">
        <v>149.338</v>
      </c>
      <c r="FY115" s="21" t="n">
        <v>232.201</v>
      </c>
      <c r="FZ115" s="21" t="n">
        <v>140.119</v>
      </c>
      <c r="GA115" s="21" t="n"/>
      <c r="GB115" s="21" t="n"/>
      <c r="GC115" s="21" t="n"/>
      <c r="GD115" s="21" t="n">
        <v>203.653</v>
      </c>
      <c r="GE115" s="21" t="n"/>
      <c r="GF115" s="21" t="n">
        <v>131.525</v>
      </c>
      <c r="GG115" s="21" t="n">
        <v>127.815</v>
      </c>
      <c r="GH115" s="21" t="n">
        <v>130.786</v>
      </c>
      <c r="GI115" s="21" t="n">
        <v>96.2</v>
      </c>
      <c r="GJ115" s="21" t="n">
        <v>184.141</v>
      </c>
      <c r="GK115" s="21" t="n">
        <v>80.371</v>
      </c>
      <c r="GL115" s="21" t="n">
        <v>137.185</v>
      </c>
      <c r="GM115" s="21" t="n">
        <v>115.206</v>
      </c>
      <c r="GN115" s="21" t="n">
        <v>109.482</v>
      </c>
      <c r="GO115" s="21" t="n">
        <v>110.728</v>
      </c>
      <c r="GP115" s="21" t="n">
        <v>102.262</v>
      </c>
      <c r="GQ115" s="21" t="n">
        <v>107.543</v>
      </c>
      <c r="GR115" s="21" t="n">
        <v>74.613</v>
      </c>
      <c r="GS115" s="21" t="n">
        <v>114.216</v>
      </c>
      <c r="GT115" s="21" t="n">
        <v>104.376</v>
      </c>
      <c r="GU115" s="21" t="n">
        <v>145.629</v>
      </c>
      <c r="GV115" s="21" t="n">
        <v>150.251</v>
      </c>
      <c r="GW115" s="21" t="n">
        <v>163.527</v>
      </c>
      <c r="GX115" s="21" t="n">
        <v>133.523</v>
      </c>
      <c r="GY115" s="21" t="n">
        <v>123.999</v>
      </c>
      <c r="GZ115" s="21" t="n">
        <v>205.61</v>
      </c>
      <c r="HA115" s="21" t="n">
        <v>157.433</v>
      </c>
      <c r="HB115" s="21" t="n">
        <v>205.402</v>
      </c>
      <c r="HC115" s="21" t="n">
        <v>273.579</v>
      </c>
      <c r="HD115" s="21" t="n">
        <v>273.161</v>
      </c>
      <c r="HE115" s="21" t="n">
        <v>124.899</v>
      </c>
      <c r="HF115" s="21" t="n">
        <v>178.001</v>
      </c>
      <c r="HG115" s="21" t="n"/>
      <c r="HH115" s="21" t="n">
        <v>172.605</v>
      </c>
      <c r="HI115" s="21" t="n">
        <v>190.01</v>
      </c>
      <c r="HJ115" s="21" t="n"/>
      <c r="HK115" s="21" t="n">
        <v>181.603</v>
      </c>
      <c r="HL115" s="21" t="n"/>
      <c r="HM115" s="21" t="n">
        <v>171.757</v>
      </c>
      <c r="HN115" s="21" t="n">
        <v>309.12</v>
      </c>
      <c r="HO115" s="21" t="n">
        <v>308.475</v>
      </c>
      <c r="HP115" s="21" t="n">
        <v>301.766</v>
      </c>
      <c r="HQ115" s="21" t="n">
        <v>337.595</v>
      </c>
      <c r="HR115" s="21" t="n">
        <v>331.451</v>
      </c>
      <c r="HS115" s="21" t="n">
        <v>281.721</v>
      </c>
      <c r="HT115" s="21" t="n">
        <v>180.307</v>
      </c>
      <c r="HU115" s="21" t="n">
        <v>152.477</v>
      </c>
      <c r="HV115" s="21" t="n">
        <v>219.606</v>
      </c>
      <c r="HW115" s="21" t="n">
        <v>203.071</v>
      </c>
      <c r="HX115" s="21" t="n">
        <v>487.856</v>
      </c>
      <c r="HY115" s="21" t="n">
        <v>406.321</v>
      </c>
      <c r="HZ115" s="21" t="n">
        <v>415.114</v>
      </c>
      <c r="IA115" s="21" t="n">
        <v>350.37</v>
      </c>
      <c r="IB115" s="21" t="n">
        <v>267.432</v>
      </c>
      <c r="IC115" s="21" t="n">
        <v>843.579</v>
      </c>
      <c r="ID115" s="21" t="n">
        <v>212.009</v>
      </c>
      <c r="IE115" s="21" t="n">
        <v>196.593</v>
      </c>
      <c r="IF115" s="21" t="n">
        <v>236.272</v>
      </c>
      <c r="IG115" s="21" t="n">
        <v>279.387</v>
      </c>
      <c r="IH115" s="21" t="n"/>
      <c r="II115" s="21" t="n">
        <v>265.994</v>
      </c>
      <c r="IJ115" s="21" t="n">
        <v>265.061</v>
      </c>
      <c r="IK115" s="21" t="n">
        <v>163.129</v>
      </c>
      <c r="IL115" s="21" t="n"/>
      <c r="IM115" s="21" t="n"/>
      <c r="IN115" s="21" t="n">
        <v>66.432</v>
      </c>
      <c r="IO115" s="21" t="n">
        <v>342.578</v>
      </c>
      <c r="IP115" s="21" t="n">
        <v>131.073</v>
      </c>
      <c r="IQ115" s="21" t="n">
        <v>565.301</v>
      </c>
      <c r="IR115" s="21" t="n">
        <v>416.812</v>
      </c>
      <c r="IS115" s="21" t="n">
        <v>136.229</v>
      </c>
      <c r="IT115" s="21" t="n">
        <v>562.3390000000001</v>
      </c>
      <c r="IU115" s="21" t="n">
        <v>112.015</v>
      </c>
      <c r="IV115" s="21" t="n">
        <v>111.84</v>
      </c>
      <c r="IW115" s="21" t="n">
        <v>613.033</v>
      </c>
      <c r="IX115" s="21" t="n">
        <v>427.285</v>
      </c>
      <c r="IY115" s="21" t="n">
        <v>415.961</v>
      </c>
      <c r="IZ115" s="21" t="n">
        <v>599.578</v>
      </c>
      <c r="JA115" s="21" t="n">
        <v>209.114</v>
      </c>
      <c r="JB115" s="21" t="n">
        <v>260.744</v>
      </c>
      <c r="JC115" s="21" t="n">
        <v>99.605</v>
      </c>
      <c r="JD115" s="21" t="n">
        <v>417.648</v>
      </c>
      <c r="JE115" s="21" t="n"/>
      <c r="JF115" s="21" t="n">
        <v>920.715</v>
      </c>
      <c r="JG115" s="21" t="n">
        <v>285.88</v>
      </c>
      <c r="JH115" s="21" t="n">
        <v>168.335</v>
      </c>
      <c r="JI115" s="21" t="n">
        <v>143.455</v>
      </c>
      <c r="JJ115" s="21" t="n">
        <v>138.115</v>
      </c>
      <c r="JK115" s="21" t="n">
        <v>117.379</v>
      </c>
      <c r="JL115" s="21" t="n">
        <v>106.036</v>
      </c>
      <c r="JM115" s="21" t="n">
        <v>581.249</v>
      </c>
      <c r="JN115" s="21" t="n">
        <v>101.687</v>
      </c>
      <c r="JO115" s="21" t="n">
        <v>75.18600000000001</v>
      </c>
      <c r="JP115" s="21" t="n">
        <v>43.559</v>
      </c>
      <c r="JQ115" s="21" t="n">
        <v>152.068</v>
      </c>
      <c r="JR115" s="21" t="n">
        <v>24.785</v>
      </c>
      <c r="JS115" s="21" t="n">
        <v>84.223</v>
      </c>
      <c r="JT115" s="21" t="n">
        <v>224.003</v>
      </c>
      <c r="JU115" s="21" t="n">
        <v>241.997</v>
      </c>
      <c r="JV115" s="21" t="n">
        <v>191.895</v>
      </c>
      <c r="JW115" s="21" t="n">
        <v>131.726</v>
      </c>
      <c r="JX115" s="21" t="n">
        <v>343.615</v>
      </c>
      <c r="JY115" s="21" t="n">
        <v>251.955</v>
      </c>
      <c r="JZ115" s="21" t="n">
        <v>369.982</v>
      </c>
      <c r="KA115" s="21" t="n">
        <v>125.024</v>
      </c>
      <c r="KB115" s="21" t="n">
        <v>173.259</v>
      </c>
      <c r="KC115" s="21" t="n">
        <v>84.842</v>
      </c>
      <c r="KD115" s="21" t="n">
        <v>86.099</v>
      </c>
      <c r="KE115" s="21" t="n">
        <v>69.375</v>
      </c>
      <c r="KF115" s="21" t="n"/>
      <c r="KG115" s="21" t="n">
        <v>28.615</v>
      </c>
      <c r="KH115" s="21" t="n">
        <v>133.742</v>
      </c>
      <c r="KI115" s="21" t="n"/>
      <c r="KJ115" s="21" t="n"/>
      <c r="KK115" s="21" t="n">
        <v>33.221</v>
      </c>
      <c r="KL115" s="21" t="n">
        <v>28.039</v>
      </c>
      <c r="KM115" s="21" t="n">
        <v>37.557</v>
      </c>
      <c r="KN115" s="21" t="n"/>
      <c r="KO115" s="21" t="n">
        <v>108.437</v>
      </c>
      <c r="KP115" s="21" t="n">
        <v>121.965</v>
      </c>
      <c r="KQ115" s="21" t="n">
        <v>200.159</v>
      </c>
      <c r="KR115" s="21" t="n">
        <v>162.363</v>
      </c>
      <c r="KS115" s="21" t="n">
        <v>462.08</v>
      </c>
      <c r="KT115" s="21" t="n">
        <v>225.668</v>
      </c>
      <c r="KU115" s="21" t="n">
        <v>248.772</v>
      </c>
      <c r="KV115" s="21" t="n">
        <v>392.267</v>
      </c>
      <c r="KW115" s="21" t="n">
        <v>291.004</v>
      </c>
      <c r="KX115" s="21" t="n">
        <v>226.625</v>
      </c>
      <c r="KY115" s="21" t="n">
        <v>100.234</v>
      </c>
      <c r="KZ115" s="21" t="n">
        <v>145.902</v>
      </c>
      <c r="LA115" s="21" t="n">
        <v>297.42</v>
      </c>
      <c r="LB115" s="21" t="n"/>
      <c r="LC115" s="21" t="n">
        <v>237.642</v>
      </c>
      <c r="LD115" s="21" t="n">
        <v>856.952</v>
      </c>
      <c r="LE115" s="21" t="n">
        <v>929.744</v>
      </c>
      <c r="LF115" s="21" t="n">
        <v>98.248</v>
      </c>
      <c r="LG115" s="21" t="n">
        <v>363.888</v>
      </c>
      <c r="LH115" s="21" t="n">
        <v>275.15</v>
      </c>
      <c r="LI115" s="21" t="n">
        <v>74.554</v>
      </c>
      <c r="LJ115" s="21" t="n">
        <v>240.752</v>
      </c>
      <c r="LK115" s="21" t="n">
        <v>373.561</v>
      </c>
      <c r="LL115" s="21" t="n">
        <v>431.08</v>
      </c>
      <c r="LM115" s="21" t="n">
        <v>70.145</v>
      </c>
      <c r="LN115" s="21" t="n">
        <v>94.693</v>
      </c>
      <c r="LO115" s="21" t="n">
        <v>47.057</v>
      </c>
      <c r="LP115" s="21" t="n">
        <v>157.694</v>
      </c>
      <c r="LQ115" s="21" t="n"/>
      <c r="LR115" s="21" t="n"/>
      <c r="LS115" s="21" t="n">
        <v>104.501</v>
      </c>
      <c r="LT115" s="21" t="n">
        <v>35.778</v>
      </c>
      <c r="LU115" s="21" t="n">
        <v>23.284</v>
      </c>
      <c r="LV115" s="21" t="n">
        <v>87.18600000000001</v>
      </c>
      <c r="LW115" s="21" t="n">
        <v>105.551</v>
      </c>
      <c r="LX115" s="21" t="n">
        <v>45.252</v>
      </c>
      <c r="LY115" s="21" t="n">
        <v>559.708</v>
      </c>
      <c r="LZ115" s="21" t="n">
        <v>97.19799999999999</v>
      </c>
      <c r="MA115" s="21" t="n">
        <v>640.101</v>
      </c>
      <c r="MB115" s="21" t="n">
        <v>350.593</v>
      </c>
      <c r="MC115" s="21" t="n">
        <v>282.807</v>
      </c>
      <c r="MD115" s="21" t="n">
        <v>178.682</v>
      </c>
      <c r="ME115" s="21" t="n">
        <v>121.162</v>
      </c>
      <c r="MF115" s="21" t="n">
        <v>190.421</v>
      </c>
      <c r="MG115" s="21" t="n">
        <v>344.506</v>
      </c>
      <c r="MH115" s="21" t="n">
        <v>210.205</v>
      </c>
      <c r="MI115" s="21" t="n">
        <v>557.6180000000001</v>
      </c>
      <c r="MJ115" s="21" t="n"/>
      <c r="MK115" s="21" t="n">
        <v>396.105</v>
      </c>
      <c r="ML115" s="21" t="n">
        <v>229.128</v>
      </c>
      <c r="MM115" s="21" t="n">
        <v>280.79</v>
      </c>
      <c r="MN115" s="21" t="n">
        <v>440.931</v>
      </c>
      <c r="MO115" s="21" t="n">
        <v>186.779</v>
      </c>
      <c r="MP115" s="21" t="n">
        <v>342.083</v>
      </c>
      <c r="MQ115" s="21" t="n">
        <v>86.38200000000001</v>
      </c>
      <c r="MR115" s="21" t="n">
        <v>199.717</v>
      </c>
      <c r="MS115" s="21" t="n"/>
      <c r="MT115" s="21" t="n">
        <v>302.043</v>
      </c>
      <c r="MU115" s="21" t="n">
        <v>319.712</v>
      </c>
      <c r="MV115" s="21" t="n">
        <v>311.75</v>
      </c>
      <c r="MW115" s="21" t="n">
        <v>319.003</v>
      </c>
      <c r="MX115" s="21" t="n">
        <v>284.023</v>
      </c>
      <c r="MY115" s="21" t="n">
        <v>272.791</v>
      </c>
      <c r="MZ115" s="21" t="n">
        <v>274.04</v>
      </c>
      <c r="NA115" s="21" t="n">
        <v>279.245</v>
      </c>
      <c r="NB115" s="21" t="n">
        <v>123.396</v>
      </c>
      <c r="NC115" s="21" t="n">
        <v>223.956</v>
      </c>
      <c r="ND115" s="21" t="n">
        <v>179.536</v>
      </c>
      <c r="NE115" s="21" t="n">
        <v>175.756</v>
      </c>
      <c r="NF115" s="21" t="n">
        <v>165.493</v>
      </c>
      <c r="NG115" s="21" t="n">
        <v>163.759</v>
      </c>
      <c r="NH115" s="21" t="n">
        <v>316.233</v>
      </c>
      <c r="NI115" s="21" t="n">
        <v>123.098</v>
      </c>
      <c r="NJ115" s="21" t="n">
        <v>55.221</v>
      </c>
      <c r="NK115" s="21" t="n">
        <v>122.678</v>
      </c>
      <c r="NL115" s="21" t="n">
        <v>286.675</v>
      </c>
      <c r="NM115" s="21" t="n">
        <v>314.299</v>
      </c>
      <c r="NN115" s="21" t="n">
        <v>105.606</v>
      </c>
      <c r="NO115" s="21" t="n">
        <v>38.022</v>
      </c>
      <c r="NP115" s="21" t="n">
        <v>278.261</v>
      </c>
      <c r="NQ115" s="21" t="n">
        <v>235.322</v>
      </c>
      <c r="NR115" s="21" t="n">
        <v>297.09</v>
      </c>
      <c r="NS115" s="21" t="n">
        <v>231.905</v>
      </c>
      <c r="NT115" s="21" t="n">
        <v>299.427</v>
      </c>
      <c r="NU115" s="21" t="n">
        <v>140.04</v>
      </c>
      <c r="NV115" s="21" t="n">
        <v>156.488</v>
      </c>
      <c r="NW115" s="21" t="n">
        <v>415.335</v>
      </c>
      <c r="NX115" s="21" t="n">
        <v>84.619</v>
      </c>
      <c r="NY115" s="21" t="n">
        <v>149.511</v>
      </c>
      <c r="NZ115" s="21" t="n">
        <v>418.183</v>
      </c>
      <c r="OA115" s="21" t="n">
        <v>403.242</v>
      </c>
      <c r="OB115" s="21" t="n">
        <v>416.733</v>
      </c>
      <c r="OC115" s="21" t="n">
        <v>387.144</v>
      </c>
      <c r="OD115" s="21" t="n">
        <v>416.758</v>
      </c>
      <c r="OE115" s="21" t="n">
        <v>130.493</v>
      </c>
      <c r="OF115" s="21" t="n">
        <v>432.521</v>
      </c>
      <c r="OG115" s="21" t="n">
        <v>260.818</v>
      </c>
      <c r="OH115" s="21" t="n">
        <v>32.38</v>
      </c>
      <c r="OI115" s="21" t="n">
        <v>153.301</v>
      </c>
      <c r="OJ115" s="21" t="n">
        <v>31.8</v>
      </c>
      <c r="OK115" s="21" t="n">
        <v>10.6</v>
      </c>
    </row>
    <row r="116">
      <c r="A116" s="22" t="n">
        <v>45474</v>
      </c>
      <c r="B116" s="21" t="n">
        <v>314.54</v>
      </c>
      <c r="C116" s="21" t="n">
        <v>942.221</v>
      </c>
      <c r="D116" s="21" t="n">
        <v>327.956</v>
      </c>
      <c r="E116" s="21" t="n">
        <v>330.561</v>
      </c>
      <c r="F116" s="21" t="n">
        <v>306.643</v>
      </c>
      <c r="G116" s="21" t="n">
        <v>356.525</v>
      </c>
      <c r="H116" s="21" t="n">
        <v>287.23</v>
      </c>
      <c r="I116" s="21" t="n">
        <v>329.495</v>
      </c>
      <c r="J116" s="21" t="n">
        <v>276.963</v>
      </c>
      <c r="K116" s="21" t="n">
        <v>290.57</v>
      </c>
      <c r="L116" s="21" t="n">
        <v>191.168</v>
      </c>
      <c r="M116" s="21" t="n">
        <v>396.913</v>
      </c>
      <c r="N116" s="21" t="n">
        <v>238.079</v>
      </c>
      <c r="O116" s="21" t="n">
        <v>429.516</v>
      </c>
      <c r="P116" s="21" t="n">
        <v>464.649</v>
      </c>
      <c r="Q116" s="21" t="n">
        <v>234.319</v>
      </c>
      <c r="R116" s="21" t="n">
        <v>373.324</v>
      </c>
      <c r="S116" s="21" t="n">
        <v>391.446</v>
      </c>
      <c r="T116" s="21" t="n">
        <v>353.258</v>
      </c>
      <c r="U116" s="21" t="n">
        <v>357.968</v>
      </c>
      <c r="V116" s="21" t="n">
        <v>392.65</v>
      </c>
      <c r="W116" s="21" t="n">
        <v>436.557</v>
      </c>
      <c r="X116" s="21" t="n">
        <v>350.229</v>
      </c>
      <c r="Y116" s="21" t="n">
        <v>327.013</v>
      </c>
      <c r="Z116" s="21" t="n">
        <v>328.56</v>
      </c>
      <c r="AA116" s="21" t="n">
        <v>338.404</v>
      </c>
      <c r="AB116" s="21" t="n">
        <v>428.954</v>
      </c>
      <c r="AC116" s="21" t="n">
        <v>366.114</v>
      </c>
      <c r="AD116" s="21" t="n">
        <v>350.669</v>
      </c>
      <c r="AE116" s="21" t="n">
        <v>286.692</v>
      </c>
      <c r="AF116" s="21" t="n">
        <v>350.257</v>
      </c>
      <c r="AG116" s="21" t="n">
        <v>270.109</v>
      </c>
      <c r="AH116" s="21" t="n">
        <v>202.553</v>
      </c>
      <c r="AI116" s="21" t="n">
        <v>376.574</v>
      </c>
      <c r="AJ116" s="21" t="n">
        <v>187.816</v>
      </c>
      <c r="AK116" s="21" t="n">
        <v>253.745</v>
      </c>
      <c r="AL116" s="21" t="n">
        <v>281.416</v>
      </c>
      <c r="AM116" s="21" t="n">
        <v>251.027</v>
      </c>
      <c r="AN116" s="21" t="n">
        <v>161.484</v>
      </c>
      <c r="AO116" s="21" t="n">
        <v>288.586</v>
      </c>
      <c r="AP116" s="21" t="n">
        <v>305.243</v>
      </c>
      <c r="AQ116" s="21" t="n">
        <v>187.976</v>
      </c>
      <c r="AR116" s="21" t="n"/>
      <c r="AS116" s="21" t="n"/>
      <c r="AT116" s="21" t="n">
        <v>305.836</v>
      </c>
      <c r="AU116" s="21" t="n">
        <v>195.548</v>
      </c>
      <c r="AV116" s="21" t="n">
        <v>328.836</v>
      </c>
      <c r="AW116" s="21" t="n">
        <v>290.588</v>
      </c>
      <c r="AX116" s="21" t="n">
        <v>204.037</v>
      </c>
      <c r="AY116" s="21" t="n">
        <v>349.664</v>
      </c>
      <c r="AZ116" s="21" t="n">
        <v>218.169</v>
      </c>
      <c r="BA116" s="21" t="n">
        <v>173.823</v>
      </c>
      <c r="BB116" s="21" t="n">
        <v>249.339</v>
      </c>
      <c r="BC116" s="21" t="n">
        <v>369.833</v>
      </c>
      <c r="BD116" s="21" t="n">
        <v>309.048</v>
      </c>
      <c r="BE116" s="21" t="n">
        <v>268.653</v>
      </c>
      <c r="BF116" s="21" t="n">
        <v>175.938</v>
      </c>
      <c r="BG116" s="21" t="n">
        <v>250.55</v>
      </c>
      <c r="BH116" s="21" t="n">
        <v>182.85</v>
      </c>
      <c r="BI116" s="21" t="n">
        <v>261.622</v>
      </c>
      <c r="BJ116" s="21" t="n">
        <v>269.942</v>
      </c>
      <c r="BK116" s="21" t="n">
        <v>193.565</v>
      </c>
      <c r="BL116" s="21" t="n">
        <v>350.962</v>
      </c>
      <c r="BM116" s="21" t="n">
        <v>393.022</v>
      </c>
      <c r="BN116" s="21" t="n">
        <v>402.175</v>
      </c>
      <c r="BO116" s="21" t="n">
        <v>338.11</v>
      </c>
      <c r="BP116" s="21" t="n">
        <v>206.793</v>
      </c>
      <c r="BQ116" s="21" t="n">
        <v>298.233</v>
      </c>
      <c r="BR116" s="21" t="n">
        <v>604.564</v>
      </c>
      <c r="BS116" s="21" t="n">
        <v>135.613</v>
      </c>
      <c r="BT116" s="21" t="n">
        <v>381.981</v>
      </c>
      <c r="BU116" s="21" t="n">
        <v>434.691</v>
      </c>
      <c r="BV116" s="21" t="n">
        <v>407.638</v>
      </c>
      <c r="BW116" s="21" t="n">
        <v>355.918</v>
      </c>
      <c r="BX116" s="21" t="n">
        <v>377.321</v>
      </c>
      <c r="BY116" s="21" t="n">
        <v>204.907</v>
      </c>
      <c r="BZ116" s="21" t="n">
        <v>218.424</v>
      </c>
      <c r="CA116" s="21" t="n">
        <v>205.931</v>
      </c>
      <c r="CB116" s="21" t="n">
        <v>233.717</v>
      </c>
      <c r="CC116" s="21" t="n">
        <v>187.085</v>
      </c>
      <c r="CD116" s="21" t="n">
        <v>267.184</v>
      </c>
      <c r="CE116" s="21" t="n">
        <v>195.399</v>
      </c>
      <c r="CF116" s="21" t="n">
        <v>235.295</v>
      </c>
      <c r="CG116" s="21" t="n">
        <v>220.129</v>
      </c>
      <c r="CH116" s="21" t="n">
        <v>175.156</v>
      </c>
      <c r="CI116" s="21" t="n">
        <v>228.514</v>
      </c>
      <c r="CJ116" s="21" t="n">
        <v>267.82</v>
      </c>
      <c r="CK116" s="21" t="n">
        <v>154.586</v>
      </c>
      <c r="CL116" s="21" t="n">
        <v>143.292</v>
      </c>
      <c r="CM116" s="21" t="n">
        <v>237.454</v>
      </c>
      <c r="CN116" s="21" t="n">
        <v>247.421</v>
      </c>
      <c r="CO116" s="21" t="n">
        <v>227.502</v>
      </c>
      <c r="CP116" s="21" t="n">
        <v>159.776</v>
      </c>
      <c r="CQ116" s="21" t="n">
        <v>273.643</v>
      </c>
      <c r="CR116" s="21" t="n">
        <v>288.38</v>
      </c>
      <c r="CS116" s="21" t="n">
        <v>270.252</v>
      </c>
      <c r="CT116" s="21" t="n">
        <v>195.046</v>
      </c>
      <c r="CU116" s="21" t="n">
        <v>193.985</v>
      </c>
      <c r="CV116" s="21" t="n">
        <v>320.426</v>
      </c>
      <c r="CW116" s="21" t="n">
        <v>283.826</v>
      </c>
      <c r="CX116" s="21" t="n">
        <v>322.422</v>
      </c>
      <c r="CY116" s="21" t="n">
        <v>461.524</v>
      </c>
      <c r="CZ116" s="21" t="n">
        <v>175.372</v>
      </c>
      <c r="DA116" s="21" t="n">
        <v>229.214</v>
      </c>
      <c r="DB116" s="21" t="n">
        <v>191.471</v>
      </c>
      <c r="DC116" s="21" t="n">
        <v>287.75</v>
      </c>
      <c r="DD116" s="21" t="n">
        <v>325.348</v>
      </c>
      <c r="DE116" s="21" t="n">
        <v>213.166</v>
      </c>
      <c r="DF116" s="21" t="n">
        <v>307.989</v>
      </c>
      <c r="DG116" s="21" t="n">
        <v>312.581</v>
      </c>
      <c r="DH116" s="21" t="n">
        <v>190.609</v>
      </c>
      <c r="DI116" s="21" t="n">
        <v>188.741</v>
      </c>
      <c r="DJ116" s="21" t="n">
        <v>186.019</v>
      </c>
      <c r="DK116" s="21" t="n">
        <v>358.741</v>
      </c>
      <c r="DL116" s="21" t="n">
        <v>224.791</v>
      </c>
      <c r="DM116" s="21" t="n">
        <v>171.149</v>
      </c>
      <c r="DN116" s="21" t="n">
        <v>155.099</v>
      </c>
      <c r="DO116" s="21" t="n">
        <v>369.383</v>
      </c>
      <c r="DP116" s="21" t="n">
        <v>227.021</v>
      </c>
      <c r="DQ116" s="21" t="n">
        <v>243.255</v>
      </c>
      <c r="DR116" s="21" t="n">
        <v>200.631</v>
      </c>
      <c r="DS116" s="21" t="n">
        <v>196.631</v>
      </c>
      <c r="DT116" s="21" t="n">
        <v>232.91</v>
      </c>
      <c r="DU116" s="21" t="n">
        <v>244.672</v>
      </c>
      <c r="DV116" s="21" t="n">
        <v>291.088</v>
      </c>
      <c r="DW116" s="21" t="n">
        <v>230.011</v>
      </c>
      <c r="DX116" s="21" t="n">
        <v>276.665</v>
      </c>
      <c r="DY116" s="21" t="n">
        <v>211.128</v>
      </c>
      <c r="DZ116" s="21" t="n">
        <v>224.056</v>
      </c>
      <c r="EA116" s="21" t="n">
        <v>205.137</v>
      </c>
      <c r="EB116" s="21" t="n">
        <v>182.572</v>
      </c>
      <c r="EC116" s="21" t="n">
        <v>428.488</v>
      </c>
      <c r="ED116" s="21" t="n">
        <v>209.686</v>
      </c>
      <c r="EE116" s="21" t="n">
        <v>231.724</v>
      </c>
      <c r="EF116" s="21" t="n">
        <v>237.852</v>
      </c>
      <c r="EG116" s="21" t="n">
        <v>335.056</v>
      </c>
      <c r="EH116" s="21" t="n">
        <v>401.545</v>
      </c>
      <c r="EI116" s="21" t="n">
        <v>420.577</v>
      </c>
      <c r="EJ116" s="21" t="n">
        <v>196.324</v>
      </c>
      <c r="EK116" s="21" t="n">
        <v>642.116</v>
      </c>
      <c r="EL116" s="21" t="n">
        <v>406.609</v>
      </c>
      <c r="EM116" s="21" t="n">
        <v>411.88</v>
      </c>
      <c r="EN116" s="21" t="n">
        <v>411.912</v>
      </c>
      <c r="EO116" s="21" t="n">
        <v>157.667</v>
      </c>
      <c r="EP116" s="21" t="n">
        <v>316.671</v>
      </c>
      <c r="EQ116" s="21" t="n">
        <v>265.712</v>
      </c>
      <c r="ER116" s="21" t="n">
        <v>362.397</v>
      </c>
      <c r="ES116" s="21" t="n">
        <v>363.14</v>
      </c>
      <c r="ET116" s="21" t="n">
        <v>420.112</v>
      </c>
      <c r="EU116" s="21" t="n">
        <v>270.573</v>
      </c>
      <c r="EV116" s="21" t="n">
        <v>283.415</v>
      </c>
      <c r="EW116" s="21" t="n">
        <v>226.593</v>
      </c>
      <c r="EX116" s="21" t="n">
        <v>302.106</v>
      </c>
      <c r="EY116" s="21" t="n">
        <v>693.39</v>
      </c>
      <c r="EZ116" s="21" t="n">
        <v>614.0890000000001</v>
      </c>
      <c r="FA116" s="21" t="n">
        <v>147.788</v>
      </c>
      <c r="FB116" s="21" t="n">
        <v>58.643</v>
      </c>
      <c r="FC116" s="21" t="n">
        <v>127.571</v>
      </c>
      <c r="FD116" s="21" t="n">
        <v>79.151</v>
      </c>
      <c r="FE116" s="21" t="n">
        <v>39.378</v>
      </c>
      <c r="FF116" s="21" t="n">
        <v>129.181</v>
      </c>
      <c r="FG116" s="21" t="n">
        <v>145.055</v>
      </c>
      <c r="FH116" s="21" t="n">
        <v>102.584</v>
      </c>
      <c r="FI116" s="21" t="n">
        <v>75.36799999999999</v>
      </c>
      <c r="FJ116" s="21" t="n"/>
      <c r="FK116" s="21" t="n">
        <v>85.40300000000001</v>
      </c>
      <c r="FL116" s="21" t="n">
        <v>90.64400000000001</v>
      </c>
      <c r="FM116" s="21" t="n">
        <v>105.022</v>
      </c>
      <c r="FN116" s="21" t="n">
        <v>74.994</v>
      </c>
      <c r="FO116" s="21" t="n">
        <v>54.573</v>
      </c>
      <c r="FP116" s="21" t="n">
        <v>40.345</v>
      </c>
      <c r="FQ116" s="21" t="n">
        <v>161.602</v>
      </c>
      <c r="FR116" s="21" t="n">
        <v>45.504</v>
      </c>
      <c r="FS116" s="21" t="n">
        <v>74.739</v>
      </c>
      <c r="FT116" s="21" t="n">
        <v>111.002</v>
      </c>
      <c r="FU116" s="21" t="n">
        <v>120.138</v>
      </c>
      <c r="FV116" s="21" t="n">
        <v>107.412</v>
      </c>
      <c r="FW116" s="21" t="n">
        <v>234.916</v>
      </c>
      <c r="FX116" s="21" t="n">
        <v>150.084</v>
      </c>
      <c r="FY116" s="21" t="n">
        <v>232.439</v>
      </c>
      <c r="FZ116" s="21" t="n">
        <v>139.937</v>
      </c>
      <c r="GA116" s="21" t="n">
        <v>260.422</v>
      </c>
      <c r="GB116" s="21" t="n"/>
      <c r="GC116" s="21" t="n"/>
      <c r="GD116" s="21" t="n">
        <v>205.292</v>
      </c>
      <c r="GE116" s="21" t="n">
        <v>393.373</v>
      </c>
      <c r="GF116" s="21" t="n">
        <v>129.466</v>
      </c>
      <c r="GG116" s="21" t="n">
        <v>126.017</v>
      </c>
      <c r="GH116" s="21" t="n">
        <v>129.06</v>
      </c>
      <c r="GI116" s="21" t="n">
        <v>91.667</v>
      </c>
      <c r="GJ116" s="21" t="n">
        <v>182.629</v>
      </c>
      <c r="GK116" s="21" t="n">
        <v>79.51300000000001</v>
      </c>
      <c r="GL116" s="21" t="n">
        <v>136.941</v>
      </c>
      <c r="GM116" s="21" t="n">
        <v>113.256</v>
      </c>
      <c r="GN116" s="21" t="n">
        <v>106.926</v>
      </c>
      <c r="GO116" s="21" t="n">
        <v>108.317</v>
      </c>
      <c r="GP116" s="21" t="n">
        <v>98.64700000000001</v>
      </c>
      <c r="GQ116" s="21" t="n">
        <v>102.886</v>
      </c>
      <c r="GR116" s="21" t="n">
        <v>72.902</v>
      </c>
      <c r="GS116" s="21" t="n">
        <v>113.294</v>
      </c>
      <c r="GT116" s="21" t="n">
        <v>100.81</v>
      </c>
      <c r="GU116" s="21" t="n">
        <v>144.242</v>
      </c>
      <c r="GV116" s="21" t="n">
        <v>150.843</v>
      </c>
      <c r="GW116" s="21" t="n">
        <v>162.406</v>
      </c>
      <c r="GX116" s="21" t="n">
        <v>130.675</v>
      </c>
      <c r="GY116" s="21" t="n">
        <v>122.658</v>
      </c>
      <c r="GZ116" s="21" t="n">
        <v>204.998</v>
      </c>
      <c r="HA116" s="21" t="n">
        <v>156.049</v>
      </c>
      <c r="HB116" s="21" t="n">
        <v>205.026</v>
      </c>
      <c r="HC116" s="21" t="n">
        <v>273.326</v>
      </c>
      <c r="HD116" s="21" t="n">
        <v>273.937</v>
      </c>
      <c r="HE116" s="21" t="n">
        <v>124.666</v>
      </c>
      <c r="HF116" s="21" t="n">
        <v>177.84</v>
      </c>
      <c r="HG116" s="21" t="n"/>
      <c r="HH116" s="21" t="n">
        <v>172.318</v>
      </c>
      <c r="HI116" s="21" t="n">
        <v>189.892</v>
      </c>
      <c r="HJ116" s="21" t="n"/>
      <c r="HK116" s="21" t="n">
        <v>179.579</v>
      </c>
      <c r="HL116" s="21" t="n">
        <v>114.253</v>
      </c>
      <c r="HM116" s="21" t="n">
        <v>181.662</v>
      </c>
      <c r="HN116" s="21" t="n">
        <v>311.534</v>
      </c>
      <c r="HO116" s="21" t="n">
        <v>310.915</v>
      </c>
      <c r="HP116" s="21" t="n">
        <v>304.514</v>
      </c>
      <c r="HQ116" s="21" t="n">
        <v>339.792</v>
      </c>
      <c r="HR116" s="21" t="n">
        <v>332.001</v>
      </c>
      <c r="HS116" s="21" t="n">
        <v>282.938</v>
      </c>
      <c r="HT116" s="21" t="n">
        <v>180.912</v>
      </c>
      <c r="HU116" s="21" t="n">
        <v>153.122</v>
      </c>
      <c r="HV116" s="21" t="n">
        <v>219.917</v>
      </c>
      <c r="HW116" s="21" t="n">
        <v>204.909</v>
      </c>
      <c r="HX116" s="21" t="n">
        <v>486.064</v>
      </c>
      <c r="HY116" s="21" t="n">
        <v>405.109</v>
      </c>
      <c r="HZ116" s="21" t="n">
        <v>413.848</v>
      </c>
      <c r="IA116" s="21" t="n">
        <v>353.875</v>
      </c>
      <c r="IB116" s="21" t="n">
        <v>262.764</v>
      </c>
      <c r="IC116" s="21" t="n">
        <v>851.0069999999999</v>
      </c>
      <c r="ID116" s="21" t="n">
        <v>212.898</v>
      </c>
      <c r="IE116" s="21" t="n">
        <v>198.256</v>
      </c>
      <c r="IF116" s="21" t="n">
        <v>235.927</v>
      </c>
      <c r="IG116" s="21" t="n">
        <v>280.679</v>
      </c>
      <c r="IH116" s="21" t="n"/>
      <c r="II116" s="21" t="n">
        <v>252.226</v>
      </c>
      <c r="IJ116" s="21" t="n">
        <v>246.222</v>
      </c>
      <c r="IK116" s="21" t="n">
        <v>161.996</v>
      </c>
      <c r="IL116" s="21" t="n"/>
      <c r="IM116" s="21" t="n"/>
      <c r="IN116" s="21" t="n">
        <v>66.467</v>
      </c>
      <c r="IO116" s="21" t="n">
        <v>342.95</v>
      </c>
      <c r="IP116" s="21" t="n">
        <v>131.792</v>
      </c>
      <c r="IQ116" s="21" t="n">
        <v>564.039</v>
      </c>
      <c r="IR116" s="21" t="n">
        <v>417.465</v>
      </c>
      <c r="IS116" s="21" t="n">
        <v>136.474</v>
      </c>
      <c r="IT116" s="21" t="n">
        <v>563.035</v>
      </c>
      <c r="IU116" s="21" t="n">
        <v>112.343</v>
      </c>
      <c r="IV116" s="21" t="n">
        <v>111.711</v>
      </c>
      <c r="IW116" s="21" t="n">
        <v>611.1369999999999</v>
      </c>
      <c r="IX116" s="21" t="n">
        <v>427.954</v>
      </c>
      <c r="IY116" s="21" t="n">
        <v>416.312</v>
      </c>
      <c r="IZ116" s="21" t="n">
        <v>600.225</v>
      </c>
      <c r="JA116" s="21" t="n">
        <v>210.698</v>
      </c>
      <c r="JB116" s="21" t="n">
        <v>261.029</v>
      </c>
      <c r="JC116" s="21" t="n">
        <v>98.616</v>
      </c>
      <c r="JD116" s="21" t="n">
        <v>412.926</v>
      </c>
      <c r="JE116" s="21" t="n">
        <v>397.352</v>
      </c>
      <c r="JF116" s="21" t="n">
        <v>903.675</v>
      </c>
      <c r="JG116" s="21" t="n">
        <v>287.482</v>
      </c>
      <c r="JH116" s="21" t="n">
        <v>166.829</v>
      </c>
      <c r="JI116" s="21" t="n">
        <v>142.822</v>
      </c>
      <c r="JJ116" s="21" t="n">
        <v>138.277</v>
      </c>
      <c r="JK116" s="21" t="n">
        <v>117.987</v>
      </c>
      <c r="JL116" s="21" t="n">
        <v>105.697</v>
      </c>
      <c r="JM116" s="21" t="n">
        <v>582.133</v>
      </c>
      <c r="JN116" s="21" t="n">
        <v>101.793</v>
      </c>
      <c r="JO116" s="21" t="n">
        <v>77.435</v>
      </c>
      <c r="JP116" s="21" t="n">
        <v>43.15</v>
      </c>
      <c r="JQ116" s="21" t="n">
        <v>163.654</v>
      </c>
      <c r="JR116" s="21" t="n">
        <v>25.056</v>
      </c>
      <c r="JS116" s="21" t="n">
        <v>85.136</v>
      </c>
      <c r="JT116" s="21" t="n">
        <v>223.864</v>
      </c>
      <c r="JU116" s="21" t="n">
        <v>241.17</v>
      </c>
      <c r="JV116" s="21" t="n">
        <v>191.844</v>
      </c>
      <c r="JW116" s="21" t="n">
        <v>130.608</v>
      </c>
      <c r="JX116" s="21" t="n">
        <v>344.767</v>
      </c>
      <c r="JY116" s="21" t="n">
        <v>253.508</v>
      </c>
      <c r="JZ116" s="21" t="n">
        <v>369.475</v>
      </c>
      <c r="KA116" s="21" t="n">
        <v>123.983</v>
      </c>
      <c r="KB116" s="21" t="n">
        <v>171.172</v>
      </c>
      <c r="KC116" s="21" t="n">
        <v>84.768</v>
      </c>
      <c r="KD116" s="21" t="n">
        <v>86.41500000000001</v>
      </c>
      <c r="KE116" s="21" t="n">
        <v>69.925</v>
      </c>
      <c r="KF116" s="21" t="n"/>
      <c r="KG116" s="21" t="n">
        <v>28.859</v>
      </c>
      <c r="KH116" s="21" t="n">
        <v>133.948</v>
      </c>
      <c r="KI116" s="21" t="n"/>
      <c r="KJ116" s="21" t="n"/>
      <c r="KK116" s="21" t="n">
        <v>33.084</v>
      </c>
      <c r="KL116" s="21" t="n">
        <v>27.959</v>
      </c>
      <c r="KM116" s="21" t="n">
        <v>37.416</v>
      </c>
      <c r="KN116" s="21" t="n"/>
      <c r="KO116" s="21" t="n">
        <v>106.059</v>
      </c>
      <c r="KP116" s="21" t="n">
        <v>121.535</v>
      </c>
      <c r="KQ116" s="21" t="n">
        <v>200.861</v>
      </c>
      <c r="KR116" s="21" t="n">
        <v>162.688</v>
      </c>
      <c r="KS116" s="21" t="n">
        <v>463.899</v>
      </c>
      <c r="KT116" s="21" t="n">
        <v>227.58</v>
      </c>
      <c r="KU116" s="21" t="n">
        <v>248.837</v>
      </c>
      <c r="KV116" s="21" t="n">
        <v>398.571</v>
      </c>
      <c r="KW116" s="21" t="n">
        <v>292.897</v>
      </c>
      <c r="KX116" s="21" t="n">
        <v>231.416</v>
      </c>
      <c r="KY116" s="21" t="n">
        <v>99.194</v>
      </c>
      <c r="KZ116" s="21" t="n">
        <v>146.189</v>
      </c>
      <c r="LA116" s="21" t="n">
        <v>298.288</v>
      </c>
      <c r="LB116" s="21" t="n"/>
      <c r="LC116" s="21" t="n">
        <v>232.88</v>
      </c>
      <c r="LD116" s="21" t="n">
        <v>860.003</v>
      </c>
      <c r="LE116" s="21" t="n">
        <v>932.127</v>
      </c>
      <c r="LF116" s="21" t="n">
        <v>99.185</v>
      </c>
      <c r="LG116" s="21" t="n">
        <v>365.015</v>
      </c>
      <c r="LH116" s="21" t="n">
        <v>275.366</v>
      </c>
      <c r="LI116" s="21" t="n">
        <v>74.649</v>
      </c>
      <c r="LJ116" s="21" t="n">
        <v>240.964</v>
      </c>
      <c r="LK116" s="21" t="n">
        <v>373.598</v>
      </c>
      <c r="LL116" s="21" t="n">
        <v>433.654</v>
      </c>
      <c r="LM116" s="21" t="n">
        <v>70.235</v>
      </c>
      <c r="LN116" s="21" t="n">
        <v>94.622</v>
      </c>
      <c r="LO116" s="21" t="n">
        <v>46.999</v>
      </c>
      <c r="LP116" s="21" t="n">
        <v>158.072</v>
      </c>
      <c r="LQ116" s="21" t="n"/>
      <c r="LR116" s="21" t="n"/>
      <c r="LS116" s="21" t="n">
        <v>104.822</v>
      </c>
      <c r="LT116" s="21" t="n">
        <v>35.929</v>
      </c>
      <c r="LU116" s="21" t="n">
        <v>23.49</v>
      </c>
      <c r="LV116" s="21" t="n">
        <v>87.254</v>
      </c>
      <c r="LW116" s="21" t="n">
        <v>106.328</v>
      </c>
      <c r="LX116" s="21" t="n">
        <v>45.514</v>
      </c>
      <c r="LY116" s="21" t="n">
        <v>560.655</v>
      </c>
      <c r="LZ116" s="21" t="n">
        <v>97.34699999999999</v>
      </c>
      <c r="MA116" s="21" t="n">
        <v>642.549</v>
      </c>
      <c r="MB116" s="21" t="n">
        <v>347.158</v>
      </c>
      <c r="MC116" s="21" t="n">
        <v>283.296</v>
      </c>
      <c r="MD116" s="21" t="n">
        <v>179.079</v>
      </c>
      <c r="ME116" s="21" t="n">
        <v>121.907</v>
      </c>
      <c r="MF116" s="21" t="n">
        <v>189.982</v>
      </c>
      <c r="MG116" s="21" t="n">
        <v>344.819</v>
      </c>
      <c r="MH116" s="21" t="n">
        <v>210.396</v>
      </c>
      <c r="MI116" s="21" t="n">
        <v>559.777</v>
      </c>
      <c r="MJ116" s="21" t="n"/>
      <c r="MK116" s="21" t="n">
        <v>394.43</v>
      </c>
      <c r="ML116" s="21" t="n">
        <v>229.821</v>
      </c>
      <c r="MM116" s="21" t="n">
        <v>274.326</v>
      </c>
      <c r="MN116" s="21" t="n">
        <v>441.932</v>
      </c>
      <c r="MO116" s="21" t="n">
        <v>186.779</v>
      </c>
      <c r="MP116" s="21" t="n">
        <v>343.257</v>
      </c>
      <c r="MQ116" s="21" t="n">
        <v>85.596</v>
      </c>
      <c r="MR116" s="21" t="n">
        <v>199.319</v>
      </c>
      <c r="MS116" s="21" t="n"/>
      <c r="MT116" s="21" t="n">
        <v>302.482</v>
      </c>
      <c r="MU116" s="21" t="n">
        <v>320.012</v>
      </c>
      <c r="MV116" s="21" t="n">
        <v>312.042</v>
      </c>
      <c r="MW116" s="21" t="n">
        <v>319.214</v>
      </c>
      <c r="MX116" s="21" t="n">
        <v>284.01</v>
      </c>
      <c r="MY116" s="21" t="n">
        <v>272.587</v>
      </c>
      <c r="MZ116" s="21" t="n">
        <v>273.621</v>
      </c>
      <c r="NA116" s="21" t="n">
        <v>278.941</v>
      </c>
      <c r="NB116" s="21" t="n">
        <v>121.268</v>
      </c>
      <c r="NC116" s="21" t="n">
        <v>223.899</v>
      </c>
      <c r="ND116" s="21" t="n">
        <v>179.184</v>
      </c>
      <c r="NE116" s="21" t="n">
        <v>175.392</v>
      </c>
      <c r="NF116" s="21" t="n">
        <v>164.836</v>
      </c>
      <c r="NG116" s="21" t="n">
        <v>163.244</v>
      </c>
      <c r="NH116" s="21" t="n">
        <v>317.373</v>
      </c>
      <c r="NI116" s="21" t="n">
        <v>122.734</v>
      </c>
      <c r="NJ116" s="21" t="n">
        <v>55.44</v>
      </c>
      <c r="NK116" s="21" t="n">
        <v>122.879</v>
      </c>
      <c r="NL116" s="21" t="n">
        <v>287.868</v>
      </c>
      <c r="NM116" s="21" t="n">
        <v>316.799</v>
      </c>
      <c r="NN116" s="21" t="n">
        <v>105.282</v>
      </c>
      <c r="NO116" s="21" t="n">
        <v>38.255</v>
      </c>
      <c r="NP116" s="21" t="n">
        <v>278.482</v>
      </c>
      <c r="NQ116" s="21" t="n">
        <v>235.051</v>
      </c>
      <c r="NR116" s="21" t="n">
        <v>297.881</v>
      </c>
      <c r="NS116" s="21" t="n">
        <v>231.604</v>
      </c>
      <c r="NT116" s="21" t="n">
        <v>300.274</v>
      </c>
      <c r="NU116" s="21" t="n">
        <v>140.127</v>
      </c>
      <c r="NV116" s="21" t="n">
        <v>156.902</v>
      </c>
      <c r="NW116" s="21" t="n">
        <v>416.412</v>
      </c>
      <c r="NX116" s="21" t="n">
        <v>84.327</v>
      </c>
      <c r="NY116" s="21" t="n">
        <v>150.116</v>
      </c>
      <c r="NZ116" s="21" t="n">
        <v>419.566</v>
      </c>
      <c r="OA116" s="21" t="n">
        <v>404.026</v>
      </c>
      <c r="OB116" s="21" t="n">
        <v>417.592</v>
      </c>
      <c r="OC116" s="21" t="n">
        <v>388.116</v>
      </c>
      <c r="OD116" s="21" t="n">
        <v>416.85</v>
      </c>
      <c r="OE116" s="21" t="n">
        <v>129.991</v>
      </c>
      <c r="OF116" s="21" t="n">
        <v>431.196</v>
      </c>
      <c r="OG116" s="21" t="n">
        <v>259.002</v>
      </c>
      <c r="OH116" s="21" t="n">
        <v>32.501</v>
      </c>
      <c r="OI116" s="21" t="n">
        <v>154.165</v>
      </c>
      <c r="OJ116" s="21" t="n">
        <v>31.8</v>
      </c>
      <c r="OK116" s="21" t="n">
        <v>10.6</v>
      </c>
    </row>
    <row r="117">
      <c r="A117" s="22" t="n">
        <v>45505</v>
      </c>
      <c r="B117" s="21" t="n">
        <v>314.796</v>
      </c>
      <c r="C117" s="21" t="n">
        <v>942.9880000000001</v>
      </c>
      <c r="D117" s="21" t="n">
        <v>328.156</v>
      </c>
      <c r="E117" s="21" t="n">
        <v>330.75</v>
      </c>
      <c r="F117" s="21" t="n">
        <v>306.402</v>
      </c>
      <c r="G117" s="21" t="n">
        <v>355.652</v>
      </c>
      <c r="H117" s="21" t="n">
        <v>286.276</v>
      </c>
      <c r="I117" s="21" t="n">
        <v>328.929</v>
      </c>
      <c r="J117" s="21" t="n">
        <v>277.614</v>
      </c>
      <c r="K117" s="21" t="n">
        <v>287.96</v>
      </c>
      <c r="L117" s="21" t="n">
        <v>191.6</v>
      </c>
      <c r="M117" s="21" t="n">
        <v>396.087</v>
      </c>
      <c r="N117" s="21" t="n">
        <v>237.914</v>
      </c>
      <c r="O117" s="21" t="n">
        <v>433.902</v>
      </c>
      <c r="P117" s="21" t="n">
        <v>458.07</v>
      </c>
      <c r="Q117" s="21" t="n">
        <v>234.597</v>
      </c>
      <c r="R117" s="21" t="n">
        <v>372.782</v>
      </c>
      <c r="S117" s="21" t="n">
        <v>392.909</v>
      </c>
      <c r="T117" s="21" t="n">
        <v>351.775</v>
      </c>
      <c r="U117" s="21" t="n">
        <v>356.081</v>
      </c>
      <c r="V117" s="21" t="n">
        <v>393.713</v>
      </c>
      <c r="W117" s="21" t="n">
        <v>435.652</v>
      </c>
      <c r="X117" s="21" t="n">
        <v>347.219</v>
      </c>
      <c r="Y117" s="21" t="n">
        <v>329.108</v>
      </c>
      <c r="Z117" s="21" t="n">
        <v>329.577</v>
      </c>
      <c r="AA117" s="21" t="n">
        <v>339.01</v>
      </c>
      <c r="AB117" s="21" t="n">
        <v>430.328</v>
      </c>
      <c r="AC117" s="21" t="n">
        <v>370.221</v>
      </c>
      <c r="AD117" s="21" t="n">
        <v>350.157</v>
      </c>
      <c r="AE117" s="21" t="n">
        <v>285.496</v>
      </c>
      <c r="AF117" s="21" t="n">
        <v>353.79</v>
      </c>
      <c r="AG117" s="21" t="n">
        <v>270.233</v>
      </c>
      <c r="AH117" s="21" t="n">
        <v>200.067</v>
      </c>
      <c r="AI117" s="21" t="n">
        <v>370.529</v>
      </c>
      <c r="AJ117" s="21" t="n">
        <v>186.01</v>
      </c>
      <c r="AK117" s="21" t="n">
        <v>252.732</v>
      </c>
      <c r="AL117" s="21" t="n">
        <v>280.801</v>
      </c>
      <c r="AM117" s="21" t="n">
        <v>253.214</v>
      </c>
      <c r="AN117" s="21" t="n">
        <v>165.065</v>
      </c>
      <c r="AO117" s="21" t="n">
        <v>288.834</v>
      </c>
      <c r="AP117" s="21" t="n">
        <v>306.671</v>
      </c>
      <c r="AQ117" s="21" t="n">
        <v>187.451</v>
      </c>
      <c r="AR117" s="21" t="n"/>
      <c r="AS117" s="21" t="n"/>
      <c r="AT117" s="21" t="n">
        <v>308.907</v>
      </c>
      <c r="AU117" s="21" t="n">
        <v>196.881</v>
      </c>
      <c r="AV117" s="21" t="n">
        <v>332.703</v>
      </c>
      <c r="AW117" s="21" t="n">
        <v>291.812</v>
      </c>
      <c r="AX117" s="21" t="n">
        <v>208.823</v>
      </c>
      <c r="AY117" s="21" t="n">
        <v>349.629</v>
      </c>
      <c r="AZ117" s="21" t="n">
        <v>218.028</v>
      </c>
      <c r="BA117" s="21" t="n">
        <v>173.891</v>
      </c>
      <c r="BB117" s="21" t="n">
        <v>248.57</v>
      </c>
      <c r="BC117" s="21" t="n">
        <v>371.029</v>
      </c>
      <c r="BD117" s="21" t="n">
        <v>323.929</v>
      </c>
      <c r="BE117" s="21" t="n">
        <v>269.468</v>
      </c>
      <c r="BF117" s="21" t="n">
        <v>177.126</v>
      </c>
      <c r="BG117" s="21" t="n">
        <v>254.404</v>
      </c>
      <c r="BH117" s="21" t="n">
        <v>183.386</v>
      </c>
      <c r="BI117" s="21" t="n">
        <v>261.601</v>
      </c>
      <c r="BJ117" s="21" t="n">
        <v>276.716</v>
      </c>
      <c r="BK117" s="21" t="n">
        <v>192.244</v>
      </c>
      <c r="BL117" s="21" t="n">
        <v>349.599</v>
      </c>
      <c r="BM117" s="21" t="n">
        <v>391.804</v>
      </c>
      <c r="BN117" s="21" t="n">
        <v>402.91</v>
      </c>
      <c r="BO117" s="21" t="n">
        <v>341.338</v>
      </c>
      <c r="BP117" s="21" t="n">
        <v>206.751</v>
      </c>
      <c r="BQ117" s="21" t="n">
        <v>299.232</v>
      </c>
      <c r="BR117" s="21" t="n">
        <v>610.828</v>
      </c>
      <c r="BS117" s="21" t="n">
        <v>135.517</v>
      </c>
      <c r="BT117" s="21" t="n">
        <v>378.717</v>
      </c>
      <c r="BU117" s="21" t="n">
        <v>433.413</v>
      </c>
      <c r="BV117" s="21" t="n">
        <v>398.002</v>
      </c>
      <c r="BW117" s="21" t="n">
        <v>360.632</v>
      </c>
      <c r="BX117" s="21" t="n">
        <v>372.508</v>
      </c>
      <c r="BY117" s="21" t="n">
        <v>203.619</v>
      </c>
      <c r="BZ117" s="21" t="n">
        <v>217.02</v>
      </c>
      <c r="CA117" s="21" t="n">
        <v>204.783</v>
      </c>
      <c r="CB117" s="21" t="n">
        <v>232.902</v>
      </c>
      <c r="CC117" s="21" t="n">
        <v>186.349</v>
      </c>
      <c r="CD117" s="21" t="n">
        <v>265.562</v>
      </c>
      <c r="CE117" s="21" t="n">
        <v>193.556</v>
      </c>
      <c r="CF117" s="21" t="n">
        <v>234.258</v>
      </c>
      <c r="CG117" s="21" t="n">
        <v>219.381</v>
      </c>
      <c r="CH117" s="21" t="n">
        <v>174.924</v>
      </c>
      <c r="CI117" s="21" t="n">
        <v>228.291</v>
      </c>
      <c r="CJ117" s="21" t="n">
        <v>266.578</v>
      </c>
      <c r="CK117" s="21" t="n">
        <v>154.349</v>
      </c>
      <c r="CL117" s="21" t="n">
        <v>142.083</v>
      </c>
      <c r="CM117" s="21" t="n">
        <v>231.804</v>
      </c>
      <c r="CN117" s="21" t="n">
        <v>240.639</v>
      </c>
      <c r="CO117" s="21" t="n">
        <v>227.228</v>
      </c>
      <c r="CP117" s="21" t="n">
        <v>162.541</v>
      </c>
      <c r="CQ117" s="21" t="n">
        <v>272.612</v>
      </c>
      <c r="CR117" s="21" t="n">
        <v>290.605</v>
      </c>
      <c r="CS117" s="21" t="n">
        <v>272.456</v>
      </c>
      <c r="CT117" s="21" t="n">
        <v>195.712</v>
      </c>
      <c r="CU117" s="21" t="n">
        <v>198.008</v>
      </c>
      <c r="CV117" s="21" t="n">
        <v>317.067</v>
      </c>
      <c r="CW117" s="21" t="n">
        <v>280.395</v>
      </c>
      <c r="CX117" s="21" t="n">
        <v>319.966</v>
      </c>
      <c r="CY117" s="21" t="n">
        <v>453.026</v>
      </c>
      <c r="CZ117" s="21" t="n">
        <v>173.062</v>
      </c>
      <c r="DA117" s="21" t="n">
        <v>227.364</v>
      </c>
      <c r="DB117" s="21" t="n">
        <v>189.74</v>
      </c>
      <c r="DC117" s="21" t="n">
        <v>286.372</v>
      </c>
      <c r="DD117" s="21" t="n">
        <v>320.344</v>
      </c>
      <c r="DE117" s="21" t="n">
        <v>210.668</v>
      </c>
      <c r="DF117" s="21" t="n">
        <v>306.727</v>
      </c>
      <c r="DG117" s="21" t="n">
        <v>316.095</v>
      </c>
      <c r="DH117" s="21" t="n">
        <v>189.361</v>
      </c>
      <c r="DI117" s="21" t="n">
        <v>192.982</v>
      </c>
      <c r="DJ117" s="21" t="n">
        <v>188.591</v>
      </c>
      <c r="DK117" s="21" t="n">
        <v>373.749</v>
      </c>
      <c r="DL117" s="21" t="n">
        <v>223.727</v>
      </c>
      <c r="DM117" s="21" t="n">
        <v>169.534</v>
      </c>
      <c r="DN117" s="21" t="n">
        <v>154.253</v>
      </c>
      <c r="DO117" s="21" t="n">
        <v>370.348</v>
      </c>
      <c r="DP117" s="21" t="n">
        <v>227.488</v>
      </c>
      <c r="DQ117" s="21" t="n">
        <v>243.868</v>
      </c>
      <c r="DR117" s="21" t="n">
        <v>202.087</v>
      </c>
      <c r="DS117" s="21" t="n">
        <v>197.543</v>
      </c>
      <c r="DT117" s="21" t="n">
        <v>233.448</v>
      </c>
      <c r="DU117" s="21" t="n">
        <v>246.49</v>
      </c>
      <c r="DV117" s="21" t="n">
        <v>291.432</v>
      </c>
      <c r="DW117" s="21" t="n">
        <v>230.138</v>
      </c>
      <c r="DX117" s="21" t="n">
        <v>275.951</v>
      </c>
      <c r="DY117" s="21" t="n">
        <v>211.777</v>
      </c>
      <c r="DZ117" s="21" t="n">
        <v>225.273</v>
      </c>
      <c r="EA117" s="21" t="n">
        <v>205.318</v>
      </c>
      <c r="EB117" s="21" t="n">
        <v>182.935</v>
      </c>
      <c r="EC117" s="21" t="n">
        <v>429.342</v>
      </c>
      <c r="ED117" s="21" t="n">
        <v>210.435</v>
      </c>
      <c r="EE117" s="21" t="n">
        <v>232.095</v>
      </c>
      <c r="EF117" s="21" t="n">
        <v>237.746</v>
      </c>
      <c r="EG117" s="21" t="n">
        <v>335.931</v>
      </c>
      <c r="EH117" s="21" t="n">
        <v>403.257</v>
      </c>
      <c r="EI117" s="21" t="n">
        <v>422.223</v>
      </c>
      <c r="EJ117" s="21" t="n">
        <v>194.879</v>
      </c>
      <c r="EK117" s="21" t="n">
        <v>651.577</v>
      </c>
      <c r="EL117" s="21" t="n">
        <v>401.881</v>
      </c>
      <c r="EM117" s="21" t="n">
        <v>413.924</v>
      </c>
      <c r="EN117" s="21" t="n">
        <v>413.957</v>
      </c>
      <c r="EO117" s="21" t="n">
        <v>158.871</v>
      </c>
      <c r="EP117" s="21" t="n">
        <v>314.948</v>
      </c>
      <c r="EQ117" s="21" t="n">
        <v>263.44</v>
      </c>
      <c r="ER117" s="21" t="n">
        <v>354.953</v>
      </c>
      <c r="ES117" s="21" t="n">
        <v>349.383</v>
      </c>
      <c r="ET117" s="21" t="n">
        <v>418.488</v>
      </c>
      <c r="EU117" s="21" t="n">
        <v>268.419</v>
      </c>
      <c r="EV117" s="21" t="n">
        <v>281.333</v>
      </c>
      <c r="EW117" s="21" t="n">
        <v>224.259</v>
      </c>
      <c r="EX117" s="21" t="n">
        <v>303.311</v>
      </c>
      <c r="EY117" s="21" t="n">
        <v>696.471</v>
      </c>
      <c r="EZ117" s="21" t="n">
        <v>615.88</v>
      </c>
      <c r="FA117" s="21" t="n">
        <v>147.348</v>
      </c>
      <c r="FB117" s="21" t="n">
        <v>59.742</v>
      </c>
      <c r="FC117" s="21" t="n">
        <v>130.636</v>
      </c>
      <c r="FD117" s="21" t="n">
        <v>82.529</v>
      </c>
      <c r="FE117" s="21" t="n">
        <v>39.525</v>
      </c>
      <c r="FF117" s="21" t="n">
        <v>127.872</v>
      </c>
      <c r="FG117" s="21" t="n">
        <v>142.69</v>
      </c>
      <c r="FH117" s="21" t="n">
        <v>101.487</v>
      </c>
      <c r="FI117" s="21" t="n">
        <v>75.798</v>
      </c>
      <c r="FJ117" s="21" t="n"/>
      <c r="FK117" s="21" t="n">
        <v>85.18600000000001</v>
      </c>
      <c r="FL117" s="21" t="n">
        <v>90.524</v>
      </c>
      <c r="FM117" s="21" t="n">
        <v>107.726</v>
      </c>
      <c r="FN117" s="21" t="n">
        <v>74.76600000000001</v>
      </c>
      <c r="FO117" s="21" t="n">
        <v>54.222</v>
      </c>
      <c r="FP117" s="21" t="n">
        <v>40.18</v>
      </c>
      <c r="FQ117" s="21" t="n">
        <v>157.435</v>
      </c>
      <c r="FR117" s="21" t="n">
        <v>45.795</v>
      </c>
      <c r="FS117" s="21" t="n">
        <v>75.532</v>
      </c>
      <c r="FT117" s="21" t="n">
        <v>110.576</v>
      </c>
      <c r="FU117" s="21" t="n">
        <v>119.953</v>
      </c>
      <c r="FV117" s="21" t="n">
        <v>106.844</v>
      </c>
      <c r="FW117" s="21" t="n">
        <v>236.104</v>
      </c>
      <c r="FX117" s="21" t="n">
        <v>152.755</v>
      </c>
      <c r="FY117" s="21" t="n">
        <v>230.471</v>
      </c>
      <c r="FZ117" s="21" t="n">
        <v>140.108</v>
      </c>
      <c r="GA117" s="21" t="n"/>
      <c r="GB117" s="21" t="n"/>
      <c r="GC117" s="21" t="n">
        <v>275.69</v>
      </c>
      <c r="GD117" s="21" t="n">
        <v>203.57</v>
      </c>
      <c r="GE117" s="21" t="n"/>
      <c r="GF117" s="21" t="n">
        <v>131.683</v>
      </c>
      <c r="GG117" s="21" t="n">
        <v>127.515</v>
      </c>
      <c r="GH117" s="21" t="n">
        <v>128.953</v>
      </c>
      <c r="GI117" s="21" t="n">
        <v>92.08199999999999</v>
      </c>
      <c r="GJ117" s="21" t="n">
        <v>183.503</v>
      </c>
      <c r="GK117" s="21" t="n">
        <v>80.014</v>
      </c>
      <c r="GL117" s="21" t="n">
        <v>134.28</v>
      </c>
      <c r="GM117" s="21" t="n">
        <v>119.348</v>
      </c>
      <c r="GN117" s="21" t="n">
        <v>110.884</v>
      </c>
      <c r="GO117" s="21" t="n">
        <v>112.319</v>
      </c>
      <c r="GP117" s="21" t="n">
        <v>100.424</v>
      </c>
      <c r="GQ117" s="21" t="n">
        <v>105.532</v>
      </c>
      <c r="GR117" s="21" t="n">
        <v>76.12</v>
      </c>
      <c r="GS117" s="21" t="n">
        <v>117.286</v>
      </c>
      <c r="GT117" s="21" t="n">
        <v>104.593</v>
      </c>
      <c r="GU117" s="21" t="n">
        <v>144.611</v>
      </c>
      <c r="GV117" s="21" t="n">
        <v>151.948</v>
      </c>
      <c r="GW117" s="21" t="n">
        <v>163.747</v>
      </c>
      <c r="GX117" s="21" t="n">
        <v>130.154</v>
      </c>
      <c r="GY117" s="21" t="n">
        <v>126.088</v>
      </c>
      <c r="GZ117" s="21" t="n">
        <v>200.227</v>
      </c>
      <c r="HA117" s="21" t="n">
        <v>153.843</v>
      </c>
      <c r="HB117" s="21" t="n">
        <v>199.89</v>
      </c>
      <c r="HC117" s="21" t="n">
        <v>271.391</v>
      </c>
      <c r="HD117" s="21" t="n">
        <v>272.087</v>
      </c>
      <c r="HE117" s="21" t="n">
        <v>124.224</v>
      </c>
      <c r="HF117" s="21" t="n">
        <v>177.534</v>
      </c>
      <c r="HG117" s="21" t="n"/>
      <c r="HH117" s="21" t="n">
        <v>172.04</v>
      </c>
      <c r="HI117" s="21" t="n">
        <v>189.564</v>
      </c>
      <c r="HJ117" s="21" t="n"/>
      <c r="HK117" s="21" t="n">
        <v>178.192</v>
      </c>
      <c r="HL117" s="21" t="n"/>
      <c r="HM117" s="21" t="n">
        <v>169.927</v>
      </c>
      <c r="HN117" s="21" t="n">
        <v>303.089</v>
      </c>
      <c r="HO117" s="21" t="n">
        <v>302.419</v>
      </c>
      <c r="HP117" s="21" t="n">
        <v>295.77</v>
      </c>
      <c r="HQ117" s="21" t="n">
        <v>331.868</v>
      </c>
      <c r="HR117" s="21" t="n">
        <v>325.39</v>
      </c>
      <c r="HS117" s="21" t="n">
        <v>277.421</v>
      </c>
      <c r="HT117" s="21" t="n">
        <v>180.893</v>
      </c>
      <c r="HU117" s="21" t="n">
        <v>152.701</v>
      </c>
      <c r="HV117" s="21" t="n">
        <v>221.185</v>
      </c>
      <c r="HW117" s="21" t="n">
        <v>205.599</v>
      </c>
      <c r="HX117" s="21" t="n">
        <v>489.141</v>
      </c>
      <c r="HY117" s="21" t="n">
        <v>407.374</v>
      </c>
      <c r="HZ117" s="21" t="n"/>
      <c r="IA117" s="21" t="n">
        <v>353.606</v>
      </c>
      <c r="IB117" s="21" t="n">
        <v>266.321</v>
      </c>
      <c r="IC117" s="21" t="n">
        <v>854.307</v>
      </c>
      <c r="ID117" s="21" t="n">
        <v>213.049</v>
      </c>
      <c r="IE117" s="21" t="n">
        <v>198.774</v>
      </c>
      <c r="IF117" s="21" t="n">
        <v>235.545</v>
      </c>
      <c r="IG117" s="21" t="n">
        <v>280.384</v>
      </c>
      <c r="IH117" s="21" t="n"/>
      <c r="II117" s="21" t="n">
        <v>249.261</v>
      </c>
      <c r="IJ117" s="21" t="n">
        <v>243.011</v>
      </c>
      <c r="IK117" s="21" t="n">
        <v>158.694</v>
      </c>
      <c r="IL117" s="21" t="n"/>
      <c r="IM117" s="21" t="n"/>
      <c r="IN117" s="21" t="n">
        <v>67.2</v>
      </c>
      <c r="IO117" s="21" t="n">
        <v>341.589</v>
      </c>
      <c r="IP117" s="21" t="n">
        <v>131.904</v>
      </c>
      <c r="IQ117" s="21" t="n">
        <v>564.407</v>
      </c>
      <c r="IR117" s="21" t="n">
        <v>416.538</v>
      </c>
      <c r="IS117" s="21" t="n">
        <v>136.201</v>
      </c>
      <c r="IT117" s="21" t="n">
        <v>562.174</v>
      </c>
      <c r="IU117" s="21" t="n">
        <v>112.014</v>
      </c>
      <c r="IV117" s="21" t="n">
        <v>111.168</v>
      </c>
      <c r="IW117" s="21" t="n">
        <v>611.9349999999999</v>
      </c>
      <c r="IX117" s="21" t="n">
        <v>427.816</v>
      </c>
      <c r="IY117" s="21" t="n">
        <v>416.37</v>
      </c>
      <c r="IZ117" s="21" t="n">
        <v>600.6849999999999</v>
      </c>
      <c r="JA117" s="21" t="n">
        <v>209.554</v>
      </c>
      <c r="JB117" s="21" t="n">
        <v>260.898</v>
      </c>
      <c r="JC117" s="21" t="n">
        <v>98.992</v>
      </c>
      <c r="JD117" s="21" t="n"/>
      <c r="JE117" s="21" t="n"/>
      <c r="JF117" s="21" t="n"/>
      <c r="JG117" s="21" t="n">
        <v>288.763</v>
      </c>
      <c r="JH117" s="21" t="n">
        <v>166.503</v>
      </c>
      <c r="JI117" s="21" t="n">
        <v>143.026</v>
      </c>
      <c r="JJ117" s="21" t="n">
        <v>138.214</v>
      </c>
      <c r="JK117" s="21" t="n">
        <v>117.849</v>
      </c>
      <c r="JL117" s="21" t="n">
        <v>103.313</v>
      </c>
      <c r="JM117" s="21" t="n">
        <v>583.054</v>
      </c>
      <c r="JN117" s="21" t="n">
        <v>105.249</v>
      </c>
      <c r="JO117" s="21" t="n">
        <v>77.08799999999999</v>
      </c>
      <c r="JP117" s="21" t="n">
        <v>43.389</v>
      </c>
      <c r="JQ117" s="21" t="n">
        <v>162.501</v>
      </c>
      <c r="JR117" s="21" t="n">
        <v>24.882</v>
      </c>
      <c r="JS117" s="21" t="n">
        <v>85.622</v>
      </c>
      <c r="JT117" s="21" t="n">
        <v>223.816</v>
      </c>
      <c r="JU117" s="21" t="n">
        <v>240.592</v>
      </c>
      <c r="JV117" s="21" t="n">
        <v>191.057</v>
      </c>
      <c r="JW117" s="21" t="n">
        <v>130.816</v>
      </c>
      <c r="JX117" s="21" t="n">
        <v>345.757</v>
      </c>
      <c r="JY117" s="21" t="n">
        <v>255.022</v>
      </c>
      <c r="JZ117" s="21" t="n">
        <v>369.842</v>
      </c>
      <c r="KA117" s="21" t="n">
        <v>124.029</v>
      </c>
      <c r="KB117" s="21" t="n">
        <v>171.794</v>
      </c>
      <c r="KC117" s="21" t="n">
        <v>84.245</v>
      </c>
      <c r="KD117" s="21" t="n">
        <v>86.378</v>
      </c>
      <c r="KE117" s="21" t="n">
        <v>70.116</v>
      </c>
      <c r="KF117" s="21" t="n"/>
      <c r="KG117" s="21" t="n">
        <v>28.842</v>
      </c>
      <c r="KH117" s="21" t="n">
        <v>133.675</v>
      </c>
      <c r="KI117" s="21" t="n"/>
      <c r="KJ117" s="21" t="n"/>
      <c r="KK117" s="21" t="n">
        <v>33.232</v>
      </c>
      <c r="KL117" s="21" t="n">
        <v>28.06</v>
      </c>
      <c r="KM117" s="21" t="n">
        <v>37.712</v>
      </c>
      <c r="KN117" s="21" t="n"/>
      <c r="KO117" s="21" t="n">
        <v>108.305</v>
      </c>
      <c r="KP117" s="21" t="n">
        <v>121.102</v>
      </c>
      <c r="KQ117" s="21" t="n">
        <v>200.692</v>
      </c>
      <c r="KR117" s="21" t="n">
        <v>163.305</v>
      </c>
      <c r="KS117" s="21" t="n">
        <v>460.211</v>
      </c>
      <c r="KT117" s="21" t="n">
        <v>226.579</v>
      </c>
      <c r="KU117" s="21" t="n">
        <v>245.633</v>
      </c>
      <c r="KV117" s="21" t="n">
        <v>401.22</v>
      </c>
      <c r="KW117" s="21" t="n">
        <v>290.095</v>
      </c>
      <c r="KX117" s="21" t="n">
        <v>226.963</v>
      </c>
      <c r="KY117" s="21" t="n">
        <v>99.38500000000001</v>
      </c>
      <c r="KZ117" s="21" t="n">
        <v>146.643</v>
      </c>
      <c r="LA117" s="21" t="n">
        <v>301.065</v>
      </c>
      <c r="LB117" s="21" t="n"/>
      <c r="LC117" s="21" t="n">
        <v>233.964</v>
      </c>
      <c r="LD117" s="21" t="n">
        <v>868.122</v>
      </c>
      <c r="LE117" s="21" t="n">
        <v>939.477</v>
      </c>
      <c r="LF117" s="21" t="n">
        <v>99.95699999999999</v>
      </c>
      <c r="LG117" s="21" t="n">
        <v>369.841</v>
      </c>
      <c r="LH117" s="21" t="n">
        <v>276.67</v>
      </c>
      <c r="LI117" s="21" t="n">
        <v>74.541</v>
      </c>
      <c r="LJ117" s="21" t="n">
        <v>240.902</v>
      </c>
      <c r="LK117" s="21" t="n">
        <v>373.598</v>
      </c>
      <c r="LL117" s="21" t="n">
        <v>432.82</v>
      </c>
      <c r="LM117" s="21" t="n">
        <v>70.131</v>
      </c>
      <c r="LN117" s="21" t="n">
        <v>94.807</v>
      </c>
      <c r="LO117" s="21" t="n">
        <v>47.115</v>
      </c>
      <c r="LP117" s="21" t="n">
        <v>157.871</v>
      </c>
      <c r="LQ117" s="21" t="n"/>
      <c r="LR117" s="21" t="n"/>
      <c r="LS117" s="21" t="n">
        <v>104.35</v>
      </c>
      <c r="LT117" s="21" t="n">
        <v>35.792</v>
      </c>
      <c r="LU117" s="21" t="n">
        <v>23.511</v>
      </c>
      <c r="LV117" s="21" t="n">
        <v>86.92100000000001</v>
      </c>
      <c r="LW117" s="21" t="n">
        <v>105.598</v>
      </c>
      <c r="LX117" s="21" t="n">
        <v>44.889</v>
      </c>
      <c r="LY117" s="21" t="n">
        <v>561.561</v>
      </c>
      <c r="LZ117" s="21" t="n">
        <v>98.496</v>
      </c>
      <c r="MA117" s="21" t="n">
        <v>651.722</v>
      </c>
      <c r="MB117" s="21" t="n">
        <v>346.998</v>
      </c>
      <c r="MC117" s="21" t="n">
        <v>283.08</v>
      </c>
      <c r="MD117" s="21" t="n">
        <v>178.452</v>
      </c>
      <c r="ME117" s="21" t="n">
        <v>120.66</v>
      </c>
      <c r="MF117" s="21" t="n">
        <v>190.812</v>
      </c>
      <c r="MG117" s="21" t="n">
        <v>346.821</v>
      </c>
      <c r="MH117" s="21" t="n">
        <v>211.618</v>
      </c>
      <c r="MI117" s="21" t="n">
        <v>559.437</v>
      </c>
      <c r="MJ117" s="21" t="n"/>
      <c r="MK117" s="21" t="n">
        <v>395.4</v>
      </c>
      <c r="ML117" s="21" t="n">
        <v>231.123</v>
      </c>
      <c r="MM117" s="21" t="n">
        <v>277.582</v>
      </c>
      <c r="MN117" s="21" t="n">
        <v>440.435</v>
      </c>
      <c r="MO117" s="21" t="n">
        <v>192.152</v>
      </c>
      <c r="MP117" s="21" t="n">
        <v>338.691</v>
      </c>
      <c r="MQ117" s="21" t="n">
        <v>84.179</v>
      </c>
      <c r="MR117" s="21" t="n">
        <v>194.432</v>
      </c>
      <c r="MS117" s="21" t="n"/>
      <c r="MT117" s="21" t="n">
        <v>302.733</v>
      </c>
      <c r="MU117" s="21" t="n">
        <v>320.728</v>
      </c>
      <c r="MV117" s="21" t="n">
        <v>312.308</v>
      </c>
      <c r="MW117" s="21" t="n">
        <v>320.017</v>
      </c>
      <c r="MX117" s="21" t="n">
        <v>283.681</v>
      </c>
      <c r="MY117" s="21" t="n">
        <v>272.145</v>
      </c>
      <c r="MZ117" s="21" t="n">
        <v>273.907</v>
      </c>
      <c r="NA117" s="21" t="n">
        <v>279.345</v>
      </c>
      <c r="NB117" s="21" t="n">
        <v>123.808</v>
      </c>
      <c r="NC117" s="21" t="n">
        <v>223.363</v>
      </c>
      <c r="ND117" s="21" t="n">
        <v>178.434</v>
      </c>
      <c r="NE117" s="21" t="n">
        <v>174.621</v>
      </c>
      <c r="NF117" s="21" t="n">
        <v>164.912</v>
      </c>
      <c r="NG117" s="21" t="n">
        <v>163.472</v>
      </c>
      <c r="NH117" s="21" t="n">
        <v>317.24</v>
      </c>
      <c r="NI117" s="21" t="n">
        <v>122.201</v>
      </c>
      <c r="NJ117" s="21" t="n">
        <v>55.197</v>
      </c>
      <c r="NK117" s="21" t="n">
        <v>123.413</v>
      </c>
      <c r="NL117" s="21" t="n">
        <v>282.614</v>
      </c>
      <c r="NM117" s="21" t="n">
        <v>308.297</v>
      </c>
      <c r="NN117" s="21" t="n">
        <v>105.079</v>
      </c>
      <c r="NO117" s="21" t="n">
        <v>38.048</v>
      </c>
      <c r="NP117" s="21" t="n">
        <v>278.025</v>
      </c>
      <c r="NQ117" s="21" t="n">
        <v>234.098</v>
      </c>
      <c r="NR117" s="21" t="n">
        <v>295.045</v>
      </c>
      <c r="NS117" s="21" t="n">
        <v>230.575</v>
      </c>
      <c r="NT117" s="21" t="n">
        <v>297.113</v>
      </c>
      <c r="NU117" s="21" t="n">
        <v>140.286</v>
      </c>
      <c r="NV117" s="21" t="n">
        <v>157.222</v>
      </c>
      <c r="NW117" s="21" t="n">
        <v>417.48</v>
      </c>
      <c r="NX117" s="21" t="n">
        <v>84.21599999999999</v>
      </c>
      <c r="NY117" s="21" t="n">
        <v>150.126</v>
      </c>
      <c r="NZ117" s="21" t="n">
        <v>421.34</v>
      </c>
      <c r="OA117" s="21" t="n">
        <v>405.074</v>
      </c>
      <c r="OB117" s="21" t="n">
        <v>418.903</v>
      </c>
      <c r="OC117" s="21" t="n">
        <v>389.178</v>
      </c>
      <c r="OD117" s="21" t="n">
        <v>417.066</v>
      </c>
      <c r="OE117" s="21" t="n">
        <v>129.535</v>
      </c>
      <c r="OF117" s="21" t="n">
        <v>431.564</v>
      </c>
      <c r="OG117" s="21" t="n">
        <v>258.017</v>
      </c>
      <c r="OH117" s="21" t="n">
        <v>32.27</v>
      </c>
      <c r="OI117" s="21" t="n">
        <v>154.27</v>
      </c>
      <c r="OJ117" s="21" t="n">
        <v>31.8</v>
      </c>
      <c r="OK117" s="21" t="n">
        <v>10.6</v>
      </c>
    </row>
    <row r="118">
      <c r="A118" s="22" t="n">
        <v>45536</v>
      </c>
      <c r="B118" s="21" t="n">
        <v>315.301</v>
      </c>
      <c r="C118" s="21" t="n">
        <v>944.502</v>
      </c>
      <c r="D118" s="21" t="n">
        <v>329.417</v>
      </c>
      <c r="E118" s="21" t="n">
        <v>332.083</v>
      </c>
      <c r="F118" s="21" t="n">
        <v>307.767</v>
      </c>
      <c r="G118" s="21" t="n">
        <v>356.088</v>
      </c>
      <c r="H118" s="21" t="n">
        <v>286.139</v>
      </c>
      <c r="I118" s="21" t="n">
        <v>325.498</v>
      </c>
      <c r="J118" s="21" t="n">
        <v>276.456</v>
      </c>
      <c r="K118" s="21" t="n">
        <v>289.881</v>
      </c>
      <c r="L118" s="21" t="n">
        <v>192.186</v>
      </c>
      <c r="M118" s="21" t="n">
        <v>396.857</v>
      </c>
      <c r="N118" s="21" t="n">
        <v>237.328</v>
      </c>
      <c r="O118" s="21" t="n">
        <v>430.166</v>
      </c>
      <c r="P118" s="21" t="n">
        <v>461.979</v>
      </c>
      <c r="Q118" s="21" t="n">
        <v>232.395</v>
      </c>
      <c r="R118" s="21" t="n">
        <v>377.424</v>
      </c>
      <c r="S118" s="21" t="n">
        <v>393.899</v>
      </c>
      <c r="T118" s="21" t="n">
        <v>358.354</v>
      </c>
      <c r="U118" s="21" t="n">
        <v>357.032</v>
      </c>
      <c r="V118" s="21" t="n">
        <v>395.757</v>
      </c>
      <c r="W118" s="21" t="n">
        <v>436.579</v>
      </c>
      <c r="X118" s="21" t="n">
        <v>342.285</v>
      </c>
      <c r="Y118" s="21" t="n">
        <v>332.525</v>
      </c>
      <c r="Z118" s="21" t="n">
        <v>330.56</v>
      </c>
      <c r="AA118" s="21" t="n">
        <v>340.716</v>
      </c>
      <c r="AB118" s="21" t="n">
        <v>431.79</v>
      </c>
      <c r="AC118" s="21" t="n">
        <v>371.88</v>
      </c>
      <c r="AD118" s="21" t="n">
        <v>349.11</v>
      </c>
      <c r="AE118" s="21" t="n">
        <v>287.059</v>
      </c>
      <c r="AF118" s="21" t="n">
        <v>354.795</v>
      </c>
      <c r="AG118" s="21" t="n">
        <v>273.01</v>
      </c>
      <c r="AH118" s="21" t="n">
        <v>204.238</v>
      </c>
      <c r="AI118" s="21" t="n">
        <v>381.226</v>
      </c>
      <c r="AJ118" s="21" t="n">
        <v>188.743</v>
      </c>
      <c r="AK118" s="21" t="n">
        <v>251.473</v>
      </c>
      <c r="AL118" s="21" t="n">
        <v>279.041</v>
      </c>
      <c r="AM118" s="21" t="n">
        <v>250.059</v>
      </c>
      <c r="AN118" s="21" t="n">
        <v>167.706</v>
      </c>
      <c r="AO118" s="21" t="n">
        <v>289.114</v>
      </c>
      <c r="AP118" s="21" t="n">
        <v>304.853</v>
      </c>
      <c r="AQ118" s="21" t="n">
        <v>186.664</v>
      </c>
      <c r="AR118" s="21" t="n"/>
      <c r="AS118" s="21" t="n"/>
      <c r="AT118" s="21" t="n">
        <v>308.669</v>
      </c>
      <c r="AU118" s="21" t="n">
        <v>197.305</v>
      </c>
      <c r="AV118" s="21" t="n">
        <v>328.863</v>
      </c>
      <c r="AW118" s="21" t="n">
        <v>294.039</v>
      </c>
      <c r="AX118" s="21" t="n">
        <v>206.161</v>
      </c>
      <c r="AY118" s="21" t="n">
        <v>349.34</v>
      </c>
      <c r="AZ118" s="21" t="n">
        <v>218.129</v>
      </c>
      <c r="BA118" s="21" t="n">
        <v>173.545</v>
      </c>
      <c r="BB118" s="21" t="n">
        <v>248.734</v>
      </c>
      <c r="BC118" s="21" t="n">
        <v>368.906</v>
      </c>
      <c r="BD118" s="21" t="n">
        <v>356.19</v>
      </c>
      <c r="BE118" s="21" t="n">
        <v>269.643</v>
      </c>
      <c r="BF118" s="21" t="n">
        <v>175.953</v>
      </c>
      <c r="BG118" s="21" t="n">
        <v>252.408</v>
      </c>
      <c r="BH118" s="21" t="n">
        <v>182.235</v>
      </c>
      <c r="BI118" s="21" t="n">
        <v>263.727</v>
      </c>
      <c r="BJ118" s="21" t="n">
        <v>276.596</v>
      </c>
      <c r="BK118" s="21" t="n">
        <v>192.09</v>
      </c>
      <c r="BL118" s="21" t="n">
        <v>353.508</v>
      </c>
      <c r="BM118" s="21" t="n">
        <v>397.68</v>
      </c>
      <c r="BN118" s="21" t="n">
        <v>414.282</v>
      </c>
      <c r="BO118" s="21" t="n">
        <v>343.623</v>
      </c>
      <c r="BP118" s="21" t="n">
        <v>207.001</v>
      </c>
      <c r="BQ118" s="21" t="n">
        <v>305.6</v>
      </c>
      <c r="BR118" s="21" t="n">
        <v>617.275</v>
      </c>
      <c r="BS118" s="21" t="n">
        <v>142.111</v>
      </c>
      <c r="BT118" s="21" t="n">
        <v>378.806</v>
      </c>
      <c r="BU118" s="21" t="n">
        <v>432.503</v>
      </c>
      <c r="BV118" s="21" t="n">
        <v>394.034</v>
      </c>
      <c r="BW118" s="21" t="n">
        <v>353.372</v>
      </c>
      <c r="BX118" s="21" t="n">
        <v>375.963</v>
      </c>
      <c r="BY118" s="21" t="n">
        <v>203.502</v>
      </c>
      <c r="BZ118" s="21" t="n">
        <v>216.774</v>
      </c>
      <c r="CA118" s="21" t="n">
        <v>205.18</v>
      </c>
      <c r="CB118" s="21" t="n">
        <v>232.318</v>
      </c>
      <c r="CC118" s="21" t="n">
        <v>185.651</v>
      </c>
      <c r="CD118" s="21" t="n">
        <v>262.199</v>
      </c>
      <c r="CE118" s="21" t="n">
        <v>194.62</v>
      </c>
      <c r="CF118" s="21" t="n">
        <v>233.38</v>
      </c>
      <c r="CG118" s="21" t="n">
        <v>219.488</v>
      </c>
      <c r="CH118" s="21" t="n">
        <v>174.71</v>
      </c>
      <c r="CI118" s="21" t="n">
        <v>227.195</v>
      </c>
      <c r="CJ118" s="21" t="n">
        <v>266.196</v>
      </c>
      <c r="CK118" s="21" t="n">
        <v>154.621</v>
      </c>
      <c r="CL118" s="21" t="n">
        <v>142.746</v>
      </c>
      <c r="CM118" s="21" t="n">
        <v>234.789</v>
      </c>
      <c r="CN118" s="21" t="n">
        <v>244.716</v>
      </c>
      <c r="CO118" s="21" t="n">
        <v>225.327</v>
      </c>
      <c r="CP118" s="21" t="n">
        <v>161.153</v>
      </c>
      <c r="CQ118" s="21" t="n">
        <v>272.658</v>
      </c>
      <c r="CR118" s="21" t="n">
        <v>288.435</v>
      </c>
      <c r="CS118" s="21" t="n">
        <v>272.964</v>
      </c>
      <c r="CT118" s="21" t="n">
        <v>194.161</v>
      </c>
      <c r="CU118" s="21" t="n">
        <v>195.514</v>
      </c>
      <c r="CV118" s="21" t="n">
        <v>321.5</v>
      </c>
      <c r="CW118" s="21" t="n">
        <v>285.767</v>
      </c>
      <c r="CX118" s="21" t="n">
        <v>324.801</v>
      </c>
      <c r="CY118" s="21" t="n">
        <v>465.505</v>
      </c>
      <c r="CZ118" s="21" t="n">
        <v>178.696</v>
      </c>
      <c r="DA118" s="21" t="n">
        <v>227.653</v>
      </c>
      <c r="DB118" s="21" t="n">
        <v>192.581</v>
      </c>
      <c r="DC118" s="21" t="n">
        <v>286.208</v>
      </c>
      <c r="DD118" s="21" t="n">
        <v>313.961</v>
      </c>
      <c r="DE118" s="21" t="n">
        <v>210.422</v>
      </c>
      <c r="DF118" s="21" t="n">
        <v>308.768</v>
      </c>
      <c r="DG118" s="21" t="n">
        <v>314.199</v>
      </c>
      <c r="DH118" s="21" t="n">
        <v>187.639</v>
      </c>
      <c r="DI118" s="21" t="n">
        <v>193.277</v>
      </c>
      <c r="DJ118" s="21" t="n">
        <v>187.4</v>
      </c>
      <c r="DK118" s="21" t="n">
        <v>373.341</v>
      </c>
      <c r="DL118" s="21" t="n">
        <v>226.395</v>
      </c>
      <c r="DM118" s="21" t="n">
        <v>169.681</v>
      </c>
      <c r="DN118" s="21" t="n">
        <v>156.39</v>
      </c>
      <c r="DO118" s="21" t="n">
        <v>371.604</v>
      </c>
      <c r="DP118" s="21" t="n">
        <v>228.389</v>
      </c>
      <c r="DQ118" s="21" t="n">
        <v>244.431</v>
      </c>
      <c r="DR118" s="21" t="n">
        <v>205.479</v>
      </c>
      <c r="DS118" s="21" t="n">
        <v>201.655</v>
      </c>
      <c r="DT118" s="21" t="n">
        <v>233.902</v>
      </c>
      <c r="DU118" s="21" t="n">
        <v>247.631</v>
      </c>
      <c r="DV118" s="21" t="n">
        <v>291.683</v>
      </c>
      <c r="DW118" s="21" t="n">
        <v>230.379</v>
      </c>
      <c r="DX118" s="21" t="n">
        <v>276.844</v>
      </c>
      <c r="DY118" s="21" t="n">
        <v>210.891</v>
      </c>
      <c r="DZ118" s="21" t="n">
        <v>219.783</v>
      </c>
      <c r="EA118" s="21" t="n">
        <v>205.761</v>
      </c>
      <c r="EB118" s="21" t="n">
        <v>183.347</v>
      </c>
      <c r="EC118" s="21" t="n">
        <v>429.609</v>
      </c>
      <c r="ED118" s="21" t="n">
        <v>210.598</v>
      </c>
      <c r="EE118" s="21" t="n">
        <v>232.666</v>
      </c>
      <c r="EF118" s="21" t="n">
        <v>237.637</v>
      </c>
      <c r="EG118" s="21" t="n">
        <v>336.776</v>
      </c>
      <c r="EH118" s="21" t="n">
        <v>404.133</v>
      </c>
      <c r="EI118" s="21" t="n">
        <v>423.821</v>
      </c>
      <c r="EJ118" s="21" t="n">
        <v>187.421</v>
      </c>
      <c r="EK118" s="21" t="n">
        <v>655.41</v>
      </c>
      <c r="EL118" s="21" t="n">
        <v>382.978</v>
      </c>
      <c r="EM118" s="21" t="n">
        <v>415.601</v>
      </c>
      <c r="EN118" s="21" t="n">
        <v>415.626</v>
      </c>
      <c r="EO118" s="21" t="n">
        <v>158.068</v>
      </c>
      <c r="EP118" s="21" t="n">
        <v>316.243</v>
      </c>
      <c r="EQ118" s="21" t="n">
        <v>264.362</v>
      </c>
      <c r="ER118" s="21" t="n">
        <v>349.755</v>
      </c>
      <c r="ES118" s="21" t="n">
        <v>334.792</v>
      </c>
      <c r="ET118" s="21" t="n">
        <v>422.9</v>
      </c>
      <c r="EU118" s="21" t="n">
        <v>269.593</v>
      </c>
      <c r="EV118" s="21" t="n">
        <v>282.522</v>
      </c>
      <c r="EW118" s="21" t="n">
        <v>225.366</v>
      </c>
      <c r="EX118" s="21" t="n">
        <v>305.117</v>
      </c>
      <c r="EY118" s="21" t="n">
        <v>700.572</v>
      </c>
      <c r="EZ118" s="21" t="n">
        <v>619.64</v>
      </c>
      <c r="FA118" s="21" t="n">
        <v>147.906</v>
      </c>
      <c r="FB118" s="21" t="n">
        <v>60.11</v>
      </c>
      <c r="FC118" s="21" t="n">
        <v>128.845</v>
      </c>
      <c r="FD118" s="21" t="n">
        <v>81.965</v>
      </c>
      <c r="FE118" s="21" t="n">
        <v>40.433</v>
      </c>
      <c r="FF118" s="21" t="n">
        <v>129.994</v>
      </c>
      <c r="FG118" s="21" t="n">
        <v>142.379</v>
      </c>
      <c r="FH118" s="21" t="n">
        <v>104.759</v>
      </c>
      <c r="FI118" s="21" t="n">
        <v>76.307</v>
      </c>
      <c r="FJ118" s="21" t="n"/>
      <c r="FK118" s="21" t="n">
        <v>84.916</v>
      </c>
      <c r="FL118" s="21" t="n">
        <v>90.371</v>
      </c>
      <c r="FM118" s="21" t="n">
        <v>107.694</v>
      </c>
      <c r="FN118" s="21" t="n">
        <v>74.47799999999999</v>
      </c>
      <c r="FO118" s="21" t="n">
        <v>54.338</v>
      </c>
      <c r="FP118" s="21" t="n">
        <v>39.692</v>
      </c>
      <c r="FQ118" s="21" t="n">
        <v>158.91</v>
      </c>
      <c r="FR118" s="21" t="n">
        <v>45.988</v>
      </c>
      <c r="FS118" s="21" t="n">
        <v>80.07299999999999</v>
      </c>
      <c r="FT118" s="21" t="n">
        <v>109.745</v>
      </c>
      <c r="FU118" s="21" t="n">
        <v>119.533</v>
      </c>
      <c r="FV118" s="21" t="n">
        <v>105.727</v>
      </c>
      <c r="FW118" s="21" t="n">
        <v>235.352</v>
      </c>
      <c r="FX118" s="21" t="n">
        <v>152.354</v>
      </c>
      <c r="FY118" s="21" t="n">
        <v>230.532</v>
      </c>
      <c r="FZ118" s="21" t="n">
        <v>139.362</v>
      </c>
      <c r="GA118" s="21" t="n">
        <v>260.566</v>
      </c>
      <c r="GB118" s="21" t="n"/>
      <c r="GC118" s="21" t="n">
        <v>281.542</v>
      </c>
      <c r="GD118" s="21" t="n">
        <v>203.371</v>
      </c>
      <c r="GE118" s="21" t="n"/>
      <c r="GF118" s="21" t="n">
        <v>135.537</v>
      </c>
      <c r="GG118" s="21" t="n">
        <v>130.047</v>
      </c>
      <c r="GH118" s="21" t="n">
        <v>131.121</v>
      </c>
      <c r="GI118" s="21" t="n">
        <v>95.7</v>
      </c>
      <c r="GJ118" s="21" t="n">
        <v>181.831</v>
      </c>
      <c r="GK118" s="21" t="n">
        <v>82.74299999999999</v>
      </c>
      <c r="GL118" s="21" t="n">
        <v>136.597</v>
      </c>
      <c r="GM118" s="21" t="n">
        <v>122.855</v>
      </c>
      <c r="GN118" s="21" t="n">
        <v>115.12</v>
      </c>
      <c r="GO118" s="21" t="n">
        <v>116.279</v>
      </c>
      <c r="GP118" s="21" t="n">
        <v>106.409</v>
      </c>
      <c r="GQ118" s="21" t="n">
        <v>112.338</v>
      </c>
      <c r="GR118" s="21" t="n">
        <v>79.047</v>
      </c>
      <c r="GS118" s="21" t="n">
        <v>118.919</v>
      </c>
      <c r="GT118" s="21" t="n">
        <v>110.733</v>
      </c>
      <c r="GU118" s="21" t="n">
        <v>147.514</v>
      </c>
      <c r="GV118" s="21" t="n">
        <v>153.809</v>
      </c>
      <c r="GW118" s="21" t="n">
        <v>168.704</v>
      </c>
      <c r="GX118" s="21" t="n">
        <v>132.961</v>
      </c>
      <c r="GY118" s="21" t="n">
        <v>126.5</v>
      </c>
      <c r="GZ118" s="21" t="n">
        <v>209.536</v>
      </c>
      <c r="HA118" s="21" t="n">
        <v>157.103</v>
      </c>
      <c r="HB118" s="21" t="n">
        <v>210.176</v>
      </c>
      <c r="HC118" s="21" t="n">
        <v>269.604</v>
      </c>
      <c r="HD118" s="21" t="n">
        <v>269.771</v>
      </c>
      <c r="HE118" s="21" t="n">
        <v>124.187</v>
      </c>
      <c r="HF118" s="21" t="n">
        <v>177.435</v>
      </c>
      <c r="HG118" s="21" t="n"/>
      <c r="HH118" s="21" t="n">
        <v>171.801</v>
      </c>
      <c r="HI118" s="21" t="n">
        <v>189.466</v>
      </c>
      <c r="HJ118" s="21" t="n"/>
      <c r="HK118" s="21" t="n">
        <v>178.072</v>
      </c>
      <c r="HL118" s="21" t="n">
        <v>118.2</v>
      </c>
      <c r="HM118" s="21" t="n">
        <v>161.528</v>
      </c>
      <c r="HN118" s="21" t="n">
        <v>287.876</v>
      </c>
      <c r="HO118" s="21" t="n">
        <v>287.102</v>
      </c>
      <c r="HP118" s="21" t="n">
        <v>279.768</v>
      </c>
      <c r="HQ118" s="21" t="n">
        <v>318.212</v>
      </c>
      <c r="HR118" s="21" t="n">
        <v>314.793</v>
      </c>
      <c r="HS118" s="21" t="n">
        <v>267.862</v>
      </c>
      <c r="HT118" s="21" t="n">
        <v>182.444</v>
      </c>
      <c r="HU118" s="21" t="n">
        <v>154.335</v>
      </c>
      <c r="HV118" s="21" t="n">
        <v>222.045</v>
      </c>
      <c r="HW118" s="21" t="n">
        <v>206.25</v>
      </c>
      <c r="HX118" s="21" t="n">
        <v>488.026</v>
      </c>
      <c r="HY118" s="21" t="n">
        <v>411.276</v>
      </c>
      <c r="HZ118" s="21" t="n">
        <v>413.709</v>
      </c>
      <c r="IA118" s="21" t="n">
        <v>351.495</v>
      </c>
      <c r="IB118" s="21" t="n">
        <v>273.897</v>
      </c>
      <c r="IC118" s="21" t="n">
        <v>863.292</v>
      </c>
      <c r="ID118" s="21" t="n">
        <v>214.901</v>
      </c>
      <c r="IE118" s="21" t="n">
        <v>198.959</v>
      </c>
      <c r="IF118" s="21" t="n">
        <v>239.812</v>
      </c>
      <c r="IG118" s="21" t="n">
        <v>281.504</v>
      </c>
      <c r="IH118" s="21" t="n"/>
      <c r="II118" s="21" t="n">
        <v>254.513</v>
      </c>
      <c r="IJ118" s="21" t="n">
        <v>250.03</v>
      </c>
      <c r="IK118" s="21" t="n">
        <v>156.685</v>
      </c>
      <c r="IL118" s="21" t="n"/>
      <c r="IM118" s="21" t="n"/>
      <c r="IN118" s="21" t="n">
        <v>67.336</v>
      </c>
      <c r="IO118" s="21" t="n">
        <v>344.376</v>
      </c>
      <c r="IP118" s="21" t="n">
        <v>132.032</v>
      </c>
      <c r="IQ118" s="21" t="n">
        <v>566.266</v>
      </c>
      <c r="IR118" s="21" t="n">
        <v>413.708</v>
      </c>
      <c r="IS118" s="21" t="n">
        <v>135.177</v>
      </c>
      <c r="IT118" s="21" t="n">
        <v>559.487</v>
      </c>
      <c r="IU118" s="21" t="n">
        <v>110.557</v>
      </c>
      <c r="IV118" s="21" t="n">
        <v>111.363</v>
      </c>
      <c r="IW118" s="21" t="n">
        <v>615.354</v>
      </c>
      <c r="IX118" s="21" t="n">
        <v>431.141</v>
      </c>
      <c r="IY118" s="21" t="n">
        <v>420.17</v>
      </c>
      <c r="IZ118" s="21" t="n">
        <v>602.8339999999999</v>
      </c>
      <c r="JA118" s="21" t="n">
        <v>209.362</v>
      </c>
      <c r="JB118" s="21" t="n">
        <v>264.925</v>
      </c>
      <c r="JC118" s="21" t="n">
        <v>99.259</v>
      </c>
      <c r="JD118" s="21" t="n">
        <v>415.293</v>
      </c>
      <c r="JE118" s="21" t="n">
        <v>399.646</v>
      </c>
      <c r="JF118" s="21" t="n">
        <v>909.527</v>
      </c>
      <c r="JG118" s="21" t="n">
        <v>290.946</v>
      </c>
      <c r="JH118" s="21" t="n">
        <v>168.58</v>
      </c>
      <c r="JI118" s="21" t="n">
        <v>143.544</v>
      </c>
      <c r="JJ118" s="21" t="n">
        <v>137.651</v>
      </c>
      <c r="JK118" s="21" t="n">
        <v>117.725</v>
      </c>
      <c r="JL118" s="21" t="n">
        <v>103.71</v>
      </c>
      <c r="JM118" s="21" t="n">
        <v>580.639</v>
      </c>
      <c r="JN118" s="21" t="n">
        <v>104.309</v>
      </c>
      <c r="JO118" s="21" t="n">
        <v>77.887</v>
      </c>
      <c r="JP118" s="21" t="n">
        <v>43.586</v>
      </c>
      <c r="JQ118" s="21" t="n">
        <v>161.739</v>
      </c>
      <c r="JR118" s="21" t="n">
        <v>24.784</v>
      </c>
      <c r="JS118" s="21" t="n">
        <v>86.32299999999999</v>
      </c>
      <c r="JT118" s="21" t="n">
        <v>222.98</v>
      </c>
      <c r="JU118" s="21" t="n">
        <v>239.638</v>
      </c>
      <c r="JV118" s="21" t="n">
        <v>190.53</v>
      </c>
      <c r="JW118" s="21" t="n">
        <v>130.121</v>
      </c>
      <c r="JX118" s="21" t="n">
        <v>344.578</v>
      </c>
      <c r="JY118" s="21" t="n">
        <v>256.052</v>
      </c>
      <c r="JZ118" s="21" t="n">
        <v>370.17</v>
      </c>
      <c r="KA118" s="21" t="n">
        <v>123.61</v>
      </c>
      <c r="KB118" s="21" t="n">
        <v>171.1</v>
      </c>
      <c r="KC118" s="21" t="n">
        <v>84.08799999999999</v>
      </c>
      <c r="KD118" s="21" t="n">
        <v>85.82899999999999</v>
      </c>
      <c r="KE118" s="21" t="n">
        <v>69.43899999999999</v>
      </c>
      <c r="KF118" s="21" t="n"/>
      <c r="KG118" s="21" t="n">
        <v>28.562</v>
      </c>
      <c r="KH118" s="21" t="n">
        <v>133.049</v>
      </c>
      <c r="KI118" s="21" t="n"/>
      <c r="KJ118" s="21" t="n"/>
      <c r="KK118" s="21" t="n">
        <v>33.306</v>
      </c>
      <c r="KL118" s="21" t="n">
        <v>28.15</v>
      </c>
      <c r="KM118" s="21" t="n">
        <v>37.617</v>
      </c>
      <c r="KN118" s="21" t="n"/>
      <c r="KO118" s="21" t="n">
        <v>108.185</v>
      </c>
      <c r="KP118" s="21" t="n">
        <v>120.998</v>
      </c>
      <c r="KQ118" s="21" t="n">
        <v>199.222</v>
      </c>
      <c r="KR118" s="21" t="n">
        <v>159.907</v>
      </c>
      <c r="KS118" s="21" t="n">
        <v>463.204</v>
      </c>
      <c r="KT118" s="21" t="n">
        <v>223.677</v>
      </c>
      <c r="KU118" s="21" t="n">
        <v>272.338</v>
      </c>
      <c r="KV118" s="21" t="n">
        <v>398.081</v>
      </c>
      <c r="KW118" s="21" t="n">
        <v>287.851</v>
      </c>
      <c r="KX118" s="21" t="n">
        <v>219.492</v>
      </c>
      <c r="KY118" s="21" t="n">
        <v>101.521</v>
      </c>
      <c r="KZ118" s="21" t="n">
        <v>146.928</v>
      </c>
      <c r="LA118" s="21" t="n">
        <v>304.883</v>
      </c>
      <c r="LB118" s="21" t="n"/>
      <c r="LC118" s="21" t="n">
        <v>243.705</v>
      </c>
      <c r="LD118" s="21" t="n">
        <v>878.467</v>
      </c>
      <c r="LE118" s="21" t="n">
        <v>951.625</v>
      </c>
      <c r="LF118" s="21" t="n">
        <v>100.267</v>
      </c>
      <c r="LG118" s="21" t="n">
        <v>375.274</v>
      </c>
      <c r="LH118" s="21" t="n">
        <v>276.758</v>
      </c>
      <c r="LI118" s="21" t="n">
        <v>74.092</v>
      </c>
      <c r="LJ118" s="21" t="n">
        <v>240.761</v>
      </c>
      <c r="LK118" s="21" t="n">
        <v>373.598</v>
      </c>
      <c r="LL118" s="21" t="n">
        <v>430.914</v>
      </c>
      <c r="LM118" s="21" t="n">
        <v>69.70099999999999</v>
      </c>
      <c r="LN118" s="21" t="n">
        <v>94.864</v>
      </c>
      <c r="LO118" s="21" t="n">
        <v>47.149</v>
      </c>
      <c r="LP118" s="21" t="n">
        <v>157.825</v>
      </c>
      <c r="LQ118" s="21" t="n"/>
      <c r="LR118" s="21" t="n"/>
      <c r="LS118" s="21" t="n">
        <v>103.089</v>
      </c>
      <c r="LT118" s="21" t="n">
        <v>35.406</v>
      </c>
      <c r="LU118" s="21" t="n">
        <v>23.425</v>
      </c>
      <c r="LV118" s="21" t="n">
        <v>85.83</v>
      </c>
      <c r="LW118" s="21" t="n">
        <v>104.286</v>
      </c>
      <c r="LX118" s="21" t="n">
        <v>44.556</v>
      </c>
      <c r="LY118" s="21" t="n">
        <v>562.638</v>
      </c>
      <c r="LZ118" s="21" t="n">
        <v>98.515</v>
      </c>
      <c r="MA118" s="21" t="n">
        <v>651.278</v>
      </c>
      <c r="MB118" s="21" t="n">
        <v>348.596</v>
      </c>
      <c r="MC118" s="21" t="n">
        <v>283.738</v>
      </c>
      <c r="MD118" s="21" t="n">
        <v>179.154</v>
      </c>
      <c r="ME118" s="21" t="n">
        <v>121.376</v>
      </c>
      <c r="MF118" s="21" t="n">
        <v>191.105</v>
      </c>
      <c r="MG118" s="21" t="n">
        <v>347.077</v>
      </c>
      <c r="MH118" s="21" t="n">
        <v>211.774</v>
      </c>
      <c r="MI118" s="21" t="n">
        <v>560.366</v>
      </c>
      <c r="MJ118" s="21" t="n">
        <v>457.042</v>
      </c>
      <c r="MK118" s="21" t="n">
        <v>395.589</v>
      </c>
      <c r="ML118" s="21" t="n">
        <v>231.562</v>
      </c>
      <c r="MM118" s="21" t="n">
        <v>277.814</v>
      </c>
      <c r="MN118" s="21" t="n">
        <v>442.218</v>
      </c>
      <c r="MO118" s="21" t="n">
        <v>192.152</v>
      </c>
      <c r="MP118" s="21" t="n">
        <v>340.63</v>
      </c>
      <c r="MQ118" s="21" t="n">
        <v>84.673</v>
      </c>
      <c r="MR118" s="21" t="n">
        <v>194.299</v>
      </c>
      <c r="MS118" s="21" t="n"/>
      <c r="MT118" s="21" t="n">
        <v>303.175</v>
      </c>
      <c r="MU118" s="21" t="n">
        <v>321.85</v>
      </c>
      <c r="MV118" s="21" t="n">
        <v>312.692</v>
      </c>
      <c r="MW118" s="21" t="n">
        <v>321.109</v>
      </c>
      <c r="MX118" s="21" t="n">
        <v>284.044</v>
      </c>
      <c r="MY118" s="21" t="n">
        <v>272.293</v>
      </c>
      <c r="MZ118" s="21" t="n">
        <v>275.128</v>
      </c>
      <c r="NA118" s="21" t="n">
        <v>280.655</v>
      </c>
      <c r="NB118" s="21" t="n">
        <v>127.725</v>
      </c>
      <c r="NC118" s="21" t="n">
        <v>223.014</v>
      </c>
      <c r="ND118" s="21" t="n">
        <v>177.549</v>
      </c>
      <c r="NE118" s="21" t="n">
        <v>173.715</v>
      </c>
      <c r="NF118" s="21" t="n">
        <v>165.534</v>
      </c>
      <c r="NG118" s="21" t="n">
        <v>164.171</v>
      </c>
      <c r="NH118" s="21" t="n">
        <v>318.919</v>
      </c>
      <c r="NI118" s="21" t="n">
        <v>122.204</v>
      </c>
      <c r="NJ118" s="21" t="n">
        <v>54.813</v>
      </c>
      <c r="NK118" s="21" t="n">
        <v>123.835</v>
      </c>
      <c r="NL118" s="21" t="n">
        <v>275.74</v>
      </c>
      <c r="NM118" s="21" t="n">
        <v>293.273</v>
      </c>
      <c r="NN118" s="21" t="n">
        <v>105.373</v>
      </c>
      <c r="NO118" s="21" t="n">
        <v>37.609</v>
      </c>
      <c r="NP118" s="21" t="n">
        <v>277.42</v>
      </c>
      <c r="NQ118" s="21" t="n">
        <v>231.993</v>
      </c>
      <c r="NR118" s="21" t="n">
        <v>289.403</v>
      </c>
      <c r="NS118" s="21" t="n">
        <v>228.334</v>
      </c>
      <c r="NT118" s="21" t="n">
        <v>290.865</v>
      </c>
      <c r="NU118" s="21" t="n">
        <v>140.657</v>
      </c>
      <c r="NV118" s="21" t="n">
        <v>157.423</v>
      </c>
      <c r="NW118" s="21" t="n">
        <v>417.567</v>
      </c>
      <c r="NX118" s="21" t="n">
        <v>84.03700000000001</v>
      </c>
      <c r="NY118" s="21" t="n">
        <v>149.335</v>
      </c>
      <c r="NZ118" s="21" t="n">
        <v>422.289</v>
      </c>
      <c r="OA118" s="21" t="n">
        <v>406.433</v>
      </c>
      <c r="OB118" s="21" t="n">
        <v>420.286</v>
      </c>
      <c r="OC118" s="21" t="n">
        <v>390.387</v>
      </c>
      <c r="OD118" s="21" t="n">
        <v>419.05</v>
      </c>
      <c r="OE118" s="21" t="n">
        <v>129.549</v>
      </c>
      <c r="OF118" s="21" t="n">
        <v>436.331</v>
      </c>
      <c r="OG118" s="21" t="n">
        <v>259.374</v>
      </c>
      <c r="OH118" s="21" t="n">
        <v>32.335</v>
      </c>
      <c r="OI118" s="21" t="n">
        <v>153.961</v>
      </c>
      <c r="OJ118" s="21" t="n">
        <v>31.7</v>
      </c>
      <c r="OK118" s="21" t="n">
        <v>10.6</v>
      </c>
    </row>
    <row r="119">
      <c r="A119" s="22" t="n">
        <v>45566</v>
      </c>
      <c r="B119" s="21" t="n">
        <v>315.664</v>
      </c>
      <c r="C119" s="21" t="n">
        <v>945.5890000000001</v>
      </c>
      <c r="D119" s="21" t="n">
        <v>330.051</v>
      </c>
      <c r="E119" s="21" t="n">
        <v>332.678</v>
      </c>
      <c r="F119" s="21" t="n">
        <v>308.2</v>
      </c>
      <c r="G119" s="21" t="n">
        <v>359.007</v>
      </c>
      <c r="H119" s="21" t="n">
        <v>287.687</v>
      </c>
      <c r="I119" s="21" t="n">
        <v>322.67</v>
      </c>
      <c r="J119" s="21" t="n">
        <v>278.068</v>
      </c>
      <c r="K119" s="21" t="n">
        <v>292.888</v>
      </c>
      <c r="L119" s="21" t="n">
        <v>193.484</v>
      </c>
      <c r="M119" s="21" t="n">
        <v>400.576</v>
      </c>
      <c r="N119" s="21" t="n">
        <v>241.916</v>
      </c>
      <c r="O119" s="21" t="n">
        <v>435.38</v>
      </c>
      <c r="P119" s="21" t="n">
        <v>474.807</v>
      </c>
      <c r="Q119" s="21" t="n">
        <v>239.624</v>
      </c>
      <c r="R119" s="21" t="n">
        <v>373.917</v>
      </c>
      <c r="S119" s="21" t="n">
        <v>392.552</v>
      </c>
      <c r="T119" s="21" t="n">
        <v>355.268</v>
      </c>
      <c r="U119" s="21" t="n">
        <v>359.119</v>
      </c>
      <c r="V119" s="21" t="n">
        <v>401.274</v>
      </c>
      <c r="W119" s="21" t="n">
        <v>435.806</v>
      </c>
      <c r="X119" s="21" t="n">
        <v>349.949</v>
      </c>
      <c r="Y119" s="21" t="n">
        <v>328.743</v>
      </c>
      <c r="Z119" s="21" t="n">
        <v>328.411</v>
      </c>
      <c r="AA119" s="21" t="n">
        <v>337.952</v>
      </c>
      <c r="AB119" s="21" t="n">
        <v>426.449</v>
      </c>
      <c r="AC119" s="21" t="n">
        <v>370.211</v>
      </c>
      <c r="AD119" s="21" t="n">
        <v>339.197</v>
      </c>
      <c r="AE119" s="21" t="n">
        <v>283.342</v>
      </c>
      <c r="AF119" s="21" t="n">
        <v>350.916</v>
      </c>
      <c r="AG119" s="21" t="n">
        <v>271.851</v>
      </c>
      <c r="AH119" s="21" t="n">
        <v>203.272</v>
      </c>
      <c r="AI119" s="21" t="n">
        <v>378.349</v>
      </c>
      <c r="AJ119" s="21" t="n">
        <v>188.249</v>
      </c>
      <c r="AK119" s="21" t="n">
        <v>253.389</v>
      </c>
      <c r="AL119" s="21" t="n">
        <v>281.058</v>
      </c>
      <c r="AM119" s="21" t="n">
        <v>246.108</v>
      </c>
      <c r="AN119" s="21" t="n">
        <v>166.611</v>
      </c>
      <c r="AO119" s="21" t="n">
        <v>287.64</v>
      </c>
      <c r="AP119" s="21" t="n">
        <v>307.039</v>
      </c>
      <c r="AQ119" s="21" t="n">
        <v>186.676</v>
      </c>
      <c r="AR119" s="21" t="n"/>
      <c r="AS119" s="21" t="n"/>
      <c r="AT119" s="21" t="n">
        <v>308.363</v>
      </c>
      <c r="AU119" s="21" t="n">
        <v>197.634</v>
      </c>
      <c r="AV119" s="21" t="n">
        <v>330.717</v>
      </c>
      <c r="AW119" s="21" t="n">
        <v>294.065</v>
      </c>
      <c r="AX119" s="21" t="n">
        <v>203.682</v>
      </c>
      <c r="AY119" s="21" t="n">
        <v>347.013</v>
      </c>
      <c r="AZ119" s="21" t="n">
        <v>218.278</v>
      </c>
      <c r="BA119" s="21" t="n">
        <v>171.24</v>
      </c>
      <c r="BB119" s="21" t="n">
        <v>242.628</v>
      </c>
      <c r="BC119" s="21" t="n">
        <v>370.572</v>
      </c>
      <c r="BD119" s="21" t="n">
        <v>333.047</v>
      </c>
      <c r="BE119" s="21" t="n">
        <v>271.695</v>
      </c>
      <c r="BF119" s="21" t="n">
        <v>177.754</v>
      </c>
      <c r="BG119" s="21" t="n">
        <v>255.62</v>
      </c>
      <c r="BH119" s="21" t="n">
        <v>184.029</v>
      </c>
      <c r="BI119" s="21" t="n">
        <v>267.905</v>
      </c>
      <c r="BJ119" s="21" t="n">
        <v>276.098</v>
      </c>
      <c r="BK119" s="21" t="n">
        <v>192.404</v>
      </c>
      <c r="BL119" s="21" t="n">
        <v>355.292</v>
      </c>
      <c r="BM119" s="21" t="n">
        <v>400.509</v>
      </c>
      <c r="BN119" s="21" t="n">
        <v>420.549</v>
      </c>
      <c r="BO119" s="21" t="n">
        <v>345.978</v>
      </c>
      <c r="BP119" s="21" t="n">
        <v>205.722</v>
      </c>
      <c r="BQ119" s="21" t="n">
        <v>312.213</v>
      </c>
      <c r="BR119" s="21" t="n">
        <v>646.436</v>
      </c>
      <c r="BS119" s="21" t="n">
        <v>144.984</v>
      </c>
      <c r="BT119" s="21" t="n">
        <v>378.017</v>
      </c>
      <c r="BU119" s="21" t="n">
        <v>423.629</v>
      </c>
      <c r="BV119" s="21" t="n">
        <v>390.766</v>
      </c>
      <c r="BW119" s="21" t="n">
        <v>351.627</v>
      </c>
      <c r="BX119" s="21" t="n">
        <v>377.955</v>
      </c>
      <c r="BY119" s="21" t="n">
        <v>203.215</v>
      </c>
      <c r="BZ119" s="21" t="n">
        <v>215.523</v>
      </c>
      <c r="CA119" s="21" t="n">
        <v>202.892</v>
      </c>
      <c r="CB119" s="21" t="n">
        <v>231.235</v>
      </c>
      <c r="CC119" s="21" t="n">
        <v>187.262</v>
      </c>
      <c r="CD119" s="21" t="n">
        <v>265.636</v>
      </c>
      <c r="CE119" s="21" t="n">
        <v>193.477</v>
      </c>
      <c r="CF119" s="21" t="n">
        <v>233.613</v>
      </c>
      <c r="CG119" s="21" t="n">
        <v>220.672</v>
      </c>
      <c r="CH119" s="21" t="n">
        <v>175.942</v>
      </c>
      <c r="CI119" s="21" t="n">
        <v>228.875</v>
      </c>
      <c r="CJ119" s="21" t="n">
        <v>268.22</v>
      </c>
      <c r="CK119" s="21" t="n">
        <v>155.666</v>
      </c>
      <c r="CL119" s="21" t="n">
        <v>142.941</v>
      </c>
      <c r="CM119" s="21" t="n">
        <v>236.364</v>
      </c>
      <c r="CN119" s="21" t="n">
        <v>247.564</v>
      </c>
      <c r="CO119" s="21" t="n">
        <v>223.348</v>
      </c>
      <c r="CP119" s="21" t="n">
        <v>159.959</v>
      </c>
      <c r="CQ119" s="21" t="n">
        <v>273.232</v>
      </c>
      <c r="CR119" s="21" t="n">
        <v>290.877</v>
      </c>
      <c r="CS119" s="21" t="n">
        <v>271.701</v>
      </c>
      <c r="CT119" s="21" t="n">
        <v>197.214</v>
      </c>
      <c r="CU119" s="21" t="n">
        <v>194.638</v>
      </c>
      <c r="CV119" s="21" t="n">
        <v>321.675</v>
      </c>
      <c r="CW119" s="21" t="n">
        <v>283.613</v>
      </c>
      <c r="CX119" s="21" t="n">
        <v>323.513</v>
      </c>
      <c r="CY119" s="21" t="n">
        <v>462.012</v>
      </c>
      <c r="CZ119" s="21" t="n">
        <v>177.572</v>
      </c>
      <c r="DA119" s="21" t="n">
        <v>229.807</v>
      </c>
      <c r="DB119" s="21" t="n">
        <v>193.802</v>
      </c>
      <c r="DC119" s="21" t="n">
        <v>286.552</v>
      </c>
      <c r="DD119" s="21" t="n">
        <v>310.212</v>
      </c>
      <c r="DE119" s="21" t="n">
        <v>212.243</v>
      </c>
      <c r="DF119" s="21" t="n">
        <v>306.131</v>
      </c>
      <c r="DG119" s="21" t="n">
        <v>314.148</v>
      </c>
      <c r="DH119" s="21" t="n">
        <v>188.137</v>
      </c>
      <c r="DI119" s="21" t="n">
        <v>191.216</v>
      </c>
      <c r="DJ119" s="21" t="n">
        <v>184.174</v>
      </c>
      <c r="DK119" s="21" t="n">
        <v>415.142</v>
      </c>
      <c r="DL119" s="21" t="n">
        <v>224.916</v>
      </c>
      <c r="DM119" s="21" t="n">
        <v>170.95</v>
      </c>
      <c r="DN119" s="21" t="n">
        <v>157.921</v>
      </c>
      <c r="DO119" s="21" t="n">
        <v>372.486</v>
      </c>
      <c r="DP119" s="21" t="n">
        <v>228.839</v>
      </c>
      <c r="DQ119" s="21" t="n">
        <v>244.94</v>
      </c>
      <c r="DR119" s="21" t="n">
        <v>207.901</v>
      </c>
      <c r="DS119" s="21" t="n">
        <v>205.045</v>
      </c>
      <c r="DT119" s="21" t="n">
        <v>232.998</v>
      </c>
      <c r="DU119" s="21" t="n">
        <v>249.437</v>
      </c>
      <c r="DV119" s="21" t="n">
        <v>292.871</v>
      </c>
      <c r="DW119" s="21" t="n">
        <v>229.959</v>
      </c>
      <c r="DX119" s="21" t="n">
        <v>277.002</v>
      </c>
      <c r="DY119" s="21" t="n">
        <v>210.067</v>
      </c>
      <c r="DZ119" s="21" t="n">
        <v>218.227</v>
      </c>
      <c r="EA119" s="21" t="n">
        <v>205.527</v>
      </c>
      <c r="EB119" s="21" t="n">
        <v>182.829</v>
      </c>
      <c r="EC119" s="21" t="n">
        <v>434.59</v>
      </c>
      <c r="ED119" s="21" t="n">
        <v>214.981</v>
      </c>
      <c r="EE119" s="21" t="n">
        <v>233.592</v>
      </c>
      <c r="EF119" s="21" t="n">
        <v>240.57</v>
      </c>
      <c r="EG119" s="21" t="n">
        <v>337.47</v>
      </c>
      <c r="EH119" s="21" t="n">
        <v>405.287</v>
      </c>
      <c r="EI119" s="21" t="n">
        <v>425.381</v>
      </c>
      <c r="EJ119" s="21" t="n">
        <v>181.014</v>
      </c>
      <c r="EK119" s="21" t="n">
        <v>655.5359999999999</v>
      </c>
      <c r="EL119" s="21" t="n">
        <v>367.129</v>
      </c>
      <c r="EM119" s="21" t="n">
        <v>417.477</v>
      </c>
      <c r="EN119" s="21" t="n">
        <v>417.491</v>
      </c>
      <c r="EO119" s="21" t="n">
        <v>159.198</v>
      </c>
      <c r="EP119" s="21" t="n">
        <v>315.866</v>
      </c>
      <c r="EQ119" s="21" t="n">
        <v>263.587</v>
      </c>
      <c r="ER119" s="21" t="n">
        <v>355.269</v>
      </c>
      <c r="ES119" s="21" t="n">
        <v>338.453</v>
      </c>
      <c r="ET119" s="21" t="n">
        <v>431.365</v>
      </c>
      <c r="EU119" s="21" t="n">
        <v>268.564</v>
      </c>
      <c r="EV119" s="21" t="n">
        <v>280.47</v>
      </c>
      <c r="EW119" s="21" t="n">
        <v>227.463</v>
      </c>
      <c r="EX119" s="21" t="n">
        <v>306.336</v>
      </c>
      <c r="EY119" s="21" t="n">
        <v>703.603</v>
      </c>
      <c r="EZ119" s="21" t="n">
        <v>621.6319999999999</v>
      </c>
      <c r="FA119" s="21" t="n">
        <v>147.72</v>
      </c>
      <c r="FB119" s="21" t="n">
        <v>58.885</v>
      </c>
      <c r="FC119" s="21" t="n">
        <v>127.306</v>
      </c>
      <c r="FD119" s="21" t="n">
        <v>79.10599999999999</v>
      </c>
      <c r="FE119" s="21" t="n">
        <v>39.756</v>
      </c>
      <c r="FF119" s="21" t="n">
        <v>131.3</v>
      </c>
      <c r="FG119" s="21" t="n">
        <v>143.603</v>
      </c>
      <c r="FH119" s="21" t="n">
        <v>106.35</v>
      </c>
      <c r="FI119" s="21" t="n">
        <v>76.008</v>
      </c>
      <c r="FJ119" s="21" t="n"/>
      <c r="FK119" s="21" t="n">
        <v>83.584</v>
      </c>
      <c r="FL119" s="21" t="n">
        <v>89.31100000000001</v>
      </c>
      <c r="FM119" s="21" t="n">
        <v>107.76</v>
      </c>
      <c r="FN119" s="21" t="n">
        <v>73.181</v>
      </c>
      <c r="FO119" s="21" t="n">
        <v>54.055</v>
      </c>
      <c r="FP119" s="21" t="n">
        <v>39.552</v>
      </c>
      <c r="FQ119" s="21" t="n">
        <v>157.611</v>
      </c>
      <c r="FR119" s="21" t="n">
        <v>45.258</v>
      </c>
      <c r="FS119" s="21" t="n">
        <v>80.009</v>
      </c>
      <c r="FT119" s="21" t="n">
        <v>110.14</v>
      </c>
      <c r="FU119" s="21" t="n">
        <v>119.409</v>
      </c>
      <c r="FV119" s="21" t="n">
        <v>106.396</v>
      </c>
      <c r="FW119" s="21" t="n">
        <v>234.632</v>
      </c>
      <c r="FX119" s="21" t="n">
        <v>151.752</v>
      </c>
      <c r="FY119" s="21" t="n">
        <v>233.33</v>
      </c>
      <c r="FZ119" s="21" t="n">
        <v>138.005</v>
      </c>
      <c r="GA119" s="21" t="n">
        <v>259.801</v>
      </c>
      <c r="GB119" s="21" t="n">
        <v>225.598</v>
      </c>
      <c r="GC119" s="21" t="n">
        <v>275.439</v>
      </c>
      <c r="GD119" s="21" t="n">
        <v>206.798</v>
      </c>
      <c r="GE119" s="21" t="n"/>
      <c r="GF119" s="21" t="n">
        <v>133.179</v>
      </c>
      <c r="GG119" s="21" t="n">
        <v>129.172</v>
      </c>
      <c r="GH119" s="21" t="n">
        <v>130.522</v>
      </c>
      <c r="GI119" s="21" t="n">
        <v>94.896</v>
      </c>
      <c r="GJ119" s="21" t="n">
        <v>182.481</v>
      </c>
      <c r="GK119" s="21" t="n">
        <v>82.42</v>
      </c>
      <c r="GL119" s="21" t="n">
        <v>134.74</v>
      </c>
      <c r="GM119" s="21" t="n">
        <v>121.208</v>
      </c>
      <c r="GN119" s="21" t="n">
        <v>111.941</v>
      </c>
      <c r="GO119" s="21" t="n">
        <v>113.443</v>
      </c>
      <c r="GP119" s="21" t="n">
        <v>101.454</v>
      </c>
      <c r="GQ119" s="21" t="n">
        <v>109.127</v>
      </c>
      <c r="GR119" s="21" t="n">
        <v>76.849</v>
      </c>
      <c r="GS119" s="21" t="n">
        <v>117.345</v>
      </c>
      <c r="GT119" s="21" t="n">
        <v>105.243</v>
      </c>
      <c r="GU119" s="21" t="n">
        <v>147.888</v>
      </c>
      <c r="GV119" s="21" t="n">
        <v>154.898</v>
      </c>
      <c r="GW119" s="21" t="n">
        <v>170.959</v>
      </c>
      <c r="GX119" s="21" t="n">
        <v>132.115</v>
      </c>
      <c r="GY119" s="21" t="n">
        <v>125.064</v>
      </c>
      <c r="GZ119" s="21" t="n">
        <v>199.922</v>
      </c>
      <c r="HA119" s="21" t="n">
        <v>162.254</v>
      </c>
      <c r="HB119" s="21" t="n">
        <v>197.38</v>
      </c>
      <c r="HC119" s="21" t="n">
        <v>269.724</v>
      </c>
      <c r="HD119" s="21" t="n">
        <v>269.003</v>
      </c>
      <c r="HE119" s="21" t="n">
        <v>124.116</v>
      </c>
      <c r="HF119" s="21" t="n">
        <v>177.162</v>
      </c>
      <c r="HG119" s="21" t="n"/>
      <c r="HH119" s="21" t="n">
        <v>171.566</v>
      </c>
      <c r="HI119" s="21" t="n">
        <v>189.158</v>
      </c>
      <c r="HJ119" s="21" t="n"/>
      <c r="HK119" s="21" t="n">
        <v>178.744</v>
      </c>
      <c r="HL119" s="21" t="n"/>
      <c r="HM119" s="21" t="n">
        <v>160.635</v>
      </c>
      <c r="HN119" s="21" t="n">
        <v>282.635</v>
      </c>
      <c r="HO119" s="21" t="n">
        <v>281.741</v>
      </c>
      <c r="HP119" s="21" t="n">
        <v>274.405</v>
      </c>
      <c r="HQ119" s="21" t="n">
        <v>312.796</v>
      </c>
      <c r="HR119" s="21" t="n">
        <v>309.757</v>
      </c>
      <c r="HS119" s="21" t="n">
        <v>267.207</v>
      </c>
      <c r="HT119" s="21" t="n">
        <v>182.566</v>
      </c>
      <c r="HU119" s="21" t="n">
        <v>153.688</v>
      </c>
      <c r="HV119" s="21" t="n">
        <v>224.591</v>
      </c>
      <c r="HW119" s="21" t="n">
        <v>208.782</v>
      </c>
      <c r="HX119" s="21" t="n">
        <v>492.347</v>
      </c>
      <c r="HY119" s="21" t="n">
        <v>415.598</v>
      </c>
      <c r="HZ119" s="21" t="n">
        <v>413.501</v>
      </c>
      <c r="IA119" s="21" t="n">
        <v>355.015</v>
      </c>
      <c r="IB119" s="21" t="n">
        <v>277.355</v>
      </c>
      <c r="IC119" s="21" t="n">
        <v>865.985</v>
      </c>
      <c r="ID119" s="21" t="n">
        <v>214.697</v>
      </c>
      <c r="IE119" s="21" t="n">
        <v>199.287</v>
      </c>
      <c r="IF119" s="21" t="n">
        <v>238.829</v>
      </c>
      <c r="IG119" s="21" t="n">
        <v>279.954</v>
      </c>
      <c r="IH119" s="21" t="n"/>
      <c r="II119" s="21" t="n">
        <v>266.308</v>
      </c>
      <c r="IJ119" s="21" t="n">
        <v>265.939</v>
      </c>
      <c r="IK119" s="21" t="n">
        <v>155.225</v>
      </c>
      <c r="IL119" s="21" t="n"/>
      <c r="IM119" s="21" t="n"/>
      <c r="IN119" s="21" t="n">
        <v>66.29000000000001</v>
      </c>
      <c r="IO119" s="21" t="n">
        <v>347.24</v>
      </c>
      <c r="IP119" s="21" t="n">
        <v>132.013</v>
      </c>
      <c r="IQ119" s="21" t="n">
        <v>567.87</v>
      </c>
      <c r="IR119" s="21" t="n">
        <v>412.914</v>
      </c>
      <c r="IS119" s="21" t="n">
        <v>134.892</v>
      </c>
      <c r="IT119" s="21" t="n">
        <v>560.836</v>
      </c>
      <c r="IU119" s="21" t="n">
        <v>109.315</v>
      </c>
      <c r="IV119" s="21" t="n">
        <v>111.398</v>
      </c>
      <c r="IW119" s="21" t="n">
        <v>617.753</v>
      </c>
      <c r="IX119" s="21" t="n">
        <v>432.587</v>
      </c>
      <c r="IY119" s="21" t="n">
        <v>422.425</v>
      </c>
      <c r="IZ119" s="21" t="n">
        <v>604.027</v>
      </c>
      <c r="JA119" s="21" t="n">
        <v>212.164</v>
      </c>
      <c r="JB119" s="21" t="n">
        <v>263.103</v>
      </c>
      <c r="JC119" s="21" t="n">
        <v>99.706</v>
      </c>
      <c r="JD119" s="21" t="n">
        <v>417.499</v>
      </c>
      <c r="JE119" s="21" t="n">
        <v>400.606</v>
      </c>
      <c r="JF119" s="21" t="n">
        <v>916.2430000000001</v>
      </c>
      <c r="JG119" s="21" t="n">
        <v>290.976</v>
      </c>
      <c r="JH119" s="21" t="n"/>
      <c r="JI119" s="21" t="n">
        <v>144.24</v>
      </c>
      <c r="JJ119" s="21" t="n">
        <v>138.12</v>
      </c>
      <c r="JK119" s="21" t="n">
        <v>117.411</v>
      </c>
      <c r="JL119" s="21" t="n">
        <v>104.773</v>
      </c>
      <c r="JM119" s="21" t="n">
        <v>577.227</v>
      </c>
      <c r="JN119" s="21" t="n">
        <v>101.757</v>
      </c>
      <c r="JO119" s="21" t="n">
        <v>77</v>
      </c>
      <c r="JP119" s="21" t="n">
        <v>42.799</v>
      </c>
      <c r="JQ119" s="21" t="n">
        <v>161.452</v>
      </c>
      <c r="JR119" s="21" t="n">
        <v>25.432</v>
      </c>
      <c r="JS119" s="21" t="n">
        <v>87.16800000000001</v>
      </c>
      <c r="JT119" s="21" t="n">
        <v>223.322</v>
      </c>
      <c r="JU119" s="21" t="n">
        <v>238.735</v>
      </c>
      <c r="JV119" s="21" t="n">
        <v>189.92</v>
      </c>
      <c r="JW119" s="21" t="n">
        <v>129.566</v>
      </c>
      <c r="JX119" s="21" t="n">
        <v>347.666</v>
      </c>
      <c r="JY119" s="21" t="n">
        <v>257.272</v>
      </c>
      <c r="JZ119" s="21" t="n">
        <v>373.697</v>
      </c>
      <c r="KA119" s="21" t="n">
        <v>123.05</v>
      </c>
      <c r="KB119" s="21" t="n">
        <v>170.041</v>
      </c>
      <c r="KC119" s="21" t="n">
        <v>84</v>
      </c>
      <c r="KD119" s="21" t="n">
        <v>85.66</v>
      </c>
      <c r="KE119" s="21" t="n">
        <v>69.68899999999999</v>
      </c>
      <c r="KF119" s="21" t="n"/>
      <c r="KG119" s="21" t="n">
        <v>28.716</v>
      </c>
      <c r="KH119" s="21" t="n">
        <v>132.412</v>
      </c>
      <c r="KI119" s="21" t="n"/>
      <c r="KJ119" s="21" t="n"/>
      <c r="KK119" s="21" t="n">
        <v>32.964</v>
      </c>
      <c r="KL119" s="21" t="n">
        <v>27.844</v>
      </c>
      <c r="KM119" s="21" t="n">
        <v>37.069</v>
      </c>
      <c r="KN119" s="21" t="n"/>
      <c r="KO119" s="21" t="n">
        <v>106.477</v>
      </c>
      <c r="KP119" s="21" t="n">
        <v>121.508</v>
      </c>
      <c r="KQ119" s="21" t="n">
        <v>201.663</v>
      </c>
      <c r="KR119" s="21" t="n">
        <v>163.22</v>
      </c>
      <c r="KS119" s="21" t="n">
        <v>466.418</v>
      </c>
      <c r="KT119" s="21" t="n">
        <v>225.679</v>
      </c>
      <c r="KU119" s="21" t="n">
        <v>273.421</v>
      </c>
      <c r="KV119" s="21" t="n">
        <v>397.911</v>
      </c>
      <c r="KW119" s="21" t="n">
        <v>297.533</v>
      </c>
      <c r="KX119" s="21" t="n">
        <v>239.222</v>
      </c>
      <c r="KY119" s="21" t="n">
        <v>98.658</v>
      </c>
      <c r="KZ119" s="21" t="n">
        <v>146.451</v>
      </c>
      <c r="LA119" s="21" t="n">
        <v>305.154</v>
      </c>
      <c r="LB119" s="21" t="n">
        <v>712.033</v>
      </c>
      <c r="LC119" s="21" t="n">
        <v>243.584</v>
      </c>
      <c r="LD119" s="21" t="n">
        <v>879.277</v>
      </c>
      <c r="LE119" s="21" t="n">
        <v>952.8819999999999</v>
      </c>
      <c r="LF119" s="21" t="n">
        <v>100.18</v>
      </c>
      <c r="LG119" s="21" t="n">
        <v>375.659</v>
      </c>
      <c r="LH119" s="21" t="n">
        <v>276.741</v>
      </c>
      <c r="LI119" s="21" t="n">
        <v>73.62</v>
      </c>
      <c r="LJ119" s="21" t="n">
        <v>251.109</v>
      </c>
      <c r="LK119" s="21" t="n">
        <v>391.94</v>
      </c>
      <c r="LL119" s="21" t="n">
        <v>432.244</v>
      </c>
      <c r="LM119" s="21" t="n">
        <v>69.187</v>
      </c>
      <c r="LN119" s="21" t="n">
        <v>94.527</v>
      </c>
      <c r="LO119" s="21" t="n">
        <v>47.116</v>
      </c>
      <c r="LP119" s="21" t="n">
        <v>154.392</v>
      </c>
      <c r="LQ119" s="21" t="n"/>
      <c r="LR119" s="21" t="n"/>
      <c r="LS119" s="21" t="n">
        <v>101.974</v>
      </c>
      <c r="LT119" s="21" t="n">
        <v>34.849</v>
      </c>
      <c r="LU119" s="21" t="n">
        <v>23.336</v>
      </c>
      <c r="LV119" s="21" t="n">
        <v>84.982</v>
      </c>
      <c r="LW119" s="21" t="n">
        <v>103.267</v>
      </c>
      <c r="LX119" s="21" t="n">
        <v>43.332</v>
      </c>
      <c r="LY119" s="21" t="n">
        <v>564.8390000000001</v>
      </c>
      <c r="LZ119" s="21" t="n">
        <v>99.068</v>
      </c>
      <c r="MA119" s="21" t="n">
        <v>654.796</v>
      </c>
      <c r="MB119" s="21" t="n">
        <v>350.939</v>
      </c>
      <c r="MC119" s="21" t="n">
        <v>284.734</v>
      </c>
      <c r="MD119" s="21" t="n">
        <v>179.634</v>
      </c>
      <c r="ME119" s="21" t="n">
        <v>121.604</v>
      </c>
      <c r="MF119" s="21" t="n">
        <v>191.813</v>
      </c>
      <c r="MG119" s="21" t="n">
        <v>347.814</v>
      </c>
      <c r="MH119" s="21" t="n">
        <v>212.223</v>
      </c>
      <c r="MI119" s="21" t="n">
        <v>562.066</v>
      </c>
      <c r="MJ119" s="21" t="n"/>
      <c r="MK119" s="21" t="n">
        <v>398.346</v>
      </c>
      <c r="ML119" s="21" t="n">
        <v>232.232</v>
      </c>
      <c r="MM119" s="21" t="n">
        <v>278.56</v>
      </c>
      <c r="MN119" s="21" t="n">
        <v>443.886</v>
      </c>
      <c r="MO119" s="21" t="n">
        <v>192.152</v>
      </c>
      <c r="MP119" s="21" t="n"/>
      <c r="MQ119" s="21" t="n">
        <v>85.98099999999999</v>
      </c>
      <c r="MR119" s="21" t="n">
        <v>200.572</v>
      </c>
      <c r="MS119" s="21" t="n"/>
      <c r="MT119" s="21" t="n">
        <v>303.479</v>
      </c>
      <c r="MU119" s="21" t="n">
        <v>322.49</v>
      </c>
      <c r="MV119" s="21" t="n">
        <v>313.021</v>
      </c>
      <c r="MW119" s="21" t="n">
        <v>321.758</v>
      </c>
      <c r="MX119" s="21" t="n">
        <v>284.092</v>
      </c>
      <c r="MY119" s="21" t="n">
        <v>272.22</v>
      </c>
      <c r="MZ119" s="21" t="n">
        <v>275.491</v>
      </c>
      <c r="NA119" s="21" t="n">
        <v>280.994</v>
      </c>
      <c r="NB119" s="21" t="n">
        <v>124.854</v>
      </c>
      <c r="NC119" s="21" t="n">
        <v>222.483</v>
      </c>
      <c r="ND119" s="21" t="n">
        <v>176.673</v>
      </c>
      <c r="NE119" s="21" t="n">
        <v>172.796</v>
      </c>
      <c r="NF119" s="21" t="n">
        <v>165.088</v>
      </c>
      <c r="NG119" s="21" t="n">
        <v>163.609</v>
      </c>
      <c r="NH119" s="21" t="n">
        <v>319.3</v>
      </c>
      <c r="NI119" s="21" t="n">
        <v>122.18</v>
      </c>
      <c r="NJ119" s="21" t="n">
        <v>54.22</v>
      </c>
      <c r="NK119" s="21" t="n">
        <v>123.586</v>
      </c>
      <c r="NL119" s="21" t="n">
        <v>272.807</v>
      </c>
      <c r="NM119" s="21" t="n">
        <v>288.357</v>
      </c>
      <c r="NN119" s="21" t="n">
        <v>105.293</v>
      </c>
      <c r="NO119" s="21" t="n">
        <v>37.158</v>
      </c>
      <c r="NP119" s="21" t="n">
        <v>276.526</v>
      </c>
      <c r="NQ119" s="21" t="n">
        <v>229.953</v>
      </c>
      <c r="NR119" s="21" t="n">
        <v>287.549</v>
      </c>
      <c r="NS119" s="21" t="n">
        <v>226.106</v>
      </c>
      <c r="NT119" s="21" t="n">
        <v>288.705</v>
      </c>
      <c r="NU119" s="21" t="n">
        <v>141.405</v>
      </c>
      <c r="NV119" s="21" t="n">
        <v>157.842</v>
      </c>
      <c r="NW119" s="21" t="n">
        <v>418.167</v>
      </c>
      <c r="NX119" s="21" t="n">
        <v>83.938</v>
      </c>
      <c r="NY119" s="21" t="n">
        <v>150.266</v>
      </c>
      <c r="NZ119" s="21" t="n">
        <v>423.474</v>
      </c>
      <c r="OA119" s="21" t="n">
        <v>407.687</v>
      </c>
      <c r="OB119" s="21" t="n">
        <v>421.731</v>
      </c>
      <c r="OC119" s="21" t="n">
        <v>391.556</v>
      </c>
      <c r="OD119" s="21" t="n">
        <v>420.492</v>
      </c>
      <c r="OE119" s="21" t="n">
        <v>129.59</v>
      </c>
      <c r="OF119" s="21" t="n">
        <v>440.755</v>
      </c>
      <c r="OG119" s="21" t="n">
        <v>260.452</v>
      </c>
      <c r="OH119" s="21" t="n">
        <v>32.667</v>
      </c>
      <c r="OI119" s="21" t="n">
        <v>152.93</v>
      </c>
      <c r="OJ119" s="21" t="n">
        <v>31.7</v>
      </c>
      <c r="OK119" s="21" t="n">
        <v>10.6</v>
      </c>
    </row>
    <row r="120">
      <c r="A120" s="22" t="n">
        <v>45597</v>
      </c>
      <c r="B120" s="21" t="n">
        <v>315.493</v>
      </c>
      <c r="C120" s="21" t="n">
        <v>945.076</v>
      </c>
      <c r="D120" s="21" t="n">
        <v>330.26</v>
      </c>
      <c r="E120" s="21" t="n">
        <v>332.904</v>
      </c>
      <c r="F120" s="21" t="n">
        <v>307.972</v>
      </c>
      <c r="G120" s="21" t="n">
        <v>354.371</v>
      </c>
      <c r="H120" s="21" t="n">
        <v>285.018</v>
      </c>
      <c r="I120" s="21" t="n">
        <v>312.526</v>
      </c>
      <c r="J120" s="21" t="n">
        <v>278.086</v>
      </c>
      <c r="K120" s="21" t="n">
        <v>290.154</v>
      </c>
      <c r="L120" s="21" t="n">
        <v>192.857</v>
      </c>
      <c r="M120" s="21" t="n">
        <v>394.794</v>
      </c>
      <c r="N120" s="21" t="n">
        <v>238.705</v>
      </c>
      <c r="O120" s="21" t="n">
        <v>431.797</v>
      </c>
      <c r="P120" s="21" t="n">
        <v>463.912</v>
      </c>
      <c r="Q120" s="21" t="n">
        <v>236.291</v>
      </c>
      <c r="R120" s="21" t="n">
        <v>375.922</v>
      </c>
      <c r="S120" s="21" t="n">
        <v>395.836</v>
      </c>
      <c r="T120" s="21" t="n">
        <v>355.605</v>
      </c>
      <c r="U120" s="21" t="n">
        <v>347.897</v>
      </c>
      <c r="V120" s="21" t="n">
        <v>407.04</v>
      </c>
      <c r="W120" s="21" t="n">
        <v>415.631</v>
      </c>
      <c r="X120" s="21" t="n">
        <v>336.075</v>
      </c>
      <c r="Y120" s="21" t="n">
        <v>331.976</v>
      </c>
      <c r="Z120" s="21" t="n">
        <v>329.723</v>
      </c>
      <c r="AA120" s="21" t="n">
        <v>340.323</v>
      </c>
      <c r="AB120" s="21" t="n">
        <v>433.911</v>
      </c>
      <c r="AC120" s="21" t="n">
        <v>372.084</v>
      </c>
      <c r="AD120" s="21" t="n">
        <v>350.989</v>
      </c>
      <c r="AE120" s="21" t="n">
        <v>289.901</v>
      </c>
      <c r="AF120" s="21" t="n">
        <v>355.273</v>
      </c>
      <c r="AG120" s="21" t="n">
        <v>270.281</v>
      </c>
      <c r="AH120" s="21" t="n">
        <v>199.04</v>
      </c>
      <c r="AI120" s="21" t="n">
        <v>375.851</v>
      </c>
      <c r="AJ120" s="21" t="n">
        <v>180.748</v>
      </c>
      <c r="AK120" s="21" t="n">
        <v>253.432</v>
      </c>
      <c r="AL120" s="21" t="n">
        <v>281.282</v>
      </c>
      <c r="AM120" s="21" t="n">
        <v>254.868</v>
      </c>
      <c r="AN120" s="21" t="n">
        <v>165.711</v>
      </c>
      <c r="AO120" s="21" t="n">
        <v>288.894</v>
      </c>
      <c r="AP120" s="21" t="n">
        <v>308.22</v>
      </c>
      <c r="AQ120" s="21" t="n">
        <v>187.287</v>
      </c>
      <c r="AR120" s="21" t="n"/>
      <c r="AS120" s="21" t="n"/>
      <c r="AT120" s="21" t="n">
        <v>306.669</v>
      </c>
      <c r="AU120" s="21" t="n">
        <v>196.818</v>
      </c>
      <c r="AV120" s="21" t="n">
        <v>329.967</v>
      </c>
      <c r="AW120" s="21" t="n">
        <v>292.55</v>
      </c>
      <c r="AX120" s="21" t="n">
        <v>201.396</v>
      </c>
      <c r="AY120" s="21" t="n">
        <v>348.166</v>
      </c>
      <c r="AZ120" s="21" t="n">
        <v>218.69</v>
      </c>
      <c r="BA120" s="21" t="n">
        <v>172.033</v>
      </c>
      <c r="BB120" s="21" t="n">
        <v>249.603</v>
      </c>
      <c r="BC120" s="21" t="n">
        <v>364.668</v>
      </c>
      <c r="BD120" s="21" t="n">
        <v>359.058</v>
      </c>
      <c r="BE120" s="21" t="n">
        <v>270.819</v>
      </c>
      <c r="BF120" s="21" t="n">
        <v>179.622</v>
      </c>
      <c r="BG120" s="21" t="n">
        <v>258.013</v>
      </c>
      <c r="BH120" s="21" t="n">
        <v>185.911</v>
      </c>
      <c r="BI120" s="21" t="n">
        <v>264.824</v>
      </c>
      <c r="BJ120" s="21" t="n">
        <v>278.03</v>
      </c>
      <c r="BK120" s="21" t="n">
        <v>190.456</v>
      </c>
      <c r="BL120" s="21" t="n">
        <v>354.696</v>
      </c>
      <c r="BM120" s="21" t="n">
        <v>402.737</v>
      </c>
      <c r="BN120" s="21" t="n">
        <v>421.503</v>
      </c>
      <c r="BO120" s="21" t="n">
        <v>338.614</v>
      </c>
      <c r="BP120" s="21" t="n">
        <v>207.249</v>
      </c>
      <c r="BQ120" s="21" t="n">
        <v>307.32</v>
      </c>
      <c r="BR120" s="21" t="n">
        <v>630.506</v>
      </c>
      <c r="BS120" s="21" t="n">
        <v>147.739</v>
      </c>
      <c r="BT120" s="21" t="n">
        <v>381.572</v>
      </c>
      <c r="BU120" s="21" t="n">
        <v>402.5</v>
      </c>
      <c r="BV120" s="21" t="n">
        <v>411.102</v>
      </c>
      <c r="BW120" s="21" t="n">
        <v>362.651</v>
      </c>
      <c r="BX120" s="21" t="n">
        <v>381.581</v>
      </c>
      <c r="BY120" s="21" t="n">
        <v>198.238</v>
      </c>
      <c r="BZ120" s="21" t="n">
        <v>208.79</v>
      </c>
      <c r="CA120" s="21" t="n">
        <v>202.505</v>
      </c>
      <c r="CB120" s="21" t="n">
        <v>221.234</v>
      </c>
      <c r="CC120" s="21" t="n">
        <v>182.983</v>
      </c>
      <c r="CD120" s="21" t="n">
        <v>255.931</v>
      </c>
      <c r="CE120" s="21" t="n">
        <v>191.375</v>
      </c>
      <c r="CF120" s="21" t="n">
        <v>234.13</v>
      </c>
      <c r="CG120" s="21" t="n">
        <v>221.735</v>
      </c>
      <c r="CH120" s="21" t="n">
        <v>176.678</v>
      </c>
      <c r="CI120" s="21" t="n">
        <v>228.527</v>
      </c>
      <c r="CJ120" s="21" t="n">
        <v>272.561</v>
      </c>
      <c r="CK120" s="21" t="n">
        <v>157.006</v>
      </c>
      <c r="CL120" s="21" t="n">
        <v>143.852</v>
      </c>
      <c r="CM120" s="21" t="n">
        <v>238.626</v>
      </c>
      <c r="CN120" s="21" t="n">
        <v>249.467</v>
      </c>
      <c r="CO120" s="21" t="n">
        <v>226.18</v>
      </c>
      <c r="CP120" s="21" t="n">
        <v>160.124</v>
      </c>
      <c r="CQ120" s="21" t="n">
        <v>272.027</v>
      </c>
      <c r="CR120" s="21" t="n">
        <v>291.55</v>
      </c>
      <c r="CS120" s="21" t="n">
        <v>266.265</v>
      </c>
      <c r="CT120" s="21" t="n">
        <v>199.561</v>
      </c>
      <c r="CU120" s="21" t="n">
        <v>192.335</v>
      </c>
      <c r="CV120" s="21" t="n">
        <v>315.995</v>
      </c>
      <c r="CW120" s="21" t="n">
        <v>278.628</v>
      </c>
      <c r="CX120" s="21" t="n">
        <v>316.891</v>
      </c>
      <c r="CY120" s="21" t="n">
        <v>454.41</v>
      </c>
      <c r="CZ120" s="21" t="n">
        <v>174.316</v>
      </c>
      <c r="DA120" s="21" t="n">
        <v>225.817</v>
      </c>
      <c r="DB120" s="21" t="n">
        <v>193.651</v>
      </c>
      <c r="DC120" s="21" t="n">
        <v>285.531</v>
      </c>
      <c r="DD120" s="21" t="n">
        <v>302.084</v>
      </c>
      <c r="DE120" s="21" t="n">
        <v>213.013</v>
      </c>
      <c r="DF120" s="21" t="n">
        <v>306.984</v>
      </c>
      <c r="DG120" s="21" t="n">
        <v>309.735</v>
      </c>
      <c r="DH120" s="21" t="n">
        <v>182.035</v>
      </c>
      <c r="DI120" s="21" t="n">
        <v>193.463</v>
      </c>
      <c r="DJ120" s="21" t="n">
        <v>185.123</v>
      </c>
      <c r="DK120" s="21" t="n">
        <v>378.955</v>
      </c>
      <c r="DL120" s="21" t="n">
        <v>224.646</v>
      </c>
      <c r="DM120" s="21" t="n">
        <v>170.795</v>
      </c>
      <c r="DN120" s="21" t="n">
        <v>159.178</v>
      </c>
      <c r="DO120" s="21" t="n">
        <v>373.53</v>
      </c>
      <c r="DP120" s="21" t="n">
        <v>229.554</v>
      </c>
      <c r="DQ120" s="21" t="n">
        <v>245.744</v>
      </c>
      <c r="DR120" s="21" t="n">
        <v>206.126</v>
      </c>
      <c r="DS120" s="21" t="n">
        <v>202.421</v>
      </c>
      <c r="DT120" s="21" t="n">
        <v>233.141</v>
      </c>
      <c r="DU120" s="21" t="n">
        <v>249.212</v>
      </c>
      <c r="DV120" s="21" t="n">
        <v>292.831</v>
      </c>
      <c r="DW120" s="21" t="n">
        <v>229.022</v>
      </c>
      <c r="DX120" s="21" t="n">
        <v>276.546</v>
      </c>
      <c r="DY120" s="21" t="n">
        <v>209.794</v>
      </c>
      <c r="DZ120" s="21" t="n">
        <v>219.103</v>
      </c>
      <c r="EA120" s="21" t="n">
        <v>204.513</v>
      </c>
      <c r="EB120" s="21" t="n">
        <v>181.333</v>
      </c>
      <c r="EC120" s="21" t="n">
        <v>436.687</v>
      </c>
      <c r="ED120" s="21" t="n">
        <v>215.925</v>
      </c>
      <c r="EE120" s="21" t="n">
        <v>234.304</v>
      </c>
      <c r="EF120" s="21" t="n">
        <v>241.26</v>
      </c>
      <c r="EG120" s="21" t="n">
        <v>338.048</v>
      </c>
      <c r="EH120" s="21" t="n">
        <v>406.25</v>
      </c>
      <c r="EI120" s="21" t="n">
        <v>426.651</v>
      </c>
      <c r="EJ120" s="21" t="n">
        <v>179.264</v>
      </c>
      <c r="EK120" s="21" t="n">
        <v>656.4829999999999</v>
      </c>
      <c r="EL120" s="21" t="n">
        <v>362.689</v>
      </c>
      <c r="EM120" s="21" t="n">
        <v>418.669</v>
      </c>
      <c r="EN120" s="21" t="n">
        <v>418.68</v>
      </c>
      <c r="EO120" s="21" t="n">
        <v>159.147</v>
      </c>
      <c r="EP120" s="21" t="n">
        <v>315.136</v>
      </c>
      <c r="EQ120" s="21" t="n">
        <v>262.285</v>
      </c>
      <c r="ER120" s="21" t="n">
        <v>354.438</v>
      </c>
      <c r="ES120" s="21" t="n">
        <v>335.113</v>
      </c>
      <c r="ET120" s="21" t="n">
        <v>433.19</v>
      </c>
      <c r="EU120" s="21" t="n">
        <v>267.204</v>
      </c>
      <c r="EV120" s="21" t="n">
        <v>275.801</v>
      </c>
      <c r="EW120" s="21" t="n">
        <v>236.179</v>
      </c>
      <c r="EX120" s="21" t="n">
        <v>308.015</v>
      </c>
      <c r="EY120" s="21" t="n">
        <v>706.461</v>
      </c>
      <c r="EZ120" s="21" t="n">
        <v>627.127</v>
      </c>
      <c r="FA120" s="21" t="n">
        <v>147.746</v>
      </c>
      <c r="FB120" s="21" t="n">
        <v>59.166</v>
      </c>
      <c r="FC120" s="21" t="n">
        <v>126.745</v>
      </c>
      <c r="FD120" s="21" t="n">
        <v>81.401</v>
      </c>
      <c r="FE120" s="21" t="n">
        <v>39.622</v>
      </c>
      <c r="FF120" s="21" t="n">
        <v>131.089</v>
      </c>
      <c r="FG120" s="21" t="n">
        <v>141.473</v>
      </c>
      <c r="FH120" s="21" t="n">
        <v>107.049</v>
      </c>
      <c r="FI120" s="21" t="n">
        <v>76.001</v>
      </c>
      <c r="FJ120" s="21" t="n"/>
      <c r="FK120" s="21" t="n">
        <v>82.946</v>
      </c>
      <c r="FL120" s="21" t="n">
        <v>87.342</v>
      </c>
      <c r="FM120" s="21" t="n">
        <v>105.874</v>
      </c>
      <c r="FN120" s="21" t="n">
        <v>73.10299999999999</v>
      </c>
      <c r="FO120" s="21" t="n">
        <v>53.766</v>
      </c>
      <c r="FP120" s="21" t="n">
        <v>39.462</v>
      </c>
      <c r="FQ120" s="21" t="n">
        <v>158.206</v>
      </c>
      <c r="FR120" s="21" t="n">
        <v>44.372</v>
      </c>
      <c r="FS120" s="21" t="n">
        <v>77.843</v>
      </c>
      <c r="FT120" s="21" t="n">
        <v>110.287</v>
      </c>
      <c r="FU120" s="21" t="n">
        <v>120.084</v>
      </c>
      <c r="FV120" s="21" t="n">
        <v>106.194</v>
      </c>
      <c r="FW120" s="21" t="n">
        <v>235.476</v>
      </c>
      <c r="FX120" s="21" t="n">
        <v>151.162</v>
      </c>
      <c r="FY120" s="21" t="n">
        <v>233.375</v>
      </c>
      <c r="FZ120" s="21" t="n">
        <v>139.607</v>
      </c>
      <c r="GA120" s="21" t="n"/>
      <c r="GB120" s="21" t="n">
        <v>227.085</v>
      </c>
      <c r="GC120" s="21" t="n">
        <v>273.331</v>
      </c>
      <c r="GD120" s="21" t="n">
        <v>205.921</v>
      </c>
      <c r="GE120" s="21" t="n"/>
      <c r="GF120" s="21" t="n">
        <v>129.542</v>
      </c>
      <c r="GG120" s="21" t="n">
        <v>126.869</v>
      </c>
      <c r="GH120" s="21" t="n">
        <v>128.928</v>
      </c>
      <c r="GI120" s="21" t="n">
        <v>94.616</v>
      </c>
      <c r="GJ120" s="21" t="n">
        <v>181.097</v>
      </c>
      <c r="GK120" s="21" t="n">
        <v>80.587</v>
      </c>
      <c r="GL120" s="21" t="n">
        <v>133.164</v>
      </c>
      <c r="GM120" s="21" t="n">
        <v>116.926</v>
      </c>
      <c r="GN120" s="21" t="n">
        <v>107.519</v>
      </c>
      <c r="GO120" s="21" t="n">
        <v>109.059</v>
      </c>
      <c r="GP120" s="21" t="n">
        <v>97.438</v>
      </c>
      <c r="GQ120" s="21" t="n">
        <v>102.054</v>
      </c>
      <c r="GR120" s="21" t="n">
        <v>72.63</v>
      </c>
      <c r="GS120" s="21" t="n">
        <v>116.86</v>
      </c>
      <c r="GT120" s="21" t="n">
        <v>100.448</v>
      </c>
      <c r="GU120" s="21" t="n">
        <v>145.949</v>
      </c>
      <c r="GV120" s="21" t="n">
        <v>152.715</v>
      </c>
      <c r="GW120" s="21" t="n">
        <v>168.915</v>
      </c>
      <c r="GX120" s="21" t="n">
        <v>130.415</v>
      </c>
      <c r="GY120" s="21" t="n">
        <v>122.454</v>
      </c>
      <c r="GZ120" s="21" t="n">
        <v>193.125</v>
      </c>
      <c r="HA120" s="21" t="n">
        <v>163.929</v>
      </c>
      <c r="HB120" s="21" t="n">
        <v>188.835</v>
      </c>
      <c r="HC120" s="21" t="n">
        <v>268.45</v>
      </c>
      <c r="HD120" s="21" t="n">
        <v>267.494</v>
      </c>
      <c r="HE120" s="21" t="n">
        <v>124.451</v>
      </c>
      <c r="HF120" s="21" t="n">
        <v>177.472</v>
      </c>
      <c r="HG120" s="21" t="n"/>
      <c r="HH120" s="21" t="n">
        <v>172.043</v>
      </c>
      <c r="HI120" s="21" t="n">
        <v>189.466</v>
      </c>
      <c r="HJ120" s="21" t="n"/>
      <c r="HK120" s="21" t="n">
        <v>179.958</v>
      </c>
      <c r="HL120" s="21" t="n"/>
      <c r="HM120" s="21" t="n">
        <v>156.576</v>
      </c>
      <c r="HN120" s="21" t="n">
        <v>274.518</v>
      </c>
      <c r="HO120" s="21" t="n">
        <v>273.57</v>
      </c>
      <c r="HP120" s="21" t="n">
        <v>266.131</v>
      </c>
      <c r="HQ120" s="21" t="n">
        <v>305.041</v>
      </c>
      <c r="HR120" s="21" t="n">
        <v>302.635</v>
      </c>
      <c r="HS120" s="21" t="n">
        <v>262.02</v>
      </c>
      <c r="HT120" s="21" t="n">
        <v>181.387</v>
      </c>
      <c r="HU120" s="21" t="n">
        <v>153.233</v>
      </c>
      <c r="HV120" s="21" t="n">
        <v>221.423</v>
      </c>
      <c r="HW120" s="21" t="n">
        <v>204.418</v>
      </c>
      <c r="HX120" s="21" t="n">
        <v>493.512</v>
      </c>
      <c r="HY120" s="21" t="n">
        <v>416.418</v>
      </c>
      <c r="HZ120" s="21" t="n">
        <v>416.919</v>
      </c>
      <c r="IA120" s="21" t="n">
        <v>354.6</v>
      </c>
      <c r="IB120" s="21" t="n">
        <v>278.684</v>
      </c>
      <c r="IC120" s="21" t="n">
        <v>866.133</v>
      </c>
      <c r="ID120" s="21" t="n">
        <v>212.772</v>
      </c>
      <c r="IE120" s="21" t="n">
        <v>199.311</v>
      </c>
      <c r="IF120" s="21" t="n">
        <v>234.014</v>
      </c>
      <c r="IG120" s="21" t="n">
        <v>279.716</v>
      </c>
      <c r="IH120" s="21" t="n"/>
      <c r="II120" s="21" t="n">
        <v>268.176</v>
      </c>
      <c r="IJ120" s="21" t="n">
        <v>269.336</v>
      </c>
      <c r="IK120" s="21" t="n">
        <v>156.212</v>
      </c>
      <c r="IL120" s="21" t="n"/>
      <c r="IM120" s="21" t="n"/>
      <c r="IN120" s="21" t="n">
        <v>65.13800000000001</v>
      </c>
      <c r="IO120" s="21" t="n">
        <v>342.661</v>
      </c>
      <c r="IP120" s="21" t="n">
        <v>132.125</v>
      </c>
      <c r="IQ120" s="21" t="n">
        <v>568.773</v>
      </c>
      <c r="IR120" s="21" t="n">
        <v>412.424</v>
      </c>
      <c r="IS120" s="21" t="n">
        <v>134.759</v>
      </c>
      <c r="IT120" s="21" t="n">
        <v>558.497</v>
      </c>
      <c r="IU120" s="21" t="n">
        <v>109.92</v>
      </c>
      <c r="IV120" s="21" t="n">
        <v>111.001</v>
      </c>
      <c r="IW120" s="21" t="n">
        <v>619.1180000000001</v>
      </c>
      <c r="IX120" s="21" t="n">
        <v>433.998</v>
      </c>
      <c r="IY120" s="21" t="n">
        <v>423.591</v>
      </c>
      <c r="IZ120" s="21" t="n">
        <v>607.826</v>
      </c>
      <c r="JA120" s="21" t="n">
        <v>212.754</v>
      </c>
      <c r="JB120" s="21" t="n">
        <v>263.171</v>
      </c>
      <c r="JC120" s="21" t="n">
        <v>99.774</v>
      </c>
      <c r="JD120" s="21" t="n">
        <v>417.503</v>
      </c>
      <c r="JE120" s="21" t="n">
        <v>399.93</v>
      </c>
      <c r="JF120" s="21" t="n">
        <v>919.298</v>
      </c>
      <c r="JG120" s="21" t="n">
        <v>290.097</v>
      </c>
      <c r="JH120" s="21" t="n">
        <v>170.629</v>
      </c>
      <c r="JI120" s="21" t="n">
        <v>144.499</v>
      </c>
      <c r="JJ120" s="21" t="n">
        <v>138.341</v>
      </c>
      <c r="JK120" s="21" t="n">
        <v>116.606</v>
      </c>
      <c r="JL120" s="21" t="n">
        <v>101.594</v>
      </c>
      <c r="JM120" s="21" t="n">
        <v>577.046</v>
      </c>
      <c r="JN120" s="21" t="n">
        <v>100.334</v>
      </c>
      <c r="JO120" s="21" t="n">
        <v>75.375</v>
      </c>
      <c r="JP120" s="21" t="n">
        <v>41.939</v>
      </c>
      <c r="JQ120" s="21" t="n">
        <v>158.577</v>
      </c>
      <c r="JR120" s="21" t="n">
        <v>25.119</v>
      </c>
      <c r="JS120" s="21" t="n">
        <v>86.93899999999999</v>
      </c>
      <c r="JT120" s="21" t="n">
        <v>224.432</v>
      </c>
      <c r="JU120" s="21" t="n">
        <v>239.775</v>
      </c>
      <c r="JV120" s="21" t="n">
        <v>190.059</v>
      </c>
      <c r="JW120" s="21" t="n">
        <v>131.298</v>
      </c>
      <c r="JX120" s="21" t="n">
        <v>349.693</v>
      </c>
      <c r="JY120" s="21" t="n">
        <v>260.682</v>
      </c>
      <c r="JZ120" s="21" t="n">
        <v>376.506</v>
      </c>
      <c r="KA120" s="21" t="n">
        <v>122.728</v>
      </c>
      <c r="KB120" s="21" t="n">
        <v>169.936</v>
      </c>
      <c r="KC120" s="21" t="n">
        <v>83.413</v>
      </c>
      <c r="KD120" s="21" t="n">
        <v>85.774</v>
      </c>
      <c r="KE120" s="21" t="n">
        <v>68.755</v>
      </c>
      <c r="KF120" s="21" t="n"/>
      <c r="KG120" s="21" t="n">
        <v>28.342</v>
      </c>
      <c r="KH120" s="21" t="n"/>
      <c r="KI120" s="21" t="n"/>
      <c r="KJ120" s="21" t="n"/>
      <c r="KK120" s="21" t="n">
        <v>32.576</v>
      </c>
      <c r="KL120" s="21" t="n">
        <v>27.427</v>
      </c>
      <c r="KM120" s="21" t="n">
        <v>36.765</v>
      </c>
      <c r="KN120" s="21" t="n"/>
      <c r="KO120" s="21" t="n">
        <v>106.538</v>
      </c>
      <c r="KP120" s="21" t="n">
        <v>122.073</v>
      </c>
      <c r="KQ120" s="21" t="n">
        <v>204.049</v>
      </c>
      <c r="KR120" s="21" t="n">
        <v>167.641</v>
      </c>
      <c r="KS120" s="21" t="n">
        <v>464.766</v>
      </c>
      <c r="KT120" s="21" t="n">
        <v>226.176</v>
      </c>
      <c r="KU120" s="21" t="n">
        <v>265.956</v>
      </c>
      <c r="KV120" s="21" t="n">
        <v>400.18</v>
      </c>
      <c r="KW120" s="21" t="n">
        <v>282.948</v>
      </c>
      <c r="KX120" s="21" t="n">
        <v>225.797</v>
      </c>
      <c r="KY120" s="21" t="n">
        <v>94.679</v>
      </c>
      <c r="KZ120" s="21" t="n">
        <v>145.79</v>
      </c>
      <c r="LA120" s="21" t="n">
        <v>305.865</v>
      </c>
      <c r="LB120" s="21" t="n">
        <v>756.7619999999999</v>
      </c>
      <c r="LC120" s="21" t="n">
        <v>259.789</v>
      </c>
      <c r="LD120" s="21" t="n">
        <v>879.524</v>
      </c>
      <c r="LE120" s="21" t="n">
        <v>951.556</v>
      </c>
      <c r="LF120" s="21" t="n">
        <v>100.125</v>
      </c>
      <c r="LG120" s="21" t="n">
        <v>377.011</v>
      </c>
      <c r="LH120" s="21" t="n">
        <v>276.824</v>
      </c>
      <c r="LI120" s="21" t="n">
        <v>72.90300000000001</v>
      </c>
      <c r="LJ120" s="21" t="n">
        <v>251.292</v>
      </c>
      <c r="LK120" s="21" t="n">
        <v>391.94</v>
      </c>
      <c r="LL120" s="21" t="n">
        <v>434.704</v>
      </c>
      <c r="LM120" s="21" t="n">
        <v>68.498</v>
      </c>
      <c r="LN120" s="21" t="n">
        <v>94.36499999999999</v>
      </c>
      <c r="LO120" s="21" t="n">
        <v>47.006</v>
      </c>
      <c r="LP120" s="21" t="n">
        <v>154.752</v>
      </c>
      <c r="LQ120" s="21" t="n"/>
      <c r="LR120" s="21" t="n"/>
      <c r="LS120" s="21" t="n">
        <v>100.199</v>
      </c>
      <c r="LT120" s="21" t="n">
        <v>34.259</v>
      </c>
      <c r="LU120" s="21" t="n">
        <v>23.434</v>
      </c>
      <c r="LV120" s="21" t="n">
        <v>83.65900000000001</v>
      </c>
      <c r="LW120" s="21" t="n">
        <v>100.89</v>
      </c>
      <c r="LX120" s="21" t="n">
        <v>41.73</v>
      </c>
      <c r="LY120" s="21" t="n">
        <v>566.688</v>
      </c>
      <c r="LZ120" s="21" t="n">
        <v>100.022</v>
      </c>
      <c r="MA120" s="21" t="n">
        <v>662.98</v>
      </c>
      <c r="MB120" s="21" t="n">
        <v>349.278</v>
      </c>
      <c r="MC120" s="21" t="n">
        <v>285.239</v>
      </c>
      <c r="MD120" s="21" t="n">
        <v>179.444</v>
      </c>
      <c r="ME120" s="21" t="n">
        <v>122.386</v>
      </c>
      <c r="MF120" s="21" t="n">
        <v>189.988</v>
      </c>
      <c r="MG120" s="21" t="n">
        <v>349.909</v>
      </c>
      <c r="MH120" s="21" t="n">
        <v>213.502</v>
      </c>
      <c r="MI120" s="21" t="n">
        <v>563.335</v>
      </c>
      <c r="MJ120" s="21" t="n"/>
      <c r="MK120" s="21" t="n">
        <v>398.015</v>
      </c>
      <c r="ML120" s="21" t="n">
        <v>233.18</v>
      </c>
      <c r="MM120" s="21" t="n">
        <v>280.589</v>
      </c>
      <c r="MN120" s="21" t="n">
        <v>446.05</v>
      </c>
      <c r="MO120" s="21" t="n">
        <v>192.152</v>
      </c>
      <c r="MP120" s="21" t="n">
        <v>345.587</v>
      </c>
      <c r="MQ120" s="21" t="n">
        <v>85.43600000000001</v>
      </c>
      <c r="MR120" s="21" t="n">
        <v>203.175</v>
      </c>
      <c r="MS120" s="21" t="n"/>
      <c r="MT120" s="21" t="n">
        <v>303.259</v>
      </c>
      <c r="MU120" s="21" t="n">
        <v>322.684</v>
      </c>
      <c r="MV120" s="21" t="n">
        <v>312.791</v>
      </c>
      <c r="MW120" s="21" t="n">
        <v>321.947</v>
      </c>
      <c r="MX120" s="21" t="n">
        <v>283.459</v>
      </c>
      <c r="MY120" s="21" t="n">
        <v>271.4</v>
      </c>
      <c r="MZ120" s="21" t="n">
        <v>275.237</v>
      </c>
      <c r="NA120" s="21" t="n">
        <v>280.637</v>
      </c>
      <c r="NB120" s="21" t="n">
        <v>120.982</v>
      </c>
      <c r="NC120" s="21" t="n">
        <v>221.466</v>
      </c>
      <c r="ND120" s="21" t="n">
        <v>175.293</v>
      </c>
      <c r="NE120" s="21" t="n">
        <v>171.393</v>
      </c>
      <c r="NF120" s="21" t="n">
        <v>164.406</v>
      </c>
      <c r="NG120" s="21" t="n">
        <v>162.731</v>
      </c>
      <c r="NH120" s="21" t="n">
        <v>318.715</v>
      </c>
      <c r="NI120" s="21" t="n">
        <v>122.061</v>
      </c>
      <c r="NJ120" s="21" t="n">
        <v>53.602</v>
      </c>
      <c r="NK120" s="21" t="n">
        <v>123.165</v>
      </c>
      <c r="NL120" s="21" t="n">
        <v>268.213</v>
      </c>
      <c r="NM120" s="21" t="n">
        <v>280.41</v>
      </c>
      <c r="NN120" s="21" t="n">
        <v>105.27</v>
      </c>
      <c r="NO120" s="21" t="n">
        <v>36.422</v>
      </c>
      <c r="NP120" s="21" t="n">
        <v>274.876</v>
      </c>
      <c r="NQ120" s="21" t="n">
        <v>226.864</v>
      </c>
      <c r="NR120" s="21" t="n">
        <v>284.783</v>
      </c>
      <c r="NS120" s="21" t="n">
        <v>222.842</v>
      </c>
      <c r="NT120" s="21" t="n">
        <v>285.658</v>
      </c>
      <c r="NU120" s="21" t="n">
        <v>141.782</v>
      </c>
      <c r="NV120" s="21" t="n">
        <v>158.444</v>
      </c>
      <c r="NW120" s="21" t="n">
        <v>418.623</v>
      </c>
      <c r="NX120" s="21" t="n">
        <v>83.369</v>
      </c>
      <c r="NY120" s="21" t="n">
        <v>151.281</v>
      </c>
      <c r="NZ120" s="21" t="n">
        <v>424.494</v>
      </c>
      <c r="OA120" s="21" t="n">
        <v>408.363</v>
      </c>
      <c r="OB120" s="21" t="n">
        <v>422.574</v>
      </c>
      <c r="OC120" s="21" t="n">
        <v>392.181</v>
      </c>
      <c r="OD120" s="21" t="n">
        <v>420.788</v>
      </c>
      <c r="OE120" s="21" t="n">
        <v>129.94</v>
      </c>
      <c r="OF120" s="21" t="n">
        <v>440.98</v>
      </c>
      <c r="OG120" s="21" t="n">
        <v>260.286</v>
      </c>
      <c r="OH120" s="21" t="n">
        <v>32.087</v>
      </c>
      <c r="OI120" s="21" t="n">
        <v>152.409</v>
      </c>
      <c r="OJ120" s="21" t="n">
        <v>31.7</v>
      </c>
      <c r="OK120" s="21" t="n">
        <v>10.6</v>
      </c>
    </row>
    <row r="121">
      <c r="A121" s="22" t="n">
        <v>45627</v>
      </c>
      <c r="B121" s="21" t="n">
        <v>315.605</v>
      </c>
      <c r="C121" s="21" t="n">
        <v>945.413</v>
      </c>
      <c r="D121" s="21" t="n">
        <v>330.812</v>
      </c>
      <c r="E121" s="21" t="n">
        <v>333.566</v>
      </c>
      <c r="F121" s="21" t="n">
        <v>308.38</v>
      </c>
      <c r="G121" s="21" t="n">
        <v>356.574</v>
      </c>
      <c r="H121" s="21" t="n">
        <v>287.924</v>
      </c>
      <c r="I121" s="21" t="n">
        <v>314.588</v>
      </c>
      <c r="J121" s="21" t="n">
        <v>280.205</v>
      </c>
      <c r="K121" s="21" t="n">
        <v>294.16</v>
      </c>
      <c r="L121" s="21" t="n">
        <v>195.23</v>
      </c>
      <c r="M121" s="21" t="n">
        <v>396.587</v>
      </c>
      <c r="N121" s="21" t="n">
        <v>240.406</v>
      </c>
      <c r="O121" s="21" t="n">
        <v>434.809</v>
      </c>
      <c r="P121" s="21" t="n">
        <v>468.217</v>
      </c>
      <c r="Q121" s="21" t="n">
        <v>236.629</v>
      </c>
      <c r="R121" s="21" t="n">
        <v>374.421</v>
      </c>
      <c r="S121" s="21" t="n">
        <v>395.901</v>
      </c>
      <c r="T121" s="21" t="n">
        <v>352.512</v>
      </c>
      <c r="U121" s="21" t="n">
        <v>351.671</v>
      </c>
      <c r="V121" s="21" t="n">
        <v>407.883</v>
      </c>
      <c r="W121" s="21" t="n">
        <v>423.911</v>
      </c>
      <c r="X121" s="21" t="n">
        <v>337.782</v>
      </c>
      <c r="Y121" s="21" t="n">
        <v>333.659</v>
      </c>
      <c r="Z121" s="21" t="n">
        <v>329.015</v>
      </c>
      <c r="AA121" s="21" t="n">
        <v>338.901</v>
      </c>
      <c r="AB121" s="21" t="n">
        <v>433.225</v>
      </c>
      <c r="AC121" s="21" t="n">
        <v>370.833</v>
      </c>
      <c r="AD121" s="21" t="n">
        <v>353.491</v>
      </c>
      <c r="AE121" s="21" t="n">
        <v>288.654</v>
      </c>
      <c r="AF121" s="21" t="n">
        <v>355.234</v>
      </c>
      <c r="AG121" s="21" t="n">
        <v>266.768</v>
      </c>
      <c r="AH121" s="21" t="n">
        <v>200.657</v>
      </c>
      <c r="AI121" s="21" t="n">
        <v>376.644</v>
      </c>
      <c r="AJ121" s="21" t="n">
        <v>184.334</v>
      </c>
      <c r="AK121" s="21" t="n">
        <v>247.219</v>
      </c>
      <c r="AL121" s="21" t="n">
        <v>273.937</v>
      </c>
      <c r="AM121" s="21" t="n">
        <v>247.681</v>
      </c>
      <c r="AN121" s="21" t="n">
        <v>160.426</v>
      </c>
      <c r="AO121" s="21" t="n">
        <v>289.737</v>
      </c>
      <c r="AP121" s="21" t="n">
        <v>308.748</v>
      </c>
      <c r="AQ121" s="21" t="n">
        <v>188.251</v>
      </c>
      <c r="AR121" s="21" t="n"/>
      <c r="AS121" s="21" t="n"/>
      <c r="AT121" s="21" t="n">
        <v>307.108</v>
      </c>
      <c r="AU121" s="21" t="n">
        <v>197.427</v>
      </c>
      <c r="AV121" s="21" t="n">
        <v>329.188</v>
      </c>
      <c r="AW121" s="21" t="n">
        <v>294.241</v>
      </c>
      <c r="AX121" s="21" t="n">
        <v>200.262</v>
      </c>
      <c r="AY121" s="21" t="n">
        <v>348.827</v>
      </c>
      <c r="AZ121" s="21" t="n">
        <v>218.224</v>
      </c>
      <c r="BA121" s="21" t="n">
        <v>172.992</v>
      </c>
      <c r="BB121" s="21" t="n">
        <v>250.914</v>
      </c>
      <c r="BC121" s="21" t="n">
        <v>371.26</v>
      </c>
      <c r="BD121" s="21" t="n">
        <v>389.077</v>
      </c>
      <c r="BE121" s="21" t="n">
        <v>271.358</v>
      </c>
      <c r="BF121" s="21" t="n">
        <v>180.093</v>
      </c>
      <c r="BG121" s="21" t="n">
        <v>256.109</v>
      </c>
      <c r="BH121" s="21" t="n">
        <v>187.282</v>
      </c>
      <c r="BI121" s="21" t="n">
        <v>266.271</v>
      </c>
      <c r="BJ121" s="21" t="n">
        <v>275.664</v>
      </c>
      <c r="BK121" s="21" t="n">
        <v>191.02</v>
      </c>
      <c r="BL121" s="21" t="n">
        <v>353.63</v>
      </c>
      <c r="BM121" s="21" t="n">
        <v>399.953</v>
      </c>
      <c r="BN121" s="21" t="n">
        <v>412.752</v>
      </c>
      <c r="BO121" s="21" t="n">
        <v>343.966</v>
      </c>
      <c r="BP121" s="21" t="n">
        <v>205.69</v>
      </c>
      <c r="BQ121" s="21" t="n">
        <v>290.004</v>
      </c>
      <c r="BR121" s="21" t="n">
        <v>573.279</v>
      </c>
      <c r="BS121" s="21" t="n">
        <v>146.008</v>
      </c>
      <c r="BT121" s="21" t="n">
        <v>385.061</v>
      </c>
      <c r="BU121" s="21" t="n">
        <v>405.794</v>
      </c>
      <c r="BV121" s="21" t="n">
        <v>409.518</v>
      </c>
      <c r="BW121" s="21" t="n">
        <v>368.274</v>
      </c>
      <c r="BX121" s="21" t="n">
        <v>385.639</v>
      </c>
      <c r="BY121" s="21" t="n">
        <v>200.157</v>
      </c>
      <c r="BZ121" s="21" t="n">
        <v>212.883</v>
      </c>
      <c r="CA121" s="21" t="n">
        <v>205.058</v>
      </c>
      <c r="CB121" s="21" t="n">
        <v>225.85</v>
      </c>
      <c r="CC121" s="21" t="n">
        <v>181.923</v>
      </c>
      <c r="CD121" s="21" t="n">
        <v>255.914</v>
      </c>
      <c r="CE121" s="21" t="n">
        <v>193.164</v>
      </c>
      <c r="CF121" s="21" t="n">
        <v>235.208</v>
      </c>
      <c r="CG121" s="21" t="n">
        <v>220.762</v>
      </c>
      <c r="CH121" s="21" t="n">
        <v>175.284</v>
      </c>
      <c r="CI121" s="21" t="n">
        <v>224.217</v>
      </c>
      <c r="CJ121" s="21" t="n">
        <v>265.293</v>
      </c>
      <c r="CK121" s="21" t="n">
        <v>157.246</v>
      </c>
      <c r="CL121" s="21" t="n">
        <v>144.449</v>
      </c>
      <c r="CM121" s="21" t="n">
        <v>239.449</v>
      </c>
      <c r="CN121" s="21" t="n">
        <v>251.861</v>
      </c>
      <c r="CO121" s="21" t="n">
        <v>221.768</v>
      </c>
      <c r="CP121" s="21" t="n">
        <v>160.98</v>
      </c>
      <c r="CQ121" s="21" t="n">
        <v>272.362</v>
      </c>
      <c r="CR121" s="21" t="n">
        <v>293.685</v>
      </c>
      <c r="CS121" s="21" t="n">
        <v>266.033</v>
      </c>
      <c r="CT121" s="21" t="n">
        <v>201.153</v>
      </c>
      <c r="CU121" s="21" t="n">
        <v>194.446</v>
      </c>
      <c r="CV121" s="21" t="n">
        <v>313.796</v>
      </c>
      <c r="CW121" s="21" t="n">
        <v>275.74</v>
      </c>
      <c r="CX121" s="21" t="n">
        <v>313.865</v>
      </c>
      <c r="CY121" s="21" t="n">
        <v>444.367</v>
      </c>
      <c r="CZ121" s="21" t="n">
        <v>173.406</v>
      </c>
      <c r="DA121" s="21" t="n">
        <v>224.55</v>
      </c>
      <c r="DB121" s="21" t="n">
        <v>189.917</v>
      </c>
      <c r="DC121" s="21" t="n">
        <v>285.926</v>
      </c>
      <c r="DD121" s="21" t="n">
        <v>306.049</v>
      </c>
      <c r="DE121" s="21" t="n">
        <v>214.095</v>
      </c>
      <c r="DF121" s="21" t="n">
        <v>305.149</v>
      </c>
      <c r="DG121" s="21" t="n">
        <v>309.834</v>
      </c>
      <c r="DH121" s="21" t="n">
        <v>183.959</v>
      </c>
      <c r="DI121" s="21" t="n">
        <v>189.654</v>
      </c>
      <c r="DJ121" s="21" t="n">
        <v>184.649</v>
      </c>
      <c r="DK121" s="21" t="n">
        <v>367.786</v>
      </c>
      <c r="DL121" s="21" t="n">
        <v>225.58</v>
      </c>
      <c r="DM121" s="21" t="n">
        <v>171.231</v>
      </c>
      <c r="DN121" s="21" t="n">
        <v>159.262</v>
      </c>
      <c r="DO121" s="21" t="n">
        <v>374.644</v>
      </c>
      <c r="DP121" s="21" t="n">
        <v>230.095</v>
      </c>
      <c r="DQ121" s="21" t="n">
        <v>246.692</v>
      </c>
      <c r="DR121" s="21" t="n">
        <v>206.304</v>
      </c>
      <c r="DS121" s="21" t="n">
        <v>202.384</v>
      </c>
      <c r="DT121" s="21" t="n">
        <v>233.59</v>
      </c>
      <c r="DU121" s="21" t="n">
        <v>249.536</v>
      </c>
      <c r="DV121" s="21" t="n">
        <v>291.832</v>
      </c>
      <c r="DW121" s="21" t="n">
        <v>228.598</v>
      </c>
      <c r="DX121" s="21" t="n">
        <v>276.617</v>
      </c>
      <c r="DY121" s="21" t="n">
        <v>209.2</v>
      </c>
      <c r="DZ121" s="21" t="n">
        <v>218.359</v>
      </c>
      <c r="EA121" s="21" t="n">
        <v>203.825</v>
      </c>
      <c r="EB121" s="21" t="n">
        <v>180.737</v>
      </c>
      <c r="EC121" s="21" t="n">
        <v>434.348</v>
      </c>
      <c r="ED121" s="21" t="n">
        <v>213.382</v>
      </c>
      <c r="EE121" s="21" t="n">
        <v>234.319</v>
      </c>
      <c r="EF121" s="21" t="n">
        <v>239.5</v>
      </c>
      <c r="EG121" s="21" t="n">
        <v>338.883</v>
      </c>
      <c r="EH121" s="21" t="n">
        <v>407.242</v>
      </c>
      <c r="EI121" s="21" t="n">
        <v>428.151</v>
      </c>
      <c r="EJ121" s="21" t="n">
        <v>175.444</v>
      </c>
      <c r="EK121" s="21" t="n">
        <v>657.61</v>
      </c>
      <c r="EL121" s="21" t="n">
        <v>353.109</v>
      </c>
      <c r="EM121" s="21" t="n">
        <v>420.077</v>
      </c>
      <c r="EN121" s="21" t="n">
        <v>420.093</v>
      </c>
      <c r="EO121" s="21" t="n">
        <v>159.148</v>
      </c>
      <c r="EP121" s="21" t="n">
        <v>317.18</v>
      </c>
      <c r="EQ121" s="21" t="n">
        <v>264.502</v>
      </c>
      <c r="ER121" s="21" t="n">
        <v>359.477</v>
      </c>
      <c r="ES121" s="21" t="n">
        <v>341.794</v>
      </c>
      <c r="ET121" s="21" t="n">
        <v>437.217</v>
      </c>
      <c r="EU121" s="21" t="n">
        <v>269.388</v>
      </c>
      <c r="EV121" s="21" t="n">
        <v>276.7</v>
      </c>
      <c r="EW121" s="21" t="n">
        <v>242.224</v>
      </c>
      <c r="EX121" s="21" t="n">
        <v>308.234</v>
      </c>
      <c r="EY121" s="21" t="n">
        <v>706.852</v>
      </c>
      <c r="EZ121" s="21" t="n">
        <v>627.807</v>
      </c>
      <c r="FA121" s="21" t="n">
        <v>147.559</v>
      </c>
      <c r="FB121" s="21" t="n">
        <v>59.689</v>
      </c>
      <c r="FC121" s="21" t="n">
        <v>128.102</v>
      </c>
      <c r="FD121" s="21" t="n">
        <v>81.053</v>
      </c>
      <c r="FE121" s="21" t="n">
        <v>40.214</v>
      </c>
      <c r="FF121" s="21" t="n">
        <v>129.873</v>
      </c>
      <c r="FG121" s="21" t="n">
        <v>139.527</v>
      </c>
      <c r="FH121" s="21" t="n">
        <v>106.202</v>
      </c>
      <c r="FI121" s="21" t="n">
        <v>75.694</v>
      </c>
      <c r="FJ121" s="21" t="n"/>
      <c r="FK121" s="21" t="n">
        <v>80.553</v>
      </c>
      <c r="FL121" s="21" t="n">
        <v>84.944</v>
      </c>
      <c r="FM121" s="21" t="n">
        <v>103.929</v>
      </c>
      <c r="FN121" s="21" t="n">
        <v>70.93600000000001</v>
      </c>
      <c r="FO121" s="21" t="n">
        <v>53.745</v>
      </c>
      <c r="FP121" s="21" t="n">
        <v>39.307</v>
      </c>
      <c r="FQ121" s="21" t="n">
        <v>160.658</v>
      </c>
      <c r="FR121" s="21" t="n">
        <v>43.74</v>
      </c>
      <c r="FS121" s="21" t="n">
        <v>77.56699999999999</v>
      </c>
      <c r="FT121" s="21" t="n">
        <v>109.85</v>
      </c>
      <c r="FU121" s="21" t="n">
        <v>120.669</v>
      </c>
      <c r="FV121" s="21" t="n">
        <v>105.304</v>
      </c>
      <c r="FW121" s="21" t="n">
        <v>236.348</v>
      </c>
      <c r="FX121" s="21" t="n">
        <v>151.36</v>
      </c>
      <c r="FY121" s="21" t="n">
        <v>234.213</v>
      </c>
      <c r="FZ121" s="21" t="n">
        <v>140.408</v>
      </c>
      <c r="GA121" s="21" t="n"/>
      <c r="GB121" s="21" t="n"/>
      <c r="GC121" s="21" t="n"/>
      <c r="GD121" s="21" t="n">
        <v>203.157</v>
      </c>
      <c r="GE121" s="21" t="n"/>
      <c r="GF121" s="21" t="n">
        <v>127.354</v>
      </c>
      <c r="GG121" s="21" t="n">
        <v>124.868</v>
      </c>
      <c r="GH121" s="21" t="n">
        <v>126.881</v>
      </c>
      <c r="GI121" s="21" t="n">
        <v>92.846</v>
      </c>
      <c r="GJ121" s="21" t="n">
        <v>178.37</v>
      </c>
      <c r="GK121" s="21" t="n">
        <v>78.498</v>
      </c>
      <c r="GL121" s="21" t="n">
        <v>132.729</v>
      </c>
      <c r="GM121" s="21" t="n">
        <v>115.121</v>
      </c>
      <c r="GN121" s="21" t="n">
        <v>105.083</v>
      </c>
      <c r="GO121" s="21" t="n">
        <v>106.762</v>
      </c>
      <c r="GP121" s="21" t="n">
        <v>98.776</v>
      </c>
      <c r="GQ121" s="21" t="n">
        <v>100.28</v>
      </c>
      <c r="GR121" s="21" t="n">
        <v>71.196</v>
      </c>
      <c r="GS121" s="21" t="n">
        <v>113.258</v>
      </c>
      <c r="GT121" s="21" t="n">
        <v>97.04900000000001</v>
      </c>
      <c r="GU121" s="21" t="n">
        <v>143.217</v>
      </c>
      <c r="GV121" s="21" t="n">
        <v>147.829</v>
      </c>
      <c r="GW121" s="21" t="n">
        <v>164.996</v>
      </c>
      <c r="GX121" s="21" t="n">
        <v>129.674</v>
      </c>
      <c r="GY121" s="21" t="n">
        <v>121.478</v>
      </c>
      <c r="GZ121" s="21" t="n">
        <v>194.145</v>
      </c>
      <c r="HA121" s="21" t="n">
        <v>161.583</v>
      </c>
      <c r="HB121" s="21" t="n">
        <v>190.652</v>
      </c>
      <c r="HC121" s="21" t="n">
        <v>267.606</v>
      </c>
      <c r="HD121" s="21" t="n">
        <v>266.883</v>
      </c>
      <c r="HE121" s="21" t="n">
        <v>124.324</v>
      </c>
      <c r="HF121" s="21" t="n">
        <v>177.552</v>
      </c>
      <c r="HG121" s="21" t="n"/>
      <c r="HH121" s="21" t="n">
        <v>172.184</v>
      </c>
      <c r="HI121" s="21" t="n">
        <v>189.55</v>
      </c>
      <c r="HJ121" s="21" t="n"/>
      <c r="HK121" s="21" t="n">
        <v>180.317</v>
      </c>
      <c r="HL121" s="21" t="n"/>
      <c r="HM121" s="21" t="n">
        <v>151.989</v>
      </c>
      <c r="HN121" s="21" t="n">
        <v>271.629</v>
      </c>
      <c r="HO121" s="21" t="n">
        <v>270.667</v>
      </c>
      <c r="HP121" s="21" t="n">
        <v>263.311</v>
      </c>
      <c r="HQ121" s="21" t="n">
        <v>301.757</v>
      </c>
      <c r="HR121" s="21" t="n">
        <v>299.455</v>
      </c>
      <c r="HS121" s="21" t="n">
        <v>260.056</v>
      </c>
      <c r="HT121" s="21" t="n">
        <v>181.551</v>
      </c>
      <c r="HU121" s="21" t="n">
        <v>153.774</v>
      </c>
      <c r="HV121" s="21" t="n">
        <v>220.338</v>
      </c>
      <c r="HW121" s="21" t="n">
        <v>202.882</v>
      </c>
      <c r="HX121" s="21" t="n">
        <v>493.103</v>
      </c>
      <c r="HY121" s="21" t="n">
        <v>417.312</v>
      </c>
      <c r="HZ121" s="21" t="n">
        <v>428.545</v>
      </c>
      <c r="IA121" s="21" t="n">
        <v>357.139</v>
      </c>
      <c r="IB121" s="21" t="n">
        <v>277.058</v>
      </c>
      <c r="IC121" s="21" t="n">
        <v>868.417</v>
      </c>
      <c r="ID121" s="21" t="n">
        <v>210.904</v>
      </c>
      <c r="IE121" s="21" t="n">
        <v>199.233</v>
      </c>
      <c r="IF121" s="21" t="n">
        <v>229.312</v>
      </c>
      <c r="IG121" s="21" t="n">
        <v>279.425</v>
      </c>
      <c r="IH121" s="21" t="n"/>
      <c r="II121" s="21" t="n">
        <v>264.306</v>
      </c>
      <c r="IJ121" s="21" t="n">
        <v>262.556</v>
      </c>
      <c r="IK121" s="21" t="n">
        <v>162.184</v>
      </c>
      <c r="IL121" s="21" t="n"/>
      <c r="IM121" s="21" t="n"/>
      <c r="IN121" s="21" t="n">
        <v>65.038</v>
      </c>
      <c r="IO121" s="21" t="n">
        <v>344.423</v>
      </c>
      <c r="IP121" s="21" t="n">
        <v>132.26</v>
      </c>
      <c r="IQ121" s="21" t="n">
        <v>569.189</v>
      </c>
      <c r="IR121" s="21" t="n">
        <v>412.381</v>
      </c>
      <c r="IS121" s="21" t="n">
        <v>134.862</v>
      </c>
      <c r="IT121" s="21" t="n">
        <v>558.744</v>
      </c>
      <c r="IU121" s="21" t="n">
        <v>110.076</v>
      </c>
      <c r="IV121" s="21" t="n">
        <v>109.867</v>
      </c>
      <c r="IW121" s="21" t="n">
        <v>619.686</v>
      </c>
      <c r="IX121" s="21" t="n">
        <v>434.095</v>
      </c>
      <c r="IY121" s="21" t="n">
        <v>423.86</v>
      </c>
      <c r="IZ121" s="21" t="n">
        <v>606.1799999999999</v>
      </c>
      <c r="JA121" s="21" t="n">
        <v>213.149</v>
      </c>
      <c r="JB121" s="21" t="n">
        <v>263.878</v>
      </c>
      <c r="JC121" s="21" t="n">
        <v>100</v>
      </c>
      <c r="JD121" s="21" t="n">
        <v>418.467</v>
      </c>
      <c r="JE121" s="21" t="n"/>
      <c r="JF121" s="21" t="n">
        <v>921.928</v>
      </c>
      <c r="JG121" s="21" t="n">
        <v>291.012</v>
      </c>
      <c r="JH121" s="21" t="n">
        <v>170.763</v>
      </c>
      <c r="JI121" s="21" t="n">
        <v>144.482</v>
      </c>
      <c r="JJ121" s="21" t="n">
        <v>138.343</v>
      </c>
      <c r="JK121" s="21" t="n">
        <v>116.849</v>
      </c>
      <c r="JL121" s="21" t="n">
        <v>100</v>
      </c>
      <c r="JM121" s="21" t="n">
        <v>580.616</v>
      </c>
      <c r="JN121" s="21" t="n">
        <v>100</v>
      </c>
      <c r="JO121" s="21" t="n">
        <v>76.33499999999999</v>
      </c>
      <c r="JP121" s="21" t="n">
        <v>42.376</v>
      </c>
      <c r="JQ121" s="21" t="n">
        <v>159.457</v>
      </c>
      <c r="JR121" s="21" t="n">
        <v>24.174</v>
      </c>
      <c r="JS121" s="21" t="n">
        <v>87.31</v>
      </c>
      <c r="JT121" s="21" t="n">
        <v>223.988</v>
      </c>
      <c r="JU121" s="21" t="n">
        <v>238.711</v>
      </c>
      <c r="JV121" s="21" t="n">
        <v>188.882</v>
      </c>
      <c r="JW121" s="21" t="n">
        <v>131.477</v>
      </c>
      <c r="JX121" s="21" t="n">
        <v>350.192</v>
      </c>
      <c r="JY121" s="21" t="n">
        <v>259.354</v>
      </c>
      <c r="JZ121" s="21" t="n">
        <v>378.122</v>
      </c>
      <c r="KA121" s="21" t="n">
        <v>122.29</v>
      </c>
      <c r="KB121" s="21" t="n">
        <v>169.11</v>
      </c>
      <c r="KC121" s="21" t="n">
        <v>83.351</v>
      </c>
      <c r="KD121" s="21" t="n">
        <v>84.248</v>
      </c>
      <c r="KE121" s="21" t="n">
        <v>66.98099999999999</v>
      </c>
      <c r="KF121" s="21" t="n"/>
      <c r="KG121" s="21" t="n">
        <v>27.56</v>
      </c>
      <c r="KH121" s="21" t="n">
        <v>131.756</v>
      </c>
      <c r="KI121" s="21" t="n"/>
      <c r="KJ121" s="21" t="n"/>
      <c r="KK121" s="21" t="n">
        <v>32.324</v>
      </c>
      <c r="KL121" s="21" t="n">
        <v>27.092</v>
      </c>
      <c r="KM121" s="21" t="n">
        <v>36.535</v>
      </c>
      <c r="KN121" s="21" t="n"/>
      <c r="KO121" s="21" t="n">
        <v>107.075</v>
      </c>
      <c r="KP121" s="21" t="n">
        <v>124.167</v>
      </c>
      <c r="KQ121" s="21" t="n">
        <v>204.638</v>
      </c>
      <c r="KR121" s="21" t="n">
        <v>167.395</v>
      </c>
      <c r="KS121" s="21" t="n">
        <v>467.948</v>
      </c>
      <c r="KT121" s="21" t="n">
        <v>227.666</v>
      </c>
      <c r="KU121" s="21" t="n">
        <v>267.318</v>
      </c>
      <c r="KV121" s="21" t="n">
        <v>402.09</v>
      </c>
      <c r="KW121" s="21" t="n">
        <v>284.186</v>
      </c>
      <c r="KX121" s="21" t="n">
        <v>222.19</v>
      </c>
      <c r="KY121" s="21" t="n">
        <v>97.43300000000001</v>
      </c>
      <c r="KZ121" s="21" t="n">
        <v>145.696</v>
      </c>
      <c r="LA121" s="21" t="n">
        <v>305.662</v>
      </c>
      <c r="LB121" s="21" t="n">
        <v>750.7329999999999</v>
      </c>
      <c r="LC121" s="21" t="n">
        <v>256.96</v>
      </c>
      <c r="LD121" s="21" t="n">
        <v>879.172</v>
      </c>
      <c r="LE121" s="21" t="n">
        <v>951.607</v>
      </c>
      <c r="LF121" s="21" t="n">
        <v>100</v>
      </c>
      <c r="LG121" s="21" t="n">
        <v>376.669</v>
      </c>
      <c r="LH121" s="21" t="n">
        <v>276.974</v>
      </c>
      <c r="LI121" s="21" t="n">
        <v>72.857</v>
      </c>
      <c r="LJ121" s="21" t="n">
        <v>251.771</v>
      </c>
      <c r="LK121" s="21" t="n">
        <v>391.94</v>
      </c>
      <c r="LL121" s="21" t="n">
        <v>441.164</v>
      </c>
      <c r="LM121" s="21" t="n">
        <v>68.45099999999999</v>
      </c>
      <c r="LN121" s="21" t="n">
        <v>94.435</v>
      </c>
      <c r="LO121" s="21" t="n">
        <v>46.995</v>
      </c>
      <c r="LP121" s="21" t="n">
        <v>155.861</v>
      </c>
      <c r="LQ121" s="21" t="n"/>
      <c r="LR121" s="21" t="n"/>
      <c r="LS121" s="21" t="n">
        <v>100</v>
      </c>
      <c r="LT121" s="21" t="n">
        <v>33.942</v>
      </c>
      <c r="LU121" s="21" t="n">
        <v>22.721</v>
      </c>
      <c r="LV121" s="21" t="n">
        <v>83.974</v>
      </c>
      <c r="LW121" s="21" t="n">
        <v>100</v>
      </c>
      <c r="LX121" s="21" t="n">
        <v>41.031</v>
      </c>
      <c r="LY121" s="21" t="n">
        <v>564.6</v>
      </c>
      <c r="LZ121" s="21" t="n">
        <v>100</v>
      </c>
      <c r="MA121" s="21" t="n">
        <v>663.574</v>
      </c>
      <c r="MB121" s="21" t="n">
        <v>347.244</v>
      </c>
      <c r="MC121" s="21" t="n">
        <v>283.952</v>
      </c>
      <c r="MD121" s="21" t="n">
        <v>177.536</v>
      </c>
      <c r="ME121" s="21" t="n">
        <v>121.154</v>
      </c>
      <c r="MF121" s="21" t="n">
        <v>187.819</v>
      </c>
      <c r="MG121" s="21" t="n">
        <v>350.024</v>
      </c>
      <c r="MH121" s="21" t="n">
        <v>213.572</v>
      </c>
      <c r="MI121" s="21" t="n">
        <v>560.325</v>
      </c>
      <c r="MJ121" s="21" t="n"/>
      <c r="MK121" s="21" t="n">
        <v>399.098</v>
      </c>
      <c r="ML121" s="21" t="n">
        <v>233.345</v>
      </c>
      <c r="MM121" s="21" t="n">
        <v>279.839</v>
      </c>
      <c r="MN121" s="21" t="n">
        <v>436.532</v>
      </c>
      <c r="MO121" s="21" t="n">
        <v>192.152</v>
      </c>
      <c r="MP121" s="21" t="n"/>
      <c r="MQ121" s="21" t="n">
        <v>85.961</v>
      </c>
      <c r="MR121" s="21" t="n">
        <v>204.234</v>
      </c>
      <c r="MS121" s="21" t="n"/>
      <c r="MT121" s="21" t="n">
        <v>303.357</v>
      </c>
      <c r="MU121" s="21" t="n">
        <v>322.828</v>
      </c>
      <c r="MV121" s="21" t="n">
        <v>312.824</v>
      </c>
      <c r="MW121" s="21" t="n">
        <v>322.007</v>
      </c>
      <c r="MX121" s="21" t="n">
        <v>283.218</v>
      </c>
      <c r="MY121" s="21" t="n">
        <v>270.96</v>
      </c>
      <c r="MZ121" s="21" t="n">
        <v>274.762</v>
      </c>
      <c r="NA121" s="21" t="n">
        <v>280.106</v>
      </c>
      <c r="NB121" s="21" t="n">
        <v>118.997</v>
      </c>
      <c r="NC121" s="21" t="n">
        <v>220.949</v>
      </c>
      <c r="ND121" s="21" t="n">
        <v>174.413</v>
      </c>
      <c r="NE121" s="21" t="n">
        <v>170.521</v>
      </c>
      <c r="NF121" s="21" t="n">
        <v>163.712</v>
      </c>
      <c r="NG121" s="21" t="n">
        <v>161.927</v>
      </c>
      <c r="NH121" s="21" t="n">
        <v>319.443</v>
      </c>
      <c r="NI121" s="21" t="n">
        <v>121.747</v>
      </c>
      <c r="NJ121" s="21" t="n">
        <v>53.096</v>
      </c>
      <c r="NK121" s="21" t="n">
        <v>123.26</v>
      </c>
      <c r="NL121" s="21" t="n">
        <v>267.963</v>
      </c>
      <c r="NM121" s="21" t="n">
        <v>277.772</v>
      </c>
      <c r="NN121" s="21" t="n">
        <v>104.887</v>
      </c>
      <c r="NO121" s="21" t="n">
        <v>36.072</v>
      </c>
      <c r="NP121" s="21" t="n">
        <v>274.26</v>
      </c>
      <c r="NQ121" s="21" t="n">
        <v>225.262</v>
      </c>
      <c r="NR121" s="21" t="n">
        <v>283.528</v>
      </c>
      <c r="NS121" s="21" t="n">
        <v>221.206</v>
      </c>
      <c r="NT121" s="21" t="n">
        <v>284.37</v>
      </c>
      <c r="NU121" s="21" t="n">
        <v>141.149</v>
      </c>
      <c r="NV121" s="21" t="n">
        <v>157.97</v>
      </c>
      <c r="NW121" s="21" t="n">
        <v>419.092</v>
      </c>
      <c r="NX121" s="21" t="n">
        <v>82.875</v>
      </c>
      <c r="NY121" s="21" t="n">
        <v>151.826</v>
      </c>
      <c r="NZ121" s="21" t="n">
        <v>425.542</v>
      </c>
      <c r="OA121" s="21" t="n">
        <v>409.105</v>
      </c>
      <c r="OB121" s="21" t="n">
        <v>423.207</v>
      </c>
      <c r="OC121" s="21" t="n">
        <v>392.933</v>
      </c>
      <c r="OD121" s="21" t="n">
        <v>421.204</v>
      </c>
      <c r="OE121" s="21" t="n">
        <v>130.065</v>
      </c>
      <c r="OF121" s="21" t="n">
        <v>439.523</v>
      </c>
      <c r="OG121" s="21" t="n">
        <v>260.83</v>
      </c>
      <c r="OH121" s="21" t="n">
        <v>31.633</v>
      </c>
      <c r="OI121" s="21" t="n">
        <v>153.498</v>
      </c>
      <c r="OJ121" s="21" t="n">
        <v>31.7</v>
      </c>
      <c r="OK121" s="21" t="n">
        <v>10.6</v>
      </c>
    </row>
    <row r="122">
      <c r="A122" s="22" t="n">
        <v>45658</v>
      </c>
      <c r="B122" s="21" t="n">
        <v>317.671</v>
      </c>
      <c r="C122" s="21" t="n">
        <v>951.601</v>
      </c>
      <c r="D122" s="21" t="n">
        <v>332.696</v>
      </c>
      <c r="E122" s="21" t="n">
        <v>335.517</v>
      </c>
      <c r="F122" s="21" t="n">
        <v>310.936</v>
      </c>
      <c r="G122" s="21" t="n">
        <v>355.964</v>
      </c>
      <c r="H122" s="21" t="n">
        <v>282.3</v>
      </c>
      <c r="I122" s="21" t="n">
        <v>324.203</v>
      </c>
      <c r="J122" s="21" t="n">
        <v>270.976</v>
      </c>
      <c r="K122" s="21" t="n">
        <v>289.353</v>
      </c>
      <c r="L122" s="21" t="n">
        <v>192.502</v>
      </c>
      <c r="M122" s="21" t="n">
        <v>399.042</v>
      </c>
      <c r="N122" s="21" t="n">
        <v>238.703</v>
      </c>
      <c r="O122" s="21" t="n">
        <v>433.026</v>
      </c>
      <c r="P122" s="21" t="n">
        <v>464.228</v>
      </c>
      <c r="Q122" s="21" t="n">
        <v>241.181</v>
      </c>
      <c r="R122" s="21" t="n">
        <v>375.511</v>
      </c>
      <c r="S122" s="21" t="n">
        <v>385.512</v>
      </c>
      <c r="T122" s="21" t="n">
        <v>359.512</v>
      </c>
      <c r="U122" s="21" t="n">
        <v>354.895</v>
      </c>
      <c r="V122" s="21" t="n">
        <v>405.774</v>
      </c>
      <c r="W122" s="21" t="n">
        <v>428.855</v>
      </c>
      <c r="X122" s="21" t="n">
        <v>345.368</v>
      </c>
      <c r="Y122" s="21" t="n">
        <v>339.169</v>
      </c>
      <c r="Z122" s="21" t="n">
        <v>329.717</v>
      </c>
      <c r="AA122" s="21" t="n">
        <v>339.581</v>
      </c>
      <c r="AB122" s="21" t="n">
        <v>434.386</v>
      </c>
      <c r="AC122" s="21" t="n">
        <v>367.36</v>
      </c>
      <c r="AD122" s="21" t="n">
        <v>352.04</v>
      </c>
      <c r="AE122" s="21" t="n">
        <v>296.127</v>
      </c>
      <c r="AF122" s="21" t="n">
        <v>355.178</v>
      </c>
      <c r="AG122" s="21" t="n">
        <v>268.703</v>
      </c>
      <c r="AH122" s="21" t="n">
        <v>204.359</v>
      </c>
      <c r="AI122" s="21" t="n">
        <v>386.961</v>
      </c>
      <c r="AJ122" s="21" t="n">
        <v>186.887</v>
      </c>
      <c r="AK122" s="21" t="n">
        <v>248.707</v>
      </c>
      <c r="AL122" s="21" t="n">
        <v>276.139</v>
      </c>
      <c r="AM122" s="21" t="n">
        <v>242.903</v>
      </c>
      <c r="AN122" s="21" t="n">
        <v>162.012</v>
      </c>
      <c r="AO122" s="21" t="n">
        <v>287.494</v>
      </c>
      <c r="AP122" s="21" t="n">
        <v>306.325</v>
      </c>
      <c r="AQ122" s="21" t="n">
        <v>186.408</v>
      </c>
      <c r="AR122" s="21" t="n"/>
      <c r="AS122" s="21" t="n"/>
      <c r="AT122" s="21" t="n">
        <v>306.298</v>
      </c>
      <c r="AU122" s="21" t="n">
        <v>196.374</v>
      </c>
      <c r="AV122" s="21" t="n">
        <v>329.733</v>
      </c>
      <c r="AW122" s="21" t="n">
        <v>291.436</v>
      </c>
      <c r="AX122" s="21" t="n">
        <v>201.36</v>
      </c>
      <c r="AY122" s="21" t="n">
        <v>351.718</v>
      </c>
      <c r="AZ122" s="21" t="n">
        <v>221.681</v>
      </c>
      <c r="BA122" s="21" t="n">
        <v>172.63</v>
      </c>
      <c r="BB122" s="21" t="n">
        <v>246.924</v>
      </c>
      <c r="BC122" s="21" t="n">
        <v>372.63</v>
      </c>
      <c r="BD122" s="21" t="n">
        <v>442.773</v>
      </c>
      <c r="BE122" s="21" t="n">
        <v>272.038</v>
      </c>
      <c r="BF122" s="21" t="n">
        <v>178.401</v>
      </c>
      <c r="BG122" s="21" t="n">
        <v>253.481</v>
      </c>
      <c r="BH122" s="21" t="n">
        <v>185.81</v>
      </c>
      <c r="BI122" s="21" t="n">
        <v>266.671</v>
      </c>
      <c r="BJ122" s="21" t="n">
        <v>283.189</v>
      </c>
      <c r="BK122" s="21" t="n">
        <v>190.718</v>
      </c>
      <c r="BL122" s="21" t="n">
        <v>355.837</v>
      </c>
      <c r="BM122" s="21" t="n">
        <v>402.07</v>
      </c>
      <c r="BN122" s="21" t="n">
        <v>420.562</v>
      </c>
      <c r="BO122" s="21" t="n">
        <v>349.05</v>
      </c>
      <c r="BP122" s="21" t="n">
        <v>205.086</v>
      </c>
      <c r="BQ122" s="21" t="n">
        <v>294.065</v>
      </c>
      <c r="BR122" s="21" t="n">
        <v>581.5700000000001</v>
      </c>
      <c r="BS122" s="21" t="n">
        <v>150.189</v>
      </c>
      <c r="BT122" s="21" t="n">
        <v>381.797</v>
      </c>
      <c r="BU122" s="21" t="n">
        <v>418.032</v>
      </c>
      <c r="BV122" s="21" t="n">
        <v>398.209</v>
      </c>
      <c r="BW122" s="21" t="n">
        <v>364.069</v>
      </c>
      <c r="BX122" s="21" t="n">
        <v>380.461</v>
      </c>
      <c r="BY122" s="21" t="n">
        <v>202.37</v>
      </c>
      <c r="BZ122" s="21" t="n">
        <v>217.848</v>
      </c>
      <c r="CA122" s="21" t="n">
        <v>208.967</v>
      </c>
      <c r="CB122" s="21" t="n">
        <v>232.16</v>
      </c>
      <c r="CC122" s="21" t="n">
        <v>182.045</v>
      </c>
      <c r="CD122" s="21" t="n">
        <v>255.631</v>
      </c>
      <c r="CE122" s="21" t="n">
        <v>194.159</v>
      </c>
      <c r="CF122" s="21" t="n">
        <v>235.498</v>
      </c>
      <c r="CG122" s="21" t="n">
        <v>225.51</v>
      </c>
      <c r="CH122" s="21" t="n">
        <v>179.719</v>
      </c>
      <c r="CI122" s="21" t="n">
        <v>231.911</v>
      </c>
      <c r="CJ122" s="21" t="n">
        <v>279.357</v>
      </c>
      <c r="CK122" s="21" t="n">
        <v>159.485</v>
      </c>
      <c r="CL122" s="21" t="n">
        <v>146.249</v>
      </c>
      <c r="CM122" s="21" t="n">
        <v>243.911</v>
      </c>
      <c r="CN122" s="21" t="n">
        <v>255.414</v>
      </c>
      <c r="CO122" s="21" t="n">
        <v>231.48</v>
      </c>
      <c r="CP122" s="21" t="n">
        <v>161.974</v>
      </c>
      <c r="CQ122" s="21" t="n">
        <v>273.796</v>
      </c>
      <c r="CR122" s="21" t="n">
        <v>300.127</v>
      </c>
      <c r="CS122" s="21" t="n">
        <v>271.484</v>
      </c>
      <c r="CT122" s="21" t="n">
        <v>206.479</v>
      </c>
      <c r="CU122" s="21" t="n">
        <v>196.043</v>
      </c>
      <c r="CV122" s="21" t="n">
        <v>317.209</v>
      </c>
      <c r="CW122" s="21" t="n">
        <v>282.977</v>
      </c>
      <c r="CX122" s="21" t="n">
        <v>323.306</v>
      </c>
      <c r="CY122" s="21" t="n">
        <v>461.447</v>
      </c>
      <c r="CZ122" s="21" t="n">
        <v>174.503</v>
      </c>
      <c r="DA122" s="21" t="n">
        <v>226.041</v>
      </c>
      <c r="DB122" s="21" t="n">
        <v>190.83</v>
      </c>
      <c r="DC122" s="21" t="n">
        <v>286.303</v>
      </c>
      <c r="DD122" s="21" t="n">
        <v>306.785</v>
      </c>
      <c r="DE122" s="21" t="n">
        <v>212.035</v>
      </c>
      <c r="DF122" s="21" t="n">
        <v>308.357</v>
      </c>
      <c r="DG122" s="21" t="n">
        <v>314.336</v>
      </c>
      <c r="DH122" s="21" t="n">
        <v>188.335</v>
      </c>
      <c r="DI122" s="21" t="n">
        <v>193.337</v>
      </c>
      <c r="DJ122" s="21" t="n">
        <v>184.647</v>
      </c>
      <c r="DK122" s="21" t="n">
        <v>395.447</v>
      </c>
      <c r="DL122" s="21" t="n">
        <v>224.948</v>
      </c>
      <c r="DM122" s="21" t="n">
        <v>169.872</v>
      </c>
      <c r="DN122" s="21" t="n">
        <v>158.84</v>
      </c>
      <c r="DO122" s="21" t="n">
        <v>375.532</v>
      </c>
      <c r="DP122" s="21" t="n">
        <v>230.402</v>
      </c>
      <c r="DQ122" s="21" t="n">
        <v>247.493</v>
      </c>
      <c r="DR122" s="21" t="n">
        <v>206.192</v>
      </c>
      <c r="DS122" s="21" t="n">
        <v>202.359</v>
      </c>
      <c r="DT122" s="21" t="n">
        <v>236.168</v>
      </c>
      <c r="DU122" s="21" t="n">
        <v>249.874</v>
      </c>
      <c r="DV122" s="21" t="n">
        <v>292.771</v>
      </c>
      <c r="DW122" s="21" t="n">
        <v>229.423</v>
      </c>
      <c r="DX122" s="21" t="n">
        <v>276.501</v>
      </c>
      <c r="DY122" s="21" t="n">
        <v>210.302</v>
      </c>
      <c r="DZ122" s="21" t="n">
        <v>218.875</v>
      </c>
      <c r="EA122" s="21" t="n">
        <v>205.204</v>
      </c>
      <c r="EB122" s="21" t="n">
        <v>181.811</v>
      </c>
      <c r="EC122" s="21" t="n">
        <v>435.549</v>
      </c>
      <c r="ED122" s="21" t="n">
        <v>213.863</v>
      </c>
      <c r="EE122" s="21" t="n">
        <v>234.616</v>
      </c>
      <c r="EF122" s="21" t="n">
        <v>242.132</v>
      </c>
      <c r="EG122" s="21" t="n">
        <v>340.875</v>
      </c>
      <c r="EH122" s="21" t="n">
        <v>409.153</v>
      </c>
      <c r="EI122" s="21" t="n">
        <v>429.506</v>
      </c>
      <c r="EJ122" s="21" t="n">
        <v>182.272</v>
      </c>
      <c r="EK122" s="21" t="n">
        <v>658.474</v>
      </c>
      <c r="EL122" s="21" t="n">
        <v>369.935</v>
      </c>
      <c r="EM122" s="21" t="n">
        <v>421.485</v>
      </c>
      <c r="EN122" s="21" t="n">
        <v>421.502</v>
      </c>
      <c r="EO122" s="21" t="n">
        <v>160.837</v>
      </c>
      <c r="EP122" s="21" t="n">
        <v>322.407</v>
      </c>
      <c r="EQ122" s="21" t="n">
        <v>269.742</v>
      </c>
      <c r="ER122" s="21" t="n">
        <v>380.265</v>
      </c>
      <c r="ES122" s="21" t="n">
        <v>370.297</v>
      </c>
      <c r="ET122" s="21" t="n">
        <v>449.636</v>
      </c>
      <c r="EU122" s="21" t="n">
        <v>274.264</v>
      </c>
      <c r="EV122" s="21" t="n">
        <v>281.888</v>
      </c>
      <c r="EW122" s="21" t="n">
        <v>246.117</v>
      </c>
      <c r="EX122" s="21" t="n">
        <v>310.239</v>
      </c>
      <c r="EY122" s="21" t="n">
        <v>712.535</v>
      </c>
      <c r="EZ122" s="21" t="n">
        <v>629.803</v>
      </c>
      <c r="FA122" s="21" t="n">
        <v>148.308</v>
      </c>
      <c r="FB122" s="21" t="n">
        <v>60.785</v>
      </c>
      <c r="FC122" s="21" t="n">
        <v>128.489</v>
      </c>
      <c r="FD122" s="21" t="n">
        <v>83.15900000000001</v>
      </c>
      <c r="FE122" s="21" t="n">
        <v>41.106</v>
      </c>
      <c r="FF122" s="21" t="n">
        <v>130.144</v>
      </c>
      <c r="FG122" s="21" t="n">
        <v>138.566</v>
      </c>
      <c r="FH122" s="21" t="n">
        <v>107.374</v>
      </c>
      <c r="FI122" s="21" t="n">
        <v>75.277</v>
      </c>
      <c r="FJ122" s="21" t="n"/>
      <c r="FK122" s="21" t="n">
        <v>82.283</v>
      </c>
      <c r="FL122" s="21" t="n">
        <v>85.896</v>
      </c>
      <c r="FM122" s="21" t="n">
        <v>105.58</v>
      </c>
      <c r="FN122" s="21" t="n">
        <v>72.80800000000001</v>
      </c>
      <c r="FO122" s="21" t="n">
        <v>54.364</v>
      </c>
      <c r="FP122" s="21" t="n">
        <v>40.166</v>
      </c>
      <c r="FQ122" s="21" t="n">
        <v>160.76</v>
      </c>
      <c r="FR122" s="21" t="n">
        <v>42.753</v>
      </c>
      <c r="FS122" s="21" t="n">
        <v>77.83</v>
      </c>
      <c r="FT122" s="21" t="n">
        <v>110.522</v>
      </c>
      <c r="FU122" s="21" t="n">
        <v>120.185</v>
      </c>
      <c r="FV122" s="21" t="n">
        <v>106.661</v>
      </c>
      <c r="FW122" s="21" t="n">
        <v>236.64</v>
      </c>
      <c r="FX122" s="21" t="n">
        <v>151.727</v>
      </c>
      <c r="FY122" s="21" t="n">
        <v>234.668</v>
      </c>
      <c r="FZ122" s="21" t="n">
        <v>140.377</v>
      </c>
      <c r="GA122" s="21" t="n"/>
      <c r="GB122" s="21" t="n"/>
      <c r="GC122" s="21" t="n"/>
      <c r="GD122" s="21" t="n">
        <v>202.348</v>
      </c>
      <c r="GE122" s="21" t="n"/>
      <c r="GF122" s="21" t="n">
        <v>128.464</v>
      </c>
      <c r="GG122" s="21" t="n">
        <v>128.463</v>
      </c>
      <c r="GH122" s="21" t="n">
        <v>130.591</v>
      </c>
      <c r="GI122" s="21" t="n">
        <v>97.98</v>
      </c>
      <c r="GJ122" s="21" t="n">
        <v>183.079</v>
      </c>
      <c r="GK122" s="21" t="n">
        <v>78.31</v>
      </c>
      <c r="GL122" s="21" t="n">
        <v>139.504</v>
      </c>
      <c r="GM122" s="21" t="n">
        <v>118.222</v>
      </c>
      <c r="GN122" s="21" t="n">
        <v>104.548</v>
      </c>
      <c r="GO122" s="21" t="n">
        <v>105.781</v>
      </c>
      <c r="GP122" s="21" t="n">
        <v>96.48999999999999</v>
      </c>
      <c r="GQ122" s="21" t="n">
        <v>94.36499999999999</v>
      </c>
      <c r="GR122" s="21" t="n">
        <v>71.253</v>
      </c>
      <c r="GS122" s="21" t="n">
        <v>113.666</v>
      </c>
      <c r="GT122" s="21" t="n">
        <v>99.73399999999999</v>
      </c>
      <c r="GU122" s="21" t="n">
        <v>143.753</v>
      </c>
      <c r="GV122" s="21" t="n">
        <v>149.803</v>
      </c>
      <c r="GW122" s="21" t="n">
        <v>161.311</v>
      </c>
      <c r="GX122" s="21" t="n">
        <v>130.681</v>
      </c>
      <c r="GY122" s="21" t="n">
        <v>122.75</v>
      </c>
      <c r="GZ122" s="21" t="n">
        <v>198.987</v>
      </c>
      <c r="HA122" s="21" t="n">
        <v>161.139</v>
      </c>
      <c r="HB122" s="21" t="n">
        <v>197.034</v>
      </c>
      <c r="HC122" s="21" t="n">
        <v>270.384</v>
      </c>
      <c r="HD122" s="21" t="n">
        <v>269.887</v>
      </c>
      <c r="HE122" s="21" t="n">
        <v>124.878</v>
      </c>
      <c r="HF122" s="21" t="n">
        <v>178.008</v>
      </c>
      <c r="HG122" s="21" t="n"/>
      <c r="HH122" s="21" t="n">
        <v>172.687</v>
      </c>
      <c r="HI122" s="21" t="n">
        <v>190.031</v>
      </c>
      <c r="HJ122" s="21" t="n"/>
      <c r="HK122" s="21" t="n">
        <v>181.265</v>
      </c>
      <c r="HL122" s="21" t="n"/>
      <c r="HM122" s="21" t="n">
        <v>145.452</v>
      </c>
      <c r="HN122" s="21" t="n">
        <v>276.532</v>
      </c>
      <c r="HO122" s="21" t="n">
        <v>275.527</v>
      </c>
      <c r="HP122" s="21" t="n">
        <v>268.314</v>
      </c>
      <c r="HQ122" s="21" t="n">
        <v>306.213</v>
      </c>
      <c r="HR122" s="21" t="n">
        <v>303.217</v>
      </c>
      <c r="HS122" s="21" t="n">
        <v>265.623</v>
      </c>
      <c r="HT122" s="21" t="n">
        <v>182.985</v>
      </c>
      <c r="HU122" s="21" t="n">
        <v>154.907</v>
      </c>
      <c r="HV122" s="21" t="n">
        <v>222.614</v>
      </c>
      <c r="HW122" s="21" t="n">
        <v>205.526</v>
      </c>
      <c r="HX122" s="21" t="n">
        <v>493.228</v>
      </c>
      <c r="HY122" s="21" t="n">
        <v>419.417</v>
      </c>
      <c r="HZ122" s="21" t="n">
        <v>425.596</v>
      </c>
      <c r="IA122" s="21" t="n">
        <v>359.018</v>
      </c>
      <c r="IB122" s="21" t="n">
        <v>278.84</v>
      </c>
      <c r="IC122" s="21" t="n">
        <v>887.651</v>
      </c>
      <c r="ID122" s="21" t="n">
        <v>216.462</v>
      </c>
      <c r="IE122" s="21" t="n">
        <v>199.241</v>
      </c>
      <c r="IF122" s="21" t="n">
        <v>243.988</v>
      </c>
      <c r="IG122" s="21" t="n">
        <v>282.39</v>
      </c>
      <c r="IH122" s="21" t="n"/>
      <c r="II122" s="21" t="n">
        <v>264.669</v>
      </c>
      <c r="IJ122" s="21" t="n">
        <v>265.273</v>
      </c>
      <c r="IK122" s="21" t="n">
        <v>154.628</v>
      </c>
      <c r="IL122" s="21" t="n"/>
      <c r="IM122" s="21" t="n"/>
      <c r="IN122" s="21" t="n">
        <v>66.14700000000001</v>
      </c>
      <c r="IO122" s="21" t="n">
        <v>347.532</v>
      </c>
      <c r="IP122" s="21" t="n">
        <v>132.425</v>
      </c>
      <c r="IQ122" s="21" t="n">
        <v>571.899</v>
      </c>
      <c r="IR122" s="21" t="n">
        <v>417.214</v>
      </c>
      <c r="IS122" s="21" t="n">
        <v>136.764</v>
      </c>
      <c r="IT122" s="21" t="n">
        <v>572.655</v>
      </c>
      <c r="IU122" s="21" t="n">
        <v>109.026</v>
      </c>
      <c r="IV122" s="21" t="n">
        <v>109.196</v>
      </c>
      <c r="IW122" s="21" t="n">
        <v>621.6609999999999</v>
      </c>
      <c r="IX122" s="21" t="n">
        <v>433.646</v>
      </c>
      <c r="IY122" s="21" t="n">
        <v>424.125</v>
      </c>
      <c r="IZ122" s="21" t="n">
        <v>602.596</v>
      </c>
      <c r="JA122" s="21" t="n">
        <v>213.203</v>
      </c>
      <c r="JB122" s="21" t="n">
        <v>264.112</v>
      </c>
      <c r="JC122" s="21" t="n">
        <v>100.864</v>
      </c>
      <c r="JD122" s="21" t="n">
        <v>422.429</v>
      </c>
      <c r="JE122" s="21" t="n">
        <v>405.165</v>
      </c>
      <c r="JF122" s="21" t="n">
        <v>928.427</v>
      </c>
      <c r="JG122" s="21" t="n">
        <v>292.362</v>
      </c>
      <c r="JH122" s="21" t="n">
        <v>171.199</v>
      </c>
      <c r="JI122" s="21" t="n">
        <v>145.551</v>
      </c>
      <c r="JJ122" s="21" t="n">
        <v>140.059</v>
      </c>
      <c r="JK122" s="21" t="n">
        <v>118.897</v>
      </c>
      <c r="JL122" s="21" t="n">
        <v>99.523</v>
      </c>
      <c r="JM122" s="21" t="n">
        <v>592.7619999999999</v>
      </c>
      <c r="JN122" s="21" t="n">
        <v>100.869</v>
      </c>
      <c r="JO122" s="21" t="n">
        <v>78.453</v>
      </c>
      <c r="JP122" s="21" t="n">
        <v>45.398</v>
      </c>
      <c r="JQ122" s="21" t="n">
        <v>163.649</v>
      </c>
      <c r="JR122" s="21" t="n">
        <v>24.525</v>
      </c>
      <c r="JS122" s="21" t="n">
        <v>87.255</v>
      </c>
      <c r="JT122" s="21" t="n">
        <v>224.977</v>
      </c>
      <c r="JU122" s="21" t="n">
        <v>239.441</v>
      </c>
      <c r="JV122" s="21" t="n">
        <v>189.824</v>
      </c>
      <c r="JW122" s="21" t="n">
        <v>131.245</v>
      </c>
      <c r="JX122" s="21" t="n">
        <v>352.303</v>
      </c>
      <c r="JY122" s="21" t="n">
        <v>259.056</v>
      </c>
      <c r="JZ122" s="21" t="n">
        <v>379.168</v>
      </c>
      <c r="KA122" s="21" t="n">
        <v>122.501</v>
      </c>
      <c r="KB122" s="21" t="n">
        <v>169.455</v>
      </c>
      <c r="KC122" s="21" t="n">
        <v>83.434</v>
      </c>
      <c r="KD122" s="21" t="n">
        <v>85.42</v>
      </c>
      <c r="KE122" s="21" t="n">
        <v>68.574</v>
      </c>
      <c r="KF122" s="21" t="n"/>
      <c r="KG122" s="21" t="n">
        <v>28.232</v>
      </c>
      <c r="KH122" s="21" t="n">
        <v>133.133</v>
      </c>
      <c r="KI122" s="21" t="n"/>
      <c r="KJ122" s="21" t="n"/>
      <c r="KK122" s="21" t="n">
        <v>32.829</v>
      </c>
      <c r="KL122" s="21" t="n">
        <v>27.667</v>
      </c>
      <c r="KM122" s="21" t="n">
        <v>37.55</v>
      </c>
      <c r="KN122" s="21" t="n"/>
      <c r="KO122" s="21" t="n">
        <v>106.987</v>
      </c>
      <c r="KP122" s="21" t="n">
        <v>123.003</v>
      </c>
      <c r="KQ122" s="21" t="n">
        <v>207.859</v>
      </c>
      <c r="KR122" s="21" t="n">
        <v>169.042</v>
      </c>
      <c r="KS122" s="21" t="n">
        <v>478.869</v>
      </c>
      <c r="KT122" s="21" t="n">
        <v>229.693</v>
      </c>
      <c r="KU122" s="21" t="n">
        <v>278.682</v>
      </c>
      <c r="KV122" s="21" t="n">
        <v>406.521</v>
      </c>
      <c r="KW122" s="21" t="n">
        <v>290.137</v>
      </c>
      <c r="KX122" s="21" t="n">
        <v>225.233</v>
      </c>
      <c r="KY122" s="21" t="n">
        <v>100.312</v>
      </c>
      <c r="KZ122" s="21" t="n">
        <v>146.082</v>
      </c>
      <c r="LA122" s="21" t="n">
        <v>305.86</v>
      </c>
      <c r="LB122" s="21" t="n">
        <v>757.192</v>
      </c>
      <c r="LC122" s="21" t="n">
        <v>258.582</v>
      </c>
      <c r="LD122" s="21" t="n">
        <v>879.628</v>
      </c>
      <c r="LE122" s="21" t="n">
        <v>948.395</v>
      </c>
      <c r="LF122" s="21" t="n">
        <v>100.041</v>
      </c>
      <c r="LG122" s="21" t="n">
        <v>379.574</v>
      </c>
      <c r="LH122" s="21" t="n">
        <v>276.942</v>
      </c>
      <c r="LI122" s="21" t="n">
        <v>73.17</v>
      </c>
      <c r="LJ122" s="21" t="n">
        <v>250.867</v>
      </c>
      <c r="LK122" s="21" t="n">
        <v>389.93</v>
      </c>
      <c r="LL122" s="21" t="n">
        <v>457.332</v>
      </c>
      <c r="LM122" s="21" t="n">
        <v>68.754</v>
      </c>
      <c r="LN122" s="21" t="n">
        <v>94.64</v>
      </c>
      <c r="LO122" s="21" t="n">
        <v>46.99</v>
      </c>
      <c r="LP122" s="21" t="n">
        <v>158.877</v>
      </c>
      <c r="LQ122" s="21" t="n"/>
      <c r="LR122" s="21" t="n"/>
      <c r="LS122" s="21" t="n">
        <v>100.643</v>
      </c>
      <c r="LT122" s="21" t="n">
        <v>34.237</v>
      </c>
      <c r="LU122" s="21" t="n">
        <v>22.955</v>
      </c>
      <c r="LV122" s="21" t="n">
        <v>84.886</v>
      </c>
      <c r="LW122" s="21" t="n">
        <v>99.492</v>
      </c>
      <c r="LX122" s="21" t="n">
        <v>40.828</v>
      </c>
      <c r="LY122" s="21" t="n">
        <v>564.223</v>
      </c>
      <c r="LZ122" s="21" t="n">
        <v>100.411</v>
      </c>
      <c r="MA122" s="21" t="n">
        <v>667.473</v>
      </c>
      <c r="MB122" s="21" t="n">
        <v>346.777</v>
      </c>
      <c r="MC122" s="21" t="n">
        <v>283.495</v>
      </c>
      <c r="MD122" s="21" t="n">
        <v>178.259</v>
      </c>
      <c r="ME122" s="21" t="n">
        <v>121.291</v>
      </c>
      <c r="MF122" s="21" t="n">
        <v>189.029</v>
      </c>
      <c r="MG122" s="21" t="n">
        <v>351.736</v>
      </c>
      <c r="MH122" s="21" t="n">
        <v>214.616</v>
      </c>
      <c r="MI122" s="21" t="n">
        <v>553.789</v>
      </c>
      <c r="MJ122" s="21" t="n"/>
      <c r="MK122" s="21" t="n">
        <v>399.771</v>
      </c>
      <c r="ML122" s="21" t="n">
        <v>233.803</v>
      </c>
      <c r="MM122" s="21" t="n">
        <v>283.029</v>
      </c>
      <c r="MN122" s="21" t="n">
        <v>416.216</v>
      </c>
      <c r="MO122" s="21" t="n">
        <v>192.152</v>
      </c>
      <c r="MP122" s="21" t="n">
        <v>313.721</v>
      </c>
      <c r="MQ122" s="21" t="n">
        <v>86.82899999999999</v>
      </c>
      <c r="MR122" s="21" t="n">
        <v>205.804</v>
      </c>
      <c r="MS122" s="21" t="n"/>
      <c r="MT122" s="21" t="n">
        <v>305.391</v>
      </c>
      <c r="MU122" s="21" t="n">
        <v>324.675</v>
      </c>
      <c r="MV122" s="21" t="n">
        <v>314.906</v>
      </c>
      <c r="MW122" s="21" t="n">
        <v>323.842</v>
      </c>
      <c r="MX122" s="21" t="n">
        <v>285.36</v>
      </c>
      <c r="MY122" s="21" t="n">
        <v>273.135</v>
      </c>
      <c r="MZ122" s="21" t="n">
        <v>276.549</v>
      </c>
      <c r="NA122" s="21" t="n">
        <v>281.947</v>
      </c>
      <c r="NB122" s="21" t="n">
        <v>120.213</v>
      </c>
      <c r="NC122" s="21" t="n">
        <v>222.49</v>
      </c>
      <c r="ND122" s="21" t="n">
        <v>175.749</v>
      </c>
      <c r="NE122" s="21" t="n">
        <v>171.856</v>
      </c>
      <c r="NF122" s="21" t="n">
        <v>164.645</v>
      </c>
      <c r="NG122" s="21" t="n">
        <v>162.86</v>
      </c>
      <c r="NH122" s="21" t="n">
        <v>321.591</v>
      </c>
      <c r="NI122" s="21" t="n">
        <v>122.26</v>
      </c>
      <c r="NJ122" s="21" t="n">
        <v>53.151</v>
      </c>
      <c r="NK122" s="21" t="n">
        <v>123.617</v>
      </c>
      <c r="NL122" s="21" t="n">
        <v>273.045</v>
      </c>
      <c r="NM122" s="21" t="n">
        <v>283.278</v>
      </c>
      <c r="NN122" s="21" t="n">
        <v>105.583</v>
      </c>
      <c r="NO122" s="21" t="n">
        <v>36.093</v>
      </c>
      <c r="NP122" s="21" t="n">
        <v>276.503</v>
      </c>
      <c r="NQ122" s="21" t="n">
        <v>227.727</v>
      </c>
      <c r="NR122" s="21" t="n">
        <v>286.804</v>
      </c>
      <c r="NS122" s="21" t="n">
        <v>223.76</v>
      </c>
      <c r="NT122" s="21" t="n">
        <v>287.896</v>
      </c>
      <c r="NU122" s="21" t="n">
        <v>141.83</v>
      </c>
      <c r="NV122" s="21" t="n">
        <v>157.181</v>
      </c>
      <c r="NW122" s="21" t="n">
        <v>421.602</v>
      </c>
      <c r="NX122" s="21" t="n">
        <v>83.395</v>
      </c>
      <c r="NY122" s="21" t="n">
        <v>154.208</v>
      </c>
      <c r="NZ122" s="21" t="n">
        <v>427.509</v>
      </c>
      <c r="OA122" s="21" t="n">
        <v>411.683</v>
      </c>
      <c r="OB122" s="21" t="n">
        <v>425.619</v>
      </c>
      <c r="OC122" s="21" t="n">
        <v>395.554</v>
      </c>
      <c r="OD122" s="21" t="n">
        <v>424.722</v>
      </c>
      <c r="OE122" s="21" t="n">
        <v>130.554</v>
      </c>
      <c r="OF122" s="21" t="n">
        <v>445.853</v>
      </c>
      <c r="OG122" s="21" t="n">
        <v>263.586</v>
      </c>
      <c r="OH122" s="21" t="n">
        <v>31.709</v>
      </c>
      <c r="OI122" s="21" t="n">
        <v>156.911</v>
      </c>
      <c r="OJ122" s="21" t="n">
        <v>31.5</v>
      </c>
      <c r="OK122" s="21" t="n">
        <v>10.5</v>
      </c>
    </row>
    <row r="123">
      <c r="A123" s="22" t="n">
        <v>45689</v>
      </c>
      <c r="B123" s="21" t="n">
        <v>319.082</v>
      </c>
      <c r="C123" s="21" t="n">
        <v>955.829</v>
      </c>
      <c r="D123" s="21" t="n">
        <v>333.498</v>
      </c>
      <c r="E123" s="21" t="n">
        <v>336.274</v>
      </c>
      <c r="F123" s="21" t="n">
        <v>311.284</v>
      </c>
      <c r="G123" s="21" t="n">
        <v>357.627</v>
      </c>
      <c r="H123" s="21" t="n">
        <v>285.624</v>
      </c>
      <c r="I123" s="21" t="n">
        <v>324.208</v>
      </c>
      <c r="J123" s="21" t="n">
        <v>276.62</v>
      </c>
      <c r="K123" s="21" t="n">
        <v>291.067</v>
      </c>
      <c r="L123" s="21" t="n">
        <v>193.847</v>
      </c>
      <c r="M123" s="21" t="n">
        <v>399.682</v>
      </c>
      <c r="N123" s="21" t="n">
        <v>239.656</v>
      </c>
      <c r="O123" s="21" t="n">
        <v>432.647</v>
      </c>
      <c r="P123" s="21" t="n">
        <v>469.623</v>
      </c>
      <c r="Q123" s="21" t="n">
        <v>242.147</v>
      </c>
      <c r="R123" s="21" t="n">
        <v>373.678</v>
      </c>
      <c r="S123" s="21" t="n">
        <v>388.24</v>
      </c>
      <c r="T123" s="21" t="n">
        <v>350.868</v>
      </c>
      <c r="U123" s="21" t="n">
        <v>356.368</v>
      </c>
      <c r="V123" s="21" t="n">
        <v>404.071</v>
      </c>
      <c r="W123" s="21" t="n">
        <v>425.855</v>
      </c>
      <c r="X123" s="21" t="n">
        <v>351.218</v>
      </c>
      <c r="Y123" s="21" t="n">
        <v>344.781</v>
      </c>
      <c r="Z123" s="21" t="n">
        <v>330.355</v>
      </c>
      <c r="AA123" s="21" t="n">
        <v>340.777</v>
      </c>
      <c r="AB123" s="21" t="n">
        <v>443.105</v>
      </c>
      <c r="AC123" s="21" t="n">
        <v>377.372</v>
      </c>
      <c r="AD123" s="21" t="n">
        <v>365.54</v>
      </c>
      <c r="AE123" s="21" t="n">
        <v>295.063</v>
      </c>
      <c r="AF123" s="21" t="n">
        <v>366.165</v>
      </c>
      <c r="AG123" s="21" t="n">
        <v>264.45</v>
      </c>
      <c r="AH123" s="21" t="n">
        <v>200.445</v>
      </c>
      <c r="AI123" s="21" t="n">
        <v>372.957</v>
      </c>
      <c r="AJ123" s="21" t="n">
        <v>187.397</v>
      </c>
      <c r="AK123" s="21" t="n">
        <v>246.608</v>
      </c>
      <c r="AL123" s="21" t="n">
        <v>272.997</v>
      </c>
      <c r="AM123" s="21" t="n">
        <v>239.276</v>
      </c>
      <c r="AN123" s="21" t="n">
        <v>159.408</v>
      </c>
      <c r="AO123" s="21" t="n">
        <v>285.741</v>
      </c>
      <c r="AP123" s="21" t="n">
        <v>304.479</v>
      </c>
      <c r="AQ123" s="21" t="n">
        <v>185.575</v>
      </c>
      <c r="AR123" s="21" t="n"/>
      <c r="AS123" s="21" t="n"/>
      <c r="AT123" s="21" t="n">
        <v>305.256</v>
      </c>
      <c r="AU123" s="21" t="n">
        <v>196.19</v>
      </c>
      <c r="AV123" s="21" t="n">
        <v>325.342</v>
      </c>
      <c r="AW123" s="21" t="n">
        <v>292.667</v>
      </c>
      <c r="AX123" s="21" t="n">
        <v>199.198</v>
      </c>
      <c r="AY123" s="21" t="n">
        <v>352.505</v>
      </c>
      <c r="AZ123" s="21" t="n">
        <v>221.916</v>
      </c>
      <c r="BA123" s="21" t="n">
        <v>173.301</v>
      </c>
      <c r="BB123" s="21" t="n">
        <v>247.142</v>
      </c>
      <c r="BC123" s="21" t="n">
        <v>376.181</v>
      </c>
      <c r="BD123" s="21" t="n">
        <v>498.223</v>
      </c>
      <c r="BE123" s="21" t="n">
        <v>269.432</v>
      </c>
      <c r="BF123" s="21" t="n">
        <v>177.38</v>
      </c>
      <c r="BG123" s="21" t="n">
        <v>254.764</v>
      </c>
      <c r="BH123" s="21" t="n">
        <v>183.808</v>
      </c>
      <c r="BI123" s="21" t="n">
        <v>263.368</v>
      </c>
      <c r="BJ123" s="21" t="n">
        <v>275.107</v>
      </c>
      <c r="BK123" s="21" t="n">
        <v>192.017</v>
      </c>
      <c r="BL123" s="21" t="n">
        <v>353.197</v>
      </c>
      <c r="BM123" s="21" t="n">
        <v>397.908</v>
      </c>
      <c r="BN123" s="21" t="n">
        <v>418.927</v>
      </c>
      <c r="BO123" s="21" t="n">
        <v>352.577</v>
      </c>
      <c r="BP123" s="21" t="n">
        <v>205.231</v>
      </c>
      <c r="BQ123" s="21" t="n">
        <v>290.996</v>
      </c>
      <c r="BR123" s="21" t="n">
        <v>579.627</v>
      </c>
      <c r="BS123" s="21" t="n">
        <v>149.031</v>
      </c>
      <c r="BT123" s="21" t="n">
        <v>375.281</v>
      </c>
      <c r="BU123" s="21" t="n">
        <v>420.014</v>
      </c>
      <c r="BV123" s="21" t="n">
        <v>393.998</v>
      </c>
      <c r="BW123" s="21" t="n">
        <v>345.247</v>
      </c>
      <c r="BX123" s="21" t="n">
        <v>375.152</v>
      </c>
      <c r="BY123" s="21" t="n">
        <v>203.866</v>
      </c>
      <c r="BZ123" s="21" t="n">
        <v>218.604</v>
      </c>
      <c r="CA123" s="21" t="n">
        <v>205.949</v>
      </c>
      <c r="CB123" s="21" t="n">
        <v>234.922</v>
      </c>
      <c r="CC123" s="21" t="n">
        <v>186.803</v>
      </c>
      <c r="CD123" s="21" t="n">
        <v>262.279</v>
      </c>
      <c r="CE123" s="21" t="n">
        <v>192.915</v>
      </c>
      <c r="CF123" s="21" t="n">
        <v>234.703</v>
      </c>
      <c r="CG123" s="21" t="n">
        <v>225.51</v>
      </c>
      <c r="CH123" s="21" t="n">
        <v>178.94</v>
      </c>
      <c r="CI123" s="21" t="n">
        <v>231.35</v>
      </c>
      <c r="CJ123" s="21" t="n">
        <v>283.501</v>
      </c>
      <c r="CK123" s="21" t="n">
        <v>158.385</v>
      </c>
      <c r="CL123" s="21" t="n">
        <v>147.779</v>
      </c>
      <c r="CM123" s="21" t="n">
        <v>247.816</v>
      </c>
      <c r="CN123" s="21" t="n">
        <v>259.836</v>
      </c>
      <c r="CO123" s="21" t="n">
        <v>234.88</v>
      </c>
      <c r="CP123" s="21" t="n">
        <v>162.74</v>
      </c>
      <c r="CQ123" s="21" t="n">
        <v>273.067</v>
      </c>
      <c r="CR123" s="21" t="n">
        <v>298.559</v>
      </c>
      <c r="CS123" s="21" t="n">
        <v>272.326</v>
      </c>
      <c r="CT123" s="21" t="n">
        <v>205.258</v>
      </c>
      <c r="CU123" s="21" t="n">
        <v>194.83</v>
      </c>
      <c r="CV123" s="21" t="n">
        <v>316.817</v>
      </c>
      <c r="CW123" s="21" t="n">
        <v>283.885</v>
      </c>
      <c r="CX123" s="21" t="n">
        <v>322.26</v>
      </c>
      <c r="CY123" s="21" t="n">
        <v>466.364</v>
      </c>
      <c r="CZ123" s="21" t="n">
        <v>173.302</v>
      </c>
      <c r="DA123" s="21" t="n">
        <v>225.975</v>
      </c>
      <c r="DB123" s="21" t="n">
        <v>185.771</v>
      </c>
      <c r="DC123" s="21" t="n">
        <v>285.624</v>
      </c>
      <c r="DD123" s="21" t="n">
        <v>308.666</v>
      </c>
      <c r="DE123" s="21" t="n">
        <v>208.782</v>
      </c>
      <c r="DF123" s="21" t="n">
        <v>307.273</v>
      </c>
      <c r="DG123" s="21" t="n">
        <v>316.009</v>
      </c>
      <c r="DH123" s="21" t="n">
        <v>189.803</v>
      </c>
      <c r="DI123" s="21" t="n">
        <v>205.566</v>
      </c>
      <c r="DJ123" s="21" t="n">
        <v>186.607</v>
      </c>
      <c r="DK123" s="21" t="n">
        <v>389.471</v>
      </c>
      <c r="DL123" s="21" t="n">
        <v>224.012</v>
      </c>
      <c r="DM123" s="21" t="n">
        <v>169.539</v>
      </c>
      <c r="DN123" s="21" t="n">
        <v>158.653</v>
      </c>
      <c r="DO123" s="21" t="n">
        <v>376.991</v>
      </c>
      <c r="DP123" s="21" t="n">
        <v>231.306</v>
      </c>
      <c r="DQ123" s="21" t="n">
        <v>248.357</v>
      </c>
      <c r="DR123" s="21" t="n">
        <v>207.247</v>
      </c>
      <c r="DS123" s="21" t="n">
        <v>202.543</v>
      </c>
      <c r="DT123" s="21" t="n">
        <v>236.781</v>
      </c>
      <c r="DU123" s="21" t="n">
        <v>251.905</v>
      </c>
      <c r="DV123" s="21" t="n">
        <v>294.211</v>
      </c>
      <c r="DW123" s="21" t="n">
        <v>230.517</v>
      </c>
      <c r="DX123" s="21" t="n">
        <v>278.168</v>
      </c>
      <c r="DY123" s="21" t="n">
        <v>209.497</v>
      </c>
      <c r="DZ123" s="21" t="n">
        <v>217.527</v>
      </c>
      <c r="EA123" s="21" t="n">
        <v>205.156</v>
      </c>
      <c r="EB123" s="21" t="n">
        <v>183.329</v>
      </c>
      <c r="EC123" s="21" t="n">
        <v>437.767</v>
      </c>
      <c r="ED123" s="21" t="n">
        <v>214.429</v>
      </c>
      <c r="EE123" s="21" t="n">
        <v>234.954</v>
      </c>
      <c r="EF123" s="21" t="n">
        <v>245.88</v>
      </c>
      <c r="EG123" s="21" t="n">
        <v>342.398</v>
      </c>
      <c r="EH123" s="21" t="n">
        <v>410.635</v>
      </c>
      <c r="EI123" s="21" t="n">
        <v>430.603</v>
      </c>
      <c r="EJ123" s="21" t="n">
        <v>187.567</v>
      </c>
      <c r="EK123" s="21" t="n">
        <v>658.506</v>
      </c>
      <c r="EL123" s="21" t="n">
        <v>383.062</v>
      </c>
      <c r="EM123" s="21" t="n">
        <v>422.567</v>
      </c>
      <c r="EN123" s="21" t="n">
        <v>422.576</v>
      </c>
      <c r="EO123" s="21" t="n">
        <v>162.093</v>
      </c>
      <c r="EP123" s="21" t="n">
        <v>325.104</v>
      </c>
      <c r="EQ123" s="21" t="n">
        <v>271.852</v>
      </c>
      <c r="ER123" s="21" t="n">
        <v>384.216</v>
      </c>
      <c r="ES123" s="21" t="n">
        <v>376.776</v>
      </c>
      <c r="ET123" s="21" t="n">
        <v>450.433</v>
      </c>
      <c r="EU123" s="21" t="n">
        <v>276.377</v>
      </c>
      <c r="EV123" s="21" t="n">
        <v>283.194</v>
      </c>
      <c r="EW123" s="21" t="n">
        <v>250.38</v>
      </c>
      <c r="EX123" s="21" t="n">
        <v>313.344</v>
      </c>
      <c r="EY123" s="21" t="n">
        <v>716.6319999999999</v>
      </c>
      <c r="EZ123" s="21" t="n">
        <v>641.938</v>
      </c>
      <c r="FA123" s="21" t="n">
        <v>149.408</v>
      </c>
      <c r="FB123" s="21" t="n">
        <v>61.455</v>
      </c>
      <c r="FC123" s="21" t="n">
        <v>127.91</v>
      </c>
      <c r="FD123" s="21" t="n">
        <v>82.95099999999999</v>
      </c>
      <c r="FE123" s="21" t="n">
        <v>42.089</v>
      </c>
      <c r="FF123" s="21" t="n">
        <v>129.987</v>
      </c>
      <c r="FG123" s="21" t="n">
        <v>138.215</v>
      </c>
      <c r="FH123" s="21" t="n">
        <v>107.435</v>
      </c>
      <c r="FI123" s="21" t="n">
        <v>74.998</v>
      </c>
      <c r="FJ123" s="21" t="n"/>
      <c r="FK123" s="21" t="n">
        <v>83.068</v>
      </c>
      <c r="FL123" s="21" t="n">
        <v>87.40000000000001</v>
      </c>
      <c r="FM123" s="21" t="n">
        <v>109.072</v>
      </c>
      <c r="FN123" s="21" t="n">
        <v>73.22499999999999</v>
      </c>
      <c r="FO123" s="21" t="n">
        <v>55.385</v>
      </c>
      <c r="FP123" s="21" t="n">
        <v>40.665</v>
      </c>
      <c r="FQ123" s="21" t="n">
        <v>168.539</v>
      </c>
      <c r="FR123" s="21" t="n">
        <v>43.944</v>
      </c>
      <c r="FS123" s="21" t="n">
        <v>76.70099999999999</v>
      </c>
      <c r="FT123" s="21" t="n">
        <v>111.568</v>
      </c>
      <c r="FU123" s="21" t="n">
        <v>120.663</v>
      </c>
      <c r="FV123" s="21" t="n">
        <v>107.934</v>
      </c>
      <c r="FW123" s="21" t="n">
        <v>235.551</v>
      </c>
      <c r="FX123" s="21" t="n">
        <v>150.2</v>
      </c>
      <c r="FY123" s="21" t="n">
        <v>234.318</v>
      </c>
      <c r="FZ123" s="21" t="n">
        <v>140.194</v>
      </c>
      <c r="GA123" s="21" t="n"/>
      <c r="GB123" s="21" t="n"/>
      <c r="GC123" s="21" t="n"/>
      <c r="GD123" s="21" t="n">
        <v>201.712</v>
      </c>
      <c r="GE123" s="21" t="n"/>
      <c r="GF123" s="21" t="n">
        <v>132.774</v>
      </c>
      <c r="GG123" s="21" t="n">
        <v>132.834</v>
      </c>
      <c r="GH123" s="21" t="n">
        <v>135.287</v>
      </c>
      <c r="GI123" s="21" t="n">
        <v>106.209</v>
      </c>
      <c r="GJ123" s="21" t="n">
        <v>186.714</v>
      </c>
      <c r="GK123" s="21" t="n">
        <v>82.059</v>
      </c>
      <c r="GL123" s="21" t="n">
        <v>140.728</v>
      </c>
      <c r="GM123" s="21" t="n">
        <v>121.307</v>
      </c>
      <c r="GN123" s="21" t="n">
        <v>109.861</v>
      </c>
      <c r="GO123" s="21" t="n">
        <v>110.676</v>
      </c>
      <c r="GP123" s="21" t="n">
        <v>101.294</v>
      </c>
      <c r="GQ123" s="21" t="n">
        <v>103.447</v>
      </c>
      <c r="GR123" s="21" t="n">
        <v>75.681</v>
      </c>
      <c r="GS123" s="21" t="n">
        <v>114.554</v>
      </c>
      <c r="GT123" s="21" t="n">
        <v>108.298</v>
      </c>
      <c r="GU123" s="21" t="n">
        <v>146.467</v>
      </c>
      <c r="GV123" s="21" t="n">
        <v>153.09</v>
      </c>
      <c r="GW123" s="21" t="n">
        <v>163.441</v>
      </c>
      <c r="GX123" s="21" t="n">
        <v>133.157</v>
      </c>
      <c r="GY123" s="21" t="n">
        <v>125.518</v>
      </c>
      <c r="GZ123" s="21" t="n">
        <v>197.773</v>
      </c>
      <c r="HA123" s="21" t="n">
        <v>160.976</v>
      </c>
      <c r="HB123" s="21" t="n">
        <v>195.533</v>
      </c>
      <c r="HC123" s="21" t="n">
        <v>271.04</v>
      </c>
      <c r="HD123" s="21" t="n">
        <v>270.942</v>
      </c>
      <c r="HE123" s="21" t="n">
        <v>124.749</v>
      </c>
      <c r="HF123" s="21" t="n">
        <v>178.038</v>
      </c>
      <c r="HG123" s="21" t="n"/>
      <c r="HH123" s="21" t="n">
        <v>172.881</v>
      </c>
      <c r="HI123" s="21" t="n">
        <v>190.064</v>
      </c>
      <c r="HJ123" s="21" t="n"/>
      <c r="HK123" s="21" t="n">
        <v>181.361</v>
      </c>
      <c r="HL123" s="21" t="n"/>
      <c r="HM123" s="21" t="n">
        <v>145.008</v>
      </c>
      <c r="HN123" s="21" t="n">
        <v>280.143</v>
      </c>
      <c r="HO123" s="21" t="n">
        <v>279.059</v>
      </c>
      <c r="HP123" s="21" t="n">
        <v>271.552</v>
      </c>
      <c r="HQ123" s="21" t="n">
        <v>310.435</v>
      </c>
      <c r="HR123" s="21" t="n">
        <v>308.255</v>
      </c>
      <c r="HS123" s="21" t="n">
        <v>271.378</v>
      </c>
      <c r="HT123" s="21" t="n">
        <v>182.12</v>
      </c>
      <c r="HU123" s="21" t="n">
        <v>154.097</v>
      </c>
      <c r="HV123" s="21" t="n">
        <v>222.068</v>
      </c>
      <c r="HW123" s="21" t="n">
        <v>204.427</v>
      </c>
      <c r="HX123" s="21" t="n">
        <v>495.67</v>
      </c>
      <c r="HY123" s="21" t="n">
        <v>420.48</v>
      </c>
      <c r="HZ123" s="21" t="n">
        <v>418.133</v>
      </c>
      <c r="IA123" s="21" t="n">
        <v>359.51</v>
      </c>
      <c r="IB123" s="21" t="n">
        <v>280.71</v>
      </c>
      <c r="IC123" s="21" t="n">
        <v>895.97</v>
      </c>
      <c r="ID123" s="21" t="n">
        <v>216.517</v>
      </c>
      <c r="IE123" s="21" t="n">
        <v>199.778</v>
      </c>
      <c r="IF123" s="21" t="n">
        <v>243.289</v>
      </c>
      <c r="IG123" s="21" t="n">
        <v>284.101</v>
      </c>
      <c r="IH123" s="21" t="n"/>
      <c r="II123" s="21" t="n">
        <v>261.231</v>
      </c>
      <c r="IJ123" s="21" t="n">
        <v>262.136</v>
      </c>
      <c r="IK123" s="21" t="n">
        <v>150.211</v>
      </c>
      <c r="IL123" s="21" t="n"/>
      <c r="IM123" s="21" t="n"/>
      <c r="IN123" s="21" t="n">
        <v>65.36499999999999</v>
      </c>
      <c r="IO123" s="21" t="n">
        <v>345.421</v>
      </c>
      <c r="IP123" s="21" t="n">
        <v>133.957</v>
      </c>
      <c r="IQ123" s="21" t="n">
        <v>573.3200000000001</v>
      </c>
      <c r="IR123" s="21" t="n">
        <v>417.702</v>
      </c>
      <c r="IS123" s="21" t="n">
        <v>137.01</v>
      </c>
      <c r="IT123" s="21" t="n">
        <v>572.748</v>
      </c>
      <c r="IU123" s="21" t="n">
        <v>109.627</v>
      </c>
      <c r="IV123" s="21" t="n">
        <v>108.8</v>
      </c>
      <c r="IW123" s="21" t="n">
        <v>623.3920000000001</v>
      </c>
      <c r="IX123" s="21" t="n">
        <v>434.984</v>
      </c>
      <c r="IY123" s="21" t="n">
        <v>425.684</v>
      </c>
      <c r="IZ123" s="21" t="n">
        <v>603.4880000000001</v>
      </c>
      <c r="JA123" s="21" t="n">
        <v>214.578</v>
      </c>
      <c r="JB123" s="21" t="n">
        <v>264.617</v>
      </c>
      <c r="JC123" s="21" t="n">
        <v>101.092</v>
      </c>
      <c r="JD123" s="21" t="n">
        <v>423.005</v>
      </c>
      <c r="JE123" s="21" t="n">
        <v>405.853</v>
      </c>
      <c r="JF123" s="21" t="n">
        <v>929.105</v>
      </c>
      <c r="JG123" s="21" t="n">
        <v>296.03</v>
      </c>
      <c r="JH123" s="21" t="n">
        <v>171.633</v>
      </c>
      <c r="JI123" s="21" t="n">
        <v>145.972</v>
      </c>
      <c r="JJ123" s="21" t="n">
        <v>140.788</v>
      </c>
      <c r="JK123" s="21" t="n">
        <v>120.291</v>
      </c>
      <c r="JL123" s="21" t="n">
        <v>98.152</v>
      </c>
      <c r="JM123" s="21" t="n">
        <v>601.676</v>
      </c>
      <c r="JN123" s="21" t="n">
        <v>102.878</v>
      </c>
      <c r="JO123" s="21" t="n">
        <v>80.087</v>
      </c>
      <c r="JP123" s="21" t="n">
        <v>45.867</v>
      </c>
      <c r="JQ123" s="21" t="n">
        <v>167.923</v>
      </c>
      <c r="JR123" s="21" t="n">
        <v>24.495</v>
      </c>
      <c r="JS123" s="21" t="n">
        <v>87.232</v>
      </c>
      <c r="JT123" s="21" t="n">
        <v>226.685</v>
      </c>
      <c r="JU123" s="21" t="n">
        <v>239.512</v>
      </c>
      <c r="JV123" s="21" t="n">
        <v>190.941</v>
      </c>
      <c r="JW123" s="21" t="n">
        <v>130.308</v>
      </c>
      <c r="JX123" s="21" t="n">
        <v>358.034</v>
      </c>
      <c r="JY123" s="21" t="n">
        <v>258.563</v>
      </c>
      <c r="JZ123" s="21" t="n">
        <v>387.796</v>
      </c>
      <c r="KA123" s="21" t="n">
        <v>119.795</v>
      </c>
      <c r="KB123" s="21" t="n">
        <v>162.359</v>
      </c>
      <c r="KC123" s="21" t="n">
        <v>83.361</v>
      </c>
      <c r="KD123" s="21" t="n">
        <v>86.288</v>
      </c>
      <c r="KE123" s="21" t="n">
        <v>68.738</v>
      </c>
      <c r="KF123" s="21" t="n"/>
      <c r="KG123" s="21" t="n">
        <v>28.447</v>
      </c>
      <c r="KH123" s="21" t="n">
        <v>134.84</v>
      </c>
      <c r="KI123" s="21" t="n"/>
      <c r="KJ123" s="21" t="n"/>
      <c r="KK123" s="21" t="n">
        <v>33.004</v>
      </c>
      <c r="KL123" s="21" t="n">
        <v>27.853</v>
      </c>
      <c r="KM123" s="21" t="n">
        <v>37.516</v>
      </c>
      <c r="KN123" s="21" t="n"/>
      <c r="KO123" s="21" t="n">
        <v>107.021</v>
      </c>
      <c r="KP123" s="21" t="n">
        <v>122.785</v>
      </c>
      <c r="KQ123" s="21" t="n">
        <v>209.279</v>
      </c>
      <c r="KR123" s="21" t="n">
        <v>169.914</v>
      </c>
      <c r="KS123" s="21" t="n">
        <v>484.183</v>
      </c>
      <c r="KT123" s="21" t="n">
        <v>230.27</v>
      </c>
      <c r="KU123" s="21" t="n">
        <v>298.651</v>
      </c>
      <c r="KV123" s="21" t="n">
        <v>405.339</v>
      </c>
      <c r="KW123" s="21" t="n">
        <v>290.267</v>
      </c>
      <c r="KX123" s="21" t="n">
        <v>227.732</v>
      </c>
      <c r="KY123" s="21" t="n">
        <v>99.108</v>
      </c>
      <c r="KZ123" s="21" t="n">
        <v>146.449</v>
      </c>
      <c r="LA123" s="21" t="n">
        <v>306.284</v>
      </c>
      <c r="LB123" s="21" t="n">
        <v>757.682</v>
      </c>
      <c r="LC123" s="21" t="n">
        <v>260.229</v>
      </c>
      <c r="LD123" s="21" t="n">
        <v>880.856</v>
      </c>
      <c r="LE123" s="21" t="n">
        <v>948.5119999999999</v>
      </c>
      <c r="LF123" s="21" t="n">
        <v>100.041</v>
      </c>
      <c r="LG123" s="21" t="n">
        <v>381.311</v>
      </c>
      <c r="LH123" s="21" t="n">
        <v>276.881</v>
      </c>
      <c r="LI123" s="21" t="n">
        <v>73.42100000000001</v>
      </c>
      <c r="LJ123" s="21" t="n">
        <v>248.171</v>
      </c>
      <c r="LK123" s="21" t="n">
        <v>385.411</v>
      </c>
      <c r="LL123" s="21" t="n">
        <v>462.073</v>
      </c>
      <c r="LM123" s="21" t="n">
        <v>69.00700000000001</v>
      </c>
      <c r="LN123" s="21" t="n">
        <v>94.759</v>
      </c>
      <c r="LO123" s="21" t="n">
        <v>46.958</v>
      </c>
      <c r="LP123" s="21" t="n">
        <v>161.357</v>
      </c>
      <c r="LQ123" s="21" t="n"/>
      <c r="LR123" s="21" t="n"/>
      <c r="LS123" s="21" t="n">
        <v>101.227</v>
      </c>
      <c r="LT123" s="21" t="n">
        <v>34.477</v>
      </c>
      <c r="LU123" s="21" t="n">
        <v>23.707</v>
      </c>
      <c r="LV123" s="21" t="n">
        <v>85.854</v>
      </c>
      <c r="LW123" s="21" t="n">
        <v>98.574</v>
      </c>
      <c r="LX123" s="21" t="n">
        <v>40.128</v>
      </c>
      <c r="LY123" s="21" t="n">
        <v>569.205</v>
      </c>
      <c r="LZ123" s="21" t="n">
        <v>101.01</v>
      </c>
      <c r="MA123" s="21" t="n">
        <v>672.755</v>
      </c>
      <c r="MB123" s="21" t="n">
        <v>346.684</v>
      </c>
      <c r="MC123" s="21" t="n">
        <v>286.159</v>
      </c>
      <c r="MD123" s="21" t="n">
        <v>179.824</v>
      </c>
      <c r="ME123" s="21" t="n">
        <v>123.193</v>
      </c>
      <c r="MF123" s="21" t="n">
        <v>189.627</v>
      </c>
      <c r="MG123" s="21" t="n">
        <v>353.165</v>
      </c>
      <c r="MH123" s="21" t="n">
        <v>215.488</v>
      </c>
      <c r="MI123" s="21" t="n">
        <v>560.7859999999999</v>
      </c>
      <c r="MJ123" s="21" t="n"/>
      <c r="MK123" s="21" t="n">
        <v>402.554</v>
      </c>
      <c r="ML123" s="21" t="n">
        <v>234.98</v>
      </c>
      <c r="MM123" s="21" t="n">
        <v>283.853</v>
      </c>
      <c r="MN123" s="21" t="n">
        <v>423.958</v>
      </c>
      <c r="MO123" s="21" t="n">
        <v>192.152</v>
      </c>
      <c r="MP123" s="21" t="n">
        <v>324.209</v>
      </c>
      <c r="MQ123" s="21" t="n">
        <v>88.09</v>
      </c>
      <c r="MR123" s="21" t="n">
        <v>209.046</v>
      </c>
      <c r="MS123" s="21" t="n"/>
      <c r="MT123" s="21" t="n">
        <v>306.802</v>
      </c>
      <c r="MU123" s="21" t="n">
        <v>325.989</v>
      </c>
      <c r="MV123" s="21" t="n">
        <v>316.414</v>
      </c>
      <c r="MW123" s="21" t="n">
        <v>325.252</v>
      </c>
      <c r="MX123" s="21" t="n">
        <v>286.756</v>
      </c>
      <c r="MY123" s="21" t="n">
        <v>274.665</v>
      </c>
      <c r="MZ123" s="21" t="n">
        <v>277.913</v>
      </c>
      <c r="NA123" s="21" t="n">
        <v>283.408</v>
      </c>
      <c r="NB123" s="21" t="n">
        <v>124.778</v>
      </c>
      <c r="NC123" s="21" t="n">
        <v>223.591</v>
      </c>
      <c r="ND123" s="21" t="n">
        <v>176.906</v>
      </c>
      <c r="NE123" s="21" t="n">
        <v>172.999</v>
      </c>
      <c r="NF123" s="21" t="n">
        <v>165.559</v>
      </c>
      <c r="NG123" s="21" t="n">
        <v>163.879</v>
      </c>
      <c r="NH123" s="21" t="n">
        <v>321.989</v>
      </c>
      <c r="NI123" s="21" t="n">
        <v>122.327</v>
      </c>
      <c r="NJ123" s="21" t="n">
        <v>53.074</v>
      </c>
      <c r="NK123" s="21" t="n">
        <v>124.001</v>
      </c>
      <c r="NL123" s="21" t="n">
        <v>275.867</v>
      </c>
      <c r="NM123" s="21" t="n">
        <v>286.942</v>
      </c>
      <c r="NN123" s="21" t="n">
        <v>106.124</v>
      </c>
      <c r="NO123" s="21" t="n">
        <v>36.036</v>
      </c>
      <c r="NP123" s="21" t="n">
        <v>278.399</v>
      </c>
      <c r="NQ123" s="21" t="n">
        <v>230.525</v>
      </c>
      <c r="NR123" s="21" t="n">
        <v>288.662</v>
      </c>
      <c r="NS123" s="21" t="n">
        <v>226.636</v>
      </c>
      <c r="NT123" s="21" t="n">
        <v>289.807</v>
      </c>
      <c r="NU123" s="21" t="n">
        <v>143.026</v>
      </c>
      <c r="NV123" s="21" t="n">
        <v>158.618</v>
      </c>
      <c r="NW123" s="21" t="n">
        <v>424.409</v>
      </c>
      <c r="NX123" s="21" t="n">
        <v>82.988</v>
      </c>
      <c r="NY123" s="21" t="n">
        <v>155.838</v>
      </c>
      <c r="NZ123" s="21" t="n">
        <v>429.036</v>
      </c>
      <c r="OA123" s="21" t="n">
        <v>413.393</v>
      </c>
      <c r="OB123" s="21" t="n">
        <v>427.309</v>
      </c>
      <c r="OC123" s="21" t="n">
        <v>397.261</v>
      </c>
      <c r="OD123" s="21" t="n">
        <v>426.787</v>
      </c>
      <c r="OE123" s="21" t="n">
        <v>130.556</v>
      </c>
      <c r="OF123" s="21" t="n">
        <v>445.91</v>
      </c>
      <c r="OG123" s="21" t="n">
        <v>264.526</v>
      </c>
      <c r="OH123" s="21" t="n">
        <v>31.621</v>
      </c>
      <c r="OI123" s="21" t="n">
        <v>159.446</v>
      </c>
      <c r="OJ123" s="21" t="n">
        <v>31.3</v>
      </c>
      <c r="OK123" s="21" t="n">
        <v>10.5</v>
      </c>
    </row>
    <row r="124">
      <c r="A124" s="22" t="n">
        <v>45717</v>
      </c>
      <c r="B124" s="21" t="n">
        <v>319.799</v>
      </c>
      <c r="C124" s="21" t="n">
        <v>957.974</v>
      </c>
      <c r="D124" s="21" t="n">
        <v>334.92</v>
      </c>
      <c r="E124" s="21" t="n">
        <v>337.751</v>
      </c>
      <c r="F124" s="21" t="n">
        <v>312.815</v>
      </c>
      <c r="G124" s="21" t="n">
        <v>358.45</v>
      </c>
      <c r="H124" s="21" t="n">
        <v>287.383</v>
      </c>
      <c r="I124" s="21" t="n">
        <v>329.263</v>
      </c>
      <c r="J124" s="21" t="n">
        <v>281.069</v>
      </c>
      <c r="K124" s="21" t="n">
        <v>289.749</v>
      </c>
      <c r="L124" s="21" t="n">
        <v>194.267</v>
      </c>
      <c r="M124" s="21" t="n">
        <v>399.93</v>
      </c>
      <c r="N124" s="21" t="n">
        <v>237.22</v>
      </c>
      <c r="O124" s="21" t="n">
        <v>428.824</v>
      </c>
      <c r="P124" s="21" t="n">
        <v>462.067</v>
      </c>
      <c r="Q124" s="21" t="n">
        <v>241.023</v>
      </c>
      <c r="R124" s="21" t="n">
        <v>376.988</v>
      </c>
      <c r="S124" s="21" t="n">
        <v>394.747</v>
      </c>
      <c r="T124" s="21" t="n">
        <v>356.843</v>
      </c>
      <c r="U124" s="21" t="n">
        <v>357.23</v>
      </c>
      <c r="V124" s="21" t="n">
        <v>406.537</v>
      </c>
      <c r="W124" s="21" t="n">
        <v>433.551</v>
      </c>
      <c r="X124" s="21" t="n">
        <v>348.22</v>
      </c>
      <c r="Y124" s="21" t="n">
        <v>348.179</v>
      </c>
      <c r="Z124" s="21" t="n">
        <v>333.503</v>
      </c>
      <c r="AA124" s="21" t="n">
        <v>346.005</v>
      </c>
      <c r="AB124" s="21" t="n">
        <v>450.262</v>
      </c>
      <c r="AC124" s="21" t="n">
        <v>389.212</v>
      </c>
      <c r="AD124" s="21" t="n">
        <v>366.001</v>
      </c>
      <c r="AE124" s="21" t="n">
        <v>298.013</v>
      </c>
      <c r="AF124" s="21" t="n">
        <v>363.618</v>
      </c>
      <c r="AG124" s="21" t="n">
        <v>270.383</v>
      </c>
      <c r="AH124" s="21" t="n">
        <v>204.173</v>
      </c>
      <c r="AI124" s="21" t="n">
        <v>382.607</v>
      </c>
      <c r="AJ124" s="21" t="n">
        <v>188.827</v>
      </c>
      <c r="AK124" s="21" t="n">
        <v>254.141</v>
      </c>
      <c r="AL124" s="21" t="n">
        <v>282.021</v>
      </c>
      <c r="AM124" s="21" t="n">
        <v>245.283</v>
      </c>
      <c r="AN124" s="21" t="n">
        <v>162.829</v>
      </c>
      <c r="AO124" s="21" t="n">
        <v>286.387</v>
      </c>
      <c r="AP124" s="21" t="n">
        <v>309.023</v>
      </c>
      <c r="AQ124" s="21" t="n">
        <v>184.895</v>
      </c>
      <c r="AR124" s="21" t="n"/>
      <c r="AS124" s="21" t="n"/>
      <c r="AT124" s="21" t="n">
        <v>308.498</v>
      </c>
      <c r="AU124" s="21" t="n">
        <v>198.168</v>
      </c>
      <c r="AV124" s="21" t="n">
        <v>329.169</v>
      </c>
      <c r="AW124" s="21" t="n">
        <v>295.535</v>
      </c>
      <c r="AX124" s="21" t="n">
        <v>201.635</v>
      </c>
      <c r="AY124" s="21" t="n">
        <v>347.681</v>
      </c>
      <c r="AZ124" s="21" t="n">
        <v>221.069</v>
      </c>
      <c r="BA124" s="21" t="n">
        <v>168.541</v>
      </c>
      <c r="BB124" s="21" t="n">
        <v>239.32</v>
      </c>
      <c r="BC124" s="21" t="n">
        <v>365.703</v>
      </c>
      <c r="BD124" s="21" t="n">
        <v>504.205</v>
      </c>
      <c r="BE124" s="21" t="n">
        <v>272.244</v>
      </c>
      <c r="BF124" s="21" t="n">
        <v>179.24</v>
      </c>
      <c r="BG124" s="21" t="n">
        <v>256.947</v>
      </c>
      <c r="BH124" s="21" t="n">
        <v>185.997</v>
      </c>
      <c r="BI124" s="21" t="n">
        <v>268.336</v>
      </c>
      <c r="BJ124" s="21" t="n">
        <v>274.109</v>
      </c>
      <c r="BK124" s="21" t="n">
        <v>193.661</v>
      </c>
      <c r="BL124" s="21" t="n">
        <v>350.379</v>
      </c>
      <c r="BM124" s="21" t="n">
        <v>393.434</v>
      </c>
      <c r="BN124" s="21" t="n">
        <v>414.191</v>
      </c>
      <c r="BO124" s="21" t="n">
        <v>354.028</v>
      </c>
      <c r="BP124" s="21" t="n">
        <v>207.573</v>
      </c>
      <c r="BQ124" s="21" t="n">
        <v>290.144</v>
      </c>
      <c r="BR124" s="21" t="n">
        <v>571.948</v>
      </c>
      <c r="BS124" s="21" t="n">
        <v>145.343</v>
      </c>
      <c r="BT124" s="21" t="n">
        <v>371.086</v>
      </c>
      <c r="BU124" s="21" t="n">
        <v>417.178</v>
      </c>
      <c r="BV124" s="21" t="n">
        <v>388.464</v>
      </c>
      <c r="BW124" s="21" t="n">
        <v>338.652</v>
      </c>
      <c r="BX124" s="21" t="n">
        <v>371.609</v>
      </c>
      <c r="BY124" s="21" t="n">
        <v>205.541</v>
      </c>
      <c r="BZ124" s="21" t="n">
        <v>220.328</v>
      </c>
      <c r="CA124" s="21" t="n">
        <v>208.121</v>
      </c>
      <c r="CB124" s="21" t="n">
        <v>236.839</v>
      </c>
      <c r="CC124" s="21" t="n">
        <v>188.159</v>
      </c>
      <c r="CD124" s="21" t="n">
        <v>264.051</v>
      </c>
      <c r="CE124" s="21" t="n">
        <v>194.784</v>
      </c>
      <c r="CF124" s="21" t="n">
        <v>235.049</v>
      </c>
      <c r="CG124" s="21" t="n">
        <v>226.835</v>
      </c>
      <c r="CH124" s="21" t="n">
        <v>180.374</v>
      </c>
      <c r="CI124" s="21" t="n">
        <v>234.6</v>
      </c>
      <c r="CJ124" s="21" t="n">
        <v>282.059</v>
      </c>
      <c r="CK124" s="21" t="n">
        <v>158.513</v>
      </c>
      <c r="CL124" s="21" t="n">
        <v>147.898</v>
      </c>
      <c r="CM124" s="21" t="n">
        <v>249.774</v>
      </c>
      <c r="CN124" s="21" t="n">
        <v>262.645</v>
      </c>
      <c r="CO124" s="21" t="n">
        <v>239.296</v>
      </c>
      <c r="CP124" s="21" t="n">
        <v>161.666</v>
      </c>
      <c r="CQ124" s="21" t="n">
        <v>275.216</v>
      </c>
      <c r="CR124" s="21" t="n">
        <v>298.341</v>
      </c>
      <c r="CS124" s="21" t="n">
        <v>271.248</v>
      </c>
      <c r="CT124" s="21" t="n">
        <v>205.387</v>
      </c>
      <c r="CU124" s="21" t="n">
        <v>194.084</v>
      </c>
      <c r="CV124" s="21" t="n">
        <v>316.967</v>
      </c>
      <c r="CW124" s="21" t="n">
        <v>283.08</v>
      </c>
      <c r="CX124" s="21" t="n">
        <v>320.946</v>
      </c>
      <c r="CY124" s="21" t="n">
        <v>468.409</v>
      </c>
      <c r="CZ124" s="21" t="n">
        <v>174.626</v>
      </c>
      <c r="DA124" s="21" t="n">
        <v>225.589</v>
      </c>
      <c r="DB124" s="21" t="n">
        <v>186.096</v>
      </c>
      <c r="DC124" s="21" t="n">
        <v>288.647</v>
      </c>
      <c r="DD124" s="21" t="n">
        <v>314.467</v>
      </c>
      <c r="DE124" s="21" t="n">
        <v>210.686</v>
      </c>
      <c r="DF124" s="21" t="n">
        <v>312.695</v>
      </c>
      <c r="DG124" s="21" t="n">
        <v>317.7</v>
      </c>
      <c r="DH124" s="21" t="n">
        <v>187.549</v>
      </c>
      <c r="DI124" s="21" t="n">
        <v>196.404</v>
      </c>
      <c r="DJ124" s="21" t="n">
        <v>190.519</v>
      </c>
      <c r="DK124" s="21" t="n">
        <v>378.931</v>
      </c>
      <c r="DL124" s="21" t="n">
        <v>225.384</v>
      </c>
      <c r="DM124" s="21" t="n">
        <v>171.105</v>
      </c>
      <c r="DN124" s="21" t="n">
        <v>161.035</v>
      </c>
      <c r="DO124" s="21" t="n">
        <v>378.363</v>
      </c>
      <c r="DP124" s="21" t="n">
        <v>232.65</v>
      </c>
      <c r="DQ124" s="21" t="n">
        <v>248.776</v>
      </c>
      <c r="DR124" s="21" t="n">
        <v>207.351</v>
      </c>
      <c r="DS124" s="21" t="n">
        <v>202.527</v>
      </c>
      <c r="DT124" s="21" t="n">
        <v>241.579</v>
      </c>
      <c r="DU124" s="21" t="n">
        <v>252.382</v>
      </c>
      <c r="DV124" s="21" t="n">
        <v>294.847</v>
      </c>
      <c r="DW124" s="21" t="n">
        <v>231.182</v>
      </c>
      <c r="DX124" s="21" t="n">
        <v>278.198</v>
      </c>
      <c r="DY124" s="21" t="n">
        <v>211.72</v>
      </c>
      <c r="DZ124" s="21" t="n">
        <v>218.932</v>
      </c>
      <c r="EA124" s="21" t="n">
        <v>208.085</v>
      </c>
      <c r="EB124" s="21" t="n">
        <v>183.516</v>
      </c>
      <c r="EC124" s="21" t="n">
        <v>438.345</v>
      </c>
      <c r="ED124" s="21" t="n">
        <v>214.536</v>
      </c>
      <c r="EE124" s="21" t="n">
        <v>235.41</v>
      </c>
      <c r="EF124" s="21" t="n">
        <v>245.952</v>
      </c>
      <c r="EG124" s="21" t="n">
        <v>343.512</v>
      </c>
      <c r="EH124" s="21" t="n">
        <v>411.99</v>
      </c>
      <c r="EI124" s="21" t="n">
        <v>431.798</v>
      </c>
      <c r="EJ124" s="21" t="n">
        <v>189.125</v>
      </c>
      <c r="EK124" s="21" t="n">
        <v>658.785</v>
      </c>
      <c r="EL124" s="21" t="n">
        <v>386.89</v>
      </c>
      <c r="EM124" s="21" t="n">
        <v>423.955</v>
      </c>
      <c r="EN124" s="21" t="n">
        <v>423.969</v>
      </c>
      <c r="EO124" s="21" t="n">
        <v>161.639</v>
      </c>
      <c r="EP124" s="21" t="n">
        <v>327.077</v>
      </c>
      <c r="EQ124" s="21" t="n">
        <v>273.881</v>
      </c>
      <c r="ER124" s="21" t="n">
        <v>372.54</v>
      </c>
      <c r="ES124" s="21" t="n">
        <v>358.803</v>
      </c>
      <c r="ET124" s="21" t="n">
        <v>446.349</v>
      </c>
      <c r="EU124" s="21" t="n">
        <v>278.929</v>
      </c>
      <c r="EV124" s="21" t="n">
        <v>285.983</v>
      </c>
      <c r="EW124" s="21" t="n">
        <v>252.218</v>
      </c>
      <c r="EX124" s="21" t="n">
        <v>313.925</v>
      </c>
      <c r="EY124" s="21" t="n">
        <v>718.521</v>
      </c>
      <c r="EZ124" s="21" t="n">
        <v>642.053</v>
      </c>
      <c r="FA124" s="21" t="n">
        <v>149.42</v>
      </c>
      <c r="FB124" s="21" t="n">
        <v>60.934</v>
      </c>
      <c r="FC124" s="21" t="n">
        <v>128.211</v>
      </c>
      <c r="FD124" s="21" t="n">
        <v>81.932</v>
      </c>
      <c r="FE124" s="21" t="n">
        <v>41.598</v>
      </c>
      <c r="FF124" s="21" t="n">
        <v>130.731</v>
      </c>
      <c r="FG124" s="21" t="n">
        <v>141.909</v>
      </c>
      <c r="FH124" s="21" t="n">
        <v>107.153</v>
      </c>
      <c r="FI124" s="21" t="n">
        <v>74.313</v>
      </c>
      <c r="FJ124" s="21" t="n"/>
      <c r="FK124" s="21" t="n">
        <v>83.077</v>
      </c>
      <c r="FL124" s="21" t="n">
        <v>87.502</v>
      </c>
      <c r="FM124" s="21" t="n">
        <v>109.935</v>
      </c>
      <c r="FN124" s="21" t="n">
        <v>73.20099999999999</v>
      </c>
      <c r="FO124" s="21" t="n">
        <v>55.57</v>
      </c>
      <c r="FP124" s="21" t="n">
        <v>41.329</v>
      </c>
      <c r="FQ124" s="21" t="n">
        <v>164.594</v>
      </c>
      <c r="FR124" s="21" t="n">
        <v>43.2</v>
      </c>
      <c r="FS124" s="21" t="n">
        <v>77.08</v>
      </c>
      <c r="FT124" s="21" t="n">
        <v>111.159</v>
      </c>
      <c r="FU124" s="21" t="n">
        <v>121.544</v>
      </c>
      <c r="FV124" s="21" t="n">
        <v>106.882</v>
      </c>
      <c r="FW124" s="21" t="n">
        <v>235.584</v>
      </c>
      <c r="FX124" s="21" t="n">
        <v>150.218</v>
      </c>
      <c r="FY124" s="21" t="n">
        <v>233.599</v>
      </c>
      <c r="FZ124" s="21" t="n">
        <v>140.46</v>
      </c>
      <c r="GA124" s="21" t="n"/>
      <c r="GB124" s="21" t="n"/>
      <c r="GC124" s="21" t="n"/>
      <c r="GD124" s="21" t="n">
        <v>201.701</v>
      </c>
      <c r="GE124" s="21" t="n"/>
      <c r="GF124" s="21" t="n">
        <v>134.082</v>
      </c>
      <c r="GG124" s="21" t="n">
        <v>132.837</v>
      </c>
      <c r="GH124" s="21" t="n">
        <v>136.101</v>
      </c>
      <c r="GI124" s="21" t="n">
        <v>101.558</v>
      </c>
      <c r="GJ124" s="21" t="n">
        <v>190.039</v>
      </c>
      <c r="GK124" s="21" t="n">
        <v>84.88</v>
      </c>
      <c r="GL124" s="21" t="n">
        <v>140.492</v>
      </c>
      <c r="GM124" s="21" t="n">
        <v>118.289</v>
      </c>
      <c r="GN124" s="21" t="n">
        <v>111.866</v>
      </c>
      <c r="GO124" s="21" t="n">
        <v>113.332</v>
      </c>
      <c r="GP124" s="21" t="n">
        <v>106.449</v>
      </c>
      <c r="GQ124" s="21" t="n">
        <v>109.071</v>
      </c>
      <c r="GR124" s="21" t="n">
        <v>76.771</v>
      </c>
      <c r="GS124" s="21" t="n">
        <v>116.376</v>
      </c>
      <c r="GT124" s="21" t="n">
        <v>105.648</v>
      </c>
      <c r="GU124" s="21" t="n">
        <v>146.802</v>
      </c>
      <c r="GV124" s="21" t="n">
        <v>153.056</v>
      </c>
      <c r="GW124" s="21" t="n">
        <v>163.834</v>
      </c>
      <c r="GX124" s="21" t="n">
        <v>133.705</v>
      </c>
      <c r="GY124" s="21" t="n">
        <v>123.859</v>
      </c>
      <c r="GZ124" s="21" t="n">
        <v>205.386</v>
      </c>
      <c r="HA124" s="21" t="n">
        <v>162.281</v>
      </c>
      <c r="HB124" s="21" t="n">
        <v>204.84</v>
      </c>
      <c r="HC124" s="21" t="n">
        <v>270.061</v>
      </c>
      <c r="HD124" s="21" t="n">
        <v>270.344</v>
      </c>
      <c r="HE124" s="21" t="n">
        <v>124.857</v>
      </c>
      <c r="HF124" s="21" t="n">
        <v>178.168</v>
      </c>
      <c r="HG124" s="21" t="n"/>
      <c r="HH124" s="21" t="n">
        <v>173.219</v>
      </c>
      <c r="HI124" s="21" t="n">
        <v>190.178</v>
      </c>
      <c r="HJ124" s="21" t="n"/>
      <c r="HK124" s="21" t="n">
        <v>181.932</v>
      </c>
      <c r="HL124" s="21" t="n"/>
      <c r="HM124" s="21" t="n">
        <v>150.606</v>
      </c>
      <c r="HN124" s="21" t="n">
        <v>277.604</v>
      </c>
      <c r="HO124" s="21" t="n">
        <v>276.558</v>
      </c>
      <c r="HP124" s="21" t="n">
        <v>268.996</v>
      </c>
      <c r="HQ124" s="21" t="n">
        <v>307.947</v>
      </c>
      <c r="HR124" s="21" t="n">
        <v>306.225</v>
      </c>
      <c r="HS124" s="21" t="n">
        <v>267.934</v>
      </c>
      <c r="HT124" s="21" t="n">
        <v>181.89</v>
      </c>
      <c r="HU124" s="21" t="n">
        <v>154.593</v>
      </c>
      <c r="HV124" s="21" t="n">
        <v>217.272</v>
      </c>
      <c r="HW124" s="21" t="n">
        <v>199.07</v>
      </c>
      <c r="HX124" s="21" t="n">
        <v>490.939</v>
      </c>
      <c r="HY124" s="21" t="n">
        <v>424.012</v>
      </c>
      <c r="HZ124" s="21" t="n">
        <v>423.021</v>
      </c>
      <c r="IA124" s="21" t="n">
        <v>360.228</v>
      </c>
      <c r="IB124" s="21" t="n">
        <v>285.323</v>
      </c>
      <c r="IC124" s="21" t="n">
        <v>890.353</v>
      </c>
      <c r="ID124" s="21" t="n">
        <v>215.436</v>
      </c>
      <c r="IE124" s="21" t="n">
        <v>199.901</v>
      </c>
      <c r="IF124" s="21" t="n">
        <v>240.204</v>
      </c>
      <c r="IG124" s="21" t="n">
        <v>282.823</v>
      </c>
      <c r="IH124" s="21" t="n"/>
      <c r="II124" s="21" t="n">
        <v>256.412</v>
      </c>
      <c r="IJ124" s="21" t="n">
        <v>252.62</v>
      </c>
      <c r="IK124" s="21" t="n">
        <v>153.82</v>
      </c>
      <c r="IL124" s="21" t="n"/>
      <c r="IM124" s="21" t="n"/>
      <c r="IN124" s="21" t="n">
        <v>65.02200000000001</v>
      </c>
      <c r="IO124" s="21" t="n">
        <v>347.158</v>
      </c>
      <c r="IP124" s="21" t="n">
        <v>134.03</v>
      </c>
      <c r="IQ124" s="21" t="n">
        <v>574.739</v>
      </c>
      <c r="IR124" s="21" t="n">
        <v>412.995</v>
      </c>
      <c r="IS124" s="21" t="n">
        <v>135.224</v>
      </c>
      <c r="IT124" s="21" t="n">
        <v>561.202</v>
      </c>
      <c r="IU124" s="21" t="n">
        <v>109.959</v>
      </c>
      <c r="IV124" s="21" t="n">
        <v>109.047</v>
      </c>
      <c r="IW124" s="21" t="n">
        <v>626.888</v>
      </c>
      <c r="IX124" s="21" t="n">
        <v>435.565</v>
      </c>
      <c r="IY124" s="21" t="n">
        <v>427.102</v>
      </c>
      <c r="IZ124" s="21" t="n">
        <v>603.4829999999999</v>
      </c>
      <c r="JA124" s="21" t="n">
        <v>214.541</v>
      </c>
      <c r="JB124" s="21" t="n">
        <v>264.143</v>
      </c>
      <c r="JC124" s="21" t="n">
        <v>102.423</v>
      </c>
      <c r="JD124" s="21" t="n">
        <v>427.689</v>
      </c>
      <c r="JE124" s="21" t="n">
        <v>413.931</v>
      </c>
      <c r="JF124" s="21" t="n">
        <v>935.8</v>
      </c>
      <c r="JG124" s="21" t="n">
        <v>297.355</v>
      </c>
      <c r="JH124" s="21" t="n">
        <v>180.015</v>
      </c>
      <c r="JI124" s="21" t="n">
        <v>146.54</v>
      </c>
      <c r="JJ124" s="21" t="n">
        <v>140.74</v>
      </c>
      <c r="JK124" s="21" t="n">
        <v>119.879</v>
      </c>
      <c r="JL124" s="21" t="n">
        <v>95.97</v>
      </c>
      <c r="JM124" s="21" t="n">
        <v>599.299</v>
      </c>
      <c r="JN124" s="21" t="n">
        <v>103.901</v>
      </c>
      <c r="JO124" s="21" t="n">
        <v>80.108</v>
      </c>
      <c r="JP124" s="21" t="n">
        <v>45.011</v>
      </c>
      <c r="JQ124" s="21" t="n">
        <v>173.361</v>
      </c>
      <c r="JR124" s="21" t="n">
        <v>24.204</v>
      </c>
      <c r="JS124" s="21" t="n">
        <v>88.676</v>
      </c>
      <c r="JT124" s="21" t="n">
        <v>226.462</v>
      </c>
      <c r="JU124" s="21" t="n">
        <v>238.842</v>
      </c>
      <c r="JV124" s="21" t="n">
        <v>189.959</v>
      </c>
      <c r="JW124" s="21" t="n">
        <v>130.423</v>
      </c>
      <c r="JX124" s="21" t="n">
        <v>358.44</v>
      </c>
      <c r="JY124" s="21" t="n">
        <v>258.354</v>
      </c>
      <c r="JZ124" s="21" t="n">
        <v>389.595</v>
      </c>
      <c r="KA124" s="21" t="n">
        <v>119.082</v>
      </c>
      <c r="KB124" s="21" t="n">
        <v>160.59</v>
      </c>
      <c r="KC124" s="21" t="n">
        <v>83.288</v>
      </c>
      <c r="KD124" s="21" t="n">
        <v>85.485</v>
      </c>
      <c r="KE124" s="21" t="n">
        <v>68.176</v>
      </c>
      <c r="KF124" s="21" t="n"/>
      <c r="KG124" s="21" t="n">
        <v>28.175</v>
      </c>
      <c r="KH124" s="21" t="n">
        <v>133.536</v>
      </c>
      <c r="KI124" s="21" t="n"/>
      <c r="KJ124" s="21" t="n"/>
      <c r="KK124" s="21" t="n">
        <v>32.656</v>
      </c>
      <c r="KL124" s="21" t="n">
        <v>27.478</v>
      </c>
      <c r="KM124" s="21" t="n">
        <v>37.117</v>
      </c>
      <c r="KN124" s="21" t="n"/>
      <c r="KO124" s="21" t="n">
        <v>105.007</v>
      </c>
      <c r="KP124" s="21" t="n">
        <v>124.508</v>
      </c>
      <c r="KQ124" s="21" t="n">
        <v>210.113</v>
      </c>
      <c r="KR124" s="21" t="n">
        <v>169.925</v>
      </c>
      <c r="KS124" s="21" t="n">
        <v>487.886</v>
      </c>
      <c r="KT124" s="21" t="n">
        <v>231.14</v>
      </c>
      <c r="KU124" s="21" t="n">
        <v>305.631</v>
      </c>
      <c r="KV124" s="21" t="n">
        <v>405.597</v>
      </c>
      <c r="KW124" s="21" t="n">
        <v>296.495</v>
      </c>
      <c r="KX124" s="21" t="n">
        <v>236.946</v>
      </c>
      <c r="KY124" s="21" t="n">
        <v>98.982</v>
      </c>
      <c r="KZ124" s="21" t="n">
        <v>146.621</v>
      </c>
      <c r="LA124" s="21" t="n">
        <v>306.847</v>
      </c>
      <c r="LB124" s="21" t="n">
        <v>771.4690000000001</v>
      </c>
      <c r="LC124" s="21" t="n">
        <v>263.422</v>
      </c>
      <c r="LD124" s="21" t="n">
        <v>882.237</v>
      </c>
      <c r="LE124" s="21" t="n">
        <v>949.052</v>
      </c>
      <c r="LF124" s="21" t="n">
        <v>100.625</v>
      </c>
      <c r="LG124" s="21" t="n">
        <v>381.7</v>
      </c>
      <c r="LH124" s="21" t="n">
        <v>277.586</v>
      </c>
      <c r="LI124" s="21" t="n">
        <v>73.467</v>
      </c>
      <c r="LJ124" s="21" t="n">
        <v>248.193</v>
      </c>
      <c r="LK124" s="21" t="n">
        <v>385.411</v>
      </c>
      <c r="LL124" s="21" t="n">
        <v>463.124</v>
      </c>
      <c r="LM124" s="21" t="n">
        <v>69.051</v>
      </c>
      <c r="LN124" s="21" t="n">
        <v>94.633</v>
      </c>
      <c r="LO124" s="21" t="n">
        <v>46.902</v>
      </c>
      <c r="LP124" s="21" t="n">
        <v>160.998</v>
      </c>
      <c r="LQ124" s="21" t="n"/>
      <c r="LR124" s="21" t="n"/>
      <c r="LS124" s="21" t="n">
        <v>101.466</v>
      </c>
      <c r="LT124" s="21" t="n">
        <v>34.547</v>
      </c>
      <c r="LU124" s="21" t="n">
        <v>23.802</v>
      </c>
      <c r="LV124" s="21" t="n">
        <v>86.146</v>
      </c>
      <c r="LW124" s="21" t="n">
        <v>98.584</v>
      </c>
      <c r="LX124" s="21" t="n">
        <v>39.696</v>
      </c>
      <c r="LY124" s="21" t="n">
        <v>574.766</v>
      </c>
      <c r="LZ124" s="21" t="n">
        <v>101.661</v>
      </c>
      <c r="MA124" s="21" t="n">
        <v>676.4880000000001</v>
      </c>
      <c r="MB124" s="21" t="n">
        <v>349.953</v>
      </c>
      <c r="MC124" s="21" t="n">
        <v>289.143</v>
      </c>
      <c r="MD124" s="21" t="n">
        <v>179.746</v>
      </c>
      <c r="ME124" s="21" t="n">
        <v>123.046</v>
      </c>
      <c r="MF124" s="21" t="n">
        <v>189.666</v>
      </c>
      <c r="MG124" s="21" t="n">
        <v>353.554</v>
      </c>
      <c r="MH124" s="21" t="n">
        <v>215.726</v>
      </c>
      <c r="MI124" s="21" t="n">
        <v>575.58</v>
      </c>
      <c r="MJ124" s="21" t="n"/>
      <c r="MK124" s="21" t="n">
        <v>405.463</v>
      </c>
      <c r="ML124" s="21" t="n">
        <v>235.041</v>
      </c>
      <c r="MM124" s="21" t="n">
        <v>287.329</v>
      </c>
      <c r="MN124" s="21" t="n">
        <v>452.637</v>
      </c>
      <c r="MO124" s="21" t="n">
        <v>192.152</v>
      </c>
      <c r="MP124" s="21" t="n">
        <v>354.929</v>
      </c>
      <c r="MQ124" s="21" t="n">
        <v>87.779</v>
      </c>
      <c r="MR124" s="21" t="n">
        <v>209.931</v>
      </c>
      <c r="MS124" s="21" t="n"/>
      <c r="MT124" s="21" t="n">
        <v>307.484</v>
      </c>
      <c r="MU124" s="21" t="n">
        <v>326.781</v>
      </c>
      <c r="MV124" s="21" t="n">
        <v>317.017</v>
      </c>
      <c r="MW124" s="21" t="n">
        <v>325.933</v>
      </c>
      <c r="MX124" s="21" t="n">
        <v>287.234</v>
      </c>
      <c r="MY124" s="21" t="n">
        <v>274.922</v>
      </c>
      <c r="MZ124" s="21" t="n">
        <v>278.23</v>
      </c>
      <c r="NA124" s="21" t="n">
        <v>283.698</v>
      </c>
      <c r="NB124" s="21" t="n">
        <v>126.287</v>
      </c>
      <c r="NC124" s="21" t="n">
        <v>223.871</v>
      </c>
      <c r="ND124" s="21" t="n">
        <v>176.791</v>
      </c>
      <c r="NE124" s="21" t="n">
        <v>172.868</v>
      </c>
      <c r="NF124" s="21" t="n">
        <v>165.707</v>
      </c>
      <c r="NG124" s="21" t="n">
        <v>163.974</v>
      </c>
      <c r="NH124" s="21" t="n">
        <v>323.712</v>
      </c>
      <c r="NI124" s="21" t="n">
        <v>122.428</v>
      </c>
      <c r="NJ124" s="21" t="n">
        <v>53.177</v>
      </c>
      <c r="NK124" s="21" t="n">
        <v>124.132</v>
      </c>
      <c r="NL124" s="21" t="n">
        <v>275.734</v>
      </c>
      <c r="NM124" s="21" t="n">
        <v>284.059</v>
      </c>
      <c r="NN124" s="21" t="n">
        <v>106.159</v>
      </c>
      <c r="NO124" s="21" t="n">
        <v>36.071</v>
      </c>
      <c r="NP124" s="21" t="n">
        <v>278.797</v>
      </c>
      <c r="NQ124" s="21" t="n">
        <v>230.057</v>
      </c>
      <c r="NR124" s="21" t="n">
        <v>287.114</v>
      </c>
      <c r="NS124" s="21" t="n">
        <v>226.103</v>
      </c>
      <c r="NT124" s="21" t="n">
        <v>288.034</v>
      </c>
      <c r="NU124" s="21" t="n">
        <v>143.276</v>
      </c>
      <c r="NV124" s="21" t="n">
        <v>161.18</v>
      </c>
      <c r="NW124" s="21" t="n">
        <v>425.976</v>
      </c>
      <c r="NX124" s="21" t="n">
        <v>82.645</v>
      </c>
      <c r="NY124" s="21" t="n">
        <v>156.093</v>
      </c>
      <c r="NZ124" s="21" t="n">
        <v>430.483</v>
      </c>
      <c r="OA124" s="21" t="n">
        <v>414.555</v>
      </c>
      <c r="OB124" s="21" t="n">
        <v>428.368</v>
      </c>
      <c r="OC124" s="21" t="n">
        <v>398.247</v>
      </c>
      <c r="OD124" s="21" t="n">
        <v>427.695</v>
      </c>
      <c r="OE124" s="21" t="n">
        <v>130.743</v>
      </c>
      <c r="OF124" s="21" t="n">
        <v>442.901</v>
      </c>
      <c r="OG124" s="21" t="n">
        <v>264.525</v>
      </c>
      <c r="OH124" s="21" t="n">
        <v>31.482</v>
      </c>
      <c r="OI124" s="21" t="n">
        <v>158.947</v>
      </c>
      <c r="OJ124" s="21" t="n">
        <v>31.3</v>
      </c>
      <c r="OK124" s="21" t="n">
        <v>10.4</v>
      </c>
    </row>
    <row r="125">
      <c r="A125" s="22" t="n">
        <v>45748</v>
      </c>
      <c r="B125" s="21" t="n">
        <v>320.795</v>
      </c>
      <c r="C125" s="21" t="n">
        <v>960.958</v>
      </c>
      <c r="D125" s="21" t="n">
        <v>334.918</v>
      </c>
      <c r="E125" s="21" t="n">
        <v>337.747</v>
      </c>
      <c r="F125" s="21" t="n">
        <v>311.84</v>
      </c>
      <c r="G125" s="21" t="n">
        <v>355.976</v>
      </c>
      <c r="H125" s="21" t="n">
        <v>282.614</v>
      </c>
      <c r="I125" s="21" t="n">
        <v>326.444</v>
      </c>
      <c r="J125" s="21" t="n">
        <v>274</v>
      </c>
      <c r="K125" s="21" t="n">
        <v>286.78</v>
      </c>
      <c r="L125" s="21" t="n">
        <v>189.775</v>
      </c>
      <c r="M125" s="21" t="n">
        <v>398.87</v>
      </c>
      <c r="N125" s="21" t="n">
        <v>241.021</v>
      </c>
      <c r="O125" s="21" t="n">
        <v>435.192</v>
      </c>
      <c r="P125" s="21" t="n">
        <v>470.004</v>
      </c>
      <c r="Q125" s="21" t="n">
        <v>238.548</v>
      </c>
      <c r="R125" s="21" t="n">
        <v>376.478</v>
      </c>
      <c r="S125" s="21" t="n">
        <v>397.028</v>
      </c>
      <c r="T125" s="21" t="n">
        <v>355.536</v>
      </c>
      <c r="U125" s="21" t="n">
        <v>353.943</v>
      </c>
      <c r="V125" s="21" t="n">
        <v>401.877</v>
      </c>
      <c r="W125" s="21" t="n">
        <v>429.162</v>
      </c>
      <c r="X125" s="21" t="n">
        <v>339.199</v>
      </c>
      <c r="Y125" s="21" t="n">
        <v>344.883</v>
      </c>
      <c r="Z125" s="21" t="n">
        <v>335.18</v>
      </c>
      <c r="AA125" s="21" t="n">
        <v>346.53</v>
      </c>
      <c r="AB125" s="21" t="n">
        <v>453.243</v>
      </c>
      <c r="AC125" s="21" t="n">
        <v>389.127</v>
      </c>
      <c r="AD125" s="21" t="n">
        <v>368.12</v>
      </c>
      <c r="AE125" s="21" t="n">
        <v>301.948</v>
      </c>
      <c r="AF125" s="21" t="n">
        <v>369.665</v>
      </c>
      <c r="AG125" s="21" t="n">
        <v>266.785</v>
      </c>
      <c r="AH125" s="21" t="n">
        <v>202.464</v>
      </c>
      <c r="AI125" s="21" t="n">
        <v>382.726</v>
      </c>
      <c r="AJ125" s="21" t="n">
        <v>184.544</v>
      </c>
      <c r="AK125" s="21" t="n">
        <v>250.424</v>
      </c>
      <c r="AL125" s="21" t="n">
        <v>278.065</v>
      </c>
      <c r="AM125" s="21" t="n">
        <v>241.461</v>
      </c>
      <c r="AN125" s="21" t="n">
        <v>160.068</v>
      </c>
      <c r="AO125" s="21" t="n">
        <v>289.893</v>
      </c>
      <c r="AP125" s="21" t="n">
        <v>290.574</v>
      </c>
      <c r="AQ125" s="21" t="n">
        <v>187.016</v>
      </c>
      <c r="AR125" s="21" t="n"/>
      <c r="AS125" s="21" t="n"/>
      <c r="AT125" s="21" t="n">
        <v>311.422</v>
      </c>
      <c r="AU125" s="21" t="n">
        <v>199.157</v>
      </c>
      <c r="AV125" s="21" t="n">
        <v>332.531</v>
      </c>
      <c r="AW125" s="21" t="n">
        <v>296.45</v>
      </c>
      <c r="AX125" s="21" t="n">
        <v>206.261</v>
      </c>
      <c r="AY125" s="21" t="n">
        <v>352.313</v>
      </c>
      <c r="AZ125" s="21" t="n">
        <v>222.835</v>
      </c>
      <c r="BA125" s="21" t="n">
        <v>172.072</v>
      </c>
      <c r="BB125" s="21" t="n">
        <v>243.712</v>
      </c>
      <c r="BC125" s="21" t="n">
        <v>373.598</v>
      </c>
      <c r="BD125" s="21" t="n">
        <v>451.154</v>
      </c>
      <c r="BE125" s="21" t="n">
        <v>271.75</v>
      </c>
      <c r="BF125" s="21" t="n">
        <v>180.51</v>
      </c>
      <c r="BG125" s="21" t="n">
        <v>257.121</v>
      </c>
      <c r="BH125" s="21" t="n">
        <v>187.757</v>
      </c>
      <c r="BI125" s="21" t="n">
        <v>267.886</v>
      </c>
      <c r="BJ125" s="21" t="n">
        <v>271.864</v>
      </c>
      <c r="BK125" s="21" t="n">
        <v>192.102</v>
      </c>
      <c r="BL125" s="21" t="n">
        <v>349.187</v>
      </c>
      <c r="BM125" s="21" t="n">
        <v>392.903</v>
      </c>
      <c r="BN125" s="21" t="n">
        <v>415.379</v>
      </c>
      <c r="BO125" s="21" t="n">
        <v>354.635</v>
      </c>
      <c r="BP125" s="21" t="n">
        <v>210.013</v>
      </c>
      <c r="BQ125" s="21" t="n">
        <v>286.998</v>
      </c>
      <c r="BR125" s="21" t="n">
        <v>558.474</v>
      </c>
      <c r="BS125" s="21" t="n">
        <v>145.751</v>
      </c>
      <c r="BT125" s="21" t="n">
        <v>368.939</v>
      </c>
      <c r="BU125" s="21" t="n">
        <v>418.958</v>
      </c>
      <c r="BV125" s="21" t="n">
        <v>389.712</v>
      </c>
      <c r="BW125" s="21" t="n">
        <v>335.355</v>
      </c>
      <c r="BX125" s="21" t="n">
        <v>368.08</v>
      </c>
      <c r="BY125" s="21" t="n">
        <v>202.788</v>
      </c>
      <c r="BZ125" s="21" t="n">
        <v>217.552</v>
      </c>
      <c r="CA125" s="21" t="n">
        <v>205.493</v>
      </c>
      <c r="CB125" s="21" t="n">
        <v>233.25</v>
      </c>
      <c r="CC125" s="21" t="n">
        <v>184.092</v>
      </c>
      <c r="CD125" s="21" t="n">
        <v>257.355</v>
      </c>
      <c r="CE125" s="21" t="n">
        <v>193.65</v>
      </c>
      <c r="CF125" s="21" t="n">
        <v>238.927</v>
      </c>
      <c r="CG125" s="21" t="n">
        <v>227.738</v>
      </c>
      <c r="CH125" s="21" t="n">
        <v>179.923</v>
      </c>
      <c r="CI125" s="21" t="n">
        <v>233.547</v>
      </c>
      <c r="CJ125" s="21" t="n">
        <v>280.91</v>
      </c>
      <c r="CK125" s="21" t="n">
        <v>158.509</v>
      </c>
      <c r="CL125" s="21" t="n">
        <v>150.78</v>
      </c>
      <c r="CM125" s="21" t="n">
        <v>254.875</v>
      </c>
      <c r="CN125" s="21" t="n">
        <v>266.678</v>
      </c>
      <c r="CO125" s="21" t="n">
        <v>244.738</v>
      </c>
      <c r="CP125" s="21" t="n">
        <v>164.657</v>
      </c>
      <c r="CQ125" s="21" t="n">
        <v>275.27</v>
      </c>
      <c r="CR125" s="21" t="n">
        <v>299.166</v>
      </c>
      <c r="CS125" s="21" t="n">
        <v>273.478</v>
      </c>
      <c r="CT125" s="21" t="n">
        <v>207.005</v>
      </c>
      <c r="CU125" s="21" t="n">
        <v>191.027</v>
      </c>
      <c r="CV125" s="21" t="n">
        <v>311.56</v>
      </c>
      <c r="CW125" s="21" t="n">
        <v>279.215</v>
      </c>
      <c r="CX125" s="21" t="n">
        <v>315.07</v>
      </c>
      <c r="CY125" s="21" t="n">
        <v>479.794</v>
      </c>
      <c r="CZ125" s="21" t="n">
        <v>171.934</v>
      </c>
      <c r="DA125" s="21" t="n">
        <v>221.218</v>
      </c>
      <c r="DB125" s="21" t="n">
        <v>183.405</v>
      </c>
      <c r="DC125" s="21" t="n">
        <v>289.271</v>
      </c>
      <c r="DD125" s="21" t="n">
        <v>321.499</v>
      </c>
      <c r="DE125" s="21" t="n">
        <v>212.975</v>
      </c>
      <c r="DF125" s="21" t="n">
        <v>312.188</v>
      </c>
      <c r="DG125" s="21" t="n">
        <v>314.8</v>
      </c>
      <c r="DH125" s="21" t="n">
        <v>182.225</v>
      </c>
      <c r="DI125" s="21" t="n">
        <v>197.014</v>
      </c>
      <c r="DJ125" s="21" t="n">
        <v>188.548</v>
      </c>
      <c r="DK125" s="21" t="n">
        <v>408.107</v>
      </c>
      <c r="DL125" s="21" t="n">
        <v>227.326</v>
      </c>
      <c r="DM125" s="21" t="n">
        <v>171.745</v>
      </c>
      <c r="DN125" s="21" t="n">
        <v>162.048</v>
      </c>
      <c r="DO125" s="21" t="n">
        <v>380.039</v>
      </c>
      <c r="DP125" s="21" t="n">
        <v>233.973</v>
      </c>
      <c r="DQ125" s="21" t="n">
        <v>249.634</v>
      </c>
      <c r="DR125" s="21" t="n">
        <v>207.404</v>
      </c>
      <c r="DS125" s="21" t="n">
        <v>202.448</v>
      </c>
      <c r="DT125" s="21" t="n">
        <v>244.433</v>
      </c>
      <c r="DU125" s="21" t="n">
        <v>253.09</v>
      </c>
      <c r="DV125" s="21" t="n">
        <v>294.88</v>
      </c>
      <c r="DW125" s="21" t="n">
        <v>230.922</v>
      </c>
      <c r="DX125" s="21" t="n">
        <v>278.549</v>
      </c>
      <c r="DY125" s="21" t="n">
        <v>212.995</v>
      </c>
      <c r="DZ125" s="21" t="n">
        <v>219.942</v>
      </c>
      <c r="EA125" s="21" t="n">
        <v>209.515</v>
      </c>
      <c r="EB125" s="21" t="n">
        <v>182.266</v>
      </c>
      <c r="EC125" s="21" t="n">
        <v>439.022</v>
      </c>
      <c r="ED125" s="21" t="n">
        <v>214.261</v>
      </c>
      <c r="EE125" s="21" t="n">
        <v>236.838</v>
      </c>
      <c r="EF125" s="21" t="n">
        <v>245.417</v>
      </c>
      <c r="EG125" s="21" t="n">
        <v>344.801</v>
      </c>
      <c r="EH125" s="21" t="n">
        <v>413.389</v>
      </c>
      <c r="EI125" s="21" t="n">
        <v>432.956</v>
      </c>
      <c r="EJ125" s="21" t="n">
        <v>192.99</v>
      </c>
      <c r="EK125" s="21" t="n">
        <v>659.165</v>
      </c>
      <c r="EL125" s="21" t="n">
        <v>396.428</v>
      </c>
      <c r="EM125" s="21" t="n">
        <v>425.106</v>
      </c>
      <c r="EN125" s="21" t="n">
        <v>425.117</v>
      </c>
      <c r="EO125" s="21" t="n">
        <v>162.078</v>
      </c>
      <c r="EP125" s="21" t="n">
        <v>328.138</v>
      </c>
      <c r="EQ125" s="21" t="n">
        <v>274.805</v>
      </c>
      <c r="ER125" s="21" t="n">
        <v>352.791</v>
      </c>
      <c r="ES125" s="21" t="n">
        <v>345.315</v>
      </c>
      <c r="ET125" s="21" t="n">
        <v>414.542</v>
      </c>
      <c r="EU125" s="21" t="n">
        <v>280.577</v>
      </c>
      <c r="EV125" s="21" t="n">
        <v>286.652</v>
      </c>
      <c r="EW125" s="21" t="n">
        <v>256.501</v>
      </c>
      <c r="EX125" s="21" t="n">
        <v>314.82</v>
      </c>
      <c r="EY125" s="21" t="n">
        <v>720.997</v>
      </c>
      <c r="EZ125" s="21" t="n">
        <v>643.063</v>
      </c>
      <c r="FA125" s="21" t="n">
        <v>150.485</v>
      </c>
      <c r="FB125" s="21" t="n">
        <v>60.304</v>
      </c>
      <c r="FC125" s="21" t="n">
        <v>127.361</v>
      </c>
      <c r="FD125" s="21" t="n">
        <v>81.642</v>
      </c>
      <c r="FE125" s="21" t="n">
        <v>40.979</v>
      </c>
      <c r="FF125" s="21" t="n">
        <v>132.645</v>
      </c>
      <c r="FG125" s="21" t="n">
        <v>144.217</v>
      </c>
      <c r="FH125" s="21" t="n">
        <v>109.763</v>
      </c>
      <c r="FI125" s="21" t="n">
        <v>73.23399999999999</v>
      </c>
      <c r="FJ125" s="21" t="n"/>
      <c r="FK125" s="21" t="n">
        <v>83.669</v>
      </c>
      <c r="FL125" s="21" t="n">
        <v>88.014</v>
      </c>
      <c r="FM125" s="21" t="n">
        <v>109.088</v>
      </c>
      <c r="FN125" s="21" t="n">
        <v>73.77</v>
      </c>
      <c r="FO125" s="21" t="n">
        <v>54.768</v>
      </c>
      <c r="FP125" s="21" t="n">
        <v>40.875</v>
      </c>
      <c r="FQ125" s="21" t="n">
        <v>160.892</v>
      </c>
      <c r="FR125" s="21" t="n">
        <v>42.089</v>
      </c>
      <c r="FS125" s="21" t="n">
        <v>76.401</v>
      </c>
      <c r="FT125" s="21" t="n">
        <v>111.292</v>
      </c>
      <c r="FU125" s="21" t="n">
        <v>122.957</v>
      </c>
      <c r="FV125" s="21" t="n">
        <v>106.092</v>
      </c>
      <c r="FW125" s="21" t="n">
        <v>235.881</v>
      </c>
      <c r="FX125" s="21" t="n">
        <v>151.151</v>
      </c>
      <c r="FY125" s="21" t="n">
        <v>233.242</v>
      </c>
      <c r="FZ125" s="21" t="n">
        <v>140.219</v>
      </c>
      <c r="GA125" s="21" t="n"/>
      <c r="GB125" s="21" t="n"/>
      <c r="GC125" s="21" t="n"/>
      <c r="GD125" s="21" t="n">
        <v>202.454</v>
      </c>
      <c r="GE125" s="21" t="n"/>
      <c r="GF125" s="21" t="n">
        <v>132.544</v>
      </c>
      <c r="GG125" s="21" t="n">
        <v>131.713</v>
      </c>
      <c r="GH125" s="21" t="n">
        <v>134.641</v>
      </c>
      <c r="GI125" s="21" t="n">
        <v>101.107</v>
      </c>
      <c r="GJ125" s="21" t="n">
        <v>190.598</v>
      </c>
      <c r="GK125" s="21" t="n">
        <v>80.57299999999999</v>
      </c>
      <c r="GL125" s="21" t="n">
        <v>142.745</v>
      </c>
      <c r="GM125" s="21" t="n">
        <v>118.436</v>
      </c>
      <c r="GN125" s="21" t="n">
        <v>110.811</v>
      </c>
      <c r="GO125" s="21" t="n">
        <v>112.164</v>
      </c>
      <c r="GP125" s="21" t="n">
        <v>104.746</v>
      </c>
      <c r="GQ125" s="21" t="n">
        <v>107.029</v>
      </c>
      <c r="GR125" s="21" t="n">
        <v>76.467</v>
      </c>
      <c r="GS125" s="21" t="n">
        <v>114.916</v>
      </c>
      <c r="GT125" s="21" t="n">
        <v>105.372</v>
      </c>
      <c r="GU125" s="21" t="n">
        <v>145.034</v>
      </c>
      <c r="GV125" s="21" t="n">
        <v>149.7</v>
      </c>
      <c r="GW125" s="21" t="n">
        <v>162.085</v>
      </c>
      <c r="GX125" s="21" t="n">
        <v>132.993</v>
      </c>
      <c r="GY125" s="21" t="n">
        <v>122.239</v>
      </c>
      <c r="GZ125" s="21" t="n">
        <v>199.042</v>
      </c>
      <c r="HA125" s="21" t="n">
        <v>159.815</v>
      </c>
      <c r="HB125" s="21" t="n">
        <v>197.586</v>
      </c>
      <c r="HC125" s="21" t="n">
        <v>272.503</v>
      </c>
      <c r="HD125" s="21" t="n">
        <v>272.793</v>
      </c>
      <c r="HE125" s="21" t="n">
        <v>125.514</v>
      </c>
      <c r="HF125" s="21" t="n">
        <v>178.795</v>
      </c>
      <c r="HG125" s="21" t="n"/>
      <c r="HH125" s="21" t="n">
        <v>174.015</v>
      </c>
      <c r="HI125" s="21" t="n">
        <v>190.813</v>
      </c>
      <c r="HJ125" s="21" t="n"/>
      <c r="HK125" s="21" t="n">
        <v>182.861</v>
      </c>
      <c r="HL125" s="21" t="n">
        <v>115.517</v>
      </c>
      <c r="HM125" s="21" t="n">
        <v>158.905</v>
      </c>
      <c r="HN125" s="21" t="n">
        <v>285.351</v>
      </c>
      <c r="HO125" s="21" t="n">
        <v>284.526</v>
      </c>
      <c r="HP125" s="21" t="n">
        <v>277.001</v>
      </c>
      <c r="HQ125" s="21" t="n">
        <v>315.674</v>
      </c>
      <c r="HR125" s="21" t="n">
        <v>313.544</v>
      </c>
      <c r="HS125" s="21" t="n">
        <v>266.782</v>
      </c>
      <c r="HT125" s="21" t="n">
        <v>181.709</v>
      </c>
      <c r="HU125" s="21" t="n">
        <v>153.922</v>
      </c>
      <c r="HV125" s="21" t="n">
        <v>220.436</v>
      </c>
      <c r="HW125" s="21" t="n">
        <v>203.387</v>
      </c>
      <c r="HX125" s="21" t="n">
        <v>486.003</v>
      </c>
      <c r="HY125" s="21" t="n">
        <v>426.849</v>
      </c>
      <c r="HZ125" s="21" t="n"/>
      <c r="IA125" s="21" t="n">
        <v>360.951</v>
      </c>
      <c r="IB125" s="21" t="n">
        <v>288.669</v>
      </c>
      <c r="IC125" s="21" t="n">
        <v>892.553</v>
      </c>
      <c r="ID125" s="21" t="n">
        <v>215.644</v>
      </c>
      <c r="IE125" s="21" t="n">
        <v>200.423</v>
      </c>
      <c r="IF125" s="21" t="n">
        <v>239.902</v>
      </c>
      <c r="IG125" s="21" t="n">
        <v>286.662</v>
      </c>
      <c r="IH125" s="21" t="n"/>
      <c r="II125" s="21" t="n">
        <v>258.686</v>
      </c>
      <c r="IJ125" s="21" t="n">
        <v>255.592</v>
      </c>
      <c r="IK125" s="21" t="n">
        <v>155.874</v>
      </c>
      <c r="IL125" s="21" t="n"/>
      <c r="IM125" s="21" t="n"/>
      <c r="IN125" s="21" t="n">
        <v>64.477</v>
      </c>
      <c r="IO125" s="21" t="n">
        <v>346.487</v>
      </c>
      <c r="IP125" s="21" t="n">
        <v>133.942</v>
      </c>
      <c r="IQ125" s="21" t="n">
        <v>576.9880000000001</v>
      </c>
      <c r="IR125" s="21" t="n">
        <v>414.709</v>
      </c>
      <c r="IS125" s="21" t="n">
        <v>135.791</v>
      </c>
      <c r="IT125" s="21" t="n">
        <v>563.253</v>
      </c>
      <c r="IU125" s="21" t="n">
        <v>110.55</v>
      </c>
      <c r="IV125" s="21" t="n">
        <v>109.465</v>
      </c>
      <c r="IW125" s="21" t="n">
        <v>629.307</v>
      </c>
      <c r="IX125" s="21" t="n">
        <v>436.794</v>
      </c>
      <c r="IY125" s="21" t="n">
        <v>428.574</v>
      </c>
      <c r="IZ125" s="21" t="n">
        <v>604.85</v>
      </c>
      <c r="JA125" s="21" t="n">
        <v>213.723</v>
      </c>
      <c r="JB125" s="21" t="n">
        <v>265.598</v>
      </c>
      <c r="JC125" s="21" t="n">
        <v>102.973</v>
      </c>
      <c r="JD125" s="21" t="n">
        <v>430.162</v>
      </c>
      <c r="JE125" s="21" t="n">
        <v>415.6</v>
      </c>
      <c r="JF125" s="21" t="n">
        <v>942.111</v>
      </c>
      <c r="JG125" s="21" t="n">
        <v>297.743</v>
      </c>
      <c r="JH125" s="21" t="n"/>
      <c r="JI125" s="21" t="n">
        <v>147.173</v>
      </c>
      <c r="JJ125" s="21" t="n">
        <v>140.627</v>
      </c>
      <c r="JK125" s="21" t="n">
        <v>119.394</v>
      </c>
      <c r="JL125" s="21" t="n">
        <v>93.968</v>
      </c>
      <c r="JM125" s="21" t="n">
        <v>595.2190000000001</v>
      </c>
      <c r="JN125" s="21" t="n">
        <v>102.426</v>
      </c>
      <c r="JO125" s="21" t="n">
        <v>78.934</v>
      </c>
      <c r="JP125" s="21" t="n">
        <v>44.491</v>
      </c>
      <c r="JQ125" s="21" t="n">
        <v>172.122</v>
      </c>
      <c r="JR125" s="21" t="n">
        <v>26.33</v>
      </c>
      <c r="JS125" s="21" t="n">
        <v>88.842</v>
      </c>
      <c r="JT125" s="21" t="n">
        <v>227.266</v>
      </c>
      <c r="JU125" s="21" t="n">
        <v>239.589</v>
      </c>
      <c r="JV125" s="21" t="n">
        <v>189.736</v>
      </c>
      <c r="JW125" s="21" t="n">
        <v>132.004</v>
      </c>
      <c r="JX125" s="21" t="n">
        <v>359.891</v>
      </c>
      <c r="JY125" s="21" t="n">
        <v>261.602</v>
      </c>
      <c r="JZ125" s="21" t="n">
        <v>390.499</v>
      </c>
      <c r="KA125" s="21" t="n">
        <v>119.852</v>
      </c>
      <c r="KB125" s="21" t="n">
        <v>163.556</v>
      </c>
      <c r="KC125" s="21" t="n">
        <v>82.77800000000001</v>
      </c>
      <c r="KD125" s="21" t="n">
        <v>85.742</v>
      </c>
      <c r="KE125" s="21" t="n">
        <v>69.25</v>
      </c>
      <c r="KF125" s="21" t="n"/>
      <c r="KG125" s="21" t="n">
        <v>28.47</v>
      </c>
      <c r="KH125" s="21" t="n"/>
      <c r="KI125" s="21" t="n"/>
      <c r="KJ125" s="21" t="n"/>
      <c r="KK125" s="21" t="n">
        <v>32.674</v>
      </c>
      <c r="KL125" s="21" t="n">
        <v>27.513</v>
      </c>
      <c r="KM125" s="21" t="n">
        <v>37.048</v>
      </c>
      <c r="KN125" s="21" t="n"/>
      <c r="KO125" s="21" t="n">
        <v>103.91</v>
      </c>
      <c r="KP125" s="21" t="n">
        <v>124.826</v>
      </c>
      <c r="KQ125" s="21" t="n">
        <v>209.459</v>
      </c>
      <c r="KR125" s="21" t="n">
        <v>169.908</v>
      </c>
      <c r="KS125" s="21" t="n">
        <v>485.69</v>
      </c>
      <c r="KT125" s="21" t="n">
        <v>233.593</v>
      </c>
      <c r="KU125" s="21" t="n">
        <v>268.308</v>
      </c>
      <c r="KV125" s="21" t="n">
        <v>400.669</v>
      </c>
      <c r="KW125" s="21" t="n">
        <v>293.581</v>
      </c>
      <c r="KX125" s="21" t="n">
        <v>231.476</v>
      </c>
      <c r="KY125" s="21" t="n">
        <v>99.64400000000001</v>
      </c>
      <c r="KZ125" s="21" t="n">
        <v>146.354</v>
      </c>
      <c r="LA125" s="21" t="n">
        <v>306.829</v>
      </c>
      <c r="LB125" s="21" t="n">
        <v>769.549</v>
      </c>
      <c r="LC125" s="21" t="n">
        <v>262.907</v>
      </c>
      <c r="LD125" s="21" t="n">
        <v>882.223</v>
      </c>
      <c r="LE125" s="21" t="n">
        <v>949.052</v>
      </c>
      <c r="LF125" s="21" t="n">
        <v>100.537</v>
      </c>
      <c r="LG125" s="21" t="n">
        <v>381.854</v>
      </c>
      <c r="LH125" s="21" t="n">
        <v>277.581</v>
      </c>
      <c r="LI125" s="21" t="n">
        <v>73.22799999999999</v>
      </c>
      <c r="LJ125" s="21" t="n">
        <v>248.234</v>
      </c>
      <c r="LK125" s="21" t="n">
        <v>385.411</v>
      </c>
      <c r="LL125" s="21" t="n">
        <v>465.069</v>
      </c>
      <c r="LM125" s="21" t="n">
        <v>68.822</v>
      </c>
      <c r="LN125" s="21" t="n">
        <v>94.636</v>
      </c>
      <c r="LO125" s="21" t="n">
        <v>46.945</v>
      </c>
      <c r="LP125" s="21" t="n">
        <v>159.951</v>
      </c>
      <c r="LQ125" s="21" t="n"/>
      <c r="LR125" s="21" t="n"/>
      <c r="LS125" s="21" t="n">
        <v>100.833</v>
      </c>
      <c r="LT125" s="21" t="n">
        <v>34.805</v>
      </c>
      <c r="LU125" s="21" t="n">
        <v>24.557</v>
      </c>
      <c r="LV125" s="21" t="n">
        <v>84.88200000000001</v>
      </c>
      <c r="LW125" s="21" t="n">
        <v>98.738</v>
      </c>
      <c r="LX125" s="21" t="n">
        <v>39.454</v>
      </c>
      <c r="LY125" s="21" t="n">
        <v>576.398</v>
      </c>
      <c r="LZ125" s="21" t="n">
        <v>101.947</v>
      </c>
      <c r="MA125" s="21" t="n">
        <v>680.485</v>
      </c>
      <c r="MB125" s="21" t="n">
        <v>347.546</v>
      </c>
      <c r="MC125" s="21" t="n">
        <v>289.965</v>
      </c>
      <c r="MD125" s="21" t="n">
        <v>180.004</v>
      </c>
      <c r="ME125" s="21" t="n">
        <v>122.681</v>
      </c>
      <c r="MF125" s="21" t="n">
        <v>190.631</v>
      </c>
      <c r="MG125" s="21" t="n">
        <v>353.939</v>
      </c>
      <c r="MH125" s="21" t="n">
        <v>215.961</v>
      </c>
      <c r="MI125" s="21" t="n">
        <v>577.497</v>
      </c>
      <c r="MJ125" s="21" t="n"/>
      <c r="MK125" s="21" t="n">
        <v>406.08</v>
      </c>
      <c r="ML125" s="21" t="n">
        <v>235.496</v>
      </c>
      <c r="MM125" s="21" t="n">
        <v>279.739</v>
      </c>
      <c r="MN125" s="21" t="n">
        <v>458.621</v>
      </c>
      <c r="MO125" s="21" t="n">
        <v>192.152</v>
      </c>
      <c r="MP125" s="21" t="n">
        <v>361.527</v>
      </c>
      <c r="MQ125" s="21" t="n">
        <v>88.902</v>
      </c>
      <c r="MR125" s="21" t="n">
        <v>208.188</v>
      </c>
      <c r="MS125" s="21" t="n"/>
      <c r="MT125" s="21" t="n">
        <v>308.42</v>
      </c>
      <c r="MU125" s="21" t="n">
        <v>327.535</v>
      </c>
      <c r="MV125" s="21" t="n">
        <v>318.161</v>
      </c>
      <c r="MW125" s="21" t="n">
        <v>326.815</v>
      </c>
      <c r="MX125" s="21" t="n">
        <v>288.084</v>
      </c>
      <c r="MY125" s="21" t="n">
        <v>275.956</v>
      </c>
      <c r="MZ125" s="21" t="n">
        <v>278.83</v>
      </c>
      <c r="NA125" s="21" t="n">
        <v>284.264</v>
      </c>
      <c r="NB125" s="21" t="n">
        <v>124.86</v>
      </c>
      <c r="NC125" s="21" t="n">
        <v>224.494</v>
      </c>
      <c r="ND125" s="21" t="n">
        <v>177.584</v>
      </c>
      <c r="NE125" s="21" t="n">
        <v>173.672</v>
      </c>
      <c r="NF125" s="21" t="n">
        <v>165.916</v>
      </c>
      <c r="NG125" s="21" t="n">
        <v>164.093</v>
      </c>
      <c r="NH125" s="21" t="n">
        <v>322.132</v>
      </c>
      <c r="NI125" s="21" t="n">
        <v>122.916</v>
      </c>
      <c r="NJ125" s="21" t="n">
        <v>53.419</v>
      </c>
      <c r="NK125" s="21" t="n">
        <v>123.787</v>
      </c>
      <c r="NL125" s="21" t="n">
        <v>279.888</v>
      </c>
      <c r="NM125" s="21" t="n">
        <v>290.949</v>
      </c>
      <c r="NN125" s="21" t="n">
        <v>106.325</v>
      </c>
      <c r="NO125" s="21" t="n">
        <v>36.251</v>
      </c>
      <c r="NP125" s="21" t="n">
        <v>279.429</v>
      </c>
      <c r="NQ125" s="21" t="n">
        <v>231.195</v>
      </c>
      <c r="NR125" s="21" t="n">
        <v>289.877</v>
      </c>
      <c r="NS125" s="21" t="n">
        <v>227.306</v>
      </c>
      <c r="NT125" s="21" t="n">
        <v>291.083</v>
      </c>
      <c r="NU125" s="21" t="n">
        <v>143.757</v>
      </c>
      <c r="NV125" s="21" t="n">
        <v>161.572</v>
      </c>
      <c r="NW125" s="21" t="n">
        <v>425.09</v>
      </c>
      <c r="NX125" s="21" t="n">
        <v>82.96299999999999</v>
      </c>
      <c r="NY125" s="21" t="n">
        <v>155.59</v>
      </c>
      <c r="NZ125" s="21" t="n">
        <v>431.948</v>
      </c>
      <c r="OA125" s="21" t="n">
        <v>415.924</v>
      </c>
      <c r="OB125" s="21" t="n">
        <v>429.724</v>
      </c>
      <c r="OC125" s="21" t="n">
        <v>399.536</v>
      </c>
      <c r="OD125" s="21" t="n">
        <v>429.054</v>
      </c>
      <c r="OE125" s="21" t="n">
        <v>131.245</v>
      </c>
      <c r="OF125" s="21" t="n">
        <v>445.55</v>
      </c>
      <c r="OG125" s="21" t="n">
        <v>265.541</v>
      </c>
      <c r="OH125" s="21" t="n">
        <v>31.807</v>
      </c>
      <c r="OI125" s="21" t="n">
        <v>157.621</v>
      </c>
      <c r="OJ125" s="21" t="n">
        <v>31.2</v>
      </c>
      <c r="OK125" s="21" t="n">
        <v>10.4</v>
      </c>
    </row>
    <row r="126">
      <c r="A126" s="22" t="n">
        <v>45778</v>
      </c>
      <c r="B126" s="21" t="n">
        <v>321.465</v>
      </c>
      <c r="C126" s="21" t="n">
        <v>962.965</v>
      </c>
      <c r="D126" s="21" t="n">
        <v>335.687</v>
      </c>
      <c r="E126" s="21" t="n">
        <v>338.598</v>
      </c>
      <c r="F126" s="21" t="n">
        <v>312.491</v>
      </c>
      <c r="G126" s="21" t="n">
        <v>360.325</v>
      </c>
      <c r="H126" s="21" t="n">
        <v>287.38</v>
      </c>
      <c r="I126" s="21" t="n">
        <v>333.819</v>
      </c>
      <c r="J126" s="21" t="n">
        <v>279.45</v>
      </c>
      <c r="K126" s="21" t="n">
        <v>290.52</v>
      </c>
      <c r="L126" s="21" t="n">
        <v>191.276</v>
      </c>
      <c r="M126" s="21" t="n">
        <v>402.941</v>
      </c>
      <c r="N126" s="21" t="n">
        <v>240.101</v>
      </c>
      <c r="O126" s="21" t="n">
        <v>430.06</v>
      </c>
      <c r="P126" s="21" t="n">
        <v>473.283</v>
      </c>
      <c r="Q126" s="21" t="n">
        <v>242.079</v>
      </c>
      <c r="R126" s="21" t="n">
        <v>378.984</v>
      </c>
      <c r="S126" s="21" t="n">
        <v>396.832</v>
      </c>
      <c r="T126" s="21" t="n">
        <v>358.991</v>
      </c>
      <c r="U126" s="21" t="n">
        <v>360.252</v>
      </c>
      <c r="V126" s="21" t="n">
        <v>408.072</v>
      </c>
      <c r="W126" s="21" t="n">
        <v>437.334</v>
      </c>
      <c r="X126" s="21" t="n">
        <v>342.795</v>
      </c>
      <c r="Y126" s="21" t="n">
        <v>343.032</v>
      </c>
      <c r="Z126" s="21" t="n">
        <v>336.538</v>
      </c>
      <c r="AA126" s="21" t="n">
        <v>347.384</v>
      </c>
      <c r="AB126" s="21" t="n">
        <v>455.104</v>
      </c>
      <c r="AC126" s="21" t="n">
        <v>392.881</v>
      </c>
      <c r="AD126" s="21" t="n">
        <v>368.169</v>
      </c>
      <c r="AE126" s="21" t="n">
        <v>301.002</v>
      </c>
      <c r="AF126" s="21" t="n">
        <v>371.386</v>
      </c>
      <c r="AG126" s="21" t="n">
        <v>268.747</v>
      </c>
      <c r="AH126" s="21" t="n">
        <v>204.468</v>
      </c>
      <c r="AI126" s="21" t="n">
        <v>383.572</v>
      </c>
      <c r="AJ126" s="21" t="n">
        <v>187.88</v>
      </c>
      <c r="AK126" s="21" t="n">
        <v>251.214</v>
      </c>
      <c r="AL126" s="21" t="n">
        <v>278.556</v>
      </c>
      <c r="AM126" s="21" t="n">
        <v>242.503</v>
      </c>
      <c r="AN126" s="21" t="n">
        <v>161.371</v>
      </c>
      <c r="AO126" s="21" t="n">
        <v>287.216</v>
      </c>
      <c r="AP126" s="21" t="n">
        <v>280.778</v>
      </c>
      <c r="AQ126" s="21" t="n">
        <v>186.852</v>
      </c>
      <c r="AR126" s="21" t="n"/>
      <c r="AS126" s="21" t="n"/>
      <c r="AT126" s="21" t="n">
        <v>313.02</v>
      </c>
      <c r="AU126" s="21" t="n">
        <v>200.389</v>
      </c>
      <c r="AV126" s="21" t="n">
        <v>331.484</v>
      </c>
      <c r="AW126" s="21" t="n">
        <v>299.535</v>
      </c>
      <c r="AX126" s="21" t="n">
        <v>206.678</v>
      </c>
      <c r="AY126" s="21" t="n">
        <v>355.433</v>
      </c>
      <c r="AZ126" s="21" t="n">
        <v>222.848</v>
      </c>
      <c r="BA126" s="21" t="n">
        <v>175.733</v>
      </c>
      <c r="BB126" s="21" t="n">
        <v>246.195</v>
      </c>
      <c r="BC126" s="21" t="n">
        <v>388.651</v>
      </c>
      <c r="BD126" s="21" t="n">
        <v>417.195</v>
      </c>
      <c r="BE126" s="21" t="n">
        <v>271.348</v>
      </c>
      <c r="BF126" s="21" t="n">
        <v>178.574</v>
      </c>
      <c r="BG126" s="21" t="n">
        <v>252.673</v>
      </c>
      <c r="BH126" s="21" t="n">
        <v>186.171</v>
      </c>
      <c r="BI126" s="21" t="n">
        <v>268.182</v>
      </c>
      <c r="BJ126" s="21" t="n">
        <v>271.525</v>
      </c>
      <c r="BK126" s="21" t="n">
        <v>193.26</v>
      </c>
      <c r="BL126" s="21" t="n">
        <v>351.335</v>
      </c>
      <c r="BM126" s="21" t="n">
        <v>394.677</v>
      </c>
      <c r="BN126" s="21" t="n">
        <v>417.892</v>
      </c>
      <c r="BO126" s="21" t="n">
        <v>358.298</v>
      </c>
      <c r="BP126" s="21" t="n">
        <v>216.99</v>
      </c>
      <c r="BQ126" s="21" t="n">
        <v>291.18</v>
      </c>
      <c r="BR126" s="21" t="n">
        <v>579.7140000000001</v>
      </c>
      <c r="BS126" s="21" t="n">
        <v>144.799</v>
      </c>
      <c r="BT126" s="21" t="n">
        <v>370.002</v>
      </c>
      <c r="BU126" s="21" t="n">
        <v>427.212</v>
      </c>
      <c r="BV126" s="21" t="n">
        <v>390.162</v>
      </c>
      <c r="BW126" s="21" t="n">
        <v>324.83</v>
      </c>
      <c r="BX126" s="21" t="n">
        <v>371.19</v>
      </c>
      <c r="BY126" s="21" t="n">
        <v>205.67</v>
      </c>
      <c r="BZ126" s="21" t="n">
        <v>222.761</v>
      </c>
      <c r="CA126" s="21" t="n">
        <v>210.11</v>
      </c>
      <c r="CB126" s="21" t="n">
        <v>239.172</v>
      </c>
      <c r="CC126" s="21" t="n">
        <v>182.949</v>
      </c>
      <c r="CD126" s="21" t="n">
        <v>255.912</v>
      </c>
      <c r="CE126" s="21" t="n">
        <v>197.909</v>
      </c>
      <c r="CF126" s="21" t="n">
        <v>242.732</v>
      </c>
      <c r="CG126" s="21" t="n">
        <v>226.252</v>
      </c>
      <c r="CH126" s="21" t="n">
        <v>177.509</v>
      </c>
      <c r="CI126" s="21" t="n">
        <v>231.016</v>
      </c>
      <c r="CJ126" s="21" t="n">
        <v>268.115</v>
      </c>
      <c r="CK126" s="21" t="n">
        <v>155.943</v>
      </c>
      <c r="CL126" s="21" t="n">
        <v>152.226</v>
      </c>
      <c r="CM126" s="21" t="n">
        <v>259.326</v>
      </c>
      <c r="CN126" s="21" t="n">
        <v>272.938</v>
      </c>
      <c r="CO126" s="21" t="n">
        <v>243.542</v>
      </c>
      <c r="CP126" s="21" t="n">
        <v>164.863</v>
      </c>
      <c r="CQ126" s="21" t="n">
        <v>276.606</v>
      </c>
      <c r="CR126" s="21" t="n">
        <v>300.822</v>
      </c>
      <c r="CS126" s="21" t="n">
        <v>279.972</v>
      </c>
      <c r="CT126" s="21" t="n">
        <v>206.976</v>
      </c>
      <c r="CU126" s="21" t="n">
        <v>194.29</v>
      </c>
      <c r="CV126" s="21" t="n">
        <v>315.358</v>
      </c>
      <c r="CW126" s="21" t="n">
        <v>280.22</v>
      </c>
      <c r="CX126" s="21" t="n">
        <v>319.581</v>
      </c>
      <c r="CY126" s="21" t="n">
        <v>475.05</v>
      </c>
      <c r="CZ126" s="21" t="n">
        <v>173.123</v>
      </c>
      <c r="DA126" s="21" t="n">
        <v>225.345</v>
      </c>
      <c r="DB126" s="21" t="n">
        <v>190.4</v>
      </c>
      <c r="DC126" s="21" t="n">
        <v>290.341</v>
      </c>
      <c r="DD126" s="21" t="n">
        <v>325.619</v>
      </c>
      <c r="DE126" s="21" t="n">
        <v>214.247</v>
      </c>
      <c r="DF126" s="21" t="n">
        <v>311.673</v>
      </c>
      <c r="DG126" s="21" t="n">
        <v>315.636</v>
      </c>
      <c r="DH126" s="21" t="n">
        <v>187.026</v>
      </c>
      <c r="DI126" s="21" t="n">
        <v>190.435</v>
      </c>
      <c r="DJ126" s="21" t="n">
        <v>186.763</v>
      </c>
      <c r="DK126" s="21" t="n">
        <v>398.16</v>
      </c>
      <c r="DL126" s="21" t="n">
        <v>227.539</v>
      </c>
      <c r="DM126" s="21" t="n">
        <v>172.665</v>
      </c>
      <c r="DN126" s="21" t="n">
        <v>161.492</v>
      </c>
      <c r="DO126" s="21" t="n">
        <v>381.228</v>
      </c>
      <c r="DP126" s="21" t="n">
        <v>234.732</v>
      </c>
      <c r="DQ126" s="21" t="n">
        <v>250.38</v>
      </c>
      <c r="DR126" s="21" t="n">
        <v>208.281</v>
      </c>
      <c r="DS126" s="21" t="n">
        <v>202.7</v>
      </c>
      <c r="DT126" s="21" t="n">
        <v>244.333</v>
      </c>
      <c r="DU126" s="21" t="n">
        <v>254.128</v>
      </c>
      <c r="DV126" s="21" t="n">
        <v>294.478</v>
      </c>
      <c r="DW126" s="21" t="n">
        <v>229.899</v>
      </c>
      <c r="DX126" s="21" t="n">
        <v>277.42</v>
      </c>
      <c r="DY126" s="21" t="n">
        <v>212.037</v>
      </c>
      <c r="DZ126" s="21" t="n">
        <v>220.03</v>
      </c>
      <c r="EA126" s="21" t="n">
        <v>207.713</v>
      </c>
      <c r="EB126" s="21" t="n">
        <v>181.411</v>
      </c>
      <c r="EC126" s="21" t="n">
        <v>439.986</v>
      </c>
      <c r="ED126" s="21" t="n">
        <v>215.142</v>
      </c>
      <c r="EE126" s="21" t="n">
        <v>237.262</v>
      </c>
      <c r="EF126" s="21" t="n">
        <v>244.988</v>
      </c>
      <c r="EG126" s="21" t="n">
        <v>345.938</v>
      </c>
      <c r="EH126" s="21" t="n">
        <v>414.689</v>
      </c>
      <c r="EI126" s="21" t="n">
        <v>433.698</v>
      </c>
      <c r="EJ126" s="21" t="n">
        <v>196.738</v>
      </c>
      <c r="EK126" s="21" t="n">
        <v>659.165</v>
      </c>
      <c r="EL126" s="21" t="n">
        <v>405.722</v>
      </c>
      <c r="EM126" s="21" t="n">
        <v>426.214</v>
      </c>
      <c r="EN126" s="21" t="n">
        <v>426.224</v>
      </c>
      <c r="EO126" s="21" t="n">
        <v>163.387</v>
      </c>
      <c r="EP126" s="21" t="n">
        <v>330.265</v>
      </c>
      <c r="EQ126" s="21" t="n">
        <v>276.951</v>
      </c>
      <c r="ER126" s="21" t="n">
        <v>350.259</v>
      </c>
      <c r="ES126" s="21" t="n">
        <v>336.589</v>
      </c>
      <c r="ET126" s="21" t="n">
        <v>420.765</v>
      </c>
      <c r="EU126" s="21" t="n">
        <v>282.947</v>
      </c>
      <c r="EV126" s="21" t="n">
        <v>290.055</v>
      </c>
      <c r="EW126" s="21" t="n">
        <v>255.981</v>
      </c>
      <c r="EX126" s="21" t="n">
        <v>315.585</v>
      </c>
      <c r="EY126" s="21" t="n">
        <v>721.768</v>
      </c>
      <c r="EZ126" s="21" t="n">
        <v>646.5069999999999</v>
      </c>
      <c r="FA126" s="21" t="n">
        <v>150.69</v>
      </c>
      <c r="FB126" s="21" t="n">
        <v>60.455</v>
      </c>
      <c r="FC126" s="21" t="n">
        <v>128.626</v>
      </c>
      <c r="FD126" s="21" t="n">
        <v>82.521</v>
      </c>
      <c r="FE126" s="21" t="n">
        <v>40.802</v>
      </c>
      <c r="FF126" s="21" t="n">
        <v>131.61</v>
      </c>
      <c r="FG126" s="21" t="n">
        <v>141.292</v>
      </c>
      <c r="FH126" s="21" t="n">
        <v>108.862</v>
      </c>
      <c r="FI126" s="21" t="n">
        <v>74.47799999999999</v>
      </c>
      <c r="FJ126" s="21" t="n"/>
      <c r="FK126" s="21" t="n">
        <v>84.19499999999999</v>
      </c>
      <c r="FL126" s="21" t="n">
        <v>90.626</v>
      </c>
      <c r="FM126" s="21" t="n">
        <v>111.551</v>
      </c>
      <c r="FN126" s="21" t="n">
        <v>73.41200000000001</v>
      </c>
      <c r="FO126" s="21" t="n">
        <v>54.879</v>
      </c>
      <c r="FP126" s="21" t="n">
        <v>40.949</v>
      </c>
      <c r="FQ126" s="21" t="n">
        <v>162.442</v>
      </c>
      <c r="FR126" s="21" t="n">
        <v>42.018</v>
      </c>
      <c r="FS126" s="21" t="n">
        <v>75.621</v>
      </c>
      <c r="FT126" s="21" t="n">
        <v>111.967</v>
      </c>
      <c r="FU126" s="21" t="n">
        <v>123.768</v>
      </c>
      <c r="FV126" s="21" t="n">
        <v>106.664</v>
      </c>
      <c r="FW126" s="21" t="n">
        <v>235.601</v>
      </c>
      <c r="FX126" s="21" t="n">
        <v>150.96</v>
      </c>
      <c r="FY126" s="21" t="n">
        <v>235.623</v>
      </c>
      <c r="FZ126" s="21" t="n">
        <v>139.2</v>
      </c>
      <c r="GA126" s="21" t="n"/>
      <c r="GB126" s="21" t="n"/>
      <c r="GC126" s="21" t="n">
        <v>296.976</v>
      </c>
      <c r="GD126" s="21" t="n">
        <v>208.025</v>
      </c>
      <c r="GE126" s="21" t="n"/>
      <c r="GF126" s="21" t="n">
        <v>131.223</v>
      </c>
      <c r="GG126" s="21" t="n">
        <v>130.812</v>
      </c>
      <c r="GH126" s="21" t="n">
        <v>133.21</v>
      </c>
      <c r="GI126" s="21" t="n">
        <v>101.469</v>
      </c>
      <c r="GJ126" s="21" t="n">
        <v>187.08</v>
      </c>
      <c r="GK126" s="21" t="n">
        <v>79.551</v>
      </c>
      <c r="GL126" s="21" t="n">
        <v>141.305</v>
      </c>
      <c r="GM126" s="21" t="n">
        <v>119.524</v>
      </c>
      <c r="GN126" s="21" t="n">
        <v>109.416</v>
      </c>
      <c r="GO126" s="21" t="n">
        <v>110.813</v>
      </c>
      <c r="GP126" s="21" t="n">
        <v>102.287</v>
      </c>
      <c r="GQ126" s="21" t="n">
        <v>106.692</v>
      </c>
      <c r="GR126" s="21" t="n">
        <v>75.10299999999999</v>
      </c>
      <c r="GS126" s="21" t="n">
        <v>114.218</v>
      </c>
      <c r="GT126" s="21" t="n">
        <v>103.603</v>
      </c>
      <c r="GU126" s="21" t="n">
        <v>144.078</v>
      </c>
      <c r="GV126" s="21" t="n">
        <v>147.529</v>
      </c>
      <c r="GW126" s="21" t="n">
        <v>164.399</v>
      </c>
      <c r="GX126" s="21" t="n">
        <v>131.749</v>
      </c>
      <c r="GY126" s="21" t="n">
        <v>120.249</v>
      </c>
      <c r="GZ126" s="21" t="n">
        <v>196.201</v>
      </c>
      <c r="HA126" s="21" t="n">
        <v>157.707</v>
      </c>
      <c r="HB126" s="21" t="n">
        <v>194.703</v>
      </c>
      <c r="HC126" s="21" t="n">
        <v>272.946</v>
      </c>
      <c r="HD126" s="21" t="n">
        <v>272.979</v>
      </c>
      <c r="HE126" s="21" t="n">
        <v>125.85</v>
      </c>
      <c r="HF126" s="21" t="n">
        <v>178.728</v>
      </c>
      <c r="HG126" s="21" t="n"/>
      <c r="HH126" s="21" t="n">
        <v>173.717</v>
      </c>
      <c r="HI126" s="21" t="n">
        <v>190.771</v>
      </c>
      <c r="HJ126" s="21" t="n"/>
      <c r="HK126" s="21" t="n">
        <v>184.224</v>
      </c>
      <c r="HL126" s="21" t="n">
        <v>115.38</v>
      </c>
      <c r="HM126" s="21" t="n">
        <v>163.309</v>
      </c>
      <c r="HN126" s="21" t="n">
        <v>283.403</v>
      </c>
      <c r="HO126" s="21" t="n">
        <v>282.614</v>
      </c>
      <c r="HP126" s="21" t="n">
        <v>274.959</v>
      </c>
      <c r="HQ126" s="21" t="n">
        <v>314.227</v>
      </c>
      <c r="HR126" s="21" t="n">
        <v>312.5</v>
      </c>
      <c r="HS126" s="21" t="n">
        <v>263.918</v>
      </c>
      <c r="HT126" s="21" t="n">
        <v>183.402</v>
      </c>
      <c r="HU126" s="21" t="n">
        <v>155.212</v>
      </c>
      <c r="HV126" s="21" t="n">
        <v>223.43</v>
      </c>
      <c r="HW126" s="21" t="n">
        <v>206.284</v>
      </c>
      <c r="HX126" s="21" t="n">
        <v>494.085</v>
      </c>
      <c r="HY126" s="21" t="n">
        <v>426.264</v>
      </c>
      <c r="HZ126" s="21" t="n">
        <v>430.389</v>
      </c>
      <c r="IA126" s="21" t="n">
        <v>360.271</v>
      </c>
      <c r="IB126" s="21" t="n">
        <v>288.289</v>
      </c>
      <c r="IC126" s="21" t="n">
        <v>895.2619999999999</v>
      </c>
      <c r="ID126" s="21" t="n">
        <v>216.11</v>
      </c>
      <c r="IE126" s="21" t="n">
        <v>200.435</v>
      </c>
      <c r="IF126" s="21" t="n">
        <v>241.122</v>
      </c>
      <c r="IG126" s="21" t="n">
        <v>286.923</v>
      </c>
      <c r="IH126" s="21" t="n"/>
      <c r="II126" s="21" t="n">
        <v>261.734</v>
      </c>
      <c r="IJ126" s="21" t="n">
        <v>260.319</v>
      </c>
      <c r="IK126" s="21" t="n">
        <v>159.362</v>
      </c>
      <c r="IL126" s="21" t="n"/>
      <c r="IM126" s="21" t="n"/>
      <c r="IN126" s="21" t="n">
        <v>65.056</v>
      </c>
      <c r="IO126" s="21" t="n">
        <v>341.736</v>
      </c>
      <c r="IP126" s="21" t="n">
        <v>134</v>
      </c>
      <c r="IQ126" s="21" t="n">
        <v>578.25</v>
      </c>
      <c r="IR126" s="21" t="n">
        <v>417.149</v>
      </c>
      <c r="IS126" s="21" t="n">
        <v>136.528</v>
      </c>
      <c r="IT126" s="21" t="n">
        <v>566.716</v>
      </c>
      <c r="IU126" s="21" t="n">
        <v>110.973</v>
      </c>
      <c r="IV126" s="21" t="n">
        <v>110.49</v>
      </c>
      <c r="IW126" s="21" t="n">
        <v>630.162</v>
      </c>
      <c r="IX126" s="21" t="n">
        <v>436.581</v>
      </c>
      <c r="IY126" s="21" t="n">
        <v>427.488</v>
      </c>
      <c r="IZ126" s="21" t="n">
        <v>605.763</v>
      </c>
      <c r="JA126" s="21" t="n">
        <v>214.43</v>
      </c>
      <c r="JB126" s="21" t="n">
        <v>265.738</v>
      </c>
      <c r="JC126" s="21" t="n">
        <v>103.386</v>
      </c>
      <c r="JD126" s="21" t="n">
        <v>432.089</v>
      </c>
      <c r="JE126" s="21" t="n">
        <v>415.356</v>
      </c>
      <c r="JF126" s="21" t="n">
        <v>950.013</v>
      </c>
      <c r="JG126" s="21" t="n">
        <v>299.891</v>
      </c>
      <c r="JH126" s="21" t="n">
        <v>179.934</v>
      </c>
      <c r="JI126" s="21" t="n">
        <v>147.508</v>
      </c>
      <c r="JJ126" s="21" t="n">
        <v>140.63</v>
      </c>
      <c r="JK126" s="21" t="n">
        <v>119.687</v>
      </c>
      <c r="JL126" s="21" t="n">
        <v>94.381</v>
      </c>
      <c r="JM126" s="21" t="n">
        <v>596.827</v>
      </c>
      <c r="JN126" s="21" t="n">
        <v>103.52</v>
      </c>
      <c r="JO126" s="21" t="n">
        <v>78.871</v>
      </c>
      <c r="JP126" s="21" t="n">
        <v>44.14</v>
      </c>
      <c r="JQ126" s="21" t="n">
        <v>173.431</v>
      </c>
      <c r="JR126" s="21" t="n">
        <v>26.759</v>
      </c>
      <c r="JS126" s="21" t="n">
        <v>88.095</v>
      </c>
      <c r="JT126" s="21" t="n">
        <v>228.349</v>
      </c>
      <c r="JU126" s="21" t="n">
        <v>240.415</v>
      </c>
      <c r="JV126" s="21" t="n">
        <v>189.76</v>
      </c>
      <c r="JW126" s="21" t="n">
        <v>132.608</v>
      </c>
      <c r="JX126" s="21" t="n">
        <v>362.157</v>
      </c>
      <c r="JY126" s="21" t="n">
        <v>264.38</v>
      </c>
      <c r="JZ126" s="21" t="n">
        <v>392.452</v>
      </c>
      <c r="KA126" s="21" t="n">
        <v>120.241</v>
      </c>
      <c r="KB126" s="21" t="n">
        <v>164.408</v>
      </c>
      <c r="KC126" s="21" t="n">
        <v>82.917</v>
      </c>
      <c r="KD126" s="21" t="n">
        <v>85.949</v>
      </c>
      <c r="KE126" s="21" t="n">
        <v>70.26300000000001</v>
      </c>
      <c r="KF126" s="21" t="n"/>
      <c r="KG126" s="21" t="n">
        <v>28.887</v>
      </c>
      <c r="KH126" s="21" t="n">
        <v>133.09</v>
      </c>
      <c r="KI126" s="21" t="n"/>
      <c r="KJ126" s="21" t="n"/>
      <c r="KK126" s="21" t="n">
        <v>32.844</v>
      </c>
      <c r="KL126" s="21" t="n">
        <v>27.889</v>
      </c>
      <c r="KM126" s="21" t="n">
        <v>37.639</v>
      </c>
      <c r="KN126" s="21" t="n"/>
      <c r="KO126" s="21" t="n">
        <v>92.964</v>
      </c>
      <c r="KP126" s="21" t="n">
        <v>125.284</v>
      </c>
      <c r="KQ126" s="21" t="n">
        <v>208.183</v>
      </c>
      <c r="KR126" s="21" t="n">
        <v>169.861</v>
      </c>
      <c r="KS126" s="21" t="n">
        <v>477.754</v>
      </c>
      <c r="KT126" s="21" t="n">
        <v>235.124</v>
      </c>
      <c r="KU126" s="21" t="n">
        <v>245.213</v>
      </c>
      <c r="KV126" s="21" t="n">
        <v>402.694</v>
      </c>
      <c r="KW126" s="21" t="n">
        <v>296.508</v>
      </c>
      <c r="KX126" s="21" t="n">
        <v>243.451</v>
      </c>
      <c r="KY126" s="21" t="n">
        <v>95.605</v>
      </c>
      <c r="KZ126" s="21" t="n">
        <v>146.395</v>
      </c>
      <c r="LA126" s="21" t="n">
        <v>307.504</v>
      </c>
      <c r="LB126" s="21" t="n">
        <v>769.888</v>
      </c>
      <c r="LC126" s="21" t="n">
        <v>264.007</v>
      </c>
      <c r="LD126" s="21" t="n">
        <v>884.191</v>
      </c>
      <c r="LE126" s="21" t="n">
        <v>949.123</v>
      </c>
      <c r="LF126" s="21" t="n">
        <v>100.856</v>
      </c>
      <c r="LG126" s="21" t="n">
        <v>384.01</v>
      </c>
      <c r="LH126" s="21" t="n">
        <v>277.827</v>
      </c>
      <c r="LI126" s="21" t="n">
        <v>73.133</v>
      </c>
      <c r="LJ126" s="21" t="n">
        <v>248.158</v>
      </c>
      <c r="LK126" s="21" t="n">
        <v>385.411</v>
      </c>
      <c r="LL126" s="21" t="n">
        <v>461.434</v>
      </c>
      <c r="LM126" s="21" t="n">
        <v>68.732</v>
      </c>
      <c r="LN126" s="21" t="n">
        <v>94.51000000000001</v>
      </c>
      <c r="LO126" s="21" t="n">
        <v>46.854</v>
      </c>
      <c r="LP126" s="21" t="n">
        <v>160.465</v>
      </c>
      <c r="LQ126" s="21" t="n"/>
      <c r="LR126" s="21" t="n"/>
      <c r="LS126" s="21" t="n">
        <v>100.703</v>
      </c>
      <c r="LT126" s="21" t="n">
        <v>35.202</v>
      </c>
      <c r="LU126" s="21" t="n">
        <v>24.42</v>
      </c>
      <c r="LV126" s="21" t="n">
        <v>84.765</v>
      </c>
      <c r="LW126" s="21" t="n">
        <v>97.848</v>
      </c>
      <c r="LX126" s="21" t="n">
        <v>38.833</v>
      </c>
      <c r="LY126" s="21" t="n">
        <v>578.0309999999999</v>
      </c>
      <c r="LZ126" s="21" t="n">
        <v>102.789</v>
      </c>
      <c r="MA126" s="21" t="n">
        <v>685.953</v>
      </c>
      <c r="MB126" s="21" t="n">
        <v>350.617</v>
      </c>
      <c r="MC126" s="21" t="n">
        <v>290.478</v>
      </c>
      <c r="MD126" s="21" t="n">
        <v>179.673</v>
      </c>
      <c r="ME126" s="21" t="n">
        <v>123.149</v>
      </c>
      <c r="MF126" s="21" t="n">
        <v>189.399</v>
      </c>
      <c r="MG126" s="21" t="n">
        <v>355.642</v>
      </c>
      <c r="MH126" s="21" t="n">
        <v>217</v>
      </c>
      <c r="MI126" s="21" t="n">
        <v>579.366</v>
      </c>
      <c r="MJ126" s="21" t="n"/>
      <c r="MK126" s="21" t="n">
        <v>404.531</v>
      </c>
      <c r="ML126" s="21" t="n">
        <v>236.657</v>
      </c>
      <c r="MM126" s="21" t="n">
        <v>281.731</v>
      </c>
      <c r="MN126" s="21" t="n">
        <v>452.146</v>
      </c>
      <c r="MO126" s="21" t="n">
        <v>192.152</v>
      </c>
      <c r="MP126" s="21" t="n">
        <v>353.204</v>
      </c>
      <c r="MQ126" s="21" t="n">
        <v>88.441</v>
      </c>
      <c r="MR126" s="21" t="n">
        <v>208.503</v>
      </c>
      <c r="MS126" s="21" t="n"/>
      <c r="MT126" s="21" t="n">
        <v>309.061</v>
      </c>
      <c r="MU126" s="21" t="n">
        <v>328.249</v>
      </c>
      <c r="MV126" s="21" t="n">
        <v>318.804</v>
      </c>
      <c r="MW126" s="21" t="n">
        <v>327.509</v>
      </c>
      <c r="MX126" s="21" t="n">
        <v>288.519</v>
      </c>
      <c r="MY126" s="21" t="n">
        <v>276.298</v>
      </c>
      <c r="MZ126" s="21" t="n">
        <v>279.195</v>
      </c>
      <c r="NA126" s="21" t="n">
        <v>284.537</v>
      </c>
      <c r="NB126" s="21" t="n">
        <v>123.492</v>
      </c>
      <c r="NC126" s="21" t="n">
        <v>224.646</v>
      </c>
      <c r="ND126" s="21" t="n">
        <v>177.506</v>
      </c>
      <c r="NE126" s="21" t="n">
        <v>173.602</v>
      </c>
      <c r="NF126" s="21" t="n">
        <v>166.021</v>
      </c>
      <c r="NG126" s="21" t="n">
        <v>164.039</v>
      </c>
      <c r="NH126" s="21" t="n">
        <v>322.94</v>
      </c>
      <c r="NI126" s="21" t="n">
        <v>123.18</v>
      </c>
      <c r="NJ126" s="21" t="n">
        <v>53.361</v>
      </c>
      <c r="NK126" s="21" t="n">
        <v>123.847</v>
      </c>
      <c r="NL126" s="21" t="n">
        <v>280.097</v>
      </c>
      <c r="NM126" s="21" t="n">
        <v>288.959</v>
      </c>
      <c r="NN126" s="21" t="n">
        <v>106.354</v>
      </c>
      <c r="NO126" s="21" t="n">
        <v>36.208</v>
      </c>
      <c r="NP126" s="21" t="n">
        <v>279.441</v>
      </c>
      <c r="NQ126" s="21" t="n">
        <v>230.536</v>
      </c>
      <c r="NR126" s="21" t="n">
        <v>289.624</v>
      </c>
      <c r="NS126" s="21" t="n">
        <v>226.632</v>
      </c>
      <c r="NT126" s="21" t="n">
        <v>290.844</v>
      </c>
      <c r="NU126" s="21" t="n">
        <v>143.975</v>
      </c>
      <c r="NV126" s="21" t="n">
        <v>162.197</v>
      </c>
      <c r="NW126" s="21" t="n">
        <v>425.136</v>
      </c>
      <c r="NX126" s="21" t="n">
        <v>83.318</v>
      </c>
      <c r="NY126" s="21" t="n">
        <v>155.246</v>
      </c>
      <c r="NZ126" s="21" t="n">
        <v>433.282</v>
      </c>
      <c r="OA126" s="21" t="n">
        <v>417.126</v>
      </c>
      <c r="OB126" s="21" t="n">
        <v>430.841</v>
      </c>
      <c r="OC126" s="21" t="n">
        <v>400.762</v>
      </c>
      <c r="OD126" s="21" t="n">
        <v>430.191</v>
      </c>
      <c r="OE126" s="21" t="n">
        <v>131.606</v>
      </c>
      <c r="OF126" s="21" t="n">
        <v>447.544</v>
      </c>
      <c r="OG126" s="21" t="n">
        <v>267.113</v>
      </c>
      <c r="OH126" s="21" t="n">
        <v>31.93</v>
      </c>
      <c r="OI126" s="21" t="n">
        <v>157.94</v>
      </c>
      <c r="OJ126" s="21" t="n">
        <v>31.1</v>
      </c>
      <c r="OK126" s="21" t="n">
        <v>10.4</v>
      </c>
    </row>
    <row r="127">
      <c r="A127" s="22" t="n">
        <v>45809</v>
      </c>
      <c r="B127" s="21" t="n">
        <v>322.561</v>
      </c>
      <c r="C127" s="21" t="n">
        <v>966.248</v>
      </c>
      <c r="D127" s="21" t="n">
        <v>336.555</v>
      </c>
      <c r="E127" s="21" t="n">
        <v>339.498</v>
      </c>
      <c r="F127" s="21" t="n">
        <v>313.028</v>
      </c>
      <c r="G127" s="21" t="n">
        <v>360.04</v>
      </c>
      <c r="H127" s="21" t="n">
        <v>285.075</v>
      </c>
      <c r="I127" s="21" t="n">
        <v>333.022</v>
      </c>
      <c r="J127" s="21" t="n">
        <v>278.493</v>
      </c>
      <c r="K127" s="21" t="n">
        <v>286.66</v>
      </c>
      <c r="L127" s="21" t="n">
        <v>190.264</v>
      </c>
      <c r="M127" s="21" t="n">
        <v>403.89</v>
      </c>
      <c r="N127" s="21" t="n">
        <v>240.298</v>
      </c>
      <c r="O127" s="21" t="n">
        <v>432.083</v>
      </c>
      <c r="P127" s="21" t="n">
        <v>469.983</v>
      </c>
      <c r="Q127" s="21" t="n">
        <v>242.051</v>
      </c>
      <c r="R127" s="21" t="n">
        <v>378.429</v>
      </c>
      <c r="S127" s="21" t="n">
        <v>403.06</v>
      </c>
      <c r="T127" s="21" t="n">
        <v>353.051</v>
      </c>
      <c r="U127" s="21" t="n">
        <v>362.847</v>
      </c>
      <c r="V127" s="21" t="n">
        <v>411.464</v>
      </c>
      <c r="W127" s="21" t="n">
        <v>440.709</v>
      </c>
      <c r="X127" s="21" t="n">
        <v>349.933</v>
      </c>
      <c r="Y127" s="21" t="n">
        <v>342.058</v>
      </c>
      <c r="Z127" s="21" t="n">
        <v>339.958</v>
      </c>
      <c r="AA127" s="21" t="n">
        <v>351.703</v>
      </c>
      <c r="AB127" s="21" t="n">
        <v>465.866</v>
      </c>
      <c r="AC127" s="21" t="n">
        <v>398.674</v>
      </c>
      <c r="AD127" s="21" t="n">
        <v>377.83</v>
      </c>
      <c r="AE127" s="21" t="n">
        <v>313.22</v>
      </c>
      <c r="AF127" s="21" t="n">
        <v>377.115</v>
      </c>
      <c r="AG127" s="21" t="n">
        <v>269.386</v>
      </c>
      <c r="AH127" s="21" t="n">
        <v>206.433</v>
      </c>
      <c r="AI127" s="21" t="n">
        <v>386.598</v>
      </c>
      <c r="AJ127" s="21" t="n">
        <v>190.324</v>
      </c>
      <c r="AK127" s="21" t="n">
        <v>248.12</v>
      </c>
      <c r="AL127" s="21" t="n">
        <v>274.736</v>
      </c>
      <c r="AM127" s="21" t="n">
        <v>245.568</v>
      </c>
      <c r="AN127" s="21" t="n">
        <v>160.697</v>
      </c>
      <c r="AO127" s="21" t="n">
        <v>287.157</v>
      </c>
      <c r="AP127" s="21" t="n">
        <v>303.924</v>
      </c>
      <c r="AQ127" s="21" t="n">
        <v>182.844</v>
      </c>
      <c r="AR127" s="21" t="n"/>
      <c r="AS127" s="21" t="n"/>
      <c r="AT127" s="21" t="n">
        <v>315.693</v>
      </c>
      <c r="AU127" s="21" t="n">
        <v>202.872</v>
      </c>
      <c r="AV127" s="21" t="n">
        <v>334.793</v>
      </c>
      <c r="AW127" s="21" t="n">
        <v>303.429</v>
      </c>
      <c r="AX127" s="21" t="n">
        <v>206.087</v>
      </c>
      <c r="AY127" s="21" t="n">
        <v>356.657</v>
      </c>
      <c r="AZ127" s="21" t="n">
        <v>224.377</v>
      </c>
      <c r="BA127" s="21" t="n">
        <v>175.508</v>
      </c>
      <c r="BB127" s="21" t="n">
        <v>247.366</v>
      </c>
      <c r="BC127" s="21" t="n">
        <v>385.969</v>
      </c>
      <c r="BD127" s="21" t="n">
        <v>372.296</v>
      </c>
      <c r="BE127" s="21" t="n">
        <v>270.626</v>
      </c>
      <c r="BF127" s="21" t="n">
        <v>177.239</v>
      </c>
      <c r="BG127" s="21" t="n">
        <v>249.416</v>
      </c>
      <c r="BH127" s="21" t="n">
        <v>185.38</v>
      </c>
      <c r="BI127" s="21" t="n">
        <v>268.617</v>
      </c>
      <c r="BJ127" s="21" t="n">
        <v>274.499</v>
      </c>
      <c r="BK127" s="21" t="n">
        <v>190.37</v>
      </c>
      <c r="BL127" s="21" t="n">
        <v>351.414</v>
      </c>
      <c r="BM127" s="21" t="n">
        <v>394.344</v>
      </c>
      <c r="BN127" s="21" t="n">
        <v>414.441</v>
      </c>
      <c r="BO127" s="21" t="n">
        <v>362.831</v>
      </c>
      <c r="BP127" s="21" t="n">
        <v>214.951</v>
      </c>
      <c r="BQ127" s="21" t="n">
        <v>295.414</v>
      </c>
      <c r="BR127" s="21" t="n">
        <v>606.752</v>
      </c>
      <c r="BS127" s="21" t="n">
        <v>142.167</v>
      </c>
      <c r="BT127" s="21" t="n">
        <v>372.611</v>
      </c>
      <c r="BU127" s="21" t="n">
        <v>433.034</v>
      </c>
      <c r="BV127" s="21" t="n">
        <v>388.879</v>
      </c>
      <c r="BW127" s="21" t="n">
        <v>331.249</v>
      </c>
      <c r="BX127" s="21" t="n">
        <v>372.648</v>
      </c>
      <c r="BY127" s="21" t="n">
        <v>206.788</v>
      </c>
      <c r="BZ127" s="21" t="n">
        <v>224.448</v>
      </c>
      <c r="CA127" s="21" t="n">
        <v>211.275</v>
      </c>
      <c r="CB127" s="21" t="n">
        <v>241.096</v>
      </c>
      <c r="CC127" s="21" t="n">
        <v>185.055</v>
      </c>
      <c r="CD127" s="21" t="n">
        <v>258.583</v>
      </c>
      <c r="CE127" s="21" t="n">
        <v>197.186</v>
      </c>
      <c r="CF127" s="21" t="n">
        <v>242.189</v>
      </c>
      <c r="CG127" s="21" t="n">
        <v>229.103</v>
      </c>
      <c r="CH127" s="21" t="n">
        <v>180.04</v>
      </c>
      <c r="CI127" s="21" t="n">
        <v>233.898</v>
      </c>
      <c r="CJ127" s="21" t="n">
        <v>271.676</v>
      </c>
      <c r="CK127" s="21" t="n">
        <v>158.513</v>
      </c>
      <c r="CL127" s="21" t="n">
        <v>153.569</v>
      </c>
      <c r="CM127" s="21" t="n">
        <v>264.989</v>
      </c>
      <c r="CN127" s="21" t="n">
        <v>276.856</v>
      </c>
      <c r="CO127" s="21" t="n">
        <v>255.894</v>
      </c>
      <c r="CP127" s="21" t="n">
        <v>164.005</v>
      </c>
      <c r="CQ127" s="21" t="n">
        <v>277.737</v>
      </c>
      <c r="CR127" s="21" t="n">
        <v>304.351</v>
      </c>
      <c r="CS127" s="21" t="n">
        <v>278.97</v>
      </c>
      <c r="CT127" s="21" t="n">
        <v>209.937</v>
      </c>
      <c r="CU127" s="21" t="n">
        <v>196.122</v>
      </c>
      <c r="CV127" s="21" t="n">
        <v>315.588</v>
      </c>
      <c r="CW127" s="21" t="n">
        <v>279.194</v>
      </c>
      <c r="CX127" s="21" t="n">
        <v>317.389</v>
      </c>
      <c r="CY127" s="21" t="n">
        <v>476.094</v>
      </c>
      <c r="CZ127" s="21" t="n">
        <v>172.779</v>
      </c>
      <c r="DA127" s="21" t="n">
        <v>226.246</v>
      </c>
      <c r="DB127" s="21" t="n">
        <v>194.585</v>
      </c>
      <c r="DC127" s="21" t="n">
        <v>291.243</v>
      </c>
      <c r="DD127" s="21" t="n">
        <v>330.598</v>
      </c>
      <c r="DE127" s="21" t="n">
        <v>215.374</v>
      </c>
      <c r="DF127" s="21" t="n">
        <v>311.349</v>
      </c>
      <c r="DG127" s="21" t="n">
        <v>318.887</v>
      </c>
      <c r="DH127" s="21" t="n">
        <v>189.691</v>
      </c>
      <c r="DI127" s="21" t="n">
        <v>198.883</v>
      </c>
      <c r="DJ127" s="21" t="n">
        <v>187.984</v>
      </c>
      <c r="DK127" s="21" t="n">
        <v>399.364</v>
      </c>
      <c r="DL127" s="21" t="n">
        <v>229.612</v>
      </c>
      <c r="DM127" s="21" t="n">
        <v>172.112</v>
      </c>
      <c r="DN127" s="21" t="n">
        <v>159.233</v>
      </c>
      <c r="DO127" s="21" t="n">
        <v>382.75</v>
      </c>
      <c r="DP127" s="21" t="n">
        <v>235.929</v>
      </c>
      <c r="DQ127" s="21" t="n">
        <v>251.002</v>
      </c>
      <c r="DR127" s="21" t="n">
        <v>213.867</v>
      </c>
      <c r="DS127" s="21" t="n"/>
      <c r="DT127" s="21" t="n">
        <v>244.447</v>
      </c>
      <c r="DU127" s="21" t="n">
        <v>255.295</v>
      </c>
      <c r="DV127" s="21" t="n">
        <v>294.883</v>
      </c>
      <c r="DW127" s="21" t="n">
        <v>229.613</v>
      </c>
      <c r="DX127" s="21" t="n">
        <v>276.944</v>
      </c>
      <c r="DY127" s="21" t="n">
        <v>211.676</v>
      </c>
      <c r="DZ127" s="21" t="n">
        <v>219.477</v>
      </c>
      <c r="EA127" s="21" t="n">
        <v>207.329</v>
      </c>
      <c r="EB127" s="21" t="n">
        <v>181.298</v>
      </c>
      <c r="EC127" s="21" t="n">
        <v>441.919</v>
      </c>
      <c r="ED127" s="21" t="n">
        <v>215.494</v>
      </c>
      <c r="EE127" s="21" t="n">
        <v>239.369</v>
      </c>
      <c r="EF127" s="21" t="n">
        <v>246.758</v>
      </c>
      <c r="EG127" s="21" t="n">
        <v>347.593</v>
      </c>
      <c r="EH127" s="21" t="n">
        <v>415.455</v>
      </c>
      <c r="EI127" s="21" t="n">
        <v>434.594</v>
      </c>
      <c r="EJ127" s="21" t="n">
        <v>192.347</v>
      </c>
      <c r="EK127" s="21" t="n">
        <v>660.0359999999999</v>
      </c>
      <c r="EL127" s="21" t="n">
        <v>394.725</v>
      </c>
      <c r="EM127" s="21" t="n">
        <v>427.47</v>
      </c>
      <c r="EN127" s="21" t="n">
        <v>427.475</v>
      </c>
      <c r="EO127" s="21" t="n">
        <v>165.254</v>
      </c>
      <c r="EP127" s="21" t="n">
        <v>337.495</v>
      </c>
      <c r="EQ127" s="21" t="n">
        <v>284.631</v>
      </c>
      <c r="ER127" s="21" t="n">
        <v>351.093</v>
      </c>
      <c r="ES127" s="21" t="n">
        <v>339.767</v>
      </c>
      <c r="ET127" s="21" t="n">
        <v>418.268</v>
      </c>
      <c r="EU127" s="21" t="n">
        <v>291.093</v>
      </c>
      <c r="EV127" s="21" t="n">
        <v>299.728</v>
      </c>
      <c r="EW127" s="21" t="n">
        <v>259.734</v>
      </c>
      <c r="EX127" s="21" t="n">
        <v>316.851</v>
      </c>
      <c r="EY127" s="21" t="n">
        <v>724.99</v>
      </c>
      <c r="EZ127" s="21" t="n">
        <v>648.477</v>
      </c>
      <c r="FA127" s="21" t="n">
        <v>152.394</v>
      </c>
      <c r="FB127" s="21" t="n">
        <v>62.977</v>
      </c>
      <c r="FC127" s="21" t="n">
        <v>131.499</v>
      </c>
      <c r="FD127" s="21" t="n">
        <v>84.375</v>
      </c>
      <c r="FE127" s="21" t="n">
        <v>43.204</v>
      </c>
      <c r="FF127" s="21" t="n">
        <v>132.186</v>
      </c>
      <c r="FG127" s="21" t="n">
        <v>141.287</v>
      </c>
      <c r="FH127" s="21" t="n">
        <v>109.246</v>
      </c>
      <c r="FI127" s="21" t="n">
        <v>75.57899999999999</v>
      </c>
      <c r="FJ127" s="21" t="n"/>
      <c r="FK127" s="21" t="n">
        <v>86.093</v>
      </c>
      <c r="FL127" s="21" t="n">
        <v>92.822</v>
      </c>
      <c r="FM127" s="21" t="n">
        <v>113.593</v>
      </c>
      <c r="FN127" s="21" t="n">
        <v>74.999</v>
      </c>
      <c r="FO127" s="21" t="n">
        <v>55.733</v>
      </c>
      <c r="FP127" s="21" t="n">
        <v>41.613</v>
      </c>
      <c r="FQ127" s="21" t="n">
        <v>163.548</v>
      </c>
      <c r="FR127" s="21" t="n">
        <v>42.087</v>
      </c>
      <c r="FS127" s="21" t="n">
        <v>78.66500000000001</v>
      </c>
      <c r="FT127" s="21" t="n">
        <v>112.158</v>
      </c>
      <c r="FU127" s="21" t="n">
        <v>124.616</v>
      </c>
      <c r="FV127" s="21" t="n">
        <v>106.591</v>
      </c>
      <c r="FW127" s="21" t="n">
        <v>237.529</v>
      </c>
      <c r="FX127" s="21" t="n">
        <v>151.282</v>
      </c>
      <c r="FY127" s="21" t="n">
        <v>238.857</v>
      </c>
      <c r="FZ127" s="21" t="n">
        <v>140.688</v>
      </c>
      <c r="GA127" s="21" t="n"/>
      <c r="GB127" s="21" t="n"/>
      <c r="GC127" s="21" t="n"/>
      <c r="GD127" s="21" t="n">
        <v>211.1</v>
      </c>
      <c r="GE127" s="21" t="n"/>
      <c r="GF127" s="21" t="n">
        <v>130.844</v>
      </c>
      <c r="GG127" s="21" t="n">
        <v>129.73</v>
      </c>
      <c r="GH127" s="21" t="n">
        <v>132.255</v>
      </c>
      <c r="GI127" s="21" t="n">
        <v>98.459</v>
      </c>
      <c r="GJ127" s="21" t="n">
        <v>185.137</v>
      </c>
      <c r="GK127" s="21" t="n">
        <v>80.622</v>
      </c>
      <c r="GL127" s="21" t="n">
        <v>139.794</v>
      </c>
      <c r="GM127" s="21" t="n">
        <v>117.991</v>
      </c>
      <c r="GN127" s="21" t="n">
        <v>108.557</v>
      </c>
      <c r="GO127" s="21" t="n">
        <v>110.136</v>
      </c>
      <c r="GP127" s="21" t="n">
        <v>101.102</v>
      </c>
      <c r="GQ127" s="21" t="n">
        <v>107.995</v>
      </c>
      <c r="GR127" s="21" t="n">
        <v>73.379</v>
      </c>
      <c r="GS127" s="21" t="n">
        <v>115.083</v>
      </c>
      <c r="GT127" s="21" t="n">
        <v>101.387</v>
      </c>
      <c r="GU127" s="21" t="n">
        <v>144.794</v>
      </c>
      <c r="GV127" s="21" t="n">
        <v>150.586</v>
      </c>
      <c r="GW127" s="21" t="n">
        <v>161.683</v>
      </c>
      <c r="GX127" s="21" t="n">
        <v>132.088</v>
      </c>
      <c r="GY127" s="21" t="n">
        <v>120.4</v>
      </c>
      <c r="GZ127" s="21" t="n">
        <v>199.621</v>
      </c>
      <c r="HA127" s="21" t="n">
        <v>160.548</v>
      </c>
      <c r="HB127" s="21" t="n">
        <v>198.064</v>
      </c>
      <c r="HC127" s="21" t="n">
        <v>273.391</v>
      </c>
      <c r="HD127" s="21" t="n">
        <v>273.742</v>
      </c>
      <c r="HE127" s="21" t="n">
        <v>126.483</v>
      </c>
      <c r="HF127" s="21" t="n">
        <v>178.443</v>
      </c>
      <c r="HG127" s="21" t="n"/>
      <c r="HH127" s="21" t="n">
        <v>173.567</v>
      </c>
      <c r="HI127" s="21" t="n">
        <v>190.436</v>
      </c>
      <c r="HJ127" s="21" t="n"/>
      <c r="HK127" s="21" t="n">
        <v>186.671</v>
      </c>
      <c r="HL127" s="21" t="n">
        <v>115.033</v>
      </c>
      <c r="HM127" s="21" t="n">
        <v>178.366</v>
      </c>
      <c r="HN127" s="21" t="n">
        <v>283.75</v>
      </c>
      <c r="HO127" s="21" t="n">
        <v>282.914</v>
      </c>
      <c r="HP127" s="21" t="n">
        <v>275.373</v>
      </c>
      <c r="HQ127" s="21" t="n">
        <v>314.206</v>
      </c>
      <c r="HR127" s="21" t="n">
        <v>312.134</v>
      </c>
      <c r="HS127" s="21" t="n">
        <v>265.79</v>
      </c>
      <c r="HT127" s="21" t="n">
        <v>184.509</v>
      </c>
      <c r="HU127" s="21" t="n">
        <v>156.623</v>
      </c>
      <c r="HV127" s="21" t="n">
        <v>221.68</v>
      </c>
      <c r="HW127" s="21" t="n">
        <v>205.103</v>
      </c>
      <c r="HX127" s="21" t="n">
        <v>483.153</v>
      </c>
      <c r="HY127" s="21" t="n">
        <v>427.256</v>
      </c>
      <c r="HZ127" s="21" t="n">
        <v>433.379</v>
      </c>
      <c r="IA127" s="21" t="n">
        <v>360.426</v>
      </c>
      <c r="IB127" s="21" t="n">
        <v>289.374</v>
      </c>
      <c r="IC127" s="21" t="n">
        <v>895.2809999999999</v>
      </c>
      <c r="ID127" s="21" t="n">
        <v>214.739</v>
      </c>
      <c r="IE127" s="21" t="n">
        <v>200.464</v>
      </c>
      <c r="IF127" s="21" t="n">
        <v>237.392</v>
      </c>
      <c r="IG127" s="21" t="n">
        <v>287.324</v>
      </c>
      <c r="IH127" s="21" t="n"/>
      <c r="II127" s="21" t="n">
        <v>258.924</v>
      </c>
      <c r="IJ127" s="21" t="n">
        <v>255.852</v>
      </c>
      <c r="IK127" s="21" t="n">
        <v>160.265</v>
      </c>
      <c r="IL127" s="21" t="n"/>
      <c r="IM127" s="21" t="n"/>
      <c r="IN127" s="21" t="n">
        <v>62.892</v>
      </c>
      <c r="IO127" s="21" t="n">
        <v>340.502</v>
      </c>
      <c r="IP127" s="21" t="n">
        <v>134.037</v>
      </c>
      <c r="IQ127" s="21" t="n">
        <v>580.978</v>
      </c>
      <c r="IR127" s="21" t="n">
        <v>417.575</v>
      </c>
      <c r="IS127" s="21" t="n">
        <v>136.598</v>
      </c>
      <c r="IT127" s="21" t="n">
        <v>569.098</v>
      </c>
      <c r="IU127" s="21" t="n">
        <v>110.129</v>
      </c>
      <c r="IV127" s="21" t="n">
        <v>111.024</v>
      </c>
      <c r="IW127" s="21" t="n">
        <v>633.659</v>
      </c>
      <c r="IX127" s="21" t="n">
        <v>439.338</v>
      </c>
      <c r="IY127" s="21" t="n">
        <v>428.398</v>
      </c>
      <c r="IZ127" s="21" t="n">
        <v>614.187</v>
      </c>
      <c r="JA127" s="21" t="n">
        <v>215.51</v>
      </c>
      <c r="JB127" s="21" t="n">
        <v>267.845</v>
      </c>
      <c r="JC127" s="21" t="n">
        <v>103.82</v>
      </c>
      <c r="JD127" s="21" t="n">
        <v>435.037</v>
      </c>
      <c r="JE127" s="21" t="n"/>
      <c r="JF127" s="21" t="n">
        <v>955.5119999999999</v>
      </c>
      <c r="JG127" s="21" t="n">
        <v>300.47</v>
      </c>
      <c r="JH127" s="21" t="n">
        <v>175.343</v>
      </c>
      <c r="JI127" s="21" t="n">
        <v>148.38</v>
      </c>
      <c r="JJ127" s="21" t="n">
        <v>140.961</v>
      </c>
      <c r="JK127" s="21" t="n">
        <v>119.992</v>
      </c>
      <c r="JL127" s="21" t="n">
        <v>95.25700000000001</v>
      </c>
      <c r="JM127" s="21" t="n">
        <v>596.947</v>
      </c>
      <c r="JN127" s="21" t="n">
        <v>106.039</v>
      </c>
      <c r="JO127" s="21" t="n">
        <v>78.63200000000001</v>
      </c>
      <c r="JP127" s="21" t="n">
        <v>43.119</v>
      </c>
      <c r="JQ127" s="21" t="n">
        <v>172.851</v>
      </c>
      <c r="JR127" s="21" t="n">
        <v>27.535</v>
      </c>
      <c r="JS127" s="21" t="n">
        <v>87.961</v>
      </c>
      <c r="JT127" s="21" t="n">
        <v>228.744</v>
      </c>
      <c r="JU127" s="21" t="n">
        <v>240.787</v>
      </c>
      <c r="JV127" s="21" t="n">
        <v>191.23</v>
      </c>
      <c r="JW127" s="21" t="n">
        <v>131.571</v>
      </c>
      <c r="JX127" s="21" t="n">
        <v>362.86</v>
      </c>
      <c r="JY127" s="21" t="n">
        <v>266.759</v>
      </c>
      <c r="JZ127" s="21" t="n">
        <v>392.506</v>
      </c>
      <c r="KA127" s="21" t="n">
        <v>121.927</v>
      </c>
      <c r="KB127" s="21" t="n">
        <v>166.053</v>
      </c>
      <c r="KC127" s="21" t="n">
        <v>84.44499999999999</v>
      </c>
      <c r="KD127" s="21" t="n">
        <v>84.41</v>
      </c>
      <c r="KE127" s="21" t="n">
        <v>70.64400000000001</v>
      </c>
      <c r="KF127" s="21" t="n"/>
      <c r="KG127" s="21" t="n">
        <v>29.044</v>
      </c>
      <c r="KH127" s="21" t="n">
        <v>129.585</v>
      </c>
      <c r="KI127" s="21" t="n"/>
      <c r="KJ127" s="21" t="n"/>
      <c r="KK127" s="21" t="n">
        <v>33.155</v>
      </c>
      <c r="KL127" s="21" t="n">
        <v>28.272</v>
      </c>
      <c r="KM127" s="21" t="n">
        <v>38.187</v>
      </c>
      <c r="KN127" s="21" t="n"/>
      <c r="KO127" s="21" t="n">
        <v>89.517</v>
      </c>
      <c r="KP127" s="21" t="n">
        <v>125.568</v>
      </c>
      <c r="KQ127" s="21" t="n">
        <v>208.192</v>
      </c>
      <c r="KR127" s="21" t="n">
        <v>169.764</v>
      </c>
      <c r="KS127" s="21" t="n">
        <v>476.985</v>
      </c>
      <c r="KT127" s="21" t="n">
        <v>234.471</v>
      </c>
      <c r="KU127" s="21" t="n">
        <v>241.591</v>
      </c>
      <c r="KV127" s="21" t="n">
        <v>408.125</v>
      </c>
      <c r="KW127" s="21" t="n">
        <v>293.431</v>
      </c>
      <c r="KX127" s="21" t="n">
        <v>231.956</v>
      </c>
      <c r="KY127" s="21" t="n">
        <v>99.282</v>
      </c>
      <c r="KZ127" s="21" t="n">
        <v>146.592</v>
      </c>
      <c r="LA127" s="21" t="n">
        <v>308.25</v>
      </c>
      <c r="LB127" s="21" t="n">
        <v>766.716</v>
      </c>
      <c r="LC127" s="21" t="n">
        <v>261.964</v>
      </c>
      <c r="LD127" s="21" t="n">
        <v>886.431</v>
      </c>
      <c r="LE127" s="21" t="n">
        <v>950.597</v>
      </c>
      <c r="LF127" s="21" t="n">
        <v>101.989</v>
      </c>
      <c r="LG127" s="21" t="n">
        <v>383.931</v>
      </c>
      <c r="LH127" s="21" t="n">
        <v>277.824</v>
      </c>
      <c r="LI127" s="21" t="n">
        <v>73.167</v>
      </c>
      <c r="LJ127" s="21" t="n">
        <v>248.167</v>
      </c>
      <c r="LK127" s="21" t="n">
        <v>385.411</v>
      </c>
      <c r="LL127" s="21" t="n">
        <v>461.878</v>
      </c>
      <c r="LM127" s="21" t="n">
        <v>68.764</v>
      </c>
      <c r="LN127" s="21" t="n">
        <v>94.255</v>
      </c>
      <c r="LO127" s="21" t="n">
        <v>46.663</v>
      </c>
      <c r="LP127" s="21" t="n">
        <v>161.658</v>
      </c>
      <c r="LQ127" s="21" t="n"/>
      <c r="LR127" s="21" t="n"/>
      <c r="LS127" s="21" t="n">
        <v>101.029</v>
      </c>
      <c r="LT127" s="21" t="n">
        <v>35.685</v>
      </c>
      <c r="LU127" s="21" t="n">
        <v>24.374</v>
      </c>
      <c r="LV127" s="21" t="n">
        <v>85.18300000000001</v>
      </c>
      <c r="LW127" s="21" t="n">
        <v>97.148</v>
      </c>
      <c r="LX127" s="21" t="n">
        <v>38.849</v>
      </c>
      <c r="LY127" s="21" t="n">
        <v>580.544</v>
      </c>
      <c r="LZ127" s="21" t="n">
        <v>103.335</v>
      </c>
      <c r="MA127" s="21" t="n">
        <v>687.9880000000001</v>
      </c>
      <c r="MB127" s="21" t="n">
        <v>355.09</v>
      </c>
      <c r="MC127" s="21" t="n">
        <v>291.684</v>
      </c>
      <c r="MD127" s="21" t="n">
        <v>179.83</v>
      </c>
      <c r="ME127" s="21" t="n">
        <v>122.082</v>
      </c>
      <c r="MF127" s="21" t="n">
        <v>191.072</v>
      </c>
      <c r="MG127" s="21" t="n">
        <v>357.641</v>
      </c>
      <c r="MH127" s="21" t="n">
        <v>218.219</v>
      </c>
      <c r="MI127" s="21" t="n">
        <v>583.004</v>
      </c>
      <c r="MJ127" s="21" t="n"/>
      <c r="MK127" s="21" t="n">
        <v>404.54</v>
      </c>
      <c r="ML127" s="21" t="n">
        <v>240.402</v>
      </c>
      <c r="MM127" s="21" t="n">
        <v>287.038</v>
      </c>
      <c r="MN127" s="21" t="n">
        <v>451.87</v>
      </c>
      <c r="MO127" s="21" t="n">
        <v>192.152</v>
      </c>
      <c r="MP127" s="21" t="n">
        <v>352.945</v>
      </c>
      <c r="MQ127" s="21" t="n">
        <v>88.28100000000001</v>
      </c>
      <c r="MR127" s="21" t="n">
        <v>206.476</v>
      </c>
      <c r="MS127" s="21" t="n"/>
      <c r="MT127" s="21" t="n">
        <v>310.079</v>
      </c>
      <c r="MU127" s="21" t="n">
        <v>329.109</v>
      </c>
      <c r="MV127" s="21" t="n">
        <v>319.929</v>
      </c>
      <c r="MW127" s="21" t="n">
        <v>328.364</v>
      </c>
      <c r="MX127" s="21" t="n">
        <v>289.751</v>
      </c>
      <c r="MY127" s="21" t="n">
        <v>277.596</v>
      </c>
      <c r="MZ127" s="21" t="n">
        <v>280.094</v>
      </c>
      <c r="NA127" s="21" t="n">
        <v>285.29</v>
      </c>
      <c r="NB127" s="21" t="n">
        <v>122.85</v>
      </c>
      <c r="NC127" s="21" t="n">
        <v>225.355</v>
      </c>
      <c r="ND127" s="21" t="n">
        <v>178.12</v>
      </c>
      <c r="NE127" s="21" t="n">
        <v>174.216</v>
      </c>
      <c r="NF127" s="21" t="n">
        <v>166.655</v>
      </c>
      <c r="NG127" s="21" t="n">
        <v>164.445</v>
      </c>
      <c r="NH127" s="21" t="n">
        <v>323.064</v>
      </c>
      <c r="NI127" s="21" t="n">
        <v>123.81</v>
      </c>
      <c r="NJ127" s="21" t="n">
        <v>53.401</v>
      </c>
      <c r="NK127" s="21" t="n">
        <v>124.025</v>
      </c>
      <c r="NL127" s="21" t="n">
        <v>284.307</v>
      </c>
      <c r="NM127" s="21" t="n">
        <v>289.326</v>
      </c>
      <c r="NN127" s="21" t="n">
        <v>107.426</v>
      </c>
      <c r="NO127" s="21" t="n">
        <v>36.246</v>
      </c>
      <c r="NP127" s="21" t="n">
        <v>280.087</v>
      </c>
      <c r="NQ127" s="21" t="n">
        <v>230.973</v>
      </c>
      <c r="NR127" s="21" t="n">
        <v>290.558</v>
      </c>
      <c r="NS127" s="21" t="n">
        <v>227.071</v>
      </c>
      <c r="NT127" s="21" t="n">
        <v>291.835</v>
      </c>
      <c r="NU127" s="21" t="n">
        <v>144.294</v>
      </c>
      <c r="NV127" s="21" t="n">
        <v>163.172</v>
      </c>
      <c r="NW127" s="21" t="n">
        <v>425.829</v>
      </c>
      <c r="NX127" s="21" t="n">
        <v>83.916</v>
      </c>
      <c r="NY127" s="21" t="n">
        <v>155.217</v>
      </c>
      <c r="NZ127" s="21" t="n">
        <v>434.033</v>
      </c>
      <c r="OA127" s="21" t="n">
        <v>418.608</v>
      </c>
      <c r="OB127" s="21" t="n">
        <v>431.8</v>
      </c>
      <c r="OC127" s="21" t="n">
        <v>402.092</v>
      </c>
      <c r="OD127" s="21" t="n">
        <v>432.672</v>
      </c>
      <c r="OE127" s="21" t="n">
        <v>132.113</v>
      </c>
      <c r="OF127" s="21" t="n">
        <v>447.222</v>
      </c>
      <c r="OG127" s="21" t="n">
        <v>269.761</v>
      </c>
      <c r="OH127" s="21" t="n">
        <v>32.322</v>
      </c>
      <c r="OI127" s="21" t="n">
        <v>157.873</v>
      </c>
      <c r="OJ127" s="21" t="n">
        <v>31</v>
      </c>
      <c r="OK127" s="21" t="n">
        <v>10.3</v>
      </c>
    </row>
    <row r="128">
      <c r="A128" s="22" t="n">
        <v>45839</v>
      </c>
      <c r="B128" s="21" t="n">
        <v>323.048</v>
      </c>
      <c r="C128" s="21" t="n">
        <v>967.707</v>
      </c>
      <c r="D128" s="21" t="n">
        <v>337.077</v>
      </c>
      <c r="E128" s="21" t="n">
        <v>340.036</v>
      </c>
      <c r="F128" s="21" t="n">
        <v>313.263</v>
      </c>
      <c r="G128" s="21" t="n">
        <v>360.048</v>
      </c>
      <c r="H128" s="21" t="n">
        <v>283.665</v>
      </c>
      <c r="I128" s="21" t="n">
        <v>329.727</v>
      </c>
      <c r="J128" s="21" t="n">
        <v>276.469</v>
      </c>
      <c r="K128" s="21" t="n">
        <v>286.128</v>
      </c>
      <c r="L128" s="21" t="n">
        <v>188.251</v>
      </c>
      <c r="M128" s="21" t="n">
        <v>404.764</v>
      </c>
      <c r="N128" s="21" t="n">
        <v>241.244</v>
      </c>
      <c r="O128" s="21" t="n">
        <v>431.583</v>
      </c>
      <c r="P128" s="21" t="n">
        <v>475.558</v>
      </c>
      <c r="Q128" s="21" t="n">
        <v>241.018</v>
      </c>
      <c r="R128" s="21" t="n">
        <v>384.948</v>
      </c>
      <c r="S128" s="21" t="n">
        <v>401.536</v>
      </c>
      <c r="T128" s="21" t="n">
        <v>367.752</v>
      </c>
      <c r="U128" s="21" t="n">
        <v>360.341</v>
      </c>
      <c r="V128" s="21" t="n">
        <v>403.974</v>
      </c>
      <c r="W128" s="21" t="n">
        <v>437.32</v>
      </c>
      <c r="X128" s="21" t="n">
        <v>344.193</v>
      </c>
      <c r="Y128" s="21" t="n">
        <v>344.155</v>
      </c>
      <c r="Z128" s="21" t="n">
        <v>343.534</v>
      </c>
      <c r="AA128" s="21" t="n">
        <v>357.909</v>
      </c>
      <c r="AB128" s="21" t="n">
        <v>477.484</v>
      </c>
      <c r="AC128" s="21" t="n">
        <v>408.345</v>
      </c>
      <c r="AD128" s="21" t="n">
        <v>386.006</v>
      </c>
      <c r="AE128" s="21" t="n">
        <v>322.293</v>
      </c>
      <c r="AF128" s="21" t="n">
        <v>385.252</v>
      </c>
      <c r="AG128" s="21" t="n">
        <v>272.994</v>
      </c>
      <c r="AH128" s="21" t="n">
        <v>208.508</v>
      </c>
      <c r="AI128" s="21" t="n">
        <v>393.837</v>
      </c>
      <c r="AJ128" s="21" t="n">
        <v>189.874</v>
      </c>
      <c r="AK128" s="21" t="n">
        <v>258.243</v>
      </c>
      <c r="AL128" s="21" t="n">
        <v>286.172</v>
      </c>
      <c r="AM128" s="21" t="n">
        <v>250.37</v>
      </c>
      <c r="AN128" s="21" t="n">
        <v>160.845</v>
      </c>
      <c r="AO128" s="21" t="n">
        <v>288.707</v>
      </c>
      <c r="AP128" s="21" t="n">
        <v>301.48</v>
      </c>
      <c r="AQ128" s="21" t="n">
        <v>186.262</v>
      </c>
      <c r="AR128" s="21" t="n"/>
      <c r="AS128" s="21" t="n"/>
      <c r="AT128" s="21" t="n">
        <v>315.235</v>
      </c>
      <c r="AU128" s="21" t="n">
        <v>202.084</v>
      </c>
      <c r="AV128" s="21" t="n">
        <v>334.086</v>
      </c>
      <c r="AW128" s="21" t="n">
        <v>302.55</v>
      </c>
      <c r="AX128" s="21" t="n">
        <v>207.295</v>
      </c>
      <c r="AY128" s="21" t="n">
        <v>355.725</v>
      </c>
      <c r="AZ128" s="21" t="n">
        <v>223.282</v>
      </c>
      <c r="BA128" s="21" t="n">
        <v>175.603</v>
      </c>
      <c r="BB128" s="21" t="n">
        <v>246.106</v>
      </c>
      <c r="BC128" s="21" t="n">
        <v>388.156</v>
      </c>
      <c r="BD128" s="21" t="n">
        <v>359.678</v>
      </c>
      <c r="BE128" s="21" t="n">
        <v>272.586</v>
      </c>
      <c r="BF128" s="21" t="n">
        <v>180.534</v>
      </c>
      <c r="BG128" s="21" t="n">
        <v>255.612</v>
      </c>
      <c r="BH128" s="21" t="n">
        <v>188.123</v>
      </c>
      <c r="BI128" s="21" t="n">
        <v>267.656</v>
      </c>
      <c r="BJ128" s="21" t="n">
        <v>272.558</v>
      </c>
      <c r="BK128" s="21" t="n">
        <v>194.768</v>
      </c>
      <c r="BL128" s="21" t="n">
        <v>351.764</v>
      </c>
      <c r="BM128" s="21" t="n">
        <v>394.191</v>
      </c>
      <c r="BN128" s="21" t="n">
        <v>407.405</v>
      </c>
      <c r="BO128" s="21" t="n">
        <v>358.486</v>
      </c>
      <c r="BP128" s="21" t="n">
        <v>215.742</v>
      </c>
      <c r="BQ128" s="21" t="n">
        <v>304.171</v>
      </c>
      <c r="BR128" s="21" t="n">
        <v>631.129</v>
      </c>
      <c r="BS128" s="21" t="n">
        <v>137.05</v>
      </c>
      <c r="BT128" s="21" t="n">
        <v>378.949</v>
      </c>
      <c r="BU128" s="21" t="n">
        <v>432.357</v>
      </c>
      <c r="BV128" s="21" t="n">
        <v>405.875</v>
      </c>
      <c r="BW128" s="21" t="n">
        <v>337.34</v>
      </c>
      <c r="BX128" s="21" t="n">
        <v>378.629</v>
      </c>
      <c r="BY128" s="21" t="n">
        <v>208.379</v>
      </c>
      <c r="BZ128" s="21" t="n">
        <v>225.429</v>
      </c>
      <c r="CA128" s="21" t="n">
        <v>212.766</v>
      </c>
      <c r="CB128" s="21" t="n">
        <v>241.936</v>
      </c>
      <c r="CC128" s="21" t="n">
        <v>187.056</v>
      </c>
      <c r="CD128" s="21" t="n">
        <v>261.396</v>
      </c>
      <c r="CE128" s="21" t="n">
        <v>198.99</v>
      </c>
      <c r="CF128" s="21" t="n">
        <v>243.925</v>
      </c>
      <c r="CG128" s="21" t="n">
        <v>228.011</v>
      </c>
      <c r="CH128" s="21" t="n">
        <v>177.758</v>
      </c>
      <c r="CI128" s="21" t="n">
        <v>231.661</v>
      </c>
      <c r="CJ128" s="21" t="n">
        <v>286.113</v>
      </c>
      <c r="CK128" s="21" t="n">
        <v>155.77</v>
      </c>
      <c r="CL128" s="21" t="n">
        <v>155.627</v>
      </c>
      <c r="CM128" s="21" t="n">
        <v>271.825</v>
      </c>
      <c r="CN128" s="21" t="n">
        <v>284.083</v>
      </c>
      <c r="CO128" s="21" t="n">
        <v>260.112</v>
      </c>
      <c r="CP128" s="21" t="n">
        <v>163.955</v>
      </c>
      <c r="CQ128" s="21" t="n">
        <v>277.002</v>
      </c>
      <c r="CR128" s="21" t="n">
        <v>303.179</v>
      </c>
      <c r="CS128" s="21" t="n">
        <v>276.918</v>
      </c>
      <c r="CT128" s="21" t="n">
        <v>209.598</v>
      </c>
      <c r="CU128" s="21" t="n">
        <v>194.212</v>
      </c>
      <c r="CV128" s="21" t="n">
        <v>313.215</v>
      </c>
      <c r="CW128" s="21" t="n">
        <v>278.599</v>
      </c>
      <c r="CX128" s="21" t="n">
        <v>317.22</v>
      </c>
      <c r="CY128" s="21" t="n">
        <v>470.543</v>
      </c>
      <c r="CZ128" s="21" t="n">
        <v>175.139</v>
      </c>
      <c r="DA128" s="21" t="n">
        <v>221.61</v>
      </c>
      <c r="DB128" s="21" t="n">
        <v>189.574</v>
      </c>
      <c r="DC128" s="21" t="n">
        <v>290.739</v>
      </c>
      <c r="DD128" s="21" t="n">
        <v>327.682</v>
      </c>
      <c r="DE128" s="21" t="n">
        <v>215.557</v>
      </c>
      <c r="DF128" s="21" t="n">
        <v>307.905</v>
      </c>
      <c r="DG128" s="21" t="n">
        <v>317.838</v>
      </c>
      <c r="DH128" s="21" t="n">
        <v>188.121</v>
      </c>
      <c r="DI128" s="21" t="n">
        <v>196.549</v>
      </c>
      <c r="DJ128" s="21" t="n">
        <v>188.852</v>
      </c>
      <c r="DK128" s="21" t="n">
        <v>401.968</v>
      </c>
      <c r="DL128" s="21" t="n">
        <v>227.012</v>
      </c>
      <c r="DM128" s="21" t="n">
        <v>173.256</v>
      </c>
      <c r="DN128" s="21" t="n">
        <v>159.609</v>
      </c>
      <c r="DO128" s="21" t="n">
        <v>383.808</v>
      </c>
      <c r="DP128" s="21" t="n">
        <v>237.037</v>
      </c>
      <c r="DQ128" s="21" t="n">
        <v>251.308</v>
      </c>
      <c r="DR128" s="21" t="n">
        <v>215.493</v>
      </c>
      <c r="DS128" s="21" t="n"/>
      <c r="DT128" s="21" t="n">
        <v>244.554</v>
      </c>
      <c r="DU128" s="21" t="n">
        <v>255.411</v>
      </c>
      <c r="DV128" s="21" t="n">
        <v>295.176</v>
      </c>
      <c r="DW128" s="21" t="n">
        <v>229.595</v>
      </c>
      <c r="DX128" s="21" t="n">
        <v>277.423</v>
      </c>
      <c r="DY128" s="21" t="n">
        <v>212.794</v>
      </c>
      <c r="DZ128" s="21" t="n">
        <v>220.211</v>
      </c>
      <c r="EA128" s="21" t="n">
        <v>208.501</v>
      </c>
      <c r="EB128" s="21" t="n">
        <v>180.499</v>
      </c>
      <c r="EC128" s="21" t="n">
        <v>442.9</v>
      </c>
      <c r="ED128" s="21" t="n">
        <v>216.124</v>
      </c>
      <c r="EE128" s="21" t="n">
        <v>239.521</v>
      </c>
      <c r="EF128" s="21" t="n">
        <v>247.095</v>
      </c>
      <c r="EG128" s="21" t="n">
        <v>348.21</v>
      </c>
      <c r="EH128" s="21" t="n">
        <v>416.271</v>
      </c>
      <c r="EI128" s="21" t="n">
        <v>435.489</v>
      </c>
      <c r="EJ128" s="21" t="n">
        <v>189.37</v>
      </c>
      <c r="EK128" s="21" t="n">
        <v>663.506</v>
      </c>
      <c r="EL128" s="21" t="n">
        <v>386.911</v>
      </c>
      <c r="EM128" s="21" t="n">
        <v>428.64</v>
      </c>
      <c r="EN128" s="21" t="n">
        <v>428.639</v>
      </c>
      <c r="EO128" s="21" t="n">
        <v>166.862</v>
      </c>
      <c r="EP128" s="21" t="n">
        <v>337.149</v>
      </c>
      <c r="EQ128" s="21" t="n">
        <v>283.847</v>
      </c>
      <c r="ER128" s="21" t="n">
        <v>354.853</v>
      </c>
      <c r="ES128" s="21" t="n">
        <v>352.435</v>
      </c>
      <c r="ET128" s="21" t="n">
        <v>409.452</v>
      </c>
      <c r="EU128" s="21" t="n">
        <v>290.131</v>
      </c>
      <c r="EV128" s="21" t="n">
        <v>299.107</v>
      </c>
      <c r="EW128" s="21" t="n">
        <v>257.867</v>
      </c>
      <c r="EX128" s="21" t="n">
        <v>318.244</v>
      </c>
      <c r="EY128" s="21" t="n">
        <v>727.474</v>
      </c>
      <c r="EZ128" s="21" t="n">
        <v>652.682</v>
      </c>
      <c r="FA128" s="21" t="n">
        <v>152.865</v>
      </c>
      <c r="FB128" s="21" t="n">
        <v>62.852</v>
      </c>
      <c r="FC128" s="21" t="n">
        <v>132.354</v>
      </c>
      <c r="FD128" s="21" t="n">
        <v>83.71599999999999</v>
      </c>
      <c r="FE128" s="21" t="n">
        <v>43.061</v>
      </c>
      <c r="FF128" s="21" t="n">
        <v>133.374</v>
      </c>
      <c r="FG128" s="21" t="n">
        <v>143.402</v>
      </c>
      <c r="FH128" s="21" t="n">
        <v>110.385</v>
      </c>
      <c r="FI128" s="21" t="n">
        <v>75.184</v>
      </c>
      <c r="FJ128" s="21" t="n"/>
      <c r="FK128" s="21" t="n">
        <v>85.15900000000001</v>
      </c>
      <c r="FL128" s="21" t="n">
        <v>90.59699999999999</v>
      </c>
      <c r="FM128" s="21" t="n">
        <v>111.492</v>
      </c>
      <c r="FN128" s="21" t="n">
        <v>74.66500000000001</v>
      </c>
      <c r="FO128" s="21" t="n">
        <v>55.312</v>
      </c>
      <c r="FP128" s="21" t="n">
        <v>40.848</v>
      </c>
      <c r="FQ128" s="21" t="n">
        <v>163.723</v>
      </c>
      <c r="FR128" s="21" t="n">
        <v>42.935</v>
      </c>
      <c r="FS128" s="21" t="n">
        <v>79.89</v>
      </c>
      <c r="FT128" s="21" t="n">
        <v>113.904</v>
      </c>
      <c r="FU128" s="21" t="n">
        <v>125.766</v>
      </c>
      <c r="FV128" s="21" t="n">
        <v>108.917</v>
      </c>
      <c r="FW128" s="21" t="n">
        <v>237.555</v>
      </c>
      <c r="FX128" s="21" t="n">
        <v>151.381</v>
      </c>
      <c r="FY128" s="21" t="n">
        <v>237.925</v>
      </c>
      <c r="FZ128" s="21" t="n">
        <v>140.944</v>
      </c>
      <c r="GA128" s="21" t="n"/>
      <c r="GB128" s="21" t="n"/>
      <c r="GC128" s="21" t="n">
        <v>307.218</v>
      </c>
      <c r="GD128" s="21" t="n">
        <v>210.757</v>
      </c>
      <c r="GE128" s="21" t="n"/>
      <c r="GF128" s="21" t="n">
        <v>129.19</v>
      </c>
      <c r="GG128" s="21" t="n">
        <v>126.355</v>
      </c>
      <c r="GH128" s="21" t="n">
        <v>128.673</v>
      </c>
      <c r="GI128" s="21" t="n">
        <v>94.291</v>
      </c>
      <c r="GJ128" s="21" t="n">
        <v>183.557</v>
      </c>
      <c r="GK128" s="21" t="n">
        <v>77.607</v>
      </c>
      <c r="GL128" s="21" t="n">
        <v>136.219</v>
      </c>
      <c r="GM128" s="21" t="n">
        <v>115.446</v>
      </c>
      <c r="GN128" s="21" t="n">
        <v>106.064</v>
      </c>
      <c r="GO128" s="21" t="n">
        <v>107.63</v>
      </c>
      <c r="GP128" s="21" t="n">
        <v>98.643</v>
      </c>
      <c r="GQ128" s="21" t="n">
        <v>106.389</v>
      </c>
      <c r="GR128" s="21" t="n">
        <v>70.452</v>
      </c>
      <c r="GS128" s="21" t="n">
        <v>114.46</v>
      </c>
      <c r="GT128" s="21" t="n">
        <v>98.89100000000001</v>
      </c>
      <c r="GU128" s="21" t="n">
        <v>145.534</v>
      </c>
      <c r="GV128" s="21" t="n">
        <v>152.67</v>
      </c>
      <c r="GW128" s="21" t="n">
        <v>162.796</v>
      </c>
      <c r="GX128" s="21" t="n">
        <v>131.819</v>
      </c>
      <c r="GY128" s="21" t="n">
        <v>122.735</v>
      </c>
      <c r="GZ128" s="21" t="n">
        <v>203.363</v>
      </c>
      <c r="HA128" s="21" t="n">
        <v>159.295</v>
      </c>
      <c r="HB128" s="21" t="n">
        <v>203.327</v>
      </c>
      <c r="HC128" s="21" t="n">
        <v>273.452</v>
      </c>
      <c r="HD128" s="21" t="n">
        <v>274.289</v>
      </c>
      <c r="HE128" s="21" t="n">
        <v>126.914</v>
      </c>
      <c r="HF128" s="21" t="n">
        <v>178.569</v>
      </c>
      <c r="HG128" s="21" t="n"/>
      <c r="HH128" s="21" t="n">
        <v>173.754</v>
      </c>
      <c r="HI128" s="21" t="n">
        <v>190.543</v>
      </c>
      <c r="HJ128" s="21" t="n"/>
      <c r="HK128" s="21" t="n">
        <v>188.183</v>
      </c>
      <c r="HL128" s="21" t="n">
        <v>114.522</v>
      </c>
      <c r="HM128" s="21" t="n">
        <v>182.888</v>
      </c>
      <c r="HN128" s="21" t="n">
        <v>282.696</v>
      </c>
      <c r="HO128" s="21" t="n">
        <v>281.49</v>
      </c>
      <c r="HP128" s="21" t="n">
        <v>273.922</v>
      </c>
      <c r="HQ128" s="21" t="n">
        <v>313.303</v>
      </c>
      <c r="HR128" s="21" t="n">
        <v>310.925</v>
      </c>
      <c r="HS128" s="21" t="n">
        <v>277.723</v>
      </c>
      <c r="HT128" s="21" t="n">
        <v>186.085</v>
      </c>
      <c r="HU128" s="21" t="n">
        <v>158.209</v>
      </c>
      <c r="HV128" s="21" t="n">
        <v>221.958</v>
      </c>
      <c r="HW128" s="21" t="n">
        <v>205.81</v>
      </c>
      <c r="HX128" s="21" t="n">
        <v>483.822</v>
      </c>
      <c r="HY128" s="21" t="n">
        <v>431.604</v>
      </c>
      <c r="HZ128" s="21" t="n">
        <v>437.372</v>
      </c>
      <c r="IA128" s="21" t="n">
        <v>364.877</v>
      </c>
      <c r="IB128" s="21" t="n">
        <v>291.623</v>
      </c>
      <c r="IC128" s="21" t="n">
        <v>896.018</v>
      </c>
      <c r="ID128" s="21" t="n">
        <v>214.99</v>
      </c>
      <c r="IE128" s="21" t="n">
        <v>201.146</v>
      </c>
      <c r="IF128" s="21" t="n">
        <v>236.893</v>
      </c>
      <c r="IG128" s="21" t="n">
        <v>289.125</v>
      </c>
      <c r="IH128" s="21" t="n"/>
      <c r="II128" s="21" t="n">
        <v>254.018</v>
      </c>
      <c r="IJ128" s="21" t="n">
        <v>247.859</v>
      </c>
      <c r="IK128" s="21" t="n">
        <v>158.681</v>
      </c>
      <c r="IL128" s="21" t="n"/>
      <c r="IM128" s="21" t="n"/>
      <c r="IN128" s="21" t="n">
        <v>63.236</v>
      </c>
      <c r="IO128" s="21" t="n">
        <v>343.664</v>
      </c>
      <c r="IP128" s="21" t="n">
        <v>134.053</v>
      </c>
      <c r="IQ128" s="21" t="n">
        <v>583.856</v>
      </c>
      <c r="IR128" s="21" t="n">
        <v>417.8</v>
      </c>
      <c r="IS128" s="21" t="n">
        <v>136.488</v>
      </c>
      <c r="IT128" s="21" t="n">
        <v>567.975</v>
      </c>
      <c r="IU128" s="21" t="n">
        <v>110.326</v>
      </c>
      <c r="IV128" s="21" t="n">
        <v>112.204</v>
      </c>
      <c r="IW128" s="21" t="n">
        <v>637.425</v>
      </c>
      <c r="IX128" s="21" t="n">
        <v>442.517</v>
      </c>
      <c r="IY128" s="21" t="n">
        <v>429.279</v>
      </c>
      <c r="IZ128" s="21" t="n">
        <v>628.776</v>
      </c>
      <c r="JA128" s="21" t="n">
        <v>215.843</v>
      </c>
      <c r="JB128" s="21" t="n"/>
      <c r="JC128" s="21" t="n">
        <v>104.277</v>
      </c>
      <c r="JD128" s="21" t="n">
        <v>437.053</v>
      </c>
      <c r="JE128" s="21" t="n">
        <v>418.67</v>
      </c>
      <c r="JF128" s="21" t="n">
        <v>961.592</v>
      </c>
      <c r="JG128" s="21" t="n">
        <v>301.005</v>
      </c>
      <c r="JH128" s="21" t="n">
        <v>176.097</v>
      </c>
      <c r="JI128" s="21" t="n">
        <v>149.036</v>
      </c>
      <c r="JJ128" s="21" t="n">
        <v>141.587</v>
      </c>
      <c r="JK128" s="21" t="n">
        <v>120.103</v>
      </c>
      <c r="JL128" s="21" t="n">
        <v>96.18899999999999</v>
      </c>
      <c r="JM128" s="21" t="n">
        <v>595.0549999999999</v>
      </c>
      <c r="JN128" s="21" t="n">
        <v>105.11</v>
      </c>
      <c r="JO128" s="21" t="n">
        <v>78.96899999999999</v>
      </c>
      <c r="JP128" s="21" t="n">
        <v>43.543</v>
      </c>
      <c r="JQ128" s="21" t="n">
        <v>173.492</v>
      </c>
      <c r="JR128" s="21" t="n">
        <v>28.153</v>
      </c>
      <c r="JS128" s="21" t="n">
        <v>88.517</v>
      </c>
      <c r="JT128" s="21" t="n">
        <v>229.728</v>
      </c>
      <c r="JU128" s="21" t="n">
        <v>241.979</v>
      </c>
      <c r="JV128" s="21" t="n">
        <v>192.103</v>
      </c>
      <c r="JW128" s="21" t="n">
        <v>131.575</v>
      </c>
      <c r="JX128" s="21" t="n">
        <v>364.147</v>
      </c>
      <c r="JY128" s="21" t="n">
        <v>269.458</v>
      </c>
      <c r="JZ128" s="21" t="n">
        <v>393.257</v>
      </c>
      <c r="KA128" s="21" t="n">
        <v>122.36</v>
      </c>
      <c r="KB128" s="21" t="n">
        <v>167.828</v>
      </c>
      <c r="KC128" s="21" t="n">
        <v>84.113</v>
      </c>
      <c r="KD128" s="21" t="n">
        <v>85.459</v>
      </c>
      <c r="KE128" s="21" t="n">
        <v>72.10599999999999</v>
      </c>
      <c r="KF128" s="21" t="n"/>
      <c r="KG128" s="21" t="n">
        <v>29.663</v>
      </c>
      <c r="KH128" s="21" t="n">
        <v>130.789</v>
      </c>
      <c r="KI128" s="21" t="n"/>
      <c r="KJ128" s="21" t="n"/>
      <c r="KK128" s="21" t="n">
        <v>33.137</v>
      </c>
      <c r="KL128" s="21" t="n">
        <v>28.202</v>
      </c>
      <c r="KM128" s="21" t="n">
        <v>38.088</v>
      </c>
      <c r="KN128" s="21" t="n"/>
      <c r="KO128" s="21" t="n">
        <v>91.806</v>
      </c>
      <c r="KP128" s="21" t="n">
        <v>125.615</v>
      </c>
      <c r="KQ128" s="21" t="n">
        <v>209.762</v>
      </c>
      <c r="KR128" s="21" t="n">
        <v>169.583</v>
      </c>
      <c r="KS128" s="21" t="n">
        <v>484.34</v>
      </c>
      <c r="KT128" s="21" t="n">
        <v>236.286</v>
      </c>
      <c r="KU128" s="21" t="n">
        <v>246.168</v>
      </c>
      <c r="KV128" s="21" t="n">
        <v>413.945</v>
      </c>
      <c r="KW128" s="21" t="n">
        <v>292.566</v>
      </c>
      <c r="KX128" s="21" t="n">
        <v>234.263</v>
      </c>
      <c r="KY128" s="21" t="n">
        <v>97.43300000000001</v>
      </c>
      <c r="KZ128" s="21" t="n">
        <v>146.696</v>
      </c>
      <c r="LA128" s="21" t="n">
        <v>309.439</v>
      </c>
      <c r="LB128" s="21" t="n">
        <v>767.333</v>
      </c>
      <c r="LC128" s="21" t="n">
        <v>263.001</v>
      </c>
      <c r="LD128" s="21" t="n">
        <v>889.895</v>
      </c>
      <c r="LE128" s="21" t="n">
        <v>954.141</v>
      </c>
      <c r="LF128" s="21" t="n">
        <v>102.288</v>
      </c>
      <c r="LG128" s="21" t="n">
        <v>385.697</v>
      </c>
      <c r="LH128" s="21" t="n">
        <v>280.202</v>
      </c>
      <c r="LI128" s="21" t="n">
        <v>73.029</v>
      </c>
      <c r="LJ128" s="21" t="n">
        <v>250.94</v>
      </c>
      <c r="LK128" s="21" t="n">
        <v>389.739</v>
      </c>
      <c r="LL128" s="21" t="n">
        <v>466.404</v>
      </c>
      <c r="LM128" s="21" t="n">
        <v>68.619</v>
      </c>
      <c r="LN128" s="21" t="n">
        <v>94.133</v>
      </c>
      <c r="LO128" s="21" t="n">
        <v>46.642</v>
      </c>
      <c r="LP128" s="21" t="n">
        <v>160.437</v>
      </c>
      <c r="LQ128" s="21" t="n"/>
      <c r="LR128" s="21" t="n"/>
      <c r="LS128" s="21" t="n">
        <v>100.744</v>
      </c>
      <c r="LT128" s="21" t="n">
        <v>35.273</v>
      </c>
      <c r="LU128" s="21" t="n">
        <v>23.734</v>
      </c>
      <c r="LV128" s="21" t="n">
        <v>85.19799999999999</v>
      </c>
      <c r="LW128" s="21" t="n">
        <v>96.943</v>
      </c>
      <c r="LX128" s="21" t="n">
        <v>38.845</v>
      </c>
      <c r="LY128" s="21" t="n">
        <v>582.371</v>
      </c>
      <c r="LZ128" s="21" t="n">
        <v>103.643</v>
      </c>
      <c r="MA128" s="21" t="n">
        <v>693.763</v>
      </c>
      <c r="MB128" s="21" t="n">
        <v>350.059</v>
      </c>
      <c r="MC128" s="21" t="n">
        <v>292.613</v>
      </c>
      <c r="MD128" s="21" t="n">
        <v>179.777</v>
      </c>
      <c r="ME128" s="21" t="n">
        <v>122.269</v>
      </c>
      <c r="MF128" s="21" t="n">
        <v>190.717</v>
      </c>
      <c r="MG128" s="21" t="n">
        <v>357.824</v>
      </c>
      <c r="MH128" s="21" t="n">
        <v>218.331</v>
      </c>
      <c r="MI128" s="21" t="n">
        <v>587.857</v>
      </c>
      <c r="MJ128" s="21" t="n"/>
      <c r="MK128" s="21" t="n">
        <v>404.898</v>
      </c>
      <c r="ML128" s="21" t="n">
        <v>241.223</v>
      </c>
      <c r="MM128" s="21" t="n">
        <v>289.509</v>
      </c>
      <c r="MN128" s="21" t="n">
        <v>464.232</v>
      </c>
      <c r="MO128" s="21" t="n">
        <v>192.848</v>
      </c>
      <c r="MP128" s="21" t="n">
        <v>365.413</v>
      </c>
      <c r="MQ128" s="21" t="n">
        <v>87.94</v>
      </c>
      <c r="MR128" s="21" t="n">
        <v>202.409</v>
      </c>
      <c r="MS128" s="21" t="n"/>
      <c r="MT128" s="21" t="n">
        <v>310.451</v>
      </c>
      <c r="MU128" s="21" t="n">
        <v>329.713</v>
      </c>
      <c r="MV128" s="21" t="n">
        <v>320.408</v>
      </c>
      <c r="MW128" s="21" t="n">
        <v>328.98</v>
      </c>
      <c r="MX128" s="21" t="n">
        <v>290.116</v>
      </c>
      <c r="MY128" s="21" t="n">
        <v>277.922</v>
      </c>
      <c r="MZ128" s="21" t="n">
        <v>280.601</v>
      </c>
      <c r="NA128" s="21" t="n">
        <v>285.703</v>
      </c>
      <c r="NB128" s="21" t="n">
        <v>120.649</v>
      </c>
      <c r="NC128" s="21" t="n">
        <v>225.508</v>
      </c>
      <c r="ND128" s="21" t="n">
        <v>178.144</v>
      </c>
      <c r="NE128" s="21" t="n">
        <v>174.234</v>
      </c>
      <c r="NF128" s="21" t="n">
        <v>166.766</v>
      </c>
      <c r="NG128" s="21" t="n">
        <v>164.38</v>
      </c>
      <c r="NH128" s="21" t="n">
        <v>323.572</v>
      </c>
      <c r="NI128" s="21" t="n">
        <v>124.252</v>
      </c>
      <c r="NJ128" s="21" t="n">
        <v>53.064</v>
      </c>
      <c r="NK128" s="21" t="n">
        <v>124.245</v>
      </c>
      <c r="NL128" s="21" t="n">
        <v>283.395</v>
      </c>
      <c r="NM128" s="21" t="n">
        <v>288.425</v>
      </c>
      <c r="NN128" s="21" t="n">
        <v>107.854</v>
      </c>
      <c r="NO128" s="21" t="n">
        <v>36.002</v>
      </c>
      <c r="NP128" s="21" t="n">
        <v>279.927</v>
      </c>
      <c r="NQ128" s="21" t="n">
        <v>230.255</v>
      </c>
      <c r="NR128" s="21" t="n">
        <v>290.413</v>
      </c>
      <c r="NS128" s="21" t="n">
        <v>226.293</v>
      </c>
      <c r="NT128" s="21" t="n">
        <v>291.647</v>
      </c>
      <c r="NU128" s="21" t="n">
        <v>144.367</v>
      </c>
      <c r="NV128" s="21" t="n">
        <v>164.023</v>
      </c>
      <c r="NW128" s="21" t="n">
        <v>427.263</v>
      </c>
      <c r="NX128" s="21" t="n">
        <v>84.239</v>
      </c>
      <c r="NY128" s="21" t="n">
        <v>155.955</v>
      </c>
      <c r="NZ128" s="21" t="n">
        <v>434.846</v>
      </c>
      <c r="OA128" s="21" t="n">
        <v>419.436</v>
      </c>
      <c r="OB128" s="21" t="n">
        <v>432.778</v>
      </c>
      <c r="OC128" s="21" t="n">
        <v>402.699</v>
      </c>
      <c r="OD128" s="21" t="n">
        <v>433.583</v>
      </c>
      <c r="OE128" s="21" t="n">
        <v>132.593</v>
      </c>
      <c r="OF128" s="21" t="n">
        <v>446.417</v>
      </c>
      <c r="OG128" s="21" t="n">
        <v>268.5</v>
      </c>
      <c r="OH128" s="21" t="n">
        <v>32.628</v>
      </c>
      <c r="OI128" s="21" t="n">
        <v>157.6</v>
      </c>
      <c r="OJ128" s="21" t="n">
        <v>31</v>
      </c>
      <c r="OK128" s="21" t="n">
        <v>10.3</v>
      </c>
    </row>
    <row r="129">
      <c r="A129" s="22" t="n">
        <v>45870</v>
      </c>
      <c r="B129" s="21" t="n">
        <v>323.976</v>
      </c>
      <c r="C129" s="21" t="n">
        <v>970.489</v>
      </c>
      <c r="D129" s="21" t="n">
        <v>338.366</v>
      </c>
      <c r="E129" s="21" t="n">
        <v>341.295</v>
      </c>
      <c r="F129" s="21" t="n">
        <v>314.608</v>
      </c>
      <c r="G129" s="21" t="n">
        <v>359.74</v>
      </c>
      <c r="H129" s="21" t="n">
        <v>282.729</v>
      </c>
      <c r="I129" s="21" t="n">
        <v>330.077</v>
      </c>
      <c r="J129" s="21" t="n">
        <v>274.866</v>
      </c>
      <c r="K129" s="21" t="n">
        <v>285.6</v>
      </c>
      <c r="L129" s="21" t="n">
        <v>191.163</v>
      </c>
      <c r="M129" s="21" t="n">
        <v>404.842</v>
      </c>
      <c r="N129" s="21" t="n">
        <v>240.805</v>
      </c>
      <c r="O129" s="21" t="n">
        <v>433.183</v>
      </c>
      <c r="P129" s="21" t="n">
        <v>471.408</v>
      </c>
      <c r="Q129" s="21" t="n">
        <v>241.717</v>
      </c>
      <c r="R129" s="21" t="n">
        <v>383.505</v>
      </c>
      <c r="S129" s="21" t="n">
        <v>401.189</v>
      </c>
      <c r="T129" s="21" t="n">
        <v>364.017</v>
      </c>
      <c r="U129" s="21" t="n">
        <v>361.391</v>
      </c>
      <c r="V129" s="21" t="n">
        <v>394.748</v>
      </c>
      <c r="W129" s="21" t="n">
        <v>439.281</v>
      </c>
      <c r="X129" s="21" t="n">
        <v>343.765</v>
      </c>
      <c r="Y129" s="21" t="n">
        <v>347.509</v>
      </c>
      <c r="Z129" s="21" t="n">
        <v>347.287</v>
      </c>
      <c r="AA129" s="21" t="n">
        <v>363.913</v>
      </c>
      <c r="AB129" s="21" t="n">
        <v>490.28</v>
      </c>
      <c r="AC129" s="21" t="n">
        <v>417.709</v>
      </c>
      <c r="AD129" s="21" t="n">
        <v>397.917</v>
      </c>
      <c r="AE129" s="21" t="n">
        <v>332.839</v>
      </c>
      <c r="AF129" s="21" t="n">
        <v>394.167</v>
      </c>
      <c r="AG129" s="21" t="n">
        <v>273.591</v>
      </c>
      <c r="AH129" s="21" t="n">
        <v>210.774</v>
      </c>
      <c r="AI129" s="21" t="n">
        <v>397.152</v>
      </c>
      <c r="AJ129" s="21" t="n">
        <v>192.906</v>
      </c>
      <c r="AK129" s="21" t="n">
        <v>247.887</v>
      </c>
      <c r="AL129" s="21" t="n">
        <v>274.785</v>
      </c>
      <c r="AM129" s="21" t="n">
        <v>247.121</v>
      </c>
      <c r="AN129" s="21" t="n">
        <v>164.277</v>
      </c>
      <c r="AO129" s="21" t="n">
        <v>292.588</v>
      </c>
      <c r="AP129" s="21" t="n">
        <v>306.754</v>
      </c>
      <c r="AQ129" s="21" t="n">
        <v>186.354</v>
      </c>
      <c r="AR129" s="21" t="n"/>
      <c r="AS129" s="21" t="n"/>
      <c r="AT129" s="21" t="n">
        <v>314.008</v>
      </c>
      <c r="AU129" s="21" t="n">
        <v>202.401</v>
      </c>
      <c r="AV129" s="21" t="n">
        <v>332.188</v>
      </c>
      <c r="AW129" s="21" t="n">
        <v>303.996</v>
      </c>
      <c r="AX129" s="21" t="n">
        <v>203.118</v>
      </c>
      <c r="AY129" s="21" t="n">
        <v>357.75</v>
      </c>
      <c r="AZ129" s="21" t="n">
        <v>223.851</v>
      </c>
      <c r="BA129" s="21" t="n">
        <v>177.369</v>
      </c>
      <c r="BB129" s="21" t="n">
        <v>246.149</v>
      </c>
      <c r="BC129" s="21" t="n">
        <v>395.895</v>
      </c>
      <c r="BD129" s="21" t="n">
        <v>359.131</v>
      </c>
      <c r="BE129" s="21" t="n">
        <v>272.84</v>
      </c>
      <c r="BF129" s="21" t="n">
        <v>180.088</v>
      </c>
      <c r="BG129" s="21" t="n">
        <v>255.803</v>
      </c>
      <c r="BH129" s="21" t="n">
        <v>187.56</v>
      </c>
      <c r="BI129" s="21" t="n">
        <v>268.686</v>
      </c>
      <c r="BJ129" s="21" t="n">
        <v>275.411</v>
      </c>
      <c r="BK129" s="21" t="n">
        <v>193.327</v>
      </c>
      <c r="BL129" s="21" t="n">
        <v>356.104</v>
      </c>
      <c r="BM129" s="21" t="n">
        <v>400.821</v>
      </c>
      <c r="BN129" s="21" t="n">
        <v>409.8</v>
      </c>
      <c r="BO129" s="21" t="n">
        <v>374.16</v>
      </c>
      <c r="BP129" s="21" t="n">
        <v>220.366</v>
      </c>
      <c r="BQ129" s="21" t="n">
        <v>308.468</v>
      </c>
      <c r="BR129" s="21" t="n">
        <v>642.476</v>
      </c>
      <c r="BS129" s="21" t="n">
        <v>135.279</v>
      </c>
      <c r="BT129" s="21" t="n">
        <v>389.524</v>
      </c>
      <c r="BU129" s="21" t="n">
        <v>442.859</v>
      </c>
      <c r="BV129" s="21" t="n">
        <v>412.99</v>
      </c>
      <c r="BW129" s="21" t="n">
        <v>356.457</v>
      </c>
      <c r="BX129" s="21" t="n">
        <v>387.39</v>
      </c>
      <c r="BY129" s="21" t="n">
        <v>206.462</v>
      </c>
      <c r="BZ129" s="21" t="n">
        <v>225.722</v>
      </c>
      <c r="CA129" s="21" t="n">
        <v>213.505</v>
      </c>
      <c r="CB129" s="21" t="n">
        <v>242.066</v>
      </c>
      <c r="CC129" s="21" t="n">
        <v>185.295</v>
      </c>
      <c r="CD129" s="21" t="n">
        <v>258.819</v>
      </c>
      <c r="CE129" s="21" t="n">
        <v>194.297</v>
      </c>
      <c r="CF129" s="21" t="n">
        <v>236.543</v>
      </c>
      <c r="CG129" s="21" t="n">
        <v>229.406</v>
      </c>
      <c r="CH129" s="21" t="n">
        <v>177.482</v>
      </c>
      <c r="CI129" s="21" t="n">
        <v>232.904</v>
      </c>
      <c r="CJ129" s="21" t="n">
        <v>285.437</v>
      </c>
      <c r="CK129" s="21" t="n">
        <v>154.191</v>
      </c>
      <c r="CL129" s="21" t="n">
        <v>159.254</v>
      </c>
      <c r="CM129" s="21" t="n">
        <v>280.173</v>
      </c>
      <c r="CN129" s="21" t="n">
        <v>292.825</v>
      </c>
      <c r="CO129" s="21" t="n">
        <v>272.852</v>
      </c>
      <c r="CP129" s="21" t="n">
        <v>166.396</v>
      </c>
      <c r="CQ129" s="21" t="n">
        <v>276.649</v>
      </c>
      <c r="CR129" s="21" t="n">
        <v>305.993</v>
      </c>
      <c r="CS129" s="21" t="n">
        <v>279.565</v>
      </c>
      <c r="CT129" s="21" t="n">
        <v>211.596</v>
      </c>
      <c r="CU129" s="21" t="n">
        <v>195.832</v>
      </c>
      <c r="CV129" s="21" t="n">
        <v>313.514</v>
      </c>
      <c r="CW129" s="21" t="n">
        <v>279.411</v>
      </c>
      <c r="CX129" s="21" t="n">
        <v>320.184</v>
      </c>
      <c r="CY129" s="21" t="n">
        <v>466.128</v>
      </c>
      <c r="CZ129" s="21" t="n">
        <v>177.353</v>
      </c>
      <c r="DA129" s="21" t="n">
        <v>220.284</v>
      </c>
      <c r="DB129" s="21" t="n">
        <v>186.408</v>
      </c>
      <c r="DC129" s="21" t="n">
        <v>289.689</v>
      </c>
      <c r="DD129" s="21" t="n">
        <v>331.339</v>
      </c>
      <c r="DE129" s="21" t="n">
        <v>211.519</v>
      </c>
      <c r="DF129" s="21" t="n">
        <v>310.588</v>
      </c>
      <c r="DG129" s="21" t="n">
        <v>321.5</v>
      </c>
      <c r="DH129" s="21" t="n">
        <v>189.652</v>
      </c>
      <c r="DI129" s="21" t="n">
        <v>196.351</v>
      </c>
      <c r="DJ129" s="21" t="n">
        <v>190.619</v>
      </c>
      <c r="DK129" s="21" t="n">
        <v>408.646</v>
      </c>
      <c r="DL129" s="21" t="n">
        <v>224.927</v>
      </c>
      <c r="DM129" s="21" t="n">
        <v>170.339</v>
      </c>
      <c r="DN129" s="21" t="n">
        <v>160.176</v>
      </c>
      <c r="DO129" s="21" t="n">
        <v>384.909</v>
      </c>
      <c r="DP129" s="21" t="n">
        <v>237.873</v>
      </c>
      <c r="DQ129" s="21" t="n">
        <v>251.668</v>
      </c>
      <c r="DR129" s="21" t="n">
        <v>213.77</v>
      </c>
      <c r="DS129" s="21" t="n"/>
      <c r="DT129" s="21" t="n">
        <v>244.679</v>
      </c>
      <c r="DU129" s="21" t="n">
        <v>259.736</v>
      </c>
      <c r="DV129" s="21" t="n">
        <v>296.908</v>
      </c>
      <c r="DW129" s="21" t="n">
        <v>230.858</v>
      </c>
      <c r="DX129" s="21" t="n">
        <v>279.135</v>
      </c>
      <c r="DY129" s="21" t="n">
        <v>214.159</v>
      </c>
      <c r="DZ129" s="21" t="n">
        <v>221.257</v>
      </c>
      <c r="EA129" s="21" t="n">
        <v>209.942</v>
      </c>
      <c r="EB129" s="21" t="n">
        <v>181.306</v>
      </c>
      <c r="EC129" s="21" t="n">
        <v>445.685</v>
      </c>
      <c r="ED129" s="21" t="n">
        <v>217.16</v>
      </c>
      <c r="EE129" s="21" t="n">
        <v>239.236</v>
      </c>
      <c r="EF129" s="21" t="n">
        <v>247.294</v>
      </c>
      <c r="EG129" s="21" t="n">
        <v>349.277</v>
      </c>
      <c r="EH129" s="21" t="n">
        <v>417.902</v>
      </c>
      <c r="EI129" s="21" t="n">
        <v>436.981</v>
      </c>
      <c r="EJ129" s="21" t="n">
        <v>189.898</v>
      </c>
      <c r="EK129" s="21" t="n">
        <v>674.37</v>
      </c>
      <c r="EL129" s="21" t="n">
        <v>386.866</v>
      </c>
      <c r="EM129" s="21" t="n">
        <v>430.387</v>
      </c>
      <c r="EN129" s="21" t="n">
        <v>430.391</v>
      </c>
      <c r="EO129" s="21" t="n">
        <v>167.94</v>
      </c>
      <c r="EP129" s="21" t="n">
        <v>336.541</v>
      </c>
      <c r="EQ129" s="21" t="n">
        <v>282.839</v>
      </c>
      <c r="ER129" s="21" t="n">
        <v>352.003</v>
      </c>
      <c r="ES129" s="21" t="n">
        <v>347.565</v>
      </c>
      <c r="ET129" s="21" t="n">
        <v>409.166</v>
      </c>
      <c r="EU129" s="21" t="n">
        <v>289.154</v>
      </c>
      <c r="EV129" s="21" t="n">
        <v>298.738</v>
      </c>
      <c r="EW129" s="21" t="n">
        <v>255.253</v>
      </c>
      <c r="EX129" s="21" t="n">
        <v>319.403</v>
      </c>
      <c r="EY129" s="21" t="n">
        <v>729.598</v>
      </c>
      <c r="EZ129" s="21" t="n">
        <v>656.067</v>
      </c>
      <c r="FA129" s="21" t="n">
        <v>153.039</v>
      </c>
      <c r="FB129" s="21" t="n">
        <v>60.544</v>
      </c>
      <c r="FC129" s="21" t="n">
        <v>130.831</v>
      </c>
      <c r="FD129" s="21" t="n">
        <v>83.27800000000001</v>
      </c>
      <c r="FE129" s="21" t="n">
        <v>40.434</v>
      </c>
      <c r="FF129" s="21" t="n">
        <v>133.823</v>
      </c>
      <c r="FG129" s="21" t="n">
        <v>142.883</v>
      </c>
      <c r="FH129" s="21" t="n">
        <v>111.155</v>
      </c>
      <c r="FI129" s="21" t="n">
        <v>75.63500000000001</v>
      </c>
      <c r="FJ129" s="21" t="n"/>
      <c r="FK129" s="21" t="n">
        <v>85.42400000000001</v>
      </c>
      <c r="FL129" s="21" t="n">
        <v>89.562</v>
      </c>
      <c r="FM129" s="21" t="n">
        <v>108.268</v>
      </c>
      <c r="FN129" s="21" t="n">
        <v>75.425</v>
      </c>
      <c r="FO129" s="21" t="n">
        <v>55.421</v>
      </c>
      <c r="FP129" s="21" t="n">
        <v>40.719</v>
      </c>
      <c r="FQ129" s="21" t="n">
        <v>166.778</v>
      </c>
      <c r="FR129" s="21" t="n">
        <v>42.783</v>
      </c>
      <c r="FS129" s="21" t="n">
        <v>79.785</v>
      </c>
      <c r="FT129" s="21" t="n">
        <v>114.837</v>
      </c>
      <c r="FU129" s="21" t="n">
        <v>126.887</v>
      </c>
      <c r="FV129" s="21" t="n">
        <v>109.645</v>
      </c>
      <c r="FW129" s="21" t="n">
        <v>238.501</v>
      </c>
      <c r="FX129" s="21" t="n">
        <v>151.939</v>
      </c>
      <c r="FY129" s="21" t="n">
        <v>240.79</v>
      </c>
      <c r="FZ129" s="21" t="n">
        <v>140.92</v>
      </c>
      <c r="GA129" s="21" t="n"/>
      <c r="GB129" s="21" t="n"/>
      <c r="GC129" s="21" t="n"/>
      <c r="GD129" s="21" t="n">
        <v>205.687</v>
      </c>
      <c r="GE129" s="21" t="n"/>
      <c r="GF129" s="21" t="n">
        <v>131.989</v>
      </c>
      <c r="GG129" s="21" t="n">
        <v>128.315</v>
      </c>
      <c r="GH129" s="21" t="n">
        <v>131.045</v>
      </c>
      <c r="GI129" s="21" t="n">
        <v>95.083</v>
      </c>
      <c r="GJ129" s="21" t="n">
        <v>180.372</v>
      </c>
      <c r="GK129" s="21" t="n">
        <v>81.654</v>
      </c>
      <c r="GL129" s="21" t="n">
        <v>139.934</v>
      </c>
      <c r="GM129" s="21" t="n">
        <v>115.834</v>
      </c>
      <c r="GN129" s="21" t="n">
        <v>109.194</v>
      </c>
      <c r="GO129" s="21" t="n">
        <v>110.726</v>
      </c>
      <c r="GP129" s="21" t="n">
        <v>105.855</v>
      </c>
      <c r="GQ129" s="21" t="n">
        <v>112.106</v>
      </c>
      <c r="GR129" s="21" t="n">
        <v>73.59099999999999</v>
      </c>
      <c r="GS129" s="21" t="n">
        <v>113.18</v>
      </c>
      <c r="GT129" s="21" t="n">
        <v>102.392</v>
      </c>
      <c r="GU129" s="21" t="n">
        <v>146.675</v>
      </c>
      <c r="GV129" s="21" t="n">
        <v>151.709</v>
      </c>
      <c r="GW129" s="21" t="n">
        <v>165.269</v>
      </c>
      <c r="GX129" s="21" t="n">
        <v>133.844</v>
      </c>
      <c r="GY129" s="21" t="n">
        <v>125.861</v>
      </c>
      <c r="GZ129" s="21" t="n">
        <v>212.244</v>
      </c>
      <c r="HA129" s="21" t="n">
        <v>162.388</v>
      </c>
      <c r="HB129" s="21" t="n">
        <v>213.612</v>
      </c>
      <c r="HC129" s="21" t="n">
        <v>273.91</v>
      </c>
      <c r="HD129" s="21" t="n">
        <v>274.71</v>
      </c>
      <c r="HE129" s="21" t="n">
        <v>126.82</v>
      </c>
      <c r="HF129" s="21" t="n">
        <v>178.698</v>
      </c>
      <c r="HG129" s="21" t="n"/>
      <c r="HH129" s="21" t="n">
        <v>173.842</v>
      </c>
      <c r="HI129" s="21" t="n">
        <v>190.694</v>
      </c>
      <c r="HJ129" s="21" t="n"/>
      <c r="HK129" s="21" t="n">
        <v>188.96</v>
      </c>
      <c r="HL129" s="21" t="n">
        <v>114.205</v>
      </c>
      <c r="HM129" s="21" t="n">
        <v>161.726</v>
      </c>
      <c r="HN129" s="21" t="n">
        <v>283.504</v>
      </c>
      <c r="HO129" s="21" t="n">
        <v>282.358</v>
      </c>
      <c r="HP129" s="21" t="n">
        <v>274.799</v>
      </c>
      <c r="HQ129" s="21" t="n">
        <v>314.054</v>
      </c>
      <c r="HR129" s="21" t="n">
        <v>311.711</v>
      </c>
      <c r="HS129" s="21" t="n">
        <v>276.329</v>
      </c>
      <c r="HT129" s="21" t="n">
        <v>187.124</v>
      </c>
      <c r="HU129" s="21" t="n">
        <v>158.689</v>
      </c>
      <c r="HV129" s="21" t="n">
        <v>225.83</v>
      </c>
      <c r="HW129" s="21" t="n">
        <v>209.994</v>
      </c>
      <c r="HX129" s="21" t="n">
        <v>487.638</v>
      </c>
      <c r="HY129" s="21" t="n">
        <v>441.987</v>
      </c>
      <c r="HZ129" s="21" t="n"/>
      <c r="IA129" s="21" t="n">
        <v>366.431</v>
      </c>
      <c r="IB129" s="21" t="n">
        <v>306.282</v>
      </c>
      <c r="IC129" s="21" t="n">
        <v>894.075</v>
      </c>
      <c r="ID129" s="21" t="n">
        <v>214.73</v>
      </c>
      <c r="IE129" s="21" t="n">
        <v>200.185</v>
      </c>
      <c r="IF129" s="21" t="n">
        <v>237.769</v>
      </c>
      <c r="IG129" s="21" t="n">
        <v>289.062</v>
      </c>
      <c r="IH129" s="21" t="n"/>
      <c r="II129" s="21" t="n">
        <v>254.848</v>
      </c>
      <c r="IJ129" s="21" t="n">
        <v>250.982</v>
      </c>
      <c r="IK129" s="21" t="n">
        <v>155.521</v>
      </c>
      <c r="IL129" s="21" t="n"/>
      <c r="IM129" s="21" t="n"/>
      <c r="IN129" s="21" t="n">
        <v>63.604</v>
      </c>
      <c r="IO129" s="21" t="n">
        <v>341.573</v>
      </c>
      <c r="IP129" s="21" t="n">
        <v>134.596</v>
      </c>
      <c r="IQ129" s="21" t="n">
        <v>583.875</v>
      </c>
      <c r="IR129" s="21" t="n">
        <v>416.721</v>
      </c>
      <c r="IS129" s="21" t="n">
        <v>135.98</v>
      </c>
      <c r="IT129" s="21" t="n">
        <v>567.117</v>
      </c>
      <c r="IU129" s="21" t="n">
        <v>109.373</v>
      </c>
      <c r="IV129" s="21" t="n">
        <v>112.865</v>
      </c>
      <c r="IW129" s="21" t="n">
        <v>637.817</v>
      </c>
      <c r="IX129" s="21" t="n">
        <v>442.955</v>
      </c>
      <c r="IY129" s="21" t="n">
        <v>430.753</v>
      </c>
      <c r="IZ129" s="21" t="n">
        <v>625.624</v>
      </c>
      <c r="JA129" s="21" t="n">
        <v>217.246</v>
      </c>
      <c r="JB129" s="21" t="n"/>
      <c r="JC129" s="21" t="n">
        <v>104.256</v>
      </c>
      <c r="JD129" s="21" t="n">
        <v>436.917</v>
      </c>
      <c r="JE129" s="21" t="n"/>
      <c r="JF129" s="21" t="n">
        <v>965.3150000000001</v>
      </c>
      <c r="JG129" s="21" t="n">
        <v>301.827</v>
      </c>
      <c r="JH129" s="21" t="n">
        <v>175.744</v>
      </c>
      <c r="JI129" s="21" t="n">
        <v>149.222</v>
      </c>
      <c r="JJ129" s="21" t="n">
        <v>141.394</v>
      </c>
      <c r="JK129" s="21" t="n">
        <v>119.661</v>
      </c>
      <c r="JL129" s="21" t="n">
        <v>97.503</v>
      </c>
      <c r="JM129" s="21" t="n">
        <v>593.22</v>
      </c>
      <c r="JN129" s="21" t="n">
        <v>104.886</v>
      </c>
      <c r="JO129" s="21" t="n">
        <v>77.56</v>
      </c>
      <c r="JP129" s="21" t="n">
        <v>43.351</v>
      </c>
      <c r="JQ129" s="21" t="n">
        <v>168.743</v>
      </c>
      <c r="JR129" s="21" t="n">
        <v>27.93</v>
      </c>
      <c r="JS129" s="21" t="n">
        <v>88.875</v>
      </c>
      <c r="JT129" s="21" t="n">
        <v>229.313</v>
      </c>
      <c r="JU129" s="21" t="n">
        <v>240.863</v>
      </c>
      <c r="JV129" s="21" t="n">
        <v>191.485</v>
      </c>
      <c r="JW129" s="21" t="n">
        <v>130.816</v>
      </c>
      <c r="JX129" s="21" t="n">
        <v>364.679</v>
      </c>
      <c r="JY129" s="21" t="n">
        <v>269.738</v>
      </c>
      <c r="JZ129" s="21" t="n">
        <v>393.584</v>
      </c>
      <c r="KA129" s="21" t="n">
        <v>122.451</v>
      </c>
      <c r="KB129" s="21" t="n">
        <v>168.916</v>
      </c>
      <c r="KC129" s="21" t="n">
        <v>83.611</v>
      </c>
      <c r="KD129" s="21" t="n">
        <v>85.366</v>
      </c>
      <c r="KE129" s="21" t="n">
        <v>73.395</v>
      </c>
      <c r="KF129" s="21" t="n"/>
      <c r="KG129" s="21" t="n">
        <v>30.186</v>
      </c>
      <c r="KH129" s="21" t="n">
        <v>129.712</v>
      </c>
      <c r="KI129" s="21" t="n"/>
      <c r="KJ129" s="21" t="n"/>
      <c r="KK129" s="21" t="n">
        <v>33.245</v>
      </c>
      <c r="KL129" s="21" t="n">
        <v>28.089</v>
      </c>
      <c r="KM129" s="21" t="n">
        <v>37.946</v>
      </c>
      <c r="KN129" s="21" t="n"/>
      <c r="KO129" s="21" t="n">
        <v>100.161</v>
      </c>
      <c r="KP129" s="21" t="n">
        <v>127.038</v>
      </c>
      <c r="KQ129" s="21" t="n">
        <v>209.396</v>
      </c>
      <c r="KR129" s="21" t="n">
        <v>169.818</v>
      </c>
      <c r="KS129" s="21" t="n">
        <v>481.503</v>
      </c>
      <c r="KT129" s="21" t="n">
        <v>234.241</v>
      </c>
      <c r="KU129" s="21" t="n">
        <v>244.424</v>
      </c>
      <c r="KV129" s="21" t="n">
        <v>414.182</v>
      </c>
      <c r="KW129" s="21" t="n">
        <v>295.277</v>
      </c>
      <c r="KX129" s="21" t="n">
        <v>231.802</v>
      </c>
      <c r="KY129" s="21" t="n">
        <v>100.747</v>
      </c>
      <c r="KZ129" s="21" t="n">
        <v>147.152</v>
      </c>
      <c r="LA129" s="21" t="n">
        <v>311.752</v>
      </c>
      <c r="LB129" s="21" t="n">
        <v>762.692</v>
      </c>
      <c r="LC129" s="21" t="n">
        <v>262.49</v>
      </c>
      <c r="LD129" s="21" t="n">
        <v>896.747</v>
      </c>
      <c r="LE129" s="21" t="n">
        <v>960.497</v>
      </c>
      <c r="LF129" s="21" t="n">
        <v>103.612</v>
      </c>
      <c r="LG129" s="21" t="n">
        <v>388.276</v>
      </c>
      <c r="LH129" s="21" t="n">
        <v>282.652</v>
      </c>
      <c r="LI129" s="21" t="n">
        <v>72.991</v>
      </c>
      <c r="LJ129" s="21" t="n">
        <v>252.253</v>
      </c>
      <c r="LK129" s="21" t="n">
        <v>391.802</v>
      </c>
      <c r="LL129" s="21" t="n">
        <v>468.145</v>
      </c>
      <c r="LM129" s="21" t="n">
        <v>68.577</v>
      </c>
      <c r="LN129" s="21" t="n">
        <v>93.221</v>
      </c>
      <c r="LO129" s="21" t="n">
        <v>46.147</v>
      </c>
      <c r="LP129" s="21" t="n">
        <v>159.981</v>
      </c>
      <c r="LQ129" s="21" t="n"/>
      <c r="LR129" s="21" t="n"/>
      <c r="LS129" s="21" t="n">
        <v>101.48</v>
      </c>
      <c r="LT129" s="21" t="n">
        <v>35.064</v>
      </c>
      <c r="LU129" s="21" t="n">
        <v>22.427</v>
      </c>
      <c r="LV129" s="21" t="n">
        <v>86.249</v>
      </c>
      <c r="LW129" s="21" t="n">
        <v>97.806</v>
      </c>
      <c r="LX129" s="21" t="n">
        <v>38.754</v>
      </c>
      <c r="LY129" s="21" t="n">
        <v>583.313</v>
      </c>
      <c r="LZ129" s="21" t="n">
        <v>104.707</v>
      </c>
      <c r="MA129" s="21" t="n">
        <v>701.686</v>
      </c>
      <c r="MB129" s="21" t="n">
        <v>352.34</v>
      </c>
      <c r="MC129" s="21" t="n">
        <v>292.584</v>
      </c>
      <c r="MD129" s="21" t="n">
        <v>180.503</v>
      </c>
      <c r="ME129" s="21" t="n">
        <v>122.858</v>
      </c>
      <c r="MF129" s="21" t="n">
        <v>191.367</v>
      </c>
      <c r="MG129" s="21" t="n">
        <v>359.588</v>
      </c>
      <c r="MH129" s="21" t="n">
        <v>219.407</v>
      </c>
      <c r="MI129" s="21" t="n">
        <v>586.98</v>
      </c>
      <c r="MJ129" s="21" t="n"/>
      <c r="MK129" s="21" t="n">
        <v>405.557</v>
      </c>
      <c r="ML129" s="21" t="n">
        <v>242.188</v>
      </c>
      <c r="MM129" s="21" t="n">
        <v>292.046</v>
      </c>
      <c r="MN129" s="21" t="n">
        <v>460.998</v>
      </c>
      <c r="MO129" s="21" t="n">
        <v>193.006</v>
      </c>
      <c r="MP129" s="21" t="n">
        <v>360.41</v>
      </c>
      <c r="MQ129" s="21" t="n">
        <v>85.386</v>
      </c>
      <c r="MR129" s="21" t="n">
        <v>196.606</v>
      </c>
      <c r="MS129" s="21" t="n"/>
      <c r="MT129" s="21" t="n">
        <v>311.423</v>
      </c>
      <c r="MU129" s="21" t="n">
        <v>330.737</v>
      </c>
      <c r="MV129" s="21" t="n">
        <v>321.287</v>
      </c>
      <c r="MW129" s="21" t="n">
        <v>329.97</v>
      </c>
      <c r="MX129" s="21" t="n">
        <v>290.784</v>
      </c>
      <c r="MY129" s="21" t="n">
        <v>278.458</v>
      </c>
      <c r="MZ129" s="21" t="n">
        <v>281.241</v>
      </c>
      <c r="NA129" s="21" t="n">
        <v>286.324</v>
      </c>
      <c r="NB129" s="21" t="n">
        <v>123.77</v>
      </c>
      <c r="NC129" s="21" t="n">
        <v>226.364</v>
      </c>
      <c r="ND129" s="21" t="n">
        <v>178.83</v>
      </c>
      <c r="NE129" s="21" t="n">
        <v>174.891</v>
      </c>
      <c r="NF129" s="21" t="n">
        <v>167.448</v>
      </c>
      <c r="NG129" s="21" t="n">
        <v>165.051</v>
      </c>
      <c r="NH129" s="21" t="n">
        <v>324.773</v>
      </c>
      <c r="NI129" s="21" t="n">
        <v>124.57</v>
      </c>
      <c r="NJ129" s="21" t="n">
        <v>53.08</v>
      </c>
      <c r="NK129" s="21" t="n">
        <v>124.683</v>
      </c>
      <c r="NL129" s="21" t="n">
        <v>283.247</v>
      </c>
      <c r="NM129" s="21" t="n">
        <v>289.117</v>
      </c>
      <c r="NN129" s="21" t="n">
        <v>108.024</v>
      </c>
      <c r="NO129" s="21" t="n">
        <v>36.026</v>
      </c>
      <c r="NP129" s="21" t="n">
        <v>281.139</v>
      </c>
      <c r="NQ129" s="21" t="n">
        <v>231.424</v>
      </c>
      <c r="NR129" s="21" t="n">
        <v>290.581</v>
      </c>
      <c r="NS129" s="21" t="n">
        <v>227.428</v>
      </c>
      <c r="NT129" s="21" t="n">
        <v>291.66</v>
      </c>
      <c r="NU129" s="21" t="n">
        <v>144.705</v>
      </c>
      <c r="NV129" s="21" t="n">
        <v>164.196</v>
      </c>
      <c r="NW129" s="21" t="n">
        <v>427.731</v>
      </c>
      <c r="NX129" s="21" t="n">
        <v>84.277</v>
      </c>
      <c r="NY129" s="21" t="n">
        <v>155.592</v>
      </c>
      <c r="NZ129" s="21" t="n">
        <v>436.536</v>
      </c>
      <c r="OA129" s="21" t="n">
        <v>420.424</v>
      </c>
      <c r="OB129" s="21" t="n">
        <v>433.93</v>
      </c>
      <c r="OC129" s="21" t="n">
        <v>403.73</v>
      </c>
      <c r="OD129" s="21" t="n">
        <v>433.8</v>
      </c>
      <c r="OE129" s="21" t="n">
        <v>132.873</v>
      </c>
      <c r="OF129" s="21" t="n">
        <v>446.688</v>
      </c>
      <c r="OG129" s="21" t="n">
        <v>267.873</v>
      </c>
      <c r="OH129" s="21" t="n">
        <v>32.745</v>
      </c>
      <c r="OI129" s="21" t="n">
        <v>156.663</v>
      </c>
      <c r="OJ129" s="21" t="n">
        <v>30.9</v>
      </c>
      <c r="OK129" s="21" t="n">
        <v>10.3</v>
      </c>
    </row>
    <row r="130">
      <c r="A130" s="22" t="n">
        <v>45901</v>
      </c>
      <c r="B130" s="21" t="n">
        <v>324.8</v>
      </c>
      <c r="C130" s="21" t="n">
        <v>972.957</v>
      </c>
      <c r="D130" s="21" t="n">
        <v>339.443</v>
      </c>
      <c r="E130" s="21" t="n">
        <v>342.405</v>
      </c>
      <c r="F130" s="21" t="n">
        <v>316.042</v>
      </c>
      <c r="G130" s="21" t="n">
        <v>361.894</v>
      </c>
      <c r="H130" s="21" t="n">
        <v>283.727</v>
      </c>
      <c r="I130" s="21" t="n">
        <v>329.035</v>
      </c>
      <c r="J130" s="21" t="n">
        <v>277.496</v>
      </c>
      <c r="K130" s="21" t="n">
        <v>285.402</v>
      </c>
      <c r="L130" s="21" t="n">
        <v>189.004</v>
      </c>
      <c r="M130" s="21" t="n">
        <v>407.689</v>
      </c>
      <c r="N130" s="21" t="n">
        <v>241.596</v>
      </c>
      <c r="O130" s="21" t="n">
        <v>434.978</v>
      </c>
      <c r="P130" s="21" t="n">
        <v>473.364</v>
      </c>
      <c r="Q130" s="21" t="n">
        <v>241.453</v>
      </c>
      <c r="R130" s="21" t="n">
        <v>385.73</v>
      </c>
      <c r="S130" s="21" t="n">
        <v>408.565</v>
      </c>
      <c r="T130" s="21" t="n">
        <v>364.58</v>
      </c>
      <c r="U130" s="21" t="n">
        <v>366.363</v>
      </c>
      <c r="V130" s="21" t="n">
        <v>417.361</v>
      </c>
      <c r="W130" s="21" t="n">
        <v>445.776</v>
      </c>
      <c r="X130" s="21" t="n">
        <v>343.497</v>
      </c>
      <c r="Y130" s="21" t="n">
        <v>349.716</v>
      </c>
      <c r="Z130" s="21" t="n">
        <v>350.465</v>
      </c>
      <c r="AA130" s="21" t="n">
        <v>369.662</v>
      </c>
      <c r="AB130" s="21" t="n">
        <v>495.239</v>
      </c>
      <c r="AC130" s="21" t="n">
        <v>419.692</v>
      </c>
      <c r="AD130" s="21" t="n">
        <v>413.261</v>
      </c>
      <c r="AE130" s="21" t="n">
        <v>334.592</v>
      </c>
      <c r="AF130" s="21" t="n">
        <v>398.92</v>
      </c>
      <c r="AG130" s="21" t="n">
        <v>277.429</v>
      </c>
      <c r="AH130" s="21" t="n">
        <v>211.301</v>
      </c>
      <c r="AI130" s="21" t="n">
        <v>403.402</v>
      </c>
      <c r="AJ130" s="21" t="n">
        <v>188.685</v>
      </c>
      <c r="AK130" s="21" t="n">
        <v>251.607</v>
      </c>
      <c r="AL130" s="21" t="n">
        <v>278.611</v>
      </c>
      <c r="AM130" s="21" t="n">
        <v>250.746</v>
      </c>
      <c r="AN130" s="21" t="n">
        <v>168.602</v>
      </c>
      <c r="AO130" s="21" t="n">
        <v>302.493</v>
      </c>
      <c r="AP130" s="21" t="n">
        <v>309.454</v>
      </c>
      <c r="AQ130" s="21" t="n">
        <v>194.258</v>
      </c>
      <c r="AR130" s="21" t="n"/>
      <c r="AS130" s="21" t="n"/>
      <c r="AT130" s="21" t="n">
        <v>313.126</v>
      </c>
      <c r="AU130" s="21" t="n">
        <v>200.24</v>
      </c>
      <c r="AV130" s="21" t="n">
        <v>329.205</v>
      </c>
      <c r="AW130" s="21" t="n">
        <v>300.523</v>
      </c>
      <c r="AX130" s="21" t="n">
        <v>207.413</v>
      </c>
      <c r="AY130" s="21" t="n">
        <v>356.659</v>
      </c>
      <c r="AZ130" s="21" t="n">
        <v>224.597</v>
      </c>
      <c r="BA130" s="21" t="n">
        <v>175.271</v>
      </c>
      <c r="BB130" s="21" t="n">
        <v>241.287</v>
      </c>
      <c r="BC130" s="21" t="n">
        <v>393.072</v>
      </c>
      <c r="BD130" s="21" t="n">
        <v>351.693</v>
      </c>
      <c r="BE130" s="21" t="n">
        <v>271.583</v>
      </c>
      <c r="BF130" s="21" t="n">
        <v>179.651</v>
      </c>
      <c r="BG130" s="21" t="n">
        <v>255.081</v>
      </c>
      <c r="BH130" s="21" t="n">
        <v>187.034</v>
      </c>
      <c r="BI130" s="21" t="n">
        <v>266.689</v>
      </c>
      <c r="BJ130" s="21" t="n">
        <v>274.548</v>
      </c>
      <c r="BK130" s="21" t="n">
        <v>192.556</v>
      </c>
      <c r="BL130" s="21" t="n">
        <v>358.019</v>
      </c>
      <c r="BM130" s="21" t="n">
        <v>402.56</v>
      </c>
      <c r="BN130" s="21" t="n">
        <v>413.448</v>
      </c>
      <c r="BO130" s="21" t="n">
        <v>361.759</v>
      </c>
      <c r="BP130" s="21" t="n">
        <v>221.311</v>
      </c>
      <c r="BQ130" s="21" t="n">
        <v>308.073</v>
      </c>
      <c r="BR130" s="21" t="n">
        <v>635.928</v>
      </c>
      <c r="BS130" s="21" t="n">
        <v>138.78</v>
      </c>
      <c r="BT130" s="21" t="n">
        <v>389.45</v>
      </c>
      <c r="BU130" s="21" t="n">
        <v>448.499</v>
      </c>
      <c r="BV130" s="21" t="n">
        <v>410.578</v>
      </c>
      <c r="BW130" s="21" t="n">
        <v>357.239</v>
      </c>
      <c r="BX130" s="21" t="n">
        <v>386.108</v>
      </c>
      <c r="BY130" s="21" t="n">
        <v>208.634</v>
      </c>
      <c r="BZ130" s="21" t="n">
        <v>227.658</v>
      </c>
      <c r="CA130" s="21" t="n">
        <v>215.056</v>
      </c>
      <c r="CB130" s="21" t="n">
        <v>243.756</v>
      </c>
      <c r="CC130" s="21" t="n">
        <v>187.083</v>
      </c>
      <c r="CD130" s="21" t="n">
        <v>260.337</v>
      </c>
      <c r="CE130" s="21" t="n">
        <v>197.056</v>
      </c>
      <c r="CF130" s="21" t="n">
        <v>237.704</v>
      </c>
      <c r="CG130" s="21" t="n">
        <v>231.144</v>
      </c>
      <c r="CH130" s="21" t="n">
        <v>180.163</v>
      </c>
      <c r="CI130" s="21" t="n">
        <v>235.398</v>
      </c>
      <c r="CJ130" s="21" t="n">
        <v>291.714</v>
      </c>
      <c r="CK130" s="21" t="n">
        <v>157.361</v>
      </c>
      <c r="CL130" s="21" t="n">
        <v>157.842</v>
      </c>
      <c r="CM130" s="21" t="n">
        <v>279.28</v>
      </c>
      <c r="CN130" s="21" t="n">
        <v>290.958</v>
      </c>
      <c r="CO130" s="21" t="n">
        <v>274.191</v>
      </c>
      <c r="CP130" s="21" t="n">
        <v>163.833</v>
      </c>
      <c r="CQ130" s="21" t="n">
        <v>277.71</v>
      </c>
      <c r="CR130" s="21" t="n">
        <v>307.818</v>
      </c>
      <c r="CS130" s="21" t="n">
        <v>280.86</v>
      </c>
      <c r="CT130" s="21" t="n">
        <v>213.101</v>
      </c>
      <c r="CU130" s="21" t="n">
        <v>196.367</v>
      </c>
      <c r="CV130" s="21" t="n">
        <v>315.934</v>
      </c>
      <c r="CW130" s="21" t="n">
        <v>280.004</v>
      </c>
      <c r="CX130" s="21" t="n">
        <v>319.008</v>
      </c>
      <c r="CY130" s="21" t="n">
        <v>472.17</v>
      </c>
      <c r="CZ130" s="21" t="n">
        <v>180.576</v>
      </c>
      <c r="DA130" s="21" t="n">
        <v>221.305</v>
      </c>
      <c r="DB130" s="21" t="n">
        <v>190.288</v>
      </c>
      <c r="DC130" s="21" t="n">
        <v>290.522</v>
      </c>
      <c r="DD130" s="21" t="n">
        <v>320.533</v>
      </c>
      <c r="DE130" s="21" t="n">
        <v>212.828</v>
      </c>
      <c r="DF130" s="21" t="n">
        <v>314.818</v>
      </c>
      <c r="DG130" s="21" t="n">
        <v>318.044</v>
      </c>
      <c r="DH130" s="21" t="n">
        <v>189.097</v>
      </c>
      <c r="DI130" s="21" t="n">
        <v>193.835</v>
      </c>
      <c r="DJ130" s="21" t="n">
        <v>188.329</v>
      </c>
      <c r="DK130" s="21" t="n">
        <v>402.363</v>
      </c>
      <c r="DL130" s="21" t="n">
        <v>227.82</v>
      </c>
      <c r="DM130" s="21" t="n">
        <v>172.026</v>
      </c>
      <c r="DN130" s="21" t="n">
        <v>161.58</v>
      </c>
      <c r="DO130" s="21" t="n">
        <v>385.451</v>
      </c>
      <c r="DP130" s="21" t="n">
        <v>237.937</v>
      </c>
      <c r="DQ130" s="21" t="n">
        <v>252.169</v>
      </c>
      <c r="DR130" s="21" t="n">
        <v>213.261</v>
      </c>
      <c r="DS130" s="21" t="n">
        <v>204.416</v>
      </c>
      <c r="DT130" s="21" t="n">
        <v>248.523</v>
      </c>
      <c r="DU130" s="21" t="n">
        <v>260.734</v>
      </c>
      <c r="DV130" s="21" t="n">
        <v>297.507</v>
      </c>
      <c r="DW130" s="21" t="n">
        <v>231.089</v>
      </c>
      <c r="DX130" s="21" t="n">
        <v>279.596</v>
      </c>
      <c r="DY130" s="21" t="n">
        <v>214.746</v>
      </c>
      <c r="DZ130" s="21" t="n">
        <v>222.514</v>
      </c>
      <c r="EA130" s="21" t="n">
        <v>210.525</v>
      </c>
      <c r="EB130" s="21" t="n">
        <v>181.222</v>
      </c>
      <c r="EC130" s="21" t="n">
        <v>447.101</v>
      </c>
      <c r="ED130" s="21" t="n">
        <v>218.12</v>
      </c>
      <c r="EE130" s="21" t="n">
        <v>239.504</v>
      </c>
      <c r="EF130" s="21" t="n">
        <v>247.44</v>
      </c>
      <c r="EG130" s="21" t="n">
        <v>349.773</v>
      </c>
      <c r="EH130" s="21" t="n">
        <v>418.598</v>
      </c>
      <c r="EI130" s="21" t="n">
        <v>438.212</v>
      </c>
      <c r="EJ130" s="21" t="n">
        <v>187.221</v>
      </c>
      <c r="EK130" s="21" t="n">
        <v>677.686</v>
      </c>
      <c r="EL130" s="21" t="n">
        <v>379.813</v>
      </c>
      <c r="EM130" s="21" t="n">
        <v>431.245</v>
      </c>
      <c r="EN130" s="21" t="n">
        <v>431.246</v>
      </c>
      <c r="EO130" s="21" t="n">
        <v>169.935</v>
      </c>
      <c r="EP130" s="21" t="n">
        <v>334.686</v>
      </c>
      <c r="EQ130" s="21" t="n">
        <v>280.642</v>
      </c>
      <c r="ER130" s="21" t="n">
        <v>351.348</v>
      </c>
      <c r="ES130" s="21" t="n">
        <v>348.399</v>
      </c>
      <c r="ET130" s="21" t="n">
        <v>406.226</v>
      </c>
      <c r="EU130" s="21" t="n">
        <v>286.838</v>
      </c>
      <c r="EV130" s="21" t="n">
        <v>296.887</v>
      </c>
      <c r="EW130" s="21" t="n">
        <v>251.728</v>
      </c>
      <c r="EX130" s="21" t="n">
        <v>319.867</v>
      </c>
      <c r="EY130" s="21" t="n">
        <v>732.838</v>
      </c>
      <c r="EZ130" s="21" t="n">
        <v>652.831</v>
      </c>
      <c r="FA130" s="21" t="n">
        <v>154.023</v>
      </c>
      <c r="FB130" s="21" t="n">
        <v>61.105</v>
      </c>
      <c r="FC130" s="21" t="n">
        <v>132.084</v>
      </c>
      <c r="FD130" s="21" t="n">
        <v>82.07599999999999</v>
      </c>
      <c r="FE130" s="21" t="n">
        <v>41.222</v>
      </c>
      <c r="FF130" s="21" t="n">
        <v>134.988</v>
      </c>
      <c r="FG130" s="21" t="n">
        <v>144.523</v>
      </c>
      <c r="FH130" s="21" t="n">
        <v>110.968</v>
      </c>
      <c r="FI130" s="21" t="n">
        <v>78.102</v>
      </c>
      <c r="FJ130" s="21" t="n"/>
      <c r="FK130" s="21" t="n">
        <v>86.02200000000001</v>
      </c>
      <c r="FL130" s="21" t="n">
        <v>89.78400000000001</v>
      </c>
      <c r="FM130" s="21" t="n">
        <v>107.522</v>
      </c>
      <c r="FN130" s="21" t="n">
        <v>76.11</v>
      </c>
      <c r="FO130" s="21" t="n">
        <v>55.589</v>
      </c>
      <c r="FP130" s="21" t="n">
        <v>40.717</v>
      </c>
      <c r="FQ130" s="21" t="n">
        <v>166.093</v>
      </c>
      <c r="FR130" s="21" t="n">
        <v>43.964</v>
      </c>
      <c r="FS130" s="21" t="n">
        <v>81.23</v>
      </c>
      <c r="FT130" s="21" t="n">
        <v>114.462</v>
      </c>
      <c r="FU130" s="21" t="n">
        <v>126.917</v>
      </c>
      <c r="FV130" s="21" t="n">
        <v>108.903</v>
      </c>
      <c r="FW130" s="21" t="n">
        <v>240.374</v>
      </c>
      <c r="FX130" s="21" t="n">
        <v>152.491</v>
      </c>
      <c r="FY130" s="21" t="n">
        <v>243.179</v>
      </c>
      <c r="FZ130" s="21" t="n">
        <v>142.408</v>
      </c>
      <c r="GA130" s="21" t="n"/>
      <c r="GB130" s="21" t="n"/>
      <c r="GC130" s="21" t="n">
        <v>320.557</v>
      </c>
      <c r="GD130" s="21" t="n">
        <v>206.636</v>
      </c>
      <c r="GE130" s="21" t="n"/>
      <c r="GF130" s="21" t="n">
        <v>135.424</v>
      </c>
      <c r="GG130" s="21" t="n">
        <v>131.973</v>
      </c>
      <c r="GH130" s="21" t="n">
        <v>134.452</v>
      </c>
      <c r="GI130" s="21" t="n">
        <v>95.67100000000001</v>
      </c>
      <c r="GJ130" s="21" t="n">
        <v>185.053</v>
      </c>
      <c r="GK130" s="21" t="n">
        <v>84.875</v>
      </c>
      <c r="GL130" s="21" t="n">
        <v>143.347</v>
      </c>
      <c r="GM130" s="21" t="n">
        <v>120.361</v>
      </c>
      <c r="GN130" s="21" t="n">
        <v>112.922</v>
      </c>
      <c r="GO130" s="21" t="n">
        <v>114.011</v>
      </c>
      <c r="GP130" s="21" t="n">
        <v>111.273</v>
      </c>
      <c r="GQ130" s="21" t="n">
        <v>116.513</v>
      </c>
      <c r="GR130" s="21" t="n">
        <v>76.83</v>
      </c>
      <c r="GS130" s="21" t="n">
        <v>113.427</v>
      </c>
      <c r="GT130" s="21" t="n">
        <v>109.492</v>
      </c>
      <c r="GU130" s="21" t="n">
        <v>149.463</v>
      </c>
      <c r="GV130" s="21" t="n">
        <v>154.829</v>
      </c>
      <c r="GW130" s="21" t="n">
        <v>167.017</v>
      </c>
      <c r="GX130" s="21" t="n">
        <v>136.7</v>
      </c>
      <c r="GY130" s="21" t="n">
        <v>126.761</v>
      </c>
      <c r="GZ130" s="21" t="n">
        <v>213.787</v>
      </c>
      <c r="HA130" s="21" t="n">
        <v>167.504</v>
      </c>
      <c r="HB130" s="21" t="n">
        <v>213.734</v>
      </c>
      <c r="HC130" s="21" t="n">
        <v>274.301</v>
      </c>
      <c r="HD130" s="21" t="n">
        <v>274.71</v>
      </c>
      <c r="HE130" s="21" t="n">
        <v>126.275</v>
      </c>
      <c r="HF130" s="21" t="n">
        <v>178.77</v>
      </c>
      <c r="HG130" s="21" t="n"/>
      <c r="HH130" s="21" t="n">
        <v>173.786</v>
      </c>
      <c r="HI130" s="21" t="n">
        <v>190.777</v>
      </c>
      <c r="HJ130" s="21" t="n"/>
      <c r="HK130" s="21" t="n">
        <v>187.121</v>
      </c>
      <c r="HL130" s="21" t="n">
        <v>113.555</v>
      </c>
      <c r="HM130" s="21" t="n">
        <v>153.461</v>
      </c>
      <c r="HN130" s="21" t="n">
        <v>286.672</v>
      </c>
      <c r="HO130" s="21" t="n">
        <v>285.595</v>
      </c>
      <c r="HP130" s="21" t="n">
        <v>277.779</v>
      </c>
      <c r="HQ130" s="21" t="n">
        <v>317.757</v>
      </c>
      <c r="HR130" s="21" t="n">
        <v>316.28</v>
      </c>
      <c r="HS130" s="21" t="n">
        <v>276.569</v>
      </c>
      <c r="HT130" s="21" t="n">
        <v>188.028</v>
      </c>
      <c r="HU130" s="21" t="n">
        <v>159.678</v>
      </c>
      <c r="HV130" s="21" t="n">
        <v>225.467</v>
      </c>
      <c r="HW130" s="21" t="n">
        <v>211.437</v>
      </c>
      <c r="HX130" s="21" t="n">
        <v>480.713</v>
      </c>
      <c r="HY130" s="21" t="n">
        <v>442.843</v>
      </c>
      <c r="HZ130" s="21" t="n">
        <v>435.955</v>
      </c>
      <c r="IA130" s="21" t="n">
        <v>369.264</v>
      </c>
      <c r="IB130" s="21" t="n">
        <v>305.281</v>
      </c>
      <c r="IC130" s="21" t="n">
        <v>890.473</v>
      </c>
      <c r="ID130" s="21" t="n">
        <v>217.112</v>
      </c>
      <c r="IE130" s="21" t="n">
        <v>200.327</v>
      </c>
      <c r="IF130" s="21" t="n">
        <v>243.917</v>
      </c>
      <c r="IG130" s="21" t="n">
        <v>289.246</v>
      </c>
      <c r="IH130" s="21" t="n"/>
      <c r="II130" s="21" t="n">
        <v>259.202</v>
      </c>
      <c r="IJ130" s="21" t="n">
        <v>258.027</v>
      </c>
      <c r="IK130" s="21" t="n">
        <v>152.579</v>
      </c>
      <c r="IL130" s="21" t="n"/>
      <c r="IM130" s="21" t="n"/>
      <c r="IN130" s="21" t="n">
        <v>62.419</v>
      </c>
      <c r="IO130" s="21" t="n">
        <v>345.349</v>
      </c>
      <c r="IP130" s="21" t="n">
        <v>134.457</v>
      </c>
      <c r="IQ130" s="21" t="n">
        <v>584.8579999999999</v>
      </c>
      <c r="IR130" s="21" t="n">
        <v>416.471</v>
      </c>
      <c r="IS130" s="21" t="n">
        <v>135.993</v>
      </c>
      <c r="IT130" s="21" t="n">
        <v>569.046</v>
      </c>
      <c r="IU130" s="21" t="n">
        <v>108.577</v>
      </c>
      <c r="IV130" s="21" t="n">
        <v>112.217</v>
      </c>
      <c r="IW130" s="21" t="n">
        <v>639.215</v>
      </c>
      <c r="IX130" s="21" t="n">
        <v>442.367</v>
      </c>
      <c r="IY130" s="21" t="n">
        <v>430.246</v>
      </c>
      <c r="IZ130" s="21" t="n">
        <v>622.391</v>
      </c>
      <c r="JA130" s="21" t="n">
        <v>217.854</v>
      </c>
      <c r="JB130" s="21" t="n"/>
      <c r="JC130" s="21" t="n">
        <v>105.063</v>
      </c>
      <c r="JD130" s="21" t="n">
        <v>438.31</v>
      </c>
      <c r="JE130" s="21" t="n">
        <v>420.293</v>
      </c>
      <c r="JF130" s="21" t="n">
        <v>965.554</v>
      </c>
      <c r="JG130" s="21" t="n">
        <v>302.782</v>
      </c>
      <c r="JH130" s="21" t="n">
        <v>188.078</v>
      </c>
      <c r="JI130" s="21" t="n">
        <v>149.597</v>
      </c>
      <c r="JJ130" s="21" t="n">
        <v>141.827</v>
      </c>
      <c r="JK130" s="21" t="n">
        <v>119.853</v>
      </c>
      <c r="JL130" s="21" t="n">
        <v>97.54900000000001</v>
      </c>
      <c r="JM130" s="21" t="n">
        <v>593.405</v>
      </c>
      <c r="JN130" s="21" t="n">
        <v>105.537</v>
      </c>
      <c r="JO130" s="21" t="n">
        <v>77.90000000000001</v>
      </c>
      <c r="JP130" s="21" t="n">
        <v>44.301</v>
      </c>
      <c r="JQ130" s="21" t="n">
        <v>169.468</v>
      </c>
      <c r="JR130" s="21" t="n">
        <v>28.166</v>
      </c>
      <c r="JS130" s="21" t="n">
        <v>88.976</v>
      </c>
      <c r="JT130" s="21" t="n">
        <v>230.823</v>
      </c>
      <c r="JU130" s="21" t="n">
        <v>241.685</v>
      </c>
      <c r="JV130" s="21" t="n">
        <v>191.49</v>
      </c>
      <c r="JW130" s="21" t="n">
        <v>132.065</v>
      </c>
      <c r="JX130" s="21" t="n">
        <v>368.415</v>
      </c>
      <c r="JY130" s="21" t="n">
        <v>269.084</v>
      </c>
      <c r="JZ130" s="21" t="n">
        <v>399.189</v>
      </c>
      <c r="KA130" s="21" t="n">
        <v>123.655</v>
      </c>
      <c r="KB130" s="21" t="n">
        <v>171.39</v>
      </c>
      <c r="KC130" s="21" t="n">
        <v>84.014</v>
      </c>
      <c r="KD130" s="21" t="n">
        <v>85.497</v>
      </c>
      <c r="KE130" s="21" t="n">
        <v>73.499</v>
      </c>
      <c r="KF130" s="21" t="n"/>
      <c r="KG130" s="21" t="n">
        <v>30.196</v>
      </c>
      <c r="KH130" s="21" t="n">
        <v>129.931</v>
      </c>
      <c r="KI130" s="21" t="n"/>
      <c r="KJ130" s="21" t="n"/>
      <c r="KK130" s="21" t="n">
        <v>33.425</v>
      </c>
      <c r="KL130" s="21" t="n">
        <v>28.212</v>
      </c>
      <c r="KM130" s="21" t="n">
        <v>38.151</v>
      </c>
      <c r="KN130" s="21" t="n"/>
      <c r="KO130" s="21" t="n">
        <v>101.228</v>
      </c>
      <c r="KP130" s="21" t="n">
        <v>128.323</v>
      </c>
      <c r="KQ130" s="21" t="n">
        <v>209.451</v>
      </c>
      <c r="KR130" s="21" t="n">
        <v>169.758</v>
      </c>
      <c r="KS130" s="21" t="n">
        <v>483.083</v>
      </c>
      <c r="KT130" s="21" t="n">
        <v>232.612</v>
      </c>
      <c r="KU130" s="21" t="n">
        <v>253.453</v>
      </c>
      <c r="KV130" s="21" t="n">
        <v>414.112</v>
      </c>
      <c r="KW130" s="21" t="n">
        <v>294</v>
      </c>
      <c r="KX130" s="21" t="n">
        <v>231.841</v>
      </c>
      <c r="KY130" s="21" t="n">
        <v>99.76900000000001</v>
      </c>
      <c r="KZ130" s="21" t="n">
        <v>147.501</v>
      </c>
      <c r="LA130" s="21" t="n">
        <v>314.267</v>
      </c>
      <c r="LB130" s="21" t="n">
        <v>757.664</v>
      </c>
      <c r="LC130" s="21" t="n">
        <v>260.226</v>
      </c>
      <c r="LD130" s="21" t="n">
        <v>904.193</v>
      </c>
      <c r="LE130" s="21" t="n">
        <v>965.145</v>
      </c>
      <c r="LF130" s="21" t="n">
        <v>104.052</v>
      </c>
      <c r="LG130" s="21" t="n">
        <v>394.961</v>
      </c>
      <c r="LH130" s="21" t="n">
        <v>282.366</v>
      </c>
      <c r="LI130" s="21" t="n">
        <v>72.818</v>
      </c>
      <c r="LJ130" s="21" t="n">
        <v>252.192</v>
      </c>
      <c r="LK130" s="21" t="n">
        <v>391.802</v>
      </c>
      <c r="LL130" s="21" t="n">
        <v>465.269</v>
      </c>
      <c r="LM130" s="21" t="n">
        <v>68.411</v>
      </c>
      <c r="LN130" s="21" t="n">
        <v>93.19199999999999</v>
      </c>
      <c r="LO130" s="21" t="n">
        <v>46.143</v>
      </c>
      <c r="LP130" s="21" t="n">
        <v>159.679</v>
      </c>
      <c r="LQ130" s="21" t="n"/>
      <c r="LR130" s="21" t="n"/>
      <c r="LS130" s="21" t="n">
        <v>101.053</v>
      </c>
      <c r="LT130" s="21" t="n">
        <v>35.141</v>
      </c>
      <c r="LU130" s="21" t="n">
        <v>21.991</v>
      </c>
      <c r="LV130" s="21" t="n">
        <v>86.2</v>
      </c>
      <c r="LW130" s="21" t="n">
        <v>96.261</v>
      </c>
      <c r="LX130" s="21" t="n">
        <v>37.912</v>
      </c>
      <c r="LY130" s="21" t="n">
        <v>585.873</v>
      </c>
      <c r="LZ130" s="21" t="n">
        <v>105.331</v>
      </c>
      <c r="MA130" s="21" t="n">
        <v>704.581</v>
      </c>
      <c r="MB130" s="21" t="n">
        <v>356.526</v>
      </c>
      <c r="MC130" s="21" t="n">
        <v>293.775</v>
      </c>
      <c r="MD130" s="21" t="n">
        <v>181.816</v>
      </c>
      <c r="ME130" s="21" t="n">
        <v>124.066</v>
      </c>
      <c r="MF130" s="21" t="n">
        <v>192.368</v>
      </c>
      <c r="MG130" s="21" t="n">
        <v>362.968</v>
      </c>
      <c r="MH130" s="21" t="n">
        <v>221.47</v>
      </c>
      <c r="MI130" s="21" t="n">
        <v>584.956</v>
      </c>
      <c r="MJ130" s="21" t="n"/>
      <c r="MK130" s="21" t="n">
        <v>407.049</v>
      </c>
      <c r="ML130" s="21" t="n">
        <v>242.915</v>
      </c>
      <c r="MM130" s="21" t="n">
        <v>294.415</v>
      </c>
      <c r="MN130" s="21" t="n">
        <v>454.276</v>
      </c>
      <c r="MO130" s="21" t="n">
        <v>193.408</v>
      </c>
      <c r="MP130" s="21" t="n">
        <v>353.069</v>
      </c>
      <c r="MQ130" s="21" t="n">
        <v>86.80800000000001</v>
      </c>
      <c r="MR130" s="21" t="n">
        <v>200.399</v>
      </c>
      <c r="MS130" s="21" t="n"/>
      <c r="MT130" s="21" t="n">
        <v>312.239</v>
      </c>
      <c r="MU130" s="21" t="n">
        <v>331.609</v>
      </c>
      <c r="MV130" s="21" t="n">
        <v>322.068</v>
      </c>
      <c r="MW130" s="21" t="n">
        <v>330.804</v>
      </c>
      <c r="MX130" s="21" t="n">
        <v>291.663</v>
      </c>
      <c r="MY130" s="21" t="n">
        <v>279.283</v>
      </c>
      <c r="MZ130" s="21" t="n">
        <v>282.146</v>
      </c>
      <c r="NA130" s="21" t="n">
        <v>287.46</v>
      </c>
      <c r="NB130" s="21" t="n">
        <v>127.251</v>
      </c>
      <c r="NC130" s="21" t="n">
        <v>227.312</v>
      </c>
      <c r="ND130" s="21" t="n">
        <v>179.68</v>
      </c>
      <c r="NE130" s="21" t="n">
        <v>175.741</v>
      </c>
      <c r="NF130" s="21" t="n">
        <v>168.083</v>
      </c>
      <c r="NG130" s="21" t="n">
        <v>166</v>
      </c>
      <c r="NH130" s="21" t="n">
        <v>326.212</v>
      </c>
      <c r="NI130" s="21" t="n">
        <v>124.402</v>
      </c>
      <c r="NJ130" s="21" t="n">
        <v>52.606</v>
      </c>
      <c r="NK130" s="21" t="n">
        <v>125.189</v>
      </c>
      <c r="NL130" s="21" t="n">
        <v>283.589</v>
      </c>
      <c r="NM130" s="21" t="n">
        <v>292.19</v>
      </c>
      <c r="NN130" s="21" t="n">
        <v>108.521</v>
      </c>
      <c r="NO130" s="21" t="n">
        <v>35.7</v>
      </c>
      <c r="NP130" s="21" t="n">
        <v>282.993</v>
      </c>
      <c r="NQ130" s="21" t="n">
        <v>233.863</v>
      </c>
      <c r="NR130" s="21" t="n">
        <v>292.398</v>
      </c>
      <c r="NS130" s="21" t="n">
        <v>229.975</v>
      </c>
      <c r="NT130" s="21" t="n">
        <v>293.608</v>
      </c>
      <c r="NU130" s="21" t="n">
        <v>145.846</v>
      </c>
      <c r="NV130" s="21" t="n">
        <v>164.47</v>
      </c>
      <c r="NW130" s="21" t="n">
        <v>429.001</v>
      </c>
      <c r="NX130" s="21" t="n">
        <v>84.69799999999999</v>
      </c>
      <c r="NY130" s="21" t="n">
        <v>155.909</v>
      </c>
      <c r="NZ130" s="21" t="n">
        <v>437.209</v>
      </c>
      <c r="OA130" s="21" t="n">
        <v>421.102</v>
      </c>
      <c r="OB130" s="21" t="n">
        <v>434.852</v>
      </c>
      <c r="OC130" s="21" t="n">
        <v>404.354</v>
      </c>
      <c r="OD130" s="21" t="n">
        <v>434.536</v>
      </c>
      <c r="OE130" s="21" t="n">
        <v>132.488</v>
      </c>
      <c r="OF130" s="21" t="n">
        <v>447.451</v>
      </c>
      <c r="OG130" s="21" t="n">
        <v>267.839</v>
      </c>
      <c r="OH130" s="21" t="n">
        <v>32.85</v>
      </c>
      <c r="OI130" s="21" t="n">
        <v>156.834</v>
      </c>
      <c r="OJ130" s="21" t="n">
        <v>30.8</v>
      </c>
      <c r="OK130" s="21" t="n">
        <v>10.3</v>
      </c>
    </row>
    <row r="131">
      <c r="A131" s="22" t="n">
        <v>45931</v>
      </c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  <c r="BF131" s="21" t="n"/>
      <c r="BG131" s="21" t="n"/>
      <c r="BH131" s="21" t="n"/>
      <c r="BI131" s="21" t="n"/>
      <c r="BJ131" s="21" t="n"/>
      <c r="BK131" s="21" t="n"/>
      <c r="BL131" s="21" t="n"/>
      <c r="BM131" s="21" t="n"/>
      <c r="BN131" s="21" t="n"/>
      <c r="BO131" s="21" t="n"/>
      <c r="BP131" s="21" t="n"/>
      <c r="BQ131" s="21" t="n"/>
      <c r="BR131" s="21" t="n"/>
      <c r="BS131" s="21" t="n"/>
      <c r="BT131" s="21" t="n"/>
      <c r="BU131" s="21" t="n"/>
      <c r="BV131" s="21" t="n"/>
      <c r="BW131" s="21" t="n"/>
      <c r="BX131" s="21" t="n"/>
      <c r="BY131" s="21" t="n"/>
      <c r="BZ131" s="21" t="n"/>
      <c r="CA131" s="21" t="n"/>
      <c r="CB131" s="21" t="n"/>
      <c r="CC131" s="21" t="n"/>
      <c r="CD131" s="21" t="n"/>
      <c r="CE131" s="21" t="n"/>
      <c r="CF131" s="21" t="n"/>
      <c r="CG131" s="21" t="n"/>
      <c r="CH131" s="21" t="n"/>
      <c r="CI131" s="21" t="n"/>
      <c r="CJ131" s="21" t="n"/>
      <c r="CK131" s="21" t="n"/>
      <c r="CL131" s="21" t="n"/>
      <c r="CM131" s="21" t="n"/>
      <c r="CN131" s="21" t="n"/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  <c r="DX131" s="21" t="n"/>
      <c r="DY131" s="21" t="n"/>
      <c r="DZ131" s="21" t="n"/>
      <c r="EA131" s="21" t="n"/>
      <c r="EB131" s="21" t="n"/>
      <c r="EC131" s="21" t="n"/>
      <c r="ED131" s="21" t="n"/>
      <c r="EE131" s="21" t="n"/>
      <c r="EF131" s="21" t="n"/>
      <c r="EG131" s="21" t="n"/>
      <c r="EH131" s="21" t="n"/>
      <c r="EI131" s="21" t="n"/>
      <c r="EJ131" s="21" t="n"/>
      <c r="EK131" s="21" t="n"/>
      <c r="EL131" s="21" t="n"/>
      <c r="EM131" s="21" t="n"/>
      <c r="EN131" s="21" t="n"/>
      <c r="EO131" s="21" t="n"/>
      <c r="EP131" s="21" t="n"/>
      <c r="EQ131" s="21" t="n"/>
      <c r="ER131" s="21" t="n"/>
      <c r="ES131" s="21" t="n"/>
      <c r="ET131" s="21" t="n"/>
      <c r="EU131" s="21" t="n"/>
      <c r="EV131" s="21" t="n"/>
      <c r="EW131" s="21" t="n"/>
      <c r="EX131" s="21" t="n"/>
      <c r="EY131" s="21" t="n"/>
      <c r="EZ131" s="21" t="n"/>
      <c r="FA131" s="21" t="n"/>
      <c r="FB131" s="21" t="n"/>
      <c r="FC131" s="21" t="n"/>
      <c r="FD131" s="21" t="n"/>
      <c r="FE131" s="21" t="n"/>
      <c r="FF131" s="21" t="n"/>
      <c r="FG131" s="21" t="n"/>
      <c r="FH131" s="21" t="n"/>
      <c r="FI131" s="21" t="n"/>
      <c r="FJ131" s="21" t="n"/>
      <c r="FK131" s="21" t="n"/>
      <c r="FL131" s="21" t="n"/>
      <c r="FM131" s="21" t="n"/>
      <c r="FN131" s="21" t="n"/>
      <c r="FO131" s="21" t="n"/>
      <c r="FP131" s="21" t="n"/>
      <c r="FQ131" s="21" t="n"/>
      <c r="FR131" s="21" t="n"/>
      <c r="FS131" s="21" t="n"/>
      <c r="FT131" s="21" t="n"/>
      <c r="FU131" s="21" t="n"/>
      <c r="FV131" s="21" t="n"/>
      <c r="FW131" s="21" t="n"/>
      <c r="FX131" s="21" t="n"/>
      <c r="FY131" s="21" t="n"/>
      <c r="FZ131" s="21" t="n"/>
      <c r="GA131" s="21" t="n"/>
      <c r="GB131" s="21" t="n"/>
      <c r="GC131" s="21" t="n"/>
      <c r="GD131" s="21" t="n"/>
      <c r="GE131" s="21" t="n"/>
      <c r="GF131" s="21" t="n"/>
      <c r="GG131" s="21" t="n"/>
      <c r="GH131" s="21" t="n"/>
      <c r="GI131" s="21" t="n"/>
      <c r="GJ131" s="21" t="n"/>
      <c r="GK131" s="21" t="n"/>
      <c r="GL131" s="21" t="n"/>
      <c r="GM131" s="21" t="n"/>
      <c r="GN131" s="21" t="n"/>
      <c r="GO131" s="21" t="n"/>
      <c r="GP131" s="21" t="n"/>
      <c r="GQ131" s="21" t="n"/>
      <c r="GR131" s="21" t="n"/>
      <c r="GS131" s="21" t="n"/>
      <c r="GT131" s="21" t="n"/>
      <c r="GU131" s="21" t="n"/>
      <c r="GV131" s="21" t="n"/>
      <c r="GW131" s="21" t="n"/>
      <c r="GX131" s="21" t="n"/>
      <c r="GY131" s="21" t="n"/>
      <c r="GZ131" s="21" t="n"/>
      <c r="HA131" s="21" t="n"/>
      <c r="HB131" s="21" t="n"/>
      <c r="HC131" s="21" t="n"/>
      <c r="HD131" s="21" t="n"/>
      <c r="HE131" s="21" t="n"/>
      <c r="HF131" s="21" t="n">
        <v>178.723</v>
      </c>
      <c r="HG131" s="21" t="n"/>
      <c r="HH131" s="21" t="n">
        <v>173.564</v>
      </c>
      <c r="HI131" s="21" t="n">
        <v>190.747</v>
      </c>
      <c r="HJ131" s="21" t="n"/>
      <c r="HK131" s="21" t="n">
        <v>186.962</v>
      </c>
      <c r="HL131" s="21" t="n">
        <v>113.464</v>
      </c>
      <c r="HM131" s="21" t="n"/>
      <c r="HN131" s="21" t="n"/>
      <c r="HO131" s="21" t="n">
        <v>277.021</v>
      </c>
      <c r="HP131" s="21" t="n">
        <v>268.835</v>
      </c>
      <c r="HQ131" s="21" t="n">
        <v>310.507</v>
      </c>
      <c r="HR131" s="21" t="n">
        <v>310.325</v>
      </c>
      <c r="HS131" s="21" t="n"/>
      <c r="HT131" s="21" t="n"/>
      <c r="HU131" s="21" t="n"/>
      <c r="HV131" s="21" t="n"/>
      <c r="HW131" s="21" t="n"/>
      <c r="HX131" s="21" t="n"/>
      <c r="HY131" s="21" t="n"/>
      <c r="HZ131" s="21" t="n"/>
      <c r="IA131" s="21" t="n"/>
      <c r="IB131" s="21" t="n"/>
      <c r="IC131" s="21" t="n"/>
      <c r="ID131" s="21" t="n"/>
      <c r="IE131" s="21" t="n"/>
      <c r="IF131" s="21" t="n"/>
      <c r="IG131" s="21" t="n"/>
      <c r="IH131" s="21" t="n"/>
      <c r="II131" s="21" t="n"/>
      <c r="IJ131" s="21" t="n"/>
      <c r="IK131" s="21" t="n"/>
      <c r="IL131" s="21" t="n"/>
      <c r="IM131" s="21" t="n"/>
      <c r="IN131" s="21" t="n"/>
      <c r="IO131" s="21" t="n"/>
      <c r="IP131" s="21" t="n"/>
      <c r="IQ131" s="21" t="n"/>
      <c r="IR131" s="21" t="n"/>
      <c r="IS131" s="21" t="n"/>
      <c r="IT131" s="21" t="n"/>
      <c r="IU131" s="21" t="n"/>
      <c r="IV131" s="21" t="n"/>
      <c r="IW131" s="21" t="n"/>
      <c r="IX131" s="21" t="n"/>
      <c r="IY131" s="21" t="n"/>
      <c r="IZ131" s="21" t="n"/>
      <c r="JA131" s="21" t="n"/>
      <c r="JB131" s="21" t="n"/>
      <c r="JC131" s="21" t="n"/>
      <c r="JD131" s="21" t="n"/>
      <c r="JE131" s="21" t="n"/>
      <c r="JF131" s="21" t="n"/>
      <c r="JG131" s="21" t="n"/>
      <c r="JH131" s="21" t="n"/>
      <c r="JI131" s="21" t="n"/>
      <c r="JJ131" s="21" t="n"/>
      <c r="JK131" s="21" t="n"/>
      <c r="JL131" s="21" t="n"/>
      <c r="JM131" s="21" t="n"/>
      <c r="JN131" s="21" t="n"/>
      <c r="JO131" s="21" t="n"/>
      <c r="JP131" s="21" t="n"/>
      <c r="JQ131" s="21" t="n"/>
      <c r="JR131" s="21" t="n"/>
      <c r="JS131" s="21" t="n"/>
      <c r="JT131" s="21" t="n"/>
      <c r="JU131" s="21" t="n"/>
      <c r="JV131" s="21" t="n"/>
      <c r="JW131" s="21" t="n"/>
      <c r="JX131" s="21" t="n"/>
      <c r="JY131" s="21" t="n"/>
      <c r="JZ131" s="21" t="n"/>
      <c r="KA131" s="21" t="n"/>
      <c r="KB131" s="21" t="n"/>
      <c r="KC131" s="21" t="n"/>
      <c r="KD131" s="21" t="n"/>
      <c r="KE131" s="21" t="n"/>
      <c r="KF131" s="21" t="n"/>
      <c r="KG131" s="21" t="n"/>
      <c r="KH131" s="21" t="n"/>
      <c r="KI131" s="21" t="n"/>
      <c r="KJ131" s="21" t="n"/>
      <c r="KK131" s="21" t="n"/>
      <c r="KL131" s="21" t="n"/>
      <c r="KM131" s="21" t="n"/>
      <c r="KN131" s="21" t="n"/>
      <c r="KO131" s="21" t="n"/>
      <c r="KP131" s="21" t="n"/>
      <c r="KQ131" s="21" t="n"/>
      <c r="KR131" s="21" t="n"/>
      <c r="KS131" s="21" t="n"/>
      <c r="KT131" s="21" t="n"/>
      <c r="KU131" s="21" t="n"/>
      <c r="KV131" s="21" t="n"/>
      <c r="KW131" s="21" t="n"/>
      <c r="KX131" s="21" t="n"/>
      <c r="KY131" s="21" t="n"/>
      <c r="KZ131" s="21" t="n"/>
      <c r="LA131" s="21" t="n"/>
      <c r="LB131" s="21" t="n"/>
      <c r="LC131" s="21" t="n"/>
      <c r="LD131" s="21" t="n"/>
      <c r="LE131" s="21" t="n"/>
      <c r="LF131" s="21" t="n"/>
      <c r="LG131" s="21" t="n"/>
      <c r="LH131" s="21" t="n"/>
      <c r="LI131" s="21" t="n"/>
      <c r="LJ131" s="21" t="n"/>
      <c r="LK131" s="21" t="n">
        <v>410.093</v>
      </c>
      <c r="LL131" s="21" t="n"/>
      <c r="LM131" s="21" t="n"/>
      <c r="LN131" s="21" t="n"/>
      <c r="LO131" s="21" t="n">
        <v>46.148</v>
      </c>
      <c r="LP131" s="21" t="n"/>
      <c r="LQ131" s="21" t="n"/>
      <c r="LR131" s="21" t="n"/>
      <c r="LS131" s="21" t="n"/>
      <c r="LT131" s="21" t="n"/>
      <c r="LU131" s="21" t="n"/>
      <c r="LV131" s="21" t="n"/>
      <c r="LW131" s="21" t="n"/>
      <c r="LX131" s="21" t="n"/>
      <c r="LY131" s="21" t="n"/>
      <c r="LZ131" s="21" t="n"/>
      <c r="MA131" s="21" t="n"/>
      <c r="MB131" s="21" t="n"/>
      <c r="MC131" s="21" t="n"/>
      <c r="MD131" s="21" t="n"/>
      <c r="ME131" s="21" t="n"/>
      <c r="MF131" s="21" t="n"/>
      <c r="MG131" s="21" t="n"/>
      <c r="MH131" s="21" t="n"/>
      <c r="MI131" s="21" t="n"/>
      <c r="MJ131" s="21" t="n"/>
      <c r="MK131" s="21" t="n"/>
      <c r="ML131" s="21" t="n"/>
      <c r="MM131" s="21" t="n"/>
      <c r="MN131" s="21" t="n"/>
      <c r="MO131" s="21" t="n"/>
      <c r="MP131" s="21" t="n"/>
      <c r="MQ131" s="21" t="n"/>
      <c r="MR131" s="21" t="n"/>
      <c r="MS131" s="21" t="n"/>
      <c r="MT131" s="21" t="n"/>
      <c r="MU131" s="21" t="n"/>
      <c r="MV131" s="21" t="n"/>
      <c r="MW131" s="21" t="n"/>
      <c r="MX131" s="21" t="n"/>
      <c r="MY131" s="21" t="n"/>
      <c r="MZ131" s="21" t="n"/>
      <c r="NA131" s="21" t="n"/>
      <c r="NB131" s="21" t="n"/>
      <c r="NC131" s="21" t="n"/>
      <c r="ND131" s="21" t="n"/>
      <c r="NE131" s="21" t="n"/>
      <c r="NF131" s="21" t="n"/>
      <c r="NG131" s="21" t="n"/>
      <c r="NH131" s="21" t="n"/>
      <c r="NI131" s="21" t="n"/>
      <c r="NJ131" s="21" t="n"/>
      <c r="NK131" s="21" t="n"/>
      <c r="NL131" s="21" t="n"/>
      <c r="NM131" s="21" t="n"/>
      <c r="NN131" s="21" t="n"/>
      <c r="NO131" s="21" t="n"/>
      <c r="NP131" s="21" t="n"/>
      <c r="NQ131" s="21" t="n"/>
      <c r="NR131" s="21" t="n"/>
      <c r="NS131" s="21" t="n"/>
      <c r="NT131" s="21" t="n"/>
      <c r="NU131" s="21" t="n"/>
      <c r="NV131" s="21" t="n"/>
      <c r="NW131" s="21" t="n"/>
      <c r="NX131" s="21" t="n"/>
      <c r="NY131" s="21" t="n"/>
      <c r="NZ131" s="21" t="n"/>
      <c r="OA131" s="21" t="n"/>
      <c r="OB131" s="21" t="n"/>
      <c r="OC131" s="21" t="n"/>
      <c r="OD131" s="21" t="n"/>
      <c r="OE131" s="21" t="n"/>
      <c r="OF131" s="21" t="n"/>
      <c r="OG131" s="21" t="n"/>
      <c r="OH131" s="21" t="n"/>
      <c r="OI131" s="21" t="n"/>
      <c r="OJ131" s="21" t="n"/>
      <c r="OK131" s="21" t="n"/>
    </row>
    <row r="132">
      <c r="A132" s="22" t="n">
        <v>45962</v>
      </c>
      <c r="B132" s="21" t="n">
        <v>324.122</v>
      </c>
      <c r="C132" s="21" t="n">
        <v>970.924</v>
      </c>
      <c r="D132" s="21" t="n">
        <v>338.857</v>
      </c>
      <c r="E132" s="21" t="n">
        <v>341.721</v>
      </c>
      <c r="F132" s="21" t="n">
        <v>313.954</v>
      </c>
      <c r="G132" s="21" t="n">
        <v>361.255</v>
      </c>
      <c r="H132" s="21" t="n">
        <v>287.875</v>
      </c>
      <c r="I132" s="21" t="n">
        <v>319.553</v>
      </c>
      <c r="J132" s="21" t="n">
        <v>284.674</v>
      </c>
      <c r="K132" s="21" t="n">
        <v>288.994</v>
      </c>
      <c r="L132" s="21" t="n">
        <v>194.896</v>
      </c>
      <c r="M132" s="21" t="n">
        <v>404.131</v>
      </c>
      <c r="N132" s="21" t="n">
        <v>242.834</v>
      </c>
      <c r="O132" s="21" t="n">
        <v>434.9</v>
      </c>
      <c r="P132" s="21" t="n">
        <v>477.774</v>
      </c>
      <c r="Q132" s="21" t="n">
        <v>241.946</v>
      </c>
      <c r="R132" s="21" t="n">
        <v>389.531</v>
      </c>
      <c r="S132" s="21" t="n">
        <v>403.186</v>
      </c>
      <c r="T132" s="21" t="n">
        <v>373.904</v>
      </c>
      <c r="U132" s="21" t="n">
        <v>353.643</v>
      </c>
      <c r="V132" s="21" t="n">
        <v>414.844</v>
      </c>
      <c r="W132" s="21" t="n">
        <v>431.497</v>
      </c>
      <c r="X132" s="21" t="n">
        <v>329.023</v>
      </c>
      <c r="Y132" s="21" t="n">
        <v>347.565</v>
      </c>
      <c r="Z132" s="21" t="n">
        <v>352.116</v>
      </c>
      <c r="AA132" s="21" t="n">
        <v>370.74</v>
      </c>
      <c r="AB132" s="21" t="n">
        <v>502.259</v>
      </c>
      <c r="AC132" s="21" t="n">
        <v>427.481</v>
      </c>
      <c r="AD132" s="21" t="n">
        <v>425.302</v>
      </c>
      <c r="AE132" s="21" t="n">
        <v>332.599</v>
      </c>
      <c r="AF132" s="21" t="n">
        <v>410.507</v>
      </c>
      <c r="AG132" s="21" t="n">
        <v>272.637</v>
      </c>
      <c r="AH132" s="21" t="n">
        <v>203.98</v>
      </c>
      <c r="AI132" s="21" t="n">
        <v>388.228</v>
      </c>
      <c r="AJ132" s="21" t="n">
        <v>184.477</v>
      </c>
      <c r="AK132" s="21" t="n">
        <v>255.038</v>
      </c>
      <c r="AL132" s="21" t="n">
        <v>283.094</v>
      </c>
      <c r="AM132" s="21" t="n">
        <v>238.776</v>
      </c>
      <c r="AN132" s="21" t="n">
        <v>169.255</v>
      </c>
      <c r="AO132" s="21" t="n">
        <v>303.875</v>
      </c>
      <c r="AP132" s="21" t="n">
        <v>321.726</v>
      </c>
      <c r="AQ132" s="21" t="n">
        <v>195.476</v>
      </c>
      <c r="AR132" s="21" t="n"/>
      <c r="AS132" s="21" t="n"/>
      <c r="AT132" s="21" t="n">
        <v>310.592</v>
      </c>
      <c r="AU132" s="21" t="n">
        <v>199.458</v>
      </c>
      <c r="AV132" s="21" t="n">
        <v>327.631</v>
      </c>
      <c r="AW132" s="21" t="n">
        <v>299.529</v>
      </c>
      <c r="AX132" s="21" t="n">
        <v>203.172</v>
      </c>
      <c r="AY132" s="21" t="n">
        <v>366.348</v>
      </c>
      <c r="AZ132" s="21" t="n">
        <v>228.899</v>
      </c>
      <c r="BA132" s="21" t="n">
        <v>181.993</v>
      </c>
      <c r="BB132" s="21" t="n">
        <v>255.825</v>
      </c>
      <c r="BC132" s="21" t="n">
        <v>406.835</v>
      </c>
      <c r="BD132" s="21" t="n">
        <v>311.513</v>
      </c>
      <c r="BE132" s="21" t="n">
        <v>266.491</v>
      </c>
      <c r="BF132" s="21" t="n">
        <v>178.184</v>
      </c>
      <c r="BG132" s="21" t="n">
        <v>252.152</v>
      </c>
      <c r="BH132" s="21" t="n">
        <v>185.55</v>
      </c>
      <c r="BI132" s="21" t="n">
        <v>258.555</v>
      </c>
      <c r="BJ132" s="21" t="n">
        <v>273.239</v>
      </c>
      <c r="BK132" s="21" t="n">
        <v>187.777</v>
      </c>
      <c r="BL132" s="21" t="n">
        <v>355.125</v>
      </c>
      <c r="BM132" s="21" t="n">
        <v>401.86</v>
      </c>
      <c r="BN132" s="21" t="n">
        <v>419.064</v>
      </c>
      <c r="BO132" s="21" t="n">
        <v>345.737</v>
      </c>
      <c r="BP132" s="21" t="n">
        <v>221.219</v>
      </c>
      <c r="BQ132" s="21" t="n">
        <v>293.997</v>
      </c>
      <c r="BR132" s="21" t="n">
        <v>599.968</v>
      </c>
      <c r="BS132" s="21" t="n">
        <v>145.588</v>
      </c>
      <c r="BT132" s="21" t="n">
        <v>382.801</v>
      </c>
      <c r="BU132" s="21" t="n">
        <v>387.484</v>
      </c>
      <c r="BV132" s="21" t="n">
        <v>434.682</v>
      </c>
      <c r="BW132" s="21" t="n">
        <v>357.714</v>
      </c>
      <c r="BX132" s="21" t="n">
        <v>384.139</v>
      </c>
      <c r="BY132" s="21" t="n">
        <v>200.455</v>
      </c>
      <c r="BZ132" s="21" t="n">
        <v>213.922</v>
      </c>
      <c r="CA132" s="21" t="n">
        <v>208.807</v>
      </c>
      <c r="CB132" s="21" t="n">
        <v>225.31</v>
      </c>
      <c r="CC132" s="21" t="n">
        <v>177.778</v>
      </c>
      <c r="CD132" s="21" t="n">
        <v>245.718</v>
      </c>
      <c r="CE132" s="21" t="n">
        <v>197.39</v>
      </c>
      <c r="CF132" s="21" t="n">
        <v>238.385</v>
      </c>
      <c r="CG132" s="21" t="n">
        <v>231.235</v>
      </c>
      <c r="CH132" s="21" t="n">
        <v>178.501</v>
      </c>
      <c r="CI132" s="21" t="n">
        <v>230.226</v>
      </c>
      <c r="CJ132" s="21" t="n">
        <v>280.602</v>
      </c>
      <c r="CK132" s="21" t="n">
        <v>158.476</v>
      </c>
      <c r="CL132" s="21" t="n">
        <v>161.302</v>
      </c>
      <c r="CM132" s="21" t="n">
        <v>283.478</v>
      </c>
      <c r="CN132" s="21" t="n">
        <v>295.266</v>
      </c>
      <c r="CO132" s="21" t="n">
        <v>280.939</v>
      </c>
      <c r="CP132" s="21" t="n">
        <v>168.74</v>
      </c>
      <c r="CQ132" s="21" t="n">
        <v>275.668</v>
      </c>
      <c r="CR132" s="21" t="n">
        <v>311.283</v>
      </c>
      <c r="CS132" s="21" t="n">
        <v>267.602</v>
      </c>
      <c r="CT132" s="21" t="n">
        <v>219.801</v>
      </c>
      <c r="CU132" s="21" t="n">
        <v>190.013</v>
      </c>
      <c r="CV132" s="21" t="n">
        <v>310.497</v>
      </c>
      <c r="CW132" s="21" t="n">
        <v>268.401</v>
      </c>
      <c r="CX132" s="21" t="n">
        <v>302.792</v>
      </c>
      <c r="CY132" s="21" t="n">
        <v>463.244</v>
      </c>
      <c r="CZ132" s="21" t="n">
        <v>177.786</v>
      </c>
      <c r="DA132" s="21" t="n">
        <v>219.642</v>
      </c>
      <c r="DB132" s="21" t="n">
        <v>184.712</v>
      </c>
      <c r="DC132" s="21" t="n">
        <v>287.735</v>
      </c>
      <c r="DD132" s="21" t="n">
        <v>307.545</v>
      </c>
      <c r="DE132" s="21" t="n">
        <v>212.556</v>
      </c>
      <c r="DF132" s="21" t="n">
        <v>310.647</v>
      </c>
      <c r="DG132" s="21" t="n">
        <v>310.529</v>
      </c>
      <c r="DH132" s="21" t="n">
        <v>187.112</v>
      </c>
      <c r="DI132" s="21" t="n">
        <v>192.975</v>
      </c>
      <c r="DJ132" s="21" t="n">
        <v>184.268</v>
      </c>
      <c r="DK132" s="21" t="n">
        <v>381.45</v>
      </c>
      <c r="DL132" s="21" t="n">
        <v>226.941</v>
      </c>
      <c r="DM132" s="21" t="n">
        <v>172.692</v>
      </c>
      <c r="DN132" s="21" t="n">
        <v>163.348</v>
      </c>
      <c r="DO132" s="21" t="n">
        <v>387.202</v>
      </c>
      <c r="DP132" s="21" t="n">
        <v>239.371</v>
      </c>
      <c r="DQ132" s="21" t="n">
        <v>253.116</v>
      </c>
      <c r="DR132" s="21" t="n">
        <v>213.413</v>
      </c>
      <c r="DS132" s="21" t="n">
        <v>204.596</v>
      </c>
      <c r="DT132" s="21" t="n">
        <v>246.403</v>
      </c>
      <c r="DU132" s="21" t="n">
        <v>261.513</v>
      </c>
      <c r="DV132" s="21" t="n">
        <v>298.31</v>
      </c>
      <c r="DW132" s="21" t="n">
        <v>231.877</v>
      </c>
      <c r="DX132" s="21" t="n">
        <v>281.251</v>
      </c>
      <c r="DY132" s="21" t="n">
        <v>214.617</v>
      </c>
      <c r="DZ132" s="21" t="n"/>
      <c r="EA132" s="21" t="n">
        <v>210.237</v>
      </c>
      <c r="EB132" s="21" t="n">
        <v>181.869</v>
      </c>
      <c r="EC132" s="21" t="n">
        <v>447.946</v>
      </c>
      <c r="ED132" s="21" t="n">
        <v>218.38</v>
      </c>
      <c r="EE132" s="21" t="n">
        <v>240.293</v>
      </c>
      <c r="EF132" s="21" t="n">
        <v>248.129</v>
      </c>
      <c r="EG132" s="21" t="n">
        <v>349.973</v>
      </c>
      <c r="EH132" s="21" t="n">
        <v>418.593</v>
      </c>
      <c r="EI132" s="21" t="n">
        <v>439.275</v>
      </c>
      <c r="EJ132" s="21" t="n">
        <v>171.916</v>
      </c>
      <c r="EK132" s="21" t="n">
        <v>677.87</v>
      </c>
      <c r="EL132" s="21" t="n">
        <v>341.837</v>
      </c>
      <c r="EM132" s="21" t="n">
        <v>432.724</v>
      </c>
      <c r="EN132" s="21" t="n">
        <v>432.722</v>
      </c>
      <c r="EO132" s="21" t="n">
        <v>170.366</v>
      </c>
      <c r="EP132" s="21" t="n">
        <v>335.637</v>
      </c>
      <c r="EQ132" s="21" t="n">
        <v>281.272</v>
      </c>
      <c r="ER132" s="21" t="n">
        <v>365.813</v>
      </c>
      <c r="ES132" s="21" t="n">
        <v>373.093</v>
      </c>
      <c r="ET132" s="21" t="n">
        <v>407.711</v>
      </c>
      <c r="EU132" s="21" t="n">
        <v>287.021</v>
      </c>
      <c r="EV132" s="21" t="n">
        <v>294.939</v>
      </c>
      <c r="EW132" s="21" t="n">
        <v>257.731</v>
      </c>
      <c r="EX132" s="21" t="n">
        <v>321.363</v>
      </c>
      <c r="EY132" s="21" t="n">
        <v>736.3579999999999</v>
      </c>
      <c r="EZ132" s="21" t="n">
        <v>655.705</v>
      </c>
      <c r="FA132" s="21" t="n">
        <v>154.477</v>
      </c>
      <c r="FB132" s="21" t="n">
        <v>60.828</v>
      </c>
      <c r="FC132" s="21" t="n">
        <v>131.649</v>
      </c>
      <c r="FD132" s="21" t="n">
        <v>85.218</v>
      </c>
      <c r="FE132" s="21" t="n">
        <v>40.263</v>
      </c>
      <c r="FF132" s="21" t="n">
        <v>134.966</v>
      </c>
      <c r="FG132" s="21" t="n">
        <v>142.159</v>
      </c>
      <c r="FH132" s="21" t="n">
        <v>111.938</v>
      </c>
      <c r="FI132" s="21" t="n">
        <v>78.458</v>
      </c>
      <c r="FJ132" s="21" t="n"/>
      <c r="FK132" s="21" t="n">
        <v>83.402</v>
      </c>
      <c r="FL132" s="21" t="n">
        <v>88.38800000000001</v>
      </c>
      <c r="FM132" s="21" t="n">
        <v>106.978</v>
      </c>
      <c r="FN132" s="21" t="n">
        <v>73.26000000000001</v>
      </c>
      <c r="FO132" s="21" t="n">
        <v>55.074</v>
      </c>
      <c r="FP132" s="21" t="n">
        <v>39.973</v>
      </c>
      <c r="FQ132" s="21" t="n">
        <v>168.289</v>
      </c>
      <c r="FR132" s="21" t="n">
        <v>41.776</v>
      </c>
      <c r="FS132" s="21" t="n">
        <v>82.71299999999999</v>
      </c>
      <c r="FT132" s="21" t="n">
        <v>114.355</v>
      </c>
      <c r="FU132" s="21" t="n">
        <v>126.806</v>
      </c>
      <c r="FV132" s="21" t="n">
        <v>108.792</v>
      </c>
      <c r="FW132" s="21" t="n">
        <v>239.873</v>
      </c>
      <c r="FX132" s="21" t="n">
        <v>152.567</v>
      </c>
      <c r="FY132" s="21" t="n">
        <v>240.845</v>
      </c>
      <c r="FZ132" s="21" t="n">
        <v>142.372</v>
      </c>
      <c r="GA132" s="21" t="n"/>
      <c r="GB132" s="21" t="n"/>
      <c r="GC132" s="21" t="n"/>
      <c r="GD132" s="21" t="n">
        <v>199.512</v>
      </c>
      <c r="GE132" s="21" t="n"/>
      <c r="GF132" s="21" t="n">
        <v>129.763</v>
      </c>
      <c r="GG132" s="21" t="n">
        <v>126.69</v>
      </c>
      <c r="GH132" s="21" t="n">
        <v>129.419</v>
      </c>
      <c r="GI132" s="21" t="n">
        <v>93.91200000000001</v>
      </c>
      <c r="GJ132" s="21" t="n">
        <v>181.977</v>
      </c>
      <c r="GK132" s="21" t="n">
        <v>80.52</v>
      </c>
      <c r="GL132" s="21" t="n">
        <v>135.396</v>
      </c>
      <c r="GM132" s="21" t="n">
        <v>114.244</v>
      </c>
      <c r="GN132" s="21" t="n">
        <v>106.47</v>
      </c>
      <c r="GO132" s="21" t="n">
        <v>107.999</v>
      </c>
      <c r="GP132" s="21" t="n">
        <v>104.663</v>
      </c>
      <c r="GQ132" s="21" t="n">
        <v>107.759</v>
      </c>
      <c r="GR132" s="21" t="n">
        <v>71.944</v>
      </c>
      <c r="GS132" s="21" t="n">
        <v>110.424</v>
      </c>
      <c r="GT132" s="21" t="n">
        <v>99.584</v>
      </c>
      <c r="GU132" s="21" t="n">
        <v>145.778</v>
      </c>
      <c r="GV132" s="21" t="n">
        <v>150.874</v>
      </c>
      <c r="GW132" s="21" t="n">
        <v>163.19</v>
      </c>
      <c r="GX132" s="21" t="n">
        <v>133.322</v>
      </c>
      <c r="GY132" s="21" t="n">
        <v>125.058</v>
      </c>
      <c r="GZ132" s="21" t="n">
        <v>206.316</v>
      </c>
      <c r="HA132" s="21" t="n">
        <v>166.32</v>
      </c>
      <c r="HB132" s="21" t="n">
        <v>204.565</v>
      </c>
      <c r="HC132" s="21" t="n">
        <v>272.615</v>
      </c>
      <c r="HD132" s="21" t="n">
        <v>273.036</v>
      </c>
      <c r="HE132" s="21" t="n">
        <v>125.978</v>
      </c>
      <c r="HF132" s="21" t="n">
        <v>178.575</v>
      </c>
      <c r="HG132" s="21" t="n"/>
      <c r="HH132" s="21" t="n">
        <v>173.643</v>
      </c>
      <c r="HI132" s="21" t="n">
        <v>190.553</v>
      </c>
      <c r="HJ132" s="21" t="n"/>
      <c r="HK132" s="21" t="n">
        <v>186.367</v>
      </c>
      <c r="HL132" s="21" t="n">
        <v>113.096</v>
      </c>
      <c r="HM132" s="21" t="n">
        <v>152.289</v>
      </c>
      <c r="HN132" s="21" t="n">
        <v>277.52</v>
      </c>
      <c r="HO132" s="21" t="n">
        <v>276.152</v>
      </c>
      <c r="HP132" s="21" t="n">
        <v>268.061</v>
      </c>
      <c r="HQ132" s="21" t="n">
        <v>309.189</v>
      </c>
      <c r="HR132" s="21" t="n">
        <v>308.99</v>
      </c>
      <c r="HS132" s="21" t="n">
        <v>279.001</v>
      </c>
      <c r="HT132" s="21" t="n">
        <v>186.065</v>
      </c>
      <c r="HU132" s="21" t="n">
        <v>157.59</v>
      </c>
      <c r="HV132" s="21" t="n">
        <v>225.865</v>
      </c>
      <c r="HW132" s="21" t="n">
        <v>211.659</v>
      </c>
      <c r="HX132" s="21" t="n">
        <v>487.929</v>
      </c>
      <c r="HY132" s="21" t="n">
        <v>445.325</v>
      </c>
      <c r="HZ132" s="21" t="n"/>
      <c r="IA132" s="21" t="n">
        <v>372.475</v>
      </c>
      <c r="IB132" s="21" t="n">
        <v>305.587</v>
      </c>
      <c r="IC132" s="21" t="n"/>
      <c r="ID132" s="21" t="n">
        <v>215.23</v>
      </c>
      <c r="IE132" s="21" t="n">
        <v>203.848</v>
      </c>
      <c r="IF132" s="21" t="n">
        <v>233.102</v>
      </c>
      <c r="IG132" s="21" t="n">
        <v>289.75</v>
      </c>
      <c r="IH132" s="21" t="n"/>
      <c r="II132" s="21" t="n">
        <v>257.461</v>
      </c>
      <c r="IJ132" s="21" t="n">
        <v>254.924</v>
      </c>
      <c r="IK132" s="21" t="n">
        <v>154.365</v>
      </c>
      <c r="IL132" s="21" t="n"/>
      <c r="IM132" s="21" t="n"/>
      <c r="IN132" s="21" t="n">
        <v>61.821</v>
      </c>
      <c r="IO132" s="21" t="n">
        <v>344.027</v>
      </c>
      <c r="IP132" s="21" t="n">
        <v>134.457</v>
      </c>
      <c r="IQ132" s="21" t="n">
        <v>585.213</v>
      </c>
      <c r="IR132" s="21" t="n">
        <v>417.161</v>
      </c>
      <c r="IS132" s="21" t="n">
        <v>136.152</v>
      </c>
      <c r="IT132" s="21" t="n">
        <v>568.885</v>
      </c>
      <c r="IU132" s="21" t="n">
        <v>109.06</v>
      </c>
      <c r="IV132" s="21" t="n">
        <v>112.808</v>
      </c>
      <c r="IW132" s="21" t="n">
        <v>639.455</v>
      </c>
      <c r="IX132" s="21" t="n">
        <v>443.599</v>
      </c>
      <c r="IY132" s="21" t="n">
        <v>430.623</v>
      </c>
      <c r="IZ132" s="21" t="n">
        <v>625.7089999999999</v>
      </c>
      <c r="JA132" s="21" t="n">
        <v>220.222</v>
      </c>
      <c r="JB132" s="21" t="n"/>
      <c r="JC132" s="21" t="n">
        <v>105.756</v>
      </c>
      <c r="JD132" s="21" t="n">
        <v>441.457</v>
      </c>
      <c r="JE132" s="21" t="n"/>
      <c r="JF132" s="21" t="n">
        <v>973.566</v>
      </c>
      <c r="JG132" s="21" t="n">
        <v>303.189</v>
      </c>
      <c r="JH132" s="21" t="n">
        <v>189.01</v>
      </c>
      <c r="JI132" s="21" t="n">
        <v>145.312</v>
      </c>
      <c r="JJ132" s="21" t="n">
        <v>140.821</v>
      </c>
      <c r="JK132" s="21" t="n">
        <v>119.563</v>
      </c>
      <c r="JL132" s="21" t="n">
        <v>94.193</v>
      </c>
      <c r="JM132" s="21" t="n">
        <v>595.019</v>
      </c>
      <c r="JN132" s="21" t="n">
        <v>102.913</v>
      </c>
      <c r="JO132" s="21" t="n">
        <v>78.036</v>
      </c>
      <c r="JP132" s="21" t="n">
        <v>43.514</v>
      </c>
      <c r="JQ132" s="21" t="n">
        <v>172.112</v>
      </c>
      <c r="JR132" s="21" t="n">
        <v>27.691</v>
      </c>
      <c r="JS132" s="21" t="n">
        <v>89.117</v>
      </c>
      <c r="JT132" s="21" t="n">
        <v>230.172</v>
      </c>
      <c r="JU132" s="21" t="n">
        <v>240.613</v>
      </c>
      <c r="JV132" s="21" t="n">
        <v>190.625</v>
      </c>
      <c r="JW132" s="21" t="n">
        <v>131.631</v>
      </c>
      <c r="JX132" s="21" t="n">
        <v>368.059</v>
      </c>
      <c r="JY132" s="21" t="n">
        <v>271.556</v>
      </c>
      <c r="JZ132" s="21" t="n">
        <v>396.831</v>
      </c>
      <c r="KA132" s="21" t="n">
        <v>122.579</v>
      </c>
      <c r="KB132" s="21" t="n">
        <v>169.687</v>
      </c>
      <c r="KC132" s="21" t="n">
        <v>83.36499999999999</v>
      </c>
      <c r="KD132" s="21" t="n">
        <v>86.351</v>
      </c>
      <c r="KE132" s="21" t="n">
        <v>74.128</v>
      </c>
      <c r="KF132" s="21" t="n"/>
      <c r="KG132" s="21" t="n">
        <v>30.466</v>
      </c>
      <c r="KH132" s="21" t="n"/>
      <c r="KI132" s="21" t="n"/>
      <c r="KJ132" s="21" t="n"/>
      <c r="KK132" s="21" t="n">
        <v>32.824</v>
      </c>
      <c r="KL132" s="21" t="n">
        <v>27.558</v>
      </c>
      <c r="KM132" s="21" t="n">
        <v>37.307</v>
      </c>
      <c r="KN132" s="21" t="n"/>
      <c r="KO132" s="21" t="n">
        <v>102.35</v>
      </c>
      <c r="KP132" s="21" t="n">
        <v>128.531</v>
      </c>
      <c r="KQ132" s="21" t="n">
        <v>207.161</v>
      </c>
      <c r="KR132" s="21" t="n">
        <v>167.245</v>
      </c>
      <c r="KS132" s="21" t="n">
        <v>477.158</v>
      </c>
      <c r="KT132" s="21" t="n">
        <v>237.186</v>
      </c>
      <c r="KU132" s="21" t="n"/>
      <c r="KV132" s="21" t="n"/>
      <c r="KW132" s="21" t="n">
        <v>296.239</v>
      </c>
      <c r="KX132" s="21" t="n">
        <v>231.962</v>
      </c>
      <c r="KY132" s="21" t="n">
        <v>101.385</v>
      </c>
      <c r="KZ132" s="21" t="n">
        <v>147.928</v>
      </c>
      <c r="LA132" s="21" t="n">
        <v>314.643</v>
      </c>
      <c r="LB132" s="21" t="n">
        <v>758.197</v>
      </c>
      <c r="LC132" s="21" t="n">
        <v>259.52</v>
      </c>
      <c r="LD132" s="21" t="n">
        <v>905.284</v>
      </c>
      <c r="LE132" s="21" t="n">
        <v>967.8099999999999</v>
      </c>
      <c r="LF132" s="21" t="n">
        <v>104.083</v>
      </c>
      <c r="LG132" s="21" t="n">
        <v>394.557</v>
      </c>
      <c r="LH132" s="21" t="n">
        <v>282.663</v>
      </c>
      <c r="LI132" s="21" t="n">
        <v>73.133</v>
      </c>
      <c r="LJ132" s="21" t="n">
        <v>263.681</v>
      </c>
      <c r="LK132" s="21" t="n">
        <v>410.093</v>
      </c>
      <c r="LL132" s="21" t="n">
        <v>473.419</v>
      </c>
      <c r="LM132" s="21" t="n">
        <v>68.657</v>
      </c>
      <c r="LN132" s="21" t="n">
        <v>94.048</v>
      </c>
      <c r="LO132" s="21" t="n">
        <v>46.638</v>
      </c>
      <c r="LP132" s="21" t="n">
        <v>159.355</v>
      </c>
      <c r="LQ132" s="21" t="n"/>
      <c r="LR132" s="21" t="n"/>
      <c r="LS132" s="21" t="n">
        <v>100.929</v>
      </c>
      <c r="LT132" s="21" t="n">
        <v>34.184</v>
      </c>
      <c r="LU132" s="21" t="n">
        <v>22.182</v>
      </c>
      <c r="LV132" s="21" t="n">
        <v>86.88800000000001</v>
      </c>
      <c r="LW132" s="21" t="n">
        <v>95.68600000000001</v>
      </c>
      <c r="LX132" s="21" t="n">
        <v>37.825</v>
      </c>
      <c r="LY132" s="21" t="n">
        <v>588.9349999999999</v>
      </c>
      <c r="LZ132" s="21" t="n">
        <v>106.948</v>
      </c>
      <c r="MA132" s="21" t="n">
        <v>717.236</v>
      </c>
      <c r="MB132" s="21" t="n">
        <v>358.992</v>
      </c>
      <c r="MC132" s="21" t="n">
        <v>294.713</v>
      </c>
      <c r="MD132" s="21" t="n">
        <v>180.752</v>
      </c>
      <c r="ME132" s="21" t="n">
        <v>124.059</v>
      </c>
      <c r="MF132" s="21" t="n">
        <v>190.307</v>
      </c>
      <c r="MG132" s="21" t="n">
        <v>364.342</v>
      </c>
      <c r="MH132" s="21" t="n">
        <v>222.308</v>
      </c>
      <c r="MI132" s="21" t="n">
        <v>591.152</v>
      </c>
      <c r="MJ132" s="21" t="n"/>
      <c r="MK132" s="21" t="n">
        <v>407.062</v>
      </c>
      <c r="ML132" s="21" t="n">
        <v>243.292</v>
      </c>
      <c r="MM132" s="21" t="n">
        <v>297.978</v>
      </c>
      <c r="MN132" s="21" t="n">
        <v>471.503</v>
      </c>
      <c r="MO132" s="21" t="n">
        <v>192.454</v>
      </c>
      <c r="MP132" s="21" t="n">
        <v>377.309</v>
      </c>
      <c r="MQ132" s="21" t="n">
        <v>86.03</v>
      </c>
      <c r="MR132" s="21" t="n">
        <v>203.159</v>
      </c>
      <c r="MS132" s="21" t="n"/>
      <c r="MT132" s="21" t="n">
        <v>311.511</v>
      </c>
      <c r="MU132" s="21" t="n">
        <v>331.188</v>
      </c>
      <c r="MV132" s="21" t="n">
        <v>321.391</v>
      </c>
      <c r="MW132" s="21" t="n">
        <v>330.425</v>
      </c>
      <c r="MX132" s="21" t="n">
        <v>290.721</v>
      </c>
      <c r="MY132" s="21" t="n">
        <v>278.288</v>
      </c>
      <c r="MZ132" s="21" t="n">
        <v>281.568</v>
      </c>
      <c r="NA132" s="21" t="n">
        <v>286.905</v>
      </c>
      <c r="NB132" s="21" t="n">
        <v>121.285</v>
      </c>
      <c r="NC132" s="21" t="n">
        <v>225.557</v>
      </c>
      <c r="ND132" s="21" t="n">
        <v>177.669</v>
      </c>
      <c r="NE132" s="21" t="n">
        <v>173.681</v>
      </c>
      <c r="NF132" s="21" t="n">
        <v>166.693</v>
      </c>
      <c r="NG132" s="21" t="n">
        <v>164.527</v>
      </c>
      <c r="NH132" s="21" t="n">
        <v>323.321</v>
      </c>
      <c r="NI132" s="21" t="n">
        <v>123.844</v>
      </c>
      <c r="NJ132" s="21" t="n">
        <v>51.931</v>
      </c>
      <c r="NK132" s="21" t="n">
        <v>125.841</v>
      </c>
      <c r="NL132" s="21" t="n">
        <v>279.588</v>
      </c>
      <c r="NM132" s="21" t="n">
        <v>283.746</v>
      </c>
      <c r="NN132" s="21" t="n">
        <v>108.041</v>
      </c>
      <c r="NO132" s="21" t="n">
        <v>35.212</v>
      </c>
      <c r="NP132" s="21" t="n">
        <v>280.413</v>
      </c>
      <c r="NQ132" s="21" t="n">
        <v>229.777</v>
      </c>
      <c r="NR132" s="21" t="n">
        <v>289.299</v>
      </c>
      <c r="NS132" s="21" t="n">
        <v>225.602</v>
      </c>
      <c r="NT132" s="21" t="n">
        <v>290.105</v>
      </c>
      <c r="NU132" s="21" t="n">
        <v>146.117</v>
      </c>
      <c r="NV132" s="21" t="n">
        <v>165.763</v>
      </c>
      <c r="NW132" s="21" t="n">
        <v>429.789</v>
      </c>
      <c r="NX132" s="21" t="n">
        <v>83.90600000000001</v>
      </c>
      <c r="NY132" s="21" t="n">
        <v>154.991</v>
      </c>
      <c r="NZ132" s="21" t="n">
        <v>437.191</v>
      </c>
      <c r="OA132" s="21" t="n">
        <v>421.567</v>
      </c>
      <c r="OB132" s="21" t="n">
        <v>435.344</v>
      </c>
      <c r="OC132" s="21" t="n">
        <v>404.836</v>
      </c>
      <c r="OD132" s="21" t="n">
        <v>435.623</v>
      </c>
      <c r="OE132" s="21" t="n">
        <v>132.147</v>
      </c>
      <c r="OF132" s="21" t="n">
        <v>448.507</v>
      </c>
      <c r="OG132" s="21" t="n">
        <v>268.264</v>
      </c>
      <c r="OH132" s="21" t="n">
        <v>32.257</v>
      </c>
      <c r="OI132" s="21" t="n">
        <v>157.231</v>
      </c>
      <c r="OJ132" s="21" t="n">
        <v>30.9</v>
      </c>
      <c r="OK132" s="21" t="n">
        <v>10.3</v>
      </c>
    </row>
    <row r="133">
      <c r="A133" s="22" t="n">
        <v>45992</v>
      </c>
      <c r="B133" s="21" t="n">
        <v>324.054</v>
      </c>
      <c r="C133" s="21" t="n">
        <v>970.722</v>
      </c>
      <c r="D133" s="21" t="n">
        <v>340.78</v>
      </c>
      <c r="E133" s="21" t="n">
        <v>343.795</v>
      </c>
      <c r="F133" s="21" t="n">
        <v>315.664</v>
      </c>
      <c r="G133" s="21" t="n">
        <v>361.984</v>
      </c>
      <c r="H133" s="21" t="n">
        <v>286.9</v>
      </c>
      <c r="I133" s="21" t="n">
        <v>322.118</v>
      </c>
      <c r="J133" s="21" t="n">
        <v>281.923</v>
      </c>
      <c r="K133" s="21" t="n">
        <v>289.102</v>
      </c>
      <c r="L133" s="21" t="n">
        <v>196.782</v>
      </c>
      <c r="M133" s="21" t="n">
        <v>405.897</v>
      </c>
      <c r="N133" s="21" t="n">
        <v>245.622</v>
      </c>
      <c r="O133" s="21" t="n">
        <v>443.777</v>
      </c>
      <c r="P133" s="21" t="n">
        <v>478.449</v>
      </c>
      <c r="Q133" s="21" t="n">
        <v>245.227</v>
      </c>
      <c r="R133" s="21" t="n">
        <v>386.716</v>
      </c>
      <c r="S133" s="21" t="n">
        <v>404.824</v>
      </c>
      <c r="T133" s="21" t="n">
        <v>365.683</v>
      </c>
      <c r="U133" s="21" t="n">
        <v>355.54</v>
      </c>
      <c r="V133" s="21" t="n">
        <v>414.684</v>
      </c>
      <c r="W133" s="21" t="n">
        <v>435.172</v>
      </c>
      <c r="X133" s="21" t="n">
        <v>329.058</v>
      </c>
      <c r="Y133" s="21" t="n">
        <v>346.815</v>
      </c>
      <c r="Z133" s="21" t="n">
        <v>351.653</v>
      </c>
      <c r="AA133" s="21" t="n">
        <v>370.221</v>
      </c>
      <c r="AB133" s="21" t="n">
        <v>504.317</v>
      </c>
      <c r="AC133" s="21" t="n">
        <v>428.477</v>
      </c>
      <c r="AD133" s="21" t="n">
        <v>415.428</v>
      </c>
      <c r="AE133" s="21" t="n">
        <v>340.068</v>
      </c>
      <c r="AF133" s="21" t="n">
        <v>409.524</v>
      </c>
      <c r="AG133" s="21" t="n">
        <v>268.949</v>
      </c>
      <c r="AH133" s="21" t="n">
        <v>200.172</v>
      </c>
      <c r="AI133" s="21" t="n">
        <v>379.419</v>
      </c>
      <c r="AJ133" s="21" t="n">
        <v>182.858</v>
      </c>
      <c r="AK133" s="21" t="n">
        <v>248.612</v>
      </c>
      <c r="AL133" s="21" t="n">
        <v>275.236</v>
      </c>
      <c r="AM133" s="21" t="n">
        <v>250.645</v>
      </c>
      <c r="AN133" s="21" t="n">
        <v>163.483</v>
      </c>
      <c r="AO133" s="21" t="n">
        <v>304.594</v>
      </c>
      <c r="AP133" s="21" t="n">
        <v>329.055</v>
      </c>
      <c r="AQ133" s="21" t="n">
        <v>194.118</v>
      </c>
      <c r="AR133" s="21" t="n"/>
      <c r="AS133" s="21" t="n"/>
      <c r="AT133" s="21" t="n">
        <v>311.509</v>
      </c>
      <c r="AU133" s="21" t="n">
        <v>199.753</v>
      </c>
      <c r="AV133" s="21" t="n">
        <v>325.327</v>
      </c>
      <c r="AW133" s="21" t="n">
        <v>300.113</v>
      </c>
      <c r="AX133" s="21" t="n">
        <v>204.669</v>
      </c>
      <c r="AY133" s="21" t="n">
        <v>364.196</v>
      </c>
      <c r="AZ133" s="21" t="n">
        <v>226.166</v>
      </c>
      <c r="BA133" s="21" t="n">
        <v>182.438</v>
      </c>
      <c r="BB133" s="21" t="n">
        <v>259.408</v>
      </c>
      <c r="BC133" s="21" t="n">
        <v>403.231</v>
      </c>
      <c r="BD133" s="21" t="n">
        <v>307.876</v>
      </c>
      <c r="BE133" s="21" t="n">
        <v>268.951</v>
      </c>
      <c r="BF133" s="21" t="n">
        <v>178.349</v>
      </c>
      <c r="BG133" s="21" t="n">
        <v>253.479</v>
      </c>
      <c r="BH133" s="21" t="n">
        <v>185.133</v>
      </c>
      <c r="BI133" s="21" t="n">
        <v>262.1</v>
      </c>
      <c r="BJ133" s="21" t="n">
        <v>277.877</v>
      </c>
      <c r="BK133" s="21" t="n">
        <v>188.914</v>
      </c>
      <c r="BL133" s="21" t="n">
        <v>355.246</v>
      </c>
      <c r="BM133" s="21" t="n">
        <v>400.966</v>
      </c>
      <c r="BN133" s="21" t="n">
        <v>415.823</v>
      </c>
      <c r="BO133" s="21" t="n">
        <v>348.309</v>
      </c>
      <c r="BP133" s="21" t="n">
        <v>217.786</v>
      </c>
      <c r="BQ133" s="21" t="n">
        <v>292.298</v>
      </c>
      <c r="BR133" s="21" t="n">
        <v>585.138</v>
      </c>
      <c r="BS133" s="21" t="n">
        <v>144.256</v>
      </c>
      <c r="BT133" s="21" t="n">
        <v>384.127</v>
      </c>
      <c r="BU133" s="21" t="n">
        <v>391.939</v>
      </c>
      <c r="BV133" s="21" t="n">
        <v>439.33</v>
      </c>
      <c r="BW133" s="21" t="n">
        <v>357.274</v>
      </c>
      <c r="BX133" s="21" t="n">
        <v>384.547</v>
      </c>
      <c r="BY133" s="21" t="n">
        <v>203.143</v>
      </c>
      <c r="BZ133" s="21" t="n">
        <v>216.261</v>
      </c>
      <c r="CA133" s="21" t="n">
        <v>212.043</v>
      </c>
      <c r="CB133" s="21" t="n">
        <v>227.023</v>
      </c>
      <c r="CC133" s="21" t="n">
        <v>181.922</v>
      </c>
      <c r="CD133" s="21" t="n">
        <v>251.874</v>
      </c>
      <c r="CE133" s="21" t="n">
        <v>198.764</v>
      </c>
      <c r="CF133" s="21" t="n">
        <v>240.084</v>
      </c>
      <c r="CG133" s="21" t="n">
        <v>232.021</v>
      </c>
      <c r="CH133" s="21" t="n">
        <v>179.257</v>
      </c>
      <c r="CI133" s="21" t="n">
        <v>230.975</v>
      </c>
      <c r="CJ133" s="21" t="n">
        <v>279.788</v>
      </c>
      <c r="CK133" s="21" t="n">
        <v>159.35</v>
      </c>
      <c r="CL133" s="21" t="n">
        <v>161.557</v>
      </c>
      <c r="CM133" s="21" t="n">
        <v>286.788</v>
      </c>
      <c r="CN133" s="21" t="n">
        <v>298.978</v>
      </c>
      <c r="CO133" s="21" t="n">
        <v>283.839</v>
      </c>
      <c r="CP133" s="21" t="n">
        <v>167.047</v>
      </c>
      <c r="CQ133" s="21" t="n">
        <v>279.814</v>
      </c>
      <c r="CR133" s="21" t="n">
        <v>314.038</v>
      </c>
      <c r="CS133" s="21" t="n">
        <v>267.498</v>
      </c>
      <c r="CT133" s="21" t="n">
        <v>221.331</v>
      </c>
      <c r="CU133" s="21" t="n">
        <v>193.628</v>
      </c>
      <c r="CV133" s="21" t="n">
        <v>316.224</v>
      </c>
      <c r="CW133" s="21" t="n">
        <v>269.794</v>
      </c>
      <c r="CX133" s="21" t="n">
        <v>303.121</v>
      </c>
      <c r="CY133" s="21" t="n">
        <v>466.584</v>
      </c>
      <c r="CZ133" s="21" t="n">
        <v>183.044</v>
      </c>
      <c r="DA133" s="21" t="n">
        <v>223.624</v>
      </c>
      <c r="DB133" s="21" t="n">
        <v>192.582</v>
      </c>
      <c r="DC133" s="21" t="n">
        <v>292.281</v>
      </c>
      <c r="DD133" s="21" t="n">
        <v>313.127</v>
      </c>
      <c r="DE133" s="21" t="n">
        <v>214.827</v>
      </c>
      <c r="DF133" s="21" t="n">
        <v>311.921</v>
      </c>
      <c r="DG133" s="21" t="n">
        <v>315.203</v>
      </c>
      <c r="DH133" s="21" t="n">
        <v>187.739</v>
      </c>
      <c r="DI133" s="21" t="n">
        <v>193.75</v>
      </c>
      <c r="DJ133" s="21" t="n">
        <v>187.723</v>
      </c>
      <c r="DK133" s="21" t="n">
        <v>386.872</v>
      </c>
      <c r="DL133" s="21" t="n">
        <v>227.496</v>
      </c>
      <c r="DM133" s="21" t="n">
        <v>177.426</v>
      </c>
      <c r="DN133" s="21" t="n">
        <v>163.917</v>
      </c>
      <c r="DO133" s="21" t="n">
        <v>389.889</v>
      </c>
      <c r="DP133" s="21" t="n">
        <v>241.356</v>
      </c>
      <c r="DQ133" s="21" t="n">
        <v>254.727</v>
      </c>
      <c r="DR133" s="21" t="n">
        <v>214.059</v>
      </c>
      <c r="DS133" s="21" t="n">
        <v>204.786</v>
      </c>
      <c r="DT133" s="21" t="n">
        <v>247.602</v>
      </c>
      <c r="DU133" s="21" t="n">
        <v>261.942</v>
      </c>
      <c r="DV133" s="21" t="n">
        <v>298.085</v>
      </c>
      <c r="DW133" s="21" t="n">
        <v>230.805</v>
      </c>
      <c r="DX133" s="21" t="n">
        <v>280.113</v>
      </c>
      <c r="DY133" s="21" t="n">
        <v>213.018</v>
      </c>
      <c r="DZ133" s="21" t="n">
        <v>222.74</v>
      </c>
      <c r="EA133" s="21" t="n">
        <v>208.982</v>
      </c>
      <c r="EB133" s="21" t="n">
        <v>181.223</v>
      </c>
      <c r="EC133" s="21" t="n">
        <v>449.588</v>
      </c>
      <c r="ED133" s="21" t="n">
        <v>218.884</v>
      </c>
      <c r="EE133" s="21" t="n">
        <v>240.239</v>
      </c>
      <c r="EF133" s="21" t="n">
        <v>248.568</v>
      </c>
      <c r="EG133" s="21" t="n">
        <v>351.072</v>
      </c>
      <c r="EH133" s="21" t="n">
        <v>420.134</v>
      </c>
      <c r="EI133" s="21" t="n">
        <v>440.667</v>
      </c>
      <c r="EJ133" s="21" t="n">
        <v>173.969</v>
      </c>
      <c r="EK133" s="21" t="n">
        <v>678.364</v>
      </c>
      <c r="EL133" s="21" t="n">
        <v>346.866</v>
      </c>
      <c r="EM133" s="21" t="n">
        <v>434.166</v>
      </c>
      <c r="EN133" s="21" t="n">
        <v>434.153</v>
      </c>
      <c r="EO133" s="21" t="n">
        <v>172.129</v>
      </c>
      <c r="EP133" s="21" t="n">
        <v>338.484</v>
      </c>
      <c r="EQ133" s="21" t="n">
        <v>284.047</v>
      </c>
      <c r="ER133" s="21" t="n">
        <v>363.97</v>
      </c>
      <c r="ES133" s="21" t="n">
        <v>367.209</v>
      </c>
      <c r="ET133" s="21" t="n">
        <v>411.552</v>
      </c>
      <c r="EU133" s="21" t="n">
        <v>290.037</v>
      </c>
      <c r="EV133" s="21" t="n">
        <v>295.121</v>
      </c>
      <c r="EW133" s="21" t="n">
        <v>268.415</v>
      </c>
      <c r="EX133" s="21" t="n">
        <v>322.728</v>
      </c>
      <c r="EY133" s="21" t="n">
        <v>739.615</v>
      </c>
      <c r="EZ133" s="21" t="n">
        <v>658.242</v>
      </c>
      <c r="FA133" s="21" t="n">
        <v>153.484</v>
      </c>
      <c r="FB133" s="21" t="n">
        <v>61.323</v>
      </c>
      <c r="FC133" s="21" t="n">
        <v>132.094</v>
      </c>
      <c r="FD133" s="21" t="n">
        <v>88.298</v>
      </c>
      <c r="FE133" s="21" t="n">
        <v>40.173</v>
      </c>
      <c r="FF133" s="21" t="n">
        <v>134.488</v>
      </c>
      <c r="FG133" s="21" t="n">
        <v>144.091</v>
      </c>
      <c r="FH133" s="21" t="n">
        <v>110.481</v>
      </c>
      <c r="FI133" s="21" t="n">
        <v>77.86199999999999</v>
      </c>
      <c r="FJ133" s="21" t="n"/>
      <c r="FK133" s="21" t="n">
        <v>79.149</v>
      </c>
      <c r="FL133" s="21" t="n">
        <v>86.578</v>
      </c>
      <c r="FM133" s="21" t="n">
        <v>102.633</v>
      </c>
      <c r="FN133" s="21" t="n">
        <v>68.485</v>
      </c>
      <c r="FO133" s="21" t="n">
        <v>56.529</v>
      </c>
      <c r="FP133" s="21" t="n">
        <v>40.846</v>
      </c>
      <c r="FQ133" s="21" t="n">
        <v>172.281</v>
      </c>
      <c r="FR133" s="21" t="n">
        <v>44.191</v>
      </c>
      <c r="FS133" s="21" t="n">
        <v>85.648</v>
      </c>
      <c r="FT133" s="21" t="n">
        <v>115.792</v>
      </c>
      <c r="FU133" s="21" t="n">
        <v>126.95</v>
      </c>
      <c r="FV133" s="21" t="n">
        <v>111.345</v>
      </c>
      <c r="FW133" s="21" t="n">
        <v>240.463</v>
      </c>
      <c r="FX133" s="21" t="n">
        <v>153.908</v>
      </c>
      <c r="FY133" s="21" t="n">
        <v>237.062</v>
      </c>
      <c r="FZ133" s="21" t="n">
        <v>143.325</v>
      </c>
      <c r="GA133" s="21" t="n"/>
      <c r="GB133" s="21" t="n"/>
      <c r="GC133" s="21" t="n"/>
      <c r="GD133" s="21" t="n">
        <v>168.701</v>
      </c>
      <c r="GE133" s="21" t="n"/>
      <c r="GF133" s="21" t="n">
        <v>128.122</v>
      </c>
      <c r="GG133" s="21" t="n">
        <v>124.784</v>
      </c>
      <c r="GH133" s="21" t="n">
        <v>127.484</v>
      </c>
      <c r="GI133" s="21" t="n">
        <v>91.17700000000001</v>
      </c>
      <c r="GJ133" s="21" t="n">
        <v>184.025</v>
      </c>
      <c r="GK133" s="21" t="n">
        <v>78.559</v>
      </c>
      <c r="GL133" s="21" t="n">
        <v>132.523</v>
      </c>
      <c r="GM133" s="21" t="n">
        <v>112.478</v>
      </c>
      <c r="GN133" s="21" t="n">
        <v>104.728</v>
      </c>
      <c r="GO133" s="21" t="n">
        <v>106.036</v>
      </c>
      <c r="GP133" s="21" t="n">
        <v>101.994</v>
      </c>
      <c r="GQ133" s="21" t="n">
        <v>99.334</v>
      </c>
      <c r="GR133" s="21" t="n">
        <v>71.01300000000001</v>
      </c>
      <c r="GS133" s="21" t="n">
        <v>110.987</v>
      </c>
      <c r="GT133" s="21" t="n">
        <v>99.375</v>
      </c>
      <c r="GU133" s="21" t="n">
        <v>144.765</v>
      </c>
      <c r="GV133" s="21" t="n">
        <v>150.399</v>
      </c>
      <c r="GW133" s="21" t="n">
        <v>161.846</v>
      </c>
      <c r="GX133" s="21" t="n">
        <v>132.097</v>
      </c>
      <c r="GY133" s="21" t="n">
        <v>126.253</v>
      </c>
      <c r="GZ133" s="21" t="n">
        <v>203.234</v>
      </c>
      <c r="HA133" s="21" t="n">
        <v>167.809</v>
      </c>
      <c r="HB133" s="21" t="n">
        <v>200.065</v>
      </c>
      <c r="HC133" s="21" t="n">
        <v>268.63</v>
      </c>
      <c r="HD133" s="21" t="n">
        <v>268.511</v>
      </c>
      <c r="HE133" s="21" t="n">
        <v>124.913</v>
      </c>
      <c r="HF133" s="21" t="n">
        <v>178.034</v>
      </c>
      <c r="HG133" s="21" t="n"/>
      <c r="HH133" s="21" t="n">
        <v>172.988</v>
      </c>
      <c r="HI133" s="21" t="n">
        <v>190.001</v>
      </c>
      <c r="HJ133" s="21" t="n"/>
      <c r="HK133" s="21" t="n">
        <v>183.265</v>
      </c>
      <c r="HL133" s="21" t="n">
        <v>112.413</v>
      </c>
      <c r="HM133" s="21" t="n">
        <v>145.687</v>
      </c>
      <c r="HN133" s="21" t="n">
        <v>262.906</v>
      </c>
      <c r="HO133" s="21" t="n">
        <v>261.466</v>
      </c>
      <c r="HP133" s="21" t="n">
        <v>253.302</v>
      </c>
      <c r="HQ133" s="21" t="n">
        <v>295.042</v>
      </c>
      <c r="HR133" s="21" t="n">
        <v>295.576</v>
      </c>
      <c r="HS133" s="21" t="n">
        <v>269.261</v>
      </c>
      <c r="HT133" s="21" t="n">
        <v>187.835</v>
      </c>
      <c r="HU133" s="21" t="n">
        <v>159.49</v>
      </c>
      <c r="HV133" s="21" t="n">
        <v>225.39</v>
      </c>
      <c r="HW133" s="21" t="n">
        <v>209.835</v>
      </c>
      <c r="HX133" s="21" t="n">
        <v>495.856</v>
      </c>
      <c r="HY133" s="21" t="n">
        <v>439.752</v>
      </c>
      <c r="HZ133" s="21" t="n"/>
      <c r="IA133" s="21" t="n">
        <v>374.504</v>
      </c>
      <c r="IB133" s="21" t="n">
        <v>294.286</v>
      </c>
      <c r="IC133" s="21" t="n">
        <v>892.879</v>
      </c>
      <c r="ID133" s="21" t="n">
        <v>213.671</v>
      </c>
      <c r="IE133" s="21" t="n">
        <v>202.795</v>
      </c>
      <c r="IF133" s="21" t="n">
        <v>230.669</v>
      </c>
      <c r="IG133" s="21" t="n">
        <v>289.63</v>
      </c>
      <c r="IH133" s="21" t="n"/>
      <c r="II133" s="21" t="n">
        <v>259.135</v>
      </c>
      <c r="IJ133" s="21" t="n">
        <v>253.714</v>
      </c>
      <c r="IK133" s="21" t="n">
        <v>157.919</v>
      </c>
      <c r="IL133" s="21" t="n"/>
      <c r="IM133" s="21" t="n"/>
      <c r="IN133" s="21" t="n">
        <v>61.925</v>
      </c>
      <c r="IO133" s="21" t="n">
        <v>353.201</v>
      </c>
      <c r="IP133" s="21" t="n">
        <v>133.473</v>
      </c>
      <c r="IQ133" s="21" t="n">
        <v>587.144</v>
      </c>
      <c r="IR133" s="21" t="n">
        <v>418.532</v>
      </c>
      <c r="IS133" s="21" t="n">
        <v>136.874</v>
      </c>
      <c r="IT133" s="21" t="n">
        <v>569.6559999999999</v>
      </c>
      <c r="IU133" s="21" t="n">
        <v>110.606</v>
      </c>
      <c r="IV133" s="21" t="n">
        <v>111.505</v>
      </c>
      <c r="IW133" s="21" t="n">
        <v>641.566</v>
      </c>
      <c r="IX133" s="21" t="n">
        <v>444.798</v>
      </c>
      <c r="IY133" s="21" t="n">
        <v>431.766</v>
      </c>
      <c r="IZ133" s="21" t="n">
        <v>628.951</v>
      </c>
      <c r="JA133" s="21" t="n">
        <v>219.842</v>
      </c>
      <c r="JB133" s="21" t="n"/>
      <c r="JC133" s="21" t="n">
        <v>106.704</v>
      </c>
      <c r="JD133" s="21" t="n">
        <v>446.056</v>
      </c>
      <c r="JE133" s="21" t="n"/>
      <c r="JF133" s="21" t="n">
        <v>982.17</v>
      </c>
      <c r="JG133" s="21" t="n">
        <v>303.44</v>
      </c>
      <c r="JH133" s="21" t="n">
        <v>188.999</v>
      </c>
      <c r="JI133" s="21" t="n">
        <v>143.744</v>
      </c>
      <c r="JJ133" s="21" t="n">
        <v>142.505</v>
      </c>
      <c r="JK133" s="21" t="n">
        <v>121.524</v>
      </c>
      <c r="JL133" s="21" t="n">
        <v>92.729</v>
      </c>
      <c r="JM133" s="21" t="n">
        <v>601.893</v>
      </c>
      <c r="JN133" s="21" t="n">
        <v>99.786</v>
      </c>
      <c r="JO133" s="21" t="n">
        <v>83.97199999999999</v>
      </c>
      <c r="JP133" s="21" t="n">
        <v>44.924</v>
      </c>
      <c r="JQ133" s="21" t="n">
        <v>205.702</v>
      </c>
      <c r="JR133" s="21" t="n">
        <v>27.382</v>
      </c>
      <c r="JS133" s="21" t="n">
        <v>90.06100000000001</v>
      </c>
      <c r="JT133" s="21" t="n">
        <v>231.923</v>
      </c>
      <c r="JU133" s="21" t="n">
        <v>241.785</v>
      </c>
      <c r="JV133" s="21" t="n">
        <v>191.075</v>
      </c>
      <c r="JW133" s="21" t="n">
        <v>132.84</v>
      </c>
      <c r="JX133" s="21" t="n">
        <v>372.013</v>
      </c>
      <c r="JY133" s="21" t="n">
        <v>272.224</v>
      </c>
      <c r="JZ133" s="21" t="n">
        <v>404.856</v>
      </c>
      <c r="KA133" s="21" t="n">
        <v>122.683</v>
      </c>
      <c r="KB133" s="21" t="n">
        <v>170.585</v>
      </c>
      <c r="KC133" s="21" t="n">
        <v>83.069</v>
      </c>
      <c r="KD133" s="21" t="n">
        <v>87.315</v>
      </c>
      <c r="KE133" s="21" t="n">
        <v>73.56</v>
      </c>
      <c r="KF133" s="21" t="n"/>
      <c r="KG133" s="21" t="n">
        <v>30.084</v>
      </c>
      <c r="KH133" s="21" t="n">
        <v>133.715</v>
      </c>
      <c r="KI133" s="21" t="n"/>
      <c r="KJ133" s="21" t="n"/>
      <c r="KK133" s="21" t="n">
        <v>32.654</v>
      </c>
      <c r="KL133" s="21" t="n">
        <v>27.317</v>
      </c>
      <c r="KM133" s="21" t="n">
        <v>37.005</v>
      </c>
      <c r="KN133" s="21" t="n"/>
      <c r="KO133" s="21" t="n">
        <v>104.146</v>
      </c>
      <c r="KP133" s="21" t="n">
        <v>129.437</v>
      </c>
      <c r="KQ133" s="21" t="n">
        <v>211.01</v>
      </c>
      <c r="KR133" s="21" t="n">
        <v>168.075</v>
      </c>
      <c r="KS133" s="21" t="n">
        <v>494.464</v>
      </c>
      <c r="KT133" s="21" t="n">
        <v>242.808</v>
      </c>
      <c r="KU133" s="21" t="n">
        <v>247.758</v>
      </c>
      <c r="KV133" s="21" t="n">
        <v>413.924</v>
      </c>
      <c r="KW133" s="21" t="n">
        <v>295.108</v>
      </c>
      <c r="KX133" s="21" t="n">
        <v>236.411</v>
      </c>
      <c r="KY133" s="21" t="n">
        <v>98.221</v>
      </c>
      <c r="KZ133" s="21" t="n">
        <v>146.392</v>
      </c>
      <c r="LA133" s="21" t="n">
        <v>314.408</v>
      </c>
      <c r="LB133" s="21" t="n">
        <v>756.8390000000001</v>
      </c>
      <c r="LC133" s="21" t="n">
        <v>259.677</v>
      </c>
      <c r="LD133" s="21" t="n">
        <v>904.622</v>
      </c>
      <c r="LE133" s="21" t="n">
        <v>966.259</v>
      </c>
      <c r="LF133" s="21" t="n">
        <v>104.095</v>
      </c>
      <c r="LG133" s="21" t="n">
        <v>394.711</v>
      </c>
      <c r="LH133" s="21" t="n">
        <v>282.691</v>
      </c>
      <c r="LI133" s="21" t="n">
        <v>71.78100000000001</v>
      </c>
      <c r="LJ133" s="21" t="n">
        <v>263.898</v>
      </c>
      <c r="LK133" s="21" t="n">
        <v>410.093</v>
      </c>
      <c r="LL133" s="21" t="n">
        <v>483.752</v>
      </c>
      <c r="LM133" s="21" t="n">
        <v>67.364</v>
      </c>
      <c r="LN133" s="21" t="n">
        <v>91.453</v>
      </c>
      <c r="LO133" s="21" t="n">
        <v>45.085</v>
      </c>
      <c r="LP133" s="21" t="n">
        <v>161.655</v>
      </c>
      <c r="LQ133" s="21" t="n"/>
      <c r="LR133" s="21" t="n"/>
      <c r="LS133" s="21" t="n">
        <v>99.797</v>
      </c>
      <c r="LT133" s="21" t="n">
        <v>33.73</v>
      </c>
      <c r="LU133" s="21" t="n">
        <v>23.727</v>
      </c>
      <c r="LV133" s="21" t="n">
        <v>86.29000000000001</v>
      </c>
      <c r="LW133" s="21" t="n">
        <v>93.253</v>
      </c>
      <c r="LX133" s="21" t="n">
        <v>37.002</v>
      </c>
      <c r="LY133" s="21" t="n">
        <v>588.451</v>
      </c>
      <c r="LZ133" s="21" t="n">
        <v>106.754</v>
      </c>
      <c r="MA133" s="21" t="n">
        <v>720.251</v>
      </c>
      <c r="MB133" s="21" t="n">
        <v>351.307</v>
      </c>
      <c r="MC133" s="21" t="n">
        <v>294.531</v>
      </c>
      <c r="MD133" s="21" t="n">
        <v>180.246</v>
      </c>
      <c r="ME133" s="21" t="n">
        <v>124.018</v>
      </c>
      <c r="MF133" s="21" t="n">
        <v>189.36</v>
      </c>
      <c r="MG133" s="21" t="n">
        <v>366.953</v>
      </c>
      <c r="MH133" s="21" t="n">
        <v>223.901</v>
      </c>
      <c r="MI133" s="21" t="n">
        <v>586.292</v>
      </c>
      <c r="MJ133" s="21" t="n"/>
      <c r="MK133" s="21" t="n">
        <v>409.547</v>
      </c>
      <c r="ML133" s="21" t="n">
        <v>244.084</v>
      </c>
      <c r="MM133" s="21" t="n">
        <v>299.448</v>
      </c>
      <c r="MN133" s="21" t="n">
        <v>455.084</v>
      </c>
      <c r="MO133" s="21" t="n">
        <v>193</v>
      </c>
      <c r="MP133" s="21" t="n">
        <v>360.297</v>
      </c>
      <c r="MQ133" s="21" t="n">
        <v>88.11799999999999</v>
      </c>
      <c r="MR133" s="21" t="n">
        <v>207.988</v>
      </c>
      <c r="MS133" s="21" t="n"/>
      <c r="MT133" s="21" t="n">
        <v>311.347</v>
      </c>
      <c r="MU133" s="21" t="n">
        <v>331.55</v>
      </c>
      <c r="MV133" s="21" t="n">
        <v>321.005</v>
      </c>
      <c r="MW133" s="21" t="n">
        <v>330.506</v>
      </c>
      <c r="MX133" s="21" t="n">
        <v>290.038</v>
      </c>
      <c r="MY133" s="21" t="n">
        <v>277.005</v>
      </c>
      <c r="MZ133" s="21" t="n">
        <v>280.865</v>
      </c>
      <c r="NA133" s="21" t="n">
        <v>286.42</v>
      </c>
      <c r="NB133" s="21" t="n">
        <v>119.542</v>
      </c>
      <c r="NC133" s="21" t="n">
        <v>224.618</v>
      </c>
      <c r="ND133" s="21" t="n">
        <v>175.819</v>
      </c>
      <c r="NE133" s="21" t="n">
        <v>171.807</v>
      </c>
      <c r="NF133" s="21" t="n">
        <v>166.037</v>
      </c>
      <c r="NG133" s="21" t="n">
        <v>164.179</v>
      </c>
      <c r="NH133" s="21" t="n">
        <v>325.422</v>
      </c>
      <c r="NI133" s="21" t="n">
        <v>123.216</v>
      </c>
      <c r="NJ133" s="21" t="n">
        <v>51.083</v>
      </c>
      <c r="NK133" s="21" t="n">
        <v>124.643</v>
      </c>
      <c r="NL133" s="21" t="n">
        <v>274.131</v>
      </c>
      <c r="NM133" s="21" t="n">
        <v>269.403</v>
      </c>
      <c r="NN133" s="21" t="n">
        <v>108.478</v>
      </c>
      <c r="NO133" s="21" t="n">
        <v>34.606</v>
      </c>
      <c r="NP133" s="21" t="n">
        <v>279.357</v>
      </c>
      <c r="NQ133" s="21" t="n">
        <v>226.218</v>
      </c>
      <c r="NR133" s="21" t="n">
        <v>284.593</v>
      </c>
      <c r="NS133" s="21" t="n">
        <v>221.848</v>
      </c>
      <c r="NT133" s="21" t="n">
        <v>284.928</v>
      </c>
      <c r="NU133" s="21" t="n">
        <v>146.232</v>
      </c>
      <c r="NV133" s="21" t="n">
        <v>165.419</v>
      </c>
      <c r="NW133" s="21" t="n">
        <v>430.349</v>
      </c>
      <c r="NX133" s="21" t="n">
        <v>83.86199999999999</v>
      </c>
      <c r="NY133" s="21" t="n">
        <v>157.874</v>
      </c>
      <c r="NZ133" s="21" t="n">
        <v>438.765</v>
      </c>
      <c r="OA133" s="21" t="n">
        <v>422.416</v>
      </c>
      <c r="OB133" s="21" t="n">
        <v>436.025</v>
      </c>
      <c r="OC133" s="21" t="n">
        <v>405.589</v>
      </c>
      <c r="OD133" s="21" t="n">
        <v>435.662</v>
      </c>
      <c r="OE133" s="21" t="n">
        <v>131.214</v>
      </c>
      <c r="OF133" s="21" t="n">
        <v>446.138</v>
      </c>
      <c r="OG133" s="21" t="n">
        <v>268.823</v>
      </c>
      <c r="OH133" s="21" t="n">
        <v>32.002</v>
      </c>
      <c r="OI133" s="21" t="n">
        <v>160.995</v>
      </c>
      <c r="OJ133" s="21" t="n">
        <v>30.9</v>
      </c>
      <c r="OK133" s="21" t="n">
        <v>10.3</v>
      </c>
    </row>
    <row r="134">
      <c r="A134" s="22" t="n">
        <v>46023</v>
      </c>
      <c r="B134" s="21" t="n">
        <v>325.252</v>
      </c>
      <c r="C134" s="21" t="n">
        <v>974.3099999999999</v>
      </c>
      <c r="D134" s="21" t="n">
        <v>342.096</v>
      </c>
      <c r="E134" s="21" t="n">
        <v>345.165</v>
      </c>
      <c r="F134" s="21" t="n">
        <v>317.431</v>
      </c>
      <c r="G134" s="21" t="n">
        <v>366.83</v>
      </c>
      <c r="H134" s="21" t="n">
        <v>291.766</v>
      </c>
      <c r="I134" s="21" t="n">
        <v>329.769</v>
      </c>
      <c r="J134" s="21" t="n">
        <v>287.902</v>
      </c>
      <c r="K134" s="21" t="n">
        <v>292.296</v>
      </c>
      <c r="L134" s="21" t="n">
        <v>196.494</v>
      </c>
      <c r="M134" s="21" t="n">
        <v>410.698</v>
      </c>
      <c r="N134" s="21" t="n">
        <v>245.635</v>
      </c>
      <c r="O134" s="21" t="n">
        <v>440.338</v>
      </c>
      <c r="P134" s="21" t="n">
        <v>483.889</v>
      </c>
      <c r="Q134" s="21" t="n">
        <v>243.811</v>
      </c>
      <c r="R134" s="21" t="n">
        <v>395.254</v>
      </c>
      <c r="S134" s="21" t="n">
        <v>408.426</v>
      </c>
      <c r="T134" s="21" t="n">
        <v>377.426</v>
      </c>
      <c r="U134" s="21" t="n">
        <v>363.048</v>
      </c>
      <c r="V134" s="21" t="n">
        <v>409.224</v>
      </c>
      <c r="W134" s="21" t="n">
        <v>444.827</v>
      </c>
      <c r="X134" s="21" t="n">
        <v>339.875</v>
      </c>
      <c r="Y134" s="21" t="n">
        <v>346.613</v>
      </c>
      <c r="Z134" s="21" t="n">
        <v>352.771</v>
      </c>
      <c r="AA134" s="21" t="n">
        <v>370.662</v>
      </c>
      <c r="AB134" s="21" t="n">
        <v>499.597</v>
      </c>
      <c r="AC134" s="21" t="n">
        <v>430.729</v>
      </c>
      <c r="AD134" s="21" t="n">
        <v>405.018</v>
      </c>
      <c r="AE134" s="21" t="n">
        <v>334.362</v>
      </c>
      <c r="AF134" s="21" t="n">
        <v>404.1</v>
      </c>
      <c r="AG134" s="21" t="n">
        <v>272.348</v>
      </c>
      <c r="AH134" s="21" t="n">
        <v>205.643</v>
      </c>
      <c r="AI134" s="21" t="n">
        <v>392.636</v>
      </c>
      <c r="AJ134" s="21" t="n">
        <v>185.69</v>
      </c>
      <c r="AK134" s="21" t="n">
        <v>252.673</v>
      </c>
      <c r="AL134" s="21" t="n">
        <v>279.743</v>
      </c>
      <c r="AM134" s="21" t="n">
        <v>240.473</v>
      </c>
      <c r="AN134" s="21" t="n">
        <v>165.964</v>
      </c>
      <c r="AO134" s="21" t="n">
        <v>309.131</v>
      </c>
      <c r="AP134" s="21" t="n">
        <v>319.399</v>
      </c>
      <c r="AQ134" s="21" t="n">
        <v>196.413</v>
      </c>
      <c r="AR134" s="21" t="n"/>
      <c r="AS134" s="21" t="n"/>
      <c r="AT134" s="21" t="n">
        <v>311.307</v>
      </c>
      <c r="AU134" s="21" t="n">
        <v>198.546</v>
      </c>
      <c r="AV134" s="21" t="n">
        <v>325.392</v>
      </c>
      <c r="AW134" s="21" t="n">
        <v>297.529</v>
      </c>
      <c r="AX134" s="21" t="n">
        <v>208.994</v>
      </c>
      <c r="AY134" s="21" t="n">
        <v>369.697</v>
      </c>
      <c r="AZ134" s="21" t="n">
        <v>234.258</v>
      </c>
      <c r="BA134" s="21" t="n">
        <v>181.038</v>
      </c>
      <c r="BB134" s="21" t="n">
        <v>253.886</v>
      </c>
      <c r="BC134" s="21" t="n">
        <v>404.119</v>
      </c>
      <c r="BD134" s="21" t="n">
        <v>291.463</v>
      </c>
      <c r="BE134" s="21" t="n">
        <v>271.185</v>
      </c>
      <c r="BF134" s="21" t="n">
        <v>178.997</v>
      </c>
      <c r="BG134" s="21" t="n">
        <v>252.519</v>
      </c>
      <c r="BH134" s="21" t="n">
        <v>186.314</v>
      </c>
      <c r="BI134" s="21" t="n">
        <v>263.571</v>
      </c>
      <c r="BJ134" s="21" t="n">
        <v>283.552</v>
      </c>
      <c r="BK134" s="21" t="n">
        <v>190.681</v>
      </c>
      <c r="BL134" s="21" t="n">
        <v>358.84</v>
      </c>
      <c r="BM134" s="21" t="n">
        <v>402.777</v>
      </c>
      <c r="BN134" s="21" t="n">
        <v>418.644</v>
      </c>
      <c r="BO134" s="21" t="n">
        <v>347.146</v>
      </c>
      <c r="BP134" s="21" t="n">
        <v>216.254</v>
      </c>
      <c r="BQ134" s="21" t="n">
        <v>294.623</v>
      </c>
      <c r="BR134" s="21" t="n">
        <v>574.082</v>
      </c>
      <c r="BS134" s="21" t="n">
        <v>145.895</v>
      </c>
      <c r="BT134" s="21" t="n">
        <v>384.886</v>
      </c>
      <c r="BU134" s="21" t="n">
        <v>408.484</v>
      </c>
      <c r="BV134" s="21" t="n">
        <v>414.858</v>
      </c>
      <c r="BW134" s="21" t="n">
        <v>355.352</v>
      </c>
      <c r="BX134" s="21" t="n">
        <v>385.851</v>
      </c>
      <c r="BY134" s="21" t="n">
        <v>209.576</v>
      </c>
      <c r="BZ134" s="21" t="n">
        <v>229.74</v>
      </c>
      <c r="CA134" s="21" t="n">
        <v>220.9</v>
      </c>
      <c r="CB134" s="21" t="n">
        <v>244.574</v>
      </c>
      <c r="CC134" s="21" t="n">
        <v>185.53</v>
      </c>
      <c r="CD134" s="21" t="n">
        <v>257.747</v>
      </c>
      <c r="CE134" s="21" t="n">
        <v>200.344</v>
      </c>
      <c r="CF134" s="21" t="n">
        <v>240.501</v>
      </c>
      <c r="CG134" s="21" t="n">
        <v>235.761</v>
      </c>
      <c r="CH134" s="21" t="n">
        <v>183.927</v>
      </c>
      <c r="CI134" s="21" t="n">
        <v>240.122</v>
      </c>
      <c r="CJ134" s="21" t="n">
        <v>282.114</v>
      </c>
      <c r="CK134" s="21" t="n">
        <v>161.516</v>
      </c>
      <c r="CL134" s="21" t="n">
        <v>160.78</v>
      </c>
      <c r="CM134" s="21" t="n">
        <v>288.452</v>
      </c>
      <c r="CN134" s="21" t="n">
        <v>299.137</v>
      </c>
      <c r="CO134" s="21" t="n">
        <v>291.878</v>
      </c>
      <c r="CP134" s="21" t="n">
        <v>162.293</v>
      </c>
      <c r="CQ134" s="21" t="n">
        <v>279.657</v>
      </c>
      <c r="CR134" s="21" t="n">
        <v>317.104</v>
      </c>
      <c r="CS134" s="21" t="n">
        <v>279.656</v>
      </c>
      <c r="CT134" s="21" t="n">
        <v>221.871</v>
      </c>
      <c r="CU134" s="21" t="n">
        <v>197.77</v>
      </c>
      <c r="CV134" s="21" t="n">
        <v>317.245</v>
      </c>
      <c r="CW134" s="21" t="n">
        <v>272.077</v>
      </c>
      <c r="CX134" s="21" t="n">
        <v>307.302</v>
      </c>
      <c r="CY134" s="21" t="n">
        <v>472.407</v>
      </c>
      <c r="CZ134" s="21" t="n">
        <v>180.044</v>
      </c>
      <c r="DA134" s="21" t="n">
        <v>225.822</v>
      </c>
      <c r="DB134" s="21" t="n">
        <v>188.258</v>
      </c>
      <c r="DC134" s="21" t="n">
        <v>291.391</v>
      </c>
      <c r="DD134" s="21" t="n">
        <v>317.418</v>
      </c>
      <c r="DE134" s="21" t="n">
        <v>209.819</v>
      </c>
      <c r="DF134" s="21" t="n">
        <v>313.987</v>
      </c>
      <c r="DG134" s="21" t="n">
        <v>324.785</v>
      </c>
      <c r="DH134" s="21" t="n">
        <v>194.007</v>
      </c>
      <c r="DI134" s="21" t="n">
        <v>200.186</v>
      </c>
      <c r="DJ134" s="21" t="n">
        <v>189.959</v>
      </c>
      <c r="DK134" s="21" t="n">
        <v>435.922</v>
      </c>
      <c r="DL134" s="21" t="n">
        <v>222.651</v>
      </c>
      <c r="DM134" s="21" t="n">
        <v>174.304</v>
      </c>
      <c r="DN134" s="21" t="n">
        <v>162.911</v>
      </c>
      <c r="DO134" s="21" t="n">
        <v>390.471</v>
      </c>
      <c r="DP134" s="21" t="n">
        <v>241.289</v>
      </c>
      <c r="DQ134" s="21" t="n">
        <v>255.479</v>
      </c>
      <c r="DR134" s="21" t="n">
        <v>214.246</v>
      </c>
      <c r="DS134" s="21" t="n">
        <v>205.089</v>
      </c>
      <c r="DT134" s="21" t="n">
        <v>247.77</v>
      </c>
      <c r="DU134" s="21" t="n">
        <v>262.892</v>
      </c>
      <c r="DV134" s="21" t="n">
        <v>298.623</v>
      </c>
      <c r="DW134" s="21" t="n">
        <v>230.7</v>
      </c>
      <c r="DX134" s="21" t="n">
        <v>281.198</v>
      </c>
      <c r="DY134" s="21" t="n">
        <v>213.518</v>
      </c>
      <c r="DZ134" s="21" t="n">
        <v>222.892</v>
      </c>
      <c r="EA134" s="21" t="n">
        <v>209.698</v>
      </c>
      <c r="EB134" s="21" t="n">
        <v>180.257</v>
      </c>
      <c r="EC134" s="21" t="n">
        <v>451.308</v>
      </c>
      <c r="ED134" s="21" t="n">
        <v>219.779</v>
      </c>
      <c r="EE134" s="21" t="n">
        <v>240.453</v>
      </c>
      <c r="EF134" s="21" t="n">
        <v>249.432</v>
      </c>
      <c r="EG134" s="21" t="n">
        <v>352.54</v>
      </c>
      <c r="EH134" s="21" t="n">
        <v>421.526</v>
      </c>
      <c r="EI134" s="21" t="n">
        <v>441.718</v>
      </c>
      <c r="EJ134" s="21" t="n">
        <v>178.665</v>
      </c>
      <c r="EK134" s="21" t="n">
        <v>678.726</v>
      </c>
      <c r="EL134" s="21" t="n">
        <v>358.125</v>
      </c>
      <c r="EM134" s="21" t="n">
        <v>435.241</v>
      </c>
      <c r="EN134" s="21" t="n">
        <v>435.222</v>
      </c>
      <c r="EO134" s="21" t="n">
        <v>171.94</v>
      </c>
      <c r="EP134" s="21" t="n">
        <v>342.177</v>
      </c>
      <c r="EQ134" s="21" t="n">
        <v>287.54</v>
      </c>
      <c r="ER134" s="21" t="n">
        <v>357.514</v>
      </c>
      <c r="ES134" s="21" t="n">
        <v>354.701</v>
      </c>
      <c r="ET134" s="21" t="n">
        <v>413.965</v>
      </c>
      <c r="EU134" s="21" t="n">
        <v>293.976</v>
      </c>
      <c r="EV134" s="21" t="n">
        <v>299.731</v>
      </c>
      <c r="EW134" s="21" t="n">
        <v>270.302</v>
      </c>
      <c r="EX134" s="21" t="n">
        <v>324.919</v>
      </c>
      <c r="EY134" s="21" t="n">
        <v>745.474</v>
      </c>
      <c r="EZ134" s="21" t="n">
        <v>661.093</v>
      </c>
      <c r="FA134" s="21" t="n">
        <v>154.138</v>
      </c>
      <c r="FB134" s="21" t="n">
        <v>62.378</v>
      </c>
      <c r="FC134" s="21" t="n">
        <v>136.28</v>
      </c>
      <c r="FD134" s="21" t="n">
        <v>88.575</v>
      </c>
      <c r="FE134" s="21" t="n">
        <v>40.747</v>
      </c>
      <c r="FF134" s="21" t="n">
        <v>135.379</v>
      </c>
      <c r="FG134" s="21" t="n">
        <v>144.873</v>
      </c>
      <c r="FH134" s="21" t="n">
        <v>111.618</v>
      </c>
      <c r="FI134" s="21" t="n">
        <v>77.675</v>
      </c>
      <c r="FJ134" s="21" t="n"/>
      <c r="FK134" s="21" t="n">
        <v>82.661</v>
      </c>
      <c r="FL134" s="21" t="n">
        <v>87.601</v>
      </c>
      <c r="FM134" s="21" t="n">
        <v>105.299</v>
      </c>
      <c r="FN134" s="21" t="n">
        <v>72.702</v>
      </c>
      <c r="FO134" s="21" t="n">
        <v>57.271</v>
      </c>
      <c r="FP134" s="21" t="n">
        <v>41.498</v>
      </c>
      <c r="FQ134" s="21" t="n">
        <v>171.511</v>
      </c>
      <c r="FR134" s="21" t="n">
        <v>44.912</v>
      </c>
      <c r="FS134" s="21" t="n">
        <v>88.01600000000001</v>
      </c>
      <c r="FT134" s="21" t="n">
        <v>116.74</v>
      </c>
      <c r="FU134" s="21" t="n">
        <v>127.831</v>
      </c>
      <c r="FV134" s="21" t="n">
        <v>112.271</v>
      </c>
      <c r="FW134" s="21" t="n">
        <v>241.761</v>
      </c>
      <c r="FX134" s="21" t="n">
        <v>154.013</v>
      </c>
      <c r="FY134" s="21" t="n">
        <v>238.354</v>
      </c>
      <c r="FZ134" s="21" t="n">
        <v>144.668</v>
      </c>
      <c r="GA134" s="21" t="n"/>
      <c r="GB134" s="21" t="n"/>
      <c r="GC134" s="21" t="n"/>
      <c r="GD134" s="21" t="n">
        <v>170.219</v>
      </c>
      <c r="GE134" s="21" t="n"/>
      <c r="GF134" s="21" t="n">
        <v>130.685</v>
      </c>
      <c r="GG134" s="21" t="n">
        <v>129.24</v>
      </c>
      <c r="GH134" s="21" t="n">
        <v>131.651</v>
      </c>
      <c r="GI134" s="21" t="n">
        <v>91.85599999999999</v>
      </c>
      <c r="GJ134" s="21" t="n">
        <v>190.588</v>
      </c>
      <c r="GK134" s="21" t="n">
        <v>81.28700000000001</v>
      </c>
      <c r="GL134" s="21" t="n">
        <v>138.965</v>
      </c>
      <c r="GM134" s="21" t="n">
        <v>117.876</v>
      </c>
      <c r="GN134" s="21" t="n">
        <v>105.952</v>
      </c>
      <c r="GO134" s="21" t="n">
        <v>107.084</v>
      </c>
      <c r="GP134" s="21" t="n">
        <v>101.95</v>
      </c>
      <c r="GQ134" s="21" t="n">
        <v>98.434</v>
      </c>
      <c r="GR134" s="21" t="n">
        <v>71.751</v>
      </c>
      <c r="GS134" s="21" t="n">
        <v>113.297</v>
      </c>
      <c r="GT134" s="21" t="n">
        <v>101.542</v>
      </c>
      <c r="GU134" s="21" t="n">
        <v>146.563</v>
      </c>
      <c r="GV134" s="21" t="n">
        <v>154.969</v>
      </c>
      <c r="GW134" s="21" t="n">
        <v>163.757</v>
      </c>
      <c r="GX134" s="21" t="n">
        <v>132.088</v>
      </c>
      <c r="GY134" s="21" t="n">
        <v>126.595</v>
      </c>
      <c r="GZ134" s="21" t="n">
        <v>213.165</v>
      </c>
      <c r="HA134" s="21" t="n">
        <v>172.69</v>
      </c>
      <c r="HB134" s="21" t="n">
        <v>210.933</v>
      </c>
      <c r="HC134" s="21" t="n">
        <v>267.521</v>
      </c>
      <c r="HD134" s="21" t="n">
        <v>266.28</v>
      </c>
      <c r="HE134" s="21" t="n">
        <v>123.696</v>
      </c>
      <c r="HF134" s="21" t="n">
        <v>178.668</v>
      </c>
      <c r="HG134" s="21" t="n"/>
      <c r="HH134" s="21" t="n">
        <v>174.06</v>
      </c>
      <c r="HI134" s="21" t="n">
        <v>190.625</v>
      </c>
      <c r="HJ134" s="21" t="n"/>
      <c r="HK134" s="21" t="n">
        <v>177.714</v>
      </c>
      <c r="HL134" s="21" t="n">
        <v>113.077</v>
      </c>
      <c r="HM134" s="21" t="n">
        <v>143.754</v>
      </c>
      <c r="HN134" s="21" t="n">
        <v>256.211</v>
      </c>
      <c r="HO134" s="21" t="n">
        <v>254.887</v>
      </c>
      <c r="HP134" s="21" t="n">
        <v>246.788</v>
      </c>
      <c r="HQ134" s="21" t="n">
        <v>288.338</v>
      </c>
      <c r="HR134" s="21" t="n">
        <v>289.044</v>
      </c>
      <c r="HS134" s="21" t="n">
        <v>259.685</v>
      </c>
      <c r="HT134" s="21" t="n">
        <v>186.92</v>
      </c>
      <c r="HU134" s="21" t="n">
        <v>159.176</v>
      </c>
      <c r="HV134" s="21" t="n">
        <v>220.851</v>
      </c>
      <c r="HW134" s="21" t="n">
        <v>206.149</v>
      </c>
      <c r="HX134" s="21" t="n">
        <v>484.264</v>
      </c>
      <c r="HY134" s="21" t="n">
        <v>440.175</v>
      </c>
      <c r="HZ134" s="21" t="n">
        <v>442.668</v>
      </c>
      <c r="IA134" s="21" t="n">
        <v>375.09</v>
      </c>
      <c r="IB134" s="21" t="n">
        <v>294.801</v>
      </c>
      <c r="IC134" s="21" t="n">
        <v>892.491</v>
      </c>
      <c r="ID134" s="21" t="n">
        <v>224.17</v>
      </c>
      <c r="IE134" s="21" t="n">
        <v>209.124</v>
      </c>
      <c r="IF134" s="21" t="n">
        <v>247.834</v>
      </c>
      <c r="IG134" s="21" t="n">
        <v>292.853</v>
      </c>
      <c r="IH134" s="21" t="n"/>
      <c r="II134" s="21" t="n">
        <v>268.882</v>
      </c>
      <c r="IJ134" s="21" t="n">
        <v>271.19</v>
      </c>
      <c r="IK134" s="21" t="n">
        <v>149.503</v>
      </c>
      <c r="IL134" s="21" t="n"/>
      <c r="IM134" s="21" t="n"/>
      <c r="IN134" s="21" t="n">
        <v>61.484</v>
      </c>
      <c r="IO134" s="21" t="n">
        <v>361.172</v>
      </c>
      <c r="IP134" s="21" t="n">
        <v>138.89</v>
      </c>
      <c r="IQ134" s="21" t="n">
        <v>590.169</v>
      </c>
      <c r="IR134" s="21" t="n">
        <v>418.27</v>
      </c>
      <c r="IS134" s="21" t="n">
        <v>136.673</v>
      </c>
      <c r="IT134" s="21" t="n">
        <v>569.61</v>
      </c>
      <c r="IU134" s="21" t="n">
        <v>110.052</v>
      </c>
      <c r="IV134" s="21" t="n">
        <v>112.381</v>
      </c>
      <c r="IW134" s="21" t="n">
        <v>645.667</v>
      </c>
      <c r="IX134" s="21" t="n">
        <v>448.191</v>
      </c>
      <c r="IY134" s="21" t="n">
        <v>433.225</v>
      </c>
      <c r="IZ134" s="21" t="n">
        <v>634.476</v>
      </c>
      <c r="JA134" s="21" t="n">
        <v>217.541</v>
      </c>
      <c r="JB134" s="21" t="n"/>
      <c r="JC134" s="21" t="n">
        <v>107.801</v>
      </c>
      <c r="JD134" s="21" t="n">
        <v>450.139</v>
      </c>
      <c r="JE134" s="21" t="n">
        <v>435.248</v>
      </c>
      <c r="JF134" s="21" t="n">
        <v>985.45</v>
      </c>
      <c r="JG134" s="21" t="n">
        <v>306.529</v>
      </c>
      <c r="JH134" s="21" t="n">
        <v>192.958</v>
      </c>
      <c r="JI134" s="21" t="n">
        <v>142.337</v>
      </c>
      <c r="JJ134" s="21" t="n">
        <v>143.627</v>
      </c>
      <c r="JK134" s="21" t="n">
        <v>123.567</v>
      </c>
      <c r="JL134" s="21" t="n">
        <v>94.752</v>
      </c>
      <c r="JM134" s="21" t="n">
        <v>608.674</v>
      </c>
      <c r="JN134" s="21" t="n">
        <v>101.982</v>
      </c>
      <c r="JO134" s="21" t="n">
        <v>85.589</v>
      </c>
      <c r="JP134" s="21" t="n">
        <v>47.11</v>
      </c>
      <c r="JQ134" s="21" t="n">
        <v>211.814</v>
      </c>
      <c r="JR134" s="21" t="n">
        <v>27.836</v>
      </c>
      <c r="JS134" s="21" t="n">
        <v>94.07299999999999</v>
      </c>
      <c r="JT134" s="21" t="n">
        <v>232.705</v>
      </c>
      <c r="JU134" s="21" t="n">
        <v>242.448</v>
      </c>
      <c r="JV134" s="21" t="n">
        <v>192.551</v>
      </c>
      <c r="JW134" s="21" t="n">
        <v>131.533</v>
      </c>
      <c r="JX134" s="21" t="n">
        <v>373.527</v>
      </c>
      <c r="JY134" s="21" t="n">
        <v>273.801</v>
      </c>
      <c r="JZ134" s="21" t="n">
        <v>407.037</v>
      </c>
      <c r="KA134" s="21" t="n">
        <v>123.402</v>
      </c>
      <c r="KB134" s="21" t="n">
        <v>169.092</v>
      </c>
      <c r="KC134" s="21" t="n">
        <v>85.01600000000001</v>
      </c>
      <c r="KD134" s="21" t="n">
        <v>88.16200000000001</v>
      </c>
      <c r="KE134" s="21" t="n">
        <v>73.64400000000001</v>
      </c>
      <c r="KF134" s="21" t="n"/>
      <c r="KG134" s="21" t="n">
        <v>30.127</v>
      </c>
      <c r="KH134" s="21" t="n">
        <v>135.8</v>
      </c>
      <c r="KI134" s="21" t="n"/>
      <c r="KJ134" s="21" t="n"/>
      <c r="KK134" s="21" t="n">
        <v>33.169</v>
      </c>
      <c r="KL134" s="21" t="n">
        <v>27.804</v>
      </c>
      <c r="KM134" s="21" t="n">
        <v>37.559</v>
      </c>
      <c r="KN134" s="21" t="n"/>
      <c r="KO134" s="21" t="n">
        <v>105.703</v>
      </c>
      <c r="KP134" s="21" t="n">
        <v>129.822</v>
      </c>
      <c r="KQ134" s="21" t="n">
        <v>212.038</v>
      </c>
      <c r="KR134" s="21" t="n">
        <v>168.461</v>
      </c>
      <c r="KS134" s="21" t="n">
        <v>497.749</v>
      </c>
      <c r="KT134" s="21" t="n">
        <v>241.116</v>
      </c>
      <c r="KU134" s="21" t="n">
        <v>261.235</v>
      </c>
      <c r="KV134" s="21" t="n">
        <v>417.89</v>
      </c>
      <c r="KW134" s="21" t="n">
        <v>295.553</v>
      </c>
      <c r="KX134" s="21" t="n">
        <v>232.566</v>
      </c>
      <c r="KY134" s="21" t="n">
        <v>99.931</v>
      </c>
      <c r="KZ134" s="21" t="n">
        <v>146.883</v>
      </c>
      <c r="LA134" s="21" t="n">
        <v>314.649</v>
      </c>
      <c r="LB134" s="21" t="n"/>
      <c r="LC134" s="21" t="n">
        <v>260.024</v>
      </c>
      <c r="LD134" s="21" t="n">
        <v>905.102</v>
      </c>
      <c r="LE134" s="21" t="n">
        <v>968.168</v>
      </c>
      <c r="LF134" s="21" t="n">
        <v>104.096</v>
      </c>
      <c r="LG134" s="21" t="n">
        <v>393.9</v>
      </c>
      <c r="LH134" s="21" t="n">
        <v>282.801</v>
      </c>
      <c r="LI134" s="21" t="n">
        <v>72.17</v>
      </c>
      <c r="LJ134" s="21" t="n">
        <v>264.14</v>
      </c>
      <c r="LK134" s="21" t="n">
        <v>409.868</v>
      </c>
      <c r="LL134" s="21" t="n"/>
      <c r="LM134" s="21" t="n">
        <v>67.736</v>
      </c>
      <c r="LN134" s="21" t="n">
        <v>91.313</v>
      </c>
      <c r="LO134" s="21" t="n">
        <v>44.955</v>
      </c>
      <c r="LP134" s="21" t="n">
        <v>163.734</v>
      </c>
      <c r="LQ134" s="21" t="n"/>
      <c r="LR134" s="21" t="n"/>
      <c r="LS134" s="21" t="n">
        <v>100.949</v>
      </c>
      <c r="LT134" s="21" t="n">
        <v>34.773</v>
      </c>
      <c r="LU134" s="21" t="n">
        <v>24.055</v>
      </c>
      <c r="LV134" s="21" t="n">
        <v>87.869</v>
      </c>
      <c r="LW134" s="21" t="n">
        <v>91.88200000000001</v>
      </c>
      <c r="LX134" s="21" t="n">
        <v>36.515</v>
      </c>
      <c r="LY134" s="21" t="n">
        <v>597.39</v>
      </c>
      <c r="LZ134" s="21" t="n">
        <v>108.944</v>
      </c>
      <c r="MA134" s="21" t="n">
        <v>727.499</v>
      </c>
      <c r="MB134" s="21" t="n">
        <v>369.192</v>
      </c>
      <c r="MC134" s="21" t="n">
        <v>298.72</v>
      </c>
      <c r="MD134" s="21" t="n">
        <v>181.597</v>
      </c>
      <c r="ME134" s="21" t="n">
        <v>124.317</v>
      </c>
      <c r="MF134" s="21" t="n">
        <v>191.697</v>
      </c>
      <c r="MG134" s="21" t="n">
        <v>369.2</v>
      </c>
      <c r="MH134" s="21" t="n">
        <v>225.273</v>
      </c>
      <c r="MI134" s="21" t="n">
        <v>599.974</v>
      </c>
      <c r="MJ134" s="21" t="n"/>
      <c r="MK134" s="21" t="n">
        <v>422.131</v>
      </c>
      <c r="ML134" s="21" t="n">
        <v>247.27</v>
      </c>
      <c r="MM134" s="21" t="n">
        <v>298.279</v>
      </c>
      <c r="MN134" s="21" t="n">
        <v>409.368</v>
      </c>
      <c r="MO134" s="21" t="n">
        <v>193</v>
      </c>
      <c r="MP134" s="21" t="n">
        <v>310.439</v>
      </c>
      <c r="MQ134" s="21" t="n">
        <v>90.142</v>
      </c>
      <c r="MR134" s="21" t="n">
        <v>208.637</v>
      </c>
      <c r="MS134" s="21" t="n"/>
      <c r="MT134" s="21" t="n">
        <v>312.457</v>
      </c>
      <c r="MU134" s="21" t="n">
        <v>332.98</v>
      </c>
      <c r="MV134" s="21" t="n">
        <v>322.176</v>
      </c>
      <c r="MW134" s="21" t="n">
        <v>331.95</v>
      </c>
      <c r="MX134" s="21" t="n">
        <v>291.172</v>
      </c>
      <c r="MY134" s="21" t="n">
        <v>278.082</v>
      </c>
      <c r="MZ134" s="21" t="n">
        <v>282.33</v>
      </c>
      <c r="NA134" s="21" t="n">
        <v>288.59</v>
      </c>
      <c r="NB134" s="21" t="n">
        <v>122.231</v>
      </c>
      <c r="NC134" s="21" t="n">
        <v>224.792</v>
      </c>
      <c r="ND134" s="21" t="n">
        <v>175.607</v>
      </c>
      <c r="NE134" s="21" t="n">
        <v>171.58</v>
      </c>
      <c r="NF134" s="21" t="n">
        <v>166.484</v>
      </c>
      <c r="NG134" s="21" t="n">
        <v>165.53</v>
      </c>
      <c r="NH134" s="21" t="n">
        <v>326.649</v>
      </c>
      <c r="NI134" s="21" t="n">
        <v>122.809</v>
      </c>
      <c r="NJ134" s="21" t="n">
        <v>51.288</v>
      </c>
      <c r="NK134" s="21" t="n">
        <v>125.048</v>
      </c>
      <c r="NL134" s="21" t="n">
        <v>272.668</v>
      </c>
      <c r="NM134" s="21" t="n">
        <v>262.636</v>
      </c>
      <c r="NN134" s="21" t="n">
        <v>109.624</v>
      </c>
      <c r="NO134" s="21" t="n">
        <v>34.724</v>
      </c>
      <c r="NP134" s="21" t="n">
        <v>280.062</v>
      </c>
      <c r="NQ134" s="21" t="n">
        <v>226.395</v>
      </c>
      <c r="NR134" s="21" t="n">
        <v>283.392</v>
      </c>
      <c r="NS134" s="21" t="n">
        <v>222.004</v>
      </c>
      <c r="NT134" s="21" t="n">
        <v>283.55</v>
      </c>
      <c r="NU134" s="21" t="n">
        <v>148.299</v>
      </c>
      <c r="NV134" s="21" t="n">
        <v>168.075</v>
      </c>
      <c r="NW134" s="21" t="n">
        <v>433.156</v>
      </c>
      <c r="NX134" s="21" t="n">
        <v>84.65900000000001</v>
      </c>
      <c r="NY134" s="21" t="n">
        <v>158.964</v>
      </c>
      <c r="NZ134" s="21" t="n">
        <v>440.235</v>
      </c>
      <c r="OA134" s="21" t="n">
        <v>424.672</v>
      </c>
      <c r="OB134" s="21" t="n">
        <v>438.161</v>
      </c>
      <c r="OC134" s="21" t="n">
        <v>407.703</v>
      </c>
      <c r="OD134" s="21" t="n">
        <v>439.057</v>
      </c>
      <c r="OE134" s="21" t="n">
        <v>129.86</v>
      </c>
      <c r="OF134" s="21" t="n">
        <v>451.857</v>
      </c>
      <c r="OG134" s="21" t="n">
        <v>272.621</v>
      </c>
      <c r="OH134" s="21" t="n">
        <v>32.897</v>
      </c>
      <c r="OI134" s="21" t="n">
        <v>163.114</v>
      </c>
      <c r="OJ134" s="21" t="n">
        <v>30.7</v>
      </c>
      <c r="OK134" s="21" t="n">
        <v>10.3</v>
      </c>
    </row>
    <row r="135">
      <c r="A135" s="22" t="n">
        <v>46054</v>
      </c>
      <c r="B135" s="21" t="n">
        <v>326.785</v>
      </c>
      <c r="C135" s="21" t="n">
        <v>978.904</v>
      </c>
      <c r="D135" s="21" t="n">
        <v>343.424</v>
      </c>
      <c r="E135" s="21" t="n">
        <v>346.564</v>
      </c>
      <c r="F135" s="21" t="n">
        <v>318.898</v>
      </c>
      <c r="G135" s="21" t="n">
        <v>367.174</v>
      </c>
      <c r="H135" s="21" t="n">
        <v>290.796</v>
      </c>
      <c r="I135" s="21" t="n">
        <v>326.768</v>
      </c>
      <c r="J135" s="21" t="n">
        <v>285.565</v>
      </c>
      <c r="K135" s="21" t="n">
        <v>293.145</v>
      </c>
      <c r="L135" s="21" t="n">
        <v>197.657</v>
      </c>
      <c r="M135" s="21" t="n">
        <v>411.85</v>
      </c>
      <c r="N135" s="21" t="n">
        <v>246.951</v>
      </c>
      <c r="O135" s="21" t="n">
        <v>442.527</v>
      </c>
      <c r="P135" s="21" t="n">
        <v>486.364</v>
      </c>
      <c r="Q135" s="21" t="n">
        <v>243.254</v>
      </c>
      <c r="R135" s="21" t="n">
        <v>397.175</v>
      </c>
      <c r="S135" s="21" t="n">
        <v>426.507</v>
      </c>
      <c r="T135" s="21" t="n">
        <v>371.526</v>
      </c>
      <c r="U135" s="21" t="n">
        <v>363.604</v>
      </c>
      <c r="V135" s="21" t="n">
        <v>423.818</v>
      </c>
      <c r="W135" s="21" t="n">
        <v>445.615</v>
      </c>
      <c r="X135" s="21" t="n">
        <v>338.791</v>
      </c>
      <c r="Y135" s="21" t="n">
        <v>346.309</v>
      </c>
      <c r="Z135" s="21" t="n">
        <v>352.668</v>
      </c>
      <c r="AA135" s="21" t="n">
        <v>370.031</v>
      </c>
      <c r="AB135" s="21" t="n">
        <v>506.788</v>
      </c>
      <c r="AC135" s="21" t="n">
        <v>434.921</v>
      </c>
      <c r="AD135" s="21" t="n">
        <v>410.762</v>
      </c>
      <c r="AE135" s="21" t="n">
        <v>343.23</v>
      </c>
      <c r="AF135" s="21" t="n">
        <v>400.49</v>
      </c>
      <c r="AG135" s="21" t="n">
        <v>270.757</v>
      </c>
      <c r="AH135" s="21" t="n">
        <v>206.303</v>
      </c>
      <c r="AI135" s="21" t="n">
        <v>389.609</v>
      </c>
      <c r="AJ135" s="21" t="n">
        <v>188.546</v>
      </c>
      <c r="AK135" s="21" t="n">
        <v>257.061</v>
      </c>
      <c r="AL135" s="21" t="n">
        <v>284.625</v>
      </c>
      <c r="AM135" s="21" t="n">
        <v>245.066</v>
      </c>
      <c r="AN135" s="21" t="n">
        <v>158.455</v>
      </c>
      <c r="AO135" s="21" t="n">
        <v>295.736</v>
      </c>
      <c r="AP135" s="21" t="n">
        <v>316.626</v>
      </c>
      <c r="AQ135" s="21" t="n">
        <v>186.743</v>
      </c>
      <c r="AR135" s="21" t="n"/>
      <c r="AS135" s="21" t="n"/>
      <c r="AT135" s="21" t="n">
        <v>312.117</v>
      </c>
      <c r="AU135" s="21" t="n">
        <v>197.255</v>
      </c>
      <c r="AV135" s="21" t="n">
        <v>328.28</v>
      </c>
      <c r="AW135" s="21" t="n">
        <v>294.921</v>
      </c>
      <c r="AX135" s="21" t="n">
        <v>217.02</v>
      </c>
      <c r="AY135" s="21" t="n">
        <v>370.314</v>
      </c>
      <c r="AZ135" s="21" t="n">
        <v>232.77</v>
      </c>
      <c r="BA135" s="21" t="n">
        <v>183.011</v>
      </c>
      <c r="BB135" s="21" t="n">
        <v>257.334</v>
      </c>
      <c r="BC135" s="21" t="n">
        <v>406.583</v>
      </c>
      <c r="BD135" s="21" t="n">
        <v>288.679</v>
      </c>
      <c r="BE135" s="21" t="n">
        <v>269.599</v>
      </c>
      <c r="BF135" s="21" t="n">
        <v>178.288</v>
      </c>
      <c r="BG135" s="21" t="n">
        <v>249.941</v>
      </c>
      <c r="BH135" s="21" t="n">
        <v>186.327</v>
      </c>
      <c r="BI135" s="21" t="n">
        <v>260.465</v>
      </c>
      <c r="BJ135" s="21" t="n">
        <v>284.878</v>
      </c>
      <c r="BK135" s="21" t="n">
        <v>189.531</v>
      </c>
      <c r="BL135" s="21" t="n">
        <v>362.604</v>
      </c>
      <c r="BM135" s="21" t="n">
        <v>407.624</v>
      </c>
      <c r="BN135" s="21" t="n">
        <v>417.812</v>
      </c>
      <c r="BO135" s="21" t="n">
        <v>358.915</v>
      </c>
      <c r="BP135" s="21" t="n">
        <v>217.653</v>
      </c>
      <c r="BQ135" s="21" t="n">
        <v>290.275</v>
      </c>
      <c r="BR135" s="21" t="n">
        <v>566.083</v>
      </c>
      <c r="BS135" s="21" t="n">
        <v>144.659</v>
      </c>
      <c r="BT135" s="21" t="n">
        <v>395.584</v>
      </c>
      <c r="BU135" s="21" t="n">
        <v>410.708</v>
      </c>
      <c r="BV135" s="21" t="n">
        <v>454.262</v>
      </c>
      <c r="BW135" s="21" t="n">
        <v>365.28</v>
      </c>
      <c r="BX135" s="21" t="n">
        <v>394.933</v>
      </c>
      <c r="BY135" s="21" t="n">
        <v>210.561</v>
      </c>
      <c r="BZ135" s="21" t="n">
        <v>232.277</v>
      </c>
      <c r="CA135" s="21" t="n">
        <v>223.735</v>
      </c>
      <c r="CB135" s="21" t="n">
        <v>246.605</v>
      </c>
      <c r="CC135" s="21" t="n">
        <v>186.107</v>
      </c>
      <c r="CD135" s="21" t="n">
        <v>257.83</v>
      </c>
      <c r="CE135" s="21" t="n">
        <v>200.051</v>
      </c>
      <c r="CF135" s="21" t="n">
        <v>241.931</v>
      </c>
      <c r="CG135" s="21" t="n">
        <v>238.081</v>
      </c>
      <c r="CH135" s="21" t="n">
        <v>184.672</v>
      </c>
      <c r="CI135" s="21" t="n">
        <v>242.562</v>
      </c>
      <c r="CJ135" s="21" t="n">
        <v>279.686</v>
      </c>
      <c r="CK135" s="21" t="n">
        <v>161.249</v>
      </c>
      <c r="CL135" s="21" t="n">
        <v>164.385</v>
      </c>
      <c r="CM135" s="21" t="n">
        <v>293.317</v>
      </c>
      <c r="CN135" s="21" t="n">
        <v>303.719</v>
      </c>
      <c r="CO135" s="21" t="n">
        <v>298.315</v>
      </c>
      <c r="CP135" s="21" t="n">
        <v>168.012</v>
      </c>
      <c r="CQ135" s="21" t="n">
        <v>282.185</v>
      </c>
      <c r="CR135" s="21" t="n">
        <v>325.517</v>
      </c>
      <c r="CS135" s="21" t="n">
        <v>276.879</v>
      </c>
      <c r="CT135" s="21" t="n">
        <v>229.111</v>
      </c>
      <c r="CU135" s="21" t="n">
        <v>202.063</v>
      </c>
      <c r="CV135" s="21" t="n">
        <v>313.953</v>
      </c>
      <c r="CW135" s="21" t="n">
        <v>265.035</v>
      </c>
      <c r="CX135" s="21" t="n">
        <v>297.72</v>
      </c>
      <c r="CY135" s="21" t="n">
        <v>463.828</v>
      </c>
      <c r="CZ135" s="21" t="n">
        <v>178.523</v>
      </c>
      <c r="DA135" s="21" t="n">
        <v>225.388</v>
      </c>
      <c r="DB135" s="21" t="n">
        <v>191.704</v>
      </c>
      <c r="DC135" s="21" t="n">
        <v>293.803</v>
      </c>
      <c r="DD135" s="21" t="n">
        <v>313.949</v>
      </c>
      <c r="DE135" s="21" t="n">
        <v>211.845</v>
      </c>
      <c r="DF135" s="21" t="n">
        <v>313.478</v>
      </c>
      <c r="DG135" s="21" t="n">
        <v>324.919</v>
      </c>
      <c r="DH135" s="21" t="n">
        <v>194.988</v>
      </c>
      <c r="DI135" s="21" t="n">
        <v>203.831</v>
      </c>
      <c r="DJ135" s="21" t="n">
        <v>188.046</v>
      </c>
      <c r="DK135" s="21" t="n">
        <v>438.033</v>
      </c>
      <c r="DL135" s="21" t="n">
        <v>221.736</v>
      </c>
      <c r="DM135" s="21" t="n">
        <v>178.236</v>
      </c>
      <c r="DN135" s="21" t="n">
        <v>162.848</v>
      </c>
      <c r="DO135" s="21" t="n">
        <v>391.706</v>
      </c>
      <c r="DP135" s="21" t="n">
        <v>241.935</v>
      </c>
      <c r="DQ135" s="21" t="n">
        <v>256.338</v>
      </c>
      <c r="DR135" s="21" t="n">
        <v>215.357</v>
      </c>
      <c r="DS135" s="21" t="n">
        <v>206.147</v>
      </c>
      <c r="DT135" s="21" t="n">
        <v>248.018</v>
      </c>
      <c r="DU135" s="21" t="n">
        <v>264.609</v>
      </c>
      <c r="DV135" s="21" t="n">
        <v>298.95</v>
      </c>
      <c r="DW135" s="21" t="n">
        <v>231.275</v>
      </c>
      <c r="DX135" s="21" t="n">
        <v>282.286</v>
      </c>
      <c r="DY135" s="21" t="n">
        <v>213.763</v>
      </c>
      <c r="DZ135" s="21" t="n">
        <v>222.601</v>
      </c>
      <c r="EA135" s="21" t="n">
        <v>210.073</v>
      </c>
      <c r="EB135" s="21" t="n">
        <v>180.636</v>
      </c>
      <c r="EC135" s="21" t="n">
        <v>451.241</v>
      </c>
      <c r="ED135" s="21" t="n">
        <v>220.101</v>
      </c>
      <c r="EE135" s="21" t="n">
        <v>239.808</v>
      </c>
      <c r="EF135" s="21" t="n">
        <v>249.409</v>
      </c>
      <c r="EG135" s="21" t="n">
        <v>353.737</v>
      </c>
      <c r="EH135" s="21" t="n">
        <v>422.776</v>
      </c>
      <c r="EI135" s="21" t="n">
        <v>442.157</v>
      </c>
      <c r="EJ135" s="21" t="n">
        <v>185.493</v>
      </c>
      <c r="EK135" s="21" t="n">
        <v>679.02</v>
      </c>
      <c r="EL135" s="21" t="n">
        <v>374.522</v>
      </c>
      <c r="EM135" s="21" t="n">
        <v>436.026</v>
      </c>
      <c r="EN135" s="21" t="n">
        <v>435.998</v>
      </c>
      <c r="EO135" s="21" t="n">
        <v>172.07</v>
      </c>
      <c r="EP135" s="21" t="n">
        <v>343.386</v>
      </c>
      <c r="EQ135" s="21" t="n">
        <v>288.227</v>
      </c>
      <c r="ER135" s="21" t="n">
        <v>388.261</v>
      </c>
      <c r="ES135" s="21" t="n">
        <v>399.99</v>
      </c>
      <c r="ET135" s="21" t="n">
        <v>425.617</v>
      </c>
      <c r="EU135" s="21" t="n">
        <v>293.659</v>
      </c>
      <c r="EV135" s="21" t="n">
        <v>296.798</v>
      </c>
      <c r="EW135" s="21" t="n">
        <v>277.644</v>
      </c>
      <c r="EX135" s="21" t="n">
        <v>327.181</v>
      </c>
      <c r="EY135" s="21" t="n">
        <v>750.5599999999999</v>
      </c>
      <c r="EZ135" s="21" t="n">
        <v>665.893</v>
      </c>
      <c r="FA135" s="21" t="n">
        <v>155.188</v>
      </c>
      <c r="FB135" s="21" t="n">
        <v>64.395</v>
      </c>
      <c r="FC135" s="21" t="n">
        <v>136.657</v>
      </c>
      <c r="FD135" s="21" t="n">
        <v>88.45699999999999</v>
      </c>
      <c r="FE135" s="21" t="n">
        <v>43.268</v>
      </c>
      <c r="FF135" s="21" t="n">
        <v>135.41</v>
      </c>
      <c r="FG135" s="21" t="n">
        <v>143.307</v>
      </c>
      <c r="FH135" s="21" t="n">
        <v>112.183</v>
      </c>
      <c r="FI135" s="21" t="n">
        <v>78.405</v>
      </c>
      <c r="FJ135" s="21" t="n"/>
      <c r="FK135" s="21" t="n">
        <v>85.51000000000001</v>
      </c>
      <c r="FL135" s="21" t="n">
        <v>88.518</v>
      </c>
      <c r="FM135" s="21" t="n">
        <v>106.93</v>
      </c>
      <c r="FN135" s="21" t="n">
        <v>76.105</v>
      </c>
      <c r="FO135" s="21" t="n">
        <v>57.621</v>
      </c>
      <c r="FP135" s="21" t="n">
        <v>41.105</v>
      </c>
      <c r="FQ135" s="21" t="n">
        <v>178.413</v>
      </c>
      <c r="FR135" s="21" t="n">
        <v>47.107</v>
      </c>
      <c r="FS135" s="21" t="n">
        <v>87.633</v>
      </c>
      <c r="FT135" s="21" t="n">
        <v>116.889</v>
      </c>
      <c r="FU135" s="21" t="n">
        <v>128.611</v>
      </c>
      <c r="FV135" s="21" t="n">
        <v>111.949</v>
      </c>
      <c r="FW135" s="21" t="n">
        <v>241.581</v>
      </c>
      <c r="FX135" s="21" t="n">
        <v>153.87</v>
      </c>
      <c r="FY135" s="21" t="n">
        <v>237.696</v>
      </c>
      <c r="FZ135" s="21" t="n">
        <v>144.723</v>
      </c>
      <c r="GA135" s="21" t="n"/>
      <c r="GB135" s="21" t="n"/>
      <c r="GC135" s="21" t="n"/>
      <c r="GD135" s="21" t="n">
        <v>193.159</v>
      </c>
      <c r="GE135" s="21" t="n"/>
      <c r="GF135" s="21" t="n">
        <v>136.132</v>
      </c>
      <c r="GG135" s="21" t="n">
        <v>134.457</v>
      </c>
      <c r="GH135" s="21" t="n">
        <v>136.966</v>
      </c>
      <c r="GI135" s="21" t="n">
        <v>99.76000000000001</v>
      </c>
      <c r="GJ135" s="21" t="n">
        <v>195.205</v>
      </c>
      <c r="GK135" s="21" t="n">
        <v>84.42700000000001</v>
      </c>
      <c r="GL135" s="21" t="n">
        <v>142.089</v>
      </c>
      <c r="GM135" s="21" t="n">
        <v>122.632</v>
      </c>
      <c r="GN135" s="21" t="n">
        <v>113.082</v>
      </c>
      <c r="GO135" s="21" t="n">
        <v>114.218</v>
      </c>
      <c r="GP135" s="21" t="n">
        <v>103.857</v>
      </c>
      <c r="GQ135" s="21" t="n">
        <v>112.47</v>
      </c>
      <c r="GR135" s="21" t="n">
        <v>77.056</v>
      </c>
      <c r="GS135" s="21" t="n">
        <v>117.187</v>
      </c>
      <c r="GT135" s="21" t="n">
        <v>108.751</v>
      </c>
      <c r="GU135" s="21" t="n">
        <v>148.637</v>
      </c>
      <c r="GV135" s="21" t="n">
        <v>155.315</v>
      </c>
      <c r="GW135" s="21" t="n">
        <v>168.34</v>
      </c>
      <c r="GX135" s="21" t="n">
        <v>134.257</v>
      </c>
      <c r="GY135" s="21" t="n">
        <v>127.358</v>
      </c>
      <c r="GZ135" s="21" t="n">
        <v>217.994</v>
      </c>
      <c r="HA135" s="21" t="n">
        <v>171.302</v>
      </c>
      <c r="HB135" s="21" t="n">
        <v>217.456</v>
      </c>
      <c r="HC135" s="21" t="n">
        <v>269.607</v>
      </c>
      <c r="HD135" s="21" t="n">
        <v>268.005</v>
      </c>
      <c r="HE135" s="21" t="n">
        <v>123.294</v>
      </c>
      <c r="HF135" s="21" t="n">
        <v>178.841</v>
      </c>
      <c r="HG135" s="21" t="n"/>
      <c r="HH135" s="21" t="n">
        <v>174.42</v>
      </c>
      <c r="HI135" s="21" t="n">
        <v>190.761</v>
      </c>
      <c r="HJ135" s="21" t="n"/>
      <c r="HK135" s="21" t="n">
        <v>175.559</v>
      </c>
      <c r="HL135" s="21" t="n">
        <v>113.332</v>
      </c>
      <c r="HM135" s="21" t="n">
        <v>148.891</v>
      </c>
      <c r="HN135" s="21" t="n">
        <v>264.748</v>
      </c>
      <c r="HO135" s="21" t="n">
        <v>263.378</v>
      </c>
      <c r="HP135" s="21" t="n">
        <v>255.102</v>
      </c>
      <c r="HQ135" s="21" t="n">
        <v>297.299</v>
      </c>
      <c r="HR135" s="21" t="n">
        <v>298.102</v>
      </c>
      <c r="HS135" s="21" t="n">
        <v>268.403</v>
      </c>
      <c r="HT135" s="21" t="n">
        <v>187.75</v>
      </c>
      <c r="HU135" s="21" t="n">
        <v>159.086</v>
      </c>
      <c r="HV135" s="21" t="n">
        <v>227.763</v>
      </c>
      <c r="HW135" s="21" t="n">
        <v>213.175</v>
      </c>
      <c r="HX135" s="21" t="n">
        <v>481.722</v>
      </c>
      <c r="HY135" s="21" t="n">
        <v>444.107</v>
      </c>
      <c r="HZ135" s="21" t="n"/>
      <c r="IA135" s="21" t="n">
        <v>377.996</v>
      </c>
      <c r="IB135" s="21" t="n">
        <v>297.306</v>
      </c>
      <c r="IC135" s="21" t="n">
        <v>897.4059999999999</v>
      </c>
      <c r="ID135" s="21" t="n">
        <v>222.332</v>
      </c>
      <c r="IE135" s="21" t="n">
        <v>209.067</v>
      </c>
      <c r="IF135" s="21" t="n">
        <v>243.027</v>
      </c>
      <c r="IG135" s="21" t="n">
        <v>293.533</v>
      </c>
      <c r="IH135" s="21" t="n"/>
      <c r="II135" s="21" t="n">
        <v>274.376</v>
      </c>
      <c r="IJ135" s="21" t="n">
        <v>280.621</v>
      </c>
      <c r="IK135" s="21" t="n">
        <v>147.413</v>
      </c>
      <c r="IL135" s="21" t="n"/>
      <c r="IM135" s="21" t="n"/>
      <c r="IN135" s="21" t="n">
        <v>61.652</v>
      </c>
      <c r="IO135" s="21" t="n">
        <v>363.026</v>
      </c>
      <c r="IP135" s="21" t="n">
        <v>138.972</v>
      </c>
      <c r="IQ135" s="21" t="n">
        <v>592.593</v>
      </c>
      <c r="IR135" s="21" t="n">
        <v>418.113</v>
      </c>
      <c r="IS135" s="21" t="n">
        <v>136.436</v>
      </c>
      <c r="IT135" s="21" t="n">
        <v>568.742</v>
      </c>
      <c r="IU135" s="21" t="n">
        <v>109.802</v>
      </c>
      <c r="IV135" s="21" t="n">
        <v>113.857</v>
      </c>
      <c r="IW135" s="21" t="n">
        <v>648.936</v>
      </c>
      <c r="IX135" s="21" t="n">
        <v>450.994</v>
      </c>
      <c r="IY135" s="21" t="n">
        <v>434.43</v>
      </c>
      <c r="IZ135" s="21" t="n">
        <v>642.755</v>
      </c>
      <c r="JA135" s="21" t="n">
        <v>217.789</v>
      </c>
      <c r="JB135" s="21" t="n"/>
      <c r="JC135" s="21" t="n">
        <v>108.762</v>
      </c>
      <c r="JD135" s="21" t="n">
        <v>453.028</v>
      </c>
      <c r="JE135" s="21" t="n"/>
      <c r="JF135" s="21" t="n">
        <v>991.173</v>
      </c>
      <c r="JG135" s="21" t="n">
        <v>312.256</v>
      </c>
      <c r="JH135" s="21" t="n">
        <v>197.371</v>
      </c>
      <c r="JI135" s="21" t="n">
        <v>140.749</v>
      </c>
      <c r="JJ135" s="21" t="n">
        <v>143.98</v>
      </c>
      <c r="JK135" s="21" t="n">
        <v>122.171</v>
      </c>
      <c r="JL135" s="21" t="n">
        <v>94.134</v>
      </c>
      <c r="JM135" s="21" t="n">
        <v>600.269</v>
      </c>
      <c r="JN135" s="21" t="n">
        <v>108.826</v>
      </c>
      <c r="JO135" s="21" t="n">
        <v>83.431</v>
      </c>
      <c r="JP135" s="21" t="n">
        <v>47.501</v>
      </c>
      <c r="JQ135" s="21" t="n">
        <v>193.427</v>
      </c>
      <c r="JR135" s="21" t="n">
        <v>27.795</v>
      </c>
      <c r="JS135" s="21" t="n">
        <v>95.17100000000001</v>
      </c>
      <c r="JT135" s="21" t="n">
        <v>234.277</v>
      </c>
      <c r="JU135" s="21" t="n">
        <v>244.033</v>
      </c>
      <c r="JV135" s="21" t="n">
        <v>193.555</v>
      </c>
      <c r="JW135" s="21" t="n">
        <v>132.698</v>
      </c>
      <c r="JX135" s="21" t="n">
        <v>376.141</v>
      </c>
      <c r="JY135" s="21" t="n">
        <v>277.462</v>
      </c>
      <c r="JZ135" s="21" t="n">
        <v>408.443</v>
      </c>
      <c r="KA135" s="21" t="n">
        <v>124.325</v>
      </c>
      <c r="KB135" s="21" t="n">
        <v>168.956</v>
      </c>
      <c r="KC135" s="21" t="n">
        <v>86.46299999999999</v>
      </c>
      <c r="KD135" s="21" t="n">
        <v>89.337</v>
      </c>
      <c r="KE135" s="21" t="n">
        <v>76.124</v>
      </c>
      <c r="KF135" s="21" t="n"/>
      <c r="KG135" s="21" t="n">
        <v>31.155</v>
      </c>
      <c r="KH135" s="21" t="n">
        <v>135.71</v>
      </c>
      <c r="KI135" s="21" t="n"/>
      <c r="KJ135" s="21" t="n"/>
      <c r="KK135" s="21" t="n">
        <v>33.143</v>
      </c>
      <c r="KL135" s="21" t="n">
        <v>27.759</v>
      </c>
      <c r="KM135" s="21" t="n">
        <v>37.034</v>
      </c>
      <c r="KN135" s="21" t="n"/>
      <c r="KO135" s="21" t="n">
        <v>106.242</v>
      </c>
      <c r="KP135" s="21" t="n">
        <v>129.212</v>
      </c>
      <c r="KQ135" s="21" t="n">
        <v>213.45</v>
      </c>
      <c r="KR135" s="21" t="n">
        <v>168.941</v>
      </c>
      <c r="KS135" s="21" t="n">
        <v>503.789</v>
      </c>
      <c r="KT135" s="21" t="n">
        <v>242.848</v>
      </c>
      <c r="KU135" s="21" t="n">
        <v>278.143</v>
      </c>
      <c r="KV135" s="21" t="n">
        <v>417.798</v>
      </c>
      <c r="KW135" s="21" t="n">
        <v>295.89</v>
      </c>
      <c r="KX135" s="21" t="n">
        <v>242.624</v>
      </c>
      <c r="KY135" s="21" t="n">
        <v>96.404</v>
      </c>
      <c r="KZ135" s="21" t="n">
        <v>146.533</v>
      </c>
      <c r="LA135" s="21" t="n">
        <v>314.879</v>
      </c>
      <c r="LB135" s="21" t="n"/>
      <c r="LC135" s="21" t="n">
        <v>254.789</v>
      </c>
      <c r="LD135" s="21" t="n">
        <v>905.979</v>
      </c>
      <c r="LE135" s="21" t="n">
        <v>967.5359999999999</v>
      </c>
      <c r="LF135" s="21" t="n">
        <v>104.213</v>
      </c>
      <c r="LG135" s="21" t="n">
        <v>395.527</v>
      </c>
      <c r="LH135" s="21" t="n">
        <v>282.645</v>
      </c>
      <c r="LI135" s="21" t="n">
        <v>71.819</v>
      </c>
      <c r="LJ135" s="21" t="n">
        <v>263.504</v>
      </c>
      <c r="LK135" s="21" t="n">
        <v>408.666</v>
      </c>
      <c r="LL135" s="21" t="n">
        <v>494.894</v>
      </c>
      <c r="LM135" s="21" t="n">
        <v>67.402</v>
      </c>
      <c r="LN135" s="21" t="n">
        <v>91.306</v>
      </c>
      <c r="LO135" s="21" t="n">
        <v>44.955</v>
      </c>
      <c r="LP135" s="21" t="n">
        <v>163.605</v>
      </c>
      <c r="LQ135" s="21" t="n"/>
      <c r="LR135" s="21" t="n"/>
      <c r="LS135" s="21" t="n">
        <v>100.038</v>
      </c>
      <c r="LT135" s="21" t="n">
        <v>34.782</v>
      </c>
      <c r="LU135" s="21" t="n">
        <v>25.61</v>
      </c>
      <c r="LV135" s="21" t="n">
        <v>88.729</v>
      </c>
      <c r="LW135" s="21" t="n">
        <v>86.501</v>
      </c>
      <c r="LX135" s="21" t="n">
        <v>34.542</v>
      </c>
      <c r="LY135" s="21" t="n">
        <v>598.208</v>
      </c>
      <c r="LZ135" s="21" t="n">
        <v>109.106</v>
      </c>
      <c r="MA135" s="21" t="n">
        <v>734.676</v>
      </c>
      <c r="MB135" s="21" t="n">
        <v>361.107</v>
      </c>
      <c r="MC135" s="21" t="n">
        <v>299.123</v>
      </c>
      <c r="MD135" s="21" t="n">
        <v>182.953</v>
      </c>
      <c r="ME135" s="21" t="n">
        <v>125.749</v>
      </c>
      <c r="MF135" s="21" t="n">
        <v>192.404</v>
      </c>
      <c r="MG135" s="21" t="n">
        <v>370.31</v>
      </c>
      <c r="MH135" s="21" t="n">
        <v>225.949</v>
      </c>
      <c r="MI135" s="21" t="n">
        <v>597.002</v>
      </c>
      <c r="MJ135" s="21" t="n"/>
      <c r="MK135" s="21" t="n">
        <v>415.166</v>
      </c>
      <c r="ML135" s="21" t="n">
        <v>248.393</v>
      </c>
      <c r="MM135" s="21" t="n">
        <v>308.979</v>
      </c>
      <c r="MN135" s="21" t="n">
        <v>403.964</v>
      </c>
      <c r="MO135" s="21" t="n">
        <v>193</v>
      </c>
      <c r="MP135" s="21" t="n">
        <v>303.303</v>
      </c>
      <c r="MQ135" s="21" t="n">
        <v>90.57899999999999</v>
      </c>
      <c r="MR135" s="21" t="n">
        <v>209.839</v>
      </c>
      <c r="MS135" s="21" t="n"/>
      <c r="MT135" s="21" t="n">
        <v>313.947</v>
      </c>
      <c r="MU135" s="21" t="n">
        <v>334.284</v>
      </c>
      <c r="MV135" s="21" t="n">
        <v>323.729</v>
      </c>
      <c r="MW135" s="21" t="n">
        <v>333.242</v>
      </c>
      <c r="MX135" s="21" t="n">
        <v>292.826</v>
      </c>
      <c r="MY135" s="21" t="n">
        <v>279.785</v>
      </c>
      <c r="MZ135" s="21" t="n">
        <v>283.639</v>
      </c>
      <c r="NA135" s="21" t="n">
        <v>290.237</v>
      </c>
      <c r="NB135" s="21" t="n">
        <v>128.419</v>
      </c>
      <c r="NC135" s="21" t="n">
        <v>226.338</v>
      </c>
      <c r="ND135" s="21" t="n">
        <v>177.121</v>
      </c>
      <c r="NE135" s="21" t="n">
        <v>173.111</v>
      </c>
      <c r="NF135" s="21" t="n">
        <v>167.206</v>
      </c>
      <c r="NG135" s="21" t="n">
        <v>166.689</v>
      </c>
      <c r="NH135" s="21" t="n">
        <v>327.952</v>
      </c>
      <c r="NI135" s="21" t="n">
        <v>122.395</v>
      </c>
      <c r="NJ135" s="21" t="n">
        <v>49.705</v>
      </c>
      <c r="NK135" s="21" t="n">
        <v>125.329</v>
      </c>
      <c r="NL135" s="21" t="n">
        <v>277.179</v>
      </c>
      <c r="NM135" s="21" t="n">
        <v>272.012</v>
      </c>
      <c r="NN135" s="21" t="n">
        <v>110.217</v>
      </c>
      <c r="NO135" s="21" t="n">
        <v>33.625</v>
      </c>
      <c r="NP135" s="21" t="n">
        <v>283.217</v>
      </c>
      <c r="NQ135" s="21" t="n">
        <v>230.902</v>
      </c>
      <c r="NR135" s="21" t="n">
        <v>287.388</v>
      </c>
      <c r="NS135" s="21" t="n">
        <v>226.754</v>
      </c>
      <c r="NT135" s="21" t="n">
        <v>287.927</v>
      </c>
      <c r="NU135" s="21" t="n">
        <v>149.046</v>
      </c>
      <c r="NV135" s="21" t="n">
        <v>167.803</v>
      </c>
      <c r="NW135" s="21" t="n">
        <v>433.662</v>
      </c>
      <c r="NX135" s="21" t="n">
        <v>85.09</v>
      </c>
      <c r="NY135" s="21" t="n">
        <v>159.104</v>
      </c>
      <c r="NZ135" s="21" t="n">
        <v>441.548</v>
      </c>
      <c r="OA135" s="21" t="n">
        <v>426.16</v>
      </c>
      <c r="OB135" s="21" t="n">
        <v>439.805</v>
      </c>
      <c r="OC135" s="21" t="n">
        <v>409.054</v>
      </c>
      <c r="OD135" s="21" t="n">
        <v>440.876</v>
      </c>
      <c r="OE135" s="21" t="n">
        <v>129.348</v>
      </c>
      <c r="OF135" s="21" t="n">
        <v>455.909</v>
      </c>
      <c r="OG135" s="21" t="n">
        <v>273.545</v>
      </c>
      <c r="OH135" s="21" t="n">
        <v>33.044</v>
      </c>
      <c r="OI135" s="21" t="n">
        <v>160.418</v>
      </c>
      <c r="OJ135" s="21" t="n">
        <v>30.6</v>
      </c>
      <c r="OK135" s="21" t="n">
        <v>10.2</v>
      </c>
    </row>
    <row r="136">
      <c r="A136" s="22" t="n">
        <v>46082</v>
      </c>
      <c r="B136" s="21" t="n">
        <v>330.213</v>
      </c>
      <c r="C136" s="21" t="n">
        <v>989.172</v>
      </c>
      <c r="D136" s="21" t="n">
        <v>343.691</v>
      </c>
      <c r="E136" s="21" t="n">
        <v>346.796</v>
      </c>
      <c r="F136" s="21" t="n">
        <v>318.755</v>
      </c>
      <c r="G136" s="21" t="n">
        <v>365.909</v>
      </c>
      <c r="H136" s="21" t="n">
        <v>289.157</v>
      </c>
      <c r="I136" s="21" t="n">
        <v>324.584</v>
      </c>
      <c r="J136" s="21" t="n">
        <v>284.357</v>
      </c>
      <c r="K136" s="21" t="n">
        <v>291.18</v>
      </c>
      <c r="L136" s="21" t="n">
        <v>199.825</v>
      </c>
      <c r="M136" s="21" t="n">
        <v>410.825</v>
      </c>
      <c r="N136" s="21" t="n">
        <v>248.014</v>
      </c>
      <c r="O136" s="21" t="n">
        <v>444.008</v>
      </c>
      <c r="P136" s="21" t="n">
        <v>488.388</v>
      </c>
      <c r="Q136" s="21" t="n">
        <v>243.85</v>
      </c>
      <c r="R136" s="21" t="n">
        <v>393.427</v>
      </c>
      <c r="S136" s="21" t="n">
        <v>415.46</v>
      </c>
      <c r="T136" s="21" t="n">
        <v>371.43</v>
      </c>
      <c r="U136" s="21" t="n">
        <v>362.234</v>
      </c>
      <c r="V136" s="21" t="n">
        <v>421.093</v>
      </c>
      <c r="W136" s="21" t="n">
        <v>441.982</v>
      </c>
      <c r="X136" s="21" t="n">
        <v>338.635</v>
      </c>
      <c r="Y136" s="21" t="n">
        <v>345.203</v>
      </c>
      <c r="Z136" s="21" t="n">
        <v>352.253</v>
      </c>
      <c r="AA136" s="21" t="n">
        <v>369.423</v>
      </c>
      <c r="AB136" s="21" t="n">
        <v>504.885</v>
      </c>
      <c r="AC136" s="21" t="n">
        <v>432.044</v>
      </c>
      <c r="AD136" s="21" t="n">
        <v>408.69</v>
      </c>
      <c r="AE136" s="21" t="n">
        <v>343.395</v>
      </c>
      <c r="AF136" s="21" t="n">
        <v>397.732</v>
      </c>
      <c r="AG136" s="21" t="n">
        <v>271.73</v>
      </c>
      <c r="AH136" s="21" t="n">
        <v>204.677</v>
      </c>
      <c r="AI136" s="21" t="n">
        <v>383.357</v>
      </c>
      <c r="AJ136" s="21" t="n">
        <v>188.783</v>
      </c>
      <c r="AK136" s="21" t="n">
        <v>255.446</v>
      </c>
      <c r="AL136" s="21" t="n">
        <v>282.99</v>
      </c>
      <c r="AM136" s="21" t="n">
        <v>245.681</v>
      </c>
      <c r="AN136" s="21" t="n">
        <v>162.871</v>
      </c>
      <c r="AO136" s="21" t="n">
        <v>294.604</v>
      </c>
      <c r="AP136" s="21" t="n">
        <v>308.407</v>
      </c>
      <c r="AQ136" s="21" t="n">
        <v>185.666</v>
      </c>
      <c r="AR136" s="21" t="n"/>
      <c r="AS136" s="21" t="n"/>
      <c r="AT136" s="21" t="n">
        <v>313.234</v>
      </c>
      <c r="AU136" s="21" t="n">
        <v>198.398</v>
      </c>
      <c r="AV136" s="21" t="n">
        <v>328.236</v>
      </c>
      <c r="AW136" s="21" t="n">
        <v>296.764</v>
      </c>
      <c r="AX136" s="21" t="n">
        <v>215.987</v>
      </c>
      <c r="AY136" s="21" t="n">
        <v>368.514</v>
      </c>
      <c r="AZ136" s="21" t="n">
        <v>233.2</v>
      </c>
      <c r="BA136" s="21" t="n">
        <v>180.733</v>
      </c>
      <c r="BB136" s="21" t="n">
        <v>253.038</v>
      </c>
      <c r="BC136" s="21" t="n">
        <v>402.955</v>
      </c>
      <c r="BD136" s="21" t="n">
        <v>279.024</v>
      </c>
      <c r="BE136" s="21" t="n">
        <v>267.992</v>
      </c>
      <c r="BF136" s="21" t="n">
        <v>178.561</v>
      </c>
      <c r="BG136" s="21" t="n">
        <v>249.43</v>
      </c>
      <c r="BH136" s="21" t="n">
        <v>186.612</v>
      </c>
      <c r="BI136" s="21" t="n">
        <v>256.53</v>
      </c>
      <c r="BJ136" s="21" t="n">
        <v>280.898</v>
      </c>
      <c r="BK136" s="21" t="n">
        <v>190.256</v>
      </c>
      <c r="BL136" s="21" t="n">
        <v>364.219</v>
      </c>
      <c r="BM136" s="21" t="n">
        <v>409.897</v>
      </c>
      <c r="BN136" s="21" t="n">
        <v>418.965</v>
      </c>
      <c r="BO136" s="21" t="n">
        <v>360.784</v>
      </c>
      <c r="BP136" s="21" t="n">
        <v>217.924</v>
      </c>
      <c r="BQ136" s="21" t="n">
        <v>297.893</v>
      </c>
      <c r="BR136" s="21" t="n">
        <v>574.054</v>
      </c>
      <c r="BS136" s="21" t="n">
        <v>144.21</v>
      </c>
      <c r="BT136" s="21" t="n">
        <v>399.007</v>
      </c>
      <c r="BU136" s="21" t="n">
        <v>398.877</v>
      </c>
      <c r="BV136" s="21" t="n">
        <v>442.075</v>
      </c>
      <c r="BW136" s="21" t="n">
        <v>415.355</v>
      </c>
      <c r="BX136" s="21" t="n">
        <v>393.08</v>
      </c>
      <c r="BY136" s="21" t="n">
        <v>210.606</v>
      </c>
      <c r="BZ136" s="21" t="n">
        <v>232.777</v>
      </c>
      <c r="CA136" s="21" t="n">
        <v>224.202</v>
      </c>
      <c r="CB136" s="21" t="n">
        <v>247.105</v>
      </c>
      <c r="CC136" s="21" t="n">
        <v>187.909</v>
      </c>
      <c r="CD136" s="21" t="n">
        <v>261.715</v>
      </c>
      <c r="CE136" s="21" t="n">
        <v>197.63</v>
      </c>
      <c r="CF136" s="21" t="n">
        <v>238.941</v>
      </c>
      <c r="CG136" s="21" t="n">
        <v>237.455</v>
      </c>
      <c r="CH136" s="21" t="n">
        <v>184.077</v>
      </c>
      <c r="CI136" s="21" t="n">
        <v>241.016</v>
      </c>
      <c r="CJ136" s="21" t="n">
        <v>283.263</v>
      </c>
      <c r="CK136" s="21" t="n">
        <v>161.19</v>
      </c>
      <c r="CL136" s="21" t="n">
        <v>164.161</v>
      </c>
      <c r="CM136" s="21" t="n">
        <v>296.491</v>
      </c>
      <c r="CN136" s="21" t="n">
        <v>307.35</v>
      </c>
      <c r="CO136" s="21" t="n">
        <v>298.53</v>
      </c>
      <c r="CP136" s="21" t="n">
        <v>163.147</v>
      </c>
      <c r="CQ136" s="21" t="n">
        <v>283.125</v>
      </c>
      <c r="CR136" s="21" t="n">
        <v>322.367</v>
      </c>
      <c r="CS136" s="21" t="n">
        <v>269.76</v>
      </c>
      <c r="CT136" s="21" t="n">
        <v>227.059</v>
      </c>
      <c r="CU136" s="21" t="n">
        <v>201.314</v>
      </c>
      <c r="CV136" s="21" t="n">
        <v>313.797</v>
      </c>
      <c r="CW136" s="21" t="n">
        <v>262.978</v>
      </c>
      <c r="CX136" s="21" t="n">
        <v>294.347</v>
      </c>
      <c r="CY136" s="21" t="n">
        <v>465.742</v>
      </c>
      <c r="CZ136" s="21" t="n">
        <v>180.309</v>
      </c>
      <c r="DA136" s="21" t="n">
        <v>225.103</v>
      </c>
      <c r="DB136" s="21" t="n">
        <v>195.867</v>
      </c>
      <c r="DC136" s="21" t="n">
        <v>295.685</v>
      </c>
      <c r="DD136" s="21" t="n">
        <v>320.996</v>
      </c>
      <c r="DE136" s="21" t="n">
        <v>211.909</v>
      </c>
      <c r="DF136" s="21" t="n">
        <v>314.564</v>
      </c>
      <c r="DG136" s="21" t="n">
        <v>326.363</v>
      </c>
      <c r="DH136" s="21" t="n">
        <v>194.01</v>
      </c>
      <c r="DI136" s="21" t="n">
        <v>206.008</v>
      </c>
      <c r="DJ136" s="21" t="n">
        <v>192.652</v>
      </c>
      <c r="DK136" s="21" t="n">
        <v>402.802</v>
      </c>
      <c r="DL136" s="21" t="n">
        <v>224.717</v>
      </c>
      <c r="DM136" s="21" t="n">
        <v>179.938</v>
      </c>
      <c r="DN136" s="21" t="n">
        <v>160.047</v>
      </c>
      <c r="DO136" s="21" t="n">
        <v>392.652</v>
      </c>
      <c r="DP136" s="21" t="n">
        <v>242.664</v>
      </c>
      <c r="DQ136" s="21" t="n">
        <v>256.804</v>
      </c>
      <c r="DR136" s="21" t="n">
        <v>215.361</v>
      </c>
      <c r="DS136" s="21" t="n">
        <v>206.162</v>
      </c>
      <c r="DT136" s="21" t="n">
        <v>249.274</v>
      </c>
      <c r="DU136" s="21" t="n">
        <v>265.508</v>
      </c>
      <c r="DV136" s="21" t="n">
        <v>299.718</v>
      </c>
      <c r="DW136" s="21" t="n">
        <v>231.846</v>
      </c>
      <c r="DX136" s="21" t="n">
        <v>283.594</v>
      </c>
      <c r="DY136" s="21" t="n">
        <v>213.384</v>
      </c>
      <c r="DZ136" s="21" t="n">
        <v>222.634</v>
      </c>
      <c r="EA136" s="21" t="n">
        <v>209.394</v>
      </c>
      <c r="EB136" s="21" t="n">
        <v>181.178</v>
      </c>
      <c r="EC136" s="21" t="n">
        <v>452.437</v>
      </c>
      <c r="ED136" s="21" t="n">
        <v>220.789</v>
      </c>
      <c r="EE136" s="21" t="n">
        <v>239.906</v>
      </c>
      <c r="EF136" s="21" t="n">
        <v>250.017</v>
      </c>
      <c r="EG136" s="21" t="n">
        <v>355.096</v>
      </c>
      <c r="EH136" s="21" t="n">
        <v>424.45</v>
      </c>
      <c r="EI136" s="21" t="n">
        <v>442.864</v>
      </c>
      <c r="EJ136" s="21" t="n">
        <v>193.981</v>
      </c>
      <c r="EK136" s="21" t="n">
        <v>679.3920000000001</v>
      </c>
      <c r="EL136" s="21" t="n">
        <v>394.902</v>
      </c>
      <c r="EM136" s="21" t="n">
        <v>437.086</v>
      </c>
      <c r="EN136" s="21" t="n">
        <v>437.059</v>
      </c>
      <c r="EO136" s="21" t="n">
        <v>173.564</v>
      </c>
      <c r="EP136" s="21" t="n">
        <v>345.233</v>
      </c>
      <c r="EQ136" s="21" t="n">
        <v>289.82</v>
      </c>
      <c r="ER136" s="21" t="n">
        <v>457.911</v>
      </c>
      <c r="ES136" s="21" t="n">
        <v>517.418</v>
      </c>
      <c r="ET136" s="21" t="n">
        <v>427.985</v>
      </c>
      <c r="EU136" s="21" t="n">
        <v>292.978</v>
      </c>
      <c r="EV136" s="21" t="n">
        <v>299.028</v>
      </c>
      <c r="EW136" s="21" t="n">
        <v>268.466</v>
      </c>
      <c r="EX136" s="21" t="n">
        <v>328.792</v>
      </c>
      <c r="EY136" s="21" t="n">
        <v>754.99</v>
      </c>
      <c r="EZ136" s="21" t="n">
        <v>667.754</v>
      </c>
      <c r="FA136" s="21" t="n">
        <v>155.381</v>
      </c>
      <c r="FB136" s="21" t="n">
        <v>64.127</v>
      </c>
      <c r="FC136" s="21" t="n">
        <v>137.067</v>
      </c>
      <c r="FD136" s="21" t="n">
        <v>87.52</v>
      </c>
      <c r="FE136" s="21" t="n">
        <v>43.017</v>
      </c>
      <c r="FF136" s="21" t="n">
        <v>134.842</v>
      </c>
      <c r="FG136" s="21" t="n">
        <v>142.831</v>
      </c>
      <c r="FH136" s="21" t="n">
        <v>111.406</v>
      </c>
      <c r="FI136" s="21" t="n">
        <v>78.617</v>
      </c>
      <c r="FJ136" s="21" t="n"/>
      <c r="FK136" s="21" t="n">
        <v>83.974</v>
      </c>
      <c r="FL136" s="21" t="n">
        <v>88.032</v>
      </c>
      <c r="FM136" s="21" t="n">
        <v>104.418</v>
      </c>
      <c r="FN136" s="21" t="n">
        <v>74.27200000000001</v>
      </c>
      <c r="FO136" s="21" t="n">
        <v>57.256</v>
      </c>
      <c r="FP136" s="21" t="n">
        <v>40.79</v>
      </c>
      <c r="FQ136" s="21" t="n">
        <v>176.893</v>
      </c>
      <c r="FR136" s="21" t="n">
        <v>47.811</v>
      </c>
      <c r="FS136" s="21" t="n">
        <v>86.765</v>
      </c>
      <c r="FT136" s="21" t="n">
        <v>117.813</v>
      </c>
      <c r="FU136" s="21" t="n">
        <v>131.208</v>
      </c>
      <c r="FV136" s="21" t="n">
        <v>111.852</v>
      </c>
      <c r="FW136" s="21" t="n">
        <v>241.351</v>
      </c>
      <c r="FX136" s="21" t="n">
        <v>153.443</v>
      </c>
      <c r="FY136" s="21" t="n">
        <v>238.037</v>
      </c>
      <c r="FZ136" s="21" t="n">
        <v>144.641</v>
      </c>
      <c r="GA136" s="21" t="n"/>
      <c r="GB136" s="21" t="n"/>
      <c r="GC136" s="21" t="n"/>
      <c r="GD136" s="21" t="n">
        <v>197.584</v>
      </c>
      <c r="GE136" s="21" t="n"/>
      <c r="GF136" s="21" t="n">
        <v>138.582</v>
      </c>
      <c r="GG136" s="21" t="n">
        <v>134.517</v>
      </c>
      <c r="GH136" s="21" t="n">
        <v>137.388</v>
      </c>
      <c r="GI136" s="21" t="n">
        <v>96.596</v>
      </c>
      <c r="GJ136" s="21" t="n">
        <v>194.824</v>
      </c>
      <c r="GK136" s="21" t="n">
        <v>86.379</v>
      </c>
      <c r="GL136" s="21" t="n">
        <v>144.46</v>
      </c>
      <c r="GM136" s="21" t="n">
        <v>121.394</v>
      </c>
      <c r="GN136" s="21" t="n">
        <v>116.834</v>
      </c>
      <c r="GO136" s="21" t="n">
        <v>118.418</v>
      </c>
      <c r="GP136" s="21" t="n">
        <v>107.655</v>
      </c>
      <c r="GQ136" s="21" t="n">
        <v>120.147</v>
      </c>
      <c r="GR136" s="21" t="n">
        <v>80.08</v>
      </c>
      <c r="GS136" s="21" t="n">
        <v>119.409</v>
      </c>
      <c r="GT136" s="21" t="n">
        <v>110.206</v>
      </c>
      <c r="GU136" s="21" t="n">
        <v>150.37</v>
      </c>
      <c r="GV136" s="21" t="n">
        <v>155.23</v>
      </c>
      <c r="GW136" s="21" t="n">
        <v>167.701</v>
      </c>
      <c r="GX136" s="21" t="n">
        <v>137.985</v>
      </c>
      <c r="GY136" s="21" t="n">
        <v>126.625</v>
      </c>
      <c r="GZ136" s="21" t="n">
        <v>224.643</v>
      </c>
      <c r="HA136" s="21" t="n">
        <v>173.707</v>
      </c>
      <c r="HB136" s="21" t="n">
        <v>225.017</v>
      </c>
      <c r="HC136" s="21" t="n">
        <v>283.431</v>
      </c>
      <c r="HD136" s="21" t="n">
        <v>282.369</v>
      </c>
      <c r="HE136" s="21" t="n">
        <v>123.726</v>
      </c>
      <c r="HF136" s="21" t="n">
        <v>179</v>
      </c>
      <c r="HG136" s="21" t="n"/>
      <c r="HH136" s="21" t="n">
        <v>174.999</v>
      </c>
      <c r="HI136" s="21" t="n">
        <v>190.82</v>
      </c>
      <c r="HJ136" s="21" t="n"/>
      <c r="HK136" s="21" t="n">
        <v>176.154</v>
      </c>
      <c r="HL136" s="21" t="n">
        <v>113.054</v>
      </c>
      <c r="HM136" s="21" t="n">
        <v>162.78</v>
      </c>
      <c r="HN136" s="21" t="n">
        <v>331.034</v>
      </c>
      <c r="HO136" s="21" t="n">
        <v>328.874</v>
      </c>
      <c r="HP136" s="21" t="n">
        <v>321.202</v>
      </c>
      <c r="HQ136" s="21" t="n">
        <v>361.474</v>
      </c>
      <c r="HR136" s="21" t="n">
        <v>356.71</v>
      </c>
      <c r="HS136" s="21" t="n">
        <v>351.126</v>
      </c>
      <c r="HT136" s="21" t="n">
        <v>189.059</v>
      </c>
      <c r="HU136" s="21" t="n">
        <v>160.468</v>
      </c>
      <c r="HV136" s="21" t="n">
        <v>227.322</v>
      </c>
      <c r="HW136" s="21" t="n">
        <v>212.305</v>
      </c>
      <c r="HX136" s="21" t="n">
        <v>474.661</v>
      </c>
      <c r="HY136" s="21" t="n">
        <v>449.675</v>
      </c>
      <c r="HZ136" s="21" t="n"/>
      <c r="IA136" s="21" t="n">
        <v>383.356</v>
      </c>
      <c r="IB136" s="21" t="n">
        <v>300.611</v>
      </c>
      <c r="IC136" s="21" t="n">
        <v>897.145</v>
      </c>
      <c r="ID136" s="21" t="n">
        <v>223.26</v>
      </c>
      <c r="IE136" s="21" t="n">
        <v>208.992</v>
      </c>
      <c r="IF136" s="21" t="n">
        <v>245.788</v>
      </c>
      <c r="IG136" s="21" t="n">
        <v>293.514</v>
      </c>
      <c r="IH136" s="21" t="n"/>
      <c r="II136" s="21" t="n">
        <v>282.446</v>
      </c>
      <c r="IJ136" s="21" t="n">
        <v>290.226</v>
      </c>
      <c r="IK136" s="21" t="n">
        <v>154.215</v>
      </c>
      <c r="IL136" s="21" t="n"/>
      <c r="IM136" s="21" t="n"/>
      <c r="IN136" s="21" t="n">
        <v>62.535</v>
      </c>
      <c r="IO136" s="21" t="n">
        <v>365.257</v>
      </c>
      <c r="IP136" s="21" t="n">
        <v>138.522</v>
      </c>
      <c r="IQ136" s="21" t="n">
        <v>592.2859999999999</v>
      </c>
      <c r="IR136" s="21" t="n">
        <v>414.032</v>
      </c>
      <c r="IS136" s="21" t="n">
        <v>135.004</v>
      </c>
      <c r="IT136" s="21" t="n">
        <v>560.172</v>
      </c>
      <c r="IU136" s="21" t="n">
        <v>109.939</v>
      </c>
      <c r="IV136" s="21" t="n">
        <v>113.562</v>
      </c>
      <c r="IW136" s="21" t="n">
        <v>649.873</v>
      </c>
      <c r="IX136" s="21" t="n">
        <v>453.288</v>
      </c>
      <c r="IY136" s="21" t="n">
        <v>437.338</v>
      </c>
      <c r="IZ136" s="21" t="n">
        <v>646.881</v>
      </c>
      <c r="JA136" s="21" t="n">
        <v>217.973</v>
      </c>
      <c r="JB136" s="21" t="n"/>
      <c r="JC136" s="21" t="n">
        <v>108.961</v>
      </c>
      <c r="JD136" s="21" t="n">
        <v>454.881</v>
      </c>
      <c r="JE136" s="21" t="n">
        <v>439.558</v>
      </c>
      <c r="JF136" s="21" t="n">
        <v>997.686</v>
      </c>
      <c r="JG136" s="21" t="n">
        <v>312.824</v>
      </c>
      <c r="JH136" s="21" t="n">
        <v>193.652</v>
      </c>
      <c r="JI136" s="21" t="n">
        <v>138.741</v>
      </c>
      <c r="JJ136" s="21" t="n">
        <v>143.898</v>
      </c>
      <c r="JK136" s="21" t="n">
        <v>122.256</v>
      </c>
      <c r="JL136" s="21" t="n">
        <v>92.179</v>
      </c>
      <c r="JM136" s="21" t="n">
        <v>602.302</v>
      </c>
      <c r="JN136" s="21" t="n">
        <v>108.742</v>
      </c>
      <c r="JO136" s="21" t="n">
        <v>84.26600000000001</v>
      </c>
      <c r="JP136" s="21" t="n">
        <v>49.108</v>
      </c>
      <c r="JQ136" s="21" t="n">
        <v>196.493</v>
      </c>
      <c r="JR136" s="21" t="n">
        <v>27.824</v>
      </c>
      <c r="JS136" s="21" t="n">
        <v>94.146</v>
      </c>
      <c r="JT136" s="21" t="n">
        <v>236.094</v>
      </c>
      <c r="JU136" s="21" t="n">
        <v>246.246</v>
      </c>
      <c r="JV136" s="21" t="n">
        <v>194.383</v>
      </c>
      <c r="JW136" s="21" t="n">
        <v>134.986</v>
      </c>
      <c r="JX136" s="21" t="n">
        <v>378.507</v>
      </c>
      <c r="JY136" s="21" t="n">
        <v>278.446</v>
      </c>
      <c r="JZ136" s="21" t="n">
        <v>411.322</v>
      </c>
      <c r="KA136" s="21" t="n">
        <v>124.47</v>
      </c>
      <c r="KB136" s="21" t="n">
        <v>169.597</v>
      </c>
      <c r="KC136" s="21" t="n">
        <v>86.289</v>
      </c>
      <c r="KD136" s="21" t="n">
        <v>89.182</v>
      </c>
      <c r="KE136" s="21" t="n">
        <v>76.461</v>
      </c>
      <c r="KF136" s="21" t="n"/>
      <c r="KG136" s="21" t="n">
        <v>31.282</v>
      </c>
      <c r="KH136" s="21" t="n"/>
      <c r="KI136" s="21" t="n"/>
      <c r="KJ136" s="21" t="n"/>
      <c r="KK136" s="21" t="n">
        <v>33.499</v>
      </c>
      <c r="KL136" s="21" t="n">
        <v>28.108</v>
      </c>
      <c r="KM136" s="21" t="n">
        <v>37.516</v>
      </c>
      <c r="KN136" s="21" t="n"/>
      <c r="KO136" s="21" t="n">
        <v>104.747</v>
      </c>
      <c r="KP136" s="21" t="n">
        <v>131.045</v>
      </c>
      <c r="KQ136" s="21" t="n">
        <v>211.55</v>
      </c>
      <c r="KR136" s="21" t="n">
        <v>167.821</v>
      </c>
      <c r="KS136" s="21" t="n">
        <v>497.839</v>
      </c>
      <c r="KT136" s="21" t="n">
        <v>245.513</v>
      </c>
      <c r="KU136" s="21" t="n">
        <v>249.965</v>
      </c>
      <c r="KV136" s="21" t="n">
        <v>419.833</v>
      </c>
      <c r="KW136" s="21" t="n">
        <v>293.708</v>
      </c>
      <c r="KX136" s="21" t="n">
        <v>240.085</v>
      </c>
      <c r="KY136" s="21" t="n">
        <v>95.97199999999999</v>
      </c>
      <c r="KZ136" s="21" t="n">
        <v>146.668</v>
      </c>
      <c r="LA136" s="21" t="n">
        <v>315.336</v>
      </c>
      <c r="LB136" s="21" t="n">
        <v>766.838</v>
      </c>
      <c r="LC136" s="21" t="n">
        <v>260.387</v>
      </c>
      <c r="LD136" s="21" t="n">
        <v>907.1559999999999</v>
      </c>
      <c r="LE136" s="21" t="n">
        <v>967.768</v>
      </c>
      <c r="LF136" s="21" t="n">
        <v>104.326</v>
      </c>
      <c r="LG136" s="21" t="n">
        <v>396.914</v>
      </c>
      <c r="LH136" s="21" t="n">
        <v>282.972</v>
      </c>
      <c r="LI136" s="21" t="n">
        <v>71.854</v>
      </c>
      <c r="LJ136" s="21" t="n">
        <v>264.064</v>
      </c>
      <c r="LK136" s="21" t="n">
        <v>408.666</v>
      </c>
      <c r="LL136" s="21" t="n">
        <v>508.602</v>
      </c>
      <c r="LM136" s="21" t="n">
        <v>67.43300000000001</v>
      </c>
      <c r="LN136" s="21" t="n">
        <v>91.762</v>
      </c>
      <c r="LO136" s="21" t="n">
        <v>45.226</v>
      </c>
      <c r="LP136" s="21" t="n">
        <v>162.63</v>
      </c>
      <c r="LQ136" s="21" t="n"/>
      <c r="LR136" s="21" t="n"/>
      <c r="LS136" s="21" t="n">
        <v>99.69799999999999</v>
      </c>
      <c r="LT136" s="21" t="n">
        <v>35.293</v>
      </c>
      <c r="LU136" s="21" t="n">
        <v>26.636</v>
      </c>
      <c r="LV136" s="21" t="n">
        <v>88.127</v>
      </c>
      <c r="LW136" s="21" t="n">
        <v>85.51600000000001</v>
      </c>
      <c r="LX136" s="21" t="n">
        <v>34.202</v>
      </c>
      <c r="LY136" s="21" t="n">
        <v>596.439</v>
      </c>
      <c r="LZ136" s="21" t="n">
        <v>109.176</v>
      </c>
      <c r="MA136" s="21" t="n">
        <v>734.033</v>
      </c>
      <c r="MB136" s="21" t="n">
        <v>362.918</v>
      </c>
      <c r="MC136" s="21" t="n">
        <v>298.043</v>
      </c>
      <c r="MD136" s="21" t="n">
        <v>183.762</v>
      </c>
      <c r="ME136" s="21" t="n">
        <v>126.219</v>
      </c>
      <c r="MF136" s="21" t="n">
        <v>193.373</v>
      </c>
      <c r="MG136" s="21" t="n">
        <v>369.354</v>
      </c>
      <c r="MH136" s="21" t="n">
        <v>225.366</v>
      </c>
      <c r="MI136" s="21" t="n">
        <v>589.543</v>
      </c>
      <c r="MJ136" s="21" t="n"/>
      <c r="MK136" s="21" t="n">
        <v>416.759</v>
      </c>
      <c r="ML136" s="21" t="n">
        <v>249.156</v>
      </c>
      <c r="MM136" s="21" t="n">
        <v>308.391</v>
      </c>
      <c r="MN136" s="21" t="n">
        <v>411.096</v>
      </c>
      <c r="MO136" s="21" t="n">
        <v>193.44</v>
      </c>
      <c r="MP136" s="21" t="n">
        <v>309.873</v>
      </c>
      <c r="MQ136" s="21" t="n">
        <v>91.27500000000001</v>
      </c>
      <c r="MR136" s="21" t="n">
        <v>211.595</v>
      </c>
      <c r="MS136" s="21" t="n"/>
      <c r="MT136" s="21" t="n">
        <v>317.558</v>
      </c>
      <c r="MU136" s="21" t="n">
        <v>335.301</v>
      </c>
      <c r="MV136" s="21" t="n">
        <v>327.629</v>
      </c>
      <c r="MW136" s="21" t="n">
        <v>334.391</v>
      </c>
      <c r="MX136" s="21" t="n">
        <v>296.952</v>
      </c>
      <c r="MY136" s="21" t="n">
        <v>284.74</v>
      </c>
      <c r="MZ136" s="21" t="n">
        <v>284.502</v>
      </c>
      <c r="NA136" s="21" t="n">
        <v>291.113</v>
      </c>
      <c r="NB136" s="21" t="n">
        <v>130.986</v>
      </c>
      <c r="NC136" s="21" t="n">
        <v>231.583</v>
      </c>
      <c r="ND136" s="21" t="n">
        <v>183.676</v>
      </c>
      <c r="NE136" s="21" t="n">
        <v>179.75</v>
      </c>
      <c r="NF136" s="21" t="n">
        <v>167.666</v>
      </c>
      <c r="NG136" s="21" t="n">
        <v>167.13</v>
      </c>
      <c r="NH136" s="21" t="n">
        <v>327.969</v>
      </c>
      <c r="NI136" s="21" t="n">
        <v>122.494</v>
      </c>
      <c r="NJ136" s="21" t="n">
        <v>49.777</v>
      </c>
      <c r="NK136" s="21" t="n">
        <v>125.434</v>
      </c>
      <c r="NL136" s="21" t="n">
        <v>310.28</v>
      </c>
      <c r="NM136" s="21" t="n">
        <v>339.203</v>
      </c>
      <c r="NN136" s="21" t="n">
        <v>109.981</v>
      </c>
      <c r="NO136" s="21" t="n">
        <v>33.657</v>
      </c>
      <c r="NP136" s="21" t="n">
        <v>292.452</v>
      </c>
      <c r="NQ136" s="21" t="n">
        <v>247.132</v>
      </c>
      <c r="NR136" s="21" t="n">
        <v>311.705</v>
      </c>
      <c r="NS136" s="21" t="n">
        <v>243.884</v>
      </c>
      <c r="NT136" s="21" t="n">
        <v>314.675</v>
      </c>
      <c r="NU136" s="21" t="n">
        <v>149.581</v>
      </c>
      <c r="NV136" s="21" t="n">
        <v>166.406</v>
      </c>
      <c r="NW136" s="21" t="n">
        <v>432.845</v>
      </c>
      <c r="NX136" s="21" t="n">
        <v>85.372</v>
      </c>
      <c r="NY136" s="21" t="n">
        <v>158.642</v>
      </c>
      <c r="NZ136" s="21" t="n">
        <v>443.279</v>
      </c>
      <c r="OA136" s="21" t="n">
        <v>427.594</v>
      </c>
      <c r="OB136" s="21" t="n">
        <v>441.419</v>
      </c>
      <c r="OC136" s="21" t="n">
        <v>410.526</v>
      </c>
      <c r="OD136" s="21" t="n">
        <v>442.058</v>
      </c>
      <c r="OE136" s="21" t="n">
        <v>129.631</v>
      </c>
      <c r="OF136" s="21" t="n">
        <v>461.066</v>
      </c>
      <c r="OG136" s="21" t="n">
        <v>275.356</v>
      </c>
      <c r="OH136" s="21" t="n">
        <v>32.652</v>
      </c>
      <c r="OI136" s="21" t="n">
        <v>161.212</v>
      </c>
      <c r="OJ136" s="21" t="n">
        <v>30.3</v>
      </c>
      <c r="OK136" s="21" t="n">
        <v>10.1</v>
      </c>
    </row>
    <row r="137">
      <c r="A137" s="22" t="n">
        <v>46113</v>
      </c>
      <c r="B137" s="21" t="n">
        <v>333.02</v>
      </c>
      <c r="C137" s="21" t="n">
        <v>997.578</v>
      </c>
      <c r="D137" s="21" t="n">
        <v>345.336</v>
      </c>
      <c r="E137" s="21" t="n">
        <v>348.499</v>
      </c>
      <c r="F137" s="21" t="n">
        <v>320.859</v>
      </c>
      <c r="G137" s="21" t="n">
        <v>365.366</v>
      </c>
      <c r="H137" s="21" t="n">
        <v>289.54</v>
      </c>
      <c r="I137" s="21" t="n">
        <v>317.309</v>
      </c>
      <c r="J137" s="21" t="n">
        <v>284.219</v>
      </c>
      <c r="K137" s="21" t="n">
        <v>293.933</v>
      </c>
      <c r="L137" s="21" t="n">
        <v>199.097</v>
      </c>
      <c r="M137" s="21" t="n">
        <v>409.715</v>
      </c>
      <c r="N137" s="21" t="n">
        <v>250.212</v>
      </c>
      <c r="O137" s="21" t="n">
        <v>449</v>
      </c>
      <c r="P137" s="21" t="n">
        <v>492.139</v>
      </c>
      <c r="Q137" s="21" t="n">
        <v>237.123</v>
      </c>
      <c r="R137" s="21" t="n">
        <v>395.62</v>
      </c>
      <c r="S137" s="21" t="n">
        <v>415.432</v>
      </c>
      <c r="T137" s="21" t="n">
        <v>373.429</v>
      </c>
      <c r="U137" s="21" t="n">
        <v>359.862</v>
      </c>
      <c r="V137" s="21" t="n">
        <v>424.179</v>
      </c>
      <c r="W137" s="21" t="n">
        <v>431.435</v>
      </c>
      <c r="X137" s="21" t="n">
        <v>337.418</v>
      </c>
      <c r="Y137" s="21" t="n">
        <v>349.965</v>
      </c>
      <c r="Z137" s="21" t="n">
        <v>357.801</v>
      </c>
      <c r="AA137" s="21" t="n">
        <v>377.121</v>
      </c>
      <c r="AB137" s="21" t="n">
        <v>520.433</v>
      </c>
      <c r="AC137" s="21" t="n">
        <v>445.455</v>
      </c>
      <c r="AD137" s="21" t="n">
        <v>433.767</v>
      </c>
      <c r="AE137" s="21" t="n">
        <v>350.582</v>
      </c>
      <c r="AF137" s="21" t="n">
        <v>408.421</v>
      </c>
      <c r="AG137" s="21" t="n">
        <v>272.927</v>
      </c>
      <c r="AH137" s="21" t="n">
        <v>205.503</v>
      </c>
      <c r="AI137" s="21" t="n">
        <v>385.405</v>
      </c>
      <c r="AJ137" s="21" t="n">
        <v>187.679</v>
      </c>
      <c r="AK137" s="21" t="n">
        <v>250.754</v>
      </c>
      <c r="AL137" s="21" t="n">
        <v>276.966</v>
      </c>
      <c r="AM137" s="21" t="n">
        <v>251.813</v>
      </c>
      <c r="AN137" s="21" t="n">
        <v>164.745</v>
      </c>
      <c r="AO137" s="21" t="n">
        <v>299.692</v>
      </c>
      <c r="AP137" s="21" t="n">
        <v>321.662</v>
      </c>
      <c r="AQ137" s="21" t="n">
        <v>188.326</v>
      </c>
      <c r="AR137" s="21" t="n"/>
      <c r="AS137" s="21" t="n"/>
      <c r="AT137" s="21" t="n">
        <v>313.084</v>
      </c>
      <c r="AU137" s="21" t="n">
        <v>197.707</v>
      </c>
      <c r="AV137" s="21" t="n">
        <v>326.549</v>
      </c>
      <c r="AW137" s="21" t="n">
        <v>296.011</v>
      </c>
      <c r="AX137" s="21" t="n">
        <v>218.349</v>
      </c>
      <c r="AY137" s="21" t="n">
        <v>374.201</v>
      </c>
      <c r="AZ137" s="21" t="n">
        <v>235.082</v>
      </c>
      <c r="BA137" s="21" t="n">
        <v>185.048</v>
      </c>
      <c r="BB137" s="21" t="n">
        <v>259.356</v>
      </c>
      <c r="BC137" s="21" t="n">
        <v>418.536</v>
      </c>
      <c r="BD137" s="21" t="n">
        <v>274.415</v>
      </c>
      <c r="BE137" s="21" t="n">
        <v>270.164</v>
      </c>
      <c r="BF137" s="21" t="n">
        <v>181.345</v>
      </c>
      <c r="BG137" s="21" t="n">
        <v>256.675</v>
      </c>
      <c r="BH137" s="21" t="n">
        <v>188.92</v>
      </c>
      <c r="BI137" s="21" t="n">
        <v>259.552</v>
      </c>
      <c r="BJ137" s="21" t="n">
        <v>279.185</v>
      </c>
      <c r="BK137" s="21" t="n">
        <v>191.098</v>
      </c>
      <c r="BL137" s="21" t="n">
        <v>370.431</v>
      </c>
      <c r="BM137" s="21" t="n">
        <v>418.477</v>
      </c>
      <c r="BN137" s="21" t="n">
        <v>424.005</v>
      </c>
      <c r="BO137" s="21" t="n">
        <v>365.485</v>
      </c>
      <c r="BP137" s="21" t="n">
        <v>218.318</v>
      </c>
      <c r="BQ137" s="21" t="n">
        <v>305.645</v>
      </c>
      <c r="BR137" s="21" t="n">
        <v>579.521</v>
      </c>
      <c r="BS137" s="21" t="n">
        <v>145.692</v>
      </c>
      <c r="BT137" s="21" t="n">
        <v>411.213</v>
      </c>
      <c r="BU137" s="21" t="n">
        <v>406.574</v>
      </c>
      <c r="BV137" s="21" t="n">
        <v>420.326</v>
      </c>
      <c r="BW137" s="21" t="n">
        <v>468.488</v>
      </c>
      <c r="BX137" s="21" t="n">
        <v>401.455</v>
      </c>
      <c r="BY137" s="21" t="n">
        <v>211.101</v>
      </c>
      <c r="BZ137" s="21" t="n">
        <v>232.415</v>
      </c>
      <c r="CA137" s="21" t="n">
        <v>224.007</v>
      </c>
      <c r="CB137" s="21" t="n">
        <v>246.238</v>
      </c>
      <c r="CC137" s="21" t="n">
        <v>187.704</v>
      </c>
      <c r="CD137" s="21" t="n">
        <v>261.892</v>
      </c>
      <c r="CE137" s="21" t="n">
        <v>199.799</v>
      </c>
      <c r="CF137" s="21" t="n">
        <v>241.521</v>
      </c>
      <c r="CG137" s="21" t="n">
        <v>239.417</v>
      </c>
      <c r="CH137" s="21" t="n">
        <v>185.085</v>
      </c>
      <c r="CI137" s="21" t="n">
        <v>242.259</v>
      </c>
      <c r="CJ137" s="21" t="n">
        <v>286.61</v>
      </c>
      <c r="CK137" s="21" t="n">
        <v>162.11</v>
      </c>
      <c r="CL137" s="21" t="n">
        <v>166.49</v>
      </c>
      <c r="CM137" s="21" t="n">
        <v>301.918</v>
      </c>
      <c r="CN137" s="21" t="n">
        <v>312.873</v>
      </c>
      <c r="CO137" s="21" t="n">
        <v>300.654</v>
      </c>
      <c r="CP137" s="21" t="n">
        <v>163.876</v>
      </c>
      <c r="CQ137" s="21" t="n">
        <v>282.256</v>
      </c>
      <c r="CR137" s="21" t="n">
        <v>317.985</v>
      </c>
      <c r="CS137" s="21" t="n">
        <v>275.5</v>
      </c>
      <c r="CT137" s="21" t="n">
        <v>222.767</v>
      </c>
      <c r="CU137" s="21" t="n">
        <v>199.29</v>
      </c>
      <c r="CV137" s="21" t="n">
        <v>311.057</v>
      </c>
      <c r="CW137" s="21" t="n">
        <v>264.227</v>
      </c>
      <c r="CX137" s="21" t="n">
        <v>296.678</v>
      </c>
      <c r="CY137" s="21" t="n">
        <v>458.868</v>
      </c>
      <c r="CZ137" s="21" t="n">
        <v>175.303</v>
      </c>
      <c r="DA137" s="21" t="n">
        <v>223.444</v>
      </c>
      <c r="DB137" s="21" t="n">
        <v>193.58</v>
      </c>
      <c r="DC137" s="21" t="n">
        <v>295.602</v>
      </c>
      <c r="DD137" s="21" t="n">
        <v>327.594</v>
      </c>
      <c r="DE137" s="21" t="n">
        <v>212.732</v>
      </c>
      <c r="DF137" s="21" t="n">
        <v>316.607</v>
      </c>
      <c r="DG137" s="21" t="n">
        <v>326.377</v>
      </c>
      <c r="DH137" s="21" t="n">
        <v>195.074</v>
      </c>
      <c r="DI137" s="21" t="n">
        <v>203.01</v>
      </c>
      <c r="DJ137" s="21" t="n">
        <v>192.025</v>
      </c>
      <c r="DK137" s="21" t="n">
        <v>413.559</v>
      </c>
      <c r="DL137" s="21" t="n">
        <v>221.995</v>
      </c>
      <c r="DM137" s="21" t="n">
        <v>178.334</v>
      </c>
      <c r="DN137" s="21" t="n">
        <v>163.795</v>
      </c>
      <c r="DO137" s="21" t="n">
        <v>393.546</v>
      </c>
      <c r="DP137" s="21" t="n">
        <v>242.927</v>
      </c>
      <c r="DQ137" s="21" t="n">
        <v>257.729</v>
      </c>
      <c r="DR137" s="21" t="n">
        <v>215.796</v>
      </c>
      <c r="DS137" s="21" t="n"/>
      <c r="DT137" s="21" t="n">
        <v>249.399</v>
      </c>
      <c r="DU137" s="21" t="n">
        <v>265.246</v>
      </c>
      <c r="DV137" s="21" t="n">
        <v>300.555</v>
      </c>
      <c r="DW137" s="21" t="n">
        <v>231.805</v>
      </c>
      <c r="DX137" s="21" t="n">
        <v>284.549</v>
      </c>
      <c r="DY137" s="21" t="n">
        <v>213.141</v>
      </c>
      <c r="DZ137" s="21" t="n">
        <v>221.824</v>
      </c>
      <c r="EA137" s="21" t="n">
        <v>209.226</v>
      </c>
      <c r="EB137" s="21" t="n">
        <v>180.725</v>
      </c>
      <c r="EC137" s="21" t="n">
        <v>454.905</v>
      </c>
      <c r="ED137" s="21" t="n">
        <v>221.876</v>
      </c>
      <c r="EE137" s="21" t="n">
        <v>240.752</v>
      </c>
      <c r="EF137" s="21" t="n">
        <v>252.346</v>
      </c>
      <c r="EG137" s="21" t="n">
        <v>357.345</v>
      </c>
      <c r="EH137" s="21" t="n">
        <v>427.049</v>
      </c>
      <c r="EI137" s="21" t="n">
        <v>445.029</v>
      </c>
      <c r="EJ137" s="21" t="n">
        <v>201.776</v>
      </c>
      <c r="EK137" s="21" t="n">
        <v>679.655</v>
      </c>
      <c r="EL137" s="21" t="n">
        <v>413.627</v>
      </c>
      <c r="EM137" s="21" t="n">
        <v>439.137</v>
      </c>
      <c r="EN137" s="21" t="n">
        <v>439.1</v>
      </c>
      <c r="EO137" s="21" t="n">
        <v>173.732</v>
      </c>
      <c r="EP137" s="21" t="n">
        <v>347.96</v>
      </c>
      <c r="EQ137" s="21" t="n">
        <v>292.624</v>
      </c>
      <c r="ER137" s="21" t="n">
        <v>465.259</v>
      </c>
      <c r="ES137" s="21" t="n">
        <v>532.894</v>
      </c>
      <c r="ET137" s="21" t="n">
        <v>423.233</v>
      </c>
      <c r="EU137" s="21" t="n">
        <v>295.713</v>
      </c>
      <c r="EV137" s="21" t="n">
        <v>304.095</v>
      </c>
      <c r="EW137" s="21" t="n">
        <v>264.314</v>
      </c>
      <c r="EX137" s="21" t="n">
        <v>329.651</v>
      </c>
      <c r="EY137" s="21" t="n">
        <v>756.792</v>
      </c>
      <c r="EZ137" s="21" t="n">
        <v>669.83</v>
      </c>
      <c r="FA137" s="21" t="n">
        <v>156.377</v>
      </c>
      <c r="FB137" s="21" t="n">
        <v>62.56</v>
      </c>
      <c r="FC137" s="21" t="n">
        <v>134.092</v>
      </c>
      <c r="FD137" s="21" t="n">
        <v>88.349</v>
      </c>
      <c r="FE137" s="21" t="n">
        <v>41.394</v>
      </c>
      <c r="FF137" s="21" t="n">
        <v>134.373</v>
      </c>
      <c r="FG137" s="21" t="n">
        <v>143.978</v>
      </c>
      <c r="FH137" s="21" t="n">
        <v>110.989</v>
      </c>
      <c r="FI137" s="21" t="n">
        <v>76.423</v>
      </c>
      <c r="FJ137" s="21" t="n"/>
      <c r="FK137" s="21" t="n">
        <v>83.80200000000001</v>
      </c>
      <c r="FL137" s="21" t="n">
        <v>87.35899999999999</v>
      </c>
      <c r="FM137" s="21" t="n">
        <v>106.02</v>
      </c>
      <c r="FN137" s="21" t="n">
        <v>74.334</v>
      </c>
      <c r="FO137" s="21" t="n">
        <v>56.853</v>
      </c>
      <c r="FP137" s="21" t="n">
        <v>40.791</v>
      </c>
      <c r="FQ137" s="21" t="n">
        <v>170.545</v>
      </c>
      <c r="FR137" s="21" t="n">
        <v>48.588</v>
      </c>
      <c r="FS137" s="21" t="n">
        <v>86.333</v>
      </c>
      <c r="FT137" s="21" t="n">
        <v>116.895</v>
      </c>
      <c r="FU137" s="21" t="n">
        <v>129.927</v>
      </c>
      <c r="FV137" s="21" t="n">
        <v>111.104</v>
      </c>
      <c r="FW137" s="21" t="n">
        <v>241.129</v>
      </c>
      <c r="FX137" s="21" t="n">
        <v>152.377</v>
      </c>
      <c r="FY137" s="21" t="n">
        <v>240.878</v>
      </c>
      <c r="FZ137" s="21" t="n">
        <v>144.348</v>
      </c>
      <c r="GA137" s="21" t="n"/>
      <c r="GB137" s="21" t="n"/>
      <c r="GC137" s="21" t="n">
        <v>337.914</v>
      </c>
      <c r="GD137" s="21" t="n">
        <v>197.837</v>
      </c>
      <c r="GE137" s="21" t="n"/>
      <c r="GF137" s="21" t="n">
        <v>138.074</v>
      </c>
      <c r="GG137" s="21" t="n">
        <v>133.897</v>
      </c>
      <c r="GH137" s="21" t="n">
        <v>136.699</v>
      </c>
      <c r="GI137" s="21" t="n">
        <v>93.958</v>
      </c>
      <c r="GJ137" s="21" t="n">
        <v>196.14</v>
      </c>
      <c r="GK137" s="21" t="n">
        <v>86.741</v>
      </c>
      <c r="GL137" s="21" t="n">
        <v>143.092</v>
      </c>
      <c r="GM137" s="21" t="n">
        <v>121.034</v>
      </c>
      <c r="GN137" s="21" t="n">
        <v>115.692</v>
      </c>
      <c r="GO137" s="21" t="n">
        <v>116.913</v>
      </c>
      <c r="GP137" s="21" t="n">
        <v>106.696</v>
      </c>
      <c r="GQ137" s="21" t="n">
        <v>114.246</v>
      </c>
      <c r="GR137" s="21" t="n">
        <v>79.289</v>
      </c>
      <c r="GS137" s="21" t="n">
        <v>119.405</v>
      </c>
      <c r="GT137" s="21" t="n">
        <v>110.957</v>
      </c>
      <c r="GU137" s="21" t="n">
        <v>151.094</v>
      </c>
      <c r="GV137" s="21" t="n">
        <v>155.586</v>
      </c>
      <c r="GW137" s="21" t="n">
        <v>168.35</v>
      </c>
      <c r="GX137" s="21" t="n">
        <v>138.953</v>
      </c>
      <c r="GY137" s="21" t="n">
        <v>124.035</v>
      </c>
      <c r="GZ137" s="21" t="n">
        <v>228.181</v>
      </c>
      <c r="HA137" s="21" t="n">
        <v>173.875</v>
      </c>
      <c r="HB137" s="21" t="n">
        <v>229.406</v>
      </c>
      <c r="HC137" s="21" t="n">
        <v>291.752</v>
      </c>
      <c r="HD137" s="21" t="n">
        <v>290.314</v>
      </c>
      <c r="HE137" s="21" t="n">
        <v>124.21</v>
      </c>
      <c r="HF137" s="21" t="n">
        <v>179.207</v>
      </c>
      <c r="HG137" s="21" t="n"/>
      <c r="HH137" s="21" t="n">
        <v>175.23</v>
      </c>
      <c r="HI137" s="21" t="n">
        <v>191.044</v>
      </c>
      <c r="HJ137" s="21" t="n"/>
      <c r="HK137" s="21" t="n">
        <v>177.936</v>
      </c>
      <c r="HL137" s="21" t="n">
        <v>113.111</v>
      </c>
      <c r="HM137" s="21" t="n">
        <v>158.747</v>
      </c>
      <c r="HN137" s="21" t="n">
        <v>368.371</v>
      </c>
      <c r="HO137" s="21" t="n">
        <v>365.392</v>
      </c>
      <c r="HP137" s="21" t="n">
        <v>357.772</v>
      </c>
      <c r="HQ137" s="21" t="n">
        <v>398.892</v>
      </c>
      <c r="HR137" s="21" t="n">
        <v>391.063</v>
      </c>
      <c r="HS137" s="21" t="n">
        <v>410.746</v>
      </c>
      <c r="HT137" s="21" t="n">
        <v>188.642</v>
      </c>
      <c r="HU137" s="21" t="n">
        <v>160.087</v>
      </c>
      <c r="HV137" s="21" t="n">
        <v>227.019</v>
      </c>
      <c r="HW137" s="21" t="n">
        <v>212.306</v>
      </c>
      <c r="HX137" s="21" t="n"/>
      <c r="HY137" s="21" t="n">
        <v>448.821</v>
      </c>
      <c r="HZ137" s="21" t="n"/>
      <c r="IA137" s="21" t="n">
        <v>385.137</v>
      </c>
      <c r="IB137" s="21" t="n">
        <v>298.065</v>
      </c>
      <c r="IC137" s="21" t="n">
        <v>894.3150000000001</v>
      </c>
      <c r="ID137" s="21" t="n">
        <v>222.9</v>
      </c>
      <c r="IE137" s="21" t="n">
        <v>208.967</v>
      </c>
      <c r="IF137" s="21" t="n">
        <v>244.807</v>
      </c>
      <c r="IG137" s="21" t="n">
        <v>295.072</v>
      </c>
      <c r="IH137" s="21" t="n"/>
      <c r="II137" s="21" t="n">
        <v>294.067</v>
      </c>
      <c r="IJ137" s="21" t="n">
        <v>308.527</v>
      </c>
      <c r="IK137" s="21" t="n">
        <v>155.521</v>
      </c>
      <c r="IL137" s="21" t="n"/>
      <c r="IM137" s="21" t="n"/>
      <c r="IN137" s="21" t="n">
        <v>62.63</v>
      </c>
      <c r="IO137" s="21" t="n">
        <v>366.011</v>
      </c>
      <c r="IP137" s="21" t="n">
        <v>138.72</v>
      </c>
      <c r="IQ137" s="21" t="n">
        <v>591.6609999999999</v>
      </c>
      <c r="IR137" s="21" t="n">
        <v>412.564</v>
      </c>
      <c r="IS137" s="21" t="n">
        <v>134.598</v>
      </c>
      <c r="IT137" s="21" t="n">
        <v>560.317</v>
      </c>
      <c r="IU137" s="21" t="n">
        <v>108.701</v>
      </c>
      <c r="IV137" s="21" t="n">
        <v>112.569</v>
      </c>
      <c r="IW137" s="21" t="n">
        <v>649.526</v>
      </c>
      <c r="IX137" s="21" t="n">
        <v>454.136</v>
      </c>
      <c r="IY137" s="21" t="n">
        <v>439.842</v>
      </c>
      <c r="IZ137" s="21" t="n">
        <v>645.227</v>
      </c>
      <c r="JA137" s="21" t="n">
        <v>218.999</v>
      </c>
      <c r="JB137" s="21" t="n">
        <v>278.472</v>
      </c>
      <c r="JC137" s="21" t="n">
        <v>108.687</v>
      </c>
      <c r="JD137" s="21" t="n">
        <v>453.638</v>
      </c>
      <c r="JE137" s="21" t="n"/>
      <c r="JF137" s="21" t="n">
        <v>1004.524</v>
      </c>
      <c r="JG137" s="21" t="n">
        <v>312.37</v>
      </c>
      <c r="JH137" s="21" t="n">
        <v>193.357</v>
      </c>
      <c r="JI137" s="21" t="n">
        <v>138.169</v>
      </c>
      <c r="JJ137" s="21" t="n">
        <v>143.92</v>
      </c>
      <c r="JK137" s="21" t="n">
        <v>122.902</v>
      </c>
      <c r="JL137" s="21" t="n">
        <v>92.82899999999999</v>
      </c>
      <c r="JM137" s="21" t="n">
        <v>605.6319999999999</v>
      </c>
      <c r="JN137" s="21" t="n">
        <v>106.42</v>
      </c>
      <c r="JO137" s="21" t="n">
        <v>85.10899999999999</v>
      </c>
      <c r="JP137" s="21" t="n">
        <v>49.319</v>
      </c>
      <c r="JQ137" s="21" t="n">
        <v>200.664</v>
      </c>
      <c r="JR137" s="21" t="n">
        <v>27.866</v>
      </c>
      <c r="JS137" s="21" t="n">
        <v>94.026</v>
      </c>
      <c r="JT137" s="21" t="n">
        <v>235.896</v>
      </c>
      <c r="JU137" s="21" t="n">
        <v>245.84</v>
      </c>
      <c r="JV137" s="21" t="n">
        <v>193.973</v>
      </c>
      <c r="JW137" s="21" t="n">
        <v>134.558</v>
      </c>
      <c r="JX137" s="21" t="n">
        <v>378.533</v>
      </c>
      <c r="JY137" s="21" t="n">
        <v>278.868</v>
      </c>
      <c r="JZ137" s="21" t="n">
        <v>411.978</v>
      </c>
      <c r="KA137" s="21" t="n">
        <v>124.586</v>
      </c>
      <c r="KB137" s="21" t="n">
        <v>170.512</v>
      </c>
      <c r="KC137" s="21" t="n">
        <v>85.92700000000001</v>
      </c>
      <c r="KD137" s="21" t="n">
        <v>88.694</v>
      </c>
      <c r="KE137" s="21" t="n">
        <v>75.34999999999999</v>
      </c>
      <c r="KF137" s="21" t="n"/>
      <c r="KG137" s="21" t="n">
        <v>30.85</v>
      </c>
      <c r="KH137" s="21" t="n">
        <v>135.007</v>
      </c>
      <c r="KI137" s="21" t="n"/>
      <c r="KJ137" s="21" t="n"/>
      <c r="KK137" s="21" t="n">
        <v>33.867</v>
      </c>
      <c r="KL137" s="21" t="n">
        <v>28.393</v>
      </c>
      <c r="KM137" s="21" t="n">
        <v>37.993</v>
      </c>
      <c r="KN137" s="21" t="n"/>
      <c r="KO137" s="21" t="n">
        <v>108.287</v>
      </c>
      <c r="KP137" s="21" t="n">
        <v>131.341</v>
      </c>
      <c r="KQ137" s="21" t="n">
        <v>210.849</v>
      </c>
      <c r="KR137" s="21" t="n">
        <v>167.297</v>
      </c>
      <c r="KS137" s="21" t="n">
        <v>496.209</v>
      </c>
      <c r="KT137" s="21" t="n">
        <v>246.508</v>
      </c>
      <c r="KU137" s="21" t="n">
        <v>241.47</v>
      </c>
      <c r="KV137" s="21" t="n">
        <v>418.85</v>
      </c>
      <c r="KW137" s="21" t="n">
        <v>288.201</v>
      </c>
      <c r="KX137" s="21" t="n">
        <v>238.285</v>
      </c>
      <c r="KY137" s="21" t="n">
        <v>93.16800000000001</v>
      </c>
      <c r="KZ137" s="21" t="n">
        <v>146.588</v>
      </c>
      <c r="LA137" s="21" t="n">
        <v>315.422</v>
      </c>
      <c r="LB137" s="21" t="n"/>
      <c r="LC137" s="21" t="n">
        <v>252.637</v>
      </c>
      <c r="LD137" s="21" t="n">
        <v>907.601</v>
      </c>
      <c r="LE137" s="21" t="n">
        <v>968.177</v>
      </c>
      <c r="LF137" s="21" t="n">
        <v>104.326</v>
      </c>
      <c r="LG137" s="21" t="n">
        <v>397.29</v>
      </c>
      <c r="LH137" s="21" t="n">
        <v>282.857</v>
      </c>
      <c r="LI137" s="21" t="n">
        <v>71.768</v>
      </c>
      <c r="LJ137" s="21" t="n">
        <v>271.971</v>
      </c>
      <c r="LK137" s="21" t="n">
        <v>420.58</v>
      </c>
      <c r="LL137" s="21" t="n">
        <v>528.5309999999999</v>
      </c>
      <c r="LM137" s="21" t="n">
        <v>67.31</v>
      </c>
      <c r="LN137" s="21" t="n">
        <v>91.80200000000001</v>
      </c>
      <c r="LO137" s="21" t="n">
        <v>45.211</v>
      </c>
      <c r="LP137" s="21" t="n">
        <v>164.021</v>
      </c>
      <c r="LQ137" s="21" t="n"/>
      <c r="LR137" s="21" t="n"/>
      <c r="LS137" s="21" t="n">
        <v>99.324</v>
      </c>
      <c r="LT137" s="21" t="n">
        <v>35.601</v>
      </c>
      <c r="LU137" s="21" t="n">
        <v>27.971</v>
      </c>
      <c r="LV137" s="21" t="n">
        <v>86.86199999999999</v>
      </c>
      <c r="LW137" s="21" t="n">
        <v>86.122</v>
      </c>
      <c r="LX137" s="21" t="n">
        <v>34.551</v>
      </c>
      <c r="LY137" s="21" t="n">
        <v>601.76</v>
      </c>
      <c r="LZ137" s="21" t="n">
        <v>109.696</v>
      </c>
      <c r="MA137" s="21" t="n">
        <v>736.347</v>
      </c>
      <c r="MB137" s="21" t="n">
        <v>366.286</v>
      </c>
      <c r="MC137" s="21" t="n">
        <v>300.929</v>
      </c>
      <c r="MD137" s="21" t="n">
        <v>184.895</v>
      </c>
      <c r="ME137" s="21" t="n">
        <v>126.078</v>
      </c>
      <c r="MF137" s="21" t="n">
        <v>195.913</v>
      </c>
      <c r="MG137" s="21" t="n">
        <v>366.634</v>
      </c>
      <c r="MH137" s="21" t="n">
        <v>223.706</v>
      </c>
      <c r="MI137" s="21" t="n">
        <v>604.64</v>
      </c>
      <c r="MJ137" s="21" t="n"/>
      <c r="MK137" s="21" t="n">
        <v>422.801</v>
      </c>
      <c r="ML137" s="21" t="n">
        <v>251.55</v>
      </c>
      <c r="MM137" s="21" t="n">
        <v>303.132</v>
      </c>
      <c r="MN137" s="21" t="n">
        <v>446.102</v>
      </c>
      <c r="MO137" s="21" t="n">
        <v>193.44</v>
      </c>
      <c r="MP137" s="21" t="n">
        <v>346.715</v>
      </c>
      <c r="MQ137" s="21" t="n">
        <v>91.80500000000001</v>
      </c>
      <c r="MR137" s="21" t="n">
        <v>213.945</v>
      </c>
      <c r="MS137" s="21" t="n"/>
      <c r="MT137" s="21" t="n">
        <v>320.533</v>
      </c>
      <c r="MU137" s="21" t="n">
        <v>336.75</v>
      </c>
      <c r="MV137" s="21" t="n">
        <v>330.598</v>
      </c>
      <c r="MW137" s="21" t="n">
        <v>335.803</v>
      </c>
      <c r="MX137" s="21" t="n">
        <v>299.861</v>
      </c>
      <c r="MY137" s="21" t="n">
        <v>287.898</v>
      </c>
      <c r="MZ137" s="21" t="n">
        <v>285.268</v>
      </c>
      <c r="NA137" s="21" t="n">
        <v>291.762</v>
      </c>
      <c r="NB137" s="21" t="n">
        <v>130.16</v>
      </c>
      <c r="NC137" s="21" t="n">
        <v>234.755</v>
      </c>
      <c r="ND137" s="21" t="n">
        <v>187.15</v>
      </c>
      <c r="NE137" s="21" t="n">
        <v>183.258</v>
      </c>
      <c r="NF137" s="21" t="n">
        <v>167.79</v>
      </c>
      <c r="NG137" s="21" t="n">
        <v>167.005</v>
      </c>
      <c r="NH137" s="21" t="n">
        <v>329.938</v>
      </c>
      <c r="NI137" s="21" t="n">
        <v>122.788</v>
      </c>
      <c r="NJ137" s="21" t="n">
        <v>50.191</v>
      </c>
      <c r="NK137" s="21" t="n">
        <v>125.191</v>
      </c>
      <c r="NL137" s="21" t="n">
        <v>329.907</v>
      </c>
      <c r="NM137" s="21" t="n">
        <v>375.993</v>
      </c>
      <c r="NN137" s="21" t="n">
        <v>109.35</v>
      </c>
      <c r="NO137" s="21" t="n">
        <v>33.975</v>
      </c>
      <c r="NP137" s="21" t="n">
        <v>297.808</v>
      </c>
      <c r="NQ137" s="21" t="n">
        <v>255.314</v>
      </c>
      <c r="NR137" s="21" t="n">
        <v>324.969</v>
      </c>
      <c r="NS137" s="21" t="n">
        <v>252.493</v>
      </c>
      <c r="NT137" s="21" t="n">
        <v>329.226</v>
      </c>
      <c r="NU137" s="21" t="n">
        <v>150.424</v>
      </c>
      <c r="NV137" s="21" t="n">
        <v>168.344</v>
      </c>
      <c r="NW137" s="21" t="n">
        <v>433.201</v>
      </c>
      <c r="NX137" s="21" t="n">
        <v>85.44199999999999</v>
      </c>
      <c r="NY137" s="21" t="n">
        <v>158.602</v>
      </c>
      <c r="NZ137" s="21" t="n">
        <v>446.012</v>
      </c>
      <c r="OA137" s="21" t="n">
        <v>429.954</v>
      </c>
      <c r="OB137" s="21" t="n">
        <v>443.766</v>
      </c>
      <c r="OC137" s="21" t="n">
        <v>413.095</v>
      </c>
      <c r="OD137" s="21" t="n">
        <v>444.149</v>
      </c>
      <c r="OE137" s="21" t="n">
        <v>130.206</v>
      </c>
      <c r="OF137" s="21" t="n">
        <v>464.696</v>
      </c>
      <c r="OG137" s="21" t="n">
        <v>278.88</v>
      </c>
      <c r="OH137" s="21" t="n">
        <v>32.697</v>
      </c>
      <c r="OI137" s="21" t="n">
        <v>162.275</v>
      </c>
      <c r="OJ137" s="21" t="n">
        <v>30</v>
      </c>
      <c r="OK137" s="21" t="n">
        <v>10</v>
      </c>
    </row>
    <row r="138">
      <c r="A138" s="22" t="n">
        <v>46143</v>
      </c>
      <c r="B138" s="21" t="n">
        <v>335.123</v>
      </c>
      <c r="C138" s="21" t="n">
        <v>1003.88</v>
      </c>
      <c r="D138" s="21" t="n">
        <v>345.846</v>
      </c>
      <c r="E138" s="21" t="n">
        <v>349.032</v>
      </c>
      <c r="F138" s="21" t="n">
        <v>321.047</v>
      </c>
      <c r="G138" s="21" t="n">
        <v>367.3</v>
      </c>
      <c r="H138" s="21" t="n">
        <v>288.902</v>
      </c>
      <c r="I138" s="21" t="n">
        <v>328.778</v>
      </c>
      <c r="J138" s="21" t="n">
        <v>282.677</v>
      </c>
      <c r="K138" s="21" t="n">
        <v>291.25</v>
      </c>
      <c r="L138" s="21" t="n">
        <v>196.817</v>
      </c>
      <c r="M138" s="21" t="n">
        <v>413.223</v>
      </c>
      <c r="N138" s="21" t="n">
        <v>248.403</v>
      </c>
      <c r="O138" s="21" t="n">
        <v>445.174</v>
      </c>
      <c r="P138" s="21" t="n">
        <v>490.136</v>
      </c>
      <c r="Q138" s="21" t="n">
        <v>248.252</v>
      </c>
      <c r="R138" s="21" t="n">
        <v>394.037</v>
      </c>
      <c r="S138" s="21" t="n">
        <v>411.369</v>
      </c>
      <c r="T138" s="21" t="n">
        <v>375.012</v>
      </c>
      <c r="U138" s="21" t="n">
        <v>364.701</v>
      </c>
      <c r="V138" s="21" t="n">
        <v>412.169</v>
      </c>
      <c r="W138" s="21" t="n">
        <v>440.105</v>
      </c>
      <c r="X138" s="21" t="n">
        <v>343.354</v>
      </c>
      <c r="Y138" s="21" t="n">
        <v>349.34</v>
      </c>
      <c r="Z138" s="21" t="n">
        <v>357.447</v>
      </c>
      <c r="AA138" s="21" t="n">
        <v>373.867</v>
      </c>
      <c r="AB138" s="21" t="n">
        <v>513.773</v>
      </c>
      <c r="AC138" s="21" t="n">
        <v>440.305</v>
      </c>
      <c r="AD138" s="21" t="n">
        <v>424.395</v>
      </c>
      <c r="AE138" s="21" t="n">
        <v>345.642</v>
      </c>
      <c r="AF138" s="21" t="n">
        <v>407.633</v>
      </c>
      <c r="AG138" s="21" t="n">
        <v>275.683</v>
      </c>
      <c r="AH138" s="21" t="n">
        <v>206.546</v>
      </c>
      <c r="AI138" s="21" t="n">
        <v>386.458</v>
      </c>
      <c r="AJ138" s="21" t="n">
        <v>191.673</v>
      </c>
      <c r="AK138" s="21" t="n">
        <v>259.904</v>
      </c>
      <c r="AL138" s="21" t="n">
        <v>287.429</v>
      </c>
      <c r="AM138" s="21" t="n">
        <v>254.753</v>
      </c>
      <c r="AN138" s="21" t="n">
        <v>164.449</v>
      </c>
      <c r="AO138" s="21" t="n">
        <v>291.639</v>
      </c>
      <c r="AP138" s="21" t="n">
        <v>302.493</v>
      </c>
      <c r="AQ138" s="21" t="n">
        <v>185.522</v>
      </c>
      <c r="AR138" s="21" t="n"/>
      <c r="AS138" s="21" t="n"/>
      <c r="AT138" s="21" t="n">
        <v>317.098</v>
      </c>
      <c r="AU138" s="21" t="n">
        <v>199.206</v>
      </c>
      <c r="AV138" s="21" t="n">
        <v>326.465</v>
      </c>
      <c r="AW138" s="21" t="n">
        <v>298.928</v>
      </c>
      <c r="AX138" s="21" t="n">
        <v>225.432</v>
      </c>
      <c r="AY138" s="21" t="n">
        <v>378.696</v>
      </c>
      <c r="AZ138" s="21" t="n">
        <v>239.428</v>
      </c>
      <c r="BA138" s="21" t="n">
        <v>185.918</v>
      </c>
      <c r="BB138" s="21" t="n">
        <v>259.978</v>
      </c>
      <c r="BC138" s="21" t="n">
        <v>417.619</v>
      </c>
      <c r="BD138" s="21" t="n">
        <v>270.421</v>
      </c>
      <c r="BE138" s="21" t="n">
        <v>268.523</v>
      </c>
      <c r="BF138" s="21" t="n">
        <v>185.26</v>
      </c>
      <c r="BG138" s="21" t="n">
        <v>263.083</v>
      </c>
      <c r="BH138" s="21" t="n">
        <v>192.984</v>
      </c>
      <c r="BI138" s="21" t="n">
        <v>252.01</v>
      </c>
      <c r="BJ138" s="21" t="n">
        <v>273.86</v>
      </c>
      <c r="BK138" s="21" t="n">
        <v>191.989</v>
      </c>
      <c r="BL138" s="21" t="n">
        <v>372.644</v>
      </c>
      <c r="BM138" s="21" t="n">
        <v>421.276</v>
      </c>
      <c r="BN138" s="21" t="n">
        <v>426.639</v>
      </c>
      <c r="BO138" s="21" t="n">
        <v>378.198</v>
      </c>
      <c r="BP138" s="21" t="n">
        <v>214.35</v>
      </c>
      <c r="BQ138" s="21" t="n">
        <v>308.922</v>
      </c>
      <c r="BR138" s="21" t="n">
        <v>594.0170000000001</v>
      </c>
      <c r="BS138" s="21" t="n">
        <v>146.11</v>
      </c>
      <c r="BT138" s="21" t="n">
        <v>414.174</v>
      </c>
      <c r="BU138" s="21" t="n">
        <v>424.56</v>
      </c>
      <c r="BV138" s="21" t="n">
        <v>487.343</v>
      </c>
      <c r="BW138" s="21" t="n">
        <v>428.871</v>
      </c>
      <c r="BX138" s="21" t="n">
        <v>402.814</v>
      </c>
      <c r="BY138" s="21" t="n">
        <v>211.778</v>
      </c>
      <c r="BZ138" s="21" t="n">
        <v>234.419</v>
      </c>
      <c r="CA138" s="21" t="n">
        <v>225.049</v>
      </c>
      <c r="CB138" s="21" t="n">
        <v>248.839</v>
      </c>
      <c r="CC138" s="21" t="n">
        <v>186.772</v>
      </c>
      <c r="CD138" s="21" t="n">
        <v>258.725</v>
      </c>
      <c r="CE138" s="21" t="n">
        <v>200.808</v>
      </c>
      <c r="CF138" s="21" t="n">
        <v>241.865</v>
      </c>
      <c r="CG138" s="21" t="n">
        <v>239.443</v>
      </c>
      <c r="CH138" s="21" t="n">
        <v>184.004</v>
      </c>
      <c r="CI138" s="21" t="n">
        <v>240.028</v>
      </c>
      <c r="CJ138" s="21" t="n">
        <v>286.495</v>
      </c>
      <c r="CK138" s="21" t="n">
        <v>161.68</v>
      </c>
      <c r="CL138" s="21" t="n">
        <v>168.601</v>
      </c>
      <c r="CM138" s="21" t="n">
        <v>304.755</v>
      </c>
      <c r="CN138" s="21" t="n">
        <v>316.846</v>
      </c>
      <c r="CO138" s="21" t="n">
        <v>301.993</v>
      </c>
      <c r="CP138" s="21" t="n">
        <v>167.238</v>
      </c>
      <c r="CQ138" s="21" t="n">
        <v>282.209</v>
      </c>
      <c r="CR138" s="21" t="n">
        <v>322.064</v>
      </c>
      <c r="CS138" s="21" t="n">
        <v>277.702</v>
      </c>
      <c r="CT138" s="21" t="n">
        <v>226.25</v>
      </c>
      <c r="CU138" s="21" t="n">
        <v>200.005</v>
      </c>
      <c r="CV138" s="21" t="n">
        <v>304.654</v>
      </c>
      <c r="CW138" s="21" t="n">
        <v>260.432</v>
      </c>
      <c r="CX138" s="21" t="n">
        <v>294.1</v>
      </c>
      <c r="CY138" s="21" t="n">
        <v>445.079</v>
      </c>
      <c r="CZ138" s="21" t="n">
        <v>166.766</v>
      </c>
      <c r="DA138" s="21" t="n">
        <v>221.017</v>
      </c>
      <c r="DB138" s="21" t="n">
        <v>189.346</v>
      </c>
      <c r="DC138" s="21" t="n">
        <v>295.607</v>
      </c>
      <c r="DD138" s="21" t="n">
        <v>334.879</v>
      </c>
      <c r="DE138" s="21" t="n">
        <v>211.081</v>
      </c>
      <c r="DF138" s="21" t="n">
        <v>314.594</v>
      </c>
      <c r="DG138" s="21" t="n">
        <v>326.488</v>
      </c>
      <c r="DH138" s="21" t="n">
        <v>194.472</v>
      </c>
      <c r="DI138" s="21" t="n">
        <v>200.295</v>
      </c>
      <c r="DJ138" s="21" t="n">
        <v>192.948</v>
      </c>
      <c r="DK138" s="21" t="n">
        <v>430.352</v>
      </c>
      <c r="DL138" s="21" t="n">
        <v>225.495</v>
      </c>
      <c r="DM138" s="21" t="n">
        <v>178.899</v>
      </c>
      <c r="DN138" s="21" t="n">
        <v>161.223</v>
      </c>
      <c r="DO138" s="21" t="n">
        <v>394.728</v>
      </c>
      <c r="DP138" s="21" t="n">
        <v>243.646</v>
      </c>
      <c r="DQ138" s="21" t="n">
        <v>258.549</v>
      </c>
      <c r="DR138" s="21" t="n">
        <v>215.865</v>
      </c>
      <c r="DS138" s="21" t="n">
        <v>206.746</v>
      </c>
      <c r="DT138" s="21" t="n">
        <v>250.404</v>
      </c>
      <c r="DU138" s="21" t="n">
        <v>265.677</v>
      </c>
      <c r="DV138" s="21" t="n">
        <v>300.726</v>
      </c>
      <c r="DW138" s="21" t="n">
        <v>231.704</v>
      </c>
      <c r="DX138" s="21" t="n">
        <v>285.439</v>
      </c>
      <c r="DY138" s="21" t="n">
        <v>212.067</v>
      </c>
      <c r="DZ138" s="21" t="n">
        <v>221.715</v>
      </c>
      <c r="EA138" s="21" t="n">
        <v>207.398</v>
      </c>
      <c r="EB138" s="21" t="n">
        <v>180.57</v>
      </c>
      <c r="EC138" s="21" t="n">
        <v>455.571</v>
      </c>
      <c r="ED138" s="21" t="n">
        <v>221.726</v>
      </c>
      <c r="EE138" s="21" t="n">
        <v>241.855</v>
      </c>
      <c r="EF138" s="21" t="n">
        <v>252.58</v>
      </c>
      <c r="EG138" s="21" t="n">
        <v>358.388</v>
      </c>
      <c r="EH138" s="21" t="n">
        <v>428.677</v>
      </c>
      <c r="EI138" s="21" t="n">
        <v>446.38</v>
      </c>
      <c r="EJ138" s="21" t="n">
        <v>207.012</v>
      </c>
      <c r="EK138" s="21" t="n">
        <v>679.494</v>
      </c>
      <c r="EL138" s="21" t="n">
        <v>426.241</v>
      </c>
      <c r="EM138" s="21" t="n">
        <v>440.357</v>
      </c>
      <c r="EN138" s="21" t="n">
        <v>440.307</v>
      </c>
      <c r="EO138" s="21" t="n">
        <v>174.65</v>
      </c>
      <c r="EP138" s="21" t="n">
        <v>350.027</v>
      </c>
      <c r="EQ138" s="21" t="n">
        <v>294.715</v>
      </c>
      <c r="ER138" s="21" t="n">
        <v>466.448</v>
      </c>
      <c r="ES138" s="21" t="n">
        <v>534.873</v>
      </c>
      <c r="ET138" s="21" t="n">
        <v>423.314</v>
      </c>
      <c r="EU138" s="21" t="n">
        <v>297.898</v>
      </c>
      <c r="EV138" s="21" t="n">
        <v>307.226</v>
      </c>
      <c r="EW138" s="21" t="n">
        <v>263.682</v>
      </c>
      <c r="EX138" s="21" t="n">
        <v>330.42</v>
      </c>
      <c r="EY138" s="21" t="n">
        <v>758.596</v>
      </c>
      <c r="EZ138" s="21" t="n">
        <v>671.3150000000001</v>
      </c>
      <c r="FA138" s="21" t="n">
        <v>155.175</v>
      </c>
      <c r="FB138" s="21" t="n">
        <v>61.714</v>
      </c>
      <c r="FC138" s="21" t="n">
        <v>132.414</v>
      </c>
      <c r="FD138" s="21" t="n">
        <v>86.962</v>
      </c>
      <c r="FE138" s="21" t="n">
        <v>40.844</v>
      </c>
      <c r="FF138" s="21" t="n">
        <v>133.417</v>
      </c>
      <c r="FG138" s="21" t="n">
        <v>142.398</v>
      </c>
      <c r="FH138" s="21" t="n">
        <v>110.447</v>
      </c>
      <c r="FI138" s="21" t="n">
        <v>75.988</v>
      </c>
      <c r="FJ138" s="21" t="n"/>
      <c r="FK138" s="21" t="n">
        <v>84.351</v>
      </c>
      <c r="FL138" s="21" t="n">
        <v>89.145</v>
      </c>
      <c r="FM138" s="21" t="n">
        <v>111.921</v>
      </c>
      <c r="FN138" s="21" t="n">
        <v>74.31</v>
      </c>
      <c r="FO138" s="21" t="n">
        <v>56.143</v>
      </c>
      <c r="FP138" s="21" t="n">
        <v>39.932</v>
      </c>
      <c r="FQ138" s="21" t="n">
        <v>171.159</v>
      </c>
      <c r="FR138" s="21" t="n">
        <v>47.675</v>
      </c>
      <c r="FS138" s="21" t="n">
        <v>86.681</v>
      </c>
      <c r="FT138" s="21" t="n">
        <v>116.16</v>
      </c>
      <c r="FU138" s="21" t="n">
        <v>129.821</v>
      </c>
      <c r="FV138" s="21" t="n">
        <v>110.017</v>
      </c>
      <c r="FW138" s="21" t="n">
        <v>242.4</v>
      </c>
      <c r="FX138" s="21" t="n">
        <v>154.038</v>
      </c>
      <c r="FY138" s="21" t="n">
        <v>240.269</v>
      </c>
      <c r="FZ138" s="21" t="n">
        <v>144.978</v>
      </c>
      <c r="GA138" s="21" t="n"/>
      <c r="GB138" s="21" t="n"/>
      <c r="GC138" s="21" t="n">
        <v>329.081</v>
      </c>
      <c r="GD138" s="21" t="n">
        <v>200.413</v>
      </c>
      <c r="GE138" s="21" t="n"/>
      <c r="GF138" s="21" t="n">
        <v>137.51</v>
      </c>
      <c r="GG138" s="21" t="n">
        <v>133.573</v>
      </c>
      <c r="GH138" s="21" t="n">
        <v>136.566</v>
      </c>
      <c r="GI138" s="21" t="n">
        <v>96.276</v>
      </c>
      <c r="GJ138" s="21" t="n">
        <v>195.271</v>
      </c>
      <c r="GK138" s="21" t="n">
        <v>84.608</v>
      </c>
      <c r="GL138" s="21" t="n">
        <v>144.355</v>
      </c>
      <c r="GM138" s="21" t="n">
        <v>120.035</v>
      </c>
      <c r="GN138" s="21" t="n">
        <v>113.952</v>
      </c>
      <c r="GO138" s="21" t="n">
        <v>115.162</v>
      </c>
      <c r="GP138" s="21" t="n">
        <v>103.325</v>
      </c>
      <c r="GQ138" s="21" t="n">
        <v>109.512</v>
      </c>
      <c r="GR138" s="21" t="n">
        <v>78.137</v>
      </c>
      <c r="GS138" s="21" t="n">
        <v>119.673</v>
      </c>
      <c r="GT138" s="21" t="n">
        <v>109.245</v>
      </c>
      <c r="GU138" s="21" t="n">
        <v>151.518</v>
      </c>
      <c r="GV138" s="21" t="n">
        <v>155.505</v>
      </c>
      <c r="GW138" s="21" t="n">
        <v>168.11</v>
      </c>
      <c r="GX138" s="21" t="n">
        <v>139.935</v>
      </c>
      <c r="GY138" s="21" t="n">
        <v>125.048</v>
      </c>
      <c r="GZ138" s="21" t="n">
        <v>233.151</v>
      </c>
      <c r="HA138" s="21" t="n">
        <v>171.762</v>
      </c>
      <c r="HB138" s="21" t="n">
        <v>236.345</v>
      </c>
      <c r="HC138" s="21" t="n">
        <v>298.409</v>
      </c>
      <c r="HD138" s="21" t="n">
        <v>296.443</v>
      </c>
      <c r="HE138" s="21" t="n">
        <v>124.791</v>
      </c>
      <c r="HF138" s="21" t="n">
        <v>179.155</v>
      </c>
      <c r="HG138" s="21" t="n"/>
      <c r="HH138" s="21" t="n">
        <v>175.475</v>
      </c>
      <c r="HI138" s="21" t="n">
        <v>190.937</v>
      </c>
      <c r="HJ138" s="21" t="n"/>
      <c r="HK138" s="21" t="n">
        <v>180.554</v>
      </c>
      <c r="HL138" s="21" t="n">
        <v>113.103</v>
      </c>
      <c r="HM138" s="21" t="n">
        <v>153.388</v>
      </c>
      <c r="HN138" s="21" t="n">
        <v>399.294</v>
      </c>
      <c r="HO138" s="21" t="n">
        <v>396.961</v>
      </c>
      <c r="HP138" s="21" t="n">
        <v>390.073</v>
      </c>
      <c r="HQ138" s="21" t="n">
        <v>428.812</v>
      </c>
      <c r="HR138" s="21" t="n">
        <v>417.129</v>
      </c>
      <c r="HS138" s="21" t="n">
        <v>414.074</v>
      </c>
      <c r="HT138" s="21" t="n">
        <v>187.247</v>
      </c>
      <c r="HU138" s="21" t="n">
        <v>158.772</v>
      </c>
      <c r="HV138" s="21" t="n">
        <v>226.318</v>
      </c>
      <c r="HW138" s="21" t="n">
        <v>211.668</v>
      </c>
      <c r="HX138" s="21" t="n">
        <v>472.091</v>
      </c>
      <c r="HY138" s="21" t="n">
        <v>452.383</v>
      </c>
      <c r="HZ138" s="21" t="n">
        <v>459.736</v>
      </c>
      <c r="IA138" s="21" t="n">
        <v>386.901</v>
      </c>
      <c r="IB138" s="21" t="n">
        <v>300.925</v>
      </c>
      <c r="IC138" s="21" t="n">
        <v>877.278</v>
      </c>
      <c r="ID138" s="21" t="n">
        <v>223.415</v>
      </c>
      <c r="IE138" s="21" t="n">
        <v>208.942</v>
      </c>
      <c r="IF138" s="21" t="n">
        <v>246.431</v>
      </c>
      <c r="IG138" s="21" t="n">
        <v>298.625</v>
      </c>
      <c r="IH138" s="21" t="n"/>
      <c r="II138" s="21" t="n">
        <v>305.536</v>
      </c>
      <c r="IJ138" s="21" t="n">
        <v>329.824</v>
      </c>
      <c r="IK138" s="21" t="n">
        <v>155.533</v>
      </c>
      <c r="IL138" s="21" t="n"/>
      <c r="IM138" s="21" t="n"/>
      <c r="IN138" s="21" t="n">
        <v>61.488</v>
      </c>
      <c r="IO138" s="21" t="n">
        <v>357.598</v>
      </c>
      <c r="IP138" s="21" t="n"/>
      <c r="IQ138" s="21" t="n">
        <v>593.239</v>
      </c>
      <c r="IR138" s="21" t="n">
        <v>409.628</v>
      </c>
      <c r="IS138" s="21" t="n">
        <v>133.542</v>
      </c>
      <c r="IT138" s="21" t="n">
        <v>555.276</v>
      </c>
      <c r="IU138" s="21" t="n">
        <v>108.166</v>
      </c>
      <c r="IV138" s="21" t="n">
        <v>112.573</v>
      </c>
      <c r="IW138" s="21" t="n">
        <v>652.587</v>
      </c>
      <c r="IX138" s="21" t="n">
        <v>456.401</v>
      </c>
      <c r="IY138" s="21" t="n">
        <v>439.715</v>
      </c>
      <c r="IZ138" s="21" t="n">
        <v>657.376</v>
      </c>
      <c r="JA138" s="21" t="n">
        <v>218.984</v>
      </c>
      <c r="JB138" s="21" t="n"/>
      <c r="JC138" s="21" t="n">
        <v>109.362</v>
      </c>
      <c r="JD138" s="21" t="n">
        <v>456.655</v>
      </c>
      <c r="JE138" s="21" t="n">
        <v>437.776</v>
      </c>
      <c r="JF138" s="21" t="n">
        <v>1011.007</v>
      </c>
      <c r="JG138" s="21" t="n">
        <v>313.784</v>
      </c>
      <c r="JH138" s="21" t="n">
        <v>194.076</v>
      </c>
      <c r="JI138" s="21" t="n">
        <v>138.018</v>
      </c>
      <c r="JJ138" s="21" t="n">
        <v>144.319</v>
      </c>
      <c r="JK138" s="21" t="n">
        <v>122.602</v>
      </c>
      <c r="JL138" s="21" t="n">
        <v>91.98099999999999</v>
      </c>
      <c r="JM138" s="21" t="n">
        <v>607.198</v>
      </c>
      <c r="JN138" s="21" t="n">
        <v>106.739</v>
      </c>
      <c r="JO138" s="21" t="n">
        <v>83.675</v>
      </c>
      <c r="JP138" s="21" t="n">
        <v>47.461</v>
      </c>
      <c r="JQ138" s="21" t="n">
        <v>198.06</v>
      </c>
      <c r="JR138" s="21" t="n">
        <v>27.66</v>
      </c>
      <c r="JS138" s="21" t="n">
        <v>94.39400000000001</v>
      </c>
      <c r="JT138" s="21" t="n">
        <v>235.585</v>
      </c>
      <c r="JU138" s="21" t="n">
        <v>244.07</v>
      </c>
      <c r="JV138" s="21" t="n">
        <v>193.229</v>
      </c>
      <c r="JW138" s="21" t="n">
        <v>132.763</v>
      </c>
      <c r="JX138" s="21" t="n">
        <v>380.526</v>
      </c>
      <c r="JY138" s="21" t="n">
        <v>282.815</v>
      </c>
      <c r="JZ138" s="21" t="n">
        <v>411.755</v>
      </c>
      <c r="KA138" s="21" t="n">
        <v>125.502</v>
      </c>
      <c r="KB138" s="21" t="n">
        <v>172.026</v>
      </c>
      <c r="KC138" s="21" t="n">
        <v>86.41500000000001</v>
      </c>
      <c r="KD138" s="21" t="n">
        <v>89.105</v>
      </c>
      <c r="KE138" s="21" t="n">
        <v>75.167</v>
      </c>
      <c r="KF138" s="21" t="n"/>
      <c r="KG138" s="21" t="n">
        <v>30.731</v>
      </c>
      <c r="KH138" s="21" t="n">
        <v>136.308</v>
      </c>
      <c r="KI138" s="21" t="n"/>
      <c r="KJ138" s="21" t="n"/>
      <c r="KK138" s="21" t="n">
        <v>33.853</v>
      </c>
      <c r="KL138" s="21" t="n">
        <v>28.443</v>
      </c>
      <c r="KM138" s="21" t="n">
        <v>38.041</v>
      </c>
      <c r="KN138" s="21" t="n"/>
      <c r="KO138" s="21" t="n">
        <v>106.238</v>
      </c>
      <c r="KP138" s="21" t="n">
        <v>131.055</v>
      </c>
      <c r="KQ138" s="21" t="n">
        <v>212.301</v>
      </c>
      <c r="KR138" s="21" t="n">
        <v>167.919</v>
      </c>
      <c r="KS138" s="21" t="n">
        <v>501.486</v>
      </c>
      <c r="KT138" s="21" t="n">
        <v>245.449</v>
      </c>
      <c r="KU138" s="21" t="n">
        <v>248.329</v>
      </c>
      <c r="KV138" s="21" t="n">
        <v>420.125</v>
      </c>
      <c r="KW138" s="21" t="n">
        <v>292.814</v>
      </c>
      <c r="KX138" s="21" t="n">
        <v>244.301</v>
      </c>
      <c r="KY138" s="21" t="n">
        <v>93.84099999999999</v>
      </c>
      <c r="KZ138" s="21" t="n">
        <v>147.628</v>
      </c>
      <c r="LA138" s="21" t="n">
        <v>315.413</v>
      </c>
      <c r="LB138" s="21" t="n">
        <v>763.115</v>
      </c>
      <c r="LC138" s="21" t="n">
        <v>256.941</v>
      </c>
      <c r="LD138" s="21" t="n">
        <v>907.446</v>
      </c>
      <c r="LE138" s="21" t="n">
        <v>967.293</v>
      </c>
      <c r="LF138" s="21" t="n">
        <v>104.521</v>
      </c>
      <c r="LG138" s="21" t="n">
        <v>397.317</v>
      </c>
      <c r="LH138" s="21" t="n">
        <v>282.904</v>
      </c>
      <c r="LI138" s="21" t="n">
        <v>72.68899999999999</v>
      </c>
      <c r="LJ138" s="21" t="n">
        <v>284.648</v>
      </c>
      <c r="LK138" s="21" t="n">
        <v>441.408</v>
      </c>
      <c r="LL138" s="21" t="n">
        <v>535.331</v>
      </c>
      <c r="LM138" s="21" t="n">
        <v>68.127</v>
      </c>
      <c r="LN138" s="21" t="n">
        <v>93.602</v>
      </c>
      <c r="LO138" s="21" t="n">
        <v>46.208</v>
      </c>
      <c r="LP138" s="21" t="n">
        <v>163.021</v>
      </c>
      <c r="LQ138" s="21" t="n"/>
      <c r="LR138" s="21" t="n"/>
      <c r="LS138" s="21" t="n">
        <v>99.88800000000001</v>
      </c>
      <c r="LT138" s="21" t="n">
        <v>35.662</v>
      </c>
      <c r="LU138" s="21" t="n">
        <v>27.97</v>
      </c>
      <c r="LV138" s="21" t="n">
        <v>87.89</v>
      </c>
      <c r="LW138" s="21" t="n">
        <v>85.726</v>
      </c>
      <c r="LX138" s="21" t="n">
        <v>34.5</v>
      </c>
      <c r="LY138" s="21" t="n">
        <v>606.4</v>
      </c>
      <c r="LZ138" s="21" t="n">
        <v>110.801</v>
      </c>
      <c r="MA138" s="21" t="n">
        <v>745.486</v>
      </c>
      <c r="MB138" s="21" t="n">
        <v>367.582</v>
      </c>
      <c r="MC138" s="21" t="n">
        <v>303.119</v>
      </c>
      <c r="MD138" s="21" t="n">
        <v>184.394</v>
      </c>
      <c r="ME138" s="21" t="n">
        <v>125.94</v>
      </c>
      <c r="MF138" s="21" t="n">
        <v>195.077</v>
      </c>
      <c r="MG138" s="21" t="n">
        <v>368.328</v>
      </c>
      <c r="MH138" s="21" t="n">
        <v>224.74</v>
      </c>
      <c r="MI138" s="21" t="n">
        <v>617.143</v>
      </c>
      <c r="MJ138" s="21" t="n"/>
      <c r="MK138" s="21" t="n">
        <v>418.083</v>
      </c>
      <c r="ML138" s="21" t="n">
        <v>251.794</v>
      </c>
      <c r="MM138" s="21" t="n">
        <v>305.99</v>
      </c>
      <c r="MN138" s="21" t="n">
        <v>483.055</v>
      </c>
      <c r="MO138" s="21" t="n">
        <v>194.244</v>
      </c>
      <c r="MP138" s="21" t="n">
        <v>387.49</v>
      </c>
      <c r="MQ138" s="21" t="n">
        <v>90.541</v>
      </c>
      <c r="MR138" s="21" t="n">
        <v>213.895</v>
      </c>
      <c r="MS138" s="21" t="n"/>
      <c r="MT138" s="21" t="n">
        <v>322.663</v>
      </c>
      <c r="MU138" s="21" t="n">
        <v>337.718</v>
      </c>
      <c r="MV138" s="21" t="n">
        <v>332.934</v>
      </c>
      <c r="MW138" s="21" t="n">
        <v>336.846</v>
      </c>
      <c r="MX138" s="21" t="n">
        <v>302.164</v>
      </c>
      <c r="MY138" s="21" t="n">
        <v>290.576</v>
      </c>
      <c r="MZ138" s="21" t="n">
        <v>285.993</v>
      </c>
      <c r="NA138" s="21" t="n">
        <v>292.278</v>
      </c>
      <c r="NB138" s="21" t="n">
        <v>129.346</v>
      </c>
      <c r="NC138" s="21" t="n">
        <v>237.075</v>
      </c>
      <c r="ND138" s="21" t="n">
        <v>189.914</v>
      </c>
      <c r="NE138" s="21" t="n">
        <v>186.061</v>
      </c>
      <c r="NF138" s="21" t="n">
        <v>167.785</v>
      </c>
      <c r="NG138" s="21" t="n">
        <v>166.605</v>
      </c>
      <c r="NH138" s="21" t="n">
        <v>330.034</v>
      </c>
      <c r="NI138" s="21" t="n">
        <v>123.025</v>
      </c>
      <c r="NJ138" s="21" t="n">
        <v>50.124</v>
      </c>
      <c r="NK138" s="21" t="n">
        <v>126.247</v>
      </c>
      <c r="NL138" s="21" t="n">
        <v>346.042</v>
      </c>
      <c r="NM138" s="21" t="n">
        <v>406.301</v>
      </c>
      <c r="NN138" s="21" t="n">
        <v>108.865</v>
      </c>
      <c r="NO138" s="21" t="n">
        <v>33.912</v>
      </c>
      <c r="NP138" s="21" t="n">
        <v>301.704</v>
      </c>
      <c r="NQ138" s="21" t="n">
        <v>261.819</v>
      </c>
      <c r="NR138" s="21" t="n">
        <v>335.609</v>
      </c>
      <c r="NS138" s="21" t="n">
        <v>259.367</v>
      </c>
      <c r="NT138" s="21" t="n">
        <v>340.946</v>
      </c>
      <c r="NU138" s="21" t="n">
        <v>150.435</v>
      </c>
      <c r="NV138" s="21" t="n">
        <v>170.703</v>
      </c>
      <c r="NW138" s="21" t="n">
        <v>436.685</v>
      </c>
      <c r="NX138" s="21" t="n">
        <v>85.444</v>
      </c>
      <c r="NY138" s="21" t="n">
        <v>159.305</v>
      </c>
      <c r="NZ138" s="21" t="n">
        <v>447.706</v>
      </c>
      <c r="OA138" s="21" t="n">
        <v>431.785</v>
      </c>
      <c r="OB138" s="21" t="n">
        <v>445.58</v>
      </c>
      <c r="OC138" s="21" t="n">
        <v>414.831</v>
      </c>
      <c r="OD138" s="21" t="n">
        <v>446.291</v>
      </c>
      <c r="OE138" s="21" t="n">
        <v>130.879</v>
      </c>
      <c r="OF138" s="21" t="n">
        <v>465.945</v>
      </c>
      <c r="OG138" s="21" t="n">
        <v>283.048</v>
      </c>
      <c r="OH138" s="21" t="n">
        <v>32.577</v>
      </c>
      <c r="OI138" s="21" t="n">
        <v>161.943</v>
      </c>
      <c r="OJ138" s="21" t="n">
        <v>29.8</v>
      </c>
      <c r="OK138" s="21" t="n">
        <v>10</v>
      </c>
    </row>
    <row r="139">
      <c r="A139" s="22" t="n">
        <v>46174</v>
      </c>
      <c r="B139" s="21" t="n">
        <v>333.952</v>
      </c>
      <c r="C139" s="21" t="n">
        <v>1000.371</v>
      </c>
      <c r="D139" s="21" t="n">
        <v>346.505</v>
      </c>
      <c r="E139" s="21" t="n">
        <v>349.731</v>
      </c>
      <c r="F139" s="21" t="n">
        <v>321.631</v>
      </c>
      <c r="G139" s="21" t="n">
        <v>368.8</v>
      </c>
      <c r="H139" s="21" t="n">
        <v>291.89</v>
      </c>
      <c r="I139" s="21" t="n">
        <v>328.609</v>
      </c>
      <c r="J139" s="21" t="n">
        <v>285.006</v>
      </c>
      <c r="K139" s="21" t="n">
        <v>295.711</v>
      </c>
      <c r="L139" s="21" t="n">
        <v>198.071</v>
      </c>
      <c r="M139" s="21" t="n">
        <v>413.795</v>
      </c>
      <c r="N139" s="21" t="n">
        <v>249.686</v>
      </c>
      <c r="O139" s="21" t="n">
        <v>448.963</v>
      </c>
      <c r="P139" s="21" t="n">
        <v>490.076</v>
      </c>
      <c r="Q139" s="21" t="n">
        <v>245.323</v>
      </c>
      <c r="R139" s="21" t="n">
        <v>391.756</v>
      </c>
      <c r="S139" s="21" t="n">
        <v>407.544</v>
      </c>
      <c r="T139" s="21" t="n">
        <v>371.152</v>
      </c>
      <c r="U139" s="21" t="n">
        <v>369.24</v>
      </c>
      <c r="V139" s="21" t="n">
        <v>420.422</v>
      </c>
      <c r="W139" s="21" t="n">
        <v>454.43</v>
      </c>
      <c r="X139" s="21" t="n">
        <v>345.903</v>
      </c>
      <c r="Y139" s="21" t="n">
        <v>350.974</v>
      </c>
      <c r="Z139" s="21" t="n">
        <v>359.398</v>
      </c>
      <c r="AA139" s="21" t="n">
        <v>377.668</v>
      </c>
      <c r="AB139" s="21" t="n">
        <v>521.049</v>
      </c>
      <c r="AC139" s="21" t="n">
        <v>448.244</v>
      </c>
      <c r="AD139" s="21" t="n">
        <v>429.857</v>
      </c>
      <c r="AE139" s="21" t="n">
        <v>348.973</v>
      </c>
      <c r="AF139" s="21" t="n">
        <v>414.938</v>
      </c>
      <c r="AG139" s="21" t="n">
        <v>275.906</v>
      </c>
      <c r="AH139" s="21" t="n">
        <v>204.514</v>
      </c>
      <c r="AI139" s="21" t="n">
        <v>380.626</v>
      </c>
      <c r="AJ139" s="21" t="n">
        <v>192.397</v>
      </c>
      <c r="AK139" s="21" t="n">
        <v>261.978</v>
      </c>
      <c r="AL139" s="21" t="n">
        <v>289.926</v>
      </c>
      <c r="AM139" s="21" t="n">
        <v>259.401</v>
      </c>
      <c r="AN139" s="21" t="n">
        <v>164.816</v>
      </c>
      <c r="AO139" s="21" t="n">
        <v>295.581</v>
      </c>
      <c r="AP139" s="21" t="n">
        <v>325.785</v>
      </c>
      <c r="AQ139" s="21" t="n">
        <v>186.121</v>
      </c>
      <c r="AR139" s="21" t="n"/>
      <c r="AS139" s="21" t="n"/>
      <c r="AT139" s="21" t="n">
        <v>315.294</v>
      </c>
      <c r="AU139" s="21" t="n">
        <v>198.16</v>
      </c>
      <c r="AV139" s="21" t="n">
        <v>326.979</v>
      </c>
      <c r="AW139" s="21" t="n">
        <v>296.656</v>
      </c>
      <c r="AX139" s="21" t="n">
        <v>223.786</v>
      </c>
      <c r="AY139" s="21" t="n">
        <v>378.994</v>
      </c>
      <c r="AZ139" s="21" t="n">
        <v>238.202</v>
      </c>
      <c r="BA139" s="21" t="n">
        <v>187.321</v>
      </c>
      <c r="BB139" s="21" t="n">
        <v>263.604</v>
      </c>
      <c r="BC139" s="21" t="n">
        <v>420.104</v>
      </c>
      <c r="BD139" s="21" t="n">
        <v>268.277</v>
      </c>
      <c r="BE139" s="21" t="n">
        <v>271.683</v>
      </c>
      <c r="BF139" s="21" t="n">
        <v>188.883</v>
      </c>
      <c r="BG139" s="21" t="n">
        <v>271.791</v>
      </c>
      <c r="BH139" s="21" t="n">
        <v>195.649</v>
      </c>
      <c r="BI139" s="21" t="n">
        <v>259.003</v>
      </c>
      <c r="BJ139" s="21" t="n">
        <v>270.874</v>
      </c>
      <c r="BK139" s="21" t="n">
        <v>191.326</v>
      </c>
      <c r="BL139" s="21" t="n">
        <v>370.09</v>
      </c>
      <c r="BM139" s="21" t="n">
        <v>416.849</v>
      </c>
      <c r="BN139" s="21" t="n">
        <v>422.598</v>
      </c>
      <c r="BO139" s="21" t="n">
        <v>388.66</v>
      </c>
      <c r="BP139" s="21" t="n">
        <v>217.155</v>
      </c>
      <c r="BQ139" s="21" t="n">
        <v>313.96</v>
      </c>
      <c r="BR139" s="21" t="n">
        <v>611.49</v>
      </c>
      <c r="BS139" s="21" t="n">
        <v>141.877</v>
      </c>
      <c r="BT139" s="21" t="n">
        <v>409.363</v>
      </c>
      <c r="BU139" s="21" t="n">
        <v>438.996</v>
      </c>
      <c r="BV139" s="21" t="n">
        <v>513.644</v>
      </c>
      <c r="BW139" s="21" t="n">
        <v>395.947</v>
      </c>
      <c r="BX139" s="21" t="n">
        <v>396.393</v>
      </c>
      <c r="BY139" s="21" t="n">
        <v>213.33</v>
      </c>
      <c r="BZ139" s="21" t="n">
        <v>235.78</v>
      </c>
      <c r="CA139" s="21" t="n">
        <v>227.898</v>
      </c>
      <c r="CB139" s="21" t="n">
        <v>249.465</v>
      </c>
      <c r="CC139" s="21" t="n">
        <v>189.539</v>
      </c>
      <c r="CD139" s="21" t="n">
        <v>263.404</v>
      </c>
      <c r="CE139" s="21" t="n">
        <v>201.093</v>
      </c>
      <c r="CF139" s="21" t="n">
        <v>243.592</v>
      </c>
      <c r="CG139" s="21" t="n">
        <v>235.793</v>
      </c>
      <c r="CH139" s="21" t="n">
        <v>181.592</v>
      </c>
      <c r="CI139" s="21" t="n">
        <v>238.351</v>
      </c>
      <c r="CJ139" s="21" t="n">
        <v>286.703</v>
      </c>
      <c r="CK139" s="21" t="n">
        <v>158.584</v>
      </c>
      <c r="CL139" s="21" t="n">
        <v>165.284</v>
      </c>
      <c r="CM139" s="21" t="n">
        <v>299.13</v>
      </c>
      <c r="CN139" s="21" t="n">
        <v>310.501</v>
      </c>
      <c r="CO139" s="21" t="n">
        <v>296.481</v>
      </c>
      <c r="CP139" s="21" t="n">
        <v>163.469</v>
      </c>
      <c r="CQ139" s="21" t="n">
        <v>284.373</v>
      </c>
      <c r="CR139" s="21" t="n">
        <v>325.372</v>
      </c>
      <c r="CS139" s="21" t="n">
        <v>275.984</v>
      </c>
      <c r="CT139" s="21" t="n">
        <v>230.044</v>
      </c>
      <c r="CU139" s="21" t="n">
        <v>198.332</v>
      </c>
      <c r="CV139" s="21" t="n">
        <v>309.135</v>
      </c>
      <c r="CW139" s="21" t="n">
        <v>259.99</v>
      </c>
      <c r="CX139" s="21" t="n">
        <v>289.665</v>
      </c>
      <c r="CY139" s="21" t="n">
        <v>456.583</v>
      </c>
      <c r="CZ139" s="21" t="n">
        <v>172.369</v>
      </c>
      <c r="DA139" s="21" t="n">
        <v>224.5</v>
      </c>
      <c r="DB139" s="21" t="n">
        <v>192.969</v>
      </c>
      <c r="DC139" s="21" t="n">
        <v>297.458</v>
      </c>
      <c r="DD139" s="21" t="n">
        <v>336.618</v>
      </c>
      <c r="DE139" s="21" t="n">
        <v>214.902</v>
      </c>
      <c r="DF139" s="21" t="n">
        <v>315.268</v>
      </c>
      <c r="DG139" s="21" t="n">
        <v>327.784</v>
      </c>
      <c r="DH139" s="21" t="n">
        <v>198.64</v>
      </c>
      <c r="DI139" s="21" t="n">
        <v>199.386</v>
      </c>
      <c r="DJ139" s="21" t="n">
        <v>191.264</v>
      </c>
      <c r="DK139" s="21" t="n">
        <v>418.242</v>
      </c>
      <c r="DL139" s="21" t="n">
        <v>229.476</v>
      </c>
      <c r="DM139" s="21" t="n">
        <v>179.486</v>
      </c>
      <c r="DN139" s="21" t="n">
        <v>160.914</v>
      </c>
      <c r="DO139" s="21" t="n">
        <v>395.633</v>
      </c>
      <c r="DP139" s="21" t="n">
        <v>244.63</v>
      </c>
      <c r="DQ139" s="21" t="n">
        <v>258.7</v>
      </c>
      <c r="DR139" s="21" t="n">
        <v>217.844</v>
      </c>
      <c r="DS139" s="21" t="n"/>
      <c r="DT139" s="21" t="n">
        <v>250.168</v>
      </c>
      <c r="DU139" s="21" t="n">
        <v>266.533</v>
      </c>
      <c r="DV139" s="21" t="n">
        <v>300.824</v>
      </c>
      <c r="DW139" s="21" t="n">
        <v>231.141</v>
      </c>
      <c r="DX139" s="21" t="n">
        <v>285.467</v>
      </c>
      <c r="DY139" s="21" t="n">
        <v>212.018</v>
      </c>
      <c r="DZ139" s="21" t="n">
        <v>222.058</v>
      </c>
      <c r="EA139" s="21" t="n">
        <v>207.115</v>
      </c>
      <c r="EB139" s="21" t="n">
        <v>179.556</v>
      </c>
      <c r="EC139" s="21" t="n">
        <v>456.834</v>
      </c>
      <c r="ED139" s="21" t="n">
        <v>222.192</v>
      </c>
      <c r="EE139" s="21" t="n">
        <v>242.978</v>
      </c>
      <c r="EF139" s="21" t="n">
        <v>254.036</v>
      </c>
      <c r="EG139" s="21" t="n">
        <v>359.189</v>
      </c>
      <c r="EH139" s="21" t="n">
        <v>429.062</v>
      </c>
      <c r="EI139" s="21" t="n">
        <v>446.945</v>
      </c>
      <c r="EJ139" s="21" t="n">
        <v>201.771</v>
      </c>
      <c r="EK139" s="21" t="n">
        <v>679.734</v>
      </c>
      <c r="EL139" s="21" t="n">
        <v>413.607</v>
      </c>
      <c r="EM139" s="21" t="n">
        <v>441.365</v>
      </c>
      <c r="EN139" s="21" t="n">
        <v>441.31</v>
      </c>
      <c r="EO139" s="21" t="n">
        <v>174.995</v>
      </c>
      <c r="EP139" s="21" t="n">
        <v>353.08</v>
      </c>
      <c r="EQ139" s="21" t="n">
        <v>297.827</v>
      </c>
      <c r="ER139" s="21" t="n">
        <v>433.208</v>
      </c>
      <c r="ES139" s="21" t="n">
        <v>485.387</v>
      </c>
      <c r="ET139" s="21" t="n">
        <v>411.567</v>
      </c>
      <c r="EU139" s="21" t="n">
        <v>302.347</v>
      </c>
      <c r="EV139" s="21" t="n">
        <v>311.818</v>
      </c>
      <c r="EW139" s="21" t="n">
        <v>267.609</v>
      </c>
      <c r="EX139" s="21" t="n">
        <v>331.474</v>
      </c>
      <c r="EY139" s="21" t="n">
        <v>761.856</v>
      </c>
      <c r="EZ139" s="21" t="n">
        <v>671.838</v>
      </c>
      <c r="FA139" s="21" t="n">
        <v>156.168</v>
      </c>
      <c r="FB139" s="21" t="n">
        <v>61.794</v>
      </c>
      <c r="FC139" s="21" t="n">
        <v>132.022</v>
      </c>
      <c r="FD139" s="21" t="n">
        <v>89.206</v>
      </c>
      <c r="FE139" s="21" t="n">
        <v>40.63</v>
      </c>
      <c r="FF139" s="21" t="n">
        <v>134.084</v>
      </c>
      <c r="FG139" s="21" t="n">
        <v>141.681</v>
      </c>
      <c r="FH139" s="21" t="n">
        <v>112.081</v>
      </c>
      <c r="FI139" s="21" t="n">
        <v>75.652</v>
      </c>
      <c r="FJ139" s="21" t="n"/>
      <c r="FK139" s="21" t="n">
        <v>83.785</v>
      </c>
      <c r="FL139" s="21" t="n">
        <v>88.819</v>
      </c>
      <c r="FM139" s="21" t="n">
        <v>113.352</v>
      </c>
      <c r="FN139" s="21" t="n">
        <v>73.696</v>
      </c>
      <c r="FO139" s="21" t="n">
        <v>55.98</v>
      </c>
      <c r="FP139" s="21" t="n">
        <v>39.435</v>
      </c>
      <c r="FQ139" s="21" t="n">
        <v>172.474</v>
      </c>
      <c r="FR139" s="21" t="n">
        <v>47.9</v>
      </c>
      <c r="FS139" s="21" t="n">
        <v>88.154</v>
      </c>
      <c r="FT139" s="21" t="n">
        <v>115.446</v>
      </c>
      <c r="FU139" s="21" t="n">
        <v>130.717</v>
      </c>
      <c r="FV139" s="21" t="n">
        <v>108.225</v>
      </c>
      <c r="FW139" s="21" t="n">
        <v>243.162</v>
      </c>
      <c r="FX139" s="21" t="n">
        <v>155.688</v>
      </c>
      <c r="FY139" s="21" t="n">
        <v>237.622</v>
      </c>
      <c r="FZ139" s="21" t="n">
        <v>145.505</v>
      </c>
      <c r="GA139" s="21" t="n"/>
      <c r="GB139" s="21" t="n"/>
      <c r="GC139" s="21" t="n">
        <v>343.08</v>
      </c>
      <c r="GD139" s="21" t="n">
        <v>203.62</v>
      </c>
      <c r="GE139" s="21" t="n"/>
      <c r="GF139" s="21" t="n">
        <v>135.917</v>
      </c>
      <c r="GG139" s="21" t="n">
        <v>132.196</v>
      </c>
      <c r="GH139" s="21" t="n">
        <v>135.106</v>
      </c>
      <c r="GI139" s="21" t="n">
        <v>95.79000000000001</v>
      </c>
      <c r="GJ139" s="21" t="n">
        <v>195.947</v>
      </c>
      <c r="GK139" s="21" t="n">
        <v>82.27500000000001</v>
      </c>
      <c r="GL139" s="21" t="n">
        <v>142.52</v>
      </c>
      <c r="GM139" s="21" t="n">
        <v>118.983</v>
      </c>
      <c r="GN139" s="21" t="n">
        <v>112.704</v>
      </c>
      <c r="GO139" s="21" t="n">
        <v>114.045</v>
      </c>
      <c r="GP139" s="21" t="n">
        <v>101.155</v>
      </c>
      <c r="GQ139" s="21" t="n">
        <v>108.266</v>
      </c>
      <c r="GR139" s="21" t="n">
        <v>77.066</v>
      </c>
      <c r="GS139" s="21" t="n">
        <v>119.71</v>
      </c>
      <c r="GT139" s="21" t="n">
        <v>107.295</v>
      </c>
      <c r="GU139" s="21" t="n">
        <v>150.762</v>
      </c>
      <c r="GV139" s="21" t="n">
        <v>155.735</v>
      </c>
      <c r="GW139" s="21" t="n">
        <v>169.341</v>
      </c>
      <c r="GX139" s="21" t="n">
        <v>137.83</v>
      </c>
      <c r="GY139" s="21" t="n">
        <v>122.799</v>
      </c>
      <c r="GZ139" s="21" t="n">
        <v>224.413</v>
      </c>
      <c r="HA139" s="21" t="n">
        <v>169.995</v>
      </c>
      <c r="HB139" s="21" t="n">
        <v>225.95</v>
      </c>
      <c r="HC139" s="21" t="n">
        <v>291.226</v>
      </c>
      <c r="HD139" s="21" t="n">
        <v>288.841</v>
      </c>
      <c r="HE139" s="21" t="n">
        <v>125.88</v>
      </c>
      <c r="HF139" s="21" t="n">
        <v>179.338</v>
      </c>
      <c r="HG139" s="21" t="n"/>
      <c r="HH139" s="21" t="n">
        <v>175.438</v>
      </c>
      <c r="HI139" s="21" t="n">
        <v>191.184</v>
      </c>
      <c r="HJ139" s="21" t="n"/>
      <c r="HK139" s="21" t="n">
        <v>183.36</v>
      </c>
      <c r="HL139" s="21" t="n">
        <v>112.882</v>
      </c>
      <c r="HM139" s="21" t="n">
        <v>170.986</v>
      </c>
      <c r="HN139" s="21" t="n">
        <v>360.912</v>
      </c>
      <c r="HO139" s="21" t="n">
        <v>358.518</v>
      </c>
      <c r="HP139" s="21" t="n">
        <v>350.542</v>
      </c>
      <c r="HQ139" s="21" t="n">
        <v>392.97</v>
      </c>
      <c r="HR139" s="21" t="n">
        <v>386.356</v>
      </c>
      <c r="HS139" s="21" t="n">
        <v>384.191</v>
      </c>
      <c r="HT139" s="21" t="n">
        <v>187.664</v>
      </c>
      <c r="HU139" s="21" t="n">
        <v>158.897</v>
      </c>
      <c r="HV139" s="21" t="n">
        <v>228.526</v>
      </c>
      <c r="HW139" s="21" t="n">
        <v>214.195</v>
      </c>
      <c r="HX139" s="21" t="n">
        <v>478.437</v>
      </c>
      <c r="HY139" s="21" t="n">
        <v>457.313</v>
      </c>
      <c r="HZ139" s="21" t="n"/>
      <c r="IA139" s="21" t="n">
        <v>389.337</v>
      </c>
      <c r="IB139" s="21" t="n">
        <v>306.71</v>
      </c>
      <c r="IC139" s="21" t="n">
        <v>858.481</v>
      </c>
      <c r="ID139" s="21" t="n">
        <v>222.546</v>
      </c>
      <c r="IE139" s="21" t="n">
        <v>208.915</v>
      </c>
      <c r="IF139" s="21" t="n">
        <v>244.155</v>
      </c>
      <c r="IG139" s="21" t="n">
        <v>298.101</v>
      </c>
      <c r="IH139" s="21" t="n"/>
      <c r="II139" s="21" t="n">
        <v>302.678</v>
      </c>
      <c r="IJ139" s="21" t="n">
        <v>323.758</v>
      </c>
      <c r="IK139" s="21" t="n">
        <v>154.871</v>
      </c>
      <c r="IL139" s="21" t="n"/>
      <c r="IM139" s="21" t="n"/>
      <c r="IN139" s="21" t="n">
        <v>60.446</v>
      </c>
      <c r="IO139" s="21" t="n">
        <v>363.397</v>
      </c>
      <c r="IP139" s="21" t="n"/>
      <c r="IQ139" s="21" t="n">
        <v>592.75</v>
      </c>
      <c r="IR139" s="21" t="n">
        <v>408.974</v>
      </c>
      <c r="IS139" s="21" t="n">
        <v>133.5</v>
      </c>
      <c r="IT139" s="21" t="n">
        <v>554.886</v>
      </c>
      <c r="IU139" s="21" t="n">
        <v>108.239</v>
      </c>
      <c r="IV139" s="21" t="n">
        <v>110.993</v>
      </c>
      <c r="IW139" s="21" t="n">
        <v>652.152</v>
      </c>
      <c r="IX139" s="21" t="n">
        <v>455.871</v>
      </c>
      <c r="IY139" s="21" t="n">
        <v>438.626</v>
      </c>
      <c r="IZ139" s="21" t="n">
        <v>657.398</v>
      </c>
      <c r="JA139" s="21" t="n">
        <v>219.07</v>
      </c>
      <c r="JB139" s="21" t="n">
        <v>278.741</v>
      </c>
      <c r="JC139" s="21" t="n">
        <v>109.498</v>
      </c>
      <c r="JD139" s="21" t="n">
        <v>457.32</v>
      </c>
      <c r="JE139" s="21" t="n"/>
      <c r="JF139" s="21" t="n">
        <v>1013.488</v>
      </c>
      <c r="JG139" s="21" t="n">
        <v>313.94</v>
      </c>
      <c r="JH139" s="21" t="n">
        <v>194.076</v>
      </c>
      <c r="JI139" s="21" t="n">
        <v>137.379</v>
      </c>
      <c r="JJ139" s="21" t="n">
        <v>144.945</v>
      </c>
      <c r="JK139" s="21" t="n">
        <v>123.181</v>
      </c>
      <c r="JL139" s="21" t="n">
        <v>93.179</v>
      </c>
      <c r="JM139" s="21" t="n">
        <v>609.8390000000001</v>
      </c>
      <c r="JN139" s="21" t="n">
        <v>113.29</v>
      </c>
      <c r="JO139" s="21" t="n">
        <v>83.42100000000001</v>
      </c>
      <c r="JP139" s="21" t="n">
        <v>44.329</v>
      </c>
      <c r="JQ139" s="21" t="n">
        <v>197.168</v>
      </c>
      <c r="JR139" s="21" t="n">
        <v>27.65</v>
      </c>
      <c r="JS139" s="21" t="n">
        <v>94.831</v>
      </c>
      <c r="JT139" s="21" t="n">
        <v>236.007</v>
      </c>
      <c r="JU139" s="21" t="n">
        <v>244.434</v>
      </c>
      <c r="JV139" s="21" t="n">
        <v>193.646</v>
      </c>
      <c r="JW139" s="21" t="n">
        <v>132.753</v>
      </c>
      <c r="JX139" s="21" t="n">
        <v>381.333</v>
      </c>
      <c r="JY139" s="21" t="n">
        <v>283.49</v>
      </c>
      <c r="JZ139" s="21" t="n">
        <v>412.67</v>
      </c>
      <c r="KA139" s="21" t="n">
        <v>127.451</v>
      </c>
      <c r="KB139" s="21" t="n">
        <v>176.303</v>
      </c>
      <c r="KC139" s="21" t="n">
        <v>86.795</v>
      </c>
      <c r="KD139" s="21" t="n">
        <v>86.488</v>
      </c>
      <c r="KE139" s="21" t="n">
        <v>73.142</v>
      </c>
      <c r="KF139" s="21" t="n"/>
      <c r="KG139" s="21" t="n">
        <v>29.881</v>
      </c>
      <c r="KH139" s="21" t="n">
        <v>132.071</v>
      </c>
      <c r="KI139" s="21" t="n"/>
      <c r="KJ139" s="21" t="n"/>
      <c r="KK139" s="21" t="n">
        <v>34.61</v>
      </c>
      <c r="KL139" s="21" t="n">
        <v>29.265</v>
      </c>
      <c r="KM139" s="21" t="n">
        <v>39.558</v>
      </c>
      <c r="KN139" s="21" t="n"/>
      <c r="KO139" s="21" t="n">
        <v>104.568</v>
      </c>
      <c r="KP139" s="21" t="n">
        <v>131.162</v>
      </c>
      <c r="KQ139" s="21" t="n">
        <v>212.327</v>
      </c>
      <c r="KR139" s="21" t="n">
        <v>167.306</v>
      </c>
      <c r="KS139" s="21" t="n">
        <v>503.546</v>
      </c>
      <c r="KT139" s="21" t="n">
        <v>242.914</v>
      </c>
      <c r="KU139" s="21" t="n">
        <v>256.486</v>
      </c>
      <c r="KV139" s="21" t="n">
        <v>419.011</v>
      </c>
      <c r="KW139" s="21" t="n">
        <v>292.742</v>
      </c>
      <c r="KX139" s="21" t="n">
        <v>249.627</v>
      </c>
      <c r="KY139" s="21" t="n">
        <v>91.816</v>
      </c>
      <c r="KZ139" s="21" t="n">
        <v>146.505</v>
      </c>
      <c r="LA139" s="21" t="n">
        <v>315.867</v>
      </c>
      <c r="LB139" s="21" t="n">
        <v>770.5410000000001</v>
      </c>
      <c r="LC139" s="21" t="n">
        <v>260.045</v>
      </c>
      <c r="LD139" s="21" t="n">
        <v>908.641</v>
      </c>
      <c r="LE139" s="21" t="n">
        <v>967.811</v>
      </c>
      <c r="LF139" s="21" t="n">
        <v>105.087</v>
      </c>
      <c r="LG139" s="21" t="n">
        <v>397.523</v>
      </c>
      <c r="LH139" s="21" t="n">
        <v>282.949</v>
      </c>
      <c r="LI139" s="21" t="n">
        <v>71.613</v>
      </c>
      <c r="LJ139" s="21" t="n">
        <v>284.446</v>
      </c>
      <c r="LK139" s="21" t="n">
        <v>441.408</v>
      </c>
      <c r="LL139" s="21" t="n">
        <v>530.401</v>
      </c>
      <c r="LM139" s="21" t="n">
        <v>67.098</v>
      </c>
      <c r="LN139" s="21" t="n">
        <v>90.81399999999999</v>
      </c>
      <c r="LO139" s="21" t="n">
        <v>44.678</v>
      </c>
      <c r="LP139" s="21" t="n">
        <v>164.015</v>
      </c>
      <c r="LQ139" s="21" t="n"/>
      <c r="LR139" s="21" t="n"/>
      <c r="LS139" s="21" t="n">
        <v>99.663</v>
      </c>
      <c r="LT139" s="21" t="n">
        <v>35.406</v>
      </c>
      <c r="LU139" s="21" t="n">
        <v>28.62</v>
      </c>
      <c r="LV139" s="21" t="n">
        <v>88.075</v>
      </c>
      <c r="LW139" s="21" t="n">
        <v>84.85299999999999</v>
      </c>
      <c r="LX139" s="21" t="n">
        <v>34.219</v>
      </c>
      <c r="LY139" s="21" t="n">
        <v>607.199</v>
      </c>
      <c r="LZ139" s="21" t="n">
        <v>110.045</v>
      </c>
      <c r="MA139" s="21" t="n">
        <v>741.797</v>
      </c>
      <c r="MB139" s="21" t="n">
        <v>363.104</v>
      </c>
      <c r="MC139" s="21" t="n">
        <v>303.969</v>
      </c>
      <c r="MD139" s="21" t="n">
        <v>184.689</v>
      </c>
      <c r="ME139" s="21" t="n">
        <v>126.268</v>
      </c>
      <c r="MF139" s="21" t="n">
        <v>195.215</v>
      </c>
      <c r="MG139" s="21" t="n">
        <v>373.279</v>
      </c>
      <c r="MH139" s="21" t="n">
        <v>227.761</v>
      </c>
      <c r="MI139" s="21" t="n">
        <v>616.5069999999999</v>
      </c>
      <c r="MJ139" s="21" t="n"/>
      <c r="MK139" s="21" t="n">
        <v>417.468</v>
      </c>
      <c r="ML139" s="21" t="n">
        <v>253.172</v>
      </c>
      <c r="MM139" s="21" t="n">
        <v>307.702</v>
      </c>
      <c r="MN139" s="21" t="n">
        <v>479.056</v>
      </c>
      <c r="MO139" s="21" t="n">
        <v>194.074</v>
      </c>
      <c r="MP139" s="21" t="n">
        <v>382.129</v>
      </c>
      <c r="MQ139" s="21" t="n">
        <v>89.523</v>
      </c>
      <c r="MR139" s="21" t="n">
        <v>210.772</v>
      </c>
      <c r="MS139" s="21" t="n"/>
      <c r="MT139" s="21" t="n">
        <v>321.458</v>
      </c>
      <c r="MU139" s="21" t="n">
        <v>337.847</v>
      </c>
      <c r="MV139" s="21" t="n">
        <v>331.486</v>
      </c>
      <c r="MW139" s="21" t="n">
        <v>336.882</v>
      </c>
      <c r="MX139" s="21" t="n">
        <v>300.389</v>
      </c>
      <c r="MY139" s="21" t="n">
        <v>288.27</v>
      </c>
      <c r="MZ139" s="21" t="n">
        <v>285.84</v>
      </c>
      <c r="NA139" s="21" t="n">
        <v>291.821</v>
      </c>
      <c r="NB139" s="21" t="n">
        <v>127.576</v>
      </c>
      <c r="NC139" s="21" t="n">
        <v>234.622</v>
      </c>
      <c r="ND139" s="21" t="n">
        <v>186.595</v>
      </c>
      <c r="NE139" s="21" t="n">
        <v>182.688</v>
      </c>
      <c r="NF139" s="21" t="n">
        <v>168.019</v>
      </c>
      <c r="NG139" s="21" t="n">
        <v>166.453</v>
      </c>
      <c r="NH139" s="21" t="n">
        <v>331.439</v>
      </c>
      <c r="NI139" s="21" t="n">
        <v>123.592</v>
      </c>
      <c r="NJ139" s="21" t="n">
        <v>49.785</v>
      </c>
      <c r="NK139" s="21" t="n">
        <v>125.27</v>
      </c>
      <c r="NL139" s="21" t="n">
        <v>328.95</v>
      </c>
      <c r="NM139" s="21" t="n">
        <v>367.63</v>
      </c>
      <c r="NN139" s="21" t="n">
        <v>108.869</v>
      </c>
      <c r="NO139" s="21" t="n">
        <v>33.654</v>
      </c>
      <c r="NP139" s="21" t="n">
        <v>296.787</v>
      </c>
      <c r="NQ139" s="21" t="n">
        <v>252.53</v>
      </c>
      <c r="NR139" s="21" t="n">
        <v>321.803</v>
      </c>
      <c r="NS139" s="21" t="n">
        <v>249.531</v>
      </c>
      <c r="NT139" s="21" t="n">
        <v>325.707</v>
      </c>
      <c r="NU139" s="21" t="n">
        <v>149.965</v>
      </c>
      <c r="NV139" s="21" t="n">
        <v>171.544</v>
      </c>
      <c r="NW139" s="21" t="n">
        <v>435.418</v>
      </c>
      <c r="NX139" s="21" t="n">
        <v>86.331</v>
      </c>
      <c r="NY139" s="21" t="n">
        <v>159.418</v>
      </c>
      <c r="NZ139" s="21" t="n">
        <v>448.105</v>
      </c>
      <c r="OA139" s="21" t="n">
        <v>431.993</v>
      </c>
      <c r="OB139" s="21" t="n">
        <v>445.448</v>
      </c>
      <c r="OC139" s="21" t="n">
        <v>415.089</v>
      </c>
      <c r="OD139" s="21" t="n">
        <v>446.283</v>
      </c>
      <c r="OE139" s="21" t="n">
        <v>131.771</v>
      </c>
      <c r="OF139" s="21" t="n">
        <v>462.494</v>
      </c>
      <c r="OG139" s="21" t="n">
        <v>282.891</v>
      </c>
      <c r="OH139" s="21" t="n">
        <v>32.939</v>
      </c>
      <c r="OI139" s="21" t="n">
        <v>162.367</v>
      </c>
      <c r="OJ139" s="21" t="n">
        <v>29.9</v>
      </c>
      <c r="OK139" s="21" t="n">
        <v>10</v>
      </c>
    </row>
    <row r="140">
      <c r="A140" s="22" t="n">
        <v>46204</v>
      </c>
      <c r="B140" s="21" t="n">
        <v>333.918</v>
      </c>
      <c r="C140" s="21" t="n">
        <v>1000.271</v>
      </c>
      <c r="D140" s="21" t="n">
        <v>346.945</v>
      </c>
      <c r="E140" s="21" t="n">
        <v>350.164</v>
      </c>
      <c r="F140" s="21" t="n">
        <v>321.643</v>
      </c>
      <c r="G140" s="21" t="n">
        <v>369.882</v>
      </c>
      <c r="H140" s="21" t="n">
        <v>293.913</v>
      </c>
      <c r="I140" s="21" t="n">
        <v>328.494</v>
      </c>
      <c r="J140" s="21" t="n">
        <v>287.933</v>
      </c>
      <c r="K140" s="21" t="n">
        <v>297.399</v>
      </c>
      <c r="L140" s="21" t="n">
        <v>199.886</v>
      </c>
      <c r="M140" s="21" t="n">
        <v>414.287</v>
      </c>
      <c r="N140" s="21" t="n">
        <v>250.219</v>
      </c>
      <c r="O140" s="21" t="n">
        <v>448.746</v>
      </c>
      <c r="P140" s="21" t="n">
        <v>491.704</v>
      </c>
      <c r="Q140" s="21" t="n">
        <v>244.789</v>
      </c>
      <c r="R140" s="21" t="n">
        <v>397.973</v>
      </c>
      <c r="S140" s="21" t="n">
        <v>419.093</v>
      </c>
      <c r="T140" s="21" t="n">
        <v>375.184</v>
      </c>
      <c r="U140" s="21" t="n">
        <v>364.951</v>
      </c>
      <c r="V140" s="21" t="n">
        <v>414.324</v>
      </c>
      <c r="W140" s="21" t="n">
        <v>456.806</v>
      </c>
      <c r="X140" s="21" t="n">
        <v>338.014</v>
      </c>
      <c r="Y140" s="21" t="n">
        <v>350.612</v>
      </c>
      <c r="Z140" s="21" t="n">
        <v>359.097</v>
      </c>
      <c r="AA140" s="21" t="n">
        <v>377.292</v>
      </c>
      <c r="AB140" s="21" t="n">
        <v>522.2190000000001</v>
      </c>
      <c r="AC140" s="21" t="n">
        <v>445.191</v>
      </c>
      <c r="AD140" s="21" t="n">
        <v>438.095</v>
      </c>
      <c r="AE140" s="21" t="n">
        <v>353.085</v>
      </c>
      <c r="AF140" s="21" t="n">
        <v>406.967</v>
      </c>
      <c r="AG140" s="21" t="n">
        <v>274.241</v>
      </c>
      <c r="AH140" s="21" t="n">
        <v>205.989</v>
      </c>
      <c r="AI140" s="21" t="n">
        <v>382.905</v>
      </c>
      <c r="AJ140" s="21" t="n">
        <v>194.15</v>
      </c>
      <c r="AK140" s="21" t="n">
        <v>262.352</v>
      </c>
      <c r="AL140" s="21" t="n">
        <v>289.826</v>
      </c>
      <c r="AM140" s="21" t="n">
        <v>252.041</v>
      </c>
      <c r="AN140" s="21" t="n">
        <v>161.717</v>
      </c>
      <c r="AO140" s="21" t="n">
        <v>294.729</v>
      </c>
      <c r="AP140" s="21" t="n">
        <v>320.336</v>
      </c>
      <c r="AQ140" s="21" t="n">
        <v>187.779</v>
      </c>
      <c r="AR140" s="21" t="n"/>
      <c r="AS140" s="21" t="n"/>
      <c r="AT140" s="21" t="n">
        <v>313.722</v>
      </c>
      <c r="AU140" s="21" t="n">
        <v>196.684</v>
      </c>
      <c r="AV140" s="21" t="n">
        <v>323.519</v>
      </c>
      <c r="AW140" s="21" t="n">
        <v>295.058</v>
      </c>
      <c r="AX140" s="21" t="n">
        <v>224.69</v>
      </c>
      <c r="AY140" s="21" t="n">
        <v>380.667</v>
      </c>
      <c r="AZ140" s="21" t="n">
        <v>240.689</v>
      </c>
      <c r="BA140" s="21" t="n">
        <v>186.873</v>
      </c>
      <c r="BB140" s="21" t="n">
        <v>261.21</v>
      </c>
      <c r="BC140" s="21" t="n">
        <v>418.596</v>
      </c>
      <c r="BD140" s="21" t="n">
        <v>267.136</v>
      </c>
      <c r="BE140" s="21" t="n">
        <v>271.337</v>
      </c>
      <c r="BF140" s="21" t="n">
        <v>189.744</v>
      </c>
      <c r="BG140" s="21" t="n">
        <v>271.003</v>
      </c>
      <c r="BH140" s="21" t="n">
        <v>197.06</v>
      </c>
      <c r="BI140" s="21" t="n">
        <v>256.463</v>
      </c>
      <c r="BJ140" s="21" t="n">
        <v>269.285</v>
      </c>
      <c r="BK140" s="21" t="n">
        <v>192.589</v>
      </c>
      <c r="BL140" s="21" t="n">
        <v>369.55</v>
      </c>
      <c r="BM140" s="21" t="n">
        <v>416.052</v>
      </c>
      <c r="BN140" s="21" t="n">
        <v>427.456</v>
      </c>
      <c r="BO140" s="21" t="n">
        <v>398.142</v>
      </c>
      <c r="BP140" s="21" t="n">
        <v>217.141</v>
      </c>
      <c r="BQ140" s="21" t="n">
        <v>315.587</v>
      </c>
      <c r="BR140" s="21" t="n">
        <v>627.963</v>
      </c>
      <c r="BS140" s="21" t="n">
        <v>143.581</v>
      </c>
      <c r="BT140" s="21" t="n">
        <v>402.725</v>
      </c>
      <c r="BU140" s="21" t="n">
        <v>447.006</v>
      </c>
      <c r="BV140" s="21" t="n">
        <v>436.178</v>
      </c>
      <c r="BW140" s="21" t="n">
        <v>380.597</v>
      </c>
      <c r="BX140" s="21" t="n">
        <v>397.526</v>
      </c>
      <c r="BY140" s="21" t="n">
        <v>213.387</v>
      </c>
      <c r="BZ140" s="21" t="n">
        <v>233.872</v>
      </c>
      <c r="CA140" s="21" t="n">
        <v>221.276</v>
      </c>
      <c r="CB140" s="21" t="n">
        <v>249.722</v>
      </c>
      <c r="CC140" s="21" t="n">
        <v>189.274</v>
      </c>
      <c r="CD140" s="21" t="n">
        <v>264.44</v>
      </c>
      <c r="CE140" s="21" t="n">
        <v>203.619</v>
      </c>
      <c r="CF140" s="21" t="n">
        <v>247.249</v>
      </c>
      <c r="CG140" s="21" t="n">
        <v>237.393</v>
      </c>
      <c r="CH140" s="21" t="n">
        <v>182.98</v>
      </c>
      <c r="CI140" s="21" t="n">
        <v>238.676</v>
      </c>
      <c r="CJ140" s="21" t="n">
        <v>285.813</v>
      </c>
      <c r="CK140" s="21" t="n">
        <v>160.784</v>
      </c>
      <c r="CL140" s="21" t="n">
        <v>166.109</v>
      </c>
      <c r="CM140" s="21" t="n">
        <v>299.884</v>
      </c>
      <c r="CN140" s="21" t="n">
        <v>310.858</v>
      </c>
      <c r="CO140" s="21" t="n">
        <v>301.245</v>
      </c>
      <c r="CP140" s="21" t="n">
        <v>165.244</v>
      </c>
      <c r="CQ140" s="21" t="n">
        <v>283.803</v>
      </c>
      <c r="CR140" s="21" t="n">
        <v>325.643</v>
      </c>
      <c r="CS140" s="21" t="n">
        <v>278.234</v>
      </c>
      <c r="CT140" s="21" t="n">
        <v>229.765</v>
      </c>
      <c r="CU140" s="21" t="n">
        <v>199.458</v>
      </c>
      <c r="CV140" s="21" t="n">
        <v>308.465</v>
      </c>
      <c r="CW140" s="21" t="n">
        <v>262.483</v>
      </c>
      <c r="CX140" s="21" t="n">
        <v>291.553</v>
      </c>
      <c r="CY140" s="21" t="n">
        <v>462.504</v>
      </c>
      <c r="CZ140" s="21" t="n">
        <v>167.654</v>
      </c>
      <c r="DA140" s="21" t="n">
        <v>225.119</v>
      </c>
      <c r="DB140" s="21" t="n">
        <v>193.031</v>
      </c>
      <c r="DC140" s="21" t="n">
        <v>296.703</v>
      </c>
      <c r="DD140" s="21" t="n">
        <v>336.804</v>
      </c>
      <c r="DE140" s="21" t="n">
        <v>214.685</v>
      </c>
      <c r="DF140" s="21" t="n">
        <v>313.707</v>
      </c>
      <c r="DG140" s="21" t="n">
        <v>329.695</v>
      </c>
      <c r="DH140" s="21" t="n">
        <v>198.307</v>
      </c>
      <c r="DI140" s="21" t="n">
        <v>201.615</v>
      </c>
      <c r="DJ140" s="21" t="n">
        <v>193.302</v>
      </c>
      <c r="DK140" s="21" t="n">
        <v>420.846</v>
      </c>
      <c r="DL140" s="21" t="n">
        <v>231.017</v>
      </c>
      <c r="DM140" s="21" t="n">
        <v>178.087</v>
      </c>
      <c r="DN140" s="21" t="n">
        <v>159.94</v>
      </c>
      <c r="DO140" s="21" t="n">
        <v>396.859</v>
      </c>
      <c r="DP140" s="21" t="n">
        <v>245.163</v>
      </c>
      <c r="DQ140" s="21" t="n">
        <v>259.619</v>
      </c>
      <c r="DR140" s="21" t="n">
        <v>218.868</v>
      </c>
      <c r="DS140" s="21" t="n"/>
      <c r="DT140" s="21" t="n">
        <v>250.823</v>
      </c>
      <c r="DU140" s="21" t="n">
        <v>268.658</v>
      </c>
      <c r="DV140" s="21" t="n">
        <v>301.367</v>
      </c>
      <c r="DW140" s="21" t="n">
        <v>230.968</v>
      </c>
      <c r="DX140" s="21" t="n">
        <v>285.066</v>
      </c>
      <c r="DY140" s="21" t="n">
        <v>213.256</v>
      </c>
      <c r="DZ140" s="21" t="n">
        <v>223.974</v>
      </c>
      <c r="EA140" s="21" t="n">
        <v>208.275</v>
      </c>
      <c r="EB140" s="21" t="n">
        <v>178.892</v>
      </c>
      <c r="EC140" s="21" t="n">
        <v>458.689</v>
      </c>
      <c r="ED140" s="21" t="n">
        <v>223.055</v>
      </c>
      <c r="EE140" s="21" t="n">
        <v>243.814</v>
      </c>
      <c r="EF140" s="21" t="n">
        <v>255.871</v>
      </c>
      <c r="EG140" s="21" t="n">
        <v>359.556</v>
      </c>
      <c r="EH140" s="21" t="n">
        <v>429.491</v>
      </c>
      <c r="EI140" s="21" t="n">
        <v>447.963</v>
      </c>
      <c r="EJ140" s="21" t="n">
        <v>195.002</v>
      </c>
      <c r="EK140" s="21" t="n">
        <v>683.72</v>
      </c>
      <c r="EL140" s="21" t="n">
        <v>396.9</v>
      </c>
      <c r="EM140" s="21" t="n">
        <v>442.503</v>
      </c>
      <c r="EN140" s="21" t="n">
        <v>442.442</v>
      </c>
      <c r="EO140" s="21" t="n">
        <v>174.868</v>
      </c>
      <c r="EP140" s="21" t="n">
        <v>353.712</v>
      </c>
      <c r="EQ140" s="21" t="n">
        <v>298.097</v>
      </c>
      <c r="ER140" s="21" t="n">
        <v>434.4</v>
      </c>
      <c r="ES140" s="21" t="n">
        <v>490.083</v>
      </c>
      <c r="ET140" s="21" t="n">
        <v>407.255</v>
      </c>
      <c r="EU140" s="21" t="n">
        <v>302.594</v>
      </c>
      <c r="EV140" s="21" t="n">
        <v>311.672</v>
      </c>
      <c r="EW140" s="21" t="n">
        <v>268.999</v>
      </c>
      <c r="EX140" s="21" t="n">
        <v>332.956</v>
      </c>
      <c r="EY140" s="21" t="n">
        <v>763.693</v>
      </c>
      <c r="EZ140" s="21" t="n">
        <v>677.872</v>
      </c>
      <c r="FA140" s="21" t="n">
        <v>156.223</v>
      </c>
      <c r="FB140" s="21" t="n">
        <v>61.305</v>
      </c>
      <c r="FC140" s="21" t="n">
        <v>130.051</v>
      </c>
      <c r="FD140" s="21" t="n">
        <v>87.559</v>
      </c>
      <c r="FE140" s="21" t="n">
        <v>40.628</v>
      </c>
      <c r="FF140" s="21" t="n">
        <v>134.052</v>
      </c>
      <c r="FG140" s="21" t="n">
        <v>143.066</v>
      </c>
      <c r="FH140" s="21" t="n">
        <v>111.575</v>
      </c>
      <c r="FI140" s="21" t="n">
        <v>75.005</v>
      </c>
      <c r="FJ140" s="21" t="n"/>
      <c r="FK140" s="21" t="n">
        <v>84.336</v>
      </c>
      <c r="FL140" s="21" t="n">
        <v>86.884</v>
      </c>
      <c r="FM140" s="21" t="n">
        <v>111.39</v>
      </c>
      <c r="FN140" s="21" t="n">
        <v>75.251</v>
      </c>
      <c r="FO140" s="21" t="n">
        <v>55.249</v>
      </c>
      <c r="FP140" s="21" t="n">
        <v>39.008</v>
      </c>
      <c r="FQ140" s="21" t="n">
        <v>171.363</v>
      </c>
      <c r="FR140" s="21" t="n">
        <v>47.418</v>
      </c>
      <c r="FS140" s="21" t="n">
        <v>85.041</v>
      </c>
      <c r="FT140" s="21" t="n">
        <v>115.701</v>
      </c>
      <c r="FU140" s="21" t="n">
        <v>130.118</v>
      </c>
      <c r="FV140" s="21" t="n">
        <v>108.954</v>
      </c>
      <c r="FW140" s="21" t="n">
        <v>243.404</v>
      </c>
      <c r="FX140" s="21" t="n">
        <v>156.182</v>
      </c>
      <c r="FY140" s="21" t="n">
        <v>239.781</v>
      </c>
      <c r="FZ140" s="21" t="n">
        <v>144.822</v>
      </c>
      <c r="GA140" s="21" t="n"/>
      <c r="GB140" s="21" t="n"/>
      <c r="GC140" s="21" t="n">
        <v>344.925</v>
      </c>
      <c r="GD140" s="21" t="n">
        <v>202.48</v>
      </c>
      <c r="GE140" s="21" t="n"/>
      <c r="GF140" s="21" t="n">
        <v>134.182</v>
      </c>
      <c r="GG140" s="21" t="n">
        <v>130.732</v>
      </c>
      <c r="GH140" s="21" t="n">
        <v>133.157</v>
      </c>
      <c r="GI140" s="21" t="n">
        <v>93.07599999999999</v>
      </c>
      <c r="GJ140" s="21" t="n">
        <v>194.91</v>
      </c>
      <c r="GK140" s="21" t="n">
        <v>80.399</v>
      </c>
      <c r="GL140" s="21" t="n">
        <v>141.915</v>
      </c>
      <c r="GM140" s="21" t="n">
        <v>119.288</v>
      </c>
      <c r="GN140" s="21" t="n">
        <v>109.435</v>
      </c>
      <c r="GO140" s="21" t="n">
        <v>110.744</v>
      </c>
      <c r="GP140" s="21" t="n">
        <v>101.561</v>
      </c>
      <c r="GQ140" s="21" t="n">
        <v>101.169</v>
      </c>
      <c r="GR140" s="21" t="n">
        <v>74.13800000000001</v>
      </c>
      <c r="GS140" s="21" t="n">
        <v>118.817</v>
      </c>
      <c r="GT140" s="21" t="n">
        <v>104.148</v>
      </c>
      <c r="GU140" s="21" t="n">
        <v>150.52</v>
      </c>
      <c r="GV140" s="21" t="n">
        <v>156.993</v>
      </c>
      <c r="GW140" s="21" t="n">
        <v>166.197</v>
      </c>
      <c r="GX140" s="21" t="n">
        <v>137.749</v>
      </c>
      <c r="GY140" s="21" t="n">
        <v>120.62</v>
      </c>
      <c r="GZ140" s="21" t="n">
        <v>232.602</v>
      </c>
      <c r="HA140" s="21" t="n">
        <v>176.103</v>
      </c>
      <c r="HB140" s="21" t="n">
        <v>234.226</v>
      </c>
      <c r="HC140" s="21" t="n">
        <v>289.42</v>
      </c>
      <c r="HD140" s="21" t="n">
        <v>287.661</v>
      </c>
      <c r="HE140" s="21" t="n">
        <v>126.403</v>
      </c>
      <c r="HF140" s="21" t="n">
        <v>179.541</v>
      </c>
      <c r="HG140" s="21" t="n"/>
      <c r="HH140" s="21" t="n">
        <v>175.668</v>
      </c>
      <c r="HI140" s="21" t="n">
        <v>191.406</v>
      </c>
      <c r="HJ140" s="21" t="n"/>
      <c r="HK140" s="21" t="n">
        <v>184.661</v>
      </c>
      <c r="HL140" s="21" t="n">
        <v>113.259</v>
      </c>
      <c r="HM140" s="21" t="n">
        <v>175.73</v>
      </c>
      <c r="HN140" s="21" t="n">
        <v>352.826</v>
      </c>
      <c r="HO140" s="21" t="n">
        <v>350.846</v>
      </c>
      <c r="HP140" s="21" t="n">
        <v>343.1</v>
      </c>
      <c r="HQ140" s="21" t="n">
        <v>385.347</v>
      </c>
      <c r="HR140" s="21" t="n">
        <v>377.822</v>
      </c>
      <c r="HS140" s="21" t="n">
        <v>363.039</v>
      </c>
      <c r="HT140" s="21" t="n">
        <v>188.815</v>
      </c>
      <c r="HU140" s="21" t="n">
        <v>159.289</v>
      </c>
      <c r="HV140" s="21" t="n">
        <v>234.268</v>
      </c>
      <c r="HW140" s="21" t="n">
        <v>219.398</v>
      </c>
      <c r="HX140" s="21" t="n">
        <v>504.661</v>
      </c>
      <c r="HY140" s="21" t="n">
        <v>460.185</v>
      </c>
      <c r="HZ140" s="21" t="n">
        <v>452.937</v>
      </c>
      <c r="IA140" s="21" t="n">
        <v>391.679</v>
      </c>
      <c r="IB140" s="21" t="n">
        <v>309.733</v>
      </c>
      <c r="IC140" s="21" t="n">
        <v>856.08</v>
      </c>
      <c r="ID140" s="21" t="n">
        <v>220.358</v>
      </c>
      <c r="IE140" s="21" t="n">
        <v>208.131</v>
      </c>
      <c r="IF140" s="21" t="n">
        <v>239.683</v>
      </c>
      <c r="IG140" s="21" t="n">
        <v>299.304</v>
      </c>
      <c r="IH140" s="21" t="n"/>
      <c r="II140" s="21" t="n">
        <v>294.915</v>
      </c>
      <c r="IJ140" s="21" t="n">
        <v>311.176</v>
      </c>
      <c r="IK140" s="21" t="n">
        <v>151.684</v>
      </c>
      <c r="IL140" s="21" t="n"/>
      <c r="IM140" s="21" t="n"/>
      <c r="IN140" s="21" t="n">
        <v>57.915</v>
      </c>
      <c r="IO140" s="21" t="n">
        <v>367.631</v>
      </c>
      <c r="IP140" s="21" t="n"/>
      <c r="IQ140" s="21" t="n">
        <v>593.7809999999999</v>
      </c>
      <c r="IR140" s="21" t="n">
        <v>406.462</v>
      </c>
      <c r="IS140" s="21" t="n">
        <v>132.82</v>
      </c>
      <c r="IT140" s="21" t="n">
        <v>550.59</v>
      </c>
      <c r="IU140" s="21" t="n">
        <v>108.417</v>
      </c>
      <c r="IV140" s="21" t="n">
        <v>109.162</v>
      </c>
      <c r="IW140" s="21" t="n">
        <v>654.347</v>
      </c>
      <c r="IX140" s="21" t="n">
        <v>457.746</v>
      </c>
      <c r="IY140" s="21" t="n">
        <v>439.443</v>
      </c>
      <c r="IZ140" s="21" t="n">
        <v>660.961</v>
      </c>
      <c r="JA140" s="21" t="n">
        <v>219.722</v>
      </c>
      <c r="JB140" s="21" t="n"/>
      <c r="JC140" s="21" t="n">
        <v>109.941</v>
      </c>
      <c r="JD140" s="21" t="n">
        <v>459.82</v>
      </c>
      <c r="JE140" s="21" t="n">
        <v>440.232</v>
      </c>
      <c r="JF140" s="21" t="n">
        <v>1017.096</v>
      </c>
      <c r="JG140" s="21" t="n">
        <v>313.772</v>
      </c>
      <c r="JH140" s="21" t="n">
        <v>193.131</v>
      </c>
      <c r="JI140" s="21" t="n">
        <v>137.122</v>
      </c>
      <c r="JJ140" s="21" t="n">
        <v>145.242</v>
      </c>
      <c r="JK140" s="21" t="n">
        <v>124.278</v>
      </c>
      <c r="JL140" s="21" t="n">
        <v>95.45699999999999</v>
      </c>
      <c r="JM140" s="21" t="n">
        <v>611.641</v>
      </c>
      <c r="JN140" s="21" t="n">
        <v>115.623</v>
      </c>
      <c r="JO140" s="21" t="n">
        <v>85.10599999999999</v>
      </c>
      <c r="JP140" s="21" t="n">
        <v>47.54</v>
      </c>
      <c r="JQ140" s="21" t="n">
        <v>196.688</v>
      </c>
      <c r="JR140" s="21" t="n">
        <v>27.732</v>
      </c>
      <c r="JS140" s="21" t="n">
        <v>95.57599999999999</v>
      </c>
      <c r="JT140" s="21" t="n">
        <v>236.64</v>
      </c>
      <c r="JU140" s="21" t="n">
        <v>246.108</v>
      </c>
      <c r="JV140" s="21" t="n">
        <v>194.687</v>
      </c>
      <c r="JW140" s="21" t="n">
        <v>133.824</v>
      </c>
      <c r="JX140" s="21" t="n">
        <v>380.601</v>
      </c>
      <c r="JY140" s="21" t="n">
        <v>283.121</v>
      </c>
      <c r="JZ140" s="21" t="n">
        <v>411.854</v>
      </c>
      <c r="KA140" s="21" t="n">
        <v>127.615</v>
      </c>
      <c r="KB140" s="21" t="n">
        <v>177.16</v>
      </c>
      <c r="KC140" s="21" t="n">
        <v>86.514</v>
      </c>
      <c r="KD140" s="21" t="n">
        <v>85.938</v>
      </c>
      <c r="KE140" s="21" t="n">
        <v>72.092</v>
      </c>
      <c r="KF140" s="21" t="n"/>
      <c r="KG140" s="21" t="n">
        <v>29.452</v>
      </c>
      <c r="KH140" s="21" t="n">
        <v>131.968</v>
      </c>
      <c r="KI140" s="21" t="n"/>
      <c r="KJ140" s="21" t="n"/>
      <c r="KK140" s="21" t="n">
        <v>34.627</v>
      </c>
      <c r="KL140" s="21" t="n">
        <v>29.332</v>
      </c>
      <c r="KM140" s="21" t="n">
        <v>39.549</v>
      </c>
      <c r="KN140" s="21" t="n"/>
      <c r="KO140" s="21" t="n">
        <v>103.64</v>
      </c>
      <c r="KP140" s="21" t="n">
        <v>130.338</v>
      </c>
      <c r="KQ140" s="21" t="n">
        <v>211.764</v>
      </c>
      <c r="KR140" s="21" t="n">
        <v>167.786</v>
      </c>
      <c r="KS140" s="21" t="n">
        <v>499.051</v>
      </c>
      <c r="KT140" s="21" t="n">
        <v>241.831</v>
      </c>
      <c r="KU140" s="21" t="n">
        <v>251.289</v>
      </c>
      <c r="KV140" s="21" t="n">
        <v>419.407</v>
      </c>
      <c r="KW140" s="21" t="n">
        <v>299.05</v>
      </c>
      <c r="KX140" s="21" t="n">
        <v>248.285</v>
      </c>
      <c r="KY140" s="21" t="n">
        <v>96.29300000000001</v>
      </c>
      <c r="KZ140" s="21" t="n">
        <v>147.498</v>
      </c>
      <c r="LA140" s="21" t="n">
        <v>317.815</v>
      </c>
      <c r="LB140" s="21" t="n">
        <v>776.514</v>
      </c>
      <c r="LC140" s="21" t="n">
        <v>261.909</v>
      </c>
      <c r="LD140" s="21" t="n">
        <v>914.224</v>
      </c>
      <c r="LE140" s="21" t="n">
        <v>975.178</v>
      </c>
      <c r="LF140" s="21" t="n">
        <v>105.804</v>
      </c>
      <c r="LG140" s="21" t="n">
        <v>398.763</v>
      </c>
      <c r="LH140" s="21" t="n">
        <v>284.214</v>
      </c>
      <c r="LI140" s="21" t="n">
        <v>72.134</v>
      </c>
      <c r="LJ140" s="21" t="n">
        <v>284.252</v>
      </c>
      <c r="LK140" s="21" t="n">
        <v>441.457</v>
      </c>
      <c r="LL140" s="21" t="n">
        <v>524.9450000000001</v>
      </c>
      <c r="LM140" s="21" t="n">
        <v>67.598</v>
      </c>
      <c r="LN140" s="21" t="n">
        <v>91.34699999999999</v>
      </c>
      <c r="LO140" s="21" t="n">
        <v>44.96</v>
      </c>
      <c r="LP140" s="21" t="n">
        <v>164.24</v>
      </c>
      <c r="LQ140" s="21" t="n"/>
      <c r="LR140" s="21" t="n"/>
      <c r="LS140" s="21" t="n">
        <v>100.538</v>
      </c>
      <c r="LT140" s="21" t="n">
        <v>36.641</v>
      </c>
      <c r="LU140" s="21" t="n">
        <v>28.76</v>
      </c>
      <c r="LV140" s="21" t="n">
        <v>88.13800000000001</v>
      </c>
      <c r="LW140" s="21" t="n">
        <v>85.524</v>
      </c>
      <c r="LX140" s="21" t="n">
        <v>34.605</v>
      </c>
      <c r="LY140" s="21" t="n">
        <v>607.421</v>
      </c>
      <c r="LZ140" s="21" t="n">
        <v>110.593</v>
      </c>
      <c r="MA140" s="21" t="n">
        <v>744.449</v>
      </c>
      <c r="MB140" s="21" t="n">
        <v>366.354</v>
      </c>
      <c r="MC140" s="21" t="n">
        <v>303.827</v>
      </c>
      <c r="MD140" s="21" t="n">
        <v>185.387</v>
      </c>
      <c r="ME140" s="21" t="n">
        <v>126.44</v>
      </c>
      <c r="MF140" s="21" t="n">
        <v>196.398</v>
      </c>
      <c r="MG140" s="21" t="n">
        <v>373.473</v>
      </c>
      <c r="MH140" s="21" t="n">
        <v>227.88</v>
      </c>
      <c r="MI140" s="21" t="n">
        <v>614.547</v>
      </c>
      <c r="MJ140" s="21" t="n"/>
      <c r="MK140" s="21" t="n">
        <v>416.865</v>
      </c>
      <c r="ML140" s="21" t="n">
        <v>254.121</v>
      </c>
      <c r="MM140" s="21" t="n">
        <v>308.561</v>
      </c>
      <c r="MN140" s="21" t="n">
        <v>472.678</v>
      </c>
      <c r="MO140" s="21" t="n">
        <v>190.234</v>
      </c>
      <c r="MP140" s="21" t="n">
        <v>380.448</v>
      </c>
      <c r="MQ140" s="21" t="n">
        <v>89.01000000000001</v>
      </c>
      <c r="MR140" s="21" t="n">
        <v>204.657</v>
      </c>
      <c r="MS140" s="21" t="n"/>
      <c r="MT140" s="21" t="n">
        <v>321.373</v>
      </c>
      <c r="MU140" s="21" t="n">
        <v>338.124</v>
      </c>
      <c r="MV140" s="21" t="n">
        <v>331.383</v>
      </c>
      <c r="MW140" s="21" t="n">
        <v>337.133</v>
      </c>
      <c r="MX140" s="21" t="n">
        <v>300.178</v>
      </c>
      <c r="MY140" s="21" t="n">
        <v>287.92</v>
      </c>
      <c r="MZ140" s="21" t="n">
        <v>285.996</v>
      </c>
      <c r="NA140" s="21" t="n">
        <v>291.855</v>
      </c>
      <c r="NB140" s="21" t="n">
        <v>125.492</v>
      </c>
      <c r="NC140" s="21" t="n">
        <v>234.227</v>
      </c>
      <c r="ND140" s="21" t="n">
        <v>185.96</v>
      </c>
      <c r="NE140" s="21" t="n">
        <v>182.031</v>
      </c>
      <c r="NF140" s="21" t="n">
        <v>168.112</v>
      </c>
      <c r="NG140" s="21" t="n">
        <v>166.364</v>
      </c>
      <c r="NH140" s="21" t="n">
        <v>331.066</v>
      </c>
      <c r="NI140" s="21" t="n">
        <v>124.046</v>
      </c>
      <c r="NJ140" s="21" t="n">
        <v>50.69</v>
      </c>
      <c r="NK140" s="21" t="n">
        <v>125.894</v>
      </c>
      <c r="NL140" s="21" t="n">
        <v>325.15</v>
      </c>
      <c r="NM140" s="21" t="n">
        <v>359.754</v>
      </c>
      <c r="NN140" s="21" t="n">
        <v>108.687</v>
      </c>
      <c r="NO140" s="21" t="n">
        <v>34.283</v>
      </c>
      <c r="NP140" s="21" t="n">
        <v>295.642</v>
      </c>
      <c r="NQ140" s="21" t="n">
        <v>250.155</v>
      </c>
      <c r="NR140" s="21" t="n">
        <v>319.04</v>
      </c>
      <c r="NS140" s="21" t="n">
        <v>246.986</v>
      </c>
      <c r="NT140" s="21" t="n">
        <v>322.607</v>
      </c>
      <c r="NU140" s="21" t="n">
        <v>150.394</v>
      </c>
      <c r="NV140" s="21" t="n">
        <v>171.262</v>
      </c>
      <c r="NW140" s="21" t="n">
        <v>436.379</v>
      </c>
      <c r="NX140" s="21" t="n">
        <v>86.818</v>
      </c>
      <c r="NY140" s="21" t="n">
        <v>159.397</v>
      </c>
      <c r="NZ140" s="21" t="n">
        <v>448.56</v>
      </c>
      <c r="OA140" s="21" t="n">
        <v>432.343</v>
      </c>
      <c r="OB140" s="21" t="n">
        <v>445.809</v>
      </c>
      <c r="OC140" s="21" t="n">
        <v>415.297</v>
      </c>
      <c r="OD140" s="21" t="n">
        <v>446.532</v>
      </c>
      <c r="OE140" s="21" t="n">
        <v>132.265</v>
      </c>
      <c r="OF140" s="21" t="n">
        <v>459.354</v>
      </c>
      <c r="OG140" s="21" t="n">
        <v>282.01</v>
      </c>
      <c r="OH140" s="21" t="n">
        <v>33.422</v>
      </c>
      <c r="OI140" s="21" t="n">
        <v>163.5</v>
      </c>
      <c r="OJ140" s="21" t="n">
        <v>29.9</v>
      </c>
      <c r="OK140" s="21" t="n">
        <v>10</v>
      </c>
    </row>
    <row r="141">
      <c r="A141" s="22" t="n">
        <v>46235</v>
      </c>
      <c r="B141" s="21" t="n">
        <v>334.98</v>
      </c>
      <c r="C141" s="21" t="n">
        <v>1003.45</v>
      </c>
      <c r="D141" s="21" t="n">
        <v>347.206</v>
      </c>
      <c r="E141" s="21" t="n">
        <v>350.418</v>
      </c>
      <c r="F141" s="21" t="n">
        <v>321.5</v>
      </c>
      <c r="G141" s="21" t="n">
        <v>369.171</v>
      </c>
      <c r="H141" s="21" t="n">
        <v>291.389</v>
      </c>
      <c r="I141" s="21" t="n">
        <v>332.125</v>
      </c>
      <c r="J141" s="21" t="n">
        <v>283.314</v>
      </c>
      <c r="K141" s="21" t="n">
        <v>295.401</v>
      </c>
      <c r="L141" s="21" t="n">
        <v>200.134</v>
      </c>
      <c r="M141" s="21" t="n">
        <v>414.702</v>
      </c>
      <c r="N141" s="21" t="n">
        <v>249.885</v>
      </c>
      <c r="O141" s="21" t="n">
        <v>449.412</v>
      </c>
      <c r="P141" s="21" t="n">
        <v>489.8</v>
      </c>
      <c r="Q141" s="21" t="n">
        <v>246.509</v>
      </c>
      <c r="R141" s="21" t="n">
        <v>395.448</v>
      </c>
      <c r="S141" s="21" t="n">
        <v>404.267</v>
      </c>
      <c r="T141" s="21" t="n">
        <v>382.169</v>
      </c>
      <c r="U141" s="21" t="n">
        <v>367.42</v>
      </c>
      <c r="V141" s="21" t="n">
        <v>409.955</v>
      </c>
      <c r="W141" s="21" t="n">
        <v>458.89</v>
      </c>
      <c r="X141" s="21" t="n">
        <v>336.513</v>
      </c>
      <c r="Y141" s="21" t="n">
        <v>351.501</v>
      </c>
      <c r="Z141" s="21" t="n">
        <v>359.301</v>
      </c>
      <c r="AA141" s="21" t="n">
        <v>376.938</v>
      </c>
      <c r="AB141" s="21" t="n">
        <v>519.096</v>
      </c>
      <c r="AC141" s="21" t="n">
        <v>447.876</v>
      </c>
      <c r="AD141" s="21" t="n">
        <v>431.424</v>
      </c>
      <c r="AE141" s="21" t="n">
        <v>346.157</v>
      </c>
      <c r="AF141" s="21" t="n">
        <v>411.634</v>
      </c>
      <c r="AG141" s="21" t="n">
        <v>275.294</v>
      </c>
      <c r="AH141" s="21" t="n">
        <v>205.938</v>
      </c>
      <c r="AI141" s="21" t="n">
        <v>383.551</v>
      </c>
      <c r="AJ141" s="21" t="n">
        <v>192.75</v>
      </c>
      <c r="AK141" s="21" t="n">
        <v>258.198</v>
      </c>
      <c r="AL141" s="21" t="n">
        <v>285.164</v>
      </c>
      <c r="AM141" s="21" t="n">
        <v>251.92</v>
      </c>
      <c r="AN141" s="21" t="n">
        <v>165.928</v>
      </c>
      <c r="AO141" s="21" t="n">
        <v>296.914</v>
      </c>
      <c r="AP141" s="21" t="n">
        <v>322.973</v>
      </c>
      <c r="AQ141" s="21" t="n">
        <v>188.256</v>
      </c>
      <c r="AR141" s="21" t="n"/>
      <c r="AS141" s="21" t="n"/>
      <c r="AT141" s="21" t="n">
        <v>315.498</v>
      </c>
      <c r="AU141" s="21" t="n">
        <v>197.681</v>
      </c>
      <c r="AV141" s="21" t="n">
        <v>322.369</v>
      </c>
      <c r="AW141" s="21" t="n">
        <v>296.962</v>
      </c>
      <c r="AX141" s="21" t="n">
        <v>226.446</v>
      </c>
      <c r="AY141" s="21" t="n">
        <v>380.833</v>
      </c>
      <c r="AZ141" s="21" t="n">
        <v>238</v>
      </c>
      <c r="BA141" s="21" t="n">
        <v>189.437</v>
      </c>
      <c r="BB141" s="21" t="n">
        <v>261.223</v>
      </c>
      <c r="BC141" s="21" t="n">
        <v>428.497</v>
      </c>
      <c r="BD141" s="21" t="n">
        <v>276.484</v>
      </c>
      <c r="BE141" s="21" t="n">
        <v>272.068</v>
      </c>
      <c r="BF141" s="21" t="n">
        <v>187.468</v>
      </c>
      <c r="BG141" s="21" t="n">
        <v>267.921</v>
      </c>
      <c r="BH141" s="21" t="n">
        <v>194.998</v>
      </c>
      <c r="BI141" s="21" t="n">
        <v>258.372</v>
      </c>
      <c r="BJ141" s="21" t="n">
        <v>270.454</v>
      </c>
      <c r="BK141" s="21" t="n">
        <v>194.652</v>
      </c>
      <c r="BL141" s="21" t="n">
        <v>367.507</v>
      </c>
      <c r="BM141" s="21" t="n">
        <v>413.359</v>
      </c>
      <c r="BN141" s="21" t="n">
        <v>425.232</v>
      </c>
      <c r="BO141" s="21" t="n">
        <v>394.366</v>
      </c>
      <c r="BP141" s="21" t="n">
        <v>217.274</v>
      </c>
      <c r="BQ141" s="21" t="n">
        <v>315.738</v>
      </c>
      <c r="BR141" s="21" t="n">
        <v>636.813</v>
      </c>
      <c r="BS141" s="21" t="n">
        <v>142.627</v>
      </c>
      <c r="BT141" s="21" t="n">
        <v>399.556</v>
      </c>
      <c r="BU141" s="21" t="n">
        <v>458.665</v>
      </c>
      <c r="BV141" s="21" t="n">
        <v>403.947</v>
      </c>
      <c r="BW141" s="21" t="n">
        <v>377.1</v>
      </c>
      <c r="BX141" s="21" t="n">
        <v>395.023</v>
      </c>
      <c r="BY141" s="21" t="n">
        <v>212.974</v>
      </c>
      <c r="BZ141" s="21" t="n">
        <v>234.716</v>
      </c>
      <c r="CA141" s="21" t="n">
        <v>220.671</v>
      </c>
      <c r="CB141" s="21" t="n">
        <v>251.674</v>
      </c>
      <c r="CC141" s="21" t="n">
        <v>189.654</v>
      </c>
      <c r="CD141" s="21" t="n">
        <v>264.698</v>
      </c>
      <c r="CE141" s="21" t="n">
        <v>200.993</v>
      </c>
      <c r="CF141" s="21" t="n">
        <v>244.807</v>
      </c>
      <c r="CG141" s="21" t="n">
        <v>237.834</v>
      </c>
      <c r="CH141" s="21" t="n">
        <v>183.727</v>
      </c>
      <c r="CI141" s="21" t="n">
        <v>243.155</v>
      </c>
      <c r="CJ141" s="21" t="n">
        <v>284.441</v>
      </c>
      <c r="CK141" s="21" t="n">
        <v>159.194</v>
      </c>
      <c r="CL141" s="21" t="n">
        <v>165.646</v>
      </c>
      <c r="CM141" s="21" t="n">
        <v>297.231</v>
      </c>
      <c r="CN141" s="21" t="n">
        <v>307.178</v>
      </c>
      <c r="CO141" s="21" t="n">
        <v>302.877</v>
      </c>
      <c r="CP141" s="21" t="n">
        <v>167.143</v>
      </c>
      <c r="CQ141" s="21" t="n">
        <v>283.37</v>
      </c>
      <c r="CR141" s="21" t="n">
        <v>324.528</v>
      </c>
      <c r="CS141" s="21" t="n">
        <v>278.202</v>
      </c>
      <c r="CT141" s="21" t="n">
        <v>228.786</v>
      </c>
      <c r="CU141" s="21" t="n">
        <v>199.131</v>
      </c>
      <c r="CV141" s="21" t="n">
        <v>312.692</v>
      </c>
      <c r="CW141" s="21" t="n">
        <v>263.581</v>
      </c>
      <c r="CX141" s="21" t="n">
        <v>293.754</v>
      </c>
      <c r="CY141" s="21" t="n">
        <v>461.771</v>
      </c>
      <c r="CZ141" s="21" t="n">
        <v>176.093</v>
      </c>
      <c r="DA141" s="21" t="n">
        <v>225.722</v>
      </c>
      <c r="DB141" s="21" t="n">
        <v>195.191</v>
      </c>
      <c r="DC141" s="21" t="n">
        <v>295.777</v>
      </c>
      <c r="DD141" s="21" t="n">
        <v>334.711</v>
      </c>
      <c r="DE141" s="21" t="n">
        <v>211.665</v>
      </c>
      <c r="DF141" s="21" t="n">
        <v>316.813</v>
      </c>
      <c r="DG141" s="21" t="n">
        <v>331.591</v>
      </c>
      <c r="DH141" s="21" t="n">
        <v>198.894</v>
      </c>
      <c r="DI141" s="21" t="n">
        <v>208.682</v>
      </c>
      <c r="DJ141" s="21" t="n">
        <v>193.532</v>
      </c>
      <c r="DK141" s="21" t="n">
        <v>417.542</v>
      </c>
      <c r="DL141" s="21" t="n">
        <v>227.806</v>
      </c>
      <c r="DM141" s="21" t="n">
        <v>176.431</v>
      </c>
      <c r="DN141" s="21" t="n">
        <v>162.716</v>
      </c>
      <c r="DO141" s="21" t="n">
        <v>397.868</v>
      </c>
      <c r="DP141" s="21" t="n">
        <v>246.172</v>
      </c>
      <c r="DQ141" s="21" t="n">
        <v>259.724</v>
      </c>
      <c r="DR141" s="21" t="n">
        <v>220.236</v>
      </c>
      <c r="DS141" s="21" t="n"/>
      <c r="DT141" s="21" t="n">
        <v>253.957</v>
      </c>
      <c r="DU141" s="21" t="n">
        <v>271.102</v>
      </c>
      <c r="DV141" s="21" t="n">
        <v>301.724</v>
      </c>
      <c r="DW141" s="21" t="n">
        <v>231.293</v>
      </c>
      <c r="DX141" s="21" t="n">
        <v>285.719</v>
      </c>
      <c r="DY141" s="21" t="n">
        <v>212.722</v>
      </c>
      <c r="DZ141" s="21" t="n">
        <v>223.719</v>
      </c>
      <c r="EA141" s="21" t="n">
        <v>207.636</v>
      </c>
      <c r="EB141" s="21" t="n">
        <v>179.388</v>
      </c>
      <c r="EC141" s="21" t="n">
        <v>459.143</v>
      </c>
      <c r="ED141" s="21" t="n">
        <v>223.159</v>
      </c>
      <c r="EE141" s="21" t="n">
        <v>244.037</v>
      </c>
      <c r="EF141" s="21" t="n">
        <v>255.75</v>
      </c>
      <c r="EG141" s="21" t="n">
        <v>360.225</v>
      </c>
      <c r="EH141" s="21" t="n">
        <v>430.611</v>
      </c>
      <c r="EI141" s="21" t="n">
        <v>448.997</v>
      </c>
      <c r="EJ141" s="21" t="n">
        <v>196.067</v>
      </c>
      <c r="EK141" s="21" t="n">
        <v>695.016</v>
      </c>
      <c r="EL141" s="21" t="n">
        <v>398.27</v>
      </c>
      <c r="EM141" s="21" t="n">
        <v>443.642</v>
      </c>
      <c r="EN141" s="21" t="n">
        <v>443.579</v>
      </c>
      <c r="EO141" s="21" t="n">
        <v>174.806</v>
      </c>
      <c r="EP141" s="21" t="n">
        <v>353.268</v>
      </c>
      <c r="EQ141" s="21" t="n">
        <v>297.115</v>
      </c>
      <c r="ER141" s="21" t="n">
        <v>458.38</v>
      </c>
      <c r="ES141" s="21" t="n">
        <v>528.436</v>
      </c>
      <c r="ET141" s="21" t="n">
        <v>411.433</v>
      </c>
      <c r="EU141" s="21" t="n">
        <v>300.729</v>
      </c>
      <c r="EV141" s="21" t="n">
        <v>310.057</v>
      </c>
      <c r="EW141" s="21" t="n">
        <v>266.448</v>
      </c>
      <c r="EX141" s="21" t="n">
        <v>334.591</v>
      </c>
      <c r="EY141" s="21" t="n">
        <v>765.482</v>
      </c>
      <c r="EZ141" s="21" t="n">
        <v>684.9880000000001</v>
      </c>
      <c r="FA141" s="21" t="n">
        <v>156.072</v>
      </c>
      <c r="FB141" s="21" t="n">
        <v>61.748</v>
      </c>
      <c r="FC141" s="21" t="n">
        <v>131.949</v>
      </c>
      <c r="FD141" s="21" t="n">
        <v>87.777</v>
      </c>
      <c r="FE141" s="21" t="n">
        <v>40.827</v>
      </c>
      <c r="FF141" s="21" t="n">
        <v>132.789</v>
      </c>
      <c r="FG141" s="21" t="n">
        <v>142.209</v>
      </c>
      <c r="FH141" s="21" t="n">
        <v>110.308</v>
      </c>
      <c r="FI141" s="21" t="n">
        <v>74.172</v>
      </c>
      <c r="FJ141" s="21" t="n"/>
      <c r="FK141" s="21" t="n">
        <v>85.54300000000001</v>
      </c>
      <c r="FL141" s="21" t="n">
        <v>87.872</v>
      </c>
      <c r="FM141" s="21" t="n">
        <v>114.511</v>
      </c>
      <c r="FN141" s="21" t="n">
        <v>76.432</v>
      </c>
      <c r="FO141" s="21" t="n">
        <v>55.121</v>
      </c>
      <c r="FP141" s="21" t="n">
        <v>39.44</v>
      </c>
      <c r="FQ141" s="21" t="n">
        <v>167.05</v>
      </c>
      <c r="FR141" s="21" t="n">
        <v>46.963</v>
      </c>
      <c r="FS141" s="21" t="n">
        <v>83.494</v>
      </c>
      <c r="FT141" s="21" t="n">
        <v>116.45</v>
      </c>
      <c r="FU141" s="21" t="n">
        <v>130.385</v>
      </c>
      <c r="FV141" s="21" t="n">
        <v>110.062</v>
      </c>
      <c r="FW141" s="21" t="n">
        <v>243.521</v>
      </c>
      <c r="FX141" s="21" t="n">
        <v>155.188</v>
      </c>
      <c r="FY141" s="21" t="n">
        <v>241.185</v>
      </c>
      <c r="FZ141" s="21" t="n">
        <v>145.36</v>
      </c>
      <c r="GA141" s="21" t="n"/>
      <c r="GB141" s="21" t="n"/>
      <c r="GC141" s="21" t="n">
        <v>344.981</v>
      </c>
      <c r="GD141" s="21" t="n">
        <v>196.254</v>
      </c>
      <c r="GE141" s="21" t="n"/>
      <c r="GF141" s="21" t="n">
        <v>136.752</v>
      </c>
      <c r="GG141" s="21" t="n">
        <v>133.087</v>
      </c>
      <c r="GH141" s="21" t="n">
        <v>135.873</v>
      </c>
      <c r="GI141" s="21" t="n">
        <v>95.74299999999999</v>
      </c>
      <c r="GJ141" s="21" t="n">
        <v>194.315</v>
      </c>
      <c r="GK141" s="21" t="n">
        <v>85.967</v>
      </c>
      <c r="GL141" s="21" t="n">
        <v>140.267</v>
      </c>
      <c r="GM141" s="21" t="n">
        <v>120.301</v>
      </c>
      <c r="GN141" s="21" t="n">
        <v>113.041</v>
      </c>
      <c r="GO141" s="21" t="n">
        <v>114.186</v>
      </c>
      <c r="GP141" s="21" t="n">
        <v>107.127</v>
      </c>
      <c r="GQ141" s="21" t="n">
        <v>110.963</v>
      </c>
      <c r="GR141" s="21" t="n">
        <v>76.92100000000001</v>
      </c>
      <c r="GS141" s="21" t="n">
        <v>117.226</v>
      </c>
      <c r="GT141" s="21" t="n">
        <v>108.664</v>
      </c>
      <c r="GU141" s="21" t="n">
        <v>151.979</v>
      </c>
      <c r="GV141" s="21" t="n">
        <v>160.331</v>
      </c>
      <c r="GW141" s="21" t="n">
        <v>163.295</v>
      </c>
      <c r="GX141" s="21" t="n">
        <v>139.65</v>
      </c>
      <c r="GY141" s="21" t="n">
        <v>121.64</v>
      </c>
      <c r="GZ141" s="21" t="n">
        <v>229.74</v>
      </c>
      <c r="HA141" s="21" t="n">
        <v>177.335</v>
      </c>
      <c r="HB141" s="21" t="n">
        <v>230.226</v>
      </c>
      <c r="HC141" s="21" t="n">
        <v>290.778</v>
      </c>
      <c r="HD141" s="21" t="n">
        <v>289.246</v>
      </c>
      <c r="HE141" s="21" t="n">
        <v>126.298</v>
      </c>
      <c r="HF141" s="21" t="n">
        <v>179.715</v>
      </c>
      <c r="HG141" s="21" t="n"/>
      <c r="HH141" s="21" t="n">
        <v>175.94</v>
      </c>
      <c r="HI141" s="21" t="n">
        <v>191.593</v>
      </c>
      <c r="HJ141" s="21" t="n"/>
      <c r="HK141" s="21" t="n">
        <v>184.58</v>
      </c>
      <c r="HL141" s="21" t="n">
        <v>113.099</v>
      </c>
      <c r="HM141" s="21" t="n">
        <v>167.369</v>
      </c>
      <c r="HN141" s="21" t="n">
        <v>362.487</v>
      </c>
      <c r="HO141" s="21" t="n">
        <v>359.738</v>
      </c>
      <c r="HP141" s="21" t="n">
        <v>352.048</v>
      </c>
      <c r="HQ141" s="21" t="n">
        <v>393.962</v>
      </c>
      <c r="HR141" s="21" t="n">
        <v>386.01</v>
      </c>
      <c r="HS141" s="21" t="n">
        <v>397.815</v>
      </c>
      <c r="HT141" s="21" t="n">
        <v>188.873</v>
      </c>
      <c r="HU141" s="21" t="n">
        <v>159.302</v>
      </c>
      <c r="HV141" s="21" t="n">
        <v>234.615</v>
      </c>
      <c r="HW141" s="21" t="n">
        <v>213.622</v>
      </c>
      <c r="HX141" s="21" t="n">
        <v>517.777</v>
      </c>
      <c r="HY141" s="21" t="n">
        <v>465.136</v>
      </c>
      <c r="HZ141" s="21" t="n"/>
      <c r="IA141" s="21" t="n">
        <v>395.484</v>
      </c>
      <c r="IB141" s="21" t="n">
        <v>314.151</v>
      </c>
      <c r="IC141" s="21" t="n">
        <v>848.231</v>
      </c>
      <c r="ID141" s="21" t="n">
        <v>218.867</v>
      </c>
      <c r="IE141" s="21" t="n">
        <v>206.948</v>
      </c>
      <c r="IF141" s="21" t="n">
        <v>237.623</v>
      </c>
      <c r="IG141" s="21" t="n">
        <v>297.431</v>
      </c>
      <c r="IH141" s="21" t="n"/>
      <c r="II141" s="21" t="n">
        <v>294.029</v>
      </c>
      <c r="IJ141" s="21" t="n">
        <v>309.736</v>
      </c>
      <c r="IK141" s="21" t="n">
        <v>149.771</v>
      </c>
      <c r="IL141" s="21" t="n"/>
      <c r="IM141" s="21" t="n"/>
      <c r="IN141" s="21" t="n">
        <v>58.88</v>
      </c>
      <c r="IO141" s="21" t="n">
        <v>370.492</v>
      </c>
      <c r="IP141" s="21" t="n"/>
      <c r="IQ141" s="21" t="n">
        <v>593.003</v>
      </c>
      <c r="IR141" s="21" t="n">
        <v>405.528</v>
      </c>
      <c r="IS141" s="21" t="n">
        <v>132.346</v>
      </c>
      <c r="IT141" s="21" t="n">
        <v>550.41</v>
      </c>
      <c r="IU141" s="21" t="n">
        <v>107.145</v>
      </c>
      <c r="IV141" s="21" t="n">
        <v>110.294</v>
      </c>
      <c r="IW141" s="21" t="n">
        <v>653.623</v>
      </c>
      <c r="IX141" s="21" t="n">
        <v>456.993</v>
      </c>
      <c r="IY141" s="21" t="n">
        <v>439.389</v>
      </c>
      <c r="IZ141" s="21" t="n">
        <v>656.707</v>
      </c>
      <c r="JA141" s="21" t="n">
        <v>220.071</v>
      </c>
      <c r="JB141" s="21" t="n">
        <v>281.459</v>
      </c>
      <c r="JC141" s="21" t="n">
        <v>110.022</v>
      </c>
      <c r="JD141" s="21" t="n">
        <v>459.659</v>
      </c>
      <c r="JE141" s="21" t="n"/>
      <c r="JF141" s="21" t="n">
        <v>1017.842</v>
      </c>
      <c r="JG141" s="21" t="n">
        <v>315.595</v>
      </c>
      <c r="JH141" s="21" t="n">
        <v>194.304</v>
      </c>
      <c r="JI141" s="21" t="n">
        <v>136.477</v>
      </c>
      <c r="JJ141" s="21" t="n">
        <v>145.186</v>
      </c>
      <c r="JK141" s="21" t="n">
        <v>124.345</v>
      </c>
      <c r="JL141" s="21" t="n">
        <v>96.56100000000001</v>
      </c>
      <c r="JM141" s="21" t="n">
        <v>610.794</v>
      </c>
      <c r="JN141" s="21" t="n">
        <v>109.716</v>
      </c>
      <c r="JO141" s="21" t="n">
        <v>85.93000000000001</v>
      </c>
      <c r="JP141" s="21" t="n">
        <v>49.16</v>
      </c>
      <c r="JQ141" s="21" t="n">
        <v>193.486</v>
      </c>
      <c r="JR141" s="21" t="n">
        <v>27.381</v>
      </c>
      <c r="JS141" s="21" t="n">
        <v>95.494</v>
      </c>
      <c r="JT141" s="21" t="n">
        <v>236.756</v>
      </c>
      <c r="JU141" s="21" t="n">
        <v>245.522</v>
      </c>
      <c r="JV141" s="21" t="n">
        <v>194.485</v>
      </c>
      <c r="JW141" s="21" t="n">
        <v>133.257</v>
      </c>
      <c r="JX141" s="21" t="n">
        <v>382.004</v>
      </c>
      <c r="JY141" s="21" t="n">
        <v>282.024</v>
      </c>
      <c r="JZ141" s="21" t="n">
        <v>416.184</v>
      </c>
      <c r="KA141" s="21" t="n">
        <v>128.897</v>
      </c>
      <c r="KB141" s="21" t="n">
        <v>180.417</v>
      </c>
      <c r="KC141" s="21" t="n">
        <v>86.51000000000001</v>
      </c>
      <c r="KD141" s="21" t="n">
        <v>87.374</v>
      </c>
      <c r="KE141" s="21" t="n">
        <v>72.944</v>
      </c>
      <c r="KF141" s="21" t="n"/>
      <c r="KG141" s="21" t="n">
        <v>29.847</v>
      </c>
      <c r="KH141" s="21" t="n">
        <v>134.623</v>
      </c>
      <c r="KI141" s="21" t="n"/>
      <c r="KJ141" s="21" t="n"/>
      <c r="KK141" s="21" t="n">
        <v>34.066</v>
      </c>
      <c r="KL141" s="21" t="n">
        <v>28.729</v>
      </c>
      <c r="KM141" s="21" t="n">
        <v>38.422</v>
      </c>
      <c r="KN141" s="21" t="n"/>
      <c r="KO141" s="21" t="n">
        <v>103.709</v>
      </c>
      <c r="KP141" s="21" t="n">
        <v>130.755</v>
      </c>
      <c r="KQ141" s="21" t="n">
        <v>211.008</v>
      </c>
      <c r="KR141" s="21" t="n">
        <v>167.545</v>
      </c>
      <c r="KS141" s="21" t="n">
        <v>495.287</v>
      </c>
      <c r="KT141" s="21" t="n">
        <v>240.311</v>
      </c>
      <c r="KU141" s="21" t="n">
        <v>250.401</v>
      </c>
      <c r="KV141" s="21" t="n">
        <v>422.123</v>
      </c>
      <c r="KW141" s="21" t="n">
        <v>307.785</v>
      </c>
      <c r="KX141" s="21" t="n">
        <v>257.113</v>
      </c>
      <c r="KY141" s="21" t="n">
        <v>98.52</v>
      </c>
      <c r="KZ141" s="21" t="n">
        <v>150.304</v>
      </c>
      <c r="LA141" s="21" t="n">
        <v>322.16</v>
      </c>
      <c r="LB141" s="21" t="n">
        <v>770.986</v>
      </c>
      <c r="LC141" s="21" t="n">
        <v>259.66</v>
      </c>
      <c r="LD141" s="21" t="n">
        <v>927.005</v>
      </c>
      <c r="LE141" s="21" t="n">
        <v>987.538</v>
      </c>
      <c r="LF141" s="21" t="n">
        <v>108.065</v>
      </c>
      <c r="LG141" s="21" t="n">
        <v>403.749</v>
      </c>
      <c r="LH141" s="21" t="n">
        <v>286.315</v>
      </c>
      <c r="LI141" s="21" t="n">
        <v>73.818</v>
      </c>
      <c r="LJ141" s="21" t="n">
        <v>284.648</v>
      </c>
      <c r="LK141" s="21" t="n">
        <v>441.457</v>
      </c>
      <c r="LL141" s="21" t="n">
        <v>534.6319999999999</v>
      </c>
      <c r="LM141" s="21" t="n">
        <v>69.208</v>
      </c>
      <c r="LN141" s="21" t="n">
        <v>96.255</v>
      </c>
      <c r="LO141" s="21" t="n">
        <v>47.61</v>
      </c>
      <c r="LP141" s="21" t="n">
        <v>164.107</v>
      </c>
      <c r="LQ141" s="21" t="n"/>
      <c r="LR141" s="21" t="n"/>
      <c r="LS141" s="21" t="n">
        <v>100.383</v>
      </c>
      <c r="LT141" s="21" t="n">
        <v>38.02</v>
      </c>
      <c r="LU141" s="21" t="n">
        <v>28.131</v>
      </c>
      <c r="LV141" s="21" t="n">
        <v>87.518</v>
      </c>
      <c r="LW141" s="21" t="n">
        <v>84.048</v>
      </c>
      <c r="LX141" s="21" t="n">
        <v>34.02</v>
      </c>
      <c r="LY141" s="21" t="n">
        <v>607.972</v>
      </c>
      <c r="LZ141" s="21" t="n">
        <v>111.297</v>
      </c>
      <c r="MA141" s="21" t="n">
        <v>750.6609999999999</v>
      </c>
      <c r="MB141" s="21" t="n">
        <v>366.612</v>
      </c>
      <c r="MC141" s="21" t="n">
        <v>303.801</v>
      </c>
      <c r="MD141" s="21" t="n">
        <v>185.707</v>
      </c>
      <c r="ME141" s="21" t="n">
        <v>126.652</v>
      </c>
      <c r="MF141" s="21" t="n">
        <v>196.741</v>
      </c>
      <c r="MG141" s="21" t="n">
        <v>374.865</v>
      </c>
      <c r="MH141" s="21" t="n">
        <v>228.729</v>
      </c>
      <c r="MI141" s="21" t="n">
        <v>612.732</v>
      </c>
      <c r="MJ141" s="21" t="n"/>
      <c r="MK141" s="21" t="n">
        <v>417.82</v>
      </c>
      <c r="ML141" s="21" t="n">
        <v>254.638</v>
      </c>
      <c r="MM141" s="21" t="n">
        <v>310.459</v>
      </c>
      <c r="MN141" s="21" t="n">
        <v>466.442</v>
      </c>
      <c r="MO141" s="21" t="n">
        <v>190.234</v>
      </c>
      <c r="MP141" s="21" t="n">
        <v>374.475</v>
      </c>
      <c r="MQ141" s="21" t="n">
        <v>88.47</v>
      </c>
      <c r="MR141" s="21" t="n">
        <v>202.213</v>
      </c>
      <c r="MS141" s="21" t="n"/>
      <c r="MT141" s="21" t="n">
        <v>322.524</v>
      </c>
      <c r="MU141" s="21" t="n">
        <v>338.938</v>
      </c>
      <c r="MV141" s="21" t="n">
        <v>332.564</v>
      </c>
      <c r="MW141" s="21" t="n">
        <v>338.041</v>
      </c>
      <c r="MX141" s="21" t="n">
        <v>301.226</v>
      </c>
      <c r="MY141" s="21" t="n">
        <v>289.136</v>
      </c>
      <c r="MZ141" s="21" t="n">
        <v>286.786</v>
      </c>
      <c r="NA141" s="21" t="n">
        <v>292.722</v>
      </c>
      <c r="NB141" s="21" t="n">
        <v>128.281</v>
      </c>
      <c r="NC141" s="21" t="n">
        <v>235.375</v>
      </c>
      <c r="ND141" s="21" t="n">
        <v>187.331</v>
      </c>
      <c r="NE141" s="21" t="n">
        <v>183.415</v>
      </c>
      <c r="NF141" s="21" t="n">
        <v>168.589</v>
      </c>
      <c r="NG141" s="21" t="n">
        <v>166.928</v>
      </c>
      <c r="NH141" s="21" t="n">
        <v>330.792</v>
      </c>
      <c r="NI141" s="21" t="n">
        <v>124.154</v>
      </c>
      <c r="NJ141" s="21" t="n">
        <v>50.92</v>
      </c>
      <c r="NK141" s="21" t="n">
        <v>128.58</v>
      </c>
      <c r="NL141" s="21" t="n">
        <v>329.351</v>
      </c>
      <c r="NM141" s="21" t="n">
        <v>370.006</v>
      </c>
      <c r="NN141" s="21" t="n">
        <v>108.685</v>
      </c>
      <c r="NO141" s="21" t="n">
        <v>34.46</v>
      </c>
      <c r="NP141" s="21" t="n">
        <v>297.579</v>
      </c>
      <c r="NQ141" s="21" t="n">
        <v>253.398</v>
      </c>
      <c r="NR141" s="21" t="n">
        <v>322.696</v>
      </c>
      <c r="NS141" s="21" t="n">
        <v>250.397</v>
      </c>
      <c r="NT141" s="21" t="n">
        <v>326.605</v>
      </c>
      <c r="NU141" s="21" t="n">
        <v>150.731</v>
      </c>
      <c r="NV141" s="21" t="n">
        <v>171.232</v>
      </c>
      <c r="NW141" s="21" t="n">
        <v>440.982</v>
      </c>
      <c r="NX141" s="21" t="n">
        <v>86.851</v>
      </c>
      <c r="NY141" s="21" t="n">
        <v>159.26</v>
      </c>
      <c r="NZ141" s="21" t="n">
        <v>449.74</v>
      </c>
      <c r="OA141" s="21" t="n">
        <v>433.29</v>
      </c>
      <c r="OB141" s="21" t="n">
        <v>446.989</v>
      </c>
      <c r="OC141" s="21" t="n">
        <v>416.372</v>
      </c>
      <c r="OD141" s="21" t="n">
        <v>447.267</v>
      </c>
      <c r="OE141" s="21" t="n">
        <v>132.313</v>
      </c>
      <c r="OF141" s="21" t="n">
        <v>457.262</v>
      </c>
      <c r="OG141" s="21" t="n">
        <v>283.954</v>
      </c>
      <c r="OH141" s="21" t="n">
        <v>33.371</v>
      </c>
      <c r="OI141" s="21" t="n">
        <v>163.701</v>
      </c>
      <c r="OJ141" s="21" t="n">
        <v>29.9</v>
      </c>
      <c r="OK141" s="21" t="n">
        <v>10</v>
      </c>
    </row>
    <row r="142">
      <c r="A142" s="22" t="n">
        <v>46266</v>
      </c>
      <c r="B142" s="21" t="n">
        <v>336.94</v>
      </c>
      <c r="C142" s="21" t="n">
        <v>1009.323</v>
      </c>
      <c r="D142" s="21" t="n">
        <v>347.662</v>
      </c>
      <c r="E142" s="21" t="n">
        <v>350.905</v>
      </c>
      <c r="F142" s="21" t="n">
        <v>321.758</v>
      </c>
      <c r="G142" s="21" t="n">
        <v>369.585</v>
      </c>
      <c r="H142" s="21" t="n">
        <v>292.743</v>
      </c>
      <c r="I142" s="21" t="n">
        <v>325.526</v>
      </c>
      <c r="J142" s="21" t="n">
        <v>285.768</v>
      </c>
      <c r="K142" s="21" t="n">
        <v>297.621</v>
      </c>
      <c r="L142" s="21" t="n">
        <v>202.336</v>
      </c>
      <c r="M142" s="21" t="n">
        <v>414.531</v>
      </c>
      <c r="N142" s="21" t="n">
        <v>249.52</v>
      </c>
      <c r="O142" s="21" t="n">
        <v>450.016</v>
      </c>
      <c r="P142" s="21" t="n">
        <v>488.786</v>
      </c>
      <c r="Q142" s="21" t="n">
        <v>247.036</v>
      </c>
      <c r="R142" s="21" t="n">
        <v>392.962</v>
      </c>
      <c r="S142" s="21" t="n">
        <v>401.822</v>
      </c>
      <c r="T142" s="21" t="n">
        <v>377.653</v>
      </c>
      <c r="U142" s="21" t="n">
        <v>369.137</v>
      </c>
      <c r="V142" s="21" t="n">
        <v>417.766</v>
      </c>
      <c r="W142" s="21" t="n">
        <v>450.069</v>
      </c>
      <c r="X142" s="21" t="n">
        <v>347.884</v>
      </c>
      <c r="Y142" s="21" t="n">
        <v>350.696</v>
      </c>
      <c r="Z142" s="21" t="n">
        <v>358.198</v>
      </c>
      <c r="AA142" s="21" t="n">
        <v>374.573</v>
      </c>
      <c r="AB142" s="21" t="n">
        <v>512.606</v>
      </c>
      <c r="AC142" s="21" t="n">
        <v>442.303</v>
      </c>
      <c r="AD142" s="21" t="n">
        <v>415.595</v>
      </c>
      <c r="AE142" s="21" t="n">
        <v>343.558</v>
      </c>
      <c r="AF142" s="21" t="n">
        <v>411.653</v>
      </c>
      <c r="AG142" s="21" t="n">
        <v>275.371</v>
      </c>
      <c r="AH142" s="21" t="n">
        <v>208.542</v>
      </c>
      <c r="AI142" s="21" t="n">
        <v>390.197</v>
      </c>
      <c r="AJ142" s="21" t="n">
        <v>194.526</v>
      </c>
      <c r="AK142" s="21" t="n">
        <v>261.728</v>
      </c>
      <c r="AL142" s="21" t="n">
        <v>289.005</v>
      </c>
      <c r="AM142" s="21" t="n">
        <v>250.483</v>
      </c>
      <c r="AN142" s="21" t="n">
        <v>162.061</v>
      </c>
      <c r="AO142" s="21" t="n">
        <v>297.716</v>
      </c>
      <c r="AP142" s="21" t="n">
        <v>315.297</v>
      </c>
      <c r="AQ142" s="21" t="n">
        <v>187.718</v>
      </c>
      <c r="AR142" s="21" t="n"/>
      <c r="AS142" s="21" t="n"/>
      <c r="AT142" s="21" t="n">
        <v>316.712</v>
      </c>
      <c r="AU142" s="21" t="n">
        <v>199.062</v>
      </c>
      <c r="AV142" s="21" t="n">
        <v>331.168</v>
      </c>
      <c r="AW142" s="21" t="n">
        <v>297.426</v>
      </c>
      <c r="AX142" s="21" t="n">
        <v>224.751</v>
      </c>
      <c r="AY142" s="21" t="n">
        <v>381.201</v>
      </c>
      <c r="AZ142" s="21" t="n">
        <v>238.173</v>
      </c>
      <c r="BA142" s="21" t="n">
        <v>189.67</v>
      </c>
      <c r="BB142" s="21" t="n">
        <v>262.878</v>
      </c>
      <c r="BC142" s="21" t="n">
        <v>426.359</v>
      </c>
      <c r="BD142" s="21" t="n">
        <v>279.288</v>
      </c>
      <c r="BE142" s="21" t="n">
        <v>269.63</v>
      </c>
      <c r="BF142" s="21" t="n">
        <v>183.75</v>
      </c>
      <c r="BG142" s="21" t="n">
        <v>262.195</v>
      </c>
      <c r="BH142" s="21" t="n">
        <v>191.249</v>
      </c>
      <c r="BI142" s="21" t="n">
        <v>258.778</v>
      </c>
      <c r="BJ142" s="21" t="n">
        <v>267.848</v>
      </c>
      <c r="BK142" s="21" t="n">
        <v>192.455</v>
      </c>
      <c r="BL142" s="21" t="n">
        <v>371.317</v>
      </c>
      <c r="BM142" s="21" t="n">
        <v>418.065</v>
      </c>
      <c r="BN142" s="21" t="n">
        <v>433.87</v>
      </c>
      <c r="BO142" s="21" t="n">
        <v>388.891</v>
      </c>
      <c r="BP142" s="21" t="n">
        <v>219.443</v>
      </c>
      <c r="BQ142" s="21" t="n">
        <v>316.085</v>
      </c>
      <c r="BR142" s="21" t="n">
        <v>634.819</v>
      </c>
      <c r="BS142" s="21" t="n">
        <v>147.779</v>
      </c>
      <c r="BT142" s="21" t="n">
        <v>400.183</v>
      </c>
      <c r="BU142" s="21" t="n">
        <v>453.383</v>
      </c>
      <c r="BV142" s="21" t="n">
        <v>421.344</v>
      </c>
      <c r="BW142" s="21" t="n">
        <v>381.448</v>
      </c>
      <c r="BX142" s="21" t="n">
        <v>393.931</v>
      </c>
      <c r="BY142" s="21" t="n">
        <v>214.361</v>
      </c>
      <c r="BZ142" s="21" t="n">
        <v>235.069</v>
      </c>
      <c r="CA142" s="21" t="n">
        <v>220.045</v>
      </c>
      <c r="CB142" s="21" t="n">
        <v>252.156</v>
      </c>
      <c r="CC142" s="21" t="n">
        <v>191.463</v>
      </c>
      <c r="CD142" s="21" t="n">
        <v>267.044</v>
      </c>
      <c r="CE142" s="21" t="n">
        <v>202.923</v>
      </c>
      <c r="CF142" s="21" t="n">
        <v>245.605</v>
      </c>
      <c r="CG142" s="21" t="n">
        <v>240.041</v>
      </c>
      <c r="CH142" s="21" t="n">
        <v>186.194</v>
      </c>
      <c r="CI142" s="21" t="n">
        <v>246.394</v>
      </c>
      <c r="CJ142" s="21" t="n">
        <v>280.46</v>
      </c>
      <c r="CK142" s="21" t="n">
        <v>161.405</v>
      </c>
      <c r="CL142" s="21" t="n">
        <v>165.733</v>
      </c>
      <c r="CM142" s="21" t="n">
        <v>299.101</v>
      </c>
      <c r="CN142" s="21" t="n">
        <v>311.87</v>
      </c>
      <c r="CO142" s="21" t="n">
        <v>292.761</v>
      </c>
      <c r="CP142" s="21" t="n">
        <v>165.004</v>
      </c>
      <c r="CQ142" s="21" t="n">
        <v>282.638</v>
      </c>
      <c r="CR142" s="21" t="n">
        <v>324.89</v>
      </c>
      <c r="CS142" s="21" t="n">
        <v>277.928</v>
      </c>
      <c r="CT142" s="21" t="n">
        <v>229.543</v>
      </c>
      <c r="CU142" s="21" t="n">
        <v>197.673</v>
      </c>
      <c r="CV142" s="21" t="n">
        <v>313.481</v>
      </c>
      <c r="CW142" s="21" t="n">
        <v>258.676</v>
      </c>
      <c r="CX142" s="21" t="n">
        <v>286.245</v>
      </c>
      <c r="CY142" s="21" t="n">
        <v>458.676</v>
      </c>
      <c r="CZ142" s="21" t="n">
        <v>178.408</v>
      </c>
      <c r="DA142" s="21" t="n">
        <v>227.953</v>
      </c>
      <c r="DB142" s="21" t="n">
        <v>197.435</v>
      </c>
      <c r="DC142" s="21" t="n">
        <v>294.6</v>
      </c>
      <c r="DD142" s="21" t="n">
        <v>329.599</v>
      </c>
      <c r="DE142" s="21" t="n">
        <v>211.179</v>
      </c>
      <c r="DF142" s="21" t="n">
        <v>313.908</v>
      </c>
      <c r="DG142" s="21" t="n">
        <v>327.891</v>
      </c>
      <c r="DH142" s="21" t="n">
        <v>195.4</v>
      </c>
      <c r="DI142" s="21" t="n">
        <v>204.061</v>
      </c>
      <c r="DJ142" s="21" t="n">
        <v>191.644</v>
      </c>
      <c r="DK142" s="21" t="n">
        <v>414.477</v>
      </c>
      <c r="DL142" s="21" t="n">
        <v>225.624</v>
      </c>
      <c r="DM142" s="21" t="n">
        <v>177.306</v>
      </c>
      <c r="DN142" s="21" t="n">
        <v>163.369</v>
      </c>
      <c r="DO142" s="21" t="n">
        <v>398.783</v>
      </c>
      <c r="DP142" s="21" t="n">
        <v>246.898</v>
      </c>
      <c r="DQ142" s="21" t="n">
        <v>260.209</v>
      </c>
      <c r="DR142" s="21" t="n">
        <v>221.297</v>
      </c>
      <c r="DS142" s="21" t="n">
        <v>209.064</v>
      </c>
      <c r="DT142" s="21" t="n">
        <v>253.425</v>
      </c>
      <c r="DU142" s="21" t="n">
        <v>271.266</v>
      </c>
      <c r="DV142" s="21" t="n">
        <v>301.738</v>
      </c>
      <c r="DW142" s="21" t="n">
        <v>231.498</v>
      </c>
      <c r="DX142" s="21" t="n">
        <v>285.628</v>
      </c>
      <c r="DY142" s="21" t="n">
        <v>212.219</v>
      </c>
      <c r="DZ142" s="21" t="n">
        <v>223.152</v>
      </c>
      <c r="EA142" s="21" t="n">
        <v>206.815</v>
      </c>
      <c r="EB142" s="21" t="n">
        <v>180.032</v>
      </c>
      <c r="EC142" s="21" t="n">
        <v>458.827</v>
      </c>
      <c r="ED142" s="21" t="n">
        <v>222.746</v>
      </c>
      <c r="EE142" s="21" t="n">
        <v>243.929</v>
      </c>
      <c r="EF142" s="21" t="n">
        <v>255.516</v>
      </c>
      <c r="EG142" s="21" t="n">
        <v>361.392</v>
      </c>
      <c r="EH142" s="21" t="n">
        <v>432.092</v>
      </c>
      <c r="EI142" s="21" t="n">
        <v>450.402</v>
      </c>
      <c r="EJ142" s="21" t="n">
        <v>195.407</v>
      </c>
      <c r="EK142" s="21" t="n">
        <v>701.061</v>
      </c>
      <c r="EL142" s="21" t="n">
        <v>396.043</v>
      </c>
      <c r="EM142" s="21" t="n">
        <v>445.381</v>
      </c>
      <c r="EN142" s="21" t="n">
        <v>445.31</v>
      </c>
      <c r="EO142" s="21" t="n">
        <v>175.093</v>
      </c>
      <c r="EP142" s="21" t="n">
        <v>354.21</v>
      </c>
      <c r="EQ142" s="21" t="n">
        <v>297.942</v>
      </c>
      <c r="ER142" s="21" t="n">
        <v>505.15</v>
      </c>
      <c r="ES142" s="21" t="n">
        <v>606.829</v>
      </c>
      <c r="ET142" s="21" t="n">
        <v>413.767</v>
      </c>
      <c r="EU142" s="21" t="n">
        <v>300.013</v>
      </c>
      <c r="EV142" s="21" t="n">
        <v>309.852</v>
      </c>
      <c r="EW142" s="21" t="n">
        <v>264.25</v>
      </c>
      <c r="EX142" s="21" t="n">
        <v>335.364</v>
      </c>
      <c r="EY142" s="21" t="n">
        <v>767.0410000000001</v>
      </c>
      <c r="EZ142" s="21" t="n">
        <v>686.972</v>
      </c>
      <c r="FA142" s="21" t="n">
        <v>156.418</v>
      </c>
      <c r="FB142" s="21" t="n">
        <v>60.625</v>
      </c>
      <c r="FC142" s="21" t="n">
        <v>131.098</v>
      </c>
      <c r="FD142" s="21" t="n">
        <v>86.491</v>
      </c>
      <c r="FE142" s="21" t="n">
        <v>39.766</v>
      </c>
      <c r="FF142" s="21" t="n">
        <v>131.707</v>
      </c>
      <c r="FG142" s="21" t="n">
        <v>139.145</v>
      </c>
      <c r="FH142" s="21" t="n">
        <v>110.149</v>
      </c>
      <c r="FI142" s="21" t="n">
        <v>74.205</v>
      </c>
      <c r="FJ142" s="21" t="n"/>
      <c r="FK142" s="21" t="n">
        <v>85.122</v>
      </c>
      <c r="FL142" s="21" t="n">
        <v>87.762</v>
      </c>
      <c r="FM142" s="21" t="n">
        <v>114.679</v>
      </c>
      <c r="FN142" s="21" t="n">
        <v>75.91800000000001</v>
      </c>
      <c r="FO142" s="21" t="n">
        <v>56.284</v>
      </c>
      <c r="FP142" s="21" t="n">
        <v>40.257</v>
      </c>
      <c r="FQ142" s="21" t="n">
        <v>170.693</v>
      </c>
      <c r="FR142" s="21" t="n">
        <v>47.384</v>
      </c>
      <c r="FS142" s="21" t="n">
        <v>85.97</v>
      </c>
      <c r="FT142" s="21" t="n">
        <v>117.025</v>
      </c>
      <c r="FU142" s="21" t="n">
        <v>130.734</v>
      </c>
      <c r="FV142" s="21" t="n">
        <v>110.761</v>
      </c>
      <c r="FW142" s="21" t="n">
        <v>243.245</v>
      </c>
      <c r="FX142" s="21" t="n">
        <v>154.917</v>
      </c>
      <c r="FY142" s="21" t="n">
        <v>237.791</v>
      </c>
      <c r="FZ142" s="21" t="n">
        <v>146.178</v>
      </c>
      <c r="GA142" s="21" t="n"/>
      <c r="GB142" s="21" t="n"/>
      <c r="GC142" s="21" t="n">
        <v>348.899</v>
      </c>
      <c r="GD142" s="21" t="n">
        <v>192.01</v>
      </c>
      <c r="GE142" s="21" t="n"/>
      <c r="GF142" s="21" t="n">
        <v>140.043</v>
      </c>
      <c r="GG142" s="21" t="n">
        <v>136.987</v>
      </c>
      <c r="GH142" s="21" t="n">
        <v>138.202</v>
      </c>
      <c r="GI142" s="21" t="n">
        <v>99.39700000000001</v>
      </c>
      <c r="GJ142" s="21" t="n">
        <v>194.743</v>
      </c>
      <c r="GK142" s="21" t="n">
        <v>88.047</v>
      </c>
      <c r="GL142" s="21" t="n">
        <v>141.458</v>
      </c>
      <c r="GM142" s="21" t="n">
        <v>129.74</v>
      </c>
      <c r="GN142" s="21" t="n">
        <v>115.702</v>
      </c>
      <c r="GO142" s="21" t="n">
        <v>116.447</v>
      </c>
      <c r="GP142" s="21" t="n">
        <v>110.814</v>
      </c>
      <c r="GQ142" s="21" t="n">
        <v>111.562</v>
      </c>
      <c r="GR142" s="21" t="n">
        <v>79.467</v>
      </c>
      <c r="GS142" s="21" t="n">
        <v>117.375</v>
      </c>
      <c r="GT142" s="21" t="n">
        <v>113.463</v>
      </c>
      <c r="GU142" s="21" t="n">
        <v>154.506</v>
      </c>
      <c r="GV142" s="21" t="n">
        <v>161.769</v>
      </c>
      <c r="GW142" s="21" t="n">
        <v>167.708</v>
      </c>
      <c r="GX142" s="21" t="n">
        <v>142.099</v>
      </c>
      <c r="GY142" s="21" t="n">
        <v>125.13</v>
      </c>
      <c r="GZ142" s="21" t="n">
        <v>236.951</v>
      </c>
      <c r="HA142" s="21" t="n">
        <v>178.077</v>
      </c>
      <c r="HB142" s="21" t="n">
        <v>239.04</v>
      </c>
      <c r="HC142" s="21" t="n">
        <v>295.862</v>
      </c>
      <c r="HD142" s="21" t="n">
        <v>294.261</v>
      </c>
      <c r="HE142" s="21" t="n">
        <v>126.325</v>
      </c>
      <c r="HF142" s="21" t="n">
        <v>179.859</v>
      </c>
      <c r="HG142" s="21" t="n"/>
      <c r="HH142" s="21" t="n">
        <v>176.335</v>
      </c>
      <c r="HI142" s="21" t="n">
        <v>191.718</v>
      </c>
      <c r="HJ142" s="21" t="n"/>
      <c r="HK142" s="21" t="n">
        <v>184.395</v>
      </c>
      <c r="HL142" s="21" t="n">
        <v>113.418</v>
      </c>
      <c r="HM142" s="21" t="n">
        <v>167.498</v>
      </c>
      <c r="HN142" s="21" t="n">
        <v>386.707</v>
      </c>
      <c r="HO142" s="21" t="n">
        <v>383.182</v>
      </c>
      <c r="HP142" s="21" t="n">
        <v>375.627</v>
      </c>
      <c r="HQ142" s="21" t="n">
        <v>416.616</v>
      </c>
      <c r="HR142" s="21" t="n">
        <v>407.71</v>
      </c>
      <c r="HS142" s="21" t="n">
        <v>445.019</v>
      </c>
      <c r="HT142" s="21" t="n">
        <v>189.584</v>
      </c>
      <c r="HU142" s="21" t="n">
        <v>159.985</v>
      </c>
      <c r="HV142" s="21" t="n">
        <v>234.871</v>
      </c>
      <c r="HW142" s="21" t="n">
        <v>212.139</v>
      </c>
      <c r="HX142" s="21" t="n">
        <v>522.883</v>
      </c>
      <c r="HY142" s="21" t="n">
        <v>468.491</v>
      </c>
      <c r="HZ142" s="21" t="n">
        <v>461.988</v>
      </c>
      <c r="IA142" s="21" t="n">
        <v>398.008</v>
      </c>
      <c r="IB142" s="21" t="n">
        <v>316.108</v>
      </c>
      <c r="IC142" s="21" t="n">
        <v>846.102</v>
      </c>
      <c r="ID142" s="21" t="n">
        <v>218.111</v>
      </c>
      <c r="IE142" s="21" t="n">
        <v>206.953</v>
      </c>
      <c r="IF142" s="21" t="n">
        <v>235.603</v>
      </c>
      <c r="IG142" s="21" t="n">
        <v>297.871</v>
      </c>
      <c r="IH142" s="21" t="n"/>
      <c r="II142" s="21" t="n">
        <v>299.568</v>
      </c>
      <c r="IJ142" s="21" t="n">
        <v>315.948</v>
      </c>
      <c r="IK142" s="21" t="n">
        <v>151.083</v>
      </c>
      <c r="IL142" s="21" t="n"/>
      <c r="IM142" s="21" t="n"/>
      <c r="IN142" s="21" t="n">
        <v>56.538</v>
      </c>
      <c r="IO142" s="21" t="n">
        <v>378.477</v>
      </c>
      <c r="IP142" s="21" t="n"/>
      <c r="IQ142" s="21" t="n">
        <v>593.651</v>
      </c>
      <c r="IR142" s="21" t="n">
        <v>402.832</v>
      </c>
      <c r="IS142" s="21" t="n">
        <v>131.324</v>
      </c>
      <c r="IT142" s="21" t="n">
        <v>543.556</v>
      </c>
      <c r="IU142" s="21" t="n">
        <v>107.607</v>
      </c>
      <c r="IV142" s="21" t="n">
        <v>110.727</v>
      </c>
      <c r="IW142" s="21" t="n">
        <v>655.37</v>
      </c>
      <c r="IX142" s="21" t="n">
        <v>457.48</v>
      </c>
      <c r="IY142" s="21" t="n">
        <v>439.448</v>
      </c>
      <c r="IZ142" s="21" t="n">
        <v>659.8339999999999</v>
      </c>
      <c r="JA142" s="21" t="n">
        <v>220.148</v>
      </c>
      <c r="JB142" s="21" t="n"/>
      <c r="JC142" s="21" t="n">
        <v>110.72</v>
      </c>
      <c r="JD142" s="21" t="n">
        <v>462.98</v>
      </c>
      <c r="JE142" s="21" t="n">
        <v>441.131</v>
      </c>
      <c r="JF142" s="21" t="n">
        <v>1031.759</v>
      </c>
      <c r="JG142" s="21" t="n">
        <v>317.045</v>
      </c>
      <c r="JH142" s="21" t="n">
        <v>194.269</v>
      </c>
      <c r="JI142" s="21" t="n">
        <v>136.151</v>
      </c>
      <c r="JJ142" s="21" t="n">
        <v>145.854</v>
      </c>
      <c r="JK142" s="21" t="n">
        <v>124.168</v>
      </c>
      <c r="JL142" s="21" t="n">
        <v>95.693</v>
      </c>
      <c r="JM142" s="21" t="n">
        <v>613.182</v>
      </c>
      <c r="JN142" s="21" t="n">
        <v>115.644</v>
      </c>
      <c r="JO142" s="21" t="n">
        <v>83.75700000000001</v>
      </c>
      <c r="JP142" s="21" t="n">
        <v>42.912</v>
      </c>
      <c r="JQ142" s="21" t="n">
        <v>193.891</v>
      </c>
      <c r="JR142" s="21" t="n">
        <v>27.758</v>
      </c>
      <c r="JS142" s="21" t="n">
        <v>95.747</v>
      </c>
      <c r="JT142" s="21" t="n">
        <v>235.799</v>
      </c>
      <c r="JU142" s="21" t="n">
        <v>244.872</v>
      </c>
      <c r="JV142" s="21" t="n">
        <v>194.44</v>
      </c>
      <c r="JW142" s="21" t="n">
        <v>132.164</v>
      </c>
      <c r="JX142" s="21" t="n">
        <v>379.872</v>
      </c>
      <c r="JY142" s="21" t="n">
        <v>278.694</v>
      </c>
      <c r="JZ142" s="21" t="n">
        <v>417.438</v>
      </c>
      <c r="KA142" s="21" t="n">
        <v>129.449</v>
      </c>
      <c r="KB142" s="21" t="n">
        <v>182.053</v>
      </c>
      <c r="KC142" s="21" t="n">
        <v>86.379</v>
      </c>
      <c r="KD142" s="21" t="n">
        <v>87.003</v>
      </c>
      <c r="KE142" s="21" t="n">
        <v>72.90300000000001</v>
      </c>
      <c r="KF142" s="21" t="n"/>
      <c r="KG142" s="21" t="n">
        <v>29.835</v>
      </c>
      <c r="KH142" s="21" t="n">
        <v>133.708</v>
      </c>
      <c r="KI142" s="21" t="n"/>
      <c r="KJ142" s="21" t="n"/>
      <c r="KK142" s="21" t="n">
        <v>35.413</v>
      </c>
      <c r="KL142" s="21" t="n">
        <v>30.084</v>
      </c>
      <c r="KM142" s="21" t="n">
        <v>40.511</v>
      </c>
      <c r="KN142" s="21" t="n"/>
      <c r="KO142" s="21" t="n">
        <v>103.377</v>
      </c>
      <c r="KP142" s="21" t="n">
        <v>132.068</v>
      </c>
      <c r="KQ142" s="21" t="n">
        <v>212.15</v>
      </c>
      <c r="KR142" s="21" t="n">
        <v>167.926</v>
      </c>
      <c r="KS142" s="21" t="n">
        <v>498.583</v>
      </c>
      <c r="KT142" s="21" t="n">
        <v>238.383</v>
      </c>
      <c r="KU142" s="21" t="n">
        <v>269.399</v>
      </c>
      <c r="KV142" s="21" t="n">
        <v>425.309</v>
      </c>
      <c r="KW142" s="21" t="n">
        <v>314.589</v>
      </c>
      <c r="KX142" s="21" t="n">
        <v>267.183</v>
      </c>
      <c r="KY142" s="21" t="n">
        <v>99.06699999999999</v>
      </c>
      <c r="KZ142" s="21" t="n">
        <v>150.903</v>
      </c>
      <c r="LA142" s="21" t="n">
        <v>326.054</v>
      </c>
      <c r="LB142" s="21" t="n">
        <v>772.1950000000001</v>
      </c>
      <c r="LC142" s="21" t="n">
        <v>259.423</v>
      </c>
      <c r="LD142" s="21" t="n">
        <v>938.353</v>
      </c>
      <c r="LE142" s="21" t="n">
        <v>1003.724</v>
      </c>
      <c r="LF142" s="21" t="n">
        <v>108.654</v>
      </c>
      <c r="LG142" s="21" t="n">
        <v>407.335</v>
      </c>
      <c r="LH142" s="21" t="n">
        <v>286.916</v>
      </c>
      <c r="LI142" s="21" t="n">
        <v>73.634</v>
      </c>
      <c r="LJ142" s="21" t="n">
        <v>284.889</v>
      </c>
      <c r="LK142" s="21" t="n">
        <v>441.457</v>
      </c>
      <c r="LL142" s="21" t="n">
        <v>540.51</v>
      </c>
      <c r="LM142" s="21" t="n">
        <v>69.03</v>
      </c>
      <c r="LN142" s="21" t="n">
        <v>96.20099999999999</v>
      </c>
      <c r="LO142" s="21" t="n">
        <v>47.602</v>
      </c>
      <c r="LP142" s="21" t="n">
        <v>163.316</v>
      </c>
      <c r="LQ142" s="21" t="n"/>
      <c r="LR142" s="21" t="n"/>
      <c r="LS142" s="21" t="n">
        <v>99.946</v>
      </c>
      <c r="LT142" s="21" t="n">
        <v>38.549</v>
      </c>
      <c r="LU142" s="21" t="n">
        <v>28.234</v>
      </c>
      <c r="LV142" s="21" t="n">
        <v>86.372</v>
      </c>
      <c r="LW142" s="21" t="n">
        <v>84.07299999999999</v>
      </c>
      <c r="LX142" s="21" t="n">
        <v>34.164</v>
      </c>
      <c r="LY142" s="21" t="n">
        <v>610.165</v>
      </c>
      <c r="LZ142" s="21" t="n">
        <v>112.108</v>
      </c>
      <c r="MA142" s="21" t="n">
        <v>756.675</v>
      </c>
      <c r="MB142" s="21" t="n">
        <v>368.574</v>
      </c>
      <c r="MC142" s="21" t="n">
        <v>304.692</v>
      </c>
      <c r="MD142" s="21" t="n">
        <v>185.629</v>
      </c>
      <c r="ME142" s="21" t="n">
        <v>127.703</v>
      </c>
      <c r="MF142" s="21" t="n">
        <v>195.05</v>
      </c>
      <c r="MG142" s="21" t="n">
        <v>376.541</v>
      </c>
      <c r="MH142" s="21" t="n">
        <v>229.752</v>
      </c>
      <c r="MI142" s="21" t="n">
        <v>614.498</v>
      </c>
      <c r="MJ142" s="21" t="n"/>
      <c r="MK142" s="21" t="n">
        <v>418.227</v>
      </c>
      <c r="ML142" s="21" t="n">
        <v>255.882</v>
      </c>
      <c r="MM142" s="21" t="n">
        <v>313.286</v>
      </c>
      <c r="MN142" s="21" t="n">
        <v>469.761</v>
      </c>
      <c r="MO142" s="21" t="n">
        <v>195.351</v>
      </c>
      <c r="MP142" s="21" t="n">
        <v>373.272</v>
      </c>
      <c r="MQ142" s="21" t="n">
        <v>89.35899999999999</v>
      </c>
      <c r="MR142" s="21" t="n">
        <v>207.761</v>
      </c>
      <c r="MS142" s="21" t="n"/>
      <c r="MT142" s="21" t="n">
        <v>324.55</v>
      </c>
      <c r="MU142" s="21" t="n">
        <v>340.073</v>
      </c>
      <c r="MV142" s="21" t="n">
        <v>334.742</v>
      </c>
      <c r="MW142" s="21" t="n">
        <v>339.287</v>
      </c>
      <c r="MX142" s="21" t="n">
        <v>303.386</v>
      </c>
      <c r="MY142" s="21" t="n">
        <v>291.651</v>
      </c>
      <c r="MZ142" s="21" t="n">
        <v>287.899</v>
      </c>
      <c r="NA142" s="21" t="n">
        <v>293.952</v>
      </c>
      <c r="NB142" s="21" t="n">
        <v>131.675</v>
      </c>
      <c r="NC142" s="21" t="n">
        <v>237.848</v>
      </c>
      <c r="ND142" s="21" t="n">
        <v>190.303</v>
      </c>
      <c r="NE142" s="21" t="n">
        <v>186.433</v>
      </c>
      <c r="NF142" s="21" t="n">
        <v>169.319</v>
      </c>
      <c r="NG142" s="21" t="n">
        <v>167.799</v>
      </c>
      <c r="NH142" s="21" t="n">
        <v>330.625</v>
      </c>
      <c r="NI142" s="21" t="n">
        <v>124.34</v>
      </c>
      <c r="NJ142" s="21" t="n">
        <v>51.226</v>
      </c>
      <c r="NK142" s="21" t="n">
        <v>129.052</v>
      </c>
      <c r="NL142" s="21" t="n">
        <v>341.573</v>
      </c>
      <c r="NM142" s="21" t="n">
        <v>395.263</v>
      </c>
      <c r="NN142" s="21" t="n">
        <v>108.736</v>
      </c>
      <c r="NO142" s="21" t="n">
        <v>34.674</v>
      </c>
      <c r="NP142" s="21" t="n">
        <v>301.796</v>
      </c>
      <c r="NQ142" s="21" t="n">
        <v>260.51</v>
      </c>
      <c r="NR142" s="21" t="n">
        <v>332.069</v>
      </c>
      <c r="NS142" s="21" t="n">
        <v>257.922</v>
      </c>
      <c r="NT142" s="21" t="n">
        <v>336.943</v>
      </c>
      <c r="NU142" s="21" t="n">
        <v>151.286</v>
      </c>
      <c r="NV142" s="21" t="n">
        <v>171.839</v>
      </c>
      <c r="NW142" s="21" t="n">
        <v>442.25</v>
      </c>
      <c r="NX142" s="21" t="n">
        <v>87.724</v>
      </c>
      <c r="NY142" s="21" t="n">
        <v>159.462</v>
      </c>
      <c r="NZ142" s="21" t="n">
        <v>451.293</v>
      </c>
      <c r="OA142" s="21" t="n">
        <v>434.668</v>
      </c>
      <c r="OB142" s="21" t="n">
        <v>448.545</v>
      </c>
      <c r="OC142" s="21" t="n">
        <v>417.722</v>
      </c>
      <c r="OD142" s="21" t="n">
        <v>448.539</v>
      </c>
      <c r="OE142" s="21" t="n">
        <v>132.343</v>
      </c>
      <c r="OF142" s="21" t="n">
        <v>459.562</v>
      </c>
      <c r="OG142" s="21" t="n">
        <v>284.899</v>
      </c>
      <c r="OH142" s="21" t="n">
        <v>33.486</v>
      </c>
      <c r="OI142" s="21" t="n">
        <v>163.202</v>
      </c>
      <c r="OJ142" s="21" t="n">
        <v>29.7</v>
      </c>
      <c r="OK142" s="21" t="n">
        <v>9.9</v>
      </c>
    </row>
  </sheetData>
  <autoFilter ref="A1:OK142"/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  <hyperlink xmlns:r="http://schemas.openxmlformats.org/officeDocument/2006/relationships" ref="J1" r:id="rId9"/>
    <hyperlink xmlns:r="http://schemas.openxmlformats.org/officeDocument/2006/relationships" ref="K1" r:id="rId10"/>
    <hyperlink xmlns:r="http://schemas.openxmlformats.org/officeDocument/2006/relationships" ref="L1" r:id="rId11"/>
    <hyperlink xmlns:r="http://schemas.openxmlformats.org/officeDocument/2006/relationships" ref="M1" r:id="rId12"/>
    <hyperlink xmlns:r="http://schemas.openxmlformats.org/officeDocument/2006/relationships" ref="N1" r:id="rId13"/>
    <hyperlink xmlns:r="http://schemas.openxmlformats.org/officeDocument/2006/relationships" ref="O1" r:id="rId14"/>
    <hyperlink xmlns:r="http://schemas.openxmlformats.org/officeDocument/2006/relationships" ref="P1" r:id="rId15"/>
    <hyperlink xmlns:r="http://schemas.openxmlformats.org/officeDocument/2006/relationships" ref="Q1" r:id="rId16"/>
    <hyperlink xmlns:r="http://schemas.openxmlformats.org/officeDocument/2006/relationships" ref="R1" r:id="rId17"/>
    <hyperlink xmlns:r="http://schemas.openxmlformats.org/officeDocument/2006/relationships" ref="S1" r:id="rId18"/>
    <hyperlink xmlns:r="http://schemas.openxmlformats.org/officeDocument/2006/relationships" ref="T1" r:id="rId19"/>
    <hyperlink xmlns:r="http://schemas.openxmlformats.org/officeDocument/2006/relationships" ref="U1" r:id="rId20"/>
    <hyperlink xmlns:r="http://schemas.openxmlformats.org/officeDocument/2006/relationships" ref="V1" r:id="rId21"/>
    <hyperlink xmlns:r="http://schemas.openxmlformats.org/officeDocument/2006/relationships" ref="W1" r:id="rId22"/>
    <hyperlink xmlns:r="http://schemas.openxmlformats.org/officeDocument/2006/relationships" ref="X1" r:id="rId23"/>
    <hyperlink xmlns:r="http://schemas.openxmlformats.org/officeDocument/2006/relationships" ref="Y1" r:id="rId24"/>
    <hyperlink xmlns:r="http://schemas.openxmlformats.org/officeDocument/2006/relationships" ref="Z1" r:id="rId25"/>
    <hyperlink xmlns:r="http://schemas.openxmlformats.org/officeDocument/2006/relationships" ref="AA1" r:id="rId26"/>
    <hyperlink xmlns:r="http://schemas.openxmlformats.org/officeDocument/2006/relationships" ref="AB1" r:id="rId27"/>
    <hyperlink xmlns:r="http://schemas.openxmlformats.org/officeDocument/2006/relationships" ref="AC1" r:id="rId28"/>
    <hyperlink xmlns:r="http://schemas.openxmlformats.org/officeDocument/2006/relationships" ref="AD1" r:id="rId29"/>
    <hyperlink xmlns:r="http://schemas.openxmlformats.org/officeDocument/2006/relationships" ref="AE1" r:id="rId30"/>
    <hyperlink xmlns:r="http://schemas.openxmlformats.org/officeDocument/2006/relationships" ref="AF1" r:id="rId31"/>
    <hyperlink xmlns:r="http://schemas.openxmlformats.org/officeDocument/2006/relationships" ref="AG1" r:id="rId32"/>
    <hyperlink xmlns:r="http://schemas.openxmlformats.org/officeDocument/2006/relationships" ref="AH1" r:id="rId33"/>
    <hyperlink xmlns:r="http://schemas.openxmlformats.org/officeDocument/2006/relationships" ref="AI1" r:id="rId34"/>
    <hyperlink xmlns:r="http://schemas.openxmlformats.org/officeDocument/2006/relationships" ref="AJ1" r:id="rId35"/>
    <hyperlink xmlns:r="http://schemas.openxmlformats.org/officeDocument/2006/relationships" ref="AK1" r:id="rId36"/>
    <hyperlink xmlns:r="http://schemas.openxmlformats.org/officeDocument/2006/relationships" ref="AL1" r:id="rId37"/>
    <hyperlink xmlns:r="http://schemas.openxmlformats.org/officeDocument/2006/relationships" ref="AM1" r:id="rId38"/>
    <hyperlink xmlns:r="http://schemas.openxmlformats.org/officeDocument/2006/relationships" ref="AN1" r:id="rId39"/>
    <hyperlink xmlns:r="http://schemas.openxmlformats.org/officeDocument/2006/relationships" ref="AO1" r:id="rId40"/>
    <hyperlink xmlns:r="http://schemas.openxmlformats.org/officeDocument/2006/relationships" ref="AP1" r:id="rId41"/>
    <hyperlink xmlns:r="http://schemas.openxmlformats.org/officeDocument/2006/relationships" ref="AQ1" r:id="rId42"/>
    <hyperlink xmlns:r="http://schemas.openxmlformats.org/officeDocument/2006/relationships" ref="AR1" r:id="rId43"/>
    <hyperlink xmlns:r="http://schemas.openxmlformats.org/officeDocument/2006/relationships" ref="AS1" r:id="rId44"/>
    <hyperlink xmlns:r="http://schemas.openxmlformats.org/officeDocument/2006/relationships" ref="AT1" r:id="rId45"/>
    <hyperlink xmlns:r="http://schemas.openxmlformats.org/officeDocument/2006/relationships" ref="AU1" r:id="rId46"/>
    <hyperlink xmlns:r="http://schemas.openxmlformats.org/officeDocument/2006/relationships" ref="AV1" r:id="rId47"/>
    <hyperlink xmlns:r="http://schemas.openxmlformats.org/officeDocument/2006/relationships" ref="AW1" r:id="rId48"/>
    <hyperlink xmlns:r="http://schemas.openxmlformats.org/officeDocument/2006/relationships" ref="AX1" r:id="rId49"/>
    <hyperlink xmlns:r="http://schemas.openxmlformats.org/officeDocument/2006/relationships" ref="AY1" r:id="rId50"/>
    <hyperlink xmlns:r="http://schemas.openxmlformats.org/officeDocument/2006/relationships" ref="AZ1" r:id="rId51"/>
    <hyperlink xmlns:r="http://schemas.openxmlformats.org/officeDocument/2006/relationships" ref="BA1" r:id="rId52"/>
    <hyperlink xmlns:r="http://schemas.openxmlformats.org/officeDocument/2006/relationships" ref="BB1" r:id="rId53"/>
    <hyperlink xmlns:r="http://schemas.openxmlformats.org/officeDocument/2006/relationships" ref="BC1" r:id="rId54"/>
    <hyperlink xmlns:r="http://schemas.openxmlformats.org/officeDocument/2006/relationships" ref="BD1" r:id="rId55"/>
    <hyperlink xmlns:r="http://schemas.openxmlformats.org/officeDocument/2006/relationships" ref="BE1" r:id="rId56"/>
    <hyperlink xmlns:r="http://schemas.openxmlformats.org/officeDocument/2006/relationships" ref="BF1" r:id="rId57"/>
    <hyperlink xmlns:r="http://schemas.openxmlformats.org/officeDocument/2006/relationships" ref="BG1" r:id="rId58"/>
    <hyperlink xmlns:r="http://schemas.openxmlformats.org/officeDocument/2006/relationships" ref="BH1" r:id="rId59"/>
    <hyperlink xmlns:r="http://schemas.openxmlformats.org/officeDocument/2006/relationships" ref="BI1" r:id="rId60"/>
    <hyperlink xmlns:r="http://schemas.openxmlformats.org/officeDocument/2006/relationships" ref="BJ1" r:id="rId61"/>
    <hyperlink xmlns:r="http://schemas.openxmlformats.org/officeDocument/2006/relationships" ref="BK1" r:id="rId62"/>
    <hyperlink xmlns:r="http://schemas.openxmlformats.org/officeDocument/2006/relationships" ref="BL1" r:id="rId63"/>
    <hyperlink xmlns:r="http://schemas.openxmlformats.org/officeDocument/2006/relationships" ref="BM1" r:id="rId64"/>
    <hyperlink xmlns:r="http://schemas.openxmlformats.org/officeDocument/2006/relationships" ref="BN1" r:id="rId65"/>
    <hyperlink xmlns:r="http://schemas.openxmlformats.org/officeDocument/2006/relationships" ref="BO1" r:id="rId66"/>
    <hyperlink xmlns:r="http://schemas.openxmlformats.org/officeDocument/2006/relationships" ref="BP1" r:id="rId67"/>
    <hyperlink xmlns:r="http://schemas.openxmlformats.org/officeDocument/2006/relationships" ref="BQ1" r:id="rId68"/>
    <hyperlink xmlns:r="http://schemas.openxmlformats.org/officeDocument/2006/relationships" ref="BR1" r:id="rId69"/>
    <hyperlink xmlns:r="http://schemas.openxmlformats.org/officeDocument/2006/relationships" ref="BS1" r:id="rId70"/>
    <hyperlink xmlns:r="http://schemas.openxmlformats.org/officeDocument/2006/relationships" ref="BT1" r:id="rId71"/>
    <hyperlink xmlns:r="http://schemas.openxmlformats.org/officeDocument/2006/relationships" ref="BU1" r:id="rId72"/>
    <hyperlink xmlns:r="http://schemas.openxmlformats.org/officeDocument/2006/relationships" ref="BV1" r:id="rId73"/>
    <hyperlink xmlns:r="http://schemas.openxmlformats.org/officeDocument/2006/relationships" ref="BW1" r:id="rId74"/>
    <hyperlink xmlns:r="http://schemas.openxmlformats.org/officeDocument/2006/relationships" ref="BX1" r:id="rId75"/>
    <hyperlink xmlns:r="http://schemas.openxmlformats.org/officeDocument/2006/relationships" ref="BY1" r:id="rId76"/>
    <hyperlink xmlns:r="http://schemas.openxmlformats.org/officeDocument/2006/relationships" ref="BZ1" r:id="rId77"/>
    <hyperlink xmlns:r="http://schemas.openxmlformats.org/officeDocument/2006/relationships" ref="CA1" r:id="rId78"/>
    <hyperlink xmlns:r="http://schemas.openxmlformats.org/officeDocument/2006/relationships" ref="CB1" r:id="rId79"/>
    <hyperlink xmlns:r="http://schemas.openxmlformats.org/officeDocument/2006/relationships" ref="CC1" r:id="rId80"/>
    <hyperlink xmlns:r="http://schemas.openxmlformats.org/officeDocument/2006/relationships" ref="CD1" r:id="rId81"/>
    <hyperlink xmlns:r="http://schemas.openxmlformats.org/officeDocument/2006/relationships" ref="CE1" r:id="rId82"/>
    <hyperlink xmlns:r="http://schemas.openxmlformats.org/officeDocument/2006/relationships" ref="CF1" r:id="rId83"/>
    <hyperlink xmlns:r="http://schemas.openxmlformats.org/officeDocument/2006/relationships" ref="CG1" r:id="rId84"/>
    <hyperlink xmlns:r="http://schemas.openxmlformats.org/officeDocument/2006/relationships" ref="CH1" r:id="rId85"/>
    <hyperlink xmlns:r="http://schemas.openxmlformats.org/officeDocument/2006/relationships" ref="CI1" r:id="rId86"/>
    <hyperlink xmlns:r="http://schemas.openxmlformats.org/officeDocument/2006/relationships" ref="CJ1" r:id="rId87"/>
    <hyperlink xmlns:r="http://schemas.openxmlformats.org/officeDocument/2006/relationships" ref="CK1" r:id="rId88"/>
    <hyperlink xmlns:r="http://schemas.openxmlformats.org/officeDocument/2006/relationships" ref="CL1" r:id="rId89"/>
    <hyperlink xmlns:r="http://schemas.openxmlformats.org/officeDocument/2006/relationships" ref="CM1" r:id="rId90"/>
    <hyperlink xmlns:r="http://schemas.openxmlformats.org/officeDocument/2006/relationships" ref="CN1" r:id="rId91"/>
    <hyperlink xmlns:r="http://schemas.openxmlformats.org/officeDocument/2006/relationships" ref="CO1" r:id="rId92"/>
    <hyperlink xmlns:r="http://schemas.openxmlformats.org/officeDocument/2006/relationships" ref="CP1" r:id="rId93"/>
    <hyperlink xmlns:r="http://schemas.openxmlformats.org/officeDocument/2006/relationships" ref="CQ1" r:id="rId94"/>
    <hyperlink xmlns:r="http://schemas.openxmlformats.org/officeDocument/2006/relationships" ref="CR1" r:id="rId95"/>
    <hyperlink xmlns:r="http://schemas.openxmlformats.org/officeDocument/2006/relationships" ref="CS1" r:id="rId96"/>
    <hyperlink xmlns:r="http://schemas.openxmlformats.org/officeDocument/2006/relationships" ref="CT1" r:id="rId97"/>
    <hyperlink xmlns:r="http://schemas.openxmlformats.org/officeDocument/2006/relationships" ref="CU1" r:id="rId98"/>
    <hyperlink xmlns:r="http://schemas.openxmlformats.org/officeDocument/2006/relationships" ref="CV1" r:id="rId99"/>
    <hyperlink xmlns:r="http://schemas.openxmlformats.org/officeDocument/2006/relationships" ref="CW1" r:id="rId100"/>
    <hyperlink xmlns:r="http://schemas.openxmlformats.org/officeDocument/2006/relationships" ref="CX1" r:id="rId101"/>
    <hyperlink xmlns:r="http://schemas.openxmlformats.org/officeDocument/2006/relationships" ref="CY1" r:id="rId102"/>
    <hyperlink xmlns:r="http://schemas.openxmlformats.org/officeDocument/2006/relationships" ref="CZ1" r:id="rId103"/>
    <hyperlink xmlns:r="http://schemas.openxmlformats.org/officeDocument/2006/relationships" ref="DA1" r:id="rId104"/>
    <hyperlink xmlns:r="http://schemas.openxmlformats.org/officeDocument/2006/relationships" ref="DB1" r:id="rId105"/>
    <hyperlink xmlns:r="http://schemas.openxmlformats.org/officeDocument/2006/relationships" ref="DC1" r:id="rId106"/>
    <hyperlink xmlns:r="http://schemas.openxmlformats.org/officeDocument/2006/relationships" ref="DD1" r:id="rId107"/>
    <hyperlink xmlns:r="http://schemas.openxmlformats.org/officeDocument/2006/relationships" ref="DE1" r:id="rId108"/>
    <hyperlink xmlns:r="http://schemas.openxmlformats.org/officeDocument/2006/relationships" ref="DF1" r:id="rId109"/>
    <hyperlink xmlns:r="http://schemas.openxmlformats.org/officeDocument/2006/relationships" ref="DG1" r:id="rId110"/>
    <hyperlink xmlns:r="http://schemas.openxmlformats.org/officeDocument/2006/relationships" ref="DH1" r:id="rId111"/>
    <hyperlink xmlns:r="http://schemas.openxmlformats.org/officeDocument/2006/relationships" ref="DI1" r:id="rId112"/>
    <hyperlink xmlns:r="http://schemas.openxmlformats.org/officeDocument/2006/relationships" ref="DJ1" r:id="rId113"/>
    <hyperlink xmlns:r="http://schemas.openxmlformats.org/officeDocument/2006/relationships" ref="DK1" r:id="rId114"/>
    <hyperlink xmlns:r="http://schemas.openxmlformats.org/officeDocument/2006/relationships" ref="DL1" r:id="rId115"/>
    <hyperlink xmlns:r="http://schemas.openxmlformats.org/officeDocument/2006/relationships" ref="DM1" r:id="rId116"/>
    <hyperlink xmlns:r="http://schemas.openxmlformats.org/officeDocument/2006/relationships" ref="DN1" r:id="rId117"/>
    <hyperlink xmlns:r="http://schemas.openxmlformats.org/officeDocument/2006/relationships" ref="DO1" r:id="rId118"/>
    <hyperlink xmlns:r="http://schemas.openxmlformats.org/officeDocument/2006/relationships" ref="DP1" r:id="rId119"/>
    <hyperlink xmlns:r="http://schemas.openxmlformats.org/officeDocument/2006/relationships" ref="DQ1" r:id="rId120"/>
    <hyperlink xmlns:r="http://schemas.openxmlformats.org/officeDocument/2006/relationships" ref="DR1" r:id="rId121"/>
    <hyperlink xmlns:r="http://schemas.openxmlformats.org/officeDocument/2006/relationships" ref="DS1" r:id="rId122"/>
    <hyperlink xmlns:r="http://schemas.openxmlformats.org/officeDocument/2006/relationships" ref="DT1" r:id="rId123"/>
    <hyperlink xmlns:r="http://schemas.openxmlformats.org/officeDocument/2006/relationships" ref="DU1" r:id="rId124"/>
    <hyperlink xmlns:r="http://schemas.openxmlformats.org/officeDocument/2006/relationships" ref="DV1" r:id="rId125"/>
    <hyperlink xmlns:r="http://schemas.openxmlformats.org/officeDocument/2006/relationships" ref="DW1" r:id="rId126"/>
    <hyperlink xmlns:r="http://schemas.openxmlformats.org/officeDocument/2006/relationships" ref="DX1" r:id="rId127"/>
    <hyperlink xmlns:r="http://schemas.openxmlformats.org/officeDocument/2006/relationships" ref="DY1" r:id="rId128"/>
    <hyperlink xmlns:r="http://schemas.openxmlformats.org/officeDocument/2006/relationships" ref="DZ1" r:id="rId129"/>
    <hyperlink xmlns:r="http://schemas.openxmlformats.org/officeDocument/2006/relationships" ref="EA1" r:id="rId130"/>
    <hyperlink xmlns:r="http://schemas.openxmlformats.org/officeDocument/2006/relationships" ref="EB1" r:id="rId131"/>
    <hyperlink xmlns:r="http://schemas.openxmlformats.org/officeDocument/2006/relationships" ref="EC1" r:id="rId132"/>
    <hyperlink xmlns:r="http://schemas.openxmlformats.org/officeDocument/2006/relationships" ref="ED1" r:id="rId133"/>
    <hyperlink xmlns:r="http://schemas.openxmlformats.org/officeDocument/2006/relationships" ref="EE1" r:id="rId134"/>
    <hyperlink xmlns:r="http://schemas.openxmlformats.org/officeDocument/2006/relationships" ref="EF1" r:id="rId135"/>
    <hyperlink xmlns:r="http://schemas.openxmlformats.org/officeDocument/2006/relationships" ref="EG1" r:id="rId136"/>
    <hyperlink xmlns:r="http://schemas.openxmlformats.org/officeDocument/2006/relationships" ref="EH1" r:id="rId137"/>
    <hyperlink xmlns:r="http://schemas.openxmlformats.org/officeDocument/2006/relationships" ref="EI1" r:id="rId138"/>
    <hyperlink xmlns:r="http://schemas.openxmlformats.org/officeDocument/2006/relationships" ref="EJ1" r:id="rId139"/>
    <hyperlink xmlns:r="http://schemas.openxmlformats.org/officeDocument/2006/relationships" ref="EK1" r:id="rId140"/>
    <hyperlink xmlns:r="http://schemas.openxmlformats.org/officeDocument/2006/relationships" ref="EL1" r:id="rId141"/>
    <hyperlink xmlns:r="http://schemas.openxmlformats.org/officeDocument/2006/relationships" ref="EM1" r:id="rId142"/>
    <hyperlink xmlns:r="http://schemas.openxmlformats.org/officeDocument/2006/relationships" ref="EN1" r:id="rId143"/>
    <hyperlink xmlns:r="http://schemas.openxmlformats.org/officeDocument/2006/relationships" ref="EO1" r:id="rId144"/>
    <hyperlink xmlns:r="http://schemas.openxmlformats.org/officeDocument/2006/relationships" ref="EP1" r:id="rId145"/>
    <hyperlink xmlns:r="http://schemas.openxmlformats.org/officeDocument/2006/relationships" ref="EQ1" r:id="rId146"/>
    <hyperlink xmlns:r="http://schemas.openxmlformats.org/officeDocument/2006/relationships" ref="ER1" r:id="rId147"/>
    <hyperlink xmlns:r="http://schemas.openxmlformats.org/officeDocument/2006/relationships" ref="ES1" r:id="rId148"/>
    <hyperlink xmlns:r="http://schemas.openxmlformats.org/officeDocument/2006/relationships" ref="ET1" r:id="rId149"/>
    <hyperlink xmlns:r="http://schemas.openxmlformats.org/officeDocument/2006/relationships" ref="EU1" r:id="rId150"/>
    <hyperlink xmlns:r="http://schemas.openxmlformats.org/officeDocument/2006/relationships" ref="EV1" r:id="rId151"/>
    <hyperlink xmlns:r="http://schemas.openxmlformats.org/officeDocument/2006/relationships" ref="EW1" r:id="rId152"/>
    <hyperlink xmlns:r="http://schemas.openxmlformats.org/officeDocument/2006/relationships" ref="EX1" r:id="rId153"/>
    <hyperlink xmlns:r="http://schemas.openxmlformats.org/officeDocument/2006/relationships" ref="EY1" r:id="rId154"/>
    <hyperlink xmlns:r="http://schemas.openxmlformats.org/officeDocument/2006/relationships" ref="EZ1" r:id="rId155"/>
    <hyperlink xmlns:r="http://schemas.openxmlformats.org/officeDocument/2006/relationships" ref="FA1" r:id="rId156"/>
    <hyperlink xmlns:r="http://schemas.openxmlformats.org/officeDocument/2006/relationships" ref="FB1" r:id="rId157"/>
    <hyperlink xmlns:r="http://schemas.openxmlformats.org/officeDocument/2006/relationships" ref="FC1" r:id="rId158"/>
    <hyperlink xmlns:r="http://schemas.openxmlformats.org/officeDocument/2006/relationships" ref="FD1" r:id="rId159"/>
    <hyperlink xmlns:r="http://schemas.openxmlformats.org/officeDocument/2006/relationships" ref="FE1" r:id="rId160"/>
    <hyperlink xmlns:r="http://schemas.openxmlformats.org/officeDocument/2006/relationships" ref="FF1" r:id="rId161"/>
    <hyperlink xmlns:r="http://schemas.openxmlformats.org/officeDocument/2006/relationships" ref="FG1" r:id="rId162"/>
    <hyperlink xmlns:r="http://schemas.openxmlformats.org/officeDocument/2006/relationships" ref="FH1" r:id="rId163"/>
    <hyperlink xmlns:r="http://schemas.openxmlformats.org/officeDocument/2006/relationships" ref="FI1" r:id="rId164"/>
    <hyperlink xmlns:r="http://schemas.openxmlformats.org/officeDocument/2006/relationships" ref="FJ1" r:id="rId165"/>
    <hyperlink xmlns:r="http://schemas.openxmlformats.org/officeDocument/2006/relationships" ref="FK1" r:id="rId166"/>
    <hyperlink xmlns:r="http://schemas.openxmlformats.org/officeDocument/2006/relationships" ref="FL1" r:id="rId167"/>
    <hyperlink xmlns:r="http://schemas.openxmlformats.org/officeDocument/2006/relationships" ref="FM1" r:id="rId168"/>
    <hyperlink xmlns:r="http://schemas.openxmlformats.org/officeDocument/2006/relationships" ref="FN1" r:id="rId169"/>
    <hyperlink xmlns:r="http://schemas.openxmlformats.org/officeDocument/2006/relationships" ref="FO1" r:id="rId170"/>
    <hyperlink xmlns:r="http://schemas.openxmlformats.org/officeDocument/2006/relationships" ref="FP1" r:id="rId171"/>
    <hyperlink xmlns:r="http://schemas.openxmlformats.org/officeDocument/2006/relationships" ref="FQ1" r:id="rId172"/>
    <hyperlink xmlns:r="http://schemas.openxmlformats.org/officeDocument/2006/relationships" ref="FR1" r:id="rId173"/>
    <hyperlink xmlns:r="http://schemas.openxmlformats.org/officeDocument/2006/relationships" ref="FS1" r:id="rId174"/>
    <hyperlink xmlns:r="http://schemas.openxmlformats.org/officeDocument/2006/relationships" ref="FT1" r:id="rId175"/>
    <hyperlink xmlns:r="http://schemas.openxmlformats.org/officeDocument/2006/relationships" ref="FU1" r:id="rId176"/>
    <hyperlink xmlns:r="http://schemas.openxmlformats.org/officeDocument/2006/relationships" ref="FV1" r:id="rId177"/>
    <hyperlink xmlns:r="http://schemas.openxmlformats.org/officeDocument/2006/relationships" ref="FW1" r:id="rId178"/>
    <hyperlink xmlns:r="http://schemas.openxmlformats.org/officeDocument/2006/relationships" ref="FX1" r:id="rId179"/>
    <hyperlink xmlns:r="http://schemas.openxmlformats.org/officeDocument/2006/relationships" ref="FY1" r:id="rId180"/>
    <hyperlink xmlns:r="http://schemas.openxmlformats.org/officeDocument/2006/relationships" ref="FZ1" r:id="rId181"/>
    <hyperlink xmlns:r="http://schemas.openxmlformats.org/officeDocument/2006/relationships" ref="GA1" r:id="rId182"/>
    <hyperlink xmlns:r="http://schemas.openxmlformats.org/officeDocument/2006/relationships" ref="GB1" r:id="rId183"/>
    <hyperlink xmlns:r="http://schemas.openxmlformats.org/officeDocument/2006/relationships" ref="GC1" r:id="rId184"/>
    <hyperlink xmlns:r="http://schemas.openxmlformats.org/officeDocument/2006/relationships" ref="GD1" r:id="rId185"/>
    <hyperlink xmlns:r="http://schemas.openxmlformats.org/officeDocument/2006/relationships" ref="GE1" r:id="rId186"/>
    <hyperlink xmlns:r="http://schemas.openxmlformats.org/officeDocument/2006/relationships" ref="GF1" r:id="rId187"/>
    <hyperlink xmlns:r="http://schemas.openxmlformats.org/officeDocument/2006/relationships" ref="GG1" r:id="rId188"/>
    <hyperlink xmlns:r="http://schemas.openxmlformats.org/officeDocument/2006/relationships" ref="GH1" r:id="rId189"/>
    <hyperlink xmlns:r="http://schemas.openxmlformats.org/officeDocument/2006/relationships" ref="GI1" r:id="rId190"/>
    <hyperlink xmlns:r="http://schemas.openxmlformats.org/officeDocument/2006/relationships" ref="GJ1" r:id="rId191"/>
    <hyperlink xmlns:r="http://schemas.openxmlformats.org/officeDocument/2006/relationships" ref="GK1" r:id="rId192"/>
    <hyperlink xmlns:r="http://schemas.openxmlformats.org/officeDocument/2006/relationships" ref="GL1" r:id="rId193"/>
    <hyperlink xmlns:r="http://schemas.openxmlformats.org/officeDocument/2006/relationships" ref="GM1" r:id="rId194"/>
    <hyperlink xmlns:r="http://schemas.openxmlformats.org/officeDocument/2006/relationships" ref="GN1" r:id="rId195"/>
    <hyperlink xmlns:r="http://schemas.openxmlformats.org/officeDocument/2006/relationships" ref="GO1" r:id="rId196"/>
    <hyperlink xmlns:r="http://schemas.openxmlformats.org/officeDocument/2006/relationships" ref="GP1" r:id="rId197"/>
    <hyperlink xmlns:r="http://schemas.openxmlformats.org/officeDocument/2006/relationships" ref="GQ1" r:id="rId198"/>
    <hyperlink xmlns:r="http://schemas.openxmlformats.org/officeDocument/2006/relationships" ref="GR1" r:id="rId199"/>
    <hyperlink xmlns:r="http://schemas.openxmlformats.org/officeDocument/2006/relationships" ref="GS1" r:id="rId200"/>
    <hyperlink xmlns:r="http://schemas.openxmlformats.org/officeDocument/2006/relationships" ref="GT1" r:id="rId201"/>
    <hyperlink xmlns:r="http://schemas.openxmlformats.org/officeDocument/2006/relationships" ref="GU1" r:id="rId202"/>
    <hyperlink xmlns:r="http://schemas.openxmlformats.org/officeDocument/2006/relationships" ref="GV1" r:id="rId203"/>
    <hyperlink xmlns:r="http://schemas.openxmlformats.org/officeDocument/2006/relationships" ref="GW1" r:id="rId204"/>
    <hyperlink xmlns:r="http://schemas.openxmlformats.org/officeDocument/2006/relationships" ref="GX1" r:id="rId205"/>
    <hyperlink xmlns:r="http://schemas.openxmlformats.org/officeDocument/2006/relationships" ref="GY1" r:id="rId206"/>
    <hyperlink xmlns:r="http://schemas.openxmlformats.org/officeDocument/2006/relationships" ref="GZ1" r:id="rId207"/>
    <hyperlink xmlns:r="http://schemas.openxmlformats.org/officeDocument/2006/relationships" ref="HA1" r:id="rId208"/>
    <hyperlink xmlns:r="http://schemas.openxmlformats.org/officeDocument/2006/relationships" ref="HB1" r:id="rId209"/>
    <hyperlink xmlns:r="http://schemas.openxmlformats.org/officeDocument/2006/relationships" ref="HC1" r:id="rId210"/>
    <hyperlink xmlns:r="http://schemas.openxmlformats.org/officeDocument/2006/relationships" ref="HD1" r:id="rId211"/>
    <hyperlink xmlns:r="http://schemas.openxmlformats.org/officeDocument/2006/relationships" ref="HE1" r:id="rId212"/>
    <hyperlink xmlns:r="http://schemas.openxmlformats.org/officeDocument/2006/relationships" ref="HF1" r:id="rId213"/>
    <hyperlink xmlns:r="http://schemas.openxmlformats.org/officeDocument/2006/relationships" ref="HG1" r:id="rId214"/>
    <hyperlink xmlns:r="http://schemas.openxmlformats.org/officeDocument/2006/relationships" ref="HH1" r:id="rId215"/>
    <hyperlink xmlns:r="http://schemas.openxmlformats.org/officeDocument/2006/relationships" ref="HI1" r:id="rId216"/>
    <hyperlink xmlns:r="http://schemas.openxmlformats.org/officeDocument/2006/relationships" ref="HJ1" r:id="rId217"/>
    <hyperlink xmlns:r="http://schemas.openxmlformats.org/officeDocument/2006/relationships" ref="HK1" r:id="rId218"/>
    <hyperlink xmlns:r="http://schemas.openxmlformats.org/officeDocument/2006/relationships" ref="HL1" r:id="rId219"/>
    <hyperlink xmlns:r="http://schemas.openxmlformats.org/officeDocument/2006/relationships" ref="HM1" r:id="rId220"/>
    <hyperlink xmlns:r="http://schemas.openxmlformats.org/officeDocument/2006/relationships" ref="HN1" r:id="rId221"/>
    <hyperlink xmlns:r="http://schemas.openxmlformats.org/officeDocument/2006/relationships" ref="HO1" r:id="rId222"/>
    <hyperlink xmlns:r="http://schemas.openxmlformats.org/officeDocument/2006/relationships" ref="HP1" r:id="rId223"/>
    <hyperlink xmlns:r="http://schemas.openxmlformats.org/officeDocument/2006/relationships" ref="HQ1" r:id="rId224"/>
    <hyperlink xmlns:r="http://schemas.openxmlformats.org/officeDocument/2006/relationships" ref="HR1" r:id="rId225"/>
    <hyperlink xmlns:r="http://schemas.openxmlformats.org/officeDocument/2006/relationships" ref="HS1" r:id="rId226"/>
    <hyperlink xmlns:r="http://schemas.openxmlformats.org/officeDocument/2006/relationships" ref="HT1" r:id="rId227"/>
    <hyperlink xmlns:r="http://schemas.openxmlformats.org/officeDocument/2006/relationships" ref="HU1" r:id="rId228"/>
    <hyperlink xmlns:r="http://schemas.openxmlformats.org/officeDocument/2006/relationships" ref="HV1" r:id="rId229"/>
    <hyperlink xmlns:r="http://schemas.openxmlformats.org/officeDocument/2006/relationships" ref="HW1" r:id="rId230"/>
    <hyperlink xmlns:r="http://schemas.openxmlformats.org/officeDocument/2006/relationships" ref="HX1" r:id="rId231"/>
    <hyperlink xmlns:r="http://schemas.openxmlformats.org/officeDocument/2006/relationships" ref="HY1" r:id="rId232"/>
    <hyperlink xmlns:r="http://schemas.openxmlformats.org/officeDocument/2006/relationships" ref="HZ1" r:id="rId233"/>
    <hyperlink xmlns:r="http://schemas.openxmlformats.org/officeDocument/2006/relationships" ref="IA1" r:id="rId234"/>
    <hyperlink xmlns:r="http://schemas.openxmlformats.org/officeDocument/2006/relationships" ref="IB1" r:id="rId235"/>
    <hyperlink xmlns:r="http://schemas.openxmlformats.org/officeDocument/2006/relationships" ref="IC1" r:id="rId236"/>
    <hyperlink xmlns:r="http://schemas.openxmlformats.org/officeDocument/2006/relationships" ref="ID1" r:id="rId237"/>
    <hyperlink xmlns:r="http://schemas.openxmlformats.org/officeDocument/2006/relationships" ref="IE1" r:id="rId238"/>
    <hyperlink xmlns:r="http://schemas.openxmlformats.org/officeDocument/2006/relationships" ref="IF1" r:id="rId239"/>
    <hyperlink xmlns:r="http://schemas.openxmlformats.org/officeDocument/2006/relationships" ref="IG1" r:id="rId240"/>
    <hyperlink xmlns:r="http://schemas.openxmlformats.org/officeDocument/2006/relationships" ref="IH1" r:id="rId241"/>
    <hyperlink xmlns:r="http://schemas.openxmlformats.org/officeDocument/2006/relationships" ref="II1" r:id="rId242"/>
    <hyperlink xmlns:r="http://schemas.openxmlformats.org/officeDocument/2006/relationships" ref="IJ1" r:id="rId243"/>
    <hyperlink xmlns:r="http://schemas.openxmlformats.org/officeDocument/2006/relationships" ref="IK1" r:id="rId244"/>
    <hyperlink xmlns:r="http://schemas.openxmlformats.org/officeDocument/2006/relationships" ref="IL1" r:id="rId245"/>
    <hyperlink xmlns:r="http://schemas.openxmlformats.org/officeDocument/2006/relationships" ref="IM1" r:id="rId246"/>
    <hyperlink xmlns:r="http://schemas.openxmlformats.org/officeDocument/2006/relationships" ref="IN1" r:id="rId247"/>
    <hyperlink xmlns:r="http://schemas.openxmlformats.org/officeDocument/2006/relationships" ref="IO1" r:id="rId248"/>
    <hyperlink xmlns:r="http://schemas.openxmlformats.org/officeDocument/2006/relationships" ref="IP1" r:id="rId249"/>
    <hyperlink xmlns:r="http://schemas.openxmlformats.org/officeDocument/2006/relationships" ref="IQ1" r:id="rId250"/>
    <hyperlink xmlns:r="http://schemas.openxmlformats.org/officeDocument/2006/relationships" ref="IR1" r:id="rId251"/>
    <hyperlink xmlns:r="http://schemas.openxmlformats.org/officeDocument/2006/relationships" ref="IS1" r:id="rId252"/>
    <hyperlink xmlns:r="http://schemas.openxmlformats.org/officeDocument/2006/relationships" ref="IT1" r:id="rId253"/>
    <hyperlink xmlns:r="http://schemas.openxmlformats.org/officeDocument/2006/relationships" ref="IU1" r:id="rId254"/>
    <hyperlink xmlns:r="http://schemas.openxmlformats.org/officeDocument/2006/relationships" ref="IV1" r:id="rId255"/>
    <hyperlink xmlns:r="http://schemas.openxmlformats.org/officeDocument/2006/relationships" ref="IW1" r:id="rId256"/>
    <hyperlink xmlns:r="http://schemas.openxmlformats.org/officeDocument/2006/relationships" ref="IX1" r:id="rId257"/>
    <hyperlink xmlns:r="http://schemas.openxmlformats.org/officeDocument/2006/relationships" ref="IY1" r:id="rId258"/>
    <hyperlink xmlns:r="http://schemas.openxmlformats.org/officeDocument/2006/relationships" ref="IZ1" r:id="rId259"/>
    <hyperlink xmlns:r="http://schemas.openxmlformats.org/officeDocument/2006/relationships" ref="JA1" r:id="rId260"/>
    <hyperlink xmlns:r="http://schemas.openxmlformats.org/officeDocument/2006/relationships" ref="JB1" r:id="rId261"/>
    <hyperlink xmlns:r="http://schemas.openxmlformats.org/officeDocument/2006/relationships" ref="JC1" r:id="rId262"/>
    <hyperlink xmlns:r="http://schemas.openxmlformats.org/officeDocument/2006/relationships" ref="JD1" r:id="rId263"/>
    <hyperlink xmlns:r="http://schemas.openxmlformats.org/officeDocument/2006/relationships" ref="JE1" r:id="rId264"/>
    <hyperlink xmlns:r="http://schemas.openxmlformats.org/officeDocument/2006/relationships" ref="JF1" r:id="rId265"/>
    <hyperlink xmlns:r="http://schemas.openxmlformats.org/officeDocument/2006/relationships" ref="JG1" r:id="rId266"/>
    <hyperlink xmlns:r="http://schemas.openxmlformats.org/officeDocument/2006/relationships" ref="JH1" r:id="rId267"/>
    <hyperlink xmlns:r="http://schemas.openxmlformats.org/officeDocument/2006/relationships" ref="JI1" r:id="rId268"/>
    <hyperlink xmlns:r="http://schemas.openxmlformats.org/officeDocument/2006/relationships" ref="JJ1" r:id="rId269"/>
    <hyperlink xmlns:r="http://schemas.openxmlformats.org/officeDocument/2006/relationships" ref="JK1" r:id="rId270"/>
    <hyperlink xmlns:r="http://schemas.openxmlformats.org/officeDocument/2006/relationships" ref="JL1" r:id="rId271"/>
    <hyperlink xmlns:r="http://schemas.openxmlformats.org/officeDocument/2006/relationships" ref="JM1" r:id="rId272"/>
    <hyperlink xmlns:r="http://schemas.openxmlformats.org/officeDocument/2006/relationships" ref="JN1" r:id="rId273"/>
    <hyperlink xmlns:r="http://schemas.openxmlformats.org/officeDocument/2006/relationships" ref="JO1" r:id="rId274"/>
    <hyperlink xmlns:r="http://schemas.openxmlformats.org/officeDocument/2006/relationships" ref="JP1" r:id="rId275"/>
    <hyperlink xmlns:r="http://schemas.openxmlformats.org/officeDocument/2006/relationships" ref="JQ1" r:id="rId276"/>
    <hyperlink xmlns:r="http://schemas.openxmlformats.org/officeDocument/2006/relationships" ref="JR1" r:id="rId277"/>
    <hyperlink xmlns:r="http://schemas.openxmlformats.org/officeDocument/2006/relationships" ref="JS1" r:id="rId278"/>
    <hyperlink xmlns:r="http://schemas.openxmlformats.org/officeDocument/2006/relationships" ref="JT1" r:id="rId279"/>
    <hyperlink xmlns:r="http://schemas.openxmlformats.org/officeDocument/2006/relationships" ref="JU1" r:id="rId280"/>
    <hyperlink xmlns:r="http://schemas.openxmlformats.org/officeDocument/2006/relationships" ref="JV1" r:id="rId281"/>
    <hyperlink xmlns:r="http://schemas.openxmlformats.org/officeDocument/2006/relationships" ref="JW1" r:id="rId282"/>
    <hyperlink xmlns:r="http://schemas.openxmlformats.org/officeDocument/2006/relationships" ref="JX1" r:id="rId283"/>
    <hyperlink xmlns:r="http://schemas.openxmlformats.org/officeDocument/2006/relationships" ref="JY1" r:id="rId284"/>
    <hyperlink xmlns:r="http://schemas.openxmlformats.org/officeDocument/2006/relationships" ref="JZ1" r:id="rId285"/>
    <hyperlink xmlns:r="http://schemas.openxmlformats.org/officeDocument/2006/relationships" ref="KA1" r:id="rId286"/>
    <hyperlink xmlns:r="http://schemas.openxmlformats.org/officeDocument/2006/relationships" ref="KB1" r:id="rId287"/>
    <hyperlink xmlns:r="http://schemas.openxmlformats.org/officeDocument/2006/relationships" ref="KC1" r:id="rId288"/>
    <hyperlink xmlns:r="http://schemas.openxmlformats.org/officeDocument/2006/relationships" ref="KD1" r:id="rId289"/>
    <hyperlink xmlns:r="http://schemas.openxmlformats.org/officeDocument/2006/relationships" ref="KE1" r:id="rId290"/>
    <hyperlink xmlns:r="http://schemas.openxmlformats.org/officeDocument/2006/relationships" ref="KF1" r:id="rId291"/>
    <hyperlink xmlns:r="http://schemas.openxmlformats.org/officeDocument/2006/relationships" ref="KG1" r:id="rId292"/>
    <hyperlink xmlns:r="http://schemas.openxmlformats.org/officeDocument/2006/relationships" ref="KH1" r:id="rId293"/>
    <hyperlink xmlns:r="http://schemas.openxmlformats.org/officeDocument/2006/relationships" ref="KI1" r:id="rId294"/>
    <hyperlink xmlns:r="http://schemas.openxmlformats.org/officeDocument/2006/relationships" ref="KJ1" r:id="rId295"/>
    <hyperlink xmlns:r="http://schemas.openxmlformats.org/officeDocument/2006/relationships" ref="KK1" r:id="rId296"/>
    <hyperlink xmlns:r="http://schemas.openxmlformats.org/officeDocument/2006/relationships" ref="KL1" r:id="rId297"/>
    <hyperlink xmlns:r="http://schemas.openxmlformats.org/officeDocument/2006/relationships" ref="KM1" r:id="rId298"/>
    <hyperlink xmlns:r="http://schemas.openxmlformats.org/officeDocument/2006/relationships" ref="KN1" r:id="rId299"/>
    <hyperlink xmlns:r="http://schemas.openxmlformats.org/officeDocument/2006/relationships" ref="KO1" r:id="rId300"/>
    <hyperlink xmlns:r="http://schemas.openxmlformats.org/officeDocument/2006/relationships" ref="KP1" r:id="rId301"/>
    <hyperlink xmlns:r="http://schemas.openxmlformats.org/officeDocument/2006/relationships" ref="KQ1" r:id="rId302"/>
    <hyperlink xmlns:r="http://schemas.openxmlformats.org/officeDocument/2006/relationships" ref="KR1" r:id="rId303"/>
    <hyperlink xmlns:r="http://schemas.openxmlformats.org/officeDocument/2006/relationships" ref="KS1" r:id="rId304"/>
    <hyperlink xmlns:r="http://schemas.openxmlformats.org/officeDocument/2006/relationships" ref="KT1" r:id="rId305"/>
    <hyperlink xmlns:r="http://schemas.openxmlformats.org/officeDocument/2006/relationships" ref="KU1" r:id="rId306"/>
    <hyperlink xmlns:r="http://schemas.openxmlformats.org/officeDocument/2006/relationships" ref="KV1" r:id="rId307"/>
    <hyperlink xmlns:r="http://schemas.openxmlformats.org/officeDocument/2006/relationships" ref="KW1" r:id="rId308"/>
    <hyperlink xmlns:r="http://schemas.openxmlformats.org/officeDocument/2006/relationships" ref="KX1" r:id="rId309"/>
    <hyperlink xmlns:r="http://schemas.openxmlformats.org/officeDocument/2006/relationships" ref="KY1" r:id="rId310"/>
    <hyperlink xmlns:r="http://schemas.openxmlformats.org/officeDocument/2006/relationships" ref="KZ1" r:id="rId311"/>
    <hyperlink xmlns:r="http://schemas.openxmlformats.org/officeDocument/2006/relationships" ref="LA1" r:id="rId312"/>
    <hyperlink xmlns:r="http://schemas.openxmlformats.org/officeDocument/2006/relationships" ref="LB1" r:id="rId313"/>
    <hyperlink xmlns:r="http://schemas.openxmlformats.org/officeDocument/2006/relationships" ref="LC1" r:id="rId314"/>
    <hyperlink xmlns:r="http://schemas.openxmlformats.org/officeDocument/2006/relationships" ref="LD1" r:id="rId315"/>
    <hyperlink xmlns:r="http://schemas.openxmlformats.org/officeDocument/2006/relationships" ref="LE1" r:id="rId316"/>
    <hyperlink xmlns:r="http://schemas.openxmlformats.org/officeDocument/2006/relationships" ref="LF1" r:id="rId317"/>
    <hyperlink xmlns:r="http://schemas.openxmlformats.org/officeDocument/2006/relationships" ref="LG1" r:id="rId318"/>
    <hyperlink xmlns:r="http://schemas.openxmlformats.org/officeDocument/2006/relationships" ref="LH1" r:id="rId319"/>
    <hyperlink xmlns:r="http://schemas.openxmlformats.org/officeDocument/2006/relationships" ref="LI1" r:id="rId320"/>
    <hyperlink xmlns:r="http://schemas.openxmlformats.org/officeDocument/2006/relationships" ref="LJ1" r:id="rId321"/>
    <hyperlink xmlns:r="http://schemas.openxmlformats.org/officeDocument/2006/relationships" ref="LK1" r:id="rId322"/>
    <hyperlink xmlns:r="http://schemas.openxmlformats.org/officeDocument/2006/relationships" ref="LL1" r:id="rId323"/>
    <hyperlink xmlns:r="http://schemas.openxmlformats.org/officeDocument/2006/relationships" ref="LM1" r:id="rId324"/>
    <hyperlink xmlns:r="http://schemas.openxmlformats.org/officeDocument/2006/relationships" ref="LN1" r:id="rId325"/>
    <hyperlink xmlns:r="http://schemas.openxmlformats.org/officeDocument/2006/relationships" ref="LO1" r:id="rId326"/>
    <hyperlink xmlns:r="http://schemas.openxmlformats.org/officeDocument/2006/relationships" ref="LP1" r:id="rId327"/>
    <hyperlink xmlns:r="http://schemas.openxmlformats.org/officeDocument/2006/relationships" ref="LQ1" r:id="rId328"/>
    <hyperlink xmlns:r="http://schemas.openxmlformats.org/officeDocument/2006/relationships" ref="LR1" r:id="rId329"/>
    <hyperlink xmlns:r="http://schemas.openxmlformats.org/officeDocument/2006/relationships" ref="LS1" r:id="rId330"/>
    <hyperlink xmlns:r="http://schemas.openxmlformats.org/officeDocument/2006/relationships" ref="LT1" r:id="rId331"/>
    <hyperlink xmlns:r="http://schemas.openxmlformats.org/officeDocument/2006/relationships" ref="LU1" r:id="rId332"/>
    <hyperlink xmlns:r="http://schemas.openxmlformats.org/officeDocument/2006/relationships" ref="LV1" r:id="rId333"/>
    <hyperlink xmlns:r="http://schemas.openxmlformats.org/officeDocument/2006/relationships" ref="LW1" r:id="rId334"/>
    <hyperlink xmlns:r="http://schemas.openxmlformats.org/officeDocument/2006/relationships" ref="LX1" r:id="rId335"/>
    <hyperlink xmlns:r="http://schemas.openxmlformats.org/officeDocument/2006/relationships" ref="LY1" r:id="rId336"/>
    <hyperlink xmlns:r="http://schemas.openxmlformats.org/officeDocument/2006/relationships" ref="LZ1" r:id="rId337"/>
    <hyperlink xmlns:r="http://schemas.openxmlformats.org/officeDocument/2006/relationships" ref="MA1" r:id="rId338"/>
    <hyperlink xmlns:r="http://schemas.openxmlformats.org/officeDocument/2006/relationships" ref="MB1" r:id="rId339"/>
    <hyperlink xmlns:r="http://schemas.openxmlformats.org/officeDocument/2006/relationships" ref="MC1" r:id="rId340"/>
    <hyperlink xmlns:r="http://schemas.openxmlformats.org/officeDocument/2006/relationships" ref="MD1" r:id="rId341"/>
    <hyperlink xmlns:r="http://schemas.openxmlformats.org/officeDocument/2006/relationships" ref="ME1" r:id="rId342"/>
    <hyperlink xmlns:r="http://schemas.openxmlformats.org/officeDocument/2006/relationships" ref="MF1" r:id="rId343"/>
    <hyperlink xmlns:r="http://schemas.openxmlformats.org/officeDocument/2006/relationships" ref="MG1" r:id="rId344"/>
    <hyperlink xmlns:r="http://schemas.openxmlformats.org/officeDocument/2006/relationships" ref="MH1" r:id="rId345"/>
    <hyperlink xmlns:r="http://schemas.openxmlformats.org/officeDocument/2006/relationships" ref="MI1" r:id="rId346"/>
    <hyperlink xmlns:r="http://schemas.openxmlformats.org/officeDocument/2006/relationships" ref="MJ1" r:id="rId347"/>
    <hyperlink xmlns:r="http://schemas.openxmlformats.org/officeDocument/2006/relationships" ref="MK1" r:id="rId348"/>
    <hyperlink xmlns:r="http://schemas.openxmlformats.org/officeDocument/2006/relationships" ref="ML1" r:id="rId349"/>
    <hyperlink xmlns:r="http://schemas.openxmlformats.org/officeDocument/2006/relationships" ref="MM1" r:id="rId350"/>
    <hyperlink xmlns:r="http://schemas.openxmlformats.org/officeDocument/2006/relationships" ref="MN1" r:id="rId351"/>
    <hyperlink xmlns:r="http://schemas.openxmlformats.org/officeDocument/2006/relationships" ref="MO1" r:id="rId352"/>
    <hyperlink xmlns:r="http://schemas.openxmlformats.org/officeDocument/2006/relationships" ref="MP1" r:id="rId353"/>
    <hyperlink xmlns:r="http://schemas.openxmlformats.org/officeDocument/2006/relationships" ref="MQ1" r:id="rId354"/>
    <hyperlink xmlns:r="http://schemas.openxmlformats.org/officeDocument/2006/relationships" ref="MR1" r:id="rId355"/>
    <hyperlink xmlns:r="http://schemas.openxmlformats.org/officeDocument/2006/relationships" ref="MS1" r:id="rId356"/>
    <hyperlink xmlns:r="http://schemas.openxmlformats.org/officeDocument/2006/relationships" ref="MT1" r:id="rId357"/>
    <hyperlink xmlns:r="http://schemas.openxmlformats.org/officeDocument/2006/relationships" ref="MU1" r:id="rId358"/>
    <hyperlink xmlns:r="http://schemas.openxmlformats.org/officeDocument/2006/relationships" ref="MV1" r:id="rId359"/>
    <hyperlink xmlns:r="http://schemas.openxmlformats.org/officeDocument/2006/relationships" ref="MW1" r:id="rId360"/>
    <hyperlink xmlns:r="http://schemas.openxmlformats.org/officeDocument/2006/relationships" ref="MX1" r:id="rId361"/>
    <hyperlink xmlns:r="http://schemas.openxmlformats.org/officeDocument/2006/relationships" ref="MY1" r:id="rId362"/>
    <hyperlink xmlns:r="http://schemas.openxmlformats.org/officeDocument/2006/relationships" ref="MZ1" r:id="rId363"/>
    <hyperlink xmlns:r="http://schemas.openxmlformats.org/officeDocument/2006/relationships" ref="NA1" r:id="rId364"/>
    <hyperlink xmlns:r="http://schemas.openxmlformats.org/officeDocument/2006/relationships" ref="NB1" r:id="rId365"/>
    <hyperlink xmlns:r="http://schemas.openxmlformats.org/officeDocument/2006/relationships" ref="NC1" r:id="rId366"/>
    <hyperlink xmlns:r="http://schemas.openxmlformats.org/officeDocument/2006/relationships" ref="ND1" r:id="rId367"/>
    <hyperlink xmlns:r="http://schemas.openxmlformats.org/officeDocument/2006/relationships" ref="NE1" r:id="rId368"/>
    <hyperlink xmlns:r="http://schemas.openxmlformats.org/officeDocument/2006/relationships" ref="NF1" r:id="rId369"/>
    <hyperlink xmlns:r="http://schemas.openxmlformats.org/officeDocument/2006/relationships" ref="NG1" r:id="rId370"/>
    <hyperlink xmlns:r="http://schemas.openxmlformats.org/officeDocument/2006/relationships" ref="NH1" r:id="rId371"/>
    <hyperlink xmlns:r="http://schemas.openxmlformats.org/officeDocument/2006/relationships" ref="NI1" r:id="rId372"/>
    <hyperlink xmlns:r="http://schemas.openxmlformats.org/officeDocument/2006/relationships" ref="NJ1" r:id="rId373"/>
    <hyperlink xmlns:r="http://schemas.openxmlformats.org/officeDocument/2006/relationships" ref="NK1" r:id="rId374"/>
    <hyperlink xmlns:r="http://schemas.openxmlformats.org/officeDocument/2006/relationships" ref="NL1" r:id="rId375"/>
    <hyperlink xmlns:r="http://schemas.openxmlformats.org/officeDocument/2006/relationships" ref="NM1" r:id="rId376"/>
    <hyperlink xmlns:r="http://schemas.openxmlformats.org/officeDocument/2006/relationships" ref="NN1" r:id="rId377"/>
    <hyperlink xmlns:r="http://schemas.openxmlformats.org/officeDocument/2006/relationships" ref="NO1" r:id="rId378"/>
    <hyperlink xmlns:r="http://schemas.openxmlformats.org/officeDocument/2006/relationships" ref="NP1" r:id="rId379"/>
    <hyperlink xmlns:r="http://schemas.openxmlformats.org/officeDocument/2006/relationships" ref="NQ1" r:id="rId380"/>
    <hyperlink xmlns:r="http://schemas.openxmlformats.org/officeDocument/2006/relationships" ref="NR1" r:id="rId381"/>
    <hyperlink xmlns:r="http://schemas.openxmlformats.org/officeDocument/2006/relationships" ref="NS1" r:id="rId382"/>
    <hyperlink xmlns:r="http://schemas.openxmlformats.org/officeDocument/2006/relationships" ref="NT1" r:id="rId383"/>
    <hyperlink xmlns:r="http://schemas.openxmlformats.org/officeDocument/2006/relationships" ref="NU1" r:id="rId384"/>
    <hyperlink xmlns:r="http://schemas.openxmlformats.org/officeDocument/2006/relationships" ref="NV1" r:id="rId385"/>
    <hyperlink xmlns:r="http://schemas.openxmlformats.org/officeDocument/2006/relationships" ref="NW1" r:id="rId386"/>
    <hyperlink xmlns:r="http://schemas.openxmlformats.org/officeDocument/2006/relationships" ref="NX1" r:id="rId387"/>
    <hyperlink xmlns:r="http://schemas.openxmlformats.org/officeDocument/2006/relationships" ref="NY1" r:id="rId388"/>
    <hyperlink xmlns:r="http://schemas.openxmlformats.org/officeDocument/2006/relationships" ref="NZ1" r:id="rId389"/>
    <hyperlink xmlns:r="http://schemas.openxmlformats.org/officeDocument/2006/relationships" ref="OA1" r:id="rId390"/>
    <hyperlink xmlns:r="http://schemas.openxmlformats.org/officeDocument/2006/relationships" ref="OB1" r:id="rId391"/>
    <hyperlink xmlns:r="http://schemas.openxmlformats.org/officeDocument/2006/relationships" ref="OC1" r:id="rId392"/>
    <hyperlink xmlns:r="http://schemas.openxmlformats.org/officeDocument/2006/relationships" ref="OD1" r:id="rId393"/>
    <hyperlink xmlns:r="http://schemas.openxmlformats.org/officeDocument/2006/relationships" ref="OE1" r:id="rId394"/>
    <hyperlink xmlns:r="http://schemas.openxmlformats.org/officeDocument/2006/relationships" ref="OF1" r:id="rId395"/>
    <hyperlink xmlns:r="http://schemas.openxmlformats.org/officeDocument/2006/relationships" ref="OG1" r:id="rId396"/>
    <hyperlink xmlns:r="http://schemas.openxmlformats.org/officeDocument/2006/relationships" ref="OH1" r:id="rId397"/>
    <hyperlink xmlns:r="http://schemas.openxmlformats.org/officeDocument/2006/relationships" ref="OI1" r:id="rId398"/>
    <hyperlink xmlns:r="http://schemas.openxmlformats.org/officeDocument/2006/relationships" ref="OJ1" r:id="rId399"/>
    <hyperlink xmlns:r="http://schemas.openxmlformats.org/officeDocument/2006/relationships" ref="OK1" r:id="rId400"/>
  </hyperlink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O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15" customWidth="1" min="5" max="5"/>
    <col width="16" customWidth="1" min="6" max="6"/>
    <col width="14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7" customWidth="1" min="17" max="17"/>
    <col width="17" customWidth="1" min="18" max="18"/>
    <col width="16" customWidth="1" min="19" max="19"/>
    <col width="17" customWidth="1" min="20" max="20"/>
    <col width="18" customWidth="1" min="21" max="21"/>
    <col width="14" customWidth="1" min="22" max="22"/>
    <col width="16" customWidth="1" min="23" max="23"/>
    <col width="16" customWidth="1" min="24" max="24"/>
    <col width="16" customWidth="1" min="25" max="25"/>
    <col width="14" customWidth="1" min="26" max="26"/>
    <col width="16" customWidth="1" min="27" max="27"/>
    <col width="17" customWidth="1" min="28" max="28"/>
    <col width="17" customWidth="1" min="29" max="29"/>
    <col width="16" customWidth="1" min="30" max="30"/>
    <col width="17" customWidth="1" min="31" max="31"/>
    <col width="16" customWidth="1" min="32" max="32"/>
    <col width="16" customWidth="1" min="33" max="33"/>
    <col width="14" customWidth="1" min="34" max="34"/>
    <col width="17" customWidth="1" min="35" max="35"/>
    <col width="17" customWidth="1" min="36" max="36"/>
    <col width="14" customWidth="1" min="37" max="37"/>
    <col width="16" customWidth="1" min="38" max="38"/>
    <col width="17" customWidth="1" min="39" max="39"/>
    <col width="17" customWidth="1" min="40" max="40"/>
    <col width="16" customWidth="1" min="41" max="41"/>
    <col width="14" customWidth="1" min="42" max="42"/>
    <col width="16" customWidth="1" min="43" max="43"/>
    <col width="16" customWidth="1" min="44" max="44"/>
    <col width="17" customWidth="1" min="45" max="45"/>
    <col width="17" customWidth="1" min="46" max="46"/>
    <col width="14" customWidth="1" min="47" max="47"/>
    <col width="14" customWidth="1" min="48" max="48"/>
    <col width="16" customWidth="1" min="49" max="49"/>
    <col width="17" customWidth="1" min="50" max="50"/>
    <col width="17" customWidth="1" min="51" max="51"/>
    <col width="16" customWidth="1" min="52" max="52"/>
    <col width="16" customWidth="1" min="53" max="53"/>
    <col width="16" customWidth="1" min="54" max="54"/>
    <col width="16" customWidth="1" min="55" max="55"/>
    <col width="17" customWidth="1" min="56" max="56"/>
    <col width="14" customWidth="1" min="57" max="57"/>
    <col width="16" customWidth="1" min="58" max="58"/>
    <col width="16" customWidth="1" min="59" max="59"/>
    <col width="16" customWidth="1" min="60" max="60"/>
    <col width="17" customWidth="1" min="61" max="61"/>
    <col width="16" customWidth="1" min="62" max="62"/>
    <col width="14" customWidth="1" min="63" max="63"/>
    <col width="16" customWidth="1" min="64" max="64"/>
    <col width="16" customWidth="1" min="65" max="65"/>
    <col width="16" customWidth="1" min="66" max="66"/>
    <col width="16" customWidth="1" min="67" max="67"/>
    <col width="14" customWidth="1" min="68" max="68"/>
    <col width="16" customWidth="1" min="69" max="69"/>
    <col width="17" customWidth="1" min="70" max="70"/>
    <col width="17" customWidth="1" min="71" max="71"/>
    <col width="16" customWidth="1" min="72" max="72"/>
    <col width="17" customWidth="1" min="73" max="73"/>
    <col width="16" customWidth="1" min="74" max="74"/>
    <col width="16" customWidth="1" min="75" max="75"/>
    <col width="14" customWidth="1" min="76" max="76"/>
    <col width="16" customWidth="1" min="77" max="77"/>
    <col width="16" customWidth="1" min="78" max="78"/>
    <col width="14" customWidth="1" min="79" max="79"/>
    <col width="16" customWidth="1" min="80" max="80"/>
    <col width="17" customWidth="1" min="81" max="81"/>
    <col width="16" customWidth="1" min="82" max="82"/>
    <col width="16" customWidth="1" min="83" max="83"/>
    <col width="14" customWidth="1" min="84" max="84"/>
    <col width="16" customWidth="1" min="85" max="85"/>
    <col width="16" customWidth="1" min="86" max="86"/>
    <col width="16" customWidth="1" min="87" max="87"/>
    <col width="14" customWidth="1" min="88" max="88"/>
    <col width="16" customWidth="1" min="89" max="89"/>
    <col width="17" customWidth="1" min="90" max="90"/>
    <col width="17" customWidth="1" min="91" max="91"/>
    <col width="16" customWidth="1" min="92" max="92"/>
    <col width="16" customWidth="1" min="93" max="93"/>
    <col width="14" customWidth="1" min="94" max="94"/>
    <col width="16" customWidth="1" min="95" max="95"/>
    <col width="16" customWidth="1" min="96" max="96"/>
    <col width="16" customWidth="1" min="97" max="97"/>
    <col width="16" customWidth="1" min="98" max="98"/>
    <col width="17" customWidth="1" min="99" max="99"/>
    <col width="17" customWidth="1" min="100" max="100"/>
    <col width="17" customWidth="1" min="101" max="101"/>
    <col width="17" customWidth="1" min="102" max="102"/>
    <col width="16" customWidth="1" min="103" max="103"/>
    <col width="17" customWidth="1" min="104" max="104"/>
    <col width="14" customWidth="1" min="105" max="105"/>
    <col width="16" customWidth="1" min="106" max="106"/>
    <col width="16" customWidth="1" min="107" max="107"/>
    <col width="18" customWidth="1" min="108" max="108"/>
    <col width="16" customWidth="1" min="109" max="109"/>
    <col width="16" customWidth="1" min="110" max="110"/>
    <col width="14" customWidth="1" min="111" max="111"/>
    <col width="16" customWidth="1" min="112" max="112"/>
    <col width="16" customWidth="1" min="113" max="113"/>
    <col width="17" customWidth="1" min="114" max="114"/>
    <col width="17" customWidth="1" min="115" max="115"/>
    <col width="16" customWidth="1" min="116" max="116"/>
    <col width="14" customWidth="1" min="117" max="117"/>
    <col width="17" customWidth="1" min="118" max="118"/>
    <col width="13" customWidth="1" min="119" max="119"/>
    <col width="14" customWidth="1" min="120" max="120"/>
    <col width="14" customWidth="1" min="121" max="121"/>
    <col width="14" customWidth="1" min="122" max="122"/>
    <col width="16" customWidth="1" min="123" max="123"/>
    <col width="16" customWidth="1" min="124" max="124"/>
    <col width="14" customWidth="1" min="125" max="125"/>
    <col width="16" customWidth="1" min="126" max="126"/>
    <col width="14" customWidth="1" min="127" max="127"/>
    <col width="15" customWidth="1" min="128" max="128"/>
    <col width="14" customWidth="1" min="129" max="129"/>
    <col width="16" customWidth="1" min="130" max="130"/>
    <col width="16" customWidth="1" min="131" max="131"/>
    <col width="14" customWidth="1" min="132" max="132"/>
    <col width="16" customWidth="1" min="133" max="133"/>
    <col width="16" customWidth="1" min="134" max="134"/>
    <col width="14" customWidth="1" min="135" max="135"/>
    <col width="16" customWidth="1" min="136" max="136"/>
    <col width="16" customWidth="1" min="137" max="137"/>
    <col width="14" customWidth="1" min="138" max="138"/>
    <col width="14" customWidth="1" min="139" max="139"/>
    <col width="16" customWidth="1" min="140" max="140"/>
    <col width="16" customWidth="1" min="141" max="141"/>
    <col width="14" customWidth="1" min="142" max="142"/>
    <col width="16" customWidth="1" min="143" max="143"/>
    <col width="14" customWidth="1" min="144" max="144"/>
    <col width="16" customWidth="1" min="145" max="145"/>
    <col width="17" customWidth="1" min="146" max="146"/>
    <col width="16" customWidth="1" min="147" max="147"/>
    <col width="14" customWidth="1" min="148" max="148"/>
    <col width="16" customWidth="1" min="149" max="149"/>
    <col width="16" customWidth="1" min="150" max="150"/>
    <col width="14" customWidth="1" min="151" max="151"/>
    <col width="16" customWidth="1" min="152" max="152"/>
    <col width="16" customWidth="1" min="153" max="153"/>
    <col width="14" customWidth="1" min="154" max="154"/>
    <col width="16" customWidth="1" min="155" max="155"/>
    <col width="16" customWidth="1" min="156" max="156"/>
    <col width="16" customWidth="1" min="157" max="157"/>
    <col width="13" customWidth="1" min="158" max="158"/>
    <col width="14" customWidth="1" min="159" max="159"/>
    <col width="14" customWidth="1" min="160" max="160"/>
    <col width="16" customWidth="1" min="161" max="161"/>
    <col width="16" customWidth="1" min="162" max="162"/>
    <col width="16" customWidth="1" min="163" max="163"/>
    <col width="16" customWidth="1" min="164" max="164"/>
    <col width="14" customWidth="1" min="165" max="165"/>
    <col width="14" customWidth="1" min="166" max="166"/>
    <col width="14" customWidth="1" min="167" max="167"/>
    <col width="16" customWidth="1" min="168" max="168"/>
    <col width="16" customWidth="1" min="169" max="169"/>
    <col width="16" customWidth="1" min="170" max="170"/>
    <col width="16" customWidth="1" min="171" max="171"/>
    <col width="14" customWidth="1" min="172" max="172"/>
    <col width="14" customWidth="1" min="173" max="173"/>
    <col width="16" customWidth="1" min="174" max="174"/>
    <col width="16" customWidth="1" min="175" max="175"/>
    <col width="16" customWidth="1" min="176" max="176"/>
    <col width="14" customWidth="1" min="177" max="177"/>
    <col width="14" customWidth="1" min="178" max="178"/>
    <col width="16" customWidth="1" min="179" max="179"/>
    <col width="16" customWidth="1" min="180" max="180"/>
    <col width="13" customWidth="1" min="181" max="181"/>
    <col width="14" customWidth="1" min="182" max="182"/>
    <col width="14" customWidth="1" min="183" max="183"/>
    <col width="16" customWidth="1" min="184" max="184"/>
    <col width="17" customWidth="1" min="185" max="185"/>
    <col width="17" customWidth="1" min="186" max="186"/>
    <col width="17" customWidth="1" min="187" max="187"/>
    <col width="17" customWidth="1" min="188" max="188"/>
    <col width="16" customWidth="1" min="189" max="189"/>
    <col width="16" customWidth="1" min="190" max="190"/>
    <col width="16" customWidth="1" min="191" max="191"/>
    <col width="14" customWidth="1" min="192" max="192"/>
    <col width="16" customWidth="1" min="193" max="193"/>
    <col width="17" customWidth="1" min="194" max="194"/>
    <col width="17" customWidth="1" min="195" max="195"/>
    <col width="17" customWidth="1" min="196" max="196"/>
    <col width="16" customWidth="1" min="197" max="197"/>
    <col width="14" customWidth="1" min="198" max="198"/>
    <col width="16" customWidth="1" min="199" max="199"/>
    <col width="14" customWidth="1" min="200" max="200"/>
    <col width="16" customWidth="1" min="201" max="201"/>
    <col width="14" customWidth="1" min="202" max="202"/>
    <col width="16" customWidth="1" min="203" max="203"/>
    <col width="17" customWidth="1" min="204" max="204"/>
    <col width="14" customWidth="1" min="205" max="205"/>
    <col width="16" customWidth="1" min="206" max="206"/>
    <col width="16" customWidth="1" min="207" max="207"/>
    <col width="17" customWidth="1" min="208" max="208"/>
    <col width="17" customWidth="1" min="209" max="209"/>
    <col width="13" customWidth="1" min="210" max="210"/>
    <col width="14" customWidth="1" min="211" max="211"/>
    <col width="14" customWidth="1" min="212" max="212"/>
    <col width="16" customWidth="1" min="213" max="213"/>
    <col width="16" customWidth="1" min="214" max="214"/>
    <col width="14" customWidth="1" min="215" max="215"/>
    <col width="14" customWidth="1" min="216" max="216"/>
    <col width="16" customWidth="1" min="217" max="217"/>
    <col width="16" customWidth="1" min="218" max="218"/>
    <col width="16" customWidth="1" min="219" max="219"/>
    <col width="16" customWidth="1" min="220" max="220"/>
    <col width="14" customWidth="1" min="221" max="221"/>
    <col width="16" customWidth="1" min="222" max="222"/>
    <col width="16" customWidth="1" min="223" max="223"/>
    <col width="16" customWidth="1" min="224" max="224"/>
    <col width="16" customWidth="1" min="225" max="225"/>
    <col width="13" customWidth="1" min="226" max="226"/>
    <col width="14" customWidth="1" min="227" max="227"/>
    <col width="16" customWidth="1" min="228" max="228"/>
    <col width="16" customWidth="1" min="229" max="229"/>
    <col width="16" customWidth="1" min="230" max="230"/>
    <col width="16" customWidth="1" min="231" max="231"/>
    <col width="14" customWidth="1" min="232" max="232"/>
    <col width="16" customWidth="1" min="233" max="233"/>
    <col width="17" customWidth="1" min="234" max="234"/>
    <col width="17" customWidth="1" min="235" max="235"/>
    <col width="16" customWidth="1" min="236" max="236"/>
    <col width="17" customWidth="1" min="237" max="237"/>
    <col width="17" customWidth="1" min="238" max="238"/>
    <col width="14" customWidth="1" min="239" max="239"/>
    <col width="16" customWidth="1" min="240" max="240"/>
    <col width="16" customWidth="1" min="241" max="241"/>
    <col width="14" customWidth="1" min="242" max="242"/>
    <col width="16" customWidth="1" min="243" max="243"/>
    <col width="17" customWidth="1" min="244" max="244"/>
    <col width="14" customWidth="1" min="245" max="245"/>
    <col width="16" customWidth="1" min="246" max="246"/>
    <col width="17" customWidth="1" min="247" max="247"/>
    <col width="16" customWidth="1" min="248" max="248"/>
    <col width="16" customWidth="1" min="249" max="249"/>
    <col width="14" customWidth="1" min="250" max="250"/>
    <col width="16" customWidth="1" min="251" max="251"/>
    <col width="16" customWidth="1" min="252" max="252"/>
    <col width="17" customWidth="1" min="253" max="253"/>
    <col width="17" customWidth="1" min="254" max="254"/>
    <col width="16" customWidth="1" min="255" max="255"/>
    <col width="14" customWidth="1" min="256" max="256"/>
    <col width="13" customWidth="1" min="257" max="257"/>
    <col width="14" customWidth="1" min="258" max="258"/>
    <col width="14" customWidth="1" min="259" max="259"/>
    <col width="14" customWidth="1" min="260" max="260"/>
    <col width="16" customWidth="1" min="261" max="261"/>
    <col width="16" customWidth="1" min="262" max="262"/>
    <col width="16" customWidth="1" min="263" max="263"/>
    <col width="16" customWidth="1" min="264" max="264"/>
    <col width="14" customWidth="1" min="265" max="265"/>
    <col width="14" customWidth="1" min="266" max="266"/>
    <col width="16" customWidth="1" min="267" max="267"/>
    <col width="16" customWidth="1" min="268" max="268"/>
    <col width="15" customWidth="1" min="269" max="269"/>
    <col width="14" customWidth="1" min="270" max="270"/>
    <col width="16" customWidth="1" min="271" max="271"/>
    <col width="16" customWidth="1" min="272" max="272"/>
    <col width="16" customWidth="1" min="273" max="273"/>
    <col width="13" customWidth="1" min="274" max="274"/>
    <col width="14" customWidth="1" min="275" max="275"/>
    <col width="16" customWidth="1" min="276" max="276"/>
    <col width="14" customWidth="1" min="277" max="277"/>
    <col width="14" customWidth="1" min="278" max="278"/>
    <col width="14" customWidth="1" min="279" max="279"/>
    <col width="16" customWidth="1" min="280" max="280"/>
    <col width="16" customWidth="1" min="281" max="281"/>
    <col width="16" customWidth="1" min="282" max="282"/>
    <col width="16" customWidth="1" min="283" max="283"/>
    <col width="17" customWidth="1" min="284" max="284"/>
    <col width="14" customWidth="1" min="285" max="285"/>
    <col width="17" customWidth="1" min="286" max="286"/>
    <col width="15" customWidth="1" min="287" max="287"/>
    <col width="15" customWidth="1" min="288" max="288"/>
    <col width="15" customWidth="1" min="289" max="289"/>
    <col width="16" customWidth="1" min="290" max="290"/>
    <col width="15" customWidth="1" min="291" max="291"/>
    <col width="16" customWidth="1" min="292" max="292"/>
    <col width="17" customWidth="1" min="293" max="293"/>
    <col width="18" customWidth="1" min="294" max="294"/>
    <col width="15" customWidth="1" min="295" max="295"/>
    <col width="13" customWidth="1" min="296" max="296"/>
    <col width="15" customWidth="1" min="297" max="297"/>
    <col width="16" customWidth="1" min="298" max="298"/>
    <col width="16" customWidth="1" min="299" max="299"/>
    <col width="17" customWidth="1" min="300" max="300"/>
    <col width="15" customWidth="1" min="301" max="301"/>
    <col width="13" customWidth="1" min="302" max="302"/>
    <col width="14" customWidth="1" min="303" max="303"/>
    <col width="14" customWidth="1" min="304" max="304"/>
    <col width="14" customWidth="1" min="305" max="305"/>
    <col width="14" customWidth="1" min="306" max="306"/>
    <col width="15" customWidth="1" min="307" max="307"/>
    <col width="15" customWidth="1" min="308" max="308"/>
    <col width="13" customWidth="1" min="309" max="309"/>
    <col width="15" customWidth="1" min="310" max="310"/>
    <col width="16" customWidth="1" min="311" max="311"/>
    <col width="16" customWidth="1" min="312" max="312"/>
    <col width="17" customWidth="1" min="313" max="313"/>
    <col width="14" customWidth="1" min="314" max="314"/>
    <col width="16" customWidth="1" min="315" max="315"/>
    <col width="14" customWidth="1" min="316" max="316"/>
    <col width="14" customWidth="1" min="317" max="317"/>
    <col width="16" customWidth="1" min="318" max="318"/>
    <col width="13" customWidth="1" min="319" max="319"/>
    <col width="15" customWidth="1" min="320" max="320"/>
    <col width="15" customWidth="1" min="321" max="321"/>
    <col width="17" customWidth="1" min="322" max="322"/>
    <col width="17" customWidth="1" min="323" max="323"/>
    <col width="14" customWidth="1" min="324" max="324"/>
    <col width="15" customWidth="1" min="325" max="325"/>
    <col width="15" customWidth="1" min="326" max="326"/>
    <col width="15" customWidth="1" min="327" max="327"/>
  </cols>
  <sheetData>
    <row r="1">
      <c r="A1" s="6" t="inlineStr">
        <is>
          <t>Ref Month (SA)</t>
        </is>
      </c>
      <c r="B1" s="25" t="inlineStr">
        <is>
          <t>CUSR0000SA0</t>
        </is>
      </c>
      <c r="C1" s="25" t="inlineStr">
        <is>
          <t>CUSR0000SAF</t>
        </is>
      </c>
      <c r="D1" s="25" t="inlineStr">
        <is>
          <t>CUSR0000SAF1</t>
        </is>
      </c>
      <c r="E1" s="25" t="inlineStr">
        <is>
          <t>CUSR0000SAF11</t>
        </is>
      </c>
      <c r="F1" s="25" t="inlineStr">
        <is>
          <t>CUSR0000SAF111</t>
        </is>
      </c>
      <c r="G1" s="25" t="inlineStr">
        <is>
          <t>CUSR0000SEFA</t>
        </is>
      </c>
      <c r="H1" s="25" t="inlineStr">
        <is>
          <t>CUSR0000SEFA01</t>
        </is>
      </c>
      <c r="I1" s="25" t="inlineStr">
        <is>
          <t>CUSR0000SEFA02</t>
        </is>
      </c>
      <c r="J1" s="25" t="inlineStr">
        <is>
          <t>CUSR0000SEFA03</t>
        </is>
      </c>
      <c r="K1" s="25" t="inlineStr">
        <is>
          <t>CUSR0000SEFB</t>
        </is>
      </c>
      <c r="L1" s="25" t="inlineStr">
        <is>
          <t>CUSR0000SEFB01</t>
        </is>
      </c>
      <c r="M1" s="25" t="inlineStr">
        <is>
          <t>CUSR0000SEFB02</t>
        </is>
      </c>
      <c r="N1" s="25" t="inlineStr">
        <is>
          <t>CUSR0000SEFB03</t>
        </is>
      </c>
      <c r="O1" s="25" t="inlineStr">
        <is>
          <t>CUSR0000SS02042</t>
        </is>
      </c>
      <c r="P1" s="25" t="inlineStr">
        <is>
          <t>CUSR0000SEFB04</t>
        </is>
      </c>
      <c r="Q1" s="25" t="inlineStr">
        <is>
          <t>CUSR0000SS0206A</t>
        </is>
      </c>
      <c r="R1" s="25" t="inlineStr">
        <is>
          <t>CUSR0000SS0206B</t>
        </is>
      </c>
      <c r="S1" s="25" t="inlineStr">
        <is>
          <t>CUSR0000SAF112</t>
        </is>
      </c>
      <c r="T1" s="25" t="inlineStr">
        <is>
          <t>CUSR0000SAF1121</t>
        </is>
      </c>
      <c r="U1" s="25" t="inlineStr">
        <is>
          <t>CUSR0000SAF11211</t>
        </is>
      </c>
      <c r="V1" s="25" t="inlineStr">
        <is>
          <t>CUSR0000SEFC</t>
        </is>
      </c>
      <c r="W1" s="25" t="inlineStr">
        <is>
          <t>CUSR0000SEFC01</t>
        </is>
      </c>
      <c r="X1" s="25" t="inlineStr">
        <is>
          <t>CUSR0000SEFC02</t>
        </is>
      </c>
      <c r="Y1" s="25" t="inlineStr">
        <is>
          <t>CUSR0000SEFC03</t>
        </is>
      </c>
      <c r="Z1" s="25" t="inlineStr">
        <is>
          <t>CUSR0000SEFD</t>
        </is>
      </c>
      <c r="AA1" s="25" t="inlineStr">
        <is>
          <t>CUSR0000SEFD01</t>
        </is>
      </c>
      <c r="AB1" s="25" t="inlineStr">
        <is>
          <t>CUSR0000SS04011</t>
        </is>
      </c>
      <c r="AC1" s="25" t="inlineStr">
        <is>
          <t>CUSR0000SS04012</t>
        </is>
      </c>
      <c r="AD1" s="25" t="inlineStr">
        <is>
          <t>CUSR0000SEFD02</t>
        </is>
      </c>
      <c r="AE1" s="25" t="inlineStr">
        <is>
          <t>CUSR0000SS04031</t>
        </is>
      </c>
      <c r="AF1" s="25" t="inlineStr">
        <is>
          <t>CUSR0000SEFD03</t>
        </is>
      </c>
      <c r="AG1" s="25" t="inlineStr">
        <is>
          <t>CUSR0000SEFD04</t>
        </is>
      </c>
      <c r="AH1" s="25" t="inlineStr">
        <is>
          <t>CUSR0000SEFE</t>
        </is>
      </c>
      <c r="AI1" s="25" t="inlineStr">
        <is>
          <t>CUSR0000SS05011</t>
        </is>
      </c>
      <c r="AJ1" s="25" t="inlineStr">
        <is>
          <t>CUSR0000SS0501A</t>
        </is>
      </c>
      <c r="AK1" s="25" t="inlineStr">
        <is>
          <t>CUSR0000SEFF</t>
        </is>
      </c>
      <c r="AL1" s="25" t="inlineStr">
        <is>
          <t>CUSR0000SEFF01</t>
        </is>
      </c>
      <c r="AM1" s="25" t="inlineStr">
        <is>
          <t>CUSR0000SS06011</t>
        </is>
      </c>
      <c r="AN1" s="25" t="inlineStr">
        <is>
          <t>CUSR0000SS06021</t>
        </is>
      </c>
      <c r="AO1" s="25" t="inlineStr">
        <is>
          <t>CUSR0000SEFF02</t>
        </is>
      </c>
      <c r="AP1" s="25" t="inlineStr">
        <is>
          <t>CUSR0000SEFG</t>
        </is>
      </c>
      <c r="AQ1" s="25" t="inlineStr">
        <is>
          <t>CUSR0000SEFG01</t>
        </is>
      </c>
      <c r="AR1" s="25" t="inlineStr">
        <is>
          <t>CUSR0000SEFG02</t>
        </is>
      </c>
      <c r="AS1" s="25" t="inlineStr">
        <is>
          <t>CUSR0000SS07011</t>
        </is>
      </c>
      <c r="AT1" s="25" t="inlineStr">
        <is>
          <t>CUSR0000SS07021</t>
        </is>
      </c>
      <c r="AU1" s="25" t="inlineStr">
        <is>
          <t>CUSR0000SEFH</t>
        </is>
      </c>
      <c r="AV1" s="25" t="inlineStr">
        <is>
          <t>CUSR0000SEFJ</t>
        </is>
      </c>
      <c r="AW1" s="25" t="inlineStr">
        <is>
          <t>CUSR0000SEFJ01</t>
        </is>
      </c>
      <c r="AX1" s="25" t="inlineStr">
        <is>
          <t>CUSR0000SS09011</t>
        </is>
      </c>
      <c r="AY1" s="25" t="inlineStr">
        <is>
          <t>CUSR0000SS09021</t>
        </is>
      </c>
      <c r="AZ1" s="25" t="inlineStr">
        <is>
          <t>CUSR0000SEFJ02</t>
        </is>
      </c>
      <c r="BA1" s="25" t="inlineStr">
        <is>
          <t>CUSR0000SEFJ03</t>
        </is>
      </c>
      <c r="BB1" s="25" t="inlineStr">
        <is>
          <t>CUSR0000SEFJ04</t>
        </is>
      </c>
      <c r="BC1" s="25" t="inlineStr">
        <is>
          <t>CUSR0000SAF113</t>
        </is>
      </c>
      <c r="BD1" s="25" t="inlineStr">
        <is>
          <t>CUSR0000SAF1131</t>
        </is>
      </c>
      <c r="BE1" s="25" t="inlineStr">
        <is>
          <t>CUSR0000SEFK</t>
        </is>
      </c>
      <c r="BF1" s="25" t="inlineStr">
        <is>
          <t>CUSR0000SEFK01</t>
        </is>
      </c>
      <c r="BG1" s="25" t="inlineStr">
        <is>
          <t>CUSR0000SEFK02</t>
        </is>
      </c>
      <c r="BH1" s="25" t="inlineStr">
        <is>
          <t>CUSR0000SEFK03</t>
        </is>
      </c>
      <c r="BI1" s="25" t="inlineStr">
        <is>
          <t>CUSR0000SS11031</t>
        </is>
      </c>
      <c r="BJ1" s="25" t="inlineStr">
        <is>
          <t>CUSR0000SEFK04</t>
        </is>
      </c>
      <c r="BK1" s="25" t="inlineStr">
        <is>
          <t>CUSR0000SEFL</t>
        </is>
      </c>
      <c r="BL1" s="25" t="inlineStr">
        <is>
          <t>CUSR0000SEFL01</t>
        </is>
      </c>
      <c r="BM1" s="25" t="inlineStr">
        <is>
          <t>CUSR0000SEFL02</t>
        </is>
      </c>
      <c r="BN1" s="25" t="inlineStr">
        <is>
          <t>CUSR0000SEFL03</t>
        </is>
      </c>
      <c r="BO1" s="25" t="inlineStr">
        <is>
          <t>CUSR0000SEFL04</t>
        </is>
      </c>
      <c r="BP1" s="25" t="inlineStr">
        <is>
          <t>CUSR0000SEFM</t>
        </is>
      </c>
      <c r="BQ1" s="25" t="inlineStr">
        <is>
          <t>CUSR0000SEFM01</t>
        </is>
      </c>
      <c r="BR1" s="25" t="inlineStr">
        <is>
          <t>CUSR0000SS13031</t>
        </is>
      </c>
      <c r="BS1" s="25" t="inlineStr">
        <is>
          <t>CUSR0000SS14021</t>
        </is>
      </c>
      <c r="BT1" s="25" t="inlineStr">
        <is>
          <t>CUSR0000SEFM02</t>
        </is>
      </c>
      <c r="BU1" s="25" t="inlineStr">
        <is>
          <t>CUSR0000SS14011</t>
        </is>
      </c>
      <c r="BV1" s="25" t="inlineStr">
        <is>
          <t>CUSR0000SEFM03</t>
        </is>
      </c>
      <c r="BW1" s="25" t="inlineStr">
        <is>
          <t>CUSR0000SAF114</t>
        </is>
      </c>
      <c r="BX1" s="25" t="inlineStr">
        <is>
          <t>CUSR0000SEFN</t>
        </is>
      </c>
      <c r="BY1" s="25" t="inlineStr">
        <is>
          <t>CUSR0000SEFN01</t>
        </is>
      </c>
      <c r="BZ1" s="25" t="inlineStr">
        <is>
          <t>CUSR0000SEFN03</t>
        </is>
      </c>
      <c r="CA1" s="25" t="inlineStr">
        <is>
          <t>CUSR0000SEFP</t>
        </is>
      </c>
      <c r="CB1" s="25" t="inlineStr">
        <is>
          <t>CUSR0000SEFP01</t>
        </is>
      </c>
      <c r="CC1" s="25" t="inlineStr">
        <is>
          <t>CUSR0000SS17031</t>
        </is>
      </c>
      <c r="CD1" s="25" t="inlineStr">
        <is>
          <t>CUSR0000SEFP02</t>
        </is>
      </c>
      <c r="CE1" s="25" t="inlineStr">
        <is>
          <t>CUSR0000SAF115</t>
        </is>
      </c>
      <c r="CF1" s="25" t="inlineStr">
        <is>
          <t>CUSR0000SEFR</t>
        </is>
      </c>
      <c r="CG1" s="25" t="inlineStr">
        <is>
          <t>CUSR0000SEFR01</t>
        </is>
      </c>
      <c r="CH1" s="25" t="inlineStr">
        <is>
          <t>CUSR0000SEFR02</t>
        </is>
      </c>
      <c r="CI1" s="25" t="inlineStr">
        <is>
          <t>CUSR0000SEFR03</t>
        </is>
      </c>
      <c r="CJ1" s="25" t="inlineStr">
        <is>
          <t>CUSR0000SEFS</t>
        </is>
      </c>
      <c r="CK1" s="25" t="inlineStr">
        <is>
          <t>CUSR0000SEFS01</t>
        </is>
      </c>
      <c r="CL1" s="25" t="inlineStr">
        <is>
          <t>CUSR0000SS10011</t>
        </is>
      </c>
      <c r="CM1" s="25" t="inlineStr">
        <is>
          <t>CUSR0000SS16011</t>
        </is>
      </c>
      <c r="CN1" s="25" t="inlineStr">
        <is>
          <t>CUSR0000SEFS02</t>
        </is>
      </c>
      <c r="CO1" s="25" t="inlineStr">
        <is>
          <t>CUSR0000SEFS03</t>
        </is>
      </c>
      <c r="CP1" s="25" t="inlineStr">
        <is>
          <t>CUSR0000SEFT</t>
        </is>
      </c>
      <c r="CQ1" s="25" t="inlineStr">
        <is>
          <t>CUSR0000SEFT01</t>
        </is>
      </c>
      <c r="CR1" s="25" t="inlineStr">
        <is>
          <t>CUSR0000SEFT02</t>
        </is>
      </c>
      <c r="CS1" s="25" t="inlineStr">
        <is>
          <t>CUSR0000SEFT03</t>
        </is>
      </c>
      <c r="CT1" s="25" t="inlineStr">
        <is>
          <t>CUSR0000SEFT04</t>
        </is>
      </c>
      <c r="CU1" s="25" t="inlineStr">
        <is>
          <t>CUSR0000SS18041</t>
        </is>
      </c>
      <c r="CV1" s="25" t="inlineStr">
        <is>
          <t>CUSR0000SS18042</t>
        </is>
      </c>
      <c r="CW1" s="25" t="inlineStr">
        <is>
          <t>CUSR0000SS18043</t>
        </is>
      </c>
      <c r="CX1" s="25" t="inlineStr">
        <is>
          <t>CUSR0000SS1804B</t>
        </is>
      </c>
      <c r="CY1" s="25" t="inlineStr">
        <is>
          <t>CUSR0000SEFT06</t>
        </is>
      </c>
      <c r="CZ1" s="25" t="inlineStr">
        <is>
          <t>CUSR0000SS18064</t>
        </is>
      </c>
      <c r="DA1" s="25" t="inlineStr">
        <is>
          <t>CUSR0000SEFV</t>
        </is>
      </c>
      <c r="DB1" s="25" t="inlineStr">
        <is>
          <t>CUSR0000SEFV01</t>
        </is>
      </c>
      <c r="DC1" s="25" t="inlineStr">
        <is>
          <t>CUSR0000SEFV03</t>
        </is>
      </c>
      <c r="DD1" s="25" t="inlineStr">
        <is>
          <t>CUSR0000SSFV031A</t>
        </is>
      </c>
      <c r="DE1" s="25" t="inlineStr">
        <is>
          <t>CUSR0000SEFV05</t>
        </is>
      </c>
      <c r="DF1" s="25" t="inlineStr">
        <is>
          <t>CUSR0000SAF116</t>
        </is>
      </c>
      <c r="DG1" s="25" t="inlineStr">
        <is>
          <t>CUSR0000SEFW</t>
        </is>
      </c>
      <c r="DH1" s="25" t="inlineStr">
        <is>
          <t>CUSR0000SEFW01</t>
        </is>
      </c>
      <c r="DI1" s="25" t="inlineStr">
        <is>
          <t>CUSR0000SEFW02</t>
        </is>
      </c>
      <c r="DJ1" s="25" t="inlineStr">
        <is>
          <t>CUSR0000SS20021</t>
        </is>
      </c>
      <c r="DK1" s="25" t="inlineStr">
        <is>
          <t>CUSR0000SS20022</t>
        </is>
      </c>
      <c r="DL1" s="25" t="inlineStr">
        <is>
          <t>CUSR0000SEFW03</t>
        </is>
      </c>
      <c r="DM1" s="25" t="inlineStr">
        <is>
          <t>CUSR0000SEFX</t>
        </is>
      </c>
      <c r="DN1" s="25" t="inlineStr">
        <is>
          <t>CUSR0000SS20053</t>
        </is>
      </c>
      <c r="DO1" s="25" t="inlineStr">
        <is>
          <t>CUSR0000SAH</t>
        </is>
      </c>
      <c r="DP1" s="25" t="inlineStr">
        <is>
          <t>CUSR0000SAH1</t>
        </is>
      </c>
      <c r="DQ1" s="25" t="inlineStr">
        <is>
          <t>CUSR0000SEHA</t>
        </is>
      </c>
      <c r="DR1" s="25" t="inlineStr">
        <is>
          <t>CUSR0000SEHB</t>
        </is>
      </c>
      <c r="DS1" s="25" t="inlineStr">
        <is>
          <t>CUSR0000SEHB01</t>
        </is>
      </c>
      <c r="DT1" s="25" t="inlineStr">
        <is>
          <t>CUSR0000SEHB02</t>
        </is>
      </c>
      <c r="DU1" s="25" t="inlineStr">
        <is>
          <t>CUSR0000SEHC</t>
        </is>
      </c>
      <c r="DV1" s="25" t="inlineStr">
        <is>
          <t>CUSR0000SEHC01</t>
        </is>
      </c>
      <c r="DW1" s="25" t="inlineStr">
        <is>
          <t>CUSR0000SAH2</t>
        </is>
      </c>
      <c r="DX1" s="25" t="inlineStr">
        <is>
          <t>CUSR0000SAH21</t>
        </is>
      </c>
      <c r="DY1" s="25" t="inlineStr">
        <is>
          <t>CUSR0000SEHE</t>
        </is>
      </c>
      <c r="DZ1" s="25" t="inlineStr">
        <is>
          <t>CUSR0000SEHE01</t>
        </is>
      </c>
      <c r="EA1" s="25" t="inlineStr">
        <is>
          <t>CUSR0000SEHE02</t>
        </is>
      </c>
      <c r="EB1" s="25" t="inlineStr">
        <is>
          <t>CUSR0000SEHF</t>
        </is>
      </c>
      <c r="EC1" s="25" t="inlineStr">
        <is>
          <t>CUSR0000SEHF01</t>
        </is>
      </c>
      <c r="ED1" s="25" t="inlineStr">
        <is>
          <t>CUSR0000SEHF02</t>
        </is>
      </c>
      <c r="EE1" s="25" t="inlineStr">
        <is>
          <t>CUSR0000SEHG</t>
        </is>
      </c>
      <c r="EF1" s="25" t="inlineStr">
        <is>
          <t>CUSR0000SEHG01</t>
        </is>
      </c>
      <c r="EG1" s="25" t="inlineStr">
        <is>
          <t>CUSR0000SEHG02</t>
        </is>
      </c>
      <c r="EH1" s="25" t="inlineStr">
        <is>
          <t>CUSR0000SAH3</t>
        </is>
      </c>
      <c r="EI1" s="25" t="inlineStr">
        <is>
          <t>CUSR0000SEHH</t>
        </is>
      </c>
      <c r="EJ1" s="25" t="inlineStr">
        <is>
          <t>CUSR0000SEHH02</t>
        </is>
      </c>
      <c r="EK1" s="25" t="inlineStr">
        <is>
          <t>CUSR0000SEHH03</t>
        </is>
      </c>
      <c r="EL1" s="25" t="inlineStr">
        <is>
          <t>CUSR0000SEHJ</t>
        </is>
      </c>
      <c r="EM1" s="25" t="inlineStr">
        <is>
          <t>CUSR0000SEHJ03</t>
        </is>
      </c>
      <c r="EN1" s="25" t="inlineStr">
        <is>
          <t>CUSR0000SEHK</t>
        </is>
      </c>
      <c r="EO1" s="25" t="inlineStr">
        <is>
          <t>CUSR0000SEHK01</t>
        </is>
      </c>
      <c r="EP1" s="25" t="inlineStr">
        <is>
          <t>CUSR0000SS30021</t>
        </is>
      </c>
      <c r="EQ1" s="25" t="inlineStr">
        <is>
          <t>CUSR0000SEHK02</t>
        </is>
      </c>
      <c r="ER1" s="25" t="inlineStr">
        <is>
          <t>CUSR0000SEHL</t>
        </is>
      </c>
      <c r="ES1" s="25" t="inlineStr">
        <is>
          <t>CUSR0000SEHL02</t>
        </is>
      </c>
      <c r="ET1" s="25" t="inlineStr">
        <is>
          <t>CUSR0000SEHL04</t>
        </is>
      </c>
      <c r="EU1" s="25" t="inlineStr">
        <is>
          <t>CUSR0000SEHM</t>
        </is>
      </c>
      <c r="EV1" s="25" t="inlineStr">
        <is>
          <t>CUSR0000SEHM01</t>
        </is>
      </c>
      <c r="EW1" s="25" t="inlineStr">
        <is>
          <t>CUSR0000SEHM02</t>
        </is>
      </c>
      <c r="EX1" s="25" t="inlineStr">
        <is>
          <t>CUSR0000SEHN</t>
        </is>
      </c>
      <c r="EY1" s="25" t="inlineStr">
        <is>
          <t>CUSR0000SEHN01</t>
        </is>
      </c>
      <c r="EZ1" s="25" t="inlineStr">
        <is>
          <t>CUSR0000SEHN03</t>
        </is>
      </c>
      <c r="FA1" s="25" t="inlineStr">
        <is>
          <t>CUSR0000SEHP03</t>
        </is>
      </c>
      <c r="FB1" s="25" t="inlineStr">
        <is>
          <t>CUSR0000SAA</t>
        </is>
      </c>
      <c r="FC1" s="25" t="inlineStr">
        <is>
          <t>CUSR0000SAA1</t>
        </is>
      </c>
      <c r="FD1" s="25" t="inlineStr">
        <is>
          <t>CUSR0000SEAA</t>
        </is>
      </c>
      <c r="FE1" s="25" t="inlineStr">
        <is>
          <t>CUSR0000SEAA01</t>
        </is>
      </c>
      <c r="FF1" s="25" t="inlineStr">
        <is>
          <t>CUSR0000SEAA02</t>
        </is>
      </c>
      <c r="FG1" s="25" t="inlineStr">
        <is>
          <t>CUSR0000SEAA03</t>
        </is>
      </c>
      <c r="FH1" s="25" t="inlineStr">
        <is>
          <t>CUSR0000SEAA04</t>
        </is>
      </c>
      <c r="FI1" s="25" t="inlineStr">
        <is>
          <t>CUSR0000SEAB</t>
        </is>
      </c>
      <c r="FJ1" s="25" t="inlineStr">
        <is>
          <t>CUSR0000SAA2</t>
        </is>
      </c>
      <c r="FK1" s="25" t="inlineStr">
        <is>
          <t>CUSR0000SEAC</t>
        </is>
      </c>
      <c r="FL1" s="25" t="inlineStr">
        <is>
          <t>CUSR0000SEAC01</t>
        </is>
      </c>
      <c r="FM1" s="25" t="inlineStr">
        <is>
          <t>CUSR0000SEAC02</t>
        </is>
      </c>
      <c r="FN1" s="25" t="inlineStr">
        <is>
          <t>CUSR0000SEAC03</t>
        </is>
      </c>
      <c r="FO1" s="25" t="inlineStr">
        <is>
          <t>CUSR0000SEAC04</t>
        </is>
      </c>
      <c r="FP1" s="25" t="inlineStr">
        <is>
          <t>CUSR0000SEAD</t>
        </is>
      </c>
      <c r="FQ1" s="25" t="inlineStr">
        <is>
          <t>CUSR0000SEAE</t>
        </is>
      </c>
      <c r="FR1" s="25" t="inlineStr">
        <is>
          <t>CUSR0000SEAE01</t>
        </is>
      </c>
      <c r="FS1" s="25" t="inlineStr">
        <is>
          <t>CUSR0000SEAE02</t>
        </is>
      </c>
      <c r="FT1" s="25" t="inlineStr">
        <is>
          <t>CUSR0000SEAE03</t>
        </is>
      </c>
      <c r="FU1" s="25" t="inlineStr">
        <is>
          <t>CUSR0000SEAF</t>
        </is>
      </c>
      <c r="FV1" s="25" t="inlineStr">
        <is>
          <t>CUSR0000SEAG</t>
        </is>
      </c>
      <c r="FW1" s="25" t="inlineStr">
        <is>
          <t>CUSR0000SEAG01</t>
        </is>
      </c>
      <c r="FX1" s="25" t="inlineStr">
        <is>
          <t>CUSR0000SEAG02</t>
        </is>
      </c>
      <c r="FY1" s="25" t="inlineStr">
        <is>
          <t>CUSR0000SAT</t>
        </is>
      </c>
      <c r="FZ1" s="25" t="inlineStr">
        <is>
          <t>CUSR0000SAT1</t>
        </is>
      </c>
      <c r="GA1" s="25" t="inlineStr">
        <is>
          <t>CUSR0000SETA</t>
        </is>
      </c>
      <c r="GB1" s="25" t="inlineStr">
        <is>
          <t>CUSR0000SETA01</t>
        </is>
      </c>
      <c r="GC1" s="25" t="inlineStr">
        <is>
          <t>CUSR0000SS4501A</t>
        </is>
      </c>
      <c r="GD1" s="25" t="inlineStr">
        <is>
          <t>CUSR0000SS45011</t>
        </is>
      </c>
      <c r="GE1" s="25" t="inlineStr">
        <is>
          <t>CUSR0000SS45021</t>
        </is>
      </c>
      <c r="GF1" s="25" t="inlineStr">
        <is>
          <t>CUSR0000SS45031</t>
        </is>
      </c>
      <c r="GG1" s="25" t="inlineStr">
        <is>
          <t>CUSR0000SETA02</t>
        </is>
      </c>
      <c r="GH1" s="25" t="inlineStr">
        <is>
          <t>CUSR0000SETA03</t>
        </is>
      </c>
      <c r="GI1" s="25" t="inlineStr">
        <is>
          <t>CUSR0000SETA04</t>
        </is>
      </c>
      <c r="GJ1" s="25" t="inlineStr">
        <is>
          <t>CUSR0000SETB</t>
        </is>
      </c>
      <c r="GK1" s="25" t="inlineStr">
        <is>
          <t>CUSR0000SETB01</t>
        </is>
      </c>
      <c r="GL1" s="25" t="inlineStr">
        <is>
          <t>CUSR0000SS47014</t>
        </is>
      </c>
      <c r="GM1" s="25" t="inlineStr">
        <is>
          <t>CUSR0000SS47015</t>
        </is>
      </c>
      <c r="GN1" s="25" t="inlineStr">
        <is>
          <t>CUSR0000SS47016</t>
        </is>
      </c>
      <c r="GO1" s="25" t="inlineStr">
        <is>
          <t>CUSR0000SETB02</t>
        </is>
      </c>
      <c r="GP1" s="25" t="inlineStr">
        <is>
          <t>CUSR0000SETC</t>
        </is>
      </c>
      <c r="GQ1" s="25" t="inlineStr">
        <is>
          <t>CUSR0000SETC01</t>
        </is>
      </c>
      <c r="GR1" s="25" t="inlineStr">
        <is>
          <t>CUSR0000SETD</t>
        </is>
      </c>
      <c r="GS1" s="25" t="inlineStr">
        <is>
          <t>CUSR0000SETD03</t>
        </is>
      </c>
      <c r="GT1" s="25" t="inlineStr">
        <is>
          <t>CUSR0000SETE</t>
        </is>
      </c>
      <c r="GU1" s="25" t="inlineStr">
        <is>
          <t>CUSR0000SETF03</t>
        </is>
      </c>
      <c r="GV1" s="25" t="inlineStr">
        <is>
          <t>CUSR0000SS52051</t>
        </is>
      </c>
      <c r="GW1" s="25" t="inlineStr">
        <is>
          <t>CUSR0000SETG</t>
        </is>
      </c>
      <c r="GX1" s="25" t="inlineStr">
        <is>
          <t>CUSR0000SETG01</t>
        </is>
      </c>
      <c r="GY1" s="25" t="inlineStr">
        <is>
          <t>CUSR0000SETG02</t>
        </is>
      </c>
      <c r="GZ1" s="25" t="inlineStr">
        <is>
          <t>CUSR0000SS53022</t>
        </is>
      </c>
      <c r="HA1" s="25" t="inlineStr">
        <is>
          <t>CUSR0000SS53023</t>
        </is>
      </c>
      <c r="HB1" s="25" t="inlineStr">
        <is>
          <t>CUSR0000SAM</t>
        </is>
      </c>
      <c r="HC1" s="25" t="inlineStr">
        <is>
          <t>CUSR0000SAM1</t>
        </is>
      </c>
      <c r="HD1" s="25" t="inlineStr">
        <is>
          <t>CUSR0000SEMF</t>
        </is>
      </c>
      <c r="HE1" s="25" t="inlineStr">
        <is>
          <t>CUSR0000SEMF01</t>
        </is>
      </c>
      <c r="HF1" s="25" t="inlineStr">
        <is>
          <t>CUSR0000SEMF02</t>
        </is>
      </c>
      <c r="HG1" s="25" t="inlineStr">
        <is>
          <t>CUSR0000SAM2</t>
        </is>
      </c>
      <c r="HH1" s="25" t="inlineStr">
        <is>
          <t>CUSR0000SEMC</t>
        </is>
      </c>
      <c r="HI1" s="25" t="inlineStr">
        <is>
          <t>CUSR0000SEMC01</t>
        </is>
      </c>
      <c r="HJ1" s="25" t="inlineStr">
        <is>
          <t>CUSR0000SEMC02</t>
        </is>
      </c>
      <c r="HK1" s="25" t="inlineStr">
        <is>
          <t>CUSR0000SEMC03</t>
        </is>
      </c>
      <c r="HL1" s="25" t="inlineStr">
        <is>
          <t>CUSR0000SEMC04</t>
        </is>
      </c>
      <c r="HM1" s="25" t="inlineStr">
        <is>
          <t>CUSR0000SEMD</t>
        </is>
      </c>
      <c r="HN1" s="25" t="inlineStr">
        <is>
          <t>CUSR0000SEMD01</t>
        </is>
      </c>
      <c r="HO1" s="25" t="inlineStr">
        <is>
          <t>CUSR0000SS5702</t>
        </is>
      </c>
      <c r="HP1" s="25" t="inlineStr">
        <is>
          <t>CUSR0000SS5703</t>
        </is>
      </c>
      <c r="HQ1" s="25" t="inlineStr">
        <is>
          <t>CUSR0000SEMD02</t>
        </is>
      </c>
      <c r="HR1" s="25" t="inlineStr">
        <is>
          <t>CUSR0000SAR</t>
        </is>
      </c>
      <c r="HS1" s="25" t="inlineStr">
        <is>
          <t>CUSR0000SERA</t>
        </is>
      </c>
      <c r="HT1" s="25" t="inlineStr">
        <is>
          <t>CUSR0000SERA01</t>
        </is>
      </c>
      <c r="HU1" s="25" t="inlineStr">
        <is>
          <t>CUSR0000SERA02</t>
        </is>
      </c>
      <c r="HV1" s="25" t="inlineStr">
        <is>
          <t>CUSR0000SERA03</t>
        </is>
      </c>
      <c r="HW1" s="25" t="inlineStr">
        <is>
          <t>CUSR0000SERA05</t>
        </is>
      </c>
      <c r="HX1" s="25" t="inlineStr">
        <is>
          <t>CUSR0000SERB</t>
        </is>
      </c>
      <c r="HY1" s="25" t="inlineStr">
        <is>
          <t>CUSR0000SERB01</t>
        </is>
      </c>
      <c r="HZ1" s="25" t="inlineStr">
        <is>
          <t>CUSR0000SS61031</t>
        </is>
      </c>
      <c r="IA1" s="25" t="inlineStr">
        <is>
          <t>CUSR0000SS61032</t>
        </is>
      </c>
      <c r="IB1" s="25" t="inlineStr">
        <is>
          <t>CUSR0000SERB02</t>
        </is>
      </c>
      <c r="IC1" s="25" t="inlineStr">
        <is>
          <t>CUSR0000SS62053</t>
        </is>
      </c>
      <c r="ID1" s="25" t="inlineStr">
        <is>
          <t>CUSR0000SS62054</t>
        </is>
      </c>
      <c r="IE1" s="25" t="inlineStr">
        <is>
          <t>CUSR0000SERC</t>
        </is>
      </c>
      <c r="IF1" s="25" t="inlineStr">
        <is>
          <t>CUSR0000SERC01</t>
        </is>
      </c>
      <c r="IG1" s="25" t="inlineStr">
        <is>
          <t>CUSR0000SERC02</t>
        </is>
      </c>
      <c r="IH1" s="25" t="inlineStr">
        <is>
          <t>CUSR0000SERD</t>
        </is>
      </c>
      <c r="II1" s="25" t="inlineStr">
        <is>
          <t>CUSR0000SERD01</t>
        </is>
      </c>
      <c r="IJ1" s="25" t="inlineStr">
        <is>
          <t>CUSR0000SS61023</t>
        </is>
      </c>
      <c r="IK1" s="25" t="inlineStr">
        <is>
          <t>CUSR0000SERE</t>
        </is>
      </c>
      <c r="IL1" s="25" t="inlineStr">
        <is>
          <t>CUSR0000SERE01</t>
        </is>
      </c>
      <c r="IM1" s="25" t="inlineStr">
        <is>
          <t>CUSR0000SS61011</t>
        </is>
      </c>
      <c r="IN1" s="25" t="inlineStr">
        <is>
          <t>CUSR0000SERE02</t>
        </is>
      </c>
      <c r="IO1" s="25" t="inlineStr">
        <is>
          <t>CUSR0000SERE03</t>
        </is>
      </c>
      <c r="IP1" s="25" t="inlineStr">
        <is>
          <t>CUSR0000SERF</t>
        </is>
      </c>
      <c r="IQ1" s="25" t="inlineStr">
        <is>
          <t>CUSR0000SERF01</t>
        </is>
      </c>
      <c r="IR1" s="25" t="inlineStr">
        <is>
          <t>CUSR0000SERF02</t>
        </is>
      </c>
      <c r="IS1" s="25" t="inlineStr">
        <is>
          <t>CUSR0000SS62031</t>
        </is>
      </c>
      <c r="IT1" s="25" t="inlineStr">
        <is>
          <t>CUSR0000SS62032</t>
        </is>
      </c>
      <c r="IU1" s="25" t="inlineStr">
        <is>
          <t>CUSR0000SERF03</t>
        </is>
      </c>
      <c r="IV1" s="25" t="inlineStr">
        <is>
          <t>CUSR0000SERG</t>
        </is>
      </c>
      <c r="IW1" s="25" t="inlineStr">
        <is>
          <t>CUSR0000SAE</t>
        </is>
      </c>
      <c r="IX1" s="25" t="inlineStr">
        <is>
          <t>CUSR0000SAE1</t>
        </is>
      </c>
      <c r="IY1" s="25" t="inlineStr">
        <is>
          <t>CUSR0000SEEA</t>
        </is>
      </c>
      <c r="IZ1" s="25" t="inlineStr">
        <is>
          <t>CUSR0000SEEB</t>
        </is>
      </c>
      <c r="JA1" s="25" t="inlineStr">
        <is>
          <t>CUSR0000SEEB01</t>
        </is>
      </c>
      <c r="JB1" s="25" t="inlineStr">
        <is>
          <t>CUSR0000SEEB02</t>
        </is>
      </c>
      <c r="JC1" s="25" t="inlineStr">
        <is>
          <t>CUSR0000SEEB03</t>
        </is>
      </c>
      <c r="JD1" s="25" t="inlineStr">
        <is>
          <t>CUSR0000SEEB04</t>
        </is>
      </c>
      <c r="JE1" s="25" t="inlineStr">
        <is>
          <t>CUSR0000SAE2</t>
        </is>
      </c>
      <c r="JF1" s="25" t="inlineStr">
        <is>
          <t>CUSR0000SEEC</t>
        </is>
      </c>
      <c r="JG1" s="25" t="inlineStr">
        <is>
          <t>CUSR0000SEEC01</t>
        </is>
      </c>
      <c r="JH1" s="25" t="inlineStr">
        <is>
          <t>CUSR0000SEEC02</t>
        </is>
      </c>
      <c r="JI1" s="25" t="inlineStr">
        <is>
          <t>CUSR0000SAE21</t>
        </is>
      </c>
      <c r="JJ1" s="25" t="inlineStr">
        <is>
          <t>CUSR0000SEEE</t>
        </is>
      </c>
      <c r="JK1" s="25" t="inlineStr">
        <is>
          <t>CUSR0000SEEE01</t>
        </is>
      </c>
      <c r="JL1" s="25" t="inlineStr">
        <is>
          <t>CUSR0000SEEE03</t>
        </is>
      </c>
      <c r="JM1" s="25" t="inlineStr">
        <is>
          <t>CUSR0000SEEE04</t>
        </is>
      </c>
      <c r="JN1" s="25" t="inlineStr">
        <is>
          <t>CUSR0000SAG</t>
        </is>
      </c>
      <c r="JO1" s="25" t="inlineStr">
        <is>
          <t>CUSR0000SEGA</t>
        </is>
      </c>
      <c r="JP1" s="25" t="inlineStr">
        <is>
          <t>CUSR0000SEGA01</t>
        </is>
      </c>
      <c r="JQ1" s="25" t="inlineStr">
        <is>
          <t>CUSR0000SAG1</t>
        </is>
      </c>
      <c r="JR1" s="25" t="inlineStr">
        <is>
          <t>CUSR0000SEGB</t>
        </is>
      </c>
      <c r="JS1" s="25" t="inlineStr">
        <is>
          <t>CUSR0000SEGD</t>
        </is>
      </c>
      <c r="JT1" s="25" t="inlineStr">
        <is>
          <t>CUSR0000SEGD01</t>
        </is>
      </c>
      <c r="JU1" s="25" t="inlineStr">
        <is>
          <t>CUSR0000SEGD02</t>
        </is>
      </c>
      <c r="JV1" s="25" t="inlineStr">
        <is>
          <t>CUSR0000SEGD03</t>
        </is>
      </c>
      <c r="JW1" s="25" t="inlineStr">
        <is>
          <t>CUSR0000SEGD05</t>
        </is>
      </c>
      <c r="JX1" s="25" t="inlineStr">
        <is>
          <t>CUSR0000SS68023</t>
        </is>
      </c>
      <c r="JY1" s="25" t="inlineStr">
        <is>
          <t>CUSR0000SEGE</t>
        </is>
      </c>
      <c r="JZ1" s="25" t="inlineStr">
        <is>
          <t>CUSR0000SS33032</t>
        </is>
      </c>
      <c r="KA1" s="25" t="inlineStr">
        <is>
          <t>CUSR0000SA0L5</t>
        </is>
      </c>
      <c r="KB1" s="25" t="inlineStr">
        <is>
          <t>CUSR0000SA0LE</t>
        </is>
      </c>
      <c r="KC1" s="25" t="inlineStr">
        <is>
          <t>CUSR0000SA0L1</t>
        </is>
      </c>
      <c r="KD1" s="25" t="inlineStr">
        <is>
          <t>CUSR0000SA0L1E</t>
        </is>
      </c>
      <c r="KE1" s="25" t="inlineStr">
        <is>
          <t>CUSR0000SA0L2</t>
        </is>
      </c>
      <c r="KF1" s="25" t="inlineStr">
        <is>
          <t>CUSR0000SA0L12</t>
        </is>
      </c>
      <c r="KG1" s="25" t="inlineStr">
        <is>
          <t>CUSR0000SA0L12E</t>
        </is>
      </c>
      <c r="KH1" s="25" t="inlineStr">
        <is>
          <t>CUSR0000SA0L12E4</t>
        </is>
      </c>
      <c r="KI1" s="25" t="inlineStr">
        <is>
          <t>CUSR0000SA311</t>
        </is>
      </c>
      <c r="KJ1" s="25" t="inlineStr">
        <is>
          <t>CUSR0000SAC</t>
        </is>
      </c>
      <c r="KK1" s="25" t="inlineStr">
        <is>
          <t>CUSR0000SACL1</t>
        </is>
      </c>
      <c r="KL1" s="25" t="inlineStr">
        <is>
          <t>CUSR0000SACL11</t>
        </is>
      </c>
      <c r="KM1" s="25" t="inlineStr">
        <is>
          <t>CUSR0000SACL1E</t>
        </is>
      </c>
      <c r="KN1" s="25" t="inlineStr">
        <is>
          <t>CUSR0000SACL1E4</t>
        </is>
      </c>
      <c r="KO1" s="25" t="inlineStr">
        <is>
          <t>CUSR0000SAN1D</t>
        </is>
      </c>
      <c r="KP1" s="25" t="inlineStr">
        <is>
          <t>CUSR0000SAD</t>
        </is>
      </c>
      <c r="KQ1" s="25" t="inlineStr">
        <is>
          <t>CUSR0000SAEC</t>
        </is>
      </c>
      <c r="KR1" s="25" t="inlineStr">
        <is>
          <t>CUSR0000SAES</t>
        </is>
      </c>
      <c r="KS1" s="25" t="inlineStr">
        <is>
          <t>CUSR0000SA0E</t>
        </is>
      </c>
      <c r="KT1" s="25" t="inlineStr">
        <is>
          <t>CUSR0000SACE</t>
        </is>
      </c>
      <c r="KU1" s="25" t="inlineStr">
        <is>
          <t>CUSR0000SAH31</t>
        </is>
      </c>
      <c r="KV1" s="25" t="inlineStr">
        <is>
          <t>CUSR0000SEEEC</t>
        </is>
      </c>
      <c r="KW1" s="25" t="inlineStr">
        <is>
          <t>CUSR0000SAN</t>
        </is>
      </c>
      <c r="KX1" s="25" t="inlineStr">
        <is>
          <t>CUSR0000SANL1</t>
        </is>
      </c>
      <c r="KY1" s="25" t="inlineStr">
        <is>
          <t>CUSR0000SANL13</t>
        </is>
      </c>
      <c r="KZ1" s="25" t="inlineStr">
        <is>
          <t>CUSR0000SANL11</t>
        </is>
      </c>
      <c r="LA1" s="25" t="inlineStr">
        <is>
          <t>CUSR0000SANL113</t>
        </is>
      </c>
      <c r="LB1" s="25" t="inlineStr">
        <is>
          <t>CUSR0000SAGC</t>
        </is>
      </c>
      <c r="LC1" s="25" t="inlineStr">
        <is>
          <t>CUSR0000SAS367</t>
        </is>
      </c>
      <c r="LD1" s="25" t="inlineStr">
        <is>
          <t>CUSR0000SARC</t>
        </is>
      </c>
      <c r="LE1" s="25" t="inlineStr">
        <is>
          <t>CUSR0000SARS</t>
        </is>
      </c>
      <c r="LF1" s="25" t="inlineStr">
        <is>
          <t>CUSR0000SAS2RS</t>
        </is>
      </c>
      <c r="LG1" s="25" t="inlineStr">
        <is>
          <t>CUSR0000SAS</t>
        </is>
      </c>
      <c r="LH1" s="25" t="inlineStr">
        <is>
          <t>CUSR0000SASLE</t>
        </is>
      </c>
      <c r="LI1" s="25" t="inlineStr">
        <is>
          <t>CUSR0000SASL5</t>
        </is>
      </c>
      <c r="LJ1" s="25" t="inlineStr">
        <is>
          <t>CUSR0000SASL2RS</t>
        </is>
      </c>
      <c r="LK1" s="25" t="inlineStr">
        <is>
          <t>CUSR0000SATCLTB</t>
        </is>
      </c>
      <c r="LL1" s="25" t="inlineStr">
        <is>
          <t>CUSR0000SAS4</t>
        </is>
      </c>
      <c r="LM1" s="25" t="inlineStr">
        <is>
          <t>CUSR0000SAS24</t>
        </is>
      </c>
      <c r="LN1" s="25" t="inlineStr">
        <is>
          <t>CUSR0000SERAC</t>
        </is>
      </c>
      <c r="LO1" s="25" t="inlineStr">
        <is>
          <t>CUSR0000SERAS</t>
        </is>
      </c>
    </row>
    <row r="2">
      <c r="A2" s="22" t="n">
        <v>42005</v>
      </c>
      <c r="B2" s="21" t="n">
        <v>234.747</v>
      </c>
      <c r="C2" s="21" t="n">
        <v>245.764</v>
      </c>
      <c r="D2" s="21" t="n">
        <v>246.197</v>
      </c>
      <c r="E2" s="21" t="n">
        <v>242.553</v>
      </c>
      <c r="F2" s="21" t="n">
        <v>273.035</v>
      </c>
      <c r="G2" s="21" t="n">
        <v>233.94</v>
      </c>
      <c r="H2" s="21" t="n">
        <v>250.05</v>
      </c>
      <c r="I2" s="21" t="n">
        <v>229.484</v>
      </c>
      <c r="J2" s="21" t="n">
        <v>240.148</v>
      </c>
      <c r="K2" s="21" t="n">
        <v>295.736</v>
      </c>
      <c r="L2" s="21" t="n">
        <v>177.851</v>
      </c>
      <c r="M2" s="21" t="n">
        <v>174.907</v>
      </c>
      <c r="N2" s="21" t="n">
        <v>275.863</v>
      </c>
      <c r="O2" s="21" t="n">
        <v>269.384</v>
      </c>
      <c r="P2" s="21" t="n">
        <v>265.577</v>
      </c>
      <c r="Q2" s="21" t="n">
        <v>306.14</v>
      </c>
      <c r="R2" s="21" t="n">
        <v>270.244</v>
      </c>
      <c r="S2" s="21" t="n">
        <v>262.134</v>
      </c>
      <c r="T2" s="21" t="n">
        <v>262.713</v>
      </c>
      <c r="U2" s="21" t="n">
        <v>269.495</v>
      </c>
      <c r="V2" s="21" t="n">
        <v>325.728</v>
      </c>
      <c r="W2" s="21" t="n">
        <v>301.04</v>
      </c>
      <c r="X2" s="21" t="n">
        <v>239.039</v>
      </c>
      <c r="Y2" s="21" t="n">
        <v>213.396</v>
      </c>
      <c r="Z2" s="21" t="n">
        <v>230.29</v>
      </c>
      <c r="AA2" s="21" t="n">
        <v>163.314</v>
      </c>
      <c r="AB2" s="21" t="n">
        <v>292.006</v>
      </c>
      <c r="AC2" s="21" t="n">
        <v>155.633</v>
      </c>
      <c r="AD2" s="21" t="n">
        <v>230.595</v>
      </c>
      <c r="AE2" s="21" t="n">
        <v>260.81</v>
      </c>
      <c r="AF2" s="21" t="n">
        <v>205.545</v>
      </c>
      <c r="AG2" s="21" t="n">
        <v>145.584</v>
      </c>
      <c r="AH2" s="21" t="n">
        <v>227.553</v>
      </c>
      <c r="AI2" s="21" t="n">
        <v>227.886</v>
      </c>
      <c r="AJ2" s="21" t="n">
        <v>147.157</v>
      </c>
      <c r="AK2" s="21" t="n">
        <v>238.923</v>
      </c>
      <c r="AL2" s="21" t="n">
        <v>154.25</v>
      </c>
      <c r="AM2" s="21" t="n">
        <v>260.875</v>
      </c>
      <c r="AN2" s="21" t="n">
        <v>227.669</v>
      </c>
      <c r="AO2" s="21" t="n">
        <v>154.611</v>
      </c>
      <c r="AP2" s="21" t="n">
        <v>290.163</v>
      </c>
      <c r="AQ2" s="21" t="n">
        <v>176.461</v>
      </c>
      <c r="AR2" s="21" t="n">
        <v>148.976</v>
      </c>
      <c r="AS2" s="21" t="n">
        <v>200.511</v>
      </c>
      <c r="AT2" s="21" t="n">
        <v>322.604</v>
      </c>
      <c r="AU2" s="21" t="n">
        <v>253.463</v>
      </c>
      <c r="AV2" s="21" t="n">
        <v>226.065</v>
      </c>
      <c r="AW2" s="21" t="n">
        <v>153.634</v>
      </c>
      <c r="AX2" s="21" t="n">
        <v>224.416</v>
      </c>
      <c r="AY2" s="21" t="n">
        <v>156.121</v>
      </c>
      <c r="AZ2" s="21" t="n">
        <v>238.322</v>
      </c>
      <c r="BA2" s="21" t="n">
        <v>218.537</v>
      </c>
      <c r="BB2" s="21" t="n">
        <v>147.347</v>
      </c>
      <c r="BC2" s="21" t="n">
        <v>294.572</v>
      </c>
      <c r="BD2" s="21" t="n">
        <v>339.109</v>
      </c>
      <c r="BE2" s="21" t="n">
        <v>352.925</v>
      </c>
      <c r="BF2" s="21" t="n">
        <v>333.524</v>
      </c>
      <c r="BG2" s="21" t="n">
        <v>200.064</v>
      </c>
      <c r="BH2" s="21" t="n">
        <v>233.381</v>
      </c>
      <c r="BI2" s="21" t="n">
        <v>479.482</v>
      </c>
      <c r="BJ2" s="21" t="n">
        <v>118.593</v>
      </c>
      <c r="BK2" s="21" t="n">
        <v>323.355</v>
      </c>
      <c r="BL2" s="21" t="n">
        <v>329.881</v>
      </c>
      <c r="BM2" s="21" t="n">
        <v>331.185</v>
      </c>
      <c r="BN2" s="21" t="n">
        <v>342.133</v>
      </c>
      <c r="BO2" s="21" t="n">
        <v>321.445</v>
      </c>
      <c r="BP2" s="21" t="n">
        <v>157.896</v>
      </c>
      <c r="BQ2" s="21" t="n">
        <v>162</v>
      </c>
      <c r="BR2" s="21" t="n">
        <v>155.366</v>
      </c>
      <c r="BS2" s="21" t="n">
        <v>171.31</v>
      </c>
      <c r="BT2" s="21" t="n">
        <v>147.915</v>
      </c>
      <c r="BU2" s="21" t="n">
        <v>203.317</v>
      </c>
      <c r="BV2" s="21" t="n">
        <v>162.459</v>
      </c>
      <c r="BW2" s="21" t="n">
        <v>167.441</v>
      </c>
      <c r="BX2" s="21" t="n">
        <v>127.608</v>
      </c>
      <c r="BY2" s="21" t="n">
        <v>158.824</v>
      </c>
      <c r="BZ2" s="21" t="n">
        <v>117.067</v>
      </c>
      <c r="CA2" s="21" t="n">
        <v>121.206</v>
      </c>
      <c r="CB2" s="21" t="n">
        <v>208.35</v>
      </c>
      <c r="CC2" s="21" t="n">
        <v>216.961</v>
      </c>
      <c r="CD2" s="21" t="n">
        <v>128.175</v>
      </c>
      <c r="CE2" s="21" t="n">
        <v>207.886</v>
      </c>
      <c r="CF2" s="21" t="n">
        <v>214.024</v>
      </c>
      <c r="CG2" s="21" t="n">
        <v>186.003</v>
      </c>
      <c r="CH2" s="21" t="n">
        <v>143.191</v>
      </c>
      <c r="CI2" s="21" t="n">
        <v>153.842</v>
      </c>
      <c r="CJ2" s="21" t="n">
        <v>229.521</v>
      </c>
      <c r="CK2" s="21" t="n">
        <v>201.742</v>
      </c>
      <c r="CL2" s="21" t="n">
        <v>239.56</v>
      </c>
      <c r="CM2" s="21" t="n">
        <v>289.61</v>
      </c>
      <c r="CN2" s="21" t="n">
        <v>130.862</v>
      </c>
      <c r="CO2" s="21" t="n">
        <v>161.896</v>
      </c>
      <c r="CP2" s="21" t="n">
        <v>221.42</v>
      </c>
      <c r="CQ2" s="21" t="n">
        <v>235.069</v>
      </c>
      <c r="CR2" s="21" t="n">
        <v>170.646</v>
      </c>
      <c r="CS2" s="21" t="n">
        <v>245.162</v>
      </c>
      <c r="CT2" s="21" t="n">
        <v>231.852</v>
      </c>
      <c r="CU2" s="21" t="n">
        <v>142.845</v>
      </c>
      <c r="CV2" s="21" t="n">
        <v>133.972</v>
      </c>
      <c r="CW2" s="21" t="n">
        <v>135.413</v>
      </c>
      <c r="CX2" s="21" t="n">
        <v>269.659</v>
      </c>
      <c r="CY2" s="21" t="n">
        <v>131.405</v>
      </c>
      <c r="CZ2" s="21" t="n">
        <v>119.828</v>
      </c>
      <c r="DA2" s="21" t="n">
        <v>253.037</v>
      </c>
      <c r="DB2" s="21" t="n">
        <v>157.604</v>
      </c>
      <c r="DC2" s="21" t="n">
        <v>159.556</v>
      </c>
      <c r="DD2" s="21" t="n">
        <v>134.805</v>
      </c>
      <c r="DE2" s="21" t="n">
        <v>174.953</v>
      </c>
      <c r="DF2" s="21" t="n">
        <v>238.463</v>
      </c>
      <c r="DG2" s="21" t="n">
        <v>196.84</v>
      </c>
      <c r="DH2" s="21" t="n">
        <v>213.497</v>
      </c>
      <c r="DI2" s="21" t="n">
        <v>193.193</v>
      </c>
      <c r="DJ2" s="21" t="n">
        <v>208.393</v>
      </c>
      <c r="DK2" s="21" t="n">
        <v>186.808</v>
      </c>
      <c r="DL2" s="21" t="n">
        <v>168.716</v>
      </c>
      <c r="DM2" s="21" t="n">
        <v>327.871</v>
      </c>
      <c r="DN2" s="21" t="n">
        <v>173.567</v>
      </c>
      <c r="DO2" s="21" t="n">
        <v>235.735</v>
      </c>
      <c r="DP2" s="21" t="n">
        <v>274.762</v>
      </c>
      <c r="DQ2" s="21" t="n">
        <v>281.223</v>
      </c>
      <c r="DR2" s="21" t="n">
        <v>152.941</v>
      </c>
      <c r="DS2" s="21" t="n">
        <v>501.689</v>
      </c>
      <c r="DT2" s="21" t="n">
        <v>318.228</v>
      </c>
      <c r="DU2" s="21" t="n">
        <v>281.777</v>
      </c>
      <c r="DV2" s="21" t="n">
        <v>281.747</v>
      </c>
      <c r="DW2" s="21" t="n">
        <v>233.424</v>
      </c>
      <c r="DX2" s="21" t="n">
        <v>199.424</v>
      </c>
      <c r="DY2" s="21" t="n">
        <v>271.328</v>
      </c>
      <c r="DZ2" s="21" t="n">
        <v>272.344</v>
      </c>
      <c r="EA2" s="21" t="n">
        <v>318.713</v>
      </c>
      <c r="EB2" s="21" t="n">
        <v>203.197</v>
      </c>
      <c r="EC2" s="21" t="n">
        <v>210.956</v>
      </c>
      <c r="ED2" s="21" t="n">
        <v>177.216</v>
      </c>
      <c r="EE2" s="21" t="n">
        <v>210.09</v>
      </c>
      <c r="EF2" s="21" t="n">
        <v>482.852</v>
      </c>
      <c r="EG2" s="21" t="n">
        <v>427.734</v>
      </c>
      <c r="EH2" s="21" t="n">
        <v>122.312</v>
      </c>
      <c r="EI2" s="21" t="n">
        <v>61.987</v>
      </c>
      <c r="EJ2" s="21" t="n">
        <v>70.95699999999999</v>
      </c>
      <c r="EK2" s="21" t="n">
        <v>49.019</v>
      </c>
      <c r="EL2" s="21" t="n">
        <v>114.451</v>
      </c>
      <c r="EM2" s="21" t="n">
        <v>74.20099999999999</v>
      </c>
      <c r="EN2" s="21" t="n">
        <v>80.49299999999999</v>
      </c>
      <c r="EO2" s="21" t="n">
        <v>89.127</v>
      </c>
      <c r="EP2" s="21" t="n">
        <v>100.772</v>
      </c>
      <c r="EQ2" s="21" t="n">
        <v>68.682</v>
      </c>
      <c r="ER2" s="21" t="n">
        <v>59.493</v>
      </c>
      <c r="ES2" s="21" t="n">
        <v>127.827</v>
      </c>
      <c r="ET2" s="21" t="n">
        <v>91.318</v>
      </c>
      <c r="EU2" s="21" t="n">
        <v>91.041</v>
      </c>
      <c r="EV2" s="21" t="n">
        <v>100.851</v>
      </c>
      <c r="EW2" s="21" t="n">
        <v>86.327</v>
      </c>
      <c r="EX2" s="21" t="n">
        <v>185.978</v>
      </c>
      <c r="EY2" s="21" t="n">
        <v>118.204</v>
      </c>
      <c r="EZ2" s="21" t="n">
        <v>119.191</v>
      </c>
      <c r="FA2" s="21" t="n">
        <v>133.244</v>
      </c>
      <c r="FB2" s="21" t="n">
        <v>126.129</v>
      </c>
      <c r="FC2" s="21" t="n">
        <v>118.122</v>
      </c>
      <c r="FD2" s="21" t="n">
        <v>121.769</v>
      </c>
      <c r="FE2" s="21" t="n">
        <v>111.364</v>
      </c>
      <c r="FF2" s="21" t="n">
        <v>150.084</v>
      </c>
      <c r="FG2" s="21" t="n">
        <v>78.699</v>
      </c>
      <c r="FH2" s="21" t="n">
        <v>120.17</v>
      </c>
      <c r="FI2" s="21" t="n">
        <v>103.231</v>
      </c>
      <c r="FJ2" s="21" t="n">
        <v>112.493</v>
      </c>
      <c r="FK2" s="21" t="n">
        <v>115.398</v>
      </c>
      <c r="FL2" s="21" t="n">
        <v>113.918</v>
      </c>
      <c r="FM2" s="21" t="n">
        <v>124.496</v>
      </c>
      <c r="FN2" s="21" t="n">
        <v>81.371</v>
      </c>
      <c r="FO2" s="21" t="n">
        <v>105.4</v>
      </c>
      <c r="FP2" s="21" t="n">
        <v>98.627</v>
      </c>
      <c r="FQ2" s="21" t="n">
        <v>136.76</v>
      </c>
      <c r="FR2" s="21" t="n">
        <v>137.304</v>
      </c>
      <c r="FS2" s="21" t="n">
        <v>150.03</v>
      </c>
      <c r="FT2" s="21" t="n">
        <v>128.385</v>
      </c>
      <c r="FU2" s="21" t="n">
        <v>118.21</v>
      </c>
      <c r="FV2" s="21" t="n">
        <v>161.484</v>
      </c>
      <c r="FW2" s="21" t="n">
        <v>122.792</v>
      </c>
      <c r="FX2" s="21" t="n">
        <v>167.209</v>
      </c>
      <c r="FY2" s="21" t="n">
        <v>194.852</v>
      </c>
      <c r="FZ2" s="21" t="n">
        <v>189.222</v>
      </c>
      <c r="GA2" s="21" t="n">
        <v>100.008</v>
      </c>
      <c r="GB2" s="21" t="n">
        <v>146.104</v>
      </c>
      <c r="GC2" s="21" t="n">
        <v>101.278</v>
      </c>
      <c r="GD2" s="21" t="n">
        <v>143.964</v>
      </c>
      <c r="GE2" s="21" t="n">
        <v>153.885</v>
      </c>
      <c r="GF2" s="21" t="n"/>
      <c r="GG2" s="21" t="n">
        <v>144.875</v>
      </c>
      <c r="GH2" s="21" t="n">
        <v>85.608</v>
      </c>
      <c r="GI2" s="21" t="n">
        <v>131.621</v>
      </c>
      <c r="GJ2" s="21" t="n">
        <v>201.099</v>
      </c>
      <c r="GK2" s="21" t="n">
        <v>199.553</v>
      </c>
      <c r="GL2" s="21" t="n">
        <v>196.59</v>
      </c>
      <c r="GM2" s="21" t="n">
        <v>210.534</v>
      </c>
      <c r="GN2" s="21" t="n">
        <v>205.433</v>
      </c>
      <c r="GO2" s="21" t="n">
        <v>217.896</v>
      </c>
      <c r="GP2" s="21" t="n">
        <v>144.913</v>
      </c>
      <c r="GQ2" s="21" t="n">
        <v>127.601</v>
      </c>
      <c r="GR2" s="21" t="n">
        <v>268.869</v>
      </c>
      <c r="GS2" s="21" t="n">
        <v>166.498</v>
      </c>
      <c r="GT2" s="21" t="n">
        <v>449.267</v>
      </c>
      <c r="GU2" s="21" t="n">
        <v>192.314</v>
      </c>
      <c r="GV2" s="21" t="n">
        <v>213.401</v>
      </c>
      <c r="GW2" s="21" t="n">
        <v>269.496</v>
      </c>
      <c r="GX2" s="21" t="n">
        <v>295.273</v>
      </c>
      <c r="GY2" s="21" t="n">
        <v>151.152</v>
      </c>
      <c r="GZ2" s="21" t="n">
        <v>109.946</v>
      </c>
      <c r="HA2" s="21" t="n">
        <v>61.369</v>
      </c>
      <c r="HB2" s="21" t="n">
        <v>441.351</v>
      </c>
      <c r="HC2" s="21" t="n">
        <v>350.879</v>
      </c>
      <c r="HD2" s="21" t="n">
        <v>114.572</v>
      </c>
      <c r="HE2" s="21" t="n">
        <v>472.628</v>
      </c>
      <c r="HF2" s="21" t="n">
        <v>97.337</v>
      </c>
      <c r="HG2" s="21" t="n">
        <v>470.198</v>
      </c>
      <c r="HH2" s="21" t="n">
        <v>358.677</v>
      </c>
      <c r="HI2" s="21" t="n">
        <v>362.882</v>
      </c>
      <c r="HJ2" s="21" t="n">
        <v>446.998</v>
      </c>
      <c r="HK2" s="21" t="n">
        <v>183.874</v>
      </c>
      <c r="HL2" s="21" t="n">
        <v>227.603</v>
      </c>
      <c r="HM2" s="21" t="n">
        <v>67.98399999999999</v>
      </c>
      <c r="HN2" s="21" t="n">
        <v>284.174</v>
      </c>
      <c r="HO2" s="21" t="n">
        <v>279.379</v>
      </c>
      <c r="HP2" s="21" t="n">
        <v>642.538</v>
      </c>
      <c r="HQ2" s="21" t="n">
        <v>203.785</v>
      </c>
      <c r="HR2" s="21" t="n">
        <v>115.532</v>
      </c>
      <c r="HS2" s="21" t="n">
        <v>99.657</v>
      </c>
      <c r="HT2" s="21" t="n">
        <v>347.58</v>
      </c>
      <c r="HU2" s="21" t="n">
        <v>420.582</v>
      </c>
      <c r="HV2" s="21" t="n">
        <v>138.142</v>
      </c>
      <c r="HW2" s="21" t="n">
        <v>36.303</v>
      </c>
      <c r="HX2" s="21" t="n">
        <v>166.599</v>
      </c>
      <c r="HY2" s="21" t="n">
        <v>198.967</v>
      </c>
      <c r="HZ2" s="21" t="n">
        <v>152.653</v>
      </c>
      <c r="IA2" s="21" t="n">
        <v>114.105</v>
      </c>
      <c r="IB2" s="21" t="n">
        <v>222.005</v>
      </c>
      <c r="IC2" s="21" t="n">
        <v>178.426</v>
      </c>
      <c r="ID2" s="21" t="n">
        <v>231.636</v>
      </c>
      <c r="IE2" s="21" t="n">
        <v>115.022</v>
      </c>
      <c r="IF2" s="21" t="n">
        <v>148.459</v>
      </c>
      <c r="IG2" s="21" t="n">
        <v>85.843</v>
      </c>
      <c r="IH2" s="21" t="n">
        <v>76.224</v>
      </c>
      <c r="II2" s="21" t="n">
        <v>56.659</v>
      </c>
      <c r="IJ2" s="21" t="n">
        <v>23.366</v>
      </c>
      <c r="IK2" s="21" t="n">
        <v>47.921</v>
      </c>
      <c r="IL2" s="21" t="n">
        <v>46.066</v>
      </c>
      <c r="IM2" s="21" t="n">
        <v>54.472</v>
      </c>
      <c r="IN2" s="21" t="n">
        <v>95.419</v>
      </c>
      <c r="IO2" s="21" t="n">
        <v>98.59999999999999</v>
      </c>
      <c r="IP2" s="21" t="n">
        <v>153.922</v>
      </c>
      <c r="IQ2" s="21" t="n">
        <v>130.186</v>
      </c>
      <c r="IR2" s="21" t="n">
        <v>344.595</v>
      </c>
      <c r="IS2" s="21" t="n">
        <v>164.704</v>
      </c>
      <c r="IT2" s="21" t="n">
        <v>198.621</v>
      </c>
      <c r="IU2" s="21" t="n">
        <v>284.068</v>
      </c>
      <c r="IV2" s="21" t="n">
        <v>238.816</v>
      </c>
      <c r="IW2" s="21" t="n">
        <v>137.608</v>
      </c>
      <c r="IX2" s="21" t="n">
        <v>236.63</v>
      </c>
      <c r="IY2" s="21" t="n">
        <v>639.4059999999999</v>
      </c>
      <c r="IZ2" s="21" t="n">
        <v>677.508</v>
      </c>
      <c r="JA2" s="21" t="n">
        <v>774.047</v>
      </c>
      <c r="JB2" s="21" t="n">
        <v>70.267</v>
      </c>
      <c r="JC2" s="21" t="n">
        <v>269.467</v>
      </c>
      <c r="JD2" s="21" t="n">
        <v>232.825</v>
      </c>
      <c r="JE2" s="21" t="n">
        <v>80.73</v>
      </c>
      <c r="JF2" s="21" t="n">
        <v>176.33</v>
      </c>
      <c r="JG2" s="21" t="n">
        <v>277.397</v>
      </c>
      <c r="JH2" s="21" t="n">
        <v>284.358</v>
      </c>
      <c r="JI2" s="21" t="n">
        <v>76.85899999999999</v>
      </c>
      <c r="JJ2" s="21" t="n">
        <v>121.914</v>
      </c>
      <c r="JK2" s="21" t="n">
        <v>49.19</v>
      </c>
      <c r="JL2" s="21" t="n">
        <v>78.36</v>
      </c>
      <c r="JM2" s="21" t="n">
        <v>340.315</v>
      </c>
      <c r="JN2" s="21" t="n">
        <v>412.314</v>
      </c>
      <c r="JO2" s="21" t="n">
        <v>57.715</v>
      </c>
      <c r="JP2" s="21" t="n">
        <v>373.6</v>
      </c>
      <c r="JQ2" s="21" t="n">
        <v>220.071</v>
      </c>
      <c r="JR2" s="21" t="n">
        <v>164.83</v>
      </c>
      <c r="JS2" s="21" t="n">
        <v>395.992</v>
      </c>
      <c r="JT2" s="21" t="n">
        <v>319.39</v>
      </c>
      <c r="JU2" s="21" t="n">
        <v>309.704</v>
      </c>
      <c r="JV2" s="21" t="n">
        <v>153.905</v>
      </c>
      <c r="JW2" s="21" t="n">
        <v>317.016</v>
      </c>
      <c r="JX2" s="21" t="n">
        <v>216.493</v>
      </c>
      <c r="JY2" s="21" t="n">
        <v>83.623</v>
      </c>
      <c r="JZ2" s="21" t="n">
        <v>153.375</v>
      </c>
      <c r="KA2" s="21" t="n">
        <v>224.784</v>
      </c>
      <c r="KB2" s="21" t="n">
        <v>240.095</v>
      </c>
      <c r="KC2" s="21" t="n">
        <v>232.969</v>
      </c>
      <c r="KD2" s="21" t="n">
        <v>239.811</v>
      </c>
      <c r="KE2" s="21" t="n">
        <v>221.716</v>
      </c>
      <c r="KF2" s="21" t="n">
        <v>215.378</v>
      </c>
      <c r="KG2" s="21" t="n">
        <v>220.496</v>
      </c>
      <c r="KH2" s="21" t="n">
        <v>225.035</v>
      </c>
      <c r="KI2" s="21" t="n">
        <v>119.086</v>
      </c>
      <c r="KJ2" s="21" t="n">
        <v>180.302</v>
      </c>
      <c r="KK2" s="21" t="n">
        <v>150.717</v>
      </c>
      <c r="KL2" s="21" t="n">
        <v>147.647</v>
      </c>
      <c r="KM2" s="21" t="n">
        <v>145.839</v>
      </c>
      <c r="KN2" s="21" t="n">
        <v>146.622</v>
      </c>
      <c r="KO2" s="21" t="n">
        <v>251.517</v>
      </c>
      <c r="KP2" s="21" t="n">
        <v>108.977</v>
      </c>
      <c r="KQ2" s="21" t="n">
        <v>84.63</v>
      </c>
      <c r="KR2" s="21" t="n">
        <v>109.111</v>
      </c>
      <c r="KS2" s="21" t="n">
        <v>199.926</v>
      </c>
      <c r="KT2" s="21" t="n">
        <v>205.822</v>
      </c>
      <c r="KU2" s="21" t="n">
        <v>93.489</v>
      </c>
      <c r="KV2" s="21" t="n">
        <v>66.806</v>
      </c>
      <c r="KW2" s="21" t="n">
        <v>215.999</v>
      </c>
      <c r="KX2" s="21" t="n">
        <v>189.931</v>
      </c>
      <c r="KY2" s="21" t="n">
        <v>229.003</v>
      </c>
      <c r="KZ2" s="21" t="n">
        <v>186.879</v>
      </c>
      <c r="LA2" s="21" t="n">
        <v>229.249</v>
      </c>
      <c r="LB2" s="21" t="n">
        <v>107.668</v>
      </c>
      <c r="LC2" s="21" t="n">
        <v>336.643</v>
      </c>
      <c r="LD2" s="21" t="n">
        <v>89.557</v>
      </c>
      <c r="LE2" s="21" t="n">
        <v>110.608</v>
      </c>
      <c r="LF2" s="21" t="n">
        <v>286.126</v>
      </c>
      <c r="LG2" s="21" t="n">
        <v>288.584</v>
      </c>
      <c r="LH2" s="21" t="n">
        <v>297.27</v>
      </c>
      <c r="LI2" s="21" t="n">
        <v>274.723</v>
      </c>
      <c r="LJ2" s="21" t="n">
        <v>313.762</v>
      </c>
      <c r="LK2" s="21" t="n">
        <v>105.522</v>
      </c>
      <c r="LL2" s="21" t="n">
        <v>287.871</v>
      </c>
      <c r="LM2" s="21" t="n">
        <v>215.7</v>
      </c>
      <c r="LN2" s="21" t="n">
        <v>63.244</v>
      </c>
      <c r="LO2" s="21" t="n">
        <v>112.729</v>
      </c>
    </row>
    <row r="3">
      <c r="A3" s="22" t="n">
        <v>42036</v>
      </c>
      <c r="B3" s="21" t="n">
        <v>235.342</v>
      </c>
      <c r="C3" s="21" t="n">
        <v>246.056</v>
      </c>
      <c r="D3" s="21" t="n">
        <v>246.495</v>
      </c>
      <c r="E3" s="21" t="n">
        <v>242.598</v>
      </c>
      <c r="F3" s="21" t="n">
        <v>273.047</v>
      </c>
      <c r="G3" s="21" t="n">
        <v>233.528</v>
      </c>
      <c r="H3" s="21" t="n">
        <v>249.925</v>
      </c>
      <c r="I3" s="21" t="n">
        <v>227.634</v>
      </c>
      <c r="J3" s="21" t="n">
        <v>239.943</v>
      </c>
      <c r="K3" s="21" t="n">
        <v>295.545</v>
      </c>
      <c r="L3" s="21" t="n">
        <v>177.64</v>
      </c>
      <c r="M3" s="21" t="n">
        <v>176.533</v>
      </c>
      <c r="N3" s="21" t="n">
        <v>277.884</v>
      </c>
      <c r="O3" s="21" t="n">
        <v>269.929</v>
      </c>
      <c r="P3" s="21" t="n">
        <v>264.958</v>
      </c>
      <c r="Q3" s="21" t="n">
        <v>306.675</v>
      </c>
      <c r="R3" s="21" t="n">
        <v>270.522</v>
      </c>
      <c r="S3" s="21" t="n">
        <v>262.037</v>
      </c>
      <c r="T3" s="21" t="n">
        <v>262.509</v>
      </c>
      <c r="U3" s="21" t="n">
        <v>268.859</v>
      </c>
      <c r="V3" s="21" t="n">
        <v>326.521</v>
      </c>
      <c r="W3" s="21" t="n">
        <v>303.062</v>
      </c>
      <c r="X3" s="21" t="n">
        <v>239.587</v>
      </c>
      <c r="Y3" s="21" t="n">
        <v>214.292</v>
      </c>
      <c r="Z3" s="21" t="n">
        <v>227.806</v>
      </c>
      <c r="AA3" s="21" t="n">
        <v>161.474</v>
      </c>
      <c r="AB3" s="21" t="n">
        <v>289.038</v>
      </c>
      <c r="AC3" s="21" t="n">
        <v>152.883</v>
      </c>
      <c r="AD3" s="21" t="n">
        <v>231.386</v>
      </c>
      <c r="AE3" s="21" t="n">
        <v>260.256</v>
      </c>
      <c r="AF3" s="21" t="n">
        <v>201.93</v>
      </c>
      <c r="AG3" s="21" t="n">
        <v>142.287</v>
      </c>
      <c r="AH3" s="21" t="n">
        <v>227.301</v>
      </c>
      <c r="AI3" s="21" t="n">
        <v>227.571</v>
      </c>
      <c r="AJ3" s="21" t="n">
        <v>147.168</v>
      </c>
      <c r="AK3" s="21" t="n">
        <v>239.28</v>
      </c>
      <c r="AL3" s="21" t="n">
        <v>153.809</v>
      </c>
      <c r="AM3" s="21" t="n">
        <v>258.439</v>
      </c>
      <c r="AN3" s="21" t="n">
        <v>227.781</v>
      </c>
      <c r="AO3" s="21" t="n">
        <v>156.36</v>
      </c>
      <c r="AP3" s="21" t="n">
        <v>291.07</v>
      </c>
      <c r="AQ3" s="21" t="n">
        <v>176.538</v>
      </c>
      <c r="AR3" s="21" t="n">
        <v>148.859</v>
      </c>
      <c r="AS3" s="21" t="n">
        <v>199.755</v>
      </c>
      <c r="AT3" s="21" t="n">
        <v>322.291</v>
      </c>
      <c r="AU3" s="21" t="n">
        <v>254.909</v>
      </c>
      <c r="AV3" s="21" t="n">
        <v>224.929</v>
      </c>
      <c r="AW3" s="21" t="n">
        <v>149.241</v>
      </c>
      <c r="AX3" s="21" t="n">
        <v>217.204</v>
      </c>
      <c r="AY3" s="21" t="n">
        <v>152.149</v>
      </c>
      <c r="AZ3" s="21" t="n">
        <v>237.47</v>
      </c>
      <c r="BA3" s="21" t="n">
        <v>220.306</v>
      </c>
      <c r="BB3" s="21" t="n">
        <v>147.462</v>
      </c>
      <c r="BC3" s="21" t="n">
        <v>293.39</v>
      </c>
      <c r="BD3" s="21" t="n">
        <v>336.994</v>
      </c>
      <c r="BE3" s="21" t="n">
        <v>352.279</v>
      </c>
      <c r="BF3" s="21" t="n">
        <v>330.379</v>
      </c>
      <c r="BG3" s="21" t="n">
        <v>200.159</v>
      </c>
      <c r="BH3" s="21" t="n">
        <v>232.052</v>
      </c>
      <c r="BI3" s="21" t="n">
        <v>473.768</v>
      </c>
      <c r="BJ3" s="21" t="n">
        <v>119.234</v>
      </c>
      <c r="BK3" s="21" t="n">
        <v>319.689</v>
      </c>
      <c r="BL3" s="21" t="n">
        <v>325.725</v>
      </c>
      <c r="BM3" s="21" t="n">
        <v>331.517</v>
      </c>
      <c r="BN3" s="21" t="n">
        <v>328.647</v>
      </c>
      <c r="BO3" s="21" t="n">
        <v>318.984</v>
      </c>
      <c r="BP3" s="21" t="n">
        <v>158.47</v>
      </c>
      <c r="BQ3" s="21" t="n">
        <v>162.899</v>
      </c>
      <c r="BR3" s="21" t="n">
        <v>156.662</v>
      </c>
      <c r="BS3" s="21" t="n">
        <v>171.749</v>
      </c>
      <c r="BT3" s="21" t="n">
        <v>147.733</v>
      </c>
      <c r="BU3" s="21" t="n">
        <v>202.721</v>
      </c>
      <c r="BV3" s="21" t="n">
        <v>162.831</v>
      </c>
      <c r="BW3" s="21" t="n">
        <v>167.897</v>
      </c>
      <c r="BX3" s="21" t="n">
        <v>127.938</v>
      </c>
      <c r="BY3" s="21" t="n">
        <v>158.884</v>
      </c>
      <c r="BZ3" s="21" t="n">
        <v>117.118</v>
      </c>
      <c r="CA3" s="21" t="n">
        <v>121.375</v>
      </c>
      <c r="CB3" s="21" t="n">
        <v>207.385</v>
      </c>
      <c r="CC3" s="21" t="n">
        <v>214.458</v>
      </c>
      <c r="CD3" s="21" t="n">
        <v>130.003</v>
      </c>
      <c r="CE3" s="21" t="n">
        <v>208.852</v>
      </c>
      <c r="CF3" s="21" t="n">
        <v>216.65</v>
      </c>
      <c r="CG3" s="21" t="n">
        <v>188.314</v>
      </c>
      <c r="CH3" s="21" t="n">
        <v>145.625</v>
      </c>
      <c r="CI3" s="21" t="n">
        <v>153.68</v>
      </c>
      <c r="CJ3" s="21" t="n">
        <v>228.727</v>
      </c>
      <c r="CK3" s="21" t="n">
        <v>199.16</v>
      </c>
      <c r="CL3" s="21" t="n">
        <v>234.432</v>
      </c>
      <c r="CM3" s="21" t="n">
        <v>289.271</v>
      </c>
      <c r="CN3" s="21" t="n">
        <v>131.385</v>
      </c>
      <c r="CO3" s="21" t="n">
        <v>161.588</v>
      </c>
      <c r="CP3" s="21" t="n">
        <v>222.402</v>
      </c>
      <c r="CQ3" s="21" t="n">
        <v>236.453</v>
      </c>
      <c r="CR3" s="21" t="n">
        <v>170.242</v>
      </c>
      <c r="CS3" s="21" t="n">
        <v>251.885</v>
      </c>
      <c r="CT3" s="21" t="n">
        <v>233.564</v>
      </c>
      <c r="CU3" s="21" t="n">
        <v>143.355</v>
      </c>
      <c r="CV3" s="21" t="n">
        <v>136.118</v>
      </c>
      <c r="CW3" s="21" t="n">
        <v>135.678</v>
      </c>
      <c r="CX3" s="21" t="n">
        <v>273.763</v>
      </c>
      <c r="CY3" s="21" t="n">
        <v>131.459</v>
      </c>
      <c r="CZ3" s="21" t="n">
        <v>121.121</v>
      </c>
      <c r="DA3" s="21" t="n">
        <v>253.719</v>
      </c>
      <c r="DB3" s="21" t="n">
        <v>157.885</v>
      </c>
      <c r="DC3" s="21" t="n">
        <v>160.052</v>
      </c>
      <c r="DD3" s="21" t="n">
        <v>134.824</v>
      </c>
      <c r="DE3" s="21" t="n">
        <v>176.589</v>
      </c>
      <c r="DF3" s="21" t="n">
        <v>238.671</v>
      </c>
      <c r="DG3" s="21" t="n">
        <v>196.915</v>
      </c>
      <c r="DH3" s="21" t="n">
        <v>213.502</v>
      </c>
      <c r="DI3" s="21" t="n">
        <v>193.33</v>
      </c>
      <c r="DJ3" s="21" t="n">
        <v>208.105</v>
      </c>
      <c r="DK3" s="21" t="n">
        <v>187.577</v>
      </c>
      <c r="DL3" s="21" t="n">
        <v>169.16</v>
      </c>
      <c r="DM3" s="21" t="n">
        <v>328.492</v>
      </c>
      <c r="DN3" s="21" t="n">
        <v>173.694</v>
      </c>
      <c r="DO3" s="21" t="n">
        <v>236.2</v>
      </c>
      <c r="DP3" s="21" t="n">
        <v>275.47</v>
      </c>
      <c r="DQ3" s="21" t="n">
        <v>282.171</v>
      </c>
      <c r="DR3" s="21" t="n">
        <v>152.108</v>
      </c>
      <c r="DS3" s="21" t="n">
        <v>503.506</v>
      </c>
      <c r="DT3" s="21" t="n">
        <v>315.834</v>
      </c>
      <c r="DU3" s="21" t="n">
        <v>282.535</v>
      </c>
      <c r="DV3" s="21" t="n">
        <v>282.506</v>
      </c>
      <c r="DW3" s="21" t="n">
        <v>233.319</v>
      </c>
      <c r="DX3" s="21" t="n">
        <v>199.055</v>
      </c>
      <c r="DY3" s="21" t="n">
        <v>269.641</v>
      </c>
      <c r="DZ3" s="21" t="n">
        <v>270.583</v>
      </c>
      <c r="EA3" s="21" t="n">
        <v>317.037</v>
      </c>
      <c r="EB3" s="21" t="n">
        <v>202.869</v>
      </c>
      <c r="EC3" s="21" t="n">
        <v>211.775</v>
      </c>
      <c r="ED3" s="21" t="n">
        <v>173.445</v>
      </c>
      <c r="EE3" s="21" t="n">
        <v>210.981</v>
      </c>
      <c r="EF3" s="21" t="n">
        <v>484.999</v>
      </c>
      <c r="EG3" s="21" t="n">
        <v>429.248</v>
      </c>
      <c r="EH3" s="21" t="n">
        <v>122.349</v>
      </c>
      <c r="EI3" s="21" t="n">
        <v>61.756</v>
      </c>
      <c r="EJ3" s="21" t="n">
        <v>70.77</v>
      </c>
      <c r="EK3" s="21" t="n">
        <v>48.792</v>
      </c>
      <c r="EL3" s="21" t="n">
        <v>113.972</v>
      </c>
      <c r="EM3" s="21" t="n">
        <v>75.321</v>
      </c>
      <c r="EN3" s="21" t="n">
        <v>80.18000000000001</v>
      </c>
      <c r="EO3" s="21" t="n">
        <v>89.64400000000001</v>
      </c>
      <c r="EP3" s="21" t="n">
        <v>101.501</v>
      </c>
      <c r="EQ3" s="21" t="n">
        <v>68.03700000000001</v>
      </c>
      <c r="ER3" s="21" t="n">
        <v>59.382</v>
      </c>
      <c r="ES3" s="21" t="n">
        <v>127.305</v>
      </c>
      <c r="ET3" s="21" t="n">
        <v>91.226</v>
      </c>
      <c r="EU3" s="21" t="n">
        <v>91.074</v>
      </c>
      <c r="EV3" s="21" t="n">
        <v>101.075</v>
      </c>
      <c r="EW3" s="21" t="n">
        <v>86.482</v>
      </c>
      <c r="EX3" s="21" t="n">
        <v>186.827</v>
      </c>
      <c r="EY3" s="21" t="n">
        <v>118.788</v>
      </c>
      <c r="EZ3" s="21" t="n">
        <v>119.244</v>
      </c>
      <c r="FA3" s="21" t="n">
        <v>135.336</v>
      </c>
      <c r="FB3" s="21" t="n">
        <v>125.96</v>
      </c>
      <c r="FC3" s="21" t="n">
        <v>119.946</v>
      </c>
      <c r="FD3" s="21" t="n">
        <v>124.222</v>
      </c>
      <c r="FE3" s="21" t="n">
        <v>112.413</v>
      </c>
      <c r="FF3" s="21" t="n">
        <v>153.367</v>
      </c>
      <c r="FG3" s="21" t="n">
        <v>80.774</v>
      </c>
      <c r="FH3" s="21" t="n">
        <v>121.961</v>
      </c>
      <c r="FI3" s="21" t="n">
        <v>102.965</v>
      </c>
      <c r="FJ3" s="21" t="n">
        <v>111.625</v>
      </c>
      <c r="FK3" s="21" t="n">
        <v>114.262</v>
      </c>
      <c r="FL3" s="21" t="n">
        <v>111.439</v>
      </c>
      <c r="FM3" s="21" t="n">
        <v>124.04</v>
      </c>
      <c r="FN3" s="21" t="n">
        <v>81.387</v>
      </c>
      <c r="FO3" s="21" t="n">
        <v>104.737</v>
      </c>
      <c r="FP3" s="21" t="n">
        <v>98.982</v>
      </c>
      <c r="FQ3" s="21" t="n">
        <v>136.513</v>
      </c>
      <c r="FR3" s="21" t="n">
        <v>137.565</v>
      </c>
      <c r="FS3" s="21" t="n">
        <v>149.908</v>
      </c>
      <c r="FT3" s="21" t="n">
        <v>128.585</v>
      </c>
      <c r="FU3" s="21" t="n">
        <v>115.292</v>
      </c>
      <c r="FV3" s="21" t="n">
        <v>160.27</v>
      </c>
      <c r="FW3" s="21" t="n">
        <v>124.181</v>
      </c>
      <c r="FX3" s="21" t="n">
        <v>165.388</v>
      </c>
      <c r="FY3" s="21" t="n">
        <v>197.087</v>
      </c>
      <c r="FZ3" s="21" t="n">
        <v>191.616</v>
      </c>
      <c r="GA3" s="21" t="n">
        <v>100.458</v>
      </c>
      <c r="GB3" s="21" t="n">
        <v>146.316</v>
      </c>
      <c r="GC3" s="21" t="n">
        <v>101.432</v>
      </c>
      <c r="GD3" s="21" t="n">
        <v>144.45</v>
      </c>
      <c r="GE3" s="21" t="n">
        <v>154.328</v>
      </c>
      <c r="GF3" s="21" t="n"/>
      <c r="GG3" s="21" t="n">
        <v>147.264</v>
      </c>
      <c r="GH3" s="21" t="n">
        <v>84.422</v>
      </c>
      <c r="GI3" s="21" t="n">
        <v>129.242</v>
      </c>
      <c r="GJ3" s="21" t="n">
        <v>208.233</v>
      </c>
      <c r="GK3" s="21" t="n">
        <v>206.901</v>
      </c>
      <c r="GL3" s="21" t="n">
        <v>204.085</v>
      </c>
      <c r="GM3" s="21" t="n">
        <v>219.371</v>
      </c>
      <c r="GN3" s="21" t="n">
        <v>211.006</v>
      </c>
      <c r="GO3" s="21" t="n">
        <v>210.775</v>
      </c>
      <c r="GP3" s="21" t="n">
        <v>145.14</v>
      </c>
      <c r="GQ3" s="21" t="n">
        <v>127.585</v>
      </c>
      <c r="GR3" s="21" t="n">
        <v>269.136</v>
      </c>
      <c r="GS3" s="21" t="n">
        <v>167.096</v>
      </c>
      <c r="GT3" s="21" t="n">
        <v>452.757</v>
      </c>
      <c r="GU3" s="21" t="n">
        <v>193.993</v>
      </c>
      <c r="GV3" s="21" t="n">
        <v>214.709</v>
      </c>
      <c r="GW3" s="21" t="n">
        <v>268.751</v>
      </c>
      <c r="GX3" s="21" t="n">
        <v>293.524</v>
      </c>
      <c r="GY3" s="21" t="n">
        <v>150.046</v>
      </c>
      <c r="GZ3" s="21" t="n">
        <v>104.767</v>
      </c>
      <c r="HA3" s="21" t="n">
        <v>60.648</v>
      </c>
      <c r="HB3" s="21" t="n">
        <v>441.101</v>
      </c>
      <c r="HC3" s="21" t="n">
        <v>352.412</v>
      </c>
      <c r="HD3" s="21" t="n">
        <v>115.067</v>
      </c>
      <c r="HE3" s="21" t="n">
        <v>474.204</v>
      </c>
      <c r="HF3" s="21" t="n">
        <v>98.262</v>
      </c>
      <c r="HG3" s="21" t="n">
        <v>469.241</v>
      </c>
      <c r="HH3" s="21" t="n">
        <v>357.996</v>
      </c>
      <c r="HI3" s="21" t="n">
        <v>361.032</v>
      </c>
      <c r="HJ3" s="21" t="n">
        <v>448.01</v>
      </c>
      <c r="HK3" s="21" t="n">
        <v>184.091</v>
      </c>
      <c r="HL3" s="21" t="n">
        <v>228.005</v>
      </c>
      <c r="HM3" s="21" t="n">
        <v>67.858</v>
      </c>
      <c r="HN3" s="21" t="n">
        <v>284.111</v>
      </c>
      <c r="HO3" s="21" t="n">
        <v>278.727</v>
      </c>
      <c r="HP3" s="21" t="n">
        <v>641.809</v>
      </c>
      <c r="HQ3" s="21" t="n">
        <v>204.082</v>
      </c>
      <c r="HR3" s="21" t="n">
        <v>115.467</v>
      </c>
      <c r="HS3" s="21" t="n">
        <v>99.66200000000001</v>
      </c>
      <c r="HT3" s="21" t="n">
        <v>344.368</v>
      </c>
      <c r="HU3" s="21" t="n">
        <v>420.498</v>
      </c>
      <c r="HV3" s="21" t="n">
        <v>136.718</v>
      </c>
      <c r="HW3" s="21" t="n">
        <v>36.498</v>
      </c>
      <c r="HX3" s="21" t="n">
        <v>166.718</v>
      </c>
      <c r="HY3" s="21" t="n">
        <v>199.048</v>
      </c>
      <c r="HZ3" s="21" t="n">
        <v>152.559</v>
      </c>
      <c r="IA3" s="21" t="n">
        <v>113.931</v>
      </c>
      <c r="IB3" s="21" t="n">
        <v>222.273</v>
      </c>
      <c r="IC3" s="21" t="n">
        <v>179.046</v>
      </c>
      <c r="ID3" s="21" t="n">
        <v>231.987</v>
      </c>
      <c r="IE3" s="21" t="n">
        <v>115.168</v>
      </c>
      <c r="IF3" s="21" t="n">
        <v>149.21</v>
      </c>
      <c r="IG3" s="21" t="n">
        <v>85.892</v>
      </c>
      <c r="IH3" s="21" t="n">
        <v>75.858</v>
      </c>
      <c r="II3" s="21" t="n">
        <v>56.336</v>
      </c>
      <c r="IJ3" s="21" t="n">
        <v>23.208</v>
      </c>
      <c r="IK3" s="21" t="n">
        <v>47.366</v>
      </c>
      <c r="IL3" s="21" t="n">
        <v>45.311</v>
      </c>
      <c r="IM3" s="21" t="n">
        <v>53.17</v>
      </c>
      <c r="IN3" s="21" t="n">
        <v>96.86199999999999</v>
      </c>
      <c r="IO3" s="21" t="n">
        <v>97.438</v>
      </c>
      <c r="IP3" s="21" t="n">
        <v>154.023</v>
      </c>
      <c r="IQ3" s="21" t="n">
        <v>128.532</v>
      </c>
      <c r="IR3" s="21" t="n">
        <v>348.814</v>
      </c>
      <c r="IS3" s="21" t="n">
        <v>166.217</v>
      </c>
      <c r="IT3" s="21" t="n">
        <v>202.356</v>
      </c>
      <c r="IU3" s="21" t="n">
        <v>283.206</v>
      </c>
      <c r="IV3" s="21" t="n">
        <v>238.008</v>
      </c>
      <c r="IW3" s="21" t="n">
        <v>137.538</v>
      </c>
      <c r="IX3" s="21" t="n">
        <v>237.012</v>
      </c>
      <c r="IY3" s="21" t="n">
        <v>640.0839999999999</v>
      </c>
      <c r="IZ3" s="21" t="n">
        <v>678.628</v>
      </c>
      <c r="JA3" s="21" t="n">
        <v>775.551</v>
      </c>
      <c r="JB3" s="21" t="n">
        <v>70.474</v>
      </c>
      <c r="JC3" s="21" t="n">
        <v>269.681</v>
      </c>
      <c r="JD3" s="21" t="n">
        <v>232.92</v>
      </c>
      <c r="JE3" s="21" t="n">
        <v>80.536</v>
      </c>
      <c r="JF3" s="21" t="n">
        <v>172.229</v>
      </c>
      <c r="JG3" s="21" t="n">
        <v>270.383</v>
      </c>
      <c r="JH3" s="21" t="n">
        <v>283.052</v>
      </c>
      <c r="JI3" s="21" t="n">
        <v>76.73999999999999</v>
      </c>
      <c r="JJ3" s="21" t="n">
        <v>121.655</v>
      </c>
      <c r="JK3" s="21" t="n">
        <v>49.146</v>
      </c>
      <c r="JL3" s="21" t="n">
        <v>78.179</v>
      </c>
      <c r="JM3" s="21" t="n">
        <v>337.458</v>
      </c>
      <c r="JN3" s="21" t="n">
        <v>411.875</v>
      </c>
      <c r="JO3" s="21" t="n">
        <v>57.948</v>
      </c>
      <c r="JP3" s="21" t="n">
        <v>374.865</v>
      </c>
      <c r="JQ3" s="21" t="n">
        <v>219.536</v>
      </c>
      <c r="JR3" s="21" t="n">
        <v>164.615</v>
      </c>
      <c r="JS3" s="21" t="n">
        <v>395.338</v>
      </c>
      <c r="JT3" s="21" t="n">
        <v>319.613</v>
      </c>
      <c r="JU3" s="21" t="n">
        <v>310.198</v>
      </c>
      <c r="JV3" s="21" t="n">
        <v>153.806</v>
      </c>
      <c r="JW3" s="21" t="n">
        <v>315.425</v>
      </c>
      <c r="JX3" s="21" t="n">
        <v>214.839</v>
      </c>
      <c r="JY3" s="21" t="n">
        <v>83.206</v>
      </c>
      <c r="JZ3" s="21" t="n">
        <v>153.312</v>
      </c>
      <c r="KA3" s="21" t="n">
        <v>225.412</v>
      </c>
      <c r="KB3" s="21" t="n">
        <v>240.446</v>
      </c>
      <c r="KC3" s="21" t="n">
        <v>233.611</v>
      </c>
      <c r="KD3" s="21" t="n">
        <v>240.172</v>
      </c>
      <c r="KE3" s="21" t="n">
        <v>222.274</v>
      </c>
      <c r="KF3" s="21" t="n">
        <v>215.995</v>
      </c>
      <c r="KG3" s="21" t="n">
        <v>220.657</v>
      </c>
      <c r="KH3" s="21" t="n">
        <v>225.067</v>
      </c>
      <c r="KI3" s="21" t="n">
        <v>118.941</v>
      </c>
      <c r="KJ3" s="21" t="n">
        <v>181.129</v>
      </c>
      <c r="KK3" s="21" t="n">
        <v>151.72</v>
      </c>
      <c r="KL3" s="21" t="n">
        <v>148.669</v>
      </c>
      <c r="KM3" s="21" t="n">
        <v>146.064</v>
      </c>
      <c r="KN3" s="21" t="n">
        <v>146.649</v>
      </c>
      <c r="KO3" s="21" t="n">
        <v>251.316</v>
      </c>
      <c r="KP3" s="21" t="n">
        <v>109.185</v>
      </c>
      <c r="KQ3" s="21" t="n">
        <v>84.551</v>
      </c>
      <c r="KR3" s="21" t="n">
        <v>109.06</v>
      </c>
      <c r="KS3" s="21" t="n">
        <v>203.021</v>
      </c>
      <c r="KT3" s="21" t="n">
        <v>212.635</v>
      </c>
      <c r="KU3" s="21" t="n">
        <v>93.44499999999999</v>
      </c>
      <c r="KV3" s="21" t="n">
        <v>66.678</v>
      </c>
      <c r="KW3" s="21" t="n">
        <v>216.744</v>
      </c>
      <c r="KX3" s="21" t="n">
        <v>191.181</v>
      </c>
      <c r="KY3" s="21" t="n">
        <v>230.948</v>
      </c>
      <c r="KZ3" s="21" t="n">
        <v>188.197</v>
      </c>
      <c r="LA3" s="21" t="n">
        <v>231.376</v>
      </c>
      <c r="LB3" s="21" t="n">
        <v>107.732</v>
      </c>
      <c r="LC3" s="21" t="n">
        <v>336.452</v>
      </c>
      <c r="LD3" s="21" t="n">
        <v>89.30200000000001</v>
      </c>
      <c r="LE3" s="21" t="n">
        <v>110.681</v>
      </c>
      <c r="LF3" s="21" t="n">
        <v>286.858</v>
      </c>
      <c r="LG3" s="21" t="n">
        <v>288.949</v>
      </c>
      <c r="LH3" s="21" t="n">
        <v>297.702</v>
      </c>
      <c r="LI3" s="21" t="n">
        <v>275.14</v>
      </c>
      <c r="LJ3" s="21" t="n">
        <v>313.835</v>
      </c>
      <c r="LK3" s="21" t="n">
        <v>106.139</v>
      </c>
      <c r="LL3" s="21" t="n">
        <v>288.461</v>
      </c>
      <c r="LM3" s="21" t="n">
        <v>215.588</v>
      </c>
      <c r="LN3" s="21" t="n">
        <v>63.022</v>
      </c>
      <c r="LO3" s="21" t="n">
        <v>112.809</v>
      </c>
    </row>
    <row r="4">
      <c r="A4" s="22" t="n">
        <v>42064</v>
      </c>
      <c r="B4" s="21" t="n">
        <v>235.976</v>
      </c>
      <c r="C4" s="21" t="n">
        <v>245.685</v>
      </c>
      <c r="D4" s="21" t="n">
        <v>246.072</v>
      </c>
      <c r="E4" s="21" t="n">
        <v>241.633</v>
      </c>
      <c r="F4" s="21" t="n">
        <v>273.583</v>
      </c>
      <c r="G4" s="21" t="n">
        <v>234.846</v>
      </c>
      <c r="H4" s="21" t="n">
        <v>248.017</v>
      </c>
      <c r="I4" s="21" t="n">
        <v>228.916</v>
      </c>
      <c r="J4" s="21" t="n">
        <v>242.449</v>
      </c>
      <c r="K4" s="21" t="n">
        <v>296.085</v>
      </c>
      <c r="L4" s="21" t="n">
        <v>178.336</v>
      </c>
      <c r="M4" s="21" t="n">
        <v>175.309</v>
      </c>
      <c r="N4" s="21" t="n">
        <v>277.689</v>
      </c>
      <c r="O4" s="21" t="n">
        <v>270.043</v>
      </c>
      <c r="P4" s="21" t="n">
        <v>265.919</v>
      </c>
      <c r="Q4" s="21" t="n">
        <v>308.421</v>
      </c>
      <c r="R4" s="21" t="n">
        <v>267.092</v>
      </c>
      <c r="S4" s="21" t="n">
        <v>260.598</v>
      </c>
      <c r="T4" s="21" t="n">
        <v>260.886</v>
      </c>
      <c r="U4" s="21" t="n">
        <v>266.215</v>
      </c>
      <c r="V4" s="21" t="n">
        <v>324.972</v>
      </c>
      <c r="W4" s="21" t="n">
        <v>300.345</v>
      </c>
      <c r="X4" s="21" t="n">
        <v>239.68</v>
      </c>
      <c r="Y4" s="21" t="n">
        <v>214.801</v>
      </c>
      <c r="Z4" s="21" t="n">
        <v>222.511</v>
      </c>
      <c r="AA4" s="21" t="n">
        <v>157.535</v>
      </c>
      <c r="AB4" s="21" t="n">
        <v>280.124</v>
      </c>
      <c r="AC4" s="21" t="n">
        <v>152.107</v>
      </c>
      <c r="AD4" s="21" t="n">
        <v>224.919</v>
      </c>
      <c r="AE4" s="21" t="n">
        <v>253.095</v>
      </c>
      <c r="AF4" s="21" t="n">
        <v>197.384</v>
      </c>
      <c r="AG4" s="21" t="n">
        <v>141.498</v>
      </c>
      <c r="AH4" s="21" t="n">
        <v>226.706</v>
      </c>
      <c r="AI4" s="21" t="n">
        <v>218.793</v>
      </c>
      <c r="AJ4" s="21" t="n">
        <v>146.52</v>
      </c>
      <c r="AK4" s="21" t="n">
        <v>240.101</v>
      </c>
      <c r="AL4" s="21" t="n">
        <v>154.302</v>
      </c>
      <c r="AM4" s="21" t="n">
        <v>257.088</v>
      </c>
      <c r="AN4" s="21" t="n">
        <v>229.275</v>
      </c>
      <c r="AO4" s="21" t="n">
        <v>156.493</v>
      </c>
      <c r="AP4" s="21" t="n">
        <v>290.293</v>
      </c>
      <c r="AQ4" s="21" t="n">
        <v>177.073</v>
      </c>
      <c r="AR4" s="21" t="n">
        <v>148.321</v>
      </c>
      <c r="AS4" s="21" t="n">
        <v>198.387</v>
      </c>
      <c r="AT4" s="21" t="n">
        <v>318.484</v>
      </c>
      <c r="AU4" s="21" t="n">
        <v>256.09</v>
      </c>
      <c r="AV4" s="21" t="n">
        <v>224.214</v>
      </c>
      <c r="AW4" s="21" t="n">
        <v>149.253</v>
      </c>
      <c r="AX4" s="21" t="n">
        <v>216.336</v>
      </c>
      <c r="AY4" s="21" t="n">
        <v>152.309</v>
      </c>
      <c r="AZ4" s="21" t="n">
        <v>235.601</v>
      </c>
      <c r="BA4" s="21" t="n">
        <v>220.176</v>
      </c>
      <c r="BB4" s="21" t="n">
        <v>147.445</v>
      </c>
      <c r="BC4" s="21" t="n">
        <v>290.546</v>
      </c>
      <c r="BD4" s="21" t="n">
        <v>333.277</v>
      </c>
      <c r="BE4" s="21" t="n">
        <v>344.15</v>
      </c>
      <c r="BF4" s="21" t="n">
        <v>324.251</v>
      </c>
      <c r="BG4" s="21" t="n">
        <v>201.495</v>
      </c>
      <c r="BH4" s="21" t="n">
        <v>228.781</v>
      </c>
      <c r="BI4" s="21" t="n">
        <v>473.353</v>
      </c>
      <c r="BJ4" s="21" t="n">
        <v>115.335</v>
      </c>
      <c r="BK4" s="21" t="n">
        <v>320.663</v>
      </c>
      <c r="BL4" s="21" t="n">
        <v>327.365</v>
      </c>
      <c r="BM4" s="21" t="n">
        <v>311.368</v>
      </c>
      <c r="BN4" s="21" t="n">
        <v>328.438</v>
      </c>
      <c r="BO4" s="21" t="n">
        <v>322.653</v>
      </c>
      <c r="BP4" s="21" t="n">
        <v>157.655</v>
      </c>
      <c r="BQ4" s="21" t="n">
        <v>162.082</v>
      </c>
      <c r="BR4" s="21" t="n">
        <v>156.298</v>
      </c>
      <c r="BS4" s="21" t="n">
        <v>170.331</v>
      </c>
      <c r="BT4" s="21" t="n">
        <v>147.332</v>
      </c>
      <c r="BU4" s="21" t="n">
        <v>202.582</v>
      </c>
      <c r="BV4" s="21" t="n">
        <v>162.084</v>
      </c>
      <c r="BW4" s="21" t="n">
        <v>167.037</v>
      </c>
      <c r="BX4" s="21" t="n">
        <v>127.39</v>
      </c>
      <c r="BY4" s="21" t="n">
        <v>158.033</v>
      </c>
      <c r="BZ4" s="21" t="n">
        <v>117.055</v>
      </c>
      <c r="CA4" s="21" t="n">
        <v>121.028</v>
      </c>
      <c r="CB4" s="21" t="n">
        <v>206.93</v>
      </c>
      <c r="CC4" s="21" t="n">
        <v>214.75</v>
      </c>
      <c r="CD4" s="21" t="n">
        <v>128.157</v>
      </c>
      <c r="CE4" s="21" t="n">
        <v>208.471</v>
      </c>
      <c r="CF4" s="21" t="n">
        <v>216.216</v>
      </c>
      <c r="CG4" s="21" t="n">
        <v>188.904</v>
      </c>
      <c r="CH4" s="21" t="n">
        <v>145.808</v>
      </c>
      <c r="CI4" s="21" t="n">
        <v>153.354</v>
      </c>
      <c r="CJ4" s="21" t="n">
        <v>226.517</v>
      </c>
      <c r="CK4" s="21" t="n">
        <v>195.016</v>
      </c>
      <c r="CL4" s="21" t="n">
        <v>224.069</v>
      </c>
      <c r="CM4" s="21" t="n">
        <v>282.97</v>
      </c>
      <c r="CN4" s="21" t="n">
        <v>130.97</v>
      </c>
      <c r="CO4" s="21" t="n">
        <v>160.711</v>
      </c>
      <c r="CP4" s="21" t="n">
        <v>222.288</v>
      </c>
      <c r="CQ4" s="21" t="n">
        <v>236.391</v>
      </c>
      <c r="CR4" s="21" t="n">
        <v>170.232</v>
      </c>
      <c r="CS4" s="21" t="n">
        <v>250.486</v>
      </c>
      <c r="CT4" s="21" t="n">
        <v>232.902</v>
      </c>
      <c r="CU4" s="21" t="n">
        <v>143.885</v>
      </c>
      <c r="CV4" s="21" t="n">
        <v>136.84</v>
      </c>
      <c r="CW4" s="21" t="n">
        <v>135.999</v>
      </c>
      <c r="CX4" s="21" t="n">
        <v>270.203</v>
      </c>
      <c r="CY4" s="21" t="n">
        <v>131.41</v>
      </c>
      <c r="CZ4" s="21" t="n">
        <v>119.79</v>
      </c>
      <c r="DA4" s="21" t="n">
        <v>254.108</v>
      </c>
      <c r="DB4" s="21" t="n">
        <v>158.131</v>
      </c>
      <c r="DC4" s="21" t="n">
        <v>160.366</v>
      </c>
      <c r="DD4" s="21" t="n">
        <v>134.838</v>
      </c>
      <c r="DE4" s="21" t="n">
        <v>177.551</v>
      </c>
      <c r="DF4" s="21" t="n">
        <v>239.007</v>
      </c>
      <c r="DG4" s="21" t="n">
        <v>197.113</v>
      </c>
      <c r="DH4" s="21" t="n">
        <v>213.597</v>
      </c>
      <c r="DI4" s="21" t="n">
        <v>192.746</v>
      </c>
      <c r="DJ4" s="21" t="n">
        <v>208.432</v>
      </c>
      <c r="DK4" s="21" t="n">
        <v>186.369</v>
      </c>
      <c r="DL4" s="21" t="n">
        <v>169.395</v>
      </c>
      <c r="DM4" s="21" t="n">
        <v>328.715</v>
      </c>
      <c r="DN4" s="21" t="n">
        <v>173.11</v>
      </c>
      <c r="DO4" s="21" t="n">
        <v>236.602</v>
      </c>
      <c r="DP4" s="21" t="n">
        <v>276.258</v>
      </c>
      <c r="DQ4" s="21" t="n">
        <v>283.056</v>
      </c>
      <c r="DR4" s="21" t="n">
        <v>153.494</v>
      </c>
      <c r="DS4" s="21" t="n">
        <v>503.977</v>
      </c>
      <c r="DT4" s="21" t="n">
        <v>319.309</v>
      </c>
      <c r="DU4" s="21" t="n">
        <v>283.27</v>
      </c>
      <c r="DV4" s="21" t="n">
        <v>283.24</v>
      </c>
      <c r="DW4" s="21" t="n">
        <v>232.069</v>
      </c>
      <c r="DX4" s="21" t="n">
        <v>197.53</v>
      </c>
      <c r="DY4" s="21" t="n">
        <v>277.899</v>
      </c>
      <c r="DZ4" s="21" t="n">
        <v>290.929</v>
      </c>
      <c r="EA4" s="21" t="n">
        <v>317.984</v>
      </c>
      <c r="EB4" s="21" t="n">
        <v>200.887</v>
      </c>
      <c r="EC4" s="21" t="n">
        <v>210.178</v>
      </c>
      <c r="ED4" s="21" t="n">
        <v>170.331</v>
      </c>
      <c r="EE4" s="21" t="n">
        <v>211.468</v>
      </c>
      <c r="EF4" s="21" t="n">
        <v>486.449</v>
      </c>
      <c r="EG4" s="21" t="n">
        <v>429.235</v>
      </c>
      <c r="EH4" s="21" t="n">
        <v>122.542</v>
      </c>
      <c r="EI4" s="21" t="n">
        <v>61.09</v>
      </c>
      <c r="EJ4" s="21" t="n">
        <v>68.80800000000001</v>
      </c>
      <c r="EK4" s="21" t="n">
        <v>48.384</v>
      </c>
      <c r="EL4" s="21" t="n">
        <v>114.966</v>
      </c>
      <c r="EM4" s="21" t="n">
        <v>76.78400000000001</v>
      </c>
      <c r="EN4" s="21" t="n">
        <v>80.07899999999999</v>
      </c>
      <c r="EO4" s="21" t="n">
        <v>88.872</v>
      </c>
      <c r="EP4" s="21" t="n">
        <v>101.408</v>
      </c>
      <c r="EQ4" s="21" t="n">
        <v>68.10299999999999</v>
      </c>
      <c r="ER4" s="21" t="n">
        <v>59.285</v>
      </c>
      <c r="ES4" s="21" t="n">
        <v>126.469</v>
      </c>
      <c r="ET4" s="21" t="n">
        <v>91.58199999999999</v>
      </c>
      <c r="EU4" s="21" t="n">
        <v>91.09399999999999</v>
      </c>
      <c r="EV4" s="21" t="n">
        <v>100.913</v>
      </c>
      <c r="EW4" s="21" t="n">
        <v>86.571</v>
      </c>
      <c r="EX4" s="21" t="n">
        <v>187.802</v>
      </c>
      <c r="EY4" s="21" t="n">
        <v>119.52</v>
      </c>
      <c r="EZ4" s="21" t="n">
        <v>120.244</v>
      </c>
      <c r="FA4" s="21" t="n">
        <v>135.294</v>
      </c>
      <c r="FB4" s="21" t="n">
        <v>126.626</v>
      </c>
      <c r="FC4" s="21" t="n">
        <v>121.35</v>
      </c>
      <c r="FD4" s="21" t="n">
        <v>126.883</v>
      </c>
      <c r="FE4" s="21" t="n">
        <v>113.545</v>
      </c>
      <c r="FF4" s="21" t="n">
        <v>158.949</v>
      </c>
      <c r="FG4" s="21" t="n">
        <v>80.702</v>
      </c>
      <c r="FH4" s="21" t="n">
        <v>126.429</v>
      </c>
      <c r="FI4" s="21" t="n">
        <v>103.343</v>
      </c>
      <c r="FJ4" s="21" t="n">
        <v>111.684</v>
      </c>
      <c r="FK4" s="21" t="n">
        <v>114.703</v>
      </c>
      <c r="FL4" s="21" t="n">
        <v>108.256</v>
      </c>
      <c r="FM4" s="21" t="n">
        <v>126.129</v>
      </c>
      <c r="FN4" s="21" t="n">
        <v>81.732</v>
      </c>
      <c r="FO4" s="21" t="n">
        <v>105.664</v>
      </c>
      <c r="FP4" s="21" t="n">
        <v>97.306</v>
      </c>
      <c r="FQ4" s="21" t="n">
        <v>137.172</v>
      </c>
      <c r="FR4" s="21" t="n">
        <v>136.658</v>
      </c>
      <c r="FS4" s="21" t="n">
        <v>152.16</v>
      </c>
      <c r="FT4" s="21" t="n">
        <v>129.51</v>
      </c>
      <c r="FU4" s="21" t="n">
        <v>118.076</v>
      </c>
      <c r="FV4" s="21" t="n">
        <v>160.572</v>
      </c>
      <c r="FW4" s="21" t="n">
        <v>123.227</v>
      </c>
      <c r="FX4" s="21" t="n">
        <v>165.918</v>
      </c>
      <c r="FY4" s="21" t="n">
        <v>199.119</v>
      </c>
      <c r="FZ4" s="21" t="n">
        <v>193.844</v>
      </c>
      <c r="GA4" s="21" t="n">
        <v>100.784</v>
      </c>
      <c r="GB4" s="21" t="n">
        <v>146.672</v>
      </c>
      <c r="GC4" s="21" t="n">
        <v>101.689</v>
      </c>
      <c r="GD4" s="21" t="n">
        <v>144.574</v>
      </c>
      <c r="GE4" s="21" t="n">
        <v>154.668</v>
      </c>
      <c r="GF4" s="21" t="n"/>
      <c r="GG4" s="21" t="n">
        <v>147.694</v>
      </c>
      <c r="GH4" s="21" t="n">
        <v>85.371</v>
      </c>
      <c r="GI4" s="21" t="n">
        <v>129.125</v>
      </c>
      <c r="GJ4" s="21" t="n">
        <v>215.931</v>
      </c>
      <c r="GK4" s="21" t="n">
        <v>214.684</v>
      </c>
      <c r="GL4" s="21" t="n">
        <v>211.834</v>
      </c>
      <c r="GM4" s="21" t="n">
        <v>226.294</v>
      </c>
      <c r="GN4" s="21" t="n">
        <v>219.507</v>
      </c>
      <c r="GO4" s="21" t="n">
        <v>213.516</v>
      </c>
      <c r="GP4" s="21" t="n">
        <v>144.504</v>
      </c>
      <c r="GQ4" s="21" t="n">
        <v>126.843</v>
      </c>
      <c r="GR4" s="21" t="n">
        <v>268.907</v>
      </c>
      <c r="GS4" s="21" t="n">
        <v>166.756</v>
      </c>
      <c r="GT4" s="21" t="n">
        <v>454.728</v>
      </c>
      <c r="GU4" s="21" t="n">
        <v>193.994</v>
      </c>
      <c r="GV4" s="21" t="n">
        <v>214.674</v>
      </c>
      <c r="GW4" s="21" t="n">
        <v>267.16</v>
      </c>
      <c r="GX4" s="21" t="n">
        <v>290.945</v>
      </c>
      <c r="GY4" s="21" t="n">
        <v>149.538</v>
      </c>
      <c r="GZ4" s="21" t="n">
        <v>107.703</v>
      </c>
      <c r="HA4" s="21" t="n">
        <v>60.544</v>
      </c>
      <c r="HB4" s="21" t="n">
        <v>442.943</v>
      </c>
      <c r="HC4" s="21" t="n">
        <v>353.232</v>
      </c>
      <c r="HD4" s="21" t="n">
        <v>115.339</v>
      </c>
      <c r="HE4" s="21" t="n">
        <v>476.348</v>
      </c>
      <c r="HF4" s="21" t="n">
        <v>97.883</v>
      </c>
      <c r="HG4" s="21" t="n">
        <v>471.46</v>
      </c>
      <c r="HH4" s="21" t="n">
        <v>359.334</v>
      </c>
      <c r="HI4" s="21" t="n">
        <v>363.562</v>
      </c>
      <c r="HJ4" s="21" t="n">
        <v>447.859</v>
      </c>
      <c r="HK4" s="21" t="n">
        <v>183.569</v>
      </c>
      <c r="HL4" s="21" t="n">
        <v>227.974</v>
      </c>
      <c r="HM4" s="21" t="n">
        <v>68.292</v>
      </c>
      <c r="HN4" s="21" t="n">
        <v>285.902</v>
      </c>
      <c r="HO4" s="21" t="n">
        <v>280.611</v>
      </c>
      <c r="HP4" s="21" t="n">
        <v>645.98</v>
      </c>
      <c r="HQ4" s="21" t="n">
        <v>204.328</v>
      </c>
      <c r="HR4" s="21" t="n">
        <v>115.551</v>
      </c>
      <c r="HS4" s="21" t="n">
        <v>99.381</v>
      </c>
      <c r="HT4" s="21" t="n">
        <v>343.687</v>
      </c>
      <c r="HU4" s="21" t="n">
        <v>419.865</v>
      </c>
      <c r="HV4" s="21" t="n">
        <v>133.658</v>
      </c>
      <c r="HW4" s="21" t="n">
        <v>36.195</v>
      </c>
      <c r="HX4" s="21" t="n">
        <v>167.142</v>
      </c>
      <c r="HY4" s="21" t="n">
        <v>199.55</v>
      </c>
      <c r="HZ4" s="21" t="n">
        <v>153.397</v>
      </c>
      <c r="IA4" s="21" t="n">
        <v>114.018</v>
      </c>
      <c r="IB4" s="21" t="n">
        <v>222.848</v>
      </c>
      <c r="IC4" s="21" t="n">
        <v>178.944</v>
      </c>
      <c r="ID4" s="21" t="n">
        <v>232.944</v>
      </c>
      <c r="IE4" s="21" t="n">
        <v>114.675</v>
      </c>
      <c r="IF4" s="21" t="n">
        <v>148.525</v>
      </c>
      <c r="IG4" s="21" t="n">
        <v>85.43300000000001</v>
      </c>
      <c r="IH4" s="21" t="n">
        <v>75.521</v>
      </c>
      <c r="II4" s="21" t="n">
        <v>56.067</v>
      </c>
      <c r="IJ4" s="21" t="n">
        <v>23.125</v>
      </c>
      <c r="IK4" s="21" t="n">
        <v>47.528</v>
      </c>
      <c r="IL4" s="21" t="n">
        <v>45.377</v>
      </c>
      <c r="IM4" s="21" t="n">
        <v>53.48</v>
      </c>
      <c r="IN4" s="21" t="n">
        <v>97.97499999999999</v>
      </c>
      <c r="IO4" s="21" t="n">
        <v>98.15000000000001</v>
      </c>
      <c r="IP4" s="21" t="n">
        <v>154.68</v>
      </c>
      <c r="IQ4" s="21" t="n">
        <v>128.144</v>
      </c>
      <c r="IR4" s="21" t="n">
        <v>352.9</v>
      </c>
      <c r="IS4" s="21" t="n">
        <v>168.106</v>
      </c>
      <c r="IT4" s="21" t="n">
        <v>204.659</v>
      </c>
      <c r="IU4" s="21" t="n">
        <v>284.223</v>
      </c>
      <c r="IV4" s="21" t="n">
        <v>238.325</v>
      </c>
      <c r="IW4" s="21" t="n">
        <v>137.644</v>
      </c>
      <c r="IX4" s="21" t="n">
        <v>238.117</v>
      </c>
      <c r="IY4" s="21" t="n">
        <v>644.473</v>
      </c>
      <c r="IZ4" s="21" t="n">
        <v>681.693</v>
      </c>
      <c r="JA4" s="21" t="n">
        <v>778.304</v>
      </c>
      <c r="JB4" s="21" t="n">
        <v>70.705</v>
      </c>
      <c r="JC4" s="21" t="n">
        <v>272.037</v>
      </c>
      <c r="JD4" s="21" t="n">
        <v>233.112</v>
      </c>
      <c r="JE4" s="21" t="n">
        <v>80.31699999999999</v>
      </c>
      <c r="JF4" s="21" t="n">
        <v>172.539</v>
      </c>
      <c r="JG4" s="21" t="n">
        <v>271.252</v>
      </c>
      <c r="JH4" s="21" t="n">
        <v>279.944</v>
      </c>
      <c r="JI4" s="21" t="n">
        <v>76.517</v>
      </c>
      <c r="JJ4" s="21" t="n">
        <v>121.556</v>
      </c>
      <c r="JK4" s="21" t="n">
        <v>48.717</v>
      </c>
      <c r="JL4" s="21" t="n">
        <v>78.429</v>
      </c>
      <c r="JM4" s="21" t="n">
        <v>330.124</v>
      </c>
      <c r="JN4" s="21" t="n">
        <v>412.54</v>
      </c>
      <c r="JO4" s="21" t="n">
        <v>58.055</v>
      </c>
      <c r="JP4" s="21" t="n">
        <v>375.814</v>
      </c>
      <c r="JQ4" s="21" t="n">
        <v>219.877</v>
      </c>
      <c r="JR4" s="21" t="n">
        <v>164.086</v>
      </c>
      <c r="JS4" s="21" t="n">
        <v>395.768</v>
      </c>
      <c r="JT4" s="21" t="n">
        <v>320.198</v>
      </c>
      <c r="JU4" s="21" t="n">
        <v>310.599</v>
      </c>
      <c r="JV4" s="21" t="n">
        <v>153.911</v>
      </c>
      <c r="JW4" s="21" t="n">
        <v>315.996</v>
      </c>
      <c r="JX4" s="21" t="n">
        <v>216.863</v>
      </c>
      <c r="JY4" s="21" t="n">
        <v>82.84999999999999</v>
      </c>
      <c r="JZ4" s="21" t="n">
        <v>151.185</v>
      </c>
      <c r="KA4" s="21" t="n">
        <v>225.992</v>
      </c>
      <c r="KB4" s="21" t="n">
        <v>240.876</v>
      </c>
      <c r="KC4" s="21" t="n">
        <v>234.411</v>
      </c>
      <c r="KD4" s="21" t="n">
        <v>240.755</v>
      </c>
      <c r="KE4" s="21" t="n">
        <v>222.854</v>
      </c>
      <c r="KF4" s="21" t="n">
        <v>216.811</v>
      </c>
      <c r="KG4" s="21" t="n">
        <v>221.123</v>
      </c>
      <c r="KH4" s="21" t="n">
        <v>225.536</v>
      </c>
      <c r="KI4" s="21" t="n">
        <v>119.585</v>
      </c>
      <c r="KJ4" s="21" t="n">
        <v>181.884</v>
      </c>
      <c r="KK4" s="21" t="n">
        <v>152.896</v>
      </c>
      <c r="KL4" s="21" t="n">
        <v>149.864</v>
      </c>
      <c r="KM4" s="21" t="n">
        <v>146.356</v>
      </c>
      <c r="KN4" s="21" t="n">
        <v>146.93</v>
      </c>
      <c r="KO4" s="21" t="n">
        <v>250.351</v>
      </c>
      <c r="KP4" s="21" t="n">
        <v>109.316</v>
      </c>
      <c r="KQ4" s="21" t="n">
        <v>84.301</v>
      </c>
      <c r="KR4" s="21" t="n">
        <v>109.182</v>
      </c>
      <c r="KS4" s="21" t="n">
        <v>205.757</v>
      </c>
      <c r="KT4" s="21" t="n">
        <v>220.421</v>
      </c>
      <c r="KU4" s="21" t="n">
        <v>93.55800000000001</v>
      </c>
      <c r="KV4" s="21" t="n">
        <v>66.152</v>
      </c>
      <c r="KW4" s="21" t="n">
        <v>217.879</v>
      </c>
      <c r="KX4" s="21" t="n">
        <v>193.702</v>
      </c>
      <c r="KY4" s="21" t="n">
        <v>234.485</v>
      </c>
      <c r="KZ4" s="21" t="n">
        <v>190.889</v>
      </c>
      <c r="LA4" s="21" t="n">
        <v>235.338</v>
      </c>
      <c r="LB4" s="21" t="n">
        <v>107.612</v>
      </c>
      <c r="LC4" s="21" t="n">
        <v>336.934</v>
      </c>
      <c r="LD4" s="21" t="n">
        <v>89.276</v>
      </c>
      <c r="LE4" s="21" t="n">
        <v>110.82</v>
      </c>
      <c r="LF4" s="21" t="n">
        <v>287.736</v>
      </c>
      <c r="LG4" s="21" t="n">
        <v>289.47</v>
      </c>
      <c r="LH4" s="21" t="n">
        <v>298.466</v>
      </c>
      <c r="LI4" s="21" t="n">
        <v>275.556</v>
      </c>
      <c r="LJ4" s="21" t="n">
        <v>313.737</v>
      </c>
      <c r="LK4" s="21" t="n">
        <v>106.371</v>
      </c>
      <c r="LL4" s="21" t="n">
        <v>288.812</v>
      </c>
      <c r="LM4" s="21" t="n">
        <v>214.694</v>
      </c>
      <c r="LN4" s="21" t="n">
        <v>62.63</v>
      </c>
      <c r="LO4" s="21" t="n">
        <v>112.561</v>
      </c>
    </row>
    <row r="5">
      <c r="A5" s="22" t="n">
        <v>42095</v>
      </c>
      <c r="B5" s="21" t="n">
        <v>236.222</v>
      </c>
      <c r="C5" s="21" t="n">
        <v>245.615</v>
      </c>
      <c r="D5" s="21" t="n">
        <v>246.002</v>
      </c>
      <c r="E5" s="21" t="n">
        <v>241.106</v>
      </c>
      <c r="F5" s="21" t="n">
        <v>273.066</v>
      </c>
      <c r="G5" s="21" t="n">
        <v>234.972</v>
      </c>
      <c r="H5" s="21" t="n">
        <v>247.468</v>
      </c>
      <c r="I5" s="21" t="n">
        <v>230.143</v>
      </c>
      <c r="J5" s="21" t="n">
        <v>243.164</v>
      </c>
      <c r="K5" s="21" t="n">
        <v>294.87</v>
      </c>
      <c r="L5" s="21" t="n">
        <v>178.152</v>
      </c>
      <c r="M5" s="21" t="n">
        <v>174.823</v>
      </c>
      <c r="N5" s="21" t="n">
        <v>273.599</v>
      </c>
      <c r="O5" s="21" t="n">
        <v>263.872</v>
      </c>
      <c r="P5" s="21" t="n">
        <v>266.632</v>
      </c>
      <c r="Q5" s="21" t="n">
        <v>308.108</v>
      </c>
      <c r="R5" s="21" t="n">
        <v>270.584</v>
      </c>
      <c r="S5" s="21" t="n">
        <v>259.017</v>
      </c>
      <c r="T5" s="21" t="n">
        <v>259.634</v>
      </c>
      <c r="U5" s="21" t="n">
        <v>264.674</v>
      </c>
      <c r="V5" s="21" t="n">
        <v>325.895</v>
      </c>
      <c r="W5" s="21" t="n">
        <v>300.281</v>
      </c>
      <c r="X5" s="21" t="n">
        <v>241.354</v>
      </c>
      <c r="Y5" s="21" t="n">
        <v>214.221</v>
      </c>
      <c r="Z5" s="21" t="n">
        <v>216.815</v>
      </c>
      <c r="AA5" s="21" t="n">
        <v>154.813</v>
      </c>
      <c r="AB5" s="21" t="n">
        <v>273.911</v>
      </c>
      <c r="AC5" s="21" t="n">
        <v>151.14</v>
      </c>
      <c r="AD5" s="21" t="n">
        <v>219.447</v>
      </c>
      <c r="AE5" s="21" t="n">
        <v>246.329</v>
      </c>
      <c r="AF5" s="21" t="n">
        <v>194.004</v>
      </c>
      <c r="AG5" s="21" t="n">
        <v>135.792</v>
      </c>
      <c r="AH5" s="21" t="n">
        <v>227.152</v>
      </c>
      <c r="AI5" s="21" t="n">
        <v>226.884</v>
      </c>
      <c r="AJ5" s="21" t="n">
        <v>146.441</v>
      </c>
      <c r="AK5" s="21" t="n">
        <v>240.017</v>
      </c>
      <c r="AL5" s="21" t="n">
        <v>154.347</v>
      </c>
      <c r="AM5" s="21" t="n">
        <v>255.772</v>
      </c>
      <c r="AN5" s="21" t="n">
        <v>229.389</v>
      </c>
      <c r="AO5" s="21" t="n">
        <v>156.668</v>
      </c>
      <c r="AP5" s="21" t="n">
        <v>288.489</v>
      </c>
      <c r="AQ5" s="21" t="n">
        <v>175.357</v>
      </c>
      <c r="AR5" s="21" t="n">
        <v>148.258</v>
      </c>
      <c r="AS5" s="21" t="n">
        <v>202.547</v>
      </c>
      <c r="AT5" s="21" t="n">
        <v>320.447</v>
      </c>
      <c r="AU5" s="21" t="n">
        <v>249.813</v>
      </c>
      <c r="AV5" s="21" t="n">
        <v>222.912</v>
      </c>
      <c r="AW5" s="21" t="n">
        <v>148.468</v>
      </c>
      <c r="AX5" s="21" t="n">
        <v>215.171</v>
      </c>
      <c r="AY5" s="21" t="n">
        <v>152.14</v>
      </c>
      <c r="AZ5" s="21" t="n">
        <v>233.001</v>
      </c>
      <c r="BA5" s="21" t="n">
        <v>219.993</v>
      </c>
      <c r="BB5" s="21" t="n">
        <v>147.137</v>
      </c>
      <c r="BC5" s="21" t="n">
        <v>290.678</v>
      </c>
      <c r="BD5" s="21" t="n">
        <v>333.147</v>
      </c>
      <c r="BE5" s="21" t="n">
        <v>345.482</v>
      </c>
      <c r="BF5" s="21" t="n">
        <v>323.197</v>
      </c>
      <c r="BG5" s="21" t="n">
        <v>201.925</v>
      </c>
      <c r="BH5" s="21" t="n">
        <v>230.989</v>
      </c>
      <c r="BI5" s="21" t="n">
        <v>468.972</v>
      </c>
      <c r="BJ5" s="21" t="n">
        <v>115.849</v>
      </c>
      <c r="BK5" s="21" t="n">
        <v>318.983</v>
      </c>
      <c r="BL5" s="21" t="n">
        <v>326.377</v>
      </c>
      <c r="BM5" s="21" t="n">
        <v>297.107</v>
      </c>
      <c r="BN5" s="21" t="n">
        <v>334.176</v>
      </c>
      <c r="BO5" s="21" t="n">
        <v>320.258</v>
      </c>
      <c r="BP5" s="21" t="n">
        <v>158.177</v>
      </c>
      <c r="BQ5" s="21" t="n">
        <v>162.697</v>
      </c>
      <c r="BR5" s="21" t="n">
        <v>156.075</v>
      </c>
      <c r="BS5" s="21" t="n">
        <v>171.857</v>
      </c>
      <c r="BT5" s="21" t="n">
        <v>146.018</v>
      </c>
      <c r="BU5" s="21" t="n">
        <v>198.641</v>
      </c>
      <c r="BV5" s="21" t="n">
        <v>162.99</v>
      </c>
      <c r="BW5" s="21" t="n">
        <v>167.834</v>
      </c>
      <c r="BX5" s="21" t="n">
        <v>128.306</v>
      </c>
      <c r="BY5" s="21" t="n">
        <v>158.548</v>
      </c>
      <c r="BZ5" s="21" t="n">
        <v>117.927</v>
      </c>
      <c r="CA5" s="21" t="n">
        <v>121.208</v>
      </c>
      <c r="CB5" s="21" t="n">
        <v>208.786</v>
      </c>
      <c r="CC5" s="21" t="n">
        <v>217.758</v>
      </c>
      <c r="CD5" s="21" t="n">
        <v>127.463</v>
      </c>
      <c r="CE5" s="21" t="n">
        <v>208.063</v>
      </c>
      <c r="CF5" s="21" t="n">
        <v>214.157</v>
      </c>
      <c r="CG5" s="21" t="n">
        <v>190.536</v>
      </c>
      <c r="CH5" s="21" t="n">
        <v>142.936</v>
      </c>
      <c r="CI5" s="21" t="n">
        <v>152.883</v>
      </c>
      <c r="CJ5" s="21" t="n">
        <v>226.992</v>
      </c>
      <c r="CK5" s="21" t="n">
        <v>196.271</v>
      </c>
      <c r="CL5" s="21" t="n">
        <v>227.205</v>
      </c>
      <c r="CM5" s="21" t="n">
        <v>287.828</v>
      </c>
      <c r="CN5" s="21" t="n">
        <v>131.148</v>
      </c>
      <c r="CO5" s="21" t="n">
        <v>159.898</v>
      </c>
      <c r="CP5" s="21" t="n">
        <v>222.051</v>
      </c>
      <c r="CQ5" s="21" t="n">
        <v>238.517</v>
      </c>
      <c r="CR5" s="21" t="n">
        <v>170.094</v>
      </c>
      <c r="CS5" s="21" t="n">
        <v>249.681</v>
      </c>
      <c r="CT5" s="21" t="n">
        <v>233.494</v>
      </c>
      <c r="CU5" s="21" t="n">
        <v>145.5</v>
      </c>
      <c r="CV5" s="21" t="n">
        <v>136.342</v>
      </c>
      <c r="CW5" s="21" t="n">
        <v>135.72</v>
      </c>
      <c r="CX5" s="21" t="n">
        <v>272.485</v>
      </c>
      <c r="CY5" s="21" t="n">
        <v>131.112</v>
      </c>
      <c r="CZ5" s="21" t="n">
        <v>120.549</v>
      </c>
      <c r="DA5" s="21" t="n">
        <v>254.727</v>
      </c>
      <c r="DB5" s="21" t="n">
        <v>158.515</v>
      </c>
      <c r="DC5" s="21" t="n">
        <v>160.744</v>
      </c>
      <c r="DD5" s="21" t="n">
        <v>134.924</v>
      </c>
      <c r="DE5" s="21" t="n">
        <v>178.057</v>
      </c>
      <c r="DF5" s="21" t="n">
        <v>238.938</v>
      </c>
      <c r="DG5" s="21" t="n">
        <v>196.831</v>
      </c>
      <c r="DH5" s="21" t="n">
        <v>213.64</v>
      </c>
      <c r="DI5" s="21" t="n">
        <v>192.67</v>
      </c>
      <c r="DJ5" s="21" t="n">
        <v>208.756</v>
      </c>
      <c r="DK5" s="21" t="n">
        <v>185.8</v>
      </c>
      <c r="DL5" s="21" t="n">
        <v>168.787</v>
      </c>
      <c r="DM5" s="21" t="n">
        <v>329.865</v>
      </c>
      <c r="DN5" s="21" t="n">
        <v>175.732</v>
      </c>
      <c r="DO5" s="21" t="n">
        <v>237.086</v>
      </c>
      <c r="DP5" s="21" t="n">
        <v>277.003</v>
      </c>
      <c r="DQ5" s="21" t="n">
        <v>283.786</v>
      </c>
      <c r="DR5" s="21" t="n">
        <v>153.599</v>
      </c>
      <c r="DS5" s="21" t="n">
        <v>505.058</v>
      </c>
      <c r="DT5" s="21" t="n">
        <v>319.421</v>
      </c>
      <c r="DU5" s="21" t="n">
        <v>284.061</v>
      </c>
      <c r="DV5" s="21" t="n">
        <v>284.031</v>
      </c>
      <c r="DW5" s="21" t="n">
        <v>230.983</v>
      </c>
      <c r="DX5" s="21" t="n">
        <v>196.176</v>
      </c>
      <c r="DY5" s="21" t="n">
        <v>266.924</v>
      </c>
      <c r="DZ5" s="21" t="n">
        <v>269.136</v>
      </c>
      <c r="EA5" s="21" t="n">
        <v>314.436</v>
      </c>
      <c r="EB5" s="21" t="n">
        <v>199.886</v>
      </c>
      <c r="EC5" s="21" t="n">
        <v>210.345</v>
      </c>
      <c r="ED5" s="21" t="n">
        <v>165.83</v>
      </c>
      <c r="EE5" s="21" t="n">
        <v>211.987</v>
      </c>
      <c r="EF5" s="21" t="n">
        <v>487.802</v>
      </c>
      <c r="EG5" s="21" t="n">
        <v>429.807</v>
      </c>
      <c r="EH5" s="21" t="n">
        <v>123.205</v>
      </c>
      <c r="EI5" s="21" t="n">
        <v>61.532</v>
      </c>
      <c r="EJ5" s="21" t="n">
        <v>70.52200000000001</v>
      </c>
      <c r="EK5" s="21" t="n">
        <v>48.5</v>
      </c>
      <c r="EL5" s="21" t="n">
        <v>116.506</v>
      </c>
      <c r="EM5" s="21" t="n">
        <v>76.749</v>
      </c>
      <c r="EN5" s="21" t="n">
        <v>80.16500000000001</v>
      </c>
      <c r="EO5" s="21" t="n">
        <v>88.905</v>
      </c>
      <c r="EP5" s="21" t="n">
        <v>101.037</v>
      </c>
      <c r="EQ5" s="21" t="n">
        <v>68.252</v>
      </c>
      <c r="ER5" s="21" t="n">
        <v>59.508</v>
      </c>
      <c r="ES5" s="21" t="n">
        <v>128.091</v>
      </c>
      <c r="ET5" s="21" t="n">
        <v>90.794</v>
      </c>
      <c r="EU5" s="21" t="n">
        <v>91.34399999999999</v>
      </c>
      <c r="EV5" s="21" t="n">
        <v>100.809</v>
      </c>
      <c r="EW5" s="21" t="n">
        <v>86.857</v>
      </c>
      <c r="EX5" s="21" t="n">
        <v>187.783</v>
      </c>
      <c r="EY5" s="21" t="n">
        <v>119.438</v>
      </c>
      <c r="EZ5" s="21" t="n">
        <v>119.807</v>
      </c>
      <c r="FA5" s="21" t="n">
        <v>136.749</v>
      </c>
      <c r="FB5" s="21" t="n">
        <v>126.39</v>
      </c>
      <c r="FC5" s="21" t="n">
        <v>120.297</v>
      </c>
      <c r="FD5" s="21" t="n">
        <v>124.733</v>
      </c>
      <c r="FE5" s="21" t="n">
        <v>110.952</v>
      </c>
      <c r="FF5" s="21" t="n">
        <v>159.214</v>
      </c>
      <c r="FG5" s="21" t="n">
        <v>79.05200000000001</v>
      </c>
      <c r="FH5" s="21" t="n">
        <v>124.241</v>
      </c>
      <c r="FI5" s="21" t="n">
        <v>103.266</v>
      </c>
      <c r="FJ5" s="21" t="n">
        <v>111.951</v>
      </c>
      <c r="FK5" s="21" t="n">
        <v>115.017</v>
      </c>
      <c r="FL5" s="21" t="n">
        <v>109.237</v>
      </c>
      <c r="FM5" s="21" t="n">
        <v>123.234</v>
      </c>
      <c r="FN5" s="21" t="n">
        <v>82.989</v>
      </c>
      <c r="FO5" s="21" t="n">
        <v>104.952</v>
      </c>
      <c r="FP5" s="21" t="n">
        <v>97.35899999999999</v>
      </c>
      <c r="FQ5" s="21" t="n">
        <v>136.857</v>
      </c>
      <c r="FR5" s="21" t="n">
        <v>139.689</v>
      </c>
      <c r="FS5" s="21" t="n">
        <v>150.866</v>
      </c>
      <c r="FT5" s="21" t="n">
        <v>128.833</v>
      </c>
      <c r="FU5" s="21" t="n">
        <v>118.749</v>
      </c>
      <c r="FV5" s="21" t="n">
        <v>159.529</v>
      </c>
      <c r="FW5" s="21" t="n">
        <v>122.991</v>
      </c>
      <c r="FX5" s="21" t="n">
        <v>165.167</v>
      </c>
      <c r="FY5" s="21" t="n">
        <v>198.636</v>
      </c>
      <c r="FZ5" s="21" t="n">
        <v>193.509</v>
      </c>
      <c r="GA5" s="21" t="n">
        <v>101.067</v>
      </c>
      <c r="GB5" s="21" t="n">
        <v>147.024</v>
      </c>
      <c r="GC5" s="21" t="n">
        <v>101.931</v>
      </c>
      <c r="GD5" s="21" t="n">
        <v>144.551</v>
      </c>
      <c r="GE5" s="21" t="n">
        <v>155.173</v>
      </c>
      <c r="GF5" s="21" t="n"/>
      <c r="GG5" s="21" t="n">
        <v>148.404</v>
      </c>
      <c r="GH5" s="21" t="n">
        <v>85.26600000000001</v>
      </c>
      <c r="GI5" s="21" t="n">
        <v>128.562</v>
      </c>
      <c r="GJ5" s="21" t="n">
        <v>212.784</v>
      </c>
      <c r="GK5" s="21" t="n">
        <v>211.577</v>
      </c>
      <c r="GL5" s="21" t="n">
        <v>208.628</v>
      </c>
      <c r="GM5" s="21" t="n">
        <v>223.571</v>
      </c>
      <c r="GN5" s="21" t="n">
        <v>216.464</v>
      </c>
      <c r="GO5" s="21" t="n">
        <v>207.605</v>
      </c>
      <c r="GP5" s="21" t="n">
        <v>144.281</v>
      </c>
      <c r="GQ5" s="21" t="n">
        <v>126.577</v>
      </c>
      <c r="GR5" s="21" t="n">
        <v>269.948</v>
      </c>
      <c r="GS5" s="21" t="n">
        <v>167.386</v>
      </c>
      <c r="GT5" s="21" t="n">
        <v>456.734</v>
      </c>
      <c r="GU5" s="21" t="n">
        <v>194.251</v>
      </c>
      <c r="GV5" s="21" t="n">
        <v>215.141</v>
      </c>
      <c r="GW5" s="21" t="n">
        <v>264.185</v>
      </c>
      <c r="GX5" s="21" t="n">
        <v>285.424</v>
      </c>
      <c r="GY5" s="21" t="n">
        <v>149.451</v>
      </c>
      <c r="GZ5" s="21" t="n">
        <v>109.522</v>
      </c>
      <c r="HA5" s="21" t="n">
        <v>59.882</v>
      </c>
      <c r="HB5" s="21" t="n">
        <v>445.822</v>
      </c>
      <c r="HC5" s="21" t="n">
        <v>353.849</v>
      </c>
      <c r="HD5" s="21" t="n">
        <v>115.751</v>
      </c>
      <c r="HE5" s="21" t="n">
        <v>478.114</v>
      </c>
      <c r="HF5" s="21" t="n">
        <v>98.169</v>
      </c>
      <c r="HG5" s="21" t="n">
        <v>475.195</v>
      </c>
      <c r="HH5" s="21" t="n">
        <v>360.016</v>
      </c>
      <c r="HI5" s="21" t="n">
        <v>364.611</v>
      </c>
      <c r="HJ5" s="21" t="n">
        <v>449.533</v>
      </c>
      <c r="HK5" s="21" t="n">
        <v>183.312</v>
      </c>
      <c r="HL5" s="21" t="n">
        <v>227.964</v>
      </c>
      <c r="HM5" s="21" t="n">
        <v>69.21599999999999</v>
      </c>
      <c r="HN5" s="21" t="n">
        <v>290.566</v>
      </c>
      <c r="HO5" s="21" t="n">
        <v>284.887</v>
      </c>
      <c r="HP5" s="21" t="n">
        <v>655.851</v>
      </c>
      <c r="HQ5" s="21" t="n">
        <v>204.842</v>
      </c>
      <c r="HR5" s="21" t="n">
        <v>115.665</v>
      </c>
      <c r="HS5" s="21" t="n">
        <v>99.56399999999999</v>
      </c>
      <c r="HT5" s="21" t="n">
        <v>337.944</v>
      </c>
      <c r="HU5" s="21" t="n">
        <v>421.416</v>
      </c>
      <c r="HV5" s="21" t="n">
        <v>133.246</v>
      </c>
      <c r="HW5" s="21" t="n">
        <v>36.245</v>
      </c>
      <c r="HX5" s="21" t="n">
        <v>166.602</v>
      </c>
      <c r="HY5" s="21" t="n">
        <v>198.253</v>
      </c>
      <c r="HZ5" s="21" t="n">
        <v>152.395</v>
      </c>
      <c r="IA5" s="21" t="n">
        <v>113.544</v>
      </c>
      <c r="IB5" s="21" t="n">
        <v>223.309</v>
      </c>
      <c r="IC5" s="21" t="n">
        <v>179.694</v>
      </c>
      <c r="ID5" s="21" t="n">
        <v>233.609</v>
      </c>
      <c r="IE5" s="21" t="n">
        <v>114.654</v>
      </c>
      <c r="IF5" s="21" t="n">
        <v>151.233</v>
      </c>
      <c r="IG5" s="21" t="n">
        <v>84.819</v>
      </c>
      <c r="IH5" s="21" t="n">
        <v>75.392</v>
      </c>
      <c r="II5" s="21" t="n">
        <v>55.581</v>
      </c>
      <c r="IJ5" s="21" t="n">
        <v>22.861</v>
      </c>
      <c r="IK5" s="21" t="n">
        <v>47.589</v>
      </c>
      <c r="IL5" s="21" t="n">
        <v>45.402</v>
      </c>
      <c r="IM5" s="21" t="n">
        <v>53.778</v>
      </c>
      <c r="IN5" s="21" t="n">
        <v>98.586</v>
      </c>
      <c r="IO5" s="21" t="n">
        <v>98.16200000000001</v>
      </c>
      <c r="IP5" s="21" t="n">
        <v>155.096</v>
      </c>
      <c r="IQ5" s="21" t="n">
        <v>128.872</v>
      </c>
      <c r="IR5" s="21" t="n">
        <v>353.401</v>
      </c>
      <c r="IS5" s="21" t="n">
        <v>168.73</v>
      </c>
      <c r="IT5" s="21" t="n">
        <v>204.543</v>
      </c>
      <c r="IU5" s="21" t="n">
        <v>283.109</v>
      </c>
      <c r="IV5" s="21" t="n">
        <v>239.205</v>
      </c>
      <c r="IW5" s="21" t="n">
        <v>137.82</v>
      </c>
      <c r="IX5" s="21" t="n">
        <v>239.052</v>
      </c>
      <c r="IY5" s="21" t="n">
        <v>644.8869999999999</v>
      </c>
      <c r="IZ5" s="21" t="n">
        <v>684.516</v>
      </c>
      <c r="JA5" s="21" t="n">
        <v>780.772</v>
      </c>
      <c r="JB5" s="21" t="n">
        <v>70.901</v>
      </c>
      <c r="JC5" s="21" t="n">
        <v>274.329</v>
      </c>
      <c r="JD5" s="21" t="n">
        <v>232.772</v>
      </c>
      <c r="JE5" s="21" t="n">
        <v>80.22799999999999</v>
      </c>
      <c r="JF5" s="21" t="n">
        <v>173.33</v>
      </c>
      <c r="JG5" s="21" t="n">
        <v>272.319</v>
      </c>
      <c r="JH5" s="21" t="n">
        <v>282.903</v>
      </c>
      <c r="JI5" s="21" t="n">
        <v>76.41500000000001</v>
      </c>
      <c r="JJ5" s="21" t="n">
        <v>121.332</v>
      </c>
      <c r="JK5" s="21" t="n">
        <v>48.707</v>
      </c>
      <c r="JL5" s="21" t="n">
        <v>78.376</v>
      </c>
      <c r="JM5" s="21" t="n">
        <v>323.29</v>
      </c>
      <c r="JN5" s="21" t="n">
        <v>412.55</v>
      </c>
      <c r="JO5" s="21" t="n">
        <v>58.087</v>
      </c>
      <c r="JP5" s="21" t="n">
        <v>375.691</v>
      </c>
      <c r="JQ5" s="21" t="n">
        <v>219.852</v>
      </c>
      <c r="JR5" s="21" t="n">
        <v>163.446</v>
      </c>
      <c r="JS5" s="21" t="n">
        <v>396.381</v>
      </c>
      <c r="JT5" s="21" t="n">
        <v>321.015</v>
      </c>
      <c r="JU5" s="21" t="n">
        <v>312.405</v>
      </c>
      <c r="JV5" s="21" t="n">
        <v>154.069</v>
      </c>
      <c r="JW5" s="21" t="n">
        <v>316.26</v>
      </c>
      <c r="JX5" s="21" t="n">
        <v>216.896</v>
      </c>
      <c r="JY5" s="21" t="n">
        <v>82.286</v>
      </c>
      <c r="JZ5" s="21" t="n">
        <v>150.489</v>
      </c>
      <c r="KA5" s="21" t="n">
        <v>226.124</v>
      </c>
      <c r="KB5" s="21" t="n">
        <v>241.365</v>
      </c>
      <c r="KC5" s="21" t="n">
        <v>234.707</v>
      </c>
      <c r="KD5" s="21" t="n">
        <v>241.346</v>
      </c>
      <c r="KE5" s="21" t="n">
        <v>222.906</v>
      </c>
      <c r="KF5" s="21" t="n">
        <v>216.891</v>
      </c>
      <c r="KG5" s="21" t="n">
        <v>221.626</v>
      </c>
      <c r="KH5" s="21" t="n">
        <v>226.028</v>
      </c>
      <c r="KI5" s="21" t="n">
        <v>119.376</v>
      </c>
      <c r="KJ5" s="21" t="n">
        <v>181.641</v>
      </c>
      <c r="KK5" s="21" t="n">
        <v>152.595</v>
      </c>
      <c r="KL5" s="21" t="n">
        <v>149.558</v>
      </c>
      <c r="KM5" s="21" t="n">
        <v>146.49</v>
      </c>
      <c r="KN5" s="21" t="n">
        <v>147.011</v>
      </c>
      <c r="KO5" s="21" t="n">
        <v>249.312</v>
      </c>
      <c r="KP5" s="21" t="n">
        <v>109.477</v>
      </c>
      <c r="KQ5" s="21" t="n">
        <v>84.093</v>
      </c>
      <c r="KR5" s="21" t="n">
        <v>109.36</v>
      </c>
      <c r="KS5" s="21" t="n">
        <v>203.577</v>
      </c>
      <c r="KT5" s="21" t="n">
        <v>216.91</v>
      </c>
      <c r="KU5" s="21" t="n">
        <v>94.011</v>
      </c>
      <c r="KV5" s="21" t="n">
        <v>65.88500000000001</v>
      </c>
      <c r="KW5" s="21" t="n">
        <v>216.821</v>
      </c>
      <c r="KX5" s="21" t="n">
        <v>192.206</v>
      </c>
      <c r="KY5" s="21" t="n">
        <v>232.132</v>
      </c>
      <c r="KZ5" s="21" t="n">
        <v>189.308</v>
      </c>
      <c r="LA5" s="21" t="n">
        <v>232.779</v>
      </c>
      <c r="LB5" s="21" t="n">
        <v>107.366</v>
      </c>
      <c r="LC5" s="21" t="n">
        <v>337.622</v>
      </c>
      <c r="LD5" s="21" t="n">
        <v>89.01300000000001</v>
      </c>
      <c r="LE5" s="21" t="n">
        <v>111.16</v>
      </c>
      <c r="LF5" s="21" t="n">
        <v>288.466</v>
      </c>
      <c r="LG5" s="21" t="n">
        <v>290.183</v>
      </c>
      <c r="LH5" s="21" t="n">
        <v>299.347</v>
      </c>
      <c r="LI5" s="21" t="n">
        <v>276.174</v>
      </c>
      <c r="LJ5" s="21" t="n">
        <v>314.583</v>
      </c>
      <c r="LK5" s="21" t="n">
        <v>106.674</v>
      </c>
      <c r="LL5" s="21" t="n">
        <v>288.928</v>
      </c>
      <c r="LM5" s="21" t="n">
        <v>214.487</v>
      </c>
      <c r="LN5" s="21" t="n">
        <v>62.117</v>
      </c>
      <c r="LO5" s="21" t="n">
        <v>112.975</v>
      </c>
    </row>
    <row r="6">
      <c r="A6" s="22" t="n">
        <v>42125</v>
      </c>
      <c r="B6" s="21" t="n">
        <v>237.001</v>
      </c>
      <c r="C6" s="21" t="n">
        <v>245.886</v>
      </c>
      <c r="D6" s="21" t="n">
        <v>246.239</v>
      </c>
      <c r="E6" s="21" t="n">
        <v>241.107</v>
      </c>
      <c r="F6" s="21" t="n">
        <v>273.308</v>
      </c>
      <c r="G6" s="21" t="n">
        <v>234.524</v>
      </c>
      <c r="H6" s="21" t="n">
        <v>246.988</v>
      </c>
      <c r="I6" s="21" t="n">
        <v>230.513</v>
      </c>
      <c r="J6" s="21" t="n">
        <v>242.946</v>
      </c>
      <c r="K6" s="21" t="n">
        <v>294.995</v>
      </c>
      <c r="L6" s="21" t="n">
        <v>177.363</v>
      </c>
      <c r="M6" s="21" t="n">
        <v>174.411</v>
      </c>
      <c r="N6" s="21" t="n">
        <v>277.2</v>
      </c>
      <c r="O6" s="21" t="n">
        <v>265.737</v>
      </c>
      <c r="P6" s="21" t="n">
        <v>266.121</v>
      </c>
      <c r="Q6" s="21" t="n">
        <v>306.477</v>
      </c>
      <c r="R6" s="21" t="n">
        <v>268.581</v>
      </c>
      <c r="S6" s="21" t="n">
        <v>257.79</v>
      </c>
      <c r="T6" s="21" t="n">
        <v>258.087</v>
      </c>
      <c r="U6" s="21" t="n">
        <v>263.908</v>
      </c>
      <c r="V6" s="21" t="n">
        <v>324.713</v>
      </c>
      <c r="W6" s="21" t="n">
        <v>298.428</v>
      </c>
      <c r="X6" s="21" t="n">
        <v>243.162</v>
      </c>
      <c r="Y6" s="21" t="n">
        <v>215.772</v>
      </c>
      <c r="Z6" s="21" t="n">
        <v>216.487</v>
      </c>
      <c r="AA6" s="21" t="n">
        <v>151.57</v>
      </c>
      <c r="AB6" s="21" t="n">
        <v>262.959</v>
      </c>
      <c r="AC6" s="21" t="n">
        <v>149.344</v>
      </c>
      <c r="AD6" s="21" t="n">
        <v>217.658</v>
      </c>
      <c r="AE6" s="21" t="n">
        <v>244.875</v>
      </c>
      <c r="AF6" s="21" t="n">
        <v>196.751</v>
      </c>
      <c r="AG6" s="21" t="n">
        <v>137.412</v>
      </c>
      <c r="AH6" s="21" t="n">
        <v>226.447</v>
      </c>
      <c r="AI6" s="21" t="n">
        <v>227.61</v>
      </c>
      <c r="AJ6" s="21" t="n">
        <v>146.544</v>
      </c>
      <c r="AK6" s="21" t="n">
        <v>235.867</v>
      </c>
      <c r="AL6" s="21" t="n">
        <v>150.656</v>
      </c>
      <c r="AM6" s="21" t="n">
        <v>253.259</v>
      </c>
      <c r="AN6" s="21" t="n">
        <v>222.509</v>
      </c>
      <c r="AO6" s="21" t="n">
        <v>157.692</v>
      </c>
      <c r="AP6" s="21" t="n">
        <v>287.172</v>
      </c>
      <c r="AQ6" s="21" t="n">
        <v>174.566</v>
      </c>
      <c r="AR6" s="21" t="n">
        <v>147.209</v>
      </c>
      <c r="AS6" s="21" t="n">
        <v>200.04</v>
      </c>
      <c r="AT6" s="21" t="n">
        <v>317.311</v>
      </c>
      <c r="AU6" s="21" t="n">
        <v>253.155</v>
      </c>
      <c r="AV6" s="21" t="n">
        <v>222.333</v>
      </c>
      <c r="AW6" s="21" t="n">
        <v>148.038</v>
      </c>
      <c r="AX6" s="21" t="n">
        <v>213.839</v>
      </c>
      <c r="AY6" s="21" t="n">
        <v>151.878</v>
      </c>
      <c r="AZ6" s="21" t="n">
        <v>233.116</v>
      </c>
      <c r="BA6" s="21" t="n">
        <v>216.608</v>
      </c>
      <c r="BB6" s="21" t="n">
        <v>146.942</v>
      </c>
      <c r="BC6" s="21" t="n">
        <v>291.728</v>
      </c>
      <c r="BD6" s="21" t="n">
        <v>334.273</v>
      </c>
      <c r="BE6" s="21" t="n">
        <v>347.313</v>
      </c>
      <c r="BF6" s="21" t="n">
        <v>321.531</v>
      </c>
      <c r="BG6" s="21" t="n">
        <v>201.28</v>
      </c>
      <c r="BH6" s="21" t="n">
        <v>232.417</v>
      </c>
      <c r="BI6" s="21" t="n">
        <v>478.743</v>
      </c>
      <c r="BJ6" s="21" t="n">
        <v>116.244</v>
      </c>
      <c r="BK6" s="21" t="n">
        <v>319.358</v>
      </c>
      <c r="BL6" s="21" t="n">
        <v>330.941</v>
      </c>
      <c r="BM6" s="21" t="n">
        <v>303.752</v>
      </c>
      <c r="BN6" s="21" t="n">
        <v>330.712</v>
      </c>
      <c r="BO6" s="21" t="n">
        <v>318.792</v>
      </c>
      <c r="BP6" s="21" t="n">
        <v>158.872</v>
      </c>
      <c r="BQ6" s="21" t="n">
        <v>162.692</v>
      </c>
      <c r="BR6" s="21" t="n">
        <v>157.273</v>
      </c>
      <c r="BS6" s="21" t="n">
        <v>170.96</v>
      </c>
      <c r="BT6" s="21" t="n">
        <v>149.223</v>
      </c>
      <c r="BU6" s="21" t="n">
        <v>204.254</v>
      </c>
      <c r="BV6" s="21" t="n">
        <v>163.664</v>
      </c>
      <c r="BW6" s="21" t="n">
        <v>167.517</v>
      </c>
      <c r="BX6" s="21" t="n">
        <v>128.144</v>
      </c>
      <c r="BY6" s="21" t="n">
        <v>158.517</v>
      </c>
      <c r="BZ6" s="21" t="n">
        <v>117.671</v>
      </c>
      <c r="CA6" s="21" t="n">
        <v>119.916</v>
      </c>
      <c r="CB6" s="21" t="n">
        <v>206.467</v>
      </c>
      <c r="CC6" s="21" t="n">
        <v>214.461</v>
      </c>
      <c r="CD6" s="21" t="n">
        <v>125.558</v>
      </c>
      <c r="CE6" s="21" t="n">
        <v>208.84</v>
      </c>
      <c r="CF6" s="21" t="n">
        <v>216.413</v>
      </c>
      <c r="CG6" s="21" t="n">
        <v>190.32</v>
      </c>
      <c r="CH6" s="21" t="n">
        <v>145.266</v>
      </c>
      <c r="CI6" s="21" t="n">
        <v>153.323</v>
      </c>
      <c r="CJ6" s="21" t="n">
        <v>226.506</v>
      </c>
      <c r="CK6" s="21" t="n">
        <v>194.792</v>
      </c>
      <c r="CL6" s="21" t="n">
        <v>224.745</v>
      </c>
      <c r="CM6" s="21" t="n">
        <v>288.668</v>
      </c>
      <c r="CN6" s="21" t="n">
        <v>131.35</v>
      </c>
      <c r="CO6" s="21" t="n">
        <v>160.168</v>
      </c>
      <c r="CP6" s="21" t="n">
        <v>222.786</v>
      </c>
      <c r="CQ6" s="21" t="n">
        <v>236.165</v>
      </c>
      <c r="CR6" s="21" t="n">
        <v>170.89</v>
      </c>
      <c r="CS6" s="21" t="n">
        <v>249.324</v>
      </c>
      <c r="CT6" s="21" t="n">
        <v>234.699</v>
      </c>
      <c r="CU6" s="21" t="n">
        <v>145.191</v>
      </c>
      <c r="CV6" s="21" t="n">
        <v>135.19</v>
      </c>
      <c r="CW6" s="21" t="n">
        <v>136.735</v>
      </c>
      <c r="CX6" s="21" t="n">
        <v>274.536</v>
      </c>
      <c r="CY6" s="21" t="n">
        <v>131.709</v>
      </c>
      <c r="CZ6" s="21" t="n">
        <v>119.331</v>
      </c>
      <c r="DA6" s="21" t="n">
        <v>255.322</v>
      </c>
      <c r="DB6" s="21" t="n">
        <v>158.711</v>
      </c>
      <c r="DC6" s="21" t="n">
        <v>161.055</v>
      </c>
      <c r="DD6" s="21" t="n">
        <v>134.925</v>
      </c>
      <c r="DE6" s="21" t="n">
        <v>179.463</v>
      </c>
      <c r="DF6" s="21" t="n">
        <v>239.665</v>
      </c>
      <c r="DG6" s="21" t="n">
        <v>197.283</v>
      </c>
      <c r="DH6" s="21" t="n">
        <v>214.361</v>
      </c>
      <c r="DI6" s="21" t="n">
        <v>193.851</v>
      </c>
      <c r="DJ6" s="21" t="n">
        <v>208.854</v>
      </c>
      <c r="DK6" s="21" t="n">
        <v>187.098</v>
      </c>
      <c r="DL6" s="21" t="n">
        <v>168.855</v>
      </c>
      <c r="DM6" s="21" t="n">
        <v>331.239</v>
      </c>
      <c r="DN6" s="21" t="n">
        <v>177.085</v>
      </c>
      <c r="DO6" s="21" t="n">
        <v>237.21</v>
      </c>
      <c r="DP6" s="21" t="n">
        <v>277.524</v>
      </c>
      <c r="DQ6" s="21" t="n">
        <v>284.559</v>
      </c>
      <c r="DR6" s="21" t="n">
        <v>151.316</v>
      </c>
      <c r="DS6" s="21" t="n">
        <v>506.095</v>
      </c>
      <c r="DT6" s="21" t="n">
        <v>313.432</v>
      </c>
      <c r="DU6" s="21" t="n">
        <v>284.712</v>
      </c>
      <c r="DV6" s="21" t="n">
        <v>284.681</v>
      </c>
      <c r="DW6" s="21" t="n">
        <v>229.685</v>
      </c>
      <c r="DX6" s="21" t="n">
        <v>194.526</v>
      </c>
      <c r="DY6" s="21" t="n">
        <v>265.835</v>
      </c>
      <c r="DZ6" s="21" t="n">
        <v>270.434</v>
      </c>
      <c r="EA6" s="21" t="n">
        <v>308.993</v>
      </c>
      <c r="EB6" s="21" t="n">
        <v>198.157</v>
      </c>
      <c r="EC6" s="21" t="n">
        <v>208.447</v>
      </c>
      <c r="ED6" s="21" t="n">
        <v>164.63</v>
      </c>
      <c r="EE6" s="21" t="n">
        <v>212.729</v>
      </c>
      <c r="EF6" s="21" t="n">
        <v>489.535</v>
      </c>
      <c r="EG6" s="21" t="n">
        <v>431.234</v>
      </c>
      <c r="EH6" s="21" t="n">
        <v>122.9</v>
      </c>
      <c r="EI6" s="21" t="n">
        <v>61.091</v>
      </c>
      <c r="EJ6" s="21" t="n">
        <v>68.95399999999999</v>
      </c>
      <c r="EK6" s="21" t="n">
        <v>48.318</v>
      </c>
      <c r="EL6" s="21" t="n">
        <v>115.645</v>
      </c>
      <c r="EM6" s="21" t="n">
        <v>75.04600000000001</v>
      </c>
      <c r="EN6" s="21" t="n">
        <v>79.651</v>
      </c>
      <c r="EO6" s="21" t="n">
        <v>88.31399999999999</v>
      </c>
      <c r="EP6" s="21" t="n">
        <v>100.091</v>
      </c>
      <c r="EQ6" s="21" t="n">
        <v>68.056</v>
      </c>
      <c r="ER6" s="21" t="n">
        <v>59.229</v>
      </c>
      <c r="ES6" s="21" t="n">
        <v>128.244</v>
      </c>
      <c r="ET6" s="21" t="n">
        <v>91.056</v>
      </c>
      <c r="EU6" s="21" t="n">
        <v>91.566</v>
      </c>
      <c r="EV6" s="21" t="n">
        <v>100.756</v>
      </c>
      <c r="EW6" s="21" t="n">
        <v>87.181</v>
      </c>
      <c r="EX6" s="21" t="n">
        <v>187.551</v>
      </c>
      <c r="EY6" s="21" t="n">
        <v>119.751</v>
      </c>
      <c r="EZ6" s="21" t="n">
        <v>119.482</v>
      </c>
      <c r="FA6" s="21" t="n">
        <v>138.538</v>
      </c>
      <c r="FB6" s="21" t="n">
        <v>125.831</v>
      </c>
      <c r="FC6" s="21" t="n">
        <v>119.827</v>
      </c>
      <c r="FD6" s="21" t="n">
        <v>124.098</v>
      </c>
      <c r="FE6" s="21" t="n">
        <v>112.197</v>
      </c>
      <c r="FF6" s="21" t="n">
        <v>159.124</v>
      </c>
      <c r="FG6" s="21" t="n">
        <v>78.58</v>
      </c>
      <c r="FH6" s="21" t="n">
        <v>123.963</v>
      </c>
      <c r="FI6" s="21" t="n">
        <v>103.741</v>
      </c>
      <c r="FJ6" s="21" t="n">
        <v>111.329</v>
      </c>
      <c r="FK6" s="21" t="n">
        <v>114.426</v>
      </c>
      <c r="FL6" s="21" t="n">
        <v>108.097</v>
      </c>
      <c r="FM6" s="21" t="n">
        <v>121.518</v>
      </c>
      <c r="FN6" s="21" t="n">
        <v>82.765</v>
      </c>
      <c r="FO6" s="21" t="n">
        <v>104.703</v>
      </c>
      <c r="FP6" s="21" t="n">
        <v>96.599</v>
      </c>
      <c r="FQ6" s="21" t="n">
        <v>136.656</v>
      </c>
      <c r="FR6" s="21" t="n">
        <v>140.226</v>
      </c>
      <c r="FS6" s="21" t="n">
        <v>152.883</v>
      </c>
      <c r="FT6" s="21" t="n">
        <v>126.176</v>
      </c>
      <c r="FU6" s="21" t="n">
        <v>118.15</v>
      </c>
      <c r="FV6" s="21" t="n">
        <v>158.209</v>
      </c>
      <c r="FW6" s="21" t="n">
        <v>122.505</v>
      </c>
      <c r="FX6" s="21" t="n">
        <v>163.943</v>
      </c>
      <c r="FY6" s="21" t="n">
        <v>202.277</v>
      </c>
      <c r="FZ6" s="21" t="n">
        <v>197.083</v>
      </c>
      <c r="GA6" s="21" t="n">
        <v>101.265</v>
      </c>
      <c r="GB6" s="21" t="n">
        <v>147.327</v>
      </c>
      <c r="GC6" s="21" t="n">
        <v>102.135</v>
      </c>
      <c r="GD6" s="21" t="n">
        <v>144.666</v>
      </c>
      <c r="GE6" s="21" t="n">
        <v>155.495</v>
      </c>
      <c r="GF6" s="21" t="n"/>
      <c r="GG6" s="21" t="n">
        <v>149.29</v>
      </c>
      <c r="GH6" s="21" t="n">
        <v>83.93000000000001</v>
      </c>
      <c r="GI6" s="21" t="n">
        <v>129.429</v>
      </c>
      <c r="GJ6" s="21" t="n">
        <v>226.39</v>
      </c>
      <c r="GK6" s="21" t="n">
        <v>225.281</v>
      </c>
      <c r="GL6" s="21" t="n">
        <v>222.348</v>
      </c>
      <c r="GM6" s="21" t="n">
        <v>236.796</v>
      </c>
      <c r="GN6" s="21" t="n">
        <v>230.823</v>
      </c>
      <c r="GO6" s="21" t="n">
        <v>208.314</v>
      </c>
      <c r="GP6" s="21" t="n">
        <v>144.581</v>
      </c>
      <c r="GQ6" s="21" t="n">
        <v>126.929</v>
      </c>
      <c r="GR6" s="21" t="n">
        <v>270.764</v>
      </c>
      <c r="GS6" s="21" t="n">
        <v>167.865</v>
      </c>
      <c r="GT6" s="21" t="n">
        <v>457.469</v>
      </c>
      <c r="GU6" s="21" t="n">
        <v>194.291</v>
      </c>
      <c r="GV6" s="21" t="n">
        <v>215.183</v>
      </c>
      <c r="GW6" s="21" t="n">
        <v>268.574</v>
      </c>
      <c r="GX6" s="21" t="n">
        <v>293.265</v>
      </c>
      <c r="GY6" s="21" t="n">
        <v>150.169</v>
      </c>
      <c r="GZ6" s="21" t="n">
        <v>108.453</v>
      </c>
      <c r="HA6" s="21" t="n">
        <v>59.193</v>
      </c>
      <c r="HB6" s="21" t="n">
        <v>446.743</v>
      </c>
      <c r="HC6" s="21" t="n">
        <v>355.061</v>
      </c>
      <c r="HD6" s="21" t="n">
        <v>116.065</v>
      </c>
      <c r="HE6" s="21" t="n">
        <v>479.807</v>
      </c>
      <c r="HF6" s="21" t="n">
        <v>98.22799999999999</v>
      </c>
      <c r="HG6" s="21" t="n">
        <v>475.984</v>
      </c>
      <c r="HH6" s="21" t="n">
        <v>360.425</v>
      </c>
      <c r="HI6" s="21" t="n">
        <v>364.914</v>
      </c>
      <c r="HJ6" s="21" t="n">
        <v>450.332</v>
      </c>
      <c r="HK6" s="21" t="n">
        <v>184.343</v>
      </c>
      <c r="HL6" s="21" t="n">
        <v>228.027</v>
      </c>
      <c r="HM6" s="21" t="n">
        <v>69.571</v>
      </c>
      <c r="HN6" s="21" t="n">
        <v>291.978</v>
      </c>
      <c r="HO6" s="21" t="n">
        <v>286.085</v>
      </c>
      <c r="HP6" s="21" t="n">
        <v>659.425</v>
      </c>
      <c r="HQ6" s="21" t="n">
        <v>205.49</v>
      </c>
      <c r="HR6" s="21" t="n">
        <v>115.931</v>
      </c>
      <c r="HS6" s="21" t="n">
        <v>99.45399999999999</v>
      </c>
      <c r="HT6" s="21" t="n">
        <v>334.245</v>
      </c>
      <c r="HU6" s="21" t="n">
        <v>420.944</v>
      </c>
      <c r="HV6" s="21" t="n">
        <v>132.222</v>
      </c>
      <c r="HW6" s="21" t="n">
        <v>36.141</v>
      </c>
      <c r="HX6" s="21" t="n">
        <v>167.367</v>
      </c>
      <c r="HY6" s="21" t="n">
        <v>198.785</v>
      </c>
      <c r="HZ6" s="21" t="n">
        <v>152.958</v>
      </c>
      <c r="IA6" s="21" t="n">
        <v>114.001</v>
      </c>
      <c r="IB6" s="21" t="n">
        <v>225.023</v>
      </c>
      <c r="IC6" s="21" t="n">
        <v>180.265</v>
      </c>
      <c r="ID6" s="21" t="n">
        <v>235.285</v>
      </c>
      <c r="IE6" s="21" t="n">
        <v>114.365</v>
      </c>
      <c r="IF6" s="21" t="n">
        <v>150.829</v>
      </c>
      <c r="IG6" s="21" t="n">
        <v>83.59699999999999</v>
      </c>
      <c r="IH6" s="21" t="n">
        <v>75.041</v>
      </c>
      <c r="II6" s="21" t="n">
        <v>55.206</v>
      </c>
      <c r="IJ6" s="21" t="n">
        <v>22.721</v>
      </c>
      <c r="IK6" s="21" t="n">
        <v>47.319</v>
      </c>
      <c r="IL6" s="21" t="n">
        <v>45.104</v>
      </c>
      <c r="IM6" s="21" t="n">
        <v>53.812</v>
      </c>
      <c r="IN6" s="21" t="n">
        <v>97.709</v>
      </c>
      <c r="IO6" s="21" t="n">
        <v>98.636</v>
      </c>
      <c r="IP6" s="21" t="n">
        <v>156.189</v>
      </c>
      <c r="IQ6" s="21" t="n">
        <v>129.237</v>
      </c>
      <c r="IR6" s="21" t="n">
        <v>357.022</v>
      </c>
      <c r="IS6" s="21" t="n">
        <v>168.981</v>
      </c>
      <c r="IT6" s="21" t="n">
        <v>208.506</v>
      </c>
      <c r="IU6" s="21" t="n">
        <v>285.536</v>
      </c>
      <c r="IV6" s="21" t="n">
        <v>241.266</v>
      </c>
      <c r="IW6" s="21" t="n">
        <v>137.692</v>
      </c>
      <c r="IX6" s="21" t="n">
        <v>239.665</v>
      </c>
      <c r="IY6" s="21" t="n">
        <v>646.559</v>
      </c>
      <c r="IZ6" s="21" t="n">
        <v>686.271</v>
      </c>
      <c r="JA6" s="21" t="n">
        <v>782.563</v>
      </c>
      <c r="JB6" s="21" t="n">
        <v>71.19799999999999</v>
      </c>
      <c r="JC6" s="21" t="n">
        <v>274.809</v>
      </c>
      <c r="JD6" s="21" t="n">
        <v>233.609</v>
      </c>
      <c r="JE6" s="21" t="n">
        <v>79.90000000000001</v>
      </c>
      <c r="JF6" s="21" t="n">
        <v>173.723</v>
      </c>
      <c r="JG6" s="21" t="n">
        <v>273.168</v>
      </c>
      <c r="JH6" s="21" t="n">
        <v>281.353</v>
      </c>
      <c r="JI6" s="21" t="n">
        <v>76.083</v>
      </c>
      <c r="JJ6" s="21" t="n">
        <v>120.602</v>
      </c>
      <c r="JK6" s="21" t="n">
        <v>48.458</v>
      </c>
      <c r="JL6" s="21" t="n">
        <v>77.751</v>
      </c>
      <c r="JM6" s="21" t="n">
        <v>321.645</v>
      </c>
      <c r="JN6" s="21" t="n">
        <v>413.289</v>
      </c>
      <c r="JO6" s="21" t="n">
        <v>58.333</v>
      </c>
      <c r="JP6" s="21" t="n">
        <v>377.616</v>
      </c>
      <c r="JQ6" s="21" t="n">
        <v>220.101</v>
      </c>
      <c r="JR6" s="21" t="n">
        <v>163.185</v>
      </c>
      <c r="JS6" s="21" t="n">
        <v>397.224</v>
      </c>
      <c r="JT6" s="21" t="n">
        <v>321.825</v>
      </c>
      <c r="JU6" s="21" t="n">
        <v>312.282</v>
      </c>
      <c r="JV6" s="21" t="n">
        <v>154.897</v>
      </c>
      <c r="JW6" s="21" t="n">
        <v>315.963</v>
      </c>
      <c r="JX6" s="21" t="n">
        <v>216.641</v>
      </c>
      <c r="JY6" s="21" t="n">
        <v>82.41800000000001</v>
      </c>
      <c r="JZ6" s="21" t="n">
        <v>152.201</v>
      </c>
      <c r="KA6" s="21" t="n">
        <v>226.893</v>
      </c>
      <c r="KB6" s="21" t="n">
        <v>241.691</v>
      </c>
      <c r="KC6" s="21" t="n">
        <v>235.571</v>
      </c>
      <c r="KD6" s="21" t="n">
        <v>241.688</v>
      </c>
      <c r="KE6" s="21" t="n">
        <v>223.796</v>
      </c>
      <c r="KF6" s="21" t="n">
        <v>217.934</v>
      </c>
      <c r="KG6" s="21" t="n">
        <v>221.866</v>
      </c>
      <c r="KH6" s="21" t="n">
        <v>226.23</v>
      </c>
      <c r="KI6" s="21" t="n">
        <v>118.753</v>
      </c>
      <c r="KJ6" s="21" t="n">
        <v>182.865</v>
      </c>
      <c r="KK6" s="21" t="n">
        <v>154.157</v>
      </c>
      <c r="KL6" s="21" t="n">
        <v>151.137</v>
      </c>
      <c r="KM6" s="21" t="n">
        <v>146.502</v>
      </c>
      <c r="KN6" s="21" t="n">
        <v>146.943</v>
      </c>
      <c r="KO6" s="21" t="n">
        <v>249.749</v>
      </c>
      <c r="KP6" s="21" t="n">
        <v>109.465</v>
      </c>
      <c r="KQ6" s="21" t="n">
        <v>84.036</v>
      </c>
      <c r="KR6" s="21" t="n">
        <v>109.257</v>
      </c>
      <c r="KS6" s="21" t="n">
        <v>208.973</v>
      </c>
      <c r="KT6" s="21" t="n">
        <v>229.995</v>
      </c>
      <c r="KU6" s="21" t="n">
        <v>93.69199999999999</v>
      </c>
      <c r="KV6" s="21" t="n">
        <v>65.73</v>
      </c>
      <c r="KW6" s="21" t="n">
        <v>218.833</v>
      </c>
      <c r="KX6" s="21" t="n">
        <v>195.284</v>
      </c>
      <c r="KY6" s="21" t="n">
        <v>237.407</v>
      </c>
      <c r="KZ6" s="21" t="n">
        <v>192.522</v>
      </c>
      <c r="LA6" s="21" t="n">
        <v>238.491</v>
      </c>
      <c r="LB6" s="21" t="n">
        <v>107.51</v>
      </c>
      <c r="LC6" s="21" t="n">
        <v>337.972</v>
      </c>
      <c r="LD6" s="21" t="n">
        <v>88.95099999999999</v>
      </c>
      <c r="LE6" s="21" t="n">
        <v>111.591</v>
      </c>
      <c r="LF6" s="21" t="n">
        <v>288.988</v>
      </c>
      <c r="LG6" s="21" t="n">
        <v>290.543</v>
      </c>
      <c r="LH6" s="21" t="n">
        <v>299.91</v>
      </c>
      <c r="LI6" s="21" t="n">
        <v>276.418</v>
      </c>
      <c r="LJ6" s="21" t="n">
        <v>314.789</v>
      </c>
      <c r="LK6" s="21" t="n">
        <v>107.006</v>
      </c>
      <c r="LL6" s="21" t="n">
        <v>289.96</v>
      </c>
      <c r="LM6" s="21" t="n">
        <v>214.064</v>
      </c>
      <c r="LN6" s="21" t="n">
        <v>61.791</v>
      </c>
      <c r="LO6" s="21" t="n">
        <v>112.935</v>
      </c>
    </row>
    <row r="7">
      <c r="A7" s="22" t="n">
        <v>42156</v>
      </c>
      <c r="B7" s="21" t="n">
        <v>237.657</v>
      </c>
      <c r="C7" s="21" t="n">
        <v>246.511</v>
      </c>
      <c r="D7" s="21" t="n">
        <v>246.937</v>
      </c>
      <c r="E7" s="21" t="n">
        <v>241.922</v>
      </c>
      <c r="F7" s="21" t="n">
        <v>274.079</v>
      </c>
      <c r="G7" s="21" t="n">
        <v>235.004</v>
      </c>
      <c r="H7" s="21" t="n">
        <v>247.104</v>
      </c>
      <c r="I7" s="21" t="n">
        <v>230.528</v>
      </c>
      <c r="J7" s="21" t="n">
        <v>245.318</v>
      </c>
      <c r="K7" s="21" t="n">
        <v>295.945</v>
      </c>
      <c r="L7" s="21" t="n">
        <v>179.179</v>
      </c>
      <c r="M7" s="21" t="n">
        <v>174.883</v>
      </c>
      <c r="N7" s="21" t="n">
        <v>278.832</v>
      </c>
      <c r="O7" s="21" t="n">
        <v>266.502</v>
      </c>
      <c r="P7" s="21" t="n">
        <v>265.372</v>
      </c>
      <c r="Q7" s="21" t="n">
        <v>307.544</v>
      </c>
      <c r="R7" s="21" t="n">
        <v>268.396</v>
      </c>
      <c r="S7" s="21" t="n">
        <v>261.146</v>
      </c>
      <c r="T7" s="21" t="n">
        <v>258.433</v>
      </c>
      <c r="U7" s="21" t="n">
        <v>263.835</v>
      </c>
      <c r="V7" s="21" t="n">
        <v>325.447</v>
      </c>
      <c r="W7" s="21" t="n">
        <v>299.1</v>
      </c>
      <c r="X7" s="21" t="n">
        <v>244.103</v>
      </c>
      <c r="Y7" s="21" t="n">
        <v>216.665</v>
      </c>
      <c r="Z7" s="21" t="n">
        <v>215.322</v>
      </c>
      <c r="AA7" s="21" t="n">
        <v>152.525</v>
      </c>
      <c r="AB7" s="21" t="n">
        <v>269.608</v>
      </c>
      <c r="AC7" s="21" t="n">
        <v>147.525</v>
      </c>
      <c r="AD7" s="21" t="n">
        <v>212.396</v>
      </c>
      <c r="AE7" s="21" t="n">
        <v>236.917</v>
      </c>
      <c r="AF7" s="21" t="n">
        <v>195.352</v>
      </c>
      <c r="AG7" s="21" t="n">
        <v>136.82</v>
      </c>
      <c r="AH7" s="21" t="n">
        <v>226.645</v>
      </c>
      <c r="AI7" s="21" t="n">
        <v>231.812</v>
      </c>
      <c r="AJ7" s="21" t="n">
        <v>146.151</v>
      </c>
      <c r="AK7" s="21" t="n">
        <v>239.178</v>
      </c>
      <c r="AL7" s="21" t="n">
        <v>153.242</v>
      </c>
      <c r="AM7" s="21" t="n">
        <v>258.315</v>
      </c>
      <c r="AN7" s="21" t="n">
        <v>226.27</v>
      </c>
      <c r="AO7" s="21" t="n">
        <v>157.385</v>
      </c>
      <c r="AP7" s="21" t="n">
        <v>284.979</v>
      </c>
      <c r="AQ7" s="21" t="n">
        <v>172.459</v>
      </c>
      <c r="AR7" s="21" t="n">
        <v>146.805</v>
      </c>
      <c r="AS7" s="21" t="n">
        <v>199.751</v>
      </c>
      <c r="AT7" s="21" t="n">
        <v>315.467</v>
      </c>
      <c r="AU7" s="21" t="n">
        <v>299.516</v>
      </c>
      <c r="AV7" s="21" t="n">
        <v>221.849</v>
      </c>
      <c r="AW7" s="21" t="n">
        <v>147.263</v>
      </c>
      <c r="AX7" s="21" t="n">
        <v>212.662</v>
      </c>
      <c r="AY7" s="21" t="n">
        <v>151.04</v>
      </c>
      <c r="AZ7" s="21" t="n">
        <v>231.056</v>
      </c>
      <c r="BA7" s="21" t="n">
        <v>217.676</v>
      </c>
      <c r="BB7" s="21" t="n">
        <v>147.169</v>
      </c>
      <c r="BC7" s="21" t="n">
        <v>290.674</v>
      </c>
      <c r="BD7" s="21" t="n">
        <v>332.975</v>
      </c>
      <c r="BE7" s="21" t="n">
        <v>347.012</v>
      </c>
      <c r="BF7" s="21" t="n">
        <v>322.857</v>
      </c>
      <c r="BG7" s="21" t="n">
        <v>199.472</v>
      </c>
      <c r="BH7" s="21" t="n">
        <v>230.421</v>
      </c>
      <c r="BI7" s="21" t="n">
        <v>476.788</v>
      </c>
      <c r="BJ7" s="21" t="n">
        <v>116.131</v>
      </c>
      <c r="BK7" s="21" t="n">
        <v>317.007</v>
      </c>
      <c r="BL7" s="21" t="n">
        <v>323.43</v>
      </c>
      <c r="BM7" s="21" t="n">
        <v>302.335</v>
      </c>
      <c r="BN7" s="21" t="n">
        <v>319.652</v>
      </c>
      <c r="BO7" s="21" t="n">
        <v>321.38</v>
      </c>
      <c r="BP7" s="21" t="n">
        <v>158.442</v>
      </c>
      <c r="BQ7" s="21" t="n">
        <v>162.828</v>
      </c>
      <c r="BR7" s="21" t="n">
        <v>157.164</v>
      </c>
      <c r="BS7" s="21" t="n">
        <v>171.305</v>
      </c>
      <c r="BT7" s="21" t="n">
        <v>147.4</v>
      </c>
      <c r="BU7" s="21" t="n">
        <v>201.793</v>
      </c>
      <c r="BV7" s="21" t="n">
        <v>163.681</v>
      </c>
      <c r="BW7" s="21" t="n">
        <v>167.615</v>
      </c>
      <c r="BX7" s="21" t="n">
        <v>128.281</v>
      </c>
      <c r="BY7" s="21" t="n">
        <v>158.873</v>
      </c>
      <c r="BZ7" s="21" t="n">
        <v>118.003</v>
      </c>
      <c r="CA7" s="21" t="n">
        <v>120.276</v>
      </c>
      <c r="CB7" s="21" t="n">
        <v>204.484</v>
      </c>
      <c r="CC7" s="21" t="n">
        <v>213.081</v>
      </c>
      <c r="CD7" s="21" t="n">
        <v>127.504</v>
      </c>
      <c r="CE7" s="21" t="n">
        <v>209.389</v>
      </c>
      <c r="CF7" s="21" t="n">
        <v>215.925</v>
      </c>
      <c r="CG7" s="21" t="n">
        <v>190.544</v>
      </c>
      <c r="CH7" s="21" t="n">
        <v>144.555</v>
      </c>
      <c r="CI7" s="21" t="n">
        <v>153.813</v>
      </c>
      <c r="CJ7" s="21" t="n">
        <v>226.809</v>
      </c>
      <c r="CK7" s="21" t="n">
        <v>196.375</v>
      </c>
      <c r="CL7" s="21" t="n">
        <v>225.633</v>
      </c>
      <c r="CM7" s="21" t="n">
        <v>291.116</v>
      </c>
      <c r="CN7" s="21" t="n">
        <v>131.096</v>
      </c>
      <c r="CO7" s="21" t="n">
        <v>160.271</v>
      </c>
      <c r="CP7" s="21" t="n">
        <v>223.64</v>
      </c>
      <c r="CQ7" s="21" t="n">
        <v>239.38</v>
      </c>
      <c r="CR7" s="21" t="n">
        <v>171.28</v>
      </c>
      <c r="CS7" s="21" t="n">
        <v>250.962</v>
      </c>
      <c r="CT7" s="21" t="n">
        <v>236.79</v>
      </c>
      <c r="CU7" s="21" t="n">
        <v>147.506</v>
      </c>
      <c r="CV7" s="21" t="n">
        <v>132.888</v>
      </c>
      <c r="CW7" s="21" t="n">
        <v>139.308</v>
      </c>
      <c r="CX7" s="21" t="n">
        <v>270.474</v>
      </c>
      <c r="CY7" s="21" t="n">
        <v>131.171</v>
      </c>
      <c r="CZ7" s="21" t="n">
        <v>120.001</v>
      </c>
      <c r="DA7" s="21" t="n">
        <v>255.846</v>
      </c>
      <c r="DB7" s="21" t="n">
        <v>159.282</v>
      </c>
      <c r="DC7" s="21" t="n">
        <v>161.135</v>
      </c>
      <c r="DD7" s="21" t="n">
        <v>133.864</v>
      </c>
      <c r="DE7" s="21" t="n">
        <v>181.339</v>
      </c>
      <c r="DF7" s="21" t="n">
        <v>239.297</v>
      </c>
      <c r="DG7" s="21" t="n">
        <v>196.94</v>
      </c>
      <c r="DH7" s="21" t="n">
        <v>215.058</v>
      </c>
      <c r="DI7" s="21" t="n">
        <v>191.989</v>
      </c>
      <c r="DJ7" s="21" t="n">
        <v>206.374</v>
      </c>
      <c r="DK7" s="21" t="n">
        <v>185.61</v>
      </c>
      <c r="DL7" s="21" t="n">
        <v>167.95</v>
      </c>
      <c r="DM7" s="21" t="n">
        <v>330.669</v>
      </c>
      <c r="DN7" s="21" t="n">
        <v>177.826</v>
      </c>
      <c r="DO7" s="21" t="n">
        <v>237.804</v>
      </c>
      <c r="DP7" s="21" t="n">
        <v>278.284</v>
      </c>
      <c r="DQ7" s="21" t="n">
        <v>285.477</v>
      </c>
      <c r="DR7" s="21" t="n">
        <v>148.963</v>
      </c>
      <c r="DS7" s="21" t="n">
        <v>507.308</v>
      </c>
      <c r="DT7" s="21" t="n">
        <v>307.239</v>
      </c>
      <c r="DU7" s="21" t="n">
        <v>285.668</v>
      </c>
      <c r="DV7" s="21" t="n">
        <v>285.632</v>
      </c>
      <c r="DW7" s="21" t="n">
        <v>230.627</v>
      </c>
      <c r="DX7" s="21" t="n">
        <v>195.409</v>
      </c>
      <c r="DY7" s="21" t="n">
        <v>264.841</v>
      </c>
      <c r="DZ7" s="21" t="n">
        <v>269.368</v>
      </c>
      <c r="EA7" s="21" t="n">
        <v>306.882</v>
      </c>
      <c r="EB7" s="21" t="n">
        <v>199.148</v>
      </c>
      <c r="EC7" s="21" t="n">
        <v>209.41</v>
      </c>
      <c r="ED7" s="21" t="n">
        <v>165.693</v>
      </c>
      <c r="EE7" s="21" t="n">
        <v>213.299</v>
      </c>
      <c r="EF7" s="21" t="n">
        <v>491.364</v>
      </c>
      <c r="EG7" s="21" t="n">
        <v>430.813</v>
      </c>
      <c r="EH7" s="21" t="n">
        <v>122.736</v>
      </c>
      <c r="EI7" s="21" t="n">
        <v>61.531</v>
      </c>
      <c r="EJ7" s="21" t="n">
        <v>67.971</v>
      </c>
      <c r="EK7" s="21" t="n">
        <v>49.013</v>
      </c>
      <c r="EL7" s="21" t="n">
        <v>115.679</v>
      </c>
      <c r="EM7" s="21" t="n">
        <v>74.861</v>
      </c>
      <c r="EN7" s="21" t="n">
        <v>79.563</v>
      </c>
      <c r="EO7" s="21" t="n">
        <v>88.22499999999999</v>
      </c>
      <c r="EP7" s="21" t="n">
        <v>99.961</v>
      </c>
      <c r="EQ7" s="21" t="n">
        <v>68.065</v>
      </c>
      <c r="ER7" s="21" t="n">
        <v>58.951</v>
      </c>
      <c r="ES7" s="21" t="n">
        <v>128.129</v>
      </c>
      <c r="ET7" s="21" t="n">
        <v>90.63500000000001</v>
      </c>
      <c r="EU7" s="21" t="n">
        <v>91.351</v>
      </c>
      <c r="EV7" s="21" t="n">
        <v>100.393</v>
      </c>
      <c r="EW7" s="21" t="n">
        <v>87.081</v>
      </c>
      <c r="EX7" s="21" t="n">
        <v>186.758</v>
      </c>
      <c r="EY7" s="21" t="n">
        <v>118.943</v>
      </c>
      <c r="EZ7" s="21" t="n">
        <v>119.254</v>
      </c>
      <c r="FA7" s="21" t="n">
        <v>142.187</v>
      </c>
      <c r="FB7" s="21" t="n">
        <v>125.51</v>
      </c>
      <c r="FC7" s="21" t="n">
        <v>119.582</v>
      </c>
      <c r="FD7" s="21" t="n">
        <v>123.874</v>
      </c>
      <c r="FE7" s="21" t="n">
        <v>113.58</v>
      </c>
      <c r="FF7" s="21" t="n">
        <v>156.585</v>
      </c>
      <c r="FG7" s="21" t="n">
        <v>78.774</v>
      </c>
      <c r="FH7" s="21" t="n">
        <v>123.875</v>
      </c>
      <c r="FI7" s="21" t="n">
        <v>103.187</v>
      </c>
      <c r="FJ7" s="21" t="n">
        <v>110.567</v>
      </c>
      <c r="FK7" s="21" t="n">
        <v>113.763</v>
      </c>
      <c r="FL7" s="21" t="n">
        <v>106.393</v>
      </c>
      <c r="FM7" s="21" t="n">
        <v>122.021</v>
      </c>
      <c r="FN7" s="21" t="n">
        <v>81.61199999999999</v>
      </c>
      <c r="FO7" s="21" t="n">
        <v>105.301</v>
      </c>
      <c r="FP7" s="21" t="n">
        <v>95.396</v>
      </c>
      <c r="FQ7" s="21" t="n">
        <v>136.559</v>
      </c>
      <c r="FR7" s="21" t="n">
        <v>137.674</v>
      </c>
      <c r="FS7" s="21" t="n">
        <v>152.406</v>
      </c>
      <c r="FT7" s="21" t="n">
        <v>127.737</v>
      </c>
      <c r="FU7" s="21" t="n">
        <v>119.597</v>
      </c>
      <c r="FV7" s="21" t="n">
        <v>159.624</v>
      </c>
      <c r="FW7" s="21" t="n">
        <v>123.852</v>
      </c>
      <c r="FX7" s="21" t="n">
        <v>164.884</v>
      </c>
      <c r="FY7" s="21" t="n">
        <v>203.86</v>
      </c>
      <c r="FZ7" s="21" t="n">
        <v>198.523</v>
      </c>
      <c r="GA7" s="21" t="n">
        <v>101.305</v>
      </c>
      <c r="GB7" s="21" t="n">
        <v>147.489</v>
      </c>
      <c r="GC7" s="21" t="n">
        <v>102.258</v>
      </c>
      <c r="GD7" s="21" t="n">
        <v>145.157</v>
      </c>
      <c r="GE7" s="21" t="n">
        <v>155.788</v>
      </c>
      <c r="GF7" s="21" t="n"/>
      <c r="GG7" s="21" t="n">
        <v>149.48</v>
      </c>
      <c r="GH7" s="21" t="n">
        <v>83.292</v>
      </c>
      <c r="GI7" s="21" t="n">
        <v>127.852</v>
      </c>
      <c r="GJ7" s="21" t="n">
        <v>231.952</v>
      </c>
      <c r="GK7" s="21" t="n">
        <v>230.871</v>
      </c>
      <c r="GL7" s="21" t="n">
        <v>228.118</v>
      </c>
      <c r="GM7" s="21" t="n">
        <v>242.779</v>
      </c>
      <c r="GN7" s="21" t="n">
        <v>234.726</v>
      </c>
      <c r="GO7" s="21" t="n">
        <v>208.251</v>
      </c>
      <c r="GP7" s="21" t="n">
        <v>143.88</v>
      </c>
      <c r="GQ7" s="21" t="n">
        <v>126.119</v>
      </c>
      <c r="GR7" s="21" t="n">
        <v>270.981</v>
      </c>
      <c r="GS7" s="21" t="n">
        <v>168.265</v>
      </c>
      <c r="GT7" s="21" t="n">
        <v>458.587</v>
      </c>
      <c r="GU7" s="21" t="n">
        <v>193.971</v>
      </c>
      <c r="GV7" s="21" t="n">
        <v>215.401</v>
      </c>
      <c r="GW7" s="21" t="n">
        <v>272.433</v>
      </c>
      <c r="GX7" s="21" t="n">
        <v>298.839</v>
      </c>
      <c r="GY7" s="21" t="n">
        <v>150.326</v>
      </c>
      <c r="GZ7" s="21" t="n">
        <v>114.064</v>
      </c>
      <c r="HA7" s="21" t="n">
        <v>59.564</v>
      </c>
      <c r="HB7" s="21" t="n">
        <v>446.33</v>
      </c>
      <c r="HC7" s="21" t="n">
        <v>354.805</v>
      </c>
      <c r="HD7" s="21" t="n">
        <v>115.89</v>
      </c>
      <c r="HE7" s="21" t="n">
        <v>480.326</v>
      </c>
      <c r="HF7" s="21" t="n">
        <v>97.27200000000001</v>
      </c>
      <c r="HG7" s="21" t="n">
        <v>475.516</v>
      </c>
      <c r="HH7" s="21" t="n">
        <v>361.442</v>
      </c>
      <c r="HI7" s="21" t="n">
        <v>366.044</v>
      </c>
      <c r="HJ7" s="21" t="n">
        <v>451.698</v>
      </c>
      <c r="HK7" s="21" t="n">
        <v>184.845</v>
      </c>
      <c r="HL7" s="21" t="n">
        <v>227.992</v>
      </c>
      <c r="HM7" s="21" t="n">
        <v>69.06100000000001</v>
      </c>
      <c r="HN7" s="21" t="n">
        <v>289.186</v>
      </c>
      <c r="HO7" s="21" t="n">
        <v>283.409</v>
      </c>
      <c r="HP7" s="21" t="n">
        <v>652.835</v>
      </c>
      <c r="HQ7" s="21" t="n">
        <v>206.23</v>
      </c>
      <c r="HR7" s="21" t="n">
        <v>116.114</v>
      </c>
      <c r="HS7" s="21" t="n">
        <v>99.407</v>
      </c>
      <c r="HT7" s="21" t="n">
        <v>332.688</v>
      </c>
      <c r="HU7" s="21" t="n">
        <v>421.708</v>
      </c>
      <c r="HV7" s="21" t="n">
        <v>133.82</v>
      </c>
      <c r="HW7" s="21" t="n">
        <v>35.821</v>
      </c>
      <c r="HX7" s="21" t="n">
        <v>167.937</v>
      </c>
      <c r="HY7" s="21" t="n">
        <v>199.482</v>
      </c>
      <c r="HZ7" s="21" t="n">
        <v>153.511</v>
      </c>
      <c r="IA7" s="21" t="n">
        <v>114.199</v>
      </c>
      <c r="IB7" s="21" t="n">
        <v>225.751</v>
      </c>
      <c r="IC7" s="21" t="n">
        <v>180.857</v>
      </c>
      <c r="ID7" s="21" t="n">
        <v>235.942</v>
      </c>
      <c r="IE7" s="21" t="n">
        <v>114.294</v>
      </c>
      <c r="IF7" s="21" t="n">
        <v>150.258</v>
      </c>
      <c r="IG7" s="21" t="n">
        <v>84.27500000000001</v>
      </c>
      <c r="IH7" s="21" t="n">
        <v>74.85899999999999</v>
      </c>
      <c r="II7" s="21" t="n">
        <v>55.266</v>
      </c>
      <c r="IJ7" s="21" t="n">
        <v>22.698</v>
      </c>
      <c r="IK7" s="21" t="n">
        <v>47.021</v>
      </c>
      <c r="IL7" s="21" t="n">
        <v>44.811</v>
      </c>
      <c r="IM7" s="21" t="n">
        <v>53.611</v>
      </c>
      <c r="IN7" s="21" t="n">
        <v>96.56999999999999</v>
      </c>
      <c r="IO7" s="21" t="n">
        <v>98.768</v>
      </c>
      <c r="IP7" s="21" t="n">
        <v>157.126</v>
      </c>
      <c r="IQ7" s="21" t="n">
        <v>131.952</v>
      </c>
      <c r="IR7" s="21" t="n">
        <v>354.491</v>
      </c>
      <c r="IS7" s="21" t="n">
        <v>168.494</v>
      </c>
      <c r="IT7" s="21" t="n">
        <v>209.363</v>
      </c>
      <c r="IU7" s="21" t="n">
        <v>287.158</v>
      </c>
      <c r="IV7" s="21" t="n">
        <v>239.927</v>
      </c>
      <c r="IW7" s="21" t="n">
        <v>137.789</v>
      </c>
      <c r="IX7" s="21" t="n">
        <v>240.232</v>
      </c>
      <c r="IY7" s="21" t="n">
        <v>643.069</v>
      </c>
      <c r="IZ7" s="21" t="n">
        <v>688.241</v>
      </c>
      <c r="JA7" s="21" t="n">
        <v>784.741</v>
      </c>
      <c r="JB7" s="21" t="n">
        <v>71.459</v>
      </c>
      <c r="JC7" s="21" t="n">
        <v>275.743</v>
      </c>
      <c r="JD7" s="21" t="n">
        <v>234.098</v>
      </c>
      <c r="JE7" s="21" t="n">
        <v>79.83499999999999</v>
      </c>
      <c r="JF7" s="21" t="n">
        <v>174.293</v>
      </c>
      <c r="JG7" s="21" t="n">
        <v>273.989</v>
      </c>
      <c r="JH7" s="21" t="n">
        <v>282.991</v>
      </c>
      <c r="JI7" s="21" t="n">
        <v>76.009</v>
      </c>
      <c r="JJ7" s="21" t="n">
        <v>120.005</v>
      </c>
      <c r="JK7" s="21" t="n">
        <v>48.03</v>
      </c>
      <c r="JL7" s="21" t="n">
        <v>77.63500000000001</v>
      </c>
      <c r="JM7" s="21" t="n">
        <v>314.245</v>
      </c>
      <c r="JN7" s="21" t="n">
        <v>414.997</v>
      </c>
      <c r="JO7" s="21" t="n">
        <v>58.597</v>
      </c>
      <c r="JP7" s="21" t="n">
        <v>379.377</v>
      </c>
      <c r="JQ7" s="21" t="n">
        <v>220.988</v>
      </c>
      <c r="JR7" s="21" t="n">
        <v>162.617</v>
      </c>
      <c r="JS7" s="21" t="n">
        <v>398.535</v>
      </c>
      <c r="JT7" s="21" t="n">
        <v>321.793</v>
      </c>
      <c r="JU7" s="21" t="n">
        <v>312.554</v>
      </c>
      <c r="JV7" s="21" t="n">
        <v>156.189</v>
      </c>
      <c r="JW7" s="21" t="n">
        <v>318.568</v>
      </c>
      <c r="JX7" s="21" t="n">
        <v>218.41</v>
      </c>
      <c r="JY7" s="21" t="n">
        <v>81.864</v>
      </c>
      <c r="JZ7" s="21" t="n">
        <v>150.9</v>
      </c>
      <c r="KA7" s="21" t="n">
        <v>227.591</v>
      </c>
      <c r="KB7" s="21" t="n">
        <v>242.114</v>
      </c>
      <c r="KC7" s="21" t="n">
        <v>236.22</v>
      </c>
      <c r="KD7" s="21" t="n">
        <v>242.064</v>
      </c>
      <c r="KE7" s="21" t="n">
        <v>224.418</v>
      </c>
      <c r="KF7" s="21" t="n">
        <v>218.536</v>
      </c>
      <c r="KG7" s="21" t="n">
        <v>222.019</v>
      </c>
      <c r="KH7" s="21" t="n">
        <v>226.381</v>
      </c>
      <c r="KI7" s="21" t="n">
        <v>118.389</v>
      </c>
      <c r="KJ7" s="21" t="n">
        <v>183.424</v>
      </c>
      <c r="KK7" s="21" t="n">
        <v>154.648</v>
      </c>
      <c r="KL7" s="21" t="n">
        <v>151.65</v>
      </c>
      <c r="KM7" s="21" t="n">
        <v>146.339</v>
      </c>
      <c r="KN7" s="21" t="n">
        <v>146.747</v>
      </c>
      <c r="KO7" s="21" t="n">
        <v>250.735</v>
      </c>
      <c r="KP7" s="21" t="n">
        <v>109.425</v>
      </c>
      <c r="KQ7" s="21" t="n">
        <v>83.26900000000001</v>
      </c>
      <c r="KR7" s="21" t="n">
        <v>109.434</v>
      </c>
      <c r="KS7" s="21" t="n">
        <v>212.015</v>
      </c>
      <c r="KT7" s="21" t="n">
        <v>235.321</v>
      </c>
      <c r="KU7" s="21" t="n">
        <v>93.47</v>
      </c>
      <c r="KV7" s="21" t="n">
        <v>65.004</v>
      </c>
      <c r="KW7" s="21" t="n">
        <v>219.443</v>
      </c>
      <c r="KX7" s="21" t="n">
        <v>195.86</v>
      </c>
      <c r="KY7" s="21" t="n">
        <v>238.361</v>
      </c>
      <c r="KZ7" s="21" t="n">
        <v>193.15</v>
      </c>
      <c r="LA7" s="21" t="n">
        <v>239.579</v>
      </c>
      <c r="LB7" s="21" t="n">
        <v>107.476</v>
      </c>
      <c r="LC7" s="21" t="n">
        <v>338.981</v>
      </c>
      <c r="LD7" s="21" t="n">
        <v>88.839</v>
      </c>
      <c r="LE7" s="21" t="n">
        <v>111.933</v>
      </c>
      <c r="LF7" s="21" t="n">
        <v>289.874</v>
      </c>
      <c r="LG7" s="21" t="n">
        <v>291.315</v>
      </c>
      <c r="LH7" s="21" t="n">
        <v>300.662</v>
      </c>
      <c r="LI7" s="21" t="n">
        <v>277.327</v>
      </c>
      <c r="LJ7" s="21" t="n">
        <v>315.639</v>
      </c>
      <c r="LK7" s="21" t="n">
        <v>107.082</v>
      </c>
      <c r="LL7" s="21" t="n">
        <v>290.914</v>
      </c>
      <c r="LM7" s="21" t="n">
        <v>215.45</v>
      </c>
      <c r="LN7" s="21" t="n">
        <v>61.575</v>
      </c>
      <c r="LO7" s="21" t="n">
        <v>112.944</v>
      </c>
    </row>
    <row r="8">
      <c r="A8" s="22" t="n">
        <v>42186</v>
      </c>
      <c r="B8" s="21" t="n">
        <v>238.034</v>
      </c>
      <c r="C8" s="21" t="n">
        <v>246.733</v>
      </c>
      <c r="D8" s="21" t="n">
        <v>247.157</v>
      </c>
      <c r="E8" s="21" t="n">
        <v>242.25</v>
      </c>
      <c r="F8" s="21" t="n">
        <v>274.756</v>
      </c>
      <c r="G8" s="21" t="n">
        <v>233.642</v>
      </c>
      <c r="H8" s="21" t="n">
        <v>243.19</v>
      </c>
      <c r="I8" s="21" t="n">
        <v>230.69</v>
      </c>
      <c r="J8" s="21" t="n">
        <v>243.768</v>
      </c>
      <c r="K8" s="21" t="n">
        <v>298.116</v>
      </c>
      <c r="L8" s="21" t="n">
        <v>179.015</v>
      </c>
      <c r="M8" s="21" t="n">
        <v>177.486</v>
      </c>
      <c r="N8" s="21" t="n">
        <v>280.2</v>
      </c>
      <c r="O8" s="21" t="n">
        <v>269.951</v>
      </c>
      <c r="P8" s="21" t="n">
        <v>268.532</v>
      </c>
      <c r="Q8" s="21" t="n">
        <v>310.07</v>
      </c>
      <c r="R8" s="21" t="n">
        <v>271.972</v>
      </c>
      <c r="S8" s="21" t="n">
        <v>261.275</v>
      </c>
      <c r="T8" s="21" t="n">
        <v>258.202</v>
      </c>
      <c r="U8" s="21" t="n">
        <v>263.912</v>
      </c>
      <c r="V8" s="21" t="n">
        <v>324.516</v>
      </c>
      <c r="W8" s="21" t="n">
        <v>296.191</v>
      </c>
      <c r="X8" s="21" t="n">
        <v>243.424</v>
      </c>
      <c r="Y8" s="21" t="n">
        <v>216.349</v>
      </c>
      <c r="Z8" s="21" t="n">
        <v>215.542</v>
      </c>
      <c r="AA8" s="21" t="n">
        <v>152.744</v>
      </c>
      <c r="AB8" s="21" t="n">
        <v>271.255</v>
      </c>
      <c r="AC8" s="21" t="n">
        <v>147.764</v>
      </c>
      <c r="AD8" s="21" t="n">
        <v>210.526</v>
      </c>
      <c r="AE8" s="21" t="n">
        <v>235.004</v>
      </c>
      <c r="AF8" s="21" t="n">
        <v>200.585</v>
      </c>
      <c r="AG8" s="21" t="n">
        <v>137.002</v>
      </c>
      <c r="AH8" s="21" t="n">
        <v>228.033</v>
      </c>
      <c r="AI8" s="21" t="n">
        <v>231.301</v>
      </c>
      <c r="AJ8" s="21" t="n">
        <v>146.97</v>
      </c>
      <c r="AK8" s="21" t="n">
        <v>238.125</v>
      </c>
      <c r="AL8" s="21" t="n">
        <v>152.223</v>
      </c>
      <c r="AM8" s="21" t="n">
        <v>254.575</v>
      </c>
      <c r="AN8" s="21" t="n">
        <v>225.204</v>
      </c>
      <c r="AO8" s="21" t="n">
        <v>158.497</v>
      </c>
      <c r="AP8" s="21" t="n">
        <v>284.559</v>
      </c>
      <c r="AQ8" s="21" t="n">
        <v>170.14</v>
      </c>
      <c r="AR8" s="21" t="n">
        <v>147.973</v>
      </c>
      <c r="AS8" s="21" t="n">
        <v>202.931</v>
      </c>
      <c r="AT8" s="21" t="n">
        <v>317.986</v>
      </c>
      <c r="AU8" s="21" t="n">
        <v>304.797</v>
      </c>
      <c r="AV8" s="21" t="n">
        <v>222.965</v>
      </c>
      <c r="AW8" s="21" t="n">
        <v>148.587</v>
      </c>
      <c r="AX8" s="21" t="n">
        <v>214.304</v>
      </c>
      <c r="AY8" s="21" t="n">
        <v>152.728</v>
      </c>
      <c r="AZ8" s="21" t="n">
        <v>234.226</v>
      </c>
      <c r="BA8" s="21" t="n">
        <v>218.068</v>
      </c>
      <c r="BB8" s="21" t="n">
        <v>147.497</v>
      </c>
      <c r="BC8" s="21" t="n">
        <v>290.621</v>
      </c>
      <c r="BD8" s="21" t="n">
        <v>332.443</v>
      </c>
      <c r="BE8" s="21" t="n">
        <v>347.461</v>
      </c>
      <c r="BF8" s="21" t="n">
        <v>321.938</v>
      </c>
      <c r="BG8" s="21" t="n">
        <v>199.332</v>
      </c>
      <c r="BH8" s="21" t="n">
        <v>233.64</v>
      </c>
      <c r="BI8" s="21" t="n">
        <v>482.568</v>
      </c>
      <c r="BJ8" s="21" t="n">
        <v>114.845</v>
      </c>
      <c r="BK8" s="21" t="n">
        <v>315.436</v>
      </c>
      <c r="BL8" s="21" t="n">
        <v>325.961</v>
      </c>
      <c r="BM8" s="21" t="n">
        <v>292.679</v>
      </c>
      <c r="BN8" s="21" t="n">
        <v>323.628</v>
      </c>
      <c r="BO8" s="21" t="n">
        <v>315.732</v>
      </c>
      <c r="BP8" s="21" t="n">
        <v>159.167</v>
      </c>
      <c r="BQ8" s="21" t="n">
        <v>164.459</v>
      </c>
      <c r="BR8" s="21" t="n">
        <v>158.057</v>
      </c>
      <c r="BS8" s="21" t="n">
        <v>173.423</v>
      </c>
      <c r="BT8" s="21" t="n">
        <v>147.464</v>
      </c>
      <c r="BU8" s="21" t="n">
        <v>201.857</v>
      </c>
      <c r="BV8" s="21" t="n">
        <v>163.947</v>
      </c>
      <c r="BW8" s="21" t="n">
        <v>168.292</v>
      </c>
      <c r="BX8" s="21" t="n">
        <v>128.683</v>
      </c>
      <c r="BY8" s="21" t="n">
        <v>160.671</v>
      </c>
      <c r="BZ8" s="21" t="n">
        <v>117.711</v>
      </c>
      <c r="CA8" s="21" t="n">
        <v>120.723</v>
      </c>
      <c r="CB8" s="21" t="n">
        <v>206.821</v>
      </c>
      <c r="CC8" s="21" t="n">
        <v>215.322</v>
      </c>
      <c r="CD8" s="21" t="n">
        <v>127.377</v>
      </c>
      <c r="CE8" s="21" t="n">
        <v>209.344</v>
      </c>
      <c r="CF8" s="21" t="n">
        <v>216.926</v>
      </c>
      <c r="CG8" s="21" t="n">
        <v>191.744</v>
      </c>
      <c r="CH8" s="21" t="n">
        <v>145.299</v>
      </c>
      <c r="CI8" s="21" t="n">
        <v>153.538</v>
      </c>
      <c r="CJ8" s="21" t="n">
        <v>224.825</v>
      </c>
      <c r="CK8" s="21" t="n">
        <v>195.534</v>
      </c>
      <c r="CL8" s="21" t="n">
        <v>227.655</v>
      </c>
      <c r="CM8" s="21" t="n">
        <v>288.115</v>
      </c>
      <c r="CN8" s="21" t="n">
        <v>130.035</v>
      </c>
      <c r="CO8" s="21" t="n">
        <v>159.024</v>
      </c>
      <c r="CP8" s="21" t="n">
        <v>223.679</v>
      </c>
      <c r="CQ8" s="21" t="n">
        <v>240.483</v>
      </c>
      <c r="CR8" s="21" t="n">
        <v>170.923</v>
      </c>
      <c r="CS8" s="21" t="n">
        <v>250.915</v>
      </c>
      <c r="CT8" s="21" t="n">
        <v>236.558</v>
      </c>
      <c r="CU8" s="21" t="n">
        <v>147.086</v>
      </c>
      <c r="CV8" s="21" t="n">
        <v>137.946</v>
      </c>
      <c r="CW8" s="21" t="n">
        <v>137.1</v>
      </c>
      <c r="CX8" s="21" t="n">
        <v>271.339</v>
      </c>
      <c r="CY8" s="21" t="n">
        <v>131.689</v>
      </c>
      <c r="CZ8" s="21" t="n">
        <v>121.366</v>
      </c>
      <c r="DA8" s="21" t="n">
        <v>255.905</v>
      </c>
      <c r="DB8" s="21" t="n">
        <v>159.713</v>
      </c>
      <c r="DC8" s="21" t="n">
        <v>154.846</v>
      </c>
      <c r="DD8" s="21" t="n"/>
      <c r="DE8" s="21" t="n">
        <v>181.165</v>
      </c>
      <c r="DF8" s="21" t="n">
        <v>239.546</v>
      </c>
      <c r="DG8" s="21" t="n">
        <v>197.17</v>
      </c>
      <c r="DH8" s="21" t="n">
        <v>215.529</v>
      </c>
      <c r="DI8" s="21" t="n">
        <v>192.182</v>
      </c>
      <c r="DJ8" s="21" t="n">
        <v>206.503</v>
      </c>
      <c r="DK8" s="21" t="n">
        <v>185.392</v>
      </c>
      <c r="DL8" s="21" t="n">
        <v>168.099</v>
      </c>
      <c r="DM8" s="21" t="n">
        <v>330.812</v>
      </c>
      <c r="DN8" s="21" t="n">
        <v>177.732</v>
      </c>
      <c r="DO8" s="21" t="n">
        <v>238.334</v>
      </c>
      <c r="DP8" s="21" t="n">
        <v>279.329</v>
      </c>
      <c r="DQ8" s="21" t="n">
        <v>286.435</v>
      </c>
      <c r="DR8" s="21" t="n">
        <v>154.047</v>
      </c>
      <c r="DS8" s="21" t="n">
        <v>509.576</v>
      </c>
      <c r="DT8" s="21" t="n">
        <v>319.91</v>
      </c>
      <c r="DU8" s="21" t="n">
        <v>286.463</v>
      </c>
      <c r="DV8" s="21" t="n">
        <v>286.425</v>
      </c>
      <c r="DW8" s="21" t="n">
        <v>229.536</v>
      </c>
      <c r="DX8" s="21" t="n">
        <v>194.002</v>
      </c>
      <c r="DY8" s="21" t="n">
        <v>256.667</v>
      </c>
      <c r="DZ8" s="21" t="n">
        <v>259.166</v>
      </c>
      <c r="EA8" s="21" t="n">
        <v>301.502</v>
      </c>
      <c r="EB8" s="21" t="n">
        <v>197.974</v>
      </c>
      <c r="EC8" s="21" t="n">
        <v>208.761</v>
      </c>
      <c r="ED8" s="21" t="n">
        <v>162.954</v>
      </c>
      <c r="EE8" s="21" t="n">
        <v>213.986</v>
      </c>
      <c r="EF8" s="21" t="n">
        <v>493.267</v>
      </c>
      <c r="EG8" s="21" t="n">
        <v>431.229</v>
      </c>
      <c r="EH8" s="21" t="n">
        <v>122.601</v>
      </c>
      <c r="EI8" s="21" t="n">
        <v>61.135</v>
      </c>
      <c r="EJ8" s="21" t="n">
        <v>67.645</v>
      </c>
      <c r="EK8" s="21" t="n">
        <v>48.581</v>
      </c>
      <c r="EL8" s="21" t="n">
        <v>114.991</v>
      </c>
      <c r="EM8" s="21" t="n">
        <v>74.789</v>
      </c>
      <c r="EN8" s="21" t="n">
        <v>79.005</v>
      </c>
      <c r="EO8" s="21" t="n">
        <v>87.395</v>
      </c>
      <c r="EP8" s="21" t="n">
        <v>98.30800000000001</v>
      </c>
      <c r="EQ8" s="21" t="n">
        <v>67.95099999999999</v>
      </c>
      <c r="ER8" s="21" t="n">
        <v>58.937</v>
      </c>
      <c r="ES8" s="21" t="n">
        <v>127.71</v>
      </c>
      <c r="ET8" s="21" t="n">
        <v>90.877</v>
      </c>
      <c r="EU8" s="21" t="n">
        <v>90.93000000000001</v>
      </c>
      <c r="EV8" s="21" t="n">
        <v>99.843</v>
      </c>
      <c r="EW8" s="21" t="n">
        <v>86.703</v>
      </c>
      <c r="EX8" s="21" t="n">
        <v>186.704</v>
      </c>
      <c r="EY8" s="21" t="n">
        <v>119.029</v>
      </c>
      <c r="EZ8" s="21" t="n">
        <v>118.859</v>
      </c>
      <c r="FA8" s="21" t="n">
        <v>143.082</v>
      </c>
      <c r="FB8" s="21" t="n">
        <v>125.689</v>
      </c>
      <c r="FC8" s="21" t="n">
        <v>118.813</v>
      </c>
      <c r="FD8" s="21" t="n">
        <v>122.764</v>
      </c>
      <c r="FE8" s="21" t="n">
        <v>114.615</v>
      </c>
      <c r="FF8" s="21" t="n">
        <v>153.078</v>
      </c>
      <c r="FG8" s="21" t="n">
        <v>76.146</v>
      </c>
      <c r="FH8" s="21" t="n">
        <v>123.332</v>
      </c>
      <c r="FI8" s="21" t="n">
        <v>101.835</v>
      </c>
      <c r="FJ8" s="21" t="n">
        <v>111.017</v>
      </c>
      <c r="FK8" s="21" t="n">
        <v>114.251</v>
      </c>
      <c r="FL8" s="21" t="n">
        <v>107.955</v>
      </c>
      <c r="FM8" s="21" t="n">
        <v>123.227</v>
      </c>
      <c r="FN8" s="21" t="n">
        <v>81.756</v>
      </c>
      <c r="FO8" s="21" t="n">
        <v>105.109</v>
      </c>
      <c r="FP8" s="21" t="n">
        <v>95.67100000000001</v>
      </c>
      <c r="FQ8" s="21" t="n">
        <v>136.973</v>
      </c>
      <c r="FR8" s="21" t="n">
        <v>138.09</v>
      </c>
      <c r="FS8" s="21" t="n">
        <v>151.626</v>
      </c>
      <c r="FT8" s="21" t="n">
        <v>129.096</v>
      </c>
      <c r="FU8" s="21" t="n">
        <v>119.72</v>
      </c>
      <c r="FV8" s="21" t="n">
        <v>161.194</v>
      </c>
      <c r="FW8" s="21" t="n">
        <v>124.15</v>
      </c>
      <c r="FX8" s="21" t="n">
        <v>167.456</v>
      </c>
      <c r="FY8" s="21" t="n">
        <v>204.166</v>
      </c>
      <c r="FZ8" s="21" t="n">
        <v>198.988</v>
      </c>
      <c r="GA8" s="21" t="n">
        <v>101.232</v>
      </c>
      <c r="GB8" s="21" t="n">
        <v>147.462</v>
      </c>
      <c r="GC8" s="21" t="n">
        <v>102.26</v>
      </c>
      <c r="GD8" s="21" t="n">
        <v>144.531</v>
      </c>
      <c r="GE8" s="21" t="n">
        <v>155.793</v>
      </c>
      <c r="GF8" s="21" t="n"/>
      <c r="GG8" s="21" t="n">
        <v>149.078</v>
      </c>
      <c r="GH8" s="21" t="n">
        <v>83.306</v>
      </c>
      <c r="GI8" s="21" t="n">
        <v>129.403</v>
      </c>
      <c r="GJ8" s="21" t="n">
        <v>232.738</v>
      </c>
      <c r="GK8" s="21" t="n">
        <v>231.775</v>
      </c>
      <c r="GL8" s="21" t="n">
        <v>228.567</v>
      </c>
      <c r="GM8" s="21" t="n">
        <v>245.363</v>
      </c>
      <c r="GN8" s="21" t="n">
        <v>236.987</v>
      </c>
      <c r="GO8" s="21" t="n">
        <v>203.466</v>
      </c>
      <c r="GP8" s="21" t="n">
        <v>143.823</v>
      </c>
      <c r="GQ8" s="21" t="n">
        <v>126.205</v>
      </c>
      <c r="GR8" s="21" t="n">
        <v>271.175</v>
      </c>
      <c r="GS8" s="21" t="n">
        <v>168.673</v>
      </c>
      <c r="GT8" s="21" t="n">
        <v>461.665</v>
      </c>
      <c r="GU8" s="21" t="n">
        <v>194.384</v>
      </c>
      <c r="GV8" s="21" t="n">
        <v>215.757</v>
      </c>
      <c r="GW8" s="21" t="n">
        <v>269.963</v>
      </c>
      <c r="GX8" s="21" t="n">
        <v>294.099</v>
      </c>
      <c r="GY8" s="21" t="n">
        <v>153.414</v>
      </c>
      <c r="GZ8" s="21" t="n">
        <v>116.564</v>
      </c>
      <c r="HA8" s="21" t="n">
        <v>61.814</v>
      </c>
      <c r="HB8" s="21" t="n">
        <v>446.953</v>
      </c>
      <c r="HC8" s="21" t="n">
        <v>355.071</v>
      </c>
      <c r="HD8" s="21" t="n">
        <v>115.964</v>
      </c>
      <c r="HE8" s="21" t="n">
        <v>480.064</v>
      </c>
      <c r="HF8" s="21" t="n">
        <v>97.908</v>
      </c>
      <c r="HG8" s="21" t="n">
        <v>476.271</v>
      </c>
      <c r="HH8" s="21" t="n">
        <v>362.23</v>
      </c>
      <c r="HI8" s="21" t="n">
        <v>367.412</v>
      </c>
      <c r="HJ8" s="21" t="n">
        <v>453.082</v>
      </c>
      <c r="HK8" s="21" t="n">
        <v>183.776</v>
      </c>
      <c r="HL8" s="21" t="n">
        <v>228.296</v>
      </c>
      <c r="HM8" s="21" t="n">
        <v>69.069</v>
      </c>
      <c r="HN8" s="21" t="n">
        <v>289.198</v>
      </c>
      <c r="HO8" s="21" t="n">
        <v>284.145</v>
      </c>
      <c r="HP8" s="21" t="n">
        <v>651.4589999999999</v>
      </c>
      <c r="HQ8" s="21" t="n">
        <v>206.673</v>
      </c>
      <c r="HR8" s="21" t="n">
        <v>116.129</v>
      </c>
      <c r="HS8" s="21" t="n">
        <v>99.47799999999999</v>
      </c>
      <c r="HT8" s="21" t="n">
        <v>327.529</v>
      </c>
      <c r="HU8" s="21" t="n">
        <v>422.551</v>
      </c>
      <c r="HV8" s="21" t="n">
        <v>131.959</v>
      </c>
      <c r="HW8" s="21" t="n">
        <v>35.808</v>
      </c>
      <c r="HX8" s="21" t="n">
        <v>166.888</v>
      </c>
      <c r="HY8" s="21" t="n">
        <v>197.183</v>
      </c>
      <c r="HZ8" s="21" t="n">
        <v>150.514</v>
      </c>
      <c r="IA8" s="21" t="n">
        <v>113.649</v>
      </c>
      <c r="IB8" s="21" t="n">
        <v>226.253</v>
      </c>
      <c r="IC8" s="21" t="n">
        <v>181.266</v>
      </c>
      <c r="ID8" s="21" t="n">
        <v>236.568</v>
      </c>
      <c r="IE8" s="21" t="n">
        <v>114.821</v>
      </c>
      <c r="IF8" s="21" t="n">
        <v>151.523</v>
      </c>
      <c r="IG8" s="21" t="n">
        <v>84.676</v>
      </c>
      <c r="IH8" s="21" t="n">
        <v>75.26900000000001</v>
      </c>
      <c r="II8" s="21" t="n">
        <v>55.352</v>
      </c>
      <c r="IJ8" s="21" t="n">
        <v>22.756</v>
      </c>
      <c r="IK8" s="21" t="n">
        <v>47.106</v>
      </c>
      <c r="IL8" s="21" t="n">
        <v>44.702</v>
      </c>
      <c r="IM8" s="21" t="n">
        <v>53.305</v>
      </c>
      <c r="IN8" s="21" t="n">
        <v>97.624</v>
      </c>
      <c r="IO8" s="21" t="n">
        <v>100.601</v>
      </c>
      <c r="IP8" s="21" t="n">
        <v>157.296</v>
      </c>
      <c r="IQ8" s="21" t="n">
        <v>132.608</v>
      </c>
      <c r="IR8" s="21" t="n">
        <v>353.118</v>
      </c>
      <c r="IS8" s="21" t="n">
        <v>168.777</v>
      </c>
      <c r="IT8" s="21" t="n">
        <v>207.389</v>
      </c>
      <c r="IU8" s="21" t="n">
        <v>287.116</v>
      </c>
      <c r="IV8" s="21" t="n">
        <v>240.964</v>
      </c>
      <c r="IW8" s="21" t="n">
        <v>138.002</v>
      </c>
      <c r="IX8" s="21" t="n">
        <v>241.058</v>
      </c>
      <c r="IY8" s="21" t="n">
        <v>645.461</v>
      </c>
      <c r="IZ8" s="21" t="n">
        <v>690.5940000000001</v>
      </c>
      <c r="JA8" s="21" t="n">
        <v>787.449</v>
      </c>
      <c r="JB8" s="21" t="n">
        <v>71.66500000000001</v>
      </c>
      <c r="JC8" s="21" t="n">
        <v>276.595</v>
      </c>
      <c r="JD8" s="21" t="n">
        <v>234.403</v>
      </c>
      <c r="JE8" s="21" t="n">
        <v>79.81999999999999</v>
      </c>
      <c r="JF8" s="21" t="n">
        <v>174.78</v>
      </c>
      <c r="JG8" s="21" t="n">
        <v>274.583</v>
      </c>
      <c r="JH8" s="21" t="n">
        <v>285.39</v>
      </c>
      <c r="JI8" s="21" t="n">
        <v>75.985</v>
      </c>
      <c r="JJ8" s="21" t="n">
        <v>119.277</v>
      </c>
      <c r="JK8" s="21" t="n">
        <v>47.713</v>
      </c>
      <c r="JL8" s="21" t="n">
        <v>77.176</v>
      </c>
      <c r="JM8" s="21" t="n">
        <v>315.68</v>
      </c>
      <c r="JN8" s="21" t="n">
        <v>415.091</v>
      </c>
      <c r="JO8" s="21" t="n">
        <v>58.836</v>
      </c>
      <c r="JP8" s="21" t="n">
        <v>380.929</v>
      </c>
      <c r="JQ8" s="21" t="n">
        <v>220.808</v>
      </c>
      <c r="JR8" s="21" t="n">
        <v>162.404</v>
      </c>
      <c r="JS8" s="21" t="n">
        <v>399.009</v>
      </c>
      <c r="JT8" s="21" t="n">
        <v>323.086</v>
      </c>
      <c r="JU8" s="21" t="n">
        <v>313.132</v>
      </c>
      <c r="JV8" s="21" t="n">
        <v>155.944</v>
      </c>
      <c r="JW8" s="21" t="n">
        <v>317.496</v>
      </c>
      <c r="JX8" s="21" t="n">
        <v>217.155</v>
      </c>
      <c r="JY8" s="21" t="n">
        <v>81.316</v>
      </c>
      <c r="JZ8" s="21" t="n">
        <v>150.69</v>
      </c>
      <c r="KA8" s="21" t="n">
        <v>227.956</v>
      </c>
      <c r="KB8" s="21" t="n">
        <v>242.571</v>
      </c>
      <c r="KC8" s="21" t="n">
        <v>236.623</v>
      </c>
      <c r="KD8" s="21" t="n">
        <v>242.565</v>
      </c>
      <c r="KE8" s="21" t="n">
        <v>224.536</v>
      </c>
      <c r="KF8" s="21" t="n">
        <v>218.63</v>
      </c>
      <c r="KG8" s="21" t="n">
        <v>222.205</v>
      </c>
      <c r="KH8" s="21" t="n">
        <v>226.601</v>
      </c>
      <c r="KI8" s="21" t="n">
        <v>118.506</v>
      </c>
      <c r="KJ8" s="21" t="n">
        <v>183.437</v>
      </c>
      <c r="KK8" s="21" t="n">
        <v>154.584</v>
      </c>
      <c r="KL8" s="21" t="n">
        <v>151.578</v>
      </c>
      <c r="KM8" s="21" t="n">
        <v>146.21</v>
      </c>
      <c r="KN8" s="21" t="n">
        <v>146.642</v>
      </c>
      <c r="KO8" s="21" t="n">
        <v>251.021</v>
      </c>
      <c r="KP8" s="21" t="n">
        <v>109.242</v>
      </c>
      <c r="KQ8" s="21" t="n">
        <v>83.032</v>
      </c>
      <c r="KR8" s="21" t="n">
        <v>109.648</v>
      </c>
      <c r="KS8" s="21" t="n">
        <v>211.623</v>
      </c>
      <c r="KT8" s="21" t="n">
        <v>235.726</v>
      </c>
      <c r="KU8" s="21" t="n">
        <v>93.336</v>
      </c>
      <c r="KV8" s="21" t="n">
        <v>64.599</v>
      </c>
      <c r="KW8" s="21" t="n">
        <v>220.236</v>
      </c>
      <c r="KX8" s="21" t="n">
        <v>197.001</v>
      </c>
      <c r="KY8" s="21" t="n">
        <v>240.203</v>
      </c>
      <c r="KZ8" s="21" t="n">
        <v>194.336</v>
      </c>
      <c r="LA8" s="21" t="n">
        <v>241.576</v>
      </c>
      <c r="LB8" s="21" t="n">
        <v>107.527</v>
      </c>
      <c r="LC8" s="21" t="n">
        <v>339.591</v>
      </c>
      <c r="LD8" s="21" t="n">
        <v>88.553</v>
      </c>
      <c r="LE8" s="21" t="n">
        <v>112.142</v>
      </c>
      <c r="LF8" s="21" t="n">
        <v>290.992</v>
      </c>
      <c r="LG8" s="21" t="n">
        <v>292.022</v>
      </c>
      <c r="LH8" s="21" t="n">
        <v>301.553</v>
      </c>
      <c r="LI8" s="21" t="n">
        <v>277.929</v>
      </c>
      <c r="LJ8" s="21" t="n">
        <v>315.735</v>
      </c>
      <c r="LK8" s="21" t="n">
        <v>106.983</v>
      </c>
      <c r="LL8" s="21" t="n">
        <v>291.671</v>
      </c>
      <c r="LM8" s="21" t="n">
        <v>214.73</v>
      </c>
      <c r="LN8" s="21" t="n">
        <v>61.051</v>
      </c>
      <c r="LO8" s="21" t="n">
        <v>113.212</v>
      </c>
    </row>
    <row r="9">
      <c r="A9" s="22" t="n">
        <v>42217</v>
      </c>
      <c r="B9" s="21" t="n">
        <v>238.033</v>
      </c>
      <c r="C9" s="21" t="n">
        <v>247.295</v>
      </c>
      <c r="D9" s="21" t="n">
        <v>247.742</v>
      </c>
      <c r="E9" s="21" t="n">
        <v>242.864</v>
      </c>
      <c r="F9" s="21" t="n">
        <v>274.374</v>
      </c>
      <c r="G9" s="21" t="n">
        <v>234.042</v>
      </c>
      <c r="H9" s="21" t="n">
        <v>243.664</v>
      </c>
      <c r="I9" s="21" t="n">
        <v>230.311</v>
      </c>
      <c r="J9" s="21" t="n">
        <v>243.125</v>
      </c>
      <c r="K9" s="21" t="n">
        <v>297.521</v>
      </c>
      <c r="L9" s="21" t="n">
        <v>178.101</v>
      </c>
      <c r="M9" s="21" t="n">
        <v>176.529</v>
      </c>
      <c r="N9" s="21" t="n">
        <v>281.285</v>
      </c>
      <c r="O9" s="21" t="n">
        <v>269.976</v>
      </c>
      <c r="P9" s="21" t="n">
        <v>266.696</v>
      </c>
      <c r="Q9" s="21" t="n">
        <v>307.739</v>
      </c>
      <c r="R9" s="21" t="n">
        <v>269.837</v>
      </c>
      <c r="S9" s="21" t="n">
        <v>262.348</v>
      </c>
      <c r="T9" s="21" t="n">
        <v>257.555</v>
      </c>
      <c r="U9" s="21" t="n">
        <v>262.647</v>
      </c>
      <c r="V9" s="21" t="n">
        <v>322.202</v>
      </c>
      <c r="W9" s="21" t="n">
        <v>294.072</v>
      </c>
      <c r="X9" s="21" t="n">
        <v>241.524</v>
      </c>
      <c r="Y9" s="21" t="n">
        <v>216.461</v>
      </c>
      <c r="Z9" s="21" t="n">
        <v>214.4</v>
      </c>
      <c r="AA9" s="21" t="n">
        <v>153.749</v>
      </c>
      <c r="AB9" s="21" t="n">
        <v>274.884</v>
      </c>
      <c r="AC9" s="21" t="n">
        <v>147.247</v>
      </c>
      <c r="AD9" s="21" t="n">
        <v>209.196</v>
      </c>
      <c r="AE9" s="21" t="n">
        <v>233.465</v>
      </c>
      <c r="AF9" s="21" t="n">
        <v>195.467</v>
      </c>
      <c r="AG9" s="21" t="n">
        <v>136.408</v>
      </c>
      <c r="AH9" s="21" t="n">
        <v>228.224</v>
      </c>
      <c r="AI9" s="21" t="n">
        <v>231.719</v>
      </c>
      <c r="AJ9" s="21" t="n">
        <v>147.152</v>
      </c>
      <c r="AK9" s="21" t="n">
        <v>236.987</v>
      </c>
      <c r="AL9" s="21" t="n">
        <v>151.6</v>
      </c>
      <c r="AM9" s="21" t="n">
        <v>253.129</v>
      </c>
      <c r="AN9" s="21" t="n">
        <v>223.913</v>
      </c>
      <c r="AO9" s="21" t="n">
        <v>157.79</v>
      </c>
      <c r="AP9" s="21" t="n">
        <v>287.435</v>
      </c>
      <c r="AQ9" s="21" t="n">
        <v>173.935</v>
      </c>
      <c r="AR9" s="21" t="n">
        <v>147.437</v>
      </c>
      <c r="AS9" s="21" t="n">
        <v>202.323</v>
      </c>
      <c r="AT9" s="21" t="n">
        <v>315.887</v>
      </c>
      <c r="AU9" s="21" t="n">
        <v>330.449</v>
      </c>
      <c r="AV9" s="21" t="n">
        <v>221.436</v>
      </c>
      <c r="AW9" s="21" t="n">
        <v>146.589</v>
      </c>
      <c r="AX9" s="21" t="n">
        <v>211.091</v>
      </c>
      <c r="AY9" s="21" t="n">
        <v>150.681</v>
      </c>
      <c r="AZ9" s="21" t="n">
        <v>231.901</v>
      </c>
      <c r="BA9" s="21" t="n">
        <v>219.497</v>
      </c>
      <c r="BB9" s="21" t="n">
        <v>147.931</v>
      </c>
      <c r="BC9" s="21" t="n">
        <v>293.836</v>
      </c>
      <c r="BD9" s="21" t="n">
        <v>337.161</v>
      </c>
      <c r="BE9" s="21" t="n">
        <v>352.958</v>
      </c>
      <c r="BF9" s="21" t="n">
        <v>316.609</v>
      </c>
      <c r="BG9" s="21" t="n">
        <v>201.747</v>
      </c>
      <c r="BH9" s="21" t="n">
        <v>236.648</v>
      </c>
      <c r="BI9" s="21" t="n">
        <v>489.568</v>
      </c>
      <c r="BJ9" s="21" t="n">
        <v>119.009</v>
      </c>
      <c r="BK9" s="21" t="n">
        <v>319.313</v>
      </c>
      <c r="BL9" s="21" t="n">
        <v>325.937</v>
      </c>
      <c r="BM9" s="21" t="n">
        <v>291.645</v>
      </c>
      <c r="BN9" s="21" t="n">
        <v>325.535</v>
      </c>
      <c r="BO9" s="21" t="n">
        <v>323.943</v>
      </c>
      <c r="BP9" s="21" t="n">
        <v>159.263</v>
      </c>
      <c r="BQ9" s="21" t="n">
        <v>163.691</v>
      </c>
      <c r="BR9" s="21" t="n">
        <v>158.037</v>
      </c>
      <c r="BS9" s="21" t="n">
        <v>172.46</v>
      </c>
      <c r="BT9" s="21" t="n">
        <v>148.376</v>
      </c>
      <c r="BU9" s="21" t="n">
        <v>203.75</v>
      </c>
      <c r="BV9" s="21" t="n">
        <v>164.079</v>
      </c>
      <c r="BW9" s="21" t="n">
        <v>168.541</v>
      </c>
      <c r="BX9" s="21" t="n">
        <v>128.978</v>
      </c>
      <c r="BY9" s="21" t="n">
        <v>160.904</v>
      </c>
      <c r="BZ9" s="21" t="n">
        <v>118.008</v>
      </c>
      <c r="CA9" s="21" t="n">
        <v>120.583</v>
      </c>
      <c r="CB9" s="21" t="n">
        <v>205.349</v>
      </c>
      <c r="CC9" s="21" t="n">
        <v>215.052</v>
      </c>
      <c r="CD9" s="21" t="n">
        <v>128.431</v>
      </c>
      <c r="CE9" s="21" t="n">
        <v>209.781</v>
      </c>
      <c r="CF9" s="21" t="n">
        <v>217.194</v>
      </c>
      <c r="CG9" s="21" t="n">
        <v>190.936</v>
      </c>
      <c r="CH9" s="21" t="n">
        <v>145.817</v>
      </c>
      <c r="CI9" s="21" t="n">
        <v>153.919</v>
      </c>
      <c r="CJ9" s="21" t="n">
        <v>226.507</v>
      </c>
      <c r="CK9" s="21" t="n">
        <v>198.019</v>
      </c>
      <c r="CL9" s="21" t="n">
        <v>229.657</v>
      </c>
      <c r="CM9" s="21" t="n">
        <v>289.938</v>
      </c>
      <c r="CN9" s="21" t="n">
        <v>130.442</v>
      </c>
      <c r="CO9" s="21" t="n">
        <v>159.334</v>
      </c>
      <c r="CP9" s="21" t="n">
        <v>223.992</v>
      </c>
      <c r="CQ9" s="21" t="n">
        <v>240.673</v>
      </c>
      <c r="CR9" s="21" t="n">
        <v>171.072</v>
      </c>
      <c r="CS9" s="21" t="n">
        <v>251.765</v>
      </c>
      <c r="CT9" s="21" t="n">
        <v>236.394</v>
      </c>
      <c r="CU9" s="21" t="n">
        <v>148.325</v>
      </c>
      <c r="CV9" s="21" t="n">
        <v>136.109</v>
      </c>
      <c r="CW9" s="21" t="n">
        <v>136.063</v>
      </c>
      <c r="CX9" s="21" t="n">
        <v>275.336</v>
      </c>
      <c r="CY9" s="21" t="n">
        <v>131.62</v>
      </c>
      <c r="CZ9" s="21" t="n">
        <v>121.255</v>
      </c>
      <c r="DA9" s="21" t="n">
        <v>256.449</v>
      </c>
      <c r="DB9" s="21" t="n">
        <v>159.97</v>
      </c>
      <c r="DC9" s="21" t="n">
        <v>155.047</v>
      </c>
      <c r="DD9" s="21" t="n">
        <v>127.475</v>
      </c>
      <c r="DE9" s="21" t="n">
        <v>180.918</v>
      </c>
      <c r="DF9" s="21" t="n">
        <v>239.789</v>
      </c>
      <c r="DG9" s="21" t="n">
        <v>197.426</v>
      </c>
      <c r="DH9" s="21" t="n">
        <v>215.696</v>
      </c>
      <c r="DI9" s="21" t="n">
        <v>192.415</v>
      </c>
      <c r="DJ9" s="21" t="n">
        <v>207.004</v>
      </c>
      <c r="DK9" s="21" t="n">
        <v>186.143</v>
      </c>
      <c r="DL9" s="21" t="n">
        <v>167.906</v>
      </c>
      <c r="DM9" s="21" t="n">
        <v>330.945</v>
      </c>
      <c r="DN9" s="21" t="n">
        <v>177.83</v>
      </c>
      <c r="DO9" s="21" t="n">
        <v>238.7</v>
      </c>
      <c r="DP9" s="21" t="n">
        <v>279.921</v>
      </c>
      <c r="DQ9" s="21" t="n">
        <v>287.32</v>
      </c>
      <c r="DR9" s="21" t="n">
        <v>152.824</v>
      </c>
      <c r="DS9" s="21" t="n">
        <v>509.354</v>
      </c>
      <c r="DT9" s="21" t="n">
        <v>316.816</v>
      </c>
      <c r="DU9" s="21" t="n">
        <v>287.106</v>
      </c>
      <c r="DV9" s="21" t="n">
        <v>287.067</v>
      </c>
      <c r="DW9" s="21" t="n">
        <v>229.567</v>
      </c>
      <c r="DX9" s="21" t="n">
        <v>193.59</v>
      </c>
      <c r="DY9" s="21" t="n">
        <v>247.622</v>
      </c>
      <c r="DZ9" s="21" t="n">
        <v>243.564</v>
      </c>
      <c r="EA9" s="21" t="n">
        <v>298.559</v>
      </c>
      <c r="EB9" s="21" t="n">
        <v>197.905</v>
      </c>
      <c r="EC9" s="21" t="n">
        <v>208.619</v>
      </c>
      <c r="ED9" s="21" t="n">
        <v>163.107</v>
      </c>
      <c r="EE9" s="21" t="n">
        <v>215.56</v>
      </c>
      <c r="EF9" s="21" t="n">
        <v>497.367</v>
      </c>
      <c r="EG9" s="21" t="n">
        <v>432.967</v>
      </c>
      <c r="EH9" s="21" t="n">
        <v>122.43</v>
      </c>
      <c r="EI9" s="21" t="n">
        <v>60.385</v>
      </c>
      <c r="EJ9" s="21" t="n">
        <v>66.72</v>
      </c>
      <c r="EK9" s="21" t="n">
        <v>47.964</v>
      </c>
      <c r="EL9" s="21" t="n">
        <v>113.508</v>
      </c>
      <c r="EM9" s="21" t="n">
        <v>74.376</v>
      </c>
      <c r="EN9" s="21" t="n">
        <v>78.788</v>
      </c>
      <c r="EO9" s="21" t="n">
        <v>87.46899999999999</v>
      </c>
      <c r="EP9" s="21" t="n">
        <v>99.226</v>
      </c>
      <c r="EQ9" s="21" t="n">
        <v>67.27500000000001</v>
      </c>
      <c r="ER9" s="21" t="n">
        <v>58.971</v>
      </c>
      <c r="ES9" s="21" t="n">
        <v>127.822</v>
      </c>
      <c r="ET9" s="21" t="n">
        <v>90.63800000000001</v>
      </c>
      <c r="EU9" s="21" t="n">
        <v>90.758</v>
      </c>
      <c r="EV9" s="21" t="n">
        <v>99.672</v>
      </c>
      <c r="EW9" s="21" t="n">
        <v>86.449</v>
      </c>
      <c r="EX9" s="21" t="n">
        <v>186.305</v>
      </c>
      <c r="EY9" s="21" t="n">
        <v>118.479</v>
      </c>
      <c r="EZ9" s="21" t="n">
        <v>119.004</v>
      </c>
      <c r="FA9" s="21" t="n">
        <v>145.169</v>
      </c>
      <c r="FB9" s="21" t="n">
        <v>126.166</v>
      </c>
      <c r="FC9" s="21" t="n">
        <v>118.522</v>
      </c>
      <c r="FD9" s="21" t="n">
        <v>123.063</v>
      </c>
      <c r="FE9" s="21" t="n">
        <v>117.654</v>
      </c>
      <c r="FF9" s="21" t="n">
        <v>153.551</v>
      </c>
      <c r="FG9" s="21" t="n">
        <v>76.688</v>
      </c>
      <c r="FH9" s="21" t="n">
        <v>123.02</v>
      </c>
      <c r="FI9" s="21" t="n">
        <v>101.475</v>
      </c>
      <c r="FJ9" s="21" t="n">
        <v>111.709</v>
      </c>
      <c r="FK9" s="21" t="n">
        <v>114.555</v>
      </c>
      <c r="FL9" s="21" t="n">
        <v>108.066</v>
      </c>
      <c r="FM9" s="21" t="n">
        <v>125.793</v>
      </c>
      <c r="FN9" s="21" t="n">
        <v>81.64100000000001</v>
      </c>
      <c r="FO9" s="21" t="n">
        <v>105.05</v>
      </c>
      <c r="FP9" s="21" t="n">
        <v>98.114</v>
      </c>
      <c r="FQ9" s="21" t="n">
        <v>137.723</v>
      </c>
      <c r="FR9" s="21" t="n">
        <v>139.035</v>
      </c>
      <c r="FS9" s="21" t="n">
        <v>151.153</v>
      </c>
      <c r="FT9" s="21" t="n">
        <v>129.84</v>
      </c>
      <c r="FU9" s="21" t="n">
        <v>123.371</v>
      </c>
      <c r="FV9" s="21" t="n">
        <v>159.509</v>
      </c>
      <c r="FW9" s="21" t="n">
        <v>124.52</v>
      </c>
      <c r="FX9" s="21" t="n">
        <v>164.222</v>
      </c>
      <c r="FY9" s="21" t="n">
        <v>202.609</v>
      </c>
      <c r="FZ9" s="21" t="n">
        <v>197.411</v>
      </c>
      <c r="GA9" s="21" t="n">
        <v>101.006</v>
      </c>
      <c r="GB9" s="21" t="n">
        <v>147.41</v>
      </c>
      <c r="GC9" s="21" t="n">
        <v>102.208</v>
      </c>
      <c r="GD9" s="21" t="n">
        <v>144.512</v>
      </c>
      <c r="GE9" s="21" t="n">
        <v>155.751</v>
      </c>
      <c r="GF9" s="21" t="n"/>
      <c r="GG9" s="21" t="n">
        <v>148.295</v>
      </c>
      <c r="GH9" s="21" t="n">
        <v>82.614</v>
      </c>
      <c r="GI9" s="21" t="n">
        <v>130.456</v>
      </c>
      <c r="GJ9" s="21" t="n">
        <v>226.625</v>
      </c>
      <c r="GK9" s="21" t="n">
        <v>225.725</v>
      </c>
      <c r="GL9" s="21" t="n">
        <v>222.34</v>
      </c>
      <c r="GM9" s="21" t="n">
        <v>240.154</v>
      </c>
      <c r="GN9" s="21" t="n">
        <v>232.87</v>
      </c>
      <c r="GO9" s="21" t="n">
        <v>193.692</v>
      </c>
      <c r="GP9" s="21" t="n">
        <v>143.793</v>
      </c>
      <c r="GQ9" s="21" t="n">
        <v>126.009</v>
      </c>
      <c r="GR9" s="21" t="n">
        <v>270.838</v>
      </c>
      <c r="GS9" s="21" t="n">
        <v>168.271</v>
      </c>
      <c r="GT9" s="21" t="n">
        <v>462.985</v>
      </c>
      <c r="GU9" s="21" t="n">
        <v>194.855</v>
      </c>
      <c r="GV9" s="21" t="n">
        <v>216.335</v>
      </c>
      <c r="GW9" s="21" t="n">
        <v>268.935</v>
      </c>
      <c r="GX9" s="21" t="n">
        <v>291.307</v>
      </c>
      <c r="GY9" s="21" t="n">
        <v>155.454</v>
      </c>
      <c r="GZ9" s="21" t="n">
        <v>111.379</v>
      </c>
      <c r="HA9" s="21" t="n">
        <v>62.617</v>
      </c>
      <c r="HB9" s="21" t="n">
        <v>446.612</v>
      </c>
      <c r="HC9" s="21" t="n">
        <v>354.906</v>
      </c>
      <c r="HD9" s="21" t="n">
        <v>115.899</v>
      </c>
      <c r="HE9" s="21" t="n">
        <v>480.055</v>
      </c>
      <c r="HF9" s="21" t="n">
        <v>97.738</v>
      </c>
      <c r="HG9" s="21" t="n">
        <v>475.865</v>
      </c>
      <c r="HH9" s="21" t="n">
        <v>362.017</v>
      </c>
      <c r="HI9" s="21" t="n">
        <v>366.42</v>
      </c>
      <c r="HJ9" s="21" t="n">
        <v>453.873</v>
      </c>
      <c r="HK9" s="21" t="n">
        <v>183.27</v>
      </c>
      <c r="HL9" s="21" t="n">
        <v>228.836</v>
      </c>
      <c r="HM9" s="21" t="n">
        <v>69.14400000000001</v>
      </c>
      <c r="HN9" s="21" t="n">
        <v>289.324</v>
      </c>
      <c r="HO9" s="21" t="n">
        <v>284.319</v>
      </c>
      <c r="HP9" s="21" t="n">
        <v>650.62</v>
      </c>
      <c r="HQ9" s="21" t="n">
        <v>207.163</v>
      </c>
      <c r="HR9" s="21" t="n">
        <v>116.066</v>
      </c>
      <c r="HS9" s="21" t="n">
        <v>99.42</v>
      </c>
      <c r="HT9" s="21" t="n">
        <v>322.468</v>
      </c>
      <c r="HU9" s="21" t="n">
        <v>422.541</v>
      </c>
      <c r="HV9" s="21" t="n">
        <v>131.772</v>
      </c>
      <c r="HW9" s="21" t="n">
        <v>35.749</v>
      </c>
      <c r="HX9" s="21" t="n">
        <v>167.156</v>
      </c>
      <c r="HY9" s="21" t="n">
        <v>197.083</v>
      </c>
      <c r="HZ9" s="21" t="n">
        <v>149.901</v>
      </c>
      <c r="IA9" s="21" t="n">
        <v>114.032</v>
      </c>
      <c r="IB9" s="21" t="n">
        <v>227.37</v>
      </c>
      <c r="IC9" s="21" t="n">
        <v>182.549</v>
      </c>
      <c r="ID9" s="21" t="n">
        <v>237.98</v>
      </c>
      <c r="IE9" s="21" t="n">
        <v>114.975</v>
      </c>
      <c r="IF9" s="21" t="n">
        <v>151.529</v>
      </c>
      <c r="IG9" s="21" t="n">
        <v>84.43000000000001</v>
      </c>
      <c r="IH9" s="21" t="n">
        <v>74.581</v>
      </c>
      <c r="II9" s="21" t="n">
        <v>54.593</v>
      </c>
      <c r="IJ9" s="21" t="n">
        <v>22.492</v>
      </c>
      <c r="IK9" s="21" t="n">
        <v>46.597</v>
      </c>
      <c r="IL9" s="21" t="n">
        <v>44.224</v>
      </c>
      <c r="IM9" s="21" t="n">
        <v>52.742</v>
      </c>
      <c r="IN9" s="21" t="n">
        <v>96.16500000000001</v>
      </c>
      <c r="IO9" s="21" t="n">
        <v>99.999</v>
      </c>
      <c r="IP9" s="21" t="n">
        <v>157.362</v>
      </c>
      <c r="IQ9" s="21" t="n">
        <v>131.751</v>
      </c>
      <c r="IR9" s="21" t="n">
        <v>355.354</v>
      </c>
      <c r="IS9" s="21" t="n">
        <v>168.727</v>
      </c>
      <c r="IT9" s="21" t="n">
        <v>210.365</v>
      </c>
      <c r="IU9" s="21" t="n">
        <v>288.024</v>
      </c>
      <c r="IV9" s="21" t="n">
        <v>241.03</v>
      </c>
      <c r="IW9" s="21" t="n">
        <v>138.237</v>
      </c>
      <c r="IX9" s="21" t="n">
        <v>241.563</v>
      </c>
      <c r="IY9" s="21" t="n">
        <v>649.131</v>
      </c>
      <c r="IZ9" s="21" t="n">
        <v>691.881</v>
      </c>
      <c r="JA9" s="21" t="n">
        <v>788.617</v>
      </c>
      <c r="JB9" s="21" t="n">
        <v>71.735</v>
      </c>
      <c r="JC9" s="21" t="n">
        <v>277.051</v>
      </c>
      <c r="JD9" s="21" t="n">
        <v>234.216</v>
      </c>
      <c r="JE9" s="21" t="n">
        <v>79.928</v>
      </c>
      <c r="JF9" s="21" t="n">
        <v>175.066</v>
      </c>
      <c r="JG9" s="21" t="n">
        <v>275.177</v>
      </c>
      <c r="JH9" s="21" t="n">
        <v>284.503</v>
      </c>
      <c r="JI9" s="21" t="n">
        <v>76.087</v>
      </c>
      <c r="JJ9" s="21" t="n">
        <v>118.118</v>
      </c>
      <c r="JK9" s="21" t="n">
        <v>47.314</v>
      </c>
      <c r="JL9" s="21" t="n">
        <v>76.32599999999999</v>
      </c>
      <c r="JM9" s="21" t="n">
        <v>308.609</v>
      </c>
      <c r="JN9" s="21" t="n">
        <v>415.363</v>
      </c>
      <c r="JO9" s="21" t="n">
        <v>59.073</v>
      </c>
      <c r="JP9" s="21" t="n">
        <v>382.396</v>
      </c>
      <c r="JQ9" s="21" t="n">
        <v>220.752</v>
      </c>
      <c r="JR9" s="21" t="n">
        <v>161.877</v>
      </c>
      <c r="JS9" s="21" t="n">
        <v>400.2</v>
      </c>
      <c r="JT9" s="21" t="n">
        <v>324.413</v>
      </c>
      <c r="JU9" s="21" t="n">
        <v>315.528</v>
      </c>
      <c r="JV9" s="21" t="n">
        <v>156.161</v>
      </c>
      <c r="JW9" s="21" t="n">
        <v>318.244</v>
      </c>
      <c r="JX9" s="21" t="n">
        <v>217.215</v>
      </c>
      <c r="JY9" s="21" t="n">
        <v>81.471</v>
      </c>
      <c r="JZ9" s="21" t="n">
        <v>150.84</v>
      </c>
      <c r="KA9" s="21" t="n">
        <v>227.969</v>
      </c>
      <c r="KB9" s="21" t="n">
        <v>242.873</v>
      </c>
      <c r="KC9" s="21" t="n">
        <v>236.529</v>
      </c>
      <c r="KD9" s="21" t="n">
        <v>242.817</v>
      </c>
      <c r="KE9" s="21" t="n">
        <v>224.301</v>
      </c>
      <c r="KF9" s="21" t="n">
        <v>218.201</v>
      </c>
      <c r="KG9" s="21" t="n">
        <v>222.26</v>
      </c>
      <c r="KH9" s="21" t="n">
        <v>226.705</v>
      </c>
      <c r="KI9" s="21" t="n">
        <v>118.902</v>
      </c>
      <c r="KJ9" s="21" t="n">
        <v>182.94</v>
      </c>
      <c r="KK9" s="21" t="n">
        <v>153.694</v>
      </c>
      <c r="KL9" s="21" t="n">
        <v>150.659</v>
      </c>
      <c r="KM9" s="21" t="n">
        <v>146.044</v>
      </c>
      <c r="KN9" s="21" t="n">
        <v>146.532</v>
      </c>
      <c r="KO9" s="21" t="n">
        <v>251.441</v>
      </c>
      <c r="KP9" s="21" t="n">
        <v>109.057</v>
      </c>
      <c r="KQ9" s="21" t="n">
        <v>82.794</v>
      </c>
      <c r="KR9" s="21" t="n">
        <v>109.881</v>
      </c>
      <c r="KS9" s="21" t="n">
        <v>208.579</v>
      </c>
      <c r="KT9" s="21" t="n">
        <v>229.435</v>
      </c>
      <c r="KU9" s="21" t="n">
        <v>93.021</v>
      </c>
      <c r="KV9" s="21" t="n">
        <v>64.125</v>
      </c>
      <c r="KW9" s="21" t="n">
        <v>219.253</v>
      </c>
      <c r="KX9" s="21" t="n">
        <v>194.899</v>
      </c>
      <c r="KY9" s="21" t="n">
        <v>236.605</v>
      </c>
      <c r="KZ9" s="21" t="n">
        <v>192.097</v>
      </c>
      <c r="LA9" s="21" t="n">
        <v>237.593</v>
      </c>
      <c r="LB9" s="21" t="n">
        <v>107.589</v>
      </c>
      <c r="LC9" s="21" t="n">
        <v>340.182</v>
      </c>
      <c r="LD9" s="21" t="n">
        <v>88.227</v>
      </c>
      <c r="LE9" s="21" t="n">
        <v>112.263</v>
      </c>
      <c r="LF9" s="21" t="n">
        <v>291.553</v>
      </c>
      <c r="LG9" s="21" t="n">
        <v>292.472</v>
      </c>
      <c r="LH9" s="21" t="n">
        <v>302.054</v>
      </c>
      <c r="LI9" s="21" t="n">
        <v>278.498</v>
      </c>
      <c r="LJ9" s="21" t="n">
        <v>316.191</v>
      </c>
      <c r="LK9" s="21" t="n">
        <v>106.79</v>
      </c>
      <c r="LL9" s="21" t="n">
        <v>291.638</v>
      </c>
      <c r="LM9" s="21" t="n">
        <v>214.854</v>
      </c>
      <c r="LN9" s="21" t="n">
        <v>60.452</v>
      </c>
      <c r="LO9" s="21" t="n">
        <v>113.332</v>
      </c>
    </row>
    <row r="10">
      <c r="A10" s="22" t="n">
        <v>42248</v>
      </c>
      <c r="B10" s="21" t="n">
        <v>237.498</v>
      </c>
      <c r="C10" s="21" t="n">
        <v>247.984</v>
      </c>
      <c r="D10" s="21" t="n">
        <v>248.492</v>
      </c>
      <c r="E10" s="21" t="n">
        <v>243.198</v>
      </c>
      <c r="F10" s="21" t="n">
        <v>274.055</v>
      </c>
      <c r="G10" s="21" t="n">
        <v>232.205</v>
      </c>
      <c r="H10" s="21" t="n">
        <v>245.204</v>
      </c>
      <c r="I10" s="21" t="n">
        <v>226.458</v>
      </c>
      <c r="J10" s="21" t="n">
        <v>238.495</v>
      </c>
      <c r="K10" s="21" t="n">
        <v>297.471</v>
      </c>
      <c r="L10" s="21" t="n">
        <v>179.553</v>
      </c>
      <c r="M10" s="21" t="n">
        <v>176.323</v>
      </c>
      <c r="N10" s="21" t="n">
        <v>280.473</v>
      </c>
      <c r="O10" s="21" t="n">
        <v>268.768</v>
      </c>
      <c r="P10" s="21" t="n">
        <v>266.004</v>
      </c>
      <c r="Q10" s="21" t="n">
        <v>306.908</v>
      </c>
      <c r="R10" s="21" t="n">
        <v>267.045</v>
      </c>
      <c r="S10" s="21" t="n">
        <v>261.79</v>
      </c>
      <c r="T10" s="21" t="n">
        <v>257.09</v>
      </c>
      <c r="U10" s="21" t="n">
        <v>263.263</v>
      </c>
      <c r="V10" s="21" t="n">
        <v>321.693</v>
      </c>
      <c r="W10" s="21" t="n">
        <v>292.647</v>
      </c>
      <c r="X10" s="21" t="n">
        <v>238.344</v>
      </c>
      <c r="Y10" s="21" t="n">
        <v>215.448</v>
      </c>
      <c r="Z10" s="21" t="n">
        <v>216.239</v>
      </c>
      <c r="AA10" s="21" t="n">
        <v>155.397</v>
      </c>
      <c r="AB10" s="21" t="n">
        <v>281.843</v>
      </c>
      <c r="AC10" s="21" t="n">
        <v>145.52</v>
      </c>
      <c r="AD10" s="21" t="n">
        <v>208.56</v>
      </c>
      <c r="AE10" s="21" t="n">
        <v>232.44</v>
      </c>
      <c r="AF10" s="21" t="n">
        <v>196.688</v>
      </c>
      <c r="AG10" s="21" t="n">
        <v>136.531</v>
      </c>
      <c r="AH10" s="21" t="n">
        <v>228.846</v>
      </c>
      <c r="AI10" s="21" t="n">
        <v>235.974</v>
      </c>
      <c r="AJ10" s="21" t="n">
        <v>147.515</v>
      </c>
      <c r="AK10" s="21" t="n">
        <v>234.865</v>
      </c>
      <c r="AL10" s="21" t="n">
        <v>150.239</v>
      </c>
      <c r="AM10" s="21" t="n">
        <v>245.638</v>
      </c>
      <c r="AN10" s="21" t="n">
        <v>223.857</v>
      </c>
      <c r="AO10" s="21" t="n">
        <v>155.673</v>
      </c>
      <c r="AP10" s="21" t="n">
        <v>284.477</v>
      </c>
      <c r="AQ10" s="21" t="n">
        <v>172.798</v>
      </c>
      <c r="AR10" s="21" t="n">
        <v>145.934</v>
      </c>
      <c r="AS10" s="21" t="n">
        <v>202.307</v>
      </c>
      <c r="AT10" s="21" t="n">
        <v>310.02</v>
      </c>
      <c r="AU10" s="21" t="n">
        <v>328.556</v>
      </c>
      <c r="AV10" s="21" t="n">
        <v>221.947</v>
      </c>
      <c r="AW10" s="21" t="n">
        <v>146.35</v>
      </c>
      <c r="AX10" s="21" t="n">
        <v>209.977</v>
      </c>
      <c r="AY10" s="21" t="n">
        <v>150.247</v>
      </c>
      <c r="AZ10" s="21" t="n">
        <v>233.184</v>
      </c>
      <c r="BA10" s="21" t="n">
        <v>220.125</v>
      </c>
      <c r="BB10" s="21" t="n">
        <v>148.235</v>
      </c>
      <c r="BC10" s="21" t="n">
        <v>295.811</v>
      </c>
      <c r="BD10" s="21" t="n">
        <v>340.016</v>
      </c>
      <c r="BE10" s="21" t="n">
        <v>355.092</v>
      </c>
      <c r="BF10" s="21" t="n">
        <v>330.357</v>
      </c>
      <c r="BG10" s="21" t="n">
        <v>201.189</v>
      </c>
      <c r="BH10" s="21" t="n">
        <v>235.774</v>
      </c>
      <c r="BI10" s="21" t="n">
        <v>488.184</v>
      </c>
      <c r="BJ10" s="21" t="n">
        <v>119.707</v>
      </c>
      <c r="BK10" s="21" t="n">
        <v>322.923</v>
      </c>
      <c r="BL10" s="21" t="n">
        <v>327.266</v>
      </c>
      <c r="BM10" s="21" t="n">
        <v>307.358</v>
      </c>
      <c r="BN10" s="21" t="n">
        <v>326.199</v>
      </c>
      <c r="BO10" s="21" t="n">
        <v>328.139</v>
      </c>
      <c r="BP10" s="21" t="n">
        <v>159.391</v>
      </c>
      <c r="BQ10" s="21" t="n">
        <v>164.036</v>
      </c>
      <c r="BR10" s="21" t="n">
        <v>160.322</v>
      </c>
      <c r="BS10" s="21" t="n">
        <v>171.671</v>
      </c>
      <c r="BT10" s="21" t="n">
        <v>148.588</v>
      </c>
      <c r="BU10" s="21" t="n">
        <v>203.958</v>
      </c>
      <c r="BV10" s="21" t="n">
        <v>163.34</v>
      </c>
      <c r="BW10" s="21" t="n">
        <v>168.222</v>
      </c>
      <c r="BX10" s="21" t="n">
        <v>129.037</v>
      </c>
      <c r="BY10" s="21" t="n">
        <v>160.585</v>
      </c>
      <c r="BZ10" s="21" t="n">
        <v>118.32</v>
      </c>
      <c r="CA10" s="21" t="n">
        <v>119.73</v>
      </c>
      <c r="CB10" s="21" t="n">
        <v>204.051</v>
      </c>
      <c r="CC10" s="21" t="n">
        <v>213.518</v>
      </c>
      <c r="CD10" s="21" t="n">
        <v>127.241</v>
      </c>
      <c r="CE10" s="21" t="n">
        <v>210.586</v>
      </c>
      <c r="CF10" s="21" t="n">
        <v>218.193</v>
      </c>
      <c r="CG10" s="21" t="n">
        <v>190.534</v>
      </c>
      <c r="CH10" s="21" t="n">
        <v>146.961</v>
      </c>
      <c r="CI10" s="21" t="n">
        <v>153.764</v>
      </c>
      <c r="CJ10" s="21" t="n">
        <v>226.792</v>
      </c>
      <c r="CK10" s="21" t="n">
        <v>199.304</v>
      </c>
      <c r="CL10" s="21" t="n">
        <v>234.032</v>
      </c>
      <c r="CM10" s="21" t="n">
        <v>287.98</v>
      </c>
      <c r="CN10" s="21" t="n">
        <v>130.417</v>
      </c>
      <c r="CO10" s="21" t="n">
        <v>158.85</v>
      </c>
      <c r="CP10" s="21" t="n">
        <v>224.909</v>
      </c>
      <c r="CQ10" s="21" t="n">
        <v>241.619</v>
      </c>
      <c r="CR10" s="21" t="n">
        <v>172.539</v>
      </c>
      <c r="CS10" s="21" t="n">
        <v>252.446</v>
      </c>
      <c r="CT10" s="21" t="n">
        <v>237.654</v>
      </c>
      <c r="CU10" s="21" t="n">
        <v>147.246</v>
      </c>
      <c r="CV10" s="21" t="n">
        <v>139.516</v>
      </c>
      <c r="CW10" s="21" t="n">
        <v>138.162</v>
      </c>
      <c r="CX10" s="21" t="n">
        <v>275.73</v>
      </c>
      <c r="CY10" s="21" t="n">
        <v>131.892</v>
      </c>
      <c r="CZ10" s="21" t="n">
        <v>123.814</v>
      </c>
      <c r="DA10" s="21" t="n">
        <v>257.83</v>
      </c>
      <c r="DB10" s="21" t="n">
        <v>160.355</v>
      </c>
      <c r="DC10" s="21" t="n">
        <v>165.855</v>
      </c>
      <c r="DD10" s="21" t="n">
        <v>138.561</v>
      </c>
      <c r="DE10" s="21" t="n">
        <v>180.822</v>
      </c>
      <c r="DF10" s="21" t="n">
        <v>239.645</v>
      </c>
      <c r="DG10" s="21" t="n">
        <v>196.977</v>
      </c>
      <c r="DH10" s="21" t="n">
        <v>215.603</v>
      </c>
      <c r="DI10" s="21" t="n">
        <v>191.793</v>
      </c>
      <c r="DJ10" s="21" t="n">
        <v>204.921</v>
      </c>
      <c r="DK10" s="21" t="n">
        <v>186.616</v>
      </c>
      <c r="DL10" s="21" t="n">
        <v>167.491</v>
      </c>
      <c r="DM10" s="21" t="n">
        <v>331.323</v>
      </c>
      <c r="DN10" s="21" t="n">
        <v>178.766</v>
      </c>
      <c r="DO10" s="21" t="n">
        <v>239.236</v>
      </c>
      <c r="DP10" s="21" t="n">
        <v>280.737</v>
      </c>
      <c r="DQ10" s="21" t="n">
        <v>288.385</v>
      </c>
      <c r="DR10" s="21" t="n">
        <v>153.279</v>
      </c>
      <c r="DS10" s="21" t="n">
        <v>511.621</v>
      </c>
      <c r="DT10" s="21" t="n">
        <v>317.65</v>
      </c>
      <c r="DU10" s="21" t="n">
        <v>287.882</v>
      </c>
      <c r="DV10" s="21" t="n">
        <v>287.837</v>
      </c>
      <c r="DW10" s="21" t="n">
        <v>229.115</v>
      </c>
      <c r="DX10" s="21" t="n">
        <v>192.923</v>
      </c>
      <c r="DY10" s="21" t="n">
        <v>241.051</v>
      </c>
      <c r="DZ10" s="21" t="n">
        <v>234.226</v>
      </c>
      <c r="EA10" s="21" t="n">
        <v>294.188</v>
      </c>
      <c r="EB10" s="21" t="n">
        <v>197.46</v>
      </c>
      <c r="EC10" s="21" t="n">
        <v>208.449</v>
      </c>
      <c r="ED10" s="21" t="n">
        <v>161.84</v>
      </c>
      <c r="EE10" s="21" t="n">
        <v>216.143</v>
      </c>
      <c r="EF10" s="21" t="n">
        <v>498.81</v>
      </c>
      <c r="EG10" s="21" t="n">
        <v>433.843</v>
      </c>
      <c r="EH10" s="21" t="n">
        <v>122.698</v>
      </c>
      <c r="EI10" s="21" t="n">
        <v>60.57</v>
      </c>
      <c r="EJ10" s="21" t="n">
        <v>66.867</v>
      </c>
      <c r="EK10" s="21" t="n">
        <v>48.254</v>
      </c>
      <c r="EL10" s="21" t="n">
        <v>114.085</v>
      </c>
      <c r="EM10" s="21" t="n">
        <v>75.01000000000001</v>
      </c>
      <c r="EN10" s="21" t="n">
        <v>78.715</v>
      </c>
      <c r="EO10" s="21" t="n">
        <v>87.922</v>
      </c>
      <c r="EP10" s="21" t="n">
        <v>99.68000000000001</v>
      </c>
      <c r="EQ10" s="21" t="n">
        <v>66.685</v>
      </c>
      <c r="ER10" s="21" t="n">
        <v>59.314</v>
      </c>
      <c r="ES10" s="21" t="n">
        <v>129.918</v>
      </c>
      <c r="ET10" s="21" t="n">
        <v>90.17700000000001</v>
      </c>
      <c r="EU10" s="21" t="n">
        <v>90.988</v>
      </c>
      <c r="EV10" s="21" t="n">
        <v>99.541</v>
      </c>
      <c r="EW10" s="21" t="n">
        <v>87.036</v>
      </c>
      <c r="EX10" s="21" t="n">
        <v>186.285</v>
      </c>
      <c r="EY10" s="21" t="n">
        <v>118.776</v>
      </c>
      <c r="EZ10" s="21" t="n">
        <v>118.236</v>
      </c>
      <c r="FA10" s="21" t="n">
        <v>144.477</v>
      </c>
      <c r="FB10" s="21" t="n">
        <v>126.011</v>
      </c>
      <c r="FC10" s="21" t="n">
        <v>119.597</v>
      </c>
      <c r="FD10" s="21" t="n">
        <v>124.858</v>
      </c>
      <c r="FE10" s="21" t="n">
        <v>112.286</v>
      </c>
      <c r="FF10" s="21" t="n">
        <v>151.329</v>
      </c>
      <c r="FG10" s="21" t="n">
        <v>83.027</v>
      </c>
      <c r="FH10" s="21" t="n">
        <v>124.642</v>
      </c>
      <c r="FI10" s="21" t="n">
        <v>101.005</v>
      </c>
      <c r="FJ10" s="21" t="n">
        <v>111.086</v>
      </c>
      <c r="FK10" s="21" t="n">
        <v>114.646</v>
      </c>
      <c r="FL10" s="21" t="n">
        <v>110.363</v>
      </c>
      <c r="FM10" s="21" t="n">
        <v>124.275</v>
      </c>
      <c r="FN10" s="21" t="n">
        <v>81.381</v>
      </c>
      <c r="FO10" s="21" t="n">
        <v>105.33</v>
      </c>
      <c r="FP10" s="21" t="n">
        <v>94.259</v>
      </c>
      <c r="FQ10" s="21" t="n">
        <v>136.939</v>
      </c>
      <c r="FR10" s="21" t="n">
        <v>137.96</v>
      </c>
      <c r="FS10" s="21" t="n">
        <v>149.79</v>
      </c>
      <c r="FT10" s="21" t="n">
        <v>130.223</v>
      </c>
      <c r="FU10" s="21" t="n">
        <v>123.06</v>
      </c>
      <c r="FV10" s="21" t="n">
        <v>160.091</v>
      </c>
      <c r="FW10" s="21" t="n">
        <v>122.521</v>
      </c>
      <c r="FX10" s="21" t="n">
        <v>166.37</v>
      </c>
      <c r="FY10" s="21" t="n">
        <v>197.162</v>
      </c>
      <c r="FZ10" s="21" t="n">
        <v>191.819</v>
      </c>
      <c r="GA10" s="21" t="n">
        <v>100.948</v>
      </c>
      <c r="GB10" s="21" t="n">
        <v>147.611</v>
      </c>
      <c r="GC10" s="21" t="n">
        <v>102.343</v>
      </c>
      <c r="GD10" s="21" t="n">
        <v>144.423</v>
      </c>
      <c r="GE10" s="21" t="n">
        <v>156.054</v>
      </c>
      <c r="GF10" s="21" t="n"/>
      <c r="GG10" s="21" t="n">
        <v>147.554</v>
      </c>
      <c r="GH10" s="21" t="n">
        <v>83.13</v>
      </c>
      <c r="GI10" s="21" t="n">
        <v>127.721</v>
      </c>
      <c r="GJ10" s="21" t="n">
        <v>202.855</v>
      </c>
      <c r="GK10" s="21" t="n">
        <v>201.935</v>
      </c>
      <c r="GL10" s="21" t="n">
        <v>198.02</v>
      </c>
      <c r="GM10" s="21" t="n">
        <v>217.65</v>
      </c>
      <c r="GN10" s="21" t="n">
        <v>212.81</v>
      </c>
      <c r="GO10" s="21" t="n">
        <v>181.955</v>
      </c>
      <c r="GP10" s="21" t="n">
        <v>144.496</v>
      </c>
      <c r="GQ10" s="21" t="n">
        <v>126.455</v>
      </c>
      <c r="GR10" s="21" t="n">
        <v>271.119</v>
      </c>
      <c r="GS10" s="21" t="n">
        <v>168.877</v>
      </c>
      <c r="GT10" s="21" t="n">
        <v>465.511</v>
      </c>
      <c r="GU10" s="21" t="n">
        <v>194.869</v>
      </c>
      <c r="GV10" s="21" t="n">
        <v>216.673</v>
      </c>
      <c r="GW10" s="21" t="n">
        <v>266.617</v>
      </c>
      <c r="GX10" s="21" t="n">
        <v>287.452</v>
      </c>
      <c r="GY10" s="21" t="n">
        <v>155.425</v>
      </c>
      <c r="GZ10" s="21" t="n">
        <v>107.991</v>
      </c>
      <c r="HA10" s="21" t="n">
        <v>62.757</v>
      </c>
      <c r="HB10" s="21" t="n">
        <v>447.648</v>
      </c>
      <c r="HC10" s="21" t="n">
        <v>355.558</v>
      </c>
      <c r="HD10" s="21" t="n">
        <v>116.115</v>
      </c>
      <c r="HE10" s="21" t="n">
        <v>480.913</v>
      </c>
      <c r="HF10" s="21" t="n">
        <v>97.849</v>
      </c>
      <c r="HG10" s="21" t="n">
        <v>477.038</v>
      </c>
      <c r="HH10" s="21" t="n">
        <v>362.76</v>
      </c>
      <c r="HI10" s="21" t="n">
        <v>367.313</v>
      </c>
      <c r="HJ10" s="21" t="n">
        <v>454.63</v>
      </c>
      <c r="HK10" s="21" t="n">
        <v>184.061</v>
      </c>
      <c r="HL10" s="21" t="n">
        <v>228.803</v>
      </c>
      <c r="HM10" s="21" t="n">
        <v>69.271</v>
      </c>
      <c r="HN10" s="21" t="n">
        <v>289.97</v>
      </c>
      <c r="HO10" s="21" t="n">
        <v>285.236</v>
      </c>
      <c r="HP10" s="21" t="n">
        <v>651.542</v>
      </c>
      <c r="HQ10" s="21" t="n">
        <v>207.701</v>
      </c>
      <c r="HR10" s="21" t="n">
        <v>116.165</v>
      </c>
      <c r="HS10" s="21" t="n">
        <v>99.657</v>
      </c>
      <c r="HT10" s="21" t="n">
        <v>319.158</v>
      </c>
      <c r="HU10" s="21" t="n">
        <v>423.601</v>
      </c>
      <c r="HV10" s="21" t="n">
        <v>133.533</v>
      </c>
      <c r="HW10" s="21" t="n">
        <v>35.939</v>
      </c>
      <c r="HX10" s="21" t="n">
        <v>167.921</v>
      </c>
      <c r="HY10" s="21" t="n">
        <v>198.242</v>
      </c>
      <c r="HZ10" s="21" t="n">
        <v>150.955</v>
      </c>
      <c r="IA10" s="21" t="n">
        <v>114.656</v>
      </c>
      <c r="IB10" s="21" t="n">
        <v>227.946</v>
      </c>
      <c r="IC10" s="21" t="n">
        <v>183.053</v>
      </c>
      <c r="ID10" s="21" t="n">
        <v>238.419</v>
      </c>
      <c r="IE10" s="21" t="n">
        <v>114.878</v>
      </c>
      <c r="IF10" s="21" t="n">
        <v>150.496</v>
      </c>
      <c r="IG10" s="21" t="n">
        <v>84.76000000000001</v>
      </c>
      <c r="IH10" s="21" t="n">
        <v>74.89700000000001</v>
      </c>
      <c r="II10" s="21" t="n">
        <v>54.349</v>
      </c>
      <c r="IJ10" s="21" t="n">
        <v>22.434</v>
      </c>
      <c r="IK10" s="21" t="n">
        <v>46.568</v>
      </c>
      <c r="IL10" s="21" t="n">
        <v>44.209</v>
      </c>
      <c r="IM10" s="21" t="n">
        <v>52.726</v>
      </c>
      <c r="IN10" s="21" t="n">
        <v>96.378</v>
      </c>
      <c r="IO10" s="21" t="n">
        <v>99.52500000000001</v>
      </c>
      <c r="IP10" s="21" t="n">
        <v>156.841</v>
      </c>
      <c r="IQ10" s="21" t="n">
        <v>131.427</v>
      </c>
      <c r="IR10" s="21" t="n">
        <v>353.103</v>
      </c>
      <c r="IS10" s="21" t="n">
        <v>168.254</v>
      </c>
      <c r="IT10" s="21" t="n">
        <v>206.563</v>
      </c>
      <c r="IU10" s="21" t="n">
        <v>290.819</v>
      </c>
      <c r="IV10" s="21" t="n">
        <v>242.809</v>
      </c>
      <c r="IW10" s="21" t="n">
        <v>138.681</v>
      </c>
      <c r="IX10" s="21" t="n">
        <v>242.52</v>
      </c>
      <c r="IY10" s="21" t="n">
        <v>652.64</v>
      </c>
      <c r="IZ10" s="21" t="n">
        <v>694.559</v>
      </c>
      <c r="JA10" s="21" t="n">
        <v>792.183</v>
      </c>
      <c r="JB10" s="21" t="n">
        <v>71.98099999999999</v>
      </c>
      <c r="JC10" s="21" t="n">
        <v>277.991</v>
      </c>
      <c r="JD10" s="21" t="n">
        <v>234.45</v>
      </c>
      <c r="JE10" s="21" t="n">
        <v>80.129</v>
      </c>
      <c r="JF10" s="21" t="n">
        <v>175.403</v>
      </c>
      <c r="JG10" s="21" t="n">
        <v>275.763</v>
      </c>
      <c r="JH10" s="21" t="n">
        <v>284.518</v>
      </c>
      <c r="JI10" s="21" t="n">
        <v>76.28</v>
      </c>
      <c r="JJ10" s="21" t="n">
        <v>118.392</v>
      </c>
      <c r="JK10" s="21" t="n">
        <v>47.436</v>
      </c>
      <c r="JL10" s="21" t="n">
        <v>76.664</v>
      </c>
      <c r="JM10" s="21" t="n">
        <v>301.196</v>
      </c>
      <c r="JN10" s="21" t="n">
        <v>416.339</v>
      </c>
      <c r="JO10" s="21" t="n">
        <v>59.167</v>
      </c>
      <c r="JP10" s="21" t="n">
        <v>383.294</v>
      </c>
      <c r="JQ10" s="21" t="n">
        <v>221.315</v>
      </c>
      <c r="JR10" s="21" t="n">
        <v>162.437</v>
      </c>
      <c r="JS10" s="21" t="n">
        <v>401.834</v>
      </c>
      <c r="JT10" s="21" t="n">
        <v>327.485</v>
      </c>
      <c r="JU10" s="21" t="n">
        <v>315.938</v>
      </c>
      <c r="JV10" s="21" t="n">
        <v>156.474</v>
      </c>
      <c r="JW10" s="21" t="n">
        <v>317.358</v>
      </c>
      <c r="JX10" s="21" t="n">
        <v>217.215</v>
      </c>
      <c r="JY10" s="21" t="n">
        <v>81.127</v>
      </c>
      <c r="JZ10" s="21" t="n">
        <v>150.308</v>
      </c>
      <c r="KA10" s="21" t="n">
        <v>227.37</v>
      </c>
      <c r="KB10" s="21" t="n">
        <v>243.409</v>
      </c>
      <c r="KC10" s="21" t="n">
        <v>235.792</v>
      </c>
      <c r="KD10" s="21" t="n">
        <v>243.316</v>
      </c>
      <c r="KE10" s="21" t="n">
        <v>223.226</v>
      </c>
      <c r="KF10" s="21" t="n">
        <v>216.699</v>
      </c>
      <c r="KG10" s="21" t="n">
        <v>222.578</v>
      </c>
      <c r="KH10" s="21" t="n">
        <v>227.084</v>
      </c>
      <c r="KI10" s="21" t="n">
        <v>118.901</v>
      </c>
      <c r="KJ10" s="21" t="n">
        <v>181.17</v>
      </c>
      <c r="KK10" s="21" t="n">
        <v>151.025</v>
      </c>
      <c r="KL10" s="21" t="n">
        <v>147.93</v>
      </c>
      <c r="KM10" s="21" t="n">
        <v>146.142</v>
      </c>
      <c r="KN10" s="21" t="n">
        <v>146.708</v>
      </c>
      <c r="KO10" s="21" t="n">
        <v>252.026</v>
      </c>
      <c r="KP10" s="21" t="n">
        <v>109.148</v>
      </c>
      <c r="KQ10" s="21" t="n">
        <v>82.873</v>
      </c>
      <c r="KR10" s="21" t="n">
        <v>110.257</v>
      </c>
      <c r="KS10" s="21" t="n">
        <v>197.246</v>
      </c>
      <c r="KT10" s="21" t="n">
        <v>206.209</v>
      </c>
      <c r="KU10" s="21" t="n">
        <v>93.26600000000001</v>
      </c>
      <c r="KV10" s="21" t="n">
        <v>64.035</v>
      </c>
      <c r="KW10" s="21" t="n">
        <v>216.666</v>
      </c>
      <c r="KX10" s="21" t="n">
        <v>189.736</v>
      </c>
      <c r="KY10" s="21" t="n">
        <v>228.463</v>
      </c>
      <c r="KZ10" s="21" t="n">
        <v>186.656</v>
      </c>
      <c r="LA10" s="21" t="n">
        <v>228.533</v>
      </c>
      <c r="LB10" s="21" t="n">
        <v>107.778</v>
      </c>
      <c r="LC10" s="21" t="n">
        <v>341.002</v>
      </c>
      <c r="LD10" s="21" t="n">
        <v>88.422</v>
      </c>
      <c r="LE10" s="21" t="n">
        <v>112.28</v>
      </c>
      <c r="LF10" s="21" t="n">
        <v>292.435</v>
      </c>
      <c r="LG10" s="21" t="n">
        <v>293.125</v>
      </c>
      <c r="LH10" s="21" t="n">
        <v>302.814</v>
      </c>
      <c r="LI10" s="21" t="n">
        <v>279.149</v>
      </c>
      <c r="LJ10" s="21" t="n">
        <v>316.75</v>
      </c>
      <c r="LK10" s="21" t="n">
        <v>106.752</v>
      </c>
      <c r="LL10" s="21" t="n">
        <v>291.907</v>
      </c>
      <c r="LM10" s="21" t="n">
        <v>214.746</v>
      </c>
      <c r="LN10" s="21" t="n">
        <v>60.396</v>
      </c>
      <c r="LO10" s="21" t="n">
        <v>113.668</v>
      </c>
    </row>
    <row r="11">
      <c r="A11" s="22" t="n">
        <v>42278</v>
      </c>
      <c r="B11" s="21" t="n">
        <v>237.733</v>
      </c>
      <c r="C11" s="21" t="n">
        <v>248.288</v>
      </c>
      <c r="D11" s="21" t="n">
        <v>248.755</v>
      </c>
      <c r="E11" s="21" t="n">
        <v>243.284</v>
      </c>
      <c r="F11" s="21" t="n">
        <v>276.14</v>
      </c>
      <c r="G11" s="21" t="n">
        <v>235.152</v>
      </c>
      <c r="H11" s="21" t="n">
        <v>244.257</v>
      </c>
      <c r="I11" s="21" t="n">
        <v>231.909</v>
      </c>
      <c r="J11" s="21" t="n">
        <v>241.909</v>
      </c>
      <c r="K11" s="21" t="n">
        <v>298.941</v>
      </c>
      <c r="L11" s="21" t="n">
        <v>179.212</v>
      </c>
      <c r="M11" s="21" t="n">
        <v>177.532</v>
      </c>
      <c r="N11" s="21" t="n">
        <v>281.795</v>
      </c>
      <c r="O11" s="21" t="n">
        <v>270.045</v>
      </c>
      <c r="P11" s="21" t="n">
        <v>267.753</v>
      </c>
      <c r="Q11" s="21" t="n">
        <v>308.121</v>
      </c>
      <c r="R11" s="21" t="n">
        <v>269.992</v>
      </c>
      <c r="S11" s="21" t="n">
        <v>260.802</v>
      </c>
      <c r="T11" s="21" t="n">
        <v>257.164</v>
      </c>
      <c r="U11" s="21" t="n">
        <v>263.319</v>
      </c>
      <c r="V11" s="21" t="n">
        <v>320.252</v>
      </c>
      <c r="W11" s="21" t="n">
        <v>290.435</v>
      </c>
      <c r="X11" s="21" t="n">
        <v>235.869</v>
      </c>
      <c r="Y11" s="21" t="n">
        <v>215.195</v>
      </c>
      <c r="Z11" s="21" t="n">
        <v>217.906</v>
      </c>
      <c r="AA11" s="21" t="n">
        <v>158.355</v>
      </c>
      <c r="AB11" s="21" t="n">
        <v>290.139</v>
      </c>
      <c r="AC11" s="21" t="n">
        <v>145.832</v>
      </c>
      <c r="AD11" s="21" t="n">
        <v>209.692</v>
      </c>
      <c r="AE11" s="21" t="n">
        <v>234.695</v>
      </c>
      <c r="AF11" s="21" t="n">
        <v>196.741</v>
      </c>
      <c r="AG11" s="21" t="n">
        <v>136.565</v>
      </c>
      <c r="AH11" s="21" t="n">
        <v>228.964</v>
      </c>
      <c r="AI11" s="21" t="n">
        <v>234.585</v>
      </c>
      <c r="AJ11" s="21" t="n">
        <v>147.919</v>
      </c>
      <c r="AK11" s="21" t="n">
        <v>236.15</v>
      </c>
      <c r="AL11" s="21" t="n">
        <v>150.875</v>
      </c>
      <c r="AM11" s="21" t="n">
        <v>247.292</v>
      </c>
      <c r="AN11" s="21" t="n">
        <v>225.242</v>
      </c>
      <c r="AO11" s="21" t="n">
        <v>157.578</v>
      </c>
      <c r="AP11" s="21" t="n">
        <v>282.811</v>
      </c>
      <c r="AQ11" s="21" t="n">
        <v>171.792</v>
      </c>
      <c r="AR11" s="21" t="n">
        <v>144.382</v>
      </c>
      <c r="AS11" s="21" t="n">
        <v>202.976</v>
      </c>
      <c r="AT11" s="21" t="n">
        <v>303.745</v>
      </c>
      <c r="AU11" s="21" t="n">
        <v>312.396</v>
      </c>
      <c r="AV11" s="21" t="n">
        <v>220.736</v>
      </c>
      <c r="AW11" s="21" t="n">
        <v>145.133</v>
      </c>
      <c r="AX11" s="21" t="n">
        <v>209.113</v>
      </c>
      <c r="AY11" s="21" t="n">
        <v>148.554</v>
      </c>
      <c r="AZ11" s="21" t="n">
        <v>232.85</v>
      </c>
      <c r="BA11" s="21" t="n">
        <v>220.754</v>
      </c>
      <c r="BB11" s="21" t="n">
        <v>147.861</v>
      </c>
      <c r="BC11" s="21" t="n">
        <v>296.02</v>
      </c>
      <c r="BD11" s="21" t="n">
        <v>341.279</v>
      </c>
      <c r="BE11" s="21" t="n">
        <v>356.823</v>
      </c>
      <c r="BF11" s="21" t="n">
        <v>336.794</v>
      </c>
      <c r="BG11" s="21" t="n">
        <v>200.414</v>
      </c>
      <c r="BH11" s="21" t="n">
        <v>237.77</v>
      </c>
      <c r="BI11" s="21" t="n">
        <v>489.867</v>
      </c>
      <c r="BJ11" s="21" t="n">
        <v>119.779</v>
      </c>
      <c r="BK11" s="21" t="n">
        <v>323.684</v>
      </c>
      <c r="BL11" s="21" t="n">
        <v>328.925</v>
      </c>
      <c r="BM11" s="21" t="n">
        <v>315.072</v>
      </c>
      <c r="BN11" s="21" t="n">
        <v>332.84</v>
      </c>
      <c r="BO11" s="21" t="n">
        <v>327.06</v>
      </c>
      <c r="BP11" s="21" t="n">
        <v>157.868</v>
      </c>
      <c r="BQ11" s="21" t="n">
        <v>161.299</v>
      </c>
      <c r="BR11" s="21" t="n">
        <v>158.808</v>
      </c>
      <c r="BS11" s="21" t="n">
        <v>168.516</v>
      </c>
      <c r="BT11" s="21" t="n">
        <v>147.94</v>
      </c>
      <c r="BU11" s="21" t="n">
        <v>202.332</v>
      </c>
      <c r="BV11" s="21" t="n">
        <v>163.125</v>
      </c>
      <c r="BW11" s="21" t="n">
        <v>168.529</v>
      </c>
      <c r="BX11" s="21" t="n">
        <v>129.597</v>
      </c>
      <c r="BY11" s="21" t="n">
        <v>160.536</v>
      </c>
      <c r="BZ11" s="21" t="n">
        <v>119.508</v>
      </c>
      <c r="CA11" s="21" t="n">
        <v>119.608</v>
      </c>
      <c r="CB11" s="21" t="n">
        <v>203.45</v>
      </c>
      <c r="CC11" s="21" t="n">
        <v>213.249</v>
      </c>
      <c r="CD11" s="21" t="n">
        <v>127.409</v>
      </c>
      <c r="CE11" s="21" t="n">
        <v>210.974</v>
      </c>
      <c r="CF11" s="21" t="n">
        <v>216.697</v>
      </c>
      <c r="CG11" s="21" t="n">
        <v>190.765</v>
      </c>
      <c r="CH11" s="21" t="n">
        <v>146.318</v>
      </c>
      <c r="CI11" s="21" t="n">
        <v>153.088</v>
      </c>
      <c r="CJ11" s="21" t="n">
        <v>228.712</v>
      </c>
      <c r="CK11" s="21" t="n">
        <v>207.451</v>
      </c>
      <c r="CL11" s="21" t="n">
        <v>246.797</v>
      </c>
      <c r="CM11" s="21" t="n">
        <v>293.286</v>
      </c>
      <c r="CN11" s="21" t="n">
        <v>131.299</v>
      </c>
      <c r="CO11" s="21" t="n">
        <v>157.647</v>
      </c>
      <c r="CP11" s="21" t="n">
        <v>225.484</v>
      </c>
      <c r="CQ11" s="21" t="n">
        <v>245.679</v>
      </c>
      <c r="CR11" s="21" t="n">
        <v>171.555</v>
      </c>
      <c r="CS11" s="21" t="n">
        <v>251.257</v>
      </c>
      <c r="CT11" s="21" t="n">
        <v>238.888</v>
      </c>
      <c r="CU11" s="21" t="n">
        <v>149.781</v>
      </c>
      <c r="CV11" s="21" t="n">
        <v>141.617</v>
      </c>
      <c r="CW11" s="21" t="n">
        <v>137.32</v>
      </c>
      <c r="CX11" s="21" t="n">
        <v>276.876</v>
      </c>
      <c r="CY11" s="21" t="n">
        <v>133.219</v>
      </c>
      <c r="CZ11" s="21" t="n">
        <v>124.285</v>
      </c>
      <c r="DA11" s="21" t="n">
        <v>258.363</v>
      </c>
      <c r="DB11" s="21" t="n">
        <v>160.632</v>
      </c>
      <c r="DC11" s="21" t="n">
        <v>167.631</v>
      </c>
      <c r="DD11" s="21" t="n">
        <v>141.218</v>
      </c>
      <c r="DE11" s="21" t="n">
        <v>180.884</v>
      </c>
      <c r="DF11" s="21" t="n">
        <v>240.502</v>
      </c>
      <c r="DG11" s="21" t="n">
        <v>198.169</v>
      </c>
      <c r="DH11" s="21" t="n">
        <v>216.97</v>
      </c>
      <c r="DI11" s="21" t="n">
        <v>192.142</v>
      </c>
      <c r="DJ11" s="21" t="n">
        <v>205.618</v>
      </c>
      <c r="DK11" s="21" t="n">
        <v>186.322</v>
      </c>
      <c r="DL11" s="21" t="n">
        <v>168.802</v>
      </c>
      <c r="DM11" s="21" t="n">
        <v>331.711</v>
      </c>
      <c r="DN11" s="21" t="n">
        <v>178.976</v>
      </c>
      <c r="DO11" s="21" t="n">
        <v>239.593</v>
      </c>
      <c r="DP11" s="21" t="n">
        <v>281.429</v>
      </c>
      <c r="DQ11" s="21" t="n">
        <v>289.236</v>
      </c>
      <c r="DR11" s="21" t="n">
        <v>153.968</v>
      </c>
      <c r="DS11" s="21" t="n">
        <v>513.051</v>
      </c>
      <c r="DT11" s="21" t="n">
        <v>319.205</v>
      </c>
      <c r="DU11" s="21" t="n">
        <v>288.538</v>
      </c>
      <c r="DV11" s="21" t="n">
        <v>288.495</v>
      </c>
      <c r="DW11" s="21" t="n">
        <v>228.562</v>
      </c>
      <c r="DX11" s="21" t="n">
        <v>192.194</v>
      </c>
      <c r="DY11" s="21" t="n">
        <v>240.798</v>
      </c>
      <c r="DZ11" s="21" t="n">
        <v>229.925</v>
      </c>
      <c r="EA11" s="21" t="n">
        <v>299.336</v>
      </c>
      <c r="EB11" s="21" t="n">
        <v>196.686</v>
      </c>
      <c r="EC11" s="21" t="n">
        <v>208.015</v>
      </c>
      <c r="ED11" s="21" t="n">
        <v>160.055</v>
      </c>
      <c r="EE11" s="21" t="n">
        <v>216.55</v>
      </c>
      <c r="EF11" s="21" t="n">
        <v>499.692</v>
      </c>
      <c r="EG11" s="21" t="n">
        <v>434.829</v>
      </c>
      <c r="EH11" s="21" t="n">
        <v>122.524</v>
      </c>
      <c r="EI11" s="21" t="n">
        <v>60.109</v>
      </c>
      <c r="EJ11" s="21" t="n">
        <v>66.36</v>
      </c>
      <c r="EK11" s="21" t="n">
        <v>47.681</v>
      </c>
      <c r="EL11" s="21" t="n">
        <v>114.028</v>
      </c>
      <c r="EM11" s="21" t="n">
        <v>74.515</v>
      </c>
      <c r="EN11" s="21" t="n">
        <v>78.349</v>
      </c>
      <c r="EO11" s="21" t="n">
        <v>86.857</v>
      </c>
      <c r="EP11" s="21" t="n">
        <v>99.28</v>
      </c>
      <c r="EQ11" s="21" t="n">
        <v>67.035</v>
      </c>
      <c r="ER11" s="21" t="n">
        <v>59.132</v>
      </c>
      <c r="ES11" s="21" t="n">
        <v>130.892</v>
      </c>
      <c r="ET11" s="21" t="n">
        <v>89.48</v>
      </c>
      <c r="EU11" s="21" t="n">
        <v>91.379</v>
      </c>
      <c r="EV11" s="21" t="n">
        <v>99.818</v>
      </c>
      <c r="EW11" s="21" t="n">
        <v>87.343</v>
      </c>
      <c r="EX11" s="21" t="n">
        <v>186.046</v>
      </c>
      <c r="EY11" s="21" t="n">
        <v>118.49</v>
      </c>
      <c r="EZ11" s="21" t="n">
        <v>118.268</v>
      </c>
      <c r="FA11" s="21" t="n">
        <v>144.862</v>
      </c>
      <c r="FB11" s="21" t="n">
        <v>125.323</v>
      </c>
      <c r="FC11" s="21" t="n">
        <v>118.908</v>
      </c>
      <c r="FD11" s="21" t="n">
        <v>122.871</v>
      </c>
      <c r="FE11" s="21" t="n">
        <v>111.22</v>
      </c>
      <c r="FF11" s="21" t="n">
        <v>151.72</v>
      </c>
      <c r="FG11" s="21" t="n">
        <v>80.97499999999999</v>
      </c>
      <c r="FH11" s="21" t="n">
        <v>121.686</v>
      </c>
      <c r="FI11" s="21" t="n">
        <v>102.751</v>
      </c>
      <c r="FJ11" s="21" t="n">
        <v>110.443</v>
      </c>
      <c r="FK11" s="21" t="n">
        <v>114.234</v>
      </c>
      <c r="FL11" s="21" t="n">
        <v>112.556</v>
      </c>
      <c r="FM11" s="21" t="n">
        <v>120.985</v>
      </c>
      <c r="FN11" s="21" t="n">
        <v>81.56100000000001</v>
      </c>
      <c r="FO11" s="21" t="n">
        <v>105.554</v>
      </c>
      <c r="FP11" s="21" t="n">
        <v>92.574</v>
      </c>
      <c r="FQ11" s="21" t="n">
        <v>136.5</v>
      </c>
      <c r="FR11" s="21" t="n">
        <v>137.317</v>
      </c>
      <c r="FS11" s="21" t="n">
        <v>149.334</v>
      </c>
      <c r="FT11" s="21" t="n">
        <v>129.709</v>
      </c>
      <c r="FU11" s="21" t="n">
        <v>121.059</v>
      </c>
      <c r="FV11" s="21" t="n">
        <v>159.688</v>
      </c>
      <c r="FW11" s="21" t="n">
        <v>124.274</v>
      </c>
      <c r="FX11" s="21" t="n">
        <v>165.774</v>
      </c>
      <c r="FY11" s="21" t="n">
        <v>196.445</v>
      </c>
      <c r="FZ11" s="21" t="n">
        <v>190.922</v>
      </c>
      <c r="GA11" s="21" t="n">
        <v>100.69</v>
      </c>
      <c r="GB11" s="21" t="n">
        <v>147.481</v>
      </c>
      <c r="GC11" s="21" t="n">
        <v>102.241</v>
      </c>
      <c r="GD11" s="21" t="n">
        <v>144.155</v>
      </c>
      <c r="GE11" s="21" t="n">
        <v>156.036</v>
      </c>
      <c r="GF11" s="21" t="n"/>
      <c r="GG11" s="21" t="n">
        <v>146.397</v>
      </c>
      <c r="GH11" s="21" t="n">
        <v>83.628</v>
      </c>
      <c r="GI11" s="21" t="n">
        <v>126.993</v>
      </c>
      <c r="GJ11" s="21" t="n">
        <v>200.172</v>
      </c>
      <c r="GK11" s="21" t="n">
        <v>199.315</v>
      </c>
      <c r="GL11" s="21" t="n">
        <v>195.538</v>
      </c>
      <c r="GM11" s="21" t="n">
        <v>217.078</v>
      </c>
      <c r="GN11" s="21" t="n">
        <v>209.432</v>
      </c>
      <c r="GO11" s="21" t="n">
        <v>178.449</v>
      </c>
      <c r="GP11" s="21" t="n">
        <v>143.209</v>
      </c>
      <c r="GQ11" s="21" t="n">
        <v>125.575</v>
      </c>
      <c r="GR11" s="21" t="n">
        <v>271.804</v>
      </c>
      <c r="GS11" s="21" t="n">
        <v>168.976</v>
      </c>
      <c r="GT11" s="21" t="n">
        <v>465.078</v>
      </c>
      <c r="GU11" s="21" t="n">
        <v>194.928</v>
      </c>
      <c r="GV11" s="21" t="n">
        <v>217.364</v>
      </c>
      <c r="GW11" s="21" t="n">
        <v>269.07</v>
      </c>
      <c r="GX11" s="21" t="n">
        <v>291.034</v>
      </c>
      <c r="GY11" s="21" t="n">
        <v>157.067</v>
      </c>
      <c r="GZ11" s="21" t="n">
        <v>107.612</v>
      </c>
      <c r="HA11" s="21" t="n">
        <v>63.835</v>
      </c>
      <c r="HB11" s="21" t="n">
        <v>450.681</v>
      </c>
      <c r="HC11" s="21" t="n">
        <v>355.954</v>
      </c>
      <c r="HD11" s="21" t="n">
        <v>116.264</v>
      </c>
      <c r="HE11" s="21" t="n">
        <v>481.585</v>
      </c>
      <c r="HF11" s="21" t="n">
        <v>97.899</v>
      </c>
      <c r="HG11" s="21" t="n">
        <v>481.074</v>
      </c>
      <c r="HH11" s="21" t="n">
        <v>362.852</v>
      </c>
      <c r="HI11" s="21" t="n">
        <v>367.071</v>
      </c>
      <c r="HJ11" s="21" t="n">
        <v>455.241</v>
      </c>
      <c r="HK11" s="21" t="n">
        <v>184.53</v>
      </c>
      <c r="HL11" s="21" t="n">
        <v>228.8</v>
      </c>
      <c r="HM11" s="21" t="n">
        <v>70.504</v>
      </c>
      <c r="HN11" s="21" t="n">
        <v>295.849</v>
      </c>
      <c r="HO11" s="21" t="n">
        <v>291.443</v>
      </c>
      <c r="HP11" s="21" t="n">
        <v>662.421</v>
      </c>
      <c r="HQ11" s="21" t="n">
        <v>208.212</v>
      </c>
      <c r="HR11" s="21" t="n">
        <v>116.393</v>
      </c>
      <c r="HS11" s="21" t="n">
        <v>99.977</v>
      </c>
      <c r="HT11" s="21" t="n">
        <v>315.752</v>
      </c>
      <c r="HU11" s="21" t="n">
        <v>425.953</v>
      </c>
      <c r="HV11" s="21" t="n">
        <v>132.759</v>
      </c>
      <c r="HW11" s="21" t="n">
        <v>35.876</v>
      </c>
      <c r="HX11" s="21" t="n">
        <v>168.071</v>
      </c>
      <c r="HY11" s="21" t="n">
        <v>198.242</v>
      </c>
      <c r="HZ11" s="21" t="n">
        <v>151.697</v>
      </c>
      <c r="IA11" s="21" t="n">
        <v>113.823</v>
      </c>
      <c r="IB11" s="21" t="n">
        <v>228.469</v>
      </c>
      <c r="IC11" s="21" t="n">
        <v>182.611</v>
      </c>
      <c r="ID11" s="21" t="n">
        <v>239.19</v>
      </c>
      <c r="IE11" s="21" t="n">
        <v>114.24</v>
      </c>
      <c r="IF11" s="21" t="n">
        <v>148.147</v>
      </c>
      <c r="IG11" s="21" t="n">
        <v>84.90900000000001</v>
      </c>
      <c r="IH11" s="21" t="n">
        <v>75.29900000000001</v>
      </c>
      <c r="II11" s="21" t="n">
        <v>53.996</v>
      </c>
      <c r="IJ11" s="21" t="n">
        <v>22.242</v>
      </c>
      <c r="IK11" s="21" t="n">
        <v>46.619</v>
      </c>
      <c r="IL11" s="21" t="n">
        <v>44.016</v>
      </c>
      <c r="IM11" s="21" t="n">
        <v>52.695</v>
      </c>
      <c r="IN11" s="21" t="n">
        <v>98.563</v>
      </c>
      <c r="IO11" s="21" t="n">
        <v>100.389</v>
      </c>
      <c r="IP11" s="21" t="n">
        <v>157.402</v>
      </c>
      <c r="IQ11" s="21" t="n">
        <v>130.553</v>
      </c>
      <c r="IR11" s="21" t="n">
        <v>358.455</v>
      </c>
      <c r="IS11" s="21" t="n">
        <v>168.526</v>
      </c>
      <c r="IT11" s="21" t="n">
        <v>209.665</v>
      </c>
      <c r="IU11" s="21" t="n">
        <v>291.078</v>
      </c>
      <c r="IV11" s="21" t="n">
        <v>242.111</v>
      </c>
      <c r="IW11" s="21" t="n">
        <v>138.926</v>
      </c>
      <c r="IX11" s="21" t="n">
        <v>242.936</v>
      </c>
      <c r="IY11" s="21" t="n">
        <v>655.17</v>
      </c>
      <c r="IZ11" s="21" t="n">
        <v>695.652</v>
      </c>
      <c r="JA11" s="21" t="n">
        <v>793.279</v>
      </c>
      <c r="JB11" s="21" t="n">
        <v>72.182</v>
      </c>
      <c r="JC11" s="21" t="n">
        <v>278.413</v>
      </c>
      <c r="JD11" s="21" t="n">
        <v>234.763</v>
      </c>
      <c r="JE11" s="21" t="n">
        <v>80.27500000000001</v>
      </c>
      <c r="JF11" s="21" t="n">
        <v>175.421</v>
      </c>
      <c r="JG11" s="21" t="n">
        <v>276.334</v>
      </c>
      <c r="JH11" s="21" t="n">
        <v>279.426</v>
      </c>
      <c r="JI11" s="21" t="n">
        <v>76.425</v>
      </c>
      <c r="JJ11" s="21" t="n">
        <v>118.681</v>
      </c>
      <c r="JK11" s="21" t="n">
        <v>47.056</v>
      </c>
      <c r="JL11" s="21" t="n">
        <v>77.063</v>
      </c>
      <c r="JM11" s="21" t="n">
        <v>304.896</v>
      </c>
      <c r="JN11" s="21" t="n">
        <v>417.898</v>
      </c>
      <c r="JO11" s="21" t="n">
        <v>59.282</v>
      </c>
      <c r="JP11" s="21" t="n">
        <v>383.849</v>
      </c>
      <c r="JQ11" s="21" t="n">
        <v>222.252</v>
      </c>
      <c r="JR11" s="21" t="n">
        <v>163.474</v>
      </c>
      <c r="JS11" s="21" t="n">
        <v>403.204</v>
      </c>
      <c r="JT11" s="21" t="n">
        <v>327.557</v>
      </c>
      <c r="JU11" s="21" t="n">
        <v>317.797</v>
      </c>
      <c r="JV11" s="21" t="n">
        <v>157.509</v>
      </c>
      <c r="JW11" s="21" t="n">
        <v>319.033</v>
      </c>
      <c r="JX11" s="21" t="n">
        <v>218.149</v>
      </c>
      <c r="JY11" s="21" t="n">
        <v>81.15600000000001</v>
      </c>
      <c r="JZ11" s="21" t="n">
        <v>150.778</v>
      </c>
      <c r="KA11" s="21" t="n">
        <v>227.484</v>
      </c>
      <c r="KB11" s="21" t="n">
        <v>243.83</v>
      </c>
      <c r="KC11" s="21" t="n">
        <v>236.022</v>
      </c>
      <c r="KD11" s="21" t="n">
        <v>243.768</v>
      </c>
      <c r="KE11" s="21" t="n">
        <v>223.283</v>
      </c>
      <c r="KF11" s="21" t="n">
        <v>216.706</v>
      </c>
      <c r="KG11" s="21" t="n">
        <v>222.891</v>
      </c>
      <c r="KH11" s="21" t="n">
        <v>227.482</v>
      </c>
      <c r="KI11" s="21" t="n">
        <v>118.18</v>
      </c>
      <c r="KJ11" s="21" t="n">
        <v>180.851</v>
      </c>
      <c r="KK11" s="21" t="n">
        <v>150.496</v>
      </c>
      <c r="KL11" s="21" t="n">
        <v>147.364</v>
      </c>
      <c r="KM11" s="21" t="n">
        <v>145.888</v>
      </c>
      <c r="KN11" s="21" t="n">
        <v>146.535</v>
      </c>
      <c r="KO11" s="21" t="n">
        <v>252.276</v>
      </c>
      <c r="KP11" s="21" t="n">
        <v>108.995</v>
      </c>
      <c r="KQ11" s="21" t="n">
        <v>82.846</v>
      </c>
      <c r="KR11" s="21" t="n">
        <v>110.473</v>
      </c>
      <c r="KS11" s="21" t="n">
        <v>195.616</v>
      </c>
      <c r="KT11" s="21" t="n">
        <v>203.608</v>
      </c>
      <c r="KU11" s="21" t="n">
        <v>93.038</v>
      </c>
      <c r="KV11" s="21" t="n">
        <v>63.872</v>
      </c>
      <c r="KW11" s="21" t="n">
        <v>216.865</v>
      </c>
      <c r="KX11" s="21" t="n">
        <v>189.861</v>
      </c>
      <c r="KY11" s="21" t="n">
        <v>228.765</v>
      </c>
      <c r="KZ11" s="21" t="n">
        <v>186.705</v>
      </c>
      <c r="LA11" s="21" t="n">
        <v>228.843</v>
      </c>
      <c r="LB11" s="21" t="n">
        <v>108.178</v>
      </c>
      <c r="LC11" s="21" t="n">
        <v>341.898</v>
      </c>
      <c r="LD11" s="21" t="n">
        <v>88.27500000000001</v>
      </c>
      <c r="LE11" s="21" t="n">
        <v>112.711</v>
      </c>
      <c r="LF11" s="21" t="n">
        <v>293.112</v>
      </c>
      <c r="LG11" s="21" t="n">
        <v>293.897</v>
      </c>
      <c r="LH11" s="21" t="n">
        <v>303.738</v>
      </c>
      <c r="LI11" s="21" t="n">
        <v>279.744</v>
      </c>
      <c r="LJ11" s="21" t="n">
        <v>317.537</v>
      </c>
      <c r="LK11" s="21" t="n">
        <v>106.371</v>
      </c>
      <c r="LL11" s="21" t="n">
        <v>292.578</v>
      </c>
      <c r="LM11" s="21" t="n">
        <v>214.526</v>
      </c>
      <c r="LN11" s="21" t="n">
        <v>60.297</v>
      </c>
      <c r="LO11" s="21" t="n">
        <v>114.129</v>
      </c>
    </row>
    <row r="12">
      <c r="A12" s="22" t="n">
        <v>42309</v>
      </c>
      <c r="B12" s="21" t="n">
        <v>238.017</v>
      </c>
      <c r="C12" s="21" t="n">
        <v>248.075</v>
      </c>
      <c r="D12" s="21" t="n">
        <v>248.525</v>
      </c>
      <c r="E12" s="21" t="n">
        <v>242.606</v>
      </c>
      <c r="F12" s="21" t="n">
        <v>274.797</v>
      </c>
      <c r="G12" s="21" t="n">
        <v>233.354</v>
      </c>
      <c r="H12" s="21" t="n">
        <v>242.511</v>
      </c>
      <c r="I12" s="21" t="n">
        <v>229.607</v>
      </c>
      <c r="J12" s="21" t="n">
        <v>240.058</v>
      </c>
      <c r="K12" s="21" t="n">
        <v>297.539</v>
      </c>
      <c r="L12" s="21" t="n">
        <v>179.871</v>
      </c>
      <c r="M12" s="21" t="n">
        <v>177.528</v>
      </c>
      <c r="N12" s="21" t="n">
        <v>279.993</v>
      </c>
      <c r="O12" s="21" t="n">
        <v>268.687</v>
      </c>
      <c r="P12" s="21" t="n">
        <v>267.608</v>
      </c>
      <c r="Q12" s="21" t="n">
        <v>308.83</v>
      </c>
      <c r="R12" s="21" t="n">
        <v>268.063</v>
      </c>
      <c r="S12" s="21" t="n">
        <v>259.094</v>
      </c>
      <c r="T12" s="21" t="n">
        <v>255.968</v>
      </c>
      <c r="U12" s="21" t="n">
        <v>261.732</v>
      </c>
      <c r="V12" s="21" t="n">
        <v>316.47</v>
      </c>
      <c r="W12" s="21" t="n">
        <v>286.893</v>
      </c>
      <c r="X12" s="21" t="n">
        <v>232.795</v>
      </c>
      <c r="Y12" s="21" t="n">
        <v>213.522</v>
      </c>
      <c r="Z12" s="21" t="n">
        <v>216.886</v>
      </c>
      <c r="AA12" s="21" t="n">
        <v>160.722</v>
      </c>
      <c r="AB12" s="21" t="n">
        <v>295.698</v>
      </c>
      <c r="AC12" s="21" t="n">
        <v>145.235</v>
      </c>
      <c r="AD12" s="21" t="n">
        <v>207.129</v>
      </c>
      <c r="AE12" s="21" t="n">
        <v>230.579</v>
      </c>
      <c r="AF12" s="21" t="n">
        <v>193.013</v>
      </c>
      <c r="AG12" s="21" t="n">
        <v>134.311</v>
      </c>
      <c r="AH12" s="21" t="n">
        <v>229.961</v>
      </c>
      <c r="AI12" s="21" t="n">
        <v>235.058</v>
      </c>
      <c r="AJ12" s="21" t="n">
        <v>149.086</v>
      </c>
      <c r="AK12" s="21" t="n">
        <v>235.428</v>
      </c>
      <c r="AL12" s="21" t="n">
        <v>151.342</v>
      </c>
      <c r="AM12" s="21" t="n">
        <v>250.663</v>
      </c>
      <c r="AN12" s="21" t="n">
        <v>225.208</v>
      </c>
      <c r="AO12" s="21" t="n">
        <v>157.56</v>
      </c>
      <c r="AP12" s="21" t="n">
        <v>282.587</v>
      </c>
      <c r="AQ12" s="21" t="n">
        <v>171.494</v>
      </c>
      <c r="AR12" s="21" t="n">
        <v>144.898</v>
      </c>
      <c r="AS12" s="21" t="n">
        <v>202.884</v>
      </c>
      <c r="AT12" s="21" t="n">
        <v>306.276</v>
      </c>
      <c r="AU12" s="21" t="n">
        <v>303.374</v>
      </c>
      <c r="AV12" s="21" t="n">
        <v>219.848</v>
      </c>
      <c r="AW12" s="21" t="n">
        <v>143.72</v>
      </c>
      <c r="AX12" s="21" t="n">
        <v>206.375</v>
      </c>
      <c r="AY12" s="21" t="n">
        <v>147.353</v>
      </c>
      <c r="AZ12" s="21" t="n">
        <v>232.164</v>
      </c>
      <c r="BA12" s="21" t="n">
        <v>219.579</v>
      </c>
      <c r="BB12" s="21" t="n">
        <v>146.471</v>
      </c>
      <c r="BC12" s="21" t="n">
        <v>298.402</v>
      </c>
      <c r="BD12" s="21" t="n">
        <v>344.378</v>
      </c>
      <c r="BE12" s="21" t="n">
        <v>359.981</v>
      </c>
      <c r="BF12" s="21" t="n">
        <v>341.986</v>
      </c>
      <c r="BG12" s="21" t="n">
        <v>200.597</v>
      </c>
      <c r="BH12" s="21" t="n">
        <v>239.085</v>
      </c>
      <c r="BI12" s="21" t="n">
        <v>487.714</v>
      </c>
      <c r="BJ12" s="21" t="n">
        <v>122.269</v>
      </c>
      <c r="BK12" s="21" t="n">
        <v>326.711</v>
      </c>
      <c r="BL12" s="21" t="n">
        <v>325.801</v>
      </c>
      <c r="BM12" s="21" t="n">
        <v>331.356</v>
      </c>
      <c r="BN12" s="21" t="n">
        <v>332.827</v>
      </c>
      <c r="BO12" s="21" t="n">
        <v>331.254</v>
      </c>
      <c r="BP12" s="21" t="n">
        <v>158.575</v>
      </c>
      <c r="BQ12" s="21" t="n">
        <v>162.556</v>
      </c>
      <c r="BR12" s="21" t="n">
        <v>159.332</v>
      </c>
      <c r="BS12" s="21" t="n">
        <v>168.955</v>
      </c>
      <c r="BT12" s="21" t="n">
        <v>148.137</v>
      </c>
      <c r="BU12" s="21" t="n">
        <v>202.573</v>
      </c>
      <c r="BV12" s="21" t="n">
        <v>163.869</v>
      </c>
      <c r="BW12" s="21" t="n">
        <v>167.903</v>
      </c>
      <c r="BX12" s="21" t="n">
        <v>129.063</v>
      </c>
      <c r="BY12" s="21" t="n">
        <v>160.386</v>
      </c>
      <c r="BZ12" s="21" t="n">
        <v>118.142</v>
      </c>
      <c r="CA12" s="21" t="n">
        <v>119.123</v>
      </c>
      <c r="CB12" s="21" t="n">
        <v>201.762</v>
      </c>
      <c r="CC12" s="21" t="n">
        <v>212.173</v>
      </c>
      <c r="CD12" s="21" t="n">
        <v>128.314</v>
      </c>
      <c r="CE12" s="21" t="n">
        <v>210.089</v>
      </c>
      <c r="CF12" s="21" t="n">
        <v>215.569</v>
      </c>
      <c r="CG12" s="21" t="n">
        <v>189.533</v>
      </c>
      <c r="CH12" s="21" t="n">
        <v>146.485</v>
      </c>
      <c r="CI12" s="21" t="n">
        <v>153.375</v>
      </c>
      <c r="CJ12" s="21" t="n">
        <v>227.25</v>
      </c>
      <c r="CK12" s="21" t="n">
        <v>203.06</v>
      </c>
      <c r="CL12" s="21" t="n">
        <v>237.473</v>
      </c>
      <c r="CM12" s="21" t="n">
        <v>294.129</v>
      </c>
      <c r="CN12" s="21" t="n">
        <v>131.01</v>
      </c>
      <c r="CO12" s="21" t="n">
        <v>158.001</v>
      </c>
      <c r="CP12" s="21" t="n">
        <v>224.664</v>
      </c>
      <c r="CQ12" s="21" t="n">
        <v>241.066</v>
      </c>
      <c r="CR12" s="21" t="n">
        <v>171.13</v>
      </c>
      <c r="CS12" s="21" t="n">
        <v>251.557</v>
      </c>
      <c r="CT12" s="21" t="n">
        <v>238.918</v>
      </c>
      <c r="CU12" s="21" t="n">
        <v>150.136</v>
      </c>
      <c r="CV12" s="21" t="n">
        <v>138.744</v>
      </c>
      <c r="CW12" s="21" t="n">
        <v>136.397</v>
      </c>
      <c r="CX12" s="21" t="n">
        <v>274.324</v>
      </c>
      <c r="CY12" s="21" t="n">
        <v>132.161</v>
      </c>
      <c r="CZ12" s="21" t="n">
        <v>125.455</v>
      </c>
      <c r="DA12" s="21" t="n">
        <v>258.805</v>
      </c>
      <c r="DB12" s="21" t="n">
        <v>160.888</v>
      </c>
      <c r="DC12" s="21" t="n">
        <v>167.336</v>
      </c>
      <c r="DD12" s="21" t="n">
        <v>140.9</v>
      </c>
      <c r="DE12" s="21" t="n">
        <v>181.63</v>
      </c>
      <c r="DF12" s="21" t="n">
        <v>240.531</v>
      </c>
      <c r="DG12" s="21" t="n">
        <v>198.045</v>
      </c>
      <c r="DH12" s="21" t="n">
        <v>216.21</v>
      </c>
      <c r="DI12" s="21" t="n">
        <v>192.298</v>
      </c>
      <c r="DJ12" s="21" t="n">
        <v>206.706</v>
      </c>
      <c r="DK12" s="21" t="n">
        <v>185.315</v>
      </c>
      <c r="DL12" s="21" t="n">
        <v>168.592</v>
      </c>
      <c r="DM12" s="21" t="n">
        <v>332.004</v>
      </c>
      <c r="DN12" s="21" t="n">
        <v>179.672</v>
      </c>
      <c r="DO12" s="21" t="n">
        <v>240.001</v>
      </c>
      <c r="DP12" s="21" t="n">
        <v>282.129</v>
      </c>
      <c r="DQ12" s="21" t="n">
        <v>289.953</v>
      </c>
      <c r="DR12" s="21" t="n">
        <v>155.576</v>
      </c>
      <c r="DS12" s="21" t="n">
        <v>514.101</v>
      </c>
      <c r="DT12" s="21" t="n">
        <v>323.163</v>
      </c>
      <c r="DU12" s="21" t="n">
        <v>289.169</v>
      </c>
      <c r="DV12" s="21" t="n">
        <v>289.126</v>
      </c>
      <c r="DW12" s="21" t="n">
        <v>228.148</v>
      </c>
      <c r="DX12" s="21" t="n">
        <v>191.571</v>
      </c>
      <c r="DY12" s="21" t="n">
        <v>241.288</v>
      </c>
      <c r="DZ12" s="21" t="n">
        <v>230.349</v>
      </c>
      <c r="EA12" s="21" t="n">
        <v>296.73</v>
      </c>
      <c r="EB12" s="21" t="n">
        <v>195.996</v>
      </c>
      <c r="EC12" s="21" t="n">
        <v>207.902</v>
      </c>
      <c r="ED12" s="21" t="n">
        <v>157.639</v>
      </c>
      <c r="EE12" s="21" t="n">
        <v>217.124</v>
      </c>
      <c r="EF12" s="21" t="n">
        <v>500.869</v>
      </c>
      <c r="EG12" s="21" t="n">
        <v>436.428</v>
      </c>
      <c r="EH12" s="21" t="n">
        <v>122.497</v>
      </c>
      <c r="EI12" s="21" t="n">
        <v>60.288</v>
      </c>
      <c r="EJ12" s="21" t="n">
        <v>66.982</v>
      </c>
      <c r="EK12" s="21" t="n">
        <v>47.788</v>
      </c>
      <c r="EL12" s="21" t="n">
        <v>113.993</v>
      </c>
      <c r="EM12" s="21" t="n">
        <v>74.501</v>
      </c>
      <c r="EN12" s="21" t="n">
        <v>78.054</v>
      </c>
      <c r="EO12" s="21" t="n">
        <v>86.80200000000001</v>
      </c>
      <c r="EP12" s="21" t="n">
        <v>98.575</v>
      </c>
      <c r="EQ12" s="21" t="n">
        <v>66.965</v>
      </c>
      <c r="ER12" s="21" t="n">
        <v>58.251</v>
      </c>
      <c r="ES12" s="21" t="n">
        <v>131.406</v>
      </c>
      <c r="ET12" s="21" t="n">
        <v>88.98099999999999</v>
      </c>
      <c r="EU12" s="21" t="n">
        <v>90.82299999999999</v>
      </c>
      <c r="EV12" s="21" t="n">
        <v>98.84399999999999</v>
      </c>
      <c r="EW12" s="21" t="n">
        <v>86.88800000000001</v>
      </c>
      <c r="EX12" s="21" t="n">
        <v>186.573</v>
      </c>
      <c r="EY12" s="21" t="n">
        <v>118.597</v>
      </c>
      <c r="EZ12" s="21" t="n">
        <v>118.708</v>
      </c>
      <c r="FA12" s="21" t="n">
        <v>144.616</v>
      </c>
      <c r="FB12" s="21" t="n">
        <v>125.724</v>
      </c>
      <c r="FC12" s="21" t="n">
        <v>119.699</v>
      </c>
      <c r="FD12" s="21" t="n">
        <v>123.308</v>
      </c>
      <c r="FE12" s="21" t="n">
        <v>109.207</v>
      </c>
      <c r="FF12" s="21" t="n">
        <v>155.739</v>
      </c>
      <c r="FG12" s="21" t="n">
        <v>80.297</v>
      </c>
      <c r="FH12" s="21" t="n">
        <v>121.76</v>
      </c>
      <c r="FI12" s="21" t="n">
        <v>105.965</v>
      </c>
      <c r="FJ12" s="21" t="n">
        <v>110.648</v>
      </c>
      <c r="FK12" s="21" t="n">
        <v>114.167</v>
      </c>
      <c r="FL12" s="21" t="n">
        <v>110.338</v>
      </c>
      <c r="FM12" s="21" t="n">
        <v>121.012</v>
      </c>
      <c r="FN12" s="21" t="n">
        <v>81.881</v>
      </c>
      <c r="FO12" s="21" t="n">
        <v>104.676</v>
      </c>
      <c r="FP12" s="21" t="n">
        <v>94.01300000000001</v>
      </c>
      <c r="FQ12" s="21" t="n">
        <v>136.743</v>
      </c>
      <c r="FR12" s="21" t="n">
        <v>137.809</v>
      </c>
      <c r="FS12" s="21" t="n">
        <v>149.482</v>
      </c>
      <c r="FT12" s="21" t="n">
        <v>129.356</v>
      </c>
      <c r="FU12" s="21" t="n">
        <v>123.245</v>
      </c>
      <c r="FV12" s="21" t="n">
        <v>158.68</v>
      </c>
      <c r="FW12" s="21" t="n">
        <v>122.608</v>
      </c>
      <c r="FX12" s="21" t="n">
        <v>163.532</v>
      </c>
      <c r="FY12" s="21" t="n">
        <v>196.644</v>
      </c>
      <c r="FZ12" s="21" t="n">
        <v>191.045</v>
      </c>
      <c r="GA12" s="21" t="n">
        <v>100.414</v>
      </c>
      <c r="GB12" s="21" t="n">
        <v>147.466</v>
      </c>
      <c r="GC12" s="21" t="n">
        <v>102.213</v>
      </c>
      <c r="GD12" s="21" t="n">
        <v>143.917</v>
      </c>
      <c r="GE12" s="21" t="n">
        <v>156.376</v>
      </c>
      <c r="GF12" s="21" t="n"/>
      <c r="GG12" s="21" t="n">
        <v>144.85</v>
      </c>
      <c r="GH12" s="21" t="n">
        <v>84.495</v>
      </c>
      <c r="GI12" s="21" t="n">
        <v>123.689</v>
      </c>
      <c r="GJ12" s="21" t="n">
        <v>199.81</v>
      </c>
      <c r="GK12" s="21" t="n">
        <v>198.984</v>
      </c>
      <c r="GL12" s="21" t="n">
        <v>194.957</v>
      </c>
      <c r="GM12" s="21" t="n">
        <v>215.282</v>
      </c>
      <c r="GN12" s="21" t="n">
        <v>209.317</v>
      </c>
      <c r="GO12" s="21" t="n">
        <v>176.722</v>
      </c>
      <c r="GP12" s="21" t="n">
        <v>143.967</v>
      </c>
      <c r="GQ12" s="21" t="n">
        <v>126.106</v>
      </c>
      <c r="GR12" s="21" t="n">
        <v>272.09</v>
      </c>
      <c r="GS12" s="21" t="n">
        <v>168.981</v>
      </c>
      <c r="GT12" s="21" t="n">
        <v>470.425</v>
      </c>
      <c r="GU12" s="21" t="n">
        <v>195.119</v>
      </c>
      <c r="GV12" s="21" t="n">
        <v>217.442</v>
      </c>
      <c r="GW12" s="21" t="n">
        <v>270.559</v>
      </c>
      <c r="GX12" s="21" t="n">
        <v>293.715</v>
      </c>
      <c r="GY12" s="21" t="n">
        <v>155.646</v>
      </c>
      <c r="GZ12" s="21" t="n">
        <v>108.734</v>
      </c>
      <c r="HA12" s="21" t="n">
        <v>64.008</v>
      </c>
      <c r="HB12" s="21" t="n">
        <v>452.225</v>
      </c>
      <c r="HC12" s="21" t="n">
        <v>357.033</v>
      </c>
      <c r="HD12" s="21" t="n">
        <v>116.651</v>
      </c>
      <c r="HE12" s="21" t="n">
        <v>483.744</v>
      </c>
      <c r="HF12" s="21" t="n">
        <v>97.673</v>
      </c>
      <c r="HG12" s="21" t="n">
        <v>482.778</v>
      </c>
      <c r="HH12" s="21" t="n">
        <v>365.157</v>
      </c>
      <c r="HI12" s="21" t="n">
        <v>371.024</v>
      </c>
      <c r="HJ12" s="21" t="n">
        <v>457.14</v>
      </c>
      <c r="HK12" s="21" t="n">
        <v>183.546</v>
      </c>
      <c r="HL12" s="21" t="n">
        <v>228.365</v>
      </c>
      <c r="HM12" s="21" t="n">
        <v>70.46899999999999</v>
      </c>
      <c r="HN12" s="21" t="n">
        <v>295.481</v>
      </c>
      <c r="HO12" s="21" t="n">
        <v>291.02</v>
      </c>
      <c r="HP12" s="21" t="n">
        <v>661.568</v>
      </c>
      <c r="HQ12" s="21" t="n">
        <v>208.859</v>
      </c>
      <c r="HR12" s="21" t="n">
        <v>116.15</v>
      </c>
      <c r="HS12" s="21" t="n">
        <v>99.94</v>
      </c>
      <c r="HT12" s="21" t="n">
        <v>313.805</v>
      </c>
      <c r="HU12" s="21" t="n">
        <v>426.391</v>
      </c>
      <c r="HV12" s="21" t="n">
        <v>131.885</v>
      </c>
      <c r="HW12" s="21" t="n">
        <v>36.046</v>
      </c>
      <c r="HX12" s="21" t="n">
        <v>167.45</v>
      </c>
      <c r="HY12" s="21" t="n">
        <v>196.667</v>
      </c>
      <c r="HZ12" s="21" t="n">
        <v>151.724</v>
      </c>
      <c r="IA12" s="21" t="n">
        <v>111.86</v>
      </c>
      <c r="IB12" s="21" t="n">
        <v>229.151</v>
      </c>
      <c r="IC12" s="21" t="n">
        <v>183.181</v>
      </c>
      <c r="ID12" s="21" t="n">
        <v>239.888</v>
      </c>
      <c r="IE12" s="21" t="n">
        <v>114.033</v>
      </c>
      <c r="IF12" s="21" t="n">
        <v>147.582</v>
      </c>
      <c r="IG12" s="21" t="n">
        <v>84.806</v>
      </c>
      <c r="IH12" s="21" t="n">
        <v>74.797</v>
      </c>
      <c r="II12" s="21" t="n">
        <v>53.686</v>
      </c>
      <c r="IJ12" s="21" t="n">
        <v>22.127</v>
      </c>
      <c r="IK12" s="21" t="n">
        <v>46.248</v>
      </c>
      <c r="IL12" s="21" t="n">
        <v>43.624</v>
      </c>
      <c r="IM12" s="21" t="n">
        <v>52.504</v>
      </c>
      <c r="IN12" s="21" t="n">
        <v>98.06999999999999</v>
      </c>
      <c r="IO12" s="21" t="n">
        <v>99.923</v>
      </c>
      <c r="IP12" s="21" t="n">
        <v>157.087</v>
      </c>
      <c r="IQ12" s="21" t="n">
        <v>129.403</v>
      </c>
      <c r="IR12" s="21" t="n">
        <v>359.2</v>
      </c>
      <c r="IS12" s="21" t="n">
        <v>169.546</v>
      </c>
      <c r="IT12" s="21" t="n">
        <v>208.325</v>
      </c>
      <c r="IU12" s="21" t="n">
        <v>292.013</v>
      </c>
      <c r="IV12" s="21" t="n">
        <v>242.63</v>
      </c>
      <c r="IW12" s="21" t="n">
        <v>139.235</v>
      </c>
      <c r="IX12" s="21" t="n">
        <v>243.567</v>
      </c>
      <c r="IY12" s="21" t="n">
        <v>657.153</v>
      </c>
      <c r="IZ12" s="21" t="n">
        <v>697.4400000000001</v>
      </c>
      <c r="JA12" s="21" t="n">
        <v>795.135</v>
      </c>
      <c r="JB12" s="21" t="n">
        <v>72.464</v>
      </c>
      <c r="JC12" s="21" t="n">
        <v>279.15</v>
      </c>
      <c r="JD12" s="21" t="n">
        <v>235.177</v>
      </c>
      <c r="JE12" s="21" t="n">
        <v>80.425</v>
      </c>
      <c r="JF12" s="21" t="n">
        <v>175.945</v>
      </c>
      <c r="JG12" s="21" t="n">
        <v>276.839</v>
      </c>
      <c r="JH12" s="21" t="n">
        <v>283.286</v>
      </c>
      <c r="JI12" s="21" t="n">
        <v>76.56399999999999</v>
      </c>
      <c r="JJ12" s="21" t="n">
        <v>118.229</v>
      </c>
      <c r="JK12" s="21" t="n">
        <v>46.741</v>
      </c>
      <c r="JL12" s="21" t="n">
        <v>77.027</v>
      </c>
      <c r="JM12" s="21" t="n">
        <v>298.55</v>
      </c>
      <c r="JN12" s="21" t="n">
        <v>418.422</v>
      </c>
      <c r="JO12" s="21" t="n">
        <v>59.519</v>
      </c>
      <c r="JP12" s="21" t="n">
        <v>385.382</v>
      </c>
      <c r="JQ12" s="21" t="n">
        <v>222.367</v>
      </c>
      <c r="JR12" s="21" t="n">
        <v>163.143</v>
      </c>
      <c r="JS12" s="21" t="n">
        <v>404.087</v>
      </c>
      <c r="JT12" s="21" t="n">
        <v>328.393</v>
      </c>
      <c r="JU12" s="21" t="n">
        <v>317.847</v>
      </c>
      <c r="JV12" s="21" t="n">
        <v>157.872</v>
      </c>
      <c r="JW12" s="21" t="n">
        <v>319.264</v>
      </c>
      <c r="JX12" s="21" t="n">
        <v>218.149</v>
      </c>
      <c r="JY12" s="21" t="n">
        <v>80.562</v>
      </c>
      <c r="JZ12" s="21" t="n">
        <v>150.087</v>
      </c>
      <c r="KA12" s="21" t="n">
        <v>227.713</v>
      </c>
      <c r="KB12" s="21" t="n">
        <v>244.196</v>
      </c>
      <c r="KC12" s="21" t="n">
        <v>236.388</v>
      </c>
      <c r="KD12" s="21" t="n">
        <v>244.241</v>
      </c>
      <c r="KE12" s="21" t="n">
        <v>223.407</v>
      </c>
      <c r="KF12" s="21" t="n">
        <v>216.913</v>
      </c>
      <c r="KG12" s="21" t="n">
        <v>223.233</v>
      </c>
      <c r="KH12" s="21" t="n">
        <v>227.934</v>
      </c>
      <c r="KI12" s="21" t="n">
        <v>118.604</v>
      </c>
      <c r="KJ12" s="21" t="n">
        <v>180.652</v>
      </c>
      <c r="KK12" s="21" t="n">
        <v>150.314</v>
      </c>
      <c r="KL12" s="21" t="n">
        <v>147.177</v>
      </c>
      <c r="KM12" s="21" t="n">
        <v>145.723</v>
      </c>
      <c r="KN12" s="21" t="n">
        <v>146.497</v>
      </c>
      <c r="KO12" s="21" t="n">
        <v>251.772</v>
      </c>
      <c r="KP12" s="21" t="n">
        <v>108.765</v>
      </c>
      <c r="KQ12" s="21" t="n">
        <v>82.40000000000001</v>
      </c>
      <c r="KR12" s="21" t="n">
        <v>110.795</v>
      </c>
      <c r="KS12" s="21" t="n">
        <v>195.114</v>
      </c>
      <c r="KT12" s="21" t="n">
        <v>203.28</v>
      </c>
      <c r="KU12" s="21" t="n">
        <v>92.956</v>
      </c>
      <c r="KV12" s="21" t="n">
        <v>63.241</v>
      </c>
      <c r="KW12" s="21" t="n">
        <v>217.002</v>
      </c>
      <c r="KX12" s="21" t="n">
        <v>190.069</v>
      </c>
      <c r="KY12" s="21" t="n">
        <v>228.947</v>
      </c>
      <c r="KZ12" s="21" t="n">
        <v>186.923</v>
      </c>
      <c r="LA12" s="21" t="n">
        <v>229.011</v>
      </c>
      <c r="LB12" s="21" t="n">
        <v>108.185</v>
      </c>
      <c r="LC12" s="21" t="n">
        <v>342.519</v>
      </c>
      <c r="LD12" s="21" t="n">
        <v>87.82599999999999</v>
      </c>
      <c r="LE12" s="21" t="n">
        <v>112.649</v>
      </c>
      <c r="LF12" s="21" t="n">
        <v>293.884</v>
      </c>
      <c r="LG12" s="21" t="n">
        <v>294.62</v>
      </c>
      <c r="LH12" s="21" t="n">
        <v>304.599</v>
      </c>
      <c r="LI12" s="21" t="n">
        <v>280.4</v>
      </c>
      <c r="LJ12" s="21" t="n">
        <v>318.388</v>
      </c>
      <c r="LK12" s="21" t="n">
        <v>106.08</v>
      </c>
      <c r="LL12" s="21" t="n">
        <v>294.481</v>
      </c>
      <c r="LM12" s="21" t="n">
        <v>214.852</v>
      </c>
      <c r="LN12" s="21" t="n">
        <v>59.999</v>
      </c>
      <c r="LO12" s="21" t="n">
        <v>114.177</v>
      </c>
    </row>
    <row r="13">
      <c r="A13" s="22" t="n">
        <v>42339</v>
      </c>
      <c r="B13" s="21" t="n">
        <v>237.761</v>
      </c>
      <c r="C13" s="21" t="n">
        <v>247.761</v>
      </c>
      <c r="D13" s="21" t="n">
        <v>248.206</v>
      </c>
      <c r="E13" s="21" t="n">
        <v>241.88</v>
      </c>
      <c r="F13" s="21" t="n">
        <v>274.479</v>
      </c>
      <c r="G13" s="21" t="n">
        <v>233.77</v>
      </c>
      <c r="H13" s="21" t="n">
        <v>243.107</v>
      </c>
      <c r="I13" s="21" t="n">
        <v>231.211</v>
      </c>
      <c r="J13" s="21" t="n">
        <v>238.446</v>
      </c>
      <c r="K13" s="21" t="n">
        <v>296.472</v>
      </c>
      <c r="L13" s="21" t="n">
        <v>179.58</v>
      </c>
      <c r="M13" s="21" t="n">
        <v>176.702</v>
      </c>
      <c r="N13" s="21" t="n">
        <v>281.448</v>
      </c>
      <c r="O13" s="21" t="n">
        <v>268.512</v>
      </c>
      <c r="P13" s="21" t="n">
        <v>266.076</v>
      </c>
      <c r="Q13" s="21" t="n">
        <v>309.262</v>
      </c>
      <c r="R13" s="21" t="n">
        <v>270.123</v>
      </c>
      <c r="S13" s="21" t="n">
        <v>255.937</v>
      </c>
      <c r="T13" s="21" t="n">
        <v>253.396</v>
      </c>
      <c r="U13" s="21" t="n">
        <v>258.993</v>
      </c>
      <c r="V13" s="21" t="n">
        <v>311.309</v>
      </c>
      <c r="W13" s="21" t="n">
        <v>281.352</v>
      </c>
      <c r="X13" s="21" t="n">
        <v>224.408</v>
      </c>
      <c r="Y13" s="21" t="n">
        <v>209.356</v>
      </c>
      <c r="Z13" s="21" t="n">
        <v>215.056</v>
      </c>
      <c r="AA13" s="21" t="n">
        <v>157.906</v>
      </c>
      <c r="AB13" s="21" t="n">
        <v>291.102</v>
      </c>
      <c r="AC13" s="21" t="n">
        <v>143.971</v>
      </c>
      <c r="AD13" s="21" t="n">
        <v>207.622</v>
      </c>
      <c r="AE13" s="21" t="n">
        <v>231.76</v>
      </c>
      <c r="AF13" s="21" t="n">
        <v>194.638</v>
      </c>
      <c r="AG13" s="21" t="n">
        <v>131.415</v>
      </c>
      <c r="AH13" s="21" t="n">
        <v>229.725</v>
      </c>
      <c r="AI13" s="21" t="n">
        <v>235.058</v>
      </c>
      <c r="AJ13" s="21" t="n">
        <v>148.901</v>
      </c>
      <c r="AK13" s="21" t="n">
        <v>232.093</v>
      </c>
      <c r="AL13" s="21" t="n">
        <v>148.812</v>
      </c>
      <c r="AM13" s="21" t="n">
        <v>246.745</v>
      </c>
      <c r="AN13" s="21" t="n">
        <v>221.44</v>
      </c>
      <c r="AO13" s="21" t="n">
        <v>157.347</v>
      </c>
      <c r="AP13" s="21" t="n">
        <v>281.714</v>
      </c>
      <c r="AQ13" s="21" t="n">
        <v>171.343</v>
      </c>
      <c r="AR13" s="21" t="n">
        <v>144.261</v>
      </c>
      <c r="AS13" s="21" t="n">
        <v>203.689</v>
      </c>
      <c r="AT13" s="21" t="n">
        <v>302.295</v>
      </c>
      <c r="AU13" s="21" t="n">
        <v>291.865</v>
      </c>
      <c r="AV13" s="21" t="n">
        <v>219.897</v>
      </c>
      <c r="AW13" s="21" t="n">
        <v>143.44</v>
      </c>
      <c r="AX13" s="21" t="n">
        <v>206.521</v>
      </c>
      <c r="AY13" s="21" t="n">
        <v>147.151</v>
      </c>
      <c r="AZ13" s="21" t="n">
        <v>230.712</v>
      </c>
      <c r="BA13" s="21" t="n">
        <v>218.876</v>
      </c>
      <c r="BB13" s="21" t="n">
        <v>146.635</v>
      </c>
      <c r="BC13" s="21" t="n">
        <v>299.334</v>
      </c>
      <c r="BD13" s="21" t="n">
        <v>346.3</v>
      </c>
      <c r="BE13" s="21" t="n">
        <v>361.416</v>
      </c>
      <c r="BF13" s="21" t="n">
        <v>350.258</v>
      </c>
      <c r="BG13" s="21" t="n">
        <v>201.757</v>
      </c>
      <c r="BH13" s="21" t="n">
        <v>237.762</v>
      </c>
      <c r="BI13" s="21" t="n">
        <v>488.082</v>
      </c>
      <c r="BJ13" s="21" t="n">
        <v>121.942</v>
      </c>
      <c r="BK13" s="21" t="n">
        <v>329.143</v>
      </c>
      <c r="BL13" s="21" t="n">
        <v>325.463</v>
      </c>
      <c r="BM13" s="21" t="n">
        <v>341.425</v>
      </c>
      <c r="BN13" s="21" t="n">
        <v>325.887</v>
      </c>
      <c r="BO13" s="21" t="n">
        <v>333.98</v>
      </c>
      <c r="BP13" s="21" t="n">
        <v>157.715</v>
      </c>
      <c r="BQ13" s="21" t="n">
        <v>161.557</v>
      </c>
      <c r="BR13" s="21" t="n">
        <v>157.114</v>
      </c>
      <c r="BS13" s="21" t="n">
        <v>168.772</v>
      </c>
      <c r="BT13" s="21" t="n">
        <v>147.616</v>
      </c>
      <c r="BU13" s="21" t="n">
        <v>201.339</v>
      </c>
      <c r="BV13" s="21" t="n">
        <v>162.868</v>
      </c>
      <c r="BW13" s="21" t="n">
        <v>167.926</v>
      </c>
      <c r="BX13" s="21" t="n">
        <v>128.814</v>
      </c>
      <c r="BY13" s="21" t="n">
        <v>161.196</v>
      </c>
      <c r="BZ13" s="21" t="n">
        <v>118.177</v>
      </c>
      <c r="CA13" s="21" t="n">
        <v>119.636</v>
      </c>
      <c r="CB13" s="21" t="n">
        <v>202.492</v>
      </c>
      <c r="CC13" s="21" t="n">
        <v>212.358</v>
      </c>
      <c r="CD13" s="21" t="n">
        <v>129.259</v>
      </c>
      <c r="CE13" s="21" t="n">
        <v>209.668</v>
      </c>
      <c r="CF13" s="21" t="n">
        <v>215.451</v>
      </c>
      <c r="CG13" s="21" t="n">
        <v>190.4</v>
      </c>
      <c r="CH13" s="21" t="n">
        <v>145.966</v>
      </c>
      <c r="CI13" s="21" t="n">
        <v>155.363</v>
      </c>
      <c r="CJ13" s="21" t="n">
        <v>228.536</v>
      </c>
      <c r="CK13" s="21" t="n">
        <v>205.098</v>
      </c>
      <c r="CL13" s="21" t="n">
        <v>243.088</v>
      </c>
      <c r="CM13" s="21" t="n">
        <v>296.809</v>
      </c>
      <c r="CN13" s="21" t="n">
        <v>131.278</v>
      </c>
      <c r="CO13" s="21" t="n">
        <v>158.183</v>
      </c>
      <c r="CP13" s="21" t="n">
        <v>223.872</v>
      </c>
      <c r="CQ13" s="21" t="n">
        <v>238.433</v>
      </c>
      <c r="CR13" s="21" t="n">
        <v>169.996</v>
      </c>
      <c r="CS13" s="21" t="n">
        <v>251.559</v>
      </c>
      <c r="CT13" s="21" t="n">
        <v>235.175</v>
      </c>
      <c r="CU13" s="21" t="n">
        <v>147.757</v>
      </c>
      <c r="CV13" s="21" t="n">
        <v>137.193</v>
      </c>
      <c r="CW13" s="21" t="n">
        <v>136.279</v>
      </c>
      <c r="CX13" s="21" t="n">
        <v>276.65</v>
      </c>
      <c r="CY13" s="21" t="n">
        <v>132.219</v>
      </c>
      <c r="CZ13" s="21" t="n">
        <v>125.398</v>
      </c>
      <c r="DA13" s="21" t="n">
        <v>259.097</v>
      </c>
      <c r="DB13" s="21" t="n">
        <v>161.042</v>
      </c>
      <c r="DC13" s="21" t="n">
        <v>167.268</v>
      </c>
      <c r="DD13" s="21" t="n">
        <v>140.92</v>
      </c>
      <c r="DE13" s="21" t="n">
        <v>182.131</v>
      </c>
      <c r="DF13" s="21" t="n">
        <v>240.275</v>
      </c>
      <c r="DG13" s="21" t="n">
        <v>197.561</v>
      </c>
      <c r="DH13" s="21" t="n">
        <v>216.415</v>
      </c>
      <c r="DI13" s="21" t="n">
        <v>192.663</v>
      </c>
      <c r="DJ13" s="21" t="n">
        <v>206.841</v>
      </c>
      <c r="DK13" s="21" t="n">
        <v>184.984</v>
      </c>
      <c r="DL13" s="21" t="n">
        <v>167.876</v>
      </c>
      <c r="DM13" s="21" t="n">
        <v>332.505</v>
      </c>
      <c r="DN13" s="21" t="n">
        <v>179.355</v>
      </c>
      <c r="DO13" s="21" t="n">
        <v>240.224</v>
      </c>
      <c r="DP13" s="21" t="n">
        <v>282.779</v>
      </c>
      <c r="DQ13" s="21" t="n">
        <v>290.723</v>
      </c>
      <c r="DR13" s="21" t="n">
        <v>154.639</v>
      </c>
      <c r="DS13" s="21" t="n">
        <v>515.253</v>
      </c>
      <c r="DT13" s="21" t="n">
        <v>320.601</v>
      </c>
      <c r="DU13" s="21" t="n">
        <v>289.883</v>
      </c>
      <c r="DV13" s="21" t="n">
        <v>289.841</v>
      </c>
      <c r="DW13" s="21" t="n">
        <v>226.354</v>
      </c>
      <c r="DX13" s="21" t="n">
        <v>189.404</v>
      </c>
      <c r="DY13" s="21" t="n">
        <v>226.805</v>
      </c>
      <c r="DZ13" s="21" t="n">
        <v>208.619</v>
      </c>
      <c r="EA13" s="21" t="n">
        <v>295</v>
      </c>
      <c r="EB13" s="21" t="n">
        <v>194.266</v>
      </c>
      <c r="EC13" s="21" t="n">
        <v>207.269</v>
      </c>
      <c r="ED13" s="21" t="n">
        <v>152.63</v>
      </c>
      <c r="EE13" s="21" t="n">
        <v>217.742</v>
      </c>
      <c r="EF13" s="21" t="n">
        <v>502.516</v>
      </c>
      <c r="EG13" s="21" t="n">
        <v>436.996</v>
      </c>
      <c r="EH13" s="21" t="n">
        <v>122.592</v>
      </c>
      <c r="EI13" s="21" t="n">
        <v>61.043</v>
      </c>
      <c r="EJ13" s="21" t="n">
        <v>69.291</v>
      </c>
      <c r="EK13" s="21" t="n">
        <v>48.171</v>
      </c>
      <c r="EL13" s="21" t="n">
        <v>114.081</v>
      </c>
      <c r="EM13" s="21" t="n">
        <v>74.98</v>
      </c>
      <c r="EN13" s="21" t="n">
        <v>78.14700000000001</v>
      </c>
      <c r="EO13" s="21" t="n">
        <v>86.19799999999999</v>
      </c>
      <c r="EP13" s="21" t="n">
        <v>97.43600000000001</v>
      </c>
      <c r="EQ13" s="21" t="n">
        <v>67.142</v>
      </c>
      <c r="ER13" s="21" t="n">
        <v>58.372</v>
      </c>
      <c r="ES13" s="21" t="n">
        <v>130.109</v>
      </c>
      <c r="ET13" s="21" t="n">
        <v>88.352</v>
      </c>
      <c r="EU13" s="21" t="n">
        <v>90.64700000000001</v>
      </c>
      <c r="EV13" s="21" t="n">
        <v>98.34399999999999</v>
      </c>
      <c r="EW13" s="21" t="n">
        <v>86.738</v>
      </c>
      <c r="EX13" s="21" t="n">
        <v>186.76</v>
      </c>
      <c r="EY13" s="21" t="n">
        <v>119.282</v>
      </c>
      <c r="EZ13" s="21" t="n">
        <v>118.291</v>
      </c>
      <c r="FA13" s="21" t="n">
        <v>148.781</v>
      </c>
      <c r="FB13" s="21" t="n">
        <v>126.042</v>
      </c>
      <c r="FC13" s="21" t="n">
        <v>121.216</v>
      </c>
      <c r="FD13" s="21" t="n">
        <v>125.494</v>
      </c>
      <c r="FE13" s="21" t="n">
        <v>108.49</v>
      </c>
      <c r="FF13" s="21" t="n">
        <v>156.833</v>
      </c>
      <c r="FG13" s="21" t="n">
        <v>80.75</v>
      </c>
      <c r="FH13" s="21" t="n">
        <v>124.068</v>
      </c>
      <c r="FI13" s="21" t="n">
        <v>104.141</v>
      </c>
      <c r="FJ13" s="21" t="n">
        <v>110.687</v>
      </c>
      <c r="FK13" s="21" t="n">
        <v>114.105</v>
      </c>
      <c r="FL13" s="21" t="n">
        <v>110.443</v>
      </c>
      <c r="FM13" s="21" t="n">
        <v>117.324</v>
      </c>
      <c r="FN13" s="21" t="n">
        <v>81.62</v>
      </c>
      <c r="FO13" s="21" t="n">
        <v>106.177</v>
      </c>
      <c r="FP13" s="21" t="n">
        <v>94.51000000000001</v>
      </c>
      <c r="FQ13" s="21" t="n">
        <v>136.475</v>
      </c>
      <c r="FR13" s="21" t="n">
        <v>134.994</v>
      </c>
      <c r="FS13" s="21" t="n">
        <v>148.362</v>
      </c>
      <c r="FT13" s="21" t="n">
        <v>129.638</v>
      </c>
      <c r="FU13" s="21" t="n">
        <v>118.159</v>
      </c>
      <c r="FV13" s="21" t="n">
        <v>161.953</v>
      </c>
      <c r="FW13" s="21" t="n">
        <v>120.634</v>
      </c>
      <c r="FX13" s="21" t="n">
        <v>167.595</v>
      </c>
      <c r="FY13" s="21" t="n">
        <v>194.728</v>
      </c>
      <c r="FZ13" s="21" t="n">
        <v>189.081</v>
      </c>
      <c r="GA13" s="21" t="n">
        <v>100.179</v>
      </c>
      <c r="GB13" s="21" t="n">
        <v>147.272</v>
      </c>
      <c r="GC13" s="21" t="n">
        <v>102.077</v>
      </c>
      <c r="GD13" s="21" t="n">
        <v>143.942</v>
      </c>
      <c r="GE13" s="21" t="n">
        <v>155.981</v>
      </c>
      <c r="GF13" s="21" t="n"/>
      <c r="GG13" s="21" t="n">
        <v>143.955</v>
      </c>
      <c r="GH13" s="21" t="n">
        <v>85.614</v>
      </c>
      <c r="GI13" s="21" t="n">
        <v>116.923</v>
      </c>
      <c r="GJ13" s="21" t="n">
        <v>191.564</v>
      </c>
      <c r="GK13" s="21" t="n">
        <v>190.765</v>
      </c>
      <c r="GL13" s="21" t="n">
        <v>186.575</v>
      </c>
      <c r="GM13" s="21" t="n">
        <v>205.728</v>
      </c>
      <c r="GN13" s="21" t="n">
        <v>203.392</v>
      </c>
      <c r="GO13" s="21" t="n">
        <v>171.288</v>
      </c>
      <c r="GP13" s="21" t="n">
        <v>144.245</v>
      </c>
      <c r="GQ13" s="21" t="n">
        <v>126.41</v>
      </c>
      <c r="GR13" s="21" t="n">
        <v>272.967</v>
      </c>
      <c r="GS13" s="21" t="n">
        <v>169.787</v>
      </c>
      <c r="GT13" s="21" t="n">
        <v>472.652</v>
      </c>
      <c r="GU13" s="21" t="n">
        <v>195.285</v>
      </c>
      <c r="GV13" s="21" t="n">
        <v>218.191</v>
      </c>
      <c r="GW13" s="21" t="n">
        <v>269.686</v>
      </c>
      <c r="GX13" s="21" t="n">
        <v>291.963</v>
      </c>
      <c r="GY13" s="21" t="n">
        <v>156.772</v>
      </c>
      <c r="GZ13" s="21" t="n">
        <v>112.894</v>
      </c>
      <c r="HA13" s="21" t="n">
        <v>64.884</v>
      </c>
      <c r="HB13" s="21" t="n">
        <v>452.732</v>
      </c>
      <c r="HC13" s="21" t="n">
        <v>356.956</v>
      </c>
      <c r="HD13" s="21" t="n">
        <v>116.657</v>
      </c>
      <c r="HE13" s="21" t="n">
        <v>484.241</v>
      </c>
      <c r="HF13" s="21" t="n">
        <v>97.045</v>
      </c>
      <c r="HG13" s="21" t="n">
        <v>483.51</v>
      </c>
      <c r="HH13" s="21" t="n">
        <v>365.342</v>
      </c>
      <c r="HI13" s="21" t="n">
        <v>370.904</v>
      </c>
      <c r="HJ13" s="21" t="n">
        <v>458.012</v>
      </c>
      <c r="HK13" s="21" t="n">
        <v>184.297</v>
      </c>
      <c r="HL13" s="21" t="n">
        <v>228.291</v>
      </c>
      <c r="HM13" s="21" t="n">
        <v>70.57899999999999</v>
      </c>
      <c r="HN13" s="21" t="n">
        <v>295.791</v>
      </c>
      <c r="HO13" s="21" t="n">
        <v>291.368</v>
      </c>
      <c r="HP13" s="21" t="n">
        <v>662.201</v>
      </c>
      <c r="HQ13" s="21" t="n">
        <v>209.524</v>
      </c>
      <c r="HR13" s="21" t="n">
        <v>116.163</v>
      </c>
      <c r="HS13" s="21" t="n">
        <v>100.017</v>
      </c>
      <c r="HT13" s="21" t="n">
        <v>304.364</v>
      </c>
      <c r="HU13" s="21" t="n">
        <v>427.621</v>
      </c>
      <c r="HV13" s="21" t="n">
        <v>131.16</v>
      </c>
      <c r="HW13" s="21" t="n">
        <v>35.416</v>
      </c>
      <c r="HX13" s="21" t="n">
        <v>167.82</v>
      </c>
      <c r="HY13" s="21" t="n">
        <v>196.952</v>
      </c>
      <c r="HZ13" s="21" t="n">
        <v>152.068</v>
      </c>
      <c r="IA13" s="21" t="n">
        <v>112.096</v>
      </c>
      <c r="IB13" s="21" t="n">
        <v>229.931</v>
      </c>
      <c r="IC13" s="21" t="n">
        <v>183.447</v>
      </c>
      <c r="ID13" s="21" t="n">
        <v>240.784</v>
      </c>
      <c r="IE13" s="21" t="n">
        <v>113.862</v>
      </c>
      <c r="IF13" s="21" t="n">
        <v>146.192</v>
      </c>
      <c r="IG13" s="21" t="n">
        <v>85.227</v>
      </c>
      <c r="IH13" s="21" t="n">
        <v>74.914</v>
      </c>
      <c r="II13" s="21" t="n">
        <v>53.682</v>
      </c>
      <c r="IJ13" s="21" t="n">
        <v>22.074</v>
      </c>
      <c r="IK13" s="21" t="n">
        <v>45.719</v>
      </c>
      <c r="IL13" s="21" t="n">
        <v>43.001</v>
      </c>
      <c r="IM13" s="21" t="n">
        <v>52.016</v>
      </c>
      <c r="IN13" s="21" t="n">
        <v>98.45399999999999</v>
      </c>
      <c r="IO13" s="21" t="n">
        <v>98.88500000000001</v>
      </c>
      <c r="IP13" s="21" t="n">
        <v>157.176</v>
      </c>
      <c r="IQ13" s="21" t="n">
        <v>129.04</v>
      </c>
      <c r="IR13" s="21" t="n">
        <v>359.69</v>
      </c>
      <c r="IS13" s="21" t="n">
        <v>171.884</v>
      </c>
      <c r="IT13" s="21" t="n">
        <v>204.856</v>
      </c>
      <c r="IU13" s="21" t="n">
        <v>292.809</v>
      </c>
      <c r="IV13" s="21" t="n">
        <v>243.123</v>
      </c>
      <c r="IW13" s="21" t="n">
        <v>139.268</v>
      </c>
      <c r="IX13" s="21" t="n">
        <v>244.004</v>
      </c>
      <c r="IY13" s="21" t="n">
        <v>660.278</v>
      </c>
      <c r="IZ13" s="21" t="n">
        <v>698.556</v>
      </c>
      <c r="JA13" s="21" t="n">
        <v>797.028</v>
      </c>
      <c r="JB13" s="21" t="n">
        <v>72.67100000000001</v>
      </c>
      <c r="JC13" s="21" t="n">
        <v>279.337</v>
      </c>
      <c r="JD13" s="21" t="n">
        <v>235.474</v>
      </c>
      <c r="JE13" s="21" t="n">
        <v>80.32899999999999</v>
      </c>
      <c r="JF13" s="21" t="n">
        <v>176.259</v>
      </c>
      <c r="JG13" s="21" t="n">
        <v>277.109</v>
      </c>
      <c r="JH13" s="21" t="n">
        <v>285.911</v>
      </c>
      <c r="JI13" s="21" t="n">
        <v>76.46299999999999</v>
      </c>
      <c r="JJ13" s="21" t="n">
        <v>117.829</v>
      </c>
      <c r="JK13" s="21" t="n">
        <v>46.237</v>
      </c>
      <c r="JL13" s="21" t="n">
        <v>77.155</v>
      </c>
      <c r="JM13" s="21" t="n">
        <v>291.031</v>
      </c>
      <c r="JN13" s="21" t="n">
        <v>418.102</v>
      </c>
      <c r="JO13" s="21" t="n">
        <v>59.737</v>
      </c>
      <c r="JP13" s="21" t="n">
        <v>386.953</v>
      </c>
      <c r="JQ13" s="21" t="n">
        <v>221.928</v>
      </c>
      <c r="JR13" s="21" t="n">
        <v>163.026</v>
      </c>
      <c r="JS13" s="21" t="n">
        <v>404.289</v>
      </c>
      <c r="JT13" s="21" t="n">
        <v>327.925</v>
      </c>
      <c r="JU13" s="21" t="n">
        <v>316.127</v>
      </c>
      <c r="JV13" s="21" t="n">
        <v>158.222</v>
      </c>
      <c r="JW13" s="21" t="n">
        <v>319.623</v>
      </c>
      <c r="JX13" s="21" t="n">
        <v>217.516</v>
      </c>
      <c r="JY13" s="21" t="n">
        <v>80.152</v>
      </c>
      <c r="JZ13" s="21" t="n">
        <v>150.096</v>
      </c>
      <c r="KA13" s="21" t="n">
        <v>227.426</v>
      </c>
      <c r="KB13" s="21" t="n">
        <v>244.407</v>
      </c>
      <c r="KC13" s="21" t="n">
        <v>236.141</v>
      </c>
      <c r="KD13" s="21" t="n">
        <v>244.547</v>
      </c>
      <c r="KE13" s="21" t="n">
        <v>222.79</v>
      </c>
      <c r="KF13" s="21" t="n">
        <v>216.228</v>
      </c>
      <c r="KG13" s="21" t="n">
        <v>223.34</v>
      </c>
      <c r="KH13" s="21" t="n">
        <v>228.099</v>
      </c>
      <c r="KI13" s="21" t="n">
        <v>119.048</v>
      </c>
      <c r="KJ13" s="21" t="n">
        <v>179.745</v>
      </c>
      <c r="KK13" s="21" t="n">
        <v>149.211</v>
      </c>
      <c r="KL13" s="21" t="n">
        <v>146.054</v>
      </c>
      <c r="KM13" s="21" t="n">
        <v>145.624</v>
      </c>
      <c r="KN13" s="21" t="n">
        <v>146.47</v>
      </c>
      <c r="KO13" s="21" t="n">
        <v>250.938</v>
      </c>
      <c r="KP13" s="21" t="n">
        <v>108.539</v>
      </c>
      <c r="KQ13" s="21" t="n">
        <v>81.87</v>
      </c>
      <c r="KR13" s="21" t="n">
        <v>110.888</v>
      </c>
      <c r="KS13" s="21" t="n">
        <v>190.143</v>
      </c>
      <c r="KT13" s="21" t="n">
        <v>194.695</v>
      </c>
      <c r="KU13" s="21" t="n">
        <v>92.98699999999999</v>
      </c>
      <c r="KV13" s="21" t="n">
        <v>62.45</v>
      </c>
      <c r="KW13" s="21" t="n">
        <v>215.691</v>
      </c>
      <c r="KX13" s="21" t="n">
        <v>188.028</v>
      </c>
      <c r="KY13" s="21" t="n">
        <v>225.799</v>
      </c>
      <c r="KZ13" s="21" t="n">
        <v>184.769</v>
      </c>
      <c r="LA13" s="21" t="n">
        <v>225.581</v>
      </c>
      <c r="LB13" s="21" t="n">
        <v>108.267</v>
      </c>
      <c r="LC13" s="21" t="n">
        <v>342.909</v>
      </c>
      <c r="LD13" s="21" t="n">
        <v>87.45</v>
      </c>
      <c r="LE13" s="21" t="n">
        <v>112.914</v>
      </c>
      <c r="LF13" s="21" t="n">
        <v>294.565</v>
      </c>
      <c r="LG13" s="21" t="n">
        <v>295.032</v>
      </c>
      <c r="LH13" s="21" t="n">
        <v>305.219</v>
      </c>
      <c r="LI13" s="21" t="n">
        <v>280.81</v>
      </c>
      <c r="LJ13" s="21" t="n">
        <v>318.575</v>
      </c>
      <c r="LK13" s="21" t="n">
        <v>105.822</v>
      </c>
      <c r="LL13" s="21" t="n">
        <v>295.147</v>
      </c>
      <c r="LM13" s="21" t="n">
        <v>214.049</v>
      </c>
      <c r="LN13" s="21" t="n">
        <v>58.911</v>
      </c>
      <c r="LO13" s="21" t="n">
        <v>114.64</v>
      </c>
    </row>
    <row r="14">
      <c r="A14" s="22" t="n">
        <v>42370</v>
      </c>
      <c r="B14" s="21" t="n">
        <v>237.652</v>
      </c>
      <c r="C14" s="21" t="n">
        <v>247.967</v>
      </c>
      <c r="D14" s="21" t="n">
        <v>248.353</v>
      </c>
      <c r="E14" s="21" t="n">
        <v>241.558</v>
      </c>
      <c r="F14" s="21" t="n">
        <v>274.003</v>
      </c>
      <c r="G14" s="21" t="n">
        <v>231.976</v>
      </c>
      <c r="H14" s="21" t="n">
        <v>243.017</v>
      </c>
      <c r="I14" s="21" t="n">
        <v>226.156</v>
      </c>
      <c r="J14" s="21" t="n">
        <v>241.445</v>
      </c>
      <c r="K14" s="21" t="n">
        <v>298.797</v>
      </c>
      <c r="L14" s="21" t="n">
        <v>179.602</v>
      </c>
      <c r="M14" s="21" t="n">
        <v>176.667</v>
      </c>
      <c r="N14" s="21" t="n">
        <v>283.762</v>
      </c>
      <c r="O14" s="21" t="n">
        <v>270.189</v>
      </c>
      <c r="P14" s="21" t="n">
        <v>265.59</v>
      </c>
      <c r="Q14" s="21" t="n">
        <v>306.713</v>
      </c>
      <c r="R14" s="21" t="n">
        <v>269.145</v>
      </c>
      <c r="S14" s="21" t="n">
        <v>253.24</v>
      </c>
      <c r="T14" s="21" t="n">
        <v>252.101</v>
      </c>
      <c r="U14" s="21" t="n">
        <v>257.054</v>
      </c>
      <c r="V14" s="21" t="n">
        <v>308.935</v>
      </c>
      <c r="W14" s="21" t="n">
        <v>275.641</v>
      </c>
      <c r="X14" s="21" t="n">
        <v>221.825</v>
      </c>
      <c r="Y14" s="21" t="n">
        <v>209.266</v>
      </c>
      <c r="Z14" s="21" t="n">
        <v>213.077</v>
      </c>
      <c r="AA14" s="21" t="n">
        <v>156.755</v>
      </c>
      <c r="AB14" s="21" t="n">
        <v>289.244</v>
      </c>
      <c r="AC14" s="21" t="n">
        <v>143.967</v>
      </c>
      <c r="AD14" s="21" t="n">
        <v>207.282</v>
      </c>
      <c r="AE14" s="21" t="n">
        <v>231.296</v>
      </c>
      <c r="AF14" s="21" t="n">
        <v>187.37</v>
      </c>
      <c r="AG14" s="21" t="n">
        <v>129.953</v>
      </c>
      <c r="AH14" s="21" t="n">
        <v>228.603</v>
      </c>
      <c r="AI14" s="21" t="n">
        <v>229.548</v>
      </c>
      <c r="AJ14" s="21" t="n">
        <v>148.796</v>
      </c>
      <c r="AK14" s="21" t="n">
        <v>231.368</v>
      </c>
      <c r="AL14" s="21" t="n">
        <v>147.767</v>
      </c>
      <c r="AM14" s="21" t="n">
        <v>246.03</v>
      </c>
      <c r="AN14" s="21" t="n">
        <v>219.896</v>
      </c>
      <c r="AO14" s="21" t="n">
        <v>156.782</v>
      </c>
      <c r="AP14" s="21" t="n">
        <v>282.492</v>
      </c>
      <c r="AQ14" s="21" t="n">
        <v>172.342</v>
      </c>
      <c r="AR14" s="21" t="n">
        <v>144.218</v>
      </c>
      <c r="AS14" s="21" t="n">
        <v>202.346</v>
      </c>
      <c r="AT14" s="21" t="n">
        <v>302.276</v>
      </c>
      <c r="AU14" s="21" t="n">
        <v>270.769</v>
      </c>
      <c r="AV14" s="21" t="n">
        <v>219.359</v>
      </c>
      <c r="AW14" s="21" t="n">
        <v>142.76</v>
      </c>
      <c r="AX14" s="21" t="n">
        <v>207.339</v>
      </c>
      <c r="AY14" s="21" t="n">
        <v>146.096</v>
      </c>
      <c r="AZ14" s="21" t="n">
        <v>231.772</v>
      </c>
      <c r="BA14" s="21" t="n">
        <v>219.219</v>
      </c>
      <c r="BB14" s="21" t="n">
        <v>147.501</v>
      </c>
      <c r="BC14" s="21" t="n">
        <v>302.6</v>
      </c>
      <c r="BD14" s="21" t="n">
        <v>350.631</v>
      </c>
      <c r="BE14" s="21" t="n">
        <v>363.024</v>
      </c>
      <c r="BF14" s="21" t="n">
        <v>351.458</v>
      </c>
      <c r="BG14" s="21" t="n">
        <v>200.802</v>
      </c>
      <c r="BH14" s="21" t="n">
        <v>234.475</v>
      </c>
      <c r="BI14" s="21" t="n">
        <v>477.045</v>
      </c>
      <c r="BJ14" s="21" t="n">
        <v>122.981</v>
      </c>
      <c r="BK14" s="21" t="n">
        <v>336.318</v>
      </c>
      <c r="BL14" s="21" t="n">
        <v>328.127</v>
      </c>
      <c r="BM14" s="21" t="n">
        <v>328.236</v>
      </c>
      <c r="BN14" s="21" t="n">
        <v>368.896</v>
      </c>
      <c r="BO14" s="21" t="n">
        <v>340.23</v>
      </c>
      <c r="BP14" s="21" t="n">
        <v>158.606</v>
      </c>
      <c r="BQ14" s="21" t="n">
        <v>163.347</v>
      </c>
      <c r="BR14" s="21" t="n">
        <v>159.686</v>
      </c>
      <c r="BS14" s="21" t="n">
        <v>170.377</v>
      </c>
      <c r="BT14" s="21" t="n">
        <v>148.383</v>
      </c>
      <c r="BU14" s="21" t="n">
        <v>202.714</v>
      </c>
      <c r="BV14" s="21" t="n">
        <v>163.049</v>
      </c>
      <c r="BW14" s="21" t="n">
        <v>167.705</v>
      </c>
      <c r="BX14" s="21" t="n">
        <v>128.583</v>
      </c>
      <c r="BY14" s="21" t="n">
        <v>160.58</v>
      </c>
      <c r="BZ14" s="21" t="n">
        <v>117.704</v>
      </c>
      <c r="CA14" s="21" t="n">
        <v>119.68</v>
      </c>
      <c r="CB14" s="21" t="n">
        <v>202.882</v>
      </c>
      <c r="CC14" s="21" t="n">
        <v>212.587</v>
      </c>
      <c r="CD14" s="21" t="n">
        <v>129.233</v>
      </c>
      <c r="CE14" s="21" t="n">
        <v>209.557</v>
      </c>
      <c r="CF14" s="21" t="n">
        <v>215.261</v>
      </c>
      <c r="CG14" s="21" t="n">
        <v>189.029</v>
      </c>
      <c r="CH14" s="21" t="n">
        <v>144.334</v>
      </c>
      <c r="CI14" s="21" t="n">
        <v>152.941</v>
      </c>
      <c r="CJ14" s="21" t="n">
        <v>228.175</v>
      </c>
      <c r="CK14" s="21" t="n">
        <v>203.224</v>
      </c>
      <c r="CL14" s="21" t="n">
        <v>238.04</v>
      </c>
      <c r="CM14" s="21" t="n">
        <v>296.496</v>
      </c>
      <c r="CN14" s="21" t="n">
        <v>130.751</v>
      </c>
      <c r="CO14" s="21" t="n">
        <v>158.723</v>
      </c>
      <c r="CP14" s="21" t="n">
        <v>223.803</v>
      </c>
      <c r="CQ14" s="21" t="n">
        <v>237.884</v>
      </c>
      <c r="CR14" s="21" t="n">
        <v>170.347</v>
      </c>
      <c r="CS14" s="21" t="n">
        <v>251.932</v>
      </c>
      <c r="CT14" s="21" t="n">
        <v>237.202</v>
      </c>
      <c r="CU14" s="21" t="n">
        <v>150.37</v>
      </c>
      <c r="CV14" s="21" t="n">
        <v>139.338</v>
      </c>
      <c r="CW14" s="21" t="n">
        <v>137.135</v>
      </c>
      <c r="CX14" s="21" t="n">
        <v>279.049</v>
      </c>
      <c r="CY14" s="21" t="n">
        <v>131.366</v>
      </c>
      <c r="CZ14" s="21" t="n">
        <v>123.201</v>
      </c>
      <c r="DA14" s="21" t="n">
        <v>259.958</v>
      </c>
      <c r="DB14" s="21" t="n">
        <v>161.392</v>
      </c>
      <c r="DC14" s="21" t="n">
        <v>168.544</v>
      </c>
      <c r="DD14" s="21" t="n">
        <v>141.15</v>
      </c>
      <c r="DE14" s="21" t="n">
        <v>182.271</v>
      </c>
      <c r="DF14" s="21" t="n">
        <v>241.313</v>
      </c>
      <c r="DG14" s="21" t="n">
        <v>198.847</v>
      </c>
      <c r="DH14" s="21" t="n">
        <v>217.61</v>
      </c>
      <c r="DI14" s="21" t="n">
        <v>192.501</v>
      </c>
      <c r="DJ14" s="21" t="n">
        <v>207.348</v>
      </c>
      <c r="DK14" s="21" t="n">
        <v>185.803</v>
      </c>
      <c r="DL14" s="21" t="n">
        <v>169.229</v>
      </c>
      <c r="DM14" s="21" t="n">
        <v>332.985</v>
      </c>
      <c r="DN14" s="21" t="n">
        <v>179.613</v>
      </c>
      <c r="DO14" s="21" t="n">
        <v>240.673</v>
      </c>
      <c r="DP14" s="21" t="n">
        <v>283.714</v>
      </c>
      <c r="DQ14" s="21" t="n">
        <v>291.7</v>
      </c>
      <c r="DR14" s="21" t="n">
        <v>157.308</v>
      </c>
      <c r="DS14" s="21" t="n">
        <v>516.386</v>
      </c>
      <c r="DT14" s="21" t="n">
        <v>324.14</v>
      </c>
      <c r="DU14" s="21" t="n">
        <v>290.694</v>
      </c>
      <c r="DV14" s="21" t="n">
        <v>290.654</v>
      </c>
      <c r="DW14" s="21" t="n">
        <v>225.556</v>
      </c>
      <c r="DX14" s="21" t="n">
        <v>188.367</v>
      </c>
      <c r="DY14" s="21" t="n">
        <v>215.393</v>
      </c>
      <c r="DZ14" s="21" t="n">
        <v>195.029</v>
      </c>
      <c r="EA14" s="21" t="n">
        <v>291.055</v>
      </c>
      <c r="EB14" s="21" t="n">
        <v>193.63</v>
      </c>
      <c r="EC14" s="21" t="n">
        <v>206.088</v>
      </c>
      <c r="ED14" s="21" t="n">
        <v>153.802</v>
      </c>
      <c r="EE14" s="21" t="n">
        <v>218.191</v>
      </c>
      <c r="EF14" s="21" t="n">
        <v>503.852</v>
      </c>
      <c r="EG14" s="21" t="n">
        <v>437.205</v>
      </c>
      <c r="EH14" s="21" t="n">
        <v>122.229</v>
      </c>
      <c r="EI14" s="21" t="n">
        <v>61.37</v>
      </c>
      <c r="EJ14" s="21" t="n">
        <v>71.26600000000001</v>
      </c>
      <c r="EK14" s="21" t="n">
        <v>48.08</v>
      </c>
      <c r="EL14" s="21" t="n">
        <v>114.132</v>
      </c>
      <c r="EM14" s="21" t="n">
        <v>73.069</v>
      </c>
      <c r="EN14" s="21" t="n">
        <v>78.164</v>
      </c>
      <c r="EO14" s="21" t="n">
        <v>85.43300000000001</v>
      </c>
      <c r="EP14" s="21" t="n">
        <v>96.699</v>
      </c>
      <c r="EQ14" s="21" t="n">
        <v>67.221</v>
      </c>
      <c r="ER14" s="21" t="n">
        <v>58.216</v>
      </c>
      <c r="ES14" s="21" t="n">
        <v>129.906</v>
      </c>
      <c r="ET14" s="21" t="n">
        <v>87.94499999999999</v>
      </c>
      <c r="EU14" s="21" t="n">
        <v>90.408</v>
      </c>
      <c r="EV14" s="21" t="n">
        <v>98.518</v>
      </c>
      <c r="EW14" s="21" t="n">
        <v>86.42100000000001</v>
      </c>
      <c r="EX14" s="21" t="n">
        <v>186.361</v>
      </c>
      <c r="EY14" s="21" t="n">
        <v>119.022</v>
      </c>
      <c r="EZ14" s="21" t="n">
        <v>117.727</v>
      </c>
      <c r="FA14" s="21" t="n">
        <v>147.416</v>
      </c>
      <c r="FB14" s="21" t="n">
        <v>124.999</v>
      </c>
      <c r="FC14" s="21" t="n">
        <v>118.652</v>
      </c>
      <c r="FD14" s="21" t="n">
        <v>122.206</v>
      </c>
      <c r="FE14" s="21" t="n">
        <v>109.111</v>
      </c>
      <c r="FF14" s="21" t="n">
        <v>152.554</v>
      </c>
      <c r="FG14" s="21" t="n">
        <v>78.41200000000001</v>
      </c>
      <c r="FH14" s="21" t="n">
        <v>122.12</v>
      </c>
      <c r="FI14" s="21" t="n">
        <v>104.276</v>
      </c>
      <c r="FJ14" s="21" t="n">
        <v>109.538</v>
      </c>
      <c r="FK14" s="21" t="n">
        <v>112.325</v>
      </c>
      <c r="FL14" s="21" t="n">
        <v>113.493</v>
      </c>
      <c r="FM14" s="21" t="n">
        <v>116.178</v>
      </c>
      <c r="FN14" s="21" t="n">
        <v>79.509</v>
      </c>
      <c r="FO14" s="21" t="n">
        <v>104.722</v>
      </c>
      <c r="FP14" s="21" t="n">
        <v>96.221</v>
      </c>
      <c r="FQ14" s="21" t="n">
        <v>136.976</v>
      </c>
      <c r="FR14" s="21" t="n">
        <v>136.671</v>
      </c>
      <c r="FS14" s="21" t="n">
        <v>150.355</v>
      </c>
      <c r="FT14" s="21" t="n">
        <v>129.109</v>
      </c>
      <c r="FU14" s="21" t="n">
        <v>118.145</v>
      </c>
      <c r="FV14" s="21" t="n">
        <v>164.135</v>
      </c>
      <c r="FW14" s="21" t="n">
        <v>123.781</v>
      </c>
      <c r="FX14" s="21" t="n">
        <v>171.932</v>
      </c>
      <c r="FY14" s="21" t="n">
        <v>192.648</v>
      </c>
      <c r="FZ14" s="21" t="n">
        <v>186.965</v>
      </c>
      <c r="GA14" s="21" t="n">
        <v>100.214</v>
      </c>
      <c r="GB14" s="21" t="n">
        <v>146.706</v>
      </c>
      <c r="GC14" s="21" t="n">
        <v>101.683</v>
      </c>
      <c r="GD14" s="21" t="n">
        <v>143.543</v>
      </c>
      <c r="GE14" s="21" t="n">
        <v>155.452</v>
      </c>
      <c r="GF14" s="21" t="n"/>
      <c r="GG14" s="21" t="n">
        <v>144.638</v>
      </c>
      <c r="GH14" s="21" t="n">
        <v>85.636</v>
      </c>
      <c r="GI14" s="21" t="n">
        <v>122.541</v>
      </c>
      <c r="GJ14" s="21" t="n">
        <v>182.135</v>
      </c>
      <c r="GK14" s="21" t="n">
        <v>181.445</v>
      </c>
      <c r="GL14" s="21" t="n">
        <v>175.577</v>
      </c>
      <c r="GM14" s="21" t="n">
        <v>195.539</v>
      </c>
      <c r="GN14" s="21" t="n">
        <v>195.879</v>
      </c>
      <c r="GO14" s="21" t="n">
        <v>156.682</v>
      </c>
      <c r="GP14" s="21" t="n">
        <v>144.784</v>
      </c>
      <c r="GQ14" s="21" t="n">
        <v>127.05</v>
      </c>
      <c r="GR14" s="21" t="n">
        <v>273.097</v>
      </c>
      <c r="GS14" s="21" t="n">
        <v>169.718</v>
      </c>
      <c r="GT14" s="21" t="n">
        <v>473.661</v>
      </c>
      <c r="GU14" s="21" t="n">
        <v>196.826</v>
      </c>
      <c r="GV14" s="21" t="n">
        <v>219.358</v>
      </c>
      <c r="GW14" s="21" t="n">
        <v>268.541</v>
      </c>
      <c r="GX14" s="21" t="n">
        <v>289.611</v>
      </c>
      <c r="GY14" s="21" t="n">
        <v>156.334</v>
      </c>
      <c r="GZ14" s="21" t="n">
        <v>108.793</v>
      </c>
      <c r="HA14" s="21" t="n">
        <v>64.386</v>
      </c>
      <c r="HB14" s="21" t="n">
        <v>454.194</v>
      </c>
      <c r="HC14" s="21" t="n">
        <v>357.414</v>
      </c>
      <c r="HD14" s="21" t="n">
        <v>117.013</v>
      </c>
      <c r="HE14" s="21" t="n">
        <v>486.418</v>
      </c>
      <c r="HF14" s="21" t="n">
        <v>96.673</v>
      </c>
      <c r="HG14" s="21" t="n">
        <v>485.346</v>
      </c>
      <c r="HH14" s="21" t="n">
        <v>366.134</v>
      </c>
      <c r="HI14" s="21" t="n">
        <v>370.911</v>
      </c>
      <c r="HJ14" s="21" t="n">
        <v>459.244</v>
      </c>
      <c r="HK14" s="21" t="n">
        <v>186.096</v>
      </c>
      <c r="HL14" s="21" t="n">
        <v>228.817</v>
      </c>
      <c r="HM14" s="21" t="n">
        <v>70.916</v>
      </c>
      <c r="HN14" s="21" t="n">
        <v>297.361</v>
      </c>
      <c r="HO14" s="21" t="n">
        <v>292.909</v>
      </c>
      <c r="HP14" s="21" t="n">
        <v>663.914</v>
      </c>
      <c r="HQ14" s="21" t="n">
        <v>209.941</v>
      </c>
      <c r="HR14" s="21" t="n">
        <v>116.237</v>
      </c>
      <c r="HS14" s="21" t="n">
        <v>99.879</v>
      </c>
      <c r="HT14" s="21" t="n">
        <v>299.205</v>
      </c>
      <c r="HU14" s="21" t="n">
        <v>427.538</v>
      </c>
      <c r="HV14" s="21" t="n">
        <v>129.761</v>
      </c>
      <c r="HW14" s="21" t="n">
        <v>35.313</v>
      </c>
      <c r="HX14" s="21" t="n">
        <v>168.388</v>
      </c>
      <c r="HY14" s="21" t="n">
        <v>197.98</v>
      </c>
      <c r="HZ14" s="21" t="n">
        <v>152.312</v>
      </c>
      <c r="IA14" s="21" t="n">
        <v>113.064</v>
      </c>
      <c r="IB14" s="21" t="n">
        <v>230.044</v>
      </c>
      <c r="IC14" s="21" t="n">
        <v>183.248</v>
      </c>
      <c r="ID14" s="21" t="n">
        <v>241.087</v>
      </c>
      <c r="IE14" s="21" t="n">
        <v>113.404</v>
      </c>
      <c r="IF14" s="21" t="n">
        <v>146.444</v>
      </c>
      <c r="IG14" s="21" t="n">
        <v>84.723</v>
      </c>
      <c r="IH14" s="21" t="n">
        <v>74.943</v>
      </c>
      <c r="II14" s="21" t="n">
        <v>53.592</v>
      </c>
      <c r="IJ14" s="21" t="n">
        <v>22.019</v>
      </c>
      <c r="IK14" s="21" t="n">
        <v>45.519</v>
      </c>
      <c r="IL14" s="21" t="n">
        <v>42.666</v>
      </c>
      <c r="IM14" s="21" t="n">
        <v>51.415</v>
      </c>
      <c r="IN14" s="21" t="n">
        <v>96.913</v>
      </c>
      <c r="IO14" s="21" t="n">
        <v>100.198</v>
      </c>
      <c r="IP14" s="21" t="n">
        <v>157.761</v>
      </c>
      <c r="IQ14" s="21" t="n">
        <v>129.269</v>
      </c>
      <c r="IR14" s="21" t="n">
        <v>361.918</v>
      </c>
      <c r="IS14" s="21" t="n">
        <v>170.532</v>
      </c>
      <c r="IT14" s="21" t="n">
        <v>216.006</v>
      </c>
      <c r="IU14" s="21" t="n">
        <v>293.187</v>
      </c>
      <c r="IV14" s="21" t="n">
        <v>241.525</v>
      </c>
      <c r="IW14" s="21" t="n">
        <v>139.445</v>
      </c>
      <c r="IX14" s="21" t="n">
        <v>244.548</v>
      </c>
      <c r="IY14" s="21" t="n">
        <v>663.452</v>
      </c>
      <c r="IZ14" s="21" t="n">
        <v>699.997</v>
      </c>
      <c r="JA14" s="21" t="n">
        <v>798.169</v>
      </c>
      <c r="JB14" s="21" t="n">
        <v>72.902</v>
      </c>
      <c r="JC14" s="21" t="n">
        <v>279.684</v>
      </c>
      <c r="JD14" s="21" t="n">
        <v>236.373</v>
      </c>
      <c r="JE14" s="21" t="n">
        <v>80.34699999999999</v>
      </c>
      <c r="JF14" s="21" t="n">
        <v>177.015</v>
      </c>
      <c r="JG14" s="21" t="n">
        <v>278.874</v>
      </c>
      <c r="JH14" s="21" t="n">
        <v>278.032</v>
      </c>
      <c r="JI14" s="21" t="n">
        <v>76.47199999999999</v>
      </c>
      <c r="JJ14" s="21" t="n">
        <v>117.501</v>
      </c>
      <c r="JK14" s="21" t="n">
        <v>45.424</v>
      </c>
      <c r="JL14" s="21" t="n">
        <v>77.55</v>
      </c>
      <c r="JM14" s="21" t="n">
        <v>286.897</v>
      </c>
      <c r="JN14" s="21" t="n">
        <v>419.074</v>
      </c>
      <c r="JO14" s="21" t="n">
        <v>60.063</v>
      </c>
      <c r="JP14" s="21" t="n">
        <v>388.821</v>
      </c>
      <c r="JQ14" s="21" t="n">
        <v>222.259</v>
      </c>
      <c r="JR14" s="21" t="n">
        <v>163.313</v>
      </c>
      <c r="JS14" s="21" t="n">
        <v>403.709</v>
      </c>
      <c r="JT14" s="21" t="n">
        <v>326.621</v>
      </c>
      <c r="JU14" s="21" t="n">
        <v>316.893</v>
      </c>
      <c r="JV14" s="21" t="n">
        <v>158.521</v>
      </c>
      <c r="JW14" s="21" t="n">
        <v>320.695</v>
      </c>
      <c r="JX14" s="21" t="n">
        <v>219.385</v>
      </c>
      <c r="JY14" s="21" t="n">
        <v>79.803</v>
      </c>
      <c r="JZ14" s="21" t="n">
        <v>150.138</v>
      </c>
      <c r="KA14" s="21" t="n">
        <v>227.247</v>
      </c>
      <c r="KB14" s="21" t="n">
        <v>244.777</v>
      </c>
      <c r="KC14" s="21" t="n">
        <v>235.989</v>
      </c>
      <c r="KD14" s="21" t="n">
        <v>244.955</v>
      </c>
      <c r="KE14" s="21" t="n">
        <v>222.267</v>
      </c>
      <c r="KF14" s="21" t="n">
        <v>215.542</v>
      </c>
      <c r="KG14" s="21" t="n">
        <v>223.442</v>
      </c>
      <c r="KH14" s="21" t="n">
        <v>228.141</v>
      </c>
      <c r="KI14" s="21" t="n">
        <v>117.682</v>
      </c>
      <c r="KJ14" s="21" t="n">
        <v>178.786</v>
      </c>
      <c r="KK14" s="21" t="n">
        <v>147.856</v>
      </c>
      <c r="KL14" s="21" t="n">
        <v>144.637</v>
      </c>
      <c r="KM14" s="21" t="n">
        <v>145.376</v>
      </c>
      <c r="KN14" s="21" t="n">
        <v>146.096</v>
      </c>
      <c r="KO14" s="21" t="n">
        <v>250.724</v>
      </c>
      <c r="KP14" s="21" t="n">
        <v>108.232</v>
      </c>
      <c r="KQ14" s="21" t="n">
        <v>81.139</v>
      </c>
      <c r="KR14" s="21" t="n">
        <v>111.141</v>
      </c>
      <c r="KS14" s="21" t="n">
        <v>185.235</v>
      </c>
      <c r="KT14" s="21" t="n">
        <v>185.077</v>
      </c>
      <c r="KU14" s="21" t="n">
        <v>92.648</v>
      </c>
      <c r="KV14" s="21" t="n">
        <v>61.52</v>
      </c>
      <c r="KW14" s="21" t="n">
        <v>214.447</v>
      </c>
      <c r="KX14" s="21" t="n">
        <v>185.701</v>
      </c>
      <c r="KY14" s="21" t="n">
        <v>222.697</v>
      </c>
      <c r="KZ14" s="21" t="n">
        <v>182.26</v>
      </c>
      <c r="LA14" s="21" t="n">
        <v>222.029</v>
      </c>
      <c r="LB14" s="21" t="n">
        <v>108.554</v>
      </c>
      <c r="LC14" s="21" t="n">
        <v>343.527</v>
      </c>
      <c r="LD14" s="21" t="n">
        <v>87.312</v>
      </c>
      <c r="LE14" s="21" t="n">
        <v>113.109</v>
      </c>
      <c r="LF14" s="21" t="n">
        <v>295.491</v>
      </c>
      <c r="LG14" s="21" t="n">
        <v>295.76</v>
      </c>
      <c r="LH14" s="21" t="n">
        <v>306.082</v>
      </c>
      <c r="LI14" s="21" t="n">
        <v>281.33</v>
      </c>
      <c r="LJ14" s="21" t="n">
        <v>318.9</v>
      </c>
      <c r="LK14" s="21" t="n">
        <v>105.821</v>
      </c>
      <c r="LL14" s="21" t="n">
        <v>295.589</v>
      </c>
      <c r="LM14" s="21" t="n">
        <v>213.591</v>
      </c>
      <c r="LN14" s="21" t="n">
        <v>58.448</v>
      </c>
      <c r="LO14" s="21" t="n">
        <v>114.603</v>
      </c>
    </row>
    <row r="15">
      <c r="A15" s="22" t="n">
        <v>42401</v>
      </c>
      <c r="B15" s="21" t="n">
        <v>237.336</v>
      </c>
      <c r="C15" s="21" t="n">
        <v>248.244</v>
      </c>
      <c r="D15" s="21" t="n">
        <v>248.606</v>
      </c>
      <c r="E15" s="21" t="n">
        <v>241.741</v>
      </c>
      <c r="F15" s="21" t="n">
        <v>274.877</v>
      </c>
      <c r="G15" s="21" t="n">
        <v>234.274</v>
      </c>
      <c r="H15" s="21" t="n">
        <v>242.181</v>
      </c>
      <c r="I15" s="21" t="n">
        <v>229.452</v>
      </c>
      <c r="J15" s="21" t="n">
        <v>241.518</v>
      </c>
      <c r="K15" s="21" t="n">
        <v>297.931</v>
      </c>
      <c r="L15" s="21" t="n">
        <v>179.573</v>
      </c>
      <c r="M15" s="21" t="n">
        <v>176.329</v>
      </c>
      <c r="N15" s="21" t="n">
        <v>281.606</v>
      </c>
      <c r="O15" s="21" t="n">
        <v>268.799</v>
      </c>
      <c r="P15" s="21" t="n">
        <v>266.729</v>
      </c>
      <c r="Q15" s="21" t="n">
        <v>307.208</v>
      </c>
      <c r="R15" s="21" t="n">
        <v>268.844</v>
      </c>
      <c r="S15" s="21" t="n">
        <v>252.506</v>
      </c>
      <c r="T15" s="21" t="n">
        <v>251.488</v>
      </c>
      <c r="U15" s="21" t="n">
        <v>256.37</v>
      </c>
      <c r="V15" s="21" t="n">
        <v>308.063</v>
      </c>
      <c r="W15" s="21" t="n">
        <v>273.73</v>
      </c>
      <c r="X15" s="21" t="n">
        <v>226.865</v>
      </c>
      <c r="Y15" s="21" t="n">
        <v>209.076</v>
      </c>
      <c r="Z15" s="21" t="n">
        <v>211.446</v>
      </c>
      <c r="AA15" s="21" t="n">
        <v>153.963</v>
      </c>
      <c r="AB15" s="21" t="n">
        <v>279.909</v>
      </c>
      <c r="AC15" s="21" t="n">
        <v>144.229</v>
      </c>
      <c r="AD15" s="21" t="n">
        <v>206.624</v>
      </c>
      <c r="AE15" s="21" t="n">
        <v>230.254</v>
      </c>
      <c r="AF15" s="21" t="n">
        <v>188.2</v>
      </c>
      <c r="AG15" s="21" t="n">
        <v>129.744</v>
      </c>
      <c r="AH15" s="21" t="n">
        <v>229.537</v>
      </c>
      <c r="AI15" s="21" t="n">
        <v>233.547</v>
      </c>
      <c r="AJ15" s="21" t="n">
        <v>148.878</v>
      </c>
      <c r="AK15" s="21" t="n">
        <v>231.414</v>
      </c>
      <c r="AL15" s="21" t="n">
        <v>147.673</v>
      </c>
      <c r="AM15" s="21" t="n">
        <v>251.408</v>
      </c>
      <c r="AN15" s="21" t="n">
        <v>217.023</v>
      </c>
      <c r="AO15" s="21" t="n">
        <v>155.98</v>
      </c>
      <c r="AP15" s="21" t="n">
        <v>281.092</v>
      </c>
      <c r="AQ15" s="21" t="n">
        <v>169.963</v>
      </c>
      <c r="AR15" s="21" t="n">
        <v>143.751</v>
      </c>
      <c r="AS15" s="21" t="n">
        <v>202.114</v>
      </c>
      <c r="AT15" s="21" t="n">
        <v>302.134</v>
      </c>
      <c r="AU15" s="21" t="n">
        <v>268.38</v>
      </c>
      <c r="AV15" s="21" t="n">
        <v>219.126</v>
      </c>
      <c r="AW15" s="21" t="n">
        <v>141.909</v>
      </c>
      <c r="AX15" s="21" t="n">
        <v>203.962</v>
      </c>
      <c r="AY15" s="21" t="n">
        <v>145.906</v>
      </c>
      <c r="AZ15" s="21" t="n">
        <v>231.437</v>
      </c>
      <c r="BA15" s="21" t="n">
        <v>217.787</v>
      </c>
      <c r="BB15" s="21" t="n">
        <v>146.846</v>
      </c>
      <c r="BC15" s="21" t="n">
        <v>304.649</v>
      </c>
      <c r="BD15" s="21" t="n">
        <v>354.03</v>
      </c>
      <c r="BE15" s="21" t="n">
        <v>368.564</v>
      </c>
      <c r="BF15" s="21" t="n">
        <v>355.444</v>
      </c>
      <c r="BG15" s="21" t="n">
        <v>198.712</v>
      </c>
      <c r="BH15" s="21" t="n">
        <v>233.391</v>
      </c>
      <c r="BI15" s="21" t="n">
        <v>481.539</v>
      </c>
      <c r="BJ15" s="21" t="n">
        <v>128.376</v>
      </c>
      <c r="BK15" s="21" t="n">
        <v>337.467</v>
      </c>
      <c r="BL15" s="21" t="n">
        <v>330.542</v>
      </c>
      <c r="BM15" s="21" t="n">
        <v>317.709</v>
      </c>
      <c r="BN15" s="21" t="n">
        <v>360.658</v>
      </c>
      <c r="BO15" s="21" t="n">
        <v>343.273</v>
      </c>
      <c r="BP15" s="21" t="n">
        <v>157.987</v>
      </c>
      <c r="BQ15" s="21" t="n">
        <v>162.042</v>
      </c>
      <c r="BR15" s="21" t="n">
        <v>157.904</v>
      </c>
      <c r="BS15" s="21" t="n">
        <v>169.999</v>
      </c>
      <c r="BT15" s="21" t="n">
        <v>147.435</v>
      </c>
      <c r="BU15" s="21" t="n">
        <v>201.316</v>
      </c>
      <c r="BV15" s="21" t="n">
        <v>163.425</v>
      </c>
      <c r="BW15" s="21" t="n">
        <v>168.004</v>
      </c>
      <c r="BX15" s="21" t="n">
        <v>128.891</v>
      </c>
      <c r="BY15" s="21" t="n">
        <v>160.497</v>
      </c>
      <c r="BZ15" s="21" t="n">
        <v>118.063</v>
      </c>
      <c r="CA15" s="21" t="n">
        <v>119.392</v>
      </c>
      <c r="CB15" s="21" t="n">
        <v>201.77</v>
      </c>
      <c r="CC15" s="21" t="n">
        <v>211.169</v>
      </c>
      <c r="CD15" s="21" t="n">
        <v>130.235</v>
      </c>
      <c r="CE15" s="21" t="n">
        <v>209.32</v>
      </c>
      <c r="CF15" s="21" t="n">
        <v>215.325</v>
      </c>
      <c r="CG15" s="21" t="n">
        <v>190.176</v>
      </c>
      <c r="CH15" s="21" t="n">
        <v>144.378</v>
      </c>
      <c r="CI15" s="21" t="n">
        <v>152.308</v>
      </c>
      <c r="CJ15" s="21" t="n">
        <v>227.833</v>
      </c>
      <c r="CK15" s="21" t="n">
        <v>203.134</v>
      </c>
      <c r="CL15" s="21" t="n">
        <v>238.732</v>
      </c>
      <c r="CM15" s="21" t="n">
        <v>296.131</v>
      </c>
      <c r="CN15" s="21" t="n">
        <v>130.68</v>
      </c>
      <c r="CO15" s="21" t="n">
        <v>158.317</v>
      </c>
      <c r="CP15" s="21" t="n">
        <v>223.5</v>
      </c>
      <c r="CQ15" s="21" t="n">
        <v>240.129</v>
      </c>
      <c r="CR15" s="21" t="n">
        <v>171.955</v>
      </c>
      <c r="CS15" s="21" t="n">
        <v>251.217</v>
      </c>
      <c r="CT15" s="21" t="n">
        <v>236.99</v>
      </c>
      <c r="CU15" s="21" t="n">
        <v>151.124</v>
      </c>
      <c r="CV15" s="21" t="n">
        <v>140.731</v>
      </c>
      <c r="CW15" s="21" t="n">
        <v>135.682</v>
      </c>
      <c r="CX15" s="21" t="n">
        <v>274.643</v>
      </c>
      <c r="CY15" s="21" t="n">
        <v>131.343</v>
      </c>
      <c r="CZ15" s="21" t="n">
        <v>122.292</v>
      </c>
      <c r="DA15" s="21" t="n">
        <v>260.319</v>
      </c>
      <c r="DB15" s="21" t="n">
        <v>161.625</v>
      </c>
      <c r="DC15" s="21" t="n">
        <v>168.37</v>
      </c>
      <c r="DD15" s="21" t="n">
        <v>141.261</v>
      </c>
      <c r="DE15" s="21" t="n">
        <v>182.354</v>
      </c>
      <c r="DF15" s="21" t="n">
        <v>241.92</v>
      </c>
      <c r="DG15" s="21" t="n">
        <v>199.188</v>
      </c>
      <c r="DH15" s="21" t="n">
        <v>217.58</v>
      </c>
      <c r="DI15" s="21" t="n">
        <v>194.822</v>
      </c>
      <c r="DJ15" s="21" t="n">
        <v>208.627</v>
      </c>
      <c r="DK15" s="21" t="n">
        <v>188.008</v>
      </c>
      <c r="DL15" s="21" t="n">
        <v>169.962</v>
      </c>
      <c r="DM15" s="21" t="n">
        <v>333.724</v>
      </c>
      <c r="DN15" s="21" t="n">
        <v>180.172</v>
      </c>
      <c r="DO15" s="21" t="n">
        <v>241.124</v>
      </c>
      <c r="DP15" s="21" t="n">
        <v>284.502</v>
      </c>
      <c r="DQ15" s="21" t="n">
        <v>292.617</v>
      </c>
      <c r="DR15" s="21" t="n">
        <v>158.028</v>
      </c>
      <c r="DS15" s="21" t="n">
        <v>517.529</v>
      </c>
      <c r="DT15" s="21" t="n">
        <v>325.736</v>
      </c>
      <c r="DU15" s="21" t="n">
        <v>291.45</v>
      </c>
      <c r="DV15" s="21" t="n">
        <v>291.408</v>
      </c>
      <c r="DW15" s="21" t="n">
        <v>225.105</v>
      </c>
      <c r="DX15" s="21" t="n">
        <v>187.747</v>
      </c>
      <c r="DY15" s="21" t="n">
        <v>211.663</v>
      </c>
      <c r="DZ15" s="21" t="n">
        <v>189.373</v>
      </c>
      <c r="EA15" s="21" t="n">
        <v>293.14</v>
      </c>
      <c r="EB15" s="21" t="n">
        <v>193.118</v>
      </c>
      <c r="EC15" s="21" t="n">
        <v>205.294</v>
      </c>
      <c r="ED15" s="21" t="n">
        <v>154.119</v>
      </c>
      <c r="EE15" s="21" t="n">
        <v>218.681</v>
      </c>
      <c r="EF15" s="21" t="n">
        <v>504.942</v>
      </c>
      <c r="EG15" s="21" t="n">
        <v>438.296</v>
      </c>
      <c r="EH15" s="21" t="n">
        <v>122.144</v>
      </c>
      <c r="EI15" s="21" t="n">
        <v>61.099</v>
      </c>
      <c r="EJ15" s="21" t="n">
        <v>69.113</v>
      </c>
      <c r="EK15" s="21" t="n">
        <v>48.318</v>
      </c>
      <c r="EL15" s="21" t="n">
        <v>113.291</v>
      </c>
      <c r="EM15" s="21" t="n">
        <v>71.94</v>
      </c>
      <c r="EN15" s="21" t="n">
        <v>77.955</v>
      </c>
      <c r="EO15" s="21" t="n">
        <v>84.777</v>
      </c>
      <c r="EP15" s="21" t="n">
        <v>96.262</v>
      </c>
      <c r="EQ15" s="21" t="n">
        <v>67.899</v>
      </c>
      <c r="ER15" s="21" t="n">
        <v>58.421</v>
      </c>
      <c r="ES15" s="21" t="n">
        <v>130.662</v>
      </c>
      <c r="ET15" s="21" t="n">
        <v>88.131</v>
      </c>
      <c r="EU15" s="21" t="n">
        <v>90.342</v>
      </c>
      <c r="EV15" s="21" t="n">
        <v>98.76300000000001</v>
      </c>
      <c r="EW15" s="21" t="n">
        <v>86.40300000000001</v>
      </c>
      <c r="EX15" s="21" t="n">
        <v>187.151</v>
      </c>
      <c r="EY15" s="21" t="n">
        <v>119.622</v>
      </c>
      <c r="EZ15" s="21" t="n">
        <v>118.453</v>
      </c>
      <c r="FA15" s="21" t="n">
        <v>151.98</v>
      </c>
      <c r="FB15" s="21" t="n">
        <v>125.898</v>
      </c>
      <c r="FC15" s="21" t="n">
        <v>118.301</v>
      </c>
      <c r="FD15" s="21" t="n">
        <v>122.67</v>
      </c>
      <c r="FE15" s="21" t="n">
        <v>106.911</v>
      </c>
      <c r="FF15" s="21" t="n">
        <v>156.772</v>
      </c>
      <c r="FG15" s="21" t="n">
        <v>77.529</v>
      </c>
      <c r="FH15" s="21" t="n">
        <v>123.098</v>
      </c>
      <c r="FI15" s="21" t="n">
        <v>101.928</v>
      </c>
      <c r="FJ15" s="21" t="n">
        <v>110.299</v>
      </c>
      <c r="FK15" s="21" t="n">
        <v>113.114</v>
      </c>
      <c r="FL15" s="21" t="n">
        <v>114.335</v>
      </c>
      <c r="FM15" s="21" t="n">
        <v>117.947</v>
      </c>
      <c r="FN15" s="21" t="n">
        <v>80.173</v>
      </c>
      <c r="FO15" s="21" t="n">
        <v>106.231</v>
      </c>
      <c r="FP15" s="21" t="n">
        <v>96.855</v>
      </c>
      <c r="FQ15" s="21" t="n">
        <v>138.09</v>
      </c>
      <c r="FR15" s="21" t="n">
        <v>141.491</v>
      </c>
      <c r="FS15" s="21" t="n">
        <v>153.996</v>
      </c>
      <c r="FT15" s="21" t="n">
        <v>128.199</v>
      </c>
      <c r="FU15" s="21" t="n">
        <v>119.163</v>
      </c>
      <c r="FV15" s="21" t="n">
        <v>170.872</v>
      </c>
      <c r="FW15" s="21" t="n">
        <v>134.767</v>
      </c>
      <c r="FX15" s="21" t="n">
        <v>174.36</v>
      </c>
      <c r="FY15" s="21" t="n">
        <v>188.784</v>
      </c>
      <c r="FZ15" s="21" t="n">
        <v>183.014</v>
      </c>
      <c r="GA15" s="21" t="n">
        <v>100.358</v>
      </c>
      <c r="GB15" s="21" t="n">
        <v>147.374</v>
      </c>
      <c r="GC15" s="21" t="n">
        <v>102.185</v>
      </c>
      <c r="GD15" s="21" t="n">
        <v>144.078</v>
      </c>
      <c r="GE15" s="21" t="n">
        <v>156.19</v>
      </c>
      <c r="GF15" s="21" t="n"/>
      <c r="GG15" s="21" t="n">
        <v>143.979</v>
      </c>
      <c r="GH15" s="21" t="n">
        <v>85.224</v>
      </c>
      <c r="GI15" s="21" t="n">
        <v>127.989</v>
      </c>
      <c r="GJ15" s="21" t="n">
        <v>163.438</v>
      </c>
      <c r="GK15" s="21" t="n">
        <v>162.727</v>
      </c>
      <c r="GL15" s="21" t="n">
        <v>157.669</v>
      </c>
      <c r="GM15" s="21" t="n">
        <v>176.838</v>
      </c>
      <c r="GN15" s="21" t="n">
        <v>178.741</v>
      </c>
      <c r="GO15" s="21" t="n">
        <v>145.485</v>
      </c>
      <c r="GP15" s="21" t="n">
        <v>144.617</v>
      </c>
      <c r="GQ15" s="21" t="n">
        <v>126.88</v>
      </c>
      <c r="GR15" s="21" t="n">
        <v>273.072</v>
      </c>
      <c r="GS15" s="21" t="n">
        <v>169.709</v>
      </c>
      <c r="GT15" s="21" t="n">
        <v>475.028</v>
      </c>
      <c r="GU15" s="21" t="n">
        <v>196.883</v>
      </c>
      <c r="GV15" s="21" t="n">
        <v>219.158</v>
      </c>
      <c r="GW15" s="21" t="n">
        <v>266.691</v>
      </c>
      <c r="GX15" s="21" t="n">
        <v>286.419</v>
      </c>
      <c r="GY15" s="21" t="n">
        <v>156.28</v>
      </c>
      <c r="GZ15" s="21" t="n">
        <v>109.646</v>
      </c>
      <c r="HA15" s="21" t="n">
        <v>63.88</v>
      </c>
      <c r="HB15" s="21" t="n">
        <v>456.922</v>
      </c>
      <c r="HC15" s="21" t="n">
        <v>361.435</v>
      </c>
      <c r="HD15" s="21" t="n">
        <v>117.76</v>
      </c>
      <c r="HE15" s="21" t="n">
        <v>490.868</v>
      </c>
      <c r="HF15" s="21" t="n">
        <v>96.47799999999999</v>
      </c>
      <c r="HG15" s="21" t="n">
        <v>487.562</v>
      </c>
      <c r="HH15" s="21" t="n">
        <v>367.048</v>
      </c>
      <c r="HI15" s="21" t="n">
        <v>372.091</v>
      </c>
      <c r="HJ15" s="21" t="n">
        <v>462.49</v>
      </c>
      <c r="HK15" s="21" t="n">
        <v>185.749</v>
      </c>
      <c r="HL15" s="21" t="n">
        <v>228.858</v>
      </c>
      <c r="HM15" s="21" t="n">
        <v>71.264</v>
      </c>
      <c r="HN15" s="21" t="n">
        <v>298.942</v>
      </c>
      <c r="HO15" s="21" t="n">
        <v>295.682</v>
      </c>
      <c r="HP15" s="21" t="n">
        <v>663.401</v>
      </c>
      <c r="HQ15" s="21" t="n">
        <v>210.63</v>
      </c>
      <c r="HR15" s="21" t="n">
        <v>116.48</v>
      </c>
      <c r="HS15" s="21" t="n">
        <v>100.298</v>
      </c>
      <c r="HT15" s="21" t="n">
        <v>293.17</v>
      </c>
      <c r="HU15" s="21" t="n">
        <v>430.633</v>
      </c>
      <c r="HV15" s="21" t="n">
        <v>128.975</v>
      </c>
      <c r="HW15" s="21" t="n">
        <v>35.57</v>
      </c>
      <c r="HX15" s="21" t="n">
        <v>168.616</v>
      </c>
      <c r="HY15" s="21" t="n">
        <v>197.839</v>
      </c>
      <c r="HZ15" s="21" t="n">
        <v>151.823</v>
      </c>
      <c r="IA15" s="21" t="n">
        <v>113.586</v>
      </c>
      <c r="IB15" s="21" t="n">
        <v>231.126</v>
      </c>
      <c r="IC15" s="21" t="n">
        <v>183.707</v>
      </c>
      <c r="ID15" s="21" t="n">
        <v>241.995</v>
      </c>
      <c r="IE15" s="21" t="n">
        <v>113.059</v>
      </c>
      <c r="IF15" s="21" t="n">
        <v>145.798</v>
      </c>
      <c r="IG15" s="21" t="n">
        <v>84.601</v>
      </c>
      <c r="IH15" s="21" t="n">
        <v>74.86</v>
      </c>
      <c r="II15" s="21" t="n">
        <v>53.259</v>
      </c>
      <c r="IJ15" s="21" t="n">
        <v>21.833</v>
      </c>
      <c r="IK15" s="21" t="n">
        <v>44.956</v>
      </c>
      <c r="IL15" s="21" t="n">
        <v>42.068</v>
      </c>
      <c r="IM15" s="21" t="n">
        <v>50.885</v>
      </c>
      <c r="IN15" s="21" t="n">
        <v>95.28</v>
      </c>
      <c r="IO15" s="21" t="n">
        <v>100.652</v>
      </c>
      <c r="IP15" s="21" t="n">
        <v>158.45</v>
      </c>
      <c r="IQ15" s="21" t="n">
        <v>130.481</v>
      </c>
      <c r="IR15" s="21" t="n">
        <v>362.063</v>
      </c>
      <c r="IS15" s="21" t="n">
        <v>170.635</v>
      </c>
      <c r="IT15" s="21" t="n">
        <v>214.584</v>
      </c>
      <c r="IU15" s="21" t="n">
        <v>293.409</v>
      </c>
      <c r="IV15" s="21" t="n">
        <v>243.645</v>
      </c>
      <c r="IW15" s="21" t="n">
        <v>139.213</v>
      </c>
      <c r="IX15" s="21" t="n">
        <v>245.046</v>
      </c>
      <c r="IY15" s="21" t="n">
        <v>660.05</v>
      </c>
      <c r="IZ15" s="21" t="n">
        <v>701.688</v>
      </c>
      <c r="JA15" s="21" t="n">
        <v>800.149</v>
      </c>
      <c r="JB15" s="21" t="n">
        <v>73.125</v>
      </c>
      <c r="JC15" s="21" t="n">
        <v>280.174</v>
      </c>
      <c r="JD15" s="21" t="n">
        <v>236.478</v>
      </c>
      <c r="JE15" s="21" t="n">
        <v>79.974</v>
      </c>
      <c r="JF15" s="21" t="n">
        <v>175.647</v>
      </c>
      <c r="JG15" s="21" t="n">
        <v>276.729</v>
      </c>
      <c r="JH15" s="21" t="n">
        <v>275.675</v>
      </c>
      <c r="JI15" s="21" t="n">
        <v>76.126</v>
      </c>
      <c r="JJ15" s="21" t="n">
        <v>117.361</v>
      </c>
      <c r="JK15" s="21" t="n">
        <v>45.249</v>
      </c>
      <c r="JL15" s="21" t="n">
        <v>77.708</v>
      </c>
      <c r="JM15" s="21" t="n">
        <v>283.276</v>
      </c>
      <c r="JN15" s="21" t="n">
        <v>419.627</v>
      </c>
      <c r="JO15" s="21" t="n">
        <v>59.981</v>
      </c>
      <c r="JP15" s="21" t="n">
        <v>388.399</v>
      </c>
      <c r="JQ15" s="21" t="n">
        <v>222.707</v>
      </c>
      <c r="JR15" s="21" t="n">
        <v>163.692</v>
      </c>
      <c r="JS15" s="21" t="n">
        <v>404.395</v>
      </c>
      <c r="JT15" s="21" t="n">
        <v>326.68</v>
      </c>
      <c r="JU15" s="21" t="n">
        <v>317.399</v>
      </c>
      <c r="JV15" s="21" t="n">
        <v>158.868</v>
      </c>
      <c r="JW15" s="21" t="n">
        <v>320.988</v>
      </c>
      <c r="JX15" s="21" t="n">
        <v>220.043</v>
      </c>
      <c r="JY15" s="21" t="n">
        <v>80.233</v>
      </c>
      <c r="JZ15" s="21" t="n">
        <v>150.766</v>
      </c>
      <c r="KA15" s="21" t="n">
        <v>226.792</v>
      </c>
      <c r="KB15" s="21" t="n">
        <v>245.286</v>
      </c>
      <c r="KC15" s="21" t="n">
        <v>235.585</v>
      </c>
      <c r="KD15" s="21" t="n">
        <v>245.51</v>
      </c>
      <c r="KE15" s="21" t="n">
        <v>221.518</v>
      </c>
      <c r="KF15" s="21" t="n">
        <v>214.567</v>
      </c>
      <c r="KG15" s="21" t="n">
        <v>223.866</v>
      </c>
      <c r="KH15" s="21" t="n">
        <v>228.645</v>
      </c>
      <c r="KI15" s="21" t="n">
        <v>118.496</v>
      </c>
      <c r="KJ15" s="21" t="n">
        <v>177.511</v>
      </c>
      <c r="KK15" s="21" t="n">
        <v>146.065</v>
      </c>
      <c r="KL15" s="21" t="n">
        <v>142.792</v>
      </c>
      <c r="KM15" s="21" t="n">
        <v>145.674</v>
      </c>
      <c r="KN15" s="21" t="n">
        <v>146.512</v>
      </c>
      <c r="KO15" s="21" t="n">
        <v>250.853</v>
      </c>
      <c r="KP15" s="21" t="n">
        <v>108.26</v>
      </c>
      <c r="KQ15" s="21" t="n">
        <v>80.66500000000001</v>
      </c>
      <c r="KR15" s="21" t="n">
        <v>111.002</v>
      </c>
      <c r="KS15" s="21" t="n">
        <v>176.401</v>
      </c>
      <c r="KT15" s="21" t="n">
        <v>166.901</v>
      </c>
      <c r="KU15" s="21" t="n">
        <v>92.474</v>
      </c>
      <c r="KV15" s="21" t="n">
        <v>61.146</v>
      </c>
      <c r="KW15" s="21" t="n">
        <v>212.444</v>
      </c>
      <c r="KX15" s="21" t="n">
        <v>181.737</v>
      </c>
      <c r="KY15" s="21" t="n">
        <v>215.673</v>
      </c>
      <c r="KZ15" s="21" t="n">
        <v>177.992</v>
      </c>
      <c r="LA15" s="21" t="n">
        <v>214.231</v>
      </c>
      <c r="LB15" s="21" t="n">
        <v>108.68</v>
      </c>
      <c r="LC15" s="21" t="n">
        <v>343.937</v>
      </c>
      <c r="LD15" s="21" t="n">
        <v>86.94199999999999</v>
      </c>
      <c r="LE15" s="21" t="n">
        <v>113.696</v>
      </c>
      <c r="LF15" s="21" t="n">
        <v>296.335</v>
      </c>
      <c r="LG15" s="21" t="n">
        <v>296.387</v>
      </c>
      <c r="LH15" s="21" t="n">
        <v>306.819</v>
      </c>
      <c r="LI15" s="21" t="n">
        <v>281.877</v>
      </c>
      <c r="LJ15" s="21" t="n">
        <v>319.394</v>
      </c>
      <c r="LK15" s="21" t="n">
        <v>105.944</v>
      </c>
      <c r="LL15" s="21" t="n">
        <v>295.617</v>
      </c>
      <c r="LM15" s="21" t="n">
        <v>213.433</v>
      </c>
      <c r="LN15" s="21" t="n">
        <v>57.909</v>
      </c>
      <c r="LO15" s="21" t="n">
        <v>115.324</v>
      </c>
    </row>
    <row r="16">
      <c r="A16" s="22" t="n">
        <v>42430</v>
      </c>
      <c r="B16" s="21" t="n">
        <v>238.08</v>
      </c>
      <c r="C16" s="21" t="n">
        <v>247.699</v>
      </c>
      <c r="D16" s="21" t="n">
        <v>248.029</v>
      </c>
      <c r="E16" s="21" t="n">
        <v>240.414</v>
      </c>
      <c r="F16" s="21" t="n">
        <v>272.782</v>
      </c>
      <c r="G16" s="21" t="n">
        <v>231.679</v>
      </c>
      <c r="H16" s="21" t="n">
        <v>238.779</v>
      </c>
      <c r="I16" s="21" t="n">
        <v>227.129</v>
      </c>
      <c r="J16" s="21" t="n">
        <v>240.09</v>
      </c>
      <c r="K16" s="21" t="n">
        <v>296.865</v>
      </c>
      <c r="L16" s="21" t="n">
        <v>178.446</v>
      </c>
      <c r="M16" s="21" t="n">
        <v>175.365</v>
      </c>
      <c r="N16" s="21" t="n">
        <v>282.531</v>
      </c>
      <c r="O16" s="21" t="n">
        <v>268.32</v>
      </c>
      <c r="P16" s="21" t="n">
        <v>264.74</v>
      </c>
      <c r="Q16" s="21" t="n">
        <v>302.311</v>
      </c>
      <c r="R16" s="21" t="n">
        <v>267.897</v>
      </c>
      <c r="S16" s="21" t="n">
        <v>251.508</v>
      </c>
      <c r="T16" s="21" t="n">
        <v>251.283</v>
      </c>
      <c r="U16" s="21" t="n">
        <v>256.164</v>
      </c>
      <c r="V16" s="21" t="n">
        <v>309.055</v>
      </c>
      <c r="W16" s="21" t="n">
        <v>273.841</v>
      </c>
      <c r="X16" s="21" t="n">
        <v>231.849</v>
      </c>
      <c r="Y16" s="21" t="n">
        <v>210.503</v>
      </c>
      <c r="Z16" s="21" t="n">
        <v>210.82</v>
      </c>
      <c r="AA16" s="21" t="n">
        <v>154.486</v>
      </c>
      <c r="AB16" s="21" t="n">
        <v>284.483</v>
      </c>
      <c r="AC16" s="21" t="n">
        <v>142.498</v>
      </c>
      <c r="AD16" s="21" t="n">
        <v>203.694</v>
      </c>
      <c r="AE16" s="21" t="n">
        <v>227.528</v>
      </c>
      <c r="AF16" s="21" t="n">
        <v>189.404</v>
      </c>
      <c r="AG16" s="21" t="n">
        <v>128.434</v>
      </c>
      <c r="AH16" s="21" t="n">
        <v>228.252</v>
      </c>
      <c r="AI16" s="21" t="n">
        <v>230.946</v>
      </c>
      <c r="AJ16" s="21" t="n">
        <v>148.6</v>
      </c>
      <c r="AK16" s="21" t="n">
        <v>230.461</v>
      </c>
      <c r="AL16" s="21" t="n">
        <v>147.001</v>
      </c>
      <c r="AM16" s="21" t="n">
        <v>249.143</v>
      </c>
      <c r="AN16" s="21" t="n">
        <v>217.756</v>
      </c>
      <c r="AO16" s="21" t="n">
        <v>155.371</v>
      </c>
      <c r="AP16" s="21" t="n">
        <v>282.081</v>
      </c>
      <c r="AQ16" s="21" t="n">
        <v>172.249</v>
      </c>
      <c r="AR16" s="21" t="n">
        <v>143.732</v>
      </c>
      <c r="AS16" s="21" t="n">
        <v>202.562</v>
      </c>
      <c r="AT16" s="21" t="n">
        <v>302.056</v>
      </c>
      <c r="AU16" s="21" t="n">
        <v>256.622</v>
      </c>
      <c r="AV16" s="21" t="n">
        <v>217.77</v>
      </c>
      <c r="AW16" s="21" t="n">
        <v>140.472</v>
      </c>
      <c r="AX16" s="21" t="n">
        <v>201.695</v>
      </c>
      <c r="AY16" s="21" t="n">
        <v>144.203</v>
      </c>
      <c r="AZ16" s="21" t="n">
        <v>229.518</v>
      </c>
      <c r="BA16" s="21" t="n">
        <v>219.215</v>
      </c>
      <c r="BB16" s="21" t="n">
        <v>146.469</v>
      </c>
      <c r="BC16" s="21" t="n">
        <v>299.141</v>
      </c>
      <c r="BD16" s="21" t="n">
        <v>346.174</v>
      </c>
      <c r="BE16" s="21" t="n">
        <v>361.019</v>
      </c>
      <c r="BF16" s="21" t="n">
        <v>358.455</v>
      </c>
      <c r="BG16" s="21" t="n">
        <v>200.311</v>
      </c>
      <c r="BH16" s="21" t="n">
        <v>236.577</v>
      </c>
      <c r="BI16" s="21" t="n">
        <v>485.328</v>
      </c>
      <c r="BJ16" s="21" t="n">
        <v>122.041</v>
      </c>
      <c r="BK16" s="21" t="n">
        <v>329.317</v>
      </c>
      <c r="BL16" s="21" t="n">
        <v>333.375</v>
      </c>
      <c r="BM16" s="21" t="n">
        <v>299.284</v>
      </c>
      <c r="BN16" s="21" t="n">
        <v>342.579</v>
      </c>
      <c r="BO16" s="21" t="n">
        <v>334.296</v>
      </c>
      <c r="BP16" s="21" t="n">
        <v>157.535</v>
      </c>
      <c r="BQ16" s="21" t="n">
        <v>161.206</v>
      </c>
      <c r="BR16" s="21" t="n">
        <v>157.105</v>
      </c>
      <c r="BS16" s="21" t="n">
        <v>169.069</v>
      </c>
      <c r="BT16" s="21" t="n">
        <v>148.014</v>
      </c>
      <c r="BU16" s="21" t="n">
        <v>201.337</v>
      </c>
      <c r="BV16" s="21" t="n">
        <v>162.302</v>
      </c>
      <c r="BW16" s="21" t="n">
        <v>167.56</v>
      </c>
      <c r="BX16" s="21" t="n">
        <v>128.863</v>
      </c>
      <c r="BY16" s="21" t="n">
        <v>160.974</v>
      </c>
      <c r="BZ16" s="21" t="n">
        <v>117.794</v>
      </c>
      <c r="CA16" s="21" t="n">
        <v>118.543</v>
      </c>
      <c r="CB16" s="21" t="n">
        <v>200.018</v>
      </c>
      <c r="CC16" s="21" t="n">
        <v>208.387</v>
      </c>
      <c r="CD16" s="21" t="n">
        <v>128.329</v>
      </c>
      <c r="CE16" s="21" t="n">
        <v>209.736</v>
      </c>
      <c r="CF16" s="21" t="n">
        <v>215.343</v>
      </c>
      <c r="CG16" s="21" t="n">
        <v>186.948</v>
      </c>
      <c r="CH16" s="21" t="n">
        <v>145.691</v>
      </c>
      <c r="CI16" s="21" t="n">
        <v>152.022</v>
      </c>
      <c r="CJ16" s="21" t="n">
        <v>227.111</v>
      </c>
      <c r="CK16" s="21" t="n">
        <v>201.477</v>
      </c>
      <c r="CL16" s="21" t="n">
        <v>238.4</v>
      </c>
      <c r="CM16" s="21" t="n">
        <v>287.102</v>
      </c>
      <c r="CN16" s="21" t="n">
        <v>130.284</v>
      </c>
      <c r="CO16" s="21" t="n">
        <v>158.084</v>
      </c>
      <c r="CP16" s="21" t="n">
        <v>224.214</v>
      </c>
      <c r="CQ16" s="21" t="n">
        <v>243.623</v>
      </c>
      <c r="CR16" s="21" t="n">
        <v>170.628</v>
      </c>
      <c r="CS16" s="21" t="n">
        <v>253.786</v>
      </c>
      <c r="CT16" s="21" t="n">
        <v>237.209</v>
      </c>
      <c r="CU16" s="21" t="n">
        <v>151.308</v>
      </c>
      <c r="CV16" s="21" t="n">
        <v>139.581</v>
      </c>
      <c r="CW16" s="21" t="n">
        <v>136.91</v>
      </c>
      <c r="CX16" s="21" t="n">
        <v>271.973</v>
      </c>
      <c r="CY16" s="21" t="n">
        <v>131.413</v>
      </c>
      <c r="CZ16" s="21" t="n">
        <v>123.515</v>
      </c>
      <c r="DA16" s="21" t="n">
        <v>260.883</v>
      </c>
      <c r="DB16" s="21" t="n">
        <v>161.898</v>
      </c>
      <c r="DC16" s="21" t="n">
        <v>168.623</v>
      </c>
      <c r="DD16" s="21" t="n">
        <v>141.23</v>
      </c>
      <c r="DE16" s="21" t="n">
        <v>182.32</v>
      </c>
      <c r="DF16" s="21" t="n">
        <v>241.843</v>
      </c>
      <c r="DG16" s="21" t="n">
        <v>198.824</v>
      </c>
      <c r="DH16" s="21" t="n">
        <v>218.033</v>
      </c>
      <c r="DI16" s="21" t="n">
        <v>194.16</v>
      </c>
      <c r="DJ16" s="21" t="n">
        <v>209.425</v>
      </c>
      <c r="DK16" s="21" t="n">
        <v>187</v>
      </c>
      <c r="DL16" s="21" t="n">
        <v>168.775</v>
      </c>
      <c r="DM16" s="21" t="n">
        <v>334.106</v>
      </c>
      <c r="DN16" s="21" t="n">
        <v>181.09</v>
      </c>
      <c r="DO16" s="21" t="n">
        <v>241.587</v>
      </c>
      <c r="DP16" s="21" t="n">
        <v>285.122</v>
      </c>
      <c r="DQ16" s="21" t="n">
        <v>293.471</v>
      </c>
      <c r="DR16" s="21" t="n">
        <v>156.829</v>
      </c>
      <c r="DS16" s="21" t="n">
        <v>518.491</v>
      </c>
      <c r="DT16" s="21" t="n">
        <v>322.815</v>
      </c>
      <c r="DU16" s="21" t="n">
        <v>292.144</v>
      </c>
      <c r="DV16" s="21" t="n">
        <v>292.103</v>
      </c>
      <c r="DW16" s="21" t="n">
        <v>225.63</v>
      </c>
      <c r="DX16" s="21" t="n">
        <v>188.124</v>
      </c>
      <c r="DY16" s="21" t="n">
        <v>212.927</v>
      </c>
      <c r="DZ16" s="21" t="n">
        <v>192.617</v>
      </c>
      <c r="EA16" s="21" t="n">
        <v>289.233</v>
      </c>
      <c r="EB16" s="21" t="n">
        <v>193.472</v>
      </c>
      <c r="EC16" s="21" t="n">
        <v>205.707</v>
      </c>
      <c r="ED16" s="21" t="n">
        <v>154.292</v>
      </c>
      <c r="EE16" s="21" t="n">
        <v>219.417</v>
      </c>
      <c r="EF16" s="21" t="n">
        <v>507.428</v>
      </c>
      <c r="EG16" s="21" t="n">
        <v>437.699</v>
      </c>
      <c r="EH16" s="21" t="n">
        <v>122.062</v>
      </c>
      <c r="EI16" s="21" t="n">
        <v>60.036</v>
      </c>
      <c r="EJ16" s="21" t="n">
        <v>69.34399999999999</v>
      </c>
      <c r="EK16" s="21" t="n">
        <v>46.642</v>
      </c>
      <c r="EL16" s="21" t="n">
        <v>113.588</v>
      </c>
      <c r="EM16" s="21" t="n">
        <v>71.071</v>
      </c>
      <c r="EN16" s="21" t="n">
        <v>77.613</v>
      </c>
      <c r="EO16" s="21" t="n">
        <v>85.02800000000001</v>
      </c>
      <c r="EP16" s="21" t="n">
        <v>97.285</v>
      </c>
      <c r="EQ16" s="21" t="n">
        <v>66.711</v>
      </c>
      <c r="ER16" s="21" t="n">
        <v>58.114</v>
      </c>
      <c r="ES16" s="21" t="n">
        <v>129.211</v>
      </c>
      <c r="ET16" s="21" t="n">
        <v>88.812</v>
      </c>
      <c r="EU16" s="21" t="n">
        <v>90.384</v>
      </c>
      <c r="EV16" s="21" t="n">
        <v>99.17700000000001</v>
      </c>
      <c r="EW16" s="21" t="n">
        <v>86.352</v>
      </c>
      <c r="EX16" s="21" t="n">
        <v>187.391</v>
      </c>
      <c r="EY16" s="21" t="n">
        <v>119.898</v>
      </c>
      <c r="EZ16" s="21" t="n">
        <v>118.385</v>
      </c>
      <c r="FA16" s="21" t="n">
        <v>152.103</v>
      </c>
      <c r="FB16" s="21" t="n">
        <v>125.843</v>
      </c>
      <c r="FC16" s="21" t="n">
        <v>117.361</v>
      </c>
      <c r="FD16" s="21" t="n">
        <v>121.868</v>
      </c>
      <c r="FE16" s="21" t="n">
        <v>105.112</v>
      </c>
      <c r="FF16" s="21" t="n">
        <v>157.073</v>
      </c>
      <c r="FG16" s="21" t="n">
        <v>78.69</v>
      </c>
      <c r="FH16" s="21" t="n">
        <v>119.34</v>
      </c>
      <c r="FI16" s="21" t="n">
        <v>101.622</v>
      </c>
      <c r="FJ16" s="21" t="n">
        <v>111.649</v>
      </c>
      <c r="FK16" s="21" t="n">
        <v>114.795</v>
      </c>
      <c r="FL16" s="21" t="n">
        <v>113.57</v>
      </c>
      <c r="FM16" s="21" t="n">
        <v>118.129</v>
      </c>
      <c r="FN16" s="21" t="n">
        <v>82.143</v>
      </c>
      <c r="FO16" s="21" t="n">
        <v>105.652</v>
      </c>
      <c r="FP16" s="21" t="n">
        <v>96.771</v>
      </c>
      <c r="FQ16" s="21" t="n">
        <v>137.632</v>
      </c>
      <c r="FR16" s="21" t="n">
        <v>141.288</v>
      </c>
      <c r="FS16" s="21" t="n">
        <v>151.002</v>
      </c>
      <c r="FT16" s="21" t="n">
        <v>128.043</v>
      </c>
      <c r="FU16" s="21" t="n">
        <v>117.918</v>
      </c>
      <c r="FV16" s="21" t="n">
        <v>165.862</v>
      </c>
      <c r="FW16" s="21" t="n">
        <v>128.774</v>
      </c>
      <c r="FX16" s="21" t="n">
        <v>170.327</v>
      </c>
      <c r="FY16" s="21" t="n">
        <v>191.583</v>
      </c>
      <c r="FZ16" s="21" t="n">
        <v>185.942</v>
      </c>
      <c r="GA16" s="21" t="n">
        <v>100.327</v>
      </c>
      <c r="GB16" s="21" t="n">
        <v>147.443</v>
      </c>
      <c r="GC16" s="21" t="n">
        <v>102.198</v>
      </c>
      <c r="GD16" s="21" t="n">
        <v>143.992</v>
      </c>
      <c r="GE16" s="21" t="n">
        <v>156.405</v>
      </c>
      <c r="GF16" s="21" t="n"/>
      <c r="GG16" s="21" t="n">
        <v>143.659</v>
      </c>
      <c r="GH16" s="21" t="n">
        <v>84.97799999999999</v>
      </c>
      <c r="GI16" s="21" t="n">
        <v>130.379</v>
      </c>
      <c r="GJ16" s="21" t="n">
        <v>175.823</v>
      </c>
      <c r="GK16" s="21" t="n">
        <v>175.164</v>
      </c>
      <c r="GL16" s="21" t="n">
        <v>170.981</v>
      </c>
      <c r="GM16" s="21" t="n">
        <v>192.131</v>
      </c>
      <c r="GN16" s="21" t="n">
        <v>188.928</v>
      </c>
      <c r="GO16" s="21" t="n">
        <v>149.363</v>
      </c>
      <c r="GP16" s="21" t="n">
        <v>144.179</v>
      </c>
      <c r="GQ16" s="21" t="n">
        <v>126.348</v>
      </c>
      <c r="GR16" s="21" t="n">
        <v>273.98</v>
      </c>
      <c r="GS16" s="21" t="n">
        <v>170.727</v>
      </c>
      <c r="GT16" s="21" t="n">
        <v>477.404</v>
      </c>
      <c r="GU16" s="21" t="n">
        <v>197.209</v>
      </c>
      <c r="GV16" s="21" t="n">
        <v>219.786</v>
      </c>
      <c r="GW16" s="21" t="n">
        <v>266.869</v>
      </c>
      <c r="GX16" s="21" t="n">
        <v>286.501</v>
      </c>
      <c r="GY16" s="21" t="n">
        <v>156.08</v>
      </c>
      <c r="GZ16" s="21" t="n">
        <v>110.69</v>
      </c>
      <c r="HA16" s="21" t="n">
        <v>64.899</v>
      </c>
      <c r="HB16" s="21" t="n">
        <v>457.723</v>
      </c>
      <c r="HC16" s="21" t="n">
        <v>362.386</v>
      </c>
      <c r="HD16" s="21" t="n">
        <v>118.207</v>
      </c>
      <c r="HE16" s="21" t="n">
        <v>493.578</v>
      </c>
      <c r="HF16" s="21" t="n">
        <v>96.319</v>
      </c>
      <c r="HG16" s="21" t="n">
        <v>488.298</v>
      </c>
      <c r="HH16" s="21" t="n">
        <v>367.553</v>
      </c>
      <c r="HI16" s="21" t="n">
        <v>372.672</v>
      </c>
      <c r="HJ16" s="21" t="n">
        <v>460.525</v>
      </c>
      <c r="HK16" s="21" t="n">
        <v>186.572</v>
      </c>
      <c r="HL16" s="21" t="n">
        <v>228.682</v>
      </c>
      <c r="HM16" s="21" t="n">
        <v>71.262</v>
      </c>
      <c r="HN16" s="21" t="n">
        <v>298.78</v>
      </c>
      <c r="HO16" s="21" t="n">
        <v>295.576</v>
      </c>
      <c r="HP16" s="21" t="n">
        <v>662.708</v>
      </c>
      <c r="HQ16" s="21" t="n">
        <v>211.444</v>
      </c>
      <c r="HR16" s="21" t="n">
        <v>116.743</v>
      </c>
      <c r="HS16" s="21" t="n">
        <v>100.757</v>
      </c>
      <c r="HT16" s="21" t="n">
        <v>287.525</v>
      </c>
      <c r="HU16" s="21" t="n">
        <v>433.738</v>
      </c>
      <c r="HV16" s="21" t="n">
        <v>130.648</v>
      </c>
      <c r="HW16" s="21" t="n">
        <v>35.471</v>
      </c>
      <c r="HX16" s="21" t="n">
        <v>168.907</v>
      </c>
      <c r="HY16" s="21" t="n">
        <v>197.966</v>
      </c>
      <c r="HZ16" s="21" t="n">
        <v>151.671</v>
      </c>
      <c r="IA16" s="21" t="n">
        <v>113.874</v>
      </c>
      <c r="IB16" s="21" t="n">
        <v>231.926</v>
      </c>
      <c r="IC16" s="21" t="n">
        <v>184.178</v>
      </c>
      <c r="ID16" s="21" t="n">
        <v>242.588</v>
      </c>
      <c r="IE16" s="21" t="n">
        <v>113</v>
      </c>
      <c r="IF16" s="21" t="n">
        <v>145.367</v>
      </c>
      <c r="IG16" s="21" t="n">
        <v>84.786</v>
      </c>
      <c r="IH16" s="21" t="n">
        <v>74.477</v>
      </c>
      <c r="II16" s="21" t="n">
        <v>52.809</v>
      </c>
      <c r="IJ16" s="21" t="n">
        <v>21.642</v>
      </c>
      <c r="IK16" s="21" t="n">
        <v>44.833</v>
      </c>
      <c r="IL16" s="21" t="n">
        <v>41.906</v>
      </c>
      <c r="IM16" s="21" t="n">
        <v>50.598</v>
      </c>
      <c r="IN16" s="21" t="n">
        <v>96.447</v>
      </c>
      <c r="IO16" s="21" t="n">
        <v>100.498</v>
      </c>
      <c r="IP16" s="21" t="n">
        <v>159.052</v>
      </c>
      <c r="IQ16" s="21" t="n">
        <v>131.664</v>
      </c>
      <c r="IR16" s="21" t="n">
        <v>362.163</v>
      </c>
      <c r="IS16" s="21" t="n">
        <v>174.62</v>
      </c>
      <c r="IT16" s="21" t="n">
        <v>204.738</v>
      </c>
      <c r="IU16" s="21" t="n">
        <v>292.769</v>
      </c>
      <c r="IV16" s="21" t="n">
        <v>239.842</v>
      </c>
      <c r="IW16" s="21" t="n">
        <v>139.392</v>
      </c>
      <c r="IX16" s="21" t="n">
        <v>245.554</v>
      </c>
      <c r="IY16" s="21" t="n">
        <v>658.775</v>
      </c>
      <c r="IZ16" s="21" t="n">
        <v>703.289</v>
      </c>
      <c r="JA16" s="21" t="n">
        <v>802.154</v>
      </c>
      <c r="JB16" s="21" t="n">
        <v>73.38</v>
      </c>
      <c r="JC16" s="21" t="n">
        <v>280.616</v>
      </c>
      <c r="JD16" s="21" t="n">
        <v>236.851</v>
      </c>
      <c r="JE16" s="21" t="n">
        <v>80.026</v>
      </c>
      <c r="JF16" s="21" t="n">
        <v>176.337</v>
      </c>
      <c r="JG16" s="21" t="n">
        <v>277.831</v>
      </c>
      <c r="JH16" s="21" t="n">
        <v>276.472</v>
      </c>
      <c r="JI16" s="21" t="n">
        <v>76.166</v>
      </c>
      <c r="JJ16" s="21" t="n">
        <v>117.666</v>
      </c>
      <c r="JK16" s="21" t="n">
        <v>45.269</v>
      </c>
      <c r="JL16" s="21" t="n">
        <v>78.217</v>
      </c>
      <c r="JM16" s="21" t="n">
        <v>283.658</v>
      </c>
      <c r="JN16" s="21" t="n">
        <v>420.632</v>
      </c>
      <c r="JO16" s="21" t="n">
        <v>60.124</v>
      </c>
      <c r="JP16" s="21" t="n">
        <v>389.258</v>
      </c>
      <c r="JQ16" s="21" t="n">
        <v>223.241</v>
      </c>
      <c r="JR16" s="21" t="n">
        <v>163.554</v>
      </c>
      <c r="JS16" s="21" t="n">
        <v>405.997</v>
      </c>
      <c r="JT16" s="21" t="n">
        <v>326.714</v>
      </c>
      <c r="JU16" s="21" t="n">
        <v>317.778</v>
      </c>
      <c r="JV16" s="21" t="n">
        <v>159.134</v>
      </c>
      <c r="JW16" s="21" t="n">
        <v>322.852</v>
      </c>
      <c r="JX16" s="21" t="n">
        <v>222.329</v>
      </c>
      <c r="JY16" s="21" t="n">
        <v>80.828</v>
      </c>
      <c r="JZ16" s="21" t="n">
        <v>150.89</v>
      </c>
      <c r="KA16" s="21" t="n">
        <v>227.532</v>
      </c>
      <c r="KB16" s="21" t="n">
        <v>245.542</v>
      </c>
      <c r="KC16" s="21" t="n">
        <v>236.534</v>
      </c>
      <c r="KD16" s="21" t="n">
        <v>245.913</v>
      </c>
      <c r="KE16" s="21" t="n">
        <v>222.319</v>
      </c>
      <c r="KF16" s="21" t="n">
        <v>215.681</v>
      </c>
      <c r="KG16" s="21" t="n">
        <v>224.146</v>
      </c>
      <c r="KH16" s="21" t="n">
        <v>228.969</v>
      </c>
      <c r="KI16" s="21" t="n">
        <v>118.543</v>
      </c>
      <c r="KJ16" s="21" t="n">
        <v>178.319</v>
      </c>
      <c r="KK16" s="21" t="n">
        <v>147.351</v>
      </c>
      <c r="KL16" s="21" t="n">
        <v>144.107</v>
      </c>
      <c r="KM16" s="21" t="n">
        <v>145.598</v>
      </c>
      <c r="KN16" s="21" t="n">
        <v>146.465</v>
      </c>
      <c r="KO16" s="21" t="n">
        <v>248.842</v>
      </c>
      <c r="KP16" s="21" t="n">
        <v>108.137</v>
      </c>
      <c r="KQ16" s="21" t="n">
        <v>80.417</v>
      </c>
      <c r="KR16" s="21" t="n">
        <v>111.192</v>
      </c>
      <c r="KS16" s="21" t="n">
        <v>182.234</v>
      </c>
      <c r="KT16" s="21" t="n">
        <v>178.887</v>
      </c>
      <c r="KU16" s="21" t="n">
        <v>92.30800000000001</v>
      </c>
      <c r="KV16" s="21" t="n">
        <v>60.935</v>
      </c>
      <c r="KW16" s="21" t="n">
        <v>212.811</v>
      </c>
      <c r="KX16" s="21" t="n">
        <v>183.309</v>
      </c>
      <c r="KY16" s="21" t="n">
        <v>218.618</v>
      </c>
      <c r="KZ16" s="21" t="n">
        <v>179.71</v>
      </c>
      <c r="LA16" s="21" t="n">
        <v>217.532</v>
      </c>
      <c r="LB16" s="21" t="n">
        <v>108.844</v>
      </c>
      <c r="LC16" s="21" t="n">
        <v>344.944</v>
      </c>
      <c r="LD16" s="21" t="n">
        <v>86.679</v>
      </c>
      <c r="LE16" s="21" t="n">
        <v>114.244</v>
      </c>
      <c r="LF16" s="21" t="n">
        <v>297.025</v>
      </c>
      <c r="LG16" s="21" t="n">
        <v>297.073</v>
      </c>
      <c r="LH16" s="21" t="n">
        <v>307.538</v>
      </c>
      <c r="LI16" s="21" t="n">
        <v>282.598</v>
      </c>
      <c r="LJ16" s="21" t="n">
        <v>320.051</v>
      </c>
      <c r="LK16" s="21" t="n">
        <v>105.885</v>
      </c>
      <c r="LL16" s="21" t="n">
        <v>296.485</v>
      </c>
      <c r="LM16" s="21" t="n">
        <v>214.225</v>
      </c>
      <c r="LN16" s="21" t="n">
        <v>57.441</v>
      </c>
      <c r="LO16" s="21" t="n">
        <v>116.077</v>
      </c>
    </row>
    <row r="17">
      <c r="A17" s="22" t="n">
        <v>42461</v>
      </c>
      <c r="B17" s="21" t="n">
        <v>238.992</v>
      </c>
      <c r="C17" s="21" t="n">
        <v>247.906</v>
      </c>
      <c r="D17" s="21" t="n">
        <v>248.235</v>
      </c>
      <c r="E17" s="21" t="n">
        <v>240.341</v>
      </c>
      <c r="F17" s="21" t="n">
        <v>273.813</v>
      </c>
      <c r="G17" s="21" t="n">
        <v>231.724</v>
      </c>
      <c r="H17" s="21" t="n">
        <v>243.084</v>
      </c>
      <c r="I17" s="21" t="n">
        <v>226.731</v>
      </c>
      <c r="J17" s="21" t="n">
        <v>240.625</v>
      </c>
      <c r="K17" s="21" t="n">
        <v>297.703</v>
      </c>
      <c r="L17" s="21" t="n">
        <v>177.728</v>
      </c>
      <c r="M17" s="21" t="n">
        <v>176.364</v>
      </c>
      <c r="N17" s="21" t="n">
        <v>282.389</v>
      </c>
      <c r="O17" s="21" t="n">
        <v>271.603</v>
      </c>
      <c r="P17" s="21" t="n">
        <v>267.396</v>
      </c>
      <c r="Q17" s="21" t="n">
        <v>310.54</v>
      </c>
      <c r="R17" s="21" t="n">
        <v>270.068</v>
      </c>
      <c r="S17" s="21" t="n">
        <v>250.703</v>
      </c>
      <c r="T17" s="21" t="n">
        <v>251.659</v>
      </c>
      <c r="U17" s="21" t="n">
        <v>255.621</v>
      </c>
      <c r="V17" s="21" t="n">
        <v>306.75</v>
      </c>
      <c r="W17" s="21" t="n">
        <v>271.059</v>
      </c>
      <c r="X17" s="21" t="n">
        <v>228.866</v>
      </c>
      <c r="Y17" s="21" t="n">
        <v>210.718</v>
      </c>
      <c r="Z17" s="21" t="n">
        <v>212.345</v>
      </c>
      <c r="AA17" s="21" t="n">
        <v>157.583</v>
      </c>
      <c r="AB17" s="21" t="n">
        <v>289.384</v>
      </c>
      <c r="AC17" s="21" t="n">
        <v>144.965</v>
      </c>
      <c r="AD17" s="21" t="n">
        <v>204.975</v>
      </c>
      <c r="AE17" s="21" t="n">
        <v>228.904</v>
      </c>
      <c r="AF17" s="21" t="n">
        <v>190.269</v>
      </c>
      <c r="AG17" s="21" t="n">
        <v>129.236</v>
      </c>
      <c r="AH17" s="21" t="n">
        <v>227.343</v>
      </c>
      <c r="AI17" s="21" t="n">
        <v>229.662</v>
      </c>
      <c r="AJ17" s="21" t="n">
        <v>147.322</v>
      </c>
      <c r="AK17" s="21" t="n">
        <v>232.688</v>
      </c>
      <c r="AL17" s="21" t="n">
        <v>148.674</v>
      </c>
      <c r="AM17" s="21" t="n">
        <v>254.822</v>
      </c>
      <c r="AN17" s="21" t="n">
        <v>218.255</v>
      </c>
      <c r="AO17" s="21" t="n">
        <v>156.159</v>
      </c>
      <c r="AP17" s="21" t="n">
        <v>283.687</v>
      </c>
      <c r="AQ17" s="21" t="n">
        <v>174.362</v>
      </c>
      <c r="AR17" s="21" t="n">
        <v>143.681</v>
      </c>
      <c r="AS17" s="21" t="n">
        <v>203.051</v>
      </c>
      <c r="AT17" s="21" t="n">
        <v>301.779</v>
      </c>
      <c r="AU17" s="21" t="n">
        <v>239.754</v>
      </c>
      <c r="AV17" s="21" t="n">
        <v>218.297</v>
      </c>
      <c r="AW17" s="21" t="n">
        <v>140.094</v>
      </c>
      <c r="AX17" s="21" t="n">
        <v>202.344</v>
      </c>
      <c r="AY17" s="21" t="n">
        <v>143.215</v>
      </c>
      <c r="AZ17" s="21" t="n">
        <v>230.003</v>
      </c>
      <c r="BA17" s="21" t="n">
        <v>220.091</v>
      </c>
      <c r="BB17" s="21" t="n">
        <v>147.663</v>
      </c>
      <c r="BC17" s="21" t="n">
        <v>296.946</v>
      </c>
      <c r="BD17" s="21" t="n">
        <v>341.599</v>
      </c>
      <c r="BE17" s="21" t="n">
        <v>357.828</v>
      </c>
      <c r="BF17" s="21" t="n">
        <v>355.211</v>
      </c>
      <c r="BG17" s="21" t="n">
        <v>197.396</v>
      </c>
      <c r="BH17" s="21" t="n">
        <v>238.243</v>
      </c>
      <c r="BI17" s="21" t="n">
        <v>488.741</v>
      </c>
      <c r="BJ17" s="21" t="n">
        <v>119.655</v>
      </c>
      <c r="BK17" s="21" t="n">
        <v>323.314</v>
      </c>
      <c r="BL17" s="21" t="n">
        <v>332.051</v>
      </c>
      <c r="BM17" s="21" t="n">
        <v>289.766</v>
      </c>
      <c r="BN17" s="21" t="n">
        <v>334.272</v>
      </c>
      <c r="BO17" s="21" t="n">
        <v>329.148</v>
      </c>
      <c r="BP17" s="21" t="n">
        <v>159.743</v>
      </c>
      <c r="BQ17" s="21" t="n">
        <v>163.005</v>
      </c>
      <c r="BR17" s="21" t="n">
        <v>158.288</v>
      </c>
      <c r="BS17" s="21" t="n">
        <v>170.98</v>
      </c>
      <c r="BT17" s="21" t="n">
        <v>149.879</v>
      </c>
      <c r="BU17" s="21" t="n">
        <v>204.928</v>
      </c>
      <c r="BV17" s="21" t="n">
        <v>163.012</v>
      </c>
      <c r="BW17" s="21" t="n">
        <v>168.035</v>
      </c>
      <c r="BX17" s="21" t="n">
        <v>129.385</v>
      </c>
      <c r="BY17" s="21" t="n">
        <v>163.214</v>
      </c>
      <c r="BZ17" s="21" t="n">
        <v>117.617</v>
      </c>
      <c r="CA17" s="21" t="n">
        <v>118.722</v>
      </c>
      <c r="CB17" s="21" t="n">
        <v>199.833</v>
      </c>
      <c r="CC17" s="21" t="n">
        <v>209.838</v>
      </c>
      <c r="CD17" s="21" t="n">
        <v>129.618</v>
      </c>
      <c r="CE17" s="21" t="n">
        <v>210.227</v>
      </c>
      <c r="CF17" s="21" t="n">
        <v>216.681</v>
      </c>
      <c r="CG17" s="21" t="n">
        <v>191.757</v>
      </c>
      <c r="CH17" s="21" t="n">
        <v>145.464</v>
      </c>
      <c r="CI17" s="21" t="n">
        <v>152.905</v>
      </c>
      <c r="CJ17" s="21" t="n">
        <v>227.474</v>
      </c>
      <c r="CK17" s="21" t="n">
        <v>203.134</v>
      </c>
      <c r="CL17" s="21" t="n">
        <v>239.963</v>
      </c>
      <c r="CM17" s="21" t="n">
        <v>292.479</v>
      </c>
      <c r="CN17" s="21" t="n">
        <v>130.894</v>
      </c>
      <c r="CO17" s="21" t="n">
        <v>157.713</v>
      </c>
      <c r="CP17" s="21" t="n">
        <v>224.594</v>
      </c>
      <c r="CQ17" s="21" t="n">
        <v>244.392</v>
      </c>
      <c r="CR17" s="21" t="n">
        <v>170.201</v>
      </c>
      <c r="CS17" s="21" t="n">
        <v>254.051</v>
      </c>
      <c r="CT17" s="21" t="n">
        <v>239.985</v>
      </c>
      <c r="CU17" s="21" t="n">
        <v>154.339</v>
      </c>
      <c r="CV17" s="21" t="n">
        <v>140.161</v>
      </c>
      <c r="CW17" s="21" t="n">
        <v>136.137</v>
      </c>
      <c r="CX17" s="21" t="n">
        <v>279.582</v>
      </c>
      <c r="CY17" s="21" t="n">
        <v>131.703</v>
      </c>
      <c r="CZ17" s="21" t="n">
        <v>123.587</v>
      </c>
      <c r="DA17" s="21" t="n">
        <v>261.517</v>
      </c>
      <c r="DB17" s="21" t="n">
        <v>162.125</v>
      </c>
      <c r="DC17" s="21" t="n">
        <v>168.82</v>
      </c>
      <c r="DD17" s="21" t="n">
        <v>141.173</v>
      </c>
      <c r="DE17" s="21" t="n">
        <v>182.554</v>
      </c>
      <c r="DF17" s="21" t="n">
        <v>242.064</v>
      </c>
      <c r="DG17" s="21" t="n">
        <v>199</v>
      </c>
      <c r="DH17" s="21" t="n">
        <v>218.54</v>
      </c>
      <c r="DI17" s="21" t="n">
        <v>194.367</v>
      </c>
      <c r="DJ17" s="21" t="n">
        <v>210.014</v>
      </c>
      <c r="DK17" s="21" t="n">
        <v>187.166</v>
      </c>
      <c r="DL17" s="21" t="n">
        <v>168.859</v>
      </c>
      <c r="DM17" s="21" t="n">
        <v>334.97</v>
      </c>
      <c r="DN17" s="21" t="n">
        <v>181.534</v>
      </c>
      <c r="DO17" s="21" t="n">
        <v>242.071</v>
      </c>
      <c r="DP17" s="21" t="n">
        <v>285.853</v>
      </c>
      <c r="DQ17" s="21" t="n">
        <v>294.397</v>
      </c>
      <c r="DR17" s="21" t="n">
        <v>155.194</v>
      </c>
      <c r="DS17" s="21" t="n">
        <v>519.595</v>
      </c>
      <c r="DT17" s="21" t="n">
        <v>318.848</v>
      </c>
      <c r="DU17" s="21" t="n">
        <v>293.006</v>
      </c>
      <c r="DV17" s="21" t="n">
        <v>292.964</v>
      </c>
      <c r="DW17" s="21" t="n">
        <v>226.066</v>
      </c>
      <c r="DX17" s="21" t="n">
        <v>188.362</v>
      </c>
      <c r="DY17" s="21" t="n">
        <v>215.225</v>
      </c>
      <c r="DZ17" s="21" t="n">
        <v>196.349</v>
      </c>
      <c r="EA17" s="21" t="n">
        <v>289.365</v>
      </c>
      <c r="EB17" s="21" t="n">
        <v>193.632</v>
      </c>
      <c r="EC17" s="21" t="n">
        <v>205.655</v>
      </c>
      <c r="ED17" s="21" t="n">
        <v>155.063</v>
      </c>
      <c r="EE17" s="21" t="n">
        <v>220.319</v>
      </c>
      <c r="EF17" s="21" t="n">
        <v>510.204</v>
      </c>
      <c r="EG17" s="21" t="n">
        <v>437.676</v>
      </c>
      <c r="EH17" s="21" t="n">
        <v>121.768</v>
      </c>
      <c r="EI17" s="21" t="n">
        <v>60.008</v>
      </c>
      <c r="EJ17" s="21" t="n">
        <v>68.869</v>
      </c>
      <c r="EK17" s="21" t="n">
        <v>46.644</v>
      </c>
      <c r="EL17" s="21" t="n">
        <v>113.325</v>
      </c>
      <c r="EM17" s="21" t="n">
        <v>70.196</v>
      </c>
      <c r="EN17" s="21" t="n">
        <v>77.033</v>
      </c>
      <c r="EO17" s="21" t="n">
        <v>84.55200000000001</v>
      </c>
      <c r="EP17" s="21" t="n">
        <v>96.92</v>
      </c>
      <c r="EQ17" s="21" t="n">
        <v>66.48399999999999</v>
      </c>
      <c r="ER17" s="21" t="n">
        <v>58.026</v>
      </c>
      <c r="ES17" s="21" t="n">
        <v>127.862</v>
      </c>
      <c r="ET17" s="21" t="n">
        <v>90.23999999999999</v>
      </c>
      <c r="EU17" s="21" t="n">
        <v>90.036</v>
      </c>
      <c r="EV17" s="21" t="n">
        <v>98.432</v>
      </c>
      <c r="EW17" s="21" t="n">
        <v>85.982</v>
      </c>
      <c r="EX17" s="21" t="n">
        <v>186.532</v>
      </c>
      <c r="EY17" s="21" t="n">
        <v>118.801</v>
      </c>
      <c r="EZ17" s="21" t="n">
        <v>118.377</v>
      </c>
      <c r="FA17" s="21" t="n">
        <v>150.681</v>
      </c>
      <c r="FB17" s="21" t="n">
        <v>125.782</v>
      </c>
      <c r="FC17" s="21" t="n">
        <v>118.718</v>
      </c>
      <c r="FD17" s="21" t="n">
        <v>122.388</v>
      </c>
      <c r="FE17" s="21" t="n">
        <v>110.529</v>
      </c>
      <c r="FF17" s="21" t="n">
        <v>154.217</v>
      </c>
      <c r="FG17" s="21" t="n">
        <v>79.83499999999999</v>
      </c>
      <c r="FH17" s="21" t="n">
        <v>118.769</v>
      </c>
      <c r="FI17" s="21" t="n">
        <v>103.629</v>
      </c>
      <c r="FJ17" s="21" t="n">
        <v>110.876</v>
      </c>
      <c r="FK17" s="21" t="n">
        <v>114.512</v>
      </c>
      <c r="FL17" s="21" t="n">
        <v>112.389</v>
      </c>
      <c r="FM17" s="21" t="n">
        <v>120.685</v>
      </c>
      <c r="FN17" s="21" t="n">
        <v>81.922</v>
      </c>
      <c r="FO17" s="21" t="n">
        <v>105.362</v>
      </c>
      <c r="FP17" s="21" t="n">
        <v>93.90900000000001</v>
      </c>
      <c r="FQ17" s="21" t="n">
        <v>137.851</v>
      </c>
      <c r="FR17" s="21" t="n">
        <v>142.075</v>
      </c>
      <c r="FS17" s="21" t="n">
        <v>152.332</v>
      </c>
      <c r="FT17" s="21" t="n">
        <v>127.9</v>
      </c>
      <c r="FU17" s="21" t="n">
        <v>115.418</v>
      </c>
      <c r="FV17" s="21" t="n">
        <v>166.268</v>
      </c>
      <c r="FW17" s="21" t="n">
        <v>127.11</v>
      </c>
      <c r="FX17" s="21" t="n">
        <v>173.475</v>
      </c>
      <c r="FY17" s="21" t="n">
        <v>194.491</v>
      </c>
      <c r="FZ17" s="21" t="n">
        <v>188.877</v>
      </c>
      <c r="GA17" s="21" t="n">
        <v>100.717</v>
      </c>
      <c r="GB17" s="21" t="n">
        <v>147.213</v>
      </c>
      <c r="GC17" s="21" t="n">
        <v>102.026</v>
      </c>
      <c r="GD17" s="21" t="n">
        <v>143.813</v>
      </c>
      <c r="GE17" s="21" t="n">
        <v>156.209</v>
      </c>
      <c r="GF17" s="21" t="n"/>
      <c r="GG17" s="21" t="n">
        <v>145.475</v>
      </c>
      <c r="GH17" s="21" t="n">
        <v>85.471</v>
      </c>
      <c r="GI17" s="21" t="n">
        <v>132.118</v>
      </c>
      <c r="GJ17" s="21" t="n">
        <v>185.394</v>
      </c>
      <c r="GK17" s="21" t="n">
        <v>184.762</v>
      </c>
      <c r="GL17" s="21" t="n">
        <v>181.158</v>
      </c>
      <c r="GM17" s="21" t="n">
        <v>200.581</v>
      </c>
      <c r="GN17" s="21" t="n">
        <v>196.387</v>
      </c>
      <c r="GO17" s="21" t="n">
        <v>154.728</v>
      </c>
      <c r="GP17" s="21" t="n">
        <v>144.612</v>
      </c>
      <c r="GQ17" s="21" t="n">
        <v>126.672</v>
      </c>
      <c r="GR17" s="21" t="n">
        <v>274.864</v>
      </c>
      <c r="GS17" s="21" t="n">
        <v>171.637</v>
      </c>
      <c r="GT17" s="21" t="n">
        <v>483.332</v>
      </c>
      <c r="GU17" s="21" t="n">
        <v>197.728</v>
      </c>
      <c r="GV17" s="21" t="n">
        <v>220.45</v>
      </c>
      <c r="GW17" s="21" t="n">
        <v>268.958</v>
      </c>
      <c r="GX17" s="21" t="n">
        <v>291.228</v>
      </c>
      <c r="GY17" s="21" t="n">
        <v>155.674</v>
      </c>
      <c r="GZ17" s="21" t="n">
        <v>110.752</v>
      </c>
      <c r="HA17" s="21" t="n">
        <v>65.41200000000001</v>
      </c>
      <c r="HB17" s="21" t="n">
        <v>459.245</v>
      </c>
      <c r="HC17" s="21" t="n">
        <v>363.843</v>
      </c>
      <c r="HD17" s="21" t="n">
        <v>119.039</v>
      </c>
      <c r="HE17" s="21" t="n">
        <v>497.008</v>
      </c>
      <c r="HF17" s="21" t="n">
        <v>96.729</v>
      </c>
      <c r="HG17" s="21" t="n">
        <v>489.828</v>
      </c>
      <c r="HH17" s="21" t="n">
        <v>368.119</v>
      </c>
      <c r="HI17" s="21" t="n">
        <v>372.961</v>
      </c>
      <c r="HJ17" s="21" t="n">
        <v>463.86</v>
      </c>
      <c r="HK17" s="21" t="n">
        <v>187.847</v>
      </c>
      <c r="HL17" s="21" t="n">
        <v>228.933</v>
      </c>
      <c r="HM17" s="21" t="n">
        <v>71.38200000000001</v>
      </c>
      <c r="HN17" s="21" t="n">
        <v>299.199</v>
      </c>
      <c r="HO17" s="21" t="n">
        <v>296.258</v>
      </c>
      <c r="HP17" s="21" t="n">
        <v>662.65</v>
      </c>
      <c r="HQ17" s="21" t="n">
        <v>212.522</v>
      </c>
      <c r="HR17" s="21" t="n">
        <v>117.211</v>
      </c>
      <c r="HS17" s="21" t="n">
        <v>101.021</v>
      </c>
      <c r="HT17" s="21" t="n">
        <v>283.631</v>
      </c>
      <c r="HU17" s="21" t="n">
        <v>435.57</v>
      </c>
      <c r="HV17" s="21" t="n">
        <v>129.362</v>
      </c>
      <c r="HW17" s="21" t="n">
        <v>34.861</v>
      </c>
      <c r="HX17" s="21" t="n">
        <v>169.565</v>
      </c>
      <c r="HY17" s="21" t="n">
        <v>198.786</v>
      </c>
      <c r="HZ17" s="21" t="n">
        <v>152.957</v>
      </c>
      <c r="IA17" s="21" t="n">
        <v>113.837</v>
      </c>
      <c r="IB17" s="21" t="n">
        <v>232.738</v>
      </c>
      <c r="IC17" s="21" t="n">
        <v>184.436</v>
      </c>
      <c r="ID17" s="21" t="n">
        <v>243.606</v>
      </c>
      <c r="IE17" s="21" t="n">
        <v>114.787</v>
      </c>
      <c r="IF17" s="21" t="n">
        <v>148.723</v>
      </c>
      <c r="IG17" s="21" t="n">
        <v>85.447</v>
      </c>
      <c r="IH17" s="21" t="n">
        <v>73.51900000000001</v>
      </c>
      <c r="II17" s="21" t="n">
        <v>51.434</v>
      </c>
      <c r="IJ17" s="21" t="n">
        <v>20.938</v>
      </c>
      <c r="IK17" s="21" t="n">
        <v>44.725</v>
      </c>
      <c r="IL17" s="21" t="n">
        <v>41.738</v>
      </c>
      <c r="IM17" s="21" t="n">
        <v>50.553</v>
      </c>
      <c r="IN17" s="21" t="n">
        <v>97.116</v>
      </c>
      <c r="IO17" s="21" t="n">
        <v>100.953</v>
      </c>
      <c r="IP17" s="21" t="n">
        <v>159.958</v>
      </c>
      <c r="IQ17" s="21" t="n">
        <v>132.796</v>
      </c>
      <c r="IR17" s="21" t="n">
        <v>364.546</v>
      </c>
      <c r="IS17" s="21" t="n">
        <v>174.936</v>
      </c>
      <c r="IT17" s="21" t="n">
        <v>206.31</v>
      </c>
      <c r="IU17" s="21" t="n">
        <v>291.395</v>
      </c>
      <c r="IV17" s="21" t="n">
        <v>238.298</v>
      </c>
      <c r="IW17" s="21" t="n">
        <v>139.452</v>
      </c>
      <c r="IX17" s="21" t="n">
        <v>246.213</v>
      </c>
      <c r="IY17" s="21" t="n">
        <v>666.544</v>
      </c>
      <c r="IZ17" s="21" t="n">
        <v>704.842</v>
      </c>
      <c r="JA17" s="21" t="n">
        <v>804.202</v>
      </c>
      <c r="JB17" s="21" t="n">
        <v>73.624</v>
      </c>
      <c r="JC17" s="21" t="n">
        <v>281.112</v>
      </c>
      <c r="JD17" s="21" t="n">
        <v>237.283</v>
      </c>
      <c r="JE17" s="21" t="n">
        <v>79.914</v>
      </c>
      <c r="JF17" s="21" t="n">
        <v>173.949</v>
      </c>
      <c r="JG17" s="21" t="n">
        <v>273.925</v>
      </c>
      <c r="JH17" s="21" t="n">
        <v>275.421</v>
      </c>
      <c r="JI17" s="21" t="n">
        <v>76.09399999999999</v>
      </c>
      <c r="JJ17" s="21" t="n">
        <v>117.286</v>
      </c>
      <c r="JK17" s="21" t="n">
        <v>45.282</v>
      </c>
      <c r="JL17" s="21" t="n">
        <v>77.44799999999999</v>
      </c>
      <c r="JM17" s="21" t="n">
        <v>288.49</v>
      </c>
      <c r="JN17" s="21" t="n">
        <v>420.977</v>
      </c>
      <c r="JO17" s="21" t="n">
        <v>60.041</v>
      </c>
      <c r="JP17" s="21" t="n">
        <v>388.737</v>
      </c>
      <c r="JQ17" s="21" t="n">
        <v>223.553</v>
      </c>
      <c r="JR17" s="21" t="n">
        <v>163.459</v>
      </c>
      <c r="JS17" s="21" t="n">
        <v>407.019</v>
      </c>
      <c r="JT17" s="21" t="n">
        <v>327.114</v>
      </c>
      <c r="JU17" s="21" t="n">
        <v>317.722</v>
      </c>
      <c r="JV17" s="21" t="n">
        <v>159.526</v>
      </c>
      <c r="JW17" s="21" t="n">
        <v>324.918</v>
      </c>
      <c r="JX17" s="21" t="n">
        <v>223.997</v>
      </c>
      <c r="JY17" s="21" t="n">
        <v>80.976</v>
      </c>
      <c r="JZ17" s="21" t="n">
        <v>150.89</v>
      </c>
      <c r="KA17" s="21" t="n">
        <v>228.414</v>
      </c>
      <c r="KB17" s="21" t="n">
        <v>246.115</v>
      </c>
      <c r="KC17" s="21" t="n">
        <v>237.554</v>
      </c>
      <c r="KD17" s="21" t="n">
        <v>246.551</v>
      </c>
      <c r="KE17" s="21" t="n">
        <v>223.31</v>
      </c>
      <c r="KF17" s="21" t="n">
        <v>216.849</v>
      </c>
      <c r="KG17" s="21" t="n">
        <v>224.733</v>
      </c>
      <c r="KH17" s="21" t="n">
        <v>229.458</v>
      </c>
      <c r="KI17" s="21" t="n">
        <v>118.415</v>
      </c>
      <c r="KJ17" s="21" t="n">
        <v>179.289</v>
      </c>
      <c r="KK17" s="21" t="n">
        <v>148.568</v>
      </c>
      <c r="KL17" s="21" t="n">
        <v>145.344</v>
      </c>
      <c r="KM17" s="21" t="n">
        <v>145.787</v>
      </c>
      <c r="KN17" s="21" t="n">
        <v>146.456</v>
      </c>
      <c r="KO17" s="21" t="n">
        <v>248.912</v>
      </c>
      <c r="KP17" s="21" t="n">
        <v>107.939</v>
      </c>
      <c r="KQ17" s="21" t="n">
        <v>81.066</v>
      </c>
      <c r="KR17" s="21" t="n">
        <v>111.157</v>
      </c>
      <c r="KS17" s="21" t="n">
        <v>186.713</v>
      </c>
      <c r="KT17" s="21" t="n">
        <v>188.208</v>
      </c>
      <c r="KU17" s="21" t="n">
        <v>92.07899999999999</v>
      </c>
      <c r="KV17" s="21" t="n">
        <v>61.352</v>
      </c>
      <c r="KW17" s="21" t="n">
        <v>213.78</v>
      </c>
      <c r="KX17" s="21" t="n">
        <v>185.063</v>
      </c>
      <c r="KY17" s="21" t="n">
        <v>221.4</v>
      </c>
      <c r="KZ17" s="21" t="n">
        <v>181.563</v>
      </c>
      <c r="LA17" s="21" t="n">
        <v>220.605</v>
      </c>
      <c r="LB17" s="21" t="n">
        <v>108.777</v>
      </c>
      <c r="LC17" s="21" t="n">
        <v>345.557</v>
      </c>
      <c r="LD17" s="21" t="n">
        <v>86.83199999999999</v>
      </c>
      <c r="LE17" s="21" t="n">
        <v>114.825</v>
      </c>
      <c r="LF17" s="21" t="n">
        <v>297.786</v>
      </c>
      <c r="LG17" s="21" t="n">
        <v>297.918</v>
      </c>
      <c r="LH17" s="21" t="n">
        <v>308.451</v>
      </c>
      <c r="LI17" s="21" t="n">
        <v>283.407</v>
      </c>
      <c r="LJ17" s="21" t="n">
        <v>321.125</v>
      </c>
      <c r="LK17" s="21" t="n">
        <v>106.255</v>
      </c>
      <c r="LL17" s="21" t="n">
        <v>298.876</v>
      </c>
      <c r="LM17" s="21" t="n">
        <v>214.839</v>
      </c>
      <c r="LN17" s="21" t="n">
        <v>56.692</v>
      </c>
      <c r="LO17" s="21" t="n">
        <v>116.658</v>
      </c>
    </row>
    <row r="18">
      <c r="A18" s="22" t="n">
        <v>42491</v>
      </c>
      <c r="B18" s="21" t="n">
        <v>239.557</v>
      </c>
      <c r="C18" s="21" t="n">
        <v>247.575</v>
      </c>
      <c r="D18" s="21" t="n">
        <v>247.856</v>
      </c>
      <c r="E18" s="21" t="n">
        <v>239.348</v>
      </c>
      <c r="F18" s="21" t="n">
        <v>272.921</v>
      </c>
      <c r="G18" s="21" t="n">
        <v>231.383</v>
      </c>
      <c r="H18" s="21" t="n">
        <v>242.144</v>
      </c>
      <c r="I18" s="21" t="n">
        <v>226.857</v>
      </c>
      <c r="J18" s="21" t="n">
        <v>239.744</v>
      </c>
      <c r="K18" s="21" t="n">
        <v>296.178</v>
      </c>
      <c r="L18" s="21" t="n">
        <v>177.656</v>
      </c>
      <c r="M18" s="21" t="n">
        <v>175.921</v>
      </c>
      <c r="N18" s="21" t="n">
        <v>280.693</v>
      </c>
      <c r="O18" s="21" t="n">
        <v>269.209</v>
      </c>
      <c r="P18" s="21" t="n">
        <v>265.006</v>
      </c>
      <c r="Q18" s="21" t="n">
        <v>308.075</v>
      </c>
      <c r="R18" s="21" t="n">
        <v>266.988</v>
      </c>
      <c r="S18" s="21" t="n">
        <v>249.343</v>
      </c>
      <c r="T18" s="21" t="n">
        <v>250.83</v>
      </c>
      <c r="U18" s="21" t="n">
        <v>254.482</v>
      </c>
      <c r="V18" s="21" t="n">
        <v>305.881</v>
      </c>
      <c r="W18" s="21" t="n">
        <v>270.433</v>
      </c>
      <c r="X18" s="21" t="n">
        <v>235.56</v>
      </c>
      <c r="Y18" s="21" t="n">
        <v>209.974</v>
      </c>
      <c r="Z18" s="21" t="n">
        <v>211.557</v>
      </c>
      <c r="AA18" s="21" t="n">
        <v>156.979</v>
      </c>
      <c r="AB18" s="21" t="n">
        <v>289.502</v>
      </c>
      <c r="AC18" s="21" t="n">
        <v>142.393</v>
      </c>
      <c r="AD18" s="21" t="n">
        <v>200.766</v>
      </c>
      <c r="AE18" s="21" t="n">
        <v>222.565</v>
      </c>
      <c r="AF18" s="21" t="n">
        <v>190.777</v>
      </c>
      <c r="AG18" s="21" t="n">
        <v>128.031</v>
      </c>
      <c r="AH18" s="21" t="n">
        <v>225.418</v>
      </c>
      <c r="AI18" s="21" t="n">
        <v>227.471</v>
      </c>
      <c r="AJ18" s="21" t="n">
        <v>146.497</v>
      </c>
      <c r="AK18" s="21" t="n">
        <v>232.182</v>
      </c>
      <c r="AL18" s="21" t="n">
        <v>148.417</v>
      </c>
      <c r="AM18" s="21" t="n">
        <v>255.59</v>
      </c>
      <c r="AN18" s="21" t="n">
        <v>217.311</v>
      </c>
      <c r="AO18" s="21" t="n">
        <v>154.603</v>
      </c>
      <c r="AP18" s="21" t="n">
        <v>283.678</v>
      </c>
      <c r="AQ18" s="21" t="n">
        <v>174.473</v>
      </c>
      <c r="AR18" s="21" t="n">
        <v>143.443</v>
      </c>
      <c r="AS18" s="21" t="n">
        <v>202.165</v>
      </c>
      <c r="AT18" s="21" t="n">
        <v>299.993</v>
      </c>
      <c r="AU18" s="21" t="n">
        <v>231.176</v>
      </c>
      <c r="AV18" s="21" t="n">
        <v>217.117</v>
      </c>
      <c r="AW18" s="21" t="n">
        <v>140.052</v>
      </c>
      <c r="AX18" s="21" t="n">
        <v>202.552</v>
      </c>
      <c r="AY18" s="21" t="n">
        <v>143.456</v>
      </c>
      <c r="AZ18" s="21" t="n">
        <v>228.626</v>
      </c>
      <c r="BA18" s="21" t="n">
        <v>219.391</v>
      </c>
      <c r="BB18" s="21" t="n">
        <v>145.455</v>
      </c>
      <c r="BC18" s="21" t="n">
        <v>294.891</v>
      </c>
      <c r="BD18" s="21" t="n">
        <v>339.698</v>
      </c>
      <c r="BE18" s="21" t="n">
        <v>358.737</v>
      </c>
      <c r="BF18" s="21" t="n">
        <v>350.595</v>
      </c>
      <c r="BG18" s="21" t="n">
        <v>197.649</v>
      </c>
      <c r="BH18" s="21" t="n">
        <v>241.44</v>
      </c>
      <c r="BI18" s="21" t="n">
        <v>478.875</v>
      </c>
      <c r="BJ18" s="21" t="n">
        <v>119.181</v>
      </c>
      <c r="BK18" s="21" t="n">
        <v>318.487</v>
      </c>
      <c r="BL18" s="21" t="n">
        <v>331.75</v>
      </c>
      <c r="BM18" s="21" t="n">
        <v>303.296</v>
      </c>
      <c r="BN18" s="21" t="n">
        <v>322.036</v>
      </c>
      <c r="BO18" s="21" t="n">
        <v>320.542</v>
      </c>
      <c r="BP18" s="21" t="n">
        <v>157.872</v>
      </c>
      <c r="BQ18" s="21" t="n">
        <v>162.015</v>
      </c>
      <c r="BR18" s="21" t="n">
        <v>158.063</v>
      </c>
      <c r="BS18" s="21" t="n">
        <v>169.951</v>
      </c>
      <c r="BT18" s="21" t="n">
        <v>148.877</v>
      </c>
      <c r="BU18" s="21" t="n">
        <v>202.22</v>
      </c>
      <c r="BV18" s="21" t="n">
        <v>160.968</v>
      </c>
      <c r="BW18" s="21" t="n">
        <v>167.672</v>
      </c>
      <c r="BX18" s="21" t="n">
        <v>128.747</v>
      </c>
      <c r="BY18" s="21" t="n">
        <v>160.951</v>
      </c>
      <c r="BZ18" s="21" t="n">
        <v>117.453</v>
      </c>
      <c r="CA18" s="21" t="n">
        <v>118.646</v>
      </c>
      <c r="CB18" s="21" t="n">
        <v>200.845</v>
      </c>
      <c r="CC18" s="21" t="n">
        <v>209.743</v>
      </c>
      <c r="CD18" s="21" t="n">
        <v>128.144</v>
      </c>
      <c r="CE18" s="21" t="n">
        <v>209.814</v>
      </c>
      <c r="CF18" s="21" t="n">
        <v>215.596</v>
      </c>
      <c r="CG18" s="21" t="n">
        <v>189.248</v>
      </c>
      <c r="CH18" s="21" t="n">
        <v>144.792</v>
      </c>
      <c r="CI18" s="21" t="n">
        <v>153.317</v>
      </c>
      <c r="CJ18" s="21" t="n">
        <v>225.847</v>
      </c>
      <c r="CK18" s="21" t="n">
        <v>197.598</v>
      </c>
      <c r="CL18" s="21" t="n">
        <v>232.785</v>
      </c>
      <c r="CM18" s="21" t="n">
        <v>288.386</v>
      </c>
      <c r="CN18" s="21" t="n">
        <v>129.734</v>
      </c>
      <c r="CO18" s="21" t="n">
        <v>158.636</v>
      </c>
      <c r="CP18" s="21" t="n">
        <v>224.475</v>
      </c>
      <c r="CQ18" s="21" t="n">
        <v>245.072</v>
      </c>
      <c r="CR18" s="21" t="n">
        <v>169.793</v>
      </c>
      <c r="CS18" s="21" t="n">
        <v>253.912</v>
      </c>
      <c r="CT18" s="21" t="n">
        <v>236.945</v>
      </c>
      <c r="CU18" s="21" t="n">
        <v>152.398</v>
      </c>
      <c r="CV18" s="21" t="n">
        <v>134.89</v>
      </c>
      <c r="CW18" s="21" t="n">
        <v>135.449</v>
      </c>
      <c r="CX18" s="21" t="n">
        <v>275.007</v>
      </c>
      <c r="CY18" s="21" t="n">
        <v>131.794</v>
      </c>
      <c r="CZ18" s="21" t="n">
        <v>124.71</v>
      </c>
      <c r="DA18" s="21" t="n">
        <v>262.074</v>
      </c>
      <c r="DB18" s="21" t="n">
        <v>162.664</v>
      </c>
      <c r="DC18" s="21" t="n">
        <v>168.894</v>
      </c>
      <c r="DD18" s="21" t="n">
        <v>141.208</v>
      </c>
      <c r="DE18" s="21" t="n">
        <v>182.692</v>
      </c>
      <c r="DF18" s="21" t="n">
        <v>242.41</v>
      </c>
      <c r="DG18" s="21" t="n">
        <v>198.984</v>
      </c>
      <c r="DH18" s="21" t="n">
        <v>218.858</v>
      </c>
      <c r="DI18" s="21" t="n">
        <v>193.332</v>
      </c>
      <c r="DJ18" s="21" t="n">
        <v>204.322</v>
      </c>
      <c r="DK18" s="21" t="n">
        <v>187.305</v>
      </c>
      <c r="DL18" s="21" t="n">
        <v>168.512</v>
      </c>
      <c r="DM18" s="21" t="n">
        <v>336.324</v>
      </c>
      <c r="DN18" s="21" t="n">
        <v>182.906</v>
      </c>
      <c r="DO18" s="21" t="n">
        <v>242.833</v>
      </c>
      <c r="DP18" s="21" t="n">
        <v>286.855</v>
      </c>
      <c r="DQ18" s="21" t="n">
        <v>295.371</v>
      </c>
      <c r="DR18" s="21" t="n">
        <v>156.465</v>
      </c>
      <c r="DS18" s="21" t="n">
        <v>520.874</v>
      </c>
      <c r="DT18" s="21" t="n">
        <v>321.734</v>
      </c>
      <c r="DU18" s="21" t="n">
        <v>294.009</v>
      </c>
      <c r="DV18" s="21" t="n">
        <v>293.973</v>
      </c>
      <c r="DW18" s="21" t="n">
        <v>227.22</v>
      </c>
      <c r="DX18" s="21" t="n">
        <v>189.31</v>
      </c>
      <c r="DY18" s="21" t="n">
        <v>222.945</v>
      </c>
      <c r="DZ18" s="21" t="n">
        <v>208.488</v>
      </c>
      <c r="EA18" s="21" t="n">
        <v>293.461</v>
      </c>
      <c r="EB18" s="21" t="n">
        <v>194.328</v>
      </c>
      <c r="EC18" s="21" t="n">
        <v>206.053</v>
      </c>
      <c r="ED18" s="21" t="n">
        <v>156.609</v>
      </c>
      <c r="EE18" s="21" t="n">
        <v>221.497</v>
      </c>
      <c r="EF18" s="21" t="n">
        <v>513.578</v>
      </c>
      <c r="EG18" s="21" t="n">
        <v>438.317</v>
      </c>
      <c r="EH18" s="21" t="n">
        <v>121.513</v>
      </c>
      <c r="EI18" s="21" t="n">
        <v>59.628</v>
      </c>
      <c r="EJ18" s="21" t="n">
        <v>69.413</v>
      </c>
      <c r="EK18" s="21" t="n">
        <v>46.079</v>
      </c>
      <c r="EL18" s="21" t="n">
        <v>112.781</v>
      </c>
      <c r="EM18" s="21" t="n">
        <v>70.09399999999999</v>
      </c>
      <c r="EN18" s="21" t="n">
        <v>77.14700000000001</v>
      </c>
      <c r="EO18" s="21" t="n">
        <v>84.274</v>
      </c>
      <c r="EP18" s="21" t="n">
        <v>94.723</v>
      </c>
      <c r="EQ18" s="21" t="n">
        <v>66.721</v>
      </c>
      <c r="ER18" s="21" t="n">
        <v>57.856</v>
      </c>
      <c r="ES18" s="21" t="n">
        <v>127.537</v>
      </c>
      <c r="ET18" s="21" t="n">
        <v>89.39</v>
      </c>
      <c r="EU18" s="21" t="n">
        <v>89.872</v>
      </c>
      <c r="EV18" s="21" t="n">
        <v>98.267</v>
      </c>
      <c r="EW18" s="21" t="n">
        <v>85.809</v>
      </c>
      <c r="EX18" s="21" t="n">
        <v>186.419</v>
      </c>
      <c r="EY18" s="21" t="n">
        <v>119.291</v>
      </c>
      <c r="EZ18" s="21" t="n">
        <v>118.115</v>
      </c>
      <c r="FA18" s="21" t="n">
        <v>152.821</v>
      </c>
      <c r="FB18" s="21" t="n">
        <v>126.707</v>
      </c>
      <c r="FC18" s="21" t="n">
        <v>119.482</v>
      </c>
      <c r="FD18" s="21" t="n">
        <v>123.834</v>
      </c>
      <c r="FE18" s="21" t="n">
        <v>112.936</v>
      </c>
      <c r="FF18" s="21" t="n">
        <v>159.134</v>
      </c>
      <c r="FG18" s="21" t="n">
        <v>80.495</v>
      </c>
      <c r="FH18" s="21" t="n">
        <v>119.587</v>
      </c>
      <c r="FI18" s="21" t="n">
        <v>103.117</v>
      </c>
      <c r="FJ18" s="21" t="n">
        <v>111.84</v>
      </c>
      <c r="FK18" s="21" t="n">
        <v>115.105</v>
      </c>
      <c r="FL18" s="21" t="n">
        <v>113.459</v>
      </c>
      <c r="FM18" s="21" t="n">
        <v>122.335</v>
      </c>
      <c r="FN18" s="21" t="n">
        <v>81.645</v>
      </c>
      <c r="FO18" s="21" t="n">
        <v>105.531</v>
      </c>
      <c r="FP18" s="21" t="n">
        <v>96.45</v>
      </c>
      <c r="FQ18" s="21" t="n">
        <v>137.756</v>
      </c>
      <c r="FR18" s="21" t="n">
        <v>139.759</v>
      </c>
      <c r="FS18" s="21" t="n">
        <v>153.047</v>
      </c>
      <c r="FT18" s="21" t="n">
        <v>128.113</v>
      </c>
      <c r="FU18" s="21" t="n">
        <v>115.468</v>
      </c>
      <c r="FV18" s="21" t="n">
        <v>171.779</v>
      </c>
      <c r="FW18" s="21" t="n">
        <v>131.282</v>
      </c>
      <c r="FX18" s="21" t="n">
        <v>179.713</v>
      </c>
      <c r="FY18" s="21" t="n">
        <v>195.474</v>
      </c>
      <c r="FZ18" s="21" t="n">
        <v>189.949</v>
      </c>
      <c r="GA18" s="21" t="n">
        <v>100.921</v>
      </c>
      <c r="GB18" s="21" t="n">
        <v>147.175</v>
      </c>
      <c r="GC18" s="21" t="n">
        <v>101.999</v>
      </c>
      <c r="GD18" s="21" t="n">
        <v>143.685</v>
      </c>
      <c r="GE18" s="21" t="n">
        <v>156.175</v>
      </c>
      <c r="GF18" s="21" t="n"/>
      <c r="GG18" s="21" t="n">
        <v>146.416</v>
      </c>
      <c r="GH18" s="21" t="n">
        <v>85.081</v>
      </c>
      <c r="GI18" s="21" t="n">
        <v>136.164</v>
      </c>
      <c r="GJ18" s="21" t="n">
        <v>188.404</v>
      </c>
      <c r="GK18" s="21" t="n">
        <v>187.627</v>
      </c>
      <c r="GL18" s="21" t="n">
        <v>184.861</v>
      </c>
      <c r="GM18" s="21" t="n">
        <v>204.149</v>
      </c>
      <c r="GN18" s="21" t="n">
        <v>199.333</v>
      </c>
      <c r="GO18" s="21" t="n">
        <v>164.573</v>
      </c>
      <c r="GP18" s="21" t="n">
        <v>143.694</v>
      </c>
      <c r="GQ18" s="21" t="n">
        <v>125.66</v>
      </c>
      <c r="GR18" s="21" t="n">
        <v>275.331</v>
      </c>
      <c r="GS18" s="21" t="n">
        <v>171.499</v>
      </c>
      <c r="GT18" s="21" t="n">
        <v>486.626</v>
      </c>
      <c r="GU18" s="21" t="n">
        <v>198.558</v>
      </c>
      <c r="GV18" s="21" t="n">
        <v>221.325</v>
      </c>
      <c r="GW18" s="21" t="n">
        <v>268.233</v>
      </c>
      <c r="GX18" s="21" t="n">
        <v>288.805</v>
      </c>
      <c r="GY18" s="21" t="n">
        <v>159.949</v>
      </c>
      <c r="GZ18" s="21" t="n">
        <v>110.465</v>
      </c>
      <c r="HA18" s="21" t="n">
        <v>67.443</v>
      </c>
      <c r="HB18" s="21" t="n">
        <v>460.487</v>
      </c>
      <c r="HC18" s="21" t="n">
        <v>361.866</v>
      </c>
      <c r="HD18" s="21" t="n">
        <v>118.462</v>
      </c>
      <c r="HE18" s="21" t="n">
        <v>493.342</v>
      </c>
      <c r="HF18" s="21" t="n">
        <v>96.99299999999999</v>
      </c>
      <c r="HG18" s="21" t="n">
        <v>492.258</v>
      </c>
      <c r="HH18" s="21" t="n">
        <v>370.641</v>
      </c>
      <c r="HI18" s="21" t="n">
        <v>376.263</v>
      </c>
      <c r="HJ18" s="21" t="n">
        <v>464.471</v>
      </c>
      <c r="HK18" s="21" t="n">
        <v>188.522</v>
      </c>
      <c r="HL18" s="21" t="n">
        <v>231.206</v>
      </c>
      <c r="HM18" s="21" t="n">
        <v>71.792</v>
      </c>
      <c r="HN18" s="21" t="n">
        <v>301.02</v>
      </c>
      <c r="HO18" s="21" t="n">
        <v>297.916</v>
      </c>
      <c r="HP18" s="21" t="n">
        <v>666.677</v>
      </c>
      <c r="HQ18" s="21" t="n">
        <v>213.047</v>
      </c>
      <c r="HR18" s="21" t="n">
        <v>117.275</v>
      </c>
      <c r="HS18" s="21" t="n">
        <v>101.191</v>
      </c>
      <c r="HT18" s="21" t="n">
        <v>276.429</v>
      </c>
      <c r="HU18" s="21" t="n">
        <v>437.005</v>
      </c>
      <c r="HV18" s="21" t="n">
        <v>129.487</v>
      </c>
      <c r="HW18" s="21" t="n">
        <v>34.627</v>
      </c>
      <c r="HX18" s="21" t="n">
        <v>169.864</v>
      </c>
      <c r="HY18" s="21" t="n">
        <v>198.96</v>
      </c>
      <c r="HZ18" s="21" t="n">
        <v>152.772</v>
      </c>
      <c r="IA18" s="21" t="n">
        <v>114.195</v>
      </c>
      <c r="IB18" s="21" t="n">
        <v>233.48</v>
      </c>
      <c r="IC18" s="21" t="n">
        <v>184.321</v>
      </c>
      <c r="ID18" s="21" t="n">
        <v>244.69</v>
      </c>
      <c r="IE18" s="21" t="n">
        <v>114.603</v>
      </c>
      <c r="IF18" s="21" t="n">
        <v>148.686</v>
      </c>
      <c r="IG18" s="21" t="n">
        <v>85.184</v>
      </c>
      <c r="IH18" s="21" t="n">
        <v>74.05500000000001</v>
      </c>
      <c r="II18" s="21" t="n">
        <v>51.943</v>
      </c>
      <c r="IJ18" s="21" t="n">
        <v>21.083</v>
      </c>
      <c r="IK18" s="21" t="n">
        <v>44.571</v>
      </c>
      <c r="IL18" s="21" t="n">
        <v>41.597</v>
      </c>
      <c r="IM18" s="21" t="n">
        <v>50.19</v>
      </c>
      <c r="IN18" s="21" t="n">
        <v>96.453</v>
      </c>
      <c r="IO18" s="21" t="n">
        <v>100.972</v>
      </c>
      <c r="IP18" s="21" t="n">
        <v>159.89</v>
      </c>
      <c r="IQ18" s="21" t="n">
        <v>132.334</v>
      </c>
      <c r="IR18" s="21" t="n">
        <v>365.598</v>
      </c>
      <c r="IS18" s="21" t="n">
        <v>175.455</v>
      </c>
      <c r="IT18" s="21" t="n">
        <v>207.38</v>
      </c>
      <c r="IU18" s="21" t="n">
        <v>291.382</v>
      </c>
      <c r="IV18" s="21" t="n">
        <v>239.187</v>
      </c>
      <c r="IW18" s="21" t="n">
        <v>139.255</v>
      </c>
      <c r="IX18" s="21" t="n">
        <v>246.761</v>
      </c>
      <c r="IY18" s="21" t="n">
        <v>666.306</v>
      </c>
      <c r="IZ18" s="21" t="n">
        <v>706.506</v>
      </c>
      <c r="JA18" s="21" t="n">
        <v>806.448</v>
      </c>
      <c r="JB18" s="21" t="n">
        <v>73.762</v>
      </c>
      <c r="JC18" s="21" t="n">
        <v>281.453</v>
      </c>
      <c r="JD18" s="21" t="n">
        <v>237.368</v>
      </c>
      <c r="JE18" s="21" t="n">
        <v>79.565</v>
      </c>
      <c r="JF18" s="21" t="n">
        <v>174.586</v>
      </c>
      <c r="JG18" s="21" t="n">
        <v>274.869</v>
      </c>
      <c r="JH18" s="21" t="n">
        <v>277.551</v>
      </c>
      <c r="JI18" s="21" t="n">
        <v>75.739</v>
      </c>
      <c r="JJ18" s="21" t="n">
        <v>116.626</v>
      </c>
      <c r="JK18" s="21" t="n">
        <v>44.853</v>
      </c>
      <c r="JL18" s="21" t="n">
        <v>77.41500000000001</v>
      </c>
      <c r="JM18" s="21" t="n">
        <v>289.412</v>
      </c>
      <c r="JN18" s="21" t="n">
        <v>421.881</v>
      </c>
      <c r="JO18" s="21" t="n">
        <v>60.14</v>
      </c>
      <c r="JP18" s="21" t="n">
        <v>389.369</v>
      </c>
      <c r="JQ18" s="21" t="n">
        <v>224.06</v>
      </c>
      <c r="JR18" s="21" t="n">
        <v>163.162</v>
      </c>
      <c r="JS18" s="21" t="n">
        <v>410.007</v>
      </c>
      <c r="JT18" s="21" t="n">
        <v>331.779</v>
      </c>
      <c r="JU18" s="21" t="n">
        <v>318.64</v>
      </c>
      <c r="JV18" s="21" t="n">
        <v>159.643</v>
      </c>
      <c r="JW18" s="21" t="n">
        <v>327.984</v>
      </c>
      <c r="JX18" s="21" t="n">
        <v>224.676</v>
      </c>
      <c r="JY18" s="21" t="n">
        <v>80.15600000000001</v>
      </c>
      <c r="JZ18" s="21" t="n">
        <v>150.455</v>
      </c>
      <c r="KA18" s="21" t="n">
        <v>228.947</v>
      </c>
      <c r="KB18" s="21" t="n">
        <v>246.557</v>
      </c>
      <c r="KC18" s="21" t="n">
        <v>238.265</v>
      </c>
      <c r="KD18" s="21" t="n">
        <v>247.137</v>
      </c>
      <c r="KE18" s="21" t="n">
        <v>223.712</v>
      </c>
      <c r="KF18" s="21" t="n">
        <v>217.428</v>
      </c>
      <c r="KG18" s="21" t="n">
        <v>225.084</v>
      </c>
      <c r="KH18" s="21" t="n">
        <v>229.763</v>
      </c>
      <c r="KI18" s="21" t="n">
        <v>119.56</v>
      </c>
      <c r="KJ18" s="21" t="n">
        <v>179.478</v>
      </c>
      <c r="KK18" s="21" t="n">
        <v>148.958</v>
      </c>
      <c r="KL18" s="21" t="n">
        <v>145.733</v>
      </c>
      <c r="KM18" s="21" t="n">
        <v>145.814</v>
      </c>
      <c r="KN18" s="21" t="n">
        <v>146.372</v>
      </c>
      <c r="KO18" s="21" t="n">
        <v>247.735</v>
      </c>
      <c r="KP18" s="21" t="n">
        <v>107.693</v>
      </c>
      <c r="KQ18" s="21" t="n">
        <v>80.241</v>
      </c>
      <c r="KR18" s="21" t="n">
        <v>111.097</v>
      </c>
      <c r="KS18" s="21" t="n">
        <v>188.596</v>
      </c>
      <c r="KT18" s="21" t="n">
        <v>191.453</v>
      </c>
      <c r="KU18" s="21" t="n">
        <v>91.81100000000001</v>
      </c>
      <c r="KV18" s="21" t="n">
        <v>60.527</v>
      </c>
      <c r="KW18" s="21" t="n">
        <v>214.229</v>
      </c>
      <c r="KX18" s="21" t="n">
        <v>186.106</v>
      </c>
      <c r="KY18" s="21" t="n">
        <v>222.605</v>
      </c>
      <c r="KZ18" s="21" t="n">
        <v>182.647</v>
      </c>
      <c r="LA18" s="21" t="n">
        <v>221.905</v>
      </c>
      <c r="LB18" s="21" t="n">
        <v>108.626</v>
      </c>
      <c r="LC18" s="21" t="n">
        <v>345.925</v>
      </c>
      <c r="LD18" s="21" t="n">
        <v>86.642</v>
      </c>
      <c r="LE18" s="21" t="n">
        <v>115.039</v>
      </c>
      <c r="LF18" s="21" t="n">
        <v>298.818</v>
      </c>
      <c r="LG18" s="21" t="n">
        <v>298.863</v>
      </c>
      <c r="LH18" s="21" t="n">
        <v>309.421</v>
      </c>
      <c r="LI18" s="21" t="n">
        <v>284.14</v>
      </c>
      <c r="LJ18" s="21" t="n">
        <v>321.961</v>
      </c>
      <c r="LK18" s="21" t="n">
        <v>106.426</v>
      </c>
      <c r="LL18" s="21" t="n">
        <v>299.736</v>
      </c>
      <c r="LM18" s="21" t="n">
        <v>215.583</v>
      </c>
      <c r="LN18" s="21" t="n">
        <v>55.887</v>
      </c>
      <c r="LO18" s="21" t="n">
        <v>117.131</v>
      </c>
    </row>
    <row r="19">
      <c r="A19" s="22" t="n">
        <v>42522</v>
      </c>
      <c r="B19" s="21" t="n">
        <v>240.222</v>
      </c>
      <c r="C19" s="21" t="n">
        <v>247.42</v>
      </c>
      <c r="D19" s="21" t="n">
        <v>247.683</v>
      </c>
      <c r="E19" s="21" t="n">
        <v>238.763</v>
      </c>
      <c r="F19" s="21" t="n">
        <v>272.745</v>
      </c>
      <c r="G19" s="21" t="n">
        <v>230.956</v>
      </c>
      <c r="H19" s="21" t="n">
        <v>239.806</v>
      </c>
      <c r="I19" s="21" t="n">
        <v>227.774</v>
      </c>
      <c r="J19" s="21" t="n">
        <v>238.723</v>
      </c>
      <c r="K19" s="21" t="n">
        <v>296.7</v>
      </c>
      <c r="L19" s="21" t="n">
        <v>178.541</v>
      </c>
      <c r="M19" s="21" t="n">
        <v>176.262</v>
      </c>
      <c r="N19" s="21" t="n">
        <v>279.182</v>
      </c>
      <c r="O19" s="21" t="n">
        <v>266.711</v>
      </c>
      <c r="P19" s="21" t="n">
        <v>265.829</v>
      </c>
      <c r="Q19" s="21" t="n">
        <v>307.373</v>
      </c>
      <c r="R19" s="21" t="n">
        <v>268.212</v>
      </c>
      <c r="S19" s="21" t="n">
        <v>247.683</v>
      </c>
      <c r="T19" s="21" t="n">
        <v>249.9</v>
      </c>
      <c r="U19" s="21" t="n">
        <v>253.199</v>
      </c>
      <c r="V19" s="21" t="n">
        <v>302.151</v>
      </c>
      <c r="W19" s="21" t="n">
        <v>267.7</v>
      </c>
      <c r="X19" s="21" t="n">
        <v>231.525</v>
      </c>
      <c r="Y19" s="21" t="n">
        <v>207.746</v>
      </c>
      <c r="Z19" s="21" t="n">
        <v>212.11</v>
      </c>
      <c r="AA19" s="21" t="n">
        <v>156.095</v>
      </c>
      <c r="AB19" s="21" t="n">
        <v>286.529</v>
      </c>
      <c r="AC19" s="21" t="n">
        <v>144.341</v>
      </c>
      <c r="AD19" s="21" t="n">
        <v>204.229</v>
      </c>
      <c r="AE19" s="21" t="n">
        <v>227.917</v>
      </c>
      <c r="AF19" s="21" t="n">
        <v>192.342</v>
      </c>
      <c r="AG19" s="21" t="n">
        <v>129.524</v>
      </c>
      <c r="AH19" s="21" t="n">
        <v>225.094</v>
      </c>
      <c r="AI19" s="21" t="n">
        <v>222.694</v>
      </c>
      <c r="AJ19" s="21" t="n">
        <v>147.003</v>
      </c>
      <c r="AK19" s="21" t="n">
        <v>231.122</v>
      </c>
      <c r="AL19" s="21" t="n">
        <v>147.098</v>
      </c>
      <c r="AM19" s="21" t="n">
        <v>241.6</v>
      </c>
      <c r="AN19" s="21" t="n">
        <v>219.892</v>
      </c>
      <c r="AO19" s="21" t="n">
        <v>156.2</v>
      </c>
      <c r="AP19" s="21" t="n">
        <v>284.493</v>
      </c>
      <c r="AQ19" s="21" t="n">
        <v>175.42</v>
      </c>
      <c r="AR19" s="21" t="n">
        <v>143.429</v>
      </c>
      <c r="AS19" s="21" t="n">
        <v>200.581</v>
      </c>
      <c r="AT19" s="21" t="n">
        <v>301.47</v>
      </c>
      <c r="AU19" s="21" t="n">
        <v>219.598</v>
      </c>
      <c r="AV19" s="21" t="n">
        <v>216.471</v>
      </c>
      <c r="AW19" s="21" t="n">
        <v>139.469</v>
      </c>
      <c r="AX19" s="21" t="n">
        <v>202.117</v>
      </c>
      <c r="AY19" s="21" t="n">
        <v>142.511</v>
      </c>
      <c r="AZ19" s="21" t="n">
        <v>225.164</v>
      </c>
      <c r="BA19" s="21" t="n">
        <v>221.314</v>
      </c>
      <c r="BB19" s="21" t="n">
        <v>146.454</v>
      </c>
      <c r="BC19" s="21" t="n">
        <v>294.849</v>
      </c>
      <c r="BD19" s="21" t="n">
        <v>339.661</v>
      </c>
      <c r="BE19" s="21" t="n">
        <v>358.205</v>
      </c>
      <c r="BF19" s="21" t="n">
        <v>356.368</v>
      </c>
      <c r="BG19" s="21" t="n">
        <v>199.292</v>
      </c>
      <c r="BH19" s="21" t="n">
        <v>244.607</v>
      </c>
      <c r="BI19" s="21" t="n">
        <v>483.636</v>
      </c>
      <c r="BJ19" s="21" t="n">
        <v>117.025</v>
      </c>
      <c r="BK19" s="21" t="n">
        <v>318.967</v>
      </c>
      <c r="BL19" s="21" t="n">
        <v>332.163</v>
      </c>
      <c r="BM19" s="21" t="n">
        <v>296.081</v>
      </c>
      <c r="BN19" s="21" t="n">
        <v>318.838</v>
      </c>
      <c r="BO19" s="21" t="n">
        <v>323.002</v>
      </c>
      <c r="BP19" s="21" t="n">
        <v>157.832</v>
      </c>
      <c r="BQ19" s="21" t="n">
        <v>161.499</v>
      </c>
      <c r="BR19" s="21" t="n">
        <v>157.582</v>
      </c>
      <c r="BS19" s="21" t="n">
        <v>169.186</v>
      </c>
      <c r="BT19" s="21" t="n">
        <v>148.459</v>
      </c>
      <c r="BU19" s="21" t="n">
        <v>202.122</v>
      </c>
      <c r="BV19" s="21" t="n">
        <v>161.445</v>
      </c>
      <c r="BW19" s="21" t="n">
        <v>166.68</v>
      </c>
      <c r="BX19" s="21" t="n">
        <v>128.285</v>
      </c>
      <c r="BY19" s="21" t="n">
        <v>160.907</v>
      </c>
      <c r="BZ19" s="21" t="n">
        <v>116.915</v>
      </c>
      <c r="CA19" s="21" t="n">
        <v>118.003</v>
      </c>
      <c r="CB19" s="21" t="n">
        <v>199.67</v>
      </c>
      <c r="CC19" s="21" t="n">
        <v>208.705</v>
      </c>
      <c r="CD19" s="21" t="n">
        <v>125.658</v>
      </c>
      <c r="CE19" s="21" t="n">
        <v>209.96</v>
      </c>
      <c r="CF19" s="21" t="n">
        <v>215.527</v>
      </c>
      <c r="CG19" s="21" t="n">
        <v>188.512</v>
      </c>
      <c r="CH19" s="21" t="n">
        <v>145.095</v>
      </c>
      <c r="CI19" s="21" t="n">
        <v>152.248</v>
      </c>
      <c r="CJ19" s="21" t="n">
        <v>225.744</v>
      </c>
      <c r="CK19" s="21" t="n">
        <v>201.81</v>
      </c>
      <c r="CL19" s="21" t="n">
        <v>237.167</v>
      </c>
      <c r="CM19" s="21" t="n">
        <v>294.733</v>
      </c>
      <c r="CN19" s="21" t="n">
        <v>129.585</v>
      </c>
      <c r="CO19" s="21" t="n">
        <v>156.706</v>
      </c>
      <c r="CP19" s="21" t="n">
        <v>224.717</v>
      </c>
      <c r="CQ19" s="21" t="n">
        <v>244.494</v>
      </c>
      <c r="CR19" s="21" t="n">
        <v>170.057</v>
      </c>
      <c r="CS19" s="21" t="n">
        <v>252.873</v>
      </c>
      <c r="CT19" s="21" t="n">
        <v>237.605</v>
      </c>
      <c r="CU19" s="21" t="n">
        <v>151.161</v>
      </c>
      <c r="CV19" s="21" t="n">
        <v>139.605</v>
      </c>
      <c r="CW19" s="21" t="n">
        <v>135.311</v>
      </c>
      <c r="CX19" s="21" t="n">
        <v>279.315</v>
      </c>
      <c r="CY19" s="21" t="n">
        <v>132.123</v>
      </c>
      <c r="CZ19" s="21" t="n">
        <v>125.613</v>
      </c>
      <c r="DA19" s="21" t="n">
        <v>262.529</v>
      </c>
      <c r="DB19" s="21" t="n">
        <v>163.059</v>
      </c>
      <c r="DC19" s="21" t="n">
        <v>168.941</v>
      </c>
      <c r="DD19" s="21" t="n">
        <v>141.241</v>
      </c>
      <c r="DE19" s="21" t="n">
        <v>182.746</v>
      </c>
      <c r="DF19" s="21" t="n">
        <v>242.509</v>
      </c>
      <c r="DG19" s="21" t="n">
        <v>199.02</v>
      </c>
      <c r="DH19" s="21" t="n">
        <v>219.042</v>
      </c>
      <c r="DI19" s="21" t="n">
        <v>192.384</v>
      </c>
      <c r="DJ19" s="21" t="n">
        <v>206.008</v>
      </c>
      <c r="DK19" s="21" t="n">
        <v>186.065</v>
      </c>
      <c r="DL19" s="21" t="n">
        <v>168.575</v>
      </c>
      <c r="DM19" s="21" t="n">
        <v>336.512</v>
      </c>
      <c r="DN19" s="21" t="n">
        <v>183.002</v>
      </c>
      <c r="DO19" s="21" t="n">
        <v>243.515</v>
      </c>
      <c r="DP19" s="21" t="n">
        <v>287.819</v>
      </c>
      <c r="DQ19" s="21" t="n">
        <v>296.306</v>
      </c>
      <c r="DR19" s="21" t="n">
        <v>158.643</v>
      </c>
      <c r="DS19" s="21" t="n">
        <v>522.631</v>
      </c>
      <c r="DT19" s="21" t="n">
        <v>326.719</v>
      </c>
      <c r="DU19" s="21" t="n">
        <v>294.913</v>
      </c>
      <c r="DV19" s="21" t="n">
        <v>294.876</v>
      </c>
      <c r="DW19" s="21" t="n">
        <v>227.698</v>
      </c>
      <c r="DX19" s="21" t="n">
        <v>189.783</v>
      </c>
      <c r="DY19" s="21" t="n">
        <v>230.486</v>
      </c>
      <c r="DZ19" s="21" t="n">
        <v>215.295</v>
      </c>
      <c r="EA19" s="21" t="n">
        <v>298.715</v>
      </c>
      <c r="EB19" s="21" t="n">
        <v>194.521</v>
      </c>
      <c r="EC19" s="21" t="n">
        <v>206.255</v>
      </c>
      <c r="ED19" s="21" t="n">
        <v>156.775</v>
      </c>
      <c r="EE19" s="21" t="n">
        <v>221.68</v>
      </c>
      <c r="EF19" s="21" t="n">
        <v>514.313</v>
      </c>
      <c r="EG19" s="21" t="n">
        <v>437.858</v>
      </c>
      <c r="EH19" s="21" t="n">
        <v>121.41</v>
      </c>
      <c r="EI19" s="21" t="n">
        <v>59.095</v>
      </c>
      <c r="EJ19" s="21" t="n">
        <v>68.498</v>
      </c>
      <c r="EK19" s="21" t="n">
        <v>45.459</v>
      </c>
      <c r="EL19" s="21" t="n">
        <v>112.043</v>
      </c>
      <c r="EM19" s="21" t="n">
        <v>69.54000000000001</v>
      </c>
      <c r="EN19" s="21" t="n">
        <v>77.114</v>
      </c>
      <c r="EO19" s="21" t="n">
        <v>83.994</v>
      </c>
      <c r="EP19" s="21" t="n">
        <v>94.858</v>
      </c>
      <c r="EQ19" s="21" t="n">
        <v>66.998</v>
      </c>
      <c r="ER19" s="21" t="n">
        <v>57.337</v>
      </c>
      <c r="ES19" s="21" t="n">
        <v>127.977</v>
      </c>
      <c r="ET19" s="21" t="n">
        <v>89.25</v>
      </c>
      <c r="EU19" s="21" t="n">
        <v>90.107</v>
      </c>
      <c r="EV19" s="21" t="n">
        <v>98.84099999999999</v>
      </c>
      <c r="EW19" s="21" t="n">
        <v>86.03100000000001</v>
      </c>
      <c r="EX19" s="21" t="n">
        <v>186.643</v>
      </c>
      <c r="EY19" s="21" t="n">
        <v>119.877</v>
      </c>
      <c r="EZ19" s="21" t="n">
        <v>118.064</v>
      </c>
      <c r="FA19" s="21" t="n">
        <v>159.438</v>
      </c>
      <c r="FB19" s="21" t="n">
        <v>126.276</v>
      </c>
      <c r="FC19" s="21" t="n">
        <v>119.359</v>
      </c>
      <c r="FD19" s="21" t="n">
        <v>122.944</v>
      </c>
      <c r="FE19" s="21" t="n">
        <v>111.695</v>
      </c>
      <c r="FF19" s="21" t="n">
        <v>158.932</v>
      </c>
      <c r="FG19" s="21" t="n">
        <v>79.208</v>
      </c>
      <c r="FH19" s="21" t="n">
        <v>118.348</v>
      </c>
      <c r="FI19" s="21" t="n">
        <v>103.869</v>
      </c>
      <c r="FJ19" s="21" t="n">
        <v>112.349</v>
      </c>
      <c r="FK19" s="21" t="n">
        <v>115.857</v>
      </c>
      <c r="FL19" s="21" t="n">
        <v>113.12</v>
      </c>
      <c r="FM19" s="21" t="n">
        <v>121.946</v>
      </c>
      <c r="FN19" s="21" t="n">
        <v>82.057</v>
      </c>
      <c r="FO19" s="21" t="n">
        <v>107.415</v>
      </c>
      <c r="FP19" s="21" t="n">
        <v>95.908</v>
      </c>
      <c r="FQ19" s="21" t="n">
        <v>135.65</v>
      </c>
      <c r="FR19" s="21" t="n">
        <v>136.567</v>
      </c>
      <c r="FS19" s="21" t="n">
        <v>151.185</v>
      </c>
      <c r="FT19" s="21" t="n">
        <v>126.215</v>
      </c>
      <c r="FU19" s="21" t="n">
        <v>113.074</v>
      </c>
      <c r="FV19" s="21" t="n">
        <v>170.357</v>
      </c>
      <c r="FW19" s="21" t="n">
        <v>131.428</v>
      </c>
      <c r="FX19" s="21" t="n">
        <v>176.554</v>
      </c>
      <c r="FY19" s="21" t="n">
        <v>197.236</v>
      </c>
      <c r="FZ19" s="21" t="n">
        <v>191.731</v>
      </c>
      <c r="GA19" s="21" t="n">
        <v>100.516</v>
      </c>
      <c r="GB19" s="21" t="n">
        <v>147.046</v>
      </c>
      <c r="GC19" s="21" t="n">
        <v>101.891</v>
      </c>
      <c r="GD19" s="21" t="n">
        <v>143.238</v>
      </c>
      <c r="GE19" s="21" t="n">
        <v>156.235</v>
      </c>
      <c r="GF19" s="21" t="n"/>
      <c r="GG19" s="21" t="n">
        <v>144.887</v>
      </c>
      <c r="GH19" s="21" t="n">
        <v>84.81699999999999</v>
      </c>
      <c r="GI19" s="21" t="n">
        <v>137.367</v>
      </c>
      <c r="GJ19" s="21" t="n">
        <v>197.305</v>
      </c>
      <c r="GK19" s="21" t="n">
        <v>196.44</v>
      </c>
      <c r="GL19" s="21" t="n">
        <v>193.136</v>
      </c>
      <c r="GM19" s="21" t="n">
        <v>212.784</v>
      </c>
      <c r="GN19" s="21" t="n">
        <v>205.369</v>
      </c>
      <c r="GO19" s="21" t="n">
        <v>173.207</v>
      </c>
      <c r="GP19" s="21" t="n">
        <v>143.822</v>
      </c>
      <c r="GQ19" s="21" t="n">
        <v>125.366</v>
      </c>
      <c r="GR19" s="21" t="n">
        <v>275.563</v>
      </c>
      <c r="GS19" s="21" t="n">
        <v>172.013</v>
      </c>
      <c r="GT19" s="21" t="n">
        <v>488.639</v>
      </c>
      <c r="GU19" s="21" t="n">
        <v>198.699</v>
      </c>
      <c r="GV19" s="21" t="n">
        <v>221.881</v>
      </c>
      <c r="GW19" s="21" t="n">
        <v>269.444</v>
      </c>
      <c r="GX19" s="21" t="n">
        <v>290.014</v>
      </c>
      <c r="GY19" s="21" t="n">
        <v>158.967</v>
      </c>
      <c r="GZ19" s="21" t="n">
        <v>111.667</v>
      </c>
      <c r="HA19" s="21" t="n">
        <v>67.292</v>
      </c>
      <c r="HB19" s="21" t="n">
        <v>462.09</v>
      </c>
      <c r="HC19" s="21" t="n">
        <v>364.501</v>
      </c>
      <c r="HD19" s="21" t="n">
        <v>119.326</v>
      </c>
      <c r="HE19" s="21" t="n">
        <v>499.12</v>
      </c>
      <c r="HF19" s="21" t="n">
        <v>96.825</v>
      </c>
      <c r="HG19" s="21" t="n">
        <v>493.458</v>
      </c>
      <c r="HH19" s="21" t="n">
        <v>370.868</v>
      </c>
      <c r="HI19" s="21" t="n">
        <v>377.678</v>
      </c>
      <c r="HJ19" s="21" t="n">
        <v>463.671</v>
      </c>
      <c r="HK19" s="21" t="n">
        <v>187.817</v>
      </c>
      <c r="HL19" s="21" t="n">
        <v>230.324</v>
      </c>
      <c r="HM19" s="21" t="n">
        <v>71.881</v>
      </c>
      <c r="HN19" s="21" t="n">
        <v>301.408</v>
      </c>
      <c r="HO19" s="21" t="n">
        <v>297.97</v>
      </c>
      <c r="HP19" s="21" t="n">
        <v>667.485</v>
      </c>
      <c r="HQ19" s="21" t="n">
        <v>213.542</v>
      </c>
      <c r="HR19" s="21" t="n">
        <v>117.398</v>
      </c>
      <c r="HS19" s="21" t="n">
        <v>101.538</v>
      </c>
      <c r="HT19" s="21" t="n">
        <v>267.863</v>
      </c>
      <c r="HU19" s="21" t="n">
        <v>440.125</v>
      </c>
      <c r="HV19" s="21" t="n">
        <v>127.913</v>
      </c>
      <c r="HW19" s="21" t="n">
        <v>34.515</v>
      </c>
      <c r="HX19" s="21" t="n">
        <v>169.675</v>
      </c>
      <c r="HY19" s="21" t="n">
        <v>198.459</v>
      </c>
      <c r="HZ19" s="21" t="n">
        <v>153.171</v>
      </c>
      <c r="IA19" s="21" t="n">
        <v>113.329</v>
      </c>
      <c r="IB19" s="21" t="n">
        <v>233.748</v>
      </c>
      <c r="IC19" s="21" t="n">
        <v>184.498</v>
      </c>
      <c r="ID19" s="21" t="n">
        <v>244.943</v>
      </c>
      <c r="IE19" s="21" t="n">
        <v>113.014</v>
      </c>
      <c r="IF19" s="21" t="n">
        <v>146.881</v>
      </c>
      <c r="IG19" s="21" t="n">
        <v>83.84399999999999</v>
      </c>
      <c r="IH19" s="21" t="n">
        <v>74.726</v>
      </c>
      <c r="II19" s="21" t="n">
        <v>53.122</v>
      </c>
      <c r="IJ19" s="21" t="n">
        <v>21.649</v>
      </c>
      <c r="IK19" s="21" t="n">
        <v>44.033</v>
      </c>
      <c r="IL19" s="21" t="n">
        <v>41.187</v>
      </c>
      <c r="IM19" s="21" t="n">
        <v>49.671</v>
      </c>
      <c r="IN19" s="21" t="n">
        <v>91.352</v>
      </c>
      <c r="IO19" s="21" t="n">
        <v>100.939</v>
      </c>
      <c r="IP19" s="21" t="n">
        <v>160.866</v>
      </c>
      <c r="IQ19" s="21" t="n">
        <v>132.834</v>
      </c>
      <c r="IR19" s="21" t="n">
        <v>369.364</v>
      </c>
      <c r="IS19" s="21" t="n">
        <v>176.303</v>
      </c>
      <c r="IT19" s="21" t="n">
        <v>214.256</v>
      </c>
      <c r="IU19" s="21" t="n">
        <v>291.979</v>
      </c>
      <c r="IV19" s="21" t="n">
        <v>238.469</v>
      </c>
      <c r="IW19" s="21" t="n">
        <v>139.197</v>
      </c>
      <c r="IX19" s="21" t="n">
        <v>247.276</v>
      </c>
      <c r="IY19" s="21" t="n">
        <v>675.052</v>
      </c>
      <c r="IZ19" s="21" t="n">
        <v>707.572</v>
      </c>
      <c r="JA19" s="21" t="n">
        <v>807.534</v>
      </c>
      <c r="JB19" s="21" t="n">
        <v>73.85299999999999</v>
      </c>
      <c r="JC19" s="21" t="n">
        <v>282.071</v>
      </c>
      <c r="JD19" s="21" t="n">
        <v>237.713</v>
      </c>
      <c r="JE19" s="21" t="n">
        <v>79.369</v>
      </c>
      <c r="JF19" s="21" t="n">
        <v>174.803</v>
      </c>
      <c r="JG19" s="21" t="n">
        <v>275.227</v>
      </c>
      <c r="JH19" s="21" t="n">
        <v>277.602</v>
      </c>
      <c r="JI19" s="21" t="n">
        <v>75.542</v>
      </c>
      <c r="JJ19" s="21" t="n">
        <v>116.019</v>
      </c>
      <c r="JK19" s="21" t="n">
        <v>44.496</v>
      </c>
      <c r="JL19" s="21" t="n">
        <v>77.13500000000001</v>
      </c>
      <c r="JM19" s="21" t="n">
        <v>284.988</v>
      </c>
      <c r="JN19" s="21" t="n">
        <v>422.915</v>
      </c>
      <c r="JO19" s="21" t="n">
        <v>60.712</v>
      </c>
      <c r="JP19" s="21" t="n">
        <v>393.27</v>
      </c>
      <c r="JQ19" s="21" t="n">
        <v>224.201</v>
      </c>
      <c r="JR19" s="21" t="n">
        <v>162.509</v>
      </c>
      <c r="JS19" s="21" t="n">
        <v>412.499</v>
      </c>
      <c r="JT19" s="21" t="n">
        <v>333.681</v>
      </c>
      <c r="JU19" s="21" t="n">
        <v>319.181</v>
      </c>
      <c r="JV19" s="21" t="n">
        <v>160.622</v>
      </c>
      <c r="JW19" s="21" t="n">
        <v>330.956</v>
      </c>
      <c r="JX19" s="21" t="n">
        <v>227.691</v>
      </c>
      <c r="JY19" s="21" t="n">
        <v>79.429</v>
      </c>
      <c r="JZ19" s="21" t="n">
        <v>149.754</v>
      </c>
      <c r="KA19" s="21" t="n">
        <v>229.567</v>
      </c>
      <c r="KB19" s="21" t="n">
        <v>246.873</v>
      </c>
      <c r="KC19" s="21" t="n">
        <v>239.059</v>
      </c>
      <c r="KD19" s="21" t="n">
        <v>247.54</v>
      </c>
      <c r="KE19" s="21" t="n">
        <v>224.268</v>
      </c>
      <c r="KF19" s="21" t="n">
        <v>218.149</v>
      </c>
      <c r="KG19" s="21" t="n">
        <v>225.17</v>
      </c>
      <c r="KH19" s="21" t="n">
        <v>229.972</v>
      </c>
      <c r="KI19" s="21" t="n">
        <v>119.559</v>
      </c>
      <c r="KJ19" s="21" t="n">
        <v>179.948</v>
      </c>
      <c r="KK19" s="21" t="n">
        <v>149.648</v>
      </c>
      <c r="KL19" s="21" t="n">
        <v>146.435</v>
      </c>
      <c r="KM19" s="21" t="n">
        <v>145.452</v>
      </c>
      <c r="KN19" s="21" t="n">
        <v>146.151</v>
      </c>
      <c r="KO19" s="21" t="n">
        <v>246.776</v>
      </c>
      <c r="KP19" s="21" t="n">
        <v>107.29</v>
      </c>
      <c r="KQ19" s="21" t="n">
        <v>80.04900000000001</v>
      </c>
      <c r="KR19" s="21" t="n">
        <v>111.072</v>
      </c>
      <c r="KS19" s="21" t="n">
        <v>192.899</v>
      </c>
      <c r="KT19" s="21" t="n">
        <v>200.364</v>
      </c>
      <c r="KU19" s="21" t="n">
        <v>91.56999999999999</v>
      </c>
      <c r="KV19" s="21" t="n">
        <v>60.065</v>
      </c>
      <c r="KW19" s="21" t="n">
        <v>215.183</v>
      </c>
      <c r="KX19" s="21" t="n">
        <v>187.877</v>
      </c>
      <c r="KY19" s="21" t="n">
        <v>225.546</v>
      </c>
      <c r="KZ19" s="21" t="n">
        <v>184.513</v>
      </c>
      <c r="LA19" s="21" t="n">
        <v>225.139</v>
      </c>
      <c r="LB19" s="21" t="n">
        <v>108.74</v>
      </c>
      <c r="LC19" s="21" t="n">
        <v>346.734</v>
      </c>
      <c r="LD19" s="21" t="n">
        <v>85.84</v>
      </c>
      <c r="LE19" s="21" t="n">
        <v>115.725</v>
      </c>
      <c r="LF19" s="21" t="n">
        <v>299.913</v>
      </c>
      <c r="LG19" s="21" t="n">
        <v>299.729</v>
      </c>
      <c r="LH19" s="21" t="n">
        <v>310.354</v>
      </c>
      <c r="LI19" s="21" t="n">
        <v>284.977</v>
      </c>
      <c r="LJ19" s="21" t="n">
        <v>322.588</v>
      </c>
      <c r="LK19" s="21" t="n">
        <v>105.999</v>
      </c>
      <c r="LL19" s="21" t="n">
        <v>300.527</v>
      </c>
      <c r="LM19" s="21" t="n">
        <v>216.254</v>
      </c>
      <c r="LN19" s="21" t="n">
        <v>54.68</v>
      </c>
      <c r="LO19" s="21" t="n">
        <v>117.963</v>
      </c>
    </row>
    <row r="20">
      <c r="A20" s="22" t="n">
        <v>42552</v>
      </c>
      <c r="B20" s="21" t="n">
        <v>240.101</v>
      </c>
      <c r="C20" s="21" t="n">
        <v>247.406</v>
      </c>
      <c r="D20" s="21" t="n">
        <v>247.658</v>
      </c>
      <c r="E20" s="21" t="n">
        <v>238.38</v>
      </c>
      <c r="F20" s="21" t="n">
        <v>272.772</v>
      </c>
      <c r="G20" s="21" t="n">
        <v>231.809</v>
      </c>
      <c r="H20" s="21" t="n">
        <v>241.97</v>
      </c>
      <c r="I20" s="21" t="n">
        <v>229.139</v>
      </c>
      <c r="J20" s="21" t="n">
        <v>239.359</v>
      </c>
      <c r="K20" s="21" t="n">
        <v>295.836</v>
      </c>
      <c r="L20" s="21" t="n">
        <v>178.547</v>
      </c>
      <c r="M20" s="21" t="n">
        <v>175.735</v>
      </c>
      <c r="N20" s="21" t="n">
        <v>278.926</v>
      </c>
      <c r="O20" s="21" t="n">
        <v>264.155</v>
      </c>
      <c r="P20" s="21" t="n">
        <v>263.732</v>
      </c>
      <c r="Q20" s="21" t="n">
        <v>303.788</v>
      </c>
      <c r="R20" s="21" t="n">
        <v>266.83</v>
      </c>
      <c r="S20" s="21" t="n">
        <v>246.197</v>
      </c>
      <c r="T20" s="21" t="n">
        <v>248.537</v>
      </c>
      <c r="U20" s="21" t="n">
        <v>251.052</v>
      </c>
      <c r="V20" s="21" t="n">
        <v>298.516</v>
      </c>
      <c r="W20" s="21" t="n">
        <v>266.073</v>
      </c>
      <c r="X20" s="21" t="n">
        <v>227.712</v>
      </c>
      <c r="Y20" s="21" t="n">
        <v>202.03</v>
      </c>
      <c r="Z20" s="21" t="n">
        <v>211.102</v>
      </c>
      <c r="AA20" s="21" t="n">
        <v>155.179</v>
      </c>
      <c r="AB20" s="21" t="n">
        <v>284.692</v>
      </c>
      <c r="AC20" s="21" t="n">
        <v>143.442</v>
      </c>
      <c r="AD20" s="21" t="n">
        <v>203.706</v>
      </c>
      <c r="AE20" s="21" t="n">
        <v>227.605</v>
      </c>
      <c r="AF20" s="21" t="n">
        <v>196.443</v>
      </c>
      <c r="AG20" s="21" t="n">
        <v>128.167</v>
      </c>
      <c r="AH20" s="21" t="n">
        <v>223.586</v>
      </c>
      <c r="AI20" s="21" t="n">
        <v>220.23</v>
      </c>
      <c r="AJ20" s="21" t="n">
        <v>145.622</v>
      </c>
      <c r="AK20" s="21" t="n">
        <v>230.537</v>
      </c>
      <c r="AL20" s="21" t="n">
        <v>147.017</v>
      </c>
      <c r="AM20" s="21" t="n">
        <v>249.136</v>
      </c>
      <c r="AN20" s="21" t="n">
        <v>216.744</v>
      </c>
      <c r="AO20" s="21" t="n">
        <v>155.163</v>
      </c>
      <c r="AP20" s="21" t="n">
        <v>285.342</v>
      </c>
      <c r="AQ20" s="21" t="n">
        <v>177.092</v>
      </c>
      <c r="AR20" s="21" t="n">
        <v>142.337</v>
      </c>
      <c r="AS20" s="21" t="n">
        <v>197.001</v>
      </c>
      <c r="AT20" s="21" t="n">
        <v>300.06</v>
      </c>
      <c r="AU20" s="21" t="n">
        <v>216.426</v>
      </c>
      <c r="AV20" s="21" t="n">
        <v>216.112</v>
      </c>
      <c r="AW20" s="21" t="n">
        <v>138.071</v>
      </c>
      <c r="AX20" s="21" t="n">
        <v>198.759</v>
      </c>
      <c r="AY20" s="21" t="n">
        <v>141.713</v>
      </c>
      <c r="AZ20" s="21" t="n">
        <v>226.619</v>
      </c>
      <c r="BA20" s="21" t="n">
        <v>220.02</v>
      </c>
      <c r="BB20" s="21" t="n">
        <v>146.602</v>
      </c>
      <c r="BC20" s="21" t="n">
        <v>294.509</v>
      </c>
      <c r="BD20" s="21" t="n">
        <v>338.838</v>
      </c>
      <c r="BE20" s="21" t="n">
        <v>357.012</v>
      </c>
      <c r="BF20" s="21" t="n">
        <v>353.241</v>
      </c>
      <c r="BG20" s="21" t="n">
        <v>198.458</v>
      </c>
      <c r="BH20" s="21" t="n">
        <v>241.106</v>
      </c>
      <c r="BI20" s="21" t="n">
        <v>480.591</v>
      </c>
      <c r="BJ20" s="21" t="n">
        <v>117.276</v>
      </c>
      <c r="BK20" s="21" t="n">
        <v>318.533</v>
      </c>
      <c r="BL20" s="21" t="n">
        <v>328.488</v>
      </c>
      <c r="BM20" s="21" t="n">
        <v>284.513</v>
      </c>
      <c r="BN20" s="21" t="n">
        <v>320.366</v>
      </c>
      <c r="BO20" s="21" t="n">
        <v>324.709</v>
      </c>
      <c r="BP20" s="21" t="n">
        <v>158.362</v>
      </c>
      <c r="BQ20" s="21" t="n">
        <v>162.333</v>
      </c>
      <c r="BR20" s="21" t="n">
        <v>158.012</v>
      </c>
      <c r="BS20" s="21" t="n">
        <v>169.802</v>
      </c>
      <c r="BT20" s="21" t="n">
        <v>149.125</v>
      </c>
      <c r="BU20" s="21" t="n">
        <v>203.224</v>
      </c>
      <c r="BV20" s="21" t="n">
        <v>162.449</v>
      </c>
      <c r="BW20" s="21" t="n">
        <v>167.3</v>
      </c>
      <c r="BX20" s="21" t="n">
        <v>128.836</v>
      </c>
      <c r="BY20" s="21" t="n">
        <v>162.185</v>
      </c>
      <c r="BZ20" s="21" t="n">
        <v>117.388</v>
      </c>
      <c r="CA20" s="21" t="n">
        <v>117.913</v>
      </c>
      <c r="CB20" s="21" t="n">
        <v>198.417</v>
      </c>
      <c r="CC20" s="21" t="n">
        <v>206.867</v>
      </c>
      <c r="CD20" s="21" t="n">
        <v>128.159</v>
      </c>
      <c r="CE20" s="21" t="n">
        <v>209.661</v>
      </c>
      <c r="CF20" s="21" t="n">
        <v>215.47</v>
      </c>
      <c r="CG20" s="21" t="n">
        <v>186.778</v>
      </c>
      <c r="CH20" s="21" t="n">
        <v>145.185</v>
      </c>
      <c r="CI20" s="21" t="n">
        <v>152.645</v>
      </c>
      <c r="CJ20" s="21" t="n">
        <v>225.418</v>
      </c>
      <c r="CK20" s="21" t="n">
        <v>201.91</v>
      </c>
      <c r="CL20" s="21" t="n">
        <v>234.357</v>
      </c>
      <c r="CM20" s="21" t="n">
        <v>297.713</v>
      </c>
      <c r="CN20" s="21" t="n">
        <v>130.965</v>
      </c>
      <c r="CO20" s="21" t="n">
        <v>155.681</v>
      </c>
      <c r="CP20" s="21" t="n">
        <v>224.346</v>
      </c>
      <c r="CQ20" s="21" t="n">
        <v>242.401</v>
      </c>
      <c r="CR20" s="21" t="n">
        <v>168.551</v>
      </c>
      <c r="CS20" s="21" t="n">
        <v>252.335</v>
      </c>
      <c r="CT20" s="21" t="n">
        <v>239.655</v>
      </c>
      <c r="CU20" s="21" t="n">
        <v>151.036</v>
      </c>
      <c r="CV20" s="21" t="n">
        <v>142.032</v>
      </c>
      <c r="CW20" s="21" t="n">
        <v>136.709</v>
      </c>
      <c r="CX20" s="21" t="n">
        <v>279.017</v>
      </c>
      <c r="CY20" s="21" t="n">
        <v>131.853</v>
      </c>
      <c r="CZ20" s="21" t="n">
        <v>123.639</v>
      </c>
      <c r="DA20" s="21" t="n">
        <v>263.051</v>
      </c>
      <c r="DB20" s="21" t="n">
        <v>163.364</v>
      </c>
      <c r="DC20" s="21" t="n">
        <v>169.344</v>
      </c>
      <c r="DD20" s="21" t="n"/>
      <c r="DE20" s="21" t="n">
        <v>182.889</v>
      </c>
      <c r="DF20" s="21" t="n">
        <v>242.651</v>
      </c>
      <c r="DG20" s="21" t="n">
        <v>198.958</v>
      </c>
      <c r="DH20" s="21" t="n">
        <v>219.147</v>
      </c>
      <c r="DI20" s="21" t="n">
        <v>192.982</v>
      </c>
      <c r="DJ20" s="21" t="n">
        <v>207.282</v>
      </c>
      <c r="DK20" s="21" t="n">
        <v>186.009</v>
      </c>
      <c r="DL20" s="21" t="n">
        <v>168.14</v>
      </c>
      <c r="DM20" s="21" t="n">
        <v>336.754</v>
      </c>
      <c r="DN20" s="21" t="n">
        <v>182.861</v>
      </c>
      <c r="DO20" s="21" t="n">
        <v>244.224</v>
      </c>
      <c r="DP20" s="21" t="n">
        <v>288.524</v>
      </c>
      <c r="DQ20" s="21" t="n">
        <v>297.192</v>
      </c>
      <c r="DR20" s="21" t="n">
        <v>156.779</v>
      </c>
      <c r="DS20" s="21" t="n">
        <v>523.617</v>
      </c>
      <c r="DT20" s="21" t="n">
        <v>322.222</v>
      </c>
      <c r="DU20" s="21" t="n">
        <v>295.753</v>
      </c>
      <c r="DV20" s="21" t="n">
        <v>295.715</v>
      </c>
      <c r="DW20" s="21" t="n">
        <v>229.517</v>
      </c>
      <c r="DX20" s="21" t="n">
        <v>191.805</v>
      </c>
      <c r="DY20" s="21" t="n">
        <v>230.473</v>
      </c>
      <c r="DZ20" s="21" t="n">
        <v>212.482</v>
      </c>
      <c r="EA20" s="21" t="n">
        <v>303.43</v>
      </c>
      <c r="EB20" s="21" t="n">
        <v>196.697</v>
      </c>
      <c r="EC20" s="21" t="n">
        <v>207.015</v>
      </c>
      <c r="ED20" s="21" t="n">
        <v>163.007</v>
      </c>
      <c r="EE20" s="21" t="n">
        <v>221.53</v>
      </c>
      <c r="EF20" s="21" t="n">
        <v>513.569</v>
      </c>
      <c r="EG20" s="21" t="n">
        <v>438.607</v>
      </c>
      <c r="EH20" s="21" t="n">
        <v>121.474</v>
      </c>
      <c r="EI20" s="21" t="n">
        <v>59.944</v>
      </c>
      <c r="EJ20" s="21" t="n">
        <v>68.554</v>
      </c>
      <c r="EK20" s="21" t="n">
        <v>46.665</v>
      </c>
      <c r="EL20" s="21" t="n">
        <v>111.511</v>
      </c>
      <c r="EM20" s="21" t="n">
        <v>69.876</v>
      </c>
      <c r="EN20" s="21" t="n">
        <v>76.873</v>
      </c>
      <c r="EO20" s="21" t="n">
        <v>82.58</v>
      </c>
      <c r="EP20" s="21" t="n">
        <v>92.413</v>
      </c>
      <c r="EQ20" s="21" t="n">
        <v>67.009</v>
      </c>
      <c r="ER20" s="21" t="n">
        <v>56.646</v>
      </c>
      <c r="ES20" s="21" t="n">
        <v>124.208</v>
      </c>
      <c r="ET20" s="21" t="n">
        <v>88.65000000000001</v>
      </c>
      <c r="EU20" s="21" t="n">
        <v>90.238</v>
      </c>
      <c r="EV20" s="21" t="n">
        <v>98.511</v>
      </c>
      <c r="EW20" s="21" t="n">
        <v>86.307</v>
      </c>
      <c r="EX20" s="21" t="n">
        <v>186.171</v>
      </c>
      <c r="EY20" s="21" t="n">
        <v>119.998</v>
      </c>
      <c r="EZ20" s="21" t="n">
        <v>116.996</v>
      </c>
      <c r="FA20" s="21" t="n">
        <v>160.696</v>
      </c>
      <c r="FB20" s="21" t="n">
        <v>125.881</v>
      </c>
      <c r="FC20" s="21" t="n">
        <v>119.919</v>
      </c>
      <c r="FD20" s="21" t="n">
        <v>123.031</v>
      </c>
      <c r="FE20" s="21" t="n">
        <v>112.507</v>
      </c>
      <c r="FF20" s="21" t="n">
        <v>153.882</v>
      </c>
      <c r="FG20" s="21" t="n">
        <v>79.88200000000001</v>
      </c>
      <c r="FH20" s="21" t="n">
        <v>119.479</v>
      </c>
      <c r="FI20" s="21" t="n">
        <v>105.717</v>
      </c>
      <c r="FJ20" s="21" t="n">
        <v>111.194</v>
      </c>
      <c r="FK20" s="21" t="n">
        <v>115.596</v>
      </c>
      <c r="FL20" s="21" t="n">
        <v>110.834</v>
      </c>
      <c r="FM20" s="21" t="n">
        <v>121.14</v>
      </c>
      <c r="FN20" s="21" t="n">
        <v>82.17700000000001</v>
      </c>
      <c r="FO20" s="21" t="n">
        <v>107.402</v>
      </c>
      <c r="FP20" s="21" t="n">
        <v>90.94199999999999</v>
      </c>
      <c r="FQ20" s="21" t="n">
        <v>135.181</v>
      </c>
      <c r="FR20" s="21" t="n">
        <v>136.548</v>
      </c>
      <c r="FS20" s="21" t="n">
        <v>151.567</v>
      </c>
      <c r="FT20" s="21" t="n">
        <v>125.789</v>
      </c>
      <c r="FU20" s="21" t="n">
        <v>115.974</v>
      </c>
      <c r="FV20" s="21" t="n">
        <v>169.064</v>
      </c>
      <c r="FW20" s="21" t="n">
        <v>133.882</v>
      </c>
      <c r="FX20" s="21" t="n">
        <v>174.063</v>
      </c>
      <c r="FY20" s="21" t="n">
        <v>194.654</v>
      </c>
      <c r="FZ20" s="21" t="n">
        <v>189.269</v>
      </c>
      <c r="GA20" s="21" t="n">
        <v>100.279</v>
      </c>
      <c r="GB20" s="21" t="n">
        <v>147.303</v>
      </c>
      <c r="GC20" s="21" t="n">
        <v>102.061</v>
      </c>
      <c r="GD20" s="21" t="n">
        <v>143.445</v>
      </c>
      <c r="GE20" s="21" t="n">
        <v>156.435</v>
      </c>
      <c r="GF20" s="21" t="n"/>
      <c r="GG20" s="21" t="n">
        <v>143.27</v>
      </c>
      <c r="GH20" s="21" t="n">
        <v>85.51000000000001</v>
      </c>
      <c r="GI20" s="21" t="n">
        <v>133.539</v>
      </c>
      <c r="GJ20" s="21" t="n">
        <v>186.408</v>
      </c>
      <c r="GK20" s="21" t="n">
        <v>185.486</v>
      </c>
      <c r="GL20" s="21" t="n">
        <v>181.747</v>
      </c>
      <c r="GM20" s="21" t="n">
        <v>201.528</v>
      </c>
      <c r="GN20" s="21" t="n">
        <v>198.323</v>
      </c>
      <c r="GO20" s="21" t="n">
        <v>172.035</v>
      </c>
      <c r="GP20" s="21" t="n">
        <v>142.932</v>
      </c>
      <c r="GQ20" s="21" t="n">
        <v>124.423</v>
      </c>
      <c r="GR20" s="21" t="n">
        <v>276.058</v>
      </c>
      <c r="GS20" s="21" t="n">
        <v>171.853</v>
      </c>
      <c r="GT20" s="21" t="n">
        <v>490.851</v>
      </c>
      <c r="GU20" s="21" t="n">
        <v>199.156</v>
      </c>
      <c r="GV20" s="21" t="n">
        <v>222.41</v>
      </c>
      <c r="GW20" s="21" t="n">
        <v>265.061</v>
      </c>
      <c r="GX20" s="21" t="n">
        <v>280.88</v>
      </c>
      <c r="GY20" s="21" t="n">
        <v>158.278</v>
      </c>
      <c r="GZ20" s="21" t="n">
        <v>114.742</v>
      </c>
      <c r="HA20" s="21" t="n">
        <v>67.19499999999999</v>
      </c>
      <c r="HB20" s="21" t="n">
        <v>464.439</v>
      </c>
      <c r="HC20" s="21" t="n">
        <v>366.784</v>
      </c>
      <c r="HD20" s="21" t="n">
        <v>119.96</v>
      </c>
      <c r="HE20" s="21" t="n">
        <v>503.134</v>
      </c>
      <c r="HF20" s="21" t="n">
        <v>96.297</v>
      </c>
      <c r="HG20" s="21" t="n">
        <v>495.805</v>
      </c>
      <c r="HH20" s="21" t="n">
        <v>372.506</v>
      </c>
      <c r="HI20" s="21" t="n">
        <v>380.083</v>
      </c>
      <c r="HJ20" s="21" t="n">
        <v>463.867</v>
      </c>
      <c r="HK20" s="21" t="n">
        <v>187.274</v>
      </c>
      <c r="HL20" s="21" t="n">
        <v>232.469</v>
      </c>
      <c r="HM20" s="21" t="n">
        <v>72.167</v>
      </c>
      <c r="HN20" s="21" t="n">
        <v>302.696</v>
      </c>
      <c r="HO20" s="21" t="n">
        <v>299.3</v>
      </c>
      <c r="HP20" s="21" t="n">
        <v>670.8150000000001</v>
      </c>
      <c r="HQ20" s="21" t="n">
        <v>214.154</v>
      </c>
      <c r="HR20" s="21" t="n">
        <v>117.295</v>
      </c>
      <c r="HS20" s="21" t="n">
        <v>101.537</v>
      </c>
      <c r="HT20" s="21" t="n">
        <v>260.271</v>
      </c>
      <c r="HU20" s="21" t="n">
        <v>441.679</v>
      </c>
      <c r="HV20" s="21" t="n">
        <v>129.462</v>
      </c>
      <c r="HW20" s="21" t="n">
        <v>34.42</v>
      </c>
      <c r="HX20" s="21" t="n">
        <v>169.5</v>
      </c>
      <c r="HY20" s="21" t="n">
        <v>197.731</v>
      </c>
      <c r="HZ20" s="21" t="n">
        <v>152.388</v>
      </c>
      <c r="IA20" s="21" t="n">
        <v>113.095</v>
      </c>
      <c r="IB20" s="21" t="n">
        <v>234.491</v>
      </c>
      <c r="IC20" s="21" t="n">
        <v>185.331</v>
      </c>
      <c r="ID20" s="21" t="n">
        <v>245.326</v>
      </c>
      <c r="IE20" s="21" t="n">
        <v>113.239</v>
      </c>
      <c r="IF20" s="21" t="n">
        <v>147.166</v>
      </c>
      <c r="IG20" s="21" t="n">
        <v>84.002</v>
      </c>
      <c r="IH20" s="21" t="n">
        <v>75.568</v>
      </c>
      <c r="II20" s="21" t="n">
        <v>54.295</v>
      </c>
      <c r="IJ20" s="21" t="n">
        <v>22.185</v>
      </c>
      <c r="IK20" s="21" t="n">
        <v>43.743</v>
      </c>
      <c r="IL20" s="21" t="n">
        <v>40.778</v>
      </c>
      <c r="IM20" s="21" t="n">
        <v>49.494</v>
      </c>
      <c r="IN20" s="21" t="n">
        <v>92.934</v>
      </c>
      <c r="IO20" s="21" t="n">
        <v>101.886</v>
      </c>
      <c r="IP20" s="21" t="n">
        <v>160.652</v>
      </c>
      <c r="IQ20" s="21" t="n">
        <v>132.198</v>
      </c>
      <c r="IR20" s="21" t="n">
        <v>369.887</v>
      </c>
      <c r="IS20" s="21" t="n">
        <v>174.501</v>
      </c>
      <c r="IT20" s="21" t="n">
        <v>219.448</v>
      </c>
      <c r="IU20" s="21" t="n">
        <v>292.555</v>
      </c>
      <c r="IV20" s="21" t="n">
        <v>237.076</v>
      </c>
      <c r="IW20" s="21" t="n">
        <v>139.16</v>
      </c>
      <c r="IX20" s="21" t="n">
        <v>247.732</v>
      </c>
      <c r="IY20" s="21" t="n">
        <v>678.015</v>
      </c>
      <c r="IZ20" s="21" t="n">
        <v>708.778</v>
      </c>
      <c r="JA20" s="21" t="n">
        <v>808.288</v>
      </c>
      <c r="JB20" s="21" t="n">
        <v>73.952</v>
      </c>
      <c r="JC20" s="21" t="n">
        <v>283.214</v>
      </c>
      <c r="JD20" s="21" t="n">
        <v>237.733</v>
      </c>
      <c r="JE20" s="21" t="n">
        <v>79.20999999999999</v>
      </c>
      <c r="JF20" s="21" t="n">
        <v>175.076</v>
      </c>
      <c r="JG20" s="21" t="n">
        <v>275.658</v>
      </c>
      <c r="JH20" s="21" t="n">
        <v>277.989</v>
      </c>
      <c r="JI20" s="21" t="n">
        <v>75.38</v>
      </c>
      <c r="JJ20" s="21" t="n">
        <v>115.819</v>
      </c>
      <c r="JK20" s="21" t="n">
        <v>44.205</v>
      </c>
      <c r="JL20" s="21" t="n">
        <v>77.27800000000001</v>
      </c>
      <c r="JM20" s="21" t="n">
        <v>279.207</v>
      </c>
      <c r="JN20" s="21" t="n">
        <v>423.439</v>
      </c>
      <c r="JO20" s="21" t="n">
        <v>60.699</v>
      </c>
      <c r="JP20" s="21" t="n">
        <v>393.168</v>
      </c>
      <c r="JQ20" s="21" t="n">
        <v>224.563</v>
      </c>
      <c r="JR20" s="21" t="n">
        <v>162.878</v>
      </c>
      <c r="JS20" s="21" t="n">
        <v>415.087</v>
      </c>
      <c r="JT20" s="21" t="n">
        <v>339.14</v>
      </c>
      <c r="JU20" s="21" t="n">
        <v>319.693</v>
      </c>
      <c r="JV20" s="21" t="n">
        <v>161.149</v>
      </c>
      <c r="JW20" s="21" t="n">
        <v>332.23</v>
      </c>
      <c r="JX20" s="21" t="n">
        <v>228.381</v>
      </c>
      <c r="JY20" s="21" t="n">
        <v>77.717</v>
      </c>
      <c r="JZ20" s="21" t="n">
        <v>148.53</v>
      </c>
      <c r="KA20" s="21" t="n">
        <v>229.334</v>
      </c>
      <c r="KB20" s="21" t="n">
        <v>247.115</v>
      </c>
      <c r="KC20" s="21" t="n">
        <v>238.924</v>
      </c>
      <c r="KD20" s="21" t="n">
        <v>247.829</v>
      </c>
      <c r="KE20" s="21" t="n">
        <v>223.825</v>
      </c>
      <c r="KF20" s="21" t="n">
        <v>217.612</v>
      </c>
      <c r="KG20" s="21" t="n">
        <v>225.223</v>
      </c>
      <c r="KH20" s="21" t="n">
        <v>230.151</v>
      </c>
      <c r="KI20" s="21" t="n">
        <v>119.196</v>
      </c>
      <c r="KJ20" s="21" t="n">
        <v>178.87</v>
      </c>
      <c r="KK20" s="21" t="n">
        <v>148.221</v>
      </c>
      <c r="KL20" s="21" t="n">
        <v>144.974</v>
      </c>
      <c r="KM20" s="21" t="n">
        <v>145.175</v>
      </c>
      <c r="KN20" s="21" t="n">
        <v>146.036</v>
      </c>
      <c r="KO20" s="21" t="n">
        <v>246.356</v>
      </c>
      <c r="KP20" s="21" t="n">
        <v>107.099</v>
      </c>
      <c r="KQ20" s="21" t="n">
        <v>79.714</v>
      </c>
      <c r="KR20" s="21" t="n">
        <v>111.085</v>
      </c>
      <c r="KS20" s="21" t="n">
        <v>189.046</v>
      </c>
      <c r="KT20" s="21" t="n">
        <v>189.868</v>
      </c>
      <c r="KU20" s="21" t="n">
        <v>91.57899999999999</v>
      </c>
      <c r="KV20" s="21" t="n">
        <v>59.636</v>
      </c>
      <c r="KW20" s="21" t="n">
        <v>214.318</v>
      </c>
      <c r="KX20" s="21" t="n">
        <v>186.393</v>
      </c>
      <c r="KY20" s="21" t="n">
        <v>223.58</v>
      </c>
      <c r="KZ20" s="21" t="n">
        <v>182.936</v>
      </c>
      <c r="LA20" s="21" t="n">
        <v>222.967</v>
      </c>
      <c r="LB20" s="21" t="n">
        <v>108.558</v>
      </c>
      <c r="LC20" s="21" t="n">
        <v>347.014</v>
      </c>
      <c r="LD20" s="21" t="n">
        <v>85.494</v>
      </c>
      <c r="LE20" s="21" t="n">
        <v>115.796</v>
      </c>
      <c r="LF20" s="21" t="n">
        <v>300.625</v>
      </c>
      <c r="LG20" s="21" t="n">
        <v>300.499</v>
      </c>
      <c r="LH20" s="21" t="n">
        <v>310.99</v>
      </c>
      <c r="LI20" s="21" t="n">
        <v>285.643</v>
      </c>
      <c r="LJ20" s="21" t="n">
        <v>323.427</v>
      </c>
      <c r="LK20" s="21" t="n">
        <v>105.673</v>
      </c>
      <c r="LL20" s="21" t="n">
        <v>300.422</v>
      </c>
      <c r="LM20" s="21" t="n">
        <v>216.278</v>
      </c>
      <c r="LN20" s="21" t="n">
        <v>53.859</v>
      </c>
      <c r="LO20" s="21" t="n">
        <v>118.214</v>
      </c>
    </row>
    <row r="21">
      <c r="A21" s="22" t="n">
        <v>42583</v>
      </c>
      <c r="B21" s="21" t="n">
        <v>240.545</v>
      </c>
      <c r="C21" s="21" t="n">
        <v>247.479</v>
      </c>
      <c r="D21" s="21" t="n">
        <v>247.746</v>
      </c>
      <c r="E21" s="21" t="n">
        <v>238.133</v>
      </c>
      <c r="F21" s="21" t="n">
        <v>272.535</v>
      </c>
      <c r="G21" s="21" t="n">
        <v>230.13</v>
      </c>
      <c r="H21" s="21" t="n">
        <v>240.108</v>
      </c>
      <c r="I21" s="21" t="n">
        <v>225.685</v>
      </c>
      <c r="J21" s="21" t="n">
        <v>238.329</v>
      </c>
      <c r="K21" s="21" t="n">
        <v>296.908</v>
      </c>
      <c r="L21" s="21" t="n">
        <v>178.467</v>
      </c>
      <c r="M21" s="21" t="n">
        <v>176.102</v>
      </c>
      <c r="N21" s="21" t="n">
        <v>279.188</v>
      </c>
      <c r="O21" s="21" t="n">
        <v>264.874</v>
      </c>
      <c r="P21" s="21" t="n">
        <v>265.437</v>
      </c>
      <c r="Q21" s="21" t="n">
        <v>307.423</v>
      </c>
      <c r="R21" s="21" t="n">
        <v>268.452</v>
      </c>
      <c r="S21" s="21" t="n">
        <v>245.208</v>
      </c>
      <c r="T21" s="21" t="n">
        <v>248.204</v>
      </c>
      <c r="U21" s="21" t="n">
        <v>250.826</v>
      </c>
      <c r="V21" s="21" t="n">
        <v>298.958</v>
      </c>
      <c r="W21" s="21" t="n">
        <v>268.296</v>
      </c>
      <c r="X21" s="21" t="n">
        <v>223.755</v>
      </c>
      <c r="Y21" s="21" t="n">
        <v>204.2</v>
      </c>
      <c r="Z21" s="21" t="n">
        <v>210</v>
      </c>
      <c r="AA21" s="21" t="n">
        <v>153.718</v>
      </c>
      <c r="AB21" s="21" t="n">
        <v>278.522</v>
      </c>
      <c r="AC21" s="21" t="n">
        <v>144.508</v>
      </c>
      <c r="AD21" s="21" t="n">
        <v>201.53</v>
      </c>
      <c r="AE21" s="21" t="n">
        <v>224.871</v>
      </c>
      <c r="AF21" s="21" t="n">
        <v>194.413</v>
      </c>
      <c r="AG21" s="21" t="n">
        <v>130.723</v>
      </c>
      <c r="AH21" s="21" t="n">
        <v>223.656</v>
      </c>
      <c r="AI21" s="21" t="n">
        <v>222.312</v>
      </c>
      <c r="AJ21" s="21" t="n">
        <v>145.335</v>
      </c>
      <c r="AK21" s="21" t="n">
        <v>230.195</v>
      </c>
      <c r="AL21" s="21" t="n">
        <v>146.687</v>
      </c>
      <c r="AM21" s="21" t="n">
        <v>244.443</v>
      </c>
      <c r="AN21" s="21" t="n">
        <v>217.51</v>
      </c>
      <c r="AO21" s="21" t="n">
        <v>155.773</v>
      </c>
      <c r="AP21" s="21" t="n">
        <v>284.508</v>
      </c>
      <c r="AQ21" s="21" t="n">
        <v>175.841</v>
      </c>
      <c r="AR21" s="21" t="n">
        <v>142.246</v>
      </c>
      <c r="AS21" s="21" t="n">
        <v>199.682</v>
      </c>
      <c r="AT21" s="21" t="n">
        <v>299.425</v>
      </c>
      <c r="AU21" s="21" t="n">
        <v>206.522</v>
      </c>
      <c r="AV21" s="21" t="n">
        <v>216.02</v>
      </c>
      <c r="AW21" s="21" t="n">
        <v>139.324</v>
      </c>
      <c r="AX21" s="21" t="n">
        <v>201.575</v>
      </c>
      <c r="AY21" s="21" t="n">
        <v>142.231</v>
      </c>
      <c r="AZ21" s="21" t="n">
        <v>226.399</v>
      </c>
      <c r="BA21" s="21" t="n">
        <v>220.062</v>
      </c>
      <c r="BB21" s="21" t="n">
        <v>146.282</v>
      </c>
      <c r="BC21" s="21" t="n">
        <v>294.186</v>
      </c>
      <c r="BD21" s="21" t="n">
        <v>339.094</v>
      </c>
      <c r="BE21" s="21" t="n">
        <v>358.415</v>
      </c>
      <c r="BF21" s="21" t="n">
        <v>351.139</v>
      </c>
      <c r="BG21" s="21" t="n">
        <v>196.862</v>
      </c>
      <c r="BH21" s="21" t="n">
        <v>241.573</v>
      </c>
      <c r="BI21" s="21" t="n">
        <v>484.457</v>
      </c>
      <c r="BJ21" s="21" t="n">
        <v>119.147</v>
      </c>
      <c r="BK21" s="21" t="n">
        <v>317.591</v>
      </c>
      <c r="BL21" s="21" t="n">
        <v>332.399</v>
      </c>
      <c r="BM21" s="21" t="n">
        <v>284.397</v>
      </c>
      <c r="BN21" s="21" t="n">
        <v>324.686</v>
      </c>
      <c r="BO21" s="21" t="n">
        <v>320.37</v>
      </c>
      <c r="BP21" s="21" t="n">
        <v>157.151</v>
      </c>
      <c r="BQ21" s="21" t="n">
        <v>161.385</v>
      </c>
      <c r="BR21" s="21" t="n">
        <v>157.665</v>
      </c>
      <c r="BS21" s="21" t="n">
        <v>168.486</v>
      </c>
      <c r="BT21" s="21" t="n">
        <v>148.243</v>
      </c>
      <c r="BU21" s="21" t="n">
        <v>201.525</v>
      </c>
      <c r="BV21" s="21" t="n">
        <v>159.39</v>
      </c>
      <c r="BW21" s="21" t="n">
        <v>167.47</v>
      </c>
      <c r="BX21" s="21" t="n">
        <v>128.961</v>
      </c>
      <c r="BY21" s="21" t="n">
        <v>160.771</v>
      </c>
      <c r="BZ21" s="21" t="n">
        <v>118.154</v>
      </c>
      <c r="CA21" s="21" t="n">
        <v>117.824</v>
      </c>
      <c r="CB21" s="21" t="n">
        <v>197.46</v>
      </c>
      <c r="CC21" s="21" t="n">
        <v>205.684</v>
      </c>
      <c r="CD21" s="21" t="n">
        <v>128.952</v>
      </c>
      <c r="CE21" s="21" t="n">
        <v>209.731</v>
      </c>
      <c r="CF21" s="21" t="n">
        <v>215.865</v>
      </c>
      <c r="CG21" s="21" t="n">
        <v>188.491</v>
      </c>
      <c r="CH21" s="21" t="n">
        <v>145.329</v>
      </c>
      <c r="CI21" s="21" t="n">
        <v>153.123</v>
      </c>
      <c r="CJ21" s="21" t="n">
        <v>225.59</v>
      </c>
      <c r="CK21" s="21" t="n">
        <v>201.43</v>
      </c>
      <c r="CL21" s="21" t="n">
        <v>234.74</v>
      </c>
      <c r="CM21" s="21" t="n">
        <v>296.726</v>
      </c>
      <c r="CN21" s="21" t="n">
        <v>129.729</v>
      </c>
      <c r="CO21" s="21" t="n">
        <v>155.952</v>
      </c>
      <c r="CP21" s="21" t="n">
        <v>224.34</v>
      </c>
      <c r="CQ21" s="21" t="n">
        <v>242.192</v>
      </c>
      <c r="CR21" s="21" t="n">
        <v>169.149</v>
      </c>
      <c r="CS21" s="21" t="n">
        <v>253.682</v>
      </c>
      <c r="CT21" s="21" t="n">
        <v>237.325</v>
      </c>
      <c r="CU21" s="21" t="n">
        <v>152.044</v>
      </c>
      <c r="CV21" s="21" t="n">
        <v>136.367</v>
      </c>
      <c r="CW21" s="21" t="n">
        <v>135.257</v>
      </c>
      <c r="CX21" s="21" t="n">
        <v>277.4</v>
      </c>
      <c r="CY21" s="21" t="n">
        <v>131.799</v>
      </c>
      <c r="CZ21" s="21" t="n">
        <v>122.629</v>
      </c>
      <c r="DA21" s="21" t="n">
        <v>263.649</v>
      </c>
      <c r="DB21" s="21" t="n">
        <v>163.824</v>
      </c>
      <c r="DC21" s="21" t="n">
        <v>170.447</v>
      </c>
      <c r="DD21" s="21" t="n">
        <v>142.794</v>
      </c>
      <c r="DE21" s="21" t="n">
        <v>182.957</v>
      </c>
      <c r="DF21" s="21" t="n">
        <v>242.522</v>
      </c>
      <c r="DG21" s="21" t="n">
        <v>198.815</v>
      </c>
      <c r="DH21" s="21" t="n">
        <v>219.09</v>
      </c>
      <c r="DI21" s="21" t="n">
        <v>192.639</v>
      </c>
      <c r="DJ21" s="21" t="n">
        <v>207.908</v>
      </c>
      <c r="DK21" s="21" t="n">
        <v>185.325</v>
      </c>
      <c r="DL21" s="21" t="n">
        <v>167.935</v>
      </c>
      <c r="DM21" s="21" t="n">
        <v>337.036</v>
      </c>
      <c r="DN21" s="21" t="n">
        <v>182.734</v>
      </c>
      <c r="DO21" s="21" t="n">
        <v>244.911</v>
      </c>
      <c r="DP21" s="21" t="n">
        <v>289.367</v>
      </c>
      <c r="DQ21" s="21" t="n">
        <v>298.029</v>
      </c>
      <c r="DR21" s="21" t="n">
        <v>158.256</v>
      </c>
      <c r="DS21" s="21" t="n">
        <v>525.271</v>
      </c>
      <c r="DT21" s="21" t="n">
        <v>325.56</v>
      </c>
      <c r="DU21" s="21" t="n">
        <v>296.567</v>
      </c>
      <c r="DV21" s="21" t="n">
        <v>296.533</v>
      </c>
      <c r="DW21" s="21" t="n">
        <v>230.613</v>
      </c>
      <c r="DX21" s="21" t="n">
        <v>192.775</v>
      </c>
      <c r="DY21" s="21" t="n">
        <v>229.326</v>
      </c>
      <c r="DZ21" s="21" t="n">
        <v>207.143</v>
      </c>
      <c r="EA21" s="21" t="n">
        <v>295.955</v>
      </c>
      <c r="EB21" s="21" t="n">
        <v>197.788</v>
      </c>
      <c r="EC21" s="21" t="n">
        <v>207.546</v>
      </c>
      <c r="ED21" s="21" t="n">
        <v>165.701</v>
      </c>
      <c r="EE21" s="21" t="n">
        <v>222.383</v>
      </c>
      <c r="EF21" s="21" t="n">
        <v>515.902</v>
      </c>
      <c r="EG21" s="21" t="n">
        <v>439.358</v>
      </c>
      <c r="EH21" s="21" t="n">
        <v>121.416</v>
      </c>
      <c r="EI21" s="21" t="n">
        <v>59.705</v>
      </c>
      <c r="EJ21" s="21" t="n">
        <v>67.974</v>
      </c>
      <c r="EK21" s="21" t="n">
        <v>46.352</v>
      </c>
      <c r="EL21" s="21" t="n">
        <v>110.208</v>
      </c>
      <c r="EM21" s="21" t="n">
        <v>69.709</v>
      </c>
      <c r="EN21" s="21" t="n">
        <v>76.331</v>
      </c>
      <c r="EO21" s="21" t="n">
        <v>82.05500000000001</v>
      </c>
      <c r="EP21" s="21" t="n">
        <v>90.26900000000001</v>
      </c>
      <c r="EQ21" s="21" t="n">
        <v>66.42700000000001</v>
      </c>
      <c r="ER21" s="21" t="n">
        <v>56.609</v>
      </c>
      <c r="ES21" s="21" t="n">
        <v>126.361</v>
      </c>
      <c r="ET21" s="21" t="n">
        <v>88.578</v>
      </c>
      <c r="EU21" s="21" t="n">
        <v>89.976</v>
      </c>
      <c r="EV21" s="21" t="n">
        <v>97.941</v>
      </c>
      <c r="EW21" s="21" t="n">
        <v>86.124</v>
      </c>
      <c r="EX21" s="21" t="n">
        <v>185.938</v>
      </c>
      <c r="EY21" s="21" t="n">
        <v>119.058</v>
      </c>
      <c r="EZ21" s="21" t="n">
        <v>117.198</v>
      </c>
      <c r="FA21" s="21" t="n">
        <v>159.425</v>
      </c>
      <c r="FB21" s="21" t="n">
        <v>126.148</v>
      </c>
      <c r="FC21" s="21" t="n">
        <v>120.139</v>
      </c>
      <c r="FD21" s="21" t="n">
        <v>124.758</v>
      </c>
      <c r="FE21" s="21" t="n">
        <v>116.909</v>
      </c>
      <c r="FF21" s="21" t="n">
        <v>155.325</v>
      </c>
      <c r="FG21" s="21" t="n">
        <v>80.277</v>
      </c>
      <c r="FH21" s="21" t="n">
        <v>122.086</v>
      </c>
      <c r="FI21" s="21" t="n">
        <v>105.33</v>
      </c>
      <c r="FJ21" s="21" t="n">
        <v>110.517</v>
      </c>
      <c r="FK21" s="21" t="n">
        <v>113.883</v>
      </c>
      <c r="FL21" s="21" t="n">
        <v>109.426</v>
      </c>
      <c r="FM21" s="21" t="n">
        <v>119.583</v>
      </c>
      <c r="FN21" s="21" t="n">
        <v>81.035</v>
      </c>
      <c r="FO21" s="21" t="n">
        <v>104.93</v>
      </c>
      <c r="FP21" s="21" t="n">
        <v>94.712</v>
      </c>
      <c r="FQ21" s="21" t="n">
        <v>136.794</v>
      </c>
      <c r="FR21" s="21" t="n">
        <v>137.197</v>
      </c>
      <c r="FS21" s="21" t="n">
        <v>151.647</v>
      </c>
      <c r="FT21" s="21" t="n">
        <v>129.107</v>
      </c>
      <c r="FU21" s="21" t="n">
        <v>116.458</v>
      </c>
      <c r="FV21" s="21" t="n">
        <v>172.151</v>
      </c>
      <c r="FW21" s="21" t="n">
        <v>131.885</v>
      </c>
      <c r="FX21" s="21" t="n">
        <v>179.976</v>
      </c>
      <c r="FY21" s="21" t="n">
        <v>194.205</v>
      </c>
      <c r="FZ21" s="21" t="n">
        <v>188.848</v>
      </c>
      <c r="GA21" s="21" t="n">
        <v>100.006</v>
      </c>
      <c r="GB21" s="21" t="n">
        <v>147.335</v>
      </c>
      <c r="GC21" s="21" t="n">
        <v>102.085</v>
      </c>
      <c r="GD21" s="21" t="n">
        <v>143.406</v>
      </c>
      <c r="GE21" s="21" t="n">
        <v>156.436</v>
      </c>
      <c r="GF21" s="21" t="n"/>
      <c r="GG21" s="21" t="n">
        <v>142.803</v>
      </c>
      <c r="GH21" s="21" t="n">
        <v>84.095</v>
      </c>
      <c r="GI21" s="21" t="n">
        <v>130.884</v>
      </c>
      <c r="GJ21" s="21" t="n">
        <v>184.642</v>
      </c>
      <c r="GK21" s="21" t="n">
        <v>183.715</v>
      </c>
      <c r="GL21" s="21" t="n">
        <v>180.031</v>
      </c>
      <c r="GM21" s="21" t="n">
        <v>200.58</v>
      </c>
      <c r="GN21" s="21" t="n">
        <v>196.355</v>
      </c>
      <c r="GO21" s="21" t="n">
        <v>169.732</v>
      </c>
      <c r="GP21" s="21" t="n">
        <v>143.676</v>
      </c>
      <c r="GQ21" s="21" t="n">
        <v>125.366</v>
      </c>
      <c r="GR21" s="21" t="n">
        <v>275.923</v>
      </c>
      <c r="GS21" s="21" t="n">
        <v>171.218</v>
      </c>
      <c r="GT21" s="21" t="n">
        <v>493.405</v>
      </c>
      <c r="GU21" s="21" t="n">
        <v>199.637</v>
      </c>
      <c r="GV21" s="21" t="n">
        <v>222.832</v>
      </c>
      <c r="GW21" s="21" t="n">
        <v>264.187</v>
      </c>
      <c r="GX21" s="21" t="n">
        <v>278.139</v>
      </c>
      <c r="GY21" s="21" t="n">
        <v>159.873</v>
      </c>
      <c r="GZ21" s="21" t="n">
        <v>114.006</v>
      </c>
      <c r="HA21" s="21" t="n">
        <v>68.20699999999999</v>
      </c>
      <c r="HB21" s="21" t="n">
        <v>469.02</v>
      </c>
      <c r="HC21" s="21" t="n">
        <v>372.106</v>
      </c>
      <c r="HD21" s="21" t="n">
        <v>121.202</v>
      </c>
      <c r="HE21" s="21" t="n">
        <v>509.606</v>
      </c>
      <c r="HF21" s="21" t="n">
        <v>96.51000000000001</v>
      </c>
      <c r="HG21" s="21" t="n">
        <v>500.06</v>
      </c>
      <c r="HH21" s="21" t="n">
        <v>374.204</v>
      </c>
      <c r="HI21" s="21" t="n">
        <v>382.156</v>
      </c>
      <c r="HJ21" s="21" t="n">
        <v>466.579</v>
      </c>
      <c r="HK21" s="21" t="n">
        <v>186.753</v>
      </c>
      <c r="HL21" s="21" t="n">
        <v>231.911</v>
      </c>
      <c r="HM21" s="21" t="n">
        <v>73.152</v>
      </c>
      <c r="HN21" s="21" t="n">
        <v>307.264</v>
      </c>
      <c r="HO21" s="21" t="n">
        <v>302.718</v>
      </c>
      <c r="HP21" s="21" t="n">
        <v>680.051</v>
      </c>
      <c r="HQ21" s="21" t="n">
        <v>214.83</v>
      </c>
      <c r="HR21" s="21" t="n">
        <v>117.192</v>
      </c>
      <c r="HS21" s="21" t="n">
        <v>101.119</v>
      </c>
      <c r="HT21" s="21" t="n">
        <v>254.821</v>
      </c>
      <c r="HU21" s="21" t="n">
        <v>440.703</v>
      </c>
      <c r="HV21" s="21" t="n">
        <v>128.887</v>
      </c>
      <c r="HW21" s="21" t="n">
        <v>33.851</v>
      </c>
      <c r="HX21" s="21" t="n">
        <v>169.976</v>
      </c>
      <c r="HY21" s="21" t="n">
        <v>198.518</v>
      </c>
      <c r="HZ21" s="21" t="n">
        <v>152.894</v>
      </c>
      <c r="IA21" s="21" t="n">
        <v>113.535</v>
      </c>
      <c r="IB21" s="21" t="n">
        <v>234.714</v>
      </c>
      <c r="IC21" s="21" t="n">
        <v>185.395</v>
      </c>
      <c r="ID21" s="21" t="n">
        <v>245.613</v>
      </c>
      <c r="IE21" s="21" t="n">
        <v>112.873</v>
      </c>
      <c r="IF21" s="21" t="n">
        <v>146.865</v>
      </c>
      <c r="IG21" s="21" t="n">
        <v>83.61199999999999</v>
      </c>
      <c r="IH21" s="21" t="n">
        <v>75.91200000000001</v>
      </c>
      <c r="II21" s="21" t="n">
        <v>54.648</v>
      </c>
      <c r="IJ21" s="21" t="n">
        <v>22.397</v>
      </c>
      <c r="IK21" s="21" t="n">
        <v>43.723</v>
      </c>
      <c r="IL21" s="21" t="n">
        <v>40.811</v>
      </c>
      <c r="IM21" s="21" t="n">
        <v>49.719</v>
      </c>
      <c r="IN21" s="21" t="n">
        <v>91.48</v>
      </c>
      <c r="IO21" s="21" t="n">
        <v>101.865</v>
      </c>
      <c r="IP21" s="21" t="n">
        <v>160.535</v>
      </c>
      <c r="IQ21" s="21" t="n">
        <v>131.934</v>
      </c>
      <c r="IR21" s="21" t="n">
        <v>369.911</v>
      </c>
      <c r="IS21" s="21" t="n">
        <v>175.02</v>
      </c>
      <c r="IT21" s="21" t="n">
        <v>218.529</v>
      </c>
      <c r="IU21" s="21" t="n">
        <v>292.756</v>
      </c>
      <c r="IV21" s="21" t="n">
        <v>241.067</v>
      </c>
      <c r="IW21" s="21" t="n">
        <v>139.28</v>
      </c>
      <c r="IX21" s="21" t="n">
        <v>248.242</v>
      </c>
      <c r="IY21" s="21" t="n">
        <v>687.438</v>
      </c>
      <c r="IZ21" s="21" t="n">
        <v>709.79</v>
      </c>
      <c r="JA21" s="21" t="n">
        <v>807.927</v>
      </c>
      <c r="JB21" s="21" t="n">
        <v>74.124</v>
      </c>
      <c r="JC21" s="21" t="n">
        <v>284.407</v>
      </c>
      <c r="JD21" s="21" t="n">
        <v>238.22</v>
      </c>
      <c r="JE21" s="21" t="n">
        <v>79.2</v>
      </c>
      <c r="JF21" s="21" t="n">
        <v>175.402</v>
      </c>
      <c r="JG21" s="21" t="n">
        <v>276.173</v>
      </c>
      <c r="JH21" s="21" t="n">
        <v>278.497</v>
      </c>
      <c r="JI21" s="21" t="n">
        <v>75.36499999999999</v>
      </c>
      <c r="JJ21" s="21" t="n">
        <v>115.52</v>
      </c>
      <c r="JK21" s="21" t="n">
        <v>43.917</v>
      </c>
      <c r="JL21" s="21" t="n">
        <v>77.304</v>
      </c>
      <c r="JM21" s="21" t="n">
        <v>278.299</v>
      </c>
      <c r="JN21" s="21" t="n">
        <v>424.105</v>
      </c>
      <c r="JO21" s="21" t="n">
        <v>61.101</v>
      </c>
      <c r="JP21" s="21" t="n">
        <v>396.041</v>
      </c>
      <c r="JQ21" s="21" t="n">
        <v>224.621</v>
      </c>
      <c r="JR21" s="21" t="n">
        <v>163.351</v>
      </c>
      <c r="JS21" s="21" t="n">
        <v>415.041</v>
      </c>
      <c r="JT21" s="21" t="n">
        <v>339.054</v>
      </c>
      <c r="JU21" s="21" t="n">
        <v>320.071</v>
      </c>
      <c r="JV21" s="21" t="n">
        <v>161.357</v>
      </c>
      <c r="JW21" s="21" t="n">
        <v>332.389</v>
      </c>
      <c r="JX21" s="21" t="n">
        <v>227.771</v>
      </c>
      <c r="JY21" s="21" t="n">
        <v>76.545</v>
      </c>
      <c r="JZ21" s="21" t="n">
        <v>147.061</v>
      </c>
      <c r="KA21" s="21" t="n">
        <v>229.587</v>
      </c>
      <c r="KB21" s="21" t="n">
        <v>247.632</v>
      </c>
      <c r="KC21" s="21" t="n">
        <v>239.423</v>
      </c>
      <c r="KD21" s="21" t="n">
        <v>248.423</v>
      </c>
      <c r="KE21" s="21" t="n">
        <v>224.119</v>
      </c>
      <c r="KF21" s="21" t="n">
        <v>217.952</v>
      </c>
      <c r="KG21" s="21" t="n">
        <v>225.677</v>
      </c>
      <c r="KH21" s="21" t="n">
        <v>230.673</v>
      </c>
      <c r="KI21" s="21" t="n">
        <v>119.12</v>
      </c>
      <c r="KJ21" s="21" t="n">
        <v>178.825</v>
      </c>
      <c r="KK21" s="21" t="n">
        <v>148.129</v>
      </c>
      <c r="KL21" s="21" t="n">
        <v>144.883</v>
      </c>
      <c r="KM21" s="21" t="n">
        <v>145.296</v>
      </c>
      <c r="KN21" s="21" t="n">
        <v>146.23</v>
      </c>
      <c r="KO21" s="21" t="n">
        <v>246.194</v>
      </c>
      <c r="KP21" s="21" t="n">
        <v>106.915</v>
      </c>
      <c r="KQ21" s="21" t="n">
        <v>79.578</v>
      </c>
      <c r="KR21" s="21" t="n">
        <v>111.209</v>
      </c>
      <c r="KS21" s="21" t="n">
        <v>188.772</v>
      </c>
      <c r="KT21" s="21" t="n">
        <v>188.116</v>
      </c>
      <c r="KU21" s="21" t="n">
        <v>91.479</v>
      </c>
      <c r="KV21" s="21" t="n">
        <v>59.211</v>
      </c>
      <c r="KW21" s="21" t="n">
        <v>214.59</v>
      </c>
      <c r="KX21" s="21" t="n">
        <v>186.739</v>
      </c>
      <c r="KY21" s="21" t="n">
        <v>223.598</v>
      </c>
      <c r="KZ21" s="21" t="n">
        <v>183.293</v>
      </c>
      <c r="LA21" s="21" t="n">
        <v>222.958</v>
      </c>
      <c r="LB21" s="21" t="n">
        <v>108.813</v>
      </c>
      <c r="LC21" s="21" t="n">
        <v>347.118</v>
      </c>
      <c r="LD21" s="21" t="n">
        <v>85.48699999999999</v>
      </c>
      <c r="LE21" s="21" t="n">
        <v>115.65</v>
      </c>
      <c r="LF21" s="21" t="n">
        <v>301.505</v>
      </c>
      <c r="LG21" s="21" t="n">
        <v>301.354</v>
      </c>
      <c r="LH21" s="21" t="n">
        <v>311.824</v>
      </c>
      <c r="LI21" s="21" t="n">
        <v>286.319</v>
      </c>
      <c r="LJ21" s="21" t="n">
        <v>324.455</v>
      </c>
      <c r="LK21" s="21" t="n">
        <v>105.599</v>
      </c>
      <c r="LL21" s="21" t="n">
        <v>300.347</v>
      </c>
      <c r="LM21" s="21" t="n">
        <v>216.564</v>
      </c>
      <c r="LN21" s="21" t="n">
        <v>53.006</v>
      </c>
      <c r="LO21" s="21" t="n">
        <v>117.921</v>
      </c>
    </row>
    <row r="22">
      <c r="A22" s="22" t="n">
        <v>42614</v>
      </c>
      <c r="B22" s="21" t="n">
        <v>241.176</v>
      </c>
      <c r="C22" s="21" t="n">
        <v>247.528</v>
      </c>
      <c r="D22" s="21" t="n">
        <v>247.772</v>
      </c>
      <c r="E22" s="21" t="n">
        <v>237.88</v>
      </c>
      <c r="F22" s="21" t="n">
        <v>272.352</v>
      </c>
      <c r="G22" s="21" t="n">
        <v>230.582</v>
      </c>
      <c r="H22" s="21" t="n">
        <v>241.124</v>
      </c>
      <c r="I22" s="21" t="n">
        <v>226.812</v>
      </c>
      <c r="J22" s="21" t="n">
        <v>237.681</v>
      </c>
      <c r="K22" s="21" t="n">
        <v>295.999</v>
      </c>
      <c r="L22" s="21" t="n">
        <v>177.627</v>
      </c>
      <c r="M22" s="21" t="n">
        <v>176.433</v>
      </c>
      <c r="N22" s="21" t="n">
        <v>281.652</v>
      </c>
      <c r="O22" s="21" t="n">
        <v>267.479</v>
      </c>
      <c r="P22" s="21" t="n">
        <v>262.756</v>
      </c>
      <c r="Q22" s="21" t="n">
        <v>300.424</v>
      </c>
      <c r="R22" s="21" t="n">
        <v>265.493</v>
      </c>
      <c r="S22" s="21" t="n">
        <v>245.258</v>
      </c>
      <c r="T22" s="21" t="n">
        <v>248.31</v>
      </c>
      <c r="U22" s="21" t="n">
        <v>250.02</v>
      </c>
      <c r="V22" s="21" t="n">
        <v>298.498</v>
      </c>
      <c r="W22" s="21" t="n">
        <v>266.712</v>
      </c>
      <c r="X22" s="21" t="n">
        <v>218.556</v>
      </c>
      <c r="Y22" s="21" t="n">
        <v>204.866</v>
      </c>
      <c r="Z22" s="21" t="n">
        <v>208.107</v>
      </c>
      <c r="AA22" s="21" t="n">
        <v>153.249</v>
      </c>
      <c r="AB22" s="21" t="n">
        <v>278.549</v>
      </c>
      <c r="AC22" s="21" t="n">
        <v>143.71</v>
      </c>
      <c r="AD22" s="21" t="n">
        <v>200.584</v>
      </c>
      <c r="AE22" s="21" t="n">
        <v>223.364</v>
      </c>
      <c r="AF22" s="21" t="n">
        <v>187.903</v>
      </c>
      <c r="AG22" s="21" t="n">
        <v>129.051</v>
      </c>
      <c r="AH22" s="21" t="n">
        <v>223.922</v>
      </c>
      <c r="AI22" s="21" t="n">
        <v>219.343</v>
      </c>
      <c r="AJ22" s="21" t="n">
        <v>146.547</v>
      </c>
      <c r="AK22" s="21" t="n">
        <v>231.423</v>
      </c>
      <c r="AL22" s="21" t="n">
        <v>147.759</v>
      </c>
      <c r="AM22" s="21" t="n">
        <v>251.463</v>
      </c>
      <c r="AN22" s="21" t="n">
        <v>217.445</v>
      </c>
      <c r="AO22" s="21" t="n">
        <v>154.943</v>
      </c>
      <c r="AP22" s="21" t="n">
        <v>286.964</v>
      </c>
      <c r="AQ22" s="21" t="n">
        <v>178.346</v>
      </c>
      <c r="AR22" s="21" t="n">
        <v>143.043</v>
      </c>
      <c r="AS22" s="21" t="n">
        <v>200.627</v>
      </c>
      <c r="AT22" s="21" t="n">
        <v>300.389</v>
      </c>
      <c r="AU22" s="21" t="n">
        <v>205.808</v>
      </c>
      <c r="AV22" s="21" t="n">
        <v>216.501</v>
      </c>
      <c r="AW22" s="21" t="n">
        <v>141.505</v>
      </c>
      <c r="AX22" s="21" t="n">
        <v>203.753</v>
      </c>
      <c r="AY22" s="21" t="n">
        <v>144.716</v>
      </c>
      <c r="AZ22" s="21" t="n">
        <v>226.001</v>
      </c>
      <c r="BA22" s="21" t="n">
        <v>217.701</v>
      </c>
      <c r="BB22" s="21" t="n">
        <v>145.664</v>
      </c>
      <c r="BC22" s="21" t="n">
        <v>293.742</v>
      </c>
      <c r="BD22" s="21" t="n">
        <v>338.85</v>
      </c>
      <c r="BE22" s="21" t="n">
        <v>359.121</v>
      </c>
      <c r="BF22" s="21" t="n">
        <v>345.7</v>
      </c>
      <c r="BG22" s="21" t="n">
        <v>200.637</v>
      </c>
      <c r="BH22" s="21" t="n">
        <v>246.441</v>
      </c>
      <c r="BI22" s="21" t="n">
        <v>503.627</v>
      </c>
      <c r="BJ22" s="21" t="n">
        <v>118.164</v>
      </c>
      <c r="BK22" s="21" t="n">
        <v>316.355</v>
      </c>
      <c r="BL22" s="21" t="n">
        <v>335.17</v>
      </c>
      <c r="BM22" s="21" t="n">
        <v>280.744</v>
      </c>
      <c r="BN22" s="21" t="n">
        <v>326.984</v>
      </c>
      <c r="BO22" s="21" t="n">
        <v>318.938</v>
      </c>
      <c r="BP22" s="21" t="n">
        <v>156.471</v>
      </c>
      <c r="BQ22" s="21" t="n">
        <v>160.827</v>
      </c>
      <c r="BR22" s="21" t="n">
        <v>157.729</v>
      </c>
      <c r="BS22" s="21" t="n">
        <v>167.588</v>
      </c>
      <c r="BT22" s="21" t="n">
        <v>146.672</v>
      </c>
      <c r="BU22" s="21" t="n">
        <v>200.755</v>
      </c>
      <c r="BV22" s="21" t="n">
        <v>159.987</v>
      </c>
      <c r="BW22" s="21" t="n">
        <v>166.744</v>
      </c>
      <c r="BX22" s="21" t="n">
        <v>128.173</v>
      </c>
      <c r="BY22" s="21" t="n">
        <v>160.131</v>
      </c>
      <c r="BZ22" s="21" t="n">
        <v>117.116</v>
      </c>
      <c r="CA22" s="21" t="n">
        <v>118.107</v>
      </c>
      <c r="CB22" s="21" t="n">
        <v>198.135</v>
      </c>
      <c r="CC22" s="21" t="n">
        <v>207.156</v>
      </c>
      <c r="CD22" s="21" t="n">
        <v>128.61</v>
      </c>
      <c r="CE22" s="21" t="n">
        <v>209.339</v>
      </c>
      <c r="CF22" s="21" t="n">
        <v>216.173</v>
      </c>
      <c r="CG22" s="21" t="n">
        <v>187.151</v>
      </c>
      <c r="CH22" s="21" t="n">
        <v>146.437</v>
      </c>
      <c r="CI22" s="21" t="n">
        <v>150.786</v>
      </c>
      <c r="CJ22" s="21" t="n">
        <v>225.752</v>
      </c>
      <c r="CK22" s="21" t="n">
        <v>200.738</v>
      </c>
      <c r="CL22" s="21" t="n">
        <v>232.856</v>
      </c>
      <c r="CM22" s="21" t="n">
        <v>295.908</v>
      </c>
      <c r="CN22" s="21" t="n">
        <v>129.906</v>
      </c>
      <c r="CO22" s="21" t="n">
        <v>156.445</v>
      </c>
      <c r="CP22" s="21" t="n">
        <v>223.683</v>
      </c>
      <c r="CQ22" s="21" t="n">
        <v>242.967</v>
      </c>
      <c r="CR22" s="21" t="n">
        <v>168.755</v>
      </c>
      <c r="CS22" s="21" t="n">
        <v>251.332</v>
      </c>
      <c r="CT22" s="21" t="n">
        <v>237.95</v>
      </c>
      <c r="CU22" s="21" t="n">
        <v>152.122</v>
      </c>
      <c r="CV22" s="21" t="n">
        <v>140.115</v>
      </c>
      <c r="CW22" s="21" t="n">
        <v>136.082</v>
      </c>
      <c r="CX22" s="21" t="n">
        <v>273.705</v>
      </c>
      <c r="CY22" s="21" t="n">
        <v>131.646</v>
      </c>
      <c r="CZ22" s="21" t="n">
        <v>123.877</v>
      </c>
      <c r="DA22" s="21" t="n">
        <v>264.102</v>
      </c>
      <c r="DB22" s="21" t="n">
        <v>164.072</v>
      </c>
      <c r="DC22" s="21" t="n">
        <v>171.786</v>
      </c>
      <c r="DD22" s="21" t="n">
        <v>143.715</v>
      </c>
      <c r="DE22" s="21" t="n">
        <v>182.669</v>
      </c>
      <c r="DF22" s="21" t="n">
        <v>242.903</v>
      </c>
      <c r="DG22" s="21" t="n">
        <v>198.923</v>
      </c>
      <c r="DH22" s="21" t="n">
        <v>219.092</v>
      </c>
      <c r="DI22" s="21" t="n">
        <v>192.481</v>
      </c>
      <c r="DJ22" s="21" t="n">
        <v>208.52</v>
      </c>
      <c r="DK22" s="21" t="n">
        <v>186.093</v>
      </c>
      <c r="DL22" s="21" t="n">
        <v>168.38</v>
      </c>
      <c r="DM22" s="21" t="n">
        <v>337.913</v>
      </c>
      <c r="DN22" s="21" t="n">
        <v>183.124</v>
      </c>
      <c r="DO22" s="21" t="n">
        <v>245.755</v>
      </c>
      <c r="DP22" s="21" t="n">
        <v>290.369</v>
      </c>
      <c r="DQ22" s="21" t="n">
        <v>299.035</v>
      </c>
      <c r="DR22" s="21" t="n">
        <v>158.76</v>
      </c>
      <c r="DS22" s="21" t="n">
        <v>526.571</v>
      </c>
      <c r="DT22" s="21" t="n">
        <v>326.632</v>
      </c>
      <c r="DU22" s="21" t="n">
        <v>297.625</v>
      </c>
      <c r="DV22" s="21" t="n">
        <v>297.595</v>
      </c>
      <c r="DW22" s="21" t="n">
        <v>232.021</v>
      </c>
      <c r="DX22" s="21" t="n">
        <v>194.12</v>
      </c>
      <c r="DY22" s="21" t="n">
        <v>230.585</v>
      </c>
      <c r="DZ22" s="21" t="n">
        <v>212.019</v>
      </c>
      <c r="EA22" s="21" t="n">
        <v>295.832</v>
      </c>
      <c r="EB22" s="21" t="n">
        <v>199.183</v>
      </c>
      <c r="EC22" s="21" t="n">
        <v>209.026</v>
      </c>
      <c r="ED22" s="21" t="n">
        <v>166.82</v>
      </c>
      <c r="EE22" s="21" t="n">
        <v>223.102</v>
      </c>
      <c r="EF22" s="21" t="n">
        <v>517.974</v>
      </c>
      <c r="EG22" s="21" t="n">
        <v>439.707</v>
      </c>
      <c r="EH22" s="21" t="n">
        <v>121.422</v>
      </c>
      <c r="EI22" s="21" t="n">
        <v>59.864</v>
      </c>
      <c r="EJ22" s="21" t="n">
        <v>67.39400000000001</v>
      </c>
      <c r="EK22" s="21" t="n">
        <v>46.538</v>
      </c>
      <c r="EL22" s="21" t="n">
        <v>110.399</v>
      </c>
      <c r="EM22" s="21" t="n">
        <v>68.81</v>
      </c>
      <c r="EN22" s="21" t="n">
        <v>75.73699999999999</v>
      </c>
      <c r="EO22" s="21" t="n">
        <v>81.94799999999999</v>
      </c>
      <c r="EP22" s="21" t="n">
        <v>92.13</v>
      </c>
      <c r="EQ22" s="21" t="n">
        <v>65.91800000000001</v>
      </c>
      <c r="ER22" s="21" t="n">
        <v>56.629</v>
      </c>
      <c r="ES22" s="21" t="n">
        <v>127.587</v>
      </c>
      <c r="ET22" s="21" t="n">
        <v>88.733</v>
      </c>
      <c r="EU22" s="21" t="n">
        <v>90.012</v>
      </c>
      <c r="EV22" s="21" t="n">
        <v>98.095</v>
      </c>
      <c r="EW22" s="21" t="n">
        <v>86.33799999999999</v>
      </c>
      <c r="EX22" s="21" t="n">
        <v>186.212</v>
      </c>
      <c r="EY22" s="21" t="n">
        <v>119.099</v>
      </c>
      <c r="EZ22" s="21" t="n">
        <v>117.226</v>
      </c>
      <c r="FA22" s="21" t="n">
        <v>157.992</v>
      </c>
      <c r="FB22" s="21" t="n">
        <v>125.914</v>
      </c>
      <c r="FC22" s="21" t="n">
        <v>119.154</v>
      </c>
      <c r="FD22" s="21" t="n">
        <v>122.697</v>
      </c>
      <c r="FE22" s="21" t="n">
        <v>113.316</v>
      </c>
      <c r="FF22" s="21" t="n">
        <v>156.183</v>
      </c>
      <c r="FG22" s="21" t="n">
        <v>79.905</v>
      </c>
      <c r="FH22" s="21" t="n">
        <v>118.289</v>
      </c>
      <c r="FI22" s="21" t="n">
        <v>104.826</v>
      </c>
      <c r="FJ22" s="21" t="n">
        <v>110.983</v>
      </c>
      <c r="FK22" s="21" t="n">
        <v>114.142</v>
      </c>
      <c r="FL22" s="21" t="n">
        <v>106.251</v>
      </c>
      <c r="FM22" s="21" t="n">
        <v>119.53</v>
      </c>
      <c r="FN22" s="21" t="n">
        <v>80.892</v>
      </c>
      <c r="FO22" s="21" t="n">
        <v>107.677</v>
      </c>
      <c r="FP22" s="21" t="n">
        <v>96.057</v>
      </c>
      <c r="FQ22" s="21" t="n">
        <v>137.133</v>
      </c>
      <c r="FR22" s="21" t="n">
        <v>139.33</v>
      </c>
      <c r="FS22" s="21" t="n">
        <v>151.874</v>
      </c>
      <c r="FT22" s="21" t="n">
        <v>129.318</v>
      </c>
      <c r="FU22" s="21" t="n">
        <v>114.577</v>
      </c>
      <c r="FV22" s="21" t="n">
        <v>169.208</v>
      </c>
      <c r="FW22" s="21" t="n">
        <v>131.377</v>
      </c>
      <c r="FX22" s="21" t="n">
        <v>175.906</v>
      </c>
      <c r="FY22" s="21" t="n">
        <v>195.762</v>
      </c>
      <c r="FZ22" s="21" t="n">
        <v>190.619</v>
      </c>
      <c r="GA22" s="21" t="n">
        <v>100.439</v>
      </c>
      <c r="GB22" s="21" t="n">
        <v>147.482</v>
      </c>
      <c r="GC22" s="21" t="n">
        <v>102.187</v>
      </c>
      <c r="GD22" s="21" t="n">
        <v>143.575</v>
      </c>
      <c r="GE22" s="21" t="n">
        <v>156.707</v>
      </c>
      <c r="GF22" s="21" t="n"/>
      <c r="GG22" s="21" t="n">
        <v>144.851</v>
      </c>
      <c r="GH22" s="21" t="n">
        <v>83.416</v>
      </c>
      <c r="GI22" s="21" t="n">
        <v>131.088</v>
      </c>
      <c r="GJ22" s="21" t="n">
        <v>190.67</v>
      </c>
      <c r="GK22" s="21" t="n">
        <v>189.766</v>
      </c>
      <c r="GL22" s="21" t="n">
        <v>185.785</v>
      </c>
      <c r="GM22" s="21" t="n">
        <v>204.223</v>
      </c>
      <c r="GN22" s="21" t="n">
        <v>201.922</v>
      </c>
      <c r="GO22" s="21" t="n">
        <v>173.095</v>
      </c>
      <c r="GP22" s="21" t="n">
        <v>142.739</v>
      </c>
      <c r="GQ22" s="21" t="n">
        <v>124.656</v>
      </c>
      <c r="GR22" s="21" t="n">
        <v>275.331</v>
      </c>
      <c r="GS22" s="21" t="n">
        <v>171.721</v>
      </c>
      <c r="GT22" s="21" t="n">
        <v>495.635</v>
      </c>
      <c r="GU22" s="21" t="n">
        <v>197.713</v>
      </c>
      <c r="GV22" s="21" t="n">
        <v>222.803</v>
      </c>
      <c r="GW22" s="21" t="n">
        <v>261.792</v>
      </c>
      <c r="GX22" s="21" t="n">
        <v>275.578</v>
      </c>
      <c r="GY22" s="21" t="n">
        <v>158.876</v>
      </c>
      <c r="GZ22" s="21" t="n">
        <v>113.12</v>
      </c>
      <c r="HA22" s="21" t="n">
        <v>67.03700000000001</v>
      </c>
      <c r="HB22" s="21" t="n">
        <v>469.816</v>
      </c>
      <c r="HC22" s="21" t="n">
        <v>374.142</v>
      </c>
      <c r="HD22" s="21" t="n">
        <v>122.465</v>
      </c>
      <c r="HE22" s="21" t="n">
        <v>514.372</v>
      </c>
      <c r="HF22" s="21" t="n">
        <v>97.29900000000001</v>
      </c>
      <c r="HG22" s="21" t="n">
        <v>500.384</v>
      </c>
      <c r="HH22" s="21" t="n">
        <v>374.384</v>
      </c>
      <c r="HI22" s="21" t="n">
        <v>382.134</v>
      </c>
      <c r="HJ22" s="21" t="n">
        <v>467.772</v>
      </c>
      <c r="HK22" s="21" t="n">
        <v>186.789</v>
      </c>
      <c r="HL22" s="21" t="n">
        <v>231.951</v>
      </c>
      <c r="HM22" s="21" t="n">
        <v>73.19199999999999</v>
      </c>
      <c r="HN22" s="21" t="n">
        <v>307.301</v>
      </c>
      <c r="HO22" s="21" t="n">
        <v>303.176</v>
      </c>
      <c r="HP22" s="21" t="n">
        <v>681.647</v>
      </c>
      <c r="HQ22" s="21" t="n">
        <v>215.301</v>
      </c>
      <c r="HR22" s="21" t="n">
        <v>117.093</v>
      </c>
      <c r="HS22" s="21" t="n">
        <v>100.588</v>
      </c>
      <c r="HT22" s="21" t="n">
        <v>248.202</v>
      </c>
      <c r="HU22" s="21" t="n">
        <v>439.286</v>
      </c>
      <c r="HV22" s="21" t="n">
        <v>127.776</v>
      </c>
      <c r="HW22" s="21" t="n">
        <v>33.181</v>
      </c>
      <c r="HX22" s="21" t="n">
        <v>170.374</v>
      </c>
      <c r="HY22" s="21" t="n">
        <v>198.988</v>
      </c>
      <c r="HZ22" s="21" t="n">
        <v>152.669</v>
      </c>
      <c r="IA22" s="21" t="n">
        <v>114.122</v>
      </c>
      <c r="IB22" s="21" t="n">
        <v>235.252</v>
      </c>
      <c r="IC22" s="21" t="n">
        <v>184.815</v>
      </c>
      <c r="ID22" s="21" t="n">
        <v>246.431</v>
      </c>
      <c r="IE22" s="21" t="n">
        <v>112.536</v>
      </c>
      <c r="IF22" s="21" t="n">
        <v>147.021</v>
      </c>
      <c r="IG22" s="21" t="n">
        <v>82.967</v>
      </c>
      <c r="IH22" s="21" t="n">
        <v>75.883</v>
      </c>
      <c r="II22" s="21" t="n">
        <v>54.555</v>
      </c>
      <c r="IJ22" s="21" t="n">
        <v>22.298</v>
      </c>
      <c r="IK22" s="21" t="n">
        <v>43.203</v>
      </c>
      <c r="IL22" s="21" t="n">
        <v>40.273</v>
      </c>
      <c r="IM22" s="21" t="n">
        <v>48.95</v>
      </c>
      <c r="IN22" s="21" t="n">
        <v>89.408</v>
      </c>
      <c r="IO22" s="21" t="n">
        <v>102.265</v>
      </c>
      <c r="IP22" s="21" t="n">
        <v>161.188</v>
      </c>
      <c r="IQ22" s="21" t="n">
        <v>133.01</v>
      </c>
      <c r="IR22" s="21" t="n">
        <v>370.007</v>
      </c>
      <c r="IS22" s="21" t="n">
        <v>175.609</v>
      </c>
      <c r="IT22" s="21" t="n">
        <v>220.783</v>
      </c>
      <c r="IU22" s="21" t="n">
        <v>294.468</v>
      </c>
      <c r="IV22" s="21" t="n">
        <v>242.879</v>
      </c>
      <c r="IW22" s="21" t="n">
        <v>138.817</v>
      </c>
      <c r="IX22" s="21" t="n">
        <v>248.753</v>
      </c>
      <c r="IY22" s="21" t="n">
        <v>693.598</v>
      </c>
      <c r="IZ22" s="21" t="n">
        <v>710.985</v>
      </c>
      <c r="JA22" s="21" t="n">
        <v>809.9450000000001</v>
      </c>
      <c r="JB22" s="21" t="n">
        <v>74.22799999999999</v>
      </c>
      <c r="JC22" s="21" t="n">
        <v>284.77</v>
      </c>
      <c r="JD22" s="21" t="n">
        <v>238.996</v>
      </c>
      <c r="JE22" s="21" t="n">
        <v>78.584</v>
      </c>
      <c r="JF22" s="21" t="n">
        <v>175.711</v>
      </c>
      <c r="JG22" s="21" t="n">
        <v>276.742</v>
      </c>
      <c r="JH22" s="21" t="n">
        <v>277.436</v>
      </c>
      <c r="JI22" s="21" t="n">
        <v>74.753</v>
      </c>
      <c r="JJ22" s="21" t="n">
        <v>115.553</v>
      </c>
      <c r="JK22" s="21" t="n">
        <v>43.77</v>
      </c>
      <c r="JL22" s="21" t="n">
        <v>77.474</v>
      </c>
      <c r="JM22" s="21" t="n">
        <v>276.521</v>
      </c>
      <c r="JN22" s="21" t="n">
        <v>425.494</v>
      </c>
      <c r="JO22" s="21" t="n">
        <v>61.222</v>
      </c>
      <c r="JP22" s="21" t="n">
        <v>396.721</v>
      </c>
      <c r="JQ22" s="21" t="n">
        <v>225.434</v>
      </c>
      <c r="JR22" s="21" t="n">
        <v>163.164</v>
      </c>
      <c r="JS22" s="21" t="n">
        <v>416.947</v>
      </c>
      <c r="JT22" s="21" t="n">
        <v>340.76</v>
      </c>
      <c r="JU22" s="21" t="n">
        <v>320.918</v>
      </c>
      <c r="JV22" s="21" t="n">
        <v>161.669</v>
      </c>
      <c r="JW22" s="21" t="n">
        <v>335.895</v>
      </c>
      <c r="JX22" s="21" t="n">
        <v>229.894</v>
      </c>
      <c r="JY22" s="21" t="n">
        <v>78.43899999999999</v>
      </c>
      <c r="JZ22" s="21" t="n">
        <v>150.28</v>
      </c>
      <c r="KA22" s="21" t="n">
        <v>230.209</v>
      </c>
      <c r="KB22" s="21" t="n">
        <v>247.992</v>
      </c>
      <c r="KC22" s="21" t="n">
        <v>240.147</v>
      </c>
      <c r="KD22" s="21" t="n">
        <v>248.842</v>
      </c>
      <c r="KE22" s="21" t="n">
        <v>224.612</v>
      </c>
      <c r="KF22" s="21" t="n">
        <v>218.551</v>
      </c>
      <c r="KG22" s="21" t="n">
        <v>225.767</v>
      </c>
      <c r="KH22" s="21" t="n">
        <v>230.613</v>
      </c>
      <c r="KI22" s="21" t="n">
        <v>118.752</v>
      </c>
      <c r="KJ22" s="21" t="n">
        <v>179.502</v>
      </c>
      <c r="KK22" s="21" t="n">
        <v>149.021</v>
      </c>
      <c r="KL22" s="21" t="n">
        <v>145.784</v>
      </c>
      <c r="KM22" s="21" t="n">
        <v>145.56</v>
      </c>
      <c r="KN22" s="21" t="n">
        <v>146.277</v>
      </c>
      <c r="KO22" s="21" t="n">
        <v>246.171</v>
      </c>
      <c r="KP22" s="21" t="n">
        <v>106.752</v>
      </c>
      <c r="KQ22" s="21" t="n">
        <v>79.60599999999999</v>
      </c>
      <c r="KR22" s="21" t="n">
        <v>110.799</v>
      </c>
      <c r="KS22" s="21" t="n">
        <v>192.243</v>
      </c>
      <c r="KT22" s="21" t="n">
        <v>193.978</v>
      </c>
      <c r="KU22" s="21" t="n">
        <v>91.426</v>
      </c>
      <c r="KV22" s="21" t="n">
        <v>59.05</v>
      </c>
      <c r="KW22" s="21" t="n">
        <v>215.623</v>
      </c>
      <c r="KX22" s="21" t="n">
        <v>188.475</v>
      </c>
      <c r="KY22" s="21" t="n">
        <v>226.209</v>
      </c>
      <c r="KZ22" s="21" t="n">
        <v>185.115</v>
      </c>
      <c r="LA22" s="21" t="n">
        <v>225.829</v>
      </c>
      <c r="LB22" s="21" t="n">
        <v>109.162</v>
      </c>
      <c r="LC22" s="21" t="n">
        <v>346.683</v>
      </c>
      <c r="LD22" s="21" t="n">
        <v>85.11199999999999</v>
      </c>
      <c r="LE22" s="21" t="n">
        <v>115.745</v>
      </c>
      <c r="LF22" s="21" t="n">
        <v>302.542</v>
      </c>
      <c r="LG22" s="21" t="n">
        <v>301.954</v>
      </c>
      <c r="LH22" s="21" t="n">
        <v>312.348</v>
      </c>
      <c r="LI22" s="21" t="n">
        <v>287.012</v>
      </c>
      <c r="LJ22" s="21" t="n">
        <v>324.806</v>
      </c>
      <c r="LK22" s="21" t="n">
        <v>106.105</v>
      </c>
      <c r="LL22" s="21" t="n">
        <v>299.937</v>
      </c>
      <c r="LM22" s="21" t="n">
        <v>216.183</v>
      </c>
      <c r="LN22" s="21" t="n">
        <v>51.926</v>
      </c>
      <c r="LO22" s="21" t="n">
        <v>117.548</v>
      </c>
    </row>
    <row r="23">
      <c r="A23" s="22" t="n">
        <v>42644</v>
      </c>
      <c r="B23" s="21" t="n">
        <v>241.741</v>
      </c>
      <c r="C23" s="21" t="n">
        <v>247.596</v>
      </c>
      <c r="D23" s="21" t="n">
        <v>247.812</v>
      </c>
      <c r="E23" s="21" t="n">
        <v>237.714</v>
      </c>
      <c r="F23" s="21" t="n">
        <v>272.871</v>
      </c>
      <c r="G23" s="21" t="n">
        <v>230.253</v>
      </c>
      <c r="H23" s="21" t="n">
        <v>239.255</v>
      </c>
      <c r="I23" s="21" t="n">
        <v>226.415</v>
      </c>
      <c r="J23" s="21" t="n">
        <v>237.873</v>
      </c>
      <c r="K23" s="21" t="n">
        <v>296.82</v>
      </c>
      <c r="L23" s="21" t="n">
        <v>178.466</v>
      </c>
      <c r="M23" s="21" t="n">
        <v>174.594</v>
      </c>
      <c r="N23" s="21" t="n">
        <v>281.936</v>
      </c>
      <c r="O23" s="21" t="n">
        <v>269.544</v>
      </c>
      <c r="P23" s="21" t="n">
        <v>264.831</v>
      </c>
      <c r="Q23" s="21" t="n">
        <v>305.376</v>
      </c>
      <c r="R23" s="21" t="n">
        <v>270.493</v>
      </c>
      <c r="S23" s="21" t="n">
        <v>244.097</v>
      </c>
      <c r="T23" s="21" t="n">
        <v>247.376</v>
      </c>
      <c r="U23" s="21" t="n">
        <v>248.91</v>
      </c>
      <c r="V23" s="21" t="n">
        <v>296.83</v>
      </c>
      <c r="W23" s="21" t="n">
        <v>263.3</v>
      </c>
      <c r="X23" s="21" t="n">
        <v>216.087</v>
      </c>
      <c r="Y23" s="21" t="n">
        <v>202.707</v>
      </c>
      <c r="Z23" s="21" t="n">
        <v>206.261</v>
      </c>
      <c r="AA23" s="21" t="n">
        <v>151.878</v>
      </c>
      <c r="AB23" s="21" t="n">
        <v>277.264</v>
      </c>
      <c r="AC23" s="21" t="n">
        <v>141.681</v>
      </c>
      <c r="AD23" s="21" t="n">
        <v>197.831</v>
      </c>
      <c r="AE23" s="21" t="n">
        <v>219.789</v>
      </c>
      <c r="AF23" s="21" t="n">
        <v>187.594</v>
      </c>
      <c r="AG23" s="21" t="n">
        <v>127.228</v>
      </c>
      <c r="AH23" s="21" t="n">
        <v>224.682</v>
      </c>
      <c r="AI23" s="21" t="n">
        <v>221.829</v>
      </c>
      <c r="AJ23" s="21" t="n">
        <v>147.096</v>
      </c>
      <c r="AK23" s="21" t="n">
        <v>231.48</v>
      </c>
      <c r="AL23" s="21" t="n">
        <v>147.696</v>
      </c>
      <c r="AM23" s="21" t="n">
        <v>251.006</v>
      </c>
      <c r="AN23" s="21" t="n">
        <v>217.921</v>
      </c>
      <c r="AO23" s="21" t="n">
        <v>155.196</v>
      </c>
      <c r="AP23" s="21" t="n">
        <v>285.163</v>
      </c>
      <c r="AQ23" s="21" t="n">
        <v>178.589</v>
      </c>
      <c r="AR23" s="21" t="n">
        <v>140.858</v>
      </c>
      <c r="AS23" s="21" t="n">
        <v>198.142</v>
      </c>
      <c r="AT23" s="21" t="n">
        <v>293.475</v>
      </c>
      <c r="AU23" s="21" t="n">
        <v>201.55</v>
      </c>
      <c r="AV23" s="21" t="n">
        <v>217.392</v>
      </c>
      <c r="AW23" s="21" t="n">
        <v>142.449</v>
      </c>
      <c r="AX23" s="21" t="n">
        <v>205.072</v>
      </c>
      <c r="AY23" s="21" t="n">
        <v>145.414</v>
      </c>
      <c r="AZ23" s="21" t="n">
        <v>228.64</v>
      </c>
      <c r="BA23" s="21" t="n">
        <v>218.066</v>
      </c>
      <c r="BB23" s="21" t="n">
        <v>145.421</v>
      </c>
      <c r="BC23" s="21" t="n">
        <v>293.669</v>
      </c>
      <c r="BD23" s="21" t="n">
        <v>337.949</v>
      </c>
      <c r="BE23" s="21" t="n">
        <v>358.717</v>
      </c>
      <c r="BF23" s="21" t="n">
        <v>340.872</v>
      </c>
      <c r="BG23" s="21" t="n">
        <v>199.128</v>
      </c>
      <c r="BH23" s="21" t="n">
        <v>242.774</v>
      </c>
      <c r="BI23" s="21" t="n">
        <v>486.3</v>
      </c>
      <c r="BJ23" s="21" t="n">
        <v>119.837</v>
      </c>
      <c r="BK23" s="21" t="n">
        <v>314.939</v>
      </c>
      <c r="BL23" s="21" t="n">
        <v>329.75</v>
      </c>
      <c r="BM23" s="21" t="n">
        <v>277.571</v>
      </c>
      <c r="BN23" s="21" t="n">
        <v>345.749</v>
      </c>
      <c r="BO23" s="21" t="n">
        <v>316.263</v>
      </c>
      <c r="BP23" s="21" t="n">
        <v>157.782</v>
      </c>
      <c r="BQ23" s="21" t="n">
        <v>162.833</v>
      </c>
      <c r="BR23" s="21" t="n">
        <v>158.637</v>
      </c>
      <c r="BS23" s="21" t="n">
        <v>170.766</v>
      </c>
      <c r="BT23" s="21" t="n">
        <v>148.672</v>
      </c>
      <c r="BU23" s="21" t="n">
        <v>203.208</v>
      </c>
      <c r="BV23" s="21" t="n">
        <v>157.206</v>
      </c>
      <c r="BW23" s="21" t="n">
        <v>166.295</v>
      </c>
      <c r="BX23" s="21" t="n">
        <v>128.077</v>
      </c>
      <c r="BY23" s="21" t="n">
        <v>160.91</v>
      </c>
      <c r="BZ23" s="21" t="n">
        <v>116.786</v>
      </c>
      <c r="CA23" s="21" t="n">
        <v>117.556</v>
      </c>
      <c r="CB23" s="21" t="n">
        <v>197.531</v>
      </c>
      <c r="CC23" s="21" t="n">
        <v>205.333</v>
      </c>
      <c r="CD23" s="21" t="n">
        <v>127.567</v>
      </c>
      <c r="CE23" s="21" t="n">
        <v>209.374</v>
      </c>
      <c r="CF23" s="21" t="n">
        <v>214.893</v>
      </c>
      <c r="CG23" s="21" t="n">
        <v>187.604</v>
      </c>
      <c r="CH23" s="21" t="n">
        <v>144.531</v>
      </c>
      <c r="CI23" s="21" t="n">
        <v>155.345</v>
      </c>
      <c r="CJ23" s="21" t="n">
        <v>225.199</v>
      </c>
      <c r="CK23" s="21" t="n">
        <v>200.003</v>
      </c>
      <c r="CL23" s="21" t="n">
        <v>231.895</v>
      </c>
      <c r="CM23" s="21" t="n">
        <v>295.087</v>
      </c>
      <c r="CN23" s="21" t="n">
        <v>129.346</v>
      </c>
      <c r="CO23" s="21" t="n">
        <v>156.799</v>
      </c>
      <c r="CP23" s="21" t="n">
        <v>224.083</v>
      </c>
      <c r="CQ23" s="21" t="n">
        <v>243.471</v>
      </c>
      <c r="CR23" s="21" t="n">
        <v>168.976</v>
      </c>
      <c r="CS23" s="21" t="n">
        <v>252.195</v>
      </c>
      <c r="CT23" s="21" t="n">
        <v>237.345</v>
      </c>
      <c r="CU23" s="21" t="n">
        <v>151.459</v>
      </c>
      <c r="CV23" s="21" t="n">
        <v>138.986</v>
      </c>
      <c r="CW23" s="21" t="n">
        <v>135.761</v>
      </c>
      <c r="CX23" s="21" t="n">
        <v>278.39</v>
      </c>
      <c r="CY23" s="21" t="n">
        <v>131.867</v>
      </c>
      <c r="CZ23" s="21" t="n">
        <v>126.441</v>
      </c>
      <c r="DA23" s="21" t="n">
        <v>264.459</v>
      </c>
      <c r="DB23" s="21" t="n">
        <v>164.143</v>
      </c>
      <c r="DC23" s="21" t="n">
        <v>172.019</v>
      </c>
      <c r="DD23" s="21" t="n">
        <v>143.855</v>
      </c>
      <c r="DE23" s="21" t="n">
        <v>183.035</v>
      </c>
      <c r="DF23" s="21" t="n">
        <v>243.347</v>
      </c>
      <c r="DG23" s="21" t="n">
        <v>199.173</v>
      </c>
      <c r="DH23" s="21" t="n">
        <v>219.549</v>
      </c>
      <c r="DI23" s="21" t="n">
        <v>194.315</v>
      </c>
      <c r="DJ23" s="21" t="n">
        <v>209.654</v>
      </c>
      <c r="DK23" s="21" t="n">
        <v>188.209</v>
      </c>
      <c r="DL23" s="21" t="n">
        <v>168.095</v>
      </c>
      <c r="DM23" s="21" t="n">
        <v>338.942</v>
      </c>
      <c r="DN23" s="21" t="n">
        <v>183.889</v>
      </c>
      <c r="DO23" s="21" t="n">
        <v>246.48</v>
      </c>
      <c r="DP23" s="21" t="n">
        <v>291.378</v>
      </c>
      <c r="DQ23" s="21" t="n">
        <v>300.215</v>
      </c>
      <c r="DR23" s="21" t="n">
        <v>161.261</v>
      </c>
      <c r="DS23" s="21" t="n">
        <v>527.093</v>
      </c>
      <c r="DT23" s="21" t="n">
        <v>332.495</v>
      </c>
      <c r="DU23" s="21" t="n">
        <v>298.494</v>
      </c>
      <c r="DV23" s="21" t="n">
        <v>298.459</v>
      </c>
      <c r="DW23" s="21" t="n">
        <v>232.364</v>
      </c>
      <c r="DX23" s="21" t="n">
        <v>194.353</v>
      </c>
      <c r="DY23" s="21" t="n">
        <v>237.05</v>
      </c>
      <c r="DZ23" s="21" t="n">
        <v>224.453</v>
      </c>
      <c r="EA23" s="21" t="n">
        <v>296.2</v>
      </c>
      <c r="EB23" s="21" t="n">
        <v>199.164</v>
      </c>
      <c r="EC23" s="21" t="n">
        <v>208.519</v>
      </c>
      <c r="ED23" s="21" t="n">
        <v>168.215</v>
      </c>
      <c r="EE23" s="21" t="n">
        <v>223.631</v>
      </c>
      <c r="EF23" s="21" t="n">
        <v>519.371</v>
      </c>
      <c r="EG23" s="21" t="n">
        <v>440.311</v>
      </c>
      <c r="EH23" s="21" t="n">
        <v>121.476</v>
      </c>
      <c r="EI23" s="21" t="n">
        <v>60.35</v>
      </c>
      <c r="EJ23" s="21" t="n">
        <v>70.303</v>
      </c>
      <c r="EK23" s="21" t="n">
        <v>46.8</v>
      </c>
      <c r="EL23" s="21" t="n">
        <v>111.731</v>
      </c>
      <c r="EM23" s="21" t="n">
        <v>69.73999999999999</v>
      </c>
      <c r="EN23" s="21" t="n">
        <v>75.212</v>
      </c>
      <c r="EO23" s="21" t="n">
        <v>81.54000000000001</v>
      </c>
      <c r="EP23" s="21" t="n">
        <v>89.777</v>
      </c>
      <c r="EQ23" s="21" t="n">
        <v>65.342</v>
      </c>
      <c r="ER23" s="21" t="n">
        <v>56.442</v>
      </c>
      <c r="ES23" s="21" t="n">
        <v>127.402</v>
      </c>
      <c r="ET23" s="21" t="n">
        <v>89.31100000000001</v>
      </c>
      <c r="EU23" s="21" t="n">
        <v>89.861</v>
      </c>
      <c r="EV23" s="21" t="n">
        <v>98.104</v>
      </c>
      <c r="EW23" s="21" t="n">
        <v>86.00700000000001</v>
      </c>
      <c r="EX23" s="21" t="n">
        <v>185.944</v>
      </c>
      <c r="EY23" s="21" t="n">
        <v>119.355</v>
      </c>
      <c r="EZ23" s="21" t="n">
        <v>117.417</v>
      </c>
      <c r="FA23" s="21" t="n">
        <v>155.824</v>
      </c>
      <c r="FB23" s="21" t="n">
        <v>126.521</v>
      </c>
      <c r="FC23" s="21" t="n">
        <v>118.971</v>
      </c>
      <c r="FD23" s="21" t="n">
        <v>122.034</v>
      </c>
      <c r="FE23" s="21" t="n">
        <v>112.867</v>
      </c>
      <c r="FF23" s="21" t="n">
        <v>153.566</v>
      </c>
      <c r="FG23" s="21" t="n">
        <v>80.39100000000001</v>
      </c>
      <c r="FH23" s="21" t="n">
        <v>117.963</v>
      </c>
      <c r="FI23" s="21" t="n">
        <v>105.404</v>
      </c>
      <c r="FJ23" s="21" t="n">
        <v>111.782</v>
      </c>
      <c r="FK23" s="21" t="n">
        <v>114.984</v>
      </c>
      <c r="FL23" s="21" t="n">
        <v>104.792</v>
      </c>
      <c r="FM23" s="21" t="n">
        <v>121.898</v>
      </c>
      <c r="FN23" s="21" t="n">
        <v>82.242</v>
      </c>
      <c r="FO23" s="21" t="n">
        <v>107.345</v>
      </c>
      <c r="FP23" s="21" t="n">
        <v>96.663</v>
      </c>
      <c r="FQ23" s="21" t="n">
        <v>138.475</v>
      </c>
      <c r="FR23" s="21" t="n">
        <v>140.098</v>
      </c>
      <c r="FS23" s="21" t="n">
        <v>153.86</v>
      </c>
      <c r="FT23" s="21" t="n">
        <v>130.384</v>
      </c>
      <c r="FU23" s="21" t="n">
        <v>114.062</v>
      </c>
      <c r="FV23" s="21" t="n">
        <v>169.966</v>
      </c>
      <c r="FW23" s="21" t="n">
        <v>131.22</v>
      </c>
      <c r="FX23" s="21" t="n">
        <v>178.474</v>
      </c>
      <c r="FY23" s="21" t="n">
        <v>197.151</v>
      </c>
      <c r="FZ23" s="21" t="n">
        <v>192.21</v>
      </c>
      <c r="GA23" s="21" t="n">
        <v>100.001</v>
      </c>
      <c r="GB23" s="21" t="n">
        <v>147.784</v>
      </c>
      <c r="GC23" s="21" t="n">
        <v>102.41</v>
      </c>
      <c r="GD23" s="21" t="n">
        <v>143.863</v>
      </c>
      <c r="GE23" s="21" t="n">
        <v>157.132</v>
      </c>
      <c r="GF23" s="21" t="n"/>
      <c r="GG23" s="21" t="n">
        <v>142.217</v>
      </c>
      <c r="GH23" s="21" t="n">
        <v>83.79900000000001</v>
      </c>
      <c r="GI23" s="21" t="n">
        <v>131.084</v>
      </c>
      <c r="GJ23" s="21" t="n">
        <v>198.613</v>
      </c>
      <c r="GK23" s="21" t="n">
        <v>197.788</v>
      </c>
      <c r="GL23" s="21" t="n">
        <v>194.115</v>
      </c>
      <c r="GM23" s="21" t="n">
        <v>212.929</v>
      </c>
      <c r="GN23" s="21" t="n">
        <v>208.91</v>
      </c>
      <c r="GO23" s="21" t="n">
        <v>176.085</v>
      </c>
      <c r="GP23" s="21" t="n">
        <v>143.017</v>
      </c>
      <c r="GQ23" s="21" t="n">
        <v>125.125</v>
      </c>
      <c r="GR23" s="21" t="n">
        <v>275.645</v>
      </c>
      <c r="GS23" s="21" t="n">
        <v>171.919</v>
      </c>
      <c r="GT23" s="21" t="n">
        <v>498.576</v>
      </c>
      <c r="GU23" s="21" t="n">
        <v>196.713</v>
      </c>
      <c r="GV23" s="21" t="n">
        <v>222.762</v>
      </c>
      <c r="GW23" s="21" t="n">
        <v>259.449</v>
      </c>
      <c r="GX23" s="21" t="n">
        <v>270.9</v>
      </c>
      <c r="GY23" s="21" t="n">
        <v>158.629</v>
      </c>
      <c r="GZ23" s="21" t="n">
        <v>111.954</v>
      </c>
      <c r="HA23" s="21" t="n">
        <v>66.38800000000001</v>
      </c>
      <c r="HB23" s="21" t="n">
        <v>469.749</v>
      </c>
      <c r="HC23" s="21" t="n">
        <v>373.792</v>
      </c>
      <c r="HD23" s="21" t="n">
        <v>122.448</v>
      </c>
      <c r="HE23" s="21" t="n">
        <v>515.828</v>
      </c>
      <c r="HF23" s="21" t="n">
        <v>96.554</v>
      </c>
      <c r="HG23" s="21" t="n">
        <v>500.424</v>
      </c>
      <c r="HH23" s="21" t="n">
        <v>374.222</v>
      </c>
      <c r="HI23" s="21" t="n">
        <v>381.406</v>
      </c>
      <c r="HJ23" s="21" t="n">
        <v>468.564</v>
      </c>
      <c r="HK23" s="21" t="n">
        <v>186.586</v>
      </c>
      <c r="HL23" s="21" t="n">
        <v>232.015</v>
      </c>
      <c r="HM23" s="21" t="n">
        <v>73.337</v>
      </c>
      <c r="HN23" s="21" t="n">
        <v>307.943</v>
      </c>
      <c r="HO23" s="21" t="n">
        <v>304.446</v>
      </c>
      <c r="HP23" s="21" t="n">
        <v>681.876</v>
      </c>
      <c r="HQ23" s="21" t="n">
        <v>215.736</v>
      </c>
      <c r="HR23" s="21" t="n">
        <v>116.919</v>
      </c>
      <c r="HS23" s="21" t="n">
        <v>100.691</v>
      </c>
      <c r="HT23" s="21" t="n">
        <v>246.937</v>
      </c>
      <c r="HU23" s="21" t="n">
        <v>441.032</v>
      </c>
      <c r="HV23" s="21" t="n">
        <v>128.263</v>
      </c>
      <c r="HW23" s="21" t="n">
        <v>32.604</v>
      </c>
      <c r="HX23" s="21" t="n">
        <v>170.124</v>
      </c>
      <c r="HY23" s="21" t="n">
        <v>198.203</v>
      </c>
      <c r="HZ23" s="21" t="n">
        <v>151.435</v>
      </c>
      <c r="IA23" s="21" t="n">
        <v>114.215</v>
      </c>
      <c r="IB23" s="21" t="n">
        <v>235.836</v>
      </c>
      <c r="IC23" s="21" t="n">
        <v>185.559</v>
      </c>
      <c r="ID23" s="21" t="n">
        <v>247.063</v>
      </c>
      <c r="IE23" s="21" t="n">
        <v>112.794</v>
      </c>
      <c r="IF23" s="21" t="n">
        <v>148.051</v>
      </c>
      <c r="IG23" s="21" t="n">
        <v>82.696</v>
      </c>
      <c r="IH23" s="21" t="n">
        <v>76.16500000000001</v>
      </c>
      <c r="II23" s="21" t="n">
        <v>55.096</v>
      </c>
      <c r="IJ23" s="21" t="n">
        <v>22.554</v>
      </c>
      <c r="IK23" s="21" t="n">
        <v>42.825</v>
      </c>
      <c r="IL23" s="21" t="n">
        <v>39.696</v>
      </c>
      <c r="IM23" s="21" t="n">
        <v>48.541</v>
      </c>
      <c r="IN23" s="21" t="n">
        <v>94.42400000000001</v>
      </c>
      <c r="IO23" s="21" t="n">
        <v>102.022</v>
      </c>
      <c r="IP23" s="21" t="n">
        <v>160.765</v>
      </c>
      <c r="IQ23" s="21" t="n">
        <v>132.993</v>
      </c>
      <c r="IR23" s="21" t="n">
        <v>367.262</v>
      </c>
      <c r="IS23" s="21" t="n">
        <v>174.305</v>
      </c>
      <c r="IT23" s="21" t="n">
        <v>218.879</v>
      </c>
      <c r="IU23" s="21" t="n">
        <v>295.255</v>
      </c>
      <c r="IV23" s="21" t="n">
        <v>239.487</v>
      </c>
      <c r="IW23" s="21" t="n">
        <v>138.63</v>
      </c>
      <c r="IX23" s="21" t="n">
        <v>249.496</v>
      </c>
      <c r="IY23" s="21" t="n">
        <v>695.365</v>
      </c>
      <c r="IZ23" s="21" t="n">
        <v>713.127</v>
      </c>
      <c r="JA23" s="21" t="n">
        <v>811.153</v>
      </c>
      <c r="JB23" s="21" t="n">
        <v>74.723</v>
      </c>
      <c r="JC23" s="21" t="n">
        <v>285.985</v>
      </c>
      <c r="JD23" s="21" t="n">
        <v>239.089</v>
      </c>
      <c r="JE23" s="21" t="n">
        <v>78.19199999999999</v>
      </c>
      <c r="JF23" s="21" t="n">
        <v>176.042</v>
      </c>
      <c r="JG23" s="21" t="n">
        <v>277.335</v>
      </c>
      <c r="JH23" s="21" t="n">
        <v>276.594</v>
      </c>
      <c r="JI23" s="21" t="n">
        <v>74.361</v>
      </c>
      <c r="JJ23" s="21" t="n">
        <v>114.619</v>
      </c>
      <c r="JK23" s="21" t="n">
        <v>43.721</v>
      </c>
      <c r="JL23" s="21" t="n">
        <v>76.76900000000001</v>
      </c>
      <c r="JM23" s="21" t="n">
        <v>274.191</v>
      </c>
      <c r="JN23" s="21" t="n">
        <v>425.524</v>
      </c>
      <c r="JO23" s="21" t="n">
        <v>61.387</v>
      </c>
      <c r="JP23" s="21" t="n">
        <v>397.926</v>
      </c>
      <c r="JQ23" s="21" t="n">
        <v>225.295</v>
      </c>
      <c r="JR23" s="21" t="n">
        <v>162.69</v>
      </c>
      <c r="JS23" s="21" t="n">
        <v>416.621</v>
      </c>
      <c r="JT23" s="21" t="n">
        <v>340.873</v>
      </c>
      <c r="JU23" s="21" t="n">
        <v>321.319</v>
      </c>
      <c r="JV23" s="21" t="n">
        <v>161.293</v>
      </c>
      <c r="JW23" s="21" t="n">
        <v>335.663</v>
      </c>
      <c r="JX23" s="21" t="n">
        <v>229.352</v>
      </c>
      <c r="JY23" s="21" t="n">
        <v>78.821</v>
      </c>
      <c r="JZ23" s="21" t="n">
        <v>149.422</v>
      </c>
      <c r="KA23" s="21" t="n">
        <v>230.801</v>
      </c>
      <c r="KB23" s="21" t="n">
        <v>248.253</v>
      </c>
      <c r="KC23" s="21" t="n">
        <v>240.792</v>
      </c>
      <c r="KD23" s="21" t="n">
        <v>249.142</v>
      </c>
      <c r="KE23" s="21" t="n">
        <v>225.01</v>
      </c>
      <c r="KF23" s="21" t="n">
        <v>219.029</v>
      </c>
      <c r="KG23" s="21" t="n">
        <v>225.665</v>
      </c>
      <c r="KH23" s="21" t="n">
        <v>230.705</v>
      </c>
      <c r="KI23" s="21" t="n">
        <v>119.156</v>
      </c>
      <c r="KJ23" s="21" t="n">
        <v>180.091</v>
      </c>
      <c r="KK23" s="21" t="n">
        <v>149.792</v>
      </c>
      <c r="KL23" s="21" t="n">
        <v>146.56</v>
      </c>
      <c r="KM23" s="21" t="n">
        <v>145.416</v>
      </c>
      <c r="KN23" s="21" t="n">
        <v>146.437</v>
      </c>
      <c r="KO23" s="21" t="n">
        <v>246.312</v>
      </c>
      <c r="KP23" s="21" t="n">
        <v>106.578</v>
      </c>
      <c r="KQ23" s="21" t="n">
        <v>79.27800000000001</v>
      </c>
      <c r="KR23" s="21" t="n">
        <v>110.68</v>
      </c>
      <c r="KS23" s="21" t="n">
        <v>195.979</v>
      </c>
      <c r="KT23" s="21" t="n">
        <v>201.918</v>
      </c>
      <c r="KU23" s="21" t="n">
        <v>91.37</v>
      </c>
      <c r="KV23" s="21" t="n">
        <v>58.665</v>
      </c>
      <c r="KW23" s="21" t="n">
        <v>216.964</v>
      </c>
      <c r="KX23" s="21" t="n">
        <v>190.949</v>
      </c>
      <c r="KY23" s="21" t="n">
        <v>229.949</v>
      </c>
      <c r="KZ23" s="21" t="n">
        <v>187.68</v>
      </c>
      <c r="LA23" s="21" t="n">
        <v>229.827</v>
      </c>
      <c r="LB23" s="21" t="n">
        <v>109.206</v>
      </c>
      <c r="LC23" s="21" t="n">
        <v>346.458</v>
      </c>
      <c r="LD23" s="21" t="n">
        <v>84.736</v>
      </c>
      <c r="LE23" s="21" t="n">
        <v>115.732</v>
      </c>
      <c r="LF23" s="21" t="n">
        <v>303.551</v>
      </c>
      <c r="LG23" s="21" t="n">
        <v>302.528</v>
      </c>
      <c r="LH23" s="21" t="n">
        <v>312.98</v>
      </c>
      <c r="LI23" s="21" t="n">
        <v>287.595</v>
      </c>
      <c r="LJ23" s="21" t="n">
        <v>324.881</v>
      </c>
      <c r="LK23" s="21" t="n">
        <v>105.593</v>
      </c>
      <c r="LL23" s="21" t="n">
        <v>300.301</v>
      </c>
      <c r="LM23" s="21" t="n">
        <v>214.979</v>
      </c>
      <c r="LN23" s="21" t="n">
        <v>51.539</v>
      </c>
      <c r="LO23" s="21" t="n">
        <v>117.804</v>
      </c>
    </row>
    <row r="24">
      <c r="A24" s="22" t="n">
        <v>42675</v>
      </c>
      <c r="B24" s="21" t="n">
        <v>242.026</v>
      </c>
      <c r="C24" s="21" t="n">
        <v>247.525</v>
      </c>
      <c r="D24" s="21" t="n">
        <v>247.741</v>
      </c>
      <c r="E24" s="21" t="n">
        <v>237.438</v>
      </c>
      <c r="F24" s="21" t="n">
        <v>272.989</v>
      </c>
      <c r="G24" s="21" t="n">
        <v>230.016</v>
      </c>
      <c r="H24" s="21" t="n">
        <v>240.258</v>
      </c>
      <c r="I24" s="21" t="n">
        <v>226.983</v>
      </c>
      <c r="J24" s="21" t="n">
        <v>236.484</v>
      </c>
      <c r="K24" s="21" t="n">
        <v>296.837</v>
      </c>
      <c r="L24" s="21" t="n">
        <v>178.731</v>
      </c>
      <c r="M24" s="21" t="n">
        <v>174.966</v>
      </c>
      <c r="N24" s="21" t="n">
        <v>283.871</v>
      </c>
      <c r="O24" s="21" t="n">
        <v>269.528</v>
      </c>
      <c r="P24" s="21" t="n">
        <v>267.241</v>
      </c>
      <c r="Q24" s="21" t="n">
        <v>309.038</v>
      </c>
      <c r="R24" s="21" t="n">
        <v>268.49</v>
      </c>
      <c r="S24" s="21" t="n">
        <v>243.807</v>
      </c>
      <c r="T24" s="21" t="n">
        <v>246.937</v>
      </c>
      <c r="U24" s="21" t="n">
        <v>248.578</v>
      </c>
      <c r="V24" s="21" t="n">
        <v>296.559</v>
      </c>
      <c r="W24" s="21" t="n">
        <v>262.824</v>
      </c>
      <c r="X24" s="21" t="n">
        <v>218.119</v>
      </c>
      <c r="Y24" s="21" t="n">
        <v>202.344</v>
      </c>
      <c r="Z24" s="21" t="n">
        <v>206.017</v>
      </c>
      <c r="AA24" s="21" t="n">
        <v>151.899</v>
      </c>
      <c r="AB24" s="21" t="n">
        <v>276.593</v>
      </c>
      <c r="AC24" s="21" t="n">
        <v>140.49</v>
      </c>
      <c r="AD24" s="21" t="n">
        <v>198.873</v>
      </c>
      <c r="AE24" s="21" t="n">
        <v>221.122</v>
      </c>
      <c r="AF24" s="21" t="n">
        <v>184.808</v>
      </c>
      <c r="AG24" s="21" t="n">
        <v>127.455</v>
      </c>
      <c r="AH24" s="21" t="n">
        <v>224.166</v>
      </c>
      <c r="AI24" s="21" t="n">
        <v>222.375</v>
      </c>
      <c r="AJ24" s="21" t="n">
        <v>146.019</v>
      </c>
      <c r="AK24" s="21" t="n">
        <v>230.215</v>
      </c>
      <c r="AL24" s="21" t="n">
        <v>148.006</v>
      </c>
      <c r="AM24" s="21" t="n">
        <v>249.394</v>
      </c>
      <c r="AN24" s="21" t="n">
        <v>218.747</v>
      </c>
      <c r="AO24" s="21" t="n">
        <v>154.007</v>
      </c>
      <c r="AP24" s="21" t="n">
        <v>285.533</v>
      </c>
      <c r="AQ24" s="21" t="n">
        <v>177.875</v>
      </c>
      <c r="AR24" s="21" t="n">
        <v>142.088</v>
      </c>
      <c r="AS24" s="21" t="n">
        <v>199.856</v>
      </c>
      <c r="AT24" s="21" t="n">
        <v>297.368</v>
      </c>
      <c r="AU24" s="21" t="n">
        <v>203.283</v>
      </c>
      <c r="AV24" s="21" t="n">
        <v>216.479</v>
      </c>
      <c r="AW24" s="21" t="n">
        <v>140.69</v>
      </c>
      <c r="AX24" s="21" t="n">
        <v>204.119</v>
      </c>
      <c r="AY24" s="21" t="n">
        <v>143.14</v>
      </c>
      <c r="AZ24" s="21" t="n">
        <v>227.038</v>
      </c>
      <c r="BA24" s="21" t="n">
        <v>219.51</v>
      </c>
      <c r="BB24" s="21" t="n">
        <v>144.142</v>
      </c>
      <c r="BC24" s="21" t="n">
        <v>293.819</v>
      </c>
      <c r="BD24" s="21" t="n">
        <v>337.972</v>
      </c>
      <c r="BE24" s="21" t="n">
        <v>359.694</v>
      </c>
      <c r="BF24" s="21" t="n">
        <v>345.645</v>
      </c>
      <c r="BG24" s="21" t="n">
        <v>198.11</v>
      </c>
      <c r="BH24" s="21" t="n">
        <v>239.514</v>
      </c>
      <c r="BI24" s="21" t="n">
        <v>482.541</v>
      </c>
      <c r="BJ24" s="21" t="n">
        <v>122.619</v>
      </c>
      <c r="BK24" s="21" t="n">
        <v>313.966</v>
      </c>
      <c r="BL24" s="21" t="n">
        <v>340.326</v>
      </c>
      <c r="BM24" s="21" t="n">
        <v>281.249</v>
      </c>
      <c r="BN24" s="21" t="n">
        <v>327.633</v>
      </c>
      <c r="BO24" s="21" t="n">
        <v>318.056</v>
      </c>
      <c r="BP24" s="21" t="n">
        <v>158.109</v>
      </c>
      <c r="BQ24" s="21" t="n">
        <v>161.589</v>
      </c>
      <c r="BR24" s="21" t="n">
        <v>158.915</v>
      </c>
      <c r="BS24" s="21" t="n">
        <v>168.646</v>
      </c>
      <c r="BT24" s="21" t="n">
        <v>150.158</v>
      </c>
      <c r="BU24" s="21" t="n">
        <v>206.592</v>
      </c>
      <c r="BV24" s="21" t="n">
        <v>160.696</v>
      </c>
      <c r="BW24" s="21" t="n">
        <v>167.061</v>
      </c>
      <c r="BX24" s="21" t="n">
        <v>128.432</v>
      </c>
      <c r="BY24" s="21" t="n">
        <v>160.631</v>
      </c>
      <c r="BZ24" s="21" t="n">
        <v>117.235</v>
      </c>
      <c r="CA24" s="21" t="n">
        <v>118.24</v>
      </c>
      <c r="CB24" s="21" t="n">
        <v>198.789</v>
      </c>
      <c r="CC24" s="21" t="n">
        <v>206.262</v>
      </c>
      <c r="CD24" s="21" t="n">
        <v>129.004</v>
      </c>
      <c r="CE24" s="21" t="n">
        <v>208.408</v>
      </c>
      <c r="CF24" s="21" t="n">
        <v>213.867</v>
      </c>
      <c r="CG24" s="21" t="n">
        <v>187.776</v>
      </c>
      <c r="CH24" s="21" t="n">
        <v>144.658</v>
      </c>
      <c r="CI24" s="21" t="n">
        <v>154.433</v>
      </c>
      <c r="CJ24" s="21" t="n">
        <v>222.311</v>
      </c>
      <c r="CK24" s="21" t="n">
        <v>198.264</v>
      </c>
      <c r="CL24" s="21" t="n">
        <v>228.393</v>
      </c>
      <c r="CM24" s="21" t="n">
        <v>294.394</v>
      </c>
      <c r="CN24" s="21" t="n">
        <v>125.746</v>
      </c>
      <c r="CO24" s="21" t="n">
        <v>155.844</v>
      </c>
      <c r="CP24" s="21" t="n">
        <v>223.348</v>
      </c>
      <c r="CQ24" s="21" t="n">
        <v>244.294</v>
      </c>
      <c r="CR24" s="21" t="n">
        <v>168.93</v>
      </c>
      <c r="CS24" s="21" t="n">
        <v>250.225</v>
      </c>
      <c r="CT24" s="21" t="n">
        <v>236.856</v>
      </c>
      <c r="CU24" s="21" t="n">
        <v>149.478</v>
      </c>
      <c r="CV24" s="21" t="n">
        <v>131.313</v>
      </c>
      <c r="CW24" s="21" t="n">
        <v>136.619</v>
      </c>
      <c r="CX24" s="21" t="n">
        <v>276.25</v>
      </c>
      <c r="CY24" s="21" t="n">
        <v>131.38</v>
      </c>
      <c r="CZ24" s="21" t="n">
        <v>126.37</v>
      </c>
      <c r="DA24" s="21" t="n">
        <v>264.699</v>
      </c>
      <c r="DB24" s="21" t="n">
        <v>164.463</v>
      </c>
      <c r="DC24" s="21" t="n">
        <v>172.163</v>
      </c>
      <c r="DD24" s="21" t="n">
        <v>143.923</v>
      </c>
      <c r="DE24" s="21" t="n">
        <v>183.031</v>
      </c>
      <c r="DF24" s="21" t="n">
        <v>243.277</v>
      </c>
      <c r="DG24" s="21" t="n">
        <v>198.799</v>
      </c>
      <c r="DH24" s="21" t="n">
        <v>219.924</v>
      </c>
      <c r="DI24" s="21" t="n">
        <v>193.224</v>
      </c>
      <c r="DJ24" s="21" t="n">
        <v>207.127</v>
      </c>
      <c r="DK24" s="21" t="n">
        <v>187.455</v>
      </c>
      <c r="DL24" s="21" t="n">
        <v>166.892</v>
      </c>
      <c r="DM24" s="21" t="n">
        <v>339.566</v>
      </c>
      <c r="DN24" s="21" t="n">
        <v>184.051</v>
      </c>
      <c r="DO24" s="21" t="n">
        <v>246.985</v>
      </c>
      <c r="DP24" s="21" t="n">
        <v>292.227</v>
      </c>
      <c r="DQ24" s="21" t="n">
        <v>301.223</v>
      </c>
      <c r="DR24" s="21" t="n">
        <v>159.879</v>
      </c>
      <c r="DS24" s="21" t="n">
        <v>529.697</v>
      </c>
      <c r="DT24" s="21" t="n">
        <v>328.988</v>
      </c>
      <c r="DU24" s="21" t="n">
        <v>299.459</v>
      </c>
      <c r="DV24" s="21" t="n">
        <v>299.43</v>
      </c>
      <c r="DW24" s="21" t="n">
        <v>232.169</v>
      </c>
      <c r="DX24" s="21" t="n">
        <v>193.914</v>
      </c>
      <c r="DY24" s="21" t="n">
        <v>236.704</v>
      </c>
      <c r="DZ24" s="21" t="n">
        <v>221.808</v>
      </c>
      <c r="EA24" s="21" t="n">
        <v>297.571</v>
      </c>
      <c r="EB24" s="21" t="n">
        <v>198.706</v>
      </c>
      <c r="EC24" s="21" t="n">
        <v>208.136</v>
      </c>
      <c r="ED24" s="21" t="n">
        <v>167.549</v>
      </c>
      <c r="EE24" s="21" t="n">
        <v>224.493</v>
      </c>
      <c r="EF24" s="21" t="n">
        <v>520.865</v>
      </c>
      <c r="EG24" s="21" t="n">
        <v>443.343</v>
      </c>
      <c r="EH24" s="21" t="n">
        <v>121.289</v>
      </c>
      <c r="EI24" s="21" t="n">
        <v>59.208</v>
      </c>
      <c r="EJ24" s="21" t="n">
        <v>69.298</v>
      </c>
      <c r="EK24" s="21" t="n">
        <v>45.455</v>
      </c>
      <c r="EL24" s="21" t="n">
        <v>110.926</v>
      </c>
      <c r="EM24" s="21" t="n">
        <v>69.842</v>
      </c>
      <c r="EN24" s="21" t="n">
        <v>74.964</v>
      </c>
      <c r="EO24" s="21" t="n">
        <v>80.819</v>
      </c>
      <c r="EP24" s="21" t="n">
        <v>87.07299999999999</v>
      </c>
      <c r="EQ24" s="21" t="n">
        <v>64.575</v>
      </c>
      <c r="ER24" s="21" t="n">
        <v>55.619</v>
      </c>
      <c r="ES24" s="21" t="n">
        <v>127.768</v>
      </c>
      <c r="ET24" s="21" t="n">
        <v>88.11799999999999</v>
      </c>
      <c r="EU24" s="21" t="n">
        <v>90.00700000000001</v>
      </c>
      <c r="EV24" s="21" t="n">
        <v>97.857</v>
      </c>
      <c r="EW24" s="21" t="n">
        <v>86.129</v>
      </c>
      <c r="EX24" s="21" t="n">
        <v>185.185</v>
      </c>
      <c r="EY24" s="21" t="n">
        <v>119.09</v>
      </c>
      <c r="EZ24" s="21" t="n">
        <v>116.258</v>
      </c>
      <c r="FA24" s="21" t="n">
        <v>156.541</v>
      </c>
      <c r="FB24" s="21" t="n">
        <v>126.605</v>
      </c>
      <c r="FC24" s="21" t="n">
        <v>118.4</v>
      </c>
      <c r="FD24" s="21" t="n">
        <v>121.982</v>
      </c>
      <c r="FE24" s="21" t="n">
        <v>112.046</v>
      </c>
      <c r="FF24" s="21" t="n">
        <v>152</v>
      </c>
      <c r="FG24" s="21" t="n">
        <v>80.142</v>
      </c>
      <c r="FH24" s="21" t="n">
        <v>118.501</v>
      </c>
      <c r="FI24" s="21" t="n">
        <v>104.282</v>
      </c>
      <c r="FJ24" s="21" t="n">
        <v>112.467</v>
      </c>
      <c r="FK24" s="21" t="n">
        <v>115.865</v>
      </c>
      <c r="FL24" s="21" t="n">
        <v>106.854</v>
      </c>
      <c r="FM24" s="21" t="n">
        <v>121.781</v>
      </c>
      <c r="FN24" s="21" t="n">
        <v>83.045</v>
      </c>
      <c r="FO24" s="21" t="n">
        <v>107.459</v>
      </c>
      <c r="FP24" s="21" t="n">
        <v>96.498</v>
      </c>
      <c r="FQ24" s="21" t="n">
        <v>137.926</v>
      </c>
      <c r="FR24" s="21" t="n">
        <v>137.842</v>
      </c>
      <c r="FS24" s="21" t="n">
        <v>154.265</v>
      </c>
      <c r="FT24" s="21" t="n">
        <v>130.431</v>
      </c>
      <c r="FU24" s="21" t="n">
        <v>115.276</v>
      </c>
      <c r="FV24" s="21" t="n">
        <v>169.385</v>
      </c>
      <c r="FW24" s="21" t="n">
        <v>125.458</v>
      </c>
      <c r="FX24" s="21" t="n">
        <v>178.439</v>
      </c>
      <c r="FY24" s="21" t="n">
        <v>197.331</v>
      </c>
      <c r="FZ24" s="21" t="n">
        <v>192.321</v>
      </c>
      <c r="GA24" s="21" t="n">
        <v>99.39100000000001</v>
      </c>
      <c r="GB24" s="21" t="n">
        <v>147.737</v>
      </c>
      <c r="GC24" s="21" t="n">
        <v>102.404</v>
      </c>
      <c r="GD24" s="21" t="n">
        <v>143.889</v>
      </c>
      <c r="GE24" s="21" t="n">
        <v>156.98</v>
      </c>
      <c r="GF24" s="21" t="n"/>
      <c r="GG24" s="21" t="n">
        <v>139.975</v>
      </c>
      <c r="GH24" s="21" t="n">
        <v>83.17700000000001</v>
      </c>
      <c r="GI24" s="21" t="n">
        <v>129.344</v>
      </c>
      <c r="GJ24" s="21" t="n">
        <v>200.002</v>
      </c>
      <c r="GK24" s="21" t="n">
        <v>199.22</v>
      </c>
      <c r="GL24" s="21" t="n">
        <v>194.806</v>
      </c>
      <c r="GM24" s="21" t="n">
        <v>213.077</v>
      </c>
      <c r="GN24" s="21" t="n">
        <v>211.135</v>
      </c>
      <c r="GO24" s="21" t="n">
        <v>176.334</v>
      </c>
      <c r="GP24" s="21" t="n">
        <v>141.855</v>
      </c>
      <c r="GQ24" s="21" t="n">
        <v>123.542</v>
      </c>
      <c r="GR24" s="21" t="n">
        <v>277.348</v>
      </c>
      <c r="GS24" s="21" t="n">
        <v>173.092</v>
      </c>
      <c r="GT24" s="21" t="n">
        <v>501.868</v>
      </c>
      <c r="GU24" s="21" t="n">
        <v>200.411</v>
      </c>
      <c r="GV24" s="21" t="n">
        <v>224.594</v>
      </c>
      <c r="GW24" s="21" t="n">
        <v>260.827</v>
      </c>
      <c r="GX24" s="21" t="n">
        <v>272.902</v>
      </c>
      <c r="GY24" s="21" t="n">
        <v>160.373</v>
      </c>
      <c r="GZ24" s="21" t="n">
        <v>112.848</v>
      </c>
      <c r="HA24" s="21" t="n">
        <v>67.23</v>
      </c>
      <c r="HB24" s="21" t="n">
        <v>469.914</v>
      </c>
      <c r="HC24" s="21" t="n">
        <v>371.54</v>
      </c>
      <c r="HD24" s="21" t="n">
        <v>121.847</v>
      </c>
      <c r="HE24" s="21" t="n">
        <v>512.98</v>
      </c>
      <c r="HF24" s="21" t="n">
        <v>96.393</v>
      </c>
      <c r="HG24" s="21" t="n">
        <v>501.489</v>
      </c>
      <c r="HH24" s="21" t="n">
        <v>376.18</v>
      </c>
      <c r="HI24" s="21" t="n">
        <v>384.11</v>
      </c>
      <c r="HJ24" s="21" t="n">
        <v>469.2</v>
      </c>
      <c r="HK24" s="21" t="n">
        <v>186.797</v>
      </c>
      <c r="HL24" s="21" t="n">
        <v>233.076</v>
      </c>
      <c r="HM24" s="21" t="n">
        <v>73.374</v>
      </c>
      <c r="HN24" s="21" t="n">
        <v>308.063</v>
      </c>
      <c r="HO24" s="21" t="n">
        <v>304.659</v>
      </c>
      <c r="HP24" s="21" t="n">
        <v>682.888</v>
      </c>
      <c r="HQ24" s="21" t="n">
        <v>216.225</v>
      </c>
      <c r="HR24" s="21" t="n">
        <v>116.981</v>
      </c>
      <c r="HS24" s="21" t="n">
        <v>101.215</v>
      </c>
      <c r="HT24" s="21" t="n">
        <v>236.23</v>
      </c>
      <c r="HU24" s="21" t="n">
        <v>444.877</v>
      </c>
      <c r="HV24" s="21" t="n">
        <v>127.076</v>
      </c>
      <c r="HW24" s="21" t="n">
        <v>33.157</v>
      </c>
      <c r="HX24" s="21" t="n">
        <v>170.541</v>
      </c>
      <c r="HY24" s="21" t="n">
        <v>198.492</v>
      </c>
      <c r="HZ24" s="21" t="n">
        <v>151.859</v>
      </c>
      <c r="IA24" s="21" t="n">
        <v>114.161</v>
      </c>
      <c r="IB24" s="21" t="n">
        <v>236.784</v>
      </c>
      <c r="IC24" s="21" t="n">
        <v>186.065</v>
      </c>
      <c r="ID24" s="21" t="n">
        <v>247.959</v>
      </c>
      <c r="IE24" s="21" t="n">
        <v>111.999</v>
      </c>
      <c r="IF24" s="21" t="n">
        <v>147.067</v>
      </c>
      <c r="IG24" s="21" t="n">
        <v>82.077</v>
      </c>
      <c r="IH24" s="21" t="n">
        <v>76.163</v>
      </c>
      <c r="II24" s="21" t="n">
        <v>55.092</v>
      </c>
      <c r="IJ24" s="21" t="n">
        <v>22.553</v>
      </c>
      <c r="IK24" s="21" t="n">
        <v>42.746</v>
      </c>
      <c r="IL24" s="21" t="n">
        <v>39.582</v>
      </c>
      <c r="IM24" s="21" t="n">
        <v>48.129</v>
      </c>
      <c r="IN24" s="21" t="n">
        <v>95.262</v>
      </c>
      <c r="IO24" s="21" t="n">
        <v>102.13</v>
      </c>
      <c r="IP24" s="21" t="n">
        <v>160.198</v>
      </c>
      <c r="IQ24" s="21" t="n">
        <v>133.789</v>
      </c>
      <c r="IR24" s="21" t="n">
        <v>362.945</v>
      </c>
      <c r="IS24" s="21" t="n">
        <v>176.012</v>
      </c>
      <c r="IT24" s="21" t="n">
        <v>207.658</v>
      </c>
      <c r="IU24" s="21" t="n">
        <v>293.455</v>
      </c>
      <c r="IV24" s="21" t="n">
        <v>241.534</v>
      </c>
      <c r="IW24" s="21" t="n">
        <v>138.813</v>
      </c>
      <c r="IX24" s="21" t="n">
        <v>249.94</v>
      </c>
      <c r="IY24" s="21" t="n">
        <v>700.418</v>
      </c>
      <c r="IZ24" s="21" t="n">
        <v>714.182</v>
      </c>
      <c r="JA24" s="21" t="n">
        <v>812.207</v>
      </c>
      <c r="JB24" s="21" t="n">
        <v>74.96599999999999</v>
      </c>
      <c r="JC24" s="21" t="n">
        <v>286.386</v>
      </c>
      <c r="JD24" s="21" t="n">
        <v>239.395</v>
      </c>
      <c r="JE24" s="21" t="n">
        <v>78.265</v>
      </c>
      <c r="JF24" s="21" t="n">
        <v>176.386</v>
      </c>
      <c r="JG24" s="21" t="n">
        <v>277.909</v>
      </c>
      <c r="JH24" s="21" t="n">
        <v>276.54</v>
      </c>
      <c r="JI24" s="21" t="n">
        <v>74.428</v>
      </c>
      <c r="JJ24" s="21" t="n">
        <v>115.049</v>
      </c>
      <c r="JK24" s="21" t="n">
        <v>43.576</v>
      </c>
      <c r="JL24" s="21" t="n">
        <v>77.465</v>
      </c>
      <c r="JM24" s="21" t="n">
        <v>276.113</v>
      </c>
      <c r="JN24" s="21" t="n">
        <v>426.045</v>
      </c>
      <c r="JO24" s="21" t="n">
        <v>61.486</v>
      </c>
      <c r="JP24" s="21" t="n">
        <v>398.492</v>
      </c>
      <c r="JQ24" s="21" t="n">
        <v>225.548</v>
      </c>
      <c r="JR24" s="21" t="n">
        <v>162.264</v>
      </c>
      <c r="JS24" s="21" t="n">
        <v>416.587</v>
      </c>
      <c r="JT24" s="21" t="n">
        <v>339.966</v>
      </c>
      <c r="JU24" s="21" t="n">
        <v>321.767</v>
      </c>
      <c r="JV24" s="21" t="n">
        <v>161.467</v>
      </c>
      <c r="JW24" s="21" t="n">
        <v>336.201</v>
      </c>
      <c r="JX24" s="21" t="n">
        <v>229.485</v>
      </c>
      <c r="JY24" s="21" t="n">
        <v>79.84</v>
      </c>
      <c r="JZ24" s="21" t="n">
        <v>152.056</v>
      </c>
      <c r="KA24" s="21" t="n">
        <v>231.092</v>
      </c>
      <c r="KB24" s="21" t="n">
        <v>248.531</v>
      </c>
      <c r="KC24" s="21" t="n">
        <v>241.133</v>
      </c>
      <c r="KD24" s="21" t="n">
        <v>249.481</v>
      </c>
      <c r="KE24" s="21" t="n">
        <v>225.079</v>
      </c>
      <c r="KF24" s="21" t="n">
        <v>219.131</v>
      </c>
      <c r="KG24" s="21" t="n">
        <v>225.716</v>
      </c>
      <c r="KH24" s="21" t="n">
        <v>230.93</v>
      </c>
      <c r="KI24" s="21" t="n">
        <v>119.394</v>
      </c>
      <c r="KJ24" s="21" t="n">
        <v>179.833</v>
      </c>
      <c r="KK24" s="21" t="n">
        <v>149.473</v>
      </c>
      <c r="KL24" s="21" t="n">
        <v>146.236</v>
      </c>
      <c r="KM24" s="21" t="n">
        <v>144.881</v>
      </c>
      <c r="KN24" s="21" t="n">
        <v>146.108</v>
      </c>
      <c r="KO24" s="21" t="n">
        <v>244.878</v>
      </c>
      <c r="KP24" s="21" t="n">
        <v>106.337</v>
      </c>
      <c r="KQ24" s="21" t="n">
        <v>79.161</v>
      </c>
      <c r="KR24" s="21" t="n">
        <v>110.856</v>
      </c>
      <c r="KS24" s="21" t="n">
        <v>196.372</v>
      </c>
      <c r="KT24" s="21" t="n">
        <v>203.24</v>
      </c>
      <c r="KU24" s="21" t="n">
        <v>91.152</v>
      </c>
      <c r="KV24" s="21" t="n">
        <v>58.393</v>
      </c>
      <c r="KW24" s="21" t="n">
        <v>217.026</v>
      </c>
      <c r="KX24" s="21" t="n">
        <v>190.825</v>
      </c>
      <c r="KY24" s="21" t="n">
        <v>229.82</v>
      </c>
      <c r="KZ24" s="21" t="n">
        <v>187.541</v>
      </c>
      <c r="LA24" s="21" t="n">
        <v>229.674</v>
      </c>
      <c r="LB24" s="21" t="n">
        <v>109.32</v>
      </c>
      <c r="LC24" s="21" t="n">
        <v>347.057</v>
      </c>
      <c r="LD24" s="21" t="n">
        <v>84.496</v>
      </c>
      <c r="LE24" s="21" t="n">
        <v>115.974</v>
      </c>
      <c r="LF24" s="21" t="n">
        <v>304.464</v>
      </c>
      <c r="LG24" s="21" t="n">
        <v>303.279</v>
      </c>
      <c r="LH24" s="21" t="n">
        <v>313.848</v>
      </c>
      <c r="LI24" s="21" t="n">
        <v>288.343</v>
      </c>
      <c r="LJ24" s="21" t="n">
        <v>325.557</v>
      </c>
      <c r="LK24" s="21" t="n">
        <v>104.961</v>
      </c>
      <c r="LL24" s="21" t="n">
        <v>301.747</v>
      </c>
      <c r="LM24" s="21" t="n">
        <v>215.009</v>
      </c>
      <c r="LN24" s="21" t="n">
        <v>50.721</v>
      </c>
      <c r="LO24" s="21" t="n">
        <v>118.751</v>
      </c>
    </row>
    <row r="25">
      <c r="A25" s="22" t="n">
        <v>42705</v>
      </c>
      <c r="B25" s="21" t="n">
        <v>242.637</v>
      </c>
      <c r="C25" s="21" t="n">
        <v>247.53</v>
      </c>
      <c r="D25" s="21" t="n">
        <v>247.725</v>
      </c>
      <c r="E25" s="21" t="n">
        <v>237.147</v>
      </c>
      <c r="F25" s="21" t="n">
        <v>272.604</v>
      </c>
      <c r="G25" s="21" t="n">
        <v>229.94</v>
      </c>
      <c r="H25" s="21" t="n">
        <v>238.413</v>
      </c>
      <c r="I25" s="21" t="n">
        <v>227.769</v>
      </c>
      <c r="J25" s="21" t="n">
        <v>237.082</v>
      </c>
      <c r="K25" s="21" t="n">
        <v>295.821</v>
      </c>
      <c r="L25" s="21" t="n">
        <v>178.046</v>
      </c>
      <c r="M25" s="21" t="n">
        <v>175.984</v>
      </c>
      <c r="N25" s="21" t="n">
        <v>283.239</v>
      </c>
      <c r="O25" s="21" t="n">
        <v>269.367</v>
      </c>
      <c r="P25" s="21" t="n">
        <v>265.289</v>
      </c>
      <c r="Q25" s="21" t="n">
        <v>305.745</v>
      </c>
      <c r="R25" s="21" t="n">
        <v>263.174</v>
      </c>
      <c r="S25" s="21" t="n">
        <v>242.631</v>
      </c>
      <c r="T25" s="21" t="n">
        <v>246.377</v>
      </c>
      <c r="U25" s="21" t="n">
        <v>248.357</v>
      </c>
      <c r="V25" s="21" t="n">
        <v>294.845</v>
      </c>
      <c r="W25" s="21" t="n">
        <v>258.438</v>
      </c>
      <c r="X25" s="21" t="n">
        <v>213.412</v>
      </c>
      <c r="Y25" s="21" t="n">
        <v>201.221</v>
      </c>
      <c r="Z25" s="21" t="n">
        <v>206.13</v>
      </c>
      <c r="AA25" s="21" t="n">
        <v>151.931</v>
      </c>
      <c r="AB25" s="21" t="n">
        <v>279.177</v>
      </c>
      <c r="AC25" s="21" t="n">
        <v>140.002</v>
      </c>
      <c r="AD25" s="21" t="n">
        <v>197.783</v>
      </c>
      <c r="AE25" s="21" t="n">
        <v>219.712</v>
      </c>
      <c r="AF25" s="21" t="n">
        <v>181.695</v>
      </c>
      <c r="AG25" s="21" t="n">
        <v>128.181</v>
      </c>
      <c r="AH25" s="21" t="n">
        <v>225.581</v>
      </c>
      <c r="AI25" s="21" t="n">
        <v>223.95</v>
      </c>
      <c r="AJ25" s="21" t="n">
        <v>147.366</v>
      </c>
      <c r="AK25" s="21" t="n">
        <v>228.209</v>
      </c>
      <c r="AL25" s="21" t="n">
        <v>146.355</v>
      </c>
      <c r="AM25" s="21" t="n">
        <v>249.173</v>
      </c>
      <c r="AN25" s="21" t="n">
        <v>215.227</v>
      </c>
      <c r="AO25" s="21" t="n">
        <v>154.369</v>
      </c>
      <c r="AP25" s="21" t="n">
        <v>285.718</v>
      </c>
      <c r="AQ25" s="21" t="n">
        <v>177.335</v>
      </c>
      <c r="AR25" s="21" t="n">
        <v>142.883</v>
      </c>
      <c r="AS25" s="21" t="n">
        <v>200.131</v>
      </c>
      <c r="AT25" s="21" t="n">
        <v>300.707</v>
      </c>
      <c r="AU25" s="21" t="n">
        <v>193.73</v>
      </c>
      <c r="AV25" s="21" t="n">
        <v>217.1</v>
      </c>
      <c r="AW25" s="21" t="n">
        <v>141.434</v>
      </c>
      <c r="AX25" s="21" t="n">
        <v>204.467</v>
      </c>
      <c r="AY25" s="21" t="n">
        <v>144.313</v>
      </c>
      <c r="AZ25" s="21" t="n">
        <v>224.305</v>
      </c>
      <c r="BA25" s="21" t="n">
        <v>220.789</v>
      </c>
      <c r="BB25" s="21" t="n">
        <v>146.157</v>
      </c>
      <c r="BC25" s="21" t="n">
        <v>292.151</v>
      </c>
      <c r="BD25" s="21" t="n">
        <v>335.666</v>
      </c>
      <c r="BE25" s="21" t="n">
        <v>357.287</v>
      </c>
      <c r="BF25" s="21" t="n">
        <v>351.723</v>
      </c>
      <c r="BG25" s="21" t="n">
        <v>198.865</v>
      </c>
      <c r="BH25" s="21" t="n">
        <v>241.287</v>
      </c>
      <c r="BI25" s="21" t="n">
        <v>488.521</v>
      </c>
      <c r="BJ25" s="21" t="n">
        <v>118.474</v>
      </c>
      <c r="BK25" s="21" t="n">
        <v>311.773</v>
      </c>
      <c r="BL25" s="21" t="n">
        <v>343.309</v>
      </c>
      <c r="BM25" s="21" t="n">
        <v>283.702</v>
      </c>
      <c r="BN25" s="21" t="n">
        <v>311.878</v>
      </c>
      <c r="BO25" s="21" t="n">
        <v>318.652</v>
      </c>
      <c r="BP25" s="21" t="n">
        <v>157.853</v>
      </c>
      <c r="BQ25" s="21" t="n">
        <v>161.921</v>
      </c>
      <c r="BR25" s="21" t="n">
        <v>158.53</v>
      </c>
      <c r="BS25" s="21" t="n">
        <v>169.673</v>
      </c>
      <c r="BT25" s="21" t="n">
        <v>148.497</v>
      </c>
      <c r="BU25" s="21" t="n">
        <v>203.4</v>
      </c>
      <c r="BV25" s="21" t="n">
        <v>159.974</v>
      </c>
      <c r="BW25" s="21" t="n">
        <v>166.865</v>
      </c>
      <c r="BX25" s="21" t="n">
        <v>128.605</v>
      </c>
      <c r="BY25" s="21" t="n">
        <v>161.48</v>
      </c>
      <c r="BZ25" s="21" t="n">
        <v>117.262</v>
      </c>
      <c r="CA25" s="21" t="n">
        <v>117.513</v>
      </c>
      <c r="CB25" s="21" t="n">
        <v>196.176</v>
      </c>
      <c r="CC25" s="21" t="n">
        <v>205.287</v>
      </c>
      <c r="CD25" s="21" t="n">
        <v>129.127</v>
      </c>
      <c r="CE25" s="21" t="n">
        <v>209.109</v>
      </c>
      <c r="CF25" s="21" t="n">
        <v>213.943</v>
      </c>
      <c r="CG25" s="21" t="n">
        <v>185.993</v>
      </c>
      <c r="CH25" s="21" t="n">
        <v>145.06</v>
      </c>
      <c r="CI25" s="21" t="n">
        <v>156.497</v>
      </c>
      <c r="CJ25" s="21" t="n">
        <v>225.063</v>
      </c>
      <c r="CK25" s="21" t="n">
        <v>198.192</v>
      </c>
      <c r="CL25" s="21" t="n">
        <v>229.04</v>
      </c>
      <c r="CM25" s="21" t="n">
        <v>298.318</v>
      </c>
      <c r="CN25" s="21" t="n">
        <v>128.917</v>
      </c>
      <c r="CO25" s="21" t="n">
        <v>157.759</v>
      </c>
      <c r="CP25" s="21" t="n">
        <v>223.915</v>
      </c>
      <c r="CQ25" s="21" t="n">
        <v>247.488</v>
      </c>
      <c r="CR25" s="21" t="n">
        <v>169.034</v>
      </c>
      <c r="CS25" s="21" t="n">
        <v>249.405</v>
      </c>
      <c r="CT25" s="21" t="n">
        <v>237.481</v>
      </c>
      <c r="CU25" s="21" t="n">
        <v>152.09</v>
      </c>
      <c r="CV25" s="21" t="n">
        <v>130.974</v>
      </c>
      <c r="CW25" s="21" t="n">
        <v>136.329</v>
      </c>
      <c r="CX25" s="21" t="n">
        <v>271.721</v>
      </c>
      <c r="CY25" s="21" t="n">
        <v>131.409</v>
      </c>
      <c r="CZ25" s="21" t="n">
        <v>126.371</v>
      </c>
      <c r="DA25" s="21" t="n">
        <v>265.104</v>
      </c>
      <c r="DB25" s="21" t="n">
        <v>164.876</v>
      </c>
      <c r="DC25" s="21" t="n">
        <v>172.372</v>
      </c>
      <c r="DD25" s="21" t="n">
        <v>143.948</v>
      </c>
      <c r="DE25" s="21" t="n">
        <v>182.786</v>
      </c>
      <c r="DF25" s="21" t="n">
        <v>243.586</v>
      </c>
      <c r="DG25" s="21" t="n">
        <v>199.18</v>
      </c>
      <c r="DH25" s="21" t="n">
        <v>220.752</v>
      </c>
      <c r="DI25" s="21" t="n">
        <v>192.289</v>
      </c>
      <c r="DJ25" s="21" t="n">
        <v>205.969</v>
      </c>
      <c r="DK25" s="21" t="n">
        <v>187.232</v>
      </c>
      <c r="DL25" s="21" t="n">
        <v>167.229</v>
      </c>
      <c r="DM25" s="21" t="n">
        <v>340.158</v>
      </c>
      <c r="DN25" s="21" t="n">
        <v>184.029</v>
      </c>
      <c r="DO25" s="21" t="n">
        <v>247.543</v>
      </c>
      <c r="DP25" s="21" t="n">
        <v>293.066</v>
      </c>
      <c r="DQ25" s="21" t="n">
        <v>302.271</v>
      </c>
      <c r="DR25" s="21" t="n">
        <v>160.245</v>
      </c>
      <c r="DS25" s="21" t="n">
        <v>530.9109999999999</v>
      </c>
      <c r="DT25" s="21" t="n">
        <v>329.741</v>
      </c>
      <c r="DU25" s="21" t="n">
        <v>300.275</v>
      </c>
      <c r="DV25" s="21" t="n">
        <v>300.253</v>
      </c>
      <c r="DW25" s="21" t="n">
        <v>232.253</v>
      </c>
      <c r="DX25" s="21" t="n">
        <v>193.869</v>
      </c>
      <c r="DY25" s="21" t="n">
        <v>243.498</v>
      </c>
      <c r="DZ25" s="21" t="n">
        <v>235.127</v>
      </c>
      <c r="EA25" s="21" t="n">
        <v>303.733</v>
      </c>
      <c r="EB25" s="21" t="n">
        <v>198.373</v>
      </c>
      <c r="EC25" s="21" t="n">
        <v>208.253</v>
      </c>
      <c r="ED25" s="21" t="n">
        <v>165.921</v>
      </c>
      <c r="EE25" s="21" t="n">
        <v>225.013</v>
      </c>
      <c r="EF25" s="21" t="n">
        <v>521.931</v>
      </c>
      <c r="EG25" s="21" t="n">
        <v>444.745</v>
      </c>
      <c r="EH25" s="21" t="n">
        <v>121.236</v>
      </c>
      <c r="EI25" s="21" t="n">
        <v>57.921</v>
      </c>
      <c r="EJ25" s="21" t="n">
        <v>69.866</v>
      </c>
      <c r="EK25" s="21" t="n">
        <v>43.542</v>
      </c>
      <c r="EL25" s="21" t="n">
        <v>110.833</v>
      </c>
      <c r="EM25" s="21" t="n">
        <v>69.85599999999999</v>
      </c>
      <c r="EN25" s="21" t="n">
        <v>74.709</v>
      </c>
      <c r="EO25" s="21" t="n">
        <v>81.155</v>
      </c>
      <c r="EP25" s="21" t="n">
        <v>90.91500000000001</v>
      </c>
      <c r="EQ25" s="21" t="n">
        <v>63.556</v>
      </c>
      <c r="ER25" s="21" t="n">
        <v>55.495</v>
      </c>
      <c r="ES25" s="21" t="n">
        <v>128.499</v>
      </c>
      <c r="ET25" s="21" t="n">
        <v>86.83799999999999</v>
      </c>
      <c r="EU25" s="21" t="n">
        <v>90.283</v>
      </c>
      <c r="EV25" s="21" t="n">
        <v>97.268</v>
      </c>
      <c r="EW25" s="21" t="n">
        <v>86.60599999999999</v>
      </c>
      <c r="EX25" s="21" t="n">
        <v>185.473</v>
      </c>
      <c r="EY25" s="21" t="n">
        <v>119.587</v>
      </c>
      <c r="EZ25" s="21" t="n">
        <v>115.799</v>
      </c>
      <c r="FA25" s="21" t="n">
        <v>158.532</v>
      </c>
      <c r="FB25" s="21" t="n">
        <v>126.185</v>
      </c>
      <c r="FC25" s="21" t="n">
        <v>118.108</v>
      </c>
      <c r="FD25" s="21" t="n">
        <v>121.688</v>
      </c>
      <c r="FE25" s="21" t="n">
        <v>108.816</v>
      </c>
      <c r="FF25" s="21" t="n">
        <v>146.869</v>
      </c>
      <c r="FG25" s="21" t="n">
        <v>80.624</v>
      </c>
      <c r="FH25" s="21" t="n">
        <v>118.809</v>
      </c>
      <c r="FI25" s="21" t="n">
        <v>102.09</v>
      </c>
      <c r="FJ25" s="21" t="n">
        <v>111.412</v>
      </c>
      <c r="FK25" s="21" t="n">
        <v>114.816</v>
      </c>
      <c r="FL25" s="21" t="n">
        <v>107.469</v>
      </c>
      <c r="FM25" s="21" t="n">
        <v>122.189</v>
      </c>
      <c r="FN25" s="21" t="n">
        <v>81.514</v>
      </c>
      <c r="FO25" s="21" t="n">
        <v>107.018</v>
      </c>
      <c r="FP25" s="21" t="n">
        <v>95.429</v>
      </c>
      <c r="FQ25" s="21" t="n">
        <v>138.4</v>
      </c>
      <c r="FR25" s="21" t="n">
        <v>136.722</v>
      </c>
      <c r="FS25" s="21" t="n">
        <v>152.922</v>
      </c>
      <c r="FT25" s="21" t="n">
        <v>130.948</v>
      </c>
      <c r="FU25" s="21" t="n">
        <v>115.483</v>
      </c>
      <c r="FV25" s="21" t="n">
        <v>170.051</v>
      </c>
      <c r="FW25" s="21" t="n">
        <v>123.631</v>
      </c>
      <c r="FX25" s="21" t="n">
        <v>178.097</v>
      </c>
      <c r="FY25" s="21" t="n">
        <v>199.146</v>
      </c>
      <c r="FZ25" s="21" t="n">
        <v>194.043</v>
      </c>
      <c r="GA25" s="21" t="n">
        <v>99.249</v>
      </c>
      <c r="GB25" s="21" t="n">
        <v>147.686</v>
      </c>
      <c r="GC25" s="21" t="n">
        <v>102.367</v>
      </c>
      <c r="GD25" s="21" t="n">
        <v>143.732</v>
      </c>
      <c r="GE25" s="21" t="n">
        <v>156.881</v>
      </c>
      <c r="GF25" s="21" t="n"/>
      <c r="GG25" s="21" t="n">
        <v>139.457</v>
      </c>
      <c r="GH25" s="21" t="n">
        <v>83.252</v>
      </c>
      <c r="GI25" s="21" t="n">
        <v>128.099</v>
      </c>
      <c r="GJ25" s="21" t="n">
        <v>206.968</v>
      </c>
      <c r="GK25" s="21" t="n">
        <v>206.244</v>
      </c>
      <c r="GL25" s="21" t="n">
        <v>201.936</v>
      </c>
      <c r="GM25" s="21" t="n">
        <v>222.044</v>
      </c>
      <c r="GN25" s="21" t="n">
        <v>215.99</v>
      </c>
      <c r="GO25" s="21" t="n">
        <v>178.797</v>
      </c>
      <c r="GP25" s="21" t="n">
        <v>142.735</v>
      </c>
      <c r="GQ25" s="21" t="n">
        <v>123.967</v>
      </c>
      <c r="GR25" s="21" t="n">
        <v>278.002</v>
      </c>
      <c r="GS25" s="21" t="n">
        <v>173.59</v>
      </c>
      <c r="GT25" s="21" t="n">
        <v>505.351</v>
      </c>
      <c r="GU25" s="21" t="n">
        <v>200.376</v>
      </c>
      <c r="GV25" s="21" t="n">
        <v>225.111</v>
      </c>
      <c r="GW25" s="21" t="n">
        <v>264.044</v>
      </c>
      <c r="GX25" s="21" t="n">
        <v>277.919</v>
      </c>
      <c r="GY25" s="21" t="n">
        <v>160.258</v>
      </c>
      <c r="GZ25" s="21" t="n">
        <v>120.206</v>
      </c>
      <c r="HA25" s="21" t="n">
        <v>66.64</v>
      </c>
      <c r="HB25" s="21" t="n">
        <v>470.539</v>
      </c>
      <c r="HC25" s="21" t="n">
        <v>371.561</v>
      </c>
      <c r="HD25" s="21" t="n">
        <v>122.11</v>
      </c>
      <c r="HE25" s="21" t="n">
        <v>513.8920000000001</v>
      </c>
      <c r="HF25" s="21" t="n">
        <v>96.489</v>
      </c>
      <c r="HG25" s="21" t="n">
        <v>502.333</v>
      </c>
      <c r="HH25" s="21" t="n">
        <v>376.696</v>
      </c>
      <c r="HI25" s="21" t="n">
        <v>384.519</v>
      </c>
      <c r="HJ25" s="21" t="n">
        <v>470.252</v>
      </c>
      <c r="HK25" s="21" t="n">
        <v>186.833</v>
      </c>
      <c r="HL25" s="21" t="n">
        <v>233.259</v>
      </c>
      <c r="HM25" s="21" t="n">
        <v>73.614</v>
      </c>
      <c r="HN25" s="21" t="n">
        <v>309.15</v>
      </c>
      <c r="HO25" s="21" t="n">
        <v>305.606</v>
      </c>
      <c r="HP25" s="21" t="n">
        <v>685.004</v>
      </c>
      <c r="HQ25" s="21" t="n">
        <v>216.736</v>
      </c>
      <c r="HR25" s="21" t="n">
        <v>116.955</v>
      </c>
      <c r="HS25" s="21" t="n">
        <v>101.464</v>
      </c>
      <c r="HT25" s="21" t="n">
        <v>230</v>
      </c>
      <c r="HU25" s="21" t="n">
        <v>447.144</v>
      </c>
      <c r="HV25" s="21" t="n">
        <v>127.089</v>
      </c>
      <c r="HW25" s="21" t="n">
        <v>33.137</v>
      </c>
      <c r="HX25" s="21" t="n">
        <v>170.012</v>
      </c>
      <c r="HY25" s="21" t="n">
        <v>198.403</v>
      </c>
      <c r="HZ25" s="21" t="n">
        <v>151.947</v>
      </c>
      <c r="IA25" s="21" t="n">
        <v>113.832</v>
      </c>
      <c r="IB25" s="21" t="n">
        <v>235.061</v>
      </c>
      <c r="IC25" s="21" t="n">
        <v>185.895</v>
      </c>
      <c r="ID25" s="21" t="n">
        <v>246.253</v>
      </c>
      <c r="IE25" s="21" t="n">
        <v>111.806</v>
      </c>
      <c r="IF25" s="21" t="n">
        <v>147.732</v>
      </c>
      <c r="IG25" s="21" t="n">
        <v>81.33499999999999</v>
      </c>
      <c r="IH25" s="21" t="n">
        <v>76.503</v>
      </c>
      <c r="II25" s="21" t="n">
        <v>56.044</v>
      </c>
      <c r="IJ25" s="21" t="n">
        <v>22.955</v>
      </c>
      <c r="IK25" s="21" t="n">
        <v>42.379</v>
      </c>
      <c r="IL25" s="21" t="n">
        <v>39.209</v>
      </c>
      <c r="IM25" s="21" t="n">
        <v>47.815</v>
      </c>
      <c r="IN25" s="21" t="n">
        <v>96.71299999999999</v>
      </c>
      <c r="IO25" s="21" t="n">
        <v>100.43</v>
      </c>
      <c r="IP25" s="21" t="n">
        <v>160.069</v>
      </c>
      <c r="IQ25" s="21" t="n">
        <v>133.083</v>
      </c>
      <c r="IR25" s="21" t="n">
        <v>364.303</v>
      </c>
      <c r="IS25" s="21" t="n">
        <v>176.238</v>
      </c>
      <c r="IT25" s="21" t="n">
        <v>210.057</v>
      </c>
      <c r="IU25" s="21" t="n">
        <v>294.285</v>
      </c>
      <c r="IV25" s="21" t="n">
        <v>244.969</v>
      </c>
      <c r="IW25" s="21" t="n">
        <v>138.944</v>
      </c>
      <c r="IX25" s="21" t="n">
        <v>250.769</v>
      </c>
      <c r="IY25" s="21" t="n">
        <v>700.386</v>
      </c>
      <c r="IZ25" s="21" t="n">
        <v>716.684</v>
      </c>
      <c r="JA25" s="21" t="n">
        <v>815.705</v>
      </c>
      <c r="JB25" s="21" t="n">
        <v>75.209</v>
      </c>
      <c r="JC25" s="21" t="n">
        <v>287.411</v>
      </c>
      <c r="JD25" s="21" t="n">
        <v>239.511</v>
      </c>
      <c r="JE25" s="21" t="n">
        <v>78.182</v>
      </c>
      <c r="JF25" s="21" t="n">
        <v>176.778</v>
      </c>
      <c r="JG25" s="21" t="n">
        <v>278.371</v>
      </c>
      <c r="JH25" s="21" t="n">
        <v>280.073</v>
      </c>
      <c r="JI25" s="21" t="n">
        <v>74.34</v>
      </c>
      <c r="JJ25" s="21" t="n">
        <v>114.547</v>
      </c>
      <c r="JK25" s="21" t="n">
        <v>43.377</v>
      </c>
      <c r="JL25" s="21" t="n">
        <v>77.11199999999999</v>
      </c>
      <c r="JM25" s="21" t="n">
        <v>276.64</v>
      </c>
      <c r="JN25" s="21" t="n">
        <v>427.159</v>
      </c>
      <c r="JO25" s="21" t="n">
        <v>62.001</v>
      </c>
      <c r="JP25" s="21" t="n">
        <v>401.738</v>
      </c>
      <c r="JQ25" s="21" t="n">
        <v>225.796</v>
      </c>
      <c r="JR25" s="21" t="n">
        <v>162.566</v>
      </c>
      <c r="JS25" s="21" t="n">
        <v>417.622</v>
      </c>
      <c r="JT25" s="21" t="n">
        <v>341.357</v>
      </c>
      <c r="JU25" s="21" t="n">
        <v>321.925</v>
      </c>
      <c r="JV25" s="21" t="n">
        <v>162.291</v>
      </c>
      <c r="JW25" s="21" t="n">
        <v>336.802</v>
      </c>
      <c r="JX25" s="21" t="n">
        <v>229.305</v>
      </c>
      <c r="JY25" s="21" t="n">
        <v>79.21899999999999</v>
      </c>
      <c r="JZ25" s="21" t="n">
        <v>152.915</v>
      </c>
      <c r="KA25" s="21" t="n">
        <v>231.701</v>
      </c>
      <c r="KB25" s="21" t="n">
        <v>248.901</v>
      </c>
      <c r="KC25" s="21" t="n">
        <v>241.84</v>
      </c>
      <c r="KD25" s="21" t="n">
        <v>249.92</v>
      </c>
      <c r="KE25" s="21" t="n">
        <v>225.608</v>
      </c>
      <c r="KF25" s="21" t="n">
        <v>219.783</v>
      </c>
      <c r="KG25" s="21" t="n">
        <v>225.928</v>
      </c>
      <c r="KH25" s="21" t="n">
        <v>231.197</v>
      </c>
      <c r="KI25" s="21" t="n">
        <v>118.767</v>
      </c>
      <c r="KJ25" s="21" t="n">
        <v>180.321</v>
      </c>
      <c r="KK25" s="21" t="n">
        <v>150.13</v>
      </c>
      <c r="KL25" s="21" t="n">
        <v>146.898</v>
      </c>
      <c r="KM25" s="21" t="n">
        <v>144.726</v>
      </c>
      <c r="KN25" s="21" t="n">
        <v>145.998</v>
      </c>
      <c r="KO25" s="21" t="n">
        <v>244.411</v>
      </c>
      <c r="KP25" s="21" t="n">
        <v>106.207</v>
      </c>
      <c r="KQ25" s="21" t="n">
        <v>78.92400000000001</v>
      </c>
      <c r="KR25" s="21" t="n">
        <v>111.003</v>
      </c>
      <c r="KS25" s="21" t="n">
        <v>199.513</v>
      </c>
      <c r="KT25" s="21" t="n">
        <v>210.254</v>
      </c>
      <c r="KU25" s="21" t="n">
        <v>90.99299999999999</v>
      </c>
      <c r="KV25" s="21" t="n">
        <v>58.154</v>
      </c>
      <c r="KW25" s="21" t="n">
        <v>218.3</v>
      </c>
      <c r="KX25" s="21" t="n">
        <v>193.125</v>
      </c>
      <c r="KY25" s="21" t="n">
        <v>233.683</v>
      </c>
      <c r="KZ25" s="21" t="n">
        <v>189.962</v>
      </c>
      <c r="LA25" s="21" t="n">
        <v>233.905</v>
      </c>
      <c r="LB25" s="21" t="n">
        <v>109.699</v>
      </c>
      <c r="LC25" s="21" t="n">
        <v>347.472</v>
      </c>
      <c r="LD25" s="21" t="n">
        <v>84.30200000000001</v>
      </c>
      <c r="LE25" s="21" t="n">
        <v>116.059</v>
      </c>
      <c r="LF25" s="21" t="n">
        <v>305.333</v>
      </c>
      <c r="LG25" s="21" t="n">
        <v>304.027</v>
      </c>
      <c r="LH25" s="21" t="n">
        <v>314.701</v>
      </c>
      <c r="LI25" s="21" t="n">
        <v>289.016</v>
      </c>
      <c r="LJ25" s="21" t="n">
        <v>326.101</v>
      </c>
      <c r="LK25" s="21" t="n">
        <v>104.853</v>
      </c>
      <c r="LL25" s="21" t="n">
        <v>303.421</v>
      </c>
      <c r="LM25" s="21" t="n">
        <v>215.616</v>
      </c>
      <c r="LN25" s="21" t="n">
        <v>50.079</v>
      </c>
      <c r="LO25" s="21" t="n">
        <v>119.28</v>
      </c>
    </row>
    <row r="26">
      <c r="A26" s="22" t="n">
        <v>42736</v>
      </c>
      <c r="B26" s="21" t="n">
        <v>243.618</v>
      </c>
      <c r="C26" s="21" t="n">
        <v>247.9</v>
      </c>
      <c r="D26" s="21" t="n">
        <v>248.065</v>
      </c>
      <c r="E26" s="21" t="n">
        <v>237.072</v>
      </c>
      <c r="F26" s="21" t="n">
        <v>272.686</v>
      </c>
      <c r="G26" s="21" t="n">
        <v>229.599</v>
      </c>
      <c r="H26" s="21" t="n">
        <v>237.61</v>
      </c>
      <c r="I26" s="21" t="n">
        <v>225.002</v>
      </c>
      <c r="J26" s="21" t="n">
        <v>237.867</v>
      </c>
      <c r="K26" s="21" t="n">
        <v>297.767</v>
      </c>
      <c r="L26" s="21" t="n">
        <v>177.995</v>
      </c>
      <c r="M26" s="21" t="n">
        <v>174.686</v>
      </c>
      <c r="N26" s="21" t="n">
        <v>285.509</v>
      </c>
      <c r="O26" s="21" t="n">
        <v>272.735</v>
      </c>
      <c r="P26" s="21" t="n">
        <v>265.567</v>
      </c>
      <c r="Q26" s="21" t="n">
        <v>306.333</v>
      </c>
      <c r="R26" s="21" t="n">
        <v>269.747</v>
      </c>
      <c r="S26" s="21" t="n">
        <v>244.075</v>
      </c>
      <c r="T26" s="21" t="n">
        <v>245.934</v>
      </c>
      <c r="U26" s="21" t="n">
        <v>247.466</v>
      </c>
      <c r="V26" s="21" t="n">
        <v>294.679</v>
      </c>
      <c r="W26" s="21" t="n">
        <v>259.37</v>
      </c>
      <c r="X26" s="21" t="n">
        <v>211.022</v>
      </c>
      <c r="Y26" s="21" t="n">
        <v>200.992</v>
      </c>
      <c r="Z26" s="21" t="n">
        <v>205.479</v>
      </c>
      <c r="AA26" s="21" t="n">
        <v>153.527</v>
      </c>
      <c r="AB26" s="21" t="n">
        <v>281.809</v>
      </c>
      <c r="AC26" s="21" t="n">
        <v>141.314</v>
      </c>
      <c r="AD26" s="21" t="n">
        <v>197.798</v>
      </c>
      <c r="AE26" s="21" t="n">
        <v>219.548</v>
      </c>
      <c r="AF26" s="21" t="n">
        <v>177.097</v>
      </c>
      <c r="AG26" s="21" t="n">
        <v>124.604</v>
      </c>
      <c r="AH26" s="21" t="n">
        <v>223.405</v>
      </c>
      <c r="AI26" s="21" t="n">
        <v>227.653</v>
      </c>
      <c r="AJ26" s="21" t="n">
        <v>144.236</v>
      </c>
      <c r="AK26" s="21" t="n">
        <v>228.707</v>
      </c>
      <c r="AL26" s="21" t="n">
        <v>146.008</v>
      </c>
      <c r="AM26" s="21" t="n">
        <v>241.115</v>
      </c>
      <c r="AN26" s="21" t="n">
        <v>218.308</v>
      </c>
      <c r="AO26" s="21" t="n">
        <v>155.115</v>
      </c>
      <c r="AP26" s="21" t="n">
        <v>285.76</v>
      </c>
      <c r="AQ26" s="21" t="n">
        <v>178.271</v>
      </c>
      <c r="AR26" s="21" t="n">
        <v>142.028</v>
      </c>
      <c r="AS26" s="21" t="n">
        <v>199.149</v>
      </c>
      <c r="AT26" s="21" t="n">
        <v>299.535</v>
      </c>
      <c r="AU26" s="21" t="n">
        <v>220.813</v>
      </c>
      <c r="AV26" s="21" t="n">
        <v>218.351</v>
      </c>
      <c r="AW26" s="21" t="n">
        <v>142.014</v>
      </c>
      <c r="AX26" s="21" t="n">
        <v>205.598</v>
      </c>
      <c r="AY26" s="21" t="n">
        <v>144.866</v>
      </c>
      <c r="AZ26" s="21" t="n">
        <v>228.153</v>
      </c>
      <c r="BA26" s="21" t="n">
        <v>220.492</v>
      </c>
      <c r="BB26" s="21" t="n">
        <v>148.443</v>
      </c>
      <c r="BC26" s="21" t="n">
        <v>287.914</v>
      </c>
      <c r="BD26" s="21" t="n">
        <v>330.121</v>
      </c>
      <c r="BE26" s="21" t="n">
        <v>353.34</v>
      </c>
      <c r="BF26" s="21" t="n">
        <v>338.638</v>
      </c>
      <c r="BG26" s="21" t="n">
        <v>198.357</v>
      </c>
      <c r="BH26" s="21" t="n">
        <v>246.801</v>
      </c>
      <c r="BI26" s="21" t="n">
        <v>501.849</v>
      </c>
      <c r="BJ26" s="21" t="n">
        <v>114.519</v>
      </c>
      <c r="BK26" s="21" t="n">
        <v>304.582</v>
      </c>
      <c r="BL26" s="21" t="n">
        <v>335.258</v>
      </c>
      <c r="BM26" s="21" t="n">
        <v>273.082</v>
      </c>
      <c r="BN26" s="21" t="n">
        <v>299.6</v>
      </c>
      <c r="BO26" s="21" t="n">
        <v>312.9</v>
      </c>
      <c r="BP26" s="21" t="n">
        <v>156.682</v>
      </c>
      <c r="BQ26" s="21" t="n">
        <v>160.352</v>
      </c>
      <c r="BR26" s="21" t="n">
        <v>157.498</v>
      </c>
      <c r="BS26" s="21" t="n">
        <v>167.47</v>
      </c>
      <c r="BT26" s="21" t="n">
        <v>148.694</v>
      </c>
      <c r="BU26" s="21" t="n">
        <v>202.841</v>
      </c>
      <c r="BV26" s="21" t="n">
        <v>159.882</v>
      </c>
      <c r="BW26" s="21" t="n">
        <v>166.16</v>
      </c>
      <c r="BX26" s="21" t="n">
        <v>127.731</v>
      </c>
      <c r="BY26" s="21" t="n">
        <v>160.192</v>
      </c>
      <c r="BZ26" s="21" t="n">
        <v>116.666</v>
      </c>
      <c r="CA26" s="21" t="n">
        <v>117.654</v>
      </c>
      <c r="CB26" s="21" t="n">
        <v>197.897</v>
      </c>
      <c r="CC26" s="21" t="n">
        <v>206.353</v>
      </c>
      <c r="CD26" s="21" t="n">
        <v>128.863</v>
      </c>
      <c r="CE26" s="21" t="n">
        <v>209.691</v>
      </c>
      <c r="CF26" s="21" t="n">
        <v>214.976</v>
      </c>
      <c r="CG26" s="21" t="n">
        <v>186.821</v>
      </c>
      <c r="CH26" s="21" t="n">
        <v>144.758</v>
      </c>
      <c r="CI26" s="21" t="n">
        <v>152.38</v>
      </c>
      <c r="CJ26" s="21" t="n">
        <v>224.418</v>
      </c>
      <c r="CK26" s="21" t="n">
        <v>200.723</v>
      </c>
      <c r="CL26" s="21" t="n">
        <v>233.609</v>
      </c>
      <c r="CM26" s="21" t="n">
        <v>298.282</v>
      </c>
      <c r="CN26" s="21" t="n">
        <v>128.766</v>
      </c>
      <c r="CO26" s="21" t="n">
        <v>155.514</v>
      </c>
      <c r="CP26" s="21" t="n">
        <v>224.649</v>
      </c>
      <c r="CQ26" s="21" t="n">
        <v>247.297</v>
      </c>
      <c r="CR26" s="21" t="n">
        <v>168.074</v>
      </c>
      <c r="CS26" s="21" t="n">
        <v>250.968</v>
      </c>
      <c r="CT26" s="21" t="n">
        <v>239.991</v>
      </c>
      <c r="CU26" s="21" t="n">
        <v>151.294</v>
      </c>
      <c r="CV26" s="21" t="n">
        <v>137.629</v>
      </c>
      <c r="CW26" s="21" t="n">
        <v>136.72</v>
      </c>
      <c r="CX26" s="21" t="n">
        <v>275.221</v>
      </c>
      <c r="CY26" s="21" t="n">
        <v>131.94</v>
      </c>
      <c r="CZ26" s="21" t="n">
        <v>126.566</v>
      </c>
      <c r="DA26" s="21" t="n">
        <v>266.079</v>
      </c>
      <c r="DB26" s="21" t="n">
        <v>165.361</v>
      </c>
      <c r="DC26" s="21" t="n">
        <v>173.004</v>
      </c>
      <c r="DD26" s="21" t="n">
        <v>143.907</v>
      </c>
      <c r="DE26" s="21" t="n">
        <v>182.97</v>
      </c>
      <c r="DF26" s="21" t="n">
        <v>244.382</v>
      </c>
      <c r="DG26" s="21" t="n">
        <v>200.164</v>
      </c>
      <c r="DH26" s="21" t="n">
        <v>221.877</v>
      </c>
      <c r="DI26" s="21" t="n">
        <v>193.099</v>
      </c>
      <c r="DJ26" s="21" t="n">
        <v>208.784</v>
      </c>
      <c r="DK26" s="21" t="n">
        <v>186.991</v>
      </c>
      <c r="DL26" s="21" t="n">
        <v>168.111</v>
      </c>
      <c r="DM26" s="21" t="n">
        <v>340.366</v>
      </c>
      <c r="DN26" s="21" t="n">
        <v>183.781</v>
      </c>
      <c r="DO26" s="21" t="n">
        <v>248.164</v>
      </c>
      <c r="DP26" s="21" t="n">
        <v>293.769</v>
      </c>
      <c r="DQ26" s="21" t="n">
        <v>303.156</v>
      </c>
      <c r="DR26" s="21" t="n">
        <v>160.225</v>
      </c>
      <c r="DS26" s="21" t="n">
        <v>532.179</v>
      </c>
      <c r="DT26" s="21" t="n">
        <v>329.576</v>
      </c>
      <c r="DU26" s="21" t="n">
        <v>300.984</v>
      </c>
      <c r="DV26" s="21" t="n">
        <v>300.965</v>
      </c>
      <c r="DW26" s="21" t="n">
        <v>233.434</v>
      </c>
      <c r="DX26" s="21" t="n">
        <v>194.835</v>
      </c>
      <c r="DY26" s="21" t="n">
        <v>250.636</v>
      </c>
      <c r="DZ26" s="21" t="n">
        <v>243.347</v>
      </c>
      <c r="EA26" s="21" t="n">
        <v>311.154</v>
      </c>
      <c r="EB26" s="21" t="n">
        <v>199.114</v>
      </c>
      <c r="EC26" s="21" t="n">
        <v>208.295</v>
      </c>
      <c r="ED26" s="21" t="n">
        <v>168.669</v>
      </c>
      <c r="EE26" s="21" t="n">
        <v>226.235</v>
      </c>
      <c r="EF26" s="21" t="n">
        <v>525.103</v>
      </c>
      <c r="EG26" s="21" t="n">
        <v>446.266</v>
      </c>
      <c r="EH26" s="21" t="n">
        <v>121.261</v>
      </c>
      <c r="EI26" s="21" t="n">
        <v>59.022</v>
      </c>
      <c r="EJ26" s="21" t="n">
        <v>70.072</v>
      </c>
      <c r="EK26" s="21" t="n">
        <v>45.103</v>
      </c>
      <c r="EL26" s="21" t="n">
        <v>111.802</v>
      </c>
      <c r="EM26" s="21" t="n">
        <v>69.949</v>
      </c>
      <c r="EN26" s="21" t="n">
        <v>74.875</v>
      </c>
      <c r="EO26" s="21" t="n">
        <v>81.378</v>
      </c>
      <c r="EP26" s="21" t="n">
        <v>94.13800000000001</v>
      </c>
      <c r="EQ26" s="21" t="n">
        <v>64.486</v>
      </c>
      <c r="ER26" s="21" t="n">
        <v>56.544</v>
      </c>
      <c r="ES26" s="21" t="n">
        <v>129.826</v>
      </c>
      <c r="ET26" s="21" t="n">
        <v>87.994</v>
      </c>
      <c r="EU26" s="21" t="n">
        <v>90.059</v>
      </c>
      <c r="EV26" s="21" t="n">
        <v>97.625</v>
      </c>
      <c r="EW26" s="21" t="n">
        <v>86.396</v>
      </c>
      <c r="EX26" s="21" t="n">
        <v>185.203</v>
      </c>
      <c r="EY26" s="21" t="n">
        <v>119.353</v>
      </c>
      <c r="EZ26" s="21" t="n">
        <v>116.055</v>
      </c>
      <c r="FA26" s="21" t="n">
        <v>156.16</v>
      </c>
      <c r="FB26" s="21" t="n">
        <v>126.044</v>
      </c>
      <c r="FC26" s="21" t="n">
        <v>118.441</v>
      </c>
      <c r="FD26" s="21" t="n">
        <v>122.941</v>
      </c>
      <c r="FE26" s="21" t="n">
        <v>111.396</v>
      </c>
      <c r="FF26" s="21" t="n">
        <v>152.687</v>
      </c>
      <c r="FG26" s="21" t="n">
        <v>81.154</v>
      </c>
      <c r="FH26" s="21" t="n">
        <v>120.398</v>
      </c>
      <c r="FI26" s="21" t="n">
        <v>100.422</v>
      </c>
      <c r="FJ26" s="21" t="n">
        <v>111.296</v>
      </c>
      <c r="FK26" s="21" t="n">
        <v>114.807</v>
      </c>
      <c r="FL26" s="21" t="n">
        <v>103.998</v>
      </c>
      <c r="FM26" s="21" t="n">
        <v>124.723</v>
      </c>
      <c r="FN26" s="21" t="n">
        <v>80.631</v>
      </c>
      <c r="FO26" s="21" t="n">
        <v>106.508</v>
      </c>
      <c r="FP26" s="21" t="n">
        <v>94.858</v>
      </c>
      <c r="FQ26" s="21" t="n">
        <v>137.38</v>
      </c>
      <c r="FR26" s="21" t="n">
        <v>136.879</v>
      </c>
      <c r="FS26" s="21" t="n">
        <v>154.179</v>
      </c>
      <c r="FT26" s="21" t="n">
        <v>129.013</v>
      </c>
      <c r="FU26" s="21" t="n">
        <v>115.343</v>
      </c>
      <c r="FV26" s="21" t="n">
        <v>170.79</v>
      </c>
      <c r="FW26" s="21" t="n">
        <v>130.419</v>
      </c>
      <c r="FX26" s="21" t="n">
        <v>177.029</v>
      </c>
      <c r="FY26" s="21" t="n">
        <v>202.082</v>
      </c>
      <c r="FZ26" s="21" t="n">
        <v>197.045</v>
      </c>
      <c r="GA26" s="21" t="n">
        <v>99.26900000000001</v>
      </c>
      <c r="GB26" s="21" t="n">
        <v>148.166</v>
      </c>
      <c r="GC26" s="21" t="n">
        <v>102.773</v>
      </c>
      <c r="GD26" s="21" t="n">
        <v>144.37</v>
      </c>
      <c r="GE26" s="21" t="n">
        <v>157.582</v>
      </c>
      <c r="GF26" s="21" t="n"/>
      <c r="GG26" s="21" t="n">
        <v>138.761</v>
      </c>
      <c r="GH26" s="21" t="n">
        <v>83.08</v>
      </c>
      <c r="GI26" s="21" t="n">
        <v>128.195</v>
      </c>
      <c r="GJ26" s="21" t="n">
        <v>218.699</v>
      </c>
      <c r="GK26" s="21" t="n">
        <v>217.892</v>
      </c>
      <c r="GL26" s="21" t="n">
        <v>213.79</v>
      </c>
      <c r="GM26" s="21" t="n">
        <v>233.971</v>
      </c>
      <c r="GN26" s="21" t="n">
        <v>226.096</v>
      </c>
      <c r="GO26" s="21" t="n">
        <v>185.661</v>
      </c>
      <c r="GP26" s="21" t="n">
        <v>142.993</v>
      </c>
      <c r="GQ26" s="21" t="n">
        <v>124.423</v>
      </c>
      <c r="GR26" s="21" t="n">
        <v>279.523</v>
      </c>
      <c r="GS26" s="21" t="n">
        <v>173.767</v>
      </c>
      <c r="GT26" s="21" t="n">
        <v>509.275</v>
      </c>
      <c r="GU26" s="21" t="n">
        <v>199.605</v>
      </c>
      <c r="GV26" s="21" t="n">
        <v>224.561</v>
      </c>
      <c r="GW26" s="21" t="n">
        <v>265.453</v>
      </c>
      <c r="GX26" s="21" t="n">
        <v>280.879</v>
      </c>
      <c r="GY26" s="21" t="n">
        <v>160.524</v>
      </c>
      <c r="GZ26" s="21" t="n">
        <v>118.38</v>
      </c>
      <c r="HA26" s="21" t="n">
        <v>65.85899999999999</v>
      </c>
      <c r="HB26" s="21" t="n">
        <v>471.484</v>
      </c>
      <c r="HC26" s="21" t="n">
        <v>374.15</v>
      </c>
      <c r="HD26" s="21" t="n">
        <v>122.483</v>
      </c>
      <c r="HE26" s="21" t="n">
        <v>515.468</v>
      </c>
      <c r="HF26" s="21" t="n">
        <v>96.744</v>
      </c>
      <c r="HG26" s="21" t="n">
        <v>502.654</v>
      </c>
      <c r="HH26" s="21" t="n">
        <v>376.982</v>
      </c>
      <c r="HI26" s="21" t="n">
        <v>384.882</v>
      </c>
      <c r="HJ26" s="21" t="n">
        <v>469.183</v>
      </c>
      <c r="HK26" s="21" t="n">
        <v>187.781</v>
      </c>
      <c r="HL26" s="21" t="n">
        <v>234.954</v>
      </c>
      <c r="HM26" s="21" t="n">
        <v>73.693</v>
      </c>
      <c r="HN26" s="21" t="n">
        <v>309.56</v>
      </c>
      <c r="HO26" s="21" t="n">
        <v>306.027</v>
      </c>
      <c r="HP26" s="21" t="n">
        <v>684.748</v>
      </c>
      <c r="HQ26" s="21" t="n">
        <v>217.155</v>
      </c>
      <c r="HR26" s="21" t="n">
        <v>117.512</v>
      </c>
      <c r="HS26" s="21" t="n">
        <v>102.211</v>
      </c>
      <c r="HT26" s="21" t="n">
        <v>234.575</v>
      </c>
      <c r="HU26" s="21" t="n">
        <v>450.07</v>
      </c>
      <c r="HV26" s="21" t="n">
        <v>126.414</v>
      </c>
      <c r="HW26" s="21" t="n">
        <v>32.955</v>
      </c>
      <c r="HX26" s="21" t="n">
        <v>170.085</v>
      </c>
      <c r="HY26" s="21" t="n">
        <v>198.037</v>
      </c>
      <c r="HZ26" s="21" t="n">
        <v>151.819</v>
      </c>
      <c r="IA26" s="21" t="n">
        <v>113.498</v>
      </c>
      <c r="IB26" s="21" t="n">
        <v>236.009</v>
      </c>
      <c r="IC26" s="21" t="n">
        <v>186.295</v>
      </c>
      <c r="ID26" s="21" t="n">
        <v>247.354</v>
      </c>
      <c r="IE26" s="21" t="n">
        <v>111.551</v>
      </c>
      <c r="IF26" s="21" t="n">
        <v>147.413</v>
      </c>
      <c r="IG26" s="21" t="n">
        <v>81.136</v>
      </c>
      <c r="IH26" s="21" t="n">
        <v>76.146</v>
      </c>
      <c r="II26" s="21" t="n">
        <v>55.787</v>
      </c>
      <c r="IJ26" s="21" t="n">
        <v>22.825</v>
      </c>
      <c r="IK26" s="21" t="n">
        <v>42.118</v>
      </c>
      <c r="IL26" s="21" t="n">
        <v>38.903</v>
      </c>
      <c r="IM26" s="21" t="n">
        <v>47.739</v>
      </c>
      <c r="IN26" s="21" t="n">
        <v>95.803</v>
      </c>
      <c r="IO26" s="21" t="n">
        <v>100.879</v>
      </c>
      <c r="IP26" s="21" t="n">
        <v>161.604</v>
      </c>
      <c r="IQ26" s="21" t="n">
        <v>132.751</v>
      </c>
      <c r="IR26" s="21" t="n">
        <v>371.054</v>
      </c>
      <c r="IS26" s="21" t="n">
        <v>176.399</v>
      </c>
      <c r="IT26" s="21" t="n">
        <v>221.568</v>
      </c>
      <c r="IU26" s="21" t="n">
        <v>298.435</v>
      </c>
      <c r="IV26" s="21" t="n">
        <v>243.625</v>
      </c>
      <c r="IW26" s="21" t="n">
        <v>139.017</v>
      </c>
      <c r="IX26" s="21" t="n">
        <v>250.948</v>
      </c>
      <c r="IY26" s="21" t="n">
        <v>690.427</v>
      </c>
      <c r="IZ26" s="21" t="n">
        <v>717.78</v>
      </c>
      <c r="JA26" s="21" t="n">
        <v>815.047</v>
      </c>
      <c r="JB26" s="21" t="n">
        <v>75.43600000000001</v>
      </c>
      <c r="JC26" s="21" t="n">
        <v>288.659</v>
      </c>
      <c r="JD26" s="21" t="n">
        <v>243.482</v>
      </c>
      <c r="JE26" s="21" t="n">
        <v>78.212</v>
      </c>
      <c r="JF26" s="21" t="n">
        <v>176.859</v>
      </c>
      <c r="JG26" s="21" t="n">
        <v>278.285</v>
      </c>
      <c r="JH26" s="21" t="n">
        <v>284.203</v>
      </c>
      <c r="JI26" s="21" t="n">
        <v>74.367</v>
      </c>
      <c r="JJ26" s="21" t="n">
        <v>114.851</v>
      </c>
      <c r="JK26" s="21" t="n">
        <v>43.475</v>
      </c>
      <c r="JL26" s="21" t="n">
        <v>77.164</v>
      </c>
      <c r="JM26" s="21" t="n">
        <v>275.336</v>
      </c>
      <c r="JN26" s="21" t="n">
        <v>427.621</v>
      </c>
      <c r="JO26" s="21" t="n">
        <v>62.092</v>
      </c>
      <c r="JP26" s="21" t="n">
        <v>402.189</v>
      </c>
      <c r="JQ26" s="21" t="n">
        <v>226.017</v>
      </c>
      <c r="JR26" s="21" t="n">
        <v>162.379</v>
      </c>
      <c r="JS26" s="21" t="n">
        <v>419.268</v>
      </c>
      <c r="JT26" s="21" t="n">
        <v>348.052</v>
      </c>
      <c r="JU26" s="21" t="n">
        <v>322.184</v>
      </c>
      <c r="JV26" s="21" t="n">
        <v>162.355</v>
      </c>
      <c r="JW26" s="21" t="n">
        <v>333.074</v>
      </c>
      <c r="JX26" s="21" t="n">
        <v>226.517</v>
      </c>
      <c r="JY26" s="21" t="n">
        <v>78.292</v>
      </c>
      <c r="JZ26" s="21" t="n">
        <v>150.331</v>
      </c>
      <c r="KA26" s="21" t="n">
        <v>232.681</v>
      </c>
      <c r="KB26" s="21" t="n">
        <v>249.416</v>
      </c>
      <c r="KC26" s="21" t="n">
        <v>242.92</v>
      </c>
      <c r="KD26" s="21" t="n">
        <v>250.467</v>
      </c>
      <c r="KE26" s="21" t="n">
        <v>226.707</v>
      </c>
      <c r="KF26" s="21" t="n">
        <v>221.052</v>
      </c>
      <c r="KG26" s="21" t="n">
        <v>226.388</v>
      </c>
      <c r="KH26" s="21" t="n">
        <v>231.743</v>
      </c>
      <c r="KI26" s="21" t="n">
        <v>118.848</v>
      </c>
      <c r="KJ26" s="21" t="n">
        <v>181.536</v>
      </c>
      <c r="KK26" s="21" t="n">
        <v>151.624</v>
      </c>
      <c r="KL26" s="21" t="n">
        <v>148.403</v>
      </c>
      <c r="KM26" s="21" t="n">
        <v>144.935</v>
      </c>
      <c r="KN26" s="21" t="n">
        <v>146.319</v>
      </c>
      <c r="KO26" s="21" t="n">
        <v>245.249</v>
      </c>
      <c r="KP26" s="21" t="n">
        <v>106.536</v>
      </c>
      <c r="KQ26" s="21" t="n">
        <v>78.95699999999999</v>
      </c>
      <c r="KR26" s="21" t="n">
        <v>111.063</v>
      </c>
      <c r="KS26" s="21" t="n">
        <v>205.369</v>
      </c>
      <c r="KT26" s="21" t="n">
        <v>221.873</v>
      </c>
      <c r="KU26" s="21" t="n">
        <v>91.033</v>
      </c>
      <c r="KV26" s="21" t="n">
        <v>58.493</v>
      </c>
      <c r="KW26" s="21" t="n">
        <v>219.433</v>
      </c>
      <c r="KX26" s="21" t="n">
        <v>195.045</v>
      </c>
      <c r="KY26" s="21" t="n">
        <v>236.73</v>
      </c>
      <c r="KZ26" s="21" t="n">
        <v>191.944</v>
      </c>
      <c r="LA26" s="21" t="n">
        <v>237.448</v>
      </c>
      <c r="LB26" s="21" t="n">
        <v>109.558</v>
      </c>
      <c r="LC26" s="21" t="n">
        <v>348.624</v>
      </c>
      <c r="LD26" s="21" t="n">
        <v>84.14</v>
      </c>
      <c r="LE26" s="21" t="n">
        <v>116.969</v>
      </c>
      <c r="LF26" s="21" t="n">
        <v>306.105</v>
      </c>
      <c r="LG26" s="21" t="n">
        <v>304.871</v>
      </c>
      <c r="LH26" s="21" t="n">
        <v>315.557</v>
      </c>
      <c r="LI26" s="21" t="n">
        <v>289.775</v>
      </c>
      <c r="LJ26" s="21" t="n">
        <v>326.793</v>
      </c>
      <c r="LK26" s="21" t="n">
        <v>104.905</v>
      </c>
      <c r="LL26" s="21" t="n">
        <v>305.057</v>
      </c>
      <c r="LM26" s="21" t="n">
        <v>217.048</v>
      </c>
      <c r="LN26" s="21" t="n">
        <v>50.533</v>
      </c>
      <c r="LO26" s="21" t="n">
        <v>120.132</v>
      </c>
    </row>
    <row r="27">
      <c r="A27" s="22" t="n">
        <v>42767</v>
      </c>
      <c r="B27" s="21" t="n">
        <v>244.006</v>
      </c>
      <c r="C27" s="21" t="n">
        <v>248.513</v>
      </c>
      <c r="D27" s="21" t="n">
        <v>248.735</v>
      </c>
      <c r="E27" s="21" t="n">
        <v>237.824</v>
      </c>
      <c r="F27" s="21" t="n">
        <v>271.755</v>
      </c>
      <c r="G27" s="21" t="n">
        <v>229.663</v>
      </c>
      <c r="H27" s="21" t="n">
        <v>235.552</v>
      </c>
      <c r="I27" s="21" t="n">
        <v>226.17</v>
      </c>
      <c r="J27" s="21" t="n">
        <v>235.592</v>
      </c>
      <c r="K27" s="21" t="n">
        <v>295.878</v>
      </c>
      <c r="L27" s="21" t="n">
        <v>178.627</v>
      </c>
      <c r="M27" s="21" t="n">
        <v>171.814</v>
      </c>
      <c r="N27" s="21" t="n">
        <v>282.395</v>
      </c>
      <c r="O27" s="21" t="n">
        <v>266.285</v>
      </c>
      <c r="P27" s="21" t="n">
        <v>264.272</v>
      </c>
      <c r="Q27" s="21" t="n">
        <v>304.485</v>
      </c>
      <c r="R27" s="21" t="n">
        <v>265.572</v>
      </c>
      <c r="S27" s="21" t="n">
        <v>244.889</v>
      </c>
      <c r="T27" s="21" t="n">
        <v>247.616</v>
      </c>
      <c r="U27" s="21" t="n">
        <v>249.152</v>
      </c>
      <c r="V27" s="21" t="n">
        <v>295.794</v>
      </c>
      <c r="W27" s="21" t="n">
        <v>257.226</v>
      </c>
      <c r="X27" s="21" t="n">
        <v>214.434</v>
      </c>
      <c r="Y27" s="21" t="n">
        <v>203.834</v>
      </c>
      <c r="Z27" s="21" t="n">
        <v>209.368</v>
      </c>
      <c r="AA27" s="21" t="n">
        <v>155.816</v>
      </c>
      <c r="AB27" s="21" t="n">
        <v>289.139</v>
      </c>
      <c r="AC27" s="21" t="n">
        <v>142.998</v>
      </c>
      <c r="AD27" s="21" t="n">
        <v>199.111</v>
      </c>
      <c r="AE27" s="21" t="n">
        <v>221.706</v>
      </c>
      <c r="AF27" s="21" t="n">
        <v>182.17</v>
      </c>
      <c r="AG27" s="21" t="n">
        <v>128.104</v>
      </c>
      <c r="AH27" s="21" t="n">
        <v>222.73</v>
      </c>
      <c r="AI27" s="21" t="n">
        <v>221.796</v>
      </c>
      <c r="AJ27" s="21" t="n">
        <v>145.15</v>
      </c>
      <c r="AK27" s="21" t="n">
        <v>228.979</v>
      </c>
      <c r="AL27" s="21" t="n">
        <v>146.181</v>
      </c>
      <c r="AM27" s="21" t="n">
        <v>243.119</v>
      </c>
      <c r="AN27" s="21" t="n">
        <v>216.687</v>
      </c>
      <c r="AO27" s="21" t="n">
        <v>154.361</v>
      </c>
      <c r="AP27" s="21" t="n">
        <v>289.83</v>
      </c>
      <c r="AQ27" s="21" t="n">
        <v>178.073</v>
      </c>
      <c r="AR27" s="21" t="n">
        <v>145.319</v>
      </c>
      <c r="AS27" s="21" t="n">
        <v>199.804</v>
      </c>
      <c r="AT27" s="21" t="n">
        <v>310.222</v>
      </c>
      <c r="AU27" s="21" t="n">
        <v>209.845</v>
      </c>
      <c r="AV27" s="21" t="n">
        <v>220.167</v>
      </c>
      <c r="AW27" s="21" t="n">
        <v>142.178</v>
      </c>
      <c r="AX27" s="21" t="n">
        <v>205.737</v>
      </c>
      <c r="AY27" s="21" t="n">
        <v>144.72</v>
      </c>
      <c r="AZ27" s="21" t="n">
        <v>230.23</v>
      </c>
      <c r="BA27" s="21" t="n">
        <v>222.73</v>
      </c>
      <c r="BB27" s="21" t="n">
        <v>148.447</v>
      </c>
      <c r="BC27" s="21" t="n">
        <v>290.673</v>
      </c>
      <c r="BD27" s="21" t="n">
        <v>334.504</v>
      </c>
      <c r="BE27" s="21" t="n">
        <v>353.632</v>
      </c>
      <c r="BF27" s="21" t="n">
        <v>336.231</v>
      </c>
      <c r="BG27" s="21" t="n">
        <v>198.605</v>
      </c>
      <c r="BH27" s="21" t="n">
        <v>247.563</v>
      </c>
      <c r="BI27" s="21" t="n">
        <v>500.038</v>
      </c>
      <c r="BJ27" s="21" t="n">
        <v>115.149</v>
      </c>
      <c r="BK27" s="21" t="n">
        <v>313.219</v>
      </c>
      <c r="BL27" s="21" t="n">
        <v>338.62</v>
      </c>
      <c r="BM27" s="21" t="n">
        <v>287.138</v>
      </c>
      <c r="BN27" s="21" t="n">
        <v>311.717</v>
      </c>
      <c r="BO27" s="21" t="n">
        <v>317.931</v>
      </c>
      <c r="BP27" s="21" t="n">
        <v>156.169</v>
      </c>
      <c r="BQ27" s="21" t="n">
        <v>159.838</v>
      </c>
      <c r="BR27" s="21" t="n">
        <v>157.813</v>
      </c>
      <c r="BS27" s="21" t="n">
        <v>166.261</v>
      </c>
      <c r="BT27" s="21" t="n">
        <v>148.286</v>
      </c>
      <c r="BU27" s="21" t="n">
        <v>203.283</v>
      </c>
      <c r="BV27" s="21" t="n">
        <v>158.108</v>
      </c>
      <c r="BW27" s="21" t="n">
        <v>168.011</v>
      </c>
      <c r="BX27" s="21" t="n">
        <v>129.067</v>
      </c>
      <c r="BY27" s="21" t="n">
        <v>161.757</v>
      </c>
      <c r="BZ27" s="21" t="n">
        <v>117.774</v>
      </c>
      <c r="CA27" s="21" t="n">
        <v>119.191</v>
      </c>
      <c r="CB27" s="21" t="n">
        <v>200.139</v>
      </c>
      <c r="CC27" s="21" t="n">
        <v>209.093</v>
      </c>
      <c r="CD27" s="21" t="n">
        <v>131.16</v>
      </c>
      <c r="CE27" s="21" t="n">
        <v>208.942</v>
      </c>
      <c r="CF27" s="21" t="n">
        <v>213.745</v>
      </c>
      <c r="CG27" s="21" t="n">
        <v>185.962</v>
      </c>
      <c r="CH27" s="21" t="n">
        <v>142.968</v>
      </c>
      <c r="CI27" s="21" t="n">
        <v>154.843</v>
      </c>
      <c r="CJ27" s="21" t="n">
        <v>225.406</v>
      </c>
      <c r="CK27" s="21" t="n">
        <v>202.62</v>
      </c>
      <c r="CL27" s="21" t="n">
        <v>235.085</v>
      </c>
      <c r="CM27" s="21" t="n">
        <v>301.813</v>
      </c>
      <c r="CN27" s="21" t="n">
        <v>128.787</v>
      </c>
      <c r="CO27" s="21" t="n">
        <v>156.14</v>
      </c>
      <c r="CP27" s="21" t="n">
        <v>223.659</v>
      </c>
      <c r="CQ27" s="21" t="n">
        <v>245.104</v>
      </c>
      <c r="CR27" s="21" t="n">
        <v>168.615</v>
      </c>
      <c r="CS27" s="21" t="n">
        <v>249.815</v>
      </c>
      <c r="CT27" s="21" t="n">
        <v>238.933</v>
      </c>
      <c r="CU27" s="21" t="n">
        <v>149.867</v>
      </c>
      <c r="CV27" s="21" t="n">
        <v>134.23</v>
      </c>
      <c r="CW27" s="21" t="n">
        <v>137.053</v>
      </c>
      <c r="CX27" s="21" t="n">
        <v>281.019</v>
      </c>
      <c r="CY27" s="21" t="n">
        <v>131.854</v>
      </c>
      <c r="CZ27" s="21" t="n">
        <v>126.122</v>
      </c>
      <c r="DA27" s="21" t="n">
        <v>266.626</v>
      </c>
      <c r="DB27" s="21" t="n">
        <v>165.849</v>
      </c>
      <c r="DC27" s="21" t="n">
        <v>172.843</v>
      </c>
      <c r="DD27" s="21" t="n">
        <v>143.794</v>
      </c>
      <c r="DE27" s="21" t="n">
        <v>183.254</v>
      </c>
      <c r="DF27" s="21" t="n">
        <v>244.189</v>
      </c>
      <c r="DG27" s="21" t="n">
        <v>199.632</v>
      </c>
      <c r="DH27" s="21" t="n">
        <v>221.307</v>
      </c>
      <c r="DI27" s="21" t="n">
        <v>193.256</v>
      </c>
      <c r="DJ27" s="21" t="n">
        <v>207.484</v>
      </c>
      <c r="DK27" s="21" t="n">
        <v>186.846</v>
      </c>
      <c r="DL27" s="21" t="n">
        <v>168.304</v>
      </c>
      <c r="DM27" s="21" t="n">
        <v>341.405</v>
      </c>
      <c r="DN27" s="21" t="n">
        <v>184.434</v>
      </c>
      <c r="DO27" s="21" t="n">
        <v>248.807</v>
      </c>
      <c r="DP27" s="21" t="n">
        <v>294.543</v>
      </c>
      <c r="DQ27" s="21" t="n">
        <v>304.06</v>
      </c>
      <c r="DR27" s="21" t="n">
        <v>160.683</v>
      </c>
      <c r="DS27" s="21" t="n">
        <v>533.285</v>
      </c>
      <c r="DT27" s="21" t="n">
        <v>330.557</v>
      </c>
      <c r="DU27" s="21" t="n">
        <v>301.751</v>
      </c>
      <c r="DV27" s="21" t="n">
        <v>301.735</v>
      </c>
      <c r="DW27" s="21" t="n">
        <v>234.678</v>
      </c>
      <c r="DX27" s="21" t="n">
        <v>195.988</v>
      </c>
      <c r="DY27" s="21" t="n">
        <v>252.102</v>
      </c>
      <c r="DZ27" s="21" t="n">
        <v>242.467</v>
      </c>
      <c r="EA27" s="21" t="n">
        <v>316.962</v>
      </c>
      <c r="EB27" s="21" t="n">
        <v>200.293</v>
      </c>
      <c r="EC27" s="21" t="n">
        <v>209.049</v>
      </c>
      <c r="ED27" s="21" t="n">
        <v>171.058</v>
      </c>
      <c r="EE27" s="21" t="n">
        <v>227.001</v>
      </c>
      <c r="EF27" s="21" t="n">
        <v>526.9109999999999</v>
      </c>
      <c r="EG27" s="21" t="n">
        <v>447.699</v>
      </c>
      <c r="EH27" s="21" t="n">
        <v>121.121</v>
      </c>
      <c r="EI27" s="21" t="n">
        <v>59.194</v>
      </c>
      <c r="EJ27" s="21" t="n">
        <v>69.255</v>
      </c>
      <c r="EK27" s="21" t="n">
        <v>45.705</v>
      </c>
      <c r="EL27" s="21" t="n">
        <v>111.744</v>
      </c>
      <c r="EM27" s="21" t="n">
        <v>70.146</v>
      </c>
      <c r="EN27" s="21" t="n">
        <v>75.172</v>
      </c>
      <c r="EO27" s="21" t="n">
        <v>81.161</v>
      </c>
      <c r="EP27" s="21" t="n">
        <v>93.20399999999999</v>
      </c>
      <c r="EQ27" s="21" t="n">
        <v>65.706</v>
      </c>
      <c r="ER27" s="21" t="n">
        <v>56.054</v>
      </c>
      <c r="ES27" s="21" t="n">
        <v>129.564</v>
      </c>
      <c r="ET27" s="21" t="n">
        <v>87.914</v>
      </c>
      <c r="EU27" s="21" t="n">
        <v>89.771</v>
      </c>
      <c r="EV27" s="21" t="n">
        <v>97.72799999999999</v>
      </c>
      <c r="EW27" s="21" t="n">
        <v>86.093</v>
      </c>
      <c r="EX27" s="21" t="n">
        <v>185.235</v>
      </c>
      <c r="EY27" s="21" t="n">
        <v>118.922</v>
      </c>
      <c r="EZ27" s="21" t="n">
        <v>116.275</v>
      </c>
      <c r="FA27" s="21" t="n">
        <v>151.946</v>
      </c>
      <c r="FB27" s="21" t="n">
        <v>126.058</v>
      </c>
      <c r="FC27" s="21" t="n">
        <v>118.898</v>
      </c>
      <c r="FD27" s="21" t="n">
        <v>124.062</v>
      </c>
      <c r="FE27" s="21" t="n">
        <v>111.876</v>
      </c>
      <c r="FF27" s="21" t="n">
        <v>156.523</v>
      </c>
      <c r="FG27" s="21" t="n">
        <v>80.327</v>
      </c>
      <c r="FH27" s="21" t="n">
        <v>119.963</v>
      </c>
      <c r="FI27" s="21" t="n">
        <v>100.611</v>
      </c>
      <c r="FJ27" s="21" t="n">
        <v>111.115</v>
      </c>
      <c r="FK27" s="21" t="n">
        <v>114.891</v>
      </c>
      <c r="FL27" s="21" t="n">
        <v>109.867</v>
      </c>
      <c r="FM27" s="21" t="n">
        <v>123.252</v>
      </c>
      <c r="FN27" s="21" t="n">
        <v>81.352</v>
      </c>
      <c r="FO27" s="21" t="n">
        <v>106.072</v>
      </c>
      <c r="FP27" s="21" t="n">
        <v>93.544</v>
      </c>
      <c r="FQ27" s="21" t="n">
        <v>136.194</v>
      </c>
      <c r="FR27" s="21" t="n">
        <v>139.343</v>
      </c>
      <c r="FS27" s="21" t="n">
        <v>151.275</v>
      </c>
      <c r="FT27" s="21" t="n">
        <v>126.05</v>
      </c>
      <c r="FU27" s="21" t="n">
        <v>115.739</v>
      </c>
      <c r="FV27" s="21" t="n">
        <v>174.495</v>
      </c>
      <c r="FW27" s="21" t="n">
        <v>132.116</v>
      </c>
      <c r="FX27" s="21" t="n">
        <v>181.389</v>
      </c>
      <c r="FY27" s="21" t="n">
        <v>201.566</v>
      </c>
      <c r="FZ27" s="21" t="n">
        <v>196.45</v>
      </c>
      <c r="GA27" s="21" t="n">
        <v>99.464</v>
      </c>
      <c r="GB27" s="21" t="n">
        <v>148.284</v>
      </c>
      <c r="GC27" s="21" t="n">
        <v>102.793</v>
      </c>
      <c r="GD27" s="21" t="n">
        <v>144.402</v>
      </c>
      <c r="GE27" s="21" t="n">
        <v>157.412</v>
      </c>
      <c r="GF27" s="21" t="n"/>
      <c r="GG27" s="21" t="n">
        <v>138.713</v>
      </c>
      <c r="GH27" s="21" t="n">
        <v>84.727</v>
      </c>
      <c r="GI27" s="21" t="n">
        <v>127.317</v>
      </c>
      <c r="GJ27" s="21" t="n">
        <v>214.598</v>
      </c>
      <c r="GK27" s="21" t="n">
        <v>213.626</v>
      </c>
      <c r="GL27" s="21" t="n">
        <v>209.552</v>
      </c>
      <c r="GM27" s="21" t="n">
        <v>229.564</v>
      </c>
      <c r="GN27" s="21" t="n">
        <v>224.94</v>
      </c>
      <c r="GO27" s="21" t="n">
        <v>184.968</v>
      </c>
      <c r="GP27" s="21" t="n">
        <v>143.256</v>
      </c>
      <c r="GQ27" s="21" t="n">
        <v>124.825</v>
      </c>
      <c r="GR27" s="21" t="n">
        <v>279.782</v>
      </c>
      <c r="GS27" s="21" t="n">
        <v>173.626</v>
      </c>
      <c r="GT27" s="21" t="n">
        <v>511.125</v>
      </c>
      <c r="GU27" s="21" t="n">
        <v>199.621</v>
      </c>
      <c r="GV27" s="21" t="n">
        <v>224.761</v>
      </c>
      <c r="GW27" s="21" t="n">
        <v>266.391</v>
      </c>
      <c r="GX27" s="21" t="n">
        <v>282.923</v>
      </c>
      <c r="GY27" s="21" t="n">
        <v>160.329</v>
      </c>
      <c r="GZ27" s="21" t="n">
        <v>115.587</v>
      </c>
      <c r="HA27" s="21" t="n">
        <v>65.136</v>
      </c>
      <c r="HB27" s="21" t="n">
        <v>473.139</v>
      </c>
      <c r="HC27" s="21" t="n">
        <v>376.078</v>
      </c>
      <c r="HD27" s="21" t="n">
        <v>123.102</v>
      </c>
      <c r="HE27" s="21" t="n">
        <v>518.6180000000001</v>
      </c>
      <c r="HF27" s="21" t="n">
        <v>96.821</v>
      </c>
      <c r="HG27" s="21" t="n">
        <v>504.188</v>
      </c>
      <c r="HH27" s="21" t="n">
        <v>376.874</v>
      </c>
      <c r="HI27" s="21" t="n">
        <v>385.353</v>
      </c>
      <c r="HJ27" s="21" t="n">
        <v>468.74</v>
      </c>
      <c r="HK27" s="21" t="n">
        <v>187.965</v>
      </c>
      <c r="HL27" s="21" t="n">
        <v>235.671</v>
      </c>
      <c r="HM27" s="21" t="n">
        <v>74.227</v>
      </c>
      <c r="HN27" s="21" t="n">
        <v>312.021</v>
      </c>
      <c r="HO27" s="21" t="n">
        <v>307.734</v>
      </c>
      <c r="HP27" s="21" t="n">
        <v>692.17</v>
      </c>
      <c r="HQ27" s="21" t="n">
        <v>217.603</v>
      </c>
      <c r="HR27" s="21" t="n">
        <v>118.182</v>
      </c>
      <c r="HS27" s="21" t="n">
        <v>102.822</v>
      </c>
      <c r="HT27" s="21" t="n">
        <v>234.964</v>
      </c>
      <c r="HU27" s="21" t="n">
        <v>452.905</v>
      </c>
      <c r="HV27" s="21" t="n">
        <v>126.377</v>
      </c>
      <c r="HW27" s="21" t="n">
        <v>33.127</v>
      </c>
      <c r="HX27" s="21" t="n">
        <v>170.129</v>
      </c>
      <c r="HY27" s="21" t="n">
        <v>197.672</v>
      </c>
      <c r="HZ27" s="21" t="n">
        <v>152.094</v>
      </c>
      <c r="IA27" s="21" t="n">
        <v>112.833</v>
      </c>
      <c r="IB27" s="21" t="n">
        <v>236.853</v>
      </c>
      <c r="IC27" s="21" t="n">
        <v>186.239</v>
      </c>
      <c r="ID27" s="21" t="n">
        <v>248.278</v>
      </c>
      <c r="IE27" s="21" t="n">
        <v>111.796</v>
      </c>
      <c r="IF27" s="21" t="n">
        <v>146.684</v>
      </c>
      <c r="IG27" s="21" t="n">
        <v>82.001</v>
      </c>
      <c r="IH27" s="21" t="n">
        <v>76.5</v>
      </c>
      <c r="II27" s="21" t="n">
        <v>56.15</v>
      </c>
      <c r="IJ27" s="21" t="n">
        <v>23.012</v>
      </c>
      <c r="IK27" s="21" t="n">
        <v>42.014</v>
      </c>
      <c r="IL27" s="21" t="n">
        <v>38.728</v>
      </c>
      <c r="IM27" s="21" t="n">
        <v>47.715</v>
      </c>
      <c r="IN27" s="21" t="n">
        <v>95.468</v>
      </c>
      <c r="IO27" s="21" t="n">
        <v>102.214</v>
      </c>
      <c r="IP27" s="21" t="n">
        <v>163.46</v>
      </c>
      <c r="IQ27" s="21" t="n">
        <v>134.398</v>
      </c>
      <c r="IR27" s="21" t="n">
        <v>375.921</v>
      </c>
      <c r="IS27" s="21" t="n">
        <v>177.391</v>
      </c>
      <c r="IT27" s="21" t="n">
        <v>226.329</v>
      </c>
      <c r="IU27" s="21" t="n">
        <v>299.476</v>
      </c>
      <c r="IV27" s="21" t="n">
        <v>242.769</v>
      </c>
      <c r="IW27" s="21" t="n">
        <v>138.776</v>
      </c>
      <c r="IX27" s="21" t="n">
        <v>251.469</v>
      </c>
      <c r="IY27" s="21" t="n">
        <v>696.371</v>
      </c>
      <c r="IZ27" s="21" t="n">
        <v>719.018</v>
      </c>
      <c r="JA27" s="21" t="n">
        <v>816.582</v>
      </c>
      <c r="JB27" s="21" t="n">
        <v>75.627</v>
      </c>
      <c r="JC27" s="21" t="n">
        <v>288.966</v>
      </c>
      <c r="JD27" s="21" t="n">
        <v>243.665</v>
      </c>
      <c r="JE27" s="21" t="n">
        <v>77.82299999999999</v>
      </c>
      <c r="JF27" s="21" t="n">
        <v>178.16</v>
      </c>
      <c r="JG27" s="21" t="n">
        <v>280.365</v>
      </c>
      <c r="JH27" s="21" t="n">
        <v>285.69</v>
      </c>
      <c r="JI27" s="21" t="n">
        <v>73.964</v>
      </c>
      <c r="JJ27" s="21" t="n">
        <v>114.422</v>
      </c>
      <c r="JK27" s="21" t="n">
        <v>43.369</v>
      </c>
      <c r="JL27" s="21" t="n">
        <v>76.901</v>
      </c>
      <c r="JM27" s="21" t="n">
        <v>274.441</v>
      </c>
      <c r="JN27" s="21" t="n">
        <v>427.992</v>
      </c>
      <c r="JO27" s="21" t="n">
        <v>62.094</v>
      </c>
      <c r="JP27" s="21" t="n">
        <v>402.159</v>
      </c>
      <c r="JQ27" s="21" t="n">
        <v>226.263</v>
      </c>
      <c r="JR27" s="21" t="n">
        <v>162.497</v>
      </c>
      <c r="JS27" s="21" t="n">
        <v>419.936</v>
      </c>
      <c r="JT27" s="21" t="n">
        <v>345.769</v>
      </c>
      <c r="JU27" s="21" t="n">
        <v>323.838</v>
      </c>
      <c r="JV27" s="21" t="n">
        <v>162.656</v>
      </c>
      <c r="JW27" s="21" t="n">
        <v>335.866</v>
      </c>
      <c r="JX27" s="21" t="n">
        <v>229.868</v>
      </c>
      <c r="JY27" s="21" t="n">
        <v>78.396</v>
      </c>
      <c r="JZ27" s="21" t="n">
        <v>150.586</v>
      </c>
      <c r="KA27" s="21" t="n">
        <v>233.011</v>
      </c>
      <c r="KB27" s="21" t="n">
        <v>249.966</v>
      </c>
      <c r="KC27" s="21" t="n">
        <v>243.265</v>
      </c>
      <c r="KD27" s="21" t="n">
        <v>250.998</v>
      </c>
      <c r="KE27" s="21" t="n">
        <v>226.949</v>
      </c>
      <c r="KF27" s="21" t="n">
        <v>221.196</v>
      </c>
      <c r="KG27" s="21" t="n">
        <v>226.782</v>
      </c>
      <c r="KH27" s="21" t="n">
        <v>232.167</v>
      </c>
      <c r="KI27" s="21" t="n">
        <v>119.16</v>
      </c>
      <c r="KJ27" s="21" t="n">
        <v>181.425</v>
      </c>
      <c r="KK27" s="21" t="n">
        <v>151.232</v>
      </c>
      <c r="KL27" s="21" t="n">
        <v>148.009</v>
      </c>
      <c r="KM27" s="21" t="n">
        <v>144.989</v>
      </c>
      <c r="KN27" s="21" t="n">
        <v>146.385</v>
      </c>
      <c r="KO27" s="21" t="n">
        <v>245.365</v>
      </c>
      <c r="KP27" s="21" t="n">
        <v>106.45</v>
      </c>
      <c r="KQ27" s="21" t="n">
        <v>78.886</v>
      </c>
      <c r="KR27" s="21" t="n">
        <v>110.861</v>
      </c>
      <c r="KS27" s="21" t="n">
        <v>204.133</v>
      </c>
      <c r="KT27" s="21" t="n">
        <v>217.988</v>
      </c>
      <c r="KU27" s="21" t="n">
        <v>90.923</v>
      </c>
      <c r="KV27" s="21" t="n">
        <v>58.24</v>
      </c>
      <c r="KW27" s="21" t="n">
        <v>219.54</v>
      </c>
      <c r="KX27" s="21" t="n">
        <v>194.37</v>
      </c>
      <c r="KY27" s="21" t="n">
        <v>235.323</v>
      </c>
      <c r="KZ27" s="21" t="n">
        <v>191.238</v>
      </c>
      <c r="LA27" s="21" t="n">
        <v>235.87</v>
      </c>
      <c r="LB27" s="21" t="n">
        <v>109.613</v>
      </c>
      <c r="LC27" s="21" t="n">
        <v>349.316</v>
      </c>
      <c r="LD27" s="21" t="n">
        <v>84.107</v>
      </c>
      <c r="LE27" s="21" t="n">
        <v>117.96</v>
      </c>
      <c r="LF27" s="21" t="n">
        <v>306.937</v>
      </c>
      <c r="LG27" s="21" t="n">
        <v>305.741</v>
      </c>
      <c r="LH27" s="21" t="n">
        <v>316.398</v>
      </c>
      <c r="LI27" s="21" t="n">
        <v>290.642</v>
      </c>
      <c r="LJ27" s="21" t="n">
        <v>327.847</v>
      </c>
      <c r="LK27" s="21" t="n">
        <v>104.962</v>
      </c>
      <c r="LL27" s="21" t="n">
        <v>306.293</v>
      </c>
      <c r="LM27" s="21" t="n">
        <v>217.768</v>
      </c>
      <c r="LN27" s="21" t="n">
        <v>50.678</v>
      </c>
      <c r="LO27" s="21" t="n">
        <v>120.898</v>
      </c>
    </row>
    <row r="28">
      <c r="A28" s="22" t="n">
        <v>42795</v>
      </c>
      <c r="B28" s="21" t="n">
        <v>243.892</v>
      </c>
      <c r="C28" s="21" t="n">
        <v>249.02</v>
      </c>
      <c r="D28" s="21" t="n">
        <v>249.244</v>
      </c>
      <c r="E28" s="21" t="n">
        <v>238.387</v>
      </c>
      <c r="F28" s="21" t="n">
        <v>271.674</v>
      </c>
      <c r="G28" s="21" t="n">
        <v>228.459</v>
      </c>
      <c r="H28" s="21" t="n">
        <v>237.782</v>
      </c>
      <c r="I28" s="21" t="n">
        <v>225.579</v>
      </c>
      <c r="J28" s="21" t="n">
        <v>234.1</v>
      </c>
      <c r="K28" s="21" t="n">
        <v>297.205</v>
      </c>
      <c r="L28" s="21" t="n">
        <v>177.539</v>
      </c>
      <c r="M28" s="21" t="n">
        <v>175.787</v>
      </c>
      <c r="N28" s="21" t="n">
        <v>282.159</v>
      </c>
      <c r="O28" s="21" t="n">
        <v>266.699</v>
      </c>
      <c r="P28" s="21" t="n">
        <v>267.471</v>
      </c>
      <c r="Q28" s="21" t="n">
        <v>307.148</v>
      </c>
      <c r="R28" s="21" t="n">
        <v>268.205</v>
      </c>
      <c r="S28" s="21" t="n">
        <v>245.303</v>
      </c>
      <c r="T28" s="21" t="n">
        <v>248.625</v>
      </c>
      <c r="U28" s="21" t="n">
        <v>250.663</v>
      </c>
      <c r="V28" s="21" t="n">
        <v>295.12</v>
      </c>
      <c r="W28" s="21" t="n">
        <v>260.161</v>
      </c>
      <c r="X28" s="21" t="n">
        <v>220.233</v>
      </c>
      <c r="Y28" s="21" t="n">
        <v>200.702</v>
      </c>
      <c r="Z28" s="21" t="n">
        <v>212.736</v>
      </c>
      <c r="AA28" s="21" t="n">
        <v>159.689</v>
      </c>
      <c r="AB28" s="21" t="n">
        <v>303.729</v>
      </c>
      <c r="AC28" s="21" t="n">
        <v>141.441</v>
      </c>
      <c r="AD28" s="21" t="n">
        <v>205.247</v>
      </c>
      <c r="AE28" s="21" t="n">
        <v>229.138</v>
      </c>
      <c r="AF28" s="21" t="n">
        <v>183.655</v>
      </c>
      <c r="AG28" s="21" t="n">
        <v>127.468</v>
      </c>
      <c r="AH28" s="21" t="n">
        <v>224.621</v>
      </c>
      <c r="AI28" s="21" t="n">
        <v>227.734</v>
      </c>
      <c r="AJ28" s="21" t="n">
        <v>145.597</v>
      </c>
      <c r="AK28" s="21" t="n">
        <v>231.309</v>
      </c>
      <c r="AL28" s="21" t="n">
        <v>147.827</v>
      </c>
      <c r="AM28" s="21" t="n">
        <v>245.316</v>
      </c>
      <c r="AN28" s="21" t="n">
        <v>218.97</v>
      </c>
      <c r="AO28" s="21" t="n">
        <v>155.185</v>
      </c>
      <c r="AP28" s="21" t="n">
        <v>286.497</v>
      </c>
      <c r="AQ28" s="21" t="n">
        <v>177.881</v>
      </c>
      <c r="AR28" s="21" t="n">
        <v>143.539</v>
      </c>
      <c r="AS28" s="21" t="n">
        <v>198.665</v>
      </c>
      <c r="AT28" s="21" t="n">
        <v>305.929</v>
      </c>
      <c r="AU28" s="21" t="n">
        <v>202.193</v>
      </c>
      <c r="AV28" s="21" t="n">
        <v>218.236</v>
      </c>
      <c r="AW28" s="21" t="n">
        <v>141.603</v>
      </c>
      <c r="AX28" s="21" t="n">
        <v>205.185</v>
      </c>
      <c r="AY28" s="21" t="n">
        <v>144.31</v>
      </c>
      <c r="AZ28" s="21" t="n">
        <v>227.839</v>
      </c>
      <c r="BA28" s="21" t="n">
        <v>220.451</v>
      </c>
      <c r="BB28" s="21" t="n">
        <v>147.506</v>
      </c>
      <c r="BC28" s="21" t="n">
        <v>294.153</v>
      </c>
      <c r="BD28" s="21" t="n">
        <v>338.85</v>
      </c>
      <c r="BE28" s="21" t="n">
        <v>359.586</v>
      </c>
      <c r="BF28" s="21" t="n">
        <v>338.659</v>
      </c>
      <c r="BG28" s="21" t="n">
        <v>197.635</v>
      </c>
      <c r="BH28" s="21" t="n">
        <v>245.409</v>
      </c>
      <c r="BI28" s="21" t="n">
        <v>499.065</v>
      </c>
      <c r="BJ28" s="21" t="n">
        <v>121.393</v>
      </c>
      <c r="BK28" s="21" t="n">
        <v>315.869</v>
      </c>
      <c r="BL28" s="21" t="n">
        <v>336.538</v>
      </c>
      <c r="BM28" s="21" t="n">
        <v>291.218</v>
      </c>
      <c r="BN28" s="21" t="n">
        <v>314.412</v>
      </c>
      <c r="BO28" s="21" t="n">
        <v>319.545</v>
      </c>
      <c r="BP28" s="21" t="n">
        <v>157.475</v>
      </c>
      <c r="BQ28" s="21" t="n">
        <v>160.454</v>
      </c>
      <c r="BR28" s="21" t="n">
        <v>158.422</v>
      </c>
      <c r="BS28" s="21" t="n">
        <v>166.483</v>
      </c>
      <c r="BT28" s="21" t="n">
        <v>148.893</v>
      </c>
      <c r="BU28" s="21" t="n">
        <v>204.071</v>
      </c>
      <c r="BV28" s="21" t="n">
        <v>161.219</v>
      </c>
      <c r="BW28" s="21" t="n">
        <v>167.577</v>
      </c>
      <c r="BX28" s="21" t="n">
        <v>128.873</v>
      </c>
      <c r="BY28" s="21" t="n">
        <v>161.114</v>
      </c>
      <c r="BZ28" s="21" t="n">
        <v>117.692</v>
      </c>
      <c r="CA28" s="21" t="n">
        <v>118.564</v>
      </c>
      <c r="CB28" s="21" t="n">
        <v>199.723</v>
      </c>
      <c r="CC28" s="21" t="n">
        <v>209.102</v>
      </c>
      <c r="CD28" s="21" t="n">
        <v>128.697</v>
      </c>
      <c r="CE28" s="21" t="n">
        <v>209.984</v>
      </c>
      <c r="CF28" s="21" t="n">
        <v>214.636</v>
      </c>
      <c r="CG28" s="21" t="n">
        <v>185.407</v>
      </c>
      <c r="CH28" s="21" t="n">
        <v>144.202</v>
      </c>
      <c r="CI28" s="21" t="n">
        <v>155.569</v>
      </c>
      <c r="CJ28" s="21" t="n">
        <v>227.376</v>
      </c>
      <c r="CK28" s="21" t="n">
        <v>204.478</v>
      </c>
      <c r="CL28" s="21" t="n">
        <v>237.264</v>
      </c>
      <c r="CM28" s="21" t="n">
        <v>298.368</v>
      </c>
      <c r="CN28" s="21" t="n">
        <v>129.79</v>
      </c>
      <c r="CO28" s="21" t="n">
        <v>157.236</v>
      </c>
      <c r="CP28" s="21" t="n">
        <v>224.677</v>
      </c>
      <c r="CQ28" s="21" t="n">
        <v>246.64</v>
      </c>
      <c r="CR28" s="21" t="n">
        <v>168.136</v>
      </c>
      <c r="CS28" s="21" t="n">
        <v>253.425</v>
      </c>
      <c r="CT28" s="21" t="n">
        <v>239.498</v>
      </c>
      <c r="CU28" s="21" t="n">
        <v>151.452</v>
      </c>
      <c r="CV28" s="21" t="n">
        <v>139.094</v>
      </c>
      <c r="CW28" s="21" t="n">
        <v>135.942</v>
      </c>
      <c r="CX28" s="21" t="n">
        <v>278.36</v>
      </c>
      <c r="CY28" s="21" t="n">
        <v>132.194</v>
      </c>
      <c r="CZ28" s="21" t="n">
        <v>127.649</v>
      </c>
      <c r="DA28" s="21" t="n">
        <v>267.055</v>
      </c>
      <c r="DB28" s="21" t="n">
        <v>166.073</v>
      </c>
      <c r="DC28" s="21" t="n">
        <v>172.85</v>
      </c>
      <c r="DD28" s="21" t="n">
        <v>143.775</v>
      </c>
      <c r="DE28" s="21" t="n">
        <v>183.752</v>
      </c>
      <c r="DF28" s="21" t="n">
        <v>244.659</v>
      </c>
      <c r="DG28" s="21" t="n">
        <v>199.855</v>
      </c>
      <c r="DH28" s="21" t="n">
        <v>221.55</v>
      </c>
      <c r="DI28" s="21" t="n">
        <v>194.033</v>
      </c>
      <c r="DJ28" s="21" t="n">
        <v>209.889</v>
      </c>
      <c r="DK28" s="21" t="n">
        <v>187.306</v>
      </c>
      <c r="DL28" s="21" t="n">
        <v>168.468</v>
      </c>
      <c r="DM28" s="21" t="n">
        <v>341.685</v>
      </c>
      <c r="DN28" s="21" t="n">
        <v>184.375</v>
      </c>
      <c r="DO28" s="21" t="n">
        <v>249.098</v>
      </c>
      <c r="DP28" s="21" t="n">
        <v>295.012</v>
      </c>
      <c r="DQ28" s="21" t="n">
        <v>304.888</v>
      </c>
      <c r="DR28" s="21" t="n">
        <v>157.517</v>
      </c>
      <c r="DS28" s="21" t="n">
        <v>534.17</v>
      </c>
      <c r="DT28" s="21" t="n">
        <v>322.992</v>
      </c>
      <c r="DU28" s="21" t="n">
        <v>302.365</v>
      </c>
      <c r="DV28" s="21" t="n">
        <v>302.35</v>
      </c>
      <c r="DW28" s="21" t="n">
        <v>234.39</v>
      </c>
      <c r="DX28" s="21" t="n">
        <v>195.58</v>
      </c>
      <c r="DY28" s="21" t="n">
        <v>249.799</v>
      </c>
      <c r="DZ28" s="21" t="n">
        <v>240.619</v>
      </c>
      <c r="EA28" s="21" t="n">
        <v>316.429</v>
      </c>
      <c r="EB28" s="21" t="n">
        <v>199.95</v>
      </c>
      <c r="EC28" s="21" t="n">
        <v>208.767</v>
      </c>
      <c r="ED28" s="21" t="n">
        <v>170.545</v>
      </c>
      <c r="EE28" s="21" t="n">
        <v>227.36</v>
      </c>
      <c r="EF28" s="21" t="n">
        <v>528.282</v>
      </c>
      <c r="EG28" s="21" t="n">
        <v>446.987</v>
      </c>
      <c r="EH28" s="21" t="n">
        <v>121.195</v>
      </c>
      <c r="EI28" s="21" t="n">
        <v>59.499</v>
      </c>
      <c r="EJ28" s="21" t="n">
        <v>69.093</v>
      </c>
      <c r="EK28" s="21" t="n">
        <v>46.202</v>
      </c>
      <c r="EL28" s="21" t="n">
        <v>111.645</v>
      </c>
      <c r="EM28" s="21" t="n">
        <v>69.69</v>
      </c>
      <c r="EN28" s="21" t="n">
        <v>75.676</v>
      </c>
      <c r="EO28" s="21" t="n">
        <v>80.892</v>
      </c>
      <c r="EP28" s="21" t="n">
        <v>92.971</v>
      </c>
      <c r="EQ28" s="21" t="n">
        <v>65.765</v>
      </c>
      <c r="ER28" s="21" t="n">
        <v>55.889</v>
      </c>
      <c r="ES28" s="21" t="n">
        <v>130.076</v>
      </c>
      <c r="ET28" s="21" t="n">
        <v>87.378</v>
      </c>
      <c r="EU28" s="21" t="n">
        <v>89.68300000000001</v>
      </c>
      <c r="EV28" s="21" t="n">
        <v>97.637</v>
      </c>
      <c r="EW28" s="21" t="n">
        <v>86.062</v>
      </c>
      <c r="EX28" s="21" t="n">
        <v>185.353</v>
      </c>
      <c r="EY28" s="21" t="n">
        <v>118.841</v>
      </c>
      <c r="EZ28" s="21" t="n">
        <v>116.763</v>
      </c>
      <c r="FA28" s="21" t="n">
        <v>151.568</v>
      </c>
      <c r="FB28" s="21" t="n">
        <v>126.397</v>
      </c>
      <c r="FC28" s="21" t="n">
        <v>117.369</v>
      </c>
      <c r="FD28" s="21" t="n">
        <v>121.849</v>
      </c>
      <c r="FE28" s="21" t="n">
        <v>109.266</v>
      </c>
      <c r="FF28" s="21" t="n">
        <v>155.656</v>
      </c>
      <c r="FG28" s="21" t="n">
        <v>79.52800000000001</v>
      </c>
      <c r="FH28" s="21" t="n">
        <v>117.186</v>
      </c>
      <c r="FI28" s="21" t="n">
        <v>101.311</v>
      </c>
      <c r="FJ28" s="21" t="n">
        <v>112.613</v>
      </c>
      <c r="FK28" s="21" t="n">
        <v>116.071</v>
      </c>
      <c r="FL28" s="21" t="n">
        <v>115.693</v>
      </c>
      <c r="FM28" s="21" t="n">
        <v>124.093</v>
      </c>
      <c r="FN28" s="21" t="n">
        <v>82.09699999999999</v>
      </c>
      <c r="FO28" s="21" t="n">
        <v>107.454</v>
      </c>
      <c r="FP28" s="21" t="n">
        <v>96.384</v>
      </c>
      <c r="FQ28" s="21" t="n">
        <v>137.64</v>
      </c>
      <c r="FR28" s="21" t="n">
        <v>140.837</v>
      </c>
      <c r="FS28" s="21" t="n">
        <v>152.512</v>
      </c>
      <c r="FT28" s="21" t="n">
        <v>127.327</v>
      </c>
      <c r="FU28" s="21" t="n">
        <v>113.744</v>
      </c>
      <c r="FV28" s="21" t="n">
        <v>171.964</v>
      </c>
      <c r="FW28" s="21" t="n">
        <v>126.812</v>
      </c>
      <c r="FX28" s="21" t="n">
        <v>180.851</v>
      </c>
      <c r="FY28" s="21" t="n">
        <v>201.165</v>
      </c>
      <c r="FZ28" s="21" t="n">
        <v>195.974</v>
      </c>
      <c r="GA28" s="21" t="n">
        <v>99.384</v>
      </c>
      <c r="GB28" s="21" t="n">
        <v>148.053</v>
      </c>
      <c r="GC28" s="21" t="n">
        <v>102.623</v>
      </c>
      <c r="GD28" s="21" t="n">
        <v>144.075</v>
      </c>
      <c r="GE28" s="21" t="n">
        <v>157.249</v>
      </c>
      <c r="GF28" s="21" t="n"/>
      <c r="GG28" s="21" t="n">
        <v>139.232</v>
      </c>
      <c r="GH28" s="21" t="n">
        <v>83.83</v>
      </c>
      <c r="GI28" s="21" t="n">
        <v>125.688</v>
      </c>
      <c r="GJ28" s="21" t="n">
        <v>211.556</v>
      </c>
      <c r="GK28" s="21" t="n">
        <v>210.69</v>
      </c>
      <c r="GL28" s="21" t="n">
        <v>206.418</v>
      </c>
      <c r="GM28" s="21" t="n">
        <v>227.564</v>
      </c>
      <c r="GN28" s="21" t="n">
        <v>223.696</v>
      </c>
      <c r="GO28" s="21" t="n">
        <v>185.393</v>
      </c>
      <c r="GP28" s="21" t="n">
        <v>143.797</v>
      </c>
      <c r="GQ28" s="21" t="n">
        <v>125.414</v>
      </c>
      <c r="GR28" s="21" t="n">
        <v>279.6</v>
      </c>
      <c r="GS28" s="21" t="n">
        <v>174.299</v>
      </c>
      <c r="GT28" s="21" t="n">
        <v>515.074</v>
      </c>
      <c r="GU28" s="21" t="n">
        <v>199.786</v>
      </c>
      <c r="GV28" s="21" t="n">
        <v>225.406</v>
      </c>
      <c r="GW28" s="21" t="n">
        <v>267.362</v>
      </c>
      <c r="GX28" s="21" t="n">
        <v>284.341</v>
      </c>
      <c r="GY28" s="21" t="n">
        <v>159.755</v>
      </c>
      <c r="GZ28" s="21" t="n">
        <v>117.287</v>
      </c>
      <c r="HA28" s="21" t="n">
        <v>65.73699999999999</v>
      </c>
      <c r="HB28" s="21" t="n">
        <v>473.685</v>
      </c>
      <c r="HC28" s="21" t="n">
        <v>376.44</v>
      </c>
      <c r="HD28" s="21" t="n">
        <v>123.227</v>
      </c>
      <c r="HE28" s="21" t="n">
        <v>518.47</v>
      </c>
      <c r="HF28" s="21" t="n">
        <v>97.42700000000001</v>
      </c>
      <c r="HG28" s="21" t="n">
        <v>504.797</v>
      </c>
      <c r="HH28" s="21" t="n">
        <v>376.602</v>
      </c>
      <c r="HI28" s="21" t="n">
        <v>383.965</v>
      </c>
      <c r="HJ28" s="21" t="n">
        <v>470.065</v>
      </c>
      <c r="HK28" s="21" t="n">
        <v>186.664</v>
      </c>
      <c r="HL28" s="21" t="n">
        <v>236.293</v>
      </c>
      <c r="HM28" s="21" t="n">
        <v>74.501</v>
      </c>
      <c r="HN28" s="21" t="n">
        <v>313.215</v>
      </c>
      <c r="HO28" s="21" t="n">
        <v>308.17</v>
      </c>
      <c r="HP28" s="21" t="n">
        <v>694.491</v>
      </c>
      <c r="HQ28" s="21" t="n">
        <v>218.3</v>
      </c>
      <c r="HR28" s="21" t="n">
        <v>118.234</v>
      </c>
      <c r="HS28" s="21" t="n">
        <v>103.234</v>
      </c>
      <c r="HT28" s="21" t="n">
        <v>234.186</v>
      </c>
      <c r="HU28" s="21" t="n">
        <v>455.576</v>
      </c>
      <c r="HV28" s="21" t="n">
        <v>125.453</v>
      </c>
      <c r="HW28" s="21" t="n">
        <v>32.825</v>
      </c>
      <c r="HX28" s="21" t="n">
        <v>170.167</v>
      </c>
      <c r="HY28" s="21" t="n">
        <v>197.618</v>
      </c>
      <c r="HZ28" s="21" t="n">
        <v>151.394</v>
      </c>
      <c r="IA28" s="21" t="n">
        <v>113.301</v>
      </c>
      <c r="IB28" s="21" t="n">
        <v>237.091</v>
      </c>
      <c r="IC28" s="21" t="n">
        <v>186.281</v>
      </c>
      <c r="ID28" s="21" t="n">
        <v>248.419</v>
      </c>
      <c r="IE28" s="21" t="n">
        <v>111.271</v>
      </c>
      <c r="IF28" s="21" t="n">
        <v>145.503</v>
      </c>
      <c r="IG28" s="21" t="n">
        <v>81.941</v>
      </c>
      <c r="IH28" s="21" t="n">
        <v>76.081</v>
      </c>
      <c r="II28" s="21" t="n">
        <v>55.681</v>
      </c>
      <c r="IJ28" s="21" t="n">
        <v>22.8</v>
      </c>
      <c r="IK28" s="21" t="n">
        <v>41.606</v>
      </c>
      <c r="IL28" s="21" t="n">
        <v>38.416</v>
      </c>
      <c r="IM28" s="21" t="n">
        <v>46.993</v>
      </c>
      <c r="IN28" s="21" t="n">
        <v>94.033</v>
      </c>
      <c r="IO28" s="21" t="n">
        <v>100.229</v>
      </c>
      <c r="IP28" s="21" t="n">
        <v>163.52</v>
      </c>
      <c r="IQ28" s="21" t="n">
        <v>134.381</v>
      </c>
      <c r="IR28" s="21" t="n">
        <v>375.376</v>
      </c>
      <c r="IS28" s="21" t="n">
        <v>176.939</v>
      </c>
      <c r="IT28" s="21" t="n">
        <v>221.56</v>
      </c>
      <c r="IU28" s="21" t="n">
        <v>301.994</v>
      </c>
      <c r="IV28" s="21" t="n">
        <v>243.07</v>
      </c>
      <c r="IW28" s="21" t="n">
        <v>136.392</v>
      </c>
      <c r="IX28" s="21" t="n">
        <v>251.829</v>
      </c>
      <c r="IY28" s="21" t="n">
        <v>698.235</v>
      </c>
      <c r="IZ28" s="21" t="n">
        <v>719.999</v>
      </c>
      <c r="JA28" s="21" t="n">
        <v>817.116</v>
      </c>
      <c r="JB28" s="21" t="n">
        <v>75.782</v>
      </c>
      <c r="JC28" s="21" t="n">
        <v>289.445</v>
      </c>
      <c r="JD28" s="21" t="n">
        <v>244.173</v>
      </c>
      <c r="JE28" s="21" t="n">
        <v>75.25</v>
      </c>
      <c r="JF28" s="21" t="n">
        <v>178.741</v>
      </c>
      <c r="JG28" s="21" t="n">
        <v>281.227</v>
      </c>
      <c r="JH28" s="21" t="n">
        <v>287.591</v>
      </c>
      <c r="JI28" s="21" t="n">
        <v>71.41500000000001</v>
      </c>
      <c r="JJ28" s="21" t="n">
        <v>114.078</v>
      </c>
      <c r="JK28" s="21" t="n">
        <v>42.818</v>
      </c>
      <c r="JL28" s="21" t="n">
        <v>77.074</v>
      </c>
      <c r="JM28" s="21" t="n">
        <v>272.505</v>
      </c>
      <c r="JN28" s="21" t="n">
        <v>428.336</v>
      </c>
      <c r="JO28" s="21" t="n">
        <v>62.293</v>
      </c>
      <c r="JP28" s="21" t="n">
        <v>403.573</v>
      </c>
      <c r="JQ28" s="21" t="n">
        <v>226.301</v>
      </c>
      <c r="JR28" s="21" t="n">
        <v>161.555</v>
      </c>
      <c r="JS28" s="21" t="n">
        <v>422.278</v>
      </c>
      <c r="JT28" s="21" t="n">
        <v>345.706</v>
      </c>
      <c r="JU28" s="21" t="n">
        <v>323.806</v>
      </c>
      <c r="JV28" s="21" t="n">
        <v>163.473</v>
      </c>
      <c r="JW28" s="21" t="n">
        <v>341.465</v>
      </c>
      <c r="JX28" s="21" t="n">
        <v>236.886</v>
      </c>
      <c r="JY28" s="21" t="n">
        <v>77.15600000000001</v>
      </c>
      <c r="JZ28" s="21" t="n">
        <v>150.423</v>
      </c>
      <c r="KA28" s="21" t="n">
        <v>232.866</v>
      </c>
      <c r="KB28" s="21" t="n">
        <v>249.995</v>
      </c>
      <c r="KC28" s="21" t="n">
        <v>243.054</v>
      </c>
      <c r="KD28" s="21" t="n">
        <v>250.944</v>
      </c>
      <c r="KE28" s="21" t="n">
        <v>226.607</v>
      </c>
      <c r="KF28" s="21" t="n">
        <v>220.66</v>
      </c>
      <c r="KG28" s="21" t="n">
        <v>226.431</v>
      </c>
      <c r="KH28" s="21" t="n">
        <v>231.753</v>
      </c>
      <c r="KI28" s="21" t="n">
        <v>119.212</v>
      </c>
      <c r="KJ28" s="21" t="n">
        <v>181.311</v>
      </c>
      <c r="KK28" s="21" t="n">
        <v>150.895</v>
      </c>
      <c r="KL28" s="21" t="n">
        <v>147.652</v>
      </c>
      <c r="KM28" s="21" t="n">
        <v>144.995</v>
      </c>
      <c r="KN28" s="21" t="n">
        <v>146.328</v>
      </c>
      <c r="KO28" s="21" t="n">
        <v>246.104</v>
      </c>
      <c r="KP28" s="21" t="n">
        <v>106.073</v>
      </c>
      <c r="KQ28" s="21" t="n">
        <v>78.288</v>
      </c>
      <c r="KR28" s="21" t="n">
        <v>108.853</v>
      </c>
      <c r="KS28" s="21" t="n">
        <v>202.528</v>
      </c>
      <c r="KT28" s="21" t="n">
        <v>214.955</v>
      </c>
      <c r="KU28" s="21" t="n">
        <v>90.90900000000001</v>
      </c>
      <c r="KV28" s="21" t="n">
        <v>57.579</v>
      </c>
      <c r="KW28" s="21" t="n">
        <v>218.794</v>
      </c>
      <c r="KX28" s="21" t="n">
        <v>193.372</v>
      </c>
      <c r="KY28" s="21" t="n">
        <v>234.47</v>
      </c>
      <c r="KZ28" s="21" t="n">
        <v>190.197</v>
      </c>
      <c r="LA28" s="21" t="n">
        <v>234.527</v>
      </c>
      <c r="LB28" s="21" t="n">
        <v>109.271</v>
      </c>
      <c r="LC28" s="21" t="n">
        <v>346.404</v>
      </c>
      <c r="LD28" s="21" t="n">
        <v>83.846</v>
      </c>
      <c r="LE28" s="21" t="n">
        <v>118.202</v>
      </c>
      <c r="LF28" s="21" t="n">
        <v>307.421</v>
      </c>
      <c r="LG28" s="21" t="n">
        <v>305.619</v>
      </c>
      <c r="LH28" s="21" t="n">
        <v>316.298</v>
      </c>
      <c r="LI28" s="21" t="n">
        <v>290.577</v>
      </c>
      <c r="LJ28" s="21" t="n">
        <v>327.228</v>
      </c>
      <c r="LK28" s="21" t="n">
        <v>105.02</v>
      </c>
      <c r="LL28" s="21" t="n">
        <v>307.092</v>
      </c>
      <c r="LM28" s="21" t="n">
        <v>215.406</v>
      </c>
      <c r="LN28" s="21" t="n">
        <v>50.756</v>
      </c>
      <c r="LO28" s="21" t="n">
        <v>121.421</v>
      </c>
    </row>
    <row r="29">
      <c r="A29" s="22" t="n">
        <v>42826</v>
      </c>
      <c r="B29" s="21" t="n">
        <v>244.193</v>
      </c>
      <c r="C29" s="21" t="n">
        <v>249.381</v>
      </c>
      <c r="D29" s="21" t="n">
        <v>249.589</v>
      </c>
      <c r="E29" s="21" t="n">
        <v>238.568</v>
      </c>
      <c r="F29" s="21" t="n">
        <v>271.76</v>
      </c>
      <c r="G29" s="21" t="n">
        <v>227.6</v>
      </c>
      <c r="H29" s="21" t="n">
        <v>234.315</v>
      </c>
      <c r="I29" s="21" t="n">
        <v>225.253</v>
      </c>
      <c r="J29" s="21" t="n">
        <v>233.893</v>
      </c>
      <c r="K29" s="21" t="n">
        <v>297.043</v>
      </c>
      <c r="L29" s="21" t="n">
        <v>178.554</v>
      </c>
      <c r="M29" s="21" t="n">
        <v>176.275</v>
      </c>
      <c r="N29" s="21" t="n">
        <v>283.46</v>
      </c>
      <c r="O29" s="21" t="n">
        <v>269.502</v>
      </c>
      <c r="P29" s="21" t="n">
        <v>263.827</v>
      </c>
      <c r="Q29" s="21" t="n">
        <v>304.125</v>
      </c>
      <c r="R29" s="21" t="n">
        <v>268.69</v>
      </c>
      <c r="S29" s="21" t="n">
        <v>243.69</v>
      </c>
      <c r="T29" s="21" t="n">
        <v>246.852</v>
      </c>
      <c r="U29" s="21" t="n">
        <v>248.908</v>
      </c>
      <c r="V29" s="21" t="n">
        <v>294.774</v>
      </c>
      <c r="W29" s="21" t="n">
        <v>260.834</v>
      </c>
      <c r="X29" s="21" t="n">
        <v>220.266</v>
      </c>
      <c r="Y29" s="21" t="n">
        <v>200.526</v>
      </c>
      <c r="Z29" s="21" t="n">
        <v>210.017</v>
      </c>
      <c r="AA29" s="21" t="n">
        <v>159.764</v>
      </c>
      <c r="AB29" s="21" t="n">
        <v>303.247</v>
      </c>
      <c r="AC29" s="21" t="n">
        <v>141.233</v>
      </c>
      <c r="AD29" s="21" t="n">
        <v>200.865</v>
      </c>
      <c r="AE29" s="21" t="n">
        <v>223.876</v>
      </c>
      <c r="AF29" s="21" t="n">
        <v>180.404</v>
      </c>
      <c r="AG29" s="21" t="n">
        <v>126.521</v>
      </c>
      <c r="AH29" s="21" t="n">
        <v>222.349</v>
      </c>
      <c r="AI29" s="21" t="n">
        <v>223.044</v>
      </c>
      <c r="AJ29" s="21" t="n">
        <v>144.802</v>
      </c>
      <c r="AK29" s="21" t="n">
        <v>230.537</v>
      </c>
      <c r="AL29" s="21" t="n">
        <v>147.576</v>
      </c>
      <c r="AM29" s="21" t="n">
        <v>240.551</v>
      </c>
      <c r="AN29" s="21" t="n">
        <v>220.066</v>
      </c>
      <c r="AO29" s="21" t="n">
        <v>154.098</v>
      </c>
      <c r="AP29" s="21" t="n">
        <v>282.898</v>
      </c>
      <c r="AQ29" s="21" t="n">
        <v>176.624</v>
      </c>
      <c r="AR29" s="21" t="n">
        <v>141.336</v>
      </c>
      <c r="AS29" s="21" t="n">
        <v>193.527</v>
      </c>
      <c r="AT29" s="21" t="n">
        <v>301.808</v>
      </c>
      <c r="AU29" s="21" t="n">
        <v>202.723</v>
      </c>
      <c r="AV29" s="21" t="n">
        <v>217.821</v>
      </c>
      <c r="AW29" s="21" t="n">
        <v>139.988</v>
      </c>
      <c r="AX29" s="21" t="n">
        <v>202.245</v>
      </c>
      <c r="AY29" s="21" t="n">
        <v>142.813</v>
      </c>
      <c r="AZ29" s="21" t="n">
        <v>228.19</v>
      </c>
      <c r="BA29" s="21" t="n">
        <v>219.063</v>
      </c>
      <c r="BB29" s="21" t="n">
        <v>148.116</v>
      </c>
      <c r="BC29" s="21" t="n">
        <v>298.253</v>
      </c>
      <c r="BD29" s="21" t="n">
        <v>346.139</v>
      </c>
      <c r="BE29" s="21" t="n">
        <v>361.374</v>
      </c>
      <c r="BF29" s="21" t="n">
        <v>338.537</v>
      </c>
      <c r="BG29" s="21" t="n">
        <v>197.638</v>
      </c>
      <c r="BH29" s="21" t="n">
        <v>243.891</v>
      </c>
      <c r="BI29" s="21" t="n">
        <v>499.626</v>
      </c>
      <c r="BJ29" s="21" t="n">
        <v>122.595</v>
      </c>
      <c r="BK29" s="21" t="n">
        <v>328.876</v>
      </c>
      <c r="BL29" s="21" t="n">
        <v>336.409</v>
      </c>
      <c r="BM29" s="21" t="n">
        <v>331.262</v>
      </c>
      <c r="BN29" s="21" t="n">
        <v>323.318</v>
      </c>
      <c r="BO29" s="21" t="n">
        <v>330.5</v>
      </c>
      <c r="BP29" s="21" t="n">
        <v>155.427</v>
      </c>
      <c r="BQ29" s="21" t="n">
        <v>158.626</v>
      </c>
      <c r="BR29" s="21" t="n">
        <v>157.455</v>
      </c>
      <c r="BS29" s="21" t="n">
        <v>164.462</v>
      </c>
      <c r="BT29" s="21" t="n">
        <v>148.379</v>
      </c>
      <c r="BU29" s="21" t="n">
        <v>203.028</v>
      </c>
      <c r="BV29" s="21" t="n">
        <v>157.437</v>
      </c>
      <c r="BW29" s="21" t="n">
        <v>167.738</v>
      </c>
      <c r="BX29" s="21" t="n">
        <v>129.024</v>
      </c>
      <c r="BY29" s="21" t="n">
        <v>161.677</v>
      </c>
      <c r="BZ29" s="21" t="n">
        <v>117.67</v>
      </c>
      <c r="CA29" s="21" t="n">
        <v>118.761</v>
      </c>
      <c r="CB29" s="21" t="n">
        <v>200.831</v>
      </c>
      <c r="CC29" s="21" t="n">
        <v>209.559</v>
      </c>
      <c r="CD29" s="21" t="n">
        <v>128.674</v>
      </c>
      <c r="CE29" s="21" t="n">
        <v>209.898</v>
      </c>
      <c r="CF29" s="21" t="n">
        <v>214.014</v>
      </c>
      <c r="CG29" s="21" t="n">
        <v>183.652</v>
      </c>
      <c r="CH29" s="21" t="n">
        <v>143.741</v>
      </c>
      <c r="CI29" s="21" t="n">
        <v>154.975</v>
      </c>
      <c r="CJ29" s="21" t="n">
        <v>226.904</v>
      </c>
      <c r="CK29" s="21" t="n">
        <v>204.622</v>
      </c>
      <c r="CL29" s="21" t="n">
        <v>237.889</v>
      </c>
      <c r="CM29" s="21" t="n">
        <v>305</v>
      </c>
      <c r="CN29" s="21" t="n">
        <v>127.157</v>
      </c>
      <c r="CO29" s="21" t="n">
        <v>158.085</v>
      </c>
      <c r="CP29" s="21" t="n">
        <v>224.754</v>
      </c>
      <c r="CQ29" s="21" t="n">
        <v>244.403</v>
      </c>
      <c r="CR29" s="21" t="n">
        <v>169.014</v>
      </c>
      <c r="CS29" s="21" t="n">
        <v>254.475</v>
      </c>
      <c r="CT29" s="21" t="n">
        <v>239.943</v>
      </c>
      <c r="CU29" s="21" t="n">
        <v>152.782</v>
      </c>
      <c r="CV29" s="21" t="n">
        <v>134.758</v>
      </c>
      <c r="CW29" s="21" t="n">
        <v>136.641</v>
      </c>
      <c r="CX29" s="21" t="n">
        <v>277.777</v>
      </c>
      <c r="CY29" s="21" t="n">
        <v>131.885</v>
      </c>
      <c r="CZ29" s="21" t="n">
        <v>127.155</v>
      </c>
      <c r="DA29" s="21" t="n">
        <v>267.652</v>
      </c>
      <c r="DB29" s="21" t="n">
        <v>166.343</v>
      </c>
      <c r="DC29" s="21" t="n">
        <v>173.023</v>
      </c>
      <c r="DD29" s="21" t="n">
        <v>143.819</v>
      </c>
      <c r="DE29" s="21" t="n">
        <v>183.544</v>
      </c>
      <c r="DF29" s="21" t="n">
        <v>245.249</v>
      </c>
      <c r="DG29" s="21" t="n">
        <v>200.612</v>
      </c>
      <c r="DH29" s="21" t="n">
        <v>223.044</v>
      </c>
      <c r="DI29" s="21" t="n">
        <v>193.433</v>
      </c>
      <c r="DJ29" s="21" t="n">
        <v>209.496</v>
      </c>
      <c r="DK29" s="21" t="n">
        <v>187.058</v>
      </c>
      <c r="DL29" s="21" t="n">
        <v>168.605</v>
      </c>
      <c r="DM29" s="21" t="n">
        <v>341.854</v>
      </c>
      <c r="DN29" s="21" t="n">
        <v>184.595</v>
      </c>
      <c r="DO29" s="21" t="n">
        <v>249.8</v>
      </c>
      <c r="DP29" s="21" t="n">
        <v>295.741</v>
      </c>
      <c r="DQ29" s="21" t="n">
        <v>305.692</v>
      </c>
      <c r="DR29" s="21" t="n">
        <v>159.503</v>
      </c>
      <c r="DS29" s="21" t="n">
        <v>535.2670000000001</v>
      </c>
      <c r="DT29" s="21" t="n">
        <v>327.586</v>
      </c>
      <c r="DU29" s="21" t="n">
        <v>302.962</v>
      </c>
      <c r="DV29" s="21" t="n">
        <v>302.947</v>
      </c>
      <c r="DW29" s="21" t="n">
        <v>236.326</v>
      </c>
      <c r="DX29" s="21" t="n">
        <v>197.552</v>
      </c>
      <c r="DY29" s="21" t="n">
        <v>251.602</v>
      </c>
      <c r="DZ29" s="21" t="n">
        <v>239.822</v>
      </c>
      <c r="EA29" s="21" t="n">
        <v>318.905</v>
      </c>
      <c r="EB29" s="21" t="n">
        <v>201.997</v>
      </c>
      <c r="EC29" s="21" t="n">
        <v>210.37</v>
      </c>
      <c r="ED29" s="21" t="n">
        <v>173.836</v>
      </c>
      <c r="EE29" s="21" t="n">
        <v>227.883</v>
      </c>
      <c r="EF29" s="21" t="n">
        <v>529.8339999999999</v>
      </c>
      <c r="EG29" s="21" t="n">
        <v>447.129</v>
      </c>
      <c r="EH29" s="21" t="n">
        <v>121.065</v>
      </c>
      <c r="EI29" s="21" t="n">
        <v>59.384</v>
      </c>
      <c r="EJ29" s="21" t="n">
        <v>68.67100000000001</v>
      </c>
      <c r="EK29" s="21" t="n">
        <v>45.889</v>
      </c>
      <c r="EL29" s="21" t="n">
        <v>111.305</v>
      </c>
      <c r="EM29" s="21" t="n">
        <v>69.55800000000001</v>
      </c>
      <c r="EN29" s="21" t="n">
        <v>74.858</v>
      </c>
      <c r="EO29" s="21" t="n">
        <v>79.732</v>
      </c>
      <c r="EP29" s="21" t="n">
        <v>91.678</v>
      </c>
      <c r="EQ29" s="21" t="n">
        <v>65.53700000000001</v>
      </c>
      <c r="ER29" s="21" t="n">
        <v>54.791</v>
      </c>
      <c r="ES29" s="21" t="n">
        <v>130.001</v>
      </c>
      <c r="ET29" s="21" t="n">
        <v>87.65300000000001</v>
      </c>
      <c r="EU29" s="21" t="n">
        <v>89.866</v>
      </c>
      <c r="EV29" s="21" t="n">
        <v>97.849</v>
      </c>
      <c r="EW29" s="21" t="n">
        <v>86.01000000000001</v>
      </c>
      <c r="EX29" s="21" t="n">
        <v>186.287</v>
      </c>
      <c r="EY29" s="21" t="n">
        <v>119.924</v>
      </c>
      <c r="EZ29" s="21" t="n">
        <v>116.658</v>
      </c>
      <c r="FA29" s="21" t="n">
        <v>152.719</v>
      </c>
      <c r="FB29" s="21" t="n">
        <v>126.301</v>
      </c>
      <c r="FC29" s="21" t="n">
        <v>116.515</v>
      </c>
      <c r="FD29" s="21" t="n">
        <v>120.344</v>
      </c>
      <c r="FE29" s="21" t="n">
        <v>107.109</v>
      </c>
      <c r="FF29" s="21" t="n">
        <v>153.949</v>
      </c>
      <c r="FG29" s="21" t="n">
        <v>77.363</v>
      </c>
      <c r="FH29" s="21" t="n">
        <v>117.688</v>
      </c>
      <c r="FI29" s="21" t="n">
        <v>100.956</v>
      </c>
      <c r="FJ29" s="21" t="n">
        <v>111.867</v>
      </c>
      <c r="FK29" s="21" t="n">
        <v>115.29</v>
      </c>
      <c r="FL29" s="21" t="n">
        <v>112.922</v>
      </c>
      <c r="FM29" s="21" t="n">
        <v>123.491</v>
      </c>
      <c r="FN29" s="21" t="n">
        <v>81.221</v>
      </c>
      <c r="FO29" s="21" t="n">
        <v>108.774</v>
      </c>
      <c r="FP29" s="21" t="n">
        <v>95.801</v>
      </c>
      <c r="FQ29" s="21" t="n">
        <v>138.44</v>
      </c>
      <c r="FR29" s="21" t="n">
        <v>141.741</v>
      </c>
      <c r="FS29" s="21" t="n">
        <v>153.505</v>
      </c>
      <c r="FT29" s="21" t="n">
        <v>129.087</v>
      </c>
      <c r="FU29" s="21" t="n">
        <v>114.947</v>
      </c>
      <c r="FV29" s="21" t="n">
        <v>176.608</v>
      </c>
      <c r="FW29" s="21" t="n">
        <v>136.659</v>
      </c>
      <c r="FX29" s="21" t="n">
        <v>184.525</v>
      </c>
      <c r="FY29" s="21" t="n">
        <v>200.904</v>
      </c>
      <c r="FZ29" s="21" t="n">
        <v>195.665</v>
      </c>
      <c r="GA29" s="21" t="n">
        <v>99.352</v>
      </c>
      <c r="GB29" s="21" t="n">
        <v>148.147</v>
      </c>
      <c r="GC29" s="21" t="n">
        <v>102.578</v>
      </c>
      <c r="GD29" s="21" t="n">
        <v>144.186</v>
      </c>
      <c r="GE29" s="21" t="n">
        <v>157.232</v>
      </c>
      <c r="GF29" s="21" t="n"/>
      <c r="GG29" s="21" t="n">
        <v>138.596</v>
      </c>
      <c r="GH29" s="21" t="n">
        <v>84.69</v>
      </c>
      <c r="GI29" s="21" t="n">
        <v>124.209</v>
      </c>
      <c r="GJ29" s="21" t="n">
        <v>210.132</v>
      </c>
      <c r="GK29" s="21" t="n">
        <v>209.074</v>
      </c>
      <c r="GL29" s="21" t="n">
        <v>204.369</v>
      </c>
      <c r="GM29" s="21" t="n">
        <v>225.12</v>
      </c>
      <c r="GN29" s="21" t="n">
        <v>220.536</v>
      </c>
      <c r="GO29" s="21" t="n">
        <v>186.166</v>
      </c>
      <c r="GP29" s="21" t="n">
        <v>143.915</v>
      </c>
      <c r="GQ29" s="21" t="n">
        <v>125.592</v>
      </c>
      <c r="GR29" s="21" t="n">
        <v>280.17</v>
      </c>
      <c r="GS29" s="21" t="n">
        <v>174.693</v>
      </c>
      <c r="GT29" s="21" t="n">
        <v>515.003</v>
      </c>
      <c r="GU29" s="21" t="n">
        <v>199.556</v>
      </c>
      <c r="GV29" s="21" t="n">
        <v>225.334</v>
      </c>
      <c r="GW29" s="21" t="n">
        <v>267.966</v>
      </c>
      <c r="GX29" s="21" t="n">
        <v>285.005</v>
      </c>
      <c r="GY29" s="21" t="n">
        <v>159.006</v>
      </c>
      <c r="GZ29" s="21" t="n">
        <v>113.832</v>
      </c>
      <c r="HA29" s="21" t="n">
        <v>67.163</v>
      </c>
      <c r="HB29" s="21" t="n">
        <v>473.007</v>
      </c>
      <c r="HC29" s="21" t="n">
        <v>373.231</v>
      </c>
      <c r="HD29" s="21" t="n">
        <v>122.144</v>
      </c>
      <c r="HE29" s="21" t="n">
        <v>512.7380000000001</v>
      </c>
      <c r="HF29" s="21" t="n">
        <v>97.459</v>
      </c>
      <c r="HG29" s="21" t="n">
        <v>505.071</v>
      </c>
      <c r="HH29" s="21" t="n">
        <v>374.288</v>
      </c>
      <c r="HI29" s="21" t="n">
        <v>379.886</v>
      </c>
      <c r="HJ29" s="21" t="n">
        <v>469.289</v>
      </c>
      <c r="HK29" s="21" t="n">
        <v>187.283</v>
      </c>
      <c r="HL29" s="21" t="n">
        <v>236.293</v>
      </c>
      <c r="HM29" s="21" t="n">
        <v>75.063</v>
      </c>
      <c r="HN29" s="21" t="n">
        <v>315.817</v>
      </c>
      <c r="HO29" s="21" t="n">
        <v>310.27</v>
      </c>
      <c r="HP29" s="21" t="n">
        <v>702.443</v>
      </c>
      <c r="HQ29" s="21" t="n">
        <v>218.693</v>
      </c>
      <c r="HR29" s="21" t="n">
        <v>118.386</v>
      </c>
      <c r="HS29" s="21" t="n">
        <v>103.805</v>
      </c>
      <c r="HT29" s="21" t="n">
        <v>233.407</v>
      </c>
      <c r="HU29" s="21" t="n">
        <v>458.198</v>
      </c>
      <c r="HV29" s="21" t="n">
        <v>123.155</v>
      </c>
      <c r="HW29" s="21" t="n">
        <v>33.197</v>
      </c>
      <c r="HX29" s="21" t="n">
        <v>170.423</v>
      </c>
      <c r="HY29" s="21" t="n">
        <v>197.805</v>
      </c>
      <c r="HZ29" s="21" t="n">
        <v>151.053</v>
      </c>
      <c r="IA29" s="21" t="n">
        <v>113.706</v>
      </c>
      <c r="IB29" s="21" t="n">
        <v>237.657</v>
      </c>
      <c r="IC29" s="21" t="n">
        <v>186.747</v>
      </c>
      <c r="ID29" s="21" t="n">
        <v>248.932</v>
      </c>
      <c r="IE29" s="21" t="n">
        <v>111.374</v>
      </c>
      <c r="IF29" s="21" t="n">
        <v>145.603</v>
      </c>
      <c r="IG29" s="21" t="n">
        <v>82.04600000000001</v>
      </c>
      <c r="IH29" s="21" t="n">
        <v>75.904</v>
      </c>
      <c r="II29" s="21" t="n">
        <v>55.692</v>
      </c>
      <c r="IJ29" s="21" t="n">
        <v>22.861</v>
      </c>
      <c r="IK29" s="21" t="n">
        <v>41.153</v>
      </c>
      <c r="IL29" s="21" t="n">
        <v>38.057</v>
      </c>
      <c r="IM29" s="21" t="n">
        <v>46.449</v>
      </c>
      <c r="IN29" s="21" t="n">
        <v>89.185</v>
      </c>
      <c r="IO29" s="21" t="n">
        <v>100.904</v>
      </c>
      <c r="IP29" s="21" t="n">
        <v>163.456</v>
      </c>
      <c r="IQ29" s="21" t="n">
        <v>133.96</v>
      </c>
      <c r="IR29" s="21" t="n">
        <v>375.633</v>
      </c>
      <c r="IS29" s="21" t="n">
        <v>177.536</v>
      </c>
      <c r="IT29" s="21" t="n">
        <v>220.854</v>
      </c>
      <c r="IU29" s="21" t="n">
        <v>303.136</v>
      </c>
      <c r="IV29" s="21" t="n">
        <v>243.004</v>
      </c>
      <c r="IW29" s="21" t="n">
        <v>136.017</v>
      </c>
      <c r="IX29" s="21" t="n">
        <v>252.052</v>
      </c>
      <c r="IY29" s="21" t="n">
        <v>688.5599999999999</v>
      </c>
      <c r="IZ29" s="21" t="n">
        <v>721.21</v>
      </c>
      <c r="JA29" s="21" t="n">
        <v>818.894</v>
      </c>
      <c r="JB29" s="21" t="n">
        <v>75.995</v>
      </c>
      <c r="JC29" s="21" t="n">
        <v>289.814</v>
      </c>
      <c r="JD29" s="21" t="n">
        <v>244.609</v>
      </c>
      <c r="JE29" s="21" t="n">
        <v>74.801</v>
      </c>
      <c r="JF29" s="21" t="n">
        <v>179.461</v>
      </c>
      <c r="JG29" s="21" t="n">
        <v>282.327</v>
      </c>
      <c r="JH29" s="21" t="n">
        <v>289.37</v>
      </c>
      <c r="JI29" s="21" t="n">
        <v>70.95999999999999</v>
      </c>
      <c r="JJ29" s="21" t="n">
        <v>114.466</v>
      </c>
      <c r="JK29" s="21" t="n">
        <v>42.896</v>
      </c>
      <c r="JL29" s="21" t="n">
        <v>77.616</v>
      </c>
      <c r="JM29" s="21" t="n">
        <v>270.017</v>
      </c>
      <c r="JN29" s="21" t="n">
        <v>432.175</v>
      </c>
      <c r="JO29" s="21" t="n">
        <v>64.693</v>
      </c>
      <c r="JP29" s="21" t="n">
        <v>420.029</v>
      </c>
      <c r="JQ29" s="21" t="n">
        <v>226.557</v>
      </c>
      <c r="JR29" s="21" t="n">
        <v>161.915</v>
      </c>
      <c r="JS29" s="21" t="n">
        <v>422.836</v>
      </c>
      <c r="JT29" s="21" t="n">
        <v>345.865</v>
      </c>
      <c r="JU29" s="21" t="n">
        <v>324.773</v>
      </c>
      <c r="JV29" s="21" t="n">
        <v>164.202</v>
      </c>
      <c r="JW29" s="21" t="n">
        <v>340.512</v>
      </c>
      <c r="JX29" s="21" t="n">
        <v>236.228</v>
      </c>
      <c r="JY29" s="21" t="n">
        <v>76.964</v>
      </c>
      <c r="JZ29" s="21" t="n">
        <v>149.36</v>
      </c>
      <c r="KA29" s="21" t="n">
        <v>233.212</v>
      </c>
      <c r="KB29" s="21" t="n">
        <v>250.287</v>
      </c>
      <c r="KC29" s="21" t="n">
        <v>243.348</v>
      </c>
      <c r="KD29" s="21" t="n">
        <v>251.227</v>
      </c>
      <c r="KE29" s="21" t="n">
        <v>226.746</v>
      </c>
      <c r="KF29" s="21" t="n">
        <v>220.75</v>
      </c>
      <c r="KG29" s="21" t="n">
        <v>226.462</v>
      </c>
      <c r="KH29" s="21" t="n">
        <v>231.834</v>
      </c>
      <c r="KI29" s="21" t="n">
        <v>118.898</v>
      </c>
      <c r="KJ29" s="21" t="n">
        <v>181.247</v>
      </c>
      <c r="KK29" s="21" t="n">
        <v>150.685</v>
      </c>
      <c r="KL29" s="21" t="n">
        <v>147.422</v>
      </c>
      <c r="KM29" s="21" t="n">
        <v>144.922</v>
      </c>
      <c r="KN29" s="21" t="n">
        <v>146.323</v>
      </c>
      <c r="KO29" s="21" t="n">
        <v>246.842</v>
      </c>
      <c r="KP29" s="21" t="n">
        <v>105.91</v>
      </c>
      <c r="KQ29" s="21" t="n">
        <v>77.84999999999999</v>
      </c>
      <c r="KR29" s="21" t="n">
        <v>108.584</v>
      </c>
      <c r="KS29" s="21" t="n">
        <v>202.954</v>
      </c>
      <c r="KT29" s="21" t="n">
        <v>213.665</v>
      </c>
      <c r="KU29" s="21" t="n">
        <v>90.73</v>
      </c>
      <c r="KV29" s="21" t="n">
        <v>57.434</v>
      </c>
      <c r="KW29" s="21" t="n">
        <v>218.825</v>
      </c>
      <c r="KX29" s="21" t="n">
        <v>193.249</v>
      </c>
      <c r="KY29" s="21" t="n">
        <v>233.767</v>
      </c>
      <c r="KZ29" s="21" t="n">
        <v>190.012</v>
      </c>
      <c r="LA29" s="21" t="n">
        <v>233.986</v>
      </c>
      <c r="LB29" s="21" t="n">
        <v>111.168</v>
      </c>
      <c r="LC29" s="21" t="n">
        <v>346.306</v>
      </c>
      <c r="LD29" s="21" t="n">
        <v>83.70699999999999</v>
      </c>
      <c r="LE29" s="21" t="n">
        <v>118.51</v>
      </c>
      <c r="LF29" s="21" t="n">
        <v>308.148</v>
      </c>
      <c r="LG29" s="21" t="n">
        <v>306.26</v>
      </c>
      <c r="LH29" s="21" t="n">
        <v>316.804</v>
      </c>
      <c r="LI29" s="21" t="n">
        <v>291.273</v>
      </c>
      <c r="LJ29" s="21" t="n">
        <v>327.837</v>
      </c>
      <c r="LK29" s="21" t="n">
        <v>104.915</v>
      </c>
      <c r="LL29" s="21" t="n">
        <v>307.57</v>
      </c>
      <c r="LM29" s="21" t="n">
        <v>215.933</v>
      </c>
      <c r="LN29" s="21" t="n">
        <v>50.776</v>
      </c>
      <c r="LO29" s="21" t="n">
        <v>122.173</v>
      </c>
    </row>
    <row r="30">
      <c r="A30" s="22" t="n">
        <v>42856</v>
      </c>
      <c r="B30" s="21" t="n">
        <v>244.004</v>
      </c>
      <c r="C30" s="21" t="n">
        <v>249.711</v>
      </c>
      <c r="D30" s="21" t="n">
        <v>249.972</v>
      </c>
      <c r="E30" s="21" t="n">
        <v>238.893</v>
      </c>
      <c r="F30" s="21" t="n">
        <v>272.234</v>
      </c>
      <c r="G30" s="21" t="n">
        <v>227.732</v>
      </c>
      <c r="H30" s="21" t="n">
        <v>236.09</v>
      </c>
      <c r="I30" s="21" t="n">
        <v>225.388</v>
      </c>
      <c r="J30" s="21" t="n">
        <v>234.055</v>
      </c>
      <c r="K30" s="21" t="n">
        <v>297.588</v>
      </c>
      <c r="L30" s="21" t="n">
        <v>178.625</v>
      </c>
      <c r="M30" s="21" t="n">
        <v>177.29</v>
      </c>
      <c r="N30" s="21" t="n">
        <v>283.151</v>
      </c>
      <c r="O30" s="21" t="n">
        <v>269.561</v>
      </c>
      <c r="P30" s="21" t="n">
        <v>264.563</v>
      </c>
      <c r="Q30" s="21" t="n">
        <v>303.56</v>
      </c>
      <c r="R30" s="21" t="n">
        <v>269.638</v>
      </c>
      <c r="S30" s="21" t="n">
        <v>243.922</v>
      </c>
      <c r="T30" s="21" t="n">
        <v>247.784</v>
      </c>
      <c r="U30" s="21" t="n">
        <v>249.048</v>
      </c>
      <c r="V30" s="21" t="n">
        <v>293.8</v>
      </c>
      <c r="W30" s="21" t="n">
        <v>261.397</v>
      </c>
      <c r="X30" s="21" t="n">
        <v>223.396</v>
      </c>
      <c r="Y30" s="21" t="n">
        <v>197.072</v>
      </c>
      <c r="Z30" s="21" t="n">
        <v>210.289</v>
      </c>
      <c r="AA30" s="21" t="n">
        <v>158.95</v>
      </c>
      <c r="AB30" s="21" t="n">
        <v>298.842</v>
      </c>
      <c r="AC30" s="21" t="n">
        <v>141.359</v>
      </c>
      <c r="AD30" s="21" t="n">
        <v>196.067</v>
      </c>
      <c r="AE30" s="21" t="n">
        <v>217.654</v>
      </c>
      <c r="AF30" s="21" t="n">
        <v>185.612</v>
      </c>
      <c r="AG30" s="21" t="n">
        <v>126.638</v>
      </c>
      <c r="AH30" s="21" t="n">
        <v>223.851</v>
      </c>
      <c r="AI30" s="21" t="n">
        <v>223.245</v>
      </c>
      <c r="AJ30" s="21" t="n">
        <v>145.453</v>
      </c>
      <c r="AK30" s="21" t="n">
        <v>231.895</v>
      </c>
      <c r="AL30" s="21" t="n">
        <v>148.43</v>
      </c>
      <c r="AM30" s="21" t="n">
        <v>245.085</v>
      </c>
      <c r="AN30" s="21" t="n">
        <v>220.501</v>
      </c>
      <c r="AO30" s="21" t="n">
        <v>153.336</v>
      </c>
      <c r="AP30" s="21" t="n">
        <v>286.817</v>
      </c>
      <c r="AQ30" s="21" t="n">
        <v>177.507</v>
      </c>
      <c r="AR30" s="21" t="n">
        <v>144.521</v>
      </c>
      <c r="AS30" s="21" t="n">
        <v>200.771</v>
      </c>
      <c r="AT30" s="21" t="n">
        <v>304.519</v>
      </c>
      <c r="AU30" s="21" t="n">
        <v>193.459</v>
      </c>
      <c r="AV30" s="21" t="n">
        <v>217.826</v>
      </c>
      <c r="AW30" s="21" t="n">
        <v>140.3</v>
      </c>
      <c r="AX30" s="21" t="n">
        <v>202.879</v>
      </c>
      <c r="AY30" s="21" t="n">
        <v>143.061</v>
      </c>
      <c r="AZ30" s="21" t="n">
        <v>227.026</v>
      </c>
      <c r="BA30" s="21" t="n">
        <v>221.153</v>
      </c>
      <c r="BB30" s="21" t="n">
        <v>147.55</v>
      </c>
      <c r="BC30" s="21" t="n">
        <v>297.511</v>
      </c>
      <c r="BD30" s="21" t="n">
        <v>345.024</v>
      </c>
      <c r="BE30" s="21" t="n">
        <v>360.572</v>
      </c>
      <c r="BF30" s="21" t="n">
        <v>341.931</v>
      </c>
      <c r="BG30" s="21" t="n">
        <v>196.982</v>
      </c>
      <c r="BH30" s="21" t="n">
        <v>242.321</v>
      </c>
      <c r="BI30" s="21" t="n">
        <v>495.059</v>
      </c>
      <c r="BJ30" s="21" t="n">
        <v>121.689</v>
      </c>
      <c r="BK30" s="21" t="n">
        <v>327.438</v>
      </c>
      <c r="BL30" s="21" t="n">
        <v>337.951</v>
      </c>
      <c r="BM30" s="21" t="n">
        <v>325.013</v>
      </c>
      <c r="BN30" s="21" t="n">
        <v>327.894</v>
      </c>
      <c r="BO30" s="21" t="n">
        <v>328.616</v>
      </c>
      <c r="BP30" s="21" t="n">
        <v>155.461</v>
      </c>
      <c r="BQ30" s="21" t="n">
        <v>158.162</v>
      </c>
      <c r="BR30" s="21" t="n">
        <v>156.982</v>
      </c>
      <c r="BS30" s="21" t="n">
        <v>163.891</v>
      </c>
      <c r="BT30" s="21" t="n">
        <v>149.352</v>
      </c>
      <c r="BU30" s="21" t="n">
        <v>203.722</v>
      </c>
      <c r="BV30" s="21" t="n">
        <v>158.016</v>
      </c>
      <c r="BW30" s="21" t="n">
        <v>169.068</v>
      </c>
      <c r="BX30" s="21" t="n">
        <v>130.099</v>
      </c>
      <c r="BY30" s="21" t="n">
        <v>163.634</v>
      </c>
      <c r="BZ30" s="21" t="n">
        <v>118.278</v>
      </c>
      <c r="CA30" s="21" t="n">
        <v>119.068</v>
      </c>
      <c r="CB30" s="21" t="n">
        <v>202.335</v>
      </c>
      <c r="CC30" s="21" t="n">
        <v>211.935</v>
      </c>
      <c r="CD30" s="21" t="n">
        <v>127.757</v>
      </c>
      <c r="CE30" s="21" t="n">
        <v>210.219</v>
      </c>
      <c r="CF30" s="21" t="n">
        <v>214.418</v>
      </c>
      <c r="CG30" s="21" t="n">
        <v>187.025</v>
      </c>
      <c r="CH30" s="21" t="n">
        <v>143.28</v>
      </c>
      <c r="CI30" s="21" t="n">
        <v>156.028</v>
      </c>
      <c r="CJ30" s="21" t="n">
        <v>228.414</v>
      </c>
      <c r="CK30" s="21" t="n">
        <v>205.449</v>
      </c>
      <c r="CL30" s="21" t="n">
        <v>240.183</v>
      </c>
      <c r="CM30" s="21" t="n">
        <v>305.174</v>
      </c>
      <c r="CN30" s="21" t="n">
        <v>129.519</v>
      </c>
      <c r="CO30" s="21" t="n">
        <v>158.373</v>
      </c>
      <c r="CP30" s="21" t="n">
        <v>224.899</v>
      </c>
      <c r="CQ30" s="21" t="n">
        <v>246.168</v>
      </c>
      <c r="CR30" s="21" t="n">
        <v>169.128</v>
      </c>
      <c r="CS30" s="21" t="n">
        <v>252.379</v>
      </c>
      <c r="CT30" s="21" t="n">
        <v>239.302</v>
      </c>
      <c r="CU30" s="21" t="n">
        <v>153.307</v>
      </c>
      <c r="CV30" s="21" t="n">
        <v>133.648</v>
      </c>
      <c r="CW30" s="21" t="n">
        <v>135.425</v>
      </c>
      <c r="CX30" s="21" t="n">
        <v>280.67</v>
      </c>
      <c r="CY30" s="21" t="n">
        <v>132.383</v>
      </c>
      <c r="CZ30" s="21" t="n">
        <v>127.249</v>
      </c>
      <c r="DA30" s="21" t="n">
        <v>268.128</v>
      </c>
      <c r="DB30" s="21" t="n">
        <v>166.721</v>
      </c>
      <c r="DC30" s="21" t="n">
        <v>173.025</v>
      </c>
      <c r="DD30" s="21" t="n">
        <v>143.816</v>
      </c>
      <c r="DE30" s="21" t="n">
        <v>183.365</v>
      </c>
      <c r="DF30" s="21" t="n">
        <v>244.818</v>
      </c>
      <c r="DG30" s="21" t="n">
        <v>199.576</v>
      </c>
      <c r="DH30" s="21" t="n">
        <v>222.747</v>
      </c>
      <c r="DI30" s="21" t="n">
        <v>192.214</v>
      </c>
      <c r="DJ30" s="21" t="n">
        <v>207.949</v>
      </c>
      <c r="DK30" s="21" t="n">
        <v>186.552</v>
      </c>
      <c r="DL30" s="21" t="n">
        <v>166.697</v>
      </c>
      <c r="DM30" s="21" t="n">
        <v>342.957</v>
      </c>
      <c r="DN30" s="21" t="n">
        <v>185.057</v>
      </c>
      <c r="DO30" s="21" t="n">
        <v>250.408</v>
      </c>
      <c r="DP30" s="21" t="n">
        <v>296.461</v>
      </c>
      <c r="DQ30" s="21" t="n">
        <v>306.72</v>
      </c>
      <c r="DR30" s="21" t="n">
        <v>159.957</v>
      </c>
      <c r="DS30" s="21" t="n">
        <v>536.454</v>
      </c>
      <c r="DT30" s="21" t="n">
        <v>328.549</v>
      </c>
      <c r="DU30" s="21" t="n">
        <v>303.615</v>
      </c>
      <c r="DV30" s="21" t="n">
        <v>303.585</v>
      </c>
      <c r="DW30" s="21" t="n">
        <v>237.524</v>
      </c>
      <c r="DX30" s="21" t="n">
        <v>198.71</v>
      </c>
      <c r="DY30" s="21" t="n">
        <v>247.118</v>
      </c>
      <c r="DZ30" s="21" t="n">
        <v>233.216</v>
      </c>
      <c r="EA30" s="21" t="n">
        <v>318.466</v>
      </c>
      <c r="EB30" s="21" t="n">
        <v>203.43</v>
      </c>
      <c r="EC30" s="21" t="n">
        <v>211.342</v>
      </c>
      <c r="ED30" s="21" t="n">
        <v>176.577</v>
      </c>
      <c r="EE30" s="21" t="n">
        <v>228.445</v>
      </c>
      <c r="EF30" s="21" t="n">
        <v>531.505</v>
      </c>
      <c r="EG30" s="21" t="n">
        <v>447.272</v>
      </c>
      <c r="EH30" s="21" t="n">
        <v>120.956</v>
      </c>
      <c r="EI30" s="21" t="n">
        <v>57.829</v>
      </c>
      <c r="EJ30" s="21" t="n">
        <v>66.572</v>
      </c>
      <c r="EK30" s="21" t="n">
        <v>44.138</v>
      </c>
      <c r="EL30" s="21" t="n">
        <v>111.207</v>
      </c>
      <c r="EM30" s="21" t="n">
        <v>69.794</v>
      </c>
      <c r="EN30" s="21" t="n">
        <v>75.30200000000001</v>
      </c>
      <c r="EO30" s="21" t="n">
        <v>79.34999999999999</v>
      </c>
      <c r="EP30" s="21" t="n">
        <v>92.404</v>
      </c>
      <c r="EQ30" s="21" t="n">
        <v>66.25700000000001</v>
      </c>
      <c r="ER30" s="21" t="n">
        <v>54.818</v>
      </c>
      <c r="ES30" s="21" t="n">
        <v>129.76</v>
      </c>
      <c r="ET30" s="21" t="n">
        <v>86.837</v>
      </c>
      <c r="EU30" s="21" t="n">
        <v>90.233</v>
      </c>
      <c r="EV30" s="21" t="n">
        <v>98.498</v>
      </c>
      <c r="EW30" s="21" t="n">
        <v>86.352</v>
      </c>
      <c r="EX30" s="21" t="n">
        <v>185.862</v>
      </c>
      <c r="EY30" s="21" t="n">
        <v>119.087</v>
      </c>
      <c r="EZ30" s="21" t="n">
        <v>116.882</v>
      </c>
      <c r="FA30" s="21" t="n">
        <v>156.054</v>
      </c>
      <c r="FB30" s="21" t="n">
        <v>125.651</v>
      </c>
      <c r="FC30" s="21" t="n">
        <v>117.275</v>
      </c>
      <c r="FD30" s="21" t="n">
        <v>121.687</v>
      </c>
      <c r="FE30" s="21" t="n">
        <v>109.529</v>
      </c>
      <c r="FF30" s="21" t="n">
        <v>154.636</v>
      </c>
      <c r="FG30" s="21" t="n">
        <v>79.962</v>
      </c>
      <c r="FH30" s="21" t="n">
        <v>118.249</v>
      </c>
      <c r="FI30" s="21" t="n">
        <v>100.126</v>
      </c>
      <c r="FJ30" s="21" t="n">
        <v>110.737</v>
      </c>
      <c r="FK30" s="21" t="n">
        <v>114.1</v>
      </c>
      <c r="FL30" s="21" t="n">
        <v>111.751</v>
      </c>
      <c r="FM30" s="21" t="n">
        <v>121.227</v>
      </c>
      <c r="FN30" s="21" t="n">
        <v>79.407</v>
      </c>
      <c r="FO30" s="21" t="n">
        <v>107.26</v>
      </c>
      <c r="FP30" s="21" t="n">
        <v>94.93899999999999</v>
      </c>
      <c r="FQ30" s="21" t="n">
        <v>137.935</v>
      </c>
      <c r="FR30" s="21" t="n">
        <v>140.005</v>
      </c>
      <c r="FS30" s="21" t="n">
        <v>153.116</v>
      </c>
      <c r="FT30" s="21" t="n">
        <v>129.712</v>
      </c>
      <c r="FU30" s="21" t="n">
        <v>113.396</v>
      </c>
      <c r="FV30" s="21" t="n">
        <v>173.868</v>
      </c>
      <c r="FW30" s="21" t="n">
        <v>137.654</v>
      </c>
      <c r="FX30" s="21" t="n">
        <v>178.816</v>
      </c>
      <c r="FY30" s="21" t="n">
        <v>198.623</v>
      </c>
      <c r="FZ30" s="21" t="n">
        <v>193.48</v>
      </c>
      <c r="GA30" s="21" t="n">
        <v>99.29600000000001</v>
      </c>
      <c r="GB30" s="21" t="n">
        <v>147.786</v>
      </c>
      <c r="GC30" s="21" t="n">
        <v>102.35</v>
      </c>
      <c r="GD30" s="21" t="n">
        <v>143.652</v>
      </c>
      <c r="GE30" s="21" t="n">
        <v>157.141</v>
      </c>
      <c r="GF30" s="21" t="n"/>
      <c r="GG30" s="21" t="n">
        <v>138.601</v>
      </c>
      <c r="GH30" s="21" t="n">
        <v>85.131</v>
      </c>
      <c r="GI30" s="21" t="n">
        <v>127.179</v>
      </c>
      <c r="GJ30" s="21" t="n">
        <v>198.832</v>
      </c>
      <c r="GK30" s="21" t="n">
        <v>197.848</v>
      </c>
      <c r="GL30" s="21" t="n">
        <v>193.638</v>
      </c>
      <c r="GM30" s="21" t="n">
        <v>214.831</v>
      </c>
      <c r="GN30" s="21" t="n">
        <v>211.945</v>
      </c>
      <c r="GO30" s="21" t="n">
        <v>184.764</v>
      </c>
      <c r="GP30" s="21" t="n">
        <v>143.302</v>
      </c>
      <c r="GQ30" s="21" t="n">
        <v>124.578</v>
      </c>
      <c r="GR30" s="21" t="n">
        <v>280.388</v>
      </c>
      <c r="GS30" s="21" t="n">
        <v>174.766</v>
      </c>
      <c r="GT30" s="21" t="n">
        <v>520.722</v>
      </c>
      <c r="GU30" s="21" t="n">
        <v>200.296</v>
      </c>
      <c r="GV30" s="21" t="n">
        <v>226.159</v>
      </c>
      <c r="GW30" s="21" t="n">
        <v>264.29</v>
      </c>
      <c r="GX30" s="21" t="n">
        <v>279.718</v>
      </c>
      <c r="GY30" s="21" t="n">
        <v>157.886</v>
      </c>
      <c r="GZ30" s="21" t="n">
        <v>114.056</v>
      </c>
      <c r="HA30" s="21" t="n">
        <v>66.65900000000001</v>
      </c>
      <c r="HB30" s="21" t="n">
        <v>472.981</v>
      </c>
      <c r="HC30" s="21" t="n">
        <v>373.631</v>
      </c>
      <c r="HD30" s="21" t="n">
        <v>122.28</v>
      </c>
      <c r="HE30" s="21" t="n">
        <v>512.582</v>
      </c>
      <c r="HF30" s="21" t="n">
        <v>98.114</v>
      </c>
      <c r="HG30" s="21" t="n">
        <v>504.887</v>
      </c>
      <c r="HH30" s="21" t="n">
        <v>374.142</v>
      </c>
      <c r="HI30" s="21" t="n">
        <v>379.207</v>
      </c>
      <c r="HJ30" s="21" t="n">
        <v>470.955</v>
      </c>
      <c r="HK30" s="21" t="n">
        <v>188.446</v>
      </c>
      <c r="HL30" s="21" t="n">
        <v>236.293</v>
      </c>
      <c r="HM30" s="21" t="n">
        <v>75.16500000000001</v>
      </c>
      <c r="HN30" s="21" t="n">
        <v>316.213</v>
      </c>
      <c r="HO30" s="21" t="n">
        <v>310.278</v>
      </c>
      <c r="HP30" s="21" t="n">
        <v>704.078</v>
      </c>
      <c r="HQ30" s="21" t="n">
        <v>218.589</v>
      </c>
      <c r="HR30" s="21" t="n">
        <v>118.391</v>
      </c>
      <c r="HS30" s="21" t="n">
        <v>104.199</v>
      </c>
      <c r="HT30" s="21" t="n">
        <v>232.92</v>
      </c>
      <c r="HU30" s="21" t="n">
        <v>461.05</v>
      </c>
      <c r="HV30" s="21" t="n">
        <v>124.116</v>
      </c>
      <c r="HW30" s="21" t="n">
        <v>31.951</v>
      </c>
      <c r="HX30" s="21" t="n">
        <v>170.232</v>
      </c>
      <c r="HY30" s="21" t="n">
        <v>197.631</v>
      </c>
      <c r="HZ30" s="21" t="n">
        <v>151.39</v>
      </c>
      <c r="IA30" s="21" t="n">
        <v>113.26</v>
      </c>
      <c r="IB30" s="21" t="n">
        <v>237.301</v>
      </c>
      <c r="IC30" s="21" t="n">
        <v>185.489</v>
      </c>
      <c r="ID30" s="21" t="n">
        <v>249.019</v>
      </c>
      <c r="IE30" s="21" t="n">
        <v>110.979</v>
      </c>
      <c r="IF30" s="21" t="n">
        <v>145.575</v>
      </c>
      <c r="IG30" s="21" t="n">
        <v>81.44</v>
      </c>
      <c r="IH30" s="21" t="n">
        <v>75.768</v>
      </c>
      <c r="II30" s="21" t="n">
        <v>55.679</v>
      </c>
      <c r="IJ30" s="21" t="n">
        <v>22.822</v>
      </c>
      <c r="IK30" s="21" t="n">
        <v>40.937</v>
      </c>
      <c r="IL30" s="21" t="n">
        <v>37.812</v>
      </c>
      <c r="IM30" s="21" t="n">
        <v>46.318</v>
      </c>
      <c r="IN30" s="21" t="n">
        <v>88.762</v>
      </c>
      <c r="IO30" s="21" t="n">
        <v>101.452</v>
      </c>
      <c r="IP30" s="21" t="n">
        <v>163.235</v>
      </c>
      <c r="IQ30" s="21" t="n">
        <v>134.226</v>
      </c>
      <c r="IR30" s="21" t="n">
        <v>373.372</v>
      </c>
      <c r="IS30" s="21" t="n">
        <v>178.41</v>
      </c>
      <c r="IT30" s="21" t="n">
        <v>217.558</v>
      </c>
      <c r="IU30" s="21" t="n">
        <v>303.459</v>
      </c>
      <c r="IV30" s="21" t="n">
        <v>243.27</v>
      </c>
      <c r="IW30" s="21" t="n">
        <v>135.886</v>
      </c>
      <c r="IX30" s="21" t="n">
        <v>252.306</v>
      </c>
      <c r="IY30" s="21" t="n">
        <v>682.217</v>
      </c>
      <c r="IZ30" s="21" t="n">
        <v>722.332</v>
      </c>
      <c r="JA30" s="21" t="n">
        <v>820.22</v>
      </c>
      <c r="JB30" s="21" t="n">
        <v>76.32599999999999</v>
      </c>
      <c r="JC30" s="21" t="n">
        <v>289.86</v>
      </c>
      <c r="JD30" s="21" t="n">
        <v>243.685</v>
      </c>
      <c r="JE30" s="21" t="n">
        <v>74.598</v>
      </c>
      <c r="JF30" s="21" t="n">
        <v>180.018</v>
      </c>
      <c r="JG30" s="21" t="n">
        <v>283.273</v>
      </c>
      <c r="JH30" s="21" t="n">
        <v>288.973</v>
      </c>
      <c r="JI30" s="21" t="n">
        <v>70.751</v>
      </c>
      <c r="JJ30" s="21" t="n">
        <v>113.991</v>
      </c>
      <c r="JK30" s="21" t="n">
        <v>42.361</v>
      </c>
      <c r="JL30" s="21" t="n">
        <v>77.342</v>
      </c>
      <c r="JM30" s="21" t="n">
        <v>267.015</v>
      </c>
      <c r="JN30" s="21" t="n">
        <v>431.911</v>
      </c>
      <c r="JO30" s="21" t="n">
        <v>64.703</v>
      </c>
      <c r="JP30" s="21" t="n">
        <v>420.017</v>
      </c>
      <c r="JQ30" s="21" t="n">
        <v>226.37</v>
      </c>
      <c r="JR30" s="21" t="n">
        <v>161.04</v>
      </c>
      <c r="JS30" s="21" t="n">
        <v>422.764</v>
      </c>
      <c r="JT30" s="21" t="n">
        <v>344.984</v>
      </c>
      <c r="JU30" s="21" t="n">
        <v>325.191</v>
      </c>
      <c r="JV30" s="21" t="n">
        <v>164.417</v>
      </c>
      <c r="JW30" s="21" t="n">
        <v>340.568</v>
      </c>
      <c r="JX30" s="21" t="n">
        <v>236.704</v>
      </c>
      <c r="JY30" s="21" t="n">
        <v>77.824</v>
      </c>
      <c r="JZ30" s="21" t="n">
        <v>149.586</v>
      </c>
      <c r="KA30" s="21" t="n">
        <v>233.016</v>
      </c>
      <c r="KB30" s="21" t="n">
        <v>250.516</v>
      </c>
      <c r="KC30" s="21" t="n">
        <v>243.071</v>
      </c>
      <c r="KD30" s="21" t="n">
        <v>251.43</v>
      </c>
      <c r="KE30" s="21" t="n">
        <v>226.201</v>
      </c>
      <c r="KF30" s="21" t="n">
        <v>219.995</v>
      </c>
      <c r="KG30" s="21" t="n">
        <v>226.372</v>
      </c>
      <c r="KH30" s="21" t="n">
        <v>231.738</v>
      </c>
      <c r="KI30" s="21" t="n">
        <v>118.235</v>
      </c>
      <c r="KJ30" s="21" t="n">
        <v>180.2</v>
      </c>
      <c r="KK30" s="21" t="n">
        <v>149.151</v>
      </c>
      <c r="KL30" s="21" t="n">
        <v>145.867</v>
      </c>
      <c r="KM30" s="21" t="n">
        <v>144.597</v>
      </c>
      <c r="KN30" s="21" t="n">
        <v>145.957</v>
      </c>
      <c r="KO30" s="21" t="n">
        <v>246.836</v>
      </c>
      <c r="KP30" s="21" t="n">
        <v>105.692</v>
      </c>
      <c r="KQ30" s="21" t="n">
        <v>77.366</v>
      </c>
      <c r="KR30" s="21" t="n">
        <v>108.536</v>
      </c>
      <c r="KS30" s="21" t="n">
        <v>198.449</v>
      </c>
      <c r="KT30" s="21" t="n">
        <v>202.58</v>
      </c>
      <c r="KU30" s="21" t="n">
        <v>90.578</v>
      </c>
      <c r="KV30" s="21" t="n">
        <v>57.14</v>
      </c>
      <c r="KW30" s="21" t="n">
        <v>217.418</v>
      </c>
      <c r="KX30" s="21" t="n">
        <v>189.878</v>
      </c>
      <c r="KY30" s="21" t="n">
        <v>228.97</v>
      </c>
      <c r="KZ30" s="21" t="n">
        <v>186.492</v>
      </c>
      <c r="LA30" s="21" t="n">
        <v>228.864</v>
      </c>
      <c r="LB30" s="21" t="n">
        <v>111.052</v>
      </c>
      <c r="LC30" s="21" t="n">
        <v>346.398</v>
      </c>
      <c r="LD30" s="21" t="n">
        <v>83.422</v>
      </c>
      <c r="LE30" s="21" t="n">
        <v>118.698</v>
      </c>
      <c r="LF30" s="21" t="n">
        <v>308.891</v>
      </c>
      <c r="LG30" s="21" t="n">
        <v>306.909</v>
      </c>
      <c r="LH30" s="21" t="n">
        <v>317.379</v>
      </c>
      <c r="LI30" s="21" t="n">
        <v>291.881</v>
      </c>
      <c r="LJ30" s="21" t="n">
        <v>328.423</v>
      </c>
      <c r="LK30" s="21" t="n">
        <v>104.736</v>
      </c>
      <c r="LL30" s="21" t="n">
        <v>308.569</v>
      </c>
      <c r="LM30" s="21" t="n">
        <v>216.274</v>
      </c>
      <c r="LN30" s="21" t="n">
        <v>50.239</v>
      </c>
      <c r="LO30" s="21" t="n">
        <v>122.861</v>
      </c>
    </row>
    <row r="31">
      <c r="A31" s="22" t="n">
        <v>42887</v>
      </c>
      <c r="B31" s="21" t="n">
        <v>244.163</v>
      </c>
      <c r="C31" s="21" t="n">
        <v>249.519</v>
      </c>
      <c r="D31" s="21" t="n">
        <v>249.77</v>
      </c>
      <c r="E31" s="21" t="n">
        <v>238.494</v>
      </c>
      <c r="F31" s="21" t="n">
        <v>272.011</v>
      </c>
      <c r="G31" s="21" t="n">
        <v>226.536</v>
      </c>
      <c r="H31" s="21" t="n">
        <v>234.638</v>
      </c>
      <c r="I31" s="21" t="n">
        <v>224.51</v>
      </c>
      <c r="J31" s="21" t="n">
        <v>232.984</v>
      </c>
      <c r="K31" s="21" t="n">
        <v>298.046</v>
      </c>
      <c r="L31" s="21" t="n">
        <v>180.154</v>
      </c>
      <c r="M31" s="21" t="n">
        <v>176.465</v>
      </c>
      <c r="N31" s="21" t="n">
        <v>282.617</v>
      </c>
      <c r="O31" s="21" t="n">
        <v>266.862</v>
      </c>
      <c r="P31" s="21" t="n">
        <v>264.59</v>
      </c>
      <c r="Q31" s="21" t="n">
        <v>305.874</v>
      </c>
      <c r="R31" s="21" t="n">
        <v>269.047</v>
      </c>
      <c r="S31" s="21" t="n">
        <v>244.721</v>
      </c>
      <c r="T31" s="21" t="n">
        <v>248.801</v>
      </c>
      <c r="U31" s="21" t="n">
        <v>250.391</v>
      </c>
      <c r="V31" s="21" t="n">
        <v>298.839</v>
      </c>
      <c r="W31" s="21" t="n">
        <v>268.889</v>
      </c>
      <c r="X31" s="21" t="n">
        <v>231.152</v>
      </c>
      <c r="Y31" s="21" t="n">
        <v>200.495</v>
      </c>
      <c r="Z31" s="21" t="n">
        <v>210.142</v>
      </c>
      <c r="AA31" s="21" t="n">
        <v>159.223</v>
      </c>
      <c r="AB31" s="21" t="n">
        <v>300.601</v>
      </c>
      <c r="AC31" s="21" t="n">
        <v>141.455</v>
      </c>
      <c r="AD31" s="21" t="n">
        <v>200.896</v>
      </c>
      <c r="AE31" s="21" t="n">
        <v>223.906</v>
      </c>
      <c r="AF31" s="21" t="n">
        <v>183.292</v>
      </c>
      <c r="AG31" s="21" t="n">
        <v>126.354</v>
      </c>
      <c r="AH31" s="21" t="n">
        <v>222.012</v>
      </c>
      <c r="AI31" s="21" t="n">
        <v>217.378</v>
      </c>
      <c r="AJ31" s="21" t="n">
        <v>144.096</v>
      </c>
      <c r="AK31" s="21" t="n">
        <v>231.781</v>
      </c>
      <c r="AL31" s="21" t="n">
        <v>148.77</v>
      </c>
      <c r="AM31" s="21" t="n">
        <v>246.893</v>
      </c>
      <c r="AN31" s="21" t="n">
        <v>220.505</v>
      </c>
      <c r="AO31" s="21" t="n">
        <v>150.759</v>
      </c>
      <c r="AP31" s="21" t="n">
        <v>288.247</v>
      </c>
      <c r="AQ31" s="21" t="n">
        <v>179.135</v>
      </c>
      <c r="AR31" s="21" t="n">
        <v>144.967</v>
      </c>
      <c r="AS31" s="21" t="n">
        <v>201.599</v>
      </c>
      <c r="AT31" s="21" t="n">
        <v>304.072</v>
      </c>
      <c r="AU31" s="21" t="n">
        <v>191.313</v>
      </c>
      <c r="AV31" s="21" t="n">
        <v>216.676</v>
      </c>
      <c r="AW31" s="21" t="n">
        <v>139.847</v>
      </c>
      <c r="AX31" s="21" t="n">
        <v>200.806</v>
      </c>
      <c r="AY31" s="21" t="n">
        <v>143.007</v>
      </c>
      <c r="AZ31" s="21" t="n">
        <v>226.464</v>
      </c>
      <c r="BA31" s="21" t="n">
        <v>219.051</v>
      </c>
      <c r="BB31" s="21" t="n">
        <v>146.108</v>
      </c>
      <c r="BC31" s="21" t="n">
        <v>296.963</v>
      </c>
      <c r="BD31" s="21" t="n">
        <v>344.188</v>
      </c>
      <c r="BE31" s="21" t="n">
        <v>361.795</v>
      </c>
      <c r="BF31" s="21" t="n">
        <v>342.737</v>
      </c>
      <c r="BG31" s="21" t="n">
        <v>198.125</v>
      </c>
      <c r="BH31" s="21" t="n">
        <v>251.281</v>
      </c>
      <c r="BI31" s="21" t="n">
        <v>526.245</v>
      </c>
      <c r="BJ31" s="21" t="n">
        <v>119.646</v>
      </c>
      <c r="BK31" s="21" t="n">
        <v>324.454</v>
      </c>
      <c r="BL31" s="21" t="n">
        <v>337.127</v>
      </c>
      <c r="BM31" s="21" t="n">
        <v>297.782</v>
      </c>
      <c r="BN31" s="21" t="n">
        <v>331.933</v>
      </c>
      <c r="BO31" s="21" t="n">
        <v>327.438</v>
      </c>
      <c r="BP31" s="21" t="n">
        <v>155.505</v>
      </c>
      <c r="BQ31" s="21" t="n">
        <v>157.967</v>
      </c>
      <c r="BR31" s="21" t="n">
        <v>157.114</v>
      </c>
      <c r="BS31" s="21" t="n">
        <v>163.709</v>
      </c>
      <c r="BT31" s="21" t="n">
        <v>149.769</v>
      </c>
      <c r="BU31" s="21" t="n">
        <v>205.207</v>
      </c>
      <c r="BV31" s="21" t="n">
        <v>156.92</v>
      </c>
      <c r="BW31" s="21" t="n">
        <v>167.874</v>
      </c>
      <c r="BX31" s="21" t="n">
        <v>129.252</v>
      </c>
      <c r="BY31" s="21" t="n">
        <v>162.114</v>
      </c>
      <c r="BZ31" s="21" t="n">
        <v>117.833</v>
      </c>
      <c r="CA31" s="21" t="n">
        <v>118.641</v>
      </c>
      <c r="CB31" s="21" t="n">
        <v>199.627</v>
      </c>
      <c r="CC31" s="21" t="n">
        <v>208.964</v>
      </c>
      <c r="CD31" s="21" t="n">
        <v>127.469</v>
      </c>
      <c r="CE31" s="21" t="n">
        <v>209.742</v>
      </c>
      <c r="CF31" s="21" t="n">
        <v>215.648</v>
      </c>
      <c r="CG31" s="21" t="n">
        <v>188.663</v>
      </c>
      <c r="CH31" s="21" t="n">
        <v>144.109</v>
      </c>
      <c r="CI31" s="21" t="n">
        <v>155.881</v>
      </c>
      <c r="CJ31" s="21" t="n">
        <v>228.474</v>
      </c>
      <c r="CK31" s="21" t="n">
        <v>204.59</v>
      </c>
      <c r="CL31" s="21" t="n">
        <v>239.477</v>
      </c>
      <c r="CM31" s="21" t="n">
        <v>303.989</v>
      </c>
      <c r="CN31" s="21" t="n">
        <v>129.785</v>
      </c>
      <c r="CO31" s="21" t="n">
        <v>159.123</v>
      </c>
      <c r="CP31" s="21" t="n">
        <v>223.945</v>
      </c>
      <c r="CQ31" s="21" t="n">
        <v>244.601</v>
      </c>
      <c r="CR31" s="21" t="n">
        <v>167.385</v>
      </c>
      <c r="CS31" s="21" t="n">
        <v>250.644</v>
      </c>
      <c r="CT31" s="21" t="n">
        <v>238.551</v>
      </c>
      <c r="CU31" s="21" t="n">
        <v>152.483</v>
      </c>
      <c r="CV31" s="21" t="n">
        <v>131.829</v>
      </c>
      <c r="CW31" s="21" t="n">
        <v>135.023</v>
      </c>
      <c r="CX31" s="21" t="n">
        <v>277.889</v>
      </c>
      <c r="CY31" s="21" t="n">
        <v>131.987</v>
      </c>
      <c r="CZ31" s="21" t="n">
        <v>126.369</v>
      </c>
      <c r="DA31" s="21" t="n">
        <v>268.225</v>
      </c>
      <c r="DB31" s="21" t="n">
        <v>166.959</v>
      </c>
      <c r="DC31" s="21" t="n">
        <v>167.094</v>
      </c>
      <c r="DD31" s="21" t="n">
        <v>138.592</v>
      </c>
      <c r="DE31" s="21" t="n">
        <v>183.979</v>
      </c>
      <c r="DF31" s="21" t="n">
        <v>244.774</v>
      </c>
      <c r="DG31" s="21" t="n">
        <v>199.179</v>
      </c>
      <c r="DH31" s="21" t="n">
        <v>221.892</v>
      </c>
      <c r="DI31" s="21" t="n">
        <v>191.963</v>
      </c>
      <c r="DJ31" s="21" t="n">
        <v>207.641</v>
      </c>
      <c r="DK31" s="21" t="n">
        <v>186.393</v>
      </c>
      <c r="DL31" s="21" t="n">
        <v>166.314</v>
      </c>
      <c r="DM31" s="21" t="n">
        <v>344.436</v>
      </c>
      <c r="DN31" s="21" t="n">
        <v>185.702</v>
      </c>
      <c r="DO31" s="21" t="n">
        <v>250.933</v>
      </c>
      <c r="DP31" s="21" t="n">
        <v>297.215</v>
      </c>
      <c r="DQ31" s="21" t="n">
        <v>307.681</v>
      </c>
      <c r="DR31" s="21" t="n">
        <v>158.952</v>
      </c>
      <c r="DS31" s="21" t="n">
        <v>537.23</v>
      </c>
      <c r="DT31" s="21" t="n">
        <v>326.102</v>
      </c>
      <c r="DU31" s="21" t="n">
        <v>304.437</v>
      </c>
      <c r="DV31" s="21" t="n">
        <v>304.426</v>
      </c>
      <c r="DW31" s="21" t="n">
        <v>238.105</v>
      </c>
      <c r="DX31" s="21" t="n">
        <v>199.249</v>
      </c>
      <c r="DY31" s="21" t="n">
        <v>243.269</v>
      </c>
      <c r="DZ31" s="21" t="n">
        <v>224.542</v>
      </c>
      <c r="EA31" s="21" t="n">
        <v>318.033</v>
      </c>
      <c r="EB31" s="21" t="n">
        <v>204.171</v>
      </c>
      <c r="EC31" s="21" t="n">
        <v>212.198</v>
      </c>
      <c r="ED31" s="21" t="n">
        <v>176.97</v>
      </c>
      <c r="EE31" s="21" t="n">
        <v>228.803</v>
      </c>
      <c r="EF31" s="21" t="n">
        <v>532.309</v>
      </c>
      <c r="EG31" s="21" t="n">
        <v>448.046</v>
      </c>
      <c r="EH31" s="21" t="n">
        <v>120.7</v>
      </c>
      <c r="EI31" s="21" t="n">
        <v>56.974</v>
      </c>
      <c r="EJ31" s="21" t="n">
        <v>66.39100000000001</v>
      </c>
      <c r="EK31" s="21" t="n">
        <v>43.214</v>
      </c>
      <c r="EL31" s="21" t="n">
        <v>111.237</v>
      </c>
      <c r="EM31" s="21" t="n">
        <v>69.777</v>
      </c>
      <c r="EN31" s="21" t="n">
        <v>74.53</v>
      </c>
      <c r="EO31" s="21" t="n">
        <v>78.196</v>
      </c>
      <c r="EP31" s="21" t="n">
        <v>90.169</v>
      </c>
      <c r="EQ31" s="21" t="n">
        <v>65.85599999999999</v>
      </c>
      <c r="ER31" s="21" t="n">
        <v>55.411</v>
      </c>
      <c r="ES31" s="21" t="n">
        <v>130.406</v>
      </c>
      <c r="ET31" s="21" t="n">
        <v>86.643</v>
      </c>
      <c r="EU31" s="21" t="n">
        <v>89.997</v>
      </c>
      <c r="EV31" s="21" t="n">
        <v>98.405</v>
      </c>
      <c r="EW31" s="21" t="n">
        <v>86.122</v>
      </c>
      <c r="EX31" s="21" t="n">
        <v>185.731</v>
      </c>
      <c r="EY31" s="21" t="n">
        <v>118.553</v>
      </c>
      <c r="EZ31" s="21" t="n">
        <v>117.15</v>
      </c>
      <c r="FA31" s="21" t="n">
        <v>151.581</v>
      </c>
      <c r="FB31" s="21" t="n">
        <v>125.508</v>
      </c>
      <c r="FC31" s="21" t="n">
        <v>116.691</v>
      </c>
      <c r="FD31" s="21" t="n">
        <v>121.61</v>
      </c>
      <c r="FE31" s="21" t="n">
        <v>108.936</v>
      </c>
      <c r="FF31" s="21" t="n">
        <v>154.107</v>
      </c>
      <c r="FG31" s="21" t="n">
        <v>79.616</v>
      </c>
      <c r="FH31" s="21" t="n">
        <v>118.569</v>
      </c>
      <c r="FI31" s="21" t="n">
        <v>96.20699999999999</v>
      </c>
      <c r="FJ31" s="21" t="n">
        <v>110.784</v>
      </c>
      <c r="FK31" s="21" t="n">
        <v>114.043</v>
      </c>
      <c r="FL31" s="21" t="n">
        <v>110.213</v>
      </c>
      <c r="FM31" s="21" t="n">
        <v>123.645</v>
      </c>
      <c r="FN31" s="21" t="n">
        <v>80.34399999999999</v>
      </c>
      <c r="FO31" s="21" t="n">
        <v>105.711</v>
      </c>
      <c r="FP31" s="21" t="n">
        <v>95.432</v>
      </c>
      <c r="FQ31" s="21" t="n">
        <v>138.128</v>
      </c>
      <c r="FR31" s="21" t="n">
        <v>138.805</v>
      </c>
      <c r="FS31" s="21" t="n">
        <v>153.919</v>
      </c>
      <c r="FT31" s="21" t="n">
        <v>129.289</v>
      </c>
      <c r="FU31" s="21" t="n">
        <v>113.234</v>
      </c>
      <c r="FV31" s="21" t="n">
        <v>173.106</v>
      </c>
      <c r="FW31" s="21" t="n">
        <v>133.54</v>
      </c>
      <c r="FX31" s="21" t="n">
        <v>179.255</v>
      </c>
      <c r="FY31" s="21" t="n">
        <v>198.062</v>
      </c>
      <c r="FZ31" s="21" t="n">
        <v>192.953</v>
      </c>
      <c r="GA31" s="21" t="n">
        <v>98.88500000000001</v>
      </c>
      <c r="GB31" s="21" t="n">
        <v>147.097</v>
      </c>
      <c r="GC31" s="21" t="n">
        <v>101.939</v>
      </c>
      <c r="GD31" s="21" t="n">
        <v>142.925</v>
      </c>
      <c r="GE31" s="21" t="n">
        <v>156.628</v>
      </c>
      <c r="GF31" s="21" t="n"/>
      <c r="GG31" s="21" t="n">
        <v>137.691</v>
      </c>
      <c r="GH31" s="21" t="n">
        <v>84.80200000000001</v>
      </c>
      <c r="GI31" s="21" t="n">
        <v>134.747</v>
      </c>
      <c r="GJ31" s="21" t="n">
        <v>196.777</v>
      </c>
      <c r="GK31" s="21" t="n">
        <v>195.797</v>
      </c>
      <c r="GL31" s="21" t="n">
        <v>191.581</v>
      </c>
      <c r="GM31" s="21" t="n">
        <v>211.968</v>
      </c>
      <c r="GN31" s="21" t="n">
        <v>210.138</v>
      </c>
      <c r="GO31" s="21" t="n">
        <v>182.88</v>
      </c>
      <c r="GP31" s="21" t="n">
        <v>143.432</v>
      </c>
      <c r="GQ31" s="21" t="n">
        <v>124.661</v>
      </c>
      <c r="GR31" s="21" t="n">
        <v>279.294</v>
      </c>
      <c r="GS31" s="21" t="n">
        <v>173.177</v>
      </c>
      <c r="GT31" s="21" t="n">
        <v>525.931</v>
      </c>
      <c r="GU31" s="21" t="n">
        <v>200.329</v>
      </c>
      <c r="GV31" s="21" t="n">
        <v>226.985</v>
      </c>
      <c r="GW31" s="21" t="n">
        <v>263.193</v>
      </c>
      <c r="GX31" s="21" t="n">
        <v>277.107</v>
      </c>
      <c r="GY31" s="21" t="n">
        <v>158.19</v>
      </c>
      <c r="GZ31" s="21" t="n">
        <v>114.837</v>
      </c>
      <c r="HA31" s="21" t="n">
        <v>65.14700000000001</v>
      </c>
      <c r="HB31" s="21" t="n">
        <v>474.492</v>
      </c>
      <c r="HC31" s="21" t="n">
        <v>376.182</v>
      </c>
      <c r="HD31" s="21" t="n">
        <v>123.154</v>
      </c>
      <c r="HE31" s="21" t="n">
        <v>517.217</v>
      </c>
      <c r="HF31" s="21" t="n">
        <v>98.086</v>
      </c>
      <c r="HG31" s="21" t="n">
        <v>505.993</v>
      </c>
      <c r="HH31" s="21" t="n">
        <v>373.055</v>
      </c>
      <c r="HI31" s="21" t="n">
        <v>377.747</v>
      </c>
      <c r="HJ31" s="21" t="n">
        <v>471.468</v>
      </c>
      <c r="HK31" s="21" t="n">
        <v>185.586</v>
      </c>
      <c r="HL31" s="21" t="n">
        <v>236.087</v>
      </c>
      <c r="HM31" s="21" t="n">
        <v>75.70399999999999</v>
      </c>
      <c r="HN31" s="21" t="n">
        <v>318.606</v>
      </c>
      <c r="HO31" s="21" t="n">
        <v>312.87</v>
      </c>
      <c r="HP31" s="21" t="n">
        <v>708.373</v>
      </c>
      <c r="HQ31" s="21" t="n">
        <v>220.864</v>
      </c>
      <c r="HR31" s="21" t="n">
        <v>118.404</v>
      </c>
      <c r="HS31" s="21" t="n">
        <v>104.437</v>
      </c>
      <c r="HT31" s="21" t="n">
        <v>237.008</v>
      </c>
      <c r="HU31" s="21" t="n">
        <v>462.685</v>
      </c>
      <c r="HV31" s="21" t="n">
        <v>124.454</v>
      </c>
      <c r="HW31" s="21" t="n">
        <v>31.46</v>
      </c>
      <c r="HX31" s="21" t="n">
        <v>169.903</v>
      </c>
      <c r="HY31" s="21" t="n">
        <v>197.011</v>
      </c>
      <c r="HZ31" s="21" t="n">
        <v>150.434</v>
      </c>
      <c r="IA31" s="21" t="n">
        <v>113.336</v>
      </c>
      <c r="IB31" s="21" t="n">
        <v>237.29</v>
      </c>
      <c r="IC31" s="21" t="n">
        <v>185.73</v>
      </c>
      <c r="ID31" s="21" t="n">
        <v>248.891</v>
      </c>
      <c r="IE31" s="21" t="n">
        <v>110.895</v>
      </c>
      <c r="IF31" s="21" t="n">
        <v>145.689</v>
      </c>
      <c r="IG31" s="21" t="n">
        <v>81.23099999999999</v>
      </c>
      <c r="IH31" s="21" t="n">
        <v>75.708</v>
      </c>
      <c r="II31" s="21" t="n">
        <v>55.676</v>
      </c>
      <c r="IJ31" s="21" t="n">
        <v>22.971</v>
      </c>
      <c r="IK31" s="21" t="n">
        <v>40.698</v>
      </c>
      <c r="IL31" s="21" t="n">
        <v>37.502</v>
      </c>
      <c r="IM31" s="21" t="n">
        <v>46.01</v>
      </c>
      <c r="IN31" s="21" t="n">
        <v>91.15600000000001</v>
      </c>
      <c r="IO31" s="21" t="n">
        <v>100.563</v>
      </c>
      <c r="IP31" s="21" t="n">
        <v>163.403</v>
      </c>
      <c r="IQ31" s="21" t="n">
        <v>134.452</v>
      </c>
      <c r="IR31" s="21" t="n">
        <v>372.971</v>
      </c>
      <c r="IS31" s="21" t="n">
        <v>178.873</v>
      </c>
      <c r="IT31" s="21" t="n">
        <v>214.827</v>
      </c>
      <c r="IU31" s="21" t="n">
        <v>304.311</v>
      </c>
      <c r="IV31" s="21" t="n">
        <v>241.102</v>
      </c>
      <c r="IW31" s="21" t="n">
        <v>135.826</v>
      </c>
      <c r="IX31" s="21" t="n">
        <v>252.982</v>
      </c>
      <c r="IY31" s="21" t="n">
        <v>682.327</v>
      </c>
      <c r="IZ31" s="21" t="n">
        <v>724.362</v>
      </c>
      <c r="JA31" s="21" t="n">
        <v>823.021</v>
      </c>
      <c r="JB31" s="21" t="n">
        <v>76.577</v>
      </c>
      <c r="JC31" s="21" t="n">
        <v>290.22</v>
      </c>
      <c r="JD31" s="21" t="n">
        <v>243.541</v>
      </c>
      <c r="JE31" s="21" t="n">
        <v>74.357</v>
      </c>
      <c r="JF31" s="21" t="n">
        <v>180.327</v>
      </c>
      <c r="JG31" s="21" t="n">
        <v>283.778</v>
      </c>
      <c r="JH31" s="21" t="n">
        <v>289.112</v>
      </c>
      <c r="JI31" s="21" t="n">
        <v>70.508</v>
      </c>
      <c r="JJ31" s="21" t="n">
        <v>114.081</v>
      </c>
      <c r="JK31" s="21" t="n">
        <v>42.561</v>
      </c>
      <c r="JL31" s="21" t="n">
        <v>77.169</v>
      </c>
      <c r="JM31" s="21" t="n">
        <v>269.069</v>
      </c>
      <c r="JN31" s="21" t="n">
        <v>433.121</v>
      </c>
      <c r="JO31" s="21" t="n">
        <v>64.87</v>
      </c>
      <c r="JP31" s="21" t="n">
        <v>421.142</v>
      </c>
      <c r="JQ31" s="21" t="n">
        <v>227.018</v>
      </c>
      <c r="JR31" s="21" t="n">
        <v>161.602</v>
      </c>
      <c r="JS31" s="21" t="n">
        <v>424.852</v>
      </c>
      <c r="JT31" s="21" t="n">
        <v>349.127</v>
      </c>
      <c r="JU31" s="21" t="n">
        <v>325.291</v>
      </c>
      <c r="JV31" s="21" t="n">
        <v>164.995</v>
      </c>
      <c r="JW31" s="21" t="n">
        <v>341.323</v>
      </c>
      <c r="JX31" s="21" t="n">
        <v>237.42</v>
      </c>
      <c r="JY31" s="21" t="n">
        <v>77.785</v>
      </c>
      <c r="JZ31" s="21" t="n">
        <v>149.643</v>
      </c>
      <c r="KA31" s="21" t="n">
        <v>233.113</v>
      </c>
      <c r="KB31" s="21" t="n">
        <v>250.754</v>
      </c>
      <c r="KC31" s="21" t="n">
        <v>243.287</v>
      </c>
      <c r="KD31" s="21" t="n">
        <v>251.746</v>
      </c>
      <c r="KE31" s="21" t="n">
        <v>226.132</v>
      </c>
      <c r="KF31" s="21" t="n">
        <v>219.956</v>
      </c>
      <c r="KG31" s="21" t="n">
        <v>226.44</v>
      </c>
      <c r="KH31" s="21" t="n">
        <v>231.88</v>
      </c>
      <c r="KI31" s="21" t="n">
        <v>118.013</v>
      </c>
      <c r="KJ31" s="21" t="n">
        <v>179.853</v>
      </c>
      <c r="KK31" s="21" t="n">
        <v>148.762</v>
      </c>
      <c r="KL31" s="21" t="n">
        <v>145.471</v>
      </c>
      <c r="KM31" s="21" t="n">
        <v>144.43</v>
      </c>
      <c r="KN31" s="21" t="n">
        <v>145.88</v>
      </c>
      <c r="KO31" s="21" t="n">
        <v>246.227</v>
      </c>
      <c r="KP31" s="21" t="n">
        <v>105.275</v>
      </c>
      <c r="KQ31" s="21" t="n">
        <v>77.691</v>
      </c>
      <c r="KR31" s="21" t="n">
        <v>108.438</v>
      </c>
      <c r="KS31" s="21" t="n">
        <v>197.808</v>
      </c>
      <c r="KT31" s="21" t="n">
        <v>200.428</v>
      </c>
      <c r="KU31" s="21" t="n">
        <v>90.447</v>
      </c>
      <c r="KV31" s="21" t="n">
        <v>57.465</v>
      </c>
      <c r="KW31" s="21" t="n">
        <v>217.04</v>
      </c>
      <c r="KX31" s="21" t="n">
        <v>189.278</v>
      </c>
      <c r="KY31" s="21" t="n">
        <v>227.765</v>
      </c>
      <c r="KZ31" s="21" t="n">
        <v>185.902</v>
      </c>
      <c r="LA31" s="21" t="n">
        <v>227.98</v>
      </c>
      <c r="LB31" s="21" t="n">
        <v>111.343</v>
      </c>
      <c r="LC31" s="21" t="n">
        <v>346.533</v>
      </c>
      <c r="LD31" s="21" t="n">
        <v>83.20099999999999</v>
      </c>
      <c r="LE31" s="21" t="n">
        <v>118.856</v>
      </c>
      <c r="LF31" s="21" t="n">
        <v>309.723</v>
      </c>
      <c r="LG31" s="21" t="n">
        <v>307.581</v>
      </c>
      <c r="LH31" s="21" t="n">
        <v>318.046</v>
      </c>
      <c r="LI31" s="21" t="n">
        <v>292.52</v>
      </c>
      <c r="LJ31" s="21" t="n">
        <v>328.87</v>
      </c>
      <c r="LK31" s="21" t="n">
        <v>104.223</v>
      </c>
      <c r="LL31" s="21" t="n">
        <v>309.612</v>
      </c>
      <c r="LM31" s="21" t="n">
        <v>216.514</v>
      </c>
      <c r="LN31" s="21" t="n">
        <v>50.448</v>
      </c>
      <c r="LO31" s="21" t="n">
        <v>123.113</v>
      </c>
    </row>
    <row r="32">
      <c r="A32" s="22" t="n">
        <v>42917</v>
      </c>
      <c r="B32" s="21" t="n">
        <v>244.243</v>
      </c>
      <c r="C32" s="21" t="n">
        <v>249.937</v>
      </c>
      <c r="D32" s="21" t="n">
        <v>250.185</v>
      </c>
      <c r="E32" s="21" t="n">
        <v>238.904</v>
      </c>
      <c r="F32" s="21" t="n">
        <v>271.314</v>
      </c>
      <c r="G32" s="21" t="n">
        <v>226.717</v>
      </c>
      <c r="H32" s="21" t="n">
        <v>236.276</v>
      </c>
      <c r="I32" s="21" t="n">
        <v>225.284</v>
      </c>
      <c r="J32" s="21" t="n">
        <v>232.426</v>
      </c>
      <c r="K32" s="21" t="n">
        <v>296.767</v>
      </c>
      <c r="L32" s="21" t="n">
        <v>177.622</v>
      </c>
      <c r="M32" s="21" t="n">
        <v>176.088</v>
      </c>
      <c r="N32" s="21" t="n">
        <v>282.112</v>
      </c>
      <c r="O32" s="21" t="n">
        <v>265.523</v>
      </c>
      <c r="P32" s="21" t="n">
        <v>265.026</v>
      </c>
      <c r="Q32" s="21" t="n">
        <v>304.595</v>
      </c>
      <c r="R32" s="21" t="n">
        <v>272.374</v>
      </c>
      <c r="S32" s="21" t="n">
        <v>246.283</v>
      </c>
      <c r="T32" s="21" t="n">
        <v>250.45</v>
      </c>
      <c r="U32" s="21" t="n">
        <v>252.969</v>
      </c>
      <c r="V32" s="21" t="n">
        <v>301.852</v>
      </c>
      <c r="W32" s="21" t="n">
        <v>273.687</v>
      </c>
      <c r="X32" s="21" t="n">
        <v>229.692</v>
      </c>
      <c r="Y32" s="21" t="n">
        <v>201.831</v>
      </c>
      <c r="Z32" s="21" t="n">
        <v>210.79</v>
      </c>
      <c r="AA32" s="21" t="n">
        <v>159.938</v>
      </c>
      <c r="AB32" s="21" t="n">
        <v>302.404</v>
      </c>
      <c r="AC32" s="21" t="n">
        <v>142.225</v>
      </c>
      <c r="AD32" s="21" t="n">
        <v>206.664</v>
      </c>
      <c r="AE32" s="21" t="n">
        <v>230.605</v>
      </c>
      <c r="AF32" s="21" t="n">
        <v>182.725</v>
      </c>
      <c r="AG32" s="21" t="n">
        <v>126.403</v>
      </c>
      <c r="AH32" s="21" t="n">
        <v>226.48</v>
      </c>
      <c r="AI32" s="21" t="n">
        <v>228.985</v>
      </c>
      <c r="AJ32" s="21" t="n">
        <v>146.592</v>
      </c>
      <c r="AK32" s="21" t="n">
        <v>231.926</v>
      </c>
      <c r="AL32" s="21" t="n">
        <v>149.287</v>
      </c>
      <c r="AM32" s="21" t="n">
        <v>246.386</v>
      </c>
      <c r="AN32" s="21" t="n">
        <v>221.486</v>
      </c>
      <c r="AO32" s="21" t="n">
        <v>149.717</v>
      </c>
      <c r="AP32" s="21" t="n">
        <v>288.229</v>
      </c>
      <c r="AQ32" s="21" t="n">
        <v>178.004</v>
      </c>
      <c r="AR32" s="21" t="n">
        <v>144.936</v>
      </c>
      <c r="AS32" s="21" t="n">
        <v>201.301</v>
      </c>
      <c r="AT32" s="21" t="n">
        <v>304.456</v>
      </c>
      <c r="AU32" s="21" t="n">
        <v>191.698</v>
      </c>
      <c r="AV32" s="21" t="n">
        <v>217.766</v>
      </c>
      <c r="AW32" s="21" t="n">
        <v>139.823</v>
      </c>
      <c r="AX32" s="21" t="n">
        <v>200.936</v>
      </c>
      <c r="AY32" s="21" t="n">
        <v>143.055</v>
      </c>
      <c r="AZ32" s="21" t="n">
        <v>227.817</v>
      </c>
      <c r="BA32" s="21" t="n">
        <v>221.124</v>
      </c>
      <c r="BB32" s="21" t="n">
        <v>148.017</v>
      </c>
      <c r="BC32" s="21" t="n">
        <v>296.969</v>
      </c>
      <c r="BD32" s="21" t="n">
        <v>344.505</v>
      </c>
      <c r="BE32" s="21" t="n">
        <v>364.17</v>
      </c>
      <c r="BF32" s="21" t="n">
        <v>346.445</v>
      </c>
      <c r="BG32" s="21" t="n">
        <v>195.758</v>
      </c>
      <c r="BH32" s="21" t="n">
        <v>253.991</v>
      </c>
      <c r="BI32" s="21" t="n">
        <v>524.809</v>
      </c>
      <c r="BJ32" s="21" t="n">
        <v>120.501</v>
      </c>
      <c r="BK32" s="21" t="n">
        <v>322.62</v>
      </c>
      <c r="BL32" s="21" t="n">
        <v>339.559</v>
      </c>
      <c r="BM32" s="21" t="n">
        <v>281.293</v>
      </c>
      <c r="BN32" s="21" t="n">
        <v>331.511</v>
      </c>
      <c r="BO32" s="21" t="n">
        <v>327.949</v>
      </c>
      <c r="BP32" s="21" t="n">
        <v>154.997</v>
      </c>
      <c r="BQ32" s="21" t="n">
        <v>157.622</v>
      </c>
      <c r="BR32" s="21" t="n">
        <v>156.104</v>
      </c>
      <c r="BS32" s="21" t="n">
        <v>163.594</v>
      </c>
      <c r="BT32" s="21" t="n">
        <v>148.82</v>
      </c>
      <c r="BU32" s="21" t="n">
        <v>203.797</v>
      </c>
      <c r="BV32" s="21" t="n">
        <v>157.384</v>
      </c>
      <c r="BW32" s="21" t="n">
        <v>167.772</v>
      </c>
      <c r="BX32" s="21" t="n">
        <v>129.114</v>
      </c>
      <c r="BY32" s="21" t="n">
        <v>161.445</v>
      </c>
      <c r="BZ32" s="21" t="n">
        <v>117.881</v>
      </c>
      <c r="CA32" s="21" t="n">
        <v>118.451</v>
      </c>
      <c r="CB32" s="21" t="n">
        <v>199.212</v>
      </c>
      <c r="CC32" s="21" t="n">
        <v>208.69</v>
      </c>
      <c r="CD32" s="21" t="n">
        <v>128.96</v>
      </c>
      <c r="CE32" s="21" t="n">
        <v>209.919</v>
      </c>
      <c r="CF32" s="21" t="n">
        <v>216.592</v>
      </c>
      <c r="CG32" s="21" t="n">
        <v>188.882</v>
      </c>
      <c r="CH32" s="21" t="n">
        <v>144.924</v>
      </c>
      <c r="CI32" s="21" t="n">
        <v>156.325</v>
      </c>
      <c r="CJ32" s="21" t="n">
        <v>229.392</v>
      </c>
      <c r="CK32" s="21" t="n">
        <v>206.403</v>
      </c>
      <c r="CL32" s="21" t="n">
        <v>242.47</v>
      </c>
      <c r="CM32" s="21" t="n">
        <v>304.811</v>
      </c>
      <c r="CN32" s="21" t="n">
        <v>131.783</v>
      </c>
      <c r="CO32" s="21" t="n">
        <v>158.806</v>
      </c>
      <c r="CP32" s="21" t="n">
        <v>223.863</v>
      </c>
      <c r="CQ32" s="21" t="n">
        <v>245.805</v>
      </c>
      <c r="CR32" s="21" t="n">
        <v>168.218</v>
      </c>
      <c r="CS32" s="21" t="n">
        <v>248.967</v>
      </c>
      <c r="CT32" s="21" t="n">
        <v>239.294</v>
      </c>
      <c r="CU32" s="21" t="n">
        <v>152.767</v>
      </c>
      <c r="CV32" s="21" t="n">
        <v>136.005</v>
      </c>
      <c r="CW32" s="21" t="n">
        <v>136.2</v>
      </c>
      <c r="CX32" s="21" t="n">
        <v>279.742</v>
      </c>
      <c r="CY32" s="21" t="n">
        <v>131.72</v>
      </c>
      <c r="CZ32" s="21" t="n">
        <v>127.543</v>
      </c>
      <c r="DA32" s="21" t="n">
        <v>268.649</v>
      </c>
      <c r="DB32" s="21" t="n">
        <v>167.19</v>
      </c>
      <c r="DC32" s="21" t="n">
        <v>164.94</v>
      </c>
      <c r="DD32" s="21" t="n"/>
      <c r="DE32" s="21" t="n">
        <v>183.991</v>
      </c>
      <c r="DF32" s="21" t="n">
        <v>245.233</v>
      </c>
      <c r="DG32" s="21" t="n">
        <v>199.743</v>
      </c>
      <c r="DH32" s="21" t="n">
        <v>222.105</v>
      </c>
      <c r="DI32" s="21" t="n">
        <v>191.655</v>
      </c>
      <c r="DJ32" s="21" t="n">
        <v>207.232</v>
      </c>
      <c r="DK32" s="21" t="n">
        <v>186.194</v>
      </c>
      <c r="DL32" s="21" t="n">
        <v>167.28</v>
      </c>
      <c r="DM32" s="21" t="n">
        <v>343.804</v>
      </c>
      <c r="DN32" s="21" t="n">
        <v>185.921</v>
      </c>
      <c r="DO32" s="21" t="n">
        <v>251.21</v>
      </c>
      <c r="DP32" s="21" t="n">
        <v>297.676</v>
      </c>
      <c r="DQ32" s="21" t="n">
        <v>308.49</v>
      </c>
      <c r="DR32" s="21" t="n">
        <v>153.378</v>
      </c>
      <c r="DS32" s="21" t="n">
        <v>537.9930000000001</v>
      </c>
      <c r="DT32" s="21" t="n">
        <v>312.857</v>
      </c>
      <c r="DU32" s="21" t="n">
        <v>305.221</v>
      </c>
      <c r="DV32" s="21" t="n">
        <v>305.214</v>
      </c>
      <c r="DW32" s="21" t="n">
        <v>238.254</v>
      </c>
      <c r="DX32" s="21" t="n">
        <v>199.31</v>
      </c>
      <c r="DY32" s="21" t="n">
        <v>240.827</v>
      </c>
      <c r="DZ32" s="21" t="n">
        <v>220.152</v>
      </c>
      <c r="EA32" s="21" t="n">
        <v>320.201</v>
      </c>
      <c r="EB32" s="21" t="n">
        <v>204.338</v>
      </c>
      <c r="EC32" s="21" t="n">
        <v>212.955</v>
      </c>
      <c r="ED32" s="21" t="n">
        <v>175.428</v>
      </c>
      <c r="EE32" s="21" t="n">
        <v>229.186</v>
      </c>
      <c r="EF32" s="21" t="n">
        <v>533.377</v>
      </c>
      <c r="EG32" s="21" t="n">
        <v>448.328</v>
      </c>
      <c r="EH32" s="21" t="n">
        <v>120.448</v>
      </c>
      <c r="EI32" s="21" t="n">
        <v>57.205</v>
      </c>
      <c r="EJ32" s="21" t="n">
        <v>65.994</v>
      </c>
      <c r="EK32" s="21" t="n">
        <v>43.786</v>
      </c>
      <c r="EL32" s="21" t="n">
        <v>110.631</v>
      </c>
      <c r="EM32" s="21" t="n">
        <v>68.941</v>
      </c>
      <c r="EN32" s="21" t="n">
        <v>74.297</v>
      </c>
      <c r="EO32" s="21" t="n">
        <v>78.062</v>
      </c>
      <c r="EP32" s="21" t="n">
        <v>87.142</v>
      </c>
      <c r="EQ32" s="21" t="n">
        <v>65.408</v>
      </c>
      <c r="ER32" s="21" t="n">
        <v>54.172</v>
      </c>
      <c r="ES32" s="21" t="n">
        <v>130.492</v>
      </c>
      <c r="ET32" s="21" t="n">
        <v>86.44499999999999</v>
      </c>
      <c r="EU32" s="21" t="n">
        <v>89.64700000000001</v>
      </c>
      <c r="EV32" s="21" t="n">
        <v>98.127</v>
      </c>
      <c r="EW32" s="21" t="n">
        <v>85.715</v>
      </c>
      <c r="EX32" s="21" t="n">
        <v>185.2</v>
      </c>
      <c r="EY32" s="21" t="n">
        <v>117.579</v>
      </c>
      <c r="EZ32" s="21" t="n">
        <v>117.63</v>
      </c>
      <c r="FA32" s="21" t="n">
        <v>154.566</v>
      </c>
      <c r="FB32" s="21" t="n">
        <v>125.368</v>
      </c>
      <c r="FC32" s="21" t="n">
        <v>116.481</v>
      </c>
      <c r="FD32" s="21" t="n">
        <v>120.357</v>
      </c>
      <c r="FE32" s="21" t="n">
        <v>106.155</v>
      </c>
      <c r="FF32" s="21" t="n">
        <v>150.691</v>
      </c>
      <c r="FG32" s="21" t="n">
        <v>77.94199999999999</v>
      </c>
      <c r="FH32" s="21" t="n">
        <v>119.88</v>
      </c>
      <c r="FI32" s="21" t="n">
        <v>100.115</v>
      </c>
      <c r="FJ32" s="21" t="n">
        <v>111.468</v>
      </c>
      <c r="FK32" s="21" t="n">
        <v>114.709</v>
      </c>
      <c r="FL32" s="21" t="n">
        <v>110.099</v>
      </c>
      <c r="FM32" s="21" t="n">
        <v>127.384</v>
      </c>
      <c r="FN32" s="21" t="n">
        <v>80.182</v>
      </c>
      <c r="FO32" s="21" t="n">
        <v>106.48</v>
      </c>
      <c r="FP32" s="21" t="n">
        <v>96.185</v>
      </c>
      <c r="FQ32" s="21" t="n">
        <v>136.553</v>
      </c>
      <c r="FR32" s="21" t="n">
        <v>137.338</v>
      </c>
      <c r="FS32" s="21" t="n">
        <v>151.058</v>
      </c>
      <c r="FT32" s="21" t="n">
        <v>127.926</v>
      </c>
      <c r="FU32" s="21" t="n">
        <v>113.081</v>
      </c>
      <c r="FV32" s="21" t="n">
        <v>171.807</v>
      </c>
      <c r="FW32" s="21" t="n">
        <v>137.517</v>
      </c>
      <c r="FX32" s="21" t="n">
        <v>175.156</v>
      </c>
      <c r="FY32" s="21" t="n">
        <v>196.903</v>
      </c>
      <c r="FZ32" s="21" t="n">
        <v>191.8</v>
      </c>
      <c r="GA32" s="21" t="n">
        <v>98.361</v>
      </c>
      <c r="GB32" s="21" t="n">
        <v>146.198</v>
      </c>
      <c r="GC32" s="21" t="n">
        <v>101.313</v>
      </c>
      <c r="GD32" s="21" t="n">
        <v>141.711</v>
      </c>
      <c r="GE32" s="21" t="n">
        <v>155.943</v>
      </c>
      <c r="GF32" s="21" t="n"/>
      <c r="GG32" s="21" t="n">
        <v>136.872</v>
      </c>
      <c r="GH32" s="21" t="n">
        <v>84.803</v>
      </c>
      <c r="GI32" s="21" t="n">
        <v>135.678</v>
      </c>
      <c r="GJ32" s="21" t="n">
        <v>192.711</v>
      </c>
      <c r="GK32" s="21" t="n">
        <v>191.889</v>
      </c>
      <c r="GL32" s="21" t="n">
        <v>187.721</v>
      </c>
      <c r="GM32" s="21" t="n">
        <v>209.173</v>
      </c>
      <c r="GN32" s="21" t="n">
        <v>206.586</v>
      </c>
      <c r="GO32" s="21" t="n">
        <v>179.902</v>
      </c>
      <c r="GP32" s="21" t="n">
        <v>143.592</v>
      </c>
      <c r="GQ32" s="21" t="n">
        <v>124.148</v>
      </c>
      <c r="GR32" s="21" t="n">
        <v>279.605</v>
      </c>
      <c r="GS32" s="21" t="n">
        <v>173.122</v>
      </c>
      <c r="GT32" s="21" t="n">
        <v>528.26</v>
      </c>
      <c r="GU32" s="21" t="n">
        <v>201.594</v>
      </c>
      <c r="GV32" s="21" t="n">
        <v>228.933</v>
      </c>
      <c r="GW32" s="21" t="n">
        <v>262.071</v>
      </c>
      <c r="GX32" s="21" t="n">
        <v>274.97</v>
      </c>
      <c r="GY32" s="21" t="n">
        <v>158.979</v>
      </c>
      <c r="GZ32" s="21" t="n">
        <v>116.422</v>
      </c>
      <c r="HA32" s="21" t="n">
        <v>65.90900000000001</v>
      </c>
      <c r="HB32" s="21" t="n">
        <v>476.279</v>
      </c>
      <c r="HC32" s="21" t="n">
        <v>380.302</v>
      </c>
      <c r="HD32" s="21" t="n">
        <v>124.57</v>
      </c>
      <c r="HE32" s="21" t="n">
        <v>524.056</v>
      </c>
      <c r="HF32" s="21" t="n">
        <v>98.539</v>
      </c>
      <c r="HG32" s="21" t="n">
        <v>506.889</v>
      </c>
      <c r="HH32" s="21" t="n">
        <v>373.13</v>
      </c>
      <c r="HI32" s="21" t="n">
        <v>377.989</v>
      </c>
      <c r="HJ32" s="21" t="n">
        <v>472.233</v>
      </c>
      <c r="HK32" s="21" t="n">
        <v>184.871</v>
      </c>
      <c r="HL32" s="21" t="n">
        <v>236.129</v>
      </c>
      <c r="HM32" s="21" t="n">
        <v>75.97799999999999</v>
      </c>
      <c r="HN32" s="21" t="n">
        <v>319.856</v>
      </c>
      <c r="HO32" s="21" t="n">
        <v>313.806</v>
      </c>
      <c r="HP32" s="21" t="n">
        <v>711.583</v>
      </c>
      <c r="HQ32" s="21" t="n">
        <v>221.467</v>
      </c>
      <c r="HR32" s="21" t="n">
        <v>118.847</v>
      </c>
      <c r="HS32" s="21" t="n">
        <v>104.67</v>
      </c>
      <c r="HT32" s="21" t="n">
        <v>232.92</v>
      </c>
      <c r="HU32" s="21" t="n">
        <v>464.989</v>
      </c>
      <c r="HV32" s="21" t="n">
        <v>126.115</v>
      </c>
      <c r="HW32" s="21" t="n">
        <v>31.014</v>
      </c>
      <c r="HX32" s="21" t="n">
        <v>170.506</v>
      </c>
      <c r="HY32" s="21" t="n">
        <v>197.468</v>
      </c>
      <c r="HZ32" s="21" t="n">
        <v>150.343</v>
      </c>
      <c r="IA32" s="21" t="n">
        <v>114.034</v>
      </c>
      <c r="IB32" s="21" t="n">
        <v>238.588</v>
      </c>
      <c r="IC32" s="21" t="n">
        <v>185.921</v>
      </c>
      <c r="ID32" s="21" t="n">
        <v>250.39</v>
      </c>
      <c r="IE32" s="21" t="n">
        <v>111.115</v>
      </c>
      <c r="IF32" s="21" t="n">
        <v>145.661</v>
      </c>
      <c r="IG32" s="21" t="n">
        <v>81.605</v>
      </c>
      <c r="IH32" s="21" t="n">
        <v>75.857</v>
      </c>
      <c r="II32" s="21" t="n">
        <v>55.524</v>
      </c>
      <c r="IJ32" s="21" t="n">
        <v>22.909</v>
      </c>
      <c r="IK32" s="21" t="n">
        <v>40.332</v>
      </c>
      <c r="IL32" s="21" t="n">
        <v>36.987</v>
      </c>
      <c r="IM32" s="21" t="n">
        <v>45.301</v>
      </c>
      <c r="IN32" s="21" t="n">
        <v>92.69499999999999</v>
      </c>
      <c r="IO32" s="21" t="n">
        <v>102.224</v>
      </c>
      <c r="IP32" s="21" t="n">
        <v>164.813</v>
      </c>
      <c r="IQ32" s="21" t="n">
        <v>135.363</v>
      </c>
      <c r="IR32" s="21" t="n">
        <v>378.366</v>
      </c>
      <c r="IS32" s="21" t="n">
        <v>179.374</v>
      </c>
      <c r="IT32" s="21" t="n">
        <v>218.43</v>
      </c>
      <c r="IU32" s="21" t="n">
        <v>304.327</v>
      </c>
      <c r="IV32" s="21" t="n">
        <v>241.084</v>
      </c>
      <c r="IW32" s="21" t="n">
        <v>135.692</v>
      </c>
      <c r="IX32" s="21" t="n">
        <v>253.351</v>
      </c>
      <c r="IY32" s="21" t="n">
        <v>691.689</v>
      </c>
      <c r="IZ32" s="21" t="n">
        <v>724.95</v>
      </c>
      <c r="JA32" s="21" t="n">
        <v>824.169</v>
      </c>
      <c r="JB32" s="21" t="n">
        <v>76.70399999999999</v>
      </c>
      <c r="JC32" s="21" t="n">
        <v>290.091</v>
      </c>
      <c r="JD32" s="21" t="n">
        <v>244.311</v>
      </c>
      <c r="JE32" s="21" t="n">
        <v>74.121</v>
      </c>
      <c r="JF32" s="21" t="n">
        <v>180.606</v>
      </c>
      <c r="JG32" s="21" t="n">
        <v>284.312</v>
      </c>
      <c r="JH32" s="21" t="n">
        <v>287.782</v>
      </c>
      <c r="JI32" s="21" t="n">
        <v>70.271</v>
      </c>
      <c r="JJ32" s="21" t="n">
        <v>113.196</v>
      </c>
      <c r="JK32" s="21" t="n">
        <v>42.973</v>
      </c>
      <c r="JL32" s="21" t="n">
        <v>75.92</v>
      </c>
      <c r="JM32" s="21" t="n">
        <v>264.684</v>
      </c>
      <c r="JN32" s="21" t="n">
        <v>434.033</v>
      </c>
      <c r="JO32" s="21" t="n">
        <v>64.99299999999999</v>
      </c>
      <c r="JP32" s="21" t="n">
        <v>421.811</v>
      </c>
      <c r="JQ32" s="21" t="n">
        <v>227.509</v>
      </c>
      <c r="JR32" s="21" t="n">
        <v>161.577</v>
      </c>
      <c r="JS32" s="21" t="n">
        <v>425.931</v>
      </c>
      <c r="JT32" s="21" t="n">
        <v>348.267</v>
      </c>
      <c r="JU32" s="21" t="n">
        <v>325.796</v>
      </c>
      <c r="JV32" s="21" t="n">
        <v>165.68</v>
      </c>
      <c r="JW32" s="21" t="n">
        <v>343.711</v>
      </c>
      <c r="JX32" s="21" t="n">
        <v>239.235</v>
      </c>
      <c r="JY32" s="21" t="n">
        <v>77.977</v>
      </c>
      <c r="JZ32" s="21" t="n">
        <v>149.78</v>
      </c>
      <c r="KA32" s="21" t="n">
        <v>233.114</v>
      </c>
      <c r="KB32" s="21" t="n">
        <v>251.018</v>
      </c>
      <c r="KC32" s="21" t="n">
        <v>243.314</v>
      </c>
      <c r="KD32" s="21" t="n">
        <v>251.985</v>
      </c>
      <c r="KE32" s="21" t="n">
        <v>226.063</v>
      </c>
      <c r="KF32" s="21" t="n">
        <v>219.777</v>
      </c>
      <c r="KG32" s="21" t="n">
        <v>226.553</v>
      </c>
      <c r="KH32" s="21" t="n">
        <v>232.063</v>
      </c>
      <c r="KI32" s="21" t="n">
        <v>118.234</v>
      </c>
      <c r="KJ32" s="21" t="n">
        <v>179.472</v>
      </c>
      <c r="KK32" s="21" t="n">
        <v>148.103</v>
      </c>
      <c r="KL32" s="21" t="n">
        <v>144.786</v>
      </c>
      <c r="KM32" s="21" t="n">
        <v>144.196</v>
      </c>
      <c r="KN32" s="21" t="n">
        <v>145.716</v>
      </c>
      <c r="KO32" s="21" t="n">
        <v>247.134</v>
      </c>
      <c r="KP32" s="21" t="n">
        <v>104.749</v>
      </c>
      <c r="KQ32" s="21" t="n">
        <v>78.30200000000001</v>
      </c>
      <c r="KR32" s="21" t="n">
        <v>108.239</v>
      </c>
      <c r="KS32" s="21" t="n">
        <v>195.994</v>
      </c>
      <c r="KT32" s="21" t="n">
        <v>196.403</v>
      </c>
      <c r="KU32" s="21" t="n">
        <v>90.002</v>
      </c>
      <c r="KV32" s="21" t="n">
        <v>57.793</v>
      </c>
      <c r="KW32" s="21" t="n">
        <v>217.026</v>
      </c>
      <c r="KX32" s="21" t="n">
        <v>188.756</v>
      </c>
      <c r="KY32" s="21" t="n">
        <v>228.557</v>
      </c>
      <c r="KZ32" s="21" t="n">
        <v>185.311</v>
      </c>
      <c r="LA32" s="21" t="n">
        <v>227.173</v>
      </c>
      <c r="LB32" s="21" t="n">
        <v>111.461</v>
      </c>
      <c r="LC32" s="21" t="n">
        <v>347.07</v>
      </c>
      <c r="LD32" s="21" t="n">
        <v>83.054</v>
      </c>
      <c r="LE32" s="21" t="n">
        <v>119.592</v>
      </c>
      <c r="LF32" s="21" t="n">
        <v>310.138</v>
      </c>
      <c r="LG32" s="21" t="n">
        <v>308.083</v>
      </c>
      <c r="LH32" s="21" t="n">
        <v>318.581</v>
      </c>
      <c r="LI32" s="21" t="n">
        <v>293.045</v>
      </c>
      <c r="LJ32" s="21" t="n">
        <v>329.438</v>
      </c>
      <c r="LK32" s="21" t="n">
        <v>103.639</v>
      </c>
      <c r="LL32" s="21" t="n">
        <v>310.184</v>
      </c>
      <c r="LM32" s="21" t="n">
        <v>216.374</v>
      </c>
      <c r="LN32" s="21" t="n">
        <v>49.974</v>
      </c>
      <c r="LO32" s="21" t="n">
        <v>123.567</v>
      </c>
    </row>
    <row r="33">
      <c r="A33" s="22" t="n">
        <v>42948</v>
      </c>
      <c r="B33" s="21" t="n">
        <v>245.183</v>
      </c>
      <c r="C33" s="21" t="n">
        <v>250.21</v>
      </c>
      <c r="D33" s="21" t="n">
        <v>250.469</v>
      </c>
      <c r="E33" s="21" t="n">
        <v>238.804</v>
      </c>
      <c r="F33" s="21" t="n">
        <v>272.102</v>
      </c>
      <c r="G33" s="21" t="n">
        <v>227.219</v>
      </c>
      <c r="H33" s="21" t="n">
        <v>236.285</v>
      </c>
      <c r="I33" s="21" t="n">
        <v>223.789</v>
      </c>
      <c r="J33" s="21" t="n">
        <v>234.365</v>
      </c>
      <c r="K33" s="21" t="n">
        <v>297.819</v>
      </c>
      <c r="L33" s="21" t="n">
        <v>179.221</v>
      </c>
      <c r="M33" s="21" t="n">
        <v>174.993</v>
      </c>
      <c r="N33" s="21" t="n">
        <v>282.774</v>
      </c>
      <c r="O33" s="21" t="n">
        <v>268.792</v>
      </c>
      <c r="P33" s="21" t="n">
        <v>265.494</v>
      </c>
      <c r="Q33" s="21" t="n">
        <v>302.174</v>
      </c>
      <c r="R33" s="21" t="n">
        <v>271.147</v>
      </c>
      <c r="S33" s="21" t="n">
        <v>246.4</v>
      </c>
      <c r="T33" s="21" t="n">
        <v>250.34</v>
      </c>
      <c r="U33" s="21" t="n">
        <v>252.669</v>
      </c>
      <c r="V33" s="21" t="n">
        <v>301.58</v>
      </c>
      <c r="W33" s="21" t="n">
        <v>273.406</v>
      </c>
      <c r="X33" s="21" t="n">
        <v>224.824</v>
      </c>
      <c r="Y33" s="21" t="n">
        <v>201.609</v>
      </c>
      <c r="Z33" s="21" t="n">
        <v>212.026</v>
      </c>
      <c r="AA33" s="21" t="n">
        <v>163.298</v>
      </c>
      <c r="AB33" s="21" t="n">
        <v>314.382</v>
      </c>
      <c r="AC33" s="21" t="n">
        <v>142.335</v>
      </c>
      <c r="AD33" s="21" t="n">
        <v>203.471</v>
      </c>
      <c r="AE33" s="21" t="n">
        <v>226.431</v>
      </c>
      <c r="AF33" s="21" t="n">
        <v>186.454</v>
      </c>
      <c r="AG33" s="21" t="n">
        <v>124.504</v>
      </c>
      <c r="AH33" s="21" t="n">
        <v>224.037</v>
      </c>
      <c r="AI33" s="21" t="n">
        <v>228.662</v>
      </c>
      <c r="AJ33" s="21" t="n">
        <v>145.14</v>
      </c>
      <c r="AK33" s="21" t="n">
        <v>232.404</v>
      </c>
      <c r="AL33" s="21" t="n">
        <v>149.715</v>
      </c>
      <c r="AM33" s="21" t="n">
        <v>245.134</v>
      </c>
      <c r="AN33" s="21" t="n">
        <v>222.9</v>
      </c>
      <c r="AO33" s="21" t="n">
        <v>149.699</v>
      </c>
      <c r="AP33" s="21" t="n">
        <v>288.024</v>
      </c>
      <c r="AQ33" s="21" t="n">
        <v>178.038</v>
      </c>
      <c r="AR33" s="21" t="n">
        <v>144.267</v>
      </c>
      <c r="AS33" s="21" t="n">
        <v>201.299</v>
      </c>
      <c r="AT33" s="21" t="n">
        <v>303.257</v>
      </c>
      <c r="AU33" s="21" t="n">
        <v>194.898</v>
      </c>
      <c r="AV33" s="21" t="n">
        <v>217.08</v>
      </c>
      <c r="AW33" s="21" t="n">
        <v>138.796</v>
      </c>
      <c r="AX33" s="21" t="n">
        <v>198.964</v>
      </c>
      <c r="AY33" s="21" t="n">
        <v>142.367</v>
      </c>
      <c r="AZ33" s="21" t="n">
        <v>229.206</v>
      </c>
      <c r="BA33" s="21" t="n">
        <v>220.256</v>
      </c>
      <c r="BB33" s="21" t="n">
        <v>146.965</v>
      </c>
      <c r="BC33" s="21" t="n">
        <v>296.781</v>
      </c>
      <c r="BD33" s="21" t="n">
        <v>344.143</v>
      </c>
      <c r="BE33" s="21" t="n">
        <v>362.518</v>
      </c>
      <c r="BF33" s="21" t="n">
        <v>349.549</v>
      </c>
      <c r="BG33" s="21" t="n">
        <v>195.153</v>
      </c>
      <c r="BH33" s="21" t="n">
        <v>251.556</v>
      </c>
      <c r="BI33" s="21" t="n">
        <v>516.477</v>
      </c>
      <c r="BJ33" s="21" t="n">
        <v>119.474</v>
      </c>
      <c r="BK33" s="21" t="n">
        <v>323.607</v>
      </c>
      <c r="BL33" s="21" t="n">
        <v>338.476</v>
      </c>
      <c r="BM33" s="21" t="n">
        <v>289.485</v>
      </c>
      <c r="BN33" s="21" t="n">
        <v>330.064</v>
      </c>
      <c r="BO33" s="21" t="n">
        <v>327.917</v>
      </c>
      <c r="BP33" s="21" t="n">
        <v>155.137</v>
      </c>
      <c r="BQ33" s="21" t="n">
        <v>158.239</v>
      </c>
      <c r="BR33" s="21" t="n">
        <v>156.394</v>
      </c>
      <c r="BS33" s="21" t="n">
        <v>164.669</v>
      </c>
      <c r="BT33" s="21" t="n">
        <v>149.263</v>
      </c>
      <c r="BU33" s="21" t="n">
        <v>203.49</v>
      </c>
      <c r="BV33" s="21" t="n">
        <v>156.179</v>
      </c>
      <c r="BW33" s="21" t="n">
        <v>167.289</v>
      </c>
      <c r="BX33" s="21" t="n">
        <v>129.295</v>
      </c>
      <c r="BY33" s="21" t="n">
        <v>161.116</v>
      </c>
      <c r="BZ33" s="21" t="n">
        <v>118.322</v>
      </c>
      <c r="CA33" s="21" t="n">
        <v>116.643</v>
      </c>
      <c r="CB33" s="21" t="n">
        <v>196.051</v>
      </c>
      <c r="CC33" s="21" t="n">
        <v>204.093</v>
      </c>
      <c r="CD33" s="21" t="n">
        <v>127.118</v>
      </c>
      <c r="CE33" s="21" t="n">
        <v>209.803</v>
      </c>
      <c r="CF33" s="21" t="n">
        <v>216.24</v>
      </c>
      <c r="CG33" s="21" t="n">
        <v>188.451</v>
      </c>
      <c r="CH33" s="21" t="n">
        <v>144.943</v>
      </c>
      <c r="CI33" s="21" t="n">
        <v>156.136</v>
      </c>
      <c r="CJ33" s="21" t="n">
        <v>228.44</v>
      </c>
      <c r="CK33" s="21" t="n">
        <v>207.308</v>
      </c>
      <c r="CL33" s="21" t="n">
        <v>244.571</v>
      </c>
      <c r="CM33" s="21" t="n">
        <v>304.532</v>
      </c>
      <c r="CN33" s="21" t="n">
        <v>129.708</v>
      </c>
      <c r="CO33" s="21" t="n">
        <v>157.301</v>
      </c>
      <c r="CP33" s="21" t="n">
        <v>223.918</v>
      </c>
      <c r="CQ33" s="21" t="n">
        <v>244.826</v>
      </c>
      <c r="CR33" s="21" t="n">
        <v>167.173</v>
      </c>
      <c r="CS33" s="21" t="n">
        <v>252.565</v>
      </c>
      <c r="CT33" s="21" t="n">
        <v>239.567</v>
      </c>
      <c r="CU33" s="21" t="n">
        <v>153.076</v>
      </c>
      <c r="CV33" s="21" t="n">
        <v>135.346</v>
      </c>
      <c r="CW33" s="21" t="n">
        <v>137.584</v>
      </c>
      <c r="CX33" s="21" t="n">
        <v>278.254</v>
      </c>
      <c r="CY33" s="21" t="n">
        <v>131.155</v>
      </c>
      <c r="CZ33" s="21" t="n">
        <v>127.015</v>
      </c>
      <c r="DA33" s="21" t="n">
        <v>269.522</v>
      </c>
      <c r="DB33" s="21" t="n">
        <v>167.448</v>
      </c>
      <c r="DC33" s="21" t="n">
        <v>172.774</v>
      </c>
      <c r="DD33" s="21" t="n">
        <v>143.069</v>
      </c>
      <c r="DE33" s="21" t="n">
        <v>185.074</v>
      </c>
      <c r="DF33" s="21" t="n">
        <v>245.337</v>
      </c>
      <c r="DG33" s="21" t="n">
        <v>199.92</v>
      </c>
      <c r="DH33" s="21" t="n">
        <v>222.746</v>
      </c>
      <c r="DI33" s="21" t="n">
        <v>192.246</v>
      </c>
      <c r="DJ33" s="21" t="n">
        <v>206.512</v>
      </c>
      <c r="DK33" s="21" t="n">
        <v>187.181</v>
      </c>
      <c r="DL33" s="21" t="n">
        <v>167.32</v>
      </c>
      <c r="DM33" s="21" t="n">
        <v>344.593</v>
      </c>
      <c r="DN33" s="21" t="n">
        <v>186.491</v>
      </c>
      <c r="DO33" s="21" t="n">
        <v>252.086</v>
      </c>
      <c r="DP33" s="21" t="n">
        <v>298.904</v>
      </c>
      <c r="DQ33" s="21" t="n">
        <v>309.608</v>
      </c>
      <c r="DR33" s="21" t="n">
        <v>158.478</v>
      </c>
      <c r="DS33" s="21" t="n">
        <v>538.002</v>
      </c>
      <c r="DT33" s="21" t="n">
        <v>324.909</v>
      </c>
      <c r="DU33" s="21" t="n">
        <v>306.229</v>
      </c>
      <c r="DV33" s="21" t="n">
        <v>306.227</v>
      </c>
      <c r="DW33" s="21" t="n">
        <v>238.492</v>
      </c>
      <c r="DX33" s="21" t="n">
        <v>199.444</v>
      </c>
      <c r="DY33" s="21" t="n">
        <v>250.736</v>
      </c>
      <c r="DZ33" s="21" t="n">
        <v>226.59</v>
      </c>
      <c r="EA33" s="21" t="n">
        <v>322.723</v>
      </c>
      <c r="EB33" s="21" t="n">
        <v>204.067</v>
      </c>
      <c r="EC33" s="21" t="n">
        <v>212.935</v>
      </c>
      <c r="ED33" s="21" t="n">
        <v>174.435</v>
      </c>
      <c r="EE33" s="21" t="n">
        <v>229.664</v>
      </c>
      <c r="EF33" s="21" t="n">
        <v>534.697</v>
      </c>
      <c r="EG33" s="21" t="n">
        <v>448.717</v>
      </c>
      <c r="EH33" s="21" t="n">
        <v>120.6</v>
      </c>
      <c r="EI33" s="21" t="n">
        <v>56.91</v>
      </c>
      <c r="EJ33" s="21" t="n">
        <v>65.34</v>
      </c>
      <c r="EK33" s="21" t="n">
        <v>43.526</v>
      </c>
      <c r="EL33" s="21" t="n">
        <v>111.008</v>
      </c>
      <c r="EM33" s="21" t="n">
        <v>69.108</v>
      </c>
      <c r="EN33" s="21" t="n">
        <v>74.85899999999999</v>
      </c>
      <c r="EO33" s="21" t="n">
        <v>78.605</v>
      </c>
      <c r="EP33" s="21" t="n">
        <v>87.476</v>
      </c>
      <c r="EQ33" s="21" t="n">
        <v>65.89400000000001</v>
      </c>
      <c r="ER33" s="21" t="n">
        <v>53.551</v>
      </c>
      <c r="ES33" s="21" t="n">
        <v>130.516</v>
      </c>
      <c r="ET33" s="21" t="n">
        <v>86.753</v>
      </c>
      <c r="EU33" s="21" t="n">
        <v>89.334</v>
      </c>
      <c r="EV33" s="21" t="n">
        <v>97.919</v>
      </c>
      <c r="EW33" s="21" t="n">
        <v>85.17100000000001</v>
      </c>
      <c r="EX33" s="21" t="n">
        <v>184.663</v>
      </c>
      <c r="EY33" s="21" t="n">
        <v>117.121</v>
      </c>
      <c r="EZ33" s="21" t="n">
        <v>117.263</v>
      </c>
      <c r="FA33" s="21" t="n">
        <v>157.139</v>
      </c>
      <c r="FB33" s="21" t="n">
        <v>125.39</v>
      </c>
      <c r="FC33" s="21" t="n">
        <v>117.047</v>
      </c>
      <c r="FD33" s="21" t="n">
        <v>120.027</v>
      </c>
      <c r="FE33" s="21" t="n">
        <v>107.068</v>
      </c>
      <c r="FF33" s="21" t="n">
        <v>149.489</v>
      </c>
      <c r="FG33" s="21" t="n">
        <v>78.417</v>
      </c>
      <c r="FH33" s="21" t="n">
        <v>119.924</v>
      </c>
      <c r="FI33" s="21" t="n">
        <v>107.701</v>
      </c>
      <c r="FJ33" s="21" t="n">
        <v>111.38</v>
      </c>
      <c r="FK33" s="21" t="n">
        <v>114.33</v>
      </c>
      <c r="FL33" s="21" t="n">
        <v>111.615</v>
      </c>
      <c r="FM33" s="21" t="n">
        <v>122.525</v>
      </c>
      <c r="FN33" s="21" t="n">
        <v>80.07599999999999</v>
      </c>
      <c r="FO33" s="21" t="n">
        <v>106.606</v>
      </c>
      <c r="FP33" s="21" t="n">
        <v>97.343</v>
      </c>
      <c r="FQ33" s="21" t="n">
        <v>135.737</v>
      </c>
      <c r="FR33" s="21" t="n">
        <v>138.72</v>
      </c>
      <c r="FS33" s="21" t="n">
        <v>149.361</v>
      </c>
      <c r="FT33" s="21" t="n">
        <v>126.444</v>
      </c>
      <c r="FU33" s="21" t="n">
        <v>112.368</v>
      </c>
      <c r="FV33" s="21" t="n">
        <v>173.988</v>
      </c>
      <c r="FW33" s="21" t="n">
        <v>139.872</v>
      </c>
      <c r="FX33" s="21" t="n">
        <v>177.149</v>
      </c>
      <c r="FY33" s="21" t="n">
        <v>199.59</v>
      </c>
      <c r="FZ33" s="21" t="n">
        <v>194.737</v>
      </c>
      <c r="GA33" s="21" t="n">
        <v>98.23699999999999</v>
      </c>
      <c r="GB33" s="21" t="n">
        <v>146.097</v>
      </c>
      <c r="GC33" s="21" t="n">
        <v>101.267</v>
      </c>
      <c r="GD33" s="21" t="n">
        <v>141.521</v>
      </c>
      <c r="GE33" s="21" t="n">
        <v>156.05</v>
      </c>
      <c r="GF33" s="21" t="n"/>
      <c r="GG33" s="21" t="n">
        <v>136.875</v>
      </c>
      <c r="GH33" s="21" t="n">
        <v>84.336</v>
      </c>
      <c r="GI33" s="21" t="n">
        <v>133.307</v>
      </c>
      <c r="GJ33" s="21" t="n">
        <v>204.559</v>
      </c>
      <c r="GK33" s="21" t="n">
        <v>203.585</v>
      </c>
      <c r="GL33" s="21" t="n">
        <v>199.415</v>
      </c>
      <c r="GM33" s="21" t="n">
        <v>220.532</v>
      </c>
      <c r="GN33" s="21" t="n">
        <v>216.087</v>
      </c>
      <c r="GO33" s="21" t="n">
        <v>185.016</v>
      </c>
      <c r="GP33" s="21" t="n">
        <v>143.368</v>
      </c>
      <c r="GQ33" s="21" t="n">
        <v>124.169</v>
      </c>
      <c r="GR33" s="21" t="n">
        <v>280.488</v>
      </c>
      <c r="GS33" s="21" t="n">
        <v>173.357</v>
      </c>
      <c r="GT33" s="21" t="n">
        <v>533.6079999999999</v>
      </c>
      <c r="GU33" s="21" t="n">
        <v>202.361</v>
      </c>
      <c r="GV33" s="21" t="n">
        <v>229.664</v>
      </c>
      <c r="GW33" s="21" t="n">
        <v>260.037</v>
      </c>
      <c r="GX33" s="21" t="n">
        <v>270.846</v>
      </c>
      <c r="GY33" s="21" t="n">
        <v>158.694</v>
      </c>
      <c r="GZ33" s="21" t="n">
        <v>115.779</v>
      </c>
      <c r="HA33" s="21" t="n">
        <v>65.822</v>
      </c>
      <c r="HB33" s="21" t="n">
        <v>477.199</v>
      </c>
      <c r="HC33" s="21" t="n">
        <v>381.114</v>
      </c>
      <c r="HD33" s="21" t="n">
        <v>124.838</v>
      </c>
      <c r="HE33" s="21" t="n">
        <v>526.105</v>
      </c>
      <c r="HF33" s="21" t="n">
        <v>98.057</v>
      </c>
      <c r="HG33" s="21" t="n">
        <v>507.84</v>
      </c>
      <c r="HH33" s="21" t="n">
        <v>374.715</v>
      </c>
      <c r="HI33" s="21" t="n">
        <v>378.99</v>
      </c>
      <c r="HJ33" s="21" t="n">
        <v>473.869</v>
      </c>
      <c r="HK33" s="21" t="n">
        <v>187.432</v>
      </c>
      <c r="HL33" s="21" t="n">
        <v>236.129</v>
      </c>
      <c r="HM33" s="21" t="n">
        <v>76.11</v>
      </c>
      <c r="HN33" s="21" t="n">
        <v>320.553</v>
      </c>
      <c r="HO33" s="21" t="n">
        <v>314.489</v>
      </c>
      <c r="HP33" s="21" t="n">
        <v>711.217</v>
      </c>
      <c r="HQ33" s="21" t="n">
        <v>220.676</v>
      </c>
      <c r="HR33" s="21" t="n">
        <v>118.929</v>
      </c>
      <c r="HS33" s="21" t="n">
        <v>104.969</v>
      </c>
      <c r="HT33" s="21" t="n">
        <v>229.124</v>
      </c>
      <c r="HU33" s="21" t="n">
        <v>466.855</v>
      </c>
      <c r="HV33" s="21" t="n">
        <v>122.755</v>
      </c>
      <c r="HW33" s="21" t="n">
        <v>30.783</v>
      </c>
      <c r="HX33" s="21" t="n">
        <v>170.714</v>
      </c>
      <c r="HY33" s="21" t="n">
        <v>197.378</v>
      </c>
      <c r="HZ33" s="21" t="n">
        <v>151.374</v>
      </c>
      <c r="IA33" s="21" t="n">
        <v>113.086</v>
      </c>
      <c r="IB33" s="21" t="n">
        <v>239.503</v>
      </c>
      <c r="IC33" s="21" t="n">
        <v>187.196</v>
      </c>
      <c r="ID33" s="21" t="n">
        <v>251.325</v>
      </c>
      <c r="IE33" s="21" t="n">
        <v>110.166</v>
      </c>
      <c r="IF33" s="21" t="n">
        <v>143.375</v>
      </c>
      <c r="IG33" s="21" t="n">
        <v>81.565</v>
      </c>
      <c r="IH33" s="21" t="n">
        <v>75.884</v>
      </c>
      <c r="II33" s="21" t="n">
        <v>55.596</v>
      </c>
      <c r="IJ33" s="21" t="n">
        <v>22.918</v>
      </c>
      <c r="IK33" s="21" t="n">
        <v>39.99</v>
      </c>
      <c r="IL33" s="21" t="n">
        <v>36.585</v>
      </c>
      <c r="IM33" s="21" t="n">
        <v>44.911</v>
      </c>
      <c r="IN33" s="21" t="n">
        <v>93.88500000000001</v>
      </c>
      <c r="IO33" s="21" t="n">
        <v>101.734</v>
      </c>
      <c r="IP33" s="21" t="n">
        <v>165.221</v>
      </c>
      <c r="IQ33" s="21" t="n">
        <v>136.08</v>
      </c>
      <c r="IR33" s="21" t="n">
        <v>379.077</v>
      </c>
      <c r="IS33" s="21" t="n">
        <v>181.172</v>
      </c>
      <c r="IT33" s="21" t="n">
        <v>216.44</v>
      </c>
      <c r="IU33" s="21" t="n">
        <v>303.153</v>
      </c>
      <c r="IV33" s="21" t="n">
        <v>239.954</v>
      </c>
      <c r="IW33" s="21" t="n">
        <v>135.614</v>
      </c>
      <c r="IX33" s="21" t="n">
        <v>253.49</v>
      </c>
      <c r="IY33" s="21" t="n">
        <v>690.0410000000001</v>
      </c>
      <c r="IZ33" s="21" t="n">
        <v>725.462</v>
      </c>
      <c r="JA33" s="21" t="n">
        <v>823.502</v>
      </c>
      <c r="JB33" s="21" t="n">
        <v>76.89700000000001</v>
      </c>
      <c r="JC33" s="21" t="n">
        <v>290.67</v>
      </c>
      <c r="JD33" s="21" t="n">
        <v>247.105</v>
      </c>
      <c r="JE33" s="21" t="n">
        <v>74.002</v>
      </c>
      <c r="JF33" s="21" t="n">
        <v>181.059</v>
      </c>
      <c r="JG33" s="21" t="n">
        <v>284.919</v>
      </c>
      <c r="JH33" s="21" t="n">
        <v>290.473</v>
      </c>
      <c r="JI33" s="21" t="n">
        <v>70.14700000000001</v>
      </c>
      <c r="JJ33" s="21" t="n">
        <v>112.614</v>
      </c>
      <c r="JK33" s="21" t="n">
        <v>42.451</v>
      </c>
      <c r="JL33" s="21" t="n">
        <v>75.83499999999999</v>
      </c>
      <c r="JM33" s="21" t="n">
        <v>262.103</v>
      </c>
      <c r="JN33" s="21" t="n">
        <v>433.328</v>
      </c>
      <c r="JO33" s="21" t="n">
        <v>64.923</v>
      </c>
      <c r="JP33" s="21" t="n">
        <v>421.034</v>
      </c>
      <c r="JQ33" s="21" t="n">
        <v>227.105</v>
      </c>
      <c r="JR33" s="21" t="n">
        <v>160.678</v>
      </c>
      <c r="JS33" s="21" t="n">
        <v>425.575</v>
      </c>
      <c r="JT33" s="21" t="n">
        <v>346.046</v>
      </c>
      <c r="JU33" s="21" t="n">
        <v>327.137</v>
      </c>
      <c r="JV33" s="21" t="n">
        <v>165.555</v>
      </c>
      <c r="JW33" s="21" t="n">
        <v>344.346</v>
      </c>
      <c r="JX33" s="21" t="n">
        <v>239.951</v>
      </c>
      <c r="JY33" s="21" t="n">
        <v>76.83199999999999</v>
      </c>
      <c r="JZ33" s="21" t="n">
        <v>148.049</v>
      </c>
      <c r="KA33" s="21" t="n">
        <v>234.053</v>
      </c>
      <c r="KB33" s="21" t="n">
        <v>251.527</v>
      </c>
      <c r="KC33" s="21" t="n">
        <v>244.355</v>
      </c>
      <c r="KD33" s="21" t="n">
        <v>252.535</v>
      </c>
      <c r="KE33" s="21" t="n">
        <v>226.902</v>
      </c>
      <c r="KF33" s="21" t="n">
        <v>220.74</v>
      </c>
      <c r="KG33" s="21" t="n">
        <v>226.72</v>
      </c>
      <c r="KH33" s="21" t="n">
        <v>232.241</v>
      </c>
      <c r="KI33" s="21" t="n">
        <v>118.463</v>
      </c>
      <c r="KJ33" s="21" t="n">
        <v>180.41</v>
      </c>
      <c r="KK33" s="21" t="n">
        <v>149.25</v>
      </c>
      <c r="KL33" s="21" t="n">
        <v>145.954</v>
      </c>
      <c r="KM33" s="21" t="n">
        <v>143.976</v>
      </c>
      <c r="KN33" s="21" t="n">
        <v>145.469</v>
      </c>
      <c r="KO33" s="21" t="n">
        <v>247.082</v>
      </c>
      <c r="KP33" s="21" t="n">
        <v>104.561</v>
      </c>
      <c r="KQ33" s="21" t="n">
        <v>77.593</v>
      </c>
      <c r="KR33" s="21" t="n">
        <v>108.267</v>
      </c>
      <c r="KS33" s="21" t="n">
        <v>201.45</v>
      </c>
      <c r="KT33" s="21" t="n">
        <v>208.258</v>
      </c>
      <c r="KU33" s="21" t="n">
        <v>90.029</v>
      </c>
      <c r="KV33" s="21" t="n">
        <v>57.129</v>
      </c>
      <c r="KW33" s="21" t="n">
        <v>218.798</v>
      </c>
      <c r="KX33" s="21" t="n">
        <v>191.762</v>
      </c>
      <c r="KY33" s="21" t="n">
        <v>232.223</v>
      </c>
      <c r="KZ33" s="21" t="n">
        <v>188.432</v>
      </c>
      <c r="LA33" s="21" t="n">
        <v>231.846</v>
      </c>
      <c r="LB33" s="21" t="n">
        <v>110.944</v>
      </c>
      <c r="LC33" s="21" t="n">
        <v>347.598</v>
      </c>
      <c r="LD33" s="21" t="n">
        <v>82.563</v>
      </c>
      <c r="LE33" s="21" t="n">
        <v>120.022</v>
      </c>
      <c r="LF33" s="21" t="n">
        <v>311.481</v>
      </c>
      <c r="LG33" s="21" t="n">
        <v>308.982</v>
      </c>
      <c r="LH33" s="21" t="n">
        <v>319.594</v>
      </c>
      <c r="LI33" s="21" t="n">
        <v>293.888</v>
      </c>
      <c r="LJ33" s="21" t="n">
        <v>330.016</v>
      </c>
      <c r="LK33" s="21" t="n">
        <v>103.578</v>
      </c>
      <c r="LL33" s="21" t="n">
        <v>311.071</v>
      </c>
      <c r="LM33" s="21" t="n">
        <v>216.28</v>
      </c>
      <c r="LN33" s="21" t="n">
        <v>49.298</v>
      </c>
      <c r="LO33" s="21" t="n">
        <v>124.172</v>
      </c>
    </row>
    <row r="34">
      <c r="A34" s="22" t="n">
        <v>42979</v>
      </c>
      <c r="B34" s="21" t="n">
        <v>246.435</v>
      </c>
      <c r="C34" s="21" t="n">
        <v>250.587</v>
      </c>
      <c r="D34" s="21" t="n">
        <v>250.826</v>
      </c>
      <c r="E34" s="21" t="n">
        <v>238.852</v>
      </c>
      <c r="F34" s="21" t="n">
        <v>271.729</v>
      </c>
      <c r="G34" s="21" t="n">
        <v>227.58</v>
      </c>
      <c r="H34" s="21" t="n">
        <v>235.615</v>
      </c>
      <c r="I34" s="21" t="n">
        <v>224.457</v>
      </c>
      <c r="J34" s="21" t="n">
        <v>234.344</v>
      </c>
      <c r="K34" s="21" t="n">
        <v>297.281</v>
      </c>
      <c r="L34" s="21" t="n">
        <v>178.051</v>
      </c>
      <c r="M34" s="21" t="n">
        <v>175.086</v>
      </c>
      <c r="N34" s="21" t="n">
        <v>281.738</v>
      </c>
      <c r="O34" s="21" t="n">
        <v>266.15</v>
      </c>
      <c r="P34" s="21" t="n">
        <v>266.569</v>
      </c>
      <c r="Q34" s="21" t="n">
        <v>304.914</v>
      </c>
      <c r="R34" s="21" t="n">
        <v>270.141</v>
      </c>
      <c r="S34" s="21" t="n">
        <v>246.196</v>
      </c>
      <c r="T34" s="21" t="n">
        <v>249.712</v>
      </c>
      <c r="U34" s="21" t="n">
        <v>252.075</v>
      </c>
      <c r="V34" s="21" t="n">
        <v>299.336</v>
      </c>
      <c r="W34" s="21" t="n">
        <v>273.077</v>
      </c>
      <c r="X34" s="21" t="n">
        <v>223.994</v>
      </c>
      <c r="Y34" s="21" t="n">
        <v>198.065</v>
      </c>
      <c r="Z34" s="21" t="n">
        <v>213.242</v>
      </c>
      <c r="AA34" s="21" t="n">
        <v>164.794</v>
      </c>
      <c r="AB34" s="21" t="n">
        <v>317.544</v>
      </c>
      <c r="AC34" s="21" t="n">
        <v>143.609</v>
      </c>
      <c r="AD34" s="21" t="n">
        <v>199.716</v>
      </c>
      <c r="AE34" s="21" t="n">
        <v>222.367</v>
      </c>
      <c r="AF34" s="21" t="n">
        <v>185.582</v>
      </c>
      <c r="AG34" s="21" t="n">
        <v>126.461</v>
      </c>
      <c r="AH34" s="21" t="n">
        <v>223.282</v>
      </c>
      <c r="AI34" s="21" t="n">
        <v>231.943</v>
      </c>
      <c r="AJ34" s="21" t="n">
        <v>143.402</v>
      </c>
      <c r="AK34" s="21" t="n">
        <v>231.866</v>
      </c>
      <c r="AL34" s="21" t="n">
        <v>149.223</v>
      </c>
      <c r="AM34" s="21" t="n">
        <v>244.825</v>
      </c>
      <c r="AN34" s="21" t="n">
        <v>222.132</v>
      </c>
      <c r="AO34" s="21" t="n">
        <v>150.205</v>
      </c>
      <c r="AP34" s="21" t="n">
        <v>287.049</v>
      </c>
      <c r="AQ34" s="21" t="n">
        <v>176.654</v>
      </c>
      <c r="AR34" s="21" t="n">
        <v>145.146</v>
      </c>
      <c r="AS34" s="21" t="n">
        <v>202.47</v>
      </c>
      <c r="AT34" s="21" t="n">
        <v>304.647</v>
      </c>
      <c r="AU34" s="21" t="n">
        <v>200.45</v>
      </c>
      <c r="AV34" s="21" t="n">
        <v>216.371</v>
      </c>
      <c r="AW34" s="21" t="n">
        <v>137.72</v>
      </c>
      <c r="AX34" s="21" t="n">
        <v>198.253</v>
      </c>
      <c r="AY34" s="21" t="n">
        <v>141.337</v>
      </c>
      <c r="AZ34" s="21" t="n">
        <v>228.232</v>
      </c>
      <c r="BA34" s="21" t="n">
        <v>218.823</v>
      </c>
      <c r="BB34" s="21" t="n">
        <v>147.406</v>
      </c>
      <c r="BC34" s="21" t="n">
        <v>297.435</v>
      </c>
      <c r="BD34" s="21" t="n">
        <v>345.29</v>
      </c>
      <c r="BE34" s="21" t="n">
        <v>364.909</v>
      </c>
      <c r="BF34" s="21" t="n">
        <v>359.59</v>
      </c>
      <c r="BG34" s="21" t="n">
        <v>188.475</v>
      </c>
      <c r="BH34" s="21" t="n">
        <v>253.136</v>
      </c>
      <c r="BI34" s="21" t="n">
        <v>527.598</v>
      </c>
      <c r="BJ34" s="21" t="n">
        <v>121.229</v>
      </c>
      <c r="BK34" s="21" t="n">
        <v>323.451</v>
      </c>
      <c r="BL34" s="21" t="n">
        <v>338.834</v>
      </c>
      <c r="BM34" s="21" t="n">
        <v>288.115</v>
      </c>
      <c r="BN34" s="21" t="n">
        <v>328.547</v>
      </c>
      <c r="BO34" s="21" t="n">
        <v>328.796</v>
      </c>
      <c r="BP34" s="21" t="n">
        <v>154.835</v>
      </c>
      <c r="BQ34" s="21" t="n">
        <v>157.883</v>
      </c>
      <c r="BR34" s="21" t="n">
        <v>156.061</v>
      </c>
      <c r="BS34" s="21" t="n">
        <v>164.195</v>
      </c>
      <c r="BT34" s="21" t="n">
        <v>148.308</v>
      </c>
      <c r="BU34" s="21" t="n">
        <v>202.659</v>
      </c>
      <c r="BV34" s="21" t="n">
        <v>157.139</v>
      </c>
      <c r="BW34" s="21" t="n">
        <v>167.602</v>
      </c>
      <c r="BX34" s="21" t="n">
        <v>129.298</v>
      </c>
      <c r="BY34" s="21" t="n">
        <v>162.093</v>
      </c>
      <c r="BZ34" s="21" t="n">
        <v>117.849</v>
      </c>
      <c r="CA34" s="21" t="n">
        <v>117.734</v>
      </c>
      <c r="CB34" s="21" t="n">
        <v>198.913</v>
      </c>
      <c r="CC34" s="21" t="n">
        <v>206.61</v>
      </c>
      <c r="CD34" s="21" t="n">
        <v>126.761</v>
      </c>
      <c r="CE34" s="21" t="n">
        <v>210.055</v>
      </c>
      <c r="CF34" s="21" t="n">
        <v>215.8</v>
      </c>
      <c r="CG34" s="21" t="n">
        <v>189.039</v>
      </c>
      <c r="CH34" s="21" t="n">
        <v>144.316</v>
      </c>
      <c r="CI34" s="21" t="n">
        <v>155.303</v>
      </c>
      <c r="CJ34" s="21" t="n">
        <v>228.446</v>
      </c>
      <c r="CK34" s="21" t="n">
        <v>205.819</v>
      </c>
      <c r="CL34" s="21" t="n">
        <v>243.272</v>
      </c>
      <c r="CM34" s="21" t="n">
        <v>304.808</v>
      </c>
      <c r="CN34" s="21" t="n">
        <v>128.991</v>
      </c>
      <c r="CO34" s="21" t="n">
        <v>158.971</v>
      </c>
      <c r="CP34" s="21" t="n">
        <v>224.373</v>
      </c>
      <c r="CQ34" s="21" t="n">
        <v>250.337</v>
      </c>
      <c r="CR34" s="21" t="n">
        <v>166.556</v>
      </c>
      <c r="CS34" s="21" t="n">
        <v>250.988</v>
      </c>
      <c r="CT34" s="21" t="n">
        <v>239.847</v>
      </c>
      <c r="CU34" s="21" t="n">
        <v>153.126</v>
      </c>
      <c r="CV34" s="21" t="n">
        <v>137.624</v>
      </c>
      <c r="CW34" s="21" t="n">
        <v>137.093</v>
      </c>
      <c r="CX34" s="21" t="n">
        <v>277.387</v>
      </c>
      <c r="CY34" s="21" t="n">
        <v>132.105</v>
      </c>
      <c r="CZ34" s="21" t="n">
        <v>127.291</v>
      </c>
      <c r="DA34" s="21" t="n">
        <v>270.353</v>
      </c>
      <c r="DB34" s="21" t="n">
        <v>167.718</v>
      </c>
      <c r="DC34" s="21" t="n">
        <v>175.993</v>
      </c>
      <c r="DD34" s="21" t="n">
        <v>146.081</v>
      </c>
      <c r="DE34" s="21" t="n">
        <v>185.586</v>
      </c>
      <c r="DF34" s="21" t="n">
        <v>246.001</v>
      </c>
      <c r="DG34" s="21" t="n">
        <v>200.633</v>
      </c>
      <c r="DH34" s="21" t="n">
        <v>224.406</v>
      </c>
      <c r="DI34" s="21" t="n">
        <v>192.43</v>
      </c>
      <c r="DJ34" s="21" t="n">
        <v>206.079</v>
      </c>
      <c r="DK34" s="21" t="n">
        <v>187.154</v>
      </c>
      <c r="DL34" s="21" t="n">
        <v>168.122</v>
      </c>
      <c r="DM34" s="21" t="n">
        <v>344.413</v>
      </c>
      <c r="DN34" s="21" t="n">
        <v>186.443</v>
      </c>
      <c r="DO34" s="21" t="n">
        <v>252.603</v>
      </c>
      <c r="DP34" s="21" t="n">
        <v>299.711</v>
      </c>
      <c r="DQ34" s="21" t="n">
        <v>310.346</v>
      </c>
      <c r="DR34" s="21" t="n">
        <v>159.453</v>
      </c>
      <c r="DS34" s="21" t="n">
        <v>538.648</v>
      </c>
      <c r="DT34" s="21" t="n">
        <v>327.155</v>
      </c>
      <c r="DU34" s="21" t="n">
        <v>307.061</v>
      </c>
      <c r="DV34" s="21" t="n">
        <v>307.062</v>
      </c>
      <c r="DW34" s="21" t="n">
        <v>238.784</v>
      </c>
      <c r="DX34" s="21" t="n">
        <v>199.627</v>
      </c>
      <c r="DY34" s="21" t="n">
        <v>260.479</v>
      </c>
      <c r="DZ34" s="21" t="n">
        <v>245.085</v>
      </c>
      <c r="EA34" s="21" t="n">
        <v>328.589</v>
      </c>
      <c r="EB34" s="21" t="n">
        <v>203.857</v>
      </c>
      <c r="EC34" s="21" t="n">
        <v>213.083</v>
      </c>
      <c r="ED34" s="21" t="n">
        <v>173.191</v>
      </c>
      <c r="EE34" s="21" t="n">
        <v>230.179</v>
      </c>
      <c r="EF34" s="21" t="n">
        <v>536.169</v>
      </c>
      <c r="EG34" s="21" t="n">
        <v>449.008</v>
      </c>
      <c r="EH34" s="21" t="n">
        <v>120.307</v>
      </c>
      <c r="EI34" s="21" t="n">
        <v>57.909</v>
      </c>
      <c r="EJ34" s="21" t="n">
        <v>66.102</v>
      </c>
      <c r="EK34" s="21" t="n">
        <v>44.768</v>
      </c>
      <c r="EL34" s="21" t="n">
        <v>110.815</v>
      </c>
      <c r="EM34" s="21" t="n">
        <v>69.066</v>
      </c>
      <c r="EN34" s="21" t="n">
        <v>74.52200000000001</v>
      </c>
      <c r="EO34" s="21" t="n">
        <v>78.352</v>
      </c>
      <c r="EP34" s="21" t="n">
        <v>88.143</v>
      </c>
      <c r="EQ34" s="21" t="n">
        <v>65.801</v>
      </c>
      <c r="ER34" s="21" t="n">
        <v>52.905</v>
      </c>
      <c r="ES34" s="21" t="n">
        <v>128.353</v>
      </c>
      <c r="ET34" s="21" t="n">
        <v>86.133</v>
      </c>
      <c r="EU34" s="21" t="n">
        <v>88.923</v>
      </c>
      <c r="EV34" s="21" t="n">
        <v>97.821</v>
      </c>
      <c r="EW34" s="21" t="n">
        <v>84.842</v>
      </c>
      <c r="EX34" s="21" t="n">
        <v>184.308</v>
      </c>
      <c r="EY34" s="21" t="n">
        <v>116.911</v>
      </c>
      <c r="EZ34" s="21" t="n">
        <v>116.674</v>
      </c>
      <c r="FA34" s="21" t="n">
        <v>156.88</v>
      </c>
      <c r="FB34" s="21" t="n">
        <v>125.759</v>
      </c>
      <c r="FC34" s="21" t="n">
        <v>117.119</v>
      </c>
      <c r="FD34" s="21" t="n">
        <v>119.889</v>
      </c>
      <c r="FE34" s="21" t="n">
        <v>108.621</v>
      </c>
      <c r="FF34" s="21" t="n">
        <v>153.397</v>
      </c>
      <c r="FG34" s="21" t="n">
        <v>77.47799999999999</v>
      </c>
      <c r="FH34" s="21" t="n">
        <v>118.172</v>
      </c>
      <c r="FI34" s="21" t="n">
        <v>105.094</v>
      </c>
      <c r="FJ34" s="21" t="n">
        <v>110.915</v>
      </c>
      <c r="FK34" s="21" t="n">
        <v>113.899</v>
      </c>
      <c r="FL34" s="21" t="n">
        <v>109.633</v>
      </c>
      <c r="FM34" s="21" t="n">
        <v>121.097</v>
      </c>
      <c r="FN34" s="21" t="n">
        <v>80.038</v>
      </c>
      <c r="FO34" s="21" t="n">
        <v>107.053</v>
      </c>
      <c r="FP34" s="21" t="n">
        <v>96.739</v>
      </c>
      <c r="FQ34" s="21" t="n">
        <v>136.187</v>
      </c>
      <c r="FR34" s="21" t="n">
        <v>138.925</v>
      </c>
      <c r="FS34" s="21" t="n">
        <v>154.459</v>
      </c>
      <c r="FT34" s="21" t="n">
        <v>126.231</v>
      </c>
      <c r="FU34" s="21" t="n">
        <v>119.714</v>
      </c>
      <c r="FV34" s="21" t="n">
        <v>175.579</v>
      </c>
      <c r="FW34" s="21" t="n">
        <v>139.385</v>
      </c>
      <c r="FX34" s="21" t="n">
        <v>180.057</v>
      </c>
      <c r="FY34" s="21" t="n">
        <v>204.503</v>
      </c>
      <c r="FZ34" s="21" t="n">
        <v>199.898</v>
      </c>
      <c r="GA34" s="21" t="n">
        <v>97.634</v>
      </c>
      <c r="GB34" s="21" t="n">
        <v>145.747</v>
      </c>
      <c r="GC34" s="21" t="n">
        <v>101.014</v>
      </c>
      <c r="GD34" s="21" t="n">
        <v>141.005</v>
      </c>
      <c r="GE34" s="21" t="n">
        <v>155.773</v>
      </c>
      <c r="GF34" s="21" t="n"/>
      <c r="GG34" s="21" t="n">
        <v>135.033</v>
      </c>
      <c r="GH34" s="21" t="n">
        <v>84.31100000000001</v>
      </c>
      <c r="GI34" s="21" t="n">
        <v>129.709</v>
      </c>
      <c r="GJ34" s="21" t="n">
        <v>229.145</v>
      </c>
      <c r="GK34" s="21" t="n">
        <v>228.252</v>
      </c>
      <c r="GL34" s="21" t="n">
        <v>224.135</v>
      </c>
      <c r="GM34" s="21" t="n">
        <v>239.531</v>
      </c>
      <c r="GN34" s="21" t="n">
        <v>236.585</v>
      </c>
      <c r="GO34" s="21" t="n">
        <v>199.803</v>
      </c>
      <c r="GP34" s="21" t="n">
        <v>143.165</v>
      </c>
      <c r="GQ34" s="21" t="n">
        <v>123.976</v>
      </c>
      <c r="GR34" s="21" t="n">
        <v>282.203</v>
      </c>
      <c r="GS34" s="21" t="n">
        <v>174.759</v>
      </c>
      <c r="GT34" s="21" t="n">
        <v>536.015</v>
      </c>
      <c r="GU34" s="21" t="n">
        <v>200.344</v>
      </c>
      <c r="GV34" s="21" t="n">
        <v>229.066</v>
      </c>
      <c r="GW34" s="21" t="n">
        <v>259.988</v>
      </c>
      <c r="GX34" s="21" t="n">
        <v>268.659</v>
      </c>
      <c r="GY34" s="21" t="n">
        <v>159.73</v>
      </c>
      <c r="GZ34" s="21" t="n">
        <v>114.363</v>
      </c>
      <c r="HA34" s="21" t="n">
        <v>66.191</v>
      </c>
      <c r="HB34" s="21" t="n">
        <v>477.19</v>
      </c>
      <c r="HC34" s="21" t="n">
        <v>377.869</v>
      </c>
      <c r="HD34" s="21" t="n">
        <v>123.726</v>
      </c>
      <c r="HE34" s="21" t="n">
        <v>522.018</v>
      </c>
      <c r="HF34" s="21" t="n">
        <v>96.73099999999999</v>
      </c>
      <c r="HG34" s="21" t="n">
        <v>509.039</v>
      </c>
      <c r="HH34" s="21" t="n">
        <v>375.17</v>
      </c>
      <c r="HI34" s="21" t="n">
        <v>379.169</v>
      </c>
      <c r="HJ34" s="21" t="n">
        <v>475.033</v>
      </c>
      <c r="HK34" s="21" t="n">
        <v>187.289</v>
      </c>
      <c r="HL34" s="21" t="n">
        <v>237.209</v>
      </c>
      <c r="HM34" s="21" t="n">
        <v>76.327</v>
      </c>
      <c r="HN34" s="21" t="n">
        <v>321.472</v>
      </c>
      <c r="HO34" s="21" t="n">
        <v>314.687</v>
      </c>
      <c r="HP34" s="21" t="n">
        <v>713.5890000000001</v>
      </c>
      <c r="HQ34" s="21" t="n">
        <v>221.171</v>
      </c>
      <c r="HR34" s="21" t="n">
        <v>118.947</v>
      </c>
      <c r="HS34" s="21" t="n">
        <v>105.176</v>
      </c>
      <c r="HT34" s="21" t="n">
        <v>226.399</v>
      </c>
      <c r="HU34" s="21" t="n">
        <v>468.214</v>
      </c>
      <c r="HV34" s="21" t="n">
        <v>121.619</v>
      </c>
      <c r="HW34" s="21" t="n">
        <v>31.173</v>
      </c>
      <c r="HX34" s="21" t="n">
        <v>170.498</v>
      </c>
      <c r="HY34" s="21" t="n">
        <v>196.569</v>
      </c>
      <c r="HZ34" s="21" t="n">
        <v>150.377</v>
      </c>
      <c r="IA34" s="21" t="n">
        <v>112.986</v>
      </c>
      <c r="IB34" s="21" t="n">
        <v>240.251</v>
      </c>
      <c r="IC34" s="21" t="n">
        <v>187.586</v>
      </c>
      <c r="ID34" s="21" t="n">
        <v>251.852</v>
      </c>
      <c r="IE34" s="21" t="n">
        <v>110.678</v>
      </c>
      <c r="IF34" s="21" t="n">
        <v>144.143</v>
      </c>
      <c r="IG34" s="21" t="n">
        <v>81.881</v>
      </c>
      <c r="IH34" s="21" t="n">
        <v>76.321</v>
      </c>
      <c r="II34" s="21" t="n">
        <v>55.975</v>
      </c>
      <c r="IJ34" s="21" t="n">
        <v>23.087</v>
      </c>
      <c r="IK34" s="21" t="n">
        <v>39.905</v>
      </c>
      <c r="IL34" s="21" t="n">
        <v>36.475</v>
      </c>
      <c r="IM34" s="21" t="n">
        <v>44.852</v>
      </c>
      <c r="IN34" s="21" t="n">
        <v>93.30800000000001</v>
      </c>
      <c r="IO34" s="21" t="n">
        <v>102.457</v>
      </c>
      <c r="IP34" s="21" t="n">
        <v>164.789</v>
      </c>
      <c r="IQ34" s="21" t="n">
        <v>136.148</v>
      </c>
      <c r="IR34" s="21" t="n">
        <v>375.84</v>
      </c>
      <c r="IS34" s="21" t="n">
        <v>180.337</v>
      </c>
      <c r="IT34" s="21" t="n">
        <v>216.289</v>
      </c>
      <c r="IU34" s="21" t="n">
        <v>304.319</v>
      </c>
      <c r="IV34" s="21" t="n">
        <v>242.308</v>
      </c>
      <c r="IW34" s="21" t="n">
        <v>135.777</v>
      </c>
      <c r="IX34" s="21" t="n">
        <v>254.117</v>
      </c>
      <c r="IY34" s="21" t="n">
        <v>682.696</v>
      </c>
      <c r="IZ34" s="21" t="n">
        <v>727.7619999999999</v>
      </c>
      <c r="JA34" s="21" t="n">
        <v>826.96</v>
      </c>
      <c r="JB34" s="21" t="n">
        <v>77.169</v>
      </c>
      <c r="JC34" s="21" t="n">
        <v>291.021</v>
      </c>
      <c r="JD34" s="21" t="n">
        <v>247.543</v>
      </c>
      <c r="JE34" s="21" t="n">
        <v>74.00700000000001</v>
      </c>
      <c r="JF34" s="21" t="n">
        <v>181.505</v>
      </c>
      <c r="JG34" s="21" t="n">
        <v>285.599</v>
      </c>
      <c r="JH34" s="21" t="n">
        <v>291.602</v>
      </c>
      <c r="JI34" s="21" t="n">
        <v>70.14400000000001</v>
      </c>
      <c r="JJ34" s="21" t="n">
        <v>112.207</v>
      </c>
      <c r="JK34" s="21" t="n">
        <v>42.19</v>
      </c>
      <c r="JL34" s="21" t="n">
        <v>75.788</v>
      </c>
      <c r="JM34" s="21" t="n">
        <v>260.997</v>
      </c>
      <c r="JN34" s="21" t="n">
        <v>434.057</v>
      </c>
      <c r="JO34" s="21" t="n">
        <v>65.06699999999999</v>
      </c>
      <c r="JP34" s="21" t="n">
        <v>421.894</v>
      </c>
      <c r="JQ34" s="21" t="n">
        <v>227.454</v>
      </c>
      <c r="JR34" s="21" t="n">
        <v>161.511</v>
      </c>
      <c r="JS34" s="21" t="n">
        <v>425.519</v>
      </c>
      <c r="JT34" s="21" t="n">
        <v>345.431</v>
      </c>
      <c r="JU34" s="21" t="n">
        <v>327.127</v>
      </c>
      <c r="JV34" s="21" t="n">
        <v>165.685</v>
      </c>
      <c r="JW34" s="21" t="n">
        <v>344.64</v>
      </c>
      <c r="JX34" s="21" t="n">
        <v>240.375</v>
      </c>
      <c r="JY34" s="21" t="n">
        <v>77.31100000000001</v>
      </c>
      <c r="JZ34" s="21" t="n">
        <v>150.722</v>
      </c>
      <c r="KA34" s="21" t="n">
        <v>235.36</v>
      </c>
      <c r="KB34" s="21" t="n">
        <v>251.816</v>
      </c>
      <c r="KC34" s="21" t="n">
        <v>245.745</v>
      </c>
      <c r="KD34" s="21" t="n">
        <v>252.812</v>
      </c>
      <c r="KE34" s="21" t="n">
        <v>228.34</v>
      </c>
      <c r="KF34" s="21" t="n">
        <v>222.421</v>
      </c>
      <c r="KG34" s="21" t="n">
        <v>226.698</v>
      </c>
      <c r="KH34" s="21" t="n">
        <v>232.358</v>
      </c>
      <c r="KI34" s="21" t="n">
        <v>118.799</v>
      </c>
      <c r="KJ34" s="21" t="n">
        <v>182.311</v>
      </c>
      <c r="KK34" s="21" t="n">
        <v>151.652</v>
      </c>
      <c r="KL34" s="21" t="n">
        <v>148.389</v>
      </c>
      <c r="KM34" s="21" t="n">
        <v>143.61</v>
      </c>
      <c r="KN34" s="21" t="n">
        <v>145.282</v>
      </c>
      <c r="KO34" s="21" t="n">
        <v>247.431</v>
      </c>
      <c r="KP34" s="21" t="n">
        <v>104.557</v>
      </c>
      <c r="KQ34" s="21" t="n">
        <v>76.898</v>
      </c>
      <c r="KR34" s="21" t="n">
        <v>108.504</v>
      </c>
      <c r="KS34" s="21" t="n">
        <v>212.723</v>
      </c>
      <c r="KT34" s="21" t="n">
        <v>232.375</v>
      </c>
      <c r="KU34" s="21" t="n">
        <v>89.684</v>
      </c>
      <c r="KV34" s="21" t="n">
        <v>56.653</v>
      </c>
      <c r="KW34" s="21" t="n">
        <v>222.321</v>
      </c>
      <c r="KX34" s="21" t="n">
        <v>197.843</v>
      </c>
      <c r="KY34" s="21" t="n">
        <v>241.181</v>
      </c>
      <c r="KZ34" s="21" t="n">
        <v>194.8</v>
      </c>
      <c r="LA34" s="21" t="n">
        <v>241.926</v>
      </c>
      <c r="LB34" s="21" t="n">
        <v>111.386</v>
      </c>
      <c r="LC34" s="21" t="n">
        <v>348.016</v>
      </c>
      <c r="LD34" s="21" t="n">
        <v>82.53400000000001</v>
      </c>
      <c r="LE34" s="21" t="n">
        <v>120.066</v>
      </c>
      <c r="LF34" s="21" t="n">
        <v>312.378</v>
      </c>
      <c r="LG34" s="21" t="n">
        <v>309.625</v>
      </c>
      <c r="LH34" s="21" t="n">
        <v>320.32</v>
      </c>
      <c r="LI34" s="21" t="n">
        <v>294.588</v>
      </c>
      <c r="LJ34" s="21" t="n">
        <v>330.584</v>
      </c>
      <c r="LK34" s="21" t="n">
        <v>102.956</v>
      </c>
      <c r="LL34" s="21" t="n">
        <v>311.749</v>
      </c>
      <c r="LM34" s="21" t="n">
        <v>216.506</v>
      </c>
      <c r="LN34" s="21" t="n">
        <v>49.016</v>
      </c>
      <c r="LO34" s="21" t="n">
        <v>124.534</v>
      </c>
    </row>
    <row r="35">
      <c r="A35" s="22" t="n">
        <v>43009</v>
      </c>
      <c r="B35" s="21" t="n">
        <v>246.626</v>
      </c>
      <c r="C35" s="21" t="n">
        <v>250.816</v>
      </c>
      <c r="D35" s="21" t="n">
        <v>251.048</v>
      </c>
      <c r="E35" s="21" t="n">
        <v>239.02</v>
      </c>
      <c r="F35" s="21" t="n">
        <v>271.081</v>
      </c>
      <c r="G35" s="21" t="n">
        <v>227.357</v>
      </c>
      <c r="H35" s="21" t="n">
        <v>237.751</v>
      </c>
      <c r="I35" s="21" t="n">
        <v>223.976</v>
      </c>
      <c r="J35" s="21" t="n">
        <v>233.961</v>
      </c>
      <c r="K35" s="21" t="n">
        <v>296.082</v>
      </c>
      <c r="L35" s="21" t="n">
        <v>176.99</v>
      </c>
      <c r="M35" s="21" t="n">
        <v>175.544</v>
      </c>
      <c r="N35" s="21" t="n">
        <v>281.384</v>
      </c>
      <c r="O35" s="21" t="n">
        <v>266.77</v>
      </c>
      <c r="P35" s="21" t="n">
        <v>264.656</v>
      </c>
      <c r="Q35" s="21" t="n">
        <v>303.511</v>
      </c>
      <c r="R35" s="21" t="n">
        <v>267.902</v>
      </c>
      <c r="S35" s="21" t="n">
        <v>247.553</v>
      </c>
      <c r="T35" s="21" t="n">
        <v>250.37</v>
      </c>
      <c r="U35" s="21" t="n">
        <v>252.606</v>
      </c>
      <c r="V35" s="21" t="n">
        <v>298.849</v>
      </c>
      <c r="W35" s="21" t="n">
        <v>269.807</v>
      </c>
      <c r="X35" s="21" t="n">
        <v>218.92</v>
      </c>
      <c r="Y35" s="21" t="n">
        <v>199.71</v>
      </c>
      <c r="Z35" s="21" t="n">
        <v>213.659</v>
      </c>
      <c r="AA35" s="21" t="n">
        <v>162.879</v>
      </c>
      <c r="AB35" s="21" t="n">
        <v>310.114</v>
      </c>
      <c r="AC35" s="21" t="n">
        <v>144.712</v>
      </c>
      <c r="AD35" s="21" t="n">
        <v>205.352</v>
      </c>
      <c r="AE35" s="21" t="n">
        <v>228.376</v>
      </c>
      <c r="AF35" s="21" t="n">
        <v>186.171</v>
      </c>
      <c r="AG35" s="21" t="n">
        <v>127.286</v>
      </c>
      <c r="AH35" s="21" t="n">
        <v>225.354</v>
      </c>
      <c r="AI35" s="21" t="n">
        <v>233.658</v>
      </c>
      <c r="AJ35" s="21" t="n">
        <v>144.982</v>
      </c>
      <c r="AK35" s="21" t="n">
        <v>232.254</v>
      </c>
      <c r="AL35" s="21" t="n">
        <v>149.382</v>
      </c>
      <c r="AM35" s="21" t="n">
        <v>246.496</v>
      </c>
      <c r="AN35" s="21" t="n">
        <v>222.366</v>
      </c>
      <c r="AO35" s="21" t="n">
        <v>150.373</v>
      </c>
      <c r="AP35" s="21" t="n">
        <v>288.77</v>
      </c>
      <c r="AQ35" s="21" t="n">
        <v>175.619</v>
      </c>
      <c r="AR35" s="21" t="n">
        <v>146.5</v>
      </c>
      <c r="AS35" s="21" t="n">
        <v>202.916</v>
      </c>
      <c r="AT35" s="21" t="n">
        <v>308.793</v>
      </c>
      <c r="AU35" s="21" t="n">
        <v>211.314</v>
      </c>
      <c r="AV35" s="21" t="n">
        <v>216.341</v>
      </c>
      <c r="AW35" s="21" t="n">
        <v>138.036</v>
      </c>
      <c r="AX35" s="21" t="n">
        <v>195.503</v>
      </c>
      <c r="AY35" s="21" t="n">
        <v>142.493</v>
      </c>
      <c r="AZ35" s="21" t="n">
        <v>230.499</v>
      </c>
      <c r="BA35" s="21" t="n">
        <v>218.328</v>
      </c>
      <c r="BB35" s="21" t="n">
        <v>146.527</v>
      </c>
      <c r="BC35" s="21" t="n">
        <v>297.921</v>
      </c>
      <c r="BD35" s="21" t="n">
        <v>346.051</v>
      </c>
      <c r="BE35" s="21" t="n">
        <v>365.066</v>
      </c>
      <c r="BF35" s="21" t="n">
        <v>350.524</v>
      </c>
      <c r="BG35" s="21" t="n">
        <v>189.561</v>
      </c>
      <c r="BH35" s="21" t="n">
        <v>258.699</v>
      </c>
      <c r="BI35" s="21" t="n">
        <v>542.704</v>
      </c>
      <c r="BJ35" s="21" t="n">
        <v>119.992</v>
      </c>
      <c r="BK35" s="21" t="n">
        <v>324.84</v>
      </c>
      <c r="BL35" s="21" t="n">
        <v>340.773</v>
      </c>
      <c r="BM35" s="21" t="n">
        <v>299.211</v>
      </c>
      <c r="BN35" s="21" t="n">
        <v>330.765</v>
      </c>
      <c r="BO35" s="21" t="n">
        <v>330.373</v>
      </c>
      <c r="BP35" s="21" t="n">
        <v>154.764</v>
      </c>
      <c r="BQ35" s="21" t="n">
        <v>156.448</v>
      </c>
      <c r="BR35" s="21" t="n">
        <v>155.142</v>
      </c>
      <c r="BS35" s="21" t="n">
        <v>163.446</v>
      </c>
      <c r="BT35" s="21" t="n">
        <v>148.947</v>
      </c>
      <c r="BU35" s="21" t="n">
        <v>205.221</v>
      </c>
      <c r="BV35" s="21" t="n">
        <v>156.837</v>
      </c>
      <c r="BW35" s="21" t="n">
        <v>167.57</v>
      </c>
      <c r="BX35" s="21" t="n">
        <v>129.048</v>
      </c>
      <c r="BY35" s="21" t="n">
        <v>162.448</v>
      </c>
      <c r="BZ35" s="21" t="n">
        <v>117.436</v>
      </c>
      <c r="CA35" s="21" t="n">
        <v>118.475</v>
      </c>
      <c r="CB35" s="21" t="n">
        <v>198.472</v>
      </c>
      <c r="CC35" s="21" t="n">
        <v>207.049</v>
      </c>
      <c r="CD35" s="21" t="n">
        <v>129.462</v>
      </c>
      <c r="CE35" s="21" t="n">
        <v>209.684</v>
      </c>
      <c r="CF35" s="21" t="n">
        <v>214.78</v>
      </c>
      <c r="CG35" s="21" t="n">
        <v>188.604</v>
      </c>
      <c r="CH35" s="21" t="n">
        <v>143.893</v>
      </c>
      <c r="CI35" s="21" t="n">
        <v>156.062</v>
      </c>
      <c r="CJ35" s="21" t="n">
        <v>228.466</v>
      </c>
      <c r="CK35" s="21" t="n">
        <v>205.051</v>
      </c>
      <c r="CL35" s="21" t="n">
        <v>242.374</v>
      </c>
      <c r="CM35" s="21" t="n">
        <v>303.684</v>
      </c>
      <c r="CN35" s="21" t="n">
        <v>128.567</v>
      </c>
      <c r="CO35" s="21" t="n">
        <v>159.962</v>
      </c>
      <c r="CP35" s="21" t="n">
        <v>224.04</v>
      </c>
      <c r="CQ35" s="21" t="n">
        <v>248.128</v>
      </c>
      <c r="CR35" s="21" t="n">
        <v>166.992</v>
      </c>
      <c r="CS35" s="21" t="n">
        <v>252.132</v>
      </c>
      <c r="CT35" s="21" t="n">
        <v>239.097</v>
      </c>
      <c r="CU35" s="21" t="n">
        <v>151.731</v>
      </c>
      <c r="CV35" s="21" t="n">
        <v>139.427</v>
      </c>
      <c r="CW35" s="21" t="n">
        <v>137.565</v>
      </c>
      <c r="CX35" s="21" t="n">
        <v>275.261</v>
      </c>
      <c r="CY35" s="21" t="n">
        <v>131.804</v>
      </c>
      <c r="CZ35" s="21" t="n">
        <v>127.675</v>
      </c>
      <c r="DA35" s="21" t="n">
        <v>270.658</v>
      </c>
      <c r="DB35" s="21" t="n">
        <v>168.105</v>
      </c>
      <c r="DC35" s="21" t="n">
        <v>171.643</v>
      </c>
      <c r="DD35" s="21" t="n">
        <v>140.171</v>
      </c>
      <c r="DE35" s="21" t="n">
        <v>185.758</v>
      </c>
      <c r="DF35" s="21" t="n">
        <v>246.335</v>
      </c>
      <c r="DG35" s="21" t="n">
        <v>201.027</v>
      </c>
      <c r="DH35" s="21" t="n">
        <v>224.129</v>
      </c>
      <c r="DI35" s="21" t="n">
        <v>193.403</v>
      </c>
      <c r="DJ35" s="21" t="n">
        <v>206.783</v>
      </c>
      <c r="DK35" s="21" t="n">
        <v>187.463</v>
      </c>
      <c r="DL35" s="21" t="n">
        <v>168.754</v>
      </c>
      <c r="DM35" s="21" t="n">
        <v>344.673</v>
      </c>
      <c r="DN35" s="21" t="n">
        <v>186.358</v>
      </c>
      <c r="DO35" s="21" t="n">
        <v>253.292</v>
      </c>
      <c r="DP35" s="21" t="n">
        <v>300.814</v>
      </c>
      <c r="DQ35" s="21" t="n">
        <v>311.33</v>
      </c>
      <c r="DR35" s="21" t="n">
        <v>163.832</v>
      </c>
      <c r="DS35" s="21" t="n">
        <v>539.609</v>
      </c>
      <c r="DT35" s="21" t="n">
        <v>337.416</v>
      </c>
      <c r="DU35" s="21" t="n">
        <v>308.001</v>
      </c>
      <c r="DV35" s="21" t="n">
        <v>308.005</v>
      </c>
      <c r="DW35" s="21" t="n">
        <v>238.448</v>
      </c>
      <c r="DX35" s="21" t="n">
        <v>199.087</v>
      </c>
      <c r="DY35" s="21" t="n">
        <v>261.249</v>
      </c>
      <c r="DZ35" s="21" t="n">
        <v>250.64</v>
      </c>
      <c r="EA35" s="21" t="n">
        <v>328.793</v>
      </c>
      <c r="EB35" s="21" t="n">
        <v>203.244</v>
      </c>
      <c r="EC35" s="21" t="n">
        <v>212.221</v>
      </c>
      <c r="ED35" s="21" t="n">
        <v>173.31</v>
      </c>
      <c r="EE35" s="21" t="n">
        <v>230.838</v>
      </c>
      <c r="EF35" s="21" t="n">
        <v>536.981</v>
      </c>
      <c r="EG35" s="21" t="n">
        <v>452.196</v>
      </c>
      <c r="EH35" s="21" t="n">
        <v>120.283</v>
      </c>
      <c r="EI35" s="21" t="n">
        <v>58.157</v>
      </c>
      <c r="EJ35" s="21" t="n">
        <v>66.476</v>
      </c>
      <c r="EK35" s="21" t="n">
        <v>44.971</v>
      </c>
      <c r="EL35" s="21" t="n">
        <v>110.346</v>
      </c>
      <c r="EM35" s="21" t="n">
        <v>68.23699999999999</v>
      </c>
      <c r="EN35" s="21" t="n">
        <v>74.158</v>
      </c>
      <c r="EO35" s="21" t="n">
        <v>78.651</v>
      </c>
      <c r="EP35" s="21" t="n">
        <v>89.328</v>
      </c>
      <c r="EQ35" s="21" t="n">
        <v>65.133</v>
      </c>
      <c r="ER35" s="21" t="n">
        <v>52.317</v>
      </c>
      <c r="ES35" s="21" t="n">
        <v>127.807</v>
      </c>
      <c r="ET35" s="21" t="n">
        <v>85.66800000000001</v>
      </c>
      <c r="EU35" s="21" t="n">
        <v>89.081</v>
      </c>
      <c r="EV35" s="21" t="n">
        <v>98.023</v>
      </c>
      <c r="EW35" s="21" t="n">
        <v>84.90900000000001</v>
      </c>
      <c r="EX35" s="21" t="n">
        <v>184.717</v>
      </c>
      <c r="EY35" s="21" t="n">
        <v>117.605</v>
      </c>
      <c r="EZ35" s="21" t="n">
        <v>116.959</v>
      </c>
      <c r="FA35" s="21" t="n">
        <v>164.956</v>
      </c>
      <c r="FB35" s="21" t="n">
        <v>125.961</v>
      </c>
      <c r="FC35" s="21" t="n">
        <v>117.578</v>
      </c>
      <c r="FD35" s="21" t="n">
        <v>121.919</v>
      </c>
      <c r="FE35" s="21" t="n">
        <v>110.402</v>
      </c>
      <c r="FF35" s="21" t="n">
        <v>157.437</v>
      </c>
      <c r="FG35" s="21" t="n">
        <v>76.536</v>
      </c>
      <c r="FH35" s="21" t="n">
        <v>121.542</v>
      </c>
      <c r="FI35" s="21" t="n">
        <v>100.271</v>
      </c>
      <c r="FJ35" s="21" t="n">
        <v>111.515</v>
      </c>
      <c r="FK35" s="21" t="n">
        <v>114.547</v>
      </c>
      <c r="FL35" s="21" t="n">
        <v>109.642</v>
      </c>
      <c r="FM35" s="21" t="n">
        <v>121.653</v>
      </c>
      <c r="FN35" s="21" t="n">
        <v>79.941</v>
      </c>
      <c r="FO35" s="21" t="n">
        <v>109.977</v>
      </c>
      <c r="FP35" s="21" t="n">
        <v>97.126</v>
      </c>
      <c r="FQ35" s="21" t="n">
        <v>135.901</v>
      </c>
      <c r="FR35" s="21" t="n">
        <v>139.16</v>
      </c>
      <c r="FS35" s="21" t="n">
        <v>154.276</v>
      </c>
      <c r="FT35" s="21" t="n">
        <v>125.245</v>
      </c>
      <c r="FU35" s="21" t="n">
        <v>117.016</v>
      </c>
      <c r="FV35" s="21" t="n">
        <v>175.649</v>
      </c>
      <c r="FW35" s="21" t="n">
        <v>142.064</v>
      </c>
      <c r="FX35" s="21" t="n">
        <v>180.055</v>
      </c>
      <c r="FY35" s="21" t="n">
        <v>203.282</v>
      </c>
      <c r="FZ35" s="21" t="n">
        <v>198.601</v>
      </c>
      <c r="GA35" s="21" t="n">
        <v>98.164</v>
      </c>
      <c r="GB35" s="21" t="n">
        <v>145.474</v>
      </c>
      <c r="GC35" s="21" t="n">
        <v>100.776</v>
      </c>
      <c r="GD35" s="21" t="n">
        <v>140.648</v>
      </c>
      <c r="GE35" s="21" t="n">
        <v>155.513</v>
      </c>
      <c r="GF35" s="21" t="n"/>
      <c r="GG35" s="21" t="n">
        <v>137.803</v>
      </c>
      <c r="GH35" s="21" t="n">
        <v>85.175</v>
      </c>
      <c r="GI35" s="21" t="n">
        <v>124.826</v>
      </c>
      <c r="GJ35" s="21" t="n">
        <v>220.121</v>
      </c>
      <c r="GK35" s="21" t="n">
        <v>218.99</v>
      </c>
      <c r="GL35" s="21" t="n">
        <v>215.008</v>
      </c>
      <c r="GM35" s="21" t="n">
        <v>233.031</v>
      </c>
      <c r="GN35" s="21" t="n">
        <v>229.081</v>
      </c>
      <c r="GO35" s="21" t="n">
        <v>201.137</v>
      </c>
      <c r="GP35" s="21" t="n">
        <v>142.213</v>
      </c>
      <c r="GQ35" s="21" t="n">
        <v>122.609</v>
      </c>
      <c r="GR35" s="21" t="n">
        <v>283.257</v>
      </c>
      <c r="GS35" s="21" t="n">
        <v>175.629</v>
      </c>
      <c r="GT35" s="21" t="n">
        <v>539.144</v>
      </c>
      <c r="GU35" s="21" t="n">
        <v>201.361</v>
      </c>
      <c r="GV35" s="21" t="n">
        <v>228.694</v>
      </c>
      <c r="GW35" s="21" t="n">
        <v>260.256</v>
      </c>
      <c r="GX35" s="21" t="n">
        <v>268.229</v>
      </c>
      <c r="GY35" s="21" t="n">
        <v>162.177</v>
      </c>
      <c r="GZ35" s="21" t="n">
        <v>116.192</v>
      </c>
      <c r="HA35" s="21" t="n">
        <v>66.803</v>
      </c>
      <c r="HB35" s="21" t="n">
        <v>477.671</v>
      </c>
      <c r="HC35" s="21" t="n">
        <v>377.038</v>
      </c>
      <c r="HD35" s="21" t="n">
        <v>123.453</v>
      </c>
      <c r="HE35" s="21" t="n">
        <v>520.35</v>
      </c>
      <c r="HF35" s="21" t="n">
        <v>96.907</v>
      </c>
      <c r="HG35" s="21" t="n">
        <v>510.005</v>
      </c>
      <c r="HH35" s="21" t="n">
        <v>375.736</v>
      </c>
      <c r="HI35" s="21" t="n">
        <v>379.072</v>
      </c>
      <c r="HJ35" s="21" t="n">
        <v>475.725</v>
      </c>
      <c r="HK35" s="21" t="n">
        <v>187.714</v>
      </c>
      <c r="HL35" s="21" t="n">
        <v>237.717</v>
      </c>
      <c r="HM35" s="21" t="n">
        <v>76.60899999999999</v>
      </c>
      <c r="HN35" s="21" t="n">
        <v>322.6</v>
      </c>
      <c r="HO35" s="21" t="n">
        <v>316.031</v>
      </c>
      <c r="HP35" s="21" t="n">
        <v>714.628</v>
      </c>
      <c r="HQ35" s="21" t="n">
        <v>222.489</v>
      </c>
      <c r="HR35" s="21" t="n">
        <v>118.85</v>
      </c>
      <c r="HS35" s="21" t="n">
        <v>105.093</v>
      </c>
      <c r="HT35" s="21" t="n">
        <v>221.338</v>
      </c>
      <c r="HU35" s="21" t="n">
        <v>468.171</v>
      </c>
      <c r="HV35" s="21" t="n">
        <v>123.454</v>
      </c>
      <c r="HW35" s="21" t="n">
        <v>31.096</v>
      </c>
      <c r="HX35" s="21" t="n">
        <v>170.621</v>
      </c>
      <c r="HY35" s="21" t="n">
        <v>196.766</v>
      </c>
      <c r="HZ35" s="21" t="n">
        <v>149.996</v>
      </c>
      <c r="IA35" s="21" t="n">
        <v>113.371</v>
      </c>
      <c r="IB35" s="21" t="n">
        <v>240.322</v>
      </c>
      <c r="IC35" s="21" t="n">
        <v>187.525</v>
      </c>
      <c r="ID35" s="21" t="n">
        <v>252.117</v>
      </c>
      <c r="IE35" s="21" t="n">
        <v>110.621</v>
      </c>
      <c r="IF35" s="21" t="n">
        <v>144.562</v>
      </c>
      <c r="IG35" s="21" t="n">
        <v>81.52200000000001</v>
      </c>
      <c r="IH35" s="21" t="n">
        <v>76.123</v>
      </c>
      <c r="II35" s="21" t="n">
        <v>55.863</v>
      </c>
      <c r="IJ35" s="21" t="n">
        <v>23.01</v>
      </c>
      <c r="IK35" s="21" t="n">
        <v>40.011</v>
      </c>
      <c r="IL35" s="21" t="n">
        <v>36.47</v>
      </c>
      <c r="IM35" s="21" t="n">
        <v>44.929</v>
      </c>
      <c r="IN35" s="21" t="n">
        <v>96.79900000000001</v>
      </c>
      <c r="IO35" s="21" t="n">
        <v>102.685</v>
      </c>
      <c r="IP35" s="21" t="n">
        <v>164.659</v>
      </c>
      <c r="IQ35" s="21" t="n">
        <v>137.016</v>
      </c>
      <c r="IR35" s="21" t="n">
        <v>373.062</v>
      </c>
      <c r="IS35" s="21" t="n">
        <v>179.782</v>
      </c>
      <c r="IT35" s="21" t="n">
        <v>215.19</v>
      </c>
      <c r="IU35" s="21" t="n">
        <v>304.661</v>
      </c>
      <c r="IV35" s="21" t="n">
        <v>237.689</v>
      </c>
      <c r="IW35" s="21" t="n">
        <v>136.113</v>
      </c>
      <c r="IX35" s="21" t="n">
        <v>254.756</v>
      </c>
      <c r="IY35" s="21" t="n">
        <v>686.535</v>
      </c>
      <c r="IZ35" s="21" t="n">
        <v>729.474</v>
      </c>
      <c r="JA35" s="21" t="n">
        <v>828.833</v>
      </c>
      <c r="JB35" s="21" t="n">
        <v>77.43000000000001</v>
      </c>
      <c r="JC35" s="21" t="n">
        <v>291.495</v>
      </c>
      <c r="JD35" s="21" t="n">
        <v>247.63</v>
      </c>
      <c r="JE35" s="21" t="n">
        <v>74.187</v>
      </c>
      <c r="JF35" s="21" t="n">
        <v>182.044</v>
      </c>
      <c r="JG35" s="21" t="n">
        <v>286.347</v>
      </c>
      <c r="JH35" s="21" t="n">
        <v>294.369</v>
      </c>
      <c r="JI35" s="21" t="n">
        <v>70.313</v>
      </c>
      <c r="JJ35" s="21" t="n">
        <v>112.303</v>
      </c>
      <c r="JK35" s="21" t="n">
        <v>42.284</v>
      </c>
      <c r="JL35" s="21" t="n">
        <v>75.773</v>
      </c>
      <c r="JM35" s="21" t="n">
        <v>257.798</v>
      </c>
      <c r="JN35" s="21" t="n">
        <v>436.252</v>
      </c>
      <c r="JO35" s="21" t="n">
        <v>66.078</v>
      </c>
      <c r="JP35" s="21" t="n">
        <v>428.594</v>
      </c>
      <c r="JQ35" s="21" t="n">
        <v>227.947</v>
      </c>
      <c r="JR35" s="21" t="n">
        <v>161.685</v>
      </c>
      <c r="JS35" s="21" t="n">
        <v>425.643</v>
      </c>
      <c r="JT35" s="21" t="n">
        <v>345.577</v>
      </c>
      <c r="JU35" s="21" t="n">
        <v>326.99</v>
      </c>
      <c r="JV35" s="21" t="n">
        <v>165.723</v>
      </c>
      <c r="JW35" s="21" t="n">
        <v>344.849</v>
      </c>
      <c r="JX35" s="21" t="n">
        <v>240.545</v>
      </c>
      <c r="JY35" s="21" t="n">
        <v>78.94799999999999</v>
      </c>
      <c r="JZ35" s="21" t="n">
        <v>152.823</v>
      </c>
      <c r="KA35" s="21" t="n">
        <v>235.538</v>
      </c>
      <c r="KB35" s="21" t="n">
        <v>252.455</v>
      </c>
      <c r="KC35" s="21" t="n">
        <v>245.932</v>
      </c>
      <c r="KD35" s="21" t="n">
        <v>253.526</v>
      </c>
      <c r="KE35" s="21" t="n">
        <v>228.179</v>
      </c>
      <c r="KF35" s="21" t="n">
        <v>222.173</v>
      </c>
      <c r="KG35" s="21" t="n">
        <v>227.192</v>
      </c>
      <c r="KH35" s="21" t="n">
        <v>232.676</v>
      </c>
      <c r="KI35" s="21" t="n">
        <v>119.114</v>
      </c>
      <c r="KJ35" s="21" t="n">
        <v>181.841</v>
      </c>
      <c r="KK35" s="21" t="n">
        <v>150.945</v>
      </c>
      <c r="KL35" s="21" t="n">
        <v>147.659</v>
      </c>
      <c r="KM35" s="21" t="n">
        <v>143.92</v>
      </c>
      <c r="KN35" s="21" t="n">
        <v>145.292</v>
      </c>
      <c r="KO35" s="21" t="n">
        <v>247.806</v>
      </c>
      <c r="KP35" s="21" t="n">
        <v>104.278</v>
      </c>
      <c r="KQ35" s="21" t="n">
        <v>77.158</v>
      </c>
      <c r="KR35" s="21" t="n">
        <v>108.763</v>
      </c>
      <c r="KS35" s="21" t="n">
        <v>208.328</v>
      </c>
      <c r="KT35" s="21" t="n">
        <v>223.718</v>
      </c>
      <c r="KU35" s="21" t="n">
        <v>89.44799999999999</v>
      </c>
      <c r="KV35" s="21" t="n">
        <v>56.798</v>
      </c>
      <c r="KW35" s="21" t="n">
        <v>221.35</v>
      </c>
      <c r="KX35" s="21" t="n">
        <v>196.196</v>
      </c>
      <c r="KY35" s="21" t="n">
        <v>238.244</v>
      </c>
      <c r="KZ35" s="21" t="n">
        <v>193.052</v>
      </c>
      <c r="LA35" s="21" t="n">
        <v>238.689</v>
      </c>
      <c r="LB35" s="21" t="n">
        <v>112.478</v>
      </c>
      <c r="LC35" s="21" t="n">
        <v>348.451</v>
      </c>
      <c r="LD35" s="21" t="n">
        <v>82.35299999999999</v>
      </c>
      <c r="LE35" s="21" t="n">
        <v>120.04</v>
      </c>
      <c r="LF35" s="21" t="n">
        <v>313.477</v>
      </c>
      <c r="LG35" s="21" t="n">
        <v>310.468</v>
      </c>
      <c r="LH35" s="21" t="n">
        <v>321.304</v>
      </c>
      <c r="LI35" s="21" t="n">
        <v>295.352</v>
      </c>
      <c r="LJ35" s="21" t="n">
        <v>330.999</v>
      </c>
      <c r="LK35" s="21" t="n">
        <v>103.466</v>
      </c>
      <c r="LL35" s="21" t="n">
        <v>312.971</v>
      </c>
      <c r="LM35" s="21" t="n">
        <v>215.945</v>
      </c>
      <c r="LN35" s="21" t="n">
        <v>48.503</v>
      </c>
      <c r="LO35" s="21" t="n">
        <v>124.581</v>
      </c>
    </row>
    <row r="36">
      <c r="A36" s="22" t="n">
        <v>43040</v>
      </c>
      <c r="B36" s="21" t="n">
        <v>247.284</v>
      </c>
      <c r="C36" s="21" t="n">
        <v>250.996</v>
      </c>
      <c r="D36" s="21" t="n">
        <v>251.195</v>
      </c>
      <c r="E36" s="21" t="n">
        <v>238.94</v>
      </c>
      <c r="F36" s="21" t="n">
        <v>270.714</v>
      </c>
      <c r="G36" s="21" t="n">
        <v>227.163</v>
      </c>
      <c r="H36" s="21" t="n">
        <v>237.812</v>
      </c>
      <c r="I36" s="21" t="n">
        <v>223.375</v>
      </c>
      <c r="J36" s="21" t="n">
        <v>233.801</v>
      </c>
      <c r="K36" s="21" t="n">
        <v>295.071</v>
      </c>
      <c r="L36" s="21" t="n">
        <v>177.923</v>
      </c>
      <c r="M36" s="21" t="n">
        <v>175.678</v>
      </c>
      <c r="N36" s="21" t="n">
        <v>282.524</v>
      </c>
      <c r="O36" s="21" t="n">
        <v>264.751</v>
      </c>
      <c r="P36" s="21" t="n">
        <v>263.537</v>
      </c>
      <c r="Q36" s="21" t="n">
        <v>300.615</v>
      </c>
      <c r="R36" s="21" t="n">
        <v>264.915</v>
      </c>
      <c r="S36" s="21" t="n">
        <v>247.049</v>
      </c>
      <c r="T36" s="21" t="n">
        <v>249.945</v>
      </c>
      <c r="U36" s="21" t="n">
        <v>252.347</v>
      </c>
      <c r="V36" s="21" t="n">
        <v>300.632</v>
      </c>
      <c r="W36" s="21" t="n">
        <v>270.559</v>
      </c>
      <c r="X36" s="21" t="n">
        <v>219.191</v>
      </c>
      <c r="Y36" s="21" t="n">
        <v>201.968</v>
      </c>
      <c r="Z36" s="21" t="n">
        <v>212.451</v>
      </c>
      <c r="AA36" s="21" t="n">
        <v>161.109</v>
      </c>
      <c r="AB36" s="21" t="n">
        <v>300.551</v>
      </c>
      <c r="AC36" s="21" t="n">
        <v>145.023</v>
      </c>
      <c r="AD36" s="21" t="n">
        <v>201.912</v>
      </c>
      <c r="AE36" s="21" t="n">
        <v>225.205</v>
      </c>
      <c r="AF36" s="21" t="n">
        <v>187.552</v>
      </c>
      <c r="AG36" s="21" t="n">
        <v>127.176</v>
      </c>
      <c r="AH36" s="21" t="n">
        <v>223.576</v>
      </c>
      <c r="AI36" s="21" t="n">
        <v>230.281</v>
      </c>
      <c r="AJ36" s="21" t="n">
        <v>144.623</v>
      </c>
      <c r="AK36" s="21" t="n">
        <v>230.366</v>
      </c>
      <c r="AL36" s="21" t="n">
        <v>149.111</v>
      </c>
      <c r="AM36" s="21" t="n">
        <v>244.586</v>
      </c>
      <c r="AN36" s="21" t="n">
        <v>222.599</v>
      </c>
      <c r="AO36" s="21" t="n">
        <v>149.264</v>
      </c>
      <c r="AP36" s="21" t="n">
        <v>289.918</v>
      </c>
      <c r="AQ36" s="21" t="n">
        <v>178.088</v>
      </c>
      <c r="AR36" s="21" t="n">
        <v>146</v>
      </c>
      <c r="AS36" s="21" t="n">
        <v>204.035</v>
      </c>
      <c r="AT36" s="21" t="n">
        <v>305.422</v>
      </c>
      <c r="AU36" s="21" t="n">
        <v>209.723</v>
      </c>
      <c r="AV36" s="21" t="n">
        <v>216.678</v>
      </c>
      <c r="AW36" s="21" t="n">
        <v>138.309</v>
      </c>
      <c r="AX36" s="21" t="n">
        <v>198.189</v>
      </c>
      <c r="AY36" s="21" t="n">
        <v>142.53</v>
      </c>
      <c r="AZ36" s="21" t="n">
        <v>229.729</v>
      </c>
      <c r="BA36" s="21" t="n">
        <v>218.405</v>
      </c>
      <c r="BB36" s="21" t="n">
        <v>145.66</v>
      </c>
      <c r="BC36" s="21" t="n">
        <v>297.377</v>
      </c>
      <c r="BD36" s="21" t="n">
        <v>345.453</v>
      </c>
      <c r="BE36" s="21" t="n">
        <v>366.374</v>
      </c>
      <c r="BF36" s="21" t="n">
        <v>348.352</v>
      </c>
      <c r="BG36" s="21" t="n">
        <v>191.184</v>
      </c>
      <c r="BH36" s="21" t="n">
        <v>262.783</v>
      </c>
      <c r="BI36" s="21" t="n">
        <v>541.397</v>
      </c>
      <c r="BJ36" s="21" t="n">
        <v>121.939</v>
      </c>
      <c r="BK36" s="21" t="n">
        <v>322.253</v>
      </c>
      <c r="BL36" s="21" t="n">
        <v>342.914</v>
      </c>
      <c r="BM36" s="21" t="n">
        <v>298.787</v>
      </c>
      <c r="BN36" s="21" t="n">
        <v>325.932</v>
      </c>
      <c r="BO36" s="21" t="n">
        <v>327.655</v>
      </c>
      <c r="BP36" s="21" t="n">
        <v>154.424</v>
      </c>
      <c r="BQ36" s="21" t="n">
        <v>157.479</v>
      </c>
      <c r="BR36" s="21" t="n">
        <v>154.674</v>
      </c>
      <c r="BS36" s="21" t="n">
        <v>164.906</v>
      </c>
      <c r="BT36" s="21" t="n">
        <v>146.731</v>
      </c>
      <c r="BU36" s="21" t="n">
        <v>200.895</v>
      </c>
      <c r="BV36" s="21" t="n">
        <v>156.515</v>
      </c>
      <c r="BW36" s="21" t="n">
        <v>167.237</v>
      </c>
      <c r="BX36" s="21" t="n">
        <v>129.069</v>
      </c>
      <c r="BY36" s="21" t="n">
        <v>161.67</v>
      </c>
      <c r="BZ36" s="21" t="n">
        <v>117.739</v>
      </c>
      <c r="CA36" s="21" t="n">
        <v>117.288</v>
      </c>
      <c r="CB36" s="21" t="n">
        <v>196.742</v>
      </c>
      <c r="CC36" s="21" t="n">
        <v>204.245</v>
      </c>
      <c r="CD36" s="21" t="n">
        <v>128.449</v>
      </c>
      <c r="CE36" s="21" t="n">
        <v>210.266</v>
      </c>
      <c r="CF36" s="21" t="n">
        <v>214.994</v>
      </c>
      <c r="CG36" s="21" t="n">
        <v>188.518</v>
      </c>
      <c r="CH36" s="21" t="n">
        <v>144.823</v>
      </c>
      <c r="CI36" s="21" t="n">
        <v>157.076</v>
      </c>
      <c r="CJ36" s="21" t="n">
        <v>228.652</v>
      </c>
      <c r="CK36" s="21" t="n">
        <v>205.173</v>
      </c>
      <c r="CL36" s="21" t="n">
        <v>245.781</v>
      </c>
      <c r="CM36" s="21" t="n">
        <v>293.522</v>
      </c>
      <c r="CN36" s="21" t="n">
        <v>127.624</v>
      </c>
      <c r="CO36" s="21" t="n">
        <v>160.68</v>
      </c>
      <c r="CP36" s="21" t="n">
        <v>224.811</v>
      </c>
      <c r="CQ36" s="21" t="n">
        <v>249.794</v>
      </c>
      <c r="CR36" s="21" t="n">
        <v>167.551</v>
      </c>
      <c r="CS36" s="21" t="n">
        <v>254.01</v>
      </c>
      <c r="CT36" s="21" t="n">
        <v>239.925</v>
      </c>
      <c r="CU36" s="21" t="n">
        <v>150.122</v>
      </c>
      <c r="CV36" s="21" t="n">
        <v>136.757</v>
      </c>
      <c r="CW36" s="21" t="n">
        <v>139.348</v>
      </c>
      <c r="CX36" s="21" t="n">
        <v>277.264</v>
      </c>
      <c r="CY36" s="21" t="n">
        <v>131.698</v>
      </c>
      <c r="CZ36" s="21" t="n">
        <v>126.995</v>
      </c>
      <c r="DA36" s="21" t="n">
        <v>271.152</v>
      </c>
      <c r="DB36" s="21" t="n">
        <v>168.33</v>
      </c>
      <c r="DC36" s="21" t="n">
        <v>171.549</v>
      </c>
      <c r="DD36" s="21" t="n">
        <v>140.138</v>
      </c>
      <c r="DE36" s="21" t="n">
        <v>186.439</v>
      </c>
      <c r="DF36" s="21" t="n">
        <v>246.972</v>
      </c>
      <c r="DG36" s="21" t="n">
        <v>201.57</v>
      </c>
      <c r="DH36" s="21" t="n">
        <v>224.5</v>
      </c>
      <c r="DI36" s="21" t="n">
        <v>192.091</v>
      </c>
      <c r="DJ36" s="21" t="n">
        <v>205.194</v>
      </c>
      <c r="DK36" s="21" t="n">
        <v>186.314</v>
      </c>
      <c r="DL36" s="21" t="n">
        <v>168.738</v>
      </c>
      <c r="DM36" s="21" t="n">
        <v>345.135</v>
      </c>
      <c r="DN36" s="21" t="n">
        <v>186.723</v>
      </c>
      <c r="DO36" s="21" t="n">
        <v>253.798</v>
      </c>
      <c r="DP36" s="21" t="n">
        <v>301.43</v>
      </c>
      <c r="DQ36" s="21" t="n">
        <v>312.295</v>
      </c>
      <c r="DR36" s="21" t="n">
        <v>160.688</v>
      </c>
      <c r="DS36" s="21" t="n">
        <v>540.121</v>
      </c>
      <c r="DT36" s="21" t="n">
        <v>329.937</v>
      </c>
      <c r="DU36" s="21" t="n">
        <v>308.79</v>
      </c>
      <c r="DV36" s="21" t="n">
        <v>308.797</v>
      </c>
      <c r="DW36" s="21" t="n">
        <v>239.212</v>
      </c>
      <c r="DX36" s="21" t="n">
        <v>199.718</v>
      </c>
      <c r="DY36" s="21" t="n">
        <v>270.037</v>
      </c>
      <c r="DZ36" s="21" t="n">
        <v>263.132</v>
      </c>
      <c r="EA36" s="21" t="n">
        <v>333.243</v>
      </c>
      <c r="EB36" s="21" t="n">
        <v>203.556</v>
      </c>
      <c r="EC36" s="21" t="n">
        <v>212.79</v>
      </c>
      <c r="ED36" s="21" t="n">
        <v>172.872</v>
      </c>
      <c r="EE36" s="21" t="n">
        <v>231.604</v>
      </c>
      <c r="EF36" s="21" t="n">
        <v>538.716</v>
      </c>
      <c r="EG36" s="21" t="n">
        <v>453.82</v>
      </c>
      <c r="EH36" s="21" t="n">
        <v>120.291</v>
      </c>
      <c r="EI36" s="21" t="n">
        <v>56.567</v>
      </c>
      <c r="EJ36" s="21" t="n">
        <v>64.66</v>
      </c>
      <c r="EK36" s="21" t="n">
        <v>42.956</v>
      </c>
      <c r="EL36" s="21" t="n">
        <v>110.311</v>
      </c>
      <c r="EM36" s="21" t="n">
        <v>69.16500000000001</v>
      </c>
      <c r="EN36" s="21" t="n">
        <v>73.583</v>
      </c>
      <c r="EO36" s="21" t="n">
        <v>77.864</v>
      </c>
      <c r="EP36" s="21" t="n">
        <v>84.149</v>
      </c>
      <c r="EQ36" s="21" t="n">
        <v>63.899</v>
      </c>
      <c r="ER36" s="21" t="n">
        <v>52.83</v>
      </c>
      <c r="ES36" s="21" t="n">
        <v>128.91</v>
      </c>
      <c r="ET36" s="21" t="n">
        <v>84.795</v>
      </c>
      <c r="EU36" s="21" t="n">
        <v>89.214</v>
      </c>
      <c r="EV36" s="21" t="n">
        <v>97.69499999999999</v>
      </c>
      <c r="EW36" s="21" t="n">
        <v>85.178</v>
      </c>
      <c r="EX36" s="21" t="n">
        <v>182.199</v>
      </c>
      <c r="EY36" s="21" t="n">
        <v>117.014</v>
      </c>
      <c r="EZ36" s="21" t="n">
        <v>114.048</v>
      </c>
      <c r="FA36" s="21" t="n">
        <v>166.342</v>
      </c>
      <c r="FB36" s="21" t="n">
        <v>125.024</v>
      </c>
      <c r="FC36" s="21" t="n">
        <v>116.829</v>
      </c>
      <c r="FD36" s="21" t="n">
        <v>121.594</v>
      </c>
      <c r="FE36" s="21" t="n">
        <v>109.625</v>
      </c>
      <c r="FF36" s="21" t="n">
        <v>151.304</v>
      </c>
      <c r="FG36" s="21" t="n">
        <v>78.45099999999999</v>
      </c>
      <c r="FH36" s="21" t="n">
        <v>122.373</v>
      </c>
      <c r="FI36" s="21" t="n">
        <v>99.251</v>
      </c>
      <c r="FJ36" s="21" t="n">
        <v>110.201</v>
      </c>
      <c r="FK36" s="21" t="n">
        <v>113.354</v>
      </c>
      <c r="FL36" s="21" t="n">
        <v>107.559</v>
      </c>
      <c r="FM36" s="21" t="n">
        <v>122.084</v>
      </c>
      <c r="FN36" s="21" t="n">
        <v>78.98699999999999</v>
      </c>
      <c r="FO36" s="21" t="n">
        <v>107.152</v>
      </c>
      <c r="FP36" s="21" t="n">
        <v>95.307</v>
      </c>
      <c r="FQ36" s="21" t="n">
        <v>135.367</v>
      </c>
      <c r="FR36" s="21" t="n">
        <v>138.282</v>
      </c>
      <c r="FS36" s="21" t="n">
        <v>152.956</v>
      </c>
      <c r="FT36" s="21" t="n">
        <v>124.824</v>
      </c>
      <c r="FU36" s="21" t="n">
        <v>115.022</v>
      </c>
      <c r="FV36" s="21" t="n">
        <v>177.192</v>
      </c>
      <c r="FW36" s="21" t="n">
        <v>139.536</v>
      </c>
      <c r="FX36" s="21" t="n">
        <v>180.199</v>
      </c>
      <c r="FY36" s="21" t="n">
        <v>205.698</v>
      </c>
      <c r="FZ36" s="21" t="n">
        <v>201.191</v>
      </c>
      <c r="GA36" s="21" t="n">
        <v>98.5</v>
      </c>
      <c r="GB36" s="21" t="n">
        <v>145.901</v>
      </c>
      <c r="GC36" s="21" t="n">
        <v>101.079</v>
      </c>
      <c r="GD36" s="21" t="n">
        <v>141.28</v>
      </c>
      <c r="GE36" s="21" t="n">
        <v>155.636</v>
      </c>
      <c r="GF36" s="21" t="n"/>
      <c r="GG36" s="21" t="n">
        <v>138.261</v>
      </c>
      <c r="GH36" s="21" t="n">
        <v>86.12</v>
      </c>
      <c r="GI36" s="21" t="n">
        <v>122.664</v>
      </c>
      <c r="GJ36" s="21" t="n">
        <v>229.75</v>
      </c>
      <c r="GK36" s="21" t="n">
        <v>228.908</v>
      </c>
      <c r="GL36" s="21" t="n">
        <v>225.131</v>
      </c>
      <c r="GM36" s="21" t="n">
        <v>245.202</v>
      </c>
      <c r="GN36" s="21" t="n">
        <v>238.065</v>
      </c>
      <c r="GO36" s="21" t="n">
        <v>207.419</v>
      </c>
      <c r="GP36" s="21" t="n">
        <v>141.474</v>
      </c>
      <c r="GQ36" s="21" t="n">
        <v>121.391</v>
      </c>
      <c r="GR36" s="21" t="n">
        <v>282.502</v>
      </c>
      <c r="GS36" s="21" t="n">
        <v>175.313</v>
      </c>
      <c r="GT36" s="21" t="n">
        <v>542.965</v>
      </c>
      <c r="GU36" s="21" t="n">
        <v>199.555</v>
      </c>
      <c r="GV36" s="21" t="n">
        <v>229.103</v>
      </c>
      <c r="GW36" s="21" t="n">
        <v>259.307</v>
      </c>
      <c r="GX36" s="21" t="n">
        <v>266.421</v>
      </c>
      <c r="GY36" s="21" t="n">
        <v>159.568</v>
      </c>
      <c r="GZ36" s="21" t="n">
        <v>117.419</v>
      </c>
      <c r="HA36" s="21" t="n">
        <v>65.361</v>
      </c>
      <c r="HB36" s="21" t="n">
        <v>477.791</v>
      </c>
      <c r="HC36" s="21" t="n">
        <v>378.328</v>
      </c>
      <c r="HD36" s="21" t="n">
        <v>123.872</v>
      </c>
      <c r="HE36" s="21" t="n">
        <v>522.4109999999999</v>
      </c>
      <c r="HF36" s="21" t="n">
        <v>97.01300000000001</v>
      </c>
      <c r="HG36" s="21" t="n">
        <v>509.686</v>
      </c>
      <c r="HH36" s="21" t="n">
        <v>375.321</v>
      </c>
      <c r="HI36" s="21" t="n">
        <v>377.037</v>
      </c>
      <c r="HJ36" s="21" t="n">
        <v>476.679</v>
      </c>
      <c r="HK36" s="21" t="n">
        <v>188.576</v>
      </c>
      <c r="HL36" s="21" t="n">
        <v>238.243</v>
      </c>
      <c r="HM36" s="21" t="n">
        <v>76.77200000000001</v>
      </c>
      <c r="HN36" s="21" t="n">
        <v>323.368</v>
      </c>
      <c r="HO36" s="21" t="n">
        <v>317.157</v>
      </c>
      <c r="HP36" s="21" t="n">
        <v>714.962</v>
      </c>
      <c r="HQ36" s="21" t="n">
        <v>222.783</v>
      </c>
      <c r="HR36" s="21" t="n">
        <v>118.621</v>
      </c>
      <c r="HS36" s="21" t="n">
        <v>104.745</v>
      </c>
      <c r="HT36" s="21" t="n">
        <v>218.71</v>
      </c>
      <c r="HU36" s="21" t="n">
        <v>468.684</v>
      </c>
      <c r="HV36" s="21" t="n">
        <v>123.567</v>
      </c>
      <c r="HW36" s="21" t="n">
        <v>29.357</v>
      </c>
      <c r="HX36" s="21" t="n">
        <v>170.037</v>
      </c>
      <c r="HY36" s="21" t="n">
        <v>195.369</v>
      </c>
      <c r="HZ36" s="21" t="n">
        <v>148.498</v>
      </c>
      <c r="IA36" s="21" t="n">
        <v>113.191</v>
      </c>
      <c r="IB36" s="21" t="n">
        <v>240.863</v>
      </c>
      <c r="IC36" s="21" t="n">
        <v>187.525</v>
      </c>
      <c r="ID36" s="21" t="n">
        <v>252.599</v>
      </c>
      <c r="IE36" s="21" t="n">
        <v>110.49</v>
      </c>
      <c r="IF36" s="21" t="n">
        <v>144.293</v>
      </c>
      <c r="IG36" s="21" t="n">
        <v>81.477</v>
      </c>
      <c r="IH36" s="21" t="n">
        <v>76.20699999999999</v>
      </c>
      <c r="II36" s="21" t="n">
        <v>56.014</v>
      </c>
      <c r="IJ36" s="21" t="n">
        <v>23.096</v>
      </c>
      <c r="IK36" s="21" t="n">
        <v>39.563</v>
      </c>
      <c r="IL36" s="21" t="n">
        <v>36.039</v>
      </c>
      <c r="IM36" s="21" t="n">
        <v>44.59</v>
      </c>
      <c r="IN36" s="21" t="n">
        <v>96.02500000000001</v>
      </c>
      <c r="IO36" s="21" t="n">
        <v>101.981</v>
      </c>
      <c r="IP36" s="21" t="n">
        <v>164.752</v>
      </c>
      <c r="IQ36" s="21" t="n">
        <v>136.893</v>
      </c>
      <c r="IR36" s="21" t="n">
        <v>373.318</v>
      </c>
      <c r="IS36" s="21" t="n">
        <v>180.805</v>
      </c>
      <c r="IT36" s="21" t="n">
        <v>212.807</v>
      </c>
      <c r="IU36" s="21" t="n">
        <v>305.855</v>
      </c>
      <c r="IV36" s="21" t="n">
        <v>240.555</v>
      </c>
      <c r="IW36" s="21" t="n">
        <v>136.449</v>
      </c>
      <c r="IX36" s="21" t="n">
        <v>255.516</v>
      </c>
      <c r="IY36" s="21" t="n">
        <v>696.688</v>
      </c>
      <c r="IZ36" s="21" t="n">
        <v>731.197</v>
      </c>
      <c r="JA36" s="21" t="n">
        <v>830.875</v>
      </c>
      <c r="JB36" s="21" t="n">
        <v>77.73999999999999</v>
      </c>
      <c r="JC36" s="21" t="n">
        <v>292.011</v>
      </c>
      <c r="JD36" s="21" t="n">
        <v>247.945</v>
      </c>
      <c r="JE36" s="21" t="n">
        <v>74.33499999999999</v>
      </c>
      <c r="JF36" s="21" t="n">
        <v>182.513</v>
      </c>
      <c r="JG36" s="21" t="n">
        <v>287.016</v>
      </c>
      <c r="JH36" s="21" t="n">
        <v>296.416</v>
      </c>
      <c r="JI36" s="21" t="n">
        <v>70.452</v>
      </c>
      <c r="JJ36" s="21" t="n">
        <v>112.141</v>
      </c>
      <c r="JK36" s="21" t="n">
        <v>42.04</v>
      </c>
      <c r="JL36" s="21" t="n">
        <v>75.896</v>
      </c>
      <c r="JM36" s="21" t="n">
        <v>257.666</v>
      </c>
      <c r="JN36" s="21" t="n">
        <v>436.352</v>
      </c>
      <c r="JO36" s="21" t="n">
        <v>66.096</v>
      </c>
      <c r="JP36" s="21" t="n">
        <v>428.776</v>
      </c>
      <c r="JQ36" s="21" t="n">
        <v>227.997</v>
      </c>
      <c r="JR36" s="21" t="n">
        <v>162.223</v>
      </c>
      <c r="JS36" s="21" t="n">
        <v>426.179</v>
      </c>
      <c r="JT36" s="21" t="n">
        <v>346.003</v>
      </c>
      <c r="JU36" s="21" t="n">
        <v>327.202</v>
      </c>
      <c r="JV36" s="21" t="n">
        <v>165.884</v>
      </c>
      <c r="JW36" s="21" t="n">
        <v>345.629</v>
      </c>
      <c r="JX36" s="21" t="n">
        <v>240.756</v>
      </c>
      <c r="JY36" s="21" t="n">
        <v>78.021</v>
      </c>
      <c r="JZ36" s="21" t="n">
        <v>151.618</v>
      </c>
      <c r="KA36" s="21" t="n">
        <v>236.219</v>
      </c>
      <c r="KB36" s="21" t="n">
        <v>252.723</v>
      </c>
      <c r="KC36" s="21" t="n">
        <v>246.668</v>
      </c>
      <c r="KD36" s="21" t="n">
        <v>253.816</v>
      </c>
      <c r="KE36" s="21" t="n">
        <v>228.86</v>
      </c>
      <c r="KF36" s="21" t="n">
        <v>222.974</v>
      </c>
      <c r="KG36" s="21" t="n">
        <v>227.298</v>
      </c>
      <c r="KH36" s="21" t="n">
        <v>232.755</v>
      </c>
      <c r="KI36" s="21" t="n">
        <v>118.11</v>
      </c>
      <c r="KJ36" s="21" t="n">
        <v>182.578</v>
      </c>
      <c r="KK36" s="21" t="n">
        <v>151.873</v>
      </c>
      <c r="KL36" s="21" t="n">
        <v>148.59</v>
      </c>
      <c r="KM36" s="21" t="n">
        <v>143.734</v>
      </c>
      <c r="KN36" s="21" t="n">
        <v>145.026</v>
      </c>
      <c r="KO36" s="21" t="n">
        <v>246.651</v>
      </c>
      <c r="KP36" s="21" t="n">
        <v>104.423</v>
      </c>
      <c r="KQ36" s="21" t="n">
        <v>77.111</v>
      </c>
      <c r="KR36" s="21" t="n">
        <v>109.063</v>
      </c>
      <c r="KS36" s="21" t="n">
        <v>213.047</v>
      </c>
      <c r="KT36" s="21" t="n">
        <v>233.386</v>
      </c>
      <c r="KU36" s="21" t="n">
        <v>89.372</v>
      </c>
      <c r="KV36" s="21" t="n">
        <v>56.439</v>
      </c>
      <c r="KW36" s="21" t="n">
        <v>222.512</v>
      </c>
      <c r="KX36" s="21" t="n">
        <v>198.067</v>
      </c>
      <c r="KY36" s="21" t="n">
        <v>241.715</v>
      </c>
      <c r="KZ36" s="21" t="n">
        <v>194.966</v>
      </c>
      <c r="LA36" s="21" t="n">
        <v>242.787</v>
      </c>
      <c r="LB36" s="21" t="n">
        <v>112.502</v>
      </c>
      <c r="LC36" s="21" t="n">
        <v>348.959</v>
      </c>
      <c r="LD36" s="21" t="n">
        <v>81.84099999999999</v>
      </c>
      <c r="LE36" s="21" t="n">
        <v>120.033</v>
      </c>
      <c r="LF36" s="21" t="n">
        <v>314.181</v>
      </c>
      <c r="LG36" s="21" t="n">
        <v>310.99</v>
      </c>
      <c r="LH36" s="21" t="n">
        <v>321.847</v>
      </c>
      <c r="LI36" s="21" t="n">
        <v>295.966</v>
      </c>
      <c r="LJ36" s="21" t="n">
        <v>331.449</v>
      </c>
      <c r="LK36" s="21" t="n">
        <v>103.728</v>
      </c>
      <c r="LL36" s="21" t="n">
        <v>313.678</v>
      </c>
      <c r="LM36" s="21" t="n">
        <v>215.985</v>
      </c>
      <c r="LN36" s="21" t="n">
        <v>47.509</v>
      </c>
      <c r="LO36" s="21" t="n">
        <v>124.425</v>
      </c>
    </row>
    <row r="37">
      <c r="A37" s="22" t="n">
        <v>43070</v>
      </c>
      <c r="B37" s="21" t="n">
        <v>247.805</v>
      </c>
      <c r="C37" s="21" t="n">
        <v>251.49</v>
      </c>
      <c r="D37" s="21" t="n">
        <v>251.716</v>
      </c>
      <c r="E37" s="21" t="n">
        <v>239.371</v>
      </c>
      <c r="F37" s="21" t="n">
        <v>270.85</v>
      </c>
      <c r="G37" s="21" t="n">
        <v>226.551</v>
      </c>
      <c r="H37" s="21" t="n">
        <v>236.897</v>
      </c>
      <c r="I37" s="21" t="n">
        <v>224.079</v>
      </c>
      <c r="J37" s="21" t="n">
        <v>233.233</v>
      </c>
      <c r="K37" s="21" t="n">
        <v>295.417</v>
      </c>
      <c r="L37" s="21" t="n">
        <v>178.115</v>
      </c>
      <c r="M37" s="21" t="n">
        <v>177.755</v>
      </c>
      <c r="N37" s="21" t="n">
        <v>282.694</v>
      </c>
      <c r="O37" s="21" t="n">
        <v>265.101</v>
      </c>
      <c r="P37" s="21" t="n">
        <v>262.887</v>
      </c>
      <c r="Q37" s="21" t="n">
        <v>300.091</v>
      </c>
      <c r="R37" s="21" t="n">
        <v>263.187</v>
      </c>
      <c r="S37" s="21" t="n">
        <v>249.975</v>
      </c>
      <c r="T37" s="21" t="n">
        <v>251.962</v>
      </c>
      <c r="U37" s="21" t="n">
        <v>254.245</v>
      </c>
      <c r="V37" s="21" t="n">
        <v>305.23</v>
      </c>
      <c r="W37" s="21" t="n">
        <v>271.142</v>
      </c>
      <c r="X37" s="21" t="n">
        <v>219.989</v>
      </c>
      <c r="Y37" s="21" t="n">
        <v>206.405</v>
      </c>
      <c r="Z37" s="21" t="n">
        <v>212.759</v>
      </c>
      <c r="AA37" s="21" t="n">
        <v>160.922</v>
      </c>
      <c r="AB37" s="21" t="n">
        <v>300.323</v>
      </c>
      <c r="AC37" s="21" t="n">
        <v>145.243</v>
      </c>
      <c r="AD37" s="21" t="n">
        <v>204.001</v>
      </c>
      <c r="AE37" s="21" t="n">
        <v>228.392</v>
      </c>
      <c r="AF37" s="21" t="n">
        <v>183.583</v>
      </c>
      <c r="AG37" s="21" t="n">
        <v>127.949</v>
      </c>
      <c r="AH37" s="21" t="n">
        <v>223.783</v>
      </c>
      <c r="AI37" s="21" t="n">
        <v>229.623</v>
      </c>
      <c r="AJ37" s="21" t="n">
        <v>144.508</v>
      </c>
      <c r="AK37" s="21" t="n">
        <v>233.965</v>
      </c>
      <c r="AL37" s="21" t="n">
        <v>151.159</v>
      </c>
      <c r="AM37" s="21" t="n">
        <v>248.658</v>
      </c>
      <c r="AN37" s="21" t="n">
        <v>225.225</v>
      </c>
      <c r="AO37" s="21" t="n">
        <v>153.101</v>
      </c>
      <c r="AP37" s="21" t="n">
        <v>290.08</v>
      </c>
      <c r="AQ37" s="21" t="n">
        <v>176.965</v>
      </c>
      <c r="AR37" s="21" t="n">
        <v>146.258</v>
      </c>
      <c r="AS37" s="21" t="n">
        <v>205.743</v>
      </c>
      <c r="AT37" s="21" t="n">
        <v>303.765</v>
      </c>
      <c r="AU37" s="21" t="n">
        <v>225.02</v>
      </c>
      <c r="AV37" s="21" t="n">
        <v>216.172</v>
      </c>
      <c r="AW37" s="21" t="n">
        <v>137.591</v>
      </c>
      <c r="AX37" s="21" t="n">
        <v>197.562</v>
      </c>
      <c r="AY37" s="21" t="n">
        <v>141.758</v>
      </c>
      <c r="AZ37" s="21" t="n">
        <v>228.526</v>
      </c>
      <c r="BA37" s="21" t="n">
        <v>218.71</v>
      </c>
      <c r="BB37" s="21" t="n">
        <v>145.268</v>
      </c>
      <c r="BC37" s="21" t="n">
        <v>296.666</v>
      </c>
      <c r="BD37" s="21" t="n">
        <v>344.878</v>
      </c>
      <c r="BE37" s="21" t="n">
        <v>365.292</v>
      </c>
      <c r="BF37" s="21" t="n">
        <v>341.222</v>
      </c>
      <c r="BG37" s="21" t="n">
        <v>194.545</v>
      </c>
      <c r="BH37" s="21" t="n">
        <v>259.926</v>
      </c>
      <c r="BI37" s="21" t="n">
        <v>530.073</v>
      </c>
      <c r="BJ37" s="21" t="n">
        <v>121.396</v>
      </c>
      <c r="BK37" s="21" t="n">
        <v>322.211</v>
      </c>
      <c r="BL37" s="21" t="n">
        <v>344.251</v>
      </c>
      <c r="BM37" s="21" t="n">
        <v>294.311</v>
      </c>
      <c r="BN37" s="21" t="n">
        <v>344.797</v>
      </c>
      <c r="BO37" s="21" t="n">
        <v>326.225</v>
      </c>
      <c r="BP37" s="21" t="n">
        <v>153.64</v>
      </c>
      <c r="BQ37" s="21" t="n">
        <v>155.231</v>
      </c>
      <c r="BR37" s="21" t="n">
        <v>153.502</v>
      </c>
      <c r="BS37" s="21" t="n">
        <v>161.867</v>
      </c>
      <c r="BT37" s="21" t="n">
        <v>148.186</v>
      </c>
      <c r="BU37" s="21" t="n">
        <v>202.246</v>
      </c>
      <c r="BV37" s="21" t="n">
        <v>155.057</v>
      </c>
      <c r="BW37" s="21" t="n">
        <v>167.004</v>
      </c>
      <c r="BX37" s="21" t="n">
        <v>128.171</v>
      </c>
      <c r="BY37" s="21" t="n">
        <v>160.656</v>
      </c>
      <c r="BZ37" s="21" t="n">
        <v>116.828</v>
      </c>
      <c r="CA37" s="21" t="n">
        <v>118.951</v>
      </c>
      <c r="CB37" s="21" t="n">
        <v>199.586</v>
      </c>
      <c r="CC37" s="21" t="n">
        <v>208.121</v>
      </c>
      <c r="CD37" s="21" t="n">
        <v>129.257</v>
      </c>
      <c r="CE37" s="21" t="n">
        <v>210.191</v>
      </c>
      <c r="CF37" s="21" t="n">
        <v>214.975</v>
      </c>
      <c r="CG37" s="21" t="n">
        <v>189.846</v>
      </c>
      <c r="CH37" s="21" t="n">
        <v>145.607</v>
      </c>
      <c r="CI37" s="21" t="n">
        <v>155.67</v>
      </c>
      <c r="CJ37" s="21" t="n">
        <v>228.584</v>
      </c>
      <c r="CK37" s="21" t="n">
        <v>205.885</v>
      </c>
      <c r="CL37" s="21" t="n">
        <v>245.477</v>
      </c>
      <c r="CM37" s="21" t="n">
        <v>294.81</v>
      </c>
      <c r="CN37" s="21" t="n">
        <v>127.617</v>
      </c>
      <c r="CO37" s="21" t="n">
        <v>160.672</v>
      </c>
      <c r="CP37" s="21" t="n">
        <v>224.718</v>
      </c>
      <c r="CQ37" s="21" t="n">
        <v>247.413</v>
      </c>
      <c r="CR37" s="21" t="n">
        <v>167.778</v>
      </c>
      <c r="CS37" s="21" t="n">
        <v>250.755</v>
      </c>
      <c r="CT37" s="21" t="n">
        <v>241.022</v>
      </c>
      <c r="CU37" s="21" t="n">
        <v>152.212</v>
      </c>
      <c r="CV37" s="21" t="n">
        <v>136.383</v>
      </c>
      <c r="CW37" s="21" t="n">
        <v>140.318</v>
      </c>
      <c r="CX37" s="21" t="n">
        <v>276.204</v>
      </c>
      <c r="CY37" s="21" t="n">
        <v>131.638</v>
      </c>
      <c r="CZ37" s="21" t="n">
        <v>127.442</v>
      </c>
      <c r="DA37" s="21" t="n">
        <v>271.811</v>
      </c>
      <c r="DB37" s="21" t="n">
        <v>168.607</v>
      </c>
      <c r="DC37" s="21" t="n">
        <v>176.279</v>
      </c>
      <c r="DD37" s="21" t="n">
        <v>145.934</v>
      </c>
      <c r="DE37" s="21" t="n">
        <v>186.869</v>
      </c>
      <c r="DF37" s="21" t="n">
        <v>247.086</v>
      </c>
      <c r="DG37" s="21" t="n">
        <v>201.709</v>
      </c>
      <c r="DH37" s="21" t="n">
        <v>224.781</v>
      </c>
      <c r="DI37" s="21" t="n">
        <v>190.24</v>
      </c>
      <c r="DJ37" s="21" t="n">
        <v>203.18</v>
      </c>
      <c r="DK37" s="21" t="n">
        <v>184.823</v>
      </c>
      <c r="DL37" s="21" t="n">
        <v>168.267</v>
      </c>
      <c r="DM37" s="21" t="n">
        <v>346.189</v>
      </c>
      <c r="DN37" s="21" t="n">
        <v>187.153</v>
      </c>
      <c r="DO37" s="21" t="n">
        <v>254.575</v>
      </c>
      <c r="DP37" s="21" t="n">
        <v>302.428</v>
      </c>
      <c r="DQ37" s="21" t="n">
        <v>313.462</v>
      </c>
      <c r="DR37" s="21" t="n">
        <v>160.654</v>
      </c>
      <c r="DS37" s="21" t="n">
        <v>541.678</v>
      </c>
      <c r="DT37" s="21" t="n">
        <v>329.715</v>
      </c>
      <c r="DU37" s="21" t="n">
        <v>309.822</v>
      </c>
      <c r="DV37" s="21" t="n">
        <v>309.832</v>
      </c>
      <c r="DW37" s="21" t="n">
        <v>240.093</v>
      </c>
      <c r="DX37" s="21" t="n">
        <v>200.562</v>
      </c>
      <c r="DY37" s="21" t="n">
        <v>275.414</v>
      </c>
      <c r="DZ37" s="21" t="n">
        <v>270.955</v>
      </c>
      <c r="EA37" s="21" t="n">
        <v>334.182</v>
      </c>
      <c r="EB37" s="21" t="n">
        <v>204.239</v>
      </c>
      <c r="EC37" s="21" t="n">
        <v>213.172</v>
      </c>
      <c r="ED37" s="21" t="n">
        <v>174.413</v>
      </c>
      <c r="EE37" s="21" t="n">
        <v>232.042</v>
      </c>
      <c r="EF37" s="21" t="n">
        <v>540.147</v>
      </c>
      <c r="EG37" s="21" t="n">
        <v>453.596</v>
      </c>
      <c r="EH37" s="21" t="n">
        <v>120.303</v>
      </c>
      <c r="EI37" s="21" t="n">
        <v>56.709</v>
      </c>
      <c r="EJ37" s="21" t="n">
        <v>64.791</v>
      </c>
      <c r="EK37" s="21" t="n">
        <v>43.472</v>
      </c>
      <c r="EL37" s="21" t="n">
        <v>110.075</v>
      </c>
      <c r="EM37" s="21" t="n">
        <v>69.34399999999999</v>
      </c>
      <c r="EN37" s="21" t="n">
        <v>73.998</v>
      </c>
      <c r="EO37" s="21" t="n">
        <v>79.059</v>
      </c>
      <c r="EP37" s="21" t="n">
        <v>86.22799999999999</v>
      </c>
      <c r="EQ37" s="21" t="n">
        <v>63.347</v>
      </c>
      <c r="ER37" s="21" t="n">
        <v>53.446</v>
      </c>
      <c r="ES37" s="21" t="n">
        <v>131.05</v>
      </c>
      <c r="ET37" s="21" t="n">
        <v>81.617</v>
      </c>
      <c r="EU37" s="21" t="n">
        <v>88.992</v>
      </c>
      <c r="EV37" s="21" t="n">
        <v>97.01000000000001</v>
      </c>
      <c r="EW37" s="21" t="n">
        <v>84.839</v>
      </c>
      <c r="EX37" s="21" t="n">
        <v>183.598</v>
      </c>
      <c r="EY37" s="21" t="n">
        <v>118.061</v>
      </c>
      <c r="EZ37" s="21" t="n">
        <v>114.612</v>
      </c>
      <c r="FA37" s="21" t="n">
        <v>163.848</v>
      </c>
      <c r="FB37" s="21" t="n">
        <v>124.234</v>
      </c>
      <c r="FC37" s="21" t="n">
        <v>116.781</v>
      </c>
      <c r="FD37" s="21" t="n">
        <v>121.475</v>
      </c>
      <c r="FE37" s="21" t="n">
        <v>110.075</v>
      </c>
      <c r="FF37" s="21" t="n">
        <v>150.042</v>
      </c>
      <c r="FG37" s="21" t="n">
        <v>76.797</v>
      </c>
      <c r="FH37" s="21" t="n">
        <v>119.984</v>
      </c>
      <c r="FI37" s="21" t="n">
        <v>98.402</v>
      </c>
      <c r="FJ37" s="21" t="n">
        <v>108.883</v>
      </c>
      <c r="FK37" s="21" t="n">
        <v>111.393</v>
      </c>
      <c r="FL37" s="21" t="n">
        <v>104.066</v>
      </c>
      <c r="FM37" s="21" t="n">
        <v>122.701</v>
      </c>
      <c r="FN37" s="21" t="n">
        <v>77.101</v>
      </c>
      <c r="FO37" s="21" t="n">
        <v>105.705</v>
      </c>
      <c r="FP37" s="21" t="n">
        <v>96.758</v>
      </c>
      <c r="FQ37" s="21" t="n">
        <v>134.921</v>
      </c>
      <c r="FR37" s="21" t="n">
        <v>133.372</v>
      </c>
      <c r="FS37" s="21" t="n">
        <v>154.841</v>
      </c>
      <c r="FT37" s="21" t="n">
        <v>124.518</v>
      </c>
      <c r="FU37" s="21" t="n">
        <v>115.5</v>
      </c>
      <c r="FV37" s="21" t="n">
        <v>175.241</v>
      </c>
      <c r="FW37" s="21" t="n">
        <v>132.805</v>
      </c>
      <c r="FX37" s="21" t="n">
        <v>179.453</v>
      </c>
      <c r="FY37" s="21" t="n">
        <v>206.332</v>
      </c>
      <c r="FZ37" s="21" t="n">
        <v>201.822</v>
      </c>
      <c r="GA37" s="21" t="n">
        <v>98.876</v>
      </c>
      <c r="GB37" s="21" t="n">
        <v>146.79</v>
      </c>
      <c r="GC37" s="21" t="n">
        <v>101.699</v>
      </c>
      <c r="GD37" s="21" t="n">
        <v>141.982</v>
      </c>
      <c r="GE37" s="21" t="n">
        <v>156.608</v>
      </c>
      <c r="GF37" s="21" t="n"/>
      <c r="GG37" s="21" t="n">
        <v>138.123</v>
      </c>
      <c r="GH37" s="21" t="n">
        <v>86.583</v>
      </c>
      <c r="GI37" s="21" t="n">
        <v>123.102</v>
      </c>
      <c r="GJ37" s="21" t="n">
        <v>229.898</v>
      </c>
      <c r="GK37" s="21" t="n">
        <v>228.888</v>
      </c>
      <c r="GL37" s="21" t="n">
        <v>224.654</v>
      </c>
      <c r="GM37" s="21" t="n">
        <v>244.72</v>
      </c>
      <c r="GN37" s="21" t="n">
        <v>238.85</v>
      </c>
      <c r="GO37" s="21" t="n">
        <v>208.482</v>
      </c>
      <c r="GP37" s="21" t="n">
        <v>141.979</v>
      </c>
      <c r="GQ37" s="21" t="n">
        <v>122.385</v>
      </c>
      <c r="GR37" s="21" t="n">
        <v>283.107</v>
      </c>
      <c r="GS37" s="21" t="n">
        <v>175.132</v>
      </c>
      <c r="GT37" s="21" t="n">
        <v>546.549</v>
      </c>
      <c r="GU37" s="21" t="n">
        <v>198.166</v>
      </c>
      <c r="GV37" s="21" t="n">
        <v>228.74</v>
      </c>
      <c r="GW37" s="21" t="n">
        <v>259.919</v>
      </c>
      <c r="GX37" s="21" t="n">
        <v>267.054</v>
      </c>
      <c r="GY37" s="21" t="n">
        <v>161.028</v>
      </c>
      <c r="GZ37" s="21" t="n">
        <v>119.013</v>
      </c>
      <c r="HA37" s="21" t="n">
        <v>65.91800000000001</v>
      </c>
      <c r="HB37" s="21" t="n">
        <v>478.891</v>
      </c>
      <c r="HC37" s="21" t="n">
        <v>380.087</v>
      </c>
      <c r="HD37" s="21" t="n">
        <v>124.483</v>
      </c>
      <c r="HE37" s="21" t="n">
        <v>525.385</v>
      </c>
      <c r="HF37" s="21" t="n">
        <v>97.19199999999999</v>
      </c>
      <c r="HG37" s="21" t="n">
        <v>510.529</v>
      </c>
      <c r="HH37" s="21" t="n">
        <v>375.712</v>
      </c>
      <c r="HI37" s="21" t="n">
        <v>377.734</v>
      </c>
      <c r="HJ37" s="21" t="n">
        <v>477.403</v>
      </c>
      <c r="HK37" s="21" t="n">
        <v>187.999</v>
      </c>
      <c r="HL37" s="21" t="n">
        <v>238.09</v>
      </c>
      <c r="HM37" s="21" t="n">
        <v>77.066</v>
      </c>
      <c r="HN37" s="21" t="n">
        <v>324.727</v>
      </c>
      <c r="HO37" s="21" t="n">
        <v>318.273</v>
      </c>
      <c r="HP37" s="21" t="n">
        <v>717.97</v>
      </c>
      <c r="HQ37" s="21" t="n">
        <v>223.285</v>
      </c>
      <c r="HR37" s="21" t="n">
        <v>118.669</v>
      </c>
      <c r="HS37" s="21" t="n">
        <v>104.469</v>
      </c>
      <c r="HT37" s="21" t="n">
        <v>216.276</v>
      </c>
      <c r="HU37" s="21" t="n">
        <v>467.678</v>
      </c>
      <c r="HV37" s="21" t="n">
        <v>121.831</v>
      </c>
      <c r="HW37" s="21" t="n">
        <v>27.777</v>
      </c>
      <c r="HX37" s="21" t="n">
        <v>170.173</v>
      </c>
      <c r="HY37" s="21" t="n">
        <v>195.218</v>
      </c>
      <c r="HZ37" s="21" t="n">
        <v>149.028</v>
      </c>
      <c r="IA37" s="21" t="n">
        <v>112.699</v>
      </c>
      <c r="IB37" s="21" t="n">
        <v>241.631</v>
      </c>
      <c r="IC37" s="21" t="n">
        <v>188.39</v>
      </c>
      <c r="ID37" s="21" t="n">
        <v>253.357</v>
      </c>
      <c r="IE37" s="21" t="n">
        <v>110.664</v>
      </c>
      <c r="IF37" s="21" t="n">
        <v>145.577</v>
      </c>
      <c r="IG37" s="21" t="n">
        <v>80.914</v>
      </c>
      <c r="IH37" s="21" t="n">
        <v>75.256</v>
      </c>
      <c r="II37" s="21" t="n">
        <v>55.036</v>
      </c>
      <c r="IJ37" s="21" t="n">
        <v>22.657</v>
      </c>
      <c r="IK37" s="21" t="n">
        <v>39.153</v>
      </c>
      <c r="IL37" s="21" t="n">
        <v>35.591</v>
      </c>
      <c r="IM37" s="21" t="n">
        <v>43.713</v>
      </c>
      <c r="IN37" s="21" t="n">
        <v>94.93300000000001</v>
      </c>
      <c r="IO37" s="21" t="n">
        <v>102.817</v>
      </c>
      <c r="IP37" s="21" t="n">
        <v>165.712</v>
      </c>
      <c r="IQ37" s="21" t="n">
        <v>138.108</v>
      </c>
      <c r="IR37" s="21" t="n">
        <v>373.42</v>
      </c>
      <c r="IS37" s="21" t="n">
        <v>180.94</v>
      </c>
      <c r="IT37" s="21" t="n">
        <v>211.856</v>
      </c>
      <c r="IU37" s="21" t="n">
        <v>310.611</v>
      </c>
      <c r="IV37" s="21" t="n">
        <v>240.155</v>
      </c>
      <c r="IW37" s="21" t="n">
        <v>136.532</v>
      </c>
      <c r="IX37" s="21" t="n">
        <v>255.747</v>
      </c>
      <c r="IY37" s="21" t="n">
        <v>687.646</v>
      </c>
      <c r="IZ37" s="21" t="n">
        <v>732.399</v>
      </c>
      <c r="JA37" s="21" t="n">
        <v>832.401</v>
      </c>
      <c r="JB37" s="21" t="n">
        <v>77.988</v>
      </c>
      <c r="JC37" s="21" t="n">
        <v>292.316</v>
      </c>
      <c r="JD37" s="21" t="n">
        <v>247.858</v>
      </c>
      <c r="JE37" s="21" t="n">
        <v>74.36</v>
      </c>
      <c r="JF37" s="21" t="n">
        <v>182.88</v>
      </c>
      <c r="JG37" s="21" t="n">
        <v>287.472</v>
      </c>
      <c r="JH37" s="21" t="n">
        <v>299.254</v>
      </c>
      <c r="JI37" s="21" t="n">
        <v>70.471</v>
      </c>
      <c r="JJ37" s="21" t="n">
        <v>111.806</v>
      </c>
      <c r="JK37" s="21" t="n">
        <v>41.353</v>
      </c>
      <c r="JL37" s="21" t="n">
        <v>75.928</v>
      </c>
      <c r="JM37" s="21" t="n">
        <v>262.801</v>
      </c>
      <c r="JN37" s="21" t="n">
        <v>435.831</v>
      </c>
      <c r="JO37" s="21" t="n">
        <v>66.006</v>
      </c>
      <c r="JP37" s="21" t="n">
        <v>428.068</v>
      </c>
      <c r="JQ37" s="21" t="n">
        <v>227.736</v>
      </c>
      <c r="JR37" s="21" t="n">
        <v>161.303</v>
      </c>
      <c r="JS37" s="21" t="n">
        <v>426.741</v>
      </c>
      <c r="JT37" s="21" t="n">
        <v>345.87</v>
      </c>
      <c r="JU37" s="21" t="n">
        <v>327.777</v>
      </c>
      <c r="JV37" s="21" t="n">
        <v>165.998</v>
      </c>
      <c r="JW37" s="21" t="n">
        <v>347.02</v>
      </c>
      <c r="JX37" s="21" t="n">
        <v>240.261</v>
      </c>
      <c r="JY37" s="21" t="n">
        <v>77.306</v>
      </c>
      <c r="JZ37" s="21" t="n">
        <v>150.147</v>
      </c>
      <c r="KA37" s="21" t="n">
        <v>236.713</v>
      </c>
      <c r="KB37" s="21" t="n">
        <v>253.249</v>
      </c>
      <c r="KC37" s="21" t="n">
        <v>247.19</v>
      </c>
      <c r="KD37" s="21" t="n">
        <v>254.344</v>
      </c>
      <c r="KE37" s="21" t="n">
        <v>229.202</v>
      </c>
      <c r="KF37" s="21" t="n">
        <v>223.274</v>
      </c>
      <c r="KG37" s="21" t="n">
        <v>227.561</v>
      </c>
      <c r="KH37" s="21" t="n">
        <v>233.046</v>
      </c>
      <c r="KI37" s="21" t="n">
        <v>117.262</v>
      </c>
      <c r="KJ37" s="21" t="n">
        <v>182.758</v>
      </c>
      <c r="KK37" s="21" t="n">
        <v>151.924</v>
      </c>
      <c r="KL37" s="21" t="n">
        <v>148.639</v>
      </c>
      <c r="KM37" s="21" t="n">
        <v>143.742</v>
      </c>
      <c r="KN37" s="21" t="n">
        <v>145.052</v>
      </c>
      <c r="KO37" s="21" t="n">
        <v>246.92</v>
      </c>
      <c r="KP37" s="21" t="n">
        <v>104.798</v>
      </c>
      <c r="KQ37" s="21" t="n">
        <v>76.36199999999999</v>
      </c>
      <c r="KR37" s="21" t="n">
        <v>109.238</v>
      </c>
      <c r="KS37" s="21" t="n">
        <v>213.574</v>
      </c>
      <c r="KT37" s="21" t="n">
        <v>233.769</v>
      </c>
      <c r="KU37" s="21" t="n">
        <v>89.477</v>
      </c>
      <c r="KV37" s="21" t="n">
        <v>55.961</v>
      </c>
      <c r="KW37" s="21" t="n">
        <v>222.527</v>
      </c>
      <c r="KX37" s="21" t="n">
        <v>197.873</v>
      </c>
      <c r="KY37" s="21" t="n">
        <v>242.385</v>
      </c>
      <c r="KZ37" s="21" t="n">
        <v>194.799</v>
      </c>
      <c r="LA37" s="21" t="n">
        <v>242.909</v>
      </c>
      <c r="LB37" s="21" t="n">
        <v>112.034</v>
      </c>
      <c r="LC37" s="21" t="n">
        <v>349.644</v>
      </c>
      <c r="LD37" s="21" t="n">
        <v>81.449</v>
      </c>
      <c r="LE37" s="21" t="n">
        <v>120.352</v>
      </c>
      <c r="LF37" s="21" t="n">
        <v>315.168</v>
      </c>
      <c r="LG37" s="21" t="n">
        <v>311.887</v>
      </c>
      <c r="LH37" s="21" t="n">
        <v>322.767</v>
      </c>
      <c r="LI37" s="21" t="n">
        <v>296.695</v>
      </c>
      <c r="LJ37" s="21" t="n">
        <v>332.024</v>
      </c>
      <c r="LK37" s="21" t="n">
        <v>104.107</v>
      </c>
      <c r="LL37" s="21" t="n">
        <v>314.938</v>
      </c>
      <c r="LM37" s="21" t="n">
        <v>216.65</v>
      </c>
      <c r="LN37" s="21" t="n">
        <v>46.559</v>
      </c>
      <c r="LO37" s="21" t="n">
        <v>124.351</v>
      </c>
    </row>
    <row r="38">
      <c r="A38" s="22" t="n">
        <v>43101</v>
      </c>
      <c r="B38" s="21" t="n">
        <v>248.859</v>
      </c>
      <c r="C38" s="21" t="n">
        <v>252.116</v>
      </c>
      <c r="D38" s="21" t="n">
        <v>252.377</v>
      </c>
      <c r="E38" s="21" t="n">
        <v>239.854</v>
      </c>
      <c r="F38" s="21" t="n">
        <v>272.389</v>
      </c>
      <c r="G38" s="21" t="n">
        <v>226.877</v>
      </c>
      <c r="H38" s="21" t="n">
        <v>237.005</v>
      </c>
      <c r="I38" s="21" t="n">
        <v>222.5</v>
      </c>
      <c r="J38" s="21" t="n">
        <v>233.876</v>
      </c>
      <c r="K38" s="21" t="n">
        <v>298.582</v>
      </c>
      <c r="L38" s="21" t="n">
        <v>177.242</v>
      </c>
      <c r="M38" s="21" t="n">
        <v>177.276</v>
      </c>
      <c r="N38" s="21" t="n">
        <v>288.664</v>
      </c>
      <c r="O38" s="21" t="n">
        <v>273.618</v>
      </c>
      <c r="P38" s="21" t="n">
        <v>265.055</v>
      </c>
      <c r="Q38" s="21" t="n">
        <v>301.685</v>
      </c>
      <c r="R38" s="21" t="n">
        <v>269.949</v>
      </c>
      <c r="S38" s="21" t="n">
        <v>249.003</v>
      </c>
      <c r="T38" s="21" t="n">
        <v>250.832</v>
      </c>
      <c r="U38" s="21" t="n">
        <v>253.7</v>
      </c>
      <c r="V38" s="21" t="n">
        <v>302.074</v>
      </c>
      <c r="W38" s="21" t="n">
        <v>268.855</v>
      </c>
      <c r="X38" s="21" t="n">
        <v>224.064</v>
      </c>
      <c r="Y38" s="21" t="n">
        <v>202.331</v>
      </c>
      <c r="Z38" s="21" t="n">
        <v>214.179</v>
      </c>
      <c r="AA38" s="21" t="n">
        <v>161.346</v>
      </c>
      <c r="AB38" s="21" t="n">
        <v>305.498</v>
      </c>
      <c r="AC38" s="21" t="n">
        <v>144.139</v>
      </c>
      <c r="AD38" s="21" t="n">
        <v>201.121</v>
      </c>
      <c r="AE38" s="21" t="n">
        <v>225.069</v>
      </c>
      <c r="AF38" s="21" t="n">
        <v>186.512</v>
      </c>
      <c r="AG38" s="21" t="n">
        <v>128.366</v>
      </c>
      <c r="AH38" s="21" t="n">
        <v>224.085</v>
      </c>
      <c r="AI38" s="21" t="n">
        <v>231.22</v>
      </c>
      <c r="AJ38" s="21" t="n">
        <v>143.79</v>
      </c>
      <c r="AK38" s="21" t="n">
        <v>231.017</v>
      </c>
      <c r="AL38" s="21" t="n">
        <v>148.844</v>
      </c>
      <c r="AM38" s="21" t="n">
        <v>247.809</v>
      </c>
      <c r="AN38" s="21" t="n">
        <v>220.803</v>
      </c>
      <c r="AO38" s="21" t="n">
        <v>150.515</v>
      </c>
      <c r="AP38" s="21" t="n">
        <v>289.266</v>
      </c>
      <c r="AQ38" s="21" t="n">
        <v>179.25</v>
      </c>
      <c r="AR38" s="21" t="n">
        <v>145.189</v>
      </c>
      <c r="AS38" s="21" t="n">
        <v>203.63</v>
      </c>
      <c r="AT38" s="21" t="n">
        <v>302.859</v>
      </c>
      <c r="AU38" s="21" t="n">
        <v>226.224</v>
      </c>
      <c r="AV38" s="21" t="n">
        <v>216.779</v>
      </c>
      <c r="AW38" s="21" t="n">
        <v>137.082</v>
      </c>
      <c r="AX38" s="21" t="n">
        <v>196.448</v>
      </c>
      <c r="AY38" s="21" t="n">
        <v>141.076</v>
      </c>
      <c r="AZ38" s="21" t="n">
        <v>230.754</v>
      </c>
      <c r="BA38" s="21" t="n">
        <v>222.203</v>
      </c>
      <c r="BB38" s="21" t="n">
        <v>146.485</v>
      </c>
      <c r="BC38" s="21" t="n">
        <v>298.904</v>
      </c>
      <c r="BD38" s="21" t="n">
        <v>347.411</v>
      </c>
      <c r="BE38" s="21" t="n">
        <v>369.633</v>
      </c>
      <c r="BF38" s="21" t="n">
        <v>343.192</v>
      </c>
      <c r="BG38" s="21" t="n">
        <v>195.248</v>
      </c>
      <c r="BH38" s="21" t="n">
        <v>260.861</v>
      </c>
      <c r="BI38" s="21" t="n">
        <v>528.468</v>
      </c>
      <c r="BJ38" s="21" t="n">
        <v>122.516</v>
      </c>
      <c r="BK38" s="21" t="n">
        <v>322.872</v>
      </c>
      <c r="BL38" s="21" t="n">
        <v>338.523</v>
      </c>
      <c r="BM38" s="21" t="n">
        <v>283.713</v>
      </c>
      <c r="BN38" s="21" t="n">
        <v>350.135</v>
      </c>
      <c r="BO38" s="21" t="n">
        <v>326.284</v>
      </c>
      <c r="BP38" s="21" t="n">
        <v>154.951</v>
      </c>
      <c r="BQ38" s="21" t="n">
        <v>159.703</v>
      </c>
      <c r="BR38" s="21" t="n">
        <v>155.859</v>
      </c>
      <c r="BS38" s="21" t="n">
        <v>167.594</v>
      </c>
      <c r="BT38" s="21" t="n">
        <v>146.516</v>
      </c>
      <c r="BU38" s="21" t="n">
        <v>201.072</v>
      </c>
      <c r="BV38" s="21" t="n">
        <v>155.042</v>
      </c>
      <c r="BW38" s="21" t="n">
        <v>166.857</v>
      </c>
      <c r="BX38" s="21" t="n">
        <v>128.716</v>
      </c>
      <c r="BY38" s="21" t="n">
        <v>160.821</v>
      </c>
      <c r="BZ38" s="21" t="n">
        <v>117.955</v>
      </c>
      <c r="CA38" s="21" t="n">
        <v>117.171</v>
      </c>
      <c r="CB38" s="21" t="n">
        <v>195.746</v>
      </c>
      <c r="CC38" s="21" t="n">
        <v>204.584</v>
      </c>
      <c r="CD38" s="21" t="n">
        <v>129.468</v>
      </c>
      <c r="CE38" s="21" t="n">
        <v>210.735</v>
      </c>
      <c r="CF38" s="21" t="n">
        <v>217.689</v>
      </c>
      <c r="CG38" s="21" t="n">
        <v>189.897</v>
      </c>
      <c r="CH38" s="21" t="n">
        <v>146.172</v>
      </c>
      <c r="CI38" s="21" t="n">
        <v>156.216</v>
      </c>
      <c r="CJ38" s="21" t="n">
        <v>228.265</v>
      </c>
      <c r="CK38" s="21" t="n">
        <v>206.451</v>
      </c>
      <c r="CL38" s="21" t="n">
        <v>244.972</v>
      </c>
      <c r="CM38" s="21" t="n">
        <v>297.959</v>
      </c>
      <c r="CN38" s="21" t="n">
        <v>127.49</v>
      </c>
      <c r="CO38" s="21" t="n">
        <v>159.144</v>
      </c>
      <c r="CP38" s="21" t="n">
        <v>224.986</v>
      </c>
      <c r="CQ38" s="21" t="n">
        <v>246.687</v>
      </c>
      <c r="CR38" s="21" t="n">
        <v>167.953</v>
      </c>
      <c r="CS38" s="21" t="n">
        <v>252.838</v>
      </c>
      <c r="CT38" s="21" t="n">
        <v>242.681</v>
      </c>
      <c r="CU38" s="21" t="n">
        <v>154.979</v>
      </c>
      <c r="CV38" s="21" t="n">
        <v>137.562</v>
      </c>
      <c r="CW38" s="21" t="n">
        <v>140.554</v>
      </c>
      <c r="CX38" s="21" t="n">
        <v>277.118</v>
      </c>
      <c r="CY38" s="21" t="n">
        <v>131.529</v>
      </c>
      <c r="CZ38" s="21" t="n">
        <v>126.924</v>
      </c>
      <c r="DA38" s="21" t="n">
        <v>272.772</v>
      </c>
      <c r="DB38" s="21" t="n">
        <v>169.021</v>
      </c>
      <c r="DC38" s="21" t="n">
        <v>176.464</v>
      </c>
      <c r="DD38" s="21" t="n">
        <v>145.969</v>
      </c>
      <c r="DE38" s="21" t="n">
        <v>188.329</v>
      </c>
      <c r="DF38" s="21" t="n">
        <v>247.248</v>
      </c>
      <c r="DG38" s="21" t="n">
        <v>201.299</v>
      </c>
      <c r="DH38" s="21" t="n">
        <v>224.012</v>
      </c>
      <c r="DI38" s="21" t="n">
        <v>191.51</v>
      </c>
      <c r="DJ38" s="21" t="n">
        <v>205.305</v>
      </c>
      <c r="DK38" s="21" t="n">
        <v>187.025</v>
      </c>
      <c r="DL38" s="21" t="n">
        <v>168.631</v>
      </c>
      <c r="DM38" s="21" t="n">
        <v>347.864</v>
      </c>
      <c r="DN38" s="21" t="n">
        <v>188.205</v>
      </c>
      <c r="DO38" s="21" t="n">
        <v>255.117</v>
      </c>
      <c r="DP38" s="21" t="n">
        <v>303.213</v>
      </c>
      <c r="DQ38" s="21" t="n">
        <v>314.531</v>
      </c>
      <c r="DR38" s="21" t="n">
        <v>158.539</v>
      </c>
      <c r="DS38" s="21" t="n">
        <v>542.692</v>
      </c>
      <c r="DT38" s="21" t="n">
        <v>324.044</v>
      </c>
      <c r="DU38" s="21" t="n">
        <v>310.637</v>
      </c>
      <c r="DV38" s="21" t="n">
        <v>310.641</v>
      </c>
      <c r="DW38" s="21" t="n">
        <v>239.677</v>
      </c>
      <c r="DX38" s="21" t="n">
        <v>199.906</v>
      </c>
      <c r="DY38" s="21" t="n">
        <v>286.177</v>
      </c>
      <c r="DZ38" s="21" t="n">
        <v>298.173</v>
      </c>
      <c r="EA38" s="21" t="n">
        <v>338.587</v>
      </c>
      <c r="EB38" s="21" t="n">
        <v>203.096</v>
      </c>
      <c r="EC38" s="21" t="n">
        <v>213.085</v>
      </c>
      <c r="ED38" s="21" t="n">
        <v>170.458</v>
      </c>
      <c r="EE38" s="21" t="n">
        <v>232.771</v>
      </c>
      <c r="EF38" s="21" t="n">
        <v>542.479</v>
      </c>
      <c r="EG38" s="21" t="n">
        <v>453.354</v>
      </c>
      <c r="EH38" s="21" t="n">
        <v>120.659</v>
      </c>
      <c r="EI38" s="21" t="n">
        <v>58.17</v>
      </c>
      <c r="EJ38" s="21" t="n">
        <v>66.063</v>
      </c>
      <c r="EK38" s="21" t="n">
        <v>45.01</v>
      </c>
      <c r="EL38" s="21" t="n">
        <v>110.844</v>
      </c>
      <c r="EM38" s="21" t="n">
        <v>69.40300000000001</v>
      </c>
      <c r="EN38" s="21" t="n">
        <v>73.877</v>
      </c>
      <c r="EO38" s="21" t="n">
        <v>79.608</v>
      </c>
      <c r="EP38" s="21" t="n">
        <v>90.708</v>
      </c>
      <c r="EQ38" s="21" t="n">
        <v>63.748</v>
      </c>
      <c r="ER38" s="21" t="n">
        <v>52.185</v>
      </c>
      <c r="ES38" s="21" t="n">
        <v>129.018</v>
      </c>
      <c r="ET38" s="21" t="n">
        <v>81.288</v>
      </c>
      <c r="EU38" s="21" t="n">
        <v>89.16</v>
      </c>
      <c r="EV38" s="21" t="n">
        <v>98.05200000000001</v>
      </c>
      <c r="EW38" s="21" t="n">
        <v>84.97199999999999</v>
      </c>
      <c r="EX38" s="21" t="n">
        <v>184.707</v>
      </c>
      <c r="EY38" s="21" t="n">
        <v>116.67</v>
      </c>
      <c r="EZ38" s="21" t="n">
        <v>117.872</v>
      </c>
      <c r="FA38" s="21" t="n">
        <v>162.943</v>
      </c>
      <c r="FB38" s="21" t="n">
        <v>124.855</v>
      </c>
      <c r="FC38" s="21" t="n">
        <v>117.47</v>
      </c>
      <c r="FD38" s="21" t="n">
        <v>120.972</v>
      </c>
      <c r="FE38" s="21" t="n">
        <v>109.76</v>
      </c>
      <c r="FF38" s="21" t="n">
        <v>148.966</v>
      </c>
      <c r="FG38" s="21" t="n">
        <v>78.789</v>
      </c>
      <c r="FH38" s="21" t="n">
        <v>118.525</v>
      </c>
      <c r="FI38" s="21" t="n">
        <v>102.03</v>
      </c>
      <c r="FJ38" s="21" t="n">
        <v>110.686</v>
      </c>
      <c r="FK38" s="21" t="n">
        <v>113.862</v>
      </c>
      <c r="FL38" s="21" t="n">
        <v>99.218</v>
      </c>
      <c r="FM38" s="21" t="n">
        <v>124.676</v>
      </c>
      <c r="FN38" s="21" t="n">
        <v>79.349</v>
      </c>
      <c r="FO38" s="21" t="n">
        <v>107.398</v>
      </c>
      <c r="FP38" s="21" t="n">
        <v>94.78700000000001</v>
      </c>
      <c r="FQ38" s="21" t="n">
        <v>133.664</v>
      </c>
      <c r="FR38" s="21" t="n">
        <v>136.262</v>
      </c>
      <c r="FS38" s="21" t="n">
        <v>149.699</v>
      </c>
      <c r="FT38" s="21" t="n">
        <v>124.61</v>
      </c>
      <c r="FU38" s="21" t="n">
        <v>116.542</v>
      </c>
      <c r="FV38" s="21" t="n">
        <v>171.172</v>
      </c>
      <c r="FW38" s="21" t="n">
        <v>135.959</v>
      </c>
      <c r="FX38" s="21" t="n">
        <v>173.618</v>
      </c>
      <c r="FY38" s="21" t="n">
        <v>208.964</v>
      </c>
      <c r="FZ38" s="21" t="n">
        <v>204.559</v>
      </c>
      <c r="GA38" s="21" t="n">
        <v>99.521</v>
      </c>
      <c r="GB38" s="21" t="n">
        <v>147.787</v>
      </c>
      <c r="GC38" s="21" t="n">
        <v>101.473</v>
      </c>
      <c r="GD38" s="21" t="n">
        <v>143.223</v>
      </c>
      <c r="GE38" s="21" t="n">
        <v>157.586</v>
      </c>
      <c r="GF38" s="21" t="n"/>
      <c r="GG38" s="21" t="n">
        <v>138.559</v>
      </c>
      <c r="GH38" s="21" t="n">
        <v>87.673</v>
      </c>
      <c r="GI38" s="21" t="n">
        <v>124.75</v>
      </c>
      <c r="GJ38" s="21" t="n">
        <v>236.538</v>
      </c>
      <c r="GK38" s="21" t="n">
        <v>235.325</v>
      </c>
      <c r="GL38" s="21" t="n">
        <v>230.205</v>
      </c>
      <c r="GM38" s="21" t="n">
        <v>248.55</v>
      </c>
      <c r="GN38" s="21" t="n">
        <v>242.107</v>
      </c>
      <c r="GO38" s="21" t="n">
        <v>215.013</v>
      </c>
      <c r="GP38" s="21" t="n">
        <v>142.562</v>
      </c>
      <c r="GQ38" s="21" t="n">
        <v>123.077</v>
      </c>
      <c r="GR38" s="21" t="n">
        <v>283.305</v>
      </c>
      <c r="GS38" s="21" t="n">
        <v>175.29</v>
      </c>
      <c r="GT38" s="21" t="n">
        <v>552.617</v>
      </c>
      <c r="GU38" s="21" t="n">
        <v>201.048</v>
      </c>
      <c r="GV38" s="21" t="n">
        <v>229.472</v>
      </c>
      <c r="GW38" s="21" t="n">
        <v>260.358</v>
      </c>
      <c r="GX38" s="21" t="n">
        <v>266.194</v>
      </c>
      <c r="GY38" s="21" t="n">
        <v>162.345</v>
      </c>
      <c r="GZ38" s="21" t="n"/>
      <c r="HA38" s="21" t="n">
        <v>66.42</v>
      </c>
      <c r="HB38" s="21" t="n">
        <v>480.797</v>
      </c>
      <c r="HC38" s="21" t="n">
        <v>380.846</v>
      </c>
      <c r="HD38" s="21" t="n">
        <v>124.721</v>
      </c>
      <c r="HE38" s="21" t="n">
        <v>527.7670000000001</v>
      </c>
      <c r="HF38" s="21" t="n">
        <v>96.40000000000001</v>
      </c>
      <c r="HG38" s="21" t="n">
        <v>512.784</v>
      </c>
      <c r="HH38" s="21" t="n">
        <v>375.975</v>
      </c>
      <c r="HI38" s="21" t="n">
        <v>379.077</v>
      </c>
      <c r="HJ38" s="21" t="n">
        <v>476.486</v>
      </c>
      <c r="HK38" s="21" t="n">
        <v>189.615</v>
      </c>
      <c r="HL38" s="21" t="n">
        <v>237.027</v>
      </c>
      <c r="HM38" s="21" t="n">
        <v>77.919</v>
      </c>
      <c r="HN38" s="21" t="n">
        <v>328.635</v>
      </c>
      <c r="HO38" s="21" t="n">
        <v>322.327</v>
      </c>
      <c r="HP38" s="21" t="n">
        <v>727.708</v>
      </c>
      <c r="HQ38" s="21" t="n">
        <v>224.03</v>
      </c>
      <c r="HR38" s="21" t="n">
        <v>118.773</v>
      </c>
      <c r="HS38" s="21" t="n">
        <v>104.453</v>
      </c>
      <c r="HT38" s="21" t="n">
        <v>209.268</v>
      </c>
      <c r="HU38" s="21" t="n">
        <v>467.67</v>
      </c>
      <c r="HV38" s="21" t="n">
        <v>121.056</v>
      </c>
      <c r="HW38" s="21" t="n">
        <v>27.972</v>
      </c>
      <c r="HX38" s="21" t="n">
        <v>170.891</v>
      </c>
      <c r="HY38" s="21" t="n">
        <v>196.085</v>
      </c>
      <c r="HZ38" s="21" t="n">
        <v>149.855</v>
      </c>
      <c r="IA38" s="21" t="n">
        <v>112.927</v>
      </c>
      <c r="IB38" s="21" t="n">
        <v>242.558</v>
      </c>
      <c r="IC38" s="21" t="n">
        <v>188.187</v>
      </c>
      <c r="ID38" s="21" t="n">
        <v>254.642</v>
      </c>
      <c r="IE38" s="21" t="n">
        <v>110.878</v>
      </c>
      <c r="IF38" s="21" t="n">
        <v>145.953</v>
      </c>
      <c r="IG38" s="21" t="n">
        <v>80.994</v>
      </c>
      <c r="IH38" s="21" t="n">
        <v>73.943</v>
      </c>
      <c r="II38" s="21" t="n">
        <v>53.552</v>
      </c>
      <c r="IJ38" s="21" t="n">
        <v>21.975</v>
      </c>
      <c r="IK38" s="21" t="n">
        <v>38.68</v>
      </c>
      <c r="IL38" s="21" t="n">
        <v>34.934</v>
      </c>
      <c r="IM38" s="21" t="n">
        <v>42.949</v>
      </c>
      <c r="IN38" s="21" t="n">
        <v>99.87</v>
      </c>
      <c r="IO38" s="21" t="n">
        <v>101.886</v>
      </c>
      <c r="IP38" s="21" t="n">
        <v>166.233</v>
      </c>
      <c r="IQ38" s="21" t="n">
        <v>138.316</v>
      </c>
      <c r="IR38" s="21" t="n">
        <v>374.702</v>
      </c>
      <c r="IS38" s="21" t="n">
        <v>180.433</v>
      </c>
      <c r="IT38" s="21" t="n">
        <v>216.334</v>
      </c>
      <c r="IU38" s="21" t="n">
        <v>312.298</v>
      </c>
      <c r="IV38" s="21" t="n">
        <v>240.284</v>
      </c>
      <c r="IW38" s="21" t="n">
        <v>136.594</v>
      </c>
      <c r="IX38" s="21" t="n">
        <v>255.949</v>
      </c>
      <c r="IY38" s="21" t="n">
        <v>686.318</v>
      </c>
      <c r="IZ38" s="21" t="n">
        <v>733.083</v>
      </c>
      <c r="JA38" s="21" t="n">
        <v>832.775</v>
      </c>
      <c r="JB38" s="21" t="n">
        <v>78.212</v>
      </c>
      <c r="JC38" s="21" t="n">
        <v>292.437</v>
      </c>
      <c r="JD38" s="21" t="n">
        <v>248.117</v>
      </c>
      <c r="JE38" s="21" t="n">
        <v>74.36199999999999</v>
      </c>
      <c r="JF38" s="21" t="n">
        <v>183.543</v>
      </c>
      <c r="JG38" s="21" t="n">
        <v>287.943</v>
      </c>
      <c r="JH38" s="21" t="n">
        <v>303.63</v>
      </c>
      <c r="JI38" s="21" t="n">
        <v>70.473</v>
      </c>
      <c r="JJ38" s="21" t="n">
        <v>112.064</v>
      </c>
      <c r="JK38" s="21" t="n">
        <v>41.455</v>
      </c>
      <c r="JL38" s="21" t="n">
        <v>75.919</v>
      </c>
      <c r="JM38" s="21" t="n">
        <v>267.396</v>
      </c>
      <c r="JN38" s="21" t="n">
        <v>437.687</v>
      </c>
      <c r="JO38" s="21" t="n">
        <v>66.21299999999999</v>
      </c>
      <c r="JP38" s="21" t="n">
        <v>429.313</v>
      </c>
      <c r="JQ38" s="21" t="n">
        <v>228.771</v>
      </c>
      <c r="JR38" s="21" t="n">
        <v>161.939</v>
      </c>
      <c r="JS38" s="21" t="n">
        <v>428.192</v>
      </c>
      <c r="JT38" s="21" t="n">
        <v>349.586</v>
      </c>
      <c r="JU38" s="21" t="n">
        <v>327.463</v>
      </c>
      <c r="JV38" s="21" t="n">
        <v>166.494</v>
      </c>
      <c r="JW38" s="21" t="n">
        <v>346.085</v>
      </c>
      <c r="JX38" s="21" t="n">
        <v>241.69</v>
      </c>
      <c r="JY38" s="21" t="n">
        <v>78.155</v>
      </c>
      <c r="JZ38" s="21" t="n">
        <v>149.933</v>
      </c>
      <c r="KA38" s="21" t="n">
        <v>237.727</v>
      </c>
      <c r="KB38" s="21" t="n">
        <v>254.078</v>
      </c>
      <c r="KC38" s="21" t="n">
        <v>248.301</v>
      </c>
      <c r="KD38" s="21" t="n">
        <v>255.204</v>
      </c>
      <c r="KE38" s="21" t="n">
        <v>230.339</v>
      </c>
      <c r="KF38" s="21" t="n">
        <v>224.497</v>
      </c>
      <c r="KG38" s="21" t="n">
        <v>228.439</v>
      </c>
      <c r="KH38" s="21" t="n">
        <v>233.93</v>
      </c>
      <c r="KI38" s="21" t="n">
        <v>118.31</v>
      </c>
      <c r="KJ38" s="21" t="n">
        <v>183.957</v>
      </c>
      <c r="KK38" s="21" t="n">
        <v>153.188</v>
      </c>
      <c r="KL38" s="21" t="n">
        <v>149.919</v>
      </c>
      <c r="KM38" s="21" t="n">
        <v>144.243</v>
      </c>
      <c r="KN38" s="21" t="n">
        <v>145.541</v>
      </c>
      <c r="KO38" s="21" t="n">
        <v>248.099</v>
      </c>
      <c r="KP38" s="21" t="n">
        <v>104.71</v>
      </c>
      <c r="KQ38" s="21" t="n">
        <v>76.732</v>
      </c>
      <c r="KR38" s="21" t="n">
        <v>109.244</v>
      </c>
      <c r="KS38" s="21" t="n">
        <v>216.855</v>
      </c>
      <c r="KT38" s="21" t="n">
        <v>240.777</v>
      </c>
      <c r="KU38" s="21" t="n">
        <v>89.527</v>
      </c>
      <c r="KV38" s="21" t="n">
        <v>56.343</v>
      </c>
      <c r="KW38" s="21" t="n">
        <v>223.982</v>
      </c>
      <c r="KX38" s="21" t="n">
        <v>199.162</v>
      </c>
      <c r="KY38" s="21" t="n">
        <v>244.143</v>
      </c>
      <c r="KZ38" s="21" t="n">
        <v>196.2</v>
      </c>
      <c r="LA38" s="21" t="n">
        <v>245.171</v>
      </c>
      <c r="LB38" s="21" t="n">
        <v>112.55</v>
      </c>
      <c r="LC38" s="21" t="n">
        <v>350.146</v>
      </c>
      <c r="LD38" s="21" t="n">
        <v>81.21599999999999</v>
      </c>
      <c r="LE38" s="21" t="n">
        <v>120.667</v>
      </c>
      <c r="LF38" s="21" t="n">
        <v>315.979</v>
      </c>
      <c r="LG38" s="21" t="n">
        <v>312.764</v>
      </c>
      <c r="LH38" s="21" t="n">
        <v>323.842</v>
      </c>
      <c r="LI38" s="21" t="n">
        <v>297.46</v>
      </c>
      <c r="LJ38" s="21" t="n">
        <v>332.783</v>
      </c>
      <c r="LK38" s="21" t="n">
        <v>104.706</v>
      </c>
      <c r="LL38" s="21" t="n">
        <v>317.514</v>
      </c>
      <c r="LM38" s="21" t="n">
        <v>216.856</v>
      </c>
      <c r="LN38" s="21" t="n">
        <v>45.796</v>
      </c>
      <c r="LO38" s="21" t="n">
        <v>124.61</v>
      </c>
    </row>
    <row r="39">
      <c r="A39" s="22" t="n">
        <v>43132</v>
      </c>
      <c r="B39" s="21" t="n">
        <v>249.529</v>
      </c>
      <c r="C39" s="21" t="n">
        <v>252.038</v>
      </c>
      <c r="D39" s="21" t="n">
        <v>252.264</v>
      </c>
      <c r="E39" s="21" t="n">
        <v>239.187</v>
      </c>
      <c r="F39" s="21" t="n">
        <v>271.446</v>
      </c>
      <c r="G39" s="21" t="n">
        <v>226.731</v>
      </c>
      <c r="H39" s="21" t="n">
        <v>240.179</v>
      </c>
      <c r="I39" s="21" t="n">
        <v>219.211</v>
      </c>
      <c r="J39" s="21" t="n">
        <v>235.223</v>
      </c>
      <c r="K39" s="21" t="n">
        <v>297.046</v>
      </c>
      <c r="L39" s="21" t="n">
        <v>176.251</v>
      </c>
      <c r="M39" s="21" t="n">
        <v>176.279</v>
      </c>
      <c r="N39" s="21" t="n">
        <v>288.306</v>
      </c>
      <c r="O39" s="21" t="n">
        <v>273.048</v>
      </c>
      <c r="P39" s="21" t="n">
        <v>263.241</v>
      </c>
      <c r="Q39" s="21" t="n">
        <v>298.719</v>
      </c>
      <c r="R39" s="21" t="n">
        <v>268.463</v>
      </c>
      <c r="S39" s="21" t="n">
        <v>249.041</v>
      </c>
      <c r="T39" s="21" t="n">
        <v>250.47</v>
      </c>
      <c r="U39" s="21" t="n">
        <v>253</v>
      </c>
      <c r="V39" s="21" t="n">
        <v>301.812</v>
      </c>
      <c r="W39" s="21" t="n">
        <v>267.776</v>
      </c>
      <c r="X39" s="21" t="n">
        <v>224.233</v>
      </c>
      <c r="Y39" s="21" t="n">
        <v>202.219</v>
      </c>
      <c r="Z39" s="21" t="n">
        <v>213.139</v>
      </c>
      <c r="AA39" s="21" t="n">
        <v>161.383</v>
      </c>
      <c r="AB39" s="21" t="n">
        <v>304.613</v>
      </c>
      <c r="AC39" s="21" t="n">
        <v>144.529</v>
      </c>
      <c r="AD39" s="21" t="n">
        <v>198.071</v>
      </c>
      <c r="AE39" s="21" t="n">
        <v>219.742</v>
      </c>
      <c r="AF39" s="21" t="n">
        <v>187.079</v>
      </c>
      <c r="AG39" s="21" t="n">
        <v>127.412</v>
      </c>
      <c r="AH39" s="21" t="n">
        <v>223.285</v>
      </c>
      <c r="AI39" s="21" t="n">
        <v>231.321</v>
      </c>
      <c r="AJ39" s="21" t="n">
        <v>143.158</v>
      </c>
      <c r="AK39" s="21" t="n">
        <v>231.909</v>
      </c>
      <c r="AL39" s="21" t="n">
        <v>149.787</v>
      </c>
      <c r="AM39" s="21" t="n">
        <v>246.842</v>
      </c>
      <c r="AN39" s="21" t="n">
        <v>223.218</v>
      </c>
      <c r="AO39" s="21" t="n">
        <v>148.789</v>
      </c>
      <c r="AP39" s="21" t="n">
        <v>288.362</v>
      </c>
      <c r="AQ39" s="21" t="n">
        <v>179.712</v>
      </c>
      <c r="AR39" s="21" t="n">
        <v>142.329</v>
      </c>
      <c r="AS39" s="21" t="n">
        <v>197.556</v>
      </c>
      <c r="AT39" s="21" t="n">
        <v>298.205</v>
      </c>
      <c r="AU39" s="21" t="n">
        <v>231.965</v>
      </c>
      <c r="AV39" s="21" t="n">
        <v>216.262</v>
      </c>
      <c r="AW39" s="21" t="n">
        <v>137.271</v>
      </c>
      <c r="AX39" s="21" t="n">
        <v>196.316</v>
      </c>
      <c r="AY39" s="21" t="n">
        <v>141.423</v>
      </c>
      <c r="AZ39" s="21" t="n">
        <v>228.471</v>
      </c>
      <c r="BA39" s="21" t="n">
        <v>217.808</v>
      </c>
      <c r="BB39" s="21" t="n">
        <v>146.506</v>
      </c>
      <c r="BC39" s="21" t="n">
        <v>296.615</v>
      </c>
      <c r="BD39" s="21" t="n">
        <v>344.263</v>
      </c>
      <c r="BE39" s="21" t="n">
        <v>365.469</v>
      </c>
      <c r="BF39" s="21" t="n">
        <v>342.366</v>
      </c>
      <c r="BG39" s="21" t="n">
        <v>197.969</v>
      </c>
      <c r="BH39" s="21" t="n">
        <v>263.818</v>
      </c>
      <c r="BI39" s="21" t="n">
        <v>536.232</v>
      </c>
      <c r="BJ39" s="21" t="n">
        <v>120.145</v>
      </c>
      <c r="BK39" s="21" t="n">
        <v>320.791</v>
      </c>
      <c r="BL39" s="21" t="n">
        <v>340.499</v>
      </c>
      <c r="BM39" s="21" t="n">
        <v>280.38</v>
      </c>
      <c r="BN39" s="21" t="n">
        <v>335.466</v>
      </c>
      <c r="BO39" s="21" t="n">
        <v>324.705</v>
      </c>
      <c r="BP39" s="21" t="n">
        <v>154.584</v>
      </c>
      <c r="BQ39" s="21" t="n">
        <v>157.278</v>
      </c>
      <c r="BR39" s="21" t="n">
        <v>153.538</v>
      </c>
      <c r="BS39" s="21" t="n">
        <v>165.412</v>
      </c>
      <c r="BT39" s="21" t="n">
        <v>147.833</v>
      </c>
      <c r="BU39" s="21" t="n">
        <v>200.987</v>
      </c>
      <c r="BV39" s="21" t="n">
        <v>156.971</v>
      </c>
      <c r="BW39" s="21" t="n">
        <v>166.36</v>
      </c>
      <c r="BX39" s="21" t="n">
        <v>128.53</v>
      </c>
      <c r="BY39" s="21" t="n">
        <v>161.343</v>
      </c>
      <c r="BZ39" s="21" t="n">
        <v>116.961</v>
      </c>
      <c r="CA39" s="21" t="n">
        <v>116.733</v>
      </c>
      <c r="CB39" s="21" t="n">
        <v>194.999</v>
      </c>
      <c r="CC39" s="21" t="n">
        <v>204.353</v>
      </c>
      <c r="CD39" s="21" t="n">
        <v>128.987</v>
      </c>
      <c r="CE39" s="21" t="n">
        <v>210.388</v>
      </c>
      <c r="CF39" s="21" t="n">
        <v>217.059</v>
      </c>
      <c r="CG39" s="21" t="n">
        <v>187.857</v>
      </c>
      <c r="CH39" s="21" t="n">
        <v>145.931</v>
      </c>
      <c r="CI39" s="21" t="n">
        <v>156.184</v>
      </c>
      <c r="CJ39" s="21" t="n">
        <v>229.077</v>
      </c>
      <c r="CK39" s="21" t="n">
        <v>204.69</v>
      </c>
      <c r="CL39" s="21" t="n">
        <v>243.847</v>
      </c>
      <c r="CM39" s="21" t="n">
        <v>299.542</v>
      </c>
      <c r="CN39" s="21" t="n">
        <v>128.761</v>
      </c>
      <c r="CO39" s="21" t="n">
        <v>160.448</v>
      </c>
      <c r="CP39" s="21" t="n">
        <v>224.488</v>
      </c>
      <c r="CQ39" s="21" t="n">
        <v>246.417</v>
      </c>
      <c r="CR39" s="21" t="n">
        <v>166.904</v>
      </c>
      <c r="CS39" s="21" t="n">
        <v>252.378</v>
      </c>
      <c r="CT39" s="21" t="n">
        <v>240.002</v>
      </c>
      <c r="CU39" s="21" t="n">
        <v>154.484</v>
      </c>
      <c r="CV39" s="21" t="n">
        <v>137.788</v>
      </c>
      <c r="CW39" s="21" t="n">
        <v>139.342</v>
      </c>
      <c r="CX39" s="21" t="n">
        <v>273.17</v>
      </c>
      <c r="CY39" s="21" t="n">
        <v>132.211</v>
      </c>
      <c r="CZ39" s="21" t="n">
        <v>128.592</v>
      </c>
      <c r="DA39" s="21" t="n">
        <v>273.435</v>
      </c>
      <c r="DB39" s="21" t="n">
        <v>169.371</v>
      </c>
      <c r="DC39" s="21" t="n">
        <v>176.525</v>
      </c>
      <c r="DD39" s="21" t="n">
        <v>146.025</v>
      </c>
      <c r="DE39" s="21" t="n">
        <v>188.343</v>
      </c>
      <c r="DF39" s="21" t="n">
        <v>247.648</v>
      </c>
      <c r="DG39" s="21" t="n">
        <v>201.698</v>
      </c>
      <c r="DH39" s="21" t="n">
        <v>224.207</v>
      </c>
      <c r="DI39" s="21" t="n">
        <v>191.159</v>
      </c>
      <c r="DJ39" s="21" t="n">
        <v>202.921</v>
      </c>
      <c r="DK39" s="21" t="n">
        <v>187.42</v>
      </c>
      <c r="DL39" s="21" t="n">
        <v>170.49</v>
      </c>
      <c r="DM39" s="21" t="n">
        <v>348.51</v>
      </c>
      <c r="DN39" s="21" t="n">
        <v>188.89</v>
      </c>
      <c r="DO39" s="21" t="n">
        <v>255.827</v>
      </c>
      <c r="DP39" s="21" t="n">
        <v>303.784</v>
      </c>
      <c r="DQ39" s="21" t="n">
        <v>315.162</v>
      </c>
      <c r="DR39" s="21" t="n">
        <v>158.83</v>
      </c>
      <c r="DS39" s="21" t="n">
        <v>543.652</v>
      </c>
      <c r="DT39" s="21" t="n">
        <v>324.64</v>
      </c>
      <c r="DU39" s="21" t="n">
        <v>311.213</v>
      </c>
      <c r="DV39" s="21" t="n">
        <v>311.217</v>
      </c>
      <c r="DW39" s="21" t="n">
        <v>241.918</v>
      </c>
      <c r="DX39" s="21" t="n">
        <v>202.115</v>
      </c>
      <c r="DY39" s="21" t="n">
        <v>281.993</v>
      </c>
      <c r="DZ39" s="21" t="n">
        <v>292.718</v>
      </c>
      <c r="EA39" s="21" t="n">
        <v>336.85</v>
      </c>
      <c r="EB39" s="21" t="n">
        <v>205.629</v>
      </c>
      <c r="EC39" s="21" t="n">
        <v>213.217</v>
      </c>
      <c r="ED39" s="21" t="n">
        <v>179.673</v>
      </c>
      <c r="EE39" s="21" t="n">
        <v>233.609</v>
      </c>
      <c r="EF39" s="21" t="n">
        <v>544.461</v>
      </c>
      <c r="EG39" s="21" t="n">
        <v>454.915</v>
      </c>
      <c r="EH39" s="21" t="n">
        <v>120.958</v>
      </c>
      <c r="EI39" s="21" t="n">
        <v>58.569</v>
      </c>
      <c r="EJ39" s="21" t="n">
        <v>67.491</v>
      </c>
      <c r="EK39" s="21" t="n">
        <v>44.963</v>
      </c>
      <c r="EL39" s="21" t="n">
        <v>110.577</v>
      </c>
      <c r="EM39" s="21" t="n">
        <v>68.456</v>
      </c>
      <c r="EN39" s="21" t="n">
        <v>72.941</v>
      </c>
      <c r="EO39" s="21" t="n">
        <v>77.73</v>
      </c>
      <c r="EP39" s="21" t="n">
        <v>86.107</v>
      </c>
      <c r="EQ39" s="21" t="n">
        <v>64.09</v>
      </c>
      <c r="ER39" s="21" t="n">
        <v>52.084</v>
      </c>
      <c r="ES39" s="21" t="n">
        <v>129.639</v>
      </c>
      <c r="ET39" s="21" t="n">
        <v>82.776</v>
      </c>
      <c r="EU39" s="21" t="n">
        <v>89.578</v>
      </c>
      <c r="EV39" s="21" t="n">
        <v>98.75</v>
      </c>
      <c r="EW39" s="21" t="n">
        <v>85.054</v>
      </c>
      <c r="EX39" s="21" t="n">
        <v>184.438</v>
      </c>
      <c r="EY39" s="21" t="n">
        <v>116.659</v>
      </c>
      <c r="EZ39" s="21" t="n">
        <v>117.391</v>
      </c>
      <c r="FA39" s="21" t="n">
        <v>165.627</v>
      </c>
      <c r="FB39" s="21" t="n">
        <v>125.839</v>
      </c>
      <c r="FC39" s="21" t="n">
        <v>117.5</v>
      </c>
      <c r="FD39" s="21" t="n">
        <v>120.905</v>
      </c>
      <c r="FE39" s="21" t="n">
        <v>107.616</v>
      </c>
      <c r="FF39" s="21" t="n">
        <v>150.677</v>
      </c>
      <c r="FG39" s="21" t="n">
        <v>78.98699999999999</v>
      </c>
      <c r="FH39" s="21" t="n">
        <v>117.761</v>
      </c>
      <c r="FI39" s="21" t="n">
        <v>104.658</v>
      </c>
      <c r="FJ39" s="21" t="n">
        <v>111.637</v>
      </c>
      <c r="FK39" s="21" t="n">
        <v>115.419</v>
      </c>
      <c r="FL39" s="21" t="n">
        <v>101.817</v>
      </c>
      <c r="FM39" s="21" t="n">
        <v>127.197</v>
      </c>
      <c r="FN39" s="21" t="n">
        <v>80.72199999999999</v>
      </c>
      <c r="FO39" s="21" t="n">
        <v>107.441</v>
      </c>
      <c r="FP39" s="21" t="n">
        <v>92.685</v>
      </c>
      <c r="FQ39" s="21" t="n">
        <v>135.094</v>
      </c>
      <c r="FR39" s="21" t="n">
        <v>138.757</v>
      </c>
      <c r="FS39" s="21" t="n">
        <v>146.591</v>
      </c>
      <c r="FT39" s="21" t="n">
        <v>126.58</v>
      </c>
      <c r="FU39" s="21" t="n">
        <v>116.883</v>
      </c>
      <c r="FV39" s="21" t="n">
        <v>175.022</v>
      </c>
      <c r="FW39" s="21" t="n">
        <v>137.58</v>
      </c>
      <c r="FX39" s="21" t="n">
        <v>177.366</v>
      </c>
      <c r="FY39" s="21" t="n">
        <v>210.466</v>
      </c>
      <c r="FZ39" s="21" t="n">
        <v>206.109</v>
      </c>
      <c r="GA39" s="21" t="n">
        <v>99.54300000000001</v>
      </c>
      <c r="GB39" s="21" t="n">
        <v>147.386</v>
      </c>
      <c r="GC39" s="21" t="n">
        <v>101.281</v>
      </c>
      <c r="GD39" s="21" t="n">
        <v>142.761</v>
      </c>
      <c r="GE39" s="21" t="n">
        <v>157.06</v>
      </c>
      <c r="GF39" s="21" t="n"/>
      <c r="GG39" s="21" t="n">
        <v>138.643</v>
      </c>
      <c r="GH39" s="21" t="n">
        <v>88.773</v>
      </c>
      <c r="GI39" s="21" t="n">
        <v>126.732</v>
      </c>
      <c r="GJ39" s="21" t="n">
        <v>240.955</v>
      </c>
      <c r="GK39" s="21" t="n">
        <v>239.767</v>
      </c>
      <c r="GL39" s="21" t="n">
        <v>234.382</v>
      </c>
      <c r="GM39" s="21" t="n">
        <v>254.252</v>
      </c>
      <c r="GN39" s="21" t="n">
        <v>249.287</v>
      </c>
      <c r="GO39" s="21" t="n">
        <v>218.559</v>
      </c>
      <c r="GP39" s="21" t="n">
        <v>142.807</v>
      </c>
      <c r="GQ39" s="21" t="n">
        <v>123.555</v>
      </c>
      <c r="GR39" s="21" t="n">
        <v>284.032</v>
      </c>
      <c r="GS39" s="21" t="n">
        <v>175.8</v>
      </c>
      <c r="GT39" s="21" t="n">
        <v>560.327</v>
      </c>
      <c r="GU39" s="21" t="n">
        <v>203.08</v>
      </c>
      <c r="GV39" s="21" t="n">
        <v>230.024</v>
      </c>
      <c r="GW39" s="21" t="n">
        <v>260.881</v>
      </c>
      <c r="GX39" s="21" t="n">
        <v>266.402</v>
      </c>
      <c r="GY39" s="21" t="n">
        <v>162.974</v>
      </c>
      <c r="GZ39" s="21" t="n"/>
      <c r="HA39" s="21" t="n">
        <v>66.60899999999999</v>
      </c>
      <c r="HB39" s="21" t="n">
        <v>481.6</v>
      </c>
      <c r="HC39" s="21" t="n">
        <v>381.975</v>
      </c>
      <c r="HD39" s="21" t="n">
        <v>125.079</v>
      </c>
      <c r="HE39" s="21" t="n">
        <v>529.279</v>
      </c>
      <c r="HF39" s="21" t="n">
        <v>96.679</v>
      </c>
      <c r="HG39" s="21" t="n">
        <v>513.474</v>
      </c>
      <c r="HH39" s="21" t="n">
        <v>377.129</v>
      </c>
      <c r="HI39" s="21" t="n">
        <v>380.47</v>
      </c>
      <c r="HJ39" s="21" t="n">
        <v>482.84</v>
      </c>
      <c r="HK39" s="21" t="n">
        <v>189.962</v>
      </c>
      <c r="HL39" s="21" t="n">
        <v>235.056</v>
      </c>
      <c r="HM39" s="21" t="n">
        <v>78.206</v>
      </c>
      <c r="HN39" s="21" t="n">
        <v>329.701</v>
      </c>
      <c r="HO39" s="21" t="n">
        <v>323.207</v>
      </c>
      <c r="HP39" s="21" t="n">
        <v>729.28</v>
      </c>
      <c r="HQ39" s="21" t="n">
        <v>225.022</v>
      </c>
      <c r="HR39" s="21" t="n">
        <v>118.916</v>
      </c>
      <c r="HS39" s="21" t="n">
        <v>104.409</v>
      </c>
      <c r="HT39" s="21" t="n">
        <v>203.331</v>
      </c>
      <c r="HU39" s="21" t="n">
        <v>468.92</v>
      </c>
      <c r="HV39" s="21" t="n">
        <v>120.42</v>
      </c>
      <c r="HW39" s="21" t="n">
        <v>27.093</v>
      </c>
      <c r="HX39" s="21" t="n">
        <v>170.64</v>
      </c>
      <c r="HY39" s="21" t="n">
        <v>195.963</v>
      </c>
      <c r="HZ39" s="21" t="n">
        <v>150.156</v>
      </c>
      <c r="IA39" s="21" t="n">
        <v>112.162</v>
      </c>
      <c r="IB39" s="21" t="n">
        <v>241.9</v>
      </c>
      <c r="IC39" s="21" t="n">
        <v>188.349</v>
      </c>
      <c r="ID39" s="21" t="n">
        <v>253.687</v>
      </c>
      <c r="IE39" s="21" t="n">
        <v>111.118</v>
      </c>
      <c r="IF39" s="21" t="n">
        <v>147.459</v>
      </c>
      <c r="IG39" s="21" t="n">
        <v>80.309</v>
      </c>
      <c r="IH39" s="21" t="n">
        <v>74.61199999999999</v>
      </c>
      <c r="II39" s="21" t="n">
        <v>54.728</v>
      </c>
      <c r="IJ39" s="21" t="n">
        <v>22.609</v>
      </c>
      <c r="IK39" s="21" t="n">
        <v>38.799</v>
      </c>
      <c r="IL39" s="21" t="n">
        <v>35.17</v>
      </c>
      <c r="IM39" s="21" t="n">
        <v>43.207</v>
      </c>
      <c r="IN39" s="21" t="n">
        <v>98.047</v>
      </c>
      <c r="IO39" s="21" t="n">
        <v>100.628</v>
      </c>
      <c r="IP39" s="21" t="n">
        <v>166.809</v>
      </c>
      <c r="IQ39" s="21" t="n">
        <v>137.874</v>
      </c>
      <c r="IR39" s="21" t="n">
        <v>379.501</v>
      </c>
      <c r="IS39" s="21" t="n">
        <v>182.198</v>
      </c>
      <c r="IT39" s="21" t="n">
        <v>222.385</v>
      </c>
      <c r="IU39" s="21" t="n">
        <v>310.859</v>
      </c>
      <c r="IV39" s="21" t="n">
        <v>240.441</v>
      </c>
      <c r="IW39" s="21" t="n">
        <v>136.314</v>
      </c>
      <c r="IX39" s="21" t="n">
        <v>256.37</v>
      </c>
      <c r="IY39" s="21" t="n">
        <v>693.578</v>
      </c>
      <c r="IZ39" s="21" t="n">
        <v>733.9880000000001</v>
      </c>
      <c r="JA39" s="21" t="n">
        <v>833.246</v>
      </c>
      <c r="JB39" s="21" t="n">
        <v>78.456</v>
      </c>
      <c r="JC39" s="21" t="n">
        <v>292.904</v>
      </c>
      <c r="JD39" s="21" t="n">
        <v>248.243</v>
      </c>
      <c r="JE39" s="21" t="n">
        <v>73.983</v>
      </c>
      <c r="JF39" s="21" t="n">
        <v>182.369</v>
      </c>
      <c r="JG39" s="21" t="n">
        <v>285.763</v>
      </c>
      <c r="JH39" s="21" t="n">
        <v>304.142</v>
      </c>
      <c r="JI39" s="21" t="n">
        <v>70.117</v>
      </c>
      <c r="JJ39" s="21" t="n">
        <v>111.201</v>
      </c>
      <c r="JK39" s="21" t="n">
        <v>41.278</v>
      </c>
      <c r="JL39" s="21" t="n">
        <v>75.26600000000001</v>
      </c>
      <c r="JM39" s="21" t="n">
        <v>266.047</v>
      </c>
      <c r="JN39" s="21" t="n">
        <v>438.306</v>
      </c>
      <c r="JO39" s="21" t="n">
        <v>66.167</v>
      </c>
      <c r="JP39" s="21" t="n">
        <v>429.188</v>
      </c>
      <c r="JQ39" s="21" t="n">
        <v>229.218</v>
      </c>
      <c r="JR39" s="21" t="n">
        <v>162.089</v>
      </c>
      <c r="JS39" s="21" t="n">
        <v>430.405</v>
      </c>
      <c r="JT39" s="21" t="n">
        <v>358.637</v>
      </c>
      <c r="JU39" s="21" t="n">
        <v>328.929</v>
      </c>
      <c r="JV39" s="21" t="n">
        <v>167.238</v>
      </c>
      <c r="JW39" s="21" t="n">
        <v>338.947</v>
      </c>
      <c r="JX39" s="21" t="n">
        <v>231.119</v>
      </c>
      <c r="JY39" s="21" t="n">
        <v>77.52</v>
      </c>
      <c r="JZ39" s="21" t="n">
        <v>149.188</v>
      </c>
      <c r="KA39" s="21" t="n">
        <v>238.39</v>
      </c>
      <c r="KB39" s="21" t="n">
        <v>254.494</v>
      </c>
      <c r="KC39" s="21" t="n">
        <v>249.089</v>
      </c>
      <c r="KD39" s="21" t="n">
        <v>255.711</v>
      </c>
      <c r="KE39" s="21" t="n">
        <v>231.049</v>
      </c>
      <c r="KF39" s="21" t="n">
        <v>225.385</v>
      </c>
      <c r="KG39" s="21" t="n">
        <v>228.91</v>
      </c>
      <c r="KH39" s="21" t="n">
        <v>234.432</v>
      </c>
      <c r="KI39" s="21" t="n">
        <v>119.15</v>
      </c>
      <c r="KJ39" s="21" t="n">
        <v>184.378</v>
      </c>
      <c r="KK39" s="21" t="n">
        <v>153.768</v>
      </c>
      <c r="KL39" s="21" t="n">
        <v>150.501</v>
      </c>
      <c r="KM39" s="21" t="n">
        <v>144.361</v>
      </c>
      <c r="KN39" s="21" t="n">
        <v>145.665</v>
      </c>
      <c r="KO39" s="21" t="n">
        <v>247.369</v>
      </c>
      <c r="KP39" s="21" t="n">
        <v>104.694</v>
      </c>
      <c r="KQ39" s="21" t="n">
        <v>76.562</v>
      </c>
      <c r="KR39" s="21" t="n">
        <v>109.022</v>
      </c>
      <c r="KS39" s="21" t="n">
        <v>220.141</v>
      </c>
      <c r="KT39" s="21" t="n">
        <v>244.927</v>
      </c>
      <c r="KU39" s="21" t="n">
        <v>89.486</v>
      </c>
      <c r="KV39" s="21" t="n">
        <v>56.001</v>
      </c>
      <c r="KW39" s="21" t="n">
        <v>225.036</v>
      </c>
      <c r="KX39" s="21" t="n">
        <v>201.625</v>
      </c>
      <c r="KY39" s="21" t="n">
        <v>246.94</v>
      </c>
      <c r="KZ39" s="21" t="n">
        <v>198.695</v>
      </c>
      <c r="LA39" s="21" t="n">
        <v>248.14</v>
      </c>
      <c r="LB39" s="21" t="n">
        <v>112.434</v>
      </c>
      <c r="LC39" s="21" t="n">
        <v>350.232</v>
      </c>
      <c r="LD39" s="21" t="n">
        <v>81.119</v>
      </c>
      <c r="LE39" s="21" t="n">
        <v>120.952</v>
      </c>
      <c r="LF39" s="21" t="n">
        <v>316.645</v>
      </c>
      <c r="LG39" s="21" t="n">
        <v>313.684</v>
      </c>
      <c r="LH39" s="21" t="n">
        <v>324.616</v>
      </c>
      <c r="LI39" s="21" t="n">
        <v>298.52</v>
      </c>
      <c r="LJ39" s="21" t="n">
        <v>334.211</v>
      </c>
      <c r="LK39" s="21" t="n">
        <v>104.586</v>
      </c>
      <c r="LL39" s="21" t="n">
        <v>320.209</v>
      </c>
      <c r="LM39" s="21" t="n">
        <v>218.194</v>
      </c>
      <c r="LN39" s="21" t="n">
        <v>44.923</v>
      </c>
      <c r="LO39" s="21" t="n">
        <v>124.925</v>
      </c>
    </row>
    <row r="40">
      <c r="A40" s="22" t="n">
        <v>43160</v>
      </c>
      <c r="B40" s="21" t="n">
        <v>249.577</v>
      </c>
      <c r="C40" s="21" t="n">
        <v>252.154</v>
      </c>
      <c r="D40" s="21" t="n">
        <v>252.365</v>
      </c>
      <c r="E40" s="21" t="n">
        <v>239.149</v>
      </c>
      <c r="F40" s="21" t="n">
        <v>271.76</v>
      </c>
      <c r="G40" s="21" t="n">
        <v>226.184</v>
      </c>
      <c r="H40" s="21" t="n">
        <v>237.297</v>
      </c>
      <c r="I40" s="21" t="n">
        <v>220.063</v>
      </c>
      <c r="J40" s="21" t="n">
        <v>235.127</v>
      </c>
      <c r="K40" s="21" t="n">
        <v>298.962</v>
      </c>
      <c r="L40" s="21" t="n">
        <v>179.796</v>
      </c>
      <c r="M40" s="21" t="n">
        <v>177.659</v>
      </c>
      <c r="N40" s="21" t="n">
        <v>287.58</v>
      </c>
      <c r="O40" s="21" t="n">
        <v>270.562</v>
      </c>
      <c r="P40" s="21" t="n">
        <v>263.632</v>
      </c>
      <c r="Q40" s="21" t="n">
        <v>299.731</v>
      </c>
      <c r="R40" s="21" t="n">
        <v>265.912</v>
      </c>
      <c r="S40" s="21" t="n">
        <v>250.248</v>
      </c>
      <c r="T40" s="21" t="n">
        <v>251.542</v>
      </c>
      <c r="U40" s="21" t="n">
        <v>253.671</v>
      </c>
      <c r="V40" s="21" t="n">
        <v>302.528</v>
      </c>
      <c r="W40" s="21" t="n">
        <v>270.452</v>
      </c>
      <c r="X40" s="21" t="n">
        <v>223.681</v>
      </c>
      <c r="Y40" s="21" t="n">
        <v>202.034</v>
      </c>
      <c r="Z40" s="21" t="n">
        <v>213.121</v>
      </c>
      <c r="AA40" s="21" t="n">
        <v>161.693</v>
      </c>
      <c r="AB40" s="21" t="n">
        <v>303.665</v>
      </c>
      <c r="AC40" s="21" t="n">
        <v>146.17</v>
      </c>
      <c r="AD40" s="21" t="n">
        <v>198.898</v>
      </c>
      <c r="AE40" s="21" t="n">
        <v>221.549</v>
      </c>
      <c r="AF40" s="21" t="n">
        <v>185.371</v>
      </c>
      <c r="AG40" s="21" t="n">
        <v>127.807</v>
      </c>
      <c r="AH40" s="21" t="n">
        <v>224.832</v>
      </c>
      <c r="AI40" s="21" t="n">
        <v>232.034</v>
      </c>
      <c r="AJ40" s="21" t="n">
        <v>144.841</v>
      </c>
      <c r="AK40" s="21" t="n">
        <v>232.964</v>
      </c>
      <c r="AL40" s="21" t="n">
        <v>150.98</v>
      </c>
      <c r="AM40" s="21" t="n">
        <v>249.179</v>
      </c>
      <c r="AN40" s="21" t="n">
        <v>224.908</v>
      </c>
      <c r="AO40" s="21" t="n">
        <v>147.456</v>
      </c>
      <c r="AP40" s="21" t="n">
        <v>291.314</v>
      </c>
      <c r="AQ40" s="21" t="n">
        <v>182.032</v>
      </c>
      <c r="AR40" s="21" t="n">
        <v>145.538</v>
      </c>
      <c r="AS40" s="21" t="n">
        <v>207.423</v>
      </c>
      <c r="AT40" s="21" t="n">
        <v>300.442</v>
      </c>
      <c r="AU40" s="21" t="n">
        <v>235.107</v>
      </c>
      <c r="AV40" s="21" t="n">
        <v>216.295</v>
      </c>
      <c r="AW40" s="21" t="n">
        <v>136.294</v>
      </c>
      <c r="AX40" s="21" t="n">
        <v>194.838</v>
      </c>
      <c r="AY40" s="21" t="n">
        <v>140.607</v>
      </c>
      <c r="AZ40" s="21" t="n">
        <v>229.737</v>
      </c>
      <c r="BA40" s="21" t="n">
        <v>220.469</v>
      </c>
      <c r="BB40" s="21" t="n">
        <v>146.739</v>
      </c>
      <c r="BC40" s="21" t="n">
        <v>294.77</v>
      </c>
      <c r="BD40" s="21" t="n">
        <v>341.76</v>
      </c>
      <c r="BE40" s="21" t="n">
        <v>361.578</v>
      </c>
      <c r="BF40" s="21" t="n">
        <v>336.195</v>
      </c>
      <c r="BG40" s="21" t="n">
        <v>199.713</v>
      </c>
      <c r="BH40" s="21" t="n">
        <v>264.886</v>
      </c>
      <c r="BI40" s="21" t="n">
        <v>529.883</v>
      </c>
      <c r="BJ40" s="21" t="n">
        <v>117.541</v>
      </c>
      <c r="BK40" s="21" t="n">
        <v>319.739</v>
      </c>
      <c r="BL40" s="21" t="n">
        <v>336.909</v>
      </c>
      <c r="BM40" s="21" t="n">
        <v>283.654</v>
      </c>
      <c r="BN40" s="21" t="n">
        <v>332.093</v>
      </c>
      <c r="BO40" s="21" t="n">
        <v>323.05</v>
      </c>
      <c r="BP40" s="21" t="n">
        <v>154.228</v>
      </c>
      <c r="BQ40" s="21" t="n">
        <v>156.511</v>
      </c>
      <c r="BR40" s="21" t="n">
        <v>149.678</v>
      </c>
      <c r="BS40" s="21" t="n">
        <v>165.211</v>
      </c>
      <c r="BT40" s="21" t="n">
        <v>146.792</v>
      </c>
      <c r="BU40" s="21" t="n">
        <v>200.701</v>
      </c>
      <c r="BV40" s="21" t="n">
        <v>155.318</v>
      </c>
      <c r="BW40" s="21" t="n">
        <v>166.739</v>
      </c>
      <c r="BX40" s="21" t="n">
        <v>128.557</v>
      </c>
      <c r="BY40" s="21" t="n">
        <v>161.411</v>
      </c>
      <c r="BZ40" s="21" t="n">
        <v>116.996</v>
      </c>
      <c r="CA40" s="21" t="n">
        <v>117.221</v>
      </c>
      <c r="CB40" s="21" t="n">
        <v>196.505</v>
      </c>
      <c r="CC40" s="21" t="n">
        <v>204.602</v>
      </c>
      <c r="CD40" s="21" t="n">
        <v>128.167</v>
      </c>
      <c r="CE40" s="21" t="n">
        <v>209.911</v>
      </c>
      <c r="CF40" s="21" t="n">
        <v>217.177</v>
      </c>
      <c r="CG40" s="21" t="n">
        <v>188.036</v>
      </c>
      <c r="CH40" s="21" t="n">
        <v>146.384</v>
      </c>
      <c r="CI40" s="21" t="n">
        <v>155.746</v>
      </c>
      <c r="CJ40" s="21" t="n">
        <v>227.686</v>
      </c>
      <c r="CK40" s="21" t="n">
        <v>203.651</v>
      </c>
      <c r="CL40" s="21" t="n">
        <v>236.421</v>
      </c>
      <c r="CM40" s="21" t="n">
        <v>299.8</v>
      </c>
      <c r="CN40" s="21" t="n">
        <v>127.705</v>
      </c>
      <c r="CO40" s="21" t="n">
        <v>159.163</v>
      </c>
      <c r="CP40" s="21" t="n">
        <v>223.985</v>
      </c>
      <c r="CQ40" s="21" t="n">
        <v>241.498</v>
      </c>
      <c r="CR40" s="21" t="n">
        <v>167.72</v>
      </c>
      <c r="CS40" s="21" t="n">
        <v>251.248</v>
      </c>
      <c r="CT40" s="21" t="n">
        <v>239.849</v>
      </c>
      <c r="CU40" s="21" t="n">
        <v>154.211</v>
      </c>
      <c r="CV40" s="21" t="n">
        <v>135.054</v>
      </c>
      <c r="CW40" s="21" t="n">
        <v>139.186</v>
      </c>
      <c r="CX40" s="21" t="n">
        <v>274.706</v>
      </c>
      <c r="CY40" s="21" t="n">
        <v>131.695</v>
      </c>
      <c r="CZ40" s="21" t="n">
        <v>128.134</v>
      </c>
      <c r="DA40" s="21" t="n">
        <v>273.733</v>
      </c>
      <c r="DB40" s="21" t="n">
        <v>169.599</v>
      </c>
      <c r="DC40" s="21" t="n">
        <v>176.424</v>
      </c>
      <c r="DD40" s="21" t="n">
        <v>146.028</v>
      </c>
      <c r="DE40" s="21" t="n">
        <v>187.884</v>
      </c>
      <c r="DF40" s="21" t="n">
        <v>247.957</v>
      </c>
      <c r="DG40" s="21" t="n">
        <v>201.687</v>
      </c>
      <c r="DH40" s="21" t="n">
        <v>224.675</v>
      </c>
      <c r="DI40" s="21" t="n">
        <v>191.521</v>
      </c>
      <c r="DJ40" s="21" t="n">
        <v>203.162</v>
      </c>
      <c r="DK40" s="21" t="n">
        <v>187.766</v>
      </c>
      <c r="DL40" s="21" t="n">
        <v>170.05</v>
      </c>
      <c r="DM40" s="21" t="n">
        <v>348.872</v>
      </c>
      <c r="DN40" s="21" t="n">
        <v>189.803</v>
      </c>
      <c r="DO40" s="21" t="n">
        <v>256.508</v>
      </c>
      <c r="DP40" s="21" t="n">
        <v>304.812</v>
      </c>
      <c r="DQ40" s="21" t="n">
        <v>315.885</v>
      </c>
      <c r="DR40" s="21" t="n">
        <v>161.714</v>
      </c>
      <c r="DS40" s="21" t="n">
        <v>545.076</v>
      </c>
      <c r="DT40" s="21" t="n">
        <v>331.205</v>
      </c>
      <c r="DU40" s="21" t="n">
        <v>312.207</v>
      </c>
      <c r="DV40" s="21" t="n">
        <v>312.213</v>
      </c>
      <c r="DW40" s="21" t="n">
        <v>241.577</v>
      </c>
      <c r="DX40" s="21" t="n">
        <v>201.636</v>
      </c>
      <c r="DY40" s="21" t="n">
        <v>281.306</v>
      </c>
      <c r="DZ40" s="21" t="n">
        <v>288.737</v>
      </c>
      <c r="EA40" s="21" t="n">
        <v>337.316</v>
      </c>
      <c r="EB40" s="21" t="n">
        <v>205.143</v>
      </c>
      <c r="EC40" s="21" t="n">
        <v>213.155</v>
      </c>
      <c r="ED40" s="21" t="n">
        <v>178.008</v>
      </c>
      <c r="EE40" s="21" t="n">
        <v>234.041</v>
      </c>
      <c r="EF40" s="21" t="n">
        <v>545.668</v>
      </c>
      <c r="EG40" s="21" t="n">
        <v>455.23</v>
      </c>
      <c r="EH40" s="21" t="n">
        <v>121.154</v>
      </c>
      <c r="EI40" s="21" t="n">
        <v>58.082</v>
      </c>
      <c r="EJ40" s="21" t="n">
        <v>65.304</v>
      </c>
      <c r="EK40" s="21" t="n">
        <v>44.679</v>
      </c>
      <c r="EL40" s="21" t="n">
        <v>110.177</v>
      </c>
      <c r="EM40" s="21" t="n">
        <v>68.417</v>
      </c>
      <c r="EN40" s="21" t="n">
        <v>73.873</v>
      </c>
      <c r="EO40" s="21" t="n">
        <v>78.104</v>
      </c>
      <c r="EP40" s="21" t="n">
        <v>86.28</v>
      </c>
      <c r="EQ40" s="21" t="n">
        <v>64.77</v>
      </c>
      <c r="ER40" s="21" t="n">
        <v>52.369</v>
      </c>
      <c r="ES40" s="21" t="n">
        <v>131.693</v>
      </c>
      <c r="ET40" s="21" t="n">
        <v>84.929</v>
      </c>
      <c r="EU40" s="21" t="n">
        <v>89.709</v>
      </c>
      <c r="EV40" s="21" t="n">
        <v>98.724</v>
      </c>
      <c r="EW40" s="21" t="n">
        <v>85.41500000000001</v>
      </c>
      <c r="EX40" s="21" t="n">
        <v>185.164</v>
      </c>
      <c r="EY40" s="21" t="n">
        <v>117.282</v>
      </c>
      <c r="EZ40" s="21" t="n">
        <v>118.677</v>
      </c>
      <c r="FA40" s="21" t="n">
        <v>164.267</v>
      </c>
      <c r="FB40" s="21" t="n">
        <v>126.489</v>
      </c>
      <c r="FC40" s="21" t="n">
        <v>117.504</v>
      </c>
      <c r="FD40" s="21" t="n">
        <v>121.126</v>
      </c>
      <c r="FE40" s="21" t="n">
        <v>106.651</v>
      </c>
      <c r="FF40" s="21" t="n">
        <v>152.788</v>
      </c>
      <c r="FG40" s="21" t="n">
        <v>79.134</v>
      </c>
      <c r="FH40" s="21" t="n">
        <v>118.71</v>
      </c>
      <c r="FI40" s="21" t="n">
        <v>104.103</v>
      </c>
      <c r="FJ40" s="21" t="n">
        <v>111.362</v>
      </c>
      <c r="FK40" s="21" t="n">
        <v>114.627</v>
      </c>
      <c r="FL40" s="21" t="n">
        <v>104.483</v>
      </c>
      <c r="FM40" s="21" t="n">
        <v>128.246</v>
      </c>
      <c r="FN40" s="21" t="n">
        <v>79.877</v>
      </c>
      <c r="FO40" s="21" t="n">
        <v>105.88</v>
      </c>
      <c r="FP40" s="21" t="n">
        <v>95.011</v>
      </c>
      <c r="FQ40" s="21" t="n">
        <v>138.041</v>
      </c>
      <c r="FR40" s="21" t="n">
        <v>141.614</v>
      </c>
      <c r="FS40" s="21" t="n">
        <v>151.973</v>
      </c>
      <c r="FT40" s="21" t="n">
        <v>129.305</v>
      </c>
      <c r="FU40" s="21" t="n">
        <v>119.403</v>
      </c>
      <c r="FV40" s="21" t="n">
        <v>176.148</v>
      </c>
      <c r="FW40" s="21" t="n">
        <v>136.671</v>
      </c>
      <c r="FX40" s="21" t="n">
        <v>180.487</v>
      </c>
      <c r="FY40" s="21" t="n">
        <v>208.649</v>
      </c>
      <c r="FZ40" s="21" t="n">
        <v>204.067</v>
      </c>
      <c r="GA40" s="21" t="n">
        <v>99.456</v>
      </c>
      <c r="GB40" s="21" t="n">
        <v>147.475</v>
      </c>
      <c r="GC40" s="21" t="n">
        <v>101.375</v>
      </c>
      <c r="GD40" s="21" t="n">
        <v>143.006</v>
      </c>
      <c r="GE40" s="21" t="n">
        <v>157.187</v>
      </c>
      <c r="GF40" s="21" t="n"/>
      <c r="GG40" s="21" t="n">
        <v>138.212</v>
      </c>
      <c r="GH40" s="21" t="n">
        <v>88.242</v>
      </c>
      <c r="GI40" s="21" t="n">
        <v>129.003</v>
      </c>
      <c r="GJ40" s="21" t="n">
        <v>232.476</v>
      </c>
      <c r="GK40" s="21" t="n">
        <v>231.325</v>
      </c>
      <c r="GL40" s="21" t="n">
        <v>226.038</v>
      </c>
      <c r="GM40" s="21" t="n">
        <v>249.319</v>
      </c>
      <c r="GN40" s="21" t="n">
        <v>245.428</v>
      </c>
      <c r="GO40" s="21" t="n">
        <v>215.972</v>
      </c>
      <c r="GP40" s="21" t="n">
        <v>143.254</v>
      </c>
      <c r="GQ40" s="21" t="n">
        <v>123.529</v>
      </c>
      <c r="GR40" s="21" t="n">
        <v>283.656</v>
      </c>
      <c r="GS40" s="21" t="n">
        <v>174.545</v>
      </c>
      <c r="GT40" s="21" t="n">
        <v>560.022</v>
      </c>
      <c r="GU40" s="21" t="n">
        <v>204.518</v>
      </c>
      <c r="GV40" s="21" t="n">
        <v>231.054</v>
      </c>
      <c r="GW40" s="21" t="n">
        <v>263.091</v>
      </c>
      <c r="GX40" s="21" t="n">
        <v>268.183</v>
      </c>
      <c r="GY40" s="21" t="n">
        <v>163.061</v>
      </c>
      <c r="GZ40" s="21" t="n"/>
      <c r="HA40" s="21" t="n">
        <v>67.67700000000001</v>
      </c>
      <c r="HB40" s="21" t="n">
        <v>483.078</v>
      </c>
      <c r="HC40" s="21" t="n">
        <v>381.804</v>
      </c>
      <c r="HD40" s="21" t="n">
        <v>125.107</v>
      </c>
      <c r="HE40" s="21" t="n">
        <v>528.167</v>
      </c>
      <c r="HF40" s="21" t="n">
        <v>97.575</v>
      </c>
      <c r="HG40" s="21" t="n">
        <v>515.505</v>
      </c>
      <c r="HH40" s="21" t="n">
        <v>378.751</v>
      </c>
      <c r="HI40" s="21" t="n">
        <v>380.766</v>
      </c>
      <c r="HJ40" s="21" t="n">
        <v>488.315</v>
      </c>
      <c r="HK40" s="21" t="n">
        <v>189.313</v>
      </c>
      <c r="HL40" s="21" t="n">
        <v>236.938</v>
      </c>
      <c r="HM40" s="21" t="n">
        <v>78.441</v>
      </c>
      <c r="HN40" s="21" t="n">
        <v>330.759</v>
      </c>
      <c r="HO40" s="21" t="n">
        <v>323.472</v>
      </c>
      <c r="HP40" s="21" t="n">
        <v>732.6180000000001</v>
      </c>
      <c r="HQ40" s="21" t="n">
        <v>225.351</v>
      </c>
      <c r="HR40" s="21" t="n">
        <v>119.01</v>
      </c>
      <c r="HS40" s="21" t="n">
        <v>104.342</v>
      </c>
      <c r="HT40" s="21" t="n">
        <v>201.19</v>
      </c>
      <c r="HU40" s="21" t="n">
        <v>468.976</v>
      </c>
      <c r="HV40" s="21" t="n">
        <v>120.557</v>
      </c>
      <c r="HW40" s="21" t="n">
        <v>27.048</v>
      </c>
      <c r="HX40" s="21" t="n">
        <v>170.964</v>
      </c>
      <c r="HY40" s="21" t="n">
        <v>196.253</v>
      </c>
      <c r="HZ40" s="21" t="n">
        <v>150.254</v>
      </c>
      <c r="IA40" s="21" t="n">
        <v>112.456</v>
      </c>
      <c r="IB40" s="21" t="n">
        <v>242.51</v>
      </c>
      <c r="IC40" s="21" t="n">
        <v>188.349</v>
      </c>
      <c r="ID40" s="21" t="n">
        <v>254.443</v>
      </c>
      <c r="IE40" s="21" t="n">
        <v>112.143</v>
      </c>
      <c r="IF40" s="21" t="n">
        <v>149.754</v>
      </c>
      <c r="IG40" s="21" t="n">
        <v>80.376</v>
      </c>
      <c r="IH40" s="21" t="n">
        <v>74.807</v>
      </c>
      <c r="II40" s="21" t="n">
        <v>55.549</v>
      </c>
      <c r="IJ40" s="21" t="n">
        <v>23.018</v>
      </c>
      <c r="IK40" s="21" t="n">
        <v>38.674</v>
      </c>
      <c r="IL40" s="21" t="n">
        <v>35.091</v>
      </c>
      <c r="IM40" s="21" t="n">
        <v>42.923</v>
      </c>
      <c r="IN40" s="21" t="n">
        <v>96.663</v>
      </c>
      <c r="IO40" s="21" t="n">
        <v>100.332</v>
      </c>
      <c r="IP40" s="21" t="n">
        <v>166.635</v>
      </c>
      <c r="IQ40" s="21" t="n">
        <v>138.748</v>
      </c>
      <c r="IR40" s="21" t="n">
        <v>376.109</v>
      </c>
      <c r="IS40" s="21" t="n">
        <v>182.049</v>
      </c>
      <c r="IT40" s="21" t="n">
        <v>214.867</v>
      </c>
      <c r="IU40" s="21" t="n">
        <v>311.862</v>
      </c>
      <c r="IV40" s="21" t="n">
        <v>244.725</v>
      </c>
      <c r="IW40" s="21" t="n">
        <v>136.19</v>
      </c>
      <c r="IX40" s="21" t="n">
        <v>256.384</v>
      </c>
      <c r="IY40" s="21" t="n">
        <v>695.4589999999999</v>
      </c>
      <c r="IZ40" s="21" t="n">
        <v>733.941</v>
      </c>
      <c r="JA40" s="21" t="n">
        <v>831.53</v>
      </c>
      <c r="JB40" s="21" t="n">
        <v>78.69199999999999</v>
      </c>
      <c r="JC40" s="21" t="n">
        <v>293.339</v>
      </c>
      <c r="JD40" s="21" t="n">
        <v>248.435</v>
      </c>
      <c r="JE40" s="21" t="n">
        <v>73.85599999999999</v>
      </c>
      <c r="JF40" s="21" t="n">
        <v>182.792</v>
      </c>
      <c r="JG40" s="21" t="n">
        <v>286.432</v>
      </c>
      <c r="JH40" s="21" t="n">
        <v>304.812</v>
      </c>
      <c r="JI40" s="21" t="n">
        <v>69.988</v>
      </c>
      <c r="JJ40" s="21" t="n">
        <v>110.67</v>
      </c>
      <c r="JK40" s="21" t="n">
        <v>41.249</v>
      </c>
      <c r="JL40" s="21" t="n">
        <v>74.93300000000001</v>
      </c>
      <c r="JM40" s="21" t="n">
        <v>260.515</v>
      </c>
      <c r="JN40" s="21" t="n">
        <v>439.269</v>
      </c>
      <c r="JO40" s="21" t="n">
        <v>65.985</v>
      </c>
      <c r="JP40" s="21" t="n">
        <v>427.487</v>
      </c>
      <c r="JQ40" s="21" t="n">
        <v>230.011</v>
      </c>
      <c r="JR40" s="21" t="n">
        <v>161.995</v>
      </c>
      <c r="JS40" s="21" t="n">
        <v>434.048</v>
      </c>
      <c r="JT40" s="21" t="n">
        <v>360.741</v>
      </c>
      <c r="JU40" s="21" t="n">
        <v>329.243</v>
      </c>
      <c r="JV40" s="21" t="n">
        <v>168.002</v>
      </c>
      <c r="JW40" s="21" t="n">
        <v>346.192</v>
      </c>
      <c r="JX40" s="21" t="n">
        <v>232.932</v>
      </c>
      <c r="JY40" s="21" t="n">
        <v>77.06399999999999</v>
      </c>
      <c r="JZ40" s="21" t="n">
        <v>149.189</v>
      </c>
      <c r="KA40" s="21" t="n">
        <v>238.371</v>
      </c>
      <c r="KB40" s="21" t="n">
        <v>254.985</v>
      </c>
      <c r="KC40" s="21" t="n">
        <v>249.128</v>
      </c>
      <c r="KD40" s="21" t="n">
        <v>256.271</v>
      </c>
      <c r="KE40" s="21" t="n">
        <v>230.736</v>
      </c>
      <c r="KF40" s="21" t="n">
        <v>224.982</v>
      </c>
      <c r="KG40" s="21" t="n">
        <v>229.218</v>
      </c>
      <c r="KH40" s="21" t="n">
        <v>234.804</v>
      </c>
      <c r="KI40" s="21" t="n">
        <v>119.218</v>
      </c>
      <c r="KJ40" s="21" t="n">
        <v>183.752</v>
      </c>
      <c r="KK40" s="21" t="n">
        <v>152.927</v>
      </c>
      <c r="KL40" s="21" t="n">
        <v>149.636</v>
      </c>
      <c r="KM40" s="21" t="n">
        <v>144.49</v>
      </c>
      <c r="KN40" s="21" t="n">
        <v>145.877</v>
      </c>
      <c r="KO40" s="21" t="n">
        <v>247.165</v>
      </c>
      <c r="KP40" s="21" t="n">
        <v>104.957</v>
      </c>
      <c r="KQ40" s="21" t="n">
        <v>76.295</v>
      </c>
      <c r="KR40" s="21" t="n">
        <v>108.948</v>
      </c>
      <c r="KS40" s="21" t="n">
        <v>215.72</v>
      </c>
      <c r="KT40" s="21" t="n">
        <v>236.644</v>
      </c>
      <c r="KU40" s="21" t="n">
        <v>89.529</v>
      </c>
      <c r="KV40" s="21" t="n">
        <v>55.699</v>
      </c>
      <c r="KW40" s="21" t="n">
        <v>224.187</v>
      </c>
      <c r="KX40" s="21" t="n">
        <v>199.751</v>
      </c>
      <c r="KY40" s="21" t="n">
        <v>244.092</v>
      </c>
      <c r="KZ40" s="21" t="n">
        <v>196.725</v>
      </c>
      <c r="LA40" s="21" t="n">
        <v>244.987</v>
      </c>
      <c r="LB40" s="21" t="n">
        <v>112.184</v>
      </c>
      <c r="LC40" s="21" t="n">
        <v>350.388</v>
      </c>
      <c r="LD40" s="21" t="n">
        <v>81.374</v>
      </c>
      <c r="LE40" s="21" t="n">
        <v>120.912</v>
      </c>
      <c r="LF40" s="21" t="n">
        <v>317.73</v>
      </c>
      <c r="LG40" s="21" t="n">
        <v>314.414</v>
      </c>
      <c r="LH40" s="21" t="n">
        <v>325.461</v>
      </c>
      <c r="LI40" s="21" t="n">
        <v>299.225</v>
      </c>
      <c r="LJ40" s="21" t="n">
        <v>334.876</v>
      </c>
      <c r="LK40" s="21" t="n">
        <v>104.535</v>
      </c>
      <c r="LL40" s="21" t="n">
        <v>320.599</v>
      </c>
      <c r="LM40" s="21" t="n">
        <v>218.143</v>
      </c>
      <c r="LN40" s="21" t="n">
        <v>44.725</v>
      </c>
      <c r="LO40" s="21" t="n">
        <v>124.917</v>
      </c>
    </row>
    <row r="41">
      <c r="A41" s="22" t="n">
        <v>43191</v>
      </c>
      <c r="B41" s="21" t="n">
        <v>250.227</v>
      </c>
      <c r="C41" s="21" t="n">
        <v>252.661</v>
      </c>
      <c r="D41" s="21" t="n">
        <v>252.867</v>
      </c>
      <c r="E41" s="21" t="n">
        <v>239.541</v>
      </c>
      <c r="F41" s="21" t="n">
        <v>271.705</v>
      </c>
      <c r="G41" s="21" t="n">
        <v>227.116</v>
      </c>
      <c r="H41" s="21" t="n">
        <v>240.493</v>
      </c>
      <c r="I41" s="21" t="n">
        <v>220.762</v>
      </c>
      <c r="J41" s="21" t="n">
        <v>236.422</v>
      </c>
      <c r="K41" s="21" t="n">
        <v>297.276</v>
      </c>
      <c r="L41" s="21" t="n">
        <v>177.41</v>
      </c>
      <c r="M41" s="21" t="n">
        <v>177.645</v>
      </c>
      <c r="N41" s="21" t="n">
        <v>285.077</v>
      </c>
      <c r="O41" s="21" t="n">
        <v>265.448</v>
      </c>
      <c r="P41" s="21" t="n">
        <v>264.165</v>
      </c>
      <c r="Q41" s="21" t="n">
        <v>299.691</v>
      </c>
      <c r="R41" s="21" t="n">
        <v>268.419</v>
      </c>
      <c r="S41" s="21" t="n">
        <v>251.733</v>
      </c>
      <c r="T41" s="21" t="n">
        <v>252.101</v>
      </c>
      <c r="U41" s="21" t="n">
        <v>254.028</v>
      </c>
      <c r="V41" s="21" t="n">
        <v>305.031</v>
      </c>
      <c r="W41" s="21" t="n">
        <v>273.149</v>
      </c>
      <c r="X41" s="21" t="n">
        <v>227.589</v>
      </c>
      <c r="Y41" s="21" t="n">
        <v>204.325</v>
      </c>
      <c r="Z41" s="21" t="n">
        <v>211.426</v>
      </c>
      <c r="AA41" s="21" t="n">
        <v>159.193</v>
      </c>
      <c r="AB41" s="21" t="n">
        <v>297.329</v>
      </c>
      <c r="AC41" s="21" t="n">
        <v>145.254</v>
      </c>
      <c r="AD41" s="21" t="n">
        <v>200.646</v>
      </c>
      <c r="AE41" s="21" t="n">
        <v>224.179</v>
      </c>
      <c r="AF41" s="21" t="n">
        <v>190.688</v>
      </c>
      <c r="AG41" s="21" t="n">
        <v>126.611</v>
      </c>
      <c r="AH41" s="21" t="n">
        <v>225.011</v>
      </c>
      <c r="AI41" s="21" t="n">
        <v>236.558</v>
      </c>
      <c r="AJ41" s="21" t="n">
        <v>144.135</v>
      </c>
      <c r="AK41" s="21" t="n">
        <v>233.085</v>
      </c>
      <c r="AL41" s="21" t="n">
        <v>151.21</v>
      </c>
      <c r="AM41" s="21" t="n">
        <v>248.892</v>
      </c>
      <c r="AN41" s="21" t="n">
        <v>225.83</v>
      </c>
      <c r="AO41" s="21" t="n">
        <v>147.06</v>
      </c>
      <c r="AP41" s="21" t="n">
        <v>293.509</v>
      </c>
      <c r="AQ41" s="21" t="n">
        <v>183.506</v>
      </c>
      <c r="AR41" s="21" t="n">
        <v>147.037</v>
      </c>
      <c r="AS41" s="21" t="n">
        <v>204.755</v>
      </c>
      <c r="AT41" s="21" t="n">
        <v>306.963</v>
      </c>
      <c r="AU41" s="21" t="n">
        <v>249.78</v>
      </c>
      <c r="AV41" s="21" t="n">
        <v>216.617</v>
      </c>
      <c r="AW41" s="21" t="n">
        <v>136.81</v>
      </c>
      <c r="AX41" s="21" t="n">
        <v>195.548</v>
      </c>
      <c r="AY41" s="21" t="n">
        <v>141.307</v>
      </c>
      <c r="AZ41" s="21" t="n">
        <v>230.234</v>
      </c>
      <c r="BA41" s="21" t="n">
        <v>219.48</v>
      </c>
      <c r="BB41" s="21" t="n">
        <v>146.689</v>
      </c>
      <c r="BC41" s="21" t="n">
        <v>295.556</v>
      </c>
      <c r="BD41" s="21" t="n">
        <v>342.682</v>
      </c>
      <c r="BE41" s="21" t="n">
        <v>363.346</v>
      </c>
      <c r="BF41" s="21" t="n">
        <v>340.045</v>
      </c>
      <c r="BG41" s="21" t="n">
        <v>197.638</v>
      </c>
      <c r="BH41" s="21" t="n">
        <v>265.713</v>
      </c>
      <c r="BI41" s="21" t="n">
        <v>528.193</v>
      </c>
      <c r="BJ41" s="21" t="n">
        <v>118.695</v>
      </c>
      <c r="BK41" s="21" t="n">
        <v>319.78</v>
      </c>
      <c r="BL41" s="21" t="n">
        <v>337.604</v>
      </c>
      <c r="BM41" s="21" t="n">
        <v>284.503</v>
      </c>
      <c r="BN41" s="21" t="n">
        <v>328.706</v>
      </c>
      <c r="BO41" s="21" t="n">
        <v>324.982</v>
      </c>
      <c r="BP41" s="21" t="n">
        <v>154.62</v>
      </c>
      <c r="BQ41" s="21" t="n">
        <v>158.376</v>
      </c>
      <c r="BR41" s="21" t="n">
        <v>154.558</v>
      </c>
      <c r="BS41" s="21" t="n">
        <v>166.248</v>
      </c>
      <c r="BT41" s="21" t="n">
        <v>146.768</v>
      </c>
      <c r="BU41" s="21" t="n">
        <v>198.753</v>
      </c>
      <c r="BV41" s="21" t="n">
        <v>157.42</v>
      </c>
      <c r="BW41" s="21" t="n">
        <v>166.408</v>
      </c>
      <c r="BX41" s="21" t="n">
        <v>128.647</v>
      </c>
      <c r="BY41" s="21" t="n">
        <v>161.661</v>
      </c>
      <c r="BZ41" s="21" t="n">
        <v>116.991</v>
      </c>
      <c r="CA41" s="21" t="n">
        <v>116.37</v>
      </c>
      <c r="CB41" s="21" t="n">
        <v>194.228</v>
      </c>
      <c r="CC41" s="21" t="n">
        <v>202.661</v>
      </c>
      <c r="CD41" s="21" t="n">
        <v>128.895</v>
      </c>
      <c r="CE41" s="21" t="n">
        <v>209.883</v>
      </c>
      <c r="CF41" s="21" t="n">
        <v>215.453</v>
      </c>
      <c r="CG41" s="21" t="n">
        <v>187.092</v>
      </c>
      <c r="CH41" s="21" t="n">
        <v>144.381</v>
      </c>
      <c r="CI41" s="21" t="n">
        <v>156.055</v>
      </c>
      <c r="CJ41" s="21" t="n">
        <v>228.773</v>
      </c>
      <c r="CK41" s="21" t="n">
        <v>206.804</v>
      </c>
      <c r="CL41" s="21" t="n">
        <v>246.121</v>
      </c>
      <c r="CM41" s="21" t="n">
        <v>299.051</v>
      </c>
      <c r="CN41" s="21" t="n">
        <v>127.391</v>
      </c>
      <c r="CO41" s="21" t="n">
        <v>159.652</v>
      </c>
      <c r="CP41" s="21" t="n">
        <v>224.144</v>
      </c>
      <c r="CQ41" s="21" t="n">
        <v>243.749</v>
      </c>
      <c r="CR41" s="21" t="n">
        <v>166.835</v>
      </c>
      <c r="CS41" s="21" t="n">
        <v>252.327</v>
      </c>
      <c r="CT41" s="21" t="n">
        <v>240.275</v>
      </c>
      <c r="CU41" s="21" t="n">
        <v>152.161</v>
      </c>
      <c r="CV41" s="21" t="n">
        <v>136.855</v>
      </c>
      <c r="CW41" s="21" t="n">
        <v>138.993</v>
      </c>
      <c r="CX41" s="21" t="n">
        <v>273.439</v>
      </c>
      <c r="CY41" s="21" t="n">
        <v>131.652</v>
      </c>
      <c r="CZ41" s="21" t="n">
        <v>128.031</v>
      </c>
      <c r="DA41" s="21" t="n">
        <v>274.393</v>
      </c>
      <c r="DB41" s="21" t="n">
        <v>170.071</v>
      </c>
      <c r="DC41" s="21" t="n">
        <v>176.305</v>
      </c>
      <c r="DD41" s="21" t="n">
        <v>146.001</v>
      </c>
      <c r="DE41" s="21" t="n">
        <v>192.251</v>
      </c>
      <c r="DF41" s="21" t="n">
        <v>248.526</v>
      </c>
      <c r="DG41" s="21" t="n">
        <v>201.946</v>
      </c>
      <c r="DH41" s="21" t="n">
        <v>224.769</v>
      </c>
      <c r="DI41" s="21" t="n">
        <v>191.303</v>
      </c>
      <c r="DJ41" s="21" t="n">
        <v>202.473</v>
      </c>
      <c r="DK41" s="21" t="n">
        <v>187.349</v>
      </c>
      <c r="DL41" s="21" t="n">
        <v>170.925</v>
      </c>
      <c r="DM41" s="21" t="n">
        <v>349.289</v>
      </c>
      <c r="DN41" s="21" t="n">
        <v>189.6</v>
      </c>
      <c r="DO41" s="21" t="n">
        <v>257.232</v>
      </c>
      <c r="DP41" s="21" t="n">
        <v>305.72</v>
      </c>
      <c r="DQ41" s="21" t="n">
        <v>316.96</v>
      </c>
      <c r="DR41" s="21" t="n">
        <v>161.391</v>
      </c>
      <c r="DS41" s="21" t="n">
        <v>546.273</v>
      </c>
      <c r="DT41" s="21" t="n">
        <v>330.363</v>
      </c>
      <c r="DU41" s="21" t="n">
        <v>313.169</v>
      </c>
      <c r="DV41" s="21" t="n">
        <v>313.179</v>
      </c>
      <c r="DW41" s="21" t="n">
        <v>241.403</v>
      </c>
      <c r="DX41" s="21" t="n">
        <v>201.237</v>
      </c>
      <c r="DY41" s="21" t="n">
        <v>291.357</v>
      </c>
      <c r="DZ41" s="21" t="n">
        <v>293.991</v>
      </c>
      <c r="EA41" s="21" t="n">
        <v>340.03</v>
      </c>
      <c r="EB41" s="21" t="n">
        <v>204.32</v>
      </c>
      <c r="EC41" s="21" t="n">
        <v>212.516</v>
      </c>
      <c r="ED41" s="21" t="n">
        <v>176.687</v>
      </c>
      <c r="EE41" s="21" t="n">
        <v>234.873</v>
      </c>
      <c r="EF41" s="21" t="n">
        <v>546.8920000000001</v>
      </c>
      <c r="EG41" s="21" t="n">
        <v>458.722</v>
      </c>
      <c r="EH41" s="21" t="n">
        <v>121.825</v>
      </c>
      <c r="EI41" s="21" t="n">
        <v>58.254</v>
      </c>
      <c r="EJ41" s="21" t="n">
        <v>66.175</v>
      </c>
      <c r="EK41" s="21" t="n">
        <v>44.464</v>
      </c>
      <c r="EL41" s="21" t="n">
        <v>111.418</v>
      </c>
      <c r="EM41" s="21" t="n">
        <v>68.53</v>
      </c>
      <c r="EN41" s="21" t="n">
        <v>74.982</v>
      </c>
      <c r="EO41" s="21" t="n">
        <v>80.91500000000001</v>
      </c>
      <c r="EP41" s="21" t="n">
        <v>94.18000000000001</v>
      </c>
      <c r="EQ41" s="21" t="n">
        <v>65.166</v>
      </c>
      <c r="ER41" s="21" t="n">
        <v>52.077</v>
      </c>
      <c r="ES41" s="21" t="n">
        <v>131.648</v>
      </c>
      <c r="ET41" s="21" t="n">
        <v>85.497</v>
      </c>
      <c r="EU41" s="21" t="n">
        <v>90.123</v>
      </c>
      <c r="EV41" s="21" t="n">
        <v>98.94</v>
      </c>
      <c r="EW41" s="21" t="n">
        <v>85.77</v>
      </c>
      <c r="EX41" s="21" t="n">
        <v>186.245</v>
      </c>
      <c r="EY41" s="21" t="n">
        <v>118.461</v>
      </c>
      <c r="EZ41" s="21" t="n">
        <v>118.821</v>
      </c>
      <c r="FA41" s="21" t="n">
        <v>163.15</v>
      </c>
      <c r="FB41" s="21" t="n">
        <v>127.326</v>
      </c>
      <c r="FC41" s="21" t="n">
        <v>118.883</v>
      </c>
      <c r="FD41" s="21" t="n">
        <v>121.44</v>
      </c>
      <c r="FE41" s="21" t="n">
        <v>107.946</v>
      </c>
      <c r="FF41" s="21" t="n">
        <v>152.224</v>
      </c>
      <c r="FG41" s="21" t="n">
        <v>79.98399999999999</v>
      </c>
      <c r="FH41" s="21" t="n">
        <v>118.247</v>
      </c>
      <c r="FI41" s="21" t="n">
        <v>107.091</v>
      </c>
      <c r="FJ41" s="21" t="n">
        <v>112.559</v>
      </c>
      <c r="FK41" s="21" t="n">
        <v>115.572</v>
      </c>
      <c r="FL41" s="21" t="n">
        <v>109.958</v>
      </c>
      <c r="FM41" s="21" t="n">
        <v>132.164</v>
      </c>
      <c r="FN41" s="21" t="n">
        <v>80.812</v>
      </c>
      <c r="FO41" s="21" t="n">
        <v>105.785</v>
      </c>
      <c r="FP41" s="21" t="n">
        <v>97.483</v>
      </c>
      <c r="FQ41" s="21" t="n">
        <v>137.737</v>
      </c>
      <c r="FR41" s="21" t="n">
        <v>141.355</v>
      </c>
      <c r="FS41" s="21" t="n">
        <v>155.49</v>
      </c>
      <c r="FT41" s="21" t="n">
        <v>126.929</v>
      </c>
      <c r="FU41" s="21" t="n">
        <v>120.434</v>
      </c>
      <c r="FV41" s="21" t="n">
        <v>174.987</v>
      </c>
      <c r="FW41" s="21" t="n">
        <v>138.534</v>
      </c>
      <c r="FX41" s="21" t="n">
        <v>179.686</v>
      </c>
      <c r="FY41" s="21" t="n">
        <v>209.542</v>
      </c>
      <c r="FZ41" s="21" t="n">
        <v>205.224</v>
      </c>
      <c r="GA41" s="21" t="n">
        <v>98.758</v>
      </c>
      <c r="GB41" s="21" t="n">
        <v>145.964</v>
      </c>
      <c r="GC41" s="21" t="n">
        <v>100.971</v>
      </c>
      <c r="GD41" s="21" t="n">
        <v>141.727</v>
      </c>
      <c r="GE41" s="21" t="n">
        <v>155.631</v>
      </c>
      <c r="GF41" s="21" t="n"/>
      <c r="GG41" s="21" t="n">
        <v>137.876</v>
      </c>
      <c r="GH41" s="21" t="n">
        <v>87.74299999999999</v>
      </c>
      <c r="GI41" s="21" t="n">
        <v>128.114</v>
      </c>
      <c r="GJ41" s="21" t="n">
        <v>239.868</v>
      </c>
      <c r="GK41" s="21" t="n">
        <v>238.803</v>
      </c>
      <c r="GL41" s="21" t="n">
        <v>234.047</v>
      </c>
      <c r="GM41" s="21" t="n">
        <v>255.442</v>
      </c>
      <c r="GN41" s="21" t="n">
        <v>250.302</v>
      </c>
      <c r="GO41" s="21" t="n">
        <v>221.695</v>
      </c>
      <c r="GP41" s="21" t="n">
        <v>142.847</v>
      </c>
      <c r="GQ41" s="21" t="n">
        <v>122.614</v>
      </c>
      <c r="GR41" s="21" t="n">
        <v>284.367</v>
      </c>
      <c r="GS41" s="21" t="n">
        <v>174.88</v>
      </c>
      <c r="GT41" s="21" t="n">
        <v>561.223</v>
      </c>
      <c r="GU41" s="21" t="n">
        <v>204.81</v>
      </c>
      <c r="GV41" s="21" t="n">
        <v>231.662</v>
      </c>
      <c r="GW41" s="21" t="n">
        <v>259.415</v>
      </c>
      <c r="GX41" s="21" t="n">
        <v>266.465</v>
      </c>
      <c r="GY41" s="21" t="n">
        <v>162.529</v>
      </c>
      <c r="GZ41" s="21" t="n"/>
      <c r="HA41" s="21" t="n">
        <v>67.36499999999999</v>
      </c>
      <c r="HB41" s="21" t="n">
        <v>483.577</v>
      </c>
      <c r="HC41" s="21" t="n">
        <v>380.479</v>
      </c>
      <c r="HD41" s="21" t="n">
        <v>124.672</v>
      </c>
      <c r="HE41" s="21" t="n">
        <v>526.345</v>
      </c>
      <c r="HF41" s="21" t="n">
        <v>97.22499999999999</v>
      </c>
      <c r="HG41" s="21" t="n">
        <v>516.6180000000001</v>
      </c>
      <c r="HH41" s="21" t="n">
        <v>379.225</v>
      </c>
      <c r="HI41" s="21" t="n">
        <v>381.076</v>
      </c>
      <c r="HJ41" s="21" t="n">
        <v>489.547</v>
      </c>
      <c r="HK41" s="21" t="n">
        <v>189.464</v>
      </c>
      <c r="HL41" s="21" t="n">
        <v>237.43</v>
      </c>
      <c r="HM41" s="21" t="n">
        <v>78.54300000000001</v>
      </c>
      <c r="HN41" s="21" t="n">
        <v>331.289</v>
      </c>
      <c r="HO41" s="21" t="n">
        <v>323.694</v>
      </c>
      <c r="HP41" s="21" t="n">
        <v>733.7910000000001</v>
      </c>
      <c r="HQ41" s="21" t="n">
        <v>225.727</v>
      </c>
      <c r="HR41" s="21" t="n">
        <v>118.771</v>
      </c>
      <c r="HS41" s="21" t="n">
        <v>104.003</v>
      </c>
      <c r="HT41" s="21" t="n">
        <v>197.88</v>
      </c>
      <c r="HU41" s="21" t="n">
        <v>467.656</v>
      </c>
      <c r="HV41" s="21" t="n">
        <v>121.681</v>
      </c>
      <c r="HW41" s="21" t="n">
        <v>27.088</v>
      </c>
      <c r="HX41" s="21" t="n">
        <v>171.724</v>
      </c>
      <c r="HY41" s="21" t="n">
        <v>197.607</v>
      </c>
      <c r="HZ41" s="21" t="n">
        <v>150.766</v>
      </c>
      <c r="IA41" s="21" t="n">
        <v>113.814</v>
      </c>
      <c r="IB41" s="21" t="n">
        <v>242.718</v>
      </c>
      <c r="IC41" s="21" t="n">
        <v>188.139</v>
      </c>
      <c r="ID41" s="21" t="n">
        <v>254.888</v>
      </c>
      <c r="IE41" s="21" t="n">
        <v>112.198</v>
      </c>
      <c r="IF41" s="21" t="n">
        <v>149.979</v>
      </c>
      <c r="IG41" s="21" t="n">
        <v>80.307</v>
      </c>
      <c r="IH41" s="21" t="n">
        <v>75.37</v>
      </c>
      <c r="II41" s="21" t="n">
        <v>56.329</v>
      </c>
      <c r="IJ41" s="21" t="n">
        <v>23.341</v>
      </c>
      <c r="IK41" s="21" t="n">
        <v>38.242</v>
      </c>
      <c r="IL41" s="21" t="n">
        <v>34.646</v>
      </c>
      <c r="IM41" s="21" t="n">
        <v>42.458</v>
      </c>
      <c r="IN41" s="21" t="n">
        <v>96.548</v>
      </c>
      <c r="IO41" s="21" t="n">
        <v>99.871</v>
      </c>
      <c r="IP41" s="21" t="n">
        <v>165.947</v>
      </c>
      <c r="IQ41" s="21" t="n">
        <v>137.973</v>
      </c>
      <c r="IR41" s="21" t="n">
        <v>375.696</v>
      </c>
      <c r="IS41" s="21" t="n">
        <v>180.992</v>
      </c>
      <c r="IT41" s="21" t="n">
        <v>215.476</v>
      </c>
      <c r="IU41" s="21" t="n">
        <v>310.588</v>
      </c>
      <c r="IV41" s="21" t="n">
        <v>245.985</v>
      </c>
      <c r="IW41" s="21" t="n">
        <v>136.198</v>
      </c>
      <c r="IX41" s="21" t="n">
        <v>256.694</v>
      </c>
      <c r="IY41" s="21" t="n">
        <v>691.264</v>
      </c>
      <c r="IZ41" s="21" t="n">
        <v>735.072</v>
      </c>
      <c r="JA41" s="21" t="n">
        <v>832.953</v>
      </c>
      <c r="JB41" s="21" t="n">
        <v>78.902</v>
      </c>
      <c r="JC41" s="21" t="n">
        <v>293.917</v>
      </c>
      <c r="JD41" s="21" t="n">
        <v>248.488</v>
      </c>
      <c r="JE41" s="21" t="n">
        <v>73.791</v>
      </c>
      <c r="JF41" s="21" t="n">
        <v>183.516</v>
      </c>
      <c r="JG41" s="21" t="n">
        <v>287.591</v>
      </c>
      <c r="JH41" s="21" t="n">
        <v>305.837</v>
      </c>
      <c r="JI41" s="21" t="n">
        <v>69.916</v>
      </c>
      <c r="JJ41" s="21" t="n">
        <v>110.391</v>
      </c>
      <c r="JK41" s="21" t="n">
        <v>41.424</v>
      </c>
      <c r="JL41" s="21" t="n">
        <v>74.56</v>
      </c>
      <c r="JM41" s="21" t="n">
        <v>258.389</v>
      </c>
      <c r="JN41" s="21" t="n">
        <v>442.553</v>
      </c>
      <c r="JO41" s="21" t="n">
        <v>66.642</v>
      </c>
      <c r="JP41" s="21" t="n">
        <v>432.032</v>
      </c>
      <c r="JQ41" s="21" t="n">
        <v>231.585</v>
      </c>
      <c r="JR41" s="21" t="n">
        <v>161.929</v>
      </c>
      <c r="JS41" s="21" t="n">
        <v>440.076</v>
      </c>
      <c r="JT41" s="21" t="n">
        <v>360.832</v>
      </c>
      <c r="JU41" s="21" t="n">
        <v>330.243</v>
      </c>
      <c r="JV41" s="21" t="n">
        <v>168.845</v>
      </c>
      <c r="JW41" s="21" t="n">
        <v>362.704</v>
      </c>
      <c r="JX41" s="21" t="n">
        <v>251.774</v>
      </c>
      <c r="JY41" s="21" t="n">
        <v>77.444</v>
      </c>
      <c r="JZ41" s="21" t="n">
        <v>150.093</v>
      </c>
      <c r="KA41" s="21" t="n">
        <v>239.027</v>
      </c>
      <c r="KB41" s="21" t="n">
        <v>255.363</v>
      </c>
      <c r="KC41" s="21" t="n">
        <v>249.801</v>
      </c>
      <c r="KD41" s="21" t="n">
        <v>256.63</v>
      </c>
      <c r="KE41" s="21" t="n">
        <v>231.295</v>
      </c>
      <c r="KF41" s="21" t="n">
        <v>225.551</v>
      </c>
      <c r="KG41" s="21" t="n">
        <v>229.282</v>
      </c>
      <c r="KH41" s="21" t="n">
        <v>234.905</v>
      </c>
      <c r="KI41" s="21" t="n">
        <v>120.303</v>
      </c>
      <c r="KJ41" s="21" t="n">
        <v>184.54</v>
      </c>
      <c r="KK41" s="21" t="n">
        <v>153.777</v>
      </c>
      <c r="KL41" s="21" t="n">
        <v>150.487</v>
      </c>
      <c r="KM41" s="21" t="n">
        <v>144.466</v>
      </c>
      <c r="KN41" s="21" t="n">
        <v>145.897</v>
      </c>
      <c r="KO41" s="21" t="n">
        <v>248.373</v>
      </c>
      <c r="KP41" s="21" t="n">
        <v>104.611</v>
      </c>
      <c r="KQ41" s="21" t="n">
        <v>76.297</v>
      </c>
      <c r="KR41" s="21" t="n">
        <v>108.956</v>
      </c>
      <c r="KS41" s="21" t="n">
        <v>219.165</v>
      </c>
      <c r="KT41" s="21" t="n">
        <v>244.208</v>
      </c>
      <c r="KU41" s="21" t="n">
        <v>90.075</v>
      </c>
      <c r="KV41" s="21" t="n">
        <v>55.804</v>
      </c>
      <c r="KW41" s="21" t="n">
        <v>225.451</v>
      </c>
      <c r="KX41" s="21" t="n">
        <v>201.478</v>
      </c>
      <c r="KY41" s="21" t="n">
        <v>246.392</v>
      </c>
      <c r="KZ41" s="21" t="n">
        <v>198.536</v>
      </c>
      <c r="LA41" s="21" t="n">
        <v>247.49</v>
      </c>
      <c r="LB41" s="21" t="n">
        <v>112.702</v>
      </c>
      <c r="LC41" s="21" t="n">
        <v>350.562</v>
      </c>
      <c r="LD41" s="21" t="n">
        <v>81.367</v>
      </c>
      <c r="LE41" s="21" t="n">
        <v>120.557</v>
      </c>
      <c r="LF41" s="21" t="n">
        <v>318.682</v>
      </c>
      <c r="LG41" s="21" t="n">
        <v>314.9</v>
      </c>
      <c r="LH41" s="21" t="n">
        <v>326.07</v>
      </c>
      <c r="LI41" s="21" t="n">
        <v>299.722</v>
      </c>
      <c r="LJ41" s="21" t="n">
        <v>335.116</v>
      </c>
      <c r="LK41" s="21" t="n">
        <v>103.812</v>
      </c>
      <c r="LL41" s="21" t="n">
        <v>319.913</v>
      </c>
      <c r="LM41" s="21" t="n">
        <v>217.288</v>
      </c>
      <c r="LN41" s="21" t="n">
        <v>44.415</v>
      </c>
      <c r="LO41" s="21" t="n">
        <v>124.583</v>
      </c>
    </row>
    <row r="42">
      <c r="A42" s="22" t="n">
        <v>43221</v>
      </c>
      <c r="B42" s="21" t="n">
        <v>250.792</v>
      </c>
      <c r="C42" s="21" t="n">
        <v>252.634</v>
      </c>
      <c r="D42" s="21" t="n">
        <v>252.864</v>
      </c>
      <c r="E42" s="21" t="n">
        <v>238.884</v>
      </c>
      <c r="F42" s="21" t="n">
        <v>271.759</v>
      </c>
      <c r="G42" s="21" t="n">
        <v>226.347</v>
      </c>
      <c r="H42" s="21" t="n">
        <v>239.244</v>
      </c>
      <c r="I42" s="21" t="n">
        <v>220.894</v>
      </c>
      <c r="J42" s="21" t="n">
        <v>234.344</v>
      </c>
      <c r="K42" s="21" t="n">
        <v>297.702</v>
      </c>
      <c r="L42" s="21" t="n">
        <v>180.051</v>
      </c>
      <c r="M42" s="21" t="n">
        <v>177.691</v>
      </c>
      <c r="N42" s="21" t="n">
        <v>283.254</v>
      </c>
      <c r="O42" s="21" t="n">
        <v>262.8</v>
      </c>
      <c r="P42" s="21" t="n">
        <v>263.015</v>
      </c>
      <c r="Q42" s="21" t="n">
        <v>293.756</v>
      </c>
      <c r="R42" s="21" t="n">
        <v>269.369</v>
      </c>
      <c r="S42" s="21" t="n">
        <v>248.904</v>
      </c>
      <c r="T42" s="21" t="n">
        <v>250.095</v>
      </c>
      <c r="U42" s="21" t="n">
        <v>251.519</v>
      </c>
      <c r="V42" s="21" t="n">
        <v>300.17</v>
      </c>
      <c r="W42" s="21" t="n">
        <v>267.388</v>
      </c>
      <c r="X42" s="21" t="n">
        <v>224.565</v>
      </c>
      <c r="Y42" s="21" t="n">
        <v>201.531</v>
      </c>
      <c r="Z42" s="21" t="n">
        <v>210.116</v>
      </c>
      <c r="AA42" s="21" t="n">
        <v>158.527</v>
      </c>
      <c r="AB42" s="21" t="n">
        <v>295.493</v>
      </c>
      <c r="AC42" s="21" t="n">
        <v>144.522</v>
      </c>
      <c r="AD42" s="21" t="n">
        <v>201.412</v>
      </c>
      <c r="AE42" s="21" t="n">
        <v>226.787</v>
      </c>
      <c r="AF42" s="21" t="n">
        <v>187.872</v>
      </c>
      <c r="AG42" s="21" t="n">
        <v>124.335</v>
      </c>
      <c r="AH42" s="21" t="n">
        <v>224.333</v>
      </c>
      <c r="AI42" s="21" t="n">
        <v>229.882</v>
      </c>
      <c r="AJ42" s="21" t="n">
        <v>144.598</v>
      </c>
      <c r="AK42" s="21" t="n">
        <v>232.971</v>
      </c>
      <c r="AL42" s="21" t="n">
        <v>150.688</v>
      </c>
      <c r="AM42" s="21" t="n">
        <v>250.138</v>
      </c>
      <c r="AN42" s="21" t="n">
        <v>224.074</v>
      </c>
      <c r="AO42" s="21" t="n">
        <v>147.172</v>
      </c>
      <c r="AP42" s="21" t="n">
        <v>290.549</v>
      </c>
      <c r="AQ42" s="21" t="n">
        <v>181.193</v>
      </c>
      <c r="AR42" s="21" t="n">
        <v>145.552</v>
      </c>
      <c r="AS42" s="21" t="n">
        <v>205.133</v>
      </c>
      <c r="AT42" s="21" t="n">
        <v>303.371</v>
      </c>
      <c r="AU42" s="21" t="n">
        <v>235.201</v>
      </c>
      <c r="AV42" s="21" t="n">
        <v>216.09</v>
      </c>
      <c r="AW42" s="21" t="n">
        <v>136.734</v>
      </c>
      <c r="AX42" s="21" t="n">
        <v>195.495</v>
      </c>
      <c r="AY42" s="21" t="n">
        <v>140.875</v>
      </c>
      <c r="AZ42" s="21" t="n">
        <v>229.57</v>
      </c>
      <c r="BA42" s="21" t="n">
        <v>219.199</v>
      </c>
      <c r="BB42" s="21" t="n">
        <v>146.059</v>
      </c>
      <c r="BC42" s="21" t="n">
        <v>295.196</v>
      </c>
      <c r="BD42" s="21" t="n">
        <v>342.594</v>
      </c>
      <c r="BE42" s="21" t="n">
        <v>362.92</v>
      </c>
      <c r="BF42" s="21" t="n">
        <v>335.752</v>
      </c>
      <c r="BG42" s="21" t="n">
        <v>197.286</v>
      </c>
      <c r="BH42" s="21" t="n">
        <v>266.346</v>
      </c>
      <c r="BI42" s="21" t="n">
        <v>538.189</v>
      </c>
      <c r="BJ42" s="21" t="n">
        <v>118.694</v>
      </c>
      <c r="BK42" s="21" t="n">
        <v>320.042</v>
      </c>
      <c r="BL42" s="21" t="n">
        <v>337.889</v>
      </c>
      <c r="BM42" s="21" t="n">
        <v>287.304</v>
      </c>
      <c r="BN42" s="21" t="n">
        <v>327.935</v>
      </c>
      <c r="BO42" s="21" t="n">
        <v>325.172</v>
      </c>
      <c r="BP42" s="21" t="n">
        <v>153.881</v>
      </c>
      <c r="BQ42" s="21" t="n">
        <v>158.271</v>
      </c>
      <c r="BR42" s="21" t="n">
        <v>156.136</v>
      </c>
      <c r="BS42" s="21" t="n">
        <v>165.893</v>
      </c>
      <c r="BT42" s="21" t="n">
        <v>144.888</v>
      </c>
      <c r="BU42" s="21" t="n">
        <v>196.84</v>
      </c>
      <c r="BV42" s="21" t="n">
        <v>156.405</v>
      </c>
      <c r="BW42" s="21" t="n">
        <v>166.698</v>
      </c>
      <c r="BX42" s="21" t="n">
        <v>128.738</v>
      </c>
      <c r="BY42" s="21" t="n">
        <v>162.241</v>
      </c>
      <c r="BZ42" s="21" t="n">
        <v>116.84</v>
      </c>
      <c r="CA42" s="21" t="n">
        <v>116.293</v>
      </c>
      <c r="CB42" s="21" t="n">
        <v>194.439</v>
      </c>
      <c r="CC42" s="21" t="n">
        <v>202.177</v>
      </c>
      <c r="CD42" s="21" t="n">
        <v>128.056</v>
      </c>
      <c r="CE42" s="21" t="n">
        <v>209.875</v>
      </c>
      <c r="CF42" s="21" t="n">
        <v>215.44</v>
      </c>
      <c r="CG42" s="21" t="n">
        <v>187.215</v>
      </c>
      <c r="CH42" s="21" t="n">
        <v>145.12</v>
      </c>
      <c r="CI42" s="21" t="n">
        <v>153.526</v>
      </c>
      <c r="CJ42" s="21" t="n">
        <v>227.457</v>
      </c>
      <c r="CK42" s="21" t="n">
        <v>204.065</v>
      </c>
      <c r="CL42" s="21" t="n">
        <v>242.948</v>
      </c>
      <c r="CM42" s="21" t="n">
        <v>296.261</v>
      </c>
      <c r="CN42" s="21" t="n">
        <v>127.141</v>
      </c>
      <c r="CO42" s="21" t="n">
        <v>159.534</v>
      </c>
      <c r="CP42" s="21" t="n">
        <v>224.342</v>
      </c>
      <c r="CQ42" s="21" t="n">
        <v>243.989</v>
      </c>
      <c r="CR42" s="21" t="n">
        <v>166.82</v>
      </c>
      <c r="CS42" s="21" t="n">
        <v>252.471</v>
      </c>
      <c r="CT42" s="21" t="n">
        <v>241.24</v>
      </c>
      <c r="CU42" s="21" t="n">
        <v>151.434</v>
      </c>
      <c r="CV42" s="21" t="n">
        <v>137.756</v>
      </c>
      <c r="CW42" s="21" t="n">
        <v>139.837</v>
      </c>
      <c r="CX42" s="21" t="n">
        <v>277.438</v>
      </c>
      <c r="CY42" s="21" t="n">
        <v>131.143</v>
      </c>
      <c r="CZ42" s="21" t="n">
        <v>127.114</v>
      </c>
      <c r="DA42" s="21" t="n">
        <v>275.307</v>
      </c>
      <c r="DB42" s="21" t="n">
        <v>170.705</v>
      </c>
      <c r="DC42" s="21" t="n">
        <v>177.397</v>
      </c>
      <c r="DD42" s="21" t="n">
        <v>146.348</v>
      </c>
      <c r="DE42" s="21" t="n">
        <v>192.364</v>
      </c>
      <c r="DF42" s="21" t="n">
        <v>248.18</v>
      </c>
      <c r="DG42" s="21" t="n">
        <v>201.764</v>
      </c>
      <c r="DH42" s="21" t="n">
        <v>224.757</v>
      </c>
      <c r="DI42" s="21" t="n">
        <v>191.706</v>
      </c>
      <c r="DJ42" s="21" t="n">
        <v>202.145</v>
      </c>
      <c r="DK42" s="21" t="n">
        <v>187.448</v>
      </c>
      <c r="DL42" s="21" t="n">
        <v>169.15</v>
      </c>
      <c r="DM42" s="21" t="n">
        <v>349.603</v>
      </c>
      <c r="DN42" s="21" t="n">
        <v>190.006</v>
      </c>
      <c r="DO42" s="21" t="n">
        <v>257.894</v>
      </c>
      <c r="DP42" s="21" t="n">
        <v>306.808</v>
      </c>
      <c r="DQ42" s="21" t="n">
        <v>317.766</v>
      </c>
      <c r="DR42" s="21" t="n">
        <v>166.94</v>
      </c>
      <c r="DS42" s="21" t="n">
        <v>546.97</v>
      </c>
      <c r="DT42" s="21" t="n">
        <v>343.154</v>
      </c>
      <c r="DU42" s="21" t="n">
        <v>313.968</v>
      </c>
      <c r="DV42" s="21" t="n">
        <v>313.979</v>
      </c>
      <c r="DW42" s="21" t="n">
        <v>241.807</v>
      </c>
      <c r="DX42" s="21" t="n">
        <v>201.414</v>
      </c>
      <c r="DY42" s="21" t="n">
        <v>291.823</v>
      </c>
      <c r="DZ42" s="21" t="n">
        <v>292.165</v>
      </c>
      <c r="EA42" s="21" t="n">
        <v>341.588</v>
      </c>
      <c r="EB42" s="21" t="n">
        <v>204.491</v>
      </c>
      <c r="EC42" s="21" t="n">
        <v>213.255</v>
      </c>
      <c r="ED42" s="21" t="n">
        <v>175.261</v>
      </c>
      <c r="EE42" s="21" t="n">
        <v>235.894</v>
      </c>
      <c r="EF42" s="21" t="n">
        <v>548.443</v>
      </c>
      <c r="EG42" s="21" t="n">
        <v>462.887</v>
      </c>
      <c r="EH42" s="21" t="n">
        <v>121.336</v>
      </c>
      <c r="EI42" s="21" t="n">
        <v>57.916</v>
      </c>
      <c r="EJ42" s="21" t="n">
        <v>65.56</v>
      </c>
      <c r="EK42" s="21" t="n">
        <v>44.083</v>
      </c>
      <c r="EL42" s="21" t="n">
        <v>111.132</v>
      </c>
      <c r="EM42" s="21" t="n">
        <v>67.48</v>
      </c>
      <c r="EN42" s="21" t="n">
        <v>75.267</v>
      </c>
      <c r="EO42" s="21" t="n">
        <v>82.08199999999999</v>
      </c>
      <c r="EP42" s="21" t="n">
        <v>100.191</v>
      </c>
      <c r="EQ42" s="21" t="n">
        <v>64.925</v>
      </c>
      <c r="ER42" s="21" t="n">
        <v>51.664</v>
      </c>
      <c r="ES42" s="21" t="n">
        <v>132.437</v>
      </c>
      <c r="ET42" s="21" t="n">
        <v>86.297</v>
      </c>
      <c r="EU42" s="21" t="n">
        <v>89.419</v>
      </c>
      <c r="EV42" s="21" t="n">
        <v>98.39700000000001</v>
      </c>
      <c r="EW42" s="21" t="n">
        <v>85.303</v>
      </c>
      <c r="EX42" s="21" t="n">
        <v>185.354</v>
      </c>
      <c r="EY42" s="21" t="n">
        <v>118.866</v>
      </c>
      <c r="EZ42" s="21" t="n">
        <v>117.353</v>
      </c>
      <c r="FA42" s="21" t="n">
        <v>164.673</v>
      </c>
      <c r="FB42" s="21" t="n">
        <v>127.464</v>
      </c>
      <c r="FC42" s="21" t="n">
        <v>118.215</v>
      </c>
      <c r="FD42" s="21" t="n">
        <v>120.366</v>
      </c>
      <c r="FE42" s="21" t="n">
        <v>105.335</v>
      </c>
      <c r="FF42" s="21" t="n">
        <v>153.214</v>
      </c>
      <c r="FG42" s="21" t="n">
        <v>78.90900000000001</v>
      </c>
      <c r="FH42" s="21" t="n">
        <v>118.902</v>
      </c>
      <c r="FI42" s="21" t="n">
        <v>108.419</v>
      </c>
      <c r="FJ42" s="21" t="n">
        <v>113.523</v>
      </c>
      <c r="FK42" s="21" t="n">
        <v>116.742</v>
      </c>
      <c r="FL42" s="21" t="n">
        <v>106.145</v>
      </c>
      <c r="FM42" s="21" t="n">
        <v>130.615</v>
      </c>
      <c r="FN42" s="21" t="n">
        <v>82.32299999999999</v>
      </c>
      <c r="FO42" s="21" t="n">
        <v>106.718</v>
      </c>
      <c r="FP42" s="21" t="n">
        <v>97.411</v>
      </c>
      <c r="FQ42" s="21" t="n">
        <v>137.081</v>
      </c>
      <c r="FR42" s="21" t="n">
        <v>140.561</v>
      </c>
      <c r="FS42" s="21" t="n">
        <v>154.26</v>
      </c>
      <c r="FT42" s="21" t="n">
        <v>126.318</v>
      </c>
      <c r="FU42" s="21" t="n">
        <v>121.945</v>
      </c>
      <c r="FV42" s="21" t="n">
        <v>173.697</v>
      </c>
      <c r="FW42" s="21" t="n">
        <v>136.992</v>
      </c>
      <c r="FX42" s="21" t="n">
        <v>179.416</v>
      </c>
      <c r="FY42" s="21" t="n">
        <v>210.576</v>
      </c>
      <c r="FZ42" s="21" t="n">
        <v>206.405</v>
      </c>
      <c r="GA42" s="21" t="n">
        <v>98.855</v>
      </c>
      <c r="GB42" s="21" t="n">
        <v>145.786</v>
      </c>
      <c r="GC42" s="21" t="n">
        <v>101.235</v>
      </c>
      <c r="GD42" s="21" t="n">
        <v>141.516</v>
      </c>
      <c r="GE42" s="21" t="n">
        <v>155.346</v>
      </c>
      <c r="GF42" s="21" t="n"/>
      <c r="GG42" s="21" t="n">
        <v>138.533</v>
      </c>
      <c r="GH42" s="21" t="n">
        <v>88.22499999999999</v>
      </c>
      <c r="GI42" s="21" t="n">
        <v>124.419</v>
      </c>
      <c r="GJ42" s="21" t="n">
        <v>243.501</v>
      </c>
      <c r="GK42" s="21" t="n">
        <v>242.344</v>
      </c>
      <c r="GL42" s="21" t="n">
        <v>238.205</v>
      </c>
      <c r="GM42" s="21" t="n">
        <v>258.701</v>
      </c>
      <c r="GN42" s="21" t="n">
        <v>253.333</v>
      </c>
      <c r="GO42" s="21" t="n">
        <v>231.157</v>
      </c>
      <c r="GP42" s="21" t="n">
        <v>143.655</v>
      </c>
      <c r="GQ42" s="21" t="n">
        <v>123.614</v>
      </c>
      <c r="GR42" s="21" t="n">
        <v>284.851</v>
      </c>
      <c r="GS42" s="21" t="n">
        <v>174.789</v>
      </c>
      <c r="GT42" s="21" t="n">
        <v>564.13</v>
      </c>
      <c r="GU42" s="21" t="n">
        <v>206.987</v>
      </c>
      <c r="GV42" s="21" t="n">
        <v>231.66</v>
      </c>
      <c r="GW42" s="21" t="n">
        <v>257.837</v>
      </c>
      <c r="GX42" s="21" t="n">
        <v>264.022</v>
      </c>
      <c r="GY42" s="21" t="n">
        <v>160.72</v>
      </c>
      <c r="GZ42" s="21" t="n"/>
      <c r="HA42" s="21" t="n">
        <v>66.35599999999999</v>
      </c>
      <c r="HB42" s="21" t="n">
        <v>484.543</v>
      </c>
      <c r="HC42" s="21" t="n">
        <v>383.734</v>
      </c>
      <c r="HD42" s="21" t="n">
        <v>125.672</v>
      </c>
      <c r="HE42" s="21" t="n">
        <v>531.692</v>
      </c>
      <c r="HF42" s="21" t="n">
        <v>97.206</v>
      </c>
      <c r="HG42" s="21" t="n">
        <v>516.807</v>
      </c>
      <c r="HH42" s="21" t="n">
        <v>378.625</v>
      </c>
      <c r="HI42" s="21" t="n">
        <v>381.309</v>
      </c>
      <c r="HJ42" s="21" t="n">
        <v>487.112</v>
      </c>
      <c r="HK42" s="21" t="n">
        <v>188.622</v>
      </c>
      <c r="HL42" s="21" t="n">
        <v>237.663</v>
      </c>
      <c r="HM42" s="21" t="n">
        <v>78.63500000000001</v>
      </c>
      <c r="HN42" s="21" t="n">
        <v>331.651</v>
      </c>
      <c r="HO42" s="21" t="n">
        <v>324.172</v>
      </c>
      <c r="HP42" s="21" t="n">
        <v>734.532</v>
      </c>
      <c r="HQ42" s="21" t="n">
        <v>226.721</v>
      </c>
      <c r="HR42" s="21" t="n">
        <v>118.699</v>
      </c>
      <c r="HS42" s="21" t="n">
        <v>103.949</v>
      </c>
      <c r="HT42" s="21" t="n">
        <v>194.279</v>
      </c>
      <c r="HU42" s="21" t="n">
        <v>467.791</v>
      </c>
      <c r="HV42" s="21" t="n">
        <v>121.756</v>
      </c>
      <c r="HW42" s="21" t="n">
        <v>27.273</v>
      </c>
      <c r="HX42" s="21" t="n">
        <v>172.298</v>
      </c>
      <c r="HY42" s="21" t="n">
        <v>198.119</v>
      </c>
      <c r="HZ42" s="21" t="n">
        <v>150.791</v>
      </c>
      <c r="IA42" s="21" t="n">
        <v>114.544</v>
      </c>
      <c r="IB42" s="21" t="n">
        <v>243.799</v>
      </c>
      <c r="IC42" s="21" t="n">
        <v>192.928</v>
      </c>
      <c r="ID42" s="21" t="n">
        <v>255.195</v>
      </c>
      <c r="IE42" s="21" t="n">
        <v>110.51</v>
      </c>
      <c r="IF42" s="21" t="n">
        <v>147.299</v>
      </c>
      <c r="IG42" s="21" t="n">
        <v>79.401</v>
      </c>
      <c r="IH42" s="21" t="n">
        <v>74.994</v>
      </c>
      <c r="II42" s="21" t="n">
        <v>55.356</v>
      </c>
      <c r="IJ42" s="21" t="n">
        <v>22.812</v>
      </c>
      <c r="IK42" s="21" t="n">
        <v>37.618</v>
      </c>
      <c r="IL42" s="21" t="n">
        <v>34.02</v>
      </c>
      <c r="IM42" s="21" t="n">
        <v>41.67</v>
      </c>
      <c r="IN42" s="21" t="n">
        <v>96.271</v>
      </c>
      <c r="IO42" s="21" t="n">
        <v>98.77800000000001</v>
      </c>
      <c r="IP42" s="21" t="n">
        <v>166.686</v>
      </c>
      <c r="IQ42" s="21" t="n">
        <v>138.208</v>
      </c>
      <c r="IR42" s="21" t="n">
        <v>379.124</v>
      </c>
      <c r="IS42" s="21" t="n">
        <v>182.291</v>
      </c>
      <c r="IT42" s="21" t="n">
        <v>220.101</v>
      </c>
      <c r="IU42" s="21" t="n">
        <v>309.987</v>
      </c>
      <c r="IV42" s="21" t="n">
        <v>245.296</v>
      </c>
      <c r="IW42" s="21" t="n">
        <v>136.585</v>
      </c>
      <c r="IX42" s="21" t="n">
        <v>257.475</v>
      </c>
      <c r="IY42" s="21" t="n">
        <v>711.872</v>
      </c>
      <c r="IZ42" s="21" t="n">
        <v>736.408</v>
      </c>
      <c r="JA42" s="21" t="n">
        <v>834.434</v>
      </c>
      <c r="JB42" s="21" t="n">
        <v>79.03100000000001</v>
      </c>
      <c r="JC42" s="21" t="n">
        <v>294.366</v>
      </c>
      <c r="JD42" s="21" t="n">
        <v>249.351</v>
      </c>
      <c r="JE42" s="21" t="n">
        <v>73.988</v>
      </c>
      <c r="JF42" s="21" t="n">
        <v>184.296</v>
      </c>
      <c r="JG42" s="21" t="n">
        <v>288.717</v>
      </c>
      <c r="JH42" s="21" t="n">
        <v>307.838</v>
      </c>
      <c r="JI42" s="21" t="n">
        <v>70.099</v>
      </c>
      <c r="JJ42" s="21" t="n">
        <v>110.931</v>
      </c>
      <c r="JK42" s="21" t="n">
        <v>41.37</v>
      </c>
      <c r="JL42" s="21" t="n">
        <v>75.327</v>
      </c>
      <c r="JM42" s="21" t="n">
        <v>254.174</v>
      </c>
      <c r="JN42" s="21" t="n">
        <v>442.71</v>
      </c>
      <c r="JO42" s="21" t="n">
        <v>66.818</v>
      </c>
      <c r="JP42" s="21" t="n">
        <v>433.658</v>
      </c>
      <c r="JQ42" s="21" t="n">
        <v>231.533</v>
      </c>
      <c r="JR42" s="21" t="n">
        <v>161.707</v>
      </c>
      <c r="JS42" s="21" t="n">
        <v>440.358</v>
      </c>
      <c r="JT42" s="21" t="n">
        <v>361.374</v>
      </c>
      <c r="JU42" s="21" t="n">
        <v>330.778</v>
      </c>
      <c r="JV42" s="21" t="n">
        <v>168.658</v>
      </c>
      <c r="JW42" s="21" t="n">
        <v>363.088</v>
      </c>
      <c r="JX42" s="21" t="n">
        <v>252.352</v>
      </c>
      <c r="JY42" s="21" t="n">
        <v>76.91500000000001</v>
      </c>
      <c r="JZ42" s="21" t="n">
        <v>150.599</v>
      </c>
      <c r="KA42" s="21" t="n">
        <v>239.573</v>
      </c>
      <c r="KB42" s="21" t="n">
        <v>255.802</v>
      </c>
      <c r="KC42" s="21" t="n">
        <v>250.452</v>
      </c>
      <c r="KD42" s="21" t="n">
        <v>257.145</v>
      </c>
      <c r="KE42" s="21" t="n">
        <v>231.671</v>
      </c>
      <c r="KF42" s="21" t="n">
        <v>226.008</v>
      </c>
      <c r="KG42" s="21" t="n">
        <v>229.491</v>
      </c>
      <c r="KH42" s="21" t="n">
        <v>235.07</v>
      </c>
      <c r="KI42" s="21" t="n">
        <v>120.629</v>
      </c>
      <c r="KJ42" s="21" t="n">
        <v>184.836</v>
      </c>
      <c r="KK42" s="21" t="n">
        <v>154.159</v>
      </c>
      <c r="KL42" s="21" t="n">
        <v>150.886</v>
      </c>
      <c r="KM42" s="21" t="n">
        <v>144.435</v>
      </c>
      <c r="KN42" s="21" t="n">
        <v>145.767</v>
      </c>
      <c r="KO42" s="21" t="n">
        <v>247.546</v>
      </c>
      <c r="KP42" s="21" t="n">
        <v>104.197</v>
      </c>
      <c r="KQ42" s="21" t="n">
        <v>76.55200000000001</v>
      </c>
      <c r="KR42" s="21" t="n">
        <v>109.26</v>
      </c>
      <c r="KS42" s="21" t="n">
        <v>221.045</v>
      </c>
      <c r="KT42" s="21" t="n">
        <v>247.764</v>
      </c>
      <c r="KU42" s="21" t="n">
        <v>89.59699999999999</v>
      </c>
      <c r="KV42" s="21" t="n">
        <v>55.537</v>
      </c>
      <c r="KW42" s="21" t="n">
        <v>226.601</v>
      </c>
      <c r="KX42" s="21" t="n">
        <v>203.407</v>
      </c>
      <c r="KY42" s="21" t="n">
        <v>249.272</v>
      </c>
      <c r="KZ42" s="21" t="n">
        <v>200.581</v>
      </c>
      <c r="LA42" s="21" t="n">
        <v>250.659</v>
      </c>
      <c r="LB42" s="21" t="n">
        <v>112.648</v>
      </c>
      <c r="LC42" s="21" t="n">
        <v>351.477</v>
      </c>
      <c r="LD42" s="21" t="n">
        <v>80.71599999999999</v>
      </c>
      <c r="LE42" s="21" t="n">
        <v>120.912</v>
      </c>
      <c r="LF42" s="21" t="n">
        <v>319.821</v>
      </c>
      <c r="LG42" s="21" t="n">
        <v>315.763</v>
      </c>
      <c r="LH42" s="21" t="n">
        <v>326.999</v>
      </c>
      <c r="LI42" s="21" t="n">
        <v>300.57</v>
      </c>
      <c r="LJ42" s="21" t="n">
        <v>335.742</v>
      </c>
      <c r="LK42" s="21" t="n">
        <v>103.953</v>
      </c>
      <c r="LL42" s="21" t="n">
        <v>320.44</v>
      </c>
      <c r="LM42" s="21" t="n">
        <v>217.124</v>
      </c>
      <c r="LN42" s="21" t="n">
        <v>44.016</v>
      </c>
      <c r="LO42" s="21" t="n">
        <v>124.679</v>
      </c>
    </row>
    <row r="43">
      <c r="A43" s="22" t="n">
        <v>43252</v>
      </c>
      <c r="B43" s="21" t="n">
        <v>251.018</v>
      </c>
      <c r="C43" s="21" t="n">
        <v>252.968</v>
      </c>
      <c r="D43" s="21" t="n">
        <v>253.167</v>
      </c>
      <c r="E43" s="21" t="n">
        <v>239.048</v>
      </c>
      <c r="F43" s="21" t="n">
        <v>273.068</v>
      </c>
      <c r="G43" s="21" t="n">
        <v>226.435</v>
      </c>
      <c r="H43" s="21" t="n">
        <v>239.031</v>
      </c>
      <c r="I43" s="21" t="n">
        <v>220.467</v>
      </c>
      <c r="J43" s="21" t="n">
        <v>236.544</v>
      </c>
      <c r="K43" s="21" t="n">
        <v>300.096</v>
      </c>
      <c r="L43" s="21" t="n">
        <v>179.518</v>
      </c>
      <c r="M43" s="21" t="n">
        <v>178.974</v>
      </c>
      <c r="N43" s="21" t="n">
        <v>289.073</v>
      </c>
      <c r="O43" s="21" t="n">
        <v>272.457</v>
      </c>
      <c r="P43" s="21" t="n">
        <v>264.812</v>
      </c>
      <c r="Q43" s="21" t="n">
        <v>300.638</v>
      </c>
      <c r="R43" s="21" t="n">
        <v>270.768</v>
      </c>
      <c r="S43" s="21" t="n">
        <v>247.391</v>
      </c>
      <c r="T43" s="21" t="n">
        <v>249.662</v>
      </c>
      <c r="U43" s="21" t="n">
        <v>250.319</v>
      </c>
      <c r="V43" s="21" t="n">
        <v>301.45</v>
      </c>
      <c r="W43" s="21" t="n">
        <v>268.361</v>
      </c>
      <c r="X43" s="21" t="n">
        <v>226.258</v>
      </c>
      <c r="Y43" s="21" t="n">
        <v>202.407</v>
      </c>
      <c r="Z43" s="21" t="n">
        <v>208.183</v>
      </c>
      <c r="AA43" s="21" t="n">
        <v>156.281</v>
      </c>
      <c r="AB43" s="21" t="n">
        <v>290.677</v>
      </c>
      <c r="AC43" s="21" t="n">
        <v>143.127</v>
      </c>
      <c r="AD43" s="21" t="n">
        <v>202.621</v>
      </c>
      <c r="AE43" s="21" t="n">
        <v>227.244</v>
      </c>
      <c r="AF43" s="21" t="n">
        <v>188.679</v>
      </c>
      <c r="AG43" s="21" t="n">
        <v>122.624</v>
      </c>
      <c r="AH43" s="21" t="n">
        <v>220.694</v>
      </c>
      <c r="AI43" s="21" t="n">
        <v>225.198</v>
      </c>
      <c r="AJ43" s="21" t="n">
        <v>141.845</v>
      </c>
      <c r="AK43" s="21" t="n">
        <v>233.324</v>
      </c>
      <c r="AL43" s="21" t="n">
        <v>150.834</v>
      </c>
      <c r="AM43" s="21" t="n">
        <v>250.164</v>
      </c>
      <c r="AN43" s="21" t="n">
        <v>224.737</v>
      </c>
      <c r="AO43" s="21" t="n">
        <v>147.223</v>
      </c>
      <c r="AP43" s="21" t="n">
        <v>292.207</v>
      </c>
      <c r="AQ43" s="21" t="n">
        <v>183.721</v>
      </c>
      <c r="AR43" s="21" t="n">
        <v>145.553</v>
      </c>
      <c r="AS43" s="21" t="n">
        <v>206.982</v>
      </c>
      <c r="AT43" s="21" t="n">
        <v>301.893</v>
      </c>
      <c r="AU43" s="21" t="n">
        <v>218.292</v>
      </c>
      <c r="AV43" s="21" t="n">
        <v>216.869</v>
      </c>
      <c r="AW43" s="21" t="n">
        <v>137.507</v>
      </c>
      <c r="AX43" s="21" t="n">
        <v>195.819</v>
      </c>
      <c r="AY43" s="21" t="n">
        <v>141.993</v>
      </c>
      <c r="AZ43" s="21" t="n">
        <v>230.961</v>
      </c>
      <c r="BA43" s="21" t="n">
        <v>220.471</v>
      </c>
      <c r="BB43" s="21" t="n">
        <v>145.714</v>
      </c>
      <c r="BC43" s="21" t="n">
        <v>296.877</v>
      </c>
      <c r="BD43" s="21" t="n">
        <v>345.178</v>
      </c>
      <c r="BE43" s="21" t="n">
        <v>367.076</v>
      </c>
      <c r="BF43" s="21" t="n">
        <v>329.449</v>
      </c>
      <c r="BG43" s="21" t="n">
        <v>196.475</v>
      </c>
      <c r="BH43" s="21" t="n">
        <v>265.478</v>
      </c>
      <c r="BI43" s="21" t="n">
        <v>537.796</v>
      </c>
      <c r="BJ43" s="21" t="n">
        <v>121.502</v>
      </c>
      <c r="BK43" s="21" t="n">
        <v>320.985</v>
      </c>
      <c r="BL43" s="21" t="n">
        <v>341.657</v>
      </c>
      <c r="BM43" s="21" t="n">
        <v>283.153</v>
      </c>
      <c r="BN43" s="21" t="n">
        <v>333.636</v>
      </c>
      <c r="BO43" s="21" t="n">
        <v>324.9</v>
      </c>
      <c r="BP43" s="21" t="n">
        <v>153.694</v>
      </c>
      <c r="BQ43" s="21" t="n">
        <v>158.142</v>
      </c>
      <c r="BR43" s="21" t="n">
        <v>154.563</v>
      </c>
      <c r="BS43" s="21" t="n">
        <v>166.089</v>
      </c>
      <c r="BT43" s="21" t="n">
        <v>143.871</v>
      </c>
      <c r="BU43" s="21" t="n">
        <v>195.82</v>
      </c>
      <c r="BV43" s="21" t="n">
        <v>156.61</v>
      </c>
      <c r="BW43" s="21" t="n">
        <v>166.975</v>
      </c>
      <c r="BX43" s="21" t="n">
        <v>129.342</v>
      </c>
      <c r="BY43" s="21" t="n">
        <v>163.132</v>
      </c>
      <c r="BZ43" s="21" t="n">
        <v>117.307</v>
      </c>
      <c r="CA43" s="21" t="n">
        <v>115.998</v>
      </c>
      <c r="CB43" s="21" t="n">
        <v>193.63</v>
      </c>
      <c r="CC43" s="21" t="n">
        <v>201.739</v>
      </c>
      <c r="CD43" s="21" t="n">
        <v>126.808</v>
      </c>
      <c r="CE43" s="21" t="n">
        <v>209.747</v>
      </c>
      <c r="CF43" s="21" t="n">
        <v>215.968</v>
      </c>
      <c r="CG43" s="21" t="n">
        <v>188.027</v>
      </c>
      <c r="CH43" s="21" t="n">
        <v>145.132</v>
      </c>
      <c r="CI43" s="21" t="n">
        <v>154.51</v>
      </c>
      <c r="CJ43" s="21" t="n">
        <v>227.115</v>
      </c>
      <c r="CK43" s="21" t="n">
        <v>204.808</v>
      </c>
      <c r="CL43" s="21" t="n">
        <v>244.818</v>
      </c>
      <c r="CM43" s="21" t="n">
        <v>295.4</v>
      </c>
      <c r="CN43" s="21" t="n">
        <v>126.596</v>
      </c>
      <c r="CO43" s="21" t="n">
        <v>159.212</v>
      </c>
      <c r="CP43" s="21" t="n">
        <v>224.095</v>
      </c>
      <c r="CQ43" s="21" t="n">
        <v>244.359</v>
      </c>
      <c r="CR43" s="21" t="n">
        <v>166.829</v>
      </c>
      <c r="CS43" s="21" t="n">
        <v>251.92</v>
      </c>
      <c r="CT43" s="21" t="n">
        <v>241.449</v>
      </c>
      <c r="CU43" s="21" t="n">
        <v>153.679</v>
      </c>
      <c r="CV43" s="21" t="n">
        <v>140.908</v>
      </c>
      <c r="CW43" s="21" t="n">
        <v>139.254</v>
      </c>
      <c r="CX43" s="21" t="n">
        <v>277.433</v>
      </c>
      <c r="CY43" s="21" t="n">
        <v>130.712</v>
      </c>
      <c r="CZ43" s="21" t="n">
        <v>127.396</v>
      </c>
      <c r="DA43" s="21" t="n">
        <v>275.808</v>
      </c>
      <c r="DB43" s="21" t="n">
        <v>170.934</v>
      </c>
      <c r="DC43" s="21" t="n">
        <v>177.593</v>
      </c>
      <c r="DD43" s="21" t="n">
        <v>146.523</v>
      </c>
      <c r="DE43" s="21" t="n">
        <v>192.373</v>
      </c>
      <c r="DF43" s="21" t="n">
        <v>248.937</v>
      </c>
      <c r="DG43" s="21" t="n">
        <v>202.285</v>
      </c>
      <c r="DH43" s="21" t="n">
        <v>225.682</v>
      </c>
      <c r="DI43" s="21" t="n">
        <v>190.929</v>
      </c>
      <c r="DJ43" s="21" t="n">
        <v>203.703</v>
      </c>
      <c r="DK43" s="21" t="n">
        <v>185.85</v>
      </c>
      <c r="DL43" s="21" t="n">
        <v>169.763</v>
      </c>
      <c r="DM43" s="21" t="n">
        <v>350.833</v>
      </c>
      <c r="DN43" s="21" t="n">
        <v>190.272</v>
      </c>
      <c r="DO43" s="21" t="n">
        <v>258.004</v>
      </c>
      <c r="DP43" s="21" t="n">
        <v>307.183</v>
      </c>
      <c r="DQ43" s="21" t="n">
        <v>318.607</v>
      </c>
      <c r="DR43" s="21" t="n">
        <v>161.277</v>
      </c>
      <c r="DS43" s="21" t="n">
        <v>547.933</v>
      </c>
      <c r="DT43" s="21" t="n">
        <v>329.966</v>
      </c>
      <c r="DU43" s="21" t="n">
        <v>314.67</v>
      </c>
      <c r="DV43" s="21" t="n">
        <v>314.681</v>
      </c>
      <c r="DW43" s="21" t="n">
        <v>241.021</v>
      </c>
      <c r="DX43" s="21" t="n">
        <v>200.375</v>
      </c>
      <c r="DY43" s="21" t="n">
        <v>292.436</v>
      </c>
      <c r="DZ43" s="21" t="n">
        <v>293.685</v>
      </c>
      <c r="EA43" s="21" t="n">
        <v>341.919</v>
      </c>
      <c r="EB43" s="21" t="n">
        <v>203.353</v>
      </c>
      <c r="EC43" s="21" t="n">
        <v>212.666</v>
      </c>
      <c r="ED43" s="21" t="n">
        <v>172.608</v>
      </c>
      <c r="EE43" s="21" t="n">
        <v>236.642</v>
      </c>
      <c r="EF43" s="21" t="n">
        <v>549.918</v>
      </c>
      <c r="EG43" s="21" t="n">
        <v>465.041</v>
      </c>
      <c r="EH43" s="21" t="n">
        <v>121.135</v>
      </c>
      <c r="EI43" s="21" t="n">
        <v>57.783</v>
      </c>
      <c r="EJ43" s="21" t="n">
        <v>64.20999999999999</v>
      </c>
      <c r="EK43" s="21" t="n">
        <v>44.196</v>
      </c>
      <c r="EL43" s="21" t="n">
        <v>111.262</v>
      </c>
      <c r="EM43" s="21" t="n">
        <v>67.437</v>
      </c>
      <c r="EN43" s="21" t="n">
        <v>75.221</v>
      </c>
      <c r="EO43" s="21" t="n">
        <v>82.435</v>
      </c>
      <c r="EP43" s="21" t="n">
        <v>102.001</v>
      </c>
      <c r="EQ43" s="21" t="n">
        <v>65.166</v>
      </c>
      <c r="ER43" s="21" t="n">
        <v>51.079</v>
      </c>
      <c r="ES43" s="21" t="n">
        <v>130.333</v>
      </c>
      <c r="ET43" s="21" t="n">
        <v>83.851</v>
      </c>
      <c r="EU43" s="21" t="n">
        <v>89.34699999999999</v>
      </c>
      <c r="EV43" s="21" t="n">
        <v>98.392</v>
      </c>
      <c r="EW43" s="21" t="n">
        <v>85.00700000000001</v>
      </c>
      <c r="EX43" s="21" t="n">
        <v>185.988</v>
      </c>
      <c r="EY43" s="21" t="n">
        <v>119.264</v>
      </c>
      <c r="EZ43" s="21" t="n">
        <v>118.05</v>
      </c>
      <c r="FA43" s="21" t="n">
        <v>166.135</v>
      </c>
      <c r="FB43" s="21" t="n">
        <v>126.384</v>
      </c>
      <c r="FC43" s="21" t="n">
        <v>118.02</v>
      </c>
      <c r="FD43" s="21" t="n">
        <v>120.392</v>
      </c>
      <c r="FE43" s="21" t="n">
        <v>104.149</v>
      </c>
      <c r="FF43" s="21" t="n">
        <v>153.043</v>
      </c>
      <c r="FG43" s="21" t="n">
        <v>78.62</v>
      </c>
      <c r="FH43" s="21" t="n">
        <v>118.819</v>
      </c>
      <c r="FI43" s="21" t="n">
        <v>106.518</v>
      </c>
      <c r="FJ43" s="21" t="n">
        <v>111.752</v>
      </c>
      <c r="FK43" s="21" t="n">
        <v>115.199</v>
      </c>
      <c r="FL43" s="21" t="n">
        <v>104.14</v>
      </c>
      <c r="FM43" s="21" t="n">
        <v>127.303</v>
      </c>
      <c r="FN43" s="21" t="n">
        <v>81.608</v>
      </c>
      <c r="FO43" s="21" t="n">
        <v>104.5</v>
      </c>
      <c r="FP43" s="21" t="n">
        <v>94.485</v>
      </c>
      <c r="FQ43" s="21" t="n">
        <v>136.786</v>
      </c>
      <c r="FR43" s="21" t="n">
        <v>137.608</v>
      </c>
      <c r="FS43" s="21" t="n">
        <v>152.126</v>
      </c>
      <c r="FT43" s="21" t="n">
        <v>126.171</v>
      </c>
      <c r="FU43" s="21" t="n">
        <v>122.475</v>
      </c>
      <c r="FV43" s="21" t="n">
        <v>170.879</v>
      </c>
      <c r="FW43" s="21" t="n">
        <v>134.969</v>
      </c>
      <c r="FX43" s="21" t="n">
        <v>174.594</v>
      </c>
      <c r="FY43" s="21" t="n">
        <v>210.83</v>
      </c>
      <c r="FZ43" s="21" t="n">
        <v>206.713</v>
      </c>
      <c r="GA43" s="21" t="n">
        <v>98.84</v>
      </c>
      <c r="GB43" s="21" t="n">
        <v>145.769</v>
      </c>
      <c r="GC43" s="21" t="n">
        <v>101.458</v>
      </c>
      <c r="GD43" s="21" t="n">
        <v>141.158</v>
      </c>
      <c r="GE43" s="21" t="n">
        <v>155.386</v>
      </c>
      <c r="GF43" s="21" t="n"/>
      <c r="GG43" s="21" t="n">
        <v>137.952</v>
      </c>
      <c r="GH43" s="21" t="n">
        <v>89.61199999999999</v>
      </c>
      <c r="GI43" s="21" t="n">
        <v>123.192</v>
      </c>
      <c r="GJ43" s="21" t="n">
        <v>244.36</v>
      </c>
      <c r="GK43" s="21" t="n">
        <v>243.105</v>
      </c>
      <c r="GL43" s="21" t="n">
        <v>239.61</v>
      </c>
      <c r="GM43" s="21" t="n">
        <v>262.145</v>
      </c>
      <c r="GN43" s="21" t="n">
        <v>256.127</v>
      </c>
      <c r="GO43" s="21" t="n">
        <v>235.16</v>
      </c>
      <c r="GP43" s="21" t="n">
        <v>143.813</v>
      </c>
      <c r="GQ43" s="21" t="n">
        <v>122.717</v>
      </c>
      <c r="GR43" s="21" t="n">
        <v>285.753</v>
      </c>
      <c r="GS43" s="21" t="n">
        <v>175.367</v>
      </c>
      <c r="GT43" s="21" t="n">
        <v>565.864</v>
      </c>
      <c r="GU43" s="21" t="n">
        <v>205.461</v>
      </c>
      <c r="GV43" s="21" t="n">
        <v>232.257</v>
      </c>
      <c r="GW43" s="21" t="n">
        <v>257.129</v>
      </c>
      <c r="GX43" s="21" t="n">
        <v>263.344</v>
      </c>
      <c r="GY43" s="21" t="n">
        <v>160.463</v>
      </c>
      <c r="GZ43" s="21" t="n"/>
      <c r="HA43" s="21" t="n">
        <v>66.07299999999999</v>
      </c>
      <c r="HB43" s="21" t="n">
        <v>486.209</v>
      </c>
      <c r="HC43" s="21" t="n">
        <v>385.121</v>
      </c>
      <c r="HD43" s="21" t="n">
        <v>126.141</v>
      </c>
      <c r="HE43" s="21" t="n">
        <v>533.72</v>
      </c>
      <c r="HF43" s="21" t="n">
        <v>97.536</v>
      </c>
      <c r="HG43" s="21" t="n">
        <v>518.561</v>
      </c>
      <c r="HH43" s="21" t="n">
        <v>378.776</v>
      </c>
      <c r="HI43" s="21" t="n">
        <v>380.991</v>
      </c>
      <c r="HJ43" s="21" t="n">
        <v>487.172</v>
      </c>
      <c r="HK43" s="21" t="n">
        <v>189.047</v>
      </c>
      <c r="HL43" s="21" t="n">
        <v>237.826</v>
      </c>
      <c r="HM43" s="21" t="n">
        <v>79.014</v>
      </c>
      <c r="HN43" s="21" t="n">
        <v>333.408</v>
      </c>
      <c r="HO43" s="21" t="n">
        <v>325.821</v>
      </c>
      <c r="HP43" s="21" t="n">
        <v>738.403</v>
      </c>
      <c r="HQ43" s="21" t="n">
        <v>227.166</v>
      </c>
      <c r="HR43" s="21" t="n">
        <v>119.044</v>
      </c>
      <c r="HS43" s="21" t="n">
        <v>103.84</v>
      </c>
      <c r="HT43" s="21" t="n">
        <v>192.235</v>
      </c>
      <c r="HU43" s="21" t="n">
        <v>468.134</v>
      </c>
      <c r="HV43" s="21" t="n">
        <v>121.544</v>
      </c>
      <c r="HW43" s="21" t="n">
        <v>26.911</v>
      </c>
      <c r="HX43" s="21" t="n">
        <v>172.625</v>
      </c>
      <c r="HY43" s="21" t="n">
        <v>198.323</v>
      </c>
      <c r="HZ43" s="21" t="n">
        <v>150.988</v>
      </c>
      <c r="IA43" s="21" t="n">
        <v>114.779</v>
      </c>
      <c r="IB43" s="21" t="n">
        <v>244.569</v>
      </c>
      <c r="IC43" s="21" t="n">
        <v>193.052</v>
      </c>
      <c r="ID43" s="21" t="n">
        <v>256.106</v>
      </c>
      <c r="IE43" s="21" t="n">
        <v>110.969</v>
      </c>
      <c r="IF43" s="21" t="n">
        <v>148.332</v>
      </c>
      <c r="IG43" s="21" t="n">
        <v>79.435</v>
      </c>
      <c r="IH43" s="21" t="n">
        <v>73.09399999999999</v>
      </c>
      <c r="II43" s="21" t="n">
        <v>52.243</v>
      </c>
      <c r="IJ43" s="21" t="n">
        <v>21.869</v>
      </c>
      <c r="IK43" s="21" t="n">
        <v>37.403</v>
      </c>
      <c r="IL43" s="21" t="n">
        <v>33.729</v>
      </c>
      <c r="IM43" s="21" t="n">
        <v>41.326</v>
      </c>
      <c r="IN43" s="21" t="n">
        <v>98.02500000000001</v>
      </c>
      <c r="IO43" s="21" t="n">
        <v>98.925</v>
      </c>
      <c r="IP43" s="21" t="n">
        <v>168.395</v>
      </c>
      <c r="IQ43" s="21" t="n">
        <v>138.376</v>
      </c>
      <c r="IR43" s="21" t="n">
        <v>388.199</v>
      </c>
      <c r="IS43" s="21" t="n">
        <v>184.203</v>
      </c>
      <c r="IT43" s="21" t="n">
        <v>226.385</v>
      </c>
      <c r="IU43" s="21" t="n">
        <v>309.693</v>
      </c>
      <c r="IV43" s="21" t="n">
        <v>244.829</v>
      </c>
      <c r="IW43" s="21" t="n">
        <v>136.844</v>
      </c>
      <c r="IX43" s="21" t="n">
        <v>257.971</v>
      </c>
      <c r="IY43" s="21" t="n">
        <v>701.303</v>
      </c>
      <c r="IZ43" s="21" t="n">
        <v>738.409</v>
      </c>
      <c r="JA43" s="21" t="n">
        <v>836.977</v>
      </c>
      <c r="JB43" s="21" t="n">
        <v>79.316</v>
      </c>
      <c r="JC43" s="21" t="n">
        <v>294.981</v>
      </c>
      <c r="JD43" s="21" t="n">
        <v>249.813</v>
      </c>
      <c r="JE43" s="21" t="n">
        <v>74.127</v>
      </c>
      <c r="JF43" s="21" t="n">
        <v>184.872</v>
      </c>
      <c r="JG43" s="21" t="n">
        <v>289.58</v>
      </c>
      <c r="JH43" s="21" t="n">
        <v>309.092</v>
      </c>
      <c r="JI43" s="21" t="n">
        <v>70.22799999999999</v>
      </c>
      <c r="JJ43" s="21" t="n">
        <v>111.422</v>
      </c>
      <c r="JK43" s="21" t="n">
        <v>40.986</v>
      </c>
      <c r="JL43" s="21" t="n">
        <v>76.169</v>
      </c>
      <c r="JM43" s="21" t="n">
        <v>252.752</v>
      </c>
      <c r="JN43" s="21" t="n">
        <v>442.851</v>
      </c>
      <c r="JO43" s="21" t="n">
        <v>66.843</v>
      </c>
      <c r="JP43" s="21" t="n">
        <v>433.516</v>
      </c>
      <c r="JQ43" s="21" t="n">
        <v>231.603</v>
      </c>
      <c r="JR43" s="21" t="n">
        <v>161.122</v>
      </c>
      <c r="JS43" s="21" t="n">
        <v>440.634</v>
      </c>
      <c r="JT43" s="21" t="n">
        <v>361.374</v>
      </c>
      <c r="JU43" s="21" t="n">
        <v>331.503</v>
      </c>
      <c r="JV43" s="21" t="n">
        <v>169.145</v>
      </c>
      <c r="JW43" s="21" t="n">
        <v>362.303</v>
      </c>
      <c r="JX43" s="21" t="n">
        <v>252.923</v>
      </c>
      <c r="JY43" s="21" t="n">
        <v>76.142</v>
      </c>
      <c r="JZ43" s="21" t="n">
        <v>151.194</v>
      </c>
      <c r="KA43" s="21" t="n">
        <v>239.731</v>
      </c>
      <c r="KB43" s="21" t="n">
        <v>256.063</v>
      </c>
      <c r="KC43" s="21" t="n">
        <v>250.666</v>
      </c>
      <c r="KD43" s="21" t="n">
        <v>257.399</v>
      </c>
      <c r="KE43" s="21" t="n">
        <v>231.843</v>
      </c>
      <c r="KF43" s="21" t="n">
        <v>226.152</v>
      </c>
      <c r="KG43" s="21" t="n">
        <v>229.678</v>
      </c>
      <c r="KH43" s="21" t="n">
        <v>235.326</v>
      </c>
      <c r="KI43" s="21" t="n">
        <v>119.396</v>
      </c>
      <c r="KJ43" s="21" t="n">
        <v>184.778</v>
      </c>
      <c r="KK43" s="21" t="n">
        <v>153.983</v>
      </c>
      <c r="KL43" s="21" t="n">
        <v>150.688</v>
      </c>
      <c r="KM43" s="21" t="n">
        <v>144.12</v>
      </c>
      <c r="KN43" s="21" t="n">
        <v>145.488</v>
      </c>
      <c r="KO43" s="21" t="n">
        <v>247.343</v>
      </c>
      <c r="KP43" s="21" t="n">
        <v>104.002</v>
      </c>
      <c r="KQ43" s="21" t="n">
        <v>75.81999999999999</v>
      </c>
      <c r="KR43" s="21" t="n">
        <v>109.583</v>
      </c>
      <c r="KS43" s="21" t="n">
        <v>220.947</v>
      </c>
      <c r="KT43" s="21" t="n">
        <v>248.623</v>
      </c>
      <c r="KU43" s="21" t="n">
        <v>89.375</v>
      </c>
      <c r="KV43" s="21" t="n">
        <v>55.099</v>
      </c>
      <c r="KW43" s="21" t="n">
        <v>226.618</v>
      </c>
      <c r="KX43" s="21" t="n">
        <v>204.005</v>
      </c>
      <c r="KY43" s="21" t="n">
        <v>250.662</v>
      </c>
      <c r="KZ43" s="21" t="n">
        <v>201.181</v>
      </c>
      <c r="LA43" s="21" t="n">
        <v>252.144</v>
      </c>
      <c r="LB43" s="21" t="n">
        <v>112.326</v>
      </c>
      <c r="LC43" s="21" t="n">
        <v>352.792</v>
      </c>
      <c r="LD43" s="21" t="n">
        <v>80.571</v>
      </c>
      <c r="LE43" s="21" t="n">
        <v>121.535</v>
      </c>
      <c r="LF43" s="21" t="n">
        <v>320.228</v>
      </c>
      <c r="LG43" s="21" t="n">
        <v>316.311</v>
      </c>
      <c r="LH43" s="21" t="n">
        <v>327.704</v>
      </c>
      <c r="LI43" s="21" t="n">
        <v>300.977</v>
      </c>
      <c r="LJ43" s="21" t="n">
        <v>336.394</v>
      </c>
      <c r="LK43" s="21" t="n">
        <v>103.802</v>
      </c>
      <c r="LL43" s="21" t="n">
        <v>321.236</v>
      </c>
      <c r="LM43" s="21" t="n">
        <v>216.441</v>
      </c>
      <c r="LN43" s="21" t="n">
        <v>43.679</v>
      </c>
      <c r="LO43" s="21" t="n">
        <v>124.674</v>
      </c>
    </row>
    <row r="44">
      <c r="A44" s="22" t="n">
        <v>43282</v>
      </c>
      <c r="B44" s="21" t="n">
        <v>251.214</v>
      </c>
      <c r="C44" s="21" t="n">
        <v>253.365</v>
      </c>
      <c r="D44" s="21" t="n">
        <v>253.598</v>
      </c>
      <c r="E44" s="21" t="n">
        <v>239.565</v>
      </c>
      <c r="F44" s="21" t="n">
        <v>272.584</v>
      </c>
      <c r="G44" s="21" t="n">
        <v>226.033</v>
      </c>
      <c r="H44" s="21" t="n">
        <v>237.385</v>
      </c>
      <c r="I44" s="21" t="n">
        <v>219.668</v>
      </c>
      <c r="J44" s="21" t="n">
        <v>237.337</v>
      </c>
      <c r="K44" s="21" t="n">
        <v>299.324</v>
      </c>
      <c r="L44" s="21" t="n">
        <v>179.434</v>
      </c>
      <c r="M44" s="21" t="n">
        <v>178.829</v>
      </c>
      <c r="N44" s="21" t="n">
        <v>286.409</v>
      </c>
      <c r="O44" s="21" t="n">
        <v>267.895</v>
      </c>
      <c r="P44" s="21" t="n">
        <v>264.35</v>
      </c>
      <c r="Q44" s="21" t="n">
        <v>301.426</v>
      </c>
      <c r="R44" s="21" t="n">
        <v>267.334</v>
      </c>
      <c r="S44" s="21" t="n">
        <v>248.533</v>
      </c>
      <c r="T44" s="21" t="n">
        <v>250.5</v>
      </c>
      <c r="U44" s="21" t="n">
        <v>251.007</v>
      </c>
      <c r="V44" s="21" t="n">
        <v>303.141</v>
      </c>
      <c r="W44" s="21" t="n">
        <v>269.184</v>
      </c>
      <c r="X44" s="21" t="n">
        <v>229.564</v>
      </c>
      <c r="Y44" s="21" t="n">
        <v>203.729</v>
      </c>
      <c r="Z44" s="21" t="n">
        <v>207.548</v>
      </c>
      <c r="AA44" s="21" t="n">
        <v>157.559</v>
      </c>
      <c r="AB44" s="21" t="n">
        <v>293.469</v>
      </c>
      <c r="AC44" s="21" t="n">
        <v>144.172</v>
      </c>
      <c r="AD44" s="21" t="n">
        <v>200.037</v>
      </c>
      <c r="AE44" s="21" t="n">
        <v>225.312</v>
      </c>
      <c r="AF44" s="21" t="n">
        <v>187.005</v>
      </c>
      <c r="AG44" s="21" t="n">
        <v>123.26</v>
      </c>
      <c r="AH44" s="21" t="n">
        <v>221.783</v>
      </c>
      <c r="AI44" s="21" t="n">
        <v>225.704</v>
      </c>
      <c r="AJ44" s="21" t="n">
        <v>143.189</v>
      </c>
      <c r="AK44" s="21" t="n">
        <v>234.658</v>
      </c>
      <c r="AL44" s="21" t="n">
        <v>151.928</v>
      </c>
      <c r="AM44" s="21" t="n">
        <v>252.485</v>
      </c>
      <c r="AN44" s="21" t="n">
        <v>225.915</v>
      </c>
      <c r="AO44" s="21" t="n">
        <v>147.97</v>
      </c>
      <c r="AP44" s="21" t="n">
        <v>292.98</v>
      </c>
      <c r="AQ44" s="21" t="n">
        <v>182.321</v>
      </c>
      <c r="AR44" s="21" t="n">
        <v>146.497</v>
      </c>
      <c r="AS44" s="21" t="n">
        <v>209.802</v>
      </c>
      <c r="AT44" s="21" t="n">
        <v>299.798</v>
      </c>
      <c r="AU44" s="21" t="n">
        <v>223.775</v>
      </c>
      <c r="AV44" s="21" t="n">
        <v>216.367</v>
      </c>
      <c r="AW44" s="21" t="n">
        <v>136.336</v>
      </c>
      <c r="AX44" s="21" t="n">
        <v>195.179</v>
      </c>
      <c r="AY44" s="21" t="n">
        <v>140.621</v>
      </c>
      <c r="AZ44" s="21" t="n">
        <v>229.899</v>
      </c>
      <c r="BA44" s="21" t="n">
        <v>220.152</v>
      </c>
      <c r="BB44" s="21" t="n">
        <v>146.592</v>
      </c>
      <c r="BC44" s="21" t="n">
        <v>299.191</v>
      </c>
      <c r="BD44" s="21" t="n">
        <v>348.66</v>
      </c>
      <c r="BE44" s="21" t="n">
        <v>370.185</v>
      </c>
      <c r="BF44" s="21" t="n">
        <v>330.686</v>
      </c>
      <c r="BG44" s="21" t="n">
        <v>198.129</v>
      </c>
      <c r="BH44" s="21" t="n">
        <v>266.579</v>
      </c>
      <c r="BI44" s="21" t="n">
        <v>538.256</v>
      </c>
      <c r="BJ44" s="21" t="n">
        <v>122.048</v>
      </c>
      <c r="BK44" s="21" t="n">
        <v>324.839</v>
      </c>
      <c r="BL44" s="21" t="n">
        <v>344.013</v>
      </c>
      <c r="BM44" s="21" t="n">
        <v>289.876</v>
      </c>
      <c r="BN44" s="21" t="n">
        <v>334.249</v>
      </c>
      <c r="BO44" s="21" t="n">
        <v>328.686</v>
      </c>
      <c r="BP44" s="21" t="n">
        <v>153.565</v>
      </c>
      <c r="BQ44" s="21" t="n">
        <v>158.014</v>
      </c>
      <c r="BR44" s="21" t="n">
        <v>154.116</v>
      </c>
      <c r="BS44" s="21" t="n">
        <v>165.932</v>
      </c>
      <c r="BT44" s="21" t="n">
        <v>145</v>
      </c>
      <c r="BU44" s="21" t="n">
        <v>197.169</v>
      </c>
      <c r="BV44" s="21" t="n">
        <v>155.049</v>
      </c>
      <c r="BW44" s="21" t="n">
        <v>167.266</v>
      </c>
      <c r="BX44" s="21" t="n">
        <v>129.399</v>
      </c>
      <c r="BY44" s="21" t="n">
        <v>162.821</v>
      </c>
      <c r="BZ44" s="21" t="n">
        <v>117.684</v>
      </c>
      <c r="CA44" s="21" t="n">
        <v>116.593</v>
      </c>
      <c r="CB44" s="21" t="n">
        <v>194.479</v>
      </c>
      <c r="CC44" s="21" t="n">
        <v>202.506</v>
      </c>
      <c r="CD44" s="21" t="n">
        <v>128.975</v>
      </c>
      <c r="CE44" s="21" t="n">
        <v>209.774</v>
      </c>
      <c r="CF44" s="21" t="n">
        <v>214.285</v>
      </c>
      <c r="CG44" s="21" t="n">
        <v>186.93</v>
      </c>
      <c r="CH44" s="21" t="n">
        <v>143.76</v>
      </c>
      <c r="CI44" s="21" t="n">
        <v>153.72</v>
      </c>
      <c r="CJ44" s="21" t="n">
        <v>227.897</v>
      </c>
      <c r="CK44" s="21" t="n">
        <v>205.397</v>
      </c>
      <c r="CL44" s="21" t="n">
        <v>244.728</v>
      </c>
      <c r="CM44" s="21" t="n">
        <v>297.486</v>
      </c>
      <c r="CN44" s="21" t="n">
        <v>127.881</v>
      </c>
      <c r="CO44" s="21" t="n">
        <v>159.721</v>
      </c>
      <c r="CP44" s="21" t="n">
        <v>224.374</v>
      </c>
      <c r="CQ44" s="21" t="n">
        <v>244.241</v>
      </c>
      <c r="CR44" s="21" t="n">
        <v>166.452</v>
      </c>
      <c r="CS44" s="21" t="n">
        <v>253.247</v>
      </c>
      <c r="CT44" s="21" t="n">
        <v>241.437</v>
      </c>
      <c r="CU44" s="21" t="n">
        <v>154.184</v>
      </c>
      <c r="CV44" s="21" t="n">
        <v>140.382</v>
      </c>
      <c r="CW44" s="21" t="n">
        <v>138.921</v>
      </c>
      <c r="CX44" s="21" t="n">
        <v>278.164</v>
      </c>
      <c r="CY44" s="21" t="n">
        <v>131.484</v>
      </c>
      <c r="CZ44" s="21" t="n">
        <v>126.788</v>
      </c>
      <c r="DA44" s="21" t="n">
        <v>276.125</v>
      </c>
      <c r="DB44" s="21" t="n">
        <v>171.268</v>
      </c>
      <c r="DC44" s="21" t="n">
        <v>177.86</v>
      </c>
      <c r="DD44" s="21" t="n"/>
      <c r="DE44" s="21" t="n">
        <v>192.802</v>
      </c>
      <c r="DF44" s="21" t="n">
        <v>248.855</v>
      </c>
      <c r="DG44" s="21" t="n">
        <v>202.125</v>
      </c>
      <c r="DH44" s="21" t="n">
        <v>225.149</v>
      </c>
      <c r="DI44" s="21" t="n">
        <v>192.012</v>
      </c>
      <c r="DJ44" s="21" t="n">
        <v>205.859</v>
      </c>
      <c r="DK44" s="21" t="n">
        <v>186.567</v>
      </c>
      <c r="DL44" s="21" t="n">
        <v>169.447</v>
      </c>
      <c r="DM44" s="21" t="n">
        <v>350.889</v>
      </c>
      <c r="DN44" s="21" t="n">
        <v>189.827</v>
      </c>
      <c r="DO44" s="21" t="n">
        <v>258.594</v>
      </c>
      <c r="DP44" s="21" t="n">
        <v>308.05</v>
      </c>
      <c r="DQ44" s="21" t="n">
        <v>319.642</v>
      </c>
      <c r="DR44" s="21" t="n">
        <v>160.772</v>
      </c>
      <c r="DS44" s="21" t="n">
        <v>548.307</v>
      </c>
      <c r="DT44" s="21" t="n">
        <v>328.769</v>
      </c>
      <c r="DU44" s="21" t="n">
        <v>315.576</v>
      </c>
      <c r="DV44" s="21" t="n">
        <v>315.589</v>
      </c>
      <c r="DW44" s="21" t="n">
        <v>240.846</v>
      </c>
      <c r="DX44" s="21" t="n">
        <v>200.018</v>
      </c>
      <c r="DY44" s="21" t="n">
        <v>298.175</v>
      </c>
      <c r="DZ44" s="21" t="n">
        <v>296.602</v>
      </c>
      <c r="EA44" s="21" t="n">
        <v>342.165</v>
      </c>
      <c r="EB44" s="21" t="n">
        <v>202.745</v>
      </c>
      <c r="EC44" s="21" t="n">
        <v>211.849</v>
      </c>
      <c r="ED44" s="21" t="n">
        <v>172.6</v>
      </c>
      <c r="EE44" s="21" t="n">
        <v>237.301</v>
      </c>
      <c r="EF44" s="21" t="n">
        <v>551.7380000000001</v>
      </c>
      <c r="EG44" s="21" t="n">
        <v>465.579</v>
      </c>
      <c r="EH44" s="21" t="n">
        <v>121.31</v>
      </c>
      <c r="EI44" s="21" t="n">
        <v>57.158</v>
      </c>
      <c r="EJ44" s="21" t="n">
        <v>63.901</v>
      </c>
      <c r="EK44" s="21" t="n">
        <v>43.743</v>
      </c>
      <c r="EL44" s="21" t="n">
        <v>110.636</v>
      </c>
      <c r="EM44" s="21" t="n">
        <v>67.34099999999999</v>
      </c>
      <c r="EN44" s="21" t="n">
        <v>76.399</v>
      </c>
      <c r="EO44" s="21" t="n">
        <v>84.327</v>
      </c>
      <c r="EP44" s="21" t="n">
        <v>100.585</v>
      </c>
      <c r="EQ44" s="21" t="n">
        <v>65.381</v>
      </c>
      <c r="ER44" s="21" t="n">
        <v>51.242</v>
      </c>
      <c r="ES44" s="21" t="n">
        <v>130.775</v>
      </c>
      <c r="ET44" s="21" t="n">
        <v>83.383</v>
      </c>
      <c r="EU44" s="21" t="n">
        <v>89.61799999999999</v>
      </c>
      <c r="EV44" s="21" t="n">
        <v>98.593</v>
      </c>
      <c r="EW44" s="21" t="n">
        <v>85.381</v>
      </c>
      <c r="EX44" s="21" t="n">
        <v>187.02</v>
      </c>
      <c r="EY44" s="21" t="n">
        <v>119.219</v>
      </c>
      <c r="EZ44" s="21" t="n">
        <v>118.772</v>
      </c>
      <c r="FA44" s="21" t="n">
        <v>167.894</v>
      </c>
      <c r="FB44" s="21" t="n">
        <v>125.676</v>
      </c>
      <c r="FC44" s="21" t="n">
        <v>118.019</v>
      </c>
      <c r="FD44" s="21" t="n">
        <v>121.484</v>
      </c>
      <c r="FE44" s="21" t="n">
        <v>105.297</v>
      </c>
      <c r="FF44" s="21" t="n">
        <v>157.797</v>
      </c>
      <c r="FG44" s="21" t="n">
        <v>78.873</v>
      </c>
      <c r="FH44" s="21" t="n">
        <v>116.786</v>
      </c>
      <c r="FI44" s="21" t="n">
        <v>104.425</v>
      </c>
      <c r="FJ44" s="21" t="n">
        <v>109.976</v>
      </c>
      <c r="FK44" s="21" t="n">
        <v>113.099</v>
      </c>
      <c r="FL44" s="21" t="n">
        <v>102.819</v>
      </c>
      <c r="FM44" s="21" t="n">
        <v>127.189</v>
      </c>
      <c r="FN44" s="21" t="n">
        <v>78.806</v>
      </c>
      <c r="FO44" s="21" t="n">
        <v>104.861</v>
      </c>
      <c r="FP44" s="21" t="n">
        <v>94.34099999999999</v>
      </c>
      <c r="FQ44" s="21" t="n">
        <v>137.413</v>
      </c>
      <c r="FR44" s="21" t="n">
        <v>139.426</v>
      </c>
      <c r="FS44" s="21" t="n">
        <v>156.509</v>
      </c>
      <c r="FT44" s="21" t="n">
        <v>125.162</v>
      </c>
      <c r="FU44" s="21" t="n">
        <v>121.308</v>
      </c>
      <c r="FV44" s="21" t="n">
        <v>171.721</v>
      </c>
      <c r="FW44" s="21" t="n">
        <v>137.875</v>
      </c>
      <c r="FX44" s="21" t="n">
        <v>175.132</v>
      </c>
      <c r="FY44" s="21" t="n">
        <v>210.467</v>
      </c>
      <c r="FZ44" s="21" t="n">
        <v>206.341</v>
      </c>
      <c r="GA44" s="21" t="n">
        <v>98.738</v>
      </c>
      <c r="GB44" s="21" t="n">
        <v>145.466</v>
      </c>
      <c r="GC44" s="21" t="n">
        <v>101.52</v>
      </c>
      <c r="GD44" s="21" t="n">
        <v>141.068</v>
      </c>
      <c r="GE44" s="21" t="n">
        <v>154.842</v>
      </c>
      <c r="GF44" s="21" t="n"/>
      <c r="GG44" s="21" t="n">
        <v>137.608</v>
      </c>
      <c r="GH44" s="21" t="n">
        <v>90.242</v>
      </c>
      <c r="GI44" s="21" t="n">
        <v>124.406</v>
      </c>
      <c r="GJ44" s="21" t="n">
        <v>242.657</v>
      </c>
      <c r="GK44" s="21" t="n">
        <v>241.377</v>
      </c>
      <c r="GL44" s="21" t="n">
        <v>237.161</v>
      </c>
      <c r="GM44" s="21" t="n">
        <v>261.645</v>
      </c>
      <c r="GN44" s="21" t="n">
        <v>254.835</v>
      </c>
      <c r="GO44" s="21" t="n">
        <v>234.088</v>
      </c>
      <c r="GP44" s="21" t="n">
        <v>143.763</v>
      </c>
      <c r="GQ44" s="21" t="n">
        <v>122.174</v>
      </c>
      <c r="GR44" s="21" t="n">
        <v>286.067</v>
      </c>
      <c r="GS44" s="21" t="n">
        <v>175.441</v>
      </c>
      <c r="GT44" s="21" t="n">
        <v>567.647</v>
      </c>
      <c r="GU44" s="21" t="n">
        <v>205.732</v>
      </c>
      <c r="GV44" s="21" t="n">
        <v>232.457</v>
      </c>
      <c r="GW44" s="21" t="n">
        <v>256.964</v>
      </c>
      <c r="GX44" s="21" t="n">
        <v>263.786</v>
      </c>
      <c r="GY44" s="21" t="n">
        <v>160.42</v>
      </c>
      <c r="GZ44" s="21" t="n"/>
      <c r="HA44" s="21" t="n">
        <v>66.34</v>
      </c>
      <c r="HB44" s="21" t="n">
        <v>485.246</v>
      </c>
      <c r="HC44" s="21" t="n">
        <v>381.954</v>
      </c>
      <c r="HD44" s="21" t="n">
        <v>125.075</v>
      </c>
      <c r="HE44" s="21" t="n">
        <v>528.865</v>
      </c>
      <c r="HF44" s="21" t="n">
        <v>96.95699999999999</v>
      </c>
      <c r="HG44" s="21" t="n">
        <v>518.347</v>
      </c>
      <c r="HH44" s="21" t="n">
        <v>378.295</v>
      </c>
      <c r="HI44" s="21" t="n">
        <v>380.404</v>
      </c>
      <c r="HJ44" s="21" t="n">
        <v>486.74</v>
      </c>
      <c r="HK44" s="21" t="n">
        <v>189.437</v>
      </c>
      <c r="HL44" s="21" t="n">
        <v>237.826</v>
      </c>
      <c r="HM44" s="21" t="n">
        <v>79.169</v>
      </c>
      <c r="HN44" s="21" t="n">
        <v>334.033</v>
      </c>
      <c r="HO44" s="21" t="n">
        <v>326.077</v>
      </c>
      <c r="HP44" s="21" t="n">
        <v>740.7190000000001</v>
      </c>
      <c r="HQ44" s="21" t="n">
        <v>227.709</v>
      </c>
      <c r="HR44" s="21" t="n">
        <v>119.269</v>
      </c>
      <c r="HS44" s="21" t="n">
        <v>103.847</v>
      </c>
      <c r="HT44" s="21" t="n">
        <v>189.996</v>
      </c>
      <c r="HU44" s="21" t="n">
        <v>468.641</v>
      </c>
      <c r="HV44" s="21" t="n">
        <v>120.407</v>
      </c>
      <c r="HW44" s="21" t="n">
        <v>27.084</v>
      </c>
      <c r="HX44" s="21" t="n">
        <v>172.611</v>
      </c>
      <c r="HY44" s="21" t="n">
        <v>198.185</v>
      </c>
      <c r="HZ44" s="21" t="n">
        <v>150.832</v>
      </c>
      <c r="IA44" s="21" t="n">
        <v>114.705</v>
      </c>
      <c r="IB44" s="21" t="n">
        <v>244.77</v>
      </c>
      <c r="IC44" s="21" t="n">
        <v>190.639</v>
      </c>
      <c r="ID44" s="21" t="n">
        <v>256.509</v>
      </c>
      <c r="IE44" s="21" t="n">
        <v>111.927</v>
      </c>
      <c r="IF44" s="21" t="n">
        <v>151.566</v>
      </c>
      <c r="IG44" s="21" t="n">
        <v>78.709</v>
      </c>
      <c r="IH44" s="21" t="n">
        <v>72.866</v>
      </c>
      <c r="II44" s="21" t="n">
        <v>51.948</v>
      </c>
      <c r="IJ44" s="21" t="n">
        <v>21.811</v>
      </c>
      <c r="IK44" s="21" t="n">
        <v>37.532</v>
      </c>
      <c r="IL44" s="21" t="n">
        <v>33.841</v>
      </c>
      <c r="IM44" s="21" t="n">
        <v>41.655</v>
      </c>
      <c r="IN44" s="21" t="n">
        <v>97.91500000000001</v>
      </c>
      <c r="IO44" s="21" t="n">
        <v>99.959</v>
      </c>
      <c r="IP44" s="21" t="n">
        <v>168.72</v>
      </c>
      <c r="IQ44" s="21" t="n">
        <v>138.538</v>
      </c>
      <c r="IR44" s="21" t="n">
        <v>389.439</v>
      </c>
      <c r="IS44" s="21" t="n">
        <v>184.789</v>
      </c>
      <c r="IT44" s="21" t="n">
        <v>225.795</v>
      </c>
      <c r="IU44" s="21" t="n">
        <v>308.812</v>
      </c>
      <c r="IV44" s="21" t="n">
        <v>249</v>
      </c>
      <c r="IW44" s="21" t="n">
        <v>137.07</v>
      </c>
      <c r="IX44" s="21" t="n">
        <v>258.713</v>
      </c>
      <c r="IY44" s="21" t="n">
        <v>704.8680000000001</v>
      </c>
      <c r="IZ44" s="21" t="n">
        <v>740.456</v>
      </c>
      <c r="JA44" s="21" t="n">
        <v>841.019</v>
      </c>
      <c r="JB44" s="21" t="n">
        <v>79.70399999999999</v>
      </c>
      <c r="JC44" s="21" t="n">
        <v>294.466</v>
      </c>
      <c r="JD44" s="21" t="n">
        <v>251.792</v>
      </c>
      <c r="JE44" s="21" t="n">
        <v>74.17400000000001</v>
      </c>
      <c r="JF44" s="21" t="n">
        <v>185.444</v>
      </c>
      <c r="JG44" s="21" t="n">
        <v>290.416</v>
      </c>
      <c r="JH44" s="21" t="n">
        <v>310.478</v>
      </c>
      <c r="JI44" s="21" t="n">
        <v>70.267</v>
      </c>
      <c r="JJ44" s="21" t="n">
        <v>111.303</v>
      </c>
      <c r="JK44" s="21" t="n">
        <v>40.23</v>
      </c>
      <c r="JL44" s="21" t="n">
        <v>76.509</v>
      </c>
      <c r="JM44" s="21" t="n">
        <v>255.241</v>
      </c>
      <c r="JN44" s="21" t="n">
        <v>443.17</v>
      </c>
      <c r="JO44" s="21" t="n">
        <v>67.02200000000001</v>
      </c>
      <c r="JP44" s="21" t="n">
        <v>434.71</v>
      </c>
      <c r="JQ44" s="21" t="n">
        <v>231.655</v>
      </c>
      <c r="JR44" s="21" t="n">
        <v>161.265</v>
      </c>
      <c r="JS44" s="21" t="n">
        <v>441.092</v>
      </c>
      <c r="JT44" s="21" t="n">
        <v>360.971</v>
      </c>
      <c r="JU44" s="21" t="n">
        <v>332.588</v>
      </c>
      <c r="JV44" s="21" t="n">
        <v>169.268</v>
      </c>
      <c r="JW44" s="21" t="n">
        <v>363.077</v>
      </c>
      <c r="JX44" s="21" t="n">
        <v>254.456</v>
      </c>
      <c r="JY44" s="21" t="n">
        <v>75.64100000000001</v>
      </c>
      <c r="JZ44" s="21" t="n">
        <v>151.935</v>
      </c>
      <c r="KA44" s="21" t="n">
        <v>239.981</v>
      </c>
      <c r="KB44" s="21" t="n">
        <v>256.38</v>
      </c>
      <c r="KC44" s="21" t="n">
        <v>250.826</v>
      </c>
      <c r="KD44" s="21" t="n">
        <v>257.699</v>
      </c>
      <c r="KE44" s="21" t="n">
        <v>231.793</v>
      </c>
      <c r="KF44" s="21" t="n">
        <v>225.995</v>
      </c>
      <c r="KG44" s="21" t="n">
        <v>229.674</v>
      </c>
      <c r="KH44" s="21" t="n">
        <v>235.354</v>
      </c>
      <c r="KI44" s="21" t="n">
        <v>118.389</v>
      </c>
      <c r="KJ44" s="21" t="n">
        <v>184.568</v>
      </c>
      <c r="KK44" s="21" t="n">
        <v>153.569</v>
      </c>
      <c r="KL44" s="21" t="n">
        <v>150.267</v>
      </c>
      <c r="KM44" s="21" t="n">
        <v>143.835</v>
      </c>
      <c r="KN44" s="21" t="n">
        <v>145.211</v>
      </c>
      <c r="KO44" s="21" t="n">
        <v>248.112</v>
      </c>
      <c r="KP44" s="21" t="n">
        <v>104.296</v>
      </c>
      <c r="KQ44" s="21" t="n">
        <v>75.258</v>
      </c>
      <c r="KR44" s="21" t="n">
        <v>109.855</v>
      </c>
      <c r="KS44" s="21" t="n">
        <v>219.929</v>
      </c>
      <c r="KT44" s="21" t="n">
        <v>247.172</v>
      </c>
      <c r="KU44" s="21" t="n">
        <v>89.48699999999999</v>
      </c>
      <c r="KV44" s="21" t="n">
        <v>54.472</v>
      </c>
      <c r="KW44" s="21" t="n">
        <v>226.638</v>
      </c>
      <c r="KX44" s="21" t="n">
        <v>203.334</v>
      </c>
      <c r="KY44" s="21" t="n">
        <v>249.995</v>
      </c>
      <c r="KZ44" s="21" t="n">
        <v>200.47</v>
      </c>
      <c r="LA44" s="21" t="n">
        <v>251.396</v>
      </c>
      <c r="LB44" s="21" t="n">
        <v>112.392</v>
      </c>
      <c r="LC44" s="21" t="n">
        <v>353.449</v>
      </c>
      <c r="LD44" s="21" t="n">
        <v>80.81999999999999</v>
      </c>
      <c r="LE44" s="21" t="n">
        <v>121.695</v>
      </c>
      <c r="LF44" s="21" t="n">
        <v>321.06</v>
      </c>
      <c r="LG44" s="21" t="n">
        <v>316.923</v>
      </c>
      <c r="LH44" s="21" t="n">
        <v>328.432</v>
      </c>
      <c r="LI44" s="21" t="n">
        <v>301.549</v>
      </c>
      <c r="LJ44" s="21" t="n">
        <v>336.583</v>
      </c>
      <c r="LK44" s="21" t="n">
        <v>103.596</v>
      </c>
      <c r="LL44" s="21" t="n">
        <v>321.994</v>
      </c>
      <c r="LM44" s="21" t="n">
        <v>216.435</v>
      </c>
      <c r="LN44" s="21" t="n">
        <v>43.469</v>
      </c>
      <c r="LO44" s="21" t="n">
        <v>124.775</v>
      </c>
    </row>
    <row r="45">
      <c r="A45" s="22" t="n">
        <v>43313</v>
      </c>
      <c r="B45" s="21" t="n">
        <v>251.663</v>
      </c>
      <c r="C45" s="21" t="n">
        <v>253.677</v>
      </c>
      <c r="D45" s="21" t="n">
        <v>253.949</v>
      </c>
      <c r="E45" s="21" t="n">
        <v>239.795</v>
      </c>
      <c r="F45" s="21" t="n">
        <v>273.004</v>
      </c>
      <c r="G45" s="21" t="n">
        <v>227.4</v>
      </c>
      <c r="H45" s="21" t="n">
        <v>236.894</v>
      </c>
      <c r="I45" s="21" t="n">
        <v>221.101</v>
      </c>
      <c r="J45" s="21" t="n">
        <v>237.78</v>
      </c>
      <c r="K45" s="21" t="n">
        <v>298.989</v>
      </c>
      <c r="L45" s="21" t="n">
        <v>180.078</v>
      </c>
      <c r="M45" s="21" t="n">
        <v>178.725</v>
      </c>
      <c r="N45" s="21" t="n">
        <v>283.752</v>
      </c>
      <c r="O45" s="21" t="n">
        <v>265.099</v>
      </c>
      <c r="P45" s="21" t="n">
        <v>264.143</v>
      </c>
      <c r="Q45" s="21" t="n">
        <v>301.544</v>
      </c>
      <c r="R45" s="21" t="n">
        <v>265.161</v>
      </c>
      <c r="S45" s="21" t="n">
        <v>249.18</v>
      </c>
      <c r="T45" s="21" t="n">
        <v>251.213</v>
      </c>
      <c r="U45" s="21" t="n">
        <v>252.023</v>
      </c>
      <c r="V45" s="21" t="n">
        <v>303.746</v>
      </c>
      <c r="W45" s="21" t="n">
        <v>270.035</v>
      </c>
      <c r="X45" s="21" t="n">
        <v>230.634</v>
      </c>
      <c r="Y45" s="21" t="n">
        <v>205.057</v>
      </c>
      <c r="Z45" s="21" t="n">
        <v>209.435</v>
      </c>
      <c r="AA45" s="21" t="n">
        <v>157.902</v>
      </c>
      <c r="AB45" s="21" t="n">
        <v>296.594</v>
      </c>
      <c r="AC45" s="21" t="n">
        <v>142.591</v>
      </c>
      <c r="AD45" s="21" t="n">
        <v>196.949</v>
      </c>
      <c r="AE45" s="21" t="n">
        <v>220.461</v>
      </c>
      <c r="AF45" s="21" t="n">
        <v>192.279</v>
      </c>
      <c r="AG45" s="21" t="n">
        <v>126.798</v>
      </c>
      <c r="AH45" s="21" t="n">
        <v>222.08</v>
      </c>
      <c r="AI45" s="21" t="n">
        <v>224.937</v>
      </c>
      <c r="AJ45" s="21" t="n">
        <v>143.098</v>
      </c>
      <c r="AK45" s="21" t="n">
        <v>232.327</v>
      </c>
      <c r="AL45" s="21" t="n">
        <v>150.341</v>
      </c>
      <c r="AM45" s="21" t="n">
        <v>249.85</v>
      </c>
      <c r="AN45" s="21" t="n">
        <v>223.455</v>
      </c>
      <c r="AO45" s="21" t="n">
        <v>146.452</v>
      </c>
      <c r="AP45" s="21" t="n">
        <v>297.284</v>
      </c>
      <c r="AQ45" s="21" t="n">
        <v>185.783</v>
      </c>
      <c r="AR45" s="21" t="n">
        <v>147.545</v>
      </c>
      <c r="AS45" s="21" t="n">
        <v>212.101</v>
      </c>
      <c r="AT45" s="21" t="n">
        <v>304.382</v>
      </c>
      <c r="AU45" s="21" t="n">
        <v>223.5</v>
      </c>
      <c r="AV45" s="21" t="n">
        <v>216.654</v>
      </c>
      <c r="AW45" s="21" t="n">
        <v>137.165</v>
      </c>
      <c r="AX45" s="21" t="n">
        <v>196.35</v>
      </c>
      <c r="AY45" s="21" t="n">
        <v>141.398</v>
      </c>
      <c r="AZ45" s="21" t="n">
        <v>228.958</v>
      </c>
      <c r="BA45" s="21" t="n">
        <v>221.021</v>
      </c>
      <c r="BB45" s="21" t="n">
        <v>147.425</v>
      </c>
      <c r="BC45" s="21" t="n">
        <v>299.146</v>
      </c>
      <c r="BD45" s="21" t="n">
        <v>347.68</v>
      </c>
      <c r="BE45" s="21" t="n">
        <v>367.459</v>
      </c>
      <c r="BF45" s="21" t="n">
        <v>331.541</v>
      </c>
      <c r="BG45" s="21" t="n">
        <v>196.087</v>
      </c>
      <c r="BH45" s="21" t="n">
        <v>273.673</v>
      </c>
      <c r="BI45" s="21" t="n">
        <v>540.1849999999999</v>
      </c>
      <c r="BJ45" s="21" t="n">
        <v>118.868</v>
      </c>
      <c r="BK45" s="21" t="n">
        <v>325.674</v>
      </c>
      <c r="BL45" s="21" t="n">
        <v>342.691</v>
      </c>
      <c r="BM45" s="21" t="n">
        <v>298.566</v>
      </c>
      <c r="BN45" s="21" t="n">
        <v>330.345</v>
      </c>
      <c r="BO45" s="21" t="n">
        <v>330.05</v>
      </c>
      <c r="BP45" s="21" t="n">
        <v>155.098</v>
      </c>
      <c r="BQ45" s="21" t="n">
        <v>159.91</v>
      </c>
      <c r="BR45" s="21" t="n">
        <v>155.267</v>
      </c>
      <c r="BS45" s="21" t="n">
        <v>168.534</v>
      </c>
      <c r="BT45" s="21" t="n">
        <v>145.165</v>
      </c>
      <c r="BU45" s="21" t="n">
        <v>198.598</v>
      </c>
      <c r="BV45" s="21" t="n">
        <v>157.315</v>
      </c>
      <c r="BW45" s="21" t="n">
        <v>167.604</v>
      </c>
      <c r="BX45" s="21" t="n">
        <v>129.713</v>
      </c>
      <c r="BY45" s="21" t="n">
        <v>164.712</v>
      </c>
      <c r="BZ45" s="21" t="n">
        <v>117.124</v>
      </c>
      <c r="CA45" s="21" t="n">
        <v>116.471</v>
      </c>
      <c r="CB45" s="21" t="n">
        <v>194.42</v>
      </c>
      <c r="CC45" s="21" t="n">
        <v>202.874</v>
      </c>
      <c r="CD45" s="21" t="n">
        <v>128.885</v>
      </c>
      <c r="CE45" s="21" t="n">
        <v>209.637</v>
      </c>
      <c r="CF45" s="21" t="n">
        <v>214.046</v>
      </c>
      <c r="CG45" s="21" t="n">
        <v>187.644</v>
      </c>
      <c r="CH45" s="21" t="n">
        <v>144.084</v>
      </c>
      <c r="CI45" s="21" t="n">
        <v>152.305</v>
      </c>
      <c r="CJ45" s="21" t="n">
        <v>228.09</v>
      </c>
      <c r="CK45" s="21" t="n">
        <v>202.894</v>
      </c>
      <c r="CL45" s="21" t="n">
        <v>240.388</v>
      </c>
      <c r="CM45" s="21" t="n">
        <v>298.755</v>
      </c>
      <c r="CN45" s="21" t="n">
        <v>129.748</v>
      </c>
      <c r="CO45" s="21" t="n">
        <v>159.427</v>
      </c>
      <c r="CP45" s="21" t="n">
        <v>224.196</v>
      </c>
      <c r="CQ45" s="21" t="n">
        <v>245.405</v>
      </c>
      <c r="CR45" s="21" t="n">
        <v>167.026</v>
      </c>
      <c r="CS45" s="21" t="n">
        <v>252.554</v>
      </c>
      <c r="CT45" s="21" t="n">
        <v>240.955</v>
      </c>
      <c r="CU45" s="21" t="n">
        <v>153.436</v>
      </c>
      <c r="CV45" s="21" t="n">
        <v>141.841</v>
      </c>
      <c r="CW45" s="21" t="n">
        <v>138.71</v>
      </c>
      <c r="CX45" s="21" t="n">
        <v>273.244</v>
      </c>
      <c r="CY45" s="21" t="n">
        <v>131.356</v>
      </c>
      <c r="CZ45" s="21" t="n">
        <v>128.628</v>
      </c>
      <c r="DA45" s="21" t="n">
        <v>276.648</v>
      </c>
      <c r="DB45" s="21" t="n">
        <v>171.465</v>
      </c>
      <c r="DC45" s="21" t="n">
        <v>178.979</v>
      </c>
      <c r="DD45" s="21" t="n">
        <v>147.594</v>
      </c>
      <c r="DE45" s="21" t="n">
        <v>192.907</v>
      </c>
      <c r="DF45" s="21" t="n">
        <v>248.659</v>
      </c>
      <c r="DG45" s="21" t="n">
        <v>202.036</v>
      </c>
      <c r="DH45" s="21" t="n">
        <v>225.531</v>
      </c>
      <c r="DI45" s="21" t="n">
        <v>192.935</v>
      </c>
      <c r="DJ45" s="21" t="n">
        <v>206.643</v>
      </c>
      <c r="DK45" s="21" t="n">
        <v>187.572</v>
      </c>
      <c r="DL45" s="21" t="n">
        <v>169.093</v>
      </c>
      <c r="DM45" s="21" t="n">
        <v>351.155</v>
      </c>
      <c r="DN45" s="21" t="n">
        <v>189.108</v>
      </c>
      <c r="DO45" s="21" t="n">
        <v>259.39</v>
      </c>
      <c r="DP45" s="21" t="n">
        <v>309.004</v>
      </c>
      <c r="DQ45" s="21" t="n">
        <v>320.86</v>
      </c>
      <c r="DR45" s="21" t="n">
        <v>161.913</v>
      </c>
      <c r="DS45" s="21" t="n">
        <v>551.231</v>
      </c>
      <c r="DT45" s="21" t="n">
        <v>331.177</v>
      </c>
      <c r="DU45" s="21" t="n">
        <v>316.436</v>
      </c>
      <c r="DV45" s="21" t="n">
        <v>316.448</v>
      </c>
      <c r="DW45" s="21" t="n">
        <v>241.932</v>
      </c>
      <c r="DX45" s="21" t="n">
        <v>200.947</v>
      </c>
      <c r="DY45" s="21" t="n">
        <v>303.794</v>
      </c>
      <c r="DZ45" s="21" t="n">
        <v>296.617</v>
      </c>
      <c r="EA45" s="21" t="n">
        <v>345.237</v>
      </c>
      <c r="EB45" s="21" t="n">
        <v>203.52</v>
      </c>
      <c r="EC45" s="21" t="n">
        <v>212.475</v>
      </c>
      <c r="ED45" s="21" t="n">
        <v>173.776</v>
      </c>
      <c r="EE45" s="21" t="n">
        <v>238.261</v>
      </c>
      <c r="EF45" s="21" t="n">
        <v>552.829</v>
      </c>
      <c r="EG45" s="21" t="n">
        <v>470.457</v>
      </c>
      <c r="EH45" s="21" t="n">
        <v>121.476</v>
      </c>
      <c r="EI45" s="21" t="n">
        <v>56.84</v>
      </c>
      <c r="EJ45" s="21" t="n">
        <v>62.393</v>
      </c>
      <c r="EK45" s="21" t="n">
        <v>43.566</v>
      </c>
      <c r="EL45" s="21" t="n">
        <v>110.27</v>
      </c>
      <c r="EM45" s="21" t="n">
        <v>67.486</v>
      </c>
      <c r="EN45" s="21" t="n">
        <v>76.614</v>
      </c>
      <c r="EO45" s="21" t="n">
        <v>84.292</v>
      </c>
      <c r="EP45" s="21" t="n">
        <v>99.39</v>
      </c>
      <c r="EQ45" s="21" t="n">
        <v>65.688</v>
      </c>
      <c r="ER45" s="21" t="n">
        <v>50.892</v>
      </c>
      <c r="ES45" s="21" t="n">
        <v>131.521</v>
      </c>
      <c r="ET45" s="21" t="n">
        <v>83.125</v>
      </c>
      <c r="EU45" s="21" t="n">
        <v>89.453</v>
      </c>
      <c r="EV45" s="21" t="n">
        <v>98.05800000000001</v>
      </c>
      <c r="EW45" s="21" t="n">
        <v>85.316</v>
      </c>
      <c r="EX45" s="21" t="n">
        <v>187.126</v>
      </c>
      <c r="EY45" s="21" t="n">
        <v>119.251</v>
      </c>
      <c r="EZ45" s="21" t="n">
        <v>118.488</v>
      </c>
      <c r="FA45" s="21" t="n">
        <v>167.399</v>
      </c>
      <c r="FB45" s="21" t="n">
        <v>123.451</v>
      </c>
      <c r="FC45" s="21" t="n">
        <v>114.99</v>
      </c>
      <c r="FD45" s="21" t="n">
        <v>118.533</v>
      </c>
      <c r="FE45" s="21" t="n">
        <v>101.888</v>
      </c>
      <c r="FF45" s="21" t="n">
        <v>158.384</v>
      </c>
      <c r="FG45" s="21" t="n">
        <v>75.562</v>
      </c>
      <c r="FH45" s="21" t="n">
        <v>116.235</v>
      </c>
      <c r="FI45" s="21" t="n">
        <v>102.654</v>
      </c>
      <c r="FJ45" s="21" t="n">
        <v>107.868</v>
      </c>
      <c r="FK45" s="21" t="n">
        <v>110.845</v>
      </c>
      <c r="FL45" s="21" t="n">
        <v>100.116</v>
      </c>
      <c r="FM45" s="21" t="n">
        <v>128.43</v>
      </c>
      <c r="FN45" s="21" t="n">
        <v>75.81</v>
      </c>
      <c r="FO45" s="21" t="n">
        <v>105.396</v>
      </c>
      <c r="FP45" s="21" t="n">
        <v>92.96899999999999</v>
      </c>
      <c r="FQ45" s="21" t="n">
        <v>136.293</v>
      </c>
      <c r="FR45" s="21" t="n">
        <v>141.127</v>
      </c>
      <c r="FS45" s="21" t="n">
        <v>156.508</v>
      </c>
      <c r="FT45" s="21" t="n">
        <v>122.389</v>
      </c>
      <c r="FU45" s="21" t="n">
        <v>117.834</v>
      </c>
      <c r="FV45" s="21" t="n">
        <v>170.666</v>
      </c>
      <c r="FW45" s="21" t="n">
        <v>136.713</v>
      </c>
      <c r="FX45" s="21" t="n">
        <v>174.139</v>
      </c>
      <c r="FY45" s="21" t="n">
        <v>211.843</v>
      </c>
      <c r="FZ45" s="21" t="n">
        <v>207.692</v>
      </c>
      <c r="GA45" s="21" t="n">
        <v>98.876</v>
      </c>
      <c r="GB45" s="21" t="n">
        <v>145.491</v>
      </c>
      <c r="GC45" s="21" t="n">
        <v>101.547</v>
      </c>
      <c r="GD45" s="21" t="n">
        <v>141.151</v>
      </c>
      <c r="GE45" s="21" t="n">
        <v>154.998</v>
      </c>
      <c r="GF45" s="21" t="n"/>
      <c r="GG45" s="21" t="n">
        <v>138.093</v>
      </c>
      <c r="GH45" s="21" t="n">
        <v>90.27200000000001</v>
      </c>
      <c r="GI45" s="21" t="n">
        <v>124.912</v>
      </c>
      <c r="GJ45" s="21" t="n">
        <v>247.497</v>
      </c>
      <c r="GK45" s="21" t="n">
        <v>246.229</v>
      </c>
      <c r="GL45" s="21" t="n">
        <v>243.085</v>
      </c>
      <c r="GM45" s="21" t="n">
        <v>262.594</v>
      </c>
      <c r="GN45" s="21" t="n">
        <v>256.862</v>
      </c>
      <c r="GO45" s="21" t="n">
        <v>232.906</v>
      </c>
      <c r="GP45" s="21" t="n">
        <v>143.927</v>
      </c>
      <c r="GQ45" s="21" t="n">
        <v>122.134</v>
      </c>
      <c r="GR45" s="21" t="n">
        <v>286.931</v>
      </c>
      <c r="GS45" s="21" t="n">
        <v>175.731</v>
      </c>
      <c r="GT45" s="21" t="n">
        <v>568.147</v>
      </c>
      <c r="GU45" s="21" t="n">
        <v>206.245</v>
      </c>
      <c r="GV45" s="21" t="n">
        <v>233.658</v>
      </c>
      <c r="GW45" s="21" t="n">
        <v>258.619</v>
      </c>
      <c r="GX45" s="21" t="n">
        <v>265.241</v>
      </c>
      <c r="GY45" s="21" t="n">
        <v>157.981</v>
      </c>
      <c r="GZ45" s="21" t="n"/>
      <c r="HA45" s="21" t="n">
        <v>65.797</v>
      </c>
      <c r="HB45" s="21" t="n">
        <v>484.273</v>
      </c>
      <c r="HC45" s="21" t="n">
        <v>382.171</v>
      </c>
      <c r="HD45" s="21" t="n">
        <v>125.183</v>
      </c>
      <c r="HE45" s="21" t="n">
        <v>530.165</v>
      </c>
      <c r="HF45" s="21" t="n">
        <v>96.44499999999999</v>
      </c>
      <c r="HG45" s="21" t="n">
        <v>516.975</v>
      </c>
      <c r="HH45" s="21" t="n">
        <v>377.845</v>
      </c>
      <c r="HI45" s="21" t="n">
        <v>380.143</v>
      </c>
      <c r="HJ45" s="21" t="n">
        <v>483.009</v>
      </c>
      <c r="HK45" s="21" t="n">
        <v>189.641</v>
      </c>
      <c r="HL45" s="21" t="n">
        <v>237.499</v>
      </c>
      <c r="HM45" s="21" t="n">
        <v>78.95699999999999</v>
      </c>
      <c r="HN45" s="21" t="n">
        <v>332.708</v>
      </c>
      <c r="HO45" s="21" t="n">
        <v>324.879</v>
      </c>
      <c r="HP45" s="21" t="n">
        <v>736.52</v>
      </c>
      <c r="HQ45" s="21" t="n">
        <v>229.067</v>
      </c>
      <c r="HR45" s="21" t="n">
        <v>119.006</v>
      </c>
      <c r="HS45" s="21" t="n">
        <v>104.001</v>
      </c>
      <c r="HT45" s="21" t="n">
        <v>187.271</v>
      </c>
      <c r="HU45" s="21" t="n">
        <v>471.095</v>
      </c>
      <c r="HV45" s="21" t="n">
        <v>119.995</v>
      </c>
      <c r="HW45" s="21" t="n">
        <v>26.449</v>
      </c>
      <c r="HX45" s="21" t="n">
        <v>172.496</v>
      </c>
      <c r="HY45" s="21" t="n">
        <v>198.083</v>
      </c>
      <c r="HZ45" s="21" t="n">
        <v>150.306</v>
      </c>
      <c r="IA45" s="21" t="n">
        <v>115.092</v>
      </c>
      <c r="IB45" s="21" t="n">
        <v>244.552</v>
      </c>
      <c r="IC45" s="21" t="n">
        <v>189.382</v>
      </c>
      <c r="ID45" s="21" t="n">
        <v>256.722</v>
      </c>
      <c r="IE45" s="21" t="n">
        <v>110.968</v>
      </c>
      <c r="IF45" s="21" t="n">
        <v>148.859</v>
      </c>
      <c r="IG45" s="21" t="n">
        <v>79.04600000000001</v>
      </c>
      <c r="IH45" s="21" t="n">
        <v>73.58199999999999</v>
      </c>
      <c r="II45" s="21" t="n">
        <v>52.633</v>
      </c>
      <c r="IJ45" s="21" t="n">
        <v>21.879</v>
      </c>
      <c r="IK45" s="21" t="n">
        <v>37.022</v>
      </c>
      <c r="IL45" s="21" t="n">
        <v>33.259</v>
      </c>
      <c r="IM45" s="21" t="n">
        <v>40.729</v>
      </c>
      <c r="IN45" s="21" t="n">
        <v>96.193</v>
      </c>
      <c r="IO45" s="21" t="n">
        <v>101.599</v>
      </c>
      <c r="IP45" s="21" t="n">
        <v>168.107</v>
      </c>
      <c r="IQ45" s="21" t="n">
        <v>139.263</v>
      </c>
      <c r="IR45" s="21" t="n">
        <v>383.775</v>
      </c>
      <c r="IS45" s="21" t="n">
        <v>183.542</v>
      </c>
      <c r="IT45" s="21" t="n">
        <v>223.252</v>
      </c>
      <c r="IU45" s="21" t="n">
        <v>308.338</v>
      </c>
      <c r="IV45" s="21" t="n">
        <v>249.478</v>
      </c>
      <c r="IW45" s="21" t="n">
        <v>137.258</v>
      </c>
      <c r="IX45" s="21" t="n">
        <v>260.256</v>
      </c>
      <c r="IY45" s="21" t="n">
        <v>697.221</v>
      </c>
      <c r="IZ45" s="21" t="n">
        <v>745.449</v>
      </c>
      <c r="JA45" s="21" t="n">
        <v>845.351</v>
      </c>
      <c r="JB45" s="21" t="n">
        <v>80.523</v>
      </c>
      <c r="JC45" s="21" t="n">
        <v>296.655</v>
      </c>
      <c r="JD45" s="21" t="n">
        <v>252.758</v>
      </c>
      <c r="JE45" s="21" t="n">
        <v>73.991</v>
      </c>
      <c r="JF45" s="21" t="n">
        <v>185.932</v>
      </c>
      <c r="JG45" s="21" t="n">
        <v>291.156</v>
      </c>
      <c r="JH45" s="21" t="n">
        <v>311.479</v>
      </c>
      <c r="JI45" s="21" t="n">
        <v>70.083</v>
      </c>
      <c r="JJ45" s="21" t="n">
        <v>111.301</v>
      </c>
      <c r="JK45" s="21" t="n">
        <v>40.575</v>
      </c>
      <c r="JL45" s="21" t="n">
        <v>76.36799999999999</v>
      </c>
      <c r="JM45" s="21" t="n">
        <v>251.217</v>
      </c>
      <c r="JN45" s="21" t="n">
        <v>442.934</v>
      </c>
      <c r="JO45" s="21" t="n">
        <v>67.09699999999999</v>
      </c>
      <c r="JP45" s="21" t="n">
        <v>434.791</v>
      </c>
      <c r="JQ45" s="21" t="n">
        <v>231.433</v>
      </c>
      <c r="JR45" s="21" t="n">
        <v>161.302</v>
      </c>
      <c r="JS45" s="21" t="n">
        <v>441.857</v>
      </c>
      <c r="JT45" s="21" t="n">
        <v>360.971</v>
      </c>
      <c r="JU45" s="21" t="n">
        <v>333.453</v>
      </c>
      <c r="JV45" s="21" t="n">
        <v>169.86</v>
      </c>
      <c r="JW45" s="21" t="n">
        <v>363.425</v>
      </c>
      <c r="JX45" s="21" t="n">
        <v>254.029</v>
      </c>
      <c r="JY45" s="21" t="n">
        <v>74.29900000000001</v>
      </c>
      <c r="JZ45" s="21" t="n">
        <v>150.153</v>
      </c>
      <c r="KA45" s="21" t="n">
        <v>240.497</v>
      </c>
      <c r="KB45" s="21" t="n">
        <v>256.595</v>
      </c>
      <c r="KC45" s="21" t="n">
        <v>251.291</v>
      </c>
      <c r="KD45" s="21" t="n">
        <v>257.891</v>
      </c>
      <c r="KE45" s="21" t="n">
        <v>232.059</v>
      </c>
      <c r="KF45" s="21" t="n">
        <v>226.242</v>
      </c>
      <c r="KG45" s="21" t="n">
        <v>229.46</v>
      </c>
      <c r="KH45" s="21" t="n">
        <v>235.077</v>
      </c>
      <c r="KI45" s="21" t="n">
        <v>115.973</v>
      </c>
      <c r="KJ45" s="21" t="n">
        <v>184.765</v>
      </c>
      <c r="KK45" s="21" t="n">
        <v>153.706</v>
      </c>
      <c r="KL45" s="21" t="n">
        <v>150.412</v>
      </c>
      <c r="KM45" s="21" t="n">
        <v>143.342</v>
      </c>
      <c r="KN45" s="21" t="n">
        <v>144.575</v>
      </c>
      <c r="KO45" s="21" t="n">
        <v>248.105</v>
      </c>
      <c r="KP45" s="21" t="n">
        <v>104.203</v>
      </c>
      <c r="KQ45" s="21" t="n">
        <v>75.255</v>
      </c>
      <c r="KR45" s="21" t="n">
        <v>110.019</v>
      </c>
      <c r="KS45" s="21" t="n">
        <v>222.781</v>
      </c>
      <c r="KT45" s="21" t="n">
        <v>252.091</v>
      </c>
      <c r="KU45" s="21" t="n">
        <v>89.56999999999999</v>
      </c>
      <c r="KV45" s="21" t="n">
        <v>54.659</v>
      </c>
      <c r="KW45" s="21" t="n">
        <v>226.652</v>
      </c>
      <c r="KX45" s="21" t="n">
        <v>202.922</v>
      </c>
      <c r="KY45" s="21" t="n">
        <v>250.333</v>
      </c>
      <c r="KZ45" s="21" t="n">
        <v>200.038</v>
      </c>
      <c r="LA45" s="21" t="n">
        <v>251.779</v>
      </c>
      <c r="LB45" s="21" t="n">
        <v>112.182</v>
      </c>
      <c r="LC45" s="21" t="n">
        <v>353.732</v>
      </c>
      <c r="LD45" s="21" t="n">
        <v>80.31</v>
      </c>
      <c r="LE45" s="21" t="n">
        <v>121.663</v>
      </c>
      <c r="LF45" s="21" t="n">
        <v>322.06</v>
      </c>
      <c r="LG45" s="21" t="n">
        <v>317.557</v>
      </c>
      <c r="LH45" s="21" t="n">
        <v>329.054</v>
      </c>
      <c r="LI45" s="21" t="n">
        <v>302.358</v>
      </c>
      <c r="LJ45" s="21" t="n">
        <v>336.846</v>
      </c>
      <c r="LK45" s="21" t="n">
        <v>103.746</v>
      </c>
      <c r="LL45" s="21" t="n">
        <v>322.821</v>
      </c>
      <c r="LM45" s="21" t="n">
        <v>217.098</v>
      </c>
      <c r="LN45" s="21" t="n">
        <v>42.926</v>
      </c>
      <c r="LO45" s="21" t="n">
        <v>125.221</v>
      </c>
    </row>
    <row r="46">
      <c r="A46" s="22" t="n">
        <v>43344</v>
      </c>
      <c r="B46" s="21" t="n">
        <v>252.182</v>
      </c>
      <c r="C46" s="21" t="n">
        <v>254.103</v>
      </c>
      <c r="D46" s="21" t="n">
        <v>254.302</v>
      </c>
      <c r="E46" s="21" t="n">
        <v>239.967</v>
      </c>
      <c r="F46" s="21" t="n">
        <v>273.465</v>
      </c>
      <c r="G46" s="21" t="n">
        <v>228.785</v>
      </c>
      <c r="H46" s="21" t="n">
        <v>239.523</v>
      </c>
      <c r="I46" s="21" t="n">
        <v>221.825</v>
      </c>
      <c r="J46" s="21" t="n">
        <v>239.866</v>
      </c>
      <c r="K46" s="21" t="n">
        <v>299.594</v>
      </c>
      <c r="L46" s="21" t="n">
        <v>179.058</v>
      </c>
      <c r="M46" s="21" t="n">
        <v>179.86</v>
      </c>
      <c r="N46" s="21" t="n">
        <v>285.604</v>
      </c>
      <c r="O46" s="21" t="n">
        <v>268.278</v>
      </c>
      <c r="P46" s="21" t="n">
        <v>265.071</v>
      </c>
      <c r="Q46" s="21" t="n">
        <v>300.579</v>
      </c>
      <c r="R46" s="21" t="n">
        <v>268.471</v>
      </c>
      <c r="S46" s="21" t="n">
        <v>248.003</v>
      </c>
      <c r="T46" s="21" t="n">
        <v>250.152</v>
      </c>
      <c r="U46" s="21" t="n">
        <v>251.495</v>
      </c>
      <c r="V46" s="21" t="n">
        <v>303.114</v>
      </c>
      <c r="W46" s="21" t="n">
        <v>267.091</v>
      </c>
      <c r="X46" s="21" t="n">
        <v>229.247</v>
      </c>
      <c r="Y46" s="21" t="n">
        <v>205.335</v>
      </c>
      <c r="Z46" s="21" t="n">
        <v>208.764</v>
      </c>
      <c r="AA46" s="21" t="n">
        <v>157.492</v>
      </c>
      <c r="AB46" s="21" t="n">
        <v>293.91</v>
      </c>
      <c r="AC46" s="21" t="n">
        <v>143.21</v>
      </c>
      <c r="AD46" s="21" t="n">
        <v>199.024</v>
      </c>
      <c r="AE46" s="21" t="n">
        <v>223.356</v>
      </c>
      <c r="AF46" s="21" t="n">
        <v>191.128</v>
      </c>
      <c r="AG46" s="21" t="n">
        <v>123.327</v>
      </c>
      <c r="AH46" s="21" t="n">
        <v>221.94</v>
      </c>
      <c r="AI46" s="21" t="n">
        <v>227.36</v>
      </c>
      <c r="AJ46" s="21" t="n">
        <v>141.869</v>
      </c>
      <c r="AK46" s="21" t="n">
        <v>230.108</v>
      </c>
      <c r="AL46" s="21" t="n">
        <v>148.909</v>
      </c>
      <c r="AM46" s="21" t="n">
        <v>247.635</v>
      </c>
      <c r="AN46" s="21" t="n">
        <v>221.05</v>
      </c>
      <c r="AO46" s="21" t="n">
        <v>144.349</v>
      </c>
      <c r="AP46" s="21" t="n">
        <v>295.639</v>
      </c>
      <c r="AQ46" s="21" t="n">
        <v>183.035</v>
      </c>
      <c r="AR46" s="21" t="n">
        <v>147.926</v>
      </c>
      <c r="AS46" s="21" t="n">
        <v>209.911</v>
      </c>
      <c r="AT46" s="21" t="n">
        <v>307.569</v>
      </c>
      <c r="AU46" s="21" t="n">
        <v>220.666</v>
      </c>
      <c r="AV46" s="21" t="n">
        <v>216.496</v>
      </c>
      <c r="AW46" s="21" t="n">
        <v>136.939</v>
      </c>
      <c r="AX46" s="21" t="n">
        <v>195.487</v>
      </c>
      <c r="AY46" s="21" t="n">
        <v>141.279</v>
      </c>
      <c r="AZ46" s="21" t="n">
        <v>229.156</v>
      </c>
      <c r="BA46" s="21" t="n">
        <v>221.342</v>
      </c>
      <c r="BB46" s="21" t="n">
        <v>146.905</v>
      </c>
      <c r="BC46" s="21" t="n">
        <v>299.344</v>
      </c>
      <c r="BD46" s="21" t="n">
        <v>347.991</v>
      </c>
      <c r="BE46" s="21" t="n">
        <v>367.752</v>
      </c>
      <c r="BF46" s="21" t="n">
        <v>332.612</v>
      </c>
      <c r="BG46" s="21" t="n">
        <v>196.842</v>
      </c>
      <c r="BH46" s="21" t="n">
        <v>269.728</v>
      </c>
      <c r="BI46" s="21" t="n">
        <v>532.824</v>
      </c>
      <c r="BJ46" s="21" t="n">
        <v>119.089</v>
      </c>
      <c r="BK46" s="21" t="n">
        <v>326.002</v>
      </c>
      <c r="BL46" s="21" t="n">
        <v>339.828</v>
      </c>
      <c r="BM46" s="21" t="n">
        <v>297.339</v>
      </c>
      <c r="BN46" s="21" t="n">
        <v>329.099</v>
      </c>
      <c r="BO46" s="21" t="n">
        <v>331.886</v>
      </c>
      <c r="BP46" s="21" t="n">
        <v>155.066</v>
      </c>
      <c r="BQ46" s="21" t="n">
        <v>160.266</v>
      </c>
      <c r="BR46" s="21" t="n">
        <v>156.536</v>
      </c>
      <c r="BS46" s="21" t="n">
        <v>168.64</v>
      </c>
      <c r="BT46" s="21" t="n">
        <v>145.7</v>
      </c>
      <c r="BU46" s="21" t="n">
        <v>198.502</v>
      </c>
      <c r="BV46" s="21" t="n">
        <v>154.926</v>
      </c>
      <c r="BW46" s="21" t="n">
        <v>168.512</v>
      </c>
      <c r="BX46" s="21" t="n">
        <v>130.768</v>
      </c>
      <c r="BY46" s="21" t="n">
        <v>165.25</v>
      </c>
      <c r="BZ46" s="21" t="n">
        <v>118.358</v>
      </c>
      <c r="CA46" s="21" t="n">
        <v>116.664</v>
      </c>
      <c r="CB46" s="21" t="n">
        <v>194.71</v>
      </c>
      <c r="CC46" s="21" t="n">
        <v>203.396</v>
      </c>
      <c r="CD46" s="21" t="n">
        <v>128.418</v>
      </c>
      <c r="CE46" s="21" t="n">
        <v>210.348</v>
      </c>
      <c r="CF46" s="21" t="n">
        <v>216.771</v>
      </c>
      <c r="CG46" s="21" t="n">
        <v>187.376</v>
      </c>
      <c r="CH46" s="21" t="n">
        <v>145.999</v>
      </c>
      <c r="CI46" s="21" t="n">
        <v>154.239</v>
      </c>
      <c r="CJ46" s="21" t="n">
        <v>227.966</v>
      </c>
      <c r="CK46" s="21" t="n">
        <v>205.784</v>
      </c>
      <c r="CL46" s="21" t="n">
        <v>244.485</v>
      </c>
      <c r="CM46" s="21" t="n">
        <v>303.424</v>
      </c>
      <c r="CN46" s="21" t="n">
        <v>128.779</v>
      </c>
      <c r="CO46" s="21" t="n">
        <v>158.724</v>
      </c>
      <c r="CP46" s="21" t="n">
        <v>224.666</v>
      </c>
      <c r="CQ46" s="21" t="n">
        <v>239.416</v>
      </c>
      <c r="CR46" s="21" t="n">
        <v>167.201</v>
      </c>
      <c r="CS46" s="21" t="n">
        <v>254.906</v>
      </c>
      <c r="CT46" s="21" t="n">
        <v>241.926</v>
      </c>
      <c r="CU46" s="21" t="n">
        <v>155.003</v>
      </c>
      <c r="CV46" s="21" t="n">
        <v>132.236</v>
      </c>
      <c r="CW46" s="21" t="n">
        <v>139.764</v>
      </c>
      <c r="CX46" s="21" t="n">
        <v>280.586</v>
      </c>
      <c r="CY46" s="21" t="n">
        <v>131.174</v>
      </c>
      <c r="CZ46" s="21" t="n">
        <v>127.803</v>
      </c>
      <c r="DA46" s="21" t="n">
        <v>277.258</v>
      </c>
      <c r="DB46" s="21" t="n">
        <v>171.605</v>
      </c>
      <c r="DC46" s="21" t="n">
        <v>179.816</v>
      </c>
      <c r="DD46" s="21" t="n">
        <v>148.561</v>
      </c>
      <c r="DE46" s="21" t="n">
        <v>193.123</v>
      </c>
      <c r="DF46" s="21" t="n">
        <v>250.06</v>
      </c>
      <c r="DG46" s="21" t="n">
        <v>203.018</v>
      </c>
      <c r="DH46" s="21" t="n">
        <v>227.13</v>
      </c>
      <c r="DI46" s="21" t="n">
        <v>192.747</v>
      </c>
      <c r="DJ46" s="21" t="n">
        <v>202.112</v>
      </c>
      <c r="DK46" s="21" t="n">
        <v>188.275</v>
      </c>
      <c r="DL46" s="21" t="n">
        <v>170.541</v>
      </c>
      <c r="DM46" s="21" t="n">
        <v>352.899</v>
      </c>
      <c r="DN46" s="21" t="n">
        <v>190.002</v>
      </c>
      <c r="DO46" s="21" t="n">
        <v>259.582</v>
      </c>
      <c r="DP46" s="21" t="n">
        <v>309.522</v>
      </c>
      <c r="DQ46" s="21" t="n">
        <v>321.563</v>
      </c>
      <c r="DR46" s="21" t="n">
        <v>159.817</v>
      </c>
      <c r="DS46" s="21" t="n">
        <v>552.314</v>
      </c>
      <c r="DT46" s="21" t="n">
        <v>326.239</v>
      </c>
      <c r="DU46" s="21" t="n">
        <v>317.115</v>
      </c>
      <c r="DV46" s="21" t="n">
        <v>317.132</v>
      </c>
      <c r="DW46" s="21" t="n">
        <v>240.404</v>
      </c>
      <c r="DX46" s="21" t="n">
        <v>199.209</v>
      </c>
      <c r="DY46" s="21" t="n">
        <v>306.195</v>
      </c>
      <c r="DZ46" s="21" t="n">
        <v>302.419</v>
      </c>
      <c r="EA46" s="21" t="n">
        <v>346.632</v>
      </c>
      <c r="EB46" s="21" t="n">
        <v>201.561</v>
      </c>
      <c r="EC46" s="21" t="n">
        <v>211.321</v>
      </c>
      <c r="ED46" s="21" t="n">
        <v>169.603</v>
      </c>
      <c r="EE46" s="21" t="n">
        <v>238.605</v>
      </c>
      <c r="EF46" s="21" t="n">
        <v>553.667</v>
      </c>
      <c r="EG46" s="21" t="n">
        <v>471.026</v>
      </c>
      <c r="EH46" s="21" t="n">
        <v>121.625</v>
      </c>
      <c r="EI46" s="21" t="n">
        <v>56.928</v>
      </c>
      <c r="EJ46" s="21" t="n">
        <v>62.154</v>
      </c>
      <c r="EK46" s="21" t="n">
        <v>43.677</v>
      </c>
      <c r="EL46" s="21" t="n">
        <v>111.429</v>
      </c>
      <c r="EM46" s="21" t="n">
        <v>68.23</v>
      </c>
      <c r="EN46" s="21" t="n">
        <v>76.69499999999999</v>
      </c>
      <c r="EO46" s="21" t="n">
        <v>84.575</v>
      </c>
      <c r="EP46" s="21" t="n">
        <v>97.48</v>
      </c>
      <c r="EQ46" s="21" t="n">
        <v>66.151</v>
      </c>
      <c r="ER46" s="21" t="n">
        <v>50.541</v>
      </c>
      <c r="ES46" s="21" t="n">
        <v>132.482</v>
      </c>
      <c r="ET46" s="21" t="n">
        <v>83.203</v>
      </c>
      <c r="EU46" s="21" t="n">
        <v>89.366</v>
      </c>
      <c r="EV46" s="21" t="n">
        <v>98.283</v>
      </c>
      <c r="EW46" s="21" t="n">
        <v>85.27200000000001</v>
      </c>
      <c r="EX46" s="21" t="n">
        <v>186.72</v>
      </c>
      <c r="EY46" s="21" t="n">
        <v>119.462</v>
      </c>
      <c r="EZ46" s="21" t="n">
        <v>117.876</v>
      </c>
      <c r="FA46" s="21" t="n">
        <v>167.441</v>
      </c>
      <c r="FB46" s="21" t="n">
        <v>125.143</v>
      </c>
      <c r="FC46" s="21" t="n">
        <v>117.992</v>
      </c>
      <c r="FD46" s="21" t="n">
        <v>120.219</v>
      </c>
      <c r="FE46" s="21" t="n">
        <v>103.564</v>
      </c>
      <c r="FF46" s="21" t="n">
        <v>158.919</v>
      </c>
      <c r="FG46" s="21" t="n">
        <v>77.661</v>
      </c>
      <c r="FH46" s="21" t="n">
        <v>117.651</v>
      </c>
      <c r="FI46" s="21" t="n">
        <v>107.974</v>
      </c>
      <c r="FJ46" s="21" t="n">
        <v>109.878</v>
      </c>
      <c r="FK46" s="21" t="n">
        <v>112.93</v>
      </c>
      <c r="FL46" s="21" t="n">
        <v>110.404</v>
      </c>
      <c r="FM46" s="21" t="n">
        <v>130.779</v>
      </c>
      <c r="FN46" s="21" t="n">
        <v>77.84699999999999</v>
      </c>
      <c r="FO46" s="21" t="n">
        <v>103.865</v>
      </c>
      <c r="FP46" s="21" t="n">
        <v>94.604</v>
      </c>
      <c r="FQ46" s="21" t="n">
        <v>135.531</v>
      </c>
      <c r="FR46" s="21" t="n">
        <v>140.731</v>
      </c>
      <c r="FS46" s="21" t="n">
        <v>154.807</v>
      </c>
      <c r="FT46" s="21" t="n">
        <v>122.74</v>
      </c>
      <c r="FU46" s="21" t="n">
        <v>120.961</v>
      </c>
      <c r="FV46" s="21" t="n">
        <v>170.278</v>
      </c>
      <c r="FW46" s="21" t="n">
        <v>139.824</v>
      </c>
      <c r="FX46" s="21" t="n">
        <v>171.514</v>
      </c>
      <c r="FY46" s="21" t="n">
        <v>212.734</v>
      </c>
      <c r="FZ46" s="21" t="n">
        <v>208.657</v>
      </c>
      <c r="GA46" s="21" t="n">
        <v>98.593</v>
      </c>
      <c r="GB46" s="21" t="n">
        <v>145.434</v>
      </c>
      <c r="GC46" s="21" t="n">
        <v>101.479</v>
      </c>
      <c r="GD46" s="21" t="n">
        <v>141.305</v>
      </c>
      <c r="GE46" s="21" t="n">
        <v>154.72</v>
      </c>
      <c r="GF46" s="21" t="n"/>
      <c r="GG46" s="21" t="n">
        <v>136.92</v>
      </c>
      <c r="GH46" s="21" t="n">
        <v>90.505</v>
      </c>
      <c r="GI46" s="21" t="n">
        <v>127.096</v>
      </c>
      <c r="GJ46" s="21" t="n">
        <v>251.647</v>
      </c>
      <c r="GK46" s="21" t="n">
        <v>250.369</v>
      </c>
      <c r="GL46" s="21" t="n">
        <v>247.053</v>
      </c>
      <c r="GM46" s="21" t="n">
        <v>264.969</v>
      </c>
      <c r="GN46" s="21" t="n">
        <v>258.957</v>
      </c>
      <c r="GO46" s="21" t="n">
        <v>235.13</v>
      </c>
      <c r="GP46" s="21" t="n">
        <v>143.731</v>
      </c>
      <c r="GQ46" s="21" t="n">
        <v>122.087</v>
      </c>
      <c r="GR46" s="21" t="n">
        <v>288.457</v>
      </c>
      <c r="GS46" s="21" t="n">
        <v>176.949</v>
      </c>
      <c r="GT46" s="21" t="n">
        <v>571.655</v>
      </c>
      <c r="GU46" s="21" t="n">
        <v>206.574</v>
      </c>
      <c r="GV46" s="21" t="n">
        <v>233.652</v>
      </c>
      <c r="GW46" s="21" t="n">
        <v>258.162</v>
      </c>
      <c r="GX46" s="21" t="n">
        <v>266.203</v>
      </c>
      <c r="GY46" s="21" t="n">
        <v>157.796</v>
      </c>
      <c r="GZ46" s="21" t="n"/>
      <c r="HA46" s="21" t="n">
        <v>66.321</v>
      </c>
      <c r="HB46" s="21" t="n">
        <v>485.039</v>
      </c>
      <c r="HC46" s="21" t="n">
        <v>380.535</v>
      </c>
      <c r="HD46" s="21" t="n">
        <v>124.587</v>
      </c>
      <c r="HE46" s="21" t="n">
        <v>528.124</v>
      </c>
      <c r="HF46" s="21" t="n">
        <v>95.64100000000001</v>
      </c>
      <c r="HG46" s="21" t="n">
        <v>518.551</v>
      </c>
      <c r="HH46" s="21" t="n">
        <v>378.386</v>
      </c>
      <c r="HI46" s="21" t="n">
        <v>380.928</v>
      </c>
      <c r="HJ46" s="21" t="n">
        <v>484.496</v>
      </c>
      <c r="HK46" s="21" t="n">
        <v>189.727</v>
      </c>
      <c r="HL46" s="21" t="n">
        <v>237.154</v>
      </c>
      <c r="HM46" s="21" t="n">
        <v>78.95</v>
      </c>
      <c r="HN46" s="21" t="n">
        <v>332.595</v>
      </c>
      <c r="HO46" s="21" t="n">
        <v>325.391</v>
      </c>
      <c r="HP46" s="21" t="n">
        <v>734.341</v>
      </c>
      <c r="HQ46" s="21" t="n">
        <v>229.615</v>
      </c>
      <c r="HR46" s="21" t="n">
        <v>119.235</v>
      </c>
      <c r="HS46" s="21" t="n">
        <v>104.476</v>
      </c>
      <c r="HT46" s="21" t="n">
        <v>183.475</v>
      </c>
      <c r="HU46" s="21" t="n">
        <v>474.292</v>
      </c>
      <c r="HV46" s="21" t="n">
        <v>119.383</v>
      </c>
      <c r="HW46" s="21" t="n">
        <v>26.704</v>
      </c>
      <c r="HX46" s="21" t="n">
        <v>173.271</v>
      </c>
      <c r="HY46" s="21" t="n">
        <v>198.632</v>
      </c>
      <c r="HZ46" s="21" t="n">
        <v>150.7</v>
      </c>
      <c r="IA46" s="21" t="n">
        <v>115.449</v>
      </c>
      <c r="IB46" s="21" t="n">
        <v>246.266</v>
      </c>
      <c r="IC46" s="21" t="n">
        <v>193.471</v>
      </c>
      <c r="ID46" s="21" t="n">
        <v>258.105</v>
      </c>
      <c r="IE46" s="21" t="n">
        <v>110.153</v>
      </c>
      <c r="IF46" s="21" t="n">
        <v>147.116</v>
      </c>
      <c r="IG46" s="21" t="n">
        <v>78.943</v>
      </c>
      <c r="IH46" s="21" t="n">
        <v>73.721</v>
      </c>
      <c r="II46" s="21" t="n">
        <v>52.388</v>
      </c>
      <c r="IJ46" s="21" t="n">
        <v>21.788</v>
      </c>
      <c r="IK46" s="21" t="n">
        <v>36.586</v>
      </c>
      <c r="IL46" s="21" t="n">
        <v>32.792</v>
      </c>
      <c r="IM46" s="21" t="n">
        <v>40.452</v>
      </c>
      <c r="IN46" s="21" t="n">
        <v>95.92400000000001</v>
      </c>
      <c r="IO46" s="21" t="n">
        <v>101.443</v>
      </c>
      <c r="IP46" s="21" t="n">
        <v>168.779</v>
      </c>
      <c r="IQ46" s="21" t="n">
        <v>139.35</v>
      </c>
      <c r="IR46" s="21" t="n">
        <v>384.662</v>
      </c>
      <c r="IS46" s="21" t="n">
        <v>183.286</v>
      </c>
      <c r="IT46" s="21" t="n">
        <v>224.344</v>
      </c>
      <c r="IU46" s="21" t="n">
        <v>313.515</v>
      </c>
      <c r="IV46" s="21" t="n">
        <v>245.609</v>
      </c>
      <c r="IW46" s="21" t="n">
        <v>137.483</v>
      </c>
      <c r="IX46" s="21" t="n">
        <v>260.682</v>
      </c>
      <c r="IY46" s="21" t="n">
        <v>695.069</v>
      </c>
      <c r="IZ46" s="21" t="n">
        <v>746.831</v>
      </c>
      <c r="JA46" s="21" t="n">
        <v>846.772</v>
      </c>
      <c r="JB46" s="21" t="n">
        <v>80.985</v>
      </c>
      <c r="JC46" s="21" t="n">
        <v>297.067</v>
      </c>
      <c r="JD46" s="21" t="n">
        <v>251.999</v>
      </c>
      <c r="JE46" s="21" t="n">
        <v>74.113</v>
      </c>
      <c r="JF46" s="21" t="n">
        <v>186.498</v>
      </c>
      <c r="JG46" s="21" t="n">
        <v>291.824</v>
      </c>
      <c r="JH46" s="21" t="n">
        <v>314.015</v>
      </c>
      <c r="JI46" s="21" t="n">
        <v>70.19499999999999</v>
      </c>
      <c r="JJ46" s="21" t="n">
        <v>111.618</v>
      </c>
      <c r="JK46" s="21" t="n">
        <v>41.092</v>
      </c>
      <c r="JL46" s="21" t="n">
        <v>76.532</v>
      </c>
      <c r="JM46" s="21" t="n">
        <v>244.239</v>
      </c>
      <c r="JN46" s="21" t="n">
        <v>443.409</v>
      </c>
      <c r="JO46" s="21" t="n">
        <v>67.155</v>
      </c>
      <c r="JP46" s="21" t="n">
        <v>435.379</v>
      </c>
      <c r="JQ46" s="21" t="n">
        <v>231.694</v>
      </c>
      <c r="JR46" s="21" t="n">
        <v>161.457</v>
      </c>
      <c r="JS46" s="21" t="n">
        <v>442.57</v>
      </c>
      <c r="JT46" s="21" t="n">
        <v>361.248</v>
      </c>
      <c r="JU46" s="21" t="n">
        <v>333.476</v>
      </c>
      <c r="JV46" s="21" t="n">
        <v>170.689</v>
      </c>
      <c r="JW46" s="21" t="n">
        <v>363.592</v>
      </c>
      <c r="JX46" s="21" t="n">
        <v>253.866</v>
      </c>
      <c r="JY46" s="21" t="n">
        <v>74.304</v>
      </c>
      <c r="JZ46" s="21" t="n">
        <v>148.882</v>
      </c>
      <c r="KA46" s="21" t="n">
        <v>241.003</v>
      </c>
      <c r="KB46" s="21" t="n">
        <v>257.053</v>
      </c>
      <c r="KC46" s="21" t="n">
        <v>251.834</v>
      </c>
      <c r="KD46" s="21" t="n">
        <v>258.368</v>
      </c>
      <c r="KE46" s="21" t="n">
        <v>232.581</v>
      </c>
      <c r="KF46" s="21" t="n">
        <v>226.799</v>
      </c>
      <c r="KG46" s="21" t="n">
        <v>229.913</v>
      </c>
      <c r="KH46" s="21" t="n">
        <v>235.676</v>
      </c>
      <c r="KI46" s="21" t="n">
        <v>118.202</v>
      </c>
      <c r="KJ46" s="21" t="n">
        <v>185.277</v>
      </c>
      <c r="KK46" s="21" t="n">
        <v>154.25</v>
      </c>
      <c r="KL46" s="21" t="n">
        <v>150.931</v>
      </c>
      <c r="KM46" s="21" t="n">
        <v>143.421</v>
      </c>
      <c r="KN46" s="21" t="n">
        <v>144.836</v>
      </c>
      <c r="KO46" s="21" t="n">
        <v>248.048</v>
      </c>
      <c r="KP46" s="21" t="n">
        <v>103.864</v>
      </c>
      <c r="KQ46" s="21" t="n">
        <v>75.437</v>
      </c>
      <c r="KR46" s="21" t="n">
        <v>110.192</v>
      </c>
      <c r="KS46" s="21" t="n">
        <v>223.955</v>
      </c>
      <c r="KT46" s="21" t="n">
        <v>256.22</v>
      </c>
      <c r="KU46" s="21" t="n">
        <v>89.657</v>
      </c>
      <c r="KV46" s="21" t="n">
        <v>54.887</v>
      </c>
      <c r="KW46" s="21" t="n">
        <v>227.327</v>
      </c>
      <c r="KX46" s="21" t="n">
        <v>203.909</v>
      </c>
      <c r="KY46" s="21" t="n">
        <v>251.283</v>
      </c>
      <c r="KZ46" s="21" t="n">
        <v>201.005</v>
      </c>
      <c r="LA46" s="21" t="n">
        <v>252.711</v>
      </c>
      <c r="LB46" s="21" t="n">
        <v>112.271</v>
      </c>
      <c r="LC46" s="21" t="n">
        <v>354.766</v>
      </c>
      <c r="LD46" s="21" t="n">
        <v>79.815</v>
      </c>
      <c r="LE46" s="21" t="n">
        <v>122.36</v>
      </c>
      <c r="LF46" s="21" t="n">
        <v>322.671</v>
      </c>
      <c r="LG46" s="21" t="n">
        <v>318.067</v>
      </c>
      <c r="LH46" s="21" t="n">
        <v>329.794</v>
      </c>
      <c r="LI46" s="21" t="n">
        <v>302.886</v>
      </c>
      <c r="LJ46" s="21" t="n">
        <v>337.632</v>
      </c>
      <c r="LK46" s="21" t="n">
        <v>103.365</v>
      </c>
      <c r="LL46" s="21" t="n">
        <v>324.03</v>
      </c>
      <c r="LM46" s="21" t="n">
        <v>216.787</v>
      </c>
      <c r="LN46" s="21" t="n">
        <v>42.315</v>
      </c>
      <c r="LO46" s="21" t="n">
        <v>126.14</v>
      </c>
    </row>
    <row r="47">
      <c r="A47" s="22" t="n">
        <v>43374</v>
      </c>
      <c r="B47" s="21" t="n">
        <v>252.772</v>
      </c>
      <c r="C47" s="21" t="n">
        <v>254.012</v>
      </c>
      <c r="D47" s="21" t="n">
        <v>254.17</v>
      </c>
      <c r="E47" s="21" t="n">
        <v>239.558</v>
      </c>
      <c r="F47" s="21" t="n">
        <v>272.303</v>
      </c>
      <c r="G47" s="21" t="n">
        <v>224.574</v>
      </c>
      <c r="H47" s="21" t="n">
        <v>233.256</v>
      </c>
      <c r="I47" s="21" t="n">
        <v>220.252</v>
      </c>
      <c r="J47" s="21" t="n">
        <v>233.161</v>
      </c>
      <c r="K47" s="21" t="n">
        <v>300.074</v>
      </c>
      <c r="L47" s="21" t="n">
        <v>179.705</v>
      </c>
      <c r="M47" s="21" t="n">
        <v>178.779</v>
      </c>
      <c r="N47" s="21" t="n">
        <v>287.624</v>
      </c>
      <c r="O47" s="21" t="n">
        <v>269.875</v>
      </c>
      <c r="P47" s="21" t="n">
        <v>264.949</v>
      </c>
      <c r="Q47" s="21" t="n">
        <v>300.509</v>
      </c>
      <c r="R47" s="21" t="n">
        <v>268.2</v>
      </c>
      <c r="S47" s="21" t="n">
        <v>247.474</v>
      </c>
      <c r="T47" s="21" t="n">
        <v>249.821</v>
      </c>
      <c r="U47" s="21" t="n">
        <v>250.196</v>
      </c>
      <c r="V47" s="21" t="n">
        <v>301.958</v>
      </c>
      <c r="W47" s="21" t="n">
        <v>264.614</v>
      </c>
      <c r="X47" s="21" t="n">
        <v>227.193</v>
      </c>
      <c r="Y47" s="21" t="n">
        <v>204.384</v>
      </c>
      <c r="Z47" s="21" t="n">
        <v>206.645</v>
      </c>
      <c r="AA47" s="21" t="n">
        <v>154.549</v>
      </c>
      <c r="AB47" s="21" t="n">
        <v>286.893</v>
      </c>
      <c r="AC47" s="21" t="n">
        <v>142.296</v>
      </c>
      <c r="AD47" s="21" t="n">
        <v>196.089</v>
      </c>
      <c r="AE47" s="21" t="n">
        <v>219.382</v>
      </c>
      <c r="AF47" s="21" t="n">
        <v>191.505</v>
      </c>
      <c r="AG47" s="21" t="n">
        <v>123.576</v>
      </c>
      <c r="AH47" s="21" t="n">
        <v>221.693</v>
      </c>
      <c r="AI47" s="21" t="n">
        <v>227.291</v>
      </c>
      <c r="AJ47" s="21" t="n">
        <v>142.581</v>
      </c>
      <c r="AK47" s="21" t="n">
        <v>231.5</v>
      </c>
      <c r="AL47" s="21" t="n">
        <v>150.447</v>
      </c>
      <c r="AM47" s="21" t="n">
        <v>248.468</v>
      </c>
      <c r="AN47" s="21" t="n">
        <v>224.26</v>
      </c>
      <c r="AO47" s="21" t="n">
        <v>142.605</v>
      </c>
      <c r="AP47" s="21" t="n">
        <v>296.796</v>
      </c>
      <c r="AQ47" s="21" t="n">
        <v>182.768</v>
      </c>
      <c r="AR47" s="21" t="n">
        <v>148.592</v>
      </c>
      <c r="AS47" s="21" t="n">
        <v>213.377</v>
      </c>
      <c r="AT47" s="21" t="n">
        <v>306.271</v>
      </c>
      <c r="AU47" s="21" t="n">
        <v>217.297</v>
      </c>
      <c r="AV47" s="21" t="n">
        <v>216.317</v>
      </c>
      <c r="AW47" s="21" t="n">
        <v>137.449</v>
      </c>
      <c r="AX47" s="21" t="n">
        <v>196.043</v>
      </c>
      <c r="AY47" s="21" t="n">
        <v>142.02</v>
      </c>
      <c r="AZ47" s="21" t="n">
        <v>228.261</v>
      </c>
      <c r="BA47" s="21" t="n">
        <v>221.465</v>
      </c>
      <c r="BB47" s="21" t="n">
        <v>147.464</v>
      </c>
      <c r="BC47" s="21" t="n">
        <v>297.927</v>
      </c>
      <c r="BD47" s="21" t="n">
        <v>346.123</v>
      </c>
      <c r="BE47" s="21" t="n">
        <v>363.246</v>
      </c>
      <c r="BF47" s="21" t="n">
        <v>331.195</v>
      </c>
      <c r="BG47" s="21" t="n">
        <v>195.409</v>
      </c>
      <c r="BH47" s="21" t="n">
        <v>263.713</v>
      </c>
      <c r="BI47" s="21" t="n">
        <v>512.21</v>
      </c>
      <c r="BJ47" s="21" t="n">
        <v>117.163</v>
      </c>
      <c r="BK47" s="21" t="n">
        <v>326.88</v>
      </c>
      <c r="BL47" s="21" t="n">
        <v>342.607</v>
      </c>
      <c r="BM47" s="21" t="n">
        <v>297.705</v>
      </c>
      <c r="BN47" s="21" t="n">
        <v>327.756</v>
      </c>
      <c r="BO47" s="21" t="n">
        <v>334.382</v>
      </c>
      <c r="BP47" s="21" t="n">
        <v>154.7</v>
      </c>
      <c r="BQ47" s="21" t="n">
        <v>159.426</v>
      </c>
      <c r="BR47" s="21" t="n">
        <v>156.201</v>
      </c>
      <c r="BS47" s="21" t="n">
        <v>167.058</v>
      </c>
      <c r="BT47" s="21" t="n">
        <v>145.013</v>
      </c>
      <c r="BU47" s="21" t="n">
        <v>197.851</v>
      </c>
      <c r="BV47" s="21" t="n">
        <v>154.869</v>
      </c>
      <c r="BW47" s="21" t="n">
        <v>169.17</v>
      </c>
      <c r="BX47" s="21" t="n">
        <v>131.461</v>
      </c>
      <c r="BY47" s="21" t="n">
        <v>166.554</v>
      </c>
      <c r="BZ47" s="21" t="n">
        <v>118.861</v>
      </c>
      <c r="CA47" s="21" t="n">
        <v>116.981</v>
      </c>
      <c r="CB47" s="21" t="n">
        <v>194.784</v>
      </c>
      <c r="CC47" s="21" t="n">
        <v>202.826</v>
      </c>
      <c r="CD47" s="21" t="n">
        <v>129.261</v>
      </c>
      <c r="CE47" s="21" t="n">
        <v>210.163</v>
      </c>
      <c r="CF47" s="21" t="n">
        <v>215.318</v>
      </c>
      <c r="CG47" s="21" t="n">
        <v>185.874</v>
      </c>
      <c r="CH47" s="21" t="n">
        <v>146.172</v>
      </c>
      <c r="CI47" s="21" t="n">
        <v>151.707</v>
      </c>
      <c r="CJ47" s="21" t="n">
        <v>227.778</v>
      </c>
      <c r="CK47" s="21" t="n">
        <v>205.484</v>
      </c>
      <c r="CL47" s="21" t="n">
        <v>244.683</v>
      </c>
      <c r="CM47" s="21" t="n">
        <v>300.947</v>
      </c>
      <c r="CN47" s="21" t="n">
        <v>129.359</v>
      </c>
      <c r="CO47" s="21" t="n">
        <v>158.159</v>
      </c>
      <c r="CP47" s="21" t="n">
        <v>224.739</v>
      </c>
      <c r="CQ47" s="21" t="n">
        <v>243.628</v>
      </c>
      <c r="CR47" s="21" t="n">
        <v>166.37</v>
      </c>
      <c r="CS47" s="21" t="n">
        <v>255.353</v>
      </c>
      <c r="CT47" s="21" t="n">
        <v>242.664</v>
      </c>
      <c r="CU47" s="21" t="n">
        <v>156.095</v>
      </c>
      <c r="CV47" s="21" t="n"/>
      <c r="CW47" s="21" t="n">
        <v>139.47</v>
      </c>
      <c r="CX47" s="21" t="n">
        <v>274.939</v>
      </c>
      <c r="CY47" s="21" t="n">
        <v>131.118</v>
      </c>
      <c r="CZ47" s="21" t="n">
        <v>126.874</v>
      </c>
      <c r="DA47" s="21" t="n">
        <v>277.513</v>
      </c>
      <c r="DB47" s="21" t="n">
        <v>172.018</v>
      </c>
      <c r="DC47" s="21" t="n">
        <v>180.017</v>
      </c>
      <c r="DD47" s="21" t="n">
        <v>148.639</v>
      </c>
      <c r="DE47" s="21" t="n">
        <v>193.155</v>
      </c>
      <c r="DF47" s="21" t="n">
        <v>250.53</v>
      </c>
      <c r="DG47" s="21" t="n">
        <v>203.435</v>
      </c>
      <c r="DH47" s="21" t="n">
        <v>227.783</v>
      </c>
      <c r="DI47" s="21" t="n">
        <v>192.448</v>
      </c>
      <c r="DJ47" s="21" t="n">
        <v>202.253</v>
      </c>
      <c r="DK47" s="21" t="n">
        <v>187.98</v>
      </c>
      <c r="DL47" s="21" t="n">
        <v>170.905</v>
      </c>
      <c r="DM47" s="21" t="n">
        <v>353.196</v>
      </c>
      <c r="DN47" s="21" t="n">
        <v>190.27</v>
      </c>
      <c r="DO47" s="21" t="n">
        <v>260.391</v>
      </c>
      <c r="DP47" s="21" t="n">
        <v>310.401</v>
      </c>
      <c r="DQ47" s="21" t="n">
        <v>322.447</v>
      </c>
      <c r="DR47" s="21" t="n">
        <v>160.665</v>
      </c>
      <c r="DS47" s="21" t="n">
        <v>553.626</v>
      </c>
      <c r="DT47" s="21" t="n">
        <v>328.099</v>
      </c>
      <c r="DU47" s="21" t="n">
        <v>318.018</v>
      </c>
      <c r="DV47" s="21" t="n">
        <v>318.034</v>
      </c>
      <c r="DW47" s="21" t="n">
        <v>241.513</v>
      </c>
      <c r="DX47" s="21" t="n">
        <v>200.238</v>
      </c>
      <c r="DY47" s="21" t="n">
        <v>306.119</v>
      </c>
      <c r="DZ47" s="21" t="n">
        <v>316.185</v>
      </c>
      <c r="EA47" s="21" t="n">
        <v>344.759</v>
      </c>
      <c r="EB47" s="21" t="n">
        <v>202.668</v>
      </c>
      <c r="EC47" s="21" t="n">
        <v>213.229</v>
      </c>
      <c r="ED47" s="21" t="n">
        <v>168.435</v>
      </c>
      <c r="EE47" s="21" t="n">
        <v>239.276</v>
      </c>
      <c r="EF47" s="21" t="n">
        <v>555.154</v>
      </c>
      <c r="EG47" s="21" t="n">
        <v>472.535</v>
      </c>
      <c r="EH47" s="21" t="n">
        <v>122.067</v>
      </c>
      <c r="EI47" s="21" t="n">
        <v>57.879</v>
      </c>
      <c r="EJ47" s="21" t="n">
        <v>63.212</v>
      </c>
      <c r="EK47" s="21" t="n">
        <v>44.841</v>
      </c>
      <c r="EL47" s="21" t="n">
        <v>111.77</v>
      </c>
      <c r="EM47" s="21" t="n">
        <v>68.246</v>
      </c>
      <c r="EN47" s="21" t="n">
        <v>78.047</v>
      </c>
      <c r="EO47" s="21" t="n">
        <v>85.18600000000001</v>
      </c>
      <c r="EP47" s="21" t="n">
        <v>98.16</v>
      </c>
      <c r="EQ47" s="21" t="n">
        <v>67.22</v>
      </c>
      <c r="ER47" s="21" t="n">
        <v>51.04</v>
      </c>
      <c r="ES47" s="21" t="n">
        <v>132.226</v>
      </c>
      <c r="ET47" s="21" t="n">
        <v>84.724</v>
      </c>
      <c r="EU47" s="21" t="n">
        <v>89.392</v>
      </c>
      <c r="EV47" s="21" t="n">
        <v>97.90600000000001</v>
      </c>
      <c r="EW47" s="21" t="n">
        <v>85.307</v>
      </c>
      <c r="EX47" s="21" t="n">
        <v>187.17</v>
      </c>
      <c r="EY47" s="21" t="n">
        <v>119.706</v>
      </c>
      <c r="EZ47" s="21" t="n">
        <v>118.502</v>
      </c>
      <c r="FA47" s="21" t="n">
        <v>167.975</v>
      </c>
      <c r="FB47" s="21" t="n">
        <v>126.021</v>
      </c>
      <c r="FC47" s="21" t="n">
        <v>120.916</v>
      </c>
      <c r="FD47" s="21" t="n">
        <v>123.193</v>
      </c>
      <c r="FE47" s="21" t="n">
        <v>106.326</v>
      </c>
      <c r="FF47" s="21" t="n">
        <v>160.088</v>
      </c>
      <c r="FG47" s="21" t="n">
        <v>79.64700000000001</v>
      </c>
      <c r="FH47" s="21" t="n">
        <v>120.641</v>
      </c>
      <c r="FI47" s="21" t="n">
        <v>109.55</v>
      </c>
      <c r="FJ47" s="21" t="n">
        <v>109.587</v>
      </c>
      <c r="FK47" s="21" t="n">
        <v>111.947</v>
      </c>
      <c r="FL47" s="21" t="n">
        <v>104.781</v>
      </c>
      <c r="FM47" s="21" t="n">
        <v>124.52</v>
      </c>
      <c r="FN47" s="21" t="n">
        <v>77.908</v>
      </c>
      <c r="FO47" s="21" t="n">
        <v>104.459</v>
      </c>
      <c r="FP47" s="21" t="n">
        <v>97.797</v>
      </c>
      <c r="FQ47" s="21" t="n">
        <v>135.303</v>
      </c>
      <c r="FR47" s="21" t="n">
        <v>140.433</v>
      </c>
      <c r="FS47" s="21" t="n">
        <v>152.897</v>
      </c>
      <c r="FT47" s="21" t="n">
        <v>123.573</v>
      </c>
      <c r="FU47" s="21" t="n">
        <v>121.962</v>
      </c>
      <c r="FV47" s="21" t="n">
        <v>174.491</v>
      </c>
      <c r="FW47" s="21" t="n">
        <v>152.479</v>
      </c>
      <c r="FX47" s="21" t="n">
        <v>169.084</v>
      </c>
      <c r="FY47" s="21" t="n">
        <v>213.82</v>
      </c>
      <c r="FZ47" s="21" t="n">
        <v>209.838</v>
      </c>
      <c r="GA47" s="21" t="n">
        <v>98.825</v>
      </c>
      <c r="GB47" s="21" t="n">
        <v>145.457</v>
      </c>
      <c r="GC47" s="21" t="n">
        <v>101.267</v>
      </c>
      <c r="GD47" s="21" t="n">
        <v>141.383</v>
      </c>
      <c r="GE47" s="21" t="n">
        <v>154.699</v>
      </c>
      <c r="GF47" s="21" t="n"/>
      <c r="GG47" s="21" t="n">
        <v>138.247</v>
      </c>
      <c r="GH47" s="21" t="n">
        <v>89.41</v>
      </c>
      <c r="GI47" s="21" t="n">
        <v>127.673</v>
      </c>
      <c r="GJ47" s="21" t="n">
        <v>254.792</v>
      </c>
      <c r="GK47" s="21" t="n">
        <v>253.471</v>
      </c>
      <c r="GL47" s="21" t="n">
        <v>249.308</v>
      </c>
      <c r="GM47" s="21" t="n">
        <v>267.684</v>
      </c>
      <c r="GN47" s="21" t="n">
        <v>262.5</v>
      </c>
      <c r="GO47" s="21" t="n">
        <v>241.39</v>
      </c>
      <c r="GP47" s="21" t="n">
        <v>143.99</v>
      </c>
      <c r="GQ47" s="21" t="n">
        <v>122.645</v>
      </c>
      <c r="GR47" s="21" t="n">
        <v>289.057</v>
      </c>
      <c r="GS47" s="21" t="n">
        <v>177.09</v>
      </c>
      <c r="GT47" s="21" t="n">
        <v>575.1079999999999</v>
      </c>
      <c r="GU47" s="21" t="n">
        <v>206.671</v>
      </c>
      <c r="GV47" s="21" t="n">
        <v>234.243</v>
      </c>
      <c r="GW47" s="21" t="n">
        <v>257.509</v>
      </c>
      <c r="GX47" s="21" t="n">
        <v>263.608</v>
      </c>
      <c r="GY47" s="21" t="n">
        <v>157.45</v>
      </c>
      <c r="GZ47" s="21" t="n"/>
      <c r="HA47" s="21" t="n">
        <v>66.386</v>
      </c>
      <c r="HB47" s="21" t="n">
        <v>485.652</v>
      </c>
      <c r="HC47" s="21" t="n">
        <v>379.662</v>
      </c>
      <c r="HD47" s="21" t="n">
        <v>124.269</v>
      </c>
      <c r="HE47" s="21" t="n">
        <v>524.37</v>
      </c>
      <c r="HF47" s="21" t="n">
        <v>97.104</v>
      </c>
      <c r="HG47" s="21" t="n">
        <v>519.664</v>
      </c>
      <c r="HH47" s="21" t="n">
        <v>378.852</v>
      </c>
      <c r="HI47" s="21" t="n">
        <v>380.489</v>
      </c>
      <c r="HJ47" s="21" t="n">
        <v>486.168</v>
      </c>
      <c r="HK47" s="21" t="n">
        <v>189.815</v>
      </c>
      <c r="HL47" s="21" t="n">
        <v>237.344</v>
      </c>
      <c r="HM47" s="21" t="n">
        <v>79.021</v>
      </c>
      <c r="HN47" s="21" t="n">
        <v>332.853</v>
      </c>
      <c r="HO47" s="21" t="n">
        <v>324.754</v>
      </c>
      <c r="HP47" s="21" t="n">
        <v>735.745</v>
      </c>
      <c r="HQ47" s="21" t="n">
        <v>230.568</v>
      </c>
      <c r="HR47" s="21" t="n">
        <v>118.987</v>
      </c>
      <c r="HS47" s="21" t="n">
        <v>104.301</v>
      </c>
      <c r="HT47" s="21" t="n">
        <v>181.431</v>
      </c>
      <c r="HU47" s="21" t="n">
        <v>472.844</v>
      </c>
      <c r="HV47" s="21" t="n">
        <v>119.096</v>
      </c>
      <c r="HW47" s="21" t="n">
        <v>27.39</v>
      </c>
      <c r="HX47" s="21" t="n">
        <v>173.533</v>
      </c>
      <c r="HY47" s="21" t="n">
        <v>198.551</v>
      </c>
      <c r="HZ47" s="21" t="n">
        <v>150.916</v>
      </c>
      <c r="IA47" s="21" t="n">
        <v>115.082</v>
      </c>
      <c r="IB47" s="21" t="n">
        <v>247.326</v>
      </c>
      <c r="IC47" s="21" t="n">
        <v>194.231</v>
      </c>
      <c r="ID47" s="21" t="n">
        <v>259.576</v>
      </c>
      <c r="IE47" s="21" t="n">
        <v>108.666</v>
      </c>
      <c r="IF47" s="21" t="n">
        <v>144.583</v>
      </c>
      <c r="IG47" s="21" t="n">
        <v>78.27500000000001</v>
      </c>
      <c r="IH47" s="21" t="n">
        <v>74.11</v>
      </c>
      <c r="II47" s="21" t="n">
        <v>53.233</v>
      </c>
      <c r="IJ47" s="21" t="n">
        <v>22.089</v>
      </c>
      <c r="IK47" s="21" t="n">
        <v>36.274</v>
      </c>
      <c r="IL47" s="21" t="n">
        <v>32.469</v>
      </c>
      <c r="IM47" s="21" t="n">
        <v>39.852</v>
      </c>
      <c r="IN47" s="21" t="n">
        <v>94.78400000000001</v>
      </c>
      <c r="IO47" s="21" t="n">
        <v>101.7</v>
      </c>
      <c r="IP47" s="21" t="n">
        <v>168.504</v>
      </c>
      <c r="IQ47" s="21" t="n">
        <v>139.847</v>
      </c>
      <c r="IR47" s="21" t="n">
        <v>380.277</v>
      </c>
      <c r="IS47" s="21" t="n">
        <v>183.282</v>
      </c>
      <c r="IT47" s="21" t="n">
        <v>220.902</v>
      </c>
      <c r="IU47" s="21" t="n">
        <v>315.765</v>
      </c>
      <c r="IV47" s="21" t="n">
        <v>249.413</v>
      </c>
      <c r="IW47" s="21" t="n">
        <v>137.387</v>
      </c>
      <c r="IX47" s="21" t="n">
        <v>261.265</v>
      </c>
      <c r="IY47" s="21" t="n">
        <v>691.11</v>
      </c>
      <c r="IZ47" s="21" t="n">
        <v>748.769</v>
      </c>
      <c r="JA47" s="21" t="n">
        <v>851.726</v>
      </c>
      <c r="JB47" s="21" t="n">
        <v>81.05800000000001</v>
      </c>
      <c r="JC47" s="21" t="n">
        <v>295.806</v>
      </c>
      <c r="JD47" s="21" t="n">
        <v>253.242</v>
      </c>
      <c r="JE47" s="21" t="n">
        <v>73.878</v>
      </c>
      <c r="JF47" s="21" t="n">
        <v>186.669</v>
      </c>
      <c r="JG47" s="21" t="n">
        <v>292.025</v>
      </c>
      <c r="JH47" s="21" t="n">
        <v>314.779</v>
      </c>
      <c r="JI47" s="21" t="n">
        <v>69.964</v>
      </c>
      <c r="JJ47" s="21" t="n">
        <v>110.983</v>
      </c>
      <c r="JK47" s="21" t="n">
        <v>40.573</v>
      </c>
      <c r="JL47" s="21" t="n">
        <v>76.434</v>
      </c>
      <c r="JM47" s="21" t="n">
        <v>238.172</v>
      </c>
      <c r="JN47" s="21" t="n">
        <v>444.334</v>
      </c>
      <c r="JO47" s="21" t="n">
        <v>68.175</v>
      </c>
      <c r="JP47" s="21" t="n">
        <v>442.427</v>
      </c>
      <c r="JQ47" s="21" t="n">
        <v>231.401</v>
      </c>
      <c r="JR47" s="21" t="n">
        <v>161.101</v>
      </c>
      <c r="JS47" s="21" t="n">
        <v>444.485</v>
      </c>
      <c r="JT47" s="21" t="n">
        <v>363.273</v>
      </c>
      <c r="JU47" s="21" t="n">
        <v>334.042</v>
      </c>
      <c r="JV47" s="21" t="n">
        <v>171.696</v>
      </c>
      <c r="JW47" s="21" t="n">
        <v>364.499</v>
      </c>
      <c r="JX47" s="21" t="n">
        <v>254.755</v>
      </c>
      <c r="JY47" s="21" t="n">
        <v>70.93000000000001</v>
      </c>
      <c r="JZ47" s="21" t="n">
        <v>143.328</v>
      </c>
      <c r="KA47" s="21" t="n">
        <v>241.592</v>
      </c>
      <c r="KB47" s="21" t="n">
        <v>257.502</v>
      </c>
      <c r="KC47" s="21" t="n">
        <v>252.534</v>
      </c>
      <c r="KD47" s="21" t="n">
        <v>258.917</v>
      </c>
      <c r="KE47" s="21" t="n">
        <v>233.069</v>
      </c>
      <c r="KF47" s="21" t="n">
        <v>227.421</v>
      </c>
      <c r="KG47" s="21" t="n">
        <v>230.284</v>
      </c>
      <c r="KH47" s="21" t="n">
        <v>235.954</v>
      </c>
      <c r="KI47" s="21" t="n">
        <v>119.319</v>
      </c>
      <c r="KJ47" s="21" t="n">
        <v>185.742</v>
      </c>
      <c r="KK47" s="21" t="n">
        <v>154.892</v>
      </c>
      <c r="KL47" s="21" t="n">
        <v>151.574</v>
      </c>
      <c r="KM47" s="21" t="n">
        <v>143.754</v>
      </c>
      <c r="KN47" s="21" t="n">
        <v>145.026</v>
      </c>
      <c r="KO47" s="21" t="n">
        <v>247.519</v>
      </c>
      <c r="KP47" s="21" t="n">
        <v>104.157</v>
      </c>
      <c r="KQ47" s="21" t="n">
        <v>74.53100000000001</v>
      </c>
      <c r="KR47" s="21" t="n">
        <v>110.228</v>
      </c>
      <c r="KS47" s="21" t="n">
        <v>226.022</v>
      </c>
      <c r="KT47" s="21" t="n">
        <v>259.28</v>
      </c>
      <c r="KU47" s="21" t="n">
        <v>90.047</v>
      </c>
      <c r="KV47" s="21" t="n">
        <v>54.119</v>
      </c>
      <c r="KW47" s="21" t="n">
        <v>227.736</v>
      </c>
      <c r="KX47" s="21" t="n">
        <v>205.189</v>
      </c>
      <c r="KY47" s="21" t="n">
        <v>252.385</v>
      </c>
      <c r="KZ47" s="21" t="n">
        <v>202.325</v>
      </c>
      <c r="LA47" s="21" t="n">
        <v>253.838</v>
      </c>
      <c r="LB47" s="21" t="n">
        <v>112.184</v>
      </c>
      <c r="LC47" s="21" t="n">
        <v>354.967</v>
      </c>
      <c r="LD47" s="21" t="n">
        <v>79.437</v>
      </c>
      <c r="LE47" s="21" t="n">
        <v>122.256</v>
      </c>
      <c r="LF47" s="21" t="n">
        <v>323.501</v>
      </c>
      <c r="LG47" s="21" t="n">
        <v>318.794</v>
      </c>
      <c r="LH47" s="21" t="n">
        <v>330.488</v>
      </c>
      <c r="LI47" s="21" t="n">
        <v>303.54</v>
      </c>
      <c r="LJ47" s="21" t="n">
        <v>338.028</v>
      </c>
      <c r="LK47" s="21" t="n">
        <v>103.75</v>
      </c>
      <c r="LL47" s="21" t="n">
        <v>324.406</v>
      </c>
      <c r="LM47" s="21" t="n">
        <v>217.174</v>
      </c>
      <c r="LN47" s="21" t="n">
        <v>42.11</v>
      </c>
      <c r="LO47" s="21" t="n">
        <v>125.986</v>
      </c>
    </row>
    <row r="48">
      <c r="A48" s="22" t="n">
        <v>43405</v>
      </c>
      <c r="B48" s="21" t="n">
        <v>252.594</v>
      </c>
      <c r="C48" s="21" t="n">
        <v>254.732</v>
      </c>
      <c r="D48" s="21" t="n">
        <v>254.887</v>
      </c>
      <c r="E48" s="21" t="n">
        <v>240.227</v>
      </c>
      <c r="F48" s="21" t="n">
        <v>274.215</v>
      </c>
      <c r="G48" s="21" t="n">
        <v>226.149</v>
      </c>
      <c r="H48" s="21" t="n">
        <v>233.797</v>
      </c>
      <c r="I48" s="21" t="n">
        <v>219.212</v>
      </c>
      <c r="J48" s="21" t="n">
        <v>237.556</v>
      </c>
      <c r="K48" s="21" t="n">
        <v>301.503</v>
      </c>
      <c r="L48" s="21" t="n">
        <v>180.754</v>
      </c>
      <c r="M48" s="21" t="n">
        <v>181.337</v>
      </c>
      <c r="N48" s="21" t="n">
        <v>291.586</v>
      </c>
      <c r="O48" s="21" t="n">
        <v>272.192</v>
      </c>
      <c r="P48" s="21" t="n">
        <v>266.516</v>
      </c>
      <c r="Q48" s="21" t="n">
        <v>304.01</v>
      </c>
      <c r="R48" s="21" t="n">
        <v>268.585</v>
      </c>
      <c r="S48" s="21" t="n">
        <v>248.401</v>
      </c>
      <c r="T48" s="21" t="n">
        <v>250.82</v>
      </c>
      <c r="U48" s="21" t="n">
        <v>251.894</v>
      </c>
      <c r="V48" s="21" t="n">
        <v>302.845</v>
      </c>
      <c r="W48" s="21" t="n">
        <v>266.721</v>
      </c>
      <c r="X48" s="21" t="n">
        <v>225.439</v>
      </c>
      <c r="Y48" s="21" t="n">
        <v>204.948</v>
      </c>
      <c r="Z48" s="21" t="n">
        <v>209.949</v>
      </c>
      <c r="AA48" s="21" t="n">
        <v>157.871</v>
      </c>
      <c r="AB48" s="21" t="n">
        <v>293.588</v>
      </c>
      <c r="AC48" s="21" t="n">
        <v>143.782</v>
      </c>
      <c r="AD48" s="21" t="n">
        <v>199.977</v>
      </c>
      <c r="AE48" s="21" t="n">
        <v>223.706</v>
      </c>
      <c r="AF48" s="21" t="n">
        <v>187.146</v>
      </c>
      <c r="AG48" s="21" t="n">
        <v>126.126</v>
      </c>
      <c r="AH48" s="21" t="n">
        <v>222.153</v>
      </c>
      <c r="AI48" s="21" t="n">
        <v>228.785</v>
      </c>
      <c r="AJ48" s="21" t="n">
        <v>142.491</v>
      </c>
      <c r="AK48" s="21" t="n">
        <v>230.461</v>
      </c>
      <c r="AL48" s="21" t="n">
        <v>149.241</v>
      </c>
      <c r="AM48" s="21" t="n">
        <v>246.869</v>
      </c>
      <c r="AN48" s="21" t="n">
        <v>222.784</v>
      </c>
      <c r="AO48" s="21" t="n">
        <v>149.167</v>
      </c>
      <c r="AP48" s="21" t="n">
        <v>298.047</v>
      </c>
      <c r="AQ48" s="21" t="n">
        <v>184.765</v>
      </c>
      <c r="AR48" s="21" t="n">
        <v>148.53</v>
      </c>
      <c r="AS48" s="21" t="n">
        <v>213.896</v>
      </c>
      <c r="AT48" s="21" t="n">
        <v>306.784</v>
      </c>
      <c r="AU48" s="21" t="n">
        <v>217.225</v>
      </c>
      <c r="AV48" s="21" t="n">
        <v>216.11</v>
      </c>
      <c r="AW48" s="21" t="n">
        <v>137.786</v>
      </c>
      <c r="AX48" s="21" t="n">
        <v>195.373</v>
      </c>
      <c r="AY48" s="21" t="n">
        <v>143.241</v>
      </c>
      <c r="AZ48" s="21" t="n">
        <v>227.412</v>
      </c>
      <c r="BA48" s="21" t="n">
        <v>220.784</v>
      </c>
      <c r="BB48" s="21" t="n">
        <v>146.219</v>
      </c>
      <c r="BC48" s="21" t="n">
        <v>297.82</v>
      </c>
      <c r="BD48" s="21" t="n">
        <v>346.335</v>
      </c>
      <c r="BE48" s="21" t="n">
        <v>359.839</v>
      </c>
      <c r="BF48" s="21" t="n">
        <v>333.41</v>
      </c>
      <c r="BG48" s="21" t="n">
        <v>193.453</v>
      </c>
      <c r="BH48" s="21" t="n">
        <v>264.836</v>
      </c>
      <c r="BI48" s="21" t="n">
        <v>521.734</v>
      </c>
      <c r="BJ48" s="21" t="n">
        <v>117.111</v>
      </c>
      <c r="BK48" s="21" t="n">
        <v>330.845</v>
      </c>
      <c r="BL48" s="21" t="n">
        <v>348.855</v>
      </c>
      <c r="BM48" s="21" t="n">
        <v>287.234</v>
      </c>
      <c r="BN48" s="21" t="n">
        <v>339.418</v>
      </c>
      <c r="BO48" s="21" t="n">
        <v>337.531</v>
      </c>
      <c r="BP48" s="21" t="n">
        <v>154.081</v>
      </c>
      <c r="BQ48" s="21" t="n">
        <v>158.632</v>
      </c>
      <c r="BR48" s="21" t="n">
        <v>155.593</v>
      </c>
      <c r="BS48" s="21" t="n">
        <v>167.187</v>
      </c>
      <c r="BT48" s="21" t="n">
        <v>145.079</v>
      </c>
      <c r="BU48" s="21" t="n">
        <v>198.525</v>
      </c>
      <c r="BV48" s="21" t="n">
        <v>153.506</v>
      </c>
      <c r="BW48" s="21" t="n">
        <v>168.942</v>
      </c>
      <c r="BX48" s="21" t="n">
        <v>131.445</v>
      </c>
      <c r="BY48" s="21" t="n">
        <v>166.889</v>
      </c>
      <c r="BZ48" s="21" t="n">
        <v>118.922</v>
      </c>
      <c r="CA48" s="21" t="n">
        <v>116.667</v>
      </c>
      <c r="CB48" s="21" t="n">
        <v>194.724</v>
      </c>
      <c r="CC48" s="21" t="n">
        <v>204.065</v>
      </c>
      <c r="CD48" s="21" t="n">
        <v>127.999</v>
      </c>
      <c r="CE48" s="21" t="n">
        <v>211.304</v>
      </c>
      <c r="CF48" s="21" t="n">
        <v>216.037</v>
      </c>
      <c r="CG48" s="21" t="n">
        <v>185.604</v>
      </c>
      <c r="CH48" s="21" t="n">
        <v>147.521</v>
      </c>
      <c r="CI48" s="21" t="n">
        <v>152.723</v>
      </c>
      <c r="CJ48" s="21" t="n">
        <v>228.314</v>
      </c>
      <c r="CK48" s="21" t="n">
        <v>208.244</v>
      </c>
      <c r="CL48" s="21" t="n">
        <v>248.018</v>
      </c>
      <c r="CM48" s="21" t="n">
        <v>296.854</v>
      </c>
      <c r="CN48" s="21" t="n">
        <v>129.155</v>
      </c>
      <c r="CO48" s="21" t="n">
        <v>157.478</v>
      </c>
      <c r="CP48" s="21" t="n">
        <v>226.165</v>
      </c>
      <c r="CQ48" s="21" t="n">
        <v>240.747</v>
      </c>
      <c r="CR48" s="21" t="n">
        <v>165.833</v>
      </c>
      <c r="CS48" s="21" t="n">
        <v>256.826</v>
      </c>
      <c r="CT48" s="21" t="n">
        <v>243.826</v>
      </c>
      <c r="CU48" s="21" t="n">
        <v>156.407</v>
      </c>
      <c r="CV48" s="21" t="n"/>
      <c r="CW48" s="21" t="n">
        <v>140.164</v>
      </c>
      <c r="CX48" s="21" t="n">
        <v>276.78</v>
      </c>
      <c r="CY48" s="21" t="n">
        <v>131.844</v>
      </c>
      <c r="CZ48" s="21" t="n">
        <v>126.457</v>
      </c>
      <c r="DA48" s="21" t="n">
        <v>278.306</v>
      </c>
      <c r="DB48" s="21" t="n">
        <v>172.444</v>
      </c>
      <c r="DC48" s="21" t="n">
        <v>179.975</v>
      </c>
      <c r="DD48" s="21" t="n">
        <v>148.652</v>
      </c>
      <c r="DE48" s="21" t="n">
        <v>194.208</v>
      </c>
      <c r="DF48" s="21" t="n">
        <v>251.271</v>
      </c>
      <c r="DG48" s="21" t="n">
        <v>204.136</v>
      </c>
      <c r="DH48" s="21" t="n">
        <v>228.682</v>
      </c>
      <c r="DI48" s="21" t="n">
        <v>192.646</v>
      </c>
      <c r="DJ48" s="21" t="n">
        <v>202.916</v>
      </c>
      <c r="DK48" s="21" t="n">
        <v>188.377</v>
      </c>
      <c r="DL48" s="21" t="n">
        <v>170.396</v>
      </c>
      <c r="DM48" s="21" t="n">
        <v>354.095</v>
      </c>
      <c r="DN48" s="21" t="n">
        <v>190.101</v>
      </c>
      <c r="DO48" s="21" t="n">
        <v>261.054</v>
      </c>
      <c r="DP48" s="21" t="n">
        <v>311.247</v>
      </c>
      <c r="DQ48" s="21" t="n">
        <v>323.633</v>
      </c>
      <c r="DR48" s="21" t="n">
        <v>158.368</v>
      </c>
      <c r="DS48" s="21" t="n">
        <v>554.741</v>
      </c>
      <c r="DT48" s="21" t="n">
        <v>322.692</v>
      </c>
      <c r="DU48" s="21" t="n">
        <v>319.011</v>
      </c>
      <c r="DV48" s="21" t="n">
        <v>319.028</v>
      </c>
      <c r="DW48" s="21" t="n">
        <v>241.92</v>
      </c>
      <c r="DX48" s="21" t="n">
        <v>200.019</v>
      </c>
      <c r="DY48" s="21" t="n">
        <v>298.763</v>
      </c>
      <c r="DZ48" s="21" t="n">
        <v>305.37</v>
      </c>
      <c r="EA48" s="21" t="n">
        <v>340.878</v>
      </c>
      <c r="EB48" s="21" t="n">
        <v>202.723</v>
      </c>
      <c r="EC48" s="21" t="n">
        <v>213.474</v>
      </c>
      <c r="ED48" s="21" t="n">
        <v>167.955</v>
      </c>
      <c r="EE48" s="21" t="n">
        <v>241.862</v>
      </c>
      <c r="EF48" s="21" t="n">
        <v>557.7190000000001</v>
      </c>
      <c r="EG48" s="21" t="n">
        <v>486.65</v>
      </c>
      <c r="EH48" s="21" t="n">
        <v>122.324</v>
      </c>
      <c r="EI48" s="21" t="n">
        <v>57.615</v>
      </c>
      <c r="EJ48" s="21" t="n">
        <v>62.341</v>
      </c>
      <c r="EK48" s="21" t="n">
        <v>44.554</v>
      </c>
      <c r="EL48" s="21" t="n">
        <v>111.217</v>
      </c>
      <c r="EM48" s="21" t="n">
        <v>68.26300000000001</v>
      </c>
      <c r="EN48" s="21" t="n">
        <v>77.76300000000001</v>
      </c>
      <c r="EO48" s="21" t="n">
        <v>85.837</v>
      </c>
      <c r="EP48" s="21" t="n">
        <v>97.21299999999999</v>
      </c>
      <c r="EQ48" s="21" t="n">
        <v>66.125</v>
      </c>
      <c r="ER48" s="21" t="n">
        <v>51.553</v>
      </c>
      <c r="ES48" s="21" t="n">
        <v>130.602</v>
      </c>
      <c r="ET48" s="21" t="n">
        <v>83.489</v>
      </c>
      <c r="EU48" s="21" t="n">
        <v>89.039</v>
      </c>
      <c r="EV48" s="21" t="n">
        <v>98.099</v>
      </c>
      <c r="EW48" s="21" t="n">
        <v>84.98699999999999</v>
      </c>
      <c r="EX48" s="21" t="n">
        <v>188.132</v>
      </c>
      <c r="EY48" s="21" t="n">
        <v>119.621</v>
      </c>
      <c r="EZ48" s="21" t="n">
        <v>118.647</v>
      </c>
      <c r="FA48" s="21" t="n">
        <v>167.463</v>
      </c>
      <c r="FB48" s="21" t="n">
        <v>125.099</v>
      </c>
      <c r="FC48" s="21" t="n">
        <v>119.309</v>
      </c>
      <c r="FD48" s="21" t="n">
        <v>120.844</v>
      </c>
      <c r="FE48" s="21" t="n">
        <v>105.257</v>
      </c>
      <c r="FF48" s="21" t="n">
        <v>159.858</v>
      </c>
      <c r="FG48" s="21" t="n">
        <v>76.634</v>
      </c>
      <c r="FH48" s="21" t="n">
        <v>117.782</v>
      </c>
      <c r="FI48" s="21" t="n">
        <v>111.535</v>
      </c>
      <c r="FJ48" s="21" t="n">
        <v>109.039</v>
      </c>
      <c r="FK48" s="21" t="n">
        <v>111.702</v>
      </c>
      <c r="FL48" s="21" t="n">
        <v>106.108</v>
      </c>
      <c r="FM48" s="21" t="n">
        <v>121.428</v>
      </c>
      <c r="FN48" s="21" t="n">
        <v>77.26000000000001</v>
      </c>
      <c r="FO48" s="21" t="n">
        <v>105.062</v>
      </c>
      <c r="FP48" s="21" t="n">
        <v>95.72</v>
      </c>
      <c r="FQ48" s="21" t="n">
        <v>134.931</v>
      </c>
      <c r="FR48" s="21" t="n">
        <v>139.776</v>
      </c>
      <c r="FS48" s="21" t="n">
        <v>152.988</v>
      </c>
      <c r="FT48" s="21" t="n">
        <v>122.897</v>
      </c>
      <c r="FU48" s="21" t="n">
        <v>121.645</v>
      </c>
      <c r="FV48" s="21" t="n">
        <v>171.843</v>
      </c>
      <c r="FW48" s="21" t="n">
        <v>138.193</v>
      </c>
      <c r="FX48" s="21" t="n">
        <v>172.353</v>
      </c>
      <c r="FY48" s="21" t="n">
        <v>211.019</v>
      </c>
      <c r="FZ48" s="21" t="n">
        <v>206.94</v>
      </c>
      <c r="GA48" s="21" t="n">
        <v>99.461</v>
      </c>
      <c r="GB48" s="21" t="n">
        <v>146.183</v>
      </c>
      <c r="GC48" s="21" t="n">
        <v>101.349</v>
      </c>
      <c r="GD48" s="21" t="n">
        <v>142.276</v>
      </c>
      <c r="GE48" s="21" t="n">
        <v>155.413</v>
      </c>
      <c r="GF48" s="21" t="n"/>
      <c r="GG48" s="21" t="n">
        <v>139.763</v>
      </c>
      <c r="GH48" s="21" t="n">
        <v>89.249</v>
      </c>
      <c r="GI48" s="21" t="n">
        <v>128.502</v>
      </c>
      <c r="GJ48" s="21" t="n">
        <v>239.759</v>
      </c>
      <c r="GK48" s="21" t="n">
        <v>238.309</v>
      </c>
      <c r="GL48" s="21" t="n">
        <v>232.63</v>
      </c>
      <c r="GM48" s="21" t="n">
        <v>255.792</v>
      </c>
      <c r="GN48" s="21" t="n">
        <v>252.227</v>
      </c>
      <c r="GO48" s="21" t="n">
        <v>237.781</v>
      </c>
      <c r="GP48" s="21" t="n">
        <v>144.493</v>
      </c>
      <c r="GQ48" s="21" t="n">
        <v>122.769</v>
      </c>
      <c r="GR48" s="21" t="n">
        <v>290.114</v>
      </c>
      <c r="GS48" s="21" t="n">
        <v>177.765</v>
      </c>
      <c r="GT48" s="21" t="n">
        <v>573.253</v>
      </c>
      <c r="GU48" s="21" t="n">
        <v>207.546</v>
      </c>
      <c r="GV48" s="21" t="n">
        <v>234.947</v>
      </c>
      <c r="GW48" s="21" t="n">
        <v>256.664</v>
      </c>
      <c r="GX48" s="21" t="n">
        <v>261.615</v>
      </c>
      <c r="GY48" s="21" t="n">
        <v>157.483</v>
      </c>
      <c r="GZ48" s="21" t="n"/>
      <c r="HA48" s="21" t="n">
        <v>65.971</v>
      </c>
      <c r="HB48" s="21" t="n">
        <v>487.615</v>
      </c>
      <c r="HC48" s="21" t="n">
        <v>380.658</v>
      </c>
      <c r="HD48" s="21" t="n">
        <v>124.587</v>
      </c>
      <c r="HE48" s="21" t="n">
        <v>525.494</v>
      </c>
      <c r="HF48" s="21" t="n">
        <v>97.505</v>
      </c>
      <c r="HG48" s="21" t="n">
        <v>521.946</v>
      </c>
      <c r="HH48" s="21" t="n">
        <v>379.06</v>
      </c>
      <c r="HI48" s="21" t="n">
        <v>379.872</v>
      </c>
      <c r="HJ48" s="21" t="n">
        <v>486.463</v>
      </c>
      <c r="HK48" s="21" t="n">
        <v>190.045</v>
      </c>
      <c r="HL48" s="21" t="n">
        <v>238.25</v>
      </c>
      <c r="HM48" s="21" t="n">
        <v>79.32899999999999</v>
      </c>
      <c r="HN48" s="21" t="n">
        <v>334.242</v>
      </c>
      <c r="HO48" s="21" t="n">
        <v>324.842</v>
      </c>
      <c r="HP48" s="21" t="n">
        <v>741.183</v>
      </c>
      <c r="HQ48" s="21" t="n">
        <v>231.169</v>
      </c>
      <c r="HR48" s="21" t="n">
        <v>119.352</v>
      </c>
      <c r="HS48" s="21" t="n">
        <v>104.358</v>
      </c>
      <c r="HT48" s="21" t="n">
        <v>178.705</v>
      </c>
      <c r="HU48" s="21" t="n">
        <v>473.871</v>
      </c>
      <c r="HV48" s="21" t="n">
        <v>119.533</v>
      </c>
      <c r="HW48" s="21" t="n">
        <v>26.831</v>
      </c>
      <c r="HX48" s="21" t="n">
        <v>173.761</v>
      </c>
      <c r="HY48" s="21" t="n">
        <v>198.677</v>
      </c>
      <c r="HZ48" s="21" t="n">
        <v>150.883</v>
      </c>
      <c r="IA48" s="21" t="n">
        <v>115.443</v>
      </c>
      <c r="IB48" s="21" t="n">
        <v>247.893</v>
      </c>
      <c r="IC48" s="21" t="n">
        <v>194.404</v>
      </c>
      <c r="ID48" s="21" t="n">
        <v>259.519</v>
      </c>
      <c r="IE48" s="21" t="n">
        <v>109.114</v>
      </c>
      <c r="IF48" s="21" t="n">
        <v>145.303</v>
      </c>
      <c r="IG48" s="21" t="n">
        <v>78.50700000000001</v>
      </c>
      <c r="IH48" s="21" t="n">
        <v>74.82299999999999</v>
      </c>
      <c r="II48" s="21" t="n">
        <v>53.454</v>
      </c>
      <c r="IJ48" s="21" t="n">
        <v>22.203</v>
      </c>
      <c r="IK48" s="21" t="n">
        <v>36.088</v>
      </c>
      <c r="IL48" s="21" t="n">
        <v>32.258</v>
      </c>
      <c r="IM48" s="21" t="n">
        <v>39.683</v>
      </c>
      <c r="IN48" s="21" t="n">
        <v>95.625</v>
      </c>
      <c r="IO48" s="21" t="n">
        <v>101.372</v>
      </c>
      <c r="IP48" s="21" t="n">
        <v>169.763</v>
      </c>
      <c r="IQ48" s="21" t="n">
        <v>141.997</v>
      </c>
      <c r="IR48" s="21" t="n">
        <v>380.427</v>
      </c>
      <c r="IS48" s="21" t="n">
        <v>182.109</v>
      </c>
      <c r="IT48" s="21" t="n">
        <v>220.513</v>
      </c>
      <c r="IU48" s="21" t="n">
        <v>317.633</v>
      </c>
      <c r="IV48" s="21" t="n">
        <v>250.258</v>
      </c>
      <c r="IW48" s="21" t="n">
        <v>136.708</v>
      </c>
      <c r="IX48" s="21" t="n">
        <v>261.912</v>
      </c>
      <c r="IY48" s="21" t="n">
        <v>690.333</v>
      </c>
      <c r="IZ48" s="21" t="n">
        <v>750.744</v>
      </c>
      <c r="JA48" s="21" t="n">
        <v>854.03</v>
      </c>
      <c r="JB48" s="21" t="n">
        <v>81.249</v>
      </c>
      <c r="JC48" s="21" t="n">
        <v>296.855</v>
      </c>
      <c r="JD48" s="21" t="n">
        <v>253.177</v>
      </c>
      <c r="JE48" s="21" t="n">
        <v>73.048</v>
      </c>
      <c r="JF48" s="21" t="n">
        <v>186.743</v>
      </c>
      <c r="JG48" s="21" t="n">
        <v>291.953</v>
      </c>
      <c r="JH48" s="21" t="n">
        <v>316.276</v>
      </c>
      <c r="JI48" s="21" t="n">
        <v>69.15300000000001</v>
      </c>
      <c r="JJ48" s="21" t="n">
        <v>110.608</v>
      </c>
      <c r="JK48" s="21" t="n">
        <v>39.841</v>
      </c>
      <c r="JL48" s="21" t="n">
        <v>76.673</v>
      </c>
      <c r="JM48" s="21" t="n">
        <v>235.162</v>
      </c>
      <c r="JN48" s="21" t="n">
        <v>445.48</v>
      </c>
      <c r="JO48" s="21" t="n">
        <v>68.322</v>
      </c>
      <c r="JP48" s="21" t="n">
        <v>443.297</v>
      </c>
      <c r="JQ48" s="21" t="n">
        <v>232.024</v>
      </c>
      <c r="JR48" s="21" t="n">
        <v>160.79</v>
      </c>
      <c r="JS48" s="21" t="n">
        <v>446.727</v>
      </c>
      <c r="JT48" s="21" t="n">
        <v>368.049</v>
      </c>
      <c r="JU48" s="21" t="n">
        <v>334.515</v>
      </c>
      <c r="JV48" s="21" t="n">
        <v>171.582</v>
      </c>
      <c r="JW48" s="21" t="n">
        <v>365.094</v>
      </c>
      <c r="JX48" s="21" t="n">
        <v>255.444</v>
      </c>
      <c r="JY48" s="21" t="n">
        <v>71.779</v>
      </c>
      <c r="JZ48" s="21" t="n">
        <v>144.835</v>
      </c>
      <c r="KA48" s="21" t="n">
        <v>241.313</v>
      </c>
      <c r="KB48" s="21" t="n">
        <v>258.05</v>
      </c>
      <c r="KC48" s="21" t="n">
        <v>252.22</v>
      </c>
      <c r="KD48" s="21" t="n">
        <v>259.439</v>
      </c>
      <c r="KE48" s="21" t="n">
        <v>232.511</v>
      </c>
      <c r="KF48" s="21" t="n">
        <v>226.586</v>
      </c>
      <c r="KG48" s="21" t="n">
        <v>230.63</v>
      </c>
      <c r="KH48" s="21" t="n">
        <v>236.186</v>
      </c>
      <c r="KI48" s="21" t="n">
        <v>118.295</v>
      </c>
      <c r="KJ48" s="21" t="n">
        <v>184.729</v>
      </c>
      <c r="KK48" s="21" t="n">
        <v>153.347</v>
      </c>
      <c r="KL48" s="21" t="n">
        <v>149.98</v>
      </c>
      <c r="KM48" s="21" t="n">
        <v>143.95</v>
      </c>
      <c r="KN48" s="21" t="n">
        <v>145.03</v>
      </c>
      <c r="KO48" s="21" t="n">
        <v>247.172</v>
      </c>
      <c r="KP48" s="21" t="n">
        <v>104.55</v>
      </c>
      <c r="KQ48" s="21" t="n">
        <v>73.619</v>
      </c>
      <c r="KR48" s="21" t="n">
        <v>109.754</v>
      </c>
      <c r="KS48" s="21" t="n">
        <v>218.5</v>
      </c>
      <c r="KT48" s="21" t="n">
        <v>244.371</v>
      </c>
      <c r="KU48" s="21" t="n">
        <v>90.214</v>
      </c>
      <c r="KV48" s="21" t="n">
        <v>53.266</v>
      </c>
      <c r="KW48" s="21" t="n">
        <v>225.895</v>
      </c>
      <c r="KX48" s="21" t="n">
        <v>201.23</v>
      </c>
      <c r="KY48" s="21" t="n">
        <v>247.109</v>
      </c>
      <c r="KZ48" s="21" t="n">
        <v>198.064</v>
      </c>
      <c r="LA48" s="21" t="n">
        <v>247.939</v>
      </c>
      <c r="LB48" s="21" t="n">
        <v>112.364</v>
      </c>
      <c r="LC48" s="21" t="n">
        <v>354.9</v>
      </c>
      <c r="LD48" s="21" t="n">
        <v>79.401</v>
      </c>
      <c r="LE48" s="21" t="n">
        <v>122.83</v>
      </c>
      <c r="LF48" s="21" t="n">
        <v>324.439</v>
      </c>
      <c r="LG48" s="21" t="n">
        <v>319.438</v>
      </c>
      <c r="LH48" s="21" t="n">
        <v>331.189</v>
      </c>
      <c r="LI48" s="21" t="n">
        <v>304.037</v>
      </c>
      <c r="LJ48" s="21" t="n">
        <v>338.345</v>
      </c>
      <c r="LK48" s="21" t="n">
        <v>104.484</v>
      </c>
      <c r="LL48" s="21" t="n">
        <v>324.079</v>
      </c>
      <c r="LM48" s="21" t="n">
        <v>216.508</v>
      </c>
      <c r="LN48" s="21" t="n">
        <v>41.734</v>
      </c>
      <c r="LO48" s="21" t="n">
        <v>126.228</v>
      </c>
    </row>
    <row r="49">
      <c r="A49" s="22" t="n">
        <v>43435</v>
      </c>
      <c r="B49" s="21" t="n">
        <v>252.767</v>
      </c>
      <c r="C49" s="21" t="n">
        <v>255.681</v>
      </c>
      <c r="D49" s="21" t="n">
        <v>255.877</v>
      </c>
      <c r="E49" s="21" t="n">
        <v>241.137</v>
      </c>
      <c r="F49" s="21" t="n">
        <v>275.534</v>
      </c>
      <c r="G49" s="21" t="n">
        <v>226.882</v>
      </c>
      <c r="H49" s="21" t="n">
        <v>235.218</v>
      </c>
      <c r="I49" s="21" t="n">
        <v>221.966</v>
      </c>
      <c r="J49" s="21" t="n">
        <v>237.497</v>
      </c>
      <c r="K49" s="21" t="n">
        <v>302.426</v>
      </c>
      <c r="L49" s="21" t="n">
        <v>182.93</v>
      </c>
      <c r="M49" s="21" t="n">
        <v>180.673</v>
      </c>
      <c r="N49" s="21" t="n">
        <v>292.612</v>
      </c>
      <c r="O49" s="21" t="n">
        <v>272.041</v>
      </c>
      <c r="P49" s="21" t="n">
        <v>267.089</v>
      </c>
      <c r="Q49" s="21" t="n">
        <v>303.296</v>
      </c>
      <c r="R49" s="21" t="n">
        <v>270.147</v>
      </c>
      <c r="S49" s="21" t="n">
        <v>248.956</v>
      </c>
      <c r="T49" s="21" t="n">
        <v>251.211</v>
      </c>
      <c r="U49" s="21" t="n">
        <v>252.207</v>
      </c>
      <c r="V49" s="21" t="n">
        <v>303.113</v>
      </c>
      <c r="W49" s="21" t="n">
        <v>264.493</v>
      </c>
      <c r="X49" s="21" t="n">
        <v>229.531</v>
      </c>
      <c r="Y49" s="21" t="n">
        <v>205.944</v>
      </c>
      <c r="Z49" s="21" t="n">
        <v>209.978</v>
      </c>
      <c r="AA49" s="21" t="n">
        <v>157.763</v>
      </c>
      <c r="AB49" s="21" t="n">
        <v>298.938</v>
      </c>
      <c r="AC49" s="21" t="n">
        <v>140.313</v>
      </c>
      <c r="AD49" s="21" t="n">
        <v>200.614</v>
      </c>
      <c r="AE49" s="21" t="n">
        <v>223.705</v>
      </c>
      <c r="AF49" s="21" t="n">
        <v>188.385</v>
      </c>
      <c r="AG49" s="21" t="n">
        <v>124.922</v>
      </c>
      <c r="AH49" s="21" t="n">
        <v>222.916</v>
      </c>
      <c r="AI49" s="21" t="n">
        <v>232.825</v>
      </c>
      <c r="AJ49" s="21" t="n">
        <v>143.242</v>
      </c>
      <c r="AK49" s="21" t="n">
        <v>230.602</v>
      </c>
      <c r="AL49" s="21" t="n">
        <v>150.004</v>
      </c>
      <c r="AM49" s="21" t="n">
        <v>243.174</v>
      </c>
      <c r="AN49" s="21" t="n">
        <v>225.697</v>
      </c>
      <c r="AO49" s="21" t="n">
        <v>146.418</v>
      </c>
      <c r="AP49" s="21" t="n">
        <v>299.215</v>
      </c>
      <c r="AQ49" s="21" t="n">
        <v>185.668</v>
      </c>
      <c r="AR49" s="21" t="n">
        <v>148.313</v>
      </c>
      <c r="AS49" s="21" t="n">
        <v>213.941</v>
      </c>
      <c r="AT49" s="21" t="n">
        <v>306.749</v>
      </c>
      <c r="AU49" s="21" t="n">
        <v>220.112</v>
      </c>
      <c r="AV49" s="21" t="n">
        <v>216.497</v>
      </c>
      <c r="AW49" s="21" t="n">
        <v>136.989</v>
      </c>
      <c r="AX49" s="21" t="n">
        <v>195.116</v>
      </c>
      <c r="AY49" s="21" t="n">
        <v>142.522</v>
      </c>
      <c r="AZ49" s="21" t="n">
        <v>227.539</v>
      </c>
      <c r="BA49" s="21" t="n">
        <v>221.997</v>
      </c>
      <c r="BB49" s="21" t="n">
        <v>147.778</v>
      </c>
      <c r="BC49" s="21" t="n">
        <v>302.177</v>
      </c>
      <c r="BD49" s="21" t="n">
        <v>352.244</v>
      </c>
      <c r="BE49" s="21" t="n">
        <v>364.724</v>
      </c>
      <c r="BF49" s="21" t="n">
        <v>339.95</v>
      </c>
      <c r="BG49" s="21" t="n">
        <v>196.258</v>
      </c>
      <c r="BH49" s="21" t="n">
        <v>271.862</v>
      </c>
      <c r="BI49" s="21" t="n">
        <v>547.79</v>
      </c>
      <c r="BJ49" s="21" t="n">
        <v>116.768</v>
      </c>
      <c r="BK49" s="21" t="n">
        <v>337.792</v>
      </c>
      <c r="BL49" s="21" t="n">
        <v>349.922</v>
      </c>
      <c r="BM49" s="21" t="n">
        <v>325.68</v>
      </c>
      <c r="BN49" s="21" t="n">
        <v>352.023</v>
      </c>
      <c r="BO49" s="21" t="n">
        <v>340.213</v>
      </c>
      <c r="BP49" s="21" t="n">
        <v>154.924</v>
      </c>
      <c r="BQ49" s="21" t="n">
        <v>160.356</v>
      </c>
      <c r="BR49" s="21" t="n">
        <v>156.631</v>
      </c>
      <c r="BS49" s="21" t="n">
        <v>168.987</v>
      </c>
      <c r="BT49" s="21" t="n">
        <v>144.35</v>
      </c>
      <c r="BU49" s="21" t="n">
        <v>198.52</v>
      </c>
      <c r="BV49" s="21" t="n">
        <v>154.381</v>
      </c>
      <c r="BW49" s="21" t="n">
        <v>169.542</v>
      </c>
      <c r="BX49" s="21" t="n">
        <v>131.748</v>
      </c>
      <c r="BY49" s="21" t="n">
        <v>167.481</v>
      </c>
      <c r="BZ49" s="21" t="n">
        <v>118.706</v>
      </c>
      <c r="CA49" s="21" t="n">
        <v>117.249</v>
      </c>
      <c r="CB49" s="21" t="n">
        <v>195.735</v>
      </c>
      <c r="CC49" s="21" t="n">
        <v>205.662</v>
      </c>
      <c r="CD49" s="21" t="n">
        <v>129.512</v>
      </c>
      <c r="CE49" s="21" t="n">
        <v>210.875</v>
      </c>
      <c r="CF49" s="21" t="n">
        <v>214.957</v>
      </c>
      <c r="CG49" s="21" t="n">
        <v>183.845</v>
      </c>
      <c r="CH49" s="21" t="n">
        <v>147.435</v>
      </c>
      <c r="CI49" s="21" t="n">
        <v>152.44</v>
      </c>
      <c r="CJ49" s="21" t="n">
        <v>228.129</v>
      </c>
      <c r="CK49" s="21" t="n">
        <v>207.444</v>
      </c>
      <c r="CL49" s="21" t="n">
        <v>246.523</v>
      </c>
      <c r="CM49" s="21" t="n">
        <v>296.522</v>
      </c>
      <c r="CN49" s="21" t="n">
        <v>129.102</v>
      </c>
      <c r="CO49" s="21" t="n">
        <v>157.987</v>
      </c>
      <c r="CP49" s="21" t="n">
        <v>225.801</v>
      </c>
      <c r="CQ49" s="21" t="n">
        <v>244.077</v>
      </c>
      <c r="CR49" s="21" t="n">
        <v>166.092</v>
      </c>
      <c r="CS49" s="21" t="n">
        <v>254.289</v>
      </c>
      <c r="CT49" s="21" t="n">
        <v>243.793</v>
      </c>
      <c r="CU49" s="21" t="n">
        <v>155.104</v>
      </c>
      <c r="CV49" s="21" t="n">
        <v>142.28</v>
      </c>
      <c r="CW49" s="21" t="n">
        <v>140.599</v>
      </c>
      <c r="CX49" s="21" t="n">
        <v>277.887</v>
      </c>
      <c r="CY49" s="21" t="n">
        <v>131.878</v>
      </c>
      <c r="CZ49" s="21" t="n">
        <v>124.969</v>
      </c>
      <c r="DA49" s="21" t="n">
        <v>279.419</v>
      </c>
      <c r="DB49" s="21" t="n">
        <v>173.266</v>
      </c>
      <c r="DC49" s="21" t="n">
        <v>180.302</v>
      </c>
      <c r="DD49" s="21" t="n">
        <v>148.786</v>
      </c>
      <c r="DE49" s="21" t="n">
        <v>194.397</v>
      </c>
      <c r="DF49" s="21" t="n">
        <v>251.659</v>
      </c>
      <c r="DG49" s="21" t="n">
        <v>204.695</v>
      </c>
      <c r="DH49" s="21" t="n">
        <v>229.194</v>
      </c>
      <c r="DI49" s="21" t="n">
        <v>192.623</v>
      </c>
      <c r="DJ49" s="21" t="n">
        <v>202.489</v>
      </c>
      <c r="DK49" s="21" t="n">
        <v>189.174</v>
      </c>
      <c r="DL49" s="21" t="n">
        <v>170.119</v>
      </c>
      <c r="DM49" s="21" t="n">
        <v>353.965</v>
      </c>
      <c r="DN49" s="21" t="n">
        <v>189.734</v>
      </c>
      <c r="DO49" s="21" t="n">
        <v>262.124</v>
      </c>
      <c r="DP49" s="21" t="n">
        <v>312.132</v>
      </c>
      <c r="DQ49" s="21" t="n">
        <v>324.408</v>
      </c>
      <c r="DR49" s="21" t="n">
        <v>161.437</v>
      </c>
      <c r="DS49" s="21" t="n">
        <v>555.42</v>
      </c>
      <c r="DT49" s="21" t="n">
        <v>329.744</v>
      </c>
      <c r="DU49" s="21" t="n">
        <v>319.777</v>
      </c>
      <c r="DV49" s="21" t="n">
        <v>319.79</v>
      </c>
      <c r="DW49" s="21" t="n">
        <v>244.998</v>
      </c>
      <c r="DX49" s="21" t="n">
        <v>203.201</v>
      </c>
      <c r="DY49" s="21" t="n">
        <v>280.556</v>
      </c>
      <c r="DZ49" s="21" t="n">
        <v>276.103</v>
      </c>
      <c r="EA49" s="21" t="n">
        <v>336.374</v>
      </c>
      <c r="EB49" s="21" t="n">
        <v>206.85</v>
      </c>
      <c r="EC49" s="21" t="n">
        <v>215.382</v>
      </c>
      <c r="ED49" s="21" t="n">
        <v>178.218</v>
      </c>
      <c r="EE49" s="21" t="n">
        <v>242.436</v>
      </c>
      <c r="EF49" s="21" t="n">
        <v>559.754</v>
      </c>
      <c r="EG49" s="21" t="n">
        <v>485.935</v>
      </c>
      <c r="EH49" s="21" t="n">
        <v>122.86</v>
      </c>
      <c r="EI49" s="21" t="n">
        <v>57.439</v>
      </c>
      <c r="EJ49" s="21" t="n">
        <v>61.021</v>
      </c>
      <c r="EK49" s="21" t="n">
        <v>44.281</v>
      </c>
      <c r="EL49" s="21" t="n">
        <v>111.923</v>
      </c>
      <c r="EM49" s="21" t="n">
        <v>68.67700000000001</v>
      </c>
      <c r="EN49" s="21" t="n">
        <v>77.53700000000001</v>
      </c>
      <c r="EO49" s="21" t="n">
        <v>86.605</v>
      </c>
      <c r="EP49" s="21" t="n">
        <v>97.637</v>
      </c>
      <c r="EQ49" s="21" t="n">
        <v>64.724</v>
      </c>
      <c r="ER49" s="21" t="n">
        <v>50.837</v>
      </c>
      <c r="ES49" s="21" t="n">
        <v>131.154</v>
      </c>
      <c r="ET49" s="21" t="n">
        <v>83.914</v>
      </c>
      <c r="EU49" s="21" t="n">
        <v>90.059</v>
      </c>
      <c r="EV49" s="21" t="n">
        <v>100.087</v>
      </c>
      <c r="EW49" s="21" t="n">
        <v>85.28100000000001</v>
      </c>
      <c r="EX49" s="21" t="n">
        <v>189.318</v>
      </c>
      <c r="EY49" s="21" t="n">
        <v>119.967</v>
      </c>
      <c r="EZ49" s="21" t="n">
        <v>119.608</v>
      </c>
      <c r="FA49" s="21" t="n">
        <v>170.019</v>
      </c>
      <c r="FB49" s="21" t="n">
        <v>124.356</v>
      </c>
      <c r="FC49" s="21" t="n">
        <v>118.699</v>
      </c>
      <c r="FD49" s="21" t="n">
        <v>119.678</v>
      </c>
      <c r="FE49" s="21" t="n">
        <v>106.73</v>
      </c>
      <c r="FF49" s="21" t="n">
        <v>153.709</v>
      </c>
      <c r="FG49" s="21" t="n">
        <v>75.56399999999999</v>
      </c>
      <c r="FH49" s="21" t="n">
        <v>116.555</v>
      </c>
      <c r="FI49" s="21" t="n">
        <v>111.821</v>
      </c>
      <c r="FJ49" s="21" t="n">
        <v>107.732</v>
      </c>
      <c r="FK49" s="21" t="n">
        <v>110.695</v>
      </c>
      <c r="FL49" s="21" t="n">
        <v>107.156</v>
      </c>
      <c r="FM49" s="21" t="n">
        <v>120.508</v>
      </c>
      <c r="FN49" s="21" t="n">
        <v>76.47199999999999</v>
      </c>
      <c r="FO49" s="21" t="n">
        <v>105.433</v>
      </c>
      <c r="FP49" s="21" t="n">
        <v>92.90000000000001</v>
      </c>
      <c r="FQ49" s="21" t="n">
        <v>134.941</v>
      </c>
      <c r="FR49" s="21" t="n">
        <v>139.105</v>
      </c>
      <c r="FS49" s="21" t="n">
        <v>152.663</v>
      </c>
      <c r="FT49" s="21" t="n">
        <v>122.039</v>
      </c>
      <c r="FU49" s="21" t="n">
        <v>122.519</v>
      </c>
      <c r="FV49" s="21" t="n">
        <v>171.591</v>
      </c>
      <c r="FW49" s="21" t="n">
        <v>133.467</v>
      </c>
      <c r="FX49" s="21" t="n">
        <v>173.078</v>
      </c>
      <c r="FY49" s="21" t="n">
        <v>208.595</v>
      </c>
      <c r="FZ49" s="21" t="n">
        <v>204.407</v>
      </c>
      <c r="GA49" s="21" t="n">
        <v>100.083</v>
      </c>
      <c r="GB49" s="21" t="n">
        <v>147.281</v>
      </c>
      <c r="GC49" s="21" t="n">
        <v>101.444</v>
      </c>
      <c r="GD49" s="21" t="n">
        <v>143.088</v>
      </c>
      <c r="GE49" s="21" t="n">
        <v>156.591</v>
      </c>
      <c r="GF49" s="21" t="n"/>
      <c r="GG49" s="21" t="n">
        <v>140.18</v>
      </c>
      <c r="GH49" s="21" t="n">
        <v>90.136</v>
      </c>
      <c r="GI49" s="21" t="n">
        <v>130.881</v>
      </c>
      <c r="GJ49" s="21" t="n">
        <v>226.645</v>
      </c>
      <c r="GK49" s="21" t="n">
        <v>225.063</v>
      </c>
      <c r="GL49" s="21" t="n">
        <v>219.502</v>
      </c>
      <c r="GM49" s="21" t="n">
        <v>243.456</v>
      </c>
      <c r="GN49" s="21" t="n">
        <v>241.555</v>
      </c>
      <c r="GO49" s="21" t="n">
        <v>226.865</v>
      </c>
      <c r="GP49" s="21" t="n">
        <v>145.105</v>
      </c>
      <c r="GQ49" s="21" t="n">
        <v>123.969</v>
      </c>
      <c r="GR49" s="21" t="n">
        <v>289.705</v>
      </c>
      <c r="GS49" s="21" t="n">
        <v>176.563</v>
      </c>
      <c r="GT49" s="21" t="n">
        <v>572.187</v>
      </c>
      <c r="GU49" s="21" t="n">
        <v>206.626</v>
      </c>
      <c r="GV49" s="21" t="n">
        <v>235.052</v>
      </c>
      <c r="GW49" s="21" t="n">
        <v>256.351</v>
      </c>
      <c r="GX49" s="21" t="n">
        <v>259.347</v>
      </c>
      <c r="GY49" s="21" t="n">
        <v>158.945</v>
      </c>
      <c r="GZ49" s="21" t="n"/>
      <c r="HA49" s="21" t="n">
        <v>65.42400000000001</v>
      </c>
      <c r="HB49" s="21" t="n">
        <v>488.82</v>
      </c>
      <c r="HC49" s="21" t="n">
        <v>378.19</v>
      </c>
      <c r="HD49" s="21" t="n">
        <v>123.765</v>
      </c>
      <c r="HE49" s="21" t="n">
        <v>522.105</v>
      </c>
      <c r="HF49" s="21" t="n">
        <v>96.80800000000001</v>
      </c>
      <c r="HG49" s="21" t="n">
        <v>524.389</v>
      </c>
      <c r="HH49" s="21" t="n">
        <v>379.371</v>
      </c>
      <c r="HI49" s="21" t="n">
        <v>379.885</v>
      </c>
      <c r="HJ49" s="21" t="n">
        <v>487.68</v>
      </c>
      <c r="HK49" s="21" t="n">
        <v>190.62</v>
      </c>
      <c r="HL49" s="21" t="n">
        <v>238.25</v>
      </c>
      <c r="HM49" s="21" t="n">
        <v>79.483</v>
      </c>
      <c r="HN49" s="21" t="n">
        <v>334.964</v>
      </c>
      <c r="HO49" s="21" t="n">
        <v>325.763</v>
      </c>
      <c r="HP49" s="21" t="n">
        <v>742.921</v>
      </c>
      <c r="HQ49" s="21" t="n">
        <v>231.723</v>
      </c>
      <c r="HR49" s="21" t="n">
        <v>120.013</v>
      </c>
      <c r="HS49" s="21" t="n">
        <v>104.395</v>
      </c>
      <c r="HT49" s="21" t="n">
        <v>176.077</v>
      </c>
      <c r="HU49" s="21" t="n">
        <v>475.458</v>
      </c>
      <c r="HV49" s="21" t="n">
        <v>120.345</v>
      </c>
      <c r="HW49" s="21" t="n">
        <v>26.611</v>
      </c>
      <c r="HX49" s="21" t="n">
        <v>174.28</v>
      </c>
      <c r="HY49" s="21" t="n">
        <v>199.524</v>
      </c>
      <c r="HZ49" s="21" t="n">
        <v>151.002</v>
      </c>
      <c r="IA49" s="21" t="n">
        <v>116.411</v>
      </c>
      <c r="IB49" s="21" t="n">
        <v>248.177</v>
      </c>
      <c r="IC49" s="21" t="n">
        <v>194.52</v>
      </c>
      <c r="ID49" s="21" t="n">
        <v>260.062</v>
      </c>
      <c r="IE49" s="21" t="n">
        <v>113.418</v>
      </c>
      <c r="IF49" s="21" t="n">
        <v>155.018</v>
      </c>
      <c r="IG49" s="21" t="n">
        <v>78.70099999999999</v>
      </c>
      <c r="IH49" s="21" t="n">
        <v>74.53100000000001</v>
      </c>
      <c r="II49" s="21" t="n">
        <v>52.977</v>
      </c>
      <c r="IJ49" s="21" t="n">
        <v>22.156</v>
      </c>
      <c r="IK49" s="21" t="n">
        <v>36.331</v>
      </c>
      <c r="IL49" s="21" t="n">
        <v>32.372</v>
      </c>
      <c r="IM49" s="21" t="n">
        <v>39.983</v>
      </c>
      <c r="IN49" s="21" t="n">
        <v>102.386</v>
      </c>
      <c r="IO49" s="21" t="n">
        <v>100.217</v>
      </c>
      <c r="IP49" s="21" t="n">
        <v>170.38</v>
      </c>
      <c r="IQ49" s="21" t="n">
        <v>141.454</v>
      </c>
      <c r="IR49" s="21" t="n">
        <v>387.063</v>
      </c>
      <c r="IS49" s="21" t="n">
        <v>182.899</v>
      </c>
      <c r="IT49" s="21" t="n">
        <v>231.286</v>
      </c>
      <c r="IU49" s="21" t="n">
        <v>315.449</v>
      </c>
      <c r="IV49" s="21" t="n">
        <v>250.376</v>
      </c>
      <c r="IW49" s="21" t="n">
        <v>136.817</v>
      </c>
      <c r="IX49" s="21" t="n">
        <v>262.456</v>
      </c>
      <c r="IY49" s="21" t="n">
        <v>694.8339999999999</v>
      </c>
      <c r="IZ49" s="21" t="n">
        <v>752.155</v>
      </c>
      <c r="JA49" s="21" t="n">
        <v>855.484</v>
      </c>
      <c r="JB49" s="21" t="n">
        <v>81.443</v>
      </c>
      <c r="JC49" s="21" t="n">
        <v>297.642</v>
      </c>
      <c r="JD49" s="21" t="n">
        <v>253.127</v>
      </c>
      <c r="JE49" s="21" t="n">
        <v>73.026</v>
      </c>
      <c r="JF49" s="21" t="n">
        <v>186.483</v>
      </c>
      <c r="JG49" s="21" t="n">
        <v>292.121</v>
      </c>
      <c r="JH49" s="21" t="n">
        <v>311.647</v>
      </c>
      <c r="JI49" s="21" t="n">
        <v>69.134</v>
      </c>
      <c r="JJ49" s="21" t="n">
        <v>110.731</v>
      </c>
      <c r="JK49" s="21" t="n">
        <v>40.11</v>
      </c>
      <c r="JL49" s="21" t="n">
        <v>76.758</v>
      </c>
      <c r="JM49" s="21" t="n">
        <v>231.664</v>
      </c>
      <c r="JN49" s="21" t="n">
        <v>445.059</v>
      </c>
      <c r="JO49" s="21" t="n">
        <v>68.242</v>
      </c>
      <c r="JP49" s="21" t="n">
        <v>442.799</v>
      </c>
      <c r="JQ49" s="21" t="n">
        <v>231.818</v>
      </c>
      <c r="JR49" s="21" t="n">
        <v>160.727</v>
      </c>
      <c r="JS49" s="21" t="n">
        <v>446.678</v>
      </c>
      <c r="JT49" s="21" t="n">
        <v>367.877</v>
      </c>
      <c r="JU49" s="21" t="n">
        <v>334.618</v>
      </c>
      <c r="JV49" s="21" t="n">
        <v>171.983</v>
      </c>
      <c r="JW49" s="21" t="n">
        <v>363.921</v>
      </c>
      <c r="JX49" s="21" t="n">
        <v>254.724</v>
      </c>
      <c r="JY49" s="21" t="n">
        <v>70.11499999999999</v>
      </c>
      <c r="JZ49" s="21" t="n">
        <v>144.888</v>
      </c>
      <c r="KA49" s="21" t="n">
        <v>241.438</v>
      </c>
      <c r="KB49" s="21" t="n">
        <v>258.726</v>
      </c>
      <c r="KC49" s="21" t="n">
        <v>252.27</v>
      </c>
      <c r="KD49" s="21" t="n">
        <v>260.063</v>
      </c>
      <c r="KE49" s="21" t="n">
        <v>232.423</v>
      </c>
      <c r="KF49" s="21" t="n">
        <v>226.262</v>
      </c>
      <c r="KG49" s="21" t="n">
        <v>231.113</v>
      </c>
      <c r="KH49" s="21" t="n">
        <v>236.669</v>
      </c>
      <c r="KI49" s="21" t="n">
        <v>117.396</v>
      </c>
      <c r="KJ49" s="21" t="n">
        <v>183.966</v>
      </c>
      <c r="KK49" s="21" t="n">
        <v>152.034</v>
      </c>
      <c r="KL49" s="21" t="n">
        <v>148.632</v>
      </c>
      <c r="KM49" s="21" t="n">
        <v>144.218</v>
      </c>
      <c r="KN49" s="21" t="n">
        <v>145.277</v>
      </c>
      <c r="KO49" s="21" t="n">
        <v>247.826</v>
      </c>
      <c r="KP49" s="21" t="n">
        <v>104.717</v>
      </c>
      <c r="KQ49" s="21" t="n">
        <v>73.79600000000001</v>
      </c>
      <c r="KR49" s="21" t="n">
        <v>109.826</v>
      </c>
      <c r="KS49" s="21" t="n">
        <v>213.63</v>
      </c>
      <c r="KT49" s="21" t="n">
        <v>230.937</v>
      </c>
      <c r="KU49" s="21" t="n">
        <v>90.30200000000001</v>
      </c>
      <c r="KV49" s="21" t="n">
        <v>53.324</v>
      </c>
      <c r="KW49" s="21" t="n">
        <v>223.996</v>
      </c>
      <c r="KX49" s="21" t="n">
        <v>197.04</v>
      </c>
      <c r="KY49" s="21" t="n">
        <v>240.835</v>
      </c>
      <c r="KZ49" s="21" t="n">
        <v>193.646</v>
      </c>
      <c r="LA49" s="21" t="n">
        <v>241.044</v>
      </c>
      <c r="LB49" s="21" t="n">
        <v>111.948</v>
      </c>
      <c r="LC49" s="21" t="n">
        <v>355.396</v>
      </c>
      <c r="LD49" s="21" t="n">
        <v>80.375</v>
      </c>
      <c r="LE49" s="21" t="n">
        <v>123.13</v>
      </c>
      <c r="LF49" s="21" t="n">
        <v>325.298</v>
      </c>
      <c r="LG49" s="21" t="n">
        <v>320.612</v>
      </c>
      <c r="LH49" s="21" t="n">
        <v>332.093</v>
      </c>
      <c r="LI49" s="21" t="n">
        <v>305.06</v>
      </c>
      <c r="LJ49" s="21" t="n">
        <v>339.74</v>
      </c>
      <c r="LK49" s="21" t="n">
        <v>105.065</v>
      </c>
      <c r="LL49" s="21" t="n">
        <v>324.081</v>
      </c>
      <c r="LM49" s="21" t="n">
        <v>218.094</v>
      </c>
      <c r="LN49" s="21" t="n">
        <v>41.419</v>
      </c>
      <c r="LO49" s="21" t="n">
        <v>126.414</v>
      </c>
    </row>
    <row r="50">
      <c r="A50" s="22" t="n">
        <v>43466</v>
      </c>
      <c r="B50" s="21" t="n">
        <v>252.561</v>
      </c>
      <c r="C50" s="21" t="n">
        <v>256.302</v>
      </c>
      <c r="D50" s="21" t="n">
        <v>256.533</v>
      </c>
      <c r="E50" s="21" t="n">
        <v>241.581</v>
      </c>
      <c r="F50" s="21" t="n">
        <v>275.442</v>
      </c>
      <c r="G50" s="21" t="n">
        <v>226.135</v>
      </c>
      <c r="H50" s="21" t="n">
        <v>235.119</v>
      </c>
      <c r="I50" s="21" t="n">
        <v>219.572</v>
      </c>
      <c r="J50" s="21" t="n">
        <v>236.244</v>
      </c>
      <c r="K50" s="21" t="n">
        <v>303.681</v>
      </c>
      <c r="L50" s="21" t="n">
        <v>182.471</v>
      </c>
      <c r="M50" s="21" t="n">
        <v>181.776</v>
      </c>
      <c r="N50" s="21" t="n">
        <v>289.577</v>
      </c>
      <c r="O50" s="21" t="n">
        <v>270.557</v>
      </c>
      <c r="P50" s="21" t="n">
        <v>268.305</v>
      </c>
      <c r="Q50" s="21" t="n">
        <v>306.137</v>
      </c>
      <c r="R50" s="21" t="n">
        <v>270.138</v>
      </c>
      <c r="S50" s="21" t="n">
        <v>249.304</v>
      </c>
      <c r="T50" s="21" t="n">
        <v>251.95</v>
      </c>
      <c r="U50" s="21" t="n">
        <v>253.507</v>
      </c>
      <c r="V50" s="21" t="n">
        <v>305.967</v>
      </c>
      <c r="W50" s="21" t="n">
        <v>266.971</v>
      </c>
      <c r="X50" s="21" t="n">
        <v>232.801</v>
      </c>
      <c r="Y50" s="21" t="n">
        <v>207.274</v>
      </c>
      <c r="Z50" s="21" t="n">
        <v>210.952</v>
      </c>
      <c r="AA50" s="21" t="n">
        <v>158.906</v>
      </c>
      <c r="AB50" s="21" t="n">
        <v>297.972</v>
      </c>
      <c r="AC50" s="21" t="n">
        <v>144.117</v>
      </c>
      <c r="AD50" s="21" t="n">
        <v>202.123</v>
      </c>
      <c r="AE50" s="21" t="n">
        <v>225.452</v>
      </c>
      <c r="AF50" s="21" t="n">
        <v>180.888</v>
      </c>
      <c r="AG50" s="21" t="n">
        <v>126.92</v>
      </c>
      <c r="AH50" s="21" t="n">
        <v>222.36</v>
      </c>
      <c r="AI50" s="21" t="n">
        <v>230.989</v>
      </c>
      <c r="AJ50" s="21" t="n">
        <v>142.249</v>
      </c>
      <c r="AK50" s="21" t="n">
        <v>230.124</v>
      </c>
      <c r="AL50" s="21" t="n">
        <v>149.588</v>
      </c>
      <c r="AM50" s="21" t="n">
        <v>243.507</v>
      </c>
      <c r="AN50" s="21" t="n">
        <v>223.758</v>
      </c>
      <c r="AO50" s="21" t="n">
        <v>143.797</v>
      </c>
      <c r="AP50" s="21" t="n">
        <v>299.489</v>
      </c>
      <c r="AQ50" s="21" t="n">
        <v>187.271</v>
      </c>
      <c r="AR50" s="21" t="n">
        <v>149.256</v>
      </c>
      <c r="AS50" s="21" t="n">
        <v>214.88</v>
      </c>
      <c r="AT50" s="21" t="n">
        <v>308.693</v>
      </c>
      <c r="AU50" s="21" t="n">
        <v>214.903</v>
      </c>
      <c r="AV50" s="21" t="n">
        <v>216.466</v>
      </c>
      <c r="AW50" s="21" t="n">
        <v>137.728</v>
      </c>
      <c r="AX50" s="21" t="n">
        <v>195.531</v>
      </c>
      <c r="AY50" s="21" t="n">
        <v>143.629</v>
      </c>
      <c r="AZ50" s="21" t="n">
        <v>226.001</v>
      </c>
      <c r="BA50" s="21" t="n">
        <v>221.771</v>
      </c>
      <c r="BB50" s="21" t="n">
        <v>147.823</v>
      </c>
      <c r="BC50" s="21" t="n">
        <v>303.062</v>
      </c>
      <c r="BD50" s="21" t="n">
        <v>353.852</v>
      </c>
      <c r="BE50" s="21" t="n">
        <v>369.05</v>
      </c>
      <c r="BF50" s="21" t="n">
        <v>341.764</v>
      </c>
      <c r="BG50" s="21" t="n">
        <v>194.69</v>
      </c>
      <c r="BH50" s="21" t="n">
        <v>266.978</v>
      </c>
      <c r="BI50" s="21" t="n">
        <v>526.961</v>
      </c>
      <c r="BJ50" s="21" t="n">
        <v>122.277</v>
      </c>
      <c r="BK50" s="21" t="n">
        <v>336.573</v>
      </c>
      <c r="BL50" s="21" t="n">
        <v>355.006</v>
      </c>
      <c r="BM50" s="21" t="n">
        <v>312.611</v>
      </c>
      <c r="BN50" s="21" t="n">
        <v>338.517</v>
      </c>
      <c r="BO50" s="21" t="n">
        <v>343.277</v>
      </c>
      <c r="BP50" s="21" t="n">
        <v>154.412</v>
      </c>
      <c r="BQ50" s="21" t="n">
        <v>161.155</v>
      </c>
      <c r="BR50" s="21" t="n">
        <v>155.846</v>
      </c>
      <c r="BS50" s="21" t="n">
        <v>169.829</v>
      </c>
      <c r="BT50" s="21" t="n">
        <v>143.424</v>
      </c>
      <c r="BU50" s="21" t="n">
        <v>194.856</v>
      </c>
      <c r="BV50" s="21" t="n">
        <v>153.607</v>
      </c>
      <c r="BW50" s="21" t="n">
        <v>170.541</v>
      </c>
      <c r="BX50" s="21" t="n">
        <v>132.92</v>
      </c>
      <c r="BY50" s="21" t="n">
        <v>169.566</v>
      </c>
      <c r="BZ50" s="21" t="n">
        <v>120.018</v>
      </c>
      <c r="CA50" s="21" t="n">
        <v>116.689</v>
      </c>
      <c r="CB50" s="21" t="n">
        <v>194.41</v>
      </c>
      <c r="CC50" s="21" t="n">
        <v>202.168</v>
      </c>
      <c r="CD50" s="21" t="n">
        <v>129.348</v>
      </c>
      <c r="CE50" s="21" t="n">
        <v>211.182</v>
      </c>
      <c r="CF50" s="21" t="n">
        <v>217.745</v>
      </c>
      <c r="CG50" s="21" t="n">
        <v>184.513</v>
      </c>
      <c r="CH50" s="21" t="n">
        <v>146.958</v>
      </c>
      <c r="CI50" s="21" t="n">
        <v>153.166</v>
      </c>
      <c r="CJ50" s="21" t="n">
        <v>228.614</v>
      </c>
      <c r="CK50" s="21" t="n">
        <v>206.668</v>
      </c>
      <c r="CL50" s="21" t="n">
        <v>246.954</v>
      </c>
      <c r="CM50" s="21" t="n">
        <v>302.067</v>
      </c>
      <c r="CN50" s="21" t="n">
        <v>128.976</v>
      </c>
      <c r="CO50" s="21" t="n">
        <v>158.879</v>
      </c>
      <c r="CP50" s="21" t="n">
        <v>225.573</v>
      </c>
      <c r="CQ50" s="21" t="n">
        <v>244.448</v>
      </c>
      <c r="CR50" s="21" t="n">
        <v>166.901</v>
      </c>
      <c r="CS50" s="21" t="n">
        <v>254.49</v>
      </c>
      <c r="CT50" s="21" t="n">
        <v>243.234</v>
      </c>
      <c r="CU50" s="21" t="n">
        <v>154.842</v>
      </c>
      <c r="CV50" s="21" t="n"/>
      <c r="CW50" s="21" t="n">
        <v>139.509</v>
      </c>
      <c r="CX50" s="21" t="n">
        <v>275.293</v>
      </c>
      <c r="CY50" s="21" t="n">
        <v>131.588</v>
      </c>
      <c r="CZ50" s="21" t="n">
        <v>125.668</v>
      </c>
      <c r="DA50" s="21" t="n">
        <v>280.38</v>
      </c>
      <c r="DB50" s="21" t="n">
        <v>173.624</v>
      </c>
      <c r="DC50" s="21" t="n">
        <v>180.342</v>
      </c>
      <c r="DD50" s="21" t="n">
        <v>148.889</v>
      </c>
      <c r="DE50" s="21" t="n">
        <v>194.422</v>
      </c>
      <c r="DF50" s="21" t="n">
        <v>251.816</v>
      </c>
      <c r="DG50" s="21" t="n">
        <v>205.059</v>
      </c>
      <c r="DH50" s="21" t="n">
        <v>229.289</v>
      </c>
      <c r="DI50" s="21" t="n">
        <v>194.362</v>
      </c>
      <c r="DJ50" s="21" t="n">
        <v>207.263</v>
      </c>
      <c r="DK50" s="21" t="n">
        <v>189.766</v>
      </c>
      <c r="DL50" s="21" t="n">
        <v>170.714</v>
      </c>
      <c r="DM50" s="21" t="n">
        <v>354.166</v>
      </c>
      <c r="DN50" s="21" t="n">
        <v>189.292</v>
      </c>
      <c r="DO50" s="21" t="n">
        <v>262.46</v>
      </c>
      <c r="DP50" s="21" t="n">
        <v>312.998</v>
      </c>
      <c r="DQ50" s="21" t="n">
        <v>325.314</v>
      </c>
      <c r="DR50" s="21" t="n">
        <v>163.144</v>
      </c>
      <c r="DS50" s="21" t="n">
        <v>556.607</v>
      </c>
      <c r="DT50" s="21" t="n">
        <v>333.603</v>
      </c>
      <c r="DU50" s="21" t="n">
        <v>320.571</v>
      </c>
      <c r="DV50" s="21" t="n">
        <v>320.587</v>
      </c>
      <c r="DW50" s="21" t="n">
        <v>242.503</v>
      </c>
      <c r="DX50" s="21" t="n">
        <v>200.799</v>
      </c>
      <c r="DY50" s="21" t="n">
        <v>268.941</v>
      </c>
      <c r="DZ50" s="21" t="n">
        <v>261.243</v>
      </c>
      <c r="EA50" s="21" t="n">
        <v>329.501</v>
      </c>
      <c r="EB50" s="21" t="n">
        <v>204.732</v>
      </c>
      <c r="EC50" s="21" t="n">
        <v>213.26</v>
      </c>
      <c r="ED50" s="21" t="n">
        <v>176.156</v>
      </c>
      <c r="EE50" s="21" t="n">
        <v>241.276</v>
      </c>
      <c r="EF50" s="21" t="n">
        <v>560.101</v>
      </c>
      <c r="EG50" s="21" t="n">
        <v>475.687</v>
      </c>
      <c r="EH50" s="21" t="n">
        <v>123.152</v>
      </c>
      <c r="EI50" s="21" t="n">
        <v>57.5</v>
      </c>
      <c r="EJ50" s="21" t="n">
        <v>62.984</v>
      </c>
      <c r="EK50" s="21" t="n">
        <v>44.237</v>
      </c>
      <c r="EL50" s="21" t="n">
        <v>112.313</v>
      </c>
      <c r="EM50" s="21" t="n">
        <v>67.20399999999999</v>
      </c>
      <c r="EN50" s="21" t="n">
        <v>78.664</v>
      </c>
      <c r="EO50" s="21" t="n">
        <v>87.102</v>
      </c>
      <c r="EP50" s="21" t="n">
        <v>97.235</v>
      </c>
      <c r="EQ50" s="21" t="n">
        <v>66.88</v>
      </c>
      <c r="ER50" s="21" t="n">
        <v>50.754</v>
      </c>
      <c r="ES50" s="21" t="n">
        <v>131.012</v>
      </c>
      <c r="ET50" s="21" t="n">
        <v>83.996</v>
      </c>
      <c r="EU50" s="21" t="n">
        <v>90.53700000000001</v>
      </c>
      <c r="EV50" s="21" t="n">
        <v>100.135</v>
      </c>
      <c r="EW50" s="21" t="n">
        <v>86.09399999999999</v>
      </c>
      <c r="EX50" s="21" t="n">
        <v>189.417</v>
      </c>
      <c r="EY50" s="21" t="n">
        <v>120.03</v>
      </c>
      <c r="EZ50" s="21" t="n">
        <v>120.403</v>
      </c>
      <c r="FA50" s="21" t="n">
        <v>170.937</v>
      </c>
      <c r="FB50" s="21" t="n">
        <v>124.466</v>
      </c>
      <c r="FC50" s="21" t="n">
        <v>118.084</v>
      </c>
      <c r="FD50" s="21" t="n">
        <v>117.908</v>
      </c>
      <c r="FE50" s="21" t="n">
        <v>107.032</v>
      </c>
      <c r="FF50" s="21" t="n">
        <v>150.97</v>
      </c>
      <c r="FG50" s="21" t="n">
        <v>75.60599999999999</v>
      </c>
      <c r="FH50" s="21" t="n">
        <v>115.496</v>
      </c>
      <c r="FI50" s="21" t="n">
        <v>113.669</v>
      </c>
      <c r="FJ50" s="21" t="n">
        <v>108.141</v>
      </c>
      <c r="FK50" s="21" t="n">
        <v>111.033</v>
      </c>
      <c r="FL50" s="21" t="n">
        <v>110.068</v>
      </c>
      <c r="FM50" s="21" t="n">
        <v>118.959</v>
      </c>
      <c r="FN50" s="21" t="n">
        <v>77.571</v>
      </c>
      <c r="FO50" s="21" t="n">
        <v>103.812</v>
      </c>
      <c r="FP50" s="21" t="n">
        <v>93.666</v>
      </c>
      <c r="FQ50" s="21" t="n">
        <v>136.429</v>
      </c>
      <c r="FR50" s="21" t="n">
        <v>142.98</v>
      </c>
      <c r="FS50" s="21" t="n">
        <v>153.994</v>
      </c>
      <c r="FT50" s="21" t="n">
        <v>123.101</v>
      </c>
      <c r="FU50" s="21" t="n">
        <v>119.488</v>
      </c>
      <c r="FV50" s="21" t="n">
        <v>170.249</v>
      </c>
      <c r="FW50" s="21" t="n">
        <v>136.069</v>
      </c>
      <c r="FX50" s="21" t="n">
        <v>172.321</v>
      </c>
      <c r="FY50" s="21" t="n">
        <v>205.719</v>
      </c>
      <c r="FZ50" s="21" t="n">
        <v>201.323</v>
      </c>
      <c r="GA50" s="21" t="n">
        <v>100.761</v>
      </c>
      <c r="GB50" s="21" t="n">
        <v>147.792</v>
      </c>
      <c r="GC50" s="21" t="n">
        <v>101.531</v>
      </c>
      <c r="GD50" s="21" t="n">
        <v>143.655</v>
      </c>
      <c r="GE50" s="21" t="n">
        <v>157.182</v>
      </c>
      <c r="GF50" s="21" t="n"/>
      <c r="GG50" s="21" t="n">
        <v>142.214</v>
      </c>
      <c r="GH50" s="21" t="n">
        <v>89.925</v>
      </c>
      <c r="GI50" s="21" t="n">
        <v>131.615</v>
      </c>
      <c r="GJ50" s="21" t="n">
        <v>210.245</v>
      </c>
      <c r="GK50" s="21" t="n">
        <v>208.73</v>
      </c>
      <c r="GL50" s="21" t="n">
        <v>203.348</v>
      </c>
      <c r="GM50" s="21" t="n">
        <v>229.387</v>
      </c>
      <c r="GN50" s="21" t="n">
        <v>229.856</v>
      </c>
      <c r="GO50" s="21" t="n">
        <v>216.239</v>
      </c>
      <c r="GP50" s="21" t="n">
        <v>145.591</v>
      </c>
      <c r="GQ50" s="21" t="n">
        <v>124.369</v>
      </c>
      <c r="GR50" s="21" t="n">
        <v>290.758</v>
      </c>
      <c r="GS50" s="21" t="n">
        <v>176.627</v>
      </c>
      <c r="GT50" s="21" t="n">
        <v>571.5410000000001</v>
      </c>
      <c r="GU50" s="21" t="n">
        <v>209.385</v>
      </c>
      <c r="GV50" s="21" t="n">
        <v>235.919</v>
      </c>
      <c r="GW50" s="21" t="n">
        <v>257.329</v>
      </c>
      <c r="GX50" s="21" t="n">
        <v>261.858</v>
      </c>
      <c r="GY50" s="21" t="n">
        <v>158.035</v>
      </c>
      <c r="GZ50" s="21" t="n"/>
      <c r="HA50" s="21" t="n">
        <v>64.605</v>
      </c>
      <c r="HB50" s="21" t="n">
        <v>489.968</v>
      </c>
      <c r="HC50" s="21" t="n">
        <v>379.777</v>
      </c>
      <c r="HD50" s="21" t="n">
        <v>124.271</v>
      </c>
      <c r="HE50" s="21" t="n">
        <v>525.103</v>
      </c>
      <c r="HF50" s="21" t="n">
        <v>97.285</v>
      </c>
      <c r="HG50" s="21" t="n">
        <v>525.384</v>
      </c>
      <c r="HH50" s="21" t="n">
        <v>380.416</v>
      </c>
      <c r="HI50" s="21" t="n">
        <v>382.032</v>
      </c>
      <c r="HJ50" s="21" t="n">
        <v>490.074</v>
      </c>
      <c r="HK50" s="21" t="n">
        <v>190.551</v>
      </c>
      <c r="HL50" s="21" t="n">
        <v>237.356</v>
      </c>
      <c r="HM50" s="21" t="n">
        <v>79.818</v>
      </c>
      <c r="HN50" s="21" t="n">
        <v>336.225</v>
      </c>
      <c r="HO50" s="21" t="n">
        <v>326.807</v>
      </c>
      <c r="HP50" s="21" t="n">
        <v>745.491</v>
      </c>
      <c r="HQ50" s="21" t="n">
        <v>232.599</v>
      </c>
      <c r="HR50" s="21" t="n">
        <v>120.364</v>
      </c>
      <c r="HS50" s="21" t="n">
        <v>104.868</v>
      </c>
      <c r="HT50" s="21" t="n">
        <v>174.228</v>
      </c>
      <c r="HU50" s="21" t="n">
        <v>476.764</v>
      </c>
      <c r="HV50" s="21" t="n">
        <v>121.931</v>
      </c>
      <c r="HW50" s="21" t="n">
        <v>27.472</v>
      </c>
      <c r="HX50" s="21" t="n">
        <v>174.918</v>
      </c>
      <c r="HY50" s="21" t="n">
        <v>200.421</v>
      </c>
      <c r="HZ50" s="21" t="n">
        <v>151.723</v>
      </c>
      <c r="IA50" s="21" t="n">
        <v>116.707</v>
      </c>
      <c r="IB50" s="21" t="n">
        <v>248.788</v>
      </c>
      <c r="IC50" s="21" t="n">
        <v>195.373</v>
      </c>
      <c r="ID50" s="21" t="n">
        <v>260.653</v>
      </c>
      <c r="IE50" s="21" t="n">
        <v>113.08</v>
      </c>
      <c r="IF50" s="21" t="n">
        <v>154.466</v>
      </c>
      <c r="IG50" s="21" t="n">
        <v>78.54600000000001</v>
      </c>
      <c r="IH50" s="21" t="n">
        <v>73.94199999999999</v>
      </c>
      <c r="II50" s="21" t="n">
        <v>53.199</v>
      </c>
      <c r="IJ50" s="21" t="n">
        <v>22.146</v>
      </c>
      <c r="IK50" s="21" t="n">
        <v>36.209</v>
      </c>
      <c r="IL50" s="21" t="n">
        <v>32.277</v>
      </c>
      <c r="IM50" s="21" t="n">
        <v>39.826</v>
      </c>
      <c r="IN50" s="21" t="n">
        <v>102.169</v>
      </c>
      <c r="IO50" s="21" t="n">
        <v>98.962</v>
      </c>
      <c r="IP50" s="21" t="n">
        <v>170.859</v>
      </c>
      <c r="IQ50" s="21" t="n">
        <v>142.221</v>
      </c>
      <c r="IR50" s="21" t="n">
        <v>387.181</v>
      </c>
      <c r="IS50" s="21" t="n">
        <v>182.806</v>
      </c>
      <c r="IT50" s="21" t="n">
        <v>231.572</v>
      </c>
      <c r="IU50" s="21" t="n">
        <v>316.052</v>
      </c>
      <c r="IV50" s="21" t="n">
        <v>256.169</v>
      </c>
      <c r="IW50" s="21" t="n">
        <v>137.024</v>
      </c>
      <c r="IX50" s="21" t="n">
        <v>262.961</v>
      </c>
      <c r="IY50" s="21" t="n">
        <v>686.211</v>
      </c>
      <c r="IZ50" s="21" t="n">
        <v>754.086</v>
      </c>
      <c r="JA50" s="21" t="n">
        <v>857.279</v>
      </c>
      <c r="JB50" s="21" t="n">
        <v>81.678</v>
      </c>
      <c r="JC50" s="21" t="n">
        <v>298.553</v>
      </c>
      <c r="JD50" s="21" t="n">
        <v>252.263</v>
      </c>
      <c r="JE50" s="21" t="n">
        <v>73.11199999999999</v>
      </c>
      <c r="JF50" s="21" t="n">
        <v>189.346</v>
      </c>
      <c r="JG50" s="21" t="n">
        <v>297.567</v>
      </c>
      <c r="JH50" s="21" t="n">
        <v>309.438</v>
      </c>
      <c r="JI50" s="21" t="n">
        <v>69.184</v>
      </c>
      <c r="JJ50" s="21" t="n">
        <v>110.943</v>
      </c>
      <c r="JK50" s="21" t="n">
        <v>40.044</v>
      </c>
      <c r="JL50" s="21" t="n">
        <v>77.164</v>
      </c>
      <c r="JM50" s="21" t="n">
        <v>228.555</v>
      </c>
      <c r="JN50" s="21" t="n">
        <v>446.257</v>
      </c>
      <c r="JO50" s="21" t="n">
        <v>68.47799999999999</v>
      </c>
      <c r="JP50" s="21" t="n">
        <v>443.924</v>
      </c>
      <c r="JQ50" s="21" t="n">
        <v>232.395</v>
      </c>
      <c r="JR50" s="21" t="n">
        <v>161.397</v>
      </c>
      <c r="JS50" s="21" t="n">
        <v>445.705</v>
      </c>
      <c r="JT50" s="21" t="n">
        <v>363.948</v>
      </c>
      <c r="JU50" s="21" t="n">
        <v>334.714</v>
      </c>
      <c r="JV50" s="21" t="n">
        <v>172.213</v>
      </c>
      <c r="JW50" s="21" t="n">
        <v>365.177</v>
      </c>
      <c r="JX50" s="21" t="n">
        <v>256.585</v>
      </c>
      <c r="JY50" s="21" t="n">
        <v>70.884</v>
      </c>
      <c r="JZ50" s="21" t="n">
        <v>146.402</v>
      </c>
      <c r="KA50" s="21" t="n">
        <v>241.168</v>
      </c>
      <c r="KB50" s="21" t="n">
        <v>259.42</v>
      </c>
      <c r="KC50" s="21" t="n">
        <v>251.933</v>
      </c>
      <c r="KD50" s="21" t="n">
        <v>260.766</v>
      </c>
      <c r="KE50" s="21" t="n">
        <v>231.82</v>
      </c>
      <c r="KF50" s="21" t="n">
        <v>225.385</v>
      </c>
      <c r="KG50" s="21" t="n">
        <v>231.725</v>
      </c>
      <c r="KH50" s="21" t="n">
        <v>237.14</v>
      </c>
      <c r="KI50" s="21" t="n">
        <v>117.166</v>
      </c>
      <c r="KJ50" s="21" t="n">
        <v>183.057</v>
      </c>
      <c r="KK50" s="21" t="n">
        <v>150.643</v>
      </c>
      <c r="KL50" s="21" t="n">
        <v>147.21</v>
      </c>
      <c r="KM50" s="21" t="n">
        <v>144.788</v>
      </c>
      <c r="KN50" s="21" t="n">
        <v>145.635</v>
      </c>
      <c r="KO50" s="21" t="n">
        <v>248.889</v>
      </c>
      <c r="KP50" s="21" t="n">
        <v>105.191</v>
      </c>
      <c r="KQ50" s="21" t="n">
        <v>73.31399999999999</v>
      </c>
      <c r="KR50" s="21" t="n">
        <v>110.071</v>
      </c>
      <c r="KS50" s="21" t="n">
        <v>204.34</v>
      </c>
      <c r="KT50" s="21" t="n">
        <v>214.542</v>
      </c>
      <c r="KU50" s="21" t="n">
        <v>90.565</v>
      </c>
      <c r="KV50" s="21" t="n">
        <v>53.077</v>
      </c>
      <c r="KW50" s="21" t="n">
        <v>222.158</v>
      </c>
      <c r="KX50" s="21" t="n">
        <v>193.206</v>
      </c>
      <c r="KY50" s="21" t="n">
        <v>234.848</v>
      </c>
      <c r="KZ50" s="21" t="n">
        <v>189.575</v>
      </c>
      <c r="LA50" s="21" t="n">
        <v>234.359</v>
      </c>
      <c r="LB50" s="21" t="n">
        <v>112.478</v>
      </c>
      <c r="LC50" s="21" t="n">
        <v>356.16</v>
      </c>
      <c r="LD50" s="21" t="n">
        <v>80.542</v>
      </c>
      <c r="LE50" s="21" t="n">
        <v>123.539</v>
      </c>
      <c r="LF50" s="21" t="n">
        <v>326.29</v>
      </c>
      <c r="LG50" s="21" t="n">
        <v>321.127</v>
      </c>
      <c r="LH50" s="21" t="n">
        <v>332.853</v>
      </c>
      <c r="LI50" s="21" t="n">
        <v>305.435</v>
      </c>
      <c r="LJ50" s="21" t="n">
        <v>339.491</v>
      </c>
      <c r="LK50" s="21" t="n">
        <v>105.853</v>
      </c>
      <c r="LL50" s="21" t="n">
        <v>324.545</v>
      </c>
      <c r="LM50" s="21" t="n">
        <v>217.009</v>
      </c>
      <c r="LN50" s="21" t="n">
        <v>41.571</v>
      </c>
      <c r="LO50" s="21" t="n">
        <v>127.003</v>
      </c>
    </row>
    <row r="51">
      <c r="A51" s="22" t="n">
        <v>43497</v>
      </c>
      <c r="B51" s="21" t="n">
        <v>253.319</v>
      </c>
      <c r="C51" s="21" t="n">
        <v>256.998</v>
      </c>
      <c r="D51" s="21" t="n">
        <v>257.253</v>
      </c>
      <c r="E51" s="21" t="n">
        <v>242.111</v>
      </c>
      <c r="F51" s="21" t="n">
        <v>276.175</v>
      </c>
      <c r="G51" s="21" t="n">
        <v>227.4</v>
      </c>
      <c r="H51" s="21" t="n">
        <v>234.944</v>
      </c>
      <c r="I51" s="21" t="n">
        <v>221.578</v>
      </c>
      <c r="J51" s="21" t="n">
        <v>235.55</v>
      </c>
      <c r="K51" s="21" t="n">
        <v>304.393</v>
      </c>
      <c r="L51" s="21" t="n">
        <v>183.233</v>
      </c>
      <c r="M51" s="21" t="n">
        <v>180.474</v>
      </c>
      <c r="N51" s="21" t="n">
        <v>291.714</v>
      </c>
      <c r="O51" s="21" t="n">
        <v>273.511</v>
      </c>
      <c r="P51" s="21" t="n">
        <v>268.853</v>
      </c>
      <c r="Q51" s="21" t="n">
        <v>307.06</v>
      </c>
      <c r="R51" s="21" t="n">
        <v>269.518</v>
      </c>
      <c r="S51" s="21" t="n">
        <v>250.011</v>
      </c>
      <c r="T51" s="21" t="n">
        <v>253.058</v>
      </c>
      <c r="U51" s="21" t="n">
        <v>253.958</v>
      </c>
      <c r="V51" s="21" t="n">
        <v>306.685</v>
      </c>
      <c r="W51" s="21" t="n">
        <v>266.449</v>
      </c>
      <c r="X51" s="21" t="n">
        <v>232.508</v>
      </c>
      <c r="Y51" s="21" t="n">
        <v>207.214</v>
      </c>
      <c r="Z51" s="21" t="n">
        <v>210.036</v>
      </c>
      <c r="AA51" s="21" t="n">
        <v>159.451</v>
      </c>
      <c r="AB51" s="21" t="n">
        <v>299.296</v>
      </c>
      <c r="AC51" s="21" t="n">
        <v>144.273</v>
      </c>
      <c r="AD51" s="21" t="n">
        <v>196.103</v>
      </c>
      <c r="AE51" s="21" t="n">
        <v>218.388</v>
      </c>
      <c r="AF51" s="21" t="n">
        <v>186.512</v>
      </c>
      <c r="AG51" s="21" t="n">
        <v>124.915</v>
      </c>
      <c r="AH51" s="21" t="n">
        <v>224.353</v>
      </c>
      <c r="AI51" s="21" t="n">
        <v>234.258</v>
      </c>
      <c r="AJ51" s="21" t="n">
        <v>143.894</v>
      </c>
      <c r="AK51" s="21" t="n">
        <v>232.813</v>
      </c>
      <c r="AL51" s="21" t="n">
        <v>150.587</v>
      </c>
      <c r="AM51" s="21" t="n">
        <v>246.826</v>
      </c>
      <c r="AN51" s="21" t="n">
        <v>224.745</v>
      </c>
      <c r="AO51" s="21" t="n">
        <v>148.73</v>
      </c>
      <c r="AP51" s="21" t="n">
        <v>301.047</v>
      </c>
      <c r="AQ51" s="21" t="n">
        <v>186.396</v>
      </c>
      <c r="AR51" s="21" t="n">
        <v>149.863</v>
      </c>
      <c r="AS51" s="21" t="n">
        <v>215.542</v>
      </c>
      <c r="AT51" s="21" t="n">
        <v>310.77</v>
      </c>
      <c r="AU51" s="21" t="n">
        <v>209.915</v>
      </c>
      <c r="AV51" s="21" t="n">
        <v>216.74</v>
      </c>
      <c r="AW51" s="21" t="n">
        <v>138.009</v>
      </c>
      <c r="AX51" s="21" t="n">
        <v>196.934</v>
      </c>
      <c r="AY51" s="21" t="n">
        <v>142.79</v>
      </c>
      <c r="AZ51" s="21" t="n">
        <v>224.692</v>
      </c>
      <c r="BA51" s="21" t="n">
        <v>223.84</v>
      </c>
      <c r="BB51" s="21" t="n">
        <v>147.671</v>
      </c>
      <c r="BC51" s="21" t="n">
        <v>303.461</v>
      </c>
      <c r="BD51" s="21" t="n">
        <v>353.427</v>
      </c>
      <c r="BE51" s="21" t="n">
        <v>364.568</v>
      </c>
      <c r="BF51" s="21" t="n">
        <v>339.87</v>
      </c>
      <c r="BG51" s="21" t="n">
        <v>195.987</v>
      </c>
      <c r="BH51" s="21" t="n">
        <v>263.96</v>
      </c>
      <c r="BI51" s="21" t="n">
        <v>521.884</v>
      </c>
      <c r="BJ51" s="21" t="n">
        <v>119.164</v>
      </c>
      <c r="BK51" s="21" t="n">
        <v>340.358</v>
      </c>
      <c r="BL51" s="21" t="n">
        <v>358.291</v>
      </c>
      <c r="BM51" s="21" t="n">
        <v>322.014</v>
      </c>
      <c r="BN51" s="21" t="n">
        <v>334.793</v>
      </c>
      <c r="BO51" s="21" t="n">
        <v>345.625</v>
      </c>
      <c r="BP51" s="21" t="n">
        <v>156.108</v>
      </c>
      <c r="BQ51" s="21" t="n">
        <v>163.878</v>
      </c>
      <c r="BR51" s="21" t="n">
        <v>158.394</v>
      </c>
      <c r="BS51" s="21" t="n">
        <v>173.369</v>
      </c>
      <c r="BT51" s="21" t="n">
        <v>144.281</v>
      </c>
      <c r="BU51" s="21" t="n">
        <v>198.677</v>
      </c>
      <c r="BV51" s="21" t="n">
        <v>152.479</v>
      </c>
      <c r="BW51" s="21" t="n">
        <v>171.108</v>
      </c>
      <c r="BX51" s="21" t="n">
        <v>133.868</v>
      </c>
      <c r="BY51" s="21" t="n">
        <v>169.708</v>
      </c>
      <c r="BZ51" s="21" t="n">
        <v>121.165</v>
      </c>
      <c r="CA51" s="21" t="n">
        <v>116.592</v>
      </c>
      <c r="CB51" s="21" t="n">
        <v>193.907</v>
      </c>
      <c r="CC51" s="21" t="n">
        <v>201.184</v>
      </c>
      <c r="CD51" s="21" t="n">
        <v>129.384</v>
      </c>
      <c r="CE51" s="21" t="n">
        <v>211.568</v>
      </c>
      <c r="CF51" s="21" t="n">
        <v>218.293</v>
      </c>
      <c r="CG51" s="21" t="n">
        <v>185.84</v>
      </c>
      <c r="CH51" s="21" t="n">
        <v>147.852</v>
      </c>
      <c r="CI51" s="21" t="n">
        <v>154.421</v>
      </c>
      <c r="CJ51" s="21" t="n">
        <v>228.225</v>
      </c>
      <c r="CK51" s="21" t="n">
        <v>208.595</v>
      </c>
      <c r="CL51" s="21" t="n">
        <v>252.715</v>
      </c>
      <c r="CM51" s="21" t="n">
        <v>296.129</v>
      </c>
      <c r="CN51" s="21" t="n">
        <v>129.304</v>
      </c>
      <c r="CO51" s="21" t="n">
        <v>157.496</v>
      </c>
      <c r="CP51" s="21" t="n">
        <v>226.08</v>
      </c>
      <c r="CQ51" s="21" t="n">
        <v>244.381</v>
      </c>
      <c r="CR51" s="21" t="n">
        <v>168.509</v>
      </c>
      <c r="CS51" s="21" t="n">
        <v>254.996</v>
      </c>
      <c r="CT51" s="21" t="n">
        <v>243.235</v>
      </c>
      <c r="CU51" s="21" t="n">
        <v>155.928</v>
      </c>
      <c r="CV51" s="21" t="n"/>
      <c r="CW51" s="21" t="n">
        <v>139.819</v>
      </c>
      <c r="CX51" s="21" t="n">
        <v>277.963</v>
      </c>
      <c r="CY51" s="21" t="n">
        <v>131.337</v>
      </c>
      <c r="CZ51" s="21" t="n">
        <v>124.574</v>
      </c>
      <c r="DA51" s="21" t="n">
        <v>281.373</v>
      </c>
      <c r="DB51" s="21" t="n">
        <v>174.151</v>
      </c>
      <c r="DC51" s="21" t="n">
        <v>180.402</v>
      </c>
      <c r="DD51" s="21" t="n">
        <v>148.726</v>
      </c>
      <c r="DE51" s="21" t="n">
        <v>194.36</v>
      </c>
      <c r="DF51" s="21" t="n">
        <v>252.188</v>
      </c>
      <c r="DG51" s="21" t="n">
        <v>205.947</v>
      </c>
      <c r="DH51" s="21" t="n">
        <v>230.168</v>
      </c>
      <c r="DI51" s="21" t="n">
        <v>196.867</v>
      </c>
      <c r="DJ51" s="21" t="n">
        <v>209.502</v>
      </c>
      <c r="DK51" s="21" t="n">
        <v>191.939</v>
      </c>
      <c r="DL51" s="21" t="n">
        <v>172.406</v>
      </c>
      <c r="DM51" s="21" t="n">
        <v>353.257</v>
      </c>
      <c r="DN51" s="21" t="n">
        <v>187.597</v>
      </c>
      <c r="DO51" s="21" t="n">
        <v>263.144</v>
      </c>
      <c r="DP51" s="21" t="n">
        <v>314.072</v>
      </c>
      <c r="DQ51" s="21" t="n">
        <v>326.22</v>
      </c>
      <c r="DR51" s="21" t="n">
        <v>166.128</v>
      </c>
      <c r="DS51" s="21" t="n">
        <v>557.6130000000001</v>
      </c>
      <c r="DT51" s="21" t="n">
        <v>340.431</v>
      </c>
      <c r="DU51" s="21" t="n">
        <v>321.56</v>
      </c>
      <c r="DV51" s="21" t="n">
        <v>321.579</v>
      </c>
      <c r="DW51" s="21" t="n">
        <v>241.982</v>
      </c>
      <c r="DX51" s="21" t="n">
        <v>200.169</v>
      </c>
      <c r="DY51" s="21" t="n">
        <v>276.268</v>
      </c>
      <c r="DZ51" s="21" t="n">
        <v>274.685</v>
      </c>
      <c r="EA51" s="21" t="n">
        <v>329.264</v>
      </c>
      <c r="EB51" s="21" t="n">
        <v>203.768</v>
      </c>
      <c r="EC51" s="21" t="n">
        <v>212.819</v>
      </c>
      <c r="ED51" s="21" t="n">
        <v>173.748</v>
      </c>
      <c r="EE51" s="21" t="n">
        <v>241.538</v>
      </c>
      <c r="EF51" s="21" t="n">
        <v>560.225</v>
      </c>
      <c r="EG51" s="21" t="n">
        <v>477.474</v>
      </c>
      <c r="EH51" s="21" t="n">
        <v>123.324</v>
      </c>
      <c r="EI51" s="21" t="n">
        <v>56.518</v>
      </c>
      <c r="EJ51" s="21" t="n">
        <v>63.763</v>
      </c>
      <c r="EK51" s="21" t="n">
        <v>43.064</v>
      </c>
      <c r="EL51" s="21" t="n">
        <v>113.192</v>
      </c>
      <c r="EM51" s="21" t="n">
        <v>69.45999999999999</v>
      </c>
      <c r="EN51" s="21" t="n">
        <v>77.875</v>
      </c>
      <c r="EO51" s="21" t="n">
        <v>86.423</v>
      </c>
      <c r="EP51" s="21" t="n">
        <v>93.73999999999999</v>
      </c>
      <c r="EQ51" s="21" t="n">
        <v>66.563</v>
      </c>
      <c r="ER51" s="21" t="n">
        <v>51.036</v>
      </c>
      <c r="ES51" s="21" t="n">
        <v>130.757</v>
      </c>
      <c r="ET51" s="21" t="n">
        <v>83.959</v>
      </c>
      <c r="EU51" s="21" t="n">
        <v>91.566</v>
      </c>
      <c r="EV51" s="21" t="n">
        <v>100.45</v>
      </c>
      <c r="EW51" s="21" t="n">
        <v>87.273</v>
      </c>
      <c r="EX51" s="21" t="n">
        <v>189.213</v>
      </c>
      <c r="EY51" s="21" t="n">
        <v>120.191</v>
      </c>
      <c r="EZ51" s="21" t="n">
        <v>120.118</v>
      </c>
      <c r="FA51" s="21" t="n">
        <v>168.971</v>
      </c>
      <c r="FB51" s="21" t="n">
        <v>124.526</v>
      </c>
      <c r="FC51" s="21" t="n">
        <v>120.213</v>
      </c>
      <c r="FD51" s="21" t="n">
        <v>120.692</v>
      </c>
      <c r="FE51" s="21" t="n">
        <v>109.265</v>
      </c>
      <c r="FF51" s="21" t="n">
        <v>155.479</v>
      </c>
      <c r="FG51" s="21" t="n">
        <v>76.58799999999999</v>
      </c>
      <c r="FH51" s="21" t="n">
        <v>115.219</v>
      </c>
      <c r="FI51" s="21" t="n">
        <v>114.426</v>
      </c>
      <c r="FJ51" s="21" t="n">
        <v>106.928</v>
      </c>
      <c r="FK51" s="21" t="n">
        <v>109.332</v>
      </c>
      <c r="FL51" s="21" t="n">
        <v>107.88</v>
      </c>
      <c r="FM51" s="21" t="n">
        <v>120.462</v>
      </c>
      <c r="FN51" s="21" t="n">
        <v>75.874</v>
      </c>
      <c r="FO51" s="21" t="n">
        <v>100.552</v>
      </c>
      <c r="FP51" s="21" t="n">
        <v>94.91</v>
      </c>
      <c r="FQ51" s="21" t="n">
        <v>136.78</v>
      </c>
      <c r="FR51" s="21" t="n">
        <v>141.71</v>
      </c>
      <c r="FS51" s="21" t="n">
        <v>157.706</v>
      </c>
      <c r="FT51" s="21" t="n">
        <v>123.118</v>
      </c>
      <c r="FU51" s="21" t="n">
        <v>122.224</v>
      </c>
      <c r="FV51" s="21" t="n">
        <v>168.085</v>
      </c>
      <c r="FW51" s="21" t="n">
        <v>129.565</v>
      </c>
      <c r="FX51" s="21" t="n">
        <v>172.218</v>
      </c>
      <c r="FY51" s="21" t="n">
        <v>207.495</v>
      </c>
      <c r="FZ51" s="21" t="n">
        <v>203.071</v>
      </c>
      <c r="GA51" s="21" t="n">
        <v>100.522</v>
      </c>
      <c r="GB51" s="21" t="n">
        <v>147.755</v>
      </c>
      <c r="GC51" s="21" t="n">
        <v>101.614</v>
      </c>
      <c r="GD51" s="21" t="n">
        <v>143.511</v>
      </c>
      <c r="GE51" s="21" t="n">
        <v>157.314</v>
      </c>
      <c r="GF51" s="21" t="n"/>
      <c r="GG51" s="21" t="n">
        <v>142.272</v>
      </c>
      <c r="GH51" s="21" t="n">
        <v>88.488</v>
      </c>
      <c r="GI51" s="21" t="n">
        <v>124.712</v>
      </c>
      <c r="GJ51" s="21" t="n">
        <v>218.602</v>
      </c>
      <c r="GK51" s="21" t="n">
        <v>217.237</v>
      </c>
      <c r="GL51" s="21" t="n">
        <v>212.445</v>
      </c>
      <c r="GM51" s="21" t="n">
        <v>234.625</v>
      </c>
      <c r="GN51" s="21" t="n">
        <v>231.667</v>
      </c>
      <c r="GO51" s="21" t="n">
        <v>214.546</v>
      </c>
      <c r="GP51" s="21" t="n">
        <v>145.466</v>
      </c>
      <c r="GQ51" s="21" t="n">
        <v>124.682</v>
      </c>
      <c r="GR51" s="21" t="n">
        <v>291.993</v>
      </c>
      <c r="GS51" s="21" t="n">
        <v>177.765</v>
      </c>
      <c r="GT51" s="21" t="n">
        <v>570.708</v>
      </c>
      <c r="GU51" s="21" t="n">
        <v>210.336</v>
      </c>
      <c r="GV51" s="21" t="n">
        <v>236.137</v>
      </c>
      <c r="GW51" s="21" t="n">
        <v>259.373</v>
      </c>
      <c r="GX51" s="21" t="n">
        <v>264.965</v>
      </c>
      <c r="GY51" s="21" t="n">
        <v>158.611</v>
      </c>
      <c r="GZ51" s="21" t="n"/>
      <c r="HA51" s="21" t="n">
        <v>65.128</v>
      </c>
      <c r="HB51" s="21" t="n">
        <v>490.16</v>
      </c>
      <c r="HC51" s="21" t="n">
        <v>377.949</v>
      </c>
      <c r="HD51" s="21" t="n">
        <v>123.678</v>
      </c>
      <c r="HE51" s="21" t="n">
        <v>522.971</v>
      </c>
      <c r="HF51" s="21" t="n">
        <v>96.75</v>
      </c>
      <c r="HG51" s="21" t="n">
        <v>526.258</v>
      </c>
      <c r="HH51" s="21" t="n">
        <v>380.748</v>
      </c>
      <c r="HI51" s="21" t="n">
        <v>383.009</v>
      </c>
      <c r="HJ51" s="21" t="n">
        <v>490.771</v>
      </c>
      <c r="HK51" s="21" t="n">
        <v>190.968</v>
      </c>
      <c r="HL51" s="21" t="n">
        <v>238.247</v>
      </c>
      <c r="HM51" s="21" t="n">
        <v>79.863</v>
      </c>
      <c r="HN51" s="21" t="n">
        <v>336.234</v>
      </c>
      <c r="HO51" s="21" t="n">
        <v>327.081</v>
      </c>
      <c r="HP51" s="21" t="n">
        <v>744.747</v>
      </c>
      <c r="HQ51" s="21" t="n">
        <v>233.037</v>
      </c>
      <c r="HR51" s="21" t="n">
        <v>120.119</v>
      </c>
      <c r="HS51" s="21" t="n">
        <v>104.711</v>
      </c>
      <c r="HT51" s="21" t="n">
        <v>169.556</v>
      </c>
      <c r="HU51" s="21" t="n">
        <v>476.302</v>
      </c>
      <c r="HV51" s="21" t="n">
        <v>122.43</v>
      </c>
      <c r="HW51" s="21" t="n">
        <v>26.965</v>
      </c>
      <c r="HX51" s="21" t="n">
        <v>176.081</v>
      </c>
      <c r="HY51" s="21" t="n">
        <v>201.523</v>
      </c>
      <c r="HZ51" s="21" t="n">
        <v>152.726</v>
      </c>
      <c r="IA51" s="21" t="n">
        <v>117.106</v>
      </c>
      <c r="IB51" s="21" t="n">
        <v>250.857</v>
      </c>
      <c r="IC51" s="21" t="n">
        <v>196.02</v>
      </c>
      <c r="ID51" s="21" t="n">
        <v>263.218</v>
      </c>
      <c r="IE51" s="21" t="n">
        <v>111.449</v>
      </c>
      <c r="IF51" s="21" t="n">
        <v>151.855</v>
      </c>
      <c r="IG51" s="21" t="n">
        <v>77.697</v>
      </c>
      <c r="IH51" s="21" t="n">
        <v>73.184</v>
      </c>
      <c r="II51" s="21" t="n">
        <v>52.138</v>
      </c>
      <c r="IJ51" s="21" t="n">
        <v>21.806</v>
      </c>
      <c r="IK51" s="21" t="n">
        <v>36.065</v>
      </c>
      <c r="IL51" s="21" t="n">
        <v>32.032</v>
      </c>
      <c r="IM51" s="21" t="n">
        <v>39.861</v>
      </c>
      <c r="IN51" s="21" t="n">
        <v>104.032</v>
      </c>
      <c r="IO51" s="21" t="n">
        <v>99.464</v>
      </c>
      <c r="IP51" s="21" t="n">
        <v>170.562</v>
      </c>
      <c r="IQ51" s="21" t="n">
        <v>143.416</v>
      </c>
      <c r="IR51" s="21" t="n">
        <v>380.941</v>
      </c>
      <c r="IS51" s="21" t="n">
        <v>183.353</v>
      </c>
      <c r="IT51" s="21" t="n">
        <v>214.823</v>
      </c>
      <c r="IU51" s="21" t="n">
        <v>317.446</v>
      </c>
      <c r="IV51" s="21" t="n">
        <v>249.163</v>
      </c>
      <c r="IW51" s="21" t="n">
        <v>137.151</v>
      </c>
      <c r="IX51" s="21" t="n">
        <v>263.7</v>
      </c>
      <c r="IY51" s="21" t="n">
        <v>692.467</v>
      </c>
      <c r="IZ51" s="21" t="n">
        <v>755.996</v>
      </c>
      <c r="JA51" s="21" t="n">
        <v>859.434</v>
      </c>
      <c r="JB51" s="21" t="n">
        <v>81.97199999999999</v>
      </c>
      <c r="JC51" s="21" t="n">
        <v>299.171</v>
      </c>
      <c r="JD51" s="21" t="n">
        <v>252.23</v>
      </c>
      <c r="JE51" s="21" t="n">
        <v>73.06</v>
      </c>
      <c r="JF51" s="21" t="n">
        <v>192.199</v>
      </c>
      <c r="JG51" s="21" t="n">
        <v>302.178</v>
      </c>
      <c r="JH51" s="21" t="n">
        <v>313.17</v>
      </c>
      <c r="JI51" s="21" t="n">
        <v>69.09999999999999</v>
      </c>
      <c r="JJ51" s="21" t="n">
        <v>110.635</v>
      </c>
      <c r="JK51" s="21" t="n">
        <v>39.649</v>
      </c>
      <c r="JL51" s="21" t="n">
        <v>77.21299999999999</v>
      </c>
      <c r="JM51" s="21" t="n">
        <v>225.813</v>
      </c>
      <c r="JN51" s="21" t="n">
        <v>447.804</v>
      </c>
      <c r="JO51" s="21" t="n">
        <v>68.617</v>
      </c>
      <c r="JP51" s="21" t="n">
        <v>444.687</v>
      </c>
      <c r="JQ51" s="21" t="n">
        <v>233.288</v>
      </c>
      <c r="JR51" s="21" t="n">
        <v>160.772</v>
      </c>
      <c r="JS51" s="21" t="n">
        <v>448.936</v>
      </c>
      <c r="JT51" s="21" t="n">
        <v>367.054</v>
      </c>
      <c r="JU51" s="21" t="n">
        <v>335.216</v>
      </c>
      <c r="JV51" s="21" t="n">
        <v>172.911</v>
      </c>
      <c r="JW51" s="21" t="n">
        <v>369.746</v>
      </c>
      <c r="JX51" s="21" t="n">
        <v>262.951</v>
      </c>
      <c r="JY51" s="21" t="n">
        <v>73.304</v>
      </c>
      <c r="JZ51" s="21" t="n">
        <v>148.586</v>
      </c>
      <c r="KA51" s="21" t="n">
        <v>241.953</v>
      </c>
      <c r="KB51" s="21" t="n">
        <v>259.882</v>
      </c>
      <c r="KC51" s="21" t="n">
        <v>252.697</v>
      </c>
      <c r="KD51" s="21" t="n">
        <v>261.186</v>
      </c>
      <c r="KE51" s="21" t="n">
        <v>232.467</v>
      </c>
      <c r="KF51" s="21" t="n">
        <v>226.013</v>
      </c>
      <c r="KG51" s="21" t="n">
        <v>231.794</v>
      </c>
      <c r="KH51" s="21" t="n">
        <v>237.21</v>
      </c>
      <c r="KI51" s="21" t="n">
        <v>117.153</v>
      </c>
      <c r="KJ51" s="21" t="n">
        <v>183.967</v>
      </c>
      <c r="KK51" s="21" t="n">
        <v>151.576</v>
      </c>
      <c r="KL51" s="21" t="n">
        <v>148.152</v>
      </c>
      <c r="KM51" s="21" t="n">
        <v>144.749</v>
      </c>
      <c r="KN51" s="21" t="n">
        <v>145.582</v>
      </c>
      <c r="KO51" s="21" t="n">
        <v>249.51</v>
      </c>
      <c r="KP51" s="21" t="n">
        <v>105.247</v>
      </c>
      <c r="KQ51" s="21" t="n">
        <v>72.95099999999999</v>
      </c>
      <c r="KR51" s="21" t="n">
        <v>110.229</v>
      </c>
      <c r="KS51" s="21" t="n">
        <v>208.144</v>
      </c>
      <c r="KT51" s="21" t="n">
        <v>222.948</v>
      </c>
      <c r="KU51" s="21" t="n">
        <v>90.818</v>
      </c>
      <c r="KV51" s="21" t="n">
        <v>52.574</v>
      </c>
      <c r="KW51" s="21" t="n">
        <v>223.809</v>
      </c>
      <c r="KX51" s="21" t="n">
        <v>196.034</v>
      </c>
      <c r="KY51" s="21" t="n">
        <v>238.323</v>
      </c>
      <c r="KZ51" s="21" t="n">
        <v>192.543</v>
      </c>
      <c r="LA51" s="21" t="n">
        <v>238.217</v>
      </c>
      <c r="LB51" s="21" t="n">
        <v>112.878</v>
      </c>
      <c r="LC51" s="21" t="n">
        <v>356.728</v>
      </c>
      <c r="LD51" s="21" t="n">
        <v>79.997</v>
      </c>
      <c r="LE51" s="21" t="n">
        <v>123.558</v>
      </c>
      <c r="LF51" s="21" t="n">
        <v>327.391</v>
      </c>
      <c r="LG51" s="21" t="n">
        <v>321.747</v>
      </c>
      <c r="LH51" s="21" t="n">
        <v>333.622</v>
      </c>
      <c r="LI51" s="21" t="n">
        <v>306.034</v>
      </c>
      <c r="LJ51" s="21" t="n">
        <v>339.578</v>
      </c>
      <c r="LK51" s="21" t="n">
        <v>105.846</v>
      </c>
      <c r="LL51" s="21" t="n">
        <v>324.291</v>
      </c>
      <c r="LM51" s="21" t="n">
        <v>217.225</v>
      </c>
      <c r="LN51" s="21" t="n">
        <v>40.987</v>
      </c>
      <c r="LO51" s="21" t="n">
        <v>127.036</v>
      </c>
    </row>
    <row r="52">
      <c r="A52" s="22" t="n">
        <v>43525</v>
      </c>
      <c r="B52" s="21" t="n">
        <v>254.277</v>
      </c>
      <c r="C52" s="21" t="n">
        <v>257.374</v>
      </c>
      <c r="D52" s="21" t="n">
        <v>257.681</v>
      </c>
      <c r="E52" s="21" t="n">
        <v>242.482</v>
      </c>
      <c r="F52" s="21" t="n">
        <v>276.658</v>
      </c>
      <c r="G52" s="21" t="n">
        <v>230.243</v>
      </c>
      <c r="H52" s="21" t="n">
        <v>236.182</v>
      </c>
      <c r="I52" s="21" t="n">
        <v>224.248</v>
      </c>
      <c r="J52" s="21" t="n">
        <v>241.199</v>
      </c>
      <c r="K52" s="21" t="n">
        <v>304.245</v>
      </c>
      <c r="L52" s="21" t="n">
        <v>183.085</v>
      </c>
      <c r="M52" s="21" t="n">
        <v>181.181</v>
      </c>
      <c r="N52" s="21" t="n">
        <v>289.955</v>
      </c>
      <c r="O52" s="21" t="n">
        <v>268.664</v>
      </c>
      <c r="P52" s="21" t="n">
        <v>269.843</v>
      </c>
      <c r="Q52" s="21" t="n">
        <v>303.19</v>
      </c>
      <c r="R52" s="21" t="n">
        <v>271.586</v>
      </c>
      <c r="S52" s="21" t="n">
        <v>249.567</v>
      </c>
      <c r="T52" s="21" t="n">
        <v>252.444</v>
      </c>
      <c r="U52" s="21" t="n">
        <v>254.242</v>
      </c>
      <c r="V52" s="21" t="n">
        <v>306.42</v>
      </c>
      <c r="W52" s="21" t="n">
        <v>264.782</v>
      </c>
      <c r="X52" s="21" t="n">
        <v>233.788</v>
      </c>
      <c r="Y52" s="21" t="n">
        <v>208.56</v>
      </c>
      <c r="Z52" s="21" t="n">
        <v>211.811</v>
      </c>
      <c r="AA52" s="21" t="n">
        <v>159.759</v>
      </c>
      <c r="AB52" s="21" t="n">
        <v>303.248</v>
      </c>
      <c r="AC52" s="21" t="n">
        <v>142.652</v>
      </c>
      <c r="AD52" s="21" t="n">
        <v>203.223</v>
      </c>
      <c r="AE52" s="21" t="n">
        <v>227.229</v>
      </c>
      <c r="AF52" s="21" t="n">
        <v>184.792</v>
      </c>
      <c r="AG52" s="21" t="n">
        <v>125.617</v>
      </c>
      <c r="AH52" s="21" t="n">
        <v>223.277</v>
      </c>
      <c r="AI52" s="21" t="n">
        <v>232.13</v>
      </c>
      <c r="AJ52" s="21" t="n">
        <v>143.363</v>
      </c>
      <c r="AK52" s="21" t="n">
        <v>230.655</v>
      </c>
      <c r="AL52" s="21" t="n">
        <v>149.637</v>
      </c>
      <c r="AM52" s="21" t="n">
        <v>246.103</v>
      </c>
      <c r="AN52" s="21" t="n">
        <v>223.317</v>
      </c>
      <c r="AO52" s="21" t="n">
        <v>145.719</v>
      </c>
      <c r="AP52" s="21" t="n">
        <v>298.893</v>
      </c>
      <c r="AQ52" s="21" t="n">
        <v>186.845</v>
      </c>
      <c r="AR52" s="21" t="n">
        <v>149.444</v>
      </c>
      <c r="AS52" s="21" t="n">
        <v>212.834</v>
      </c>
      <c r="AT52" s="21" t="n">
        <v>310.632</v>
      </c>
      <c r="AU52" s="21" t="n">
        <v>211.885</v>
      </c>
      <c r="AV52" s="21" t="n">
        <v>217.596</v>
      </c>
      <c r="AW52" s="21" t="n">
        <v>139.885</v>
      </c>
      <c r="AX52" s="21" t="n">
        <v>198.948</v>
      </c>
      <c r="AY52" s="21" t="n">
        <v>144.605</v>
      </c>
      <c r="AZ52" s="21" t="n">
        <v>225.253</v>
      </c>
      <c r="BA52" s="21" t="n">
        <v>220.715</v>
      </c>
      <c r="BB52" s="21" t="n">
        <v>148.809</v>
      </c>
      <c r="BC52" s="21" t="n">
        <v>306.206</v>
      </c>
      <c r="BD52" s="21" t="n">
        <v>356.454</v>
      </c>
      <c r="BE52" s="21" t="n">
        <v>366.027</v>
      </c>
      <c r="BF52" s="21" t="n">
        <v>343.143</v>
      </c>
      <c r="BG52" s="21" t="n">
        <v>198.299</v>
      </c>
      <c r="BH52" s="21" t="n">
        <v>265.868</v>
      </c>
      <c r="BI52" s="21" t="n">
        <v>539.831</v>
      </c>
      <c r="BJ52" s="21" t="n">
        <v>118.181</v>
      </c>
      <c r="BK52" s="21" t="n">
        <v>344.999</v>
      </c>
      <c r="BL52" s="21" t="n">
        <v>363.211</v>
      </c>
      <c r="BM52" s="21" t="n">
        <v>336.683</v>
      </c>
      <c r="BN52" s="21" t="n">
        <v>336.771</v>
      </c>
      <c r="BO52" s="21" t="n">
        <v>347.074</v>
      </c>
      <c r="BP52" s="21" t="n">
        <v>157.805</v>
      </c>
      <c r="BQ52" s="21" t="n">
        <v>166.263</v>
      </c>
      <c r="BR52" s="21" t="n">
        <v>162.531</v>
      </c>
      <c r="BS52" s="21" t="n">
        <v>173.796</v>
      </c>
      <c r="BT52" s="21" t="n">
        <v>145.054</v>
      </c>
      <c r="BU52" s="21" t="n">
        <v>200.544</v>
      </c>
      <c r="BV52" s="21" t="n">
        <v>152.892</v>
      </c>
      <c r="BW52" s="21" t="n">
        <v>170.895</v>
      </c>
      <c r="BX52" s="21" t="n">
        <v>133.613</v>
      </c>
      <c r="BY52" s="21" t="n">
        <v>170.219</v>
      </c>
      <c r="BZ52" s="21" t="n">
        <v>120.437</v>
      </c>
      <c r="CA52" s="21" t="n">
        <v>116.211</v>
      </c>
      <c r="CB52" s="21" t="n">
        <v>193.174</v>
      </c>
      <c r="CC52" s="21" t="n">
        <v>200.423</v>
      </c>
      <c r="CD52" s="21" t="n">
        <v>128.834</v>
      </c>
      <c r="CE52" s="21" t="n">
        <v>211.435</v>
      </c>
      <c r="CF52" s="21" t="n">
        <v>220.618</v>
      </c>
      <c r="CG52" s="21" t="n">
        <v>186.333</v>
      </c>
      <c r="CH52" s="21" t="n">
        <v>148.794</v>
      </c>
      <c r="CI52" s="21" t="n">
        <v>157.166</v>
      </c>
      <c r="CJ52" s="21" t="n">
        <v>229.161</v>
      </c>
      <c r="CK52" s="21" t="n">
        <v>210.031</v>
      </c>
      <c r="CL52" s="21" t="n">
        <v>249.429</v>
      </c>
      <c r="CM52" s="21" t="n">
        <v>301.099</v>
      </c>
      <c r="CN52" s="21" t="n">
        <v>129.083</v>
      </c>
      <c r="CO52" s="21" t="n">
        <v>158.429</v>
      </c>
      <c r="CP52" s="21" t="n">
        <v>225.238</v>
      </c>
      <c r="CQ52" s="21" t="n">
        <v>243.096</v>
      </c>
      <c r="CR52" s="21" t="n">
        <v>166.704</v>
      </c>
      <c r="CS52" s="21" t="n">
        <v>253.545</v>
      </c>
      <c r="CT52" s="21" t="n">
        <v>243.136</v>
      </c>
      <c r="CU52" s="21" t="n">
        <v>154.04</v>
      </c>
      <c r="CV52" s="21" t="n"/>
      <c r="CW52" s="21" t="n">
        <v>140.491</v>
      </c>
      <c r="CX52" s="21" t="n">
        <v>278.867</v>
      </c>
      <c r="CY52" s="21" t="n">
        <v>131.449</v>
      </c>
      <c r="CZ52" s="21" t="n">
        <v>125.327</v>
      </c>
      <c r="DA52" s="21" t="n">
        <v>281.887</v>
      </c>
      <c r="DB52" s="21" t="n">
        <v>174.395</v>
      </c>
      <c r="DC52" s="21" t="n">
        <v>180.329</v>
      </c>
      <c r="DD52" s="21" t="n">
        <v>148.74</v>
      </c>
      <c r="DE52" s="21" t="n">
        <v>195.182</v>
      </c>
      <c r="DF52" s="21" t="n">
        <v>251.852</v>
      </c>
      <c r="DG52" s="21" t="n">
        <v>204.958</v>
      </c>
      <c r="DH52" s="21" t="n">
        <v>228.713</v>
      </c>
      <c r="DI52" s="21" t="n">
        <v>196.616</v>
      </c>
      <c r="DJ52" s="21" t="n">
        <v>209.794</v>
      </c>
      <c r="DK52" s="21" t="n">
        <v>191.064</v>
      </c>
      <c r="DL52" s="21" t="n">
        <v>171.662</v>
      </c>
      <c r="DM52" s="21" t="n">
        <v>353.967</v>
      </c>
      <c r="DN52" s="21" t="n">
        <v>188.386</v>
      </c>
      <c r="DO52" s="21" t="n">
        <v>263.951</v>
      </c>
      <c r="DP52" s="21" t="n">
        <v>315.051</v>
      </c>
      <c r="DQ52" s="21" t="n">
        <v>327.539</v>
      </c>
      <c r="DR52" s="21" t="n">
        <v>166.013</v>
      </c>
      <c r="DS52" s="21" t="n">
        <v>558.761</v>
      </c>
      <c r="DT52" s="21" t="n">
        <v>340.074</v>
      </c>
      <c r="DU52" s="21" t="n">
        <v>322.538</v>
      </c>
      <c r="DV52" s="21" t="n">
        <v>322.564</v>
      </c>
      <c r="DW52" s="21" t="n">
        <v>243.196</v>
      </c>
      <c r="DX52" s="21" t="n">
        <v>201.263</v>
      </c>
      <c r="DY52" s="21" t="n">
        <v>280.952</v>
      </c>
      <c r="DZ52" s="21" t="n">
        <v>280.725</v>
      </c>
      <c r="EA52" s="21" t="n">
        <v>332.139</v>
      </c>
      <c r="EB52" s="21" t="n">
        <v>204.757</v>
      </c>
      <c r="EC52" s="21" t="n">
        <v>213.384</v>
      </c>
      <c r="ED52" s="21" t="n">
        <v>175.904</v>
      </c>
      <c r="EE52" s="21" t="n">
        <v>242.397</v>
      </c>
      <c r="EF52" s="21" t="n">
        <v>562.447</v>
      </c>
      <c r="EG52" s="21" t="n">
        <v>478.569</v>
      </c>
      <c r="EH52" s="21" t="n">
        <v>123.393</v>
      </c>
      <c r="EI52" s="21" t="n">
        <v>56.987</v>
      </c>
      <c r="EJ52" s="21" t="n">
        <v>62.941</v>
      </c>
      <c r="EK52" s="21" t="n">
        <v>43.52</v>
      </c>
      <c r="EL52" s="21" t="n">
        <v>113.775</v>
      </c>
      <c r="EM52" s="21" t="n">
        <v>71.825</v>
      </c>
      <c r="EN52" s="21" t="n">
        <v>77.31399999999999</v>
      </c>
      <c r="EO52" s="21" t="n">
        <v>85.05500000000001</v>
      </c>
      <c r="EP52" s="21" t="n">
        <v>93.839</v>
      </c>
      <c r="EQ52" s="21" t="n">
        <v>66.172</v>
      </c>
      <c r="ER52" s="21" t="n">
        <v>50.65</v>
      </c>
      <c r="ES52" s="21" t="n">
        <v>130.323</v>
      </c>
      <c r="ET52" s="21" t="n">
        <v>83.645</v>
      </c>
      <c r="EU52" s="21" t="n">
        <v>91.232</v>
      </c>
      <c r="EV52" s="21" t="n">
        <v>99.477</v>
      </c>
      <c r="EW52" s="21" t="n">
        <v>87.154</v>
      </c>
      <c r="EX52" s="21" t="n">
        <v>190.492</v>
      </c>
      <c r="EY52" s="21" t="n">
        <v>121.192</v>
      </c>
      <c r="EZ52" s="21" t="n">
        <v>119.7</v>
      </c>
      <c r="FA52" s="21" t="n">
        <v>169.952</v>
      </c>
      <c r="FB52" s="21" t="n">
        <v>123.666</v>
      </c>
      <c r="FC52" s="21" t="n">
        <v>118.62</v>
      </c>
      <c r="FD52" s="21" t="n">
        <v>120.466</v>
      </c>
      <c r="FE52" s="21" t="n">
        <v>111.05</v>
      </c>
      <c r="FF52" s="21" t="n">
        <v>154.56</v>
      </c>
      <c r="FG52" s="21" t="n">
        <v>76.229</v>
      </c>
      <c r="FH52" s="21" t="n">
        <v>115.319</v>
      </c>
      <c r="FI52" s="21" t="n">
        <v>110.131</v>
      </c>
      <c r="FJ52" s="21" t="n">
        <v>106.551</v>
      </c>
      <c r="FK52" s="21" t="n">
        <v>109.378</v>
      </c>
      <c r="FL52" s="21" t="n">
        <v>106.493</v>
      </c>
      <c r="FM52" s="21" t="n">
        <v>119.032</v>
      </c>
      <c r="FN52" s="21" t="n">
        <v>74.911</v>
      </c>
      <c r="FO52" s="21" t="n">
        <v>104.076</v>
      </c>
      <c r="FP52" s="21" t="n">
        <v>92.40300000000001</v>
      </c>
      <c r="FQ52" s="21" t="n">
        <v>135.672</v>
      </c>
      <c r="FR52" s="21" t="n">
        <v>139.937</v>
      </c>
      <c r="FS52" s="21" t="n">
        <v>158.701</v>
      </c>
      <c r="FT52" s="21" t="n">
        <v>122.993</v>
      </c>
      <c r="FU52" s="21" t="n">
        <v>122.262</v>
      </c>
      <c r="FV52" s="21" t="n">
        <v>167.315</v>
      </c>
      <c r="FW52" s="21" t="n">
        <v>139.287</v>
      </c>
      <c r="FX52" s="21" t="n">
        <v>164.089</v>
      </c>
      <c r="FY52" s="21" t="n">
        <v>210.097</v>
      </c>
      <c r="FZ52" s="21" t="n">
        <v>205.95</v>
      </c>
      <c r="GA52" s="21" t="n">
        <v>100.441</v>
      </c>
      <c r="GB52" s="21" t="n">
        <v>148.452</v>
      </c>
      <c r="GC52" s="21" t="n">
        <v>102.153</v>
      </c>
      <c r="GD52" s="21" t="n">
        <v>144.225</v>
      </c>
      <c r="GE52" s="21" t="n">
        <v>158.046</v>
      </c>
      <c r="GF52" s="21" t="n"/>
      <c r="GG52" s="21" t="n">
        <v>141.218</v>
      </c>
      <c r="GH52" s="21" t="n">
        <v>87.964</v>
      </c>
      <c r="GI52" s="21" t="n">
        <v>122.592</v>
      </c>
      <c r="GJ52" s="21" t="n">
        <v>231.26</v>
      </c>
      <c r="GK52" s="21" t="n">
        <v>230.013</v>
      </c>
      <c r="GL52" s="21" t="n">
        <v>225.661</v>
      </c>
      <c r="GM52" s="21" t="n">
        <v>246.195</v>
      </c>
      <c r="GN52" s="21" t="n">
        <v>241.309</v>
      </c>
      <c r="GO52" s="21" t="n">
        <v>220.913</v>
      </c>
      <c r="GP52" s="21" t="n">
        <v>145.823</v>
      </c>
      <c r="GQ52" s="21" t="n">
        <v>124.866</v>
      </c>
      <c r="GR52" s="21" t="n">
        <v>294.226</v>
      </c>
      <c r="GS52" s="21" t="n">
        <v>179.096</v>
      </c>
      <c r="GT52" s="21" t="n">
        <v>568.761</v>
      </c>
      <c r="GU52" s="21" t="n">
        <v>210.774</v>
      </c>
      <c r="GV52" s="21" t="n">
        <v>237.457</v>
      </c>
      <c r="GW52" s="21" t="n">
        <v>257.005</v>
      </c>
      <c r="GX52" s="21" t="n">
        <v>262.909</v>
      </c>
      <c r="GY52" s="21" t="n">
        <v>160.149</v>
      </c>
      <c r="GZ52" s="21" t="n"/>
      <c r="HA52" s="21" t="n">
        <v>66.249</v>
      </c>
      <c r="HB52" s="21" t="n">
        <v>491.412</v>
      </c>
      <c r="HC52" s="21" t="n">
        <v>379.568</v>
      </c>
      <c r="HD52" s="21" t="n">
        <v>124.292</v>
      </c>
      <c r="HE52" s="21" t="n">
        <v>526.097</v>
      </c>
      <c r="HF52" s="21" t="n">
        <v>96.19499999999999</v>
      </c>
      <c r="HG52" s="21" t="n">
        <v>527.381</v>
      </c>
      <c r="HH52" s="21" t="n">
        <v>380.147</v>
      </c>
      <c r="HI52" s="21" t="n">
        <v>381.045</v>
      </c>
      <c r="HJ52" s="21" t="n">
        <v>491.075</v>
      </c>
      <c r="HK52" s="21" t="n">
        <v>190.796</v>
      </c>
      <c r="HL52" s="21" t="n">
        <v>238.88</v>
      </c>
      <c r="HM52" s="21" t="n">
        <v>79.968</v>
      </c>
      <c r="HN52" s="21" t="n">
        <v>336.648</v>
      </c>
      <c r="HO52" s="21" t="n">
        <v>327.814</v>
      </c>
      <c r="HP52" s="21" t="n">
        <v>745.25</v>
      </c>
      <c r="HQ52" s="21" t="n">
        <v>233.487</v>
      </c>
      <c r="HR52" s="21" t="n">
        <v>120.455</v>
      </c>
      <c r="HS52" s="21" t="n">
        <v>104.487</v>
      </c>
      <c r="HT52" s="21" t="n">
        <v>162.937</v>
      </c>
      <c r="HU52" s="21" t="n">
        <v>475.919</v>
      </c>
      <c r="HV52" s="21" t="n">
        <v>122.43</v>
      </c>
      <c r="HW52" s="21" t="n">
        <v>26.982</v>
      </c>
      <c r="HX52" s="21" t="n">
        <v>176.496</v>
      </c>
      <c r="HY52" s="21" t="n">
        <v>202.038</v>
      </c>
      <c r="HZ52" s="21" t="n">
        <v>153.469</v>
      </c>
      <c r="IA52" s="21" t="n">
        <v>116.952</v>
      </c>
      <c r="IB52" s="21" t="n">
        <v>251.375</v>
      </c>
      <c r="IC52" s="21" t="n">
        <v>194.408</v>
      </c>
      <c r="ID52" s="21" t="n">
        <v>264.507</v>
      </c>
      <c r="IE52" s="21" t="n">
        <v>112.428</v>
      </c>
      <c r="IF52" s="21" t="n">
        <v>154.27</v>
      </c>
      <c r="IG52" s="21" t="n">
        <v>77.59399999999999</v>
      </c>
      <c r="IH52" s="21" t="n">
        <v>73.14</v>
      </c>
      <c r="II52" s="21" t="n">
        <v>52.231</v>
      </c>
      <c r="IJ52" s="21" t="n">
        <v>21.86</v>
      </c>
      <c r="IK52" s="21" t="n">
        <v>35.82</v>
      </c>
      <c r="IL52" s="21" t="n">
        <v>31.66</v>
      </c>
      <c r="IM52" s="21" t="n">
        <v>39.841</v>
      </c>
      <c r="IN52" s="21" t="n">
        <v>106.64</v>
      </c>
      <c r="IO52" s="21" t="n">
        <v>100.079</v>
      </c>
      <c r="IP52" s="21" t="n">
        <v>171.979</v>
      </c>
      <c r="IQ52" s="21" t="n">
        <v>143.262</v>
      </c>
      <c r="IR52" s="21" t="n">
        <v>388.264</v>
      </c>
      <c r="IS52" s="21" t="n">
        <v>184.355</v>
      </c>
      <c r="IT52" s="21" t="n">
        <v>226.098</v>
      </c>
      <c r="IU52" s="21" t="n">
        <v>319.77</v>
      </c>
      <c r="IV52" s="21" t="n">
        <v>249.33</v>
      </c>
      <c r="IW52" s="21" t="n">
        <v>137.233</v>
      </c>
      <c r="IX52" s="21" t="n">
        <v>264.656</v>
      </c>
      <c r="IY52" s="21" t="n">
        <v>689.515</v>
      </c>
      <c r="IZ52" s="21" t="n">
        <v>759.001</v>
      </c>
      <c r="JA52" s="21" t="n">
        <v>863.03</v>
      </c>
      <c r="JB52" s="21" t="n">
        <v>82.178</v>
      </c>
      <c r="JC52" s="21" t="n">
        <v>300.133</v>
      </c>
      <c r="JD52" s="21" t="n">
        <v>250.855</v>
      </c>
      <c r="JE52" s="21" t="n">
        <v>72.913</v>
      </c>
      <c r="JF52" s="21" t="n">
        <v>192.799</v>
      </c>
      <c r="JG52" s="21" t="n">
        <v>303.091</v>
      </c>
      <c r="JH52" s="21" t="n">
        <v>314.379</v>
      </c>
      <c r="JI52" s="21" t="n">
        <v>68.95</v>
      </c>
      <c r="JJ52" s="21" t="n">
        <v>109.948</v>
      </c>
      <c r="JK52" s="21" t="n">
        <v>39.889</v>
      </c>
      <c r="JL52" s="21" t="n">
        <v>76.456</v>
      </c>
      <c r="JM52" s="21" t="n">
        <v>221.69</v>
      </c>
      <c r="JN52" s="21" t="n">
        <v>447.917</v>
      </c>
      <c r="JO52" s="21" t="n">
        <v>69.565</v>
      </c>
      <c r="JP52" s="21" t="n">
        <v>451.502</v>
      </c>
      <c r="JQ52" s="21" t="n">
        <v>232.525</v>
      </c>
      <c r="JR52" s="21" t="n">
        <v>160.19</v>
      </c>
      <c r="JS52" s="21" t="n">
        <v>446.68</v>
      </c>
      <c r="JT52" s="21" t="n">
        <v>367.076</v>
      </c>
      <c r="JU52" s="21" t="n">
        <v>335.913</v>
      </c>
      <c r="JV52" s="21" t="n">
        <v>174.213</v>
      </c>
      <c r="JW52" s="21" t="n">
        <v>359.064</v>
      </c>
      <c r="JX52" s="21" t="n">
        <v>244.686</v>
      </c>
      <c r="JY52" s="21" t="n">
        <v>73.464</v>
      </c>
      <c r="JZ52" s="21" t="n">
        <v>148.764</v>
      </c>
      <c r="KA52" s="21" t="n">
        <v>242.896</v>
      </c>
      <c r="KB52" s="21" t="n">
        <v>260.269</v>
      </c>
      <c r="KC52" s="21" t="n">
        <v>253.735</v>
      </c>
      <c r="KD52" s="21" t="n">
        <v>261.567</v>
      </c>
      <c r="KE52" s="21" t="n">
        <v>233.424</v>
      </c>
      <c r="KF52" s="21" t="n">
        <v>227.082</v>
      </c>
      <c r="KG52" s="21" t="n">
        <v>231.856</v>
      </c>
      <c r="KH52" s="21" t="n">
        <v>237.375</v>
      </c>
      <c r="KI52" s="21" t="n">
        <v>116.384</v>
      </c>
      <c r="KJ52" s="21" t="n">
        <v>185.182</v>
      </c>
      <c r="KK52" s="21" t="n">
        <v>153</v>
      </c>
      <c r="KL52" s="21" t="n">
        <v>149.612</v>
      </c>
      <c r="KM52" s="21" t="n">
        <v>144.733</v>
      </c>
      <c r="KN52" s="21" t="n">
        <v>145.717</v>
      </c>
      <c r="KO52" s="21" t="n">
        <v>250.216</v>
      </c>
      <c r="KP52" s="21" t="n">
        <v>105.462</v>
      </c>
      <c r="KQ52" s="21" t="n">
        <v>72.92400000000001</v>
      </c>
      <c r="KR52" s="21" t="n">
        <v>110.305</v>
      </c>
      <c r="KS52" s="21" t="n">
        <v>214.934</v>
      </c>
      <c r="KT52" s="21" t="n">
        <v>235.446</v>
      </c>
      <c r="KU52" s="21" t="n">
        <v>90.85299999999999</v>
      </c>
      <c r="KV52" s="21" t="n">
        <v>52.622</v>
      </c>
      <c r="KW52" s="21" t="n">
        <v>225.691</v>
      </c>
      <c r="KX52" s="21" t="n">
        <v>198.309</v>
      </c>
      <c r="KY52" s="21" t="n">
        <v>243.458</v>
      </c>
      <c r="KZ52" s="21" t="n">
        <v>194.967</v>
      </c>
      <c r="LA52" s="21" t="n">
        <v>243.928</v>
      </c>
      <c r="LB52" s="21" t="n">
        <v>113.395</v>
      </c>
      <c r="LC52" s="21" t="n">
        <v>357.205</v>
      </c>
      <c r="LD52" s="21" t="n">
        <v>80.00700000000001</v>
      </c>
      <c r="LE52" s="21" t="n">
        <v>124.056</v>
      </c>
      <c r="LF52" s="21" t="n">
        <v>328.491</v>
      </c>
      <c r="LG52" s="21" t="n">
        <v>322.447</v>
      </c>
      <c r="LH52" s="21" t="n">
        <v>334.296</v>
      </c>
      <c r="LI52" s="21" t="n">
        <v>306.936</v>
      </c>
      <c r="LJ52" s="21" t="n">
        <v>340.461</v>
      </c>
      <c r="LK52" s="21" t="n">
        <v>105.863</v>
      </c>
      <c r="LL52" s="21" t="n">
        <v>323.443</v>
      </c>
      <c r="LM52" s="21" t="n">
        <v>217.723</v>
      </c>
      <c r="LN52" s="21" t="n">
        <v>40.324</v>
      </c>
      <c r="LO52" s="21" t="n">
        <v>127.013</v>
      </c>
    </row>
    <row r="53">
      <c r="A53" s="22" t="n">
        <v>43556</v>
      </c>
      <c r="B53" s="21" t="n">
        <v>255.233</v>
      </c>
      <c r="C53" s="21" t="n">
        <v>257.018</v>
      </c>
      <c r="D53" s="21" t="n">
        <v>257.325</v>
      </c>
      <c r="E53" s="21" t="n">
        <v>241.219</v>
      </c>
      <c r="F53" s="21" t="n">
        <v>276.583</v>
      </c>
      <c r="G53" s="21" t="n">
        <v>228.764</v>
      </c>
      <c r="H53" s="21" t="n">
        <v>237.019</v>
      </c>
      <c r="I53" s="21" t="n">
        <v>224.059</v>
      </c>
      <c r="J53" s="21" t="n">
        <v>237.672</v>
      </c>
      <c r="K53" s="21" t="n">
        <v>304.224</v>
      </c>
      <c r="L53" s="21" t="n">
        <v>184.384</v>
      </c>
      <c r="M53" s="21" t="n">
        <v>179.976</v>
      </c>
      <c r="N53" s="21" t="n">
        <v>290.258</v>
      </c>
      <c r="O53" s="21" t="n">
        <v>269.301</v>
      </c>
      <c r="P53" s="21" t="n">
        <v>268.815</v>
      </c>
      <c r="Q53" s="21" t="n">
        <v>301.723</v>
      </c>
      <c r="R53" s="21" t="n">
        <v>271.539</v>
      </c>
      <c r="S53" s="21" t="n">
        <v>248.858</v>
      </c>
      <c r="T53" s="21" t="n">
        <v>252.414</v>
      </c>
      <c r="U53" s="21" t="n">
        <v>253.558</v>
      </c>
      <c r="V53" s="21" t="n">
        <v>305.495</v>
      </c>
      <c r="W53" s="21" t="n">
        <v>267.757</v>
      </c>
      <c r="X53" s="21" t="n">
        <v>232.02</v>
      </c>
      <c r="Y53" s="21" t="n">
        <v>206.54</v>
      </c>
      <c r="Z53" s="21" t="n">
        <v>210.644</v>
      </c>
      <c r="AA53" s="21" t="n">
        <v>158.163</v>
      </c>
      <c r="AB53" s="21" t="n">
        <v>299.603</v>
      </c>
      <c r="AC53" s="21" t="n">
        <v>141.339</v>
      </c>
      <c r="AD53" s="21" t="n">
        <v>204.239</v>
      </c>
      <c r="AE53" s="21" t="n">
        <v>228.684</v>
      </c>
      <c r="AF53" s="21" t="n">
        <v>189.769</v>
      </c>
      <c r="AG53" s="21" t="n">
        <v>123.743</v>
      </c>
      <c r="AH53" s="21" t="n">
        <v>223.674</v>
      </c>
      <c r="AI53" s="21" t="n">
        <v>230.901</v>
      </c>
      <c r="AJ53" s="21" t="n">
        <v>143.484</v>
      </c>
      <c r="AK53" s="21" t="n">
        <v>232.401</v>
      </c>
      <c r="AL53" s="21" t="n">
        <v>150.926</v>
      </c>
      <c r="AM53" s="21" t="n">
        <v>248.703</v>
      </c>
      <c r="AN53" s="21" t="n">
        <v>225.309</v>
      </c>
      <c r="AO53" s="21" t="n">
        <v>146.082</v>
      </c>
      <c r="AP53" s="21" t="n">
        <v>298.902</v>
      </c>
      <c r="AQ53" s="21" t="n">
        <v>185.446</v>
      </c>
      <c r="AR53" s="21" t="n">
        <v>149.639</v>
      </c>
      <c r="AS53" s="21" t="n">
        <v>216.616</v>
      </c>
      <c r="AT53" s="21" t="n">
        <v>308.868</v>
      </c>
      <c r="AU53" s="21" t="n">
        <v>201.504</v>
      </c>
      <c r="AV53" s="21" t="n">
        <v>217.061</v>
      </c>
      <c r="AW53" s="21" t="n">
        <v>139.763</v>
      </c>
      <c r="AX53" s="21" t="n">
        <v>199.805</v>
      </c>
      <c r="AY53" s="21" t="n">
        <v>144.077</v>
      </c>
      <c r="AZ53" s="21" t="n">
        <v>225.237</v>
      </c>
      <c r="BA53" s="21" t="n">
        <v>222.44</v>
      </c>
      <c r="BB53" s="21" t="n">
        <v>147.484</v>
      </c>
      <c r="BC53" s="21" t="n">
        <v>302.011</v>
      </c>
      <c r="BD53" s="21" t="n">
        <v>351.918</v>
      </c>
      <c r="BE53" s="21" t="n">
        <v>361.655</v>
      </c>
      <c r="BF53" s="21" t="n">
        <v>343.402</v>
      </c>
      <c r="BG53" s="21" t="n">
        <v>194.449</v>
      </c>
      <c r="BH53" s="21" t="n">
        <v>258.091</v>
      </c>
      <c r="BI53" s="21" t="n">
        <v>510.57</v>
      </c>
      <c r="BJ53" s="21" t="n">
        <v>119.286</v>
      </c>
      <c r="BK53" s="21" t="n">
        <v>340.313</v>
      </c>
      <c r="BL53" s="21" t="n">
        <v>357.214</v>
      </c>
      <c r="BM53" s="21" t="n">
        <v>328.225</v>
      </c>
      <c r="BN53" s="21" t="n">
        <v>332.171</v>
      </c>
      <c r="BO53" s="21" t="n">
        <v>345.07</v>
      </c>
      <c r="BP53" s="21" t="n">
        <v>155.061</v>
      </c>
      <c r="BQ53" s="21" t="n">
        <v>163.016</v>
      </c>
      <c r="BR53" s="21" t="n">
        <v>157.501</v>
      </c>
      <c r="BS53" s="21" t="n">
        <v>172.292</v>
      </c>
      <c r="BT53" s="21" t="n">
        <v>142.999</v>
      </c>
      <c r="BU53" s="21" t="n">
        <v>198.126</v>
      </c>
      <c r="BV53" s="21" t="n">
        <v>151.296</v>
      </c>
      <c r="BW53" s="21" t="n">
        <v>170.234</v>
      </c>
      <c r="BX53" s="21" t="n">
        <v>132.716</v>
      </c>
      <c r="BY53" s="21" t="n">
        <v>169.841</v>
      </c>
      <c r="BZ53" s="21" t="n">
        <v>119.337</v>
      </c>
      <c r="CA53" s="21" t="n">
        <v>116.337</v>
      </c>
      <c r="CB53" s="21" t="n">
        <v>192.869</v>
      </c>
      <c r="CC53" s="21" t="n">
        <v>200.705</v>
      </c>
      <c r="CD53" s="21" t="n">
        <v>130.401</v>
      </c>
      <c r="CE53" s="21" t="n">
        <v>210.265</v>
      </c>
      <c r="CF53" s="21" t="n">
        <v>217.498</v>
      </c>
      <c r="CG53" s="21" t="n">
        <v>186.049</v>
      </c>
      <c r="CH53" s="21" t="n">
        <v>148.042</v>
      </c>
      <c r="CI53" s="21" t="n">
        <v>154.038</v>
      </c>
      <c r="CJ53" s="21" t="n">
        <v>224.314</v>
      </c>
      <c r="CK53" s="21" t="n">
        <v>204.079</v>
      </c>
      <c r="CL53" s="21" t="n">
        <v>241.381</v>
      </c>
      <c r="CM53" s="21" t="n">
        <v>298.316</v>
      </c>
      <c r="CN53" s="21" t="n">
        <v>126.534</v>
      </c>
      <c r="CO53" s="21" t="n">
        <v>154.655</v>
      </c>
      <c r="CP53" s="21" t="n">
        <v>224.962</v>
      </c>
      <c r="CQ53" s="21" t="n">
        <v>243.516</v>
      </c>
      <c r="CR53" s="21" t="n">
        <v>167.116</v>
      </c>
      <c r="CS53" s="21" t="n">
        <v>251.733</v>
      </c>
      <c r="CT53" s="21" t="n">
        <v>241.443</v>
      </c>
      <c r="CU53" s="21" t="n">
        <v>153.849</v>
      </c>
      <c r="CV53" s="21" t="n"/>
      <c r="CW53" s="21" t="n">
        <v>139.976</v>
      </c>
      <c r="CX53" s="21" t="n">
        <v>278.096</v>
      </c>
      <c r="CY53" s="21" t="n">
        <v>131.943</v>
      </c>
      <c r="CZ53" s="21" t="n">
        <v>126.564</v>
      </c>
      <c r="DA53" s="21" t="n">
        <v>282.798</v>
      </c>
      <c r="DB53" s="21" t="n">
        <v>175.083</v>
      </c>
      <c r="DC53" s="21" t="n">
        <v>180.409</v>
      </c>
      <c r="DD53" s="21" t="n">
        <v>148.747</v>
      </c>
      <c r="DE53" s="21" t="n">
        <v>195.17</v>
      </c>
      <c r="DF53" s="21" t="n">
        <v>251.504</v>
      </c>
      <c r="DG53" s="21" t="n">
        <v>204.031</v>
      </c>
      <c r="DH53" s="21" t="n">
        <v>228.31</v>
      </c>
      <c r="DI53" s="21" t="n">
        <v>194.911</v>
      </c>
      <c r="DJ53" s="21" t="n">
        <v>206.046</v>
      </c>
      <c r="DK53" s="21" t="n">
        <v>190.38</v>
      </c>
      <c r="DL53" s="21" t="n">
        <v>171.164</v>
      </c>
      <c r="DM53" s="21" t="n">
        <v>354.578</v>
      </c>
      <c r="DN53" s="21" t="n">
        <v>190.253</v>
      </c>
      <c r="DO53" s="21" t="n">
        <v>264.649</v>
      </c>
      <c r="DP53" s="21" t="n">
        <v>316.172</v>
      </c>
      <c r="DQ53" s="21" t="n">
        <v>328.816</v>
      </c>
      <c r="DR53" s="21" t="n">
        <v>167.262</v>
      </c>
      <c r="DS53" s="21" t="n">
        <v>559.749</v>
      </c>
      <c r="DT53" s="21" t="n">
        <v>342.887</v>
      </c>
      <c r="DU53" s="21" t="n">
        <v>323.616</v>
      </c>
      <c r="DV53" s="21" t="n">
        <v>323.645</v>
      </c>
      <c r="DW53" s="21" t="n">
        <v>243.175</v>
      </c>
      <c r="DX53" s="21" t="n">
        <v>201.013</v>
      </c>
      <c r="DY53" s="21" t="n">
        <v>288.646</v>
      </c>
      <c r="DZ53" s="21" t="n">
        <v>290.192</v>
      </c>
      <c r="EA53" s="21" t="n">
        <v>333.558</v>
      </c>
      <c r="EB53" s="21" t="n">
        <v>204.187</v>
      </c>
      <c r="EC53" s="21" t="n">
        <v>213.25</v>
      </c>
      <c r="ED53" s="21" t="n">
        <v>174.122</v>
      </c>
      <c r="EE53" s="21" t="n">
        <v>243.288</v>
      </c>
      <c r="EF53" s="21" t="n">
        <v>564.849</v>
      </c>
      <c r="EG53" s="21" t="n">
        <v>479.449</v>
      </c>
      <c r="EH53" s="21" t="n">
        <v>123.204</v>
      </c>
      <c r="EI53" s="21" t="n">
        <v>56.521</v>
      </c>
      <c r="EJ53" s="21" t="n">
        <v>61.761</v>
      </c>
      <c r="EK53" s="21" t="n">
        <v>43.174</v>
      </c>
      <c r="EL53" s="21" t="n">
        <v>113.17</v>
      </c>
      <c r="EM53" s="21" t="n">
        <v>70.78100000000001</v>
      </c>
      <c r="EN53" s="21" t="n">
        <v>77.48999999999999</v>
      </c>
      <c r="EO53" s="21" t="n">
        <v>85.44799999999999</v>
      </c>
      <c r="EP53" s="21" t="n">
        <v>96.96899999999999</v>
      </c>
      <c r="EQ53" s="21" t="n">
        <v>66.255</v>
      </c>
      <c r="ER53" s="21" t="n">
        <v>50.016</v>
      </c>
      <c r="ES53" s="21" t="n">
        <v>130.903</v>
      </c>
      <c r="ET53" s="21" t="n">
        <v>81.952</v>
      </c>
      <c r="EU53" s="21" t="n">
        <v>90.607</v>
      </c>
      <c r="EV53" s="21" t="n">
        <v>98.98399999999999</v>
      </c>
      <c r="EW53" s="21" t="n">
        <v>86.539</v>
      </c>
      <c r="EX53" s="21" t="n">
        <v>190.376</v>
      </c>
      <c r="EY53" s="21" t="n">
        <v>121.315</v>
      </c>
      <c r="EZ53" s="21" t="n">
        <v>119.831</v>
      </c>
      <c r="FA53" s="21" t="n">
        <v>171.256</v>
      </c>
      <c r="FB53" s="21" t="n">
        <v>123.901</v>
      </c>
      <c r="FC53" s="21" t="n">
        <v>117.509</v>
      </c>
      <c r="FD53" s="21" t="n">
        <v>119.761</v>
      </c>
      <c r="FE53" s="21" t="n">
        <v>107.764</v>
      </c>
      <c r="FF53" s="21" t="n">
        <v>155.388</v>
      </c>
      <c r="FG53" s="21" t="n">
        <v>75.931</v>
      </c>
      <c r="FH53" s="21" t="n">
        <v>116.629</v>
      </c>
      <c r="FI53" s="21" t="n">
        <v>108.015</v>
      </c>
      <c r="FJ53" s="21" t="n">
        <v>107.39</v>
      </c>
      <c r="FK53" s="21" t="n">
        <v>110.391</v>
      </c>
      <c r="FL53" s="21" t="n">
        <v>107.086</v>
      </c>
      <c r="FM53" s="21" t="n">
        <v>118.377</v>
      </c>
      <c r="FN53" s="21" t="n">
        <v>76.059</v>
      </c>
      <c r="FO53" s="21" t="n">
        <v>105.749</v>
      </c>
      <c r="FP53" s="21" t="n">
        <v>92.36499999999999</v>
      </c>
      <c r="FQ53" s="21" t="n">
        <v>135.264</v>
      </c>
      <c r="FR53" s="21" t="n">
        <v>137.391</v>
      </c>
      <c r="FS53" s="21" t="n">
        <v>157.813</v>
      </c>
      <c r="FT53" s="21" t="n">
        <v>123.5</v>
      </c>
      <c r="FU53" s="21" t="n">
        <v>121.8</v>
      </c>
      <c r="FV53" s="21" t="n">
        <v>171.322</v>
      </c>
      <c r="FW53" s="21" t="n">
        <v>142.682</v>
      </c>
      <c r="FX53" s="21" t="n">
        <v>170.771</v>
      </c>
      <c r="FY53" s="21" t="n">
        <v>213.037</v>
      </c>
      <c r="FZ53" s="21" t="n">
        <v>209.061</v>
      </c>
      <c r="GA53" s="21" t="n">
        <v>99.83499999999999</v>
      </c>
      <c r="GB53" s="21" t="n">
        <v>147.686</v>
      </c>
      <c r="GC53" s="21" t="n">
        <v>102.261</v>
      </c>
      <c r="GD53" s="21" t="n">
        <v>143.6</v>
      </c>
      <c r="GE53" s="21" t="n">
        <v>157.305</v>
      </c>
      <c r="GF53" s="21" t="n"/>
      <c r="GG53" s="21" t="n">
        <v>139.895</v>
      </c>
      <c r="GH53" s="21" t="n">
        <v>87.892</v>
      </c>
      <c r="GI53" s="21" t="n">
        <v>122.735</v>
      </c>
      <c r="GJ53" s="21" t="n">
        <v>246.698</v>
      </c>
      <c r="GK53" s="21" t="n">
        <v>245.651</v>
      </c>
      <c r="GL53" s="21" t="n">
        <v>240.76</v>
      </c>
      <c r="GM53" s="21" t="n">
        <v>263.342</v>
      </c>
      <c r="GN53" s="21" t="n">
        <v>258.295</v>
      </c>
      <c r="GO53" s="21" t="n">
        <v>225.22</v>
      </c>
      <c r="GP53" s="21" t="n">
        <v>145.555</v>
      </c>
      <c r="GQ53" s="21" t="n">
        <v>124.417</v>
      </c>
      <c r="GR53" s="21" t="n">
        <v>295.266</v>
      </c>
      <c r="GS53" s="21" t="n">
        <v>179.958</v>
      </c>
      <c r="GT53" s="21" t="n">
        <v>569.453</v>
      </c>
      <c r="GU53" s="21" t="n">
        <v>211.389</v>
      </c>
      <c r="GV53" s="21" t="n">
        <v>238.8</v>
      </c>
      <c r="GW53" s="21" t="n">
        <v>256.711</v>
      </c>
      <c r="GX53" s="21" t="n">
        <v>260.115</v>
      </c>
      <c r="GY53" s="21" t="n">
        <v>161.348</v>
      </c>
      <c r="GZ53" s="21" t="n"/>
      <c r="HA53" s="21" t="n">
        <v>67.111</v>
      </c>
      <c r="HB53" s="21" t="n">
        <v>492.97</v>
      </c>
      <c r="HC53" s="21" t="n">
        <v>381.256</v>
      </c>
      <c r="HD53" s="21" t="n">
        <v>124.777</v>
      </c>
      <c r="HE53" s="21" t="n">
        <v>528.008</v>
      </c>
      <c r="HF53" s="21" t="n">
        <v>96.72</v>
      </c>
      <c r="HG53" s="21" t="n">
        <v>528.889</v>
      </c>
      <c r="HH53" s="21" t="n">
        <v>380.681</v>
      </c>
      <c r="HI53" s="21" t="n">
        <v>382.15</v>
      </c>
      <c r="HJ53" s="21" t="n">
        <v>491.279</v>
      </c>
      <c r="HK53" s="21" t="n">
        <v>190.689</v>
      </c>
      <c r="HL53" s="21" t="n">
        <v>238.339</v>
      </c>
      <c r="HM53" s="21" t="n">
        <v>79.67400000000001</v>
      </c>
      <c r="HN53" s="21" t="n">
        <v>335.198</v>
      </c>
      <c r="HO53" s="21" t="n">
        <v>326.736</v>
      </c>
      <c r="HP53" s="21" t="n">
        <v>740.741</v>
      </c>
      <c r="HQ53" s="21" t="n">
        <v>233.923</v>
      </c>
      <c r="HR53" s="21" t="n">
        <v>120.644</v>
      </c>
      <c r="HS53" s="21" t="n">
        <v>104.356</v>
      </c>
      <c r="HT53" s="21" t="n">
        <v>160.796</v>
      </c>
      <c r="HU53" s="21" t="n">
        <v>475.374</v>
      </c>
      <c r="HV53" s="21" t="n">
        <v>120.919</v>
      </c>
      <c r="HW53" s="21" t="n">
        <v>28.126</v>
      </c>
      <c r="HX53" s="21" t="n">
        <v>177.07</v>
      </c>
      <c r="HY53" s="21" t="n">
        <v>202.827</v>
      </c>
      <c r="HZ53" s="21" t="n">
        <v>154.079</v>
      </c>
      <c r="IA53" s="21" t="n">
        <v>117.332</v>
      </c>
      <c r="IB53" s="21" t="n">
        <v>251.954</v>
      </c>
      <c r="IC53" s="21" t="n">
        <v>194.783</v>
      </c>
      <c r="ID53" s="21" t="n">
        <v>265.119</v>
      </c>
      <c r="IE53" s="21" t="n">
        <v>112.275</v>
      </c>
      <c r="IF53" s="21" t="n">
        <v>153.139</v>
      </c>
      <c r="IG53" s="21" t="n">
        <v>78.15600000000001</v>
      </c>
      <c r="IH53" s="21" t="n">
        <v>73.199</v>
      </c>
      <c r="II53" s="21" t="n">
        <v>53.106</v>
      </c>
      <c r="IJ53" s="21" t="n">
        <v>22.196</v>
      </c>
      <c r="IK53" s="21" t="n">
        <v>35.374</v>
      </c>
      <c r="IL53" s="21" t="n">
        <v>31.282</v>
      </c>
      <c r="IM53" s="21" t="n">
        <v>39.551</v>
      </c>
      <c r="IN53" s="21" t="n">
        <v>103.868</v>
      </c>
      <c r="IO53" s="21" t="n">
        <v>99.541</v>
      </c>
      <c r="IP53" s="21" t="n">
        <v>173.024</v>
      </c>
      <c r="IQ53" s="21" t="n">
        <v>143.983</v>
      </c>
      <c r="IR53" s="21" t="n">
        <v>391.745</v>
      </c>
      <c r="IS53" s="21" t="n">
        <v>184.811</v>
      </c>
      <c r="IT53" s="21" t="n">
        <v>232.26</v>
      </c>
      <c r="IU53" s="21" t="n">
        <v>320.038</v>
      </c>
      <c r="IV53" s="21" t="n">
        <v>252.139</v>
      </c>
      <c r="IW53" s="21" t="n">
        <v>137.432</v>
      </c>
      <c r="IX53" s="21" t="n">
        <v>265.068</v>
      </c>
      <c r="IY53" s="21" t="n">
        <v>688.736</v>
      </c>
      <c r="IZ53" s="21" t="n">
        <v>760.272</v>
      </c>
      <c r="JA53" s="21" t="n">
        <v>864.635</v>
      </c>
      <c r="JB53" s="21" t="n">
        <v>82.38500000000001</v>
      </c>
      <c r="JC53" s="21" t="n">
        <v>300.755</v>
      </c>
      <c r="JD53" s="21" t="n">
        <v>252.136</v>
      </c>
      <c r="JE53" s="21" t="n">
        <v>73.012</v>
      </c>
      <c r="JF53" s="21" t="n">
        <v>193.625</v>
      </c>
      <c r="JG53" s="21" t="n">
        <v>304.221</v>
      </c>
      <c r="JH53" s="21" t="n">
        <v>316.953</v>
      </c>
      <c r="JI53" s="21" t="n">
        <v>69.03700000000001</v>
      </c>
      <c r="JJ53" s="21" t="n">
        <v>110.011</v>
      </c>
      <c r="JK53" s="21" t="n">
        <v>39.603</v>
      </c>
      <c r="JL53" s="21" t="n">
        <v>76.849</v>
      </c>
      <c r="JM53" s="21" t="n">
        <v>221.243</v>
      </c>
      <c r="JN53" s="21" t="n">
        <v>447.992</v>
      </c>
      <c r="JO53" s="21" t="n">
        <v>69.68899999999999</v>
      </c>
      <c r="JP53" s="21" t="n">
        <v>452.677</v>
      </c>
      <c r="JQ53" s="21" t="n">
        <v>232.465</v>
      </c>
      <c r="JR53" s="21" t="n">
        <v>160.868</v>
      </c>
      <c r="JS53" s="21" t="n">
        <v>445.511</v>
      </c>
      <c r="JT53" s="21" t="n">
        <v>362.839</v>
      </c>
      <c r="JU53" s="21" t="n">
        <v>336.752</v>
      </c>
      <c r="JV53" s="21" t="n">
        <v>174.748</v>
      </c>
      <c r="JW53" s="21" t="n">
        <v>359.451</v>
      </c>
      <c r="JX53" s="21" t="n">
        <v>245.159</v>
      </c>
      <c r="JY53" s="21" t="n">
        <v>73.098</v>
      </c>
      <c r="JZ53" s="21" t="n">
        <v>147.851</v>
      </c>
      <c r="KA53" s="21" t="n">
        <v>243.822</v>
      </c>
      <c r="KB53" s="21" t="n">
        <v>260.584</v>
      </c>
      <c r="KC53" s="21" t="n">
        <v>254.889</v>
      </c>
      <c r="KD53" s="21" t="n">
        <v>261.997</v>
      </c>
      <c r="KE53" s="21" t="n">
        <v>234.324</v>
      </c>
      <c r="KF53" s="21" t="n">
        <v>228.253</v>
      </c>
      <c r="KG53" s="21" t="n">
        <v>231.916</v>
      </c>
      <c r="KH53" s="21" t="n">
        <v>237.564</v>
      </c>
      <c r="KI53" s="21" t="n">
        <v>116.767</v>
      </c>
      <c r="KJ53" s="21" t="n">
        <v>186.211</v>
      </c>
      <c r="KK53" s="21" t="n">
        <v>154.447</v>
      </c>
      <c r="KL53" s="21" t="n">
        <v>151.096</v>
      </c>
      <c r="KM53" s="21" t="n">
        <v>144.37</v>
      </c>
      <c r="KN53" s="21" t="n">
        <v>145.493</v>
      </c>
      <c r="KO53" s="21" t="n">
        <v>249.685</v>
      </c>
      <c r="KP53" s="21" t="n">
        <v>104.98</v>
      </c>
      <c r="KQ53" s="21" t="n">
        <v>72.44499999999999</v>
      </c>
      <c r="KR53" s="21" t="n">
        <v>110.542</v>
      </c>
      <c r="KS53" s="21" t="n">
        <v>222.42</v>
      </c>
      <c r="KT53" s="21" t="n">
        <v>250.762</v>
      </c>
      <c r="KU53" s="21" t="n">
        <v>90.426</v>
      </c>
      <c r="KV53" s="21" t="n">
        <v>52.183</v>
      </c>
      <c r="KW53" s="21" t="n">
        <v>227.864</v>
      </c>
      <c r="KX53" s="21" t="n">
        <v>202.388</v>
      </c>
      <c r="KY53" s="21" t="n">
        <v>249.95</v>
      </c>
      <c r="KZ53" s="21" t="n">
        <v>199.331</v>
      </c>
      <c r="LA53" s="21" t="n">
        <v>251.325</v>
      </c>
      <c r="LB53" s="21" t="n">
        <v>113.616</v>
      </c>
      <c r="LC53" s="21" t="n">
        <v>357.79</v>
      </c>
      <c r="LD53" s="21" t="n">
        <v>79.997</v>
      </c>
      <c r="LE53" s="21" t="n">
        <v>124.348</v>
      </c>
      <c r="LF53" s="21" t="n">
        <v>329.66</v>
      </c>
      <c r="LG53" s="21" t="n">
        <v>323.282</v>
      </c>
      <c r="LH53" s="21" t="n">
        <v>335.264</v>
      </c>
      <c r="LI53" s="21" t="n">
        <v>307.788</v>
      </c>
      <c r="LJ53" s="21" t="n">
        <v>341.269</v>
      </c>
      <c r="LK53" s="21" t="n">
        <v>105.184</v>
      </c>
      <c r="LL53" s="21" t="n">
        <v>323.795</v>
      </c>
      <c r="LM53" s="21" t="n">
        <v>217.444</v>
      </c>
      <c r="LN53" s="21" t="n">
        <v>40.365</v>
      </c>
      <c r="LO53" s="21" t="n">
        <v>126.814</v>
      </c>
    </row>
    <row r="54">
      <c r="A54" s="22" t="n">
        <v>43586</v>
      </c>
      <c r="B54" s="21" t="n">
        <v>255.296</v>
      </c>
      <c r="C54" s="21" t="n">
        <v>257.523</v>
      </c>
      <c r="D54" s="21" t="n">
        <v>257.818</v>
      </c>
      <c r="E54" s="21" t="n">
        <v>241.642</v>
      </c>
      <c r="F54" s="21" t="n">
        <v>277.556</v>
      </c>
      <c r="G54" s="21" t="n">
        <v>227.679</v>
      </c>
      <c r="H54" s="21" t="n">
        <v>236.254</v>
      </c>
      <c r="I54" s="21" t="n">
        <v>222.799</v>
      </c>
      <c r="J54" s="21" t="n">
        <v>237.141</v>
      </c>
      <c r="K54" s="21" t="n">
        <v>306.374</v>
      </c>
      <c r="L54" s="21" t="n">
        <v>184.131</v>
      </c>
      <c r="M54" s="21" t="n">
        <v>182.778</v>
      </c>
      <c r="N54" s="21" t="n">
        <v>292.291</v>
      </c>
      <c r="O54" s="21" t="n">
        <v>272.922</v>
      </c>
      <c r="P54" s="21" t="n">
        <v>272.001</v>
      </c>
      <c r="Q54" s="21" t="n">
        <v>307.628</v>
      </c>
      <c r="R54" s="21" t="n">
        <v>270.73</v>
      </c>
      <c r="S54" s="21" t="n">
        <v>249.84</v>
      </c>
      <c r="T54" s="21" t="n">
        <v>253.802</v>
      </c>
      <c r="U54" s="21" t="n">
        <v>255.832</v>
      </c>
      <c r="V54" s="21" t="n">
        <v>307.292</v>
      </c>
      <c r="W54" s="21" t="n">
        <v>269.603</v>
      </c>
      <c r="X54" s="21" t="n">
        <v>234.863</v>
      </c>
      <c r="Y54" s="21" t="n">
        <v>206.683</v>
      </c>
      <c r="Z54" s="21" t="n">
        <v>214.459</v>
      </c>
      <c r="AA54" s="21" t="n">
        <v>160.973</v>
      </c>
      <c r="AB54" s="21" t="n">
        <v>304.829</v>
      </c>
      <c r="AC54" s="21" t="n">
        <v>144.11</v>
      </c>
      <c r="AD54" s="21" t="n">
        <v>205.262</v>
      </c>
      <c r="AE54" s="21" t="n">
        <v>227.596</v>
      </c>
      <c r="AF54" s="21" t="n">
        <v>194.708</v>
      </c>
      <c r="AG54" s="21" t="n">
        <v>125.815</v>
      </c>
      <c r="AH54" s="21" t="n">
        <v>224.286</v>
      </c>
      <c r="AI54" s="21" t="n">
        <v>232.255</v>
      </c>
      <c r="AJ54" s="21" t="n">
        <v>144.135</v>
      </c>
      <c r="AK54" s="21" t="n">
        <v>232.053</v>
      </c>
      <c r="AL54" s="21" t="n">
        <v>150.567</v>
      </c>
      <c r="AM54" s="21" t="n">
        <v>248.906</v>
      </c>
      <c r="AN54" s="21" t="n">
        <v>224.287</v>
      </c>
      <c r="AO54" s="21" t="n">
        <v>144.697</v>
      </c>
      <c r="AP54" s="21" t="n">
        <v>299.263</v>
      </c>
      <c r="AQ54" s="21" t="n">
        <v>186.93</v>
      </c>
      <c r="AR54" s="21" t="n">
        <v>149.482</v>
      </c>
      <c r="AS54" s="21" t="n">
        <v>216.876</v>
      </c>
      <c r="AT54" s="21" t="n">
        <v>308.169</v>
      </c>
      <c r="AU54" s="21" t="n">
        <v>196.721</v>
      </c>
      <c r="AV54" s="21" t="n">
        <v>217.79</v>
      </c>
      <c r="AW54" s="21" t="n">
        <v>139.406</v>
      </c>
      <c r="AX54" s="21" t="n">
        <v>198.188</v>
      </c>
      <c r="AY54" s="21" t="n">
        <v>144.586</v>
      </c>
      <c r="AZ54" s="21" t="n">
        <v>226.827</v>
      </c>
      <c r="BA54" s="21" t="n">
        <v>222.194</v>
      </c>
      <c r="BB54" s="21" t="n">
        <v>148.736</v>
      </c>
      <c r="BC54" s="21" t="n">
        <v>300.5</v>
      </c>
      <c r="BD54" s="21" t="n">
        <v>349.273</v>
      </c>
      <c r="BE54" s="21" t="n">
        <v>359.539</v>
      </c>
      <c r="BF54" s="21" t="n">
        <v>342.813</v>
      </c>
      <c r="BG54" s="21" t="n">
        <v>196.124</v>
      </c>
      <c r="BH54" s="21" t="n">
        <v>256.017</v>
      </c>
      <c r="BI54" s="21" t="n">
        <v>508.471</v>
      </c>
      <c r="BJ54" s="21" t="n">
        <v>117.77</v>
      </c>
      <c r="BK54" s="21" t="n">
        <v>337.131</v>
      </c>
      <c r="BL54" s="21" t="n">
        <v>359.749</v>
      </c>
      <c r="BM54" s="21" t="n">
        <v>311.416</v>
      </c>
      <c r="BN54" s="21" t="n">
        <v>329.943</v>
      </c>
      <c r="BO54" s="21" t="n">
        <v>342.824</v>
      </c>
      <c r="BP54" s="21" t="n">
        <v>155.767</v>
      </c>
      <c r="BQ54" s="21" t="n">
        <v>164.347</v>
      </c>
      <c r="BR54" s="21" t="n">
        <v>157.759</v>
      </c>
      <c r="BS54" s="21" t="n">
        <v>174.612</v>
      </c>
      <c r="BT54" s="21" t="n">
        <v>142.562</v>
      </c>
      <c r="BU54" s="21" t="n">
        <v>196.332</v>
      </c>
      <c r="BV54" s="21" t="n">
        <v>151.229</v>
      </c>
      <c r="BW54" s="21" t="n">
        <v>171.414</v>
      </c>
      <c r="BX54" s="21" t="n">
        <v>134.119</v>
      </c>
      <c r="BY54" s="21" t="n">
        <v>171.045</v>
      </c>
      <c r="BZ54" s="21" t="n">
        <v>120.378</v>
      </c>
      <c r="CA54" s="21" t="n">
        <v>116.315</v>
      </c>
      <c r="CB54" s="21" t="n">
        <v>192.145</v>
      </c>
      <c r="CC54" s="21" t="n">
        <v>199.599</v>
      </c>
      <c r="CD54" s="21" t="n">
        <v>130.993</v>
      </c>
      <c r="CE54" s="21" t="n">
        <v>210.389</v>
      </c>
      <c r="CF54" s="21" t="n">
        <v>217.744</v>
      </c>
      <c r="CG54" s="21" t="n">
        <v>187.231</v>
      </c>
      <c r="CH54" s="21" t="n">
        <v>148.27</v>
      </c>
      <c r="CI54" s="21" t="n">
        <v>153.148</v>
      </c>
      <c r="CJ54" s="21" t="n">
        <v>228.15</v>
      </c>
      <c r="CK54" s="21" t="n">
        <v>206.191</v>
      </c>
      <c r="CL54" s="21" t="n">
        <v>246.877</v>
      </c>
      <c r="CM54" s="21" t="n">
        <v>296.631</v>
      </c>
      <c r="CN54" s="21" t="n">
        <v>129.071</v>
      </c>
      <c r="CO54" s="21" t="n">
        <v>158.014</v>
      </c>
      <c r="CP54" s="21" t="n">
        <v>224.487</v>
      </c>
      <c r="CQ54" s="21" t="n">
        <v>245.905</v>
      </c>
      <c r="CR54" s="21" t="n">
        <v>166.234</v>
      </c>
      <c r="CS54" s="21" t="n">
        <v>252.102</v>
      </c>
      <c r="CT54" s="21" t="n">
        <v>241.394</v>
      </c>
      <c r="CU54" s="21" t="n">
        <v>153.289</v>
      </c>
      <c r="CV54" s="21" t="n">
        <v>141.286</v>
      </c>
      <c r="CW54" s="21" t="n">
        <v>139.889</v>
      </c>
      <c r="CX54" s="21" t="n">
        <v>274.502</v>
      </c>
      <c r="CY54" s="21" t="n">
        <v>131.46</v>
      </c>
      <c r="CZ54" s="21" t="n">
        <v>125.641</v>
      </c>
      <c r="DA54" s="21" t="n">
        <v>283.394</v>
      </c>
      <c r="DB54" s="21" t="n">
        <v>175.517</v>
      </c>
      <c r="DC54" s="21" t="n">
        <v>179.958</v>
      </c>
      <c r="DD54" s="21" t="n">
        <v>148.747</v>
      </c>
      <c r="DE54" s="21" t="n">
        <v>194.857</v>
      </c>
      <c r="DF54" s="21" t="n">
        <v>252.169</v>
      </c>
      <c r="DG54" s="21" t="n">
        <v>205.369</v>
      </c>
      <c r="DH54" s="21" t="n">
        <v>229.054</v>
      </c>
      <c r="DI54" s="21" t="n">
        <v>194.627</v>
      </c>
      <c r="DJ54" s="21" t="n">
        <v>204.719</v>
      </c>
      <c r="DK54" s="21" t="n">
        <v>189.883</v>
      </c>
      <c r="DL54" s="21" t="n">
        <v>172.397</v>
      </c>
      <c r="DM54" s="21" t="n">
        <v>353.734</v>
      </c>
      <c r="DN54" s="21" t="n">
        <v>190.488</v>
      </c>
      <c r="DO54" s="21" t="n">
        <v>265.129</v>
      </c>
      <c r="DP54" s="21" t="n">
        <v>317.03</v>
      </c>
      <c r="DQ54" s="21" t="n">
        <v>329.617</v>
      </c>
      <c r="DR54" s="21" t="n">
        <v>168.78</v>
      </c>
      <c r="DS54" s="21" t="n">
        <v>560.9589999999999</v>
      </c>
      <c r="DT54" s="21" t="n">
        <v>346.305</v>
      </c>
      <c r="DU54" s="21" t="n">
        <v>324.449</v>
      </c>
      <c r="DV54" s="21" t="n">
        <v>324.487</v>
      </c>
      <c r="DW54" s="21" t="n">
        <v>242.548</v>
      </c>
      <c r="DX54" s="21" t="n">
        <v>200.175</v>
      </c>
      <c r="DY54" s="21" t="n">
        <v>291.141</v>
      </c>
      <c r="DZ54" s="21" t="n">
        <v>295.438</v>
      </c>
      <c r="EA54" s="21" t="n">
        <v>334.886</v>
      </c>
      <c r="EB54" s="21" t="n">
        <v>203.189</v>
      </c>
      <c r="EC54" s="21" t="n">
        <v>213.023</v>
      </c>
      <c r="ED54" s="21" t="n">
        <v>170.986</v>
      </c>
      <c r="EE54" s="21" t="n">
        <v>243.924</v>
      </c>
      <c r="EF54" s="21" t="n">
        <v>566.263</v>
      </c>
      <c r="EG54" s="21" t="n">
        <v>480.865</v>
      </c>
      <c r="EH54" s="21" t="n">
        <v>123.145</v>
      </c>
      <c r="EI54" s="21" t="n">
        <v>56.585</v>
      </c>
      <c r="EJ54" s="21" t="n">
        <v>59.697</v>
      </c>
      <c r="EK54" s="21" t="n">
        <v>43.472</v>
      </c>
      <c r="EL54" s="21" t="n">
        <v>113.765</v>
      </c>
      <c r="EM54" s="21" t="n">
        <v>71.042</v>
      </c>
      <c r="EN54" s="21" t="n">
        <v>77.102</v>
      </c>
      <c r="EO54" s="21" t="n">
        <v>85.563</v>
      </c>
      <c r="EP54" s="21" t="n">
        <v>98.636</v>
      </c>
      <c r="EQ54" s="21" t="n">
        <v>65.648</v>
      </c>
      <c r="ER54" s="21" t="n">
        <v>50.776</v>
      </c>
      <c r="ES54" s="21" t="n">
        <v>131.15</v>
      </c>
      <c r="ET54" s="21" t="n">
        <v>81.821</v>
      </c>
      <c r="EU54" s="21" t="n">
        <v>90.372</v>
      </c>
      <c r="EV54" s="21" t="n">
        <v>99.807</v>
      </c>
      <c r="EW54" s="21" t="n">
        <v>85.85299999999999</v>
      </c>
      <c r="EX54" s="21" t="n">
        <v>190.238</v>
      </c>
      <c r="EY54" s="21" t="n">
        <v>121.241</v>
      </c>
      <c r="EZ54" s="21" t="n">
        <v>119.052</v>
      </c>
      <c r="FA54" s="21" t="n">
        <v>173.164</v>
      </c>
      <c r="FB54" s="21" t="n">
        <v>123.764</v>
      </c>
      <c r="FC54" s="21" t="n">
        <v>117.384</v>
      </c>
      <c r="FD54" s="21" t="n">
        <v>119.583</v>
      </c>
      <c r="FE54" s="21" t="n">
        <v>106.529</v>
      </c>
      <c r="FF54" s="21" t="n">
        <v>156.24</v>
      </c>
      <c r="FG54" s="21" t="n">
        <v>76.33499999999999</v>
      </c>
      <c r="FH54" s="21" t="n">
        <v>116.175</v>
      </c>
      <c r="FI54" s="21" t="n">
        <v>108.143</v>
      </c>
      <c r="FJ54" s="21" t="n">
        <v>107.33</v>
      </c>
      <c r="FK54" s="21" t="n">
        <v>110.188</v>
      </c>
      <c r="FL54" s="21" t="n">
        <v>104.376</v>
      </c>
      <c r="FM54" s="21" t="n">
        <v>119.844</v>
      </c>
      <c r="FN54" s="21" t="n">
        <v>76.285</v>
      </c>
      <c r="FO54" s="21" t="n">
        <v>104.862</v>
      </c>
      <c r="FP54" s="21" t="n">
        <v>93.02800000000001</v>
      </c>
      <c r="FQ54" s="21" t="n">
        <v>135.138</v>
      </c>
      <c r="FR54" s="21" t="n">
        <v>138.904</v>
      </c>
      <c r="FS54" s="21" t="n">
        <v>153.258</v>
      </c>
      <c r="FT54" s="21" t="n">
        <v>123.347</v>
      </c>
      <c r="FU54" s="21" t="n">
        <v>121.011</v>
      </c>
      <c r="FV54" s="21" t="n">
        <v>171.07</v>
      </c>
      <c r="FW54" s="21" t="n">
        <v>139.609</v>
      </c>
      <c r="FX54" s="21" t="n">
        <v>172.308</v>
      </c>
      <c r="FY54" s="21" t="n">
        <v>211.761</v>
      </c>
      <c r="FZ54" s="21" t="n">
        <v>207.713</v>
      </c>
      <c r="GA54" s="21" t="n">
        <v>99.20699999999999</v>
      </c>
      <c r="GB54" s="21" t="n">
        <v>147.143</v>
      </c>
      <c r="GC54" s="21" t="n">
        <v>102.188</v>
      </c>
      <c r="GD54" s="21" t="n">
        <v>143.139</v>
      </c>
      <c r="GE54" s="21" t="n">
        <v>156.606</v>
      </c>
      <c r="GF54" s="21" t="n"/>
      <c r="GG54" s="21" t="n">
        <v>138.573</v>
      </c>
      <c r="GH54" s="21" t="n">
        <v>86.809</v>
      </c>
      <c r="GI54" s="21" t="n">
        <v>123.72</v>
      </c>
      <c r="GJ54" s="21" t="n">
        <v>243.702</v>
      </c>
      <c r="GK54" s="21" t="n">
        <v>242.557</v>
      </c>
      <c r="GL54" s="21" t="n">
        <v>237.534</v>
      </c>
      <c r="GM54" s="21" t="n">
        <v>261.214</v>
      </c>
      <c r="GN54" s="21" t="n">
        <v>258.622</v>
      </c>
      <c r="GO54" s="21" t="n">
        <v>228.784</v>
      </c>
      <c r="GP54" s="21" t="n">
        <v>146.445</v>
      </c>
      <c r="GQ54" s="21" t="n">
        <v>125.042</v>
      </c>
      <c r="GR54" s="21" t="n">
        <v>294.586</v>
      </c>
      <c r="GS54" s="21" t="n">
        <v>178.706</v>
      </c>
      <c r="GT54" s="21" t="n">
        <v>568.0650000000001</v>
      </c>
      <c r="GU54" s="21" t="n">
        <v>212.162</v>
      </c>
      <c r="GV54" s="21" t="n">
        <v>239.327</v>
      </c>
      <c r="GW54" s="21" t="n">
        <v>256.781</v>
      </c>
      <c r="GX54" s="21" t="n">
        <v>261.933</v>
      </c>
      <c r="GY54" s="21" t="n">
        <v>161.93</v>
      </c>
      <c r="GZ54" s="21" t="n"/>
      <c r="HA54" s="21" t="n">
        <v>66.992</v>
      </c>
      <c r="HB54" s="21" t="n">
        <v>494.859</v>
      </c>
      <c r="HC54" s="21" t="n">
        <v>381.066</v>
      </c>
      <c r="HD54" s="21" t="n">
        <v>124.643</v>
      </c>
      <c r="HE54" s="21" t="n">
        <v>526.439</v>
      </c>
      <c r="HF54" s="21" t="n">
        <v>96.89400000000001</v>
      </c>
      <c r="HG54" s="21" t="n">
        <v>531.474</v>
      </c>
      <c r="HH54" s="21" t="n">
        <v>381.166</v>
      </c>
      <c r="HI54" s="21" t="n">
        <v>382.436</v>
      </c>
      <c r="HJ54" s="21" t="n">
        <v>492.696</v>
      </c>
      <c r="HK54" s="21" t="n">
        <v>191.654</v>
      </c>
      <c r="HL54" s="21" t="n">
        <v>238.942</v>
      </c>
      <c r="HM54" s="21" t="n">
        <v>79.849</v>
      </c>
      <c r="HN54" s="21" t="n">
        <v>335.966</v>
      </c>
      <c r="HO54" s="21" t="n">
        <v>327.993</v>
      </c>
      <c r="HP54" s="21" t="n">
        <v>740.861</v>
      </c>
      <c r="HQ54" s="21" t="n">
        <v>234.561</v>
      </c>
      <c r="HR54" s="21" t="n">
        <v>120.155</v>
      </c>
      <c r="HS54" s="21" t="n">
        <v>104.138</v>
      </c>
      <c r="HT54" s="21" t="n">
        <v>158.363</v>
      </c>
      <c r="HU54" s="21" t="n">
        <v>475.163</v>
      </c>
      <c r="HV54" s="21" t="n">
        <v>119.383</v>
      </c>
      <c r="HW54" s="21" t="n">
        <v>27.506</v>
      </c>
      <c r="HX54" s="21" t="n">
        <v>177.868</v>
      </c>
      <c r="HY54" s="21" t="n">
        <v>203.933</v>
      </c>
      <c r="HZ54" s="21" t="n">
        <v>154.985</v>
      </c>
      <c r="IA54" s="21" t="n">
        <v>118.148</v>
      </c>
      <c r="IB54" s="21" t="n">
        <v>252.744</v>
      </c>
      <c r="IC54" s="21" t="n">
        <v>194.787</v>
      </c>
      <c r="ID54" s="21" t="n">
        <v>266.297</v>
      </c>
      <c r="IE54" s="21" t="n">
        <v>111.269</v>
      </c>
      <c r="IF54" s="21" t="n">
        <v>149.633</v>
      </c>
      <c r="IG54" s="21" t="n">
        <v>79.01000000000001</v>
      </c>
      <c r="IH54" s="21" t="n">
        <v>73.697</v>
      </c>
      <c r="II54" s="21" t="n">
        <v>53.436</v>
      </c>
      <c r="IJ54" s="21" t="n">
        <v>22.207</v>
      </c>
      <c r="IK54" s="21" t="n">
        <v>35.34</v>
      </c>
      <c r="IL54" s="21" t="n">
        <v>31.191</v>
      </c>
      <c r="IM54" s="21" t="n">
        <v>39.288</v>
      </c>
      <c r="IN54" s="21" t="n">
        <v>102.15</v>
      </c>
      <c r="IO54" s="21" t="n">
        <v>102.009</v>
      </c>
      <c r="IP54" s="21" t="n">
        <v>171.088</v>
      </c>
      <c r="IQ54" s="21" t="n">
        <v>140.975</v>
      </c>
      <c r="IR54" s="21" t="n">
        <v>390.261</v>
      </c>
      <c r="IS54" s="21" t="n">
        <v>186.395</v>
      </c>
      <c r="IT54" s="21" t="n">
        <v>224.952</v>
      </c>
      <c r="IU54" s="21" t="n">
        <v>319.871</v>
      </c>
      <c r="IV54" s="21" t="n">
        <v>254.409</v>
      </c>
      <c r="IW54" s="21" t="n">
        <v>137.5</v>
      </c>
      <c r="IX54" s="21" t="n">
        <v>265.497</v>
      </c>
      <c r="IY54" s="21" t="n">
        <v>683.088</v>
      </c>
      <c r="IZ54" s="21" t="n">
        <v>761.8339999999999</v>
      </c>
      <c r="JA54" s="21" t="n">
        <v>865.644</v>
      </c>
      <c r="JB54" s="21" t="n">
        <v>82.36499999999999</v>
      </c>
      <c r="JC54" s="21" t="n">
        <v>302.44</v>
      </c>
      <c r="JD54" s="21" t="n">
        <v>253.305</v>
      </c>
      <c r="JE54" s="21" t="n">
        <v>72.977</v>
      </c>
      <c r="JF54" s="21" t="n">
        <v>194.345</v>
      </c>
      <c r="JG54" s="21" t="n">
        <v>305.346</v>
      </c>
      <c r="JH54" s="21" t="n">
        <v>318.172</v>
      </c>
      <c r="JI54" s="21" t="n">
        <v>68.994</v>
      </c>
      <c r="JJ54" s="21" t="n">
        <v>109.662</v>
      </c>
      <c r="JK54" s="21" t="n">
        <v>39.339</v>
      </c>
      <c r="JL54" s="21" t="n">
        <v>76.739</v>
      </c>
      <c r="JM54" s="21" t="n">
        <v>219.066</v>
      </c>
      <c r="JN54" s="21" t="n">
        <v>449.547</v>
      </c>
      <c r="JO54" s="21" t="n">
        <v>69.884</v>
      </c>
      <c r="JP54" s="21" t="n">
        <v>453.809</v>
      </c>
      <c r="JQ54" s="21" t="n">
        <v>233.313</v>
      </c>
      <c r="JR54" s="21" t="n">
        <v>160.588</v>
      </c>
      <c r="JS54" s="21" t="n">
        <v>447.689</v>
      </c>
      <c r="JT54" s="21" t="n">
        <v>362.964</v>
      </c>
      <c r="JU54" s="21" t="n">
        <v>338.063</v>
      </c>
      <c r="JV54" s="21" t="n">
        <v>175.187</v>
      </c>
      <c r="JW54" s="21" t="n">
        <v>364.53</v>
      </c>
      <c r="JX54" s="21" t="n">
        <v>254.104</v>
      </c>
      <c r="JY54" s="21" t="n">
        <v>74.023</v>
      </c>
      <c r="JZ54" s="21" t="n">
        <v>147.766</v>
      </c>
      <c r="KA54" s="21" t="n">
        <v>243.8</v>
      </c>
      <c r="KB54" s="21" t="n">
        <v>260.843</v>
      </c>
      <c r="KC54" s="21" t="n">
        <v>254.888</v>
      </c>
      <c r="KD54" s="21" t="n">
        <v>262.217</v>
      </c>
      <c r="KE54" s="21" t="n">
        <v>234.095</v>
      </c>
      <c r="KF54" s="21" t="n">
        <v>227.867</v>
      </c>
      <c r="KG54" s="21" t="n">
        <v>231.794</v>
      </c>
      <c r="KH54" s="21" t="n">
        <v>237.555</v>
      </c>
      <c r="KI54" s="21" t="n">
        <v>116.632</v>
      </c>
      <c r="KJ54" s="21" t="n">
        <v>185.936</v>
      </c>
      <c r="KK54" s="21" t="n">
        <v>153.927</v>
      </c>
      <c r="KL54" s="21" t="n">
        <v>150.549</v>
      </c>
      <c r="KM54" s="21" t="n">
        <v>144.146</v>
      </c>
      <c r="KN54" s="21" t="n">
        <v>145.428</v>
      </c>
      <c r="KO54" s="21" t="n">
        <v>249.781</v>
      </c>
      <c r="KP54" s="21" t="n">
        <v>104.452</v>
      </c>
      <c r="KQ54" s="21" t="n">
        <v>71.937</v>
      </c>
      <c r="KR54" s="21" t="n">
        <v>110.668</v>
      </c>
      <c r="KS54" s="21" t="n">
        <v>220.523</v>
      </c>
      <c r="KT54" s="21" t="n">
        <v>247.935</v>
      </c>
      <c r="KU54" s="21" t="n">
        <v>90.67</v>
      </c>
      <c r="KV54" s="21" t="n">
        <v>51.837</v>
      </c>
      <c r="KW54" s="21" t="n">
        <v>228.018</v>
      </c>
      <c r="KX54" s="21" t="n">
        <v>202.478</v>
      </c>
      <c r="KY54" s="21" t="n">
        <v>250.072</v>
      </c>
      <c r="KZ54" s="21" t="n">
        <v>199.371</v>
      </c>
      <c r="LA54" s="21" t="n">
        <v>251.11</v>
      </c>
      <c r="LB54" s="21" t="n">
        <v>113.856</v>
      </c>
      <c r="LC54" s="21" t="n">
        <v>357.517</v>
      </c>
      <c r="LD54" s="21" t="n">
        <v>79.88800000000001</v>
      </c>
      <c r="LE54" s="21" t="n">
        <v>123.69</v>
      </c>
      <c r="LF54" s="21" t="n">
        <v>330.524</v>
      </c>
      <c r="LG54" s="21" t="n">
        <v>323.706</v>
      </c>
      <c r="LH54" s="21" t="n">
        <v>335.821</v>
      </c>
      <c r="LI54" s="21" t="n">
        <v>308.132</v>
      </c>
      <c r="LJ54" s="21" t="n">
        <v>341.316</v>
      </c>
      <c r="LK54" s="21" t="n">
        <v>104.632</v>
      </c>
      <c r="LL54" s="21" t="n">
        <v>323.026</v>
      </c>
      <c r="LM54" s="21" t="n">
        <v>217.486</v>
      </c>
      <c r="LN54" s="21" t="n">
        <v>39.947</v>
      </c>
      <c r="LO54" s="21" t="n">
        <v>126.692</v>
      </c>
    </row>
    <row r="55">
      <c r="A55" s="22" t="n">
        <v>43617</v>
      </c>
      <c r="B55" s="21" t="n">
        <v>255.213</v>
      </c>
      <c r="C55" s="21" t="n">
        <v>257.664</v>
      </c>
      <c r="D55" s="21" t="n">
        <v>257.952</v>
      </c>
      <c r="E55" s="21" t="n">
        <v>241.214</v>
      </c>
      <c r="F55" s="21" t="n">
        <v>276.249</v>
      </c>
      <c r="G55" s="21" t="n">
        <v>228.574</v>
      </c>
      <c r="H55" s="21" t="n">
        <v>236.435</v>
      </c>
      <c r="I55" s="21" t="n">
        <v>223.984</v>
      </c>
      <c r="J55" s="21" t="n">
        <v>238.877</v>
      </c>
      <c r="K55" s="21" t="n">
        <v>303.823</v>
      </c>
      <c r="L55" s="21" t="n">
        <v>182.206</v>
      </c>
      <c r="M55" s="21" t="n">
        <v>179.483</v>
      </c>
      <c r="N55" s="21" t="n">
        <v>291.086</v>
      </c>
      <c r="O55" s="21" t="n">
        <v>270.304</v>
      </c>
      <c r="P55" s="21" t="n">
        <v>269.652</v>
      </c>
      <c r="Q55" s="21" t="n">
        <v>307.501</v>
      </c>
      <c r="R55" s="21" t="n">
        <v>268.984</v>
      </c>
      <c r="S55" s="21" t="n">
        <v>248.48</v>
      </c>
      <c r="T55" s="21" t="n">
        <v>252.372</v>
      </c>
      <c r="U55" s="21" t="n">
        <v>253.93</v>
      </c>
      <c r="V55" s="21" t="n">
        <v>304.075</v>
      </c>
      <c r="W55" s="21" t="n">
        <v>266.123</v>
      </c>
      <c r="X55" s="21" t="n">
        <v>236.081</v>
      </c>
      <c r="Y55" s="21" t="n">
        <v>204.259</v>
      </c>
      <c r="Z55" s="21" t="n">
        <v>212.242</v>
      </c>
      <c r="AA55" s="21" t="n">
        <v>163.357</v>
      </c>
      <c r="AB55" s="21" t="n">
        <v>310.546</v>
      </c>
      <c r="AC55" s="21" t="n">
        <v>144.31</v>
      </c>
      <c r="AD55" s="21" t="n">
        <v>198.458</v>
      </c>
      <c r="AE55" s="21" t="n">
        <v>219.951</v>
      </c>
      <c r="AF55" s="21" t="n">
        <v>186.744</v>
      </c>
      <c r="AG55" s="21" t="n">
        <v>124.51</v>
      </c>
      <c r="AH55" s="21" t="n">
        <v>224.846</v>
      </c>
      <c r="AI55" s="21" t="n">
        <v>232.59</v>
      </c>
      <c r="AJ55" s="21" t="n">
        <v>144.319</v>
      </c>
      <c r="AK55" s="21" t="n">
        <v>232.471</v>
      </c>
      <c r="AL55" s="21" t="n">
        <v>150.442</v>
      </c>
      <c r="AM55" s="21" t="n">
        <v>253.919</v>
      </c>
      <c r="AN55" s="21" t="n">
        <v>221.976</v>
      </c>
      <c r="AO55" s="21" t="n">
        <v>146.129</v>
      </c>
      <c r="AP55" s="21" t="n">
        <v>296.853</v>
      </c>
      <c r="AQ55" s="21" t="n">
        <v>185.953</v>
      </c>
      <c r="AR55" s="21" t="n">
        <v>148.326</v>
      </c>
      <c r="AS55" s="21" t="n">
        <v>216.237</v>
      </c>
      <c r="AT55" s="21" t="n">
        <v>305.703</v>
      </c>
      <c r="AU55" s="21" t="n">
        <v>196.335</v>
      </c>
      <c r="AV55" s="21" t="n">
        <v>217.722</v>
      </c>
      <c r="AW55" s="21" t="n">
        <v>139.727</v>
      </c>
      <c r="AX55" s="21" t="n">
        <v>200.442</v>
      </c>
      <c r="AY55" s="21" t="n">
        <v>144.136</v>
      </c>
      <c r="AZ55" s="21" t="n">
        <v>228.269</v>
      </c>
      <c r="BA55" s="21" t="n">
        <v>217.8</v>
      </c>
      <c r="BB55" s="21" t="n">
        <v>149.123</v>
      </c>
      <c r="BC55" s="21" t="n">
        <v>299.13</v>
      </c>
      <c r="BD55" s="21" t="n">
        <v>346.943</v>
      </c>
      <c r="BE55" s="21" t="n">
        <v>359.006</v>
      </c>
      <c r="BF55" s="21" t="n">
        <v>341.363</v>
      </c>
      <c r="BG55" s="21" t="n">
        <v>197.12</v>
      </c>
      <c r="BH55" s="21" t="n">
        <v>253.528</v>
      </c>
      <c r="BI55" s="21" t="n">
        <v>501.731</v>
      </c>
      <c r="BJ55" s="21" t="n">
        <v>117.763</v>
      </c>
      <c r="BK55" s="21" t="n">
        <v>332.947</v>
      </c>
      <c r="BL55" s="21" t="n">
        <v>348.457</v>
      </c>
      <c r="BM55" s="21" t="n">
        <v>310.752</v>
      </c>
      <c r="BN55" s="21" t="n">
        <v>327.696</v>
      </c>
      <c r="BO55" s="21" t="n">
        <v>340.956</v>
      </c>
      <c r="BP55" s="21" t="n">
        <v>156.293</v>
      </c>
      <c r="BQ55" s="21" t="n">
        <v>164.099</v>
      </c>
      <c r="BR55" s="21" t="n">
        <v>157.937</v>
      </c>
      <c r="BS55" s="21" t="n">
        <v>174.417</v>
      </c>
      <c r="BT55" s="21" t="n">
        <v>144.216</v>
      </c>
      <c r="BU55" s="21" t="n">
        <v>200.344</v>
      </c>
      <c r="BV55" s="21" t="n">
        <v>151.702</v>
      </c>
      <c r="BW55" s="21" t="n">
        <v>170.589</v>
      </c>
      <c r="BX55" s="21" t="n">
        <v>132.986</v>
      </c>
      <c r="BY55" s="21" t="n">
        <v>168.615</v>
      </c>
      <c r="BZ55" s="21" t="n">
        <v>120.351</v>
      </c>
      <c r="CA55" s="21" t="n">
        <v>116.777</v>
      </c>
      <c r="CB55" s="21" t="n">
        <v>194.122</v>
      </c>
      <c r="CC55" s="21" t="n">
        <v>201.961</v>
      </c>
      <c r="CD55" s="21" t="n">
        <v>129.252</v>
      </c>
      <c r="CE55" s="21" t="n">
        <v>211.621</v>
      </c>
      <c r="CF55" s="21" t="n">
        <v>220.473</v>
      </c>
      <c r="CG55" s="21" t="n">
        <v>186.547</v>
      </c>
      <c r="CH55" s="21" t="n">
        <v>150.725</v>
      </c>
      <c r="CI55" s="21" t="n">
        <v>153.218</v>
      </c>
      <c r="CJ55" s="21" t="n">
        <v>227.28</v>
      </c>
      <c r="CK55" s="21" t="n">
        <v>207.246</v>
      </c>
      <c r="CL55" s="21" t="n">
        <v>245.976</v>
      </c>
      <c r="CM55" s="21" t="n">
        <v>298.41</v>
      </c>
      <c r="CN55" s="21" t="n">
        <v>128.635</v>
      </c>
      <c r="CO55" s="21" t="n">
        <v>155.844</v>
      </c>
      <c r="CP55" s="21" t="n">
        <v>225.836</v>
      </c>
      <c r="CQ55" s="21" t="n">
        <v>245.969</v>
      </c>
      <c r="CR55" s="21" t="n">
        <v>166.755</v>
      </c>
      <c r="CS55" s="21" t="n">
        <v>252.803</v>
      </c>
      <c r="CT55" s="21" t="n">
        <v>243.592</v>
      </c>
      <c r="CU55" s="21" t="n">
        <v>155.342</v>
      </c>
      <c r="CV55" s="21" t="n">
        <v>141.383</v>
      </c>
      <c r="CW55" s="21" t="n">
        <v>140.555</v>
      </c>
      <c r="CX55" s="21" t="n">
        <v>277.977</v>
      </c>
      <c r="CY55" s="21" t="n">
        <v>132.009</v>
      </c>
      <c r="CZ55" s="21" t="n">
        <v>126.511</v>
      </c>
      <c r="DA55" s="21" t="n">
        <v>284.316</v>
      </c>
      <c r="DB55" s="21" t="n">
        <v>176.493</v>
      </c>
      <c r="DC55" s="21" t="n">
        <v>180.117</v>
      </c>
      <c r="DD55" s="21" t="n">
        <v>148.829</v>
      </c>
      <c r="DE55" s="21" t="n">
        <v>196.262</v>
      </c>
      <c r="DF55" s="21" t="n">
        <v>252.396</v>
      </c>
      <c r="DG55" s="21" t="n">
        <v>205.598</v>
      </c>
      <c r="DH55" s="21" t="n">
        <v>229.384</v>
      </c>
      <c r="DI55" s="21" t="n">
        <v>195.73</v>
      </c>
      <c r="DJ55" s="21" t="n">
        <v>205.945</v>
      </c>
      <c r="DK55" s="21" t="n">
        <v>190.246</v>
      </c>
      <c r="DL55" s="21" t="n">
        <v>172.396</v>
      </c>
      <c r="DM55" s="21" t="n">
        <v>354.57</v>
      </c>
      <c r="DN55" s="21" t="n">
        <v>190.623</v>
      </c>
      <c r="DO55" s="21" t="n">
        <v>265.866</v>
      </c>
      <c r="DP55" s="21" t="n">
        <v>317.949</v>
      </c>
      <c r="DQ55" s="21" t="n">
        <v>330.919</v>
      </c>
      <c r="DR55" s="21" t="n">
        <v>167.434</v>
      </c>
      <c r="DS55" s="21" t="n">
        <v>561.976</v>
      </c>
      <c r="DT55" s="21" t="n">
        <v>343.109</v>
      </c>
      <c r="DU55" s="21" t="n">
        <v>325.418</v>
      </c>
      <c r="DV55" s="21" t="n">
        <v>325.455</v>
      </c>
      <c r="DW55" s="21" t="n">
        <v>242.145</v>
      </c>
      <c r="DX55" s="21" t="n">
        <v>199.582</v>
      </c>
      <c r="DY55" s="21" t="n">
        <v>281.954</v>
      </c>
      <c r="DZ55" s="21" t="n">
        <v>286.329</v>
      </c>
      <c r="EA55" s="21" t="n">
        <v>328.879</v>
      </c>
      <c r="EB55" s="21" t="n">
        <v>202.915</v>
      </c>
      <c r="EC55" s="21" t="n">
        <v>212.802</v>
      </c>
      <c r="ED55" s="21" t="n">
        <v>170.569</v>
      </c>
      <c r="EE55" s="21" t="n">
        <v>244.538</v>
      </c>
      <c r="EF55" s="21" t="n">
        <v>568.104</v>
      </c>
      <c r="EG55" s="21" t="n">
        <v>480.984</v>
      </c>
      <c r="EH55" s="21" t="n">
        <v>123.974</v>
      </c>
      <c r="EI55" s="21" t="n">
        <v>55.994</v>
      </c>
      <c r="EJ55" s="21" t="n">
        <v>60.287</v>
      </c>
      <c r="EK55" s="21" t="n">
        <v>42.172</v>
      </c>
      <c r="EL55" s="21" t="n">
        <v>114.718</v>
      </c>
      <c r="EM55" s="21" t="n">
        <v>70.544</v>
      </c>
      <c r="EN55" s="21" t="n">
        <v>77.20099999999999</v>
      </c>
      <c r="EO55" s="21" t="n">
        <v>84.886</v>
      </c>
      <c r="EP55" s="21" t="n">
        <v>97.94499999999999</v>
      </c>
      <c r="EQ55" s="21" t="n">
        <v>66.193</v>
      </c>
      <c r="ER55" s="21" t="n">
        <v>51.08</v>
      </c>
      <c r="ES55" s="21" t="n">
        <v>132.694</v>
      </c>
      <c r="ET55" s="21" t="n">
        <v>82.18899999999999</v>
      </c>
      <c r="EU55" s="21" t="n">
        <v>90.425</v>
      </c>
      <c r="EV55" s="21" t="n">
        <v>100.185</v>
      </c>
      <c r="EW55" s="21" t="n">
        <v>85.628</v>
      </c>
      <c r="EX55" s="21" t="n">
        <v>190.603</v>
      </c>
      <c r="EY55" s="21" t="n">
        <v>121.075</v>
      </c>
      <c r="EZ55" s="21" t="n">
        <v>119.438</v>
      </c>
      <c r="FA55" s="21" t="n">
        <v>175.642</v>
      </c>
      <c r="FB55" s="21" t="n">
        <v>124.75</v>
      </c>
      <c r="FC55" s="21" t="n">
        <v>118.077</v>
      </c>
      <c r="FD55" s="21" t="n">
        <v>120.06</v>
      </c>
      <c r="FE55" s="21" t="n">
        <v>104.843</v>
      </c>
      <c r="FF55" s="21" t="n">
        <v>155.096</v>
      </c>
      <c r="FG55" s="21" t="n">
        <v>76.639</v>
      </c>
      <c r="FH55" s="21" t="n">
        <v>117.886</v>
      </c>
      <c r="FI55" s="21" t="n">
        <v>108.774</v>
      </c>
      <c r="FJ55" s="21" t="n">
        <v>107.866</v>
      </c>
      <c r="FK55" s="21" t="n">
        <v>109.873</v>
      </c>
      <c r="FL55" s="21" t="n">
        <v>107.627</v>
      </c>
      <c r="FM55" s="21" t="n">
        <v>118.368</v>
      </c>
      <c r="FN55" s="21" t="n">
        <v>75.379</v>
      </c>
      <c r="FO55" s="21" t="n">
        <v>104.942</v>
      </c>
      <c r="FP55" s="21" t="n">
        <v>97.84699999999999</v>
      </c>
      <c r="FQ55" s="21" t="n">
        <v>136.472</v>
      </c>
      <c r="FR55" s="21" t="n">
        <v>138.28</v>
      </c>
      <c r="FS55" s="21" t="n">
        <v>152.337</v>
      </c>
      <c r="FT55" s="21" t="n">
        <v>124.791</v>
      </c>
      <c r="FU55" s="21" t="n">
        <v>118.483</v>
      </c>
      <c r="FV55" s="21" t="n">
        <v>177.886</v>
      </c>
      <c r="FW55" s="21" t="n">
        <v>141.407</v>
      </c>
      <c r="FX55" s="21" t="n">
        <v>181.173</v>
      </c>
      <c r="FY55" s="21" t="n">
        <v>209.25</v>
      </c>
      <c r="FZ55" s="21" t="n">
        <v>205.096</v>
      </c>
      <c r="GA55" s="21" t="n">
        <v>98.93000000000001</v>
      </c>
      <c r="GB55" s="21" t="n">
        <v>146.697</v>
      </c>
      <c r="GC55" s="21" t="n">
        <v>102.043</v>
      </c>
      <c r="GD55" s="21" t="n">
        <v>142.584</v>
      </c>
      <c r="GE55" s="21" t="n">
        <v>155.989</v>
      </c>
      <c r="GF55" s="21" t="n"/>
      <c r="GG55" s="21" t="n">
        <v>138.241</v>
      </c>
      <c r="GH55" s="21" t="n">
        <v>86.196</v>
      </c>
      <c r="GI55" s="21" t="n">
        <v>125.137</v>
      </c>
      <c r="GJ55" s="21" t="n">
        <v>232.953</v>
      </c>
      <c r="GK55" s="21" t="n">
        <v>231.691</v>
      </c>
      <c r="GL55" s="21" t="n">
        <v>226.555</v>
      </c>
      <c r="GM55" s="21" t="n">
        <v>250.809</v>
      </c>
      <c r="GN55" s="21" t="n">
        <v>248.004</v>
      </c>
      <c r="GO55" s="21" t="n">
        <v>223.589</v>
      </c>
      <c r="GP55" s="21" t="n">
        <v>146.554</v>
      </c>
      <c r="GQ55" s="21" t="n">
        <v>125.214</v>
      </c>
      <c r="GR55" s="21" t="n">
        <v>295.67</v>
      </c>
      <c r="GS55" s="21" t="n">
        <v>179.144</v>
      </c>
      <c r="GT55" s="21" t="n">
        <v>569.449</v>
      </c>
      <c r="GU55" s="21" t="n">
        <v>212.101</v>
      </c>
      <c r="GV55" s="21" t="n">
        <v>239.716</v>
      </c>
      <c r="GW55" s="21" t="n">
        <v>256.36</v>
      </c>
      <c r="GX55" s="21" t="n">
        <v>262.483</v>
      </c>
      <c r="GY55" s="21" t="n">
        <v>159.564</v>
      </c>
      <c r="GZ55" s="21" t="n"/>
      <c r="HA55" s="21" t="n">
        <v>65.06999999999999</v>
      </c>
      <c r="HB55" s="21" t="n">
        <v>495.745</v>
      </c>
      <c r="HC55" s="21" t="n">
        <v>379.462</v>
      </c>
      <c r="HD55" s="21" t="n">
        <v>124.074</v>
      </c>
      <c r="HE55" s="21" t="n">
        <v>522.957</v>
      </c>
      <c r="HF55" s="21" t="n">
        <v>97.092</v>
      </c>
      <c r="HG55" s="21" t="n">
        <v>533.2</v>
      </c>
      <c r="HH55" s="21" t="n">
        <v>382.28</v>
      </c>
      <c r="HI55" s="21" t="n">
        <v>382.702</v>
      </c>
      <c r="HJ55" s="21" t="n">
        <v>496.317</v>
      </c>
      <c r="HK55" s="21" t="n">
        <v>191.768</v>
      </c>
      <c r="HL55" s="21" t="n">
        <v>239.093</v>
      </c>
      <c r="HM55" s="21" t="n">
        <v>79.675</v>
      </c>
      <c r="HN55" s="21" t="n">
        <v>335.078</v>
      </c>
      <c r="HO55" s="21" t="n">
        <v>327.548</v>
      </c>
      <c r="HP55" s="21" t="n">
        <v>738.8579999999999</v>
      </c>
      <c r="HQ55" s="21" t="n">
        <v>235.188</v>
      </c>
      <c r="HR55" s="21" t="n">
        <v>120.102</v>
      </c>
      <c r="HS55" s="21" t="n">
        <v>103.985</v>
      </c>
      <c r="HT55" s="21" t="n">
        <v>155.151</v>
      </c>
      <c r="HU55" s="21" t="n">
        <v>474.546</v>
      </c>
      <c r="HV55" s="21" t="n">
        <v>119.046</v>
      </c>
      <c r="HW55" s="21" t="n">
        <v>27.276</v>
      </c>
      <c r="HX55" s="21" t="n">
        <v>178.059</v>
      </c>
      <c r="HY55" s="21" t="n">
        <v>203.949</v>
      </c>
      <c r="HZ55" s="21" t="n">
        <v>155.156</v>
      </c>
      <c r="IA55" s="21" t="n">
        <v>117.856</v>
      </c>
      <c r="IB55" s="21" t="n">
        <v>253.381</v>
      </c>
      <c r="IC55" s="21" t="n">
        <v>195.595</v>
      </c>
      <c r="ID55" s="21" t="n">
        <v>266.959</v>
      </c>
      <c r="IE55" s="21" t="n">
        <v>111.701</v>
      </c>
      <c r="IF55" s="21" t="n">
        <v>151.189</v>
      </c>
      <c r="IG55" s="21" t="n">
        <v>78.59699999999999</v>
      </c>
      <c r="IH55" s="21" t="n">
        <v>73.48999999999999</v>
      </c>
      <c r="II55" s="21" t="n">
        <v>53.688</v>
      </c>
      <c r="IJ55" s="21" t="n">
        <v>22.448</v>
      </c>
      <c r="IK55" s="21" t="n">
        <v>35.375</v>
      </c>
      <c r="IL55" s="21" t="n">
        <v>31.232</v>
      </c>
      <c r="IM55" s="21" t="n">
        <v>39.524</v>
      </c>
      <c r="IN55" s="21" t="n">
        <v>102.566</v>
      </c>
      <c r="IO55" s="21" t="n">
        <v>101.731</v>
      </c>
      <c r="IP55" s="21" t="n">
        <v>170.84</v>
      </c>
      <c r="IQ55" s="21" t="n">
        <v>140.561</v>
      </c>
      <c r="IR55" s="21" t="n">
        <v>389.811</v>
      </c>
      <c r="IS55" s="21" t="n">
        <v>185.882</v>
      </c>
      <c r="IT55" s="21" t="n">
        <v>224.517</v>
      </c>
      <c r="IU55" s="21" t="n">
        <v>320.552</v>
      </c>
      <c r="IV55" s="21" t="n">
        <v>253.678</v>
      </c>
      <c r="IW55" s="21" t="n">
        <v>137.631</v>
      </c>
      <c r="IX55" s="21" t="n">
        <v>265.817</v>
      </c>
      <c r="IY55" s="21" t="n">
        <v>686.251</v>
      </c>
      <c r="IZ55" s="21" t="n">
        <v>762.638</v>
      </c>
      <c r="JA55" s="21" t="n">
        <v>865.37</v>
      </c>
      <c r="JB55" s="21" t="n">
        <v>82.48999999999999</v>
      </c>
      <c r="JC55" s="21" t="n">
        <v>303.298</v>
      </c>
      <c r="JD55" s="21" t="n">
        <v>254.372</v>
      </c>
      <c r="JE55" s="21" t="n">
        <v>73.03</v>
      </c>
      <c r="JF55" s="21" t="n">
        <v>195.016</v>
      </c>
      <c r="JG55" s="21" t="n">
        <v>306.472</v>
      </c>
      <c r="JH55" s="21" t="n">
        <v>318.744</v>
      </c>
      <c r="JI55" s="21" t="n">
        <v>69.038</v>
      </c>
      <c r="JJ55" s="21" t="n">
        <v>109.476</v>
      </c>
      <c r="JK55" s="21" t="n">
        <v>38.586</v>
      </c>
      <c r="JL55" s="21" t="n">
        <v>77.101</v>
      </c>
      <c r="JM55" s="21" t="n">
        <v>217.317</v>
      </c>
      <c r="JN55" s="21" t="n">
        <v>449.125</v>
      </c>
      <c r="JO55" s="21" t="n">
        <v>69.935</v>
      </c>
      <c r="JP55" s="21" t="n">
        <v>454.043</v>
      </c>
      <c r="JQ55" s="21" t="n">
        <v>232.992</v>
      </c>
      <c r="JR55" s="21" t="n">
        <v>160.148</v>
      </c>
      <c r="JS55" s="21" t="n">
        <v>447.923</v>
      </c>
      <c r="JT55" s="21" t="n">
        <v>363.152</v>
      </c>
      <c r="JU55" s="21" t="n">
        <v>337.998</v>
      </c>
      <c r="JV55" s="21" t="n">
        <v>175.869</v>
      </c>
      <c r="JW55" s="21" t="n">
        <v>363.222</v>
      </c>
      <c r="JX55" s="21" t="n">
        <v>252.936</v>
      </c>
      <c r="JY55" s="21" t="n">
        <v>73.435</v>
      </c>
      <c r="JZ55" s="21" t="n">
        <v>149.089</v>
      </c>
      <c r="KA55" s="21" t="n">
        <v>243.672</v>
      </c>
      <c r="KB55" s="21" t="n">
        <v>261.307</v>
      </c>
      <c r="KC55" s="21" t="n">
        <v>254.772</v>
      </c>
      <c r="KD55" s="21" t="n">
        <v>262.739</v>
      </c>
      <c r="KE55" s="21" t="n">
        <v>233.642</v>
      </c>
      <c r="KF55" s="21" t="n">
        <v>227.288</v>
      </c>
      <c r="KG55" s="21" t="n">
        <v>232.103</v>
      </c>
      <c r="KH55" s="21" t="n">
        <v>237.919</v>
      </c>
      <c r="KI55" s="21" t="n">
        <v>117.499</v>
      </c>
      <c r="KJ55" s="21" t="n">
        <v>185.025</v>
      </c>
      <c r="KK55" s="21" t="n">
        <v>152.708</v>
      </c>
      <c r="KL55" s="21" t="n">
        <v>149.3</v>
      </c>
      <c r="KM55" s="21" t="n">
        <v>144.173</v>
      </c>
      <c r="KN55" s="21" t="n">
        <v>145.508</v>
      </c>
      <c r="KO55" s="21" t="n">
        <v>249.146</v>
      </c>
      <c r="KP55" s="21" t="n">
        <v>104.454</v>
      </c>
      <c r="KQ55" s="21" t="n">
        <v>71.232</v>
      </c>
      <c r="KR55" s="21" t="n">
        <v>110.876</v>
      </c>
      <c r="KS55" s="21" t="n">
        <v>214.926</v>
      </c>
      <c r="KT55" s="21" t="n">
        <v>237.132</v>
      </c>
      <c r="KU55" s="21" t="n">
        <v>90.798</v>
      </c>
      <c r="KV55" s="21" t="n">
        <v>51.085</v>
      </c>
      <c r="KW55" s="21" t="n">
        <v>226.734</v>
      </c>
      <c r="KX55" s="21" t="n">
        <v>200.568</v>
      </c>
      <c r="KY55" s="21" t="n">
        <v>246.201</v>
      </c>
      <c r="KZ55" s="21" t="n">
        <v>197.355</v>
      </c>
      <c r="LA55" s="21" t="n">
        <v>246.875</v>
      </c>
      <c r="LB55" s="21" t="n">
        <v>113.635</v>
      </c>
      <c r="LC55" s="21" t="n">
        <v>357.843</v>
      </c>
      <c r="LD55" s="21" t="n">
        <v>79.889</v>
      </c>
      <c r="LE55" s="21" t="n">
        <v>123.61</v>
      </c>
      <c r="LF55" s="21" t="n">
        <v>331.51</v>
      </c>
      <c r="LG55" s="21" t="n">
        <v>324.511</v>
      </c>
      <c r="LH55" s="21" t="n">
        <v>336.728</v>
      </c>
      <c r="LI55" s="21" t="n">
        <v>308.887</v>
      </c>
      <c r="LJ55" s="21" t="n">
        <v>342.017</v>
      </c>
      <c r="LK55" s="21" t="n">
        <v>104.378</v>
      </c>
      <c r="LL55" s="21" t="n">
        <v>323.274</v>
      </c>
      <c r="LM55" s="21" t="n">
        <v>217.141</v>
      </c>
      <c r="LN55" s="21" t="n">
        <v>39.564</v>
      </c>
      <c r="LO55" s="21" t="n">
        <v>126.646</v>
      </c>
    </row>
    <row r="56">
      <c r="A56" s="22" t="n">
        <v>43647</v>
      </c>
      <c r="B56" s="21" t="n">
        <v>255.802</v>
      </c>
      <c r="C56" s="21" t="n">
        <v>257.836</v>
      </c>
      <c r="D56" s="21" t="n">
        <v>258.059</v>
      </c>
      <c r="E56" s="21" t="n">
        <v>240.988</v>
      </c>
      <c r="F56" s="21" t="n">
        <v>276.646</v>
      </c>
      <c r="G56" s="21" t="n">
        <v>228.497</v>
      </c>
      <c r="H56" s="21" t="n">
        <v>236.679</v>
      </c>
      <c r="I56" s="21" t="n">
        <v>224.036</v>
      </c>
      <c r="J56" s="21" t="n">
        <v>238.581</v>
      </c>
      <c r="K56" s="21" t="n">
        <v>304.54</v>
      </c>
      <c r="L56" s="21" t="n">
        <v>183.514</v>
      </c>
      <c r="M56" s="21" t="n">
        <v>179.303</v>
      </c>
      <c r="N56" s="21" t="n">
        <v>292.662</v>
      </c>
      <c r="O56" s="21" t="n">
        <v>272.759</v>
      </c>
      <c r="P56" s="21" t="n">
        <v>268.971</v>
      </c>
      <c r="Q56" s="21" t="n">
        <v>306.15</v>
      </c>
      <c r="R56" s="21" t="n">
        <v>267.644</v>
      </c>
      <c r="S56" s="21" t="n">
        <v>248.753</v>
      </c>
      <c r="T56" s="21" t="n">
        <v>252.529</v>
      </c>
      <c r="U56" s="21" t="n">
        <v>254.744</v>
      </c>
      <c r="V56" s="21" t="n">
        <v>305.134</v>
      </c>
      <c r="W56" s="21" t="n">
        <v>268.957</v>
      </c>
      <c r="X56" s="21" t="n">
        <v>238.596</v>
      </c>
      <c r="Y56" s="21" t="n">
        <v>204.198</v>
      </c>
      <c r="Z56" s="21" t="n">
        <v>213.032</v>
      </c>
      <c r="AA56" s="21" t="n">
        <v>162.264</v>
      </c>
      <c r="AB56" s="21" t="n">
        <v>307.824</v>
      </c>
      <c r="AC56" s="21" t="n">
        <v>144.763</v>
      </c>
      <c r="AD56" s="21" t="n">
        <v>203.617</v>
      </c>
      <c r="AE56" s="21" t="n">
        <v>226.049</v>
      </c>
      <c r="AF56" s="21" t="n">
        <v>194.467</v>
      </c>
      <c r="AG56" s="21" t="n">
        <v>124.979</v>
      </c>
      <c r="AH56" s="21" t="n">
        <v>225.291</v>
      </c>
      <c r="AI56" s="21" t="n">
        <v>232.747</v>
      </c>
      <c r="AJ56" s="21" t="n">
        <v>145.148</v>
      </c>
      <c r="AK56" s="21" t="n">
        <v>230.398</v>
      </c>
      <c r="AL56" s="21" t="n">
        <v>149.39</v>
      </c>
      <c r="AM56" s="21" t="n">
        <v>247.494</v>
      </c>
      <c r="AN56" s="21" t="n">
        <v>222.48</v>
      </c>
      <c r="AO56" s="21" t="n">
        <v>144.51</v>
      </c>
      <c r="AP56" s="21" t="n">
        <v>297.688</v>
      </c>
      <c r="AQ56" s="21" t="n">
        <v>184.897</v>
      </c>
      <c r="AR56" s="21" t="n">
        <v>148.994</v>
      </c>
      <c r="AS56" s="21" t="n">
        <v>214.15</v>
      </c>
      <c r="AT56" s="21" t="n">
        <v>308.232</v>
      </c>
      <c r="AU56" s="21" t="n">
        <v>198.269</v>
      </c>
      <c r="AV56" s="21" t="n">
        <v>217.968</v>
      </c>
      <c r="AW56" s="21" t="n">
        <v>140.763</v>
      </c>
      <c r="AX56" s="21" t="n">
        <v>201.031</v>
      </c>
      <c r="AY56" s="21" t="n">
        <v>144.551</v>
      </c>
      <c r="AZ56" s="21" t="n">
        <v>227.813</v>
      </c>
      <c r="BA56" s="21" t="n">
        <v>218.71</v>
      </c>
      <c r="BB56" s="21" t="n">
        <v>148.676</v>
      </c>
      <c r="BC56" s="21" t="n">
        <v>299.999</v>
      </c>
      <c r="BD56" s="21" t="n">
        <v>348.427</v>
      </c>
      <c r="BE56" s="21" t="n">
        <v>358.385</v>
      </c>
      <c r="BF56" s="21" t="n">
        <v>342.779</v>
      </c>
      <c r="BG56" s="21" t="n">
        <v>194.956</v>
      </c>
      <c r="BH56" s="21" t="n">
        <v>253.246</v>
      </c>
      <c r="BI56" s="21" t="n">
        <v>505.784</v>
      </c>
      <c r="BJ56" s="21" t="n">
        <v>116.811</v>
      </c>
      <c r="BK56" s="21" t="n">
        <v>336.608</v>
      </c>
      <c r="BL56" s="21" t="n">
        <v>359.066</v>
      </c>
      <c r="BM56" s="21" t="n">
        <v>330.615</v>
      </c>
      <c r="BN56" s="21" t="n">
        <v>326.465</v>
      </c>
      <c r="BO56" s="21" t="n">
        <v>338.737</v>
      </c>
      <c r="BP56" s="21" t="n">
        <v>155.948</v>
      </c>
      <c r="BQ56" s="21" t="n">
        <v>162.508</v>
      </c>
      <c r="BR56" s="21" t="n">
        <v>157.115</v>
      </c>
      <c r="BS56" s="21" t="n">
        <v>171.425</v>
      </c>
      <c r="BT56" s="21" t="n">
        <v>144.85</v>
      </c>
      <c r="BU56" s="21" t="n">
        <v>201.405</v>
      </c>
      <c r="BV56" s="21" t="n">
        <v>154.461</v>
      </c>
      <c r="BW56" s="21" t="n">
        <v>170.402</v>
      </c>
      <c r="BX56" s="21" t="n">
        <v>132.754</v>
      </c>
      <c r="BY56" s="21" t="n">
        <v>168.301</v>
      </c>
      <c r="BZ56" s="21" t="n">
        <v>120.263</v>
      </c>
      <c r="CA56" s="21" t="n">
        <v>116.73</v>
      </c>
      <c r="CB56" s="21" t="n">
        <v>193.076</v>
      </c>
      <c r="CC56" s="21" t="n">
        <v>201.155</v>
      </c>
      <c r="CD56" s="21" t="n">
        <v>131.062</v>
      </c>
      <c r="CE56" s="21" t="n">
        <v>210.059</v>
      </c>
      <c r="CF56" s="21" t="n">
        <v>219.552</v>
      </c>
      <c r="CG56" s="21" t="n">
        <v>189.213</v>
      </c>
      <c r="CH56" s="21" t="n">
        <v>150.107</v>
      </c>
      <c r="CI56" s="21" t="n">
        <v>153.216</v>
      </c>
      <c r="CJ56" s="21" t="n">
        <v>225.24</v>
      </c>
      <c r="CK56" s="21" t="n">
        <v>205.258</v>
      </c>
      <c r="CL56" s="21" t="n">
        <v>245.379</v>
      </c>
      <c r="CM56" s="21" t="n">
        <v>296.803</v>
      </c>
      <c r="CN56" s="21" t="n">
        <v>127.825</v>
      </c>
      <c r="CO56" s="21" t="n">
        <v>155.39</v>
      </c>
      <c r="CP56" s="21" t="n">
        <v>224.073</v>
      </c>
      <c r="CQ56" s="21" t="n">
        <v>244.757</v>
      </c>
      <c r="CR56" s="21" t="n">
        <v>166.342</v>
      </c>
      <c r="CS56" s="21" t="n">
        <v>249.598</v>
      </c>
      <c r="CT56" s="21" t="n">
        <v>242.776</v>
      </c>
      <c r="CU56" s="21" t="n">
        <v>156.138</v>
      </c>
      <c r="CV56" s="21" t="n">
        <v>139.153</v>
      </c>
      <c r="CW56" s="21" t="n">
        <v>140.191</v>
      </c>
      <c r="CX56" s="21" t="n">
        <v>273.749</v>
      </c>
      <c r="CY56" s="21" t="n">
        <v>131.13</v>
      </c>
      <c r="CZ56" s="21" t="n">
        <v>127.344</v>
      </c>
      <c r="DA56" s="21" t="n">
        <v>284.891</v>
      </c>
      <c r="DB56" s="21" t="n">
        <v>176.832</v>
      </c>
      <c r="DC56" s="21" t="n">
        <v>180.424</v>
      </c>
      <c r="DD56" s="21" t="n"/>
      <c r="DE56" s="21" t="n">
        <v>196.711</v>
      </c>
      <c r="DF56" s="21" t="n">
        <v>253.455</v>
      </c>
      <c r="DG56" s="21" t="n">
        <v>206.224</v>
      </c>
      <c r="DH56" s="21" t="n">
        <v>230.64</v>
      </c>
      <c r="DI56" s="21" t="n">
        <v>196.565</v>
      </c>
      <c r="DJ56" s="21" t="n">
        <v>210.151</v>
      </c>
      <c r="DK56" s="21" t="n">
        <v>190.607</v>
      </c>
      <c r="DL56" s="21" t="n">
        <v>172.189</v>
      </c>
      <c r="DM56" s="21" t="n">
        <v>355.923</v>
      </c>
      <c r="DN56" s="21" t="n">
        <v>191.416</v>
      </c>
      <c r="DO56" s="21" t="n">
        <v>266.527</v>
      </c>
      <c r="DP56" s="21" t="n">
        <v>318.777</v>
      </c>
      <c r="DQ56" s="21" t="n">
        <v>331.935</v>
      </c>
      <c r="DR56" s="21" t="n">
        <v>167.986</v>
      </c>
      <c r="DS56" s="21" t="n">
        <v>562.51</v>
      </c>
      <c r="DT56" s="21" t="n">
        <v>344.344</v>
      </c>
      <c r="DU56" s="21" t="n">
        <v>326.218</v>
      </c>
      <c r="DV56" s="21" t="n">
        <v>326.258</v>
      </c>
      <c r="DW56" s="21" t="n">
        <v>242.476</v>
      </c>
      <c r="DX56" s="21" t="n">
        <v>199.804</v>
      </c>
      <c r="DY56" s="21" t="n">
        <v>283.58</v>
      </c>
      <c r="DZ56" s="21" t="n">
        <v>287.659</v>
      </c>
      <c r="EA56" s="21" t="n">
        <v>328.741</v>
      </c>
      <c r="EB56" s="21" t="n">
        <v>203.089</v>
      </c>
      <c r="EC56" s="21" t="n">
        <v>213.643</v>
      </c>
      <c r="ED56" s="21" t="n">
        <v>168.868</v>
      </c>
      <c r="EE56" s="21" t="n">
        <v>245.073</v>
      </c>
      <c r="EF56" s="21" t="n">
        <v>569.3099999999999</v>
      </c>
      <c r="EG56" s="21" t="n">
        <v>482.138</v>
      </c>
      <c r="EH56" s="21" t="n">
        <v>124.316</v>
      </c>
      <c r="EI56" s="21" t="n">
        <v>56.824</v>
      </c>
      <c r="EJ56" s="21" t="n">
        <v>61.605</v>
      </c>
      <c r="EK56" s="21" t="n">
        <v>42.844</v>
      </c>
      <c r="EL56" s="21" t="n">
        <v>114.901</v>
      </c>
      <c r="EM56" s="21" t="n">
        <v>70.209</v>
      </c>
      <c r="EN56" s="21" t="n">
        <v>76.76300000000001</v>
      </c>
      <c r="EO56" s="21" t="n">
        <v>83.473</v>
      </c>
      <c r="EP56" s="21" t="n">
        <v>95.928</v>
      </c>
      <c r="EQ56" s="21" t="n">
        <v>66.06100000000001</v>
      </c>
      <c r="ER56" s="21" t="n">
        <v>50.741</v>
      </c>
      <c r="ES56" s="21" t="n">
        <v>133.41</v>
      </c>
      <c r="ET56" s="21" t="n">
        <v>80.902</v>
      </c>
      <c r="EU56" s="21" t="n">
        <v>90.83799999999999</v>
      </c>
      <c r="EV56" s="21" t="n">
        <v>100.264</v>
      </c>
      <c r="EW56" s="21" t="n">
        <v>86.38</v>
      </c>
      <c r="EX56" s="21" t="n">
        <v>190.412</v>
      </c>
      <c r="EY56" s="21" t="n">
        <v>120.929</v>
      </c>
      <c r="EZ56" s="21" t="n">
        <v>120.034</v>
      </c>
      <c r="FA56" s="21" t="n">
        <v>179.379</v>
      </c>
      <c r="FB56" s="21" t="n">
        <v>124.731</v>
      </c>
      <c r="FC56" s="21" t="n">
        <v>118.412</v>
      </c>
      <c r="FD56" s="21" t="n">
        <v>120.794</v>
      </c>
      <c r="FE56" s="21" t="n">
        <v>108.704</v>
      </c>
      <c r="FF56" s="21" t="n">
        <v>154.428</v>
      </c>
      <c r="FG56" s="21" t="n">
        <v>77.396</v>
      </c>
      <c r="FH56" s="21" t="n">
        <v>118.086</v>
      </c>
      <c r="FI56" s="21" t="n">
        <v>109.015</v>
      </c>
      <c r="FJ56" s="21" t="n">
        <v>108.067</v>
      </c>
      <c r="FK56" s="21" t="n">
        <v>110.179</v>
      </c>
      <c r="FL56" s="21" t="n">
        <v>108.293</v>
      </c>
      <c r="FM56" s="21" t="n">
        <v>116.91</v>
      </c>
      <c r="FN56" s="21" t="n">
        <v>76.035</v>
      </c>
      <c r="FO56" s="21" t="n">
        <v>104.26</v>
      </c>
      <c r="FP56" s="21" t="n">
        <v>97.52200000000001</v>
      </c>
      <c r="FQ56" s="21" t="n">
        <v>136.574</v>
      </c>
      <c r="FR56" s="21" t="n">
        <v>137.726</v>
      </c>
      <c r="FS56" s="21" t="n">
        <v>156.548</v>
      </c>
      <c r="FT56" s="21" t="n">
        <v>124.344</v>
      </c>
      <c r="FU56" s="21" t="n">
        <v>118.611</v>
      </c>
      <c r="FV56" s="21" t="n">
        <v>174.042</v>
      </c>
      <c r="FW56" s="21" t="n">
        <v>141.049</v>
      </c>
      <c r="FX56" s="21" t="n">
        <v>176.471</v>
      </c>
      <c r="FY56" s="21" t="n">
        <v>209.934</v>
      </c>
      <c r="FZ56" s="21" t="n">
        <v>205.715</v>
      </c>
      <c r="GA56" s="21" t="n">
        <v>98.697</v>
      </c>
      <c r="GB56" s="21" t="n">
        <v>146.081</v>
      </c>
      <c r="GC56" s="21" t="n">
        <v>101.831</v>
      </c>
      <c r="GD56" s="21" t="n">
        <v>142.134</v>
      </c>
      <c r="GE56" s="21" t="n">
        <v>155.287</v>
      </c>
      <c r="GF56" s="21" t="n"/>
      <c r="GG56" s="21" t="n">
        <v>138.132</v>
      </c>
      <c r="GH56" s="21" t="n">
        <v>86.11199999999999</v>
      </c>
      <c r="GI56" s="21" t="n">
        <v>126.327</v>
      </c>
      <c r="GJ56" s="21" t="n">
        <v>236.317</v>
      </c>
      <c r="GK56" s="21" t="n">
        <v>235.098</v>
      </c>
      <c r="GL56" s="21" t="n">
        <v>230.292</v>
      </c>
      <c r="GM56" s="21" t="n">
        <v>253.439</v>
      </c>
      <c r="GN56" s="21" t="n">
        <v>248.493</v>
      </c>
      <c r="GO56" s="21" t="n">
        <v>221.544</v>
      </c>
      <c r="GP56" s="21" t="n">
        <v>145.808</v>
      </c>
      <c r="GQ56" s="21" t="n">
        <v>124.688</v>
      </c>
      <c r="GR56" s="21" t="n">
        <v>295.377</v>
      </c>
      <c r="GS56" s="21" t="n">
        <v>179.872</v>
      </c>
      <c r="GT56" s="21" t="n">
        <v>570.961</v>
      </c>
      <c r="GU56" s="21" t="n">
        <v>212.279</v>
      </c>
      <c r="GV56" s="21" t="n">
        <v>239.681</v>
      </c>
      <c r="GW56" s="21" t="n">
        <v>258.06</v>
      </c>
      <c r="GX56" s="21" t="n">
        <v>264.084</v>
      </c>
      <c r="GY56" s="21" t="n">
        <v>157.102</v>
      </c>
      <c r="GZ56" s="21" t="n"/>
      <c r="HA56" s="21" t="n">
        <v>64.35899999999999</v>
      </c>
      <c r="HB56" s="21" t="n">
        <v>497.714</v>
      </c>
      <c r="HC56" s="21" t="n">
        <v>380.278</v>
      </c>
      <c r="HD56" s="21" t="n">
        <v>124.437</v>
      </c>
      <c r="HE56" s="21" t="n">
        <v>524.829</v>
      </c>
      <c r="HF56" s="21" t="n">
        <v>97.209</v>
      </c>
      <c r="HG56" s="21" t="n">
        <v>535.551</v>
      </c>
      <c r="HH56" s="21" t="n">
        <v>382.644</v>
      </c>
      <c r="HI56" s="21" t="n">
        <v>383.047</v>
      </c>
      <c r="HJ56" s="21" t="n">
        <v>497.573</v>
      </c>
      <c r="HK56" s="21" t="n">
        <v>191.899</v>
      </c>
      <c r="HL56" s="21" t="n">
        <v>238.987</v>
      </c>
      <c r="HM56" s="21" t="n">
        <v>79.998</v>
      </c>
      <c r="HN56" s="21" t="n">
        <v>336.604</v>
      </c>
      <c r="HO56" s="21" t="n">
        <v>328.901</v>
      </c>
      <c r="HP56" s="21" t="n">
        <v>743.442</v>
      </c>
      <c r="HQ56" s="21" t="n">
        <v>235.167</v>
      </c>
      <c r="HR56" s="21" t="n">
        <v>120.133</v>
      </c>
      <c r="HS56" s="21" t="n">
        <v>103.782</v>
      </c>
      <c r="HT56" s="21" t="n">
        <v>151.744</v>
      </c>
      <c r="HU56" s="21" t="n">
        <v>475.423</v>
      </c>
      <c r="HV56" s="21" t="n">
        <v>121.381</v>
      </c>
      <c r="HW56" s="21" t="n">
        <v>26.96</v>
      </c>
      <c r="HX56" s="21" t="n">
        <v>179.051</v>
      </c>
      <c r="HY56" s="21" t="n">
        <v>205.094</v>
      </c>
      <c r="HZ56" s="21" t="n">
        <v>156.355</v>
      </c>
      <c r="IA56" s="21" t="n">
        <v>118.122</v>
      </c>
      <c r="IB56" s="21" t="n">
        <v>254.777</v>
      </c>
      <c r="IC56" s="21" t="n">
        <v>196.514</v>
      </c>
      <c r="ID56" s="21" t="n">
        <v>268.492</v>
      </c>
      <c r="IE56" s="21" t="n">
        <v>110.648</v>
      </c>
      <c r="IF56" s="21" t="n">
        <v>150.546</v>
      </c>
      <c r="IG56" s="21" t="n">
        <v>77.28</v>
      </c>
      <c r="IH56" s="21" t="n">
        <v>73.667</v>
      </c>
      <c r="II56" s="21" t="n">
        <v>53.941</v>
      </c>
      <c r="IJ56" s="21" t="n">
        <v>22.527</v>
      </c>
      <c r="IK56" s="21" t="n">
        <v>35.126</v>
      </c>
      <c r="IL56" s="21" t="n">
        <v>30.919</v>
      </c>
      <c r="IM56" s="21" t="n">
        <v>38.935</v>
      </c>
      <c r="IN56" s="21" t="n">
        <v>102.863</v>
      </c>
      <c r="IO56" s="21" t="n">
        <v>102.612</v>
      </c>
      <c r="IP56" s="21" t="n">
        <v>171.309</v>
      </c>
      <c r="IQ56" s="21" t="n">
        <v>141.982</v>
      </c>
      <c r="IR56" s="21" t="n">
        <v>388.644</v>
      </c>
      <c r="IS56" s="21" t="n">
        <v>186.611</v>
      </c>
      <c r="IT56" s="21" t="n">
        <v>223.008</v>
      </c>
      <c r="IU56" s="21" t="n">
        <v>320.314</v>
      </c>
      <c r="IV56" s="21" t="n">
        <v>255.636</v>
      </c>
      <c r="IW56" s="21" t="n">
        <v>137.88</v>
      </c>
      <c r="IX56" s="21" t="n">
        <v>266.052</v>
      </c>
      <c r="IY56" s="21" t="n">
        <v>683.624</v>
      </c>
      <c r="IZ56" s="21" t="n">
        <v>763.4690000000001</v>
      </c>
      <c r="JA56" s="21" t="n">
        <v>865.189</v>
      </c>
      <c r="JB56" s="21" t="n">
        <v>82.70699999999999</v>
      </c>
      <c r="JC56" s="21" t="n">
        <v>304.313</v>
      </c>
      <c r="JD56" s="21" t="n">
        <v>256.475</v>
      </c>
      <c r="JE56" s="21" t="n">
        <v>73.22199999999999</v>
      </c>
      <c r="JF56" s="21" t="n">
        <v>195.61</v>
      </c>
      <c r="JG56" s="21" t="n">
        <v>307.567</v>
      </c>
      <c r="JH56" s="21" t="n">
        <v>318.541</v>
      </c>
      <c r="JI56" s="21" t="n">
        <v>69.218</v>
      </c>
      <c r="JJ56" s="21" t="n">
        <v>110.051</v>
      </c>
      <c r="JK56" s="21" t="n">
        <v>39.745</v>
      </c>
      <c r="JL56" s="21" t="n">
        <v>76.99299999999999</v>
      </c>
      <c r="JM56" s="21" t="n">
        <v>214.806</v>
      </c>
      <c r="JN56" s="21" t="n">
        <v>451.247</v>
      </c>
      <c r="JO56" s="21" t="n">
        <v>70.626</v>
      </c>
      <c r="JP56" s="21" t="n">
        <v>458.871</v>
      </c>
      <c r="JQ56" s="21" t="n">
        <v>233.774</v>
      </c>
      <c r="JR56" s="21" t="n">
        <v>161.071</v>
      </c>
      <c r="JS56" s="21" t="n">
        <v>449.868</v>
      </c>
      <c r="JT56" s="21" t="n">
        <v>365.428</v>
      </c>
      <c r="JU56" s="21" t="n">
        <v>338.257</v>
      </c>
      <c r="JV56" s="21" t="n">
        <v>176.177</v>
      </c>
      <c r="JW56" s="21" t="n">
        <v>365.323</v>
      </c>
      <c r="JX56" s="21" t="n">
        <v>254.47</v>
      </c>
      <c r="JY56" s="21" t="n">
        <v>73.605</v>
      </c>
      <c r="JZ56" s="21" t="n">
        <v>150.288</v>
      </c>
      <c r="KA56" s="21" t="n">
        <v>244.195</v>
      </c>
      <c r="KB56" s="21" t="n">
        <v>261.783</v>
      </c>
      <c r="KC56" s="21" t="n">
        <v>255.434</v>
      </c>
      <c r="KD56" s="21" t="n">
        <v>263.28</v>
      </c>
      <c r="KE56" s="21" t="n">
        <v>234.147</v>
      </c>
      <c r="KF56" s="21" t="n">
        <v>227.877</v>
      </c>
      <c r="KG56" s="21" t="n">
        <v>232.488</v>
      </c>
      <c r="KH56" s="21" t="n">
        <v>238.346</v>
      </c>
      <c r="KI56" s="21" t="n">
        <v>117.45</v>
      </c>
      <c r="KJ56" s="21" t="n">
        <v>185.372</v>
      </c>
      <c r="KK56" s="21" t="n">
        <v>153.12</v>
      </c>
      <c r="KL56" s="21" t="n">
        <v>149.694</v>
      </c>
      <c r="KM56" s="21" t="n">
        <v>144.206</v>
      </c>
      <c r="KN56" s="21" t="n">
        <v>145.561</v>
      </c>
      <c r="KO56" s="21" t="n">
        <v>249.258</v>
      </c>
      <c r="KP56" s="21" t="n">
        <v>104.615</v>
      </c>
      <c r="KQ56" s="21" t="n">
        <v>72.164</v>
      </c>
      <c r="KR56" s="21" t="n">
        <v>110.971</v>
      </c>
      <c r="KS56" s="21" t="n">
        <v>216.696</v>
      </c>
      <c r="KT56" s="21" t="n">
        <v>240.467</v>
      </c>
      <c r="KU56" s="21" t="n">
        <v>90.991</v>
      </c>
      <c r="KV56" s="21" t="n">
        <v>52.041</v>
      </c>
      <c r="KW56" s="21" t="n">
        <v>227.312</v>
      </c>
      <c r="KX56" s="21" t="n">
        <v>201.148</v>
      </c>
      <c r="KY56" s="21" t="n">
        <v>247.13</v>
      </c>
      <c r="KZ56" s="21" t="n">
        <v>197.891</v>
      </c>
      <c r="LA56" s="21" t="n">
        <v>247.775</v>
      </c>
      <c r="LB56" s="21" t="n">
        <v>114.44</v>
      </c>
      <c r="LC56" s="21" t="n">
        <v>358.429</v>
      </c>
      <c r="LD56" s="21" t="n">
        <v>79.678</v>
      </c>
      <c r="LE56" s="21" t="n">
        <v>123.807</v>
      </c>
      <c r="LF56" s="21" t="n">
        <v>332.33</v>
      </c>
      <c r="LG56" s="21" t="n">
        <v>325.341</v>
      </c>
      <c r="LH56" s="21" t="n">
        <v>337.621</v>
      </c>
      <c r="LI56" s="21" t="n">
        <v>309.38</v>
      </c>
      <c r="LJ56" s="21" t="n">
        <v>342.527</v>
      </c>
      <c r="LK56" s="21" t="n">
        <v>104.081</v>
      </c>
      <c r="LL56" s="21" t="n">
        <v>324.049</v>
      </c>
      <c r="LM56" s="21" t="n">
        <v>217.358</v>
      </c>
      <c r="LN56" s="21" t="n">
        <v>39.132</v>
      </c>
      <c r="LO56" s="21" t="n">
        <v>126.552</v>
      </c>
    </row>
    <row r="57">
      <c r="A57" s="22" t="n">
        <v>43678</v>
      </c>
      <c r="B57" s="21" t="n">
        <v>256.036</v>
      </c>
      <c r="C57" s="21" t="n">
        <v>258.046</v>
      </c>
      <c r="D57" s="21" t="n">
        <v>258.288</v>
      </c>
      <c r="E57" s="21" t="n">
        <v>240.943</v>
      </c>
      <c r="F57" s="21" t="n">
        <v>276.228</v>
      </c>
      <c r="G57" s="21" t="n">
        <v>227.271</v>
      </c>
      <c r="H57" s="21" t="n">
        <v>235.806</v>
      </c>
      <c r="I57" s="21" t="n">
        <v>220.688</v>
      </c>
      <c r="J57" s="21" t="n">
        <v>238.285</v>
      </c>
      <c r="K57" s="21" t="n">
        <v>304.417</v>
      </c>
      <c r="L57" s="21" t="n">
        <v>182.235</v>
      </c>
      <c r="M57" s="21" t="n">
        <v>178.815</v>
      </c>
      <c r="N57" s="21" t="n">
        <v>292.71</v>
      </c>
      <c r="O57" s="21" t="n">
        <v>273.53</v>
      </c>
      <c r="P57" s="21" t="n">
        <v>269.931</v>
      </c>
      <c r="Q57" s="21" t="n">
        <v>308.779</v>
      </c>
      <c r="R57" s="21" t="n">
        <v>268.856</v>
      </c>
      <c r="S57" s="21" t="n">
        <v>248.206</v>
      </c>
      <c r="T57" s="21" t="n">
        <v>252.137</v>
      </c>
      <c r="U57" s="21" t="n">
        <v>254.022</v>
      </c>
      <c r="V57" s="21" t="n">
        <v>304.428</v>
      </c>
      <c r="W57" s="21" t="n">
        <v>270.224</v>
      </c>
      <c r="X57" s="21" t="n">
        <v>233.038</v>
      </c>
      <c r="Y57" s="21" t="n">
        <v>206.063</v>
      </c>
      <c r="Z57" s="21" t="n">
        <v>210.654</v>
      </c>
      <c r="AA57" s="21" t="n">
        <v>159.037</v>
      </c>
      <c r="AB57" s="21" t="n">
        <v>297.553</v>
      </c>
      <c r="AC57" s="21" t="n">
        <v>144.569</v>
      </c>
      <c r="AD57" s="21" t="n">
        <v>206.754</v>
      </c>
      <c r="AE57" s="21" t="n">
        <v>230.017</v>
      </c>
      <c r="AF57" s="21" t="n">
        <v>193.16</v>
      </c>
      <c r="AG57" s="21" t="n">
        <v>123.455</v>
      </c>
      <c r="AH57" s="21" t="n">
        <v>226.958</v>
      </c>
      <c r="AI57" s="21" t="n">
        <v>237.734</v>
      </c>
      <c r="AJ57" s="21" t="n">
        <v>145.097</v>
      </c>
      <c r="AK57" s="21" t="n">
        <v>230.637</v>
      </c>
      <c r="AL57" s="21" t="n">
        <v>149.255</v>
      </c>
      <c r="AM57" s="21" t="n">
        <v>247.636</v>
      </c>
      <c r="AN57" s="21" t="n">
        <v>221.725</v>
      </c>
      <c r="AO57" s="21" t="n">
        <v>145.215</v>
      </c>
      <c r="AP57" s="21" t="n">
        <v>297.714</v>
      </c>
      <c r="AQ57" s="21" t="n">
        <v>185.321</v>
      </c>
      <c r="AR57" s="21" t="n">
        <v>148.651</v>
      </c>
      <c r="AS57" s="21" t="n">
        <v>213.783</v>
      </c>
      <c r="AT57" s="21" t="n">
        <v>308.492</v>
      </c>
      <c r="AU57" s="21" t="n">
        <v>195.508</v>
      </c>
      <c r="AV57" s="21" t="n">
        <v>218.893</v>
      </c>
      <c r="AW57" s="21" t="n">
        <v>141.26</v>
      </c>
      <c r="AX57" s="21" t="n">
        <v>200.859</v>
      </c>
      <c r="AY57" s="21" t="n">
        <v>146.305</v>
      </c>
      <c r="AZ57" s="21" t="n">
        <v>229.276</v>
      </c>
      <c r="BA57" s="21" t="n">
        <v>219.835</v>
      </c>
      <c r="BB57" s="21" t="n">
        <v>148.959</v>
      </c>
      <c r="BC57" s="21" t="n">
        <v>299.529</v>
      </c>
      <c r="BD57" s="21" t="n">
        <v>347.886</v>
      </c>
      <c r="BE57" s="21" t="n">
        <v>356.197</v>
      </c>
      <c r="BF57" s="21" t="n">
        <v>342.515</v>
      </c>
      <c r="BG57" s="21" t="n">
        <v>195.099</v>
      </c>
      <c r="BH57" s="21" t="n">
        <v>252.917</v>
      </c>
      <c r="BI57" s="21" t="n">
        <v>503.563</v>
      </c>
      <c r="BJ57" s="21" t="n">
        <v>116.157</v>
      </c>
      <c r="BK57" s="21" t="n">
        <v>337.778</v>
      </c>
      <c r="BL57" s="21" t="n">
        <v>363.116</v>
      </c>
      <c r="BM57" s="21" t="n">
        <v>326.393</v>
      </c>
      <c r="BN57" s="21" t="n">
        <v>329.546</v>
      </c>
      <c r="BO57" s="21" t="n">
        <v>339.853</v>
      </c>
      <c r="BP57" s="21" t="n">
        <v>155.697</v>
      </c>
      <c r="BQ57" s="21" t="n">
        <v>163.487</v>
      </c>
      <c r="BR57" s="21" t="n">
        <v>158.156</v>
      </c>
      <c r="BS57" s="21" t="n">
        <v>172.911</v>
      </c>
      <c r="BT57" s="21" t="n">
        <v>143.166</v>
      </c>
      <c r="BU57" s="21" t="n">
        <v>198.674</v>
      </c>
      <c r="BV57" s="21" t="n">
        <v>152.423</v>
      </c>
      <c r="BW57" s="21" t="n">
        <v>170.381</v>
      </c>
      <c r="BX57" s="21" t="n">
        <v>132.772</v>
      </c>
      <c r="BY57" s="21" t="n">
        <v>168.551</v>
      </c>
      <c r="BZ57" s="21" t="n">
        <v>119.902</v>
      </c>
      <c r="CA57" s="21" t="n">
        <v>116.547</v>
      </c>
      <c r="CB57" s="21" t="n">
        <v>194.166</v>
      </c>
      <c r="CC57" s="21" t="n">
        <v>201.917</v>
      </c>
      <c r="CD57" s="21" t="n">
        <v>129.631</v>
      </c>
      <c r="CE57" s="21" t="n">
        <v>210.364</v>
      </c>
      <c r="CF57" s="21" t="n">
        <v>219.893</v>
      </c>
      <c r="CG57" s="21" t="n">
        <v>189.027</v>
      </c>
      <c r="CH57" s="21" t="n">
        <v>150.57</v>
      </c>
      <c r="CI57" s="21" t="n">
        <v>153.725</v>
      </c>
      <c r="CJ57" s="21" t="n">
        <v>224.581</v>
      </c>
      <c r="CK57" s="21" t="n">
        <v>204.131</v>
      </c>
      <c r="CL57" s="21" t="n">
        <v>243.745</v>
      </c>
      <c r="CM57" s="21" t="n">
        <v>292.449</v>
      </c>
      <c r="CN57" s="21" t="n">
        <v>126.911</v>
      </c>
      <c r="CO57" s="21" t="n">
        <v>155.33</v>
      </c>
      <c r="CP57" s="21" t="n">
        <v>224.549</v>
      </c>
      <c r="CQ57" s="21" t="n">
        <v>242.959</v>
      </c>
      <c r="CR57" s="21" t="n">
        <v>165.455</v>
      </c>
      <c r="CS57" s="21" t="n">
        <v>250.736</v>
      </c>
      <c r="CT57" s="21" t="n">
        <v>242.963</v>
      </c>
      <c r="CU57" s="21" t="n">
        <v>154.468</v>
      </c>
      <c r="CV57" s="21" t="n">
        <v>142.8</v>
      </c>
      <c r="CW57" s="21" t="n">
        <v>140.26</v>
      </c>
      <c r="CX57" s="21" t="n">
        <v>275.566</v>
      </c>
      <c r="CY57" s="21" t="n">
        <v>131.893</v>
      </c>
      <c r="CZ57" s="21" t="n">
        <v>126.77</v>
      </c>
      <c r="DA57" s="21" t="n">
        <v>285.507</v>
      </c>
      <c r="DB57" s="21" t="n">
        <v>177.263</v>
      </c>
      <c r="DC57" s="21" t="n">
        <v>181.21</v>
      </c>
      <c r="DD57" s="21" t="n">
        <v>150.105</v>
      </c>
      <c r="DE57" s="21" t="n">
        <v>196.744</v>
      </c>
      <c r="DF57" s="21" t="n">
        <v>253.399</v>
      </c>
      <c r="DG57" s="21" t="n">
        <v>206.659</v>
      </c>
      <c r="DH57" s="21" t="n">
        <v>231.004</v>
      </c>
      <c r="DI57" s="21" t="n">
        <v>196.647</v>
      </c>
      <c r="DJ57" s="21" t="n">
        <v>210.739</v>
      </c>
      <c r="DK57" s="21" t="n">
        <v>190.74</v>
      </c>
      <c r="DL57" s="21" t="n">
        <v>173.089</v>
      </c>
      <c r="DM57" s="21" t="n">
        <v>355.739</v>
      </c>
      <c r="DN57" s="21" t="n">
        <v>192.133</v>
      </c>
      <c r="DO57" s="21" t="n">
        <v>266.832</v>
      </c>
      <c r="DP57" s="21" t="n">
        <v>319.37</v>
      </c>
      <c r="DQ57" s="21" t="n">
        <v>332.781</v>
      </c>
      <c r="DR57" s="21" t="n">
        <v>164.913</v>
      </c>
      <c r="DS57" s="21" t="n">
        <v>563.02</v>
      </c>
      <c r="DT57" s="21" t="n">
        <v>337.19</v>
      </c>
      <c r="DU57" s="21" t="n">
        <v>327.043</v>
      </c>
      <c r="DV57" s="21" t="n">
        <v>327.08</v>
      </c>
      <c r="DW57" s="21" t="n">
        <v>242.138</v>
      </c>
      <c r="DX57" s="21" t="n">
        <v>199.383</v>
      </c>
      <c r="DY57" s="21" t="n">
        <v>280.499</v>
      </c>
      <c r="DZ57" s="21" t="n">
        <v>285.082</v>
      </c>
      <c r="EA57" s="21" t="n">
        <v>327.261</v>
      </c>
      <c r="EB57" s="21" t="n">
        <v>202.758</v>
      </c>
      <c r="EC57" s="21" t="n">
        <v>213.247</v>
      </c>
      <c r="ED57" s="21" t="n">
        <v>168.727</v>
      </c>
      <c r="EE57" s="21" t="n">
        <v>245.294</v>
      </c>
      <c r="EF57" s="21" t="n">
        <v>569.284</v>
      </c>
      <c r="EG57" s="21" t="n">
        <v>483.987</v>
      </c>
      <c r="EH57" s="21" t="n">
        <v>124.103</v>
      </c>
      <c r="EI57" s="21" t="n">
        <v>56.97</v>
      </c>
      <c r="EJ57" s="21" t="n">
        <v>62.813</v>
      </c>
      <c r="EK57" s="21" t="n">
        <v>43.166</v>
      </c>
      <c r="EL57" s="21" t="n">
        <v>112.971</v>
      </c>
      <c r="EM57" s="21" t="n">
        <v>68.499</v>
      </c>
      <c r="EN57" s="21" t="n">
        <v>76.559</v>
      </c>
      <c r="EO57" s="21" t="n">
        <v>83.33799999999999</v>
      </c>
      <c r="EP57" s="21" t="n">
        <v>91.07299999999999</v>
      </c>
      <c r="EQ57" s="21" t="n">
        <v>65.904</v>
      </c>
      <c r="ER57" s="21" t="n">
        <v>50.824</v>
      </c>
      <c r="ES57" s="21" t="n">
        <v>132.965</v>
      </c>
      <c r="ET57" s="21" t="n">
        <v>78.68000000000001</v>
      </c>
      <c r="EU57" s="21" t="n">
        <v>91.19499999999999</v>
      </c>
      <c r="EV57" s="21" t="n">
        <v>100.093</v>
      </c>
      <c r="EW57" s="21" t="n">
        <v>87.02200000000001</v>
      </c>
      <c r="EX57" s="21" t="n">
        <v>189.178</v>
      </c>
      <c r="EY57" s="21" t="n">
        <v>120.55</v>
      </c>
      <c r="EZ57" s="21" t="n">
        <v>118.756</v>
      </c>
      <c r="FA57" s="21" t="n">
        <v>180.615</v>
      </c>
      <c r="FB57" s="21" t="n">
        <v>124.532</v>
      </c>
      <c r="FC57" s="21" t="n">
        <v>118.189</v>
      </c>
      <c r="FD57" s="21" t="n">
        <v>120.451</v>
      </c>
      <c r="FE57" s="21" t="n">
        <v>110.541</v>
      </c>
      <c r="FF57" s="21" t="n">
        <v>155.917</v>
      </c>
      <c r="FG57" s="21" t="n">
        <v>76.577</v>
      </c>
      <c r="FH57" s="21" t="n">
        <v>116.759</v>
      </c>
      <c r="FI57" s="21" t="n">
        <v>109.38</v>
      </c>
      <c r="FJ57" s="21" t="n">
        <v>107.656</v>
      </c>
      <c r="FK57" s="21" t="n">
        <v>110.309</v>
      </c>
      <c r="FL57" s="21" t="n">
        <v>104.252</v>
      </c>
      <c r="FM57" s="21" t="n">
        <v>113.566</v>
      </c>
      <c r="FN57" s="21" t="n">
        <v>77.64400000000001</v>
      </c>
      <c r="FO57" s="21" t="n">
        <v>103.675</v>
      </c>
      <c r="FP57" s="21" t="n">
        <v>94.389</v>
      </c>
      <c r="FQ57" s="21" t="n">
        <v>137.621</v>
      </c>
      <c r="FR57" s="21" t="n">
        <v>140.848</v>
      </c>
      <c r="FS57" s="21" t="n">
        <v>159.078</v>
      </c>
      <c r="FT57" s="21" t="n">
        <v>124.639</v>
      </c>
      <c r="FU57" s="21" t="n">
        <v>118.962</v>
      </c>
      <c r="FV57" s="21" t="n">
        <v>171.079</v>
      </c>
      <c r="FW57" s="21" t="n">
        <v>140.258</v>
      </c>
      <c r="FX57" s="21" t="n">
        <v>172.254</v>
      </c>
      <c r="FY57" s="21" t="n">
        <v>209.27</v>
      </c>
      <c r="FZ57" s="21" t="n">
        <v>204.735</v>
      </c>
      <c r="GA57" s="21" t="n">
        <v>98.752</v>
      </c>
      <c r="GB57" s="21" t="n">
        <v>145.841</v>
      </c>
      <c r="GC57" s="21" t="n">
        <v>101.719</v>
      </c>
      <c r="GD57" s="21" t="n">
        <v>142.061</v>
      </c>
      <c r="GE57" s="21" t="n">
        <v>155.063</v>
      </c>
      <c r="GF57" s="21" t="n"/>
      <c r="GG57" s="21" t="n">
        <v>138.686</v>
      </c>
      <c r="GH57" s="21" t="n">
        <v>86.095</v>
      </c>
      <c r="GI57" s="21" t="n">
        <v>126.76</v>
      </c>
      <c r="GJ57" s="21" t="n">
        <v>230.968</v>
      </c>
      <c r="GK57" s="21" t="n">
        <v>229.734</v>
      </c>
      <c r="GL57" s="21" t="n">
        <v>224.785</v>
      </c>
      <c r="GM57" s="21" t="n">
        <v>248.073</v>
      </c>
      <c r="GN57" s="21" t="n">
        <v>244.385</v>
      </c>
      <c r="GO57" s="21" t="n">
        <v>217.549</v>
      </c>
      <c r="GP57" s="21" t="n">
        <v>146.368</v>
      </c>
      <c r="GQ57" s="21" t="n">
        <v>124.876</v>
      </c>
      <c r="GR57" s="21" t="n">
        <v>297.884</v>
      </c>
      <c r="GS57" s="21" t="n">
        <v>180.406</v>
      </c>
      <c r="GT57" s="21" t="n">
        <v>572.052</v>
      </c>
      <c r="GU57" s="21" t="n">
        <v>211.506</v>
      </c>
      <c r="GV57" s="21" t="n">
        <v>239.211</v>
      </c>
      <c r="GW57" s="21" t="n">
        <v>262.846</v>
      </c>
      <c r="GX57" s="21" t="n">
        <v>268.749</v>
      </c>
      <c r="GY57" s="21" t="n">
        <v>159.932</v>
      </c>
      <c r="GZ57" s="21" t="n"/>
      <c r="HA57" s="21" t="n">
        <v>65.121</v>
      </c>
      <c r="HB57" s="21" t="n">
        <v>500.662</v>
      </c>
      <c r="HC57" s="21" t="n">
        <v>382.519</v>
      </c>
      <c r="HD57" s="21" t="n">
        <v>125.196</v>
      </c>
      <c r="HE57" s="21" t="n">
        <v>526.629</v>
      </c>
      <c r="HF57" s="21" t="n">
        <v>98.36199999999999</v>
      </c>
      <c r="HG57" s="21" t="n">
        <v>538.727</v>
      </c>
      <c r="HH57" s="21" t="n">
        <v>383.198</v>
      </c>
      <c r="HI57" s="21" t="n">
        <v>382.858</v>
      </c>
      <c r="HJ57" s="21" t="n">
        <v>499.063</v>
      </c>
      <c r="HK57" s="21" t="n">
        <v>192.015</v>
      </c>
      <c r="HL57" s="21" t="n">
        <v>239.806</v>
      </c>
      <c r="HM57" s="21" t="n">
        <v>80.684</v>
      </c>
      <c r="HN57" s="21" t="n">
        <v>339.781</v>
      </c>
      <c r="HO57" s="21" t="n">
        <v>330.923</v>
      </c>
      <c r="HP57" s="21" t="n">
        <v>751.694</v>
      </c>
      <c r="HQ57" s="21" t="n">
        <v>235.6</v>
      </c>
      <c r="HR57" s="21" t="n">
        <v>120.453</v>
      </c>
      <c r="HS57" s="21" t="n">
        <v>104.3</v>
      </c>
      <c r="HT57" s="21" t="n">
        <v>149.116</v>
      </c>
      <c r="HU57" s="21" t="n">
        <v>478.849</v>
      </c>
      <c r="HV57" s="21" t="n">
        <v>118.534</v>
      </c>
      <c r="HW57" s="21" t="n">
        <v>27.26</v>
      </c>
      <c r="HX57" s="21" t="n">
        <v>178.751</v>
      </c>
      <c r="HY57" s="21" t="n">
        <v>204.353</v>
      </c>
      <c r="HZ57" s="21" t="n">
        <v>156.185</v>
      </c>
      <c r="IA57" s="21" t="n">
        <v>117.206</v>
      </c>
      <c r="IB57" s="21" t="n">
        <v>255.066</v>
      </c>
      <c r="IC57" s="21" t="n">
        <v>195.638</v>
      </c>
      <c r="ID57" s="21" t="n">
        <v>269.209</v>
      </c>
      <c r="IE57" s="21" t="n">
        <v>110.966</v>
      </c>
      <c r="IF57" s="21" t="n">
        <v>151.113</v>
      </c>
      <c r="IG57" s="21" t="n">
        <v>77.40300000000001</v>
      </c>
      <c r="IH57" s="21" t="n">
        <v>73.273</v>
      </c>
      <c r="II57" s="21" t="n">
        <v>54.485</v>
      </c>
      <c r="IJ57" s="21" t="n">
        <v>22.516</v>
      </c>
      <c r="IK57" s="21" t="n">
        <v>35.084</v>
      </c>
      <c r="IL57" s="21" t="n">
        <v>30.925</v>
      </c>
      <c r="IM57" s="21" t="n">
        <v>38.877</v>
      </c>
      <c r="IN57" s="21" t="n">
        <v>101.484</v>
      </c>
      <c r="IO57" s="21" t="n">
        <v>102.203</v>
      </c>
      <c r="IP57" s="21" t="n">
        <v>171.87</v>
      </c>
      <c r="IQ57" s="21" t="n">
        <v>142.489</v>
      </c>
      <c r="IR57" s="21" t="n">
        <v>390.294</v>
      </c>
      <c r="IS57" s="21" t="n">
        <v>187.345</v>
      </c>
      <c r="IT57" s="21" t="n">
        <v>225.016</v>
      </c>
      <c r="IU57" s="21" t="n">
        <v>320.148</v>
      </c>
      <c r="IV57" s="21" t="n">
        <v>258.316</v>
      </c>
      <c r="IW57" s="21" t="n">
        <v>138.075</v>
      </c>
      <c r="IX57" s="21" t="n">
        <v>266.608</v>
      </c>
      <c r="IY57" s="21" t="n">
        <v>694.264</v>
      </c>
      <c r="IZ57" s="21" t="n">
        <v>764.617</v>
      </c>
      <c r="JA57" s="21" t="n">
        <v>866.436</v>
      </c>
      <c r="JB57" s="21" t="n">
        <v>82.846</v>
      </c>
      <c r="JC57" s="21" t="n">
        <v>304.848</v>
      </c>
      <c r="JD57" s="21" t="n">
        <v>251.953</v>
      </c>
      <c r="JE57" s="21" t="n">
        <v>73.283</v>
      </c>
      <c r="JF57" s="21" t="n">
        <v>196.174</v>
      </c>
      <c r="JG57" s="21" t="n">
        <v>308.522</v>
      </c>
      <c r="JH57" s="21" t="n">
        <v>318.959</v>
      </c>
      <c r="JI57" s="21" t="n">
        <v>69.271</v>
      </c>
      <c r="JJ57" s="21" t="n">
        <v>110.398</v>
      </c>
      <c r="JK57" s="21" t="n">
        <v>40.056</v>
      </c>
      <c r="JL57" s="21" t="n">
        <v>77.16800000000001</v>
      </c>
      <c r="JM57" s="21" t="n">
        <v>214.142</v>
      </c>
      <c r="JN57" s="21" t="n">
        <v>453.028</v>
      </c>
      <c r="JO57" s="21" t="n">
        <v>70.88</v>
      </c>
      <c r="JP57" s="21" t="n">
        <v>460.27</v>
      </c>
      <c r="JQ57" s="21" t="n">
        <v>234.719</v>
      </c>
      <c r="JR57" s="21" t="n">
        <v>161.094</v>
      </c>
      <c r="JS57" s="21" t="n">
        <v>449.945</v>
      </c>
      <c r="JT57" s="21" t="n">
        <v>365.428</v>
      </c>
      <c r="JU57" s="21" t="n">
        <v>338.612</v>
      </c>
      <c r="JV57" s="21" t="n">
        <v>176.628</v>
      </c>
      <c r="JW57" s="21" t="n">
        <v>364.348</v>
      </c>
      <c r="JX57" s="21" t="n">
        <v>254.009</v>
      </c>
      <c r="JY57" s="21" t="n">
        <v>75.48099999999999</v>
      </c>
      <c r="JZ57" s="21" t="n">
        <v>153.664</v>
      </c>
      <c r="KA57" s="21" t="n">
        <v>244.302</v>
      </c>
      <c r="KB57" s="21" t="n">
        <v>262.325</v>
      </c>
      <c r="KC57" s="21" t="n">
        <v>255.668</v>
      </c>
      <c r="KD57" s="21" t="n">
        <v>263.877</v>
      </c>
      <c r="KE57" s="21" t="n">
        <v>234.25</v>
      </c>
      <c r="KF57" s="21" t="n">
        <v>227.952</v>
      </c>
      <c r="KG57" s="21" t="n">
        <v>233.085</v>
      </c>
      <c r="KH57" s="21" t="n">
        <v>238.939</v>
      </c>
      <c r="KI57" s="21" t="n">
        <v>116.956</v>
      </c>
      <c r="KJ57" s="21" t="n">
        <v>184.969</v>
      </c>
      <c r="KK57" s="21" t="n">
        <v>152.524</v>
      </c>
      <c r="KL57" s="21" t="n">
        <v>149.088</v>
      </c>
      <c r="KM57" s="21" t="n">
        <v>144.225</v>
      </c>
      <c r="KN57" s="21" t="n">
        <v>145.502</v>
      </c>
      <c r="KO57" s="21" t="n">
        <v>248.907</v>
      </c>
      <c r="KP57" s="21" t="n">
        <v>104.632</v>
      </c>
      <c r="KQ57" s="21" t="n">
        <v>72.70699999999999</v>
      </c>
      <c r="KR57" s="21" t="n">
        <v>111.07</v>
      </c>
      <c r="KS57" s="21" t="n">
        <v>213.847</v>
      </c>
      <c r="KT57" s="21" t="n">
        <v>235.146</v>
      </c>
      <c r="KU57" s="21" t="n">
        <v>90.767</v>
      </c>
      <c r="KV57" s="21" t="n">
        <v>52.296</v>
      </c>
      <c r="KW57" s="21" t="n">
        <v>226.729</v>
      </c>
      <c r="KX57" s="21" t="n">
        <v>199.651</v>
      </c>
      <c r="KY57" s="21" t="n">
        <v>244.726</v>
      </c>
      <c r="KZ57" s="21" t="n">
        <v>196.299</v>
      </c>
      <c r="LA57" s="21" t="n">
        <v>245.128</v>
      </c>
      <c r="LB57" s="21" t="n">
        <v>115.009</v>
      </c>
      <c r="LC57" s="21" t="n">
        <v>359.207</v>
      </c>
      <c r="LD57" s="21" t="n">
        <v>79.589</v>
      </c>
      <c r="LE57" s="21" t="n">
        <v>124.351</v>
      </c>
      <c r="LF57" s="21" t="n">
        <v>333.016</v>
      </c>
      <c r="LG57" s="21" t="n">
        <v>326.159</v>
      </c>
      <c r="LH57" s="21" t="n">
        <v>338.548</v>
      </c>
      <c r="LI57" s="21" t="n">
        <v>309.961</v>
      </c>
      <c r="LJ57" s="21" t="n">
        <v>343.383</v>
      </c>
      <c r="LK57" s="21" t="n">
        <v>104.16</v>
      </c>
      <c r="LL57" s="21" t="n">
        <v>325.993</v>
      </c>
      <c r="LM57" s="21" t="n">
        <v>217.867</v>
      </c>
      <c r="LN57" s="21" t="n">
        <v>38.698</v>
      </c>
      <c r="LO57" s="21" t="n">
        <v>127.454</v>
      </c>
    </row>
    <row r="58">
      <c r="A58" s="22" t="n">
        <v>43709</v>
      </c>
      <c r="B58" s="21" t="n">
        <v>256.43</v>
      </c>
      <c r="C58" s="21" t="n">
        <v>258.575</v>
      </c>
      <c r="D58" s="21" t="n">
        <v>258.865</v>
      </c>
      <c r="E58" s="21" t="n">
        <v>241.409</v>
      </c>
      <c r="F58" s="21" t="n">
        <v>276.947</v>
      </c>
      <c r="G58" s="21" t="n">
        <v>227.215</v>
      </c>
      <c r="H58" s="21" t="n">
        <v>236.295</v>
      </c>
      <c r="I58" s="21" t="n">
        <v>220.068</v>
      </c>
      <c r="J58" s="21" t="n">
        <v>238.585</v>
      </c>
      <c r="K58" s="21" t="n">
        <v>306.41</v>
      </c>
      <c r="L58" s="21" t="n">
        <v>185.084</v>
      </c>
      <c r="M58" s="21" t="n">
        <v>179.085</v>
      </c>
      <c r="N58" s="21" t="n">
        <v>292.693</v>
      </c>
      <c r="O58" s="21" t="n">
        <v>274.655</v>
      </c>
      <c r="P58" s="21" t="n">
        <v>270.713</v>
      </c>
      <c r="Q58" s="21" t="n">
        <v>308.779</v>
      </c>
      <c r="R58" s="21" t="n">
        <v>268.778</v>
      </c>
      <c r="S58" s="21" t="n">
        <v>249.089</v>
      </c>
      <c r="T58" s="21" t="n">
        <v>252.306</v>
      </c>
      <c r="U58" s="21" t="n">
        <v>254.829</v>
      </c>
      <c r="V58" s="21" t="n">
        <v>306.197</v>
      </c>
      <c r="W58" s="21" t="n">
        <v>269.095</v>
      </c>
      <c r="X58" s="21" t="n">
        <v>233.65</v>
      </c>
      <c r="Y58" s="21" t="n">
        <v>206.545</v>
      </c>
      <c r="Z58" s="21" t="n">
        <v>211.925</v>
      </c>
      <c r="AA58" s="21" t="n">
        <v>159.441</v>
      </c>
      <c r="AB58" s="21" t="n">
        <v>297.633</v>
      </c>
      <c r="AC58" s="21" t="n">
        <v>146.525</v>
      </c>
      <c r="AD58" s="21" t="n">
        <v>207.169</v>
      </c>
      <c r="AE58" s="21" t="n">
        <v>230.307</v>
      </c>
      <c r="AF58" s="21" t="n">
        <v>191.184</v>
      </c>
      <c r="AG58" s="21" t="n">
        <v>125.295</v>
      </c>
      <c r="AH58" s="21" t="n">
        <v>225.665</v>
      </c>
      <c r="AI58" s="21" t="n">
        <v>230.358</v>
      </c>
      <c r="AJ58" s="21" t="n">
        <v>144.625</v>
      </c>
      <c r="AK58" s="21" t="n">
        <v>229.692</v>
      </c>
      <c r="AL58" s="21" t="n">
        <v>147.686</v>
      </c>
      <c r="AM58" s="21" t="n">
        <v>242.076</v>
      </c>
      <c r="AN58" s="21" t="n">
        <v>220.487</v>
      </c>
      <c r="AO58" s="21" t="n">
        <v>147.727</v>
      </c>
      <c r="AP58" s="21" t="n">
        <v>296.862</v>
      </c>
      <c r="AQ58" s="21" t="n">
        <v>183.794</v>
      </c>
      <c r="AR58" s="21" t="n">
        <v>148.482</v>
      </c>
      <c r="AS58" s="21" t="n">
        <v>218.148</v>
      </c>
      <c r="AT58" s="21" t="n">
        <v>305.064</v>
      </c>
      <c r="AU58" s="21" t="n">
        <v>206.572</v>
      </c>
      <c r="AV58" s="21" t="n">
        <v>219.515</v>
      </c>
      <c r="AW58" s="21" t="n">
        <v>141.963</v>
      </c>
      <c r="AX58" s="21" t="n">
        <v>201.118</v>
      </c>
      <c r="AY58" s="21" t="n">
        <v>146.768</v>
      </c>
      <c r="AZ58" s="21" t="n">
        <v>229.735</v>
      </c>
      <c r="BA58" s="21" t="n">
        <v>222.232</v>
      </c>
      <c r="BB58" s="21" t="n">
        <v>148.597</v>
      </c>
      <c r="BC58" s="21" t="n">
        <v>298.136</v>
      </c>
      <c r="BD58" s="21" t="n">
        <v>345.699</v>
      </c>
      <c r="BE58" s="21" t="n">
        <v>354.824</v>
      </c>
      <c r="BF58" s="21" t="n">
        <v>331.364</v>
      </c>
      <c r="BG58" s="21" t="n">
        <v>194.269</v>
      </c>
      <c r="BH58" s="21" t="n">
        <v>254.386</v>
      </c>
      <c r="BI58" s="21" t="n">
        <v>502.027</v>
      </c>
      <c r="BJ58" s="21" t="n">
        <v>115.147</v>
      </c>
      <c r="BK58" s="21" t="n">
        <v>334.756</v>
      </c>
      <c r="BL58" s="21" t="n">
        <v>367.371</v>
      </c>
      <c r="BM58" s="21" t="n">
        <v>317.098</v>
      </c>
      <c r="BN58" s="21" t="n">
        <v>328.095</v>
      </c>
      <c r="BO58" s="21" t="n">
        <v>335.159</v>
      </c>
      <c r="BP58" s="21" t="n">
        <v>155.926</v>
      </c>
      <c r="BQ58" s="21" t="n">
        <v>163.704</v>
      </c>
      <c r="BR58" s="21" t="n">
        <v>157.241</v>
      </c>
      <c r="BS58" s="21" t="n">
        <v>174.318</v>
      </c>
      <c r="BT58" s="21" t="n">
        <v>142.995</v>
      </c>
      <c r="BU58" s="21" t="n">
        <v>198.751</v>
      </c>
      <c r="BV58" s="21" t="n">
        <v>152.436</v>
      </c>
      <c r="BW58" s="21" t="n">
        <v>170.664</v>
      </c>
      <c r="BX58" s="21" t="n">
        <v>133.131</v>
      </c>
      <c r="BY58" s="21" t="n">
        <v>169.604</v>
      </c>
      <c r="BZ58" s="21" t="n">
        <v>119.987</v>
      </c>
      <c r="CA58" s="21" t="n">
        <v>116.607</v>
      </c>
      <c r="CB58" s="21" t="n">
        <v>192.801</v>
      </c>
      <c r="CC58" s="21" t="n">
        <v>200.718</v>
      </c>
      <c r="CD58" s="21" t="n">
        <v>130.681</v>
      </c>
      <c r="CE58" s="21" t="n">
        <v>211.322</v>
      </c>
      <c r="CF58" s="21" t="n">
        <v>223.481</v>
      </c>
      <c r="CG58" s="21" t="n">
        <v>189.681</v>
      </c>
      <c r="CH58" s="21" t="n">
        <v>152.202</v>
      </c>
      <c r="CI58" s="21" t="n">
        <v>154.133</v>
      </c>
      <c r="CJ58" s="21" t="n">
        <v>224.885</v>
      </c>
      <c r="CK58" s="21" t="n">
        <v>204.549</v>
      </c>
      <c r="CL58" s="21" t="n">
        <v>245.683</v>
      </c>
      <c r="CM58" s="21" t="n">
        <v>295.479</v>
      </c>
      <c r="CN58" s="21" t="n">
        <v>128.891</v>
      </c>
      <c r="CO58" s="21" t="n">
        <v>155.516</v>
      </c>
      <c r="CP58" s="21" t="n">
        <v>225.128</v>
      </c>
      <c r="CQ58" s="21" t="n">
        <v>242.883</v>
      </c>
      <c r="CR58" s="21" t="n">
        <v>165.047</v>
      </c>
      <c r="CS58" s="21" t="n">
        <v>251.822</v>
      </c>
      <c r="CT58" s="21" t="n">
        <v>243.838</v>
      </c>
      <c r="CU58" s="21" t="n">
        <v>155.888</v>
      </c>
      <c r="CV58" s="21" t="n">
        <v>141.217</v>
      </c>
      <c r="CW58" s="21" t="n">
        <v>139.831</v>
      </c>
      <c r="CX58" s="21" t="n">
        <v>287.254</v>
      </c>
      <c r="CY58" s="21" t="n">
        <v>132.479</v>
      </c>
      <c r="CZ58" s="21" t="n">
        <v>126.969</v>
      </c>
      <c r="DA58" s="21" t="n">
        <v>286.246</v>
      </c>
      <c r="DB58" s="21" t="n">
        <v>177.743</v>
      </c>
      <c r="DC58" s="21" t="n">
        <v>182.622</v>
      </c>
      <c r="DD58" s="21" t="n">
        <v>151.915</v>
      </c>
      <c r="DE58" s="21" t="n">
        <v>197.715</v>
      </c>
      <c r="DF58" s="21" t="n">
        <v>253.283</v>
      </c>
      <c r="DG58" s="21" t="n">
        <v>206.12</v>
      </c>
      <c r="DH58" s="21" t="n">
        <v>230.607</v>
      </c>
      <c r="DI58" s="21" t="n">
        <v>195.055</v>
      </c>
      <c r="DJ58" s="21" t="n">
        <v>208.256</v>
      </c>
      <c r="DK58" s="21" t="n">
        <v>189.47</v>
      </c>
      <c r="DL58" s="21" t="n">
        <v>173.217</v>
      </c>
      <c r="DM58" s="21" t="n">
        <v>356.532</v>
      </c>
      <c r="DN58" s="21" t="n">
        <v>192.772</v>
      </c>
      <c r="DO58" s="21" t="n">
        <v>267.574</v>
      </c>
      <c r="DP58" s="21" t="n">
        <v>320.436</v>
      </c>
      <c r="DQ58" s="21" t="n">
        <v>333.92</v>
      </c>
      <c r="DR58" s="21" t="n">
        <v>167.824</v>
      </c>
      <c r="DS58" s="21" t="n">
        <v>564.703</v>
      </c>
      <c r="DT58" s="21" t="n">
        <v>343.795</v>
      </c>
      <c r="DU58" s="21" t="n">
        <v>327.953</v>
      </c>
      <c r="DV58" s="21" t="n">
        <v>327.994</v>
      </c>
      <c r="DW58" s="21" t="n">
        <v>242.094</v>
      </c>
      <c r="DX58" s="21" t="n">
        <v>199.165</v>
      </c>
      <c r="DY58" s="21" t="n">
        <v>278.086</v>
      </c>
      <c r="DZ58" s="21" t="n">
        <v>282.977</v>
      </c>
      <c r="EA58" s="21" t="n">
        <v>323.284</v>
      </c>
      <c r="EB58" s="21" t="n">
        <v>202.62</v>
      </c>
      <c r="EC58" s="21" t="n">
        <v>213.783</v>
      </c>
      <c r="ED58" s="21" t="n">
        <v>166.699</v>
      </c>
      <c r="EE58" s="21" t="n">
        <v>245.965</v>
      </c>
      <c r="EF58" s="21" t="n">
        <v>571.207</v>
      </c>
      <c r="EG58" s="21" t="n">
        <v>484.346</v>
      </c>
      <c r="EH58" s="21" t="n">
        <v>124.299</v>
      </c>
      <c r="EI58" s="21" t="n">
        <v>56.474</v>
      </c>
      <c r="EJ58" s="21" t="n">
        <v>63.276</v>
      </c>
      <c r="EK58" s="21" t="n">
        <v>42.706</v>
      </c>
      <c r="EL58" s="21" t="n">
        <v>113.987</v>
      </c>
      <c r="EM58" s="21" t="n">
        <v>67.77500000000001</v>
      </c>
      <c r="EN58" s="21" t="n">
        <v>77.49299999999999</v>
      </c>
      <c r="EO58" s="21" t="n">
        <v>84.595</v>
      </c>
      <c r="EP58" s="21" t="n">
        <v>91.065</v>
      </c>
      <c r="EQ58" s="21" t="n">
        <v>66.839</v>
      </c>
      <c r="ER58" s="21" t="n">
        <v>50.664</v>
      </c>
      <c r="ES58" s="21" t="n">
        <v>132.605</v>
      </c>
      <c r="ET58" s="21" t="n">
        <v>78.633</v>
      </c>
      <c r="EU58" s="21" t="n">
        <v>91.687</v>
      </c>
      <c r="EV58" s="21" t="n">
        <v>99.874</v>
      </c>
      <c r="EW58" s="21" t="n">
        <v>87.499</v>
      </c>
      <c r="EX58" s="21" t="n">
        <v>189.269</v>
      </c>
      <c r="EY58" s="21" t="n">
        <v>120.589</v>
      </c>
      <c r="EZ58" s="21" t="n">
        <v>118.449</v>
      </c>
      <c r="FA58" s="21" t="n">
        <v>178.118</v>
      </c>
      <c r="FB58" s="21" t="n">
        <v>124.795</v>
      </c>
      <c r="FC58" s="21" t="n">
        <v>121.153</v>
      </c>
      <c r="FD58" s="21" t="n">
        <v>122.419</v>
      </c>
      <c r="FE58" s="21" t="n">
        <v>110.458</v>
      </c>
      <c r="FF58" s="21" t="n">
        <v>159.356</v>
      </c>
      <c r="FG58" s="21" t="n">
        <v>77.29000000000001</v>
      </c>
      <c r="FH58" s="21" t="n">
        <v>119.163</v>
      </c>
      <c r="FI58" s="21" t="n">
        <v>113.021</v>
      </c>
      <c r="FJ58" s="21" t="n">
        <v>106.685</v>
      </c>
      <c r="FK58" s="21" t="n">
        <v>109.293</v>
      </c>
      <c r="FL58" s="21" t="n">
        <v>102.537</v>
      </c>
      <c r="FM58" s="21" t="n">
        <v>114.136</v>
      </c>
      <c r="FN58" s="21" t="n">
        <v>75.905</v>
      </c>
      <c r="FO58" s="21" t="n">
        <v>105.014</v>
      </c>
      <c r="FP58" s="21" t="n">
        <v>93.643</v>
      </c>
      <c r="FQ58" s="21" t="n">
        <v>138.052</v>
      </c>
      <c r="FR58" s="21" t="n">
        <v>142.927</v>
      </c>
      <c r="FS58" s="21" t="n">
        <v>158.381</v>
      </c>
      <c r="FT58" s="21" t="n">
        <v>125.584</v>
      </c>
      <c r="FU58" s="21" t="n">
        <v>118.361</v>
      </c>
      <c r="FV58" s="21" t="n">
        <v>169.105</v>
      </c>
      <c r="FW58" s="21" t="n">
        <v>136.326</v>
      </c>
      <c r="FX58" s="21" t="n">
        <v>171.3</v>
      </c>
      <c r="FY58" s="21" t="n">
        <v>209.085</v>
      </c>
      <c r="FZ58" s="21" t="n">
        <v>204.436</v>
      </c>
      <c r="GA58" s="21" t="n">
        <v>98.654</v>
      </c>
      <c r="GB58" s="21" t="n">
        <v>145.559</v>
      </c>
      <c r="GC58" s="21" t="n">
        <v>101.545</v>
      </c>
      <c r="GD58" s="21" t="n">
        <v>141.533</v>
      </c>
      <c r="GE58" s="21" t="n">
        <v>154.881</v>
      </c>
      <c r="GF58" s="21" t="n"/>
      <c r="GG58" s="21" t="n">
        <v>138.694</v>
      </c>
      <c r="GH58" s="21" t="n">
        <v>86.407</v>
      </c>
      <c r="GI58" s="21" t="n">
        <v>126.599</v>
      </c>
      <c r="GJ58" s="21" t="n">
        <v>229.502</v>
      </c>
      <c r="GK58" s="21" t="n">
        <v>228.23</v>
      </c>
      <c r="GL58" s="21" t="n">
        <v>223.074</v>
      </c>
      <c r="GM58" s="21" t="n">
        <v>247.302</v>
      </c>
      <c r="GN58" s="21" t="n">
        <v>244.104</v>
      </c>
      <c r="GO58" s="21" t="n">
        <v>217.838</v>
      </c>
      <c r="GP58" s="21" t="n">
        <v>147.314</v>
      </c>
      <c r="GQ58" s="21" t="n">
        <v>125.825</v>
      </c>
      <c r="GR58" s="21" t="n">
        <v>298.441</v>
      </c>
      <c r="GS58" s="21" t="n">
        <v>179.729</v>
      </c>
      <c r="GT58" s="21" t="n">
        <v>572.506</v>
      </c>
      <c r="GU58" s="21" t="n">
        <v>212.637</v>
      </c>
      <c r="GV58" s="21" t="n">
        <v>240.088</v>
      </c>
      <c r="GW58" s="21" t="n">
        <v>264.603</v>
      </c>
      <c r="GX58" s="21" t="n">
        <v>272.014</v>
      </c>
      <c r="GY58" s="21" t="n">
        <v>159.947</v>
      </c>
      <c r="GZ58" s="21" t="n"/>
      <c r="HA58" s="21" t="n">
        <v>64.801</v>
      </c>
      <c r="HB58" s="21" t="n">
        <v>501.71</v>
      </c>
      <c r="HC58" s="21" t="n">
        <v>379.53</v>
      </c>
      <c r="HD58" s="21" t="n">
        <v>124.202</v>
      </c>
      <c r="HE58" s="21" t="n">
        <v>522.518</v>
      </c>
      <c r="HF58" s="21" t="n">
        <v>97.822</v>
      </c>
      <c r="HG58" s="21" t="n">
        <v>541.136</v>
      </c>
      <c r="HH58" s="21" t="n">
        <v>383.896</v>
      </c>
      <c r="HI58" s="21" t="n">
        <v>384.454</v>
      </c>
      <c r="HJ58" s="21" t="n">
        <v>499.76</v>
      </c>
      <c r="HK58" s="21" t="n">
        <v>190.799</v>
      </c>
      <c r="HL58" s="21" t="n">
        <v>240.832</v>
      </c>
      <c r="HM58" s="21" t="n">
        <v>80.64700000000001</v>
      </c>
      <c r="HN58" s="21" t="n">
        <v>339.512</v>
      </c>
      <c r="HO58" s="21" t="n">
        <v>330.796</v>
      </c>
      <c r="HP58" s="21" t="n">
        <v>750.251</v>
      </c>
      <c r="HQ58" s="21" t="n">
        <v>236.671</v>
      </c>
      <c r="HR58" s="21" t="n">
        <v>120.377</v>
      </c>
      <c r="HS58" s="21" t="n">
        <v>104.6</v>
      </c>
      <c r="HT58" s="21" t="n">
        <v>147.266</v>
      </c>
      <c r="HU58" s="21" t="n">
        <v>481.043</v>
      </c>
      <c r="HV58" s="21" t="n">
        <v>117.859</v>
      </c>
      <c r="HW58" s="21" t="n">
        <v>27.508</v>
      </c>
      <c r="HX58" s="21" t="n">
        <v>178.723</v>
      </c>
      <c r="HY58" s="21" t="n">
        <v>204.189</v>
      </c>
      <c r="HZ58" s="21" t="n">
        <v>155.656</v>
      </c>
      <c r="IA58" s="21" t="n">
        <v>117.617</v>
      </c>
      <c r="IB58" s="21" t="n">
        <v>255.265</v>
      </c>
      <c r="IC58" s="21" t="n">
        <v>196.516</v>
      </c>
      <c r="ID58" s="21" t="n">
        <v>269.362</v>
      </c>
      <c r="IE58" s="21" t="n">
        <v>112.768</v>
      </c>
      <c r="IF58" s="21" t="n">
        <v>155.598</v>
      </c>
      <c r="IG58" s="21" t="n">
        <v>77.17700000000001</v>
      </c>
      <c r="IH58" s="21" t="n">
        <v>73.696</v>
      </c>
      <c r="II58" s="21" t="n">
        <v>55.278</v>
      </c>
      <c r="IJ58" s="21" t="n">
        <v>22.944</v>
      </c>
      <c r="IK58" s="21" t="n">
        <v>34.82</v>
      </c>
      <c r="IL58" s="21" t="n">
        <v>30.787</v>
      </c>
      <c r="IM58" s="21" t="n">
        <v>38.796</v>
      </c>
      <c r="IN58" s="21" t="n">
        <v>98.724</v>
      </c>
      <c r="IO58" s="21" t="n">
        <v>100.545</v>
      </c>
      <c r="IP58" s="21" t="n">
        <v>170.683</v>
      </c>
      <c r="IQ58" s="21" t="n">
        <v>141.79</v>
      </c>
      <c r="IR58" s="21" t="n">
        <v>387.043</v>
      </c>
      <c r="IS58" s="21" t="n">
        <v>186.828</v>
      </c>
      <c r="IT58" s="21" t="n">
        <v>221.414</v>
      </c>
      <c r="IU58" s="21" t="n">
        <v>317.051</v>
      </c>
      <c r="IV58" s="21" t="n">
        <v>254.051</v>
      </c>
      <c r="IW58" s="21" t="n">
        <v>138.026</v>
      </c>
      <c r="IX58" s="21" t="n">
        <v>266.71</v>
      </c>
      <c r="IY58" s="21" t="n">
        <v>681.853</v>
      </c>
      <c r="IZ58" s="21" t="n">
        <v>765.526</v>
      </c>
      <c r="JA58" s="21" t="n">
        <v>867.58</v>
      </c>
      <c r="JB58" s="21" t="n">
        <v>82.748</v>
      </c>
      <c r="JC58" s="21" t="n">
        <v>305.501</v>
      </c>
      <c r="JD58" s="21" t="n">
        <v>254.333</v>
      </c>
      <c r="JE58" s="21" t="n">
        <v>73.209</v>
      </c>
      <c r="JF58" s="21" t="n">
        <v>196.418</v>
      </c>
      <c r="JG58" s="21" t="n">
        <v>308.853</v>
      </c>
      <c r="JH58" s="21" t="n">
        <v>319.745</v>
      </c>
      <c r="JI58" s="21" t="n">
        <v>69.196</v>
      </c>
      <c r="JJ58" s="21" t="n">
        <v>109.548</v>
      </c>
      <c r="JK58" s="21" t="n">
        <v>39.73</v>
      </c>
      <c r="JL58" s="21" t="n">
        <v>76.63800000000001</v>
      </c>
      <c r="JM58" s="21" t="n">
        <v>210.368</v>
      </c>
      <c r="JN58" s="21" t="n">
        <v>453.473</v>
      </c>
      <c r="JO58" s="21" t="n">
        <v>71.134</v>
      </c>
      <c r="JP58" s="21" t="n">
        <v>462.169</v>
      </c>
      <c r="JQ58" s="21" t="n">
        <v>234.787</v>
      </c>
      <c r="JR58" s="21" t="n">
        <v>160.662</v>
      </c>
      <c r="JS58" s="21" t="n">
        <v>450.439</v>
      </c>
      <c r="JT58" s="21" t="n">
        <v>365.193</v>
      </c>
      <c r="JU58" s="21" t="n">
        <v>338.776</v>
      </c>
      <c r="JV58" s="21" t="n">
        <v>177.497</v>
      </c>
      <c r="JW58" s="21" t="n">
        <v>364.385</v>
      </c>
      <c r="JX58" s="21" t="n">
        <v>254.009</v>
      </c>
      <c r="JY58" s="21" t="n">
        <v>75.67700000000001</v>
      </c>
      <c r="JZ58" s="21" t="n">
        <v>155.256</v>
      </c>
      <c r="KA58" s="21" t="n">
        <v>244.665</v>
      </c>
      <c r="KB58" s="21" t="n">
        <v>262.844</v>
      </c>
      <c r="KC58" s="21" t="n">
        <v>256.035</v>
      </c>
      <c r="KD58" s="21" t="n">
        <v>264.388</v>
      </c>
      <c r="KE58" s="21" t="n">
        <v>234.399</v>
      </c>
      <c r="KF58" s="21" t="n">
        <v>228.007</v>
      </c>
      <c r="KG58" s="21" t="n">
        <v>233.298</v>
      </c>
      <c r="KH58" s="21" t="n">
        <v>239.169</v>
      </c>
      <c r="KI58" s="21" t="n">
        <v>117.169</v>
      </c>
      <c r="KJ58" s="21" t="n">
        <v>184.949</v>
      </c>
      <c r="KK58" s="21" t="n">
        <v>152.306</v>
      </c>
      <c r="KL58" s="21" t="n">
        <v>148.869</v>
      </c>
      <c r="KM58" s="21" t="n">
        <v>144.175</v>
      </c>
      <c r="KN58" s="21" t="n">
        <v>145.444</v>
      </c>
      <c r="KO58" s="21" t="n">
        <v>249.339</v>
      </c>
      <c r="KP58" s="21" t="n">
        <v>104.696</v>
      </c>
      <c r="KQ58" s="21" t="n">
        <v>71.874</v>
      </c>
      <c r="KR58" s="21" t="n">
        <v>111.136</v>
      </c>
      <c r="KS58" s="21" t="n">
        <v>213.015</v>
      </c>
      <c r="KT58" s="21" t="n">
        <v>233.63</v>
      </c>
      <c r="KU58" s="21" t="n">
        <v>90.922</v>
      </c>
      <c r="KV58" s="21" t="n">
        <v>51.808</v>
      </c>
      <c r="KW58" s="21" t="n">
        <v>226.629</v>
      </c>
      <c r="KX58" s="21" t="n">
        <v>199.06</v>
      </c>
      <c r="KY58" s="21" t="n">
        <v>243.972</v>
      </c>
      <c r="KZ58" s="21" t="n">
        <v>195.674</v>
      </c>
      <c r="LA58" s="21" t="n">
        <v>244.312</v>
      </c>
      <c r="LB58" s="21" t="n">
        <v>115.093</v>
      </c>
      <c r="LC58" s="21" t="n">
        <v>359.226</v>
      </c>
      <c r="LD58" s="21" t="n">
        <v>79.642</v>
      </c>
      <c r="LE58" s="21" t="n">
        <v>124.2</v>
      </c>
      <c r="LF58" s="21" t="n">
        <v>334.193</v>
      </c>
      <c r="LG58" s="21" t="n">
        <v>326.981</v>
      </c>
      <c r="LH58" s="21" t="n">
        <v>339.461</v>
      </c>
      <c r="LI58" s="21" t="n">
        <v>310.696</v>
      </c>
      <c r="LJ58" s="21" t="n">
        <v>344.097</v>
      </c>
      <c r="LK58" s="21" t="n">
        <v>104.057</v>
      </c>
      <c r="LL58" s="21" t="n">
        <v>326.935</v>
      </c>
      <c r="LM58" s="21" t="n">
        <v>218.078</v>
      </c>
      <c r="LN58" s="21" t="n">
        <v>38.243</v>
      </c>
      <c r="LO58" s="21" t="n">
        <v>128.064</v>
      </c>
    </row>
    <row r="59">
      <c r="A59" s="22" t="n">
        <v>43739</v>
      </c>
      <c r="B59" s="21" t="n">
        <v>257.155</v>
      </c>
      <c r="C59" s="21" t="n">
        <v>259.088</v>
      </c>
      <c r="D59" s="21" t="n">
        <v>259.434</v>
      </c>
      <c r="E59" s="21" t="n">
        <v>241.999</v>
      </c>
      <c r="F59" s="21" t="n">
        <v>276.454</v>
      </c>
      <c r="G59" s="21" t="n">
        <v>226.559</v>
      </c>
      <c r="H59" s="21" t="n">
        <v>234.025</v>
      </c>
      <c r="I59" s="21" t="n">
        <v>220.408</v>
      </c>
      <c r="J59" s="21" t="n">
        <v>238.319</v>
      </c>
      <c r="K59" s="21" t="n">
        <v>305.674</v>
      </c>
      <c r="L59" s="21" t="n">
        <v>185.162</v>
      </c>
      <c r="M59" s="21" t="n">
        <v>179.967</v>
      </c>
      <c r="N59" s="21" t="n">
        <v>289.839</v>
      </c>
      <c r="O59" s="21" t="n">
        <v>273.999</v>
      </c>
      <c r="P59" s="21" t="n">
        <v>270.759</v>
      </c>
      <c r="Q59" s="21" t="n">
        <v>310.713</v>
      </c>
      <c r="R59" s="21" t="n">
        <v>266.856</v>
      </c>
      <c r="S59" s="21" t="n">
        <v>250.148</v>
      </c>
      <c r="T59" s="21" t="n">
        <v>253.821</v>
      </c>
      <c r="U59" s="21" t="n">
        <v>256.243</v>
      </c>
      <c r="V59" s="21" t="n">
        <v>308.594</v>
      </c>
      <c r="W59" s="21" t="n">
        <v>272.685</v>
      </c>
      <c r="X59" s="21" t="n">
        <v>233.437</v>
      </c>
      <c r="Y59" s="21" t="n">
        <v>207.947</v>
      </c>
      <c r="Z59" s="21" t="n">
        <v>213.312</v>
      </c>
      <c r="AA59" s="21" t="n">
        <v>160.458</v>
      </c>
      <c r="AB59" s="21" t="n">
        <v>302.122</v>
      </c>
      <c r="AC59" s="21" t="n">
        <v>145.941</v>
      </c>
      <c r="AD59" s="21" t="n">
        <v>210.191</v>
      </c>
      <c r="AE59" s="21" t="n">
        <v>234.593</v>
      </c>
      <c r="AF59" s="21" t="n">
        <v>186.006</v>
      </c>
      <c r="AG59" s="21" t="n">
        <v>126.266</v>
      </c>
      <c r="AH59" s="21" t="n">
        <v>225.613</v>
      </c>
      <c r="AI59" s="21" t="n">
        <v>232.063</v>
      </c>
      <c r="AJ59" s="21" t="n">
        <v>144.962</v>
      </c>
      <c r="AK59" s="21" t="n">
        <v>231.472</v>
      </c>
      <c r="AL59" s="21" t="n">
        <v>149.301</v>
      </c>
      <c r="AM59" s="21" t="n">
        <v>247.066</v>
      </c>
      <c r="AN59" s="21" t="n">
        <v>222.679</v>
      </c>
      <c r="AO59" s="21" t="n">
        <v>147.041</v>
      </c>
      <c r="AP59" s="21" t="n">
        <v>298.517</v>
      </c>
      <c r="AQ59" s="21" t="n">
        <v>185.344</v>
      </c>
      <c r="AR59" s="21" t="n">
        <v>148.509</v>
      </c>
      <c r="AS59" s="21" t="n">
        <v>216.682</v>
      </c>
      <c r="AT59" s="21" t="n">
        <v>307.84</v>
      </c>
      <c r="AU59" s="21" t="n">
        <v>201.149</v>
      </c>
      <c r="AV59" s="21" t="n">
        <v>220.412</v>
      </c>
      <c r="AW59" s="21" t="n">
        <v>142.874</v>
      </c>
      <c r="AX59" s="21" t="n">
        <v>203.44</v>
      </c>
      <c r="AY59" s="21" t="n">
        <v>147.528</v>
      </c>
      <c r="AZ59" s="21" t="n">
        <v>232.49</v>
      </c>
      <c r="BA59" s="21" t="n">
        <v>224.972</v>
      </c>
      <c r="BB59" s="21" t="n">
        <v>147.559</v>
      </c>
      <c r="BC59" s="21" t="n">
        <v>300.571</v>
      </c>
      <c r="BD59" s="21" t="n">
        <v>348.796</v>
      </c>
      <c r="BE59" s="21" t="n">
        <v>360.685</v>
      </c>
      <c r="BF59" s="21" t="n">
        <v>337.665</v>
      </c>
      <c r="BG59" s="21" t="n">
        <v>195.904</v>
      </c>
      <c r="BH59" s="21" t="n">
        <v>261.313</v>
      </c>
      <c r="BI59" s="21" t="n">
        <v>515.657</v>
      </c>
      <c r="BJ59" s="21" t="n">
        <v>116.558</v>
      </c>
      <c r="BK59" s="21" t="n">
        <v>334.971</v>
      </c>
      <c r="BL59" s="21" t="n">
        <v>372.428</v>
      </c>
      <c r="BM59" s="21" t="n">
        <v>320.627</v>
      </c>
      <c r="BN59" s="21" t="n">
        <v>324.569</v>
      </c>
      <c r="BO59" s="21" t="n">
        <v>335.473</v>
      </c>
      <c r="BP59" s="21" t="n">
        <v>156.743</v>
      </c>
      <c r="BQ59" s="21" t="n">
        <v>164.093</v>
      </c>
      <c r="BR59" s="21" t="n">
        <v>157.308</v>
      </c>
      <c r="BS59" s="21" t="n">
        <v>174.712</v>
      </c>
      <c r="BT59" s="21" t="n">
        <v>143.985</v>
      </c>
      <c r="BU59" s="21" t="n">
        <v>199.281</v>
      </c>
      <c r="BV59" s="21" t="n">
        <v>153.808</v>
      </c>
      <c r="BW59" s="21" t="n">
        <v>170.432</v>
      </c>
      <c r="BX59" s="21" t="n">
        <v>133.118</v>
      </c>
      <c r="BY59" s="21" t="n">
        <v>167.635</v>
      </c>
      <c r="BZ59" s="21" t="n">
        <v>120.96</v>
      </c>
      <c r="CA59" s="21" t="n">
        <v>116.17</v>
      </c>
      <c r="CB59" s="21" t="n">
        <v>191.644</v>
      </c>
      <c r="CC59" s="21" t="n">
        <v>199.785</v>
      </c>
      <c r="CD59" s="21" t="n">
        <v>130.514</v>
      </c>
      <c r="CE59" s="21" t="n">
        <v>211.378</v>
      </c>
      <c r="CF59" s="21" t="n">
        <v>223.642</v>
      </c>
      <c r="CG59" s="21" t="n">
        <v>190.398</v>
      </c>
      <c r="CH59" s="21" t="n">
        <v>152.845</v>
      </c>
      <c r="CI59" s="21" t="n">
        <v>155.304</v>
      </c>
      <c r="CJ59" s="21" t="n">
        <v>225.452</v>
      </c>
      <c r="CK59" s="21" t="n">
        <v>205.11</v>
      </c>
      <c r="CL59" s="21" t="n">
        <v>246.398</v>
      </c>
      <c r="CM59" s="21" t="n">
        <v>296.25</v>
      </c>
      <c r="CN59" s="21" t="n">
        <v>129.25</v>
      </c>
      <c r="CO59" s="21" t="n">
        <v>155.697</v>
      </c>
      <c r="CP59" s="21" t="n">
        <v>225.086</v>
      </c>
      <c r="CQ59" s="21" t="n">
        <v>243.022</v>
      </c>
      <c r="CR59" s="21" t="n">
        <v>167.274</v>
      </c>
      <c r="CS59" s="21" t="n">
        <v>249.977</v>
      </c>
      <c r="CT59" s="21" t="n">
        <v>243.538</v>
      </c>
      <c r="CU59" s="21" t="n">
        <v>155.864</v>
      </c>
      <c r="CV59" s="21" t="n">
        <v>144.982</v>
      </c>
      <c r="CW59" s="21" t="n">
        <v>139.899</v>
      </c>
      <c r="CX59" s="21" t="n">
        <v>278.441</v>
      </c>
      <c r="CY59" s="21" t="n">
        <v>132.428</v>
      </c>
      <c r="CZ59" s="21" t="n">
        <v>128.112</v>
      </c>
      <c r="DA59" s="21" t="n">
        <v>286.791</v>
      </c>
      <c r="DB59" s="21" t="n">
        <v>178.117</v>
      </c>
      <c r="DC59" s="21" t="n">
        <v>182.855</v>
      </c>
      <c r="DD59" s="21" t="n">
        <v>152.24</v>
      </c>
      <c r="DE59" s="21" t="n">
        <v>198.339</v>
      </c>
      <c r="DF59" s="21" t="n">
        <v>253.039</v>
      </c>
      <c r="DG59" s="21" t="n">
        <v>205.786</v>
      </c>
      <c r="DH59" s="21" t="n">
        <v>231.784</v>
      </c>
      <c r="DI59" s="21" t="n">
        <v>192.525</v>
      </c>
      <c r="DJ59" s="21" t="n">
        <v>204.425</v>
      </c>
      <c r="DK59" s="21" t="n">
        <v>187.64</v>
      </c>
      <c r="DL59" s="21" t="n">
        <v>172.336</v>
      </c>
      <c r="DM59" s="21" t="n">
        <v>355.939</v>
      </c>
      <c r="DN59" s="21" t="n">
        <v>192.569</v>
      </c>
      <c r="DO59" s="21" t="n">
        <v>267.93</v>
      </c>
      <c r="DP59" s="21" t="n">
        <v>320.862</v>
      </c>
      <c r="DQ59" s="21" t="n">
        <v>334.558</v>
      </c>
      <c r="DR59" s="21" t="n">
        <v>164.892</v>
      </c>
      <c r="DS59" s="21" t="n">
        <v>565.3920000000001</v>
      </c>
      <c r="DT59" s="21" t="n">
        <v>336.954</v>
      </c>
      <c r="DU59" s="21" t="n">
        <v>328.581</v>
      </c>
      <c r="DV59" s="21" t="n">
        <v>328.623</v>
      </c>
      <c r="DW59" s="21" t="n">
        <v>242.832</v>
      </c>
      <c r="DX59" s="21" t="n">
        <v>199.692</v>
      </c>
      <c r="DY59" s="21" t="n">
        <v>274.996</v>
      </c>
      <c r="DZ59" s="21" t="n">
        <v>276.338</v>
      </c>
      <c r="EA59" s="21" t="n">
        <v>323.674</v>
      </c>
      <c r="EB59" s="21" t="n">
        <v>203.306</v>
      </c>
      <c r="EC59" s="21" t="n">
        <v>213.744</v>
      </c>
      <c r="ED59" s="21" t="n">
        <v>169.405</v>
      </c>
      <c r="EE59" s="21" t="n">
        <v>247.032</v>
      </c>
      <c r="EF59" s="21" t="n">
        <v>573.806</v>
      </c>
      <c r="EG59" s="21" t="n">
        <v>486.133</v>
      </c>
      <c r="EH59" s="21" t="n">
        <v>124.233</v>
      </c>
      <c r="EI59" s="21" t="n">
        <v>55.36</v>
      </c>
      <c r="EJ59" s="21" t="n">
        <v>60.525</v>
      </c>
      <c r="EK59" s="21" t="n">
        <v>42.124</v>
      </c>
      <c r="EL59" s="21" t="n">
        <v>114.079</v>
      </c>
      <c r="EM59" s="21" t="n">
        <v>68.643</v>
      </c>
      <c r="EN59" s="21" t="n">
        <v>77.536</v>
      </c>
      <c r="EO59" s="21" t="n">
        <v>82.648</v>
      </c>
      <c r="EP59" s="21" t="n">
        <v>92.06100000000001</v>
      </c>
      <c r="EQ59" s="21" t="n">
        <v>67.67700000000001</v>
      </c>
      <c r="ER59" s="21" t="n">
        <v>50.913</v>
      </c>
      <c r="ES59" s="21" t="n">
        <v>132.348</v>
      </c>
      <c r="ET59" s="21" t="n">
        <v>78.994</v>
      </c>
      <c r="EU59" s="21" t="n">
        <v>91.48399999999999</v>
      </c>
      <c r="EV59" s="21" t="n">
        <v>99.955</v>
      </c>
      <c r="EW59" s="21" t="n">
        <v>87.28700000000001</v>
      </c>
      <c r="EX59" s="21" t="n">
        <v>189.53</v>
      </c>
      <c r="EY59" s="21" t="n">
        <v>120.419</v>
      </c>
      <c r="EZ59" s="21" t="n">
        <v>118.713</v>
      </c>
      <c r="FA59" s="21" t="n">
        <v>173.947</v>
      </c>
      <c r="FB59" s="21" t="n">
        <v>123.489</v>
      </c>
      <c r="FC59" s="21" t="n">
        <v>120.724</v>
      </c>
      <c r="FD59" s="21" t="n">
        <v>122.861</v>
      </c>
      <c r="FE59" s="21" t="n">
        <v>112.008</v>
      </c>
      <c r="FF59" s="21" t="n">
        <v>156.844</v>
      </c>
      <c r="FG59" s="21" t="n">
        <v>77.78400000000001</v>
      </c>
      <c r="FH59" s="21" t="n">
        <v>119.066</v>
      </c>
      <c r="FI59" s="21" t="n">
        <v>110.778</v>
      </c>
      <c r="FJ59" s="21" t="n">
        <v>104.172</v>
      </c>
      <c r="FK59" s="21" t="n">
        <v>106.345</v>
      </c>
      <c r="FL59" s="21" t="n">
        <v>100.723</v>
      </c>
      <c r="FM59" s="21" t="n">
        <v>113.873</v>
      </c>
      <c r="FN59" s="21" t="n">
        <v>72.23399999999999</v>
      </c>
      <c r="FO59" s="21" t="n">
        <v>104.827</v>
      </c>
      <c r="FP59" s="21" t="n">
        <v>93.316</v>
      </c>
      <c r="FQ59" s="21" t="n">
        <v>137.587</v>
      </c>
      <c r="FR59" s="21" t="n">
        <v>142</v>
      </c>
      <c r="FS59" s="21" t="n">
        <v>160.484</v>
      </c>
      <c r="FT59" s="21" t="n">
        <v>124.851</v>
      </c>
      <c r="FU59" s="21" t="n">
        <v>116.699</v>
      </c>
      <c r="FV59" s="21" t="n">
        <v>171.639</v>
      </c>
      <c r="FW59" s="21" t="n">
        <v>141.002</v>
      </c>
      <c r="FX59" s="21" t="n">
        <v>173.373</v>
      </c>
      <c r="FY59" s="21" t="n">
        <v>210.25</v>
      </c>
      <c r="FZ59" s="21" t="n">
        <v>205.747</v>
      </c>
      <c r="GA59" s="21" t="n">
        <v>98.95099999999999</v>
      </c>
      <c r="GB59" s="21" t="n">
        <v>145.596</v>
      </c>
      <c r="GC59" s="21" t="n">
        <v>101.326</v>
      </c>
      <c r="GD59" s="21" t="n">
        <v>141.762</v>
      </c>
      <c r="GE59" s="21" t="n">
        <v>154.888</v>
      </c>
      <c r="GF59" s="21" t="n"/>
      <c r="GG59" s="21" t="n">
        <v>139.701</v>
      </c>
      <c r="GH59" s="21" t="n">
        <v>86.396</v>
      </c>
      <c r="GI59" s="21" t="n">
        <v>129.514</v>
      </c>
      <c r="GJ59" s="21" t="n">
        <v>233.536</v>
      </c>
      <c r="GK59" s="21" t="n">
        <v>232.348</v>
      </c>
      <c r="GL59" s="21" t="n">
        <v>227.003</v>
      </c>
      <c r="GM59" s="21" t="n">
        <v>252.858</v>
      </c>
      <c r="GN59" s="21" t="n">
        <v>250.051</v>
      </c>
      <c r="GO59" s="21" t="n">
        <v>221.182</v>
      </c>
      <c r="GP59" s="21" t="n">
        <v>146.957</v>
      </c>
      <c r="GQ59" s="21" t="n">
        <v>124.964</v>
      </c>
      <c r="GR59" s="21" t="n">
        <v>298.925</v>
      </c>
      <c r="GS59" s="21" t="n">
        <v>180.317</v>
      </c>
      <c r="GT59" s="21" t="n">
        <v>573.403</v>
      </c>
      <c r="GU59" s="21" t="n">
        <v>213.484</v>
      </c>
      <c r="GV59" s="21" t="n">
        <v>240.411</v>
      </c>
      <c r="GW59" s="21" t="n">
        <v>263.18</v>
      </c>
      <c r="GX59" s="21" t="n">
        <v>271.125</v>
      </c>
      <c r="GY59" s="21" t="n">
        <v>157.414</v>
      </c>
      <c r="GZ59" s="21" t="n"/>
      <c r="HA59" s="21" t="n">
        <v>63.926</v>
      </c>
      <c r="HB59" s="21" t="n">
        <v>506.433</v>
      </c>
      <c r="HC59" s="21" t="n">
        <v>383.498</v>
      </c>
      <c r="HD59" s="21" t="n">
        <v>125.508</v>
      </c>
      <c r="HE59" s="21" t="n">
        <v>529.635</v>
      </c>
      <c r="HF59" s="21" t="n">
        <v>97.77200000000001</v>
      </c>
      <c r="HG59" s="21" t="n">
        <v>546.096</v>
      </c>
      <c r="HH59" s="21" t="n">
        <v>384.56</v>
      </c>
      <c r="HI59" s="21" t="n">
        <v>384.901</v>
      </c>
      <c r="HJ59" s="21" t="n">
        <v>500.331</v>
      </c>
      <c r="HK59" s="21" t="n">
        <v>191.643</v>
      </c>
      <c r="HL59" s="21" t="n">
        <v>239.906</v>
      </c>
      <c r="HM59" s="21" t="n">
        <v>81.688</v>
      </c>
      <c r="HN59" s="21" t="n">
        <v>344.363</v>
      </c>
      <c r="HO59" s="21" t="n">
        <v>335.305</v>
      </c>
      <c r="HP59" s="21" t="n">
        <v>757.4690000000001</v>
      </c>
      <c r="HQ59" s="21" t="n">
        <v>237.222</v>
      </c>
      <c r="HR59" s="21" t="n">
        <v>121.13</v>
      </c>
      <c r="HS59" s="21" t="n">
        <v>105.155</v>
      </c>
      <c r="HT59" s="21" t="n">
        <v>145.417</v>
      </c>
      <c r="HU59" s="21" t="n">
        <v>484.643</v>
      </c>
      <c r="HV59" s="21" t="n">
        <v>118.484</v>
      </c>
      <c r="HW59" s="21" t="n">
        <v>27.652</v>
      </c>
      <c r="HX59" s="21" t="n">
        <v>179.34</v>
      </c>
      <c r="HY59" s="21" t="n">
        <v>205.062</v>
      </c>
      <c r="HZ59" s="21" t="n">
        <v>156.534</v>
      </c>
      <c r="IA59" s="21" t="n">
        <v>117.826</v>
      </c>
      <c r="IB59" s="21" t="n">
        <v>255.844</v>
      </c>
      <c r="IC59" s="21" t="n"/>
      <c r="ID59" s="21" t="n">
        <v>269.832</v>
      </c>
      <c r="IE59" s="21" t="n">
        <v>113.309</v>
      </c>
      <c r="IF59" s="21" t="n">
        <v>156.336</v>
      </c>
      <c r="IG59" s="21" t="n">
        <v>77.55</v>
      </c>
      <c r="IH59" s="21" t="n">
        <v>74.008</v>
      </c>
      <c r="II59" s="21" t="n">
        <v>55.048</v>
      </c>
      <c r="IJ59" s="21" t="n">
        <v>23.143</v>
      </c>
      <c r="IK59" s="21" t="n">
        <v>34.72</v>
      </c>
      <c r="IL59" s="21" t="n">
        <v>30.541</v>
      </c>
      <c r="IM59" s="21" t="n">
        <v>38.387</v>
      </c>
      <c r="IN59" s="21" t="n">
        <v>98.994</v>
      </c>
      <c r="IO59" s="21" t="n">
        <v>103.304</v>
      </c>
      <c r="IP59" s="21" t="n">
        <v>172.276</v>
      </c>
      <c r="IQ59" s="21" t="n">
        <v>143.243</v>
      </c>
      <c r="IR59" s="21" t="n">
        <v>391.579</v>
      </c>
      <c r="IS59" s="21" t="n">
        <v>188.214</v>
      </c>
      <c r="IT59" s="21" t="n">
        <v>223.859</v>
      </c>
      <c r="IU59" s="21" t="n">
        <v>316.647</v>
      </c>
      <c r="IV59" s="21" t="n">
        <v>261.594</v>
      </c>
      <c r="IW59" s="21" t="n">
        <v>138.157</v>
      </c>
      <c r="IX59" s="21" t="n">
        <v>267.264</v>
      </c>
      <c r="IY59" s="21" t="n">
        <v>676.9640000000001</v>
      </c>
      <c r="IZ59" s="21" t="n">
        <v>767.422</v>
      </c>
      <c r="JA59" s="21" t="n">
        <v>869.373</v>
      </c>
      <c r="JB59" s="21" t="n">
        <v>83.245</v>
      </c>
      <c r="JC59" s="21" t="n">
        <v>305.882</v>
      </c>
      <c r="JD59" s="21" t="n">
        <v>254.787</v>
      </c>
      <c r="JE59" s="21" t="n">
        <v>73.20699999999999</v>
      </c>
      <c r="JF59" s="21" t="n">
        <v>196.857</v>
      </c>
      <c r="JG59" s="21" t="n">
        <v>309.216</v>
      </c>
      <c r="JH59" s="21" t="n">
        <v>322.84</v>
      </c>
      <c r="JI59" s="21" t="n">
        <v>69.18899999999999</v>
      </c>
      <c r="JJ59" s="21" t="n">
        <v>108.99</v>
      </c>
      <c r="JK59" s="21" t="n">
        <v>38.938</v>
      </c>
      <c r="JL59" s="21" t="n">
        <v>76.84</v>
      </c>
      <c r="JM59" s="21" t="n">
        <v>204.284</v>
      </c>
      <c r="JN59" s="21" t="n">
        <v>455.511</v>
      </c>
      <c r="JO59" s="21" t="n">
        <v>71.54000000000001</v>
      </c>
      <c r="JP59" s="21" t="n">
        <v>465.075</v>
      </c>
      <c r="JQ59" s="21" t="n">
        <v>235.766</v>
      </c>
      <c r="JR59" s="21" t="n">
        <v>161.103</v>
      </c>
      <c r="JS59" s="21" t="n">
        <v>450.882</v>
      </c>
      <c r="JT59" s="21" t="n">
        <v>365.193</v>
      </c>
      <c r="JU59" s="21" t="n">
        <v>339.009</v>
      </c>
      <c r="JV59" s="21" t="n">
        <v>177.734</v>
      </c>
      <c r="JW59" s="21" t="n">
        <v>364.582</v>
      </c>
      <c r="JX59" s="21" t="n">
        <v>254.064</v>
      </c>
      <c r="JY59" s="21" t="n">
        <v>76.59099999999999</v>
      </c>
      <c r="JZ59" s="21" t="n">
        <v>156.898</v>
      </c>
      <c r="KA59" s="21" t="n">
        <v>245.202</v>
      </c>
      <c r="KB59" s="21" t="n">
        <v>263.423</v>
      </c>
      <c r="KC59" s="21" t="n">
        <v>256.783</v>
      </c>
      <c r="KD59" s="21" t="n">
        <v>264.97</v>
      </c>
      <c r="KE59" s="21" t="n">
        <v>235.237</v>
      </c>
      <c r="KF59" s="21" t="n">
        <v>228.901</v>
      </c>
      <c r="KG59" s="21" t="n">
        <v>233.96</v>
      </c>
      <c r="KH59" s="21" t="n">
        <v>239.791</v>
      </c>
      <c r="KI59" s="21" t="n">
        <v>115.704</v>
      </c>
      <c r="KJ59" s="21" t="n">
        <v>185.47</v>
      </c>
      <c r="KK59" s="21" t="n">
        <v>152.789</v>
      </c>
      <c r="KL59" s="21" t="n">
        <v>149.367</v>
      </c>
      <c r="KM59" s="21" t="n">
        <v>144.225</v>
      </c>
      <c r="KN59" s="21" t="n">
        <v>145.355</v>
      </c>
      <c r="KO59" s="21" t="n">
        <v>250.212</v>
      </c>
      <c r="KP59" s="21" t="n">
        <v>104.678</v>
      </c>
      <c r="KQ59" s="21" t="n">
        <v>70.63800000000001</v>
      </c>
      <c r="KR59" s="21" t="n">
        <v>111.414</v>
      </c>
      <c r="KS59" s="21" t="n">
        <v>215.268</v>
      </c>
      <c r="KT59" s="21" t="n">
        <v>237.447</v>
      </c>
      <c r="KU59" s="21" t="n">
        <v>90.79000000000001</v>
      </c>
      <c r="KV59" s="21" t="n">
        <v>50.747</v>
      </c>
      <c r="KW59" s="21" t="n">
        <v>227.509</v>
      </c>
      <c r="KX59" s="21" t="n">
        <v>200.615</v>
      </c>
      <c r="KY59" s="21" t="n">
        <v>246.572</v>
      </c>
      <c r="KZ59" s="21" t="n">
        <v>197.338</v>
      </c>
      <c r="LA59" s="21" t="n">
        <v>247.441</v>
      </c>
      <c r="LB59" s="21" t="n">
        <v>115.701</v>
      </c>
      <c r="LC59" s="21" t="n">
        <v>360.66</v>
      </c>
      <c r="LD59" s="21" t="n">
        <v>79.962</v>
      </c>
      <c r="LE59" s="21" t="n">
        <v>125.104</v>
      </c>
      <c r="LF59" s="21" t="n">
        <v>334.522</v>
      </c>
      <c r="LG59" s="21" t="n">
        <v>327.904</v>
      </c>
      <c r="LH59" s="21" t="n">
        <v>340.409</v>
      </c>
      <c r="LI59" s="21" t="n">
        <v>311.316</v>
      </c>
      <c r="LJ59" s="21" t="n">
        <v>345.538</v>
      </c>
      <c r="LK59" s="21" t="n">
        <v>104.331</v>
      </c>
      <c r="LL59" s="21" t="n">
        <v>327.196</v>
      </c>
      <c r="LM59" s="21" t="n">
        <v>219.102</v>
      </c>
      <c r="LN59" s="21" t="n">
        <v>38.187</v>
      </c>
      <c r="LO59" s="21" t="n">
        <v>128.856</v>
      </c>
    </row>
    <row r="60">
      <c r="A60" s="22" t="n">
        <v>43770</v>
      </c>
      <c r="B60" s="21" t="n">
        <v>257.879</v>
      </c>
      <c r="C60" s="21" t="n">
        <v>259.624</v>
      </c>
      <c r="D60" s="21" t="n">
        <v>260.048</v>
      </c>
      <c r="E60" s="21" t="n">
        <v>242.726</v>
      </c>
      <c r="F60" s="21" t="n">
        <v>277.131</v>
      </c>
      <c r="G60" s="21" t="n">
        <v>226.681</v>
      </c>
      <c r="H60" s="21" t="n">
        <v>232.1</v>
      </c>
      <c r="I60" s="21" t="n">
        <v>218.774</v>
      </c>
      <c r="J60" s="21" t="n">
        <v>239.828</v>
      </c>
      <c r="K60" s="21" t="n">
        <v>305.89</v>
      </c>
      <c r="L60" s="21" t="n">
        <v>187.598</v>
      </c>
      <c r="M60" s="21" t="n">
        <v>178.962</v>
      </c>
      <c r="N60" s="21" t="n">
        <v>294.04</v>
      </c>
      <c r="O60" s="21" t="n">
        <v>273.424</v>
      </c>
      <c r="P60" s="21" t="n">
        <v>269.343</v>
      </c>
      <c r="Q60" s="21" t="n">
        <v>304.54</v>
      </c>
      <c r="R60" s="21" t="n">
        <v>268.909</v>
      </c>
      <c r="S60" s="21" t="n">
        <v>251.124</v>
      </c>
      <c r="T60" s="21" t="n">
        <v>254.756</v>
      </c>
      <c r="U60" s="21" t="n">
        <v>258.167</v>
      </c>
      <c r="V60" s="21" t="n">
        <v>310.854</v>
      </c>
      <c r="W60" s="21" t="n">
        <v>272.517</v>
      </c>
      <c r="X60" s="21" t="n">
        <v>236.124</v>
      </c>
      <c r="Y60" s="21" t="n">
        <v>209.37</v>
      </c>
      <c r="Z60" s="21" t="n">
        <v>215.583</v>
      </c>
      <c r="AA60" s="21" t="n">
        <v>161.774</v>
      </c>
      <c r="AB60" s="21" t="n">
        <v>304.369</v>
      </c>
      <c r="AC60" s="21" t="n">
        <v>146.602</v>
      </c>
      <c r="AD60" s="21" t="n">
        <v>211.683</v>
      </c>
      <c r="AE60" s="21" t="n">
        <v>236.195</v>
      </c>
      <c r="AF60" s="21" t="n">
        <v>191.235</v>
      </c>
      <c r="AG60" s="21" t="n">
        <v>127.381</v>
      </c>
      <c r="AH60" s="21" t="n">
        <v>226.433</v>
      </c>
      <c r="AI60" s="21" t="n">
        <v>234.275</v>
      </c>
      <c r="AJ60" s="21" t="n">
        <v>145.463</v>
      </c>
      <c r="AK60" s="21" t="n">
        <v>230.686</v>
      </c>
      <c r="AL60" s="21" t="n">
        <v>149.412</v>
      </c>
      <c r="AM60" s="21" t="n">
        <v>246.251</v>
      </c>
      <c r="AN60" s="21" t="n">
        <v>222.913</v>
      </c>
      <c r="AO60" s="21" t="n">
        <v>148.778</v>
      </c>
      <c r="AP60" s="21" t="n">
        <v>297.916</v>
      </c>
      <c r="AQ60" s="21" t="n">
        <v>185.024</v>
      </c>
      <c r="AR60" s="21" t="n">
        <v>148.206</v>
      </c>
      <c r="AS60" s="21" t="n">
        <v>213.633</v>
      </c>
      <c r="AT60" s="21" t="n">
        <v>308.693</v>
      </c>
      <c r="AU60" s="21" t="n">
        <v>202.706</v>
      </c>
      <c r="AV60" s="21" t="n">
        <v>221.926</v>
      </c>
      <c r="AW60" s="21" t="n">
        <v>143.552</v>
      </c>
      <c r="AX60" s="21" t="n">
        <v>204.354</v>
      </c>
      <c r="AY60" s="21" t="n">
        <v>148.691</v>
      </c>
      <c r="AZ60" s="21" t="n">
        <v>233.878</v>
      </c>
      <c r="BA60" s="21" t="n">
        <v>224.825</v>
      </c>
      <c r="BB60" s="21" t="n">
        <v>148.324</v>
      </c>
      <c r="BC60" s="21" t="n">
        <v>299.46</v>
      </c>
      <c r="BD60" s="21" t="n">
        <v>346.804</v>
      </c>
      <c r="BE60" s="21" t="n">
        <v>356.271</v>
      </c>
      <c r="BF60" s="21" t="n">
        <v>333.444</v>
      </c>
      <c r="BG60" s="21" t="n">
        <v>197.388</v>
      </c>
      <c r="BH60" s="21" t="n">
        <v>256.401</v>
      </c>
      <c r="BI60" s="21" t="n">
        <v>508.706</v>
      </c>
      <c r="BJ60" s="21" t="n">
        <v>114.695</v>
      </c>
      <c r="BK60" s="21" t="n">
        <v>335.5</v>
      </c>
      <c r="BL60" s="21" t="n">
        <v>369.67</v>
      </c>
      <c r="BM60" s="21" t="n">
        <v>326.321</v>
      </c>
      <c r="BN60" s="21" t="n">
        <v>323.551</v>
      </c>
      <c r="BO60" s="21" t="n">
        <v>334.711</v>
      </c>
      <c r="BP60" s="21" t="n">
        <v>157.342</v>
      </c>
      <c r="BQ60" s="21" t="n">
        <v>163.692</v>
      </c>
      <c r="BR60" s="21" t="n">
        <v>158.008</v>
      </c>
      <c r="BS60" s="21" t="n">
        <v>173.46</v>
      </c>
      <c r="BT60" s="21" t="n">
        <v>145.319</v>
      </c>
      <c r="BU60" s="21" t="n">
        <v>201.114</v>
      </c>
      <c r="BV60" s="21" t="n">
        <v>157.091</v>
      </c>
      <c r="BW60" s="21" t="n">
        <v>171.971</v>
      </c>
      <c r="BX60" s="21" t="n">
        <v>134.035</v>
      </c>
      <c r="BY60" s="21" t="n">
        <v>170.922</v>
      </c>
      <c r="BZ60" s="21" t="n">
        <v>120.835</v>
      </c>
      <c r="CA60" s="21" t="n">
        <v>117.769</v>
      </c>
      <c r="CB60" s="21" t="n">
        <v>195.298</v>
      </c>
      <c r="CC60" s="21" t="n">
        <v>203.333</v>
      </c>
      <c r="CD60" s="21" t="n">
        <v>130.633</v>
      </c>
      <c r="CE60" s="21" t="n">
        <v>211.969</v>
      </c>
      <c r="CF60" s="21" t="n">
        <v>223.429</v>
      </c>
      <c r="CG60" s="21" t="n">
        <v>191.199</v>
      </c>
      <c r="CH60" s="21" t="n">
        <v>153.375</v>
      </c>
      <c r="CI60" s="21" t="n">
        <v>154.014</v>
      </c>
      <c r="CJ60" s="21" t="n">
        <v>226.036</v>
      </c>
      <c r="CK60" s="21" t="n">
        <v>205.92</v>
      </c>
      <c r="CL60" s="21" t="n">
        <v>247.034</v>
      </c>
      <c r="CM60" s="21" t="n">
        <v>301.265</v>
      </c>
      <c r="CN60" s="21" t="n">
        <v>128.356</v>
      </c>
      <c r="CO60" s="21" t="n">
        <v>155.28</v>
      </c>
      <c r="CP60" s="21" t="n">
        <v>225.902</v>
      </c>
      <c r="CQ60" s="21" t="n">
        <v>244.693</v>
      </c>
      <c r="CR60" s="21" t="n">
        <v>168.111</v>
      </c>
      <c r="CS60" s="21" t="n">
        <v>250.115</v>
      </c>
      <c r="CT60" s="21" t="n">
        <v>242.861</v>
      </c>
      <c r="CU60" s="21" t="n">
        <v>154.579</v>
      </c>
      <c r="CV60" s="21" t="n">
        <v>141.371</v>
      </c>
      <c r="CW60" s="21" t="n">
        <v>139.058</v>
      </c>
      <c r="CX60" s="21" t="n">
        <v>279.133</v>
      </c>
      <c r="CY60" s="21" t="n">
        <v>133.01</v>
      </c>
      <c r="CZ60" s="21" t="n">
        <v>127.689</v>
      </c>
      <c r="DA60" s="21" t="n">
        <v>287.255</v>
      </c>
      <c r="DB60" s="21" t="n">
        <v>178.585</v>
      </c>
      <c r="DC60" s="21" t="n">
        <v>182.993</v>
      </c>
      <c r="DD60" s="21" t="n">
        <v>152.243</v>
      </c>
      <c r="DE60" s="21" t="n">
        <v>198.339</v>
      </c>
      <c r="DF60" s="21" t="n">
        <v>252.502</v>
      </c>
      <c r="DG60" s="21" t="n">
        <v>205.02</v>
      </c>
      <c r="DH60" s="21" t="n">
        <v>230.399</v>
      </c>
      <c r="DI60" s="21" t="n">
        <v>191.565</v>
      </c>
      <c r="DJ60" s="21" t="n">
        <v>204.246</v>
      </c>
      <c r="DK60" s="21" t="n">
        <v>187.302</v>
      </c>
      <c r="DL60" s="21" t="n">
        <v>171.085</v>
      </c>
      <c r="DM60" s="21" t="n">
        <v>355.902</v>
      </c>
      <c r="DN60" s="21" t="n">
        <v>192.692</v>
      </c>
      <c r="DO60" s="21" t="n">
        <v>268.444</v>
      </c>
      <c r="DP60" s="21" t="n">
        <v>321.611</v>
      </c>
      <c r="DQ60" s="21" t="n">
        <v>335.484</v>
      </c>
      <c r="DR60" s="21" t="n">
        <v>163.699</v>
      </c>
      <c r="DS60" s="21" t="n">
        <v>566.125</v>
      </c>
      <c r="DT60" s="21" t="n">
        <v>334.133</v>
      </c>
      <c r="DU60" s="21" t="n">
        <v>329.44</v>
      </c>
      <c r="DV60" s="21" t="n">
        <v>329.482</v>
      </c>
      <c r="DW60" s="21" t="n">
        <v>242.936</v>
      </c>
      <c r="DX60" s="21" t="n">
        <v>199.664</v>
      </c>
      <c r="DY60" s="21" t="n">
        <v>278.762</v>
      </c>
      <c r="DZ60" s="21" t="n">
        <v>281.435</v>
      </c>
      <c r="EA60" s="21" t="n">
        <v>324.511</v>
      </c>
      <c r="EB60" s="21" t="n">
        <v>203.128</v>
      </c>
      <c r="EC60" s="21" t="n">
        <v>213.952</v>
      </c>
      <c r="ED60" s="21" t="n">
        <v>168.148</v>
      </c>
      <c r="EE60" s="21" t="n">
        <v>247.582</v>
      </c>
      <c r="EF60" s="21" t="n">
        <v>575.3630000000001</v>
      </c>
      <c r="EG60" s="21" t="n">
        <v>486.485</v>
      </c>
      <c r="EH60" s="21" t="n">
        <v>124.264</v>
      </c>
      <c r="EI60" s="21" t="n">
        <v>55.281</v>
      </c>
      <c r="EJ60" s="21" t="n">
        <v>60.762</v>
      </c>
      <c r="EK60" s="21" t="n">
        <v>42.202</v>
      </c>
      <c r="EL60" s="21" t="n">
        <v>113.699</v>
      </c>
      <c r="EM60" s="21" t="n">
        <v>67.79000000000001</v>
      </c>
      <c r="EN60" s="21" t="n">
        <v>78.15000000000001</v>
      </c>
      <c r="EO60" s="21" t="n">
        <v>82.491</v>
      </c>
      <c r="EP60" s="21" t="n">
        <v>90.83199999999999</v>
      </c>
      <c r="EQ60" s="21" t="n">
        <v>68.503</v>
      </c>
      <c r="ER60" s="21" t="n">
        <v>50.632</v>
      </c>
      <c r="ES60" s="21" t="n">
        <v>131.79</v>
      </c>
      <c r="ET60" s="21" t="n">
        <v>79.666</v>
      </c>
      <c r="EU60" s="21" t="n">
        <v>90.42400000000001</v>
      </c>
      <c r="EV60" s="21" t="n">
        <v>98.943</v>
      </c>
      <c r="EW60" s="21" t="n">
        <v>86.83799999999999</v>
      </c>
      <c r="EX60" s="21" t="n">
        <v>190.082</v>
      </c>
      <c r="EY60" s="21" t="n">
        <v>120.526</v>
      </c>
      <c r="EZ60" s="21" t="n">
        <v>118.341</v>
      </c>
      <c r="FA60" s="21" t="n">
        <v>169.806</v>
      </c>
      <c r="FB60" s="21" t="n">
        <v>123.55</v>
      </c>
      <c r="FC60" s="21" t="n">
        <v>117.822</v>
      </c>
      <c r="FD60" s="21" t="n">
        <v>120.049</v>
      </c>
      <c r="FE60" s="21" t="n">
        <v>109.66</v>
      </c>
      <c r="FF60" s="21" t="n">
        <v>156.093</v>
      </c>
      <c r="FG60" s="21" t="n">
        <v>74.755</v>
      </c>
      <c r="FH60" s="21" t="n">
        <v>117.627</v>
      </c>
      <c r="FI60" s="21" t="n">
        <v>107.915</v>
      </c>
      <c r="FJ60" s="21" t="n">
        <v>105.461</v>
      </c>
      <c r="FK60" s="21" t="n">
        <v>107.758</v>
      </c>
      <c r="FL60" s="21" t="n">
        <v>101.219</v>
      </c>
      <c r="FM60" s="21" t="n">
        <v>111.748</v>
      </c>
      <c r="FN60" s="21" t="n">
        <v>74.479</v>
      </c>
      <c r="FO60" s="21" t="n">
        <v>104.206</v>
      </c>
      <c r="FP60" s="21" t="n">
        <v>93.98099999999999</v>
      </c>
      <c r="FQ60" s="21" t="n">
        <v>137.59</v>
      </c>
      <c r="FR60" s="21" t="n">
        <v>141.208</v>
      </c>
      <c r="FS60" s="21" t="n">
        <v>158.478</v>
      </c>
      <c r="FT60" s="21" t="n">
        <v>125.227</v>
      </c>
      <c r="FU60" s="21" t="n">
        <v>117.01</v>
      </c>
      <c r="FV60" s="21" t="n">
        <v>175.065</v>
      </c>
      <c r="FW60" s="21" t="n">
        <v>140.624</v>
      </c>
      <c r="FX60" s="21" t="n">
        <v>174.933</v>
      </c>
      <c r="FY60" s="21" t="n">
        <v>211.286</v>
      </c>
      <c r="FZ60" s="21" t="n">
        <v>206.921</v>
      </c>
      <c r="GA60" s="21" t="n">
        <v>99.087</v>
      </c>
      <c r="GB60" s="21" t="n">
        <v>146.098</v>
      </c>
      <c r="GC60" s="21" t="n">
        <v>101.259</v>
      </c>
      <c r="GD60" s="21" t="n">
        <v>142.291</v>
      </c>
      <c r="GE60" s="21" t="n">
        <v>155.513</v>
      </c>
      <c r="GF60" s="21" t="n"/>
      <c r="GG60" s="21" t="n">
        <v>139.579</v>
      </c>
      <c r="GH60" s="21" t="n">
        <v>85.84099999999999</v>
      </c>
      <c r="GI60" s="21" t="n">
        <v>133.142</v>
      </c>
      <c r="GJ60" s="21" t="n">
        <v>238.067</v>
      </c>
      <c r="GK60" s="21" t="n">
        <v>236.924</v>
      </c>
      <c r="GL60" s="21" t="n">
        <v>231.478</v>
      </c>
      <c r="GM60" s="21" t="n">
        <v>257.541</v>
      </c>
      <c r="GN60" s="21" t="n">
        <v>254.949</v>
      </c>
      <c r="GO60" s="21" t="n">
        <v>223.62</v>
      </c>
      <c r="GP60" s="21" t="n">
        <v>147.608</v>
      </c>
      <c r="GQ60" s="21" t="n">
        <v>125.742</v>
      </c>
      <c r="GR60" s="21" t="n">
        <v>299.26</v>
      </c>
      <c r="GS60" s="21" t="n">
        <v>180.352</v>
      </c>
      <c r="GT60" s="21" t="n">
        <v>572.4589999999999</v>
      </c>
      <c r="GU60" s="21" t="n">
        <v>213.915</v>
      </c>
      <c r="GV60" s="21" t="n">
        <v>240.331</v>
      </c>
      <c r="GW60" s="21" t="n">
        <v>261.762</v>
      </c>
      <c r="GX60" s="21" t="n">
        <v>268.352</v>
      </c>
      <c r="GY60" s="21" t="n">
        <v>158.178</v>
      </c>
      <c r="GZ60" s="21" t="n"/>
      <c r="HA60" s="21" t="n">
        <v>63.234</v>
      </c>
      <c r="HB60" s="21" t="n">
        <v>508.315</v>
      </c>
      <c r="HC60" s="21" t="n">
        <v>383.025</v>
      </c>
      <c r="HD60" s="21" t="n">
        <v>125.305</v>
      </c>
      <c r="HE60" s="21" t="n">
        <v>528.285</v>
      </c>
      <c r="HF60" s="21" t="n">
        <v>97.721</v>
      </c>
      <c r="HG60" s="21" t="n">
        <v>548.7670000000001</v>
      </c>
      <c r="HH60" s="21" t="n">
        <v>385.367</v>
      </c>
      <c r="HI60" s="21" t="n">
        <v>385.01</v>
      </c>
      <c r="HJ60" s="21" t="n">
        <v>501.563</v>
      </c>
      <c r="HK60" s="21" t="n">
        <v>192.157</v>
      </c>
      <c r="HL60" s="21" t="n">
        <v>239.923</v>
      </c>
      <c r="HM60" s="21" t="n">
        <v>81.866</v>
      </c>
      <c r="HN60" s="21" t="n">
        <v>345.227</v>
      </c>
      <c r="HO60" s="21" t="n">
        <v>336.401</v>
      </c>
      <c r="HP60" s="21" t="n">
        <v>757.64</v>
      </c>
      <c r="HQ60" s="21" t="n">
        <v>237.781</v>
      </c>
      <c r="HR60" s="21" t="n">
        <v>121.603</v>
      </c>
      <c r="HS60" s="21" t="n">
        <v>105.45</v>
      </c>
      <c r="HT60" s="21" t="n">
        <v>142.302</v>
      </c>
      <c r="HU60" s="21" t="n">
        <v>487.246</v>
      </c>
      <c r="HV60" s="21" t="n">
        <v>120.47</v>
      </c>
      <c r="HW60" s="21" t="n">
        <v>27.066</v>
      </c>
      <c r="HX60" s="21" t="n">
        <v>179.583</v>
      </c>
      <c r="HY60" s="21" t="n">
        <v>205.186</v>
      </c>
      <c r="HZ60" s="21" t="n">
        <v>156.5</v>
      </c>
      <c r="IA60" s="21" t="n">
        <v>117.942</v>
      </c>
      <c r="IB60" s="21" t="n">
        <v>256.464</v>
      </c>
      <c r="IC60" s="21" t="n">
        <v>197.415</v>
      </c>
      <c r="ID60" s="21" t="n">
        <v>270.766</v>
      </c>
      <c r="IE60" s="21" t="n">
        <v>114.091</v>
      </c>
      <c r="IF60" s="21" t="n">
        <v>158.258</v>
      </c>
      <c r="IG60" s="21" t="n">
        <v>77.479</v>
      </c>
      <c r="IH60" s="21" t="n">
        <v>74.042</v>
      </c>
      <c r="II60" s="21" t="n">
        <v>55.141</v>
      </c>
      <c r="IJ60" s="21" t="n">
        <v>23.132</v>
      </c>
      <c r="IK60" s="21" t="n">
        <v>34.589</v>
      </c>
      <c r="IL60" s="21" t="n">
        <v>30.285</v>
      </c>
      <c r="IM60" s="21" t="n">
        <v>37.972</v>
      </c>
      <c r="IN60" s="21" t="n">
        <v>99.842</v>
      </c>
      <c r="IO60" s="21" t="n">
        <v>105.324</v>
      </c>
      <c r="IP60" s="21" t="n">
        <v>173.494</v>
      </c>
      <c r="IQ60" s="21" t="n">
        <v>144.777</v>
      </c>
      <c r="IR60" s="21" t="n">
        <v>392.517</v>
      </c>
      <c r="IS60" s="21" t="n">
        <v>188.09</v>
      </c>
      <c r="IT60" s="21" t="n">
        <v>232.212</v>
      </c>
      <c r="IU60" s="21" t="n">
        <v>320.39</v>
      </c>
      <c r="IV60" s="21" t="n">
        <v>262.555</v>
      </c>
      <c r="IW60" s="21" t="n">
        <v>138.669</v>
      </c>
      <c r="IX60" s="21" t="n">
        <v>267.748</v>
      </c>
      <c r="IY60" s="21" t="n">
        <v>680.251</v>
      </c>
      <c r="IZ60" s="21" t="n">
        <v>768.713</v>
      </c>
      <c r="JA60" s="21" t="n">
        <v>870.542</v>
      </c>
      <c r="JB60" s="21" t="n">
        <v>83.453</v>
      </c>
      <c r="JC60" s="21" t="n">
        <v>306.675</v>
      </c>
      <c r="JD60" s="21" t="n">
        <v>254.64</v>
      </c>
      <c r="JE60" s="21" t="n">
        <v>73.599</v>
      </c>
      <c r="JF60" s="21" t="n">
        <v>197.146</v>
      </c>
      <c r="JG60" s="21" t="n">
        <v>309.583</v>
      </c>
      <c r="JH60" s="21" t="n">
        <v>323.952</v>
      </c>
      <c r="JI60" s="21" t="n">
        <v>69.569</v>
      </c>
      <c r="JJ60" s="21" t="n">
        <v>109.741</v>
      </c>
      <c r="JK60" s="21" t="n">
        <v>38.868</v>
      </c>
      <c r="JL60" s="21" t="n">
        <v>77.79000000000001</v>
      </c>
      <c r="JM60" s="21" t="n">
        <v>202.685</v>
      </c>
      <c r="JN60" s="21" t="n">
        <v>456.919</v>
      </c>
      <c r="JO60" s="21" t="n">
        <v>72.06399999999999</v>
      </c>
      <c r="JP60" s="21" t="n">
        <v>468.795</v>
      </c>
      <c r="JQ60" s="21" t="n">
        <v>236.228</v>
      </c>
      <c r="JR60" s="21" t="n">
        <v>161.193</v>
      </c>
      <c r="JS60" s="21" t="n">
        <v>450.613</v>
      </c>
      <c r="JT60" s="21" t="n">
        <v>364.384</v>
      </c>
      <c r="JU60" s="21" t="n">
        <v>339.836</v>
      </c>
      <c r="JV60" s="21" t="n">
        <v>177.883</v>
      </c>
      <c r="JW60" s="21" t="n">
        <v>363.696</v>
      </c>
      <c r="JX60" s="21" t="n">
        <v>253.03</v>
      </c>
      <c r="JY60" s="21" t="n">
        <v>76.331</v>
      </c>
      <c r="JZ60" s="21" t="n">
        <v>156.014</v>
      </c>
      <c r="KA60" s="21" t="n">
        <v>245.871</v>
      </c>
      <c r="KB60" s="21" t="n">
        <v>264.004</v>
      </c>
      <c r="KC60" s="21" t="n">
        <v>257.523</v>
      </c>
      <c r="KD60" s="21" t="n">
        <v>265.548</v>
      </c>
      <c r="KE60" s="21" t="n">
        <v>235.957</v>
      </c>
      <c r="KF60" s="21" t="n">
        <v>229.64</v>
      </c>
      <c r="KG60" s="21" t="n">
        <v>234.444</v>
      </c>
      <c r="KH60" s="21" t="n">
        <v>240.325</v>
      </c>
      <c r="KI60" s="21" t="n">
        <v>115.777</v>
      </c>
      <c r="KJ60" s="21" t="n">
        <v>186.057</v>
      </c>
      <c r="KK60" s="21" t="n">
        <v>153.341</v>
      </c>
      <c r="KL60" s="21" t="n">
        <v>149.943</v>
      </c>
      <c r="KM60" s="21" t="n">
        <v>144.257</v>
      </c>
      <c r="KN60" s="21" t="n">
        <v>145.41</v>
      </c>
      <c r="KO60" s="21" t="n">
        <v>249.46</v>
      </c>
      <c r="KP60" s="21" t="n">
        <v>104.581</v>
      </c>
      <c r="KQ60" s="21" t="n">
        <v>70.496</v>
      </c>
      <c r="KR60" s="21" t="n">
        <v>111.88</v>
      </c>
      <c r="KS60" s="21" t="n">
        <v>217.488</v>
      </c>
      <c r="KT60" s="21" t="n">
        <v>241.997</v>
      </c>
      <c r="KU60" s="21" t="n">
        <v>90.791</v>
      </c>
      <c r="KV60" s="21" t="n">
        <v>50.53</v>
      </c>
      <c r="KW60" s="21" t="n">
        <v>228.018</v>
      </c>
      <c r="KX60" s="21" t="n">
        <v>200.939</v>
      </c>
      <c r="KY60" s="21" t="n">
        <v>247.549</v>
      </c>
      <c r="KZ60" s="21" t="n">
        <v>197.732</v>
      </c>
      <c r="LA60" s="21" t="n">
        <v>248.242</v>
      </c>
      <c r="LB60" s="21" t="n">
        <v>116.042</v>
      </c>
      <c r="LC60" s="21" t="n">
        <v>362.168</v>
      </c>
      <c r="LD60" s="21" t="n">
        <v>80.017</v>
      </c>
      <c r="LE60" s="21" t="n">
        <v>125.776</v>
      </c>
      <c r="LF60" s="21" t="n">
        <v>335.368</v>
      </c>
      <c r="LG60" s="21" t="n">
        <v>328.698</v>
      </c>
      <c r="LH60" s="21" t="n">
        <v>341.296</v>
      </c>
      <c r="LI60" s="21" t="n">
        <v>312.002</v>
      </c>
      <c r="LJ60" s="21" t="n">
        <v>346.382</v>
      </c>
      <c r="LK60" s="21" t="n">
        <v>104.52</v>
      </c>
      <c r="LL60" s="21" t="n">
        <v>326.715</v>
      </c>
      <c r="LM60" s="21" t="n">
        <v>219.612</v>
      </c>
      <c r="LN60" s="21" t="n">
        <v>37.832</v>
      </c>
      <c r="LO60" s="21" t="n">
        <v>129.415</v>
      </c>
    </row>
    <row r="61">
      <c r="A61" s="22" t="n">
        <v>43800</v>
      </c>
      <c r="B61" s="21" t="n">
        <v>258.63</v>
      </c>
      <c r="C61" s="21" t="n">
        <v>260.052</v>
      </c>
      <c r="D61" s="21" t="n">
        <v>260.483</v>
      </c>
      <c r="E61" s="21" t="n">
        <v>242.887</v>
      </c>
      <c r="F61" s="21" t="n">
        <v>276.485</v>
      </c>
      <c r="G61" s="21" t="n">
        <v>226.09</v>
      </c>
      <c r="H61" s="21" t="n">
        <v>233.678</v>
      </c>
      <c r="I61" s="21" t="n">
        <v>221.618</v>
      </c>
      <c r="J61" s="21" t="n">
        <v>236.114</v>
      </c>
      <c r="K61" s="21" t="n">
        <v>304.051</v>
      </c>
      <c r="L61" s="21" t="n">
        <v>186.499</v>
      </c>
      <c r="M61" s="21" t="n">
        <v>179.511</v>
      </c>
      <c r="N61" s="21" t="n">
        <v>287.726</v>
      </c>
      <c r="O61" s="21" t="n">
        <v>268.471</v>
      </c>
      <c r="P61" s="21" t="n">
        <v>270.896</v>
      </c>
      <c r="Q61" s="21" t="n">
        <v>310.379</v>
      </c>
      <c r="R61" s="21" t="n">
        <v>266.651</v>
      </c>
      <c r="S61" s="21" t="n">
        <v>254.035</v>
      </c>
      <c r="T61" s="21" t="n">
        <v>257.444</v>
      </c>
      <c r="U61" s="21" t="n">
        <v>260.876</v>
      </c>
      <c r="V61" s="21" t="n">
        <v>316.987</v>
      </c>
      <c r="W61" s="21" t="n">
        <v>275.926</v>
      </c>
      <c r="X61" s="21" t="n">
        <v>245.425</v>
      </c>
      <c r="Y61" s="21" t="n">
        <v>214.083</v>
      </c>
      <c r="Z61" s="21" t="n">
        <v>217.081</v>
      </c>
      <c r="AA61" s="21" t="n">
        <v>162.704</v>
      </c>
      <c r="AB61" s="21" t="n">
        <v>304.036</v>
      </c>
      <c r="AC61" s="21" t="n">
        <v>146.806</v>
      </c>
      <c r="AD61" s="21" t="n">
        <v>209.568</v>
      </c>
      <c r="AE61" s="21" t="n">
        <v>233.263</v>
      </c>
      <c r="AF61" s="21" t="n">
        <v>191.834</v>
      </c>
      <c r="AG61" s="21" t="n">
        <v>130.379</v>
      </c>
      <c r="AH61" s="21" t="n">
        <v>225.773</v>
      </c>
      <c r="AI61" s="21" t="n">
        <v>231.555</v>
      </c>
      <c r="AJ61" s="21" t="n">
        <v>145.986</v>
      </c>
      <c r="AK61" s="21" t="n">
        <v>234.502</v>
      </c>
      <c r="AL61" s="21" t="n">
        <v>152.095</v>
      </c>
      <c r="AM61" s="21" t="n">
        <v>254.314</v>
      </c>
      <c r="AN61" s="21" t="n">
        <v>225.547</v>
      </c>
      <c r="AO61" s="21" t="n">
        <v>151.211</v>
      </c>
      <c r="AP61" s="21" t="n">
        <v>298.911</v>
      </c>
      <c r="AQ61" s="21" t="n">
        <v>186.119</v>
      </c>
      <c r="AR61" s="21" t="n">
        <v>148.039</v>
      </c>
      <c r="AS61" s="21" t="n">
        <v>214.324</v>
      </c>
      <c r="AT61" s="21" t="n">
        <v>308.156</v>
      </c>
      <c r="AU61" s="21" t="n">
        <v>208.83</v>
      </c>
      <c r="AV61" s="21" t="n">
        <v>222.033</v>
      </c>
      <c r="AW61" s="21" t="n">
        <v>144.201</v>
      </c>
      <c r="AX61" s="21" t="n">
        <v>205.458</v>
      </c>
      <c r="AY61" s="21" t="n">
        <v>148.983</v>
      </c>
      <c r="AZ61" s="21" t="n">
        <v>234.486</v>
      </c>
      <c r="BA61" s="21" t="n">
        <v>222.136</v>
      </c>
      <c r="BB61" s="21" t="n">
        <v>148.179</v>
      </c>
      <c r="BC61" s="21" t="n">
        <v>298.408</v>
      </c>
      <c r="BD61" s="21" t="n">
        <v>345.351</v>
      </c>
      <c r="BE61" s="21" t="n">
        <v>356.658</v>
      </c>
      <c r="BF61" s="21" t="n">
        <v>327.276</v>
      </c>
      <c r="BG61" s="21" t="n">
        <v>197.506</v>
      </c>
      <c r="BH61" s="21" t="n">
        <v>253.412</v>
      </c>
      <c r="BI61" s="21" t="n">
        <v>502.926</v>
      </c>
      <c r="BJ61" s="21" t="n">
        <v>117.058</v>
      </c>
      <c r="BK61" s="21" t="n">
        <v>332.146</v>
      </c>
      <c r="BL61" s="21" t="n">
        <v>371.331</v>
      </c>
      <c r="BM61" s="21" t="n">
        <v>321.759</v>
      </c>
      <c r="BN61" s="21" t="n">
        <v>325.578</v>
      </c>
      <c r="BO61" s="21" t="n">
        <v>332.816</v>
      </c>
      <c r="BP61" s="21" t="n">
        <v>157.18</v>
      </c>
      <c r="BQ61" s="21" t="n">
        <v>164.284</v>
      </c>
      <c r="BR61" s="21" t="n">
        <v>159.891</v>
      </c>
      <c r="BS61" s="21" t="n">
        <v>173.09</v>
      </c>
      <c r="BT61" s="21" t="n">
        <v>144.907</v>
      </c>
      <c r="BU61" s="21" t="n">
        <v>199.535</v>
      </c>
      <c r="BV61" s="21" t="n">
        <v>154.996</v>
      </c>
      <c r="BW61" s="21" t="n">
        <v>171.272</v>
      </c>
      <c r="BX61" s="21" t="n">
        <v>134.215</v>
      </c>
      <c r="BY61" s="21" t="n">
        <v>169.645</v>
      </c>
      <c r="BZ61" s="21" t="n">
        <v>121.587</v>
      </c>
      <c r="CA61" s="21" t="n">
        <v>116.015</v>
      </c>
      <c r="CB61" s="21" t="n">
        <v>191.309</v>
      </c>
      <c r="CC61" s="21" t="n">
        <v>198.832</v>
      </c>
      <c r="CD61" s="21" t="n">
        <v>130.685</v>
      </c>
      <c r="CE61" s="21" t="n">
        <v>211.524</v>
      </c>
      <c r="CF61" s="21" t="n">
        <v>220.581</v>
      </c>
      <c r="CG61" s="21" t="n">
        <v>191.863</v>
      </c>
      <c r="CH61" s="21" t="n">
        <v>150.403</v>
      </c>
      <c r="CI61" s="21" t="n">
        <v>154.625</v>
      </c>
      <c r="CJ61" s="21" t="n">
        <v>224.978</v>
      </c>
      <c r="CK61" s="21" t="n">
        <v>204.623</v>
      </c>
      <c r="CL61" s="21" t="n">
        <v>248.469</v>
      </c>
      <c r="CM61" s="21" t="n">
        <v>293.969</v>
      </c>
      <c r="CN61" s="21" t="n">
        <v>129.856</v>
      </c>
      <c r="CO61" s="21" t="n">
        <v>154.153</v>
      </c>
      <c r="CP61" s="21" t="n">
        <v>226.032</v>
      </c>
      <c r="CQ61" s="21" t="n">
        <v>244.708</v>
      </c>
      <c r="CR61" s="21" t="n">
        <v>165.698</v>
      </c>
      <c r="CS61" s="21" t="n">
        <v>250.086</v>
      </c>
      <c r="CT61" s="21" t="n">
        <v>242.501</v>
      </c>
      <c r="CU61" s="21" t="n">
        <v>155.065</v>
      </c>
      <c r="CV61" s="21" t="n">
        <v>140.679</v>
      </c>
      <c r="CW61" s="21" t="n">
        <v>139.364</v>
      </c>
      <c r="CX61" s="21" t="n">
        <v>277.496</v>
      </c>
      <c r="CY61" s="21" t="n">
        <v>134.828</v>
      </c>
      <c r="CZ61" s="21" t="n">
        <v>131.357</v>
      </c>
      <c r="DA61" s="21" t="n">
        <v>288.078</v>
      </c>
      <c r="DB61" s="21" t="n">
        <v>178.981</v>
      </c>
      <c r="DC61" s="21" t="n">
        <v>183.089</v>
      </c>
      <c r="DD61" s="21" t="n">
        <v>152.15</v>
      </c>
      <c r="DE61" s="21" t="n">
        <v>198.31</v>
      </c>
      <c r="DF61" s="21" t="n">
        <v>252.854</v>
      </c>
      <c r="DG61" s="21" t="n">
        <v>205.115</v>
      </c>
      <c r="DH61" s="21" t="n">
        <v>232.261</v>
      </c>
      <c r="DI61" s="21" t="n">
        <v>191.793</v>
      </c>
      <c r="DJ61" s="21" t="n">
        <v>204.407</v>
      </c>
      <c r="DK61" s="21" t="n">
        <v>187.821</v>
      </c>
      <c r="DL61" s="21" t="n">
        <v>168.734</v>
      </c>
      <c r="DM61" s="21" t="n">
        <v>357.664</v>
      </c>
      <c r="DN61" s="21" t="n">
        <v>192.885</v>
      </c>
      <c r="DO61" s="21" t="n">
        <v>268.86</v>
      </c>
      <c r="DP61" s="21" t="n">
        <v>322.247</v>
      </c>
      <c r="DQ61" s="21" t="n">
        <v>336.418</v>
      </c>
      <c r="DR61" s="21" t="n">
        <v>161.083</v>
      </c>
      <c r="DS61" s="21" t="n">
        <v>568.383</v>
      </c>
      <c r="DT61" s="21" t="n">
        <v>327.896</v>
      </c>
      <c r="DU61" s="21" t="n">
        <v>330.255</v>
      </c>
      <c r="DV61" s="21" t="n">
        <v>330.297</v>
      </c>
      <c r="DW61" s="21" t="n">
        <v>243.23</v>
      </c>
      <c r="DX61" s="21" t="n">
        <v>199.869</v>
      </c>
      <c r="DY61" s="21" t="n">
        <v>286.453</v>
      </c>
      <c r="DZ61" s="21" t="n">
        <v>288.724</v>
      </c>
      <c r="EA61" s="21" t="n">
        <v>332.672</v>
      </c>
      <c r="EB61" s="21" t="n">
        <v>203.046</v>
      </c>
      <c r="EC61" s="21" t="n">
        <v>213.571</v>
      </c>
      <c r="ED61" s="21" t="n">
        <v>168.905</v>
      </c>
      <c r="EE61" s="21" t="n">
        <v>248.024</v>
      </c>
      <c r="EF61" s="21" t="n">
        <v>576.636</v>
      </c>
      <c r="EG61" s="21" t="n">
        <v>486.708</v>
      </c>
      <c r="EH61" s="21" t="n">
        <v>124.082</v>
      </c>
      <c r="EI61" s="21" t="n">
        <v>56.37</v>
      </c>
      <c r="EJ61" s="21" t="n">
        <v>64.161</v>
      </c>
      <c r="EK61" s="21" t="n">
        <v>42.464</v>
      </c>
      <c r="EL61" s="21" t="n">
        <v>113.223</v>
      </c>
      <c r="EM61" s="21" t="n">
        <v>67.684</v>
      </c>
      <c r="EN61" s="21" t="n">
        <v>77.816</v>
      </c>
      <c r="EO61" s="21" t="n">
        <v>80.553</v>
      </c>
      <c r="EP61" s="21" t="n">
        <v>89.295</v>
      </c>
      <c r="EQ61" s="21" t="n">
        <v>69.331</v>
      </c>
      <c r="ER61" s="21" t="n">
        <v>50.358</v>
      </c>
      <c r="ES61" s="21" t="n">
        <v>131.308</v>
      </c>
      <c r="ET61" s="21" t="n">
        <v>80.086</v>
      </c>
      <c r="EU61" s="21" t="n">
        <v>90.42</v>
      </c>
      <c r="EV61" s="21" t="n">
        <v>98.306</v>
      </c>
      <c r="EW61" s="21" t="n">
        <v>87.217</v>
      </c>
      <c r="EX61" s="21" t="n">
        <v>190.155</v>
      </c>
      <c r="EY61" s="21" t="n">
        <v>121.04</v>
      </c>
      <c r="EZ61" s="21" t="n">
        <v>117.796</v>
      </c>
      <c r="FA61" s="21" t="n">
        <v>170.734</v>
      </c>
      <c r="FB61" s="21" t="n">
        <v>122.859</v>
      </c>
      <c r="FC61" s="21" t="n">
        <v>116.38</v>
      </c>
      <c r="FD61" s="21" t="n">
        <v>117.998</v>
      </c>
      <c r="FE61" s="21" t="n">
        <v>102.539</v>
      </c>
      <c r="FF61" s="21" t="n">
        <v>155.588</v>
      </c>
      <c r="FG61" s="21" t="n">
        <v>74.256</v>
      </c>
      <c r="FH61" s="21" t="n">
        <v>117.723</v>
      </c>
      <c r="FI61" s="21" t="n">
        <v>107.585</v>
      </c>
      <c r="FJ61" s="21" t="n">
        <v>105.324</v>
      </c>
      <c r="FK61" s="21" t="n">
        <v>107.268</v>
      </c>
      <c r="FL61" s="21" t="n">
        <v>100.043</v>
      </c>
      <c r="FM61" s="21" t="n">
        <v>111.649</v>
      </c>
      <c r="FN61" s="21" t="n">
        <v>74.35299999999999</v>
      </c>
      <c r="FO61" s="21" t="n">
        <v>104.06</v>
      </c>
      <c r="FP61" s="21" t="n">
        <v>95.623</v>
      </c>
      <c r="FQ61" s="21" t="n">
        <v>137.267</v>
      </c>
      <c r="FR61" s="21" t="n">
        <v>138.699</v>
      </c>
      <c r="FS61" s="21" t="n">
        <v>155.829</v>
      </c>
      <c r="FT61" s="21" t="n">
        <v>124.743</v>
      </c>
      <c r="FU61" s="21" t="n">
        <v>117.406</v>
      </c>
      <c r="FV61" s="21" t="n">
        <v>171.623</v>
      </c>
      <c r="FW61" s="21" t="n">
        <v>137.653</v>
      </c>
      <c r="FX61" s="21" t="n">
        <v>170.026</v>
      </c>
      <c r="FY61" s="21" t="n">
        <v>213.354</v>
      </c>
      <c r="FZ61" s="21" t="n">
        <v>209.193</v>
      </c>
      <c r="GA61" s="21" t="n">
        <v>99.63</v>
      </c>
      <c r="GB61" s="21" t="n">
        <v>147.316</v>
      </c>
      <c r="GC61" s="21" t="n">
        <v>101.49</v>
      </c>
      <c r="GD61" s="21" t="n">
        <v>143.128</v>
      </c>
      <c r="GE61" s="21" t="n">
        <v>157.019</v>
      </c>
      <c r="GF61" s="21" t="n"/>
      <c r="GG61" s="21" t="n">
        <v>140.088</v>
      </c>
      <c r="GH61" s="21" t="n">
        <v>85.23999999999999</v>
      </c>
      <c r="GI61" s="21" t="n">
        <v>136.337</v>
      </c>
      <c r="GJ61" s="21" t="n">
        <v>245.346</v>
      </c>
      <c r="GK61" s="21" t="n">
        <v>244.197</v>
      </c>
      <c r="GL61" s="21" t="n">
        <v>239.102</v>
      </c>
      <c r="GM61" s="21" t="n">
        <v>263.523</v>
      </c>
      <c r="GN61" s="21" t="n">
        <v>259.59</v>
      </c>
      <c r="GO61" s="21" t="n">
        <v>223.376</v>
      </c>
      <c r="GP61" s="21" t="n">
        <v>147.757</v>
      </c>
      <c r="GQ61" s="21" t="n">
        <v>125.542</v>
      </c>
      <c r="GR61" s="21" t="n">
        <v>299.614</v>
      </c>
      <c r="GS61" s="21" t="n">
        <v>180.348</v>
      </c>
      <c r="GT61" s="21" t="n">
        <v>573.282</v>
      </c>
      <c r="GU61" s="21" t="n">
        <v>214.472</v>
      </c>
      <c r="GV61" s="21" t="n">
        <v>240.838</v>
      </c>
      <c r="GW61" s="21" t="n">
        <v>260.116</v>
      </c>
      <c r="GX61" s="21" t="n">
        <v>267.214</v>
      </c>
      <c r="GY61" s="21" t="n">
        <v>156.501</v>
      </c>
      <c r="GZ61" s="21" t="n">
        <v>112.085</v>
      </c>
      <c r="HA61" s="21" t="n">
        <v>62.402</v>
      </c>
      <c r="HB61" s="21" t="n">
        <v>510.875</v>
      </c>
      <c r="HC61" s="21" t="n">
        <v>387.533</v>
      </c>
      <c r="HD61" s="21" t="n">
        <v>126.875</v>
      </c>
      <c r="HE61" s="21" t="n">
        <v>537.946</v>
      </c>
      <c r="HF61" s="21" t="n">
        <v>97.358</v>
      </c>
      <c r="HG61" s="21" t="n">
        <v>550.659</v>
      </c>
      <c r="HH61" s="21" t="n">
        <v>385.514</v>
      </c>
      <c r="HI61" s="21" t="n">
        <v>385.092</v>
      </c>
      <c r="HJ61" s="21" t="n">
        <v>502.425</v>
      </c>
      <c r="HK61" s="21" t="n">
        <v>192.205</v>
      </c>
      <c r="HL61" s="21" t="n">
        <v>240.138</v>
      </c>
      <c r="HM61" s="21" t="n">
        <v>81.812</v>
      </c>
      <c r="HN61" s="21" t="n">
        <v>344.933</v>
      </c>
      <c r="HO61" s="21" t="n">
        <v>336.525</v>
      </c>
      <c r="HP61" s="21" t="n">
        <v>757.749</v>
      </c>
      <c r="HQ61" s="21" t="n">
        <v>238.391</v>
      </c>
      <c r="HR61" s="21" t="n">
        <v>121.856</v>
      </c>
      <c r="HS61" s="21" t="n">
        <v>106.11</v>
      </c>
      <c r="HT61" s="21" t="n">
        <v>139.869</v>
      </c>
      <c r="HU61" s="21" t="n">
        <v>491.994</v>
      </c>
      <c r="HV61" s="21" t="n">
        <v>121.444</v>
      </c>
      <c r="HW61" s="21" t="n">
        <v>26.294</v>
      </c>
      <c r="HX61" s="21" t="n">
        <v>180.308</v>
      </c>
      <c r="HY61" s="21" t="n">
        <v>205.683</v>
      </c>
      <c r="HZ61" s="21" t="n">
        <v>156.207</v>
      </c>
      <c r="IA61" s="21" t="n">
        <v>118.921</v>
      </c>
      <c r="IB61" s="21" t="n">
        <v>258.099</v>
      </c>
      <c r="IC61" s="21" t="n">
        <v>198.701</v>
      </c>
      <c r="ID61" s="21" t="n">
        <v>272.146</v>
      </c>
      <c r="IE61" s="21" t="n">
        <v>113.537</v>
      </c>
      <c r="IF61" s="21" t="n">
        <v>157.706</v>
      </c>
      <c r="IG61" s="21" t="n">
        <v>76.94199999999999</v>
      </c>
      <c r="IH61" s="21" t="n">
        <v>73.105</v>
      </c>
      <c r="II61" s="21" t="n">
        <v>53.843</v>
      </c>
      <c r="IJ61" s="21" t="n">
        <v>22.301</v>
      </c>
      <c r="IK61" s="21" t="n">
        <v>34.219</v>
      </c>
      <c r="IL61" s="21" t="n">
        <v>30.029</v>
      </c>
      <c r="IM61" s="21" t="n">
        <v>37.557</v>
      </c>
      <c r="IN61" s="21" t="n">
        <v>98.893</v>
      </c>
      <c r="IO61" s="21" t="n">
        <v>102.629</v>
      </c>
      <c r="IP61" s="21" t="n">
        <v>173.887</v>
      </c>
      <c r="IQ61" s="21" t="n">
        <v>145.706</v>
      </c>
      <c r="IR61" s="21" t="n">
        <v>392.439</v>
      </c>
      <c r="IS61" s="21" t="n">
        <v>187.226</v>
      </c>
      <c r="IT61" s="21" t="n">
        <v>235.763</v>
      </c>
      <c r="IU61" s="21" t="n">
        <v>320.252</v>
      </c>
      <c r="IV61" s="21" t="n">
        <v>259.783</v>
      </c>
      <c r="IW61" s="21" t="n">
        <v>138.719</v>
      </c>
      <c r="IX61" s="21" t="n">
        <v>268.092</v>
      </c>
      <c r="IY61" s="21" t="n">
        <v>681.151</v>
      </c>
      <c r="IZ61" s="21" t="n">
        <v>769.698</v>
      </c>
      <c r="JA61" s="21" t="n">
        <v>870.663</v>
      </c>
      <c r="JB61" s="21" t="n">
        <v>83.733</v>
      </c>
      <c r="JC61" s="21" t="n">
        <v>307.51</v>
      </c>
      <c r="JD61" s="21" t="n">
        <v>254.64</v>
      </c>
      <c r="JE61" s="21" t="n">
        <v>73.566</v>
      </c>
      <c r="JF61" s="21" t="n">
        <v>197.528</v>
      </c>
      <c r="JG61" s="21" t="n">
        <v>310.053</v>
      </c>
      <c r="JH61" s="21" t="n">
        <v>325.522</v>
      </c>
      <c r="JI61" s="21" t="n">
        <v>69.532</v>
      </c>
      <c r="JJ61" s="21" t="n">
        <v>109.304</v>
      </c>
      <c r="JK61" s="21" t="n">
        <v>38.001</v>
      </c>
      <c r="JL61" s="21" t="n">
        <v>78.133</v>
      </c>
      <c r="JM61" s="21" t="n">
        <v>197.913</v>
      </c>
      <c r="JN61" s="21" t="n">
        <v>456.843</v>
      </c>
      <c r="JO61" s="21" t="n">
        <v>71.98399999999999</v>
      </c>
      <c r="JP61" s="21" t="n">
        <v>468.309</v>
      </c>
      <c r="JQ61" s="21" t="n">
        <v>236.248</v>
      </c>
      <c r="JR61" s="21" t="n">
        <v>159.352</v>
      </c>
      <c r="JS61" s="21" t="n">
        <v>452.586</v>
      </c>
      <c r="JT61" s="21" t="n">
        <v>364.384</v>
      </c>
      <c r="JU61" s="21" t="n">
        <v>341.837</v>
      </c>
      <c r="JV61" s="21" t="n">
        <v>178.513</v>
      </c>
      <c r="JW61" s="21" t="n">
        <v>367.351</v>
      </c>
      <c r="JX61" s="21" t="n">
        <v>256.19</v>
      </c>
      <c r="JY61" s="21" t="n">
        <v>76.26900000000001</v>
      </c>
      <c r="JZ61" s="21" t="n">
        <v>157.697</v>
      </c>
      <c r="KA61" s="21" t="n">
        <v>246.537</v>
      </c>
      <c r="KB61" s="21" t="n">
        <v>264.47</v>
      </c>
      <c r="KC61" s="21" t="n">
        <v>258.322</v>
      </c>
      <c r="KD61" s="21" t="n">
        <v>266.02</v>
      </c>
      <c r="KE61" s="21" t="n">
        <v>236.755</v>
      </c>
      <c r="KF61" s="21" t="n">
        <v>230.514</v>
      </c>
      <c r="KG61" s="21" t="n">
        <v>234.827</v>
      </c>
      <c r="KH61" s="21" t="n">
        <v>240.691</v>
      </c>
      <c r="KI61" s="21" t="n">
        <v>115.021</v>
      </c>
      <c r="KJ61" s="21" t="n">
        <v>186.909</v>
      </c>
      <c r="KK61" s="21" t="n">
        <v>154.296</v>
      </c>
      <c r="KL61" s="21" t="n">
        <v>150.907</v>
      </c>
      <c r="KM61" s="21" t="n">
        <v>144.38</v>
      </c>
      <c r="KN61" s="21" t="n">
        <v>145.477</v>
      </c>
      <c r="KO61" s="21" t="n">
        <v>249.635</v>
      </c>
      <c r="KP61" s="21" t="n">
        <v>104.362</v>
      </c>
      <c r="KQ61" s="21" t="n">
        <v>69.39</v>
      </c>
      <c r="KR61" s="21" t="n">
        <v>112.069</v>
      </c>
      <c r="KS61" s="21" t="n">
        <v>221.18</v>
      </c>
      <c r="KT61" s="21" t="n">
        <v>249.366</v>
      </c>
      <c r="KU61" s="21" t="n">
        <v>90.64</v>
      </c>
      <c r="KV61" s="21" t="n">
        <v>49.45</v>
      </c>
      <c r="KW61" s="21" t="n">
        <v>229.191</v>
      </c>
      <c r="KX61" s="21" t="n">
        <v>202.561</v>
      </c>
      <c r="KY61" s="21" t="n">
        <v>250.342</v>
      </c>
      <c r="KZ61" s="21" t="n">
        <v>199.418</v>
      </c>
      <c r="LA61" s="21" t="n">
        <v>251.298</v>
      </c>
      <c r="LB61" s="21" t="n">
        <v>115.404</v>
      </c>
      <c r="LC61" s="21" t="n">
        <v>363.327</v>
      </c>
      <c r="LD61" s="21" t="n">
        <v>79.616</v>
      </c>
      <c r="LE61" s="21" t="n">
        <v>126.441</v>
      </c>
      <c r="LF61" s="21" t="n">
        <v>335.994</v>
      </c>
      <c r="LG61" s="21" t="n">
        <v>329.354</v>
      </c>
      <c r="LH61" s="21" t="n">
        <v>342.021</v>
      </c>
      <c r="LI61" s="21" t="n">
        <v>312.517</v>
      </c>
      <c r="LJ61" s="21" t="n">
        <v>347.103</v>
      </c>
      <c r="LK61" s="21" t="n">
        <v>105.151</v>
      </c>
      <c r="LL61" s="21" t="n">
        <v>326.555</v>
      </c>
      <c r="LM61" s="21" t="n">
        <v>219.636</v>
      </c>
      <c r="LN61" s="21" t="n">
        <v>37.346</v>
      </c>
      <c r="LO61" s="21" t="n">
        <v>130.537</v>
      </c>
    </row>
    <row r="62">
      <c r="A62" s="22" t="n">
        <v>43831</v>
      </c>
      <c r="B62" s="21" t="n">
        <v>259.127</v>
      </c>
      <c r="C62" s="21" t="n">
        <v>260.858</v>
      </c>
      <c r="D62" s="21" t="n">
        <v>261.293</v>
      </c>
      <c r="E62" s="21" t="n">
        <v>243.511</v>
      </c>
      <c r="F62" s="21" t="n">
        <v>276.557</v>
      </c>
      <c r="G62" s="21" t="n">
        <v>227.728</v>
      </c>
      <c r="H62" s="21" t="n">
        <v>234.422</v>
      </c>
      <c r="I62" s="21" t="n">
        <v>219.421</v>
      </c>
      <c r="J62" s="21" t="n">
        <v>239.623</v>
      </c>
      <c r="K62" s="21" t="n">
        <v>304.479</v>
      </c>
      <c r="L62" s="21" t="n">
        <v>185.053</v>
      </c>
      <c r="M62" s="21" t="n">
        <v>178.249</v>
      </c>
      <c r="N62" s="21" t="n">
        <v>292.549</v>
      </c>
      <c r="O62" s="21" t="n">
        <v>271.855</v>
      </c>
      <c r="P62" s="21" t="n">
        <v>267.345</v>
      </c>
      <c r="Q62" s="21" t="n">
        <v>303.493</v>
      </c>
      <c r="R62" s="21" t="n">
        <v>268.323</v>
      </c>
      <c r="S62" s="21" t="n">
        <v>254.63</v>
      </c>
      <c r="T62" s="21" t="n">
        <v>258.386</v>
      </c>
      <c r="U62" s="21" t="n">
        <v>261.972</v>
      </c>
      <c r="V62" s="21" t="n">
        <v>317.273</v>
      </c>
      <c r="W62" s="21" t="n">
        <v>277.71</v>
      </c>
      <c r="X62" s="21" t="n">
        <v>244.719</v>
      </c>
      <c r="Y62" s="21" t="n">
        <v>213.463</v>
      </c>
      <c r="Z62" s="21" t="n">
        <v>218.192</v>
      </c>
      <c r="AA62" s="21" t="n">
        <v>164.295</v>
      </c>
      <c r="AB62" s="21" t="n">
        <v>306.181</v>
      </c>
      <c r="AC62" s="21" t="n">
        <v>150.014</v>
      </c>
      <c r="AD62" s="21" t="n">
        <v>210.585</v>
      </c>
      <c r="AE62" s="21" t="n">
        <v>234.169</v>
      </c>
      <c r="AF62" s="21" t="n">
        <v>188.587</v>
      </c>
      <c r="AG62" s="21" t="n">
        <v>129.331</v>
      </c>
      <c r="AH62" s="21" t="n">
        <v>227.868</v>
      </c>
      <c r="AI62" s="21" t="n">
        <v>241.106</v>
      </c>
      <c r="AJ62" s="21" t="n">
        <v>146.352</v>
      </c>
      <c r="AK62" s="21" t="n">
        <v>234.435</v>
      </c>
      <c r="AL62" s="21" t="n">
        <v>151.286</v>
      </c>
      <c r="AM62" s="21" t="n">
        <v>252.626</v>
      </c>
      <c r="AN62" s="21" t="n">
        <v>224.723</v>
      </c>
      <c r="AO62" s="21" t="n">
        <v>150.779</v>
      </c>
      <c r="AP62" s="21" t="n">
        <v>300.844</v>
      </c>
      <c r="AQ62" s="21" t="n">
        <v>188.896</v>
      </c>
      <c r="AR62" s="21" t="n">
        <v>149.021</v>
      </c>
      <c r="AS62" s="21" t="n">
        <v>216.181</v>
      </c>
      <c r="AT62" s="21" t="n">
        <v>308.515</v>
      </c>
      <c r="AU62" s="21" t="n">
        <v>205.427</v>
      </c>
      <c r="AV62" s="21" t="n">
        <v>223.035</v>
      </c>
      <c r="AW62" s="21" t="n">
        <v>146.652</v>
      </c>
      <c r="AX62" s="21" t="n">
        <v>209.253</v>
      </c>
      <c r="AY62" s="21" t="n">
        <v>151.053</v>
      </c>
      <c r="AZ62" s="21" t="n">
        <v>233.932</v>
      </c>
      <c r="BA62" s="21" t="n">
        <v>224.441</v>
      </c>
      <c r="BB62" s="21" t="n">
        <v>147.57</v>
      </c>
      <c r="BC62" s="21" t="n">
        <v>300.165</v>
      </c>
      <c r="BD62" s="21" t="n">
        <v>347.643</v>
      </c>
      <c r="BE62" s="21" t="n">
        <v>351.551</v>
      </c>
      <c r="BF62" s="21" t="n">
        <v>324.525</v>
      </c>
      <c r="BG62" s="21" t="n">
        <v>195.848</v>
      </c>
      <c r="BH62" s="21" t="n">
        <v>247.818</v>
      </c>
      <c r="BI62" s="21" t="n">
        <v>491.67</v>
      </c>
      <c r="BJ62" s="21" t="n">
        <v>116.281</v>
      </c>
      <c r="BK62" s="21" t="n">
        <v>342.008</v>
      </c>
      <c r="BL62" s="21" t="n">
        <v>374.203</v>
      </c>
      <c r="BM62" s="21" t="n">
        <v>333.505</v>
      </c>
      <c r="BN62" s="21" t="n">
        <v>343.457</v>
      </c>
      <c r="BO62" s="21" t="n">
        <v>338.158</v>
      </c>
      <c r="BP62" s="21" t="n">
        <v>157.674</v>
      </c>
      <c r="BQ62" s="21" t="n">
        <v>164.618</v>
      </c>
      <c r="BR62" s="21" t="n">
        <v>159.999</v>
      </c>
      <c r="BS62" s="21" t="n">
        <v>173.331</v>
      </c>
      <c r="BT62" s="21" t="n">
        <v>146.347</v>
      </c>
      <c r="BU62" s="21" t="n">
        <v>202.266</v>
      </c>
      <c r="BV62" s="21" t="n">
        <v>155.79</v>
      </c>
      <c r="BW62" s="21" t="n">
        <v>171.569</v>
      </c>
      <c r="BX62" s="21" t="n">
        <v>134.512</v>
      </c>
      <c r="BY62" s="21" t="n">
        <v>170.625</v>
      </c>
      <c r="BZ62" s="21" t="n">
        <v>121.925</v>
      </c>
      <c r="CA62" s="21" t="n">
        <v>115.879</v>
      </c>
      <c r="CB62" s="21" t="n">
        <v>191.4</v>
      </c>
      <c r="CC62" s="21" t="n">
        <v>199.555</v>
      </c>
      <c r="CD62" s="21" t="n">
        <v>129.74</v>
      </c>
      <c r="CE62" s="21" t="n">
        <v>211.796</v>
      </c>
      <c r="CF62" s="21" t="n">
        <v>224.796</v>
      </c>
      <c r="CG62" s="21" t="n">
        <v>194.314</v>
      </c>
      <c r="CH62" s="21" t="n">
        <v>153.155</v>
      </c>
      <c r="CI62" s="21" t="n">
        <v>155.782</v>
      </c>
      <c r="CJ62" s="21" t="n">
        <v>226.956</v>
      </c>
      <c r="CK62" s="21" t="n">
        <v>208.112</v>
      </c>
      <c r="CL62" s="21" t="n">
        <v>251.439</v>
      </c>
      <c r="CM62" s="21" t="n">
        <v>303.426</v>
      </c>
      <c r="CN62" s="21" t="n">
        <v>130.872</v>
      </c>
      <c r="CO62" s="21" t="n">
        <v>154.533</v>
      </c>
      <c r="CP62" s="21" t="n">
        <v>225.339</v>
      </c>
      <c r="CQ62" s="21" t="n">
        <v>246.586</v>
      </c>
      <c r="CR62" s="21" t="n">
        <v>167.722</v>
      </c>
      <c r="CS62" s="21" t="n">
        <v>250.288</v>
      </c>
      <c r="CT62" s="21" t="n">
        <v>242.728</v>
      </c>
      <c r="CU62" s="21" t="n">
        <v>155.35</v>
      </c>
      <c r="CV62" s="21" t="n">
        <v>146.786</v>
      </c>
      <c r="CW62" s="21" t="n">
        <v>139.171</v>
      </c>
      <c r="CX62" s="21" t="n">
        <v>275.998</v>
      </c>
      <c r="CY62" s="21" t="n">
        <v>132.912</v>
      </c>
      <c r="CZ62" s="21" t="n">
        <v>131.537</v>
      </c>
      <c r="DA62" s="21" t="n">
        <v>289.137</v>
      </c>
      <c r="DB62" s="21" t="n">
        <v>179.613</v>
      </c>
      <c r="DC62" s="21" t="n">
        <v>183.357</v>
      </c>
      <c r="DD62" s="21" t="n">
        <v>152.124</v>
      </c>
      <c r="DE62" s="21" t="n">
        <v>198.249</v>
      </c>
      <c r="DF62" s="21" t="n">
        <v>253.592</v>
      </c>
      <c r="DG62" s="21" t="n">
        <v>206.014</v>
      </c>
      <c r="DH62" s="21" t="n">
        <v>233.964</v>
      </c>
      <c r="DI62" s="21" t="n">
        <v>193.892</v>
      </c>
      <c r="DJ62" s="21" t="n">
        <v>207.422</v>
      </c>
      <c r="DK62" s="21" t="n">
        <v>189.638</v>
      </c>
      <c r="DL62" s="21" t="n">
        <v>169.992</v>
      </c>
      <c r="DM62" s="21" t="n">
        <v>358.947</v>
      </c>
      <c r="DN62" s="21" t="n">
        <v>193.331</v>
      </c>
      <c r="DO62" s="21" t="n">
        <v>269.689</v>
      </c>
      <c r="DP62" s="21" t="n">
        <v>323.487</v>
      </c>
      <c r="DQ62" s="21" t="n">
        <v>337.591</v>
      </c>
      <c r="DR62" s="21" t="n">
        <v>163.816</v>
      </c>
      <c r="DS62" s="21" t="n">
        <v>569.692</v>
      </c>
      <c r="DT62" s="21" t="n">
        <v>333.896</v>
      </c>
      <c r="DU62" s="21" t="n">
        <v>331.327</v>
      </c>
      <c r="DV62" s="21" t="n">
        <v>331.372</v>
      </c>
      <c r="DW62" s="21" t="n">
        <v>243.472</v>
      </c>
      <c r="DX62" s="21" t="n">
        <v>199.927</v>
      </c>
      <c r="DY62" s="21" t="n">
        <v>281.221</v>
      </c>
      <c r="DZ62" s="21" t="n">
        <v>282.016</v>
      </c>
      <c r="EA62" s="21" t="n">
        <v>324.423</v>
      </c>
      <c r="EB62" s="21" t="n">
        <v>203.305</v>
      </c>
      <c r="EC62" s="21" t="n">
        <v>213.531</v>
      </c>
      <c r="ED62" s="21" t="n">
        <v>169.867</v>
      </c>
      <c r="EE62" s="21" t="n">
        <v>248.846</v>
      </c>
      <c r="EF62" s="21" t="n">
        <v>577.441</v>
      </c>
      <c r="EG62" s="21" t="n">
        <v>491.003</v>
      </c>
      <c r="EH62" s="21" t="n">
        <v>124.009</v>
      </c>
      <c r="EI62" s="21" t="n">
        <v>56.898</v>
      </c>
      <c r="EJ62" s="21" t="n">
        <v>65.554</v>
      </c>
      <c r="EK62" s="21" t="n">
        <v>43.167</v>
      </c>
      <c r="EL62" s="21" t="n">
        <v>113.491</v>
      </c>
      <c r="EM62" s="21" t="n">
        <v>67.92700000000001</v>
      </c>
      <c r="EN62" s="21" t="n">
        <v>76.94</v>
      </c>
      <c r="EO62" s="21" t="n">
        <v>81.533</v>
      </c>
      <c r="EP62" s="21" t="n">
        <v>88.843</v>
      </c>
      <c r="EQ62" s="21" t="n">
        <v>67.64100000000001</v>
      </c>
      <c r="ER62" s="21" t="n">
        <v>50.006</v>
      </c>
      <c r="ES62" s="21" t="n">
        <v>130.071</v>
      </c>
      <c r="ET62" s="21" t="n">
        <v>80.502</v>
      </c>
      <c r="EU62" s="21" t="n">
        <v>90.925</v>
      </c>
      <c r="EV62" s="21" t="n">
        <v>98.65300000000001</v>
      </c>
      <c r="EW62" s="21" t="n">
        <v>87.461</v>
      </c>
      <c r="EX62" s="21" t="n">
        <v>189.899</v>
      </c>
      <c r="EY62" s="21" t="n">
        <v>120.977</v>
      </c>
      <c r="EZ62" s="21" t="n">
        <v>118.036</v>
      </c>
      <c r="FA62" s="21" t="n">
        <v>173.603</v>
      </c>
      <c r="FB62" s="21" t="n">
        <v>122.477</v>
      </c>
      <c r="FC62" s="21" t="n">
        <v>117.342</v>
      </c>
      <c r="FD62" s="21" t="n">
        <v>120.46</v>
      </c>
      <c r="FE62" s="21" t="n">
        <v>103.405</v>
      </c>
      <c r="FF62" s="21" t="n">
        <v>159.937</v>
      </c>
      <c r="FG62" s="21" t="n">
        <v>73.633</v>
      </c>
      <c r="FH62" s="21" t="n">
        <v>122.977</v>
      </c>
      <c r="FI62" s="21" t="n">
        <v>102.238</v>
      </c>
      <c r="FJ62" s="21" t="n">
        <v>104.283</v>
      </c>
      <c r="FK62" s="21" t="n">
        <v>106.038</v>
      </c>
      <c r="FL62" s="21" t="n">
        <v>96.54300000000001</v>
      </c>
      <c r="FM62" s="21" t="n">
        <v>109.385</v>
      </c>
      <c r="FN62" s="21" t="n">
        <v>72.92100000000001</v>
      </c>
      <c r="FO62" s="21" t="n">
        <v>105.792</v>
      </c>
      <c r="FP62" s="21" t="n">
        <v>95.672</v>
      </c>
      <c r="FQ62" s="21" t="n">
        <v>137.088</v>
      </c>
      <c r="FR62" s="21" t="n">
        <v>140.46</v>
      </c>
      <c r="FS62" s="21" t="n">
        <v>155.679</v>
      </c>
      <c r="FT62" s="21" t="n">
        <v>125.717</v>
      </c>
      <c r="FU62" s="21" t="n">
        <v>117.223</v>
      </c>
      <c r="FV62" s="21" t="n">
        <v>171.27</v>
      </c>
      <c r="FW62" s="21" t="n">
        <v>140.923</v>
      </c>
      <c r="FX62" s="21" t="n">
        <v>168.711</v>
      </c>
      <c r="FY62" s="21" t="n">
        <v>213.14</v>
      </c>
      <c r="FZ62" s="21" t="n">
        <v>208.713</v>
      </c>
      <c r="GA62" s="21" t="n">
        <v>99.666</v>
      </c>
      <c r="GB62" s="21" t="n">
        <v>147.877</v>
      </c>
      <c r="GC62" s="21" t="n">
        <v>101.65</v>
      </c>
      <c r="GD62" s="21" t="n">
        <v>143.991</v>
      </c>
      <c r="GE62" s="21" t="n">
        <v>157.438</v>
      </c>
      <c r="GF62" s="21" t="n"/>
      <c r="GG62" s="21" t="n">
        <v>139.424</v>
      </c>
      <c r="GH62" s="21" t="n">
        <v>85.101</v>
      </c>
      <c r="GI62" s="21" t="n">
        <v>138.814</v>
      </c>
      <c r="GJ62" s="21" t="n">
        <v>243.629</v>
      </c>
      <c r="GK62" s="21" t="n">
        <v>242.397</v>
      </c>
      <c r="GL62" s="21" t="n">
        <v>237.175</v>
      </c>
      <c r="GM62" s="21" t="n">
        <v>262.851</v>
      </c>
      <c r="GN62" s="21" t="n">
        <v>257.814</v>
      </c>
      <c r="GO62" s="21" t="n">
        <v>222.092</v>
      </c>
      <c r="GP62" s="21" t="n">
        <v>148.335</v>
      </c>
      <c r="GQ62" s="21" t="n">
        <v>125.288</v>
      </c>
      <c r="GR62" s="21" t="n">
        <v>300.112</v>
      </c>
      <c r="GS62" s="21" t="n">
        <v>181.305</v>
      </c>
      <c r="GT62" s="21" t="n">
        <v>572.109</v>
      </c>
      <c r="GU62" s="21" t="n">
        <v>214.92</v>
      </c>
      <c r="GV62" s="21" t="n">
        <v>241.18</v>
      </c>
      <c r="GW62" s="21" t="n">
        <v>263.037</v>
      </c>
      <c r="GX62" s="21" t="n">
        <v>268.668</v>
      </c>
      <c r="GY62" s="21" t="n">
        <v>157.284</v>
      </c>
      <c r="GZ62" s="21" t="n"/>
      <c r="HA62" s="21" t="n">
        <v>62.558</v>
      </c>
      <c r="HB62" s="21" t="n">
        <v>511.854</v>
      </c>
      <c r="HC62" s="21" t="n">
        <v>386.331</v>
      </c>
      <c r="HD62" s="21" t="n">
        <v>126.512</v>
      </c>
      <c r="HE62" s="21" t="n">
        <v>538.154</v>
      </c>
      <c r="HF62" s="21" t="n">
        <v>96.95</v>
      </c>
      <c r="HG62" s="21" t="n">
        <v>552.331</v>
      </c>
      <c r="HH62" s="21" t="n">
        <v>385.099</v>
      </c>
      <c r="HI62" s="21" t="n">
        <v>384.715</v>
      </c>
      <c r="HJ62" s="21" t="n">
        <v>502.094</v>
      </c>
      <c r="HK62" s="21" t="n">
        <v>192.022</v>
      </c>
      <c r="HL62" s="21" t="n">
        <v>240.585</v>
      </c>
      <c r="HM62" s="21" t="n">
        <v>82.75700000000001</v>
      </c>
      <c r="HN62" s="21" t="n">
        <v>349.152</v>
      </c>
      <c r="HO62" s="21" t="n">
        <v>340.435</v>
      </c>
      <c r="HP62" s="21" t="n">
        <v>768.845</v>
      </c>
      <c r="HQ62" s="21" t="n">
        <v>238.231</v>
      </c>
      <c r="HR62" s="21" t="n">
        <v>121.994</v>
      </c>
      <c r="HS62" s="21" t="n">
        <v>106.039</v>
      </c>
      <c r="HT62" s="21" t="n">
        <v>137.728</v>
      </c>
      <c r="HU62" s="21" t="n">
        <v>493.116</v>
      </c>
      <c r="HV62" s="21" t="n">
        <v>119.695</v>
      </c>
      <c r="HW62" s="21" t="n">
        <v>26.346</v>
      </c>
      <c r="HX62" s="21" t="n">
        <v>180.559</v>
      </c>
      <c r="HY62" s="21" t="n">
        <v>205.46</v>
      </c>
      <c r="HZ62" s="21" t="n">
        <v>155.686</v>
      </c>
      <c r="IA62" s="21" t="n">
        <v>119.197</v>
      </c>
      <c r="IB62" s="21" t="n">
        <v>259.214</v>
      </c>
      <c r="IC62" s="21" t="n">
        <v>199.323</v>
      </c>
      <c r="ID62" s="21" t="n">
        <v>272.86</v>
      </c>
      <c r="IE62" s="21" t="n">
        <v>113.971</v>
      </c>
      <c r="IF62" s="21" t="n">
        <v>158.651</v>
      </c>
      <c r="IG62" s="21" t="n">
        <v>76.943</v>
      </c>
      <c r="IH62" s="21" t="n">
        <v>73.61199999999999</v>
      </c>
      <c r="II62" s="21" t="n">
        <v>54.832</v>
      </c>
      <c r="IJ62" s="21" t="n">
        <v>22.498</v>
      </c>
      <c r="IK62" s="21" t="n">
        <v>34.162</v>
      </c>
      <c r="IL62" s="21" t="n">
        <v>29.92</v>
      </c>
      <c r="IM62" s="21" t="n">
        <v>37.544</v>
      </c>
      <c r="IN62" s="21" t="n">
        <v>99.282</v>
      </c>
      <c r="IO62" s="21" t="n">
        <v>103.043</v>
      </c>
      <c r="IP62" s="21" t="n">
        <v>174.233</v>
      </c>
      <c r="IQ62" s="21" t="n">
        <v>145.817</v>
      </c>
      <c r="IR62" s="21" t="n">
        <v>393.525</v>
      </c>
      <c r="IS62" s="21" t="n">
        <v>187.781</v>
      </c>
      <c r="IT62" s="21" t="n">
        <v>236.789</v>
      </c>
      <c r="IU62" s="21" t="n">
        <v>320.779</v>
      </c>
      <c r="IV62" s="21" t="n">
        <v>263.407</v>
      </c>
      <c r="IW62" s="21" t="n">
        <v>139.118</v>
      </c>
      <c r="IX62" s="21" t="n">
        <v>268.738</v>
      </c>
      <c r="IY62" s="21" t="n">
        <v>664.948</v>
      </c>
      <c r="IZ62" s="21" t="n">
        <v>772.322</v>
      </c>
      <c r="JA62" s="21" t="n">
        <v>874.071</v>
      </c>
      <c r="JB62" s="21" t="n">
        <v>84.003</v>
      </c>
      <c r="JC62" s="21" t="n">
        <v>308.335</v>
      </c>
      <c r="JD62" s="21" t="n">
        <v>255.847</v>
      </c>
      <c r="JE62" s="21" t="n">
        <v>73.8</v>
      </c>
      <c r="JF62" s="21" t="n">
        <v>198.585</v>
      </c>
      <c r="JG62" s="21" t="n">
        <v>312.389</v>
      </c>
      <c r="JH62" s="21" t="n">
        <v>321.223</v>
      </c>
      <c r="JI62" s="21" t="n">
        <v>69.75</v>
      </c>
      <c r="JJ62" s="21" t="n">
        <v>109.737</v>
      </c>
      <c r="JK62" s="21" t="n">
        <v>37.728</v>
      </c>
      <c r="JL62" s="21" t="n">
        <v>78.839</v>
      </c>
      <c r="JM62" s="21" t="n">
        <v>196.755</v>
      </c>
      <c r="JN62" s="21" t="n">
        <v>458.792</v>
      </c>
      <c r="JO62" s="21" t="n">
        <v>72.176</v>
      </c>
      <c r="JP62" s="21" t="n">
        <v>469.963</v>
      </c>
      <c r="JQ62" s="21" t="n">
        <v>237.314</v>
      </c>
      <c r="JR62" s="21" t="n">
        <v>159.47</v>
      </c>
      <c r="JS62" s="21" t="n">
        <v>455.094</v>
      </c>
      <c r="JT62" s="21" t="n">
        <v>367.022</v>
      </c>
      <c r="JU62" s="21" t="n">
        <v>342.759</v>
      </c>
      <c r="JV62" s="21" t="n">
        <v>179.047</v>
      </c>
      <c r="JW62" s="21" t="n">
        <v>370.423</v>
      </c>
      <c r="JX62" s="21" t="n">
        <v>261.275</v>
      </c>
      <c r="JY62" s="21" t="n">
        <v>77.101</v>
      </c>
      <c r="JZ62" s="21" t="n">
        <v>157.022</v>
      </c>
      <c r="KA62" s="21" t="n">
        <v>247.011</v>
      </c>
      <c r="KB62" s="21" t="n">
        <v>265.179</v>
      </c>
      <c r="KC62" s="21" t="n">
        <v>258.777</v>
      </c>
      <c r="KD62" s="21" t="n">
        <v>266.716</v>
      </c>
      <c r="KE62" s="21" t="n">
        <v>236.975</v>
      </c>
      <c r="KF62" s="21" t="n">
        <v>230.613</v>
      </c>
      <c r="KG62" s="21" t="n">
        <v>235.223</v>
      </c>
      <c r="KH62" s="21" t="n">
        <v>241.172</v>
      </c>
      <c r="KI62" s="21" t="n">
        <v>114.627</v>
      </c>
      <c r="KJ62" s="21" t="n">
        <v>186.754</v>
      </c>
      <c r="KK62" s="21" t="n">
        <v>153.834</v>
      </c>
      <c r="KL62" s="21" t="n">
        <v>150.422</v>
      </c>
      <c r="KM62" s="21" t="n">
        <v>144.308</v>
      </c>
      <c r="KN62" s="21" t="n">
        <v>145.485</v>
      </c>
      <c r="KO62" s="21" t="n">
        <v>250.763</v>
      </c>
      <c r="KP62" s="21" t="n">
        <v>104.307</v>
      </c>
      <c r="KQ62" s="21" t="n">
        <v>68.654</v>
      </c>
      <c r="KR62" s="21" t="n">
        <v>112.518</v>
      </c>
      <c r="KS62" s="21" t="n">
        <v>220.147</v>
      </c>
      <c r="KT62" s="21" t="n">
        <v>247.456</v>
      </c>
      <c r="KU62" s="21" t="n">
        <v>90.56</v>
      </c>
      <c r="KV62" s="21" t="n">
        <v>49.099</v>
      </c>
      <c r="KW62" s="21" t="n">
        <v>229.09</v>
      </c>
      <c r="KX62" s="21" t="n">
        <v>201.845</v>
      </c>
      <c r="KY62" s="21" t="n">
        <v>249.138</v>
      </c>
      <c r="KZ62" s="21" t="n">
        <v>198.606</v>
      </c>
      <c r="LA62" s="21" t="n">
        <v>249.958</v>
      </c>
      <c r="LB62" s="21" t="n">
        <v>115.743</v>
      </c>
      <c r="LC62" s="21" t="n">
        <v>364.559</v>
      </c>
      <c r="LD62" s="21" t="n">
        <v>79.669</v>
      </c>
      <c r="LE62" s="21" t="n">
        <v>126.611</v>
      </c>
      <c r="LF62" s="21" t="n">
        <v>337.3</v>
      </c>
      <c r="LG62" s="21" t="n">
        <v>330.515</v>
      </c>
      <c r="LH62" s="21" t="n">
        <v>343.272</v>
      </c>
      <c r="LI62" s="21" t="n">
        <v>313.508</v>
      </c>
      <c r="LJ62" s="21" t="n">
        <v>347.877</v>
      </c>
      <c r="LK62" s="21" t="n">
        <v>105.197</v>
      </c>
      <c r="LL62" s="21" t="n">
        <v>328.113</v>
      </c>
      <c r="LM62" s="21" t="n">
        <v>220.339</v>
      </c>
      <c r="LN62" s="21" t="n">
        <v>37.039</v>
      </c>
      <c r="LO62" s="21" t="n">
        <v>130.593</v>
      </c>
    </row>
    <row r="63">
      <c r="A63" s="22" t="n">
        <v>43862</v>
      </c>
      <c r="B63" s="21" t="n">
        <v>259.25</v>
      </c>
      <c r="C63" s="21" t="n">
        <v>261.567</v>
      </c>
      <c r="D63" s="21" t="n">
        <v>261.962</v>
      </c>
      <c r="E63" s="21" t="n">
        <v>244.2</v>
      </c>
      <c r="F63" s="21" t="n">
        <v>276.841</v>
      </c>
      <c r="G63" s="21" t="n">
        <v>227.537</v>
      </c>
      <c r="H63" s="21" t="n">
        <v>234.38</v>
      </c>
      <c r="I63" s="21" t="n">
        <v>217.695</v>
      </c>
      <c r="J63" s="21" t="n">
        <v>239.988</v>
      </c>
      <c r="K63" s="21" t="n">
        <v>305.85</v>
      </c>
      <c r="L63" s="21" t="n">
        <v>186.696</v>
      </c>
      <c r="M63" s="21" t="n">
        <v>178.478</v>
      </c>
      <c r="N63" s="21" t="n">
        <v>288.073</v>
      </c>
      <c r="O63" s="21" t="n">
        <v>268.435</v>
      </c>
      <c r="P63" s="21" t="n">
        <v>271.898</v>
      </c>
      <c r="Q63" s="21" t="n">
        <v>309.073</v>
      </c>
      <c r="R63" s="21" t="n">
        <v>272.661</v>
      </c>
      <c r="S63" s="21" t="n">
        <v>255.366</v>
      </c>
      <c r="T63" s="21" t="n">
        <v>259.481</v>
      </c>
      <c r="U63" s="21" t="n">
        <v>263.442</v>
      </c>
      <c r="V63" s="21" t="n">
        <v>318.882</v>
      </c>
      <c r="W63" s="21" t="n">
        <v>276.504</v>
      </c>
      <c r="X63" s="21" t="n">
        <v>245.476</v>
      </c>
      <c r="Y63" s="21" t="n">
        <v>214.251</v>
      </c>
      <c r="Z63" s="21" t="n">
        <v>220.536</v>
      </c>
      <c r="AA63" s="21" t="n">
        <v>164.272</v>
      </c>
      <c r="AB63" s="21" t="n">
        <v>307.979</v>
      </c>
      <c r="AC63" s="21" t="n">
        <v>149.558</v>
      </c>
      <c r="AD63" s="21" t="n">
        <v>215.048</v>
      </c>
      <c r="AE63" s="21" t="n">
        <v>239.924</v>
      </c>
      <c r="AF63" s="21" t="n">
        <v>193.058</v>
      </c>
      <c r="AG63" s="21" t="n">
        <v>132.181</v>
      </c>
      <c r="AH63" s="21" t="n">
        <v>227.754</v>
      </c>
      <c r="AI63" s="21" t="n">
        <v>233.356</v>
      </c>
      <c r="AJ63" s="21" t="n">
        <v>146.413</v>
      </c>
      <c r="AK63" s="21" t="n">
        <v>235.086</v>
      </c>
      <c r="AL63" s="21" t="n">
        <v>151.287</v>
      </c>
      <c r="AM63" s="21" t="n">
        <v>249.137</v>
      </c>
      <c r="AN63" s="21" t="n">
        <v>225.964</v>
      </c>
      <c r="AO63" s="21" t="n">
        <v>153.796</v>
      </c>
      <c r="AP63" s="21" t="n">
        <v>301.118</v>
      </c>
      <c r="AQ63" s="21" t="n">
        <v>188.573</v>
      </c>
      <c r="AR63" s="21" t="n">
        <v>148.206</v>
      </c>
      <c r="AS63" s="21" t="n">
        <v>214.797</v>
      </c>
      <c r="AT63" s="21" t="n">
        <v>308.641</v>
      </c>
      <c r="AU63" s="21" t="n">
        <v>201.498</v>
      </c>
      <c r="AV63" s="21" t="n">
        <v>224.443</v>
      </c>
      <c r="AW63" s="21" t="n">
        <v>146.24</v>
      </c>
      <c r="AX63" s="21" t="n">
        <v>208.44</v>
      </c>
      <c r="AY63" s="21" t="n">
        <v>150.743</v>
      </c>
      <c r="AZ63" s="21" t="n">
        <v>236.598</v>
      </c>
      <c r="BA63" s="21" t="n">
        <v>224.341</v>
      </c>
      <c r="BB63" s="21" t="n">
        <v>149.54</v>
      </c>
      <c r="BC63" s="21" t="n">
        <v>298.648</v>
      </c>
      <c r="BD63" s="21" t="n">
        <v>345.782</v>
      </c>
      <c r="BE63" s="21" t="n">
        <v>349.281</v>
      </c>
      <c r="BF63" s="21" t="n">
        <v>318.552</v>
      </c>
      <c r="BG63" s="21" t="n">
        <v>195.034</v>
      </c>
      <c r="BH63" s="21" t="n">
        <v>239.859</v>
      </c>
      <c r="BI63" s="21" t="n">
        <v>475.371</v>
      </c>
      <c r="BJ63" s="21" t="n">
        <v>116.984</v>
      </c>
      <c r="BK63" s="21" t="n">
        <v>340.573</v>
      </c>
      <c r="BL63" s="21" t="n">
        <v>373.578</v>
      </c>
      <c r="BM63" s="21" t="n">
        <v>324.197</v>
      </c>
      <c r="BN63" s="21" t="n">
        <v>348.291</v>
      </c>
      <c r="BO63" s="21" t="n">
        <v>337.414</v>
      </c>
      <c r="BP63" s="21" t="n">
        <v>157.05</v>
      </c>
      <c r="BQ63" s="21" t="n">
        <v>163.894</v>
      </c>
      <c r="BR63" s="21" t="n">
        <v>159.953</v>
      </c>
      <c r="BS63" s="21" t="n">
        <v>172.712</v>
      </c>
      <c r="BT63" s="21" t="n">
        <v>145.509</v>
      </c>
      <c r="BU63" s="21" t="n">
        <v>202.673</v>
      </c>
      <c r="BV63" s="21" t="n">
        <v>155.77</v>
      </c>
      <c r="BW63" s="21" t="n">
        <v>171.933</v>
      </c>
      <c r="BX63" s="21" t="n">
        <v>134.539</v>
      </c>
      <c r="BY63" s="21" t="n">
        <v>171.17</v>
      </c>
      <c r="BZ63" s="21" t="n">
        <v>121.703</v>
      </c>
      <c r="CA63" s="21" t="n">
        <v>116.678</v>
      </c>
      <c r="CB63" s="21" t="n">
        <v>192.144</v>
      </c>
      <c r="CC63" s="21" t="n">
        <v>199.813</v>
      </c>
      <c r="CD63" s="21" t="n">
        <v>131.831</v>
      </c>
      <c r="CE63" s="21" t="n">
        <v>213.503</v>
      </c>
      <c r="CF63" s="21" t="n">
        <v>224.16</v>
      </c>
      <c r="CG63" s="21" t="n">
        <v>195.108</v>
      </c>
      <c r="CH63" s="21" t="n">
        <v>153.061</v>
      </c>
      <c r="CI63" s="21" t="n">
        <v>154.035</v>
      </c>
      <c r="CJ63" s="21" t="n">
        <v>226.338</v>
      </c>
      <c r="CK63" s="21" t="n">
        <v>205.508</v>
      </c>
      <c r="CL63" s="21" t="n">
        <v>248.771</v>
      </c>
      <c r="CM63" s="21" t="n">
        <v>300.73</v>
      </c>
      <c r="CN63" s="21" t="n">
        <v>130.667</v>
      </c>
      <c r="CO63" s="21" t="n">
        <v>155.138</v>
      </c>
      <c r="CP63" s="21" t="n">
        <v>227.962</v>
      </c>
      <c r="CQ63" s="21" t="n">
        <v>248.955</v>
      </c>
      <c r="CR63" s="21" t="n">
        <v>169.337</v>
      </c>
      <c r="CS63" s="21" t="n">
        <v>253.464</v>
      </c>
      <c r="CT63" s="21" t="n">
        <v>244.529</v>
      </c>
      <c r="CU63" s="21" t="n">
        <v>154.206</v>
      </c>
      <c r="CV63" s="21" t="n">
        <v>145.156</v>
      </c>
      <c r="CW63" s="21" t="n">
        <v>141.693</v>
      </c>
      <c r="CX63" s="21" t="n">
        <v>275.032</v>
      </c>
      <c r="CY63" s="21" t="n">
        <v>134.15</v>
      </c>
      <c r="CZ63" s="21" t="n">
        <v>131.726</v>
      </c>
      <c r="DA63" s="21" t="n">
        <v>289.781</v>
      </c>
      <c r="DB63" s="21" t="n">
        <v>180.011</v>
      </c>
      <c r="DC63" s="21" t="n">
        <v>183.257</v>
      </c>
      <c r="DD63" s="21" t="n">
        <v>152.027</v>
      </c>
      <c r="DE63" s="21" t="n">
        <v>198.475</v>
      </c>
      <c r="DF63" s="21" t="n">
        <v>254.831</v>
      </c>
      <c r="DG63" s="21" t="n">
        <v>206.774</v>
      </c>
      <c r="DH63" s="21" t="n">
        <v>235.16</v>
      </c>
      <c r="DI63" s="21" t="n">
        <v>194.358</v>
      </c>
      <c r="DJ63" s="21" t="n">
        <v>209.403</v>
      </c>
      <c r="DK63" s="21" t="n">
        <v>189.536</v>
      </c>
      <c r="DL63" s="21" t="n">
        <v>170.605</v>
      </c>
      <c r="DM63" s="21" t="n">
        <v>359.716</v>
      </c>
      <c r="DN63" s="21" t="n">
        <v>194.496</v>
      </c>
      <c r="DO63" s="21" t="n">
        <v>270.365</v>
      </c>
      <c r="DP63" s="21" t="n">
        <v>324.483</v>
      </c>
      <c r="DQ63" s="21" t="n">
        <v>338.489</v>
      </c>
      <c r="DR63" s="21" t="n">
        <v>168.221</v>
      </c>
      <c r="DS63" s="21" t="n">
        <v>570.674</v>
      </c>
      <c r="DT63" s="21" t="n">
        <v>343.961</v>
      </c>
      <c r="DU63" s="21" t="n">
        <v>332.056</v>
      </c>
      <c r="DV63" s="21" t="n">
        <v>332.097</v>
      </c>
      <c r="DW63" s="21" t="n">
        <v>243.238</v>
      </c>
      <c r="DX63" s="21" t="n">
        <v>199.43</v>
      </c>
      <c r="DY63" s="21" t="n">
        <v>264.593</v>
      </c>
      <c r="DZ63" s="21" t="n">
        <v>258.285</v>
      </c>
      <c r="EA63" s="21" t="n">
        <v>321.734</v>
      </c>
      <c r="EB63" s="21" t="n">
        <v>203.411</v>
      </c>
      <c r="EC63" s="21" t="n">
        <v>213.846</v>
      </c>
      <c r="ED63" s="21" t="n">
        <v>169.369</v>
      </c>
      <c r="EE63" s="21" t="n">
        <v>249.751</v>
      </c>
      <c r="EF63" s="21" t="n">
        <v>578.838</v>
      </c>
      <c r="EG63" s="21" t="n">
        <v>494.429</v>
      </c>
      <c r="EH63" s="21" t="n">
        <v>124.215</v>
      </c>
      <c r="EI63" s="21" t="n">
        <v>57.705</v>
      </c>
      <c r="EJ63" s="21" t="n">
        <v>66.482</v>
      </c>
      <c r="EK63" s="21" t="n">
        <v>43.943</v>
      </c>
      <c r="EL63" s="21" t="n">
        <v>114.491</v>
      </c>
      <c r="EM63" s="21" t="n">
        <v>68.74299999999999</v>
      </c>
      <c r="EN63" s="21" t="n">
        <v>77.127</v>
      </c>
      <c r="EO63" s="21" t="n">
        <v>83.495</v>
      </c>
      <c r="EP63" s="21" t="n">
        <v>87.726</v>
      </c>
      <c r="EQ63" s="21" t="n">
        <v>66.904</v>
      </c>
      <c r="ER63" s="21" t="n">
        <v>49</v>
      </c>
      <c r="ES63" s="21" t="n">
        <v>127.439</v>
      </c>
      <c r="ET63" s="21" t="n">
        <v>78.473</v>
      </c>
      <c r="EU63" s="21" t="n">
        <v>91.3</v>
      </c>
      <c r="EV63" s="21" t="n">
        <v>98.777</v>
      </c>
      <c r="EW63" s="21" t="n">
        <v>87.70099999999999</v>
      </c>
      <c r="EX63" s="21" t="n">
        <v>189.614</v>
      </c>
      <c r="EY63" s="21" t="n">
        <v>120.154</v>
      </c>
      <c r="EZ63" s="21" t="n">
        <v>118.206</v>
      </c>
      <c r="FA63" s="21" t="n">
        <v>175.956</v>
      </c>
      <c r="FB63" s="21" t="n">
        <v>122.952</v>
      </c>
      <c r="FC63" s="21" t="n">
        <v>117.167</v>
      </c>
      <c r="FD63" s="21" t="n">
        <v>120.587</v>
      </c>
      <c r="FE63" s="21" t="n">
        <v>106.148</v>
      </c>
      <c r="FF63" s="21" t="n">
        <v>161.975</v>
      </c>
      <c r="FG63" s="21" t="n">
        <v>72.45999999999999</v>
      </c>
      <c r="FH63" s="21" t="n">
        <v>119.727</v>
      </c>
      <c r="FI63" s="21" t="n">
        <v>102.1</v>
      </c>
      <c r="FJ63" s="21" t="n">
        <v>104.815</v>
      </c>
      <c r="FK63" s="21" t="n">
        <v>106.803</v>
      </c>
      <c r="FL63" s="21" t="n">
        <v>97.485</v>
      </c>
      <c r="FM63" s="21" t="n">
        <v>112.79</v>
      </c>
      <c r="FN63" s="21" t="n">
        <v>72.568</v>
      </c>
      <c r="FO63" s="21" t="n">
        <v>107.593</v>
      </c>
      <c r="FP63" s="21" t="n">
        <v>95.16200000000001</v>
      </c>
      <c r="FQ63" s="21" t="n">
        <v>137.873</v>
      </c>
      <c r="FR63" s="21" t="n">
        <v>139.959</v>
      </c>
      <c r="FS63" s="21" t="n">
        <v>159.88</v>
      </c>
      <c r="FT63" s="21" t="n">
        <v>124.804</v>
      </c>
      <c r="FU63" s="21" t="n">
        <v>116.581</v>
      </c>
      <c r="FV63" s="21" t="n">
        <v>174.574</v>
      </c>
      <c r="FW63" s="21" t="n">
        <v>141.651</v>
      </c>
      <c r="FX63" s="21" t="n">
        <v>170.016</v>
      </c>
      <c r="FY63" s="21" t="n">
        <v>211.402</v>
      </c>
      <c r="FZ63" s="21" t="n">
        <v>206.828</v>
      </c>
      <c r="GA63" s="21" t="n">
        <v>100.088</v>
      </c>
      <c r="GB63" s="21" t="n">
        <v>148.23</v>
      </c>
      <c r="GC63" s="21" t="n">
        <v>102.029</v>
      </c>
      <c r="GD63" s="21" t="n">
        <v>144.663</v>
      </c>
      <c r="GE63" s="21" t="n">
        <v>157.69</v>
      </c>
      <c r="GF63" s="21" t="n"/>
      <c r="GG63" s="21" t="n">
        <v>140.593</v>
      </c>
      <c r="GH63" s="21" t="n">
        <v>85.321</v>
      </c>
      <c r="GI63" s="21" t="n">
        <v>136.157</v>
      </c>
      <c r="GJ63" s="21" t="n">
        <v>231.847</v>
      </c>
      <c r="GK63" s="21" t="n">
        <v>230.646</v>
      </c>
      <c r="GL63" s="21" t="n">
        <v>225.229</v>
      </c>
      <c r="GM63" s="21" t="n">
        <v>250.409</v>
      </c>
      <c r="GN63" s="21" t="n">
        <v>246.931</v>
      </c>
      <c r="GO63" s="21" t="n">
        <v>214.568</v>
      </c>
      <c r="GP63" s="21" t="n">
        <v>148.457</v>
      </c>
      <c r="GQ63" s="21" t="n">
        <v>125.59</v>
      </c>
      <c r="GR63" s="21" t="n">
        <v>302.22</v>
      </c>
      <c r="GS63" s="21" t="n">
        <v>184.133</v>
      </c>
      <c r="GT63" s="21" t="n">
        <v>573.008</v>
      </c>
      <c r="GU63" s="21" t="n">
        <v>215.462</v>
      </c>
      <c r="GV63" s="21" t="n">
        <v>241.375</v>
      </c>
      <c r="GW63" s="21" t="n">
        <v>263.444</v>
      </c>
      <c r="GX63" s="21" t="n">
        <v>270.587</v>
      </c>
      <c r="GY63" s="21" t="n">
        <v>156.634</v>
      </c>
      <c r="GZ63" s="21" t="n"/>
      <c r="HA63" s="21" t="n">
        <v>62.033</v>
      </c>
      <c r="HB63" s="21" t="n">
        <v>512.967</v>
      </c>
      <c r="HC63" s="21" t="n">
        <v>384.701</v>
      </c>
      <c r="HD63" s="21" t="n">
        <v>125.97</v>
      </c>
      <c r="HE63" s="21" t="n">
        <v>535.548</v>
      </c>
      <c r="HF63" s="21" t="n">
        <v>96.89</v>
      </c>
      <c r="HG63" s="21" t="n">
        <v>554.332</v>
      </c>
      <c r="HH63" s="21" t="n">
        <v>385.331</v>
      </c>
      <c r="HI63" s="21" t="n">
        <v>386.202</v>
      </c>
      <c r="HJ63" s="21" t="n">
        <v>502.165</v>
      </c>
      <c r="HK63" s="21" t="n">
        <v>191.943</v>
      </c>
      <c r="HL63" s="21" t="n">
        <v>240.689</v>
      </c>
      <c r="HM63" s="21" t="n">
        <v>83.11799999999999</v>
      </c>
      <c r="HN63" s="21" t="n">
        <v>350.635</v>
      </c>
      <c r="HO63" s="21" t="n">
        <v>340.068</v>
      </c>
      <c r="HP63" s="21" t="n">
        <v>771.0549999999999</v>
      </c>
      <c r="HQ63" s="21" t="n">
        <v>238.701</v>
      </c>
      <c r="HR63" s="21" t="n">
        <v>121.802</v>
      </c>
      <c r="HS63" s="21" t="n">
        <v>105.744</v>
      </c>
      <c r="HT63" s="21" t="n">
        <v>135.976</v>
      </c>
      <c r="HU63" s="21" t="n">
        <v>491.819</v>
      </c>
      <c r="HV63" s="21" t="n">
        <v>119.608</v>
      </c>
      <c r="HW63" s="21" t="n">
        <v>26.645</v>
      </c>
      <c r="HX63" s="21" t="n">
        <v>180.641</v>
      </c>
      <c r="HY63" s="21" t="n">
        <v>206.424</v>
      </c>
      <c r="HZ63" s="21" t="n">
        <v>156.738</v>
      </c>
      <c r="IA63" s="21" t="n">
        <v>119.569</v>
      </c>
      <c r="IB63" s="21" t="n">
        <v>258.039</v>
      </c>
      <c r="IC63" s="21" t="n">
        <v>199.522</v>
      </c>
      <c r="ID63" s="21" t="n">
        <v>272.278</v>
      </c>
      <c r="IE63" s="21" t="n">
        <v>113.741</v>
      </c>
      <c r="IF63" s="21" t="n">
        <v>156.907</v>
      </c>
      <c r="IG63" s="21" t="n">
        <v>77.91800000000001</v>
      </c>
      <c r="IH63" s="21" t="n">
        <v>76.084</v>
      </c>
      <c r="II63" s="21" t="n">
        <v>57.125</v>
      </c>
      <c r="IJ63" s="21" t="n">
        <v>23.734</v>
      </c>
      <c r="IK63" s="21" t="n">
        <v>33.93</v>
      </c>
      <c r="IL63" s="21" t="n">
        <v>29.554</v>
      </c>
      <c r="IM63" s="21" t="n">
        <v>36.913</v>
      </c>
      <c r="IN63" s="21" t="n">
        <v>101.928</v>
      </c>
      <c r="IO63" s="21" t="n">
        <v>104.056</v>
      </c>
      <c r="IP63" s="21" t="n">
        <v>173.829</v>
      </c>
      <c r="IQ63" s="21" t="n">
        <v>145.356</v>
      </c>
      <c r="IR63" s="21" t="n">
        <v>392.645</v>
      </c>
      <c r="IS63" s="21" t="n">
        <v>189.097</v>
      </c>
      <c r="IT63" s="21" t="n">
        <v>227.205</v>
      </c>
      <c r="IU63" s="21" t="n">
        <v>321.493</v>
      </c>
      <c r="IV63" s="21" t="n">
        <v>264.224</v>
      </c>
      <c r="IW63" s="21" t="n">
        <v>139.231</v>
      </c>
      <c r="IX63" s="21" t="n">
        <v>269.433</v>
      </c>
      <c r="IY63" s="21" t="n">
        <v>670.41</v>
      </c>
      <c r="IZ63" s="21" t="n">
        <v>774.162</v>
      </c>
      <c r="JA63" s="21" t="n">
        <v>875.434</v>
      </c>
      <c r="JB63" s="21" t="n">
        <v>84.217</v>
      </c>
      <c r="JC63" s="21" t="n">
        <v>310.206</v>
      </c>
      <c r="JD63" s="21" t="n">
        <v>256.588</v>
      </c>
      <c r="JE63" s="21" t="n">
        <v>73.753</v>
      </c>
      <c r="JF63" s="21" t="n">
        <v>200.059</v>
      </c>
      <c r="JG63" s="21" t="n">
        <v>315.028</v>
      </c>
      <c r="JH63" s="21" t="n">
        <v>320.258</v>
      </c>
      <c r="JI63" s="21" t="n">
        <v>69.68899999999999</v>
      </c>
      <c r="JJ63" s="21" t="n">
        <v>109.71</v>
      </c>
      <c r="JK63" s="21" t="n">
        <v>38.247</v>
      </c>
      <c r="JL63" s="21" t="n">
        <v>78.56100000000001</v>
      </c>
      <c r="JM63" s="21" t="n">
        <v>194.043</v>
      </c>
      <c r="JN63" s="21" t="n">
        <v>459.6</v>
      </c>
      <c r="JO63" s="21" t="n">
        <v>72.435</v>
      </c>
      <c r="JP63" s="21" t="n">
        <v>471.704</v>
      </c>
      <c r="JQ63" s="21" t="n">
        <v>237.632</v>
      </c>
      <c r="JR63" s="21" t="n">
        <v>161.196</v>
      </c>
      <c r="JS63" s="21" t="n">
        <v>456.285</v>
      </c>
      <c r="JT63" s="21" t="n">
        <v>369.233</v>
      </c>
      <c r="JU63" s="21" t="n">
        <v>341.365</v>
      </c>
      <c r="JV63" s="21" t="n">
        <v>179.794</v>
      </c>
      <c r="JW63" s="21" t="n">
        <v>370.741</v>
      </c>
      <c r="JX63" s="21" t="n">
        <v>261.585</v>
      </c>
      <c r="JY63" s="21" t="n">
        <v>76.383</v>
      </c>
      <c r="JZ63" s="21" t="n">
        <v>156.54</v>
      </c>
      <c r="KA63" s="21" t="n">
        <v>247.087</v>
      </c>
      <c r="KB63" s="21" t="n">
        <v>265.834</v>
      </c>
      <c r="KC63" s="21" t="n">
        <v>258.813</v>
      </c>
      <c r="KD63" s="21" t="n">
        <v>267.37</v>
      </c>
      <c r="KE63" s="21" t="n">
        <v>236.782</v>
      </c>
      <c r="KF63" s="21" t="n">
        <v>230.225</v>
      </c>
      <c r="KG63" s="21" t="n">
        <v>235.696</v>
      </c>
      <c r="KH63" s="21" t="n">
        <v>241.567</v>
      </c>
      <c r="KI63" s="21" t="n">
        <v>115.008</v>
      </c>
      <c r="KJ63" s="21" t="n">
        <v>186.298</v>
      </c>
      <c r="KK63" s="21" t="n">
        <v>153.016</v>
      </c>
      <c r="KL63" s="21" t="n">
        <v>149.554</v>
      </c>
      <c r="KM63" s="21" t="n">
        <v>144.717</v>
      </c>
      <c r="KN63" s="21" t="n">
        <v>145.78</v>
      </c>
      <c r="KO63" s="21" t="n">
        <v>251.833</v>
      </c>
      <c r="KP63" s="21" t="n">
        <v>104.722</v>
      </c>
      <c r="KQ63" s="21" t="n">
        <v>69.155</v>
      </c>
      <c r="KR63" s="21" t="n">
        <v>112.549</v>
      </c>
      <c r="KS63" s="21" t="n">
        <v>214.294</v>
      </c>
      <c r="KT63" s="21" t="n">
        <v>235.373</v>
      </c>
      <c r="KU63" s="21" t="n">
        <v>90.63</v>
      </c>
      <c r="KV63" s="21" t="n">
        <v>49.446</v>
      </c>
      <c r="KW63" s="21" t="n">
        <v>228.481</v>
      </c>
      <c r="KX63" s="21" t="n">
        <v>200.427</v>
      </c>
      <c r="KY63" s="21" t="n">
        <v>246.112</v>
      </c>
      <c r="KZ63" s="21" t="n">
        <v>197.028</v>
      </c>
      <c r="LA63" s="21" t="n">
        <v>246.487</v>
      </c>
      <c r="LB63" s="21" t="n">
        <v>116.341</v>
      </c>
      <c r="LC63" s="21" t="n">
        <v>364.469</v>
      </c>
      <c r="LD63" s="21" t="n">
        <v>79.67400000000001</v>
      </c>
      <c r="LE63" s="21" t="n">
        <v>126.3</v>
      </c>
      <c r="LF63" s="21" t="n">
        <v>338.323</v>
      </c>
      <c r="LG63" s="21" t="n">
        <v>331.304</v>
      </c>
      <c r="LH63" s="21" t="n">
        <v>344.125</v>
      </c>
      <c r="LI63" s="21" t="n">
        <v>314.17</v>
      </c>
      <c r="LJ63" s="21" t="n">
        <v>348.302</v>
      </c>
      <c r="LK63" s="21" t="n">
        <v>105.685</v>
      </c>
      <c r="LL63" s="21" t="n">
        <v>328.863</v>
      </c>
      <c r="LM63" s="21" t="n">
        <v>220.246</v>
      </c>
      <c r="LN63" s="21" t="n">
        <v>36.952</v>
      </c>
      <c r="LO63" s="21" t="n">
        <v>130.218</v>
      </c>
    </row>
    <row r="64">
      <c r="A64" s="22" t="n">
        <v>43891</v>
      </c>
      <c r="B64" s="21" t="n">
        <v>258.076</v>
      </c>
      <c r="C64" s="21" t="n">
        <v>262.239</v>
      </c>
      <c r="D64" s="21" t="n">
        <v>262.622</v>
      </c>
      <c r="E64" s="21" t="n">
        <v>245.017</v>
      </c>
      <c r="F64" s="21" t="n">
        <v>276.988</v>
      </c>
      <c r="G64" s="21" t="n">
        <v>227.923</v>
      </c>
      <c r="H64" s="21" t="n">
        <v>235.165</v>
      </c>
      <c r="I64" s="21" t="n">
        <v>221.578</v>
      </c>
      <c r="J64" s="21" t="n">
        <v>238.45</v>
      </c>
      <c r="K64" s="21" t="n">
        <v>306.338</v>
      </c>
      <c r="L64" s="21" t="n">
        <v>187.308</v>
      </c>
      <c r="M64" s="21" t="n">
        <v>178.747</v>
      </c>
      <c r="N64" s="21" t="n">
        <v>292.379</v>
      </c>
      <c r="O64" s="21" t="n">
        <v>272.291</v>
      </c>
      <c r="P64" s="21" t="n">
        <v>269.565</v>
      </c>
      <c r="Q64" s="21" t="n">
        <v>310.265</v>
      </c>
      <c r="R64" s="21" t="n">
        <v>267.85</v>
      </c>
      <c r="S64" s="21" t="n">
        <v>255.761</v>
      </c>
      <c r="T64" s="21" t="n">
        <v>259.262</v>
      </c>
      <c r="U64" s="21" t="n">
        <v>262.709</v>
      </c>
      <c r="V64" s="21" t="n">
        <v>318.443</v>
      </c>
      <c r="W64" s="21" t="n">
        <v>280.336</v>
      </c>
      <c r="X64" s="21" t="n">
        <v>243.167</v>
      </c>
      <c r="Y64" s="21" t="n">
        <v>212.49</v>
      </c>
      <c r="Z64" s="21" t="n">
        <v>219.112</v>
      </c>
      <c r="AA64" s="21" t="n">
        <v>163.099</v>
      </c>
      <c r="AB64" s="21" t="n">
        <v>301.249</v>
      </c>
      <c r="AC64" s="21" t="n">
        <v>151.902</v>
      </c>
      <c r="AD64" s="21" t="n">
        <v>219.104</v>
      </c>
      <c r="AE64" s="21" t="n">
        <v>243.861</v>
      </c>
      <c r="AF64" s="21" t="n">
        <v>190.618</v>
      </c>
      <c r="AG64" s="21" t="n">
        <v>128.526</v>
      </c>
      <c r="AH64" s="21" t="n">
        <v>227.655</v>
      </c>
      <c r="AI64" s="21" t="n">
        <v>237.247</v>
      </c>
      <c r="AJ64" s="21" t="n">
        <v>146.05</v>
      </c>
      <c r="AK64" s="21" t="n">
        <v>237.353</v>
      </c>
      <c r="AL64" s="21" t="n">
        <v>152.307</v>
      </c>
      <c r="AM64" s="21" t="n">
        <v>250.625</v>
      </c>
      <c r="AN64" s="21" t="n">
        <v>227.378</v>
      </c>
      <c r="AO64" s="21" t="n">
        <v>156.406</v>
      </c>
      <c r="AP64" s="21" t="n">
        <v>299.253</v>
      </c>
      <c r="AQ64" s="21" t="n">
        <v>189.458</v>
      </c>
      <c r="AR64" s="21" t="n">
        <v>147.538</v>
      </c>
      <c r="AS64" s="21" t="n">
        <v>213.127</v>
      </c>
      <c r="AT64" s="21" t="n">
        <v>304.578</v>
      </c>
      <c r="AU64" s="21" t="n">
        <v>209.867</v>
      </c>
      <c r="AV64" s="21" t="n">
        <v>225.627</v>
      </c>
      <c r="AW64" s="21" t="n">
        <v>146.295</v>
      </c>
      <c r="AX64" s="21" t="n">
        <v>208.402</v>
      </c>
      <c r="AY64" s="21" t="n">
        <v>150.732</v>
      </c>
      <c r="AZ64" s="21" t="n">
        <v>236.61</v>
      </c>
      <c r="BA64" s="21" t="n">
        <v>227.56</v>
      </c>
      <c r="BB64" s="21" t="n">
        <v>151.149</v>
      </c>
      <c r="BC64" s="21" t="n">
        <v>299.482</v>
      </c>
      <c r="BD64" s="21" t="n">
        <v>346.514</v>
      </c>
      <c r="BE64" s="21" t="n">
        <v>351.159</v>
      </c>
      <c r="BF64" s="21" t="n">
        <v>312.389</v>
      </c>
      <c r="BG64" s="21" t="n">
        <v>195.553</v>
      </c>
      <c r="BH64" s="21" t="n">
        <v>237.305</v>
      </c>
      <c r="BI64" s="21" t="n">
        <v>473.776</v>
      </c>
      <c r="BJ64" s="21" t="n">
        <v>119.354</v>
      </c>
      <c r="BK64" s="21" t="n">
        <v>340.136</v>
      </c>
      <c r="BL64" s="21" t="n">
        <v>377.23</v>
      </c>
      <c r="BM64" s="21" t="n">
        <v>323.06</v>
      </c>
      <c r="BN64" s="21" t="n">
        <v>362.217</v>
      </c>
      <c r="BO64" s="21" t="n">
        <v>330.822</v>
      </c>
      <c r="BP64" s="21" t="n">
        <v>157.882</v>
      </c>
      <c r="BQ64" s="21" t="n">
        <v>164.893</v>
      </c>
      <c r="BR64" s="21" t="n">
        <v>159.328</v>
      </c>
      <c r="BS64" s="21" t="n">
        <v>174.523</v>
      </c>
      <c r="BT64" s="21" t="n">
        <v>146.127</v>
      </c>
      <c r="BU64" s="21" t="n">
        <v>202.077</v>
      </c>
      <c r="BV64" s="21" t="n">
        <v>156.409</v>
      </c>
      <c r="BW64" s="21" t="n">
        <v>173.263</v>
      </c>
      <c r="BX64" s="21" t="n">
        <v>135.664</v>
      </c>
      <c r="BY64" s="21" t="n">
        <v>173.053</v>
      </c>
      <c r="BZ64" s="21" t="n">
        <v>122.274</v>
      </c>
      <c r="CA64" s="21" t="n">
        <v>117.494</v>
      </c>
      <c r="CB64" s="21" t="n">
        <v>193.784</v>
      </c>
      <c r="CC64" s="21" t="n">
        <v>201.999</v>
      </c>
      <c r="CD64" s="21" t="n">
        <v>131.954</v>
      </c>
      <c r="CE64" s="21" t="n">
        <v>214.334</v>
      </c>
      <c r="CF64" s="21" t="n">
        <v>225.805</v>
      </c>
      <c r="CG64" s="21" t="n">
        <v>197.091</v>
      </c>
      <c r="CH64" s="21" t="n">
        <v>153.676</v>
      </c>
      <c r="CI64" s="21" t="n">
        <v>154.734</v>
      </c>
      <c r="CJ64" s="21" t="n">
        <v>228.611</v>
      </c>
      <c r="CK64" s="21" t="n">
        <v>209.61</v>
      </c>
      <c r="CL64" s="21" t="n">
        <v>250.548</v>
      </c>
      <c r="CM64" s="21" t="n">
        <v>306.097</v>
      </c>
      <c r="CN64" s="21" t="n">
        <v>132.549</v>
      </c>
      <c r="CO64" s="21" t="n">
        <v>155.376</v>
      </c>
      <c r="CP64" s="21" t="n">
        <v>228.504</v>
      </c>
      <c r="CQ64" s="21" t="n">
        <v>251.119</v>
      </c>
      <c r="CR64" s="21" t="n">
        <v>168.864</v>
      </c>
      <c r="CS64" s="21" t="n">
        <v>253.072</v>
      </c>
      <c r="CT64" s="21" t="n">
        <v>247.458</v>
      </c>
      <c r="CU64" s="21" t="n">
        <v>156.472</v>
      </c>
      <c r="CV64" s="21" t="n">
        <v>145.745</v>
      </c>
      <c r="CW64" s="21" t="n">
        <v>143.744</v>
      </c>
      <c r="CX64" s="21" t="n">
        <v>278.582</v>
      </c>
      <c r="CY64" s="21" t="n">
        <v>134.28</v>
      </c>
      <c r="CZ64" s="21" t="n">
        <v>132.37</v>
      </c>
      <c r="DA64" s="21" t="n">
        <v>290.216</v>
      </c>
      <c r="DB64" s="21" t="n">
        <v>179.94</v>
      </c>
      <c r="DC64" s="21" t="n">
        <v>183.737</v>
      </c>
      <c r="DD64" s="21" t="n">
        <v>152.044</v>
      </c>
      <c r="DE64" s="21" t="n">
        <v>198.759</v>
      </c>
      <c r="DF64" s="21" t="n">
        <v>255.66</v>
      </c>
      <c r="DG64" s="21" t="n">
        <v>207.917</v>
      </c>
      <c r="DH64" s="21" t="n">
        <v>236.893</v>
      </c>
      <c r="DI64" s="21" t="n">
        <v>194.605</v>
      </c>
      <c r="DJ64" s="21" t="n">
        <v>207.491</v>
      </c>
      <c r="DK64" s="21" t="n">
        <v>190.477</v>
      </c>
      <c r="DL64" s="21" t="n">
        <v>171.868</v>
      </c>
      <c r="DM64" s="21" t="n">
        <v>359.743</v>
      </c>
      <c r="DN64" s="21" t="n">
        <v>195.015</v>
      </c>
      <c r="DO64" s="21" t="n">
        <v>270.321</v>
      </c>
      <c r="DP64" s="21" t="n">
        <v>324.54</v>
      </c>
      <c r="DQ64" s="21" t="n">
        <v>339.502</v>
      </c>
      <c r="DR64" s="21" t="n">
        <v>156.238</v>
      </c>
      <c r="DS64" s="21" t="n">
        <v>571.846</v>
      </c>
      <c r="DT64" s="21" t="n">
        <v>316.293</v>
      </c>
      <c r="DU64" s="21" t="n">
        <v>332.877</v>
      </c>
      <c r="DV64" s="21" t="n">
        <v>332.917</v>
      </c>
      <c r="DW64" s="21" t="n">
        <v>242.654</v>
      </c>
      <c r="DX64" s="21" t="n">
        <v>198.631</v>
      </c>
      <c r="DY64" s="21" t="n">
        <v>241.321</v>
      </c>
      <c r="DZ64" s="21" t="n">
        <v>223.851</v>
      </c>
      <c r="EA64" s="21" t="n">
        <v>316.296</v>
      </c>
      <c r="EB64" s="21" t="n">
        <v>203.448</v>
      </c>
      <c r="EC64" s="21" t="n">
        <v>213.452</v>
      </c>
      <c r="ED64" s="21" t="n">
        <v>170.647</v>
      </c>
      <c r="EE64" s="21" t="n">
        <v>250.359</v>
      </c>
      <c r="EF64" s="21" t="n">
        <v>580.394</v>
      </c>
      <c r="EG64" s="21" t="n">
        <v>495.288</v>
      </c>
      <c r="EH64" s="21" t="n">
        <v>124.157</v>
      </c>
      <c r="EI64" s="21" t="n">
        <v>57.435</v>
      </c>
      <c r="EJ64" s="21" t="n">
        <v>67.422</v>
      </c>
      <c r="EK64" s="21" t="n">
        <v>43.164</v>
      </c>
      <c r="EL64" s="21" t="n">
        <v>113.176</v>
      </c>
      <c r="EM64" s="21" t="n">
        <v>68.026</v>
      </c>
      <c r="EN64" s="21" t="n">
        <v>77.227</v>
      </c>
      <c r="EO64" s="21" t="n">
        <v>83.143</v>
      </c>
      <c r="EP64" s="21" t="n">
        <v>92.498</v>
      </c>
      <c r="EQ64" s="21" t="n">
        <v>66.93300000000001</v>
      </c>
      <c r="ER64" s="21" t="n">
        <v>49.249</v>
      </c>
      <c r="ES64" s="21" t="n">
        <v>129.946</v>
      </c>
      <c r="ET64" s="21" t="n">
        <v>77.96599999999999</v>
      </c>
      <c r="EU64" s="21" t="n">
        <v>91.602</v>
      </c>
      <c r="EV64" s="21" t="n">
        <v>99.175</v>
      </c>
      <c r="EW64" s="21" t="n">
        <v>87.878</v>
      </c>
      <c r="EX64" s="21" t="n">
        <v>190.279</v>
      </c>
      <c r="EY64" s="21" t="n">
        <v>121.468</v>
      </c>
      <c r="EZ64" s="21" t="n">
        <v>117.825</v>
      </c>
      <c r="FA64" s="21" t="n">
        <v>176.74</v>
      </c>
      <c r="FB64" s="21" t="n">
        <v>121.558</v>
      </c>
      <c r="FC64" s="21" t="n">
        <v>117.161</v>
      </c>
      <c r="FD64" s="21" t="n">
        <v>120.318</v>
      </c>
      <c r="FE64" s="21" t="n">
        <v>106.788</v>
      </c>
      <c r="FF64" s="21" t="n">
        <v>160.802</v>
      </c>
      <c r="FG64" s="21" t="n">
        <v>72.90300000000001</v>
      </c>
      <c r="FH64" s="21" t="n">
        <v>119.55</v>
      </c>
      <c r="FI64" s="21" t="n">
        <v>103.34</v>
      </c>
      <c r="FJ64" s="21" t="n">
        <v>103.883</v>
      </c>
      <c r="FK64" s="21" t="n">
        <v>105.62</v>
      </c>
      <c r="FL64" s="21" t="n">
        <v>97.69199999999999</v>
      </c>
      <c r="FM64" s="21" t="n">
        <v>107.91</v>
      </c>
      <c r="FN64" s="21" t="n">
        <v>71.827</v>
      </c>
      <c r="FO64" s="21" t="n">
        <v>105.877</v>
      </c>
      <c r="FP64" s="21" t="n">
        <v>95.357</v>
      </c>
      <c r="FQ64" s="21" t="n">
        <v>135.192</v>
      </c>
      <c r="FR64" s="21" t="n">
        <v>137.453</v>
      </c>
      <c r="FS64" s="21" t="n">
        <v>158.009</v>
      </c>
      <c r="FT64" s="21" t="n">
        <v>123.769</v>
      </c>
      <c r="FU64" s="21" t="n">
        <v>112.292</v>
      </c>
      <c r="FV64" s="21" t="n">
        <v>170.252</v>
      </c>
      <c r="FW64" s="21" t="n">
        <v>143.381</v>
      </c>
      <c r="FX64" s="21" t="n">
        <v>165.636</v>
      </c>
      <c r="FY64" s="21" t="n">
        <v>204.709</v>
      </c>
      <c r="FZ64" s="21" t="n">
        <v>201.539</v>
      </c>
      <c r="GA64" s="21" t="n">
        <v>100.015</v>
      </c>
      <c r="GB64" s="21" t="n">
        <v>147.67</v>
      </c>
      <c r="GC64" s="21" t="n">
        <v>101.732</v>
      </c>
      <c r="GD64" s="21" t="n">
        <v>144.245</v>
      </c>
      <c r="GE64" s="21" t="n">
        <v>157.063</v>
      </c>
      <c r="GF64" s="21" t="n"/>
      <c r="GG64" s="21" t="n">
        <v>141.667</v>
      </c>
      <c r="GH64" s="21" t="n">
        <v>84.83</v>
      </c>
      <c r="GI64" s="21" t="n">
        <v>126.951</v>
      </c>
      <c r="GJ64" s="21" t="n">
        <v>206.154</v>
      </c>
      <c r="GK64" s="21" t="n">
        <v>204.901</v>
      </c>
      <c r="GL64" s="21" t="n">
        <v>198.888</v>
      </c>
      <c r="GM64" s="21" t="n">
        <v>227.647</v>
      </c>
      <c r="GN64" s="21" t="n">
        <v>227.622</v>
      </c>
      <c r="GO64" s="21" t="n">
        <v>202.915</v>
      </c>
      <c r="GP64" s="21" t="n">
        <v>148.19</v>
      </c>
      <c r="GQ64" s="21" t="n">
        <v>125.377</v>
      </c>
      <c r="GR64" s="21" t="n">
        <v>304.131</v>
      </c>
      <c r="GS64" s="21" t="n">
        <v>184.825</v>
      </c>
      <c r="GT64" s="21" t="n">
        <v>575.7430000000001</v>
      </c>
      <c r="GU64" s="21" t="n">
        <v>216.153</v>
      </c>
      <c r="GV64" s="21" t="n">
        <v>243.519</v>
      </c>
      <c r="GW64" s="21" t="n">
        <v>237.558</v>
      </c>
      <c r="GX64" s="21" t="n">
        <v>233.537</v>
      </c>
      <c r="GY64" s="21" t="n">
        <v>150.702</v>
      </c>
      <c r="GZ64" s="21" t="n"/>
      <c r="HA64" s="21" t="n">
        <v>61.143</v>
      </c>
      <c r="HB64" s="21" t="n">
        <v>514.7430000000001</v>
      </c>
      <c r="HC64" s="21" t="n">
        <v>384.498</v>
      </c>
      <c r="HD64" s="21" t="n">
        <v>125.914</v>
      </c>
      <c r="HE64" s="21" t="n">
        <v>533.885</v>
      </c>
      <c r="HF64" s="21" t="n">
        <v>96.953</v>
      </c>
      <c r="HG64" s="21" t="n">
        <v>556.748</v>
      </c>
      <c r="HH64" s="21" t="n">
        <v>386.026</v>
      </c>
      <c r="HI64" s="21" t="n">
        <v>386.483</v>
      </c>
      <c r="HJ64" s="21" t="n">
        <v>505.448</v>
      </c>
      <c r="HK64" s="21" t="n">
        <v>192.006</v>
      </c>
      <c r="HL64" s="21" t="n">
        <v>240.707</v>
      </c>
      <c r="HM64" s="21" t="n">
        <v>83.324</v>
      </c>
      <c r="HN64" s="21" t="n">
        <v>351.35</v>
      </c>
      <c r="HO64" s="21" t="n">
        <v>340.909</v>
      </c>
      <c r="HP64" s="21" t="n">
        <v>772.073</v>
      </c>
      <c r="HQ64" s="21" t="n">
        <v>239.324</v>
      </c>
      <c r="HR64" s="21" t="n">
        <v>121.891</v>
      </c>
      <c r="HS64" s="21" t="n">
        <v>105.86</v>
      </c>
      <c r="HT64" s="21" t="n">
        <v>135.878</v>
      </c>
      <c r="HU64" s="21" t="n">
        <v>491.768</v>
      </c>
      <c r="HV64" s="21" t="n">
        <v>119.633</v>
      </c>
      <c r="HW64" s="21" t="n">
        <v>26.999</v>
      </c>
      <c r="HX64" s="21" t="n">
        <v>180.134</v>
      </c>
      <c r="HY64" s="21" t="n">
        <v>205.207</v>
      </c>
      <c r="HZ64" s="21" t="n">
        <v>156.25</v>
      </c>
      <c r="IA64" s="21" t="n">
        <v>118.424</v>
      </c>
      <c r="IB64" s="21" t="n">
        <v>258.264</v>
      </c>
      <c r="IC64" s="21" t="n">
        <v>199.039</v>
      </c>
      <c r="ID64" s="21" t="n">
        <v>273.358</v>
      </c>
      <c r="IE64" s="21" t="n">
        <v>112.053</v>
      </c>
      <c r="IF64" s="21" t="n">
        <v>153.566</v>
      </c>
      <c r="IG64" s="21" t="n">
        <v>77.527</v>
      </c>
      <c r="IH64" s="21" t="n">
        <v>76.267</v>
      </c>
      <c r="II64" s="21" t="n">
        <v>57.308</v>
      </c>
      <c r="IJ64" s="21" t="n">
        <v>23.875</v>
      </c>
      <c r="IK64" s="21" t="n">
        <v>33.677</v>
      </c>
      <c r="IL64" s="21" t="n">
        <v>29.391</v>
      </c>
      <c r="IM64" s="21" t="n">
        <v>36.704</v>
      </c>
      <c r="IN64" s="21" t="n">
        <v>94.72199999999999</v>
      </c>
      <c r="IO64" s="21" t="n">
        <v>105.216</v>
      </c>
      <c r="IP64" s="21" t="n">
        <v>175.412</v>
      </c>
      <c r="IQ64" s="21" t="n">
        <v>146.343</v>
      </c>
      <c r="IR64" s="21" t="n">
        <v>397.663</v>
      </c>
      <c r="IS64" s="21" t="n">
        <v>190.094</v>
      </c>
      <c r="IT64" s="21" t="n">
        <v>232.141</v>
      </c>
      <c r="IU64" s="21" t="n">
        <v>321.432</v>
      </c>
      <c r="IV64" s="21" t="n">
        <v>263.738</v>
      </c>
      <c r="IW64" s="21" t="n">
        <v>139.348</v>
      </c>
      <c r="IX64" s="21" t="n">
        <v>270.177</v>
      </c>
      <c r="IY64" s="21" t="n">
        <v>671.048</v>
      </c>
      <c r="IZ64" s="21" t="n">
        <v>776.352</v>
      </c>
      <c r="JA64" s="21" t="n">
        <v>876.973</v>
      </c>
      <c r="JB64" s="21" t="n">
        <v>84.45399999999999</v>
      </c>
      <c r="JC64" s="21" t="n">
        <v>310.546</v>
      </c>
      <c r="JD64" s="21" t="n">
        <v>257.324</v>
      </c>
      <c r="JE64" s="21" t="n">
        <v>73.70099999999999</v>
      </c>
      <c r="JF64" s="21" t="n">
        <v>200.74</v>
      </c>
      <c r="JG64" s="21" t="n">
        <v>316.376</v>
      </c>
      <c r="JH64" s="21" t="n">
        <v>318.457</v>
      </c>
      <c r="JI64" s="21" t="n">
        <v>69.631</v>
      </c>
      <c r="JJ64" s="21" t="n">
        <v>109.461</v>
      </c>
      <c r="JK64" s="21" t="n">
        <v>38.706</v>
      </c>
      <c r="JL64" s="21" t="n">
        <v>78.06100000000001</v>
      </c>
      <c r="JM64" s="21" t="n">
        <v>192.792</v>
      </c>
      <c r="JN64" s="21" t="n">
        <v>460.9</v>
      </c>
      <c r="JO64" s="21" t="n">
        <v>73.312</v>
      </c>
      <c r="JP64" s="21" t="n">
        <v>477.891</v>
      </c>
      <c r="JQ64" s="21" t="n">
        <v>237.797</v>
      </c>
      <c r="JR64" s="21" t="n">
        <v>161.018</v>
      </c>
      <c r="JS64" s="21" t="n">
        <v>457.608</v>
      </c>
      <c r="JT64" s="21" t="n">
        <v>369.233</v>
      </c>
      <c r="JU64" s="21" t="n">
        <v>341.245</v>
      </c>
      <c r="JV64" s="21" t="n">
        <v>179.985</v>
      </c>
      <c r="JW64" s="21" t="n">
        <v>373.578</v>
      </c>
      <c r="JX64" s="21" t="n">
        <v>262.909</v>
      </c>
      <c r="JY64" s="21" t="n">
        <v>76.39</v>
      </c>
      <c r="JZ64" s="21" t="n">
        <v>155.774</v>
      </c>
      <c r="KA64" s="21" t="n">
        <v>245.777</v>
      </c>
      <c r="KB64" s="21" t="n">
        <v>265.665</v>
      </c>
      <c r="KC64" s="21" t="n">
        <v>257.35</v>
      </c>
      <c r="KD64" s="21" t="n">
        <v>267.054</v>
      </c>
      <c r="KE64" s="21" t="n">
        <v>235.157</v>
      </c>
      <c r="KF64" s="21" t="n">
        <v>228.085</v>
      </c>
      <c r="KG64" s="21" t="n">
        <v>235.189</v>
      </c>
      <c r="KH64" s="21" t="n">
        <v>240.908</v>
      </c>
      <c r="KI64" s="21" t="n">
        <v>113.989</v>
      </c>
      <c r="KJ64" s="21" t="n">
        <v>184.356</v>
      </c>
      <c r="KK64" s="21" t="n">
        <v>150.276</v>
      </c>
      <c r="KL64" s="21" t="n">
        <v>146.734</v>
      </c>
      <c r="KM64" s="21" t="n">
        <v>144.488</v>
      </c>
      <c r="KN64" s="21" t="n">
        <v>145.354</v>
      </c>
      <c r="KO64" s="21" t="n">
        <v>252.974</v>
      </c>
      <c r="KP64" s="21" t="n">
        <v>104.818</v>
      </c>
      <c r="KQ64" s="21" t="n">
        <v>69.538</v>
      </c>
      <c r="KR64" s="21" t="n">
        <v>112.6</v>
      </c>
      <c r="KS64" s="21" t="n">
        <v>201.681</v>
      </c>
      <c r="KT64" s="21" t="n">
        <v>209.521</v>
      </c>
      <c r="KU64" s="21" t="n">
        <v>90.51300000000001</v>
      </c>
      <c r="KV64" s="21" t="n">
        <v>49.78</v>
      </c>
      <c r="KW64" s="21" t="n">
        <v>224.896</v>
      </c>
      <c r="KX64" s="21" t="n">
        <v>193.001</v>
      </c>
      <c r="KY64" s="21" t="n">
        <v>236.13</v>
      </c>
      <c r="KZ64" s="21" t="n">
        <v>189.08</v>
      </c>
      <c r="LA64" s="21" t="n">
        <v>235.331</v>
      </c>
      <c r="LB64" s="21" t="n">
        <v>116.84</v>
      </c>
      <c r="LC64" s="21" t="n">
        <v>365.239</v>
      </c>
      <c r="LD64" s="21" t="n">
        <v>79.12</v>
      </c>
      <c r="LE64" s="21" t="n">
        <v>126.917</v>
      </c>
      <c r="LF64" s="21" t="n">
        <v>338.426</v>
      </c>
      <c r="LG64" s="21" t="n">
        <v>330.98</v>
      </c>
      <c r="LH64" s="21" t="n">
        <v>343.768</v>
      </c>
      <c r="LI64" s="21" t="n">
        <v>313.918</v>
      </c>
      <c r="LJ64" s="21" t="n">
        <v>348.117</v>
      </c>
      <c r="LK64" s="21" t="n">
        <v>105.781</v>
      </c>
      <c r="LL64" s="21" t="n">
        <v>321.192</v>
      </c>
      <c r="LM64" s="21" t="n">
        <v>217.683</v>
      </c>
      <c r="LN64" s="21" t="n">
        <v>37.144</v>
      </c>
      <c r="LO64" s="21" t="n">
        <v>130.244</v>
      </c>
    </row>
    <row r="65">
      <c r="A65" s="22" t="n">
        <v>43922</v>
      </c>
      <c r="B65" s="21" t="n">
        <v>256.032</v>
      </c>
      <c r="C65" s="21" t="n">
        <v>265.777</v>
      </c>
      <c r="D65" s="21" t="n">
        <v>266.37</v>
      </c>
      <c r="E65" s="21" t="n">
        <v>251.063</v>
      </c>
      <c r="F65" s="21" t="n">
        <v>285.101</v>
      </c>
      <c r="G65" s="21" t="n">
        <v>231.71</v>
      </c>
      <c r="H65" s="21" t="n">
        <v>239.928</v>
      </c>
      <c r="I65" s="21" t="n">
        <v>224.844</v>
      </c>
      <c r="J65" s="21" t="n">
        <v>244.121</v>
      </c>
      <c r="K65" s="21" t="n">
        <v>315.786</v>
      </c>
      <c r="L65" s="21" t="n">
        <v>194.227</v>
      </c>
      <c r="M65" s="21" t="n">
        <v>187.332</v>
      </c>
      <c r="N65" s="21" t="n">
        <v>296.846</v>
      </c>
      <c r="O65" s="21" t="n">
        <v>286.192</v>
      </c>
      <c r="P65" s="21" t="n">
        <v>278.602</v>
      </c>
      <c r="Q65" s="21" t="n">
        <v>319.574</v>
      </c>
      <c r="R65" s="21" t="n">
        <v>272.442</v>
      </c>
      <c r="S65" s="21" t="n">
        <v>265.629</v>
      </c>
      <c r="T65" s="21" t="n">
        <v>268.059</v>
      </c>
      <c r="U65" s="21" t="n">
        <v>270.285</v>
      </c>
      <c r="V65" s="21" t="n">
        <v>328.645</v>
      </c>
      <c r="W65" s="21" t="n">
        <v>293.69</v>
      </c>
      <c r="X65" s="21" t="n">
        <v>253.753</v>
      </c>
      <c r="Y65" s="21" t="n">
        <v>218.087</v>
      </c>
      <c r="Z65" s="21" t="n">
        <v>225.135</v>
      </c>
      <c r="AA65" s="21" t="n">
        <v>163.936</v>
      </c>
      <c r="AB65" s="21" t="n">
        <v>302.555</v>
      </c>
      <c r="AC65" s="21" t="n">
        <v>152.078</v>
      </c>
      <c r="AD65" s="21" t="n">
        <v>216.7</v>
      </c>
      <c r="AE65" s="21" t="n">
        <v>241.602</v>
      </c>
      <c r="AF65" s="21" t="n">
        <v>204.752</v>
      </c>
      <c r="AG65" s="21" t="n">
        <v>140.016</v>
      </c>
      <c r="AH65" s="21" t="n">
        <v>233.168</v>
      </c>
      <c r="AI65" s="21" t="n">
        <v>247.663</v>
      </c>
      <c r="AJ65" s="21" t="n">
        <v>149.934</v>
      </c>
      <c r="AK65" s="21" t="n">
        <v>247.004</v>
      </c>
      <c r="AL65" s="21" t="n">
        <v>159.995</v>
      </c>
      <c r="AM65" s="21" t="n">
        <v>267.206</v>
      </c>
      <c r="AN65" s="21" t="n">
        <v>236.912</v>
      </c>
      <c r="AO65" s="21" t="n">
        <v>156.619</v>
      </c>
      <c r="AP65" s="21" t="n">
        <v>312.647</v>
      </c>
      <c r="AQ65" s="21" t="n">
        <v>197.665</v>
      </c>
      <c r="AR65" s="21" t="n">
        <v>153.816</v>
      </c>
      <c r="AS65" s="21" t="n">
        <v>219.534</v>
      </c>
      <c r="AT65" s="21" t="n">
        <v>322.893</v>
      </c>
      <c r="AU65" s="21" t="n">
        <v>233.596</v>
      </c>
      <c r="AV65" s="21" t="n">
        <v>228.755</v>
      </c>
      <c r="AW65" s="21" t="n">
        <v>147.742</v>
      </c>
      <c r="AX65" s="21" t="n">
        <v>209.286</v>
      </c>
      <c r="AY65" s="21" t="n">
        <v>152.919</v>
      </c>
      <c r="AZ65" s="21" t="n">
        <v>240.897</v>
      </c>
      <c r="BA65" s="21" t="n">
        <v>230.732</v>
      </c>
      <c r="BB65" s="21" t="n">
        <v>152.002</v>
      </c>
      <c r="BC65" s="21" t="n">
        <v>303.282</v>
      </c>
      <c r="BD65" s="21" t="n">
        <v>350.093</v>
      </c>
      <c r="BE65" s="21" t="n">
        <v>355.198</v>
      </c>
      <c r="BF65" s="21" t="n">
        <v>327.429</v>
      </c>
      <c r="BG65" s="21" t="n">
        <v>195.89</v>
      </c>
      <c r="BH65" s="21" t="n">
        <v>247.229</v>
      </c>
      <c r="BI65" s="21" t="n">
        <v>495.736</v>
      </c>
      <c r="BJ65" s="21" t="n">
        <v>118.222</v>
      </c>
      <c r="BK65" s="21" t="n">
        <v>343.231</v>
      </c>
      <c r="BL65" s="21" t="n">
        <v>383.887</v>
      </c>
      <c r="BM65" s="21" t="n">
        <v>323.232</v>
      </c>
      <c r="BN65" s="21" t="n">
        <v>354.763</v>
      </c>
      <c r="BO65" s="21" t="n">
        <v>337.841</v>
      </c>
      <c r="BP65" s="21" t="n">
        <v>161.254</v>
      </c>
      <c r="BQ65" s="21" t="n">
        <v>169.509</v>
      </c>
      <c r="BR65" s="21" t="n">
        <v>162.156</v>
      </c>
      <c r="BS65" s="21" t="n">
        <v>180.743</v>
      </c>
      <c r="BT65" s="21" t="n">
        <v>149.199</v>
      </c>
      <c r="BU65" s="21" t="n">
        <v>206.269</v>
      </c>
      <c r="BV65" s="21" t="n">
        <v>157.069</v>
      </c>
      <c r="BW65" s="21" t="n">
        <v>178.715</v>
      </c>
      <c r="BX65" s="21" t="n">
        <v>140.947</v>
      </c>
      <c r="BY65" s="21" t="n">
        <v>181.089</v>
      </c>
      <c r="BZ65" s="21" t="n">
        <v>126.71</v>
      </c>
      <c r="CA65" s="21" t="n">
        <v>118.663</v>
      </c>
      <c r="CB65" s="21" t="n">
        <v>195.979</v>
      </c>
      <c r="CC65" s="21" t="n">
        <v>205.022</v>
      </c>
      <c r="CD65" s="21" t="n">
        <v>133.88</v>
      </c>
      <c r="CE65" s="21" t="n">
        <v>218.519</v>
      </c>
      <c r="CF65" s="21" t="n">
        <v>227.755</v>
      </c>
      <c r="CG65" s="21" t="n">
        <v>200.973</v>
      </c>
      <c r="CH65" s="21" t="n">
        <v>155.794</v>
      </c>
      <c r="CI65" s="21" t="n">
        <v>154.58</v>
      </c>
      <c r="CJ65" s="21" t="n">
        <v>231.037</v>
      </c>
      <c r="CK65" s="21" t="n">
        <v>208.02</v>
      </c>
      <c r="CL65" s="21" t="n">
        <v>249.267</v>
      </c>
      <c r="CM65" s="21" t="n">
        <v>303.863</v>
      </c>
      <c r="CN65" s="21" t="n">
        <v>132.73</v>
      </c>
      <c r="CO65" s="21" t="n">
        <v>158.056</v>
      </c>
      <c r="CP65" s="21" t="n">
        <v>233.715</v>
      </c>
      <c r="CQ65" s="21" t="n">
        <v>257.286</v>
      </c>
      <c r="CR65" s="21" t="n">
        <v>171.731</v>
      </c>
      <c r="CS65" s="21" t="n">
        <v>261.504</v>
      </c>
      <c r="CT65" s="21" t="n">
        <v>250.679</v>
      </c>
      <c r="CU65" s="21" t="n">
        <v>156.839</v>
      </c>
      <c r="CV65" s="21" t="n">
        <v>148.438</v>
      </c>
      <c r="CW65" s="21" t="n">
        <v>145.662</v>
      </c>
      <c r="CX65" s="21" t="n">
        <v>281.612</v>
      </c>
      <c r="CY65" s="21" t="n">
        <v>137.787</v>
      </c>
      <c r="CZ65" s="21" t="n">
        <v>128.299</v>
      </c>
      <c r="DA65" s="21" t="n">
        <v>290.639</v>
      </c>
      <c r="DB65" s="21" t="n">
        <v>179.359</v>
      </c>
      <c r="DC65" s="21" t="n">
        <v>183.714</v>
      </c>
      <c r="DD65" s="21" t="n"/>
      <c r="DE65" s="21" t="n">
        <v>199.425</v>
      </c>
      <c r="DF65" s="21" t="n">
        <v>256.423</v>
      </c>
      <c r="DG65" s="21" t="n">
        <v>208.853</v>
      </c>
      <c r="DH65" s="21" t="n">
        <v>240.502</v>
      </c>
      <c r="DI65" s="21" t="n">
        <v>195.435</v>
      </c>
      <c r="DJ65" s="21" t="n">
        <v>206.391</v>
      </c>
      <c r="DK65" s="21" t="n">
        <v>192.102</v>
      </c>
      <c r="DL65" s="21" t="n">
        <v>171.142</v>
      </c>
      <c r="DM65" s="21" t="n">
        <v>359.839</v>
      </c>
      <c r="DN65" s="21" t="n"/>
      <c r="DO65" s="21" t="n">
        <v>270.366</v>
      </c>
      <c r="DP65" s="21" t="n">
        <v>324.391</v>
      </c>
      <c r="DQ65" s="21" t="n">
        <v>340.225</v>
      </c>
      <c r="DR65" s="21" t="n">
        <v>143.351</v>
      </c>
      <c r="DS65" s="21" t="n">
        <v>573.0069999999999</v>
      </c>
      <c r="DT65" s="21" t="n">
        <v>286.543</v>
      </c>
      <c r="DU65" s="21" t="n">
        <v>333.532</v>
      </c>
      <c r="DV65" s="21" t="n">
        <v>333.566</v>
      </c>
      <c r="DW65" s="21" t="n">
        <v>242.395</v>
      </c>
      <c r="DX65" s="21" t="n">
        <v>198.264</v>
      </c>
      <c r="DY65" s="21" t="n">
        <v>220.328</v>
      </c>
      <c r="DZ65" s="21" t="n">
        <v>193.349</v>
      </c>
      <c r="EA65" s="21" t="n">
        <v>311.397</v>
      </c>
      <c r="EB65" s="21" t="n">
        <v>203.861</v>
      </c>
      <c r="EC65" s="21" t="n">
        <v>213.621</v>
      </c>
      <c r="ED65" s="21" t="n">
        <v>171.753</v>
      </c>
      <c r="EE65" s="21" t="n">
        <v>250.673</v>
      </c>
      <c r="EF65" s="21" t="n">
        <v>581.7569999999999</v>
      </c>
      <c r="EG65" s="21" t="n">
        <v>494.432</v>
      </c>
      <c r="EH65" s="21" t="n">
        <v>124.88</v>
      </c>
      <c r="EI65" s="21" t="n">
        <v>57.3</v>
      </c>
      <c r="EJ65" s="21" t="n">
        <v>67.98399999999999</v>
      </c>
      <c r="EK65" s="21" t="n">
        <v>42.928</v>
      </c>
      <c r="EL65" s="21" t="n">
        <v>111.007</v>
      </c>
      <c r="EM65" s="21" t="n">
        <v>67.31699999999999</v>
      </c>
      <c r="EN65" s="21" t="n">
        <v>78.01600000000001</v>
      </c>
      <c r="EO65" s="21" t="n">
        <v>84.474</v>
      </c>
      <c r="EP65" s="21" t="n">
        <v>93.848</v>
      </c>
      <c r="EQ65" s="21" t="n">
        <v>67.53400000000001</v>
      </c>
      <c r="ER65" s="21" t="n">
        <v>49.935</v>
      </c>
      <c r="ES65" s="21" t="n">
        <v>133.331</v>
      </c>
      <c r="ET65" s="21" t="n">
        <v>77.834</v>
      </c>
      <c r="EU65" s="21" t="n">
        <v>92.062</v>
      </c>
      <c r="EV65" s="21" t="n">
        <v>99.598</v>
      </c>
      <c r="EW65" s="21" t="n">
        <v>88.39100000000001</v>
      </c>
      <c r="EX65" s="21" t="n">
        <v>195.194</v>
      </c>
      <c r="EY65" s="21" t="n">
        <v>122.61</v>
      </c>
      <c r="EZ65" s="21" t="n">
        <v>121.416</v>
      </c>
      <c r="FA65" s="21" t="n">
        <v>175.608</v>
      </c>
      <c r="FB65" s="21" t="n">
        <v>117.065</v>
      </c>
      <c r="FC65" s="21" t="n">
        <v>111.931</v>
      </c>
      <c r="FD65" s="21" t="n">
        <v>114.79</v>
      </c>
      <c r="FE65" s="21" t="n">
        <v>93.45099999999999</v>
      </c>
      <c r="FF65" s="21" t="n">
        <v>159.096</v>
      </c>
      <c r="FG65" s="21" t="n">
        <v>71.40900000000001</v>
      </c>
      <c r="FH65" s="21" t="n">
        <v>114.948</v>
      </c>
      <c r="FI65" s="21" t="n">
        <v>100.112</v>
      </c>
      <c r="FJ65" s="21" t="n">
        <v>99.52200000000001</v>
      </c>
      <c r="FK65" s="21" t="n">
        <v>100.494</v>
      </c>
      <c r="FL65" s="21" t="n">
        <v>91.67700000000001</v>
      </c>
      <c r="FM65" s="21" t="n">
        <v>98.491</v>
      </c>
      <c r="FN65" s="21" t="n">
        <v>69.50700000000001</v>
      </c>
      <c r="FO65" s="21" t="n">
        <v>100.428</v>
      </c>
      <c r="FP65" s="21" t="n">
        <v>94.432</v>
      </c>
      <c r="FQ65" s="21" t="n">
        <v>131.887</v>
      </c>
      <c r="FR65" s="21" t="n">
        <v>136.454</v>
      </c>
      <c r="FS65" s="21" t="n">
        <v>152.674</v>
      </c>
      <c r="FT65" s="21" t="n">
        <v>118.725</v>
      </c>
      <c r="FU65" s="21" t="n">
        <v>108.203</v>
      </c>
      <c r="FV65" s="21" t="n">
        <v>167.253</v>
      </c>
      <c r="FW65" s="21" t="n">
        <v>141.765</v>
      </c>
      <c r="FX65" s="21" t="n">
        <v>164.72</v>
      </c>
      <c r="FY65" s="21" t="n">
        <v>192.375</v>
      </c>
      <c r="FZ65" s="21" t="n">
        <v>190.021</v>
      </c>
      <c r="GA65" s="21" t="n">
        <v>98.833</v>
      </c>
      <c r="GB65" s="21" t="n">
        <v>146.838</v>
      </c>
      <c r="GC65" s="21" t="n">
        <v>101.741</v>
      </c>
      <c r="GD65" s="21" t="n">
        <v>143.322</v>
      </c>
      <c r="GE65" s="21" t="n">
        <v>156.407</v>
      </c>
      <c r="GF65" s="21" t="n"/>
      <c r="GG65" s="21" t="n">
        <v>138.89</v>
      </c>
      <c r="GH65" s="21" t="n"/>
      <c r="GI65" s="21" t="n">
        <v>103.752</v>
      </c>
      <c r="GJ65" s="21" t="n">
        <v>166.329</v>
      </c>
      <c r="GK65" s="21" t="n">
        <v>164.836</v>
      </c>
      <c r="GL65" s="21" t="n">
        <v>158.872</v>
      </c>
      <c r="GM65" s="21" t="n">
        <v>190.932</v>
      </c>
      <c r="GN65" s="21" t="n">
        <v>192.935</v>
      </c>
      <c r="GO65" s="21" t="n">
        <v>186.26</v>
      </c>
      <c r="GP65" s="21" t="n">
        <v>147.403</v>
      </c>
      <c r="GQ65" s="21" t="n">
        <v>124.59</v>
      </c>
      <c r="GR65" s="21" t="n">
        <v>304.376</v>
      </c>
      <c r="GS65" s="21" t="n">
        <v>185.235</v>
      </c>
      <c r="GT65" s="21" t="n">
        <v>533.873</v>
      </c>
      <c r="GU65" s="21" t="n">
        <v>211.297</v>
      </c>
      <c r="GV65" s="21" t="n">
        <v>239.866</v>
      </c>
      <c r="GW65" s="21" t="n">
        <v>214.544</v>
      </c>
      <c r="GX65" s="21" t="n">
        <v>196.819</v>
      </c>
      <c r="GY65" s="21" t="n">
        <v>150.1</v>
      </c>
      <c r="GZ65" s="21" t="n"/>
      <c r="HA65" s="21" t="n">
        <v>60.806</v>
      </c>
      <c r="HB65" s="21" t="n">
        <v>516.77</v>
      </c>
      <c r="HC65" s="21" t="n">
        <v>383.911</v>
      </c>
      <c r="HD65" s="21" t="n">
        <v>125.751</v>
      </c>
      <c r="HE65" s="21" t="n">
        <v>533.7670000000001</v>
      </c>
      <c r="HF65" s="21" t="n">
        <v>96.545</v>
      </c>
      <c r="HG65" s="21" t="n">
        <v>559.62</v>
      </c>
      <c r="HH65" s="21" t="n">
        <v>387.312</v>
      </c>
      <c r="HI65" s="21" t="n">
        <v>386.862</v>
      </c>
      <c r="HJ65" s="21" t="n">
        <v>507.917</v>
      </c>
      <c r="HK65" s="21" t="n">
        <v>192.051</v>
      </c>
      <c r="HL65" s="21" t="n">
        <v>241.085</v>
      </c>
      <c r="HM65" s="21" t="n">
        <v>83.623</v>
      </c>
      <c r="HN65" s="21" t="n">
        <v>352.676</v>
      </c>
      <c r="HO65" s="21" t="n">
        <v>342.044</v>
      </c>
      <c r="HP65" s="21" t="n">
        <v>771.403</v>
      </c>
      <c r="HQ65" s="21" t="n">
        <v>240.255</v>
      </c>
      <c r="HR65" s="21" t="n">
        <v>121.672</v>
      </c>
      <c r="HS65" s="21" t="n">
        <v>106.142</v>
      </c>
      <c r="HT65" s="21" t="n">
        <v>135.002</v>
      </c>
      <c r="HU65" s="21" t="n">
        <v>494.137</v>
      </c>
      <c r="HV65" s="21" t="n">
        <v>119.932</v>
      </c>
      <c r="HW65" s="21" t="n">
        <v>26.793</v>
      </c>
      <c r="HX65" s="21" t="n">
        <v>179.033</v>
      </c>
      <c r="HY65" s="21" t="n">
        <v>202.746</v>
      </c>
      <c r="HZ65" s="21" t="n">
        <v>155.792</v>
      </c>
      <c r="IA65" s="21" t="n">
        <v>115.184</v>
      </c>
      <c r="IB65" s="21" t="n">
        <v>258.48</v>
      </c>
      <c r="IC65" s="21" t="n">
        <v>198.21</v>
      </c>
      <c r="ID65" s="21" t="n">
        <v>274.089</v>
      </c>
      <c r="IE65" s="21" t="n">
        <v>111.084</v>
      </c>
      <c r="IF65" s="21" t="n">
        <v>152.322</v>
      </c>
      <c r="IG65" s="21" t="n">
        <v>76.797</v>
      </c>
      <c r="IH65" s="21" t="n">
        <v>75.42700000000001</v>
      </c>
      <c r="II65" s="21" t="n">
        <v>57.447</v>
      </c>
      <c r="IJ65" s="21" t="n">
        <v>23.931</v>
      </c>
      <c r="IK65" s="21" t="n">
        <v>33.491</v>
      </c>
      <c r="IL65" s="21" t="n">
        <v>29.161</v>
      </c>
      <c r="IM65" s="21" t="n">
        <v>36.588</v>
      </c>
      <c r="IN65" s="21" t="n">
        <v>93.505</v>
      </c>
      <c r="IO65" s="21" t="n">
        <v>106.458</v>
      </c>
      <c r="IP65" s="21" t="n">
        <v>175.571</v>
      </c>
      <c r="IQ65" s="21" t="n">
        <v>147.114</v>
      </c>
      <c r="IR65" s="21" t="n">
        <v>396.562</v>
      </c>
      <c r="IS65" s="21" t="n">
        <v>188.129</v>
      </c>
      <c r="IT65" s="21" t="n">
        <v>238.247</v>
      </c>
      <c r="IU65" s="21" t="n"/>
      <c r="IV65" s="21" t="n">
        <v>261.502</v>
      </c>
      <c r="IW65" s="21" t="n">
        <v>139.617</v>
      </c>
      <c r="IX65" s="21" t="n">
        <v>270.715</v>
      </c>
      <c r="IY65" s="21" t="n">
        <v>677.144</v>
      </c>
      <c r="IZ65" s="21" t="n">
        <v>777.6950000000001</v>
      </c>
      <c r="JA65" s="21" t="n">
        <v>878.268</v>
      </c>
      <c r="JB65" s="21" t="n">
        <v>84.848</v>
      </c>
      <c r="JC65" s="21" t="n">
        <v>310.647</v>
      </c>
      <c r="JD65" s="21" t="n">
        <v>258.583</v>
      </c>
      <c r="JE65" s="21" t="n">
        <v>73.839</v>
      </c>
      <c r="JF65" s="21" t="n">
        <v>201.275</v>
      </c>
      <c r="JG65" s="21" t="n">
        <v>317.566</v>
      </c>
      <c r="JH65" s="21" t="n">
        <v>315.677</v>
      </c>
      <c r="JI65" s="21" t="n">
        <v>69.76000000000001</v>
      </c>
      <c r="JJ65" s="21" t="n">
        <v>109.582</v>
      </c>
      <c r="JK65" s="21" t="n">
        <v>39.015</v>
      </c>
      <c r="JL65" s="21" t="n">
        <v>78.145</v>
      </c>
      <c r="JM65" s="21" t="n">
        <v>190.198</v>
      </c>
      <c r="JN65" s="21" t="n">
        <v>460.198</v>
      </c>
      <c r="JO65" s="21" t="n">
        <v>73.13500000000001</v>
      </c>
      <c r="JP65" s="21" t="n">
        <v>476.534</v>
      </c>
      <c r="JQ65" s="21" t="n">
        <v>237.484</v>
      </c>
      <c r="JR65" s="21" t="n">
        <v>160.797</v>
      </c>
      <c r="JS65" s="21" t="n">
        <v>456.797</v>
      </c>
      <c r="JT65" s="21" t="n">
        <v>367.647</v>
      </c>
      <c r="JU65" s="21" t="n">
        <v>342.173</v>
      </c>
      <c r="JV65" s="21" t="n">
        <v>179.856</v>
      </c>
      <c r="JW65" s="21" t="n">
        <v>372.504</v>
      </c>
      <c r="JX65" s="21" t="n">
        <v>260.387</v>
      </c>
      <c r="JY65" s="21" t="n">
        <v>76.873</v>
      </c>
      <c r="JZ65" s="21" t="n">
        <v>159.418</v>
      </c>
      <c r="KA65" s="21" t="n">
        <v>243.546</v>
      </c>
      <c r="KB65" s="21" t="n">
        <v>265.116</v>
      </c>
      <c r="KC65" s="21" t="n">
        <v>254.393</v>
      </c>
      <c r="KD65" s="21" t="n">
        <v>265.746</v>
      </c>
      <c r="KE65" s="21" t="n">
        <v>232.419</v>
      </c>
      <c r="KF65" s="21" t="n">
        <v>223.878</v>
      </c>
      <c r="KG65" s="21" t="n">
        <v>233.288</v>
      </c>
      <c r="KH65" s="21" t="n">
        <v>239.126</v>
      </c>
      <c r="KI65" s="21" t="n">
        <v>109.343</v>
      </c>
      <c r="KJ65" s="21" t="n">
        <v>181.461</v>
      </c>
      <c r="KK65" s="21" t="n">
        <v>145.258</v>
      </c>
      <c r="KL65" s="21" t="n">
        <v>141.588</v>
      </c>
      <c r="KM65" s="21" t="n">
        <v>143.211</v>
      </c>
      <c r="KN65" s="21" t="n">
        <v>144.299</v>
      </c>
      <c r="KO65" s="21" t="n">
        <v>259.558</v>
      </c>
      <c r="KP65" s="21" t="n">
        <v>104.288</v>
      </c>
      <c r="KQ65" s="21" t="n">
        <v>69.732</v>
      </c>
      <c r="KR65" s="21" t="n">
        <v>112.809</v>
      </c>
      <c r="KS65" s="21" t="n">
        <v>182.586</v>
      </c>
      <c r="KT65" s="21" t="n">
        <v>170.028</v>
      </c>
      <c r="KU65" s="21" t="n">
        <v>91.02500000000001</v>
      </c>
      <c r="KV65" s="21" t="n">
        <v>49.837</v>
      </c>
      <c r="KW65" s="21" t="n">
        <v>220.501</v>
      </c>
      <c r="KX65" s="21" t="n">
        <v>182.221</v>
      </c>
      <c r="KY65" s="21" t="n">
        <v>221.858</v>
      </c>
      <c r="KZ65" s="21" t="n">
        <v>177.581</v>
      </c>
      <c r="LA65" s="21" t="n">
        <v>219.459</v>
      </c>
      <c r="LB65" s="21" t="n">
        <v>116.753</v>
      </c>
      <c r="LC65" s="21" t="n">
        <v>365.769</v>
      </c>
      <c r="LD65" s="21" t="n">
        <v>78.432</v>
      </c>
      <c r="LE65" s="21" t="n">
        <v>127.157</v>
      </c>
      <c r="LF65" s="21" t="n">
        <v>338.282</v>
      </c>
      <c r="LG65" s="21" t="n">
        <v>329.861</v>
      </c>
      <c r="LH65" s="21" t="n">
        <v>342.508</v>
      </c>
      <c r="LI65" s="21" t="n">
        <v>312.531</v>
      </c>
      <c r="LJ65" s="21" t="n">
        <v>345.745</v>
      </c>
      <c r="LK65" s="21" t="n">
        <v>104.641</v>
      </c>
      <c r="LL65" s="21" t="n">
        <v>305.569</v>
      </c>
      <c r="LM65" s="21" t="n">
        <v>215.041</v>
      </c>
      <c r="LN65" s="21" t="n">
        <v>36.904</v>
      </c>
      <c r="LO65" s="21" t="n">
        <v>130.854</v>
      </c>
    </row>
    <row r="66">
      <c r="A66" s="22" t="n">
        <v>43952</v>
      </c>
      <c r="B66" s="21" t="n">
        <v>255.802</v>
      </c>
      <c r="C66" s="21" t="n">
        <v>267.464</v>
      </c>
      <c r="D66" s="21" t="n">
        <v>268.086</v>
      </c>
      <c r="E66" s="21" t="n">
        <v>253.23</v>
      </c>
      <c r="F66" s="21" t="n">
        <v>284.648</v>
      </c>
      <c r="G66" s="21" t="n">
        <v>234.758</v>
      </c>
      <c r="H66" s="21" t="n">
        <v>238.275</v>
      </c>
      <c r="I66" s="21" t="n">
        <v>228.013</v>
      </c>
      <c r="J66" s="21" t="n">
        <v>247.899</v>
      </c>
      <c r="K66" s="21" t="n">
        <v>313.372</v>
      </c>
      <c r="L66" s="21" t="n">
        <v>190.654</v>
      </c>
      <c r="M66" s="21" t="n">
        <v>186.091</v>
      </c>
      <c r="N66" s="21" t="n">
        <v>294.435</v>
      </c>
      <c r="O66" s="21" t="n">
        <v>277.178</v>
      </c>
      <c r="P66" s="21" t="n">
        <v>278.812</v>
      </c>
      <c r="Q66" s="21" t="n">
        <v>318.252</v>
      </c>
      <c r="R66" s="21" t="n">
        <v>274.038</v>
      </c>
      <c r="S66" s="21" t="n">
        <v>274.348</v>
      </c>
      <c r="T66" s="21" t="n">
        <v>278.265</v>
      </c>
      <c r="U66" s="21" t="n">
        <v>285.696</v>
      </c>
      <c r="V66" s="21" t="n">
        <v>363.942</v>
      </c>
      <c r="W66" s="21" t="n">
        <v>314.981</v>
      </c>
      <c r="X66" s="21" t="n">
        <v>298.691</v>
      </c>
      <c r="Y66" s="21" t="n">
        <v>241.757</v>
      </c>
      <c r="Z66" s="21" t="n">
        <v>229.396</v>
      </c>
      <c r="AA66" s="21" t="n">
        <v>162.393</v>
      </c>
      <c r="AB66" s="21" t="n">
        <v>300.518</v>
      </c>
      <c r="AC66" s="21" t="n">
        <v>149.695</v>
      </c>
      <c r="AD66" s="21" t="n">
        <v>222.481</v>
      </c>
      <c r="AE66" s="21" t="n">
        <v>248.14</v>
      </c>
      <c r="AF66" s="21" t="n">
        <v>221.889</v>
      </c>
      <c r="AG66" s="21" t="n">
        <v>142.214</v>
      </c>
      <c r="AH66" s="21" t="n">
        <v>234.895</v>
      </c>
      <c r="AI66" s="21" t="n">
        <v>251.698</v>
      </c>
      <c r="AJ66" s="21" t="n">
        <v>152.281</v>
      </c>
      <c r="AK66" s="21" t="n">
        <v>250.77</v>
      </c>
      <c r="AL66" s="21" t="n">
        <v>162.007</v>
      </c>
      <c r="AM66" s="21" t="n">
        <v>270.112</v>
      </c>
      <c r="AN66" s="21" t="n">
        <v>240.267</v>
      </c>
      <c r="AO66" s="21" t="n">
        <v>160.02</v>
      </c>
      <c r="AP66" s="21" t="n">
        <v>311.433</v>
      </c>
      <c r="AQ66" s="21" t="n">
        <v>196.794</v>
      </c>
      <c r="AR66" s="21" t="n">
        <v>153.864</v>
      </c>
      <c r="AS66" s="21" t="n">
        <v>221.149</v>
      </c>
      <c r="AT66" s="21" t="n">
        <v>320.149</v>
      </c>
      <c r="AU66" s="21" t="n">
        <v>223.01</v>
      </c>
      <c r="AV66" s="21" t="n">
        <v>230.166</v>
      </c>
      <c r="AW66" s="21" t="n">
        <v>146.865</v>
      </c>
      <c r="AX66" s="21" t="n">
        <v>208.256</v>
      </c>
      <c r="AY66" s="21" t="n">
        <v>152.349</v>
      </c>
      <c r="AZ66" s="21" t="n">
        <v>242.776</v>
      </c>
      <c r="BA66" s="21" t="n">
        <v>235.749</v>
      </c>
      <c r="BB66" s="21" t="n">
        <v>154.494</v>
      </c>
      <c r="BC66" s="21" t="n">
        <v>304.782</v>
      </c>
      <c r="BD66" s="21" t="n">
        <v>351.851</v>
      </c>
      <c r="BE66" s="21" t="n">
        <v>355.615</v>
      </c>
      <c r="BF66" s="21" t="n">
        <v>327.826</v>
      </c>
      <c r="BG66" s="21" t="n">
        <v>196.546</v>
      </c>
      <c r="BH66" s="21" t="n">
        <v>247.694</v>
      </c>
      <c r="BI66" s="21" t="n">
        <v>489.846</v>
      </c>
      <c r="BJ66" s="21" t="n">
        <v>119.279</v>
      </c>
      <c r="BK66" s="21" t="n">
        <v>346.344</v>
      </c>
      <c r="BL66" s="21" t="n">
        <v>391.009</v>
      </c>
      <c r="BM66" s="21" t="n">
        <v>329.078</v>
      </c>
      <c r="BN66" s="21" t="n">
        <v>357.688</v>
      </c>
      <c r="BO66" s="21" t="n">
        <v>339.689</v>
      </c>
      <c r="BP66" s="21" t="n">
        <v>162.008</v>
      </c>
      <c r="BQ66" s="21" t="n">
        <v>168.045</v>
      </c>
      <c r="BR66" s="21" t="n">
        <v>162.544</v>
      </c>
      <c r="BS66" s="21" t="n">
        <v>178.289</v>
      </c>
      <c r="BT66" s="21" t="n">
        <v>151.281</v>
      </c>
      <c r="BU66" s="21" t="n">
        <v>207.148</v>
      </c>
      <c r="BV66" s="21" t="n">
        <v>160.709</v>
      </c>
      <c r="BW66" s="21" t="n">
        <v>178.463</v>
      </c>
      <c r="BX66" s="21" t="n">
        <v>141.075</v>
      </c>
      <c r="BY66" s="21" t="n">
        <v>179.385</v>
      </c>
      <c r="BZ66" s="21" t="n">
        <v>127.01</v>
      </c>
      <c r="CA66" s="21" t="n">
        <v>117.924</v>
      </c>
      <c r="CB66" s="21" t="n">
        <v>193.725</v>
      </c>
      <c r="CC66" s="21" t="n">
        <v>202.046</v>
      </c>
      <c r="CD66" s="21" t="n">
        <v>134.307</v>
      </c>
      <c r="CE66" s="21" t="n">
        <v>218.668</v>
      </c>
      <c r="CF66" s="21" t="n">
        <v>229.24</v>
      </c>
      <c r="CG66" s="21" t="n">
        <v>204.179</v>
      </c>
      <c r="CH66" s="21" t="n">
        <v>155.688</v>
      </c>
      <c r="CI66" s="21" t="n">
        <v>157.102</v>
      </c>
      <c r="CJ66" s="21" t="n">
        <v>230.176</v>
      </c>
      <c r="CK66" s="21" t="n">
        <v>207.932</v>
      </c>
      <c r="CL66" s="21" t="n">
        <v>249.669</v>
      </c>
      <c r="CM66" s="21" t="n">
        <v>304.355</v>
      </c>
      <c r="CN66" s="21" t="n">
        <v>132.625</v>
      </c>
      <c r="CO66" s="21" t="n">
        <v>158.605</v>
      </c>
      <c r="CP66" s="21" t="n">
        <v>233.779</v>
      </c>
      <c r="CQ66" s="21" t="n">
        <v>250.967</v>
      </c>
      <c r="CR66" s="21" t="n">
        <v>174.114</v>
      </c>
      <c r="CS66" s="21" t="n">
        <v>260.315</v>
      </c>
      <c r="CT66" s="21" t="n">
        <v>250.011</v>
      </c>
      <c r="CU66" s="21" t="n">
        <v>157.718</v>
      </c>
      <c r="CV66" s="21" t="n">
        <v>147.232</v>
      </c>
      <c r="CW66" s="21" t="n">
        <v>145.354</v>
      </c>
      <c r="CX66" s="21" t="n">
        <v>276.814</v>
      </c>
      <c r="CY66" s="21" t="n">
        <v>138.58</v>
      </c>
      <c r="CZ66" s="21" t="n">
        <v>130.216</v>
      </c>
      <c r="DA66" s="21" t="n">
        <v>291.709</v>
      </c>
      <c r="DB66" s="21" t="n">
        <v>179.72</v>
      </c>
      <c r="DC66" s="21" t="n">
        <v>183.918</v>
      </c>
      <c r="DD66" s="21" t="n"/>
      <c r="DE66" s="21" t="n">
        <v>199.763</v>
      </c>
      <c r="DF66" s="21" t="n">
        <v>257.713</v>
      </c>
      <c r="DG66" s="21" t="n">
        <v>209.458</v>
      </c>
      <c r="DH66" s="21" t="n">
        <v>240.292</v>
      </c>
      <c r="DI66" s="21" t="n">
        <v>195.778</v>
      </c>
      <c r="DJ66" s="21" t="n">
        <v>204.757</v>
      </c>
      <c r="DK66" s="21" t="n">
        <v>193.369</v>
      </c>
      <c r="DL66" s="21" t="n">
        <v>171.998</v>
      </c>
      <c r="DM66" s="21" t="n">
        <v>363.372</v>
      </c>
      <c r="DN66" s="21" t="n"/>
      <c r="DO66" s="21" t="n">
        <v>270.785</v>
      </c>
      <c r="DP66" s="21" t="n">
        <v>324.973</v>
      </c>
      <c r="DQ66" s="21" t="n">
        <v>341.007</v>
      </c>
      <c r="DR66" s="21" t="n">
        <v>141.462</v>
      </c>
      <c r="DS66" s="21" t="n">
        <v>574.178</v>
      </c>
      <c r="DT66" s="21" t="n">
        <v>282.107</v>
      </c>
      <c r="DU66" s="21" t="n">
        <v>334.293</v>
      </c>
      <c r="DV66" s="21" t="n">
        <v>334.329</v>
      </c>
      <c r="DW66" s="21" t="n">
        <v>241.856</v>
      </c>
      <c r="DX66" s="21" t="n">
        <v>197.609</v>
      </c>
      <c r="DY66" s="21" t="n">
        <v>215.541</v>
      </c>
      <c r="DZ66" s="21" t="n">
        <v>185.005</v>
      </c>
      <c r="EA66" s="21" t="n">
        <v>313.815</v>
      </c>
      <c r="EB66" s="21" t="n">
        <v>203.344</v>
      </c>
      <c r="EC66" s="21" t="n">
        <v>213.017</v>
      </c>
      <c r="ED66" s="21" t="n">
        <v>171.495</v>
      </c>
      <c r="EE66" s="21" t="n">
        <v>250.921</v>
      </c>
      <c r="EF66" s="21" t="n">
        <v>582.322</v>
      </c>
      <c r="EG66" s="21" t="n">
        <v>494.946</v>
      </c>
      <c r="EH66" s="21" t="n">
        <v>125.299</v>
      </c>
      <c r="EI66" s="21" t="n">
        <v>56.879</v>
      </c>
      <c r="EJ66" s="21" t="n">
        <v>66.322</v>
      </c>
      <c r="EK66" s="21" t="n">
        <v>42.872</v>
      </c>
      <c r="EL66" s="21" t="n">
        <v>112.314</v>
      </c>
      <c r="EM66" s="21" t="n">
        <v>68.51600000000001</v>
      </c>
      <c r="EN66" s="21" t="n">
        <v>78.255</v>
      </c>
      <c r="EO66" s="21" t="n">
        <v>84.904</v>
      </c>
      <c r="EP66" s="21" t="n">
        <v>91.00700000000001</v>
      </c>
      <c r="EQ66" s="21" t="n">
        <v>67.655</v>
      </c>
      <c r="ER66" s="21" t="n">
        <v>50.061</v>
      </c>
      <c r="ES66" s="21" t="n">
        <v>132.753</v>
      </c>
      <c r="ET66" s="21" t="n">
        <v>77.934</v>
      </c>
      <c r="EU66" s="21" t="n">
        <v>92.333</v>
      </c>
      <c r="EV66" s="21" t="n">
        <v>99.68899999999999</v>
      </c>
      <c r="EW66" s="21" t="n">
        <v>88.928</v>
      </c>
      <c r="EX66" s="21" t="n">
        <v>196.757</v>
      </c>
      <c r="EY66" s="21" t="n">
        <v>123.45</v>
      </c>
      <c r="EZ66" s="21" t="n">
        <v>123.047</v>
      </c>
      <c r="FA66" s="21" t="n">
        <v>169.156</v>
      </c>
      <c r="FB66" s="21" t="n">
        <v>114.244</v>
      </c>
      <c r="FC66" s="21" t="n">
        <v>109.517</v>
      </c>
      <c r="FD66" s="21" t="n">
        <v>112.48</v>
      </c>
      <c r="FE66" s="21" t="n">
        <v>89.373</v>
      </c>
      <c r="FF66" s="21" t="n">
        <v>156.137</v>
      </c>
      <c r="FG66" s="21" t="n">
        <v>70.13500000000001</v>
      </c>
      <c r="FH66" s="21" t="n">
        <v>113.583</v>
      </c>
      <c r="FI66" s="21" t="n">
        <v>97.22199999999999</v>
      </c>
      <c r="FJ66" s="21" t="n">
        <v>96.333</v>
      </c>
      <c r="FK66" s="21" t="n">
        <v>97.026</v>
      </c>
      <c r="FL66" s="21" t="n">
        <v>88.65000000000001</v>
      </c>
      <c r="FM66" s="21" t="n">
        <v>88.798</v>
      </c>
      <c r="FN66" s="21" t="n">
        <v>68.52200000000001</v>
      </c>
      <c r="FO66" s="21" t="n">
        <v>95.68600000000001</v>
      </c>
      <c r="FP66" s="21" t="n">
        <v>92.515</v>
      </c>
      <c r="FQ66" s="21" t="n">
        <v>129.276</v>
      </c>
      <c r="FR66" s="21" t="n">
        <v>133.783</v>
      </c>
      <c r="FS66" s="21" t="n">
        <v>148.589</v>
      </c>
      <c r="FT66" s="21" t="n">
        <v>116.224</v>
      </c>
      <c r="FU66" s="21" t="n">
        <v>107.123</v>
      </c>
      <c r="FV66" s="21" t="n">
        <v>166.092</v>
      </c>
      <c r="FW66" s="21" t="n">
        <v>143.456</v>
      </c>
      <c r="FX66" s="21" t="n">
        <v>162.365</v>
      </c>
      <c r="FY66" s="21" t="n">
        <v>188.733</v>
      </c>
      <c r="FZ66" s="21" t="n">
        <v>186.791</v>
      </c>
      <c r="GA66" s="21" t="n">
        <v>98.477</v>
      </c>
      <c r="GB66" s="21" t="n">
        <v>146.749</v>
      </c>
      <c r="GC66" s="21" t="n">
        <v>101.919</v>
      </c>
      <c r="GD66" s="21" t="n">
        <v>142.943</v>
      </c>
      <c r="GE66" s="21" t="n">
        <v>156.291</v>
      </c>
      <c r="GF66" s="21" t="n"/>
      <c r="GG66" s="21" t="n">
        <v>137.922</v>
      </c>
      <c r="GH66" s="21" t="n">
        <v>85.792</v>
      </c>
      <c r="GI66" s="21" t="n">
        <v>99.56699999999999</v>
      </c>
      <c r="GJ66" s="21" t="n">
        <v>161.687</v>
      </c>
      <c r="GK66" s="21" t="n">
        <v>160.261</v>
      </c>
      <c r="GL66" s="21" t="n">
        <v>155.087</v>
      </c>
      <c r="GM66" s="21" t="n">
        <v>182.512</v>
      </c>
      <c r="GN66" s="21" t="n">
        <v>184.568</v>
      </c>
      <c r="GO66" s="21" t="n">
        <v>180.357</v>
      </c>
      <c r="GP66" s="21" t="n">
        <v>148.642</v>
      </c>
      <c r="GQ66" s="21" t="n">
        <v>125.412</v>
      </c>
      <c r="GR66" s="21" t="n">
        <v>305.574</v>
      </c>
      <c r="GS66" s="21" t="n">
        <v>186.823</v>
      </c>
      <c r="GT66" s="21" t="n">
        <v>486.861</v>
      </c>
      <c r="GU66" s="21" t="n">
        <v>210.333</v>
      </c>
      <c r="GV66" s="21" t="n">
        <v>238.996</v>
      </c>
      <c r="GW66" s="21" t="n">
        <v>205.353</v>
      </c>
      <c r="GX66" s="21" t="n">
        <v>186.931</v>
      </c>
      <c r="GY66" s="21" t="n">
        <v>148.987</v>
      </c>
      <c r="GZ66" s="21" t="n"/>
      <c r="HA66" s="21" t="n">
        <v>60.438</v>
      </c>
      <c r="HB66" s="21" t="n">
        <v>519.152</v>
      </c>
      <c r="HC66" s="21" t="n">
        <v>384.304</v>
      </c>
      <c r="HD66" s="21" t="n">
        <v>125.8</v>
      </c>
      <c r="HE66" s="21" t="n">
        <v>533.325</v>
      </c>
      <c r="HF66" s="21" t="n">
        <v>96.456</v>
      </c>
      <c r="HG66" s="21" t="n">
        <v>562.645</v>
      </c>
      <c r="HH66" s="21" t="n">
        <v>389.607</v>
      </c>
      <c r="HI66" s="21" t="n">
        <v>389.329</v>
      </c>
      <c r="HJ66" s="21" t="n">
        <v>512.254</v>
      </c>
      <c r="HK66" s="21" t="n">
        <v>193.05</v>
      </c>
      <c r="HL66" s="21" t="n">
        <v>241.419</v>
      </c>
      <c r="HM66" s="21" t="n">
        <v>83.545</v>
      </c>
      <c r="HN66" s="21" t="n">
        <v>352.287</v>
      </c>
      <c r="HO66" s="21" t="n">
        <v>342.649</v>
      </c>
      <c r="HP66" s="21" t="n">
        <v>766.407</v>
      </c>
      <c r="HQ66" s="21" t="n">
        <v>240.873</v>
      </c>
      <c r="HR66" s="21" t="n">
        <v>122.642</v>
      </c>
      <c r="HS66" s="21" t="n">
        <v>106.328</v>
      </c>
      <c r="HT66" s="21" t="n">
        <v>134.126</v>
      </c>
      <c r="HU66" s="21" t="n">
        <v>496.456</v>
      </c>
      <c r="HV66" s="21" t="n">
        <v>120.694</v>
      </c>
      <c r="HW66" s="21" t="n">
        <v>26.578</v>
      </c>
      <c r="HX66" s="21" t="n">
        <v>179.35</v>
      </c>
      <c r="HY66" s="21" t="n">
        <v>202.407</v>
      </c>
      <c r="HZ66" s="21" t="n">
        <v>155.297</v>
      </c>
      <c r="IA66" s="21" t="n">
        <v>115.279</v>
      </c>
      <c r="IB66" s="21" t="n">
        <v>259.974</v>
      </c>
      <c r="IC66" s="21" t="n">
        <v>199.563</v>
      </c>
      <c r="ID66" s="21" t="n">
        <v>275.171</v>
      </c>
      <c r="IE66" s="21" t="n">
        <v>110.733</v>
      </c>
      <c r="IF66" s="21" t="n">
        <v>152.507</v>
      </c>
      <c r="IG66" s="21" t="n">
        <v>76.036</v>
      </c>
      <c r="IH66" s="21" t="n">
        <v>74.72499999999999</v>
      </c>
      <c r="II66" s="21" t="n">
        <v>56.576</v>
      </c>
      <c r="IJ66" s="21" t="n">
        <v>23.25</v>
      </c>
      <c r="IK66" s="21" t="n">
        <v>33.28</v>
      </c>
      <c r="IL66" s="21" t="n">
        <v>28.974</v>
      </c>
      <c r="IM66" s="21" t="n">
        <v>36.747</v>
      </c>
      <c r="IN66" s="21" t="n">
        <v>95.392</v>
      </c>
      <c r="IO66" s="21" t="n">
        <v>104.849</v>
      </c>
      <c r="IP66" s="21" t="n">
        <v>179.624</v>
      </c>
      <c r="IQ66" s="21" t="n">
        <v>151.312</v>
      </c>
      <c r="IR66" s="21" t="n">
        <v>404.439</v>
      </c>
      <c r="IS66" s="21" t="n">
        <v>192.183</v>
      </c>
      <c r="IT66" s="21" t="n">
        <v>241.201</v>
      </c>
      <c r="IU66" s="21" t="n">
        <v>321.285</v>
      </c>
      <c r="IV66" s="21" t="n">
        <v>264.242</v>
      </c>
      <c r="IW66" s="21" t="n">
        <v>139.634</v>
      </c>
      <c r="IX66" s="21" t="n">
        <v>270.999</v>
      </c>
      <c r="IY66" s="21" t="n">
        <v>677.189</v>
      </c>
      <c r="IZ66" s="21" t="n">
        <v>778.538</v>
      </c>
      <c r="JA66" s="21" t="n">
        <v>879.429</v>
      </c>
      <c r="JB66" s="21" t="n">
        <v>85.033</v>
      </c>
      <c r="JC66" s="21" t="n">
        <v>310.605</v>
      </c>
      <c r="JD66" s="21" t="n">
        <v>258.631</v>
      </c>
      <c r="JE66" s="21" t="n">
        <v>73.792</v>
      </c>
      <c r="JF66" s="21" t="n">
        <v>201.925</v>
      </c>
      <c r="JG66" s="21" t="n">
        <v>318.863</v>
      </c>
      <c r="JH66" s="21" t="n">
        <v>313.864</v>
      </c>
      <c r="JI66" s="21" t="n">
        <v>69.70699999999999</v>
      </c>
      <c r="JJ66" s="21" t="n">
        <v>109.388</v>
      </c>
      <c r="JK66" s="21" t="n">
        <v>38.629</v>
      </c>
      <c r="JL66" s="21" t="n">
        <v>78.09999999999999</v>
      </c>
      <c r="JM66" s="21" t="n">
        <v>192.581</v>
      </c>
      <c r="JN66" s="21" t="n">
        <v>460.442</v>
      </c>
      <c r="JO66" s="21" t="n">
        <v>72.904</v>
      </c>
      <c r="JP66" s="21" t="n">
        <v>474.692</v>
      </c>
      <c r="JQ66" s="21" t="n">
        <v>237.814</v>
      </c>
      <c r="JR66" s="21" t="n">
        <v>160.212</v>
      </c>
      <c r="JS66" s="21" t="n">
        <v>456.946</v>
      </c>
      <c r="JT66" s="21" t="n">
        <v>367.911</v>
      </c>
      <c r="JU66" s="21" t="n">
        <v>342.951</v>
      </c>
      <c r="JV66" s="21" t="n">
        <v>179.586</v>
      </c>
      <c r="JW66" s="21" t="n">
        <v>372.926</v>
      </c>
      <c r="JX66" s="21" t="n">
        <v>261.064</v>
      </c>
      <c r="JY66" s="21" t="n">
        <v>76.39400000000001</v>
      </c>
      <c r="JZ66" s="21" t="n">
        <v>160.857</v>
      </c>
      <c r="KA66" s="21" t="n">
        <v>243.195</v>
      </c>
      <c r="KB66" s="21" t="n">
        <v>265.091</v>
      </c>
      <c r="KC66" s="21" t="n">
        <v>253.857</v>
      </c>
      <c r="KD66" s="21" t="n">
        <v>265.412</v>
      </c>
      <c r="KE66" s="21" t="n">
        <v>231.895</v>
      </c>
      <c r="KF66" s="21" t="n">
        <v>222.846</v>
      </c>
      <c r="KG66" s="21" t="n">
        <v>232.483</v>
      </c>
      <c r="KH66" s="21" t="n">
        <v>238.35</v>
      </c>
      <c r="KI66" s="21" t="n">
        <v>106.563</v>
      </c>
      <c r="KJ66" s="21" t="n">
        <v>181.207</v>
      </c>
      <c r="KK66" s="21" t="n">
        <v>144.349</v>
      </c>
      <c r="KL66" s="21" t="n">
        <v>140.626</v>
      </c>
      <c r="KM66" s="21" t="n">
        <v>142.711</v>
      </c>
      <c r="KN66" s="21" t="n">
        <v>143.869</v>
      </c>
      <c r="KO66" s="21" t="n">
        <v>262.316</v>
      </c>
      <c r="KP66" s="21" t="n">
        <v>104.039</v>
      </c>
      <c r="KQ66" s="21" t="n">
        <v>69.48999999999999</v>
      </c>
      <c r="KR66" s="21" t="n">
        <v>112.856</v>
      </c>
      <c r="KS66" s="21" t="n">
        <v>180.04</v>
      </c>
      <c r="KT66" s="21" t="n">
        <v>165.335</v>
      </c>
      <c r="KU66" s="21" t="n">
        <v>91.521</v>
      </c>
      <c r="KV66" s="21" t="n">
        <v>49.617</v>
      </c>
      <c r="KW66" s="21" t="n">
        <v>219.616</v>
      </c>
      <c r="KX66" s="21" t="n">
        <v>179.592</v>
      </c>
      <c r="KY66" s="21" t="n">
        <v>219.33</v>
      </c>
      <c r="KZ66" s="21" t="n">
        <v>174.714</v>
      </c>
      <c r="LA66" s="21" t="n">
        <v>216.536</v>
      </c>
      <c r="LB66" s="21" t="n">
        <v>116.309</v>
      </c>
      <c r="LC66" s="21" t="n">
        <v>367.526</v>
      </c>
      <c r="LD66" s="21" t="n">
        <v>78.2</v>
      </c>
      <c r="LE66" s="21" t="n">
        <v>128.906</v>
      </c>
      <c r="LF66" s="21" t="n">
        <v>338.982</v>
      </c>
      <c r="LG66" s="21" t="n">
        <v>329.655</v>
      </c>
      <c r="LH66" s="21" t="n">
        <v>342.329</v>
      </c>
      <c r="LI66" s="21" t="n">
        <v>312.23</v>
      </c>
      <c r="LJ66" s="21" t="n">
        <v>344.752</v>
      </c>
      <c r="LK66" s="21" t="n">
        <v>104.372</v>
      </c>
      <c r="LL66" s="21" t="n">
        <v>294.297</v>
      </c>
      <c r="LM66" s="21" t="n">
        <v>214.04</v>
      </c>
      <c r="LN66" s="21" t="n">
        <v>36.698</v>
      </c>
      <c r="LO66" s="21" t="n">
        <v>131.294</v>
      </c>
    </row>
    <row r="67">
      <c r="A67" s="22" t="n">
        <v>43983</v>
      </c>
      <c r="B67" s="21" t="n">
        <v>257.042</v>
      </c>
      <c r="C67" s="21" t="n">
        <v>268.849</v>
      </c>
      <c r="D67" s="21" t="n">
        <v>269.553</v>
      </c>
      <c r="E67" s="21" t="n">
        <v>254.674</v>
      </c>
      <c r="F67" s="21" t="n">
        <v>285.551</v>
      </c>
      <c r="G67" s="21" t="n">
        <v>234.903</v>
      </c>
      <c r="H67" s="21" t="n">
        <v>242.136</v>
      </c>
      <c r="I67" s="21" t="n">
        <v>230.49</v>
      </c>
      <c r="J67" s="21" t="n">
        <v>245.758</v>
      </c>
      <c r="K67" s="21" t="n">
        <v>314.487</v>
      </c>
      <c r="L67" s="21" t="n">
        <v>189.75</v>
      </c>
      <c r="M67" s="21" t="n">
        <v>186.082</v>
      </c>
      <c r="N67" s="21" t="n">
        <v>298.935</v>
      </c>
      <c r="O67" s="21" t="n">
        <v>279.055</v>
      </c>
      <c r="P67" s="21" t="n">
        <v>279.283</v>
      </c>
      <c r="Q67" s="21" t="n">
        <v>318.366</v>
      </c>
      <c r="R67" s="21" t="n">
        <v>273.187</v>
      </c>
      <c r="S67" s="21" t="n">
        <v>279.804</v>
      </c>
      <c r="T67" s="21" t="n">
        <v>284.421</v>
      </c>
      <c r="U67" s="21" t="n">
        <v>296.43</v>
      </c>
      <c r="V67" s="21" t="n">
        <v>381.453</v>
      </c>
      <c r="W67" s="21" t="n">
        <v>336.424</v>
      </c>
      <c r="X67" s="21" t="n">
        <v>298.983</v>
      </c>
      <c r="Y67" s="21" t="n">
        <v>254.338</v>
      </c>
      <c r="Z67" s="21" t="n">
        <v>237.135</v>
      </c>
      <c r="AA67" s="21" t="n">
        <v>171.599</v>
      </c>
      <c r="AB67" s="21" t="n">
        <v>321.482</v>
      </c>
      <c r="AC67" s="21" t="n">
        <v>154.299</v>
      </c>
      <c r="AD67" s="21" t="n">
        <v>223.502</v>
      </c>
      <c r="AE67" s="21" t="n">
        <v>249.201</v>
      </c>
      <c r="AF67" s="21" t="n">
        <v>231.435</v>
      </c>
      <c r="AG67" s="21" t="n">
        <v>144.476</v>
      </c>
      <c r="AH67" s="21" t="n">
        <v>239.416</v>
      </c>
      <c r="AI67" s="21" t="n">
        <v>263.072</v>
      </c>
      <c r="AJ67" s="21" t="n">
        <v>152.292</v>
      </c>
      <c r="AK67" s="21" t="n">
        <v>250.451</v>
      </c>
      <c r="AL67" s="21" t="n">
        <v>162.144</v>
      </c>
      <c r="AM67" s="21" t="n">
        <v>268.16</v>
      </c>
      <c r="AN67" s="21" t="n">
        <v>241.328</v>
      </c>
      <c r="AO67" s="21" t="n">
        <v>159.047</v>
      </c>
      <c r="AP67" s="21" t="n">
        <v>308.552</v>
      </c>
      <c r="AQ67" s="21" t="n">
        <v>194.058</v>
      </c>
      <c r="AR67" s="21" t="n">
        <v>153.556</v>
      </c>
      <c r="AS67" s="21" t="n">
        <v>220.696</v>
      </c>
      <c r="AT67" s="21" t="n">
        <v>320.29</v>
      </c>
      <c r="AU67" s="21" t="n">
        <v>219.387</v>
      </c>
      <c r="AV67" s="21" t="n">
        <v>228.437</v>
      </c>
      <c r="AW67" s="21" t="n">
        <v>145.469</v>
      </c>
      <c r="AX67" s="21" t="n">
        <v>207.343</v>
      </c>
      <c r="AY67" s="21" t="n">
        <v>150.514</v>
      </c>
      <c r="AZ67" s="21" t="n">
        <v>242.237</v>
      </c>
      <c r="BA67" s="21" t="n">
        <v>234.793</v>
      </c>
      <c r="BB67" s="21" t="n">
        <v>153.063</v>
      </c>
      <c r="BC67" s="21" t="n">
        <v>305.956</v>
      </c>
      <c r="BD67" s="21" t="n">
        <v>353.068</v>
      </c>
      <c r="BE67" s="21" t="n">
        <v>355.188</v>
      </c>
      <c r="BF67" s="21" t="n">
        <v>320.323</v>
      </c>
      <c r="BG67" s="21" t="n">
        <v>195.506</v>
      </c>
      <c r="BH67" s="21" t="n">
        <v>253.041</v>
      </c>
      <c r="BI67" s="21" t="n">
        <v>497.252</v>
      </c>
      <c r="BJ67" s="21" t="n">
        <v>118.552</v>
      </c>
      <c r="BK67" s="21" t="n">
        <v>349.225</v>
      </c>
      <c r="BL67" s="21" t="n">
        <v>394.396</v>
      </c>
      <c r="BM67" s="21" t="n">
        <v>334.038</v>
      </c>
      <c r="BN67" s="21" t="n">
        <v>353.55</v>
      </c>
      <c r="BO67" s="21" t="n">
        <v>343.885</v>
      </c>
      <c r="BP67" s="21" t="n">
        <v>162.862</v>
      </c>
      <c r="BQ67" s="21" t="n">
        <v>169.812</v>
      </c>
      <c r="BR67" s="21" t="n">
        <v>162.407</v>
      </c>
      <c r="BS67" s="21" t="n">
        <v>180.978</v>
      </c>
      <c r="BT67" s="21" t="n">
        <v>151.197</v>
      </c>
      <c r="BU67" s="21" t="n">
        <v>207.409</v>
      </c>
      <c r="BV67" s="21" t="n">
        <v>160.17</v>
      </c>
      <c r="BW67" s="21" t="n">
        <v>179.499</v>
      </c>
      <c r="BX67" s="21" t="n">
        <v>142.03</v>
      </c>
      <c r="BY67" s="21" t="n">
        <v>183.649</v>
      </c>
      <c r="BZ67" s="21" t="n">
        <v>126.872</v>
      </c>
      <c r="CA67" s="21" t="n">
        <v>118.403</v>
      </c>
      <c r="CB67" s="21" t="n">
        <v>195.799</v>
      </c>
      <c r="CC67" s="21" t="n">
        <v>203.763</v>
      </c>
      <c r="CD67" s="21" t="n">
        <v>132.816</v>
      </c>
      <c r="CE67" s="21" t="n">
        <v>218.78</v>
      </c>
      <c r="CF67" s="21" t="n">
        <v>226.922</v>
      </c>
      <c r="CG67" s="21" t="n">
        <v>201.578</v>
      </c>
      <c r="CH67" s="21" t="n">
        <v>154.022</v>
      </c>
      <c r="CI67" s="21" t="n">
        <v>156.977</v>
      </c>
      <c r="CJ67" s="21" t="n">
        <v>230.664</v>
      </c>
      <c r="CK67" s="21" t="n">
        <v>205.753</v>
      </c>
      <c r="CL67" s="21" t="n">
        <v>246.792</v>
      </c>
      <c r="CM67" s="21" t="n">
        <v>299.727</v>
      </c>
      <c r="CN67" s="21" t="n">
        <v>131.122</v>
      </c>
      <c r="CO67" s="21" t="n">
        <v>159.984</v>
      </c>
      <c r="CP67" s="21" t="n">
        <v>234.293</v>
      </c>
      <c r="CQ67" s="21" t="n">
        <v>252.077</v>
      </c>
      <c r="CR67" s="21" t="n">
        <v>172.693</v>
      </c>
      <c r="CS67" s="21" t="n">
        <v>263.794</v>
      </c>
      <c r="CT67" s="21" t="n">
        <v>250.387</v>
      </c>
      <c r="CU67" s="21" t="n">
        <v>157.37</v>
      </c>
      <c r="CV67" s="21" t="n">
        <v>147.759</v>
      </c>
      <c r="CW67" s="21" t="n">
        <v>145.747</v>
      </c>
      <c r="CX67" s="21" t="n">
        <v>280.063</v>
      </c>
      <c r="CY67" s="21" t="n">
        <v>138.005</v>
      </c>
      <c r="CZ67" s="21" t="n">
        <v>130.117</v>
      </c>
      <c r="DA67" s="21" t="n">
        <v>293.219</v>
      </c>
      <c r="DB67" s="21" t="n">
        <v>181.276</v>
      </c>
      <c r="DC67" s="21" t="n">
        <v>172.576</v>
      </c>
      <c r="DD67" s="21" t="n"/>
      <c r="DE67" s="21" t="n">
        <v>201.685</v>
      </c>
      <c r="DF67" s="21" t="n">
        <v>258.033</v>
      </c>
      <c r="DG67" s="21" t="n">
        <v>209.222</v>
      </c>
      <c r="DH67" s="21" t="n">
        <v>238.315</v>
      </c>
      <c r="DI67" s="21" t="n">
        <v>196.88</v>
      </c>
      <c r="DJ67" s="21" t="n">
        <v>207.329</v>
      </c>
      <c r="DK67" s="21" t="n">
        <v>193.447</v>
      </c>
      <c r="DL67" s="21" t="n">
        <v>172.472</v>
      </c>
      <c r="DM67" s="21" t="n">
        <v>364.722</v>
      </c>
      <c r="DN67" s="21" t="n">
        <v>198.655</v>
      </c>
      <c r="DO67" s="21" t="n">
        <v>271.26</v>
      </c>
      <c r="DP67" s="21" t="n">
        <v>325.425</v>
      </c>
      <c r="DQ67" s="21" t="n">
        <v>341.524</v>
      </c>
      <c r="DR67" s="21" t="n">
        <v>143.221</v>
      </c>
      <c r="DS67" s="21" t="n">
        <v>574.856</v>
      </c>
      <c r="DT67" s="21" t="n">
        <v>286.105</v>
      </c>
      <c r="DU67" s="21" t="n">
        <v>334.617</v>
      </c>
      <c r="DV67" s="21" t="n">
        <v>334.646</v>
      </c>
      <c r="DW67" s="21" t="n">
        <v>242.52</v>
      </c>
      <c r="DX67" s="21" t="n">
        <v>198.198</v>
      </c>
      <c r="DY67" s="21" t="n">
        <v>226.878</v>
      </c>
      <c r="DZ67" s="21" t="n">
        <v>200.516</v>
      </c>
      <c r="EA67" s="21" t="n">
        <v>319.287</v>
      </c>
      <c r="EB67" s="21" t="n">
        <v>203.539</v>
      </c>
      <c r="EC67" s="21" t="n">
        <v>213.67</v>
      </c>
      <c r="ED67" s="21" t="n">
        <v>170.37</v>
      </c>
      <c r="EE67" s="21" t="n">
        <v>251.435</v>
      </c>
      <c r="EF67" s="21" t="n">
        <v>583.204</v>
      </c>
      <c r="EG67" s="21" t="n">
        <v>496.679</v>
      </c>
      <c r="EH67" s="21" t="n">
        <v>125.731</v>
      </c>
      <c r="EI67" s="21" t="n">
        <v>58.048</v>
      </c>
      <c r="EJ67" s="21" t="n">
        <v>65.834</v>
      </c>
      <c r="EK67" s="21" t="n">
        <v>44.472</v>
      </c>
      <c r="EL67" s="21" t="n">
        <v>113.116</v>
      </c>
      <c r="EM67" s="21" t="n">
        <v>70.50700000000001</v>
      </c>
      <c r="EN67" s="21" t="n">
        <v>79.292</v>
      </c>
      <c r="EO67" s="21" t="n">
        <v>85.599</v>
      </c>
      <c r="EP67" s="21" t="n">
        <v>92.105</v>
      </c>
      <c r="EQ67" s="21" t="n">
        <v>68.73399999999999</v>
      </c>
      <c r="ER67" s="21" t="n">
        <v>50.322</v>
      </c>
      <c r="ES67" s="21" t="n">
        <v>133.246</v>
      </c>
      <c r="ET67" s="21" t="n">
        <v>77.65900000000001</v>
      </c>
      <c r="EU67" s="21" t="n">
        <v>93.03400000000001</v>
      </c>
      <c r="EV67" s="21" t="n">
        <v>100.168</v>
      </c>
      <c r="EW67" s="21" t="n">
        <v>89.77200000000001</v>
      </c>
      <c r="EX67" s="21" t="n">
        <v>196.827</v>
      </c>
      <c r="EY67" s="21" t="n">
        <v>124.37</v>
      </c>
      <c r="EZ67" s="21" t="n">
        <v>122.021</v>
      </c>
      <c r="FA67" s="21" t="n">
        <v>170.468</v>
      </c>
      <c r="FB67" s="21" t="n">
        <v>115.665</v>
      </c>
      <c r="FC67" s="21" t="n">
        <v>111.667</v>
      </c>
      <c r="FD67" s="21" t="n">
        <v>114.327</v>
      </c>
      <c r="FE67" s="21" t="n">
        <v>92.34699999999999</v>
      </c>
      <c r="FF67" s="21" t="n">
        <v>159.495</v>
      </c>
      <c r="FG67" s="21" t="n">
        <v>70.398</v>
      </c>
      <c r="FH67" s="21" t="n">
        <v>113.533</v>
      </c>
      <c r="FI67" s="21" t="n">
        <v>100.037</v>
      </c>
      <c r="FJ67" s="21" t="n">
        <v>97.05</v>
      </c>
      <c r="FK67" s="21" t="n">
        <v>97.74299999999999</v>
      </c>
      <c r="FL67" s="21" t="n">
        <v>88.238</v>
      </c>
      <c r="FM67" s="21" t="n">
        <v>87.764</v>
      </c>
      <c r="FN67" s="21" t="n">
        <v>68.539</v>
      </c>
      <c r="FO67" s="21" t="n">
        <v>97.348</v>
      </c>
      <c r="FP67" s="21" t="n">
        <v>93.226</v>
      </c>
      <c r="FQ67" s="21" t="n">
        <v>130.267</v>
      </c>
      <c r="FR67" s="21" t="n">
        <v>136.334</v>
      </c>
      <c r="FS67" s="21" t="n">
        <v>148.458</v>
      </c>
      <c r="FT67" s="21" t="n">
        <v>115.943</v>
      </c>
      <c r="FU67" s="21" t="n">
        <v>112.25</v>
      </c>
      <c r="FV67" s="21" t="n">
        <v>167.399</v>
      </c>
      <c r="FW67" s="21" t="n">
        <v>142.676</v>
      </c>
      <c r="FX67" s="21" t="n">
        <v>163.403</v>
      </c>
      <c r="FY67" s="21" t="n">
        <v>192.554</v>
      </c>
      <c r="FZ67" s="21" t="n">
        <v>190.606</v>
      </c>
      <c r="GA67" s="21" t="n">
        <v>97.602</v>
      </c>
      <c r="GB67" s="21" t="n">
        <v>146.449</v>
      </c>
      <c r="GC67" s="21" t="n">
        <v>101.829</v>
      </c>
      <c r="GD67" s="21" t="n">
        <v>142.812</v>
      </c>
      <c r="GE67" s="21" t="n">
        <v>155.849</v>
      </c>
      <c r="GF67" s="21" t="n"/>
      <c r="GG67" s="21" t="n">
        <v>134.156</v>
      </c>
      <c r="GH67" s="21" t="n"/>
      <c r="GI67" s="21" t="n">
        <v>117.375</v>
      </c>
      <c r="GJ67" s="21" t="n">
        <v>179.354</v>
      </c>
      <c r="GK67" s="21" t="n">
        <v>178.169</v>
      </c>
      <c r="GL67" s="21" t="n">
        <v>172.964</v>
      </c>
      <c r="GM67" s="21" t="n">
        <v>199.777</v>
      </c>
      <c r="GN67" s="21" t="n">
        <v>199.206</v>
      </c>
      <c r="GO67" s="21" t="n">
        <v>180.684</v>
      </c>
      <c r="GP67" s="21" t="n">
        <v>147.643</v>
      </c>
      <c r="GQ67" s="21" t="n">
        <v>124.033</v>
      </c>
      <c r="GR67" s="21" t="n">
        <v>305.736</v>
      </c>
      <c r="GS67" s="21" t="n">
        <v>186.976</v>
      </c>
      <c r="GT67" s="21" t="n">
        <v>512.028</v>
      </c>
      <c r="GU67" s="21" t="n">
        <v>208.479</v>
      </c>
      <c r="GV67" s="21" t="n">
        <v>235.102</v>
      </c>
      <c r="GW67" s="21" t="n">
        <v>209.059</v>
      </c>
      <c r="GX67" s="21" t="n">
        <v>192.344</v>
      </c>
      <c r="GY67" s="21" t="n">
        <v>146.798</v>
      </c>
      <c r="GZ67" s="21" t="n"/>
      <c r="HA67" s="21" t="n">
        <v>59.397</v>
      </c>
      <c r="HB67" s="21" t="n">
        <v>520.867</v>
      </c>
      <c r="HC67" s="21" t="n">
        <v>384.259</v>
      </c>
      <c r="HD67" s="21" t="n">
        <v>125.789</v>
      </c>
      <c r="HE67" s="21" t="n">
        <v>533.46</v>
      </c>
      <c r="HF67" s="21" t="n">
        <v>96.208</v>
      </c>
      <c r="HG67" s="21" t="n">
        <v>564.929</v>
      </c>
      <c r="HH67" s="21" t="n">
        <v>390.511</v>
      </c>
      <c r="HI67" s="21" t="n">
        <v>390.718</v>
      </c>
      <c r="HJ67" s="21" t="n">
        <v>512.297</v>
      </c>
      <c r="HK67" s="21" t="n">
        <v>193.585</v>
      </c>
      <c r="HL67" s="21" t="n">
        <v>242.115</v>
      </c>
      <c r="HM67" s="21" t="n">
        <v>83.661</v>
      </c>
      <c r="HN67" s="21" t="n">
        <v>352.794</v>
      </c>
      <c r="HO67" s="21" t="n">
        <v>343.004</v>
      </c>
      <c r="HP67" s="21" t="n">
        <v>768.096</v>
      </c>
      <c r="HQ67" s="21" t="n">
        <v>241.157</v>
      </c>
      <c r="HR67" s="21" t="n">
        <v>122.081</v>
      </c>
      <c r="HS67" s="21" t="n">
        <v>106.253</v>
      </c>
      <c r="HT67" s="21" t="n">
        <v>132.082</v>
      </c>
      <c r="HU67" s="21" t="n">
        <v>496.264</v>
      </c>
      <c r="HV67" s="21" t="n">
        <v>120.02</v>
      </c>
      <c r="HW67" s="21" t="n">
        <v>26.432</v>
      </c>
      <c r="HX67" s="21" t="n">
        <v>178.826</v>
      </c>
      <c r="HY67" s="21" t="n">
        <v>200.475</v>
      </c>
      <c r="HZ67" s="21" t="n">
        <v>154.131</v>
      </c>
      <c r="IA67" s="21" t="n">
        <v>113.859</v>
      </c>
      <c r="IB67" s="21" t="n">
        <v>261.206</v>
      </c>
      <c r="IC67" s="21" t="n">
        <v>200.814</v>
      </c>
      <c r="ID67" s="21" t="n">
        <v>275.904</v>
      </c>
      <c r="IE67" s="21" t="n">
        <v>112.281</v>
      </c>
      <c r="IF67" s="21" t="n">
        <v>156.054</v>
      </c>
      <c r="IG67" s="21" t="n">
        <v>76.001</v>
      </c>
      <c r="IH67" s="21" t="n">
        <v>75.872</v>
      </c>
      <c r="II67" s="21" t="n">
        <v>56.539</v>
      </c>
      <c r="IJ67" s="21" t="n">
        <v>23.069</v>
      </c>
      <c r="IK67" s="21" t="n">
        <v>33.077</v>
      </c>
      <c r="IL67" s="21" t="n">
        <v>28.875</v>
      </c>
      <c r="IM67" s="21" t="n">
        <v>36.602</v>
      </c>
      <c r="IN67" s="21" t="n">
        <v>90.98999999999999</v>
      </c>
      <c r="IO67" s="21" t="n">
        <v>104.364</v>
      </c>
      <c r="IP67" s="21" t="n">
        <v>176.823</v>
      </c>
      <c r="IQ67" s="21" t="n">
        <v>146.45</v>
      </c>
      <c r="IR67" s="21" t="n">
        <v>405.896</v>
      </c>
      <c r="IS67" s="21" t="n">
        <v>193.557</v>
      </c>
      <c r="IT67" s="21" t="n">
        <v>240.494</v>
      </c>
      <c r="IU67" s="21" t="n">
        <v>323.188</v>
      </c>
      <c r="IV67" s="21" t="n">
        <v>268.709</v>
      </c>
      <c r="IW67" s="21" t="n">
        <v>139.523</v>
      </c>
      <c r="IX67" s="21" t="n">
        <v>271.123</v>
      </c>
      <c r="IY67" s="21" t="n">
        <v>674.802</v>
      </c>
      <c r="IZ67" s="21" t="n">
        <v>779.008</v>
      </c>
      <c r="JA67" s="21" t="n">
        <v>879.968</v>
      </c>
      <c r="JB67" s="21" t="n">
        <v>84.673</v>
      </c>
      <c r="JC67" s="21" t="n">
        <v>311.779</v>
      </c>
      <c r="JD67" s="21" t="n">
        <v>259.804</v>
      </c>
      <c r="JE67" s="21" t="n">
        <v>73.658</v>
      </c>
      <c r="JF67" s="21" t="n">
        <v>202.813</v>
      </c>
      <c r="JG67" s="21" t="n">
        <v>320.23</v>
      </c>
      <c r="JH67" s="21" t="n">
        <v>315.606</v>
      </c>
      <c r="JI67" s="21" t="n">
        <v>69.568</v>
      </c>
      <c r="JJ67" s="21" t="n">
        <v>109.052</v>
      </c>
      <c r="JK67" s="21" t="n">
        <v>38.778</v>
      </c>
      <c r="JL67" s="21" t="n">
        <v>77.93600000000001</v>
      </c>
      <c r="JM67" s="21" t="n">
        <v>186.445</v>
      </c>
      <c r="JN67" s="21" t="n">
        <v>461.81</v>
      </c>
      <c r="JO67" s="21" t="n">
        <v>73.508</v>
      </c>
      <c r="JP67" s="21" t="n">
        <v>479.396</v>
      </c>
      <c r="JQ67" s="21" t="n">
        <v>238.228</v>
      </c>
      <c r="JR67" s="21" t="n">
        <v>159.331</v>
      </c>
      <c r="JS67" s="21" t="n">
        <v>457.128</v>
      </c>
      <c r="JT67" s="21" t="n">
        <v>368.924</v>
      </c>
      <c r="JU67" s="21" t="n">
        <v>343.031</v>
      </c>
      <c r="JV67" s="21" t="n">
        <v>179.705</v>
      </c>
      <c r="JW67" s="21" t="n">
        <v>372.023</v>
      </c>
      <c r="JX67" s="21" t="n">
        <v>259.709</v>
      </c>
      <c r="JY67" s="21" t="n">
        <v>77.73999999999999</v>
      </c>
      <c r="JZ67" s="21" t="n">
        <v>160.607</v>
      </c>
      <c r="KA67" s="21" t="n">
        <v>244.412</v>
      </c>
      <c r="KB67" s="21" t="n">
        <v>265.68</v>
      </c>
      <c r="KC67" s="21" t="n">
        <v>255.061</v>
      </c>
      <c r="KD67" s="21" t="n">
        <v>265.849</v>
      </c>
      <c r="KE67" s="21" t="n">
        <v>233.425</v>
      </c>
      <c r="KF67" s="21" t="n">
        <v>224.386</v>
      </c>
      <c r="KG67" s="21" t="n">
        <v>232.908</v>
      </c>
      <c r="KH67" s="21" t="n">
        <v>239.191</v>
      </c>
      <c r="KI67" s="21" t="n">
        <v>108.047</v>
      </c>
      <c r="KJ67" s="21" t="n">
        <v>182.834</v>
      </c>
      <c r="KK67" s="21" t="n">
        <v>145.962</v>
      </c>
      <c r="KL67" s="21" t="n">
        <v>142.265</v>
      </c>
      <c r="KM67" s="21" t="n">
        <v>142.586</v>
      </c>
      <c r="KN67" s="21" t="n">
        <v>144.295</v>
      </c>
      <c r="KO67" s="21" t="n">
        <v>263.731</v>
      </c>
      <c r="KP67" s="21" t="n">
        <v>103.543</v>
      </c>
      <c r="KQ67" s="21" t="n">
        <v>69.15300000000001</v>
      </c>
      <c r="KR67" s="21" t="n">
        <v>112.805</v>
      </c>
      <c r="KS67" s="21" t="n">
        <v>188.734</v>
      </c>
      <c r="KT67" s="21" t="n">
        <v>182.932</v>
      </c>
      <c r="KU67" s="21" t="n">
        <v>91.958</v>
      </c>
      <c r="KV67" s="21" t="n">
        <v>49.359</v>
      </c>
      <c r="KW67" s="21" t="n">
        <v>223.065</v>
      </c>
      <c r="KX67" s="21" t="n">
        <v>184.965</v>
      </c>
      <c r="KY67" s="21" t="n">
        <v>226.736</v>
      </c>
      <c r="KZ67" s="21" t="n">
        <v>180.413</v>
      </c>
      <c r="LA67" s="21" t="n">
        <v>224.753</v>
      </c>
      <c r="LB67" s="21" t="n">
        <v>116.676</v>
      </c>
      <c r="LC67" s="21" t="n">
        <v>366.84</v>
      </c>
      <c r="LD67" s="21" t="n">
        <v>78.212</v>
      </c>
      <c r="LE67" s="21" t="n">
        <v>128.001</v>
      </c>
      <c r="LF67" s="21" t="n">
        <v>339.397</v>
      </c>
      <c r="LG67" s="21" t="n">
        <v>330.522</v>
      </c>
      <c r="LH67" s="21" t="n">
        <v>343.259</v>
      </c>
      <c r="LI67" s="21" t="n">
        <v>312.941</v>
      </c>
      <c r="LJ67" s="21" t="n">
        <v>345.99</v>
      </c>
      <c r="LK67" s="21" t="n">
        <v>103.166</v>
      </c>
      <c r="LL67" s="21" t="n">
        <v>300.572</v>
      </c>
      <c r="LM67" s="21" t="n">
        <v>214.371</v>
      </c>
      <c r="LN67" s="21" t="n">
        <v>36.5</v>
      </c>
      <c r="LO67" s="21" t="n">
        <v>131.335</v>
      </c>
    </row>
    <row r="68">
      <c r="A68" s="22" t="n">
        <v>44013</v>
      </c>
      <c r="B68" s="21" t="n">
        <v>258.352</v>
      </c>
      <c r="C68" s="21" t="n">
        <v>267.824</v>
      </c>
      <c r="D68" s="21" t="n">
        <v>268.532</v>
      </c>
      <c r="E68" s="21" t="n">
        <v>252.003</v>
      </c>
      <c r="F68" s="21" t="n">
        <v>284.114</v>
      </c>
      <c r="G68" s="21" t="n">
        <v>232.25</v>
      </c>
      <c r="H68" s="21" t="n">
        <v>238.881</v>
      </c>
      <c r="I68" s="21" t="n">
        <v>226.335</v>
      </c>
      <c r="J68" s="21" t="n">
        <v>245.033</v>
      </c>
      <c r="K68" s="21" t="n">
        <v>314.422</v>
      </c>
      <c r="L68" s="21" t="n">
        <v>190.894</v>
      </c>
      <c r="M68" s="21" t="n">
        <v>185.553</v>
      </c>
      <c r="N68" s="21" t="n">
        <v>296.97</v>
      </c>
      <c r="O68" s="21" t="n">
        <v>278.336</v>
      </c>
      <c r="P68" s="21" t="n">
        <v>279.035</v>
      </c>
      <c r="Q68" s="21" t="n">
        <v>315.88</v>
      </c>
      <c r="R68" s="21" t="n">
        <v>273.974</v>
      </c>
      <c r="S68" s="21" t="n">
        <v>269.268</v>
      </c>
      <c r="T68" s="21" t="n">
        <v>273.555</v>
      </c>
      <c r="U68" s="21" t="n">
        <v>280.754</v>
      </c>
      <c r="V68" s="21" t="n">
        <v>348.9</v>
      </c>
      <c r="W68" s="21" t="n">
        <v>309.349</v>
      </c>
      <c r="X68" s="21" t="n">
        <v>272.402</v>
      </c>
      <c r="Y68" s="21" t="n">
        <v>231.599</v>
      </c>
      <c r="Z68" s="21" t="n">
        <v>229.67</v>
      </c>
      <c r="AA68" s="21" t="n">
        <v>169.394</v>
      </c>
      <c r="AB68" s="21" t="n">
        <v>317.403</v>
      </c>
      <c r="AC68" s="21" t="n">
        <v>153.195</v>
      </c>
      <c r="AD68" s="21" t="n">
        <v>214.301</v>
      </c>
      <c r="AE68" s="21" t="n">
        <v>239.35</v>
      </c>
      <c r="AF68" s="21" t="n">
        <v>218.186</v>
      </c>
      <c r="AG68" s="21" t="n">
        <v>142.121</v>
      </c>
      <c r="AH68" s="21" t="n">
        <v>237.363</v>
      </c>
      <c r="AI68" s="21" t="n">
        <v>267.579</v>
      </c>
      <c r="AJ68" s="21" t="n">
        <v>151.09</v>
      </c>
      <c r="AK68" s="21" t="n">
        <v>245.337</v>
      </c>
      <c r="AL68" s="21" t="n">
        <v>157.816</v>
      </c>
      <c r="AM68" s="21" t="n">
        <v>264.654</v>
      </c>
      <c r="AN68" s="21" t="n">
        <v>233.695</v>
      </c>
      <c r="AO68" s="21" t="n">
        <v>160.354</v>
      </c>
      <c r="AP68" s="21" t="n">
        <v>308.433</v>
      </c>
      <c r="AQ68" s="21" t="n">
        <v>192.804</v>
      </c>
      <c r="AR68" s="21" t="n">
        <v>153.209</v>
      </c>
      <c r="AS68" s="21" t="n">
        <v>222.1</v>
      </c>
      <c r="AT68" s="21" t="n">
        <v>317.557</v>
      </c>
      <c r="AU68" s="21" t="n">
        <v>213.15</v>
      </c>
      <c r="AV68" s="21" t="n">
        <v>227.114</v>
      </c>
      <c r="AW68" s="21" t="n">
        <v>146.046</v>
      </c>
      <c r="AX68" s="21" t="n">
        <v>209.485</v>
      </c>
      <c r="AY68" s="21" t="n">
        <v>150.672</v>
      </c>
      <c r="AZ68" s="21" t="n">
        <v>238.402</v>
      </c>
      <c r="BA68" s="21" t="n">
        <v>233.487</v>
      </c>
      <c r="BB68" s="21" t="n">
        <v>152.115</v>
      </c>
      <c r="BC68" s="21" t="n">
        <v>306.679</v>
      </c>
      <c r="BD68" s="21" t="n">
        <v>354.046</v>
      </c>
      <c r="BE68" s="21" t="n">
        <v>356.395</v>
      </c>
      <c r="BF68" s="21" t="n">
        <v>320.461</v>
      </c>
      <c r="BG68" s="21" t="n">
        <v>192.992</v>
      </c>
      <c r="BH68" s="21" t="n">
        <v>257.816</v>
      </c>
      <c r="BI68" s="21" t="n">
        <v>502.152</v>
      </c>
      <c r="BJ68" s="21" t="n">
        <v>118.427</v>
      </c>
      <c r="BK68" s="21" t="n">
        <v>349.964</v>
      </c>
      <c r="BL68" s="21" t="n">
        <v>383.752</v>
      </c>
      <c r="BM68" s="21" t="n">
        <v>332.396</v>
      </c>
      <c r="BN68" s="21" t="n">
        <v>357.245</v>
      </c>
      <c r="BO68" s="21" t="n">
        <v>347.547</v>
      </c>
      <c r="BP68" s="21" t="n">
        <v>163.008</v>
      </c>
      <c r="BQ68" s="21" t="n">
        <v>170.309</v>
      </c>
      <c r="BR68" s="21" t="n">
        <v>163.481</v>
      </c>
      <c r="BS68" s="21" t="n">
        <v>180.994</v>
      </c>
      <c r="BT68" s="21" t="n">
        <v>151.133</v>
      </c>
      <c r="BU68" s="21" t="n">
        <v>207.387</v>
      </c>
      <c r="BV68" s="21" t="n">
        <v>160.434</v>
      </c>
      <c r="BW68" s="21" t="n">
        <v>178.843</v>
      </c>
      <c r="BX68" s="21" t="n">
        <v>141.642</v>
      </c>
      <c r="BY68" s="21" t="n">
        <v>183.663</v>
      </c>
      <c r="BZ68" s="21" t="n">
        <v>126.272</v>
      </c>
      <c r="CA68" s="21" t="n">
        <v>117.604</v>
      </c>
      <c r="CB68" s="21" t="n">
        <v>194.372</v>
      </c>
      <c r="CC68" s="21" t="n">
        <v>202.474</v>
      </c>
      <c r="CD68" s="21" t="n">
        <v>132.234</v>
      </c>
      <c r="CE68" s="21" t="n">
        <v>218.38</v>
      </c>
      <c r="CF68" s="21" t="n">
        <v>225.532</v>
      </c>
      <c r="CG68" s="21" t="n">
        <v>199.63</v>
      </c>
      <c r="CH68" s="21" t="n">
        <v>153.029</v>
      </c>
      <c r="CI68" s="21" t="n">
        <v>156.792</v>
      </c>
      <c r="CJ68" s="21" t="n">
        <v>230.276</v>
      </c>
      <c r="CK68" s="21" t="n">
        <v>207.743</v>
      </c>
      <c r="CL68" s="21" t="n">
        <v>248.783</v>
      </c>
      <c r="CM68" s="21" t="n">
        <v>306.754</v>
      </c>
      <c r="CN68" s="21" t="n">
        <v>131.668</v>
      </c>
      <c r="CO68" s="21" t="n">
        <v>159.123</v>
      </c>
      <c r="CP68" s="21" t="n">
        <v>234.039</v>
      </c>
      <c r="CQ68" s="21" t="n">
        <v>253.885</v>
      </c>
      <c r="CR68" s="21" t="n">
        <v>172.67</v>
      </c>
      <c r="CS68" s="21" t="n">
        <v>263.817</v>
      </c>
      <c r="CT68" s="21" t="n">
        <v>249.738</v>
      </c>
      <c r="CU68" s="21" t="n">
        <v>156.208</v>
      </c>
      <c r="CV68" s="21" t="n">
        <v>147.863</v>
      </c>
      <c r="CW68" s="21" t="n">
        <v>144.829</v>
      </c>
      <c r="CX68" s="21" t="n">
        <v>283.621</v>
      </c>
      <c r="CY68" s="21" t="n">
        <v>137.772</v>
      </c>
      <c r="CZ68" s="21" t="n">
        <v>127.466</v>
      </c>
      <c r="DA68" s="21" t="n">
        <v>294.599</v>
      </c>
      <c r="DB68" s="21" t="n">
        <v>182.035</v>
      </c>
      <c r="DC68" s="21" t="n"/>
      <c r="DD68" s="21" t="n"/>
      <c r="DE68" s="21" t="n">
        <v>200.591</v>
      </c>
      <c r="DF68" s="21" t="n">
        <v>256.96</v>
      </c>
      <c r="DG68" s="21" t="n">
        <v>209.471</v>
      </c>
      <c r="DH68" s="21" t="n">
        <v>238.526</v>
      </c>
      <c r="DI68" s="21" t="n">
        <v>196.056</v>
      </c>
      <c r="DJ68" s="21" t="n">
        <v>210.312</v>
      </c>
      <c r="DK68" s="21" t="n">
        <v>191.909</v>
      </c>
      <c r="DL68" s="21" t="n">
        <v>172.661</v>
      </c>
      <c r="DM68" s="21" t="n">
        <v>361.401</v>
      </c>
      <c r="DN68" s="21" t="n">
        <v>197.85</v>
      </c>
      <c r="DO68" s="21" t="n">
        <v>271.942</v>
      </c>
      <c r="DP68" s="21" t="n">
        <v>326.249</v>
      </c>
      <c r="DQ68" s="21" t="n">
        <v>342.312</v>
      </c>
      <c r="DR68" s="21" t="n">
        <v>145.373</v>
      </c>
      <c r="DS68" s="21" t="n">
        <v>575.647</v>
      </c>
      <c r="DT68" s="21" t="n">
        <v>290.997</v>
      </c>
      <c r="DU68" s="21" t="n">
        <v>335.334</v>
      </c>
      <c r="DV68" s="21" t="n">
        <v>335.362</v>
      </c>
      <c r="DW68" s="21" t="n">
        <v>242.776</v>
      </c>
      <c r="DX68" s="21" t="n">
        <v>198.221</v>
      </c>
      <c r="DY68" s="21" t="n">
        <v>232.228</v>
      </c>
      <c r="DZ68" s="21" t="n">
        <v>207.536</v>
      </c>
      <c r="EA68" s="21" t="n">
        <v>320.701</v>
      </c>
      <c r="EB68" s="21" t="n">
        <v>203.359</v>
      </c>
      <c r="EC68" s="21" t="n">
        <v>214.058</v>
      </c>
      <c r="ED68" s="21" t="n">
        <v>168.556</v>
      </c>
      <c r="EE68" s="21" t="n">
        <v>252.401</v>
      </c>
      <c r="EF68" s="21" t="n">
        <v>585.456</v>
      </c>
      <c r="EG68" s="21" t="n">
        <v>498.564</v>
      </c>
      <c r="EH68" s="21" t="n">
        <v>126.199</v>
      </c>
      <c r="EI68" s="21" t="n">
        <v>57.849</v>
      </c>
      <c r="EJ68" s="21" t="n">
        <v>64.61199999999999</v>
      </c>
      <c r="EK68" s="21" t="n">
        <v>44.495</v>
      </c>
      <c r="EL68" s="21" t="n">
        <v>112.222</v>
      </c>
      <c r="EM68" s="21" t="n">
        <v>71.697</v>
      </c>
      <c r="EN68" s="21" t="n">
        <v>80.202</v>
      </c>
      <c r="EO68" s="21" t="n">
        <v>87.504</v>
      </c>
      <c r="EP68" s="21" t="n">
        <v>100.146</v>
      </c>
      <c r="EQ68" s="21" t="n">
        <v>68.898</v>
      </c>
      <c r="ER68" s="21" t="n">
        <v>50.664</v>
      </c>
      <c r="ES68" s="21" t="n">
        <v>134.562</v>
      </c>
      <c r="ET68" s="21" t="n">
        <v>78.54300000000001</v>
      </c>
      <c r="EU68" s="21" t="n">
        <v>92.889</v>
      </c>
      <c r="EV68" s="21" t="n">
        <v>100.891</v>
      </c>
      <c r="EW68" s="21" t="n">
        <v>89.315</v>
      </c>
      <c r="EX68" s="21" t="n">
        <v>200.321</v>
      </c>
      <c r="EY68" s="21" t="n">
        <v>126.653</v>
      </c>
      <c r="EZ68" s="21" t="n">
        <v>122.471</v>
      </c>
      <c r="FA68" s="21" t="n">
        <v>172.575</v>
      </c>
      <c r="FB68" s="21" t="n">
        <v>116.576</v>
      </c>
      <c r="FC68" s="21" t="n">
        <v>112.165</v>
      </c>
      <c r="FD68" s="21" t="n">
        <v>113.966</v>
      </c>
      <c r="FE68" s="21" t="n">
        <v>94.041</v>
      </c>
      <c r="FF68" s="21" t="n">
        <v>159.747</v>
      </c>
      <c r="FG68" s="21" t="n">
        <v>69.399</v>
      </c>
      <c r="FH68" s="21" t="n">
        <v>113.583</v>
      </c>
      <c r="FI68" s="21" t="n">
        <v>104.485</v>
      </c>
      <c r="FJ68" s="21" t="n">
        <v>97.55500000000001</v>
      </c>
      <c r="FK68" s="21" t="n">
        <v>98.41500000000001</v>
      </c>
      <c r="FL68" s="21" t="n">
        <v>91.04600000000001</v>
      </c>
      <c r="FM68" s="21" t="n">
        <v>88.77</v>
      </c>
      <c r="FN68" s="21" t="n">
        <v>68.626</v>
      </c>
      <c r="FO68" s="21" t="n">
        <v>98.22199999999999</v>
      </c>
      <c r="FP68" s="21" t="n">
        <v>92.979</v>
      </c>
      <c r="FQ68" s="21" t="n">
        <v>132.047</v>
      </c>
      <c r="FR68" s="21" t="n">
        <v>138.735</v>
      </c>
      <c r="FS68" s="21" t="n">
        <v>148.749</v>
      </c>
      <c r="FT68" s="21" t="n">
        <v>118.241</v>
      </c>
      <c r="FU68" s="21" t="n">
        <v>114.309</v>
      </c>
      <c r="FV68" s="21" t="n">
        <v>168.983</v>
      </c>
      <c r="FW68" s="21" t="n">
        <v>141.982</v>
      </c>
      <c r="FX68" s="21" t="n">
        <v>165.639</v>
      </c>
      <c r="FY68" s="21" t="n">
        <v>197.289</v>
      </c>
      <c r="FZ68" s="21" t="n">
        <v>195.065</v>
      </c>
      <c r="GA68" s="21" t="n">
        <v>98.505</v>
      </c>
      <c r="GB68" s="21" t="n">
        <v>146.961</v>
      </c>
      <c r="GC68" s="21" t="n">
        <v>102.339</v>
      </c>
      <c r="GD68" s="21" t="n">
        <v>143.474</v>
      </c>
      <c r="GE68" s="21" t="n">
        <v>156.26</v>
      </c>
      <c r="GF68" s="21" t="n"/>
      <c r="GG68" s="21" t="n">
        <v>136.77</v>
      </c>
      <c r="GH68" s="21" t="n"/>
      <c r="GI68" s="21" t="n">
        <v>122.241</v>
      </c>
      <c r="GJ68" s="21" t="n">
        <v>186.138</v>
      </c>
      <c r="GK68" s="21" t="n">
        <v>185.072</v>
      </c>
      <c r="GL68" s="21" t="n">
        <v>179.82</v>
      </c>
      <c r="GM68" s="21" t="n">
        <v>206.733</v>
      </c>
      <c r="GN68" s="21" t="n">
        <v>206.795</v>
      </c>
      <c r="GO68" s="21" t="n">
        <v>180.8</v>
      </c>
      <c r="GP68" s="21" t="n">
        <v>148.123</v>
      </c>
      <c r="GQ68" s="21" t="n">
        <v>124.958</v>
      </c>
      <c r="GR68" s="21" t="n">
        <v>305.573</v>
      </c>
      <c r="GS68" s="21" t="n">
        <v>186.342</v>
      </c>
      <c r="GT68" s="21" t="n">
        <v>560.1609999999999</v>
      </c>
      <c r="GU68" s="21" t="n">
        <v>210.404</v>
      </c>
      <c r="GV68" s="21" t="n">
        <v>236.982</v>
      </c>
      <c r="GW68" s="21" t="n">
        <v>217.372</v>
      </c>
      <c r="GX68" s="21" t="n">
        <v>203.723</v>
      </c>
      <c r="GY68" s="21" t="n">
        <v>146.97</v>
      </c>
      <c r="GZ68" s="21" t="n"/>
      <c r="HA68" s="21" t="n">
        <v>59.023</v>
      </c>
      <c r="HB68" s="21" t="n">
        <v>522.675</v>
      </c>
      <c r="HC68" s="21" t="n">
        <v>384.377</v>
      </c>
      <c r="HD68" s="21" t="n">
        <v>125.809</v>
      </c>
      <c r="HE68" s="21" t="n">
        <v>533.551</v>
      </c>
      <c r="HF68" s="21" t="n">
        <v>95.68000000000001</v>
      </c>
      <c r="HG68" s="21" t="n">
        <v>567.284</v>
      </c>
      <c r="HH68" s="21" t="n">
        <v>392.285</v>
      </c>
      <c r="HI68" s="21" t="n">
        <v>392.928</v>
      </c>
      <c r="HJ68" s="21" t="n">
        <v>515.204</v>
      </c>
      <c r="HK68" s="21" t="n">
        <v>193.121</v>
      </c>
      <c r="HL68" s="21" t="n">
        <v>242.38</v>
      </c>
      <c r="HM68" s="21" t="n">
        <v>83.795</v>
      </c>
      <c r="HN68" s="21" t="n">
        <v>353.381</v>
      </c>
      <c r="HO68" s="21" t="n">
        <v>343.534</v>
      </c>
      <c r="HP68" s="21" t="n">
        <v>770.0940000000001</v>
      </c>
      <c r="HQ68" s="21" t="n">
        <v>241.808</v>
      </c>
      <c r="HR68" s="21" t="n">
        <v>121.368</v>
      </c>
      <c r="HS68" s="21" t="n">
        <v>107.158</v>
      </c>
      <c r="HT68" s="21" t="n">
        <v>130.914</v>
      </c>
      <c r="HU68" s="21" t="n">
        <v>500.815</v>
      </c>
      <c r="HV68" s="21" t="n">
        <v>120.819</v>
      </c>
      <c r="HW68" s="21" t="n">
        <v>26.775</v>
      </c>
      <c r="HX68" s="21" t="n">
        <v>179.372</v>
      </c>
      <c r="HY68" s="21" t="n">
        <v>200.726</v>
      </c>
      <c r="HZ68" s="21" t="n">
        <v>154.041</v>
      </c>
      <c r="IA68" s="21" t="n">
        <v>114.255</v>
      </c>
      <c r="IB68" s="21" t="n">
        <v>262.542</v>
      </c>
      <c r="IC68" s="21" t="n">
        <v>199.846</v>
      </c>
      <c r="ID68" s="21" t="n">
        <v>278.167</v>
      </c>
      <c r="IE68" s="21" t="n">
        <v>114.094</v>
      </c>
      <c r="IF68" s="21" t="n">
        <v>159.858</v>
      </c>
      <c r="IG68" s="21" t="n">
        <v>76.212</v>
      </c>
      <c r="IH68" s="21" t="n">
        <v>75.84399999999999</v>
      </c>
      <c r="II68" s="21" t="n">
        <v>56.713</v>
      </c>
      <c r="IJ68" s="21" t="n">
        <v>23.549</v>
      </c>
      <c r="IK68" s="21" t="n">
        <v>33.174</v>
      </c>
      <c r="IL68" s="21" t="n">
        <v>28.806</v>
      </c>
      <c r="IM68" s="21" t="n">
        <v>37.036</v>
      </c>
      <c r="IN68" s="21" t="n">
        <v>96.08</v>
      </c>
      <c r="IO68" s="21" t="n">
        <v>105.829</v>
      </c>
      <c r="IP68" s="21" t="n">
        <v>171.321</v>
      </c>
      <c r="IQ68" s="21" t="n">
        <v>139.498</v>
      </c>
      <c r="IR68" s="21" t="n">
        <v>393.361</v>
      </c>
      <c r="IS68" s="21" t="n">
        <v>185.452</v>
      </c>
      <c r="IT68" s="21" t="n"/>
      <c r="IU68" s="21" t="n">
        <v>324.421</v>
      </c>
      <c r="IV68" s="21" t="n">
        <v>268.818</v>
      </c>
      <c r="IW68" s="21" t="n">
        <v>141.049</v>
      </c>
      <c r="IX68" s="21" t="n">
        <v>271.783</v>
      </c>
      <c r="IY68" s="21" t="n">
        <v>677.979</v>
      </c>
      <c r="IZ68" s="21" t="n">
        <v>780.84</v>
      </c>
      <c r="JA68" s="21" t="n">
        <v>882.896</v>
      </c>
      <c r="JB68" s="21" t="n">
        <v>84.361</v>
      </c>
      <c r="JC68" s="21" t="n">
        <v>312.33</v>
      </c>
      <c r="JD68" s="21" t="n">
        <v>260.217</v>
      </c>
      <c r="JE68" s="21" t="n">
        <v>74.976</v>
      </c>
      <c r="JF68" s="21" t="n">
        <v>203.754</v>
      </c>
      <c r="JG68" s="21" t="n">
        <v>321.579</v>
      </c>
      <c r="JH68" s="21" t="n">
        <v>318.498</v>
      </c>
      <c r="JI68" s="21" t="n">
        <v>70.84</v>
      </c>
      <c r="JJ68" s="21" t="n">
        <v>108.853</v>
      </c>
      <c r="JK68" s="21" t="n">
        <v>38.686</v>
      </c>
      <c r="JL68" s="21" t="n">
        <v>77.879</v>
      </c>
      <c r="JM68" s="21" t="n">
        <v>183.259</v>
      </c>
      <c r="JN68" s="21" t="n">
        <v>463.378</v>
      </c>
      <c r="JO68" s="21" t="n">
        <v>74.283</v>
      </c>
      <c r="JP68" s="21" t="n">
        <v>484.649</v>
      </c>
      <c r="JQ68" s="21" t="n">
        <v>238.64</v>
      </c>
      <c r="JR68" s="21" t="n">
        <v>160.218</v>
      </c>
      <c r="JS68" s="21" t="n">
        <v>456.784</v>
      </c>
      <c r="JT68" s="21" t="n">
        <v>368.854</v>
      </c>
      <c r="JU68" s="21" t="n">
        <v>343.271</v>
      </c>
      <c r="JV68" s="21" t="n">
        <v>179.81</v>
      </c>
      <c r="JW68" s="21" t="n">
        <v>370.785</v>
      </c>
      <c r="JX68" s="21" t="n">
        <v>258.772</v>
      </c>
      <c r="JY68" s="21" t="n">
        <v>75.093</v>
      </c>
      <c r="JZ68" s="21" t="n">
        <v>155.557</v>
      </c>
      <c r="KA68" s="21" t="n">
        <v>245.697</v>
      </c>
      <c r="KB68" s="21" t="n">
        <v>266.833</v>
      </c>
      <c r="KC68" s="21" t="n">
        <v>256.738</v>
      </c>
      <c r="KD68" s="21" t="n">
        <v>267.389</v>
      </c>
      <c r="KE68" s="21" t="n">
        <v>234.917</v>
      </c>
      <c r="KF68" s="21" t="n">
        <v>226.445</v>
      </c>
      <c r="KG68" s="21" t="n">
        <v>234.807</v>
      </c>
      <c r="KH68" s="21" t="n">
        <v>240.988</v>
      </c>
      <c r="KI68" s="21" t="n">
        <v>108.705</v>
      </c>
      <c r="KJ68" s="21" t="n">
        <v>183.628</v>
      </c>
      <c r="KK68" s="21" t="n">
        <v>147.336</v>
      </c>
      <c r="KL68" s="21" t="n">
        <v>143.697</v>
      </c>
      <c r="KM68" s="21" t="n">
        <v>143.375</v>
      </c>
      <c r="KN68" s="21" t="n">
        <v>144.809</v>
      </c>
      <c r="KO68" s="21" t="n">
        <v>260.984</v>
      </c>
      <c r="KP68" s="21" t="n">
        <v>104.584</v>
      </c>
      <c r="KQ68" s="21" t="n">
        <v>68.991</v>
      </c>
      <c r="KR68" s="21" t="n">
        <v>114.162</v>
      </c>
      <c r="KS68" s="21" t="n">
        <v>191.966</v>
      </c>
      <c r="KT68" s="21" t="n">
        <v>189.728</v>
      </c>
      <c r="KU68" s="21" t="n">
        <v>92.38500000000001</v>
      </c>
      <c r="KV68" s="21" t="n">
        <v>49.151</v>
      </c>
      <c r="KW68" s="21" t="n">
        <v>223.821</v>
      </c>
      <c r="KX68" s="21" t="n">
        <v>186.849</v>
      </c>
      <c r="KY68" s="21" t="n">
        <v>229.273</v>
      </c>
      <c r="KZ68" s="21" t="n">
        <v>182.456</v>
      </c>
      <c r="LA68" s="21" t="n">
        <v>227.646</v>
      </c>
      <c r="LB68" s="21" t="n">
        <v>116.917</v>
      </c>
      <c r="LC68" s="21" t="n">
        <v>368.056</v>
      </c>
      <c r="LD68" s="21" t="n">
        <v>78.68600000000001</v>
      </c>
      <c r="LE68" s="21" t="n">
        <v>126.454</v>
      </c>
      <c r="LF68" s="21" t="n">
        <v>340.2</v>
      </c>
      <c r="LG68" s="21" t="n">
        <v>332.357</v>
      </c>
      <c r="LH68" s="21" t="n">
        <v>345.28</v>
      </c>
      <c r="LI68" s="21" t="n">
        <v>314.507</v>
      </c>
      <c r="LJ68" s="21" t="n">
        <v>348.97</v>
      </c>
      <c r="LK68" s="21" t="n">
        <v>104.17</v>
      </c>
      <c r="LL68" s="21" t="n">
        <v>311.944</v>
      </c>
      <c r="LM68" s="21" t="n">
        <v>217.26</v>
      </c>
      <c r="LN68" s="21" t="n">
        <v>36.589</v>
      </c>
      <c r="LO68" s="21" t="n">
        <v>132.627</v>
      </c>
    </row>
    <row r="69">
      <c r="A69" s="22" t="n">
        <v>44044</v>
      </c>
      <c r="B69" s="21" t="n">
        <v>259.316</v>
      </c>
      <c r="C69" s="21" t="n">
        <v>268.271</v>
      </c>
      <c r="D69" s="21" t="n">
        <v>268.957</v>
      </c>
      <c r="E69" s="21" t="n">
        <v>252.148</v>
      </c>
      <c r="F69" s="21" t="n">
        <v>284.153</v>
      </c>
      <c r="G69" s="21" t="n">
        <v>231.024</v>
      </c>
      <c r="H69" s="21" t="n">
        <v>238.733</v>
      </c>
      <c r="I69" s="21" t="n">
        <v>221.886</v>
      </c>
      <c r="J69" s="21" t="n">
        <v>245.497</v>
      </c>
      <c r="K69" s="21" t="n">
        <v>314.673</v>
      </c>
      <c r="L69" s="21" t="n">
        <v>191.783</v>
      </c>
      <c r="M69" s="21" t="n">
        <v>186.955</v>
      </c>
      <c r="N69" s="21" t="n">
        <v>295.675</v>
      </c>
      <c r="O69" s="21" t="n">
        <v>279.458</v>
      </c>
      <c r="P69" s="21" t="n">
        <v>278.159</v>
      </c>
      <c r="Q69" s="21" t="n">
        <v>317.164</v>
      </c>
      <c r="R69" s="21" t="n">
        <v>272.383</v>
      </c>
      <c r="S69" s="21" t="n">
        <v>265.664</v>
      </c>
      <c r="T69" s="21" t="n">
        <v>269.907</v>
      </c>
      <c r="U69" s="21" t="n">
        <v>274.999</v>
      </c>
      <c r="V69" s="21" t="n">
        <v>333.654</v>
      </c>
      <c r="W69" s="21" t="n">
        <v>297.108</v>
      </c>
      <c r="X69" s="21" t="n">
        <v>261.39</v>
      </c>
      <c r="Y69" s="21" t="n">
        <v>223.646</v>
      </c>
      <c r="Z69" s="21" t="n">
        <v>227.529</v>
      </c>
      <c r="AA69" s="21" t="n">
        <v>166.987</v>
      </c>
      <c r="AB69" s="21" t="n">
        <v>309.475</v>
      </c>
      <c r="AC69" s="21" t="n">
        <v>154.062</v>
      </c>
      <c r="AD69" s="21" t="n">
        <v>214.604</v>
      </c>
      <c r="AE69" s="21" t="n">
        <v>239.308</v>
      </c>
      <c r="AF69" s="21" t="n">
        <v>211.034</v>
      </c>
      <c r="AG69" s="21" t="n">
        <v>141.863</v>
      </c>
      <c r="AH69" s="21" t="n">
        <v>240.538</v>
      </c>
      <c r="AI69" s="21" t="n">
        <v>258.149</v>
      </c>
      <c r="AJ69" s="21" t="n">
        <v>152.801</v>
      </c>
      <c r="AK69" s="21" t="n">
        <v>244.804</v>
      </c>
      <c r="AL69" s="21" t="n">
        <v>157.323</v>
      </c>
      <c r="AM69" s="21" t="n">
        <v>261.697</v>
      </c>
      <c r="AN69" s="21" t="n">
        <v>233.051</v>
      </c>
      <c r="AO69" s="21" t="n">
        <v>161.608</v>
      </c>
      <c r="AP69" s="21" t="n">
        <v>308.671</v>
      </c>
      <c r="AQ69" s="21" t="n">
        <v>190.771</v>
      </c>
      <c r="AR69" s="21" t="n">
        <v>154.901</v>
      </c>
      <c r="AS69" s="21" t="n">
        <v>225.163</v>
      </c>
      <c r="AT69" s="21" t="n">
        <v>321.709</v>
      </c>
      <c r="AU69" s="21" t="n">
        <v>210.109</v>
      </c>
      <c r="AV69" s="21" t="n">
        <v>231.231</v>
      </c>
      <c r="AW69" s="21" t="n">
        <v>151.94</v>
      </c>
      <c r="AX69" s="21" t="n">
        <v>218.064</v>
      </c>
      <c r="AY69" s="21" t="n">
        <v>156.513</v>
      </c>
      <c r="AZ69" s="21" t="n">
        <v>244.669</v>
      </c>
      <c r="BA69" s="21" t="n">
        <v>231.982</v>
      </c>
      <c r="BB69" s="21" t="n">
        <v>152.218</v>
      </c>
      <c r="BC69" s="21" t="n">
        <v>307.808</v>
      </c>
      <c r="BD69" s="21" t="n">
        <v>355.725</v>
      </c>
      <c r="BE69" s="21" t="n">
        <v>362.174</v>
      </c>
      <c r="BF69" s="21" t="n">
        <v>320.21</v>
      </c>
      <c r="BG69" s="21" t="n">
        <v>189.923</v>
      </c>
      <c r="BH69" s="21" t="n">
        <v>260.581</v>
      </c>
      <c r="BI69" s="21" t="n">
        <v>506.879</v>
      </c>
      <c r="BJ69" s="21" t="n">
        <v>123.707</v>
      </c>
      <c r="BK69" s="21" t="n">
        <v>347.472</v>
      </c>
      <c r="BL69" s="21" t="n">
        <v>380.396</v>
      </c>
      <c r="BM69" s="21" t="n">
        <v>334.199</v>
      </c>
      <c r="BN69" s="21" t="n">
        <v>352.836</v>
      </c>
      <c r="BO69" s="21" t="n">
        <v>344.229</v>
      </c>
      <c r="BP69" s="21" t="n">
        <v>162.978</v>
      </c>
      <c r="BQ69" s="21" t="n">
        <v>169.177</v>
      </c>
      <c r="BR69" s="21" t="n">
        <v>162.831</v>
      </c>
      <c r="BS69" s="21" t="n">
        <v>179.925</v>
      </c>
      <c r="BT69" s="21" t="n">
        <v>151.652</v>
      </c>
      <c r="BU69" s="21" t="n">
        <v>207.62</v>
      </c>
      <c r="BV69" s="21" t="n">
        <v>161.977</v>
      </c>
      <c r="BW69" s="21" t="n">
        <v>178.879</v>
      </c>
      <c r="BX69" s="21" t="n">
        <v>141.43</v>
      </c>
      <c r="BY69" s="21" t="n">
        <v>182.962</v>
      </c>
      <c r="BZ69" s="21" t="n">
        <v>126.162</v>
      </c>
      <c r="CA69" s="21" t="n">
        <v>118.086</v>
      </c>
      <c r="CB69" s="21" t="n">
        <v>194.621</v>
      </c>
      <c r="CC69" s="21" t="n">
        <v>203.137</v>
      </c>
      <c r="CD69" s="21" t="n">
        <v>133.963</v>
      </c>
      <c r="CE69" s="21" t="n">
        <v>219.355</v>
      </c>
      <c r="CF69" s="21" t="n">
        <v>227.252</v>
      </c>
      <c r="CG69" s="21" t="n">
        <v>200.717</v>
      </c>
      <c r="CH69" s="21" t="n">
        <v>154.768</v>
      </c>
      <c r="CI69" s="21" t="n">
        <v>157.199</v>
      </c>
      <c r="CJ69" s="21" t="n">
        <v>229.934</v>
      </c>
      <c r="CK69" s="21" t="n">
        <v>209.133</v>
      </c>
      <c r="CL69" s="21" t="n">
        <v>250.549</v>
      </c>
      <c r="CM69" s="21" t="n">
        <v>306.362</v>
      </c>
      <c r="CN69" s="21" t="n">
        <v>129.69</v>
      </c>
      <c r="CO69" s="21" t="n">
        <v>159.424</v>
      </c>
      <c r="CP69" s="21" t="n">
        <v>235.152</v>
      </c>
      <c r="CQ69" s="21" t="n">
        <v>255.663</v>
      </c>
      <c r="CR69" s="21" t="n">
        <v>174.192</v>
      </c>
      <c r="CS69" s="21" t="n">
        <v>262.272</v>
      </c>
      <c r="CT69" s="21" t="n">
        <v>251.203</v>
      </c>
      <c r="CU69" s="21" t="n">
        <v>157.165</v>
      </c>
      <c r="CV69" s="21" t="n">
        <v>148.755</v>
      </c>
      <c r="CW69" s="21" t="n">
        <v>146.168</v>
      </c>
      <c r="CX69" s="21" t="n">
        <v>283.575</v>
      </c>
      <c r="CY69" s="21" t="n">
        <v>138.803</v>
      </c>
      <c r="CZ69" s="21" t="n">
        <v>130.742</v>
      </c>
      <c r="DA69" s="21" t="n">
        <v>295.437</v>
      </c>
      <c r="DB69" s="21" t="n">
        <v>182.162</v>
      </c>
      <c r="DC69" s="21" t="n">
        <v>175.849</v>
      </c>
      <c r="DD69" s="21" t="n"/>
      <c r="DE69" s="21" t="n">
        <v>202.014</v>
      </c>
      <c r="DF69" s="21" t="n">
        <v>257.678</v>
      </c>
      <c r="DG69" s="21" t="n">
        <v>209.262</v>
      </c>
      <c r="DH69" s="21" t="n">
        <v>237.5</v>
      </c>
      <c r="DI69" s="21" t="n">
        <v>196.405</v>
      </c>
      <c r="DJ69" s="21" t="n">
        <v>209.942</v>
      </c>
      <c r="DK69" s="21" t="n">
        <v>192.667</v>
      </c>
      <c r="DL69" s="21" t="n">
        <v>172.341</v>
      </c>
      <c r="DM69" s="21" t="n">
        <v>364.232</v>
      </c>
      <c r="DN69" s="21" t="n">
        <v>198.84</v>
      </c>
      <c r="DO69" s="21" t="n">
        <v>272.539</v>
      </c>
      <c r="DP69" s="21" t="n">
        <v>326.782</v>
      </c>
      <c r="DQ69" s="21" t="n">
        <v>342.65</v>
      </c>
      <c r="DR69" s="21" t="n">
        <v>146.431</v>
      </c>
      <c r="DS69" s="21" t="n">
        <v>574.516</v>
      </c>
      <c r="DT69" s="21" t="n">
        <v>293.519</v>
      </c>
      <c r="DU69" s="21" t="n">
        <v>335.891</v>
      </c>
      <c r="DV69" s="21" t="n">
        <v>335.918</v>
      </c>
      <c r="DW69" s="21" t="n">
        <v>242.873</v>
      </c>
      <c r="DX69" s="21" t="n">
        <v>197.909</v>
      </c>
      <c r="DY69" s="21" t="n">
        <v>234.497</v>
      </c>
      <c r="DZ69" s="21" t="n">
        <v>214.196</v>
      </c>
      <c r="EA69" s="21" t="n">
        <v>319.495</v>
      </c>
      <c r="EB69" s="21" t="n">
        <v>202.937</v>
      </c>
      <c r="EC69" s="21" t="n">
        <v>213.671</v>
      </c>
      <c r="ED69" s="21" t="n">
        <v>168.043</v>
      </c>
      <c r="EE69" s="21" t="n">
        <v>253.974</v>
      </c>
      <c r="EF69" s="21" t="n">
        <v>589.444</v>
      </c>
      <c r="EG69" s="21" t="n">
        <v>500.882</v>
      </c>
      <c r="EH69" s="21" t="n">
        <v>127.193</v>
      </c>
      <c r="EI69" s="21" t="n">
        <v>57.659</v>
      </c>
      <c r="EJ69" s="21" t="n">
        <v>66.801</v>
      </c>
      <c r="EK69" s="21" t="n">
        <v>44.137</v>
      </c>
      <c r="EL69" s="21" t="n">
        <v>114.047</v>
      </c>
      <c r="EM69" s="21" t="n">
        <v>74.134</v>
      </c>
      <c r="EN69" s="21" t="n">
        <v>81.688</v>
      </c>
      <c r="EO69" s="21" t="n">
        <v>92.426</v>
      </c>
      <c r="EP69" s="21" t="n">
        <v>103.595</v>
      </c>
      <c r="EQ69" s="21" t="n">
        <v>69.227</v>
      </c>
      <c r="ER69" s="21" t="n">
        <v>51.252</v>
      </c>
      <c r="ES69" s="21" t="n">
        <v>133.402</v>
      </c>
      <c r="ET69" s="21" t="n">
        <v>78.626</v>
      </c>
      <c r="EU69" s="21" t="n">
        <v>92.926</v>
      </c>
      <c r="EV69" s="21" t="n">
        <v>101.126</v>
      </c>
      <c r="EW69" s="21" t="n">
        <v>89.16</v>
      </c>
      <c r="EX69" s="21" t="n">
        <v>199.34</v>
      </c>
      <c r="EY69" s="21" t="n">
        <v>126.075</v>
      </c>
      <c r="EZ69" s="21" t="n">
        <v>122.282</v>
      </c>
      <c r="FA69" s="21" t="n">
        <v>175.936</v>
      </c>
      <c r="FB69" s="21" t="n">
        <v>116.907</v>
      </c>
      <c r="FC69" s="21" t="n">
        <v>112.469</v>
      </c>
      <c r="FD69" s="21" t="n">
        <v>114.812</v>
      </c>
      <c r="FE69" s="21" t="n">
        <v>92.027</v>
      </c>
      <c r="FF69" s="21" t="n">
        <v>161.952</v>
      </c>
      <c r="FG69" s="21" t="n">
        <v>69.224</v>
      </c>
      <c r="FH69" s="21" t="n">
        <v>118.174</v>
      </c>
      <c r="FI69" s="21" t="n">
        <v>102.382</v>
      </c>
      <c r="FJ69" s="21" t="n">
        <v>97.893</v>
      </c>
      <c r="FK69" s="21" t="n">
        <v>98.45</v>
      </c>
      <c r="FL69" s="21" t="n">
        <v>91.2</v>
      </c>
      <c r="FM69" s="21" t="n">
        <v>93.804</v>
      </c>
      <c r="FN69" s="21" t="n">
        <v>68.167</v>
      </c>
      <c r="FO69" s="21" t="n">
        <v>98.124</v>
      </c>
      <c r="FP69" s="21" t="n">
        <v>94.66500000000001</v>
      </c>
      <c r="FQ69" s="21" t="n">
        <v>132.096</v>
      </c>
      <c r="FR69" s="21" t="n">
        <v>137.917</v>
      </c>
      <c r="FS69" s="21" t="n">
        <v>147.31</v>
      </c>
      <c r="FT69" s="21" t="n">
        <v>119.556</v>
      </c>
      <c r="FU69" s="21" t="n">
        <v>115.093</v>
      </c>
      <c r="FV69" s="21" t="n">
        <v>169.959</v>
      </c>
      <c r="FW69" s="21" t="n">
        <v>145.826</v>
      </c>
      <c r="FX69" s="21" t="n">
        <v>166.399</v>
      </c>
      <c r="FY69" s="21" t="n">
        <v>199.971</v>
      </c>
      <c r="FZ69" s="21" t="n">
        <v>197.926</v>
      </c>
      <c r="GA69" s="21" t="n">
        <v>100.363</v>
      </c>
      <c r="GB69" s="21" t="n">
        <v>146.898</v>
      </c>
      <c r="GC69" s="21" t="n">
        <v>102.359</v>
      </c>
      <c r="GD69" s="21" t="n">
        <v>143.482</v>
      </c>
      <c r="GE69" s="21" t="n">
        <v>156.144</v>
      </c>
      <c r="GF69" s="21" t="n"/>
      <c r="GG69" s="21" t="n">
        <v>144.102</v>
      </c>
      <c r="GH69" s="21" t="n">
        <v>83.676</v>
      </c>
      <c r="GI69" s="21" t="n">
        <v>130.172</v>
      </c>
      <c r="GJ69" s="21" t="n">
        <v>189.307</v>
      </c>
      <c r="GK69" s="21" t="n">
        <v>188.325</v>
      </c>
      <c r="GL69" s="21" t="n">
        <v>182.98</v>
      </c>
      <c r="GM69" s="21" t="n">
        <v>210.422</v>
      </c>
      <c r="GN69" s="21" t="n">
        <v>210.492</v>
      </c>
      <c r="GO69" s="21" t="n">
        <v>180.088</v>
      </c>
      <c r="GP69" s="21" t="n">
        <v>148.096</v>
      </c>
      <c r="GQ69" s="21" t="n">
        <v>125.634</v>
      </c>
      <c r="GR69" s="21" t="n">
        <v>307.554</v>
      </c>
      <c r="GS69" s="21" t="n">
        <v>188.27</v>
      </c>
      <c r="GT69" s="21" t="n">
        <v>563.101</v>
      </c>
      <c r="GU69" s="21" t="n">
        <v>211.923</v>
      </c>
      <c r="GV69" s="21" t="n">
        <v>238.8</v>
      </c>
      <c r="GW69" s="21" t="n">
        <v>217.404</v>
      </c>
      <c r="GX69" s="21" t="n">
        <v>207.635</v>
      </c>
      <c r="GY69" s="21" t="n">
        <v>148.754</v>
      </c>
      <c r="GZ69" s="21" t="n"/>
      <c r="HA69" s="21" t="n">
        <v>59.017</v>
      </c>
      <c r="HB69" s="21" t="n">
        <v>522.922</v>
      </c>
      <c r="HC69" s="21" t="n">
        <v>385.409</v>
      </c>
      <c r="HD69" s="21" t="n">
        <v>126.233</v>
      </c>
      <c r="HE69" s="21" t="n">
        <v>534.254</v>
      </c>
      <c r="HF69" s="21" t="n">
        <v>96.373</v>
      </c>
      <c r="HG69" s="21" t="n">
        <v>567.277</v>
      </c>
      <c r="HH69" s="21" t="n">
        <v>392.059</v>
      </c>
      <c r="HI69" s="21" t="n">
        <v>393.025</v>
      </c>
      <c r="HJ69" s="21" t="n">
        <v>512.985</v>
      </c>
      <c r="HK69" s="21" t="n">
        <v>192.852</v>
      </c>
      <c r="HL69" s="21" t="n">
        <v>242.38</v>
      </c>
      <c r="HM69" s="21" t="n">
        <v>83.82899999999999</v>
      </c>
      <c r="HN69" s="21" t="n">
        <v>353.332</v>
      </c>
      <c r="HO69" s="21" t="n">
        <v>343.123</v>
      </c>
      <c r="HP69" s="21" t="n">
        <v>771.766</v>
      </c>
      <c r="HQ69" s="21" t="n">
        <v>242.771</v>
      </c>
      <c r="HR69" s="21" t="n">
        <v>122.118</v>
      </c>
      <c r="HS69" s="21" t="n">
        <v>107.729</v>
      </c>
      <c r="HT69" s="21" t="n">
        <v>130.914</v>
      </c>
      <c r="HU69" s="21" t="n">
        <v>503.323</v>
      </c>
      <c r="HV69" s="21" t="n">
        <v>121.881</v>
      </c>
      <c r="HW69" s="21" t="n">
        <v>26.994</v>
      </c>
      <c r="HX69" s="21" t="n">
        <v>181.131</v>
      </c>
      <c r="HY69" s="21" t="n">
        <v>203.281</v>
      </c>
      <c r="HZ69" s="21" t="n">
        <v>155.271</v>
      </c>
      <c r="IA69" s="21" t="n">
        <v>116.451</v>
      </c>
      <c r="IB69" s="21" t="n">
        <v>264.244</v>
      </c>
      <c r="IC69" s="21" t="n">
        <v>200.567</v>
      </c>
      <c r="ID69" s="21" t="n">
        <v>279.335</v>
      </c>
      <c r="IE69" s="21" t="n">
        <v>114.691</v>
      </c>
      <c r="IF69" s="21" t="n">
        <v>159.697</v>
      </c>
      <c r="IG69" s="21" t="n">
        <v>77.39400000000001</v>
      </c>
      <c r="IH69" s="21" t="n">
        <v>75.366</v>
      </c>
      <c r="II69" s="21" t="n">
        <v>56.361</v>
      </c>
      <c r="IJ69" s="21" t="n">
        <v>23.675</v>
      </c>
      <c r="IK69" s="21" t="n">
        <v>33.337</v>
      </c>
      <c r="IL69" s="21" t="n">
        <v>28.677</v>
      </c>
      <c r="IM69" s="21" t="n">
        <v>37.03</v>
      </c>
      <c r="IN69" s="21" t="n">
        <v>110.478</v>
      </c>
      <c r="IO69" s="21" t="n">
        <v>105.398</v>
      </c>
      <c r="IP69" s="21" t="n">
        <v>172.278</v>
      </c>
      <c r="IQ69" s="21" t="n">
        <v>139.905</v>
      </c>
      <c r="IR69" s="21" t="n">
        <v>396.727</v>
      </c>
      <c r="IS69" s="21" t="n">
        <v>188.142</v>
      </c>
      <c r="IT69" s="21" t="n"/>
      <c r="IU69" s="21" t="n">
        <v>324.746</v>
      </c>
      <c r="IV69" s="21" t="n">
        <v>270.573</v>
      </c>
      <c r="IW69" s="21" t="n">
        <v>141.226</v>
      </c>
      <c r="IX69" s="21" t="n">
        <v>271.251</v>
      </c>
      <c r="IY69" s="21" t="n">
        <v>685.181</v>
      </c>
      <c r="IZ69" s="21" t="n">
        <v>778.949</v>
      </c>
      <c r="JA69" s="21" t="n">
        <v>878.046</v>
      </c>
      <c r="JB69" s="21" t="n">
        <v>84.768</v>
      </c>
      <c r="JC69" s="21" t="n">
        <v>312.538</v>
      </c>
      <c r="JD69" s="21" t="n">
        <v>260.051</v>
      </c>
      <c r="JE69" s="21" t="n">
        <v>75.264</v>
      </c>
      <c r="JF69" s="21" t="n">
        <v>204.55</v>
      </c>
      <c r="JG69" s="21" t="n">
        <v>322.785</v>
      </c>
      <c r="JH69" s="21" t="n">
        <v>320.281</v>
      </c>
      <c r="JI69" s="21" t="n">
        <v>71.113</v>
      </c>
      <c r="JJ69" s="21" t="n">
        <v>108.815</v>
      </c>
      <c r="JK69" s="21" t="n">
        <v>38.866</v>
      </c>
      <c r="JL69" s="21" t="n">
        <v>77.874</v>
      </c>
      <c r="JM69" s="21" t="n">
        <v>179.901</v>
      </c>
      <c r="JN69" s="21" t="n">
        <v>462.902</v>
      </c>
      <c r="JO69" s="21" t="n">
        <v>74.44</v>
      </c>
      <c r="JP69" s="21" t="n">
        <v>485.157</v>
      </c>
      <c r="JQ69" s="21" t="n">
        <v>238.219</v>
      </c>
      <c r="JR69" s="21" t="n">
        <v>160.328</v>
      </c>
      <c r="JS69" s="21" t="n">
        <v>457.32</v>
      </c>
      <c r="JT69" s="21" t="n">
        <v>369.22</v>
      </c>
      <c r="JU69" s="21" t="n">
        <v>343.608</v>
      </c>
      <c r="JV69" s="21" t="n">
        <v>180.018</v>
      </c>
      <c r="JW69" s="21" t="n">
        <v>371.152</v>
      </c>
      <c r="JX69" s="21" t="n">
        <v>259.103</v>
      </c>
      <c r="JY69" s="21" t="n">
        <v>72.72499999999999</v>
      </c>
      <c r="JZ69" s="21" t="n">
        <v>151.25</v>
      </c>
      <c r="KA69" s="21" t="n">
        <v>246.692</v>
      </c>
      <c r="KB69" s="21" t="n">
        <v>267.772</v>
      </c>
      <c r="KC69" s="21" t="n">
        <v>257.787</v>
      </c>
      <c r="KD69" s="21" t="n">
        <v>268.422</v>
      </c>
      <c r="KE69" s="21" t="n">
        <v>236.041</v>
      </c>
      <c r="KF69" s="21" t="n">
        <v>227.723</v>
      </c>
      <c r="KG69" s="21" t="n">
        <v>236.092</v>
      </c>
      <c r="KH69" s="21" t="n">
        <v>241.643</v>
      </c>
      <c r="KI69" s="21" t="n">
        <v>109.096</v>
      </c>
      <c r="KJ69" s="21" t="n">
        <v>184.889</v>
      </c>
      <c r="KK69" s="21" t="n">
        <v>148.828</v>
      </c>
      <c r="KL69" s="21" t="n">
        <v>145.201</v>
      </c>
      <c r="KM69" s="21" t="n">
        <v>144.691</v>
      </c>
      <c r="KN69" s="21" t="n">
        <v>145.219</v>
      </c>
      <c r="KO69" s="21" t="n">
        <v>260.645</v>
      </c>
      <c r="KP69" s="21" t="n">
        <v>106.422</v>
      </c>
      <c r="KQ69" s="21" t="n">
        <v>69.09099999999999</v>
      </c>
      <c r="KR69" s="21" t="n">
        <v>114.304</v>
      </c>
      <c r="KS69" s="21" t="n">
        <v>193.307</v>
      </c>
      <c r="KT69" s="21" t="n">
        <v>192.893</v>
      </c>
      <c r="KU69" s="21" t="n">
        <v>93.09</v>
      </c>
      <c r="KV69" s="21" t="n">
        <v>49.102</v>
      </c>
      <c r="KW69" s="21" t="n">
        <v>224.979</v>
      </c>
      <c r="KX69" s="21" t="n">
        <v>188.264</v>
      </c>
      <c r="KY69" s="21" t="n">
        <v>231.025</v>
      </c>
      <c r="KZ69" s="21" t="n">
        <v>183.919</v>
      </c>
      <c r="LA69" s="21" t="n">
        <v>229.495</v>
      </c>
      <c r="LB69" s="21" t="n">
        <v>116.56</v>
      </c>
      <c r="LC69" s="21" t="n">
        <v>368.905</v>
      </c>
      <c r="LD69" s="21" t="n">
        <v>79.298</v>
      </c>
      <c r="LE69" s="21" t="n">
        <v>127.128</v>
      </c>
      <c r="LF69" s="21" t="n">
        <v>340.788</v>
      </c>
      <c r="LG69" s="21" t="n">
        <v>332.902</v>
      </c>
      <c r="LH69" s="21" t="n">
        <v>345.913</v>
      </c>
      <c r="LI69" s="21" t="n">
        <v>315.061</v>
      </c>
      <c r="LJ69" s="21" t="n">
        <v>349.469</v>
      </c>
      <c r="LK69" s="21" t="n">
        <v>106.249</v>
      </c>
      <c r="LL69" s="21" t="n">
        <v>312.966</v>
      </c>
      <c r="LM69" s="21" t="n">
        <v>217.891</v>
      </c>
      <c r="LN69" s="21" t="n">
        <v>36.867</v>
      </c>
      <c r="LO69" s="21" t="n">
        <v>133.269</v>
      </c>
    </row>
    <row r="70">
      <c r="A70" s="22" t="n">
        <v>44075</v>
      </c>
      <c r="B70" s="21" t="n">
        <v>259.997</v>
      </c>
      <c r="C70" s="21" t="n">
        <v>268.354</v>
      </c>
      <c r="D70" s="21" t="n">
        <v>269.043</v>
      </c>
      <c r="E70" s="21" t="n">
        <v>251.166</v>
      </c>
      <c r="F70" s="21" t="n">
        <v>283.994</v>
      </c>
      <c r="G70" s="21" t="n">
        <v>233.149</v>
      </c>
      <c r="H70" s="21" t="n">
        <v>237.7</v>
      </c>
      <c r="I70" s="21" t="n">
        <v>226.417</v>
      </c>
      <c r="J70" s="21" t="n">
        <v>244.726</v>
      </c>
      <c r="K70" s="21" t="n">
        <v>314.275</v>
      </c>
      <c r="L70" s="21" t="n">
        <v>192.332</v>
      </c>
      <c r="M70" s="21" t="n">
        <v>186.687</v>
      </c>
      <c r="N70" s="21" t="n">
        <v>294.172</v>
      </c>
      <c r="O70" s="21" t="n">
        <v>277.278</v>
      </c>
      <c r="P70" s="21" t="n">
        <v>276.83</v>
      </c>
      <c r="Q70" s="21" t="n">
        <v>315.026</v>
      </c>
      <c r="R70" s="21" t="n">
        <v>274.783</v>
      </c>
      <c r="S70" s="21" t="n">
        <v>264.322</v>
      </c>
      <c r="T70" s="21" t="n">
        <v>268.656</v>
      </c>
      <c r="U70" s="21" t="n">
        <v>271.752</v>
      </c>
      <c r="V70" s="21" t="n">
        <v>331.09</v>
      </c>
      <c r="W70" s="21" t="n">
        <v>291.531</v>
      </c>
      <c r="X70" s="21" t="n">
        <v>262.011</v>
      </c>
      <c r="Y70" s="21" t="n">
        <v>220.444</v>
      </c>
      <c r="Z70" s="21" t="n">
        <v>223.424</v>
      </c>
      <c r="AA70" s="21" t="n">
        <v>165.691</v>
      </c>
      <c r="AB70" s="21" t="n">
        <v>309.803</v>
      </c>
      <c r="AC70" s="21" t="n">
        <v>152.161</v>
      </c>
      <c r="AD70" s="21" t="n">
        <v>213.64</v>
      </c>
      <c r="AE70" s="21" t="n">
        <v>237.781</v>
      </c>
      <c r="AF70" s="21" t="n">
        <v>212.637</v>
      </c>
      <c r="AG70" s="21" t="n">
        <v>133.378</v>
      </c>
      <c r="AH70" s="21" t="n">
        <v>237.774</v>
      </c>
      <c r="AI70" s="21" t="n">
        <v>252.706</v>
      </c>
      <c r="AJ70" s="21" t="n">
        <v>152.646</v>
      </c>
      <c r="AK70" s="21" t="n">
        <v>246.964</v>
      </c>
      <c r="AL70" s="21" t="n">
        <v>157.779</v>
      </c>
      <c r="AM70" s="21" t="n">
        <v>259.035</v>
      </c>
      <c r="AN70" s="21" t="n">
        <v>235.452</v>
      </c>
      <c r="AO70" s="21" t="n">
        <v>165.58</v>
      </c>
      <c r="AP70" s="21" t="n">
        <v>310.573</v>
      </c>
      <c r="AQ70" s="21" t="n">
        <v>193.679</v>
      </c>
      <c r="AR70" s="21" t="n">
        <v>154.345</v>
      </c>
      <c r="AS70" s="21" t="n">
        <v>226.117</v>
      </c>
      <c r="AT70" s="21" t="n">
        <v>318.414</v>
      </c>
      <c r="AU70" s="21" t="n">
        <v>207.595</v>
      </c>
      <c r="AV70" s="21" t="n">
        <v>230.656</v>
      </c>
      <c r="AW70" s="21" t="n">
        <v>152.025</v>
      </c>
      <c r="AX70" s="21" t="n">
        <v>219.306</v>
      </c>
      <c r="AY70" s="21" t="n">
        <v>156.156</v>
      </c>
      <c r="AZ70" s="21" t="n">
        <v>243.109</v>
      </c>
      <c r="BA70" s="21" t="n">
        <v>231.922</v>
      </c>
      <c r="BB70" s="21" t="n">
        <v>151.063</v>
      </c>
      <c r="BC70" s="21" t="n">
        <v>307.199</v>
      </c>
      <c r="BD70" s="21" t="n">
        <v>354.535</v>
      </c>
      <c r="BE70" s="21" t="n">
        <v>359.916</v>
      </c>
      <c r="BF70" s="21" t="n">
        <v>320.656</v>
      </c>
      <c r="BG70" s="21" t="n">
        <v>190.21</v>
      </c>
      <c r="BH70" s="21" t="n">
        <v>258.539</v>
      </c>
      <c r="BI70" s="21" t="n">
        <v>508.586</v>
      </c>
      <c r="BJ70" s="21" t="n">
        <v>120.458</v>
      </c>
      <c r="BK70" s="21" t="n">
        <v>347.371</v>
      </c>
      <c r="BL70" s="21" t="n">
        <v>366.077</v>
      </c>
      <c r="BM70" s="21" t="n">
        <v>340.486</v>
      </c>
      <c r="BN70" s="21" t="n">
        <v>353.727</v>
      </c>
      <c r="BO70" s="21" t="n">
        <v>345.705</v>
      </c>
      <c r="BP70" s="21" t="n">
        <v>163.472</v>
      </c>
      <c r="BQ70" s="21" t="n">
        <v>169.996</v>
      </c>
      <c r="BR70" s="21" t="n">
        <v>164.51</v>
      </c>
      <c r="BS70" s="21" t="n">
        <v>180.425</v>
      </c>
      <c r="BT70" s="21" t="n">
        <v>152.261</v>
      </c>
      <c r="BU70" s="21" t="n">
        <v>209.018</v>
      </c>
      <c r="BV70" s="21" t="n">
        <v>160.96</v>
      </c>
      <c r="BW70" s="21" t="n">
        <v>177.811</v>
      </c>
      <c r="BX70" s="21" t="n">
        <v>140.44</v>
      </c>
      <c r="BY70" s="21" t="n">
        <v>180.009</v>
      </c>
      <c r="BZ70" s="21" t="n">
        <v>126.207</v>
      </c>
      <c r="CA70" s="21" t="n">
        <v>117.829</v>
      </c>
      <c r="CB70" s="21" t="n">
        <v>194.296</v>
      </c>
      <c r="CC70" s="21" t="n">
        <v>202.646</v>
      </c>
      <c r="CD70" s="21" t="n">
        <v>132.814</v>
      </c>
      <c r="CE70" s="21" t="n">
        <v>218.16</v>
      </c>
      <c r="CF70" s="21" t="n">
        <v>227.855</v>
      </c>
      <c r="CG70" s="21" t="n">
        <v>198.851</v>
      </c>
      <c r="CH70" s="21" t="n">
        <v>155.794</v>
      </c>
      <c r="CI70" s="21" t="n">
        <v>154.204</v>
      </c>
      <c r="CJ70" s="21" t="n">
        <v>229.692</v>
      </c>
      <c r="CK70" s="21" t="n">
        <v>208.73</v>
      </c>
      <c r="CL70" s="21" t="n">
        <v>249.758</v>
      </c>
      <c r="CM70" s="21" t="n">
        <v>307.129</v>
      </c>
      <c r="CN70" s="21" t="n">
        <v>132.377</v>
      </c>
      <c r="CO70" s="21" t="n">
        <v>158.585</v>
      </c>
      <c r="CP70" s="21" t="n">
        <v>233.385</v>
      </c>
      <c r="CQ70" s="21" t="n">
        <v>257.555</v>
      </c>
      <c r="CR70" s="21" t="n">
        <v>173.53</v>
      </c>
      <c r="CS70" s="21" t="n">
        <v>260.103</v>
      </c>
      <c r="CT70" s="21" t="n">
        <v>250.667</v>
      </c>
      <c r="CU70" s="21" t="n">
        <v>156.468</v>
      </c>
      <c r="CV70" s="21" t="n">
        <v>149.859</v>
      </c>
      <c r="CW70" s="21" t="n">
        <v>145.799</v>
      </c>
      <c r="CX70" s="21" t="n">
        <v>282.587</v>
      </c>
      <c r="CY70" s="21" t="n">
        <v>137.098</v>
      </c>
      <c r="CZ70" s="21" t="n">
        <v>129.27</v>
      </c>
      <c r="DA70" s="21" t="n">
        <v>297.08</v>
      </c>
      <c r="DB70" s="21" t="n">
        <v>182.638</v>
      </c>
      <c r="DC70" s="21" t="n">
        <v>176.453</v>
      </c>
      <c r="DD70" s="21" t="n">
        <v>142.885</v>
      </c>
      <c r="DE70" s="21" t="n">
        <v>203.052</v>
      </c>
      <c r="DF70" s="21" t="n">
        <v>257.73</v>
      </c>
      <c r="DG70" s="21" t="n">
        <v>209.015</v>
      </c>
      <c r="DH70" s="21" t="n">
        <v>237.124</v>
      </c>
      <c r="DI70" s="21" t="n">
        <v>198.035</v>
      </c>
      <c r="DJ70" s="21" t="n">
        <v>211.356</v>
      </c>
      <c r="DK70" s="21" t="n">
        <v>193.725</v>
      </c>
      <c r="DL70" s="21" t="n">
        <v>171.714</v>
      </c>
      <c r="DM70" s="21" t="n">
        <v>364.456</v>
      </c>
      <c r="DN70" s="21" t="n">
        <v>200.81</v>
      </c>
      <c r="DO70" s="21" t="n">
        <v>272.895</v>
      </c>
      <c r="DP70" s="21" t="n">
        <v>327.043</v>
      </c>
      <c r="DQ70" s="21" t="n">
        <v>342.986</v>
      </c>
      <c r="DR70" s="21" t="n">
        <v>146.741</v>
      </c>
      <c r="DS70" s="21" t="n">
        <v>577.183</v>
      </c>
      <c r="DT70" s="21" t="n">
        <v>294.03</v>
      </c>
      <c r="DU70" s="21" t="n">
        <v>336.126</v>
      </c>
      <c r="DV70" s="21" t="n">
        <v>336.15</v>
      </c>
      <c r="DW70" s="21" t="n">
        <v>244.966</v>
      </c>
      <c r="DX70" s="21" t="n">
        <v>200.119</v>
      </c>
      <c r="DY70" s="21" t="n">
        <v>228.072</v>
      </c>
      <c r="DZ70" s="21" t="n">
        <v>206.337</v>
      </c>
      <c r="EA70" s="21" t="n">
        <v>320.133</v>
      </c>
      <c r="EB70" s="21" t="n">
        <v>205.55</v>
      </c>
      <c r="EC70" s="21" t="n">
        <v>215.381</v>
      </c>
      <c r="ED70" s="21" t="n">
        <v>173.206</v>
      </c>
      <c r="EE70" s="21" t="n">
        <v>254.266</v>
      </c>
      <c r="EF70" s="21" t="n">
        <v>589.992</v>
      </c>
      <c r="EG70" s="21" t="n">
        <v>501.756</v>
      </c>
      <c r="EH70" s="21" t="n">
        <v>126.963</v>
      </c>
      <c r="EI70" s="21" t="n">
        <v>57.172</v>
      </c>
      <c r="EJ70" s="21" t="n">
        <v>66.16800000000001</v>
      </c>
      <c r="EK70" s="21" t="n">
        <v>43.523</v>
      </c>
      <c r="EL70" s="21" t="n">
        <v>114.96</v>
      </c>
      <c r="EM70" s="21" t="n">
        <v>73.625</v>
      </c>
      <c r="EN70" s="21" t="n">
        <v>80.468</v>
      </c>
      <c r="EO70" s="21" t="n">
        <v>91.215</v>
      </c>
      <c r="EP70" s="21" t="n">
        <v>97.871</v>
      </c>
      <c r="EQ70" s="21" t="n">
        <v>68.233</v>
      </c>
      <c r="ER70" s="21" t="n">
        <v>51.118</v>
      </c>
      <c r="ES70" s="21" t="n">
        <v>135.1</v>
      </c>
      <c r="ET70" s="21" t="n">
        <v>79.715</v>
      </c>
      <c r="EU70" s="21" t="n">
        <v>93.188</v>
      </c>
      <c r="EV70" s="21" t="n">
        <v>101.5</v>
      </c>
      <c r="EW70" s="21" t="n">
        <v>88.899</v>
      </c>
      <c r="EX70" s="21" t="n">
        <v>196.956</v>
      </c>
      <c r="EY70" s="21" t="n">
        <v>126.036</v>
      </c>
      <c r="EZ70" s="21" t="n">
        <v>121.312</v>
      </c>
      <c r="FA70" s="21" t="n">
        <v>180.217</v>
      </c>
      <c r="FB70" s="21" t="n">
        <v>117.157</v>
      </c>
      <c r="FC70" s="21" t="n">
        <v>112.441</v>
      </c>
      <c r="FD70" s="21" t="n">
        <v>114.835</v>
      </c>
      <c r="FE70" s="21" t="n">
        <v>90.303</v>
      </c>
      <c r="FF70" s="21" t="n">
        <v>166.073</v>
      </c>
      <c r="FG70" s="21" t="n">
        <v>68.371</v>
      </c>
      <c r="FH70" s="21" t="n">
        <v>116.522</v>
      </c>
      <c r="FI70" s="21" t="n">
        <v>100.165</v>
      </c>
      <c r="FJ70" s="21" t="n">
        <v>98.90900000000001</v>
      </c>
      <c r="FK70" s="21" t="n">
        <v>99.47</v>
      </c>
      <c r="FL70" s="21" t="n">
        <v>91.73699999999999</v>
      </c>
      <c r="FM70" s="21" t="n">
        <v>94.309</v>
      </c>
      <c r="FN70" s="21" t="n">
        <v>69.02</v>
      </c>
      <c r="FO70" s="21" t="n">
        <v>99.176</v>
      </c>
      <c r="FP70" s="21" t="n">
        <v>95.658</v>
      </c>
      <c r="FQ70" s="21" t="n">
        <v>131.265</v>
      </c>
      <c r="FR70" s="21" t="n">
        <v>137.549</v>
      </c>
      <c r="FS70" s="21" t="n">
        <v>144.554</v>
      </c>
      <c r="FT70" s="21" t="n">
        <v>119.744</v>
      </c>
      <c r="FU70" s="21" t="n">
        <v>111.674</v>
      </c>
      <c r="FV70" s="21" t="n">
        <v>172.65</v>
      </c>
      <c r="FW70" s="21" t="n">
        <v>144.529</v>
      </c>
      <c r="FX70" s="21" t="n">
        <v>169.577</v>
      </c>
      <c r="FY70" s="21" t="n">
        <v>202.572</v>
      </c>
      <c r="FZ70" s="21" t="n">
        <v>200.436</v>
      </c>
      <c r="GA70" s="21" t="n">
        <v>102.519</v>
      </c>
      <c r="GB70" s="21" t="n">
        <v>147.137</v>
      </c>
      <c r="GC70" s="21" t="n">
        <v>102.58</v>
      </c>
      <c r="GD70" s="21" t="n">
        <v>143.677</v>
      </c>
      <c r="GE70" s="21" t="n">
        <v>156.461</v>
      </c>
      <c r="GF70" s="21" t="n"/>
      <c r="GG70" s="21" t="n">
        <v>152.968</v>
      </c>
      <c r="GH70" s="21" t="n"/>
      <c r="GI70" s="21" t="n">
        <v>134.754</v>
      </c>
      <c r="GJ70" s="21" t="n">
        <v>194.031</v>
      </c>
      <c r="GK70" s="21" t="n">
        <v>193.069</v>
      </c>
      <c r="GL70" s="21" t="n">
        <v>187.887</v>
      </c>
      <c r="GM70" s="21" t="n">
        <v>214.417</v>
      </c>
      <c r="GN70" s="21" t="n">
        <v>213.803</v>
      </c>
      <c r="GO70" s="21" t="n">
        <v>179.631</v>
      </c>
      <c r="GP70" s="21" t="n">
        <v>148.193</v>
      </c>
      <c r="GQ70" s="21" t="n">
        <v>125.058</v>
      </c>
      <c r="GR70" s="21" t="n">
        <v>308.198</v>
      </c>
      <c r="GS70" s="21" t="n">
        <v>189.628</v>
      </c>
      <c r="GT70" s="21" t="n">
        <v>542.968</v>
      </c>
      <c r="GU70" s="21" t="n">
        <v>215.751</v>
      </c>
      <c r="GV70" s="21" t="n">
        <v>243.321</v>
      </c>
      <c r="GW70" s="21" t="n">
        <v>221.126</v>
      </c>
      <c r="GX70" s="21" t="n">
        <v>205.325</v>
      </c>
      <c r="GY70" s="21" t="n">
        <v>149.767</v>
      </c>
      <c r="GZ70" s="21" t="n"/>
      <c r="HA70" s="21" t="n">
        <v>58.57</v>
      </c>
      <c r="HB70" s="21" t="n">
        <v>522.947</v>
      </c>
      <c r="HC70" s="21" t="n">
        <v>383.031</v>
      </c>
      <c r="HD70" s="21" t="n">
        <v>125.534</v>
      </c>
      <c r="HE70" s="21" t="n">
        <v>529.966</v>
      </c>
      <c r="HF70" s="21" t="n">
        <v>97.461</v>
      </c>
      <c r="HG70" s="21" t="n">
        <v>568.08</v>
      </c>
      <c r="HH70" s="21" t="n">
        <v>392.098</v>
      </c>
      <c r="HI70" s="21" t="n">
        <v>392.474</v>
      </c>
      <c r="HJ70" s="21" t="n">
        <v>514.033</v>
      </c>
      <c r="HK70" s="21" t="n">
        <v>194.419</v>
      </c>
      <c r="HL70" s="21" t="n">
        <v>243.578</v>
      </c>
      <c r="HM70" s="21" t="n">
        <v>84.242</v>
      </c>
      <c r="HN70" s="21" t="n">
        <v>355.129</v>
      </c>
      <c r="HO70" s="21" t="n">
        <v>344.165</v>
      </c>
      <c r="HP70" s="21" t="n">
        <v>775.039</v>
      </c>
      <c r="HQ70" s="21" t="n">
        <v>243.15</v>
      </c>
      <c r="HR70" s="21" t="n">
        <v>122.276</v>
      </c>
      <c r="HS70" s="21" t="n">
        <v>107.992</v>
      </c>
      <c r="HT70" s="21" t="n">
        <v>130.136</v>
      </c>
      <c r="HU70" s="21" t="n">
        <v>504.337</v>
      </c>
      <c r="HV70" s="21" t="n">
        <v>122.268</v>
      </c>
      <c r="HW70" s="21" t="n">
        <v>27.063</v>
      </c>
      <c r="HX70" s="21" t="n">
        <v>180.231</v>
      </c>
      <c r="HY70" s="21" t="n">
        <v>200.833</v>
      </c>
      <c r="HZ70" s="21" t="n">
        <v>154.382</v>
      </c>
      <c r="IA70" s="21" t="n">
        <v>114.164</v>
      </c>
      <c r="IB70" s="21" t="n">
        <v>265.069</v>
      </c>
      <c r="IC70" s="21" t="n">
        <v>202.063</v>
      </c>
      <c r="ID70" s="21" t="n">
        <v>280.032</v>
      </c>
      <c r="IE70" s="21" t="n">
        <v>114.34</v>
      </c>
      <c r="IF70" s="21" t="n">
        <v>157.628</v>
      </c>
      <c r="IG70" s="21" t="n">
        <v>78.32899999999999</v>
      </c>
      <c r="IH70" s="21" t="n">
        <v>75.685</v>
      </c>
      <c r="II70" s="21" t="n">
        <v>55.871</v>
      </c>
      <c r="IJ70" s="21" t="n">
        <v>23.392</v>
      </c>
      <c r="IK70" s="21" t="n">
        <v>33.531</v>
      </c>
      <c r="IL70" s="21" t="n">
        <v>28.926</v>
      </c>
      <c r="IM70" s="21" t="n">
        <v>37.075</v>
      </c>
      <c r="IN70" s="21" t="n">
        <v>106.717</v>
      </c>
      <c r="IO70" s="21" t="n">
        <v>106.192</v>
      </c>
      <c r="IP70" s="21" t="n">
        <v>173.251</v>
      </c>
      <c r="IQ70" s="21" t="n">
        <v>144.076</v>
      </c>
      <c r="IR70" s="21" t="n">
        <v>392.607</v>
      </c>
      <c r="IS70" s="21" t="n">
        <v>187.431</v>
      </c>
      <c r="IT70" s="21" t="n"/>
      <c r="IU70" s="21" t="n">
        <v>324.636</v>
      </c>
      <c r="IV70" s="21" t="n">
        <v>266.863</v>
      </c>
      <c r="IW70" s="21" t="n">
        <v>140.96</v>
      </c>
      <c r="IX70" s="21" t="n">
        <v>270.498</v>
      </c>
      <c r="IY70" s="21" t="n">
        <v>683.136</v>
      </c>
      <c r="IZ70" s="21" t="n">
        <v>776.793</v>
      </c>
      <c r="JA70" s="21" t="n">
        <v>874.09</v>
      </c>
      <c r="JB70" s="21" t="n">
        <v>85.03400000000001</v>
      </c>
      <c r="JC70" s="21" t="n">
        <v>313.713</v>
      </c>
      <c r="JD70" s="21" t="n">
        <v>260.115</v>
      </c>
      <c r="JE70" s="21" t="n">
        <v>75.175</v>
      </c>
      <c r="JF70" s="21" t="n">
        <v>204.551</v>
      </c>
      <c r="JG70" s="21" t="n">
        <v>322.531</v>
      </c>
      <c r="JH70" s="21" t="n">
        <v>322.953</v>
      </c>
      <c r="JI70" s="21" t="n">
        <v>71.027</v>
      </c>
      <c r="JJ70" s="21" t="n">
        <v>108.021</v>
      </c>
      <c r="JK70" s="21" t="n">
        <v>37.459</v>
      </c>
      <c r="JL70" s="21" t="n">
        <v>78.11</v>
      </c>
      <c r="JM70" s="21" t="n">
        <v>179.533</v>
      </c>
      <c r="JN70" s="21" t="n">
        <v>463.928</v>
      </c>
      <c r="JO70" s="21" t="n">
        <v>74.65600000000001</v>
      </c>
      <c r="JP70" s="21" t="n">
        <v>486.877</v>
      </c>
      <c r="JQ70" s="21" t="n">
        <v>238.708</v>
      </c>
      <c r="JR70" s="21" t="n">
        <v>159.878</v>
      </c>
      <c r="JS70" s="21" t="n">
        <v>458.345</v>
      </c>
      <c r="JT70" s="21" t="n">
        <v>369.317</v>
      </c>
      <c r="JU70" s="21" t="n">
        <v>344.59</v>
      </c>
      <c r="JV70" s="21" t="n">
        <v>180.839</v>
      </c>
      <c r="JW70" s="21" t="n">
        <v>371.369</v>
      </c>
      <c r="JX70" s="21" t="n">
        <v>260.876</v>
      </c>
      <c r="JY70" s="21" t="n">
        <v>74.151</v>
      </c>
      <c r="JZ70" s="21" t="n">
        <v>151.55</v>
      </c>
      <c r="KA70" s="21" t="n">
        <v>247.403</v>
      </c>
      <c r="KB70" s="21" t="n">
        <v>268.218</v>
      </c>
      <c r="KC70" s="21" t="n">
        <v>258.562</v>
      </c>
      <c r="KD70" s="21" t="n">
        <v>268.933</v>
      </c>
      <c r="KE70" s="21" t="n">
        <v>236.877</v>
      </c>
      <c r="KF70" s="21" t="n">
        <v>228.727</v>
      </c>
      <c r="KG70" s="21" t="n">
        <v>236.73</v>
      </c>
      <c r="KH70" s="21" t="n">
        <v>241.44</v>
      </c>
      <c r="KI70" s="21" t="n">
        <v>109.615</v>
      </c>
      <c r="KJ70" s="21" t="n">
        <v>185.938</v>
      </c>
      <c r="KK70" s="21" t="n">
        <v>150.158</v>
      </c>
      <c r="KL70" s="21" t="n">
        <v>146.558</v>
      </c>
      <c r="KM70" s="21" t="n">
        <v>145.698</v>
      </c>
      <c r="KN70" s="21" t="n">
        <v>145.04</v>
      </c>
      <c r="KO70" s="21" t="n">
        <v>259.544</v>
      </c>
      <c r="KP70" s="21" t="n">
        <v>107.527</v>
      </c>
      <c r="KQ70" s="21" t="n">
        <v>67.416</v>
      </c>
      <c r="KR70" s="21" t="n">
        <v>114.297</v>
      </c>
      <c r="KS70" s="21" t="n">
        <v>196.705</v>
      </c>
      <c r="KT70" s="21" t="n">
        <v>197.236</v>
      </c>
      <c r="KU70" s="21" t="n">
        <v>92.72199999999999</v>
      </c>
      <c r="KV70" s="21" t="n">
        <v>47.629</v>
      </c>
      <c r="KW70" s="21" t="n">
        <v>225.626</v>
      </c>
      <c r="KX70" s="21" t="n">
        <v>189.259</v>
      </c>
      <c r="KY70" s="21" t="n">
        <v>232.678</v>
      </c>
      <c r="KZ70" s="21" t="n">
        <v>184.973</v>
      </c>
      <c r="LA70" s="21" t="n">
        <v>231.294</v>
      </c>
      <c r="LB70" s="21" t="n">
        <v>116.843</v>
      </c>
      <c r="LC70" s="21" t="n">
        <v>369.531</v>
      </c>
      <c r="LD70" s="21" t="n">
        <v>78.956</v>
      </c>
      <c r="LE70" s="21" t="n">
        <v>127.673</v>
      </c>
      <c r="LF70" s="21" t="n">
        <v>341.148</v>
      </c>
      <c r="LG70" s="21" t="n">
        <v>333.197</v>
      </c>
      <c r="LH70" s="21" t="n">
        <v>346.004</v>
      </c>
      <c r="LI70" s="21" t="n">
        <v>315.366</v>
      </c>
      <c r="LJ70" s="21" t="n">
        <v>349.782</v>
      </c>
      <c r="LK70" s="21" t="n">
        <v>108.839</v>
      </c>
      <c r="LL70" s="21" t="n">
        <v>310.192</v>
      </c>
      <c r="LM70" s="21" t="n">
        <v>219.358</v>
      </c>
      <c r="LN70" s="21" t="n">
        <v>36.948</v>
      </c>
      <c r="LO70" s="21" t="n">
        <v>133.601</v>
      </c>
    </row>
    <row r="71">
      <c r="A71" s="22" t="n">
        <v>44105</v>
      </c>
      <c r="B71" s="21" t="n">
        <v>260.319</v>
      </c>
      <c r="C71" s="21" t="n">
        <v>269.007</v>
      </c>
      <c r="D71" s="21" t="n">
        <v>269.653</v>
      </c>
      <c r="E71" s="21" t="n">
        <v>251.641</v>
      </c>
      <c r="F71" s="21" t="n">
        <v>284.619</v>
      </c>
      <c r="G71" s="21" t="n">
        <v>232.989</v>
      </c>
      <c r="H71" s="21" t="n">
        <v>238.821</v>
      </c>
      <c r="I71" s="21" t="n">
        <v>226.858</v>
      </c>
      <c r="J71" s="21" t="n">
        <v>245.004</v>
      </c>
      <c r="K71" s="21" t="n">
        <v>315.13</v>
      </c>
      <c r="L71" s="21" t="n">
        <v>193.623</v>
      </c>
      <c r="M71" s="21" t="n">
        <v>185.665</v>
      </c>
      <c r="N71" s="21" t="n">
        <v>297.045</v>
      </c>
      <c r="O71" s="21" t="n">
        <v>282.99</v>
      </c>
      <c r="P71" s="21" t="n">
        <v>276.303</v>
      </c>
      <c r="Q71" s="21" t="n">
        <v>314.169</v>
      </c>
      <c r="R71" s="21" t="n">
        <v>273.04</v>
      </c>
      <c r="S71" s="21" t="n">
        <v>265.076</v>
      </c>
      <c r="T71" s="21" t="n">
        <v>269.307</v>
      </c>
      <c r="U71" s="21" t="n">
        <v>272.904</v>
      </c>
      <c r="V71" s="21" t="n">
        <v>331.659</v>
      </c>
      <c r="W71" s="21" t="n">
        <v>292.378</v>
      </c>
      <c r="X71" s="21" t="n">
        <v>260.503</v>
      </c>
      <c r="Y71" s="21" t="n">
        <v>220.85</v>
      </c>
      <c r="Z71" s="21" t="n">
        <v>226.577</v>
      </c>
      <c r="AA71" s="21" t="n">
        <v>167.855</v>
      </c>
      <c r="AB71" s="21" t="n">
        <v>312.011</v>
      </c>
      <c r="AC71" s="21" t="n">
        <v>154.649</v>
      </c>
      <c r="AD71" s="21" t="n">
        <v>213.379</v>
      </c>
      <c r="AE71" s="21" t="n">
        <v>237.518</v>
      </c>
      <c r="AF71" s="21" t="n">
        <v>204.053</v>
      </c>
      <c r="AG71" s="21" t="n">
        <v>138.812</v>
      </c>
      <c r="AH71" s="21" t="n">
        <v>236.763</v>
      </c>
      <c r="AI71" s="21" t="n">
        <v>256.76</v>
      </c>
      <c r="AJ71" s="21" t="n">
        <v>152.886</v>
      </c>
      <c r="AK71" s="21" t="n">
        <v>246.301</v>
      </c>
      <c r="AL71" s="21" t="n">
        <v>157.471</v>
      </c>
      <c r="AM71" s="21" t="n">
        <v>259.177</v>
      </c>
      <c r="AN71" s="21" t="n">
        <v>234.251</v>
      </c>
      <c r="AO71" s="21" t="n">
        <v>163.72</v>
      </c>
      <c r="AP71" s="21" t="n">
        <v>311.161</v>
      </c>
      <c r="AQ71" s="21" t="n">
        <v>193.648</v>
      </c>
      <c r="AR71" s="21" t="n">
        <v>154.815</v>
      </c>
      <c r="AS71" s="21" t="n">
        <v>224.429</v>
      </c>
      <c r="AT71" s="21" t="n">
        <v>322.106</v>
      </c>
      <c r="AU71" s="21" t="n">
        <v>209.686</v>
      </c>
      <c r="AV71" s="21" t="n">
        <v>229.155</v>
      </c>
      <c r="AW71" s="21" t="n">
        <v>149.081</v>
      </c>
      <c r="AX71" s="21" t="n">
        <v>214.942</v>
      </c>
      <c r="AY71" s="21" t="n">
        <v>153.055</v>
      </c>
      <c r="AZ71" s="21" t="n">
        <v>243.122</v>
      </c>
      <c r="BA71" s="21" t="n">
        <v>228.19</v>
      </c>
      <c r="BB71" s="21" t="n">
        <v>152.591</v>
      </c>
      <c r="BC71" s="21" t="n">
        <v>308.975</v>
      </c>
      <c r="BD71" s="21" t="n">
        <v>357.595</v>
      </c>
      <c r="BE71" s="21" t="n">
        <v>364.555</v>
      </c>
      <c r="BF71" s="21" t="n">
        <v>326.663</v>
      </c>
      <c r="BG71" s="21" t="n">
        <v>190.704</v>
      </c>
      <c r="BH71" s="21" t="n">
        <v>259.961</v>
      </c>
      <c r="BI71" s="21" t="n">
        <v>508.585</v>
      </c>
      <c r="BJ71" s="21" t="n">
        <v>122.346</v>
      </c>
      <c r="BK71" s="21" t="n">
        <v>348.813</v>
      </c>
      <c r="BL71" s="21" t="n">
        <v>373.208</v>
      </c>
      <c r="BM71" s="21" t="n">
        <v>353.35</v>
      </c>
      <c r="BN71" s="21" t="n">
        <v>356.659</v>
      </c>
      <c r="BO71" s="21" t="n">
        <v>343.007</v>
      </c>
      <c r="BP71" s="21" t="n">
        <v>162.723</v>
      </c>
      <c r="BQ71" s="21" t="n">
        <v>168.408</v>
      </c>
      <c r="BR71" s="21" t="n">
        <v>163.708</v>
      </c>
      <c r="BS71" s="21" t="n">
        <v>179.298</v>
      </c>
      <c r="BT71" s="21" t="n">
        <v>152.352</v>
      </c>
      <c r="BU71" s="21" t="n">
        <v>208.807</v>
      </c>
      <c r="BV71" s="21" t="n">
        <v>159.795</v>
      </c>
      <c r="BW71" s="21" t="n">
        <v>177.953</v>
      </c>
      <c r="BX71" s="21" t="n">
        <v>140.542</v>
      </c>
      <c r="BY71" s="21" t="n">
        <v>180.857</v>
      </c>
      <c r="BZ71" s="21" t="n">
        <v>125.754</v>
      </c>
      <c r="CA71" s="21" t="n">
        <v>118.186</v>
      </c>
      <c r="CB71" s="21" t="n">
        <v>195.731</v>
      </c>
      <c r="CC71" s="21" t="n">
        <v>203.879</v>
      </c>
      <c r="CD71" s="21" t="n">
        <v>131.207</v>
      </c>
      <c r="CE71" s="21" t="n">
        <v>218.621</v>
      </c>
      <c r="CF71" s="21" t="n">
        <v>230.092</v>
      </c>
      <c r="CG71" s="21" t="n">
        <v>203.663</v>
      </c>
      <c r="CH71" s="21" t="n">
        <v>156.552</v>
      </c>
      <c r="CI71" s="21" t="n">
        <v>157.045</v>
      </c>
      <c r="CJ71" s="21" t="n">
        <v>229.137</v>
      </c>
      <c r="CK71" s="21" t="n">
        <v>207.858</v>
      </c>
      <c r="CL71" s="21" t="n">
        <v>248.447</v>
      </c>
      <c r="CM71" s="21" t="n">
        <v>305.458</v>
      </c>
      <c r="CN71" s="21" t="n">
        <v>131.286</v>
      </c>
      <c r="CO71" s="21" t="n">
        <v>158.226</v>
      </c>
      <c r="CP71" s="21" t="n">
        <v>233.708</v>
      </c>
      <c r="CQ71" s="21" t="n">
        <v>257.554</v>
      </c>
      <c r="CR71" s="21" t="n">
        <v>173.444</v>
      </c>
      <c r="CS71" s="21" t="n">
        <v>260.936</v>
      </c>
      <c r="CT71" s="21" t="n">
        <v>251.703</v>
      </c>
      <c r="CU71" s="21" t="n">
        <v>157.086</v>
      </c>
      <c r="CV71" s="21" t="n">
        <v>149.441</v>
      </c>
      <c r="CW71" s="21" t="n">
        <v>146.575</v>
      </c>
      <c r="CX71" s="21" t="n">
        <v>285.322</v>
      </c>
      <c r="CY71" s="21" t="n">
        <v>137.517</v>
      </c>
      <c r="CZ71" s="21" t="n">
        <v>129.46</v>
      </c>
      <c r="DA71" s="21" t="n">
        <v>297.893</v>
      </c>
      <c r="DB71" s="21" t="n">
        <v>183.177</v>
      </c>
      <c r="DC71" s="21" t="n">
        <v>176.445</v>
      </c>
      <c r="DD71" s="21" t="n">
        <v>142.994</v>
      </c>
      <c r="DE71" s="21" t="n">
        <v>201.58</v>
      </c>
      <c r="DF71" s="21" t="n">
        <v>258.936</v>
      </c>
      <c r="DG71" s="21" t="n">
        <v>210.209</v>
      </c>
      <c r="DH71" s="21" t="n">
        <v>238.502</v>
      </c>
      <c r="DI71" s="21" t="n">
        <v>197.594</v>
      </c>
      <c r="DJ71" s="21" t="n">
        <v>211.596</v>
      </c>
      <c r="DK71" s="21" t="n">
        <v>193.517</v>
      </c>
      <c r="DL71" s="21" t="n">
        <v>173.571</v>
      </c>
      <c r="DM71" s="21" t="n">
        <v>365.392</v>
      </c>
      <c r="DN71" s="21" t="n">
        <v>203.421</v>
      </c>
      <c r="DO71" s="21" t="n">
        <v>273.154</v>
      </c>
      <c r="DP71" s="21" t="n">
        <v>327.421</v>
      </c>
      <c r="DQ71" s="21" t="n">
        <v>343.502</v>
      </c>
      <c r="DR71" s="21" t="n">
        <v>142.605</v>
      </c>
      <c r="DS71" s="21" t="n">
        <v>578.664</v>
      </c>
      <c r="DT71" s="21" t="n">
        <v>284.399</v>
      </c>
      <c r="DU71" s="21" t="n">
        <v>336.841</v>
      </c>
      <c r="DV71" s="21" t="n">
        <v>336.87</v>
      </c>
      <c r="DW71" s="21" t="n">
        <v>245.472</v>
      </c>
      <c r="DX71" s="21" t="n">
        <v>200.534</v>
      </c>
      <c r="DY71" s="21" t="n">
        <v>224.265</v>
      </c>
      <c r="DZ71" s="21" t="n">
        <v>201.927</v>
      </c>
      <c r="EA71" s="21" t="n">
        <v>320.867</v>
      </c>
      <c r="EB71" s="21" t="n">
        <v>206.141</v>
      </c>
      <c r="EC71" s="21" t="n">
        <v>216.297</v>
      </c>
      <c r="ED71" s="21" t="n">
        <v>172.848</v>
      </c>
      <c r="EE71" s="21" t="n">
        <v>254.781</v>
      </c>
      <c r="EF71" s="21" t="n">
        <v>590.957</v>
      </c>
      <c r="EG71" s="21" t="n">
        <v>503.315</v>
      </c>
      <c r="EH71" s="21" t="n">
        <v>126.764</v>
      </c>
      <c r="EI71" s="21" t="n">
        <v>56.457</v>
      </c>
      <c r="EJ71" s="21" t="n">
        <v>66.408</v>
      </c>
      <c r="EK71" s="21" t="n">
        <v>42.406</v>
      </c>
      <c r="EL71" s="21" t="n">
        <v>114.508</v>
      </c>
      <c r="EM71" s="21" t="n">
        <v>72.711</v>
      </c>
      <c r="EN71" s="21" t="n">
        <v>81.188</v>
      </c>
      <c r="EO71" s="21" t="n">
        <v>94.316</v>
      </c>
      <c r="EP71" s="21" t="n">
        <v>99.316</v>
      </c>
      <c r="EQ71" s="21" t="n">
        <v>67.864</v>
      </c>
      <c r="ER71" s="21" t="n">
        <v>50.219</v>
      </c>
      <c r="ES71" s="21" t="n">
        <v>135.543</v>
      </c>
      <c r="ET71" s="21" t="n">
        <v>79.471</v>
      </c>
      <c r="EU71" s="21" t="n">
        <v>93.251</v>
      </c>
      <c r="EV71" s="21" t="n">
        <v>102.106</v>
      </c>
      <c r="EW71" s="21" t="n">
        <v>88.932</v>
      </c>
      <c r="EX71" s="21" t="n">
        <v>198.021</v>
      </c>
      <c r="EY71" s="21" t="n">
        <v>126.666</v>
      </c>
      <c r="EZ71" s="21" t="n">
        <v>122.582</v>
      </c>
      <c r="FA71" s="21" t="n">
        <v>181.035</v>
      </c>
      <c r="FB71" s="21" t="n">
        <v>117.158</v>
      </c>
      <c r="FC71" s="21" t="n">
        <v>111.626</v>
      </c>
      <c r="FD71" s="21" t="n">
        <v>113.399</v>
      </c>
      <c r="FE71" s="21" t="n">
        <v>88.27800000000001</v>
      </c>
      <c r="FF71" s="21" t="n">
        <v>161.826</v>
      </c>
      <c r="FG71" s="21" t="n">
        <v>68.587</v>
      </c>
      <c r="FH71" s="21" t="n">
        <v>116.688</v>
      </c>
      <c r="FI71" s="21" t="n">
        <v>100.086</v>
      </c>
      <c r="FJ71" s="21" t="n">
        <v>98.904</v>
      </c>
      <c r="FK71" s="21" t="n">
        <v>99.443</v>
      </c>
      <c r="FL71" s="21" t="n">
        <v>92.985</v>
      </c>
      <c r="FM71" s="21" t="n">
        <v>95.268</v>
      </c>
      <c r="FN71" s="21" t="n">
        <v>68.846</v>
      </c>
      <c r="FO71" s="21" t="n">
        <v>98.753</v>
      </c>
      <c r="FP71" s="21" t="n">
        <v>95.749</v>
      </c>
      <c r="FQ71" s="21" t="n">
        <v>133.066</v>
      </c>
      <c r="FR71" s="21" t="n">
        <v>138.437</v>
      </c>
      <c r="FS71" s="21" t="n">
        <v>150.983</v>
      </c>
      <c r="FT71" s="21" t="n">
        <v>120.839</v>
      </c>
      <c r="FU71" s="21" t="n">
        <v>108.214</v>
      </c>
      <c r="FV71" s="21" t="n">
        <v>172.899</v>
      </c>
      <c r="FW71" s="21" t="n">
        <v>144.976</v>
      </c>
      <c r="FX71" s="21" t="n">
        <v>170.511</v>
      </c>
      <c r="FY71" s="21" t="n">
        <v>203.23</v>
      </c>
      <c r="FZ71" s="21" t="n">
        <v>200.816</v>
      </c>
      <c r="GA71" s="21" t="n">
        <v>103.718</v>
      </c>
      <c r="GB71" s="21" t="n">
        <v>147.907</v>
      </c>
      <c r="GC71" s="21" t="n">
        <v>102.859</v>
      </c>
      <c r="GD71" s="21" t="n">
        <v>144.15</v>
      </c>
      <c r="GE71" s="21" t="n">
        <v>157.628</v>
      </c>
      <c r="GF71" s="21" t="n"/>
      <c r="GG71" s="21" t="n">
        <v>155.964</v>
      </c>
      <c r="GH71" s="21" t="n"/>
      <c r="GI71" s="21" t="n">
        <v>141.537</v>
      </c>
      <c r="GJ71" s="21" t="n">
        <v>192.327</v>
      </c>
      <c r="GK71" s="21" t="n">
        <v>191.525</v>
      </c>
      <c r="GL71" s="21" t="n">
        <v>186.349</v>
      </c>
      <c r="GM71" s="21" t="n">
        <v>213.947</v>
      </c>
      <c r="GN71" s="21" t="n">
        <v>212.035</v>
      </c>
      <c r="GO71" s="21" t="n">
        <v>176.848</v>
      </c>
      <c r="GP71" s="21" t="n">
        <v>147.723</v>
      </c>
      <c r="GQ71" s="21" t="n">
        <v>125.43</v>
      </c>
      <c r="GR71" s="21" t="n">
        <v>308.569</v>
      </c>
      <c r="GS71" s="21" t="n">
        <v>189.548</v>
      </c>
      <c r="GT71" s="21" t="n">
        <v>531.206</v>
      </c>
      <c r="GU71" s="21" t="n">
        <v>214.627</v>
      </c>
      <c r="GV71" s="21" t="n">
        <v>242.8</v>
      </c>
      <c r="GW71" s="21" t="n">
        <v>225.62</v>
      </c>
      <c r="GX71" s="21" t="n">
        <v>215.955</v>
      </c>
      <c r="GY71" s="21" t="n">
        <v>151.485</v>
      </c>
      <c r="GZ71" s="21" t="n"/>
      <c r="HA71" s="21" t="n">
        <v>59.407</v>
      </c>
      <c r="HB71" s="21" t="n">
        <v>520.943</v>
      </c>
      <c r="HC71" s="21" t="n">
        <v>380.371</v>
      </c>
      <c r="HD71" s="21" t="n">
        <v>124.703</v>
      </c>
      <c r="HE71" s="21" t="n">
        <v>527.649</v>
      </c>
      <c r="HF71" s="21" t="n">
        <v>95.938</v>
      </c>
      <c r="HG71" s="21" t="n">
        <v>566.288</v>
      </c>
      <c r="HH71" s="21" t="n">
        <v>392.536</v>
      </c>
      <c r="HI71" s="21" t="n">
        <v>392.099</v>
      </c>
      <c r="HJ71" s="21" t="n">
        <v>515.352</v>
      </c>
      <c r="HK71" s="21" t="n">
        <v>194.162</v>
      </c>
      <c r="HL71" s="21" t="n">
        <v>243.578</v>
      </c>
      <c r="HM71" s="21" t="n">
        <v>84.13</v>
      </c>
      <c r="HN71" s="21" t="n">
        <v>354.289</v>
      </c>
      <c r="HO71" s="21" t="n">
        <v>343.19</v>
      </c>
      <c r="HP71" s="21" t="n">
        <v>773.631</v>
      </c>
      <c r="HQ71" s="21" t="n">
        <v>243.914</v>
      </c>
      <c r="HR71" s="21" t="n">
        <v>122.765</v>
      </c>
      <c r="HS71" s="21" t="n">
        <v>108.453</v>
      </c>
      <c r="HT71" s="21" t="n">
        <v>130.038</v>
      </c>
      <c r="HU71" s="21" t="n">
        <v>507.735</v>
      </c>
      <c r="HV71" s="21" t="n">
        <v>123.117</v>
      </c>
      <c r="HW71" s="21" t="n">
        <v>27.347</v>
      </c>
      <c r="HX71" s="21" t="n">
        <v>179.938</v>
      </c>
      <c r="HY71" s="21" t="n">
        <v>199.186</v>
      </c>
      <c r="HZ71" s="21" t="n">
        <v>153.825</v>
      </c>
      <c r="IA71" s="21" t="n">
        <v>112.545</v>
      </c>
      <c r="IB71" s="21" t="n">
        <v>266.601</v>
      </c>
      <c r="IC71" s="21" t="n">
        <v>203.447</v>
      </c>
      <c r="ID71" s="21" t="n">
        <v>280.975</v>
      </c>
      <c r="IE71" s="21" t="n">
        <v>114.921</v>
      </c>
      <c r="IF71" s="21" t="n">
        <v>160.308</v>
      </c>
      <c r="IG71" s="21" t="n">
        <v>77.232</v>
      </c>
      <c r="IH71" s="21" t="n">
        <v>76.096</v>
      </c>
      <c r="II71" s="21" t="n">
        <v>56.065</v>
      </c>
      <c r="IJ71" s="21" t="n">
        <v>23.384</v>
      </c>
      <c r="IK71" s="21" t="n">
        <v>33.546</v>
      </c>
      <c r="IL71" s="21" t="n">
        <v>29.066</v>
      </c>
      <c r="IM71" s="21" t="n">
        <v>37.544</v>
      </c>
      <c r="IN71" s="21" t="n">
        <v>101.861</v>
      </c>
      <c r="IO71" s="21" t="n">
        <v>106.023</v>
      </c>
      <c r="IP71" s="21" t="n">
        <v>174.49</v>
      </c>
      <c r="IQ71" s="21" t="n">
        <v>144.807</v>
      </c>
      <c r="IR71" s="21" t="n">
        <v>395.011</v>
      </c>
      <c r="IS71" s="21" t="n">
        <v>187.632</v>
      </c>
      <c r="IT71" s="21" t="n"/>
      <c r="IU71" s="21" t="n">
        <v>327.303</v>
      </c>
      <c r="IV71" s="21" t="n">
        <v>269.735</v>
      </c>
      <c r="IW71" s="21" t="n">
        <v>141.132</v>
      </c>
      <c r="IX71" s="21" t="n">
        <v>270.905</v>
      </c>
      <c r="IY71" s="21" t="n">
        <v>683.131</v>
      </c>
      <c r="IZ71" s="21" t="n">
        <v>778.006</v>
      </c>
      <c r="JA71" s="21" t="n">
        <v>874.838</v>
      </c>
      <c r="JB71" s="21" t="n">
        <v>85.274</v>
      </c>
      <c r="JC71" s="21" t="n">
        <v>313.928</v>
      </c>
      <c r="JD71" s="21" t="n">
        <v>261.071</v>
      </c>
      <c r="JE71" s="21" t="n">
        <v>75.25</v>
      </c>
      <c r="JF71" s="21" t="n">
        <v>204.134</v>
      </c>
      <c r="JG71" s="21" t="n">
        <v>321.858</v>
      </c>
      <c r="JH71" s="21" t="n">
        <v>322.443</v>
      </c>
      <c r="JI71" s="21" t="n">
        <v>71.10299999999999</v>
      </c>
      <c r="JJ71" s="21" t="n">
        <v>107.807</v>
      </c>
      <c r="JK71" s="21" t="n">
        <v>37.201</v>
      </c>
      <c r="JL71" s="21" t="n">
        <v>78.039</v>
      </c>
      <c r="JM71" s="21" t="n">
        <v>179.888</v>
      </c>
      <c r="JN71" s="21" t="n">
        <v>464.053</v>
      </c>
      <c r="JO71" s="21" t="n">
        <v>74.792</v>
      </c>
      <c r="JP71" s="21" t="n">
        <v>487.648</v>
      </c>
      <c r="JQ71" s="21" t="n">
        <v>238.685</v>
      </c>
      <c r="JR71" s="21" t="n">
        <v>159.704</v>
      </c>
      <c r="JS71" s="21" t="n">
        <v>456.58</v>
      </c>
      <c r="JT71" s="21" t="n">
        <v>369.071</v>
      </c>
      <c r="JU71" s="21" t="n">
        <v>344.749</v>
      </c>
      <c r="JV71" s="21" t="n">
        <v>180.578</v>
      </c>
      <c r="JW71" s="21" t="n">
        <v>366.858</v>
      </c>
      <c r="JX71" s="21" t="n">
        <v>260.786</v>
      </c>
      <c r="JY71" s="21" t="n">
        <v>73.867</v>
      </c>
      <c r="JZ71" s="21" t="n">
        <v>154.527</v>
      </c>
      <c r="KA71" s="21" t="n">
        <v>247.833</v>
      </c>
      <c r="KB71" s="21" t="n">
        <v>268.625</v>
      </c>
      <c r="KC71" s="21" t="n">
        <v>258.839</v>
      </c>
      <c r="KD71" s="21" t="n">
        <v>269.306</v>
      </c>
      <c r="KE71" s="21" t="n">
        <v>237.18</v>
      </c>
      <c r="KF71" s="21" t="n">
        <v>228.96</v>
      </c>
      <c r="KG71" s="21" t="n">
        <v>237.096</v>
      </c>
      <c r="KH71" s="21" t="n">
        <v>241.536</v>
      </c>
      <c r="KI71" s="21" t="n">
        <v>109.156</v>
      </c>
      <c r="KJ71" s="21" t="n">
        <v>186.248</v>
      </c>
      <c r="KK71" s="21" t="n">
        <v>150.353</v>
      </c>
      <c r="KL71" s="21" t="n">
        <v>146.726</v>
      </c>
      <c r="KM71" s="21" t="n">
        <v>146.112</v>
      </c>
      <c r="KN71" s="21" t="n">
        <v>145.064</v>
      </c>
      <c r="KO71" s="21" t="n">
        <v>260.122</v>
      </c>
      <c r="KP71" s="21" t="n">
        <v>108.063</v>
      </c>
      <c r="KQ71" s="21" t="n">
        <v>67.185</v>
      </c>
      <c r="KR71" s="21" t="n">
        <v>114.478</v>
      </c>
      <c r="KS71" s="21" t="n">
        <v>196.113</v>
      </c>
      <c r="KT71" s="21" t="n">
        <v>195.435</v>
      </c>
      <c r="KU71" s="21" t="n">
        <v>92.46299999999999</v>
      </c>
      <c r="KV71" s="21" t="n">
        <v>47.42</v>
      </c>
      <c r="KW71" s="21" t="n">
        <v>225.353</v>
      </c>
      <c r="KX71" s="21" t="n">
        <v>188.809</v>
      </c>
      <c r="KY71" s="21" t="n">
        <v>231.774</v>
      </c>
      <c r="KZ71" s="21" t="n">
        <v>184.401</v>
      </c>
      <c r="LA71" s="21" t="n">
        <v>230.144</v>
      </c>
      <c r="LB71" s="21" t="n">
        <v>116.811</v>
      </c>
      <c r="LC71" s="21" t="n">
        <v>370.541</v>
      </c>
      <c r="LD71" s="21" t="n">
        <v>78.95699999999999</v>
      </c>
      <c r="LE71" s="21" t="n">
        <v>128.454</v>
      </c>
      <c r="LF71" s="21" t="n">
        <v>341.506</v>
      </c>
      <c r="LG71" s="21" t="n">
        <v>333.517</v>
      </c>
      <c r="LH71" s="21" t="n">
        <v>346.302</v>
      </c>
      <c r="LI71" s="21" t="n">
        <v>315.881</v>
      </c>
      <c r="LJ71" s="21" t="n">
        <v>350.191</v>
      </c>
      <c r="LK71" s="21" t="n">
        <v>109.989</v>
      </c>
      <c r="LL71" s="21" t="n">
        <v>310.119</v>
      </c>
      <c r="LM71" s="21" t="n">
        <v>220.904</v>
      </c>
      <c r="LN71" s="21" t="n">
        <v>37.034</v>
      </c>
      <c r="LO71" s="21" t="n">
        <v>134.227</v>
      </c>
    </row>
    <row r="72">
      <c r="A72" s="22" t="n">
        <v>44136</v>
      </c>
      <c r="B72" s="21" t="n">
        <v>260.911</v>
      </c>
      <c r="C72" s="21" t="n">
        <v>269.066</v>
      </c>
      <c r="D72" s="21" t="n">
        <v>269.636</v>
      </c>
      <c r="E72" s="21" t="n">
        <v>251.365</v>
      </c>
      <c r="F72" s="21" t="n">
        <v>283.571</v>
      </c>
      <c r="G72" s="21" t="n">
        <v>232.878</v>
      </c>
      <c r="H72" s="21" t="n">
        <v>239.784</v>
      </c>
      <c r="I72" s="21" t="n">
        <v>225.593</v>
      </c>
      <c r="J72" s="21" t="n">
        <v>244.669</v>
      </c>
      <c r="K72" s="21" t="n">
        <v>312.756</v>
      </c>
      <c r="L72" s="21" t="n">
        <v>192.66</v>
      </c>
      <c r="M72" s="21" t="n">
        <v>183.491</v>
      </c>
      <c r="N72" s="21" t="n">
        <v>295.483</v>
      </c>
      <c r="O72" s="21" t="n">
        <v>278.205</v>
      </c>
      <c r="P72" s="21" t="n">
        <v>277.177</v>
      </c>
      <c r="Q72" s="21" t="n">
        <v>322.189</v>
      </c>
      <c r="R72" s="21" t="n">
        <v>267.509</v>
      </c>
      <c r="S72" s="21" t="n">
        <v>266.178</v>
      </c>
      <c r="T72" s="21" t="n">
        <v>270.292</v>
      </c>
      <c r="U72" s="21" t="n">
        <v>273.675</v>
      </c>
      <c r="V72" s="21" t="n">
        <v>333.856</v>
      </c>
      <c r="W72" s="21" t="n">
        <v>293.417</v>
      </c>
      <c r="X72" s="21" t="n">
        <v>262.095</v>
      </c>
      <c r="Y72" s="21" t="n">
        <v>221.167</v>
      </c>
      <c r="Z72" s="21" t="n">
        <v>226.33</v>
      </c>
      <c r="AA72" s="21" t="n">
        <v>168.083</v>
      </c>
      <c r="AB72" s="21" t="n">
        <v>314.467</v>
      </c>
      <c r="AC72" s="21" t="n">
        <v>152.813</v>
      </c>
      <c r="AD72" s="21" t="n">
        <v>210.071</v>
      </c>
      <c r="AE72" s="21" t="n">
        <v>234.257</v>
      </c>
      <c r="AF72" s="21" t="n">
        <v>210.221</v>
      </c>
      <c r="AG72" s="21" t="n">
        <v>137.619</v>
      </c>
      <c r="AH72" s="21" t="n">
        <v>236.894</v>
      </c>
      <c r="AI72" s="21" t="n">
        <v>246.391</v>
      </c>
      <c r="AJ72" s="21" t="n">
        <v>152.397</v>
      </c>
      <c r="AK72" s="21" t="n">
        <v>247.99</v>
      </c>
      <c r="AL72" s="21" t="n">
        <v>159.693</v>
      </c>
      <c r="AM72" s="21" t="n">
        <v>263.008</v>
      </c>
      <c r="AN72" s="21" t="n">
        <v>237.709</v>
      </c>
      <c r="AO72" s="21" t="n">
        <v>161.483</v>
      </c>
      <c r="AP72" s="21" t="n">
        <v>312.053</v>
      </c>
      <c r="AQ72" s="21" t="n">
        <v>194.12</v>
      </c>
      <c r="AR72" s="21" t="n">
        <v>154.793</v>
      </c>
      <c r="AS72" s="21" t="n">
        <v>226.683</v>
      </c>
      <c r="AT72" s="21" t="n">
        <v>320.475</v>
      </c>
      <c r="AU72" s="21" t="n">
        <v>212.313</v>
      </c>
      <c r="AV72" s="21" t="n">
        <v>229.503</v>
      </c>
      <c r="AW72" s="21" t="n">
        <v>150.175</v>
      </c>
      <c r="AX72" s="21" t="n">
        <v>216.523</v>
      </c>
      <c r="AY72" s="21" t="n">
        <v>153.578</v>
      </c>
      <c r="AZ72" s="21" t="n">
        <v>242.399</v>
      </c>
      <c r="BA72" s="21" t="n">
        <v>230.203</v>
      </c>
      <c r="BB72" s="21" t="n">
        <v>152.981</v>
      </c>
      <c r="BC72" s="21" t="n">
        <v>308.108</v>
      </c>
      <c r="BD72" s="21" t="n">
        <v>355.625</v>
      </c>
      <c r="BE72" s="21" t="n">
        <v>362.506</v>
      </c>
      <c r="BF72" s="21" t="n">
        <v>325.316</v>
      </c>
      <c r="BG72" s="21" t="n">
        <v>191.855</v>
      </c>
      <c r="BH72" s="21" t="n">
        <v>260.055</v>
      </c>
      <c r="BI72" s="21" t="n">
        <v>509.228</v>
      </c>
      <c r="BJ72" s="21" t="n">
        <v>120.217</v>
      </c>
      <c r="BK72" s="21" t="n">
        <v>346.932</v>
      </c>
      <c r="BL72" s="21" t="n">
        <v>374.686</v>
      </c>
      <c r="BM72" s="21" t="n">
        <v>346.543</v>
      </c>
      <c r="BN72" s="21" t="n">
        <v>344.916</v>
      </c>
      <c r="BO72" s="21" t="n">
        <v>342.89</v>
      </c>
      <c r="BP72" s="21" t="n">
        <v>163.886</v>
      </c>
      <c r="BQ72" s="21" t="n">
        <v>171.779</v>
      </c>
      <c r="BR72" s="21" t="n">
        <v>166.163</v>
      </c>
      <c r="BS72" s="21" t="n">
        <v>183.156</v>
      </c>
      <c r="BT72" s="21" t="n">
        <v>151.726</v>
      </c>
      <c r="BU72" s="21" t="n">
        <v>208.078</v>
      </c>
      <c r="BV72" s="21" t="n">
        <v>159.527</v>
      </c>
      <c r="BW72" s="21" t="n">
        <v>177.309</v>
      </c>
      <c r="BX72" s="21" t="n">
        <v>140.025</v>
      </c>
      <c r="BY72" s="21" t="n">
        <v>178.843</v>
      </c>
      <c r="BZ72" s="21" t="n">
        <v>126.24</v>
      </c>
      <c r="CA72" s="21" t="n">
        <v>117.496</v>
      </c>
      <c r="CB72" s="21" t="n">
        <v>192.684</v>
      </c>
      <c r="CC72" s="21" t="n">
        <v>201.94</v>
      </c>
      <c r="CD72" s="21" t="n">
        <v>132.682</v>
      </c>
      <c r="CE72" s="21" t="n">
        <v>217.945</v>
      </c>
      <c r="CF72" s="21" t="n">
        <v>230.249</v>
      </c>
      <c r="CG72" s="21" t="n">
        <v>208.699</v>
      </c>
      <c r="CH72" s="21" t="n">
        <v>156.199</v>
      </c>
      <c r="CI72" s="21" t="n">
        <v>157.012</v>
      </c>
      <c r="CJ72" s="21" t="n">
        <v>229.427</v>
      </c>
      <c r="CK72" s="21" t="n">
        <v>204.031</v>
      </c>
      <c r="CL72" s="21" t="n">
        <v>243.774</v>
      </c>
      <c r="CM72" s="21" t="n">
        <v>305.242</v>
      </c>
      <c r="CN72" s="21" t="n">
        <v>131</v>
      </c>
      <c r="CO72" s="21" t="n">
        <v>159.153</v>
      </c>
      <c r="CP72" s="21" t="n">
        <v>232.68</v>
      </c>
      <c r="CQ72" s="21" t="n">
        <v>256.484</v>
      </c>
      <c r="CR72" s="21" t="n">
        <v>173.896</v>
      </c>
      <c r="CS72" s="21" t="n">
        <v>259.334</v>
      </c>
      <c r="CT72" s="21" t="n">
        <v>252.013</v>
      </c>
      <c r="CU72" s="21" t="n">
        <v>159.17</v>
      </c>
      <c r="CV72" s="21" t="n">
        <v>149.226</v>
      </c>
      <c r="CW72" s="21" t="n">
        <v>145.86</v>
      </c>
      <c r="CX72" s="21" t="n">
        <v>282.621</v>
      </c>
      <c r="CY72" s="21" t="n">
        <v>135.975</v>
      </c>
      <c r="CZ72" s="21" t="n">
        <v>130.317</v>
      </c>
      <c r="DA72" s="21" t="n">
        <v>298.253</v>
      </c>
      <c r="DB72" s="21" t="n">
        <v>183.794</v>
      </c>
      <c r="DC72" s="21" t="n">
        <v>165.329</v>
      </c>
      <c r="DD72" s="21" t="n">
        <v>130.444</v>
      </c>
      <c r="DE72" s="21" t="n">
        <v>201.72</v>
      </c>
      <c r="DF72" s="21" t="n">
        <v>259.995</v>
      </c>
      <c r="DG72" s="21" t="n">
        <v>210.976</v>
      </c>
      <c r="DH72" s="21" t="n">
        <v>240.856</v>
      </c>
      <c r="DI72" s="21" t="n">
        <v>197.461</v>
      </c>
      <c r="DJ72" s="21" t="n">
        <v>211.826</v>
      </c>
      <c r="DK72" s="21" t="n">
        <v>193.242</v>
      </c>
      <c r="DL72" s="21" t="n">
        <v>173.859</v>
      </c>
      <c r="DM72" s="21" t="n">
        <v>367.5</v>
      </c>
      <c r="DN72" s="21" t="n">
        <v>204.911</v>
      </c>
      <c r="DO72" s="21" t="n">
        <v>273.806</v>
      </c>
      <c r="DP72" s="21" t="n">
        <v>327.801</v>
      </c>
      <c r="DQ72" s="21" t="n">
        <v>343.731</v>
      </c>
      <c r="DR72" s="21" t="n">
        <v>146.204</v>
      </c>
      <c r="DS72" s="21" t="n">
        <v>579.549</v>
      </c>
      <c r="DT72" s="21" t="n">
        <v>292.616</v>
      </c>
      <c r="DU72" s="21" t="n">
        <v>336.982</v>
      </c>
      <c r="DV72" s="21" t="n">
        <v>337.008</v>
      </c>
      <c r="DW72" s="21" t="n">
        <v>247.046</v>
      </c>
      <c r="DX72" s="21" t="n">
        <v>202.024</v>
      </c>
      <c r="DY72" s="21" t="n">
        <v>230.72</v>
      </c>
      <c r="DZ72" s="21" t="n">
        <v>207.539</v>
      </c>
      <c r="EA72" s="21" t="n">
        <v>323.512</v>
      </c>
      <c r="EB72" s="21" t="n">
        <v>207.489</v>
      </c>
      <c r="EC72" s="21" t="n">
        <v>217.463</v>
      </c>
      <c r="ED72" s="21" t="n">
        <v>174.694</v>
      </c>
      <c r="EE72" s="21" t="n">
        <v>255.65</v>
      </c>
      <c r="EF72" s="21" t="n">
        <v>592.998</v>
      </c>
      <c r="EG72" s="21" t="n">
        <v>504.97</v>
      </c>
      <c r="EH72" s="21" t="n">
        <v>127.699</v>
      </c>
      <c r="EI72" s="21" t="n">
        <v>56.167</v>
      </c>
      <c r="EJ72" s="21" t="n">
        <v>64.727</v>
      </c>
      <c r="EK72" s="21" t="n">
        <v>42.357</v>
      </c>
      <c r="EL72" s="21" t="n">
        <v>115.428</v>
      </c>
      <c r="EM72" s="21" t="n">
        <v>73.831</v>
      </c>
      <c r="EN72" s="21" t="n">
        <v>82.621</v>
      </c>
      <c r="EO72" s="21" t="n">
        <v>96.45699999999999</v>
      </c>
      <c r="EP72" s="21" t="n">
        <v>103.148</v>
      </c>
      <c r="EQ72" s="21" t="n">
        <v>68.887</v>
      </c>
      <c r="ER72" s="21" t="n">
        <v>50.548</v>
      </c>
      <c r="ES72" s="21" t="n">
        <v>134.482</v>
      </c>
      <c r="ET72" s="21" t="n">
        <v>78.533</v>
      </c>
      <c r="EU72" s="21" t="n">
        <v>93.57299999999999</v>
      </c>
      <c r="EV72" s="21" t="n">
        <v>101.217</v>
      </c>
      <c r="EW72" s="21" t="n">
        <v>90.408</v>
      </c>
      <c r="EX72" s="21" t="n">
        <v>200.348</v>
      </c>
      <c r="EY72" s="21" t="n">
        <v>126.85</v>
      </c>
      <c r="EZ72" s="21" t="n">
        <v>123.008</v>
      </c>
      <c r="FA72" s="21" t="n">
        <v>183.56</v>
      </c>
      <c r="FB72" s="21" t="n">
        <v>117.411</v>
      </c>
      <c r="FC72" s="21" t="n">
        <v>111.594</v>
      </c>
      <c r="FD72" s="21" t="n">
        <v>113.987</v>
      </c>
      <c r="FE72" s="21" t="n">
        <v>86.146</v>
      </c>
      <c r="FF72" s="21" t="n">
        <v>161.236</v>
      </c>
      <c r="FG72" s="21" t="n">
        <v>69.57599999999999</v>
      </c>
      <c r="FH72" s="21" t="n">
        <v>118.591</v>
      </c>
      <c r="FI72" s="21" t="n">
        <v>100.815</v>
      </c>
      <c r="FJ72" s="21" t="n">
        <v>98.601</v>
      </c>
      <c r="FK72" s="21" t="n">
        <v>98.84999999999999</v>
      </c>
      <c r="FL72" s="21" t="n">
        <v>92.61</v>
      </c>
      <c r="FM72" s="21" t="n">
        <v>96.52800000000001</v>
      </c>
      <c r="FN72" s="21" t="n">
        <v>67.27500000000001</v>
      </c>
      <c r="FO72" s="21" t="n">
        <v>100.011</v>
      </c>
      <c r="FP72" s="21" t="n">
        <v>96.74299999999999</v>
      </c>
      <c r="FQ72" s="21" t="n">
        <v>134.236</v>
      </c>
      <c r="FR72" s="21" t="n">
        <v>137.634</v>
      </c>
      <c r="FS72" s="21" t="n">
        <v>156.981</v>
      </c>
      <c r="FT72" s="21" t="n">
        <v>121.217</v>
      </c>
      <c r="FU72" s="21" t="n">
        <v>112.541</v>
      </c>
      <c r="FV72" s="21" t="n">
        <v>171.688</v>
      </c>
      <c r="FW72" s="21" t="n">
        <v>143.649</v>
      </c>
      <c r="FX72" s="21" t="n">
        <v>168.344</v>
      </c>
      <c r="FY72" s="21" t="n">
        <v>204.355</v>
      </c>
      <c r="FZ72" s="21" t="n">
        <v>201.667</v>
      </c>
      <c r="GA72" s="21" t="n">
        <v>104.167</v>
      </c>
      <c r="GB72" s="21" t="n">
        <v>148.443</v>
      </c>
      <c r="GC72" s="21" t="n">
        <v>102.86</v>
      </c>
      <c r="GD72" s="21" t="n">
        <v>144.605</v>
      </c>
      <c r="GE72" s="21" t="n">
        <v>158.239</v>
      </c>
      <c r="GF72" s="21" t="n"/>
      <c r="GG72" s="21" t="n">
        <v>154.817</v>
      </c>
      <c r="GH72" s="21" t="n"/>
      <c r="GI72" s="21" t="n">
        <v>145.418</v>
      </c>
      <c r="GJ72" s="21" t="n">
        <v>192.59</v>
      </c>
      <c r="GK72" s="21" t="n">
        <v>191.823</v>
      </c>
      <c r="GL72" s="21" t="n">
        <v>186.384</v>
      </c>
      <c r="GM72" s="21" t="n">
        <v>214.789</v>
      </c>
      <c r="GN72" s="21" t="n">
        <v>213.826</v>
      </c>
      <c r="GO72" s="21" t="n">
        <v>176.468</v>
      </c>
      <c r="GP72" s="21" t="n">
        <v>147.439</v>
      </c>
      <c r="GQ72" s="21" t="n">
        <v>124.884</v>
      </c>
      <c r="GR72" s="21" t="n">
        <v>309.949</v>
      </c>
      <c r="GS72" s="21" t="n">
        <v>189.791</v>
      </c>
      <c r="GT72" s="21" t="n">
        <v>538.133</v>
      </c>
      <c r="GU72" s="21" t="n">
        <v>213.018</v>
      </c>
      <c r="GV72" s="21" t="n">
        <v>242.8</v>
      </c>
      <c r="GW72" s="21" t="n">
        <v>230.507</v>
      </c>
      <c r="GX72" s="21" t="n">
        <v>221.157</v>
      </c>
      <c r="GY72" s="21" t="n">
        <v>156.589</v>
      </c>
      <c r="GZ72" s="21" t="n"/>
      <c r="HA72" s="21" t="n">
        <v>60.947</v>
      </c>
      <c r="HB72" s="21" t="n">
        <v>520.567</v>
      </c>
      <c r="HC72" s="21" t="n">
        <v>378.81</v>
      </c>
      <c r="HD72" s="21" t="n">
        <v>124.469</v>
      </c>
      <c r="HE72" s="21" t="n">
        <v>526.167</v>
      </c>
      <c r="HF72" s="21" t="n">
        <v>95.849</v>
      </c>
      <c r="HG72" s="21" t="n">
        <v>566.296</v>
      </c>
      <c r="HH72" s="21" t="n">
        <v>392.755</v>
      </c>
      <c r="HI72" s="21" t="n">
        <v>392.156</v>
      </c>
      <c r="HJ72" s="21" t="n">
        <v>515.553</v>
      </c>
      <c r="HK72" s="21" t="n">
        <v>193.143</v>
      </c>
      <c r="HL72" s="21" t="n">
        <v>243.437</v>
      </c>
      <c r="HM72" s="21" t="n">
        <v>84.339</v>
      </c>
      <c r="HN72" s="21" t="n">
        <v>355.164</v>
      </c>
      <c r="HO72" s="21" t="n">
        <v>343.942</v>
      </c>
      <c r="HP72" s="21" t="n">
        <v>775.1660000000001</v>
      </c>
      <c r="HQ72" s="21" t="n">
        <v>245.116</v>
      </c>
      <c r="HR72" s="21" t="n">
        <v>123.319</v>
      </c>
      <c r="HS72" s="21" t="n">
        <v>108.434</v>
      </c>
      <c r="HT72" s="21" t="n">
        <v>131.693</v>
      </c>
      <c r="HU72" s="21" t="n">
        <v>509.81</v>
      </c>
      <c r="HV72" s="21" t="n">
        <v>121.718</v>
      </c>
      <c r="HW72" s="21" t="n">
        <v>26.916</v>
      </c>
      <c r="HX72" s="21" t="n">
        <v>181.007</v>
      </c>
      <c r="HY72" s="21" t="n">
        <v>200.897</v>
      </c>
      <c r="HZ72" s="21" t="n">
        <v>155.057</v>
      </c>
      <c r="IA72" s="21" t="n">
        <v>113.746</v>
      </c>
      <c r="IB72" s="21" t="n">
        <v>267.402</v>
      </c>
      <c r="IC72" s="21" t="n">
        <v>203.558</v>
      </c>
      <c r="ID72" s="21" t="n">
        <v>281.293</v>
      </c>
      <c r="IE72" s="21" t="n">
        <v>115.564</v>
      </c>
      <c r="IF72" s="21" t="n">
        <v>161.063</v>
      </c>
      <c r="IG72" s="21" t="n">
        <v>77.77</v>
      </c>
      <c r="IH72" s="21" t="n">
        <v>76.10899999999999</v>
      </c>
      <c r="II72" s="21" t="n">
        <v>56.433</v>
      </c>
      <c r="IJ72" s="21" t="n">
        <v>23.623</v>
      </c>
      <c r="IK72" s="21" t="n">
        <v>33.403</v>
      </c>
      <c r="IL72" s="21" t="n">
        <v>28.944</v>
      </c>
      <c r="IM72" s="21" t="n">
        <v>37.295</v>
      </c>
      <c r="IN72" s="21" t="n">
        <v>102.029</v>
      </c>
      <c r="IO72" s="21" t="n">
        <v>105.173</v>
      </c>
      <c r="IP72" s="21" t="n">
        <v>176.077</v>
      </c>
      <c r="IQ72" s="21" t="n">
        <v>144.862</v>
      </c>
      <c r="IR72" s="21" t="n">
        <v>401.761</v>
      </c>
      <c r="IS72" s="21" t="n">
        <v>189.093</v>
      </c>
      <c r="IT72" s="21" t="n"/>
      <c r="IU72" s="21" t="n">
        <v>332.168</v>
      </c>
      <c r="IV72" s="21" t="n">
        <v>270.007</v>
      </c>
      <c r="IW72" s="21" t="n">
        <v>141.316</v>
      </c>
      <c r="IX72" s="21" t="n">
        <v>271.289</v>
      </c>
      <c r="IY72" s="21" t="n">
        <v>681.564</v>
      </c>
      <c r="IZ72" s="21" t="n">
        <v>779.217</v>
      </c>
      <c r="JA72" s="21" t="n">
        <v>876.043</v>
      </c>
      <c r="JB72" s="21" t="n">
        <v>85.456</v>
      </c>
      <c r="JC72" s="21" t="n">
        <v>313.885</v>
      </c>
      <c r="JD72" s="21" t="n">
        <v>261.46</v>
      </c>
      <c r="JE72" s="21" t="n">
        <v>75.34099999999999</v>
      </c>
      <c r="JF72" s="21" t="n">
        <v>204.389</v>
      </c>
      <c r="JG72" s="21" t="n">
        <v>322.058</v>
      </c>
      <c r="JH72" s="21" t="n">
        <v>324.963</v>
      </c>
      <c r="JI72" s="21" t="n">
        <v>71.18899999999999</v>
      </c>
      <c r="JJ72" s="21" t="n">
        <v>108.377</v>
      </c>
      <c r="JK72" s="21" t="n">
        <v>37.964</v>
      </c>
      <c r="JL72" s="21" t="n">
        <v>78.372</v>
      </c>
      <c r="JM72" s="21" t="n">
        <v>171.935</v>
      </c>
      <c r="JN72" s="21" t="n">
        <v>464.717</v>
      </c>
      <c r="JO72" s="21" t="n">
        <v>75.20099999999999</v>
      </c>
      <c r="JP72" s="21" t="n">
        <v>490.481</v>
      </c>
      <c r="JQ72" s="21" t="n">
        <v>238.799</v>
      </c>
      <c r="JR72" s="21" t="n">
        <v>159.758</v>
      </c>
      <c r="JS72" s="21" t="n">
        <v>453.714</v>
      </c>
      <c r="JT72" s="21" t="n">
        <v>369.112</v>
      </c>
      <c r="JU72" s="21" t="n">
        <v>344.931</v>
      </c>
      <c r="JV72" s="21" t="n">
        <v>181.128</v>
      </c>
      <c r="JW72" s="21" t="n">
        <v>356.985</v>
      </c>
      <c r="JX72" s="21" t="n">
        <v>261.952</v>
      </c>
      <c r="JY72" s="21" t="n">
        <v>75.026</v>
      </c>
      <c r="JZ72" s="21" t="n">
        <v>158.33</v>
      </c>
      <c r="KA72" s="21" t="n">
        <v>248.469</v>
      </c>
      <c r="KB72" s="21" t="n">
        <v>269.195</v>
      </c>
      <c r="KC72" s="21" t="n">
        <v>259.526</v>
      </c>
      <c r="KD72" s="21" t="n">
        <v>269.981</v>
      </c>
      <c r="KE72" s="21" t="n">
        <v>237.851</v>
      </c>
      <c r="KF72" s="21" t="n">
        <v>229.785</v>
      </c>
      <c r="KG72" s="21" t="n">
        <v>237.919</v>
      </c>
      <c r="KH72" s="21" t="n">
        <v>242.544</v>
      </c>
      <c r="KI72" s="21" t="n">
        <v>109.166</v>
      </c>
      <c r="KJ72" s="21" t="n">
        <v>186.472</v>
      </c>
      <c r="KK72" s="21" t="n">
        <v>150.651</v>
      </c>
      <c r="KL72" s="21" t="n">
        <v>147.002</v>
      </c>
      <c r="KM72" s="21" t="n">
        <v>146.388</v>
      </c>
      <c r="KN72" s="21" t="n">
        <v>145.556</v>
      </c>
      <c r="KO72" s="21" t="n">
        <v>258.692</v>
      </c>
      <c r="KP72" s="21" t="n">
        <v>108.116</v>
      </c>
      <c r="KQ72" s="21" t="n">
        <v>67.553</v>
      </c>
      <c r="KR72" s="21" t="n">
        <v>114.59</v>
      </c>
      <c r="KS72" s="21" t="n">
        <v>197.017</v>
      </c>
      <c r="KT72" s="21" t="n">
        <v>195.938</v>
      </c>
      <c r="KU72" s="21" t="n">
        <v>93.408</v>
      </c>
      <c r="KV72" s="21" t="n">
        <v>47.783</v>
      </c>
      <c r="KW72" s="21" t="n">
        <v>225.764</v>
      </c>
      <c r="KX72" s="21" t="n">
        <v>189.137</v>
      </c>
      <c r="KY72" s="21" t="n">
        <v>232.252</v>
      </c>
      <c r="KZ72" s="21" t="n">
        <v>184.651</v>
      </c>
      <c r="LA72" s="21" t="n">
        <v>230.513</v>
      </c>
      <c r="LB72" s="21" t="n">
        <v>117.331</v>
      </c>
      <c r="LC72" s="21" t="n">
        <v>371.185</v>
      </c>
      <c r="LD72" s="21" t="n">
        <v>79.218</v>
      </c>
      <c r="LE72" s="21" t="n">
        <v>129.116</v>
      </c>
      <c r="LF72" s="21" t="n">
        <v>341.949</v>
      </c>
      <c r="LG72" s="21" t="n">
        <v>334.416</v>
      </c>
      <c r="LH72" s="21" t="n">
        <v>347.166</v>
      </c>
      <c r="LI72" s="21" t="n">
        <v>316.874</v>
      </c>
      <c r="LJ72" s="21" t="n">
        <v>351.811</v>
      </c>
      <c r="LK72" s="21" t="n">
        <v>109.86</v>
      </c>
      <c r="LL72" s="21" t="n">
        <v>315.497</v>
      </c>
      <c r="LM72" s="21" t="n">
        <v>222.284</v>
      </c>
      <c r="LN72" s="21" t="n">
        <v>36.922</v>
      </c>
      <c r="LO72" s="21" t="n">
        <v>134.285</v>
      </c>
    </row>
    <row r="73">
      <c r="A73" s="22" t="n">
        <v>44166</v>
      </c>
      <c r="B73" s="21" t="n">
        <v>262.045</v>
      </c>
      <c r="C73" s="21" t="n">
        <v>270.088</v>
      </c>
      <c r="D73" s="21" t="n">
        <v>270.781</v>
      </c>
      <c r="E73" s="21" t="n">
        <v>252.536</v>
      </c>
      <c r="F73" s="21" t="n">
        <v>285.403</v>
      </c>
      <c r="G73" s="21" t="n">
        <v>234.368</v>
      </c>
      <c r="H73" s="21" t="n">
        <v>240.786</v>
      </c>
      <c r="I73" s="21" t="n">
        <v>227.887</v>
      </c>
      <c r="J73" s="21" t="n">
        <v>246.835</v>
      </c>
      <c r="K73" s="21" t="n">
        <v>313.199</v>
      </c>
      <c r="L73" s="21" t="n">
        <v>193.093</v>
      </c>
      <c r="M73" s="21" t="n">
        <v>185.119</v>
      </c>
      <c r="N73" s="21" t="n">
        <v>296.454</v>
      </c>
      <c r="O73" s="21" t="n">
        <v>280.096</v>
      </c>
      <c r="P73" s="21" t="n">
        <v>277.394</v>
      </c>
      <c r="Q73" s="21" t="n">
        <v>314.422</v>
      </c>
      <c r="R73" s="21" t="n">
        <v>274.167</v>
      </c>
      <c r="S73" s="21" t="n">
        <v>265.884</v>
      </c>
      <c r="T73" s="21" t="n">
        <v>270.577</v>
      </c>
      <c r="U73" s="21" t="n">
        <v>274.301</v>
      </c>
      <c r="V73" s="21" t="n">
        <v>333.528</v>
      </c>
      <c r="W73" s="21" t="n">
        <v>290.523</v>
      </c>
      <c r="X73" s="21" t="n">
        <v>261.906</v>
      </c>
      <c r="Y73" s="21" t="n">
        <v>222.001</v>
      </c>
      <c r="Z73" s="21" t="n">
        <v>228.214</v>
      </c>
      <c r="AA73" s="21" t="n">
        <v>171.124</v>
      </c>
      <c r="AB73" s="21" t="n">
        <v>321.049</v>
      </c>
      <c r="AC73" s="21" t="n">
        <v>153.423</v>
      </c>
      <c r="AD73" s="21" t="n">
        <v>213.011</v>
      </c>
      <c r="AE73" s="21" t="n">
        <v>237.422</v>
      </c>
      <c r="AF73" s="21" t="n">
        <v>208.335</v>
      </c>
      <c r="AG73" s="21" t="n">
        <v>137.554</v>
      </c>
      <c r="AH73" s="21" t="n">
        <v>237.026</v>
      </c>
      <c r="AI73" s="21" t="n">
        <v>252.795</v>
      </c>
      <c r="AJ73" s="21" t="n">
        <v>152.767</v>
      </c>
      <c r="AK73" s="21" t="n">
        <v>246.343</v>
      </c>
      <c r="AL73" s="21" t="n">
        <v>158.658</v>
      </c>
      <c r="AM73" s="21" t="n">
        <v>261.416</v>
      </c>
      <c r="AN73" s="21" t="n">
        <v>236.399</v>
      </c>
      <c r="AO73" s="21" t="n">
        <v>158.802</v>
      </c>
      <c r="AP73" s="21" t="n">
        <v>313.872</v>
      </c>
      <c r="AQ73" s="21" t="n">
        <v>195.613</v>
      </c>
      <c r="AR73" s="21" t="n">
        <v>155.165</v>
      </c>
      <c r="AS73" s="21" t="n">
        <v>225.996</v>
      </c>
      <c r="AT73" s="21" t="n">
        <v>321.745</v>
      </c>
      <c r="AU73" s="21" t="n">
        <v>204.502</v>
      </c>
      <c r="AV73" s="21" t="n">
        <v>231.74</v>
      </c>
      <c r="AW73" s="21" t="n">
        <v>153.549</v>
      </c>
      <c r="AX73" s="21" t="n">
        <v>222.156</v>
      </c>
      <c r="AY73" s="21" t="n">
        <v>157.096</v>
      </c>
      <c r="AZ73" s="21" t="n">
        <v>243.45</v>
      </c>
      <c r="BA73" s="21" t="n">
        <v>231.597</v>
      </c>
      <c r="BB73" s="21" t="n">
        <v>153.997</v>
      </c>
      <c r="BC73" s="21" t="n">
        <v>308.027</v>
      </c>
      <c r="BD73" s="21" t="n">
        <v>355.214</v>
      </c>
      <c r="BE73" s="21" t="n">
        <v>362.035</v>
      </c>
      <c r="BF73" s="21" t="n">
        <v>327.313</v>
      </c>
      <c r="BG73" s="21" t="n">
        <v>189.622</v>
      </c>
      <c r="BH73" s="21" t="n">
        <v>259.638</v>
      </c>
      <c r="BI73" s="21" t="n">
        <v>507.502</v>
      </c>
      <c r="BJ73" s="21" t="n">
        <v>120.589</v>
      </c>
      <c r="BK73" s="21" t="n">
        <v>346.585</v>
      </c>
      <c r="BL73" s="21" t="n">
        <v>372.057</v>
      </c>
      <c r="BM73" s="21" t="n">
        <v>349.643</v>
      </c>
      <c r="BN73" s="21" t="n">
        <v>341.85</v>
      </c>
      <c r="BO73" s="21" t="n">
        <v>346.836</v>
      </c>
      <c r="BP73" s="21" t="n">
        <v>164.374</v>
      </c>
      <c r="BQ73" s="21" t="n">
        <v>172.332</v>
      </c>
      <c r="BR73" s="21" t="n">
        <v>165.469</v>
      </c>
      <c r="BS73" s="21" t="n">
        <v>183.948</v>
      </c>
      <c r="BT73" s="21" t="n">
        <v>152.127</v>
      </c>
      <c r="BU73" s="21" t="n">
        <v>208.502</v>
      </c>
      <c r="BV73" s="21" t="n">
        <v>160.839</v>
      </c>
      <c r="BW73" s="21" t="n">
        <v>178.91</v>
      </c>
      <c r="BX73" s="21" t="n">
        <v>141.284</v>
      </c>
      <c r="BY73" s="21" t="n">
        <v>181.524</v>
      </c>
      <c r="BZ73" s="21" t="n">
        <v>126.557</v>
      </c>
      <c r="CA73" s="21" t="n">
        <v>118.903</v>
      </c>
      <c r="CB73" s="21" t="n">
        <v>195.931</v>
      </c>
      <c r="CC73" s="21" t="n">
        <v>203.671</v>
      </c>
      <c r="CD73" s="21" t="n">
        <v>134.04</v>
      </c>
      <c r="CE73" s="21" t="n">
        <v>219.719</v>
      </c>
      <c r="CF73" s="21" t="n">
        <v>231.476</v>
      </c>
      <c r="CG73" s="21" t="n">
        <v>208.979</v>
      </c>
      <c r="CH73" s="21" t="n">
        <v>156.826</v>
      </c>
      <c r="CI73" s="21" t="n">
        <v>158.203</v>
      </c>
      <c r="CJ73" s="21" t="n">
        <v>230.919</v>
      </c>
      <c r="CK73" s="21" t="n">
        <v>207.598</v>
      </c>
      <c r="CL73" s="21" t="n">
        <v>246.157</v>
      </c>
      <c r="CM73" s="21" t="n">
        <v>309.915</v>
      </c>
      <c r="CN73" s="21" t="n">
        <v>132.825</v>
      </c>
      <c r="CO73" s="21" t="n">
        <v>159.75</v>
      </c>
      <c r="CP73" s="21" t="n">
        <v>234.747</v>
      </c>
      <c r="CQ73" s="21" t="n">
        <v>261.771</v>
      </c>
      <c r="CR73" s="21" t="n">
        <v>174.235</v>
      </c>
      <c r="CS73" s="21" t="n">
        <v>262.075</v>
      </c>
      <c r="CT73" s="21" t="n">
        <v>251.388</v>
      </c>
      <c r="CU73" s="21" t="n">
        <v>162.821</v>
      </c>
      <c r="CV73" s="21" t="n">
        <v>148.853</v>
      </c>
      <c r="CW73" s="21" t="n">
        <v>144.266</v>
      </c>
      <c r="CX73" s="21" t="n">
        <v>281.862</v>
      </c>
      <c r="CY73" s="21" t="n">
        <v>138.053</v>
      </c>
      <c r="CZ73" s="21" t="n">
        <v>131.591</v>
      </c>
      <c r="DA73" s="21" t="n">
        <v>299.369</v>
      </c>
      <c r="DB73" s="21" t="n">
        <v>184.314</v>
      </c>
      <c r="DC73" s="21" t="n">
        <v>165.308</v>
      </c>
      <c r="DD73" s="21" t="n">
        <v>130.562</v>
      </c>
      <c r="DE73" s="21" t="n">
        <v>201.855</v>
      </c>
      <c r="DF73" s="21" t="n">
        <v>259.397</v>
      </c>
      <c r="DG73" s="21" t="n">
        <v>211.003</v>
      </c>
      <c r="DH73" s="21" t="n">
        <v>239.104</v>
      </c>
      <c r="DI73" s="21" t="n">
        <v>197.618</v>
      </c>
      <c r="DJ73" s="21" t="n">
        <v>211.197</v>
      </c>
      <c r="DK73" s="21" t="n">
        <v>193.642</v>
      </c>
      <c r="DL73" s="21" t="n">
        <v>174.219</v>
      </c>
      <c r="DM73" s="21" t="n">
        <v>367.636</v>
      </c>
      <c r="DN73" s="21" t="n">
        <v>204.314</v>
      </c>
      <c r="DO73" s="21" t="n">
        <v>274.303</v>
      </c>
      <c r="DP73" s="21" t="n">
        <v>328.217</v>
      </c>
      <c r="DQ73" s="21" t="n">
        <v>344.125</v>
      </c>
      <c r="DR73" s="21" t="n">
        <v>146.014</v>
      </c>
      <c r="DS73" s="21" t="n">
        <v>580.312</v>
      </c>
      <c r="DT73" s="21" t="n">
        <v>292.12</v>
      </c>
      <c r="DU73" s="21" t="n">
        <v>337.456</v>
      </c>
      <c r="DV73" s="21" t="n">
        <v>337.484</v>
      </c>
      <c r="DW73" s="21" t="n">
        <v>248.311</v>
      </c>
      <c r="DX73" s="21" t="n">
        <v>203.192</v>
      </c>
      <c r="DY73" s="21" t="n">
        <v>248.529</v>
      </c>
      <c r="DZ73" s="21" t="n">
        <v>229.738</v>
      </c>
      <c r="EA73" s="21" t="n">
        <v>326.573</v>
      </c>
      <c r="EB73" s="21" t="n">
        <v>208.056</v>
      </c>
      <c r="EC73" s="21" t="n">
        <v>217.938</v>
      </c>
      <c r="ED73" s="21" t="n">
        <v>175.514</v>
      </c>
      <c r="EE73" s="21" t="n">
        <v>256.456</v>
      </c>
      <c r="EF73" s="21" t="n">
        <v>594.169</v>
      </c>
      <c r="EG73" s="21" t="n">
        <v>508.19</v>
      </c>
      <c r="EH73" s="21" t="n">
        <v>128.031</v>
      </c>
      <c r="EI73" s="21" t="n">
        <v>55.291</v>
      </c>
      <c r="EJ73" s="21" t="n">
        <v>63.979</v>
      </c>
      <c r="EK73" s="21" t="n">
        <v>41.182</v>
      </c>
      <c r="EL73" s="21" t="n">
        <v>115.696</v>
      </c>
      <c r="EM73" s="21" t="n">
        <v>73.97</v>
      </c>
      <c r="EN73" s="21" t="n">
        <v>82.462</v>
      </c>
      <c r="EO73" s="21" t="n">
        <v>94.405</v>
      </c>
      <c r="EP73" s="21" t="n">
        <v>103.948</v>
      </c>
      <c r="EQ73" s="21" t="n">
        <v>70.07899999999999</v>
      </c>
      <c r="ER73" s="21" t="n">
        <v>50.845</v>
      </c>
      <c r="ES73" s="21" t="n">
        <v>136.674</v>
      </c>
      <c r="ET73" s="21" t="n">
        <v>78.31999999999999</v>
      </c>
      <c r="EU73" s="21" t="n">
        <v>93.749</v>
      </c>
      <c r="EV73" s="21" t="n">
        <v>101.241</v>
      </c>
      <c r="EW73" s="21" t="n">
        <v>90.624</v>
      </c>
      <c r="EX73" s="21" t="n">
        <v>199.451</v>
      </c>
      <c r="EY73" s="21" t="n">
        <v>128.018</v>
      </c>
      <c r="EZ73" s="21" t="n">
        <v>120.091</v>
      </c>
      <c r="FA73" s="21" t="n">
        <v>182.921</v>
      </c>
      <c r="FB73" s="21" t="n">
        <v>117.967</v>
      </c>
      <c r="FC73" s="21" t="n">
        <v>112.485</v>
      </c>
      <c r="FD73" s="21" t="n">
        <v>114.749</v>
      </c>
      <c r="FE73" s="21" t="n">
        <v>88.392</v>
      </c>
      <c r="FF73" s="21" t="n">
        <v>160.308</v>
      </c>
      <c r="FG73" s="21" t="n">
        <v>70.834</v>
      </c>
      <c r="FH73" s="21" t="n">
        <v>118.75</v>
      </c>
      <c r="FI73" s="21" t="n">
        <v>101.76</v>
      </c>
      <c r="FJ73" s="21" t="n">
        <v>99.152</v>
      </c>
      <c r="FK73" s="21" t="n">
        <v>99.008</v>
      </c>
      <c r="FL73" s="21" t="n">
        <v>93.41500000000001</v>
      </c>
      <c r="FM73" s="21" t="n">
        <v>98.932</v>
      </c>
      <c r="FN73" s="21" t="n">
        <v>67.65900000000001</v>
      </c>
      <c r="FO73" s="21" t="n">
        <v>99.464</v>
      </c>
      <c r="FP73" s="21" t="n">
        <v>99.039</v>
      </c>
      <c r="FQ73" s="21" t="n">
        <v>134.36</v>
      </c>
      <c r="FR73" s="21" t="n">
        <v>137.716</v>
      </c>
      <c r="FS73" s="21" t="n">
        <v>153.4</v>
      </c>
      <c r="FT73" s="21" t="n">
        <v>121.891</v>
      </c>
      <c r="FU73" s="21" t="n">
        <v>111.893</v>
      </c>
      <c r="FV73" s="21" t="n">
        <v>173.21</v>
      </c>
      <c r="FW73" s="21" t="n">
        <v>146.158</v>
      </c>
      <c r="FX73" s="21" t="n">
        <v>168.815</v>
      </c>
      <c r="FY73" s="21" t="n">
        <v>208.196</v>
      </c>
      <c r="FZ73" s="21" t="n">
        <v>205.883</v>
      </c>
      <c r="GA73" s="21" t="n">
        <v>104.438</v>
      </c>
      <c r="GB73" s="21" t="n">
        <v>150.089</v>
      </c>
      <c r="GC73" s="21" t="n">
        <v>103.461</v>
      </c>
      <c r="GD73" s="21" t="n">
        <v>146.111</v>
      </c>
      <c r="GE73" s="21" t="n">
        <v>159.941</v>
      </c>
      <c r="GF73" s="21" t="n"/>
      <c r="GG73" s="21" t="n">
        <v>154.216</v>
      </c>
      <c r="GH73" s="21" t="n"/>
      <c r="GI73" s="21" t="n">
        <v>144.011</v>
      </c>
      <c r="GJ73" s="21" t="n">
        <v>209.534</v>
      </c>
      <c r="GK73" s="21" t="n">
        <v>208.753</v>
      </c>
      <c r="GL73" s="21" t="n">
        <v>203.635</v>
      </c>
      <c r="GM73" s="21" t="n">
        <v>230.557</v>
      </c>
      <c r="GN73" s="21" t="n">
        <v>227.155</v>
      </c>
      <c r="GO73" s="21" t="n">
        <v>184.103</v>
      </c>
      <c r="GP73" s="21" t="n">
        <v>148.363</v>
      </c>
      <c r="GQ73" s="21" t="n">
        <v>125.806</v>
      </c>
      <c r="GR73" s="21" t="n">
        <v>309.888</v>
      </c>
      <c r="GS73" s="21" t="n">
        <v>189.525</v>
      </c>
      <c r="GT73" s="21" t="n">
        <v>546.239</v>
      </c>
      <c r="GU73" s="21" t="n">
        <v>211.789</v>
      </c>
      <c r="GV73" s="21" t="n">
        <v>241.383</v>
      </c>
      <c r="GW73" s="21" t="n">
        <v>228.912</v>
      </c>
      <c r="GX73" s="21" t="n">
        <v>216.188</v>
      </c>
      <c r="GY73" s="21" t="n">
        <v>160.737</v>
      </c>
      <c r="GZ73" s="21" t="n"/>
      <c r="HA73" s="21" t="n">
        <v>63.244</v>
      </c>
      <c r="HB73" s="21" t="n">
        <v>519.866</v>
      </c>
      <c r="HC73" s="21" t="n">
        <v>377.921</v>
      </c>
      <c r="HD73" s="21" t="n">
        <v>124.176</v>
      </c>
      <c r="HE73" s="21" t="n">
        <v>525.244</v>
      </c>
      <c r="HF73" s="21" t="n">
        <v>96.029</v>
      </c>
      <c r="HG73" s="21" t="n">
        <v>565.6559999999999</v>
      </c>
      <c r="HH73" s="21" t="n">
        <v>392.556</v>
      </c>
      <c r="HI73" s="21" t="n">
        <v>391.807</v>
      </c>
      <c r="HJ73" s="21" t="n">
        <v>516.5549999999999</v>
      </c>
      <c r="HK73" s="21" t="n">
        <v>192.93</v>
      </c>
      <c r="HL73" s="21" t="n">
        <v>243.32</v>
      </c>
      <c r="HM73" s="21" t="n">
        <v>84.35599999999999</v>
      </c>
      <c r="HN73" s="21" t="n">
        <v>355.232</v>
      </c>
      <c r="HO73" s="21" t="n">
        <v>343.512</v>
      </c>
      <c r="HP73" s="21" t="n">
        <v>775.417</v>
      </c>
      <c r="HQ73" s="21" t="n">
        <v>245.407</v>
      </c>
      <c r="HR73" s="21" t="n">
        <v>122.996</v>
      </c>
      <c r="HS73" s="21" t="n">
        <v>108.893</v>
      </c>
      <c r="HT73" s="21" t="n">
        <v>132.861</v>
      </c>
      <c r="HU73" s="21" t="n">
        <v>512.447</v>
      </c>
      <c r="HV73" s="21" t="n">
        <v>123.192</v>
      </c>
      <c r="HW73" s="21" t="n">
        <v>26.826</v>
      </c>
      <c r="HX73" s="21" t="n">
        <v>181.597</v>
      </c>
      <c r="HY73" s="21" t="n">
        <v>201.995</v>
      </c>
      <c r="HZ73" s="21" t="n">
        <v>155.04</v>
      </c>
      <c r="IA73" s="21" t="n">
        <v>115.05</v>
      </c>
      <c r="IB73" s="21" t="n">
        <v>267.613</v>
      </c>
      <c r="IC73" s="21" t="n">
        <v>203.582</v>
      </c>
      <c r="ID73" s="21" t="n">
        <v>281.656</v>
      </c>
      <c r="IE73" s="21" t="n">
        <v>116.4</v>
      </c>
      <c r="IF73" s="21" t="n">
        <v>159.73</v>
      </c>
      <c r="IG73" s="21" t="n">
        <v>80.282</v>
      </c>
      <c r="IH73" s="21" t="n">
        <v>75.386</v>
      </c>
      <c r="II73" s="21" t="n">
        <v>56.812</v>
      </c>
      <c r="IJ73" s="21" t="n">
        <v>23.527</v>
      </c>
      <c r="IK73" s="21" t="n">
        <v>33.021</v>
      </c>
      <c r="IL73" s="21" t="n">
        <v>28.885</v>
      </c>
      <c r="IM73" s="21" t="n">
        <v>37.157</v>
      </c>
      <c r="IN73" s="21" t="n">
        <v>91.373</v>
      </c>
      <c r="IO73" s="21" t="n">
        <v>102.637</v>
      </c>
      <c r="IP73" s="21" t="n">
        <v>173.722</v>
      </c>
      <c r="IQ73" s="21" t="n">
        <v>144.811</v>
      </c>
      <c r="IR73" s="21" t="n">
        <v>388.75</v>
      </c>
      <c r="IS73" s="21" t="n">
        <v>189.497</v>
      </c>
      <c r="IT73" s="21" t="n"/>
      <c r="IU73" s="21" t="n">
        <v>331.694</v>
      </c>
      <c r="IV73" s="21" t="n">
        <v>271.818</v>
      </c>
      <c r="IW73" s="21" t="n">
        <v>141.454</v>
      </c>
      <c r="IX73" s="21" t="n">
        <v>271.916</v>
      </c>
      <c r="IY73" s="21" t="n">
        <v>686.054</v>
      </c>
      <c r="IZ73" s="21" t="n">
        <v>780.8920000000001</v>
      </c>
      <c r="JA73" s="21" t="n">
        <v>877.652</v>
      </c>
      <c r="JB73" s="21" t="n">
        <v>85.742</v>
      </c>
      <c r="JC73" s="21" t="n">
        <v>314.138</v>
      </c>
      <c r="JD73" s="21" t="n">
        <v>261.668</v>
      </c>
      <c r="JE73" s="21" t="n">
        <v>75.33499999999999</v>
      </c>
      <c r="JF73" s="21" t="n">
        <v>205.149</v>
      </c>
      <c r="JG73" s="21" t="n">
        <v>322.967</v>
      </c>
      <c r="JH73" s="21" t="n">
        <v>329.2</v>
      </c>
      <c r="JI73" s="21" t="n">
        <v>71.176</v>
      </c>
      <c r="JJ73" s="21" t="n">
        <v>108.444</v>
      </c>
      <c r="JK73" s="21" t="n">
        <v>38.315</v>
      </c>
      <c r="JL73" s="21" t="n">
        <v>78.41500000000001</v>
      </c>
      <c r="JM73" s="21" t="n">
        <v>166.115</v>
      </c>
      <c r="JN73" s="21" t="n">
        <v>468.051</v>
      </c>
      <c r="JO73" s="21" t="n">
        <v>75.636</v>
      </c>
      <c r="JP73" s="21" t="n">
        <v>493.672</v>
      </c>
      <c r="JQ73" s="21" t="n">
        <v>240.591</v>
      </c>
      <c r="JR73" s="21" t="n">
        <v>158.846</v>
      </c>
      <c r="JS73" s="21" t="n">
        <v>457.446</v>
      </c>
      <c r="JT73" s="21" t="n">
        <v>369.112</v>
      </c>
      <c r="JU73" s="21" t="n">
        <v>345.188</v>
      </c>
      <c r="JV73" s="21" t="n">
        <v>181.813</v>
      </c>
      <c r="JW73" s="21" t="n">
        <v>366.894</v>
      </c>
      <c r="JX73" s="21" t="n">
        <v>260.387</v>
      </c>
      <c r="JY73" s="21" t="n">
        <v>75.959</v>
      </c>
      <c r="JZ73" s="21" t="n">
        <v>156.756</v>
      </c>
      <c r="KA73" s="21" t="n">
        <v>249.687</v>
      </c>
      <c r="KB73" s="21" t="n">
        <v>269.672</v>
      </c>
      <c r="KC73" s="21" t="n">
        <v>260.658</v>
      </c>
      <c r="KD73" s="21" t="n">
        <v>270.341</v>
      </c>
      <c r="KE73" s="21" t="n">
        <v>239.25</v>
      </c>
      <c r="KF73" s="21" t="n">
        <v>231.237</v>
      </c>
      <c r="KG73" s="21" t="n">
        <v>238.248</v>
      </c>
      <c r="KH73" s="21" t="n">
        <v>242.962</v>
      </c>
      <c r="KI73" s="21" t="n">
        <v>109.813</v>
      </c>
      <c r="KJ73" s="21" t="n">
        <v>188.296</v>
      </c>
      <c r="KK73" s="21" t="n">
        <v>152.627</v>
      </c>
      <c r="KL73" s="21" t="n">
        <v>149.036</v>
      </c>
      <c r="KM73" s="21" t="n">
        <v>146.718</v>
      </c>
      <c r="KN73" s="21" t="n">
        <v>146.028</v>
      </c>
      <c r="KO73" s="21" t="n">
        <v>259.404</v>
      </c>
      <c r="KP73" s="21" t="n">
        <v>108.229</v>
      </c>
      <c r="KQ73" s="21" t="n">
        <v>67.69199999999999</v>
      </c>
      <c r="KR73" s="21" t="n">
        <v>114.693</v>
      </c>
      <c r="KS73" s="21" t="n">
        <v>205.67</v>
      </c>
      <c r="KT73" s="21" t="n">
        <v>213.081</v>
      </c>
      <c r="KU73" s="21" t="n">
        <v>93.325</v>
      </c>
      <c r="KV73" s="21" t="n">
        <v>47.821</v>
      </c>
      <c r="KW73" s="21" t="n">
        <v>228.81</v>
      </c>
      <c r="KX73" s="21" t="n">
        <v>193.417</v>
      </c>
      <c r="KY73" s="21" t="n">
        <v>238.619</v>
      </c>
      <c r="KZ73" s="21" t="n">
        <v>189.16</v>
      </c>
      <c r="LA73" s="21" t="n">
        <v>237.51</v>
      </c>
      <c r="LB73" s="21" t="n">
        <v>117.494</v>
      </c>
      <c r="LC73" s="21" t="n">
        <v>371.193</v>
      </c>
      <c r="LD73" s="21" t="n">
        <v>79.42</v>
      </c>
      <c r="LE73" s="21" t="n">
        <v>128.426</v>
      </c>
      <c r="LF73" s="21" t="n">
        <v>342.333</v>
      </c>
      <c r="LG73" s="21" t="n">
        <v>334.774</v>
      </c>
      <c r="LH73" s="21" t="n">
        <v>347.508</v>
      </c>
      <c r="LI73" s="21" t="n">
        <v>317.37</v>
      </c>
      <c r="LJ73" s="21" t="n">
        <v>352.107</v>
      </c>
      <c r="LK73" s="21" t="n">
        <v>110.36</v>
      </c>
      <c r="LL73" s="21" t="n">
        <v>315.71</v>
      </c>
      <c r="LM73" s="21" t="n">
        <v>222.388</v>
      </c>
      <c r="LN73" s="21" t="n">
        <v>36.995</v>
      </c>
      <c r="LO73" s="21" t="n">
        <v>134.919</v>
      </c>
    </row>
    <row r="74">
      <c r="A74" s="22" t="n">
        <v>44197</v>
      </c>
      <c r="B74" s="21" t="n">
        <v>262.687</v>
      </c>
      <c r="C74" s="21" t="n">
        <v>270.499</v>
      </c>
      <c r="D74" s="21" t="n">
        <v>271.195</v>
      </c>
      <c r="E74" s="21" t="n">
        <v>252.541</v>
      </c>
      <c r="F74" s="21" t="n">
        <v>283.626</v>
      </c>
      <c r="G74" s="21" t="n">
        <v>233.804</v>
      </c>
      <c r="H74" s="21" t="n">
        <v>238.579</v>
      </c>
      <c r="I74" s="21" t="n">
        <v>226.376</v>
      </c>
      <c r="J74" s="21" t="n">
        <v>244.803</v>
      </c>
      <c r="K74" s="21" t="n">
        <v>312.06</v>
      </c>
      <c r="L74" s="21" t="n">
        <v>191.579</v>
      </c>
      <c r="M74" s="21" t="n">
        <v>186.468</v>
      </c>
      <c r="N74" s="21" t="n">
        <v>297.056</v>
      </c>
      <c r="O74" s="21" t="n">
        <v>277.49</v>
      </c>
      <c r="P74" s="21" t="n">
        <v>272.376</v>
      </c>
      <c r="Q74" s="21" t="n">
        <v>313.937</v>
      </c>
      <c r="R74" s="21" t="n">
        <v>267.503</v>
      </c>
      <c r="S74" s="21" t="n">
        <v>267.505</v>
      </c>
      <c r="T74" s="21" t="n">
        <v>272.482</v>
      </c>
      <c r="U74" s="21" t="n">
        <v>276.52</v>
      </c>
      <c r="V74" s="21" t="n">
        <v>337.027</v>
      </c>
      <c r="W74" s="21" t="n">
        <v>293.304</v>
      </c>
      <c r="X74" s="21" t="n">
        <v>264.752</v>
      </c>
      <c r="Y74" s="21" t="n">
        <v>226.818</v>
      </c>
      <c r="Z74" s="21" t="n">
        <v>230.007</v>
      </c>
      <c r="AA74" s="21" t="n">
        <v>170.325</v>
      </c>
      <c r="AB74" s="21" t="n">
        <v>322.128</v>
      </c>
      <c r="AC74" s="21" t="n">
        <v>152.898</v>
      </c>
      <c r="AD74" s="21" t="n">
        <v>215.128</v>
      </c>
      <c r="AE74" s="21" t="n">
        <v>240.958</v>
      </c>
      <c r="AF74" s="21" t="n">
        <v>203.256</v>
      </c>
      <c r="AG74" s="21" t="n">
        <v>139.39</v>
      </c>
      <c r="AH74" s="21" t="n">
        <v>237.853</v>
      </c>
      <c r="AI74" s="21" t="n">
        <v>253.174</v>
      </c>
      <c r="AJ74" s="21" t="n">
        <v>152.624</v>
      </c>
      <c r="AK74" s="21" t="n">
        <v>248.855</v>
      </c>
      <c r="AL74" s="21" t="n">
        <v>159.95</v>
      </c>
      <c r="AM74" s="21" t="n">
        <v>262.438</v>
      </c>
      <c r="AN74" s="21" t="n">
        <v>239.002</v>
      </c>
      <c r="AO74" s="21" t="n">
        <v>162.939</v>
      </c>
      <c r="AP74" s="21" t="n">
        <v>313.669</v>
      </c>
      <c r="AQ74" s="21" t="n">
        <v>195.868</v>
      </c>
      <c r="AR74" s="21" t="n">
        <v>156.269</v>
      </c>
      <c r="AS74" s="21" t="n">
        <v>227.216</v>
      </c>
      <c r="AT74" s="21" t="n">
        <v>323.839</v>
      </c>
      <c r="AU74" s="21" t="n">
        <v>202.431</v>
      </c>
      <c r="AV74" s="21" t="n">
        <v>231.546</v>
      </c>
      <c r="AW74" s="21" t="n">
        <v>151.392</v>
      </c>
      <c r="AX74" s="21" t="n">
        <v>219.14</v>
      </c>
      <c r="AY74" s="21" t="n">
        <v>155.161</v>
      </c>
      <c r="AZ74" s="21" t="n">
        <v>244.437</v>
      </c>
      <c r="BA74" s="21" t="n">
        <v>232.054</v>
      </c>
      <c r="BB74" s="21" t="n">
        <v>153.349</v>
      </c>
      <c r="BC74" s="21" t="n">
        <v>308.565</v>
      </c>
      <c r="BD74" s="21" t="n">
        <v>356.081</v>
      </c>
      <c r="BE74" s="21" t="n">
        <v>364.523</v>
      </c>
      <c r="BF74" s="21" t="n">
        <v>329.338</v>
      </c>
      <c r="BG74" s="21" t="n">
        <v>196.779</v>
      </c>
      <c r="BH74" s="21" t="n">
        <v>262.375</v>
      </c>
      <c r="BI74" s="21" t="n">
        <v>513.076</v>
      </c>
      <c r="BJ74" s="21" t="n">
        <v>121.275</v>
      </c>
      <c r="BK74" s="21" t="n">
        <v>345.802</v>
      </c>
      <c r="BL74" s="21" t="n">
        <v>380.765</v>
      </c>
      <c r="BM74" s="21" t="n">
        <v>344.979</v>
      </c>
      <c r="BN74" s="21" t="n">
        <v>340.141</v>
      </c>
      <c r="BO74" s="21" t="n">
        <v>342.188</v>
      </c>
      <c r="BP74" s="21" t="n">
        <v>164.249</v>
      </c>
      <c r="BQ74" s="21" t="n">
        <v>172.327</v>
      </c>
      <c r="BR74" s="21" t="n">
        <v>163.634</v>
      </c>
      <c r="BS74" s="21" t="n">
        <v>184.498</v>
      </c>
      <c r="BT74" s="21" t="n">
        <v>152.465</v>
      </c>
      <c r="BU74" s="21" t="n">
        <v>207.89</v>
      </c>
      <c r="BV74" s="21" t="n">
        <v>159.346</v>
      </c>
      <c r="BW74" s="21" t="n">
        <v>178.987</v>
      </c>
      <c r="BX74" s="21" t="n">
        <v>141.262</v>
      </c>
      <c r="BY74" s="21" t="n">
        <v>182.969</v>
      </c>
      <c r="BZ74" s="21" t="n">
        <v>125.892</v>
      </c>
      <c r="CA74" s="21" t="n">
        <v>118.9</v>
      </c>
      <c r="CB74" s="21" t="n">
        <v>195.744</v>
      </c>
      <c r="CC74" s="21" t="n">
        <v>204.329</v>
      </c>
      <c r="CD74" s="21" t="n">
        <v>133.823</v>
      </c>
      <c r="CE74" s="21" t="n">
        <v>219.021</v>
      </c>
      <c r="CF74" s="21" t="n">
        <v>231.113</v>
      </c>
      <c r="CG74" s="21" t="n">
        <v>206.531</v>
      </c>
      <c r="CH74" s="21" t="n">
        <v>157.406</v>
      </c>
      <c r="CI74" s="21" t="n">
        <v>156.973</v>
      </c>
      <c r="CJ74" s="21" t="n">
        <v>231.383</v>
      </c>
      <c r="CK74" s="21" t="n">
        <v>206.383</v>
      </c>
      <c r="CL74" s="21" t="n">
        <v>244.516</v>
      </c>
      <c r="CM74" s="21" t="n">
        <v>305.43</v>
      </c>
      <c r="CN74" s="21" t="n">
        <v>133.404</v>
      </c>
      <c r="CO74" s="21" t="n">
        <v>160.732</v>
      </c>
      <c r="CP74" s="21" t="n">
        <v>233.758</v>
      </c>
      <c r="CQ74" s="21" t="n">
        <v>253.239</v>
      </c>
      <c r="CR74" s="21" t="n">
        <v>172.852</v>
      </c>
      <c r="CS74" s="21" t="n">
        <v>259.613</v>
      </c>
      <c r="CT74" s="21" t="n">
        <v>252.004</v>
      </c>
      <c r="CU74" s="21" t="n">
        <v>160.605</v>
      </c>
      <c r="CV74" s="21" t="n">
        <v>148.809</v>
      </c>
      <c r="CW74" s="21" t="n">
        <v>145.976</v>
      </c>
      <c r="CX74" s="21" t="n">
        <v>278.776</v>
      </c>
      <c r="CY74" s="21" t="n">
        <v>137.879</v>
      </c>
      <c r="CZ74" s="21" t="n">
        <v>132.072</v>
      </c>
      <c r="DA74" s="21" t="n">
        <v>300.382</v>
      </c>
      <c r="DB74" s="21" t="n">
        <v>184.776</v>
      </c>
      <c r="DC74" s="21" t="n">
        <v>157.583</v>
      </c>
      <c r="DD74" s="21" t="n">
        <v>118.831</v>
      </c>
      <c r="DE74" s="21" t="n">
        <v>202.455</v>
      </c>
      <c r="DF74" s="21" t="n">
        <v>259.765</v>
      </c>
      <c r="DG74" s="21" t="n">
        <v>211.08</v>
      </c>
      <c r="DH74" s="21" t="n">
        <v>239.16</v>
      </c>
      <c r="DI74" s="21" t="n">
        <v>199.253</v>
      </c>
      <c r="DJ74" s="21" t="n">
        <v>213.064</v>
      </c>
      <c r="DK74" s="21" t="n">
        <v>195.557</v>
      </c>
      <c r="DL74" s="21" t="n">
        <v>174.089</v>
      </c>
      <c r="DM74" s="21" t="n">
        <v>367.968</v>
      </c>
      <c r="DN74" s="21" t="n">
        <v>204.712</v>
      </c>
      <c r="DO74" s="21" t="n">
        <v>274.397</v>
      </c>
      <c r="DP74" s="21" t="n">
        <v>328.535</v>
      </c>
      <c r="DQ74" s="21" t="n">
        <v>344.489</v>
      </c>
      <c r="DR74" s="21" t="n">
        <v>143.846</v>
      </c>
      <c r="DS74" s="21" t="n">
        <v>581.414</v>
      </c>
      <c r="DT74" s="21" t="n">
        <v>287.046</v>
      </c>
      <c r="DU74" s="21" t="n">
        <v>337.954</v>
      </c>
      <c r="DV74" s="21" t="n">
        <v>337.979</v>
      </c>
      <c r="DW74" s="21" t="n">
        <v>248.123</v>
      </c>
      <c r="DX74" s="21" t="n">
        <v>202.65</v>
      </c>
      <c r="DY74" s="21" t="n">
        <v>257.567</v>
      </c>
      <c r="DZ74" s="21" t="n">
        <v>236.493</v>
      </c>
      <c r="EA74" s="21" t="n">
        <v>349.541</v>
      </c>
      <c r="EB74" s="21" t="n">
        <v>207.129</v>
      </c>
      <c r="EC74" s="21" t="n">
        <v>216.013</v>
      </c>
      <c r="ED74" s="21" t="n">
        <v>177.478</v>
      </c>
      <c r="EE74" s="21" t="n">
        <v>257.722</v>
      </c>
      <c r="EF74" s="21" t="n">
        <v>596.237</v>
      </c>
      <c r="EG74" s="21" t="n">
        <v>512.722</v>
      </c>
      <c r="EH74" s="21" t="n">
        <v>127.639</v>
      </c>
      <c r="EI74" s="21" t="n">
        <v>55.372</v>
      </c>
      <c r="EJ74" s="21" t="n">
        <v>63.32</v>
      </c>
      <c r="EK74" s="21" t="n">
        <v>41.895</v>
      </c>
      <c r="EL74" s="21" t="n">
        <v>115.163</v>
      </c>
      <c r="EM74" s="21" t="n">
        <v>72.872</v>
      </c>
      <c r="EN74" s="21" t="n">
        <v>81.18600000000001</v>
      </c>
      <c r="EO74" s="21" t="n">
        <v>94.001</v>
      </c>
      <c r="EP74" s="21" t="n">
        <v>109.401</v>
      </c>
      <c r="EQ74" s="21" t="n">
        <v>67.929</v>
      </c>
      <c r="ER74" s="21" t="n">
        <v>51.244</v>
      </c>
      <c r="ES74" s="21" t="n">
        <v>139.711</v>
      </c>
      <c r="ET74" s="21" t="n">
        <v>78.378</v>
      </c>
      <c r="EU74" s="21" t="n">
        <v>92.441</v>
      </c>
      <c r="EV74" s="21" t="n">
        <v>101.158</v>
      </c>
      <c r="EW74" s="21" t="n">
        <v>88.58</v>
      </c>
      <c r="EX74" s="21" t="n">
        <v>199.947</v>
      </c>
      <c r="EY74" s="21" t="n">
        <v>128.551</v>
      </c>
      <c r="EZ74" s="21" t="n">
        <v>119.91</v>
      </c>
      <c r="FA74" s="21" t="n">
        <v>186.304</v>
      </c>
      <c r="FB74" s="21" t="n">
        <v>119.065</v>
      </c>
      <c r="FC74" s="21" t="n">
        <v>113.969</v>
      </c>
      <c r="FD74" s="21" t="n">
        <v>115.594</v>
      </c>
      <c r="FE74" s="21" t="n">
        <v>87.10299999999999</v>
      </c>
      <c r="FF74" s="21" t="n">
        <v>158.32</v>
      </c>
      <c r="FG74" s="21" t="n">
        <v>71.256</v>
      </c>
      <c r="FH74" s="21" t="n">
        <v>123.724</v>
      </c>
      <c r="FI74" s="21" t="n">
        <v>104.177</v>
      </c>
      <c r="FJ74" s="21" t="n">
        <v>100.546</v>
      </c>
      <c r="FK74" s="21" t="n">
        <v>99.867</v>
      </c>
      <c r="FL74" s="21" t="n">
        <v>94.292</v>
      </c>
      <c r="FM74" s="21" t="n">
        <v>96.845</v>
      </c>
      <c r="FN74" s="21" t="n">
        <v>70.15900000000001</v>
      </c>
      <c r="FO74" s="21" t="n">
        <v>97.776</v>
      </c>
      <c r="FP74" s="21" t="n">
        <v>102.802</v>
      </c>
      <c r="FQ74" s="21" t="n">
        <v>134.325</v>
      </c>
      <c r="FR74" s="21" t="n">
        <v>140.223</v>
      </c>
      <c r="FS74" s="21" t="n">
        <v>152.742</v>
      </c>
      <c r="FT74" s="21" t="n">
        <v>121.028</v>
      </c>
      <c r="FU74" s="21" t="n">
        <v>109.931</v>
      </c>
      <c r="FV74" s="21" t="n">
        <v>176.673</v>
      </c>
      <c r="FW74" s="21" t="n">
        <v>146.565</v>
      </c>
      <c r="FX74" s="21" t="n">
        <v>173.858</v>
      </c>
      <c r="FY74" s="21" t="n">
        <v>210.632</v>
      </c>
      <c r="FZ74" s="21" t="n">
        <v>208.739</v>
      </c>
      <c r="GA74" s="21" t="n">
        <v>103.806</v>
      </c>
      <c r="GB74" s="21" t="n">
        <v>149.944</v>
      </c>
      <c r="GC74" s="21" t="n">
        <v>103.12</v>
      </c>
      <c r="GD74" s="21" t="n">
        <v>146.281</v>
      </c>
      <c r="GE74" s="21" t="n">
        <v>159.764</v>
      </c>
      <c r="GF74" s="21" t="n"/>
      <c r="GG74" s="21" t="n">
        <v>153.361</v>
      </c>
      <c r="GH74" s="21" t="n">
        <v>82.018</v>
      </c>
      <c r="GI74" s="21" t="n">
        <v>148.335</v>
      </c>
      <c r="GJ74" s="21" t="n">
        <v>224.458</v>
      </c>
      <c r="GK74" s="21" t="n">
        <v>223.567</v>
      </c>
      <c r="GL74" s="21" t="n">
        <v>218.331</v>
      </c>
      <c r="GM74" s="21" t="n">
        <v>244.828</v>
      </c>
      <c r="GN74" s="21" t="n">
        <v>240.821</v>
      </c>
      <c r="GO74" s="21" t="n">
        <v>192.812</v>
      </c>
      <c r="GP74" s="21" t="n">
        <v>149.198</v>
      </c>
      <c r="GQ74" s="21" t="n">
        <v>127.029</v>
      </c>
      <c r="GR74" s="21" t="n">
        <v>310.662</v>
      </c>
      <c r="GS74" s="21" t="n">
        <v>190.854</v>
      </c>
      <c r="GT74" s="21" t="n">
        <v>551.667</v>
      </c>
      <c r="GU74" s="21" t="n">
        <v>214.896</v>
      </c>
      <c r="GV74" s="21" t="n">
        <v>246.286</v>
      </c>
      <c r="GW74" s="21" t="n">
        <v>225.362</v>
      </c>
      <c r="GX74" s="21" t="n">
        <v>209.629</v>
      </c>
      <c r="GY74" s="21" t="n">
        <v>162.459</v>
      </c>
      <c r="GZ74" s="21" t="n"/>
      <c r="HA74" s="21" t="n">
        <v>63.907</v>
      </c>
      <c r="HB74" s="21" t="n">
        <v>521.832</v>
      </c>
      <c r="HC74" s="21" t="n">
        <v>377.546</v>
      </c>
      <c r="HD74" s="21" t="n">
        <v>123.862</v>
      </c>
      <c r="HE74" s="21" t="n">
        <v>525.434</v>
      </c>
      <c r="HF74" s="21" t="n">
        <v>95.934</v>
      </c>
      <c r="HG74" s="21" t="n">
        <v>568.379</v>
      </c>
      <c r="HH74" s="21" t="n">
        <v>395.911</v>
      </c>
      <c r="HI74" s="21" t="n">
        <v>397.892</v>
      </c>
      <c r="HJ74" s="21" t="n">
        <v>516.519</v>
      </c>
      <c r="HK74" s="21" t="n">
        <v>192.378</v>
      </c>
      <c r="HL74" s="21" t="n">
        <v>247.153</v>
      </c>
      <c r="HM74" s="21" t="n">
        <v>85.15900000000001</v>
      </c>
      <c r="HN74" s="21" t="n">
        <v>358.733</v>
      </c>
      <c r="HO74" s="21" t="n">
        <v>346.381</v>
      </c>
      <c r="HP74" s="21" t="n">
        <v>784.494</v>
      </c>
      <c r="HQ74" s="21" t="n">
        <v>245.25</v>
      </c>
      <c r="HR74" s="21" t="n">
        <v>122.133</v>
      </c>
      <c r="HS74" s="21" t="n">
        <v>108.149</v>
      </c>
      <c r="HT74" s="21" t="n">
        <v>133.445</v>
      </c>
      <c r="HU74" s="21" t="n">
        <v>508.723</v>
      </c>
      <c r="HV74" s="21" t="n">
        <v>125.215</v>
      </c>
      <c r="HW74" s="21" t="n">
        <v>25.936</v>
      </c>
      <c r="HX74" s="21" t="n">
        <v>182.537</v>
      </c>
      <c r="HY74" s="21" t="n">
        <v>202.042</v>
      </c>
      <c r="HZ74" s="21" t="n">
        <v>154.958</v>
      </c>
      <c r="IA74" s="21" t="n">
        <v>115.225</v>
      </c>
      <c r="IB74" s="21" t="n">
        <v>270.484</v>
      </c>
      <c r="IC74" s="21" t="n">
        <v>205.045</v>
      </c>
      <c r="ID74" s="21" t="n">
        <v>285.033</v>
      </c>
      <c r="IE74" s="21" t="n">
        <v>117.219</v>
      </c>
      <c r="IF74" s="21" t="n">
        <v>160.236</v>
      </c>
      <c r="IG74" s="21" t="n">
        <v>81.31999999999999</v>
      </c>
      <c r="IH74" s="21" t="n">
        <v>75.71899999999999</v>
      </c>
      <c r="II74" s="21" t="n">
        <v>56.809</v>
      </c>
      <c r="IJ74" s="21" t="n">
        <v>23.952</v>
      </c>
      <c r="IK74" s="21" t="n">
        <v>32.974</v>
      </c>
      <c r="IL74" s="21" t="n">
        <v>28.817</v>
      </c>
      <c r="IM74" s="21" t="n">
        <v>37.284</v>
      </c>
      <c r="IN74" s="21" t="n">
        <v>93.21599999999999</v>
      </c>
      <c r="IO74" s="21" t="n">
        <v>101.921</v>
      </c>
      <c r="IP74" s="21" t="n">
        <v>169.938</v>
      </c>
      <c r="IQ74" s="21" t="n">
        <v>144.396</v>
      </c>
      <c r="IR74" s="21" t="n">
        <v>367.426</v>
      </c>
      <c r="IS74" s="21" t="n">
        <v>189.962</v>
      </c>
      <c r="IT74" s="21" t="n">
        <v>186.073</v>
      </c>
      <c r="IU74" s="21" t="n">
        <v>338.351</v>
      </c>
      <c r="IV74" s="21" t="n">
        <v>274.619</v>
      </c>
      <c r="IW74" s="21" t="n">
        <v>141.557</v>
      </c>
      <c r="IX74" s="21" t="n">
        <v>272.185</v>
      </c>
      <c r="IY74" s="21" t="n">
        <v>684.568</v>
      </c>
      <c r="IZ74" s="21" t="n">
        <v>781.758</v>
      </c>
      <c r="JA74" s="21" t="n">
        <v>878.062</v>
      </c>
      <c r="JB74" s="21" t="n">
        <v>86.08</v>
      </c>
      <c r="JC74" s="21" t="n">
        <v>314.534</v>
      </c>
      <c r="JD74" s="21" t="n">
        <v>262.295</v>
      </c>
      <c r="JE74" s="21" t="n">
        <v>75.374</v>
      </c>
      <c r="JF74" s="21" t="n">
        <v>205.896</v>
      </c>
      <c r="JG74" s="21" t="n">
        <v>324.269</v>
      </c>
      <c r="JH74" s="21" t="n">
        <v>329.069</v>
      </c>
      <c r="JI74" s="21" t="n">
        <v>71.206</v>
      </c>
      <c r="JJ74" s="21" t="n">
        <v>108.345</v>
      </c>
      <c r="JK74" s="21" t="n">
        <v>38.316</v>
      </c>
      <c r="JL74" s="21" t="n">
        <v>78.485</v>
      </c>
      <c r="JM74" s="21" t="n">
        <v>162.258</v>
      </c>
      <c r="JN74" s="21" t="n">
        <v>468.616</v>
      </c>
      <c r="JO74" s="21" t="n">
        <v>76.98699999999999</v>
      </c>
      <c r="JP74" s="21" t="n">
        <v>502.735</v>
      </c>
      <c r="JQ74" s="21" t="n">
        <v>239.93</v>
      </c>
      <c r="JR74" s="21" t="n">
        <v>160.235</v>
      </c>
      <c r="JS74" s="21" t="n">
        <v>452.841</v>
      </c>
      <c r="JT74" s="21" t="n">
        <v>369.417</v>
      </c>
      <c r="JU74" s="21" t="n">
        <v>345.498</v>
      </c>
      <c r="JV74" s="21" t="n">
        <v>183.159</v>
      </c>
      <c r="JW74" s="21" t="n">
        <v>349.467</v>
      </c>
      <c r="JX74" s="21" t="n">
        <v>261.103</v>
      </c>
      <c r="JY74" s="21" t="n">
        <v>74.14100000000001</v>
      </c>
      <c r="JZ74" s="21" t="n">
        <v>157.949</v>
      </c>
      <c r="KA74" s="21" t="n">
        <v>250.266</v>
      </c>
      <c r="KB74" s="21" t="n">
        <v>269.773</v>
      </c>
      <c r="KC74" s="21" t="n">
        <v>261.336</v>
      </c>
      <c r="KD74" s="21" t="n">
        <v>270.387</v>
      </c>
      <c r="KE74" s="21" t="n">
        <v>240.011</v>
      </c>
      <c r="KF74" s="21" t="n">
        <v>232.075</v>
      </c>
      <c r="KG74" s="21" t="n">
        <v>238.152</v>
      </c>
      <c r="KH74" s="21" t="n">
        <v>242.943</v>
      </c>
      <c r="KI74" s="21" t="n">
        <v>111.164</v>
      </c>
      <c r="KJ74" s="21" t="n">
        <v>189.55</v>
      </c>
      <c r="KK74" s="21" t="n">
        <v>154.113</v>
      </c>
      <c r="KL74" s="21" t="n">
        <v>150.544</v>
      </c>
      <c r="KM74" s="21" t="n">
        <v>146.752</v>
      </c>
      <c r="KN74" s="21" t="n">
        <v>146.197</v>
      </c>
      <c r="KO74" s="21" t="n">
        <v>259.851</v>
      </c>
      <c r="KP74" s="21" t="n">
        <v>108.045</v>
      </c>
      <c r="KQ74" s="21" t="n">
        <v>67.39</v>
      </c>
      <c r="KR74" s="21" t="n">
        <v>114.823</v>
      </c>
      <c r="KS74" s="21" t="n">
        <v>212.47</v>
      </c>
      <c r="KT74" s="21" t="n">
        <v>227.925</v>
      </c>
      <c r="KU74" s="21" t="n">
        <v>92.81</v>
      </c>
      <c r="KV74" s="21" t="n">
        <v>47.577</v>
      </c>
      <c r="KW74" s="21" t="n">
        <v>231.161</v>
      </c>
      <c r="KX74" s="21" t="n">
        <v>197.591</v>
      </c>
      <c r="KY74" s="21" t="n">
        <v>244.45</v>
      </c>
      <c r="KZ74" s="21" t="n">
        <v>193.627</v>
      </c>
      <c r="LA74" s="21" t="n">
        <v>244.005</v>
      </c>
      <c r="LB74" s="21" t="n">
        <v>118.443</v>
      </c>
      <c r="LC74" s="21" t="n">
        <v>369.893</v>
      </c>
      <c r="LD74" s="21" t="n">
        <v>79.535</v>
      </c>
      <c r="LE74" s="21" t="n">
        <v>126.948</v>
      </c>
      <c r="LF74" s="21" t="n">
        <v>342.782</v>
      </c>
      <c r="LG74" s="21" t="n">
        <v>334.805</v>
      </c>
      <c r="LH74" s="21" t="n">
        <v>347.622</v>
      </c>
      <c r="LI74" s="21" t="n">
        <v>317.116</v>
      </c>
      <c r="LJ74" s="21" t="n">
        <v>351.243</v>
      </c>
      <c r="LK74" s="21" t="n">
        <v>110.053</v>
      </c>
      <c r="LL74" s="21" t="n">
        <v>314.584</v>
      </c>
      <c r="LM74" s="21" t="n">
        <v>221.468</v>
      </c>
      <c r="LN74" s="21" t="n">
        <v>36.694</v>
      </c>
      <c r="LO74" s="21" t="n">
        <v>134.034</v>
      </c>
    </row>
    <row r="75">
      <c r="A75" s="22" t="n">
        <v>44228</v>
      </c>
      <c r="B75" s="21" t="n">
        <v>263.579</v>
      </c>
      <c r="C75" s="21" t="n">
        <v>270.73</v>
      </c>
      <c r="D75" s="21" t="n">
        <v>271.425</v>
      </c>
      <c r="E75" s="21" t="n">
        <v>252.822</v>
      </c>
      <c r="F75" s="21" t="n">
        <v>284.323</v>
      </c>
      <c r="G75" s="21" t="n">
        <v>233.196</v>
      </c>
      <c r="H75" s="21" t="n">
        <v>238.79</v>
      </c>
      <c r="I75" s="21" t="n">
        <v>223.913</v>
      </c>
      <c r="J75" s="21" t="n">
        <v>244.675</v>
      </c>
      <c r="K75" s="21" t="n">
        <v>314.428</v>
      </c>
      <c r="L75" s="21" t="n">
        <v>191.171</v>
      </c>
      <c r="M75" s="21" t="n">
        <v>189.257</v>
      </c>
      <c r="N75" s="21" t="n">
        <v>296.6</v>
      </c>
      <c r="O75" s="21" t="n">
        <v>277.566</v>
      </c>
      <c r="P75" s="21" t="n">
        <v>277.221</v>
      </c>
      <c r="Q75" s="21" t="n">
        <v>318.413</v>
      </c>
      <c r="R75" s="21" t="n">
        <v>270.646</v>
      </c>
      <c r="S75" s="21" t="n">
        <v>268.323</v>
      </c>
      <c r="T75" s="21" t="n">
        <v>273.133</v>
      </c>
      <c r="U75" s="21" t="n">
        <v>278.663</v>
      </c>
      <c r="V75" s="21" t="n">
        <v>340.048</v>
      </c>
      <c r="W75" s="21" t="n">
        <v>295.104</v>
      </c>
      <c r="X75" s="21" t="n">
        <v>267.659</v>
      </c>
      <c r="Y75" s="21" t="n">
        <v>227.857</v>
      </c>
      <c r="Z75" s="21" t="n">
        <v>232.311</v>
      </c>
      <c r="AA75" s="21" t="n">
        <v>170.581</v>
      </c>
      <c r="AB75" s="21" t="n">
        <v>322.747</v>
      </c>
      <c r="AC75" s="21" t="n">
        <v>152.603</v>
      </c>
      <c r="AD75" s="21" t="n">
        <v>224.55</v>
      </c>
      <c r="AE75" s="21" t="n">
        <v>251.77</v>
      </c>
      <c r="AF75" s="21" t="n">
        <v>205.226</v>
      </c>
      <c r="AG75" s="21" t="n">
        <v>138.639</v>
      </c>
      <c r="AH75" s="21" t="n">
        <v>238.335</v>
      </c>
      <c r="AI75" s="21" t="n">
        <v>255.105</v>
      </c>
      <c r="AJ75" s="21" t="n">
        <v>151.742</v>
      </c>
      <c r="AK75" s="21" t="n">
        <v>246.878</v>
      </c>
      <c r="AL75" s="21" t="n">
        <v>158.737</v>
      </c>
      <c r="AM75" s="21" t="n">
        <v>262.031</v>
      </c>
      <c r="AN75" s="21" t="n">
        <v>236.18</v>
      </c>
      <c r="AO75" s="21" t="n">
        <v>161.898</v>
      </c>
      <c r="AP75" s="21" t="n">
        <v>312.061</v>
      </c>
      <c r="AQ75" s="21" t="n">
        <v>196.115</v>
      </c>
      <c r="AR75" s="21" t="n">
        <v>155.365</v>
      </c>
      <c r="AS75" s="21" t="n">
        <v>225.37</v>
      </c>
      <c r="AT75" s="21" t="n">
        <v>322.219</v>
      </c>
      <c r="AU75" s="21" t="n">
        <v>205.417</v>
      </c>
      <c r="AV75" s="21" t="n">
        <v>230.452</v>
      </c>
      <c r="AW75" s="21" t="n">
        <v>149.192</v>
      </c>
      <c r="AX75" s="21" t="n">
        <v>214.775</v>
      </c>
      <c r="AY75" s="21" t="n">
        <v>154.017</v>
      </c>
      <c r="AZ75" s="21" t="n">
        <v>243.24</v>
      </c>
      <c r="BA75" s="21" t="n">
        <v>231.564</v>
      </c>
      <c r="BB75" s="21" t="n">
        <v>154.343</v>
      </c>
      <c r="BC75" s="21" t="n">
        <v>308.685</v>
      </c>
      <c r="BD75" s="21" t="n">
        <v>356.51</v>
      </c>
      <c r="BE75" s="21" t="n">
        <v>366.283</v>
      </c>
      <c r="BF75" s="21" t="n">
        <v>333.641</v>
      </c>
      <c r="BG75" s="21" t="n">
        <v>193.05</v>
      </c>
      <c r="BH75" s="21" t="n">
        <v>261.053</v>
      </c>
      <c r="BI75" s="21" t="n">
        <v>513.11</v>
      </c>
      <c r="BJ75" s="21" t="n">
        <v>122.676</v>
      </c>
      <c r="BK75" s="21" t="n">
        <v>344.876</v>
      </c>
      <c r="BL75" s="21" t="n">
        <v>375.06</v>
      </c>
      <c r="BM75" s="21" t="n">
        <v>344.768</v>
      </c>
      <c r="BN75" s="21" t="n">
        <v>341.901</v>
      </c>
      <c r="BO75" s="21" t="n">
        <v>341.515</v>
      </c>
      <c r="BP75" s="21" t="n">
        <v>163.827</v>
      </c>
      <c r="BQ75" s="21" t="n">
        <v>172.262</v>
      </c>
      <c r="BR75" s="21" t="n">
        <v>164.936</v>
      </c>
      <c r="BS75" s="21" t="n">
        <v>184.285</v>
      </c>
      <c r="BT75" s="21" t="n">
        <v>150.385</v>
      </c>
      <c r="BU75" s="21" t="n">
        <v>204.921</v>
      </c>
      <c r="BV75" s="21" t="n">
        <v>159.618</v>
      </c>
      <c r="BW75" s="21" t="n">
        <v>179.002</v>
      </c>
      <c r="BX75" s="21" t="n">
        <v>141.554</v>
      </c>
      <c r="BY75" s="21" t="n">
        <v>183.458</v>
      </c>
      <c r="BZ75" s="21" t="n">
        <v>126.181</v>
      </c>
      <c r="CA75" s="21" t="n">
        <v>118.517</v>
      </c>
      <c r="CB75" s="21" t="n">
        <v>195.428</v>
      </c>
      <c r="CC75" s="21" t="n">
        <v>204.762</v>
      </c>
      <c r="CD75" s="21" t="n">
        <v>133.531</v>
      </c>
      <c r="CE75" s="21" t="n">
        <v>219.462</v>
      </c>
      <c r="CF75" s="21" t="n">
        <v>230.619</v>
      </c>
      <c r="CG75" s="21" t="n">
        <v>207.298</v>
      </c>
      <c r="CH75" s="21" t="n">
        <v>156.749</v>
      </c>
      <c r="CI75" s="21" t="n">
        <v>157.617</v>
      </c>
      <c r="CJ75" s="21" t="n">
        <v>232.761</v>
      </c>
      <c r="CK75" s="21" t="n">
        <v>209.363</v>
      </c>
      <c r="CL75" s="21" t="n">
        <v>247.635</v>
      </c>
      <c r="CM75" s="21" t="n">
        <v>312.329</v>
      </c>
      <c r="CN75" s="21" t="n">
        <v>132.761</v>
      </c>
      <c r="CO75" s="21" t="n">
        <v>161.27</v>
      </c>
      <c r="CP75" s="21" t="n">
        <v>234.272</v>
      </c>
      <c r="CQ75" s="21" t="n">
        <v>253.712</v>
      </c>
      <c r="CR75" s="21" t="n">
        <v>172.751</v>
      </c>
      <c r="CS75" s="21" t="n">
        <v>261.15</v>
      </c>
      <c r="CT75" s="21" t="n">
        <v>252.301</v>
      </c>
      <c r="CU75" s="21" t="n">
        <v>160.352</v>
      </c>
      <c r="CV75" s="21" t="n">
        <v>151.375</v>
      </c>
      <c r="CW75" s="21" t="n">
        <v>146.554</v>
      </c>
      <c r="CX75" s="21" t="n">
        <v>281.627</v>
      </c>
      <c r="CY75" s="21" t="n">
        <v>137.999</v>
      </c>
      <c r="CZ75" s="21" t="n">
        <v>132.146</v>
      </c>
      <c r="DA75" s="21" t="n">
        <v>300.54</v>
      </c>
      <c r="DB75" s="21" t="n">
        <v>185.256</v>
      </c>
      <c r="DC75" s="21" t="n">
        <v>138.337</v>
      </c>
      <c r="DD75" s="21" t="n">
        <v>102.565</v>
      </c>
      <c r="DE75" s="21" t="n">
        <v>202.888</v>
      </c>
      <c r="DF75" s="21" t="n">
        <v>260.011</v>
      </c>
      <c r="DG75" s="21" t="n">
        <v>210.525</v>
      </c>
      <c r="DH75" s="21" t="n">
        <v>239.803</v>
      </c>
      <c r="DI75" s="21" t="n">
        <v>200.616</v>
      </c>
      <c r="DJ75" s="21" t="n">
        <v>214.867</v>
      </c>
      <c r="DK75" s="21" t="n">
        <v>196.809</v>
      </c>
      <c r="DL75" s="21" t="n">
        <v>172.64</v>
      </c>
      <c r="DM75" s="21" t="n">
        <v>368.156</v>
      </c>
      <c r="DN75" s="21" t="n">
        <v>204.856</v>
      </c>
      <c r="DO75" s="21" t="n">
        <v>275.115</v>
      </c>
      <c r="DP75" s="21" t="n">
        <v>329.124</v>
      </c>
      <c r="DQ75" s="21" t="n">
        <v>345.099</v>
      </c>
      <c r="DR75" s="21" t="n">
        <v>142.382</v>
      </c>
      <c r="DS75" s="21" t="n">
        <v>583.135</v>
      </c>
      <c r="DT75" s="21" t="n">
        <v>283.548</v>
      </c>
      <c r="DU75" s="21" t="n">
        <v>338.78</v>
      </c>
      <c r="DV75" s="21" t="n">
        <v>338.804</v>
      </c>
      <c r="DW75" s="21" t="n">
        <v>250.989</v>
      </c>
      <c r="DX75" s="21" t="n">
        <v>205.506</v>
      </c>
      <c r="DY75" s="21" t="n">
        <v>278.027</v>
      </c>
      <c r="DZ75" s="21" t="n">
        <v>257.028</v>
      </c>
      <c r="EA75" s="21" t="n">
        <v>371.084</v>
      </c>
      <c r="EB75" s="21" t="n">
        <v>209.402</v>
      </c>
      <c r="EC75" s="21" t="n">
        <v>218.043</v>
      </c>
      <c r="ED75" s="21" t="n">
        <v>180.407</v>
      </c>
      <c r="EE75" s="21" t="n">
        <v>258.763</v>
      </c>
      <c r="EF75" s="21" t="n">
        <v>597.5839999999999</v>
      </c>
      <c r="EG75" s="21" t="n">
        <v>517.27</v>
      </c>
      <c r="EH75" s="21" t="n">
        <v>127.653</v>
      </c>
      <c r="EI75" s="21" t="n">
        <v>55.761</v>
      </c>
      <c r="EJ75" s="21" t="n">
        <v>62.571</v>
      </c>
      <c r="EK75" s="21" t="n">
        <v>42.386</v>
      </c>
      <c r="EL75" s="21" t="n">
        <v>115.123</v>
      </c>
      <c r="EM75" s="21" t="n">
        <v>74.004</v>
      </c>
      <c r="EN75" s="21" t="n">
        <v>82.608</v>
      </c>
      <c r="EO75" s="21" t="n">
        <v>94.117</v>
      </c>
      <c r="EP75" s="21" t="n">
        <v>109.057</v>
      </c>
      <c r="EQ75" s="21" t="n">
        <v>69.646</v>
      </c>
      <c r="ER75" s="21" t="n">
        <v>51.059</v>
      </c>
      <c r="ES75" s="21" t="n">
        <v>139.261</v>
      </c>
      <c r="ET75" s="21" t="n">
        <v>79.07299999999999</v>
      </c>
      <c r="EU75" s="21" t="n">
        <v>93.04600000000001</v>
      </c>
      <c r="EV75" s="21" t="n">
        <v>101.617</v>
      </c>
      <c r="EW75" s="21" t="n">
        <v>89.001</v>
      </c>
      <c r="EX75" s="21" t="n">
        <v>197.246</v>
      </c>
      <c r="EY75" s="21" t="n">
        <v>127.847</v>
      </c>
      <c r="EZ75" s="21" t="n">
        <v>116.109</v>
      </c>
      <c r="FA75" s="21" t="n">
        <v>188.379</v>
      </c>
      <c r="FB75" s="21" t="n">
        <v>118.14</v>
      </c>
      <c r="FC75" s="21" t="n">
        <v>112.36</v>
      </c>
      <c r="FD75" s="21" t="n">
        <v>114.561</v>
      </c>
      <c r="FE75" s="21" t="n">
        <v>87.749</v>
      </c>
      <c r="FF75" s="21" t="n">
        <v>158.307</v>
      </c>
      <c r="FG75" s="21" t="n">
        <v>67.751</v>
      </c>
      <c r="FH75" s="21" t="n">
        <v>122.864</v>
      </c>
      <c r="FI75" s="21" t="n">
        <v>101.975</v>
      </c>
      <c r="FJ75" s="21" t="n">
        <v>99.77800000000001</v>
      </c>
      <c r="FK75" s="21" t="n">
        <v>99.98099999999999</v>
      </c>
      <c r="FL75" s="21" t="n">
        <v>93.09099999999999</v>
      </c>
      <c r="FM75" s="21" t="n">
        <v>94.52200000000001</v>
      </c>
      <c r="FN75" s="21" t="n">
        <v>70.572</v>
      </c>
      <c r="FO75" s="21" t="n">
        <v>98.892</v>
      </c>
      <c r="FP75" s="21" t="n">
        <v>98.11499999999999</v>
      </c>
      <c r="FQ75" s="21" t="n">
        <v>134.073</v>
      </c>
      <c r="FR75" s="21" t="n">
        <v>140.614</v>
      </c>
      <c r="FS75" s="21" t="n">
        <v>151.066</v>
      </c>
      <c r="FT75" s="21" t="n">
        <v>121.297</v>
      </c>
      <c r="FU75" s="21" t="n">
        <v>108.263</v>
      </c>
      <c r="FV75" s="21" t="n">
        <v>176.732</v>
      </c>
      <c r="FW75" s="21" t="n">
        <v>146.121</v>
      </c>
      <c r="FX75" s="21" t="n">
        <v>172.381</v>
      </c>
      <c r="FY75" s="21" t="n">
        <v>212.904</v>
      </c>
      <c r="FZ75" s="21" t="n">
        <v>211.471</v>
      </c>
      <c r="GA75" s="21" t="n">
        <v>103.888</v>
      </c>
      <c r="GB75" s="21" t="n">
        <v>149.92</v>
      </c>
      <c r="GC75" s="21" t="n">
        <v>103.239</v>
      </c>
      <c r="GD75" s="21" t="n">
        <v>146.448</v>
      </c>
      <c r="GE75" s="21" t="n">
        <v>159.651</v>
      </c>
      <c r="GF75" s="21" t="n"/>
      <c r="GG75" s="21" t="n">
        <v>153.647</v>
      </c>
      <c r="GH75" s="21" t="n"/>
      <c r="GI75" s="21" t="n">
        <v>155.332</v>
      </c>
      <c r="GJ75" s="21" t="n">
        <v>235.581</v>
      </c>
      <c r="GK75" s="21" t="n">
        <v>234.713</v>
      </c>
      <c r="GL75" s="21" t="n">
        <v>229.814</v>
      </c>
      <c r="GM75" s="21" t="n">
        <v>254.496</v>
      </c>
      <c r="GN75" s="21" t="n">
        <v>249.054</v>
      </c>
      <c r="GO75" s="21" t="n">
        <v>203.109</v>
      </c>
      <c r="GP75" s="21" t="n">
        <v>149.324</v>
      </c>
      <c r="GQ75" s="21" t="n">
        <v>127.274</v>
      </c>
      <c r="GR75" s="21" t="n">
        <v>311.627</v>
      </c>
      <c r="GS75" s="21" t="n">
        <v>191.095</v>
      </c>
      <c r="GT75" s="21" t="n">
        <v>556.576</v>
      </c>
      <c r="GU75" s="21" t="n">
        <v>216.585</v>
      </c>
      <c r="GV75" s="21" t="n">
        <v>245.729</v>
      </c>
      <c r="GW75" s="21" t="n">
        <v>221.105</v>
      </c>
      <c r="GX75" s="21" t="n">
        <v>200.387</v>
      </c>
      <c r="GY75" s="21" t="n">
        <v>163.131</v>
      </c>
      <c r="GZ75" s="21" t="n"/>
      <c r="HA75" s="21" t="n">
        <v>64.389</v>
      </c>
      <c r="HB75" s="21" t="n">
        <v>523.675</v>
      </c>
      <c r="HC75" s="21" t="n">
        <v>374.905</v>
      </c>
      <c r="HD75" s="21" t="n">
        <v>122.935</v>
      </c>
      <c r="HE75" s="21" t="n">
        <v>521.231</v>
      </c>
      <c r="HF75" s="21" t="n">
        <v>95.435</v>
      </c>
      <c r="HG75" s="21" t="n">
        <v>571.673</v>
      </c>
      <c r="HH75" s="21" t="n">
        <v>400.762</v>
      </c>
      <c r="HI75" s="21" t="n">
        <v>405.897</v>
      </c>
      <c r="HJ75" s="21" t="n">
        <v>520.21</v>
      </c>
      <c r="HK75" s="21" t="n">
        <v>193.394</v>
      </c>
      <c r="HL75" s="21" t="n">
        <v>246.671</v>
      </c>
      <c r="HM75" s="21" t="n">
        <v>85.36499999999999</v>
      </c>
      <c r="HN75" s="21" t="n">
        <v>359.521</v>
      </c>
      <c r="HO75" s="21" t="n">
        <v>347.602</v>
      </c>
      <c r="HP75" s="21" t="n">
        <v>784.471</v>
      </c>
      <c r="HQ75" s="21" t="n">
        <v>247.128</v>
      </c>
      <c r="HR75" s="21" t="n">
        <v>122.718</v>
      </c>
      <c r="HS75" s="21" t="n">
        <v>108.509</v>
      </c>
      <c r="HT75" s="21" t="n">
        <v>135.1</v>
      </c>
      <c r="HU75" s="21" t="n">
        <v>510.273</v>
      </c>
      <c r="HV75" s="21" t="n">
        <v>123.18</v>
      </c>
      <c r="HW75" s="21" t="n">
        <v>25.48</v>
      </c>
      <c r="HX75" s="21" t="n">
        <v>182.634</v>
      </c>
      <c r="HY75" s="21" t="n">
        <v>202.178</v>
      </c>
      <c r="HZ75" s="21" t="n">
        <v>155.237</v>
      </c>
      <c r="IA75" s="21" t="n">
        <v>115.241</v>
      </c>
      <c r="IB75" s="21" t="n">
        <v>270.584</v>
      </c>
      <c r="IC75" s="21" t="n">
        <v>204.853</v>
      </c>
      <c r="ID75" s="21" t="n">
        <v>286.637</v>
      </c>
      <c r="IE75" s="21" t="n">
        <v>119.02</v>
      </c>
      <c r="IF75" s="21" t="n">
        <v>163.468</v>
      </c>
      <c r="IG75" s="21" t="n">
        <v>81.98099999999999</v>
      </c>
      <c r="IH75" s="21" t="n">
        <v>77.10899999999999</v>
      </c>
      <c r="II75" s="21" t="n">
        <v>57.639</v>
      </c>
      <c r="IJ75" s="21" t="n">
        <v>24.122</v>
      </c>
      <c r="IK75" s="21" t="n">
        <v>33.025</v>
      </c>
      <c r="IL75" s="21" t="n">
        <v>28.794</v>
      </c>
      <c r="IM75" s="21" t="n">
        <v>37.211</v>
      </c>
      <c r="IN75" s="21" t="n">
        <v>95.392</v>
      </c>
      <c r="IO75" s="21" t="n">
        <v>102.352</v>
      </c>
      <c r="IP75" s="21" t="n">
        <v>170.967</v>
      </c>
      <c r="IQ75" s="21" t="n">
        <v>144.775</v>
      </c>
      <c r="IR75" s="21" t="n">
        <v>372.105</v>
      </c>
      <c r="IS75" s="21" t="n">
        <v>191.18</v>
      </c>
      <c r="IT75" s="21" t="n">
        <v>195.263</v>
      </c>
      <c r="IU75" s="21" t="n">
        <v>338.165</v>
      </c>
      <c r="IV75" s="21" t="n">
        <v>273.091</v>
      </c>
      <c r="IW75" s="21" t="n">
        <v>141.667</v>
      </c>
      <c r="IX75" s="21" t="n">
        <v>272.611</v>
      </c>
      <c r="IY75" s="21" t="n">
        <v>693.357</v>
      </c>
      <c r="IZ75" s="21" t="n">
        <v>782.653</v>
      </c>
      <c r="JA75" s="21" t="n">
        <v>879.134</v>
      </c>
      <c r="JB75" s="21" t="n">
        <v>86.318</v>
      </c>
      <c r="JC75" s="21" t="n">
        <v>314.659</v>
      </c>
      <c r="JD75" s="21" t="n">
        <v>262.284</v>
      </c>
      <c r="JE75" s="21" t="n">
        <v>75.38500000000001</v>
      </c>
      <c r="JF75" s="21" t="n">
        <v>206.045</v>
      </c>
      <c r="JG75" s="21" t="n">
        <v>324.385</v>
      </c>
      <c r="JH75" s="21" t="n">
        <v>330.56</v>
      </c>
      <c r="JI75" s="21" t="n">
        <v>71.215</v>
      </c>
      <c r="JJ75" s="21" t="n">
        <v>108.056</v>
      </c>
      <c r="JK75" s="21" t="n">
        <v>38.204</v>
      </c>
      <c r="JL75" s="21" t="n">
        <v>78.34399999999999</v>
      </c>
      <c r="JM75" s="21" t="n">
        <v>160.309</v>
      </c>
      <c r="JN75" s="21" t="n">
        <v>469.565</v>
      </c>
      <c r="JO75" s="21" t="n">
        <v>77.48</v>
      </c>
      <c r="JP75" s="21" t="n">
        <v>506.058</v>
      </c>
      <c r="JQ75" s="21" t="n">
        <v>240.162</v>
      </c>
      <c r="JR75" s="21" t="n">
        <v>160.035</v>
      </c>
      <c r="JS75" s="21" t="n">
        <v>455.705</v>
      </c>
      <c r="JT75" s="21" t="n">
        <v>371.052</v>
      </c>
      <c r="JU75" s="21" t="n">
        <v>347.41</v>
      </c>
      <c r="JV75" s="21" t="n">
        <v>183.249</v>
      </c>
      <c r="JW75" s="21" t="n">
        <v>355.234</v>
      </c>
      <c r="JX75" s="21" t="n">
        <v>262.726</v>
      </c>
      <c r="JY75" s="21" t="n">
        <v>73.858</v>
      </c>
      <c r="JZ75" s="21" t="n">
        <v>156.663</v>
      </c>
      <c r="KA75" s="21" t="n">
        <v>251.113</v>
      </c>
      <c r="KB75" s="21" t="n">
        <v>270.151</v>
      </c>
      <c r="KC75" s="21" t="n">
        <v>262.333</v>
      </c>
      <c r="KD75" s="21" t="n">
        <v>270.793</v>
      </c>
      <c r="KE75" s="21" t="n">
        <v>241.018</v>
      </c>
      <c r="KF75" s="21" t="n">
        <v>233.255</v>
      </c>
      <c r="KG75" s="21" t="n">
        <v>238.461</v>
      </c>
      <c r="KH75" s="21" t="n">
        <v>243.25</v>
      </c>
      <c r="KI75" s="21" t="n">
        <v>110.098</v>
      </c>
      <c r="KJ75" s="21" t="n">
        <v>190.393</v>
      </c>
      <c r="KK75" s="21" t="n">
        <v>155.128</v>
      </c>
      <c r="KL75" s="21" t="n">
        <v>151.574</v>
      </c>
      <c r="KM75" s="21" t="n">
        <v>146.617</v>
      </c>
      <c r="KN75" s="21" t="n">
        <v>145.998</v>
      </c>
      <c r="KO75" s="21" t="n">
        <v>260.634</v>
      </c>
      <c r="KP75" s="21" t="n">
        <v>108.345</v>
      </c>
      <c r="KQ75" s="21" t="n">
        <v>67.33</v>
      </c>
      <c r="KR75" s="21" t="n">
        <v>114.928</v>
      </c>
      <c r="KS75" s="21" t="n">
        <v>219.242</v>
      </c>
      <c r="KT75" s="21" t="n">
        <v>239.515</v>
      </c>
      <c r="KU75" s="21" t="n">
        <v>92.767</v>
      </c>
      <c r="KV75" s="21" t="n">
        <v>47.352</v>
      </c>
      <c r="KW75" s="21" t="n">
        <v>232.166</v>
      </c>
      <c r="KX75" s="21" t="n">
        <v>199.138</v>
      </c>
      <c r="KY75" s="21" t="n">
        <v>247.251</v>
      </c>
      <c r="KZ75" s="21" t="n">
        <v>195.311</v>
      </c>
      <c r="LA75" s="21" t="n">
        <v>247.171</v>
      </c>
      <c r="LB75" s="21" t="n">
        <v>118.629</v>
      </c>
      <c r="LC75" s="21" t="n">
        <v>370.9</v>
      </c>
      <c r="LD75" s="21" t="n">
        <v>79.90000000000001</v>
      </c>
      <c r="LE75" s="21" t="n">
        <v>127.569</v>
      </c>
      <c r="LF75" s="21" t="n">
        <v>343.317</v>
      </c>
      <c r="LG75" s="21" t="n">
        <v>335.744</v>
      </c>
      <c r="LH75" s="21" t="n">
        <v>348.449</v>
      </c>
      <c r="LI75" s="21" t="n">
        <v>317.832</v>
      </c>
      <c r="LJ75" s="21" t="n">
        <v>352.819</v>
      </c>
      <c r="LK75" s="21" t="n">
        <v>110.128</v>
      </c>
      <c r="LL75" s="21" t="n">
        <v>314.604</v>
      </c>
      <c r="LM75" s="21" t="n">
        <v>221.995</v>
      </c>
      <c r="LN75" s="21" t="n">
        <v>36.589</v>
      </c>
      <c r="LO75" s="21" t="n">
        <v>134.657</v>
      </c>
    </row>
    <row r="76">
      <c r="A76" s="22" t="n">
        <v>44256</v>
      </c>
      <c r="B76" s="21" t="n">
        <v>264.961</v>
      </c>
      <c r="C76" s="21" t="n">
        <v>270.971</v>
      </c>
      <c r="D76" s="21" t="n">
        <v>271.636</v>
      </c>
      <c r="E76" s="21" t="n">
        <v>252.933</v>
      </c>
      <c r="F76" s="21" t="n">
        <v>284.097</v>
      </c>
      <c r="G76" s="21" t="n">
        <v>232.037</v>
      </c>
      <c r="H76" s="21" t="n">
        <v>238.68</v>
      </c>
      <c r="I76" s="21" t="n">
        <v>225.778</v>
      </c>
      <c r="J76" s="21" t="n">
        <v>243.144</v>
      </c>
      <c r="K76" s="21" t="n">
        <v>315.045</v>
      </c>
      <c r="L76" s="21" t="n">
        <v>191.582</v>
      </c>
      <c r="M76" s="21" t="n">
        <v>187.584</v>
      </c>
      <c r="N76" s="21" t="n">
        <v>302.167</v>
      </c>
      <c r="O76" s="21" t="n">
        <v>284.635</v>
      </c>
      <c r="P76" s="21" t="n">
        <v>275.365</v>
      </c>
      <c r="Q76" s="21" t="n">
        <v>315.959</v>
      </c>
      <c r="R76" s="21" t="n">
        <v>270.455</v>
      </c>
      <c r="S76" s="21" t="n">
        <v>268.972</v>
      </c>
      <c r="T76" s="21" t="n">
        <v>273.561</v>
      </c>
      <c r="U76" s="21" t="n">
        <v>278.647</v>
      </c>
      <c r="V76" s="21" t="n">
        <v>341.613</v>
      </c>
      <c r="W76" s="21" t="n">
        <v>297.759</v>
      </c>
      <c r="X76" s="21" t="n">
        <v>270.65</v>
      </c>
      <c r="Y76" s="21" t="n">
        <v>226.571</v>
      </c>
      <c r="Z76" s="21" t="n">
        <v>231.233</v>
      </c>
      <c r="AA76" s="21" t="n">
        <v>172.804</v>
      </c>
      <c r="AB76" s="21" t="n">
        <v>326.875</v>
      </c>
      <c r="AC76" s="21" t="n">
        <v>153.893</v>
      </c>
      <c r="AD76" s="21" t="n">
        <v>211.053</v>
      </c>
      <c r="AE76" s="21" t="n">
        <v>235.16</v>
      </c>
      <c r="AF76" s="21" t="n">
        <v>208.45</v>
      </c>
      <c r="AG76" s="21" t="n">
        <v>140.313</v>
      </c>
      <c r="AH76" s="21" t="n">
        <v>237.57</v>
      </c>
      <c r="AI76" s="21" t="n">
        <v>254.021</v>
      </c>
      <c r="AJ76" s="21" t="n">
        <v>151.269</v>
      </c>
      <c r="AK76" s="21" t="n">
        <v>248.252</v>
      </c>
      <c r="AL76" s="21" t="n">
        <v>159.933</v>
      </c>
      <c r="AM76" s="21" t="n">
        <v>264.807</v>
      </c>
      <c r="AN76" s="21" t="n">
        <v>238.762</v>
      </c>
      <c r="AO76" s="21" t="n">
        <v>160.684</v>
      </c>
      <c r="AP76" s="21" t="n">
        <v>312.965</v>
      </c>
      <c r="AQ76" s="21" t="n">
        <v>199.903</v>
      </c>
      <c r="AR76" s="21" t="n">
        <v>154.473</v>
      </c>
      <c r="AS76" s="21" t="n">
        <v>226.356</v>
      </c>
      <c r="AT76" s="21" t="n">
        <v>318.695</v>
      </c>
      <c r="AU76" s="21" t="n">
        <v>208.921</v>
      </c>
      <c r="AV76" s="21" t="n">
        <v>229.249</v>
      </c>
      <c r="AW76" s="21" t="n">
        <v>148.091</v>
      </c>
      <c r="AX76" s="21" t="n">
        <v>213.568</v>
      </c>
      <c r="AY76" s="21" t="n">
        <v>152.276</v>
      </c>
      <c r="AZ76" s="21" t="n">
        <v>242.959</v>
      </c>
      <c r="BA76" s="21" t="n">
        <v>230.849</v>
      </c>
      <c r="BB76" s="21" t="n">
        <v>152.481</v>
      </c>
      <c r="BC76" s="21" t="n">
        <v>310.847</v>
      </c>
      <c r="BD76" s="21" t="n">
        <v>359.521</v>
      </c>
      <c r="BE76" s="21" t="n">
        <v>370.369</v>
      </c>
      <c r="BF76" s="21" t="n">
        <v>335.034</v>
      </c>
      <c r="BG76" s="21" t="n">
        <v>193.22</v>
      </c>
      <c r="BH76" s="21" t="n">
        <v>259.073</v>
      </c>
      <c r="BI76" s="21" t="n">
        <v>508.54</v>
      </c>
      <c r="BJ76" s="21" t="n">
        <v>125.773</v>
      </c>
      <c r="BK76" s="21" t="n">
        <v>346.78</v>
      </c>
      <c r="BL76" s="21" t="n">
        <v>380.285</v>
      </c>
      <c r="BM76" s="21" t="n">
        <v>341.408</v>
      </c>
      <c r="BN76" s="21" t="n">
        <v>343.969</v>
      </c>
      <c r="BO76" s="21" t="n">
        <v>343.064</v>
      </c>
      <c r="BP76" s="21" t="n">
        <v>164.112</v>
      </c>
      <c r="BQ76" s="21" t="n">
        <v>172.873</v>
      </c>
      <c r="BR76" s="21" t="n">
        <v>165.409</v>
      </c>
      <c r="BS76" s="21" t="n">
        <v>183.476</v>
      </c>
      <c r="BT76" s="21" t="n">
        <v>150.729</v>
      </c>
      <c r="BU76" s="21" t="n">
        <v>204.667</v>
      </c>
      <c r="BV76" s="21" t="n">
        <v>161.205</v>
      </c>
      <c r="BW76" s="21" t="n">
        <v>178.752</v>
      </c>
      <c r="BX76" s="21" t="n">
        <v>141.205</v>
      </c>
      <c r="BY76" s="21" t="n">
        <v>182.656</v>
      </c>
      <c r="BZ76" s="21" t="n">
        <v>125.964</v>
      </c>
      <c r="CA76" s="21" t="n">
        <v>118.617</v>
      </c>
      <c r="CB76" s="21" t="n">
        <v>195.102</v>
      </c>
      <c r="CC76" s="21" t="n">
        <v>204.223</v>
      </c>
      <c r="CD76" s="21" t="n">
        <v>134.073</v>
      </c>
      <c r="CE76" s="21" t="n">
        <v>219.013</v>
      </c>
      <c r="CF76" s="21" t="n">
        <v>232.064</v>
      </c>
      <c r="CG76" s="21" t="n">
        <v>207.58</v>
      </c>
      <c r="CH76" s="21" t="n">
        <v>157.604</v>
      </c>
      <c r="CI76" s="21" t="n">
        <v>158.478</v>
      </c>
      <c r="CJ76" s="21" t="n">
        <v>232.408</v>
      </c>
      <c r="CK76" s="21" t="n">
        <v>207.441</v>
      </c>
      <c r="CL76" s="21" t="n">
        <v>245.839</v>
      </c>
      <c r="CM76" s="21" t="n">
        <v>309.784</v>
      </c>
      <c r="CN76" s="21" t="n">
        <v>131.859</v>
      </c>
      <c r="CO76" s="21" t="n">
        <v>162.145</v>
      </c>
      <c r="CP76" s="21" t="n">
        <v>233.422</v>
      </c>
      <c r="CQ76" s="21" t="n">
        <v>255.793</v>
      </c>
      <c r="CR76" s="21" t="n">
        <v>172.141</v>
      </c>
      <c r="CS76" s="21" t="n">
        <v>260.549</v>
      </c>
      <c r="CT76" s="21" t="n">
        <v>249.197</v>
      </c>
      <c r="CU76" s="21" t="n">
        <v>159.247</v>
      </c>
      <c r="CV76" s="21" t="n">
        <v>149.749</v>
      </c>
      <c r="CW76" s="21" t="n">
        <v>143.651</v>
      </c>
      <c r="CX76" s="21" t="n">
        <v>279.997</v>
      </c>
      <c r="CY76" s="21" t="n">
        <v>138.266</v>
      </c>
      <c r="CZ76" s="21" t="n">
        <v>130.849</v>
      </c>
      <c r="DA76" s="21" t="n">
        <v>300.897</v>
      </c>
      <c r="DB76" s="21" t="n">
        <v>185.703</v>
      </c>
      <c r="DC76" s="21" t="n">
        <v>119.919</v>
      </c>
      <c r="DD76" s="21" t="n">
        <v>85.872</v>
      </c>
      <c r="DE76" s="21" t="n">
        <v>203.347</v>
      </c>
      <c r="DF76" s="21" t="n">
        <v>260.652</v>
      </c>
      <c r="DG76" s="21" t="n">
        <v>210.946</v>
      </c>
      <c r="DH76" s="21" t="n">
        <v>241.398</v>
      </c>
      <c r="DI76" s="21" t="n">
        <v>200.344</v>
      </c>
      <c r="DJ76" s="21" t="n">
        <v>211.17</v>
      </c>
      <c r="DK76" s="21" t="n">
        <v>197.336</v>
      </c>
      <c r="DL76" s="21" t="n">
        <v>173.017</v>
      </c>
      <c r="DM76" s="21" t="n">
        <v>369.031</v>
      </c>
      <c r="DN76" s="21" t="n">
        <v>204.175</v>
      </c>
      <c r="DO76" s="21" t="n">
        <v>275.994</v>
      </c>
      <c r="DP76" s="21" t="n">
        <v>329.947</v>
      </c>
      <c r="DQ76" s="21" t="n">
        <v>345.658</v>
      </c>
      <c r="DR76" s="21" t="n">
        <v>144.887</v>
      </c>
      <c r="DS76" s="21" t="n">
        <v>584.388</v>
      </c>
      <c r="DT76" s="21" t="n">
        <v>289.217</v>
      </c>
      <c r="DU76" s="21" t="n">
        <v>339.559</v>
      </c>
      <c r="DV76" s="21" t="n">
        <v>339.58</v>
      </c>
      <c r="DW76" s="21" t="n">
        <v>252.777</v>
      </c>
      <c r="DX76" s="21" t="n">
        <v>207.342</v>
      </c>
      <c r="DY76" s="21" t="n">
        <v>285.068</v>
      </c>
      <c r="DZ76" s="21" t="n">
        <v>269.625</v>
      </c>
      <c r="EA76" s="21" t="n">
        <v>366.652</v>
      </c>
      <c r="EB76" s="21" t="n">
        <v>211.098</v>
      </c>
      <c r="EC76" s="21" t="n">
        <v>218.128</v>
      </c>
      <c r="ED76" s="21" t="n">
        <v>186.709</v>
      </c>
      <c r="EE76" s="21" t="n">
        <v>259.204</v>
      </c>
      <c r="EF76" s="21" t="n">
        <v>598.452</v>
      </c>
      <c r="EG76" s="21" t="n">
        <v>518.505</v>
      </c>
      <c r="EH76" s="21" t="n">
        <v>128.216</v>
      </c>
      <c r="EI76" s="21" t="n">
        <v>55.531</v>
      </c>
      <c r="EJ76" s="21" t="n">
        <v>61.922</v>
      </c>
      <c r="EK76" s="21" t="n">
        <v>42.292</v>
      </c>
      <c r="EL76" s="21" t="n">
        <v>117.165</v>
      </c>
      <c r="EM76" s="21" t="n">
        <v>74.31100000000001</v>
      </c>
      <c r="EN76" s="21" t="n">
        <v>83.247</v>
      </c>
      <c r="EO76" s="21" t="n">
        <v>94.828</v>
      </c>
      <c r="EP76" s="21" t="n">
        <v>114.876</v>
      </c>
      <c r="EQ76" s="21" t="n">
        <v>69.917</v>
      </c>
      <c r="ER76" s="21" t="n">
        <v>51.282</v>
      </c>
      <c r="ES76" s="21" t="n">
        <v>139.68</v>
      </c>
      <c r="ET76" s="21" t="n">
        <v>78.82299999999999</v>
      </c>
      <c r="EU76" s="21" t="n">
        <v>93.636</v>
      </c>
      <c r="EV76" s="21" t="n">
        <v>102.904</v>
      </c>
      <c r="EW76" s="21" t="n">
        <v>89.10599999999999</v>
      </c>
      <c r="EX76" s="21" t="n">
        <v>195.666</v>
      </c>
      <c r="EY76" s="21" t="n">
        <v>125.942</v>
      </c>
      <c r="EZ76" s="21" t="n">
        <v>115.927</v>
      </c>
      <c r="FA76" s="21" t="n">
        <v>186.963</v>
      </c>
      <c r="FB76" s="21" t="n">
        <v>118.484</v>
      </c>
      <c r="FC76" s="21" t="n">
        <v>113.638</v>
      </c>
      <c r="FD76" s="21" t="n">
        <v>115.145</v>
      </c>
      <c r="FE76" s="21" t="n">
        <v>87.03</v>
      </c>
      <c r="FF76" s="21" t="n">
        <v>159.725</v>
      </c>
      <c r="FG76" s="21" t="n">
        <v>68.90000000000001</v>
      </c>
      <c r="FH76" s="21" t="n">
        <v>124.279</v>
      </c>
      <c r="FI76" s="21" t="n">
        <v>105.811</v>
      </c>
      <c r="FJ76" s="21" t="n">
        <v>99.19</v>
      </c>
      <c r="FK76" s="21" t="n">
        <v>100.038</v>
      </c>
      <c r="FL76" s="21" t="n">
        <v>93.471</v>
      </c>
      <c r="FM76" s="21" t="n">
        <v>96.54600000000001</v>
      </c>
      <c r="FN76" s="21" t="n">
        <v>68.64700000000001</v>
      </c>
      <c r="FO76" s="21" t="n">
        <v>100.496</v>
      </c>
      <c r="FP76" s="21" t="n">
        <v>94.658</v>
      </c>
      <c r="FQ76" s="21" t="n">
        <v>134.948</v>
      </c>
      <c r="FR76" s="21" t="n">
        <v>142.19</v>
      </c>
      <c r="FS76" s="21" t="n">
        <v>150.57</v>
      </c>
      <c r="FT76" s="21" t="n">
        <v>122.265</v>
      </c>
      <c r="FU76" s="21" t="n">
        <v>107.223</v>
      </c>
      <c r="FV76" s="21" t="n">
        <v>180.735</v>
      </c>
      <c r="FW76" s="21" t="n">
        <v>149.586</v>
      </c>
      <c r="FX76" s="21" t="n">
        <v>178.072</v>
      </c>
      <c r="FY76" s="21" t="n">
        <v>217.471</v>
      </c>
      <c r="FZ76" s="21" t="n">
        <v>216.519</v>
      </c>
      <c r="GA76" s="21" t="n">
        <v>104.413</v>
      </c>
      <c r="GB76" s="21" t="n">
        <v>149.838</v>
      </c>
      <c r="GC76" s="21" t="n">
        <v>103.297</v>
      </c>
      <c r="GD76" s="21" t="n">
        <v>145.987</v>
      </c>
      <c r="GE76" s="21" t="n">
        <v>159.708</v>
      </c>
      <c r="GF76" s="21" t="n"/>
      <c r="GG76" s="21" t="n">
        <v>154.93</v>
      </c>
      <c r="GH76" s="21" t="n"/>
      <c r="GI76" s="21" t="n">
        <v>165.75</v>
      </c>
      <c r="GJ76" s="21" t="n">
        <v>255.415</v>
      </c>
      <c r="GK76" s="21" t="n">
        <v>254.403</v>
      </c>
      <c r="GL76" s="21" t="n">
        <v>249.248</v>
      </c>
      <c r="GM76" s="21" t="n">
        <v>274.471</v>
      </c>
      <c r="GN76" s="21" t="n">
        <v>269.213</v>
      </c>
      <c r="GO76" s="21" t="n">
        <v>224.236</v>
      </c>
      <c r="GP76" s="21" t="n">
        <v>149.147</v>
      </c>
      <c r="GQ76" s="21" t="n">
        <v>126.044</v>
      </c>
      <c r="GR76" s="21" t="n">
        <v>314.66</v>
      </c>
      <c r="GS76" s="21" t="n">
        <v>193.984</v>
      </c>
      <c r="GT76" s="21" t="n">
        <v>561.021</v>
      </c>
      <c r="GU76" s="21" t="n">
        <v>215.09</v>
      </c>
      <c r="GV76" s="21" t="n">
        <v>246.289</v>
      </c>
      <c r="GW76" s="21" t="n">
        <v>218.729</v>
      </c>
      <c r="GX76" s="21" t="n">
        <v>198.559</v>
      </c>
      <c r="GY76" s="21" t="n">
        <v>163.301</v>
      </c>
      <c r="GZ76" s="21" t="n"/>
      <c r="HA76" s="21" t="n">
        <v>64.786</v>
      </c>
      <c r="HB76" s="21" t="n">
        <v>524.024</v>
      </c>
      <c r="HC76" s="21" t="n">
        <v>375.111</v>
      </c>
      <c r="HD76" s="21" t="n">
        <v>123.029</v>
      </c>
      <c r="HE76" s="21" t="n">
        <v>521.375</v>
      </c>
      <c r="HF76" s="21" t="n">
        <v>94.934</v>
      </c>
      <c r="HG76" s="21" t="n">
        <v>572.068</v>
      </c>
      <c r="HH76" s="21" t="n">
        <v>401.208</v>
      </c>
      <c r="HI76" s="21" t="n">
        <v>407.048</v>
      </c>
      <c r="HJ76" s="21" t="n">
        <v>519.424</v>
      </c>
      <c r="HK76" s="21" t="n">
        <v>193.179</v>
      </c>
      <c r="HL76" s="21" t="n">
        <v>247.069</v>
      </c>
      <c r="HM76" s="21" t="n">
        <v>85.815</v>
      </c>
      <c r="HN76" s="21" t="n">
        <v>361.468</v>
      </c>
      <c r="HO76" s="21" t="n">
        <v>348.994</v>
      </c>
      <c r="HP76" s="21" t="n">
        <v>789.7329999999999</v>
      </c>
      <c r="HQ76" s="21" t="n">
        <v>248.129</v>
      </c>
      <c r="HR76" s="21" t="n">
        <v>123.164</v>
      </c>
      <c r="HS76" s="21" t="n">
        <v>108.689</v>
      </c>
      <c r="HT76" s="21" t="n">
        <v>135.002</v>
      </c>
      <c r="HU76" s="21" t="n">
        <v>511.537</v>
      </c>
      <c r="HV76" s="21" t="n">
        <v>122.705</v>
      </c>
      <c r="HW76" s="21" t="n">
        <v>25.766</v>
      </c>
      <c r="HX76" s="21" t="n">
        <v>182.678</v>
      </c>
      <c r="HY76" s="21" t="n">
        <v>202.372</v>
      </c>
      <c r="HZ76" s="21" t="n">
        <v>155.473</v>
      </c>
      <c r="IA76" s="21" t="n">
        <v>115.238</v>
      </c>
      <c r="IB76" s="21" t="n">
        <v>270.433</v>
      </c>
      <c r="IC76" s="21" t="n">
        <v>207.691</v>
      </c>
      <c r="ID76" s="21" t="n">
        <v>285.777</v>
      </c>
      <c r="IE76" s="21" t="n">
        <v>117.459</v>
      </c>
      <c r="IF76" s="21" t="n">
        <v>161.139</v>
      </c>
      <c r="IG76" s="21" t="n">
        <v>81.039</v>
      </c>
      <c r="IH76" s="21" t="n">
        <v>76.729</v>
      </c>
      <c r="II76" s="21" t="n">
        <v>57.379</v>
      </c>
      <c r="IJ76" s="21" t="n">
        <v>24.093</v>
      </c>
      <c r="IK76" s="21" t="n">
        <v>33.389</v>
      </c>
      <c r="IL76" s="21" t="n">
        <v>28.98</v>
      </c>
      <c r="IM76" s="21" t="n">
        <v>37.55</v>
      </c>
      <c r="IN76" s="21" t="n">
        <v>97.041</v>
      </c>
      <c r="IO76" s="21" t="n">
        <v>106.129</v>
      </c>
      <c r="IP76" s="21" t="n">
        <v>173.084</v>
      </c>
      <c r="IQ76" s="21" t="n">
        <v>144.871</v>
      </c>
      <c r="IR76" s="21" t="n">
        <v>381.683</v>
      </c>
      <c r="IS76" s="21" t="n">
        <v>193.267</v>
      </c>
      <c r="IT76" s="21" t="n">
        <v>204.443</v>
      </c>
      <c r="IU76" s="21" t="n">
        <v>340.877</v>
      </c>
      <c r="IV76" s="21" t="n">
        <v>271.754</v>
      </c>
      <c r="IW76" s="21" t="n">
        <v>141.435</v>
      </c>
      <c r="IX76" s="21" t="n">
        <v>272.245</v>
      </c>
      <c r="IY76" s="21" t="n">
        <v>677.099</v>
      </c>
      <c r="IZ76" s="21" t="n">
        <v>782.255</v>
      </c>
      <c r="JA76" s="21" t="n">
        <v>879.593</v>
      </c>
      <c r="JB76" s="21" t="n">
        <v>86.532</v>
      </c>
      <c r="JC76" s="21" t="n">
        <v>312.855</v>
      </c>
      <c r="JD76" s="21" t="n">
        <v>261.935</v>
      </c>
      <c r="JE76" s="21" t="n">
        <v>75.24299999999999</v>
      </c>
      <c r="JF76" s="21" t="n">
        <v>206.91</v>
      </c>
      <c r="JG76" s="21" t="n">
        <v>325.673</v>
      </c>
      <c r="JH76" s="21" t="n">
        <v>332.719</v>
      </c>
      <c r="JI76" s="21" t="n">
        <v>71.068</v>
      </c>
      <c r="JJ76" s="21" t="n">
        <v>107.806</v>
      </c>
      <c r="JK76" s="21" t="n">
        <v>37.453</v>
      </c>
      <c r="JL76" s="21" t="n">
        <v>78.63200000000001</v>
      </c>
      <c r="JM76" s="21" t="n">
        <v>158.834</v>
      </c>
      <c r="JN76" s="21" t="n">
        <v>472.038</v>
      </c>
      <c r="JO76" s="21" t="n">
        <v>77.959</v>
      </c>
      <c r="JP76" s="21" t="n">
        <v>509.124</v>
      </c>
      <c r="JQ76" s="21" t="n">
        <v>241.373</v>
      </c>
      <c r="JR76" s="21" t="n">
        <v>159.652</v>
      </c>
      <c r="JS76" s="21" t="n">
        <v>461.258</v>
      </c>
      <c r="JT76" s="21" t="n">
        <v>371.083</v>
      </c>
      <c r="JU76" s="21" t="n">
        <v>347.621</v>
      </c>
      <c r="JV76" s="21" t="n">
        <v>183.077</v>
      </c>
      <c r="JW76" s="21" t="n">
        <v>372.478</v>
      </c>
      <c r="JX76" s="21" t="n">
        <v>263.432</v>
      </c>
      <c r="JY76" s="21" t="n">
        <v>74.459</v>
      </c>
      <c r="JZ76" s="21" t="n">
        <v>156.977</v>
      </c>
      <c r="KA76" s="21" t="n">
        <v>252.541</v>
      </c>
      <c r="KB76" s="21" t="n">
        <v>270.747</v>
      </c>
      <c r="KC76" s="21" t="n">
        <v>263.9</v>
      </c>
      <c r="KD76" s="21" t="n">
        <v>271.459</v>
      </c>
      <c r="KE76" s="21" t="n">
        <v>242.608</v>
      </c>
      <c r="KF76" s="21" t="n">
        <v>235.154</v>
      </c>
      <c r="KG76" s="21" t="n">
        <v>239.04</v>
      </c>
      <c r="KH76" s="21" t="n">
        <v>243.749</v>
      </c>
      <c r="KI76" s="21" t="n">
        <v>110.294</v>
      </c>
      <c r="KJ76" s="21" t="n">
        <v>192.144</v>
      </c>
      <c r="KK76" s="21" t="n">
        <v>157.328</v>
      </c>
      <c r="KL76" s="21" t="n">
        <v>153.804</v>
      </c>
      <c r="KM76" s="21" t="n">
        <v>146.933</v>
      </c>
      <c r="KN76" s="21" t="n">
        <v>146.169</v>
      </c>
      <c r="KO76" s="21" t="n">
        <v>261.273</v>
      </c>
      <c r="KP76" s="21" t="n">
        <v>109</v>
      </c>
      <c r="KQ76" s="21" t="n">
        <v>66.143</v>
      </c>
      <c r="KR76" s="21" t="n">
        <v>114.884</v>
      </c>
      <c r="KS76" s="21" t="n">
        <v>229.617</v>
      </c>
      <c r="KT76" s="21" t="n">
        <v>259.053</v>
      </c>
      <c r="KU76" s="21" t="n">
        <v>93.175</v>
      </c>
      <c r="KV76" s="21" t="n">
        <v>46.596</v>
      </c>
      <c r="KW76" s="21" t="n">
        <v>234.469</v>
      </c>
      <c r="KX76" s="21" t="n">
        <v>202.675</v>
      </c>
      <c r="KY76" s="21" t="n">
        <v>253.162</v>
      </c>
      <c r="KZ76" s="21" t="n">
        <v>199.049</v>
      </c>
      <c r="LA76" s="21" t="n">
        <v>253.717</v>
      </c>
      <c r="LB76" s="21" t="n">
        <v>118.93</v>
      </c>
      <c r="LC76" s="21" t="n">
        <v>372.076</v>
      </c>
      <c r="LD76" s="21" t="n">
        <v>79.754</v>
      </c>
      <c r="LE76" s="21" t="n">
        <v>128.408</v>
      </c>
      <c r="LF76" s="21" t="n">
        <v>344.178</v>
      </c>
      <c r="LG76" s="21" t="n">
        <v>336.699</v>
      </c>
      <c r="LH76" s="21" t="n">
        <v>349.342</v>
      </c>
      <c r="LI76" s="21" t="n">
        <v>319.019</v>
      </c>
      <c r="LJ76" s="21" t="n">
        <v>354.408</v>
      </c>
      <c r="LK76" s="21" t="n">
        <v>110.484</v>
      </c>
      <c r="LL76" s="21" t="n">
        <v>316.088</v>
      </c>
      <c r="LM76" s="21" t="n">
        <v>222.691</v>
      </c>
      <c r="LN76" s="21" t="n">
        <v>36.662</v>
      </c>
      <c r="LO76" s="21" t="n">
        <v>134.871</v>
      </c>
    </row>
    <row r="77">
      <c r="A77" s="22" t="n">
        <v>44287</v>
      </c>
      <c r="B77" s="21" t="n">
        <v>266.614</v>
      </c>
      <c r="C77" s="21" t="n">
        <v>272.018</v>
      </c>
      <c r="D77" s="21" t="n">
        <v>272.715</v>
      </c>
      <c r="E77" s="21" t="n">
        <v>254.125</v>
      </c>
      <c r="F77" s="21" t="n">
        <v>285.429</v>
      </c>
      <c r="G77" s="21" t="n">
        <v>230.9</v>
      </c>
      <c r="H77" s="21" t="n">
        <v>237.237</v>
      </c>
      <c r="I77" s="21" t="n">
        <v>225.246</v>
      </c>
      <c r="J77" s="21" t="n">
        <v>242.126</v>
      </c>
      <c r="K77" s="21" t="n">
        <v>316.761</v>
      </c>
      <c r="L77" s="21" t="n">
        <v>191.929</v>
      </c>
      <c r="M77" s="21" t="n">
        <v>186.982</v>
      </c>
      <c r="N77" s="21" t="n">
        <v>303.122</v>
      </c>
      <c r="O77" s="21" t="n">
        <v>283.775</v>
      </c>
      <c r="P77" s="21" t="n">
        <v>278.971</v>
      </c>
      <c r="Q77" s="21" t="n">
        <v>321.03</v>
      </c>
      <c r="R77" s="21" t="n">
        <v>267.829</v>
      </c>
      <c r="S77" s="21" t="n">
        <v>270.939</v>
      </c>
      <c r="T77" s="21" t="n">
        <v>275.337</v>
      </c>
      <c r="U77" s="21" t="n">
        <v>281.267</v>
      </c>
      <c r="V77" s="21" t="n">
        <v>343.036</v>
      </c>
      <c r="W77" s="21" t="n">
        <v>296.077</v>
      </c>
      <c r="X77" s="21" t="n">
        <v>269.104</v>
      </c>
      <c r="Y77" s="21" t="n">
        <v>232.242</v>
      </c>
      <c r="Z77" s="21" t="n">
        <v>236.326</v>
      </c>
      <c r="AA77" s="21" t="n">
        <v>176.342</v>
      </c>
      <c r="AB77" s="21" t="n">
        <v>335.019</v>
      </c>
      <c r="AC77" s="21" t="n">
        <v>156.157</v>
      </c>
      <c r="AD77" s="21" t="n">
        <v>218.862</v>
      </c>
      <c r="AE77" s="21" t="n">
        <v>246.214</v>
      </c>
      <c r="AF77" s="21" t="n">
        <v>212.226</v>
      </c>
      <c r="AG77" s="21" t="n">
        <v>145.479</v>
      </c>
      <c r="AH77" s="21" t="n">
        <v>238.13</v>
      </c>
      <c r="AI77" s="21" t="n">
        <v>256.177</v>
      </c>
      <c r="AJ77" s="21" t="n">
        <v>152.8</v>
      </c>
      <c r="AK77" s="21" t="n">
        <v>248.752</v>
      </c>
      <c r="AL77" s="21" t="n">
        <v>159.912</v>
      </c>
      <c r="AM77" s="21" t="n">
        <v>262.051</v>
      </c>
      <c r="AN77" s="21" t="n">
        <v>237.682</v>
      </c>
      <c r="AO77" s="21" t="n">
        <v>163.478</v>
      </c>
      <c r="AP77" s="21" t="n">
        <v>313.251</v>
      </c>
      <c r="AQ77" s="21" t="n">
        <v>198.501</v>
      </c>
      <c r="AR77" s="21" t="n">
        <v>154.436</v>
      </c>
      <c r="AS77" s="21" t="n">
        <v>225.442</v>
      </c>
      <c r="AT77" s="21" t="n">
        <v>320.254</v>
      </c>
      <c r="AU77" s="21" t="n">
        <v>213.371</v>
      </c>
      <c r="AV77" s="21" t="n">
        <v>230.17</v>
      </c>
      <c r="AW77" s="21" t="n">
        <v>150.968</v>
      </c>
      <c r="AX77" s="21" t="n">
        <v>218.456</v>
      </c>
      <c r="AY77" s="21" t="n">
        <v>155.22</v>
      </c>
      <c r="AZ77" s="21" t="n">
        <v>240.069</v>
      </c>
      <c r="BA77" s="21" t="n">
        <v>230.273</v>
      </c>
      <c r="BB77" s="21" t="n">
        <v>153.312</v>
      </c>
      <c r="BC77" s="21" t="n">
        <v>313.449</v>
      </c>
      <c r="BD77" s="21" t="n">
        <v>362.929</v>
      </c>
      <c r="BE77" s="21" t="n">
        <v>376.884</v>
      </c>
      <c r="BF77" s="21" t="n">
        <v>336.425</v>
      </c>
      <c r="BG77" s="21" t="n">
        <v>195.866</v>
      </c>
      <c r="BH77" s="21" t="n">
        <v>264.502</v>
      </c>
      <c r="BI77" s="21" t="n">
        <v>518.653</v>
      </c>
      <c r="BJ77" s="21" t="n">
        <v>128.146</v>
      </c>
      <c r="BK77" s="21" t="n">
        <v>347.016</v>
      </c>
      <c r="BL77" s="21" t="n">
        <v>375.522</v>
      </c>
      <c r="BM77" s="21" t="n">
        <v>341.783</v>
      </c>
      <c r="BN77" s="21" t="n">
        <v>350.289</v>
      </c>
      <c r="BO77" s="21" t="n">
        <v>343.412</v>
      </c>
      <c r="BP77" s="21" t="n">
        <v>164.817</v>
      </c>
      <c r="BQ77" s="21" t="n">
        <v>173.518</v>
      </c>
      <c r="BR77" s="21" t="n">
        <v>166.879</v>
      </c>
      <c r="BS77" s="21" t="n">
        <v>184.995</v>
      </c>
      <c r="BT77" s="21" t="n">
        <v>152.343</v>
      </c>
      <c r="BU77" s="21" t="n">
        <v>206.861</v>
      </c>
      <c r="BV77" s="21" t="n">
        <v>161.466</v>
      </c>
      <c r="BW77" s="21" t="n">
        <v>178.959</v>
      </c>
      <c r="BX77" s="21" t="n">
        <v>141.316</v>
      </c>
      <c r="BY77" s="21" t="n">
        <v>181.534</v>
      </c>
      <c r="BZ77" s="21" t="n">
        <v>126.706</v>
      </c>
      <c r="CA77" s="21" t="n">
        <v>118.637</v>
      </c>
      <c r="CB77" s="21" t="n">
        <v>196.03</v>
      </c>
      <c r="CC77" s="21" t="n">
        <v>204.542</v>
      </c>
      <c r="CD77" s="21" t="n">
        <v>133.933</v>
      </c>
      <c r="CE77" s="21" t="n">
        <v>219.419</v>
      </c>
      <c r="CF77" s="21" t="n">
        <v>232.405</v>
      </c>
      <c r="CG77" s="21" t="n">
        <v>207.98</v>
      </c>
      <c r="CH77" s="21" t="n">
        <v>158.234</v>
      </c>
      <c r="CI77" s="21" t="n">
        <v>158.875</v>
      </c>
      <c r="CJ77" s="21" t="n">
        <v>234.868</v>
      </c>
      <c r="CK77" s="21" t="n">
        <v>207.993</v>
      </c>
      <c r="CL77" s="21" t="n">
        <v>248.124</v>
      </c>
      <c r="CM77" s="21" t="n">
        <v>308.572</v>
      </c>
      <c r="CN77" s="21" t="n">
        <v>133.272</v>
      </c>
      <c r="CO77" s="21" t="n">
        <v>163.773</v>
      </c>
      <c r="CP77" s="21" t="n">
        <v>233.575</v>
      </c>
      <c r="CQ77" s="21" t="n">
        <v>254.166</v>
      </c>
      <c r="CR77" s="21" t="n">
        <v>172.298</v>
      </c>
      <c r="CS77" s="21" t="n">
        <v>259.811</v>
      </c>
      <c r="CT77" s="21" t="n">
        <v>252.665</v>
      </c>
      <c r="CU77" s="21" t="n">
        <v>160.573</v>
      </c>
      <c r="CV77" s="21" t="n">
        <v>149.619</v>
      </c>
      <c r="CW77" s="21" t="n">
        <v>145.42</v>
      </c>
      <c r="CX77" s="21" t="n">
        <v>283.273</v>
      </c>
      <c r="CY77" s="21" t="n">
        <v>138.192</v>
      </c>
      <c r="CZ77" s="21" t="n">
        <v>132.342</v>
      </c>
      <c r="DA77" s="21" t="n">
        <v>301.819</v>
      </c>
      <c r="DB77" s="21" t="n">
        <v>186.076</v>
      </c>
      <c r="DC77" s="21" t="n">
        <v>119.129</v>
      </c>
      <c r="DD77" s="21" t="n">
        <v>85.045</v>
      </c>
      <c r="DE77" s="21" t="n">
        <v>203.764</v>
      </c>
      <c r="DF77" s="21" t="n">
        <v>261.265</v>
      </c>
      <c r="DG77" s="21" t="n">
        <v>211.073</v>
      </c>
      <c r="DH77" s="21" t="n">
        <v>239.532</v>
      </c>
      <c r="DI77" s="21" t="n">
        <v>200.91</v>
      </c>
      <c r="DJ77" s="21" t="n">
        <v>210.728</v>
      </c>
      <c r="DK77" s="21" t="n">
        <v>198.695</v>
      </c>
      <c r="DL77" s="21" t="n">
        <v>174.111</v>
      </c>
      <c r="DM77" s="21" t="n">
        <v>370.416</v>
      </c>
      <c r="DN77" s="21" t="n">
        <v>204.538</v>
      </c>
      <c r="DO77" s="21" t="n">
        <v>277.391</v>
      </c>
      <c r="DP77" s="21" t="n">
        <v>331.208</v>
      </c>
      <c r="DQ77" s="21" t="n">
        <v>346.357</v>
      </c>
      <c r="DR77" s="21" t="n">
        <v>153.572</v>
      </c>
      <c r="DS77" s="21" t="n">
        <v>585.629</v>
      </c>
      <c r="DT77" s="21" t="n">
        <v>309.113</v>
      </c>
      <c r="DU77" s="21" t="n">
        <v>340.371</v>
      </c>
      <c r="DV77" s="21" t="n">
        <v>340.391</v>
      </c>
      <c r="DW77" s="21" t="n">
        <v>255.623</v>
      </c>
      <c r="DX77" s="21" t="n">
        <v>210.352</v>
      </c>
      <c r="DY77" s="21" t="n">
        <v>281.522</v>
      </c>
      <c r="DZ77" s="21" t="n">
        <v>265.874</v>
      </c>
      <c r="EA77" s="21" t="n">
        <v>364.32</v>
      </c>
      <c r="EB77" s="21" t="n">
        <v>214.458</v>
      </c>
      <c r="EC77" s="21" t="n">
        <v>220.871</v>
      </c>
      <c r="ED77" s="21" t="n">
        <v>191.779</v>
      </c>
      <c r="EE77" s="21" t="n">
        <v>259.581</v>
      </c>
      <c r="EF77" s="21" t="n">
        <v>599.614</v>
      </c>
      <c r="EG77" s="21" t="n">
        <v>518.579</v>
      </c>
      <c r="EH77" s="21" t="n">
        <v>129.238</v>
      </c>
      <c r="EI77" s="21" t="n">
        <v>56.13</v>
      </c>
      <c r="EJ77" s="21" t="n">
        <v>61.62</v>
      </c>
      <c r="EK77" s="21" t="n">
        <v>43.198</v>
      </c>
      <c r="EL77" s="21" t="n">
        <v>119.675</v>
      </c>
      <c r="EM77" s="21" t="n">
        <v>75.265</v>
      </c>
      <c r="EN77" s="21" t="n">
        <v>83.11</v>
      </c>
      <c r="EO77" s="21" t="n">
        <v>94.861</v>
      </c>
      <c r="EP77" s="21" t="n">
        <v>115.967</v>
      </c>
      <c r="EQ77" s="21" t="n">
        <v>69.85899999999999</v>
      </c>
      <c r="ER77" s="21" t="n">
        <v>51.262</v>
      </c>
      <c r="ES77" s="21" t="n">
        <v>139.638</v>
      </c>
      <c r="ET77" s="21" t="n">
        <v>81.489</v>
      </c>
      <c r="EU77" s="21" t="n">
        <v>93.601</v>
      </c>
      <c r="EV77" s="21" t="n">
        <v>102.335</v>
      </c>
      <c r="EW77" s="21" t="n">
        <v>89.259</v>
      </c>
      <c r="EX77" s="21" t="n">
        <v>197.266</v>
      </c>
      <c r="EY77" s="21" t="n">
        <v>126.442</v>
      </c>
      <c r="EZ77" s="21" t="n">
        <v>118.273</v>
      </c>
      <c r="FA77" s="21" t="n">
        <v>188.479</v>
      </c>
      <c r="FB77" s="21" t="n">
        <v>119.692</v>
      </c>
      <c r="FC77" s="21" t="n">
        <v>114.074</v>
      </c>
      <c r="FD77" s="21" t="n">
        <v>115.634</v>
      </c>
      <c r="FE77" s="21" t="n">
        <v>85.852</v>
      </c>
      <c r="FF77" s="21" t="n">
        <v>161.945</v>
      </c>
      <c r="FG77" s="21" t="n">
        <v>69.152</v>
      </c>
      <c r="FH77" s="21" t="n">
        <v>126.362</v>
      </c>
      <c r="FI77" s="21" t="n">
        <v>106.838</v>
      </c>
      <c r="FJ77" s="21" t="n">
        <v>99.733</v>
      </c>
      <c r="FK77" s="21" t="n">
        <v>100.627</v>
      </c>
      <c r="FL77" s="21" t="n">
        <v>92.83199999999999</v>
      </c>
      <c r="FM77" s="21" t="n">
        <v>98.39400000000001</v>
      </c>
      <c r="FN77" s="21" t="n">
        <v>68.898</v>
      </c>
      <c r="FO77" s="21" t="n">
        <v>101.723</v>
      </c>
      <c r="FP77" s="21" t="n">
        <v>94.99299999999999</v>
      </c>
      <c r="FQ77" s="21" t="n">
        <v>137.635</v>
      </c>
      <c r="FR77" s="21" t="n">
        <v>145.678</v>
      </c>
      <c r="FS77" s="21" t="n">
        <v>155.786</v>
      </c>
      <c r="FT77" s="21" t="n">
        <v>122.765</v>
      </c>
      <c r="FU77" s="21" t="n">
        <v>110.401</v>
      </c>
      <c r="FV77" s="21" t="n">
        <v>183.603</v>
      </c>
      <c r="FW77" s="21" t="n">
        <v>153.38</v>
      </c>
      <c r="FX77" s="21" t="n">
        <v>181.154</v>
      </c>
      <c r="FY77" s="21" t="n">
        <v>220.736</v>
      </c>
      <c r="FZ77" s="21" t="n">
        <v>219.103</v>
      </c>
      <c r="GA77" s="21" t="n">
        <v>108.298</v>
      </c>
      <c r="GB77" s="21" t="n">
        <v>149.753</v>
      </c>
      <c r="GC77" s="21" t="n">
        <v>103.796</v>
      </c>
      <c r="GD77" s="21" t="n">
        <v>145.52</v>
      </c>
      <c r="GE77" s="21" t="n">
        <v>159.988</v>
      </c>
      <c r="GF77" s="21" t="n"/>
      <c r="GG77" s="21" t="n">
        <v>168.006</v>
      </c>
      <c r="GH77" s="21" t="n"/>
      <c r="GI77" s="21" t="n">
        <v>186.43</v>
      </c>
      <c r="GJ77" s="21" t="n">
        <v>247.124</v>
      </c>
      <c r="GK77" s="21" t="n">
        <v>246.052</v>
      </c>
      <c r="GL77" s="21" t="n">
        <v>240.973</v>
      </c>
      <c r="GM77" s="21" t="n">
        <v>266.246</v>
      </c>
      <c r="GN77" s="21" t="n">
        <v>260.901</v>
      </c>
      <c r="GO77" s="21" t="n">
        <v>228.499</v>
      </c>
      <c r="GP77" s="21" t="n">
        <v>150.454</v>
      </c>
      <c r="GQ77" s="21" t="n">
        <v>127.971</v>
      </c>
      <c r="GR77" s="21" t="n">
        <v>315.177</v>
      </c>
      <c r="GS77" s="21" t="n">
        <v>193.512</v>
      </c>
      <c r="GT77" s="21" t="n">
        <v>565.79</v>
      </c>
      <c r="GU77" s="21" t="n">
        <v>215.16</v>
      </c>
      <c r="GV77" s="21" t="n">
        <v>246.708</v>
      </c>
      <c r="GW77" s="21" t="n">
        <v>231.294</v>
      </c>
      <c r="GX77" s="21" t="n">
        <v>216.99</v>
      </c>
      <c r="GY77" s="21" t="n">
        <v>163.515</v>
      </c>
      <c r="GZ77" s="21" t="n"/>
      <c r="HA77" s="21" t="n">
        <v>65.486</v>
      </c>
      <c r="HB77" s="21" t="n">
        <v>524.465</v>
      </c>
      <c r="HC77" s="21" t="n">
        <v>377.284</v>
      </c>
      <c r="HD77" s="21" t="n">
        <v>123.804</v>
      </c>
      <c r="HE77" s="21" t="n">
        <v>523.876</v>
      </c>
      <c r="HF77" s="21" t="n">
        <v>95.94</v>
      </c>
      <c r="HG77" s="21" t="n">
        <v>571.948</v>
      </c>
      <c r="HH77" s="21" t="n">
        <v>400.834</v>
      </c>
      <c r="HI77" s="21" t="n">
        <v>405.869</v>
      </c>
      <c r="HJ77" s="21" t="n">
        <v>520.273</v>
      </c>
      <c r="HK77" s="21" t="n">
        <v>193.166</v>
      </c>
      <c r="HL77" s="21" t="n">
        <v>247.246</v>
      </c>
      <c r="HM77" s="21" t="n">
        <v>85.931</v>
      </c>
      <c r="HN77" s="21" t="n">
        <v>361.585</v>
      </c>
      <c r="HO77" s="21" t="n">
        <v>349.651</v>
      </c>
      <c r="HP77" s="21" t="n">
        <v>785.951</v>
      </c>
      <c r="HQ77" s="21" t="n">
        <v>248.938</v>
      </c>
      <c r="HR77" s="21" t="n">
        <v>124.266</v>
      </c>
      <c r="HS77" s="21" t="n">
        <v>109.171</v>
      </c>
      <c r="HT77" s="21" t="n">
        <v>138.312</v>
      </c>
      <c r="HU77" s="21" t="n">
        <v>513.878</v>
      </c>
      <c r="HV77" s="21" t="n">
        <v>123.354</v>
      </c>
      <c r="HW77" s="21" t="n">
        <v>25.947</v>
      </c>
      <c r="HX77" s="21" t="n">
        <v>183.346</v>
      </c>
      <c r="HY77" s="21" t="n">
        <v>203.299</v>
      </c>
      <c r="HZ77" s="21" t="n">
        <v>155.767</v>
      </c>
      <c r="IA77" s="21" t="n">
        <v>116.174</v>
      </c>
      <c r="IB77" s="21" t="n">
        <v>271.145</v>
      </c>
      <c r="IC77" s="21" t="n">
        <v>208.74</v>
      </c>
      <c r="ID77" s="21" t="n">
        <v>286.369</v>
      </c>
      <c r="IE77" s="21" t="n">
        <v>118.879</v>
      </c>
      <c r="IF77" s="21" t="n">
        <v>163.224</v>
      </c>
      <c r="IG77" s="21" t="n">
        <v>81.90900000000001</v>
      </c>
      <c r="IH77" s="21" t="n">
        <v>76.59099999999999</v>
      </c>
      <c r="II77" s="21" t="n">
        <v>57.38</v>
      </c>
      <c r="IJ77" s="21" t="n">
        <v>24.165</v>
      </c>
      <c r="IK77" s="21" t="n">
        <v>34.127</v>
      </c>
      <c r="IL77" s="21" t="n">
        <v>29.695</v>
      </c>
      <c r="IM77" s="21" t="n">
        <v>38.35</v>
      </c>
      <c r="IN77" s="21" t="n">
        <v>101.855</v>
      </c>
      <c r="IO77" s="21" t="n">
        <v>105.651</v>
      </c>
      <c r="IP77" s="21" t="n">
        <v>175.235</v>
      </c>
      <c r="IQ77" s="21" t="n">
        <v>145.349</v>
      </c>
      <c r="IR77" s="21" t="n">
        <v>394.708</v>
      </c>
      <c r="IS77" s="21" t="n">
        <v>193.202</v>
      </c>
      <c r="IT77" s="21" t="n">
        <v>225.058</v>
      </c>
      <c r="IU77" s="21" t="n">
        <v>335.978</v>
      </c>
      <c r="IV77" s="21" t="n">
        <v>275.956</v>
      </c>
      <c r="IW77" s="21" t="n">
        <v>141.967</v>
      </c>
      <c r="IX77" s="21" t="n">
        <v>272.848</v>
      </c>
      <c r="IY77" s="21" t="n">
        <v>686.521</v>
      </c>
      <c r="IZ77" s="21" t="n">
        <v>783.649</v>
      </c>
      <c r="JA77" s="21" t="n">
        <v>880.4160000000001</v>
      </c>
      <c r="JB77" s="21" t="n">
        <v>86.66</v>
      </c>
      <c r="JC77" s="21" t="n">
        <v>314.467</v>
      </c>
      <c r="JD77" s="21" t="n">
        <v>262.461</v>
      </c>
      <c r="JE77" s="21" t="n">
        <v>75.62</v>
      </c>
      <c r="JF77" s="21" t="n">
        <v>207.603</v>
      </c>
      <c r="JG77" s="21" t="n">
        <v>326.793</v>
      </c>
      <c r="JH77" s="21" t="n">
        <v>333.521</v>
      </c>
      <c r="JI77" s="21" t="n">
        <v>71.42700000000001</v>
      </c>
      <c r="JJ77" s="21" t="n">
        <v>109.55</v>
      </c>
      <c r="JK77" s="21" t="n">
        <v>39.358</v>
      </c>
      <c r="JL77" s="21" t="n">
        <v>79.23099999999999</v>
      </c>
      <c r="JM77" s="21" t="n">
        <v>157.636</v>
      </c>
      <c r="JN77" s="21" t="n">
        <v>472.479</v>
      </c>
      <c r="JO77" s="21" t="n">
        <v>78.08499999999999</v>
      </c>
      <c r="JP77" s="21" t="n">
        <v>509.948</v>
      </c>
      <c r="JQ77" s="21" t="n">
        <v>241.558</v>
      </c>
      <c r="JR77" s="21" t="n">
        <v>160.027</v>
      </c>
      <c r="JS77" s="21" t="n">
        <v>461.446</v>
      </c>
      <c r="JT77" s="21" t="n">
        <v>371.157</v>
      </c>
      <c r="JU77" s="21" t="n">
        <v>347.504</v>
      </c>
      <c r="JV77" s="21" t="n">
        <v>183.798</v>
      </c>
      <c r="JW77" s="21" t="n">
        <v>371.628</v>
      </c>
      <c r="JX77" s="21" t="n"/>
      <c r="JY77" s="21" t="n">
        <v>75.43600000000001</v>
      </c>
      <c r="JZ77" s="21" t="n">
        <v>158.202</v>
      </c>
      <c r="KA77" s="21" t="n">
        <v>254.249</v>
      </c>
      <c r="KB77" s="21" t="n">
        <v>272.774</v>
      </c>
      <c r="KC77" s="21" t="n">
        <v>265.643</v>
      </c>
      <c r="KD77" s="21" t="n">
        <v>273.66</v>
      </c>
      <c r="KE77" s="21" t="n">
        <v>244.41</v>
      </c>
      <c r="KF77" s="21" t="n">
        <v>237.114</v>
      </c>
      <c r="KG77" s="21" t="n">
        <v>241.711</v>
      </c>
      <c r="KH77" s="21" t="n">
        <v>245.328</v>
      </c>
      <c r="KI77" s="21" t="n">
        <v>111.084</v>
      </c>
      <c r="KJ77" s="21" t="n">
        <v>193.621</v>
      </c>
      <c r="KK77" s="21" t="n">
        <v>158.878</v>
      </c>
      <c r="KL77" s="21" t="n">
        <v>155.371</v>
      </c>
      <c r="KM77" s="21" t="n">
        <v>149.554</v>
      </c>
      <c r="KN77" s="21" t="n">
        <v>147.215</v>
      </c>
      <c r="KO77" s="21" t="n">
        <v>263.207</v>
      </c>
      <c r="KP77" s="21" t="n">
        <v>112.29</v>
      </c>
      <c r="KQ77" s="21" t="n">
        <v>68.21599999999999</v>
      </c>
      <c r="KR77" s="21" t="n">
        <v>115.071</v>
      </c>
      <c r="KS77" s="21" t="n">
        <v>227.255</v>
      </c>
      <c r="KT77" s="21" t="n">
        <v>250.863</v>
      </c>
      <c r="KU77" s="21" t="n">
        <v>93.82299999999999</v>
      </c>
      <c r="KV77" s="21" t="n">
        <v>48.285</v>
      </c>
      <c r="KW77" s="21" t="n">
        <v>234.618</v>
      </c>
      <c r="KX77" s="21" t="n">
        <v>202.78</v>
      </c>
      <c r="KY77" s="21" t="n">
        <v>252.628</v>
      </c>
      <c r="KZ77" s="21" t="n">
        <v>199.193</v>
      </c>
      <c r="LA77" s="21" t="n">
        <v>253.194</v>
      </c>
      <c r="LB77" s="21" t="n">
        <v>119.34</v>
      </c>
      <c r="LC77" s="21" t="n">
        <v>373.305</v>
      </c>
      <c r="LD77" s="21" t="n">
        <v>80.688</v>
      </c>
      <c r="LE77" s="21" t="n">
        <v>129.368</v>
      </c>
      <c r="LF77" s="21" t="n">
        <v>345.503</v>
      </c>
      <c r="LG77" s="21" t="n">
        <v>338.503</v>
      </c>
      <c r="LH77" s="21" t="n">
        <v>351.017</v>
      </c>
      <c r="LI77" s="21" t="n">
        <v>320.858</v>
      </c>
      <c r="LJ77" s="21" t="n">
        <v>356.807</v>
      </c>
      <c r="LK77" s="21" t="n">
        <v>114.307</v>
      </c>
      <c r="LL77" s="21" t="n">
        <v>323.087</v>
      </c>
      <c r="LM77" s="21" t="n">
        <v>225.152</v>
      </c>
      <c r="LN77" s="21" t="n">
        <v>37.144</v>
      </c>
      <c r="LO77" s="21" t="n">
        <v>135.221</v>
      </c>
    </row>
    <row r="78">
      <c r="A78" s="22" t="n">
        <v>44317</v>
      </c>
      <c r="B78" s="21" t="n">
        <v>268.383</v>
      </c>
      <c r="C78" s="21" t="n">
        <v>273.181</v>
      </c>
      <c r="D78" s="21" t="n">
        <v>273.932</v>
      </c>
      <c r="E78" s="21" t="n">
        <v>255.043</v>
      </c>
      <c r="F78" s="21" t="n">
        <v>286.391</v>
      </c>
      <c r="G78" s="21" t="n">
        <v>233.024</v>
      </c>
      <c r="H78" s="21" t="n">
        <v>239.726</v>
      </c>
      <c r="I78" s="21" t="n">
        <v>228.209</v>
      </c>
      <c r="J78" s="21" t="n">
        <v>243.283</v>
      </c>
      <c r="K78" s="21" t="n">
        <v>317.187</v>
      </c>
      <c r="L78" s="21" t="n">
        <v>193.564</v>
      </c>
      <c r="M78" s="21" t="n">
        <v>187.304</v>
      </c>
      <c r="N78" s="21" t="n">
        <v>299.796</v>
      </c>
      <c r="O78" s="21" t="n">
        <v>279.246</v>
      </c>
      <c r="P78" s="21" t="n">
        <v>279.638</v>
      </c>
      <c r="Q78" s="21" t="n">
        <v>322.686</v>
      </c>
      <c r="R78" s="21" t="n">
        <v>268.834</v>
      </c>
      <c r="S78" s="21" t="n">
        <v>275.399</v>
      </c>
      <c r="T78" s="21" t="n">
        <v>279.687</v>
      </c>
      <c r="U78" s="21" t="n">
        <v>285.724</v>
      </c>
      <c r="V78" s="21" t="n">
        <v>354.902</v>
      </c>
      <c r="W78" s="21" t="n">
        <v>298.182</v>
      </c>
      <c r="X78" s="21" t="n">
        <v>281.894</v>
      </c>
      <c r="Y78" s="21" t="n">
        <v>242.519</v>
      </c>
      <c r="Z78" s="21" t="n">
        <v>236.964</v>
      </c>
      <c r="AA78" s="21" t="n">
        <v>177.848</v>
      </c>
      <c r="AB78" s="21" t="n">
        <v>339.488</v>
      </c>
      <c r="AC78" s="21" t="n">
        <v>156.149</v>
      </c>
      <c r="AD78" s="21" t="n">
        <v>214.278</v>
      </c>
      <c r="AE78" s="21" t="n">
        <v>238.573</v>
      </c>
      <c r="AF78" s="21" t="n">
        <v>214.056</v>
      </c>
      <c r="AG78" s="21" t="n">
        <v>148.105</v>
      </c>
      <c r="AH78" s="21" t="n">
        <v>237.085</v>
      </c>
      <c r="AI78" s="21" t="n">
        <v>252.848</v>
      </c>
      <c r="AJ78" s="21" t="n">
        <v>151.955</v>
      </c>
      <c r="AK78" s="21" t="n">
        <v>251.81</v>
      </c>
      <c r="AL78" s="21" t="n">
        <v>161.747</v>
      </c>
      <c r="AM78" s="21" t="n">
        <v>265.423</v>
      </c>
      <c r="AN78" s="21" t="n">
        <v>240.47</v>
      </c>
      <c r="AO78" s="21" t="n">
        <v>163.95</v>
      </c>
      <c r="AP78" s="21" t="n">
        <v>319.479</v>
      </c>
      <c r="AQ78" s="21" t="n">
        <v>202.711</v>
      </c>
      <c r="AR78" s="21" t="n">
        <v>155.115</v>
      </c>
      <c r="AS78" s="21" t="n">
        <v>227.413</v>
      </c>
      <c r="AT78" s="21" t="n">
        <v>322.12</v>
      </c>
      <c r="AU78" s="21" t="n">
        <v>219.243</v>
      </c>
      <c r="AV78" s="21" t="n">
        <v>230.38</v>
      </c>
      <c r="AW78" s="21" t="n">
        <v>153.593</v>
      </c>
      <c r="AX78" s="21" t="n">
        <v>223.276</v>
      </c>
      <c r="AY78" s="21" t="n">
        <v>157.196</v>
      </c>
      <c r="AZ78" s="21" t="n">
        <v>239.858</v>
      </c>
      <c r="BA78" s="21" t="n">
        <v>230.304</v>
      </c>
      <c r="BB78" s="21" t="n">
        <v>152.246</v>
      </c>
      <c r="BC78" s="21" t="n">
        <v>313.546</v>
      </c>
      <c r="BD78" s="21" t="n">
        <v>362.942</v>
      </c>
      <c r="BE78" s="21" t="n">
        <v>375.963</v>
      </c>
      <c r="BF78" s="21" t="n">
        <v>336.427</v>
      </c>
      <c r="BG78" s="21" t="n">
        <v>195.818</v>
      </c>
      <c r="BH78" s="21" t="n">
        <v>267.071</v>
      </c>
      <c r="BI78" s="21" t="n">
        <v>524.074</v>
      </c>
      <c r="BJ78" s="21" t="n">
        <v>127.508</v>
      </c>
      <c r="BK78" s="21" t="n">
        <v>347.978</v>
      </c>
      <c r="BL78" s="21" t="n">
        <v>372.307</v>
      </c>
      <c r="BM78" s="21" t="n">
        <v>343.319</v>
      </c>
      <c r="BN78" s="21" t="n">
        <v>353.642</v>
      </c>
      <c r="BO78" s="21" t="n">
        <v>345.195</v>
      </c>
      <c r="BP78" s="21" t="n">
        <v>165.034</v>
      </c>
      <c r="BQ78" s="21" t="n">
        <v>173.507</v>
      </c>
      <c r="BR78" s="21" t="n">
        <v>166.312</v>
      </c>
      <c r="BS78" s="21" t="n">
        <v>186.099</v>
      </c>
      <c r="BT78" s="21" t="n">
        <v>152.468</v>
      </c>
      <c r="BU78" s="21" t="n">
        <v>206.166</v>
      </c>
      <c r="BV78" s="21" t="n">
        <v>160.513</v>
      </c>
      <c r="BW78" s="21" t="n">
        <v>178.089</v>
      </c>
      <c r="BX78" s="21" t="n">
        <v>140.121</v>
      </c>
      <c r="BY78" s="21" t="n">
        <v>179.301</v>
      </c>
      <c r="BZ78" s="21" t="n">
        <v>126.051</v>
      </c>
      <c r="CA78" s="21" t="n">
        <v>118.802</v>
      </c>
      <c r="CB78" s="21" t="n">
        <v>196.522</v>
      </c>
      <c r="CC78" s="21" t="n">
        <v>206.633</v>
      </c>
      <c r="CD78" s="21" t="n">
        <v>133.502</v>
      </c>
      <c r="CE78" s="21" t="n">
        <v>219.324</v>
      </c>
      <c r="CF78" s="21" t="n">
        <v>234.001</v>
      </c>
      <c r="CG78" s="21" t="n">
        <v>207.832</v>
      </c>
      <c r="CH78" s="21" t="n">
        <v>159.599</v>
      </c>
      <c r="CI78" s="21" t="n">
        <v>158.741</v>
      </c>
      <c r="CJ78" s="21" t="n">
        <v>236.337</v>
      </c>
      <c r="CK78" s="21" t="n">
        <v>210.511</v>
      </c>
      <c r="CL78" s="21" t="n">
        <v>251.061</v>
      </c>
      <c r="CM78" s="21" t="n">
        <v>314.41</v>
      </c>
      <c r="CN78" s="21" t="n">
        <v>134.865</v>
      </c>
      <c r="CO78" s="21" t="n">
        <v>164.742</v>
      </c>
      <c r="CP78" s="21" t="n">
        <v>232.933</v>
      </c>
      <c r="CQ78" s="21" t="n">
        <v>253.135</v>
      </c>
      <c r="CR78" s="21" t="n">
        <v>172.388</v>
      </c>
      <c r="CS78" s="21" t="n">
        <v>257.397</v>
      </c>
      <c r="CT78" s="21" t="n">
        <v>252.218</v>
      </c>
      <c r="CU78" s="21" t="n">
        <v>160.383</v>
      </c>
      <c r="CV78" s="21" t="n">
        <v>149.11</v>
      </c>
      <c r="CW78" s="21" t="n">
        <v>145.093</v>
      </c>
      <c r="CX78" s="21" t="n">
        <v>284.692</v>
      </c>
      <c r="CY78" s="21" t="n">
        <v>137.457</v>
      </c>
      <c r="CZ78" s="21" t="n">
        <v>133.956</v>
      </c>
      <c r="DA78" s="21" t="n">
        <v>303.481</v>
      </c>
      <c r="DB78" s="21" t="n">
        <v>187.156</v>
      </c>
      <c r="DC78" s="21" t="n">
        <v>120.565</v>
      </c>
      <c r="DD78" s="21" t="n">
        <v>86.087</v>
      </c>
      <c r="DE78" s="21" t="n">
        <v>205.659</v>
      </c>
      <c r="DF78" s="21" t="n">
        <v>261.711</v>
      </c>
      <c r="DG78" s="21" t="n">
        <v>211.757</v>
      </c>
      <c r="DH78" s="21" t="n">
        <v>241.243</v>
      </c>
      <c r="DI78" s="21" t="n">
        <v>201.658</v>
      </c>
      <c r="DJ78" s="21" t="n">
        <v>212.232</v>
      </c>
      <c r="DK78" s="21" t="n">
        <v>198.766</v>
      </c>
      <c r="DL78" s="21" t="n">
        <v>173.965</v>
      </c>
      <c r="DM78" s="21" t="n">
        <v>370.685</v>
      </c>
      <c r="DN78" s="21" t="n">
        <v>204.621</v>
      </c>
      <c r="DO78" s="21" t="n">
        <v>278.624</v>
      </c>
      <c r="DP78" s="21" t="n">
        <v>332.111</v>
      </c>
      <c r="DQ78" s="21" t="n">
        <v>347.242</v>
      </c>
      <c r="DR78" s="21" t="n">
        <v>153.956</v>
      </c>
      <c r="DS78" s="21" t="n">
        <v>587.1369999999999</v>
      </c>
      <c r="DT78" s="21" t="n">
        <v>309.882</v>
      </c>
      <c r="DU78" s="21" t="n">
        <v>341.339</v>
      </c>
      <c r="DV78" s="21" t="n">
        <v>341.352</v>
      </c>
      <c r="DW78" s="21" t="n">
        <v>257.334</v>
      </c>
      <c r="DX78" s="21" t="n">
        <v>212.232</v>
      </c>
      <c r="DY78" s="21" t="n">
        <v>290.668</v>
      </c>
      <c r="DZ78" s="21" t="n">
        <v>279.51</v>
      </c>
      <c r="EA78" s="21" t="n">
        <v>365.768</v>
      </c>
      <c r="EB78" s="21" t="n">
        <v>216.12</v>
      </c>
      <c r="EC78" s="21" t="n">
        <v>222.201</v>
      </c>
      <c r="ED78" s="21" t="n">
        <v>194.368</v>
      </c>
      <c r="EE78" s="21" t="n">
        <v>259.542</v>
      </c>
      <c r="EF78" s="21" t="n">
        <v>600.405</v>
      </c>
      <c r="EG78" s="21" t="n">
        <v>516.4400000000001</v>
      </c>
      <c r="EH78" s="21" t="n">
        <v>131.111</v>
      </c>
      <c r="EI78" s="21" t="n">
        <v>56.714</v>
      </c>
      <c r="EJ78" s="21" t="n">
        <v>63.258</v>
      </c>
      <c r="EK78" s="21" t="n">
        <v>42.972</v>
      </c>
      <c r="EL78" s="21" t="n">
        <v>121.954</v>
      </c>
      <c r="EM78" s="21" t="n">
        <v>76.28700000000001</v>
      </c>
      <c r="EN78" s="21" t="n">
        <v>83.79300000000001</v>
      </c>
      <c r="EO78" s="21" t="n">
        <v>95.675</v>
      </c>
      <c r="EP78" s="21" t="n">
        <v>115.088</v>
      </c>
      <c r="EQ78" s="21" t="n">
        <v>70.399</v>
      </c>
      <c r="ER78" s="21" t="n">
        <v>51.62</v>
      </c>
      <c r="ES78" s="21" t="n">
        <v>140.022</v>
      </c>
      <c r="ET78" s="21" t="n">
        <v>82.056</v>
      </c>
      <c r="EU78" s="21" t="n">
        <v>94.92100000000001</v>
      </c>
      <c r="EV78" s="21" t="n">
        <v>103.073</v>
      </c>
      <c r="EW78" s="21" t="n">
        <v>91.12</v>
      </c>
      <c r="EX78" s="21" t="n">
        <v>197.781</v>
      </c>
      <c r="EY78" s="21" t="n">
        <v>126.961</v>
      </c>
      <c r="EZ78" s="21" t="n">
        <v>118.071</v>
      </c>
      <c r="FA78" s="21" t="n">
        <v>196.001</v>
      </c>
      <c r="FB78" s="21" t="n">
        <v>120.794</v>
      </c>
      <c r="FC78" s="21" t="n">
        <v>114.186</v>
      </c>
      <c r="FD78" s="21" t="n">
        <v>116.115</v>
      </c>
      <c r="FE78" s="21" t="n">
        <v>86.405</v>
      </c>
      <c r="FF78" s="21" t="n">
        <v>162.215</v>
      </c>
      <c r="FG78" s="21" t="n">
        <v>69.014</v>
      </c>
      <c r="FH78" s="21" t="n">
        <v>127.822</v>
      </c>
      <c r="FI78" s="21" t="n">
        <v>105.418</v>
      </c>
      <c r="FJ78" s="21" t="n">
        <v>101.151</v>
      </c>
      <c r="FK78" s="21" t="n">
        <v>101.388</v>
      </c>
      <c r="FL78" s="21" t="n">
        <v>94.366</v>
      </c>
      <c r="FM78" s="21" t="n">
        <v>98.629</v>
      </c>
      <c r="FN78" s="21" t="n">
        <v>69.753</v>
      </c>
      <c r="FO78" s="21" t="n">
        <v>101.981</v>
      </c>
      <c r="FP78" s="21" t="n">
        <v>99.327</v>
      </c>
      <c r="FQ78" s="21" t="n">
        <v>138.765</v>
      </c>
      <c r="FR78" s="21" t="n">
        <v>145.139</v>
      </c>
      <c r="FS78" s="21" t="n">
        <v>158.131</v>
      </c>
      <c r="FT78" s="21" t="n">
        <v>123.992</v>
      </c>
      <c r="FU78" s="21" t="n">
        <v>110.858</v>
      </c>
      <c r="FV78" s="21" t="n">
        <v>186.826</v>
      </c>
      <c r="FW78" s="21" t="n">
        <v>151.157</v>
      </c>
      <c r="FX78" s="21" t="n">
        <v>186.319</v>
      </c>
      <c r="FY78" s="21" t="n">
        <v>225.784</v>
      </c>
      <c r="FZ78" s="21" t="n">
        <v>223.986</v>
      </c>
      <c r="GA78" s="21" t="n">
        <v>112.141</v>
      </c>
      <c r="GB78" s="21" t="n">
        <v>151.706</v>
      </c>
      <c r="GC78" s="21" t="n">
        <v>105.383</v>
      </c>
      <c r="GD78" s="21" t="n">
        <v>147.407</v>
      </c>
      <c r="GE78" s="21" t="n">
        <v>161.975</v>
      </c>
      <c r="GF78" s="21" t="n"/>
      <c r="GG78" s="21" t="n">
        <v>178.929</v>
      </c>
      <c r="GH78" s="21" t="n"/>
      <c r="GI78" s="21" t="n">
        <v>205.594</v>
      </c>
      <c r="GJ78" s="21" t="n">
        <v>250.529</v>
      </c>
      <c r="GK78" s="21" t="n">
        <v>249.382</v>
      </c>
      <c r="GL78" s="21" t="n">
        <v>244.272</v>
      </c>
      <c r="GM78" s="21" t="n">
        <v>270.25</v>
      </c>
      <c r="GN78" s="21" t="n">
        <v>264.701</v>
      </c>
      <c r="GO78" s="21" t="n">
        <v>232.801</v>
      </c>
      <c r="GP78" s="21" t="n">
        <v>151.777</v>
      </c>
      <c r="GQ78" s="21" t="n">
        <v>129.326</v>
      </c>
      <c r="GR78" s="21" t="n">
        <v>314.164</v>
      </c>
      <c r="GS78" s="21" t="n">
        <v>191.667</v>
      </c>
      <c r="GT78" s="21" t="n">
        <v>568.842</v>
      </c>
      <c r="GU78" s="21" t="n">
        <v>216.253</v>
      </c>
      <c r="GV78" s="21" t="n">
        <v>248.924</v>
      </c>
      <c r="GW78" s="21" t="n">
        <v>238.365</v>
      </c>
      <c r="GX78" s="21" t="n">
        <v>233.479</v>
      </c>
      <c r="GY78" s="21" t="n">
        <v>165.213</v>
      </c>
      <c r="GZ78" s="21" t="n"/>
      <c r="HA78" s="21" t="n">
        <v>66.06</v>
      </c>
      <c r="HB78" s="21" t="n">
        <v>523.97</v>
      </c>
      <c r="HC78" s="21" t="n">
        <v>377.191</v>
      </c>
      <c r="HD78" s="21" t="n">
        <v>123.705</v>
      </c>
      <c r="HE78" s="21" t="n">
        <v>522.116</v>
      </c>
      <c r="HF78" s="21" t="n">
        <v>96.07299999999999</v>
      </c>
      <c r="HG78" s="21" t="n">
        <v>571.324</v>
      </c>
      <c r="HH78" s="21" t="n">
        <v>401.147</v>
      </c>
      <c r="HI78" s="21" t="n">
        <v>405.744</v>
      </c>
      <c r="HJ78" s="21" t="n">
        <v>520.102</v>
      </c>
      <c r="HK78" s="21" t="n">
        <v>194.638</v>
      </c>
      <c r="HL78" s="21" t="n">
        <v>247.784</v>
      </c>
      <c r="HM78" s="21" t="n">
        <v>85.872</v>
      </c>
      <c r="HN78" s="21" t="n">
        <v>361.285</v>
      </c>
      <c r="HO78" s="21" t="n">
        <v>349.541</v>
      </c>
      <c r="HP78" s="21" t="n">
        <v>785.713</v>
      </c>
      <c r="HQ78" s="21" t="n">
        <v>249.121</v>
      </c>
      <c r="HR78" s="21" t="n">
        <v>124.563</v>
      </c>
      <c r="HS78" s="21" t="n">
        <v>109.396</v>
      </c>
      <c r="HT78" s="21" t="n">
        <v>140.258</v>
      </c>
      <c r="HU78" s="21" t="n">
        <v>515.058</v>
      </c>
      <c r="HV78" s="21" t="n">
        <v>123.205</v>
      </c>
      <c r="HW78" s="21" t="n">
        <v>25.484</v>
      </c>
      <c r="HX78" s="21" t="n">
        <v>183.881</v>
      </c>
      <c r="HY78" s="21" t="n">
        <v>203.247</v>
      </c>
      <c r="HZ78" s="21" t="n">
        <v>155.278</v>
      </c>
      <c r="IA78" s="21" t="n">
        <v>116.309</v>
      </c>
      <c r="IB78" s="21" t="n">
        <v>272.894</v>
      </c>
      <c r="IC78" s="21" t="n">
        <v>207.774</v>
      </c>
      <c r="ID78" s="21" t="n">
        <v>289.945</v>
      </c>
      <c r="IE78" s="21" t="n">
        <v>120.713</v>
      </c>
      <c r="IF78" s="21" t="n">
        <v>167.891</v>
      </c>
      <c r="IG78" s="21" t="n">
        <v>81.523</v>
      </c>
      <c r="IH78" s="21" t="n">
        <v>76.8</v>
      </c>
      <c r="II78" s="21" t="n">
        <v>57.706</v>
      </c>
      <c r="IJ78" s="21" t="n">
        <v>24.309</v>
      </c>
      <c r="IK78" s="21" t="n">
        <v>33.954</v>
      </c>
      <c r="IL78" s="21" t="n">
        <v>29.416</v>
      </c>
      <c r="IM78" s="21" t="n">
        <v>37.963</v>
      </c>
      <c r="IN78" s="21" t="n">
        <v>102.574</v>
      </c>
      <c r="IO78" s="21" t="n">
        <v>107.266</v>
      </c>
      <c r="IP78" s="21" t="n">
        <v>175.255</v>
      </c>
      <c r="IQ78" s="21" t="n">
        <v>145.227</v>
      </c>
      <c r="IR78" s="21" t="n">
        <v>396.158</v>
      </c>
      <c r="IS78" s="21" t="n">
        <v>192.026</v>
      </c>
      <c r="IT78" s="21" t="n">
        <v>228.351</v>
      </c>
      <c r="IU78" s="21" t="n">
        <v>333.62</v>
      </c>
      <c r="IV78" s="21" t="n">
        <v>274.272</v>
      </c>
      <c r="IW78" s="21" t="n">
        <v>142.268</v>
      </c>
      <c r="IX78" s="21" t="n">
        <v>273.706</v>
      </c>
      <c r="IY78" s="21" t="n">
        <v>691.128</v>
      </c>
      <c r="IZ78" s="21" t="n">
        <v>786.009</v>
      </c>
      <c r="JA78" s="21" t="n">
        <v>881.655</v>
      </c>
      <c r="JB78" s="21" t="n">
        <v>87.107</v>
      </c>
      <c r="JC78" s="21" t="n">
        <v>316.368</v>
      </c>
      <c r="JD78" s="21" t="n">
        <v>262.236</v>
      </c>
      <c r="JE78" s="21" t="n">
        <v>75.71899999999999</v>
      </c>
      <c r="JF78" s="21" t="n">
        <v>208.59</v>
      </c>
      <c r="JG78" s="21" t="n">
        <v>328.158</v>
      </c>
      <c r="JH78" s="21" t="n">
        <v>337.089</v>
      </c>
      <c r="JI78" s="21" t="n">
        <v>71.51300000000001</v>
      </c>
      <c r="JJ78" s="21" t="n">
        <v>109.487</v>
      </c>
      <c r="JK78" s="21" t="n">
        <v>39.611</v>
      </c>
      <c r="JL78" s="21" t="n">
        <v>79.062</v>
      </c>
      <c r="JM78" s="21" t="n">
        <v>155.555</v>
      </c>
      <c r="JN78" s="21" t="n">
        <v>472.627</v>
      </c>
      <c r="JO78" s="21" t="n">
        <v>78.194</v>
      </c>
      <c r="JP78" s="21" t="n">
        <v>510.579</v>
      </c>
      <c r="JQ78" s="21" t="n">
        <v>241.57</v>
      </c>
      <c r="JR78" s="21" t="n">
        <v>159.766</v>
      </c>
      <c r="JS78" s="21" t="n">
        <v>462.325</v>
      </c>
      <c r="JT78" s="21" t="n">
        <v>371.157</v>
      </c>
      <c r="JU78" s="21" t="n">
        <v>348.826</v>
      </c>
      <c r="JV78" s="21" t="n">
        <v>184.51</v>
      </c>
      <c r="JW78" s="21" t="n">
        <v>371.925</v>
      </c>
      <c r="JX78" s="21" t="n">
        <v>267.767</v>
      </c>
      <c r="JY78" s="21" t="n">
        <v>75.447</v>
      </c>
      <c r="JZ78" s="21" t="n">
        <v>158.452</v>
      </c>
      <c r="KA78" s="21" t="n">
        <v>256.12</v>
      </c>
      <c r="KB78" s="21" t="n">
        <v>274.487</v>
      </c>
      <c r="KC78" s="21" t="n">
        <v>267.499</v>
      </c>
      <c r="KD78" s="21" t="n">
        <v>275.465</v>
      </c>
      <c r="KE78" s="21" t="n">
        <v>246.5</v>
      </c>
      <c r="KF78" s="21" t="n">
        <v>239.395</v>
      </c>
      <c r="KG78" s="21" t="n">
        <v>243.971</v>
      </c>
      <c r="KH78" s="21" t="n">
        <v>246.678</v>
      </c>
      <c r="KI78" s="21" t="n">
        <v>112.142</v>
      </c>
      <c r="KJ78" s="21" t="n">
        <v>195.903</v>
      </c>
      <c r="KK78" s="21" t="n">
        <v>161.424</v>
      </c>
      <c r="KL78" s="21" t="n">
        <v>157.96</v>
      </c>
      <c r="KM78" s="21" t="n">
        <v>151.991</v>
      </c>
      <c r="KN78" s="21" t="n">
        <v>148.375</v>
      </c>
      <c r="KO78" s="21" t="n">
        <v>264.29</v>
      </c>
      <c r="KP78" s="21" t="n">
        <v>115.005</v>
      </c>
      <c r="KQ78" s="21" t="n">
        <v>68.47199999999999</v>
      </c>
      <c r="KR78" s="21" t="n">
        <v>115.3</v>
      </c>
      <c r="KS78" s="21" t="n">
        <v>229.854</v>
      </c>
      <c r="KT78" s="21" t="n">
        <v>254.521</v>
      </c>
      <c r="KU78" s="21" t="n">
        <v>94.944</v>
      </c>
      <c r="KV78" s="21" t="n">
        <v>48.427</v>
      </c>
      <c r="KW78" s="21" t="n">
        <v>235.976</v>
      </c>
      <c r="KX78" s="21" t="n">
        <v>204.011</v>
      </c>
      <c r="KY78" s="21" t="n">
        <v>253.957</v>
      </c>
      <c r="KZ78" s="21" t="n">
        <v>200.464</v>
      </c>
      <c r="LA78" s="21" t="n">
        <v>254.604</v>
      </c>
      <c r="LB78" s="21" t="n">
        <v>119.324</v>
      </c>
      <c r="LC78" s="21" t="n">
        <v>373.855</v>
      </c>
      <c r="LD78" s="21" t="n">
        <v>80.96299999999999</v>
      </c>
      <c r="LE78" s="21" t="n">
        <v>129.607</v>
      </c>
      <c r="LF78" s="21" t="n">
        <v>346.534</v>
      </c>
      <c r="LG78" s="21" t="n">
        <v>339.674</v>
      </c>
      <c r="LH78" s="21" t="n">
        <v>352.15</v>
      </c>
      <c r="LI78" s="21" t="n">
        <v>322.374</v>
      </c>
      <c r="LJ78" s="21" t="n">
        <v>358.541</v>
      </c>
      <c r="LK78" s="21" t="n">
        <v>118.289</v>
      </c>
      <c r="LL78" s="21" t="n">
        <v>327.033</v>
      </c>
      <c r="LM78" s="21" t="n">
        <v>227.32</v>
      </c>
      <c r="LN78" s="21" t="n">
        <v>37.155</v>
      </c>
      <c r="LO78" s="21" t="n">
        <v>135.551</v>
      </c>
    </row>
    <row r="79">
      <c r="A79" s="22" t="n">
        <v>44348</v>
      </c>
      <c r="B79" s="21" t="n">
        <v>270.654</v>
      </c>
      <c r="C79" s="21" t="n">
        <v>275.185</v>
      </c>
      <c r="D79" s="21" t="n">
        <v>275.997</v>
      </c>
      <c r="E79" s="21" t="n">
        <v>257.058</v>
      </c>
      <c r="F79" s="21" t="n">
        <v>286.067</v>
      </c>
      <c r="G79" s="21" t="n">
        <v>232.883</v>
      </c>
      <c r="H79" s="21" t="n">
        <v>240.043</v>
      </c>
      <c r="I79" s="21" t="n">
        <v>229.794</v>
      </c>
      <c r="J79" s="21" t="n">
        <v>242.752</v>
      </c>
      <c r="K79" s="21" t="n">
        <v>316.77</v>
      </c>
      <c r="L79" s="21" t="n">
        <v>192.878</v>
      </c>
      <c r="M79" s="21" t="n">
        <v>187.762</v>
      </c>
      <c r="N79" s="21" t="n">
        <v>300.883</v>
      </c>
      <c r="O79" s="21" t="n">
        <v>277.514</v>
      </c>
      <c r="P79" s="21" t="n">
        <v>277.792</v>
      </c>
      <c r="Q79" s="21" t="n">
        <v>321.738</v>
      </c>
      <c r="R79" s="21" t="n">
        <v>270.272</v>
      </c>
      <c r="S79" s="21" t="n">
        <v>282.477</v>
      </c>
      <c r="T79" s="21" t="n">
        <v>286.589</v>
      </c>
      <c r="U79" s="21" t="n">
        <v>295.175</v>
      </c>
      <c r="V79" s="21" t="n">
        <v>372.125</v>
      </c>
      <c r="W79" s="21" t="n">
        <v>307.039</v>
      </c>
      <c r="X79" s="21" t="n">
        <v>294.456</v>
      </c>
      <c r="Y79" s="21" t="n">
        <v>257.377</v>
      </c>
      <c r="Z79" s="21" t="n">
        <v>244.36</v>
      </c>
      <c r="AA79" s="21" t="n">
        <v>180.93</v>
      </c>
      <c r="AB79" s="21" t="n">
        <v>347.313</v>
      </c>
      <c r="AC79" s="21" t="n">
        <v>158.996</v>
      </c>
      <c r="AD79" s="21" t="n">
        <v>221.38</v>
      </c>
      <c r="AE79" s="21" t="n">
        <v>246.276</v>
      </c>
      <c r="AF79" s="21" t="n">
        <v>224.766</v>
      </c>
      <c r="AG79" s="21" t="n">
        <v>155.707</v>
      </c>
      <c r="AH79" s="21" t="n">
        <v>237.578</v>
      </c>
      <c r="AI79" s="21" t="n">
        <v>250.56</v>
      </c>
      <c r="AJ79" s="21" t="n">
        <v>151.389</v>
      </c>
      <c r="AK79" s="21" t="n">
        <v>253.174</v>
      </c>
      <c r="AL79" s="21" t="n">
        <v>162.356</v>
      </c>
      <c r="AM79" s="21" t="n">
        <v>265.836</v>
      </c>
      <c r="AN79" s="21" t="n">
        <v>242.843</v>
      </c>
      <c r="AO79" s="21" t="n">
        <v>167.481</v>
      </c>
      <c r="AP79" s="21" t="n">
        <v>324.598</v>
      </c>
      <c r="AQ79" s="21" t="n">
        <v>206.552</v>
      </c>
      <c r="AR79" s="21" t="n">
        <v>157.283</v>
      </c>
      <c r="AS79" s="21" t="n">
        <v>228.376</v>
      </c>
      <c r="AT79" s="21" t="n">
        <v>327.092</v>
      </c>
      <c r="AU79" s="21" t="n">
        <v>228.599</v>
      </c>
      <c r="AV79" s="21" t="n">
        <v>230.152</v>
      </c>
      <c r="AW79" s="21" t="n">
        <v>153.599</v>
      </c>
      <c r="AX79" s="21" t="n">
        <v>222.941</v>
      </c>
      <c r="AY79" s="21" t="n">
        <v>157.351</v>
      </c>
      <c r="AZ79" s="21" t="n">
        <v>240.1</v>
      </c>
      <c r="BA79" s="21" t="n">
        <v>230.113</v>
      </c>
      <c r="BB79" s="21" t="n">
        <v>151.689</v>
      </c>
      <c r="BC79" s="21" t="n">
        <v>315.484</v>
      </c>
      <c r="BD79" s="21" t="n">
        <v>365.845</v>
      </c>
      <c r="BE79" s="21" t="n">
        <v>380.553</v>
      </c>
      <c r="BF79" s="21" t="n">
        <v>340.317</v>
      </c>
      <c r="BG79" s="21" t="n">
        <v>194.976</v>
      </c>
      <c r="BH79" s="21" t="n">
        <v>278.129</v>
      </c>
      <c r="BI79" s="21" t="n">
        <v>537.384</v>
      </c>
      <c r="BJ79" s="21" t="n">
        <v>128.103</v>
      </c>
      <c r="BK79" s="21" t="n">
        <v>349.153</v>
      </c>
      <c r="BL79" s="21" t="n">
        <v>375.861</v>
      </c>
      <c r="BM79" s="21" t="n">
        <v>348.353</v>
      </c>
      <c r="BN79" s="21" t="n">
        <v>353.203</v>
      </c>
      <c r="BO79" s="21" t="n">
        <v>345.271</v>
      </c>
      <c r="BP79" s="21" t="n">
        <v>164.949</v>
      </c>
      <c r="BQ79" s="21" t="n">
        <v>173.588</v>
      </c>
      <c r="BR79" s="21" t="n">
        <v>166.963</v>
      </c>
      <c r="BS79" s="21" t="n">
        <v>185.132</v>
      </c>
      <c r="BT79" s="21" t="n">
        <v>152.171</v>
      </c>
      <c r="BU79" s="21" t="n">
        <v>206.128</v>
      </c>
      <c r="BV79" s="21" t="n">
        <v>160.027</v>
      </c>
      <c r="BW79" s="21" t="n">
        <v>179.661</v>
      </c>
      <c r="BX79" s="21" t="n">
        <v>141.718</v>
      </c>
      <c r="BY79" s="21" t="n">
        <v>183.08</v>
      </c>
      <c r="BZ79" s="21" t="n">
        <v>126.679</v>
      </c>
      <c r="CA79" s="21" t="n">
        <v>119.615</v>
      </c>
      <c r="CB79" s="21" t="n">
        <v>196.756</v>
      </c>
      <c r="CC79" s="21" t="n">
        <v>205.884</v>
      </c>
      <c r="CD79" s="21" t="n">
        <v>135.956</v>
      </c>
      <c r="CE79" s="21" t="n">
        <v>219.442</v>
      </c>
      <c r="CF79" s="21" t="n">
        <v>232.715</v>
      </c>
      <c r="CG79" s="21" t="n">
        <v>207.583</v>
      </c>
      <c r="CH79" s="21" t="n">
        <v>159.107</v>
      </c>
      <c r="CI79" s="21" t="n">
        <v>157.609</v>
      </c>
      <c r="CJ79" s="21" t="n">
        <v>236.917</v>
      </c>
      <c r="CK79" s="21" t="n">
        <v>209.102</v>
      </c>
      <c r="CL79" s="21" t="n">
        <v>249.575</v>
      </c>
      <c r="CM79" s="21" t="n">
        <v>310.529</v>
      </c>
      <c r="CN79" s="21" t="n">
        <v>134.474</v>
      </c>
      <c r="CO79" s="21" t="n">
        <v>165.327</v>
      </c>
      <c r="CP79" s="21" t="n">
        <v>233.251</v>
      </c>
      <c r="CQ79" s="21" t="n">
        <v>252.477</v>
      </c>
      <c r="CR79" s="21" t="n">
        <v>173.109</v>
      </c>
      <c r="CS79" s="21" t="n">
        <v>258.177</v>
      </c>
      <c r="CT79" s="21" t="n">
        <v>250.628</v>
      </c>
      <c r="CU79" s="21" t="n">
        <v>159.736</v>
      </c>
      <c r="CV79" s="21" t="n">
        <v>149.222</v>
      </c>
      <c r="CW79" s="21" t="n">
        <v>144.221</v>
      </c>
      <c r="CX79" s="21" t="n">
        <v>279.279</v>
      </c>
      <c r="CY79" s="21" t="n">
        <v>138.441</v>
      </c>
      <c r="CZ79" s="21" t="n">
        <v>130.249</v>
      </c>
      <c r="DA79" s="21" t="n">
        <v>305.634</v>
      </c>
      <c r="DB79" s="21" t="n">
        <v>188.743</v>
      </c>
      <c r="DC79" s="21" t="n">
        <v>121.058</v>
      </c>
      <c r="DD79" s="21" t="n"/>
      <c r="DE79" s="21" t="n">
        <v>204.297</v>
      </c>
      <c r="DF79" s="21" t="n">
        <v>262.913</v>
      </c>
      <c r="DG79" s="21" t="n">
        <v>212.524</v>
      </c>
      <c r="DH79" s="21" t="n">
        <v>243.565</v>
      </c>
      <c r="DI79" s="21" t="n">
        <v>201.967</v>
      </c>
      <c r="DJ79" s="21" t="n">
        <v>212.423</v>
      </c>
      <c r="DK79" s="21" t="n">
        <v>198.708</v>
      </c>
      <c r="DL79" s="21" t="n">
        <v>173.794</v>
      </c>
      <c r="DM79" s="21" t="n">
        <v>372.805</v>
      </c>
      <c r="DN79" s="21" t="n">
        <v>207.886</v>
      </c>
      <c r="DO79" s="21" t="n">
        <v>279.805</v>
      </c>
      <c r="DP79" s="21" t="n">
        <v>333.835</v>
      </c>
      <c r="DQ79" s="21" t="n">
        <v>348.07</v>
      </c>
      <c r="DR79" s="21" t="n">
        <v>165.942</v>
      </c>
      <c r="DS79" s="21" t="n">
        <v>587.838</v>
      </c>
      <c r="DT79" s="21" t="n">
        <v>337.416</v>
      </c>
      <c r="DU79" s="21" t="n">
        <v>342.479</v>
      </c>
      <c r="DV79" s="21" t="n">
        <v>342.488</v>
      </c>
      <c r="DW79" s="21" t="n">
        <v>258.299</v>
      </c>
      <c r="DX79" s="21" t="n">
        <v>213.059</v>
      </c>
      <c r="DY79" s="21" t="n">
        <v>300.135</v>
      </c>
      <c r="DZ79" s="21" t="n">
        <v>289.714</v>
      </c>
      <c r="EA79" s="21" t="n">
        <v>375.558</v>
      </c>
      <c r="EB79" s="21" t="n">
        <v>216.643</v>
      </c>
      <c r="EC79" s="21" t="n">
        <v>222.152</v>
      </c>
      <c r="ED79" s="21" t="n">
        <v>196.525</v>
      </c>
      <c r="EE79" s="21" t="n">
        <v>260.4</v>
      </c>
      <c r="EF79" s="21" t="n">
        <v>602.795</v>
      </c>
      <c r="EG79" s="21" t="n">
        <v>517.202</v>
      </c>
      <c r="EH79" s="21" t="n">
        <v>130.853</v>
      </c>
      <c r="EI79" s="21" t="n">
        <v>57.528</v>
      </c>
      <c r="EJ79" s="21" t="n">
        <v>62.372</v>
      </c>
      <c r="EK79" s="21" t="n">
        <v>43.592</v>
      </c>
      <c r="EL79" s="21" t="n">
        <v>122.793</v>
      </c>
      <c r="EM79" s="21" t="n">
        <v>76.328</v>
      </c>
      <c r="EN79" s="21" t="n">
        <v>83.85899999999999</v>
      </c>
      <c r="EO79" s="21" t="n">
        <v>97.358</v>
      </c>
      <c r="EP79" s="21" t="n">
        <v>119.139</v>
      </c>
      <c r="EQ79" s="21" t="n">
        <v>69.80500000000001</v>
      </c>
      <c r="ER79" s="21" t="n">
        <v>51.506</v>
      </c>
      <c r="ES79" s="21" t="n">
        <v>139.852</v>
      </c>
      <c r="ET79" s="21" t="n">
        <v>79.569</v>
      </c>
      <c r="EU79" s="21" t="n">
        <v>95.255</v>
      </c>
      <c r="EV79" s="21" t="n">
        <v>104.15</v>
      </c>
      <c r="EW79" s="21" t="n">
        <v>91.187</v>
      </c>
      <c r="EX79" s="21" t="n">
        <v>197.461</v>
      </c>
      <c r="EY79" s="21" t="n">
        <v>125.977</v>
      </c>
      <c r="EZ79" s="21" t="n">
        <v>118.388</v>
      </c>
      <c r="FA79" s="21" t="n">
        <v>198.036</v>
      </c>
      <c r="FB79" s="21" t="n">
        <v>121.339</v>
      </c>
      <c r="FC79" s="21" t="n">
        <v>114.075</v>
      </c>
      <c r="FD79" s="21" t="n">
        <v>115.963</v>
      </c>
      <c r="FE79" s="21" t="n">
        <v>85.68000000000001</v>
      </c>
      <c r="FF79" s="21" t="n">
        <v>161.414</v>
      </c>
      <c r="FG79" s="21" t="n">
        <v>69.70099999999999</v>
      </c>
      <c r="FH79" s="21" t="n">
        <v>126.467</v>
      </c>
      <c r="FI79" s="21" t="n">
        <v>105.332</v>
      </c>
      <c r="FJ79" s="21" t="n">
        <v>102.362</v>
      </c>
      <c r="FK79" s="21" t="n">
        <v>103.157</v>
      </c>
      <c r="FL79" s="21" t="n">
        <v>95.19</v>
      </c>
      <c r="FM79" s="21" t="n">
        <v>101.496</v>
      </c>
      <c r="FN79" s="21" t="n">
        <v>70.508</v>
      </c>
      <c r="FO79" s="21" t="n">
        <v>102.476</v>
      </c>
      <c r="FP79" s="21" t="n">
        <v>98.04000000000001</v>
      </c>
      <c r="FQ79" s="21" t="n">
        <v>138.693</v>
      </c>
      <c r="FR79" s="21" t="n">
        <v>144.731</v>
      </c>
      <c r="FS79" s="21" t="n">
        <v>156.941</v>
      </c>
      <c r="FT79" s="21" t="n">
        <v>124.282</v>
      </c>
      <c r="FU79" s="21" t="n">
        <v>111.983</v>
      </c>
      <c r="FV79" s="21" t="n">
        <v>185.543</v>
      </c>
      <c r="FW79" s="21" t="n">
        <v>153.739</v>
      </c>
      <c r="FX79" s="21" t="n">
        <v>183.072</v>
      </c>
      <c r="FY79" s="21" t="n">
        <v>233.169</v>
      </c>
      <c r="FZ79" s="21" t="n">
        <v>231.308</v>
      </c>
      <c r="GA79" s="21" t="n">
        <v>117.608</v>
      </c>
      <c r="GB79" s="21" t="n">
        <v>154.225</v>
      </c>
      <c r="GC79" s="21" t="n">
        <v>107.217</v>
      </c>
      <c r="GD79" s="21" t="n">
        <v>149.633</v>
      </c>
      <c r="GE79" s="21" t="n">
        <v>164.726</v>
      </c>
      <c r="GF79" s="21" t="n"/>
      <c r="GG79" s="21" t="n">
        <v>194.846</v>
      </c>
      <c r="GH79" s="21" t="n"/>
      <c r="GI79" s="21" t="n">
        <v>217.929</v>
      </c>
      <c r="GJ79" s="21" t="n">
        <v>257.516</v>
      </c>
      <c r="GK79" s="21" t="n">
        <v>256.305</v>
      </c>
      <c r="GL79" s="21" t="n">
        <v>251.048</v>
      </c>
      <c r="GM79" s="21" t="n">
        <v>277.526</v>
      </c>
      <c r="GN79" s="21" t="n">
        <v>271.515</v>
      </c>
      <c r="GO79" s="21" t="n">
        <v>238.688</v>
      </c>
      <c r="GP79" s="21" t="n">
        <v>152.863</v>
      </c>
      <c r="GQ79" s="21" t="n">
        <v>130.529</v>
      </c>
      <c r="GR79" s="21" t="n">
        <v>315.209</v>
      </c>
      <c r="GS79" s="21" t="n">
        <v>191.865</v>
      </c>
      <c r="GT79" s="21" t="n">
        <v>569.789</v>
      </c>
      <c r="GU79" s="21" t="n">
        <v>216.216</v>
      </c>
      <c r="GV79" s="21" t="n">
        <v>248.579</v>
      </c>
      <c r="GW79" s="21" t="n">
        <v>246.22</v>
      </c>
      <c r="GX79" s="21" t="n">
        <v>241.989</v>
      </c>
      <c r="GY79" s="21" t="n">
        <v>165.181</v>
      </c>
      <c r="GZ79" s="21" t="n"/>
      <c r="HA79" s="21" t="n">
        <v>66.43000000000001</v>
      </c>
      <c r="HB79" s="21" t="n">
        <v>523.099</v>
      </c>
      <c r="HC79" s="21" t="n">
        <v>375.697</v>
      </c>
      <c r="HD79" s="21" t="n">
        <v>123.225</v>
      </c>
      <c r="HE79" s="21" t="n">
        <v>519.861</v>
      </c>
      <c r="HF79" s="21" t="n">
        <v>95.69</v>
      </c>
      <c r="HG79" s="21" t="n">
        <v>570.655</v>
      </c>
      <c r="HH79" s="21" t="n">
        <v>401.227</v>
      </c>
      <c r="HI79" s="21" t="n">
        <v>406.812</v>
      </c>
      <c r="HJ79" s="21" t="n">
        <v>520.101</v>
      </c>
      <c r="HK79" s="21" t="n">
        <v>192.457</v>
      </c>
      <c r="HL79" s="21" t="n">
        <v>247.745</v>
      </c>
      <c r="HM79" s="21" t="n">
        <v>85.914</v>
      </c>
      <c r="HN79" s="21" t="n">
        <v>361.384</v>
      </c>
      <c r="HO79" s="21" t="n">
        <v>349.254</v>
      </c>
      <c r="HP79" s="21" t="n">
        <v>788.0069999999999</v>
      </c>
      <c r="HQ79" s="21" t="n">
        <v>249.493</v>
      </c>
      <c r="HR79" s="21" t="n">
        <v>124.894</v>
      </c>
      <c r="HS79" s="21" t="n">
        <v>110.396</v>
      </c>
      <c r="HT79" s="21" t="n">
        <v>142.205</v>
      </c>
      <c r="HU79" s="21" t="n">
        <v>520.769</v>
      </c>
      <c r="HV79" s="21" t="n">
        <v>122.867</v>
      </c>
      <c r="HW79" s="21" t="n">
        <v>25.263</v>
      </c>
      <c r="HX79" s="21" t="n">
        <v>183.973</v>
      </c>
      <c r="HY79" s="21" t="n">
        <v>202.727</v>
      </c>
      <c r="HZ79" s="21" t="n">
        <v>155.513</v>
      </c>
      <c r="IA79" s="21" t="n">
        <v>115.017</v>
      </c>
      <c r="IB79" s="21" t="n">
        <v>273.957</v>
      </c>
      <c r="IC79" s="21" t="n">
        <v>209.635</v>
      </c>
      <c r="ID79" s="21" t="n">
        <v>290.147</v>
      </c>
      <c r="IE79" s="21" t="n">
        <v>120.742</v>
      </c>
      <c r="IF79" s="21" t="n">
        <v>168.646</v>
      </c>
      <c r="IG79" s="21" t="n">
        <v>80.991</v>
      </c>
      <c r="IH79" s="21" t="n">
        <v>76.697</v>
      </c>
      <c r="II79" s="21" t="n">
        <v>57.993</v>
      </c>
      <c r="IJ79" s="21" t="n">
        <v>24.421</v>
      </c>
      <c r="IK79" s="21" t="n">
        <v>33.555</v>
      </c>
      <c r="IL79" s="21" t="n">
        <v>29.029</v>
      </c>
      <c r="IM79" s="21" t="n">
        <v>37.075</v>
      </c>
      <c r="IN79" s="21" t="n">
        <v>103.053</v>
      </c>
      <c r="IO79" s="21" t="n">
        <v>106.141</v>
      </c>
      <c r="IP79" s="21" t="n">
        <v>175.872</v>
      </c>
      <c r="IQ79" s="21" t="n">
        <v>145.823</v>
      </c>
      <c r="IR79" s="21" t="n">
        <v>394.897</v>
      </c>
      <c r="IS79" s="21" t="n">
        <v>193.83</v>
      </c>
      <c r="IT79" s="21" t="n">
        <v>223.214</v>
      </c>
      <c r="IU79" s="21" t="n">
        <v>342.809</v>
      </c>
      <c r="IV79" s="21" t="n">
        <v>270.474</v>
      </c>
      <c r="IW79" s="21" t="n">
        <v>142.424</v>
      </c>
      <c r="IX79" s="21" t="n">
        <v>274.221</v>
      </c>
      <c r="IY79" s="21" t="n">
        <v>691.804</v>
      </c>
      <c r="IZ79" s="21" t="n">
        <v>787.514</v>
      </c>
      <c r="JA79" s="21" t="n">
        <v>883.248</v>
      </c>
      <c r="JB79" s="21" t="n">
        <v>87.036</v>
      </c>
      <c r="JC79" s="21" t="n">
        <v>317.16</v>
      </c>
      <c r="JD79" s="21" t="n">
        <v>262.313</v>
      </c>
      <c r="JE79" s="21" t="n">
        <v>75.753</v>
      </c>
      <c r="JF79" s="21" t="n">
        <v>209.589</v>
      </c>
      <c r="JG79" s="21" t="n">
        <v>329.585</v>
      </c>
      <c r="JH79" s="21" t="n">
        <v>340.2</v>
      </c>
      <c r="JI79" s="21" t="n">
        <v>71.536</v>
      </c>
      <c r="JJ79" s="21" t="n">
        <v>109.196</v>
      </c>
      <c r="JK79" s="21" t="n">
        <v>39.662</v>
      </c>
      <c r="JL79" s="21" t="n">
        <v>78.842</v>
      </c>
      <c r="JM79" s="21" t="n">
        <v>153.383</v>
      </c>
      <c r="JN79" s="21" t="n">
        <v>473.371</v>
      </c>
      <c r="JO79" s="21" t="n">
        <v>78.667</v>
      </c>
      <c r="JP79" s="21" t="n">
        <v>514.294</v>
      </c>
      <c r="JQ79" s="21" t="n">
        <v>241.686</v>
      </c>
      <c r="JR79" s="21" t="n">
        <v>159.631</v>
      </c>
      <c r="JS79" s="21" t="n">
        <v>462.991</v>
      </c>
      <c r="JT79" s="21" t="n">
        <v>371.157</v>
      </c>
      <c r="JU79" s="21" t="n">
        <v>348.793</v>
      </c>
      <c r="JV79" s="21" t="n">
        <v>185.87</v>
      </c>
      <c r="JW79" s="21" t="n">
        <v>371.227</v>
      </c>
      <c r="JX79" s="21" t="n">
        <v>267.042</v>
      </c>
      <c r="JY79" s="21" t="n">
        <v>76.301</v>
      </c>
      <c r="JZ79" s="21" t="n">
        <v>160.739</v>
      </c>
      <c r="KA79" s="21" t="n">
        <v>258.534</v>
      </c>
      <c r="KB79" s="21" t="n">
        <v>276.648</v>
      </c>
      <c r="KC79" s="21" t="n">
        <v>269.802</v>
      </c>
      <c r="KD79" s="21" t="n">
        <v>277.651</v>
      </c>
      <c r="KE79" s="21" t="n">
        <v>248.978</v>
      </c>
      <c r="KF79" s="21" t="n">
        <v>241.959</v>
      </c>
      <c r="KG79" s="21" t="n">
        <v>246.38</v>
      </c>
      <c r="KH79" s="21" t="n">
        <v>247.685</v>
      </c>
      <c r="KI79" s="21" t="n">
        <v>112.826</v>
      </c>
      <c r="KJ79" s="21" t="n">
        <v>198.942</v>
      </c>
      <c r="KK79" s="21" t="n">
        <v>164.666</v>
      </c>
      <c r="KL79" s="21" t="n">
        <v>161.239</v>
      </c>
      <c r="KM79" s="21" t="n">
        <v>154.821</v>
      </c>
      <c r="KN79" s="21" t="n">
        <v>149.233</v>
      </c>
      <c r="KO79" s="21" t="n">
        <v>266.106</v>
      </c>
      <c r="KP79" s="21" t="n">
        <v>118.657</v>
      </c>
      <c r="KQ79" s="21" t="n">
        <v>68.35899999999999</v>
      </c>
      <c r="KR79" s="21" t="n">
        <v>115.451</v>
      </c>
      <c r="KS79" s="21" t="n">
        <v>233.603</v>
      </c>
      <c r="KT79" s="21" t="n">
        <v>261.672</v>
      </c>
      <c r="KU79" s="21" t="n">
        <v>95.05200000000001</v>
      </c>
      <c r="KV79" s="21" t="n">
        <v>48.312</v>
      </c>
      <c r="KW79" s="21" t="n">
        <v>238.098</v>
      </c>
      <c r="KX79" s="21" t="n">
        <v>206.701</v>
      </c>
      <c r="KY79" s="21" t="n">
        <v>257.822</v>
      </c>
      <c r="KZ79" s="21" t="n">
        <v>203.261</v>
      </c>
      <c r="LA79" s="21" t="n">
        <v>258.808</v>
      </c>
      <c r="LB79" s="21" t="n">
        <v>119.756</v>
      </c>
      <c r="LC79" s="21" t="n">
        <v>374.899</v>
      </c>
      <c r="LD79" s="21" t="n">
        <v>80.721</v>
      </c>
      <c r="LE79" s="21" t="n">
        <v>130.343</v>
      </c>
      <c r="LF79" s="21" t="n">
        <v>348.255</v>
      </c>
      <c r="LG79" s="21" t="n">
        <v>341.153</v>
      </c>
      <c r="LH79" s="21" t="n">
        <v>353.72</v>
      </c>
      <c r="LI79" s="21" t="n">
        <v>323.97</v>
      </c>
      <c r="LJ79" s="21" t="n">
        <v>359.801</v>
      </c>
      <c r="LK79" s="21" t="n">
        <v>123.969</v>
      </c>
      <c r="LL79" s="21" t="n">
        <v>331.595</v>
      </c>
      <c r="LM79" s="21" t="n">
        <v>228.819</v>
      </c>
      <c r="LN79" s="21" t="n">
        <v>37.321</v>
      </c>
      <c r="LO79" s="21" t="n">
        <v>136.925</v>
      </c>
    </row>
    <row r="80">
      <c r="A80" s="22" t="n">
        <v>44378</v>
      </c>
      <c r="B80" s="21" t="n">
        <v>271.903</v>
      </c>
      <c r="C80" s="21" t="n">
        <v>276.895</v>
      </c>
      <c r="D80" s="21" t="n">
        <v>277.813</v>
      </c>
      <c r="E80" s="21" t="n">
        <v>258.491</v>
      </c>
      <c r="F80" s="21" t="n">
        <v>288.593</v>
      </c>
      <c r="G80" s="21" t="n">
        <v>233.697</v>
      </c>
      <c r="H80" s="21" t="n">
        <v>240.75</v>
      </c>
      <c r="I80" s="21" t="n">
        <v>229.959</v>
      </c>
      <c r="J80" s="21" t="n">
        <v>244.606</v>
      </c>
      <c r="K80" s="21" t="n">
        <v>320.386</v>
      </c>
      <c r="L80" s="21" t="n">
        <v>193.094</v>
      </c>
      <c r="M80" s="21" t="n">
        <v>188.868</v>
      </c>
      <c r="N80" s="21" t="n">
        <v>304.215</v>
      </c>
      <c r="O80" s="21" t="n">
        <v>282.886</v>
      </c>
      <c r="P80" s="21" t="n">
        <v>283.969</v>
      </c>
      <c r="Q80" s="21" t="n">
        <v>330.388</v>
      </c>
      <c r="R80" s="21" t="n">
        <v>274.511</v>
      </c>
      <c r="S80" s="21" t="n">
        <v>285.357</v>
      </c>
      <c r="T80" s="21" t="n">
        <v>289.652</v>
      </c>
      <c r="U80" s="21" t="n">
        <v>297.268</v>
      </c>
      <c r="V80" s="21" t="n">
        <v>371.89</v>
      </c>
      <c r="W80" s="21" t="n">
        <v>307.96</v>
      </c>
      <c r="X80" s="21" t="n">
        <v>296.158</v>
      </c>
      <c r="Y80" s="21" t="n">
        <v>256.63</v>
      </c>
      <c r="Z80" s="21" t="n">
        <v>247.387</v>
      </c>
      <c r="AA80" s="21" t="n">
        <v>182.977</v>
      </c>
      <c r="AB80" s="21" t="n">
        <v>352.042</v>
      </c>
      <c r="AC80" s="21" t="n">
        <v>159.122</v>
      </c>
      <c r="AD80" s="21" t="n">
        <v>221.409</v>
      </c>
      <c r="AE80" s="21" t="n">
        <v>248.332</v>
      </c>
      <c r="AF80" s="21" t="n">
        <v>228.531</v>
      </c>
      <c r="AG80" s="21" t="n">
        <v>163.539</v>
      </c>
      <c r="AH80" s="21" t="n">
        <v>241.554</v>
      </c>
      <c r="AI80" s="21" t="n">
        <v>261.305</v>
      </c>
      <c r="AJ80" s="21" t="n">
        <v>153.08</v>
      </c>
      <c r="AK80" s="21" t="n">
        <v>257.962</v>
      </c>
      <c r="AL80" s="21" t="n">
        <v>165.779</v>
      </c>
      <c r="AM80" s="21" t="n">
        <v>269.897</v>
      </c>
      <c r="AN80" s="21" t="n">
        <v>248.911</v>
      </c>
      <c r="AO80" s="21" t="n">
        <v>168.579</v>
      </c>
      <c r="AP80" s="21" t="n">
        <v>329.386</v>
      </c>
      <c r="AQ80" s="21" t="n">
        <v>209.217</v>
      </c>
      <c r="AR80" s="21" t="n">
        <v>160.502</v>
      </c>
      <c r="AS80" s="21" t="n">
        <v>228.117</v>
      </c>
      <c r="AT80" s="21" t="n">
        <v>338.573</v>
      </c>
      <c r="AU80" s="21" t="n">
        <v>229.106</v>
      </c>
      <c r="AV80" s="21" t="n">
        <v>231.233</v>
      </c>
      <c r="AW80" s="21" t="n">
        <v>155.057</v>
      </c>
      <c r="AX80" s="21" t="n">
        <v>226.418</v>
      </c>
      <c r="AY80" s="21" t="n">
        <v>158.394</v>
      </c>
      <c r="AZ80" s="21" t="n">
        <v>238.678</v>
      </c>
      <c r="BA80" s="21" t="n">
        <v>233.468</v>
      </c>
      <c r="BB80" s="21" t="n">
        <v>152.371</v>
      </c>
      <c r="BC80" s="21" t="n">
        <v>313.566</v>
      </c>
      <c r="BD80" s="21" t="n">
        <v>362.557</v>
      </c>
      <c r="BE80" s="21" t="n">
        <v>375.293</v>
      </c>
      <c r="BF80" s="21" t="n">
        <v>340.333</v>
      </c>
      <c r="BG80" s="21" t="n">
        <v>195.118</v>
      </c>
      <c r="BH80" s="21" t="n">
        <v>267.651</v>
      </c>
      <c r="BI80" s="21" t="n">
        <v>512.491</v>
      </c>
      <c r="BJ80" s="21" t="n">
        <v>126.903</v>
      </c>
      <c r="BK80" s="21" t="n">
        <v>347.885</v>
      </c>
      <c r="BL80" s="21" t="n">
        <v>371.548</v>
      </c>
      <c r="BM80" s="21" t="n">
        <v>350.581</v>
      </c>
      <c r="BN80" s="21" t="n">
        <v>353.785</v>
      </c>
      <c r="BO80" s="21" t="n">
        <v>343.842</v>
      </c>
      <c r="BP80" s="21" t="n">
        <v>165.729</v>
      </c>
      <c r="BQ80" s="21" t="n">
        <v>174.748</v>
      </c>
      <c r="BR80" s="21" t="n">
        <v>167.906</v>
      </c>
      <c r="BS80" s="21" t="n">
        <v>187.208</v>
      </c>
      <c r="BT80" s="21" t="n">
        <v>153.128</v>
      </c>
      <c r="BU80" s="21" t="n">
        <v>206.931</v>
      </c>
      <c r="BV80" s="21" t="n">
        <v>159.068</v>
      </c>
      <c r="BW80" s="21" t="n">
        <v>180.705</v>
      </c>
      <c r="BX80" s="21" t="n">
        <v>142.787</v>
      </c>
      <c r="BY80" s="21" t="n">
        <v>184.344</v>
      </c>
      <c r="BZ80" s="21" t="n">
        <v>127.812</v>
      </c>
      <c r="CA80" s="21" t="n">
        <v>119.37</v>
      </c>
      <c r="CB80" s="21" t="n">
        <v>195.333</v>
      </c>
      <c r="CC80" s="21" t="n">
        <v>204.578</v>
      </c>
      <c r="CD80" s="21" t="n">
        <v>136.74</v>
      </c>
      <c r="CE80" s="21" t="n">
        <v>221.187</v>
      </c>
      <c r="CF80" s="21" t="n">
        <v>234.267</v>
      </c>
      <c r="CG80" s="21" t="n">
        <v>208.127</v>
      </c>
      <c r="CH80" s="21" t="n">
        <v>159.413</v>
      </c>
      <c r="CI80" s="21" t="n">
        <v>160.15</v>
      </c>
      <c r="CJ80" s="21" t="n">
        <v>239.632</v>
      </c>
      <c r="CK80" s="21" t="n">
        <v>210.87</v>
      </c>
      <c r="CL80" s="21" t="n">
        <v>248.862</v>
      </c>
      <c r="CM80" s="21" t="n">
        <v>314.718</v>
      </c>
      <c r="CN80" s="21" t="n">
        <v>136.617</v>
      </c>
      <c r="CO80" s="21" t="n">
        <v>168.301</v>
      </c>
      <c r="CP80" s="21" t="n">
        <v>235.04</v>
      </c>
      <c r="CQ80" s="21" t="n">
        <v>252.893</v>
      </c>
      <c r="CR80" s="21" t="n">
        <v>175.002</v>
      </c>
      <c r="CS80" s="21" t="n">
        <v>258.95</v>
      </c>
      <c r="CT80" s="21" t="n">
        <v>251.988</v>
      </c>
      <c r="CU80" s="21" t="n">
        <v>160.503</v>
      </c>
      <c r="CV80" s="21" t="n">
        <v>149.402</v>
      </c>
      <c r="CW80" s="21" t="n">
        <v>145.728</v>
      </c>
      <c r="CX80" s="21" t="n">
        <v>280.151</v>
      </c>
      <c r="CY80" s="21" t="n">
        <v>140.354</v>
      </c>
      <c r="CZ80" s="21" t="n">
        <v>134.955</v>
      </c>
      <c r="DA80" s="21" t="n">
        <v>308.023</v>
      </c>
      <c r="DB80" s="21" t="n">
        <v>189.862</v>
      </c>
      <c r="DC80" s="21" t="n">
        <v>121.861</v>
      </c>
      <c r="DD80" s="21" t="n"/>
      <c r="DE80" s="21" t="n">
        <v>206.436</v>
      </c>
      <c r="DF80" s="21" t="n">
        <v>263.226</v>
      </c>
      <c r="DG80" s="21" t="n">
        <v>213.004</v>
      </c>
      <c r="DH80" s="21" t="n">
        <v>243.653</v>
      </c>
      <c r="DI80" s="21" t="n">
        <v>202.202</v>
      </c>
      <c r="DJ80" s="21" t="n">
        <v>211.943</v>
      </c>
      <c r="DK80" s="21" t="n">
        <v>199.686</v>
      </c>
      <c r="DL80" s="21" t="n">
        <v>174.265</v>
      </c>
      <c r="DM80" s="21" t="n">
        <v>373.331</v>
      </c>
      <c r="DN80" s="21" t="n">
        <v>207.504</v>
      </c>
      <c r="DO80" s="21" t="n">
        <v>281.084</v>
      </c>
      <c r="DP80" s="21" t="n">
        <v>335.446</v>
      </c>
      <c r="DQ80" s="21" t="n">
        <v>348.853</v>
      </c>
      <c r="DR80" s="21" t="n">
        <v>177.521</v>
      </c>
      <c r="DS80" s="21" t="n">
        <v>588.255</v>
      </c>
      <c r="DT80" s="21" t="n">
        <v>364.034</v>
      </c>
      <c r="DU80" s="21" t="n">
        <v>343.51</v>
      </c>
      <c r="DV80" s="21" t="n">
        <v>343.525</v>
      </c>
      <c r="DW80" s="21" t="n">
        <v>260.227</v>
      </c>
      <c r="DX80" s="21" t="n">
        <v>214.819</v>
      </c>
      <c r="DY80" s="21" t="n">
        <v>300.269</v>
      </c>
      <c r="DZ80" s="21" t="n">
        <v>285.011</v>
      </c>
      <c r="EA80" s="21" t="n">
        <v>385.162</v>
      </c>
      <c r="EB80" s="21" t="n">
        <v>218.522</v>
      </c>
      <c r="EC80" s="21" t="n">
        <v>223.296</v>
      </c>
      <c r="ED80" s="21" t="n">
        <v>200.485</v>
      </c>
      <c r="EE80" s="21" t="n">
        <v>261.706</v>
      </c>
      <c r="EF80" s="21" t="n">
        <v>605.224</v>
      </c>
      <c r="EG80" s="21" t="n">
        <v>521.1849999999999</v>
      </c>
      <c r="EH80" s="21" t="n">
        <v>130.855</v>
      </c>
      <c r="EI80" s="21" t="n">
        <v>57.279</v>
      </c>
      <c r="EJ80" s="21" t="n">
        <v>62.236</v>
      </c>
      <c r="EK80" s="21" t="n">
        <v>43.152</v>
      </c>
      <c r="EL80" s="21" t="n">
        <v>122.111</v>
      </c>
      <c r="EM80" s="21" t="n">
        <v>76.89100000000001</v>
      </c>
      <c r="EN80" s="21" t="n">
        <v>84.096</v>
      </c>
      <c r="EO80" s="21" t="n">
        <v>98.17700000000001</v>
      </c>
      <c r="EP80" s="21" t="n">
        <v>118.116</v>
      </c>
      <c r="EQ80" s="21" t="n">
        <v>69.485</v>
      </c>
      <c r="ER80" s="21" t="n">
        <v>51.372</v>
      </c>
      <c r="ES80" s="21" t="n">
        <v>139.871</v>
      </c>
      <c r="ET80" s="21" t="n">
        <v>80.486</v>
      </c>
      <c r="EU80" s="21" t="n">
        <v>95.124</v>
      </c>
      <c r="EV80" s="21" t="n">
        <v>104.403</v>
      </c>
      <c r="EW80" s="21" t="n">
        <v>90.986</v>
      </c>
      <c r="EX80" s="21" t="n">
        <v>199.611</v>
      </c>
      <c r="EY80" s="21" t="n">
        <v>127.031</v>
      </c>
      <c r="EZ80" s="21" t="n">
        <v>120.436</v>
      </c>
      <c r="FA80" s="21" t="n">
        <v>194.621</v>
      </c>
      <c r="FB80" s="21" t="n">
        <v>121.319</v>
      </c>
      <c r="FC80" s="21" t="n">
        <v>115.445</v>
      </c>
      <c r="FD80" s="21" t="n">
        <v>117.48</v>
      </c>
      <c r="FE80" s="21" t="n">
        <v>88.407</v>
      </c>
      <c r="FF80" s="21" t="n">
        <v>165.58</v>
      </c>
      <c r="FG80" s="21" t="n">
        <v>70.479</v>
      </c>
      <c r="FH80" s="21" t="n">
        <v>126.453</v>
      </c>
      <c r="FI80" s="21" t="n">
        <v>105.456</v>
      </c>
      <c r="FJ80" s="21" t="n">
        <v>101.816</v>
      </c>
      <c r="FK80" s="21" t="n">
        <v>102.566</v>
      </c>
      <c r="FL80" s="21" t="n">
        <v>93.738</v>
      </c>
      <c r="FM80" s="21" t="n">
        <v>104.317</v>
      </c>
      <c r="FN80" s="21" t="n">
        <v>70.015</v>
      </c>
      <c r="FO80" s="21" t="n">
        <v>102.508</v>
      </c>
      <c r="FP80" s="21" t="n">
        <v>97.69799999999999</v>
      </c>
      <c r="FQ80" s="21" t="n">
        <v>138.098</v>
      </c>
      <c r="FR80" s="21" t="n">
        <v>143.701</v>
      </c>
      <c r="FS80" s="21" t="n">
        <v>154.073</v>
      </c>
      <c r="FT80" s="21" t="n">
        <v>125.009</v>
      </c>
      <c r="FU80" s="21" t="n">
        <v>112.747</v>
      </c>
      <c r="FV80" s="21" t="n">
        <v>184.818</v>
      </c>
      <c r="FW80" s="21" t="n">
        <v>152.476</v>
      </c>
      <c r="FX80" s="21" t="n">
        <v>182.434</v>
      </c>
      <c r="FY80" s="21" t="n">
        <v>234.485</v>
      </c>
      <c r="FZ80" s="21" t="n">
        <v>232.566</v>
      </c>
      <c r="GA80" s="21" t="n">
        <v>117.78</v>
      </c>
      <c r="GB80" s="21" t="n">
        <v>156.407</v>
      </c>
      <c r="GC80" s="21" t="n">
        <v>108.826</v>
      </c>
      <c r="GD80" s="21" t="n">
        <v>151.77</v>
      </c>
      <c r="GE80" s="21" t="n">
        <v>166.941</v>
      </c>
      <c r="GF80" s="21" t="n"/>
      <c r="GG80" s="21" t="n">
        <v>193.734</v>
      </c>
      <c r="GH80" s="21" t="n"/>
      <c r="GI80" s="21" t="n">
        <v>211.341</v>
      </c>
      <c r="GJ80" s="21" t="n">
        <v>261.656</v>
      </c>
      <c r="GK80" s="21" t="n">
        <v>260.515</v>
      </c>
      <c r="GL80" s="21" t="n">
        <v>255.08</v>
      </c>
      <c r="GM80" s="21" t="n">
        <v>281.921</v>
      </c>
      <c r="GN80" s="21" t="n">
        <v>276.666</v>
      </c>
      <c r="GO80" s="21" t="n">
        <v>243.157</v>
      </c>
      <c r="GP80" s="21" t="n">
        <v>154.484</v>
      </c>
      <c r="GQ80" s="21" t="n">
        <v>131.545</v>
      </c>
      <c r="GR80" s="21" t="n">
        <v>318.031</v>
      </c>
      <c r="GS80" s="21" t="n">
        <v>195.676</v>
      </c>
      <c r="GT80" s="21" t="n">
        <v>568.918</v>
      </c>
      <c r="GU80" s="21" t="n">
        <v>217.872</v>
      </c>
      <c r="GV80" s="21" t="n">
        <v>250.272</v>
      </c>
      <c r="GW80" s="21" t="n">
        <v>248.268</v>
      </c>
      <c r="GX80" s="21" t="n">
        <v>243.685</v>
      </c>
      <c r="GY80" s="21" t="n">
        <v>162.973</v>
      </c>
      <c r="GZ80" s="21" t="n"/>
      <c r="HA80" s="21" t="n">
        <v>66.232</v>
      </c>
      <c r="HB80" s="21" t="n">
        <v>524.307</v>
      </c>
      <c r="HC80" s="21" t="n">
        <v>376.323</v>
      </c>
      <c r="HD80" s="21" t="n">
        <v>123.433</v>
      </c>
      <c r="HE80" s="21" t="n">
        <v>519.957</v>
      </c>
      <c r="HF80" s="21" t="n">
        <v>95.97199999999999</v>
      </c>
      <c r="HG80" s="21" t="n">
        <v>572.051</v>
      </c>
      <c r="HH80" s="21" t="n">
        <v>402.687</v>
      </c>
      <c r="HI80" s="21" t="n">
        <v>408.445</v>
      </c>
      <c r="HJ80" s="21" t="n">
        <v>522.7</v>
      </c>
      <c r="HK80" s="21" t="n">
        <v>192.923</v>
      </c>
      <c r="HL80" s="21" t="n">
        <v>247.804</v>
      </c>
      <c r="HM80" s="21" t="n">
        <v>86.32599999999999</v>
      </c>
      <c r="HN80" s="21" t="n">
        <v>363.254</v>
      </c>
      <c r="HO80" s="21" t="n">
        <v>351.345</v>
      </c>
      <c r="HP80" s="21" t="n">
        <v>790.199</v>
      </c>
      <c r="HQ80" s="21" t="n">
        <v>249.876</v>
      </c>
      <c r="HR80" s="21" t="n">
        <v>125.634</v>
      </c>
      <c r="HS80" s="21" t="n">
        <v>111.083</v>
      </c>
      <c r="HT80" s="21" t="n">
        <v>144.054</v>
      </c>
      <c r="HU80" s="21" t="n">
        <v>524.1559999999999</v>
      </c>
      <c r="HV80" s="21" t="n">
        <v>122.106</v>
      </c>
      <c r="HW80" s="21" t="n">
        <v>25.413</v>
      </c>
      <c r="HX80" s="21" t="n">
        <v>185.173</v>
      </c>
      <c r="HY80" s="21" t="n">
        <v>205.637</v>
      </c>
      <c r="HZ80" s="21" t="n">
        <v>156.406</v>
      </c>
      <c r="IA80" s="21" t="n">
        <v>118.585</v>
      </c>
      <c r="IB80" s="21" t="n">
        <v>273.382</v>
      </c>
      <c r="IC80" s="21" t="n">
        <v>211.99</v>
      </c>
      <c r="ID80" s="21" t="n">
        <v>287.732</v>
      </c>
      <c r="IE80" s="21" t="n">
        <v>120.636</v>
      </c>
      <c r="IF80" s="21" t="n">
        <v>167.529</v>
      </c>
      <c r="IG80" s="21" t="n">
        <v>81.672</v>
      </c>
      <c r="IH80" s="21" t="n">
        <v>77.59699999999999</v>
      </c>
      <c r="II80" s="21" t="n">
        <v>58.835</v>
      </c>
      <c r="IJ80" s="21" t="n">
        <v>24.745</v>
      </c>
      <c r="IK80" s="21" t="n">
        <v>33.539</v>
      </c>
      <c r="IL80" s="21" t="n">
        <v>29.081</v>
      </c>
      <c r="IM80" s="21" t="n">
        <v>37.339</v>
      </c>
      <c r="IN80" s="21" t="n">
        <v>100.908</v>
      </c>
      <c r="IO80" s="21" t="n">
        <v>105.834</v>
      </c>
      <c r="IP80" s="21" t="n">
        <v>177.334</v>
      </c>
      <c r="IQ80" s="21" t="n">
        <v>146.419</v>
      </c>
      <c r="IR80" s="21" t="n">
        <v>400.229</v>
      </c>
      <c r="IS80" s="21" t="n">
        <v>197.176</v>
      </c>
      <c r="IT80" s="21" t="n">
        <v>226.134</v>
      </c>
      <c r="IU80" s="21" t="n">
        <v>343.407</v>
      </c>
      <c r="IV80" s="21" t="n">
        <v>272.834</v>
      </c>
      <c r="IW80" s="21" t="n">
        <v>142.634</v>
      </c>
      <c r="IX80" s="21" t="n">
        <v>274.871</v>
      </c>
      <c r="IY80" s="21" t="n">
        <v>695.36</v>
      </c>
      <c r="IZ80" s="21" t="n">
        <v>789.299</v>
      </c>
      <c r="JA80" s="21" t="n">
        <v>884.301</v>
      </c>
      <c r="JB80" s="21" t="n">
        <v>87.205</v>
      </c>
      <c r="JC80" s="21" t="n">
        <v>318.57</v>
      </c>
      <c r="JD80" s="21" t="n">
        <v>263.339</v>
      </c>
      <c r="JE80" s="21" t="n">
        <v>75.81100000000001</v>
      </c>
      <c r="JF80" s="21" t="n">
        <v>210.827</v>
      </c>
      <c r="JG80" s="21" t="n">
        <v>331.446</v>
      </c>
      <c r="JH80" s="21" t="n">
        <v>343.108</v>
      </c>
      <c r="JI80" s="21" t="n">
        <v>71.57899999999999</v>
      </c>
      <c r="JJ80" s="21" t="n">
        <v>109.52</v>
      </c>
      <c r="JK80" s="21" t="n">
        <v>40.135</v>
      </c>
      <c r="JL80" s="21" t="n">
        <v>78.889</v>
      </c>
      <c r="JM80" s="21" t="n">
        <v>152.79</v>
      </c>
      <c r="JN80" s="21" t="n">
        <v>476.66</v>
      </c>
      <c r="JO80" s="21" t="n">
        <v>79.026</v>
      </c>
      <c r="JP80" s="21" t="n">
        <v>516.725</v>
      </c>
      <c r="JQ80" s="21" t="n">
        <v>243.507</v>
      </c>
      <c r="JR80" s="21" t="n">
        <v>158.964</v>
      </c>
      <c r="JS80" s="21" t="n">
        <v>465.255</v>
      </c>
      <c r="JT80" s="21" t="n">
        <v>371.157</v>
      </c>
      <c r="JU80" s="21" t="n">
        <v>348.509</v>
      </c>
      <c r="JV80" s="21" t="n">
        <v>187.672</v>
      </c>
      <c r="JW80" s="21" t="n">
        <v>374.833</v>
      </c>
      <c r="JX80" s="21" t="n">
        <v>270.068</v>
      </c>
      <c r="JY80" s="21" t="n">
        <v>77.56999999999999</v>
      </c>
      <c r="JZ80" s="21" t="n">
        <v>163.437</v>
      </c>
      <c r="KA80" s="21" t="n">
        <v>259.784</v>
      </c>
      <c r="KB80" s="21" t="n">
        <v>277.765</v>
      </c>
      <c r="KC80" s="21" t="n">
        <v>270.962</v>
      </c>
      <c r="KD80" s="21" t="n">
        <v>278.648</v>
      </c>
      <c r="KE80" s="21" t="n">
        <v>250.102</v>
      </c>
      <c r="KF80" s="21" t="n">
        <v>242.922</v>
      </c>
      <c r="KG80" s="21" t="n">
        <v>247.05</v>
      </c>
      <c r="KH80" s="21" t="n">
        <v>248.526</v>
      </c>
      <c r="KI80" s="21" t="n">
        <v>112.954</v>
      </c>
      <c r="KJ80" s="21" t="n">
        <v>200.043</v>
      </c>
      <c r="KK80" s="21" t="n">
        <v>165.48</v>
      </c>
      <c r="KL80" s="21" t="n">
        <v>162.062</v>
      </c>
      <c r="KM80" s="21" t="n">
        <v>155.288</v>
      </c>
      <c r="KN80" s="21" t="n">
        <v>149.94</v>
      </c>
      <c r="KO80" s="21" t="n">
        <v>267.797</v>
      </c>
      <c r="KP80" s="21" t="n">
        <v>119.362</v>
      </c>
      <c r="KQ80" s="21" t="n">
        <v>68.88200000000001</v>
      </c>
      <c r="KR80" s="21" t="n">
        <v>115.565</v>
      </c>
      <c r="KS80" s="21" t="n">
        <v>236.488</v>
      </c>
      <c r="KT80" s="21" t="n">
        <v>265.699</v>
      </c>
      <c r="KU80" s="21" t="n">
        <v>95.155</v>
      </c>
      <c r="KV80" s="21" t="n">
        <v>48.715</v>
      </c>
      <c r="KW80" s="21" t="n">
        <v>239.865</v>
      </c>
      <c r="KX80" s="21" t="n">
        <v>208.058</v>
      </c>
      <c r="KY80" s="21" t="n">
        <v>259.832</v>
      </c>
      <c r="KZ80" s="21" t="n">
        <v>204.651</v>
      </c>
      <c r="LA80" s="21" t="n">
        <v>260.951</v>
      </c>
      <c r="LB80" s="21" t="n">
        <v>120.024</v>
      </c>
      <c r="LC80" s="21" t="n">
        <v>376.482</v>
      </c>
      <c r="LD80" s="21" t="n">
        <v>81.15300000000001</v>
      </c>
      <c r="LE80" s="21" t="n">
        <v>131.154</v>
      </c>
      <c r="LF80" s="21" t="n">
        <v>349.965</v>
      </c>
      <c r="LG80" s="21" t="n">
        <v>342.553</v>
      </c>
      <c r="LH80" s="21" t="n">
        <v>355.085</v>
      </c>
      <c r="LI80" s="21" t="n">
        <v>325.032</v>
      </c>
      <c r="LJ80" s="21" t="n">
        <v>360.518</v>
      </c>
      <c r="LK80" s="21" t="n">
        <v>124.613</v>
      </c>
      <c r="LL80" s="21" t="n">
        <v>331.279</v>
      </c>
      <c r="LM80" s="21" t="n">
        <v>229.82</v>
      </c>
      <c r="LN80" s="21" t="n">
        <v>37.475</v>
      </c>
      <c r="LO80" s="21" t="n">
        <v>137.837</v>
      </c>
    </row>
    <row r="81">
      <c r="A81" s="22" t="n">
        <v>44409</v>
      </c>
      <c r="B81" s="21" t="n">
        <v>272.676</v>
      </c>
      <c r="C81" s="21" t="n">
        <v>278.084</v>
      </c>
      <c r="D81" s="21" t="n">
        <v>279.01</v>
      </c>
      <c r="E81" s="21" t="n">
        <v>259.613</v>
      </c>
      <c r="F81" s="21" t="n">
        <v>288.749</v>
      </c>
      <c r="G81" s="21" t="n">
        <v>235.047</v>
      </c>
      <c r="H81" s="21" t="n">
        <v>244.704</v>
      </c>
      <c r="I81" s="21" t="n">
        <v>229.855</v>
      </c>
      <c r="J81" s="21" t="n">
        <v>244.411</v>
      </c>
      <c r="K81" s="21" t="n">
        <v>319.545</v>
      </c>
      <c r="L81" s="21" t="n">
        <v>192.971</v>
      </c>
      <c r="M81" s="21" t="n">
        <v>186.28</v>
      </c>
      <c r="N81" s="21" t="n">
        <v>304.406</v>
      </c>
      <c r="O81" s="21" t="n">
        <v>283.2</v>
      </c>
      <c r="P81" s="21" t="n">
        <v>283.822</v>
      </c>
      <c r="Q81" s="21" t="n">
        <v>330.024</v>
      </c>
      <c r="R81" s="21" t="n">
        <v>275.116</v>
      </c>
      <c r="S81" s="21" t="n">
        <v>287.029</v>
      </c>
      <c r="T81" s="21" t="n">
        <v>291.172</v>
      </c>
      <c r="U81" s="21" t="n">
        <v>298.526</v>
      </c>
      <c r="V81" s="21" t="n">
        <v>374.222</v>
      </c>
      <c r="W81" s="21" t="n">
        <v>313.18</v>
      </c>
      <c r="X81" s="21" t="n">
        <v>295.788</v>
      </c>
      <c r="Y81" s="21" t="n">
        <v>260.886</v>
      </c>
      <c r="Z81" s="21" t="n">
        <v>249.67</v>
      </c>
      <c r="AA81" s="21" t="n">
        <v>187.995</v>
      </c>
      <c r="AB81" s="21" t="n">
        <v>363.753</v>
      </c>
      <c r="AC81" s="21" t="n">
        <v>162.519</v>
      </c>
      <c r="AD81" s="21" t="n">
        <v>225.786</v>
      </c>
      <c r="AE81" s="21" t="n">
        <v>252.054</v>
      </c>
      <c r="AF81" s="21" t="n">
        <v>228.555</v>
      </c>
      <c r="AG81" s="21" t="n">
        <v>159.243</v>
      </c>
      <c r="AH81" s="21" t="n">
        <v>239.657</v>
      </c>
      <c r="AI81" s="21" t="n">
        <v>241.642</v>
      </c>
      <c r="AJ81" s="21" t="n">
        <v>152.385</v>
      </c>
      <c r="AK81" s="21" t="n">
        <v>261.601</v>
      </c>
      <c r="AL81" s="21" t="n">
        <v>168.44</v>
      </c>
      <c r="AM81" s="21" t="n">
        <v>273.926</v>
      </c>
      <c r="AN81" s="21" t="n">
        <v>253.34</v>
      </c>
      <c r="AO81" s="21" t="n">
        <v>171.028</v>
      </c>
      <c r="AP81" s="21" t="n">
        <v>328.899</v>
      </c>
      <c r="AQ81" s="21" t="n">
        <v>210.898</v>
      </c>
      <c r="AR81" s="21" t="n">
        <v>158.078</v>
      </c>
      <c r="AS81" s="21" t="n">
        <v>222.446</v>
      </c>
      <c r="AT81" s="21" t="n">
        <v>332.574</v>
      </c>
      <c r="AU81" s="21" t="n">
        <v>232.738</v>
      </c>
      <c r="AV81" s="21" t="n">
        <v>230.145</v>
      </c>
      <c r="AW81" s="21" t="n">
        <v>153.989</v>
      </c>
      <c r="AX81" s="21" t="n">
        <v>224.425</v>
      </c>
      <c r="AY81" s="21" t="n">
        <v>157.608</v>
      </c>
      <c r="AZ81" s="21" t="n">
        <v>238.682</v>
      </c>
      <c r="BA81" s="21" t="n">
        <v>231.716</v>
      </c>
      <c r="BB81" s="21" t="n">
        <v>152.029</v>
      </c>
      <c r="BC81" s="21" t="n">
        <v>314.983</v>
      </c>
      <c r="BD81" s="21" t="n">
        <v>364.403</v>
      </c>
      <c r="BE81" s="21" t="n">
        <v>376.381</v>
      </c>
      <c r="BF81" s="21" t="n">
        <v>339.525</v>
      </c>
      <c r="BG81" s="21" t="n">
        <v>192.983</v>
      </c>
      <c r="BH81" s="21" t="n">
        <v>271.446</v>
      </c>
      <c r="BI81" s="21" t="n">
        <v>514.938</v>
      </c>
      <c r="BJ81" s="21" t="n">
        <v>127.241</v>
      </c>
      <c r="BK81" s="21" t="n">
        <v>350.492</v>
      </c>
      <c r="BL81" s="21" t="n">
        <v>373.047</v>
      </c>
      <c r="BM81" s="21" t="n">
        <v>352.438</v>
      </c>
      <c r="BN81" s="21" t="n">
        <v>356.002</v>
      </c>
      <c r="BO81" s="21" t="n">
        <v>346.407</v>
      </c>
      <c r="BP81" s="21" t="n">
        <v>166.131</v>
      </c>
      <c r="BQ81" s="21" t="n">
        <v>174.91</v>
      </c>
      <c r="BR81" s="21" t="n">
        <v>166.505</v>
      </c>
      <c r="BS81" s="21" t="n">
        <v>187.635</v>
      </c>
      <c r="BT81" s="21" t="n">
        <v>154.116</v>
      </c>
      <c r="BU81" s="21" t="n">
        <v>208.129</v>
      </c>
      <c r="BV81" s="21" t="n">
        <v>159.257</v>
      </c>
      <c r="BW81" s="21" t="n">
        <v>182.355</v>
      </c>
      <c r="BX81" s="21" t="n">
        <v>144.012</v>
      </c>
      <c r="BY81" s="21" t="n">
        <v>186.288</v>
      </c>
      <c r="BZ81" s="21" t="n">
        <v>128.744</v>
      </c>
      <c r="CA81" s="21" t="n">
        <v>120.825</v>
      </c>
      <c r="CB81" s="21" t="n">
        <v>198.653</v>
      </c>
      <c r="CC81" s="21" t="n">
        <v>207.995</v>
      </c>
      <c r="CD81" s="21" t="n">
        <v>137.734</v>
      </c>
      <c r="CE81" s="21" t="n">
        <v>222.523</v>
      </c>
      <c r="CF81" s="21" t="n">
        <v>234.574</v>
      </c>
      <c r="CG81" s="21" t="n">
        <v>207.257</v>
      </c>
      <c r="CH81" s="21" t="n">
        <v>159.842</v>
      </c>
      <c r="CI81" s="21" t="n">
        <v>160.838</v>
      </c>
      <c r="CJ81" s="21" t="n">
        <v>242.628</v>
      </c>
      <c r="CK81" s="21" t="n">
        <v>212.178</v>
      </c>
      <c r="CL81" s="21" t="n">
        <v>249.95</v>
      </c>
      <c r="CM81" s="21" t="n">
        <v>322.93</v>
      </c>
      <c r="CN81" s="21" t="n">
        <v>141.028</v>
      </c>
      <c r="CO81" s="21" t="n">
        <v>170.001</v>
      </c>
      <c r="CP81" s="21" t="n">
        <v>236.437</v>
      </c>
      <c r="CQ81" s="21" t="n">
        <v>255.972</v>
      </c>
      <c r="CR81" s="21" t="n">
        <v>176.627</v>
      </c>
      <c r="CS81" s="21" t="n">
        <v>261.538</v>
      </c>
      <c r="CT81" s="21" t="n">
        <v>250.88</v>
      </c>
      <c r="CU81" s="21" t="n">
        <v>159.046</v>
      </c>
      <c r="CV81" s="21" t="n">
        <v>149.738</v>
      </c>
      <c r="CW81" s="21" t="n">
        <v>144.766</v>
      </c>
      <c r="CX81" s="21" t="n">
        <v>285.532</v>
      </c>
      <c r="CY81" s="21" t="n">
        <v>139.888</v>
      </c>
      <c r="CZ81" s="21" t="n">
        <v>133.598</v>
      </c>
      <c r="DA81" s="21" t="n">
        <v>309.336</v>
      </c>
      <c r="DB81" s="21" t="n">
        <v>191.071</v>
      </c>
      <c r="DC81" s="21" t="n">
        <v>101.164</v>
      </c>
      <c r="DD81" s="21" t="n">
        <v>70.033</v>
      </c>
      <c r="DE81" s="21" t="n">
        <v>206.607</v>
      </c>
      <c r="DF81" s="21" t="n">
        <v>264.315</v>
      </c>
      <c r="DG81" s="21" t="n">
        <v>213.665</v>
      </c>
      <c r="DH81" s="21" t="n">
        <v>243.687</v>
      </c>
      <c r="DI81" s="21" t="n">
        <v>202.678</v>
      </c>
      <c r="DJ81" s="21" t="n">
        <v>213.328</v>
      </c>
      <c r="DK81" s="21" t="n">
        <v>199.427</v>
      </c>
      <c r="DL81" s="21" t="n">
        <v>174.852</v>
      </c>
      <c r="DM81" s="21" t="n">
        <v>375.285</v>
      </c>
      <c r="DN81" s="21" t="n">
        <v>207.652</v>
      </c>
      <c r="DO81" s="21" t="n">
        <v>282.041</v>
      </c>
      <c r="DP81" s="21" t="n">
        <v>336.022</v>
      </c>
      <c r="DQ81" s="21" t="n">
        <v>349.983</v>
      </c>
      <c r="DR81" s="21" t="n">
        <v>172.597</v>
      </c>
      <c r="DS81" s="21" t="n">
        <v>587.633</v>
      </c>
      <c r="DT81" s="21" t="n">
        <v>352.749</v>
      </c>
      <c r="DU81" s="21" t="n">
        <v>344.4</v>
      </c>
      <c r="DV81" s="21" t="n">
        <v>344.474</v>
      </c>
      <c r="DW81" s="21" t="n">
        <v>262.544</v>
      </c>
      <c r="DX81" s="21" t="n">
        <v>217.057</v>
      </c>
      <c r="DY81" s="21" t="n">
        <v>302.316</v>
      </c>
      <c r="DZ81" s="21" t="n">
        <v>285.677</v>
      </c>
      <c r="EA81" s="21" t="n">
        <v>391.115</v>
      </c>
      <c r="EB81" s="21" t="n">
        <v>220.84</v>
      </c>
      <c r="EC81" s="21" t="n">
        <v>225.36</v>
      </c>
      <c r="ED81" s="21" t="n">
        <v>203.489</v>
      </c>
      <c r="EE81" s="21" t="n">
        <v>262.81</v>
      </c>
      <c r="EF81" s="21" t="n">
        <v>607.3390000000001</v>
      </c>
      <c r="EG81" s="21" t="n">
        <v>524.408</v>
      </c>
      <c r="EH81" s="21" t="n">
        <v>132.175</v>
      </c>
      <c r="EI81" s="21" t="n">
        <v>57.734</v>
      </c>
      <c r="EJ81" s="21" t="n">
        <v>72.95399999999999</v>
      </c>
      <c r="EK81" s="21" t="n">
        <v>42.427</v>
      </c>
      <c r="EL81" s="21" t="n">
        <v>124.877</v>
      </c>
      <c r="EM81" s="21" t="n">
        <v>78.67400000000001</v>
      </c>
      <c r="EN81" s="21" t="n">
        <v>85.011</v>
      </c>
      <c r="EO81" s="21" t="n">
        <v>99.363</v>
      </c>
      <c r="EP81" s="21" t="n">
        <v>115.021</v>
      </c>
      <c r="EQ81" s="21" t="n">
        <v>70.867</v>
      </c>
      <c r="ER81" s="21" t="n">
        <v>51.266</v>
      </c>
      <c r="ES81" s="21" t="n">
        <v>141.672</v>
      </c>
      <c r="ET81" s="21" t="n">
        <v>81.792</v>
      </c>
      <c r="EU81" s="21" t="n">
        <v>95.479</v>
      </c>
      <c r="EV81" s="21" t="n">
        <v>106.141</v>
      </c>
      <c r="EW81" s="21" t="n">
        <v>90.458</v>
      </c>
      <c r="EX81" s="21" t="n">
        <v>199.041</v>
      </c>
      <c r="EY81" s="21" t="n">
        <v>128.008</v>
      </c>
      <c r="EZ81" s="21" t="n">
        <v>119.454</v>
      </c>
      <c r="FA81" s="21" t="n">
        <v>197.239</v>
      </c>
      <c r="FB81" s="21" t="n">
        <v>121.505</v>
      </c>
      <c r="FC81" s="21" t="n">
        <v>116.737</v>
      </c>
      <c r="FD81" s="21" t="n">
        <v>119.791</v>
      </c>
      <c r="FE81" s="21" t="n">
        <v>96.48099999999999</v>
      </c>
      <c r="FF81" s="21" t="n">
        <v>166.899</v>
      </c>
      <c r="FG81" s="21" t="n">
        <v>72.02800000000001</v>
      </c>
      <c r="FH81" s="21" t="n">
        <v>125.512</v>
      </c>
      <c r="FI81" s="21" t="n">
        <v>103.424</v>
      </c>
      <c r="FJ81" s="21" t="n">
        <v>100.981</v>
      </c>
      <c r="FK81" s="21" t="n">
        <v>101.744</v>
      </c>
      <c r="FL81" s="21" t="n">
        <v>93.839</v>
      </c>
      <c r="FM81" s="21" t="n">
        <v>103.815</v>
      </c>
      <c r="FN81" s="21" t="n">
        <v>68.767</v>
      </c>
      <c r="FO81" s="21" t="n">
        <v>103.397</v>
      </c>
      <c r="FP81" s="21" t="n">
        <v>96.815</v>
      </c>
      <c r="FQ81" s="21" t="n">
        <v>138.678</v>
      </c>
      <c r="FR81" s="21" t="n">
        <v>143.868</v>
      </c>
      <c r="FS81" s="21" t="n">
        <v>155.985</v>
      </c>
      <c r="FT81" s="21" t="n">
        <v>125.722</v>
      </c>
      <c r="FU81" s="21" t="n">
        <v>112.878</v>
      </c>
      <c r="FV81" s="21" t="n">
        <v>187.877</v>
      </c>
      <c r="FW81" s="21" t="n">
        <v>151.745</v>
      </c>
      <c r="FX81" s="21" t="n">
        <v>187.184</v>
      </c>
      <c r="FY81" s="21" t="n">
        <v>234.588</v>
      </c>
      <c r="FZ81" s="21" t="n">
        <v>233.59</v>
      </c>
      <c r="GA81" s="21" t="n">
        <v>117.272</v>
      </c>
      <c r="GB81" s="21" t="n">
        <v>158.16</v>
      </c>
      <c r="GC81" s="21" t="n">
        <v>110.163</v>
      </c>
      <c r="GD81" s="21" t="n">
        <v>153.769</v>
      </c>
      <c r="GE81" s="21" t="n">
        <v>168.703</v>
      </c>
      <c r="GF81" s="21" t="n"/>
      <c r="GG81" s="21" t="n">
        <v>190.066</v>
      </c>
      <c r="GH81" s="21" t="n"/>
      <c r="GI81" s="21" t="n">
        <v>199.263</v>
      </c>
      <c r="GJ81" s="21" t="n">
        <v>268.049</v>
      </c>
      <c r="GK81" s="21" t="n">
        <v>266.871</v>
      </c>
      <c r="GL81" s="21" t="n">
        <v>261.355</v>
      </c>
      <c r="GM81" s="21" t="n">
        <v>288.992</v>
      </c>
      <c r="GN81" s="21" t="n">
        <v>282.901</v>
      </c>
      <c r="GO81" s="21" t="n">
        <v>245.219</v>
      </c>
      <c r="GP81" s="21" t="n">
        <v>157.12</v>
      </c>
      <c r="GQ81" s="21" t="n">
        <v>134.259</v>
      </c>
      <c r="GR81" s="21" t="n">
        <v>320.504</v>
      </c>
      <c r="GS81" s="21" t="n">
        <v>198.203</v>
      </c>
      <c r="GT81" s="21" t="n">
        <v>568.5599999999999</v>
      </c>
      <c r="GU81" s="21" t="n">
        <v>217.108</v>
      </c>
      <c r="GV81" s="21" t="n">
        <v>249.371</v>
      </c>
      <c r="GW81" s="21" t="n">
        <v>235.538</v>
      </c>
      <c r="GX81" s="21" t="n">
        <v>221.166</v>
      </c>
      <c r="GY81" s="21" t="n">
        <v>163.776</v>
      </c>
      <c r="GZ81" s="21" t="n"/>
      <c r="HA81" s="21" t="n">
        <v>66.476</v>
      </c>
      <c r="HB81" s="21" t="n">
        <v>524.693</v>
      </c>
      <c r="HC81" s="21" t="n">
        <v>375.685</v>
      </c>
      <c r="HD81" s="21" t="n">
        <v>123.164</v>
      </c>
      <c r="HE81" s="21" t="n">
        <v>519.729</v>
      </c>
      <c r="HF81" s="21" t="n">
        <v>94.794</v>
      </c>
      <c r="HG81" s="21" t="n">
        <v>572.768</v>
      </c>
      <c r="HH81" s="21" t="n">
        <v>403.86</v>
      </c>
      <c r="HI81" s="21" t="n">
        <v>408.49</v>
      </c>
      <c r="HJ81" s="21" t="n">
        <v>526.559</v>
      </c>
      <c r="HK81" s="21" t="n">
        <v>194.621</v>
      </c>
      <c r="HL81" s="21" t="n">
        <v>247.804</v>
      </c>
      <c r="HM81" s="21" t="n">
        <v>86.896</v>
      </c>
      <c r="HN81" s="21" t="n">
        <v>365.843</v>
      </c>
      <c r="HO81" s="21" t="n">
        <v>354.945</v>
      </c>
      <c r="HP81" s="21" t="n">
        <v>794.254</v>
      </c>
      <c r="HQ81" s="21" t="n">
        <v>250.098</v>
      </c>
      <c r="HR81" s="21" t="n">
        <v>126.313</v>
      </c>
      <c r="HS81" s="21" t="n">
        <v>111.653</v>
      </c>
      <c r="HT81" s="21" t="n">
        <v>148.824</v>
      </c>
      <c r="HU81" s="21" t="n">
        <v>525.742</v>
      </c>
      <c r="HV81" s="21" t="n">
        <v>122.568</v>
      </c>
      <c r="HW81" s="21" t="n">
        <v>25.187</v>
      </c>
      <c r="HX81" s="21" t="n">
        <v>185.628</v>
      </c>
      <c r="HY81" s="21" t="n">
        <v>205.495</v>
      </c>
      <c r="HZ81" s="21" t="n">
        <v>156.024</v>
      </c>
      <c r="IA81" s="21" t="n">
        <v>118.987</v>
      </c>
      <c r="IB81" s="21" t="n">
        <v>275.015</v>
      </c>
      <c r="IC81" s="21" t="n">
        <v>212.368</v>
      </c>
      <c r="ID81" s="21" t="n">
        <v>288.233</v>
      </c>
      <c r="IE81" s="21" t="n">
        <v>123.413</v>
      </c>
      <c r="IF81" s="21" t="n">
        <v>172.229</v>
      </c>
      <c r="IG81" s="21" t="n">
        <v>82.889</v>
      </c>
      <c r="IH81" s="21" t="n">
        <v>77.624</v>
      </c>
      <c r="II81" s="21" t="n">
        <v>59.483</v>
      </c>
      <c r="IJ81" s="21" t="n">
        <v>24.989</v>
      </c>
      <c r="IK81" s="21" t="n">
        <v>33.65</v>
      </c>
      <c r="IL81" s="21" t="n">
        <v>29.104</v>
      </c>
      <c r="IM81" s="21" t="n">
        <v>37.427</v>
      </c>
      <c r="IN81" s="21" t="n">
        <v>98.574</v>
      </c>
      <c r="IO81" s="21" t="n">
        <v>108.771</v>
      </c>
      <c r="IP81" s="21" t="n">
        <v>177.767</v>
      </c>
      <c r="IQ81" s="21" t="n">
        <v>146.798</v>
      </c>
      <c r="IR81" s="21" t="n">
        <v>401.483</v>
      </c>
      <c r="IS81" s="21" t="n">
        <v>195.903</v>
      </c>
      <c r="IT81" s="21" t="n">
        <v>229.099</v>
      </c>
      <c r="IU81" s="21" t="n">
        <v>343.802</v>
      </c>
      <c r="IV81" s="21" t="n">
        <v>274.18</v>
      </c>
      <c r="IW81" s="21" t="n">
        <v>142.935</v>
      </c>
      <c r="IX81" s="21" t="n">
        <v>275.044</v>
      </c>
      <c r="IY81" s="21" t="n">
        <v>687.667</v>
      </c>
      <c r="IZ81" s="21" t="n">
        <v>790.143</v>
      </c>
      <c r="JA81" s="21" t="n">
        <v>885.002</v>
      </c>
      <c r="JB81" s="21" t="n">
        <v>87.22799999999999</v>
      </c>
      <c r="JC81" s="21" t="n">
        <v>318.9</v>
      </c>
      <c r="JD81" s="21" t="n">
        <v>264.078</v>
      </c>
      <c r="JE81" s="21" t="n">
        <v>76.06100000000001</v>
      </c>
      <c r="JF81" s="21" t="n">
        <v>212.13</v>
      </c>
      <c r="JG81" s="21" t="n">
        <v>333.132</v>
      </c>
      <c r="JH81" s="21" t="n">
        <v>349.028</v>
      </c>
      <c r="JI81" s="21" t="n">
        <v>71.809</v>
      </c>
      <c r="JJ81" s="21" t="n">
        <v>110.351</v>
      </c>
      <c r="JK81" s="21" t="n">
        <v>40.184</v>
      </c>
      <c r="JL81" s="21" t="n">
        <v>79.718</v>
      </c>
      <c r="JM81" s="21" t="n">
        <v>152.553</v>
      </c>
      <c r="JN81" s="21" t="n">
        <v>479.053</v>
      </c>
      <c r="JO81" s="21" t="n">
        <v>79.10299999999999</v>
      </c>
      <c r="JP81" s="21" t="n">
        <v>517.138</v>
      </c>
      <c r="JQ81" s="21" t="n">
        <v>244.971</v>
      </c>
      <c r="JR81" s="21" t="n">
        <v>159.538</v>
      </c>
      <c r="JS81" s="21" t="n">
        <v>466.928</v>
      </c>
      <c r="JT81" s="21" t="n">
        <v>371.13</v>
      </c>
      <c r="JU81" s="21" t="n">
        <v>349.337</v>
      </c>
      <c r="JV81" s="21" t="n">
        <v>191.405</v>
      </c>
      <c r="JW81" s="21" t="n">
        <v>372.5</v>
      </c>
      <c r="JX81" s="21" t="n">
        <v>269.443</v>
      </c>
      <c r="JY81" s="21" t="n">
        <v>78.52</v>
      </c>
      <c r="JZ81" s="21" t="n">
        <v>166.495</v>
      </c>
      <c r="KA81" s="21" t="n">
        <v>260.573</v>
      </c>
      <c r="KB81" s="21" t="n">
        <v>278.24</v>
      </c>
      <c r="KC81" s="21" t="n">
        <v>271.668</v>
      </c>
      <c r="KD81" s="21" t="n">
        <v>278.997</v>
      </c>
      <c r="KE81" s="21" t="n">
        <v>250.949</v>
      </c>
      <c r="KF81" s="21" t="n">
        <v>243.686</v>
      </c>
      <c r="KG81" s="21" t="n">
        <v>247.279</v>
      </c>
      <c r="KH81" s="21" t="n">
        <v>249.144</v>
      </c>
      <c r="KI81" s="21" t="n">
        <v>113.033</v>
      </c>
      <c r="KJ81" s="21" t="n">
        <v>201.026</v>
      </c>
      <c r="KK81" s="21" t="n">
        <v>166.351</v>
      </c>
      <c r="KL81" s="21" t="n">
        <v>162.923</v>
      </c>
      <c r="KM81" s="21" t="n">
        <v>155.57</v>
      </c>
      <c r="KN81" s="21" t="n">
        <v>150.822</v>
      </c>
      <c r="KO81" s="21" t="n">
        <v>268.392</v>
      </c>
      <c r="KP81" s="21" t="n">
        <v>119.491</v>
      </c>
      <c r="KQ81" s="21" t="n">
        <v>68.771</v>
      </c>
      <c r="KR81" s="21" t="n">
        <v>115.843</v>
      </c>
      <c r="KS81" s="21" t="n">
        <v>240.692</v>
      </c>
      <c r="KT81" s="21" t="n">
        <v>271.988</v>
      </c>
      <c r="KU81" s="21" t="n">
        <v>96.04300000000001</v>
      </c>
      <c r="KV81" s="21" t="n">
        <v>48.764</v>
      </c>
      <c r="KW81" s="21" t="n">
        <v>241.398</v>
      </c>
      <c r="KX81" s="21" t="n">
        <v>209.758</v>
      </c>
      <c r="KY81" s="21" t="n">
        <v>262.275</v>
      </c>
      <c r="KZ81" s="21" t="n">
        <v>206.406</v>
      </c>
      <c r="LA81" s="21" t="n">
        <v>263.592</v>
      </c>
      <c r="LB81" s="21" t="n">
        <v>120.465</v>
      </c>
      <c r="LC81" s="21" t="n">
        <v>377.619</v>
      </c>
      <c r="LD81" s="21" t="n">
        <v>81.899</v>
      </c>
      <c r="LE81" s="21" t="n">
        <v>131.6</v>
      </c>
      <c r="LF81" s="21" t="n">
        <v>350.574</v>
      </c>
      <c r="LG81" s="21" t="n">
        <v>342.988</v>
      </c>
      <c r="LH81" s="21" t="n">
        <v>355.355</v>
      </c>
      <c r="LI81" s="21" t="n">
        <v>325.508</v>
      </c>
      <c r="LJ81" s="21" t="n">
        <v>360.54</v>
      </c>
      <c r="LK81" s="21" t="n">
        <v>124.349</v>
      </c>
      <c r="LL81" s="21" t="n">
        <v>327.062</v>
      </c>
      <c r="LM81" s="21" t="n">
        <v>229.476</v>
      </c>
      <c r="LN81" s="21" t="n">
        <v>37.865</v>
      </c>
      <c r="LO81" s="21" t="n">
        <v>138.392</v>
      </c>
    </row>
    <row r="82">
      <c r="A82" s="22" t="n">
        <v>44440</v>
      </c>
      <c r="B82" s="21" t="n">
        <v>273.91</v>
      </c>
      <c r="C82" s="21" t="n">
        <v>280.322</v>
      </c>
      <c r="D82" s="21" t="n">
        <v>281.366</v>
      </c>
      <c r="E82" s="21" t="n">
        <v>262.459</v>
      </c>
      <c r="F82" s="21" t="n">
        <v>291.709</v>
      </c>
      <c r="G82" s="21" t="n">
        <v>236.546</v>
      </c>
      <c r="H82" s="21" t="n">
        <v>247.477</v>
      </c>
      <c r="I82" s="21" t="n">
        <v>229.122</v>
      </c>
      <c r="J82" s="21" t="n">
        <v>246.689</v>
      </c>
      <c r="K82" s="21" t="n">
        <v>324.458</v>
      </c>
      <c r="L82" s="21" t="n">
        <v>196.492</v>
      </c>
      <c r="M82" s="21" t="n">
        <v>194.852</v>
      </c>
      <c r="N82" s="21" t="n">
        <v>305.507</v>
      </c>
      <c r="O82" s="21" t="n">
        <v>283.991</v>
      </c>
      <c r="P82" s="21" t="n">
        <v>286.327</v>
      </c>
      <c r="Q82" s="21" t="n">
        <v>337.889</v>
      </c>
      <c r="R82" s="21" t="n">
        <v>275.759</v>
      </c>
      <c r="S82" s="21" t="n">
        <v>292.062</v>
      </c>
      <c r="T82" s="21" t="n">
        <v>296.386</v>
      </c>
      <c r="U82" s="21" t="n">
        <v>305.905</v>
      </c>
      <c r="V82" s="21" t="n">
        <v>388.569</v>
      </c>
      <c r="W82" s="21" t="n">
        <v>321.381</v>
      </c>
      <c r="X82" s="21" t="n">
        <v>315.617</v>
      </c>
      <c r="Y82" s="21" t="n">
        <v>268.625</v>
      </c>
      <c r="Z82" s="21" t="n">
        <v>252.409</v>
      </c>
      <c r="AA82" s="21" t="n">
        <v>190.027</v>
      </c>
      <c r="AB82" s="21" t="n">
        <v>368.755</v>
      </c>
      <c r="AC82" s="21" t="n">
        <v>164.003</v>
      </c>
      <c r="AD82" s="21" t="n">
        <v>230.851</v>
      </c>
      <c r="AE82" s="21" t="n">
        <v>258.059</v>
      </c>
      <c r="AF82" s="21" t="n">
        <v>225.262</v>
      </c>
      <c r="AG82" s="21" t="n">
        <v>159.638</v>
      </c>
      <c r="AH82" s="21" t="n">
        <v>243.184</v>
      </c>
      <c r="AI82" s="21" t="n">
        <v>249.738</v>
      </c>
      <c r="AJ82" s="21" t="n">
        <v>155.074</v>
      </c>
      <c r="AK82" s="21" t="n">
        <v>261.875</v>
      </c>
      <c r="AL82" s="21" t="n">
        <v>169.699</v>
      </c>
      <c r="AM82" s="21" t="n">
        <v>277.859</v>
      </c>
      <c r="AN82" s="21" t="n">
        <v>253.866</v>
      </c>
      <c r="AO82" s="21" t="n">
        <v>165.819</v>
      </c>
      <c r="AP82" s="21" t="n">
        <v>332.906</v>
      </c>
      <c r="AQ82" s="21" t="n">
        <v>214.314</v>
      </c>
      <c r="AR82" s="21" t="n">
        <v>159.658</v>
      </c>
      <c r="AS82" s="21" t="n">
        <v>222.761</v>
      </c>
      <c r="AT82" s="21" t="n">
        <v>339.266</v>
      </c>
      <c r="AU82" s="21" t="n">
        <v>235.407</v>
      </c>
      <c r="AV82" s="21" t="n">
        <v>231.973</v>
      </c>
      <c r="AW82" s="21" t="n">
        <v>154.83</v>
      </c>
      <c r="AX82" s="21" t="n">
        <v>226.314</v>
      </c>
      <c r="AY82" s="21" t="n">
        <v>158.272</v>
      </c>
      <c r="AZ82" s="21" t="n">
        <v>240.622</v>
      </c>
      <c r="BA82" s="21" t="n">
        <v>232.423</v>
      </c>
      <c r="BB82" s="21" t="n">
        <v>153.365</v>
      </c>
      <c r="BC82" s="21" t="n">
        <v>316.278</v>
      </c>
      <c r="BD82" s="21" t="n">
        <v>366.199</v>
      </c>
      <c r="BE82" s="21" t="n">
        <v>378.545</v>
      </c>
      <c r="BF82" s="21" t="n">
        <v>346.166</v>
      </c>
      <c r="BG82" s="21" t="n">
        <v>193.775</v>
      </c>
      <c r="BH82" s="21" t="n">
        <v>270.494</v>
      </c>
      <c r="BI82" s="21" t="n">
        <v>518.095</v>
      </c>
      <c r="BJ82" s="21" t="n">
        <v>128.051</v>
      </c>
      <c r="BK82" s="21" t="n">
        <v>351.906</v>
      </c>
      <c r="BL82" s="21" t="n">
        <v>378.088</v>
      </c>
      <c r="BM82" s="21" t="n">
        <v>355.843</v>
      </c>
      <c r="BN82" s="21" t="n">
        <v>356.271</v>
      </c>
      <c r="BO82" s="21" t="n">
        <v>346.487</v>
      </c>
      <c r="BP82" s="21" t="n">
        <v>166.314</v>
      </c>
      <c r="BQ82" s="21" t="n">
        <v>174.083</v>
      </c>
      <c r="BR82" s="21" t="n">
        <v>165.891</v>
      </c>
      <c r="BS82" s="21" t="n">
        <v>187.141</v>
      </c>
      <c r="BT82" s="21" t="n">
        <v>153.933</v>
      </c>
      <c r="BU82" s="21" t="n">
        <v>206.442</v>
      </c>
      <c r="BV82" s="21" t="n">
        <v>162.243</v>
      </c>
      <c r="BW82" s="21" t="n">
        <v>184.491</v>
      </c>
      <c r="BX82" s="21" t="n">
        <v>145.885</v>
      </c>
      <c r="BY82" s="21" t="n">
        <v>189.677</v>
      </c>
      <c r="BZ82" s="21" t="n">
        <v>129.908</v>
      </c>
      <c r="CA82" s="21" t="n">
        <v>121.901</v>
      </c>
      <c r="CB82" s="21" t="n">
        <v>202.1</v>
      </c>
      <c r="CC82" s="21" t="n">
        <v>211.571</v>
      </c>
      <c r="CD82" s="21" t="n">
        <v>136.086</v>
      </c>
      <c r="CE82" s="21" t="n">
        <v>224.9</v>
      </c>
      <c r="CF82" s="21" t="n">
        <v>234.254</v>
      </c>
      <c r="CG82" s="21" t="n">
        <v>206.863</v>
      </c>
      <c r="CH82" s="21" t="n">
        <v>158.911</v>
      </c>
      <c r="CI82" s="21" t="n">
        <v>162.599</v>
      </c>
      <c r="CJ82" s="21" t="n">
        <v>245.636</v>
      </c>
      <c r="CK82" s="21" t="n">
        <v>211.082</v>
      </c>
      <c r="CL82" s="21" t="n">
        <v>247.195</v>
      </c>
      <c r="CM82" s="21" t="n">
        <v>318.959</v>
      </c>
      <c r="CN82" s="21" t="n">
        <v>141.871</v>
      </c>
      <c r="CO82" s="21" t="n">
        <v>175.623</v>
      </c>
      <c r="CP82" s="21" t="n">
        <v>239.421</v>
      </c>
      <c r="CQ82" s="21" t="n">
        <v>260.289</v>
      </c>
      <c r="CR82" s="21" t="n">
        <v>179.357</v>
      </c>
      <c r="CS82" s="21" t="n">
        <v>264.924</v>
      </c>
      <c r="CT82" s="21" t="n">
        <v>255.143</v>
      </c>
      <c r="CU82" s="21" t="n">
        <v>163.55</v>
      </c>
      <c r="CV82" s="21" t="n">
        <v>151.341</v>
      </c>
      <c r="CW82" s="21" t="n">
        <v>146.968</v>
      </c>
      <c r="CX82" s="21" t="n">
        <v>288.468</v>
      </c>
      <c r="CY82" s="21" t="n">
        <v>141.367</v>
      </c>
      <c r="CZ82" s="21" t="n">
        <v>137.738</v>
      </c>
      <c r="DA82" s="21" t="n">
        <v>310.996</v>
      </c>
      <c r="DB82" s="21" t="n">
        <v>192.203</v>
      </c>
      <c r="DC82" s="21" t="n">
        <v>94.72799999999999</v>
      </c>
      <c r="DD82" s="21" t="n">
        <v>62.755</v>
      </c>
      <c r="DE82" s="21" t="n">
        <v>208.821</v>
      </c>
      <c r="DF82" s="21" t="n">
        <v>264.98</v>
      </c>
      <c r="DG82" s="21" t="n">
        <v>213.954</v>
      </c>
      <c r="DH82" s="21" t="n">
        <v>244.352</v>
      </c>
      <c r="DI82" s="21" t="n">
        <v>203.872</v>
      </c>
      <c r="DJ82" s="21" t="n">
        <v>214.278</v>
      </c>
      <c r="DK82" s="21" t="n">
        <v>201.275</v>
      </c>
      <c r="DL82" s="21" t="n">
        <v>174.458</v>
      </c>
      <c r="DM82" s="21" t="n">
        <v>376.7</v>
      </c>
      <c r="DN82" s="21" t="n">
        <v>208.337</v>
      </c>
      <c r="DO82" s="21" t="n">
        <v>283.523</v>
      </c>
      <c r="DP82" s="21" t="n">
        <v>337.357</v>
      </c>
      <c r="DQ82" s="21" t="n">
        <v>351.306</v>
      </c>
      <c r="DR82" s="21" t="n">
        <v>172.822</v>
      </c>
      <c r="DS82" s="21" t="n">
        <v>588.003</v>
      </c>
      <c r="DT82" s="21" t="n">
        <v>353.239</v>
      </c>
      <c r="DU82" s="21" t="n">
        <v>345.833</v>
      </c>
      <c r="DV82" s="21" t="n">
        <v>345.843</v>
      </c>
      <c r="DW82" s="21" t="n">
        <v>265.505</v>
      </c>
      <c r="DX82" s="21" t="n">
        <v>220.044</v>
      </c>
      <c r="DY82" s="21" t="n">
        <v>313.527</v>
      </c>
      <c r="DZ82" s="21" t="n">
        <v>295.032</v>
      </c>
      <c r="EA82" s="21" t="n">
        <v>408.291</v>
      </c>
      <c r="EB82" s="21" t="n">
        <v>223.609</v>
      </c>
      <c r="EC82" s="21" t="n">
        <v>226.923</v>
      </c>
      <c r="ED82" s="21" t="n">
        <v>209.675</v>
      </c>
      <c r="EE82" s="21" t="n">
        <v>263.747</v>
      </c>
      <c r="EF82" s="21" t="n">
        <v>607.938</v>
      </c>
      <c r="EG82" s="21" t="n">
        <v>529.934</v>
      </c>
      <c r="EH82" s="21" t="n">
        <v>133.298</v>
      </c>
      <c r="EI82" s="21" t="n">
        <v>59.549</v>
      </c>
      <c r="EJ82" s="21" t="n">
        <v>70.482</v>
      </c>
      <c r="EK82" s="21" t="n">
        <v>45.05</v>
      </c>
      <c r="EL82" s="21" t="n">
        <v>127.817</v>
      </c>
      <c r="EM82" s="21" t="n">
        <v>78.187</v>
      </c>
      <c r="EN82" s="21" t="n">
        <v>86.185</v>
      </c>
      <c r="EO82" s="21" t="n">
        <v>100.27</v>
      </c>
      <c r="EP82" s="21" t="n">
        <v>116.612</v>
      </c>
      <c r="EQ82" s="21" t="n">
        <v>72.09999999999999</v>
      </c>
      <c r="ER82" s="21" t="n">
        <v>51.483</v>
      </c>
      <c r="ES82" s="21" t="n">
        <v>139.985</v>
      </c>
      <c r="ET82" s="21" t="n">
        <v>82.05</v>
      </c>
      <c r="EU82" s="21" t="n">
        <v>96.124</v>
      </c>
      <c r="EV82" s="21" t="n">
        <v>106.343</v>
      </c>
      <c r="EW82" s="21" t="n">
        <v>90.935</v>
      </c>
      <c r="EX82" s="21" t="n">
        <v>199.9</v>
      </c>
      <c r="EY82" s="21" t="n">
        <v>127.449</v>
      </c>
      <c r="EZ82" s="21" t="n">
        <v>120.384</v>
      </c>
      <c r="FA82" s="21" t="n">
        <v>196.861</v>
      </c>
      <c r="FB82" s="21" t="n">
        <v>121.051</v>
      </c>
      <c r="FC82" s="21" t="n">
        <v>117.496</v>
      </c>
      <c r="FD82" s="21" t="n">
        <v>120.013</v>
      </c>
      <c r="FE82" s="21" t="n">
        <v>94.96299999999999</v>
      </c>
      <c r="FF82" s="21" t="n">
        <v>167.065</v>
      </c>
      <c r="FG82" s="21" t="n">
        <v>72.94199999999999</v>
      </c>
      <c r="FH82" s="21" t="n">
        <v>124.503</v>
      </c>
      <c r="FI82" s="21" t="n">
        <v>105.36</v>
      </c>
      <c r="FJ82" s="21" t="n">
        <v>99.301</v>
      </c>
      <c r="FK82" s="21" t="n">
        <v>100.144</v>
      </c>
      <c r="FL82" s="21" t="n">
        <v>95.873</v>
      </c>
      <c r="FM82" s="21" t="n">
        <v>102.971</v>
      </c>
      <c r="FN82" s="21" t="n">
        <v>66.949</v>
      </c>
      <c r="FO82" s="21" t="n">
        <v>102.457</v>
      </c>
      <c r="FP82" s="21" t="n">
        <v>94.789</v>
      </c>
      <c r="FQ82" s="21" t="n">
        <v>139.661</v>
      </c>
      <c r="FR82" s="21" t="n">
        <v>145.076</v>
      </c>
      <c r="FS82" s="21" t="n">
        <v>161.778</v>
      </c>
      <c r="FT82" s="21" t="n">
        <v>125.473</v>
      </c>
      <c r="FU82" s="21" t="n">
        <v>115.365</v>
      </c>
      <c r="FV82" s="21" t="n">
        <v>183.659</v>
      </c>
      <c r="FW82" s="21" t="n">
        <v>148.287</v>
      </c>
      <c r="FX82" s="21" t="n">
        <v>182.376</v>
      </c>
      <c r="FY82" s="21" t="n">
        <v>235.77</v>
      </c>
      <c r="FZ82" s="21" t="n">
        <v>235.677</v>
      </c>
      <c r="GA82" s="21" t="n">
        <v>117.886</v>
      </c>
      <c r="GB82" s="21" t="n">
        <v>160.01</v>
      </c>
      <c r="GC82" s="21" t="n">
        <v>111.558</v>
      </c>
      <c r="GD82" s="21" t="n">
        <v>155.37</v>
      </c>
      <c r="GE82" s="21" t="n">
        <v>170.8</v>
      </c>
      <c r="GF82" s="21" t="n"/>
      <c r="GG82" s="21" t="n">
        <v>190.308</v>
      </c>
      <c r="GH82" s="21" t="n"/>
      <c r="GI82" s="21" t="n">
        <v>191.936</v>
      </c>
      <c r="GJ82" s="21" t="n">
        <v>274.472</v>
      </c>
      <c r="GK82" s="21" t="n">
        <v>273.26</v>
      </c>
      <c r="GL82" s="21" t="n">
        <v>268.008</v>
      </c>
      <c r="GM82" s="21" t="n">
        <v>294.701</v>
      </c>
      <c r="GN82" s="21" t="n">
        <v>287.237</v>
      </c>
      <c r="GO82" s="21" t="n">
        <v>246.59</v>
      </c>
      <c r="GP82" s="21" t="n">
        <v>158.454</v>
      </c>
      <c r="GQ82" s="21" t="n">
        <v>135.377</v>
      </c>
      <c r="GR82" s="21" t="n">
        <v>320.446</v>
      </c>
      <c r="GS82" s="21" t="n">
        <v>195.587</v>
      </c>
      <c r="GT82" s="21" t="n">
        <v>569.076</v>
      </c>
      <c r="GU82" s="21" t="n">
        <v>218.099</v>
      </c>
      <c r="GV82" s="21" t="n">
        <v>249.91</v>
      </c>
      <c r="GW82" s="21" t="n">
        <v>224.049</v>
      </c>
      <c r="GX82" s="21" t="n">
        <v>206.174</v>
      </c>
      <c r="GY82" s="21" t="n">
        <v>161.117</v>
      </c>
      <c r="GZ82" s="21" t="n"/>
      <c r="HA82" s="21" t="n">
        <v>64.886</v>
      </c>
      <c r="HB82" s="21" t="n">
        <v>524.874</v>
      </c>
      <c r="HC82" s="21" t="n">
        <v>376.842</v>
      </c>
      <c r="HD82" s="21" t="n">
        <v>123.507</v>
      </c>
      <c r="HE82" s="21" t="n">
        <v>521.506</v>
      </c>
      <c r="HF82" s="21" t="n">
        <v>95.685</v>
      </c>
      <c r="HG82" s="21" t="n">
        <v>572.633</v>
      </c>
      <c r="HH82" s="21" t="n">
        <v>403.271</v>
      </c>
      <c r="HI82" s="21" t="n">
        <v>407.266</v>
      </c>
      <c r="HJ82" s="21" t="n">
        <v>525.8869999999999</v>
      </c>
      <c r="HK82" s="21" t="n">
        <v>194.574</v>
      </c>
      <c r="HL82" s="21" t="n">
        <v>248.614</v>
      </c>
      <c r="HM82" s="21" t="n">
        <v>87.045</v>
      </c>
      <c r="HN82" s="21" t="n">
        <v>366.394</v>
      </c>
      <c r="HO82" s="21" t="n">
        <v>355.187</v>
      </c>
      <c r="HP82" s="21" t="n">
        <v>795.813</v>
      </c>
      <c r="HQ82" s="21" t="n">
        <v>251.227</v>
      </c>
      <c r="HR82" s="21" t="n">
        <v>126.563</v>
      </c>
      <c r="HS82" s="21" t="n">
        <v>111.894</v>
      </c>
      <c r="HT82" s="21" t="n">
        <v>146.585</v>
      </c>
      <c r="HU82" s="21" t="n">
        <v>528.624</v>
      </c>
      <c r="HV82" s="21" t="n">
        <v>122.693</v>
      </c>
      <c r="HW82" s="21" t="n">
        <v>24.748</v>
      </c>
      <c r="HX82" s="21" t="n">
        <v>186.259</v>
      </c>
      <c r="HY82" s="21" t="n">
        <v>206.448</v>
      </c>
      <c r="HZ82" s="21" t="n">
        <v>156.843</v>
      </c>
      <c r="IA82" s="21" t="n">
        <v>118.912</v>
      </c>
      <c r="IB82" s="21" t="n">
        <v>275.572</v>
      </c>
      <c r="IC82" s="21" t="n">
        <v>212.788</v>
      </c>
      <c r="ID82" s="21" t="n">
        <v>288.913</v>
      </c>
      <c r="IE82" s="21" t="n">
        <v>122.967</v>
      </c>
      <c r="IF82" s="21" t="n">
        <v>171.661</v>
      </c>
      <c r="IG82" s="21" t="n">
        <v>82.57299999999999</v>
      </c>
      <c r="IH82" s="21" t="n">
        <v>77.749</v>
      </c>
      <c r="II82" s="21" t="n">
        <v>59.686</v>
      </c>
      <c r="IJ82" s="21" t="n">
        <v>25.002</v>
      </c>
      <c r="IK82" s="21" t="n">
        <v>33.279</v>
      </c>
      <c r="IL82" s="21" t="n">
        <v>28.76</v>
      </c>
      <c r="IM82" s="21" t="n">
        <v>37.346</v>
      </c>
      <c r="IN82" s="21" t="n">
        <v>95.714</v>
      </c>
      <c r="IO82" s="21" t="n">
        <v>108.86</v>
      </c>
      <c r="IP82" s="21" t="n">
        <v>178.714</v>
      </c>
      <c r="IQ82" s="21" t="n">
        <v>147.415</v>
      </c>
      <c r="IR82" s="21" t="n">
        <v>405.305</v>
      </c>
      <c r="IS82" s="21" t="n">
        <v>195.781</v>
      </c>
      <c r="IT82" s="21" t="n">
        <v>229.47</v>
      </c>
      <c r="IU82" s="21" t="n">
        <v>341.669</v>
      </c>
      <c r="IV82" s="21" t="n">
        <v>274.225</v>
      </c>
      <c r="IW82" s="21" t="n">
        <v>143.393</v>
      </c>
      <c r="IX82" s="21" t="n">
        <v>275.742</v>
      </c>
      <c r="IY82" s="21" t="n">
        <v>685.005</v>
      </c>
      <c r="IZ82" s="21" t="n">
        <v>792.335</v>
      </c>
      <c r="JA82" s="21" t="n">
        <v>889.602</v>
      </c>
      <c r="JB82" s="21" t="n">
        <v>87.133</v>
      </c>
      <c r="JC82" s="21" t="n">
        <v>319.867</v>
      </c>
      <c r="JD82" s="21" t="n">
        <v>263.821</v>
      </c>
      <c r="JE82" s="21" t="n">
        <v>76.346</v>
      </c>
      <c r="JF82" s="21" t="n">
        <v>212.027</v>
      </c>
      <c r="JG82" s="21" t="n">
        <v>333.435</v>
      </c>
      <c r="JH82" s="21" t="n">
        <v>343.99</v>
      </c>
      <c r="JI82" s="21" t="n">
        <v>72.087</v>
      </c>
      <c r="JJ82" s="21" t="n">
        <v>111.056</v>
      </c>
      <c r="JK82" s="21" t="n">
        <v>40.649</v>
      </c>
      <c r="JL82" s="21" t="n">
        <v>80.167</v>
      </c>
      <c r="JM82" s="21" t="n">
        <v>153.146</v>
      </c>
      <c r="JN82" s="21" t="n">
        <v>479.658</v>
      </c>
      <c r="JO82" s="21" t="n">
        <v>79.673</v>
      </c>
      <c r="JP82" s="21" t="n">
        <v>520.9829999999999</v>
      </c>
      <c r="JQ82" s="21" t="n">
        <v>244.925</v>
      </c>
      <c r="JR82" s="21" t="n">
        <v>159.299</v>
      </c>
      <c r="JS82" s="21" t="n">
        <v>469.066</v>
      </c>
      <c r="JT82" s="21" t="n">
        <v>377.635</v>
      </c>
      <c r="JU82" s="21" t="n">
        <v>349.311</v>
      </c>
      <c r="JV82" s="21" t="n">
        <v>191.766</v>
      </c>
      <c r="JW82" s="21" t="n">
        <v>371.14</v>
      </c>
      <c r="JX82" s="21" t="n">
        <v>267.609</v>
      </c>
      <c r="JY82" s="21" t="n">
        <v>78.16800000000001</v>
      </c>
      <c r="JZ82" s="21" t="n">
        <v>168.156</v>
      </c>
      <c r="KA82" s="21" t="n">
        <v>261.855</v>
      </c>
      <c r="KB82" s="21" t="n">
        <v>279.187</v>
      </c>
      <c r="KC82" s="21" t="n">
        <v>272.725</v>
      </c>
      <c r="KD82" s="21" t="n">
        <v>279.698</v>
      </c>
      <c r="KE82" s="21" t="n">
        <v>252.152</v>
      </c>
      <c r="KF82" s="21" t="n">
        <v>244.623</v>
      </c>
      <c r="KG82" s="21" t="n">
        <v>247.645</v>
      </c>
      <c r="KH82" s="21" t="n">
        <v>249.516</v>
      </c>
      <c r="KI82" s="21" t="n">
        <v>112.227</v>
      </c>
      <c r="KJ82" s="21" t="n">
        <v>202.622</v>
      </c>
      <c r="KK82" s="21" t="n">
        <v>167.623</v>
      </c>
      <c r="KL82" s="21" t="n">
        <v>164.204</v>
      </c>
      <c r="KM82" s="21" t="n">
        <v>156.259</v>
      </c>
      <c r="KN82" s="21" t="n">
        <v>151.58</v>
      </c>
      <c r="KO82" s="21" t="n">
        <v>271.322</v>
      </c>
      <c r="KP82" s="21" t="n">
        <v>120.067</v>
      </c>
      <c r="KQ82" s="21" t="n">
        <v>69.155</v>
      </c>
      <c r="KR82" s="21" t="n">
        <v>116.193</v>
      </c>
      <c r="KS82" s="21" t="n">
        <v>245.302</v>
      </c>
      <c r="KT82" s="21" t="n">
        <v>278.657</v>
      </c>
      <c r="KU82" s="21" t="n">
        <v>97.065</v>
      </c>
      <c r="KV82" s="21" t="n">
        <v>49.162</v>
      </c>
      <c r="KW82" s="21" t="n">
        <v>243.118</v>
      </c>
      <c r="KX82" s="21" t="n">
        <v>211.061</v>
      </c>
      <c r="KY82" s="21" t="n">
        <v>265.152</v>
      </c>
      <c r="KZ82" s="21" t="n">
        <v>207.745</v>
      </c>
      <c r="LA82" s="21" t="n">
        <v>266.68</v>
      </c>
      <c r="LB82" s="21" t="n">
        <v>120.673</v>
      </c>
      <c r="LC82" s="21" t="n">
        <v>378.845</v>
      </c>
      <c r="LD82" s="21" t="n">
        <v>81.667</v>
      </c>
      <c r="LE82" s="21" t="n">
        <v>132.199</v>
      </c>
      <c r="LF82" s="21" t="n">
        <v>352.026</v>
      </c>
      <c r="LG82" s="21" t="n">
        <v>343.838</v>
      </c>
      <c r="LH82" s="21" t="n">
        <v>356.039</v>
      </c>
      <c r="LI82" s="21" t="n">
        <v>326.422</v>
      </c>
      <c r="LJ82" s="21" t="n">
        <v>361.095</v>
      </c>
      <c r="LK82" s="21" t="n">
        <v>125.12</v>
      </c>
      <c r="LL82" s="21" t="n">
        <v>323.58</v>
      </c>
      <c r="LM82" s="21" t="n">
        <v>229.467</v>
      </c>
      <c r="LN82" s="21" t="n">
        <v>37.503</v>
      </c>
      <c r="LO82" s="21" t="n">
        <v>139.035</v>
      </c>
    </row>
    <row r="83">
      <c r="A83" s="22" t="n">
        <v>44470</v>
      </c>
      <c r="B83" s="21" t="n">
        <v>276.55</v>
      </c>
      <c r="C83" s="21" t="n">
        <v>282.727</v>
      </c>
      <c r="D83" s="21" t="n">
        <v>283.972</v>
      </c>
      <c r="E83" s="21" t="n">
        <v>265.084</v>
      </c>
      <c r="F83" s="21" t="n">
        <v>294.533</v>
      </c>
      <c r="G83" s="21" t="n">
        <v>240.042</v>
      </c>
      <c r="H83" s="21" t="n">
        <v>250.447</v>
      </c>
      <c r="I83" s="21" t="n">
        <v>236.615</v>
      </c>
      <c r="J83" s="21" t="n">
        <v>247.138</v>
      </c>
      <c r="K83" s="21" t="n">
        <v>326.628</v>
      </c>
      <c r="L83" s="21" t="n">
        <v>198.052</v>
      </c>
      <c r="M83" s="21" t="n">
        <v>195.203</v>
      </c>
      <c r="N83" s="21" t="n">
        <v>305.051</v>
      </c>
      <c r="O83" s="21" t="n">
        <v>282.346</v>
      </c>
      <c r="P83" s="21" t="n">
        <v>290.689</v>
      </c>
      <c r="Q83" s="21" t="n">
        <v>337.688</v>
      </c>
      <c r="R83" s="21" t="n">
        <v>283.401</v>
      </c>
      <c r="S83" s="21" t="n">
        <v>296.2</v>
      </c>
      <c r="T83" s="21" t="n">
        <v>300.737</v>
      </c>
      <c r="U83" s="21" t="n">
        <v>311.589</v>
      </c>
      <c r="V83" s="21" t="n">
        <v>396.513</v>
      </c>
      <c r="W83" s="21" t="n">
        <v>328.951</v>
      </c>
      <c r="X83" s="21" t="n">
        <v>323.3</v>
      </c>
      <c r="Y83" s="21" t="n">
        <v>273.591</v>
      </c>
      <c r="Z83" s="21" t="n">
        <v>257.975</v>
      </c>
      <c r="AA83" s="21" t="n">
        <v>193.703</v>
      </c>
      <c r="AB83" s="21" t="n">
        <v>373.588</v>
      </c>
      <c r="AC83" s="21" t="n">
        <v>167.886</v>
      </c>
      <c r="AD83" s="21" t="n">
        <v>230.575</v>
      </c>
      <c r="AE83" s="21" t="n">
        <v>257.425</v>
      </c>
      <c r="AF83" s="21" t="n">
        <v>236.503</v>
      </c>
      <c r="AG83" s="21" t="n">
        <v>163.543</v>
      </c>
      <c r="AH83" s="21" t="n">
        <v>245.361</v>
      </c>
      <c r="AI83" s="21" t="n">
        <v>249.156</v>
      </c>
      <c r="AJ83" s="21" t="n">
        <v>157.588</v>
      </c>
      <c r="AK83" s="21" t="n">
        <v>264.701</v>
      </c>
      <c r="AL83" s="21" t="n">
        <v>171.349</v>
      </c>
      <c r="AM83" s="21" t="n">
        <v>277.394</v>
      </c>
      <c r="AN83" s="21" t="n">
        <v>258.033</v>
      </c>
      <c r="AO83" s="21" t="n">
        <v>167.195</v>
      </c>
      <c r="AP83" s="21" t="n">
        <v>334.283</v>
      </c>
      <c r="AQ83" s="21" t="n">
        <v>214.998</v>
      </c>
      <c r="AR83" s="21" t="n">
        <v>161.365</v>
      </c>
      <c r="AS83" s="21" t="n">
        <v>224.778</v>
      </c>
      <c r="AT83" s="21" t="n">
        <v>337.872</v>
      </c>
      <c r="AU83" s="21" t="n">
        <v>236.777</v>
      </c>
      <c r="AV83" s="21" t="n">
        <v>233.168</v>
      </c>
      <c r="AW83" s="21" t="n">
        <v>155.562</v>
      </c>
      <c r="AX83" s="21" t="n">
        <v>227.465</v>
      </c>
      <c r="AY83" s="21" t="n">
        <v>158.922</v>
      </c>
      <c r="AZ83" s="21" t="n">
        <v>241.554</v>
      </c>
      <c r="BA83" s="21" t="n">
        <v>235.948</v>
      </c>
      <c r="BB83" s="21" t="n">
        <v>154.38</v>
      </c>
      <c r="BC83" s="21" t="n">
        <v>318.384</v>
      </c>
      <c r="BD83" s="21" t="n">
        <v>368.093</v>
      </c>
      <c r="BE83" s="21" t="n">
        <v>379.98</v>
      </c>
      <c r="BF83" s="21" t="n">
        <v>348.314</v>
      </c>
      <c r="BG83" s="21" t="n">
        <v>196.264</v>
      </c>
      <c r="BH83" s="21" t="n">
        <v>273.206</v>
      </c>
      <c r="BI83" s="21" t="n">
        <v>525.6950000000001</v>
      </c>
      <c r="BJ83" s="21" t="n">
        <v>126.948</v>
      </c>
      <c r="BK83" s="21" t="n">
        <v>354.257</v>
      </c>
      <c r="BL83" s="21" t="n">
        <v>380.339</v>
      </c>
      <c r="BM83" s="21" t="n">
        <v>352.714</v>
      </c>
      <c r="BN83" s="21" t="n">
        <v>355.548</v>
      </c>
      <c r="BO83" s="21" t="n">
        <v>351.484</v>
      </c>
      <c r="BP83" s="21" t="n">
        <v>168.334</v>
      </c>
      <c r="BQ83" s="21" t="n">
        <v>176.944</v>
      </c>
      <c r="BR83" s="21" t="n">
        <v>168.294</v>
      </c>
      <c r="BS83" s="21" t="n">
        <v>190.111</v>
      </c>
      <c r="BT83" s="21" t="n">
        <v>154.761</v>
      </c>
      <c r="BU83" s="21" t="n">
        <v>208.078</v>
      </c>
      <c r="BV83" s="21" t="n">
        <v>162.677</v>
      </c>
      <c r="BW83" s="21" t="n">
        <v>186.076</v>
      </c>
      <c r="BX83" s="21" t="n">
        <v>146.961</v>
      </c>
      <c r="BY83" s="21" t="n">
        <v>190.637</v>
      </c>
      <c r="BZ83" s="21" t="n">
        <v>131.025</v>
      </c>
      <c r="CA83" s="21" t="n">
        <v>123.548</v>
      </c>
      <c r="CB83" s="21" t="n">
        <v>204.89</v>
      </c>
      <c r="CC83" s="21" t="n">
        <v>215.189</v>
      </c>
      <c r="CD83" s="21" t="n">
        <v>136.396</v>
      </c>
      <c r="CE83" s="21" t="n">
        <v>227.391</v>
      </c>
      <c r="CF83" s="21" t="n">
        <v>235.425</v>
      </c>
      <c r="CG83" s="21" t="n">
        <v>213.931</v>
      </c>
      <c r="CH83" s="21" t="n">
        <v>159.02</v>
      </c>
      <c r="CI83" s="21" t="n">
        <v>161.854</v>
      </c>
      <c r="CJ83" s="21" t="n">
        <v>246.488</v>
      </c>
      <c r="CK83" s="21" t="n">
        <v>212.499</v>
      </c>
      <c r="CL83" s="21" t="n">
        <v>250.454</v>
      </c>
      <c r="CM83" s="21" t="n">
        <v>319.823</v>
      </c>
      <c r="CN83" s="21" t="n">
        <v>141.447</v>
      </c>
      <c r="CO83" s="21" t="n">
        <v>175.581</v>
      </c>
      <c r="CP83" s="21" t="n">
        <v>242.608</v>
      </c>
      <c r="CQ83" s="21" t="n">
        <v>266.069</v>
      </c>
      <c r="CR83" s="21" t="n">
        <v>180.724</v>
      </c>
      <c r="CS83" s="21" t="n">
        <v>269.284</v>
      </c>
      <c r="CT83" s="21" t="n">
        <v>258.249</v>
      </c>
      <c r="CU83" s="21" t="n">
        <v>164.761</v>
      </c>
      <c r="CV83" s="21" t="n">
        <v>152.874</v>
      </c>
      <c r="CW83" s="21" t="n">
        <v>149.176</v>
      </c>
      <c r="CX83" s="21" t="n">
        <v>292.336</v>
      </c>
      <c r="CY83" s="21" t="n">
        <v>143.576</v>
      </c>
      <c r="CZ83" s="21" t="n">
        <v>138.289</v>
      </c>
      <c r="DA83" s="21" t="n">
        <v>313.592</v>
      </c>
      <c r="DB83" s="21" t="n">
        <v>194.003</v>
      </c>
      <c r="DC83" s="21" t="n">
        <v>96.402</v>
      </c>
      <c r="DD83" s="21" t="n">
        <v>58.952</v>
      </c>
      <c r="DE83" s="21" t="n">
        <v>209.997</v>
      </c>
      <c r="DF83" s="21" t="n">
        <v>264.748</v>
      </c>
      <c r="DG83" s="21" t="n">
        <v>213.428</v>
      </c>
      <c r="DH83" s="21" t="n">
        <v>243.325</v>
      </c>
      <c r="DI83" s="21" t="n">
        <v>204.511</v>
      </c>
      <c r="DJ83" s="21" t="n">
        <v>215.554</v>
      </c>
      <c r="DK83" s="21" t="n">
        <v>201.459</v>
      </c>
      <c r="DL83" s="21" t="n">
        <v>174.239</v>
      </c>
      <c r="DM83" s="21" t="n">
        <v>377.016</v>
      </c>
      <c r="DN83" s="21" t="n">
        <v>208.311</v>
      </c>
      <c r="DO83" s="21" t="n">
        <v>285.563</v>
      </c>
      <c r="DP83" s="21" t="n">
        <v>338.948</v>
      </c>
      <c r="DQ83" s="21" t="n">
        <v>352.771</v>
      </c>
      <c r="DR83" s="21" t="n">
        <v>175.355</v>
      </c>
      <c r="DS83" s="21" t="n">
        <v>589.2089999999999</v>
      </c>
      <c r="DT83" s="21" t="n">
        <v>358.977</v>
      </c>
      <c r="DU83" s="21" t="n">
        <v>347.414</v>
      </c>
      <c r="DV83" s="21" t="n">
        <v>347.418</v>
      </c>
      <c r="DW83" s="21" t="n">
        <v>271.506</v>
      </c>
      <c r="DX83" s="21" t="n">
        <v>226.462</v>
      </c>
      <c r="DY83" s="21" t="n">
        <v>337.48</v>
      </c>
      <c r="DZ83" s="21" t="n">
        <v>319.774</v>
      </c>
      <c r="EA83" s="21" t="n">
        <v>432.378</v>
      </c>
      <c r="EB83" s="21" t="n">
        <v>229.562</v>
      </c>
      <c r="EC83" s="21" t="n">
        <v>230.586</v>
      </c>
      <c r="ED83" s="21" t="n">
        <v>222.106</v>
      </c>
      <c r="EE83" s="21" t="n">
        <v>264.278</v>
      </c>
      <c r="EF83" s="21" t="n">
        <v>609.5410000000001</v>
      </c>
      <c r="EG83" s="21" t="n">
        <v>530.114</v>
      </c>
      <c r="EH83" s="21" t="n">
        <v>134.596</v>
      </c>
      <c r="EI83" s="21" t="n">
        <v>59.365</v>
      </c>
      <c r="EJ83" s="21" t="n">
        <v>71.747</v>
      </c>
      <c r="EK83" s="21" t="n">
        <v>44.31</v>
      </c>
      <c r="EL83" s="21" t="n">
        <v>128.263</v>
      </c>
      <c r="EM83" s="21" t="n">
        <v>79.107</v>
      </c>
      <c r="EN83" s="21" t="n">
        <v>86.806</v>
      </c>
      <c r="EO83" s="21" t="n">
        <v>100.173</v>
      </c>
      <c r="EP83" s="21" t="n">
        <v>114.162</v>
      </c>
      <c r="EQ83" s="21" t="n">
        <v>72.786</v>
      </c>
      <c r="ER83" s="21" t="n">
        <v>51.899</v>
      </c>
      <c r="ES83" s="21" t="n">
        <v>141.641</v>
      </c>
      <c r="ET83" s="21" t="n">
        <v>82.316</v>
      </c>
      <c r="EU83" s="21" t="n">
        <v>99.181</v>
      </c>
      <c r="EV83" s="21" t="n">
        <v>106.172</v>
      </c>
      <c r="EW83" s="21" t="n">
        <v>95.905</v>
      </c>
      <c r="EX83" s="21" t="n">
        <v>201.313</v>
      </c>
      <c r="EY83" s="21" t="n">
        <v>128.109</v>
      </c>
      <c r="EZ83" s="21" t="n">
        <v>121.26</v>
      </c>
      <c r="FA83" s="21" t="n">
        <v>195.563</v>
      </c>
      <c r="FB83" s="21" t="n">
        <v>122.57</v>
      </c>
      <c r="FC83" s="21" t="n">
        <v>119.134</v>
      </c>
      <c r="FD83" s="21" t="n">
        <v>121.522</v>
      </c>
      <c r="FE83" s="21" t="n">
        <v>97.59099999999999</v>
      </c>
      <c r="FF83" s="21" t="n">
        <v>169.155</v>
      </c>
      <c r="FG83" s="21" t="n">
        <v>73.676</v>
      </c>
      <c r="FH83" s="21" t="n">
        <v>124.316</v>
      </c>
      <c r="FI83" s="21" t="n">
        <v>106.501</v>
      </c>
      <c r="FJ83" s="21" t="n">
        <v>101.145</v>
      </c>
      <c r="FK83" s="21" t="n">
        <v>102.066</v>
      </c>
      <c r="FL83" s="21" t="n">
        <v>99.113</v>
      </c>
      <c r="FM83" s="21" t="n">
        <v>104.016</v>
      </c>
      <c r="FN83" s="21" t="n">
        <v>69.17</v>
      </c>
      <c r="FO83" s="21" t="n">
        <v>102.277</v>
      </c>
      <c r="FP83" s="21" t="n">
        <v>96.273</v>
      </c>
      <c r="FQ83" s="21" t="n">
        <v>140.013</v>
      </c>
      <c r="FR83" s="21" t="n">
        <v>145.334</v>
      </c>
      <c r="FS83" s="21" t="n">
        <v>162.369</v>
      </c>
      <c r="FT83" s="21" t="n">
        <v>126.018</v>
      </c>
      <c r="FU83" s="21" t="n">
        <v>117.251</v>
      </c>
      <c r="FV83" s="21" t="n">
        <v>184.447</v>
      </c>
      <c r="FW83" s="21" t="n">
        <v>147.534</v>
      </c>
      <c r="FX83" s="21" t="n">
        <v>183.464</v>
      </c>
      <c r="FY83" s="21" t="n">
        <v>241.059</v>
      </c>
      <c r="FZ83" s="21" t="n">
        <v>241.398</v>
      </c>
      <c r="GA83" s="21" t="n">
        <v>120.631</v>
      </c>
      <c r="GB83" s="21" t="n">
        <v>162.423</v>
      </c>
      <c r="GC83" s="21" t="n">
        <v>113.005</v>
      </c>
      <c r="GD83" s="21" t="n">
        <v>157.459</v>
      </c>
      <c r="GE83" s="21" t="n">
        <v>173.613</v>
      </c>
      <c r="GF83" s="21" t="n"/>
      <c r="GG83" s="21" t="n">
        <v>197.214</v>
      </c>
      <c r="GH83" s="21" t="n"/>
      <c r="GI83" s="21" t="n">
        <v>196.1</v>
      </c>
      <c r="GJ83" s="21" t="n">
        <v>287.322</v>
      </c>
      <c r="GK83" s="21" t="n">
        <v>286.527</v>
      </c>
      <c r="GL83" s="21" t="n">
        <v>281.786</v>
      </c>
      <c r="GM83" s="21" t="n">
        <v>306.785</v>
      </c>
      <c r="GN83" s="21" t="n">
        <v>296.107</v>
      </c>
      <c r="GO83" s="21" t="n">
        <v>259.72</v>
      </c>
      <c r="GP83" s="21" t="n">
        <v>160.727</v>
      </c>
      <c r="GQ83" s="21" t="n">
        <v>137.005</v>
      </c>
      <c r="GR83" s="21" t="n">
        <v>325.095</v>
      </c>
      <c r="GS83" s="21" t="n">
        <v>198.456</v>
      </c>
      <c r="GT83" s="21" t="n">
        <v>565.043</v>
      </c>
      <c r="GU83" s="21" t="n">
        <v>217.141</v>
      </c>
      <c r="GV83" s="21" t="n">
        <v>250.16</v>
      </c>
      <c r="GW83" s="21" t="n">
        <v>223.03</v>
      </c>
      <c r="GX83" s="21" t="n">
        <v>205.656</v>
      </c>
      <c r="GY83" s="21" t="n">
        <v>158.819</v>
      </c>
      <c r="GZ83" s="21" t="n"/>
      <c r="HA83" s="21" t="n">
        <v>62.715</v>
      </c>
      <c r="HB83" s="21" t="n">
        <v>527.649</v>
      </c>
      <c r="HC83" s="21" t="n">
        <v>379.003</v>
      </c>
      <c r="HD83" s="21" t="n">
        <v>124.232</v>
      </c>
      <c r="HE83" s="21" t="n">
        <v>523.862</v>
      </c>
      <c r="HF83" s="21" t="n">
        <v>96.617</v>
      </c>
      <c r="HG83" s="21" t="n">
        <v>575.606</v>
      </c>
      <c r="HH83" s="21" t="n">
        <v>403.378</v>
      </c>
      <c r="HI83" s="21" t="n">
        <v>407.391</v>
      </c>
      <c r="HJ83" s="21" t="n">
        <v>525.795</v>
      </c>
      <c r="HK83" s="21" t="n">
        <v>194.892</v>
      </c>
      <c r="HL83" s="21" t="n">
        <v>248.614</v>
      </c>
      <c r="HM83" s="21" t="n">
        <v>87.545</v>
      </c>
      <c r="HN83" s="21" t="n">
        <v>368.593</v>
      </c>
      <c r="HO83" s="21" t="n">
        <v>357.105</v>
      </c>
      <c r="HP83" s="21" t="n">
        <v>800.1319999999999</v>
      </c>
      <c r="HQ83" s="21" t="n">
        <v>252.068</v>
      </c>
      <c r="HR83" s="21" t="n">
        <v>127.554</v>
      </c>
      <c r="HS83" s="21" t="n">
        <v>112.099</v>
      </c>
      <c r="HT83" s="21" t="n">
        <v>143.178</v>
      </c>
      <c r="HU83" s="21" t="n">
        <v>530.097</v>
      </c>
      <c r="HV83" s="21" t="n">
        <v>121.656</v>
      </c>
      <c r="HW83" s="21" t="n">
        <v>25.34</v>
      </c>
      <c r="HX83" s="21" t="n">
        <v>186.766</v>
      </c>
      <c r="HY83" s="21" t="n">
        <v>206.487</v>
      </c>
      <c r="HZ83" s="21" t="n">
        <v>157.035</v>
      </c>
      <c r="IA83" s="21" t="n">
        <v>118.61</v>
      </c>
      <c r="IB83" s="21" t="n">
        <v>277.101</v>
      </c>
      <c r="IC83" s="21" t="n">
        <v>214.159</v>
      </c>
      <c r="ID83" s="21" t="n">
        <v>290.044</v>
      </c>
      <c r="IE83" s="21" t="n">
        <v>124.886</v>
      </c>
      <c r="IF83" s="21" t="n">
        <v>174.922</v>
      </c>
      <c r="IG83" s="21" t="n">
        <v>83.399</v>
      </c>
      <c r="IH83" s="21" t="n">
        <v>77.827</v>
      </c>
      <c r="II83" s="21" t="n">
        <v>59.668</v>
      </c>
      <c r="IJ83" s="21" t="n">
        <v>25.094</v>
      </c>
      <c r="IK83" s="21" t="n">
        <v>33.434</v>
      </c>
      <c r="IL83" s="21" t="n">
        <v>28.936</v>
      </c>
      <c r="IM83" s="21" t="n">
        <v>37.629</v>
      </c>
      <c r="IN83" s="21" t="n">
        <v>96.018</v>
      </c>
      <c r="IO83" s="21" t="n">
        <v>108.802</v>
      </c>
      <c r="IP83" s="21" t="n">
        <v>181.325</v>
      </c>
      <c r="IQ83" s="21" t="n">
        <v>147.485</v>
      </c>
      <c r="IR83" s="21" t="n">
        <v>418.1</v>
      </c>
      <c r="IS83" s="21" t="n">
        <v>196.023</v>
      </c>
      <c r="IT83" s="21" t="n">
        <v>248.438</v>
      </c>
      <c r="IU83" s="21" t="n">
        <v>341.557</v>
      </c>
      <c r="IV83" s="21" t="n">
        <v>274.424</v>
      </c>
      <c r="IW83" s="21" t="n">
        <v>143.628</v>
      </c>
      <c r="IX83" s="21" t="n">
        <v>276.536</v>
      </c>
      <c r="IY83" s="21" t="n">
        <v>685.851</v>
      </c>
      <c r="IZ83" s="21" t="n">
        <v>794.6660000000001</v>
      </c>
      <c r="JA83" s="21" t="n">
        <v>891.124</v>
      </c>
      <c r="JB83" s="21" t="n">
        <v>87.349</v>
      </c>
      <c r="JC83" s="21" t="n">
        <v>321.069</v>
      </c>
      <c r="JD83" s="21" t="n">
        <v>264.427</v>
      </c>
      <c r="JE83" s="21" t="n">
        <v>76.395</v>
      </c>
      <c r="JF83" s="21" t="n">
        <v>218.017</v>
      </c>
      <c r="JG83" s="21" t="n">
        <v>343.434</v>
      </c>
      <c r="JH83" s="21" t="n">
        <v>347.664</v>
      </c>
      <c r="JI83" s="21" t="n">
        <v>72.071</v>
      </c>
      <c r="JJ83" s="21" t="n">
        <v>110.747</v>
      </c>
      <c r="JK83" s="21" t="n">
        <v>40.31</v>
      </c>
      <c r="JL83" s="21" t="n">
        <v>80.081</v>
      </c>
      <c r="JM83" s="21" t="n">
        <v>151.882</v>
      </c>
      <c r="JN83" s="21" t="n">
        <v>483.67</v>
      </c>
      <c r="JO83" s="21" t="n">
        <v>81.157</v>
      </c>
      <c r="JP83" s="21" t="n">
        <v>531.816</v>
      </c>
      <c r="JQ83" s="21" t="n">
        <v>246.357</v>
      </c>
      <c r="JR83" s="21" t="n">
        <v>159.628</v>
      </c>
      <c r="JS83" s="21" t="n">
        <v>474.208</v>
      </c>
      <c r="JT83" s="21" t="n">
        <v>384.455</v>
      </c>
      <c r="JU83" s="21" t="n">
        <v>349.997</v>
      </c>
      <c r="JV83" s="21" t="n">
        <v>193.065</v>
      </c>
      <c r="JW83" s="21" t="n">
        <v>376.184</v>
      </c>
      <c r="JX83" s="21" t="n"/>
      <c r="JY83" s="21" t="n">
        <v>79.063</v>
      </c>
      <c r="JZ83" s="21" t="n">
        <v>167.971</v>
      </c>
      <c r="KA83" s="21" t="n">
        <v>264.485</v>
      </c>
      <c r="KB83" s="21" t="n">
        <v>281.247</v>
      </c>
      <c r="KC83" s="21" t="n">
        <v>275.37</v>
      </c>
      <c r="KD83" s="21" t="n">
        <v>281.668</v>
      </c>
      <c r="KE83" s="21" t="n">
        <v>255.183</v>
      </c>
      <c r="KF83" s="21" t="n">
        <v>247.739</v>
      </c>
      <c r="KG83" s="21" t="n">
        <v>249.797</v>
      </c>
      <c r="KH83" s="21" t="n">
        <v>251.155</v>
      </c>
      <c r="KI83" s="21" t="n">
        <v>113.993</v>
      </c>
      <c r="KJ83" s="21" t="n">
        <v>205.855</v>
      </c>
      <c r="KK83" s="21" t="n">
        <v>170.934</v>
      </c>
      <c r="KL83" s="21" t="n">
        <v>167.592</v>
      </c>
      <c r="KM83" s="21" t="n">
        <v>158.483</v>
      </c>
      <c r="KN83" s="21" t="n">
        <v>153.102</v>
      </c>
      <c r="KO83" s="21" t="n">
        <v>274.278</v>
      </c>
      <c r="KP83" s="21" t="n">
        <v>122.112</v>
      </c>
      <c r="KQ83" s="21" t="n">
        <v>68.81399999999999</v>
      </c>
      <c r="KR83" s="21" t="n">
        <v>116.444</v>
      </c>
      <c r="KS83" s="21" t="n">
        <v>254.756</v>
      </c>
      <c r="KT83" s="21" t="n">
        <v>292.059</v>
      </c>
      <c r="KU83" s="21" t="n">
        <v>98.08199999999999</v>
      </c>
      <c r="KV83" s="21" t="n">
        <v>48.839</v>
      </c>
      <c r="KW83" s="21" t="n">
        <v>246.578</v>
      </c>
      <c r="KX83" s="21" t="n">
        <v>215.103</v>
      </c>
      <c r="KY83" s="21" t="n">
        <v>270.395</v>
      </c>
      <c r="KZ83" s="21" t="n">
        <v>212.064</v>
      </c>
      <c r="LA83" s="21" t="n">
        <v>272.532</v>
      </c>
      <c r="LB83" s="21" t="n">
        <v>121.914</v>
      </c>
      <c r="LC83" s="21" t="n">
        <v>380.695</v>
      </c>
      <c r="LD83" s="21" t="n">
        <v>82.095</v>
      </c>
      <c r="LE83" s="21" t="n">
        <v>133.414</v>
      </c>
      <c r="LF83" s="21" t="n">
        <v>353.602</v>
      </c>
      <c r="LG83" s="21" t="n">
        <v>345.776</v>
      </c>
      <c r="LH83" s="21" t="n">
        <v>357.631</v>
      </c>
      <c r="LI83" s="21" t="n">
        <v>328.266</v>
      </c>
      <c r="LJ83" s="21" t="n">
        <v>363.317</v>
      </c>
      <c r="LK83" s="21" t="n">
        <v>128.13</v>
      </c>
      <c r="LL83" s="21" t="n">
        <v>324.022</v>
      </c>
      <c r="LM83" s="21" t="n">
        <v>231.845</v>
      </c>
      <c r="LN83" s="21" t="n">
        <v>37.371</v>
      </c>
      <c r="LO83" s="21" t="n">
        <v>139.445</v>
      </c>
    </row>
    <row r="84">
      <c r="A84" s="22" t="n">
        <v>44501</v>
      </c>
      <c r="B84" s="21" t="n">
        <v>278.919</v>
      </c>
      <c r="C84" s="21" t="n">
        <v>284.767</v>
      </c>
      <c r="D84" s="21" t="n">
        <v>286.151</v>
      </c>
      <c r="E84" s="21" t="n">
        <v>267.473</v>
      </c>
      <c r="F84" s="21" t="n">
        <v>296.668</v>
      </c>
      <c r="G84" s="21" t="n">
        <v>242.807</v>
      </c>
      <c r="H84" s="21" t="n">
        <v>254.198</v>
      </c>
      <c r="I84" s="21" t="n">
        <v>238.343</v>
      </c>
      <c r="J84" s="21" t="n">
        <v>249.824</v>
      </c>
      <c r="K84" s="21" t="n">
        <v>327.648</v>
      </c>
      <c r="L84" s="21" t="n">
        <v>200.415</v>
      </c>
      <c r="M84" s="21" t="n">
        <v>197.481</v>
      </c>
      <c r="N84" s="21" t="n">
        <v>305.434</v>
      </c>
      <c r="O84" s="21" t="n">
        <v>280.956</v>
      </c>
      <c r="P84" s="21" t="n">
        <v>292.876</v>
      </c>
      <c r="Q84" s="21" t="n">
        <v>339.673</v>
      </c>
      <c r="R84" s="21" t="n">
        <v>284.222</v>
      </c>
      <c r="S84" s="21" t="n">
        <v>300.218</v>
      </c>
      <c r="T84" s="21" t="n">
        <v>305.427</v>
      </c>
      <c r="U84" s="21" t="n">
        <v>316.991</v>
      </c>
      <c r="V84" s="21" t="n">
        <v>402.918</v>
      </c>
      <c r="W84" s="21" t="n">
        <v>333.742</v>
      </c>
      <c r="X84" s="21" t="n">
        <v>329.196</v>
      </c>
      <c r="Y84" s="21" t="n">
        <v>275.859</v>
      </c>
      <c r="Z84" s="21" t="n">
        <v>263.836</v>
      </c>
      <c r="AA84" s="21" t="n">
        <v>198.162</v>
      </c>
      <c r="AB84" s="21" t="n">
        <v>379.742</v>
      </c>
      <c r="AC84" s="21" t="n">
        <v>172.254</v>
      </c>
      <c r="AD84" s="21" t="n">
        <v>232.428</v>
      </c>
      <c r="AE84" s="21" t="n">
        <v>261.314</v>
      </c>
      <c r="AF84" s="21" t="n">
        <v>236.883</v>
      </c>
      <c r="AG84" s="21" t="n">
        <v>169.605</v>
      </c>
      <c r="AH84" s="21" t="n">
        <v>248.264</v>
      </c>
      <c r="AI84" s="21" t="n">
        <v>254.642</v>
      </c>
      <c r="AJ84" s="21" t="n">
        <v>159.12</v>
      </c>
      <c r="AK84" s="21" t="n">
        <v>268.643</v>
      </c>
      <c r="AL84" s="21" t="n">
        <v>174.311</v>
      </c>
      <c r="AM84" s="21" t="n">
        <v>280.043</v>
      </c>
      <c r="AN84" s="21" t="n">
        <v>262.727</v>
      </c>
      <c r="AO84" s="21" t="n">
        <v>168.714</v>
      </c>
      <c r="AP84" s="21" t="n">
        <v>337.47</v>
      </c>
      <c r="AQ84" s="21" t="n">
        <v>214.629</v>
      </c>
      <c r="AR84" s="21" t="n">
        <v>163.306</v>
      </c>
      <c r="AS84" s="21" t="n">
        <v>227.276</v>
      </c>
      <c r="AT84" s="21" t="n">
        <v>346.187</v>
      </c>
      <c r="AU84" s="21" t="n">
        <v>232.082</v>
      </c>
      <c r="AV84" s="21" t="n">
        <v>233.157</v>
      </c>
      <c r="AW84" s="21" t="n">
        <v>157.118</v>
      </c>
      <c r="AX84" s="21" t="n">
        <v>230.717</v>
      </c>
      <c r="AY84" s="21" t="n">
        <v>160.316</v>
      </c>
      <c r="AZ84" s="21" t="n">
        <v>241.573</v>
      </c>
      <c r="BA84" s="21" t="n">
        <v>231.679</v>
      </c>
      <c r="BB84" s="21" t="n">
        <v>155.123</v>
      </c>
      <c r="BC84" s="21" t="n">
        <v>319.871</v>
      </c>
      <c r="BD84" s="21" t="n">
        <v>369.338</v>
      </c>
      <c r="BE84" s="21" t="n">
        <v>382.838</v>
      </c>
      <c r="BF84" s="21" t="n">
        <v>349.317</v>
      </c>
      <c r="BG84" s="21" t="n">
        <v>199.042</v>
      </c>
      <c r="BH84" s="21" t="n">
        <v>267.433</v>
      </c>
      <c r="BI84" s="21" t="n">
        <v>515.822</v>
      </c>
      <c r="BJ84" s="21" t="n">
        <v>129.779</v>
      </c>
      <c r="BK84" s="21" t="n">
        <v>353.858</v>
      </c>
      <c r="BL84" s="21" t="n">
        <v>373.858</v>
      </c>
      <c r="BM84" s="21" t="n">
        <v>357.017</v>
      </c>
      <c r="BN84" s="21" t="n">
        <v>354.428</v>
      </c>
      <c r="BO84" s="21" t="n">
        <v>350.633</v>
      </c>
      <c r="BP84" s="21" t="n">
        <v>169.915</v>
      </c>
      <c r="BQ84" s="21" t="n">
        <v>178.889</v>
      </c>
      <c r="BR84" s="21" t="n">
        <v>164.018</v>
      </c>
      <c r="BS84" s="21" t="n">
        <v>195.059</v>
      </c>
      <c r="BT84" s="21" t="n">
        <v>156.252</v>
      </c>
      <c r="BU84" s="21" t="n">
        <v>209.806</v>
      </c>
      <c r="BV84" s="21" t="n">
        <v>165.385</v>
      </c>
      <c r="BW84" s="21" t="n">
        <v>186.868</v>
      </c>
      <c r="BX84" s="21" t="n">
        <v>147.608</v>
      </c>
      <c r="BY84" s="21" t="n">
        <v>191.799</v>
      </c>
      <c r="BZ84" s="21" t="n">
        <v>130.943</v>
      </c>
      <c r="CA84" s="21" t="n">
        <v>123.532</v>
      </c>
      <c r="CB84" s="21" t="n">
        <v>206.686</v>
      </c>
      <c r="CC84" s="21" t="n">
        <v>216.638</v>
      </c>
      <c r="CD84" s="21" t="n">
        <v>134.459</v>
      </c>
      <c r="CE84" s="21" t="n">
        <v>230.646</v>
      </c>
      <c r="CF84" s="21" t="n">
        <v>239.05</v>
      </c>
      <c r="CG84" s="21" t="n">
        <v>215.353</v>
      </c>
      <c r="CH84" s="21" t="n">
        <v>161.215</v>
      </c>
      <c r="CI84" s="21" t="n">
        <v>166.445</v>
      </c>
      <c r="CJ84" s="21" t="n">
        <v>250.249</v>
      </c>
      <c r="CK84" s="21" t="n">
        <v>212.729</v>
      </c>
      <c r="CL84" s="21" t="n">
        <v>250.199</v>
      </c>
      <c r="CM84" s="21" t="n">
        <v>321.113</v>
      </c>
      <c r="CN84" s="21" t="n">
        <v>141.697</v>
      </c>
      <c r="CO84" s="21" t="n">
        <v>179.69</v>
      </c>
      <c r="CP84" s="21" t="n">
        <v>246</v>
      </c>
      <c r="CQ84" s="21" t="n">
        <v>266.757</v>
      </c>
      <c r="CR84" s="21" t="n">
        <v>183.99</v>
      </c>
      <c r="CS84" s="21" t="n">
        <v>275.67</v>
      </c>
      <c r="CT84" s="21" t="n">
        <v>263.924</v>
      </c>
      <c r="CU84" s="21" t="n">
        <v>169.674</v>
      </c>
      <c r="CV84" s="21" t="n">
        <v>155.559</v>
      </c>
      <c r="CW84" s="21" t="n">
        <v>150.824</v>
      </c>
      <c r="CX84" s="21" t="n">
        <v>304.323</v>
      </c>
      <c r="CY84" s="21" t="n">
        <v>144.642</v>
      </c>
      <c r="CZ84" s="21" t="n">
        <v>140.434</v>
      </c>
      <c r="DA84" s="21" t="n">
        <v>315.481</v>
      </c>
      <c r="DB84" s="21" t="n">
        <v>194.875</v>
      </c>
      <c r="DC84" s="21" t="n">
        <v>91.11</v>
      </c>
      <c r="DD84" s="21" t="n">
        <v>54.044</v>
      </c>
      <c r="DE84" s="21" t="n">
        <v>210.495</v>
      </c>
      <c r="DF84" s="21" t="n">
        <v>264.957</v>
      </c>
      <c r="DG84" s="21" t="n">
        <v>213.907</v>
      </c>
      <c r="DH84" s="21" t="n">
        <v>243.783</v>
      </c>
      <c r="DI84" s="21" t="n">
        <v>203.829</v>
      </c>
      <c r="DJ84" s="21" t="n">
        <v>215.195</v>
      </c>
      <c r="DK84" s="21" t="n">
        <v>200.533</v>
      </c>
      <c r="DL84" s="21" t="n">
        <v>174.927</v>
      </c>
      <c r="DM84" s="21" t="n">
        <v>377.515</v>
      </c>
      <c r="DN84" s="21" t="n">
        <v>207.454</v>
      </c>
      <c r="DO84" s="21" t="n">
        <v>286.952</v>
      </c>
      <c r="DP84" s="21" t="n">
        <v>340.544</v>
      </c>
      <c r="DQ84" s="21" t="n">
        <v>354.215</v>
      </c>
      <c r="DR84" s="21" t="n">
        <v>179.13</v>
      </c>
      <c r="DS84" s="21" t="n">
        <v>589.746</v>
      </c>
      <c r="DT84" s="21" t="n">
        <v>367.624</v>
      </c>
      <c r="DU84" s="21" t="n">
        <v>348.902</v>
      </c>
      <c r="DV84" s="21" t="n">
        <v>348.91</v>
      </c>
      <c r="DW84" s="21" t="n">
        <v>271.75</v>
      </c>
      <c r="DX84" s="21" t="n">
        <v>226.648</v>
      </c>
      <c r="DY84" s="21" t="n">
        <v>344.79</v>
      </c>
      <c r="DZ84" s="21" t="n">
        <v>330.8</v>
      </c>
      <c r="EA84" s="21" t="n">
        <v>435.719</v>
      </c>
      <c r="EB84" s="21" t="n">
        <v>229.48</v>
      </c>
      <c r="EC84" s="21" t="n">
        <v>231.427</v>
      </c>
      <c r="ED84" s="21" t="n">
        <v>219.371</v>
      </c>
      <c r="EE84" s="21" t="n">
        <v>264.58</v>
      </c>
      <c r="EF84" s="21" t="n">
        <v>610.952</v>
      </c>
      <c r="EG84" s="21" t="n">
        <v>529.053</v>
      </c>
      <c r="EH84" s="21" t="n">
        <v>135.917</v>
      </c>
      <c r="EI84" s="21" t="n">
        <v>59.396</v>
      </c>
      <c r="EJ84" s="21" t="n">
        <v>71.678</v>
      </c>
      <c r="EK84" s="21" t="n">
        <v>43.739</v>
      </c>
      <c r="EL84" s="21" t="n">
        <v>129.017</v>
      </c>
      <c r="EM84" s="21" t="n">
        <v>80.43899999999999</v>
      </c>
      <c r="EN84" s="21" t="n">
        <v>86.47199999999999</v>
      </c>
      <c r="EO84" s="21" t="n">
        <v>101.418</v>
      </c>
      <c r="EP84" s="21" t="n">
        <v>112.672</v>
      </c>
      <c r="EQ84" s="21" t="n">
        <v>72.176</v>
      </c>
      <c r="ER84" s="21" t="n">
        <v>52.771</v>
      </c>
      <c r="ES84" s="21" t="n">
        <v>142.81</v>
      </c>
      <c r="ET84" s="21" t="n">
        <v>82.79300000000001</v>
      </c>
      <c r="EU84" s="21" t="n">
        <v>100.055</v>
      </c>
      <c r="EV84" s="21" t="n">
        <v>107.188</v>
      </c>
      <c r="EW84" s="21" t="n">
        <v>97.208</v>
      </c>
      <c r="EX84" s="21" t="n">
        <v>201.718</v>
      </c>
      <c r="EY84" s="21" t="n">
        <v>128.168</v>
      </c>
      <c r="EZ84" s="21" t="n">
        <v>121.706</v>
      </c>
      <c r="FA84" s="21" t="n">
        <v>197.064</v>
      </c>
      <c r="FB84" s="21" t="n">
        <v>123.61</v>
      </c>
      <c r="FC84" s="21" t="n">
        <v>120.849</v>
      </c>
      <c r="FD84" s="21" t="n">
        <v>123.12</v>
      </c>
      <c r="FE84" s="21" t="n">
        <v>98.967</v>
      </c>
      <c r="FF84" s="21" t="n">
        <v>172.293</v>
      </c>
      <c r="FG84" s="21" t="n">
        <v>73.898</v>
      </c>
      <c r="FH84" s="21" t="n">
        <v>126.661</v>
      </c>
      <c r="FI84" s="21" t="n">
        <v>109.904</v>
      </c>
      <c r="FJ84" s="21" t="n">
        <v>102.19</v>
      </c>
      <c r="FK84" s="21" t="n">
        <v>103.166</v>
      </c>
      <c r="FL84" s="21" t="n">
        <v>98.955</v>
      </c>
      <c r="FM84" s="21" t="n">
        <v>104.282</v>
      </c>
      <c r="FN84" s="21" t="n">
        <v>70.711</v>
      </c>
      <c r="FO84" s="21" t="n">
        <v>101.592</v>
      </c>
      <c r="FP84" s="21" t="n">
        <v>97.066</v>
      </c>
      <c r="FQ84" s="21" t="n">
        <v>140.597</v>
      </c>
      <c r="FR84" s="21" t="n">
        <v>145.969</v>
      </c>
      <c r="FS84" s="21" t="n">
        <v>160.449</v>
      </c>
      <c r="FT84" s="21" t="n">
        <v>127.096</v>
      </c>
      <c r="FU84" s="21" t="n">
        <v>117.91</v>
      </c>
      <c r="FV84" s="21" t="n">
        <v>182.676</v>
      </c>
      <c r="FW84" s="21" t="n">
        <v>145.114</v>
      </c>
      <c r="FX84" s="21" t="n">
        <v>181.387</v>
      </c>
      <c r="FY84" s="21" t="n">
        <v>248.066</v>
      </c>
      <c r="FZ84" s="21" t="n">
        <v>248.483</v>
      </c>
      <c r="GA84" s="21" t="n">
        <v>123.332</v>
      </c>
      <c r="GB84" s="21" t="n">
        <v>164.865</v>
      </c>
      <c r="GC84" s="21" t="n">
        <v>114.306</v>
      </c>
      <c r="GD84" s="21" t="n">
        <v>160.282</v>
      </c>
      <c r="GE84" s="21" t="n">
        <v>175.947</v>
      </c>
      <c r="GF84" s="21" t="n"/>
      <c r="GG84" s="21" t="n">
        <v>203.485</v>
      </c>
      <c r="GH84" s="21" t="n"/>
      <c r="GI84" s="21" t="n">
        <v>199.242</v>
      </c>
      <c r="GJ84" s="21" t="n">
        <v>306.166</v>
      </c>
      <c r="GK84" s="21" t="n">
        <v>305.127</v>
      </c>
      <c r="GL84" s="21" t="n">
        <v>300.382</v>
      </c>
      <c r="GM84" s="21" t="n">
        <v>324.555</v>
      </c>
      <c r="GN84" s="21" t="n">
        <v>313.256</v>
      </c>
      <c r="GO84" s="21" t="n">
        <v>270.088</v>
      </c>
      <c r="GP84" s="21" t="n">
        <v>162.524</v>
      </c>
      <c r="GQ84" s="21" t="n">
        <v>138.803</v>
      </c>
      <c r="GR84" s="21" t="n">
        <v>325.076</v>
      </c>
      <c r="GS84" s="21" t="n">
        <v>199.387</v>
      </c>
      <c r="GT84" s="21" t="n">
        <v>569.447</v>
      </c>
      <c r="GU84" s="21" t="n">
        <v>218.992</v>
      </c>
      <c r="GV84" s="21" t="n">
        <v>252.414</v>
      </c>
      <c r="GW84" s="21" t="n">
        <v>228.572</v>
      </c>
      <c r="GX84" s="21" t="n">
        <v>212.465</v>
      </c>
      <c r="GY84" s="21" t="n">
        <v>160.496</v>
      </c>
      <c r="GZ84" s="21" t="n"/>
      <c r="HA84" s="21" t="n">
        <v>63.212</v>
      </c>
      <c r="HB84" s="21" t="n">
        <v>529.542</v>
      </c>
      <c r="HC84" s="21" t="n">
        <v>379.483</v>
      </c>
      <c r="HD84" s="21" t="n">
        <v>124.422</v>
      </c>
      <c r="HE84" s="21" t="n">
        <v>524.509</v>
      </c>
      <c r="HF84" s="21" t="n">
        <v>96.68600000000001</v>
      </c>
      <c r="HG84" s="21" t="n">
        <v>577.956</v>
      </c>
      <c r="HH84" s="21" t="n">
        <v>404.22</v>
      </c>
      <c r="HI84" s="21" t="n">
        <v>408.843</v>
      </c>
      <c r="HJ84" s="21" t="n">
        <v>526.02</v>
      </c>
      <c r="HK84" s="21" t="n">
        <v>195.256</v>
      </c>
      <c r="HL84" s="21" t="n">
        <v>248.614</v>
      </c>
      <c r="HM84" s="21" t="n">
        <v>87.295</v>
      </c>
      <c r="HN84" s="21" t="n">
        <v>367.479</v>
      </c>
      <c r="HO84" s="21" t="n">
        <v>356.093</v>
      </c>
      <c r="HP84" s="21" t="n">
        <v>795.8819999999999</v>
      </c>
      <c r="HQ84" s="21" t="n">
        <v>251.858</v>
      </c>
      <c r="HR84" s="21" t="n">
        <v>127.338</v>
      </c>
      <c r="HS84" s="21" t="n">
        <v>112.143</v>
      </c>
      <c r="HT84" s="21" t="n">
        <v>142.108</v>
      </c>
      <c r="HU84" s="21" t="n">
        <v>530.716</v>
      </c>
      <c r="HV84" s="21" t="n">
        <v>124.553</v>
      </c>
      <c r="HW84" s="21" t="n">
        <v>25.568</v>
      </c>
      <c r="HX84" s="21" t="n">
        <v>187.309</v>
      </c>
      <c r="HY84" s="21" t="n">
        <v>206.598</v>
      </c>
      <c r="HZ84" s="21" t="n">
        <v>157.431</v>
      </c>
      <c r="IA84" s="21" t="n">
        <v>118.64</v>
      </c>
      <c r="IB84" s="21" t="n">
        <v>278.634</v>
      </c>
      <c r="IC84" s="21" t="n">
        <v>214.917</v>
      </c>
      <c r="ID84" s="21" t="n">
        <v>290.93</v>
      </c>
      <c r="IE84" s="21" t="n">
        <v>125.235</v>
      </c>
      <c r="IF84" s="21" t="n">
        <v>176.251</v>
      </c>
      <c r="IG84" s="21" t="n">
        <v>82.999</v>
      </c>
      <c r="IH84" s="21" t="n">
        <v>78.76300000000001</v>
      </c>
      <c r="II84" s="21" t="n">
        <v>59.162</v>
      </c>
      <c r="IJ84" s="21" t="n">
        <v>24.853</v>
      </c>
      <c r="IK84" s="21" t="n">
        <v>33.752</v>
      </c>
      <c r="IL84" s="21" t="n">
        <v>29.28</v>
      </c>
      <c r="IM84" s="21" t="n">
        <v>38.143</v>
      </c>
      <c r="IN84" s="21" t="n">
        <v>97.16</v>
      </c>
      <c r="IO84" s="21" t="n">
        <v>108.179</v>
      </c>
      <c r="IP84" s="21" t="n">
        <v>179.402</v>
      </c>
      <c r="IQ84" s="21" t="n">
        <v>147.115</v>
      </c>
      <c r="IR84" s="21" t="n">
        <v>408.902</v>
      </c>
      <c r="IS84" s="21" t="n">
        <v>197.515</v>
      </c>
      <c r="IT84" s="21" t="n">
        <v>236.622</v>
      </c>
      <c r="IU84" s="21" t="n">
        <v>341.685</v>
      </c>
      <c r="IV84" s="21" t="n">
        <v>275.845</v>
      </c>
      <c r="IW84" s="21" t="n">
        <v>143.659</v>
      </c>
      <c r="IX84" s="21" t="n">
        <v>277.096</v>
      </c>
      <c r="IY84" s="21" t="n">
        <v>682.9109999999999</v>
      </c>
      <c r="IZ84" s="21" t="n">
        <v>796.4589999999999</v>
      </c>
      <c r="JA84" s="21" t="n">
        <v>892.8680000000001</v>
      </c>
      <c r="JB84" s="21" t="n">
        <v>87.654</v>
      </c>
      <c r="JC84" s="21" t="n">
        <v>321.845</v>
      </c>
      <c r="JD84" s="21" t="n">
        <v>264.557</v>
      </c>
      <c r="JE84" s="21" t="n">
        <v>76.3</v>
      </c>
      <c r="JF84" s="21" t="n">
        <v>217.827</v>
      </c>
      <c r="JG84" s="21" t="n">
        <v>342.877</v>
      </c>
      <c r="JH84" s="21" t="n">
        <v>350.058</v>
      </c>
      <c r="JI84" s="21" t="n">
        <v>71.98099999999999</v>
      </c>
      <c r="JJ84" s="21" t="n">
        <v>110.427</v>
      </c>
      <c r="JK84" s="21" t="n">
        <v>39.78</v>
      </c>
      <c r="JL84" s="21" t="n">
        <v>80.14700000000001</v>
      </c>
      <c r="JM84" s="21" t="n">
        <v>151.526</v>
      </c>
      <c r="JN84" s="21" t="n">
        <v>485.164</v>
      </c>
      <c r="JO84" s="21" t="n">
        <v>81.893</v>
      </c>
      <c r="JP84" s="21" t="n">
        <v>536.761</v>
      </c>
      <c r="JQ84" s="21" t="n">
        <v>246.751</v>
      </c>
      <c r="JR84" s="21" t="n">
        <v>159.425</v>
      </c>
      <c r="JS84" s="21" t="n">
        <v>474.401</v>
      </c>
      <c r="JT84" s="21" t="n">
        <v>380.812</v>
      </c>
      <c r="JU84" s="21" t="n">
        <v>350.677</v>
      </c>
      <c r="JV84" s="21" t="n">
        <v>194.799</v>
      </c>
      <c r="JW84" s="21" t="n">
        <v>376.816</v>
      </c>
      <c r="JX84" s="21" t="n">
        <v>272.817</v>
      </c>
      <c r="JY84" s="21" t="n">
        <v>79.50700000000001</v>
      </c>
      <c r="JZ84" s="21" t="n">
        <v>169.959</v>
      </c>
      <c r="KA84" s="21" t="n">
        <v>266.873</v>
      </c>
      <c r="KB84" s="21" t="n">
        <v>283.047</v>
      </c>
      <c r="KC84" s="21" t="n">
        <v>277.769</v>
      </c>
      <c r="KD84" s="21" t="n">
        <v>283.406</v>
      </c>
      <c r="KE84" s="21" t="n">
        <v>257.843</v>
      </c>
      <c r="KF84" s="21" t="n">
        <v>250.499</v>
      </c>
      <c r="KG84" s="21" t="n">
        <v>251.597</v>
      </c>
      <c r="KH84" s="21" t="n">
        <v>252.475</v>
      </c>
      <c r="KI84" s="21" t="n">
        <v>115.114</v>
      </c>
      <c r="KJ84" s="21" t="n">
        <v>209.05</v>
      </c>
      <c r="KK84" s="21" t="n">
        <v>174.34</v>
      </c>
      <c r="KL84" s="21" t="n">
        <v>171.065</v>
      </c>
      <c r="KM84" s="21" t="n">
        <v>160.247</v>
      </c>
      <c r="KN84" s="21" t="n">
        <v>154.19</v>
      </c>
      <c r="KO84" s="21" t="n">
        <v>275.508</v>
      </c>
      <c r="KP84" s="21" t="n">
        <v>124.165</v>
      </c>
      <c r="KQ84" s="21" t="n">
        <v>68.14100000000001</v>
      </c>
      <c r="KR84" s="21" t="n">
        <v>116.562</v>
      </c>
      <c r="KS84" s="21" t="n">
        <v>263.798</v>
      </c>
      <c r="KT84" s="21" t="n">
        <v>310.645</v>
      </c>
      <c r="KU84" s="21" t="n">
        <v>99.01000000000001</v>
      </c>
      <c r="KV84" s="21" t="n">
        <v>48.288</v>
      </c>
      <c r="KW84" s="21" t="n">
        <v>250.212</v>
      </c>
      <c r="KX84" s="21" t="n">
        <v>219.82</v>
      </c>
      <c r="KY84" s="21" t="n">
        <v>277.105</v>
      </c>
      <c r="KZ84" s="21" t="n">
        <v>217.056</v>
      </c>
      <c r="LA84" s="21" t="n">
        <v>279.937</v>
      </c>
      <c r="LB84" s="21" t="n">
        <v>122.406</v>
      </c>
      <c r="LC84" s="21" t="n">
        <v>380.436</v>
      </c>
      <c r="LD84" s="21" t="n">
        <v>82.354</v>
      </c>
      <c r="LE84" s="21" t="n">
        <v>132.847</v>
      </c>
      <c r="LF84" s="21" t="n">
        <v>355.307</v>
      </c>
      <c r="LG84" s="21" t="n">
        <v>347.128</v>
      </c>
      <c r="LH84" s="21" t="n">
        <v>359.116</v>
      </c>
      <c r="LI84" s="21" t="n">
        <v>329.612</v>
      </c>
      <c r="LJ84" s="21" t="n">
        <v>364.386</v>
      </c>
      <c r="LK84" s="21" t="n">
        <v>130.961</v>
      </c>
      <c r="LL84" s="21" t="n">
        <v>327.587</v>
      </c>
      <c r="LM84" s="21" t="n">
        <v>232.975</v>
      </c>
      <c r="LN84" s="21" t="n">
        <v>37.449</v>
      </c>
      <c r="LO84" s="21" t="n">
        <v>139.452</v>
      </c>
    </row>
    <row r="85">
      <c r="A85" s="22" t="n">
        <v>44531</v>
      </c>
      <c r="B85" s="21" t="n">
        <v>280.845</v>
      </c>
      <c r="C85" s="21" t="n">
        <v>286.343</v>
      </c>
      <c r="D85" s="21" t="n">
        <v>287.812</v>
      </c>
      <c r="E85" s="21" t="n">
        <v>268.985</v>
      </c>
      <c r="F85" s="21" t="n">
        <v>298.781</v>
      </c>
      <c r="G85" s="21" t="n">
        <v>245.781</v>
      </c>
      <c r="H85" s="21" t="n">
        <v>256.264</v>
      </c>
      <c r="I85" s="21" t="n">
        <v>241.597</v>
      </c>
      <c r="J85" s="21" t="n">
        <v>252.903</v>
      </c>
      <c r="K85" s="21" t="n">
        <v>328.129</v>
      </c>
      <c r="L85" s="21" t="n">
        <v>200.504</v>
      </c>
      <c r="M85" s="21" t="n">
        <v>194.413</v>
      </c>
      <c r="N85" s="21" t="n">
        <v>307.683</v>
      </c>
      <c r="O85" s="21" t="n">
        <v>286.068</v>
      </c>
      <c r="P85" s="21" t="n">
        <v>294.901</v>
      </c>
      <c r="Q85" s="21" t="n">
        <v>348.515</v>
      </c>
      <c r="R85" s="21" t="n">
        <v>287.864</v>
      </c>
      <c r="S85" s="21" t="n">
        <v>299.09</v>
      </c>
      <c r="T85" s="21" t="n">
        <v>304.618</v>
      </c>
      <c r="U85" s="21" t="n">
        <v>314.628</v>
      </c>
      <c r="V85" s="21" t="n">
        <v>395.596</v>
      </c>
      <c r="W85" s="21" t="n">
        <v>330.599</v>
      </c>
      <c r="X85" s="21" t="n">
        <v>318.437</v>
      </c>
      <c r="Y85" s="21" t="n">
        <v>269.638</v>
      </c>
      <c r="Z85" s="21" t="n">
        <v>262.112</v>
      </c>
      <c r="AA85" s="21" t="n">
        <v>198.439</v>
      </c>
      <c r="AB85" s="21" t="n">
        <v>380.861</v>
      </c>
      <c r="AC85" s="21" t="n">
        <v>173.083</v>
      </c>
      <c r="AD85" s="21" t="n">
        <v>232.055</v>
      </c>
      <c r="AE85" s="21" t="n">
        <v>261.218</v>
      </c>
      <c r="AF85" s="21" t="n">
        <v>234.362</v>
      </c>
      <c r="AG85" s="21" t="n">
        <v>162.026</v>
      </c>
      <c r="AH85" s="21" t="n">
        <v>252.353</v>
      </c>
      <c r="AI85" s="21" t="n">
        <v>250.638</v>
      </c>
      <c r="AJ85" s="21" t="n">
        <v>163.359</v>
      </c>
      <c r="AK85" s="21" t="n">
        <v>270.367</v>
      </c>
      <c r="AL85" s="21" t="n">
        <v>175.437</v>
      </c>
      <c r="AM85" s="21" t="n">
        <v>282.109</v>
      </c>
      <c r="AN85" s="21" t="n">
        <v>264.182</v>
      </c>
      <c r="AO85" s="21" t="n">
        <v>169.553</v>
      </c>
      <c r="AP85" s="21" t="n">
        <v>339.321</v>
      </c>
      <c r="AQ85" s="21" t="n">
        <v>215.658</v>
      </c>
      <c r="AR85" s="21" t="n">
        <v>165.273</v>
      </c>
      <c r="AS85" s="21" t="n">
        <v>227.354</v>
      </c>
      <c r="AT85" s="21" t="n">
        <v>352.76</v>
      </c>
      <c r="AU85" s="21" t="n">
        <v>226.804</v>
      </c>
      <c r="AV85" s="21" t="n">
        <v>235.442</v>
      </c>
      <c r="AW85" s="21" t="n">
        <v>160.028</v>
      </c>
      <c r="AX85" s="21" t="n">
        <v>233.097</v>
      </c>
      <c r="AY85" s="21" t="n">
        <v>163.46</v>
      </c>
      <c r="AZ85" s="21" t="n">
        <v>242.001</v>
      </c>
      <c r="BA85" s="21" t="n">
        <v>235.367</v>
      </c>
      <c r="BB85" s="21" t="n">
        <v>156.569</v>
      </c>
      <c r="BC85" s="21" t="n">
        <v>323.704</v>
      </c>
      <c r="BD85" s="21" t="n">
        <v>374.054</v>
      </c>
      <c r="BE85" s="21" t="n">
        <v>390.902</v>
      </c>
      <c r="BF85" s="21" t="n">
        <v>351.892</v>
      </c>
      <c r="BG85" s="21" t="n">
        <v>200.986</v>
      </c>
      <c r="BH85" s="21" t="n">
        <v>284.917</v>
      </c>
      <c r="BI85" s="21" t="n">
        <v>556.683</v>
      </c>
      <c r="BJ85" s="21" t="n">
        <v>130.16</v>
      </c>
      <c r="BK85" s="21" t="n">
        <v>355.15</v>
      </c>
      <c r="BL85" s="21" t="n">
        <v>389.553</v>
      </c>
      <c r="BM85" s="21" t="n">
        <v>360.625</v>
      </c>
      <c r="BN85" s="21" t="n">
        <v>349.832</v>
      </c>
      <c r="BO85" s="21" t="n">
        <v>352.679</v>
      </c>
      <c r="BP85" s="21" t="n">
        <v>171.465</v>
      </c>
      <c r="BQ85" s="21" t="n">
        <v>179.502</v>
      </c>
      <c r="BR85" s="21" t="n">
        <v>169.569</v>
      </c>
      <c r="BS85" s="21" t="n">
        <v>193.112</v>
      </c>
      <c r="BT85" s="21" t="n">
        <v>160.582</v>
      </c>
      <c r="BU85" s="21" t="n">
        <v>215.273</v>
      </c>
      <c r="BV85" s="21" t="n">
        <v>165.388</v>
      </c>
      <c r="BW85" s="21" t="n">
        <v>188.257</v>
      </c>
      <c r="BX85" s="21" t="n">
        <v>149.287</v>
      </c>
      <c r="BY85" s="21" t="n">
        <v>194.625</v>
      </c>
      <c r="BZ85" s="21" t="n">
        <v>132.42</v>
      </c>
      <c r="CA85" s="21" t="n">
        <v>123.704</v>
      </c>
      <c r="CB85" s="21" t="n">
        <v>208.305</v>
      </c>
      <c r="CC85" s="21" t="n">
        <v>218.42</v>
      </c>
      <c r="CD85" s="21" t="n">
        <v>133.585</v>
      </c>
      <c r="CE85" s="21" t="n">
        <v>232.293</v>
      </c>
      <c r="CF85" s="21" t="n">
        <v>241.933</v>
      </c>
      <c r="CG85" s="21" t="n">
        <v>216.545</v>
      </c>
      <c r="CH85" s="21" t="n">
        <v>163.989</v>
      </c>
      <c r="CI85" s="21" t="n">
        <v>164.564</v>
      </c>
      <c r="CJ85" s="21" t="n">
        <v>251.205</v>
      </c>
      <c r="CK85" s="21" t="n">
        <v>214.427</v>
      </c>
      <c r="CL85" s="21" t="n">
        <v>247.222</v>
      </c>
      <c r="CM85" s="21" t="n">
        <v>331.22</v>
      </c>
      <c r="CN85" s="21" t="n">
        <v>143.405</v>
      </c>
      <c r="CO85" s="21" t="n">
        <v>179.975</v>
      </c>
      <c r="CP85" s="21" t="n">
        <v>247.661</v>
      </c>
      <c r="CQ85" s="21" t="n">
        <v>268.41</v>
      </c>
      <c r="CR85" s="21" t="n">
        <v>183.899</v>
      </c>
      <c r="CS85" s="21" t="n">
        <v>276.966</v>
      </c>
      <c r="CT85" s="21" t="n">
        <v>264.718</v>
      </c>
      <c r="CU85" s="21" t="n">
        <v>170.5</v>
      </c>
      <c r="CV85" s="21" t="n">
        <v>157.273</v>
      </c>
      <c r="CW85" s="21" t="n">
        <v>151.222</v>
      </c>
      <c r="CX85" s="21" t="n">
        <v>305.557</v>
      </c>
      <c r="CY85" s="21" t="n">
        <v>146.306</v>
      </c>
      <c r="CZ85" s="21" t="n">
        <v>139.835</v>
      </c>
      <c r="DA85" s="21" t="n">
        <v>317.372</v>
      </c>
      <c r="DB85" s="21" t="n">
        <v>196.449</v>
      </c>
      <c r="DC85" s="21" t="n">
        <v>83.876</v>
      </c>
      <c r="DD85" s="21" t="n">
        <v>47.349</v>
      </c>
      <c r="DE85" s="21" t="n">
        <v>211.697</v>
      </c>
      <c r="DF85" s="21" t="n">
        <v>265.41</v>
      </c>
      <c r="DG85" s="21" t="n">
        <v>213.789</v>
      </c>
      <c r="DH85" s="21" t="n">
        <v>243.84</v>
      </c>
      <c r="DI85" s="21" t="n">
        <v>203.708</v>
      </c>
      <c r="DJ85" s="21" t="n">
        <v>215.514</v>
      </c>
      <c r="DK85" s="21" t="n">
        <v>200.271</v>
      </c>
      <c r="DL85" s="21" t="n">
        <v>174.171</v>
      </c>
      <c r="DM85" s="21" t="n">
        <v>381.344</v>
      </c>
      <c r="DN85" s="21" t="n">
        <v>209.591</v>
      </c>
      <c r="DO85" s="21" t="n">
        <v>288.28</v>
      </c>
      <c r="DP85" s="21" t="n">
        <v>341.931</v>
      </c>
      <c r="DQ85" s="21" t="n">
        <v>355.588</v>
      </c>
      <c r="DR85" s="21" t="n">
        <v>180.743</v>
      </c>
      <c r="DS85" s="21" t="n">
        <v>590.689</v>
      </c>
      <c r="DT85" s="21" t="n">
        <v>371.265</v>
      </c>
      <c r="DU85" s="21" t="n">
        <v>350.281</v>
      </c>
      <c r="DV85" s="21" t="n">
        <v>350.278</v>
      </c>
      <c r="DW85" s="21" t="n">
        <v>272.055</v>
      </c>
      <c r="DX85" s="21" t="n">
        <v>226.773</v>
      </c>
      <c r="DY85" s="21" t="n">
        <v>343.271</v>
      </c>
      <c r="DZ85" s="21" t="n">
        <v>325.27</v>
      </c>
      <c r="EA85" s="21" t="n">
        <v>437.601</v>
      </c>
      <c r="EB85" s="21" t="n">
        <v>229.673</v>
      </c>
      <c r="EC85" s="21" t="n">
        <v>231.993</v>
      </c>
      <c r="ED85" s="21" t="n">
        <v>218.484</v>
      </c>
      <c r="EE85" s="21" t="n">
        <v>265.365</v>
      </c>
      <c r="EF85" s="21" t="n">
        <v>611.944</v>
      </c>
      <c r="EG85" s="21" t="n">
        <v>532.538</v>
      </c>
      <c r="EH85" s="21" t="n">
        <v>137.527</v>
      </c>
      <c r="EI85" s="21" t="n">
        <v>60.026</v>
      </c>
      <c r="EJ85" s="21" t="n">
        <v>72.261</v>
      </c>
      <c r="EK85" s="21" t="n">
        <v>44.582</v>
      </c>
      <c r="EL85" s="21" t="n">
        <v>131.628</v>
      </c>
      <c r="EM85" s="21" t="n">
        <v>81.66500000000001</v>
      </c>
      <c r="EN85" s="21" t="n">
        <v>87.636</v>
      </c>
      <c r="EO85" s="21" t="n">
        <v>102.679</v>
      </c>
      <c r="EP85" s="21" t="n">
        <v>116.541</v>
      </c>
      <c r="EQ85" s="21" t="n">
        <v>73.617</v>
      </c>
      <c r="ER85" s="21" t="n">
        <v>53.54</v>
      </c>
      <c r="ES85" s="21" t="n">
        <v>143.811</v>
      </c>
      <c r="ET85" s="21" t="n">
        <v>83.07599999999999</v>
      </c>
      <c r="EU85" s="21" t="n">
        <v>100.522</v>
      </c>
      <c r="EV85" s="21" t="n">
        <v>107.243</v>
      </c>
      <c r="EW85" s="21" t="n">
        <v>97.709</v>
      </c>
      <c r="EX85" s="21" t="n">
        <v>203.693</v>
      </c>
      <c r="EY85" s="21" t="n">
        <v>130.231</v>
      </c>
      <c r="EZ85" s="21" t="n">
        <v>122.272</v>
      </c>
      <c r="FA85" s="21" t="n">
        <v>200.649</v>
      </c>
      <c r="FB85" s="21" t="n">
        <v>124.753</v>
      </c>
      <c r="FC85" s="21" t="n">
        <v>121.239</v>
      </c>
      <c r="FD85" s="21" t="n">
        <v>123.592</v>
      </c>
      <c r="FE85" s="21" t="n">
        <v>98.33499999999999</v>
      </c>
      <c r="FF85" s="21" t="n">
        <v>172.275</v>
      </c>
      <c r="FG85" s="21" t="n">
        <v>75.004</v>
      </c>
      <c r="FH85" s="21" t="n">
        <v>127.817</v>
      </c>
      <c r="FI85" s="21" t="n">
        <v>110.356</v>
      </c>
      <c r="FJ85" s="21" t="n">
        <v>103.466</v>
      </c>
      <c r="FK85" s="21" t="n">
        <v>104.661</v>
      </c>
      <c r="FL85" s="21" t="n">
        <v>99.245</v>
      </c>
      <c r="FM85" s="21" t="n">
        <v>106.292</v>
      </c>
      <c r="FN85" s="21" t="n">
        <v>71.837</v>
      </c>
      <c r="FO85" s="21" t="n">
        <v>103.415</v>
      </c>
      <c r="FP85" s="21" t="n">
        <v>97.35599999999999</v>
      </c>
      <c r="FQ85" s="21" t="n">
        <v>142.415</v>
      </c>
      <c r="FR85" s="21" t="n">
        <v>147.866</v>
      </c>
      <c r="FS85" s="21" t="n">
        <v>159.639</v>
      </c>
      <c r="FT85" s="21" t="n">
        <v>128.883</v>
      </c>
      <c r="FU85" s="21" t="n">
        <v>116.76</v>
      </c>
      <c r="FV85" s="21" t="n">
        <v>185.169</v>
      </c>
      <c r="FW85" s="21" t="n">
        <v>150.074</v>
      </c>
      <c r="FX85" s="21" t="n">
        <v>182.914</v>
      </c>
      <c r="FY85" s="21" t="n">
        <v>253.118</v>
      </c>
      <c r="FZ85" s="21" t="n">
        <v>253.578</v>
      </c>
      <c r="GA85" s="21" t="n">
        <v>126.398</v>
      </c>
      <c r="GB85" s="21" t="n">
        <v>167.676</v>
      </c>
      <c r="GC85" s="21" t="n">
        <v>115.684</v>
      </c>
      <c r="GD85" s="21" t="n">
        <v>163.575</v>
      </c>
      <c r="GE85" s="21" t="n">
        <v>178.478</v>
      </c>
      <c r="GF85" s="21" t="n"/>
      <c r="GG85" s="21" t="n">
        <v>211.728</v>
      </c>
      <c r="GH85" s="21" t="n"/>
      <c r="GI85" s="21" t="n">
        <v>197.619</v>
      </c>
      <c r="GJ85" s="21" t="n">
        <v>314.669</v>
      </c>
      <c r="GK85" s="21" t="n">
        <v>313.591</v>
      </c>
      <c r="GL85" s="21" t="n">
        <v>308.558</v>
      </c>
      <c r="GM85" s="21" t="n">
        <v>334.559</v>
      </c>
      <c r="GN85" s="21" t="n">
        <v>323.122</v>
      </c>
      <c r="GO85" s="21" t="n">
        <v>267.792</v>
      </c>
      <c r="GP85" s="21" t="n">
        <v>165.122</v>
      </c>
      <c r="GQ85" s="21" t="n">
        <v>141.422</v>
      </c>
      <c r="GR85" s="21" t="n">
        <v>324.688</v>
      </c>
      <c r="GS85" s="21" t="n">
        <v>196.086</v>
      </c>
      <c r="GT85" s="21" t="n">
        <v>569.534</v>
      </c>
      <c r="GU85" s="21" t="n">
        <v>219.658</v>
      </c>
      <c r="GV85" s="21" t="n">
        <v>253.714</v>
      </c>
      <c r="GW85" s="21" t="n">
        <v>232.735</v>
      </c>
      <c r="GX85" s="21" t="n">
        <v>217.497</v>
      </c>
      <c r="GY85" s="21" t="n">
        <v>160.537</v>
      </c>
      <c r="GZ85" s="21" t="n"/>
      <c r="HA85" s="21" t="n">
        <v>63.456</v>
      </c>
      <c r="HB85" s="21" t="n">
        <v>531.045</v>
      </c>
      <c r="HC85" s="21" t="n">
        <v>379.611</v>
      </c>
      <c r="HD85" s="21" t="n">
        <v>124.437</v>
      </c>
      <c r="HE85" s="21" t="n">
        <v>525.251</v>
      </c>
      <c r="HF85" s="21" t="n">
        <v>96.884</v>
      </c>
      <c r="HG85" s="21" t="n">
        <v>579.903</v>
      </c>
      <c r="HH85" s="21" t="n">
        <v>404.764</v>
      </c>
      <c r="HI85" s="21" t="n">
        <v>408.644</v>
      </c>
      <c r="HJ85" s="21" t="n">
        <v>526.4059999999999</v>
      </c>
      <c r="HK85" s="21" t="n">
        <v>196.341</v>
      </c>
      <c r="HL85" s="21" t="n">
        <v>250.259</v>
      </c>
      <c r="HM85" s="21" t="n">
        <v>87.11199999999999</v>
      </c>
      <c r="HN85" s="21" t="n">
        <v>366.854</v>
      </c>
      <c r="HO85" s="21" t="n">
        <v>355.683</v>
      </c>
      <c r="HP85" s="21" t="n">
        <v>793.985</v>
      </c>
      <c r="HQ85" s="21" t="n">
        <v>252.182</v>
      </c>
      <c r="HR85" s="21" t="n">
        <v>127.045</v>
      </c>
      <c r="HS85" s="21" t="n">
        <v>111.403</v>
      </c>
      <c r="HT85" s="21" t="n">
        <v>138.409</v>
      </c>
      <c r="HU85" s="21" t="n">
        <v>528.088</v>
      </c>
      <c r="HV85" s="21" t="n">
        <v>121.781</v>
      </c>
      <c r="HW85" s="21" t="n">
        <v>25.48</v>
      </c>
      <c r="HX85" s="21" t="n">
        <v>188.934</v>
      </c>
      <c r="HY85" s="21" t="n">
        <v>207.516</v>
      </c>
      <c r="HZ85" s="21" t="n">
        <v>158.73</v>
      </c>
      <c r="IA85" s="21" t="n">
        <v>118.946</v>
      </c>
      <c r="IB85" s="21" t="n">
        <v>282.351</v>
      </c>
      <c r="IC85" s="21" t="n">
        <v>216.289</v>
      </c>
      <c r="ID85" s="21" t="n">
        <v>295.463</v>
      </c>
      <c r="IE85" s="21" t="n">
        <v>123.733</v>
      </c>
      <c r="IF85" s="21" t="n">
        <v>172.14</v>
      </c>
      <c r="IG85" s="21" t="n">
        <v>83.575</v>
      </c>
      <c r="IH85" s="21" t="n">
        <v>77.661</v>
      </c>
      <c r="II85" s="21" t="n">
        <v>58.434</v>
      </c>
      <c r="IJ85" s="21" t="n">
        <v>24.382</v>
      </c>
      <c r="IK85" s="21" t="n">
        <v>33.878</v>
      </c>
      <c r="IL85" s="21" t="n">
        <v>29.435</v>
      </c>
      <c r="IM85" s="21" t="n">
        <v>38.739</v>
      </c>
      <c r="IN85" s="21" t="n">
        <v>95.54000000000001</v>
      </c>
      <c r="IO85" s="21" t="n">
        <v>108.658</v>
      </c>
      <c r="IP85" s="21" t="n">
        <v>178.938</v>
      </c>
      <c r="IQ85" s="21" t="n">
        <v>147.424</v>
      </c>
      <c r="IR85" s="21" t="n">
        <v>405.863</v>
      </c>
      <c r="IS85" s="21" t="n">
        <v>198.719</v>
      </c>
      <c r="IT85" s="21" t="n">
        <v>233.036</v>
      </c>
      <c r="IU85" s="21" t="n">
        <v>341.467</v>
      </c>
      <c r="IV85" s="21" t="n">
        <v>272.606</v>
      </c>
      <c r="IW85" s="21" t="n">
        <v>143.751</v>
      </c>
      <c r="IX85" s="21" t="n">
        <v>277.44</v>
      </c>
      <c r="IY85" s="21" t="n">
        <v>683.6319999999999</v>
      </c>
      <c r="IZ85" s="21" t="n">
        <v>797.453</v>
      </c>
      <c r="JA85" s="21" t="n">
        <v>893.317</v>
      </c>
      <c r="JB85" s="21" t="n">
        <v>87.803</v>
      </c>
      <c r="JC85" s="21" t="n">
        <v>322.561</v>
      </c>
      <c r="JD85" s="21" t="n">
        <v>264.611</v>
      </c>
      <c r="JE85" s="21" t="n">
        <v>76.312</v>
      </c>
      <c r="JF85" s="21" t="n">
        <v>218.018</v>
      </c>
      <c r="JG85" s="21" t="n">
        <v>343.023</v>
      </c>
      <c r="JH85" s="21" t="n">
        <v>351.973</v>
      </c>
      <c r="JI85" s="21" t="n">
        <v>71.98999999999999</v>
      </c>
      <c r="JJ85" s="21" t="n">
        <v>110.523</v>
      </c>
      <c r="JK85" s="21" t="n">
        <v>39.401</v>
      </c>
      <c r="JL85" s="21" t="n">
        <v>80.48099999999999</v>
      </c>
      <c r="JM85" s="21" t="n">
        <v>151.948</v>
      </c>
      <c r="JN85" s="21" t="n">
        <v>489.014</v>
      </c>
      <c r="JO85" s="21" t="n">
        <v>82.47799999999999</v>
      </c>
      <c r="JP85" s="21" t="n">
        <v>540.914</v>
      </c>
      <c r="JQ85" s="21" t="n">
        <v>248.758</v>
      </c>
      <c r="JR85" s="21" t="n">
        <v>160.183</v>
      </c>
      <c r="JS85" s="21" t="n">
        <v>477.817</v>
      </c>
      <c r="JT85" s="21" t="n">
        <v>382.358</v>
      </c>
      <c r="JU85" s="21" t="n">
        <v>352.118</v>
      </c>
      <c r="JV85" s="21" t="n">
        <v>197.17</v>
      </c>
      <c r="JW85" s="21" t="n">
        <v>378.805</v>
      </c>
      <c r="JX85" s="21" t="n"/>
      <c r="JY85" s="21" t="n">
        <v>80.438</v>
      </c>
      <c r="JZ85" s="21" t="n">
        <v>170.496</v>
      </c>
      <c r="KA85" s="21" t="n">
        <v>268.816</v>
      </c>
      <c r="KB85" s="21" t="n">
        <v>284.799</v>
      </c>
      <c r="KC85" s="21" t="n">
        <v>279.737</v>
      </c>
      <c r="KD85" s="21" t="n">
        <v>285.18</v>
      </c>
      <c r="KE85" s="21" t="n">
        <v>259.972</v>
      </c>
      <c r="KF85" s="21" t="n">
        <v>252.728</v>
      </c>
      <c r="KG85" s="21" t="n">
        <v>253.557</v>
      </c>
      <c r="KH85" s="21" t="n">
        <v>253.77</v>
      </c>
      <c r="KI85" s="21" t="n">
        <v>116.046</v>
      </c>
      <c r="KJ85" s="21" t="n">
        <v>211.65</v>
      </c>
      <c r="KK85" s="21" t="n">
        <v>177.15</v>
      </c>
      <c r="KL85" s="21" t="n">
        <v>173.923</v>
      </c>
      <c r="KM85" s="21" t="n">
        <v>162.481</v>
      </c>
      <c r="KN85" s="21" t="n">
        <v>155.521</v>
      </c>
      <c r="KO85" s="21" t="n">
        <v>276.523</v>
      </c>
      <c r="KP85" s="21" t="n">
        <v>126.453</v>
      </c>
      <c r="KQ85" s="21" t="n">
        <v>67.8</v>
      </c>
      <c r="KR85" s="21" t="n">
        <v>116.688</v>
      </c>
      <c r="KS85" s="21" t="n">
        <v>267.899</v>
      </c>
      <c r="KT85" s="21" t="n">
        <v>318.847</v>
      </c>
      <c r="KU85" s="21" t="n">
        <v>100.25</v>
      </c>
      <c r="KV85" s="21" t="n">
        <v>47.965</v>
      </c>
      <c r="KW85" s="21" t="n">
        <v>252.358</v>
      </c>
      <c r="KX85" s="21" t="n">
        <v>222.495</v>
      </c>
      <c r="KY85" s="21" t="n">
        <v>280.517</v>
      </c>
      <c r="KZ85" s="21" t="n">
        <v>219.822</v>
      </c>
      <c r="LA85" s="21" t="n">
        <v>283.59</v>
      </c>
      <c r="LB85" s="21" t="n">
        <v>123.227</v>
      </c>
      <c r="LC85" s="21" t="n">
        <v>380.91</v>
      </c>
      <c r="LD85" s="21" t="n">
        <v>81.998</v>
      </c>
      <c r="LE85" s="21" t="n">
        <v>132.685</v>
      </c>
      <c r="LF85" s="21" t="n">
        <v>356.725</v>
      </c>
      <c r="LG85" s="21" t="n">
        <v>348.275</v>
      </c>
      <c r="LH85" s="21" t="n">
        <v>360.353</v>
      </c>
      <c r="LI85" s="21" t="n">
        <v>330.822</v>
      </c>
      <c r="LJ85" s="21" t="n">
        <v>365.724</v>
      </c>
      <c r="LK85" s="21" t="n">
        <v>134.524</v>
      </c>
      <c r="LL85" s="21" t="n">
        <v>328.653</v>
      </c>
      <c r="LM85" s="21" t="n">
        <v>233.351</v>
      </c>
      <c r="LN85" s="21" t="n">
        <v>36.943</v>
      </c>
      <c r="LO85" s="21" t="n">
        <v>138.732</v>
      </c>
    </row>
    <row r="86">
      <c r="A86" s="22" t="n">
        <v>44562</v>
      </c>
      <c r="B86" s="21" t="n">
        <v>282.543</v>
      </c>
      <c r="C86" s="21" t="n">
        <v>288.549</v>
      </c>
      <c r="D86" s="21" t="n">
        <v>290.077</v>
      </c>
      <c r="E86" s="21" t="n">
        <v>271.176</v>
      </c>
      <c r="F86" s="21" t="n">
        <v>303.049</v>
      </c>
      <c r="G86" s="21" t="n">
        <v>247.836</v>
      </c>
      <c r="H86" s="21" t="n">
        <v>263.343</v>
      </c>
      <c r="I86" s="21" t="n">
        <v>238.165</v>
      </c>
      <c r="J86" s="21" t="n">
        <v>256.854</v>
      </c>
      <c r="K86" s="21" t="n">
        <v>334.55</v>
      </c>
      <c r="L86" s="21" t="n">
        <v>202.802</v>
      </c>
      <c r="M86" s="21" t="n">
        <v>197.864</v>
      </c>
      <c r="N86" s="21" t="n">
        <v>315.217</v>
      </c>
      <c r="O86" s="21" t="n">
        <v>294.312</v>
      </c>
      <c r="P86" s="21" t="n">
        <v>299.39</v>
      </c>
      <c r="Q86" s="21" t="n">
        <v>353.835</v>
      </c>
      <c r="R86" s="21" t="n">
        <v>290.269</v>
      </c>
      <c r="S86" s="21" t="n">
        <v>300.107</v>
      </c>
      <c r="T86" s="21" t="n">
        <v>305.572</v>
      </c>
      <c r="U86" s="21" t="n">
        <v>314.135</v>
      </c>
      <c r="V86" s="21" t="n">
        <v>390.939</v>
      </c>
      <c r="W86" s="21" t="n">
        <v>331.904</v>
      </c>
      <c r="X86" s="21" t="n">
        <v>315.593</v>
      </c>
      <c r="Y86" s="21" t="n">
        <v>264.931</v>
      </c>
      <c r="Z86" s="21" t="n">
        <v>262.201</v>
      </c>
      <c r="AA86" s="21" t="n">
        <v>197.846</v>
      </c>
      <c r="AB86" s="21" t="n">
        <v>380.85</v>
      </c>
      <c r="AC86" s="21" t="n">
        <v>171.208</v>
      </c>
      <c r="AD86" s="21" t="n">
        <v>236.452</v>
      </c>
      <c r="AE86" s="21" t="n">
        <v>265.262</v>
      </c>
      <c r="AF86" s="21" t="n">
        <v>232.72</v>
      </c>
      <c r="AG86" s="21" t="n">
        <v>159.208</v>
      </c>
      <c r="AH86" s="21" t="n">
        <v>257.142</v>
      </c>
      <c r="AI86" s="21" t="n">
        <v>258.262</v>
      </c>
      <c r="AJ86" s="21" t="n">
        <v>165.157</v>
      </c>
      <c r="AK86" s="21" t="n">
        <v>273.131</v>
      </c>
      <c r="AL86" s="21" t="n">
        <v>176.326</v>
      </c>
      <c r="AM86" s="21" t="n">
        <v>281.879</v>
      </c>
      <c r="AN86" s="21" t="n">
        <v>266.671</v>
      </c>
      <c r="AO86" s="21" t="n">
        <v>174.919</v>
      </c>
      <c r="AP86" s="21" t="n">
        <v>343.868</v>
      </c>
      <c r="AQ86" s="21" t="n">
        <v>220.733</v>
      </c>
      <c r="AR86" s="21" t="n">
        <v>166.568</v>
      </c>
      <c r="AS86" s="21" t="n">
        <v>229.03</v>
      </c>
      <c r="AT86" s="21" t="n">
        <v>353.375</v>
      </c>
      <c r="AU86" s="21" t="n">
        <v>228.843</v>
      </c>
      <c r="AV86" s="21" t="n">
        <v>238.675</v>
      </c>
      <c r="AW86" s="21" t="n">
        <v>161.713</v>
      </c>
      <c r="AX86" s="21" t="n">
        <v>237.014</v>
      </c>
      <c r="AY86" s="21" t="n">
        <v>165.273</v>
      </c>
      <c r="AZ86" s="21" t="n">
        <v>244.895</v>
      </c>
      <c r="BA86" s="21" t="n">
        <v>234.81</v>
      </c>
      <c r="BB86" s="21" t="n">
        <v>159.516</v>
      </c>
      <c r="BC86" s="21" t="n">
        <v>326.04</v>
      </c>
      <c r="BD86" s="21" t="n">
        <v>376.208</v>
      </c>
      <c r="BE86" s="21" t="n">
        <v>394.046</v>
      </c>
      <c r="BF86" s="21" t="n">
        <v>351.002</v>
      </c>
      <c r="BG86" s="21" t="n">
        <v>203.353</v>
      </c>
      <c r="BH86" s="21" t="n">
        <v>288.496</v>
      </c>
      <c r="BI86" s="21" t="n">
        <v>562.172</v>
      </c>
      <c r="BJ86" s="21" t="n">
        <v>132.059</v>
      </c>
      <c r="BK86" s="21" t="n">
        <v>356.071</v>
      </c>
      <c r="BL86" s="21" t="n">
        <v>382.283</v>
      </c>
      <c r="BM86" s="21" t="n">
        <v>366.404</v>
      </c>
      <c r="BN86" s="21" t="n">
        <v>344.544</v>
      </c>
      <c r="BO86" s="21" t="n">
        <v>353.675</v>
      </c>
      <c r="BP86" s="21" t="n">
        <v>173.429</v>
      </c>
      <c r="BQ86" s="21" t="n">
        <v>182.787</v>
      </c>
      <c r="BR86" s="21" t="n">
        <v>175.22</v>
      </c>
      <c r="BS86" s="21" t="n">
        <v>193.773</v>
      </c>
      <c r="BT86" s="21" t="n">
        <v>160.768</v>
      </c>
      <c r="BU86" s="21" t="n">
        <v>213.803</v>
      </c>
      <c r="BV86" s="21" t="n">
        <v>167.047</v>
      </c>
      <c r="BW86" s="21" t="n">
        <v>187.897</v>
      </c>
      <c r="BX86" s="21" t="n">
        <v>147.83</v>
      </c>
      <c r="BY86" s="21" t="n">
        <v>189.949</v>
      </c>
      <c r="BZ86" s="21" t="n">
        <v>132.514</v>
      </c>
      <c r="CA86" s="21" t="n">
        <v>125.841</v>
      </c>
      <c r="CB86" s="21" t="n">
        <v>212.304</v>
      </c>
      <c r="CC86" s="21" t="n">
        <v>223.118</v>
      </c>
      <c r="CD86" s="21" t="n">
        <v>135.107</v>
      </c>
      <c r="CE86" s="21" t="n">
        <v>235.147</v>
      </c>
      <c r="CF86" s="21" t="n">
        <v>243.61</v>
      </c>
      <c r="CG86" s="21" t="n">
        <v>218.336</v>
      </c>
      <c r="CH86" s="21" t="n">
        <v>164.839</v>
      </c>
      <c r="CI86" s="21" t="n">
        <v>168.285</v>
      </c>
      <c r="CJ86" s="21" t="n">
        <v>256.05</v>
      </c>
      <c r="CK86" s="21" t="n">
        <v>217.599</v>
      </c>
      <c r="CL86" s="21" t="n">
        <v>253.281</v>
      </c>
      <c r="CM86" s="21" t="n">
        <v>333.816</v>
      </c>
      <c r="CN86" s="21" t="n">
        <v>143.873</v>
      </c>
      <c r="CO86" s="21" t="n">
        <v>185.48</v>
      </c>
      <c r="CP86" s="21" t="n">
        <v>250.683</v>
      </c>
      <c r="CQ86" s="21" t="n">
        <v>268.447</v>
      </c>
      <c r="CR86" s="21" t="n">
        <v>189.57</v>
      </c>
      <c r="CS86" s="21" t="n">
        <v>280.385</v>
      </c>
      <c r="CT86" s="21" t="n">
        <v>266.264</v>
      </c>
      <c r="CU86" s="21" t="n">
        <v>169.217</v>
      </c>
      <c r="CV86" s="21" t="n">
        <v>159.046</v>
      </c>
      <c r="CW86" s="21" t="n">
        <v>152.988</v>
      </c>
      <c r="CX86" s="21" t="n">
        <v>299.625</v>
      </c>
      <c r="CY86" s="21" t="n">
        <v>147.038</v>
      </c>
      <c r="CZ86" s="21" t="n">
        <v>138.628</v>
      </c>
      <c r="DA86" s="21" t="n">
        <v>319.471</v>
      </c>
      <c r="DB86" s="21" t="n">
        <v>197.808</v>
      </c>
      <c r="DC86" s="21" t="n">
        <v>83.735</v>
      </c>
      <c r="DD86" s="21" t="n">
        <v>47.741</v>
      </c>
      <c r="DE86" s="21" t="n">
        <v>212.478</v>
      </c>
      <c r="DF86" s="21" t="n">
        <v>266.749</v>
      </c>
      <c r="DG86" s="21" t="n">
        <v>214.163</v>
      </c>
      <c r="DH86" s="21" t="n">
        <v>243.472</v>
      </c>
      <c r="DI86" s="21" t="n">
        <v>204.032</v>
      </c>
      <c r="DJ86" s="21" t="n">
        <v>216.591</v>
      </c>
      <c r="DK86" s="21" t="n">
        <v>200.126</v>
      </c>
      <c r="DL86" s="21" t="n">
        <v>175.453</v>
      </c>
      <c r="DM86" s="21" t="n">
        <v>383.554</v>
      </c>
      <c r="DN86" s="21" t="n">
        <v>211.264</v>
      </c>
      <c r="DO86" s="21" t="n">
        <v>289.914</v>
      </c>
      <c r="DP86" s="21" t="n">
        <v>342.858</v>
      </c>
      <c r="DQ86" s="21" t="n">
        <v>357.411</v>
      </c>
      <c r="DR86" s="21" t="n">
        <v>173.159</v>
      </c>
      <c r="DS86" s="21" t="n">
        <v>591.116</v>
      </c>
      <c r="DT86" s="21" t="n">
        <v>354.291</v>
      </c>
      <c r="DU86" s="21" t="n">
        <v>351.723</v>
      </c>
      <c r="DV86" s="21" t="n">
        <v>351.728</v>
      </c>
      <c r="DW86" s="21" t="n">
        <v>277.62</v>
      </c>
      <c r="DX86" s="21" t="n">
        <v>232.127</v>
      </c>
      <c r="DY86" s="21" t="n">
        <v>351.515</v>
      </c>
      <c r="DZ86" s="21" t="n">
        <v>346.827</v>
      </c>
      <c r="EA86" s="21" t="n">
        <v>428.625</v>
      </c>
      <c r="EB86" s="21" t="n">
        <v>235.089</v>
      </c>
      <c r="EC86" s="21" t="n">
        <v>238.942</v>
      </c>
      <c r="ED86" s="21" t="n">
        <v>219.921</v>
      </c>
      <c r="EE86" s="21" t="n">
        <v>268.128</v>
      </c>
      <c r="EF86" s="21" t="n">
        <v>620.547</v>
      </c>
      <c r="EG86" s="21" t="n">
        <v>533.078</v>
      </c>
      <c r="EH86" s="21" t="n">
        <v>139.125</v>
      </c>
      <c r="EI86" s="21" t="n">
        <v>59.342</v>
      </c>
      <c r="EJ86" s="21" t="n">
        <v>73.596</v>
      </c>
      <c r="EK86" s="21" t="n">
        <v>43.606</v>
      </c>
      <c r="EL86" s="21" t="n">
        <v>134.732</v>
      </c>
      <c r="EM86" s="21" t="n">
        <v>83.892</v>
      </c>
      <c r="EN86" s="21" t="n">
        <v>88.169</v>
      </c>
      <c r="EO86" s="21" t="n">
        <v>103.624</v>
      </c>
      <c r="EP86" s="21" t="n">
        <v>118.009</v>
      </c>
      <c r="EQ86" s="21" t="n">
        <v>73.214</v>
      </c>
      <c r="ER86" s="21" t="n">
        <v>53.998</v>
      </c>
      <c r="ES86" s="21" t="n">
        <v>144.992</v>
      </c>
      <c r="ET86" s="21" t="n">
        <v>82.89</v>
      </c>
      <c r="EU86" s="21" t="n">
        <v>102.35</v>
      </c>
      <c r="EV86" s="21" t="n">
        <v>109.921</v>
      </c>
      <c r="EW86" s="21" t="n">
        <v>99.11799999999999</v>
      </c>
      <c r="EX86" s="21" t="n">
        <v>206.962</v>
      </c>
      <c r="EY86" s="21" t="n">
        <v>132.741</v>
      </c>
      <c r="EZ86" s="21" t="n">
        <v>124.399</v>
      </c>
      <c r="FA86" s="21" t="n">
        <v>200.066</v>
      </c>
      <c r="FB86" s="21" t="n">
        <v>125.476</v>
      </c>
      <c r="FC86" s="21" t="n">
        <v>121.359</v>
      </c>
      <c r="FD86" s="21" t="n">
        <v>123.124</v>
      </c>
      <c r="FE86" s="21" t="n">
        <v>98.81399999999999</v>
      </c>
      <c r="FF86" s="21" t="n">
        <v>172.381</v>
      </c>
      <c r="FG86" s="21" t="n">
        <v>76.26300000000001</v>
      </c>
      <c r="FH86" s="21" t="n">
        <v>122.97</v>
      </c>
      <c r="FI86" s="21" t="n">
        <v>111.419</v>
      </c>
      <c r="FJ86" s="21" t="n">
        <v>104.326</v>
      </c>
      <c r="FK86" s="21" t="n">
        <v>105.421</v>
      </c>
      <c r="FL86" s="21" t="n">
        <v>104.947</v>
      </c>
      <c r="FM86" s="21" t="n">
        <v>108.861</v>
      </c>
      <c r="FN86" s="21" t="n">
        <v>72.006</v>
      </c>
      <c r="FO86" s="21" t="n">
        <v>104.538</v>
      </c>
      <c r="FP86" s="21" t="n">
        <v>98.643</v>
      </c>
      <c r="FQ86" s="21" t="n">
        <v>142.796</v>
      </c>
      <c r="FR86" s="21" t="n">
        <v>147.59</v>
      </c>
      <c r="FS86" s="21" t="n">
        <v>162.38</v>
      </c>
      <c r="FT86" s="21" t="n">
        <v>129.476</v>
      </c>
      <c r="FU86" s="21" t="n">
        <v>119.403</v>
      </c>
      <c r="FV86" s="21" t="n">
        <v>187.118</v>
      </c>
      <c r="FW86" s="21" t="n">
        <v>152.118</v>
      </c>
      <c r="FX86" s="21" t="n">
        <v>184.614</v>
      </c>
      <c r="FY86" s="21" t="n">
        <v>254.579</v>
      </c>
      <c r="FZ86" s="21" t="n">
        <v>255.072</v>
      </c>
      <c r="GA86" s="21" t="n">
        <v>128.028</v>
      </c>
      <c r="GB86" s="21" t="n">
        <v>168.179</v>
      </c>
      <c r="GC86" s="21" t="n">
        <v>115.729</v>
      </c>
      <c r="GD86" s="21" t="n">
        <v>163.769</v>
      </c>
      <c r="GE86" s="21" t="n">
        <v>179.138</v>
      </c>
      <c r="GF86" s="21" t="n"/>
      <c r="GG86" s="21" t="n">
        <v>215.494</v>
      </c>
      <c r="GH86" s="21" t="n"/>
      <c r="GI86" s="21" t="n">
        <v>192.078</v>
      </c>
      <c r="GJ86" s="21" t="n">
        <v>314.111</v>
      </c>
      <c r="GK86" s="21" t="n">
        <v>312.894</v>
      </c>
      <c r="GL86" s="21" t="n">
        <v>307.274</v>
      </c>
      <c r="GM86" s="21" t="n">
        <v>335.333</v>
      </c>
      <c r="GN86" s="21" t="n">
        <v>325.345</v>
      </c>
      <c r="GO86" s="21" t="n">
        <v>269.178</v>
      </c>
      <c r="GP86" s="21" t="n">
        <v>167.991</v>
      </c>
      <c r="GQ86" s="21" t="n">
        <v>144.773</v>
      </c>
      <c r="GR86" s="21" t="n">
        <v>325.448</v>
      </c>
      <c r="GS86" s="21" t="n">
        <v>195.474</v>
      </c>
      <c r="GT86" s="21" t="n">
        <v>574.29</v>
      </c>
      <c r="GU86" s="21" t="n">
        <v>219.91</v>
      </c>
      <c r="GV86" s="21" t="n">
        <v>253.213</v>
      </c>
      <c r="GW86" s="21" t="n">
        <v>233.811</v>
      </c>
      <c r="GX86" s="21" t="n">
        <v>219.155</v>
      </c>
      <c r="GY86" s="21" t="n">
        <v>158.659</v>
      </c>
      <c r="GZ86" s="21" t="n"/>
      <c r="HA86" s="21" t="n">
        <v>62.592</v>
      </c>
      <c r="HB86" s="21" t="n">
        <v>534.6950000000001</v>
      </c>
      <c r="HC86" s="21" t="n">
        <v>382.984</v>
      </c>
      <c r="HD86" s="21" t="n">
        <v>125.504</v>
      </c>
      <c r="HE86" s="21" t="n">
        <v>532.044</v>
      </c>
      <c r="HF86" s="21" t="n">
        <v>97.502</v>
      </c>
      <c r="HG86" s="21" t="n">
        <v>583.6420000000001</v>
      </c>
      <c r="HH86" s="21" t="n">
        <v>406.197</v>
      </c>
      <c r="HI86" s="21" t="n">
        <v>408.335</v>
      </c>
      <c r="HJ86" s="21" t="n">
        <v>528.62</v>
      </c>
      <c r="HK86" s="21" t="n">
        <v>196.673</v>
      </c>
      <c r="HL86" s="21" t="n">
        <v>256.437</v>
      </c>
      <c r="HM86" s="21" t="n">
        <v>88.199</v>
      </c>
      <c r="HN86" s="21" t="n">
        <v>371.646</v>
      </c>
      <c r="HO86" s="21" t="n">
        <v>360.567</v>
      </c>
      <c r="HP86" s="21" t="n">
        <v>803.413</v>
      </c>
      <c r="HQ86" s="21" t="n">
        <v>255.351</v>
      </c>
      <c r="HR86" s="21" t="n">
        <v>127.943</v>
      </c>
      <c r="HS86" s="21" t="n">
        <v>111.645</v>
      </c>
      <c r="HT86" s="21" t="n">
        <v>136.657</v>
      </c>
      <c r="HU86" s="21" t="n">
        <v>530.647</v>
      </c>
      <c r="HV86" s="21" t="n">
        <v>119.308</v>
      </c>
      <c r="HW86" s="21" t="n">
        <v>25.621</v>
      </c>
      <c r="HX86" s="21" t="n">
        <v>190.57</v>
      </c>
      <c r="HY86" s="21" t="n">
        <v>209.441</v>
      </c>
      <c r="HZ86" s="21" t="n">
        <v>159.179</v>
      </c>
      <c r="IA86" s="21" t="n">
        <v>121.095</v>
      </c>
      <c r="IB86" s="21" t="n">
        <v>284.588</v>
      </c>
      <c r="IC86" s="21" t="n">
        <v>216.259</v>
      </c>
      <c r="ID86" s="21" t="n">
        <v>299.474</v>
      </c>
      <c r="IE86" s="21" t="n">
        <v>126.795</v>
      </c>
      <c r="IF86" s="21" t="n">
        <v>177.096</v>
      </c>
      <c r="IG86" s="21" t="n">
        <v>85.15900000000001</v>
      </c>
      <c r="IH86" s="21" t="n">
        <v>78.31699999999999</v>
      </c>
      <c r="II86" s="21" t="n">
        <v>58.838</v>
      </c>
      <c r="IJ86" s="21" t="n">
        <v>24.794</v>
      </c>
      <c r="IK86" s="21" t="n">
        <v>33.964</v>
      </c>
      <c r="IL86" s="21" t="n">
        <v>29.438</v>
      </c>
      <c r="IM86" s="21" t="n">
        <v>38.923</v>
      </c>
      <c r="IN86" s="21" t="n">
        <v>94.736</v>
      </c>
      <c r="IO86" s="21" t="n">
        <v>111.143</v>
      </c>
      <c r="IP86" s="21" t="n">
        <v>179.656</v>
      </c>
      <c r="IQ86" s="21" t="n">
        <v>147.966</v>
      </c>
      <c r="IR86" s="21" t="n">
        <v>406.999</v>
      </c>
      <c r="IS86" s="21" t="n">
        <v>200.342</v>
      </c>
      <c r="IT86" s="21" t="n">
        <v>229.761</v>
      </c>
      <c r="IU86" s="21" t="n">
        <v>344.338</v>
      </c>
      <c r="IV86" s="21" t="n">
        <v>274.72</v>
      </c>
      <c r="IW86" s="21" t="n">
        <v>143.895</v>
      </c>
      <c r="IX86" s="21" t="n">
        <v>278.032</v>
      </c>
      <c r="IY86" s="21" t="n">
        <v>702.326</v>
      </c>
      <c r="IZ86" s="21" t="n">
        <v>798.482</v>
      </c>
      <c r="JA86" s="21" t="n">
        <v>894.787</v>
      </c>
      <c r="JB86" s="21" t="n">
        <v>88.07299999999999</v>
      </c>
      <c r="JC86" s="21" t="n">
        <v>322.813</v>
      </c>
      <c r="JD86" s="21" t="n">
        <v>263.927</v>
      </c>
      <c r="JE86" s="21" t="n">
        <v>76.31999999999999</v>
      </c>
      <c r="JF86" s="21" t="n">
        <v>215.724</v>
      </c>
      <c r="JG86" s="21" t="n">
        <v>338.337</v>
      </c>
      <c r="JH86" s="21" t="n">
        <v>358.163</v>
      </c>
      <c r="JI86" s="21" t="n">
        <v>72.018</v>
      </c>
      <c r="JJ86" s="21" t="n">
        <v>110.554</v>
      </c>
      <c r="JK86" s="21" t="n">
        <v>39.651</v>
      </c>
      <c r="JL86" s="21" t="n">
        <v>80.54900000000001</v>
      </c>
      <c r="JM86" s="21" t="n">
        <v>150.552</v>
      </c>
      <c r="JN86" s="21" t="n">
        <v>491.633</v>
      </c>
      <c r="JO86" s="21" t="n">
        <v>82.408</v>
      </c>
      <c r="JP86" s="21" t="n">
        <v>539.197</v>
      </c>
      <c r="JQ86" s="21" t="n">
        <v>250.443</v>
      </c>
      <c r="JR86" s="21" t="n">
        <v>160.86</v>
      </c>
      <c r="JS86" s="21" t="n">
        <v>479.831</v>
      </c>
      <c r="JT86" s="21" t="n">
        <v>381.584</v>
      </c>
      <c r="JU86" s="21" t="n">
        <v>353.787</v>
      </c>
      <c r="JV86" s="21" t="n">
        <v>198.762</v>
      </c>
      <c r="JW86" s="21" t="n">
        <v>382.021</v>
      </c>
      <c r="JX86" s="21" t="n">
        <v>279.941</v>
      </c>
      <c r="JY86" s="21" t="n">
        <v>80.998</v>
      </c>
      <c r="JZ86" s="21" t="n">
        <v>170.949</v>
      </c>
      <c r="KA86" s="21" t="n">
        <v>270.421</v>
      </c>
      <c r="KB86" s="21" t="n">
        <v>286.472</v>
      </c>
      <c r="KC86" s="21" t="n">
        <v>281.339</v>
      </c>
      <c r="KD86" s="21" t="n">
        <v>286.757</v>
      </c>
      <c r="KE86" s="21" t="n">
        <v>261.982</v>
      </c>
      <c r="KF86" s="21" t="n">
        <v>254.652</v>
      </c>
      <c r="KG86" s="21" t="n">
        <v>255.47</v>
      </c>
      <c r="KH86" s="21" t="n">
        <v>255.363</v>
      </c>
      <c r="KI86" s="21" t="n">
        <v>116.852</v>
      </c>
      <c r="KJ86" s="21" t="n">
        <v>213.3</v>
      </c>
      <c r="KK86" s="21" t="n">
        <v>178.445</v>
      </c>
      <c r="KL86" s="21" t="n">
        <v>175.189</v>
      </c>
      <c r="KM86" s="21" t="n">
        <v>164.074</v>
      </c>
      <c r="KN86" s="21" t="n">
        <v>156.689</v>
      </c>
      <c r="KO86" s="21" t="n">
        <v>279.808</v>
      </c>
      <c r="KP86" s="21" t="n">
        <v>128.028</v>
      </c>
      <c r="KQ86" s="21" t="n">
        <v>67.955</v>
      </c>
      <c r="KR86" s="21" t="n">
        <v>116.773</v>
      </c>
      <c r="KS86" s="21" t="n">
        <v>270.189</v>
      </c>
      <c r="KT86" s="21" t="n">
        <v>318.566</v>
      </c>
      <c r="KU86" s="21" t="n">
        <v>101.479</v>
      </c>
      <c r="KV86" s="21" t="n">
        <v>47.935</v>
      </c>
      <c r="KW86" s="21" t="n">
        <v>253.801</v>
      </c>
      <c r="KX86" s="21" t="n">
        <v>223.325</v>
      </c>
      <c r="KY86" s="21" t="n">
        <v>281.498</v>
      </c>
      <c r="KZ86" s="21" t="n">
        <v>220.636</v>
      </c>
      <c r="LA86" s="21" t="n">
        <v>284.565</v>
      </c>
      <c r="LB86" s="21" t="n">
        <v>123.588</v>
      </c>
      <c r="LC86" s="21" t="n">
        <v>382.037</v>
      </c>
      <c r="LD86" s="21" t="n">
        <v>82.854</v>
      </c>
      <c r="LE86" s="21" t="n">
        <v>133.353</v>
      </c>
      <c r="LF86" s="21" t="n">
        <v>357.951</v>
      </c>
      <c r="LG86" s="21" t="n">
        <v>350.028</v>
      </c>
      <c r="LH86" s="21" t="n">
        <v>361.776</v>
      </c>
      <c r="LI86" s="21" t="n">
        <v>332.404</v>
      </c>
      <c r="LJ86" s="21" t="n">
        <v>367.932</v>
      </c>
      <c r="LK86" s="21" t="n">
        <v>136.085</v>
      </c>
      <c r="LL86" s="21" t="n">
        <v>331.128</v>
      </c>
      <c r="LM86" s="21" t="n">
        <v>236.288</v>
      </c>
      <c r="LN86" s="21" t="n">
        <v>36.734</v>
      </c>
      <c r="LO86" s="21" t="n">
        <v>139.3</v>
      </c>
    </row>
    <row r="87">
      <c r="A87" s="22" t="n">
        <v>44593</v>
      </c>
      <c r="B87" s="21" t="n">
        <v>284.5</v>
      </c>
      <c r="C87" s="21" t="n">
        <v>291.342</v>
      </c>
      <c r="D87" s="21" t="n">
        <v>292.899</v>
      </c>
      <c r="E87" s="21" t="n">
        <v>274.728</v>
      </c>
      <c r="F87" s="21" t="n">
        <v>306.411</v>
      </c>
      <c r="G87" s="21" t="n">
        <v>251.005</v>
      </c>
      <c r="H87" s="21" t="n">
        <v>266.509</v>
      </c>
      <c r="I87" s="21" t="n">
        <v>240.812</v>
      </c>
      <c r="J87" s="21" t="n">
        <v>259.439</v>
      </c>
      <c r="K87" s="21" t="n">
        <v>339.033</v>
      </c>
      <c r="L87" s="21" t="n">
        <v>203.586</v>
      </c>
      <c r="M87" s="21" t="n">
        <v>202.667</v>
      </c>
      <c r="N87" s="21" t="n">
        <v>319.043</v>
      </c>
      <c r="O87" s="21" t="n">
        <v>299.803</v>
      </c>
      <c r="P87" s="21" t="n">
        <v>303.716</v>
      </c>
      <c r="Q87" s="21" t="n">
        <v>358.798</v>
      </c>
      <c r="R87" s="21" t="n">
        <v>291.707</v>
      </c>
      <c r="S87" s="21" t="n">
        <v>303.153</v>
      </c>
      <c r="T87" s="21" t="n">
        <v>308.87</v>
      </c>
      <c r="U87" s="21" t="n">
        <v>317.62</v>
      </c>
      <c r="V87" s="21" t="n">
        <v>394.597</v>
      </c>
      <c r="W87" s="21" t="n">
        <v>335.027</v>
      </c>
      <c r="X87" s="21" t="n">
        <v>316.909</v>
      </c>
      <c r="Y87" s="21" t="n">
        <v>266.038</v>
      </c>
      <c r="Z87" s="21" t="n">
        <v>264.736</v>
      </c>
      <c r="AA87" s="21" t="n">
        <v>200.079</v>
      </c>
      <c r="AB87" s="21" t="n">
        <v>384.607</v>
      </c>
      <c r="AC87" s="21" t="n">
        <v>173.694</v>
      </c>
      <c r="AD87" s="21" t="n">
        <v>240.268</v>
      </c>
      <c r="AE87" s="21" t="n">
        <v>266.934</v>
      </c>
      <c r="AF87" s="21" t="n">
        <v>232.694</v>
      </c>
      <c r="AG87" s="21" t="n">
        <v>160.293</v>
      </c>
      <c r="AH87" s="21" t="n">
        <v>261.58</v>
      </c>
      <c r="AI87" s="21" t="n">
        <v>264.012</v>
      </c>
      <c r="AJ87" s="21" t="n">
        <v>168.398</v>
      </c>
      <c r="AK87" s="21" t="n">
        <v>277.844</v>
      </c>
      <c r="AL87" s="21" t="n">
        <v>179.79</v>
      </c>
      <c r="AM87" s="21" t="n">
        <v>289.378</v>
      </c>
      <c r="AN87" s="21" t="n">
        <v>271.751</v>
      </c>
      <c r="AO87" s="21" t="n">
        <v>177.224</v>
      </c>
      <c r="AP87" s="21" t="n">
        <v>344.518</v>
      </c>
      <c r="AQ87" s="21" t="n">
        <v>219.198</v>
      </c>
      <c r="AR87" s="21" t="n">
        <v>169.22</v>
      </c>
      <c r="AS87" s="21" t="n">
        <v>231.568</v>
      </c>
      <c r="AT87" s="21" t="n">
        <v>360.599</v>
      </c>
      <c r="AU87" s="21" t="n">
        <v>228.685</v>
      </c>
      <c r="AV87" s="21" t="n">
        <v>242.386</v>
      </c>
      <c r="AW87" s="21" t="n">
        <v>165.941</v>
      </c>
      <c r="AX87" s="21" t="n">
        <v>241.365</v>
      </c>
      <c r="AY87" s="21" t="n">
        <v>170.004</v>
      </c>
      <c r="AZ87" s="21" t="n">
        <v>247.864</v>
      </c>
      <c r="BA87" s="21" t="n">
        <v>239.48</v>
      </c>
      <c r="BB87" s="21" t="n">
        <v>160.767</v>
      </c>
      <c r="BC87" s="21" t="n">
        <v>332.275</v>
      </c>
      <c r="BD87" s="21" t="n">
        <v>383.761</v>
      </c>
      <c r="BE87" s="21" t="n">
        <v>404.589</v>
      </c>
      <c r="BF87" s="21" t="n">
        <v>359.038</v>
      </c>
      <c r="BG87" s="21" t="n">
        <v>203.153</v>
      </c>
      <c r="BH87" s="21" t="n">
        <v>300.564</v>
      </c>
      <c r="BI87" s="21" t="n">
        <v>584.511</v>
      </c>
      <c r="BJ87" s="21" t="n">
        <v>135.225</v>
      </c>
      <c r="BK87" s="21" t="n">
        <v>360.411</v>
      </c>
      <c r="BL87" s="21" t="n">
        <v>386.358</v>
      </c>
      <c r="BM87" s="21" t="n">
        <v>374.083</v>
      </c>
      <c r="BN87" s="21" t="n">
        <v>347.047</v>
      </c>
      <c r="BO87" s="21" t="n">
        <v>358.46</v>
      </c>
      <c r="BP87" s="21" t="n">
        <v>176.197</v>
      </c>
      <c r="BQ87" s="21" t="n">
        <v>185.569</v>
      </c>
      <c r="BR87" s="21" t="n">
        <v>176.105</v>
      </c>
      <c r="BS87" s="21" t="n">
        <v>198.696</v>
      </c>
      <c r="BT87" s="21" t="n">
        <v>162.667</v>
      </c>
      <c r="BU87" s="21" t="n">
        <v>217.427</v>
      </c>
      <c r="BV87" s="21" t="n">
        <v>169.505</v>
      </c>
      <c r="BW87" s="21" t="n">
        <v>190.961</v>
      </c>
      <c r="BX87" s="21" t="n">
        <v>150.229</v>
      </c>
      <c r="BY87" s="21" t="n">
        <v>193.841</v>
      </c>
      <c r="BZ87" s="21" t="n">
        <v>134.524</v>
      </c>
      <c r="CA87" s="21" t="n">
        <v>127.884</v>
      </c>
      <c r="CB87" s="21" t="n">
        <v>215.635</v>
      </c>
      <c r="CC87" s="21" t="n">
        <v>226.925</v>
      </c>
      <c r="CD87" s="21" t="n">
        <v>138.445</v>
      </c>
      <c r="CE87" s="21" t="n">
        <v>237.609</v>
      </c>
      <c r="CF87" s="21" t="n">
        <v>246.834</v>
      </c>
      <c r="CG87" s="21" t="n">
        <v>219.502</v>
      </c>
      <c r="CH87" s="21" t="n">
        <v>167.782</v>
      </c>
      <c r="CI87" s="21" t="n">
        <v>169.445</v>
      </c>
      <c r="CJ87" s="21" t="n">
        <v>259.944</v>
      </c>
      <c r="CK87" s="21" t="n">
        <v>224.479</v>
      </c>
      <c r="CL87" s="21" t="n">
        <v>261.159</v>
      </c>
      <c r="CM87" s="21" t="n">
        <v>347.657</v>
      </c>
      <c r="CN87" s="21" t="n">
        <v>145.227</v>
      </c>
      <c r="CO87" s="21" t="n">
        <v>186.303</v>
      </c>
      <c r="CP87" s="21" t="n">
        <v>253.025</v>
      </c>
      <c r="CQ87" s="21" t="n">
        <v>279.051</v>
      </c>
      <c r="CR87" s="21" t="n">
        <v>192.101</v>
      </c>
      <c r="CS87" s="21" t="n">
        <v>282.289</v>
      </c>
      <c r="CT87" s="21" t="n">
        <v>265.418</v>
      </c>
      <c r="CU87" s="21" t="n">
        <v>167.834</v>
      </c>
      <c r="CV87" s="21" t="n">
        <v>159.617</v>
      </c>
      <c r="CW87" s="21" t="n">
        <v>154.169</v>
      </c>
      <c r="CX87" s="21" t="n">
        <v>299.641</v>
      </c>
      <c r="CY87" s="21" t="n">
        <v>148.522</v>
      </c>
      <c r="CZ87" s="21" t="n">
        <v>141.996</v>
      </c>
      <c r="DA87" s="21" t="n">
        <v>320.88</v>
      </c>
      <c r="DB87" s="21" t="n">
        <v>199.077</v>
      </c>
      <c r="DC87" s="21" t="n">
        <v>82.066</v>
      </c>
      <c r="DD87" s="21" t="n">
        <v>47.935</v>
      </c>
      <c r="DE87" s="21" t="n">
        <v>214.137</v>
      </c>
      <c r="DF87" s="21" t="n">
        <v>269.128</v>
      </c>
      <c r="DG87" s="21" t="n">
        <v>215.814</v>
      </c>
      <c r="DH87" s="21" t="n">
        <v>248.705</v>
      </c>
      <c r="DI87" s="21" t="n">
        <v>204.445</v>
      </c>
      <c r="DJ87" s="21" t="n">
        <v>218.334</v>
      </c>
      <c r="DK87" s="21" t="n">
        <v>200.016</v>
      </c>
      <c r="DL87" s="21" t="n">
        <v>175.83</v>
      </c>
      <c r="DM87" s="21" t="n">
        <v>384.823</v>
      </c>
      <c r="DN87" s="21" t="n">
        <v>211.961</v>
      </c>
      <c r="DO87" s="21" t="n">
        <v>291.425</v>
      </c>
      <c r="DP87" s="21" t="n">
        <v>344.705</v>
      </c>
      <c r="DQ87" s="21" t="n">
        <v>359.438</v>
      </c>
      <c r="DR87" s="21" t="n">
        <v>177.692</v>
      </c>
      <c r="DS87" s="21" t="n">
        <v>592.675</v>
      </c>
      <c r="DT87" s="21" t="n">
        <v>364.863</v>
      </c>
      <c r="DU87" s="21" t="n">
        <v>353.327</v>
      </c>
      <c r="DV87" s="21" t="n">
        <v>353.333</v>
      </c>
      <c r="DW87" s="21" t="n">
        <v>278.488</v>
      </c>
      <c r="DX87" s="21" t="n">
        <v>232.705</v>
      </c>
      <c r="DY87" s="21" t="n">
        <v>370.746</v>
      </c>
      <c r="DZ87" s="21" t="n">
        <v>368.671</v>
      </c>
      <c r="EA87" s="21" t="n">
        <v>442.076</v>
      </c>
      <c r="EB87" s="21" t="n">
        <v>234.974</v>
      </c>
      <c r="EC87" s="21" t="n">
        <v>237.572</v>
      </c>
      <c r="ED87" s="21" t="n">
        <v>223.254</v>
      </c>
      <c r="EE87" s="21" t="n">
        <v>269.521</v>
      </c>
      <c r="EF87" s="21" t="n">
        <v>622.672</v>
      </c>
      <c r="EG87" s="21" t="n">
        <v>538.313</v>
      </c>
      <c r="EH87" s="21" t="n">
        <v>139.967</v>
      </c>
      <c r="EI87" s="21" t="n">
        <v>59.548</v>
      </c>
      <c r="EJ87" s="21" t="n">
        <v>69.563</v>
      </c>
      <c r="EK87" s="21" t="n">
        <v>43.7</v>
      </c>
      <c r="EL87" s="21" t="n">
        <v>134.841</v>
      </c>
      <c r="EM87" s="21" t="n">
        <v>83.46299999999999</v>
      </c>
      <c r="EN87" s="21" t="n">
        <v>88.581</v>
      </c>
      <c r="EO87" s="21" t="n">
        <v>104.531</v>
      </c>
      <c r="EP87" s="21" t="n">
        <v>121.596</v>
      </c>
      <c r="EQ87" s="21" t="n">
        <v>73.23699999999999</v>
      </c>
      <c r="ER87" s="21" t="n">
        <v>54.863</v>
      </c>
      <c r="ES87" s="21" t="n">
        <v>145.961</v>
      </c>
      <c r="ET87" s="21" t="n">
        <v>83.313</v>
      </c>
      <c r="EU87" s="21" t="n">
        <v>102.933</v>
      </c>
      <c r="EV87" s="21" t="n">
        <v>110.501</v>
      </c>
      <c r="EW87" s="21" t="n">
        <v>99.452</v>
      </c>
      <c r="EX87" s="21" t="n">
        <v>209.758</v>
      </c>
      <c r="EY87" s="21" t="n">
        <v>135.277</v>
      </c>
      <c r="EZ87" s="21" t="n">
        <v>125.223</v>
      </c>
      <c r="FA87" s="21" t="n">
        <v>200.033</v>
      </c>
      <c r="FB87" s="21" t="n">
        <v>125.997</v>
      </c>
      <c r="FC87" s="21" t="n">
        <v>122.069</v>
      </c>
      <c r="FD87" s="21" t="n">
        <v>124.575</v>
      </c>
      <c r="FE87" s="21" t="n">
        <v>98.31100000000001</v>
      </c>
      <c r="FF87" s="21" t="n">
        <v>172.49</v>
      </c>
      <c r="FG87" s="21" t="n">
        <v>76.477</v>
      </c>
      <c r="FH87" s="21" t="n">
        <v>126.276</v>
      </c>
      <c r="FI87" s="21" t="n">
        <v>111.04</v>
      </c>
      <c r="FJ87" s="21" t="n">
        <v>104.798</v>
      </c>
      <c r="FK87" s="21" t="n">
        <v>106.074</v>
      </c>
      <c r="FL87" s="21" t="n">
        <v>102.045</v>
      </c>
      <c r="FM87" s="21" t="n">
        <v>107.517</v>
      </c>
      <c r="FN87" s="21" t="n">
        <v>72.209</v>
      </c>
      <c r="FO87" s="21" t="n">
        <v>107.976</v>
      </c>
      <c r="FP87" s="21" t="n">
        <v>98.229</v>
      </c>
      <c r="FQ87" s="21" t="n">
        <v>143.431</v>
      </c>
      <c r="FR87" s="21" t="n">
        <v>148.143</v>
      </c>
      <c r="FS87" s="21" t="n">
        <v>166.679</v>
      </c>
      <c r="FT87" s="21" t="n">
        <v>129.347</v>
      </c>
      <c r="FU87" s="21" t="n">
        <v>121.399</v>
      </c>
      <c r="FV87" s="21" t="n">
        <v>184.38</v>
      </c>
      <c r="FW87" s="21" t="n">
        <v>153.529</v>
      </c>
      <c r="FX87" s="21" t="n">
        <v>179.935</v>
      </c>
      <c r="FY87" s="21" t="n">
        <v>257.835</v>
      </c>
      <c r="FZ87" s="21" t="n">
        <v>258.226</v>
      </c>
      <c r="GA87" s="21" t="n">
        <v>128.477</v>
      </c>
      <c r="GB87" s="21" t="n">
        <v>168.467</v>
      </c>
      <c r="GC87" s="21" t="n">
        <v>116.068</v>
      </c>
      <c r="GD87" s="21" t="n">
        <v>164.235</v>
      </c>
      <c r="GE87" s="21" t="n">
        <v>179.386</v>
      </c>
      <c r="GF87" s="21" t="n"/>
      <c r="GG87" s="21" t="n">
        <v>216.876</v>
      </c>
      <c r="GH87" s="21" t="n"/>
      <c r="GI87" s="21" t="n">
        <v>193.486</v>
      </c>
      <c r="GJ87" s="21" t="n">
        <v>324.648</v>
      </c>
      <c r="GK87" s="21" t="n">
        <v>323.33</v>
      </c>
      <c r="GL87" s="21" t="n">
        <v>318.205</v>
      </c>
      <c r="GM87" s="21" t="n">
        <v>344.567</v>
      </c>
      <c r="GN87" s="21" t="n">
        <v>331.582</v>
      </c>
      <c r="GO87" s="21" t="n">
        <v>285.424</v>
      </c>
      <c r="GP87" s="21" t="n">
        <v>170.629</v>
      </c>
      <c r="GQ87" s="21" t="n">
        <v>146.908</v>
      </c>
      <c r="GR87" s="21" t="n">
        <v>331.13</v>
      </c>
      <c r="GS87" s="21" t="n">
        <v>203.861</v>
      </c>
      <c r="GT87" s="21" t="n">
        <v>580.3150000000001</v>
      </c>
      <c r="GU87" s="21" t="n">
        <v>220.722</v>
      </c>
      <c r="GV87" s="21" t="n">
        <v>253.882</v>
      </c>
      <c r="GW87" s="21" t="n">
        <v>239.004</v>
      </c>
      <c r="GX87" s="21" t="n">
        <v>225.27</v>
      </c>
      <c r="GY87" s="21" t="n">
        <v>160.752</v>
      </c>
      <c r="GZ87" s="21" t="n"/>
      <c r="HA87" s="21" t="n">
        <v>63.82</v>
      </c>
      <c r="HB87" s="21" t="n">
        <v>536.583</v>
      </c>
      <c r="HC87" s="21" t="n">
        <v>384.304</v>
      </c>
      <c r="HD87" s="21" t="n">
        <v>126.013</v>
      </c>
      <c r="HE87" s="21" t="n">
        <v>533.592</v>
      </c>
      <c r="HF87" s="21" t="n">
        <v>98.241</v>
      </c>
      <c r="HG87" s="21" t="n">
        <v>585.713</v>
      </c>
      <c r="HH87" s="21" t="n">
        <v>406.917</v>
      </c>
      <c r="HI87" s="21" t="n">
        <v>407.984</v>
      </c>
      <c r="HJ87" s="21" t="n">
        <v>530.99</v>
      </c>
      <c r="HK87" s="21" t="n">
        <v>196.917</v>
      </c>
      <c r="HL87" s="21" t="n">
        <v>258.611</v>
      </c>
      <c r="HM87" s="21" t="n">
        <v>88.28</v>
      </c>
      <c r="HN87" s="21" t="n">
        <v>371.745</v>
      </c>
      <c r="HO87" s="21" t="n">
        <v>360.123</v>
      </c>
      <c r="HP87" s="21" t="n">
        <v>805.131</v>
      </c>
      <c r="HQ87" s="21" t="n">
        <v>256.152</v>
      </c>
      <c r="HR87" s="21" t="n">
        <v>128.774</v>
      </c>
      <c r="HS87" s="21" t="n">
        <v>111.827</v>
      </c>
      <c r="HT87" s="21" t="n">
        <v>135.489</v>
      </c>
      <c r="HU87" s="21" t="n">
        <v>532.453</v>
      </c>
      <c r="HV87" s="21" t="n">
        <v>120.132</v>
      </c>
      <c r="HW87" s="21" t="n">
        <v>25.589</v>
      </c>
      <c r="HX87" s="21" t="n">
        <v>192.617</v>
      </c>
      <c r="HY87" s="21" t="n">
        <v>212.692</v>
      </c>
      <c r="HZ87" s="21" t="n">
        <v>160.926</v>
      </c>
      <c r="IA87" s="21" t="n">
        <v>123.893</v>
      </c>
      <c r="IB87" s="21" t="n">
        <v>286.203</v>
      </c>
      <c r="IC87" s="21" t="n">
        <v>218.41</v>
      </c>
      <c r="ID87" s="21" t="n">
        <v>301.593</v>
      </c>
      <c r="IE87" s="21" t="n">
        <v>127.469</v>
      </c>
      <c r="IF87" s="21" t="n">
        <v>176.722</v>
      </c>
      <c r="IG87" s="21" t="n">
        <v>86.518</v>
      </c>
      <c r="IH87" s="21" t="n">
        <v>78.68300000000001</v>
      </c>
      <c r="II87" s="21" t="n">
        <v>59.231</v>
      </c>
      <c r="IJ87" s="21" t="n">
        <v>24.84</v>
      </c>
      <c r="IK87" s="21" t="n">
        <v>34.219</v>
      </c>
      <c r="IL87" s="21" t="n">
        <v>29.598</v>
      </c>
      <c r="IM87" s="21" t="n">
        <v>39.748</v>
      </c>
      <c r="IN87" s="21" t="n">
        <v>96.562</v>
      </c>
      <c r="IO87" s="21" t="n">
        <v>112.278</v>
      </c>
      <c r="IP87" s="21" t="n">
        <v>180.852</v>
      </c>
      <c r="IQ87" s="21" t="n">
        <v>148.182</v>
      </c>
      <c r="IR87" s="21" t="n">
        <v>413.596</v>
      </c>
      <c r="IS87" s="21" t="n">
        <v>199.95</v>
      </c>
      <c r="IT87" s="21" t="n">
        <v>235.986</v>
      </c>
      <c r="IU87" s="21" t="n">
        <v>345.094</v>
      </c>
      <c r="IV87" s="21" t="n">
        <v>284.417</v>
      </c>
      <c r="IW87" s="21" t="n">
        <v>143.944</v>
      </c>
      <c r="IX87" s="21" t="n">
        <v>278.484</v>
      </c>
      <c r="IY87" s="21" t="n">
        <v>699.194</v>
      </c>
      <c r="IZ87" s="21" t="n">
        <v>799.946</v>
      </c>
      <c r="JA87" s="21" t="n">
        <v>896.345</v>
      </c>
      <c r="JB87" s="21" t="n">
        <v>88.31100000000001</v>
      </c>
      <c r="JC87" s="21" t="n">
        <v>323.303</v>
      </c>
      <c r="JD87" s="21" t="n">
        <v>264.265</v>
      </c>
      <c r="JE87" s="21" t="n">
        <v>76.27500000000001</v>
      </c>
      <c r="JF87" s="21" t="n">
        <v>213.848</v>
      </c>
      <c r="JG87" s="21" t="n">
        <v>334.684</v>
      </c>
      <c r="JH87" s="21" t="n">
        <v>361.823</v>
      </c>
      <c r="JI87" s="21" t="n">
        <v>71.98999999999999</v>
      </c>
      <c r="JJ87" s="21" t="n">
        <v>110.266</v>
      </c>
      <c r="JK87" s="21" t="n">
        <v>39.958</v>
      </c>
      <c r="JL87" s="21" t="n">
        <v>80.499</v>
      </c>
      <c r="JM87" s="21" t="n">
        <v>147.932</v>
      </c>
      <c r="JN87" s="21" t="n">
        <v>495.794</v>
      </c>
      <c r="JO87" s="21" t="n">
        <v>82.908</v>
      </c>
      <c r="JP87" s="21" t="n">
        <v>543.212</v>
      </c>
      <c r="JQ87" s="21" t="n">
        <v>252.704</v>
      </c>
      <c r="JR87" s="21" t="n">
        <v>161.324</v>
      </c>
      <c r="JS87" s="21" t="n">
        <v>485.806</v>
      </c>
      <c r="JT87" s="21" t="n">
        <v>389.25</v>
      </c>
      <c r="JU87" s="21" t="n">
        <v>354.424</v>
      </c>
      <c r="JV87" s="21" t="n">
        <v>200.587</v>
      </c>
      <c r="JW87" s="21" t="n">
        <v>387.695</v>
      </c>
      <c r="JX87" s="21" t="n">
        <v>288.414</v>
      </c>
      <c r="JY87" s="21" t="n">
        <v>82.79300000000001</v>
      </c>
      <c r="JZ87" s="21" t="n">
        <v>175.333</v>
      </c>
      <c r="KA87" s="21" t="n">
        <v>272.379</v>
      </c>
      <c r="KB87" s="21" t="n">
        <v>288.171</v>
      </c>
      <c r="KC87" s="21" t="n">
        <v>283.166</v>
      </c>
      <c r="KD87" s="21" t="n">
        <v>288.273</v>
      </c>
      <c r="KE87" s="21" t="n">
        <v>263.993</v>
      </c>
      <c r="KF87" s="21" t="n">
        <v>256.477</v>
      </c>
      <c r="KG87" s="21" t="n">
        <v>256.803</v>
      </c>
      <c r="KH87" s="21" t="n">
        <v>256.665</v>
      </c>
      <c r="KI87" s="21" t="n">
        <v>117.326</v>
      </c>
      <c r="KJ87" s="21" t="n">
        <v>215.424</v>
      </c>
      <c r="KK87" s="21" t="n">
        <v>180.242</v>
      </c>
      <c r="KL87" s="21" t="n">
        <v>176.96</v>
      </c>
      <c r="KM87" s="21" t="n">
        <v>164.945</v>
      </c>
      <c r="KN87" s="21" t="n">
        <v>157.478</v>
      </c>
      <c r="KO87" s="21" t="n">
        <v>283.829</v>
      </c>
      <c r="KP87" s="21" t="n">
        <v>128.701</v>
      </c>
      <c r="KQ87" s="21" t="n">
        <v>67.61</v>
      </c>
      <c r="KR87" s="21" t="n">
        <v>116.91</v>
      </c>
      <c r="KS87" s="21" t="n">
        <v>275.322</v>
      </c>
      <c r="KT87" s="21" t="n">
        <v>329.559</v>
      </c>
      <c r="KU87" s="21" t="n">
        <v>102.262</v>
      </c>
      <c r="KV87" s="21" t="n">
        <v>47.688</v>
      </c>
      <c r="KW87" s="21" t="n">
        <v>256.904</v>
      </c>
      <c r="KX87" s="21" t="n">
        <v>226.417</v>
      </c>
      <c r="KY87" s="21" t="n">
        <v>286.07</v>
      </c>
      <c r="KZ87" s="21" t="n">
        <v>223.786</v>
      </c>
      <c r="LA87" s="21" t="n">
        <v>289.404</v>
      </c>
      <c r="LB87" s="21" t="n">
        <v>124.421</v>
      </c>
      <c r="LC87" s="21" t="n">
        <v>383.547</v>
      </c>
      <c r="LD87" s="21" t="n">
        <v>83.553</v>
      </c>
      <c r="LE87" s="21" t="n">
        <v>134.063</v>
      </c>
      <c r="LF87" s="21" t="n">
        <v>359.734</v>
      </c>
      <c r="LG87" s="21" t="n">
        <v>351.781</v>
      </c>
      <c r="LH87" s="21" t="n">
        <v>363.705</v>
      </c>
      <c r="LI87" s="21" t="n">
        <v>334.036</v>
      </c>
      <c r="LJ87" s="21" t="n">
        <v>369.815</v>
      </c>
      <c r="LK87" s="21" t="n">
        <v>136.722</v>
      </c>
      <c r="LL87" s="21" t="n">
        <v>334.624</v>
      </c>
      <c r="LM87" s="21" t="n">
        <v>236.765</v>
      </c>
      <c r="LN87" s="21" t="n">
        <v>36.53</v>
      </c>
      <c r="LO87" s="21" t="n">
        <v>139.791</v>
      </c>
    </row>
    <row r="88">
      <c r="A88" s="22" t="n">
        <v>44621</v>
      </c>
      <c r="B88" s="21" t="n">
        <v>287.674</v>
      </c>
      <c r="C88" s="21" t="n">
        <v>293.893</v>
      </c>
      <c r="D88" s="21" t="n">
        <v>295.546</v>
      </c>
      <c r="E88" s="21" t="n">
        <v>278.333</v>
      </c>
      <c r="F88" s="21" t="n">
        <v>310.924</v>
      </c>
      <c r="G88" s="21" t="n">
        <v>255.343</v>
      </c>
      <c r="H88" s="21" t="n">
        <v>272.299</v>
      </c>
      <c r="I88" s="21" t="n">
        <v>246.618</v>
      </c>
      <c r="J88" s="21" t="n">
        <v>265.607</v>
      </c>
      <c r="K88" s="21" t="n">
        <v>343.758</v>
      </c>
      <c r="L88" s="21" t="n">
        <v>205.262</v>
      </c>
      <c r="M88" s="21" t="n">
        <v>207.902</v>
      </c>
      <c r="N88" s="21" t="n">
        <v>322.175</v>
      </c>
      <c r="O88" s="21" t="n">
        <v>301.355</v>
      </c>
      <c r="P88" s="21" t="n">
        <v>308.773</v>
      </c>
      <c r="Q88" s="21" t="n">
        <v>366.767</v>
      </c>
      <c r="R88" s="21" t="n">
        <v>298.562</v>
      </c>
      <c r="S88" s="21" t="n">
        <v>305.837</v>
      </c>
      <c r="T88" s="21" t="n">
        <v>311.483</v>
      </c>
      <c r="U88" s="21" t="n">
        <v>320.034</v>
      </c>
      <c r="V88" s="21" t="n">
        <v>396.681</v>
      </c>
      <c r="W88" s="21" t="n">
        <v>339.008</v>
      </c>
      <c r="X88" s="21" t="n">
        <v>318.554</v>
      </c>
      <c r="Y88" s="21" t="n">
        <v>264.304</v>
      </c>
      <c r="Z88" s="21" t="n">
        <v>266.596</v>
      </c>
      <c r="AA88" s="21" t="n">
        <v>201.237</v>
      </c>
      <c r="AB88" s="21" t="n">
        <v>386.122</v>
      </c>
      <c r="AC88" s="21" t="n">
        <v>174.616</v>
      </c>
      <c r="AD88" s="21" t="n">
        <v>242.085</v>
      </c>
      <c r="AE88" s="21" t="n">
        <v>269.628</v>
      </c>
      <c r="AF88" s="21" t="n">
        <v>237.24</v>
      </c>
      <c r="AG88" s="21" t="n">
        <v>161.906</v>
      </c>
      <c r="AH88" s="21" t="n">
        <v>265.172</v>
      </c>
      <c r="AI88" s="21" t="n">
        <v>270.396</v>
      </c>
      <c r="AJ88" s="21" t="n">
        <v>170.444</v>
      </c>
      <c r="AK88" s="21" t="n">
        <v>281.122</v>
      </c>
      <c r="AL88" s="21" t="n">
        <v>181.492</v>
      </c>
      <c r="AM88" s="21" t="n">
        <v>292.138</v>
      </c>
      <c r="AN88" s="21" t="n">
        <v>274.908</v>
      </c>
      <c r="AO88" s="21" t="n">
        <v>180.113</v>
      </c>
      <c r="AP88" s="21" t="n">
        <v>347.215</v>
      </c>
      <c r="AQ88" s="21" t="n">
        <v>222.437</v>
      </c>
      <c r="AR88" s="21" t="n">
        <v>170.728</v>
      </c>
      <c r="AS88" s="21" t="n">
        <v>235.855</v>
      </c>
      <c r="AT88" s="21" t="n">
        <v>363.119</v>
      </c>
      <c r="AU88" s="21" t="n">
        <v>232.234</v>
      </c>
      <c r="AV88" s="21" t="n">
        <v>245.258</v>
      </c>
      <c r="AW88" s="21" t="n">
        <v>167.724</v>
      </c>
      <c r="AX88" s="21" t="n">
        <v>244.452</v>
      </c>
      <c r="AY88" s="21" t="n">
        <v>171.695</v>
      </c>
      <c r="AZ88" s="21" t="n">
        <v>250.502</v>
      </c>
      <c r="BA88" s="21" t="n">
        <v>238.664</v>
      </c>
      <c r="BB88" s="21" t="n">
        <v>164.49</v>
      </c>
      <c r="BC88" s="21" t="n">
        <v>337.155</v>
      </c>
      <c r="BD88" s="21" t="n">
        <v>388.801</v>
      </c>
      <c r="BE88" s="21" t="n">
        <v>407.876</v>
      </c>
      <c r="BF88" s="21" t="n">
        <v>358.9</v>
      </c>
      <c r="BG88" s="21" t="n">
        <v>205.368</v>
      </c>
      <c r="BH88" s="21" t="n">
        <v>307.122</v>
      </c>
      <c r="BI88" s="21" t="n">
        <v>598.8680000000001</v>
      </c>
      <c r="BJ88" s="21" t="n">
        <v>134.677</v>
      </c>
      <c r="BK88" s="21" t="n">
        <v>367.308</v>
      </c>
      <c r="BL88" s="21" t="n">
        <v>393.738</v>
      </c>
      <c r="BM88" s="21" t="n">
        <v>382.869</v>
      </c>
      <c r="BN88" s="21" t="n">
        <v>350.821</v>
      </c>
      <c r="BO88" s="21" t="n">
        <v>365.658</v>
      </c>
      <c r="BP88" s="21" t="n">
        <v>179.695</v>
      </c>
      <c r="BQ88" s="21" t="n">
        <v>192.034</v>
      </c>
      <c r="BR88" s="21" t="n">
        <v>179.609</v>
      </c>
      <c r="BS88" s="21" t="n">
        <v>206.331</v>
      </c>
      <c r="BT88" s="21" t="n">
        <v>163.171</v>
      </c>
      <c r="BU88" s="21" t="n">
        <v>219.036</v>
      </c>
      <c r="BV88" s="21" t="n">
        <v>172.598</v>
      </c>
      <c r="BW88" s="21" t="n">
        <v>193.036</v>
      </c>
      <c r="BX88" s="21" t="n">
        <v>151.914</v>
      </c>
      <c r="BY88" s="21" t="n">
        <v>196.246</v>
      </c>
      <c r="BZ88" s="21" t="n">
        <v>135.779</v>
      </c>
      <c r="CA88" s="21" t="n">
        <v>129.127</v>
      </c>
      <c r="CB88" s="21" t="n">
        <v>217.092</v>
      </c>
      <c r="CC88" s="21" t="n">
        <v>228.033</v>
      </c>
      <c r="CD88" s="21" t="n">
        <v>140.383</v>
      </c>
      <c r="CE88" s="21" t="n">
        <v>241.518</v>
      </c>
      <c r="CF88" s="21" t="n">
        <v>250.705</v>
      </c>
      <c r="CG88" s="21" t="n">
        <v>223.504</v>
      </c>
      <c r="CH88" s="21" t="n">
        <v>169.9</v>
      </c>
      <c r="CI88" s="21" t="n">
        <v>173.43</v>
      </c>
      <c r="CJ88" s="21" t="n">
        <v>267.105</v>
      </c>
      <c r="CK88" s="21" t="n">
        <v>237.084</v>
      </c>
      <c r="CL88" s="21" t="n">
        <v>277.379</v>
      </c>
      <c r="CM88" s="21" t="n">
        <v>359.65</v>
      </c>
      <c r="CN88" s="21" t="n">
        <v>150.191</v>
      </c>
      <c r="CO88" s="21" t="n">
        <v>187.598</v>
      </c>
      <c r="CP88" s="21" t="n">
        <v>256.82</v>
      </c>
      <c r="CQ88" s="21" t="n">
        <v>282.032</v>
      </c>
      <c r="CR88" s="21" t="n">
        <v>196.113</v>
      </c>
      <c r="CS88" s="21" t="n">
        <v>284.48</v>
      </c>
      <c r="CT88" s="21" t="n">
        <v>272.183</v>
      </c>
      <c r="CU88" s="21" t="n">
        <v>174.986</v>
      </c>
      <c r="CV88" s="21" t="n">
        <v>163.41</v>
      </c>
      <c r="CW88" s="21" t="n">
        <v>156.566</v>
      </c>
      <c r="CX88" s="21" t="n">
        <v>301.294</v>
      </c>
      <c r="CY88" s="21" t="n">
        <v>150.805</v>
      </c>
      <c r="CZ88" s="21" t="n">
        <v>142.24</v>
      </c>
      <c r="DA88" s="21" t="n">
        <v>321.689</v>
      </c>
      <c r="DB88" s="21" t="n">
        <v>200.496</v>
      </c>
      <c r="DC88" s="21" t="n">
        <v>83.31999999999999</v>
      </c>
      <c r="DD88" s="21" t="n">
        <v>48.509</v>
      </c>
      <c r="DE88" s="21" t="n">
        <v>214.543</v>
      </c>
      <c r="DF88" s="21" t="n">
        <v>270.352</v>
      </c>
      <c r="DG88" s="21" t="n">
        <v>216.51</v>
      </c>
      <c r="DH88" s="21" t="n">
        <v>251.206</v>
      </c>
      <c r="DI88" s="21" t="n">
        <v>203.254</v>
      </c>
      <c r="DJ88" s="21" t="n">
        <v>216.655</v>
      </c>
      <c r="DK88" s="21" t="n">
        <v>198.9</v>
      </c>
      <c r="DL88" s="21" t="n">
        <v>176.436</v>
      </c>
      <c r="DM88" s="21" t="n">
        <v>387.294</v>
      </c>
      <c r="DN88" s="21" t="n">
        <v>213.54</v>
      </c>
      <c r="DO88" s="21" t="n">
        <v>293.485</v>
      </c>
      <c r="DP88" s="21" t="n">
        <v>346.396</v>
      </c>
      <c r="DQ88" s="21" t="n">
        <v>360.989</v>
      </c>
      <c r="DR88" s="21" t="n">
        <v>181.17</v>
      </c>
      <c r="DS88" s="21" t="n">
        <v>594.049</v>
      </c>
      <c r="DT88" s="21" t="n">
        <v>372.96</v>
      </c>
      <c r="DU88" s="21" t="n">
        <v>354.948</v>
      </c>
      <c r="DV88" s="21" t="n">
        <v>354.957</v>
      </c>
      <c r="DW88" s="21" t="n">
        <v>284.27</v>
      </c>
      <c r="DX88" s="21" t="n">
        <v>239.007</v>
      </c>
      <c r="DY88" s="21" t="n">
        <v>432.159</v>
      </c>
      <c r="DZ88" s="21" t="n">
        <v>458.206</v>
      </c>
      <c r="EA88" s="21" t="n">
        <v>455.891</v>
      </c>
      <c r="EB88" s="21" t="n">
        <v>239.377</v>
      </c>
      <c r="EC88" s="21" t="n">
        <v>242.188</v>
      </c>
      <c r="ED88" s="21" t="n">
        <v>226.988</v>
      </c>
      <c r="EE88" s="21" t="n">
        <v>269.621</v>
      </c>
      <c r="EF88" s="21" t="n">
        <v>621.92</v>
      </c>
      <c r="EG88" s="21" t="n">
        <v>540.7190000000001</v>
      </c>
      <c r="EH88" s="21" t="n">
        <v>141.15</v>
      </c>
      <c r="EI88" s="21" t="n">
        <v>59.906</v>
      </c>
      <c r="EJ88" s="21" t="n">
        <v>73.304</v>
      </c>
      <c r="EK88" s="21" t="n">
        <v>43.67</v>
      </c>
      <c r="EL88" s="21" t="n">
        <v>135.635</v>
      </c>
      <c r="EM88" s="21" t="n">
        <v>85</v>
      </c>
      <c r="EN88" s="21" t="n">
        <v>89.767</v>
      </c>
      <c r="EO88" s="21" t="n">
        <v>105.985</v>
      </c>
      <c r="EP88" s="21" t="n">
        <v>122.155</v>
      </c>
      <c r="EQ88" s="21" t="n">
        <v>73.90000000000001</v>
      </c>
      <c r="ER88" s="21" t="n">
        <v>56.144</v>
      </c>
      <c r="ES88" s="21" t="n">
        <v>147.668</v>
      </c>
      <c r="ET88" s="21" t="n">
        <v>85.145</v>
      </c>
      <c r="EU88" s="21" t="n">
        <v>103.766</v>
      </c>
      <c r="EV88" s="21" t="n">
        <v>111.748</v>
      </c>
      <c r="EW88" s="21" t="n">
        <v>99.991</v>
      </c>
      <c r="EX88" s="21" t="n">
        <v>211.063</v>
      </c>
      <c r="EY88" s="21" t="n">
        <v>136.873</v>
      </c>
      <c r="EZ88" s="21" t="n">
        <v>124.884</v>
      </c>
      <c r="FA88" s="21" t="n">
        <v>200.298</v>
      </c>
      <c r="FB88" s="21" t="n">
        <v>126.443</v>
      </c>
      <c r="FC88" s="21" t="n">
        <v>122.242</v>
      </c>
      <c r="FD88" s="21" t="n">
        <v>125.153</v>
      </c>
      <c r="FE88" s="21" t="n">
        <v>99.62</v>
      </c>
      <c r="FF88" s="21" t="n">
        <v>173.266</v>
      </c>
      <c r="FG88" s="21" t="n">
        <v>76.376</v>
      </c>
      <c r="FH88" s="21" t="n">
        <v>129.134</v>
      </c>
      <c r="FI88" s="21" t="n">
        <v>110.365</v>
      </c>
      <c r="FJ88" s="21" t="n">
        <v>105.344</v>
      </c>
      <c r="FK88" s="21" t="n">
        <v>106.53</v>
      </c>
      <c r="FL88" s="21" t="n">
        <v>100.007</v>
      </c>
      <c r="FM88" s="21" t="n">
        <v>106.468</v>
      </c>
      <c r="FN88" s="21" t="n">
        <v>72.988</v>
      </c>
      <c r="FO88" s="21" t="n">
        <v>106.26</v>
      </c>
      <c r="FP88" s="21" t="n">
        <v>99.215</v>
      </c>
      <c r="FQ88" s="21" t="n">
        <v>143.935</v>
      </c>
      <c r="FR88" s="21" t="n">
        <v>149.328</v>
      </c>
      <c r="FS88" s="21" t="n">
        <v>167.136</v>
      </c>
      <c r="FT88" s="21" t="n">
        <v>129.438</v>
      </c>
      <c r="FU88" s="21" t="n">
        <v>121.037</v>
      </c>
      <c r="FV88" s="21" t="n">
        <v>185.597</v>
      </c>
      <c r="FW88" s="21" t="n">
        <v>151.237</v>
      </c>
      <c r="FX88" s="21" t="n">
        <v>183.155</v>
      </c>
      <c r="FY88" s="21" t="n">
        <v>266.618</v>
      </c>
      <c r="FZ88" s="21" t="n">
        <v>266.819</v>
      </c>
      <c r="GA88" s="21" t="n">
        <v>127.041</v>
      </c>
      <c r="GB88" s="21" t="n">
        <v>168.602</v>
      </c>
      <c r="GC88" s="21" t="n">
        <v>116.302</v>
      </c>
      <c r="GD88" s="21" t="n">
        <v>164.445</v>
      </c>
      <c r="GE88" s="21" t="n">
        <v>179.563</v>
      </c>
      <c r="GF88" s="21" t="n"/>
      <c r="GG88" s="21" t="n">
        <v>209.646</v>
      </c>
      <c r="GH88" s="21" t="n"/>
      <c r="GI88" s="21" t="n">
        <v>203.722</v>
      </c>
      <c r="GJ88" s="21" t="n">
        <v>377.888</v>
      </c>
      <c r="GK88" s="21" t="n">
        <v>375.953</v>
      </c>
      <c r="GL88" s="21" t="n">
        <v>370.43</v>
      </c>
      <c r="GM88" s="21" t="n">
        <v>399.243</v>
      </c>
      <c r="GN88" s="21" t="n">
        <v>382.697</v>
      </c>
      <c r="GO88" s="21" t="n">
        <v>350.825</v>
      </c>
      <c r="GP88" s="21" t="n">
        <v>170.323</v>
      </c>
      <c r="GQ88" s="21" t="n">
        <v>146.719</v>
      </c>
      <c r="GR88" s="21" t="n">
        <v>329.992</v>
      </c>
      <c r="GS88" s="21" t="n">
        <v>204.698</v>
      </c>
      <c r="GT88" s="21" t="n">
        <v>584.751</v>
      </c>
      <c r="GU88" s="21" t="n">
        <v>219.555</v>
      </c>
      <c r="GV88" s="21" t="n">
        <v>254.123</v>
      </c>
      <c r="GW88" s="21" t="n">
        <v>251.317</v>
      </c>
      <c r="GX88" s="21" t="n">
        <v>245.329</v>
      </c>
      <c r="GY88" s="21" t="n">
        <v>160.726</v>
      </c>
      <c r="GZ88" s="21" t="n"/>
      <c r="HA88" s="21" t="n">
        <v>63.738</v>
      </c>
      <c r="HB88" s="21" t="n">
        <v>539.05</v>
      </c>
      <c r="HC88" s="21" t="n">
        <v>385.084</v>
      </c>
      <c r="HD88" s="21" t="n">
        <v>126.307</v>
      </c>
      <c r="HE88" s="21" t="n">
        <v>532.722</v>
      </c>
      <c r="HF88" s="21" t="n">
        <v>98.86499999999999</v>
      </c>
      <c r="HG88" s="21" t="n">
        <v>588.736</v>
      </c>
      <c r="HH88" s="21" t="n">
        <v>408.052</v>
      </c>
      <c r="HI88" s="21" t="n">
        <v>409.998</v>
      </c>
      <c r="HJ88" s="21" t="n">
        <v>532.022</v>
      </c>
      <c r="HK88" s="21" t="n">
        <v>196.839</v>
      </c>
      <c r="HL88" s="21" t="n">
        <v>257.988</v>
      </c>
      <c r="HM88" s="21" t="n">
        <v>88.73</v>
      </c>
      <c r="HN88" s="21" t="n">
        <v>373.307</v>
      </c>
      <c r="HO88" s="21" t="n">
        <v>361.318</v>
      </c>
      <c r="HP88" s="21" t="n">
        <v>809.201</v>
      </c>
      <c r="HQ88" s="21" t="n">
        <v>257.247</v>
      </c>
      <c r="HR88" s="21" t="n">
        <v>129.039</v>
      </c>
      <c r="HS88" s="21" t="n">
        <v>111.562</v>
      </c>
      <c r="HT88" s="21" t="n">
        <v>133.056</v>
      </c>
      <c r="HU88" s="21" t="n">
        <v>532.95</v>
      </c>
      <c r="HV88" s="21" t="n">
        <v>118.134</v>
      </c>
      <c r="HW88" s="21" t="n">
        <v>25.002</v>
      </c>
      <c r="HX88" s="21" t="n">
        <v>196.372</v>
      </c>
      <c r="HY88" s="21" t="n">
        <v>216.289</v>
      </c>
      <c r="HZ88" s="21" t="n">
        <v>164.706</v>
      </c>
      <c r="IA88" s="21" t="n">
        <v>124.618</v>
      </c>
      <c r="IB88" s="21" t="n">
        <v>292.575</v>
      </c>
      <c r="IC88" s="21" t="n">
        <v>218.344</v>
      </c>
      <c r="ID88" s="21" t="n">
        <v>311.775</v>
      </c>
      <c r="IE88" s="21" t="n">
        <v>126.733</v>
      </c>
      <c r="IF88" s="21" t="n">
        <v>175.074</v>
      </c>
      <c r="IG88" s="21" t="n">
        <v>86.446</v>
      </c>
      <c r="IH88" s="21" t="n">
        <v>79.18899999999999</v>
      </c>
      <c r="II88" s="21" t="n">
        <v>59.412</v>
      </c>
      <c r="IJ88" s="21" t="n">
        <v>24.935</v>
      </c>
      <c r="IK88" s="21" t="n">
        <v>34.355</v>
      </c>
      <c r="IL88" s="21" t="n">
        <v>29.647</v>
      </c>
      <c r="IM88" s="21" t="n">
        <v>39.325</v>
      </c>
      <c r="IN88" s="21" t="n">
        <v>98.739</v>
      </c>
      <c r="IO88" s="21" t="n">
        <v>113.171</v>
      </c>
      <c r="IP88" s="21" t="n">
        <v>180.553</v>
      </c>
      <c r="IQ88" s="21" t="n">
        <v>148.846</v>
      </c>
      <c r="IR88" s="21" t="n">
        <v>408.404</v>
      </c>
      <c r="IS88" s="21" t="n">
        <v>202.214</v>
      </c>
      <c r="IT88" s="21" t="n">
        <v>222.163</v>
      </c>
      <c r="IU88" s="21" t="n">
        <v>345.041</v>
      </c>
      <c r="IV88" s="21" t="n">
        <v>276.223</v>
      </c>
      <c r="IW88" s="21" t="n">
        <v>143.681</v>
      </c>
      <c r="IX88" s="21" t="n">
        <v>279.094</v>
      </c>
      <c r="IY88" s="21" t="n">
        <v>702.848</v>
      </c>
      <c r="IZ88" s="21" t="n">
        <v>801.616</v>
      </c>
      <c r="JA88" s="21" t="n">
        <v>897.7329999999999</v>
      </c>
      <c r="JB88" s="21" t="n">
        <v>88.529</v>
      </c>
      <c r="JC88" s="21" t="n">
        <v>324.033</v>
      </c>
      <c r="JD88" s="21" t="n">
        <v>263.772</v>
      </c>
      <c r="JE88" s="21" t="n">
        <v>75.91500000000001</v>
      </c>
      <c r="JF88" s="21" t="n">
        <v>215.029</v>
      </c>
      <c r="JG88" s="21" t="n">
        <v>335.901</v>
      </c>
      <c r="JH88" s="21" t="n">
        <v>369.852</v>
      </c>
      <c r="JI88" s="21" t="n">
        <v>71.633</v>
      </c>
      <c r="JJ88" s="21" t="n">
        <v>109.877</v>
      </c>
      <c r="JK88" s="21" t="n">
        <v>40.302</v>
      </c>
      <c r="JL88" s="21" t="n">
        <v>80.47199999999999</v>
      </c>
      <c r="JM88" s="21" t="n">
        <v>144.495</v>
      </c>
      <c r="JN88" s="21" t="n">
        <v>497.958</v>
      </c>
      <c r="JO88" s="21" t="n">
        <v>83.354</v>
      </c>
      <c r="JP88" s="21" t="n">
        <v>545.331</v>
      </c>
      <c r="JQ88" s="21" t="n">
        <v>253.747</v>
      </c>
      <c r="JR88" s="21" t="n">
        <v>162.888</v>
      </c>
      <c r="JS88" s="21" t="n">
        <v>490.67</v>
      </c>
      <c r="JT88" s="21" t="n">
        <v>390.992</v>
      </c>
      <c r="JU88" s="21" t="n">
        <v>356.655</v>
      </c>
      <c r="JV88" s="21" t="n">
        <v>201.936</v>
      </c>
      <c r="JW88" s="21" t="n">
        <v>395.601</v>
      </c>
      <c r="JX88" s="21" t="n"/>
      <c r="JY88" s="21" t="n">
        <v>82.56100000000001</v>
      </c>
      <c r="JZ88" s="21" t="n">
        <v>177.987</v>
      </c>
      <c r="KA88" s="21" t="n">
        <v>275.582</v>
      </c>
      <c r="KB88" s="21" t="n">
        <v>289.217</v>
      </c>
      <c r="KC88" s="21" t="n">
        <v>286.419</v>
      </c>
      <c r="KD88" s="21" t="n">
        <v>289.056</v>
      </c>
      <c r="KE88" s="21" t="n">
        <v>267.737</v>
      </c>
      <c r="KF88" s="21" t="n">
        <v>260.442</v>
      </c>
      <c r="KG88" s="21" t="n">
        <v>257.104</v>
      </c>
      <c r="KH88" s="21" t="n">
        <v>257.861</v>
      </c>
      <c r="KI88" s="21" t="n">
        <v>117.743</v>
      </c>
      <c r="KJ88" s="21" t="n">
        <v>219.539</v>
      </c>
      <c r="KK88" s="21" t="n">
        <v>184.612</v>
      </c>
      <c r="KL88" s="21" t="n">
        <v>181.373</v>
      </c>
      <c r="KM88" s="21" t="n">
        <v>164.318</v>
      </c>
      <c r="KN88" s="21" t="n">
        <v>158.006</v>
      </c>
      <c r="KO88" s="21" t="n">
        <v>288.245</v>
      </c>
      <c r="KP88" s="21" t="n">
        <v>128.044</v>
      </c>
      <c r="KQ88" s="21" t="n">
        <v>67.188</v>
      </c>
      <c r="KR88" s="21" t="n">
        <v>116.776</v>
      </c>
      <c r="KS88" s="21" t="n">
        <v>303.099</v>
      </c>
      <c r="KT88" s="21" t="n">
        <v>383.629</v>
      </c>
      <c r="KU88" s="21" t="n">
        <v>103.221</v>
      </c>
      <c r="KV88" s="21" t="n">
        <v>47.327</v>
      </c>
      <c r="KW88" s="21" t="n">
        <v>265.146</v>
      </c>
      <c r="KX88" s="21" t="n">
        <v>238.486</v>
      </c>
      <c r="KY88" s="21" t="n">
        <v>305.208</v>
      </c>
      <c r="KZ88" s="21" t="n">
        <v>236.478</v>
      </c>
      <c r="LA88" s="21" t="n">
        <v>310.379</v>
      </c>
      <c r="LB88" s="21" t="n">
        <v>125.205</v>
      </c>
      <c r="LC88" s="21" t="n">
        <v>383.937</v>
      </c>
      <c r="LD88" s="21" t="n">
        <v>83.548</v>
      </c>
      <c r="LE88" s="21" t="n">
        <v>134.511</v>
      </c>
      <c r="LF88" s="21" t="n">
        <v>361.531</v>
      </c>
      <c r="LG88" s="21" t="n">
        <v>353.879</v>
      </c>
      <c r="LH88" s="21" t="n">
        <v>365.6</v>
      </c>
      <c r="LI88" s="21" t="n">
        <v>336.236</v>
      </c>
      <c r="LJ88" s="21" t="n">
        <v>372.817</v>
      </c>
      <c r="LK88" s="21" t="n">
        <v>134.561</v>
      </c>
      <c r="LL88" s="21" t="n">
        <v>339.998</v>
      </c>
      <c r="LM88" s="21" t="n">
        <v>239.607</v>
      </c>
      <c r="LN88" s="21" t="n">
        <v>35.949</v>
      </c>
      <c r="LO88" s="21" t="n">
        <v>139.956</v>
      </c>
    </row>
    <row r="89">
      <c r="A89" s="22" t="n">
        <v>44652</v>
      </c>
      <c r="B89" s="21" t="n">
        <v>288.561</v>
      </c>
      <c r="C89" s="21" t="n">
        <v>296.568</v>
      </c>
      <c r="D89" s="21" t="n">
        <v>298.339</v>
      </c>
      <c r="E89" s="21" t="n">
        <v>281.593</v>
      </c>
      <c r="F89" s="21" t="n">
        <v>314.875</v>
      </c>
      <c r="G89" s="21" t="n">
        <v>258.803</v>
      </c>
      <c r="H89" s="21" t="n">
        <v>270.853</v>
      </c>
      <c r="I89" s="21" t="n">
        <v>252.613</v>
      </c>
      <c r="J89" s="21" t="n">
        <v>268.165</v>
      </c>
      <c r="K89" s="21" t="n">
        <v>347.132</v>
      </c>
      <c r="L89" s="21" t="n">
        <v>209.338</v>
      </c>
      <c r="M89" s="21" t="n">
        <v>205.891</v>
      </c>
      <c r="N89" s="21" t="n">
        <v>325.062</v>
      </c>
      <c r="O89" s="21" t="n">
        <v>302.404</v>
      </c>
      <c r="P89" s="21" t="n">
        <v>311.765</v>
      </c>
      <c r="Q89" s="21" t="n">
        <v>366.929</v>
      </c>
      <c r="R89" s="21" t="n">
        <v>303.692</v>
      </c>
      <c r="S89" s="21" t="n">
        <v>309.99</v>
      </c>
      <c r="T89" s="21" t="n">
        <v>313.649</v>
      </c>
      <c r="U89" s="21" t="n">
        <v>320.704</v>
      </c>
      <c r="V89" s="21" t="n">
        <v>393.274</v>
      </c>
      <c r="W89" s="21" t="n">
        <v>341.031</v>
      </c>
      <c r="X89" s="21" t="n">
        <v>314.807</v>
      </c>
      <c r="Y89" s="21" t="n">
        <v>260.286</v>
      </c>
      <c r="Z89" s="21" t="n">
        <v>268.66</v>
      </c>
      <c r="AA89" s="21" t="n">
        <v>204.866</v>
      </c>
      <c r="AB89" s="21" t="n">
        <v>394.002</v>
      </c>
      <c r="AC89" s="21" t="n">
        <v>177.99</v>
      </c>
      <c r="AD89" s="21" t="n">
        <v>237.923</v>
      </c>
      <c r="AE89" s="21" t="n">
        <v>265.909</v>
      </c>
      <c r="AF89" s="21" t="n">
        <v>241.837</v>
      </c>
      <c r="AG89" s="21" t="n">
        <v>164.573</v>
      </c>
      <c r="AH89" s="21" t="n">
        <v>269.797</v>
      </c>
      <c r="AI89" s="21" t="n">
        <v>274.562</v>
      </c>
      <c r="AJ89" s="21" t="n">
        <v>174.874</v>
      </c>
      <c r="AK89" s="21" t="n">
        <v>286.956</v>
      </c>
      <c r="AL89" s="21" t="n">
        <v>186.15</v>
      </c>
      <c r="AM89" s="21" t="n">
        <v>300.81</v>
      </c>
      <c r="AN89" s="21" t="n">
        <v>281.117</v>
      </c>
      <c r="AO89" s="21" t="n">
        <v>180.709</v>
      </c>
      <c r="AP89" s="21" t="n">
        <v>350.492</v>
      </c>
      <c r="AQ89" s="21" t="n">
        <v>224.402</v>
      </c>
      <c r="AR89" s="21" t="n">
        <v>171.018</v>
      </c>
      <c r="AS89" s="21" t="n">
        <v>236.161</v>
      </c>
      <c r="AT89" s="21" t="n">
        <v>361.872</v>
      </c>
      <c r="AU89" s="21" t="n">
        <v>261.398</v>
      </c>
      <c r="AV89" s="21" t="n">
        <v>251.03</v>
      </c>
      <c r="AW89" s="21" t="n">
        <v>173.158</v>
      </c>
      <c r="AX89" s="21" t="n">
        <v>252.229</v>
      </c>
      <c r="AY89" s="21" t="n">
        <v>177.285</v>
      </c>
      <c r="AZ89" s="21" t="n">
        <v>255.698</v>
      </c>
      <c r="BA89" s="21" t="n">
        <v>241.415</v>
      </c>
      <c r="BB89" s="21" t="n">
        <v>167.415</v>
      </c>
      <c r="BC89" s="21" t="n">
        <v>338.282</v>
      </c>
      <c r="BD89" s="21" t="n">
        <v>390.505</v>
      </c>
      <c r="BE89" s="21" t="n">
        <v>409.124</v>
      </c>
      <c r="BF89" s="21" t="n">
        <v>359.49</v>
      </c>
      <c r="BG89" s="21" t="n">
        <v>204.099</v>
      </c>
      <c r="BH89" s="21" t="n">
        <v>312.077</v>
      </c>
      <c r="BI89" s="21" t="n">
        <v>602.938</v>
      </c>
      <c r="BJ89" s="21" t="n">
        <v>134.229</v>
      </c>
      <c r="BK89" s="21" t="n">
        <v>369.494</v>
      </c>
      <c r="BL89" s="21" t="n">
        <v>402.707</v>
      </c>
      <c r="BM89" s="21" t="n">
        <v>385.85</v>
      </c>
      <c r="BN89" s="21" t="n">
        <v>352.932</v>
      </c>
      <c r="BO89" s="21" t="n">
        <v>365.894</v>
      </c>
      <c r="BP89" s="21" t="n">
        <v>179.678</v>
      </c>
      <c r="BQ89" s="21" t="n">
        <v>191.739</v>
      </c>
      <c r="BR89" s="21" t="n">
        <v>179.991</v>
      </c>
      <c r="BS89" s="21" t="n">
        <v>206.394</v>
      </c>
      <c r="BT89" s="21" t="n">
        <v>164.571</v>
      </c>
      <c r="BU89" s="21" t="n">
        <v>220.633</v>
      </c>
      <c r="BV89" s="21" t="n">
        <v>172.217</v>
      </c>
      <c r="BW89" s="21" t="n">
        <v>196.409</v>
      </c>
      <c r="BX89" s="21" t="n">
        <v>154.287</v>
      </c>
      <c r="BY89" s="21" t="n">
        <v>198.033</v>
      </c>
      <c r="BZ89" s="21" t="n">
        <v>138.492</v>
      </c>
      <c r="CA89" s="21" t="n">
        <v>131.806</v>
      </c>
      <c r="CB89" s="21" t="n">
        <v>222.541</v>
      </c>
      <c r="CC89" s="21" t="n">
        <v>234.681</v>
      </c>
      <c r="CD89" s="21" t="n">
        <v>143.035</v>
      </c>
      <c r="CE89" s="21" t="n">
        <v>243.579</v>
      </c>
      <c r="CF89" s="21" t="n">
        <v>251.063</v>
      </c>
      <c r="CG89" s="21" t="n">
        <v>222.315</v>
      </c>
      <c r="CH89" s="21" t="n">
        <v>169.651</v>
      </c>
      <c r="CI89" s="21" t="n">
        <v>176.124</v>
      </c>
      <c r="CJ89" s="21" t="n">
        <v>271.034</v>
      </c>
      <c r="CK89" s="21" t="n">
        <v>248.014</v>
      </c>
      <c r="CL89" s="21" t="n">
        <v>288.271</v>
      </c>
      <c r="CM89" s="21" t="n">
        <v>380.153</v>
      </c>
      <c r="CN89" s="21" t="n">
        <v>150.669</v>
      </c>
      <c r="CO89" s="21" t="n">
        <v>186.525</v>
      </c>
      <c r="CP89" s="21" t="n">
        <v>259.089</v>
      </c>
      <c r="CQ89" s="21" t="n">
        <v>287.378</v>
      </c>
      <c r="CR89" s="21" t="n">
        <v>197.064</v>
      </c>
      <c r="CS89" s="21" t="n">
        <v>285.178</v>
      </c>
      <c r="CT89" s="21" t="n">
        <v>274.247</v>
      </c>
      <c r="CU89" s="21" t="n">
        <v>176.147</v>
      </c>
      <c r="CV89" s="21" t="n">
        <v>163.582</v>
      </c>
      <c r="CW89" s="21" t="n">
        <v>158.847</v>
      </c>
      <c r="CX89" s="21" t="n">
        <v>297.484</v>
      </c>
      <c r="CY89" s="21" t="n">
        <v>153.219</v>
      </c>
      <c r="CZ89" s="21" t="n">
        <v>144.731</v>
      </c>
      <c r="DA89" s="21" t="n">
        <v>323.559</v>
      </c>
      <c r="DB89" s="21" t="n">
        <v>202.346</v>
      </c>
      <c r="DC89" s="21" t="n">
        <v>83.39100000000001</v>
      </c>
      <c r="DD89" s="21" t="n">
        <v>48.551</v>
      </c>
      <c r="DE89" s="21" t="n">
        <v>214.928</v>
      </c>
      <c r="DF89" s="21" t="n">
        <v>271.376</v>
      </c>
      <c r="DG89" s="21" t="n">
        <v>217.192</v>
      </c>
      <c r="DH89" s="21" t="n">
        <v>251.585</v>
      </c>
      <c r="DI89" s="21" t="n">
        <v>204.262</v>
      </c>
      <c r="DJ89" s="21" t="n">
        <v>217.75</v>
      </c>
      <c r="DK89" s="21" t="n">
        <v>199.852</v>
      </c>
      <c r="DL89" s="21" t="n">
        <v>176.757</v>
      </c>
      <c r="DM89" s="21" t="n">
        <v>389.313</v>
      </c>
      <c r="DN89" s="21" t="n">
        <v>215.379</v>
      </c>
      <c r="DO89" s="21" t="n">
        <v>295.413</v>
      </c>
      <c r="DP89" s="21" t="n">
        <v>348.23</v>
      </c>
      <c r="DQ89" s="21" t="n">
        <v>363.062</v>
      </c>
      <c r="DR89" s="21" t="n">
        <v>183.74</v>
      </c>
      <c r="DS89" s="21" t="n">
        <v>595.343</v>
      </c>
      <c r="DT89" s="21" t="n">
        <v>378.915</v>
      </c>
      <c r="DU89" s="21" t="n">
        <v>356.68</v>
      </c>
      <c r="DV89" s="21" t="n">
        <v>356.697</v>
      </c>
      <c r="DW89" s="21" t="n">
        <v>288.789</v>
      </c>
      <c r="DX89" s="21" t="n">
        <v>243.74</v>
      </c>
      <c r="DY89" s="21" t="n">
        <v>447.264</v>
      </c>
      <c r="DZ89" s="21" t="n">
        <v>480.408</v>
      </c>
      <c r="EA89" s="21" t="n">
        <v>460.706</v>
      </c>
      <c r="EB89" s="21" t="n">
        <v>243.868</v>
      </c>
      <c r="EC89" s="21" t="n">
        <v>245.225</v>
      </c>
      <c r="ED89" s="21" t="n">
        <v>235.384</v>
      </c>
      <c r="EE89" s="21" t="n">
        <v>270.419</v>
      </c>
      <c r="EF89" s="21" t="n">
        <v>623.653</v>
      </c>
      <c r="EG89" s="21" t="n">
        <v>542.564</v>
      </c>
      <c r="EH89" s="21" t="n">
        <v>141.996</v>
      </c>
      <c r="EI89" s="21" t="n">
        <v>60.709</v>
      </c>
      <c r="EJ89" s="21" t="n">
        <v>76.746</v>
      </c>
      <c r="EK89" s="21" t="n">
        <v>43.825</v>
      </c>
      <c r="EL89" s="21" t="n">
        <v>137.665</v>
      </c>
      <c r="EM89" s="21" t="n">
        <v>87.59</v>
      </c>
      <c r="EN89" s="21" t="n">
        <v>89.69</v>
      </c>
      <c r="EO89" s="21" t="n">
        <v>106.544</v>
      </c>
      <c r="EP89" s="21" t="n">
        <v>118.362</v>
      </c>
      <c r="EQ89" s="21" t="n">
        <v>73.84</v>
      </c>
      <c r="ER89" s="21" t="n">
        <v>55.472</v>
      </c>
      <c r="ES89" s="21" t="n">
        <v>146.054</v>
      </c>
      <c r="ET89" s="21" t="n">
        <v>86.157</v>
      </c>
      <c r="EU89" s="21" t="n">
        <v>104.103</v>
      </c>
      <c r="EV89" s="21" t="n">
        <v>112.954</v>
      </c>
      <c r="EW89" s="21" t="n">
        <v>99.90600000000001</v>
      </c>
      <c r="EX89" s="21" t="n">
        <v>213.732</v>
      </c>
      <c r="EY89" s="21" t="n">
        <v>139.159</v>
      </c>
      <c r="EZ89" s="21" t="n">
        <v>126.562</v>
      </c>
      <c r="FA89" s="21" t="n">
        <v>202.01</v>
      </c>
      <c r="FB89" s="21" t="n">
        <v>126.098</v>
      </c>
      <c r="FC89" s="21" t="n">
        <v>121.875</v>
      </c>
      <c r="FD89" s="21" t="n">
        <v>124.627</v>
      </c>
      <c r="FE89" s="21" t="n">
        <v>104.393</v>
      </c>
      <c r="FF89" s="21" t="n">
        <v>172.355</v>
      </c>
      <c r="FG89" s="21" t="n">
        <v>75.81399999999999</v>
      </c>
      <c r="FH89" s="21" t="n">
        <v>126.067</v>
      </c>
      <c r="FI89" s="21" t="n">
        <v>110.546</v>
      </c>
      <c r="FJ89" s="21" t="n">
        <v>105.018</v>
      </c>
      <c r="FK89" s="21" t="n">
        <v>106.097</v>
      </c>
      <c r="FL89" s="21" t="n">
        <v>100.465</v>
      </c>
      <c r="FM89" s="21" t="n">
        <v>106.768</v>
      </c>
      <c r="FN89" s="21" t="n">
        <v>72.372</v>
      </c>
      <c r="FO89" s="21" t="n">
        <v>105.917</v>
      </c>
      <c r="FP89" s="21" t="n">
        <v>99.413</v>
      </c>
      <c r="FQ89" s="21" t="n">
        <v>143.97</v>
      </c>
      <c r="FR89" s="21" t="n">
        <v>149.342</v>
      </c>
      <c r="FS89" s="21" t="n">
        <v>163.521</v>
      </c>
      <c r="FT89" s="21" t="n">
        <v>130.461</v>
      </c>
      <c r="FU89" s="21" t="n">
        <v>120.12</v>
      </c>
      <c r="FV89" s="21" t="n">
        <v>184.262</v>
      </c>
      <c r="FW89" s="21" t="n">
        <v>152.89</v>
      </c>
      <c r="FX89" s="21" t="n">
        <v>181.555</v>
      </c>
      <c r="FY89" s="21" t="n">
        <v>264.563</v>
      </c>
      <c r="FZ89" s="21" t="n">
        <v>263.2</v>
      </c>
      <c r="GA89" s="21" t="n">
        <v>127.096</v>
      </c>
      <c r="GB89" s="21" t="n">
        <v>169.574</v>
      </c>
      <c r="GC89" s="21" t="n"/>
      <c r="GD89" s="21" t="n">
        <v>166.177</v>
      </c>
      <c r="GE89" s="21" t="n">
        <v>180.452</v>
      </c>
      <c r="GF89" s="21" t="n"/>
      <c r="GG89" s="21" t="n">
        <v>206.194</v>
      </c>
      <c r="GH89" s="21" t="n"/>
      <c r="GI89" s="21" t="n">
        <v>204.621</v>
      </c>
      <c r="GJ89" s="21" t="n">
        <v>355.522</v>
      </c>
      <c r="GK89" s="21" t="n">
        <v>352.96</v>
      </c>
      <c r="GL89" s="21" t="n">
        <v>347.068</v>
      </c>
      <c r="GM89" s="21" t="n">
        <v>377.491</v>
      </c>
      <c r="GN89" s="21" t="n">
        <v>364.279</v>
      </c>
      <c r="GO89" s="21" t="n">
        <v>375.202</v>
      </c>
      <c r="GP89" s="21" t="n">
        <v>172.308</v>
      </c>
      <c r="GQ89" s="21" t="n">
        <v>148.062</v>
      </c>
      <c r="GR89" s="21" t="n">
        <v>331.735</v>
      </c>
      <c r="GS89" s="21" t="n">
        <v>203.359</v>
      </c>
      <c r="GT89" s="21" t="n">
        <v>590.513</v>
      </c>
      <c r="GU89" s="21" t="n">
        <v>218.904</v>
      </c>
      <c r="GV89" s="21" t="n">
        <v>254.421</v>
      </c>
      <c r="GW89" s="21" t="n">
        <v>281.375</v>
      </c>
      <c r="GX89" s="21" t="n">
        <v>289.163</v>
      </c>
      <c r="GY89" s="21" t="n">
        <v>160.149</v>
      </c>
      <c r="GZ89" s="21" t="n"/>
      <c r="HA89" s="21" t="n">
        <v>63.075</v>
      </c>
      <c r="HB89" s="21" t="n">
        <v>541.376</v>
      </c>
      <c r="HC89" s="21" t="n">
        <v>385.307</v>
      </c>
      <c r="HD89" s="21" t="n">
        <v>126.356</v>
      </c>
      <c r="HE89" s="21" t="n">
        <v>532.975</v>
      </c>
      <c r="HF89" s="21" t="n">
        <v>98.732</v>
      </c>
      <c r="HG89" s="21" t="n">
        <v>591.756</v>
      </c>
      <c r="HH89" s="21" t="n">
        <v>408.209</v>
      </c>
      <c r="HI89" s="21" t="n">
        <v>410.83</v>
      </c>
      <c r="HJ89" s="21" t="n">
        <v>530.804</v>
      </c>
      <c r="HK89" s="21" t="n">
        <v>197.221</v>
      </c>
      <c r="HL89" s="21" t="n">
        <v>257.303</v>
      </c>
      <c r="HM89" s="21" t="n">
        <v>89.02</v>
      </c>
      <c r="HN89" s="21" t="n">
        <v>374.501</v>
      </c>
      <c r="HO89" s="21" t="n">
        <v>362.516</v>
      </c>
      <c r="HP89" s="21" t="n">
        <v>811.686</v>
      </c>
      <c r="HQ89" s="21" t="n">
        <v>257.868</v>
      </c>
      <c r="HR89" s="21" t="n">
        <v>129.611</v>
      </c>
      <c r="HS89" s="21" t="n">
        <v>112.186</v>
      </c>
      <c r="HT89" s="21" t="n">
        <v>130.33</v>
      </c>
      <c r="HU89" s="21" t="n">
        <v>537.643</v>
      </c>
      <c r="HV89" s="21" t="n">
        <v>117.422</v>
      </c>
      <c r="HW89" s="21" t="n">
        <v>25.263</v>
      </c>
      <c r="HX89" s="21" t="n">
        <v>198.125</v>
      </c>
      <c r="HY89" s="21" t="n">
        <v>217.956</v>
      </c>
      <c r="HZ89" s="21" t="n">
        <v>166.72</v>
      </c>
      <c r="IA89" s="21" t="n">
        <v>124.494</v>
      </c>
      <c r="IB89" s="21" t="n">
        <v>295.566</v>
      </c>
      <c r="IC89" s="21" t="n">
        <v>221.286</v>
      </c>
      <c r="ID89" s="21" t="n">
        <v>314.416</v>
      </c>
      <c r="IE89" s="21" t="n">
        <v>127.853</v>
      </c>
      <c r="IF89" s="21" t="n">
        <v>176.212</v>
      </c>
      <c r="IG89" s="21" t="n">
        <v>87.491</v>
      </c>
      <c r="IH89" s="21" t="n">
        <v>79.727</v>
      </c>
      <c r="II89" s="21" t="n">
        <v>58.845</v>
      </c>
      <c r="IJ89" s="21" t="n">
        <v>24.688</v>
      </c>
      <c r="IK89" s="21" t="n">
        <v>34.415</v>
      </c>
      <c r="IL89" s="21" t="n">
        <v>29.606</v>
      </c>
      <c r="IM89" s="21" t="n">
        <v>39.352</v>
      </c>
      <c r="IN89" s="21" t="n">
        <v>103.252</v>
      </c>
      <c r="IO89" s="21" t="n">
        <v>112.705</v>
      </c>
      <c r="IP89" s="21" t="n">
        <v>180.169</v>
      </c>
      <c r="IQ89" s="21" t="n">
        <v>149.525</v>
      </c>
      <c r="IR89" s="21" t="n">
        <v>402.643</v>
      </c>
      <c r="IS89" s="21" t="n">
        <v>204.389</v>
      </c>
      <c r="IT89" s="21" t="n">
        <v>203.91</v>
      </c>
      <c r="IU89" s="21" t="n">
        <v>346.248</v>
      </c>
      <c r="IV89" s="21" t="n">
        <v>281.751</v>
      </c>
      <c r="IW89" s="21" t="n">
        <v>143.475</v>
      </c>
      <c r="IX89" s="21" t="n">
        <v>279.756</v>
      </c>
      <c r="IY89" s="21" t="n">
        <v>701.848</v>
      </c>
      <c r="IZ89" s="21" t="n">
        <v>803.621</v>
      </c>
      <c r="JA89" s="21" t="n">
        <v>899.174</v>
      </c>
      <c r="JB89" s="21" t="n">
        <v>88.67100000000001</v>
      </c>
      <c r="JC89" s="21" t="n">
        <v>325.927</v>
      </c>
      <c r="JD89" s="21" t="n">
        <v>264.273</v>
      </c>
      <c r="JE89" s="21" t="n">
        <v>75.596</v>
      </c>
      <c r="JF89" s="21" t="n">
        <v>216.238</v>
      </c>
      <c r="JG89" s="21" t="n">
        <v>337.059</v>
      </c>
      <c r="JH89" s="21" t="n">
        <v>378.898</v>
      </c>
      <c r="JI89" s="21" t="n">
        <v>71.315</v>
      </c>
      <c r="JJ89" s="21" t="n">
        <v>108.677</v>
      </c>
      <c r="JK89" s="21" t="n">
        <v>39.446</v>
      </c>
      <c r="JL89" s="21" t="n">
        <v>80.598</v>
      </c>
      <c r="JM89" s="21" t="n">
        <v>139.676</v>
      </c>
      <c r="JN89" s="21" t="n">
        <v>499.386</v>
      </c>
      <c r="JO89" s="21" t="n">
        <v>83.69199999999999</v>
      </c>
      <c r="JP89" s="21" t="n">
        <v>548.0650000000001</v>
      </c>
      <c r="JQ89" s="21" t="n">
        <v>254.404</v>
      </c>
      <c r="JR89" s="21" t="n">
        <v>163.474</v>
      </c>
      <c r="JS89" s="21" t="n">
        <v>493.539</v>
      </c>
      <c r="JT89" s="21" t="n">
        <v>395.288</v>
      </c>
      <c r="JU89" s="21" t="n">
        <v>357.608</v>
      </c>
      <c r="JV89" s="21" t="n">
        <v>202.76</v>
      </c>
      <c r="JW89" s="21" t="n">
        <v>397.115</v>
      </c>
      <c r="JX89" s="21" t="n"/>
      <c r="JY89" s="21" t="n">
        <v>82.155</v>
      </c>
      <c r="JZ89" s="21" t="n">
        <v>179.123</v>
      </c>
      <c r="KA89" s="21" t="n">
        <v>276.401</v>
      </c>
      <c r="KB89" s="21" t="n">
        <v>290.862</v>
      </c>
      <c r="KC89" s="21" t="n">
        <v>287.021</v>
      </c>
      <c r="KD89" s="21" t="n">
        <v>290.514</v>
      </c>
      <c r="KE89" s="21" t="n">
        <v>268.279</v>
      </c>
      <c r="KF89" s="21" t="n">
        <v>260.492</v>
      </c>
      <c r="KG89" s="21" t="n">
        <v>258.355</v>
      </c>
      <c r="KH89" s="21" t="n">
        <v>259.652</v>
      </c>
      <c r="KI89" s="21" t="n">
        <v>117.309</v>
      </c>
      <c r="KJ89" s="21" t="n">
        <v>218.594</v>
      </c>
      <c r="KK89" s="21" t="n">
        <v>182.54</v>
      </c>
      <c r="KL89" s="21" t="n">
        <v>179.244</v>
      </c>
      <c r="KM89" s="21" t="n">
        <v>164.153</v>
      </c>
      <c r="KN89" s="21" t="n">
        <v>158.416</v>
      </c>
      <c r="KO89" s="21" t="n">
        <v>291.954</v>
      </c>
      <c r="KP89" s="21" t="n">
        <v>127.925</v>
      </c>
      <c r="KQ89" s="21" t="n">
        <v>65.56100000000001</v>
      </c>
      <c r="KR89" s="21" t="n">
        <v>117.013</v>
      </c>
      <c r="KS89" s="21" t="n">
        <v>295.455</v>
      </c>
      <c r="KT89" s="21" t="n">
        <v>362.598</v>
      </c>
      <c r="KU89" s="21" t="n">
        <v>103.789</v>
      </c>
      <c r="KV89" s="21" t="n">
        <v>46.053</v>
      </c>
      <c r="KW89" s="21" t="n">
        <v>264.656</v>
      </c>
      <c r="KX89" s="21" t="n">
        <v>236.021</v>
      </c>
      <c r="KY89" s="21" t="n">
        <v>301.323</v>
      </c>
      <c r="KZ89" s="21" t="n">
        <v>233.853</v>
      </c>
      <c r="LA89" s="21" t="n">
        <v>306.05</v>
      </c>
      <c r="LB89" s="21" t="n">
        <v>125.531</v>
      </c>
      <c r="LC89" s="21" t="n">
        <v>385.127</v>
      </c>
      <c r="LD89" s="21" t="n">
        <v>83.973</v>
      </c>
      <c r="LE89" s="21" t="n">
        <v>135.054</v>
      </c>
      <c r="LF89" s="21" t="n">
        <v>363.454</v>
      </c>
      <c r="LG89" s="21" t="n">
        <v>356.712</v>
      </c>
      <c r="LH89" s="21" t="n">
        <v>368.292</v>
      </c>
      <c r="LI89" s="21" t="n">
        <v>338.762</v>
      </c>
      <c r="LJ89" s="21" t="n">
        <v>376.388</v>
      </c>
      <c r="LK89" s="21" t="n">
        <v>133.96</v>
      </c>
      <c r="LL89" s="21" t="n">
        <v>350.551</v>
      </c>
      <c r="LM89" s="21" t="n">
        <v>244.137</v>
      </c>
      <c r="LN89" s="21" t="n">
        <v>35.717</v>
      </c>
      <c r="LO89" s="21" t="n">
        <v>141.172</v>
      </c>
    </row>
    <row r="90">
      <c r="A90" s="22" t="n">
        <v>44682</v>
      </c>
      <c r="B90" s="21" t="n">
        <v>291.298</v>
      </c>
      <c r="C90" s="21" t="n">
        <v>299.817</v>
      </c>
      <c r="D90" s="21" t="n">
        <v>301.755</v>
      </c>
      <c r="E90" s="21" t="n">
        <v>285.522</v>
      </c>
      <c r="F90" s="21" t="n">
        <v>319.617</v>
      </c>
      <c r="G90" s="21" t="n">
        <v>262.955</v>
      </c>
      <c r="H90" s="21" t="n">
        <v>272.908</v>
      </c>
      <c r="I90" s="21" t="n">
        <v>255.993</v>
      </c>
      <c r="J90" s="21" t="n">
        <v>274.436</v>
      </c>
      <c r="K90" s="21" t="n">
        <v>352.31</v>
      </c>
      <c r="L90" s="21" t="n">
        <v>210.342</v>
      </c>
      <c r="M90" s="21" t="n">
        <v>205.554</v>
      </c>
      <c r="N90" s="21" t="n">
        <v>335.043</v>
      </c>
      <c r="O90" s="21" t="n">
        <v>314.374</v>
      </c>
      <c r="P90" s="21" t="n">
        <v>316.962</v>
      </c>
      <c r="Q90" s="21" t="n">
        <v>370.369</v>
      </c>
      <c r="R90" s="21" t="n">
        <v>308.845</v>
      </c>
      <c r="S90" s="21" t="n">
        <v>314.828</v>
      </c>
      <c r="T90" s="21" t="n">
        <v>316.624</v>
      </c>
      <c r="U90" s="21" t="n">
        <v>321.254</v>
      </c>
      <c r="V90" s="21" t="n">
        <v>392.012</v>
      </c>
      <c r="W90" s="21" t="n">
        <v>339.115</v>
      </c>
      <c r="X90" s="21" t="n">
        <v>313.429</v>
      </c>
      <c r="Y90" s="21" t="n">
        <v>259.465</v>
      </c>
      <c r="Z90" s="21" t="n">
        <v>268.832</v>
      </c>
      <c r="AA90" s="21" t="n">
        <v>205.657</v>
      </c>
      <c r="AB90" s="21" t="n">
        <v>391.666</v>
      </c>
      <c r="AC90" s="21" t="n">
        <v>181.207</v>
      </c>
      <c r="AD90" s="21" t="n">
        <v>238.097</v>
      </c>
      <c r="AE90" s="21" t="n">
        <v>265.004</v>
      </c>
      <c r="AF90" s="21" t="n">
        <v>237.643</v>
      </c>
      <c r="AG90" s="21" t="n">
        <v>166.777</v>
      </c>
      <c r="AH90" s="21" t="n">
        <v>273.605</v>
      </c>
      <c r="AI90" s="21" t="n">
        <v>279.668</v>
      </c>
      <c r="AJ90" s="21" t="n">
        <v>177.517</v>
      </c>
      <c r="AK90" s="21" t="n">
        <v>293.734</v>
      </c>
      <c r="AL90" s="21" t="n">
        <v>189.892</v>
      </c>
      <c r="AM90" s="21" t="n">
        <v>305.184</v>
      </c>
      <c r="AN90" s="21" t="n">
        <v>287.305</v>
      </c>
      <c r="AO90" s="21" t="n">
        <v>185.512</v>
      </c>
      <c r="AP90" s="21" t="n">
        <v>358.446</v>
      </c>
      <c r="AQ90" s="21" t="n">
        <v>229.367</v>
      </c>
      <c r="AR90" s="21" t="n">
        <v>172.536</v>
      </c>
      <c r="AS90" s="21" t="n">
        <v>240.952</v>
      </c>
      <c r="AT90" s="21" t="n">
        <v>367.857</v>
      </c>
      <c r="AU90" s="21" t="n">
        <v>289.673</v>
      </c>
      <c r="AV90" s="21" t="n">
        <v>257.678</v>
      </c>
      <c r="AW90" s="21" t="n">
        <v>178.025</v>
      </c>
      <c r="AX90" s="21" t="n">
        <v>260.917</v>
      </c>
      <c r="AY90" s="21" t="n">
        <v>182.036</v>
      </c>
      <c r="AZ90" s="21" t="n">
        <v>260.814</v>
      </c>
      <c r="BA90" s="21" t="n">
        <v>252.95</v>
      </c>
      <c r="BB90" s="21" t="n">
        <v>172.026</v>
      </c>
      <c r="BC90" s="21" t="n">
        <v>339.458</v>
      </c>
      <c r="BD90" s="21" t="n">
        <v>390.62</v>
      </c>
      <c r="BE90" s="21" t="n">
        <v>408.032</v>
      </c>
      <c r="BF90" s="21" t="n">
        <v>357.448</v>
      </c>
      <c r="BG90" s="21" t="n">
        <v>206.744</v>
      </c>
      <c r="BH90" s="21" t="n">
        <v>309.165</v>
      </c>
      <c r="BI90" s="21" t="n">
        <v>599.3680000000001</v>
      </c>
      <c r="BJ90" s="21" t="n">
        <v>134.68</v>
      </c>
      <c r="BK90" s="21" t="n">
        <v>370.896</v>
      </c>
      <c r="BL90" s="21" t="n">
        <v>405.338</v>
      </c>
      <c r="BM90" s="21" t="n">
        <v>382.647</v>
      </c>
      <c r="BN90" s="21" t="n">
        <v>361.715</v>
      </c>
      <c r="BO90" s="21" t="n">
        <v>366.601</v>
      </c>
      <c r="BP90" s="21" t="n">
        <v>182.198</v>
      </c>
      <c r="BQ90" s="21" t="n">
        <v>194.935</v>
      </c>
      <c r="BR90" s="21" t="n">
        <v>186.799</v>
      </c>
      <c r="BS90" s="21" t="n">
        <v>208.466</v>
      </c>
      <c r="BT90" s="21" t="n">
        <v>166.355</v>
      </c>
      <c r="BU90" s="21" t="n">
        <v>223.499</v>
      </c>
      <c r="BV90" s="21" t="n">
        <v>172.003</v>
      </c>
      <c r="BW90" s="21" t="n">
        <v>199.406</v>
      </c>
      <c r="BX90" s="21" t="n">
        <v>156.585</v>
      </c>
      <c r="BY90" s="21" t="n">
        <v>202.877</v>
      </c>
      <c r="BZ90" s="21" t="n">
        <v>139.77</v>
      </c>
      <c r="CA90" s="21" t="n">
        <v>133.562</v>
      </c>
      <c r="CB90" s="21" t="n">
        <v>226.664</v>
      </c>
      <c r="CC90" s="21" t="n">
        <v>238.884</v>
      </c>
      <c r="CD90" s="21" t="n">
        <v>143.122</v>
      </c>
      <c r="CE90" s="21" t="n">
        <v>246.945</v>
      </c>
      <c r="CF90" s="21" t="n">
        <v>252.844</v>
      </c>
      <c r="CG90" s="21" t="n">
        <v>227.322</v>
      </c>
      <c r="CH90" s="21" t="n">
        <v>169.622</v>
      </c>
      <c r="CI90" s="21" t="n">
        <v>178.871</v>
      </c>
      <c r="CJ90" s="21" t="n">
        <v>276.578</v>
      </c>
      <c r="CK90" s="21" t="n">
        <v>253.11</v>
      </c>
      <c r="CL90" s="21" t="n">
        <v>291.687</v>
      </c>
      <c r="CM90" s="21" t="n">
        <v>392.557</v>
      </c>
      <c r="CN90" s="21" t="n">
        <v>151.65</v>
      </c>
      <c r="CO90" s="21" t="n">
        <v>192.628</v>
      </c>
      <c r="CP90" s="21" t="n">
        <v>262.711</v>
      </c>
      <c r="CQ90" s="21" t="n">
        <v>288.342</v>
      </c>
      <c r="CR90" s="21" t="n">
        <v>198.25</v>
      </c>
      <c r="CS90" s="21" t="n">
        <v>292.052</v>
      </c>
      <c r="CT90" s="21" t="n">
        <v>277.849</v>
      </c>
      <c r="CU90" s="21" t="n">
        <v>178.4</v>
      </c>
      <c r="CV90" s="21" t="n">
        <v>166.694</v>
      </c>
      <c r="CW90" s="21" t="n">
        <v>161.43</v>
      </c>
      <c r="CX90" s="21" t="n">
        <v>304.555</v>
      </c>
      <c r="CY90" s="21" t="n">
        <v>154.756</v>
      </c>
      <c r="CZ90" s="21" t="n">
        <v>149.342</v>
      </c>
      <c r="DA90" s="21" t="n">
        <v>325.952</v>
      </c>
      <c r="DB90" s="21" t="n">
        <v>203.954</v>
      </c>
      <c r="DC90" s="21" t="n">
        <v>83.75700000000001</v>
      </c>
      <c r="DD90" s="21" t="n">
        <v>48.676</v>
      </c>
      <c r="DE90" s="21" t="n">
        <v>215.877</v>
      </c>
      <c r="DF90" s="21" t="n">
        <v>272.293</v>
      </c>
      <c r="DG90" s="21" t="n">
        <v>217.522</v>
      </c>
      <c r="DH90" s="21" t="n">
        <v>252.14</v>
      </c>
      <c r="DI90" s="21" t="n">
        <v>204.429</v>
      </c>
      <c r="DJ90" s="21" t="n">
        <v>218.057</v>
      </c>
      <c r="DK90" s="21" t="n">
        <v>200.211</v>
      </c>
      <c r="DL90" s="21" t="n">
        <v>177.031</v>
      </c>
      <c r="DM90" s="21" t="n">
        <v>392.382</v>
      </c>
      <c r="DN90" s="21" t="n">
        <v>215.9</v>
      </c>
      <c r="DO90" s="21" t="n">
        <v>297.892</v>
      </c>
      <c r="DP90" s="21" t="n">
        <v>350.204</v>
      </c>
      <c r="DQ90" s="21" t="n">
        <v>365.376</v>
      </c>
      <c r="DR90" s="21" t="n">
        <v>183.701</v>
      </c>
      <c r="DS90" s="21" t="n">
        <v>596.672</v>
      </c>
      <c r="DT90" s="21" t="n">
        <v>378.7</v>
      </c>
      <c r="DU90" s="21" t="n">
        <v>358.746</v>
      </c>
      <c r="DV90" s="21" t="n">
        <v>358.762</v>
      </c>
      <c r="DW90" s="21" t="n">
        <v>297.325</v>
      </c>
      <c r="DX90" s="21" t="n">
        <v>252.972</v>
      </c>
      <c r="DY90" s="21" t="n">
        <v>511.523</v>
      </c>
      <c r="DZ90" s="21" t="n">
        <v>578.321</v>
      </c>
      <c r="EA90" s="21" t="n">
        <v>468.264</v>
      </c>
      <c r="EB90" s="21" t="n">
        <v>251.298</v>
      </c>
      <c r="EC90" s="21" t="n">
        <v>248.849</v>
      </c>
      <c r="ED90" s="21" t="n">
        <v>253.127</v>
      </c>
      <c r="EE90" s="21" t="n">
        <v>270.844</v>
      </c>
      <c r="EF90" s="21" t="n">
        <v>624.129</v>
      </c>
      <c r="EG90" s="21" t="n">
        <v>544.546</v>
      </c>
      <c r="EH90" s="21" t="n">
        <v>142.813</v>
      </c>
      <c r="EI90" s="21" t="n">
        <v>60.768</v>
      </c>
      <c r="EJ90" s="21" t="n">
        <v>75.223</v>
      </c>
      <c r="EK90" s="21" t="n">
        <v>43.671</v>
      </c>
      <c r="EL90" s="21" t="n">
        <v>137.398</v>
      </c>
      <c r="EM90" s="21" t="n">
        <v>86.89400000000001</v>
      </c>
      <c r="EN90" s="21" t="n">
        <v>89.114</v>
      </c>
      <c r="EO90" s="21" t="n">
        <v>104.923</v>
      </c>
      <c r="EP90" s="21" t="n">
        <v>118.226</v>
      </c>
      <c r="EQ90" s="21" t="n">
        <v>73.66200000000001</v>
      </c>
      <c r="ER90" s="21" t="n">
        <v>54.713</v>
      </c>
      <c r="ES90" s="21" t="n">
        <v>147.074</v>
      </c>
      <c r="ET90" s="21" t="n">
        <v>86.55800000000001</v>
      </c>
      <c r="EU90" s="21" t="n">
        <v>105.362</v>
      </c>
      <c r="EV90" s="21" t="n">
        <v>114.155</v>
      </c>
      <c r="EW90" s="21" t="n">
        <v>101.272</v>
      </c>
      <c r="EX90" s="21" t="n">
        <v>215.957</v>
      </c>
      <c r="EY90" s="21" t="n">
        <v>139.554</v>
      </c>
      <c r="EZ90" s="21" t="n">
        <v>129.577</v>
      </c>
      <c r="FA90" s="21" t="n">
        <v>203.382</v>
      </c>
      <c r="FB90" s="21" t="n">
        <v>126.693</v>
      </c>
      <c r="FC90" s="21" t="n">
        <v>122.432</v>
      </c>
      <c r="FD90" s="21" t="n">
        <v>125.012</v>
      </c>
      <c r="FE90" s="21" t="n">
        <v>105.429</v>
      </c>
      <c r="FF90" s="21" t="n">
        <v>171.651</v>
      </c>
      <c r="FG90" s="21" t="n">
        <v>76.616</v>
      </c>
      <c r="FH90" s="21" t="n">
        <v>125.647</v>
      </c>
      <c r="FI90" s="21" t="n">
        <v>111.31</v>
      </c>
      <c r="FJ90" s="21" t="n">
        <v>105.167</v>
      </c>
      <c r="FK90" s="21" t="n">
        <v>106.306</v>
      </c>
      <c r="FL90" s="21" t="n">
        <v>101.357</v>
      </c>
      <c r="FM90" s="21" t="n">
        <v>106.601</v>
      </c>
      <c r="FN90" s="21" t="n">
        <v>72.208</v>
      </c>
      <c r="FO90" s="21" t="n">
        <v>106.924</v>
      </c>
      <c r="FP90" s="21" t="n">
        <v>99.267</v>
      </c>
      <c r="FQ90" s="21" t="n">
        <v>144.841</v>
      </c>
      <c r="FR90" s="21" t="n">
        <v>149.16</v>
      </c>
      <c r="FS90" s="21" t="n">
        <v>166.087</v>
      </c>
      <c r="FT90" s="21" t="n">
        <v>130.72</v>
      </c>
      <c r="FU90" s="21" t="n">
        <v>122.425</v>
      </c>
      <c r="FV90" s="21" t="n">
        <v>186.099</v>
      </c>
      <c r="FW90" s="21" t="n">
        <v>151.856</v>
      </c>
      <c r="FX90" s="21" t="n">
        <v>184.26</v>
      </c>
      <c r="FY90" s="21" t="n">
        <v>269.601</v>
      </c>
      <c r="FZ90" s="21" t="n">
        <v>267.504</v>
      </c>
      <c r="GA90" s="21" t="n">
        <v>127.507</v>
      </c>
      <c r="GB90" s="21" t="n">
        <v>170.877</v>
      </c>
      <c r="GC90" s="21" t="n"/>
      <c r="GD90" s="21" t="n">
        <v>167.672</v>
      </c>
      <c r="GE90" s="21" t="n">
        <v>181.733</v>
      </c>
      <c r="GF90" s="21" t="n"/>
      <c r="GG90" s="21" t="n">
        <v>207.673</v>
      </c>
      <c r="GH90" s="21" t="n"/>
      <c r="GI90" s="21" t="n">
        <v>202.607</v>
      </c>
      <c r="GJ90" s="21" t="n">
        <v>374.252</v>
      </c>
      <c r="GK90" s="21" t="n">
        <v>371.34</v>
      </c>
      <c r="GL90" s="21" t="n">
        <v>365.87</v>
      </c>
      <c r="GM90" s="21" t="n">
        <v>394.911</v>
      </c>
      <c r="GN90" s="21" t="n">
        <v>378.59</v>
      </c>
      <c r="GO90" s="21" t="n">
        <v>403.635</v>
      </c>
      <c r="GP90" s="21" t="n">
        <v>174.963</v>
      </c>
      <c r="GQ90" s="21" t="n">
        <v>149.673</v>
      </c>
      <c r="GR90" s="21" t="n">
        <v>333.258</v>
      </c>
      <c r="GS90" s="21" t="n">
        <v>204.806</v>
      </c>
      <c r="GT90" s="21" t="n">
        <v>594.105</v>
      </c>
      <c r="GU90" s="21" t="n">
        <v>219.247</v>
      </c>
      <c r="GV90" s="21" t="n">
        <v>254.897</v>
      </c>
      <c r="GW90" s="21" t="n">
        <v>301.254</v>
      </c>
      <c r="GX90" s="21" t="n">
        <v>321.904</v>
      </c>
      <c r="GY90" s="21" t="n">
        <v>159.205</v>
      </c>
      <c r="GZ90" s="21" t="n"/>
      <c r="HA90" s="21" t="n">
        <v>62.535</v>
      </c>
      <c r="HB90" s="21" t="n">
        <v>543.544</v>
      </c>
      <c r="HC90" s="21" t="n">
        <v>386.273</v>
      </c>
      <c r="HD90" s="21" t="n">
        <v>126.516</v>
      </c>
      <c r="HE90" s="21" t="n">
        <v>532.1950000000001</v>
      </c>
      <c r="HF90" s="21" t="n">
        <v>99.06</v>
      </c>
      <c r="HG90" s="21" t="n">
        <v>594.318</v>
      </c>
      <c r="HH90" s="21" t="n">
        <v>408.873</v>
      </c>
      <c r="HI90" s="21" t="n">
        <v>410.249</v>
      </c>
      <c r="HJ90" s="21" t="n">
        <v>533.992</v>
      </c>
      <c r="HK90" s="21" t="n">
        <v>197.381</v>
      </c>
      <c r="HL90" s="21" t="n">
        <v>259.026</v>
      </c>
      <c r="HM90" s="21" t="n">
        <v>89.17100000000001</v>
      </c>
      <c r="HN90" s="21" t="n">
        <v>375.273</v>
      </c>
      <c r="HO90" s="21" t="n">
        <v>363.185</v>
      </c>
      <c r="HP90" s="21" t="n">
        <v>813.5650000000001</v>
      </c>
      <c r="HQ90" s="21" t="n">
        <v>257.616</v>
      </c>
      <c r="HR90" s="21" t="n">
        <v>130.135</v>
      </c>
      <c r="HS90" s="21" t="n">
        <v>113.17</v>
      </c>
      <c r="HT90" s="21" t="n">
        <v>127.216</v>
      </c>
      <c r="HU90" s="21" t="n">
        <v>544.711</v>
      </c>
      <c r="HV90" s="21" t="n">
        <v>118.022</v>
      </c>
      <c r="HW90" s="21" t="n">
        <v>25.295</v>
      </c>
      <c r="HX90" s="21" t="n">
        <v>198.736</v>
      </c>
      <c r="HY90" s="21" t="n">
        <v>220.21</v>
      </c>
      <c r="HZ90" s="21" t="n">
        <v>169.335</v>
      </c>
      <c r="IA90" s="21" t="n">
        <v>124.597</v>
      </c>
      <c r="IB90" s="21" t="n">
        <v>294.197</v>
      </c>
      <c r="IC90" s="21" t="n">
        <v>223.265</v>
      </c>
      <c r="ID90" s="21" t="n">
        <v>311.374</v>
      </c>
      <c r="IE90" s="21" t="n">
        <v>127.587</v>
      </c>
      <c r="IF90" s="21" t="n">
        <v>175.798</v>
      </c>
      <c r="IG90" s="21" t="n">
        <v>87.348</v>
      </c>
      <c r="IH90" s="21" t="n">
        <v>80.455</v>
      </c>
      <c r="II90" s="21" t="n">
        <v>59.819</v>
      </c>
      <c r="IJ90" s="21" t="n">
        <v>25.014</v>
      </c>
      <c r="IK90" s="21" t="n">
        <v>34.4</v>
      </c>
      <c r="IL90" s="21" t="n">
        <v>29.555</v>
      </c>
      <c r="IM90" s="21" t="n">
        <v>39.06</v>
      </c>
      <c r="IN90" s="21" t="n">
        <v>104.937</v>
      </c>
      <c r="IO90" s="21" t="n">
        <v>112.198</v>
      </c>
      <c r="IP90" s="21" t="n">
        <v>180.839</v>
      </c>
      <c r="IQ90" s="21" t="n">
        <v>150.623</v>
      </c>
      <c r="IR90" s="21" t="n">
        <v>403.07</v>
      </c>
      <c r="IS90" s="21" t="n">
        <v>204.41</v>
      </c>
      <c r="IT90" s="21" t="n">
        <v>203.769</v>
      </c>
      <c r="IU90" s="21" t="n">
        <v>346.301</v>
      </c>
      <c r="IV90" s="21" t="n">
        <v>281.646</v>
      </c>
      <c r="IW90" s="21" t="n">
        <v>143.404</v>
      </c>
      <c r="IX90" s="21" t="n">
        <v>280.606</v>
      </c>
      <c r="IY90" s="21" t="n">
        <v>717.038</v>
      </c>
      <c r="IZ90" s="21" t="n">
        <v>805.55</v>
      </c>
      <c r="JA90" s="21" t="n">
        <v>900.3630000000001</v>
      </c>
      <c r="JB90" s="21" t="n">
        <v>89.66</v>
      </c>
      <c r="JC90" s="21" t="n">
        <v>326.707</v>
      </c>
      <c r="JD90" s="21" t="n">
        <v>264.979</v>
      </c>
      <c r="JE90" s="21" t="n">
        <v>75.36499999999999</v>
      </c>
      <c r="JF90" s="21" t="n">
        <v>217.811</v>
      </c>
      <c r="JG90" s="21" t="n">
        <v>338.408</v>
      </c>
      <c r="JH90" s="21" t="n">
        <v>392.188</v>
      </c>
      <c r="JI90" s="21" t="n">
        <v>71.07899999999999</v>
      </c>
      <c r="JJ90" s="21" t="n">
        <v>107.954</v>
      </c>
      <c r="JK90" s="21" t="n">
        <v>38.909</v>
      </c>
      <c r="JL90" s="21" t="n">
        <v>81.01300000000001</v>
      </c>
      <c r="JM90" s="21" t="n">
        <v>135.081</v>
      </c>
      <c r="JN90" s="21" t="n">
        <v>502.525</v>
      </c>
      <c r="JO90" s="21" t="n">
        <v>84.404</v>
      </c>
      <c r="JP90" s="21" t="n">
        <v>552.622</v>
      </c>
      <c r="JQ90" s="21" t="n">
        <v>255.87</v>
      </c>
      <c r="JR90" s="21" t="n">
        <v>164.288</v>
      </c>
      <c r="JS90" s="21" t="n">
        <v>492.985</v>
      </c>
      <c r="JT90" s="21" t="n">
        <v>399.211</v>
      </c>
      <c r="JU90" s="21" t="n">
        <v>358.288</v>
      </c>
      <c r="JV90" s="21" t="n">
        <v>203.217</v>
      </c>
      <c r="JW90" s="21" t="n">
        <v>390.394</v>
      </c>
      <c r="JX90" s="21" t="n"/>
      <c r="JY90" s="21" t="n">
        <v>84.41800000000001</v>
      </c>
      <c r="JZ90" s="21" t="n">
        <v>181.12</v>
      </c>
      <c r="KA90" s="21" t="n">
        <v>279.161</v>
      </c>
      <c r="KB90" s="21" t="n">
        <v>292.673</v>
      </c>
      <c r="KC90" s="21" t="n">
        <v>289.655</v>
      </c>
      <c r="KD90" s="21" t="n">
        <v>292.063</v>
      </c>
      <c r="KE90" s="21" t="n">
        <v>271.315</v>
      </c>
      <c r="KF90" s="21" t="n">
        <v>263.432</v>
      </c>
      <c r="KG90" s="21" t="n">
        <v>259.671</v>
      </c>
      <c r="KH90" s="21" t="n">
        <v>260.922</v>
      </c>
      <c r="KI90" s="21" t="n">
        <v>117.812</v>
      </c>
      <c r="KJ90" s="21" t="n">
        <v>221.472</v>
      </c>
      <c r="KK90" s="21" t="n">
        <v>185.103</v>
      </c>
      <c r="KL90" s="21" t="n">
        <v>181.827</v>
      </c>
      <c r="KM90" s="21" t="n">
        <v>164.883</v>
      </c>
      <c r="KN90" s="21" t="n">
        <v>159.022</v>
      </c>
      <c r="KO90" s="21" t="n">
        <v>295.893</v>
      </c>
      <c r="KP90" s="21" t="n">
        <v>127.939</v>
      </c>
      <c r="KQ90" s="21" t="n">
        <v>64.417</v>
      </c>
      <c r="KR90" s="21" t="n">
        <v>117.25</v>
      </c>
      <c r="KS90" s="21" t="n">
        <v>309.052</v>
      </c>
      <c r="KT90" s="21" t="n">
        <v>383.376</v>
      </c>
      <c r="KU90" s="21" t="n">
        <v>104.168</v>
      </c>
      <c r="KV90" s="21" t="n">
        <v>45.031</v>
      </c>
      <c r="KW90" s="21" t="n">
        <v>269.696</v>
      </c>
      <c r="KX90" s="21" t="n">
        <v>242.048</v>
      </c>
      <c r="KY90" s="21" t="n">
        <v>310.195</v>
      </c>
      <c r="KZ90" s="21" t="n">
        <v>240.153</v>
      </c>
      <c r="LA90" s="21" t="n">
        <v>315.668</v>
      </c>
      <c r="LB90" s="21" t="n">
        <v>126.714</v>
      </c>
      <c r="LC90" s="21" t="n">
        <v>386.36</v>
      </c>
      <c r="LD90" s="21" t="n">
        <v>84.032</v>
      </c>
      <c r="LE90" s="21" t="n">
        <v>135.875</v>
      </c>
      <c r="LF90" s="21" t="n">
        <v>365.608</v>
      </c>
      <c r="LG90" s="21" t="n">
        <v>359.216</v>
      </c>
      <c r="LH90" s="21" t="n">
        <v>370.356</v>
      </c>
      <c r="LI90" s="21" t="n">
        <v>341.474</v>
      </c>
      <c r="LJ90" s="21" t="n">
        <v>379.887</v>
      </c>
      <c r="LK90" s="21" t="n">
        <v>135.009</v>
      </c>
      <c r="LL90" s="21" t="n">
        <v>353.867</v>
      </c>
      <c r="LM90" s="21" t="n">
        <v>249.948</v>
      </c>
      <c r="LN90" s="21" t="n">
        <v>35.306</v>
      </c>
      <c r="LO90" s="21" t="n">
        <v>143.136</v>
      </c>
    </row>
    <row r="91">
      <c r="A91" s="22" t="n">
        <v>44713</v>
      </c>
      <c r="B91" s="21" t="n">
        <v>294.957</v>
      </c>
      <c r="C91" s="21" t="n">
        <v>302.774</v>
      </c>
      <c r="D91" s="21" t="n">
        <v>304.834</v>
      </c>
      <c r="E91" s="21" t="n">
        <v>288.568</v>
      </c>
      <c r="F91" s="21" t="n">
        <v>325.593</v>
      </c>
      <c r="G91" s="21" t="n">
        <v>268.357</v>
      </c>
      <c r="H91" s="21" t="n">
        <v>286.069</v>
      </c>
      <c r="I91" s="21" t="n">
        <v>262.495</v>
      </c>
      <c r="J91" s="21" t="n">
        <v>277.391</v>
      </c>
      <c r="K91" s="21" t="n">
        <v>358.628</v>
      </c>
      <c r="L91" s="21" t="n">
        <v>213.644</v>
      </c>
      <c r="M91" s="21" t="n">
        <v>212.614</v>
      </c>
      <c r="N91" s="21" t="n">
        <v>341.175</v>
      </c>
      <c r="O91" s="21" t="n">
        <v>318.379</v>
      </c>
      <c r="P91" s="21" t="n">
        <v>320.335</v>
      </c>
      <c r="Q91" s="21" t="n">
        <v>374.876</v>
      </c>
      <c r="R91" s="21" t="n">
        <v>316.812</v>
      </c>
      <c r="S91" s="21" t="n">
        <v>316.191</v>
      </c>
      <c r="T91" s="21" t="n">
        <v>316.934</v>
      </c>
      <c r="U91" s="21" t="n">
        <v>320.184</v>
      </c>
      <c r="V91" s="21" t="n">
        <v>388.503</v>
      </c>
      <c r="W91" s="21" t="n">
        <v>336.753</v>
      </c>
      <c r="X91" s="21" t="n">
        <v>306.07</v>
      </c>
      <c r="Y91" s="21" t="n">
        <v>257.465</v>
      </c>
      <c r="Z91" s="21" t="n">
        <v>266.953</v>
      </c>
      <c r="AA91" s="21" t="n">
        <v>202.844</v>
      </c>
      <c r="AB91" s="21" t="n">
        <v>385.706</v>
      </c>
      <c r="AC91" s="21" t="n">
        <v>180.637</v>
      </c>
      <c r="AD91" s="21" t="n">
        <v>243.163</v>
      </c>
      <c r="AE91" s="21" t="n">
        <v>270.958</v>
      </c>
      <c r="AF91" s="21" t="n">
        <v>234.207</v>
      </c>
      <c r="AG91" s="21" t="n">
        <v>166.905</v>
      </c>
      <c r="AH91" s="21" t="n">
        <v>277.493</v>
      </c>
      <c r="AI91" s="21" t="n">
        <v>291.317</v>
      </c>
      <c r="AJ91" s="21" t="n">
        <v>178.637</v>
      </c>
      <c r="AK91" s="21" t="n">
        <v>297.027</v>
      </c>
      <c r="AL91" s="21" t="n">
        <v>192.496</v>
      </c>
      <c r="AM91" s="21" t="n">
        <v>307.432</v>
      </c>
      <c r="AN91" s="21" t="n">
        <v>292.417</v>
      </c>
      <c r="AO91" s="21" t="n">
        <v>187.491</v>
      </c>
      <c r="AP91" s="21" t="n">
        <v>360.244</v>
      </c>
      <c r="AQ91" s="21" t="n">
        <v>228.491</v>
      </c>
      <c r="AR91" s="21" t="n">
        <v>175.211</v>
      </c>
      <c r="AS91" s="21" t="n">
        <v>245.276</v>
      </c>
      <c r="AT91" s="21" t="n">
        <v>372.828</v>
      </c>
      <c r="AU91" s="21" t="n">
        <v>304.29</v>
      </c>
      <c r="AV91" s="21" t="n">
        <v>261.255</v>
      </c>
      <c r="AW91" s="21" t="n">
        <v>178.856</v>
      </c>
      <c r="AX91" s="21" t="n">
        <v>260.983</v>
      </c>
      <c r="AY91" s="21" t="n">
        <v>183.664</v>
      </c>
      <c r="AZ91" s="21" t="n">
        <v>263.462</v>
      </c>
      <c r="BA91" s="21" t="n">
        <v>258.73</v>
      </c>
      <c r="BB91" s="21" t="n">
        <v>175.958</v>
      </c>
      <c r="BC91" s="21" t="n">
        <v>340.89</v>
      </c>
      <c r="BD91" s="21" t="n">
        <v>391.394</v>
      </c>
      <c r="BE91" s="21" t="n">
        <v>408.269</v>
      </c>
      <c r="BF91" s="21" t="n">
        <v>360.358</v>
      </c>
      <c r="BG91" s="21" t="n">
        <v>207.786</v>
      </c>
      <c r="BH91" s="21" t="n">
        <v>305.535</v>
      </c>
      <c r="BI91" s="21" t="n">
        <v>598.274</v>
      </c>
      <c r="BJ91" s="21" t="n">
        <v>136.413</v>
      </c>
      <c r="BK91" s="21" t="n">
        <v>372.242</v>
      </c>
      <c r="BL91" s="21" t="n">
        <v>409.717</v>
      </c>
      <c r="BM91" s="21" t="n">
        <v>386.497</v>
      </c>
      <c r="BN91" s="21" t="n">
        <v>355.673</v>
      </c>
      <c r="BO91" s="21" t="n">
        <v>367.906</v>
      </c>
      <c r="BP91" s="21" t="n">
        <v>184.3</v>
      </c>
      <c r="BQ91" s="21" t="n">
        <v>197.181</v>
      </c>
      <c r="BR91" s="21" t="n">
        <v>186.404</v>
      </c>
      <c r="BS91" s="21" t="n">
        <v>212.094</v>
      </c>
      <c r="BT91" s="21" t="n">
        <v>167.914</v>
      </c>
      <c r="BU91" s="21" t="n">
        <v>226.673</v>
      </c>
      <c r="BV91" s="21" t="n">
        <v>174.6</v>
      </c>
      <c r="BW91" s="21" t="n">
        <v>201.013</v>
      </c>
      <c r="BX91" s="21" t="n">
        <v>158.211</v>
      </c>
      <c r="BY91" s="21" t="n">
        <v>203.281</v>
      </c>
      <c r="BZ91" s="21" t="n">
        <v>142.057</v>
      </c>
      <c r="CA91" s="21" t="n">
        <v>134.538</v>
      </c>
      <c r="CB91" s="21" t="n">
        <v>228.279</v>
      </c>
      <c r="CC91" s="21" t="n">
        <v>240.941</v>
      </c>
      <c r="CD91" s="21" t="n">
        <v>144.602</v>
      </c>
      <c r="CE91" s="21" t="n">
        <v>251.006</v>
      </c>
      <c r="CF91" s="21" t="n">
        <v>254.632</v>
      </c>
      <c r="CG91" s="21" t="n">
        <v>231.089</v>
      </c>
      <c r="CH91" s="21" t="n">
        <v>170.043</v>
      </c>
      <c r="CI91" s="21" t="n">
        <v>182.326</v>
      </c>
      <c r="CJ91" s="21" t="n">
        <v>283.018</v>
      </c>
      <c r="CK91" s="21" t="n">
        <v>263.76</v>
      </c>
      <c r="CL91" s="21" t="n">
        <v>302.404</v>
      </c>
      <c r="CM91" s="21" t="n">
        <v>416.766</v>
      </c>
      <c r="CN91" s="21" t="n">
        <v>154.711</v>
      </c>
      <c r="CO91" s="21" t="n">
        <v>193.774</v>
      </c>
      <c r="CP91" s="21" t="n">
        <v>267.175</v>
      </c>
      <c r="CQ91" s="21" t="n">
        <v>292.781</v>
      </c>
      <c r="CR91" s="21" t="n">
        <v>203.821</v>
      </c>
      <c r="CS91" s="21" t="n">
        <v>295.33</v>
      </c>
      <c r="CT91" s="21" t="n">
        <v>281.417</v>
      </c>
      <c r="CU91" s="21" t="n">
        <v>178.931</v>
      </c>
      <c r="CV91" s="21" t="n">
        <v>167.713</v>
      </c>
      <c r="CW91" s="21" t="n">
        <v>163.902</v>
      </c>
      <c r="CX91" s="21" t="n">
        <v>309.794</v>
      </c>
      <c r="CY91" s="21" t="n">
        <v>158.545</v>
      </c>
      <c r="CZ91" s="21" t="n">
        <v>153.039</v>
      </c>
      <c r="DA91" s="21" t="n">
        <v>329.033</v>
      </c>
      <c r="DB91" s="21" t="n">
        <v>205.581</v>
      </c>
      <c r="DC91" s="21" t="n">
        <v>104.007</v>
      </c>
      <c r="DD91" s="21" t="n"/>
      <c r="DE91" s="21" t="n">
        <v>218.263</v>
      </c>
      <c r="DF91" s="21" t="n">
        <v>273.537</v>
      </c>
      <c r="DG91" s="21" t="n">
        <v>218.71</v>
      </c>
      <c r="DH91" s="21" t="n">
        <v>254.144</v>
      </c>
      <c r="DI91" s="21" t="n">
        <v>204.643</v>
      </c>
      <c r="DJ91" s="21" t="n">
        <v>217.802</v>
      </c>
      <c r="DK91" s="21" t="n">
        <v>200.379</v>
      </c>
      <c r="DL91" s="21" t="n">
        <v>177.895</v>
      </c>
      <c r="DM91" s="21" t="n">
        <v>393.612</v>
      </c>
      <c r="DN91" s="21" t="n">
        <v>216.096</v>
      </c>
      <c r="DO91" s="21" t="n">
        <v>300.382</v>
      </c>
      <c r="DP91" s="21" t="n">
        <v>352.616</v>
      </c>
      <c r="DQ91" s="21" t="n">
        <v>368.216</v>
      </c>
      <c r="DR91" s="21" t="n">
        <v>182.803</v>
      </c>
      <c r="DS91" s="21" t="n">
        <v>597.606</v>
      </c>
      <c r="DT91" s="21" t="n">
        <v>376.488</v>
      </c>
      <c r="DU91" s="21" t="n">
        <v>361.281</v>
      </c>
      <c r="DV91" s="21" t="n">
        <v>361.307</v>
      </c>
      <c r="DW91" s="21" t="n">
        <v>304.208</v>
      </c>
      <c r="DX91" s="21" t="n">
        <v>260.217</v>
      </c>
      <c r="DY91" s="21" t="n">
        <v>511.303</v>
      </c>
      <c r="DZ91" s="21" t="n">
        <v>574.956</v>
      </c>
      <c r="EA91" s="21" t="n">
        <v>473.455</v>
      </c>
      <c r="EB91" s="21" t="n">
        <v>259.062</v>
      </c>
      <c r="EC91" s="21" t="n">
        <v>252.516</v>
      </c>
      <c r="ED91" s="21" t="n">
        <v>271.997</v>
      </c>
      <c r="EE91" s="21" t="n">
        <v>271.925</v>
      </c>
      <c r="EF91" s="21" t="n">
        <v>626.248</v>
      </c>
      <c r="EG91" s="21" t="n">
        <v>547.554</v>
      </c>
      <c r="EH91" s="21" t="n">
        <v>143.278</v>
      </c>
      <c r="EI91" s="21" t="n">
        <v>60.753</v>
      </c>
      <c r="EJ91" s="21" t="n">
        <v>72.285</v>
      </c>
      <c r="EK91" s="21" t="n">
        <v>43.995</v>
      </c>
      <c r="EL91" s="21" t="n">
        <v>138.927</v>
      </c>
      <c r="EM91" s="21" t="n">
        <v>85.625</v>
      </c>
      <c r="EN91" s="21" t="n">
        <v>89.241</v>
      </c>
      <c r="EO91" s="21" t="n">
        <v>104.592</v>
      </c>
      <c r="EP91" s="21" t="n">
        <v>117.219</v>
      </c>
      <c r="EQ91" s="21" t="n">
        <v>73.97199999999999</v>
      </c>
      <c r="ER91" s="21" t="n">
        <v>55.29</v>
      </c>
      <c r="ES91" s="21" t="n">
        <v>147.905</v>
      </c>
      <c r="ET91" s="21" t="n">
        <v>87.215</v>
      </c>
      <c r="EU91" s="21" t="n">
        <v>105.23</v>
      </c>
      <c r="EV91" s="21" t="n">
        <v>114.783</v>
      </c>
      <c r="EW91" s="21" t="n">
        <v>101.037</v>
      </c>
      <c r="EX91" s="21" t="n">
        <v>218.647</v>
      </c>
      <c r="EY91" s="21" t="n">
        <v>140.248</v>
      </c>
      <c r="EZ91" s="21" t="n">
        <v>131.392</v>
      </c>
      <c r="FA91" s="21" t="n">
        <v>202.612</v>
      </c>
      <c r="FB91" s="21" t="n">
        <v>127.432</v>
      </c>
      <c r="FC91" s="21" t="n">
        <v>123.129</v>
      </c>
      <c r="FD91" s="21" t="n">
        <v>125.788</v>
      </c>
      <c r="FE91" s="21" t="n">
        <v>106.837</v>
      </c>
      <c r="FF91" s="21" t="n">
        <v>174.31</v>
      </c>
      <c r="FG91" s="21" t="n">
        <v>75.831</v>
      </c>
      <c r="FH91" s="21" t="n">
        <v>125.849</v>
      </c>
      <c r="FI91" s="21" t="n">
        <v>111.788</v>
      </c>
      <c r="FJ91" s="21" t="n">
        <v>105.396</v>
      </c>
      <c r="FK91" s="21" t="n">
        <v>106.481</v>
      </c>
      <c r="FL91" s="21" t="n">
        <v>101.976</v>
      </c>
      <c r="FM91" s="21" t="n">
        <v>106.476</v>
      </c>
      <c r="FN91" s="21" t="n">
        <v>72.776</v>
      </c>
      <c r="FO91" s="21" t="n">
        <v>104.843</v>
      </c>
      <c r="FP91" s="21" t="n">
        <v>99.756</v>
      </c>
      <c r="FQ91" s="21" t="n">
        <v>146.436</v>
      </c>
      <c r="FR91" s="21" t="n">
        <v>151.924</v>
      </c>
      <c r="FS91" s="21" t="n">
        <v>167.49</v>
      </c>
      <c r="FT91" s="21" t="n">
        <v>131.738</v>
      </c>
      <c r="FU91" s="21" t="n">
        <v>123.374</v>
      </c>
      <c r="FV91" s="21" t="n">
        <v>187.504</v>
      </c>
      <c r="FW91" s="21" t="n">
        <v>152.073</v>
      </c>
      <c r="FX91" s="21" t="n">
        <v>185.421</v>
      </c>
      <c r="FY91" s="21" t="n">
        <v>278.932</v>
      </c>
      <c r="FZ91" s="21" t="n">
        <v>277.078</v>
      </c>
      <c r="GA91" s="21" t="n">
        <v>128.953</v>
      </c>
      <c r="GB91" s="21" t="n">
        <v>171.871</v>
      </c>
      <c r="GC91" s="21" t="n"/>
      <c r="GD91" s="21" t="n">
        <v>168.296</v>
      </c>
      <c r="GE91" s="21" t="n">
        <v>182.959</v>
      </c>
      <c r="GF91" s="21" t="n"/>
      <c r="GG91" s="21" t="n">
        <v>208.687</v>
      </c>
      <c r="GH91" s="21" t="n">
        <v>103.603</v>
      </c>
      <c r="GI91" s="21" t="n">
        <v>199.109</v>
      </c>
      <c r="GJ91" s="21" t="n">
        <v>412.427</v>
      </c>
      <c r="GK91" s="21" t="n">
        <v>409.671</v>
      </c>
      <c r="GL91" s="21" t="n">
        <v>404.186</v>
      </c>
      <c r="GM91" s="21" t="n">
        <v>433.957</v>
      </c>
      <c r="GN91" s="21" t="n">
        <v>412.813</v>
      </c>
      <c r="GO91" s="21" t="n">
        <v>419.546</v>
      </c>
      <c r="GP91" s="21" t="n">
        <v>175.693</v>
      </c>
      <c r="GQ91" s="21" t="n">
        <v>150.68</v>
      </c>
      <c r="GR91" s="21" t="n">
        <v>340.058</v>
      </c>
      <c r="GS91" s="21" t="n">
        <v>209.119</v>
      </c>
      <c r="GT91" s="21" t="n">
        <v>603.9400000000001</v>
      </c>
      <c r="GU91" s="21" t="n">
        <v>221.767</v>
      </c>
      <c r="GV91" s="21" t="n">
        <v>257.242</v>
      </c>
      <c r="GW91" s="21" t="n">
        <v>305.191</v>
      </c>
      <c r="GX91" s="21" t="n">
        <v>325.19</v>
      </c>
      <c r="GY91" s="21" t="n">
        <v>157.771</v>
      </c>
      <c r="GZ91" s="21" t="n"/>
      <c r="HA91" s="21" t="n">
        <v>61.251</v>
      </c>
      <c r="HB91" s="21" t="n">
        <v>546.741</v>
      </c>
      <c r="HC91" s="21" t="n">
        <v>387.787</v>
      </c>
      <c r="HD91" s="21" t="n">
        <v>126.994</v>
      </c>
      <c r="HE91" s="21" t="n">
        <v>532.6559999999999</v>
      </c>
      <c r="HF91" s="21" t="n">
        <v>100.155</v>
      </c>
      <c r="HG91" s="21" t="n">
        <v>598.067</v>
      </c>
      <c r="HH91" s="21" t="n">
        <v>411.55</v>
      </c>
      <c r="HI91" s="21" t="n">
        <v>410.729</v>
      </c>
      <c r="HJ91" s="21" t="n">
        <v>544.421</v>
      </c>
      <c r="HK91" s="21" t="n">
        <v>198.764</v>
      </c>
      <c r="HL91" s="21" t="n">
        <v>259.384</v>
      </c>
      <c r="HM91" s="21" t="n">
        <v>89.282</v>
      </c>
      <c r="HN91" s="21" t="n">
        <v>375.318</v>
      </c>
      <c r="HO91" s="21" t="n">
        <v>362.833</v>
      </c>
      <c r="HP91" s="21" t="n">
        <v>813.7380000000001</v>
      </c>
      <c r="HQ91" s="21" t="n">
        <v>260.915</v>
      </c>
      <c r="HR91" s="21" t="n">
        <v>130.657</v>
      </c>
      <c r="HS91" s="21" t="n">
        <v>113.399</v>
      </c>
      <c r="HT91" s="21" t="n">
        <v>124.198</v>
      </c>
      <c r="HU91" s="21" t="n">
        <v>546.139</v>
      </c>
      <c r="HV91" s="21" t="n">
        <v>117.472</v>
      </c>
      <c r="HW91" s="21" t="n">
        <v>26.094</v>
      </c>
      <c r="HX91" s="21" t="n">
        <v>200.202</v>
      </c>
      <c r="HY91" s="21" t="n">
        <v>222.471</v>
      </c>
      <c r="HZ91" s="21" t="n">
        <v>171.516</v>
      </c>
      <c r="IA91" s="21" t="n">
        <v>125.745</v>
      </c>
      <c r="IB91" s="21" t="n">
        <v>295.448</v>
      </c>
      <c r="IC91" s="21" t="n">
        <v>222.718</v>
      </c>
      <c r="ID91" s="21" t="n">
        <v>312.02</v>
      </c>
      <c r="IE91" s="21" t="n">
        <v>127.197</v>
      </c>
      <c r="IF91" s="21" t="n">
        <v>174.713</v>
      </c>
      <c r="IG91" s="21" t="n">
        <v>87.473</v>
      </c>
      <c r="IH91" s="21" t="n">
        <v>79.905</v>
      </c>
      <c r="II91" s="21" t="n">
        <v>59.231</v>
      </c>
      <c r="IJ91" s="21" t="n">
        <v>24.85</v>
      </c>
      <c r="IK91" s="21" t="n">
        <v>34.399</v>
      </c>
      <c r="IL91" s="21" t="n">
        <v>29.517</v>
      </c>
      <c r="IM91" s="21" t="n">
        <v>38.799</v>
      </c>
      <c r="IN91" s="21" t="n">
        <v>106.883</v>
      </c>
      <c r="IO91" s="21" t="n">
        <v>112.079</v>
      </c>
      <c r="IP91" s="21" t="n">
        <v>181.905</v>
      </c>
      <c r="IQ91" s="21" t="n">
        <v>150.85</v>
      </c>
      <c r="IR91" s="21" t="n">
        <v>409.776</v>
      </c>
      <c r="IS91" s="21" t="n">
        <v>206.238</v>
      </c>
      <c r="IT91" s="21" t="n">
        <v>209.672</v>
      </c>
      <c r="IU91" s="21" t="n">
        <v>345.397</v>
      </c>
      <c r="IV91" s="21" t="n">
        <v>290.364</v>
      </c>
      <c r="IW91" s="21" t="n">
        <v>143.607</v>
      </c>
      <c r="IX91" s="21" t="n">
        <v>281.686</v>
      </c>
      <c r="IY91" s="21" t="n">
        <v>717.247</v>
      </c>
      <c r="IZ91" s="21" t="n">
        <v>808.751</v>
      </c>
      <c r="JA91" s="21" t="n">
        <v>902.897</v>
      </c>
      <c r="JB91" s="21" t="n">
        <v>89.67700000000001</v>
      </c>
      <c r="JC91" s="21" t="n">
        <v>329.359</v>
      </c>
      <c r="JD91" s="21" t="n">
        <v>265.444</v>
      </c>
      <c r="JE91" s="21" t="n">
        <v>75.337</v>
      </c>
      <c r="JF91" s="21" t="n">
        <v>218.414</v>
      </c>
      <c r="JG91" s="21" t="n">
        <v>339.724</v>
      </c>
      <c r="JH91" s="21" t="n">
        <v>389.643</v>
      </c>
      <c r="JI91" s="21" t="n">
        <v>71.047</v>
      </c>
      <c r="JJ91" s="21" t="n">
        <v>107.953</v>
      </c>
      <c r="JK91" s="21" t="n">
        <v>39.421</v>
      </c>
      <c r="JL91" s="21" t="n">
        <v>80.90900000000001</v>
      </c>
      <c r="JM91" s="21" t="n">
        <v>133.54</v>
      </c>
      <c r="JN91" s="21" t="n">
        <v>504.877</v>
      </c>
      <c r="JO91" s="21" t="n">
        <v>84.876</v>
      </c>
      <c r="JP91" s="21" t="n">
        <v>555.866</v>
      </c>
      <c r="JQ91" s="21" t="n">
        <v>257.013</v>
      </c>
      <c r="JR91" s="21" t="n">
        <v>165.581</v>
      </c>
      <c r="JS91" s="21" t="n">
        <v>495.391</v>
      </c>
      <c r="JT91" s="21" t="n"/>
      <c r="JU91" s="21" t="n">
        <v>358.623</v>
      </c>
      <c r="JV91" s="21" t="n">
        <v>204.889</v>
      </c>
      <c r="JW91" s="21" t="n">
        <v>388.334</v>
      </c>
      <c r="JX91" s="21" t="n">
        <v>286.003</v>
      </c>
      <c r="JY91" s="21" t="n">
        <v>84.998</v>
      </c>
      <c r="JZ91" s="21" t="n">
        <v>181.722</v>
      </c>
      <c r="KA91" s="21" t="n">
        <v>282.837</v>
      </c>
      <c r="KB91" s="21" t="n">
        <v>294.811</v>
      </c>
      <c r="KC91" s="21" t="n">
        <v>293.4</v>
      </c>
      <c r="KD91" s="21" t="n">
        <v>294.05</v>
      </c>
      <c r="KE91" s="21" t="n">
        <v>275.46</v>
      </c>
      <c r="KF91" s="21" t="n">
        <v>267.788</v>
      </c>
      <c r="KG91" s="21" t="n">
        <v>261.423</v>
      </c>
      <c r="KH91" s="21" t="n">
        <v>262.729</v>
      </c>
      <c r="KI91" s="21" t="n">
        <v>118.302</v>
      </c>
      <c r="KJ91" s="21" t="n">
        <v>225.544</v>
      </c>
      <c r="KK91" s="21" t="n">
        <v>189.282</v>
      </c>
      <c r="KL91" s="21" t="n">
        <v>186.045</v>
      </c>
      <c r="KM91" s="21" t="n">
        <v>165.765</v>
      </c>
      <c r="KN91" s="21" t="n">
        <v>159.89</v>
      </c>
      <c r="KO91" s="21" t="n">
        <v>299.074</v>
      </c>
      <c r="KP91" s="21" t="n">
        <v>128.507</v>
      </c>
      <c r="KQ91" s="21" t="n">
        <v>64.517</v>
      </c>
      <c r="KR91" s="21" t="n">
        <v>117.413</v>
      </c>
      <c r="KS91" s="21" t="n">
        <v>330.456</v>
      </c>
      <c r="KT91" s="21" t="n">
        <v>420.325</v>
      </c>
      <c r="KU91" s="21" t="n">
        <v>104.724</v>
      </c>
      <c r="KV91" s="21" t="n">
        <v>45.108</v>
      </c>
      <c r="KW91" s="21" t="n">
        <v>276.682</v>
      </c>
      <c r="KX91" s="21" t="n">
        <v>252.664</v>
      </c>
      <c r="KY91" s="21" t="n">
        <v>326.236</v>
      </c>
      <c r="KZ91" s="21" t="n">
        <v>251.364</v>
      </c>
      <c r="LA91" s="21" t="n">
        <v>333.332</v>
      </c>
      <c r="LB91" s="21" t="n">
        <v>127.582</v>
      </c>
      <c r="LC91" s="21" t="n">
        <v>387.441</v>
      </c>
      <c r="LD91" s="21" t="n">
        <v>84.29600000000001</v>
      </c>
      <c r="LE91" s="21" t="n">
        <v>136.491</v>
      </c>
      <c r="LF91" s="21" t="n">
        <v>368.007</v>
      </c>
      <c r="LG91" s="21" t="n">
        <v>362.441</v>
      </c>
      <c r="LH91" s="21" t="n">
        <v>373.179</v>
      </c>
      <c r="LI91" s="21" t="n">
        <v>344.643</v>
      </c>
      <c r="LJ91" s="21" t="n">
        <v>384.375</v>
      </c>
      <c r="LK91" s="21" t="n">
        <v>135.737</v>
      </c>
      <c r="LL91" s="21" t="n">
        <v>362.001</v>
      </c>
      <c r="LM91" s="21" t="n">
        <v>253.674</v>
      </c>
      <c r="LN91" s="21" t="n">
        <v>35.206</v>
      </c>
      <c r="LO91" s="21" t="n">
        <v>143.597</v>
      </c>
    </row>
    <row r="92">
      <c r="A92" s="22" t="n">
        <v>44743</v>
      </c>
      <c r="B92" s="21" t="n">
        <v>294.913</v>
      </c>
      <c r="C92" s="21" t="n">
        <v>305.962</v>
      </c>
      <c r="D92" s="21" t="n">
        <v>308.193</v>
      </c>
      <c r="E92" s="21" t="n">
        <v>292.455</v>
      </c>
      <c r="F92" s="21" t="n">
        <v>331.898</v>
      </c>
      <c r="G92" s="21" t="n">
        <v>273.012</v>
      </c>
      <c r="H92" s="21" t="n">
        <v>295.676</v>
      </c>
      <c r="I92" s="21" t="n">
        <v>267.762</v>
      </c>
      <c r="J92" s="21" t="n">
        <v>280.289</v>
      </c>
      <c r="K92" s="21" t="n">
        <v>365.851</v>
      </c>
      <c r="L92" s="21" t="n">
        <v>219.552</v>
      </c>
      <c r="M92" s="21" t="n">
        <v>215.168</v>
      </c>
      <c r="N92" s="21" t="n">
        <v>346.857</v>
      </c>
      <c r="O92" s="21" t="n">
        <v>323.786</v>
      </c>
      <c r="P92" s="21" t="n">
        <v>326.38</v>
      </c>
      <c r="Q92" s="21" t="n">
        <v>386.327</v>
      </c>
      <c r="R92" s="21" t="n">
        <v>318.802</v>
      </c>
      <c r="S92" s="21" t="n">
        <v>316.838</v>
      </c>
      <c r="T92" s="21" t="n">
        <v>316.684</v>
      </c>
      <c r="U92" s="21" t="n">
        <v>318.948</v>
      </c>
      <c r="V92" s="21" t="n">
        <v>384.861</v>
      </c>
      <c r="W92" s="21" t="n">
        <v>337.654</v>
      </c>
      <c r="X92" s="21" t="n">
        <v>301.282</v>
      </c>
      <c r="Y92" s="21" t="n">
        <v>253.387</v>
      </c>
      <c r="Z92" s="21" t="n">
        <v>266.863</v>
      </c>
      <c r="AA92" s="21" t="n">
        <v>204.763</v>
      </c>
      <c r="AB92" s="21" t="n">
        <v>385.185</v>
      </c>
      <c r="AC92" s="21" t="n">
        <v>184.201</v>
      </c>
      <c r="AD92" s="21" t="n">
        <v>241.575</v>
      </c>
      <c r="AE92" s="21" t="n">
        <v>269.655</v>
      </c>
      <c r="AF92" s="21" t="n">
        <v>239.545</v>
      </c>
      <c r="AG92" s="21" t="n">
        <v>166.071</v>
      </c>
      <c r="AH92" s="21" t="n">
        <v>278.206</v>
      </c>
      <c r="AI92" s="21" t="n">
        <v>275.008</v>
      </c>
      <c r="AJ92" s="21" t="n">
        <v>180.603</v>
      </c>
      <c r="AK92" s="21" t="n">
        <v>300.78</v>
      </c>
      <c r="AL92" s="21" t="n">
        <v>194.998</v>
      </c>
      <c r="AM92" s="21" t="n">
        <v>313.355</v>
      </c>
      <c r="AN92" s="21" t="n">
        <v>295.478</v>
      </c>
      <c r="AO92" s="21" t="n">
        <v>188.59</v>
      </c>
      <c r="AP92" s="21" t="n">
        <v>358.193</v>
      </c>
      <c r="AQ92" s="21" t="n">
        <v>228.731</v>
      </c>
      <c r="AR92" s="21" t="n">
        <v>173.612</v>
      </c>
      <c r="AS92" s="21" t="n">
        <v>237.078</v>
      </c>
      <c r="AT92" s="21" t="n">
        <v>375.066</v>
      </c>
      <c r="AU92" s="21" t="n">
        <v>316.238</v>
      </c>
      <c r="AV92" s="21" t="n">
        <v>265.638</v>
      </c>
      <c r="AW92" s="21" t="n">
        <v>179.209</v>
      </c>
      <c r="AX92" s="21" t="n">
        <v>259.219</v>
      </c>
      <c r="AY92" s="21" t="n">
        <v>184.544</v>
      </c>
      <c r="AZ92" s="21" t="n">
        <v>268.71</v>
      </c>
      <c r="BA92" s="21" t="n">
        <v>259.185</v>
      </c>
      <c r="BB92" s="21" t="n">
        <v>181.067</v>
      </c>
      <c r="BC92" s="21" t="n">
        <v>342.666</v>
      </c>
      <c r="BD92" s="21" t="n">
        <v>392.645</v>
      </c>
      <c r="BE92" s="21" t="n">
        <v>409.956</v>
      </c>
      <c r="BF92" s="21" t="n">
        <v>358.78</v>
      </c>
      <c r="BG92" s="21" t="n">
        <v>209.58</v>
      </c>
      <c r="BH92" s="21" t="n">
        <v>300.041</v>
      </c>
      <c r="BI92" s="21" t="n">
        <v>587.581</v>
      </c>
      <c r="BJ92" s="21" t="n">
        <v>138.556</v>
      </c>
      <c r="BK92" s="21" t="n">
        <v>373.023</v>
      </c>
      <c r="BL92" s="21" t="n">
        <v>420.755</v>
      </c>
      <c r="BM92" s="21" t="n">
        <v>379.813</v>
      </c>
      <c r="BN92" s="21" t="n">
        <v>348.99</v>
      </c>
      <c r="BO92" s="21" t="n">
        <v>370.03</v>
      </c>
      <c r="BP92" s="21" t="n">
        <v>186.463</v>
      </c>
      <c r="BQ92" s="21" t="n">
        <v>198.884</v>
      </c>
      <c r="BR92" s="21" t="n">
        <v>188.497</v>
      </c>
      <c r="BS92" s="21" t="n">
        <v>214.222</v>
      </c>
      <c r="BT92" s="21" t="n">
        <v>169.402</v>
      </c>
      <c r="BU92" s="21" t="n">
        <v>228.878</v>
      </c>
      <c r="BV92" s="21" t="n">
        <v>178.263</v>
      </c>
      <c r="BW92" s="21" t="n">
        <v>205.496</v>
      </c>
      <c r="BX92" s="21" t="n">
        <v>161.053</v>
      </c>
      <c r="BY92" s="21" t="n">
        <v>207.861</v>
      </c>
      <c r="BZ92" s="21" t="n">
        <v>144.297</v>
      </c>
      <c r="CA92" s="21" t="n">
        <v>138.269</v>
      </c>
      <c r="CB92" s="21" t="n">
        <v>234.858</v>
      </c>
      <c r="CC92" s="21" t="n">
        <v>246.817</v>
      </c>
      <c r="CD92" s="21" t="n">
        <v>148.003</v>
      </c>
      <c r="CE92" s="21" t="n">
        <v>256.205</v>
      </c>
      <c r="CF92" s="21" t="n">
        <v>260.962</v>
      </c>
      <c r="CG92" s="21" t="n">
        <v>235.882</v>
      </c>
      <c r="CH92" s="21" t="n">
        <v>174.06</v>
      </c>
      <c r="CI92" s="21" t="n">
        <v>185.831</v>
      </c>
      <c r="CJ92" s="21" t="n">
        <v>289.686</v>
      </c>
      <c r="CK92" s="21" t="n">
        <v>266.788</v>
      </c>
      <c r="CL92" s="21" t="n">
        <v>304.229</v>
      </c>
      <c r="CM92" s="21" t="n">
        <v>416.928</v>
      </c>
      <c r="CN92" s="21" t="n">
        <v>158.413</v>
      </c>
      <c r="CO92" s="21" t="n">
        <v>201.149</v>
      </c>
      <c r="CP92" s="21" t="n">
        <v>272.416</v>
      </c>
      <c r="CQ92" s="21" t="n">
        <v>301.25</v>
      </c>
      <c r="CR92" s="21" t="n">
        <v>206.305</v>
      </c>
      <c r="CS92" s="21" t="n">
        <v>302.113</v>
      </c>
      <c r="CT92" s="21" t="n">
        <v>287.698</v>
      </c>
      <c r="CU92" s="21" t="n">
        <v>181.995</v>
      </c>
      <c r="CV92" s="21" t="n">
        <v>172.577</v>
      </c>
      <c r="CW92" s="21" t="n">
        <v>168.965</v>
      </c>
      <c r="CX92" s="21" t="n">
        <v>312.033</v>
      </c>
      <c r="CY92" s="21" t="n">
        <v>161.454</v>
      </c>
      <c r="CZ92" s="21" t="n">
        <v>153.362</v>
      </c>
      <c r="DA92" s="21" t="n">
        <v>331.342</v>
      </c>
      <c r="DB92" s="21" t="n">
        <v>206.732</v>
      </c>
      <c r="DC92" s="21" t="n">
        <v>104.924</v>
      </c>
      <c r="DD92" s="21" t="n"/>
      <c r="DE92" s="21" t="n">
        <v>220.313</v>
      </c>
      <c r="DF92" s="21" t="n">
        <v>274.344</v>
      </c>
      <c r="DG92" s="21" t="n">
        <v>219.603</v>
      </c>
      <c r="DH92" s="21" t="n">
        <v>254.957</v>
      </c>
      <c r="DI92" s="21" t="n">
        <v>205.987</v>
      </c>
      <c r="DJ92" s="21" t="n">
        <v>219.001</v>
      </c>
      <c r="DK92" s="21" t="n">
        <v>201.96</v>
      </c>
      <c r="DL92" s="21" t="n">
        <v>178.353</v>
      </c>
      <c r="DM92" s="21" t="n">
        <v>394.764</v>
      </c>
      <c r="DN92" s="21" t="n">
        <v>215.937</v>
      </c>
      <c r="DO92" s="21" t="n">
        <v>301.868</v>
      </c>
      <c r="DP92" s="21" t="n">
        <v>354.68</v>
      </c>
      <c r="DQ92" s="21" t="n">
        <v>370.916</v>
      </c>
      <c r="DR92" s="21" t="n">
        <v>179.781</v>
      </c>
      <c r="DS92" s="21" t="n">
        <v>600.87</v>
      </c>
      <c r="DT92" s="21" t="n">
        <v>369.039</v>
      </c>
      <c r="DU92" s="21" t="n">
        <v>363.586</v>
      </c>
      <c r="DV92" s="21" t="n">
        <v>363.632</v>
      </c>
      <c r="DW92" s="21" t="n">
        <v>303.644</v>
      </c>
      <c r="DX92" s="21" t="n">
        <v>259.286</v>
      </c>
      <c r="DY92" s="21" t="n">
        <v>464.088</v>
      </c>
      <c r="DZ92" s="21" t="n">
        <v>500.051</v>
      </c>
      <c r="EA92" s="21" t="n">
        <v>469.251</v>
      </c>
      <c r="EB92" s="21" t="n">
        <v>259.868</v>
      </c>
      <c r="EC92" s="21" t="n">
        <v>257.38</v>
      </c>
      <c r="ED92" s="21" t="n">
        <v>261.638</v>
      </c>
      <c r="EE92" s="21" t="n">
        <v>273.097</v>
      </c>
      <c r="EF92" s="21" t="n">
        <v>629.717</v>
      </c>
      <c r="EG92" s="21" t="n">
        <v>548.187</v>
      </c>
      <c r="EH92" s="21" t="n">
        <v>144.116</v>
      </c>
      <c r="EI92" s="21" t="n">
        <v>61.388</v>
      </c>
      <c r="EJ92" s="21" t="n">
        <v>75.172</v>
      </c>
      <c r="EK92" s="21" t="n">
        <v>44.067</v>
      </c>
      <c r="EL92" s="21" t="n">
        <v>140.189</v>
      </c>
      <c r="EM92" s="21" t="n">
        <v>83.446</v>
      </c>
      <c r="EN92" s="21" t="n">
        <v>88.438</v>
      </c>
      <c r="EO92" s="21" t="n">
        <v>102.806</v>
      </c>
      <c r="EP92" s="21" t="n">
        <v>119.192</v>
      </c>
      <c r="EQ92" s="21" t="n">
        <v>73.367</v>
      </c>
      <c r="ER92" s="21" t="n">
        <v>55.341</v>
      </c>
      <c r="ES92" s="21" t="n">
        <v>147.567</v>
      </c>
      <c r="ET92" s="21" t="n">
        <v>86.73</v>
      </c>
      <c r="EU92" s="21" t="n">
        <v>105.362</v>
      </c>
      <c r="EV92" s="21" t="n">
        <v>114.883</v>
      </c>
      <c r="EW92" s="21" t="n">
        <v>101.302</v>
      </c>
      <c r="EX92" s="21" t="n">
        <v>221.479</v>
      </c>
      <c r="EY92" s="21" t="n">
        <v>140.952</v>
      </c>
      <c r="EZ92" s="21" t="n">
        <v>132.71</v>
      </c>
      <c r="FA92" s="21" t="n">
        <v>204.476</v>
      </c>
      <c r="FB92" s="21" t="n">
        <v>127.394</v>
      </c>
      <c r="FC92" s="21" t="n">
        <v>122.559</v>
      </c>
      <c r="FD92" s="21" t="n">
        <v>125.281</v>
      </c>
      <c r="FE92" s="21" t="n">
        <v>106.885</v>
      </c>
      <c r="FF92" s="21" t="n">
        <v>171.983</v>
      </c>
      <c r="FG92" s="21" t="n">
        <v>75.75</v>
      </c>
      <c r="FH92" s="21" t="n">
        <v>126.753</v>
      </c>
      <c r="FI92" s="21" t="n">
        <v>110.322</v>
      </c>
      <c r="FJ92" s="21" t="n">
        <v>105.713</v>
      </c>
      <c r="FK92" s="21" t="n">
        <v>107.018</v>
      </c>
      <c r="FL92" s="21" t="n">
        <v>100.773</v>
      </c>
      <c r="FM92" s="21" t="n">
        <v>106.576</v>
      </c>
      <c r="FN92" s="21" t="n">
        <v>73.875</v>
      </c>
      <c r="FO92" s="21" t="n">
        <v>105.346</v>
      </c>
      <c r="FP92" s="21" t="n">
        <v>99</v>
      </c>
      <c r="FQ92" s="21" t="n">
        <v>146.626</v>
      </c>
      <c r="FR92" s="21" t="n">
        <v>150.614</v>
      </c>
      <c r="FS92" s="21" t="n">
        <v>165.948</v>
      </c>
      <c r="FT92" s="21" t="n">
        <v>132.811</v>
      </c>
      <c r="FU92" s="21" t="n">
        <v>121.985</v>
      </c>
      <c r="FV92" s="21" t="n">
        <v>187.259</v>
      </c>
      <c r="FW92" s="21" t="n">
        <v>153.847</v>
      </c>
      <c r="FX92" s="21" t="n">
        <v>184.276</v>
      </c>
      <c r="FY92" s="21" t="n">
        <v>272.71</v>
      </c>
      <c r="FZ92" s="21" t="n">
        <v>271.018</v>
      </c>
      <c r="GA92" s="21" t="n">
        <v>128.617</v>
      </c>
      <c r="GB92" s="21" t="n">
        <v>172.782</v>
      </c>
      <c r="GC92" s="21" t="n"/>
      <c r="GD92" s="21" t="n">
        <v>169.51</v>
      </c>
      <c r="GE92" s="21" t="n">
        <v>183.929</v>
      </c>
      <c r="GF92" s="21" t="n"/>
      <c r="GG92" s="21" t="n">
        <v>206.552</v>
      </c>
      <c r="GH92" s="21" t="n">
        <v>104.258</v>
      </c>
      <c r="GI92" s="21" t="n">
        <v>185.64</v>
      </c>
      <c r="GJ92" s="21" t="n">
        <v>378.297</v>
      </c>
      <c r="GK92" s="21" t="n">
        <v>375.422</v>
      </c>
      <c r="GL92" s="21" t="n">
        <v>369.019</v>
      </c>
      <c r="GM92" s="21" t="n">
        <v>402.8</v>
      </c>
      <c r="GN92" s="21" t="n">
        <v>388.029</v>
      </c>
      <c r="GO92" s="21" t="n">
        <v>409.664</v>
      </c>
      <c r="GP92" s="21" t="n">
        <v>176.316</v>
      </c>
      <c r="GQ92" s="21" t="n">
        <v>150.9</v>
      </c>
      <c r="GR92" s="21" t="n">
        <v>343.678</v>
      </c>
      <c r="GS92" s="21" t="n">
        <v>212.635</v>
      </c>
      <c r="GT92" s="21" t="n">
        <v>610.763</v>
      </c>
      <c r="GU92" s="21" t="n">
        <v>220.814</v>
      </c>
      <c r="GV92" s="21" t="n">
        <v>257.202</v>
      </c>
      <c r="GW92" s="21" t="n">
        <v>295.932</v>
      </c>
      <c r="GX92" s="21" t="n">
        <v>312.014</v>
      </c>
      <c r="GY92" s="21" t="n">
        <v>158.251</v>
      </c>
      <c r="GZ92" s="21" t="n"/>
      <c r="HA92" s="21" t="n">
        <v>61.279</v>
      </c>
      <c r="HB92" s="21" t="n">
        <v>549.846</v>
      </c>
      <c r="HC92" s="21" t="n">
        <v>390.077</v>
      </c>
      <c r="HD92" s="21" t="n">
        <v>127.727</v>
      </c>
      <c r="HE92" s="21" t="n">
        <v>534.312</v>
      </c>
      <c r="HF92" s="21" t="n">
        <v>100.984</v>
      </c>
      <c r="HG92" s="21" t="n">
        <v>601.434</v>
      </c>
      <c r="HH92" s="21" t="n">
        <v>411.626</v>
      </c>
      <c r="HI92" s="21" t="n">
        <v>411.846</v>
      </c>
      <c r="HJ92" s="21" t="n">
        <v>544.1369999999999</v>
      </c>
      <c r="HK92" s="21" t="n">
        <v>197.266</v>
      </c>
      <c r="HL92" s="21" t="n">
        <v>258.62</v>
      </c>
      <c r="HM92" s="21" t="n">
        <v>89.804</v>
      </c>
      <c r="HN92" s="21" t="n">
        <v>377.415</v>
      </c>
      <c r="HO92" s="21" t="n">
        <v>365.071</v>
      </c>
      <c r="HP92" s="21" t="n">
        <v>817.657</v>
      </c>
      <c r="HQ92" s="21" t="n">
        <v>261.207</v>
      </c>
      <c r="HR92" s="21" t="n">
        <v>131.098</v>
      </c>
      <c r="HS92" s="21" t="n">
        <v>112.87</v>
      </c>
      <c r="HT92" s="21" t="n">
        <v>123.03</v>
      </c>
      <c r="HU92" s="21" t="n">
        <v>543.0359999999999</v>
      </c>
      <c r="HV92" s="21" t="n">
        <v>116.136</v>
      </c>
      <c r="HW92" s="21" t="n">
        <v>25.73</v>
      </c>
      <c r="HX92" s="21" t="n">
        <v>201.978</v>
      </c>
      <c r="HY92" s="21" t="n">
        <v>223.846</v>
      </c>
      <c r="HZ92" s="21" t="n">
        <v>173.512</v>
      </c>
      <c r="IA92" s="21" t="n">
        <v>125.785</v>
      </c>
      <c r="IB92" s="21" t="n">
        <v>298.933</v>
      </c>
      <c r="IC92" s="21" t="n">
        <v>223.581</v>
      </c>
      <c r="ID92" s="21" t="n">
        <v>314.531</v>
      </c>
      <c r="IE92" s="21" t="n">
        <v>126.948</v>
      </c>
      <c r="IF92" s="21" t="n">
        <v>175.488</v>
      </c>
      <c r="IG92" s="21" t="n">
        <v>86.54600000000001</v>
      </c>
      <c r="IH92" s="21" t="n">
        <v>81.343</v>
      </c>
      <c r="II92" s="21" t="n">
        <v>62.45</v>
      </c>
      <c r="IJ92" s="21" t="n">
        <v>26.249</v>
      </c>
      <c r="IK92" s="21" t="n">
        <v>34.68</v>
      </c>
      <c r="IL92" s="21" t="n">
        <v>29.818</v>
      </c>
      <c r="IM92" s="21" t="n">
        <v>39.637</v>
      </c>
      <c r="IN92" s="21" t="n">
        <v>107.309</v>
      </c>
      <c r="IO92" s="21" t="n">
        <v>112.094</v>
      </c>
      <c r="IP92" s="21" t="n">
        <v>183.456</v>
      </c>
      <c r="IQ92" s="21" t="n">
        <v>151.317</v>
      </c>
      <c r="IR92" s="21" t="n">
        <v>418.189</v>
      </c>
      <c r="IS92" s="21" t="n">
        <v>209.319</v>
      </c>
      <c r="IT92" s="21" t="n">
        <v>220.012</v>
      </c>
      <c r="IU92" s="21" t="n">
        <v>344.324</v>
      </c>
      <c r="IV92" s="21" t="n">
        <v>287.496</v>
      </c>
      <c r="IW92" s="21" t="n">
        <v>143.342</v>
      </c>
      <c r="IX92" s="21" t="n">
        <v>282.051</v>
      </c>
      <c r="IY92" s="21" t="n">
        <v>717.006</v>
      </c>
      <c r="IZ92" s="21" t="n">
        <v>809.846</v>
      </c>
      <c r="JA92" s="21" t="n">
        <v>904.92</v>
      </c>
      <c r="JB92" s="21" t="n">
        <v>89.923</v>
      </c>
      <c r="JC92" s="21" t="n">
        <v>329.321</v>
      </c>
      <c r="JD92" s="21" t="n">
        <v>265.039</v>
      </c>
      <c r="JE92" s="21" t="n">
        <v>75.023</v>
      </c>
      <c r="JF92" s="21" t="n">
        <v>219.847</v>
      </c>
      <c r="JG92" s="21" t="n">
        <v>342.04</v>
      </c>
      <c r="JH92" s="21" t="n">
        <v>391.377</v>
      </c>
      <c r="JI92" s="21" t="n">
        <v>70.733</v>
      </c>
      <c r="JJ92" s="21" t="n">
        <v>106.988</v>
      </c>
      <c r="JK92" s="21" t="n">
        <v>38.719</v>
      </c>
      <c r="JL92" s="21" t="n">
        <v>80.255</v>
      </c>
      <c r="JM92" s="21" t="n">
        <v>133.343</v>
      </c>
      <c r="JN92" s="21" t="n">
        <v>506.69</v>
      </c>
      <c r="JO92" s="21" t="n">
        <v>85.102</v>
      </c>
      <c r="JP92" s="21" t="n">
        <v>557.34</v>
      </c>
      <c r="JQ92" s="21" t="n">
        <v>257.992</v>
      </c>
      <c r="JR92" s="21" t="n">
        <v>166.903</v>
      </c>
      <c r="JS92" s="21" t="n">
        <v>497.991</v>
      </c>
      <c r="JT92" s="21" t="n">
        <v>406.267</v>
      </c>
      <c r="JU92" s="21" t="n">
        <v>360.282</v>
      </c>
      <c r="JV92" s="21" t="n">
        <v>206.522</v>
      </c>
      <c r="JW92" s="21" t="n">
        <v>389.606</v>
      </c>
      <c r="JX92" s="21" t="n">
        <v>287.696</v>
      </c>
      <c r="JY92" s="21" t="n">
        <v>84.529</v>
      </c>
      <c r="JZ92" s="21" t="n">
        <v>181.402</v>
      </c>
      <c r="KA92" s="21" t="n">
        <v>282.646</v>
      </c>
      <c r="KB92" s="21" t="n">
        <v>296.177</v>
      </c>
      <c r="KC92" s="21" t="n">
        <v>292.848</v>
      </c>
      <c r="KD92" s="21" t="n">
        <v>295.088</v>
      </c>
      <c r="KE92" s="21" t="n">
        <v>274.634</v>
      </c>
      <c r="KF92" s="21" t="n">
        <v>266.059</v>
      </c>
      <c r="KG92" s="21" t="n">
        <v>261.915</v>
      </c>
      <c r="KH92" s="21" t="n">
        <v>263.527</v>
      </c>
      <c r="KI92" s="21" t="n">
        <v>118.205</v>
      </c>
      <c r="KJ92" s="21" t="n">
        <v>223.955</v>
      </c>
      <c r="KK92" s="21" t="n">
        <v>186.218</v>
      </c>
      <c r="KL92" s="21" t="n">
        <v>182.913</v>
      </c>
      <c r="KM92" s="21" t="n">
        <v>165.911</v>
      </c>
      <c r="KN92" s="21" t="n">
        <v>160.439</v>
      </c>
      <c r="KO92" s="21" t="n">
        <v>303.324</v>
      </c>
      <c r="KP92" s="21" t="n">
        <v>128.777</v>
      </c>
      <c r="KQ92" s="21" t="n">
        <v>63.934</v>
      </c>
      <c r="KR92" s="21" t="n">
        <v>117.319</v>
      </c>
      <c r="KS92" s="21" t="n">
        <v>314.345</v>
      </c>
      <c r="KT92" s="21" t="n">
        <v>385.34</v>
      </c>
      <c r="KU92" s="21" t="n">
        <v>105.471</v>
      </c>
      <c r="KV92" s="21" t="n">
        <v>44.65</v>
      </c>
      <c r="KW92" s="21" t="n">
        <v>274.17</v>
      </c>
      <c r="KX92" s="21" t="n">
        <v>245.164</v>
      </c>
      <c r="KY92" s="21" t="n">
        <v>314.305</v>
      </c>
      <c r="KZ92" s="21" t="n">
        <v>243.326</v>
      </c>
      <c r="LA92" s="21" t="n">
        <v>319.999</v>
      </c>
      <c r="LB92" s="21" t="n">
        <v>128.101</v>
      </c>
      <c r="LC92" s="21" t="n">
        <v>388.028</v>
      </c>
      <c r="LD92" s="21" t="n">
        <v>84.443</v>
      </c>
      <c r="LE92" s="21" t="n">
        <v>137.085</v>
      </c>
      <c r="LF92" s="21" t="n">
        <v>370.176</v>
      </c>
      <c r="LG92" s="21" t="n">
        <v>364.076</v>
      </c>
      <c r="LH92" s="21" t="n">
        <v>374.896</v>
      </c>
      <c r="LI92" s="21" t="n">
        <v>345.873</v>
      </c>
      <c r="LJ92" s="21" t="n">
        <v>385.096</v>
      </c>
      <c r="LK92" s="21" t="n">
        <v>135.463</v>
      </c>
      <c r="LL92" s="21" t="n">
        <v>362.387</v>
      </c>
      <c r="LM92" s="21" t="n">
        <v>252.941</v>
      </c>
      <c r="LN92" s="21" t="n">
        <v>34.927</v>
      </c>
      <c r="LO92" s="21" t="n">
        <v>143.043</v>
      </c>
    </row>
    <row r="93">
      <c r="A93" s="22" t="n">
        <v>44774</v>
      </c>
      <c r="B93" s="21" t="n">
        <v>295.097</v>
      </c>
      <c r="C93" s="21" t="n">
        <v>308.475</v>
      </c>
      <c r="D93" s="21" t="n">
        <v>310.794</v>
      </c>
      <c r="E93" s="21" t="n">
        <v>294.884</v>
      </c>
      <c r="F93" s="21" t="n">
        <v>336.131</v>
      </c>
      <c r="G93" s="21" t="n">
        <v>276.087</v>
      </c>
      <c r="H93" s="21" t="n">
        <v>301.874</v>
      </c>
      <c r="I93" s="21" t="n">
        <v>267.629</v>
      </c>
      <c r="J93" s="21" t="n">
        <v>282.892</v>
      </c>
      <c r="K93" s="21" t="n">
        <v>370.549</v>
      </c>
      <c r="L93" s="21" t="n">
        <v>224.282</v>
      </c>
      <c r="M93" s="21" t="n">
        <v>218.223</v>
      </c>
      <c r="N93" s="21" t="n">
        <v>348.207</v>
      </c>
      <c r="O93" s="21" t="n">
        <v>323.636</v>
      </c>
      <c r="P93" s="21" t="n">
        <v>330.572</v>
      </c>
      <c r="Q93" s="21" t="n">
        <v>389.415</v>
      </c>
      <c r="R93" s="21" t="n">
        <v>324.052</v>
      </c>
      <c r="S93" s="21" t="n">
        <v>317.89</v>
      </c>
      <c r="T93" s="21" t="n">
        <v>317.091</v>
      </c>
      <c r="U93" s="21" t="n">
        <v>318.917</v>
      </c>
      <c r="V93" s="21" t="n">
        <v>383.441</v>
      </c>
      <c r="W93" s="21" t="n">
        <v>337.316</v>
      </c>
      <c r="X93" s="21" t="n">
        <v>305.702</v>
      </c>
      <c r="Y93" s="21" t="n">
        <v>252.824</v>
      </c>
      <c r="Z93" s="21" t="n">
        <v>267.123</v>
      </c>
      <c r="AA93" s="21" t="n">
        <v>205.009</v>
      </c>
      <c r="AB93" s="21" t="n">
        <v>384.065</v>
      </c>
      <c r="AC93" s="21" t="n">
        <v>185.885</v>
      </c>
      <c r="AD93" s="21" t="n">
        <v>246.849</v>
      </c>
      <c r="AE93" s="21" t="n">
        <v>274.319</v>
      </c>
      <c r="AF93" s="21" t="n">
        <v>240.387</v>
      </c>
      <c r="AG93" s="21" t="n">
        <v>162.927</v>
      </c>
      <c r="AH93" s="21" t="n">
        <v>279.819</v>
      </c>
      <c r="AI93" s="21" t="n">
        <v>286.08</v>
      </c>
      <c r="AJ93" s="21" t="n">
        <v>180.129</v>
      </c>
      <c r="AK93" s="21" t="n">
        <v>303.156</v>
      </c>
      <c r="AL93" s="21" t="n">
        <v>196.268</v>
      </c>
      <c r="AM93" s="21" t="n">
        <v>314.243</v>
      </c>
      <c r="AN93" s="21" t="n">
        <v>297.76</v>
      </c>
      <c r="AO93" s="21" t="n">
        <v>192.767</v>
      </c>
      <c r="AP93" s="21" t="n">
        <v>357.561</v>
      </c>
      <c r="AQ93" s="21" t="n">
        <v>227.283</v>
      </c>
      <c r="AR93" s="21" t="n">
        <v>173.474</v>
      </c>
      <c r="AS93" s="21" t="n">
        <v>240.552</v>
      </c>
      <c r="AT93" s="21" t="n">
        <v>371.347</v>
      </c>
      <c r="AU93" s="21" t="n">
        <v>325.405</v>
      </c>
      <c r="AV93" s="21" t="n">
        <v>267.461</v>
      </c>
      <c r="AW93" s="21" t="n">
        <v>180.113</v>
      </c>
      <c r="AX93" s="21" t="n">
        <v>260.45</v>
      </c>
      <c r="AY93" s="21" t="n">
        <v>185.56</v>
      </c>
      <c r="AZ93" s="21" t="n">
        <v>270.972</v>
      </c>
      <c r="BA93" s="21" t="n">
        <v>263.416</v>
      </c>
      <c r="BB93" s="21" t="n">
        <v>182.329</v>
      </c>
      <c r="BC93" s="21" t="n">
        <v>344.756</v>
      </c>
      <c r="BD93" s="21" t="n">
        <v>393.56</v>
      </c>
      <c r="BE93" s="21" t="n">
        <v>408.291</v>
      </c>
      <c r="BF93" s="21" t="n">
        <v>352.516</v>
      </c>
      <c r="BG93" s="21" t="n">
        <v>209.062</v>
      </c>
      <c r="BH93" s="21" t="n">
        <v>298.078</v>
      </c>
      <c r="BI93" s="21" t="n">
        <v>592.9299999999999</v>
      </c>
      <c r="BJ93" s="21" t="n">
        <v>138.679</v>
      </c>
      <c r="BK93" s="21" t="n">
        <v>376.691</v>
      </c>
      <c r="BL93" s="21" t="n">
        <v>428.77</v>
      </c>
      <c r="BM93" s="21" t="n">
        <v>389.236</v>
      </c>
      <c r="BN93" s="21" t="n">
        <v>353.704</v>
      </c>
      <c r="BO93" s="21" t="n">
        <v>370.491</v>
      </c>
      <c r="BP93" s="21" t="n">
        <v>189.855</v>
      </c>
      <c r="BQ93" s="21" t="n">
        <v>203.867</v>
      </c>
      <c r="BR93" s="21" t="n">
        <v>194.213</v>
      </c>
      <c r="BS93" s="21" t="n">
        <v>217.576</v>
      </c>
      <c r="BT93" s="21" t="n">
        <v>171.727</v>
      </c>
      <c r="BU93" s="21" t="n">
        <v>232.966</v>
      </c>
      <c r="BV93" s="21" t="n">
        <v>179.727</v>
      </c>
      <c r="BW93" s="21" t="n">
        <v>206.788</v>
      </c>
      <c r="BX93" s="21" t="n">
        <v>162.787</v>
      </c>
      <c r="BY93" s="21" t="n">
        <v>210.242</v>
      </c>
      <c r="BZ93" s="21" t="n">
        <v>146.019</v>
      </c>
      <c r="CA93" s="21" t="n">
        <v>137.86</v>
      </c>
      <c r="CB93" s="21" t="n">
        <v>233.863</v>
      </c>
      <c r="CC93" s="21" t="n">
        <v>247.183</v>
      </c>
      <c r="CD93" s="21" t="n">
        <v>148.342</v>
      </c>
      <c r="CE93" s="21" t="n">
        <v>259.566</v>
      </c>
      <c r="CF93" s="21" t="n">
        <v>264.345</v>
      </c>
      <c r="CG93" s="21" t="n">
        <v>239.833</v>
      </c>
      <c r="CH93" s="21" t="n">
        <v>176.998</v>
      </c>
      <c r="CI93" s="21" t="n">
        <v>186.273</v>
      </c>
      <c r="CJ93" s="21" t="n">
        <v>294.822</v>
      </c>
      <c r="CK93" s="21" t="n">
        <v>274.54</v>
      </c>
      <c r="CL93" s="21" t="n">
        <v>311.86</v>
      </c>
      <c r="CM93" s="21" t="n">
        <v>446.972</v>
      </c>
      <c r="CN93" s="21" t="n">
        <v>157.68</v>
      </c>
      <c r="CO93" s="21" t="n">
        <v>206.478</v>
      </c>
      <c r="CP93" s="21" t="n">
        <v>275.812</v>
      </c>
      <c r="CQ93" s="21" t="n">
        <v>303.244</v>
      </c>
      <c r="CR93" s="21" t="n">
        <v>209.286</v>
      </c>
      <c r="CS93" s="21" t="n">
        <v>305.337</v>
      </c>
      <c r="CT93" s="21" t="n">
        <v>289.31</v>
      </c>
      <c r="CU93" s="21" t="n">
        <v>182.233</v>
      </c>
      <c r="CV93" s="21" t="n">
        <v>178.672</v>
      </c>
      <c r="CW93" s="21" t="n">
        <v>169.997</v>
      </c>
      <c r="CX93" s="21" t="n">
        <v>316.698</v>
      </c>
      <c r="CY93" s="21" t="n">
        <v>163.007</v>
      </c>
      <c r="CZ93" s="21" t="n">
        <v>156.899</v>
      </c>
      <c r="DA93" s="21" t="n">
        <v>334.212</v>
      </c>
      <c r="DB93" s="21" t="n">
        <v>208.3</v>
      </c>
      <c r="DC93" s="21" t="n">
        <v>125.165</v>
      </c>
      <c r="DD93" s="21" t="n"/>
      <c r="DE93" s="21" t="n">
        <v>219.874</v>
      </c>
      <c r="DF93" s="21" t="n">
        <v>275.627</v>
      </c>
      <c r="DG93" s="21" t="n">
        <v>220.553</v>
      </c>
      <c r="DH93" s="21" t="n">
        <v>255.601</v>
      </c>
      <c r="DI93" s="21" t="n">
        <v>206.138</v>
      </c>
      <c r="DJ93" s="21" t="n">
        <v>219.654</v>
      </c>
      <c r="DK93" s="21" t="n">
        <v>201.869</v>
      </c>
      <c r="DL93" s="21" t="n">
        <v>179.297</v>
      </c>
      <c r="DM93" s="21" t="n">
        <v>396.501</v>
      </c>
      <c r="DN93" s="21" t="n">
        <v>216.407</v>
      </c>
      <c r="DO93" s="21" t="n">
        <v>304.177</v>
      </c>
      <c r="DP93" s="21" t="n">
        <v>357.048</v>
      </c>
      <c r="DQ93" s="21" t="n">
        <v>373.597</v>
      </c>
      <c r="DR93" s="21" t="n">
        <v>179.845</v>
      </c>
      <c r="DS93" s="21" t="n">
        <v>602.453</v>
      </c>
      <c r="DT93" s="21" t="n">
        <v>369.042</v>
      </c>
      <c r="DU93" s="21" t="n">
        <v>366.085</v>
      </c>
      <c r="DV93" s="21" t="n">
        <v>366.199</v>
      </c>
      <c r="DW93" s="21" t="n">
        <v>307.969</v>
      </c>
      <c r="DX93" s="21" t="n">
        <v>263.516</v>
      </c>
      <c r="DY93" s="21" t="n">
        <v>449.431</v>
      </c>
      <c r="DZ93" s="21" t="n">
        <v>481.4</v>
      </c>
      <c r="EA93" s="21" t="n">
        <v>464.737</v>
      </c>
      <c r="EB93" s="21" t="n">
        <v>264.956</v>
      </c>
      <c r="EC93" s="21" t="n">
        <v>260.993</v>
      </c>
      <c r="ED93" s="21" t="n">
        <v>270.677</v>
      </c>
      <c r="EE93" s="21" t="n">
        <v>274.984</v>
      </c>
      <c r="EF93" s="21" t="n">
        <v>635.522</v>
      </c>
      <c r="EG93" s="21" t="n">
        <v>548.706</v>
      </c>
      <c r="EH93" s="21" t="n">
        <v>145.191</v>
      </c>
      <c r="EI93" s="21" t="n">
        <v>61.678</v>
      </c>
      <c r="EJ93" s="21" t="n">
        <v>77.973</v>
      </c>
      <c r="EK93" s="21" t="n">
        <v>44.122</v>
      </c>
      <c r="EL93" s="21" t="n">
        <v>140.884</v>
      </c>
      <c r="EM93" s="21" t="n">
        <v>84.586</v>
      </c>
      <c r="EN93" s="21" t="n">
        <v>87.426</v>
      </c>
      <c r="EO93" s="21" t="n">
        <v>101.471</v>
      </c>
      <c r="EP93" s="21" t="n">
        <v>127.387</v>
      </c>
      <c r="EQ93" s="21" t="n">
        <v>73.14100000000001</v>
      </c>
      <c r="ER93" s="21" t="n">
        <v>55.475</v>
      </c>
      <c r="ES93" s="21" t="n">
        <v>149.836</v>
      </c>
      <c r="ET93" s="21" t="n">
        <v>86.601</v>
      </c>
      <c r="EU93" s="21" t="n">
        <v>106.653</v>
      </c>
      <c r="EV93" s="21" t="n">
        <v>116.309</v>
      </c>
      <c r="EW93" s="21" t="n">
        <v>102.289</v>
      </c>
      <c r="EX93" s="21" t="n">
        <v>222.394</v>
      </c>
      <c r="EY93" s="21" t="n">
        <v>141.459</v>
      </c>
      <c r="EZ93" s="21" t="n">
        <v>133.199</v>
      </c>
      <c r="FA93" s="21" t="n">
        <v>204.472</v>
      </c>
      <c r="FB93" s="21" t="n">
        <v>127.422</v>
      </c>
      <c r="FC93" s="21" t="n">
        <v>122.914</v>
      </c>
      <c r="FD93" s="21" t="n">
        <v>125.811</v>
      </c>
      <c r="FE93" s="21" t="n">
        <v>107.161</v>
      </c>
      <c r="FF93" s="21" t="n">
        <v>171.371</v>
      </c>
      <c r="FG93" s="21" t="n">
        <v>75.815</v>
      </c>
      <c r="FH93" s="21" t="n">
        <v>129.669</v>
      </c>
      <c r="FI93" s="21" t="n">
        <v>110.851</v>
      </c>
      <c r="FJ93" s="21" t="n">
        <v>106.037</v>
      </c>
      <c r="FK93" s="21" t="n">
        <v>107.045</v>
      </c>
      <c r="FL93" s="21" t="n">
        <v>99.901</v>
      </c>
      <c r="FM93" s="21" t="n">
        <v>104.813</v>
      </c>
      <c r="FN93" s="21" t="n">
        <v>73.739</v>
      </c>
      <c r="FO93" s="21" t="n">
        <v>107.043</v>
      </c>
      <c r="FP93" s="21" t="n">
        <v>100.774</v>
      </c>
      <c r="FQ93" s="21" t="n">
        <v>145.537</v>
      </c>
      <c r="FR93" s="21" t="n">
        <v>149.816</v>
      </c>
      <c r="FS93" s="21" t="n">
        <v>166.515</v>
      </c>
      <c r="FT93" s="21" t="n">
        <v>131.788</v>
      </c>
      <c r="FU93" s="21" t="n">
        <v>122.482</v>
      </c>
      <c r="FV93" s="21" t="n">
        <v>187.042</v>
      </c>
      <c r="FW93" s="21" t="n">
        <v>153.666</v>
      </c>
      <c r="FX93" s="21" t="n">
        <v>184.964</v>
      </c>
      <c r="FY93" s="21" t="n">
        <v>265.977</v>
      </c>
      <c r="FZ93" s="21" t="n">
        <v>264.486</v>
      </c>
      <c r="GA93" s="21" t="n">
        <v>128.755</v>
      </c>
      <c r="GB93" s="21" t="n">
        <v>174.086</v>
      </c>
      <c r="GC93" s="21" t="n"/>
      <c r="GD93" s="21" t="n">
        <v>170.534</v>
      </c>
      <c r="GE93" s="21" t="n">
        <v>185.314</v>
      </c>
      <c r="GF93" s="21" t="n"/>
      <c r="GG93" s="21" t="n">
        <v>204.837</v>
      </c>
      <c r="GH93" s="21" t="n"/>
      <c r="GI93" s="21" t="n">
        <v>187.994</v>
      </c>
      <c r="GJ93" s="21" t="n">
        <v>338.225</v>
      </c>
      <c r="GK93" s="21" t="n">
        <v>335.333</v>
      </c>
      <c r="GL93" s="21" t="n">
        <v>328.753</v>
      </c>
      <c r="GM93" s="21" t="n">
        <v>362.626</v>
      </c>
      <c r="GN93" s="21" t="n">
        <v>352.985</v>
      </c>
      <c r="GO93" s="21" t="n">
        <v>375.072</v>
      </c>
      <c r="GP93" s="21" t="n">
        <v>178.179</v>
      </c>
      <c r="GQ93" s="21" t="n">
        <v>152.656</v>
      </c>
      <c r="GR93" s="21" t="n">
        <v>349.539</v>
      </c>
      <c r="GS93" s="21" t="n">
        <v>220.161</v>
      </c>
      <c r="GT93" s="21" t="n">
        <v>617.619</v>
      </c>
      <c r="GU93" s="21" t="n">
        <v>221.155</v>
      </c>
      <c r="GV93" s="21" t="n">
        <v>258.839</v>
      </c>
      <c r="GW93" s="21" t="n">
        <v>285.355</v>
      </c>
      <c r="GX93" s="21" t="n">
        <v>295.112</v>
      </c>
      <c r="GY93" s="21" t="n">
        <v>159.55</v>
      </c>
      <c r="GZ93" s="21" t="n"/>
      <c r="HA93" s="21" t="n">
        <v>61.552</v>
      </c>
      <c r="HB93" s="21" t="n">
        <v>552.902</v>
      </c>
      <c r="HC93" s="21" t="n">
        <v>391.032</v>
      </c>
      <c r="HD93" s="21" t="n">
        <v>128.03</v>
      </c>
      <c r="HE93" s="21" t="n">
        <v>536.212</v>
      </c>
      <c r="HF93" s="21" t="n">
        <v>100.645</v>
      </c>
      <c r="HG93" s="21" t="n">
        <v>605.182</v>
      </c>
      <c r="HH93" s="21" t="n">
        <v>413.59</v>
      </c>
      <c r="HI93" s="21" t="n">
        <v>412.828</v>
      </c>
      <c r="HJ93" s="21" t="n">
        <v>551.2670000000001</v>
      </c>
      <c r="HK93" s="21" t="n">
        <v>197.271</v>
      </c>
      <c r="HL93" s="21" t="n">
        <v>258.812</v>
      </c>
      <c r="HM93" s="21" t="n">
        <v>90.419</v>
      </c>
      <c r="HN93" s="21" t="n">
        <v>380.339</v>
      </c>
      <c r="HO93" s="21" t="n"/>
      <c r="HP93" s="21" t="n">
        <v>823.097</v>
      </c>
      <c r="HQ93" s="21" t="n">
        <v>262.017</v>
      </c>
      <c r="HR93" s="21" t="n">
        <v>131.491</v>
      </c>
      <c r="HS93" s="21" t="n">
        <v>112.44</v>
      </c>
      <c r="HT93" s="21" t="n">
        <v>120.597</v>
      </c>
      <c r="HU93" s="21" t="n">
        <v>541.4640000000001</v>
      </c>
      <c r="HV93" s="21" t="n">
        <v>117.085</v>
      </c>
      <c r="HW93" s="21" t="n">
        <v>25.39</v>
      </c>
      <c r="HX93" s="21" t="n">
        <v>204.458</v>
      </c>
      <c r="HY93" s="21" t="n">
        <v>227.417</v>
      </c>
      <c r="HZ93" s="21" t="n">
        <v>176.467</v>
      </c>
      <c r="IA93" s="21" t="n">
        <v>127.688</v>
      </c>
      <c r="IB93" s="21" t="n">
        <v>301.417</v>
      </c>
      <c r="IC93" s="21" t="n">
        <v>224.093</v>
      </c>
      <c r="ID93" s="21" t="n">
        <v>316.994</v>
      </c>
      <c r="IE93" s="21" t="n">
        <v>128.044</v>
      </c>
      <c r="IF93" s="21" t="n">
        <v>177.173</v>
      </c>
      <c r="IG93" s="21" t="n">
        <v>87.15300000000001</v>
      </c>
      <c r="IH93" s="21" t="n">
        <v>82.42400000000001</v>
      </c>
      <c r="II93" s="21" t="n">
        <v>63.218</v>
      </c>
      <c r="IJ93" s="21" t="n">
        <v>26.427</v>
      </c>
      <c r="IK93" s="21" t="n">
        <v>34.733</v>
      </c>
      <c r="IL93" s="21" t="n">
        <v>29.878</v>
      </c>
      <c r="IM93" s="21" t="n">
        <v>39.948</v>
      </c>
      <c r="IN93" s="21" t="n">
        <v>106.6</v>
      </c>
      <c r="IO93" s="21" t="n">
        <v>112.639</v>
      </c>
      <c r="IP93" s="21" t="n">
        <v>183.357</v>
      </c>
      <c r="IQ93" s="21" t="n">
        <v>152.047</v>
      </c>
      <c r="IR93" s="21" t="n">
        <v>412.342</v>
      </c>
      <c r="IS93" s="21" t="n">
        <v>208.127</v>
      </c>
      <c r="IT93" s="21" t="n">
        <v>213.861</v>
      </c>
      <c r="IU93" s="21" t="n">
        <v>350.602</v>
      </c>
      <c r="IV93" s="21" t="n">
        <v>293.481</v>
      </c>
      <c r="IW93" s="21" t="n">
        <v>143.52</v>
      </c>
      <c r="IX93" s="21" t="n">
        <v>283.523</v>
      </c>
      <c r="IY93" s="21" t="n">
        <v>719.287</v>
      </c>
      <c r="IZ93" s="21" t="n">
        <v>814.13</v>
      </c>
      <c r="JA93" s="21" t="n">
        <v>909.505</v>
      </c>
      <c r="JB93" s="21" t="n">
        <v>89.976</v>
      </c>
      <c r="JC93" s="21" t="n">
        <v>330.967</v>
      </c>
      <c r="JD93" s="21" t="n">
        <v>267.228</v>
      </c>
      <c r="JE93" s="21" t="n">
        <v>74.895</v>
      </c>
      <c r="JF93" s="21" t="n">
        <v>220.786</v>
      </c>
      <c r="JG93" s="21" t="n">
        <v>343.862</v>
      </c>
      <c r="JH93" s="21" t="n">
        <v>389.599</v>
      </c>
      <c r="JI93" s="21" t="n">
        <v>70.602</v>
      </c>
      <c r="JJ93" s="21" t="n">
        <v>106.548</v>
      </c>
      <c r="JK93" s="21" t="n">
        <v>38.469</v>
      </c>
      <c r="JL93" s="21" t="n">
        <v>80.191</v>
      </c>
      <c r="JM93" s="21" t="n">
        <v>131.67</v>
      </c>
      <c r="JN93" s="21" t="n">
        <v>510.894</v>
      </c>
      <c r="JO93" s="21" t="n">
        <v>86.056</v>
      </c>
      <c r="JP93" s="21" t="n">
        <v>563.545</v>
      </c>
      <c r="JQ93" s="21" t="n">
        <v>259.955</v>
      </c>
      <c r="JR93" s="21" t="n">
        <v>169.166</v>
      </c>
      <c r="JS93" s="21" t="n">
        <v>498.352</v>
      </c>
      <c r="JT93" s="21" t="n">
        <v>405.729</v>
      </c>
      <c r="JU93" s="21" t="n">
        <v>358.464</v>
      </c>
      <c r="JV93" s="21" t="n">
        <v>206.62</v>
      </c>
      <c r="JW93" s="21" t="n">
        <v>393.005</v>
      </c>
      <c r="JX93" s="21" t="n">
        <v>293.02</v>
      </c>
      <c r="JY93" s="21" t="n">
        <v>85.371</v>
      </c>
      <c r="JZ93" s="21" t="n">
        <v>182.384</v>
      </c>
      <c r="KA93" s="21" t="n">
        <v>282.695</v>
      </c>
      <c r="KB93" s="21" t="n">
        <v>297.784</v>
      </c>
      <c r="KC93" s="21" t="n">
        <v>292.671</v>
      </c>
      <c r="KD93" s="21" t="n">
        <v>296.535</v>
      </c>
      <c r="KE93" s="21" t="n">
        <v>274.01</v>
      </c>
      <c r="KF93" s="21" t="n">
        <v>264.738</v>
      </c>
      <c r="KG93" s="21" t="n">
        <v>262.869</v>
      </c>
      <c r="KH93" s="21" t="n">
        <v>264.782</v>
      </c>
      <c r="KI93" s="21" t="n">
        <v>118.526</v>
      </c>
      <c r="KJ93" s="21" t="n">
        <v>222.061</v>
      </c>
      <c r="KK93" s="21" t="n">
        <v>183.006</v>
      </c>
      <c r="KL93" s="21" t="n">
        <v>179.62</v>
      </c>
      <c r="KM93" s="21" t="n">
        <v>166.337</v>
      </c>
      <c r="KN93" s="21" t="n">
        <v>161.246</v>
      </c>
      <c r="KO93" s="21" t="n">
        <v>305.505</v>
      </c>
      <c r="KP93" s="21" t="n">
        <v>128.856</v>
      </c>
      <c r="KQ93" s="21" t="n">
        <v>63.468</v>
      </c>
      <c r="KR93" s="21" t="n">
        <v>117.609</v>
      </c>
      <c r="KS93" s="21" t="n">
        <v>298.331</v>
      </c>
      <c r="KT93" s="21" t="n">
        <v>345.942</v>
      </c>
      <c r="KU93" s="21" t="n">
        <v>106.185</v>
      </c>
      <c r="KV93" s="21" t="n">
        <v>44.265</v>
      </c>
      <c r="KW93" s="21" t="n">
        <v>270.304</v>
      </c>
      <c r="KX93" s="21" t="n">
        <v>236.199</v>
      </c>
      <c r="KY93" s="21" t="n">
        <v>300.377</v>
      </c>
      <c r="KZ93" s="21" t="n">
        <v>233.775</v>
      </c>
      <c r="LA93" s="21" t="n">
        <v>304.594</v>
      </c>
      <c r="LB93" s="21" t="n">
        <v>129.659</v>
      </c>
      <c r="LC93" s="21" t="n">
        <v>388.791</v>
      </c>
      <c r="LD93" s="21" t="n">
        <v>85.026</v>
      </c>
      <c r="LE93" s="21" t="n">
        <v>137.174</v>
      </c>
      <c r="LF93" s="21" t="n">
        <v>372.713</v>
      </c>
      <c r="LG93" s="21" t="n">
        <v>366.377</v>
      </c>
      <c r="LH93" s="21" t="n">
        <v>376.951</v>
      </c>
      <c r="LI93" s="21" t="n">
        <v>348.253</v>
      </c>
      <c r="LJ93" s="21" t="n">
        <v>387.334</v>
      </c>
      <c r="LK93" s="21" t="n">
        <v>135.503</v>
      </c>
      <c r="LL93" s="21" t="n">
        <v>363.91</v>
      </c>
      <c r="LM93" s="21" t="n">
        <v>254.451</v>
      </c>
      <c r="LN93" s="21" t="n">
        <v>34.486</v>
      </c>
      <c r="LO93" s="21" t="n">
        <v>142.806</v>
      </c>
    </row>
    <row r="94">
      <c r="A94" s="22" t="n">
        <v>44805</v>
      </c>
      <c r="B94" s="21" t="n">
        <v>296.349</v>
      </c>
      <c r="C94" s="21" t="n">
        <v>310.453</v>
      </c>
      <c r="D94" s="21" t="n">
        <v>312.901</v>
      </c>
      <c r="E94" s="21" t="n">
        <v>296.403</v>
      </c>
      <c r="F94" s="21" t="n">
        <v>338.889</v>
      </c>
      <c r="G94" s="21" t="n">
        <v>278.355</v>
      </c>
      <c r="H94" s="21" t="n">
        <v>307.64</v>
      </c>
      <c r="I94" s="21" t="n">
        <v>267.059</v>
      </c>
      <c r="J94" s="21" t="n">
        <v>285.912</v>
      </c>
      <c r="K94" s="21" t="n">
        <v>374.832</v>
      </c>
      <c r="L94" s="21" t="n">
        <v>225.321</v>
      </c>
      <c r="M94" s="21" t="n">
        <v>219.946</v>
      </c>
      <c r="N94" s="21" t="n">
        <v>354.393</v>
      </c>
      <c r="O94" s="21" t="n">
        <v>328.629</v>
      </c>
      <c r="P94" s="21" t="n">
        <v>335.447</v>
      </c>
      <c r="Q94" s="21" t="n">
        <v>393.464</v>
      </c>
      <c r="R94" s="21" t="n">
        <v>332.6</v>
      </c>
      <c r="S94" s="21" t="n">
        <v>318.1</v>
      </c>
      <c r="T94" s="21" t="n">
        <v>318.748</v>
      </c>
      <c r="U94" s="21" t="n">
        <v>319.874</v>
      </c>
      <c r="V94" s="21" t="n">
        <v>383.661</v>
      </c>
      <c r="W94" s="21" t="n">
        <v>332.894</v>
      </c>
      <c r="X94" s="21" t="n">
        <v>306.656</v>
      </c>
      <c r="Y94" s="21" t="n">
        <v>254.806</v>
      </c>
      <c r="Z94" s="21" t="n">
        <v>268.898</v>
      </c>
      <c r="AA94" s="21" t="n">
        <v>204.266</v>
      </c>
      <c r="AB94" s="21" t="n">
        <v>380.907</v>
      </c>
      <c r="AC94" s="21" t="n">
        <v>188.1</v>
      </c>
      <c r="AD94" s="21" t="n">
        <v>250.001</v>
      </c>
      <c r="AE94" s="21" t="n">
        <v>278.438</v>
      </c>
      <c r="AF94" s="21" t="n">
        <v>237.554</v>
      </c>
      <c r="AG94" s="21" t="n">
        <v>166.992</v>
      </c>
      <c r="AH94" s="21" t="n">
        <v>280.578</v>
      </c>
      <c r="AI94" s="21" t="n">
        <v>290.607</v>
      </c>
      <c r="AJ94" s="21" t="n">
        <v>181.456</v>
      </c>
      <c r="AK94" s="21" t="n">
        <v>306.721</v>
      </c>
      <c r="AL94" s="21" t="n">
        <v>198.72</v>
      </c>
      <c r="AM94" s="21" t="n">
        <v>318.503</v>
      </c>
      <c r="AN94" s="21" t="n">
        <v>299.957</v>
      </c>
      <c r="AO94" s="21" t="n">
        <v>194.224</v>
      </c>
      <c r="AP94" s="21" t="n">
        <v>359.5</v>
      </c>
      <c r="AQ94" s="21" t="n">
        <v>227.964</v>
      </c>
      <c r="AR94" s="21" t="n">
        <v>175.173</v>
      </c>
      <c r="AS94" s="21" t="n">
        <v>240.493</v>
      </c>
      <c r="AT94" s="21" t="n">
        <v>376.57</v>
      </c>
      <c r="AU94" s="21" t="n">
        <v>307.386</v>
      </c>
      <c r="AV94" s="21" t="n">
        <v>268.793</v>
      </c>
      <c r="AW94" s="21" t="n">
        <v>178.295</v>
      </c>
      <c r="AX94" s="21" t="n">
        <v>258.857</v>
      </c>
      <c r="AY94" s="21" t="n">
        <v>182.932</v>
      </c>
      <c r="AZ94" s="21" t="n">
        <v>272.768</v>
      </c>
      <c r="BA94" s="21" t="n">
        <v>263.952</v>
      </c>
      <c r="BB94" s="21" t="n">
        <v>185.197</v>
      </c>
      <c r="BC94" s="21" t="n">
        <v>348.646</v>
      </c>
      <c r="BD94" s="21" t="n">
        <v>397.404</v>
      </c>
      <c r="BE94" s="21" t="n">
        <v>409.857</v>
      </c>
      <c r="BF94" s="21" t="n">
        <v>366.96</v>
      </c>
      <c r="BG94" s="21" t="n">
        <v>207.853</v>
      </c>
      <c r="BH94" s="21" t="n">
        <v>299.486</v>
      </c>
      <c r="BI94" s="21" t="n">
        <v>595.88</v>
      </c>
      <c r="BJ94" s="21" t="n">
        <v>137.988</v>
      </c>
      <c r="BK94" s="21" t="n">
        <v>382.955</v>
      </c>
      <c r="BL94" s="21" t="n">
        <v>443.368</v>
      </c>
      <c r="BM94" s="21" t="n">
        <v>409.51</v>
      </c>
      <c r="BN94" s="21" t="n">
        <v>351.219</v>
      </c>
      <c r="BO94" s="21" t="n">
        <v>374.513</v>
      </c>
      <c r="BP94" s="21" t="n">
        <v>192.909</v>
      </c>
      <c r="BQ94" s="21" t="n">
        <v>207.074</v>
      </c>
      <c r="BR94" s="21" t="n">
        <v>196.799</v>
      </c>
      <c r="BS94" s="21" t="n">
        <v>222.377</v>
      </c>
      <c r="BT94" s="21" t="n">
        <v>175.496</v>
      </c>
      <c r="BU94" s="21" t="n">
        <v>240.514</v>
      </c>
      <c r="BV94" s="21" t="n">
        <v>180.783</v>
      </c>
      <c r="BW94" s="21" t="n">
        <v>208.348</v>
      </c>
      <c r="BX94" s="21" t="n">
        <v>164.357</v>
      </c>
      <c r="BY94" s="21" t="n">
        <v>213.307</v>
      </c>
      <c r="BZ94" s="21" t="n">
        <v>146.836</v>
      </c>
      <c r="CA94" s="21" t="n">
        <v>138.313</v>
      </c>
      <c r="CB94" s="21" t="n">
        <v>233.667</v>
      </c>
      <c r="CC94" s="21" t="n">
        <v>246.867</v>
      </c>
      <c r="CD94" s="21" t="n">
        <v>148.962</v>
      </c>
      <c r="CE94" s="21" t="n">
        <v>260.254</v>
      </c>
      <c r="CF94" s="21" t="n">
        <v>268.002</v>
      </c>
      <c r="CG94" s="21" t="n">
        <v>242.136</v>
      </c>
      <c r="CH94" s="21" t="n">
        <v>179.86</v>
      </c>
      <c r="CI94" s="21" t="n">
        <v>188.787</v>
      </c>
      <c r="CJ94" s="21" t="n">
        <v>298.583</v>
      </c>
      <c r="CK94" s="21" t="n">
        <v>279.099</v>
      </c>
      <c r="CL94" s="21" t="n">
        <v>313.025</v>
      </c>
      <c r="CM94" s="21" t="n">
        <v>460.201</v>
      </c>
      <c r="CN94" s="21" t="n">
        <v>163.431</v>
      </c>
      <c r="CO94" s="21" t="n">
        <v>207.536</v>
      </c>
      <c r="CP94" s="21" t="n">
        <v>275.622</v>
      </c>
      <c r="CQ94" s="21" t="n">
        <v>313.497</v>
      </c>
      <c r="CR94" s="21" t="n">
        <v>208.491</v>
      </c>
      <c r="CS94" s="21" t="n">
        <v>303.625</v>
      </c>
      <c r="CT94" s="21" t="n">
        <v>290.548</v>
      </c>
      <c r="CU94" s="21" t="n">
        <v>181.226</v>
      </c>
      <c r="CV94" s="21" t="n">
        <v>177.792</v>
      </c>
      <c r="CW94" s="21" t="n">
        <v>170.986</v>
      </c>
      <c r="CX94" s="21" t="n">
        <v>319.902</v>
      </c>
      <c r="CY94" s="21" t="n">
        <v>162.747</v>
      </c>
      <c r="CZ94" s="21" t="n">
        <v>154.146</v>
      </c>
      <c r="DA94" s="21" t="n">
        <v>337.369</v>
      </c>
      <c r="DB94" s="21" t="n">
        <v>209.211</v>
      </c>
      <c r="DC94" s="21" t="n">
        <v>181.338</v>
      </c>
      <c r="DD94" s="21" t="n"/>
      <c r="DE94" s="21" t="n">
        <v>220.098</v>
      </c>
      <c r="DF94" s="21" t="n">
        <v>275.81</v>
      </c>
      <c r="DG94" s="21" t="n">
        <v>220.133</v>
      </c>
      <c r="DH94" s="21" t="n">
        <v>255.435</v>
      </c>
      <c r="DI94" s="21" t="n">
        <v>204.561</v>
      </c>
      <c r="DJ94" s="21" t="n">
        <v>216.505</v>
      </c>
      <c r="DK94" s="21" t="n">
        <v>201.341</v>
      </c>
      <c r="DL94" s="21" t="n">
        <v>179.219</v>
      </c>
      <c r="DM94" s="21" t="n">
        <v>398.404</v>
      </c>
      <c r="DN94" s="21" t="n">
        <v>217.825</v>
      </c>
      <c r="DO94" s="21" t="n">
        <v>306.281</v>
      </c>
      <c r="DP94" s="21" t="n">
        <v>359.601</v>
      </c>
      <c r="DQ94" s="21" t="n">
        <v>376.628</v>
      </c>
      <c r="DR94" s="21" t="n">
        <v>177.97</v>
      </c>
      <c r="DS94" s="21" t="n">
        <v>603.362</v>
      </c>
      <c r="DT94" s="21" t="n">
        <v>364.525</v>
      </c>
      <c r="DU94" s="21" t="n">
        <v>368.911</v>
      </c>
      <c r="DV94" s="21" t="n">
        <v>368.961</v>
      </c>
      <c r="DW94" s="21" t="n">
        <v>310.744</v>
      </c>
      <c r="DX94" s="21" t="n">
        <v>266.078</v>
      </c>
      <c r="DY94" s="21" t="n">
        <v>438.504</v>
      </c>
      <c r="DZ94" s="21" t="n">
        <v>466.462</v>
      </c>
      <c r="EA94" s="21" t="n">
        <v>460.655</v>
      </c>
      <c r="EB94" s="21" t="n">
        <v>268.116</v>
      </c>
      <c r="EC94" s="21" t="n">
        <v>262.214</v>
      </c>
      <c r="ED94" s="21" t="n">
        <v>279.103</v>
      </c>
      <c r="EE94" s="21" t="n">
        <v>276.759</v>
      </c>
      <c r="EF94" s="21" t="n">
        <v>636.951</v>
      </c>
      <c r="EG94" s="21" t="n">
        <v>558.254</v>
      </c>
      <c r="EH94" s="21" t="n">
        <v>145.647</v>
      </c>
      <c r="EI94" s="21" t="n">
        <v>61.904</v>
      </c>
      <c r="EJ94" s="21" t="n">
        <v>75.289</v>
      </c>
      <c r="EK94" s="21" t="n">
        <v>44.446</v>
      </c>
      <c r="EL94" s="21" t="n">
        <v>140.692</v>
      </c>
      <c r="EM94" s="21" t="n">
        <v>86.833</v>
      </c>
      <c r="EN94" s="21" t="n">
        <v>87.59099999999999</v>
      </c>
      <c r="EO94" s="21" t="n">
        <v>100.114</v>
      </c>
      <c r="EP94" s="21" t="n">
        <v>125.783</v>
      </c>
      <c r="EQ94" s="21" t="n">
        <v>73.84399999999999</v>
      </c>
      <c r="ER94" s="21" t="n">
        <v>55.966</v>
      </c>
      <c r="ES94" s="21" t="n">
        <v>150.299</v>
      </c>
      <c r="ET94" s="21" t="n">
        <v>84.541</v>
      </c>
      <c r="EU94" s="21" t="n">
        <v>108.115</v>
      </c>
      <c r="EV94" s="21" t="n">
        <v>118.528</v>
      </c>
      <c r="EW94" s="21" t="n">
        <v>103.031</v>
      </c>
      <c r="EX94" s="21" t="n">
        <v>223.694</v>
      </c>
      <c r="EY94" s="21" t="n">
        <v>141.48</v>
      </c>
      <c r="EZ94" s="21" t="n">
        <v>135.212</v>
      </c>
      <c r="FA94" s="21" t="n">
        <v>200.93</v>
      </c>
      <c r="FB94" s="21" t="n">
        <v>127.588</v>
      </c>
      <c r="FC94" s="21" t="n">
        <v>121.92</v>
      </c>
      <c r="FD94" s="21" t="n">
        <v>124.964</v>
      </c>
      <c r="FE94" s="21" t="n">
        <v>104.355</v>
      </c>
      <c r="FF94" s="21" t="n">
        <v>171.948</v>
      </c>
      <c r="FG94" s="21" t="n">
        <v>75.837</v>
      </c>
      <c r="FH94" s="21" t="n">
        <v>127.019</v>
      </c>
      <c r="FI94" s="21" t="n">
        <v>108.776</v>
      </c>
      <c r="FJ94" s="21" t="n">
        <v>106.757</v>
      </c>
      <c r="FK94" s="21" t="n">
        <v>107.475</v>
      </c>
      <c r="FL94" s="21" t="n">
        <v>98.96299999999999</v>
      </c>
      <c r="FM94" s="21" t="n">
        <v>105.419</v>
      </c>
      <c r="FN94" s="21" t="n">
        <v>73.63200000000001</v>
      </c>
      <c r="FO94" s="21" t="n">
        <v>108.134</v>
      </c>
      <c r="FP94" s="21" t="n">
        <v>102.901</v>
      </c>
      <c r="FQ94" s="21" t="n">
        <v>144.969</v>
      </c>
      <c r="FR94" s="21" t="n">
        <v>149.61</v>
      </c>
      <c r="FS94" s="21" t="n">
        <v>167.388</v>
      </c>
      <c r="FT94" s="21" t="n">
        <v>131.326</v>
      </c>
      <c r="FU94" s="21" t="n">
        <v>123.183</v>
      </c>
      <c r="FV94" s="21" t="n">
        <v>191.064</v>
      </c>
      <c r="FW94" s="21" t="n">
        <v>151.537</v>
      </c>
      <c r="FX94" s="21" t="n">
        <v>189.41</v>
      </c>
      <c r="FY94" s="21" t="n">
        <v>265.46</v>
      </c>
      <c r="FZ94" s="21" t="n">
        <v>263.973</v>
      </c>
      <c r="GA94" s="21" t="n">
        <v>129.51</v>
      </c>
      <c r="GB94" s="21" t="n">
        <v>175.065</v>
      </c>
      <c r="GC94" s="21" t="n"/>
      <c r="GD94" s="21" t="n">
        <v>171.729</v>
      </c>
      <c r="GE94" s="21" t="n">
        <v>186.34</v>
      </c>
      <c r="GF94" s="21" t="n"/>
      <c r="GG94" s="21" t="n">
        <v>203.94</v>
      </c>
      <c r="GH94" s="21" t="n">
        <v>111.488</v>
      </c>
      <c r="GI94" s="21" t="n">
        <v>189.6</v>
      </c>
      <c r="GJ94" s="21" t="n">
        <v>325.921</v>
      </c>
      <c r="GK94" s="21" t="n">
        <v>322.853</v>
      </c>
      <c r="GL94" s="21" t="n">
        <v>316.222</v>
      </c>
      <c r="GM94" s="21" t="n">
        <v>348.708</v>
      </c>
      <c r="GN94" s="21" t="n">
        <v>342.797</v>
      </c>
      <c r="GO94" s="21" t="n">
        <v>367.379</v>
      </c>
      <c r="GP94" s="21" t="n">
        <v>179.653</v>
      </c>
      <c r="GQ94" s="21" t="n">
        <v>152.898</v>
      </c>
      <c r="GR94" s="21" t="n">
        <v>356.076</v>
      </c>
      <c r="GS94" s="21" t="n">
        <v>224.991</v>
      </c>
      <c r="GT94" s="21" t="n">
        <v>627.689</v>
      </c>
      <c r="GU94" s="21" t="n">
        <v>224.15</v>
      </c>
      <c r="GV94" s="21" t="n">
        <v>257.651</v>
      </c>
      <c r="GW94" s="21" t="n">
        <v>284.779</v>
      </c>
      <c r="GX94" s="21" t="n">
        <v>294.444</v>
      </c>
      <c r="GY94" s="21" t="n">
        <v>162.902</v>
      </c>
      <c r="GZ94" s="21" t="n"/>
      <c r="HA94" s="21" t="n">
        <v>62.502</v>
      </c>
      <c r="HB94" s="21" t="n">
        <v>556.309</v>
      </c>
      <c r="HC94" s="21" t="n">
        <v>390.677</v>
      </c>
      <c r="HD94" s="21" t="n">
        <v>127.817</v>
      </c>
      <c r="HE94" s="21" t="n">
        <v>535.8200000000001</v>
      </c>
      <c r="HF94" s="21" t="n">
        <v>101.077</v>
      </c>
      <c r="HG94" s="21" t="n">
        <v>609.833</v>
      </c>
      <c r="HH94" s="21" t="n">
        <v>416.501</v>
      </c>
      <c r="HI94" s="21" t="n">
        <v>414.767</v>
      </c>
      <c r="HJ94" s="21" t="n">
        <v>553.9450000000001</v>
      </c>
      <c r="HK94" s="21" t="n">
        <v>203.641</v>
      </c>
      <c r="HL94" s="21" t="n">
        <v>258.826</v>
      </c>
      <c r="HM94" s="21" t="n">
        <v>90.474</v>
      </c>
      <c r="HN94" s="21" t="n">
        <v>380.465</v>
      </c>
      <c r="HO94" s="21" t="n">
        <v>368.926</v>
      </c>
      <c r="HP94" s="21" t="n">
        <v>823.057</v>
      </c>
      <c r="HQ94" s="21" t="n">
        <v>262.888</v>
      </c>
      <c r="HR94" s="21" t="n">
        <v>131.68</v>
      </c>
      <c r="HS94" s="21" t="n">
        <v>112.245</v>
      </c>
      <c r="HT94" s="21" t="n">
        <v>120.305</v>
      </c>
      <c r="HU94" s="21" t="n">
        <v>540.346</v>
      </c>
      <c r="HV94" s="21" t="n">
        <v>116.51</v>
      </c>
      <c r="HW94" s="21" t="n">
        <v>25.461</v>
      </c>
      <c r="HX94" s="21" t="n">
        <v>206.81</v>
      </c>
      <c r="HY94" s="21" t="n">
        <v>229.425</v>
      </c>
      <c r="HZ94" s="21" t="n">
        <v>178.728</v>
      </c>
      <c r="IA94" s="21" t="n">
        <v>128.077</v>
      </c>
      <c r="IB94" s="21" t="n">
        <v>305.761</v>
      </c>
      <c r="IC94" s="21" t="n">
        <v>226.098</v>
      </c>
      <c r="ID94" s="21" t="n">
        <v>322.463</v>
      </c>
      <c r="IE94" s="21" t="n">
        <v>126.612</v>
      </c>
      <c r="IF94" s="21" t="n">
        <v>172.641</v>
      </c>
      <c r="IG94" s="21" t="n">
        <v>87.917</v>
      </c>
      <c r="IH94" s="21" t="n">
        <v>82.691</v>
      </c>
      <c r="II94" s="21" t="n">
        <v>63.308</v>
      </c>
      <c r="IJ94" s="21" t="n">
        <v>26.468</v>
      </c>
      <c r="IK94" s="21" t="n">
        <v>34.791</v>
      </c>
      <c r="IL94" s="21" t="n">
        <v>29.919</v>
      </c>
      <c r="IM94" s="21" t="n">
        <v>40.081</v>
      </c>
      <c r="IN94" s="21" t="n">
        <v>106.289</v>
      </c>
      <c r="IO94" s="21" t="n">
        <v>113.183</v>
      </c>
      <c r="IP94" s="21" t="n">
        <v>183.852</v>
      </c>
      <c r="IQ94" s="21" t="n">
        <v>153.371</v>
      </c>
      <c r="IR94" s="21" t="n">
        <v>406.891</v>
      </c>
      <c r="IS94" s="21" t="n">
        <v>206.917</v>
      </c>
      <c r="IT94" s="21" t="n">
        <v>207.678</v>
      </c>
      <c r="IU94" s="21" t="n">
        <v>360.351</v>
      </c>
      <c r="IV94" s="21" t="n">
        <v>289.659</v>
      </c>
      <c r="IW94" s="21" t="n">
        <v>143.59</v>
      </c>
      <c r="IX94" s="21" t="n">
        <v>284.162</v>
      </c>
      <c r="IY94" s="21" t="n">
        <v>716.259</v>
      </c>
      <c r="IZ94" s="21" t="n">
        <v>816.147</v>
      </c>
      <c r="JA94" s="21" t="n">
        <v>907.9109999999999</v>
      </c>
      <c r="JB94" s="21" t="n">
        <v>90.2</v>
      </c>
      <c r="JC94" s="21" t="n">
        <v>335.855</v>
      </c>
      <c r="JD94" s="21" t="n">
        <v>267.389</v>
      </c>
      <c r="JE94" s="21" t="n">
        <v>74.833</v>
      </c>
      <c r="JF94" s="21" t="n">
        <v>221.754</v>
      </c>
      <c r="JG94" s="21" t="n">
        <v>344.301</v>
      </c>
      <c r="JH94" s="21" t="n">
        <v>401.51</v>
      </c>
      <c r="JI94" s="21" t="n">
        <v>70.535</v>
      </c>
      <c r="JJ94" s="21" t="n">
        <v>106.295</v>
      </c>
      <c r="JK94" s="21" t="n">
        <v>39.175</v>
      </c>
      <c r="JL94" s="21" t="n">
        <v>80.123</v>
      </c>
      <c r="JM94" s="21" t="n">
        <v>127.813</v>
      </c>
      <c r="JN94" s="21" t="n">
        <v>512.668</v>
      </c>
      <c r="JO94" s="21" t="n">
        <v>86.226</v>
      </c>
      <c r="JP94" s="21" t="n">
        <v>564.504</v>
      </c>
      <c r="JQ94" s="21" t="n">
        <v>260.95</v>
      </c>
      <c r="JR94" s="21" t="n">
        <v>169.614</v>
      </c>
      <c r="JS94" s="21" t="n">
        <v>499.652</v>
      </c>
      <c r="JT94" s="21" t="n">
        <v>405.729</v>
      </c>
      <c r="JU94" s="21" t="n">
        <v>359.84</v>
      </c>
      <c r="JV94" s="21" t="n">
        <v>205.279</v>
      </c>
      <c r="JW94" s="21" t="n">
        <v>396.44</v>
      </c>
      <c r="JX94" s="21" t="n">
        <v>296.555</v>
      </c>
      <c r="JY94" s="21" t="n">
        <v>86.354</v>
      </c>
      <c r="JZ94" s="21" t="n">
        <v>185.864</v>
      </c>
      <c r="KA94" s="21" t="n">
        <v>283.846</v>
      </c>
      <c r="KB94" s="21" t="n">
        <v>299.531</v>
      </c>
      <c r="KC94" s="21" t="n">
        <v>293.796</v>
      </c>
      <c r="KD94" s="21" t="n">
        <v>298.226</v>
      </c>
      <c r="KE94" s="21" t="n">
        <v>274.788</v>
      </c>
      <c r="KF94" s="21" t="n">
        <v>265.225</v>
      </c>
      <c r="KG94" s="21" t="n">
        <v>264.097</v>
      </c>
      <c r="KH94" s="21" t="n">
        <v>266.241</v>
      </c>
      <c r="KI94" s="21" t="n">
        <v>118.881</v>
      </c>
      <c r="KJ94" s="21" t="n">
        <v>221.88</v>
      </c>
      <c r="KK94" s="21" t="n">
        <v>182.115</v>
      </c>
      <c r="KL94" s="21" t="n">
        <v>178.71</v>
      </c>
      <c r="KM94" s="21" t="n">
        <v>166.6</v>
      </c>
      <c r="KN94" s="21" t="n">
        <v>161.714</v>
      </c>
      <c r="KO94" s="21" t="n">
        <v>307.297</v>
      </c>
      <c r="KP94" s="21" t="n">
        <v>128.613</v>
      </c>
      <c r="KQ94" s="21" t="n">
        <v>63.192</v>
      </c>
      <c r="KR94" s="21" t="n">
        <v>117.748</v>
      </c>
      <c r="KS94" s="21" t="n">
        <v>294.103</v>
      </c>
      <c r="KT94" s="21" t="n">
        <v>333.58</v>
      </c>
      <c r="KU94" s="21" t="n">
        <v>106.639</v>
      </c>
      <c r="KV94" s="21" t="n">
        <v>44.071</v>
      </c>
      <c r="KW94" s="21" t="n">
        <v>269.386</v>
      </c>
      <c r="KX94" s="21" t="n">
        <v>232.916</v>
      </c>
      <c r="KY94" s="21" t="n">
        <v>295.984</v>
      </c>
      <c r="KZ94" s="21" t="n">
        <v>230.272</v>
      </c>
      <c r="LA94" s="21" t="n">
        <v>299.714</v>
      </c>
      <c r="LB94" s="21" t="n">
        <v>130.127</v>
      </c>
      <c r="LC94" s="21" t="n">
        <v>389.557</v>
      </c>
      <c r="LD94" s="21" t="n">
        <v>84.929</v>
      </c>
      <c r="LE94" s="21" t="n">
        <v>137.585</v>
      </c>
      <c r="LF94" s="21" t="n">
        <v>375.53</v>
      </c>
      <c r="LG94" s="21" t="n">
        <v>369.169</v>
      </c>
      <c r="LH94" s="21" t="n">
        <v>379.719</v>
      </c>
      <c r="LI94" s="21" t="n">
        <v>350.867</v>
      </c>
      <c r="LJ94" s="21" t="n">
        <v>390.623</v>
      </c>
      <c r="LK94" s="21" t="n">
        <v>135.632</v>
      </c>
      <c r="LL94" s="21" t="n">
        <v>370.59</v>
      </c>
      <c r="LM94" s="21" t="n">
        <v>255.733</v>
      </c>
      <c r="LN94" s="21" t="n">
        <v>34.444</v>
      </c>
      <c r="LO94" s="21" t="n">
        <v>142.54</v>
      </c>
    </row>
    <row r="95">
      <c r="A95" s="22" t="n">
        <v>44835</v>
      </c>
      <c r="B95" s="21" t="n">
        <v>298.007</v>
      </c>
      <c r="C95" s="21" t="n">
        <v>312.594</v>
      </c>
      <c r="D95" s="21" t="n">
        <v>315.038</v>
      </c>
      <c r="E95" s="21" t="n">
        <v>297.966</v>
      </c>
      <c r="F95" s="21" t="n">
        <v>341.386</v>
      </c>
      <c r="G95" s="21" t="n">
        <v>280.242</v>
      </c>
      <c r="H95" s="21" t="n">
        <v>311.748</v>
      </c>
      <c r="I95" s="21" t="n">
        <v>268.971</v>
      </c>
      <c r="J95" s="21" t="n">
        <v>289.251</v>
      </c>
      <c r="K95" s="21" t="n">
        <v>377.255</v>
      </c>
      <c r="L95" s="21" t="n">
        <v>227.319</v>
      </c>
      <c r="M95" s="21" t="n">
        <v>221.689</v>
      </c>
      <c r="N95" s="21" t="n">
        <v>354.609</v>
      </c>
      <c r="O95" s="21" t="n">
        <v>329.73</v>
      </c>
      <c r="P95" s="21" t="n">
        <v>338.444</v>
      </c>
      <c r="Q95" s="21" t="n">
        <v>400.766</v>
      </c>
      <c r="R95" s="21" t="n">
        <v>335.773</v>
      </c>
      <c r="S95" s="21" t="n">
        <v>319.93</v>
      </c>
      <c r="T95" s="21" t="n">
        <v>318.208</v>
      </c>
      <c r="U95" s="21" t="n">
        <v>320.027</v>
      </c>
      <c r="V95" s="21" t="n">
        <v>381.035</v>
      </c>
      <c r="W95" s="21" t="n">
        <v>331.13</v>
      </c>
      <c r="X95" s="21" t="n">
        <v>305.618</v>
      </c>
      <c r="Y95" s="21" t="n">
        <v>254.17</v>
      </c>
      <c r="Z95" s="21" t="n">
        <v>268.004</v>
      </c>
      <c r="AA95" s="21" t="n">
        <v>203.638</v>
      </c>
      <c r="AB95" s="21" t="n">
        <v>380.974</v>
      </c>
      <c r="AC95" s="21" t="n">
        <v>185.245</v>
      </c>
      <c r="AD95" s="21" t="n">
        <v>251.783</v>
      </c>
      <c r="AE95" s="21" t="n">
        <v>280.403</v>
      </c>
      <c r="AF95" s="21" t="n">
        <v>238.072</v>
      </c>
      <c r="AG95" s="21" t="n">
        <v>164.107</v>
      </c>
      <c r="AH95" s="21" t="n">
        <v>286.479</v>
      </c>
      <c r="AI95" s="21" t="n">
        <v>287.165</v>
      </c>
      <c r="AJ95" s="21" t="n">
        <v>187.696</v>
      </c>
      <c r="AK95" s="21" t="n">
        <v>304.201</v>
      </c>
      <c r="AL95" s="21" t="n">
        <v>196.074</v>
      </c>
      <c r="AM95" s="21" t="n">
        <v>317.417</v>
      </c>
      <c r="AN95" s="21" t="n">
        <v>295.781</v>
      </c>
      <c r="AO95" s="21" t="n">
        <v>195.889</v>
      </c>
      <c r="AP95" s="21" t="n">
        <v>358.913</v>
      </c>
      <c r="AQ95" s="21" t="n">
        <v>229.389</v>
      </c>
      <c r="AR95" s="21" t="n">
        <v>174.685</v>
      </c>
      <c r="AS95" s="21" t="n">
        <v>237.986</v>
      </c>
      <c r="AT95" s="21" t="n">
        <v>373.095</v>
      </c>
      <c r="AU95" s="21" t="n">
        <v>339.064</v>
      </c>
      <c r="AV95" s="21" t="n">
        <v>269.355</v>
      </c>
      <c r="AW95" s="21" t="n">
        <v>178.172</v>
      </c>
      <c r="AX95" s="21" t="n">
        <v>257.461</v>
      </c>
      <c r="AY95" s="21" t="n">
        <v>183.356</v>
      </c>
      <c r="AZ95" s="21" t="n">
        <v>271.448</v>
      </c>
      <c r="BA95" s="21" t="n">
        <v>267.856</v>
      </c>
      <c r="BB95" s="21" t="n">
        <v>187.287</v>
      </c>
      <c r="BC95" s="21" t="n">
        <v>348.022</v>
      </c>
      <c r="BD95" s="21" t="n">
        <v>395.197</v>
      </c>
      <c r="BE95" s="21" t="n">
        <v>405.09</v>
      </c>
      <c r="BF95" s="21" t="n">
        <v>365.477</v>
      </c>
      <c r="BG95" s="21" t="n">
        <v>205.588</v>
      </c>
      <c r="BH95" s="21" t="n">
        <v>295.228</v>
      </c>
      <c r="BI95" s="21" t="n">
        <v>583.074</v>
      </c>
      <c r="BJ95" s="21" t="n">
        <v>135.214</v>
      </c>
      <c r="BK95" s="21" t="n">
        <v>383.487</v>
      </c>
      <c r="BL95" s="21" t="n">
        <v>438.86</v>
      </c>
      <c r="BM95" s="21" t="n">
        <v>414.996</v>
      </c>
      <c r="BN95" s="21" t="n">
        <v>358.436</v>
      </c>
      <c r="BO95" s="21" t="n">
        <v>373.821</v>
      </c>
      <c r="BP95" s="21" t="n">
        <v>194.846</v>
      </c>
      <c r="BQ95" s="21" t="n">
        <v>209.636</v>
      </c>
      <c r="BR95" s="21" t="n">
        <v>199.731</v>
      </c>
      <c r="BS95" s="21" t="n">
        <v>223.908</v>
      </c>
      <c r="BT95" s="21" t="n">
        <v>176.346</v>
      </c>
      <c r="BU95" s="21" t="n">
        <v>242.449</v>
      </c>
      <c r="BV95" s="21" t="n">
        <v>181.692</v>
      </c>
      <c r="BW95" s="21" t="n">
        <v>209.967</v>
      </c>
      <c r="BX95" s="21" t="n">
        <v>165.779</v>
      </c>
      <c r="BY95" s="21" t="n">
        <v>215.962</v>
      </c>
      <c r="BZ95" s="21" t="n">
        <v>147.391</v>
      </c>
      <c r="CA95" s="21" t="n">
        <v>139.4</v>
      </c>
      <c r="CB95" s="21" t="n">
        <v>235.31</v>
      </c>
      <c r="CC95" s="21" t="n">
        <v>248.956</v>
      </c>
      <c r="CD95" s="21" t="n">
        <v>148.856</v>
      </c>
      <c r="CE95" s="21" t="n">
        <v>262.426</v>
      </c>
      <c r="CF95" s="21" t="n">
        <v>270.553</v>
      </c>
      <c r="CG95" s="21" t="n">
        <v>243.848</v>
      </c>
      <c r="CH95" s="21" t="n">
        <v>181.762</v>
      </c>
      <c r="CI95" s="21" t="n">
        <v>189.955</v>
      </c>
      <c r="CJ95" s="21" t="n">
        <v>303.945</v>
      </c>
      <c r="CK95" s="21" t="n">
        <v>283.865</v>
      </c>
      <c r="CL95" s="21" t="n">
        <v>317.232</v>
      </c>
      <c r="CM95" s="21" t="n">
        <v>470.637</v>
      </c>
      <c r="CN95" s="21" t="n">
        <v>169.318</v>
      </c>
      <c r="CO95" s="21" t="n">
        <v>208.28</v>
      </c>
      <c r="CP95" s="21" t="n">
        <v>277.472</v>
      </c>
      <c r="CQ95" s="21" t="n">
        <v>311.182</v>
      </c>
      <c r="CR95" s="21" t="n">
        <v>210.525</v>
      </c>
      <c r="CS95" s="21" t="n">
        <v>306.49</v>
      </c>
      <c r="CT95" s="21" t="n">
        <v>291.815</v>
      </c>
      <c r="CU95" s="21" t="n">
        <v>181.751</v>
      </c>
      <c r="CV95" s="21" t="n">
        <v>179.998</v>
      </c>
      <c r="CW95" s="21" t="n">
        <v>171.146</v>
      </c>
      <c r="CX95" s="21" t="n">
        <v>321.62</v>
      </c>
      <c r="CY95" s="21" t="n">
        <v>164.327</v>
      </c>
      <c r="CZ95" s="21" t="n">
        <v>153.057</v>
      </c>
      <c r="DA95" s="21" t="n">
        <v>340.532</v>
      </c>
      <c r="DB95" s="21" t="n">
        <v>211.417</v>
      </c>
      <c r="DC95" s="21" t="n">
        <v>188.144</v>
      </c>
      <c r="DD95" s="21" t="n">
        <v>252.257</v>
      </c>
      <c r="DE95" s="21" t="n">
        <v>221.303</v>
      </c>
      <c r="DF95" s="21" t="n">
        <v>278.009</v>
      </c>
      <c r="DG95" s="21" t="n">
        <v>221.44</v>
      </c>
      <c r="DH95" s="21" t="n">
        <v>257.914</v>
      </c>
      <c r="DI95" s="21" t="n">
        <v>205.523</v>
      </c>
      <c r="DJ95" s="21" t="n">
        <v>216.799</v>
      </c>
      <c r="DK95" s="21" t="n">
        <v>202.32</v>
      </c>
      <c r="DL95" s="21" t="n">
        <v>179.971</v>
      </c>
      <c r="DM95" s="21" t="n">
        <v>403.29</v>
      </c>
      <c r="DN95" s="21" t="n">
        <v>220.141</v>
      </c>
      <c r="DO95" s="21" t="n">
        <v>308.076</v>
      </c>
      <c r="DP95" s="21" t="n">
        <v>362.353</v>
      </c>
      <c r="DQ95" s="21" t="n">
        <v>379.291</v>
      </c>
      <c r="DR95" s="21" t="n">
        <v>185.562</v>
      </c>
      <c r="DS95" s="21" t="n">
        <v>604.726</v>
      </c>
      <c r="DT95" s="21" t="n">
        <v>382.349</v>
      </c>
      <c r="DU95" s="21" t="n">
        <v>371.331</v>
      </c>
      <c r="DV95" s="21" t="n">
        <v>371.377</v>
      </c>
      <c r="DW95" s="21" t="n">
        <v>310.099</v>
      </c>
      <c r="DX95" s="21" t="n">
        <v>265.336</v>
      </c>
      <c r="DY95" s="21" t="n">
        <v>486.749</v>
      </c>
      <c r="DZ95" s="21" t="n">
        <v>539.605</v>
      </c>
      <c r="EA95" s="21" t="n">
        <v>459.749</v>
      </c>
      <c r="EB95" s="21" t="n">
        <v>265.48</v>
      </c>
      <c r="EC95" s="21" t="n">
        <v>263.216</v>
      </c>
      <c r="ED95" s="21" t="n">
        <v>266.525</v>
      </c>
      <c r="EE95" s="21" t="n">
        <v>276.892</v>
      </c>
      <c r="EF95" s="21" t="n">
        <v>636.111</v>
      </c>
      <c r="EG95" s="21" t="n">
        <v>561.09</v>
      </c>
      <c r="EH95" s="21" t="n">
        <v>145.929</v>
      </c>
      <c r="EI95" s="21" t="n">
        <v>62.762</v>
      </c>
      <c r="EJ95" s="21" t="n">
        <v>74.417</v>
      </c>
      <c r="EK95" s="21" t="n">
        <v>45.915</v>
      </c>
      <c r="EL95" s="21" t="n">
        <v>138.939</v>
      </c>
      <c r="EM95" s="21" t="n">
        <v>86</v>
      </c>
      <c r="EN95" s="21" t="n">
        <v>87.651</v>
      </c>
      <c r="EO95" s="21" t="n">
        <v>100.351</v>
      </c>
      <c r="EP95" s="21" t="n">
        <v>115.91</v>
      </c>
      <c r="EQ95" s="21" t="n">
        <v>73.768</v>
      </c>
      <c r="ER95" s="21" t="n">
        <v>55.887</v>
      </c>
      <c r="ES95" s="21" t="n">
        <v>151.549</v>
      </c>
      <c r="ET95" s="21" t="n">
        <v>84.155</v>
      </c>
      <c r="EU95" s="21" t="n">
        <v>109.181</v>
      </c>
      <c r="EV95" s="21" t="n">
        <v>120.765</v>
      </c>
      <c r="EW95" s="21" t="n">
        <v>103.678</v>
      </c>
      <c r="EX95" s="21" t="n">
        <v>225.236</v>
      </c>
      <c r="EY95" s="21" t="n">
        <v>142.866</v>
      </c>
      <c r="EZ95" s="21" t="n">
        <v>135.996</v>
      </c>
      <c r="FA95" s="21" t="n">
        <v>204.247</v>
      </c>
      <c r="FB95" s="21" t="n">
        <v>127.777</v>
      </c>
      <c r="FC95" s="21" t="n">
        <v>122.458</v>
      </c>
      <c r="FD95" s="21" t="n">
        <v>125.497</v>
      </c>
      <c r="FE95" s="21" t="n">
        <v>104.796</v>
      </c>
      <c r="FF95" s="21" t="n">
        <v>173.073</v>
      </c>
      <c r="FG95" s="21" t="n">
        <v>75.26900000000001</v>
      </c>
      <c r="FH95" s="21" t="n">
        <v>129.052</v>
      </c>
      <c r="FI95" s="21" t="n">
        <v>108.187</v>
      </c>
      <c r="FJ95" s="21" t="n">
        <v>107.751</v>
      </c>
      <c r="FK95" s="21" t="n">
        <v>108.626</v>
      </c>
      <c r="FL95" s="21" t="n">
        <v>98.637</v>
      </c>
      <c r="FM95" s="21" t="n">
        <v>105.222</v>
      </c>
      <c r="FN95" s="21" t="n">
        <v>74.512</v>
      </c>
      <c r="FO95" s="21" t="n">
        <v>110.776</v>
      </c>
      <c r="FP95" s="21" t="n">
        <v>103.128</v>
      </c>
      <c r="FQ95" s="21" t="n">
        <v>144.009</v>
      </c>
      <c r="FR95" s="21" t="n">
        <v>148.731</v>
      </c>
      <c r="FS95" s="21" t="n">
        <v>166.511</v>
      </c>
      <c r="FT95" s="21" t="n">
        <v>130.359</v>
      </c>
      <c r="FU95" s="21" t="n">
        <v>120.111</v>
      </c>
      <c r="FV95" s="21" t="n">
        <v>189.582</v>
      </c>
      <c r="FW95" s="21" t="n">
        <v>151.421</v>
      </c>
      <c r="FX95" s="21" t="n">
        <v>187.414</v>
      </c>
      <c r="FY95" s="21" t="n">
        <v>268.123</v>
      </c>
      <c r="FZ95" s="21" t="n">
        <v>266.71</v>
      </c>
      <c r="GA95" s="21" t="n">
        <v>129.013</v>
      </c>
      <c r="GB95" s="21" t="n">
        <v>176.044</v>
      </c>
      <c r="GC95" s="21" t="n"/>
      <c r="GD95" s="21" t="n">
        <v>172.558</v>
      </c>
      <c r="GE95" s="21" t="n">
        <v>187.515</v>
      </c>
      <c r="GF95" s="21" t="n"/>
      <c r="GG95" s="21" t="n">
        <v>201.171</v>
      </c>
      <c r="GH95" s="21" t="n">
        <v>110.885</v>
      </c>
      <c r="GI95" s="21" t="n">
        <v>189.979</v>
      </c>
      <c r="GJ95" s="21" t="n">
        <v>339.585</v>
      </c>
      <c r="GK95" s="21" t="n">
        <v>337.263</v>
      </c>
      <c r="GL95" s="21" t="n">
        <v>330.476</v>
      </c>
      <c r="GM95" s="21" t="n">
        <v>361.404</v>
      </c>
      <c r="GN95" s="21" t="n">
        <v>357.525</v>
      </c>
      <c r="GO95" s="21" t="n">
        <v>378.429</v>
      </c>
      <c r="GP95" s="21" t="n">
        <v>180.275</v>
      </c>
      <c r="GQ95" s="21" t="n">
        <v>152.737</v>
      </c>
      <c r="GR95" s="21" t="n">
        <v>358.597</v>
      </c>
      <c r="GS95" s="21" t="n">
        <v>224.735</v>
      </c>
      <c r="GT95" s="21" t="n">
        <v>637.814</v>
      </c>
      <c r="GU95" s="21" t="n">
        <v>222.329</v>
      </c>
      <c r="GV95" s="21" t="n">
        <v>256.835</v>
      </c>
      <c r="GW95" s="21" t="n">
        <v>285.818</v>
      </c>
      <c r="GX95" s="21" t="n">
        <v>294.147</v>
      </c>
      <c r="GY95" s="21" t="n">
        <v>165.301</v>
      </c>
      <c r="GZ95" s="21" t="n"/>
      <c r="HA95" s="21" t="n">
        <v>62.359</v>
      </c>
      <c r="HB95" s="21" t="n">
        <v>554.0650000000001</v>
      </c>
      <c r="HC95" s="21" t="n">
        <v>390.614</v>
      </c>
      <c r="HD95" s="21" t="n">
        <v>127.855</v>
      </c>
      <c r="HE95" s="21" t="n">
        <v>535.248</v>
      </c>
      <c r="HF95" s="21" t="n">
        <v>101.544</v>
      </c>
      <c r="HG95" s="21" t="n">
        <v>606.869</v>
      </c>
      <c r="HH95" s="21" t="n">
        <v>416.72</v>
      </c>
      <c r="HI95" s="21" t="n">
        <v>414.897</v>
      </c>
      <c r="HJ95" s="21" t="n">
        <v>554.436</v>
      </c>
      <c r="HK95" s="21" t="n">
        <v>203.796</v>
      </c>
      <c r="HL95" s="21" t="n">
        <v>258.94</v>
      </c>
      <c r="HM95" s="21" t="n">
        <v>90.509</v>
      </c>
      <c r="HN95" s="21" t="n"/>
      <c r="HO95" s="21" t="n"/>
      <c r="HP95" s="21" t="n"/>
      <c r="HQ95" s="21" t="n">
        <v>262.594</v>
      </c>
      <c r="HR95" s="21" t="n">
        <v>132.766</v>
      </c>
      <c r="HS95" s="21" t="n">
        <v>113.255</v>
      </c>
      <c r="HT95" s="21" t="n">
        <v>119.332</v>
      </c>
      <c r="HU95" s="21" t="n">
        <v>545.918</v>
      </c>
      <c r="HV95" s="21" t="n">
        <v>114.625</v>
      </c>
      <c r="HW95" s="21" t="n">
        <v>26.208</v>
      </c>
      <c r="HX95" s="21" t="n">
        <v>208.509</v>
      </c>
      <c r="HY95" s="21" t="n">
        <v>232.387</v>
      </c>
      <c r="HZ95" s="21" t="n">
        <v>180.587</v>
      </c>
      <c r="IA95" s="21" t="n">
        <v>129.827</v>
      </c>
      <c r="IB95" s="21" t="n">
        <v>306.719</v>
      </c>
      <c r="IC95" s="21" t="n">
        <v>227.755</v>
      </c>
      <c r="ID95" s="21" t="n">
        <v>322.371</v>
      </c>
      <c r="IE95" s="21" t="n">
        <v>128.609</v>
      </c>
      <c r="IF95" s="21" t="n">
        <v>177.054</v>
      </c>
      <c r="IG95" s="21" t="n">
        <v>88.169</v>
      </c>
      <c r="IH95" s="21" t="n">
        <v>82.197</v>
      </c>
      <c r="II95" s="21" t="n">
        <v>62.127</v>
      </c>
      <c r="IJ95" s="21" t="n">
        <v>25.841</v>
      </c>
      <c r="IK95" s="21" t="n">
        <v>34.687</v>
      </c>
      <c r="IL95" s="21" t="n">
        <v>29.832</v>
      </c>
      <c r="IM95" s="21" t="n">
        <v>40.167</v>
      </c>
      <c r="IN95" s="21" t="n">
        <v>104.593</v>
      </c>
      <c r="IO95" s="21" t="n">
        <v>113.899</v>
      </c>
      <c r="IP95" s="21" t="n">
        <v>185.566</v>
      </c>
      <c r="IQ95" s="21" t="n">
        <v>154.916</v>
      </c>
      <c r="IR95" s="21" t="n">
        <v>409.997</v>
      </c>
      <c r="IS95" s="21" t="n">
        <v>208.79</v>
      </c>
      <c r="IT95" s="21" t="n">
        <v>204.342</v>
      </c>
      <c r="IU95" s="21" t="n">
        <v>361.713</v>
      </c>
      <c r="IV95" s="21" t="n">
        <v>286.882</v>
      </c>
      <c r="IW95" s="21" t="n">
        <v>143.628</v>
      </c>
      <c r="IX95" s="21" t="n">
        <v>284.837</v>
      </c>
      <c r="IY95" s="21" t="n">
        <v>717.775</v>
      </c>
      <c r="IZ95" s="21" t="n">
        <v>818.092</v>
      </c>
      <c r="JA95" s="21" t="n">
        <v>909.348</v>
      </c>
      <c r="JB95" s="21" t="n">
        <v>90.425</v>
      </c>
      <c r="JC95" s="21" t="n">
        <v>336.617</v>
      </c>
      <c r="JD95" s="21" t="n">
        <v>267.475</v>
      </c>
      <c r="JE95" s="21" t="n">
        <v>74.735</v>
      </c>
      <c r="JF95" s="21" t="n">
        <v>226.564</v>
      </c>
      <c r="JG95" s="21" t="n">
        <v>353.182</v>
      </c>
      <c r="JH95" s="21" t="n">
        <v>396.728</v>
      </c>
      <c r="JI95" s="21" t="n">
        <v>70.402</v>
      </c>
      <c r="JJ95" s="21" t="n">
        <v>106.041</v>
      </c>
      <c r="JK95" s="21" t="n">
        <v>39.076</v>
      </c>
      <c r="JL95" s="21" t="n">
        <v>80.501</v>
      </c>
      <c r="JM95" s="21" t="n">
        <v>124.995</v>
      </c>
      <c r="JN95" s="21" t="n">
        <v>515.019</v>
      </c>
      <c r="JO95" s="21" t="n">
        <v>86.504</v>
      </c>
      <c r="JP95" s="21" t="n">
        <v>567.465</v>
      </c>
      <c r="JQ95" s="21" t="n">
        <v>262.231</v>
      </c>
      <c r="JR95" s="21" t="n">
        <v>170.369</v>
      </c>
      <c r="JS95" s="21" t="n">
        <v>501.987</v>
      </c>
      <c r="JT95" s="21" t="n">
        <v>405.325</v>
      </c>
      <c r="JU95" s="21" t="n">
        <v>365.903</v>
      </c>
      <c r="JV95" s="21" t="n">
        <v>206.952</v>
      </c>
      <c r="JW95" s="21" t="n">
        <v>395.961</v>
      </c>
      <c r="JX95" s="21" t="n">
        <v>296.541</v>
      </c>
      <c r="JY95" s="21" t="n">
        <v>86.80500000000001</v>
      </c>
      <c r="JZ95" s="21" t="n">
        <v>190.313</v>
      </c>
      <c r="KA95" s="21" t="n">
        <v>285.683</v>
      </c>
      <c r="KB95" s="21" t="n">
        <v>300.838</v>
      </c>
      <c r="KC95" s="21" t="n">
        <v>295.381</v>
      </c>
      <c r="KD95" s="21" t="n">
        <v>299.399</v>
      </c>
      <c r="KE95" s="21" t="n">
        <v>276.05</v>
      </c>
      <c r="KF95" s="21" t="n">
        <v>266.292</v>
      </c>
      <c r="KG95" s="21" t="n">
        <v>264.433</v>
      </c>
      <c r="KH95" s="21" t="n">
        <v>266.941</v>
      </c>
      <c r="KI95" s="21" t="n">
        <v>119.366</v>
      </c>
      <c r="KJ95" s="21" t="n">
        <v>223.521</v>
      </c>
      <c r="KK95" s="21" t="n">
        <v>183.519</v>
      </c>
      <c r="KL95" s="21" t="n">
        <v>180.086</v>
      </c>
      <c r="KM95" s="21" t="n">
        <v>166.614</v>
      </c>
      <c r="KN95" s="21" t="n">
        <v>162.218</v>
      </c>
      <c r="KO95" s="21" t="n">
        <v>308.998</v>
      </c>
      <c r="KP95" s="21" t="n">
        <v>127.996</v>
      </c>
      <c r="KQ95" s="21" t="n">
        <v>62.532</v>
      </c>
      <c r="KR95" s="21" t="n">
        <v>117.959</v>
      </c>
      <c r="KS95" s="21" t="n">
        <v>299.945</v>
      </c>
      <c r="KT95" s="21" t="n">
        <v>348.795</v>
      </c>
      <c r="KU95" s="21" t="n">
        <v>106.771</v>
      </c>
      <c r="KV95" s="21" t="n">
        <v>43.539</v>
      </c>
      <c r="KW95" s="21" t="n">
        <v>272.586</v>
      </c>
      <c r="KX95" s="21" t="n">
        <v>236.857</v>
      </c>
      <c r="KY95" s="21" t="n">
        <v>301.803</v>
      </c>
      <c r="KZ95" s="21" t="n">
        <v>234.324</v>
      </c>
      <c r="LA95" s="21" t="n">
        <v>305.922</v>
      </c>
      <c r="LB95" s="21" t="n">
        <v>130.659</v>
      </c>
      <c r="LC95" s="21" t="n">
        <v>391.167</v>
      </c>
      <c r="LD95" s="21" t="n">
        <v>85.617</v>
      </c>
      <c r="LE95" s="21" t="n">
        <v>138.732</v>
      </c>
      <c r="LF95" s="21" t="n">
        <v>378.385</v>
      </c>
      <c r="LG95" s="21" t="n">
        <v>370.802</v>
      </c>
      <c r="LH95" s="21" t="n">
        <v>381.747</v>
      </c>
      <c r="LI95" s="21" t="n">
        <v>352.85</v>
      </c>
      <c r="LJ95" s="21" t="n">
        <v>390.726</v>
      </c>
      <c r="LK95" s="21" t="n">
        <v>135.172</v>
      </c>
      <c r="LL95" s="21" t="n">
        <v>373.364</v>
      </c>
      <c r="LM95" s="21" t="n">
        <v>254.925</v>
      </c>
      <c r="LN95" s="21" t="n">
        <v>34.664</v>
      </c>
      <c r="LO95" s="21" t="n">
        <v>143.912</v>
      </c>
    </row>
    <row r="96">
      <c r="A96" s="22" t="n">
        <v>44866</v>
      </c>
      <c r="B96" s="21" t="n">
        <v>298.786</v>
      </c>
      <c r="C96" s="21" t="n">
        <v>314.179</v>
      </c>
      <c r="D96" s="21" t="n">
        <v>316.62</v>
      </c>
      <c r="E96" s="21" t="n">
        <v>299.449</v>
      </c>
      <c r="F96" s="21" t="n">
        <v>345.276</v>
      </c>
      <c r="G96" s="21" t="n">
        <v>282.612</v>
      </c>
      <c r="H96" s="21" t="n">
        <v>317.09</v>
      </c>
      <c r="I96" s="21" t="n">
        <v>270.004</v>
      </c>
      <c r="J96" s="21" t="n">
        <v>291.752</v>
      </c>
      <c r="K96" s="21" t="n">
        <v>381.128</v>
      </c>
      <c r="L96" s="21" t="n">
        <v>231.939</v>
      </c>
      <c r="M96" s="21" t="n">
        <v>226.792</v>
      </c>
      <c r="N96" s="21" t="n">
        <v>359.269</v>
      </c>
      <c r="O96" s="21" t="n">
        <v>334.81</v>
      </c>
      <c r="P96" s="21" t="n">
        <v>341.308</v>
      </c>
      <c r="Q96" s="21" t="n">
        <v>405.932</v>
      </c>
      <c r="R96" s="21" t="n">
        <v>339.79</v>
      </c>
      <c r="S96" s="21" t="n">
        <v>320.408</v>
      </c>
      <c r="T96" s="21" t="n">
        <v>318.14</v>
      </c>
      <c r="U96" s="21" t="n">
        <v>319.941</v>
      </c>
      <c r="V96" s="21" t="n">
        <v>381.12</v>
      </c>
      <c r="W96" s="21" t="n">
        <v>330.055</v>
      </c>
      <c r="X96" s="21" t="n">
        <v>301.499</v>
      </c>
      <c r="Y96" s="21" t="n">
        <v>255.515</v>
      </c>
      <c r="Z96" s="21" t="n">
        <v>266.67</v>
      </c>
      <c r="AA96" s="21" t="n">
        <v>202.3</v>
      </c>
      <c r="AB96" s="21" t="n">
        <v>375.01</v>
      </c>
      <c r="AC96" s="21" t="n">
        <v>185.366</v>
      </c>
      <c r="AD96" s="21" t="n">
        <v>250.138</v>
      </c>
      <c r="AE96" s="21" t="n">
        <v>280.556</v>
      </c>
      <c r="AF96" s="21" t="n">
        <v>240.781</v>
      </c>
      <c r="AG96" s="21" t="n">
        <v>160.889</v>
      </c>
      <c r="AH96" s="21" t="n">
        <v>288.04</v>
      </c>
      <c r="AI96" s="21" t="n">
        <v>288.622</v>
      </c>
      <c r="AJ96" s="21" t="n">
        <v>188.379</v>
      </c>
      <c r="AK96" s="21" t="n">
        <v>303.74</v>
      </c>
      <c r="AL96" s="21" t="n">
        <v>195.168</v>
      </c>
      <c r="AM96" s="21" t="n">
        <v>317.864</v>
      </c>
      <c r="AN96" s="21" t="n">
        <v>293.254</v>
      </c>
      <c r="AO96" s="21" t="n">
        <v>198.467</v>
      </c>
      <c r="AP96" s="21" t="n">
        <v>359.506</v>
      </c>
      <c r="AQ96" s="21" t="n">
        <v>226.237</v>
      </c>
      <c r="AR96" s="21" t="n">
        <v>175.801</v>
      </c>
      <c r="AS96" s="21" t="n">
        <v>242.329</v>
      </c>
      <c r="AT96" s="21" t="n">
        <v>376.417</v>
      </c>
      <c r="AU96" s="21" t="n">
        <v>346.417</v>
      </c>
      <c r="AV96" s="21" t="n">
        <v>271.307</v>
      </c>
      <c r="AW96" s="21" t="n">
        <v>180.187</v>
      </c>
      <c r="AX96" s="21" t="n">
        <v>260.954</v>
      </c>
      <c r="AY96" s="21" t="n">
        <v>185.278</v>
      </c>
      <c r="AZ96" s="21" t="n">
        <v>271.488</v>
      </c>
      <c r="BA96" s="21" t="n">
        <v>272.085</v>
      </c>
      <c r="BB96" s="21" t="n">
        <v>189.797</v>
      </c>
      <c r="BC96" s="21" t="n">
        <v>350.525</v>
      </c>
      <c r="BD96" s="21" t="n">
        <v>397.639</v>
      </c>
      <c r="BE96" s="21" t="n">
        <v>406.554</v>
      </c>
      <c r="BF96" s="21" t="n">
        <v>375.084</v>
      </c>
      <c r="BG96" s="21" t="n">
        <v>206.64</v>
      </c>
      <c r="BH96" s="21" t="n">
        <v>291.786</v>
      </c>
      <c r="BI96" s="21" t="n">
        <v>578.353</v>
      </c>
      <c r="BJ96" s="21" t="n">
        <v>136.072</v>
      </c>
      <c r="BK96" s="21" t="n">
        <v>386.966</v>
      </c>
      <c r="BL96" s="21" t="n">
        <v>433.749</v>
      </c>
      <c r="BM96" s="21" t="n">
        <v>429.348</v>
      </c>
      <c r="BN96" s="21" t="n">
        <v>366.22</v>
      </c>
      <c r="BO96" s="21" t="n">
        <v>376.086</v>
      </c>
      <c r="BP96" s="21" t="n">
        <v>196.857</v>
      </c>
      <c r="BQ96" s="21" t="n">
        <v>212.012</v>
      </c>
      <c r="BR96" s="21" t="n">
        <v>198.28</v>
      </c>
      <c r="BS96" s="21" t="n">
        <v>226.898</v>
      </c>
      <c r="BT96" s="21" t="n">
        <v>179.854</v>
      </c>
      <c r="BU96" s="21" t="n">
        <v>248.969</v>
      </c>
      <c r="BV96" s="21" t="n">
        <v>182.597</v>
      </c>
      <c r="BW96" s="21" t="n">
        <v>211.416</v>
      </c>
      <c r="BX96" s="21" t="n">
        <v>166.77</v>
      </c>
      <c r="BY96" s="21" t="n">
        <v>216.357</v>
      </c>
      <c r="BZ96" s="21" t="n">
        <v>148.192</v>
      </c>
      <c r="CA96" s="21" t="n">
        <v>140.254</v>
      </c>
      <c r="CB96" s="21" t="n">
        <v>236.602</v>
      </c>
      <c r="CC96" s="21" t="n">
        <v>249.415</v>
      </c>
      <c r="CD96" s="21" t="n">
        <v>150.678</v>
      </c>
      <c r="CE96" s="21" t="n">
        <v>262.891</v>
      </c>
      <c r="CF96" s="21" t="n">
        <v>270.334</v>
      </c>
      <c r="CG96" s="21" t="n">
        <v>245.732</v>
      </c>
      <c r="CH96" s="21" t="n">
        <v>182.099</v>
      </c>
      <c r="CI96" s="21" t="n">
        <v>187.53</v>
      </c>
      <c r="CJ96" s="21" t="n">
        <v>304.677</v>
      </c>
      <c r="CK96" s="21" t="n">
        <v>285.34</v>
      </c>
      <c r="CL96" s="21" t="n">
        <v>316.976</v>
      </c>
      <c r="CM96" s="21" t="n">
        <v>473.205</v>
      </c>
      <c r="CN96" s="21" t="n">
        <v>169.86</v>
      </c>
      <c r="CO96" s="21" t="n">
        <v>207.164</v>
      </c>
      <c r="CP96" s="21" t="n">
        <v>278.056</v>
      </c>
      <c r="CQ96" s="21" t="n">
        <v>306.712</v>
      </c>
      <c r="CR96" s="21" t="n">
        <v>209.815</v>
      </c>
      <c r="CS96" s="21" t="n">
        <v>306.637</v>
      </c>
      <c r="CT96" s="21" t="n">
        <v>293.321</v>
      </c>
      <c r="CU96" s="21" t="n">
        <v>181.291</v>
      </c>
      <c r="CV96" s="21" t="n">
        <v>180.872</v>
      </c>
      <c r="CW96" s="21" t="n">
        <v>171.457</v>
      </c>
      <c r="CX96" s="21" t="n">
        <v>321.242</v>
      </c>
      <c r="CY96" s="21" t="n">
        <v>165.782</v>
      </c>
      <c r="CZ96" s="21" t="n">
        <v>153.778</v>
      </c>
      <c r="DA96" s="21" t="n">
        <v>342.266</v>
      </c>
      <c r="DB96" s="21" t="n">
        <v>212.346</v>
      </c>
      <c r="DC96" s="21" t="n">
        <v>191.379</v>
      </c>
      <c r="DD96" s="21" t="n">
        <v>191.395</v>
      </c>
      <c r="DE96" s="21" t="n">
        <v>222.081</v>
      </c>
      <c r="DF96" s="21" t="n">
        <v>279.629</v>
      </c>
      <c r="DG96" s="21" t="n">
        <v>223.554</v>
      </c>
      <c r="DH96" s="21" t="n">
        <v>262.453</v>
      </c>
      <c r="DI96" s="21" t="n">
        <v>207.306</v>
      </c>
      <c r="DJ96" s="21" t="n">
        <v>218.806</v>
      </c>
      <c r="DK96" s="21" t="n">
        <v>203.899</v>
      </c>
      <c r="DL96" s="21" t="n">
        <v>180.143</v>
      </c>
      <c r="DM96" s="21" t="n">
        <v>404.362</v>
      </c>
      <c r="DN96" s="21" t="n">
        <v>222.003</v>
      </c>
      <c r="DO96" s="21" t="n">
        <v>309.357</v>
      </c>
      <c r="DP96" s="21" t="n">
        <v>364.695</v>
      </c>
      <c r="DQ96" s="21" t="n">
        <v>382.228</v>
      </c>
      <c r="DR96" s="21" t="n">
        <v>184.657</v>
      </c>
      <c r="DS96" s="21" t="n">
        <v>606.298</v>
      </c>
      <c r="DT96" s="21" t="n">
        <v>380.062</v>
      </c>
      <c r="DU96" s="21" t="n">
        <v>373.785</v>
      </c>
      <c r="DV96" s="21" t="n">
        <v>373.853</v>
      </c>
      <c r="DW96" s="21" t="n">
        <v>307.379</v>
      </c>
      <c r="DX96" s="21" t="n">
        <v>262.108</v>
      </c>
      <c r="DY96" s="21" t="n">
        <v>488.567</v>
      </c>
      <c r="DZ96" s="21" t="n">
        <v>547.97</v>
      </c>
      <c r="EA96" s="21" t="n">
        <v>452.334</v>
      </c>
      <c r="EB96" s="21" t="n">
        <v>261.955</v>
      </c>
      <c r="EC96" s="21" t="n">
        <v>263.253</v>
      </c>
      <c r="ED96" s="21" t="n">
        <v>253.283</v>
      </c>
      <c r="EE96" s="21" t="n">
        <v>277.824</v>
      </c>
      <c r="EF96" s="21" t="n">
        <v>637.8819999999999</v>
      </c>
      <c r="EG96" s="21" t="n">
        <v>563.816</v>
      </c>
      <c r="EH96" s="21" t="n">
        <v>146.194</v>
      </c>
      <c r="EI96" s="21" t="n">
        <v>62.761</v>
      </c>
      <c r="EJ96" s="21" t="n">
        <v>73.363</v>
      </c>
      <c r="EK96" s="21" t="n">
        <v>45.89</v>
      </c>
      <c r="EL96" s="21" t="n">
        <v>137.797</v>
      </c>
      <c r="EM96" s="21" t="n">
        <v>84.137</v>
      </c>
      <c r="EN96" s="21" t="n">
        <v>87.92700000000001</v>
      </c>
      <c r="EO96" s="21" t="n">
        <v>100.122</v>
      </c>
      <c r="EP96" s="21" t="n">
        <v>112.757</v>
      </c>
      <c r="EQ96" s="21" t="n">
        <v>74.404</v>
      </c>
      <c r="ER96" s="21" t="n">
        <v>55.739</v>
      </c>
      <c r="ES96" s="21" t="n">
        <v>151.948</v>
      </c>
      <c r="ET96" s="21" t="n">
        <v>83.322</v>
      </c>
      <c r="EU96" s="21" t="n">
        <v>110.04</v>
      </c>
      <c r="EV96" s="21" t="n">
        <v>120.812</v>
      </c>
      <c r="EW96" s="21" t="n">
        <v>105.42</v>
      </c>
      <c r="EX96" s="21" t="n">
        <v>226.671</v>
      </c>
      <c r="EY96" s="21" t="n">
        <v>143.137</v>
      </c>
      <c r="EZ96" s="21" t="n">
        <v>136.196</v>
      </c>
      <c r="FA96" s="21" t="n">
        <v>203.46</v>
      </c>
      <c r="FB96" s="21" t="n">
        <v>128.338</v>
      </c>
      <c r="FC96" s="21" t="n">
        <v>122.735</v>
      </c>
      <c r="FD96" s="21" t="n">
        <v>126.182</v>
      </c>
      <c r="FE96" s="21" t="n">
        <v>105.291</v>
      </c>
      <c r="FF96" s="21" t="n">
        <v>174.249</v>
      </c>
      <c r="FG96" s="21" t="n">
        <v>75.967</v>
      </c>
      <c r="FH96" s="21" t="n">
        <v>128.75</v>
      </c>
      <c r="FI96" s="21" t="n">
        <v>108.654</v>
      </c>
      <c r="FJ96" s="21" t="n">
        <v>108.271</v>
      </c>
      <c r="FK96" s="21" t="n">
        <v>109.322</v>
      </c>
      <c r="FL96" s="21" t="n">
        <v>97.964</v>
      </c>
      <c r="FM96" s="21" t="n">
        <v>105.632</v>
      </c>
      <c r="FN96" s="21" t="n">
        <v>75.127</v>
      </c>
      <c r="FO96" s="21" t="n">
        <v>110.457</v>
      </c>
      <c r="FP96" s="21" t="n">
        <v>102.789</v>
      </c>
      <c r="FQ96" s="21" t="n">
        <v>144.03</v>
      </c>
      <c r="FR96" s="21" t="n">
        <v>149.355</v>
      </c>
      <c r="FS96" s="21" t="n">
        <v>164.206</v>
      </c>
      <c r="FT96" s="21" t="n">
        <v>130.202</v>
      </c>
      <c r="FU96" s="21" t="n">
        <v>122.602</v>
      </c>
      <c r="FV96" s="21" t="n">
        <v>192.286</v>
      </c>
      <c r="FW96" s="21" t="n">
        <v>152.451</v>
      </c>
      <c r="FX96" s="21" t="n">
        <v>190.659</v>
      </c>
      <c r="FY96" s="21" t="n">
        <v>267.391</v>
      </c>
      <c r="FZ96" s="21" t="n">
        <v>266.071</v>
      </c>
      <c r="GA96" s="21" t="n">
        <v>127.746</v>
      </c>
      <c r="GB96" s="21" t="n">
        <v>176.718</v>
      </c>
      <c r="GC96" s="21" t="n"/>
      <c r="GD96" s="21" t="n">
        <v>172.822</v>
      </c>
      <c r="GE96" s="21" t="n">
        <v>188.346</v>
      </c>
      <c r="GF96" s="21" t="n"/>
      <c r="GG96" s="21" t="n">
        <v>196.659</v>
      </c>
      <c r="GH96" s="21" t="n">
        <v>108.744</v>
      </c>
      <c r="GI96" s="21" t="n">
        <v>188.911</v>
      </c>
      <c r="GJ96" s="21" t="n">
        <v>339.414</v>
      </c>
      <c r="GK96" s="21" t="n">
        <v>336.273</v>
      </c>
      <c r="GL96" s="21" t="n">
        <v>330.016</v>
      </c>
      <c r="GM96" s="21" t="n">
        <v>359.76</v>
      </c>
      <c r="GN96" s="21" t="n">
        <v>352.412</v>
      </c>
      <c r="GO96" s="21" t="n">
        <v>387.053</v>
      </c>
      <c r="GP96" s="21" t="n">
        <v>181.299</v>
      </c>
      <c r="GQ96" s="21" t="n">
        <v>153.056</v>
      </c>
      <c r="GR96" s="21" t="n">
        <v>363.195</v>
      </c>
      <c r="GS96" s="21" t="n">
        <v>229.336</v>
      </c>
      <c r="GT96" s="21" t="n">
        <v>646.294</v>
      </c>
      <c r="GU96" s="21" t="n">
        <v>221.031</v>
      </c>
      <c r="GV96" s="21" t="n">
        <v>255.455</v>
      </c>
      <c r="GW96" s="21" t="n">
        <v>283.217</v>
      </c>
      <c r="GX96" s="21" t="n">
        <v>289.47</v>
      </c>
      <c r="GY96" s="21" t="n">
        <v>163.077</v>
      </c>
      <c r="GZ96" s="21" t="n"/>
      <c r="HA96" s="21" t="n">
        <v>60.937</v>
      </c>
      <c r="HB96" s="21" t="n">
        <v>551.498</v>
      </c>
      <c r="HC96" s="21" t="n">
        <v>391.36</v>
      </c>
      <c r="HD96" s="21" t="n">
        <v>127.958</v>
      </c>
      <c r="HE96" s="21" t="n">
        <v>534.424</v>
      </c>
      <c r="HF96" s="21" t="n">
        <v>102.146</v>
      </c>
      <c r="HG96" s="21" t="n">
        <v>603.204</v>
      </c>
      <c r="HH96" s="21" t="n">
        <v>416.614</v>
      </c>
      <c r="HI96" s="21" t="n">
        <v>415.048</v>
      </c>
      <c r="HJ96" s="21" t="n">
        <v>559.881</v>
      </c>
      <c r="HK96" s="21" t="n">
        <v>198.784</v>
      </c>
      <c r="HL96" s="21" t="n">
        <v>257.836</v>
      </c>
      <c r="HM96" s="21" t="n">
        <v>90.056</v>
      </c>
      <c r="HN96" s="21" t="n">
        <v>378.209</v>
      </c>
      <c r="HO96" s="21" t="n">
        <v>366.005</v>
      </c>
      <c r="HP96" s="21" t="n">
        <v>819.651</v>
      </c>
      <c r="HQ96" s="21" t="n">
        <v>263.227</v>
      </c>
      <c r="HR96" s="21" t="n">
        <v>133.407</v>
      </c>
      <c r="HS96" s="21" t="n">
        <v>113.974</v>
      </c>
      <c r="HT96" s="21" t="n">
        <v>117.774</v>
      </c>
      <c r="HU96" s="21" t="n">
        <v>552.268</v>
      </c>
      <c r="HV96" s="21" t="n">
        <v>112.764</v>
      </c>
      <c r="HW96" s="21" t="n">
        <v>25.937</v>
      </c>
      <c r="HX96" s="21" t="n">
        <v>209.797</v>
      </c>
      <c r="HY96" s="21" t="n">
        <v>233.434</v>
      </c>
      <c r="HZ96" s="21" t="n">
        <v>182.118</v>
      </c>
      <c r="IA96" s="21" t="n">
        <v>129.256</v>
      </c>
      <c r="IB96" s="21" t="n">
        <v>309.176</v>
      </c>
      <c r="IC96" s="21" t="n">
        <v>230.688</v>
      </c>
      <c r="ID96" s="21" t="n">
        <v>322.822</v>
      </c>
      <c r="IE96" s="21" t="n">
        <v>128.623</v>
      </c>
      <c r="IF96" s="21" t="n">
        <v>178.227</v>
      </c>
      <c r="IG96" s="21" t="n">
        <v>87.39700000000001</v>
      </c>
      <c r="IH96" s="21" t="n">
        <v>81.866</v>
      </c>
      <c r="II96" s="21" t="n">
        <v>61.107</v>
      </c>
      <c r="IJ96" s="21" t="n">
        <v>25.353</v>
      </c>
      <c r="IK96" s="21" t="n">
        <v>34.231</v>
      </c>
      <c r="IL96" s="21" t="n">
        <v>29.454</v>
      </c>
      <c r="IM96" s="21" t="n">
        <v>40.091</v>
      </c>
      <c r="IN96" s="21" t="n">
        <v>98.014</v>
      </c>
      <c r="IO96" s="21" t="n">
        <v>115.895</v>
      </c>
      <c r="IP96" s="21" t="n">
        <v>187.404</v>
      </c>
      <c r="IQ96" s="21" t="n">
        <v>154.7</v>
      </c>
      <c r="IR96" s="21" t="n">
        <v>424.162</v>
      </c>
      <c r="IS96" s="21" t="n">
        <v>212.133</v>
      </c>
      <c r="IT96" s="21" t="n">
        <v>219.688</v>
      </c>
      <c r="IU96" s="21" t="n">
        <v>358.762</v>
      </c>
      <c r="IV96" s="21" t="n">
        <v>284.67</v>
      </c>
      <c r="IW96" s="21" t="n">
        <v>144.664</v>
      </c>
      <c r="IX96" s="21" t="n">
        <v>285.738</v>
      </c>
      <c r="IY96" s="21" t="n">
        <v>718.85</v>
      </c>
      <c r="IZ96" s="21" t="n">
        <v>820.726</v>
      </c>
      <c r="JA96" s="21" t="n">
        <v>911.1799999999999</v>
      </c>
      <c r="JB96" s="21" t="n">
        <v>90.748</v>
      </c>
      <c r="JC96" s="21" t="n">
        <v>338.567</v>
      </c>
      <c r="JD96" s="21" t="n">
        <v>267.385</v>
      </c>
      <c r="JE96" s="21" t="n">
        <v>75.501</v>
      </c>
      <c r="JF96" s="21" t="n">
        <v>226.587</v>
      </c>
      <c r="JG96" s="21" t="n">
        <v>353.012</v>
      </c>
      <c r="JH96" s="21" t="n">
        <v>398.736</v>
      </c>
      <c r="JI96" s="21" t="n">
        <v>71.142</v>
      </c>
      <c r="JJ96" s="21" t="n">
        <v>105.914</v>
      </c>
      <c r="JK96" s="21" t="n">
        <v>38.02</v>
      </c>
      <c r="JL96" s="21" t="n">
        <v>81.259</v>
      </c>
      <c r="JM96" s="21" t="n">
        <v>124.587</v>
      </c>
      <c r="JN96" s="21" t="n">
        <v>519.181</v>
      </c>
      <c r="JO96" s="21" t="n">
        <v>87.077</v>
      </c>
      <c r="JP96" s="21" t="n">
        <v>571.361</v>
      </c>
      <c r="JQ96" s="21" t="n">
        <v>264.44</v>
      </c>
      <c r="JR96" s="21" t="n">
        <v>171.273</v>
      </c>
      <c r="JS96" s="21" t="n">
        <v>504.201</v>
      </c>
      <c r="JT96" s="21" t="n">
        <v>404.33</v>
      </c>
      <c r="JU96" s="21" t="n">
        <v>367.833</v>
      </c>
      <c r="JV96" s="21" t="n">
        <v>210.261</v>
      </c>
      <c r="JW96" s="21" t="n">
        <v>397.3</v>
      </c>
      <c r="JX96" s="21" t="n">
        <v>297.721</v>
      </c>
      <c r="JY96" s="21" t="n">
        <v>88.164</v>
      </c>
      <c r="JZ96" s="21" t="n">
        <v>194.078</v>
      </c>
      <c r="KA96" s="21" t="n">
        <v>286.618</v>
      </c>
      <c r="KB96" s="21" t="n">
        <v>301.855</v>
      </c>
      <c r="KC96" s="21" t="n">
        <v>296.041</v>
      </c>
      <c r="KD96" s="21" t="n">
        <v>300.325</v>
      </c>
      <c r="KE96" s="21" t="n">
        <v>276.256</v>
      </c>
      <c r="KF96" s="21" t="n">
        <v>266.197</v>
      </c>
      <c r="KG96" s="21" t="n">
        <v>264.609</v>
      </c>
      <c r="KH96" s="21" t="n">
        <v>267.676</v>
      </c>
      <c r="KI96" s="21" t="n">
        <v>120.052</v>
      </c>
      <c r="KJ96" s="21" t="n">
        <v>223.62</v>
      </c>
      <c r="KK96" s="21" t="n">
        <v>183.147</v>
      </c>
      <c r="KL96" s="21" t="n">
        <v>179.671</v>
      </c>
      <c r="KM96" s="21" t="n">
        <v>166.214</v>
      </c>
      <c r="KN96" s="21" t="n">
        <v>162.537</v>
      </c>
      <c r="KO96" s="21" t="n">
        <v>308.94</v>
      </c>
      <c r="KP96" s="21" t="n">
        <v>127.17</v>
      </c>
      <c r="KQ96" s="21" t="n">
        <v>61.657</v>
      </c>
      <c r="KR96" s="21" t="n">
        <v>119.16</v>
      </c>
      <c r="KS96" s="21" t="n">
        <v>298.107</v>
      </c>
      <c r="KT96" s="21" t="n">
        <v>348.704</v>
      </c>
      <c r="KU96" s="21" t="n">
        <v>107.275</v>
      </c>
      <c r="KV96" s="21" t="n">
        <v>42.842</v>
      </c>
      <c r="KW96" s="21" t="n">
        <v>273.479</v>
      </c>
      <c r="KX96" s="21" t="n">
        <v>237.183</v>
      </c>
      <c r="KY96" s="21" t="n">
        <v>301.852</v>
      </c>
      <c r="KZ96" s="21" t="n">
        <v>234.573</v>
      </c>
      <c r="LA96" s="21" t="n">
        <v>305.815</v>
      </c>
      <c r="LB96" s="21" t="n">
        <v>131.606</v>
      </c>
      <c r="LC96" s="21" t="n">
        <v>394.966</v>
      </c>
      <c r="LD96" s="21" t="n">
        <v>85.35299999999999</v>
      </c>
      <c r="LE96" s="21" t="n">
        <v>140.063</v>
      </c>
      <c r="LF96" s="21" t="n">
        <v>380.913</v>
      </c>
      <c r="LG96" s="21" t="n">
        <v>372.204</v>
      </c>
      <c r="LH96" s="21" t="n">
        <v>383.604</v>
      </c>
      <c r="LI96" s="21" t="n">
        <v>354.753</v>
      </c>
      <c r="LJ96" s="21" t="n">
        <v>391.002</v>
      </c>
      <c r="LK96" s="21" t="n">
        <v>134.076</v>
      </c>
      <c r="LL96" s="21" t="n">
        <v>374.555</v>
      </c>
      <c r="LM96" s="21" t="n">
        <v>255.287</v>
      </c>
      <c r="LN96" s="21" t="n">
        <v>34.35</v>
      </c>
      <c r="LO96" s="21" t="n">
        <v>145.359</v>
      </c>
    </row>
    <row r="97">
      <c r="A97" s="22" t="n">
        <v>44896</v>
      </c>
      <c r="B97" s="21" t="n">
        <v>298.832</v>
      </c>
      <c r="C97" s="21" t="n">
        <v>315.367</v>
      </c>
      <c r="D97" s="21" t="n">
        <v>317.813</v>
      </c>
      <c r="E97" s="21" t="n">
        <v>300.576</v>
      </c>
      <c r="F97" s="21" t="n">
        <v>346.726</v>
      </c>
      <c r="G97" s="21" t="n">
        <v>284.307</v>
      </c>
      <c r="H97" s="21" t="n">
        <v>315.899</v>
      </c>
      <c r="I97" s="21" t="n">
        <v>272.978</v>
      </c>
      <c r="J97" s="21" t="n">
        <v>291.773</v>
      </c>
      <c r="K97" s="21" t="n">
        <v>381.554</v>
      </c>
      <c r="L97" s="21" t="n">
        <v>232.457</v>
      </c>
      <c r="M97" s="21" t="n">
        <v>226.085</v>
      </c>
      <c r="N97" s="21" t="n">
        <v>360.381</v>
      </c>
      <c r="O97" s="21" t="n">
        <v>338.132</v>
      </c>
      <c r="P97" s="21" t="n">
        <v>341.768</v>
      </c>
      <c r="Q97" s="21" t="n">
        <v>403.488</v>
      </c>
      <c r="R97" s="21" t="n">
        <v>340.647</v>
      </c>
      <c r="S97" s="21" t="n">
        <v>321.449</v>
      </c>
      <c r="T97" s="21" t="n">
        <v>317.952</v>
      </c>
      <c r="U97" s="21" t="n">
        <v>320.501</v>
      </c>
      <c r="V97" s="21" t="n">
        <v>383.048</v>
      </c>
      <c r="W97" s="21" t="n">
        <v>332.681</v>
      </c>
      <c r="X97" s="21" t="n">
        <v>307.049</v>
      </c>
      <c r="Y97" s="21" t="n">
        <v>254.712</v>
      </c>
      <c r="Z97" s="21" t="n">
        <v>265.445</v>
      </c>
      <c r="AA97" s="21" t="n">
        <v>200.471</v>
      </c>
      <c r="AB97" s="21" t="n">
        <v>367.061</v>
      </c>
      <c r="AC97" s="21" t="n">
        <v>188.614</v>
      </c>
      <c r="AD97" s="21" t="n">
        <v>244.717</v>
      </c>
      <c r="AE97" s="21" t="n">
        <v>272.783</v>
      </c>
      <c r="AF97" s="21" t="n">
        <v>241.227</v>
      </c>
      <c r="AG97" s="21" t="n">
        <v>159.128</v>
      </c>
      <c r="AH97" s="21" t="n">
        <v>289.225</v>
      </c>
      <c r="AI97" s="21" t="n">
        <v>295.842</v>
      </c>
      <c r="AJ97" s="21" t="n">
        <v>188.057</v>
      </c>
      <c r="AK97" s="21" t="n">
        <v>303.303</v>
      </c>
      <c r="AL97" s="21" t="n">
        <v>194.538</v>
      </c>
      <c r="AM97" s="21" t="n">
        <v>319.112</v>
      </c>
      <c r="AN97" s="21" t="n">
        <v>291.596</v>
      </c>
      <c r="AO97" s="21" t="n">
        <v>200.049</v>
      </c>
      <c r="AP97" s="21" t="n">
        <v>356.452</v>
      </c>
      <c r="AQ97" s="21" t="n">
        <v>223.947</v>
      </c>
      <c r="AR97" s="21" t="n">
        <v>175.419</v>
      </c>
      <c r="AS97" s="21" t="n">
        <v>246.832</v>
      </c>
      <c r="AT97" s="21" t="n">
        <v>374.795</v>
      </c>
      <c r="AU97" s="21" t="n">
        <v>362.941</v>
      </c>
      <c r="AV97" s="21" t="n">
        <v>271.376</v>
      </c>
      <c r="AW97" s="21" t="n">
        <v>180.048</v>
      </c>
      <c r="AX97" s="21" t="n">
        <v>260.325</v>
      </c>
      <c r="AY97" s="21" t="n">
        <v>185.51</v>
      </c>
      <c r="AZ97" s="21" t="n">
        <v>272.885</v>
      </c>
      <c r="BA97" s="21" t="n">
        <v>270.602</v>
      </c>
      <c r="BB97" s="21" t="n">
        <v>189.989</v>
      </c>
      <c r="BC97" s="21" t="n">
        <v>350.927</v>
      </c>
      <c r="BD97" s="21" t="n">
        <v>397.579</v>
      </c>
      <c r="BE97" s="21" t="n">
        <v>403.591</v>
      </c>
      <c r="BF97" s="21" t="n">
        <v>374.096</v>
      </c>
      <c r="BG97" s="21" t="n">
        <v>205.751</v>
      </c>
      <c r="BH97" s="21" t="n">
        <v>289.935</v>
      </c>
      <c r="BI97" s="21" t="n">
        <v>571.27</v>
      </c>
      <c r="BJ97" s="21" t="n">
        <v>134.334</v>
      </c>
      <c r="BK97" s="21" t="n">
        <v>390.007</v>
      </c>
      <c r="BL97" s="21" t="n">
        <v>439.036</v>
      </c>
      <c r="BM97" s="21" t="n">
        <v>451.25</v>
      </c>
      <c r="BN97" s="21" t="n">
        <v>380.235</v>
      </c>
      <c r="BO97" s="21" t="n">
        <v>373.283</v>
      </c>
      <c r="BP97" s="21" t="n">
        <v>197.869</v>
      </c>
      <c r="BQ97" s="21" t="n">
        <v>212.434</v>
      </c>
      <c r="BR97" s="21" t="n">
        <v>200.396</v>
      </c>
      <c r="BS97" s="21" t="n">
        <v>227.219</v>
      </c>
      <c r="BT97" s="21" t="n">
        <v>181.284</v>
      </c>
      <c r="BU97" s="21" t="n">
        <v>250.621</v>
      </c>
      <c r="BV97" s="21" t="n">
        <v>185.093</v>
      </c>
      <c r="BW97" s="21" t="n">
        <v>212.151</v>
      </c>
      <c r="BX97" s="21" t="n">
        <v>167.541</v>
      </c>
      <c r="BY97" s="21" t="n">
        <v>219.742</v>
      </c>
      <c r="BZ97" s="21" t="n">
        <v>147.81</v>
      </c>
      <c r="CA97" s="21" t="n">
        <v>140.878</v>
      </c>
      <c r="CB97" s="21" t="n">
        <v>238.052</v>
      </c>
      <c r="CC97" s="21" t="n">
        <v>251.972</v>
      </c>
      <c r="CD97" s="21" t="n">
        <v>150.794</v>
      </c>
      <c r="CE97" s="21" t="n">
        <v>264.722</v>
      </c>
      <c r="CF97" s="21" t="n">
        <v>271.525</v>
      </c>
      <c r="CG97" s="21" t="n">
        <v>247.372</v>
      </c>
      <c r="CH97" s="21" t="n">
        <v>183.224</v>
      </c>
      <c r="CI97" s="21" t="n">
        <v>185.561</v>
      </c>
      <c r="CJ97" s="21" t="n">
        <v>309.048</v>
      </c>
      <c r="CK97" s="21" t="n">
        <v>289.473</v>
      </c>
      <c r="CL97" s="21" t="n">
        <v>323.754</v>
      </c>
      <c r="CM97" s="21" t="n">
        <v>477.031</v>
      </c>
      <c r="CN97" s="21" t="n">
        <v>169.719</v>
      </c>
      <c r="CO97" s="21" t="n">
        <v>212.289</v>
      </c>
      <c r="CP97" s="21" t="n">
        <v>279.8</v>
      </c>
      <c r="CQ97" s="21" t="n">
        <v>310.408</v>
      </c>
      <c r="CR97" s="21" t="n">
        <v>211.224</v>
      </c>
      <c r="CS97" s="21" t="n">
        <v>307.415</v>
      </c>
      <c r="CT97" s="21" t="n">
        <v>295.838</v>
      </c>
      <c r="CU97" s="21" t="n">
        <v>181.444</v>
      </c>
      <c r="CV97" s="21" t="n">
        <v>182.338</v>
      </c>
      <c r="CW97" s="21" t="n">
        <v>174.114</v>
      </c>
      <c r="CX97" s="21" t="n">
        <v>331.528</v>
      </c>
      <c r="CY97" s="21" t="n">
        <v>166.155</v>
      </c>
      <c r="CZ97" s="21" t="n">
        <v>152.97</v>
      </c>
      <c r="DA97" s="21" t="n">
        <v>343.559</v>
      </c>
      <c r="DB97" s="21" t="n">
        <v>212.628</v>
      </c>
      <c r="DC97" s="21" t="n">
        <v>192.55</v>
      </c>
      <c r="DD97" s="21" t="n">
        <v>191.841</v>
      </c>
      <c r="DE97" s="21" t="n">
        <v>224.456</v>
      </c>
      <c r="DF97" s="21" t="n">
        <v>280.755</v>
      </c>
      <c r="DG97" s="21" t="n">
        <v>225.011</v>
      </c>
      <c r="DH97" s="21" t="n">
        <v>264.71</v>
      </c>
      <c r="DI97" s="21" t="n">
        <v>207.118</v>
      </c>
      <c r="DJ97" s="21" t="n">
        <v>219.055</v>
      </c>
      <c r="DK97" s="21" t="n">
        <v>203.2</v>
      </c>
      <c r="DL97" s="21" t="n">
        <v>180.968</v>
      </c>
      <c r="DM97" s="21" t="n">
        <v>407.448</v>
      </c>
      <c r="DN97" s="21" t="n">
        <v>225.022</v>
      </c>
      <c r="DO97" s="21" t="n">
        <v>311.469</v>
      </c>
      <c r="DP97" s="21" t="n">
        <v>367.466</v>
      </c>
      <c r="DQ97" s="21" t="n">
        <v>385.247</v>
      </c>
      <c r="DR97" s="21" t="n">
        <v>185.954</v>
      </c>
      <c r="DS97" s="21" t="n">
        <v>607.804</v>
      </c>
      <c r="DT97" s="21" t="n">
        <v>382.988</v>
      </c>
      <c r="DU97" s="21" t="n">
        <v>376.638</v>
      </c>
      <c r="DV97" s="21" t="n">
        <v>376.705</v>
      </c>
      <c r="DW97" s="21" t="n">
        <v>308.622</v>
      </c>
      <c r="DX97" s="21" t="n">
        <v>263.298</v>
      </c>
      <c r="DY97" s="21" t="n">
        <v>432.461</v>
      </c>
      <c r="DZ97" s="21" t="n">
        <v>460.208</v>
      </c>
      <c r="EA97" s="21" t="n">
        <v>449.078</v>
      </c>
      <c r="EB97" s="21" t="n">
        <v>265.371</v>
      </c>
      <c r="EC97" s="21" t="n">
        <v>265.191</v>
      </c>
      <c r="ED97" s="21" t="n">
        <v>260.691</v>
      </c>
      <c r="EE97" s="21" t="n">
        <v>278.464</v>
      </c>
      <c r="EF97" s="21" t="n">
        <v>639.319</v>
      </c>
      <c r="EG97" s="21" t="n">
        <v>565.1849999999999</v>
      </c>
      <c r="EH97" s="21" t="n">
        <v>146.83</v>
      </c>
      <c r="EI97" s="21" t="n">
        <v>62.676</v>
      </c>
      <c r="EJ97" s="21" t="n">
        <v>74.574</v>
      </c>
      <c r="EK97" s="21" t="n">
        <v>45.462</v>
      </c>
      <c r="EL97" s="21" t="n">
        <v>137.754</v>
      </c>
      <c r="EM97" s="21" t="n">
        <v>84.517</v>
      </c>
      <c r="EN97" s="21" t="n">
        <v>88.873</v>
      </c>
      <c r="EO97" s="21" t="n">
        <v>102.104</v>
      </c>
      <c r="EP97" s="21" t="n">
        <v>117.392</v>
      </c>
      <c r="EQ97" s="21" t="n">
        <v>75.145</v>
      </c>
      <c r="ER97" s="21" t="n">
        <v>55.29</v>
      </c>
      <c r="ES97" s="21" t="n">
        <v>152.64</v>
      </c>
      <c r="ET97" s="21" t="n">
        <v>84.517</v>
      </c>
      <c r="EU97" s="21" t="n">
        <v>111.158</v>
      </c>
      <c r="EV97" s="21" t="n">
        <v>121.972</v>
      </c>
      <c r="EW97" s="21" t="n">
        <v>106.494</v>
      </c>
      <c r="EX97" s="21" t="n">
        <v>227.358</v>
      </c>
      <c r="EY97" s="21" t="n">
        <v>142.948</v>
      </c>
      <c r="EZ97" s="21" t="n">
        <v>136.241</v>
      </c>
      <c r="FA97" s="21" t="n">
        <v>203.242</v>
      </c>
      <c r="FB97" s="21" t="n">
        <v>128.475</v>
      </c>
      <c r="FC97" s="21" t="n">
        <v>124.017</v>
      </c>
      <c r="FD97" s="21" t="n">
        <v>127.146</v>
      </c>
      <c r="FE97" s="21" t="n">
        <v>106.489</v>
      </c>
      <c r="FF97" s="21" t="n">
        <v>175.375</v>
      </c>
      <c r="FG97" s="21" t="n">
        <v>77.06100000000001</v>
      </c>
      <c r="FH97" s="21" t="n">
        <v>129.725</v>
      </c>
      <c r="FI97" s="21" t="n">
        <v>111.1</v>
      </c>
      <c r="FJ97" s="21" t="n">
        <v>107.857</v>
      </c>
      <c r="FK97" s="21" t="n">
        <v>108.735</v>
      </c>
      <c r="FL97" s="21" t="n">
        <v>98.925</v>
      </c>
      <c r="FM97" s="21" t="n">
        <v>104.632</v>
      </c>
      <c r="FN97" s="21" t="n">
        <v>75.01600000000001</v>
      </c>
      <c r="FO97" s="21" t="n">
        <v>109.741</v>
      </c>
      <c r="FP97" s="21" t="n">
        <v>103.219</v>
      </c>
      <c r="FQ97" s="21" t="n">
        <v>143.7</v>
      </c>
      <c r="FR97" s="21" t="n">
        <v>148.71</v>
      </c>
      <c r="FS97" s="21" t="n">
        <v>164.338</v>
      </c>
      <c r="FT97" s="21" t="n">
        <v>129.222</v>
      </c>
      <c r="FU97" s="21" t="n">
        <v>122.568</v>
      </c>
      <c r="FV97" s="21" t="n">
        <v>193.842</v>
      </c>
      <c r="FW97" s="21" t="n">
        <v>152.291</v>
      </c>
      <c r="FX97" s="21" t="n">
        <v>192.909</v>
      </c>
      <c r="FY97" s="21" t="n">
        <v>262.161</v>
      </c>
      <c r="FZ97" s="21" t="n">
        <v>260.928</v>
      </c>
      <c r="GA97" s="21" t="n">
        <v>127.203</v>
      </c>
      <c r="GB97" s="21" t="n">
        <v>177.501</v>
      </c>
      <c r="GC97" s="21" t="n"/>
      <c r="GD97" s="21" t="n">
        <v>173.66</v>
      </c>
      <c r="GE97" s="21" t="n">
        <v>189.209</v>
      </c>
      <c r="GF97" s="21" t="n"/>
      <c r="GG97" s="21" t="n">
        <v>193.008</v>
      </c>
      <c r="GH97" s="21" t="n">
        <v>110.411</v>
      </c>
      <c r="GI97" s="21" t="n">
        <v>189.86</v>
      </c>
      <c r="GJ97" s="21" t="n">
        <v>312.235</v>
      </c>
      <c r="GK97" s="21" t="n">
        <v>309.091</v>
      </c>
      <c r="GL97" s="21" t="n">
        <v>302.737</v>
      </c>
      <c r="GM97" s="21" t="n">
        <v>335.414</v>
      </c>
      <c r="GN97" s="21" t="n">
        <v>328.465</v>
      </c>
      <c r="GO97" s="21" t="n">
        <v>354.231</v>
      </c>
      <c r="GP97" s="21" t="n">
        <v>181.39</v>
      </c>
      <c r="GQ97" s="21" t="n">
        <v>153.751</v>
      </c>
      <c r="GR97" s="21" t="n">
        <v>366.96</v>
      </c>
      <c r="GS97" s="21" t="n">
        <v>234.246</v>
      </c>
      <c r="GT97" s="21" t="n">
        <v>651.318</v>
      </c>
      <c r="GU97" s="21" t="n">
        <v>221.243</v>
      </c>
      <c r="GV97" s="21" t="n">
        <v>258.033</v>
      </c>
      <c r="GW97" s="21" t="n">
        <v>276.432</v>
      </c>
      <c r="GX97" s="21" t="n">
        <v>279.086</v>
      </c>
      <c r="GY97" s="21" t="n">
        <v>163.63</v>
      </c>
      <c r="GZ97" s="21" t="n"/>
      <c r="HA97" s="21" t="n">
        <v>61.781</v>
      </c>
      <c r="HB97" s="21" t="n">
        <v>552.002</v>
      </c>
      <c r="HC97" s="21" t="n">
        <v>391.809</v>
      </c>
      <c r="HD97" s="21" t="n">
        <v>127.898</v>
      </c>
      <c r="HE97" s="21" t="n">
        <v>534.9</v>
      </c>
      <c r="HF97" s="21" t="n">
        <v>102.157</v>
      </c>
      <c r="HG97" s="21" t="n">
        <v>603.725</v>
      </c>
      <c r="HH97" s="21" t="n">
        <v>416.732</v>
      </c>
      <c r="HI97" s="21" t="n">
        <v>415.611</v>
      </c>
      <c r="HJ97" s="21" t="n">
        <v>560.198</v>
      </c>
      <c r="HK97" s="21" t="n">
        <v>199.607</v>
      </c>
      <c r="HL97" s="21" t="n">
        <v>255.471</v>
      </c>
      <c r="HM97" s="21" t="n">
        <v>91.09</v>
      </c>
      <c r="HN97" s="21" t="n">
        <v>383.15</v>
      </c>
      <c r="HO97" s="21" t="n">
        <v>370.417</v>
      </c>
      <c r="HP97" s="21" t="n">
        <v>830.987</v>
      </c>
      <c r="HQ97" s="21" t="n">
        <v>263.996</v>
      </c>
      <c r="HR97" s="21" t="n">
        <v>133.593</v>
      </c>
      <c r="HS97" s="21" t="n">
        <v>113.386</v>
      </c>
      <c r="HT97" s="21" t="n">
        <v>118.358</v>
      </c>
      <c r="HU97" s="21" t="n">
        <v>549.038</v>
      </c>
      <c r="HV97" s="21" t="n">
        <v>111.515</v>
      </c>
      <c r="HW97" s="21" t="n">
        <v>25.319</v>
      </c>
      <c r="HX97" s="21" t="n">
        <v>209.566</v>
      </c>
      <c r="HY97" s="21" t="n">
        <v>233.766</v>
      </c>
      <c r="HZ97" s="21" t="n">
        <v>182.82</v>
      </c>
      <c r="IA97" s="21" t="n">
        <v>129.33</v>
      </c>
      <c r="IB97" s="21" t="n">
        <v>307.983</v>
      </c>
      <c r="IC97" s="21" t="n">
        <v>232.423</v>
      </c>
      <c r="ID97" s="21" t="n">
        <v>321.434</v>
      </c>
      <c r="IE97" s="21" t="n">
        <v>128.01</v>
      </c>
      <c r="IF97" s="21" t="n">
        <v>177.07</v>
      </c>
      <c r="IG97" s="21" t="n">
        <v>87.193</v>
      </c>
      <c r="IH97" s="21" t="n">
        <v>82.17400000000001</v>
      </c>
      <c r="II97" s="21" t="n">
        <v>61.854</v>
      </c>
      <c r="IJ97" s="21" t="n">
        <v>25.619</v>
      </c>
      <c r="IK97" s="21" t="n">
        <v>34.634</v>
      </c>
      <c r="IL97" s="21" t="n">
        <v>29.85</v>
      </c>
      <c r="IM97" s="21" t="n">
        <v>40.123</v>
      </c>
      <c r="IN97" s="21" t="n">
        <v>101.516</v>
      </c>
      <c r="IO97" s="21" t="n">
        <v>114.649</v>
      </c>
      <c r="IP97" s="21" t="n">
        <v>189.174</v>
      </c>
      <c r="IQ97" s="21" t="n">
        <v>155.252</v>
      </c>
      <c r="IR97" s="21" t="n">
        <v>428.825</v>
      </c>
      <c r="IS97" s="21" t="n">
        <v>211.575</v>
      </c>
      <c r="IT97" s="21" t="n">
        <v>229.55</v>
      </c>
      <c r="IU97" s="21" t="n">
        <v>368.247</v>
      </c>
      <c r="IV97" s="21" t="n">
        <v>284.49</v>
      </c>
      <c r="IW97" s="21" t="n">
        <v>144.845</v>
      </c>
      <c r="IX97" s="21" t="n">
        <v>286.713</v>
      </c>
      <c r="IY97" s="21" t="n">
        <v>720.6420000000001</v>
      </c>
      <c r="IZ97" s="21" t="n">
        <v>823.553</v>
      </c>
      <c r="JA97" s="21" t="n">
        <v>913.545</v>
      </c>
      <c r="JB97" s="21" t="n">
        <v>91.071</v>
      </c>
      <c r="JC97" s="21" t="n">
        <v>340.144</v>
      </c>
      <c r="JD97" s="21" t="n">
        <v>268.481</v>
      </c>
      <c r="JE97" s="21" t="n">
        <v>75.474</v>
      </c>
      <c r="JF97" s="21" t="n">
        <v>227.56</v>
      </c>
      <c r="JG97" s="21" t="n">
        <v>354.689</v>
      </c>
      <c r="JH97" s="21" t="n">
        <v>398.912</v>
      </c>
      <c r="JI97" s="21" t="n">
        <v>71.108</v>
      </c>
      <c r="JJ97" s="21" t="n">
        <v>105.435</v>
      </c>
      <c r="JK97" s="21" t="n">
        <v>37.115</v>
      </c>
      <c r="JL97" s="21" t="n">
        <v>81.33199999999999</v>
      </c>
      <c r="JM97" s="21" t="n">
        <v>124.613</v>
      </c>
      <c r="JN97" s="21" t="n">
        <v>520.123</v>
      </c>
      <c r="JO97" s="21" t="n">
        <v>86.991</v>
      </c>
      <c r="JP97" s="21" t="n">
        <v>570.914</v>
      </c>
      <c r="JQ97" s="21" t="n">
        <v>265.094</v>
      </c>
      <c r="JR97" s="21" t="n">
        <v>172.307</v>
      </c>
      <c r="JS97" s="21" t="n">
        <v>502.035</v>
      </c>
      <c r="JT97" s="21" t="n">
        <v>405.211</v>
      </c>
      <c r="JU97" s="21" t="n">
        <v>370.228</v>
      </c>
      <c r="JV97" s="21" t="n">
        <v>211.187</v>
      </c>
      <c r="JW97" s="21" t="n">
        <v>385.656</v>
      </c>
      <c r="JX97" s="21" t="n">
        <v>287.25</v>
      </c>
      <c r="JY97" s="21" t="n">
        <v>88.749</v>
      </c>
      <c r="JZ97" s="21" t="n">
        <v>198.433</v>
      </c>
      <c r="KA97" s="21" t="n">
        <v>286.642</v>
      </c>
      <c r="KB97" s="21" t="n">
        <v>302.939</v>
      </c>
      <c r="KC97" s="21" t="n">
        <v>295.915</v>
      </c>
      <c r="KD97" s="21" t="n">
        <v>301.394</v>
      </c>
      <c r="KE97" s="21" t="n">
        <v>275.291</v>
      </c>
      <c r="KF97" s="21" t="n">
        <v>264.77</v>
      </c>
      <c r="KG97" s="21" t="n">
        <v>264.778</v>
      </c>
      <c r="KH97" s="21" t="n">
        <v>268.299</v>
      </c>
      <c r="KI97" s="21" t="n">
        <v>120.308</v>
      </c>
      <c r="KJ97" s="21" t="n">
        <v>221.65</v>
      </c>
      <c r="KK97" s="21" t="n">
        <v>180.281</v>
      </c>
      <c r="KL97" s="21" t="n">
        <v>176.732</v>
      </c>
      <c r="KM97" s="21" t="n">
        <v>165.939</v>
      </c>
      <c r="KN97" s="21" t="n">
        <v>162.852</v>
      </c>
      <c r="KO97" s="21" t="n">
        <v>309.885</v>
      </c>
      <c r="KP97" s="21" t="n">
        <v>126.442</v>
      </c>
      <c r="KQ97" s="21" t="n">
        <v>61.008</v>
      </c>
      <c r="KR97" s="21" t="n">
        <v>119.502</v>
      </c>
      <c r="KS97" s="21" t="n">
        <v>286.33</v>
      </c>
      <c r="KT97" s="21" t="n">
        <v>320.082</v>
      </c>
      <c r="KU97" s="21" t="n">
        <v>107.561</v>
      </c>
      <c r="KV97" s="21" t="n">
        <v>42.316</v>
      </c>
      <c r="KW97" s="21" t="n">
        <v>270.689</v>
      </c>
      <c r="KX97" s="21" t="n">
        <v>231.294</v>
      </c>
      <c r="KY97" s="21" t="n">
        <v>292.292</v>
      </c>
      <c r="KZ97" s="21" t="n">
        <v>228.212</v>
      </c>
      <c r="LA97" s="21" t="n">
        <v>295.063</v>
      </c>
      <c r="LB97" s="21" t="n">
        <v>132.059</v>
      </c>
      <c r="LC97" s="21" t="n">
        <v>395.724</v>
      </c>
      <c r="LD97" s="21" t="n">
        <v>85.41200000000001</v>
      </c>
      <c r="LE97" s="21" t="n">
        <v>140.316</v>
      </c>
      <c r="LF97" s="21" t="n">
        <v>383.861</v>
      </c>
      <c r="LG97" s="21" t="n">
        <v>374.372</v>
      </c>
      <c r="LH97" s="21" t="n">
        <v>385.666</v>
      </c>
      <c r="LI97" s="21" t="n">
        <v>357.276</v>
      </c>
      <c r="LJ97" s="21" t="n">
        <v>393.128</v>
      </c>
      <c r="LK97" s="21" t="n">
        <v>133.249</v>
      </c>
      <c r="LL97" s="21" t="n">
        <v>376.02</v>
      </c>
      <c r="LM97" s="21" t="n">
        <v>256.189</v>
      </c>
      <c r="LN97" s="21" t="n">
        <v>34.174</v>
      </c>
      <c r="LO97" s="21" t="n">
        <v>144.61</v>
      </c>
    </row>
    <row r="98">
      <c r="A98" s="22" t="n">
        <v>44927</v>
      </c>
      <c r="B98" s="21" t="n">
        <v>300.42</v>
      </c>
      <c r="C98" s="21" t="n">
        <v>316.859</v>
      </c>
      <c r="D98" s="21" t="n">
        <v>319.3</v>
      </c>
      <c r="E98" s="21" t="n">
        <v>301.676</v>
      </c>
      <c r="F98" s="21" t="n">
        <v>350.305</v>
      </c>
      <c r="G98" s="21" t="n">
        <v>287.17</v>
      </c>
      <c r="H98" s="21" t="n">
        <v>317.387</v>
      </c>
      <c r="I98" s="21" t="n">
        <v>273.962</v>
      </c>
      <c r="J98" s="21" t="n">
        <v>294.801</v>
      </c>
      <c r="K98" s="21" t="n">
        <v>386.184</v>
      </c>
      <c r="L98" s="21" t="n">
        <v>232.931</v>
      </c>
      <c r="M98" s="21" t="n">
        <v>229.073</v>
      </c>
      <c r="N98" s="21" t="n">
        <v>366.553</v>
      </c>
      <c r="O98" s="21" t="n">
        <v>346.527</v>
      </c>
      <c r="P98" s="21" t="n">
        <v>344.807</v>
      </c>
      <c r="Q98" s="21" t="n">
        <v>409.001</v>
      </c>
      <c r="R98" s="21" t="n">
        <v>343.44</v>
      </c>
      <c r="S98" s="21" t="n">
        <v>323.734</v>
      </c>
      <c r="T98" s="21" t="n">
        <v>318.322</v>
      </c>
      <c r="U98" s="21" t="n">
        <v>320.703</v>
      </c>
      <c r="V98" s="21" t="n">
        <v>386.347</v>
      </c>
      <c r="W98" s="21" t="n">
        <v>334.957</v>
      </c>
      <c r="X98" s="21" t="n">
        <v>314.03</v>
      </c>
      <c r="Y98" s="21" t="n">
        <v>256.301</v>
      </c>
      <c r="Z98" s="21" t="n">
        <v>265.934</v>
      </c>
      <c r="AA98" s="21" t="n">
        <v>200.709</v>
      </c>
      <c r="AB98" s="21" t="n">
        <v>366.697</v>
      </c>
      <c r="AC98" s="21" t="n">
        <v>188.548</v>
      </c>
      <c r="AD98" s="21" t="n">
        <v>253.604</v>
      </c>
      <c r="AE98" s="21" t="n">
        <v>283.105</v>
      </c>
      <c r="AF98" s="21" t="n">
        <v>232.855</v>
      </c>
      <c r="AG98" s="21" t="n">
        <v>156.233</v>
      </c>
      <c r="AH98" s="21" t="n">
        <v>285.343</v>
      </c>
      <c r="AI98" s="21" t="n">
        <v>287.304</v>
      </c>
      <c r="AJ98" s="21" t="n">
        <v>184.789</v>
      </c>
      <c r="AK98" s="21" t="n">
        <v>303.619</v>
      </c>
      <c r="AL98" s="21" t="n">
        <v>194.764</v>
      </c>
      <c r="AM98" s="21" t="n">
        <v>320.235</v>
      </c>
      <c r="AN98" s="21" t="n">
        <v>291.724</v>
      </c>
      <c r="AO98" s="21" t="n">
        <v>199.351</v>
      </c>
      <c r="AP98" s="21" t="n">
        <v>357.719</v>
      </c>
      <c r="AQ98" s="21" t="n">
        <v>227.546</v>
      </c>
      <c r="AR98" s="21" t="n">
        <v>175.179</v>
      </c>
      <c r="AS98" s="21" t="n">
        <v>242.027</v>
      </c>
      <c r="AT98" s="21" t="n">
        <v>369.872</v>
      </c>
      <c r="AU98" s="21" t="n">
        <v>388.654</v>
      </c>
      <c r="AV98" s="21" t="n">
        <v>272.04</v>
      </c>
      <c r="AW98" s="21" t="n">
        <v>179.482</v>
      </c>
      <c r="AX98" s="21" t="n">
        <v>259.791</v>
      </c>
      <c r="AY98" s="21" t="n">
        <v>184.674</v>
      </c>
      <c r="AZ98" s="21" t="n">
        <v>272.064</v>
      </c>
      <c r="BA98" s="21" t="n">
        <v>273.189</v>
      </c>
      <c r="BB98" s="21" t="n">
        <v>190.076</v>
      </c>
      <c r="BC98" s="21" t="n">
        <v>349.296</v>
      </c>
      <c r="BD98" s="21" t="n">
        <v>394.783</v>
      </c>
      <c r="BE98" s="21" t="n">
        <v>405.035</v>
      </c>
      <c r="BF98" s="21" t="n">
        <v>380.057</v>
      </c>
      <c r="BG98" s="21" t="n">
        <v>208.819</v>
      </c>
      <c r="BH98" s="21" t="n">
        <v>295.915</v>
      </c>
      <c r="BI98" s="21" t="n">
        <v>586.697</v>
      </c>
      <c r="BJ98" s="21" t="n">
        <v>133.19</v>
      </c>
      <c r="BK98" s="21" t="n">
        <v>382.713</v>
      </c>
      <c r="BL98" s="21" t="n">
        <v>430.547</v>
      </c>
      <c r="BM98" s="21" t="n">
        <v>430.485</v>
      </c>
      <c r="BN98" s="21" t="n">
        <v>358.292</v>
      </c>
      <c r="BO98" s="21" t="n">
        <v>372.561</v>
      </c>
      <c r="BP98" s="21" t="n">
        <v>198.299</v>
      </c>
      <c r="BQ98" s="21" t="n">
        <v>211.576</v>
      </c>
      <c r="BR98" s="21" t="n">
        <v>198.517</v>
      </c>
      <c r="BS98" s="21" t="n">
        <v>226.421</v>
      </c>
      <c r="BT98" s="21" t="n">
        <v>181.367</v>
      </c>
      <c r="BU98" s="21" t="n">
        <v>253.884</v>
      </c>
      <c r="BV98" s="21" t="n">
        <v>188.907</v>
      </c>
      <c r="BW98" s="21" t="n">
        <v>212.359</v>
      </c>
      <c r="BX98" s="21" t="n">
        <v>167.457</v>
      </c>
      <c r="BY98" s="21" t="n">
        <v>217.255</v>
      </c>
      <c r="BZ98" s="21" t="n">
        <v>149.032</v>
      </c>
      <c r="CA98" s="21" t="n">
        <v>141.626</v>
      </c>
      <c r="CB98" s="21" t="n">
        <v>239.113</v>
      </c>
      <c r="CC98" s="21" t="n">
        <v>251.786</v>
      </c>
      <c r="CD98" s="21" t="n">
        <v>151.576</v>
      </c>
      <c r="CE98" s="21" t="n">
        <v>265.903</v>
      </c>
      <c r="CF98" s="21" t="n">
        <v>273.709</v>
      </c>
      <c r="CG98" s="21" t="n">
        <v>247.91</v>
      </c>
      <c r="CH98" s="21" t="n">
        <v>184.9</v>
      </c>
      <c r="CI98" s="21" t="n">
        <v>188.628</v>
      </c>
      <c r="CJ98" s="21" t="n">
        <v>309.552</v>
      </c>
      <c r="CK98" s="21" t="n">
        <v>287.902</v>
      </c>
      <c r="CL98" s="21" t="n">
        <v>319.49</v>
      </c>
      <c r="CM98" s="21" t="n">
        <v>482.715</v>
      </c>
      <c r="CN98" s="21" t="n">
        <v>171.163</v>
      </c>
      <c r="CO98" s="21" t="n">
        <v>212.83</v>
      </c>
      <c r="CP98" s="21" t="n">
        <v>281.006</v>
      </c>
      <c r="CQ98" s="21" t="n">
        <v>313</v>
      </c>
      <c r="CR98" s="21" t="n">
        <v>211.083</v>
      </c>
      <c r="CS98" s="21" t="n">
        <v>308.501</v>
      </c>
      <c r="CT98" s="21" t="n">
        <v>297.24</v>
      </c>
      <c r="CU98" s="21" t="n">
        <v>182.662</v>
      </c>
      <c r="CV98" s="21" t="n">
        <v>183.564</v>
      </c>
      <c r="CW98" s="21" t="n">
        <v>174.762</v>
      </c>
      <c r="CX98" s="21" t="n">
        <v>338.211</v>
      </c>
      <c r="CY98" s="21" t="n">
        <v>166.645</v>
      </c>
      <c r="CZ98" s="21" t="n">
        <v>156.793</v>
      </c>
      <c r="DA98" s="21" t="n">
        <v>345.677</v>
      </c>
      <c r="DB98" s="21" t="n">
        <v>213.792</v>
      </c>
      <c r="DC98" s="21" t="n">
        <v>192.829</v>
      </c>
      <c r="DD98" s="21" t="n">
        <v>191.879</v>
      </c>
      <c r="DE98" s="21" t="n">
        <v>225.177</v>
      </c>
      <c r="DF98" s="21" t="n">
        <v>282.286</v>
      </c>
      <c r="DG98" s="21" t="n">
        <v>225.426</v>
      </c>
      <c r="DH98" s="21" t="n">
        <v>265.396</v>
      </c>
      <c r="DI98" s="21" t="n">
        <v>208.978</v>
      </c>
      <c r="DJ98" s="21" t="n">
        <v>219.513</v>
      </c>
      <c r="DK98" s="21" t="n">
        <v>204.866</v>
      </c>
      <c r="DL98" s="21" t="n">
        <v>181.077</v>
      </c>
      <c r="DM98" s="21" t="n">
        <v>410.007</v>
      </c>
      <c r="DN98" s="21" t="n">
        <v>225.8</v>
      </c>
      <c r="DO98" s="21" t="n">
        <v>313.812</v>
      </c>
      <c r="DP98" s="21" t="n">
        <v>369.911</v>
      </c>
      <c r="DQ98" s="21" t="n">
        <v>387.984</v>
      </c>
      <c r="DR98" s="21" t="n">
        <v>186.204</v>
      </c>
      <c r="DS98" s="21" t="n">
        <v>609.068</v>
      </c>
      <c r="DT98" s="21" t="n">
        <v>383.854</v>
      </c>
      <c r="DU98" s="21" t="n">
        <v>378.987</v>
      </c>
      <c r="DV98" s="21" t="n">
        <v>379.059</v>
      </c>
      <c r="DW98" s="21" t="n">
        <v>314.21</v>
      </c>
      <c r="DX98" s="21" t="n">
        <v>268.629</v>
      </c>
      <c r="DY98" s="21" t="n">
        <v>416.24</v>
      </c>
      <c r="DZ98" s="21" t="n">
        <v>443.34</v>
      </c>
      <c r="EA98" s="21" t="n">
        <v>441.704</v>
      </c>
      <c r="EB98" s="21" t="n">
        <v>271.694</v>
      </c>
      <c r="EC98" s="21" t="n">
        <v>267.247</v>
      </c>
      <c r="ED98" s="21" t="n">
        <v>278.814</v>
      </c>
      <c r="EE98" s="21" t="n">
        <v>281.461</v>
      </c>
      <c r="EF98" s="21" t="n">
        <v>646.581</v>
      </c>
      <c r="EG98" s="21" t="n">
        <v>570.412</v>
      </c>
      <c r="EH98" s="21" t="n">
        <v>147.372</v>
      </c>
      <c r="EI98" s="21" t="n">
        <v>63.316</v>
      </c>
      <c r="EJ98" s="21" t="n">
        <v>78.91800000000001</v>
      </c>
      <c r="EK98" s="21" t="n">
        <v>45.397</v>
      </c>
      <c r="EL98" s="21" t="n">
        <v>137.692</v>
      </c>
      <c r="EM98" s="21" t="n">
        <v>83.776</v>
      </c>
      <c r="EN98" s="21" t="n">
        <v>89.467</v>
      </c>
      <c r="EO98" s="21" t="n">
        <v>99.952</v>
      </c>
      <c r="EP98" s="21" t="n">
        <v>119.219</v>
      </c>
      <c r="EQ98" s="21" t="n">
        <v>76.527</v>
      </c>
      <c r="ER98" s="21" t="n">
        <v>55.37</v>
      </c>
      <c r="ES98" s="21" t="n">
        <v>152.051</v>
      </c>
      <c r="ET98" s="21" t="n">
        <v>85.56100000000001</v>
      </c>
      <c r="EU98" s="21" t="n">
        <v>112.205</v>
      </c>
      <c r="EV98" s="21" t="n">
        <v>122.869</v>
      </c>
      <c r="EW98" s="21" t="n">
        <v>107.618</v>
      </c>
      <c r="EX98" s="21" t="n">
        <v>230.435</v>
      </c>
      <c r="EY98" s="21" t="n">
        <v>144.69</v>
      </c>
      <c r="EZ98" s="21" t="n">
        <v>139.407</v>
      </c>
      <c r="FA98" s="21" t="n">
        <v>204.398</v>
      </c>
      <c r="FB98" s="21" t="n">
        <v>129.43</v>
      </c>
      <c r="FC98" s="21" t="n">
        <v>125.165</v>
      </c>
      <c r="FD98" s="21" t="n">
        <v>128.728</v>
      </c>
      <c r="FE98" s="21" t="n">
        <v>106</v>
      </c>
      <c r="FF98" s="21" t="n">
        <v>180.391</v>
      </c>
      <c r="FG98" s="21" t="n">
        <v>77.245</v>
      </c>
      <c r="FH98" s="21" t="n">
        <v>130.006</v>
      </c>
      <c r="FI98" s="21" t="n">
        <v>110.797</v>
      </c>
      <c r="FJ98" s="21" t="n">
        <v>108.474</v>
      </c>
      <c r="FK98" s="21" t="n">
        <v>109.353</v>
      </c>
      <c r="FL98" s="21" t="n">
        <v>101.088</v>
      </c>
      <c r="FM98" s="21" t="n">
        <v>105.801</v>
      </c>
      <c r="FN98" s="21" t="n">
        <v>74.801</v>
      </c>
      <c r="FO98" s="21" t="n">
        <v>111.792</v>
      </c>
      <c r="FP98" s="21" t="n">
        <v>103.826</v>
      </c>
      <c r="FQ98" s="21" t="n">
        <v>143.593</v>
      </c>
      <c r="FR98" s="21" t="n">
        <v>148.47</v>
      </c>
      <c r="FS98" s="21" t="n">
        <v>163.875</v>
      </c>
      <c r="FT98" s="21" t="n">
        <v>129.677</v>
      </c>
      <c r="FU98" s="21" t="n">
        <v>125.231</v>
      </c>
      <c r="FV98" s="21" t="n">
        <v>195.943</v>
      </c>
      <c r="FW98" s="21" t="n">
        <v>155.678</v>
      </c>
      <c r="FX98" s="21" t="n">
        <v>194.13</v>
      </c>
      <c r="FY98" s="21" t="n">
        <v>263.597</v>
      </c>
      <c r="FZ98" s="21" t="n">
        <v>262.578</v>
      </c>
      <c r="GA98" s="21" t="n">
        <v>126.782</v>
      </c>
      <c r="GB98" s="21" t="n">
        <v>177.861</v>
      </c>
      <c r="GC98" s="21" t="n"/>
      <c r="GD98" s="21" t="n">
        <v>174.027</v>
      </c>
      <c r="GE98" s="21" t="n">
        <v>189.654</v>
      </c>
      <c r="GF98" s="21" t="n"/>
      <c r="GG98" s="21" t="n">
        <v>190.423</v>
      </c>
      <c r="GH98" s="21" t="n">
        <v>111.465</v>
      </c>
      <c r="GI98" s="21" t="n">
        <v>195.633</v>
      </c>
      <c r="GJ98" s="21" t="n">
        <v>319.984</v>
      </c>
      <c r="GK98" s="21" t="n">
        <v>317.38</v>
      </c>
      <c r="GL98" s="21" t="n">
        <v>311.304</v>
      </c>
      <c r="GM98" s="21" t="n">
        <v>342.25</v>
      </c>
      <c r="GN98" s="21" t="n">
        <v>333.683</v>
      </c>
      <c r="GO98" s="21" t="n">
        <v>339.263</v>
      </c>
      <c r="GP98" s="21" t="n">
        <v>181.894</v>
      </c>
      <c r="GQ98" s="21" t="n">
        <v>153.734</v>
      </c>
      <c r="GR98" s="21" t="n">
        <v>371.78</v>
      </c>
      <c r="GS98" s="21" t="n">
        <v>240.662</v>
      </c>
      <c r="GT98" s="21" t="n">
        <v>659.076</v>
      </c>
      <c r="GU98" s="21" t="n">
        <v>224.454</v>
      </c>
      <c r="GV98" s="21" t="n">
        <v>259.185</v>
      </c>
      <c r="GW98" s="21" t="n">
        <v>273.247</v>
      </c>
      <c r="GX98" s="21" t="n">
        <v>274.248</v>
      </c>
      <c r="GY98" s="21" t="n">
        <v>164.001</v>
      </c>
      <c r="GZ98" s="21" t="n"/>
      <c r="HA98" s="21" t="n">
        <v>61.386</v>
      </c>
      <c r="HB98" s="21" t="n">
        <v>550.992</v>
      </c>
      <c r="HC98" s="21" t="n">
        <v>395.981</v>
      </c>
      <c r="HD98" s="21" t="n">
        <v>129.459</v>
      </c>
      <c r="HE98" s="21" t="n">
        <v>546.107</v>
      </c>
      <c r="HF98" s="21" t="n">
        <v>102.178</v>
      </c>
      <c r="HG98" s="21" t="n">
        <v>600.978</v>
      </c>
      <c r="HH98" s="21" t="n">
        <v>417.035</v>
      </c>
      <c r="HI98" s="21" t="n">
        <v>415.197</v>
      </c>
      <c r="HJ98" s="21" t="n">
        <v>563.582</v>
      </c>
      <c r="HK98" s="21" t="n">
        <v>198.971</v>
      </c>
      <c r="HL98" s="21" t="n">
        <v>255.438</v>
      </c>
      <c r="HM98" s="21" t="n">
        <v>91.715</v>
      </c>
      <c r="HN98" s="21" t="n">
        <v>385.064</v>
      </c>
      <c r="HO98" s="21" t="n">
        <v>372.36</v>
      </c>
      <c r="HP98" s="21" t="n">
        <v>835.095</v>
      </c>
      <c r="HQ98" s="21" t="n">
        <v>269.002</v>
      </c>
      <c r="HR98" s="21" t="n">
        <v>134.078</v>
      </c>
      <c r="HS98" s="21" t="n">
        <v>113.609</v>
      </c>
      <c r="HT98" s="21" t="n">
        <v>118.456</v>
      </c>
      <c r="HU98" s="21" t="n">
        <v>548.645</v>
      </c>
      <c r="HV98" s="21" t="n">
        <v>112.164</v>
      </c>
      <c r="HW98" s="21" t="n">
        <v>26.016</v>
      </c>
      <c r="HX98" s="21" t="n">
        <v>210.849</v>
      </c>
      <c r="HY98" s="21" t="n">
        <v>234.331</v>
      </c>
      <c r="HZ98" s="21" t="n">
        <v>183.17</v>
      </c>
      <c r="IA98" s="21" t="n">
        <v>129.808</v>
      </c>
      <c r="IB98" s="21" t="n">
        <v>311.394</v>
      </c>
      <c r="IC98" s="21" t="n">
        <v>234.498</v>
      </c>
      <c r="ID98" s="21" t="n">
        <v>324.585</v>
      </c>
      <c r="IE98" s="21" t="n">
        <v>128.688</v>
      </c>
      <c r="IF98" s="21" t="n">
        <v>179.054</v>
      </c>
      <c r="IG98" s="21" t="n">
        <v>86.93899999999999</v>
      </c>
      <c r="IH98" s="21" t="n">
        <v>83.747</v>
      </c>
      <c r="II98" s="21" t="n">
        <v>62.039</v>
      </c>
      <c r="IJ98" s="21" t="n">
        <v>25.707</v>
      </c>
      <c r="IK98" s="21" t="n">
        <v>34.431</v>
      </c>
      <c r="IL98" s="21" t="n">
        <v>29.58</v>
      </c>
      <c r="IM98" s="21" t="n">
        <v>39.564</v>
      </c>
      <c r="IN98" s="21" t="n">
        <v>102.999</v>
      </c>
      <c r="IO98" s="21" t="n">
        <v>115.199</v>
      </c>
      <c r="IP98" s="21" t="n">
        <v>190.271</v>
      </c>
      <c r="IQ98" s="21" t="n">
        <v>155.524</v>
      </c>
      <c r="IR98" s="21" t="n">
        <v>433.278</v>
      </c>
      <c r="IS98" s="21" t="n">
        <v>213.386</v>
      </c>
      <c r="IT98" s="21" t="n">
        <v>230.395</v>
      </c>
      <c r="IU98" s="21" t="n">
        <v>372.114</v>
      </c>
      <c r="IV98" s="21" t="n">
        <v>283.33</v>
      </c>
      <c r="IW98" s="21" t="n">
        <v>145.351</v>
      </c>
      <c r="IX98" s="21" t="n">
        <v>287.46</v>
      </c>
      <c r="IY98" s="21" t="n">
        <v>717.542</v>
      </c>
      <c r="IZ98" s="21" t="n">
        <v>825.943</v>
      </c>
      <c r="JA98" s="21" t="n">
        <v>915.518</v>
      </c>
      <c r="JB98" s="21" t="n">
        <v>91.357</v>
      </c>
      <c r="JC98" s="21" t="n">
        <v>341.723</v>
      </c>
      <c r="JD98" s="21" t="n">
        <v>269.533</v>
      </c>
      <c r="JE98" s="21" t="n">
        <v>75.77</v>
      </c>
      <c r="JF98" s="21" t="n">
        <v>229.679</v>
      </c>
      <c r="JG98" s="21" t="n">
        <v>356.792</v>
      </c>
      <c r="JH98" s="21" t="n">
        <v>408.827</v>
      </c>
      <c r="JI98" s="21" t="n">
        <v>71.38</v>
      </c>
      <c r="JJ98" s="21" t="n">
        <v>106.004</v>
      </c>
      <c r="JK98" s="21" t="n">
        <v>37.21</v>
      </c>
      <c r="JL98" s="21" t="n">
        <v>82.15900000000001</v>
      </c>
      <c r="JM98" s="21" t="n">
        <v>124.205</v>
      </c>
      <c r="JN98" s="21" t="n">
        <v>522.4109999999999</v>
      </c>
      <c r="JO98" s="21" t="n">
        <v>87.571</v>
      </c>
      <c r="JP98" s="21" t="n">
        <v>575.277</v>
      </c>
      <c r="JQ98" s="21" t="n">
        <v>266.115</v>
      </c>
      <c r="JR98" s="21" t="n">
        <v>172.37</v>
      </c>
      <c r="JS98" s="21" t="n">
        <v>505.919</v>
      </c>
      <c r="JT98" s="21" t="n">
        <v>405.211</v>
      </c>
      <c r="JU98" s="21" t="n">
        <v>371.99</v>
      </c>
      <c r="JV98" s="21" t="n">
        <v>212.302</v>
      </c>
      <c r="JW98" s="21" t="n">
        <v>395.285</v>
      </c>
      <c r="JX98" s="21" t="n">
        <v>297.179</v>
      </c>
      <c r="JY98" s="21" t="n">
        <v>89.337</v>
      </c>
      <c r="JZ98" s="21" t="n">
        <v>198.503</v>
      </c>
      <c r="KA98" s="21" t="n">
        <v>288.342</v>
      </c>
      <c r="KB98" s="21" t="n">
        <v>304.219</v>
      </c>
      <c r="KC98" s="21" t="n">
        <v>297.511</v>
      </c>
      <c r="KD98" s="21" t="n">
        <v>302.642</v>
      </c>
      <c r="KE98" s="21" t="n">
        <v>276.599</v>
      </c>
      <c r="KF98" s="21" t="n">
        <v>266.029</v>
      </c>
      <c r="KG98" s="21" t="n">
        <v>265.391</v>
      </c>
      <c r="KH98" s="21" t="n">
        <v>269.281</v>
      </c>
      <c r="KI98" s="21" t="n">
        <v>121.341</v>
      </c>
      <c r="KJ98" s="21" t="n">
        <v>222.552</v>
      </c>
      <c r="KK98" s="21" t="n">
        <v>180.918</v>
      </c>
      <c r="KL98" s="21" t="n">
        <v>177.339</v>
      </c>
      <c r="KM98" s="21" t="n">
        <v>166.187</v>
      </c>
      <c r="KN98" s="21" t="n">
        <v>163.568</v>
      </c>
      <c r="KO98" s="21" t="n">
        <v>312.052</v>
      </c>
      <c r="KP98" s="21" t="n">
        <v>126.436</v>
      </c>
      <c r="KQ98" s="21" t="n">
        <v>60.966</v>
      </c>
      <c r="KR98" s="21" t="n">
        <v>120.003</v>
      </c>
      <c r="KS98" s="21" t="n">
        <v>292.615</v>
      </c>
      <c r="KT98" s="21" t="n">
        <v>326.848</v>
      </c>
      <c r="KU98" s="21" t="n">
        <v>107.932</v>
      </c>
      <c r="KV98" s="21" t="n">
        <v>42.304</v>
      </c>
      <c r="KW98" s="21" t="n">
        <v>272.694</v>
      </c>
      <c r="KX98" s="21" t="n">
        <v>233.647</v>
      </c>
      <c r="KY98" s="21" t="n">
        <v>295.527</v>
      </c>
      <c r="KZ98" s="21" t="n">
        <v>230.63</v>
      </c>
      <c r="LA98" s="21" t="n">
        <v>298.517</v>
      </c>
      <c r="LB98" s="21" t="n">
        <v>132.516</v>
      </c>
      <c r="LC98" s="21" t="n">
        <v>397.569</v>
      </c>
      <c r="LD98" s="21" t="n">
        <v>85.569</v>
      </c>
      <c r="LE98" s="21" t="n">
        <v>141.011</v>
      </c>
      <c r="LF98" s="21" t="n">
        <v>386.407</v>
      </c>
      <c r="LG98" s="21" t="n">
        <v>376.708</v>
      </c>
      <c r="LH98" s="21" t="n">
        <v>387.676</v>
      </c>
      <c r="LI98" s="21" t="n">
        <v>359.674</v>
      </c>
      <c r="LJ98" s="21" t="n">
        <v>394.607</v>
      </c>
      <c r="LK98" s="21" t="n">
        <v>132.59</v>
      </c>
      <c r="LL98" s="21" t="n">
        <v>379.324</v>
      </c>
      <c r="LM98" s="21" t="n">
        <v>259.04</v>
      </c>
      <c r="LN98" s="21" t="n">
        <v>34.422</v>
      </c>
      <c r="LO98" s="21" t="n">
        <v>144.654</v>
      </c>
    </row>
    <row r="99">
      <c r="A99" s="22" t="n">
        <v>44958</v>
      </c>
      <c r="B99" s="21" t="n">
        <v>301.45</v>
      </c>
      <c r="C99" s="21" t="n">
        <v>318.025</v>
      </c>
      <c r="D99" s="21" t="n">
        <v>320.543</v>
      </c>
      <c r="E99" s="21" t="n">
        <v>302.444</v>
      </c>
      <c r="F99" s="21" t="n">
        <v>350.954</v>
      </c>
      <c r="G99" s="21" t="n">
        <v>286.315</v>
      </c>
      <c r="H99" s="21" t="n">
        <v>319.329</v>
      </c>
      <c r="I99" s="21" t="n">
        <v>270.99</v>
      </c>
      <c r="J99" s="21" t="n">
        <v>294.549</v>
      </c>
      <c r="K99" s="21" t="n">
        <v>388.948</v>
      </c>
      <c r="L99" s="21" t="n">
        <v>235.673</v>
      </c>
      <c r="M99" s="21" t="n">
        <v>231.631</v>
      </c>
      <c r="N99" s="21" t="n">
        <v>369.452</v>
      </c>
      <c r="O99" s="21" t="n">
        <v>349.569</v>
      </c>
      <c r="P99" s="21" t="n">
        <v>343.655</v>
      </c>
      <c r="Q99" s="21" t="n">
        <v>411.383</v>
      </c>
      <c r="R99" s="21" t="n">
        <v>337.251</v>
      </c>
      <c r="S99" s="21" t="n">
        <v>322.854</v>
      </c>
      <c r="T99" s="21" t="n">
        <v>320.32</v>
      </c>
      <c r="U99" s="21" t="n">
        <v>323.057</v>
      </c>
      <c r="V99" s="21" t="n">
        <v>388.774</v>
      </c>
      <c r="W99" s="21" t="n">
        <v>335.838</v>
      </c>
      <c r="X99" s="21" t="n">
        <v>308.837</v>
      </c>
      <c r="Y99" s="21" t="n">
        <v>260.711</v>
      </c>
      <c r="Z99" s="21" t="n">
        <v>268.673</v>
      </c>
      <c r="AA99" s="21" t="n">
        <v>199.787</v>
      </c>
      <c r="AB99" s="21" t="n">
        <v>362.635</v>
      </c>
      <c r="AC99" s="21" t="n">
        <v>190.475</v>
      </c>
      <c r="AD99" s="21" t="n">
        <v>259.505</v>
      </c>
      <c r="AE99" s="21" t="n">
        <v>288.714</v>
      </c>
      <c r="AF99" s="21" t="n">
        <v>238.206</v>
      </c>
      <c r="AG99" s="21" t="n">
        <v>157.716</v>
      </c>
      <c r="AH99" s="21" t="n">
        <v>286.832</v>
      </c>
      <c r="AI99" s="21" t="n">
        <v>293.098</v>
      </c>
      <c r="AJ99" s="21" t="n">
        <v>185.977</v>
      </c>
      <c r="AK99" s="21" t="n">
        <v>304.382</v>
      </c>
      <c r="AL99" s="21" t="n">
        <v>195.661</v>
      </c>
      <c r="AM99" s="21" t="n">
        <v>323.705</v>
      </c>
      <c r="AN99" s="21" t="n">
        <v>292.56</v>
      </c>
      <c r="AO99" s="21" t="n">
        <v>199.934</v>
      </c>
      <c r="AP99" s="21" t="n">
        <v>360.246</v>
      </c>
      <c r="AQ99" s="21" t="n">
        <v>228.047</v>
      </c>
      <c r="AR99" s="21" t="n">
        <v>177.918</v>
      </c>
      <c r="AS99" s="21" t="n">
        <v>249.255</v>
      </c>
      <c r="AT99" s="21" t="n">
        <v>375.509</v>
      </c>
      <c r="AU99" s="21" t="n">
        <v>353.527</v>
      </c>
      <c r="AV99" s="21" t="n">
        <v>272.271</v>
      </c>
      <c r="AW99" s="21" t="n">
        <v>179.36</v>
      </c>
      <c r="AX99" s="21" t="n">
        <v>258.081</v>
      </c>
      <c r="AY99" s="21" t="n">
        <v>185.242</v>
      </c>
      <c r="AZ99" s="21" t="n">
        <v>271.117</v>
      </c>
      <c r="BA99" s="21" t="n">
        <v>273.179</v>
      </c>
      <c r="BB99" s="21" t="n">
        <v>191.518</v>
      </c>
      <c r="BC99" s="21" t="n">
        <v>349.822</v>
      </c>
      <c r="BD99" s="21" t="n">
        <v>393.694</v>
      </c>
      <c r="BE99" s="21" t="n">
        <v>405.594</v>
      </c>
      <c r="BF99" s="21" t="n">
        <v>378.319</v>
      </c>
      <c r="BG99" s="21" t="n">
        <v>212.403</v>
      </c>
      <c r="BH99" s="21" t="n">
        <v>296.035</v>
      </c>
      <c r="BI99" s="21" t="n">
        <v>580.924</v>
      </c>
      <c r="BJ99" s="21" t="n">
        <v>133.145</v>
      </c>
      <c r="BK99" s="21" t="n">
        <v>379.873</v>
      </c>
      <c r="BL99" s="21" t="n">
        <v>438.304</v>
      </c>
      <c r="BM99" s="21" t="n">
        <v>415.052</v>
      </c>
      <c r="BN99" s="21" t="n">
        <v>359.968</v>
      </c>
      <c r="BO99" s="21" t="n">
        <v>369.276</v>
      </c>
      <c r="BP99" s="21" t="n">
        <v>201.076</v>
      </c>
      <c r="BQ99" s="21" t="n">
        <v>212.599</v>
      </c>
      <c r="BR99" s="21" t="n">
        <v>202.009</v>
      </c>
      <c r="BS99" s="21" t="n">
        <v>227.078</v>
      </c>
      <c r="BT99" s="21" t="n">
        <v>187.881</v>
      </c>
      <c r="BU99" s="21" t="n">
        <v>263.362</v>
      </c>
      <c r="BV99" s="21" t="n">
        <v>188.272</v>
      </c>
      <c r="BW99" s="21" t="n">
        <v>214.533</v>
      </c>
      <c r="BX99" s="21" t="n">
        <v>169.41</v>
      </c>
      <c r="BY99" s="21" t="n">
        <v>218.783</v>
      </c>
      <c r="BZ99" s="21" t="n">
        <v>151.781</v>
      </c>
      <c r="CA99" s="21" t="n">
        <v>142.261</v>
      </c>
      <c r="CB99" s="21" t="n">
        <v>240.092</v>
      </c>
      <c r="CC99" s="21" t="n">
        <v>252.027</v>
      </c>
      <c r="CD99" s="21" t="n">
        <v>154.026</v>
      </c>
      <c r="CE99" s="21" t="n">
        <v>267.2</v>
      </c>
      <c r="CF99" s="21" t="n">
        <v>275.628</v>
      </c>
      <c r="CG99" s="21" t="n">
        <v>252.025</v>
      </c>
      <c r="CH99" s="21" t="n">
        <v>185.333</v>
      </c>
      <c r="CI99" s="21" t="n">
        <v>191.259</v>
      </c>
      <c r="CJ99" s="21" t="n">
        <v>310.341</v>
      </c>
      <c r="CK99" s="21" t="n">
        <v>284.782</v>
      </c>
      <c r="CL99" s="21" t="n">
        <v>315.249</v>
      </c>
      <c r="CM99" s="21" t="n">
        <v>485.666</v>
      </c>
      <c r="CN99" s="21" t="n">
        <v>172.011</v>
      </c>
      <c r="CO99" s="21" t="n">
        <v>214.544</v>
      </c>
      <c r="CP99" s="21" t="n">
        <v>282.37</v>
      </c>
      <c r="CQ99" s="21" t="n">
        <v>312.741</v>
      </c>
      <c r="CR99" s="21" t="n">
        <v>212.677</v>
      </c>
      <c r="CS99" s="21" t="n">
        <v>308.057</v>
      </c>
      <c r="CT99" s="21" t="n">
        <v>300.022</v>
      </c>
      <c r="CU99" s="21" t="n">
        <v>183.182</v>
      </c>
      <c r="CV99" s="21" t="n">
        <v>183.928</v>
      </c>
      <c r="CW99" s="21" t="n">
        <v>178.053</v>
      </c>
      <c r="CX99" s="21" t="n">
        <v>342.331</v>
      </c>
      <c r="CY99" s="21" t="n">
        <v>167.314</v>
      </c>
      <c r="CZ99" s="21" t="n">
        <v>157.176</v>
      </c>
      <c r="DA99" s="21" t="n">
        <v>347.869</v>
      </c>
      <c r="DB99" s="21" t="n">
        <v>214.996</v>
      </c>
      <c r="DC99" s="21" t="n">
        <v>192.362</v>
      </c>
      <c r="DD99" s="21" t="n">
        <v>191.617</v>
      </c>
      <c r="DE99" s="21" t="n">
        <v>226.378</v>
      </c>
      <c r="DF99" s="21" t="n">
        <v>282.377</v>
      </c>
      <c r="DG99" s="21" t="n">
        <v>225.001</v>
      </c>
      <c r="DH99" s="21" t="n">
        <v>266.014</v>
      </c>
      <c r="DI99" s="21" t="n">
        <v>209.413</v>
      </c>
      <c r="DJ99" s="21" t="n">
        <v>218.868</v>
      </c>
      <c r="DK99" s="21" t="n">
        <v>205.973</v>
      </c>
      <c r="DL99" s="21" t="n">
        <v>180.685</v>
      </c>
      <c r="DM99" s="21" t="n">
        <v>408.833</v>
      </c>
      <c r="DN99" s="21" t="n">
        <v>224.064</v>
      </c>
      <c r="DO99" s="21" t="n">
        <v>315.355</v>
      </c>
      <c r="DP99" s="21" t="n">
        <v>372.636</v>
      </c>
      <c r="DQ99" s="21" t="n">
        <v>390.904</v>
      </c>
      <c r="DR99" s="21" t="n">
        <v>189.436</v>
      </c>
      <c r="DS99" s="21" t="n">
        <v>610.4450000000001</v>
      </c>
      <c r="DT99" s="21" t="n">
        <v>391.438</v>
      </c>
      <c r="DU99" s="21" t="n">
        <v>381.63</v>
      </c>
      <c r="DV99" s="21" t="n">
        <v>381.702</v>
      </c>
      <c r="DW99" s="21" t="n">
        <v>309.325</v>
      </c>
      <c r="DX99" s="21" t="n">
        <v>262.66</v>
      </c>
      <c r="DY99" s="21" t="n">
        <v>391.687</v>
      </c>
      <c r="DZ99" s="21" t="n">
        <v>402.393</v>
      </c>
      <c r="EA99" s="21" t="n">
        <v>444.05</v>
      </c>
      <c r="EB99" s="21" t="n">
        <v>266.24</v>
      </c>
      <c r="EC99" s="21" t="n">
        <v>268.124</v>
      </c>
      <c r="ED99" s="21" t="n">
        <v>254.907</v>
      </c>
      <c r="EE99" s="21" t="n">
        <v>283.663</v>
      </c>
      <c r="EF99" s="21" t="n">
        <v>651.274</v>
      </c>
      <c r="EG99" s="21" t="n">
        <v>575.697</v>
      </c>
      <c r="EH99" s="21" t="n">
        <v>148.47</v>
      </c>
      <c r="EI99" s="21" t="n">
        <v>62.589</v>
      </c>
      <c r="EJ99" s="21" t="n">
        <v>76.322</v>
      </c>
      <c r="EK99" s="21" t="n">
        <v>44.664</v>
      </c>
      <c r="EL99" s="21" t="n">
        <v>137.918</v>
      </c>
      <c r="EM99" s="21" t="n">
        <v>84.898</v>
      </c>
      <c r="EN99" s="21" t="n">
        <v>90.09</v>
      </c>
      <c r="EO99" s="21" t="n">
        <v>98.414</v>
      </c>
      <c r="EP99" s="21" t="n">
        <v>115.364</v>
      </c>
      <c r="EQ99" s="21" t="n">
        <v>77.831</v>
      </c>
      <c r="ER99" s="21" t="n">
        <v>55.301</v>
      </c>
      <c r="ES99" s="21" t="n">
        <v>151.479</v>
      </c>
      <c r="ET99" s="21" t="n">
        <v>85.57899999999999</v>
      </c>
      <c r="EU99" s="21" t="n">
        <v>115.078</v>
      </c>
      <c r="EV99" s="21" t="n">
        <v>123.508</v>
      </c>
      <c r="EW99" s="21" t="n">
        <v>111.92</v>
      </c>
      <c r="EX99" s="21" t="n">
        <v>231.626</v>
      </c>
      <c r="EY99" s="21" t="n">
        <v>145.699</v>
      </c>
      <c r="EZ99" s="21" t="n">
        <v>140.351</v>
      </c>
      <c r="FA99" s="21" t="n">
        <v>198.985</v>
      </c>
      <c r="FB99" s="21" t="n">
        <v>130.239</v>
      </c>
      <c r="FC99" s="21" t="n">
        <v>124.702</v>
      </c>
      <c r="FD99" s="21" t="n">
        <v>127.375</v>
      </c>
      <c r="FE99" s="21" t="n">
        <v>101.815</v>
      </c>
      <c r="FF99" s="21" t="n">
        <v>178.903</v>
      </c>
      <c r="FG99" s="21" t="n">
        <v>77.422</v>
      </c>
      <c r="FH99" s="21" t="n">
        <v>127.254</v>
      </c>
      <c r="FI99" s="21" t="n">
        <v>113.14</v>
      </c>
      <c r="FJ99" s="21" t="n">
        <v>109.49</v>
      </c>
      <c r="FK99" s="21" t="n">
        <v>110.343</v>
      </c>
      <c r="FL99" s="21" t="n">
        <v>101.872</v>
      </c>
      <c r="FM99" s="21" t="n">
        <v>110.505</v>
      </c>
      <c r="FN99" s="21" t="n">
        <v>75.26900000000001</v>
      </c>
      <c r="FO99" s="21" t="n">
        <v>112.813</v>
      </c>
      <c r="FP99" s="21" t="n">
        <v>104.959</v>
      </c>
      <c r="FQ99" s="21" t="n">
        <v>144.555</v>
      </c>
      <c r="FR99" s="21" t="n">
        <v>147.989</v>
      </c>
      <c r="FS99" s="21" t="n">
        <v>165.037</v>
      </c>
      <c r="FT99" s="21" t="n">
        <v>132.93</v>
      </c>
      <c r="FU99" s="21" t="n">
        <v>125.688</v>
      </c>
      <c r="FV99" s="21" t="n">
        <v>200.101</v>
      </c>
      <c r="FW99" s="21" t="n">
        <v>158.438</v>
      </c>
      <c r="FX99" s="21" t="n">
        <v>198.118</v>
      </c>
      <c r="FY99" s="21" t="n">
        <v>263.822</v>
      </c>
      <c r="FZ99" s="21" t="n">
        <v>262.411</v>
      </c>
      <c r="GA99" s="21" t="n">
        <v>126.532</v>
      </c>
      <c r="GB99" s="21" t="n">
        <v>178.281</v>
      </c>
      <c r="GC99" s="21" t="n"/>
      <c r="GD99" s="21" t="n">
        <v>174.541</v>
      </c>
      <c r="GE99" s="21" t="n">
        <v>190.084</v>
      </c>
      <c r="GF99" s="21" t="n"/>
      <c r="GG99" s="21" t="n">
        <v>187.711</v>
      </c>
      <c r="GH99" s="21" t="n"/>
      <c r="GI99" s="21" t="n">
        <v>191.863</v>
      </c>
      <c r="GJ99" s="21" t="n">
        <v>318.622</v>
      </c>
      <c r="GK99" s="21" t="n">
        <v>316.327</v>
      </c>
      <c r="GL99" s="21" t="n">
        <v>309.876</v>
      </c>
      <c r="GM99" s="21" t="n">
        <v>342.58</v>
      </c>
      <c r="GN99" s="21" t="n">
        <v>335.393</v>
      </c>
      <c r="GO99" s="21" t="n">
        <v>332.558</v>
      </c>
      <c r="GP99" s="21" t="n">
        <v>181.037</v>
      </c>
      <c r="GQ99" s="21" t="n">
        <v>153.169</v>
      </c>
      <c r="GR99" s="21" t="n">
        <v>372.572</v>
      </c>
      <c r="GS99" s="21" t="n">
        <v>239.881</v>
      </c>
      <c r="GT99" s="21" t="n">
        <v>663.946</v>
      </c>
      <c r="GU99" s="21" t="n">
        <v>225.517</v>
      </c>
      <c r="GV99" s="21" t="n">
        <v>259.392</v>
      </c>
      <c r="GW99" s="21" t="n">
        <v>281.881</v>
      </c>
      <c r="GX99" s="21" t="n">
        <v>284.722</v>
      </c>
      <c r="GY99" s="21" t="n">
        <v>164.881</v>
      </c>
      <c r="GZ99" s="21" t="n"/>
      <c r="HA99" s="21" t="n">
        <v>61.795</v>
      </c>
      <c r="HB99" s="21" t="n">
        <v>549.313</v>
      </c>
      <c r="HC99" s="21" t="n">
        <v>396.56</v>
      </c>
      <c r="HD99" s="21" t="n">
        <v>129.638</v>
      </c>
      <c r="HE99" s="21" t="n">
        <v>546.312</v>
      </c>
      <c r="HF99" s="21" t="n">
        <v>102.507</v>
      </c>
      <c r="HG99" s="21" t="n">
        <v>598.546</v>
      </c>
      <c r="HH99" s="21" t="n">
        <v>416.709</v>
      </c>
      <c r="HI99" s="21" t="n">
        <v>413.034</v>
      </c>
      <c r="HJ99" s="21" t="n">
        <v>566.11</v>
      </c>
      <c r="HK99" s="21" t="n">
        <v>199.544</v>
      </c>
      <c r="HL99" s="21" t="n">
        <v>256.305</v>
      </c>
      <c r="HM99" s="21" t="n">
        <v>91.813</v>
      </c>
      <c r="HN99" s="21" t="n">
        <v>384.996</v>
      </c>
      <c r="HO99" s="21" t="n">
        <v>372.233</v>
      </c>
      <c r="HP99" s="21" t="n">
        <v>834.3390000000001</v>
      </c>
      <c r="HQ99" s="21" t="n">
        <v>271.942</v>
      </c>
      <c r="HR99" s="21" t="n">
        <v>135.185</v>
      </c>
      <c r="HS99" s="21" t="n">
        <v>114.664</v>
      </c>
      <c r="HT99" s="21" t="n">
        <v>115.341</v>
      </c>
      <c r="HU99" s="21" t="n">
        <v>558.241</v>
      </c>
      <c r="HV99" s="21" t="n">
        <v>111.265</v>
      </c>
      <c r="HW99" s="21" t="n">
        <v>26.325</v>
      </c>
      <c r="HX99" s="21" t="n">
        <v>213.571</v>
      </c>
      <c r="HY99" s="21" t="n">
        <v>236.802</v>
      </c>
      <c r="HZ99" s="21" t="n">
        <v>185.33</v>
      </c>
      <c r="IA99" s="21" t="n">
        <v>130.482</v>
      </c>
      <c r="IB99" s="21" t="n">
        <v>316.321</v>
      </c>
      <c r="IC99" s="21" t="n">
        <v>235.064</v>
      </c>
      <c r="ID99" s="21" t="n">
        <v>332.604</v>
      </c>
      <c r="IE99" s="21" t="n">
        <v>128.931</v>
      </c>
      <c r="IF99" s="21" t="n">
        <v>180.039</v>
      </c>
      <c r="IG99" s="21" t="n">
        <v>86.663</v>
      </c>
      <c r="IH99" s="21" t="n">
        <v>84.664</v>
      </c>
      <c r="II99" s="21" t="n">
        <v>62.645</v>
      </c>
      <c r="IJ99" s="21" t="n">
        <v>25.983</v>
      </c>
      <c r="IK99" s="21" t="n">
        <v>34.801</v>
      </c>
      <c r="IL99" s="21" t="n">
        <v>29.992</v>
      </c>
      <c r="IM99" s="21" t="n">
        <v>39.719</v>
      </c>
      <c r="IN99" s="21" t="n">
        <v>97.706</v>
      </c>
      <c r="IO99" s="21" t="n">
        <v>117.339</v>
      </c>
      <c r="IP99" s="21" t="n">
        <v>191.504</v>
      </c>
      <c r="IQ99" s="21" t="n">
        <v>156.467</v>
      </c>
      <c r="IR99" s="21" t="n">
        <v>438.028</v>
      </c>
      <c r="IS99" s="21" t="n">
        <v>213.034</v>
      </c>
      <c r="IT99" s="21" t="n">
        <v>240.169</v>
      </c>
      <c r="IU99" s="21" t="n">
        <v>370.449</v>
      </c>
      <c r="IV99" s="21" t="n">
        <v>284.162</v>
      </c>
      <c r="IW99" s="21" t="n">
        <v>145.449</v>
      </c>
      <c r="IX99" s="21" t="n">
        <v>287.791</v>
      </c>
      <c r="IY99" s="21" t="n">
        <v>717.706</v>
      </c>
      <c r="IZ99" s="21" t="n">
        <v>826.9299999999999</v>
      </c>
      <c r="JA99" s="21" t="n">
        <v>916.8390000000001</v>
      </c>
      <c r="JB99" s="21" t="n">
        <v>91.64</v>
      </c>
      <c r="JC99" s="21" t="n">
        <v>341.483</v>
      </c>
      <c r="JD99" s="21" t="n">
        <v>269.909</v>
      </c>
      <c r="JE99" s="21" t="n">
        <v>75.79900000000001</v>
      </c>
      <c r="JF99" s="21" t="n">
        <v>230.295</v>
      </c>
      <c r="JG99" s="21" t="n">
        <v>357.276</v>
      </c>
      <c r="JH99" s="21" t="n">
        <v>413.075</v>
      </c>
      <c r="JI99" s="21" t="n">
        <v>71.40300000000001</v>
      </c>
      <c r="JJ99" s="21" t="n">
        <v>106.103</v>
      </c>
      <c r="JK99" s="21" t="n">
        <v>37.712</v>
      </c>
      <c r="JL99" s="21" t="n">
        <v>82.869</v>
      </c>
      <c r="JM99" s="21" t="n">
        <v>120.808</v>
      </c>
      <c r="JN99" s="21" t="n">
        <v>525.985</v>
      </c>
      <c r="JO99" s="21" t="n">
        <v>88.45699999999999</v>
      </c>
      <c r="JP99" s="21" t="n">
        <v>579.953</v>
      </c>
      <c r="JQ99" s="21" t="n">
        <v>267.739</v>
      </c>
      <c r="JR99" s="21" t="n">
        <v>172.22</v>
      </c>
      <c r="JS99" s="21" t="n">
        <v>512.826</v>
      </c>
      <c r="JT99" s="21" t="n">
        <v>409.39</v>
      </c>
      <c r="JU99" s="21" t="n">
        <v>372.592</v>
      </c>
      <c r="JV99" s="21" t="n">
        <v>214.178</v>
      </c>
      <c r="JW99" s="21" t="n">
        <v>406.441</v>
      </c>
      <c r="JX99" s="21" t="n">
        <v>309.021</v>
      </c>
      <c r="JY99" s="21" t="n">
        <v>89.931</v>
      </c>
      <c r="JZ99" s="21" t="n">
        <v>198.095</v>
      </c>
      <c r="KA99" s="21" t="n">
        <v>289.493</v>
      </c>
      <c r="KB99" s="21" t="n">
        <v>305.663</v>
      </c>
      <c r="KC99" s="21" t="n">
        <v>298.51</v>
      </c>
      <c r="KD99" s="21" t="n">
        <v>304.123</v>
      </c>
      <c r="KE99" s="21" t="n">
        <v>276.98</v>
      </c>
      <c r="KF99" s="21" t="n">
        <v>266.223</v>
      </c>
      <c r="KG99" s="21" t="n">
        <v>266.19</v>
      </c>
      <c r="KH99" s="21" t="n">
        <v>270.383</v>
      </c>
      <c r="KI99" s="21" t="n">
        <v>122.085</v>
      </c>
      <c r="KJ99" s="21" t="n">
        <v>222.861</v>
      </c>
      <c r="KK99" s="21" t="n">
        <v>180.927</v>
      </c>
      <c r="KL99" s="21" t="n">
        <v>177.346</v>
      </c>
      <c r="KM99" s="21" t="n">
        <v>166.408</v>
      </c>
      <c r="KN99" s="21" t="n">
        <v>164.149</v>
      </c>
      <c r="KO99" s="21" t="n">
        <v>312.657</v>
      </c>
      <c r="KP99" s="21" t="n">
        <v>126.384</v>
      </c>
      <c r="KQ99" s="21" t="n">
        <v>60.526</v>
      </c>
      <c r="KR99" s="21" t="n">
        <v>120.263</v>
      </c>
      <c r="KS99" s="21" t="n">
        <v>288.702</v>
      </c>
      <c r="KT99" s="21" t="n">
        <v>324.494</v>
      </c>
      <c r="KU99" s="21" t="n">
        <v>108.704</v>
      </c>
      <c r="KV99" s="21" t="n">
        <v>41.961</v>
      </c>
      <c r="KW99" s="21" t="n">
        <v>273.192</v>
      </c>
      <c r="KX99" s="21" t="n">
        <v>233.399</v>
      </c>
      <c r="KY99" s="21" t="n">
        <v>294.608</v>
      </c>
      <c r="KZ99" s="21" t="n">
        <v>230.37</v>
      </c>
      <c r="LA99" s="21" t="n">
        <v>297.506</v>
      </c>
      <c r="LB99" s="21" t="n">
        <v>133.099</v>
      </c>
      <c r="LC99" s="21" t="n">
        <v>400.101</v>
      </c>
      <c r="LD99" s="21" t="n">
        <v>85.95399999999999</v>
      </c>
      <c r="LE99" s="21" t="n">
        <v>142.566</v>
      </c>
      <c r="LF99" s="21" t="n">
        <v>389.109</v>
      </c>
      <c r="LG99" s="21" t="n">
        <v>378.515</v>
      </c>
      <c r="LH99" s="21" t="n">
        <v>390.116</v>
      </c>
      <c r="LI99" s="21" t="n">
        <v>361.638</v>
      </c>
      <c r="LJ99" s="21" t="n">
        <v>395.296</v>
      </c>
      <c r="LK99" s="21" t="n">
        <v>132.062</v>
      </c>
      <c r="LL99" s="21" t="n">
        <v>383.301</v>
      </c>
      <c r="LM99" s="21" t="n">
        <v>257.836</v>
      </c>
      <c r="LN99" s="21" t="n">
        <v>34.012</v>
      </c>
      <c r="LO99" s="21" t="n">
        <v>146.891</v>
      </c>
    </row>
    <row r="100">
      <c r="A100" s="22" t="n">
        <v>44986</v>
      </c>
      <c r="B100" s="21" t="n">
        <v>301.821</v>
      </c>
      <c r="C100" s="21" t="n">
        <v>318.05</v>
      </c>
      <c r="D100" s="21" t="n">
        <v>320.554</v>
      </c>
      <c r="E100" s="21" t="n">
        <v>301.467</v>
      </c>
      <c r="F100" s="21" t="n">
        <v>353.107</v>
      </c>
      <c r="G100" s="21" t="n">
        <v>287.749</v>
      </c>
      <c r="H100" s="21" t="n">
        <v>319.876</v>
      </c>
      <c r="I100" s="21" t="n">
        <v>277.523</v>
      </c>
      <c r="J100" s="21" t="n">
        <v>295.236</v>
      </c>
      <c r="K100" s="21" t="n">
        <v>391.639</v>
      </c>
      <c r="L100" s="21" t="n">
        <v>236.502</v>
      </c>
      <c r="M100" s="21" t="n">
        <v>229.399</v>
      </c>
      <c r="N100" s="21" t="n">
        <v>372.111</v>
      </c>
      <c r="O100" s="21" t="n">
        <v>351.309</v>
      </c>
      <c r="P100" s="21" t="n">
        <v>349.883</v>
      </c>
      <c r="Q100" s="21" t="n">
        <v>415.934</v>
      </c>
      <c r="R100" s="21" t="n">
        <v>346.703</v>
      </c>
      <c r="S100" s="21" t="n">
        <v>318.387</v>
      </c>
      <c r="T100" s="21" t="n">
        <v>318.779</v>
      </c>
      <c r="U100" s="21" t="n">
        <v>322.293</v>
      </c>
      <c r="V100" s="21" t="n">
        <v>389.329</v>
      </c>
      <c r="W100" s="21" t="n">
        <v>334.52</v>
      </c>
      <c r="X100" s="21" t="n">
        <v>304.542</v>
      </c>
      <c r="Y100" s="21" t="n">
        <v>262.771</v>
      </c>
      <c r="Z100" s="21" t="n">
        <v>264.878</v>
      </c>
      <c r="AA100" s="21" t="n">
        <v>199.753</v>
      </c>
      <c r="AB100" s="21" t="n">
        <v>364.252</v>
      </c>
      <c r="AC100" s="21" t="n">
        <v>188.854</v>
      </c>
      <c r="AD100" s="21" t="n">
        <v>252.348</v>
      </c>
      <c r="AE100" s="21" t="n">
        <v>281.72</v>
      </c>
      <c r="AF100" s="21" t="n">
        <v>234.76</v>
      </c>
      <c r="AG100" s="21" t="n">
        <v>154.858</v>
      </c>
      <c r="AH100" s="21" t="n">
        <v>288.793</v>
      </c>
      <c r="AI100" s="21" t="n">
        <v>286.3</v>
      </c>
      <c r="AJ100" s="21" t="n">
        <v>188.327</v>
      </c>
      <c r="AK100" s="21" t="n">
        <v>302.276</v>
      </c>
      <c r="AL100" s="21" t="n">
        <v>193.37</v>
      </c>
      <c r="AM100" s="21" t="n">
        <v>318.415</v>
      </c>
      <c r="AN100" s="21" t="n">
        <v>290.512</v>
      </c>
      <c r="AO100" s="21" t="n">
        <v>200.986</v>
      </c>
      <c r="AP100" s="21" t="n">
        <v>356.279</v>
      </c>
      <c r="AQ100" s="21" t="n">
        <v>226.775</v>
      </c>
      <c r="AR100" s="21" t="n">
        <v>176.438</v>
      </c>
      <c r="AS100" s="21" t="n">
        <v>244.048</v>
      </c>
      <c r="AT100" s="21" t="n">
        <v>376.586</v>
      </c>
      <c r="AU100" s="21" t="n">
        <v>314.227</v>
      </c>
      <c r="AV100" s="21" t="n">
        <v>271.384</v>
      </c>
      <c r="AW100" s="21" t="n">
        <v>176.994</v>
      </c>
      <c r="AX100" s="21" t="n">
        <v>254.998</v>
      </c>
      <c r="AY100" s="21" t="n">
        <v>182.889</v>
      </c>
      <c r="AZ100" s="21" t="n">
        <v>271.021</v>
      </c>
      <c r="BA100" s="21" t="n">
        <v>275.503</v>
      </c>
      <c r="BB100" s="21" t="n">
        <v>190.973</v>
      </c>
      <c r="BC100" s="21" t="n">
        <v>345.61</v>
      </c>
      <c r="BD100" s="21" t="n">
        <v>388.28</v>
      </c>
      <c r="BE100" s="21" t="n">
        <v>401.976</v>
      </c>
      <c r="BF100" s="21" t="n">
        <v>377.701</v>
      </c>
      <c r="BG100" s="21" t="n">
        <v>209.243</v>
      </c>
      <c r="BH100" s="21" t="n">
        <v>295.368</v>
      </c>
      <c r="BI100" s="21" t="n">
        <v>578.756</v>
      </c>
      <c r="BJ100" s="21" t="n">
        <v>130.216</v>
      </c>
      <c r="BK100" s="21" t="n">
        <v>372.563</v>
      </c>
      <c r="BL100" s="21" t="n">
        <v>432.314</v>
      </c>
      <c r="BM100" s="21" t="n">
        <v>387.573</v>
      </c>
      <c r="BN100" s="21" t="n">
        <v>352.651</v>
      </c>
      <c r="BO100" s="21" t="n">
        <v>366.13</v>
      </c>
      <c r="BP100" s="21" t="n">
        <v>199.647</v>
      </c>
      <c r="BQ100" s="21" t="n">
        <v>211.389</v>
      </c>
      <c r="BR100" s="21" t="n">
        <v>200.415</v>
      </c>
      <c r="BS100" s="21" t="n">
        <v>225.441</v>
      </c>
      <c r="BT100" s="21" t="n">
        <v>187.745</v>
      </c>
      <c r="BU100" s="21" t="n">
        <v>262.745</v>
      </c>
      <c r="BV100" s="21" t="n">
        <v>186.266</v>
      </c>
      <c r="BW100" s="21" t="n">
        <v>214.874</v>
      </c>
      <c r="BX100" s="21" t="n">
        <v>169.65</v>
      </c>
      <c r="BY100" s="21" t="n">
        <v>218.99</v>
      </c>
      <c r="BZ100" s="21" t="n">
        <v>151.84</v>
      </c>
      <c r="CA100" s="21" t="n">
        <v>142.497</v>
      </c>
      <c r="CB100" s="21" t="n">
        <v>239.538</v>
      </c>
      <c r="CC100" s="21" t="n">
        <v>251.776</v>
      </c>
      <c r="CD100" s="21" t="n">
        <v>155.101</v>
      </c>
      <c r="CE100" s="21" t="n">
        <v>268.229</v>
      </c>
      <c r="CF100" s="21" t="n">
        <v>275.829</v>
      </c>
      <c r="CG100" s="21" t="n">
        <v>252.262</v>
      </c>
      <c r="CH100" s="21" t="n">
        <v>186.502</v>
      </c>
      <c r="CI100" s="21" t="n">
        <v>189.583</v>
      </c>
      <c r="CJ100" s="21" t="n">
        <v>309.587</v>
      </c>
      <c r="CK100" s="21" t="n">
        <v>278.398</v>
      </c>
      <c r="CL100" s="21" t="n">
        <v>302.379</v>
      </c>
      <c r="CM100" s="21" t="n">
        <v>479.977</v>
      </c>
      <c r="CN100" s="21" t="n">
        <v>174.88</v>
      </c>
      <c r="CO100" s="21" t="n">
        <v>215.287</v>
      </c>
      <c r="CP100" s="21" t="n">
        <v>283.866</v>
      </c>
      <c r="CQ100" s="21" t="n">
        <v>313.553</v>
      </c>
      <c r="CR100" s="21" t="n">
        <v>214.527</v>
      </c>
      <c r="CS100" s="21" t="n">
        <v>311.418</v>
      </c>
      <c r="CT100" s="21" t="n">
        <v>300.852</v>
      </c>
      <c r="CU100" s="21" t="n">
        <v>187.214</v>
      </c>
      <c r="CV100" s="21" t="n">
        <v>184.88</v>
      </c>
      <c r="CW100" s="21" t="n">
        <v>178.228</v>
      </c>
      <c r="CX100" s="21" t="n">
        <v>342.471</v>
      </c>
      <c r="CY100" s="21" t="n">
        <v>168.529</v>
      </c>
      <c r="CZ100" s="21" t="n">
        <v>158.524</v>
      </c>
      <c r="DA100" s="21" t="n">
        <v>349.944</v>
      </c>
      <c r="DB100" s="21" t="n">
        <v>216.558</v>
      </c>
      <c r="DC100" s="21" t="n">
        <v>192.711</v>
      </c>
      <c r="DD100" s="21" t="n">
        <v>192.25</v>
      </c>
      <c r="DE100" s="21" t="n">
        <v>228.108</v>
      </c>
      <c r="DF100" s="21" t="n">
        <v>282.588</v>
      </c>
      <c r="DG100" s="21" t="n">
        <v>224.835</v>
      </c>
      <c r="DH100" s="21" t="n">
        <v>266.425</v>
      </c>
      <c r="DI100" s="21" t="n">
        <v>207.534</v>
      </c>
      <c r="DJ100" s="21" t="n">
        <v>218.845</v>
      </c>
      <c r="DK100" s="21" t="n">
        <v>203.83</v>
      </c>
      <c r="DL100" s="21" t="n">
        <v>181.073</v>
      </c>
      <c r="DM100" s="21" t="n">
        <v>409.906</v>
      </c>
      <c r="DN100" s="21" t="n">
        <v>224.529</v>
      </c>
      <c r="DO100" s="21" t="n">
        <v>316.363</v>
      </c>
      <c r="DP100" s="21" t="n">
        <v>374.678</v>
      </c>
      <c r="DQ100" s="21" t="n">
        <v>392.787</v>
      </c>
      <c r="DR100" s="21" t="n">
        <v>194.212</v>
      </c>
      <c r="DS100" s="21" t="n">
        <v>611.647</v>
      </c>
      <c r="DT100" s="21" t="n">
        <v>402.729</v>
      </c>
      <c r="DU100" s="21" t="n">
        <v>383.473</v>
      </c>
      <c r="DV100" s="21" t="n">
        <v>383.548</v>
      </c>
      <c r="DW100" s="21" t="n">
        <v>304.985</v>
      </c>
      <c r="DX100" s="21" t="n">
        <v>257.752</v>
      </c>
      <c r="DY100" s="21" t="n">
        <v>385.185</v>
      </c>
      <c r="DZ100" s="21" t="n">
        <v>392.44</v>
      </c>
      <c r="EA100" s="21" t="n">
        <v>442.845</v>
      </c>
      <c r="EB100" s="21" t="n">
        <v>261.234</v>
      </c>
      <c r="EC100" s="21" t="n">
        <v>266.662</v>
      </c>
      <c r="ED100" s="21" t="n">
        <v>239.615</v>
      </c>
      <c r="EE100" s="21" t="n">
        <v>284.166</v>
      </c>
      <c r="EF100" s="21" t="n">
        <v>652.403</v>
      </c>
      <c r="EG100" s="21" t="n">
        <v>576.773</v>
      </c>
      <c r="EH100" s="21" t="n">
        <v>148.989</v>
      </c>
      <c r="EI100" s="21" t="n">
        <v>62.713</v>
      </c>
      <c r="EJ100" s="21" t="n">
        <v>75.93000000000001</v>
      </c>
      <c r="EK100" s="21" t="n">
        <v>44.851</v>
      </c>
      <c r="EL100" s="21" t="n">
        <v>138.416</v>
      </c>
      <c r="EM100" s="21" t="n">
        <v>86.673</v>
      </c>
      <c r="EN100" s="21" t="n">
        <v>90.751</v>
      </c>
      <c r="EO100" s="21" t="n">
        <v>97.312</v>
      </c>
      <c r="EP100" s="21" t="n">
        <v>118.41</v>
      </c>
      <c r="EQ100" s="21" t="n">
        <v>78.73</v>
      </c>
      <c r="ER100" s="21" t="n">
        <v>55.45</v>
      </c>
      <c r="ES100" s="21" t="n">
        <v>154.245</v>
      </c>
      <c r="ET100" s="21" t="n">
        <v>83.93000000000001</v>
      </c>
      <c r="EU100" s="21" t="n">
        <v>115.515</v>
      </c>
      <c r="EV100" s="21" t="n">
        <v>124.044</v>
      </c>
      <c r="EW100" s="21" t="n">
        <v>112.102</v>
      </c>
      <c r="EX100" s="21" t="n">
        <v>232.82</v>
      </c>
      <c r="EY100" s="21" t="n">
        <v>147.222</v>
      </c>
      <c r="EZ100" s="21" t="n">
        <v>140.097</v>
      </c>
      <c r="FA100" s="21" t="n">
        <v>202.376</v>
      </c>
      <c r="FB100" s="21" t="n">
        <v>130.426</v>
      </c>
      <c r="FC100" s="21" t="n">
        <v>125.621</v>
      </c>
      <c r="FD100" s="21" t="n">
        <v>128.458</v>
      </c>
      <c r="FE100" s="21" t="n">
        <v>103.894</v>
      </c>
      <c r="FF100" s="21" t="n">
        <v>178.305</v>
      </c>
      <c r="FG100" s="21" t="n">
        <v>77.31999999999999</v>
      </c>
      <c r="FH100" s="21" t="n">
        <v>132.935</v>
      </c>
      <c r="FI100" s="21" t="n">
        <v>114.207</v>
      </c>
      <c r="FJ100" s="21" t="n">
        <v>109.577</v>
      </c>
      <c r="FK100" s="21" t="n">
        <v>110.489</v>
      </c>
      <c r="FL100" s="21" t="n">
        <v>103.657</v>
      </c>
      <c r="FM100" s="21" t="n">
        <v>108.112</v>
      </c>
      <c r="FN100" s="21" t="n">
        <v>75.124</v>
      </c>
      <c r="FO100" s="21" t="n">
        <v>112.324</v>
      </c>
      <c r="FP100" s="21" t="n">
        <v>104.768</v>
      </c>
      <c r="FQ100" s="21" t="n">
        <v>144.273</v>
      </c>
      <c r="FR100" s="21" t="n">
        <v>145.741</v>
      </c>
      <c r="FS100" s="21" t="n">
        <v>170.764</v>
      </c>
      <c r="FT100" s="21" t="n">
        <v>131.602</v>
      </c>
      <c r="FU100" s="21" t="n">
        <v>125.77</v>
      </c>
      <c r="FV100" s="21" t="n">
        <v>199.149</v>
      </c>
      <c r="FW100" s="21" t="n">
        <v>151.827</v>
      </c>
      <c r="FX100" s="21" t="n">
        <v>199.05</v>
      </c>
      <c r="FY100" s="21" t="n">
        <v>263.521</v>
      </c>
      <c r="FZ100" s="21" t="n">
        <v>262.079</v>
      </c>
      <c r="GA100" s="21" t="n">
        <v>126.881</v>
      </c>
      <c r="GB100" s="21" t="n">
        <v>178.884</v>
      </c>
      <c r="GC100" s="21" t="n"/>
      <c r="GD100" s="21" t="n">
        <v>175.175</v>
      </c>
      <c r="GE100" s="21" t="n">
        <v>190.657</v>
      </c>
      <c r="GF100" s="21" t="n"/>
      <c r="GG100" s="21" t="n">
        <v>186.619</v>
      </c>
      <c r="GH100" s="21" t="n">
        <v>117.69</v>
      </c>
      <c r="GI100" s="21" t="n">
        <v>184.627</v>
      </c>
      <c r="GJ100" s="21" t="n">
        <v>311.693</v>
      </c>
      <c r="GK100" s="21" t="n">
        <v>309.776</v>
      </c>
      <c r="GL100" s="21" t="n">
        <v>303.055</v>
      </c>
      <c r="GM100" s="21" t="n">
        <v>337.28</v>
      </c>
      <c r="GN100" s="21" t="n">
        <v>331.354</v>
      </c>
      <c r="GO100" s="21" t="n">
        <v>316.209</v>
      </c>
      <c r="GP100" s="21" t="n">
        <v>181.282</v>
      </c>
      <c r="GQ100" s="21" t="n">
        <v>153.059</v>
      </c>
      <c r="GR100" s="21" t="n">
        <v>373.865</v>
      </c>
      <c r="GS100" s="21" t="n">
        <v>240.376</v>
      </c>
      <c r="GT100" s="21" t="n">
        <v>672.231</v>
      </c>
      <c r="GU100" s="21" t="n">
        <v>223.788</v>
      </c>
      <c r="GV100" s="21" t="n">
        <v>260.578</v>
      </c>
      <c r="GW100" s="21" t="n">
        <v>282.265</v>
      </c>
      <c r="GX100" s="21" t="n">
        <v>288.56</v>
      </c>
      <c r="GY100" s="21" t="n">
        <v>163.361</v>
      </c>
      <c r="GZ100" s="21" t="n"/>
      <c r="HA100" s="21" t="n">
        <v>62.01</v>
      </c>
      <c r="HB100" s="21" t="n">
        <v>547.138</v>
      </c>
      <c r="HC100" s="21" t="n">
        <v>398.917</v>
      </c>
      <c r="HD100" s="21" t="n">
        <v>130.344</v>
      </c>
      <c r="HE100" s="21" t="n">
        <v>547.078</v>
      </c>
      <c r="HF100" s="21" t="n">
        <v>103.449</v>
      </c>
      <c r="HG100" s="21" t="n">
        <v>594.856</v>
      </c>
      <c r="HH100" s="21" t="n">
        <v>416.899</v>
      </c>
      <c r="HI100" s="21" t="n">
        <v>412.119</v>
      </c>
      <c r="HJ100" s="21" t="n">
        <v>567.994</v>
      </c>
      <c r="HK100" s="21" t="n">
        <v>199.757</v>
      </c>
      <c r="HL100" s="21" t="n">
        <v>257.431</v>
      </c>
      <c r="HM100" s="21" t="n">
        <v>91.59099999999999</v>
      </c>
      <c r="HN100" s="21" t="n">
        <v>383.42</v>
      </c>
      <c r="HO100" s="21" t="n">
        <v>369.734</v>
      </c>
      <c r="HP100" s="21" t="n">
        <v>842.261</v>
      </c>
      <c r="HQ100" s="21" t="n">
        <v>273.241</v>
      </c>
      <c r="HR100" s="21" t="n">
        <v>135.354</v>
      </c>
      <c r="HS100" s="21" t="n">
        <v>115.369</v>
      </c>
      <c r="HT100" s="21" t="n">
        <v>114.465</v>
      </c>
      <c r="HU100" s="21" t="n">
        <v>564.294</v>
      </c>
      <c r="HV100" s="21" t="n">
        <v>113.925</v>
      </c>
      <c r="HW100" s="21" t="n">
        <v>26.224</v>
      </c>
      <c r="HX100" s="21" t="n">
        <v>214.869</v>
      </c>
      <c r="HY100" s="21" t="n">
        <v>238.643</v>
      </c>
      <c r="HZ100" s="21" t="n">
        <v>188.38</v>
      </c>
      <c r="IA100" s="21" t="n">
        <v>130.043</v>
      </c>
      <c r="IB100" s="21" t="n">
        <v>317.588</v>
      </c>
      <c r="IC100" s="21" t="n">
        <v>236.224</v>
      </c>
      <c r="ID100" s="21" t="n">
        <v>335.663</v>
      </c>
      <c r="IE100" s="21" t="n">
        <v>128.15</v>
      </c>
      <c r="IF100" s="21" t="n">
        <v>178.682</v>
      </c>
      <c r="IG100" s="21" t="n">
        <v>86.324</v>
      </c>
      <c r="IH100" s="21" t="n">
        <v>84.322</v>
      </c>
      <c r="II100" s="21" t="n">
        <v>63.183</v>
      </c>
      <c r="IJ100" s="21" t="n">
        <v>26.211</v>
      </c>
      <c r="IK100" s="21" t="n">
        <v>35.234</v>
      </c>
      <c r="IL100" s="21" t="n">
        <v>30.311</v>
      </c>
      <c r="IM100" s="21" t="n">
        <v>40.053</v>
      </c>
      <c r="IN100" s="21" t="n">
        <v>100.482</v>
      </c>
      <c r="IO100" s="21" t="n">
        <v>119.432</v>
      </c>
      <c r="IP100" s="21" t="n">
        <v>190.247</v>
      </c>
      <c r="IQ100" s="21" t="n">
        <v>156.064</v>
      </c>
      <c r="IR100" s="21" t="n">
        <v>431.088</v>
      </c>
      <c r="IS100" s="21" t="n">
        <v>215.38</v>
      </c>
      <c r="IT100" s="21" t="n">
        <v>230.877</v>
      </c>
      <c r="IU100" s="21" t="n">
        <v>369.676</v>
      </c>
      <c r="IV100" s="21" t="n">
        <v>286.582</v>
      </c>
      <c r="IW100" s="21" t="n">
        <v>145.692</v>
      </c>
      <c r="IX100" s="21" t="n">
        <v>288.986</v>
      </c>
      <c r="IY100" s="21" t="n">
        <v>707.8200000000001</v>
      </c>
      <c r="IZ100" s="21" t="n">
        <v>831.0309999999999</v>
      </c>
      <c r="JA100" s="21" t="n">
        <v>918.422</v>
      </c>
      <c r="JB100" s="21" t="n">
        <v>91.845</v>
      </c>
      <c r="JC100" s="21" t="n">
        <v>345.876</v>
      </c>
      <c r="JD100" s="21" t="n">
        <v>270.459</v>
      </c>
      <c r="JE100" s="21" t="n">
        <v>75.806</v>
      </c>
      <c r="JF100" s="21" t="n">
        <v>230.682</v>
      </c>
      <c r="JG100" s="21" t="n">
        <v>358.717</v>
      </c>
      <c r="JH100" s="21" t="n">
        <v>408.17</v>
      </c>
      <c r="JI100" s="21" t="n">
        <v>71.408</v>
      </c>
      <c r="JJ100" s="21" t="n">
        <v>106.541</v>
      </c>
      <c r="JK100" s="21" t="n">
        <v>37.957</v>
      </c>
      <c r="JL100" s="21" t="n">
        <v>83.61</v>
      </c>
      <c r="JM100" s="21" t="n">
        <v>119.767</v>
      </c>
      <c r="JN100" s="21" t="n">
        <v>528.194</v>
      </c>
      <c r="JO100" s="21" t="n">
        <v>89.122</v>
      </c>
      <c r="JP100" s="21" t="n">
        <v>585.879</v>
      </c>
      <c r="JQ100" s="21" t="n">
        <v>268.662</v>
      </c>
      <c r="JR100" s="21" t="n">
        <v>173.489</v>
      </c>
      <c r="JS100" s="21" t="n">
        <v>516.389</v>
      </c>
      <c r="JT100" s="21" t="n">
        <v>410.273</v>
      </c>
      <c r="JU100" s="21" t="n">
        <v>374.628</v>
      </c>
      <c r="JV100" s="21" t="n">
        <v>214.712</v>
      </c>
      <c r="JW100" s="21" t="n">
        <v>413.62</v>
      </c>
      <c r="JX100" s="21" t="n">
        <v>316.313</v>
      </c>
      <c r="JY100" s="21" t="n">
        <v>89.40600000000001</v>
      </c>
      <c r="JZ100" s="21" t="n">
        <v>196.049</v>
      </c>
      <c r="KA100" s="21" t="n">
        <v>289.98</v>
      </c>
      <c r="KB100" s="21" t="n">
        <v>306.545</v>
      </c>
      <c r="KC100" s="21" t="n">
        <v>298.934</v>
      </c>
      <c r="KD100" s="21" t="n">
        <v>305.147</v>
      </c>
      <c r="KE100" s="21" t="n">
        <v>276.704</v>
      </c>
      <c r="KF100" s="21" t="n">
        <v>265.886</v>
      </c>
      <c r="KG100" s="21" t="n">
        <v>266.656</v>
      </c>
      <c r="KH100" s="21" t="n">
        <v>270.983</v>
      </c>
      <c r="KI100" s="21" t="n">
        <v>122.364</v>
      </c>
      <c r="KJ100" s="21" t="n">
        <v>222.655</v>
      </c>
      <c r="KK100" s="21" t="n">
        <v>180.666</v>
      </c>
      <c r="KL100" s="21" t="n">
        <v>177.077</v>
      </c>
      <c r="KM100" s="21" t="n">
        <v>166.755</v>
      </c>
      <c r="KN100" s="21" t="n">
        <v>164.672</v>
      </c>
      <c r="KO100" s="21" t="n">
        <v>312.069</v>
      </c>
      <c r="KP100" s="21" t="n">
        <v>126.815</v>
      </c>
      <c r="KQ100" s="21" t="n">
        <v>60.35</v>
      </c>
      <c r="KR100" s="21" t="n">
        <v>120.568</v>
      </c>
      <c r="KS100" s="21" t="n">
        <v>282.868</v>
      </c>
      <c r="KT100" s="21" t="n">
        <v>317.523</v>
      </c>
      <c r="KU100" s="21" t="n">
        <v>109.138</v>
      </c>
      <c r="KV100" s="21" t="n">
        <v>41.893</v>
      </c>
      <c r="KW100" s="21" t="n">
        <v>272.405</v>
      </c>
      <c r="KX100" s="21" t="n">
        <v>231.522</v>
      </c>
      <c r="KY100" s="21" t="n">
        <v>291.855</v>
      </c>
      <c r="KZ100" s="21" t="n">
        <v>228.34</v>
      </c>
      <c r="LA100" s="21" t="n">
        <v>294.407</v>
      </c>
      <c r="LB100" s="21" t="n">
        <v>133.875</v>
      </c>
      <c r="LC100" s="21" t="n">
        <v>400.9</v>
      </c>
      <c r="LD100" s="21" t="n">
        <v>86.21599999999999</v>
      </c>
      <c r="LE100" s="21" t="n">
        <v>142.555</v>
      </c>
      <c r="LF100" s="21" t="n">
        <v>391.345</v>
      </c>
      <c r="LG100" s="21" t="n">
        <v>379.492</v>
      </c>
      <c r="LH100" s="21" t="n">
        <v>391.613</v>
      </c>
      <c r="LI100" s="21" t="n">
        <v>363.198</v>
      </c>
      <c r="LJ100" s="21" t="n">
        <v>395.266</v>
      </c>
      <c r="LK100" s="21" t="n">
        <v>132.101</v>
      </c>
      <c r="LL100" s="21" t="n">
        <v>386.973</v>
      </c>
      <c r="LM100" s="21" t="n">
        <v>256.092</v>
      </c>
      <c r="LN100" s="21" t="n">
        <v>33.985</v>
      </c>
      <c r="LO100" s="21" t="n">
        <v>148.086</v>
      </c>
    </row>
    <row r="101">
      <c r="A101" s="22" t="n">
        <v>45017</v>
      </c>
      <c r="B101" s="21" t="n">
        <v>302.845</v>
      </c>
      <c r="C101" s="21" t="n">
        <v>318.755</v>
      </c>
      <c r="D101" s="21" t="n">
        <v>321.213</v>
      </c>
      <c r="E101" s="21" t="n">
        <v>301.811</v>
      </c>
      <c r="F101" s="21" t="n">
        <v>353.864</v>
      </c>
      <c r="G101" s="21" t="n">
        <v>288.376</v>
      </c>
      <c r="H101" s="21" t="n">
        <v>319.151</v>
      </c>
      <c r="I101" s="21" t="n">
        <v>277.748</v>
      </c>
      <c r="J101" s="21" t="n">
        <v>295.822</v>
      </c>
      <c r="K101" s="21" t="n">
        <v>391.801</v>
      </c>
      <c r="L101" s="21" t="n">
        <v>235.683</v>
      </c>
      <c r="M101" s="21" t="n">
        <v>232.5</v>
      </c>
      <c r="N101" s="21" t="n">
        <v>370.885</v>
      </c>
      <c r="O101" s="21" t="n">
        <v>350.42</v>
      </c>
      <c r="P101" s="21" t="n">
        <v>349.784</v>
      </c>
      <c r="Q101" s="21" t="n">
        <v>416.092</v>
      </c>
      <c r="R101" s="21" t="n">
        <v>345.037</v>
      </c>
      <c r="S101" s="21" t="n">
        <v>318.48</v>
      </c>
      <c r="T101" s="21" t="n">
        <v>318.588</v>
      </c>
      <c r="U101" s="21" t="n">
        <v>321.996</v>
      </c>
      <c r="V101" s="21" t="n">
        <v>392.121</v>
      </c>
      <c r="W101" s="21" t="n">
        <v>334.555</v>
      </c>
      <c r="X101" s="21" t="n">
        <v>308.643</v>
      </c>
      <c r="Y101" s="21" t="n">
        <v>266.106</v>
      </c>
      <c r="Z101" s="21" t="n">
        <v>262.781</v>
      </c>
      <c r="AA101" s="21" t="n">
        <v>196.237</v>
      </c>
      <c r="AB101" s="21" t="n">
        <v>358.48</v>
      </c>
      <c r="AC101" s="21" t="n">
        <v>186.754</v>
      </c>
      <c r="AD101" s="21" t="n">
        <v>253.401</v>
      </c>
      <c r="AE101" s="21" t="n">
        <v>282.902</v>
      </c>
      <c r="AF101" s="21" t="n">
        <v>236.125</v>
      </c>
      <c r="AG101" s="21" t="n">
        <v>156</v>
      </c>
      <c r="AH101" s="21" t="n">
        <v>287.151</v>
      </c>
      <c r="AI101" s="21" t="n">
        <v>281.55</v>
      </c>
      <c r="AJ101" s="21" t="n">
        <v>189.349</v>
      </c>
      <c r="AK101" s="21" t="n">
        <v>301.462</v>
      </c>
      <c r="AL101" s="21" t="n">
        <v>192.664</v>
      </c>
      <c r="AM101" s="21" t="n">
        <v>315.208</v>
      </c>
      <c r="AN101" s="21" t="n">
        <v>289.452</v>
      </c>
      <c r="AO101" s="21" t="n">
        <v>201.837</v>
      </c>
      <c r="AP101" s="21" t="n">
        <v>357.389</v>
      </c>
      <c r="AQ101" s="21" t="n">
        <v>226.747</v>
      </c>
      <c r="AR101" s="21" t="n">
        <v>176.135</v>
      </c>
      <c r="AS101" s="21" t="n">
        <v>243.434</v>
      </c>
      <c r="AT101" s="21" t="n">
        <v>377.395</v>
      </c>
      <c r="AU101" s="21" t="n">
        <v>317.698</v>
      </c>
      <c r="AV101" s="21" t="n">
        <v>271.102</v>
      </c>
      <c r="AW101" s="21" t="n">
        <v>175.86</v>
      </c>
      <c r="AX101" s="21" t="n">
        <v>251.997</v>
      </c>
      <c r="AY101" s="21" t="n">
        <v>182.314</v>
      </c>
      <c r="AZ101" s="21" t="n">
        <v>271.312</v>
      </c>
      <c r="BA101" s="21" t="n">
        <v>272.721</v>
      </c>
      <c r="BB101" s="21" t="n">
        <v>190.873</v>
      </c>
      <c r="BC101" s="21" t="n">
        <v>345.871</v>
      </c>
      <c r="BD101" s="21" t="n">
        <v>390.119</v>
      </c>
      <c r="BE101" s="21" t="n">
        <v>403.062</v>
      </c>
      <c r="BF101" s="21" t="n">
        <v>381.023</v>
      </c>
      <c r="BG101" s="21" t="n">
        <v>209.66</v>
      </c>
      <c r="BH101" s="21" t="n">
        <v>295.821</v>
      </c>
      <c r="BI101" s="21" t="n">
        <v>575.172</v>
      </c>
      <c r="BJ101" s="21" t="n">
        <v>130.463</v>
      </c>
      <c r="BK101" s="21" t="n">
        <v>375.199</v>
      </c>
      <c r="BL101" s="21" t="n">
        <v>433.311</v>
      </c>
      <c r="BM101" s="21" t="n">
        <v>401.07</v>
      </c>
      <c r="BN101" s="21" t="n">
        <v>347.962</v>
      </c>
      <c r="BO101" s="21" t="n">
        <v>368.159</v>
      </c>
      <c r="BP101" s="21" t="n">
        <v>197.522</v>
      </c>
      <c r="BQ101" s="21" t="n">
        <v>210.088</v>
      </c>
      <c r="BR101" s="21" t="n">
        <v>200.391</v>
      </c>
      <c r="BS101" s="21" t="n">
        <v>223.134</v>
      </c>
      <c r="BT101" s="21" t="n">
        <v>184.458</v>
      </c>
      <c r="BU101" s="21" t="n">
        <v>262.704</v>
      </c>
      <c r="BV101" s="21" t="n">
        <v>185.133</v>
      </c>
      <c r="BW101" s="21" t="n">
        <v>214.91</v>
      </c>
      <c r="BX101" s="21" t="n">
        <v>170.259</v>
      </c>
      <c r="BY101" s="21" t="n">
        <v>221.295</v>
      </c>
      <c r="BZ101" s="21" t="n">
        <v>151.531</v>
      </c>
      <c r="CA101" s="21" t="n">
        <v>141.335</v>
      </c>
      <c r="CB101" s="21" t="n">
        <v>237.385</v>
      </c>
      <c r="CC101" s="21" t="n">
        <v>249.596</v>
      </c>
      <c r="CD101" s="21" t="n">
        <v>154.96</v>
      </c>
      <c r="CE101" s="21" t="n">
        <v>268.958</v>
      </c>
      <c r="CF101" s="21" t="n">
        <v>277.307</v>
      </c>
      <c r="CG101" s="21" t="n">
        <v>252.01</v>
      </c>
      <c r="CH101" s="21" t="n">
        <v>187.974</v>
      </c>
      <c r="CI101" s="21" t="n">
        <v>189.408</v>
      </c>
      <c r="CJ101" s="21" t="n">
        <v>308.706</v>
      </c>
      <c r="CK101" s="21" t="n">
        <v>275.621</v>
      </c>
      <c r="CL101" s="21" t="n">
        <v>302.812</v>
      </c>
      <c r="CM101" s="21" t="n">
        <v>469.004</v>
      </c>
      <c r="CN101" s="21" t="n">
        <v>173.041</v>
      </c>
      <c r="CO101" s="21" t="n">
        <v>215.338</v>
      </c>
      <c r="CP101" s="21" t="n">
        <v>284.739</v>
      </c>
      <c r="CQ101" s="21" t="n">
        <v>313.176</v>
      </c>
      <c r="CR101" s="21" t="n">
        <v>214.834</v>
      </c>
      <c r="CS101" s="21" t="n">
        <v>313.926</v>
      </c>
      <c r="CT101" s="21" t="n">
        <v>302.623</v>
      </c>
      <c r="CU101" s="21" t="n">
        <v>185.092</v>
      </c>
      <c r="CV101" s="21" t="n">
        <v>186.219</v>
      </c>
      <c r="CW101" s="21" t="n">
        <v>178.847</v>
      </c>
      <c r="CX101" s="21" t="n">
        <v>336.539</v>
      </c>
      <c r="CY101" s="21" t="n">
        <v>168.839</v>
      </c>
      <c r="CZ101" s="21" t="n">
        <v>158</v>
      </c>
      <c r="DA101" s="21" t="n">
        <v>351.237</v>
      </c>
      <c r="DB101" s="21" t="n">
        <v>216.852</v>
      </c>
      <c r="DC101" s="21" t="n">
        <v>192.554</v>
      </c>
      <c r="DD101" s="21" t="n">
        <v>192.28</v>
      </c>
      <c r="DE101" s="21" t="n">
        <v>231.098</v>
      </c>
      <c r="DF101" s="21" t="n">
        <v>283.961</v>
      </c>
      <c r="DG101" s="21" t="n">
        <v>225.118</v>
      </c>
      <c r="DH101" s="21" t="n">
        <v>266.491</v>
      </c>
      <c r="DI101" s="21" t="n">
        <v>207.386</v>
      </c>
      <c r="DJ101" s="21" t="n">
        <v>219.851</v>
      </c>
      <c r="DK101" s="21" t="n">
        <v>202.371</v>
      </c>
      <c r="DL101" s="21" t="n">
        <v>181.14</v>
      </c>
      <c r="DM101" s="21" t="n">
        <v>414.514</v>
      </c>
      <c r="DN101" s="21" t="n">
        <v>229.754</v>
      </c>
      <c r="DO101" s="21" t="n">
        <v>317.366</v>
      </c>
      <c r="DP101" s="21" t="n">
        <v>376.404</v>
      </c>
      <c r="DQ101" s="21" t="n">
        <v>395.024</v>
      </c>
      <c r="DR101" s="21" t="n">
        <v>189.646</v>
      </c>
      <c r="DS101" s="21" t="n">
        <v>613.002</v>
      </c>
      <c r="DT101" s="21" t="n">
        <v>391.682</v>
      </c>
      <c r="DU101" s="21" t="n">
        <v>385.629</v>
      </c>
      <c r="DV101" s="21" t="n">
        <v>385.715</v>
      </c>
      <c r="DW101" s="21" t="n">
        <v>302.514</v>
      </c>
      <c r="DX101" s="21" t="n">
        <v>254.795</v>
      </c>
      <c r="DY101" s="21" t="n">
        <v>379.378</v>
      </c>
      <c r="DZ101" s="21" t="n">
        <v>383.584</v>
      </c>
      <c r="EA101" s="21" t="n">
        <v>444.519</v>
      </c>
      <c r="EB101" s="21" t="n">
        <v>258.29</v>
      </c>
      <c r="EC101" s="21" t="n">
        <v>265.803</v>
      </c>
      <c r="ED101" s="21" t="n">
        <v>230.616</v>
      </c>
      <c r="EE101" s="21" t="n">
        <v>285.052</v>
      </c>
      <c r="EF101" s="21" t="n">
        <v>653.74</v>
      </c>
      <c r="EG101" s="21" t="n">
        <v>580.124</v>
      </c>
      <c r="EH101" s="21" t="n">
        <v>149.52</v>
      </c>
      <c r="EI101" s="21" t="n">
        <v>61.907</v>
      </c>
      <c r="EJ101" s="21" t="n">
        <v>74.47499999999999</v>
      </c>
      <c r="EK101" s="21" t="n">
        <v>44.075</v>
      </c>
      <c r="EL101" s="21" t="n">
        <v>137.709</v>
      </c>
      <c r="EM101" s="21" t="n">
        <v>84.911</v>
      </c>
      <c r="EN101" s="21" t="n">
        <v>89.399</v>
      </c>
      <c r="EO101" s="21" t="n">
        <v>95.66</v>
      </c>
      <c r="EP101" s="21" t="n">
        <v>118.606</v>
      </c>
      <c r="EQ101" s="21" t="n">
        <v>77.97799999999999</v>
      </c>
      <c r="ER101" s="21" t="n">
        <v>55.301</v>
      </c>
      <c r="ES101" s="21" t="n">
        <v>152.473</v>
      </c>
      <c r="ET101" s="21" t="n">
        <v>83.767</v>
      </c>
      <c r="EU101" s="21" t="n">
        <v>115.183</v>
      </c>
      <c r="EV101" s="21" t="n">
        <v>123.048</v>
      </c>
      <c r="EW101" s="21" t="n">
        <v>111.948</v>
      </c>
      <c r="EX101" s="21" t="n">
        <v>234.581</v>
      </c>
      <c r="EY101" s="21" t="n">
        <v>147.232</v>
      </c>
      <c r="EZ101" s="21" t="n">
        <v>141.538</v>
      </c>
      <c r="FA101" s="21" t="n">
        <v>201.419</v>
      </c>
      <c r="FB101" s="21" t="n">
        <v>130.573</v>
      </c>
      <c r="FC101" s="21" t="n">
        <v>125.901</v>
      </c>
      <c r="FD101" s="21" t="n">
        <v>128.911</v>
      </c>
      <c r="FE101" s="21" t="n">
        <v>104.756</v>
      </c>
      <c r="FF101" s="21" t="n">
        <v>178.052</v>
      </c>
      <c r="FG101" s="21" t="n">
        <v>77.85299999999999</v>
      </c>
      <c r="FH101" s="21" t="n">
        <v>134.423</v>
      </c>
      <c r="FI101" s="21" t="n">
        <v>113.699</v>
      </c>
      <c r="FJ101" s="21" t="n">
        <v>109.411</v>
      </c>
      <c r="FK101" s="21" t="n">
        <v>110.27</v>
      </c>
      <c r="FL101" s="21" t="n">
        <v>105.729</v>
      </c>
      <c r="FM101" s="21" t="n">
        <v>106.998</v>
      </c>
      <c r="FN101" s="21" t="n">
        <v>74.637</v>
      </c>
      <c r="FO101" s="21" t="n">
        <v>111.969</v>
      </c>
      <c r="FP101" s="21" t="n">
        <v>104.853</v>
      </c>
      <c r="FQ101" s="21" t="n">
        <v>144.811</v>
      </c>
      <c r="FR101" s="21" t="n">
        <v>146.964</v>
      </c>
      <c r="FS101" s="21" t="n">
        <v>170.107</v>
      </c>
      <c r="FT101" s="21" t="n">
        <v>131.796</v>
      </c>
      <c r="FU101" s="21" t="n">
        <v>126.535</v>
      </c>
      <c r="FV101" s="21" t="n">
        <v>199.544</v>
      </c>
      <c r="FW101" s="21" t="n">
        <v>153.21</v>
      </c>
      <c r="FX101" s="21" t="n">
        <v>199.382</v>
      </c>
      <c r="FY101" s="21" t="n">
        <v>265.284</v>
      </c>
      <c r="FZ101" s="21" t="n">
        <v>263.933</v>
      </c>
      <c r="GA101" s="21" t="n">
        <v>128.097</v>
      </c>
      <c r="GB101" s="21" t="n">
        <v>178.795</v>
      </c>
      <c r="GC101" s="21" t="n"/>
      <c r="GD101" s="21" t="n">
        <v>174.968</v>
      </c>
      <c r="GE101" s="21" t="n">
        <v>190.583</v>
      </c>
      <c r="GF101" s="21" t="n"/>
      <c r="GG101" s="21" t="n">
        <v>192.647</v>
      </c>
      <c r="GH101" s="21" t="n">
        <v>116.765</v>
      </c>
      <c r="GI101" s="21" t="n">
        <v>181.048</v>
      </c>
      <c r="GJ101" s="21" t="n">
        <v>310.865</v>
      </c>
      <c r="GK101" s="21" t="n">
        <v>309.412</v>
      </c>
      <c r="GL101" s="21" t="n">
        <v>303.436</v>
      </c>
      <c r="GM101" s="21" t="n">
        <v>334.343</v>
      </c>
      <c r="GN101" s="21" t="n">
        <v>326.04</v>
      </c>
      <c r="GO101" s="21" t="n">
        <v>307.755</v>
      </c>
      <c r="GP101" s="21" t="n">
        <v>182.321</v>
      </c>
      <c r="GQ101" s="21" t="n">
        <v>153.661</v>
      </c>
      <c r="GR101" s="21" t="n">
        <v>375.89</v>
      </c>
      <c r="GS101" s="21" t="n">
        <v>244.384</v>
      </c>
      <c r="GT101" s="21" t="n">
        <v>682.009</v>
      </c>
      <c r="GU101" s="21" t="n">
        <v>224.342</v>
      </c>
      <c r="GV101" s="21" t="n">
        <v>260.955</v>
      </c>
      <c r="GW101" s="21" t="n">
        <v>282.001</v>
      </c>
      <c r="GX101" s="21" t="n">
        <v>286.385</v>
      </c>
      <c r="GY101" s="21" t="n">
        <v>160.594</v>
      </c>
      <c r="GZ101" s="21" t="n"/>
      <c r="HA101" s="21" t="n">
        <v>62.504</v>
      </c>
      <c r="HB101" s="21" t="n">
        <v>546.99</v>
      </c>
      <c r="HC101" s="21" t="n">
        <v>400.755</v>
      </c>
      <c r="HD101" s="21" t="n">
        <v>130.894</v>
      </c>
      <c r="HE101" s="21" t="n">
        <v>548.51</v>
      </c>
      <c r="HF101" s="21" t="n">
        <v>104.018</v>
      </c>
      <c r="HG101" s="21" t="n">
        <v>594.0410000000001</v>
      </c>
      <c r="HH101" s="21" t="n">
        <v>416.998</v>
      </c>
      <c r="HI101" s="21" t="n">
        <v>411.951</v>
      </c>
      <c r="HJ101" s="21" t="n">
        <v>568.403</v>
      </c>
      <c r="HK101" s="21" t="n">
        <v>199.64</v>
      </c>
      <c r="HL101" s="21" t="n">
        <v>257.98</v>
      </c>
      <c r="HM101" s="21" t="n">
        <v>91.98099999999999</v>
      </c>
      <c r="HN101" s="21" t="n">
        <v>385.355</v>
      </c>
      <c r="HO101" s="21" t="n">
        <v>371.811</v>
      </c>
      <c r="HP101" s="21" t="n">
        <v>845.6660000000001</v>
      </c>
      <c r="HQ101" s="21" t="n">
        <v>272.209</v>
      </c>
      <c r="HR101" s="21" t="n">
        <v>136.128</v>
      </c>
      <c r="HS101" s="21" t="n">
        <v>116.209</v>
      </c>
      <c r="HT101" s="21" t="n">
        <v>114.952</v>
      </c>
      <c r="HU101" s="21" t="n">
        <v>568.595</v>
      </c>
      <c r="HV101" s="21" t="n">
        <v>115.674</v>
      </c>
      <c r="HW101" s="21" t="n">
        <v>26.5</v>
      </c>
      <c r="HX101" s="21" t="n">
        <v>218.713</v>
      </c>
      <c r="HY101" s="21" t="n">
        <v>241.168</v>
      </c>
      <c r="HZ101" s="21" t="n">
        <v>191.055</v>
      </c>
      <c r="IA101" s="21" t="n">
        <v>130.458</v>
      </c>
      <c r="IB101" s="21" t="n">
        <v>326.121</v>
      </c>
      <c r="IC101" s="21" t="n">
        <v>235.664</v>
      </c>
      <c r="ID101" s="21" t="n">
        <v>346.352</v>
      </c>
      <c r="IE101" s="21" t="n">
        <v>127.802</v>
      </c>
      <c r="IF101" s="21" t="n">
        <v>177.422</v>
      </c>
      <c r="IG101" s="21" t="n">
        <v>86.614</v>
      </c>
      <c r="IH101" s="21" t="n">
        <v>84.137</v>
      </c>
      <c r="II101" s="21" t="n">
        <v>62.903</v>
      </c>
      <c r="IJ101" s="21" t="n">
        <v>26.147</v>
      </c>
      <c r="IK101" s="21" t="n">
        <v>35.153</v>
      </c>
      <c r="IL101" s="21" t="n">
        <v>30.084</v>
      </c>
      <c r="IM101" s="21" t="n">
        <v>40.118</v>
      </c>
      <c r="IN101" s="21" t="n">
        <v>107.682</v>
      </c>
      <c r="IO101" s="21" t="n">
        <v>119.361</v>
      </c>
      <c r="IP101" s="21" t="n">
        <v>190.649</v>
      </c>
      <c r="IQ101" s="21" t="n">
        <v>156.34</v>
      </c>
      <c r="IR101" s="21" t="n">
        <v>424.303</v>
      </c>
      <c r="IS101" s="21" t="n">
        <v>218.441</v>
      </c>
      <c r="IT101" s="21" t="n">
        <v>212.824</v>
      </c>
      <c r="IU101" s="21" t="n">
        <v>388.049</v>
      </c>
      <c r="IV101" s="21" t="n">
        <v>285.777</v>
      </c>
      <c r="IW101" s="21" t="n">
        <v>145.715</v>
      </c>
      <c r="IX101" s="21" t="n">
        <v>289.799</v>
      </c>
      <c r="IY101" s="21" t="n">
        <v>704.119</v>
      </c>
      <c r="IZ101" s="21" t="n">
        <v>833.665</v>
      </c>
      <c r="JA101" s="21" t="n">
        <v>919.927</v>
      </c>
      <c r="JB101" s="21" t="n">
        <v>91.98099999999999</v>
      </c>
      <c r="JC101" s="21" t="n">
        <v>348.623</v>
      </c>
      <c r="JD101" s="21" t="n">
        <v>270.416</v>
      </c>
      <c r="JE101" s="21" t="n">
        <v>75.68899999999999</v>
      </c>
      <c r="JF101" s="21" t="n">
        <v>231.263</v>
      </c>
      <c r="JG101" s="21" t="n">
        <v>360.115</v>
      </c>
      <c r="JH101" s="21" t="n">
        <v>405.916</v>
      </c>
      <c r="JI101" s="21" t="n">
        <v>71.292</v>
      </c>
      <c r="JJ101" s="21" t="n">
        <v>106.183</v>
      </c>
      <c r="JK101" s="21" t="n">
        <v>37.449</v>
      </c>
      <c r="JL101" s="21" t="n">
        <v>83.34099999999999</v>
      </c>
      <c r="JM101" s="21" t="n">
        <v>120.518</v>
      </c>
      <c r="JN101" s="21" t="n">
        <v>532.306</v>
      </c>
      <c r="JO101" s="21" t="n">
        <v>89.21899999999999</v>
      </c>
      <c r="JP101" s="21" t="n">
        <v>583.9109999999999</v>
      </c>
      <c r="JQ101" s="21" t="n">
        <v>271.163</v>
      </c>
      <c r="JR101" s="21" t="n">
        <v>174.502</v>
      </c>
      <c r="JS101" s="21" t="n">
        <v>528.701</v>
      </c>
      <c r="JT101" s="21" t="n"/>
      <c r="JU101" s="21" t="n">
        <v>375.691</v>
      </c>
      <c r="JV101" s="21" t="n">
        <v>215.774</v>
      </c>
      <c r="JW101" s="21" t="n">
        <v>430.464</v>
      </c>
      <c r="JX101" s="21" t="n">
        <v>336.575</v>
      </c>
      <c r="JY101" s="21" t="n">
        <v>88.437</v>
      </c>
      <c r="JZ101" s="21" t="n">
        <v>196.697</v>
      </c>
      <c r="KA101" s="21" t="n">
        <v>291.055</v>
      </c>
      <c r="KB101" s="21" t="n">
        <v>307.827</v>
      </c>
      <c r="KC101" s="21" t="n">
        <v>300.01</v>
      </c>
      <c r="KD101" s="21" t="n">
        <v>306.534</v>
      </c>
      <c r="KE101" s="21" t="n">
        <v>277.465</v>
      </c>
      <c r="KF101" s="21" t="n">
        <v>266.666</v>
      </c>
      <c r="KG101" s="21" t="n">
        <v>267.854</v>
      </c>
      <c r="KH101" s="21" t="n">
        <v>271.74</v>
      </c>
      <c r="KI101" s="21" t="n">
        <v>122.423</v>
      </c>
      <c r="KJ101" s="21" t="n">
        <v>223.293</v>
      </c>
      <c r="KK101" s="21" t="n">
        <v>181.263</v>
      </c>
      <c r="KL101" s="21" t="n">
        <v>177.652</v>
      </c>
      <c r="KM101" s="21" t="n">
        <v>167.495</v>
      </c>
      <c r="KN101" s="21" t="n">
        <v>164.767</v>
      </c>
      <c r="KO101" s="21" t="n">
        <v>312.634</v>
      </c>
      <c r="KP101" s="21" t="n">
        <v>127.626</v>
      </c>
      <c r="KQ101" s="21" t="n">
        <v>60.124</v>
      </c>
      <c r="KR101" s="21" t="n">
        <v>120.674</v>
      </c>
      <c r="KS101" s="21" t="n">
        <v>280.86</v>
      </c>
      <c r="KT101" s="21" t="n">
        <v>316.477</v>
      </c>
      <c r="KU101" s="21" t="n">
        <v>108.742</v>
      </c>
      <c r="KV101" s="21" t="n">
        <v>41.744</v>
      </c>
      <c r="KW101" s="21" t="n">
        <v>273.098</v>
      </c>
      <c r="KX101" s="21" t="n">
        <v>232.946</v>
      </c>
      <c r="KY101" s="21" t="n">
        <v>293.939</v>
      </c>
      <c r="KZ101" s="21" t="n">
        <v>229.814</v>
      </c>
      <c r="LA101" s="21" t="n">
        <v>296.641</v>
      </c>
      <c r="LB101" s="21" t="n">
        <v>134.135</v>
      </c>
      <c r="LC101" s="21" t="n">
        <v>403.09</v>
      </c>
      <c r="LD101" s="21" t="n">
        <v>86.425</v>
      </c>
      <c r="LE101" s="21" t="n">
        <v>143.716</v>
      </c>
      <c r="LF101" s="21" t="n">
        <v>393.154</v>
      </c>
      <c r="LG101" s="21" t="n">
        <v>380.928</v>
      </c>
      <c r="LH101" s="21" t="n">
        <v>393.434</v>
      </c>
      <c r="LI101" s="21" t="n">
        <v>364.444</v>
      </c>
      <c r="LJ101" s="21" t="n">
        <v>395.601</v>
      </c>
      <c r="LK101" s="21" t="n">
        <v>133.629</v>
      </c>
      <c r="LL101" s="21" t="n">
        <v>389.255</v>
      </c>
      <c r="LM101" s="21" t="n">
        <v>254.329</v>
      </c>
      <c r="LN101" s="21" t="n">
        <v>34.214</v>
      </c>
      <c r="LO101" s="21" t="n">
        <v>149.186</v>
      </c>
    </row>
    <row r="102">
      <c r="A102" s="22" t="n">
        <v>45047</v>
      </c>
      <c r="B102" s="21" t="n">
        <v>303.334</v>
      </c>
      <c r="C102" s="21" t="n">
        <v>319.587</v>
      </c>
      <c r="D102" s="21" t="n">
        <v>322.009</v>
      </c>
      <c r="E102" s="21" t="n">
        <v>302.184</v>
      </c>
      <c r="F102" s="21" t="n">
        <v>353.829</v>
      </c>
      <c r="G102" s="21" t="n">
        <v>287.373</v>
      </c>
      <c r="H102" s="21" t="n">
        <v>319.797</v>
      </c>
      <c r="I102" s="21" t="n">
        <v>277.736</v>
      </c>
      <c r="J102" s="21" t="n">
        <v>293.831</v>
      </c>
      <c r="K102" s="21" t="n">
        <v>392.471</v>
      </c>
      <c r="L102" s="21" t="n">
        <v>236.574</v>
      </c>
      <c r="M102" s="21" t="n">
        <v>229.439</v>
      </c>
      <c r="N102" s="21" t="n">
        <v>371.758</v>
      </c>
      <c r="O102" s="21" t="n">
        <v>348.753</v>
      </c>
      <c r="P102" s="21" t="n">
        <v>350.853</v>
      </c>
      <c r="Q102" s="21" t="n">
        <v>416.709</v>
      </c>
      <c r="R102" s="21" t="n">
        <v>346.616</v>
      </c>
      <c r="S102" s="21" t="n">
        <v>316.12</v>
      </c>
      <c r="T102" s="21" t="n">
        <v>318.437</v>
      </c>
      <c r="U102" s="21" t="n">
        <v>323.048</v>
      </c>
      <c r="V102" s="21" t="n">
        <v>396.635</v>
      </c>
      <c r="W102" s="21" t="n">
        <v>341.7</v>
      </c>
      <c r="X102" s="21" t="n">
        <v>313.532</v>
      </c>
      <c r="Y102" s="21" t="n">
        <v>266.736</v>
      </c>
      <c r="Z102" s="21" t="n">
        <v>261.081</v>
      </c>
      <c r="AA102" s="21" t="n">
        <v>194.059</v>
      </c>
      <c r="AB102" s="21" t="n">
        <v>353.231</v>
      </c>
      <c r="AC102" s="21" t="n">
        <v>184.912</v>
      </c>
      <c r="AD102" s="21" t="n">
        <v>257.766</v>
      </c>
      <c r="AE102" s="21" t="n">
        <v>288.228</v>
      </c>
      <c r="AF102" s="21" t="n">
        <v>232.533</v>
      </c>
      <c r="AG102" s="21" t="n">
        <v>154.537</v>
      </c>
      <c r="AH102" s="21" t="n">
        <v>287.619</v>
      </c>
      <c r="AI102" s="21" t="n">
        <v>283.177</v>
      </c>
      <c r="AJ102" s="21" t="n">
        <v>188.498</v>
      </c>
      <c r="AK102" s="21" t="n">
        <v>299.847</v>
      </c>
      <c r="AL102" s="21" t="n">
        <v>191.654</v>
      </c>
      <c r="AM102" s="21" t="n">
        <v>319.417</v>
      </c>
      <c r="AN102" s="21" t="n">
        <v>285.727</v>
      </c>
      <c r="AO102" s="21" t="n">
        <v>198.476</v>
      </c>
      <c r="AP102" s="21" t="n">
        <v>354.525</v>
      </c>
      <c r="AQ102" s="21" t="n">
        <v>224.813</v>
      </c>
      <c r="AR102" s="21" t="n">
        <v>172.388</v>
      </c>
      <c r="AS102" s="21" t="n">
        <v>242.024</v>
      </c>
      <c r="AT102" s="21" t="n">
        <v>369.149</v>
      </c>
      <c r="AU102" s="21" t="n">
        <v>289.041</v>
      </c>
      <c r="AV102" s="21" t="n">
        <v>269.573</v>
      </c>
      <c r="AW102" s="21" t="n">
        <v>176.564</v>
      </c>
      <c r="AX102" s="21" t="n">
        <v>252.174</v>
      </c>
      <c r="AY102" s="21" t="n">
        <v>183.101</v>
      </c>
      <c r="AZ102" s="21" t="n">
        <v>270.145</v>
      </c>
      <c r="BA102" s="21" t="n">
        <v>273.331</v>
      </c>
      <c r="BB102" s="21" t="n">
        <v>188.066</v>
      </c>
      <c r="BC102" s="21" t="n">
        <v>349.35</v>
      </c>
      <c r="BD102" s="21" t="n">
        <v>393.856</v>
      </c>
      <c r="BE102" s="21" t="n">
        <v>406.804</v>
      </c>
      <c r="BF102" s="21" t="n">
        <v>384.983</v>
      </c>
      <c r="BG102" s="21" t="n">
        <v>209.503</v>
      </c>
      <c r="BH102" s="21" t="n">
        <v>293.992</v>
      </c>
      <c r="BI102" s="21" t="n">
        <v>571.962</v>
      </c>
      <c r="BJ102" s="21" t="n">
        <v>134.244</v>
      </c>
      <c r="BK102" s="21" t="n">
        <v>378.919</v>
      </c>
      <c r="BL102" s="21" t="n">
        <v>434.555</v>
      </c>
      <c r="BM102" s="21" t="n">
        <v>417.779</v>
      </c>
      <c r="BN102" s="21" t="n">
        <v>350.234</v>
      </c>
      <c r="BO102" s="21" t="n">
        <v>371.006</v>
      </c>
      <c r="BP102" s="21" t="n">
        <v>199.784</v>
      </c>
      <c r="BQ102" s="21" t="n">
        <v>210.385</v>
      </c>
      <c r="BR102" s="21" t="n">
        <v>202.958</v>
      </c>
      <c r="BS102" s="21" t="n">
        <v>223.454</v>
      </c>
      <c r="BT102" s="21" t="n">
        <v>187.852</v>
      </c>
      <c r="BU102" s="21" t="n">
        <v>265.417</v>
      </c>
      <c r="BV102" s="21" t="n">
        <v>187.873</v>
      </c>
      <c r="BW102" s="21" t="n">
        <v>216.638</v>
      </c>
      <c r="BX102" s="21" t="n">
        <v>171.977</v>
      </c>
      <c r="BY102" s="21" t="n">
        <v>222.066</v>
      </c>
      <c r="BZ102" s="21" t="n">
        <v>153.702</v>
      </c>
      <c r="CA102" s="21" t="n">
        <v>141.528</v>
      </c>
      <c r="CB102" s="21" t="n">
        <v>237.633</v>
      </c>
      <c r="CC102" s="21" t="n">
        <v>249.57</v>
      </c>
      <c r="CD102" s="21" t="n">
        <v>154.743</v>
      </c>
      <c r="CE102" s="21" t="n">
        <v>269.588</v>
      </c>
      <c r="CF102" s="21" t="n">
        <v>278.746</v>
      </c>
      <c r="CG102" s="21" t="n">
        <v>252.55</v>
      </c>
      <c r="CH102" s="21" t="n">
        <v>189.313</v>
      </c>
      <c r="CI102" s="21" t="n">
        <v>189.9</v>
      </c>
      <c r="CJ102" s="21" t="n">
        <v>309.522</v>
      </c>
      <c r="CK102" s="21" t="n">
        <v>276.945</v>
      </c>
      <c r="CL102" s="21" t="n">
        <v>301.627</v>
      </c>
      <c r="CM102" s="21" t="n">
        <v>480.692</v>
      </c>
      <c r="CN102" s="21" t="n">
        <v>173.31</v>
      </c>
      <c r="CO102" s="21" t="n">
        <v>216.813</v>
      </c>
      <c r="CP102" s="21" t="n">
        <v>285.256</v>
      </c>
      <c r="CQ102" s="21" t="n">
        <v>313.734</v>
      </c>
      <c r="CR102" s="21" t="n">
        <v>214.826</v>
      </c>
      <c r="CS102" s="21" t="n">
        <v>314.879</v>
      </c>
      <c r="CT102" s="21" t="n">
        <v>304.408</v>
      </c>
      <c r="CU102" s="21" t="n">
        <v>186.184</v>
      </c>
      <c r="CV102" s="21" t="n">
        <v>188.226</v>
      </c>
      <c r="CW102" s="21" t="n">
        <v>180.501</v>
      </c>
      <c r="CX102" s="21" t="n">
        <v>352.752</v>
      </c>
      <c r="CY102" s="21" t="n">
        <v>167.947</v>
      </c>
      <c r="CZ102" s="21" t="n">
        <v>155.606</v>
      </c>
      <c r="DA102" s="21" t="n">
        <v>352.892</v>
      </c>
      <c r="DB102" s="21" t="n">
        <v>217.744</v>
      </c>
      <c r="DC102" s="21" t="n">
        <v>193.125</v>
      </c>
      <c r="DD102" s="21" t="n">
        <v>191.786</v>
      </c>
      <c r="DE102" s="21" t="n">
        <v>231.179</v>
      </c>
      <c r="DF102" s="21" t="n">
        <v>285.285</v>
      </c>
      <c r="DG102" s="21" t="n">
        <v>226.019</v>
      </c>
      <c r="DH102" s="21" t="n">
        <v>267.478</v>
      </c>
      <c r="DI102" s="21" t="n">
        <v>207.755</v>
      </c>
      <c r="DJ102" s="21" t="n">
        <v>220.365</v>
      </c>
      <c r="DK102" s="21" t="n">
        <v>202.819</v>
      </c>
      <c r="DL102" s="21" t="n">
        <v>182.101</v>
      </c>
      <c r="DM102" s="21" t="n">
        <v>417.235</v>
      </c>
      <c r="DN102" s="21" t="n">
        <v>231.202</v>
      </c>
      <c r="DO102" s="21" t="n">
        <v>318.146</v>
      </c>
      <c r="DP102" s="21" t="n">
        <v>378.304</v>
      </c>
      <c r="DQ102" s="21" t="n">
        <v>397.025</v>
      </c>
      <c r="DR102" s="21" t="n">
        <v>190.233</v>
      </c>
      <c r="DS102" s="21" t="n">
        <v>614.388</v>
      </c>
      <c r="DT102" s="21" t="n">
        <v>392.947</v>
      </c>
      <c r="DU102" s="21" t="n">
        <v>387.629</v>
      </c>
      <c r="DV102" s="21" t="n">
        <v>387.712</v>
      </c>
      <c r="DW102" s="21" t="n">
        <v>299.843</v>
      </c>
      <c r="DX102" s="21" t="n">
        <v>251.513</v>
      </c>
      <c r="DY102" s="21" t="n">
        <v>365.765</v>
      </c>
      <c r="DZ102" s="21" t="n">
        <v>364.923</v>
      </c>
      <c r="EA102" s="21" t="n">
        <v>439.474</v>
      </c>
      <c r="EB102" s="21" t="n">
        <v>255.295</v>
      </c>
      <c r="EC102" s="21" t="n">
        <v>263.597</v>
      </c>
      <c r="ED102" s="21" t="n">
        <v>225.374</v>
      </c>
      <c r="EE102" s="21" t="n">
        <v>286.322</v>
      </c>
      <c r="EF102" s="21" t="n">
        <v>654.537</v>
      </c>
      <c r="EG102" s="21" t="n">
        <v>587.431</v>
      </c>
      <c r="EH102" s="21" t="n">
        <v>148.801</v>
      </c>
      <c r="EI102" s="21" t="n">
        <v>62.075</v>
      </c>
      <c r="EJ102" s="21" t="n">
        <v>74.884</v>
      </c>
      <c r="EK102" s="21" t="n">
        <v>43.865</v>
      </c>
      <c r="EL102" s="21" t="n">
        <v>136.692</v>
      </c>
      <c r="EM102" s="21" t="n">
        <v>83.625</v>
      </c>
      <c r="EN102" s="21" t="n">
        <v>88.956</v>
      </c>
      <c r="EO102" s="21" t="n">
        <v>94.548</v>
      </c>
      <c r="EP102" s="21" t="n">
        <v>116.224</v>
      </c>
      <c r="EQ102" s="21" t="n">
        <v>77.883</v>
      </c>
      <c r="ER102" s="21" t="n">
        <v>55.047</v>
      </c>
      <c r="ES102" s="21" t="n">
        <v>150.036</v>
      </c>
      <c r="ET102" s="21" t="n">
        <v>83.628</v>
      </c>
      <c r="EU102" s="21" t="n">
        <v>114.653</v>
      </c>
      <c r="EV102" s="21" t="n">
        <v>122.573</v>
      </c>
      <c r="EW102" s="21" t="n">
        <v>111.606</v>
      </c>
      <c r="EX102" s="21" t="n">
        <v>234.244</v>
      </c>
      <c r="EY102" s="21" t="n">
        <v>147.882</v>
      </c>
      <c r="EZ102" s="21" t="n">
        <v>140.489</v>
      </c>
      <c r="FA102" s="21" t="n">
        <v>201.364</v>
      </c>
      <c r="FB102" s="21" t="n">
        <v>131.003</v>
      </c>
      <c r="FC102" s="21" t="n">
        <v>126.461</v>
      </c>
      <c r="FD102" s="21" t="n">
        <v>129.98</v>
      </c>
      <c r="FE102" s="21" t="n">
        <v>104.564</v>
      </c>
      <c r="FF102" s="21" t="n">
        <v>179.662</v>
      </c>
      <c r="FG102" s="21" t="n">
        <v>78.128</v>
      </c>
      <c r="FH102" s="21" t="n">
        <v>135.819</v>
      </c>
      <c r="FI102" s="21" t="n">
        <v>112.552</v>
      </c>
      <c r="FJ102" s="21" t="n">
        <v>109.89</v>
      </c>
      <c r="FK102" s="21" t="n">
        <v>110.711</v>
      </c>
      <c r="FL102" s="21" t="n">
        <v>108.582</v>
      </c>
      <c r="FM102" s="21" t="n">
        <v>108.118</v>
      </c>
      <c r="FN102" s="21" t="n">
        <v>75.491</v>
      </c>
      <c r="FO102" s="21" t="n">
        <v>111.036</v>
      </c>
      <c r="FP102" s="21" t="n">
        <v>105.512</v>
      </c>
      <c r="FQ102" s="21" t="n">
        <v>144.999</v>
      </c>
      <c r="FR102" s="21" t="n">
        <v>148.326</v>
      </c>
      <c r="FS102" s="21" t="n">
        <v>167.134</v>
      </c>
      <c r="FT102" s="21" t="n">
        <v>131.811</v>
      </c>
      <c r="FU102" s="21" t="n">
        <v>126.975</v>
      </c>
      <c r="FV102" s="21" t="n">
        <v>199.405</v>
      </c>
      <c r="FW102" s="21" t="n">
        <v>154.989</v>
      </c>
      <c r="FX102" s="21" t="n">
        <v>198.814</v>
      </c>
      <c r="FY102" s="21" t="n">
        <v>265.15</v>
      </c>
      <c r="FZ102" s="21" t="n">
        <v>264.157</v>
      </c>
      <c r="GA102" s="21" t="n">
        <v>129.261</v>
      </c>
      <c r="GB102" s="21" t="n">
        <v>178.855</v>
      </c>
      <c r="GC102" s="21" t="n"/>
      <c r="GD102" s="21" t="n">
        <v>174.718</v>
      </c>
      <c r="GE102" s="21" t="n">
        <v>190.673</v>
      </c>
      <c r="GF102" s="21" t="n"/>
      <c r="GG102" s="21" t="n">
        <v>198.793</v>
      </c>
      <c r="GH102" s="21" t="n">
        <v>114.904</v>
      </c>
      <c r="GI102" s="21" t="n">
        <v>176.316</v>
      </c>
      <c r="GJ102" s="21" t="n">
        <v>300.266</v>
      </c>
      <c r="GK102" s="21" t="n">
        <v>298.832</v>
      </c>
      <c r="GL102" s="21" t="n">
        <v>292.388</v>
      </c>
      <c r="GM102" s="21" t="n">
        <v>325.806</v>
      </c>
      <c r="GN102" s="21" t="n">
        <v>319.991</v>
      </c>
      <c r="GO102" s="21" t="n">
        <v>297.692</v>
      </c>
      <c r="GP102" s="21" t="n">
        <v>182.357</v>
      </c>
      <c r="GQ102" s="21" t="n">
        <v>154.632</v>
      </c>
      <c r="GR102" s="21" t="n">
        <v>378.182</v>
      </c>
      <c r="GS102" s="21" t="n">
        <v>245.129</v>
      </c>
      <c r="GT102" s="21" t="n">
        <v>695.481</v>
      </c>
      <c r="GU102" s="21" t="n">
        <v>224.922</v>
      </c>
      <c r="GV102" s="21" t="n">
        <v>260.936</v>
      </c>
      <c r="GW102" s="21" t="n">
        <v>274.167</v>
      </c>
      <c r="GX102" s="21" t="n">
        <v>278.395</v>
      </c>
      <c r="GY102" s="21" t="n">
        <v>162.589</v>
      </c>
      <c r="GZ102" s="21" t="n"/>
      <c r="HA102" s="21" t="n">
        <v>64.181</v>
      </c>
      <c r="HB102" s="21" t="n">
        <v>547.446</v>
      </c>
      <c r="HC102" s="21" t="n">
        <v>403.358</v>
      </c>
      <c r="HD102" s="21" t="n">
        <v>131.558</v>
      </c>
      <c r="HE102" s="21" t="n">
        <v>548.929</v>
      </c>
      <c r="HF102" s="21" t="n">
        <v>105.131</v>
      </c>
      <c r="HG102" s="21" t="n">
        <v>593.773</v>
      </c>
      <c r="HH102" s="21" t="n">
        <v>416.998</v>
      </c>
      <c r="HI102" s="21" t="n">
        <v>409.885</v>
      </c>
      <c r="HJ102" s="21" t="n">
        <v>569.167</v>
      </c>
      <c r="HK102" s="21" t="n">
        <v>200.699</v>
      </c>
      <c r="HL102" s="21" t="n">
        <v>261.049</v>
      </c>
      <c r="HM102" s="21" t="n">
        <v>92.681</v>
      </c>
      <c r="HN102" s="21" t="n">
        <v>389.166</v>
      </c>
      <c r="HO102" s="21" t="n">
        <v>375.702</v>
      </c>
      <c r="HP102" s="21" t="n">
        <v>853.182</v>
      </c>
      <c r="HQ102" s="21" t="n">
        <v>269.898</v>
      </c>
      <c r="HR102" s="21" t="n">
        <v>136.062</v>
      </c>
      <c r="HS102" s="21" t="n">
        <v>116.231</v>
      </c>
      <c r="HT102" s="21" t="n">
        <v>112.81</v>
      </c>
      <c r="HU102" s="21" t="n">
        <v>569.211</v>
      </c>
      <c r="HV102" s="21" t="n">
        <v>113.401</v>
      </c>
      <c r="HW102" s="21" t="n">
        <v>26.651</v>
      </c>
      <c r="HX102" s="21" t="n">
        <v>219.313</v>
      </c>
      <c r="HY102" s="21" t="n">
        <v>243.555</v>
      </c>
      <c r="HZ102" s="21" t="n">
        <v>192.666</v>
      </c>
      <c r="IA102" s="21" t="n">
        <v>131.661</v>
      </c>
      <c r="IB102" s="21" t="n">
        <v>324.193</v>
      </c>
      <c r="IC102" s="21" t="n">
        <v>235.672</v>
      </c>
      <c r="ID102" s="21" t="n">
        <v>345.535</v>
      </c>
      <c r="IE102" s="21" t="n">
        <v>126.427</v>
      </c>
      <c r="IF102" s="21" t="n">
        <v>175.038</v>
      </c>
      <c r="IG102" s="21" t="n">
        <v>86.024</v>
      </c>
      <c r="IH102" s="21" t="n">
        <v>84.267</v>
      </c>
      <c r="II102" s="21" t="n">
        <v>62.792</v>
      </c>
      <c r="IJ102" s="21" t="n">
        <v>26.008</v>
      </c>
      <c r="IK102" s="21" t="n">
        <v>35.145</v>
      </c>
      <c r="IL102" s="21" t="n">
        <v>30.062</v>
      </c>
      <c r="IM102" s="21" t="n">
        <v>40.464</v>
      </c>
      <c r="IN102" s="21" t="n">
        <v>106.74</v>
      </c>
      <c r="IO102" s="21" t="n">
        <v>120.348</v>
      </c>
      <c r="IP102" s="21" t="n">
        <v>190.676</v>
      </c>
      <c r="IQ102" s="21" t="n">
        <v>157.048</v>
      </c>
      <c r="IR102" s="21" t="n">
        <v>421.545</v>
      </c>
      <c r="IS102" s="21" t="n">
        <v>217.889</v>
      </c>
      <c r="IT102" s="21" t="n">
        <v>204.91</v>
      </c>
      <c r="IU102" s="21" t="n">
        <v>388.601</v>
      </c>
      <c r="IV102" s="21" t="n">
        <v>289.888</v>
      </c>
      <c r="IW102" s="21" t="n">
        <v>145.514</v>
      </c>
      <c r="IX102" s="21" t="n">
        <v>290.181</v>
      </c>
      <c r="IY102" s="21" t="n">
        <v>707.8579999999999</v>
      </c>
      <c r="IZ102" s="21" t="n">
        <v>834.62</v>
      </c>
      <c r="JA102" s="21" t="n">
        <v>921.168</v>
      </c>
      <c r="JB102" s="21" t="n">
        <v>92.913</v>
      </c>
      <c r="JC102" s="21" t="n">
        <v>347.691</v>
      </c>
      <c r="JD102" s="21" t="n">
        <v>270.72</v>
      </c>
      <c r="JE102" s="21" t="n">
        <v>75.45399999999999</v>
      </c>
      <c r="JF102" s="21" t="n">
        <v>231.902</v>
      </c>
      <c r="JG102" s="21" t="n">
        <v>361.591</v>
      </c>
      <c r="JH102" s="21" t="n">
        <v>403.837</v>
      </c>
      <c r="JI102" s="21" t="n">
        <v>71.062</v>
      </c>
      <c r="JJ102" s="21" t="n">
        <v>106.045</v>
      </c>
      <c r="JK102" s="21" t="n">
        <v>37.289</v>
      </c>
      <c r="JL102" s="21" t="n">
        <v>83.324</v>
      </c>
      <c r="JM102" s="21" t="n">
        <v>120.334</v>
      </c>
      <c r="JN102" s="21" t="n">
        <v>536.074</v>
      </c>
      <c r="JO102" s="21" t="n">
        <v>89.73399999999999</v>
      </c>
      <c r="JP102" s="21" t="n">
        <v>587.437</v>
      </c>
      <c r="JQ102" s="21" t="n">
        <v>273.162</v>
      </c>
      <c r="JR102" s="21" t="n">
        <v>176.611</v>
      </c>
      <c r="JS102" s="21" t="n">
        <v>532.3630000000001</v>
      </c>
      <c r="JT102" s="21" t="n">
        <v>428.416</v>
      </c>
      <c r="JU102" s="21" t="n">
        <v>377.241</v>
      </c>
      <c r="JV102" s="21" t="n">
        <v>217.996</v>
      </c>
      <c r="JW102" s="21" t="n">
        <v>432.798</v>
      </c>
      <c r="JX102" s="21" t="n">
        <v>338.925</v>
      </c>
      <c r="JY102" s="21" t="n">
        <v>87.858</v>
      </c>
      <c r="JZ102" s="21" t="n">
        <v>198.298</v>
      </c>
      <c r="KA102" s="21" t="n">
        <v>291.544</v>
      </c>
      <c r="KB102" s="21" t="n">
        <v>308.898</v>
      </c>
      <c r="KC102" s="21" t="n">
        <v>300.454</v>
      </c>
      <c r="KD102" s="21" t="n">
        <v>307.652</v>
      </c>
      <c r="KE102" s="21" t="n">
        <v>277.408</v>
      </c>
      <c r="KF102" s="21" t="n">
        <v>266.426</v>
      </c>
      <c r="KG102" s="21" t="n">
        <v>268.543</v>
      </c>
      <c r="KH102" s="21" t="n">
        <v>271.937</v>
      </c>
      <c r="KI102" s="21" t="n">
        <v>122.886</v>
      </c>
      <c r="KJ102" s="21" t="n">
        <v>223.331</v>
      </c>
      <c r="KK102" s="21" t="n">
        <v>181.069</v>
      </c>
      <c r="KL102" s="21" t="n">
        <v>177.427</v>
      </c>
      <c r="KM102" s="21" t="n">
        <v>168.261</v>
      </c>
      <c r="KN102" s="21" t="n">
        <v>164.878</v>
      </c>
      <c r="KO102" s="21" t="n">
        <v>312.861</v>
      </c>
      <c r="KP102" s="21" t="n">
        <v>127.797</v>
      </c>
      <c r="KQ102" s="21" t="n">
        <v>60.015</v>
      </c>
      <c r="KR102" s="21" t="n">
        <v>120.518</v>
      </c>
      <c r="KS102" s="21" t="n">
        <v>274.273</v>
      </c>
      <c r="KT102" s="21" t="n">
        <v>305.658</v>
      </c>
      <c r="KU102" s="21" t="n">
        <v>108.422</v>
      </c>
      <c r="KV102" s="21" t="n">
        <v>41.634</v>
      </c>
      <c r="KW102" s="21" t="n">
        <v>272.481</v>
      </c>
      <c r="KX102" s="21" t="n">
        <v>231.106</v>
      </c>
      <c r="KY102" s="21" t="n">
        <v>290.729</v>
      </c>
      <c r="KZ102" s="21" t="n">
        <v>227.773</v>
      </c>
      <c r="LA102" s="21" t="n">
        <v>292.938</v>
      </c>
      <c r="LB102" s="21" t="n">
        <v>135.123</v>
      </c>
      <c r="LC102" s="21" t="n">
        <v>403.096</v>
      </c>
      <c r="LD102" s="21" t="n">
        <v>86.34399999999999</v>
      </c>
      <c r="LE102" s="21" t="n">
        <v>143.695</v>
      </c>
      <c r="LF102" s="21" t="n">
        <v>395.201</v>
      </c>
      <c r="LG102" s="21" t="n">
        <v>381.845</v>
      </c>
      <c r="LH102" s="21" t="n">
        <v>394.692</v>
      </c>
      <c r="LI102" s="21" t="n">
        <v>365.632</v>
      </c>
      <c r="LJ102" s="21" t="n">
        <v>395.608</v>
      </c>
      <c r="LK102" s="21" t="n">
        <v>135.171</v>
      </c>
      <c r="LL102" s="21" t="n">
        <v>390.61</v>
      </c>
      <c r="LM102" s="21" t="n">
        <v>252.583</v>
      </c>
      <c r="LN102" s="21" t="n">
        <v>33.938</v>
      </c>
      <c r="LO102" s="21" t="n">
        <v>149.56</v>
      </c>
    </row>
    <row r="103">
      <c r="A103" s="22" t="n">
        <v>45078</v>
      </c>
      <c r="B103" s="21" t="n">
        <v>304.014</v>
      </c>
      <c r="C103" s="21" t="n">
        <v>319.942</v>
      </c>
      <c r="D103" s="21" t="n">
        <v>322.365</v>
      </c>
      <c r="E103" s="21" t="n">
        <v>302.057</v>
      </c>
      <c r="F103" s="21" t="n">
        <v>354.273</v>
      </c>
      <c r="G103" s="21" t="n">
        <v>288.357</v>
      </c>
      <c r="H103" s="21" t="n">
        <v>320.428</v>
      </c>
      <c r="I103" s="21" t="n">
        <v>280.706</v>
      </c>
      <c r="J103" s="21" t="n">
        <v>294.075</v>
      </c>
      <c r="K103" s="21" t="n">
        <v>392.673</v>
      </c>
      <c r="L103" s="21" t="n">
        <v>238.159</v>
      </c>
      <c r="M103" s="21" t="n">
        <v>230.041</v>
      </c>
      <c r="N103" s="21" t="n">
        <v>369.396</v>
      </c>
      <c r="O103" s="21" t="n">
        <v>346.468</v>
      </c>
      <c r="P103" s="21" t="n">
        <v>350.437</v>
      </c>
      <c r="Q103" s="21" t="n">
        <v>419.693</v>
      </c>
      <c r="R103" s="21" t="n">
        <v>342.546</v>
      </c>
      <c r="S103" s="21" t="n">
        <v>316.041</v>
      </c>
      <c r="T103" s="21" t="n">
        <v>319.07</v>
      </c>
      <c r="U103" s="21" t="n">
        <v>322.97</v>
      </c>
      <c r="V103" s="21" t="n">
        <v>399.843</v>
      </c>
      <c r="W103" s="21" t="n">
        <v>344.944</v>
      </c>
      <c r="X103" s="21" t="n">
        <v>309.103</v>
      </c>
      <c r="Y103" s="21" t="n">
        <v>269.277</v>
      </c>
      <c r="Z103" s="21" t="n">
        <v>257.379</v>
      </c>
      <c r="AA103" s="21" t="n">
        <v>191.316</v>
      </c>
      <c r="AB103" s="21" t="n">
        <v>347.267</v>
      </c>
      <c r="AC103" s="21" t="n">
        <v>183.851</v>
      </c>
      <c r="AD103" s="21" t="n">
        <v>255.11</v>
      </c>
      <c r="AE103" s="21" t="n">
        <v>285.262</v>
      </c>
      <c r="AF103" s="21" t="n">
        <v>233.532</v>
      </c>
      <c r="AG103" s="21" t="n">
        <v>151.262</v>
      </c>
      <c r="AH103" s="21" t="n">
        <v>288.534</v>
      </c>
      <c r="AI103" s="21" t="n">
        <v>282.444</v>
      </c>
      <c r="AJ103" s="21" t="n">
        <v>187.379</v>
      </c>
      <c r="AK103" s="21" t="n">
        <v>301.184</v>
      </c>
      <c r="AL103" s="21" t="n">
        <v>192.345</v>
      </c>
      <c r="AM103" s="21" t="n">
        <v>321.622</v>
      </c>
      <c r="AN103" s="21" t="n">
        <v>286.876</v>
      </c>
      <c r="AO103" s="21" t="n">
        <v>202.338</v>
      </c>
      <c r="AP103" s="21" t="n">
        <v>357.044</v>
      </c>
      <c r="AQ103" s="21" t="n">
        <v>225.314</v>
      </c>
      <c r="AR103" s="21" t="n">
        <v>174.769</v>
      </c>
      <c r="AS103" s="21" t="n">
        <v>245.837</v>
      </c>
      <c r="AT103" s="21" t="n">
        <v>369.718</v>
      </c>
      <c r="AU103" s="21" t="n">
        <v>280.489</v>
      </c>
      <c r="AV103" s="21" t="n">
        <v>268.338</v>
      </c>
      <c r="AW103" s="21" t="n">
        <v>175.416</v>
      </c>
      <c r="AX103" s="21" t="n">
        <v>250.639</v>
      </c>
      <c r="AY103" s="21" t="n">
        <v>181.965</v>
      </c>
      <c r="AZ103" s="21" t="n">
        <v>266.48</v>
      </c>
      <c r="BA103" s="21" t="n">
        <v>272.055</v>
      </c>
      <c r="BB103" s="21" t="n">
        <v>189.192</v>
      </c>
      <c r="BC103" s="21" t="n">
        <v>351.203</v>
      </c>
      <c r="BD103" s="21" t="n">
        <v>396.106</v>
      </c>
      <c r="BE103" s="21" t="n">
        <v>409.527</v>
      </c>
      <c r="BF103" s="21" t="n">
        <v>377.047</v>
      </c>
      <c r="BG103" s="21" t="n">
        <v>208.359</v>
      </c>
      <c r="BH103" s="21" t="n">
        <v>291.05</v>
      </c>
      <c r="BI103" s="21" t="n">
        <v>566.12</v>
      </c>
      <c r="BJ103" s="21" t="n">
        <v>139.92</v>
      </c>
      <c r="BK103" s="21" t="n">
        <v>380.659</v>
      </c>
      <c r="BL103" s="21" t="n">
        <v>436.469</v>
      </c>
      <c r="BM103" s="21" t="n">
        <v>406.65</v>
      </c>
      <c r="BN103" s="21" t="n">
        <v>356.754</v>
      </c>
      <c r="BO103" s="21" t="n">
        <v>372.86</v>
      </c>
      <c r="BP103" s="21" t="n">
        <v>200.607</v>
      </c>
      <c r="BQ103" s="21" t="n">
        <v>211.092</v>
      </c>
      <c r="BR103" s="21" t="n">
        <v>202.402</v>
      </c>
      <c r="BS103" s="21" t="n">
        <v>224.136</v>
      </c>
      <c r="BT103" s="21" t="n">
        <v>189.246</v>
      </c>
      <c r="BU103" s="21" t="n">
        <v>266.959</v>
      </c>
      <c r="BV103" s="21" t="n">
        <v>188.503</v>
      </c>
      <c r="BW103" s="21" t="n">
        <v>216.295</v>
      </c>
      <c r="BX103" s="21" t="n">
        <v>171.796</v>
      </c>
      <c r="BY103" s="21" t="n">
        <v>221.633</v>
      </c>
      <c r="BZ103" s="21" t="n">
        <v>153.672</v>
      </c>
      <c r="CA103" s="21" t="n">
        <v>141.732</v>
      </c>
      <c r="CB103" s="21" t="n">
        <v>236.236</v>
      </c>
      <c r="CC103" s="21" t="n">
        <v>248.532</v>
      </c>
      <c r="CD103" s="21" t="n">
        <v>157.364</v>
      </c>
      <c r="CE103" s="21" t="n">
        <v>268.761</v>
      </c>
      <c r="CF103" s="21" t="n">
        <v>282.581</v>
      </c>
      <c r="CG103" s="21" t="n">
        <v>256.403</v>
      </c>
      <c r="CH103" s="21" t="n">
        <v>192.405</v>
      </c>
      <c r="CI103" s="21" t="n">
        <v>191.259</v>
      </c>
      <c r="CJ103" s="21" t="n">
        <v>307.545</v>
      </c>
      <c r="CK103" s="21" t="n">
        <v>273.032</v>
      </c>
      <c r="CL103" s="21" t="n">
        <v>298.013</v>
      </c>
      <c r="CM103" s="21" t="n">
        <v>470.218</v>
      </c>
      <c r="CN103" s="21" t="n">
        <v>170.632</v>
      </c>
      <c r="CO103" s="21" t="n">
        <v>216.645</v>
      </c>
      <c r="CP103" s="21" t="n">
        <v>283.704</v>
      </c>
      <c r="CQ103" s="21" t="n">
        <v>314.043</v>
      </c>
      <c r="CR103" s="21" t="n">
        <v>213.448</v>
      </c>
      <c r="CS103" s="21" t="n">
        <v>308.617</v>
      </c>
      <c r="CT103" s="21" t="n">
        <v>305.008</v>
      </c>
      <c r="CU103" s="21" t="n">
        <v>186.754</v>
      </c>
      <c r="CV103" s="21" t="n">
        <v>184.943</v>
      </c>
      <c r="CW103" s="21" t="n">
        <v>180.333</v>
      </c>
      <c r="CX103" s="21" t="n">
        <v>354.589</v>
      </c>
      <c r="CY103" s="21" t="n">
        <v>169.094</v>
      </c>
      <c r="CZ103" s="21" t="n">
        <v>155.364</v>
      </c>
      <c r="DA103" s="21" t="n">
        <v>354.245</v>
      </c>
      <c r="DB103" s="21" t="n">
        <v>218.301</v>
      </c>
      <c r="DC103" s="21" t="n">
        <v>193.222</v>
      </c>
      <c r="DD103" s="21" t="n">
        <v>191.83</v>
      </c>
      <c r="DE103" s="21" t="n">
        <v>233.684</v>
      </c>
      <c r="DF103" s="21" t="n">
        <v>285.633</v>
      </c>
      <c r="DG103" s="21" t="n">
        <v>225.76</v>
      </c>
      <c r="DH103" s="21" t="n">
        <v>267.894</v>
      </c>
      <c r="DI103" s="21" t="n">
        <v>208.618</v>
      </c>
      <c r="DJ103" s="21" t="n">
        <v>221.053</v>
      </c>
      <c r="DK103" s="21" t="n">
        <v>204.472</v>
      </c>
      <c r="DL103" s="21" t="n">
        <v>181.057</v>
      </c>
      <c r="DM103" s="21" t="n">
        <v>419.404</v>
      </c>
      <c r="DN103" s="21" t="n">
        <v>233.078</v>
      </c>
      <c r="DO103" s="21" t="n">
        <v>319.355</v>
      </c>
      <c r="DP103" s="21" t="n">
        <v>380.155</v>
      </c>
      <c r="DQ103" s="21" t="n">
        <v>398.949</v>
      </c>
      <c r="DR103" s="21" t="n">
        <v>191.236</v>
      </c>
      <c r="DS103" s="21" t="n">
        <v>615.252</v>
      </c>
      <c r="DT103" s="21" t="n">
        <v>395.257</v>
      </c>
      <c r="DU103" s="21" t="n">
        <v>389.533</v>
      </c>
      <c r="DV103" s="21" t="n">
        <v>389.615</v>
      </c>
      <c r="DW103" s="21" t="n">
        <v>300.739</v>
      </c>
      <c r="DX103" s="21" t="n">
        <v>252.19</v>
      </c>
      <c r="DY103" s="21" t="n">
        <v>363.894</v>
      </c>
      <c r="DZ103" s="21" t="n">
        <v>364.835</v>
      </c>
      <c r="EA103" s="21" t="n">
        <v>432.94</v>
      </c>
      <c r="EB103" s="21" t="n">
        <v>256.091</v>
      </c>
      <c r="EC103" s="21" t="n">
        <v>266.068</v>
      </c>
      <c r="ED103" s="21" t="n">
        <v>221.236</v>
      </c>
      <c r="EE103" s="21" t="n">
        <v>287.457</v>
      </c>
      <c r="EF103" s="21" t="n">
        <v>657.11</v>
      </c>
      <c r="EG103" s="21" t="n">
        <v>589.812</v>
      </c>
      <c r="EH103" s="21" t="n">
        <v>148.395</v>
      </c>
      <c r="EI103" s="21" t="n">
        <v>61.485</v>
      </c>
      <c r="EJ103" s="21" t="n">
        <v>74.655</v>
      </c>
      <c r="EK103" s="21" t="n">
        <v>43.259</v>
      </c>
      <c r="EL103" s="21" t="n">
        <v>136.784</v>
      </c>
      <c r="EM103" s="21" t="n">
        <v>84.447</v>
      </c>
      <c r="EN103" s="21" t="n">
        <v>87.83799999999999</v>
      </c>
      <c r="EO103" s="21" t="n">
        <v>93.342</v>
      </c>
      <c r="EP103" s="21" t="n">
        <v>112.317</v>
      </c>
      <c r="EQ103" s="21" t="n">
        <v>76.98099999999999</v>
      </c>
      <c r="ER103" s="21" t="n">
        <v>54.968</v>
      </c>
      <c r="ES103" s="21" t="n">
        <v>150.698</v>
      </c>
      <c r="ET103" s="21" t="n">
        <v>83.986</v>
      </c>
      <c r="EU103" s="21" t="n">
        <v>114.498</v>
      </c>
      <c r="EV103" s="21" t="n">
        <v>122.025</v>
      </c>
      <c r="EW103" s="21" t="n">
        <v>111.725</v>
      </c>
      <c r="EX103" s="21" t="n">
        <v>234.574</v>
      </c>
      <c r="EY103" s="21" t="n">
        <v>148.315</v>
      </c>
      <c r="EZ103" s="21" t="n">
        <v>140.382</v>
      </c>
      <c r="FA103" s="21" t="n">
        <v>202.403</v>
      </c>
      <c r="FB103" s="21" t="n">
        <v>131.118</v>
      </c>
      <c r="FC103" s="21" t="n">
        <v>127.214</v>
      </c>
      <c r="FD103" s="21" t="n">
        <v>130.377</v>
      </c>
      <c r="FE103" s="21" t="n">
        <v>106.001</v>
      </c>
      <c r="FF103" s="21" t="n">
        <v>181.673</v>
      </c>
      <c r="FG103" s="21" t="n">
        <v>76.919</v>
      </c>
      <c r="FH103" s="21" t="n">
        <v>136.209</v>
      </c>
      <c r="FI103" s="21" t="n">
        <v>114.329</v>
      </c>
      <c r="FJ103" s="21" t="n">
        <v>109.611</v>
      </c>
      <c r="FK103" s="21" t="n">
        <v>110.723</v>
      </c>
      <c r="FL103" s="21" t="n">
        <v>105.624</v>
      </c>
      <c r="FM103" s="21" t="n">
        <v>107.104</v>
      </c>
      <c r="FN103" s="21" t="n">
        <v>75.035</v>
      </c>
      <c r="FO103" s="21" t="n">
        <v>112.348</v>
      </c>
      <c r="FP103" s="21" t="n">
        <v>103.851</v>
      </c>
      <c r="FQ103" s="21" t="n">
        <v>144.92</v>
      </c>
      <c r="FR103" s="21" t="n">
        <v>149.489</v>
      </c>
      <c r="FS103" s="21" t="n">
        <v>166.129</v>
      </c>
      <c r="FT103" s="21" t="n">
        <v>131.399</v>
      </c>
      <c r="FU103" s="21" t="n">
        <v>128.253</v>
      </c>
      <c r="FV103" s="21" t="n">
        <v>199.535</v>
      </c>
      <c r="FW103" s="21" t="n">
        <v>154.286</v>
      </c>
      <c r="FX103" s="21" t="n">
        <v>198.898</v>
      </c>
      <c r="FY103" s="21" t="n">
        <v>265.787</v>
      </c>
      <c r="FZ103" s="21" t="n">
        <v>265.256</v>
      </c>
      <c r="GA103" s="21" t="n">
        <v>129.065</v>
      </c>
      <c r="GB103" s="21" t="n">
        <v>178.872</v>
      </c>
      <c r="GC103" s="21" t="n"/>
      <c r="GD103" s="21" t="n">
        <v>174.624</v>
      </c>
      <c r="GE103" s="21" t="n">
        <v>190.766</v>
      </c>
      <c r="GF103" s="21" t="n"/>
      <c r="GG103" s="21" t="n">
        <v>197.601</v>
      </c>
      <c r="GH103" s="21" t="n">
        <v>115.583</v>
      </c>
      <c r="GI103" s="21" t="n">
        <v>173.019</v>
      </c>
      <c r="GJ103" s="21" t="n">
        <v>302.632</v>
      </c>
      <c r="GK103" s="21" t="n">
        <v>301.426</v>
      </c>
      <c r="GL103" s="21" t="n">
        <v>294.871</v>
      </c>
      <c r="GM103" s="21" t="n">
        <v>328.248</v>
      </c>
      <c r="GN103" s="21" t="n">
        <v>322.633</v>
      </c>
      <c r="GO103" s="21" t="n">
        <v>288.457</v>
      </c>
      <c r="GP103" s="21" t="n">
        <v>182.104</v>
      </c>
      <c r="GQ103" s="21" t="n">
        <v>154.987</v>
      </c>
      <c r="GR103" s="21" t="n">
        <v>383.196</v>
      </c>
      <c r="GS103" s="21" t="n">
        <v>250.599</v>
      </c>
      <c r="GT103" s="21" t="n">
        <v>705.668</v>
      </c>
      <c r="GU103" s="21" t="n">
        <v>225.739</v>
      </c>
      <c r="GV103" s="21" t="n">
        <v>262.512</v>
      </c>
      <c r="GW103" s="21" t="n">
        <v>264.895</v>
      </c>
      <c r="GX103" s="21" t="n">
        <v>264.312</v>
      </c>
      <c r="GY103" s="21" t="n">
        <v>164.928</v>
      </c>
      <c r="GZ103" s="21" t="n"/>
      <c r="HA103" s="21" t="n">
        <v>65.852</v>
      </c>
      <c r="HB103" s="21" t="n">
        <v>547.299</v>
      </c>
      <c r="HC103" s="21" t="n">
        <v>404.109</v>
      </c>
      <c r="HD103" s="21" t="n">
        <v>131.819</v>
      </c>
      <c r="HE103" s="21" t="n">
        <v>549.14</v>
      </c>
      <c r="HF103" s="21" t="n">
        <v>105.678</v>
      </c>
      <c r="HG103" s="21" t="n">
        <v>593.325</v>
      </c>
      <c r="HH103" s="21" t="n">
        <v>418.41</v>
      </c>
      <c r="HI103" s="21" t="n">
        <v>412.812</v>
      </c>
      <c r="HJ103" s="21" t="n">
        <v>569.369</v>
      </c>
      <c r="HK103" s="21" t="n">
        <v>202.07</v>
      </c>
      <c r="HL103" s="21" t="n">
        <v>259.432</v>
      </c>
      <c r="HM103" s="21" t="n">
        <v>93.001</v>
      </c>
      <c r="HN103" s="21" t="n">
        <v>390.793</v>
      </c>
      <c r="HO103" s="21" t="n">
        <v>376.235</v>
      </c>
      <c r="HP103" s="21" t="n">
        <v>860.404</v>
      </c>
      <c r="HQ103" s="21" t="n">
        <v>269.609</v>
      </c>
      <c r="HR103" s="21" t="n">
        <v>136.256</v>
      </c>
      <c r="HS103" s="21" t="n">
        <v>116.16</v>
      </c>
      <c r="HT103" s="21" t="n">
        <v>111.934</v>
      </c>
      <c r="HU103" s="21" t="n">
        <v>570.202</v>
      </c>
      <c r="HV103" s="21" t="n">
        <v>113.8</v>
      </c>
      <c r="HW103" s="21" t="n">
        <v>26.02</v>
      </c>
      <c r="HX103" s="21" t="n">
        <v>219.357</v>
      </c>
      <c r="HY103" s="21" t="n">
        <v>242.387</v>
      </c>
      <c r="HZ103" s="21" t="n">
        <v>192.219</v>
      </c>
      <c r="IA103" s="21" t="n">
        <v>130.974</v>
      </c>
      <c r="IB103" s="21" t="n">
        <v>326.251</v>
      </c>
      <c r="IC103" s="21" t="n">
        <v>236.752</v>
      </c>
      <c r="ID103" s="21" t="n">
        <v>347.585</v>
      </c>
      <c r="IE103" s="21" t="n">
        <v>126.082</v>
      </c>
      <c r="IF103" s="21" t="n">
        <v>174.574</v>
      </c>
      <c r="IG103" s="21" t="n">
        <v>85.782</v>
      </c>
      <c r="IH103" s="21" t="n">
        <v>84.31</v>
      </c>
      <c r="II103" s="21" t="n">
        <v>62.989</v>
      </c>
      <c r="IJ103" s="21" t="n">
        <v>26.101</v>
      </c>
      <c r="IK103" s="21" t="n">
        <v>34.925</v>
      </c>
      <c r="IL103" s="21" t="n">
        <v>29.757</v>
      </c>
      <c r="IM103" s="21" t="n">
        <v>39.927</v>
      </c>
      <c r="IN103" s="21" t="n">
        <v>104.657</v>
      </c>
      <c r="IO103" s="21" t="n">
        <v>123.56</v>
      </c>
      <c r="IP103" s="21" t="n">
        <v>192.443</v>
      </c>
      <c r="IQ103" s="21" t="n">
        <v>157.426</v>
      </c>
      <c r="IR103" s="21" t="n">
        <v>432.065</v>
      </c>
      <c r="IS103" s="21" t="n">
        <v>218.948</v>
      </c>
      <c r="IT103" s="21" t="n">
        <v>216.081</v>
      </c>
      <c r="IU103" s="21" t="n">
        <v>388.856</v>
      </c>
      <c r="IV103" s="21" t="n">
        <v>287.092</v>
      </c>
      <c r="IW103" s="21" t="n">
        <v>145.18</v>
      </c>
      <c r="IX103" s="21" t="n">
        <v>290.593</v>
      </c>
      <c r="IY103" s="21" t="n">
        <v>697.925</v>
      </c>
      <c r="IZ103" s="21" t="n">
        <v>836.373</v>
      </c>
      <c r="JA103" s="21" t="n">
        <v>921.471</v>
      </c>
      <c r="JB103" s="21" t="n">
        <v>93.702</v>
      </c>
      <c r="JC103" s="21" t="n">
        <v>348.552</v>
      </c>
      <c r="JD103" s="21" t="n">
        <v>271.375</v>
      </c>
      <c r="JE103" s="21" t="n">
        <v>75.101</v>
      </c>
      <c r="JF103" s="21" t="n">
        <v>232.731</v>
      </c>
      <c r="JG103" s="21" t="n">
        <v>362.928</v>
      </c>
      <c r="JH103" s="21" t="n">
        <v>404.98</v>
      </c>
      <c r="JI103" s="21" t="n">
        <v>70.71599999999999</v>
      </c>
      <c r="JJ103" s="21" t="n">
        <v>106.238</v>
      </c>
      <c r="JK103" s="21" t="n">
        <v>37.357</v>
      </c>
      <c r="JL103" s="21" t="n">
        <v>83.572</v>
      </c>
      <c r="JM103" s="21" t="n">
        <v>120.347</v>
      </c>
      <c r="JN103" s="21" t="n">
        <v>536.826</v>
      </c>
      <c r="JO103" s="21" t="n">
        <v>89.809</v>
      </c>
      <c r="JP103" s="21" t="n">
        <v>587.655</v>
      </c>
      <c r="JQ103" s="21" t="n">
        <v>273.58</v>
      </c>
      <c r="JR103" s="21" t="n">
        <v>177.006</v>
      </c>
      <c r="JS103" s="21" t="n">
        <v>533.0839999999999</v>
      </c>
      <c r="JT103" s="21" t="n"/>
      <c r="JU103" s="21" t="n">
        <v>377.563</v>
      </c>
      <c r="JV103" s="21" t="n">
        <v>217.129</v>
      </c>
      <c r="JW103" s="21" t="n">
        <v>439.647</v>
      </c>
      <c r="JX103" s="21" t="n">
        <v>345.068</v>
      </c>
      <c r="JY103" s="21" t="n">
        <v>88.197</v>
      </c>
      <c r="JZ103" s="21" t="n">
        <v>199.256</v>
      </c>
      <c r="KA103" s="21" t="n">
        <v>292.26</v>
      </c>
      <c r="KB103" s="21" t="n">
        <v>309.523</v>
      </c>
      <c r="KC103" s="21" t="n">
        <v>301.18</v>
      </c>
      <c r="KD103" s="21" t="n">
        <v>308.322</v>
      </c>
      <c r="KE103" s="21" t="n">
        <v>277.639</v>
      </c>
      <c r="KF103" s="21" t="n">
        <v>266.628</v>
      </c>
      <c r="KG103" s="21" t="n">
        <v>268.566</v>
      </c>
      <c r="KH103" s="21" t="n">
        <v>272.068</v>
      </c>
      <c r="KI103" s="21" t="n">
        <v>123.037</v>
      </c>
      <c r="KJ103" s="21" t="n">
        <v>223.417</v>
      </c>
      <c r="KK103" s="21" t="n">
        <v>181.068</v>
      </c>
      <c r="KL103" s="21" t="n">
        <v>177.418</v>
      </c>
      <c r="KM103" s="21" t="n">
        <v>168.061</v>
      </c>
      <c r="KN103" s="21" t="n">
        <v>164.798</v>
      </c>
      <c r="KO103" s="21" t="n">
        <v>312.614</v>
      </c>
      <c r="KP103" s="21" t="n">
        <v>127.404</v>
      </c>
      <c r="KQ103" s="21" t="n">
        <v>59.949</v>
      </c>
      <c r="KR103" s="21" t="n">
        <v>120.214</v>
      </c>
      <c r="KS103" s="21" t="n">
        <v>275.712</v>
      </c>
      <c r="KT103" s="21" t="n">
        <v>307.866</v>
      </c>
      <c r="KU103" s="21" t="n">
        <v>108.137</v>
      </c>
      <c r="KV103" s="21" t="n">
        <v>41.651</v>
      </c>
      <c r="KW103" s="21" t="n">
        <v>273.04</v>
      </c>
      <c r="KX103" s="21" t="n">
        <v>232.354</v>
      </c>
      <c r="KY103" s="21" t="n">
        <v>292.523</v>
      </c>
      <c r="KZ103" s="21" t="n">
        <v>229.096</v>
      </c>
      <c r="LA103" s="21" t="n">
        <v>294.936</v>
      </c>
      <c r="LB103" s="21" t="n">
        <v>135.376</v>
      </c>
      <c r="LC103" s="21" t="n">
        <v>403.515</v>
      </c>
      <c r="LD103" s="21" t="n">
        <v>85.92700000000001</v>
      </c>
      <c r="LE103" s="21" t="n">
        <v>144.557</v>
      </c>
      <c r="LF103" s="21" t="n">
        <v>397.123</v>
      </c>
      <c r="LG103" s="21" t="n">
        <v>383.244</v>
      </c>
      <c r="LH103" s="21" t="n">
        <v>396.15</v>
      </c>
      <c r="LI103" s="21" t="n">
        <v>367.19</v>
      </c>
      <c r="LJ103" s="21" t="n">
        <v>396.648</v>
      </c>
      <c r="LK103" s="21" t="n">
        <v>134.907</v>
      </c>
      <c r="LL103" s="21" t="n">
        <v>392.585</v>
      </c>
      <c r="LM103" s="21" t="n">
        <v>251.755</v>
      </c>
      <c r="LN103" s="21" t="n">
        <v>33.702</v>
      </c>
      <c r="LO103" s="21" t="n">
        <v>149.732</v>
      </c>
    </row>
    <row r="104">
      <c r="A104" s="22" t="n">
        <v>45108</v>
      </c>
      <c r="B104" s="21" t="n">
        <v>304.609</v>
      </c>
      <c r="C104" s="21" t="n">
        <v>320.719</v>
      </c>
      <c r="D104" s="21" t="n">
        <v>323.201</v>
      </c>
      <c r="E104" s="21" t="n">
        <v>302.984</v>
      </c>
      <c r="F104" s="21" t="n">
        <v>355.205</v>
      </c>
      <c r="G104" s="21" t="n">
        <v>289.107</v>
      </c>
      <c r="H104" s="21" t="n">
        <v>320.803</v>
      </c>
      <c r="I104" s="21" t="n">
        <v>281.392</v>
      </c>
      <c r="J104" s="21" t="n">
        <v>295.857</v>
      </c>
      <c r="K104" s="21" t="n">
        <v>393.736</v>
      </c>
      <c r="L104" s="21" t="n">
        <v>240.341</v>
      </c>
      <c r="M104" s="21" t="n">
        <v>227.75</v>
      </c>
      <c r="N104" s="21" t="n">
        <v>370.79</v>
      </c>
      <c r="O104" s="21" t="n">
        <v>349.334</v>
      </c>
      <c r="P104" s="21" t="n">
        <v>350.601</v>
      </c>
      <c r="Q104" s="21" t="n">
        <v>418.618</v>
      </c>
      <c r="R104" s="21" t="n">
        <v>344.032</v>
      </c>
      <c r="S104" s="21" t="n">
        <v>316.471</v>
      </c>
      <c r="T104" s="21" t="n">
        <v>320.076</v>
      </c>
      <c r="U104" s="21" t="n">
        <v>325.407</v>
      </c>
      <c r="V104" s="21" t="n">
        <v>405.615</v>
      </c>
      <c r="W104" s="21" t="n">
        <v>347.86</v>
      </c>
      <c r="X104" s="21" t="n">
        <v>321.144</v>
      </c>
      <c r="Y104" s="21" t="n">
        <v>273.784</v>
      </c>
      <c r="Z104" s="21" t="n">
        <v>257.575</v>
      </c>
      <c r="AA104" s="21" t="n">
        <v>191.24</v>
      </c>
      <c r="AB104" s="21" t="n">
        <v>344.412</v>
      </c>
      <c r="AC104" s="21" t="n">
        <v>184.865</v>
      </c>
      <c r="AD104" s="21" t="n">
        <v>255.454</v>
      </c>
      <c r="AE104" s="21" t="n">
        <v>284.999</v>
      </c>
      <c r="AF104" s="21" t="n">
        <v>233.915</v>
      </c>
      <c r="AG104" s="21" t="n">
        <v>154.724</v>
      </c>
      <c r="AH104" s="21" t="n">
        <v>289.693</v>
      </c>
      <c r="AI104" s="21" t="n">
        <v>283.698</v>
      </c>
      <c r="AJ104" s="21" t="n">
        <v>188.6</v>
      </c>
      <c r="AK104" s="21" t="n">
        <v>300.228</v>
      </c>
      <c r="AL104" s="21" t="n">
        <v>190.256</v>
      </c>
      <c r="AM104" s="21" t="n">
        <v>314.965</v>
      </c>
      <c r="AN104" s="21" t="n">
        <v>285.144</v>
      </c>
      <c r="AO104" s="21" t="n">
        <v>206.313</v>
      </c>
      <c r="AP104" s="21" t="n">
        <v>355.236</v>
      </c>
      <c r="AQ104" s="21" t="n">
        <v>222.893</v>
      </c>
      <c r="AR104" s="21" t="n">
        <v>175.286</v>
      </c>
      <c r="AS104" s="21" t="n">
        <v>248.474</v>
      </c>
      <c r="AT104" s="21" t="n">
        <v>368.002</v>
      </c>
      <c r="AU104" s="21" t="n">
        <v>274.075</v>
      </c>
      <c r="AV104" s="21" t="n">
        <v>269.143</v>
      </c>
      <c r="AW104" s="21" t="n">
        <v>173.791</v>
      </c>
      <c r="AX104" s="21" t="n">
        <v>247.44</v>
      </c>
      <c r="AY104" s="21" t="n">
        <v>180.849</v>
      </c>
      <c r="AZ104" s="21" t="n">
        <v>267.792</v>
      </c>
      <c r="BA104" s="21" t="n">
        <v>275.125</v>
      </c>
      <c r="BB104" s="21" t="n">
        <v>189.031</v>
      </c>
      <c r="BC104" s="21" t="n">
        <v>352.478</v>
      </c>
      <c r="BD104" s="21" t="n">
        <v>397.431</v>
      </c>
      <c r="BE104" s="21" t="n">
        <v>412.3</v>
      </c>
      <c r="BF104" s="21" t="n">
        <v>386.905</v>
      </c>
      <c r="BG104" s="21" t="n">
        <v>209.612</v>
      </c>
      <c r="BH104" s="21" t="n">
        <v>292.641</v>
      </c>
      <c r="BI104" s="21" t="n">
        <v>567.659</v>
      </c>
      <c r="BJ104" s="21" t="n">
        <v>138.355</v>
      </c>
      <c r="BK104" s="21" t="n">
        <v>380.438</v>
      </c>
      <c r="BL104" s="21" t="n">
        <v>439.134</v>
      </c>
      <c r="BM104" s="21" t="n">
        <v>403.691</v>
      </c>
      <c r="BN104" s="21" t="n">
        <v>356.037</v>
      </c>
      <c r="BO104" s="21" t="n">
        <v>372.882</v>
      </c>
      <c r="BP104" s="21" t="n">
        <v>201.502</v>
      </c>
      <c r="BQ104" s="21" t="n">
        <v>212.689</v>
      </c>
      <c r="BR104" s="21" t="n">
        <v>203.091</v>
      </c>
      <c r="BS104" s="21" t="n">
        <v>227.016</v>
      </c>
      <c r="BT104" s="21" t="n">
        <v>189.189</v>
      </c>
      <c r="BU104" s="21" t="n">
        <v>267.638</v>
      </c>
      <c r="BV104" s="21" t="n">
        <v>188.238</v>
      </c>
      <c r="BW104" s="21" t="n">
        <v>216.554</v>
      </c>
      <c r="BX104" s="21" t="n">
        <v>171.571</v>
      </c>
      <c r="BY104" s="21" t="n">
        <v>221.155</v>
      </c>
      <c r="BZ104" s="21" t="n">
        <v>153.567</v>
      </c>
      <c r="CA104" s="21" t="n">
        <v>141.99</v>
      </c>
      <c r="CB104" s="21" t="n">
        <v>236.985</v>
      </c>
      <c r="CC104" s="21" t="n">
        <v>249.353</v>
      </c>
      <c r="CD104" s="21" t="n">
        <v>156.992</v>
      </c>
      <c r="CE104" s="21" t="n">
        <v>270.129</v>
      </c>
      <c r="CF104" s="21" t="n">
        <v>284.24</v>
      </c>
      <c r="CG104" s="21" t="n">
        <v>258.739</v>
      </c>
      <c r="CH104" s="21" t="n">
        <v>193.166</v>
      </c>
      <c r="CI104" s="21" t="n">
        <v>190.917</v>
      </c>
      <c r="CJ104" s="21" t="n">
        <v>308.298</v>
      </c>
      <c r="CK104" s="21" t="n">
        <v>272.953</v>
      </c>
      <c r="CL104" s="21" t="n">
        <v>301.267</v>
      </c>
      <c r="CM104" s="21" t="n">
        <v>464.695</v>
      </c>
      <c r="CN104" s="21" t="n">
        <v>173.065</v>
      </c>
      <c r="CO104" s="21" t="n">
        <v>217.424</v>
      </c>
      <c r="CP104" s="21" t="n">
        <v>285.218</v>
      </c>
      <c r="CQ104" s="21" t="n">
        <v>312.286</v>
      </c>
      <c r="CR104" s="21" t="n">
        <v>214.168</v>
      </c>
      <c r="CS104" s="21" t="n">
        <v>313.819</v>
      </c>
      <c r="CT104" s="21" t="n">
        <v>305.348</v>
      </c>
      <c r="CU104" s="21" t="n">
        <v>185.681</v>
      </c>
      <c r="CV104" s="21" t="n">
        <v>186.746</v>
      </c>
      <c r="CW104" s="21" t="n">
        <v>180.717</v>
      </c>
      <c r="CX104" s="21" t="n">
        <v>360.202</v>
      </c>
      <c r="CY104" s="21" t="n">
        <v>169.513</v>
      </c>
      <c r="CZ104" s="21" t="n">
        <v>156.306</v>
      </c>
      <c r="DA104" s="21" t="n">
        <v>354.862</v>
      </c>
      <c r="DB104" s="21" t="n">
        <v>218.655</v>
      </c>
      <c r="DC104" s="21" t="n">
        <v>193.484</v>
      </c>
      <c r="DD104" s="21" t="n"/>
      <c r="DE104" s="21" t="n">
        <v>233.459</v>
      </c>
      <c r="DF104" s="21" t="n">
        <v>285.58</v>
      </c>
      <c r="DG104" s="21" t="n">
        <v>225.69</v>
      </c>
      <c r="DH104" s="21" t="n">
        <v>266.014</v>
      </c>
      <c r="DI104" s="21" t="n">
        <v>210.389</v>
      </c>
      <c r="DJ104" s="21" t="n">
        <v>222.835</v>
      </c>
      <c r="DK104" s="21" t="n">
        <v>205.852</v>
      </c>
      <c r="DL104" s="21" t="n">
        <v>181.313</v>
      </c>
      <c r="DM104" s="21" t="n">
        <v>420.092</v>
      </c>
      <c r="DN104" s="21" t="n">
        <v>233.409</v>
      </c>
      <c r="DO104" s="21" t="n">
        <v>320.552</v>
      </c>
      <c r="DP104" s="21" t="n">
        <v>381.895</v>
      </c>
      <c r="DQ104" s="21" t="n">
        <v>400.741</v>
      </c>
      <c r="DR104" s="21" t="n">
        <v>190.851</v>
      </c>
      <c r="DS104" s="21" t="n">
        <v>620.081</v>
      </c>
      <c r="DT104" s="21" t="n">
        <v>393.852</v>
      </c>
      <c r="DU104" s="21" t="n">
        <v>391.463</v>
      </c>
      <c r="DV104" s="21" t="n">
        <v>391.539</v>
      </c>
      <c r="DW104" s="21" t="n">
        <v>301.594</v>
      </c>
      <c r="DX104" s="21" t="n">
        <v>252.707</v>
      </c>
      <c r="DY104" s="21" t="n">
        <v>365.101</v>
      </c>
      <c r="DZ104" s="21" t="n">
        <v>366.485</v>
      </c>
      <c r="EA104" s="21" t="n">
        <v>430.033</v>
      </c>
      <c r="EB104" s="21" t="n">
        <v>256.599</v>
      </c>
      <c r="EC104" s="21" t="n">
        <v>265.228</v>
      </c>
      <c r="ED104" s="21" t="n">
        <v>225.688</v>
      </c>
      <c r="EE104" s="21" t="n">
        <v>289.005</v>
      </c>
      <c r="EF104" s="21" t="n">
        <v>659.223</v>
      </c>
      <c r="EG104" s="21" t="n">
        <v>596.167</v>
      </c>
      <c r="EH104" s="21" t="n">
        <v>148.251</v>
      </c>
      <c r="EI104" s="21" t="n">
        <v>61.188</v>
      </c>
      <c r="EJ104" s="21" t="n">
        <v>73.84099999999999</v>
      </c>
      <c r="EK104" s="21" t="n">
        <v>42.903</v>
      </c>
      <c r="EL104" s="21" t="n">
        <v>136.291</v>
      </c>
      <c r="EM104" s="21" t="n">
        <v>83.646</v>
      </c>
      <c r="EN104" s="21" t="n">
        <v>87.782</v>
      </c>
      <c r="EO104" s="21" t="n">
        <v>92.627</v>
      </c>
      <c r="EP104" s="21" t="n">
        <v>111.143</v>
      </c>
      <c r="EQ104" s="21" t="n">
        <v>77.089</v>
      </c>
      <c r="ER104" s="21" t="n">
        <v>55.027</v>
      </c>
      <c r="ES104" s="21" t="n">
        <v>147.522</v>
      </c>
      <c r="ET104" s="21" t="n">
        <v>83.19799999999999</v>
      </c>
      <c r="EU104" s="21" t="n">
        <v>113.166</v>
      </c>
      <c r="EV104" s="21" t="n">
        <v>121.863</v>
      </c>
      <c r="EW104" s="21" t="n">
        <v>109.807</v>
      </c>
      <c r="EX104" s="21" t="n">
        <v>234.643</v>
      </c>
      <c r="EY104" s="21" t="n">
        <v>148.77</v>
      </c>
      <c r="EZ104" s="21" t="n">
        <v>140.016</v>
      </c>
      <c r="FA104" s="21" t="n">
        <v>202.077</v>
      </c>
      <c r="FB104" s="21" t="n">
        <v>131.352</v>
      </c>
      <c r="FC104" s="21" t="n">
        <v>127.88</v>
      </c>
      <c r="FD104" s="21" t="n">
        <v>131.021</v>
      </c>
      <c r="FE104" s="21" t="n">
        <v>106.044</v>
      </c>
      <c r="FF104" s="21" t="n">
        <v>181.901</v>
      </c>
      <c r="FG104" s="21" t="n">
        <v>78.27200000000001</v>
      </c>
      <c r="FH104" s="21" t="n">
        <v>136.321</v>
      </c>
      <c r="FI104" s="21" t="n">
        <v>114.003</v>
      </c>
      <c r="FJ104" s="21" t="n">
        <v>109.925</v>
      </c>
      <c r="FK104" s="21" t="n">
        <v>110.641</v>
      </c>
      <c r="FL104" s="21" t="n">
        <v>106.177</v>
      </c>
      <c r="FM104" s="21" t="n">
        <v>105.733</v>
      </c>
      <c r="FN104" s="21" t="n">
        <v>74.749</v>
      </c>
      <c r="FO104" s="21" t="n">
        <v>113.422</v>
      </c>
      <c r="FP104" s="21" t="n">
        <v>106.041</v>
      </c>
      <c r="FQ104" s="21" t="n">
        <v>144.152</v>
      </c>
      <c r="FR104" s="21" t="n">
        <v>148.653</v>
      </c>
      <c r="FS104" s="21" t="n">
        <v>163.83</v>
      </c>
      <c r="FT104" s="21" t="n">
        <v>130.287</v>
      </c>
      <c r="FU104" s="21" t="n">
        <v>128.788</v>
      </c>
      <c r="FV104" s="21" t="n">
        <v>199.82</v>
      </c>
      <c r="FW104" s="21" t="n">
        <v>155.239</v>
      </c>
      <c r="FX104" s="21" t="n">
        <v>198.609</v>
      </c>
      <c r="FY104" s="21" t="n">
        <v>265.613</v>
      </c>
      <c r="FZ104" s="21" t="n">
        <v>265.419</v>
      </c>
      <c r="GA104" s="21" t="n">
        <v>128.405</v>
      </c>
      <c r="GB104" s="21" t="n">
        <v>178.873</v>
      </c>
      <c r="GC104" s="21" t="n"/>
      <c r="GD104" s="21" t="n">
        <v>174.441</v>
      </c>
      <c r="GE104" s="21" t="n">
        <v>190.747</v>
      </c>
      <c r="GF104" s="21" t="n"/>
      <c r="GG104" s="21" t="n">
        <v>194.701</v>
      </c>
      <c r="GH104" s="21" t="n">
        <v>115.476</v>
      </c>
      <c r="GI104" s="21" t="n">
        <v>172.177</v>
      </c>
      <c r="GJ104" s="21" t="n">
        <v>301.632</v>
      </c>
      <c r="GK104" s="21" t="n">
        <v>300.625</v>
      </c>
      <c r="GL104" s="21" t="n">
        <v>293.948</v>
      </c>
      <c r="GM104" s="21" t="n">
        <v>327.588</v>
      </c>
      <c r="GN104" s="21" t="n">
        <v>322.772</v>
      </c>
      <c r="GO104" s="21" t="n">
        <v>286.268</v>
      </c>
      <c r="GP104" s="21" t="n">
        <v>181.454</v>
      </c>
      <c r="GQ104" s="21" t="n">
        <v>155.085</v>
      </c>
      <c r="GR104" s="21" t="n">
        <v>387.159</v>
      </c>
      <c r="GS104" s="21" t="n">
        <v>254.016</v>
      </c>
      <c r="GT104" s="21" t="n">
        <v>718.667</v>
      </c>
      <c r="GU104" s="21" t="n">
        <v>227.901</v>
      </c>
      <c r="GV104" s="21" t="n">
        <v>264.031</v>
      </c>
      <c r="GW104" s="21" t="n">
        <v>257.496</v>
      </c>
      <c r="GX104" s="21" t="n">
        <v>254.654</v>
      </c>
      <c r="GY104" s="21" t="n">
        <v>166.449</v>
      </c>
      <c r="GZ104" s="21" t="n"/>
      <c r="HA104" s="21" t="n">
        <v>66.762</v>
      </c>
      <c r="HB104" s="21" t="n">
        <v>547.141</v>
      </c>
      <c r="HC104" s="21" t="n">
        <v>406.169</v>
      </c>
      <c r="HD104" s="21" t="n">
        <v>132.587</v>
      </c>
      <c r="HE104" s="21" t="n">
        <v>549.212</v>
      </c>
      <c r="HF104" s="21" t="n">
        <v>107.174</v>
      </c>
      <c r="HG104" s="21" t="n">
        <v>592.422</v>
      </c>
      <c r="HH104" s="21" t="n">
        <v>419.559</v>
      </c>
      <c r="HI104" s="21" t="n">
        <v>413.437</v>
      </c>
      <c r="HJ104" s="21" t="n">
        <v>571.744</v>
      </c>
      <c r="HK104" s="21" t="n">
        <v>202.064</v>
      </c>
      <c r="HL104" s="21" t="n">
        <v>261.034</v>
      </c>
      <c r="HM104" s="21" t="n">
        <v>92.854</v>
      </c>
      <c r="HN104" s="21" t="n">
        <v>389.061</v>
      </c>
      <c r="HO104" s="21" t="n">
        <v>374.505</v>
      </c>
      <c r="HP104" s="21" t="n">
        <v>857.49</v>
      </c>
      <c r="HQ104" s="21" t="n">
        <v>275.719</v>
      </c>
      <c r="HR104" s="21" t="n">
        <v>136.377</v>
      </c>
      <c r="HS104" s="21" t="n">
        <v>116.202</v>
      </c>
      <c r="HT104" s="21" t="n">
        <v>110.572</v>
      </c>
      <c r="HU104" s="21" t="n">
        <v>572.526</v>
      </c>
      <c r="HV104" s="21" t="n">
        <v>114.999</v>
      </c>
      <c r="HW104" s="21" t="n">
        <v>25.209</v>
      </c>
      <c r="HX104" s="21" t="n">
        <v>219.477</v>
      </c>
      <c r="HY104" s="21" t="n">
        <v>241.371</v>
      </c>
      <c r="HZ104" s="21" t="n">
        <v>191.917</v>
      </c>
      <c r="IA104" s="21" t="n">
        <v>130.287</v>
      </c>
      <c r="IB104" s="21" t="n">
        <v>328.308</v>
      </c>
      <c r="IC104" s="21" t="n">
        <v>237.529</v>
      </c>
      <c r="ID104" s="21" t="n">
        <v>347.967</v>
      </c>
      <c r="IE104" s="21" t="n">
        <v>126.264</v>
      </c>
      <c r="IF104" s="21" t="n">
        <v>175.21</v>
      </c>
      <c r="IG104" s="21" t="n">
        <v>85.642</v>
      </c>
      <c r="IH104" s="21" t="n">
        <v>83.88500000000001</v>
      </c>
      <c r="II104" s="21" t="n">
        <v>62.117</v>
      </c>
      <c r="IJ104" s="21" t="n">
        <v>25.719</v>
      </c>
      <c r="IK104" s="21" t="n">
        <v>34.075</v>
      </c>
      <c r="IL104" s="21" t="n">
        <v>28.855</v>
      </c>
      <c r="IM104" s="21" t="n">
        <v>38.803</v>
      </c>
      <c r="IN104" s="21" t="n">
        <v>107.163</v>
      </c>
      <c r="IO104" s="21" t="n">
        <v>122.977</v>
      </c>
      <c r="IP104" s="21" t="n">
        <v>194.306</v>
      </c>
      <c r="IQ104" s="21" t="n">
        <v>158.631</v>
      </c>
      <c r="IR104" s="21" t="n">
        <v>437.642</v>
      </c>
      <c r="IS104" s="21" t="n">
        <v>219.131</v>
      </c>
      <c r="IT104" s="21" t="n">
        <v>228.731</v>
      </c>
      <c r="IU104" s="21" t="n">
        <v>393.212</v>
      </c>
      <c r="IV104" s="21" t="n">
        <v>283.935</v>
      </c>
      <c r="IW104" s="21" t="n">
        <v>145.072</v>
      </c>
      <c r="IX104" s="21" t="n">
        <v>291.176</v>
      </c>
      <c r="IY104" s="21" t="n">
        <v>695.378</v>
      </c>
      <c r="IZ104" s="21" t="n">
        <v>838.255</v>
      </c>
      <c r="JA104" s="21" t="n">
        <v>922.804</v>
      </c>
      <c r="JB104" s="21" t="n">
        <v>94.422</v>
      </c>
      <c r="JC104" s="21" t="n">
        <v>349.473</v>
      </c>
      <c r="JD104" s="21" t="n">
        <v>271.051</v>
      </c>
      <c r="JE104" s="21" t="n">
        <v>74.911</v>
      </c>
      <c r="JF104" s="21" t="n">
        <v>231.183</v>
      </c>
      <c r="JG104" s="21" t="n">
        <v>360.489</v>
      </c>
      <c r="JH104" s="21" t="n">
        <v>402.449</v>
      </c>
      <c r="JI104" s="21" t="n">
        <v>70.544</v>
      </c>
      <c r="JJ104" s="21" t="n">
        <v>105.625</v>
      </c>
      <c r="JK104" s="21" t="n">
        <v>36.82</v>
      </c>
      <c r="JL104" s="21" t="n">
        <v>84.014</v>
      </c>
      <c r="JM104" s="21" t="n">
        <v>117.569</v>
      </c>
      <c r="JN104" s="21" t="n">
        <v>537.331</v>
      </c>
      <c r="JO104" s="21" t="n">
        <v>90.252</v>
      </c>
      <c r="JP104" s="21" t="n">
        <v>591.944</v>
      </c>
      <c r="JQ104" s="21" t="n">
        <v>273.592</v>
      </c>
      <c r="JR104" s="21" t="n">
        <v>177.503</v>
      </c>
      <c r="JS104" s="21" t="n">
        <v>530.282</v>
      </c>
      <c r="JT104" s="21" t="n">
        <v>424.823</v>
      </c>
      <c r="JU104" s="21" t="n">
        <v>380.987</v>
      </c>
      <c r="JV104" s="21" t="n">
        <v>217.47</v>
      </c>
      <c r="JW104" s="21" t="n">
        <v>425.897</v>
      </c>
      <c r="JX104" s="21" t="n">
        <v>329.063</v>
      </c>
      <c r="JY104" s="21" t="n">
        <v>88.40000000000001</v>
      </c>
      <c r="JZ104" s="21" t="n">
        <v>198.037</v>
      </c>
      <c r="KA104" s="21" t="n">
        <v>292.889</v>
      </c>
      <c r="KB104" s="21" t="n">
        <v>310.187</v>
      </c>
      <c r="KC104" s="21" t="n">
        <v>301.74</v>
      </c>
      <c r="KD104" s="21" t="n">
        <v>308.96</v>
      </c>
      <c r="KE104" s="21" t="n">
        <v>277.795</v>
      </c>
      <c r="KF104" s="21" t="n">
        <v>266.637</v>
      </c>
      <c r="KG104" s="21" t="n">
        <v>268.601</v>
      </c>
      <c r="KH104" s="21" t="n">
        <v>272.362</v>
      </c>
      <c r="KI104" s="21" t="n">
        <v>123.473</v>
      </c>
      <c r="KJ104" s="21" t="n">
        <v>223.116</v>
      </c>
      <c r="KK104" s="21" t="n">
        <v>180.439</v>
      </c>
      <c r="KL104" s="21" t="n">
        <v>176.781</v>
      </c>
      <c r="KM104" s="21" t="n">
        <v>167.462</v>
      </c>
      <c r="KN104" s="21" t="n">
        <v>164.48</v>
      </c>
      <c r="KO104" s="21" t="n">
        <v>314.057</v>
      </c>
      <c r="KP104" s="21" t="n">
        <v>126.956</v>
      </c>
      <c r="KQ104" s="21" t="n">
        <v>58.893</v>
      </c>
      <c r="KR104" s="21" t="n">
        <v>120.502</v>
      </c>
      <c r="KS104" s="21" t="n">
        <v>275.548</v>
      </c>
      <c r="KT104" s="21" t="n">
        <v>306.95</v>
      </c>
      <c r="KU104" s="21" t="n">
        <v>107.843</v>
      </c>
      <c r="KV104" s="21" t="n">
        <v>40.85</v>
      </c>
      <c r="KW104" s="21" t="n">
        <v>273.468</v>
      </c>
      <c r="KX104" s="21" t="n">
        <v>232.047</v>
      </c>
      <c r="KY104" s="21" t="n">
        <v>291.853</v>
      </c>
      <c r="KZ104" s="21" t="n">
        <v>228.735</v>
      </c>
      <c r="LA104" s="21" t="n">
        <v>294.126</v>
      </c>
      <c r="LB104" s="21" t="n">
        <v>135.862</v>
      </c>
      <c r="LC104" s="21" t="n">
        <v>404.909</v>
      </c>
      <c r="LD104" s="21" t="n">
        <v>85.271</v>
      </c>
      <c r="LE104" s="21" t="n">
        <v>145.577</v>
      </c>
      <c r="LF104" s="21" t="n">
        <v>398.986</v>
      </c>
      <c r="LG104" s="21" t="n">
        <v>384.808</v>
      </c>
      <c r="LH104" s="21" t="n">
        <v>397.813</v>
      </c>
      <c r="LI104" s="21" t="n">
        <v>368.83</v>
      </c>
      <c r="LJ104" s="21" t="n">
        <v>397.758</v>
      </c>
      <c r="LK104" s="21" t="n">
        <v>134.175</v>
      </c>
      <c r="LL104" s="21" t="n">
        <v>395.366</v>
      </c>
      <c r="LM104" s="21" t="n">
        <v>251.684</v>
      </c>
      <c r="LN104" s="21" t="n">
        <v>33.299</v>
      </c>
      <c r="LO104" s="21" t="n">
        <v>150.296</v>
      </c>
    </row>
    <row r="105">
      <c r="A105" s="22" t="n">
        <v>45139</v>
      </c>
      <c r="B105" s="21" t="n">
        <v>306.082</v>
      </c>
      <c r="C105" s="21" t="n">
        <v>321.524</v>
      </c>
      <c r="D105" s="21" t="n">
        <v>324.042</v>
      </c>
      <c r="E105" s="21" t="n">
        <v>303.631</v>
      </c>
      <c r="F105" s="21" t="n">
        <v>356.284</v>
      </c>
      <c r="G105" s="21" t="n">
        <v>288.2</v>
      </c>
      <c r="H105" s="21" t="n">
        <v>319.039</v>
      </c>
      <c r="I105" s="21" t="n">
        <v>278.236</v>
      </c>
      <c r="J105" s="21" t="n">
        <v>295.061</v>
      </c>
      <c r="K105" s="21" t="n">
        <v>395.634</v>
      </c>
      <c r="L105" s="21" t="n">
        <v>238.475</v>
      </c>
      <c r="M105" s="21" t="n">
        <v>233.918</v>
      </c>
      <c r="N105" s="21" t="n">
        <v>373.071</v>
      </c>
      <c r="O105" s="21" t="n">
        <v>349.751</v>
      </c>
      <c r="P105" s="21" t="n">
        <v>352.761</v>
      </c>
      <c r="Q105" s="21" t="n">
        <v>420.439</v>
      </c>
      <c r="R105" s="21" t="n">
        <v>348.549</v>
      </c>
      <c r="S105" s="21" t="n">
        <v>317.968</v>
      </c>
      <c r="T105" s="21" t="n">
        <v>322.32</v>
      </c>
      <c r="U105" s="21" t="n">
        <v>327.5</v>
      </c>
      <c r="V105" s="21" t="n">
        <v>407.425</v>
      </c>
      <c r="W105" s="21" t="n">
        <v>347.317</v>
      </c>
      <c r="X105" s="21" t="n">
        <v>323.227</v>
      </c>
      <c r="Y105" s="21" t="n">
        <v>279.396</v>
      </c>
      <c r="Z105" s="21" t="n">
        <v>262.371</v>
      </c>
      <c r="AA105" s="21" t="n">
        <v>195.268</v>
      </c>
      <c r="AB105" s="21" t="n">
        <v>359.133</v>
      </c>
      <c r="AC105" s="21" t="n">
        <v>183.539</v>
      </c>
      <c r="AD105" s="21" t="n">
        <v>256.193</v>
      </c>
      <c r="AE105" s="21" t="n">
        <v>285.331</v>
      </c>
      <c r="AF105" s="21" t="n">
        <v>241.15</v>
      </c>
      <c r="AG105" s="21" t="n">
        <v>158.218</v>
      </c>
      <c r="AH105" s="21" t="n">
        <v>288.083</v>
      </c>
      <c r="AI105" s="21" t="n">
        <v>278.571</v>
      </c>
      <c r="AJ105" s="21" t="n">
        <v>186.064</v>
      </c>
      <c r="AK105" s="21" t="n">
        <v>302.773</v>
      </c>
      <c r="AL105" s="21" t="n">
        <v>192.907</v>
      </c>
      <c r="AM105" s="21" t="n">
        <v>322.161</v>
      </c>
      <c r="AN105" s="21" t="n">
        <v>287.375</v>
      </c>
      <c r="AO105" s="21" t="n">
        <v>205.382</v>
      </c>
      <c r="AP105" s="21" t="n">
        <v>357.852</v>
      </c>
      <c r="AQ105" s="21" t="n">
        <v>224.06</v>
      </c>
      <c r="AR105" s="21" t="n">
        <v>176.267</v>
      </c>
      <c r="AS105" s="21" t="n">
        <v>253.199</v>
      </c>
      <c r="AT105" s="21" t="n">
        <v>370.229</v>
      </c>
      <c r="AU105" s="21" t="n">
        <v>266.67</v>
      </c>
      <c r="AV105" s="21" t="n">
        <v>268.281</v>
      </c>
      <c r="AW105" s="21" t="n">
        <v>173.731</v>
      </c>
      <c r="AX105" s="21" t="n">
        <v>247.073</v>
      </c>
      <c r="AY105" s="21" t="n">
        <v>180.836</v>
      </c>
      <c r="AZ105" s="21" t="n">
        <v>266.238</v>
      </c>
      <c r="BA105" s="21" t="n">
        <v>273.884</v>
      </c>
      <c r="BB105" s="21" t="n">
        <v>189.473</v>
      </c>
      <c r="BC105" s="21" t="n">
        <v>352.002</v>
      </c>
      <c r="BD105" s="21" t="n">
        <v>396.693</v>
      </c>
      <c r="BE105" s="21" t="n">
        <v>411.33</v>
      </c>
      <c r="BF105" s="21" t="n">
        <v>382.31</v>
      </c>
      <c r="BG105" s="21" t="n">
        <v>209.58</v>
      </c>
      <c r="BH105" s="21" t="n">
        <v>291.918</v>
      </c>
      <c r="BI105" s="21" t="n">
        <v>568.15</v>
      </c>
      <c r="BJ105" s="21" t="n">
        <v>138.133</v>
      </c>
      <c r="BK105" s="21" t="n">
        <v>379.949</v>
      </c>
      <c r="BL105" s="21" t="n">
        <v>441.35</v>
      </c>
      <c r="BM105" s="21" t="n">
        <v>401.223</v>
      </c>
      <c r="BN105" s="21" t="n">
        <v>348.559</v>
      </c>
      <c r="BO105" s="21" t="n">
        <v>373.644</v>
      </c>
      <c r="BP105" s="21" t="n">
        <v>201.525</v>
      </c>
      <c r="BQ105" s="21" t="n">
        <v>212.75</v>
      </c>
      <c r="BR105" s="21" t="n">
        <v>200.388</v>
      </c>
      <c r="BS105" s="21" t="n">
        <v>227.786</v>
      </c>
      <c r="BT105" s="21" t="n">
        <v>189.024</v>
      </c>
      <c r="BU105" s="21" t="n">
        <v>267.114</v>
      </c>
      <c r="BV105" s="21" t="n">
        <v>188.637</v>
      </c>
      <c r="BW105" s="21" t="n">
        <v>216.842</v>
      </c>
      <c r="BX105" s="21" t="n">
        <v>172.25</v>
      </c>
      <c r="BY105" s="21" t="n">
        <v>223.064</v>
      </c>
      <c r="BZ105" s="21" t="n">
        <v>153.705</v>
      </c>
      <c r="CA105" s="21" t="n">
        <v>141.409</v>
      </c>
      <c r="CB105" s="21" t="n">
        <v>236.081</v>
      </c>
      <c r="CC105" s="21" t="n">
        <v>248.487</v>
      </c>
      <c r="CD105" s="21" t="n">
        <v>156.376</v>
      </c>
      <c r="CE105" s="21" t="n">
        <v>271.232</v>
      </c>
      <c r="CF105" s="21" t="n">
        <v>285.324</v>
      </c>
      <c r="CG105" s="21" t="n">
        <v>260.334</v>
      </c>
      <c r="CH105" s="21" t="n">
        <v>193.433</v>
      </c>
      <c r="CI105" s="21" t="n">
        <v>193.264</v>
      </c>
      <c r="CJ105" s="21" t="n">
        <v>308.823</v>
      </c>
      <c r="CK105" s="21" t="n">
        <v>271.11</v>
      </c>
      <c r="CL105" s="21" t="n">
        <v>297.429</v>
      </c>
      <c r="CM105" s="21" t="n">
        <v>465.219</v>
      </c>
      <c r="CN105" s="21" t="n">
        <v>176.775</v>
      </c>
      <c r="CO105" s="21" t="n">
        <v>218.193</v>
      </c>
      <c r="CP105" s="21" t="n">
        <v>286.493</v>
      </c>
      <c r="CQ105" s="21" t="n">
        <v>315.099</v>
      </c>
      <c r="CR105" s="21" t="n">
        <v>214.891</v>
      </c>
      <c r="CS105" s="21" t="n">
        <v>314.388</v>
      </c>
      <c r="CT105" s="21" t="n">
        <v>305.007</v>
      </c>
      <c r="CU105" s="21" t="n">
        <v>188.026</v>
      </c>
      <c r="CV105" s="21" t="n">
        <v>185.275</v>
      </c>
      <c r="CW105" s="21" t="n">
        <v>181.266</v>
      </c>
      <c r="CX105" s="21" t="n">
        <v>344.316</v>
      </c>
      <c r="CY105" s="21" t="n">
        <v>169.154</v>
      </c>
      <c r="CZ105" s="21" t="n">
        <v>154.824</v>
      </c>
      <c r="DA105" s="21" t="n">
        <v>356.083</v>
      </c>
      <c r="DB105" s="21" t="n">
        <v>219.097</v>
      </c>
      <c r="DC105" s="21" t="n">
        <v>197.299</v>
      </c>
      <c r="DD105" s="21" t="n">
        <v>194.901</v>
      </c>
      <c r="DE105" s="21" t="n">
        <v>236.529</v>
      </c>
      <c r="DF105" s="21" t="n">
        <v>285.859</v>
      </c>
      <c r="DG105" s="21" t="n">
        <v>225.818</v>
      </c>
      <c r="DH105" s="21" t="n">
        <v>266.454</v>
      </c>
      <c r="DI105" s="21" t="n">
        <v>210.179</v>
      </c>
      <c r="DJ105" s="21" t="n">
        <v>224.795</v>
      </c>
      <c r="DK105" s="21" t="n">
        <v>204.783</v>
      </c>
      <c r="DL105" s="21" t="n">
        <v>181.125</v>
      </c>
      <c r="DM105" s="21" t="n">
        <v>420.221</v>
      </c>
      <c r="DN105" s="21" t="n">
        <v>233.36</v>
      </c>
      <c r="DO105" s="21" t="n">
        <v>321.52</v>
      </c>
      <c r="DP105" s="21" t="n">
        <v>382.947</v>
      </c>
      <c r="DQ105" s="21" t="n">
        <v>402.58</v>
      </c>
      <c r="DR105" s="21" t="n">
        <v>185.434</v>
      </c>
      <c r="DS105" s="21" t="n">
        <v>624.3</v>
      </c>
      <c r="DT105" s="21" t="n">
        <v>380.486</v>
      </c>
      <c r="DU105" s="21" t="n">
        <v>392.889</v>
      </c>
      <c r="DV105" s="21" t="n">
        <v>393.01</v>
      </c>
      <c r="DW105" s="21" t="n">
        <v>304.01</v>
      </c>
      <c r="DX105" s="21" t="n">
        <v>254.825</v>
      </c>
      <c r="DY105" s="21" t="n">
        <v>393.382</v>
      </c>
      <c r="DZ105" s="21" t="n">
        <v>409.228</v>
      </c>
      <c r="EA105" s="21" t="n">
        <v>433.832</v>
      </c>
      <c r="EB105" s="21" t="n">
        <v>257.789</v>
      </c>
      <c r="EC105" s="21" t="n">
        <v>266.601</v>
      </c>
      <c r="ED105" s="21" t="n">
        <v>226.316</v>
      </c>
      <c r="EE105" s="21" t="n">
        <v>290.975</v>
      </c>
      <c r="EF105" s="21" t="n">
        <v>665.008</v>
      </c>
      <c r="EG105" s="21" t="n">
        <v>597.347</v>
      </c>
      <c r="EH105" s="21" t="n">
        <v>148.32</v>
      </c>
      <c r="EI105" s="21" t="n">
        <v>61.589</v>
      </c>
      <c r="EJ105" s="21" t="n">
        <v>78.84</v>
      </c>
      <c r="EK105" s="21" t="n">
        <v>43.524</v>
      </c>
      <c r="EL105" s="21" t="n">
        <v>134.705</v>
      </c>
      <c r="EM105" s="21" t="n">
        <v>82.06</v>
      </c>
      <c r="EN105" s="21" t="n">
        <v>87.32899999999999</v>
      </c>
      <c r="EO105" s="21" t="n">
        <v>92.962</v>
      </c>
      <c r="EP105" s="21" t="n">
        <v>111.145</v>
      </c>
      <c r="EQ105" s="21" t="n">
        <v>76.744</v>
      </c>
      <c r="ER105" s="21" t="n">
        <v>55.4</v>
      </c>
      <c r="ES105" s="21" t="n">
        <v>151.977</v>
      </c>
      <c r="ET105" s="21" t="n">
        <v>82.989</v>
      </c>
      <c r="EU105" s="21" t="n">
        <v>114.498</v>
      </c>
      <c r="EV105" s="21" t="n">
        <v>122.703</v>
      </c>
      <c r="EW105" s="21" t="n">
        <v>111.399</v>
      </c>
      <c r="EX105" s="21" t="n">
        <v>233.425</v>
      </c>
      <c r="EY105" s="21" t="n">
        <v>149.024</v>
      </c>
      <c r="EZ105" s="21" t="n">
        <v>138.413</v>
      </c>
      <c r="FA105" s="21" t="n">
        <v>199.193</v>
      </c>
      <c r="FB105" s="21" t="n">
        <v>131.16</v>
      </c>
      <c r="FC105" s="21" t="n">
        <v>127.483</v>
      </c>
      <c r="FD105" s="21" t="n">
        <v>130.546</v>
      </c>
      <c r="FE105" s="21" t="n">
        <v>102.94</v>
      </c>
      <c r="FF105" s="21" t="n">
        <v>180.993</v>
      </c>
      <c r="FG105" s="21" t="n">
        <v>79.462</v>
      </c>
      <c r="FH105" s="21" t="n">
        <v>135.16</v>
      </c>
      <c r="FI105" s="21" t="n">
        <v>114.901</v>
      </c>
      <c r="FJ105" s="21" t="n">
        <v>109.801</v>
      </c>
      <c r="FK105" s="21" t="n">
        <v>110.96</v>
      </c>
      <c r="FL105" s="21" t="n">
        <v>108.76</v>
      </c>
      <c r="FM105" s="21" t="n">
        <v>110.788</v>
      </c>
      <c r="FN105" s="21" t="n">
        <v>75.443</v>
      </c>
      <c r="FO105" s="21" t="n">
        <v>111.688</v>
      </c>
      <c r="FP105" s="21" t="n">
        <v>103.814</v>
      </c>
      <c r="FQ105" s="21" t="n">
        <v>145.436</v>
      </c>
      <c r="FR105" s="21" t="n">
        <v>148.769</v>
      </c>
      <c r="FS105" s="21" t="n">
        <v>168.051</v>
      </c>
      <c r="FT105" s="21" t="n">
        <v>132.479</v>
      </c>
      <c r="FU105" s="21" t="n">
        <v>126.348</v>
      </c>
      <c r="FV105" s="21" t="n">
        <v>197.26</v>
      </c>
      <c r="FW105" s="21" t="n">
        <v>153.663</v>
      </c>
      <c r="FX105" s="21" t="n">
        <v>197.08</v>
      </c>
      <c r="FY105" s="21" t="n">
        <v>270.442</v>
      </c>
      <c r="FZ105" s="21" t="n">
        <v>270.394</v>
      </c>
      <c r="GA105" s="21" t="n">
        <v>127.885</v>
      </c>
      <c r="GB105" s="21" t="n">
        <v>179.195</v>
      </c>
      <c r="GC105" s="21" t="n"/>
      <c r="GD105" s="21" t="n">
        <v>174.583</v>
      </c>
      <c r="GE105" s="21" t="n">
        <v>191.147</v>
      </c>
      <c r="GF105" s="21" t="n"/>
      <c r="GG105" s="21" t="n">
        <v>191.078</v>
      </c>
      <c r="GH105" s="21" t="n">
        <v>116.786</v>
      </c>
      <c r="GI105" s="21" t="n">
        <v>176.026</v>
      </c>
      <c r="GJ105" s="21" t="n">
        <v>325.154</v>
      </c>
      <c r="GK105" s="21" t="n">
        <v>323.701</v>
      </c>
      <c r="GL105" s="21" t="n">
        <v>317.309</v>
      </c>
      <c r="GM105" s="21" t="n">
        <v>350.234</v>
      </c>
      <c r="GN105" s="21" t="n">
        <v>342.064</v>
      </c>
      <c r="GO105" s="21" t="n">
        <v>317.338</v>
      </c>
      <c r="GP105" s="21" t="n">
        <v>181.785</v>
      </c>
      <c r="GQ105" s="21" t="n">
        <v>155.238</v>
      </c>
      <c r="GR105" s="21" t="n">
        <v>391.395</v>
      </c>
      <c r="GS105" s="21" t="n">
        <v>257.624</v>
      </c>
      <c r="GT105" s="21" t="n">
        <v>735.2329999999999</v>
      </c>
      <c r="GU105" s="21" t="n">
        <v>228.626</v>
      </c>
      <c r="GV105" s="21" t="n">
        <v>266.859</v>
      </c>
      <c r="GW105" s="21" t="n">
        <v>258.967</v>
      </c>
      <c r="GX105" s="21" t="n">
        <v>256.311</v>
      </c>
      <c r="GY105" s="21" t="n">
        <v>166.529</v>
      </c>
      <c r="GZ105" s="21" t="n"/>
      <c r="HA105" s="21" t="n">
        <v>67.62</v>
      </c>
      <c r="HB105" s="21" t="n">
        <v>547.687</v>
      </c>
      <c r="HC105" s="21" t="n">
        <v>408.437</v>
      </c>
      <c r="HD105" s="21" t="n">
        <v>133.402</v>
      </c>
      <c r="HE105" s="21" t="n">
        <v>551.3440000000001</v>
      </c>
      <c r="HF105" s="21" t="n">
        <v>108.358</v>
      </c>
      <c r="HG105" s="21" t="n">
        <v>592.3869999999999</v>
      </c>
      <c r="HH105" s="21" t="n">
        <v>421.297</v>
      </c>
      <c r="HI105" s="21" t="n">
        <v>413.877</v>
      </c>
      <c r="HJ105" s="21" t="n">
        <v>580.468</v>
      </c>
      <c r="HK105" s="21" t="n">
        <v>203.98</v>
      </c>
      <c r="HL105" s="21" t="n">
        <v>258.989</v>
      </c>
      <c r="HM105" s="21" t="n">
        <v>93.572</v>
      </c>
      <c r="HN105" s="21" t="n">
        <v>391.678</v>
      </c>
      <c r="HO105" s="21" t="n">
        <v>377.091</v>
      </c>
      <c r="HP105" s="21" t="n">
        <v>863.514</v>
      </c>
      <c r="HQ105" s="21" t="n">
        <v>277.909</v>
      </c>
      <c r="HR105" s="21" t="n">
        <v>136.136</v>
      </c>
      <c r="HS105" s="21" t="n">
        <v>116.541</v>
      </c>
      <c r="HT105" s="21" t="n">
        <v>108.625</v>
      </c>
      <c r="HU105" s="21" t="n">
        <v>575.535</v>
      </c>
      <c r="HV105" s="21" t="n">
        <v>111.278</v>
      </c>
      <c r="HW105" s="21" t="n">
        <v>24.876</v>
      </c>
      <c r="HX105" s="21" t="n">
        <v>217.855</v>
      </c>
      <c r="HY105" s="21" t="n">
        <v>238.928</v>
      </c>
      <c r="HZ105" s="21" t="n">
        <v>191.735</v>
      </c>
      <c r="IA105" s="21" t="n">
        <v>126.915</v>
      </c>
      <c r="IB105" s="21" t="n">
        <v>326.961</v>
      </c>
      <c r="IC105" s="21" t="n">
        <v>239.843</v>
      </c>
      <c r="ID105" s="21" t="n">
        <v>343.726</v>
      </c>
      <c r="IE105" s="21" t="n">
        <v>126.46</v>
      </c>
      <c r="IF105" s="21" t="n">
        <v>175.919</v>
      </c>
      <c r="IG105" s="21" t="n">
        <v>85.479</v>
      </c>
      <c r="IH105" s="21" t="n">
        <v>83.93300000000001</v>
      </c>
      <c r="II105" s="21" t="n">
        <v>61.127</v>
      </c>
      <c r="IJ105" s="21" t="n">
        <v>25.258</v>
      </c>
      <c r="IK105" s="21" t="n">
        <v>34.167</v>
      </c>
      <c r="IL105" s="21" t="n">
        <v>28.966</v>
      </c>
      <c r="IM105" s="21" t="n">
        <v>38.936</v>
      </c>
      <c r="IN105" s="21" t="n">
        <v>107.581</v>
      </c>
      <c r="IO105" s="21" t="n">
        <v>122.14</v>
      </c>
      <c r="IP105" s="21" t="n">
        <v>193.618</v>
      </c>
      <c r="IQ105" s="21" t="n">
        <v>158.908</v>
      </c>
      <c r="IR105" s="21" t="n">
        <v>436.234</v>
      </c>
      <c r="IS105" s="21" t="n">
        <v>218.875</v>
      </c>
      <c r="IT105" s="21" t="n">
        <v>229.205</v>
      </c>
      <c r="IU105" s="21" t="n">
        <v>383.226</v>
      </c>
      <c r="IV105" s="21" t="n">
        <v>281.338</v>
      </c>
      <c r="IW105" s="21" t="n">
        <v>144.965</v>
      </c>
      <c r="IX105" s="21" t="n">
        <v>291.613</v>
      </c>
      <c r="IY105" s="21" t="n">
        <v>694.564</v>
      </c>
      <c r="IZ105" s="21" t="n">
        <v>839.611</v>
      </c>
      <c r="JA105" s="21" t="n">
        <v>923.89</v>
      </c>
      <c r="JB105" s="21" t="n">
        <v>94.47199999999999</v>
      </c>
      <c r="JC105" s="21" t="n">
        <v>349.812</v>
      </c>
      <c r="JD105" s="21" t="n">
        <v>270.826</v>
      </c>
      <c r="JE105" s="21" t="n">
        <v>74.747</v>
      </c>
      <c r="JF105" s="21" t="n">
        <v>231.461</v>
      </c>
      <c r="JG105" s="21" t="n">
        <v>359.49</v>
      </c>
      <c r="JH105" s="21" t="n">
        <v>412.47</v>
      </c>
      <c r="JI105" s="21" t="n">
        <v>70.384</v>
      </c>
      <c r="JJ105" s="21" t="n">
        <v>105.329</v>
      </c>
      <c r="JK105" s="21" t="n">
        <v>36.529</v>
      </c>
      <c r="JL105" s="21" t="n">
        <v>84.369</v>
      </c>
      <c r="JM105" s="21" t="n">
        <v>115.844</v>
      </c>
      <c r="JN105" s="21" t="n">
        <v>540.2809999999999</v>
      </c>
      <c r="JO105" s="21" t="n">
        <v>90.836</v>
      </c>
      <c r="JP105" s="21" t="n">
        <v>596.473</v>
      </c>
      <c r="JQ105" s="21" t="n">
        <v>275.033</v>
      </c>
      <c r="JR105" s="21" t="n">
        <v>177.796</v>
      </c>
      <c r="JS105" s="21" t="n">
        <v>535.122</v>
      </c>
      <c r="JT105" s="21" t="n"/>
      <c r="JU105" s="21" t="n">
        <v>382.302</v>
      </c>
      <c r="JV105" s="21" t="n">
        <v>218.748</v>
      </c>
      <c r="JW105" s="21" t="n">
        <v>417.501</v>
      </c>
      <c r="JX105" s="21" t="n">
        <v>321.31</v>
      </c>
      <c r="JY105" s="21" t="n">
        <v>87.547</v>
      </c>
      <c r="JZ105" s="21" t="n">
        <v>192.811</v>
      </c>
      <c r="KA105" s="21" t="n">
        <v>294.4</v>
      </c>
      <c r="KB105" s="21" t="n">
        <v>310.835</v>
      </c>
      <c r="KC105" s="21" t="n">
        <v>303.304</v>
      </c>
      <c r="KD105" s="21" t="n">
        <v>309.58</v>
      </c>
      <c r="KE105" s="21" t="n">
        <v>279.447</v>
      </c>
      <c r="KF105" s="21" t="n">
        <v>268.456</v>
      </c>
      <c r="KG105" s="21" t="n">
        <v>268.983</v>
      </c>
      <c r="KH105" s="21" t="n">
        <v>273.096</v>
      </c>
      <c r="KI105" s="21" t="n">
        <v>122.978</v>
      </c>
      <c r="KJ105" s="21" t="n">
        <v>224.604</v>
      </c>
      <c r="KK105" s="21" t="n">
        <v>182.041</v>
      </c>
      <c r="KL105" s="21" t="n">
        <v>178.4</v>
      </c>
      <c r="KM105" s="21" t="n">
        <v>167.037</v>
      </c>
      <c r="KN105" s="21" t="n">
        <v>164.445</v>
      </c>
      <c r="KO105" s="21" t="n">
        <v>314.167</v>
      </c>
      <c r="KP105" s="21" t="n">
        <v>126.343</v>
      </c>
      <c r="KQ105" s="21" t="n">
        <v>58.279</v>
      </c>
      <c r="KR105" s="21" t="n">
        <v>120.625</v>
      </c>
      <c r="KS105" s="21" t="n">
        <v>287.31</v>
      </c>
      <c r="KT105" s="21" t="n">
        <v>330.879</v>
      </c>
      <c r="KU105" s="21" t="n">
        <v>107.921</v>
      </c>
      <c r="KV105" s="21" t="n">
        <v>40.379</v>
      </c>
      <c r="KW105" s="21" t="n">
        <v>276.894</v>
      </c>
      <c r="KX105" s="21" t="n">
        <v>237.42</v>
      </c>
      <c r="KY105" s="21" t="n">
        <v>300.359</v>
      </c>
      <c r="KZ105" s="21" t="n">
        <v>234.429</v>
      </c>
      <c r="LA105" s="21" t="n">
        <v>303.554</v>
      </c>
      <c r="LB105" s="21" t="n">
        <v>136.169</v>
      </c>
      <c r="LC105" s="21" t="n">
        <v>405.523</v>
      </c>
      <c r="LD105" s="21" t="n">
        <v>84.944</v>
      </c>
      <c r="LE105" s="21" t="n">
        <v>145.533</v>
      </c>
      <c r="LF105" s="21" t="n">
        <v>400.045</v>
      </c>
      <c r="LG105" s="21" t="n">
        <v>386.133</v>
      </c>
      <c r="LH105" s="21" t="n">
        <v>399.157</v>
      </c>
      <c r="LI105" s="21" t="n">
        <v>370.409</v>
      </c>
      <c r="LJ105" s="21" t="n">
        <v>399.607</v>
      </c>
      <c r="LK105" s="21" t="n">
        <v>133.428</v>
      </c>
      <c r="LL105" s="21" t="n">
        <v>401.419</v>
      </c>
      <c r="LM105" s="21" t="n">
        <v>252.969</v>
      </c>
      <c r="LN105" s="21" t="n">
        <v>32.967</v>
      </c>
      <c r="LO105" s="21" t="n">
        <v>151.261</v>
      </c>
    </row>
    <row r="106">
      <c r="A106" s="22" t="n">
        <v>45170</v>
      </c>
      <c r="B106" s="21" t="n">
        <v>307.276</v>
      </c>
      <c r="C106" s="21" t="n">
        <v>321.945</v>
      </c>
      <c r="D106" s="21" t="n">
        <v>324.379</v>
      </c>
      <c r="E106" s="21" t="n">
        <v>303.449</v>
      </c>
      <c r="F106" s="21" t="n">
        <v>355.122</v>
      </c>
      <c r="G106" s="21" t="n">
        <v>288.227</v>
      </c>
      <c r="H106" s="21" t="n">
        <v>319.787</v>
      </c>
      <c r="I106" s="21" t="n">
        <v>276.814</v>
      </c>
      <c r="J106" s="21" t="n">
        <v>295.629</v>
      </c>
      <c r="K106" s="21" t="n">
        <v>394.837</v>
      </c>
      <c r="L106" s="21" t="n">
        <v>239.147</v>
      </c>
      <c r="M106" s="21" t="n">
        <v>233.345</v>
      </c>
      <c r="N106" s="21" t="n">
        <v>371.514</v>
      </c>
      <c r="O106" s="21" t="n">
        <v>350.275</v>
      </c>
      <c r="P106" s="21" t="n">
        <v>351.315</v>
      </c>
      <c r="Q106" s="21" t="n">
        <v>420.822</v>
      </c>
      <c r="R106" s="21" t="n">
        <v>344.477</v>
      </c>
      <c r="S106" s="21" t="n">
        <v>318.428</v>
      </c>
      <c r="T106" s="21" t="n">
        <v>323.124</v>
      </c>
      <c r="U106" s="21" t="n">
        <v>328.847</v>
      </c>
      <c r="V106" s="21" t="n">
        <v>409.81</v>
      </c>
      <c r="W106" s="21" t="n">
        <v>351.471</v>
      </c>
      <c r="X106" s="21" t="n">
        <v>324.957</v>
      </c>
      <c r="Y106" s="21" t="n">
        <v>278.821</v>
      </c>
      <c r="Z106" s="21" t="n">
        <v>264.037</v>
      </c>
      <c r="AA106" s="21" t="n">
        <v>198.746</v>
      </c>
      <c r="AB106" s="21" t="n">
        <v>373.177</v>
      </c>
      <c r="AC106" s="21" t="n">
        <v>182.583</v>
      </c>
      <c r="AD106" s="21" t="n">
        <v>252.623</v>
      </c>
      <c r="AE106" s="21" t="n">
        <v>282.168</v>
      </c>
      <c r="AF106" s="21" t="n">
        <v>239.949</v>
      </c>
      <c r="AG106" s="21" t="n">
        <v>159.883</v>
      </c>
      <c r="AH106" s="21" t="n">
        <v>287.523</v>
      </c>
      <c r="AI106" s="21" t="n">
        <v>295.876</v>
      </c>
      <c r="AJ106" s="21" t="n">
        <v>185.739</v>
      </c>
      <c r="AK106" s="21" t="n">
        <v>305.299</v>
      </c>
      <c r="AL106" s="21" t="n">
        <v>194.434</v>
      </c>
      <c r="AM106" s="21" t="n">
        <v>322.221</v>
      </c>
      <c r="AN106" s="21" t="n">
        <v>289.601</v>
      </c>
      <c r="AO106" s="21" t="n">
        <v>207.374</v>
      </c>
      <c r="AP106" s="21" t="n">
        <v>354.079</v>
      </c>
      <c r="AQ106" s="21" t="n">
        <v>221.115</v>
      </c>
      <c r="AR106" s="21" t="n">
        <v>175.13</v>
      </c>
      <c r="AS106" s="21" t="n">
        <v>251.736</v>
      </c>
      <c r="AT106" s="21" t="n">
        <v>369.92</v>
      </c>
      <c r="AU106" s="21" t="n">
        <v>263.05</v>
      </c>
      <c r="AV106" s="21" t="n">
        <v>268.377</v>
      </c>
      <c r="AW106" s="21" t="n">
        <v>174.62</v>
      </c>
      <c r="AX106" s="21" t="n">
        <v>249.533</v>
      </c>
      <c r="AY106" s="21" t="n">
        <v>181.208</v>
      </c>
      <c r="AZ106" s="21" t="n">
        <v>265.159</v>
      </c>
      <c r="BA106" s="21" t="n">
        <v>275.857</v>
      </c>
      <c r="BB106" s="21" t="n">
        <v>188.828</v>
      </c>
      <c r="BC106" s="21" t="n">
        <v>350.978</v>
      </c>
      <c r="BD106" s="21" t="n">
        <v>394.628</v>
      </c>
      <c r="BE106" s="21" t="n">
        <v>409.707</v>
      </c>
      <c r="BF106" s="21" t="n">
        <v>381.289</v>
      </c>
      <c r="BG106" s="21" t="n">
        <v>208.806</v>
      </c>
      <c r="BH106" s="21" t="n">
        <v>292.397</v>
      </c>
      <c r="BI106" s="21" t="n">
        <v>570.6079999999999</v>
      </c>
      <c r="BJ106" s="21" t="n">
        <v>137.607</v>
      </c>
      <c r="BK106" s="21" t="n">
        <v>377.42</v>
      </c>
      <c r="BL106" s="21" t="n">
        <v>433.764</v>
      </c>
      <c r="BM106" s="21" t="n">
        <v>396.775</v>
      </c>
      <c r="BN106" s="21" t="n">
        <v>352.428</v>
      </c>
      <c r="BO106" s="21" t="n">
        <v>371.503</v>
      </c>
      <c r="BP106" s="21" t="n">
        <v>202.279</v>
      </c>
      <c r="BQ106" s="21" t="n">
        <v>214.375</v>
      </c>
      <c r="BR106" s="21" t="n">
        <v>205.908</v>
      </c>
      <c r="BS106" s="21" t="n">
        <v>228.48</v>
      </c>
      <c r="BT106" s="21" t="n">
        <v>189.5</v>
      </c>
      <c r="BU106" s="21" t="n">
        <v>268.007</v>
      </c>
      <c r="BV106" s="21" t="n">
        <v>188.028</v>
      </c>
      <c r="BW106" s="21" t="n">
        <v>216.856</v>
      </c>
      <c r="BX106" s="21" t="n">
        <v>171.68</v>
      </c>
      <c r="BY106" s="21" t="n">
        <v>221.398</v>
      </c>
      <c r="BZ106" s="21" t="n">
        <v>153.7</v>
      </c>
      <c r="CA106" s="21" t="n">
        <v>142.626</v>
      </c>
      <c r="CB106" s="21" t="n">
        <v>237.178</v>
      </c>
      <c r="CC106" s="21" t="n">
        <v>250.2</v>
      </c>
      <c r="CD106" s="21" t="n">
        <v>157.672</v>
      </c>
      <c r="CE106" s="21" t="n">
        <v>271.238</v>
      </c>
      <c r="CF106" s="21" t="n">
        <v>285.511</v>
      </c>
      <c r="CG106" s="21" t="n">
        <v>260.736</v>
      </c>
      <c r="CH106" s="21" t="n">
        <v>193.557</v>
      </c>
      <c r="CI106" s="21" t="n">
        <v>194.169</v>
      </c>
      <c r="CJ106" s="21" t="n">
        <v>306.856</v>
      </c>
      <c r="CK106" s="21" t="n">
        <v>271.376</v>
      </c>
      <c r="CL106" s="21" t="n">
        <v>300.024</v>
      </c>
      <c r="CM106" s="21" t="n">
        <v>462.317</v>
      </c>
      <c r="CN106" s="21" t="n">
        <v>173.802</v>
      </c>
      <c r="CO106" s="21" t="n">
        <v>218.035</v>
      </c>
      <c r="CP106" s="21" t="n">
        <v>286.729</v>
      </c>
      <c r="CQ106" s="21" t="n">
        <v>310.893</v>
      </c>
      <c r="CR106" s="21" t="n">
        <v>214.583</v>
      </c>
      <c r="CS106" s="21" t="n">
        <v>315.815</v>
      </c>
      <c r="CT106" s="21" t="n">
        <v>305.973</v>
      </c>
      <c r="CU106" s="21" t="n">
        <v>187.367</v>
      </c>
      <c r="CV106" s="21" t="n">
        <v>185.301</v>
      </c>
      <c r="CW106" s="21" t="n">
        <v>182.445</v>
      </c>
      <c r="CX106" s="21" t="n">
        <v>340.087</v>
      </c>
      <c r="CY106" s="21" t="n">
        <v>169.814</v>
      </c>
      <c r="CZ106" s="21" t="n">
        <v>155.955</v>
      </c>
      <c r="DA106" s="21" t="n">
        <v>357.488</v>
      </c>
      <c r="DB106" s="21" t="n">
        <v>219.918</v>
      </c>
      <c r="DC106" s="21" t="n">
        <v>197.883</v>
      </c>
      <c r="DD106" s="21" t="n">
        <v>196.018</v>
      </c>
      <c r="DE106" s="21" t="n">
        <v>238.955</v>
      </c>
      <c r="DF106" s="21" t="n">
        <v>287.496</v>
      </c>
      <c r="DG106" s="21" t="n">
        <v>226.549</v>
      </c>
      <c r="DH106" s="21" t="n">
        <v>267.458</v>
      </c>
      <c r="DI106" s="21" t="n">
        <v>210.651</v>
      </c>
      <c r="DJ106" s="21" t="n">
        <v>225.812</v>
      </c>
      <c r="DK106" s="21" t="n">
        <v>204.806</v>
      </c>
      <c r="DL106" s="21" t="n">
        <v>181.761</v>
      </c>
      <c r="DM106" s="21" t="n">
        <v>423.822</v>
      </c>
      <c r="DN106" s="21" t="n">
        <v>234.885</v>
      </c>
      <c r="DO106" s="21" t="n">
        <v>323.25</v>
      </c>
      <c r="DP106" s="21" t="n">
        <v>385.285</v>
      </c>
      <c r="DQ106" s="21" t="n">
        <v>404.538</v>
      </c>
      <c r="DR106" s="21" t="n">
        <v>191.208</v>
      </c>
      <c r="DS106" s="21" t="n">
        <v>626.48</v>
      </c>
      <c r="DT106" s="21" t="n">
        <v>394.065</v>
      </c>
      <c r="DU106" s="21" t="n">
        <v>394.979</v>
      </c>
      <c r="DV106" s="21" t="n">
        <v>395.046</v>
      </c>
      <c r="DW106" s="21" t="n">
        <v>305.751</v>
      </c>
      <c r="DX106" s="21" t="n">
        <v>256.656</v>
      </c>
      <c r="DY106" s="21" t="n">
        <v>414.014</v>
      </c>
      <c r="DZ106" s="21" t="n">
        <v>443.136</v>
      </c>
      <c r="EA106" s="21" t="n">
        <v>429.009</v>
      </c>
      <c r="EB106" s="21" t="n">
        <v>258.962</v>
      </c>
      <c r="EC106" s="21" t="n">
        <v>269.078</v>
      </c>
      <c r="ED106" s="21" t="n">
        <v>223.639</v>
      </c>
      <c r="EE106" s="21" t="n">
        <v>291.279</v>
      </c>
      <c r="EF106" s="21" t="n">
        <v>666.141</v>
      </c>
      <c r="EG106" s="21" t="n">
        <v>596.997</v>
      </c>
      <c r="EH106" s="21" t="n">
        <v>148.355</v>
      </c>
      <c r="EI106" s="21" t="n">
        <v>61.195</v>
      </c>
      <c r="EJ106" s="21" t="n">
        <v>77.50700000000001</v>
      </c>
      <c r="EK106" s="21" t="n">
        <v>42.932</v>
      </c>
      <c r="EL106" s="21" t="n">
        <v>133.112</v>
      </c>
      <c r="EM106" s="21" t="n">
        <v>79.55800000000001</v>
      </c>
      <c r="EN106" s="21" t="n">
        <v>86.495</v>
      </c>
      <c r="EO106" s="21" t="n">
        <v>92.226</v>
      </c>
      <c r="EP106" s="21" t="n">
        <v>108.677</v>
      </c>
      <c r="EQ106" s="21" t="n">
        <v>76.02200000000001</v>
      </c>
      <c r="ER106" s="21" t="n">
        <v>55.686</v>
      </c>
      <c r="ES106" s="21" t="n">
        <v>154.482</v>
      </c>
      <c r="ET106" s="21" t="n">
        <v>83.075</v>
      </c>
      <c r="EU106" s="21" t="n">
        <v>114.952</v>
      </c>
      <c r="EV106" s="21" t="n">
        <v>123.55</v>
      </c>
      <c r="EW106" s="21" t="n">
        <v>111.34</v>
      </c>
      <c r="EX106" s="21" t="n">
        <v>234.314</v>
      </c>
      <c r="EY106" s="21" t="n">
        <v>149.2</v>
      </c>
      <c r="EZ106" s="21" t="n">
        <v>139.54</v>
      </c>
      <c r="FA106" s="21" t="n">
        <v>199.558</v>
      </c>
      <c r="FB106" s="21" t="n">
        <v>130.338</v>
      </c>
      <c r="FC106" s="21" t="n">
        <v>127.909</v>
      </c>
      <c r="FD106" s="21" t="n">
        <v>131.141</v>
      </c>
      <c r="FE106" s="21" t="n">
        <v>99.086</v>
      </c>
      <c r="FF106" s="21" t="n">
        <v>183.102</v>
      </c>
      <c r="FG106" s="21" t="n">
        <v>79.724</v>
      </c>
      <c r="FH106" s="21" t="n">
        <v>137.082</v>
      </c>
      <c r="FI106" s="21" t="n">
        <v>114.298</v>
      </c>
      <c r="FJ106" s="21" t="n">
        <v>108.501</v>
      </c>
      <c r="FK106" s="21" t="n">
        <v>109.868</v>
      </c>
      <c r="FL106" s="21" t="n">
        <v>106.094</v>
      </c>
      <c r="FM106" s="21" t="n">
        <v>106.04</v>
      </c>
      <c r="FN106" s="21" t="n">
        <v>75.199</v>
      </c>
      <c r="FO106" s="21" t="n">
        <v>110.864</v>
      </c>
      <c r="FP106" s="21" t="n">
        <v>101.53</v>
      </c>
      <c r="FQ106" s="21" t="n">
        <v>145.66</v>
      </c>
      <c r="FR106" s="21" t="n">
        <v>148.079</v>
      </c>
      <c r="FS106" s="21" t="n">
        <v>169.156</v>
      </c>
      <c r="FT106" s="21" t="n">
        <v>134.076</v>
      </c>
      <c r="FU106" s="21" t="n">
        <v>125.592</v>
      </c>
      <c r="FV106" s="21" t="n">
        <v>191.983</v>
      </c>
      <c r="FW106" s="21" t="n">
        <v>147.619</v>
      </c>
      <c r="FX106" s="21" t="n">
        <v>191.159</v>
      </c>
      <c r="FY106" s="21" t="n">
        <v>271.893</v>
      </c>
      <c r="FZ106" s="21" t="n">
        <v>271.925</v>
      </c>
      <c r="GA106" s="21" t="n">
        <v>127.117</v>
      </c>
      <c r="GB106" s="21" t="n">
        <v>179.508</v>
      </c>
      <c r="GC106" s="21" t="n"/>
      <c r="GD106" s="21" t="n">
        <v>174.712</v>
      </c>
      <c r="GE106" s="21" t="n">
        <v>191.516</v>
      </c>
      <c r="GF106" s="21" t="n"/>
      <c r="GG106" s="21" t="n">
        <v>187.65</v>
      </c>
      <c r="GH106" s="21" t="n">
        <v>116.609</v>
      </c>
      <c r="GI106" s="21" t="n">
        <v>173.413</v>
      </c>
      <c r="GJ106" s="21" t="n">
        <v>334.705</v>
      </c>
      <c r="GK106" s="21" t="n">
        <v>332.732</v>
      </c>
      <c r="GL106" s="21" t="n">
        <v>325.975</v>
      </c>
      <c r="GM106" s="21" t="n">
        <v>360.524</v>
      </c>
      <c r="GN106" s="21" t="n">
        <v>353.137</v>
      </c>
      <c r="GO106" s="21" t="n">
        <v>337.553</v>
      </c>
      <c r="GP106" s="21" t="n">
        <v>179.115</v>
      </c>
      <c r="GQ106" s="21" t="n">
        <v>151.978</v>
      </c>
      <c r="GR106" s="21" t="n">
        <v>392.222</v>
      </c>
      <c r="GS106" s="21" t="n">
        <v>258.443</v>
      </c>
      <c r="GT106" s="21" t="n">
        <v>746.002</v>
      </c>
      <c r="GU106" s="21" t="n">
        <v>228.557</v>
      </c>
      <c r="GV106" s="21" t="n">
        <v>268.236</v>
      </c>
      <c r="GW106" s="21" t="n">
        <v>258.643</v>
      </c>
      <c r="GX106" s="21" t="n">
        <v>255.313</v>
      </c>
      <c r="GY106" s="21" t="n">
        <v>166.913</v>
      </c>
      <c r="GZ106" s="21" t="n"/>
      <c r="HA106" s="21" t="n">
        <v>67.627</v>
      </c>
      <c r="HB106" s="21" t="n">
        <v>548.398</v>
      </c>
      <c r="HC106" s="21" t="n">
        <v>407.25</v>
      </c>
      <c r="HD106" s="21" t="n">
        <v>132.921</v>
      </c>
      <c r="HE106" s="21" t="n">
        <v>547.579</v>
      </c>
      <c r="HF106" s="21" t="n">
        <v>109.689</v>
      </c>
      <c r="HG106" s="21" t="n">
        <v>593.7329999999999</v>
      </c>
      <c r="HH106" s="21" t="n">
        <v>421.462</v>
      </c>
      <c r="HI106" s="21" t="n">
        <v>413.966</v>
      </c>
      <c r="HJ106" s="21" t="n">
        <v>579.997</v>
      </c>
      <c r="HK106" s="21" t="n">
        <v>204.834</v>
      </c>
      <c r="HL106" s="21" t="n">
        <v>259.21</v>
      </c>
      <c r="HM106" s="21" t="n">
        <v>94.69499999999999</v>
      </c>
      <c r="HN106" s="21" t="n">
        <v>397.531</v>
      </c>
      <c r="HO106" s="21" t="n">
        <v>382.919</v>
      </c>
      <c r="HP106" s="21" t="n">
        <v>873.65</v>
      </c>
      <c r="HQ106" s="21" t="n">
        <v>275.622</v>
      </c>
      <c r="HR106" s="21" t="n">
        <v>136.77</v>
      </c>
      <c r="HS106" s="21" t="n">
        <v>116.705</v>
      </c>
      <c r="HT106" s="21" t="n">
        <v>107.943</v>
      </c>
      <c r="HU106" s="21" t="n">
        <v>576.111</v>
      </c>
      <c r="HV106" s="21" t="n">
        <v>110.466</v>
      </c>
      <c r="HW106" s="21" t="n">
        <v>25.145</v>
      </c>
      <c r="HX106" s="21" t="n">
        <v>218.655</v>
      </c>
      <c r="HY106" s="21" t="n">
        <v>240.443</v>
      </c>
      <c r="HZ106" s="21" t="n">
        <v>192.229</v>
      </c>
      <c r="IA106" s="21" t="n">
        <v>128.166</v>
      </c>
      <c r="IB106" s="21" t="n">
        <v>327.118</v>
      </c>
      <c r="IC106" s="21" t="n">
        <v>239.379</v>
      </c>
      <c r="ID106" s="21" t="n">
        <v>346.801</v>
      </c>
      <c r="IE106" s="21" t="n">
        <v>126.481</v>
      </c>
      <c r="IF106" s="21" t="n">
        <v>175.525</v>
      </c>
      <c r="IG106" s="21" t="n">
        <v>85.759</v>
      </c>
      <c r="IH106" s="21" t="n">
        <v>85.76900000000001</v>
      </c>
      <c r="II106" s="21" t="n">
        <v>62.713</v>
      </c>
      <c r="IJ106" s="21" t="n">
        <v>26</v>
      </c>
      <c r="IK106" s="21" t="n">
        <v>34.09</v>
      </c>
      <c r="IL106" s="21" t="n">
        <v>28.811</v>
      </c>
      <c r="IM106" s="21" t="n">
        <v>38.804</v>
      </c>
      <c r="IN106" s="21" t="n">
        <v>111.353</v>
      </c>
      <c r="IO106" s="21" t="n">
        <v>122.181</v>
      </c>
      <c r="IP106" s="21" t="n">
        <v>195.72</v>
      </c>
      <c r="IQ106" s="21" t="n">
        <v>159.36</v>
      </c>
      <c r="IR106" s="21" t="n">
        <v>449.167</v>
      </c>
      <c r="IS106" s="21" t="n">
        <v>218.054</v>
      </c>
      <c r="IT106" s="21" t="n">
        <v>246.887</v>
      </c>
      <c r="IU106" s="21" t="n">
        <v>383.499</v>
      </c>
      <c r="IV106" s="21" t="n">
        <v>285.482</v>
      </c>
      <c r="IW106" s="21" t="n">
        <v>145.092</v>
      </c>
      <c r="IX106" s="21" t="n">
        <v>292.217</v>
      </c>
      <c r="IY106" s="21" t="n">
        <v>698.45</v>
      </c>
      <c r="IZ106" s="21" t="n">
        <v>841.223</v>
      </c>
      <c r="JA106" s="21" t="n">
        <v>925.117</v>
      </c>
      <c r="JB106" s="21" t="n">
        <v>94.646</v>
      </c>
      <c r="JC106" s="21" t="n">
        <v>351.55</v>
      </c>
      <c r="JD106" s="21" t="n">
        <v>271</v>
      </c>
      <c r="JE106" s="21" t="n">
        <v>74.754</v>
      </c>
      <c r="JF106" s="21" t="n">
        <v>232.484</v>
      </c>
      <c r="JG106" s="21" t="n">
        <v>360.349</v>
      </c>
      <c r="JH106" s="21" t="n">
        <v>419.156</v>
      </c>
      <c r="JI106" s="21" t="n">
        <v>70.384</v>
      </c>
      <c r="JJ106" s="21" t="n">
        <v>105.423</v>
      </c>
      <c r="JK106" s="21" t="n">
        <v>37.146</v>
      </c>
      <c r="JL106" s="21" t="n">
        <v>84.16500000000001</v>
      </c>
      <c r="JM106" s="21" t="n">
        <v>115.106</v>
      </c>
      <c r="JN106" s="21" t="n">
        <v>543.42</v>
      </c>
      <c r="JO106" s="21" t="n">
        <v>91.03400000000001</v>
      </c>
      <c r="JP106" s="21" t="n">
        <v>598.851</v>
      </c>
      <c r="JQ106" s="21" t="n">
        <v>276.857</v>
      </c>
      <c r="JR106" s="21" t="n">
        <v>178.163</v>
      </c>
      <c r="JS106" s="21" t="n">
        <v>540.99</v>
      </c>
      <c r="JT106" s="21" t="n">
        <v>456.146</v>
      </c>
      <c r="JU106" s="21" t="n">
        <v>382.422</v>
      </c>
      <c r="JV106" s="21" t="n">
        <v>219.015</v>
      </c>
      <c r="JW106" s="21" t="n">
        <v>417.947</v>
      </c>
      <c r="JX106" s="21" t="n"/>
      <c r="JY106" s="21" t="n">
        <v>88.71899999999999</v>
      </c>
      <c r="JZ106" s="21" t="n">
        <v>197.239</v>
      </c>
      <c r="KA106" s="21" t="n">
        <v>295.614</v>
      </c>
      <c r="KB106" s="21" t="n">
        <v>311.706</v>
      </c>
      <c r="KC106" s="21" t="n">
        <v>304.622</v>
      </c>
      <c r="KD106" s="21" t="n">
        <v>310.539</v>
      </c>
      <c r="KE106" s="21" t="n">
        <v>280.209</v>
      </c>
      <c r="KF106" s="21" t="n">
        <v>269.305</v>
      </c>
      <c r="KG106" s="21" t="n">
        <v>269.187</v>
      </c>
      <c r="KH106" s="21" t="n">
        <v>273.621</v>
      </c>
      <c r="KI106" s="21" t="n">
        <v>121.968</v>
      </c>
      <c r="KJ106" s="21" t="n">
        <v>225.005</v>
      </c>
      <c r="KK106" s="21" t="n">
        <v>182.44</v>
      </c>
      <c r="KL106" s="21" t="n">
        <v>178.769</v>
      </c>
      <c r="KM106" s="21" t="n">
        <v>166.558</v>
      </c>
      <c r="KN106" s="21" t="n">
        <v>164.324</v>
      </c>
      <c r="KO106" s="21" t="n">
        <v>314.552</v>
      </c>
      <c r="KP106" s="21" t="n">
        <v>125.739</v>
      </c>
      <c r="KQ106" s="21" t="n">
        <v>58.579</v>
      </c>
      <c r="KR106" s="21" t="n">
        <v>120.638</v>
      </c>
      <c r="KS106" s="21" t="n">
        <v>292.623</v>
      </c>
      <c r="KT106" s="21" t="n">
        <v>340.981</v>
      </c>
      <c r="KU106" s="21" t="n">
        <v>107.593</v>
      </c>
      <c r="KV106" s="21" t="n">
        <v>40.585</v>
      </c>
      <c r="KW106" s="21" t="n">
        <v>278.024</v>
      </c>
      <c r="KX106" s="21" t="n">
        <v>239.118</v>
      </c>
      <c r="KY106" s="21" t="n">
        <v>304.206</v>
      </c>
      <c r="KZ106" s="21" t="n">
        <v>236.114</v>
      </c>
      <c r="LA106" s="21" t="n">
        <v>307.613</v>
      </c>
      <c r="LB106" s="21" t="n">
        <v>136.634</v>
      </c>
      <c r="LC106" s="21" t="n">
        <v>406.797</v>
      </c>
      <c r="LD106" s="21" t="n">
        <v>85.14700000000001</v>
      </c>
      <c r="LE106" s="21" t="n">
        <v>146.445</v>
      </c>
      <c r="LF106" s="21" t="n">
        <v>402.584</v>
      </c>
      <c r="LG106" s="21" t="n">
        <v>388.185</v>
      </c>
      <c r="LH106" s="21" t="n">
        <v>401.294</v>
      </c>
      <c r="LI106" s="21" t="n">
        <v>372.443</v>
      </c>
      <c r="LJ106" s="21" t="n">
        <v>401.43</v>
      </c>
      <c r="LK106" s="21" t="n">
        <v>132.514</v>
      </c>
      <c r="LL106" s="21" t="n">
        <v>404.034</v>
      </c>
      <c r="LM106" s="21" t="n">
        <v>253.322</v>
      </c>
      <c r="LN106" s="21" t="n">
        <v>32.945</v>
      </c>
      <c r="LO106" s="21" t="n">
        <v>151.559</v>
      </c>
    </row>
    <row r="107">
      <c r="A107" s="22" t="n">
        <v>45200</v>
      </c>
      <c r="B107" s="21" t="n">
        <v>307.696</v>
      </c>
      <c r="C107" s="21" t="n">
        <v>322.992</v>
      </c>
      <c r="D107" s="21" t="n">
        <v>325.442</v>
      </c>
      <c r="E107" s="21" t="n">
        <v>304.366</v>
      </c>
      <c r="F107" s="21" t="n">
        <v>355.629</v>
      </c>
      <c r="G107" s="21" t="n">
        <v>287.094</v>
      </c>
      <c r="H107" s="21" t="n">
        <v>321.898</v>
      </c>
      <c r="I107" s="21" t="n">
        <v>278.376</v>
      </c>
      <c r="J107" s="21" t="n">
        <v>293.103</v>
      </c>
      <c r="K107" s="21" t="n">
        <v>395.858</v>
      </c>
      <c r="L107" s="21" t="n">
        <v>241.583</v>
      </c>
      <c r="M107" s="21" t="n">
        <v>234.286</v>
      </c>
      <c r="N107" s="21" t="n">
        <v>367.844</v>
      </c>
      <c r="O107" s="21" t="n">
        <v>346.515</v>
      </c>
      <c r="P107" s="21" t="n">
        <v>353.374</v>
      </c>
      <c r="Q107" s="21" t="n">
        <v>424.609</v>
      </c>
      <c r="R107" s="21" t="n">
        <v>344.929</v>
      </c>
      <c r="S107" s="21" t="n">
        <v>320.959</v>
      </c>
      <c r="T107" s="21" t="n">
        <v>325.77</v>
      </c>
      <c r="U107" s="21" t="n">
        <v>332.817</v>
      </c>
      <c r="V107" s="21" t="n">
        <v>414.555</v>
      </c>
      <c r="W107" s="21" t="n">
        <v>357.178</v>
      </c>
      <c r="X107" s="21" t="n">
        <v>334.423</v>
      </c>
      <c r="Y107" s="21" t="n">
        <v>280.965</v>
      </c>
      <c r="Z107" s="21" t="n">
        <v>268.967</v>
      </c>
      <c r="AA107" s="21" t="n">
        <v>202.465</v>
      </c>
      <c r="AB107" s="21" t="n">
        <v>382.049</v>
      </c>
      <c r="AC107" s="21" t="n">
        <v>183.047</v>
      </c>
      <c r="AD107" s="21" t="n">
        <v>253.015</v>
      </c>
      <c r="AE107" s="21" t="n">
        <v>282.45</v>
      </c>
      <c r="AF107" s="21" t="n">
        <v>248.324</v>
      </c>
      <c r="AG107" s="21" t="n">
        <v>163.091</v>
      </c>
      <c r="AH107" s="21" t="n">
        <v>288.757</v>
      </c>
      <c r="AI107" s="21" t="n">
        <v>301.527</v>
      </c>
      <c r="AJ107" s="21" t="n">
        <v>188.095</v>
      </c>
      <c r="AK107" s="21" t="n">
        <v>307.456</v>
      </c>
      <c r="AL107" s="21" t="n">
        <v>195.26</v>
      </c>
      <c r="AM107" s="21" t="n">
        <v>324.209</v>
      </c>
      <c r="AN107" s="21" t="n">
        <v>291.083</v>
      </c>
      <c r="AO107" s="21" t="n">
        <v>210.546</v>
      </c>
      <c r="AP107" s="21" t="n">
        <v>352.376</v>
      </c>
      <c r="AQ107" s="21" t="n">
        <v>221.113</v>
      </c>
      <c r="AR107" s="21" t="n">
        <v>174.887</v>
      </c>
      <c r="AS107" s="21" t="n">
        <v>248.29</v>
      </c>
      <c r="AT107" s="21" t="n">
        <v>366.238</v>
      </c>
      <c r="AU107" s="21" t="n">
        <v>264.216</v>
      </c>
      <c r="AV107" s="21" t="n">
        <v>268.326</v>
      </c>
      <c r="AW107" s="21" t="n">
        <v>175.364</v>
      </c>
      <c r="AX107" s="21" t="n">
        <v>251.77</v>
      </c>
      <c r="AY107" s="21" t="n">
        <v>181.649</v>
      </c>
      <c r="AZ107" s="21" t="n">
        <v>266.375</v>
      </c>
      <c r="BA107" s="21" t="n">
        <v>273.181</v>
      </c>
      <c r="BB107" s="21" t="n">
        <v>189.128</v>
      </c>
      <c r="BC107" s="21" t="n">
        <v>351.778</v>
      </c>
      <c r="BD107" s="21" t="n">
        <v>394.606</v>
      </c>
      <c r="BE107" s="21" t="n">
        <v>412.093</v>
      </c>
      <c r="BF107" s="21" t="n">
        <v>351.628</v>
      </c>
      <c r="BG107" s="21" t="n">
        <v>208.615</v>
      </c>
      <c r="BH107" s="21" t="n">
        <v>297.981</v>
      </c>
      <c r="BI107" s="21" t="n">
        <v>584.011</v>
      </c>
      <c r="BJ107" s="21" t="n">
        <v>140.373</v>
      </c>
      <c r="BK107" s="21" t="n">
        <v>374.835</v>
      </c>
      <c r="BL107" s="21" t="n">
        <v>425.523</v>
      </c>
      <c r="BM107" s="21" t="n">
        <v>396.696</v>
      </c>
      <c r="BN107" s="21" t="n">
        <v>348.487</v>
      </c>
      <c r="BO107" s="21" t="n">
        <v>370.753</v>
      </c>
      <c r="BP107" s="21" t="n">
        <v>204.097</v>
      </c>
      <c r="BQ107" s="21" t="n">
        <v>216.33</v>
      </c>
      <c r="BR107" s="21" t="n">
        <v>205.668</v>
      </c>
      <c r="BS107" s="21" t="n">
        <v>231.214</v>
      </c>
      <c r="BT107" s="21" t="n">
        <v>190.247</v>
      </c>
      <c r="BU107" s="21" t="n">
        <v>268.04</v>
      </c>
      <c r="BV107" s="21" t="n">
        <v>190.23</v>
      </c>
      <c r="BW107" s="21" t="n">
        <v>217.035</v>
      </c>
      <c r="BX107" s="21" t="n">
        <v>172.434</v>
      </c>
      <c r="BY107" s="21" t="n">
        <v>222.88</v>
      </c>
      <c r="BZ107" s="21" t="n">
        <v>153.578</v>
      </c>
      <c r="CA107" s="21" t="n">
        <v>141.885</v>
      </c>
      <c r="CB107" s="21" t="n">
        <v>236.339</v>
      </c>
      <c r="CC107" s="21" t="n">
        <v>248.641</v>
      </c>
      <c r="CD107" s="21" t="n">
        <v>155.271</v>
      </c>
      <c r="CE107" s="21" t="n">
        <v>271.937</v>
      </c>
      <c r="CF107" s="21" t="n">
        <v>284.697</v>
      </c>
      <c r="CG107" s="21" t="n">
        <v>265.344</v>
      </c>
      <c r="CH107" s="21" t="n">
        <v>192.594</v>
      </c>
      <c r="CI107" s="21" t="n">
        <v>192.388</v>
      </c>
      <c r="CJ107" s="21" t="n">
        <v>312.268</v>
      </c>
      <c r="CK107" s="21" t="n">
        <v>276.126</v>
      </c>
      <c r="CL107" s="21" t="n">
        <v>305.823</v>
      </c>
      <c r="CM107" s="21" t="n">
        <v>468.57</v>
      </c>
      <c r="CN107" s="21" t="n">
        <v>176.117</v>
      </c>
      <c r="CO107" s="21" t="n">
        <v>221.395</v>
      </c>
      <c r="CP107" s="21" t="n">
        <v>287.125</v>
      </c>
      <c r="CQ107" s="21" t="n">
        <v>310.714</v>
      </c>
      <c r="CR107" s="21" t="n">
        <v>213.186</v>
      </c>
      <c r="CS107" s="21" t="n">
        <v>316.365</v>
      </c>
      <c r="CT107" s="21" t="n">
        <v>308.368</v>
      </c>
      <c r="CU107" s="21" t="n">
        <v>189.024</v>
      </c>
      <c r="CV107" s="21" t="n">
        <v>188.22</v>
      </c>
      <c r="CW107" s="21" t="n">
        <v>184.359</v>
      </c>
      <c r="CX107" s="21" t="n">
        <v>340.58</v>
      </c>
      <c r="CY107" s="21" t="n">
        <v>170.272</v>
      </c>
      <c r="CZ107" s="21" t="n">
        <v>157.212</v>
      </c>
      <c r="DA107" s="21" t="n">
        <v>358.824</v>
      </c>
      <c r="DB107" s="21" t="n">
        <v>220.572</v>
      </c>
      <c r="DC107" s="21" t="n">
        <v>198.238</v>
      </c>
      <c r="DD107" s="21" t="n">
        <v>196.2</v>
      </c>
      <c r="DE107" s="21" t="n">
        <v>237.421</v>
      </c>
      <c r="DF107" s="21" t="n">
        <v>288.303</v>
      </c>
      <c r="DG107" s="21" t="n">
        <v>227.334</v>
      </c>
      <c r="DH107" s="21" t="n">
        <v>270.045</v>
      </c>
      <c r="DI107" s="21" t="n">
        <v>209.858</v>
      </c>
      <c r="DJ107" s="21" t="n">
        <v>223.536</v>
      </c>
      <c r="DK107" s="21" t="n">
        <v>204.764</v>
      </c>
      <c r="DL107" s="21" t="n">
        <v>182.028</v>
      </c>
      <c r="DM107" s="21" t="n">
        <v>424.74</v>
      </c>
      <c r="DN107" s="21" t="n">
        <v>235.523</v>
      </c>
      <c r="DO107" s="21" t="n">
        <v>324.251</v>
      </c>
      <c r="DP107" s="21" t="n">
        <v>386.771</v>
      </c>
      <c r="DQ107" s="21" t="n">
        <v>406.532</v>
      </c>
      <c r="DR107" s="21" t="n">
        <v>187.943</v>
      </c>
      <c r="DS107" s="21" t="n">
        <v>627.615</v>
      </c>
      <c r="DT107" s="21" t="n">
        <v>386.149</v>
      </c>
      <c r="DU107" s="21" t="n">
        <v>396.753</v>
      </c>
      <c r="DV107" s="21" t="n">
        <v>396.799</v>
      </c>
      <c r="DW107" s="21" t="n">
        <v>305.95</v>
      </c>
      <c r="DX107" s="21" t="n">
        <v>256.765</v>
      </c>
      <c r="DY107" s="21" t="n">
        <v>404.069</v>
      </c>
      <c r="DZ107" s="21" t="n">
        <v>424.935</v>
      </c>
      <c r="EA107" s="21" t="n">
        <v>430.385</v>
      </c>
      <c r="EB107" s="21" t="n">
        <v>259.458</v>
      </c>
      <c r="EC107" s="21" t="n">
        <v>269.512</v>
      </c>
      <c r="ED107" s="21" t="n">
        <v>224.304</v>
      </c>
      <c r="EE107" s="21" t="n">
        <v>291.683</v>
      </c>
      <c r="EF107" s="21" t="n">
        <v>667.177</v>
      </c>
      <c r="EG107" s="21" t="n">
        <v>597.569</v>
      </c>
      <c r="EH107" s="21" t="n">
        <v>148.37</v>
      </c>
      <c r="EI107" s="21" t="n">
        <v>60.637</v>
      </c>
      <c r="EJ107" s="21" t="n">
        <v>78.45699999999999</v>
      </c>
      <c r="EK107" s="21" t="n">
        <v>41.666</v>
      </c>
      <c r="EL107" s="21" t="n">
        <v>134.962</v>
      </c>
      <c r="EM107" s="21" t="n">
        <v>82.661</v>
      </c>
      <c r="EN107" s="21" t="n">
        <v>85.80800000000001</v>
      </c>
      <c r="EO107" s="21" t="n">
        <v>90.611</v>
      </c>
      <c r="EP107" s="21" t="n">
        <v>103.227</v>
      </c>
      <c r="EQ107" s="21" t="n">
        <v>75.84</v>
      </c>
      <c r="ER107" s="21" t="n">
        <v>55.465</v>
      </c>
      <c r="ES107" s="21" t="n">
        <v>156.984</v>
      </c>
      <c r="ET107" s="21" t="n">
        <v>81.699</v>
      </c>
      <c r="EU107" s="21" t="n">
        <v>113.791</v>
      </c>
      <c r="EV107" s="21" t="n">
        <v>123.298</v>
      </c>
      <c r="EW107" s="21" t="n">
        <v>109.857</v>
      </c>
      <c r="EX107" s="21" t="n">
        <v>234.951</v>
      </c>
      <c r="EY107" s="21" t="n">
        <v>149.404</v>
      </c>
      <c r="EZ107" s="21" t="n">
        <v>140.093</v>
      </c>
      <c r="FA107" s="21" t="n">
        <v>195.727</v>
      </c>
      <c r="FB107" s="21" t="n">
        <v>131.274</v>
      </c>
      <c r="FC107" s="21" t="n">
        <v>129.089</v>
      </c>
      <c r="FD107" s="21" t="n">
        <v>131.875</v>
      </c>
      <c r="FE107" s="21" t="n">
        <v>101.002</v>
      </c>
      <c r="FF107" s="21" t="n">
        <v>183.136</v>
      </c>
      <c r="FG107" s="21" t="n">
        <v>80.241</v>
      </c>
      <c r="FH107" s="21" t="n">
        <v>139.138</v>
      </c>
      <c r="FI107" s="21" t="n">
        <v>115.51</v>
      </c>
      <c r="FJ107" s="21" t="n">
        <v>109.337</v>
      </c>
      <c r="FK107" s="21" t="n">
        <v>110.624</v>
      </c>
      <c r="FL107" s="21" t="n">
        <v>103.277</v>
      </c>
      <c r="FM107" s="21" t="n">
        <v>105.304</v>
      </c>
      <c r="FN107" s="21" t="n">
        <v>76.70999999999999</v>
      </c>
      <c r="FO107" s="21" t="n">
        <v>111.8</v>
      </c>
      <c r="FP107" s="21" t="n">
        <v>102.742</v>
      </c>
      <c r="FQ107" s="21" t="n">
        <v>145.644</v>
      </c>
      <c r="FR107" s="21" t="n">
        <v>149.911</v>
      </c>
      <c r="FS107" s="21" t="n">
        <v>168.21</v>
      </c>
      <c r="FT107" s="21" t="n">
        <v>132.847</v>
      </c>
      <c r="FU107" s="21" t="n">
        <v>125.553</v>
      </c>
      <c r="FV107" s="21" t="n">
        <v>195.614</v>
      </c>
      <c r="FW107" s="21" t="n">
        <v>151.512</v>
      </c>
      <c r="FX107" s="21" t="n">
        <v>194.588</v>
      </c>
      <c r="FY107" s="21" t="n">
        <v>270.239</v>
      </c>
      <c r="FZ107" s="21" t="n">
        <v>270.105</v>
      </c>
      <c r="GA107" s="21" t="n">
        <v>126.717</v>
      </c>
      <c r="GB107" s="21" t="n">
        <v>179.328</v>
      </c>
      <c r="GC107" s="21" t="n"/>
      <c r="GD107" s="21" t="n">
        <v>174.846</v>
      </c>
      <c r="GE107" s="21" t="n">
        <v>191.318</v>
      </c>
      <c r="GF107" s="21" t="n"/>
      <c r="GG107" s="21" t="n">
        <v>186.879</v>
      </c>
      <c r="GH107" s="21" t="n"/>
      <c r="GI107" s="21" t="n">
        <v>172.168</v>
      </c>
      <c r="GJ107" s="21" t="n">
        <v>321.562</v>
      </c>
      <c r="GK107" s="21" t="n">
        <v>320.296</v>
      </c>
      <c r="GL107" s="21" t="n">
        <v>313.001</v>
      </c>
      <c r="GM107" s="21" t="n">
        <v>350.441</v>
      </c>
      <c r="GN107" s="21" t="n">
        <v>344.946</v>
      </c>
      <c r="GO107" s="21" t="n">
        <v>333.768</v>
      </c>
      <c r="GP107" s="21" t="n">
        <v>178.518</v>
      </c>
      <c r="GQ107" s="21" t="n">
        <v>151.745</v>
      </c>
      <c r="GR107" s="21" t="n">
        <v>392.861</v>
      </c>
      <c r="GS107" s="21" t="n">
        <v>258.606</v>
      </c>
      <c r="GT107" s="21" t="n">
        <v>760.6900000000001</v>
      </c>
      <c r="GU107" s="21" t="n">
        <v>232.211</v>
      </c>
      <c r="GV107" s="21" t="n">
        <v>270.523</v>
      </c>
      <c r="GW107" s="21" t="n">
        <v>260.637</v>
      </c>
      <c r="GX107" s="21" t="n">
        <v>255.623</v>
      </c>
      <c r="GY107" s="21" t="n">
        <v>165.898</v>
      </c>
      <c r="GZ107" s="21" t="n"/>
      <c r="HA107" s="21" t="n">
        <v>67.11199999999999</v>
      </c>
      <c r="HB107" s="21" t="n">
        <v>549.793</v>
      </c>
      <c r="HC107" s="21" t="n">
        <v>408.965</v>
      </c>
      <c r="HD107" s="21" t="n">
        <v>133.725</v>
      </c>
      <c r="HE107" s="21" t="n">
        <v>552.058</v>
      </c>
      <c r="HF107" s="21" t="n">
        <v>109.957</v>
      </c>
      <c r="HG107" s="21" t="n">
        <v>595.016</v>
      </c>
      <c r="HH107" s="21" t="n">
        <v>419.663</v>
      </c>
      <c r="HI107" s="21" t="n">
        <v>409.755</v>
      </c>
      <c r="HJ107" s="21" t="n">
        <v>581.674</v>
      </c>
      <c r="HK107" s="21" t="n">
        <v>205.221</v>
      </c>
      <c r="HL107" s="21" t="n">
        <v>259.137</v>
      </c>
      <c r="HM107" s="21" t="n">
        <v>95.614</v>
      </c>
      <c r="HN107" s="21" t="n">
        <v>401.752</v>
      </c>
      <c r="HO107" s="21" t="n">
        <v>386.364</v>
      </c>
      <c r="HP107" s="21" t="n">
        <v>878.7329999999999</v>
      </c>
      <c r="HQ107" s="21" t="n">
        <v>276.647</v>
      </c>
      <c r="HR107" s="21" t="n">
        <v>136.985</v>
      </c>
      <c r="HS107" s="21" t="n">
        <v>116.69</v>
      </c>
      <c r="HT107" s="21" t="n">
        <v>107.943</v>
      </c>
      <c r="HU107" s="21" t="n">
        <v>576</v>
      </c>
      <c r="HV107" s="21" t="n">
        <v>110.653</v>
      </c>
      <c r="HW107" s="21" t="n">
        <v>25.298</v>
      </c>
      <c r="HX107" s="21" t="n">
        <v>219.273</v>
      </c>
      <c r="HY107" s="21" t="n">
        <v>240.453</v>
      </c>
      <c r="HZ107" s="21" t="n">
        <v>192.364</v>
      </c>
      <c r="IA107" s="21" t="n">
        <v>128.28</v>
      </c>
      <c r="IB107" s="21" t="n">
        <v>329.136</v>
      </c>
      <c r="IC107" s="21" t="n">
        <v>238.501</v>
      </c>
      <c r="ID107" s="21" t="n">
        <v>348.346</v>
      </c>
      <c r="IE107" s="21" t="n">
        <v>127.02</v>
      </c>
      <c r="IF107" s="21" t="n">
        <v>176.481</v>
      </c>
      <c r="IG107" s="21" t="n">
        <v>85.977</v>
      </c>
      <c r="IH107" s="21" t="n">
        <v>87.476</v>
      </c>
      <c r="II107" s="21" t="n">
        <v>66.429</v>
      </c>
      <c r="IJ107" s="21" t="n">
        <v>27.625</v>
      </c>
      <c r="IK107" s="21" t="n">
        <v>33.949</v>
      </c>
      <c r="IL107" s="21" t="n">
        <v>28.706</v>
      </c>
      <c r="IM107" s="21" t="n">
        <v>38.591</v>
      </c>
      <c r="IN107" s="21" t="n">
        <v>109.777</v>
      </c>
      <c r="IO107" s="21" t="n">
        <v>122.075</v>
      </c>
      <c r="IP107" s="21" t="n">
        <v>195.941</v>
      </c>
      <c r="IQ107" s="21" t="n">
        <v>158.147</v>
      </c>
      <c r="IR107" s="21" t="n">
        <v>454.535</v>
      </c>
      <c r="IS107" s="21" t="n">
        <v>218.163</v>
      </c>
      <c r="IT107" s="21" t="n">
        <v>255.688</v>
      </c>
      <c r="IU107" s="21" t="n">
        <v>386.986</v>
      </c>
      <c r="IV107" s="21" t="n">
        <v>287.554</v>
      </c>
      <c r="IW107" s="21" t="n">
        <v>144.928</v>
      </c>
      <c r="IX107" s="21" t="n">
        <v>292.382</v>
      </c>
      <c r="IY107" s="21" t="n">
        <v>694.5599999999999</v>
      </c>
      <c r="IZ107" s="21" t="n">
        <v>841.921</v>
      </c>
      <c r="JA107" s="21" t="n">
        <v>923.205</v>
      </c>
      <c r="JB107" s="21" t="n">
        <v>95.05500000000001</v>
      </c>
      <c r="JC107" s="21" t="n">
        <v>352.693</v>
      </c>
      <c r="JD107" s="21" t="n">
        <v>272.289</v>
      </c>
      <c r="JE107" s="21" t="n">
        <v>74.586</v>
      </c>
      <c r="JF107" s="21" t="n">
        <v>227.891</v>
      </c>
      <c r="JG107" s="21" t="n">
        <v>351.686</v>
      </c>
      <c r="JH107" s="21" t="n">
        <v>421.151</v>
      </c>
      <c r="JI107" s="21" t="n">
        <v>70.253</v>
      </c>
      <c r="JJ107" s="21" t="n">
        <v>104.919</v>
      </c>
      <c r="JK107" s="21" t="n">
        <v>36.845</v>
      </c>
      <c r="JL107" s="21" t="n">
        <v>84.05200000000001</v>
      </c>
      <c r="JM107" s="21" t="n">
        <v>113.974</v>
      </c>
      <c r="JN107" s="21" t="n">
        <v>546.793</v>
      </c>
      <c r="JO107" s="21" t="n">
        <v>92.756</v>
      </c>
      <c r="JP107" s="21" t="n">
        <v>610.505</v>
      </c>
      <c r="JQ107" s="21" t="n">
        <v>277.782</v>
      </c>
      <c r="JR107" s="21" t="n">
        <v>179.025</v>
      </c>
      <c r="JS107" s="21" t="n">
        <v>541.691</v>
      </c>
      <c r="JT107" s="21" t="n"/>
      <c r="JU107" s="21" t="n">
        <v>383.029</v>
      </c>
      <c r="JV107" s="21" t="n">
        <v>219.691</v>
      </c>
      <c r="JW107" s="21" t="n">
        <v>419.081</v>
      </c>
      <c r="JX107" s="21" t="n">
        <v>322.777</v>
      </c>
      <c r="JY107" s="21" t="n">
        <v>88.771</v>
      </c>
      <c r="JZ107" s="21" t="n">
        <v>201.565</v>
      </c>
      <c r="KA107" s="21" t="n">
        <v>295.988</v>
      </c>
      <c r="KB107" s="21" t="n">
        <v>312.642</v>
      </c>
      <c r="KC107" s="21" t="n">
        <v>304.948</v>
      </c>
      <c r="KD107" s="21" t="n">
        <v>311.457</v>
      </c>
      <c r="KE107" s="21" t="n">
        <v>280.217</v>
      </c>
      <c r="KF107" s="21" t="n">
        <v>269.086</v>
      </c>
      <c r="KG107" s="21" t="n">
        <v>269.793</v>
      </c>
      <c r="KH107" s="21" t="n">
        <v>274.343</v>
      </c>
      <c r="KI107" s="21" t="n">
        <v>123.068</v>
      </c>
      <c r="KJ107" s="21" t="n">
        <v>224.491</v>
      </c>
      <c r="KK107" s="21" t="n">
        <v>181.475</v>
      </c>
      <c r="KL107" s="21" t="n">
        <v>177.772</v>
      </c>
      <c r="KM107" s="21" t="n">
        <v>166.697</v>
      </c>
      <c r="KN107" s="21" t="n">
        <v>164.575</v>
      </c>
      <c r="KO107" s="21" t="n">
        <v>315.637</v>
      </c>
      <c r="KP107" s="21" t="n">
        <v>125.407</v>
      </c>
      <c r="KQ107" s="21" t="n">
        <v>58.068</v>
      </c>
      <c r="KR107" s="21" t="n">
        <v>120.668</v>
      </c>
      <c r="KS107" s="21" t="n">
        <v>286.765</v>
      </c>
      <c r="KT107" s="21" t="n">
        <v>327.859</v>
      </c>
      <c r="KU107" s="21" t="n">
        <v>107.56</v>
      </c>
      <c r="KV107" s="21" t="n">
        <v>40.215</v>
      </c>
      <c r="KW107" s="21" t="n">
        <v>277.238</v>
      </c>
      <c r="KX107" s="21" t="n">
        <v>236.863</v>
      </c>
      <c r="KY107" s="21" t="n">
        <v>299.842</v>
      </c>
      <c r="KZ107" s="21" t="n">
        <v>233.693</v>
      </c>
      <c r="LA107" s="21" t="n">
        <v>302.723</v>
      </c>
      <c r="LB107" s="21" t="n">
        <v>137.997</v>
      </c>
      <c r="LC107" s="21" t="n">
        <v>407.199</v>
      </c>
      <c r="LD107" s="21" t="n">
        <v>85.301</v>
      </c>
      <c r="LE107" s="21" t="n">
        <v>146.65</v>
      </c>
      <c r="LF107" s="21" t="n">
        <v>404.028</v>
      </c>
      <c r="LG107" s="21" t="n">
        <v>389.593</v>
      </c>
      <c r="LH107" s="21" t="n">
        <v>402.788</v>
      </c>
      <c r="LI107" s="21" t="n">
        <v>373.839</v>
      </c>
      <c r="LJ107" s="21" t="n">
        <v>402.623</v>
      </c>
      <c r="LK107" s="21" t="n">
        <v>132.197</v>
      </c>
      <c r="LL107" s="21" t="n">
        <v>407.895</v>
      </c>
      <c r="LM107" s="21" t="n">
        <v>253.57</v>
      </c>
      <c r="LN107" s="21" t="n">
        <v>33.022</v>
      </c>
      <c r="LO107" s="21" t="n">
        <v>151.439</v>
      </c>
    </row>
    <row r="108">
      <c r="A108" s="22" t="n">
        <v>45231</v>
      </c>
      <c r="B108" s="21" t="n">
        <v>308.148</v>
      </c>
      <c r="C108" s="21" t="n">
        <v>323.41</v>
      </c>
      <c r="D108" s="21" t="n">
        <v>325.93</v>
      </c>
      <c r="E108" s="21" t="n">
        <v>304.332</v>
      </c>
      <c r="F108" s="21" t="n">
        <v>357.017</v>
      </c>
      <c r="G108" s="21" t="n">
        <v>288.038</v>
      </c>
      <c r="H108" s="21" t="n">
        <v>326.778</v>
      </c>
      <c r="I108" s="21" t="n">
        <v>280.692</v>
      </c>
      <c r="J108" s="21" t="n">
        <v>291.076</v>
      </c>
      <c r="K108" s="21" t="n">
        <v>396.598</v>
      </c>
      <c r="L108" s="21" t="n">
        <v>240.52</v>
      </c>
      <c r="M108" s="21" t="n">
        <v>240.198</v>
      </c>
      <c r="N108" s="21" t="n">
        <v>370.456</v>
      </c>
      <c r="O108" s="21" t="n">
        <v>347.063</v>
      </c>
      <c r="P108" s="21" t="n">
        <v>355.966</v>
      </c>
      <c r="Q108" s="21" t="n">
        <v>431.042</v>
      </c>
      <c r="R108" s="21" t="n">
        <v>347.626</v>
      </c>
      <c r="S108" s="21" t="n">
        <v>320.45</v>
      </c>
      <c r="T108" s="21" t="n">
        <v>324.717</v>
      </c>
      <c r="U108" s="21" t="n">
        <v>330.932</v>
      </c>
      <c r="V108" s="21" t="n">
        <v>413.599</v>
      </c>
      <c r="W108" s="21" t="n">
        <v>353.782</v>
      </c>
      <c r="X108" s="21" t="n">
        <v>337.829</v>
      </c>
      <c r="Y108" s="21" t="n">
        <v>278.751</v>
      </c>
      <c r="Z108" s="21" t="n">
        <v>265.02</v>
      </c>
      <c r="AA108" s="21" t="n">
        <v>200.002</v>
      </c>
      <c r="AB108" s="21" t="n">
        <v>373.14</v>
      </c>
      <c r="AC108" s="21" t="n">
        <v>182.898</v>
      </c>
      <c r="AD108" s="21" t="n">
        <v>248.045</v>
      </c>
      <c r="AE108" s="21" t="n">
        <v>275.57</v>
      </c>
      <c r="AF108" s="21" t="n">
        <v>242.457</v>
      </c>
      <c r="AG108" s="21" t="n">
        <v>160.978</v>
      </c>
      <c r="AH108" s="21" t="n">
        <v>288.814</v>
      </c>
      <c r="AI108" s="21" t="n">
        <v>303.287</v>
      </c>
      <c r="AJ108" s="21" t="n">
        <v>188.136</v>
      </c>
      <c r="AK108" s="21" t="n">
        <v>306.683</v>
      </c>
      <c r="AL108" s="21" t="n">
        <v>195.107</v>
      </c>
      <c r="AM108" s="21" t="n">
        <v>327.758</v>
      </c>
      <c r="AN108" s="21" t="n">
        <v>289.74</v>
      </c>
      <c r="AO108" s="21" t="n">
        <v>208.002</v>
      </c>
      <c r="AP108" s="21" t="n">
        <v>354.148</v>
      </c>
      <c r="AQ108" s="21" t="n">
        <v>220.513</v>
      </c>
      <c r="AR108" s="21" t="n">
        <v>174.906</v>
      </c>
      <c r="AS108" s="21" t="n">
        <v>254.482</v>
      </c>
      <c r="AT108" s="21" t="n">
        <v>366.368</v>
      </c>
      <c r="AU108" s="21" t="n">
        <v>270.178</v>
      </c>
      <c r="AV108" s="21" t="n">
        <v>267.609</v>
      </c>
      <c r="AW108" s="21" t="n">
        <v>175.83</v>
      </c>
      <c r="AX108" s="21" t="n">
        <v>253.379</v>
      </c>
      <c r="AY108" s="21" t="n">
        <v>181.896</v>
      </c>
      <c r="AZ108" s="21" t="n">
        <v>264.392</v>
      </c>
      <c r="BA108" s="21" t="n">
        <v>274.929</v>
      </c>
      <c r="BB108" s="21" t="n">
        <v>188.994</v>
      </c>
      <c r="BC108" s="21" t="n">
        <v>351.38</v>
      </c>
      <c r="BD108" s="21" t="n">
        <v>395.236</v>
      </c>
      <c r="BE108" s="21" t="n">
        <v>413.79</v>
      </c>
      <c r="BF108" s="21" t="n">
        <v>353.116</v>
      </c>
      <c r="BG108" s="21" t="n">
        <v>207.731</v>
      </c>
      <c r="BH108" s="21" t="n">
        <v>301.398</v>
      </c>
      <c r="BI108" s="21" t="n">
        <v>597.692</v>
      </c>
      <c r="BJ108" s="21" t="n">
        <v>140.683</v>
      </c>
      <c r="BK108" s="21" t="n">
        <v>374.328</v>
      </c>
      <c r="BL108" s="21" t="n">
        <v>435.98</v>
      </c>
      <c r="BM108" s="21" t="n">
        <v>387.496</v>
      </c>
      <c r="BN108" s="21" t="n">
        <v>348.974</v>
      </c>
      <c r="BO108" s="21" t="n">
        <v>369.52</v>
      </c>
      <c r="BP108" s="21" t="n">
        <v>202.282</v>
      </c>
      <c r="BQ108" s="21" t="n">
        <v>215.908</v>
      </c>
      <c r="BR108" s="21" t="n">
        <v>202.124</v>
      </c>
      <c r="BS108" s="21" t="n">
        <v>231.285</v>
      </c>
      <c r="BT108" s="21" t="n">
        <v>187.889</v>
      </c>
      <c r="BU108" s="21" t="n">
        <v>264.746</v>
      </c>
      <c r="BV108" s="21" t="n">
        <v>187.6</v>
      </c>
      <c r="BW108" s="21" t="n">
        <v>217.492</v>
      </c>
      <c r="BX108" s="21" t="n">
        <v>172.922</v>
      </c>
      <c r="BY108" s="21" t="n">
        <v>224.538</v>
      </c>
      <c r="BZ108" s="21" t="n">
        <v>153.186</v>
      </c>
      <c r="CA108" s="21" t="n">
        <v>141.738</v>
      </c>
      <c r="CB108" s="21" t="n">
        <v>236.112</v>
      </c>
      <c r="CC108" s="21" t="n">
        <v>248.435</v>
      </c>
      <c r="CD108" s="21" t="n">
        <v>156.047</v>
      </c>
      <c r="CE108" s="21" t="n">
        <v>271.815</v>
      </c>
      <c r="CF108" s="21" t="n">
        <v>285.06</v>
      </c>
      <c r="CG108" s="21" t="n">
        <v>262.632</v>
      </c>
      <c r="CH108" s="21" t="n">
        <v>193.491</v>
      </c>
      <c r="CI108" s="21" t="n">
        <v>191.773</v>
      </c>
      <c r="CJ108" s="21" t="n">
        <v>313.837</v>
      </c>
      <c r="CK108" s="21" t="n">
        <v>282.22</v>
      </c>
      <c r="CL108" s="21" t="n">
        <v>313.286</v>
      </c>
      <c r="CM108" s="21" t="n">
        <v>471.229</v>
      </c>
      <c r="CN108" s="21" t="n">
        <v>173.319</v>
      </c>
      <c r="CO108" s="21" t="n">
        <v>220.818</v>
      </c>
      <c r="CP108" s="21" t="n">
        <v>286.684</v>
      </c>
      <c r="CQ108" s="21" t="n">
        <v>313.866</v>
      </c>
      <c r="CR108" s="21" t="n">
        <v>211.069</v>
      </c>
      <c r="CS108" s="21" t="n">
        <v>313.589</v>
      </c>
      <c r="CT108" s="21" t="n">
        <v>308.812</v>
      </c>
      <c r="CU108" s="21" t="n">
        <v>189.517</v>
      </c>
      <c r="CV108" s="21" t="n">
        <v>188.597</v>
      </c>
      <c r="CW108" s="21" t="n">
        <v>185.118</v>
      </c>
      <c r="CX108" s="21" t="n">
        <v>338.364</v>
      </c>
      <c r="CY108" s="21" t="n">
        <v>170.98</v>
      </c>
      <c r="CZ108" s="21" t="n">
        <v>155.608</v>
      </c>
      <c r="DA108" s="21" t="n">
        <v>360.383</v>
      </c>
      <c r="DB108" s="21" t="n">
        <v>221.574</v>
      </c>
      <c r="DC108" s="21" t="n">
        <v>199.124</v>
      </c>
      <c r="DD108" s="21" t="n">
        <v>196.222</v>
      </c>
      <c r="DE108" s="21" t="n">
        <v>238.995</v>
      </c>
      <c r="DF108" s="21" t="n">
        <v>287.731</v>
      </c>
      <c r="DG108" s="21" t="n">
        <v>226.888</v>
      </c>
      <c r="DH108" s="21" t="n">
        <v>269.611</v>
      </c>
      <c r="DI108" s="21" t="n">
        <v>209.679</v>
      </c>
      <c r="DJ108" s="21" t="n">
        <v>223.413</v>
      </c>
      <c r="DK108" s="21" t="n">
        <v>204.991</v>
      </c>
      <c r="DL108" s="21" t="n">
        <v>181.158</v>
      </c>
      <c r="DM108" s="21" t="n">
        <v>425.252</v>
      </c>
      <c r="DN108" s="21" t="n">
        <v>235.717</v>
      </c>
      <c r="DO108" s="21" t="n">
        <v>325.495</v>
      </c>
      <c r="DP108" s="21" t="n">
        <v>388.525</v>
      </c>
      <c r="DQ108" s="21" t="n">
        <v>408.511</v>
      </c>
      <c r="DR108" s="21" t="n">
        <v>185.82</v>
      </c>
      <c r="DS108" s="21" t="n">
        <v>629.429</v>
      </c>
      <c r="DT108" s="21" t="n">
        <v>380.895</v>
      </c>
      <c r="DU108" s="21" t="n">
        <v>398.791</v>
      </c>
      <c r="DV108" s="21" t="n">
        <v>398.852</v>
      </c>
      <c r="DW108" s="21" t="n">
        <v>308.168</v>
      </c>
      <c r="DX108" s="21" t="n">
        <v>258.927</v>
      </c>
      <c r="DY108" s="21" t="n">
        <v>394.739</v>
      </c>
      <c r="DZ108" s="21" t="n">
        <v>412.78</v>
      </c>
      <c r="EA108" s="21" t="n">
        <v>429.596</v>
      </c>
      <c r="EB108" s="21" t="n">
        <v>262.128</v>
      </c>
      <c r="EC108" s="21" t="n">
        <v>272.151</v>
      </c>
      <c r="ED108" s="21" t="n">
        <v>227.007</v>
      </c>
      <c r="EE108" s="21" t="n">
        <v>292.694</v>
      </c>
      <c r="EF108" s="21" t="n">
        <v>668.597</v>
      </c>
      <c r="EG108" s="21" t="n">
        <v>601.631</v>
      </c>
      <c r="EH108" s="21" t="n">
        <v>147.793</v>
      </c>
      <c r="EI108" s="21" t="n">
        <v>59.551</v>
      </c>
      <c r="EJ108" s="21" t="n">
        <v>78.68300000000001</v>
      </c>
      <c r="EK108" s="21" t="n">
        <v>40.002</v>
      </c>
      <c r="EL108" s="21" t="n">
        <v>133.515</v>
      </c>
      <c r="EM108" s="21" t="n">
        <v>82.024</v>
      </c>
      <c r="EN108" s="21" t="n">
        <v>84.712</v>
      </c>
      <c r="EO108" s="21" t="n">
        <v>89.241</v>
      </c>
      <c r="EP108" s="21" t="n">
        <v>99.264</v>
      </c>
      <c r="EQ108" s="21" t="n">
        <v>75.11799999999999</v>
      </c>
      <c r="ER108" s="21" t="n">
        <v>54.689</v>
      </c>
      <c r="ES108" s="21" t="n">
        <v>157.034</v>
      </c>
      <c r="ET108" s="21" t="n">
        <v>80.59999999999999</v>
      </c>
      <c r="EU108" s="21" t="n">
        <v>113.159</v>
      </c>
      <c r="EV108" s="21" t="n">
        <v>123.661</v>
      </c>
      <c r="EW108" s="21" t="n">
        <v>109.272</v>
      </c>
      <c r="EX108" s="21" t="n">
        <v>233.691</v>
      </c>
      <c r="EY108" s="21" t="n">
        <v>148.325</v>
      </c>
      <c r="EZ108" s="21" t="n">
        <v>139.521</v>
      </c>
      <c r="FA108" s="21" t="n">
        <v>197.299</v>
      </c>
      <c r="FB108" s="21" t="n">
        <v>130.099</v>
      </c>
      <c r="FC108" s="21" t="n">
        <v>126.479</v>
      </c>
      <c r="FD108" s="21" t="n">
        <v>129.748</v>
      </c>
      <c r="FE108" s="21" t="n">
        <v>101.464</v>
      </c>
      <c r="FF108" s="21" t="n">
        <v>180.949</v>
      </c>
      <c r="FG108" s="21" t="n">
        <v>79.57899999999999</v>
      </c>
      <c r="FH108" s="21" t="n">
        <v>133</v>
      </c>
      <c r="FI108" s="21" t="n">
        <v>113.005</v>
      </c>
      <c r="FJ108" s="21" t="n">
        <v>108.672</v>
      </c>
      <c r="FK108" s="21" t="n">
        <v>110.02</v>
      </c>
      <c r="FL108" s="21" t="n">
        <v>102.179</v>
      </c>
      <c r="FM108" s="21" t="n">
        <v>105.398</v>
      </c>
      <c r="FN108" s="21" t="n">
        <v>75.52800000000001</v>
      </c>
      <c r="FO108" s="21" t="n">
        <v>110.879</v>
      </c>
      <c r="FP108" s="21" t="n">
        <v>101.791</v>
      </c>
      <c r="FQ108" s="21" t="n">
        <v>145.263</v>
      </c>
      <c r="FR108" s="21" t="n">
        <v>150.46</v>
      </c>
      <c r="FS108" s="21" t="n">
        <v>163.419</v>
      </c>
      <c r="FT108" s="21" t="n">
        <v>132.558</v>
      </c>
      <c r="FU108" s="21" t="n">
        <v>124.739</v>
      </c>
      <c r="FV108" s="21" t="n">
        <v>194.893</v>
      </c>
      <c r="FW108" s="21" t="n">
        <v>152.631</v>
      </c>
      <c r="FX108" s="21" t="n">
        <v>193.994</v>
      </c>
      <c r="FY108" s="21" t="n">
        <v>269.558</v>
      </c>
      <c r="FZ108" s="21" t="n">
        <v>269.415</v>
      </c>
      <c r="GA108" s="21" t="n">
        <v>127.726</v>
      </c>
      <c r="GB108" s="21" t="n">
        <v>179.074</v>
      </c>
      <c r="GC108" s="21" t="n"/>
      <c r="GD108" s="21" t="n">
        <v>174.471</v>
      </c>
      <c r="GE108" s="21" t="n">
        <v>191.02</v>
      </c>
      <c r="GF108" s="21" t="n"/>
      <c r="GG108" s="21" t="n">
        <v>189.444</v>
      </c>
      <c r="GH108" s="21" t="n"/>
      <c r="GI108" s="21" t="n">
        <v>169.891</v>
      </c>
      <c r="GJ108" s="21" t="n">
        <v>308.646</v>
      </c>
      <c r="GK108" s="21" t="n">
        <v>306.714</v>
      </c>
      <c r="GL108" s="21" t="n">
        <v>299.554</v>
      </c>
      <c r="GM108" s="21" t="n">
        <v>335.541</v>
      </c>
      <c r="GN108" s="21" t="n">
        <v>331.323</v>
      </c>
      <c r="GO108" s="21" t="n">
        <v>319.829</v>
      </c>
      <c r="GP108" s="21" t="n">
        <v>178.625</v>
      </c>
      <c r="GQ108" s="21" t="n">
        <v>150.196</v>
      </c>
      <c r="GR108" s="21" t="n">
        <v>393.924</v>
      </c>
      <c r="GS108" s="21" t="n">
        <v>258.558</v>
      </c>
      <c r="GT108" s="21" t="n">
        <v>771.1799999999999</v>
      </c>
      <c r="GU108" s="21" t="n">
        <v>226.083</v>
      </c>
      <c r="GV108" s="21" t="n">
        <v>270.209</v>
      </c>
      <c r="GW108" s="21" t="n">
        <v>260.152</v>
      </c>
      <c r="GX108" s="21" t="n">
        <v>254.397</v>
      </c>
      <c r="GY108" s="21" t="n">
        <v>162.626</v>
      </c>
      <c r="GZ108" s="21" t="n"/>
      <c r="HA108" s="21" t="n">
        <v>66.036</v>
      </c>
      <c r="HB108" s="21" t="n">
        <v>552.42</v>
      </c>
      <c r="HC108" s="21" t="n">
        <v>410.847</v>
      </c>
      <c r="HD108" s="21" t="n">
        <v>134.331</v>
      </c>
      <c r="HE108" s="21" t="n">
        <v>554.6</v>
      </c>
      <c r="HF108" s="21" t="n">
        <v>110.341</v>
      </c>
      <c r="HG108" s="21" t="n">
        <v>597.8819999999999</v>
      </c>
      <c r="HH108" s="21" t="n">
        <v>421.347</v>
      </c>
      <c r="HI108" s="21" t="n">
        <v>412.011</v>
      </c>
      <c r="HJ108" s="21" t="n">
        <v>584.793</v>
      </c>
      <c r="HK108" s="21" t="n">
        <v>204.823</v>
      </c>
      <c r="HL108" s="21" t="n">
        <v>259.16</v>
      </c>
      <c r="HM108" s="21" t="n">
        <v>95.693</v>
      </c>
      <c r="HN108" s="21" t="n">
        <v>402.222</v>
      </c>
      <c r="HO108" s="21" t="n">
        <v>386.614</v>
      </c>
      <c r="HP108" s="21" t="n">
        <v>879.812</v>
      </c>
      <c r="HQ108" s="21" t="n">
        <v>276.863</v>
      </c>
      <c r="HR108" s="21" t="n">
        <v>136.733</v>
      </c>
      <c r="HS108" s="21" t="n">
        <v>116.258</v>
      </c>
      <c r="HT108" s="21" t="n">
        <v>106.483</v>
      </c>
      <c r="HU108" s="21" t="n">
        <v>576.67</v>
      </c>
      <c r="HV108" s="21" t="n">
        <v>109.03</v>
      </c>
      <c r="HW108" s="21" t="n">
        <v>24.902</v>
      </c>
      <c r="HX108" s="21" t="n">
        <v>218.878</v>
      </c>
      <c r="HY108" s="21" t="n">
        <v>239.754</v>
      </c>
      <c r="HZ108" s="21" t="n">
        <v>192.388</v>
      </c>
      <c r="IA108" s="21" t="n">
        <v>127.681</v>
      </c>
      <c r="IB108" s="21" t="n">
        <v>328.98</v>
      </c>
      <c r="IC108" s="21" t="n">
        <v>233.707</v>
      </c>
      <c r="ID108" s="21" t="n">
        <v>351.868</v>
      </c>
      <c r="IE108" s="21" t="n">
        <v>126.274</v>
      </c>
      <c r="IF108" s="21" t="n">
        <v>174.831</v>
      </c>
      <c r="IG108" s="21" t="n">
        <v>85.91800000000001</v>
      </c>
      <c r="IH108" s="21" t="n">
        <v>87.842</v>
      </c>
      <c r="II108" s="21" t="n">
        <v>67.119</v>
      </c>
      <c r="IJ108" s="21" t="n">
        <v>27.92</v>
      </c>
      <c r="IK108" s="21" t="n">
        <v>33.831</v>
      </c>
      <c r="IL108" s="21" t="n">
        <v>28.665</v>
      </c>
      <c r="IM108" s="21" t="n">
        <v>38.517</v>
      </c>
      <c r="IN108" s="21" t="n">
        <v>108.804</v>
      </c>
      <c r="IO108" s="21" t="n">
        <v>120.5</v>
      </c>
      <c r="IP108" s="21" t="n">
        <v>196.306</v>
      </c>
      <c r="IQ108" s="21" t="n">
        <v>157.952</v>
      </c>
      <c r="IR108" s="21" t="n">
        <v>458.495</v>
      </c>
      <c r="IS108" s="21" t="n">
        <v>221.462</v>
      </c>
      <c r="IT108" s="21" t="n">
        <v>255.779</v>
      </c>
      <c r="IU108" s="21" t="n">
        <v>385.341</v>
      </c>
      <c r="IV108" s="21" t="n">
        <v>286.751</v>
      </c>
      <c r="IW108" s="21" t="n">
        <v>144.59</v>
      </c>
      <c r="IX108" s="21" t="n">
        <v>292.57</v>
      </c>
      <c r="IY108" s="21" t="n">
        <v>684.378</v>
      </c>
      <c r="IZ108" s="21" t="n">
        <v>843.013</v>
      </c>
      <c r="JA108" s="21" t="n">
        <v>923.436</v>
      </c>
      <c r="JB108" s="21" t="n">
        <v>95.176</v>
      </c>
      <c r="JC108" s="21" t="n">
        <v>353.902</v>
      </c>
      <c r="JD108" s="21" t="n">
        <v>273.175</v>
      </c>
      <c r="JE108" s="21" t="n">
        <v>74.267</v>
      </c>
      <c r="JF108" s="21" t="n">
        <v>228.427</v>
      </c>
      <c r="JG108" s="21" t="n">
        <v>352.2</v>
      </c>
      <c r="JH108" s="21" t="n">
        <v>424.221</v>
      </c>
      <c r="JI108" s="21" t="n">
        <v>69.94199999999999</v>
      </c>
      <c r="JJ108" s="21" t="n">
        <v>104.025</v>
      </c>
      <c r="JK108" s="21" t="n">
        <v>36.258</v>
      </c>
      <c r="JL108" s="21" t="n">
        <v>84.247</v>
      </c>
      <c r="JM108" s="21" t="n">
        <v>110.774</v>
      </c>
      <c r="JN108" s="21" t="n">
        <v>548.497</v>
      </c>
      <c r="JO108" s="21" t="n">
        <v>93.81399999999999</v>
      </c>
      <c r="JP108" s="21" t="n">
        <v>617.028</v>
      </c>
      <c r="JQ108" s="21" t="n">
        <v>278.12</v>
      </c>
      <c r="JR108" s="21" t="n">
        <v>178.564</v>
      </c>
      <c r="JS108" s="21" t="n">
        <v>543.1559999999999</v>
      </c>
      <c r="JT108" s="21" t="n"/>
      <c r="JU108" s="21" t="n">
        <v>385.609</v>
      </c>
      <c r="JV108" s="21" t="n">
        <v>221.196</v>
      </c>
      <c r="JW108" s="21" t="n">
        <v>418.684</v>
      </c>
      <c r="JX108" s="21" t="n">
        <v>322.395</v>
      </c>
      <c r="JY108" s="21" t="n">
        <v>87.92700000000001</v>
      </c>
      <c r="JZ108" s="21" t="n">
        <v>198.68</v>
      </c>
      <c r="KA108" s="21" t="n">
        <v>296.341</v>
      </c>
      <c r="KB108" s="21" t="n">
        <v>313.513</v>
      </c>
      <c r="KC108" s="21" t="n">
        <v>305.395</v>
      </c>
      <c r="KD108" s="21" t="n">
        <v>312.392</v>
      </c>
      <c r="KE108" s="21" t="n">
        <v>280.167</v>
      </c>
      <c r="KF108" s="21" t="n">
        <v>268.92</v>
      </c>
      <c r="KG108" s="21" t="n">
        <v>270.279</v>
      </c>
      <c r="KH108" s="21" t="n">
        <v>274.639</v>
      </c>
      <c r="KI108" s="21" t="n">
        <v>121.772</v>
      </c>
      <c r="KJ108" s="21" t="n">
        <v>223.421</v>
      </c>
      <c r="KK108" s="21" t="n">
        <v>179.991</v>
      </c>
      <c r="KL108" s="21" t="n">
        <v>176.28</v>
      </c>
      <c r="KM108" s="21" t="n">
        <v>166.254</v>
      </c>
      <c r="KN108" s="21" t="n">
        <v>163.764</v>
      </c>
      <c r="KO108" s="21" t="n">
        <v>313.939</v>
      </c>
      <c r="KP108" s="21" t="n">
        <v>125.181</v>
      </c>
      <c r="KQ108" s="21" t="n">
        <v>56.829</v>
      </c>
      <c r="KR108" s="21" t="n">
        <v>120.797</v>
      </c>
      <c r="KS108" s="21" t="n">
        <v>282.146</v>
      </c>
      <c r="KT108" s="21" t="n">
        <v>314.981</v>
      </c>
      <c r="KU108" s="21" t="n">
        <v>106.936</v>
      </c>
      <c r="KV108" s="21" t="n">
        <v>39.325</v>
      </c>
      <c r="KW108" s="21" t="n">
        <v>275.553</v>
      </c>
      <c r="KX108" s="21" t="n">
        <v>233.404</v>
      </c>
      <c r="KY108" s="21" t="n">
        <v>295.093</v>
      </c>
      <c r="KZ108" s="21" t="n">
        <v>230.063</v>
      </c>
      <c r="LA108" s="21" t="n">
        <v>297.528</v>
      </c>
      <c r="LB108" s="21" t="n">
        <v>138.311</v>
      </c>
      <c r="LC108" s="21" t="n">
        <v>407.725</v>
      </c>
      <c r="LD108" s="21" t="n">
        <v>84.81999999999999</v>
      </c>
      <c r="LE108" s="21" t="n">
        <v>146.775</v>
      </c>
      <c r="LF108" s="21" t="n">
        <v>405.9</v>
      </c>
      <c r="LG108" s="21" t="n">
        <v>391.551</v>
      </c>
      <c r="LH108" s="21" t="n">
        <v>404.695</v>
      </c>
      <c r="LI108" s="21" t="n">
        <v>375.849</v>
      </c>
      <c r="LJ108" s="21" t="n">
        <v>404.864</v>
      </c>
      <c r="LK108" s="21" t="n">
        <v>132.72</v>
      </c>
      <c r="LL108" s="21" t="n">
        <v>412.515</v>
      </c>
      <c r="LM108" s="21" t="n">
        <v>255.015</v>
      </c>
      <c r="LN108" s="21" t="n">
        <v>32.439</v>
      </c>
      <c r="LO108" s="21" t="n">
        <v>151.445</v>
      </c>
    </row>
    <row r="109">
      <c r="A109" s="22" t="n">
        <v>45261</v>
      </c>
      <c r="B109" s="21" t="n">
        <v>308.741</v>
      </c>
      <c r="C109" s="21" t="n">
        <v>323.891</v>
      </c>
      <c r="D109" s="21" t="n">
        <v>326.434</v>
      </c>
      <c r="E109" s="21" t="n">
        <v>304.505</v>
      </c>
      <c r="F109" s="21" t="n">
        <v>355.596</v>
      </c>
      <c r="G109" s="21" t="n">
        <v>285.534</v>
      </c>
      <c r="H109" s="21" t="n">
        <v>322.69</v>
      </c>
      <c r="I109" s="21" t="n">
        <v>273.819</v>
      </c>
      <c r="J109" s="21" t="n">
        <v>290.873</v>
      </c>
      <c r="K109" s="21" t="n">
        <v>395.119</v>
      </c>
      <c r="L109" s="21" t="n">
        <v>239.743</v>
      </c>
      <c r="M109" s="21" t="n">
        <v>235.434</v>
      </c>
      <c r="N109" s="21" t="n">
        <v>369.811</v>
      </c>
      <c r="O109" s="21" t="n">
        <v>347.391</v>
      </c>
      <c r="P109" s="21" t="n">
        <v>356.795</v>
      </c>
      <c r="Q109" s="21" t="n">
        <v>433.995</v>
      </c>
      <c r="R109" s="21" t="n">
        <v>348.385</v>
      </c>
      <c r="S109" s="21" t="n">
        <v>321.07</v>
      </c>
      <c r="T109" s="21" t="n">
        <v>324.862</v>
      </c>
      <c r="U109" s="21" t="n">
        <v>331.775</v>
      </c>
      <c r="V109" s="21" t="n">
        <v>416.145</v>
      </c>
      <c r="W109" s="21" t="n">
        <v>354.765</v>
      </c>
      <c r="X109" s="21" t="n">
        <v>334.187</v>
      </c>
      <c r="Y109" s="21" t="n">
        <v>282.993</v>
      </c>
      <c r="Z109" s="21" t="n">
        <v>265.255</v>
      </c>
      <c r="AA109" s="21" t="n">
        <v>199.05</v>
      </c>
      <c r="AB109" s="21" t="n">
        <v>373.606</v>
      </c>
      <c r="AC109" s="21" t="n">
        <v>181.458</v>
      </c>
      <c r="AD109" s="21" t="n">
        <v>250.268</v>
      </c>
      <c r="AE109" s="21" t="n">
        <v>277.558</v>
      </c>
      <c r="AF109" s="21" t="n">
        <v>240.258</v>
      </c>
      <c r="AG109" s="21" t="n">
        <v>159.032</v>
      </c>
      <c r="AH109" s="21" t="n">
        <v>288.272</v>
      </c>
      <c r="AI109" s="21" t="n">
        <v>302.068</v>
      </c>
      <c r="AJ109" s="21" t="n">
        <v>188.589</v>
      </c>
      <c r="AK109" s="21" t="n">
        <v>306.982</v>
      </c>
      <c r="AL109" s="21" t="n">
        <v>195.905</v>
      </c>
      <c r="AM109" s="21" t="n">
        <v>328.576</v>
      </c>
      <c r="AN109" s="21" t="n">
        <v>291.501</v>
      </c>
      <c r="AO109" s="21" t="n">
        <v>206.06</v>
      </c>
      <c r="AP109" s="21" t="n">
        <v>351.3</v>
      </c>
      <c r="AQ109" s="21" t="n">
        <v>218.341</v>
      </c>
      <c r="AR109" s="21" t="n">
        <v>174.437</v>
      </c>
      <c r="AS109" s="21" t="n">
        <v>256.219</v>
      </c>
      <c r="AT109" s="21" t="n">
        <v>364.155</v>
      </c>
      <c r="AU109" s="21" t="n">
        <v>276.455</v>
      </c>
      <c r="AV109" s="21" t="n">
        <v>267.889</v>
      </c>
      <c r="AW109" s="21" t="n">
        <v>176.731</v>
      </c>
      <c r="AX109" s="21" t="n">
        <v>254.406</v>
      </c>
      <c r="AY109" s="21" t="n">
        <v>182.948</v>
      </c>
      <c r="AZ109" s="21" t="n">
        <v>263.884</v>
      </c>
      <c r="BA109" s="21" t="n">
        <v>278.144</v>
      </c>
      <c r="BB109" s="21" t="n">
        <v>188.47</v>
      </c>
      <c r="BC109" s="21" t="n">
        <v>351.908</v>
      </c>
      <c r="BD109" s="21" t="n">
        <v>395.436</v>
      </c>
      <c r="BE109" s="21" t="n">
        <v>417.201</v>
      </c>
      <c r="BF109" s="21" t="n">
        <v>351.217</v>
      </c>
      <c r="BG109" s="21" t="n">
        <v>207.757</v>
      </c>
      <c r="BH109" s="21" t="n">
        <v>301.876</v>
      </c>
      <c r="BI109" s="21" t="n">
        <v>599.5</v>
      </c>
      <c r="BJ109" s="21" t="n">
        <v>142.837</v>
      </c>
      <c r="BK109" s="21" t="n">
        <v>371.109</v>
      </c>
      <c r="BL109" s="21" t="n">
        <v>425.859</v>
      </c>
      <c r="BM109" s="21" t="n">
        <v>376.499</v>
      </c>
      <c r="BN109" s="21" t="n">
        <v>351.18</v>
      </c>
      <c r="BO109" s="21" t="n">
        <v>369.183</v>
      </c>
      <c r="BP109" s="21" t="n">
        <v>203.165</v>
      </c>
      <c r="BQ109" s="21" t="n">
        <v>217.605</v>
      </c>
      <c r="BR109" s="21" t="n">
        <v>205.242</v>
      </c>
      <c r="BS109" s="21" t="n">
        <v>232.285</v>
      </c>
      <c r="BT109" s="21" t="n">
        <v>188.301</v>
      </c>
      <c r="BU109" s="21" t="n">
        <v>265.723</v>
      </c>
      <c r="BV109" s="21" t="n">
        <v>188.225</v>
      </c>
      <c r="BW109" s="21" t="n">
        <v>217.838</v>
      </c>
      <c r="BX109" s="21" t="n">
        <v>173.732</v>
      </c>
      <c r="BY109" s="21" t="n">
        <v>226.075</v>
      </c>
      <c r="BZ109" s="21" t="n">
        <v>153.618</v>
      </c>
      <c r="CA109" s="21" t="n">
        <v>141.283</v>
      </c>
      <c r="CB109" s="21" t="n">
        <v>234.009</v>
      </c>
      <c r="CC109" s="21" t="n">
        <v>246.478</v>
      </c>
      <c r="CD109" s="21" t="n">
        <v>156.322</v>
      </c>
      <c r="CE109" s="21" t="n">
        <v>271.974</v>
      </c>
      <c r="CF109" s="21" t="n">
        <v>285.602</v>
      </c>
      <c r="CG109" s="21" t="n">
        <v>264.52</v>
      </c>
      <c r="CH109" s="21" t="n">
        <v>193.635</v>
      </c>
      <c r="CI109" s="21" t="n">
        <v>191.783</v>
      </c>
      <c r="CJ109" s="21" t="n">
        <v>315.78</v>
      </c>
      <c r="CK109" s="21" t="n">
        <v>280.849</v>
      </c>
      <c r="CL109" s="21" t="n">
        <v>313.468</v>
      </c>
      <c r="CM109" s="21" t="n">
        <v>469.283</v>
      </c>
      <c r="CN109" s="21" t="n">
        <v>174.743</v>
      </c>
      <c r="CO109" s="21" t="n">
        <v>224.063</v>
      </c>
      <c r="CP109" s="21" t="n">
        <v>286.554</v>
      </c>
      <c r="CQ109" s="21" t="n">
        <v>312.289</v>
      </c>
      <c r="CR109" s="21" t="n">
        <v>212.466</v>
      </c>
      <c r="CS109" s="21" t="n">
        <v>313.557</v>
      </c>
      <c r="CT109" s="21" t="n">
        <v>308.036</v>
      </c>
      <c r="CU109" s="21" t="n">
        <v>187.541</v>
      </c>
      <c r="CV109" s="21" t="n">
        <v>188.691</v>
      </c>
      <c r="CW109" s="21" t="n">
        <v>185.486</v>
      </c>
      <c r="CX109" s="21" t="n">
        <v>339.968</v>
      </c>
      <c r="CY109" s="21" t="n">
        <v>170.224</v>
      </c>
      <c r="CZ109" s="21" t="n">
        <v>156.114</v>
      </c>
      <c r="DA109" s="21" t="n">
        <v>361.564</v>
      </c>
      <c r="DB109" s="21" t="n">
        <v>222.175</v>
      </c>
      <c r="DC109" s="21" t="n">
        <v>198.967</v>
      </c>
      <c r="DD109" s="21" t="n">
        <v>196.003</v>
      </c>
      <c r="DE109" s="21" t="n">
        <v>239.233</v>
      </c>
      <c r="DF109" s="21" t="n">
        <v>287.873</v>
      </c>
      <c r="DG109" s="21" t="n">
        <v>227.634</v>
      </c>
      <c r="DH109" s="21" t="n">
        <v>269.828</v>
      </c>
      <c r="DI109" s="21" t="n">
        <v>208.696</v>
      </c>
      <c r="DJ109" s="21" t="n">
        <v>221.566</v>
      </c>
      <c r="DK109" s="21" t="n">
        <v>204.625</v>
      </c>
      <c r="DL109" s="21" t="n">
        <v>182.164</v>
      </c>
      <c r="DM109" s="21" t="n">
        <v>426.268</v>
      </c>
      <c r="DN109" s="21" t="n">
        <v>236.702</v>
      </c>
      <c r="DO109" s="21" t="n">
        <v>326.52</v>
      </c>
      <c r="DP109" s="21" t="n">
        <v>390.139</v>
      </c>
      <c r="DQ109" s="21" t="n">
        <v>410.156</v>
      </c>
      <c r="DR109" s="21" t="n">
        <v>185.814</v>
      </c>
      <c r="DS109" s="21" t="n">
        <v>631.283</v>
      </c>
      <c r="DT109" s="21" t="n">
        <v>380.695</v>
      </c>
      <c r="DU109" s="21" t="n">
        <v>400.545</v>
      </c>
      <c r="DV109" s="21" t="n">
        <v>400.598</v>
      </c>
      <c r="DW109" s="21" t="n">
        <v>308.555</v>
      </c>
      <c r="DX109" s="21" t="n">
        <v>259.292</v>
      </c>
      <c r="DY109" s="21" t="n">
        <v>381.238</v>
      </c>
      <c r="DZ109" s="21" t="n">
        <v>391.886</v>
      </c>
      <c r="EA109" s="21" t="n">
        <v>427.114</v>
      </c>
      <c r="EB109" s="21" t="n">
        <v>263.033</v>
      </c>
      <c r="EC109" s="21" t="n">
        <v>274.016</v>
      </c>
      <c r="ED109" s="21" t="n">
        <v>225.076</v>
      </c>
      <c r="EE109" s="21" t="n">
        <v>292.915</v>
      </c>
      <c r="EF109" s="21" t="n">
        <v>669.069</v>
      </c>
      <c r="EG109" s="21" t="n">
        <v>602.164</v>
      </c>
      <c r="EH109" s="21" t="n">
        <v>147.492</v>
      </c>
      <c r="EI109" s="21" t="n">
        <v>60.585</v>
      </c>
      <c r="EJ109" s="21" t="n">
        <v>78.729</v>
      </c>
      <c r="EK109" s="21" t="n">
        <v>41.081</v>
      </c>
      <c r="EL109" s="21" t="n">
        <v>131.895</v>
      </c>
      <c r="EM109" s="21" t="n">
        <v>80.92100000000001</v>
      </c>
      <c r="EN109" s="21" t="n">
        <v>85.712</v>
      </c>
      <c r="EO109" s="21" t="n">
        <v>91.672</v>
      </c>
      <c r="EP109" s="21" t="n">
        <v>101.376</v>
      </c>
      <c r="EQ109" s="21" t="n">
        <v>75.374</v>
      </c>
      <c r="ER109" s="21" t="n">
        <v>54.617</v>
      </c>
      <c r="ES109" s="21" t="n">
        <v>155.181</v>
      </c>
      <c r="ET109" s="21" t="n">
        <v>79.55500000000001</v>
      </c>
      <c r="EU109" s="21" t="n">
        <v>112.161</v>
      </c>
      <c r="EV109" s="21" t="n">
        <v>123.155</v>
      </c>
      <c r="EW109" s="21" t="n">
        <v>107.771</v>
      </c>
      <c r="EX109" s="21" t="n">
        <v>233.628</v>
      </c>
      <c r="EY109" s="21" t="n">
        <v>148.324</v>
      </c>
      <c r="EZ109" s="21" t="n">
        <v>139.047</v>
      </c>
      <c r="FA109" s="21" t="n">
        <v>196.836</v>
      </c>
      <c r="FB109" s="21" t="n">
        <v>129.942</v>
      </c>
      <c r="FC109" s="21" t="n">
        <v>125.804</v>
      </c>
      <c r="FD109" s="21" t="n">
        <v>129.415</v>
      </c>
      <c r="FE109" s="21" t="n">
        <v>100.025</v>
      </c>
      <c r="FF109" s="21" t="n">
        <v>181.234</v>
      </c>
      <c r="FG109" s="21" t="n">
        <v>80.008</v>
      </c>
      <c r="FH109" s="21" t="n">
        <v>132.277</v>
      </c>
      <c r="FI109" s="21" t="n">
        <v>111.899</v>
      </c>
      <c r="FJ109" s="21" t="n">
        <v>108.612</v>
      </c>
      <c r="FK109" s="21" t="n">
        <v>110.413</v>
      </c>
      <c r="FL109" s="21" t="n">
        <v>101.648</v>
      </c>
      <c r="FM109" s="21" t="n">
        <v>105.76</v>
      </c>
      <c r="FN109" s="21" t="n">
        <v>75.315</v>
      </c>
      <c r="FO109" s="21" t="n">
        <v>113.01</v>
      </c>
      <c r="FP109" s="21" t="n">
        <v>99.58199999999999</v>
      </c>
      <c r="FQ109" s="21" t="n">
        <v>144.848</v>
      </c>
      <c r="FR109" s="21" t="n">
        <v>150.684</v>
      </c>
      <c r="FS109" s="21" t="n">
        <v>160.993</v>
      </c>
      <c r="FT109" s="21" t="n">
        <v>131.806</v>
      </c>
      <c r="FU109" s="21" t="n">
        <v>124.201</v>
      </c>
      <c r="FV109" s="21" t="n">
        <v>197.458</v>
      </c>
      <c r="FW109" s="21" t="n">
        <v>152.967</v>
      </c>
      <c r="FX109" s="21" t="n">
        <v>197.003</v>
      </c>
      <c r="FY109" s="21" t="n">
        <v>269.187</v>
      </c>
      <c r="FZ109" s="21" t="n">
        <v>269.188</v>
      </c>
      <c r="GA109" s="21" t="n">
        <v>127.336</v>
      </c>
      <c r="GB109" s="21" t="n">
        <v>179.259</v>
      </c>
      <c r="GC109" s="21" t="n"/>
      <c r="GD109" s="21" t="n">
        <v>174.33</v>
      </c>
      <c r="GE109" s="21" t="n">
        <v>191.258</v>
      </c>
      <c r="GF109" s="21" t="n"/>
      <c r="GG109" s="21" t="n">
        <v>190.57</v>
      </c>
      <c r="GH109" s="21" t="n"/>
      <c r="GI109" s="21" t="n">
        <v>168.034</v>
      </c>
      <c r="GJ109" s="21" t="n">
        <v>305.126</v>
      </c>
      <c r="GK109" s="21" t="n">
        <v>303.319</v>
      </c>
      <c r="GL109" s="21" t="n">
        <v>296.135</v>
      </c>
      <c r="GM109" s="21" t="n">
        <v>332.94</v>
      </c>
      <c r="GN109" s="21" t="n">
        <v>328.559</v>
      </c>
      <c r="GO109" s="21" t="n">
        <v>300.47</v>
      </c>
      <c r="GP109" s="21" t="n">
        <v>179.178</v>
      </c>
      <c r="GQ109" s="21" t="n">
        <v>151.986</v>
      </c>
      <c r="GR109" s="21" t="n">
        <v>392.897</v>
      </c>
      <c r="GS109" s="21" t="n">
        <v>258.363</v>
      </c>
      <c r="GT109" s="21" t="n">
        <v>783.8819999999999</v>
      </c>
      <c r="GU109" s="21" t="n">
        <v>228.652</v>
      </c>
      <c r="GV109" s="21" t="n">
        <v>268.639</v>
      </c>
      <c r="GW109" s="21" t="n">
        <v>256.728</v>
      </c>
      <c r="GX109" s="21" t="n">
        <v>252.3</v>
      </c>
      <c r="GY109" s="21" t="n">
        <v>158.704</v>
      </c>
      <c r="GZ109" s="21" t="n"/>
      <c r="HA109" s="21" t="n">
        <v>65.61499999999999</v>
      </c>
      <c r="HB109" s="21" t="n">
        <v>554.4059999999999</v>
      </c>
      <c r="HC109" s="21" t="n">
        <v>410.365</v>
      </c>
      <c r="HD109" s="21" t="n">
        <v>134.022</v>
      </c>
      <c r="HE109" s="21" t="n">
        <v>552.625</v>
      </c>
      <c r="HF109" s="21" t="n">
        <v>110.651</v>
      </c>
      <c r="HG109" s="21" t="n">
        <v>600.691</v>
      </c>
      <c r="HH109" s="21" t="n">
        <v>422.433</v>
      </c>
      <c r="HI109" s="21" t="n">
        <v>412.93</v>
      </c>
      <c r="HJ109" s="21" t="n">
        <v>588.478</v>
      </c>
      <c r="HK109" s="21" t="n">
        <v>204.366</v>
      </c>
      <c r="HL109" s="21" t="n">
        <v>259.16</v>
      </c>
      <c r="HM109" s="21" t="n">
        <v>96.16200000000001</v>
      </c>
      <c r="HN109" s="21" t="n">
        <v>404.407</v>
      </c>
      <c r="HO109" s="21" t="n">
        <v>388.542</v>
      </c>
      <c r="HP109" s="21" t="n">
        <v>886.629</v>
      </c>
      <c r="HQ109" s="21" t="n">
        <v>276.933</v>
      </c>
      <c r="HR109" s="21" t="n">
        <v>137.236</v>
      </c>
      <c r="HS109" s="21" t="n">
        <v>116.397</v>
      </c>
      <c r="HT109" s="21" t="n">
        <v>105.899</v>
      </c>
      <c r="HU109" s="21" t="n">
        <v>580.0599999999999</v>
      </c>
      <c r="HV109" s="21" t="n">
        <v>108.567</v>
      </c>
      <c r="HW109" s="21" t="n">
        <v>23.689</v>
      </c>
      <c r="HX109" s="21" t="n">
        <v>220.162</v>
      </c>
      <c r="HY109" s="21" t="n">
        <v>240.924</v>
      </c>
      <c r="HZ109" s="21" t="n">
        <v>192.123</v>
      </c>
      <c r="IA109" s="21" t="n">
        <v>129.506</v>
      </c>
      <c r="IB109" s="21" t="n">
        <v>331.297</v>
      </c>
      <c r="IC109" s="21" t="n">
        <v>234.022</v>
      </c>
      <c r="ID109" s="21" t="n">
        <v>356.115</v>
      </c>
      <c r="IE109" s="21" t="n">
        <v>124.807</v>
      </c>
      <c r="IF109" s="21" t="n">
        <v>172.509</v>
      </c>
      <c r="IG109" s="21" t="n">
        <v>85.108</v>
      </c>
      <c r="IH109" s="21" t="n">
        <v>87.336</v>
      </c>
      <c r="II109" s="21" t="n">
        <v>65.837</v>
      </c>
      <c r="IJ109" s="21" t="n">
        <v>27.266</v>
      </c>
      <c r="IK109" s="21" t="n">
        <v>33.725</v>
      </c>
      <c r="IL109" s="21" t="n">
        <v>28.549</v>
      </c>
      <c r="IM109" s="21" t="n">
        <v>38.37</v>
      </c>
      <c r="IN109" s="21" t="n">
        <v>112.273</v>
      </c>
      <c r="IO109" s="21" t="n">
        <v>119.1</v>
      </c>
      <c r="IP109" s="21" t="n">
        <v>199.064</v>
      </c>
      <c r="IQ109" s="21" t="n">
        <v>159.853</v>
      </c>
      <c r="IR109" s="21" t="n">
        <v>464.973</v>
      </c>
      <c r="IS109" s="21" t="n">
        <v>223.66</v>
      </c>
      <c r="IT109" s="21" t="n">
        <v>263.849</v>
      </c>
      <c r="IU109" s="21" t="n">
        <v>392.422</v>
      </c>
      <c r="IV109" s="21" t="n">
        <v>285.502</v>
      </c>
      <c r="IW109" s="21" t="n">
        <v>144.748</v>
      </c>
      <c r="IX109" s="21" t="n">
        <v>293.579</v>
      </c>
      <c r="IY109" s="21" t="n">
        <v>694.59</v>
      </c>
      <c r="IZ109" s="21" t="n">
        <v>845.5119999999999</v>
      </c>
      <c r="JA109" s="21" t="n">
        <v>924.808</v>
      </c>
      <c r="JB109" s="21" t="n">
        <v>95.512</v>
      </c>
      <c r="JC109" s="21" t="n">
        <v>355.745</v>
      </c>
      <c r="JD109" s="21" t="n">
        <v>273.77</v>
      </c>
      <c r="JE109" s="21" t="n">
        <v>74.233</v>
      </c>
      <c r="JF109" s="21" t="n">
        <v>228.888</v>
      </c>
      <c r="JG109" s="21" t="n">
        <v>353.849</v>
      </c>
      <c r="JH109" s="21" t="n">
        <v>418.836</v>
      </c>
      <c r="JI109" s="21" t="n">
        <v>69.90600000000001</v>
      </c>
      <c r="JJ109" s="21" t="n">
        <v>103.81</v>
      </c>
      <c r="JK109" s="21" t="n">
        <v>35.773</v>
      </c>
      <c r="JL109" s="21" t="n">
        <v>84.319</v>
      </c>
      <c r="JM109" s="21" t="n">
        <v>111.038</v>
      </c>
      <c r="JN109" s="21" t="n">
        <v>549.002</v>
      </c>
      <c r="JO109" s="21" t="n">
        <v>93.75700000000001</v>
      </c>
      <c r="JP109" s="21" t="n">
        <v>615.331</v>
      </c>
      <c r="JQ109" s="21" t="n">
        <v>278.474</v>
      </c>
      <c r="JR109" s="21" t="n">
        <v>177.924</v>
      </c>
      <c r="JS109" s="21" t="n">
        <v>543.85</v>
      </c>
      <c r="JT109" s="21" t="n"/>
      <c r="JU109" s="21" t="n">
        <v>387.561</v>
      </c>
      <c r="JV109" s="21" t="n">
        <v>222.115</v>
      </c>
      <c r="JW109" s="21" t="n">
        <v>417.974</v>
      </c>
      <c r="JX109" s="21" t="n"/>
      <c r="JY109" s="21" t="n">
        <v>87.727</v>
      </c>
      <c r="JZ109" s="21" t="n">
        <v>198.451</v>
      </c>
      <c r="KA109" s="21" t="n">
        <v>296.868</v>
      </c>
      <c r="KB109" s="21" t="n">
        <v>314.273</v>
      </c>
      <c r="KC109" s="21" t="n">
        <v>306</v>
      </c>
      <c r="KD109" s="21" t="n">
        <v>313.195</v>
      </c>
      <c r="KE109" s="21" t="n">
        <v>280.367</v>
      </c>
      <c r="KF109" s="21" t="n">
        <v>269.055</v>
      </c>
      <c r="KG109" s="21" t="n">
        <v>270.638</v>
      </c>
      <c r="KH109" s="21" t="n">
        <v>274.926</v>
      </c>
      <c r="KI109" s="21" t="n">
        <v>121.676</v>
      </c>
      <c r="KJ109" s="21" t="n">
        <v>223.177</v>
      </c>
      <c r="KK109" s="21" t="n">
        <v>179.533</v>
      </c>
      <c r="KL109" s="21" t="n">
        <v>175.813</v>
      </c>
      <c r="KM109" s="21" t="n">
        <v>166.117</v>
      </c>
      <c r="KN109" s="21" t="n">
        <v>163.472</v>
      </c>
      <c r="KO109" s="21" t="n">
        <v>313.71</v>
      </c>
      <c r="KP109" s="21" t="n">
        <v>124.994</v>
      </c>
      <c r="KQ109" s="21" t="n">
        <v>56.624</v>
      </c>
      <c r="KR109" s="21" t="n">
        <v>121.028</v>
      </c>
      <c r="KS109" s="21" t="n">
        <v>280.763</v>
      </c>
      <c r="KT109" s="21" t="n">
        <v>311.009</v>
      </c>
      <c r="KU109" s="21" t="n">
        <v>106.545</v>
      </c>
      <c r="KV109" s="21" t="n">
        <v>39.095</v>
      </c>
      <c r="KW109" s="21" t="n">
        <v>275.533</v>
      </c>
      <c r="KX109" s="21" t="n">
        <v>233.118</v>
      </c>
      <c r="KY109" s="21" t="n">
        <v>294.467</v>
      </c>
      <c r="KZ109" s="21" t="n">
        <v>229.716</v>
      </c>
      <c r="LA109" s="21" t="n">
        <v>296.755</v>
      </c>
      <c r="LB109" s="21" t="n">
        <v>138.004</v>
      </c>
      <c r="LC109" s="21" t="n">
        <v>409.551</v>
      </c>
      <c r="LD109" s="21" t="n">
        <v>84.372</v>
      </c>
      <c r="LE109" s="21" t="n">
        <v>148.24</v>
      </c>
      <c r="LF109" s="21" t="n">
        <v>407.646</v>
      </c>
      <c r="LG109" s="21" t="n">
        <v>392.964</v>
      </c>
      <c r="LH109" s="21" t="n">
        <v>406.159</v>
      </c>
      <c r="LI109" s="21" t="n">
        <v>377.388</v>
      </c>
      <c r="LJ109" s="21" t="n">
        <v>406.716</v>
      </c>
      <c r="LK109" s="21" t="n">
        <v>133.073</v>
      </c>
      <c r="LL109" s="21" t="n">
        <v>412.184</v>
      </c>
      <c r="LM109" s="21" t="n">
        <v>255.573</v>
      </c>
      <c r="LN109" s="21" t="n">
        <v>31.919</v>
      </c>
      <c r="LO109" s="21" t="n">
        <v>152.311</v>
      </c>
    </row>
    <row r="110">
      <c r="A110" s="22" t="n">
        <v>45292</v>
      </c>
      <c r="B110" s="21" t="n">
        <v>309.698</v>
      </c>
      <c r="C110" s="21" t="n">
        <v>324.873</v>
      </c>
      <c r="D110" s="21" t="n">
        <v>327.424</v>
      </c>
      <c r="E110" s="21" t="n">
        <v>305.187</v>
      </c>
      <c r="F110" s="21" t="n">
        <v>355.601</v>
      </c>
      <c r="G110" s="21" t="n">
        <v>285.492</v>
      </c>
      <c r="H110" s="21" t="n">
        <v>320.705</v>
      </c>
      <c r="I110" s="21" t="n">
        <v>271.667</v>
      </c>
      <c r="J110" s="21" t="n">
        <v>291.717</v>
      </c>
      <c r="K110" s="21" t="n">
        <v>395.688</v>
      </c>
      <c r="L110" s="21" t="n">
        <v>240.416</v>
      </c>
      <c r="M110" s="21" t="n">
        <v>235.808</v>
      </c>
      <c r="N110" s="21" t="n">
        <v>370.172</v>
      </c>
      <c r="O110" s="21" t="n">
        <v>348.565</v>
      </c>
      <c r="P110" s="21" t="n">
        <v>354.536</v>
      </c>
      <c r="Q110" s="21" t="n">
        <v>429.433</v>
      </c>
      <c r="R110" s="21" t="n">
        <v>346.217</v>
      </c>
      <c r="S110" s="21" t="n">
        <v>321.074</v>
      </c>
      <c r="T110" s="21" t="n">
        <v>324.823</v>
      </c>
      <c r="U110" s="21" t="n">
        <v>331.897</v>
      </c>
      <c r="V110" s="21" t="n">
        <v>416.31</v>
      </c>
      <c r="W110" s="21" t="n">
        <v>353.643</v>
      </c>
      <c r="X110" s="21" t="n">
        <v>335.295</v>
      </c>
      <c r="Y110" s="21" t="n">
        <v>282.949</v>
      </c>
      <c r="Z110" s="21" t="n">
        <v>264.605</v>
      </c>
      <c r="AA110" s="21" t="n">
        <v>198.297</v>
      </c>
      <c r="AB110" s="21" t="n">
        <v>369.111</v>
      </c>
      <c r="AC110" s="21" t="n">
        <v>182.185</v>
      </c>
      <c r="AD110" s="21" t="n">
        <v>245.72</v>
      </c>
      <c r="AE110" s="21" t="n">
        <v>272.151</v>
      </c>
      <c r="AF110" s="21" t="n">
        <v>241.303</v>
      </c>
      <c r="AG110" s="21" t="n">
        <v>158.425</v>
      </c>
      <c r="AH110" s="21" t="n">
        <v>289.327</v>
      </c>
      <c r="AI110" s="21" t="n">
        <v>307.322</v>
      </c>
      <c r="AJ110" s="21" t="n">
        <v>187.12</v>
      </c>
      <c r="AK110" s="21" t="n">
        <v>308.479</v>
      </c>
      <c r="AL110" s="21" t="n">
        <v>196.962</v>
      </c>
      <c r="AM110" s="21" t="n">
        <v>331.576</v>
      </c>
      <c r="AN110" s="21" t="n">
        <v>292.669</v>
      </c>
      <c r="AO110" s="21" t="n">
        <v>206.64</v>
      </c>
      <c r="AP110" s="21" t="n">
        <v>348.419</v>
      </c>
      <c r="AQ110" s="21" t="n">
        <v>218.637</v>
      </c>
      <c r="AR110" s="21" t="n">
        <v>172.914</v>
      </c>
      <c r="AS110" s="21" t="n">
        <v>246.535</v>
      </c>
      <c r="AT110" s="21" t="n">
        <v>365.583</v>
      </c>
      <c r="AU110" s="21" t="n">
        <v>277.004</v>
      </c>
      <c r="AV110" s="21" t="n">
        <v>268.941</v>
      </c>
      <c r="AW110" s="21" t="n">
        <v>175.241</v>
      </c>
      <c r="AX110" s="21" t="n">
        <v>251.813</v>
      </c>
      <c r="AY110" s="21" t="n">
        <v>181.357</v>
      </c>
      <c r="AZ110" s="21" t="n">
        <v>266.477</v>
      </c>
      <c r="BA110" s="21" t="n">
        <v>273.594</v>
      </c>
      <c r="BB110" s="21" t="n">
        <v>190.255</v>
      </c>
      <c r="BC110" s="21" t="n">
        <v>352.577</v>
      </c>
      <c r="BD110" s="21" t="n">
        <v>396.494</v>
      </c>
      <c r="BE110" s="21" t="n">
        <v>411.475</v>
      </c>
      <c r="BF110" s="21" t="n">
        <v>345.387</v>
      </c>
      <c r="BG110" s="21" t="n">
        <v>204.602</v>
      </c>
      <c r="BH110" s="21" t="n">
        <v>297.128</v>
      </c>
      <c r="BI110" s="21" t="n">
        <v>586.044</v>
      </c>
      <c r="BJ110" s="21" t="n">
        <v>142.658</v>
      </c>
      <c r="BK110" s="21" t="n">
        <v>379.324</v>
      </c>
      <c r="BL110" s="21" t="n">
        <v>429.849</v>
      </c>
      <c r="BM110" s="21" t="n">
        <v>381.274</v>
      </c>
      <c r="BN110" s="21" t="n">
        <v>364.567</v>
      </c>
      <c r="BO110" s="21" t="n">
        <v>376.395</v>
      </c>
      <c r="BP110" s="21" t="n">
        <v>203.189</v>
      </c>
      <c r="BQ110" s="21" t="n">
        <v>216.933</v>
      </c>
      <c r="BR110" s="21" t="n">
        <v>202.795</v>
      </c>
      <c r="BS110" s="21" t="n">
        <v>232.355</v>
      </c>
      <c r="BT110" s="21" t="n">
        <v>188.624</v>
      </c>
      <c r="BU110" s="21" t="n">
        <v>267.021</v>
      </c>
      <c r="BV110" s="21" t="n">
        <v>189.56</v>
      </c>
      <c r="BW110" s="21" t="n">
        <v>219.43</v>
      </c>
      <c r="BX110" s="21" t="n">
        <v>175.414</v>
      </c>
      <c r="BY110" s="21" t="n">
        <v>227.747</v>
      </c>
      <c r="BZ110" s="21" t="n">
        <v>155.28</v>
      </c>
      <c r="CA110" s="21" t="n">
        <v>141.841</v>
      </c>
      <c r="CB110" s="21" t="n">
        <v>235.693</v>
      </c>
      <c r="CC110" s="21" t="n">
        <v>248.751</v>
      </c>
      <c r="CD110" s="21" t="n">
        <v>156.204</v>
      </c>
      <c r="CE110" s="21" t="n">
        <v>272.596</v>
      </c>
      <c r="CF110" s="21" t="n">
        <v>285.877</v>
      </c>
      <c r="CG110" s="21" t="n">
        <v>265.822</v>
      </c>
      <c r="CH110" s="21" t="n">
        <v>193.577</v>
      </c>
      <c r="CI110" s="21" t="n">
        <v>192.426</v>
      </c>
      <c r="CJ110" s="21" t="n">
        <v>315.339</v>
      </c>
      <c r="CK110" s="21" t="n">
        <v>280.774</v>
      </c>
      <c r="CL110" s="21" t="n">
        <v>313.759</v>
      </c>
      <c r="CM110" s="21" t="n">
        <v>471.836</v>
      </c>
      <c r="CN110" s="21" t="n">
        <v>174.534</v>
      </c>
      <c r="CO110" s="21" t="n">
        <v>223.633</v>
      </c>
      <c r="CP110" s="21" t="n">
        <v>287.438</v>
      </c>
      <c r="CQ110" s="21" t="n">
        <v>314.961</v>
      </c>
      <c r="CR110" s="21" t="n">
        <v>213.167</v>
      </c>
      <c r="CS110" s="21" t="n">
        <v>313.822</v>
      </c>
      <c r="CT110" s="21" t="n">
        <v>310.817</v>
      </c>
      <c r="CU110" s="21" t="n">
        <v>188.496</v>
      </c>
      <c r="CV110" s="21" t="n">
        <v>188.413</v>
      </c>
      <c r="CW110" s="21" t="n">
        <v>186.488</v>
      </c>
      <c r="CX110" s="21" t="n">
        <v>350.698</v>
      </c>
      <c r="CY110" s="21" t="n">
        <v>169.685</v>
      </c>
      <c r="CZ110" s="21" t="n">
        <v>156.32</v>
      </c>
      <c r="DA110" s="21" t="n">
        <v>363.249</v>
      </c>
      <c r="DB110" s="21" t="n">
        <v>222.981</v>
      </c>
      <c r="DC110" s="21" t="n">
        <v>198.737</v>
      </c>
      <c r="DD110" s="21" t="n">
        <v>196.001</v>
      </c>
      <c r="DE110" s="21" t="n">
        <v>240.419</v>
      </c>
      <c r="DF110" s="21" t="n">
        <v>288.758</v>
      </c>
      <c r="DG110" s="21" t="n">
        <v>228.098</v>
      </c>
      <c r="DH110" s="21" t="n">
        <v>271.719</v>
      </c>
      <c r="DI110" s="21" t="n">
        <v>208.652</v>
      </c>
      <c r="DJ110" s="21" t="n">
        <v>223.133</v>
      </c>
      <c r="DK110" s="21" t="n">
        <v>203.295</v>
      </c>
      <c r="DL110" s="21" t="n">
        <v>182.467</v>
      </c>
      <c r="DM110" s="21" t="n">
        <v>426.445</v>
      </c>
      <c r="DN110" s="21" t="n">
        <v>236.501</v>
      </c>
      <c r="DO110" s="21" t="n">
        <v>328.419</v>
      </c>
      <c r="DP110" s="21" t="n">
        <v>392.322</v>
      </c>
      <c r="DQ110" s="21" t="n">
        <v>411.6</v>
      </c>
      <c r="DR110" s="21" t="n">
        <v>187.565</v>
      </c>
      <c r="DS110" s="21" t="n">
        <v>632.927</v>
      </c>
      <c r="DT110" s="21" t="n">
        <v>386.087</v>
      </c>
      <c r="DU110" s="21" t="n">
        <v>402.591</v>
      </c>
      <c r="DV110" s="21" t="n">
        <v>402.646</v>
      </c>
      <c r="DW110" s="21" t="n">
        <v>312.362</v>
      </c>
      <c r="DX110" s="21" t="n">
        <v>262.363</v>
      </c>
      <c r="DY110" s="21" t="n">
        <v>372.852</v>
      </c>
      <c r="DZ110" s="21" t="n">
        <v>380.763</v>
      </c>
      <c r="EA110" s="21" t="n">
        <v>426.927</v>
      </c>
      <c r="EB110" s="21" t="n">
        <v>266.613</v>
      </c>
      <c r="EC110" s="21" t="n">
        <v>277.305</v>
      </c>
      <c r="ED110" s="21" t="n">
        <v>229.221</v>
      </c>
      <c r="EE110" s="21" t="n">
        <v>297.079</v>
      </c>
      <c r="EF110" s="21" t="n">
        <v>680.466</v>
      </c>
      <c r="EG110" s="21" t="n">
        <v>606.773</v>
      </c>
      <c r="EH110" s="21" t="n">
        <v>147.788</v>
      </c>
      <c r="EI110" s="21" t="n">
        <v>60.327</v>
      </c>
      <c r="EJ110" s="21" t="n">
        <v>78.434</v>
      </c>
      <c r="EK110" s="21" t="n">
        <v>41.119</v>
      </c>
      <c r="EL110" s="21" t="n">
        <v>133.656</v>
      </c>
      <c r="EM110" s="21" t="n">
        <v>81.53400000000001</v>
      </c>
      <c r="EN110" s="21" t="n">
        <v>86.047</v>
      </c>
      <c r="EO110" s="21" t="n">
        <v>92.92700000000001</v>
      </c>
      <c r="EP110" s="21" t="n">
        <v>104.462</v>
      </c>
      <c r="EQ110" s="21" t="n">
        <v>75.164</v>
      </c>
      <c r="ER110" s="21" t="n">
        <v>54.307</v>
      </c>
      <c r="ES110" s="21" t="n">
        <v>156.418</v>
      </c>
      <c r="ET110" s="21" t="n">
        <v>78.84699999999999</v>
      </c>
      <c r="EU110" s="21" t="n">
        <v>111.346</v>
      </c>
      <c r="EV110" s="21" t="n">
        <v>121.775</v>
      </c>
      <c r="EW110" s="21" t="n">
        <v>107.407</v>
      </c>
      <c r="EX110" s="21" t="n">
        <v>234.64</v>
      </c>
      <c r="EY110" s="21" t="n">
        <v>149.099</v>
      </c>
      <c r="EZ110" s="21" t="n">
        <v>139.763</v>
      </c>
      <c r="FA110" s="21" t="n">
        <v>195.217</v>
      </c>
      <c r="FB110" s="21" t="n">
        <v>129.685</v>
      </c>
      <c r="FC110" s="21" t="n">
        <v>127.388</v>
      </c>
      <c r="FD110" s="21" t="n">
        <v>131.184</v>
      </c>
      <c r="FE110" s="21" t="n">
        <v>100.217</v>
      </c>
      <c r="FF110" s="21" t="n">
        <v>183.867</v>
      </c>
      <c r="FG110" s="21" t="n">
        <v>80.871</v>
      </c>
      <c r="FH110" s="21" t="n">
        <v>134.745</v>
      </c>
      <c r="FI110" s="21" t="n">
        <v>112.23</v>
      </c>
      <c r="FJ110" s="21" t="n">
        <v>107.749</v>
      </c>
      <c r="FK110" s="21" t="n">
        <v>110.175</v>
      </c>
      <c r="FL110" s="21" t="n">
        <v>100.139</v>
      </c>
      <c r="FM110" s="21" t="n">
        <v>105.317</v>
      </c>
      <c r="FN110" s="21" t="n">
        <v>75.46299999999999</v>
      </c>
      <c r="FO110" s="21" t="n">
        <v>113.891</v>
      </c>
      <c r="FP110" s="21" t="n">
        <v>94.935</v>
      </c>
      <c r="FQ110" s="21" t="n">
        <v>143.856</v>
      </c>
      <c r="FR110" s="21" t="n">
        <v>148.235</v>
      </c>
      <c r="FS110" s="21" t="n">
        <v>161.174</v>
      </c>
      <c r="FT110" s="21" t="n">
        <v>131.481</v>
      </c>
      <c r="FU110" s="21" t="n">
        <v>122.982</v>
      </c>
      <c r="FV110" s="21" t="n">
        <v>197.348</v>
      </c>
      <c r="FW110" s="21" t="n">
        <v>156.862</v>
      </c>
      <c r="FX110" s="21" t="n">
        <v>195.538</v>
      </c>
      <c r="FY110" s="21" t="n">
        <v>267.931</v>
      </c>
      <c r="FZ110" s="21" t="n">
        <v>267.589</v>
      </c>
      <c r="GA110" s="21" t="n">
        <v>125.309</v>
      </c>
      <c r="GB110" s="21" t="n">
        <v>179.147</v>
      </c>
      <c r="GC110" s="21" t="n"/>
      <c r="GD110" s="21" t="n">
        <v>174.547</v>
      </c>
      <c r="GE110" s="21" t="n">
        <v>191.081</v>
      </c>
      <c r="GF110" s="21" t="n"/>
      <c r="GG110" s="21" t="n">
        <v>183.189</v>
      </c>
      <c r="GH110" s="21" t="n">
        <v>109.689</v>
      </c>
      <c r="GI110" s="21" t="n">
        <v>167.477</v>
      </c>
      <c r="GJ110" s="21" t="n">
        <v>298.744</v>
      </c>
      <c r="GK110" s="21" t="n">
        <v>297.154</v>
      </c>
      <c r="GL110" s="21" t="n">
        <v>289.777</v>
      </c>
      <c r="GM110" s="21" t="n">
        <v>327.662</v>
      </c>
      <c r="GN110" s="21" t="n">
        <v>323.916</v>
      </c>
      <c r="GO110" s="21" t="n">
        <v>288.702</v>
      </c>
      <c r="GP110" s="21" t="n">
        <v>180.393</v>
      </c>
      <c r="GQ110" s="21" t="n">
        <v>153.148</v>
      </c>
      <c r="GR110" s="21" t="n">
        <v>396.004</v>
      </c>
      <c r="GS110" s="21" t="n">
        <v>259.694</v>
      </c>
      <c r="GT110" s="21" t="n">
        <v>794.855</v>
      </c>
      <c r="GU110" s="21" t="n">
        <v>232.923</v>
      </c>
      <c r="GV110" s="21" t="n">
        <v>271.979</v>
      </c>
      <c r="GW110" s="21" t="n">
        <v>259.616</v>
      </c>
      <c r="GX110" s="21" t="n">
        <v>255.911</v>
      </c>
      <c r="GY110" s="21" t="n">
        <v>158.358</v>
      </c>
      <c r="GZ110" s="21" t="n"/>
      <c r="HA110" s="21" t="n">
        <v>66.979</v>
      </c>
      <c r="HB110" s="21" t="n">
        <v>556.741</v>
      </c>
      <c r="HC110" s="21" t="n">
        <v>407.879</v>
      </c>
      <c r="HD110" s="21" t="n">
        <v>133.302</v>
      </c>
      <c r="HE110" s="21" t="n">
        <v>548.245</v>
      </c>
      <c r="HF110" s="21" t="n">
        <v>111.551</v>
      </c>
      <c r="HG110" s="21" t="n">
        <v>604.626</v>
      </c>
      <c r="HH110" s="21" t="n">
        <v>424.531</v>
      </c>
      <c r="HI110" s="21" t="n">
        <v>415.427</v>
      </c>
      <c r="HJ110" s="21" t="n">
        <v>590.616</v>
      </c>
      <c r="HK110" s="21" t="n">
        <v>204.385</v>
      </c>
      <c r="HL110" s="21" t="n">
        <v>260.839</v>
      </c>
      <c r="HM110" s="21" t="n">
        <v>97.69199999999999</v>
      </c>
      <c r="HN110" s="21" t="n">
        <v>410.695</v>
      </c>
      <c r="HO110" s="21" t="n">
        <v>394.389</v>
      </c>
      <c r="HP110" s="21" t="n">
        <v>904.516</v>
      </c>
      <c r="HQ110" s="21" t="n">
        <v>282.478</v>
      </c>
      <c r="HR110" s="21" t="n">
        <v>137.798</v>
      </c>
      <c r="HS110" s="21" t="n">
        <v>116.84</v>
      </c>
      <c r="HT110" s="21" t="n">
        <v>106.775</v>
      </c>
      <c r="HU110" s="21" t="n">
        <v>579.7329999999999</v>
      </c>
      <c r="HV110" s="21" t="n">
        <v>108.692</v>
      </c>
      <c r="HW110" s="21" t="n">
        <v>24.307</v>
      </c>
      <c r="HX110" s="21" t="n">
        <v>220.789</v>
      </c>
      <c r="HY110" s="21" t="n">
        <v>241.19</v>
      </c>
      <c r="HZ110" s="21" t="n">
        <v>191.939</v>
      </c>
      <c r="IA110" s="21" t="n">
        <v>130.418</v>
      </c>
      <c r="IB110" s="21" t="n">
        <v>333.304</v>
      </c>
      <c r="IC110" s="21" t="n">
        <v>245.669</v>
      </c>
      <c r="ID110" s="21" t="n">
        <v>355.679</v>
      </c>
      <c r="IE110" s="21" t="n">
        <v>127.326</v>
      </c>
      <c r="IF110" s="21" t="n">
        <v>177.3</v>
      </c>
      <c r="IG110" s="21" t="n">
        <v>85.59099999999999</v>
      </c>
      <c r="IH110" s="21" t="n">
        <v>88.366</v>
      </c>
      <c r="II110" s="21" t="n">
        <v>67.337</v>
      </c>
      <c r="IJ110" s="21" t="n">
        <v>27.868</v>
      </c>
      <c r="IK110" s="21" t="n">
        <v>33.519</v>
      </c>
      <c r="IL110" s="21" t="n">
        <v>28.38</v>
      </c>
      <c r="IM110" s="21" t="n">
        <v>38.135</v>
      </c>
      <c r="IN110" s="21" t="n">
        <v>110.298</v>
      </c>
      <c r="IO110" s="21" t="n">
        <v>118.608</v>
      </c>
      <c r="IP110" s="21" t="n">
        <v>199.499</v>
      </c>
      <c r="IQ110" s="21" t="n">
        <v>160.324</v>
      </c>
      <c r="IR110" s="21" t="n">
        <v>463.605</v>
      </c>
      <c r="IS110" s="21" t="n">
        <v>224.532</v>
      </c>
      <c r="IT110" s="21" t="n">
        <v>261.598</v>
      </c>
      <c r="IU110" s="21" t="n">
        <v>395.251</v>
      </c>
      <c r="IV110" s="21" t="n">
        <v>284.832</v>
      </c>
      <c r="IW110" s="21" t="n">
        <v>145.388</v>
      </c>
      <c r="IX110" s="21" t="n">
        <v>294.546</v>
      </c>
      <c r="IY110" s="21" t="n">
        <v>688.843</v>
      </c>
      <c r="IZ110" s="21" t="n">
        <v>848.644</v>
      </c>
      <c r="JA110" s="21" t="n">
        <v>927.235</v>
      </c>
      <c r="JB110" s="21" t="n">
        <v>95.804</v>
      </c>
      <c r="JC110" s="21" t="n">
        <v>357.628</v>
      </c>
      <c r="JD110" s="21" t="n">
        <v>274.102</v>
      </c>
      <c r="JE110" s="21" t="n">
        <v>74.627</v>
      </c>
      <c r="JF110" s="21" t="n">
        <v>231.848</v>
      </c>
      <c r="JG110" s="21" t="n">
        <v>358.703</v>
      </c>
      <c r="JH110" s="21" t="n">
        <v>422.974</v>
      </c>
      <c r="JI110" s="21" t="n">
        <v>70.268</v>
      </c>
      <c r="JJ110" s="21" t="n">
        <v>104.857</v>
      </c>
      <c r="JK110" s="21" t="n">
        <v>36.441</v>
      </c>
      <c r="JL110" s="21" t="n">
        <v>85.319</v>
      </c>
      <c r="JM110" s="21" t="n">
        <v>110.985</v>
      </c>
      <c r="JN110" s="21" t="n">
        <v>552.303</v>
      </c>
      <c r="JO110" s="21" t="n">
        <v>94.05</v>
      </c>
      <c r="JP110" s="21" t="n">
        <v>618.561</v>
      </c>
      <c r="JQ110" s="21" t="n">
        <v>280.33</v>
      </c>
      <c r="JR110" s="21" t="n">
        <v>178.503</v>
      </c>
      <c r="JS110" s="21" t="n">
        <v>550.139</v>
      </c>
      <c r="JT110" s="21" t="n"/>
      <c r="JU110" s="21" t="n">
        <v>389.304</v>
      </c>
      <c r="JV110" s="21" t="n">
        <v>223.674</v>
      </c>
      <c r="JW110" s="21" t="n">
        <v>427.966</v>
      </c>
      <c r="JX110" s="21" t="n">
        <v>330.392</v>
      </c>
      <c r="JY110" s="21" t="n">
        <v>87.67100000000001</v>
      </c>
      <c r="JZ110" s="21" t="n">
        <v>198.126</v>
      </c>
      <c r="KA110" s="21" t="n">
        <v>297.762</v>
      </c>
      <c r="KB110" s="21" t="n">
        <v>315.374</v>
      </c>
      <c r="KC110" s="21" t="n">
        <v>306.953</v>
      </c>
      <c r="KD110" s="21" t="n">
        <v>314.319</v>
      </c>
      <c r="KE110" s="21" t="n">
        <v>280.869</v>
      </c>
      <c r="KF110" s="21" t="n">
        <v>269.458</v>
      </c>
      <c r="KG110" s="21" t="n">
        <v>271.183</v>
      </c>
      <c r="KH110" s="21" t="n">
        <v>276.086</v>
      </c>
      <c r="KI110" s="21" t="n">
        <v>121.612</v>
      </c>
      <c r="KJ110" s="21" t="n">
        <v>222.755</v>
      </c>
      <c r="KK110" s="21" t="n">
        <v>178.742</v>
      </c>
      <c r="KL110" s="21" t="n">
        <v>174.998</v>
      </c>
      <c r="KM110" s="21" t="n">
        <v>165.637</v>
      </c>
      <c r="KN110" s="21" t="n">
        <v>163.754</v>
      </c>
      <c r="KO110" s="21" t="n">
        <v>315.361</v>
      </c>
      <c r="KP110" s="21" t="n">
        <v>124.418</v>
      </c>
      <c r="KQ110" s="21" t="n">
        <v>56.98</v>
      </c>
      <c r="KR110" s="21" t="n">
        <v>121.525</v>
      </c>
      <c r="KS110" s="21" t="n">
        <v>279.953</v>
      </c>
      <c r="KT110" s="21" t="n">
        <v>304.697</v>
      </c>
      <c r="KU110" s="21" t="n">
        <v>106.501</v>
      </c>
      <c r="KV110" s="21" t="n">
        <v>39.4</v>
      </c>
      <c r="KW110" s="21" t="n">
        <v>275.084</v>
      </c>
      <c r="KX110" s="21" t="n">
        <v>231.428</v>
      </c>
      <c r="KY110" s="21" t="n">
        <v>291.907</v>
      </c>
      <c r="KZ110" s="21" t="n">
        <v>227.893</v>
      </c>
      <c r="LA110" s="21" t="n">
        <v>293.875</v>
      </c>
      <c r="LB110" s="21" t="n">
        <v>138.396</v>
      </c>
      <c r="LC110" s="21" t="n">
        <v>411.248</v>
      </c>
      <c r="LD110" s="21" t="n">
        <v>85.036</v>
      </c>
      <c r="LE110" s="21" t="n">
        <v>148.495</v>
      </c>
      <c r="LF110" s="21" t="n">
        <v>409.793</v>
      </c>
      <c r="LG110" s="21" t="n">
        <v>395.443</v>
      </c>
      <c r="LH110" s="21" t="n">
        <v>408.579</v>
      </c>
      <c r="LI110" s="21" t="n">
        <v>379.23</v>
      </c>
      <c r="LJ110" s="21" t="n">
        <v>408.655</v>
      </c>
      <c r="LK110" s="21" t="n">
        <v>131.348</v>
      </c>
      <c r="LL110" s="21" t="n">
        <v>415.761</v>
      </c>
      <c r="LM110" s="21" t="n">
        <v>257.736</v>
      </c>
      <c r="LN110" s="21" t="n">
        <v>32.387</v>
      </c>
      <c r="LO110" s="21" t="n">
        <v>152.367</v>
      </c>
    </row>
    <row r="111">
      <c r="A111" s="22" t="n">
        <v>45323</v>
      </c>
      <c r="B111" s="21" t="n">
        <v>310.967</v>
      </c>
      <c r="C111" s="21" t="n">
        <v>325.168</v>
      </c>
      <c r="D111" s="21" t="n">
        <v>327.707</v>
      </c>
      <c r="E111" s="21" t="n">
        <v>305.432</v>
      </c>
      <c r="F111" s="21" t="n">
        <v>356.774</v>
      </c>
      <c r="G111" s="21" t="n">
        <v>288.007</v>
      </c>
      <c r="H111" s="21" t="n">
        <v>321.171</v>
      </c>
      <c r="I111" s="21" t="n">
        <v>277.211</v>
      </c>
      <c r="J111" s="21" t="n">
        <v>292.287</v>
      </c>
      <c r="K111" s="21" t="n">
        <v>397.243</v>
      </c>
      <c r="L111" s="21" t="n">
        <v>239.121</v>
      </c>
      <c r="M111" s="21" t="n">
        <v>234.251</v>
      </c>
      <c r="N111" s="21" t="n">
        <v>376.722</v>
      </c>
      <c r="O111" s="21" t="n">
        <v>356.053</v>
      </c>
      <c r="P111" s="21" t="n">
        <v>355.134</v>
      </c>
      <c r="Q111" s="21" t="n">
        <v>431.732</v>
      </c>
      <c r="R111" s="21" t="n">
        <v>349.983</v>
      </c>
      <c r="S111" s="21" t="n">
        <v>321.414</v>
      </c>
      <c r="T111" s="21" t="n">
        <v>323.928</v>
      </c>
      <c r="U111" s="21" t="n">
        <v>332.098</v>
      </c>
      <c r="V111" s="21" t="n">
        <v>416.806</v>
      </c>
      <c r="W111" s="21" t="n">
        <v>355.206</v>
      </c>
      <c r="X111" s="21" t="n">
        <v>336.756</v>
      </c>
      <c r="Y111" s="21" t="n">
        <v>281.25</v>
      </c>
      <c r="Z111" s="21" t="n">
        <v>264.472</v>
      </c>
      <c r="AA111" s="21" t="n">
        <v>198.926</v>
      </c>
      <c r="AB111" s="21" t="n">
        <v>372.526</v>
      </c>
      <c r="AC111" s="21" t="n">
        <v>182.411</v>
      </c>
      <c r="AD111" s="21" t="n">
        <v>247.328</v>
      </c>
      <c r="AE111" s="21" t="n">
        <v>273.473</v>
      </c>
      <c r="AF111" s="21" t="n">
        <v>233.08</v>
      </c>
      <c r="AG111" s="21" t="n">
        <v>156.691</v>
      </c>
      <c r="AH111" s="21" t="n">
        <v>289.617</v>
      </c>
      <c r="AI111" s="21" t="n">
        <v>297.336</v>
      </c>
      <c r="AJ111" s="21" t="n">
        <v>187.275</v>
      </c>
      <c r="AK111" s="21" t="n">
        <v>305.194</v>
      </c>
      <c r="AL111" s="21" t="n">
        <v>195.069</v>
      </c>
      <c r="AM111" s="21" t="n">
        <v>323.943</v>
      </c>
      <c r="AN111" s="21" t="n">
        <v>290.991</v>
      </c>
      <c r="AO111" s="21" t="n">
        <v>205.399</v>
      </c>
      <c r="AP111" s="21" t="n">
        <v>346.123</v>
      </c>
      <c r="AQ111" s="21" t="n">
        <v>219.535</v>
      </c>
      <c r="AR111" s="21" t="n">
        <v>170.722</v>
      </c>
      <c r="AS111" s="21" t="n">
        <v>247.94</v>
      </c>
      <c r="AT111" s="21" t="n">
        <v>358.106</v>
      </c>
      <c r="AU111" s="21" t="n">
        <v>291.98</v>
      </c>
      <c r="AV111" s="21" t="n">
        <v>267.334</v>
      </c>
      <c r="AW111" s="21" t="n">
        <v>174.823</v>
      </c>
      <c r="AX111" s="21" t="n">
        <v>251.102</v>
      </c>
      <c r="AY111" s="21" t="n">
        <v>181.169</v>
      </c>
      <c r="AZ111" s="21" t="n">
        <v>263.416</v>
      </c>
      <c r="BA111" s="21" t="n">
        <v>272.508</v>
      </c>
      <c r="BB111" s="21" t="n">
        <v>189.471</v>
      </c>
      <c r="BC111" s="21" t="n">
        <v>352.442</v>
      </c>
      <c r="BD111" s="21" t="n">
        <v>396.7</v>
      </c>
      <c r="BE111" s="21" t="n">
        <v>406.493</v>
      </c>
      <c r="BF111" s="21" t="n">
        <v>341.605</v>
      </c>
      <c r="BG111" s="21" t="n">
        <v>207.981</v>
      </c>
      <c r="BH111" s="21" t="n">
        <v>292.299</v>
      </c>
      <c r="BI111" s="21" t="n">
        <v>579.62</v>
      </c>
      <c r="BJ111" s="21" t="n">
        <v>140.749</v>
      </c>
      <c r="BK111" s="21" t="n">
        <v>384.974</v>
      </c>
      <c r="BL111" s="21" t="n">
        <v>427.491</v>
      </c>
      <c r="BM111" s="21" t="n">
        <v>390.72</v>
      </c>
      <c r="BN111" s="21" t="n">
        <v>377.72</v>
      </c>
      <c r="BO111" s="21" t="n">
        <v>381.984</v>
      </c>
      <c r="BP111" s="21" t="n">
        <v>202.539</v>
      </c>
      <c r="BQ111" s="21" t="n">
        <v>216.179</v>
      </c>
      <c r="BR111" s="21" t="n">
        <v>203.319</v>
      </c>
      <c r="BS111" s="21" t="n">
        <v>231.676</v>
      </c>
      <c r="BT111" s="21" t="n">
        <v>186.537</v>
      </c>
      <c r="BU111" s="21" t="n">
        <v>263.979</v>
      </c>
      <c r="BV111" s="21" t="n">
        <v>189.038</v>
      </c>
      <c r="BW111" s="21" t="n">
        <v>219.446</v>
      </c>
      <c r="BX111" s="21" t="n">
        <v>175.159</v>
      </c>
      <c r="BY111" s="21" t="n">
        <v>228.136</v>
      </c>
      <c r="BZ111" s="21" t="n">
        <v>155.322</v>
      </c>
      <c r="CA111" s="21" t="n">
        <v>141.8</v>
      </c>
      <c r="CB111" s="21" t="n">
        <v>233.308</v>
      </c>
      <c r="CC111" s="21" t="n">
        <v>245.487</v>
      </c>
      <c r="CD111" s="21" t="n">
        <v>160.669</v>
      </c>
      <c r="CE111" s="21" t="n">
        <v>273.361</v>
      </c>
      <c r="CF111" s="21" t="n">
        <v>289.001</v>
      </c>
      <c r="CG111" s="21" t="n">
        <v>267.398</v>
      </c>
      <c r="CH111" s="21" t="n">
        <v>195.95</v>
      </c>
      <c r="CI111" s="21" t="n">
        <v>194.328</v>
      </c>
      <c r="CJ111" s="21" t="n">
        <v>316.242</v>
      </c>
      <c r="CK111" s="21" t="n">
        <v>278.529</v>
      </c>
      <c r="CL111" s="21" t="n">
        <v>314.071</v>
      </c>
      <c r="CM111" s="21" t="n">
        <v>463.241</v>
      </c>
      <c r="CN111" s="21" t="n">
        <v>176.431</v>
      </c>
      <c r="CO111" s="21" t="n">
        <v>224.382</v>
      </c>
      <c r="CP111" s="21" t="n">
        <v>287.826</v>
      </c>
      <c r="CQ111" s="21" t="n">
        <v>315.449</v>
      </c>
      <c r="CR111" s="21" t="n">
        <v>212.515</v>
      </c>
      <c r="CS111" s="21" t="n">
        <v>313.172</v>
      </c>
      <c r="CT111" s="21" t="n">
        <v>311.102</v>
      </c>
      <c r="CU111" s="21" t="n">
        <v>190.669</v>
      </c>
      <c r="CV111" s="21" t="n">
        <v>189.652</v>
      </c>
      <c r="CW111" s="21" t="n">
        <v>185.467</v>
      </c>
      <c r="CX111" s="21" t="n">
        <v>352.308</v>
      </c>
      <c r="CY111" s="21" t="n">
        <v>170.246</v>
      </c>
      <c r="CZ111" s="21" t="n">
        <v>155.757</v>
      </c>
      <c r="DA111" s="21" t="n">
        <v>363.596</v>
      </c>
      <c r="DB111" s="21" t="n">
        <v>223.137</v>
      </c>
      <c r="DC111" s="21" t="n">
        <v>199.201</v>
      </c>
      <c r="DD111" s="21" t="n">
        <v>196.024</v>
      </c>
      <c r="DE111" s="21" t="n">
        <v>240.453</v>
      </c>
      <c r="DF111" s="21" t="n">
        <v>289.22</v>
      </c>
      <c r="DG111" s="21" t="n">
        <v>229.043</v>
      </c>
      <c r="DH111" s="21" t="n">
        <v>273.946</v>
      </c>
      <c r="DI111" s="21" t="n">
        <v>211.47</v>
      </c>
      <c r="DJ111" s="21" t="n">
        <v>225.912</v>
      </c>
      <c r="DK111" s="21" t="n">
        <v>205.961</v>
      </c>
      <c r="DL111" s="21" t="n">
        <v>182.719</v>
      </c>
      <c r="DM111" s="21" t="n">
        <v>423.368</v>
      </c>
      <c r="DN111" s="21" t="n">
        <v>234.211</v>
      </c>
      <c r="DO111" s="21" t="n">
        <v>329.687</v>
      </c>
      <c r="DP111" s="21" t="n">
        <v>394.078</v>
      </c>
      <c r="DQ111" s="21" t="n">
        <v>413.427</v>
      </c>
      <c r="DR111" s="21" t="n">
        <v>188.326</v>
      </c>
      <c r="DS111" s="21" t="n">
        <v>634.662</v>
      </c>
      <c r="DT111" s="21" t="n">
        <v>387.756</v>
      </c>
      <c r="DU111" s="21" t="n">
        <v>404.441</v>
      </c>
      <c r="DV111" s="21" t="n">
        <v>404.493</v>
      </c>
      <c r="DW111" s="21" t="n">
        <v>313.683</v>
      </c>
      <c r="DX111" s="21" t="n">
        <v>263.351</v>
      </c>
      <c r="DY111" s="21" t="n">
        <v>374.819</v>
      </c>
      <c r="DZ111" s="21" t="n">
        <v>380.544</v>
      </c>
      <c r="EA111" s="21" t="n">
        <v>430.191</v>
      </c>
      <c r="EB111" s="21" t="n">
        <v>267.597</v>
      </c>
      <c r="EC111" s="21" t="n">
        <v>277.638</v>
      </c>
      <c r="ED111" s="21" t="n">
        <v>232.159</v>
      </c>
      <c r="EE111" s="21" t="n">
        <v>298.751</v>
      </c>
      <c r="EF111" s="21" t="n">
        <v>684.121</v>
      </c>
      <c r="EG111" s="21" t="n">
        <v>610.551</v>
      </c>
      <c r="EH111" s="21" t="n">
        <v>147.575</v>
      </c>
      <c r="EI111" s="21" t="n">
        <v>60.498</v>
      </c>
      <c r="EJ111" s="21" t="n">
        <v>78.483</v>
      </c>
      <c r="EK111" s="21" t="n">
        <v>40.86</v>
      </c>
      <c r="EL111" s="21" t="n">
        <v>132.767</v>
      </c>
      <c r="EM111" s="21" t="n">
        <v>80.253</v>
      </c>
      <c r="EN111" s="21" t="n">
        <v>85.48099999999999</v>
      </c>
      <c r="EO111" s="21" t="n">
        <v>91.102</v>
      </c>
      <c r="EP111" s="21" t="n">
        <v>102.364</v>
      </c>
      <c r="EQ111" s="21" t="n">
        <v>74.863</v>
      </c>
      <c r="ER111" s="21" t="n">
        <v>54.116</v>
      </c>
      <c r="ES111" s="21" t="n">
        <v>158.362</v>
      </c>
      <c r="ET111" s="21" t="n">
        <v>80.202</v>
      </c>
      <c r="EU111" s="21" t="n">
        <v>111.366</v>
      </c>
      <c r="EV111" s="21" t="n">
        <v>121.269</v>
      </c>
      <c r="EW111" s="21" t="n">
        <v>107.533</v>
      </c>
      <c r="EX111" s="21" t="n">
        <v>234.665</v>
      </c>
      <c r="EY111" s="21" t="n">
        <v>148.494</v>
      </c>
      <c r="EZ111" s="21" t="n">
        <v>140.698</v>
      </c>
      <c r="FA111" s="21" t="n">
        <v>200.419</v>
      </c>
      <c r="FB111" s="21" t="n">
        <v>130.309</v>
      </c>
      <c r="FC111" s="21" t="n">
        <v>127.947</v>
      </c>
      <c r="FD111" s="21" t="n">
        <v>131.37</v>
      </c>
      <c r="FE111" s="21" t="n">
        <v>98.459</v>
      </c>
      <c r="FF111" s="21" t="n">
        <v>184.332</v>
      </c>
      <c r="FG111" s="21" t="n">
        <v>81.318</v>
      </c>
      <c r="FH111" s="21" t="n">
        <v>133.941</v>
      </c>
      <c r="FI111" s="21" t="n">
        <v>114.136</v>
      </c>
      <c r="FJ111" s="21" t="n">
        <v>108.141</v>
      </c>
      <c r="FK111" s="21" t="n">
        <v>109.664</v>
      </c>
      <c r="FL111" s="21" t="n">
        <v>100.339</v>
      </c>
      <c r="FM111" s="21" t="n">
        <v>106.363</v>
      </c>
      <c r="FN111" s="21" t="n">
        <v>75.348</v>
      </c>
      <c r="FO111" s="21" t="n">
        <v>111.681</v>
      </c>
      <c r="FP111" s="21" t="n">
        <v>101.201</v>
      </c>
      <c r="FQ111" s="21" t="n">
        <v>145.668</v>
      </c>
      <c r="FR111" s="21" t="n">
        <v>150.621</v>
      </c>
      <c r="FS111" s="21" t="n">
        <v>165.879</v>
      </c>
      <c r="FT111" s="21" t="n">
        <v>132.797</v>
      </c>
      <c r="FU111" s="21" t="n">
        <v>128.978</v>
      </c>
      <c r="FV111" s="21" t="n">
        <v>192.65</v>
      </c>
      <c r="FW111" s="21" t="n">
        <v>156.819</v>
      </c>
      <c r="FX111" s="21" t="n">
        <v>189.892</v>
      </c>
      <c r="FY111" s="21" t="n">
        <v>270.904</v>
      </c>
      <c r="FZ111" s="21" t="n">
        <v>270.202</v>
      </c>
      <c r="GA111" s="21" t="n">
        <v>126.326</v>
      </c>
      <c r="GB111" s="21" t="n">
        <v>179.045</v>
      </c>
      <c r="GC111" s="21" t="n"/>
      <c r="GD111" s="21" t="n">
        <v>174.281</v>
      </c>
      <c r="GE111" s="21" t="n">
        <v>190.98</v>
      </c>
      <c r="GF111" s="21" t="n"/>
      <c r="GG111" s="21" t="n">
        <v>185.254</v>
      </c>
      <c r="GH111" s="21" t="n"/>
      <c r="GI111" s="21" t="n">
        <v>172.039</v>
      </c>
      <c r="GJ111" s="21" t="n">
        <v>304.673</v>
      </c>
      <c r="GK111" s="21" t="n">
        <v>303.183</v>
      </c>
      <c r="GL111" s="21" t="n">
        <v>296.234</v>
      </c>
      <c r="GM111" s="21" t="n">
        <v>332.759</v>
      </c>
      <c r="GN111" s="21" t="n">
        <v>327.515</v>
      </c>
      <c r="GO111" s="21" t="n">
        <v>295.463</v>
      </c>
      <c r="GP111" s="21" t="n">
        <v>180.048</v>
      </c>
      <c r="GQ111" s="21" t="n">
        <v>152.526</v>
      </c>
      <c r="GR111" s="21" t="n">
        <v>397.541</v>
      </c>
      <c r="GS111" s="21" t="n">
        <v>260.258</v>
      </c>
      <c r="GT111" s="21" t="n">
        <v>800.317</v>
      </c>
      <c r="GU111" s="21" t="n">
        <v>234.091</v>
      </c>
      <c r="GV111" s="21" t="n">
        <v>271.297</v>
      </c>
      <c r="GW111" s="21" t="n">
        <v>267.166</v>
      </c>
      <c r="GX111" s="21" t="n">
        <v>267.056</v>
      </c>
      <c r="GY111" s="21" t="n">
        <v>154.745</v>
      </c>
      <c r="GZ111" s="21" t="n"/>
      <c r="HA111" s="21" t="n">
        <v>66.029</v>
      </c>
      <c r="HB111" s="21" t="n">
        <v>557.163</v>
      </c>
      <c r="HC111" s="21" t="n">
        <v>408.246</v>
      </c>
      <c r="HD111" s="21" t="n">
        <v>133.41</v>
      </c>
      <c r="HE111" s="21" t="n">
        <v>547.682</v>
      </c>
      <c r="HF111" s="21" t="n">
        <v>111.877</v>
      </c>
      <c r="HG111" s="21" t="n">
        <v>605.0650000000001</v>
      </c>
      <c r="HH111" s="21" t="n">
        <v>424.859</v>
      </c>
      <c r="HI111" s="21" t="n">
        <v>414.702</v>
      </c>
      <c r="HJ111" s="21" t="n">
        <v>594.116</v>
      </c>
      <c r="HK111" s="21" t="n">
        <v>205.819</v>
      </c>
      <c r="HL111" s="21" t="n">
        <v>260.056</v>
      </c>
      <c r="HM111" s="21" t="n">
        <v>97.425</v>
      </c>
      <c r="HN111" s="21" t="n">
        <v>408.345</v>
      </c>
      <c r="HO111" s="21" t="n">
        <v>392.757</v>
      </c>
      <c r="HP111" s="21" t="n">
        <v>900.466</v>
      </c>
      <c r="HQ111" s="21" t="n">
        <v>284.282</v>
      </c>
      <c r="HR111" s="21" t="n">
        <v>138</v>
      </c>
      <c r="HS111" s="21" t="n">
        <v>117.621</v>
      </c>
      <c r="HT111" s="21" t="n">
        <v>107.554</v>
      </c>
      <c r="HU111" s="21" t="n">
        <v>582.851</v>
      </c>
      <c r="HV111" s="21" t="n">
        <v>107.406</v>
      </c>
      <c r="HW111" s="21" t="n">
        <v>25.289</v>
      </c>
      <c r="HX111" s="21" t="n">
        <v>221.034</v>
      </c>
      <c r="HY111" s="21" t="n">
        <v>240.859</v>
      </c>
      <c r="HZ111" s="21" t="n">
        <v>190.158</v>
      </c>
      <c r="IA111" s="21" t="n">
        <v>131.658</v>
      </c>
      <c r="IB111" s="21" t="n">
        <v>334.884</v>
      </c>
      <c r="IC111" s="21" t="n">
        <v>247.666</v>
      </c>
      <c r="ID111" s="21" t="n">
        <v>358.833</v>
      </c>
      <c r="IE111" s="21" t="n">
        <v>126.554</v>
      </c>
      <c r="IF111" s="21" t="n">
        <v>175.512</v>
      </c>
      <c r="IG111" s="21" t="n">
        <v>85.797</v>
      </c>
      <c r="IH111" s="21" t="n">
        <v>87.048</v>
      </c>
      <c r="II111" s="21" t="n">
        <v>68.495</v>
      </c>
      <c r="IJ111" s="21" t="n">
        <v>28.316</v>
      </c>
      <c r="IK111" s="21" t="n">
        <v>33.311</v>
      </c>
      <c r="IL111" s="21" t="n">
        <v>28.162</v>
      </c>
      <c r="IM111" s="21" t="n">
        <v>38.037</v>
      </c>
      <c r="IN111" s="21" t="n">
        <v>108.454</v>
      </c>
      <c r="IO111" s="21" t="n">
        <v>120.125</v>
      </c>
      <c r="IP111" s="21" t="n">
        <v>200.148</v>
      </c>
      <c r="IQ111" s="21" t="n">
        <v>160.592</v>
      </c>
      <c r="IR111" s="21" t="n">
        <v>468.42</v>
      </c>
      <c r="IS111" s="21" t="n">
        <v>226.238</v>
      </c>
      <c r="IT111" s="21" t="n">
        <v>266.599</v>
      </c>
      <c r="IU111" s="21" t="n">
        <v>389.429</v>
      </c>
      <c r="IV111" s="21" t="n">
        <v>284.522</v>
      </c>
      <c r="IW111" s="21" t="n">
        <v>146.031</v>
      </c>
      <c r="IX111" s="21" t="n">
        <v>295.683</v>
      </c>
      <c r="IY111" s="21" t="n">
        <v>692.835</v>
      </c>
      <c r="IZ111" s="21" t="n">
        <v>851.864</v>
      </c>
      <c r="JA111" s="21" t="n">
        <v>928.658</v>
      </c>
      <c r="JB111" s="21" t="n">
        <v>96.09399999999999</v>
      </c>
      <c r="JC111" s="21" t="n">
        <v>360.359</v>
      </c>
      <c r="JD111" s="21" t="n">
        <v>274.593</v>
      </c>
      <c r="JE111" s="21" t="n">
        <v>74.988</v>
      </c>
      <c r="JF111" s="21" t="n">
        <v>237.572</v>
      </c>
      <c r="JG111" s="21" t="n">
        <v>368.503</v>
      </c>
      <c r="JH111" s="21" t="n">
        <v>426.309</v>
      </c>
      <c r="JI111" s="21" t="n">
        <v>70.58</v>
      </c>
      <c r="JJ111" s="21" t="n">
        <v>105.753</v>
      </c>
      <c r="JK111" s="21" t="n">
        <v>36.695</v>
      </c>
      <c r="JL111" s="21" t="n">
        <v>86.434</v>
      </c>
      <c r="JM111" s="21" t="n">
        <v>110.827</v>
      </c>
      <c r="JN111" s="21" t="n">
        <v>551.019</v>
      </c>
      <c r="JO111" s="21" t="n">
        <v>94.771</v>
      </c>
      <c r="JP111" s="21" t="n">
        <v>623.95</v>
      </c>
      <c r="JQ111" s="21" t="n">
        <v>279.04</v>
      </c>
      <c r="JR111" s="21" t="n">
        <v>179.11</v>
      </c>
      <c r="JS111" s="21" t="n">
        <v>543.14</v>
      </c>
      <c r="JT111" s="21" t="n"/>
      <c r="JU111" s="21" t="n">
        <v>389.61</v>
      </c>
      <c r="JV111" s="21" t="n">
        <v>224.273</v>
      </c>
      <c r="JW111" s="21" t="n">
        <v>435.381</v>
      </c>
      <c r="JX111" s="21" t="n">
        <v>339.253</v>
      </c>
      <c r="JY111" s="21" t="n">
        <v>86.77</v>
      </c>
      <c r="JZ111" s="21" t="n">
        <v>196.355</v>
      </c>
      <c r="KA111" s="21" t="n">
        <v>299.069</v>
      </c>
      <c r="KB111" s="21" t="n">
        <v>316.482</v>
      </c>
      <c r="KC111" s="21" t="n">
        <v>308.367</v>
      </c>
      <c r="KD111" s="21" t="n">
        <v>315.564</v>
      </c>
      <c r="KE111" s="21" t="n">
        <v>281.961</v>
      </c>
      <c r="KF111" s="21" t="n">
        <v>270.724</v>
      </c>
      <c r="KG111" s="21" t="n">
        <v>272.142</v>
      </c>
      <c r="KH111" s="21" t="n">
        <v>276.961</v>
      </c>
      <c r="KI111" s="21" t="n">
        <v>121.951</v>
      </c>
      <c r="KJ111" s="21" t="n">
        <v>223.452</v>
      </c>
      <c r="KK111" s="21" t="n">
        <v>179.545</v>
      </c>
      <c r="KL111" s="21" t="n">
        <v>175.804</v>
      </c>
      <c r="KM111" s="21" t="n">
        <v>165.903</v>
      </c>
      <c r="KN111" s="21" t="n">
        <v>163.833</v>
      </c>
      <c r="KO111" s="21" t="n">
        <v>315.828</v>
      </c>
      <c r="KP111" s="21" t="n">
        <v>124.381</v>
      </c>
      <c r="KQ111" s="21" t="n">
        <v>57.16</v>
      </c>
      <c r="KR111" s="21" t="n">
        <v>122.089</v>
      </c>
      <c r="KS111" s="21" t="n">
        <v>283.331</v>
      </c>
      <c r="KT111" s="21" t="n">
        <v>310.55</v>
      </c>
      <c r="KU111" s="21" t="n">
        <v>106.218</v>
      </c>
      <c r="KV111" s="21" t="n">
        <v>39.514</v>
      </c>
      <c r="KW111" s="21" t="n">
        <v>276.028</v>
      </c>
      <c r="KX111" s="21" t="n">
        <v>232.793</v>
      </c>
      <c r="KY111" s="21" t="n">
        <v>293.608</v>
      </c>
      <c r="KZ111" s="21" t="n">
        <v>229.322</v>
      </c>
      <c r="LA111" s="21" t="n">
        <v>295.729</v>
      </c>
      <c r="LB111" s="21" t="n">
        <v>138.871</v>
      </c>
      <c r="LC111" s="21" t="n">
        <v>412.281</v>
      </c>
      <c r="LD111" s="21" t="n">
        <v>84.908</v>
      </c>
      <c r="LE111" s="21" t="n">
        <v>148.991</v>
      </c>
      <c r="LF111" s="21" t="n">
        <v>411.477</v>
      </c>
      <c r="LG111" s="21" t="n">
        <v>397.319</v>
      </c>
      <c r="LH111" s="21" t="n">
        <v>410.539</v>
      </c>
      <c r="LI111" s="21" t="n">
        <v>381.081</v>
      </c>
      <c r="LJ111" s="21" t="n">
        <v>410.746</v>
      </c>
      <c r="LK111" s="21" t="n">
        <v>131.764</v>
      </c>
      <c r="LL111" s="21" t="n">
        <v>421.549</v>
      </c>
      <c r="LM111" s="21" t="n">
        <v>259.273</v>
      </c>
      <c r="LN111" s="21" t="n">
        <v>32.801</v>
      </c>
      <c r="LO111" s="21" t="n">
        <v>153.094</v>
      </c>
    </row>
    <row r="112">
      <c r="A112" s="22" t="n">
        <v>45352</v>
      </c>
      <c r="B112" s="21" t="n">
        <v>312.345</v>
      </c>
      <c r="C112" s="21" t="n">
        <v>325.24</v>
      </c>
      <c r="D112" s="21" t="n">
        <v>327.774</v>
      </c>
      <c r="E112" s="21" t="n">
        <v>305.01</v>
      </c>
      <c r="F112" s="21" t="n">
        <v>353.931</v>
      </c>
      <c r="G112" s="21" t="n">
        <v>283.731</v>
      </c>
      <c r="H112" s="21" t="n">
        <v>318.868</v>
      </c>
      <c r="I112" s="21" t="n">
        <v>272.853</v>
      </c>
      <c r="J112" s="21" t="n">
        <v>290.935</v>
      </c>
      <c r="K112" s="21" t="n">
        <v>395.341</v>
      </c>
      <c r="L112" s="21" t="n">
        <v>236.944</v>
      </c>
      <c r="M112" s="21" t="n">
        <v>235.333</v>
      </c>
      <c r="N112" s="21" t="n">
        <v>372.93</v>
      </c>
      <c r="O112" s="21" t="n">
        <v>351.627</v>
      </c>
      <c r="P112" s="21" t="n">
        <v>354.835</v>
      </c>
      <c r="Q112" s="21" t="n">
        <v>429.496</v>
      </c>
      <c r="R112" s="21" t="n">
        <v>346.325</v>
      </c>
      <c r="S112" s="21" t="n">
        <v>322.791</v>
      </c>
      <c r="T112" s="21" t="n">
        <v>325.421</v>
      </c>
      <c r="U112" s="21" t="n">
        <v>333.113</v>
      </c>
      <c r="V112" s="21" t="n">
        <v>418.789</v>
      </c>
      <c r="W112" s="21" t="n">
        <v>355.668</v>
      </c>
      <c r="X112" s="21" t="n">
        <v>338.844</v>
      </c>
      <c r="Y112" s="21" t="n">
        <v>282.021</v>
      </c>
      <c r="Z112" s="21" t="n">
        <v>265.34</v>
      </c>
      <c r="AA112" s="21" t="n">
        <v>198.67</v>
      </c>
      <c r="AB112" s="21" t="n">
        <v>372.165</v>
      </c>
      <c r="AC112" s="21" t="n">
        <v>181.39</v>
      </c>
      <c r="AD112" s="21" t="n">
        <v>242.024</v>
      </c>
      <c r="AE112" s="21" t="n">
        <v>269.126</v>
      </c>
      <c r="AF112" s="21" t="n">
        <v>240.746</v>
      </c>
      <c r="AG112" s="21" t="n">
        <v>161.179</v>
      </c>
      <c r="AH112" s="21" t="n">
        <v>289.471</v>
      </c>
      <c r="AI112" s="21" t="n">
        <v>303.934</v>
      </c>
      <c r="AJ112" s="21" t="n">
        <v>188.397</v>
      </c>
      <c r="AK112" s="21" t="n">
        <v>308.618</v>
      </c>
      <c r="AL112" s="21" t="n">
        <v>197.388</v>
      </c>
      <c r="AM112" s="21" t="n">
        <v>328.27</v>
      </c>
      <c r="AN112" s="21" t="n">
        <v>294.545</v>
      </c>
      <c r="AO112" s="21" t="n">
        <v>205.387</v>
      </c>
      <c r="AP112" s="21" t="n">
        <v>347.077</v>
      </c>
      <c r="AQ112" s="21" t="n">
        <v>219.688</v>
      </c>
      <c r="AR112" s="21" t="n">
        <v>172.865</v>
      </c>
      <c r="AS112" s="21" t="n">
        <v>244.138</v>
      </c>
      <c r="AT112" s="21" t="n">
        <v>366.953</v>
      </c>
      <c r="AU112" s="21" t="n">
        <v>291.976</v>
      </c>
      <c r="AV112" s="21" t="n">
        <v>266.274</v>
      </c>
      <c r="AW112" s="21" t="n">
        <v>174.122</v>
      </c>
      <c r="AX112" s="21" t="n">
        <v>249.889</v>
      </c>
      <c r="AY112" s="21" t="n">
        <v>180.548</v>
      </c>
      <c r="AZ112" s="21" t="n">
        <v>262.534</v>
      </c>
      <c r="BA112" s="21" t="n">
        <v>270.537</v>
      </c>
      <c r="BB112" s="21" t="n">
        <v>189.174</v>
      </c>
      <c r="BC112" s="21" t="n">
        <v>352.948</v>
      </c>
      <c r="BD112" s="21" t="n">
        <v>397.388</v>
      </c>
      <c r="BE112" s="21" t="n">
        <v>408.57</v>
      </c>
      <c r="BF112" s="21" t="n">
        <v>339.795</v>
      </c>
      <c r="BG112" s="21" t="n">
        <v>209.329</v>
      </c>
      <c r="BH112" s="21" t="n">
        <v>292.166</v>
      </c>
      <c r="BI112" s="21" t="n">
        <v>583.562</v>
      </c>
      <c r="BJ112" s="21" t="n">
        <v>141.443</v>
      </c>
      <c r="BK112" s="21" t="n">
        <v>384.202</v>
      </c>
      <c r="BL112" s="21" t="n">
        <v>428.805</v>
      </c>
      <c r="BM112" s="21" t="n">
        <v>410.828</v>
      </c>
      <c r="BN112" s="21" t="n">
        <v>369.615</v>
      </c>
      <c r="BO112" s="21" t="n">
        <v>378.421</v>
      </c>
      <c r="BP112" s="21" t="n">
        <v>202.64</v>
      </c>
      <c r="BQ112" s="21" t="n">
        <v>216.831</v>
      </c>
      <c r="BR112" s="21" t="n">
        <v>203.752</v>
      </c>
      <c r="BS112" s="21" t="n">
        <v>232.724</v>
      </c>
      <c r="BT112" s="21" t="n">
        <v>185.888</v>
      </c>
      <c r="BU112" s="21" t="n">
        <v>264.36</v>
      </c>
      <c r="BV112" s="21" t="n">
        <v>190.577</v>
      </c>
      <c r="BW112" s="21" t="n">
        <v>219.839</v>
      </c>
      <c r="BX112" s="21" t="n">
        <v>175.687</v>
      </c>
      <c r="BY112" s="21" t="n">
        <v>228.156</v>
      </c>
      <c r="BZ112" s="21" t="n">
        <v>155.951</v>
      </c>
      <c r="CA112" s="21" t="n">
        <v>141.452</v>
      </c>
      <c r="CB112" s="21" t="n">
        <v>234.239</v>
      </c>
      <c r="CC112" s="21" t="n">
        <v>247.068</v>
      </c>
      <c r="CD112" s="21" t="n">
        <v>158.268</v>
      </c>
      <c r="CE112" s="21" t="n">
        <v>271.986</v>
      </c>
      <c r="CF112" s="21" t="n">
        <v>287.685</v>
      </c>
      <c r="CG112" s="21" t="n">
        <v>266.762</v>
      </c>
      <c r="CH112" s="21" t="n">
        <v>194.917</v>
      </c>
      <c r="CI112" s="21" t="n">
        <v>195.418</v>
      </c>
      <c r="CJ112" s="21" t="n">
        <v>313.833</v>
      </c>
      <c r="CK112" s="21" t="n">
        <v>272.643</v>
      </c>
      <c r="CL112" s="21" t="n">
        <v>301.647</v>
      </c>
      <c r="CM112" s="21" t="n">
        <v>462.873</v>
      </c>
      <c r="CN112" s="21" t="n">
        <v>174.265</v>
      </c>
      <c r="CO112" s="21" t="n">
        <v>225.269</v>
      </c>
      <c r="CP112" s="21" t="n">
        <v>286.468</v>
      </c>
      <c r="CQ112" s="21" t="n">
        <v>312.947</v>
      </c>
      <c r="CR112" s="21" t="n">
        <v>213.604</v>
      </c>
      <c r="CS112" s="21" t="n">
        <v>311.576</v>
      </c>
      <c r="CT112" s="21" t="n">
        <v>308.734</v>
      </c>
      <c r="CU112" s="21" t="n">
        <v>189.215</v>
      </c>
      <c r="CV112" s="21" t="n">
        <v>189.726</v>
      </c>
      <c r="CW112" s="21" t="n">
        <v>183.786</v>
      </c>
      <c r="CX112" s="21" t="n">
        <v>357.084</v>
      </c>
      <c r="CY112" s="21" t="n">
        <v>169.71</v>
      </c>
      <c r="CZ112" s="21" t="n">
        <v>156.461</v>
      </c>
      <c r="DA112" s="21" t="n">
        <v>364.546</v>
      </c>
      <c r="DB112" s="21" t="n">
        <v>223.589</v>
      </c>
      <c r="DC112" s="21" t="n">
        <v>199.838</v>
      </c>
      <c r="DD112" s="21" t="n">
        <v>196.026</v>
      </c>
      <c r="DE112" s="21" t="n">
        <v>241.966</v>
      </c>
      <c r="DF112" s="21" t="n">
        <v>289.36</v>
      </c>
      <c r="DG112" s="21" t="n">
        <v>228.577</v>
      </c>
      <c r="DH112" s="21" t="n">
        <v>273.274</v>
      </c>
      <c r="DI112" s="21" t="n">
        <v>211.136</v>
      </c>
      <c r="DJ112" s="21" t="n">
        <v>223.575</v>
      </c>
      <c r="DK112" s="21" t="n">
        <v>206.677</v>
      </c>
      <c r="DL112" s="21" t="n">
        <v>182.615</v>
      </c>
      <c r="DM112" s="21" t="n">
        <v>424.86</v>
      </c>
      <c r="DN112" s="21" t="n">
        <v>235.735</v>
      </c>
      <c r="DO112" s="21" t="n">
        <v>331.054</v>
      </c>
      <c r="DP112" s="21" t="n">
        <v>395.827</v>
      </c>
      <c r="DQ112" s="21" t="n">
        <v>415.08</v>
      </c>
      <c r="DR112" s="21" t="n">
        <v>190.545</v>
      </c>
      <c r="DS112" s="21" t="n">
        <v>636.265</v>
      </c>
      <c r="DT112" s="21" t="n">
        <v>393.043</v>
      </c>
      <c r="DU112" s="21" t="n">
        <v>406.121</v>
      </c>
      <c r="DV112" s="21" t="n">
        <v>406.172</v>
      </c>
      <c r="DW112" s="21" t="n">
        <v>315.07</v>
      </c>
      <c r="DX112" s="21" t="n">
        <v>264.774</v>
      </c>
      <c r="DY112" s="21" t="n">
        <v>372.862</v>
      </c>
      <c r="DZ112" s="21" t="n">
        <v>377.046</v>
      </c>
      <c r="EA112" s="21" t="n">
        <v>425.866</v>
      </c>
      <c r="EB112" s="21" t="n">
        <v>269.189</v>
      </c>
      <c r="EC112" s="21" t="n">
        <v>279.797</v>
      </c>
      <c r="ED112" s="21" t="n">
        <v>232.001</v>
      </c>
      <c r="EE112" s="21" t="n">
        <v>299.183</v>
      </c>
      <c r="EF112" s="21" t="n">
        <v>685.789</v>
      </c>
      <c r="EG112" s="21" t="n">
        <v>610.015</v>
      </c>
      <c r="EH112" s="21" t="n">
        <v>147.799</v>
      </c>
      <c r="EI112" s="21" t="n">
        <v>60.854</v>
      </c>
      <c r="EJ112" s="21" t="n">
        <v>80.55200000000001</v>
      </c>
      <c r="EK112" s="21" t="n">
        <v>41.101</v>
      </c>
      <c r="EL112" s="21" t="n">
        <v>133.108</v>
      </c>
      <c r="EM112" s="21" t="n">
        <v>79.554</v>
      </c>
      <c r="EN112" s="21" t="n">
        <v>85.142</v>
      </c>
      <c r="EO112" s="21" t="n">
        <v>91.34099999999999</v>
      </c>
      <c r="EP112" s="21" t="n">
        <v>101.154</v>
      </c>
      <c r="EQ112" s="21" t="n">
        <v>73.899</v>
      </c>
      <c r="ER112" s="21" t="n">
        <v>54.054</v>
      </c>
      <c r="ES112" s="21" t="n">
        <v>158.741</v>
      </c>
      <c r="ET112" s="21" t="n">
        <v>79.827</v>
      </c>
      <c r="EU112" s="21" t="n">
        <v>111.205</v>
      </c>
      <c r="EV112" s="21" t="n">
        <v>121.606</v>
      </c>
      <c r="EW112" s="21" t="n">
        <v>106.636</v>
      </c>
      <c r="EX112" s="21" t="n">
        <v>232.968</v>
      </c>
      <c r="EY112" s="21" t="n">
        <v>147.644</v>
      </c>
      <c r="EZ112" s="21" t="n">
        <v>139.084</v>
      </c>
      <c r="FA112" s="21" t="n">
        <v>201.64</v>
      </c>
      <c r="FB112" s="21" t="n">
        <v>130.956</v>
      </c>
      <c r="FC112" s="21" t="n">
        <v>126.812</v>
      </c>
      <c r="FD112" s="21" t="n">
        <v>130.439</v>
      </c>
      <c r="FE112" s="21" t="n">
        <v>97.17400000000001</v>
      </c>
      <c r="FF112" s="21" t="n">
        <v>183.397</v>
      </c>
      <c r="FG112" s="21" t="n">
        <v>81.239</v>
      </c>
      <c r="FH112" s="21" t="n">
        <v>133.96</v>
      </c>
      <c r="FI112" s="21" t="n">
        <v>113.464</v>
      </c>
      <c r="FJ112" s="21" t="n">
        <v>109.548</v>
      </c>
      <c r="FK112" s="21" t="n">
        <v>110.41</v>
      </c>
      <c r="FL112" s="21" t="n">
        <v>100.73</v>
      </c>
      <c r="FM112" s="21" t="n">
        <v>107.434</v>
      </c>
      <c r="FN112" s="21" t="n">
        <v>75.253</v>
      </c>
      <c r="FO112" s="21" t="n">
        <v>111.8</v>
      </c>
      <c r="FP112" s="21" t="n">
        <v>106.939</v>
      </c>
      <c r="FQ112" s="21" t="n">
        <v>146.376</v>
      </c>
      <c r="FR112" s="21" t="n">
        <v>152.341</v>
      </c>
      <c r="FS112" s="21" t="n">
        <v>167.566</v>
      </c>
      <c r="FT112" s="21" t="n">
        <v>132.565</v>
      </c>
      <c r="FU112" s="21" t="n">
        <v>128.315</v>
      </c>
      <c r="FV112" s="21" t="n">
        <v>195.164</v>
      </c>
      <c r="FW112" s="21" t="n">
        <v>158.669</v>
      </c>
      <c r="FX112" s="21" t="n">
        <v>192.71</v>
      </c>
      <c r="FY112" s="21" t="n">
        <v>274.332</v>
      </c>
      <c r="FZ112" s="21" t="n">
        <v>273.94</v>
      </c>
      <c r="GA112" s="21" t="n">
        <v>126.294</v>
      </c>
      <c r="GB112" s="21" t="n">
        <v>178.756</v>
      </c>
      <c r="GC112" s="21" t="n"/>
      <c r="GD112" s="21" t="n">
        <v>173.646</v>
      </c>
      <c r="GE112" s="21" t="n">
        <v>190.692</v>
      </c>
      <c r="GF112" s="21" t="n"/>
      <c r="GG112" s="21" t="n">
        <v>184.6</v>
      </c>
      <c r="GH112" s="21" t="n">
        <v>118.946</v>
      </c>
      <c r="GI112" s="21" t="n">
        <v>168.08</v>
      </c>
      <c r="GJ112" s="21" t="n">
        <v>314.232</v>
      </c>
      <c r="GK112" s="21" t="n">
        <v>313.054</v>
      </c>
      <c r="GL112" s="21" t="n">
        <v>306.23</v>
      </c>
      <c r="GM112" s="21" t="n">
        <v>342.662</v>
      </c>
      <c r="GN112" s="21" t="n">
        <v>336.272</v>
      </c>
      <c r="GO112" s="21" t="n">
        <v>297.161</v>
      </c>
      <c r="GP112" s="21" t="n">
        <v>179.766</v>
      </c>
      <c r="GQ112" s="21" t="n">
        <v>152.093</v>
      </c>
      <c r="GR112" s="21" t="n">
        <v>404.475</v>
      </c>
      <c r="GS112" s="21" t="n">
        <v>268.199</v>
      </c>
      <c r="GT112" s="21" t="n">
        <v>821.514</v>
      </c>
      <c r="GU112" s="21" t="n">
        <v>234.947</v>
      </c>
      <c r="GV112" s="21" t="n">
        <v>274.574</v>
      </c>
      <c r="GW112" s="21" t="n">
        <v>266.364</v>
      </c>
      <c r="GX112" s="21" t="n">
        <v>267.833</v>
      </c>
      <c r="GY112" s="21" t="n">
        <v>157.356</v>
      </c>
      <c r="GZ112" s="21" t="n"/>
      <c r="HA112" s="21" t="n">
        <v>66.232</v>
      </c>
      <c r="HB112" s="21" t="n">
        <v>559.269</v>
      </c>
      <c r="HC112" s="21" t="n">
        <v>408.919</v>
      </c>
      <c r="HD112" s="21" t="n">
        <v>133.577</v>
      </c>
      <c r="HE112" s="21" t="n">
        <v>549.405</v>
      </c>
      <c r="HF112" s="21" t="n">
        <v>111.044</v>
      </c>
      <c r="HG112" s="21" t="n">
        <v>607.643</v>
      </c>
      <c r="HH112" s="21" t="n">
        <v>424.972</v>
      </c>
      <c r="HI112" s="21" t="n">
        <v>415.118</v>
      </c>
      <c r="HJ112" s="21" t="n">
        <v>591.249</v>
      </c>
      <c r="HK112" s="21" t="n">
        <v>205.856</v>
      </c>
      <c r="HL112" s="21" t="n">
        <v>261.658</v>
      </c>
      <c r="HM112" s="21" t="n">
        <v>98.625</v>
      </c>
      <c r="HN112" s="21" t="n">
        <v>412.365</v>
      </c>
      <c r="HO112" s="21" t="n">
        <v>395.193</v>
      </c>
      <c r="HP112" s="21" t="n">
        <v>912.152</v>
      </c>
      <c r="HQ112" s="21" t="n">
        <v>283.782</v>
      </c>
      <c r="HR112" s="21" t="n">
        <v>137.868</v>
      </c>
      <c r="HS112" s="21" t="n">
        <v>118.307</v>
      </c>
      <c r="HT112" s="21" t="n">
        <v>106.581</v>
      </c>
      <c r="HU112" s="21" t="n">
        <v>585.575</v>
      </c>
      <c r="HV112" s="21" t="n">
        <v>106.569</v>
      </c>
      <c r="HW112" s="21" t="n">
        <v>24.683</v>
      </c>
      <c r="HX112" s="21" t="n">
        <v>223.051</v>
      </c>
      <c r="HY112" s="21" t="n">
        <v>241.732</v>
      </c>
      <c r="HZ112" s="21" t="n">
        <v>191.698</v>
      </c>
      <c r="IA112" s="21" t="n">
        <v>131.164</v>
      </c>
      <c r="IB112" s="21" t="n">
        <v>340.612</v>
      </c>
      <c r="IC112" s="21" t="n">
        <v>247.938</v>
      </c>
      <c r="ID112" s="21" t="n">
        <v>367.749</v>
      </c>
      <c r="IE112" s="21" t="n">
        <v>125.286</v>
      </c>
      <c r="IF112" s="21" t="n">
        <v>172.647</v>
      </c>
      <c r="IG112" s="21" t="n">
        <v>86</v>
      </c>
      <c r="IH112" s="21" t="n">
        <v>87.117</v>
      </c>
      <c r="II112" s="21" t="n">
        <v>68.48</v>
      </c>
      <c r="IJ112" s="21" t="n">
        <v>28.298</v>
      </c>
      <c r="IK112" s="21" t="n">
        <v>33.041</v>
      </c>
      <c r="IL112" s="21" t="n">
        <v>27.907</v>
      </c>
      <c r="IM112" s="21" t="n">
        <v>37.486</v>
      </c>
      <c r="IN112" s="21" t="n">
        <v>107.089</v>
      </c>
      <c r="IO112" s="21" t="n">
        <v>121.1</v>
      </c>
      <c r="IP112" s="21" t="n">
        <v>198.664</v>
      </c>
      <c r="IQ112" s="21" t="n">
        <v>161.24</v>
      </c>
      <c r="IR112" s="21" t="n">
        <v>458.586</v>
      </c>
      <c r="IS112" s="21" t="n">
        <v>226.087</v>
      </c>
      <c r="IT112" s="21" t="n">
        <v>242.989</v>
      </c>
      <c r="IU112" s="21" t="n">
        <v>388.071</v>
      </c>
      <c r="IV112" s="21" t="n">
        <v>288.798</v>
      </c>
      <c r="IW112" s="21" t="n">
        <v>146.053</v>
      </c>
      <c r="IX112" s="21" t="n">
        <v>296.043</v>
      </c>
      <c r="IY112" s="21" t="n">
        <v>686.679</v>
      </c>
      <c r="IZ112" s="21" t="n">
        <v>853.194</v>
      </c>
      <c r="JA112" s="21" t="n">
        <v>929.9640000000001</v>
      </c>
      <c r="JB112" s="21" t="n">
        <v>96.242</v>
      </c>
      <c r="JC112" s="21" t="n">
        <v>361.114</v>
      </c>
      <c r="JD112" s="21" t="n">
        <v>275.617</v>
      </c>
      <c r="JE112" s="21" t="n">
        <v>74.941</v>
      </c>
      <c r="JF112" s="21" t="n">
        <v>238.81</v>
      </c>
      <c r="JG112" s="21" t="n">
        <v>370.45</v>
      </c>
      <c r="JH112" s="21" t="n">
        <v>428.334</v>
      </c>
      <c r="JI112" s="21" t="n">
        <v>70.52800000000001</v>
      </c>
      <c r="JJ112" s="21" t="n">
        <v>105.759</v>
      </c>
      <c r="JK112" s="21" t="n">
        <v>36.528</v>
      </c>
      <c r="JL112" s="21" t="n">
        <v>87.102</v>
      </c>
      <c r="JM112" s="21" t="n">
        <v>109.273</v>
      </c>
      <c r="JN112" s="21" t="n">
        <v>553.049</v>
      </c>
      <c r="JO112" s="21" t="n">
        <v>95.161</v>
      </c>
      <c r="JP112" s="21" t="n">
        <v>628.544</v>
      </c>
      <c r="JQ112" s="21" t="n">
        <v>280.04</v>
      </c>
      <c r="JR112" s="21" t="n">
        <v>179.419</v>
      </c>
      <c r="JS112" s="21" t="n">
        <v>549.966</v>
      </c>
      <c r="JT112" s="21" t="n">
        <v>446.314</v>
      </c>
      <c r="JU112" s="21" t="n">
        <v>395.364</v>
      </c>
      <c r="JV112" s="21" t="n">
        <v>224.083</v>
      </c>
      <c r="JW112" s="21" t="n">
        <v>436.668</v>
      </c>
      <c r="JX112" s="21" t="n">
        <v>338.584</v>
      </c>
      <c r="JY112" s="21" t="n">
        <v>86.40300000000001</v>
      </c>
      <c r="JZ112" s="21" t="n">
        <v>198.604</v>
      </c>
      <c r="KA112" s="21" t="n">
        <v>300.411</v>
      </c>
      <c r="KB112" s="21" t="n">
        <v>317.545</v>
      </c>
      <c r="KC112" s="21" t="n">
        <v>309.936</v>
      </c>
      <c r="KD112" s="21" t="n">
        <v>316.792</v>
      </c>
      <c r="KE112" s="21" t="n">
        <v>283.209</v>
      </c>
      <c r="KF112" s="21" t="n">
        <v>272.228</v>
      </c>
      <c r="KG112" s="21" t="n">
        <v>273.077</v>
      </c>
      <c r="KH112" s="21" t="n">
        <v>278.005</v>
      </c>
      <c r="KI112" s="21" t="n">
        <v>122.559</v>
      </c>
      <c r="KJ112" s="21" t="n">
        <v>224.073</v>
      </c>
      <c r="KK112" s="21" t="n">
        <v>180.32</v>
      </c>
      <c r="KL112" s="21" t="n">
        <v>176.589</v>
      </c>
      <c r="KM112" s="21" t="n">
        <v>165.775</v>
      </c>
      <c r="KN112" s="21" t="n">
        <v>163.759</v>
      </c>
      <c r="KO112" s="21" t="n">
        <v>315.615</v>
      </c>
      <c r="KP112" s="21" t="n">
        <v>124.163</v>
      </c>
      <c r="KQ112" s="21" t="n">
        <v>56.616</v>
      </c>
      <c r="KR112" s="21" t="n">
        <v>122.311</v>
      </c>
      <c r="KS112" s="21" t="n">
        <v>288.688</v>
      </c>
      <c r="KT112" s="21" t="n">
        <v>319.804</v>
      </c>
      <c r="KU112" s="21" t="n">
        <v>106.112</v>
      </c>
      <c r="KV112" s="21" t="n">
        <v>39.135</v>
      </c>
      <c r="KW112" s="21" t="n">
        <v>276.989</v>
      </c>
      <c r="KX112" s="21" t="n">
        <v>234.027</v>
      </c>
      <c r="KY112" s="21" t="n">
        <v>295.518</v>
      </c>
      <c r="KZ112" s="21" t="n">
        <v>230.594</v>
      </c>
      <c r="LA112" s="21" t="n">
        <v>297.79</v>
      </c>
      <c r="LB112" s="21" t="n">
        <v>139.144</v>
      </c>
      <c r="LC112" s="21" t="n">
        <v>413.239</v>
      </c>
      <c r="LD112" s="21" t="n">
        <v>84.61199999999999</v>
      </c>
      <c r="LE112" s="21" t="n">
        <v>149.085</v>
      </c>
      <c r="LF112" s="21" t="n">
        <v>413.473</v>
      </c>
      <c r="LG112" s="21" t="n">
        <v>399.454</v>
      </c>
      <c r="LH112" s="21" t="n">
        <v>412.733</v>
      </c>
      <c r="LI112" s="21" t="n">
        <v>383.55</v>
      </c>
      <c r="LJ112" s="21" t="n">
        <v>413.963</v>
      </c>
      <c r="LK112" s="21" t="n">
        <v>131.479</v>
      </c>
      <c r="LL112" s="21" t="n">
        <v>428.464</v>
      </c>
      <c r="LM112" s="21" t="n">
        <v>260.406</v>
      </c>
      <c r="LN112" s="21" t="n">
        <v>32.627</v>
      </c>
      <c r="LO112" s="21" t="n">
        <v>154.526</v>
      </c>
    </row>
    <row r="113">
      <c r="A113" s="22" t="n">
        <v>45383</v>
      </c>
      <c r="B113" s="21" t="n">
        <v>313.023</v>
      </c>
      <c r="C113" s="21" t="n">
        <v>325.894</v>
      </c>
      <c r="D113" s="21" t="n">
        <v>328.449</v>
      </c>
      <c r="E113" s="21" t="n">
        <v>305.354</v>
      </c>
      <c r="F113" s="21" t="n">
        <v>355.999</v>
      </c>
      <c r="G113" s="21" t="n">
        <v>290.331</v>
      </c>
      <c r="H113" s="21" t="n">
        <v>326.727</v>
      </c>
      <c r="I113" s="21" t="n">
        <v>281.413</v>
      </c>
      <c r="J113" s="21" t="n">
        <v>294.008</v>
      </c>
      <c r="K113" s="21" t="n">
        <v>394.257</v>
      </c>
      <c r="L113" s="21" t="n">
        <v>236.535</v>
      </c>
      <c r="M113" s="21" t="n">
        <v>231.445</v>
      </c>
      <c r="N113" s="21" t="n">
        <v>371.092</v>
      </c>
      <c r="O113" s="21" t="n">
        <v>349.456</v>
      </c>
      <c r="P113" s="21" t="n">
        <v>356.143</v>
      </c>
      <c r="Q113" s="21" t="n">
        <v>432.089</v>
      </c>
      <c r="R113" s="21" t="n">
        <v>350.138</v>
      </c>
      <c r="S113" s="21" t="n">
        <v>322.168</v>
      </c>
      <c r="T113" s="21" t="n">
        <v>324.995</v>
      </c>
      <c r="U113" s="21" t="n">
        <v>333.205</v>
      </c>
      <c r="V113" s="21" t="n">
        <v>420.17</v>
      </c>
      <c r="W113" s="21" t="n">
        <v>355.258</v>
      </c>
      <c r="X113" s="21" t="n">
        <v>339.93</v>
      </c>
      <c r="Y113" s="21" t="n">
        <v>283.53</v>
      </c>
      <c r="Z113" s="21" t="n">
        <v>266.043</v>
      </c>
      <c r="AA113" s="21" t="n">
        <v>201.033</v>
      </c>
      <c r="AB113" s="21" t="n">
        <v>372.252</v>
      </c>
      <c r="AC113" s="21" t="n">
        <v>188.104</v>
      </c>
      <c r="AD113" s="21" t="n">
        <v>244.677</v>
      </c>
      <c r="AE113" s="21" t="n">
        <v>271.87</v>
      </c>
      <c r="AF113" s="21" t="n">
        <v>240.083</v>
      </c>
      <c r="AG113" s="21" t="n">
        <v>160.134</v>
      </c>
      <c r="AH113" s="21" t="n">
        <v>286.94</v>
      </c>
      <c r="AI113" s="21" t="n">
        <v>302.249</v>
      </c>
      <c r="AJ113" s="21" t="n">
        <v>187.408</v>
      </c>
      <c r="AK113" s="21" t="n">
        <v>304.274</v>
      </c>
      <c r="AL113" s="21" t="n">
        <v>194.164</v>
      </c>
      <c r="AM113" s="21" t="n">
        <v>324.894</v>
      </c>
      <c r="AN113" s="21" t="n">
        <v>289.264</v>
      </c>
      <c r="AO113" s="21" t="n">
        <v>204.787</v>
      </c>
      <c r="AP113" s="21" t="n">
        <v>349.925</v>
      </c>
      <c r="AQ113" s="21" t="n">
        <v>220.703</v>
      </c>
      <c r="AR113" s="21" t="n">
        <v>173.39</v>
      </c>
      <c r="AS113" s="21" t="n">
        <v>247.993</v>
      </c>
      <c r="AT113" s="21" t="n">
        <v>366.098</v>
      </c>
      <c r="AU113" s="21" t="n">
        <v>289.024</v>
      </c>
      <c r="AV113" s="21" t="n">
        <v>267.474</v>
      </c>
      <c r="AW113" s="21" t="n">
        <v>173.711</v>
      </c>
      <c r="AX113" s="21" t="n">
        <v>248.44</v>
      </c>
      <c r="AY113" s="21" t="n">
        <v>180.276</v>
      </c>
      <c r="AZ113" s="21" t="n">
        <v>262.278</v>
      </c>
      <c r="BA113" s="21" t="n">
        <v>278.126</v>
      </c>
      <c r="BB113" s="21" t="n">
        <v>188.955</v>
      </c>
      <c r="BC113" s="21" t="n">
        <v>352.633</v>
      </c>
      <c r="BD113" s="21" t="n">
        <v>396.418</v>
      </c>
      <c r="BE113" s="21" t="n">
        <v>406.561</v>
      </c>
      <c r="BF113" s="21" t="n">
        <v>332.941</v>
      </c>
      <c r="BG113" s="21" t="n">
        <v>210.049</v>
      </c>
      <c r="BH113" s="21" t="n">
        <v>289.583</v>
      </c>
      <c r="BI113" s="21" t="n">
        <v>577.562</v>
      </c>
      <c r="BJ113" s="21" t="n">
        <v>141.259</v>
      </c>
      <c r="BK113" s="21" t="n">
        <v>384.325</v>
      </c>
      <c r="BL113" s="21" t="n">
        <v>424.891</v>
      </c>
      <c r="BM113" s="21" t="n">
        <v>418.836</v>
      </c>
      <c r="BN113" s="21" t="n">
        <v>365.938</v>
      </c>
      <c r="BO113" s="21" t="n">
        <v>378.404</v>
      </c>
      <c r="BP113" s="21" t="n">
        <v>203.445</v>
      </c>
      <c r="BQ113" s="21" t="n">
        <v>217.491</v>
      </c>
      <c r="BR113" s="21" t="n">
        <v>203.069</v>
      </c>
      <c r="BS113" s="21" t="n">
        <v>233.98</v>
      </c>
      <c r="BT113" s="21" t="n">
        <v>187.301</v>
      </c>
      <c r="BU113" s="21" t="n">
        <v>266.29</v>
      </c>
      <c r="BV113" s="21" t="n">
        <v>192.069</v>
      </c>
      <c r="BW113" s="21" t="n">
        <v>219.668</v>
      </c>
      <c r="BX113" s="21" t="n">
        <v>175.67</v>
      </c>
      <c r="BY113" s="21" t="n">
        <v>230.033</v>
      </c>
      <c r="BZ113" s="21" t="n">
        <v>154.556</v>
      </c>
      <c r="CA113" s="21" t="n">
        <v>141.191</v>
      </c>
      <c r="CB113" s="21" t="n">
        <v>232.818</v>
      </c>
      <c r="CC113" s="21" t="n">
        <v>245.02</v>
      </c>
      <c r="CD113" s="21" t="n">
        <v>159.895</v>
      </c>
      <c r="CE113" s="21" t="n">
        <v>272.615</v>
      </c>
      <c r="CF113" s="21" t="n">
        <v>289.23</v>
      </c>
      <c r="CG113" s="21" t="n">
        <v>269.117</v>
      </c>
      <c r="CH113" s="21" t="n">
        <v>195.369</v>
      </c>
      <c r="CI113" s="21" t="n">
        <v>196.607</v>
      </c>
      <c r="CJ113" s="21" t="n">
        <v>317.345</v>
      </c>
      <c r="CK113" s="21" t="n">
        <v>279.588</v>
      </c>
      <c r="CL113" s="21" t="n">
        <v>314.026</v>
      </c>
      <c r="CM113" s="21" t="n">
        <v>461.99</v>
      </c>
      <c r="CN113" s="21" t="n">
        <v>173.576</v>
      </c>
      <c r="CO113" s="21" t="n">
        <v>226.389</v>
      </c>
      <c r="CP113" s="21" t="n">
        <v>286.584</v>
      </c>
      <c r="CQ113" s="21" t="n">
        <v>313.984</v>
      </c>
      <c r="CR113" s="21" t="n">
        <v>209.637</v>
      </c>
      <c r="CS113" s="21" t="n">
        <v>309.903</v>
      </c>
      <c r="CT113" s="21" t="n">
        <v>313.62</v>
      </c>
      <c r="CU113" s="21" t="n">
        <v>191.714</v>
      </c>
      <c r="CV113" s="21" t="n">
        <v>190.214</v>
      </c>
      <c r="CW113" s="21" t="n">
        <v>185.186</v>
      </c>
      <c r="CX113" s="21" t="n">
        <v>364.845</v>
      </c>
      <c r="CY113" s="21" t="n">
        <v>171.142</v>
      </c>
      <c r="CZ113" s="21" t="n">
        <v>154.66</v>
      </c>
      <c r="DA113" s="21" t="n">
        <v>365.813</v>
      </c>
      <c r="DB113" s="21" t="n">
        <v>224.294</v>
      </c>
      <c r="DC113" s="21" t="n">
        <v>200.031</v>
      </c>
      <c r="DD113" s="21" t="n">
        <v>196.006</v>
      </c>
      <c r="DE113" s="21" t="n">
        <v>242.46</v>
      </c>
      <c r="DF113" s="21" t="n">
        <v>289.717</v>
      </c>
      <c r="DG113" s="21" t="n">
        <v>228.659</v>
      </c>
      <c r="DH113" s="21" t="n">
        <v>274.594</v>
      </c>
      <c r="DI113" s="21" t="n">
        <v>209.046</v>
      </c>
      <c r="DJ113" s="21" t="n">
        <v>221.966</v>
      </c>
      <c r="DK113" s="21" t="n">
        <v>204.671</v>
      </c>
      <c r="DL113" s="21" t="n">
        <v>182.539</v>
      </c>
      <c r="DM113" s="21" t="n">
        <v>426.284</v>
      </c>
      <c r="DN113" s="21" t="n">
        <v>236.036</v>
      </c>
      <c r="DO113" s="21" t="n">
        <v>331.697</v>
      </c>
      <c r="DP113" s="21" t="n">
        <v>397.196</v>
      </c>
      <c r="DQ113" s="21" t="n">
        <v>416.49</v>
      </c>
      <c r="DR113" s="21" t="n">
        <v>189.24</v>
      </c>
      <c r="DS113" s="21" t="n">
        <v>638.2140000000001</v>
      </c>
      <c r="DT113" s="21" t="n">
        <v>389.578</v>
      </c>
      <c r="DU113" s="21" t="n">
        <v>407.788</v>
      </c>
      <c r="DV113" s="21" t="n">
        <v>407.837</v>
      </c>
      <c r="DW113" s="21" t="n">
        <v>313.966</v>
      </c>
      <c r="DX113" s="21" t="n">
        <v>263.253</v>
      </c>
      <c r="DY113" s="21" t="n">
        <v>377.48</v>
      </c>
      <c r="DZ113" s="21" t="n">
        <v>380.868</v>
      </c>
      <c r="EA113" s="21" t="n">
        <v>433.693</v>
      </c>
      <c r="EB113" s="21" t="n">
        <v>267.394</v>
      </c>
      <c r="EC113" s="21" t="n">
        <v>279.303</v>
      </c>
      <c r="ED113" s="21" t="n">
        <v>226.302</v>
      </c>
      <c r="EE113" s="21" t="n">
        <v>300.178</v>
      </c>
      <c r="EF113" s="21" t="n">
        <v>688.533</v>
      </c>
      <c r="EG113" s="21" t="n">
        <v>611.073</v>
      </c>
      <c r="EH113" s="21" t="n">
        <v>147.07</v>
      </c>
      <c r="EI113" s="21" t="n">
        <v>61.037</v>
      </c>
      <c r="EJ113" s="21" t="n">
        <v>81.642</v>
      </c>
      <c r="EK113" s="21" t="n">
        <v>41.086</v>
      </c>
      <c r="EL113" s="21" t="n">
        <v>132.445</v>
      </c>
      <c r="EM113" s="21" t="n">
        <v>78.05800000000001</v>
      </c>
      <c r="EN113" s="21" t="n">
        <v>84.545</v>
      </c>
      <c r="EO113" s="21" t="n">
        <v>90.34999999999999</v>
      </c>
      <c r="EP113" s="21" t="n">
        <v>104.844</v>
      </c>
      <c r="EQ113" s="21" t="n">
        <v>73.831</v>
      </c>
      <c r="ER113" s="21" t="n">
        <v>54.107</v>
      </c>
      <c r="ES113" s="21" t="n">
        <v>160.194</v>
      </c>
      <c r="ET113" s="21" t="n">
        <v>78.251</v>
      </c>
      <c r="EU113" s="21" t="n">
        <v>110.476</v>
      </c>
      <c r="EV113" s="21" t="n">
        <v>122.059</v>
      </c>
      <c r="EW113" s="21" t="n">
        <v>105.079</v>
      </c>
      <c r="EX113" s="21" t="n">
        <v>233.471</v>
      </c>
      <c r="EY113" s="21" t="n">
        <v>147.61</v>
      </c>
      <c r="EZ113" s="21" t="n">
        <v>139.604</v>
      </c>
      <c r="FA113" s="21" t="n">
        <v>202.842</v>
      </c>
      <c r="FB113" s="21" t="n">
        <v>132.237</v>
      </c>
      <c r="FC113" s="21" t="n">
        <v>128.521</v>
      </c>
      <c r="FD113" s="21" t="n">
        <v>131.651</v>
      </c>
      <c r="FE113" s="21" t="n">
        <v>95.875</v>
      </c>
      <c r="FF113" s="21" t="n">
        <v>185.151</v>
      </c>
      <c r="FG113" s="21" t="n">
        <v>83.414</v>
      </c>
      <c r="FH113" s="21" t="n">
        <v>135.667</v>
      </c>
      <c r="FI113" s="21" t="n">
        <v>115.819</v>
      </c>
      <c r="FJ113" s="21" t="n">
        <v>110.851</v>
      </c>
      <c r="FK113" s="21" t="n">
        <v>111.957</v>
      </c>
      <c r="FL113" s="21" t="n">
        <v>99.44</v>
      </c>
      <c r="FM113" s="21" t="n">
        <v>110.121</v>
      </c>
      <c r="FN113" s="21" t="n">
        <v>76.167</v>
      </c>
      <c r="FO113" s="21" t="n">
        <v>112.705</v>
      </c>
      <c r="FP113" s="21" t="n">
        <v>106.689</v>
      </c>
      <c r="FQ113" s="21" t="n">
        <v>146.747</v>
      </c>
      <c r="FR113" s="21" t="n">
        <v>152.906</v>
      </c>
      <c r="FS113" s="21" t="n">
        <v>166.945</v>
      </c>
      <c r="FT113" s="21" t="n">
        <v>132.986</v>
      </c>
      <c r="FU113" s="21" t="n">
        <v>127.795</v>
      </c>
      <c r="FV113" s="21" t="n">
        <v>197.66</v>
      </c>
      <c r="FW113" s="21" t="n">
        <v>158.232</v>
      </c>
      <c r="FX113" s="21" t="n">
        <v>195.761</v>
      </c>
      <c r="FY113" s="21" t="n">
        <v>274.564</v>
      </c>
      <c r="FZ113" s="21" t="n">
        <v>274.016</v>
      </c>
      <c r="GA113" s="21" t="n">
        <v>125.39</v>
      </c>
      <c r="GB113" s="21" t="n">
        <v>178.188</v>
      </c>
      <c r="GC113" s="21" t="n"/>
      <c r="GD113" s="21" t="n">
        <v>172.683</v>
      </c>
      <c r="GE113" s="21" t="n">
        <v>190.19</v>
      </c>
      <c r="GF113" s="21" t="n"/>
      <c r="GG113" s="21" t="n">
        <v>181.983</v>
      </c>
      <c r="GH113" s="21" t="n"/>
      <c r="GI113" s="21" t="n">
        <v>162.69</v>
      </c>
      <c r="GJ113" s="21" t="n">
        <v>313.63</v>
      </c>
      <c r="GK113" s="21" t="n">
        <v>312.728</v>
      </c>
      <c r="GL113" s="21" t="n">
        <v>305.963</v>
      </c>
      <c r="GM113" s="21" t="n">
        <v>341.529</v>
      </c>
      <c r="GN113" s="21" t="n">
        <v>335.939</v>
      </c>
      <c r="GO113" s="21" t="n">
        <v>297.106</v>
      </c>
      <c r="GP113" s="21" t="n">
        <v>179.504</v>
      </c>
      <c r="GQ113" s="21" t="n">
        <v>151.653</v>
      </c>
      <c r="GR113" s="21" t="n">
        <v>404.38</v>
      </c>
      <c r="GS113" s="21" t="n">
        <v>268.324</v>
      </c>
      <c r="GT113" s="21" t="n">
        <v>836.477</v>
      </c>
      <c r="GU113" s="21" t="n">
        <v>239.047</v>
      </c>
      <c r="GV113" s="21" t="n">
        <v>279.42</v>
      </c>
      <c r="GW113" s="21" t="n">
        <v>268.637</v>
      </c>
      <c r="GX113" s="21" t="n">
        <v>269.466</v>
      </c>
      <c r="GY113" s="21" t="n">
        <v>158.083</v>
      </c>
      <c r="GZ113" s="21" t="n"/>
      <c r="HA113" s="21" t="n">
        <v>66.953</v>
      </c>
      <c r="HB113" s="21" t="n">
        <v>561.275</v>
      </c>
      <c r="HC113" s="21" t="n">
        <v>410.743</v>
      </c>
      <c r="HD113" s="21" t="n">
        <v>134.266</v>
      </c>
      <c r="HE113" s="21" t="n">
        <v>550.678</v>
      </c>
      <c r="HF113" s="21" t="n">
        <v>111.814</v>
      </c>
      <c r="HG113" s="21" t="n">
        <v>609.702</v>
      </c>
      <c r="HH113" s="21" t="n">
        <v>425.213</v>
      </c>
      <c r="HI113" s="21" t="n">
        <v>415.648</v>
      </c>
      <c r="HJ113" s="21" t="n">
        <v>591.931</v>
      </c>
      <c r="HK113" s="21" t="n">
        <v>207.792</v>
      </c>
      <c r="HL113" s="21" t="n">
        <v>259.595</v>
      </c>
      <c r="HM113" s="21" t="n">
        <v>99.20099999999999</v>
      </c>
      <c r="HN113" s="21" t="n">
        <v>415.025</v>
      </c>
      <c r="HO113" s="21" t="n">
        <v>398.315</v>
      </c>
      <c r="HP113" s="21" t="n">
        <v>915.379</v>
      </c>
      <c r="HQ113" s="21" t="n">
        <v>284.751</v>
      </c>
      <c r="HR113" s="21" t="n">
        <v>138.193</v>
      </c>
      <c r="HS113" s="21" t="n">
        <v>118.936</v>
      </c>
      <c r="HT113" s="21" t="n">
        <v>105.705</v>
      </c>
      <c r="HU113" s="21" t="n">
        <v>589.982</v>
      </c>
      <c r="HV113" s="21" t="n">
        <v>105.108</v>
      </c>
      <c r="HW113" s="21" t="n">
        <v>24.836</v>
      </c>
      <c r="HX113" s="21" t="n">
        <v>222.508</v>
      </c>
      <c r="HY113" s="21" t="n">
        <v>240.037</v>
      </c>
      <c r="HZ113" s="21" t="n">
        <v>190.83</v>
      </c>
      <c r="IA113" s="21" t="n">
        <v>129.542</v>
      </c>
      <c r="IB113" s="21" t="n">
        <v>342.017</v>
      </c>
      <c r="IC113" s="21" t="n">
        <v>246.751</v>
      </c>
      <c r="ID113" s="21" t="n">
        <v>370.786</v>
      </c>
      <c r="IE113" s="21" t="n">
        <v>126.442</v>
      </c>
      <c r="IF113" s="21" t="n">
        <v>175.089</v>
      </c>
      <c r="IG113" s="21" t="n">
        <v>85.94799999999999</v>
      </c>
      <c r="IH113" s="21" t="n">
        <v>87.154</v>
      </c>
      <c r="II113" s="21" t="n">
        <v>68.42100000000001</v>
      </c>
      <c r="IJ113" s="21" t="n">
        <v>28.236</v>
      </c>
      <c r="IK113" s="21" t="n">
        <v>32.954</v>
      </c>
      <c r="IL113" s="21" t="n">
        <v>27.88</v>
      </c>
      <c r="IM113" s="21" t="n">
        <v>37.411</v>
      </c>
      <c r="IN113" s="21" t="n">
        <v>106.657</v>
      </c>
      <c r="IO113" s="21" t="n">
        <v>119.219</v>
      </c>
      <c r="IP113" s="21" t="n">
        <v>199.088</v>
      </c>
      <c r="IQ113" s="21" t="n">
        <v>161.544</v>
      </c>
      <c r="IR113" s="21" t="n">
        <v>458.796</v>
      </c>
      <c r="IS113" s="21" t="n">
        <v>225.907</v>
      </c>
      <c r="IT113" s="21" t="n">
        <v>245.517</v>
      </c>
      <c r="IU113" s="21" t="n">
        <v>390.726</v>
      </c>
      <c r="IV113" s="21" t="n">
        <v>287.743</v>
      </c>
      <c r="IW113" s="21" t="n">
        <v>146.328</v>
      </c>
      <c r="IX113" s="21" t="n">
        <v>296.999</v>
      </c>
      <c r="IY113" s="21" t="n">
        <v>698.591</v>
      </c>
      <c r="IZ113" s="21" t="n">
        <v>855.546</v>
      </c>
      <c r="JA113" s="21" t="n">
        <v>931.454</v>
      </c>
      <c r="JB113" s="21" t="n">
        <v>96.45399999999999</v>
      </c>
      <c r="JC113" s="21" t="n">
        <v>363.061</v>
      </c>
      <c r="JD113" s="21" t="n">
        <v>275.675</v>
      </c>
      <c r="JE113" s="21" t="n">
        <v>75.009</v>
      </c>
      <c r="JF113" s="21" t="n">
        <v>240.071</v>
      </c>
      <c r="JG113" s="21" t="n">
        <v>372.265</v>
      </c>
      <c r="JH113" s="21" t="n">
        <v>431.66</v>
      </c>
      <c r="JI113" s="21" t="n">
        <v>70.586</v>
      </c>
      <c r="JJ113" s="21" t="n">
        <v>105.804</v>
      </c>
      <c r="JK113" s="21" t="n">
        <v>36.865</v>
      </c>
      <c r="JL113" s="21" t="n">
        <v>87.45399999999999</v>
      </c>
      <c r="JM113" s="21" t="n">
        <v>107.759</v>
      </c>
      <c r="JN113" s="21" t="n">
        <v>554.957</v>
      </c>
      <c r="JO113" s="21" t="n">
        <v>95.20699999999999</v>
      </c>
      <c r="JP113" s="21" t="n">
        <v>627.3920000000001</v>
      </c>
      <c r="JQ113" s="21" t="n">
        <v>281.198</v>
      </c>
      <c r="JR113" s="21" t="n">
        <v>179.069</v>
      </c>
      <c r="JS113" s="21" t="n">
        <v>555.152</v>
      </c>
      <c r="JT113" s="21" t="n"/>
      <c r="JU113" s="21" t="n">
        <v>397.599</v>
      </c>
      <c r="JV113" s="21" t="n">
        <v>227.954</v>
      </c>
      <c r="JW113" s="21" t="n">
        <v>447.659</v>
      </c>
      <c r="JX113" s="21" t="n">
        <v>349.633</v>
      </c>
      <c r="JY113" s="21" t="n">
        <v>86.011</v>
      </c>
      <c r="JZ113" s="21" t="n">
        <v>197.822</v>
      </c>
      <c r="KA113" s="21" t="n">
        <v>301.025</v>
      </c>
      <c r="KB113" s="21" t="n">
        <v>318.375</v>
      </c>
      <c r="KC113" s="21" t="n">
        <v>310.613</v>
      </c>
      <c r="KD113" s="21" t="n">
        <v>317.649</v>
      </c>
      <c r="KE113" s="21" t="n">
        <v>283.617</v>
      </c>
      <c r="KF113" s="21" t="n">
        <v>272.575</v>
      </c>
      <c r="KG113" s="21" t="n">
        <v>273.645</v>
      </c>
      <c r="KH113" s="21" t="n">
        <v>278.796</v>
      </c>
      <c r="KI113" s="21" t="n">
        <v>123.992</v>
      </c>
      <c r="KJ113" s="21" t="n">
        <v>224.089</v>
      </c>
      <c r="KK113" s="21" t="n">
        <v>180.12</v>
      </c>
      <c r="KL113" s="21" t="n">
        <v>176.377</v>
      </c>
      <c r="KM113" s="21" t="n">
        <v>165.598</v>
      </c>
      <c r="KN113" s="21" t="n">
        <v>163.835</v>
      </c>
      <c r="KO113" s="21" t="n">
        <v>316.011</v>
      </c>
      <c r="KP113" s="21" t="n">
        <v>123.474</v>
      </c>
      <c r="KQ113" s="21" t="n">
        <v>56.491</v>
      </c>
      <c r="KR113" s="21" t="n">
        <v>122.627</v>
      </c>
      <c r="KS113" s="21" t="n">
        <v>287.611</v>
      </c>
      <c r="KT113" s="21" t="n">
        <v>319.382</v>
      </c>
      <c r="KU113" s="21" t="n">
        <v>105.733</v>
      </c>
      <c r="KV113" s="21" t="n">
        <v>38.969</v>
      </c>
      <c r="KW113" s="21" t="n">
        <v>278.043</v>
      </c>
      <c r="KX113" s="21" t="n">
        <v>236.031</v>
      </c>
      <c r="KY113" s="21" t="n">
        <v>297.818</v>
      </c>
      <c r="KZ113" s="21" t="n">
        <v>232.734</v>
      </c>
      <c r="LA113" s="21" t="n">
        <v>300.358</v>
      </c>
      <c r="LB113" s="21" t="n">
        <v>138.964</v>
      </c>
      <c r="LC113" s="21" t="n">
        <v>415.033</v>
      </c>
      <c r="LD113" s="21" t="n">
        <v>84.566</v>
      </c>
      <c r="LE113" s="21" t="n">
        <v>149.706</v>
      </c>
      <c r="LF113" s="21" t="n">
        <v>414.984</v>
      </c>
      <c r="LG113" s="21" t="n">
        <v>400.83</v>
      </c>
      <c r="LH113" s="21" t="n">
        <v>414.371</v>
      </c>
      <c r="LI113" s="21" t="n">
        <v>384.605</v>
      </c>
      <c r="LJ113" s="21" t="n">
        <v>414.637</v>
      </c>
      <c r="LK113" s="21" t="n">
        <v>130.617</v>
      </c>
      <c r="LL113" s="21" t="n">
        <v>432.501</v>
      </c>
      <c r="LM113" s="21" t="n">
        <v>259.829</v>
      </c>
      <c r="LN113" s="21" t="n">
        <v>32.474</v>
      </c>
      <c r="LO113" s="21" t="n">
        <v>155.832</v>
      </c>
    </row>
    <row r="114">
      <c r="A114" s="22" t="n">
        <v>45413</v>
      </c>
      <c r="B114" s="21" t="n">
        <v>313.175</v>
      </c>
      <c r="C114" s="21" t="n">
        <v>326.385</v>
      </c>
      <c r="D114" s="21" t="n">
        <v>328.949</v>
      </c>
      <c r="E114" s="21" t="n">
        <v>305.414</v>
      </c>
      <c r="F114" s="21" t="n">
        <v>356.371</v>
      </c>
      <c r="G114" s="21" t="n">
        <v>287.792</v>
      </c>
      <c r="H114" s="21" t="n">
        <v>321.639</v>
      </c>
      <c r="I114" s="21" t="n">
        <v>282.447</v>
      </c>
      <c r="J114" s="21" t="n">
        <v>289.476</v>
      </c>
      <c r="K114" s="21" t="n">
        <v>396.517</v>
      </c>
      <c r="L114" s="21" t="n">
        <v>239.025</v>
      </c>
      <c r="M114" s="21" t="n">
        <v>235.78</v>
      </c>
      <c r="N114" s="21" t="n">
        <v>371.021</v>
      </c>
      <c r="O114" s="21" t="n">
        <v>349.133</v>
      </c>
      <c r="P114" s="21" t="n">
        <v>355.052</v>
      </c>
      <c r="Q114" s="21" t="n">
        <v>434.763</v>
      </c>
      <c r="R114" s="21" t="n">
        <v>347.475</v>
      </c>
      <c r="S114" s="21" t="n">
        <v>323.771</v>
      </c>
      <c r="T114" s="21" t="n">
        <v>325.985</v>
      </c>
      <c r="U114" s="21" t="n">
        <v>334.794</v>
      </c>
      <c r="V114" s="21" t="n">
        <v>419.682</v>
      </c>
      <c r="W114" s="21" t="n">
        <v>358.813</v>
      </c>
      <c r="X114" s="21" t="n">
        <v>332.771</v>
      </c>
      <c r="Y114" s="21" t="n">
        <v>282.567</v>
      </c>
      <c r="Z114" s="21" t="n">
        <v>267.889</v>
      </c>
      <c r="AA114" s="21" t="n">
        <v>202.131</v>
      </c>
      <c r="AB114" s="21" t="n">
        <v>377.69</v>
      </c>
      <c r="AC114" s="21" t="n">
        <v>186.453</v>
      </c>
      <c r="AD114" s="21" t="n">
        <v>244.131</v>
      </c>
      <c r="AE114" s="21" t="n">
        <v>270.367</v>
      </c>
      <c r="AF114" s="21" t="n">
        <v>243.287</v>
      </c>
      <c r="AG114" s="21" t="n">
        <v>163.172</v>
      </c>
      <c r="AH114" s="21" t="n">
        <v>290.752</v>
      </c>
      <c r="AI114" s="21" t="n">
        <v>304.317</v>
      </c>
      <c r="AJ114" s="21" t="n">
        <v>189.517</v>
      </c>
      <c r="AK114" s="21" t="n">
        <v>303.409</v>
      </c>
      <c r="AL114" s="21" t="n">
        <v>194.409</v>
      </c>
      <c r="AM114" s="21" t="n">
        <v>324.851</v>
      </c>
      <c r="AN114" s="21" t="n">
        <v>289.774</v>
      </c>
      <c r="AO114" s="21" t="n">
        <v>199.107</v>
      </c>
      <c r="AP114" s="21" t="n">
        <v>351.067</v>
      </c>
      <c r="AQ114" s="21" t="n">
        <v>218.895</v>
      </c>
      <c r="AR114" s="21" t="n">
        <v>173.464</v>
      </c>
      <c r="AS114" s="21" t="n">
        <v>252.744</v>
      </c>
      <c r="AT114" s="21" t="n">
        <v>369.213</v>
      </c>
      <c r="AU114" s="21" t="n">
        <v>297.902</v>
      </c>
      <c r="AV114" s="21" t="n">
        <v>266.749</v>
      </c>
      <c r="AW114" s="21" t="n">
        <v>172.936</v>
      </c>
      <c r="AX114" s="21" t="n">
        <v>249.118</v>
      </c>
      <c r="AY114" s="21" t="n">
        <v>178.996</v>
      </c>
      <c r="AZ114" s="21" t="n">
        <v>260.84</v>
      </c>
      <c r="BA114" s="21" t="n">
        <v>275.81</v>
      </c>
      <c r="BB114" s="21" t="n">
        <v>190.195</v>
      </c>
      <c r="BC114" s="21" t="n">
        <v>352.057</v>
      </c>
      <c r="BD114" s="21" t="n">
        <v>395.609</v>
      </c>
      <c r="BE114" s="21" t="n">
        <v>406.883</v>
      </c>
      <c r="BF114" s="21" t="n">
        <v>334.161</v>
      </c>
      <c r="BG114" s="21" t="n">
        <v>210.238</v>
      </c>
      <c r="BH114" s="21" t="n">
        <v>289.004</v>
      </c>
      <c r="BI114" s="21" t="n">
        <v>583.134</v>
      </c>
      <c r="BJ114" s="21" t="n">
        <v>142.498</v>
      </c>
      <c r="BK114" s="21" t="n">
        <v>382.332</v>
      </c>
      <c r="BL114" s="21" t="n">
        <v>420.485</v>
      </c>
      <c r="BM114" s="21" t="n">
        <v>420.925</v>
      </c>
      <c r="BN114" s="21" t="n">
        <v>365.19</v>
      </c>
      <c r="BO114" s="21" t="n">
        <v>376.536</v>
      </c>
      <c r="BP114" s="21" t="n">
        <v>203.37</v>
      </c>
      <c r="BQ114" s="21" t="n">
        <v>215.892</v>
      </c>
      <c r="BR114" s="21" t="n">
        <v>205.639</v>
      </c>
      <c r="BS114" s="21" t="n">
        <v>230.692</v>
      </c>
      <c r="BT114" s="21" t="n">
        <v>187.404</v>
      </c>
      <c r="BU114" s="21" t="n">
        <v>266.077</v>
      </c>
      <c r="BV114" s="21" t="n">
        <v>192.414</v>
      </c>
      <c r="BW114" s="21" t="n">
        <v>219.471</v>
      </c>
      <c r="BX114" s="21" t="n">
        <v>175.306</v>
      </c>
      <c r="BY114" s="21" t="n">
        <v>227.028</v>
      </c>
      <c r="BZ114" s="21" t="n">
        <v>155.799</v>
      </c>
      <c r="CA114" s="21" t="n">
        <v>141.387</v>
      </c>
      <c r="CB114" s="21" t="n">
        <v>232.009</v>
      </c>
      <c r="CC114" s="21" t="n">
        <v>243.365</v>
      </c>
      <c r="CD114" s="21" t="n">
        <v>160.965</v>
      </c>
      <c r="CE114" s="21" t="n">
        <v>272.267</v>
      </c>
      <c r="CF114" s="21" t="n">
        <v>289.715</v>
      </c>
      <c r="CG114" s="21" t="n">
        <v>268.585</v>
      </c>
      <c r="CH114" s="21" t="n">
        <v>196.03</v>
      </c>
      <c r="CI114" s="21" t="n">
        <v>197.132</v>
      </c>
      <c r="CJ114" s="21" t="n">
        <v>316.34</v>
      </c>
      <c r="CK114" s="21" t="n">
        <v>277.309</v>
      </c>
      <c r="CL114" s="21" t="n">
        <v>312.874</v>
      </c>
      <c r="CM114" s="21" t="n">
        <v>455.113</v>
      </c>
      <c r="CN114" s="21" t="n">
        <v>175.481</v>
      </c>
      <c r="CO114" s="21" t="n">
        <v>225.806</v>
      </c>
      <c r="CP114" s="21" t="n">
        <v>286.149</v>
      </c>
      <c r="CQ114" s="21" t="n">
        <v>316.993</v>
      </c>
      <c r="CR114" s="21" t="n">
        <v>210.056</v>
      </c>
      <c r="CS114" s="21" t="n">
        <v>310.362</v>
      </c>
      <c r="CT114" s="21" t="n">
        <v>310.801</v>
      </c>
      <c r="CU114" s="21" t="n">
        <v>188.24</v>
      </c>
      <c r="CV114" s="21" t="n">
        <v>191.041</v>
      </c>
      <c r="CW114" s="21" t="n">
        <v>186.076</v>
      </c>
      <c r="CX114" s="21" t="n">
        <v>349.526</v>
      </c>
      <c r="CY114" s="21" t="n">
        <v>170.223</v>
      </c>
      <c r="CZ114" s="21" t="n">
        <v>155.199</v>
      </c>
      <c r="DA114" s="21" t="n">
        <v>367.099</v>
      </c>
      <c r="DB114" s="21" t="n">
        <v>225.29</v>
      </c>
      <c r="DC114" s="21" t="n">
        <v>200.427</v>
      </c>
      <c r="DD114" s="21" t="n">
        <v>196.144</v>
      </c>
      <c r="DE114" s="21" t="n">
        <v>244.227</v>
      </c>
      <c r="DF114" s="21" t="n">
        <v>290.094</v>
      </c>
      <c r="DG114" s="21" t="n">
        <v>229.245</v>
      </c>
      <c r="DH114" s="21" t="n">
        <v>275.689</v>
      </c>
      <c r="DI114" s="21" t="n">
        <v>208.958</v>
      </c>
      <c r="DJ114" s="21" t="n">
        <v>224.078</v>
      </c>
      <c r="DK114" s="21" t="n">
        <v>203.763</v>
      </c>
      <c r="DL114" s="21" t="n">
        <v>183.029</v>
      </c>
      <c r="DM114" s="21" t="n">
        <v>426.596</v>
      </c>
      <c r="DN114" s="21" t="n">
        <v>236.338</v>
      </c>
      <c r="DO114" s="21" t="n">
        <v>332.638</v>
      </c>
      <c r="DP114" s="21" t="n">
        <v>398.689</v>
      </c>
      <c r="DQ114" s="21" t="n">
        <v>418.1</v>
      </c>
      <c r="DR114" s="21" t="n">
        <v>188.025</v>
      </c>
      <c r="DS114" s="21" t="n">
        <v>639.61</v>
      </c>
      <c r="DT114" s="21" t="n">
        <v>386.405</v>
      </c>
      <c r="DU114" s="21" t="n">
        <v>409.53</v>
      </c>
      <c r="DV114" s="21" t="n">
        <v>409.563</v>
      </c>
      <c r="DW114" s="21" t="n">
        <v>313.688</v>
      </c>
      <c r="DX114" s="21" t="n">
        <v>262.998</v>
      </c>
      <c r="DY114" s="21" t="n">
        <v>376.534</v>
      </c>
      <c r="DZ114" s="21" t="n">
        <v>378.954</v>
      </c>
      <c r="EA114" s="21" t="n">
        <v>432.537</v>
      </c>
      <c r="EB114" s="21" t="n">
        <v>267.157</v>
      </c>
      <c r="EC114" s="21" t="n">
        <v>279.103</v>
      </c>
      <c r="ED114" s="21" t="n">
        <v>225.956</v>
      </c>
      <c r="EE114" s="21" t="n">
        <v>299.987</v>
      </c>
      <c r="EF114" s="21" t="n">
        <v>688.641</v>
      </c>
      <c r="EG114" s="21" t="n">
        <v>609.538</v>
      </c>
      <c r="EH114" s="21" t="n">
        <v>146.918</v>
      </c>
      <c r="EI114" s="21" t="n">
        <v>60.208</v>
      </c>
      <c r="EJ114" s="21" t="n">
        <v>78.93300000000001</v>
      </c>
      <c r="EK114" s="21" t="n">
        <v>40.91</v>
      </c>
      <c r="EL114" s="21" t="n">
        <v>131.599</v>
      </c>
      <c r="EM114" s="21" t="n">
        <v>77.908</v>
      </c>
      <c r="EN114" s="21" t="n">
        <v>84.633</v>
      </c>
      <c r="EO114" s="21" t="n">
        <v>88.642</v>
      </c>
      <c r="EP114" s="21" t="n">
        <v>105.962</v>
      </c>
      <c r="EQ114" s="21" t="n">
        <v>74.581</v>
      </c>
      <c r="ER114" s="21" t="n">
        <v>54.13</v>
      </c>
      <c r="ES114" s="21" t="n">
        <v>161.688</v>
      </c>
      <c r="ET114" s="21" t="n">
        <v>77.965</v>
      </c>
      <c r="EU114" s="21" t="n">
        <v>110.882</v>
      </c>
      <c r="EV114" s="21" t="n">
        <v>121.904</v>
      </c>
      <c r="EW114" s="21" t="n">
        <v>106.076</v>
      </c>
      <c r="EX114" s="21" t="n">
        <v>233.932</v>
      </c>
      <c r="EY114" s="21" t="n">
        <v>148.008</v>
      </c>
      <c r="EZ114" s="21" t="n">
        <v>140.256</v>
      </c>
      <c r="FA114" s="21" t="n">
        <v>198.797</v>
      </c>
      <c r="FB114" s="21" t="n">
        <v>132.027</v>
      </c>
      <c r="FC114" s="21" t="n">
        <v>129.575</v>
      </c>
      <c r="FD114" s="21" t="n">
        <v>132.462</v>
      </c>
      <c r="FE114" s="21" t="n">
        <v>98.718</v>
      </c>
      <c r="FF114" s="21" t="n">
        <v>185.023</v>
      </c>
      <c r="FG114" s="21" t="n">
        <v>83.52200000000001</v>
      </c>
      <c r="FH114" s="21" t="n">
        <v>135.613</v>
      </c>
      <c r="FI114" s="21" t="n">
        <v>116.935</v>
      </c>
      <c r="FJ114" s="21" t="n">
        <v>109.997</v>
      </c>
      <c r="FK114" s="21" t="n">
        <v>111.362</v>
      </c>
      <c r="FL114" s="21" t="n">
        <v>97.208</v>
      </c>
      <c r="FM114" s="21" t="n">
        <v>109.13</v>
      </c>
      <c r="FN114" s="21" t="n">
        <v>75.98099999999999</v>
      </c>
      <c r="FO114" s="21" t="n">
        <v>112.587</v>
      </c>
      <c r="FP114" s="21" t="n">
        <v>104.13</v>
      </c>
      <c r="FQ114" s="21" t="n">
        <v>146.571</v>
      </c>
      <c r="FR114" s="21" t="n">
        <v>151.613</v>
      </c>
      <c r="FS114" s="21" t="n">
        <v>165.213</v>
      </c>
      <c r="FT114" s="21" t="n">
        <v>133.581</v>
      </c>
      <c r="FU114" s="21" t="n">
        <v>126.067</v>
      </c>
      <c r="FV114" s="21" t="n">
        <v>198.138</v>
      </c>
      <c r="FW114" s="21" t="n">
        <v>155.238</v>
      </c>
      <c r="FX114" s="21" t="n">
        <v>196.851</v>
      </c>
      <c r="FY114" s="21" t="n">
        <v>272.306</v>
      </c>
      <c r="FZ114" s="21" t="n">
        <v>272.166</v>
      </c>
      <c r="GA114" s="21" t="n">
        <v>124.879</v>
      </c>
      <c r="GB114" s="21" t="n">
        <v>177.504</v>
      </c>
      <c r="GC114" s="21" t="n"/>
      <c r="GD114" s="21" t="n">
        <v>172.335</v>
      </c>
      <c r="GE114" s="21" t="n">
        <v>189.404</v>
      </c>
      <c r="GF114" s="21" t="n"/>
      <c r="GG114" s="21" t="n">
        <v>180.577</v>
      </c>
      <c r="GH114" s="21" t="n">
        <v>119.81</v>
      </c>
      <c r="GI114" s="21" t="n">
        <v>160.303</v>
      </c>
      <c r="GJ114" s="21" t="n">
        <v>306.775</v>
      </c>
      <c r="GK114" s="21" t="n">
        <v>305.909</v>
      </c>
      <c r="GL114" s="21" t="n">
        <v>299.081</v>
      </c>
      <c r="GM114" s="21" t="n">
        <v>335.657</v>
      </c>
      <c r="GN114" s="21" t="n">
        <v>330.481</v>
      </c>
      <c r="GO114" s="21" t="n">
        <v>290.176</v>
      </c>
      <c r="GP114" s="21" t="n">
        <v>180.329</v>
      </c>
      <c r="GQ114" s="21" t="n">
        <v>152.97</v>
      </c>
      <c r="GR114" s="21" t="n">
        <v>405.487</v>
      </c>
      <c r="GS114" s="21" t="n">
        <v>268.341</v>
      </c>
      <c r="GT114" s="21" t="n">
        <v>836.177</v>
      </c>
      <c r="GU114" s="21" t="n">
        <v>238.176</v>
      </c>
      <c r="GV114" s="21" t="n">
        <v>279.105</v>
      </c>
      <c r="GW114" s="21" t="n">
        <v>261.121</v>
      </c>
      <c r="GX114" s="21" t="n">
        <v>261.878</v>
      </c>
      <c r="GY114" s="21" t="n">
        <v>155.462</v>
      </c>
      <c r="GZ114" s="21" t="n"/>
      <c r="HA114" s="21" t="n">
        <v>66.27500000000001</v>
      </c>
      <c r="HB114" s="21" t="n">
        <v>564.191</v>
      </c>
      <c r="HC114" s="21" t="n">
        <v>416.001</v>
      </c>
      <c r="HD114" s="21" t="n">
        <v>136.054</v>
      </c>
      <c r="HE114" s="21" t="n">
        <v>562.168</v>
      </c>
      <c r="HF114" s="21" t="n">
        <v>111.184</v>
      </c>
      <c r="HG114" s="21" t="n">
        <v>611.828</v>
      </c>
      <c r="HH114" s="21" t="n">
        <v>426.244</v>
      </c>
      <c r="HI114" s="21" t="n">
        <v>415.581</v>
      </c>
      <c r="HJ114" s="21" t="n">
        <v>598.139</v>
      </c>
      <c r="HK114" s="21" t="n">
        <v>207.559</v>
      </c>
      <c r="HL114" s="21" t="n">
        <v>259.587</v>
      </c>
      <c r="HM114" s="21" t="n">
        <v>99.49299999999999</v>
      </c>
      <c r="HN114" s="21" t="n">
        <v>417.163</v>
      </c>
      <c r="HO114" s="21" t="n">
        <v>400.042</v>
      </c>
      <c r="HP114" s="21" t="n">
        <v>920.335</v>
      </c>
      <c r="HQ114" s="21" t="n">
        <v>285.845</v>
      </c>
      <c r="HR114" s="21" t="n">
        <v>137.929</v>
      </c>
      <c r="HS114" s="21" t="n">
        <v>117.674</v>
      </c>
      <c r="HT114" s="21" t="n">
        <v>105.607</v>
      </c>
      <c r="HU114" s="21" t="n">
        <v>582.494</v>
      </c>
      <c r="HV114" s="21" t="n">
        <v>104.159</v>
      </c>
      <c r="HW114" s="21" t="n">
        <v>24.902</v>
      </c>
      <c r="HX114" s="21" t="n">
        <v>222.836</v>
      </c>
      <c r="HY114" s="21" t="n">
        <v>240.008</v>
      </c>
      <c r="HZ114" s="21" t="n">
        <v>190.634</v>
      </c>
      <c r="IA114" s="21" t="n">
        <v>130.37</v>
      </c>
      <c r="IB114" s="21" t="n">
        <v>343.294</v>
      </c>
      <c r="IC114" s="21" t="n">
        <v>250.882</v>
      </c>
      <c r="ID114" s="21" t="n">
        <v>371.756</v>
      </c>
      <c r="IE114" s="21" t="n">
        <v>126.108</v>
      </c>
      <c r="IF114" s="21" t="n">
        <v>175.035</v>
      </c>
      <c r="IG114" s="21" t="n">
        <v>85.325</v>
      </c>
      <c r="IH114" s="21" t="n">
        <v>85.614</v>
      </c>
      <c r="II114" s="21" t="n">
        <v>68.58799999999999</v>
      </c>
      <c r="IJ114" s="21" t="n">
        <v>28.27</v>
      </c>
      <c r="IK114" s="21" t="n">
        <v>32.886</v>
      </c>
      <c r="IL114" s="21" t="n">
        <v>27.744</v>
      </c>
      <c r="IM114" s="21" t="n">
        <v>37.135</v>
      </c>
      <c r="IN114" s="21" t="n">
        <v>109.109</v>
      </c>
      <c r="IO114" s="21" t="n">
        <v>119.562</v>
      </c>
      <c r="IP114" s="21" t="n">
        <v>199.732</v>
      </c>
      <c r="IQ114" s="21" t="n">
        <v>162.207</v>
      </c>
      <c r="IR114" s="21" t="n">
        <v>459.768</v>
      </c>
      <c r="IS114" s="21" t="n">
        <v>224.519</v>
      </c>
      <c r="IT114" s="21" t="n">
        <v>249.278</v>
      </c>
      <c r="IU114" s="21" t="n">
        <v>392.021</v>
      </c>
      <c r="IV114" s="21" t="n">
        <v>284.744</v>
      </c>
      <c r="IW114" s="21" t="n">
        <v>146.303</v>
      </c>
      <c r="IX114" s="21" t="n">
        <v>298.118</v>
      </c>
      <c r="IY114" s="21" t="n">
        <v>703.798</v>
      </c>
      <c r="IZ114" s="21" t="n">
        <v>858.66</v>
      </c>
      <c r="JA114" s="21" t="n">
        <v>933.437</v>
      </c>
      <c r="JB114" s="21" t="n">
        <v>97.452</v>
      </c>
      <c r="JC114" s="21" t="n">
        <v>364.806</v>
      </c>
      <c r="JD114" s="21" t="n">
        <v>275.74</v>
      </c>
      <c r="JE114" s="21" t="n">
        <v>74.782</v>
      </c>
      <c r="JF114" s="21" t="n">
        <v>241.082</v>
      </c>
      <c r="JG114" s="21" t="n">
        <v>373.913</v>
      </c>
      <c r="JH114" s="21" t="n">
        <v>432.87</v>
      </c>
      <c r="JI114" s="21" t="n">
        <v>70.361</v>
      </c>
      <c r="JJ114" s="21" t="n">
        <v>105.021</v>
      </c>
      <c r="JK114" s="21" t="n">
        <v>36.476</v>
      </c>
      <c r="JL114" s="21" t="n">
        <v>87.514</v>
      </c>
      <c r="JM114" s="21" t="n">
        <v>105.376</v>
      </c>
      <c r="JN114" s="21" t="n">
        <v>556.328</v>
      </c>
      <c r="JO114" s="21" t="n">
        <v>96.73099999999999</v>
      </c>
      <c r="JP114" s="21" t="n">
        <v>637.136</v>
      </c>
      <c r="JQ114" s="21" t="n">
        <v>281.017</v>
      </c>
      <c r="JR114" s="21" t="n">
        <v>178.933</v>
      </c>
      <c r="JS114" s="21" t="n">
        <v>551.272</v>
      </c>
      <c r="JT114" s="21" t="n"/>
      <c r="JU114" s="21" t="n">
        <v>395.684</v>
      </c>
      <c r="JV114" s="21" t="n">
        <v>228.456</v>
      </c>
      <c r="JW114" s="21" t="n">
        <v>447.359</v>
      </c>
      <c r="JX114" s="21" t="n">
        <v>349.395</v>
      </c>
      <c r="JY114" s="21" t="n">
        <v>86.01000000000001</v>
      </c>
      <c r="JZ114" s="21" t="n">
        <v>196.377</v>
      </c>
      <c r="KA114" s="21" t="n">
        <v>301.05</v>
      </c>
      <c r="KB114" s="21" t="n">
        <v>318.827</v>
      </c>
      <c r="KC114" s="21" t="n">
        <v>310.715</v>
      </c>
      <c r="KD114" s="21" t="n">
        <v>318.095</v>
      </c>
      <c r="KE114" s="21" t="n">
        <v>283.229</v>
      </c>
      <c r="KF114" s="21" t="n">
        <v>271.993</v>
      </c>
      <c r="KG114" s="21" t="n">
        <v>273.493</v>
      </c>
      <c r="KH114" s="21" t="n">
        <v>278.734</v>
      </c>
      <c r="KI114" s="21" t="n">
        <v>123.782</v>
      </c>
      <c r="KJ114" s="21" t="n">
        <v>223.557</v>
      </c>
      <c r="KK114" s="21" t="n">
        <v>179.272</v>
      </c>
      <c r="KL114" s="21" t="n">
        <v>175.506</v>
      </c>
      <c r="KM114" s="21" t="n">
        <v>165.375</v>
      </c>
      <c r="KN114" s="21" t="n">
        <v>163.736</v>
      </c>
      <c r="KO114" s="21" t="n">
        <v>316.232</v>
      </c>
      <c r="KP114" s="21" t="n">
        <v>122.856</v>
      </c>
      <c r="KQ114" s="21" t="n">
        <v>55.618</v>
      </c>
      <c r="KR114" s="21" t="n">
        <v>122.925</v>
      </c>
      <c r="KS114" s="21" t="n">
        <v>284.165</v>
      </c>
      <c r="KT114" s="21" t="n">
        <v>312.662</v>
      </c>
      <c r="KU114" s="21" t="n">
        <v>105.676</v>
      </c>
      <c r="KV114" s="21" t="n">
        <v>38.273</v>
      </c>
      <c r="KW114" s="21" t="n">
        <v>277.553</v>
      </c>
      <c r="KX114" s="21" t="n">
        <v>234.691</v>
      </c>
      <c r="KY114" s="21" t="n">
        <v>295.802</v>
      </c>
      <c r="KZ114" s="21" t="n">
        <v>231.287</v>
      </c>
      <c r="LA114" s="21" t="n">
        <v>298.079</v>
      </c>
      <c r="LB114" s="21" t="n">
        <v>139.794</v>
      </c>
      <c r="LC114" s="21" t="n">
        <v>415.073</v>
      </c>
      <c r="LD114" s="21" t="n">
        <v>84.413</v>
      </c>
      <c r="LE114" s="21" t="n">
        <v>149.41</v>
      </c>
      <c r="LF114" s="21" t="n">
        <v>416.564</v>
      </c>
      <c r="LG114" s="21" t="n">
        <v>401.616</v>
      </c>
      <c r="LH114" s="21" t="n">
        <v>415.245</v>
      </c>
      <c r="LI114" s="21" t="n">
        <v>385.605</v>
      </c>
      <c r="LJ114" s="21" t="n">
        <v>415.268</v>
      </c>
      <c r="LK114" s="21" t="n">
        <v>130.045</v>
      </c>
      <c r="LL114" s="21" t="n">
        <v>430.721</v>
      </c>
      <c r="LM114" s="21" t="n">
        <v>259.118</v>
      </c>
      <c r="LN114" s="21" t="n">
        <v>32.457</v>
      </c>
      <c r="LO114" s="21" t="n">
        <v>153.692</v>
      </c>
    </row>
    <row r="115">
      <c r="A115" s="22" t="n">
        <v>45444</v>
      </c>
      <c r="B115" s="21" t="n">
        <v>313.044</v>
      </c>
      <c r="C115" s="21" t="n">
        <v>327.042</v>
      </c>
      <c r="D115" s="21" t="n">
        <v>329.6</v>
      </c>
      <c r="E115" s="21" t="n">
        <v>305.582</v>
      </c>
      <c r="F115" s="21" t="n">
        <v>356.168</v>
      </c>
      <c r="G115" s="21" t="n">
        <v>284.951</v>
      </c>
      <c r="H115" s="21" t="n">
        <v>322.989</v>
      </c>
      <c r="I115" s="21" t="n">
        <v>276.877</v>
      </c>
      <c r="J115" s="21" t="n">
        <v>288.608</v>
      </c>
      <c r="K115" s="21" t="n">
        <v>397.954</v>
      </c>
      <c r="L115" s="21" t="n">
        <v>240.668</v>
      </c>
      <c r="M115" s="21" t="n">
        <v>234.344</v>
      </c>
      <c r="N115" s="21" t="n">
        <v>370.569</v>
      </c>
      <c r="O115" s="21" t="n">
        <v>348.181</v>
      </c>
      <c r="P115" s="21" t="n">
        <v>358.157</v>
      </c>
      <c r="Q115" s="21" t="n">
        <v>436.184</v>
      </c>
      <c r="R115" s="21" t="n">
        <v>347.641</v>
      </c>
      <c r="S115" s="21" t="n">
        <v>324.838</v>
      </c>
      <c r="T115" s="21" t="n">
        <v>326.154</v>
      </c>
      <c r="U115" s="21" t="n">
        <v>334.87</v>
      </c>
      <c r="V115" s="21" t="n">
        <v>421.137</v>
      </c>
      <c r="W115" s="21" t="n">
        <v>360.662</v>
      </c>
      <c r="X115" s="21" t="n">
        <v>341.284</v>
      </c>
      <c r="Y115" s="21" t="n">
        <v>276.775</v>
      </c>
      <c r="Z115" s="21" t="n">
        <v>267.669</v>
      </c>
      <c r="AA115" s="21" t="n">
        <v>200.829</v>
      </c>
      <c r="AB115" s="21" t="n">
        <v>375.789</v>
      </c>
      <c r="AC115" s="21" t="n">
        <v>184.325</v>
      </c>
      <c r="AD115" s="21" t="n">
        <v>244.713</v>
      </c>
      <c r="AE115" s="21" t="n">
        <v>272.599</v>
      </c>
      <c r="AF115" s="21" t="n">
        <v>250.87</v>
      </c>
      <c r="AG115" s="21" t="n">
        <v>162.037</v>
      </c>
      <c r="AH115" s="21" t="n">
        <v>289.435</v>
      </c>
      <c r="AI115" s="21" t="n">
        <v>302.032</v>
      </c>
      <c r="AJ115" s="21" t="n">
        <v>187.573</v>
      </c>
      <c r="AK115" s="21" t="n">
        <v>302.23</v>
      </c>
      <c r="AL115" s="21" t="n">
        <v>193.403</v>
      </c>
      <c r="AM115" s="21" t="n">
        <v>325.234</v>
      </c>
      <c r="AN115" s="21" t="n">
        <v>287.574</v>
      </c>
      <c r="AO115" s="21" t="n">
        <v>201.711</v>
      </c>
      <c r="AP115" s="21" t="n">
        <v>353.556</v>
      </c>
      <c r="AQ115" s="21" t="n">
        <v>223.554</v>
      </c>
      <c r="AR115" s="21" t="n">
        <v>173.021</v>
      </c>
      <c r="AS115" s="21" t="n">
        <v>248.78</v>
      </c>
      <c r="AT115" s="21" t="n">
        <v>369.133</v>
      </c>
      <c r="AU115" s="21" t="n">
        <v>309.606</v>
      </c>
      <c r="AV115" s="21" t="n">
        <v>268.098</v>
      </c>
      <c r="AW115" s="21" t="n">
        <v>173.621</v>
      </c>
      <c r="AX115" s="21" t="n">
        <v>250.417</v>
      </c>
      <c r="AY115" s="21" t="n">
        <v>179.575</v>
      </c>
      <c r="AZ115" s="21" t="n">
        <v>260.934</v>
      </c>
      <c r="BA115" s="21" t="n">
        <v>277.618</v>
      </c>
      <c r="BB115" s="21" t="n">
        <v>192.1</v>
      </c>
      <c r="BC115" s="21" t="n">
        <v>349.606</v>
      </c>
      <c r="BD115" s="21" t="n">
        <v>392.322</v>
      </c>
      <c r="BE115" s="21" t="n">
        <v>402.569</v>
      </c>
      <c r="BF115" s="21" t="n">
        <v>332.26</v>
      </c>
      <c r="BG115" s="21" t="n">
        <v>210.306</v>
      </c>
      <c r="BH115" s="21" t="n">
        <v>295.961</v>
      </c>
      <c r="BI115" s="21" t="n">
        <v>584.189</v>
      </c>
      <c r="BJ115" s="21" t="n">
        <v>138.756</v>
      </c>
      <c r="BK115" s="21" t="n">
        <v>380.136</v>
      </c>
      <c r="BL115" s="21" t="n">
        <v>419.137</v>
      </c>
      <c r="BM115" s="21" t="n">
        <v>416.424</v>
      </c>
      <c r="BN115" s="21" t="n">
        <v>353.842</v>
      </c>
      <c r="BO115" s="21" t="n">
        <v>375.903</v>
      </c>
      <c r="BP115" s="21" t="n">
        <v>202.806</v>
      </c>
      <c r="BQ115" s="21" t="n">
        <v>215.842</v>
      </c>
      <c r="BR115" s="21" t="n">
        <v>206.802</v>
      </c>
      <c r="BS115" s="21" t="n">
        <v>229.948</v>
      </c>
      <c r="BT115" s="21" t="n">
        <v>185.992</v>
      </c>
      <c r="BU115" s="21" t="n">
        <v>263.754</v>
      </c>
      <c r="BV115" s="21" t="n">
        <v>192.784</v>
      </c>
      <c r="BW115" s="21" t="n">
        <v>219.515</v>
      </c>
      <c r="BX115" s="21" t="n">
        <v>175.389</v>
      </c>
      <c r="BY115" s="21" t="n">
        <v>228.204</v>
      </c>
      <c r="BZ115" s="21" t="n">
        <v>155.289</v>
      </c>
      <c r="CA115" s="21" t="n">
        <v>141.817</v>
      </c>
      <c r="CB115" s="21" t="n">
        <v>232.82</v>
      </c>
      <c r="CC115" s="21" t="n">
        <v>244.605</v>
      </c>
      <c r="CD115" s="21" t="n">
        <v>161.512</v>
      </c>
      <c r="CE115" s="21" t="n">
        <v>272.918</v>
      </c>
      <c r="CF115" s="21" t="n">
        <v>288.33</v>
      </c>
      <c r="CG115" s="21" t="n">
        <v>268.411</v>
      </c>
      <c r="CH115" s="21" t="n">
        <v>194.423</v>
      </c>
      <c r="CI115" s="21" t="n">
        <v>196.8</v>
      </c>
      <c r="CJ115" s="21" t="n">
        <v>319.679</v>
      </c>
      <c r="CK115" s="21" t="n">
        <v>281.985</v>
      </c>
      <c r="CL115" s="21" t="n">
        <v>318.889</v>
      </c>
      <c r="CM115" s="21" t="n">
        <v>464.779</v>
      </c>
      <c r="CN115" s="21" t="n">
        <v>174.333</v>
      </c>
      <c r="CO115" s="21" t="n">
        <v>228.606</v>
      </c>
      <c r="CP115" s="21" t="n">
        <v>286.846</v>
      </c>
      <c r="CQ115" s="21" t="n">
        <v>315.985</v>
      </c>
      <c r="CR115" s="21" t="n">
        <v>210.425</v>
      </c>
      <c r="CS115" s="21" t="n">
        <v>310.883</v>
      </c>
      <c r="CT115" s="21" t="n">
        <v>311.425</v>
      </c>
      <c r="CU115" s="21" t="n">
        <v>185.915</v>
      </c>
      <c r="CV115" s="21" t="n">
        <v>192.322</v>
      </c>
      <c r="CW115" s="21" t="n">
        <v>186.701</v>
      </c>
      <c r="CX115" s="21" t="n">
        <v>352.301</v>
      </c>
      <c r="CY115" s="21" t="n">
        <v>172.21</v>
      </c>
      <c r="CZ115" s="21" t="n">
        <v>158.088</v>
      </c>
      <c r="DA115" s="21" t="n">
        <v>368.616</v>
      </c>
      <c r="DB115" s="21" t="n">
        <v>226.754</v>
      </c>
      <c r="DC115" s="21" t="n">
        <v>200.433</v>
      </c>
      <c r="DD115" s="21" t="n">
        <v>196.143</v>
      </c>
      <c r="DE115" s="21" t="n">
        <v>243.592</v>
      </c>
      <c r="DF115" s="21" t="n">
        <v>290.825</v>
      </c>
      <c r="DG115" s="21" t="n">
        <v>229.723</v>
      </c>
      <c r="DH115" s="21" t="n">
        <v>276.065</v>
      </c>
      <c r="DI115" s="21" t="n">
        <v>210.209</v>
      </c>
      <c r="DJ115" s="21" t="n">
        <v>225.773</v>
      </c>
      <c r="DK115" s="21" t="n">
        <v>203.708</v>
      </c>
      <c r="DL115" s="21" t="n">
        <v>182.973</v>
      </c>
      <c r="DM115" s="21" t="n">
        <v>428.157</v>
      </c>
      <c r="DN115" s="21" t="n">
        <v>237.547</v>
      </c>
      <c r="DO115" s="21" t="n">
        <v>333.368</v>
      </c>
      <c r="DP115" s="21" t="n">
        <v>399.699</v>
      </c>
      <c r="DQ115" s="21" t="n">
        <v>419.223</v>
      </c>
      <c r="DR115" s="21" t="n">
        <v>187.167</v>
      </c>
      <c r="DS115" s="21" t="n">
        <v>642.73</v>
      </c>
      <c r="DT115" s="21" t="n">
        <v>383.904</v>
      </c>
      <c r="DU115" s="21" t="n">
        <v>410.765</v>
      </c>
      <c r="DV115" s="21" t="n">
        <v>410.8</v>
      </c>
      <c r="DW115" s="21" t="n">
        <v>313.449</v>
      </c>
      <c r="DX115" s="21" t="n">
        <v>262.538</v>
      </c>
      <c r="DY115" s="21" t="n">
        <v>368.455</v>
      </c>
      <c r="DZ115" s="21" t="n">
        <v>367.802</v>
      </c>
      <c r="EA115" s="21" t="n">
        <v>427.831</v>
      </c>
      <c r="EB115" s="21" t="n">
        <v>266.961</v>
      </c>
      <c r="EC115" s="21" t="n">
        <v>277.715</v>
      </c>
      <c r="ED115" s="21" t="n">
        <v>229.374</v>
      </c>
      <c r="EE115" s="21" t="n">
        <v>300.652</v>
      </c>
      <c r="EF115" s="21" t="n">
        <v>689.664</v>
      </c>
      <c r="EG115" s="21" t="n">
        <v>611.946</v>
      </c>
      <c r="EH115" s="21" t="n">
        <v>147.262</v>
      </c>
      <c r="EI115" s="21" t="n">
        <v>59.86</v>
      </c>
      <c r="EJ115" s="21" t="n">
        <v>81.282</v>
      </c>
      <c r="EK115" s="21" t="n">
        <v>39.97</v>
      </c>
      <c r="EL115" s="21" t="n">
        <v>130.479</v>
      </c>
      <c r="EM115" s="21" t="n">
        <v>77.152</v>
      </c>
      <c r="EN115" s="21" t="n">
        <v>84.605</v>
      </c>
      <c r="EO115" s="21" t="n">
        <v>89.631</v>
      </c>
      <c r="EP115" s="21" t="n">
        <v>105.476</v>
      </c>
      <c r="EQ115" s="21" t="n">
        <v>74.242</v>
      </c>
      <c r="ER115" s="21" t="n">
        <v>54.393</v>
      </c>
      <c r="ES115" s="21" t="n">
        <v>164.952</v>
      </c>
      <c r="ET115" s="21" t="n">
        <v>76.997</v>
      </c>
      <c r="EU115" s="21" t="n">
        <v>110.769</v>
      </c>
      <c r="EV115" s="21" t="n">
        <v>120.538</v>
      </c>
      <c r="EW115" s="21" t="n">
        <v>106.963</v>
      </c>
      <c r="EX115" s="21" t="n">
        <v>234.582</v>
      </c>
      <c r="EY115" s="21" t="n">
        <v>149.338</v>
      </c>
      <c r="EZ115" s="21" t="n">
        <v>140.119</v>
      </c>
      <c r="FA115" s="21" t="n">
        <v>198.752</v>
      </c>
      <c r="FB115" s="21" t="n">
        <v>131.956</v>
      </c>
      <c r="FC115" s="21" t="n">
        <v>128.011</v>
      </c>
      <c r="FD115" s="21" t="n">
        <v>130.972</v>
      </c>
      <c r="FE115" s="21" t="n">
        <v>95.819</v>
      </c>
      <c r="FF115" s="21" t="n">
        <v>183.184</v>
      </c>
      <c r="FG115" s="21" t="n">
        <v>82.553</v>
      </c>
      <c r="FH115" s="21" t="n">
        <v>136.211</v>
      </c>
      <c r="FI115" s="21" t="n">
        <v>115.625</v>
      </c>
      <c r="FJ115" s="21" t="n">
        <v>110.194</v>
      </c>
      <c r="FK115" s="21" t="n">
        <v>111.437</v>
      </c>
      <c r="FL115" s="21" t="n">
        <v>102.816</v>
      </c>
      <c r="FM115" s="21" t="n">
        <v>107.617</v>
      </c>
      <c r="FN115" s="21" t="n">
        <v>75.44499999999999</v>
      </c>
      <c r="FO115" s="21" t="n">
        <v>114.283</v>
      </c>
      <c r="FP115" s="21" t="n">
        <v>105.126</v>
      </c>
      <c r="FQ115" s="21" t="n">
        <v>145.966</v>
      </c>
      <c r="FR115" s="21" t="n">
        <v>150.599</v>
      </c>
      <c r="FS115" s="21" t="n">
        <v>163.527</v>
      </c>
      <c r="FT115" s="21" t="n">
        <v>133.923</v>
      </c>
      <c r="FU115" s="21" t="n">
        <v>124.46</v>
      </c>
      <c r="FV115" s="21" t="n">
        <v>204.864</v>
      </c>
      <c r="FW115" s="21" t="n">
        <v>157.433</v>
      </c>
      <c r="FX115" s="21" t="n">
        <v>204.425</v>
      </c>
      <c r="FY115" s="21" t="n">
        <v>269.014</v>
      </c>
      <c r="FZ115" s="21" t="n">
        <v>269.083</v>
      </c>
      <c r="GA115" s="21" t="n">
        <v>123.676</v>
      </c>
      <c r="GB115" s="21" t="n">
        <v>177.313</v>
      </c>
      <c r="GC115" s="21" t="n"/>
      <c r="GD115" s="21" t="n">
        <v>171.9</v>
      </c>
      <c r="GE115" s="21" t="n">
        <v>189.276</v>
      </c>
      <c r="GF115" s="21" t="n"/>
      <c r="GG115" s="21" t="n">
        <v>177.965</v>
      </c>
      <c r="GH115" s="21" t="n"/>
      <c r="GI115" s="21" t="n">
        <v>161.487</v>
      </c>
      <c r="GJ115" s="21" t="n">
        <v>295.105</v>
      </c>
      <c r="GK115" s="21" t="n">
        <v>294.143</v>
      </c>
      <c r="GL115" s="21" t="n">
        <v>287.29</v>
      </c>
      <c r="GM115" s="21" t="n">
        <v>323.738</v>
      </c>
      <c r="GN115" s="21" t="n">
        <v>319.174</v>
      </c>
      <c r="GO115" s="21" t="n">
        <v>281.721</v>
      </c>
      <c r="GP115" s="21" t="n">
        <v>180.307</v>
      </c>
      <c r="GQ115" s="21" t="n">
        <v>152.477</v>
      </c>
      <c r="GR115" s="21" t="n">
        <v>406.321</v>
      </c>
      <c r="GS115" s="21" t="n">
        <v>267.432</v>
      </c>
      <c r="GT115" s="21" t="n">
        <v>843.6420000000001</v>
      </c>
      <c r="GU115" s="21" t="n">
        <v>236.272</v>
      </c>
      <c r="GV115" s="21" t="n">
        <v>278.79</v>
      </c>
      <c r="GW115" s="21" t="n">
        <v>255.23</v>
      </c>
      <c r="GX115" s="21" t="n">
        <v>251.325</v>
      </c>
      <c r="GY115" s="21" t="n">
        <v>160.254</v>
      </c>
      <c r="GZ115" s="21" t="n"/>
      <c r="HA115" s="21" t="n">
        <v>66.432</v>
      </c>
      <c r="HB115" s="21" t="n">
        <v>564.997</v>
      </c>
      <c r="HC115" s="21" t="n">
        <v>416.812</v>
      </c>
      <c r="HD115" s="21" t="n">
        <v>136.229</v>
      </c>
      <c r="HE115" s="21" t="n">
        <v>562.3390000000001</v>
      </c>
      <c r="HF115" s="21" t="n">
        <v>111.56</v>
      </c>
      <c r="HG115" s="21" t="n">
        <v>612.629</v>
      </c>
      <c r="HH115" s="21" t="n">
        <v>427.285</v>
      </c>
      <c r="HI115" s="21" t="n">
        <v>415.961</v>
      </c>
      <c r="HJ115" s="21" t="n">
        <v>599.578</v>
      </c>
      <c r="HK115" s="21" t="n">
        <v>209.114</v>
      </c>
      <c r="HL115" s="21" t="n">
        <v>260.744</v>
      </c>
      <c r="HM115" s="21" t="n">
        <v>99.605</v>
      </c>
      <c r="HN115" s="21" t="n">
        <v>417.648</v>
      </c>
      <c r="HO115" s="21" t="n"/>
      <c r="HP115" s="21" t="n">
        <v>920.715</v>
      </c>
      <c r="HQ115" s="21" t="n">
        <v>285.88</v>
      </c>
      <c r="HR115" s="21" t="n">
        <v>138.051</v>
      </c>
      <c r="HS115" s="21" t="n">
        <v>117.218</v>
      </c>
      <c r="HT115" s="21" t="n">
        <v>105.705</v>
      </c>
      <c r="HU115" s="21" t="n">
        <v>580.277</v>
      </c>
      <c r="HV115" s="21" t="n">
        <v>101.923</v>
      </c>
      <c r="HW115" s="21" t="n">
        <v>24.785</v>
      </c>
      <c r="HX115" s="21" t="n">
        <v>223.833</v>
      </c>
      <c r="HY115" s="21" t="n">
        <v>241.997</v>
      </c>
      <c r="HZ115" s="21" t="n">
        <v>191.895</v>
      </c>
      <c r="IA115" s="21" t="n">
        <v>131.726</v>
      </c>
      <c r="IB115" s="21" t="n">
        <v>342.983</v>
      </c>
      <c r="IC115" s="21" t="n">
        <v>251.618</v>
      </c>
      <c r="ID115" s="21" t="n">
        <v>369.982</v>
      </c>
      <c r="IE115" s="21" t="n">
        <v>125.024</v>
      </c>
      <c r="IF115" s="21" t="n">
        <v>173.259</v>
      </c>
      <c r="IG115" s="21" t="n">
        <v>84.842</v>
      </c>
      <c r="IH115" s="21" t="n">
        <v>86.099</v>
      </c>
      <c r="II115" s="21" t="n">
        <v>69.375</v>
      </c>
      <c r="IJ115" s="21" t="n">
        <v>28.615</v>
      </c>
      <c r="IK115" s="21" t="n">
        <v>33.098</v>
      </c>
      <c r="IL115" s="21" t="n">
        <v>27.907</v>
      </c>
      <c r="IM115" s="21" t="n">
        <v>37.331</v>
      </c>
      <c r="IN115" s="21" t="n">
        <v>108.437</v>
      </c>
      <c r="IO115" s="21" t="n">
        <v>121.965</v>
      </c>
      <c r="IP115" s="21" t="n">
        <v>200.301</v>
      </c>
      <c r="IQ115" s="21" t="n">
        <v>162.661</v>
      </c>
      <c r="IR115" s="21" t="n">
        <v>462.08</v>
      </c>
      <c r="IS115" s="21" t="n">
        <v>225.668</v>
      </c>
      <c r="IT115" s="21" t="n">
        <v>248.772</v>
      </c>
      <c r="IU115" s="21" t="n">
        <v>392.267</v>
      </c>
      <c r="IV115" s="21" t="n">
        <v>291.004</v>
      </c>
      <c r="IW115" s="21" t="n">
        <v>146.211</v>
      </c>
      <c r="IX115" s="21" t="n">
        <v>298.747</v>
      </c>
      <c r="IY115" s="21" t="n"/>
      <c r="IZ115" s="21" t="n">
        <v>860.903</v>
      </c>
      <c r="JA115" s="21" t="n">
        <v>935.064</v>
      </c>
      <c r="JB115" s="21" t="n">
        <v>98.23999999999999</v>
      </c>
      <c r="JC115" s="21" t="n">
        <v>366.099</v>
      </c>
      <c r="JD115" s="21" t="n">
        <v>275.613</v>
      </c>
      <c r="JE115" s="21" t="n">
        <v>74.58499999999999</v>
      </c>
      <c r="JF115" s="21" t="n">
        <v>241.914</v>
      </c>
      <c r="JG115" s="21" t="n">
        <v>375.45</v>
      </c>
      <c r="JH115" s="21" t="n">
        <v>432.505</v>
      </c>
      <c r="JI115" s="21" t="n">
        <v>70.167</v>
      </c>
      <c r="JJ115" s="21" t="n">
        <v>104.563</v>
      </c>
      <c r="JK115" s="21" t="n">
        <v>35.778</v>
      </c>
      <c r="JL115" s="21" t="n">
        <v>87.18600000000001</v>
      </c>
      <c r="JM115" s="21" t="n">
        <v>105.81</v>
      </c>
      <c r="JN115" s="21" t="n">
        <v>559.0410000000001</v>
      </c>
      <c r="JO115" s="21" t="n">
        <v>97.19799999999999</v>
      </c>
      <c r="JP115" s="21" t="n">
        <v>640.101</v>
      </c>
      <c r="JQ115" s="21" t="n">
        <v>282.391</v>
      </c>
      <c r="JR115" s="21" t="n">
        <v>178.779</v>
      </c>
      <c r="JS115" s="21" t="n">
        <v>557.6180000000001</v>
      </c>
      <c r="JT115" s="21" t="n"/>
      <c r="JU115" s="21" t="n">
        <v>396.105</v>
      </c>
      <c r="JV115" s="21" t="n">
        <v>229.128</v>
      </c>
      <c r="JW115" s="21" t="n">
        <v>440.931</v>
      </c>
      <c r="JX115" s="21" t="n">
        <v>342.083</v>
      </c>
      <c r="JY115" s="21" t="n">
        <v>86.06699999999999</v>
      </c>
      <c r="JZ115" s="21" t="n">
        <v>198.495</v>
      </c>
      <c r="KA115" s="21" t="n">
        <v>300.875</v>
      </c>
      <c r="KB115" s="21" t="n">
        <v>319.171</v>
      </c>
      <c r="KC115" s="21" t="n">
        <v>310.469</v>
      </c>
      <c r="KD115" s="21" t="n">
        <v>318.39</v>
      </c>
      <c r="KE115" s="21" t="n">
        <v>282.634</v>
      </c>
      <c r="KF115" s="21" t="n">
        <v>271.125</v>
      </c>
      <c r="KG115" s="21" t="n">
        <v>273.379</v>
      </c>
      <c r="KH115" s="21" t="n">
        <v>278.798</v>
      </c>
      <c r="KI115" s="21" t="n">
        <v>123.831</v>
      </c>
      <c r="KJ115" s="21" t="n">
        <v>222.639</v>
      </c>
      <c r="KK115" s="21" t="n">
        <v>177.881</v>
      </c>
      <c r="KL115" s="21" t="n">
        <v>174.073</v>
      </c>
      <c r="KM115" s="21" t="n">
        <v>165.079</v>
      </c>
      <c r="KN115" s="21" t="n">
        <v>163.68</v>
      </c>
      <c r="KO115" s="21" t="n">
        <v>316.233</v>
      </c>
      <c r="KP115" s="21" t="n">
        <v>122.156</v>
      </c>
      <c r="KQ115" s="21" t="n">
        <v>55.29</v>
      </c>
      <c r="KR115" s="21" t="n">
        <v>122.955</v>
      </c>
      <c r="KS115" s="21" t="n">
        <v>278.284</v>
      </c>
      <c r="KT115" s="21" t="n">
        <v>300.991</v>
      </c>
      <c r="KU115" s="21" t="n">
        <v>105.419</v>
      </c>
      <c r="KV115" s="21" t="n">
        <v>38.075</v>
      </c>
      <c r="KW115" s="21" t="n">
        <v>276.535</v>
      </c>
      <c r="KX115" s="21" t="n">
        <v>232.883</v>
      </c>
      <c r="KY115" s="21" t="n">
        <v>292.826</v>
      </c>
      <c r="KZ115" s="21" t="n">
        <v>229.349</v>
      </c>
      <c r="LA115" s="21" t="n">
        <v>294.772</v>
      </c>
      <c r="LB115" s="21" t="n">
        <v>140.017</v>
      </c>
      <c r="LC115" s="21" t="n">
        <v>415.782</v>
      </c>
      <c r="LD115" s="21" t="n">
        <v>84.55</v>
      </c>
      <c r="LE115" s="21" t="n">
        <v>149.475</v>
      </c>
      <c r="LF115" s="21" t="n">
        <v>417.723</v>
      </c>
      <c r="LG115" s="21" t="n">
        <v>402.37</v>
      </c>
      <c r="LH115" s="21" t="n">
        <v>416.08</v>
      </c>
      <c r="LI115" s="21" t="n">
        <v>386.341</v>
      </c>
      <c r="LJ115" s="21" t="n">
        <v>415.676</v>
      </c>
      <c r="LK115" s="21" t="n">
        <v>129.363</v>
      </c>
      <c r="LL115" s="21" t="n">
        <v>428.961</v>
      </c>
      <c r="LM115" s="21" t="n">
        <v>258.035</v>
      </c>
      <c r="LN115" s="21" t="n">
        <v>32.341</v>
      </c>
      <c r="LO115" s="21" t="n">
        <v>153.082</v>
      </c>
    </row>
    <row r="116">
      <c r="A116" s="22" t="n">
        <v>45474</v>
      </c>
      <c r="B116" s="21" t="n">
        <v>313.569</v>
      </c>
      <c r="C116" s="21" t="n">
        <v>327.74</v>
      </c>
      <c r="D116" s="21" t="n">
        <v>330.329</v>
      </c>
      <c r="E116" s="21" t="n">
        <v>306.285</v>
      </c>
      <c r="F116" s="21" t="n">
        <v>355.336</v>
      </c>
      <c r="G116" s="21" t="n">
        <v>284.712</v>
      </c>
      <c r="H116" s="21" t="n">
        <v>323.739</v>
      </c>
      <c r="I116" s="21" t="n">
        <v>276.963</v>
      </c>
      <c r="J116" s="21" t="n">
        <v>288.573</v>
      </c>
      <c r="K116" s="21" t="n">
        <v>396.913</v>
      </c>
      <c r="L116" s="21" t="n">
        <v>238.079</v>
      </c>
      <c r="M116" s="21" t="n">
        <v>234.319</v>
      </c>
      <c r="N116" s="21" t="n">
        <v>373.324</v>
      </c>
      <c r="O116" s="21" t="n">
        <v>353.258</v>
      </c>
      <c r="P116" s="21" t="n">
        <v>355.849</v>
      </c>
      <c r="Q116" s="21" t="n">
        <v>431.928</v>
      </c>
      <c r="R116" s="21" t="n">
        <v>348.463</v>
      </c>
      <c r="S116" s="21" t="n">
        <v>326.402</v>
      </c>
      <c r="T116" s="21" t="n">
        <v>326.358</v>
      </c>
      <c r="U116" s="21" t="n">
        <v>335.845</v>
      </c>
      <c r="V116" s="21" t="n">
        <v>424.288</v>
      </c>
      <c r="W116" s="21" t="n">
        <v>362.273</v>
      </c>
      <c r="X116" s="21" t="n">
        <v>345.837</v>
      </c>
      <c r="Y116" s="21" t="n">
        <v>282.524</v>
      </c>
      <c r="Z116" s="21" t="n">
        <v>267.243</v>
      </c>
      <c r="AA116" s="21" t="n">
        <v>200.485</v>
      </c>
      <c r="AB116" s="21" t="n">
        <v>373.696</v>
      </c>
      <c r="AC116" s="21" t="n">
        <v>184.95</v>
      </c>
      <c r="AD116" s="21" t="n">
        <v>250.373</v>
      </c>
      <c r="AE116" s="21" t="n">
        <v>276.552</v>
      </c>
      <c r="AF116" s="21" t="n">
        <v>251.027</v>
      </c>
      <c r="AG116" s="21" t="n">
        <v>161.484</v>
      </c>
      <c r="AH116" s="21" t="n">
        <v>289.516</v>
      </c>
      <c r="AI116" s="21" t="n">
        <v>310.79</v>
      </c>
      <c r="AJ116" s="21" t="n">
        <v>187.976</v>
      </c>
      <c r="AK116" s="21" t="n">
        <v>303.009</v>
      </c>
      <c r="AL116" s="21" t="n">
        <v>193.633</v>
      </c>
      <c r="AM116" s="21" t="n">
        <v>325.222</v>
      </c>
      <c r="AN116" s="21" t="n">
        <v>288.758</v>
      </c>
      <c r="AO116" s="21" t="n">
        <v>201.644</v>
      </c>
      <c r="AP116" s="21" t="n">
        <v>349.664</v>
      </c>
      <c r="AQ116" s="21" t="n">
        <v>218.169</v>
      </c>
      <c r="AR116" s="21" t="n">
        <v>173.433</v>
      </c>
      <c r="AS116" s="21" t="n">
        <v>249.339</v>
      </c>
      <c r="AT116" s="21" t="n">
        <v>368.692</v>
      </c>
      <c r="AU116" s="21" t="n">
        <v>327.297</v>
      </c>
      <c r="AV116" s="21" t="n">
        <v>268.653</v>
      </c>
      <c r="AW116" s="21" t="n">
        <v>175.938</v>
      </c>
      <c r="AX116" s="21" t="n">
        <v>250.55</v>
      </c>
      <c r="AY116" s="21" t="n">
        <v>182.85</v>
      </c>
      <c r="AZ116" s="21" t="n">
        <v>261.622</v>
      </c>
      <c r="BA116" s="21" t="n">
        <v>272.437</v>
      </c>
      <c r="BB116" s="21" t="n">
        <v>190.939</v>
      </c>
      <c r="BC116" s="21" t="n">
        <v>351.848</v>
      </c>
      <c r="BD116" s="21" t="n">
        <v>395.713</v>
      </c>
      <c r="BE116" s="21" t="n">
        <v>407.856</v>
      </c>
      <c r="BF116" s="21" t="n">
        <v>331.32</v>
      </c>
      <c r="BG116" s="21" t="n">
        <v>206.793</v>
      </c>
      <c r="BH116" s="21" t="n">
        <v>297.105</v>
      </c>
      <c r="BI116" s="21" t="n">
        <v>588.326</v>
      </c>
      <c r="BJ116" s="21" t="n">
        <v>141.254</v>
      </c>
      <c r="BK116" s="21" t="n">
        <v>381.525</v>
      </c>
      <c r="BL116" s="21" t="n">
        <v>418.912</v>
      </c>
      <c r="BM116" s="21" t="n">
        <v>410.711</v>
      </c>
      <c r="BN116" s="21" t="n">
        <v>363.048</v>
      </c>
      <c r="BO116" s="21" t="n">
        <v>377.366</v>
      </c>
      <c r="BP116" s="21" t="n">
        <v>202.707</v>
      </c>
      <c r="BQ116" s="21" t="n">
        <v>215.48</v>
      </c>
      <c r="BR116" s="21" t="n">
        <v>205.931</v>
      </c>
      <c r="BS116" s="21" t="n">
        <v>230.253</v>
      </c>
      <c r="BT116" s="21" t="n">
        <v>185.671</v>
      </c>
      <c r="BU116" s="21" t="n">
        <v>263.968</v>
      </c>
      <c r="BV116" s="21" t="n">
        <v>193.171</v>
      </c>
      <c r="BW116" s="21" t="n">
        <v>220.63</v>
      </c>
      <c r="BX116" s="21" t="n">
        <v>175.972</v>
      </c>
      <c r="BY116" s="21" t="n">
        <v>229.79</v>
      </c>
      <c r="BZ116" s="21" t="n">
        <v>155.258</v>
      </c>
      <c r="CA116" s="21" t="n">
        <v>142.449</v>
      </c>
      <c r="CB116" s="21" t="n">
        <v>235.856</v>
      </c>
      <c r="CC116" s="21" t="n">
        <v>245.223</v>
      </c>
      <c r="CD116" s="21" t="n">
        <v>159.776</v>
      </c>
      <c r="CE116" s="21" t="n">
        <v>272.568</v>
      </c>
      <c r="CF116" s="21" t="n">
        <v>289.262</v>
      </c>
      <c r="CG116" s="21" t="n">
        <v>268.269</v>
      </c>
      <c r="CH116" s="21" t="n">
        <v>195.749</v>
      </c>
      <c r="CI116" s="21" t="n">
        <v>193.985</v>
      </c>
      <c r="CJ116" s="21" t="n">
        <v>319.571</v>
      </c>
      <c r="CK116" s="21" t="n">
        <v>282.471</v>
      </c>
      <c r="CL116" s="21" t="n">
        <v>319.934</v>
      </c>
      <c r="CM116" s="21" t="n">
        <v>461.506</v>
      </c>
      <c r="CN116" s="21" t="n">
        <v>175.372</v>
      </c>
      <c r="CO116" s="21" t="n">
        <v>228.295</v>
      </c>
      <c r="CP116" s="21" t="n">
        <v>286.202</v>
      </c>
      <c r="CQ116" s="21" t="n">
        <v>316.646</v>
      </c>
      <c r="CR116" s="21" t="n">
        <v>210.832</v>
      </c>
      <c r="CS116" s="21" t="n">
        <v>308.133</v>
      </c>
      <c r="CT116" s="21" t="n">
        <v>312.128</v>
      </c>
      <c r="CU116" s="21" t="n">
        <v>189.593</v>
      </c>
      <c r="CV116" s="21" t="n">
        <v>188.937</v>
      </c>
      <c r="CW116" s="21" t="n">
        <v>185.942</v>
      </c>
      <c r="CX116" s="21" t="n">
        <v>357.519</v>
      </c>
      <c r="CY116" s="21" t="n">
        <v>171.149</v>
      </c>
      <c r="CZ116" s="21" t="n">
        <v>155.931</v>
      </c>
      <c r="DA116" s="21" t="n">
        <v>369.383</v>
      </c>
      <c r="DB116" s="21" t="n">
        <v>227.021</v>
      </c>
      <c r="DC116" s="21" t="n">
        <v>200.631</v>
      </c>
      <c r="DD116" s="21" t="n">
        <v>196.631</v>
      </c>
      <c r="DE116" s="21" t="n">
        <v>244.695</v>
      </c>
      <c r="DF116" s="21" t="n">
        <v>291.088</v>
      </c>
      <c r="DG116" s="21" t="n">
        <v>230.187</v>
      </c>
      <c r="DH116" s="21" t="n">
        <v>276.665</v>
      </c>
      <c r="DI116" s="21" t="n">
        <v>211.128</v>
      </c>
      <c r="DJ116" s="21" t="n">
        <v>224.056</v>
      </c>
      <c r="DK116" s="21" t="n">
        <v>205.137</v>
      </c>
      <c r="DL116" s="21" t="n">
        <v>182.943</v>
      </c>
      <c r="DM116" s="21" t="n">
        <v>428.488</v>
      </c>
      <c r="DN116" s="21" t="n">
        <v>237.852</v>
      </c>
      <c r="DO116" s="21" t="n">
        <v>334.461</v>
      </c>
      <c r="DP116" s="21" t="n">
        <v>401.139</v>
      </c>
      <c r="DQ116" s="21" t="n">
        <v>421.138</v>
      </c>
      <c r="DR116" s="21" t="n">
        <v>187.093</v>
      </c>
      <c r="DS116" s="21" t="n">
        <v>645.718</v>
      </c>
      <c r="DT116" s="21" t="n">
        <v>383.354</v>
      </c>
      <c r="DU116" s="21" t="n">
        <v>412.24</v>
      </c>
      <c r="DV116" s="21" t="n">
        <v>412.276</v>
      </c>
      <c r="DW116" s="21" t="n">
        <v>314.065</v>
      </c>
      <c r="DX116" s="21" t="n">
        <v>262.803</v>
      </c>
      <c r="DY116" s="21" t="n">
        <v>368.651</v>
      </c>
      <c r="DZ116" s="21" t="n">
        <v>364.926</v>
      </c>
      <c r="EA116" s="21" t="n">
        <v>434.874</v>
      </c>
      <c r="EB116" s="21" t="n">
        <v>267.237</v>
      </c>
      <c r="EC116" s="21" t="n">
        <v>278.242</v>
      </c>
      <c r="ED116" s="21" t="n">
        <v>228.884</v>
      </c>
      <c r="EE116" s="21" t="n">
        <v>302.106</v>
      </c>
      <c r="EF116" s="21" t="n">
        <v>693.39</v>
      </c>
      <c r="EG116" s="21" t="n">
        <v>614.0890000000001</v>
      </c>
      <c r="EH116" s="21" t="n">
        <v>147.544</v>
      </c>
      <c r="EI116" s="21" t="n">
        <v>59.471</v>
      </c>
      <c r="EJ116" s="21" t="n">
        <v>79.151</v>
      </c>
      <c r="EK116" s="21" t="n">
        <v>39.944</v>
      </c>
      <c r="EL116" s="21" t="n">
        <v>129.181</v>
      </c>
      <c r="EM116" s="21" t="n">
        <v>76.39</v>
      </c>
      <c r="EN116" s="21" t="n">
        <v>84.75700000000001</v>
      </c>
      <c r="EO116" s="21" t="n">
        <v>89.88200000000001</v>
      </c>
      <c r="EP116" s="21" t="n">
        <v>105.022</v>
      </c>
      <c r="EQ116" s="21" t="n">
        <v>74.303</v>
      </c>
      <c r="ER116" s="21" t="n">
        <v>54.796</v>
      </c>
      <c r="ES116" s="21" t="n">
        <v>163.16</v>
      </c>
      <c r="ET116" s="21" t="n">
        <v>74.73399999999999</v>
      </c>
      <c r="EU116" s="21" t="n">
        <v>111.002</v>
      </c>
      <c r="EV116" s="21" t="n">
        <v>120.626</v>
      </c>
      <c r="EW116" s="21" t="n">
        <v>107.412</v>
      </c>
      <c r="EX116" s="21" t="n">
        <v>234.916</v>
      </c>
      <c r="EY116" s="21" t="n">
        <v>150.084</v>
      </c>
      <c r="EZ116" s="21" t="n">
        <v>139.937</v>
      </c>
      <c r="FA116" s="21" t="n">
        <v>199.001</v>
      </c>
      <c r="FB116" s="21" t="n">
        <v>131.569</v>
      </c>
      <c r="FC116" s="21" t="n">
        <v>128.293</v>
      </c>
      <c r="FD116" s="21" t="n">
        <v>131.024</v>
      </c>
      <c r="FE116" s="21" t="n">
        <v>93.357</v>
      </c>
      <c r="FF116" s="21" t="n">
        <v>183.694</v>
      </c>
      <c r="FG116" s="21" t="n">
        <v>83.014</v>
      </c>
      <c r="FH116" s="21" t="n">
        <v>136.74</v>
      </c>
      <c r="FI116" s="21" t="n">
        <v>115.157</v>
      </c>
      <c r="FJ116" s="21" t="n">
        <v>109.898</v>
      </c>
      <c r="FK116" s="21" t="n">
        <v>111.205</v>
      </c>
      <c r="FL116" s="21" t="n">
        <v>101.673</v>
      </c>
      <c r="FM116" s="21" t="n">
        <v>107.125</v>
      </c>
      <c r="FN116" s="21" t="n">
        <v>75.824</v>
      </c>
      <c r="FO116" s="21" t="n">
        <v>114.072</v>
      </c>
      <c r="FP116" s="21" t="n">
        <v>104.406</v>
      </c>
      <c r="FQ116" s="21" t="n">
        <v>145.624</v>
      </c>
      <c r="FR116" s="21" t="n">
        <v>151.844</v>
      </c>
      <c r="FS116" s="21" t="n">
        <v>162.406</v>
      </c>
      <c r="FT116" s="21" t="n">
        <v>131.74</v>
      </c>
      <c r="FU116" s="21" t="n">
        <v>123.652</v>
      </c>
      <c r="FV116" s="21" t="n">
        <v>201.344</v>
      </c>
      <c r="FW116" s="21" t="n">
        <v>156.049</v>
      </c>
      <c r="FX116" s="21" t="n">
        <v>200.23</v>
      </c>
      <c r="FY116" s="21" t="n">
        <v>268.745</v>
      </c>
      <c r="FZ116" s="21" t="n">
        <v>269.011</v>
      </c>
      <c r="GA116" s="21" t="n">
        <v>123.102</v>
      </c>
      <c r="GB116" s="21" t="n">
        <v>177.066</v>
      </c>
      <c r="GC116" s="21" t="n"/>
      <c r="GD116" s="21" t="n">
        <v>171.444</v>
      </c>
      <c r="GE116" s="21" t="n">
        <v>189.03</v>
      </c>
      <c r="GF116" s="21" t="n"/>
      <c r="GG116" s="21" t="n">
        <v>175.308</v>
      </c>
      <c r="GH116" s="21" t="n">
        <v>114.253</v>
      </c>
      <c r="GI116" s="21" t="n">
        <v>161.165</v>
      </c>
      <c r="GJ116" s="21" t="n">
        <v>294.829</v>
      </c>
      <c r="GK116" s="21" t="n">
        <v>294.025</v>
      </c>
      <c r="GL116" s="21" t="n">
        <v>287.423</v>
      </c>
      <c r="GM116" s="21" t="n">
        <v>322.901</v>
      </c>
      <c r="GN116" s="21" t="n">
        <v>317.753</v>
      </c>
      <c r="GO116" s="21" t="n">
        <v>282.938</v>
      </c>
      <c r="GP116" s="21" t="n">
        <v>180.912</v>
      </c>
      <c r="GQ116" s="21" t="n">
        <v>153.122</v>
      </c>
      <c r="GR116" s="21" t="n">
        <v>405.109</v>
      </c>
      <c r="GS116" s="21" t="n">
        <v>262.764</v>
      </c>
      <c r="GT116" s="21" t="n">
        <v>851.568</v>
      </c>
      <c r="GU116" s="21" t="n">
        <v>235.927</v>
      </c>
      <c r="GV116" s="21" t="n">
        <v>279.311</v>
      </c>
      <c r="GW116" s="21" t="n">
        <v>252.397</v>
      </c>
      <c r="GX116" s="21" t="n">
        <v>248.253</v>
      </c>
      <c r="GY116" s="21" t="n">
        <v>158.983</v>
      </c>
      <c r="GZ116" s="21" t="n"/>
      <c r="HA116" s="21" t="n">
        <v>66.467</v>
      </c>
      <c r="HB116" s="21" t="n">
        <v>564.593</v>
      </c>
      <c r="HC116" s="21" t="n">
        <v>417.465</v>
      </c>
      <c r="HD116" s="21" t="n">
        <v>136.474</v>
      </c>
      <c r="HE116" s="21" t="n">
        <v>563.035</v>
      </c>
      <c r="HF116" s="21" t="n">
        <v>111.315</v>
      </c>
      <c r="HG116" s="21" t="n">
        <v>611.874</v>
      </c>
      <c r="HH116" s="21" t="n">
        <v>427.954</v>
      </c>
      <c r="HI116" s="21" t="n">
        <v>416.312</v>
      </c>
      <c r="HJ116" s="21" t="n">
        <v>600.225</v>
      </c>
      <c r="HK116" s="21" t="n">
        <v>210.698</v>
      </c>
      <c r="HL116" s="21" t="n">
        <v>261.029</v>
      </c>
      <c r="HM116" s="21" t="n">
        <v>98.616</v>
      </c>
      <c r="HN116" s="21" t="n">
        <v>412.926</v>
      </c>
      <c r="HO116" s="21" t="n">
        <v>397.352</v>
      </c>
      <c r="HP116" s="21" t="n">
        <v>903.675</v>
      </c>
      <c r="HQ116" s="21" t="n">
        <v>287.482</v>
      </c>
      <c r="HR116" s="21" t="n">
        <v>138.237</v>
      </c>
      <c r="HS116" s="21" t="n">
        <v>117.79</v>
      </c>
      <c r="HT116" s="21" t="n">
        <v>104.634</v>
      </c>
      <c r="HU116" s="21" t="n">
        <v>581.492</v>
      </c>
      <c r="HV116" s="21" t="n">
        <v>102.285</v>
      </c>
      <c r="HW116" s="21" t="n">
        <v>25.056</v>
      </c>
      <c r="HX116" s="21" t="n">
        <v>223.744</v>
      </c>
      <c r="HY116" s="21" t="n">
        <v>241.17</v>
      </c>
      <c r="HZ116" s="21" t="n">
        <v>191.844</v>
      </c>
      <c r="IA116" s="21" t="n">
        <v>130.608</v>
      </c>
      <c r="IB116" s="21" t="n">
        <v>344.321</v>
      </c>
      <c r="IC116" s="21" t="n">
        <v>252.887</v>
      </c>
      <c r="ID116" s="21" t="n">
        <v>369.475</v>
      </c>
      <c r="IE116" s="21" t="n">
        <v>123.983</v>
      </c>
      <c r="IF116" s="21" t="n">
        <v>171.172</v>
      </c>
      <c r="IG116" s="21" t="n">
        <v>84.768</v>
      </c>
      <c r="IH116" s="21" t="n">
        <v>86.41500000000001</v>
      </c>
      <c r="II116" s="21" t="n">
        <v>69.925</v>
      </c>
      <c r="IJ116" s="21" t="n">
        <v>28.859</v>
      </c>
      <c r="IK116" s="21" t="n">
        <v>33.099</v>
      </c>
      <c r="IL116" s="21" t="n">
        <v>27.975</v>
      </c>
      <c r="IM116" s="21" t="n">
        <v>37.521</v>
      </c>
      <c r="IN116" s="21" t="n">
        <v>106.059</v>
      </c>
      <c r="IO116" s="21" t="n">
        <v>121.535</v>
      </c>
      <c r="IP116" s="21" t="n">
        <v>200.954</v>
      </c>
      <c r="IQ116" s="21" t="n">
        <v>162.884</v>
      </c>
      <c r="IR116" s="21" t="n">
        <v>463.899</v>
      </c>
      <c r="IS116" s="21" t="n">
        <v>227.58</v>
      </c>
      <c r="IT116" s="21" t="n">
        <v>248.837</v>
      </c>
      <c r="IU116" s="21" t="n">
        <v>398.571</v>
      </c>
      <c r="IV116" s="21" t="n">
        <v>292.897</v>
      </c>
      <c r="IW116" s="21" t="n">
        <v>146.363</v>
      </c>
      <c r="IX116" s="21" t="n">
        <v>299.441</v>
      </c>
      <c r="IY116" s="21" t="n"/>
      <c r="IZ116" s="21" t="n">
        <v>863.437</v>
      </c>
      <c r="JA116" s="21" t="n">
        <v>937.103</v>
      </c>
      <c r="JB116" s="21" t="n">
        <v>98.97</v>
      </c>
      <c r="JC116" s="21" t="n">
        <v>367.57</v>
      </c>
      <c r="JD116" s="21" t="n">
        <v>274.65</v>
      </c>
      <c r="JE116" s="21" t="n">
        <v>74.59099999999999</v>
      </c>
      <c r="JF116" s="21" t="n">
        <v>243.105</v>
      </c>
      <c r="JG116" s="21" t="n">
        <v>377.304</v>
      </c>
      <c r="JH116" s="21" t="n">
        <v>434.592</v>
      </c>
      <c r="JI116" s="21" t="n">
        <v>70.167</v>
      </c>
      <c r="JJ116" s="21" t="n">
        <v>104.631</v>
      </c>
      <c r="JK116" s="21" t="n">
        <v>35.929</v>
      </c>
      <c r="JL116" s="21" t="n">
        <v>87.254</v>
      </c>
      <c r="JM116" s="21" t="n">
        <v>105.534</v>
      </c>
      <c r="JN116" s="21" t="n">
        <v>560.013</v>
      </c>
      <c r="JO116" s="21" t="n">
        <v>97.34699999999999</v>
      </c>
      <c r="JP116" s="21" t="n">
        <v>642.549</v>
      </c>
      <c r="JQ116" s="21" t="n">
        <v>282.896</v>
      </c>
      <c r="JR116" s="21" t="n">
        <v>178.955</v>
      </c>
      <c r="JS116" s="21" t="n">
        <v>559.777</v>
      </c>
      <c r="JT116" s="21" t="n"/>
      <c r="JU116" s="21" t="n">
        <v>394.43</v>
      </c>
      <c r="JV116" s="21" t="n">
        <v>229.821</v>
      </c>
      <c r="JW116" s="21" t="n">
        <v>441.932</v>
      </c>
      <c r="JX116" s="21" t="n">
        <v>343.257</v>
      </c>
      <c r="JY116" s="21" t="n">
        <v>86.25700000000001</v>
      </c>
      <c r="JZ116" s="21" t="n">
        <v>202.394</v>
      </c>
      <c r="KA116" s="21" t="n">
        <v>301.443</v>
      </c>
      <c r="KB116" s="21" t="n">
        <v>319.745</v>
      </c>
      <c r="KC116" s="21" t="n">
        <v>310.964</v>
      </c>
      <c r="KD116" s="21" t="n">
        <v>318.94</v>
      </c>
      <c r="KE116" s="21" t="n">
        <v>282.797</v>
      </c>
      <c r="KF116" s="21" t="n">
        <v>271.162</v>
      </c>
      <c r="KG116" s="21" t="n">
        <v>273.421</v>
      </c>
      <c r="KH116" s="21" t="n">
        <v>279.032</v>
      </c>
      <c r="KI116" s="21" t="n">
        <v>123.45</v>
      </c>
      <c r="KJ116" s="21" t="n">
        <v>222.518</v>
      </c>
      <c r="KK116" s="21" t="n">
        <v>177.487</v>
      </c>
      <c r="KL116" s="21" t="n">
        <v>173.666</v>
      </c>
      <c r="KM116" s="21" t="n">
        <v>164.669</v>
      </c>
      <c r="KN116" s="21" t="n">
        <v>163.504</v>
      </c>
      <c r="KO116" s="21" t="n">
        <v>317.373</v>
      </c>
      <c r="KP116" s="21" t="n">
        <v>121.712</v>
      </c>
      <c r="KQ116" s="21" t="n">
        <v>55.227</v>
      </c>
      <c r="KR116" s="21" t="n">
        <v>123.128</v>
      </c>
      <c r="KS116" s="21" t="n">
        <v>278.287</v>
      </c>
      <c r="KT116" s="21" t="n">
        <v>300.729</v>
      </c>
      <c r="KU116" s="21" t="n">
        <v>105.389</v>
      </c>
      <c r="KV116" s="21" t="n">
        <v>38.092</v>
      </c>
      <c r="KW116" s="21" t="n">
        <v>276.952</v>
      </c>
      <c r="KX116" s="21" t="n">
        <v>232.688</v>
      </c>
      <c r="KY116" s="21" t="n">
        <v>292.734</v>
      </c>
      <c r="KZ116" s="21" t="n">
        <v>229.093</v>
      </c>
      <c r="LA116" s="21" t="n">
        <v>294.574</v>
      </c>
      <c r="LB116" s="21" t="n">
        <v>140.206</v>
      </c>
      <c r="LC116" s="21" t="n">
        <v>416.82</v>
      </c>
      <c r="LD116" s="21" t="n">
        <v>84.286</v>
      </c>
      <c r="LE116" s="21" t="n">
        <v>150.091</v>
      </c>
      <c r="LF116" s="21" t="n">
        <v>419.278</v>
      </c>
      <c r="LG116" s="21" t="n">
        <v>403.57</v>
      </c>
      <c r="LH116" s="21" t="n">
        <v>417.361</v>
      </c>
      <c r="LI116" s="21" t="n">
        <v>387.628</v>
      </c>
      <c r="LJ116" s="21" t="n">
        <v>416.26</v>
      </c>
      <c r="LK116" s="21" t="n">
        <v>128.68</v>
      </c>
      <c r="LL116" s="21" t="n">
        <v>430.228</v>
      </c>
      <c r="LM116" s="21" t="n">
        <v>257.589</v>
      </c>
      <c r="LN116" s="21" t="n">
        <v>32.371</v>
      </c>
      <c r="LO116" s="21" t="n">
        <v>154.02</v>
      </c>
    </row>
    <row r="117">
      <c r="A117" s="22" t="n">
        <v>45505</v>
      </c>
      <c r="B117" s="21" t="n">
        <v>314.062</v>
      </c>
      <c r="C117" s="21" t="n">
        <v>328.154</v>
      </c>
      <c r="D117" s="21" t="n">
        <v>330.748</v>
      </c>
      <c r="E117" s="21" t="n">
        <v>306.399</v>
      </c>
      <c r="F117" s="21" t="n">
        <v>355.37</v>
      </c>
      <c r="G117" s="21" t="n">
        <v>285.348</v>
      </c>
      <c r="H117" s="21" t="n">
        <v>323.997</v>
      </c>
      <c r="I117" s="21" t="n">
        <v>277.614</v>
      </c>
      <c r="J117" s="21" t="n">
        <v>287.4</v>
      </c>
      <c r="K117" s="21" t="n">
        <v>396.087</v>
      </c>
      <c r="L117" s="21" t="n">
        <v>237.914</v>
      </c>
      <c r="M117" s="21" t="n">
        <v>234.597</v>
      </c>
      <c r="N117" s="21" t="n">
        <v>372.782</v>
      </c>
      <c r="O117" s="21" t="n">
        <v>351.775</v>
      </c>
      <c r="P117" s="21" t="n">
        <v>354.438</v>
      </c>
      <c r="Q117" s="21" t="n">
        <v>432.579</v>
      </c>
      <c r="R117" s="21" t="n">
        <v>345.33</v>
      </c>
      <c r="S117" s="21" t="n">
        <v>328.364</v>
      </c>
      <c r="T117" s="21" t="n">
        <v>327.269</v>
      </c>
      <c r="U117" s="21" t="n">
        <v>336.485</v>
      </c>
      <c r="V117" s="21" t="n">
        <v>424.278</v>
      </c>
      <c r="W117" s="21" t="n">
        <v>364.167</v>
      </c>
      <c r="X117" s="21" t="n">
        <v>345.028</v>
      </c>
      <c r="Y117" s="21" t="n">
        <v>283.229</v>
      </c>
      <c r="Z117" s="21" t="n">
        <v>267.44</v>
      </c>
      <c r="AA117" s="21" t="n">
        <v>198.741</v>
      </c>
      <c r="AB117" s="21" t="n">
        <v>368.227</v>
      </c>
      <c r="AC117" s="21" t="n">
        <v>184.277</v>
      </c>
      <c r="AD117" s="21" t="n">
        <v>249.193</v>
      </c>
      <c r="AE117" s="21" t="n">
        <v>275.958</v>
      </c>
      <c r="AF117" s="21" t="n">
        <v>253.214</v>
      </c>
      <c r="AG117" s="21" t="n">
        <v>165.065</v>
      </c>
      <c r="AH117" s="21" t="n">
        <v>291.616</v>
      </c>
      <c r="AI117" s="21" t="n">
        <v>309.465</v>
      </c>
      <c r="AJ117" s="21" t="n">
        <v>187.451</v>
      </c>
      <c r="AK117" s="21" t="n">
        <v>305.473</v>
      </c>
      <c r="AL117" s="21" t="n">
        <v>194.896</v>
      </c>
      <c r="AM117" s="21" t="n">
        <v>329.047</v>
      </c>
      <c r="AN117" s="21" t="n">
        <v>288.97</v>
      </c>
      <c r="AO117" s="21" t="n">
        <v>206.462</v>
      </c>
      <c r="AP117" s="21" t="n">
        <v>349.629</v>
      </c>
      <c r="AQ117" s="21" t="n">
        <v>218.028</v>
      </c>
      <c r="AR117" s="21" t="n">
        <v>172.821</v>
      </c>
      <c r="AS117" s="21" t="n">
        <v>248.57</v>
      </c>
      <c r="AT117" s="21" t="n">
        <v>367.934</v>
      </c>
      <c r="AU117" s="21" t="n">
        <v>341.711</v>
      </c>
      <c r="AV117" s="21" t="n">
        <v>269.468</v>
      </c>
      <c r="AW117" s="21" t="n">
        <v>177.126</v>
      </c>
      <c r="AX117" s="21" t="n">
        <v>254.404</v>
      </c>
      <c r="AY117" s="21" t="n">
        <v>183.386</v>
      </c>
      <c r="AZ117" s="21" t="n">
        <v>261.601</v>
      </c>
      <c r="BA117" s="21" t="n">
        <v>277.242</v>
      </c>
      <c r="BB117" s="21" t="n">
        <v>190.987</v>
      </c>
      <c r="BC117" s="21" t="n">
        <v>351.129</v>
      </c>
      <c r="BD117" s="21" t="n">
        <v>394.634</v>
      </c>
      <c r="BE117" s="21" t="n">
        <v>409.243</v>
      </c>
      <c r="BF117" s="21" t="n">
        <v>328.75</v>
      </c>
      <c r="BG117" s="21" t="n">
        <v>206.751</v>
      </c>
      <c r="BH117" s="21" t="n">
        <v>297.273</v>
      </c>
      <c r="BI117" s="21" t="n">
        <v>591.543</v>
      </c>
      <c r="BJ117" s="21" t="n">
        <v>142.675</v>
      </c>
      <c r="BK117" s="21" t="n">
        <v>377.862</v>
      </c>
      <c r="BL117" s="21" t="n">
        <v>411.966</v>
      </c>
      <c r="BM117" s="21" t="n">
        <v>406.584</v>
      </c>
      <c r="BN117" s="21" t="n">
        <v>360.789</v>
      </c>
      <c r="BO117" s="21" t="n">
        <v>373.658</v>
      </c>
      <c r="BP117" s="21" t="n">
        <v>202.726</v>
      </c>
      <c r="BQ117" s="21" t="n">
        <v>215.095</v>
      </c>
      <c r="BR117" s="21" t="n">
        <v>204.783</v>
      </c>
      <c r="BS117" s="21" t="n">
        <v>229.819</v>
      </c>
      <c r="BT117" s="21" t="n">
        <v>185.891</v>
      </c>
      <c r="BU117" s="21" t="n">
        <v>263.899</v>
      </c>
      <c r="BV117" s="21" t="n">
        <v>193.104</v>
      </c>
      <c r="BW117" s="21" t="n">
        <v>219.74</v>
      </c>
      <c r="BX117" s="21" t="n">
        <v>175.357</v>
      </c>
      <c r="BY117" s="21" t="n">
        <v>227.795</v>
      </c>
      <c r="BZ117" s="21" t="n">
        <v>155.369</v>
      </c>
      <c r="CA117" s="21" t="n">
        <v>141.634</v>
      </c>
      <c r="CB117" s="21" t="n">
        <v>231.001</v>
      </c>
      <c r="CC117" s="21" t="n">
        <v>240.168</v>
      </c>
      <c r="CD117" s="21" t="n">
        <v>162.541</v>
      </c>
      <c r="CE117" s="21" t="n">
        <v>272.231</v>
      </c>
      <c r="CF117" s="21" t="n">
        <v>290.606</v>
      </c>
      <c r="CG117" s="21" t="n">
        <v>269.13</v>
      </c>
      <c r="CH117" s="21" t="n">
        <v>195.963</v>
      </c>
      <c r="CI117" s="21" t="n">
        <v>198.008</v>
      </c>
      <c r="CJ117" s="21" t="n">
        <v>316.505</v>
      </c>
      <c r="CK117" s="21" t="n">
        <v>278.82</v>
      </c>
      <c r="CL117" s="21" t="n">
        <v>317.73</v>
      </c>
      <c r="CM117" s="21" t="n">
        <v>453.211</v>
      </c>
      <c r="CN117" s="21" t="n">
        <v>173.062</v>
      </c>
      <c r="CO117" s="21" t="n">
        <v>228.504</v>
      </c>
      <c r="CP117" s="21" t="n">
        <v>285.916</v>
      </c>
      <c r="CQ117" s="21" t="n">
        <v>311.969</v>
      </c>
      <c r="CR117" s="21" t="n">
        <v>210.144</v>
      </c>
      <c r="CS117" s="21" t="n">
        <v>307.308</v>
      </c>
      <c r="CT117" s="21" t="n">
        <v>313.058</v>
      </c>
      <c r="CU117" s="21" t="n">
        <v>188.08</v>
      </c>
      <c r="CV117" s="21" t="n">
        <v>192.86</v>
      </c>
      <c r="CW117" s="21" t="n">
        <v>186.752</v>
      </c>
      <c r="CX117" s="21" t="n">
        <v>368.22</v>
      </c>
      <c r="CY117" s="21" t="n">
        <v>169.534</v>
      </c>
      <c r="CZ117" s="21" t="n">
        <v>156.256</v>
      </c>
      <c r="DA117" s="21" t="n">
        <v>370.348</v>
      </c>
      <c r="DB117" s="21" t="n">
        <v>227.488</v>
      </c>
      <c r="DC117" s="21" t="n">
        <v>202.087</v>
      </c>
      <c r="DD117" s="21" t="n">
        <v>197.543</v>
      </c>
      <c r="DE117" s="21" t="n">
        <v>245.177</v>
      </c>
      <c r="DF117" s="21" t="n">
        <v>291.432</v>
      </c>
      <c r="DG117" s="21" t="n">
        <v>230.017</v>
      </c>
      <c r="DH117" s="21" t="n">
        <v>275.951</v>
      </c>
      <c r="DI117" s="21" t="n">
        <v>211.777</v>
      </c>
      <c r="DJ117" s="21" t="n">
        <v>225.273</v>
      </c>
      <c r="DK117" s="21" t="n">
        <v>205.318</v>
      </c>
      <c r="DL117" s="21" t="n">
        <v>182.729</v>
      </c>
      <c r="DM117" s="21" t="n">
        <v>429.342</v>
      </c>
      <c r="DN117" s="21" t="n">
        <v>237.746</v>
      </c>
      <c r="DO117" s="21" t="n">
        <v>335.483</v>
      </c>
      <c r="DP117" s="21" t="n">
        <v>402.895</v>
      </c>
      <c r="DQ117" s="21" t="n">
        <v>422.556</v>
      </c>
      <c r="DR117" s="21" t="n">
        <v>189.024</v>
      </c>
      <c r="DS117" s="21" t="n">
        <v>648.932</v>
      </c>
      <c r="DT117" s="21" t="n">
        <v>387.734</v>
      </c>
      <c r="DU117" s="21" t="n">
        <v>414.013</v>
      </c>
      <c r="DV117" s="21" t="n">
        <v>414.086</v>
      </c>
      <c r="DW117" s="21" t="n">
        <v>312.978</v>
      </c>
      <c r="DX117" s="21" t="n">
        <v>261.239</v>
      </c>
      <c r="DY117" s="21" t="n">
        <v>365.676</v>
      </c>
      <c r="DZ117" s="21" t="n">
        <v>359.243</v>
      </c>
      <c r="EA117" s="21" t="n">
        <v>433.031</v>
      </c>
      <c r="EB117" s="21" t="n">
        <v>265.675</v>
      </c>
      <c r="EC117" s="21" t="n">
        <v>277.101</v>
      </c>
      <c r="ED117" s="21" t="n">
        <v>226.077</v>
      </c>
      <c r="EE117" s="21" t="n">
        <v>303.311</v>
      </c>
      <c r="EF117" s="21" t="n">
        <v>696.471</v>
      </c>
      <c r="EG117" s="21" t="n">
        <v>615.88</v>
      </c>
      <c r="EH117" s="21" t="n">
        <v>147.34</v>
      </c>
      <c r="EI117" s="21" t="n">
        <v>59.507</v>
      </c>
      <c r="EJ117" s="21" t="n">
        <v>82.529</v>
      </c>
      <c r="EK117" s="21" t="n">
        <v>39.725</v>
      </c>
      <c r="EL117" s="21" t="n">
        <v>127.872</v>
      </c>
      <c r="EM117" s="21" t="n">
        <v>77.369</v>
      </c>
      <c r="EN117" s="21" t="n">
        <v>84.43899999999999</v>
      </c>
      <c r="EO117" s="21" t="n">
        <v>90.015</v>
      </c>
      <c r="EP117" s="21" t="n">
        <v>107.726</v>
      </c>
      <c r="EQ117" s="21" t="n">
        <v>74.015</v>
      </c>
      <c r="ER117" s="21" t="n">
        <v>54.426</v>
      </c>
      <c r="ES117" s="21" t="n">
        <v>160.436</v>
      </c>
      <c r="ET117" s="21" t="n">
        <v>75.742</v>
      </c>
      <c r="EU117" s="21" t="n">
        <v>110.576</v>
      </c>
      <c r="EV117" s="21" t="n">
        <v>119.786</v>
      </c>
      <c r="EW117" s="21" t="n">
        <v>106.844</v>
      </c>
      <c r="EX117" s="21" t="n">
        <v>236.104</v>
      </c>
      <c r="EY117" s="21" t="n">
        <v>152.755</v>
      </c>
      <c r="EZ117" s="21" t="n">
        <v>140.108</v>
      </c>
      <c r="FA117" s="21" t="n">
        <v>199.283</v>
      </c>
      <c r="FB117" s="21" t="n">
        <v>131.415</v>
      </c>
      <c r="FC117" s="21" t="n">
        <v>128.169</v>
      </c>
      <c r="FD117" s="21" t="n">
        <v>129.829</v>
      </c>
      <c r="FE117" s="21" t="n">
        <v>92.988</v>
      </c>
      <c r="FF117" s="21" t="n">
        <v>184.378</v>
      </c>
      <c r="FG117" s="21" t="n">
        <v>79.846</v>
      </c>
      <c r="FH117" s="21" t="n">
        <v>135.34</v>
      </c>
      <c r="FI117" s="21" t="n">
        <v>119.782</v>
      </c>
      <c r="FJ117" s="21" t="n">
        <v>110.74</v>
      </c>
      <c r="FK117" s="21" t="n">
        <v>112.054</v>
      </c>
      <c r="FL117" s="21" t="n">
        <v>99.05200000000001</v>
      </c>
      <c r="FM117" s="21" t="n">
        <v>105.423</v>
      </c>
      <c r="FN117" s="21" t="n">
        <v>76.408</v>
      </c>
      <c r="FO117" s="21" t="n">
        <v>116.727</v>
      </c>
      <c r="FP117" s="21" t="n">
        <v>105.228</v>
      </c>
      <c r="FQ117" s="21" t="n">
        <v>144.181</v>
      </c>
      <c r="FR117" s="21" t="n">
        <v>152.053</v>
      </c>
      <c r="FS117" s="21" t="n">
        <v>163.747</v>
      </c>
      <c r="FT117" s="21" t="n">
        <v>129.404</v>
      </c>
      <c r="FU117" s="21" t="n">
        <v>125.192</v>
      </c>
      <c r="FV117" s="21" t="n">
        <v>196.187</v>
      </c>
      <c r="FW117" s="21" t="n">
        <v>153.843</v>
      </c>
      <c r="FX117" s="21" t="n">
        <v>195.884</v>
      </c>
      <c r="FY117" s="21" t="n">
        <v>268.745</v>
      </c>
      <c r="FZ117" s="21" t="n">
        <v>268.709</v>
      </c>
      <c r="GA117" s="21" t="n">
        <v>123.157</v>
      </c>
      <c r="GB117" s="21" t="n">
        <v>177.068</v>
      </c>
      <c r="GC117" s="21" t="n"/>
      <c r="GD117" s="21" t="n">
        <v>171.435</v>
      </c>
      <c r="GE117" s="21" t="n">
        <v>189.05</v>
      </c>
      <c r="GF117" s="21" t="n"/>
      <c r="GG117" s="21" t="n">
        <v>174.703</v>
      </c>
      <c r="GH117" s="21" t="n"/>
      <c r="GI117" s="21" t="n">
        <v>161.635</v>
      </c>
      <c r="GJ117" s="21" t="n">
        <v>291.161</v>
      </c>
      <c r="GK117" s="21" t="n">
        <v>290.263</v>
      </c>
      <c r="GL117" s="21" t="n">
        <v>283.527</v>
      </c>
      <c r="GM117" s="21" t="n">
        <v>319.811</v>
      </c>
      <c r="GN117" s="21" t="n">
        <v>314.644</v>
      </c>
      <c r="GO117" s="21" t="n">
        <v>277.421</v>
      </c>
      <c r="GP117" s="21" t="n">
        <v>180.893</v>
      </c>
      <c r="GQ117" s="21" t="n">
        <v>152.701</v>
      </c>
      <c r="GR117" s="21" t="n">
        <v>407.374</v>
      </c>
      <c r="GS117" s="21" t="n">
        <v>266.321</v>
      </c>
      <c r="GT117" s="21" t="n">
        <v>856.197</v>
      </c>
      <c r="GU117" s="21" t="n">
        <v>235.545</v>
      </c>
      <c r="GV117" s="21" t="n">
        <v>279.125</v>
      </c>
      <c r="GW117" s="21" t="n">
        <v>256.372</v>
      </c>
      <c r="GX117" s="21" t="n">
        <v>253.357</v>
      </c>
      <c r="GY117" s="21" t="n">
        <v>157.121</v>
      </c>
      <c r="GZ117" s="21" t="n"/>
      <c r="HA117" s="21" t="n">
        <v>67.2</v>
      </c>
      <c r="HB117" s="21" t="n">
        <v>564.183</v>
      </c>
      <c r="HC117" s="21" t="n">
        <v>416.538</v>
      </c>
      <c r="HD117" s="21" t="n">
        <v>136.201</v>
      </c>
      <c r="HE117" s="21" t="n">
        <v>562.174</v>
      </c>
      <c r="HF117" s="21" t="n">
        <v>111.112</v>
      </c>
      <c r="HG117" s="21" t="n">
        <v>611.6369999999999</v>
      </c>
      <c r="HH117" s="21" t="n">
        <v>427.816</v>
      </c>
      <c r="HI117" s="21" t="n">
        <v>416.37</v>
      </c>
      <c r="HJ117" s="21" t="n">
        <v>600.6849999999999</v>
      </c>
      <c r="HK117" s="21" t="n">
        <v>209.554</v>
      </c>
      <c r="HL117" s="21" t="n">
        <v>260.898</v>
      </c>
      <c r="HM117" s="21" t="n">
        <v>98.992</v>
      </c>
      <c r="HN117" s="21" t="n"/>
      <c r="HO117" s="21" t="n"/>
      <c r="HP117" s="21" t="n"/>
      <c r="HQ117" s="21" t="n">
        <v>288.763</v>
      </c>
      <c r="HR117" s="21" t="n">
        <v>138.225</v>
      </c>
      <c r="HS117" s="21" t="n">
        <v>117.743</v>
      </c>
      <c r="HT117" s="21" t="n">
        <v>102.59</v>
      </c>
      <c r="HU117" s="21" t="n">
        <v>583.0549999999999</v>
      </c>
      <c r="HV117" s="21" t="n">
        <v>104.334</v>
      </c>
      <c r="HW117" s="21" t="n">
        <v>24.882</v>
      </c>
      <c r="HX117" s="21" t="n">
        <v>224.02</v>
      </c>
      <c r="HY117" s="21" t="n">
        <v>240.592</v>
      </c>
      <c r="HZ117" s="21" t="n">
        <v>191.057</v>
      </c>
      <c r="IA117" s="21" t="n">
        <v>130.816</v>
      </c>
      <c r="IB117" s="21" t="n">
        <v>346.516</v>
      </c>
      <c r="IC117" s="21" t="n">
        <v>254.559</v>
      </c>
      <c r="ID117" s="21" t="n">
        <v>369.842</v>
      </c>
      <c r="IE117" s="21" t="n">
        <v>124.029</v>
      </c>
      <c r="IF117" s="21" t="n">
        <v>171.794</v>
      </c>
      <c r="IG117" s="21" t="n">
        <v>84.245</v>
      </c>
      <c r="IH117" s="21" t="n">
        <v>86.378</v>
      </c>
      <c r="II117" s="21" t="n">
        <v>70.116</v>
      </c>
      <c r="IJ117" s="21" t="n">
        <v>28.842</v>
      </c>
      <c r="IK117" s="21" t="n">
        <v>33.18</v>
      </c>
      <c r="IL117" s="21" t="n">
        <v>28.004</v>
      </c>
      <c r="IM117" s="21" t="n">
        <v>37.624</v>
      </c>
      <c r="IN117" s="21" t="n">
        <v>108.305</v>
      </c>
      <c r="IO117" s="21" t="n">
        <v>121.102</v>
      </c>
      <c r="IP117" s="21" t="n">
        <v>200.81</v>
      </c>
      <c r="IQ117" s="21" t="n">
        <v>163.553</v>
      </c>
      <c r="IR117" s="21" t="n">
        <v>460.211</v>
      </c>
      <c r="IS117" s="21" t="n">
        <v>226.579</v>
      </c>
      <c r="IT117" s="21" t="n">
        <v>245.633</v>
      </c>
      <c r="IU117" s="21" t="n">
        <v>401.22</v>
      </c>
      <c r="IV117" s="21" t="n">
        <v>290.095</v>
      </c>
      <c r="IW117" s="21" t="n">
        <v>146.415</v>
      </c>
      <c r="IX117" s="21" t="n">
        <v>300.617</v>
      </c>
      <c r="IY117" s="21" t="n"/>
      <c r="IZ117" s="21" t="n">
        <v>866.785</v>
      </c>
      <c r="JA117" s="21" t="n">
        <v>936.9160000000001</v>
      </c>
      <c r="JB117" s="21" t="n">
        <v>99.062</v>
      </c>
      <c r="JC117" s="21" t="n">
        <v>371.463</v>
      </c>
      <c r="JD117" s="21" t="n">
        <v>275.81</v>
      </c>
      <c r="JE117" s="21" t="n">
        <v>74.42100000000001</v>
      </c>
      <c r="JF117" s="21" t="n">
        <v>244.285</v>
      </c>
      <c r="JG117" s="21" t="n">
        <v>379.252</v>
      </c>
      <c r="JH117" s="21" t="n">
        <v>435.835</v>
      </c>
      <c r="JI117" s="21" t="n">
        <v>69.996</v>
      </c>
      <c r="JJ117" s="21" t="n">
        <v>103.973</v>
      </c>
      <c r="JK117" s="21" t="n">
        <v>35.792</v>
      </c>
      <c r="JL117" s="21" t="n">
        <v>86.92100000000001</v>
      </c>
      <c r="JM117" s="21" t="n">
        <v>104.033</v>
      </c>
      <c r="JN117" s="21" t="n">
        <v>561.578</v>
      </c>
      <c r="JO117" s="21" t="n">
        <v>98.496</v>
      </c>
      <c r="JP117" s="21" t="n">
        <v>651.722</v>
      </c>
      <c r="JQ117" s="21" t="n">
        <v>283.091</v>
      </c>
      <c r="JR117" s="21" t="n">
        <v>178.184</v>
      </c>
      <c r="JS117" s="21" t="n">
        <v>559.437</v>
      </c>
      <c r="JT117" s="21" t="n"/>
      <c r="JU117" s="21" t="n">
        <v>395.4</v>
      </c>
      <c r="JV117" s="21" t="n">
        <v>231.123</v>
      </c>
      <c r="JW117" s="21" t="n">
        <v>440.435</v>
      </c>
      <c r="JX117" s="21" t="n">
        <v>338.691</v>
      </c>
      <c r="JY117" s="21" t="n">
        <v>86.289</v>
      </c>
      <c r="JZ117" s="21" t="n">
        <v>202.531</v>
      </c>
      <c r="KA117" s="21" t="n">
        <v>301.977</v>
      </c>
      <c r="KB117" s="21" t="n">
        <v>320.498</v>
      </c>
      <c r="KC117" s="21" t="n">
        <v>311.468</v>
      </c>
      <c r="KD117" s="21" t="n">
        <v>319.75</v>
      </c>
      <c r="KE117" s="21" t="n">
        <v>282.786</v>
      </c>
      <c r="KF117" s="21" t="n">
        <v>271.057</v>
      </c>
      <c r="KG117" s="21" t="n">
        <v>273.693</v>
      </c>
      <c r="KH117" s="21" t="n">
        <v>279.364</v>
      </c>
      <c r="KI117" s="21" t="n">
        <v>123.586</v>
      </c>
      <c r="KJ117" s="21" t="n">
        <v>222.158</v>
      </c>
      <c r="KK117" s="21" t="n">
        <v>176.888</v>
      </c>
      <c r="KL117" s="21" t="n">
        <v>173.048</v>
      </c>
      <c r="KM117" s="21" t="n">
        <v>164.399</v>
      </c>
      <c r="KN117" s="21" t="n">
        <v>163.268</v>
      </c>
      <c r="KO117" s="21" t="n">
        <v>317.24</v>
      </c>
      <c r="KP117" s="21" t="n">
        <v>121.097</v>
      </c>
      <c r="KQ117" s="21" t="n">
        <v>54.777</v>
      </c>
      <c r="KR117" s="21" t="n">
        <v>123.345</v>
      </c>
      <c r="KS117" s="21" t="n">
        <v>275.706</v>
      </c>
      <c r="KT117" s="21" t="n">
        <v>297.045</v>
      </c>
      <c r="KU117" s="21" t="n">
        <v>105.125</v>
      </c>
      <c r="KV117" s="21" t="n">
        <v>37.727</v>
      </c>
      <c r="KW117" s="21" t="n">
        <v>276.743</v>
      </c>
      <c r="KX117" s="21" t="n">
        <v>231.946</v>
      </c>
      <c r="KY117" s="21" t="n">
        <v>291.513</v>
      </c>
      <c r="KZ117" s="21" t="n">
        <v>228.321</v>
      </c>
      <c r="LA117" s="21" t="n">
        <v>293.284</v>
      </c>
      <c r="LB117" s="21" t="n">
        <v>140.585</v>
      </c>
      <c r="LC117" s="21" t="n">
        <v>417.449</v>
      </c>
      <c r="LD117" s="21" t="n">
        <v>84.148</v>
      </c>
      <c r="LE117" s="21" t="n">
        <v>150.221</v>
      </c>
      <c r="LF117" s="21" t="n">
        <v>421.035</v>
      </c>
      <c r="LG117" s="21" t="n">
        <v>404.827</v>
      </c>
      <c r="LH117" s="21" t="n">
        <v>418.852</v>
      </c>
      <c r="LI117" s="21" t="n">
        <v>389.054</v>
      </c>
      <c r="LJ117" s="21" t="n">
        <v>417.027</v>
      </c>
      <c r="LK117" s="21" t="n">
        <v>128.536</v>
      </c>
      <c r="LL117" s="21" t="n">
        <v>433.523</v>
      </c>
      <c r="LM117" s="21" t="n">
        <v>257.905</v>
      </c>
      <c r="LN117" s="21" t="n">
        <v>32.147</v>
      </c>
      <c r="LO117" s="21" t="n">
        <v>154.27</v>
      </c>
    </row>
    <row r="118">
      <c r="A118" s="22" t="n">
        <v>45536</v>
      </c>
      <c r="B118" s="21" t="n">
        <v>314.732</v>
      </c>
      <c r="C118" s="21" t="n">
        <v>329.109</v>
      </c>
      <c r="D118" s="21" t="n">
        <v>331.753</v>
      </c>
      <c r="E118" s="21" t="n">
        <v>307.258</v>
      </c>
      <c r="F118" s="21" t="n">
        <v>355.642</v>
      </c>
      <c r="G118" s="21" t="n">
        <v>286.243</v>
      </c>
      <c r="H118" s="21" t="n">
        <v>322.627</v>
      </c>
      <c r="I118" s="21" t="n">
        <v>276.456</v>
      </c>
      <c r="J118" s="21" t="n">
        <v>290.732</v>
      </c>
      <c r="K118" s="21" t="n">
        <v>396.857</v>
      </c>
      <c r="L118" s="21" t="n">
        <v>237.328</v>
      </c>
      <c r="M118" s="21" t="n">
        <v>232.395</v>
      </c>
      <c r="N118" s="21" t="n">
        <v>377.424</v>
      </c>
      <c r="O118" s="21" t="n">
        <v>358.354</v>
      </c>
      <c r="P118" s="21" t="n">
        <v>355.458</v>
      </c>
      <c r="Q118" s="21" t="n">
        <v>433.637</v>
      </c>
      <c r="R118" s="21" t="n">
        <v>342.18</v>
      </c>
      <c r="S118" s="21" t="n">
        <v>330.746</v>
      </c>
      <c r="T118" s="21" t="n">
        <v>327.695</v>
      </c>
      <c r="U118" s="21" t="n">
        <v>336.884</v>
      </c>
      <c r="V118" s="21" t="n">
        <v>426.643</v>
      </c>
      <c r="W118" s="21" t="n">
        <v>367.622</v>
      </c>
      <c r="X118" s="21" t="n">
        <v>344.644</v>
      </c>
      <c r="Y118" s="21" t="n">
        <v>283.663</v>
      </c>
      <c r="Z118" s="21" t="n">
        <v>267.617</v>
      </c>
      <c r="AA118" s="21" t="n">
        <v>199.568</v>
      </c>
      <c r="AB118" s="21" t="n">
        <v>371.011</v>
      </c>
      <c r="AC118" s="21" t="n">
        <v>187.24</v>
      </c>
      <c r="AD118" s="21" t="n">
        <v>246.617</v>
      </c>
      <c r="AE118" s="21" t="n">
        <v>274.717</v>
      </c>
      <c r="AF118" s="21" t="n">
        <v>250.059</v>
      </c>
      <c r="AG118" s="21" t="n">
        <v>167.706</v>
      </c>
      <c r="AH118" s="21" t="n">
        <v>289.702</v>
      </c>
      <c r="AI118" s="21" t="n">
        <v>308.299</v>
      </c>
      <c r="AJ118" s="21" t="n">
        <v>186.664</v>
      </c>
      <c r="AK118" s="21" t="n">
        <v>306.513</v>
      </c>
      <c r="AL118" s="21" t="n">
        <v>196.573</v>
      </c>
      <c r="AM118" s="21" t="n">
        <v>328.772</v>
      </c>
      <c r="AN118" s="21" t="n">
        <v>291.603</v>
      </c>
      <c r="AO118" s="21" t="n">
        <v>202.895</v>
      </c>
      <c r="AP118" s="21" t="n">
        <v>349.34</v>
      </c>
      <c r="AQ118" s="21" t="n">
        <v>218.129</v>
      </c>
      <c r="AR118" s="21" t="n">
        <v>172.871</v>
      </c>
      <c r="AS118" s="21" t="n">
        <v>248.734</v>
      </c>
      <c r="AT118" s="21" t="n">
        <v>366.752</v>
      </c>
      <c r="AU118" s="21" t="n">
        <v>367.289</v>
      </c>
      <c r="AV118" s="21" t="n">
        <v>269.643</v>
      </c>
      <c r="AW118" s="21" t="n">
        <v>175.953</v>
      </c>
      <c r="AX118" s="21" t="n">
        <v>252.408</v>
      </c>
      <c r="AY118" s="21" t="n">
        <v>182.235</v>
      </c>
      <c r="AZ118" s="21" t="n">
        <v>263.727</v>
      </c>
      <c r="BA118" s="21" t="n">
        <v>276.048</v>
      </c>
      <c r="BB118" s="21" t="n">
        <v>191.312</v>
      </c>
      <c r="BC118" s="21" t="n">
        <v>353.238</v>
      </c>
      <c r="BD118" s="21" t="n">
        <v>397.966</v>
      </c>
      <c r="BE118" s="21" t="n">
        <v>415.953</v>
      </c>
      <c r="BF118" s="21" t="n">
        <v>338.606</v>
      </c>
      <c r="BG118" s="21" t="n">
        <v>207.001</v>
      </c>
      <c r="BH118" s="21" t="n">
        <v>300.182</v>
      </c>
      <c r="BI118" s="21" t="n">
        <v>593.775</v>
      </c>
      <c r="BJ118" s="21" t="n">
        <v>146.115</v>
      </c>
      <c r="BK118" s="21" t="n">
        <v>377.636</v>
      </c>
      <c r="BL118" s="21" t="n">
        <v>418.273</v>
      </c>
      <c r="BM118" s="21" t="n">
        <v>399.08</v>
      </c>
      <c r="BN118" s="21" t="n">
        <v>354.327</v>
      </c>
      <c r="BO118" s="21" t="n">
        <v>375.627</v>
      </c>
      <c r="BP118" s="21" t="n">
        <v>202.405</v>
      </c>
      <c r="BQ118" s="21" t="n">
        <v>214.841</v>
      </c>
      <c r="BR118" s="21" t="n">
        <v>205.18</v>
      </c>
      <c r="BS118" s="21" t="n">
        <v>229.912</v>
      </c>
      <c r="BT118" s="21" t="n">
        <v>185.25</v>
      </c>
      <c r="BU118" s="21" t="n">
        <v>261.884</v>
      </c>
      <c r="BV118" s="21" t="n">
        <v>194.12</v>
      </c>
      <c r="BW118" s="21" t="n">
        <v>219.699</v>
      </c>
      <c r="BX118" s="21" t="n">
        <v>174.694</v>
      </c>
      <c r="BY118" s="21" t="n">
        <v>226.976</v>
      </c>
      <c r="BZ118" s="21" t="n">
        <v>155.006</v>
      </c>
      <c r="CA118" s="21" t="n">
        <v>142.93</v>
      </c>
      <c r="CB118" s="21" t="n">
        <v>234.648</v>
      </c>
      <c r="CC118" s="21" t="n">
        <v>244.972</v>
      </c>
      <c r="CD118" s="21" t="n">
        <v>161.153</v>
      </c>
      <c r="CE118" s="21" t="n">
        <v>272.32</v>
      </c>
      <c r="CF118" s="21" t="n">
        <v>288.001</v>
      </c>
      <c r="CG118" s="21" t="n">
        <v>269.239</v>
      </c>
      <c r="CH118" s="21" t="n">
        <v>194.337</v>
      </c>
      <c r="CI118" s="21" t="n">
        <v>195.514</v>
      </c>
      <c r="CJ118" s="21" t="n">
        <v>319.623</v>
      </c>
      <c r="CK118" s="21" t="n">
        <v>283.493</v>
      </c>
      <c r="CL118" s="21" t="n">
        <v>322.993</v>
      </c>
      <c r="CM118" s="21" t="n">
        <v>460.829</v>
      </c>
      <c r="CN118" s="21" t="n">
        <v>178.696</v>
      </c>
      <c r="CO118" s="21" t="n">
        <v>228.18</v>
      </c>
      <c r="CP118" s="21" t="n">
        <v>286.073</v>
      </c>
      <c r="CQ118" s="21" t="n">
        <v>312.944</v>
      </c>
      <c r="CR118" s="21" t="n">
        <v>210.728</v>
      </c>
      <c r="CS118" s="21" t="n">
        <v>307.564</v>
      </c>
      <c r="CT118" s="21" t="n">
        <v>313.926</v>
      </c>
      <c r="CU118" s="21" t="n">
        <v>188.329</v>
      </c>
      <c r="CV118" s="21" t="n">
        <v>194.119</v>
      </c>
      <c r="CW118" s="21" t="n">
        <v>186.882</v>
      </c>
      <c r="CX118" s="21" t="n">
        <v>374.041</v>
      </c>
      <c r="CY118" s="21" t="n">
        <v>169.681</v>
      </c>
      <c r="CZ118" s="21" t="n">
        <v>156.797</v>
      </c>
      <c r="DA118" s="21" t="n">
        <v>371.604</v>
      </c>
      <c r="DB118" s="21" t="n">
        <v>228.389</v>
      </c>
      <c r="DC118" s="21" t="n">
        <v>205.479</v>
      </c>
      <c r="DD118" s="21" t="n">
        <v>201.655</v>
      </c>
      <c r="DE118" s="21" t="n">
        <v>246.142</v>
      </c>
      <c r="DF118" s="21" t="n">
        <v>291.683</v>
      </c>
      <c r="DG118" s="21" t="n">
        <v>230.124</v>
      </c>
      <c r="DH118" s="21" t="n">
        <v>276.844</v>
      </c>
      <c r="DI118" s="21" t="n">
        <v>210.891</v>
      </c>
      <c r="DJ118" s="21" t="n">
        <v>219.783</v>
      </c>
      <c r="DK118" s="21" t="n">
        <v>205.761</v>
      </c>
      <c r="DL118" s="21" t="n">
        <v>182.907</v>
      </c>
      <c r="DM118" s="21" t="n">
        <v>429.609</v>
      </c>
      <c r="DN118" s="21" t="n">
        <v>237.637</v>
      </c>
      <c r="DO118" s="21" t="n">
        <v>336.436</v>
      </c>
      <c r="DP118" s="21" t="n">
        <v>403.956</v>
      </c>
      <c r="DQ118" s="21" t="n">
        <v>423.858</v>
      </c>
      <c r="DR118" s="21" t="n">
        <v>186.037</v>
      </c>
      <c r="DS118" s="21" t="n">
        <v>649.787</v>
      </c>
      <c r="DT118" s="21" t="n">
        <v>380.247</v>
      </c>
      <c r="DU118" s="21" t="n">
        <v>415.507</v>
      </c>
      <c r="DV118" s="21" t="n">
        <v>415.529</v>
      </c>
      <c r="DW118" s="21" t="n">
        <v>314.972</v>
      </c>
      <c r="DX118" s="21" t="n">
        <v>262.941</v>
      </c>
      <c r="DY118" s="21" t="n">
        <v>359.572</v>
      </c>
      <c r="DZ118" s="21" t="n">
        <v>344.6</v>
      </c>
      <c r="EA118" s="21" t="n">
        <v>435.778</v>
      </c>
      <c r="EB118" s="21" t="n">
        <v>267.716</v>
      </c>
      <c r="EC118" s="21" t="n">
        <v>279.137</v>
      </c>
      <c r="ED118" s="21" t="n">
        <v>228.096</v>
      </c>
      <c r="EE118" s="21" t="n">
        <v>305.117</v>
      </c>
      <c r="EF118" s="21" t="n">
        <v>700.572</v>
      </c>
      <c r="EG118" s="21" t="n">
        <v>619.64</v>
      </c>
      <c r="EH118" s="21" t="n">
        <v>147.5</v>
      </c>
      <c r="EI118" s="21" t="n">
        <v>59.521</v>
      </c>
      <c r="EJ118" s="21" t="n">
        <v>81.965</v>
      </c>
      <c r="EK118" s="21" t="n">
        <v>39.807</v>
      </c>
      <c r="EL118" s="21" t="n">
        <v>129.994</v>
      </c>
      <c r="EM118" s="21" t="n">
        <v>76.337</v>
      </c>
      <c r="EN118" s="21" t="n">
        <v>84.004</v>
      </c>
      <c r="EO118" s="21" t="n">
        <v>90.02800000000001</v>
      </c>
      <c r="EP118" s="21" t="n">
        <v>107.694</v>
      </c>
      <c r="EQ118" s="21" t="n">
        <v>73.631</v>
      </c>
      <c r="ER118" s="21" t="n">
        <v>54.344</v>
      </c>
      <c r="ES118" s="21" t="n">
        <v>160.551</v>
      </c>
      <c r="ET118" s="21" t="n">
        <v>79.63500000000001</v>
      </c>
      <c r="EU118" s="21" t="n">
        <v>109.745</v>
      </c>
      <c r="EV118" s="21" t="n">
        <v>118.603</v>
      </c>
      <c r="EW118" s="21" t="n">
        <v>105.727</v>
      </c>
      <c r="EX118" s="21" t="n">
        <v>235.352</v>
      </c>
      <c r="EY118" s="21" t="n">
        <v>152.354</v>
      </c>
      <c r="EZ118" s="21" t="n">
        <v>139.362</v>
      </c>
      <c r="FA118" s="21" t="n">
        <v>199.318</v>
      </c>
      <c r="FB118" s="21" t="n">
        <v>132.539</v>
      </c>
      <c r="FC118" s="21" t="n">
        <v>128.67</v>
      </c>
      <c r="FD118" s="21" t="n">
        <v>130.038</v>
      </c>
      <c r="FE118" s="21" t="n">
        <v>94.69499999999999</v>
      </c>
      <c r="FF118" s="21" t="n">
        <v>180.999</v>
      </c>
      <c r="FG118" s="21" t="n">
        <v>80.149</v>
      </c>
      <c r="FH118" s="21" t="n">
        <v>137.012</v>
      </c>
      <c r="FI118" s="21" t="n">
        <v>120.308</v>
      </c>
      <c r="FJ118" s="21" t="n">
        <v>111.428</v>
      </c>
      <c r="FK118" s="21" t="n">
        <v>112.844</v>
      </c>
      <c r="FL118" s="21" t="n">
        <v>99.473</v>
      </c>
      <c r="FM118" s="21" t="n">
        <v>105.091</v>
      </c>
      <c r="FN118" s="21" t="n">
        <v>76.387</v>
      </c>
      <c r="FO118" s="21" t="n">
        <v>118.048</v>
      </c>
      <c r="FP118" s="21" t="n">
        <v>105.271</v>
      </c>
      <c r="FQ118" s="21" t="n">
        <v>145.521</v>
      </c>
      <c r="FR118" s="21" t="n">
        <v>152.234</v>
      </c>
      <c r="FS118" s="21" t="n">
        <v>168.704</v>
      </c>
      <c r="FT118" s="21" t="n">
        <v>131.069</v>
      </c>
      <c r="FU118" s="21" t="n">
        <v>124.792</v>
      </c>
      <c r="FV118" s="21" t="n">
        <v>203</v>
      </c>
      <c r="FW118" s="21" t="n">
        <v>157.103</v>
      </c>
      <c r="FX118" s="21" t="n">
        <v>202.224</v>
      </c>
      <c r="FY118" s="21" t="n">
        <v>268.853</v>
      </c>
      <c r="FZ118" s="21" t="n">
        <v>268.522</v>
      </c>
      <c r="GA118" s="21" t="n">
        <v>123.624</v>
      </c>
      <c r="GB118" s="21" t="n">
        <v>177.203</v>
      </c>
      <c r="GC118" s="21" t="n"/>
      <c r="GD118" s="21" t="n">
        <v>171.45</v>
      </c>
      <c r="GE118" s="21" t="n">
        <v>189.228</v>
      </c>
      <c r="GF118" s="21" t="n"/>
      <c r="GG118" s="21" t="n">
        <v>175.834</v>
      </c>
      <c r="GH118" s="21" t="n">
        <v>118.2</v>
      </c>
      <c r="GI118" s="21" t="n">
        <v>161.847</v>
      </c>
      <c r="GJ118" s="21" t="n">
        <v>283.089</v>
      </c>
      <c r="GK118" s="21" t="n">
        <v>282.057</v>
      </c>
      <c r="GL118" s="21" t="n">
        <v>274.949</v>
      </c>
      <c r="GM118" s="21" t="n">
        <v>312.589</v>
      </c>
      <c r="GN118" s="21" t="n">
        <v>308.766</v>
      </c>
      <c r="GO118" s="21" t="n">
        <v>267.862</v>
      </c>
      <c r="GP118" s="21" t="n">
        <v>182.444</v>
      </c>
      <c r="GQ118" s="21" t="n">
        <v>154.335</v>
      </c>
      <c r="GR118" s="21" t="n">
        <v>411.276</v>
      </c>
      <c r="GS118" s="21" t="n">
        <v>273.897</v>
      </c>
      <c r="GT118" s="21" t="n">
        <v>867.6420000000001</v>
      </c>
      <c r="GU118" s="21" t="n">
        <v>239.812</v>
      </c>
      <c r="GV118" s="21" t="n">
        <v>280.04</v>
      </c>
      <c r="GW118" s="21" t="n">
        <v>260.344</v>
      </c>
      <c r="GX118" s="21" t="n">
        <v>259.306</v>
      </c>
      <c r="GY118" s="21" t="n">
        <v>156.023</v>
      </c>
      <c r="GZ118" s="21" t="n"/>
      <c r="HA118" s="21" t="n">
        <v>67.336</v>
      </c>
      <c r="HB118" s="21" t="n">
        <v>566.256</v>
      </c>
      <c r="HC118" s="21" t="n">
        <v>413.708</v>
      </c>
      <c r="HD118" s="21" t="n">
        <v>135.177</v>
      </c>
      <c r="HE118" s="21" t="n">
        <v>559.487</v>
      </c>
      <c r="HF118" s="21" t="n">
        <v>110.578</v>
      </c>
      <c r="HG118" s="21" t="n">
        <v>615.341</v>
      </c>
      <c r="HH118" s="21" t="n">
        <v>431.141</v>
      </c>
      <c r="HI118" s="21" t="n">
        <v>420.17</v>
      </c>
      <c r="HJ118" s="21" t="n">
        <v>602.8339999999999</v>
      </c>
      <c r="HK118" s="21" t="n">
        <v>209.362</v>
      </c>
      <c r="HL118" s="21" t="n">
        <v>264.925</v>
      </c>
      <c r="HM118" s="21" t="n">
        <v>99.259</v>
      </c>
      <c r="HN118" s="21" t="n">
        <v>415.293</v>
      </c>
      <c r="HO118" s="21" t="n">
        <v>399.646</v>
      </c>
      <c r="HP118" s="21" t="n">
        <v>909.527</v>
      </c>
      <c r="HQ118" s="21" t="n">
        <v>290.946</v>
      </c>
      <c r="HR118" s="21" t="n">
        <v>137.728</v>
      </c>
      <c r="HS118" s="21" t="n">
        <v>117.666</v>
      </c>
      <c r="HT118" s="21" t="n">
        <v>101.909</v>
      </c>
      <c r="HU118" s="21" t="n">
        <v>582.12</v>
      </c>
      <c r="HV118" s="21" t="n">
        <v>102.473</v>
      </c>
      <c r="HW118" s="21" t="n">
        <v>24.784</v>
      </c>
      <c r="HX118" s="21" t="n">
        <v>223.199</v>
      </c>
      <c r="HY118" s="21" t="n">
        <v>239.638</v>
      </c>
      <c r="HZ118" s="21" t="n">
        <v>190.53</v>
      </c>
      <c r="IA118" s="21" t="n">
        <v>130.121</v>
      </c>
      <c r="IB118" s="21" t="n">
        <v>345.388</v>
      </c>
      <c r="IC118" s="21" t="n">
        <v>256.673</v>
      </c>
      <c r="ID118" s="21" t="n">
        <v>370.17</v>
      </c>
      <c r="IE118" s="21" t="n">
        <v>123.61</v>
      </c>
      <c r="IF118" s="21" t="n">
        <v>171.1</v>
      </c>
      <c r="IG118" s="21" t="n">
        <v>84.08799999999999</v>
      </c>
      <c r="IH118" s="21" t="n">
        <v>85.82899999999999</v>
      </c>
      <c r="II118" s="21" t="n">
        <v>69.43899999999999</v>
      </c>
      <c r="IJ118" s="21" t="n">
        <v>28.562</v>
      </c>
      <c r="IK118" s="21" t="n">
        <v>33.113</v>
      </c>
      <c r="IL118" s="21" t="n">
        <v>27.942</v>
      </c>
      <c r="IM118" s="21" t="n">
        <v>37.411</v>
      </c>
      <c r="IN118" s="21" t="n">
        <v>108.185</v>
      </c>
      <c r="IO118" s="21" t="n">
        <v>120.998</v>
      </c>
      <c r="IP118" s="21" t="n">
        <v>199.71</v>
      </c>
      <c r="IQ118" s="21" t="n">
        <v>160.934</v>
      </c>
      <c r="IR118" s="21" t="n">
        <v>463.204</v>
      </c>
      <c r="IS118" s="21" t="n">
        <v>223.677</v>
      </c>
      <c r="IT118" s="21" t="n">
        <v>272.338</v>
      </c>
      <c r="IU118" s="21" t="n">
        <v>398.081</v>
      </c>
      <c r="IV118" s="21" t="n">
        <v>287.851</v>
      </c>
      <c r="IW118" s="21" t="n">
        <v>146.374</v>
      </c>
      <c r="IX118" s="21" t="n">
        <v>302.573</v>
      </c>
      <c r="IY118" s="21" t="n"/>
      <c r="IZ118" s="21" t="n">
        <v>871.586</v>
      </c>
      <c r="JA118" s="21" t="n">
        <v>945.123</v>
      </c>
      <c r="JB118" s="21" t="n">
        <v>99.283</v>
      </c>
      <c r="JC118" s="21" t="n">
        <v>372.256</v>
      </c>
      <c r="JD118" s="21" t="n">
        <v>276.26</v>
      </c>
      <c r="JE118" s="21" t="n">
        <v>74.02500000000001</v>
      </c>
      <c r="JF118" s="21" t="n">
        <v>245.159</v>
      </c>
      <c r="JG118" s="21" t="n">
        <v>380.701</v>
      </c>
      <c r="JH118" s="21" t="n">
        <v>436.691</v>
      </c>
      <c r="JI118" s="21" t="n">
        <v>69.611</v>
      </c>
      <c r="JJ118" s="21" t="n">
        <v>102.837</v>
      </c>
      <c r="JK118" s="21" t="n">
        <v>35.406</v>
      </c>
      <c r="JL118" s="21" t="n">
        <v>85.83</v>
      </c>
      <c r="JM118" s="21" t="n">
        <v>103.243</v>
      </c>
      <c r="JN118" s="21" t="n">
        <v>562.67</v>
      </c>
      <c r="JO118" s="21" t="n">
        <v>98.515</v>
      </c>
      <c r="JP118" s="21" t="n">
        <v>651.278</v>
      </c>
      <c r="JQ118" s="21" t="n">
        <v>283.758</v>
      </c>
      <c r="JR118" s="21" t="n">
        <v>178.365</v>
      </c>
      <c r="JS118" s="21" t="n">
        <v>560.366</v>
      </c>
      <c r="JT118" s="21" t="n">
        <v>457.042</v>
      </c>
      <c r="JU118" s="21" t="n">
        <v>395.589</v>
      </c>
      <c r="JV118" s="21" t="n">
        <v>231.562</v>
      </c>
      <c r="JW118" s="21" t="n">
        <v>442.218</v>
      </c>
      <c r="JX118" s="21" t="n">
        <v>340.63</v>
      </c>
      <c r="JY118" s="21" t="n">
        <v>86.152</v>
      </c>
      <c r="JZ118" s="21" t="n">
        <v>202.963</v>
      </c>
      <c r="KA118" s="21" t="n">
        <v>302.581</v>
      </c>
      <c r="KB118" s="21" t="n">
        <v>321.481</v>
      </c>
      <c r="KC118" s="21" t="n">
        <v>312.088</v>
      </c>
      <c r="KD118" s="21" t="n">
        <v>320.732</v>
      </c>
      <c r="KE118" s="21" t="n">
        <v>283.308</v>
      </c>
      <c r="KF118" s="21" t="n">
        <v>271.47</v>
      </c>
      <c r="KG118" s="21" t="n">
        <v>274.634</v>
      </c>
      <c r="KH118" s="21" t="n">
        <v>280.287</v>
      </c>
      <c r="KI118" s="21" t="n">
        <v>124.62</v>
      </c>
      <c r="KJ118" s="21" t="n">
        <v>221.973</v>
      </c>
      <c r="KK118" s="21" t="n">
        <v>176.322</v>
      </c>
      <c r="KL118" s="21" t="n">
        <v>172.466</v>
      </c>
      <c r="KM118" s="21" t="n">
        <v>164.634</v>
      </c>
      <c r="KN118" s="21" t="n">
        <v>163.41</v>
      </c>
      <c r="KO118" s="21" t="n">
        <v>318.919</v>
      </c>
      <c r="KP118" s="21" t="n">
        <v>122.079</v>
      </c>
      <c r="KQ118" s="21" t="n">
        <v>54.532</v>
      </c>
      <c r="KR118" s="21" t="n">
        <v>123.395</v>
      </c>
      <c r="KS118" s="21" t="n">
        <v>272.681</v>
      </c>
      <c r="KT118" s="21" t="n">
        <v>288.953</v>
      </c>
      <c r="KU118" s="21" t="n">
        <v>105.184</v>
      </c>
      <c r="KV118" s="21" t="n">
        <v>37.396</v>
      </c>
      <c r="KW118" s="21" t="n">
        <v>276.066</v>
      </c>
      <c r="KX118" s="21" t="n">
        <v>229.927</v>
      </c>
      <c r="KY118" s="21" t="n">
        <v>288.149</v>
      </c>
      <c r="KZ118" s="21" t="n">
        <v>226.157</v>
      </c>
      <c r="LA118" s="21" t="n">
        <v>289.515</v>
      </c>
      <c r="LB118" s="21" t="n">
        <v>140.639</v>
      </c>
      <c r="LC118" s="21" t="n">
        <v>417.123</v>
      </c>
      <c r="LD118" s="21" t="n">
        <v>83.845</v>
      </c>
      <c r="LE118" s="21" t="n">
        <v>149.681</v>
      </c>
      <c r="LF118" s="21" t="n">
        <v>422.237</v>
      </c>
      <c r="LG118" s="21" t="n">
        <v>406.379</v>
      </c>
      <c r="LH118" s="21" t="n">
        <v>420.377</v>
      </c>
      <c r="LI118" s="21" t="n">
        <v>390.339</v>
      </c>
      <c r="LJ118" s="21" t="n">
        <v>419.211</v>
      </c>
      <c r="LK118" s="21" t="n">
        <v>128.937</v>
      </c>
      <c r="LL118" s="21" t="n">
        <v>438.988</v>
      </c>
      <c r="LM118" s="21" t="n">
        <v>259.397</v>
      </c>
      <c r="LN118" s="21" t="n">
        <v>32.041</v>
      </c>
      <c r="LO118" s="21" t="n">
        <v>154.295</v>
      </c>
    </row>
    <row r="119">
      <c r="A119" s="22" t="n">
        <v>45566</v>
      </c>
      <c r="B119" s="21" t="n">
        <v>315.631</v>
      </c>
      <c r="C119" s="21" t="n">
        <v>329.851</v>
      </c>
      <c r="D119" s="21" t="n">
        <v>332.463</v>
      </c>
      <c r="E119" s="21" t="n">
        <v>307.867</v>
      </c>
      <c r="F119" s="21" t="n">
        <v>358.895</v>
      </c>
      <c r="G119" s="21" t="n">
        <v>287.821</v>
      </c>
      <c r="H119" s="21" t="n">
        <v>323.686</v>
      </c>
      <c r="I119" s="21" t="n">
        <v>278.068</v>
      </c>
      <c r="J119" s="21" t="n">
        <v>294.988</v>
      </c>
      <c r="K119" s="21" t="n">
        <v>400.576</v>
      </c>
      <c r="L119" s="21" t="n">
        <v>241.916</v>
      </c>
      <c r="M119" s="21" t="n">
        <v>239.624</v>
      </c>
      <c r="N119" s="21" t="n">
        <v>373.917</v>
      </c>
      <c r="O119" s="21" t="n">
        <v>355.268</v>
      </c>
      <c r="P119" s="21" t="n">
        <v>357.671</v>
      </c>
      <c r="Q119" s="21" t="n">
        <v>434.57</v>
      </c>
      <c r="R119" s="21" t="n">
        <v>345.616</v>
      </c>
      <c r="S119" s="21" t="n">
        <v>327.321</v>
      </c>
      <c r="T119" s="21" t="n">
        <v>325.862</v>
      </c>
      <c r="U119" s="21" t="n">
        <v>334.194</v>
      </c>
      <c r="V119" s="21" t="n">
        <v>422.393</v>
      </c>
      <c r="W119" s="21" t="n">
        <v>367.073</v>
      </c>
      <c r="X119" s="21" t="n">
        <v>339.794</v>
      </c>
      <c r="Y119" s="21" t="n">
        <v>281.301</v>
      </c>
      <c r="Z119" s="21" t="n">
        <v>267.414</v>
      </c>
      <c r="AA119" s="21" t="n">
        <v>199.765</v>
      </c>
      <c r="AB119" s="21" t="n">
        <v>369.082</v>
      </c>
      <c r="AC119" s="21" t="n">
        <v>186.83</v>
      </c>
      <c r="AD119" s="21" t="n">
        <v>248.144</v>
      </c>
      <c r="AE119" s="21" t="n">
        <v>275.602</v>
      </c>
      <c r="AF119" s="21" t="n">
        <v>246.108</v>
      </c>
      <c r="AG119" s="21" t="n">
        <v>166.611</v>
      </c>
      <c r="AH119" s="21" t="n">
        <v>285.632</v>
      </c>
      <c r="AI119" s="21" t="n">
        <v>303.799</v>
      </c>
      <c r="AJ119" s="21" t="n">
        <v>186.676</v>
      </c>
      <c r="AK119" s="21" t="n">
        <v>307.506</v>
      </c>
      <c r="AL119" s="21" t="n">
        <v>197.291</v>
      </c>
      <c r="AM119" s="21" t="n">
        <v>331.376</v>
      </c>
      <c r="AN119" s="21" t="n">
        <v>292.431</v>
      </c>
      <c r="AO119" s="21" t="n">
        <v>202.802</v>
      </c>
      <c r="AP119" s="21" t="n">
        <v>347.013</v>
      </c>
      <c r="AQ119" s="21" t="n">
        <v>218.278</v>
      </c>
      <c r="AR119" s="21" t="n">
        <v>171.906</v>
      </c>
      <c r="AS119" s="21" t="n">
        <v>242.628</v>
      </c>
      <c r="AT119" s="21" t="n">
        <v>369.75</v>
      </c>
      <c r="AU119" s="21" t="n">
        <v>344.98</v>
      </c>
      <c r="AV119" s="21" t="n">
        <v>271.695</v>
      </c>
      <c r="AW119" s="21" t="n">
        <v>177.754</v>
      </c>
      <c r="AX119" s="21" t="n">
        <v>255.62</v>
      </c>
      <c r="AY119" s="21" t="n">
        <v>184.029</v>
      </c>
      <c r="AZ119" s="21" t="n">
        <v>267.905</v>
      </c>
      <c r="BA119" s="21" t="n">
        <v>275.887</v>
      </c>
      <c r="BB119" s="21" t="n">
        <v>192.709</v>
      </c>
      <c r="BC119" s="21" t="n">
        <v>354.859</v>
      </c>
      <c r="BD119" s="21" t="n">
        <v>399.983</v>
      </c>
      <c r="BE119" s="21" t="n">
        <v>420.761</v>
      </c>
      <c r="BF119" s="21" t="n">
        <v>350.909</v>
      </c>
      <c r="BG119" s="21" t="n">
        <v>205.722</v>
      </c>
      <c r="BH119" s="21" t="n">
        <v>307.312</v>
      </c>
      <c r="BI119" s="21" t="n">
        <v>624.908</v>
      </c>
      <c r="BJ119" s="21" t="n">
        <v>145.141</v>
      </c>
      <c r="BK119" s="21" t="n">
        <v>376.717</v>
      </c>
      <c r="BL119" s="21" t="n">
        <v>420.387</v>
      </c>
      <c r="BM119" s="21" t="n">
        <v>390.26</v>
      </c>
      <c r="BN119" s="21" t="n">
        <v>352.494</v>
      </c>
      <c r="BO119" s="21" t="n">
        <v>376.432</v>
      </c>
      <c r="BP119" s="21" t="n">
        <v>203.028</v>
      </c>
      <c r="BQ119" s="21" t="n">
        <v>214.726</v>
      </c>
      <c r="BR119" s="21" t="n">
        <v>202.892</v>
      </c>
      <c r="BS119" s="21" t="n">
        <v>229.867</v>
      </c>
      <c r="BT119" s="21" t="n">
        <v>186.743</v>
      </c>
      <c r="BU119" s="21" t="n">
        <v>264.426</v>
      </c>
      <c r="BV119" s="21" t="n">
        <v>194.309</v>
      </c>
      <c r="BW119" s="21" t="n">
        <v>221.002</v>
      </c>
      <c r="BX119" s="21" t="n">
        <v>176.099</v>
      </c>
      <c r="BY119" s="21" t="n">
        <v>228.495</v>
      </c>
      <c r="BZ119" s="21" t="n">
        <v>155.864</v>
      </c>
      <c r="CA119" s="21" t="n">
        <v>143.39</v>
      </c>
      <c r="CB119" s="21" t="n">
        <v>236.373</v>
      </c>
      <c r="CC119" s="21" t="n">
        <v>247.532</v>
      </c>
      <c r="CD119" s="21" t="n">
        <v>159.959</v>
      </c>
      <c r="CE119" s="21" t="n">
        <v>273.134</v>
      </c>
      <c r="CF119" s="21" t="n">
        <v>291.083</v>
      </c>
      <c r="CG119" s="21" t="n">
        <v>270.436</v>
      </c>
      <c r="CH119" s="21" t="n">
        <v>197.741</v>
      </c>
      <c r="CI119" s="21" t="n">
        <v>194.638</v>
      </c>
      <c r="CJ119" s="21" t="n">
        <v>319.673</v>
      </c>
      <c r="CK119" s="21" t="n">
        <v>282.304</v>
      </c>
      <c r="CL119" s="21" t="n">
        <v>321.78</v>
      </c>
      <c r="CM119" s="21" t="n">
        <v>460.635</v>
      </c>
      <c r="CN119" s="21" t="n">
        <v>177.572</v>
      </c>
      <c r="CO119" s="21" t="n">
        <v>228.725</v>
      </c>
      <c r="CP119" s="21" t="n">
        <v>286.657</v>
      </c>
      <c r="CQ119" s="21" t="n">
        <v>314.999</v>
      </c>
      <c r="CR119" s="21" t="n">
        <v>212.302</v>
      </c>
      <c r="CS119" s="21" t="n">
        <v>305.194</v>
      </c>
      <c r="CT119" s="21" t="n">
        <v>313.983</v>
      </c>
      <c r="CU119" s="21" t="n">
        <v>188.812</v>
      </c>
      <c r="CV119" s="21" t="n">
        <v>191.708</v>
      </c>
      <c r="CW119" s="21" t="n">
        <v>184.661</v>
      </c>
      <c r="CX119" s="21" t="n">
        <v>418.017</v>
      </c>
      <c r="CY119" s="21" t="n">
        <v>170.95</v>
      </c>
      <c r="CZ119" s="21" t="n">
        <v>157.521</v>
      </c>
      <c r="DA119" s="21" t="n">
        <v>372.486</v>
      </c>
      <c r="DB119" s="21" t="n">
        <v>228.839</v>
      </c>
      <c r="DC119" s="21" t="n">
        <v>207.901</v>
      </c>
      <c r="DD119" s="21" t="n">
        <v>205.045</v>
      </c>
      <c r="DE119" s="21" t="n">
        <v>248.497</v>
      </c>
      <c r="DF119" s="21" t="n">
        <v>292.871</v>
      </c>
      <c r="DG119" s="21" t="n">
        <v>229.738</v>
      </c>
      <c r="DH119" s="21" t="n">
        <v>277.002</v>
      </c>
      <c r="DI119" s="21" t="n">
        <v>210.067</v>
      </c>
      <c r="DJ119" s="21" t="n">
        <v>218.227</v>
      </c>
      <c r="DK119" s="21" t="n">
        <v>205.527</v>
      </c>
      <c r="DL119" s="21" t="n">
        <v>182.569</v>
      </c>
      <c r="DM119" s="21" t="n">
        <v>434.59</v>
      </c>
      <c r="DN119" s="21" t="n">
        <v>240.57</v>
      </c>
      <c r="DO119" s="21" t="n">
        <v>337.826</v>
      </c>
      <c r="DP119" s="21" t="n">
        <v>405.721</v>
      </c>
      <c r="DQ119" s="21" t="n">
        <v>425.235</v>
      </c>
      <c r="DR119" s="21" t="n">
        <v>187.546</v>
      </c>
      <c r="DS119" s="21" t="n">
        <v>650.99</v>
      </c>
      <c r="DT119" s="21" t="n">
        <v>383.828</v>
      </c>
      <c r="DU119" s="21" t="n">
        <v>417.356</v>
      </c>
      <c r="DV119" s="21" t="n">
        <v>417.35</v>
      </c>
      <c r="DW119" s="21" t="n">
        <v>316.977</v>
      </c>
      <c r="DX119" s="21" t="n">
        <v>264.824</v>
      </c>
      <c r="DY119" s="21" t="n">
        <v>355.945</v>
      </c>
      <c r="DZ119" s="21" t="n">
        <v>336.416</v>
      </c>
      <c r="EA119" s="21" t="n">
        <v>435.885</v>
      </c>
      <c r="EB119" s="21" t="n">
        <v>269.861</v>
      </c>
      <c r="EC119" s="21" t="n">
        <v>281.719</v>
      </c>
      <c r="ED119" s="21" t="n">
        <v>228.874</v>
      </c>
      <c r="EE119" s="21" t="n">
        <v>306.336</v>
      </c>
      <c r="EF119" s="21" t="n">
        <v>703.603</v>
      </c>
      <c r="EG119" s="21" t="n">
        <v>621.6319999999999</v>
      </c>
      <c r="EH119" s="21" t="n">
        <v>147.493</v>
      </c>
      <c r="EI119" s="21" t="n">
        <v>58.974</v>
      </c>
      <c r="EJ119" s="21" t="n">
        <v>79.10599999999999</v>
      </c>
      <c r="EK119" s="21" t="n">
        <v>39.892</v>
      </c>
      <c r="EL119" s="21" t="n">
        <v>131.3</v>
      </c>
      <c r="EM119" s="21" t="n">
        <v>75.407</v>
      </c>
      <c r="EN119" s="21" t="n">
        <v>83.7</v>
      </c>
      <c r="EO119" s="21" t="n">
        <v>89.97</v>
      </c>
      <c r="EP119" s="21" t="n">
        <v>107.76</v>
      </c>
      <c r="EQ119" s="21" t="n">
        <v>73.292</v>
      </c>
      <c r="ER119" s="21" t="n">
        <v>54.187</v>
      </c>
      <c r="ES119" s="21" t="n">
        <v>159.275</v>
      </c>
      <c r="ET119" s="21" t="n">
        <v>80.059</v>
      </c>
      <c r="EU119" s="21" t="n">
        <v>110.14</v>
      </c>
      <c r="EV119" s="21" t="n">
        <v>119.18</v>
      </c>
      <c r="EW119" s="21" t="n">
        <v>106.396</v>
      </c>
      <c r="EX119" s="21" t="n">
        <v>234.632</v>
      </c>
      <c r="EY119" s="21" t="n">
        <v>151.752</v>
      </c>
      <c r="EZ119" s="21" t="n">
        <v>138.005</v>
      </c>
      <c r="FA119" s="21" t="n">
        <v>204.936</v>
      </c>
      <c r="FB119" s="21" t="n">
        <v>131.741</v>
      </c>
      <c r="FC119" s="21" t="n">
        <v>129.092</v>
      </c>
      <c r="FD119" s="21" t="n">
        <v>130.675</v>
      </c>
      <c r="FE119" s="21" t="n">
        <v>95.18600000000001</v>
      </c>
      <c r="FF119" s="21" t="n">
        <v>183.06</v>
      </c>
      <c r="FG119" s="21" t="n">
        <v>81.215</v>
      </c>
      <c r="FH119" s="21" t="n">
        <v>137.039</v>
      </c>
      <c r="FI119" s="21" t="n">
        <v>119.225</v>
      </c>
      <c r="FJ119" s="21" t="n">
        <v>109.435</v>
      </c>
      <c r="FK119" s="21" t="n">
        <v>110.79</v>
      </c>
      <c r="FL119" s="21" t="n">
        <v>98.114</v>
      </c>
      <c r="FM119" s="21" t="n">
        <v>104.729</v>
      </c>
      <c r="FN119" s="21" t="n">
        <v>74.83499999999999</v>
      </c>
      <c r="FO119" s="21" t="n">
        <v>116.61</v>
      </c>
      <c r="FP119" s="21" t="n">
        <v>103.62</v>
      </c>
      <c r="FQ119" s="21" t="n">
        <v>146.753</v>
      </c>
      <c r="FR119" s="21" t="n">
        <v>154.055</v>
      </c>
      <c r="FS119" s="21" t="n">
        <v>170.959</v>
      </c>
      <c r="FT119" s="21" t="n">
        <v>131.297</v>
      </c>
      <c r="FU119" s="21" t="n">
        <v>124.373</v>
      </c>
      <c r="FV119" s="21" t="n">
        <v>200.487</v>
      </c>
      <c r="FW119" s="21" t="n">
        <v>162.254</v>
      </c>
      <c r="FX119" s="21" t="n">
        <v>197.928</v>
      </c>
      <c r="FY119" s="21" t="n">
        <v>269.476</v>
      </c>
      <c r="FZ119" s="21" t="n">
        <v>268.666</v>
      </c>
      <c r="GA119" s="21" t="n">
        <v>123.85</v>
      </c>
      <c r="GB119" s="21" t="n">
        <v>177.045</v>
      </c>
      <c r="GC119" s="21" t="n"/>
      <c r="GD119" s="21" t="n">
        <v>171.557</v>
      </c>
      <c r="GE119" s="21" t="n">
        <v>189.048</v>
      </c>
      <c r="GF119" s="21" t="n"/>
      <c r="GG119" s="21" t="n">
        <v>177.734</v>
      </c>
      <c r="GH119" s="21" t="n"/>
      <c r="GI119" s="21" t="n">
        <v>160.38</v>
      </c>
      <c r="GJ119" s="21" t="n">
        <v>281.744</v>
      </c>
      <c r="GK119" s="21" t="n">
        <v>281.588</v>
      </c>
      <c r="GL119" s="21" t="n">
        <v>274.619</v>
      </c>
      <c r="GM119" s="21" t="n">
        <v>312.038</v>
      </c>
      <c r="GN119" s="21" t="n">
        <v>307.109</v>
      </c>
      <c r="GO119" s="21" t="n">
        <v>267.207</v>
      </c>
      <c r="GP119" s="21" t="n">
        <v>182.566</v>
      </c>
      <c r="GQ119" s="21" t="n">
        <v>153.688</v>
      </c>
      <c r="GR119" s="21" t="n">
        <v>415.598</v>
      </c>
      <c r="GS119" s="21" t="n">
        <v>277.355</v>
      </c>
      <c r="GT119" s="21" t="n">
        <v>867.438</v>
      </c>
      <c r="GU119" s="21" t="n">
        <v>238.829</v>
      </c>
      <c r="GV119" s="21" t="n">
        <v>280.205</v>
      </c>
      <c r="GW119" s="21" t="n">
        <v>267.24</v>
      </c>
      <c r="GX119" s="21" t="n">
        <v>266.413</v>
      </c>
      <c r="GY119" s="21" t="n">
        <v>155.832</v>
      </c>
      <c r="GZ119" s="21" t="n"/>
      <c r="HA119" s="21" t="n">
        <v>66.29000000000001</v>
      </c>
      <c r="HB119" s="21" t="n">
        <v>567.974</v>
      </c>
      <c r="HC119" s="21" t="n">
        <v>412.914</v>
      </c>
      <c r="HD119" s="21" t="n">
        <v>134.892</v>
      </c>
      <c r="HE119" s="21" t="n">
        <v>560.836</v>
      </c>
      <c r="HF119" s="21" t="n">
        <v>109.555</v>
      </c>
      <c r="HG119" s="21" t="n">
        <v>617.8920000000001</v>
      </c>
      <c r="HH119" s="21" t="n">
        <v>432.587</v>
      </c>
      <c r="HI119" s="21" t="n">
        <v>422.425</v>
      </c>
      <c r="HJ119" s="21" t="n">
        <v>604.027</v>
      </c>
      <c r="HK119" s="21" t="n">
        <v>212.164</v>
      </c>
      <c r="HL119" s="21" t="n">
        <v>263.103</v>
      </c>
      <c r="HM119" s="21" t="n">
        <v>99.706</v>
      </c>
      <c r="HN119" s="21" t="n">
        <v>417.499</v>
      </c>
      <c r="HO119" s="21" t="n">
        <v>400.606</v>
      </c>
      <c r="HP119" s="21" t="n">
        <v>916.2430000000001</v>
      </c>
      <c r="HQ119" s="21" t="n">
        <v>290.976</v>
      </c>
      <c r="HR119" s="21" t="n">
        <v>138.37</v>
      </c>
      <c r="HS119" s="21" t="n">
        <v>117.685</v>
      </c>
      <c r="HT119" s="21" t="n">
        <v>102.979</v>
      </c>
      <c r="HU119" s="21" t="n">
        <v>580.98</v>
      </c>
      <c r="HV119" s="21" t="n">
        <v>101.349</v>
      </c>
      <c r="HW119" s="21" t="n">
        <v>25.432</v>
      </c>
      <c r="HX119" s="21" t="n">
        <v>223.728</v>
      </c>
      <c r="HY119" s="21" t="n">
        <v>238.735</v>
      </c>
      <c r="HZ119" s="21" t="n">
        <v>189.92</v>
      </c>
      <c r="IA119" s="21" t="n">
        <v>129.566</v>
      </c>
      <c r="IB119" s="21" t="n">
        <v>349.176</v>
      </c>
      <c r="IC119" s="21" t="n">
        <v>258.159</v>
      </c>
      <c r="ID119" s="21" t="n">
        <v>373.697</v>
      </c>
      <c r="IE119" s="21" t="n">
        <v>123.05</v>
      </c>
      <c r="IF119" s="21" t="n">
        <v>170.041</v>
      </c>
      <c r="IG119" s="21" t="n">
        <v>84</v>
      </c>
      <c r="IH119" s="21" t="n">
        <v>85.66</v>
      </c>
      <c r="II119" s="21" t="n">
        <v>69.68899999999999</v>
      </c>
      <c r="IJ119" s="21" t="n">
        <v>28.716</v>
      </c>
      <c r="IK119" s="21" t="n">
        <v>32.994</v>
      </c>
      <c r="IL119" s="21" t="n">
        <v>27.877</v>
      </c>
      <c r="IM119" s="21" t="n">
        <v>37.171</v>
      </c>
      <c r="IN119" s="21" t="n">
        <v>106.477</v>
      </c>
      <c r="IO119" s="21" t="n">
        <v>121.508</v>
      </c>
      <c r="IP119" s="21" t="n">
        <v>202.153</v>
      </c>
      <c r="IQ119" s="21" t="n">
        <v>164.251</v>
      </c>
      <c r="IR119" s="21" t="n">
        <v>466.418</v>
      </c>
      <c r="IS119" s="21" t="n">
        <v>225.679</v>
      </c>
      <c r="IT119" s="21" t="n">
        <v>273.421</v>
      </c>
      <c r="IU119" s="21" t="n">
        <v>397.911</v>
      </c>
      <c r="IV119" s="21" t="n">
        <v>297.533</v>
      </c>
      <c r="IW119" s="21" t="n">
        <v>146.013</v>
      </c>
      <c r="IX119" s="21" t="n">
        <v>303.313</v>
      </c>
      <c r="IY119" s="21" t="n">
        <v>712.033</v>
      </c>
      <c r="IZ119" s="21" t="n">
        <v>873.792</v>
      </c>
      <c r="JA119" s="21" t="n">
        <v>946.581</v>
      </c>
      <c r="JB119" s="21" t="n">
        <v>99.48</v>
      </c>
      <c r="JC119" s="21" t="n">
        <v>373.689</v>
      </c>
      <c r="JD119" s="21" t="n">
        <v>275.984</v>
      </c>
      <c r="JE119" s="21" t="n">
        <v>73.56999999999999</v>
      </c>
      <c r="JF119" s="21" t="n">
        <v>249.151</v>
      </c>
      <c r="JG119" s="21" t="n">
        <v>387.4</v>
      </c>
      <c r="JH119" s="21" t="n">
        <v>440.047</v>
      </c>
      <c r="JI119" s="21" t="n">
        <v>69.151</v>
      </c>
      <c r="JJ119" s="21" t="n">
        <v>101.873</v>
      </c>
      <c r="JK119" s="21" t="n">
        <v>34.849</v>
      </c>
      <c r="JL119" s="21" t="n">
        <v>84.982</v>
      </c>
      <c r="JM119" s="21" t="n">
        <v>102.848</v>
      </c>
      <c r="JN119" s="21" t="n">
        <v>564.752</v>
      </c>
      <c r="JO119" s="21" t="n">
        <v>99.068</v>
      </c>
      <c r="JP119" s="21" t="n">
        <v>654.796</v>
      </c>
      <c r="JQ119" s="21" t="n">
        <v>284.68</v>
      </c>
      <c r="JR119" s="21" t="n">
        <v>179.02</v>
      </c>
      <c r="JS119" s="21" t="n">
        <v>562.066</v>
      </c>
      <c r="JT119" s="21" t="n"/>
      <c r="JU119" s="21" t="n">
        <v>398.346</v>
      </c>
      <c r="JV119" s="21" t="n">
        <v>232.232</v>
      </c>
      <c r="JW119" s="21" t="n">
        <v>443.886</v>
      </c>
      <c r="JX119" s="21" t="n"/>
      <c r="JY119" s="21" t="n">
        <v>86.675</v>
      </c>
      <c r="JZ119" s="21" t="n">
        <v>202.903</v>
      </c>
      <c r="KA119" s="21" t="n">
        <v>303.441</v>
      </c>
      <c r="KB119" s="21" t="n">
        <v>322.437</v>
      </c>
      <c r="KC119" s="21" t="n">
        <v>313.015</v>
      </c>
      <c r="KD119" s="21" t="n">
        <v>321.731</v>
      </c>
      <c r="KE119" s="21" t="n">
        <v>283.87</v>
      </c>
      <c r="KF119" s="21" t="n">
        <v>271.997</v>
      </c>
      <c r="KG119" s="21" t="n">
        <v>275.2</v>
      </c>
      <c r="KH119" s="21" t="n">
        <v>280.755</v>
      </c>
      <c r="KI119" s="21" t="n">
        <v>123.404</v>
      </c>
      <c r="KJ119" s="21" t="n">
        <v>222.091</v>
      </c>
      <c r="KK119" s="21" t="n">
        <v>176.241</v>
      </c>
      <c r="KL119" s="21" t="n">
        <v>172.355</v>
      </c>
      <c r="KM119" s="21" t="n">
        <v>164.698</v>
      </c>
      <c r="KN119" s="21" t="n">
        <v>163.284</v>
      </c>
      <c r="KO119" s="21" t="n">
        <v>319.3</v>
      </c>
      <c r="KP119" s="21" t="n">
        <v>122.373</v>
      </c>
      <c r="KQ119" s="21" t="n">
        <v>54.108</v>
      </c>
      <c r="KR119" s="21" t="n">
        <v>123.198</v>
      </c>
      <c r="KS119" s="21" t="n">
        <v>273.003</v>
      </c>
      <c r="KT119" s="21" t="n">
        <v>287.512</v>
      </c>
      <c r="KU119" s="21" t="n">
        <v>105.278</v>
      </c>
      <c r="KV119" s="21" t="n">
        <v>37.072</v>
      </c>
      <c r="KW119" s="21" t="n">
        <v>275.999</v>
      </c>
      <c r="KX119" s="21" t="n">
        <v>229.218</v>
      </c>
      <c r="KY119" s="21" t="n">
        <v>287.3</v>
      </c>
      <c r="KZ119" s="21" t="n">
        <v>225.342</v>
      </c>
      <c r="LA119" s="21" t="n">
        <v>288.453</v>
      </c>
      <c r="LB119" s="21" t="n">
        <v>141.305</v>
      </c>
      <c r="LC119" s="21" t="n">
        <v>417.98</v>
      </c>
      <c r="LD119" s="21" t="n">
        <v>83.85899999999999</v>
      </c>
      <c r="LE119" s="21" t="n">
        <v>150.794</v>
      </c>
      <c r="LF119" s="21" t="n">
        <v>423.903</v>
      </c>
      <c r="LG119" s="21" t="n">
        <v>408.066</v>
      </c>
      <c r="LH119" s="21" t="n">
        <v>422.04</v>
      </c>
      <c r="LI119" s="21" t="n">
        <v>391.972</v>
      </c>
      <c r="LJ119" s="21" t="n">
        <v>420.863</v>
      </c>
      <c r="LK119" s="21" t="n">
        <v>129.308</v>
      </c>
      <c r="LL119" s="21" t="n">
        <v>441.339</v>
      </c>
      <c r="LM119" s="21" t="n">
        <v>261.153</v>
      </c>
      <c r="LN119" s="21" t="n">
        <v>32.414</v>
      </c>
      <c r="LO119" s="21" t="n">
        <v>153.776</v>
      </c>
    </row>
    <row r="120">
      <c r="A120" s="22" t="n">
        <v>45597</v>
      </c>
      <c r="B120" s="21" t="n">
        <v>316.528</v>
      </c>
      <c r="C120" s="21" t="n">
        <v>330.937</v>
      </c>
      <c r="D120" s="21" t="n">
        <v>333.629</v>
      </c>
      <c r="E120" s="21" t="n">
        <v>309.093</v>
      </c>
      <c r="F120" s="21" t="n">
        <v>355.164</v>
      </c>
      <c r="G120" s="21" t="n">
        <v>286.094</v>
      </c>
      <c r="H120" s="21" t="n">
        <v>321.826</v>
      </c>
      <c r="I120" s="21" t="n">
        <v>278.086</v>
      </c>
      <c r="J120" s="21" t="n">
        <v>291.492</v>
      </c>
      <c r="K120" s="21" t="n">
        <v>394.794</v>
      </c>
      <c r="L120" s="21" t="n">
        <v>238.705</v>
      </c>
      <c r="M120" s="21" t="n">
        <v>236.291</v>
      </c>
      <c r="N120" s="21" t="n">
        <v>375.922</v>
      </c>
      <c r="O120" s="21" t="n">
        <v>355.605</v>
      </c>
      <c r="P120" s="21" t="n">
        <v>351.719</v>
      </c>
      <c r="Q120" s="21" t="n">
        <v>423.878</v>
      </c>
      <c r="R120" s="21" t="n">
        <v>338.777</v>
      </c>
      <c r="S120" s="21" t="n">
        <v>332.666</v>
      </c>
      <c r="T120" s="21" t="n">
        <v>329.332</v>
      </c>
      <c r="U120" s="21" t="n">
        <v>339.266</v>
      </c>
      <c r="V120" s="21" t="n">
        <v>433.798</v>
      </c>
      <c r="W120" s="21" t="n">
        <v>370.779</v>
      </c>
      <c r="X120" s="21" t="n">
        <v>350.913</v>
      </c>
      <c r="Y120" s="21" t="n">
        <v>292.945</v>
      </c>
      <c r="Z120" s="21" t="n">
        <v>269.102</v>
      </c>
      <c r="AA120" s="21" t="n">
        <v>199.301</v>
      </c>
      <c r="AB120" s="21" t="n">
        <v>370.93</v>
      </c>
      <c r="AC120" s="21" t="n">
        <v>184.496</v>
      </c>
      <c r="AD120" s="21" t="n">
        <v>253.51</v>
      </c>
      <c r="AE120" s="21" t="n">
        <v>280.534</v>
      </c>
      <c r="AF120" s="21" t="n">
        <v>254.868</v>
      </c>
      <c r="AG120" s="21" t="n">
        <v>165.711</v>
      </c>
      <c r="AH120" s="21" t="n">
        <v>286.867</v>
      </c>
      <c r="AI120" s="21" t="n">
        <v>303.667</v>
      </c>
      <c r="AJ120" s="21" t="n">
        <v>187.287</v>
      </c>
      <c r="AK120" s="21" t="n">
        <v>307.99</v>
      </c>
      <c r="AL120" s="21" t="n">
        <v>197.085</v>
      </c>
      <c r="AM120" s="21" t="n">
        <v>329.972</v>
      </c>
      <c r="AN120" s="21" t="n">
        <v>292.991</v>
      </c>
      <c r="AO120" s="21" t="n">
        <v>203.894</v>
      </c>
      <c r="AP120" s="21" t="n">
        <v>348.166</v>
      </c>
      <c r="AQ120" s="21" t="n">
        <v>218.69</v>
      </c>
      <c r="AR120" s="21" t="n">
        <v>170.601</v>
      </c>
      <c r="AS120" s="21" t="n">
        <v>249.603</v>
      </c>
      <c r="AT120" s="21" t="n">
        <v>359.799</v>
      </c>
      <c r="AU120" s="21" t="n">
        <v>372.561</v>
      </c>
      <c r="AV120" s="21" t="n">
        <v>270.819</v>
      </c>
      <c r="AW120" s="21" t="n">
        <v>179.622</v>
      </c>
      <c r="AX120" s="21" t="n">
        <v>258.013</v>
      </c>
      <c r="AY120" s="21" t="n">
        <v>185.911</v>
      </c>
      <c r="AZ120" s="21" t="n">
        <v>264.824</v>
      </c>
      <c r="BA120" s="21" t="n">
        <v>276.522</v>
      </c>
      <c r="BB120" s="21" t="n">
        <v>192.487</v>
      </c>
      <c r="BC120" s="21" t="n">
        <v>354.924</v>
      </c>
      <c r="BD120" s="21" t="n">
        <v>400.333</v>
      </c>
      <c r="BE120" s="21" t="n">
        <v>418.057</v>
      </c>
      <c r="BF120" s="21" t="n">
        <v>349.759</v>
      </c>
      <c r="BG120" s="21" t="n">
        <v>207.249</v>
      </c>
      <c r="BH120" s="21" t="n">
        <v>301.434</v>
      </c>
      <c r="BI120" s="21" t="n">
        <v>616.611</v>
      </c>
      <c r="BJ120" s="21" t="n">
        <v>144.852</v>
      </c>
      <c r="BK120" s="21" t="n">
        <v>380.271</v>
      </c>
      <c r="BL120" s="21" t="n">
        <v>426.51</v>
      </c>
      <c r="BM120" s="21" t="n">
        <v>393.978</v>
      </c>
      <c r="BN120" s="21" t="n">
        <v>353.391</v>
      </c>
      <c r="BO120" s="21" t="n">
        <v>379.989</v>
      </c>
      <c r="BP120" s="21" t="n">
        <v>202.623</v>
      </c>
      <c r="BQ120" s="21" t="n">
        <v>214.336</v>
      </c>
      <c r="BR120" s="21" t="n">
        <v>202.505</v>
      </c>
      <c r="BS120" s="21" t="n">
        <v>228.599</v>
      </c>
      <c r="BT120" s="21" t="n">
        <v>186.113</v>
      </c>
      <c r="BU120" s="21" t="n">
        <v>261.713</v>
      </c>
      <c r="BV120" s="21" t="n">
        <v>195.02</v>
      </c>
      <c r="BW120" s="21" t="n">
        <v>223.616</v>
      </c>
      <c r="BX120" s="21" t="n">
        <v>178.366</v>
      </c>
      <c r="BY120" s="21" t="n">
        <v>231.657</v>
      </c>
      <c r="BZ120" s="21" t="n">
        <v>157.592</v>
      </c>
      <c r="CA120" s="21" t="n">
        <v>144.683</v>
      </c>
      <c r="CB120" s="21" t="n">
        <v>240.531</v>
      </c>
      <c r="CC120" s="21" t="n">
        <v>251.529</v>
      </c>
      <c r="CD120" s="21" t="n">
        <v>160.124</v>
      </c>
      <c r="CE120" s="21" t="n">
        <v>273.78</v>
      </c>
      <c r="CF120" s="21" t="n">
        <v>292.521</v>
      </c>
      <c r="CG120" s="21" t="n">
        <v>271.624</v>
      </c>
      <c r="CH120" s="21" t="n">
        <v>199.589</v>
      </c>
      <c r="CI120" s="21" t="n">
        <v>192.335</v>
      </c>
      <c r="CJ120" s="21" t="n">
        <v>319.882</v>
      </c>
      <c r="CK120" s="21" t="n">
        <v>284.397</v>
      </c>
      <c r="CL120" s="21" t="n">
        <v>323.722</v>
      </c>
      <c r="CM120" s="21" t="n">
        <v>463.336</v>
      </c>
      <c r="CN120" s="21" t="n">
        <v>174.316</v>
      </c>
      <c r="CO120" s="21" t="n">
        <v>228.42</v>
      </c>
      <c r="CP120" s="21" t="n">
        <v>287.277</v>
      </c>
      <c r="CQ120" s="21" t="n">
        <v>312.594</v>
      </c>
      <c r="CR120" s="21" t="n">
        <v>213.558</v>
      </c>
      <c r="CS120" s="21" t="n">
        <v>308.645</v>
      </c>
      <c r="CT120" s="21" t="n">
        <v>314.261</v>
      </c>
      <c r="CU120" s="21" t="n">
        <v>184.84</v>
      </c>
      <c r="CV120" s="21" t="n">
        <v>193.367</v>
      </c>
      <c r="CW120" s="21" t="n">
        <v>187.253</v>
      </c>
      <c r="CX120" s="21" t="n">
        <v>393.624</v>
      </c>
      <c r="CY120" s="21" t="n">
        <v>170.795</v>
      </c>
      <c r="CZ120" s="21" t="n">
        <v>158.184</v>
      </c>
      <c r="DA120" s="21" t="n">
        <v>373.53</v>
      </c>
      <c r="DB120" s="21" t="n">
        <v>229.554</v>
      </c>
      <c r="DC120" s="21" t="n">
        <v>206.126</v>
      </c>
      <c r="DD120" s="21" t="n">
        <v>202.421</v>
      </c>
      <c r="DE120" s="21" t="n">
        <v>249.053</v>
      </c>
      <c r="DF120" s="21" t="n">
        <v>292.831</v>
      </c>
      <c r="DG120" s="21" t="n">
        <v>229.342</v>
      </c>
      <c r="DH120" s="21" t="n">
        <v>276.546</v>
      </c>
      <c r="DI120" s="21" t="n">
        <v>209.794</v>
      </c>
      <c r="DJ120" s="21" t="n">
        <v>219.103</v>
      </c>
      <c r="DK120" s="21" t="n">
        <v>204.513</v>
      </c>
      <c r="DL120" s="21" t="n">
        <v>181.53</v>
      </c>
      <c r="DM120" s="21" t="n">
        <v>436.687</v>
      </c>
      <c r="DN120" s="21" t="n">
        <v>241.26</v>
      </c>
      <c r="DO120" s="21" t="n">
        <v>338.952</v>
      </c>
      <c r="DP120" s="21" t="n">
        <v>407.114</v>
      </c>
      <c r="DQ120" s="21" t="n">
        <v>426.342</v>
      </c>
      <c r="DR120" s="21" t="n">
        <v>192.16</v>
      </c>
      <c r="DS120" s="21" t="n">
        <v>653.183</v>
      </c>
      <c r="DT120" s="21" t="n">
        <v>394.963</v>
      </c>
      <c r="DU120" s="21" t="n">
        <v>418.447</v>
      </c>
      <c r="DV120" s="21" t="n">
        <v>418.459</v>
      </c>
      <c r="DW120" s="21" t="n">
        <v>317.076</v>
      </c>
      <c r="DX120" s="21" t="n">
        <v>264.447</v>
      </c>
      <c r="DY120" s="21" t="n">
        <v>352.434</v>
      </c>
      <c r="DZ120" s="21" t="n">
        <v>332.161</v>
      </c>
      <c r="EA120" s="21" t="n">
        <v>433.605</v>
      </c>
      <c r="EB120" s="21" t="n">
        <v>269.587</v>
      </c>
      <c r="EC120" s="21" t="n">
        <v>280.608</v>
      </c>
      <c r="ED120" s="21" t="n">
        <v>231.141</v>
      </c>
      <c r="EE120" s="21" t="n">
        <v>308.015</v>
      </c>
      <c r="EF120" s="21" t="n">
        <v>706.461</v>
      </c>
      <c r="EG120" s="21" t="n">
        <v>627.127</v>
      </c>
      <c r="EH120" s="21" t="n">
        <v>148.302</v>
      </c>
      <c r="EI120" s="21" t="n">
        <v>60.043</v>
      </c>
      <c r="EJ120" s="21" t="n">
        <v>81.401</v>
      </c>
      <c r="EK120" s="21" t="n">
        <v>40.555</v>
      </c>
      <c r="EL120" s="21" t="n">
        <v>131.089</v>
      </c>
      <c r="EM120" s="21" t="n">
        <v>75.77500000000001</v>
      </c>
      <c r="EN120" s="21" t="n">
        <v>83.715</v>
      </c>
      <c r="EO120" s="21" t="n">
        <v>88.86799999999999</v>
      </c>
      <c r="EP120" s="21" t="n">
        <v>105.874</v>
      </c>
      <c r="EQ120" s="21" t="n">
        <v>73.791</v>
      </c>
      <c r="ER120" s="21" t="n">
        <v>54.459</v>
      </c>
      <c r="ES120" s="21" t="n">
        <v>159.199</v>
      </c>
      <c r="ET120" s="21" t="n">
        <v>78.685</v>
      </c>
      <c r="EU120" s="21" t="n">
        <v>110.287</v>
      </c>
      <c r="EV120" s="21" t="n">
        <v>120.525</v>
      </c>
      <c r="EW120" s="21" t="n">
        <v>106.194</v>
      </c>
      <c r="EX120" s="21" t="n">
        <v>235.476</v>
      </c>
      <c r="EY120" s="21" t="n">
        <v>151.162</v>
      </c>
      <c r="EZ120" s="21" t="n">
        <v>139.607</v>
      </c>
      <c r="FA120" s="21" t="n">
        <v>205.83</v>
      </c>
      <c r="FB120" s="21" t="n">
        <v>131.692</v>
      </c>
      <c r="FC120" s="21" t="n">
        <v>129.422</v>
      </c>
      <c r="FD120" s="21" t="n">
        <v>131.687</v>
      </c>
      <c r="FE120" s="21" t="n">
        <v>95.38800000000001</v>
      </c>
      <c r="FF120" s="21" t="n">
        <v>184.611</v>
      </c>
      <c r="FG120" s="21" t="n">
        <v>81.46899999999999</v>
      </c>
      <c r="FH120" s="21" t="n">
        <v>138.875</v>
      </c>
      <c r="FI120" s="21" t="n">
        <v>118.883</v>
      </c>
      <c r="FJ120" s="21" t="n">
        <v>109.307</v>
      </c>
      <c r="FK120" s="21" t="n">
        <v>110.648</v>
      </c>
      <c r="FL120" s="21" t="n">
        <v>99.113</v>
      </c>
      <c r="FM120" s="21" t="n">
        <v>101.309</v>
      </c>
      <c r="FN120" s="21" t="n">
        <v>74.09699999999999</v>
      </c>
      <c r="FO120" s="21" t="n">
        <v>117.674</v>
      </c>
      <c r="FP120" s="21" t="n">
        <v>103.581</v>
      </c>
      <c r="FQ120" s="21" t="n">
        <v>146.394</v>
      </c>
      <c r="FR120" s="21" t="n">
        <v>151.964</v>
      </c>
      <c r="FS120" s="21" t="n">
        <v>168.915</v>
      </c>
      <c r="FT120" s="21" t="n">
        <v>131.51</v>
      </c>
      <c r="FU120" s="21" t="n">
        <v>124.105</v>
      </c>
      <c r="FV120" s="21" t="n">
        <v>200.564</v>
      </c>
      <c r="FW120" s="21" t="n">
        <v>163.929</v>
      </c>
      <c r="FX120" s="21" t="n">
        <v>198.024</v>
      </c>
      <c r="FY120" s="21" t="n">
        <v>270.397</v>
      </c>
      <c r="FZ120" s="21" t="n">
        <v>269.612</v>
      </c>
      <c r="GA120" s="21" t="n">
        <v>124.595</v>
      </c>
      <c r="GB120" s="21" t="n">
        <v>177.837</v>
      </c>
      <c r="GC120" s="21" t="n"/>
      <c r="GD120" s="21" t="n">
        <v>172.41</v>
      </c>
      <c r="GE120" s="21" t="n">
        <v>189.878</v>
      </c>
      <c r="GF120" s="21" t="n"/>
      <c r="GG120" s="21" t="n">
        <v>179.904</v>
      </c>
      <c r="GH120" s="21" t="n"/>
      <c r="GI120" s="21" t="n">
        <v>157.031</v>
      </c>
      <c r="GJ120" s="21" t="n">
        <v>282.72</v>
      </c>
      <c r="GK120" s="21" t="n">
        <v>281.939</v>
      </c>
      <c r="GL120" s="21" t="n">
        <v>274.745</v>
      </c>
      <c r="GM120" s="21" t="n">
        <v>312.478</v>
      </c>
      <c r="GN120" s="21" t="n">
        <v>308.551</v>
      </c>
      <c r="GO120" s="21" t="n">
        <v>262.02</v>
      </c>
      <c r="GP120" s="21" t="n">
        <v>181.387</v>
      </c>
      <c r="GQ120" s="21" t="n">
        <v>153.233</v>
      </c>
      <c r="GR120" s="21" t="n">
        <v>416.418</v>
      </c>
      <c r="GS120" s="21" t="n">
        <v>278.684</v>
      </c>
      <c r="GT120" s="21" t="n">
        <v>870.003</v>
      </c>
      <c r="GU120" s="21" t="n">
        <v>234.014</v>
      </c>
      <c r="GV120" s="21" t="n">
        <v>280.863</v>
      </c>
      <c r="GW120" s="21" t="n">
        <v>267.78</v>
      </c>
      <c r="GX120" s="21" t="n">
        <v>266.723</v>
      </c>
      <c r="GY120" s="21" t="n">
        <v>156.957</v>
      </c>
      <c r="GZ120" s="21" t="n"/>
      <c r="HA120" s="21" t="n">
        <v>65.13800000000001</v>
      </c>
      <c r="HB120" s="21" t="n">
        <v>569.476</v>
      </c>
      <c r="HC120" s="21" t="n">
        <v>412.424</v>
      </c>
      <c r="HD120" s="21" t="n">
        <v>134.759</v>
      </c>
      <c r="HE120" s="21" t="n">
        <v>558.497</v>
      </c>
      <c r="HF120" s="21" t="n">
        <v>110.08</v>
      </c>
      <c r="HG120" s="21" t="n">
        <v>620.054</v>
      </c>
      <c r="HH120" s="21" t="n">
        <v>433.998</v>
      </c>
      <c r="HI120" s="21" t="n">
        <v>423.591</v>
      </c>
      <c r="HJ120" s="21" t="n">
        <v>607.826</v>
      </c>
      <c r="HK120" s="21" t="n">
        <v>212.754</v>
      </c>
      <c r="HL120" s="21" t="n">
        <v>263.171</v>
      </c>
      <c r="HM120" s="21" t="n">
        <v>99.774</v>
      </c>
      <c r="HN120" s="21" t="n">
        <v>417.503</v>
      </c>
      <c r="HO120" s="21" t="n">
        <v>399.93</v>
      </c>
      <c r="HP120" s="21" t="n">
        <v>919.298</v>
      </c>
      <c r="HQ120" s="21" t="n">
        <v>290.097</v>
      </c>
      <c r="HR120" s="21" t="n">
        <v>138.766</v>
      </c>
      <c r="HS120" s="21" t="n">
        <v>117.408</v>
      </c>
      <c r="HT120" s="21" t="n">
        <v>102.103</v>
      </c>
      <c r="HU120" s="21" t="n">
        <v>582.386</v>
      </c>
      <c r="HV120" s="21" t="n">
        <v>102.073</v>
      </c>
      <c r="HW120" s="21" t="n">
        <v>25.119</v>
      </c>
      <c r="HX120" s="21" t="n">
        <v>225.115</v>
      </c>
      <c r="HY120" s="21" t="n">
        <v>239.775</v>
      </c>
      <c r="HZ120" s="21" t="n">
        <v>190.059</v>
      </c>
      <c r="IA120" s="21" t="n">
        <v>131.298</v>
      </c>
      <c r="IB120" s="21" t="n">
        <v>352.228</v>
      </c>
      <c r="IC120" s="21" t="n">
        <v>261.877</v>
      </c>
      <c r="ID120" s="21" t="n">
        <v>376.506</v>
      </c>
      <c r="IE120" s="21" t="n">
        <v>122.728</v>
      </c>
      <c r="IF120" s="21" t="n">
        <v>169.936</v>
      </c>
      <c r="IG120" s="21" t="n">
        <v>83.413</v>
      </c>
      <c r="IH120" s="21" t="n">
        <v>85.774</v>
      </c>
      <c r="II120" s="21" t="n">
        <v>68.755</v>
      </c>
      <c r="IJ120" s="21" t="n">
        <v>28.342</v>
      </c>
      <c r="IK120" s="21" t="n">
        <v>32.808</v>
      </c>
      <c r="IL120" s="21" t="n">
        <v>27.677</v>
      </c>
      <c r="IM120" s="21" t="n">
        <v>37.128</v>
      </c>
      <c r="IN120" s="21" t="n">
        <v>106.538</v>
      </c>
      <c r="IO120" s="21" t="n">
        <v>122.073</v>
      </c>
      <c r="IP120" s="21" t="n">
        <v>204.307</v>
      </c>
      <c r="IQ120" s="21" t="n">
        <v>168.184</v>
      </c>
      <c r="IR120" s="21" t="n">
        <v>464.766</v>
      </c>
      <c r="IS120" s="21" t="n">
        <v>226.176</v>
      </c>
      <c r="IT120" s="21" t="n">
        <v>265.956</v>
      </c>
      <c r="IU120" s="21" t="n">
        <v>400.18</v>
      </c>
      <c r="IV120" s="21" t="n">
        <v>282.948</v>
      </c>
      <c r="IW120" s="21" t="n">
        <v>145.606</v>
      </c>
      <c r="IX120" s="21" t="n">
        <v>304.671</v>
      </c>
      <c r="IY120" s="21" t="n">
        <v>756.7619999999999</v>
      </c>
      <c r="IZ120" s="21" t="n">
        <v>875.968</v>
      </c>
      <c r="JA120" s="21" t="n">
        <v>947.075</v>
      </c>
      <c r="JB120" s="21" t="n">
        <v>99.77</v>
      </c>
      <c r="JC120" s="21" t="n">
        <v>375.914</v>
      </c>
      <c r="JD120" s="21" t="n">
        <v>276.285</v>
      </c>
      <c r="JE120" s="21" t="n">
        <v>72.959</v>
      </c>
      <c r="JF120" s="21" t="n">
        <v>250.149</v>
      </c>
      <c r="JG120" s="21" t="n">
        <v>388.819</v>
      </c>
      <c r="JH120" s="21" t="n">
        <v>442.809</v>
      </c>
      <c r="JI120" s="21" t="n">
        <v>68.55800000000001</v>
      </c>
      <c r="JJ120" s="21" t="n">
        <v>100.37</v>
      </c>
      <c r="JK120" s="21" t="n">
        <v>34.259</v>
      </c>
      <c r="JL120" s="21" t="n">
        <v>83.65900000000001</v>
      </c>
      <c r="JM120" s="21" t="n">
        <v>101.597</v>
      </c>
      <c r="JN120" s="21" t="n">
        <v>567.22</v>
      </c>
      <c r="JO120" s="21" t="n">
        <v>100.022</v>
      </c>
      <c r="JP120" s="21" t="n">
        <v>662.98</v>
      </c>
      <c r="JQ120" s="21" t="n">
        <v>285.57</v>
      </c>
      <c r="JR120" s="21" t="n">
        <v>179.445</v>
      </c>
      <c r="JS120" s="21" t="n">
        <v>563.335</v>
      </c>
      <c r="JT120" s="21" t="n"/>
      <c r="JU120" s="21" t="n">
        <v>398.015</v>
      </c>
      <c r="JV120" s="21" t="n">
        <v>233.18</v>
      </c>
      <c r="JW120" s="21" t="n">
        <v>446.05</v>
      </c>
      <c r="JX120" s="21" t="n">
        <v>345.587</v>
      </c>
      <c r="JY120" s="21" t="n">
        <v>85.93899999999999</v>
      </c>
      <c r="JZ120" s="21" t="n">
        <v>201.628</v>
      </c>
      <c r="KA120" s="21" t="n">
        <v>304.308</v>
      </c>
      <c r="KB120" s="21" t="n">
        <v>323.394</v>
      </c>
      <c r="KC120" s="21" t="n">
        <v>313.872</v>
      </c>
      <c r="KD120" s="21" t="n">
        <v>322.657</v>
      </c>
      <c r="KE120" s="21" t="n">
        <v>284.579</v>
      </c>
      <c r="KF120" s="21" t="n">
        <v>272.603</v>
      </c>
      <c r="KG120" s="21" t="n">
        <v>275.863</v>
      </c>
      <c r="KH120" s="21" t="n">
        <v>281.308</v>
      </c>
      <c r="KI120" s="21" t="n">
        <v>123.425</v>
      </c>
      <c r="KJ120" s="21" t="n">
        <v>222.676</v>
      </c>
      <c r="KK120" s="21" t="n">
        <v>176.609</v>
      </c>
      <c r="KL120" s="21" t="n">
        <v>172.731</v>
      </c>
      <c r="KM120" s="21" t="n">
        <v>165.018</v>
      </c>
      <c r="KN120" s="21" t="n">
        <v>163.412</v>
      </c>
      <c r="KO120" s="21" t="n">
        <v>318.715</v>
      </c>
      <c r="KP120" s="21" t="n">
        <v>122.676</v>
      </c>
      <c r="KQ120" s="21" t="n">
        <v>53.792</v>
      </c>
      <c r="KR120" s="21" t="n">
        <v>122.914</v>
      </c>
      <c r="KS120" s="21" t="n">
        <v>273.281</v>
      </c>
      <c r="KT120" s="21" t="n">
        <v>288.339</v>
      </c>
      <c r="KU120" s="21" t="n">
        <v>105.918</v>
      </c>
      <c r="KV120" s="21" t="n">
        <v>36.567</v>
      </c>
      <c r="KW120" s="21" t="n">
        <v>276.781</v>
      </c>
      <c r="KX120" s="21" t="n">
        <v>229.475</v>
      </c>
      <c r="KY120" s="21" t="n">
        <v>287.883</v>
      </c>
      <c r="KZ120" s="21" t="n">
        <v>225.6</v>
      </c>
      <c r="LA120" s="21" t="n">
        <v>289.066</v>
      </c>
      <c r="LB120" s="21" t="n">
        <v>141.878</v>
      </c>
      <c r="LC120" s="21" t="n">
        <v>418.728</v>
      </c>
      <c r="LD120" s="21" t="n">
        <v>83.514</v>
      </c>
      <c r="LE120" s="21" t="n">
        <v>151.867</v>
      </c>
      <c r="LF120" s="21" t="n">
        <v>425.303</v>
      </c>
      <c r="LG120" s="21" t="n">
        <v>409.184</v>
      </c>
      <c r="LH120" s="21" t="n">
        <v>423.277</v>
      </c>
      <c r="LI120" s="21" t="n">
        <v>393.093</v>
      </c>
      <c r="LJ120" s="21" t="n">
        <v>421.622</v>
      </c>
      <c r="LK120" s="21" t="n">
        <v>130.087</v>
      </c>
      <c r="LL120" s="21" t="n">
        <v>441.797</v>
      </c>
      <c r="LM120" s="21" t="n">
        <v>261.565</v>
      </c>
      <c r="LN120" s="21" t="n">
        <v>32.204</v>
      </c>
      <c r="LO120" s="21" t="n">
        <v>153.613</v>
      </c>
    </row>
    <row r="121">
      <c r="A121" s="22" t="n">
        <v>45627</v>
      </c>
      <c r="B121" s="21" t="n">
        <v>317.604</v>
      </c>
      <c r="C121" s="21" t="n">
        <v>331.65</v>
      </c>
      <c r="D121" s="21" t="n">
        <v>334.464</v>
      </c>
      <c r="E121" s="21" t="n">
        <v>309.767</v>
      </c>
      <c r="F121" s="21" t="n">
        <v>358.328</v>
      </c>
      <c r="G121" s="21" t="n">
        <v>290.712</v>
      </c>
      <c r="H121" s="21" t="n">
        <v>323.948</v>
      </c>
      <c r="I121" s="21" t="n">
        <v>280.205</v>
      </c>
      <c r="J121" s="21" t="n">
        <v>295.697</v>
      </c>
      <c r="K121" s="21" t="n">
        <v>396.587</v>
      </c>
      <c r="L121" s="21" t="n">
        <v>240.406</v>
      </c>
      <c r="M121" s="21" t="n">
        <v>236.629</v>
      </c>
      <c r="N121" s="21" t="n">
        <v>374.421</v>
      </c>
      <c r="O121" s="21" t="n">
        <v>352.512</v>
      </c>
      <c r="P121" s="21" t="n">
        <v>355.624</v>
      </c>
      <c r="Q121" s="21" t="n">
        <v>431.347</v>
      </c>
      <c r="R121" s="21" t="n">
        <v>343.395</v>
      </c>
      <c r="S121" s="21" t="n">
        <v>334.228</v>
      </c>
      <c r="T121" s="21" t="n">
        <v>330.534</v>
      </c>
      <c r="U121" s="21" t="n">
        <v>340.409</v>
      </c>
      <c r="V121" s="21" t="n">
        <v>435.946</v>
      </c>
      <c r="W121" s="21" t="n">
        <v>372.944</v>
      </c>
      <c r="X121" s="21" t="n">
        <v>357.756</v>
      </c>
      <c r="Y121" s="21" t="n">
        <v>291.101</v>
      </c>
      <c r="Z121" s="21" t="n">
        <v>269.714</v>
      </c>
      <c r="AA121" s="21" t="n">
        <v>202.768</v>
      </c>
      <c r="AB121" s="21" t="n">
        <v>377.778</v>
      </c>
      <c r="AC121" s="21" t="n">
        <v>187.657</v>
      </c>
      <c r="AD121" s="21" t="n">
        <v>255.31</v>
      </c>
      <c r="AE121" s="21" t="n">
        <v>281.586</v>
      </c>
      <c r="AF121" s="21" t="n">
        <v>247.681</v>
      </c>
      <c r="AG121" s="21" t="n">
        <v>160.426</v>
      </c>
      <c r="AH121" s="21" t="n">
        <v>287.36</v>
      </c>
      <c r="AI121" s="21" t="n">
        <v>302.962</v>
      </c>
      <c r="AJ121" s="21" t="n">
        <v>188.251</v>
      </c>
      <c r="AK121" s="21" t="n">
        <v>309.834</v>
      </c>
      <c r="AL121" s="21" t="n">
        <v>198.234</v>
      </c>
      <c r="AM121" s="21" t="n">
        <v>331.065</v>
      </c>
      <c r="AN121" s="21" t="n">
        <v>294.703</v>
      </c>
      <c r="AO121" s="21" t="n">
        <v>205.191</v>
      </c>
      <c r="AP121" s="21" t="n">
        <v>348.827</v>
      </c>
      <c r="AQ121" s="21" t="n">
        <v>218.224</v>
      </c>
      <c r="AR121" s="21" t="n">
        <v>172.048</v>
      </c>
      <c r="AS121" s="21" t="n">
        <v>250.914</v>
      </c>
      <c r="AT121" s="21" t="n">
        <v>371.26</v>
      </c>
      <c r="AU121" s="21" t="n">
        <v>378.394</v>
      </c>
      <c r="AV121" s="21" t="n">
        <v>271.358</v>
      </c>
      <c r="AW121" s="21" t="n">
        <v>180.093</v>
      </c>
      <c r="AX121" s="21" t="n">
        <v>256.109</v>
      </c>
      <c r="AY121" s="21" t="n">
        <v>187.282</v>
      </c>
      <c r="AZ121" s="21" t="n">
        <v>266.271</v>
      </c>
      <c r="BA121" s="21" t="n">
        <v>274.125</v>
      </c>
      <c r="BB121" s="21" t="n">
        <v>193.345</v>
      </c>
      <c r="BC121" s="21" t="n">
        <v>354.876</v>
      </c>
      <c r="BD121" s="21" t="n">
        <v>400.221</v>
      </c>
      <c r="BE121" s="21" t="n">
        <v>415.505</v>
      </c>
      <c r="BF121" s="21" t="n">
        <v>353.145</v>
      </c>
      <c r="BG121" s="21" t="n">
        <v>205.69</v>
      </c>
      <c r="BH121" s="21" t="n">
        <v>295.127</v>
      </c>
      <c r="BI121" s="21" t="n">
        <v>592.162</v>
      </c>
      <c r="BJ121" s="21" t="n">
        <v>143.627</v>
      </c>
      <c r="BK121" s="21" t="n">
        <v>382.719</v>
      </c>
      <c r="BL121" s="21" t="n">
        <v>428.285</v>
      </c>
      <c r="BM121" s="21" t="n">
        <v>393.984</v>
      </c>
      <c r="BN121" s="21" t="n">
        <v>355.987</v>
      </c>
      <c r="BO121" s="21" t="n">
        <v>383.744</v>
      </c>
      <c r="BP121" s="21" t="n">
        <v>202.689</v>
      </c>
      <c r="BQ121" s="21" t="n">
        <v>216.381</v>
      </c>
      <c r="BR121" s="21" t="n">
        <v>205.058</v>
      </c>
      <c r="BS121" s="21" t="n">
        <v>231.617</v>
      </c>
      <c r="BT121" s="21" t="n">
        <v>184.517</v>
      </c>
      <c r="BU121" s="21" t="n">
        <v>260.82</v>
      </c>
      <c r="BV121" s="21" t="n">
        <v>194.454</v>
      </c>
      <c r="BW121" s="21" t="n">
        <v>222.827</v>
      </c>
      <c r="BX121" s="21" t="n">
        <v>176.883</v>
      </c>
      <c r="BY121" s="21" t="n">
        <v>227.613</v>
      </c>
      <c r="BZ121" s="21" t="n">
        <v>157.501</v>
      </c>
      <c r="CA121" s="21" t="n">
        <v>146.169</v>
      </c>
      <c r="CB121" s="21" t="n">
        <v>242.558</v>
      </c>
      <c r="CC121" s="21" t="n">
        <v>254.76</v>
      </c>
      <c r="CD121" s="21" t="n">
        <v>160.98</v>
      </c>
      <c r="CE121" s="21" t="n">
        <v>274.112</v>
      </c>
      <c r="CF121" s="21" t="n">
        <v>294.43</v>
      </c>
      <c r="CG121" s="21" t="n">
        <v>272.341</v>
      </c>
      <c r="CH121" s="21" t="n">
        <v>201.044</v>
      </c>
      <c r="CI121" s="21" t="n">
        <v>194.446</v>
      </c>
      <c r="CJ121" s="21" t="n">
        <v>316.807</v>
      </c>
      <c r="CK121" s="21" t="n">
        <v>280.874</v>
      </c>
      <c r="CL121" s="21" t="n">
        <v>320.719</v>
      </c>
      <c r="CM121" s="21" t="n">
        <v>451.024</v>
      </c>
      <c r="CN121" s="21" t="n">
        <v>173.406</v>
      </c>
      <c r="CO121" s="21" t="n">
        <v>226.322</v>
      </c>
      <c r="CP121" s="21" t="n">
        <v>287.829</v>
      </c>
      <c r="CQ121" s="21" t="n">
        <v>315.252</v>
      </c>
      <c r="CR121" s="21" t="n">
        <v>213.455</v>
      </c>
      <c r="CS121" s="21" t="n">
        <v>307.804</v>
      </c>
      <c r="CT121" s="21" t="n">
        <v>314.912</v>
      </c>
      <c r="CU121" s="21" t="n">
        <v>187.782</v>
      </c>
      <c r="CV121" s="21" t="n">
        <v>189.791</v>
      </c>
      <c r="CW121" s="21" t="n">
        <v>187.063</v>
      </c>
      <c r="CX121" s="21" t="n">
        <v>383.378</v>
      </c>
      <c r="CY121" s="21" t="n">
        <v>171.231</v>
      </c>
      <c r="CZ121" s="21" t="n">
        <v>157.756</v>
      </c>
      <c r="DA121" s="21" t="n">
        <v>374.644</v>
      </c>
      <c r="DB121" s="21" t="n">
        <v>230.095</v>
      </c>
      <c r="DC121" s="21" t="n">
        <v>206.304</v>
      </c>
      <c r="DD121" s="21" t="n">
        <v>202.384</v>
      </c>
      <c r="DE121" s="21" t="n">
        <v>249.693</v>
      </c>
      <c r="DF121" s="21" t="n">
        <v>291.832</v>
      </c>
      <c r="DG121" s="21" t="n">
        <v>229.814</v>
      </c>
      <c r="DH121" s="21" t="n">
        <v>276.617</v>
      </c>
      <c r="DI121" s="21" t="n">
        <v>209.2</v>
      </c>
      <c r="DJ121" s="21" t="n">
        <v>218.359</v>
      </c>
      <c r="DK121" s="21" t="n">
        <v>203.825</v>
      </c>
      <c r="DL121" s="21" t="n">
        <v>182.007</v>
      </c>
      <c r="DM121" s="21" t="n">
        <v>434.348</v>
      </c>
      <c r="DN121" s="21" t="n">
        <v>239.5</v>
      </c>
      <c r="DO121" s="21" t="n">
        <v>339.905</v>
      </c>
      <c r="DP121" s="21" t="n">
        <v>408.165</v>
      </c>
      <c r="DQ121" s="21" t="n">
        <v>427.68</v>
      </c>
      <c r="DR121" s="21" t="n">
        <v>189.951</v>
      </c>
      <c r="DS121" s="21" t="n">
        <v>655.182</v>
      </c>
      <c r="DT121" s="21" t="n">
        <v>389.259</v>
      </c>
      <c r="DU121" s="21" t="n">
        <v>419.793</v>
      </c>
      <c r="DV121" s="21" t="n">
        <v>419.802</v>
      </c>
      <c r="DW121" s="21" t="n">
        <v>319.107</v>
      </c>
      <c r="DX121" s="21" t="n">
        <v>266.651</v>
      </c>
      <c r="DY121" s="21" t="n">
        <v>358.436</v>
      </c>
      <c r="DZ121" s="21" t="n">
        <v>340.929</v>
      </c>
      <c r="EA121" s="21" t="n">
        <v>431.983</v>
      </c>
      <c r="EB121" s="21" t="n">
        <v>271.721</v>
      </c>
      <c r="EC121" s="21" t="n">
        <v>281.742</v>
      </c>
      <c r="ED121" s="21" t="n">
        <v>236.265</v>
      </c>
      <c r="EE121" s="21" t="n">
        <v>308.234</v>
      </c>
      <c r="EF121" s="21" t="n">
        <v>706.852</v>
      </c>
      <c r="EG121" s="21" t="n">
        <v>627.807</v>
      </c>
      <c r="EH121" s="21" t="n">
        <v>148.478</v>
      </c>
      <c r="EI121" s="21" t="n">
        <v>60.372</v>
      </c>
      <c r="EJ121" s="21" t="n">
        <v>81.053</v>
      </c>
      <c r="EK121" s="21" t="n">
        <v>41.112</v>
      </c>
      <c r="EL121" s="21" t="n">
        <v>129.873</v>
      </c>
      <c r="EM121" s="21" t="n">
        <v>75.628</v>
      </c>
      <c r="EN121" s="21" t="n">
        <v>83.033</v>
      </c>
      <c r="EO121" s="21" t="n">
        <v>87.33799999999999</v>
      </c>
      <c r="EP121" s="21" t="n">
        <v>103.929</v>
      </c>
      <c r="EQ121" s="21" t="n">
        <v>73.39700000000001</v>
      </c>
      <c r="ER121" s="21" t="n">
        <v>54.381</v>
      </c>
      <c r="ES121" s="21" t="n">
        <v>160.38</v>
      </c>
      <c r="ET121" s="21" t="n">
        <v>78.15300000000001</v>
      </c>
      <c r="EU121" s="21" t="n">
        <v>109.85</v>
      </c>
      <c r="EV121" s="21" t="n">
        <v>120.955</v>
      </c>
      <c r="EW121" s="21" t="n">
        <v>105.304</v>
      </c>
      <c r="EX121" s="21" t="n">
        <v>236.348</v>
      </c>
      <c r="EY121" s="21" t="n">
        <v>151.36</v>
      </c>
      <c r="EZ121" s="21" t="n">
        <v>140.408</v>
      </c>
      <c r="FA121" s="21" t="n">
        <v>207.897</v>
      </c>
      <c r="FB121" s="21" t="n">
        <v>131.568</v>
      </c>
      <c r="FC121" s="21" t="n">
        <v>129.349</v>
      </c>
      <c r="FD121" s="21" t="n">
        <v>131.835</v>
      </c>
      <c r="FE121" s="21" t="n">
        <v>96.70099999999999</v>
      </c>
      <c r="FF121" s="21" t="n">
        <v>184.553</v>
      </c>
      <c r="FG121" s="21" t="n">
        <v>80.989</v>
      </c>
      <c r="FH121" s="21" t="n">
        <v>140.411</v>
      </c>
      <c r="FI121" s="21" t="n">
        <v>118.703</v>
      </c>
      <c r="FJ121" s="21" t="n">
        <v>109.26</v>
      </c>
      <c r="FK121" s="21" t="n">
        <v>110.799</v>
      </c>
      <c r="FL121" s="21" t="n">
        <v>102.063</v>
      </c>
      <c r="FM121" s="21" t="n">
        <v>105.534</v>
      </c>
      <c r="FN121" s="21" t="n">
        <v>74.32899999999999</v>
      </c>
      <c r="FO121" s="21" t="n">
        <v>116.433</v>
      </c>
      <c r="FP121" s="21" t="n">
        <v>102.245</v>
      </c>
      <c r="FQ121" s="21" t="n">
        <v>145.821</v>
      </c>
      <c r="FR121" s="21" t="n">
        <v>150.337</v>
      </c>
      <c r="FS121" s="21" t="n">
        <v>164.996</v>
      </c>
      <c r="FT121" s="21" t="n">
        <v>132.447</v>
      </c>
      <c r="FU121" s="21" t="n">
        <v>123.839</v>
      </c>
      <c r="FV121" s="21" t="n">
        <v>201.138</v>
      </c>
      <c r="FW121" s="21" t="n">
        <v>161.583</v>
      </c>
      <c r="FX121" s="21" t="n">
        <v>199.16</v>
      </c>
      <c r="FY121" s="21" t="n">
        <v>273.39</v>
      </c>
      <c r="FZ121" s="21" t="n">
        <v>272.585</v>
      </c>
      <c r="GA121" s="21" t="n">
        <v>125.098</v>
      </c>
      <c r="GB121" s="21" t="n">
        <v>178.489</v>
      </c>
      <c r="GC121" s="21" t="n"/>
      <c r="GD121" s="21" t="n">
        <v>172.992</v>
      </c>
      <c r="GE121" s="21" t="n">
        <v>190.602</v>
      </c>
      <c r="GF121" s="21" t="n"/>
      <c r="GG121" s="21" t="n">
        <v>181.705</v>
      </c>
      <c r="GH121" s="21" t="n"/>
      <c r="GI121" s="21" t="n">
        <v>157.928</v>
      </c>
      <c r="GJ121" s="21" t="n">
        <v>293.909</v>
      </c>
      <c r="GK121" s="21" t="n">
        <v>293.155</v>
      </c>
      <c r="GL121" s="21" t="n">
        <v>285.985</v>
      </c>
      <c r="GM121" s="21" t="n">
        <v>323.612</v>
      </c>
      <c r="GN121" s="21" t="n">
        <v>319.011</v>
      </c>
      <c r="GO121" s="21" t="n">
        <v>260.056</v>
      </c>
      <c r="GP121" s="21" t="n">
        <v>181.551</v>
      </c>
      <c r="GQ121" s="21" t="n">
        <v>153.774</v>
      </c>
      <c r="GR121" s="21" t="n">
        <v>417.312</v>
      </c>
      <c r="GS121" s="21" t="n">
        <v>277.058</v>
      </c>
      <c r="GT121" s="21" t="n">
        <v>872.6950000000001</v>
      </c>
      <c r="GU121" s="21" t="n">
        <v>229.312</v>
      </c>
      <c r="GV121" s="21" t="n">
        <v>281.528</v>
      </c>
      <c r="GW121" s="21" t="n">
        <v>270.901</v>
      </c>
      <c r="GX121" s="21" t="n">
        <v>271.742</v>
      </c>
      <c r="GY121" s="21" t="n">
        <v>162.524</v>
      </c>
      <c r="GZ121" s="21" t="n"/>
      <c r="HA121" s="21" t="n">
        <v>65.038</v>
      </c>
      <c r="HB121" s="21" t="n">
        <v>570.11</v>
      </c>
      <c r="HC121" s="21" t="n">
        <v>412.381</v>
      </c>
      <c r="HD121" s="21" t="n">
        <v>134.862</v>
      </c>
      <c r="HE121" s="21" t="n">
        <v>558.744</v>
      </c>
      <c r="HF121" s="21" t="n">
        <v>110.274</v>
      </c>
      <c r="HG121" s="21" t="n">
        <v>620.9109999999999</v>
      </c>
      <c r="HH121" s="21" t="n">
        <v>434.095</v>
      </c>
      <c r="HI121" s="21" t="n">
        <v>423.86</v>
      </c>
      <c r="HJ121" s="21" t="n">
        <v>606.1799999999999</v>
      </c>
      <c r="HK121" s="21" t="n">
        <v>213.149</v>
      </c>
      <c r="HL121" s="21" t="n">
        <v>263.878</v>
      </c>
      <c r="HM121" s="21" t="n">
        <v>100</v>
      </c>
      <c r="HN121" s="21" t="n">
        <v>418.467</v>
      </c>
      <c r="HO121" s="21" t="n"/>
      <c r="HP121" s="21" t="n">
        <v>921.928</v>
      </c>
      <c r="HQ121" s="21" t="n">
        <v>291.012</v>
      </c>
      <c r="HR121" s="21" t="n">
        <v>138.753</v>
      </c>
      <c r="HS121" s="21" t="n">
        <v>117.756</v>
      </c>
      <c r="HT121" s="21" t="n">
        <v>101.325</v>
      </c>
      <c r="HU121" s="21" t="n">
        <v>585.788</v>
      </c>
      <c r="HV121" s="21" t="n">
        <v>103.06</v>
      </c>
      <c r="HW121" s="21" t="n">
        <v>24.174</v>
      </c>
      <c r="HX121" s="21" t="n">
        <v>224.485</v>
      </c>
      <c r="HY121" s="21" t="n">
        <v>238.711</v>
      </c>
      <c r="HZ121" s="21" t="n">
        <v>188.882</v>
      </c>
      <c r="IA121" s="21" t="n">
        <v>131.477</v>
      </c>
      <c r="IB121" s="21" t="n">
        <v>352.039</v>
      </c>
      <c r="IC121" s="21" t="n">
        <v>261.056</v>
      </c>
      <c r="ID121" s="21" t="n">
        <v>378.122</v>
      </c>
      <c r="IE121" s="21" t="n">
        <v>122.29</v>
      </c>
      <c r="IF121" s="21" t="n">
        <v>169.11</v>
      </c>
      <c r="IG121" s="21" t="n">
        <v>83.351</v>
      </c>
      <c r="IH121" s="21" t="n">
        <v>84.248</v>
      </c>
      <c r="II121" s="21" t="n">
        <v>66.98099999999999</v>
      </c>
      <c r="IJ121" s="21" t="n">
        <v>27.56</v>
      </c>
      <c r="IK121" s="21" t="n">
        <v>32.695</v>
      </c>
      <c r="IL121" s="21" t="n">
        <v>27.49</v>
      </c>
      <c r="IM121" s="21" t="n">
        <v>36.928</v>
      </c>
      <c r="IN121" s="21" t="n">
        <v>107.075</v>
      </c>
      <c r="IO121" s="21" t="n">
        <v>124.167</v>
      </c>
      <c r="IP121" s="21" t="n">
        <v>204.661</v>
      </c>
      <c r="IQ121" s="21" t="n">
        <v>167.442</v>
      </c>
      <c r="IR121" s="21" t="n">
        <v>467.948</v>
      </c>
      <c r="IS121" s="21" t="n">
        <v>227.666</v>
      </c>
      <c r="IT121" s="21" t="n">
        <v>267.318</v>
      </c>
      <c r="IU121" s="21" t="n">
        <v>402.09</v>
      </c>
      <c r="IV121" s="21" t="n">
        <v>284.186</v>
      </c>
      <c r="IW121" s="21" t="n">
        <v>145.644</v>
      </c>
      <c r="IX121" s="21" t="n">
        <v>305.201</v>
      </c>
      <c r="IY121" s="21" t="n">
        <v>750.7329999999999</v>
      </c>
      <c r="IZ121" s="21" t="n">
        <v>877.799</v>
      </c>
      <c r="JA121" s="21" t="n">
        <v>948.439</v>
      </c>
      <c r="JB121" s="21" t="n">
        <v>100.005</v>
      </c>
      <c r="JC121" s="21" t="n">
        <v>376.946</v>
      </c>
      <c r="JD121" s="21" t="n">
        <v>276.728</v>
      </c>
      <c r="JE121" s="21" t="n">
        <v>72.896</v>
      </c>
      <c r="JF121" s="21" t="n">
        <v>251.484</v>
      </c>
      <c r="JG121" s="21" t="n">
        <v>390.532</v>
      </c>
      <c r="JH121" s="21" t="n">
        <v>447.892</v>
      </c>
      <c r="JI121" s="21" t="n">
        <v>68.48999999999999</v>
      </c>
      <c r="JJ121" s="21" t="n">
        <v>100.109</v>
      </c>
      <c r="JK121" s="21" t="n">
        <v>33.942</v>
      </c>
      <c r="JL121" s="21" t="n">
        <v>83.974</v>
      </c>
      <c r="JM121" s="21" t="n">
        <v>100.451</v>
      </c>
      <c r="JN121" s="21" t="n">
        <v>566.915</v>
      </c>
      <c r="JO121" s="21" t="n">
        <v>100</v>
      </c>
      <c r="JP121" s="21" t="n">
        <v>663.574</v>
      </c>
      <c r="JQ121" s="21" t="n">
        <v>285.395</v>
      </c>
      <c r="JR121" s="21" t="n">
        <v>178.864</v>
      </c>
      <c r="JS121" s="21" t="n">
        <v>560.325</v>
      </c>
      <c r="JT121" s="21" t="n"/>
      <c r="JU121" s="21" t="n">
        <v>399.098</v>
      </c>
      <c r="JV121" s="21" t="n">
        <v>233.345</v>
      </c>
      <c r="JW121" s="21" t="n">
        <v>436.532</v>
      </c>
      <c r="JX121" s="21" t="n"/>
      <c r="JY121" s="21" t="n">
        <v>86.431</v>
      </c>
      <c r="JZ121" s="21" t="n">
        <v>201.924</v>
      </c>
      <c r="KA121" s="21" t="n">
        <v>305.402</v>
      </c>
      <c r="KB121" s="21" t="n">
        <v>324.028</v>
      </c>
      <c r="KC121" s="21" t="n">
        <v>314.982</v>
      </c>
      <c r="KD121" s="21" t="n">
        <v>323.259</v>
      </c>
      <c r="KE121" s="21" t="n">
        <v>285.681</v>
      </c>
      <c r="KF121" s="21" t="n">
        <v>273.759</v>
      </c>
      <c r="KG121" s="21" t="n">
        <v>276.211</v>
      </c>
      <c r="KH121" s="21" t="n">
        <v>281.551</v>
      </c>
      <c r="KI121" s="21" t="n">
        <v>123.405</v>
      </c>
      <c r="KJ121" s="21" t="n">
        <v>223.715</v>
      </c>
      <c r="KK121" s="21" t="n">
        <v>177.669</v>
      </c>
      <c r="KL121" s="21" t="n">
        <v>173.834</v>
      </c>
      <c r="KM121" s="21" t="n">
        <v>165.006</v>
      </c>
      <c r="KN121" s="21" t="n">
        <v>163.212</v>
      </c>
      <c r="KO121" s="21" t="n">
        <v>319.443</v>
      </c>
      <c r="KP121" s="21" t="n">
        <v>122.747</v>
      </c>
      <c r="KQ121" s="21" t="n">
        <v>53.217</v>
      </c>
      <c r="KR121" s="21" t="n">
        <v>123.164</v>
      </c>
      <c r="KS121" s="21" t="n">
        <v>279.829</v>
      </c>
      <c r="KT121" s="21" t="n">
        <v>299.467</v>
      </c>
      <c r="KU121" s="21" t="n">
        <v>105.635</v>
      </c>
      <c r="KV121" s="21" t="n">
        <v>36.164</v>
      </c>
      <c r="KW121" s="21" t="n">
        <v>278.73</v>
      </c>
      <c r="KX121" s="21" t="n">
        <v>232.338</v>
      </c>
      <c r="KY121" s="21" t="n">
        <v>292.266</v>
      </c>
      <c r="KZ121" s="21" t="n">
        <v>228.65</v>
      </c>
      <c r="LA121" s="21" t="n">
        <v>293.923</v>
      </c>
      <c r="LB121" s="21" t="n">
        <v>141.739</v>
      </c>
      <c r="LC121" s="21" t="n">
        <v>419.326</v>
      </c>
      <c r="LD121" s="21" t="n">
        <v>83.134</v>
      </c>
      <c r="LE121" s="21" t="n">
        <v>152.261</v>
      </c>
      <c r="LF121" s="21" t="n">
        <v>426.492</v>
      </c>
      <c r="LG121" s="21" t="n">
        <v>410.215</v>
      </c>
      <c r="LH121" s="21" t="n">
        <v>424.227</v>
      </c>
      <c r="LI121" s="21" t="n">
        <v>394.271</v>
      </c>
      <c r="LJ121" s="21" t="n">
        <v>423.101</v>
      </c>
      <c r="LK121" s="21" t="n">
        <v>130.791</v>
      </c>
      <c r="LL121" s="21" t="n">
        <v>442.69</v>
      </c>
      <c r="LM121" s="21" t="n">
        <v>263.049</v>
      </c>
      <c r="LN121" s="21" t="n">
        <v>31.896</v>
      </c>
      <c r="LO121" s="21" t="n">
        <v>154.664</v>
      </c>
    </row>
    <row r="122">
      <c r="A122" s="22" t="n">
        <v>45658</v>
      </c>
      <c r="B122" s="21" t="n">
        <v>318.961</v>
      </c>
      <c r="C122" s="21" t="n">
        <v>332.626</v>
      </c>
      <c r="D122" s="21" t="n">
        <v>335.441</v>
      </c>
      <c r="E122" s="21" t="n">
        <v>310.817</v>
      </c>
      <c r="F122" s="21" t="n">
        <v>357.043</v>
      </c>
      <c r="G122" s="21" t="n">
        <v>283.87</v>
      </c>
      <c r="H122" s="21" t="n">
        <v>323.42</v>
      </c>
      <c r="I122" s="21" t="n">
        <v>270.976</v>
      </c>
      <c r="J122" s="21" t="n">
        <v>290.33</v>
      </c>
      <c r="K122" s="21" t="n">
        <v>399.042</v>
      </c>
      <c r="L122" s="21" t="n">
        <v>238.703</v>
      </c>
      <c r="M122" s="21" t="n">
        <v>241.181</v>
      </c>
      <c r="N122" s="21" t="n">
        <v>375.511</v>
      </c>
      <c r="O122" s="21" t="n">
        <v>359.512</v>
      </c>
      <c r="P122" s="21" t="n">
        <v>356.475</v>
      </c>
      <c r="Q122" s="21" t="n">
        <v>432.56</v>
      </c>
      <c r="R122" s="21" t="n">
        <v>347.967</v>
      </c>
      <c r="S122" s="21" t="n">
        <v>339.696</v>
      </c>
      <c r="T122" s="21" t="n">
        <v>332.284</v>
      </c>
      <c r="U122" s="21" t="n">
        <v>342.635</v>
      </c>
      <c r="V122" s="21" t="n">
        <v>439.331</v>
      </c>
      <c r="W122" s="21" t="n">
        <v>373.336</v>
      </c>
      <c r="X122" s="21" t="n">
        <v>360.503</v>
      </c>
      <c r="Y122" s="21" t="n">
        <v>296.83</v>
      </c>
      <c r="Z122" s="21" t="n">
        <v>271.841</v>
      </c>
      <c r="AA122" s="21" t="n">
        <v>206.187</v>
      </c>
      <c r="AB122" s="21" t="n">
        <v>391.388</v>
      </c>
      <c r="AC122" s="21" t="n">
        <v>187.292</v>
      </c>
      <c r="AD122" s="21" t="n">
        <v>253.879</v>
      </c>
      <c r="AE122" s="21" t="n">
        <v>281.759</v>
      </c>
      <c r="AF122" s="21" t="n">
        <v>242.903</v>
      </c>
      <c r="AG122" s="21" t="n">
        <v>162.012</v>
      </c>
      <c r="AH122" s="21" t="n">
        <v>287.199</v>
      </c>
      <c r="AI122" s="21" t="n">
        <v>303.261</v>
      </c>
      <c r="AJ122" s="21" t="n">
        <v>186.408</v>
      </c>
      <c r="AK122" s="21" t="n">
        <v>309.523</v>
      </c>
      <c r="AL122" s="21" t="n">
        <v>198.665</v>
      </c>
      <c r="AM122" s="21" t="n">
        <v>332.905</v>
      </c>
      <c r="AN122" s="21" t="n">
        <v>294.966</v>
      </c>
      <c r="AO122" s="21" t="n">
        <v>202.327</v>
      </c>
      <c r="AP122" s="21" t="n">
        <v>351.718</v>
      </c>
      <c r="AQ122" s="21" t="n">
        <v>221.681</v>
      </c>
      <c r="AR122" s="21" t="n">
        <v>173.252</v>
      </c>
      <c r="AS122" s="21" t="n">
        <v>246.924</v>
      </c>
      <c r="AT122" s="21" t="n">
        <v>373.151</v>
      </c>
      <c r="AU122" s="21" t="n">
        <v>422.933</v>
      </c>
      <c r="AV122" s="21" t="n">
        <v>272.038</v>
      </c>
      <c r="AW122" s="21" t="n">
        <v>178.401</v>
      </c>
      <c r="AX122" s="21" t="n">
        <v>253.481</v>
      </c>
      <c r="AY122" s="21" t="n">
        <v>185.81</v>
      </c>
      <c r="AZ122" s="21" t="n">
        <v>266.671</v>
      </c>
      <c r="BA122" s="21" t="n">
        <v>280.38</v>
      </c>
      <c r="BB122" s="21" t="n">
        <v>191.938</v>
      </c>
      <c r="BC122" s="21" t="n">
        <v>352.833</v>
      </c>
      <c r="BD122" s="21" t="n">
        <v>397.565</v>
      </c>
      <c r="BE122" s="21" t="n">
        <v>416.584</v>
      </c>
      <c r="BF122" s="21" t="n">
        <v>354.231</v>
      </c>
      <c r="BG122" s="21" t="n">
        <v>205.086</v>
      </c>
      <c r="BH122" s="21" t="n">
        <v>297.586</v>
      </c>
      <c r="BI122" s="21" t="n">
        <v>595.633</v>
      </c>
      <c r="BJ122" s="21" t="n">
        <v>144.929</v>
      </c>
      <c r="BK122" s="21" t="n">
        <v>376.825</v>
      </c>
      <c r="BL122" s="21" t="n">
        <v>427.029</v>
      </c>
      <c r="BM122" s="21" t="n">
        <v>394.974</v>
      </c>
      <c r="BN122" s="21" t="n">
        <v>348.026</v>
      </c>
      <c r="BO122" s="21" t="n">
        <v>374.663</v>
      </c>
      <c r="BP122" s="21" t="n">
        <v>203.487</v>
      </c>
      <c r="BQ122" s="21" t="n">
        <v>219.332</v>
      </c>
      <c r="BR122" s="21" t="n">
        <v>208.967</v>
      </c>
      <c r="BS122" s="21" t="n">
        <v>233.487</v>
      </c>
      <c r="BT122" s="21" t="n">
        <v>184.077</v>
      </c>
      <c r="BU122" s="21" t="n">
        <v>258.835</v>
      </c>
      <c r="BV122" s="21" t="n">
        <v>194.468</v>
      </c>
      <c r="BW122" s="21" t="n">
        <v>224.221</v>
      </c>
      <c r="BX122" s="21" t="n">
        <v>178.606</v>
      </c>
      <c r="BY122" s="21" t="n">
        <v>230.057</v>
      </c>
      <c r="BZ122" s="21" t="n">
        <v>158.505</v>
      </c>
      <c r="CA122" s="21" t="n">
        <v>146.346</v>
      </c>
      <c r="CB122" s="21" t="n">
        <v>243.07</v>
      </c>
      <c r="CC122" s="21" t="n">
        <v>254.884</v>
      </c>
      <c r="CD122" s="21" t="n">
        <v>161.974</v>
      </c>
      <c r="CE122" s="21" t="n">
        <v>274.678</v>
      </c>
      <c r="CF122" s="21" t="n">
        <v>298.228</v>
      </c>
      <c r="CG122" s="21" t="n">
        <v>273.071</v>
      </c>
      <c r="CH122" s="21" t="n">
        <v>204.075</v>
      </c>
      <c r="CI122" s="21" t="n">
        <v>196.043</v>
      </c>
      <c r="CJ122" s="21" t="n">
        <v>316.49</v>
      </c>
      <c r="CK122" s="21" t="n">
        <v>281.022</v>
      </c>
      <c r="CL122" s="21" t="n">
        <v>319.057</v>
      </c>
      <c r="CM122" s="21" t="n">
        <v>464.389</v>
      </c>
      <c r="CN122" s="21" t="n">
        <v>174.503</v>
      </c>
      <c r="CO122" s="21" t="n">
        <v>225.937</v>
      </c>
      <c r="CP122" s="21" t="n">
        <v>287.978</v>
      </c>
      <c r="CQ122" s="21" t="n">
        <v>315.001</v>
      </c>
      <c r="CR122" s="21" t="n">
        <v>213.46</v>
      </c>
      <c r="CS122" s="21" t="n">
        <v>311.111</v>
      </c>
      <c r="CT122" s="21" t="n">
        <v>314.288</v>
      </c>
      <c r="CU122" s="21" t="n">
        <v>188.292</v>
      </c>
      <c r="CV122" s="21" t="n">
        <v>194.322</v>
      </c>
      <c r="CW122" s="21" t="n">
        <v>184.524</v>
      </c>
      <c r="CX122" s="21" t="n">
        <v>385.89</v>
      </c>
      <c r="CY122" s="21" t="n">
        <v>169.872</v>
      </c>
      <c r="CZ122" s="21" t="n">
        <v>157.779</v>
      </c>
      <c r="DA122" s="21" t="n">
        <v>375.532</v>
      </c>
      <c r="DB122" s="21" t="n">
        <v>230.402</v>
      </c>
      <c r="DC122" s="21" t="n">
        <v>206.192</v>
      </c>
      <c r="DD122" s="21" t="n">
        <v>202.359</v>
      </c>
      <c r="DE122" s="21" t="n">
        <v>250.802</v>
      </c>
      <c r="DF122" s="21" t="n">
        <v>292.771</v>
      </c>
      <c r="DG122" s="21" t="n">
        <v>229.904</v>
      </c>
      <c r="DH122" s="21" t="n">
        <v>276.501</v>
      </c>
      <c r="DI122" s="21" t="n">
        <v>210.302</v>
      </c>
      <c r="DJ122" s="21" t="n">
        <v>218.875</v>
      </c>
      <c r="DK122" s="21" t="n">
        <v>205.204</v>
      </c>
      <c r="DL122" s="21" t="n">
        <v>182.121</v>
      </c>
      <c r="DM122" s="21" t="n">
        <v>435.549</v>
      </c>
      <c r="DN122" s="21" t="n">
        <v>242.132</v>
      </c>
      <c r="DO122" s="21" t="n">
        <v>341.068</v>
      </c>
      <c r="DP122" s="21" t="n">
        <v>409.579</v>
      </c>
      <c r="DQ122" s="21" t="n">
        <v>429.087</v>
      </c>
      <c r="DR122" s="21" t="n">
        <v>191.639</v>
      </c>
      <c r="DS122" s="21" t="n">
        <v>657.302</v>
      </c>
      <c r="DT122" s="21" t="n">
        <v>393.309</v>
      </c>
      <c r="DU122" s="21" t="n">
        <v>421.094</v>
      </c>
      <c r="DV122" s="21" t="n">
        <v>421.107</v>
      </c>
      <c r="DW122" s="21" t="n">
        <v>321.12</v>
      </c>
      <c r="DX122" s="21" t="n">
        <v>268.31</v>
      </c>
      <c r="DY122" s="21" t="n">
        <v>368.065</v>
      </c>
      <c r="DZ122" s="21" t="n">
        <v>360.827</v>
      </c>
      <c r="EA122" s="21" t="n">
        <v>435.18</v>
      </c>
      <c r="EB122" s="21" t="n">
        <v>273.151</v>
      </c>
      <c r="EC122" s="21" t="n">
        <v>282.369</v>
      </c>
      <c r="ED122" s="21" t="n">
        <v>240.678</v>
      </c>
      <c r="EE122" s="21" t="n">
        <v>310.239</v>
      </c>
      <c r="EF122" s="21" t="n">
        <v>712.535</v>
      </c>
      <c r="EG122" s="21" t="n">
        <v>629.803</v>
      </c>
      <c r="EH122" s="21" t="n">
        <v>148.491</v>
      </c>
      <c r="EI122" s="21" t="n">
        <v>60.162</v>
      </c>
      <c r="EJ122" s="21" t="n">
        <v>83.15900000000001</v>
      </c>
      <c r="EK122" s="21" t="n">
        <v>40.712</v>
      </c>
      <c r="EL122" s="21" t="n">
        <v>130.144</v>
      </c>
      <c r="EM122" s="21" t="n">
        <v>74.79000000000001</v>
      </c>
      <c r="EN122" s="21" t="n">
        <v>82.5</v>
      </c>
      <c r="EO122" s="21" t="n">
        <v>86.821</v>
      </c>
      <c r="EP122" s="21" t="n">
        <v>105.58</v>
      </c>
      <c r="EQ122" s="21" t="n">
        <v>72.95699999999999</v>
      </c>
      <c r="ER122" s="21" t="n">
        <v>54.472</v>
      </c>
      <c r="ES122" s="21" t="n">
        <v>160.657</v>
      </c>
      <c r="ET122" s="21" t="n">
        <v>77.142</v>
      </c>
      <c r="EU122" s="21" t="n">
        <v>110.522</v>
      </c>
      <c r="EV122" s="21" t="n">
        <v>120.801</v>
      </c>
      <c r="EW122" s="21" t="n">
        <v>106.661</v>
      </c>
      <c r="EX122" s="21" t="n">
        <v>236.64</v>
      </c>
      <c r="EY122" s="21" t="n">
        <v>151.727</v>
      </c>
      <c r="EZ122" s="21" t="n">
        <v>140.377</v>
      </c>
      <c r="FA122" s="21" t="n">
        <v>207.758</v>
      </c>
      <c r="FB122" s="21" t="n">
        <v>130.436</v>
      </c>
      <c r="FC122" s="21" t="n">
        <v>129.074</v>
      </c>
      <c r="FD122" s="21" t="n">
        <v>130.994</v>
      </c>
      <c r="FE122" s="21" t="n">
        <v>97.907</v>
      </c>
      <c r="FF122" s="21" t="n">
        <v>183.521</v>
      </c>
      <c r="FG122" s="21" t="n">
        <v>80.009</v>
      </c>
      <c r="FH122" s="21" t="n">
        <v>137.465</v>
      </c>
      <c r="FI122" s="21" t="n">
        <v>119.412</v>
      </c>
      <c r="FJ122" s="21" t="n">
        <v>108.009</v>
      </c>
      <c r="FK122" s="21" t="n">
        <v>109.308</v>
      </c>
      <c r="FL122" s="21" t="n">
        <v>101.331</v>
      </c>
      <c r="FM122" s="21" t="n">
        <v>105.117</v>
      </c>
      <c r="FN122" s="21" t="n">
        <v>73.895</v>
      </c>
      <c r="FO122" s="21" t="n">
        <v>114.376</v>
      </c>
      <c r="FP122" s="21" t="n">
        <v>102.855</v>
      </c>
      <c r="FQ122" s="21" t="n">
        <v>145.336</v>
      </c>
      <c r="FR122" s="21" t="n">
        <v>149.933</v>
      </c>
      <c r="FS122" s="21" t="n">
        <v>161.311</v>
      </c>
      <c r="FT122" s="21" t="n">
        <v>133.071</v>
      </c>
      <c r="FU122" s="21" t="n">
        <v>123.423</v>
      </c>
      <c r="FV122" s="21" t="n">
        <v>195.103</v>
      </c>
      <c r="FW122" s="21" t="n">
        <v>161.139</v>
      </c>
      <c r="FX122" s="21" t="n">
        <v>192.281</v>
      </c>
      <c r="FY122" s="21" t="n">
        <v>276.016</v>
      </c>
      <c r="FZ122" s="21" t="n">
        <v>275.345</v>
      </c>
      <c r="GA122" s="21" t="n">
        <v>126.122</v>
      </c>
      <c r="GB122" s="21" t="n">
        <v>178.538</v>
      </c>
      <c r="GC122" s="21" t="n"/>
      <c r="GD122" s="21" t="n">
        <v>173.231</v>
      </c>
      <c r="GE122" s="21" t="n">
        <v>190.649</v>
      </c>
      <c r="GF122" s="21" t="n"/>
      <c r="GG122" s="21" t="n">
        <v>184.891</v>
      </c>
      <c r="GH122" s="21" t="n"/>
      <c r="GI122" s="21" t="n">
        <v>161.046</v>
      </c>
      <c r="GJ122" s="21" t="n">
        <v>297.614</v>
      </c>
      <c r="GK122" s="21" t="n">
        <v>296.78</v>
      </c>
      <c r="GL122" s="21" t="n">
        <v>289.402</v>
      </c>
      <c r="GM122" s="21" t="n">
        <v>327.834</v>
      </c>
      <c r="GN122" s="21" t="n">
        <v>323.8</v>
      </c>
      <c r="GO122" s="21" t="n">
        <v>265.623</v>
      </c>
      <c r="GP122" s="21" t="n">
        <v>182.985</v>
      </c>
      <c r="GQ122" s="21" t="n">
        <v>154.907</v>
      </c>
      <c r="GR122" s="21" t="n">
        <v>419.417</v>
      </c>
      <c r="GS122" s="21" t="n">
        <v>278.84</v>
      </c>
      <c r="GT122" s="21" t="n">
        <v>888.526</v>
      </c>
      <c r="GU122" s="21" t="n">
        <v>243.988</v>
      </c>
      <c r="GV122" s="21" t="n">
        <v>282.676</v>
      </c>
      <c r="GW122" s="21" t="n">
        <v>271.847</v>
      </c>
      <c r="GX122" s="21" t="n">
        <v>273.591</v>
      </c>
      <c r="GY122" s="21" t="n">
        <v>157.099</v>
      </c>
      <c r="GZ122" s="21" t="n"/>
      <c r="HA122" s="21" t="n">
        <v>66.14700000000001</v>
      </c>
      <c r="HB122" s="21" t="n">
        <v>571.366</v>
      </c>
      <c r="HC122" s="21" t="n">
        <v>417.214</v>
      </c>
      <c r="HD122" s="21" t="n">
        <v>136.764</v>
      </c>
      <c r="HE122" s="21" t="n">
        <v>572.655</v>
      </c>
      <c r="HF122" s="21" t="n">
        <v>110.069</v>
      </c>
      <c r="HG122" s="21" t="n">
        <v>620.949</v>
      </c>
      <c r="HH122" s="21" t="n">
        <v>433.646</v>
      </c>
      <c r="HI122" s="21" t="n">
        <v>424.125</v>
      </c>
      <c r="HJ122" s="21" t="n">
        <v>602.596</v>
      </c>
      <c r="HK122" s="21" t="n">
        <v>213.203</v>
      </c>
      <c r="HL122" s="21" t="n">
        <v>264.112</v>
      </c>
      <c r="HM122" s="21" t="n">
        <v>100.864</v>
      </c>
      <c r="HN122" s="21" t="n">
        <v>422.429</v>
      </c>
      <c r="HO122" s="21" t="n">
        <v>405.165</v>
      </c>
      <c r="HP122" s="21" t="n">
        <v>928.427</v>
      </c>
      <c r="HQ122" s="21" t="n">
        <v>292.362</v>
      </c>
      <c r="HR122" s="21" t="n">
        <v>140.047</v>
      </c>
      <c r="HS122" s="21" t="n">
        <v>119.106</v>
      </c>
      <c r="HT122" s="21" t="n">
        <v>99.67</v>
      </c>
      <c r="HU122" s="21" t="n">
        <v>593.918</v>
      </c>
      <c r="HV122" s="21" t="n">
        <v>102.548</v>
      </c>
      <c r="HW122" s="21" t="n">
        <v>24.525</v>
      </c>
      <c r="HX122" s="21" t="n">
        <v>225.2</v>
      </c>
      <c r="HY122" s="21" t="n">
        <v>239.441</v>
      </c>
      <c r="HZ122" s="21" t="n">
        <v>189.824</v>
      </c>
      <c r="IA122" s="21" t="n">
        <v>131.245</v>
      </c>
      <c r="IB122" s="21" t="n">
        <v>353.069</v>
      </c>
      <c r="IC122" s="21" t="n">
        <v>259.313</v>
      </c>
      <c r="ID122" s="21" t="n">
        <v>379.168</v>
      </c>
      <c r="IE122" s="21" t="n">
        <v>122.501</v>
      </c>
      <c r="IF122" s="21" t="n">
        <v>169.455</v>
      </c>
      <c r="IG122" s="21" t="n">
        <v>83.434</v>
      </c>
      <c r="IH122" s="21" t="n">
        <v>85.42</v>
      </c>
      <c r="II122" s="21" t="n">
        <v>68.574</v>
      </c>
      <c r="IJ122" s="21" t="n">
        <v>28.232</v>
      </c>
      <c r="IK122" s="21" t="n">
        <v>32.837</v>
      </c>
      <c r="IL122" s="21" t="n">
        <v>27.676</v>
      </c>
      <c r="IM122" s="21" t="n">
        <v>37.417</v>
      </c>
      <c r="IN122" s="21" t="n">
        <v>106.987</v>
      </c>
      <c r="IO122" s="21" t="n">
        <v>123.003</v>
      </c>
      <c r="IP122" s="21" t="n">
        <v>207.502</v>
      </c>
      <c r="IQ122" s="21" t="n">
        <v>168.308</v>
      </c>
      <c r="IR122" s="21" t="n">
        <v>478.869</v>
      </c>
      <c r="IS122" s="21" t="n">
        <v>229.693</v>
      </c>
      <c r="IT122" s="21" t="n">
        <v>278.682</v>
      </c>
      <c r="IU122" s="21" t="n">
        <v>406.521</v>
      </c>
      <c r="IV122" s="21" t="n">
        <v>290.137</v>
      </c>
      <c r="IW122" s="21" t="n">
        <v>146.105</v>
      </c>
      <c r="IX122" s="21" t="n">
        <v>305.847</v>
      </c>
      <c r="IY122" s="21" t="n">
        <v>757.192</v>
      </c>
      <c r="IZ122" s="21" t="n">
        <v>879.588</v>
      </c>
      <c r="JA122" s="21" t="n">
        <v>948.006</v>
      </c>
      <c r="JB122" s="21" t="n">
        <v>100.354</v>
      </c>
      <c r="JC122" s="21" t="n">
        <v>378.748</v>
      </c>
      <c r="JD122" s="21" t="n">
        <v>277.052</v>
      </c>
      <c r="JE122" s="21" t="n">
        <v>73.193</v>
      </c>
      <c r="JF122" s="21" t="n">
        <v>249.4</v>
      </c>
      <c r="JG122" s="21" t="n">
        <v>387.878</v>
      </c>
      <c r="JH122" s="21" t="n">
        <v>447.938</v>
      </c>
      <c r="JI122" s="21" t="n">
        <v>68.783</v>
      </c>
      <c r="JJ122" s="21" t="n">
        <v>100.723</v>
      </c>
      <c r="JK122" s="21" t="n">
        <v>34.237</v>
      </c>
      <c r="JL122" s="21" t="n">
        <v>84.886</v>
      </c>
      <c r="JM122" s="21" t="n">
        <v>99.806</v>
      </c>
      <c r="JN122" s="21" t="n">
        <v>565.563</v>
      </c>
      <c r="JO122" s="21" t="n">
        <v>100.411</v>
      </c>
      <c r="JP122" s="21" t="n">
        <v>667.473</v>
      </c>
      <c r="JQ122" s="21" t="n">
        <v>284.302</v>
      </c>
      <c r="JR122" s="21" t="n">
        <v>179.259</v>
      </c>
      <c r="JS122" s="21" t="n">
        <v>553.789</v>
      </c>
      <c r="JT122" s="21" t="n"/>
      <c r="JU122" s="21" t="n">
        <v>399.771</v>
      </c>
      <c r="JV122" s="21" t="n">
        <v>233.803</v>
      </c>
      <c r="JW122" s="21" t="n">
        <v>416.216</v>
      </c>
      <c r="JX122" s="21" t="n">
        <v>313.721</v>
      </c>
      <c r="JY122" s="21" t="n">
        <v>85.652</v>
      </c>
      <c r="JZ122" s="21" t="n">
        <v>202.686</v>
      </c>
      <c r="KA122" s="21" t="n">
        <v>306.769</v>
      </c>
      <c r="KB122" s="21" t="n">
        <v>325.345</v>
      </c>
      <c r="KC122" s="21" t="n">
        <v>316.399</v>
      </c>
      <c r="KD122" s="21" t="n">
        <v>324.638</v>
      </c>
      <c r="KE122" s="21" t="n">
        <v>286.992</v>
      </c>
      <c r="KF122" s="21" t="n">
        <v>275.133</v>
      </c>
      <c r="KG122" s="21" t="n">
        <v>277.539</v>
      </c>
      <c r="KH122" s="21" t="n">
        <v>282.694</v>
      </c>
      <c r="KI122" s="21" t="n">
        <v>122.217</v>
      </c>
      <c r="KJ122" s="21" t="n">
        <v>224.479</v>
      </c>
      <c r="KK122" s="21" t="n">
        <v>178.298</v>
      </c>
      <c r="KL122" s="21" t="n">
        <v>174.444</v>
      </c>
      <c r="KM122" s="21" t="n">
        <v>165.508</v>
      </c>
      <c r="KN122" s="21" t="n">
        <v>163.376</v>
      </c>
      <c r="KO122" s="21" t="n">
        <v>321.591</v>
      </c>
      <c r="KP122" s="21" t="n">
        <v>122.907</v>
      </c>
      <c r="KQ122" s="21" t="n">
        <v>53.244</v>
      </c>
      <c r="KR122" s="21" t="n">
        <v>123.606</v>
      </c>
      <c r="KS122" s="21" t="n">
        <v>282.272</v>
      </c>
      <c r="KT122" s="21" t="n">
        <v>303.457</v>
      </c>
      <c r="KU122" s="21" t="n">
        <v>105.519</v>
      </c>
      <c r="KV122" s="21" t="n">
        <v>36.16</v>
      </c>
      <c r="KW122" s="21" t="n">
        <v>279.596</v>
      </c>
      <c r="KX122" s="21" t="n">
        <v>233.057</v>
      </c>
      <c r="KY122" s="21" t="n">
        <v>294.158</v>
      </c>
      <c r="KZ122" s="21" t="n">
        <v>229.381</v>
      </c>
      <c r="LA122" s="21" t="n">
        <v>295.968</v>
      </c>
      <c r="LB122" s="21" t="n">
        <v>141.994</v>
      </c>
      <c r="LC122" s="21" t="n">
        <v>421.537</v>
      </c>
      <c r="LD122" s="21" t="n">
        <v>83.426</v>
      </c>
      <c r="LE122" s="21" t="n">
        <v>154.158</v>
      </c>
      <c r="LF122" s="21" t="n">
        <v>427.923</v>
      </c>
      <c r="LG122" s="21" t="n">
        <v>412.139</v>
      </c>
      <c r="LH122" s="21" t="n">
        <v>426.204</v>
      </c>
      <c r="LI122" s="21" t="n">
        <v>395.801</v>
      </c>
      <c r="LJ122" s="21" t="n">
        <v>424.748</v>
      </c>
      <c r="LK122" s="21" t="n">
        <v>131.647</v>
      </c>
      <c r="LL122" s="21" t="n">
        <v>449.76</v>
      </c>
      <c r="LM122" s="21" t="n">
        <v>264.205</v>
      </c>
      <c r="LN122" s="21" t="n">
        <v>31.785</v>
      </c>
      <c r="LO122" s="21" t="n">
        <v>157.157</v>
      </c>
    </row>
    <row r="123">
      <c r="A123" s="22" t="n">
        <v>45689</v>
      </c>
      <c r="B123" s="21" t="n">
        <v>319.679</v>
      </c>
      <c r="C123" s="21" t="n">
        <v>333.302</v>
      </c>
      <c r="D123" s="21" t="n">
        <v>336.065</v>
      </c>
      <c r="E123" s="21" t="n">
        <v>310.955</v>
      </c>
      <c r="F123" s="21" t="n">
        <v>357.76</v>
      </c>
      <c r="G123" s="21" t="n">
        <v>286.564</v>
      </c>
      <c r="H123" s="21" t="n">
        <v>324.465</v>
      </c>
      <c r="I123" s="21" t="n">
        <v>276.62</v>
      </c>
      <c r="J123" s="21" t="n">
        <v>290.558</v>
      </c>
      <c r="K123" s="21" t="n">
        <v>399.682</v>
      </c>
      <c r="L123" s="21" t="n">
        <v>239.656</v>
      </c>
      <c r="M123" s="21" t="n">
        <v>242.147</v>
      </c>
      <c r="N123" s="21" t="n">
        <v>373.678</v>
      </c>
      <c r="O123" s="21" t="n">
        <v>350.868</v>
      </c>
      <c r="P123" s="21" t="n">
        <v>356.455</v>
      </c>
      <c r="Q123" s="21" t="n">
        <v>428.243</v>
      </c>
      <c r="R123" s="21" t="n">
        <v>350.369</v>
      </c>
      <c r="S123" s="21" t="n">
        <v>344.58</v>
      </c>
      <c r="T123" s="21" t="n">
        <v>333.755</v>
      </c>
      <c r="U123" s="21" t="n">
        <v>344.891</v>
      </c>
      <c r="V123" s="21" t="n">
        <v>448.385</v>
      </c>
      <c r="W123" s="21" t="n">
        <v>382.718</v>
      </c>
      <c r="X123" s="21" t="n">
        <v>368.256</v>
      </c>
      <c r="Y123" s="21" t="n">
        <v>298.744</v>
      </c>
      <c r="Z123" s="21" t="n">
        <v>269.249</v>
      </c>
      <c r="AA123" s="21" t="n">
        <v>204.133</v>
      </c>
      <c r="AB123" s="21" t="n">
        <v>382.596</v>
      </c>
      <c r="AC123" s="21" t="n">
        <v>188.787</v>
      </c>
      <c r="AD123" s="21" t="n">
        <v>247.924</v>
      </c>
      <c r="AE123" s="21" t="n">
        <v>273.382</v>
      </c>
      <c r="AF123" s="21" t="n">
        <v>239.276</v>
      </c>
      <c r="AG123" s="21" t="n">
        <v>159.408</v>
      </c>
      <c r="AH123" s="21" t="n">
        <v>286.596</v>
      </c>
      <c r="AI123" s="21" t="n">
        <v>302.539</v>
      </c>
      <c r="AJ123" s="21" t="n">
        <v>185.575</v>
      </c>
      <c r="AK123" s="21" t="n">
        <v>309.326</v>
      </c>
      <c r="AL123" s="21" t="n">
        <v>199.252</v>
      </c>
      <c r="AM123" s="21" t="n">
        <v>330.784</v>
      </c>
      <c r="AN123" s="21" t="n">
        <v>296.486</v>
      </c>
      <c r="AO123" s="21" t="n">
        <v>201.374</v>
      </c>
      <c r="AP123" s="21" t="n">
        <v>352.505</v>
      </c>
      <c r="AQ123" s="21" t="n">
        <v>221.916</v>
      </c>
      <c r="AR123" s="21" t="n">
        <v>174.627</v>
      </c>
      <c r="AS123" s="21" t="n">
        <v>247.142</v>
      </c>
      <c r="AT123" s="21" t="n">
        <v>379.375</v>
      </c>
      <c r="AU123" s="21" t="n">
        <v>462.043</v>
      </c>
      <c r="AV123" s="21" t="n">
        <v>269.432</v>
      </c>
      <c r="AW123" s="21" t="n">
        <v>177.38</v>
      </c>
      <c r="AX123" s="21" t="n">
        <v>254.764</v>
      </c>
      <c r="AY123" s="21" t="n">
        <v>183.808</v>
      </c>
      <c r="AZ123" s="21" t="n">
        <v>263.368</v>
      </c>
      <c r="BA123" s="21" t="n">
        <v>275.091</v>
      </c>
      <c r="BB123" s="21" t="n">
        <v>192.356</v>
      </c>
      <c r="BC123" s="21" t="n">
        <v>351.548</v>
      </c>
      <c r="BD123" s="21" t="n">
        <v>395.579</v>
      </c>
      <c r="BE123" s="21" t="n">
        <v>414.301</v>
      </c>
      <c r="BF123" s="21" t="n">
        <v>354.087</v>
      </c>
      <c r="BG123" s="21" t="n">
        <v>205.231</v>
      </c>
      <c r="BH123" s="21" t="n">
        <v>295.976</v>
      </c>
      <c r="BI123" s="21" t="n">
        <v>596.671</v>
      </c>
      <c r="BJ123" s="21" t="n">
        <v>144.465</v>
      </c>
      <c r="BK123" s="21" t="n">
        <v>375.134</v>
      </c>
      <c r="BL123" s="21" t="n">
        <v>423.994</v>
      </c>
      <c r="BM123" s="21" t="n">
        <v>400.268</v>
      </c>
      <c r="BN123" s="21" t="n">
        <v>341.491</v>
      </c>
      <c r="BO123" s="21" t="n">
        <v>374.528</v>
      </c>
      <c r="BP123" s="21" t="n">
        <v>204.111</v>
      </c>
      <c r="BQ123" s="21" t="n">
        <v>219.011</v>
      </c>
      <c r="BR123" s="21" t="n">
        <v>205.949</v>
      </c>
      <c r="BS123" s="21" t="n">
        <v>235.16</v>
      </c>
      <c r="BT123" s="21" t="n">
        <v>185.89</v>
      </c>
      <c r="BU123" s="21" t="n">
        <v>261.317</v>
      </c>
      <c r="BV123" s="21" t="n">
        <v>193.715</v>
      </c>
      <c r="BW123" s="21" t="n">
        <v>223.891</v>
      </c>
      <c r="BX123" s="21" t="n">
        <v>177.395</v>
      </c>
      <c r="BY123" s="21" t="n">
        <v>229.358</v>
      </c>
      <c r="BZ123" s="21" t="n">
        <v>157.568</v>
      </c>
      <c r="CA123" s="21" t="n">
        <v>147.305</v>
      </c>
      <c r="CB123" s="21" t="n">
        <v>247.336</v>
      </c>
      <c r="CC123" s="21" t="n">
        <v>259.769</v>
      </c>
      <c r="CD123" s="21" t="n">
        <v>162.74</v>
      </c>
      <c r="CE123" s="21" t="n">
        <v>273.624</v>
      </c>
      <c r="CF123" s="21" t="n">
        <v>297.126</v>
      </c>
      <c r="CG123" s="21" t="n">
        <v>272.186</v>
      </c>
      <c r="CH123" s="21" t="n">
        <v>203.726</v>
      </c>
      <c r="CI123" s="21" t="n">
        <v>194.83</v>
      </c>
      <c r="CJ123" s="21" t="n">
        <v>315.445</v>
      </c>
      <c r="CK123" s="21" t="n">
        <v>282.09</v>
      </c>
      <c r="CL123" s="21" t="n">
        <v>319.618</v>
      </c>
      <c r="CM123" s="21" t="n">
        <v>467.146</v>
      </c>
      <c r="CN123" s="21" t="n">
        <v>173.302</v>
      </c>
      <c r="CO123" s="21" t="n">
        <v>224.384</v>
      </c>
      <c r="CP123" s="21" t="n">
        <v>286.843</v>
      </c>
      <c r="CQ123" s="21" t="n">
        <v>312.795</v>
      </c>
      <c r="CR123" s="21" t="n">
        <v>211.018</v>
      </c>
      <c r="CS123" s="21" t="n">
        <v>309.124</v>
      </c>
      <c r="CT123" s="21" t="n">
        <v>313.777</v>
      </c>
      <c r="CU123" s="21" t="n">
        <v>186.93</v>
      </c>
      <c r="CV123" s="21" t="n">
        <v>204.382</v>
      </c>
      <c r="CW123" s="21" t="n">
        <v>186.265</v>
      </c>
      <c r="CX123" s="21" t="n">
        <v>385.404</v>
      </c>
      <c r="CY123" s="21" t="n">
        <v>169.539</v>
      </c>
      <c r="CZ123" s="21" t="n">
        <v>157.208</v>
      </c>
      <c r="DA123" s="21" t="n">
        <v>376.991</v>
      </c>
      <c r="DB123" s="21" t="n">
        <v>231.306</v>
      </c>
      <c r="DC123" s="21" t="n">
        <v>207.247</v>
      </c>
      <c r="DD123" s="21" t="n">
        <v>202.543</v>
      </c>
      <c r="DE123" s="21" t="n">
        <v>252.712</v>
      </c>
      <c r="DF123" s="21" t="n">
        <v>294.211</v>
      </c>
      <c r="DG123" s="21" t="n">
        <v>229.979</v>
      </c>
      <c r="DH123" s="21" t="n">
        <v>278.168</v>
      </c>
      <c r="DI123" s="21" t="n">
        <v>209.497</v>
      </c>
      <c r="DJ123" s="21" t="n">
        <v>217.527</v>
      </c>
      <c r="DK123" s="21" t="n">
        <v>205.156</v>
      </c>
      <c r="DL123" s="21" t="n">
        <v>182.837</v>
      </c>
      <c r="DM123" s="21" t="n">
        <v>437.767</v>
      </c>
      <c r="DN123" s="21" t="n">
        <v>245.88</v>
      </c>
      <c r="DO123" s="21" t="n">
        <v>342.357</v>
      </c>
      <c r="DP123" s="21" t="n">
        <v>410.793</v>
      </c>
      <c r="DQ123" s="21" t="n">
        <v>430.318</v>
      </c>
      <c r="DR123" s="21" t="n">
        <v>191.868</v>
      </c>
      <c r="DS123" s="21" t="n">
        <v>658.9400000000001</v>
      </c>
      <c r="DT123" s="21" t="n">
        <v>393.675</v>
      </c>
      <c r="DU123" s="21" t="n">
        <v>422.36</v>
      </c>
      <c r="DV123" s="21" t="n">
        <v>422.37</v>
      </c>
      <c r="DW123" s="21" t="n">
        <v>324.387</v>
      </c>
      <c r="DX123" s="21" t="n">
        <v>271.055</v>
      </c>
      <c r="DY123" s="21" t="n">
        <v>368.733</v>
      </c>
      <c r="DZ123" s="21" t="n">
        <v>361.617</v>
      </c>
      <c r="EA123" s="21" t="n">
        <v>433.297</v>
      </c>
      <c r="EB123" s="21" t="n">
        <v>276.05</v>
      </c>
      <c r="EC123" s="21" t="n">
        <v>284.448</v>
      </c>
      <c r="ED123" s="21" t="n">
        <v>245.739</v>
      </c>
      <c r="EE123" s="21" t="n">
        <v>313.344</v>
      </c>
      <c r="EF123" s="21" t="n">
        <v>716.6319999999999</v>
      </c>
      <c r="EG123" s="21" t="n">
        <v>641.938</v>
      </c>
      <c r="EH123" s="21" t="n">
        <v>149.094</v>
      </c>
      <c r="EI123" s="21" t="n">
        <v>60.971</v>
      </c>
      <c r="EJ123" s="21" t="n">
        <v>82.95099999999999</v>
      </c>
      <c r="EK123" s="21" t="n">
        <v>41.454</v>
      </c>
      <c r="EL123" s="21" t="n">
        <v>129.987</v>
      </c>
      <c r="EM123" s="21" t="n">
        <v>74.331</v>
      </c>
      <c r="EN123" s="21" t="n">
        <v>82.983</v>
      </c>
      <c r="EO123" s="21" t="n">
        <v>87.587</v>
      </c>
      <c r="EP123" s="21" t="n">
        <v>109.072</v>
      </c>
      <c r="EQ123" s="21" t="n">
        <v>73.04600000000001</v>
      </c>
      <c r="ER123" s="21" t="n">
        <v>54.485</v>
      </c>
      <c r="ES123" s="21" t="n">
        <v>163.316</v>
      </c>
      <c r="ET123" s="21" t="n">
        <v>75.65300000000001</v>
      </c>
      <c r="EU123" s="21" t="n">
        <v>111.568</v>
      </c>
      <c r="EV123" s="21" t="n">
        <v>120.985</v>
      </c>
      <c r="EW123" s="21" t="n">
        <v>107.934</v>
      </c>
      <c r="EX123" s="21" t="n">
        <v>235.551</v>
      </c>
      <c r="EY123" s="21" t="n">
        <v>150.2</v>
      </c>
      <c r="EZ123" s="21" t="n">
        <v>140.194</v>
      </c>
      <c r="FA123" s="21" t="n">
        <v>208.161</v>
      </c>
      <c r="FB123" s="21" t="n">
        <v>131.095</v>
      </c>
      <c r="FC123" s="21" t="n">
        <v>129.578</v>
      </c>
      <c r="FD123" s="21" t="n">
        <v>131.746</v>
      </c>
      <c r="FE123" s="21" t="n">
        <v>102.308</v>
      </c>
      <c r="FF123" s="21" t="n">
        <v>183.546</v>
      </c>
      <c r="FG123" s="21" t="n">
        <v>79.11199999999999</v>
      </c>
      <c r="FH123" s="21" t="n">
        <v>137.043</v>
      </c>
      <c r="FI123" s="21" t="n">
        <v>119.085</v>
      </c>
      <c r="FJ123" s="21" t="n">
        <v>108.612</v>
      </c>
      <c r="FK123" s="21" t="n">
        <v>109.578</v>
      </c>
      <c r="FL123" s="21" t="n">
        <v>101.2</v>
      </c>
      <c r="FM123" s="21" t="n">
        <v>105.052</v>
      </c>
      <c r="FN123" s="21" t="n">
        <v>74.345</v>
      </c>
      <c r="FO123" s="21" t="n">
        <v>114.35</v>
      </c>
      <c r="FP123" s="21" t="n">
        <v>105.901</v>
      </c>
      <c r="FQ123" s="21" t="n">
        <v>145.325</v>
      </c>
      <c r="FR123" s="21" t="n">
        <v>151.843</v>
      </c>
      <c r="FS123" s="21" t="n">
        <v>163.441</v>
      </c>
      <c r="FT123" s="21" t="n">
        <v>131.902</v>
      </c>
      <c r="FU123" s="21" t="n">
        <v>123.543</v>
      </c>
      <c r="FV123" s="21" t="n">
        <v>200.057</v>
      </c>
      <c r="FW123" s="21" t="n">
        <v>160.976</v>
      </c>
      <c r="FX123" s="21" t="n">
        <v>197.995</v>
      </c>
      <c r="FY123" s="21" t="n">
        <v>275.019</v>
      </c>
      <c r="FZ123" s="21" t="n">
        <v>274.896</v>
      </c>
      <c r="GA123" s="21" t="n">
        <v>126.282</v>
      </c>
      <c r="GB123" s="21" t="n">
        <v>178.473</v>
      </c>
      <c r="GC123" s="21" t="n"/>
      <c r="GD123" s="21" t="n">
        <v>173.464</v>
      </c>
      <c r="GE123" s="21" t="n">
        <v>190.531</v>
      </c>
      <c r="GF123" s="21" t="n"/>
      <c r="GG123" s="21" t="n">
        <v>186.557</v>
      </c>
      <c r="GH123" s="21" t="n"/>
      <c r="GI123" s="21" t="n">
        <v>159.238</v>
      </c>
      <c r="GJ123" s="21" t="n">
        <v>294.189</v>
      </c>
      <c r="GK123" s="21" t="n">
        <v>293.232</v>
      </c>
      <c r="GL123" s="21" t="n">
        <v>285.469</v>
      </c>
      <c r="GM123" s="21" t="n">
        <v>325.371</v>
      </c>
      <c r="GN123" s="21" t="n">
        <v>323</v>
      </c>
      <c r="GO123" s="21" t="n">
        <v>271.378</v>
      </c>
      <c r="GP123" s="21" t="n">
        <v>182.12</v>
      </c>
      <c r="GQ123" s="21" t="n">
        <v>154.097</v>
      </c>
      <c r="GR123" s="21" t="n">
        <v>420.48</v>
      </c>
      <c r="GS123" s="21" t="n">
        <v>280.71</v>
      </c>
      <c r="GT123" s="21" t="n">
        <v>889.027</v>
      </c>
      <c r="GU123" s="21" t="n">
        <v>243.289</v>
      </c>
      <c r="GV123" s="21" t="n">
        <v>283.589</v>
      </c>
      <c r="GW123" s="21" t="n">
        <v>265.313</v>
      </c>
      <c r="GX123" s="21" t="n">
        <v>264.821</v>
      </c>
      <c r="GY123" s="21" t="n">
        <v>153.507</v>
      </c>
      <c r="GZ123" s="21" t="n"/>
      <c r="HA123" s="21" t="n">
        <v>65.36499999999999</v>
      </c>
      <c r="HB123" s="21" t="n">
        <v>573.284</v>
      </c>
      <c r="HC123" s="21" t="n">
        <v>417.702</v>
      </c>
      <c r="HD123" s="21" t="n">
        <v>137.01</v>
      </c>
      <c r="HE123" s="21" t="n">
        <v>572.748</v>
      </c>
      <c r="HF123" s="21" t="n">
        <v>110.447</v>
      </c>
      <c r="HG123" s="21" t="n">
        <v>623.3440000000001</v>
      </c>
      <c r="HH123" s="21" t="n">
        <v>434.984</v>
      </c>
      <c r="HI123" s="21" t="n">
        <v>425.684</v>
      </c>
      <c r="HJ123" s="21" t="n">
        <v>603.4880000000001</v>
      </c>
      <c r="HK123" s="21" t="n">
        <v>214.578</v>
      </c>
      <c r="HL123" s="21" t="n">
        <v>264.617</v>
      </c>
      <c r="HM123" s="21" t="n">
        <v>101.092</v>
      </c>
      <c r="HN123" s="21" t="n">
        <v>423.005</v>
      </c>
      <c r="HO123" s="21" t="n">
        <v>405.853</v>
      </c>
      <c r="HP123" s="21" t="n">
        <v>929.105</v>
      </c>
      <c r="HQ123" s="21" t="n">
        <v>296.03</v>
      </c>
      <c r="HR123" s="21" t="n">
        <v>140.445</v>
      </c>
      <c r="HS123" s="21" t="n">
        <v>119.885</v>
      </c>
      <c r="HT123" s="21" t="n">
        <v>98.113</v>
      </c>
      <c r="HU123" s="21" t="n">
        <v>598.462</v>
      </c>
      <c r="HV123" s="21" t="n">
        <v>102.76</v>
      </c>
      <c r="HW123" s="21" t="n">
        <v>24.495</v>
      </c>
      <c r="HX123" s="21" t="n">
        <v>226.349</v>
      </c>
      <c r="HY123" s="21" t="n">
        <v>239.512</v>
      </c>
      <c r="HZ123" s="21" t="n">
        <v>190.941</v>
      </c>
      <c r="IA123" s="21" t="n">
        <v>130.308</v>
      </c>
      <c r="IB123" s="21" t="n">
        <v>356.882</v>
      </c>
      <c r="IC123" s="21" t="n">
        <v>258.633</v>
      </c>
      <c r="ID123" s="21" t="n">
        <v>387.796</v>
      </c>
      <c r="IE123" s="21" t="n">
        <v>119.795</v>
      </c>
      <c r="IF123" s="21" t="n">
        <v>162.359</v>
      </c>
      <c r="IG123" s="21" t="n">
        <v>83.361</v>
      </c>
      <c r="IH123" s="21" t="n">
        <v>86.288</v>
      </c>
      <c r="II123" s="21" t="n">
        <v>68.738</v>
      </c>
      <c r="IJ123" s="21" t="n">
        <v>28.447</v>
      </c>
      <c r="IK123" s="21" t="n">
        <v>32.81</v>
      </c>
      <c r="IL123" s="21" t="n">
        <v>27.644</v>
      </c>
      <c r="IM123" s="21" t="n">
        <v>37.319</v>
      </c>
      <c r="IN123" s="21" t="n">
        <v>107.021</v>
      </c>
      <c r="IO123" s="21" t="n">
        <v>122.785</v>
      </c>
      <c r="IP123" s="21" t="n">
        <v>208.729</v>
      </c>
      <c r="IQ123" s="21" t="n">
        <v>168.784</v>
      </c>
      <c r="IR123" s="21" t="n">
        <v>484.183</v>
      </c>
      <c r="IS123" s="21" t="n">
        <v>230.27</v>
      </c>
      <c r="IT123" s="21" t="n">
        <v>298.651</v>
      </c>
      <c r="IU123" s="21" t="n">
        <v>405.339</v>
      </c>
      <c r="IV123" s="21" t="n">
        <v>290.267</v>
      </c>
      <c r="IW123" s="21" t="n">
        <v>146.528</v>
      </c>
      <c r="IX123" s="21" t="n">
        <v>306.53</v>
      </c>
      <c r="IY123" s="21" t="n">
        <v>757.682</v>
      </c>
      <c r="IZ123" s="21" t="n">
        <v>881.576</v>
      </c>
      <c r="JA123" s="21" t="n">
        <v>949.63</v>
      </c>
      <c r="JB123" s="21" t="n">
        <v>100.664</v>
      </c>
      <c r="JC123" s="21" t="n">
        <v>379.92</v>
      </c>
      <c r="JD123" s="21" t="n">
        <v>277.336</v>
      </c>
      <c r="JE123" s="21" t="n">
        <v>73.444</v>
      </c>
      <c r="JF123" s="21" t="n">
        <v>244.726</v>
      </c>
      <c r="JG123" s="21" t="n">
        <v>380.177</v>
      </c>
      <c r="JH123" s="21" t="n">
        <v>452.259</v>
      </c>
      <c r="JI123" s="21" t="n">
        <v>69.04600000000001</v>
      </c>
      <c r="JJ123" s="21" t="n">
        <v>101.334</v>
      </c>
      <c r="JK123" s="21" t="n">
        <v>34.477</v>
      </c>
      <c r="JL123" s="21" t="n">
        <v>85.854</v>
      </c>
      <c r="JM123" s="21" t="n">
        <v>98.98999999999999</v>
      </c>
      <c r="JN123" s="21" t="n">
        <v>569.153</v>
      </c>
      <c r="JO123" s="21" t="n">
        <v>101.01</v>
      </c>
      <c r="JP123" s="21" t="n">
        <v>672.755</v>
      </c>
      <c r="JQ123" s="21" t="n">
        <v>286.128</v>
      </c>
      <c r="JR123" s="21" t="n">
        <v>179.596</v>
      </c>
      <c r="JS123" s="21" t="n">
        <v>560.7859999999999</v>
      </c>
      <c r="JT123" s="21" t="n"/>
      <c r="JU123" s="21" t="n">
        <v>402.554</v>
      </c>
      <c r="JV123" s="21" t="n">
        <v>234.98</v>
      </c>
      <c r="JW123" s="21" t="n">
        <v>423.958</v>
      </c>
      <c r="JX123" s="21" t="n">
        <v>324.209</v>
      </c>
      <c r="JY123" s="21" t="n">
        <v>86.542</v>
      </c>
      <c r="JZ123" s="21" t="n">
        <v>204.908</v>
      </c>
      <c r="KA123" s="21" t="n">
        <v>307.428</v>
      </c>
      <c r="KB123" s="21" t="n">
        <v>326.142</v>
      </c>
      <c r="KC123" s="21" t="n">
        <v>317.13</v>
      </c>
      <c r="KD123" s="21" t="n">
        <v>325.465</v>
      </c>
      <c r="KE123" s="21" t="n">
        <v>287.525</v>
      </c>
      <c r="KF123" s="21" t="n">
        <v>275.645</v>
      </c>
      <c r="KG123" s="21" t="n">
        <v>278.155</v>
      </c>
      <c r="KH123" s="21" t="n">
        <v>283.211</v>
      </c>
      <c r="KI123" s="21" t="n">
        <v>123.022</v>
      </c>
      <c r="KJ123" s="21" t="n">
        <v>224.641</v>
      </c>
      <c r="KK123" s="21" t="n">
        <v>178.306</v>
      </c>
      <c r="KL123" s="21" t="n">
        <v>174.42</v>
      </c>
      <c r="KM123" s="21" t="n">
        <v>165.832</v>
      </c>
      <c r="KN123" s="21" t="n">
        <v>163.531</v>
      </c>
      <c r="KO123" s="21" t="n">
        <v>321.989</v>
      </c>
      <c r="KP123" s="21" t="n">
        <v>122.82</v>
      </c>
      <c r="KQ123" s="21" t="n">
        <v>53.197</v>
      </c>
      <c r="KR123" s="21" t="n">
        <v>124.034</v>
      </c>
      <c r="KS123" s="21" t="n">
        <v>282.096</v>
      </c>
      <c r="KT123" s="21" t="n">
        <v>300.133</v>
      </c>
      <c r="KU123" s="21" t="n">
        <v>105.735</v>
      </c>
      <c r="KV123" s="21" t="n">
        <v>36.125</v>
      </c>
      <c r="KW123" s="21" t="n">
        <v>279.673</v>
      </c>
      <c r="KX123" s="21" t="n">
        <v>232.632</v>
      </c>
      <c r="KY123" s="21" t="n">
        <v>292.827</v>
      </c>
      <c r="KZ123" s="21" t="n">
        <v>228.859</v>
      </c>
      <c r="LA123" s="21" t="n">
        <v>294.38</v>
      </c>
      <c r="LB123" s="21" t="n">
        <v>142.624</v>
      </c>
      <c r="LC123" s="21" t="n">
        <v>424.012</v>
      </c>
      <c r="LD123" s="21" t="n">
        <v>82.887</v>
      </c>
      <c r="LE123" s="21" t="n">
        <v>155.358</v>
      </c>
      <c r="LF123" s="21" t="n">
        <v>428.972</v>
      </c>
      <c r="LG123" s="21" t="n">
        <v>413.473</v>
      </c>
      <c r="LH123" s="21" t="n">
        <v>427.422</v>
      </c>
      <c r="LI123" s="21" t="n">
        <v>396.94</v>
      </c>
      <c r="LJ123" s="21" t="n">
        <v>426.251</v>
      </c>
      <c r="LK123" s="21" t="n">
        <v>131.979</v>
      </c>
      <c r="LL123" s="21" t="n">
        <v>446.782</v>
      </c>
      <c r="LM123" s="21" t="n">
        <v>264.598</v>
      </c>
      <c r="LN123" s="21" t="n">
        <v>31.613</v>
      </c>
      <c r="LO123" s="21" t="n">
        <v>158.76</v>
      </c>
    </row>
    <row r="124">
      <c r="A124" s="22" t="n">
        <v>45717</v>
      </c>
      <c r="B124" s="21" t="n">
        <v>319.785</v>
      </c>
      <c r="C124" s="21" t="n">
        <v>334.527</v>
      </c>
      <c r="D124" s="21" t="n">
        <v>337.331</v>
      </c>
      <c r="E124" s="21" t="n">
        <v>312.154</v>
      </c>
      <c r="F124" s="21" t="n">
        <v>357.72</v>
      </c>
      <c r="G124" s="21" t="n">
        <v>286.127</v>
      </c>
      <c r="H124" s="21" t="n">
        <v>327.89</v>
      </c>
      <c r="I124" s="21" t="n">
        <v>281.069</v>
      </c>
      <c r="J124" s="21" t="n">
        <v>288.498</v>
      </c>
      <c r="K124" s="21" t="n">
        <v>399.93</v>
      </c>
      <c r="L124" s="21" t="n">
        <v>237.22</v>
      </c>
      <c r="M124" s="21" t="n">
        <v>241.023</v>
      </c>
      <c r="N124" s="21" t="n">
        <v>376.988</v>
      </c>
      <c r="O124" s="21" t="n">
        <v>356.843</v>
      </c>
      <c r="P124" s="21" t="n">
        <v>357.457</v>
      </c>
      <c r="Q124" s="21" t="n">
        <v>433.11</v>
      </c>
      <c r="R124" s="21" t="n">
        <v>348.071</v>
      </c>
      <c r="S124" s="21" t="n">
        <v>346.865</v>
      </c>
      <c r="T124" s="21" t="n">
        <v>335.728</v>
      </c>
      <c r="U124" s="21" t="n">
        <v>348.603</v>
      </c>
      <c r="V124" s="21" t="n">
        <v>454.715</v>
      </c>
      <c r="W124" s="21" t="n">
        <v>392.729</v>
      </c>
      <c r="X124" s="21" t="n">
        <v>369.183</v>
      </c>
      <c r="Y124" s="21" t="n">
        <v>301.216</v>
      </c>
      <c r="Z124" s="21" t="n">
        <v>272.711</v>
      </c>
      <c r="AA124" s="21" t="n">
        <v>206.123</v>
      </c>
      <c r="AB124" s="21" t="n">
        <v>388.1</v>
      </c>
      <c r="AC124" s="21" t="n">
        <v>188.8</v>
      </c>
      <c r="AD124" s="21" t="n">
        <v>253.366</v>
      </c>
      <c r="AE124" s="21" t="n">
        <v>281.979</v>
      </c>
      <c r="AF124" s="21" t="n">
        <v>245.283</v>
      </c>
      <c r="AG124" s="21" t="n">
        <v>162.829</v>
      </c>
      <c r="AH124" s="21" t="n">
        <v>286.316</v>
      </c>
      <c r="AI124" s="21" t="n">
        <v>303.734</v>
      </c>
      <c r="AJ124" s="21" t="n">
        <v>184.895</v>
      </c>
      <c r="AK124" s="21" t="n">
        <v>311.436</v>
      </c>
      <c r="AL124" s="21" t="n">
        <v>200.021</v>
      </c>
      <c r="AM124" s="21" t="n">
        <v>331.846</v>
      </c>
      <c r="AN124" s="21" t="n">
        <v>298.314</v>
      </c>
      <c r="AO124" s="21" t="n">
        <v>203.322</v>
      </c>
      <c r="AP124" s="21" t="n">
        <v>347.681</v>
      </c>
      <c r="AQ124" s="21" t="n">
        <v>221.069</v>
      </c>
      <c r="AR124" s="21" t="n">
        <v>171.131</v>
      </c>
      <c r="AS124" s="21" t="n">
        <v>239.32</v>
      </c>
      <c r="AT124" s="21" t="n">
        <v>375.003</v>
      </c>
      <c r="AU124" s="21" t="n">
        <v>467.5</v>
      </c>
      <c r="AV124" s="21" t="n">
        <v>272.244</v>
      </c>
      <c r="AW124" s="21" t="n">
        <v>179.24</v>
      </c>
      <c r="AX124" s="21" t="n">
        <v>256.947</v>
      </c>
      <c r="AY124" s="21" t="n">
        <v>185.997</v>
      </c>
      <c r="AZ124" s="21" t="n">
        <v>268.336</v>
      </c>
      <c r="BA124" s="21" t="n">
        <v>273.885</v>
      </c>
      <c r="BB124" s="21" t="n">
        <v>194.245</v>
      </c>
      <c r="BC124" s="21" t="n">
        <v>350.88</v>
      </c>
      <c r="BD124" s="21" t="n">
        <v>394.219</v>
      </c>
      <c r="BE124" s="21" t="n">
        <v>413.895</v>
      </c>
      <c r="BF124" s="21" t="n">
        <v>355.464</v>
      </c>
      <c r="BG124" s="21" t="n">
        <v>207.573</v>
      </c>
      <c r="BH124" s="21" t="n">
        <v>294.07</v>
      </c>
      <c r="BI124" s="21" t="n">
        <v>594.958</v>
      </c>
      <c r="BJ124" s="21" t="n">
        <v>143.772</v>
      </c>
      <c r="BK124" s="21" t="n">
        <v>372.884</v>
      </c>
      <c r="BL124" s="21" t="n">
        <v>421.544</v>
      </c>
      <c r="BM124" s="21" t="n">
        <v>390.034</v>
      </c>
      <c r="BN124" s="21" t="n">
        <v>339.781</v>
      </c>
      <c r="BO124" s="21" t="n">
        <v>373.497</v>
      </c>
      <c r="BP124" s="21" t="n">
        <v>205.269</v>
      </c>
      <c r="BQ124" s="21" t="n">
        <v>220.261</v>
      </c>
      <c r="BR124" s="21" t="n">
        <v>208.121</v>
      </c>
      <c r="BS124" s="21" t="n">
        <v>235.859</v>
      </c>
      <c r="BT124" s="21" t="n">
        <v>187.391</v>
      </c>
      <c r="BU124" s="21" t="n">
        <v>263.677</v>
      </c>
      <c r="BV124" s="21" t="n">
        <v>195.184</v>
      </c>
      <c r="BW124" s="21" t="n">
        <v>225.071</v>
      </c>
      <c r="BX124" s="21" t="n">
        <v>178.365</v>
      </c>
      <c r="BY124" s="21" t="n">
        <v>231.668</v>
      </c>
      <c r="BZ124" s="21" t="n">
        <v>157.293</v>
      </c>
      <c r="CA124" s="21" t="n">
        <v>147.794</v>
      </c>
      <c r="CB124" s="21" t="n">
        <v>249.858</v>
      </c>
      <c r="CC124" s="21" t="n">
        <v>261.82</v>
      </c>
      <c r="CD124" s="21" t="n">
        <v>161.666</v>
      </c>
      <c r="CE124" s="21" t="n">
        <v>274.832</v>
      </c>
      <c r="CF124" s="21" t="n">
        <v>298.112</v>
      </c>
      <c r="CG124" s="21" t="n">
        <v>272.838</v>
      </c>
      <c r="CH124" s="21" t="n">
        <v>205.431</v>
      </c>
      <c r="CI124" s="21" t="n">
        <v>194.084</v>
      </c>
      <c r="CJ124" s="21" t="n">
        <v>317.259</v>
      </c>
      <c r="CK124" s="21" t="n">
        <v>282.526</v>
      </c>
      <c r="CL124" s="21" t="n">
        <v>318.716</v>
      </c>
      <c r="CM124" s="21" t="n">
        <v>470.033</v>
      </c>
      <c r="CN124" s="21" t="n">
        <v>174.626</v>
      </c>
      <c r="CO124" s="21" t="n">
        <v>225.699</v>
      </c>
      <c r="CP124" s="21" t="n">
        <v>288.115</v>
      </c>
      <c r="CQ124" s="21" t="n">
        <v>315.674</v>
      </c>
      <c r="CR124" s="21" t="n">
        <v>211.444</v>
      </c>
      <c r="CS124" s="21" t="n">
        <v>310.809</v>
      </c>
      <c r="CT124" s="21" t="n">
        <v>314.953</v>
      </c>
      <c r="CU124" s="21" t="n">
        <v>185.573</v>
      </c>
      <c r="CV124" s="21" t="n">
        <v>195.03</v>
      </c>
      <c r="CW124" s="21" t="n">
        <v>189.05</v>
      </c>
      <c r="CX124" s="21" t="n">
        <v>375.868</v>
      </c>
      <c r="CY124" s="21" t="n">
        <v>171.105</v>
      </c>
      <c r="CZ124" s="21" t="n">
        <v>159.284</v>
      </c>
      <c r="DA124" s="21" t="n">
        <v>378.363</v>
      </c>
      <c r="DB124" s="21" t="n">
        <v>232.65</v>
      </c>
      <c r="DC124" s="21" t="n">
        <v>207.351</v>
      </c>
      <c r="DD124" s="21" t="n">
        <v>202.527</v>
      </c>
      <c r="DE124" s="21" t="n">
        <v>253.214</v>
      </c>
      <c r="DF124" s="21" t="n">
        <v>294.847</v>
      </c>
      <c r="DG124" s="21" t="n">
        <v>230.605</v>
      </c>
      <c r="DH124" s="21" t="n">
        <v>278.198</v>
      </c>
      <c r="DI124" s="21" t="n">
        <v>211.72</v>
      </c>
      <c r="DJ124" s="21" t="n">
        <v>218.932</v>
      </c>
      <c r="DK124" s="21" t="n">
        <v>208.085</v>
      </c>
      <c r="DL124" s="21" t="n">
        <v>183.181</v>
      </c>
      <c r="DM124" s="21" t="n">
        <v>438.345</v>
      </c>
      <c r="DN124" s="21" t="n">
        <v>245.952</v>
      </c>
      <c r="DO124" s="21" t="n">
        <v>343.327</v>
      </c>
      <c r="DP124" s="21" t="n">
        <v>411.639</v>
      </c>
      <c r="DQ124" s="21" t="n">
        <v>431.645</v>
      </c>
      <c r="DR124" s="21" t="n">
        <v>185.628</v>
      </c>
      <c r="DS124" s="21" t="n">
        <v>660.812</v>
      </c>
      <c r="DT124" s="21" t="n">
        <v>377.966</v>
      </c>
      <c r="DU124" s="21" t="n">
        <v>423.921</v>
      </c>
      <c r="DV124" s="21" t="n">
        <v>423.936</v>
      </c>
      <c r="DW124" s="21" t="n">
        <v>327.985</v>
      </c>
      <c r="DX124" s="21" t="n">
        <v>274.89</v>
      </c>
      <c r="DY124" s="21" t="n">
        <v>360.175</v>
      </c>
      <c r="DZ124" s="21" t="n">
        <v>347.856</v>
      </c>
      <c r="EA124" s="21" t="n">
        <v>428.143</v>
      </c>
      <c r="EB124" s="21" t="n">
        <v>280.42</v>
      </c>
      <c r="EC124" s="21" t="n">
        <v>287.436</v>
      </c>
      <c r="ED124" s="21" t="n">
        <v>253.773</v>
      </c>
      <c r="EE124" s="21" t="n">
        <v>313.925</v>
      </c>
      <c r="EF124" s="21" t="n">
        <v>718.521</v>
      </c>
      <c r="EG124" s="21" t="n">
        <v>642.053</v>
      </c>
      <c r="EH124" s="21" t="n">
        <v>149.222</v>
      </c>
      <c r="EI124" s="21" t="n">
        <v>60.262</v>
      </c>
      <c r="EJ124" s="21" t="n">
        <v>81.932</v>
      </c>
      <c r="EK124" s="21" t="n">
        <v>40.843</v>
      </c>
      <c r="EL124" s="21" t="n">
        <v>130.731</v>
      </c>
      <c r="EM124" s="21" t="n">
        <v>73.87</v>
      </c>
      <c r="EN124" s="21" t="n">
        <v>83.19199999999999</v>
      </c>
      <c r="EO124" s="21" t="n">
        <v>86.05200000000001</v>
      </c>
      <c r="EP124" s="21" t="n">
        <v>109.935</v>
      </c>
      <c r="EQ124" s="21" t="n">
        <v>73.429</v>
      </c>
      <c r="ER124" s="21" t="n">
        <v>54.735</v>
      </c>
      <c r="ES124" s="21" t="n">
        <v>160.336</v>
      </c>
      <c r="ET124" s="21" t="n">
        <v>76.386</v>
      </c>
      <c r="EU124" s="21" t="n">
        <v>111.159</v>
      </c>
      <c r="EV124" s="21" t="n">
        <v>121.149</v>
      </c>
      <c r="EW124" s="21" t="n">
        <v>106.882</v>
      </c>
      <c r="EX124" s="21" t="n">
        <v>235.584</v>
      </c>
      <c r="EY124" s="21" t="n">
        <v>150.218</v>
      </c>
      <c r="EZ124" s="21" t="n">
        <v>140.46</v>
      </c>
      <c r="FA124" s="21" t="n">
        <v>207.44</v>
      </c>
      <c r="FB124" s="21" t="n">
        <v>131.388</v>
      </c>
      <c r="FC124" s="21" t="n">
        <v>129.772</v>
      </c>
      <c r="FD124" s="21" t="n">
        <v>132.99</v>
      </c>
      <c r="FE124" s="21" t="n">
        <v>100.551</v>
      </c>
      <c r="FF124" s="21" t="n">
        <v>186.777</v>
      </c>
      <c r="FG124" s="21" t="n">
        <v>81.563</v>
      </c>
      <c r="FH124" s="21" t="n">
        <v>138.034</v>
      </c>
      <c r="FI124" s="21" t="n">
        <v>116.762</v>
      </c>
      <c r="FJ124" s="21" t="n">
        <v>108.889</v>
      </c>
      <c r="FK124" s="21" t="n">
        <v>110.339</v>
      </c>
      <c r="FL124" s="21" t="n">
        <v>103.638</v>
      </c>
      <c r="FM124" s="21" t="n">
        <v>104.724</v>
      </c>
      <c r="FN124" s="21" t="n">
        <v>74.20099999999999</v>
      </c>
      <c r="FO124" s="21" t="n">
        <v>114.838</v>
      </c>
      <c r="FP124" s="21" t="n">
        <v>102.671</v>
      </c>
      <c r="FQ124" s="21" t="n">
        <v>145.202</v>
      </c>
      <c r="FR124" s="21" t="n">
        <v>151.917</v>
      </c>
      <c r="FS124" s="21" t="n">
        <v>163.834</v>
      </c>
      <c r="FT124" s="21" t="n">
        <v>131.792</v>
      </c>
      <c r="FU124" s="21" t="n">
        <v>122.833</v>
      </c>
      <c r="FV124" s="21" t="n">
        <v>203.552</v>
      </c>
      <c r="FW124" s="21" t="n">
        <v>162.281</v>
      </c>
      <c r="FX124" s="21" t="n">
        <v>202.793</v>
      </c>
      <c r="FY124" s="21" t="n">
        <v>271.76</v>
      </c>
      <c r="FZ124" s="21" t="n">
        <v>272.161</v>
      </c>
      <c r="GA124" s="21" t="n">
        <v>125.926</v>
      </c>
      <c r="GB124" s="21" t="n">
        <v>178.631</v>
      </c>
      <c r="GC124" s="21" t="n"/>
      <c r="GD124" s="21" t="n">
        <v>173.812</v>
      </c>
      <c r="GE124" s="21" t="n">
        <v>190.647</v>
      </c>
      <c r="GF124" s="21" t="n"/>
      <c r="GG124" s="21" t="n">
        <v>185.728</v>
      </c>
      <c r="GH124" s="21" t="n"/>
      <c r="GI124" s="21" t="n">
        <v>153.206</v>
      </c>
      <c r="GJ124" s="21" t="n">
        <v>283.182</v>
      </c>
      <c r="GK124" s="21" t="n">
        <v>282.129</v>
      </c>
      <c r="GL124" s="21" t="n">
        <v>274.324</v>
      </c>
      <c r="GM124" s="21" t="n">
        <v>314.259</v>
      </c>
      <c r="GN124" s="21" t="n">
        <v>312.657</v>
      </c>
      <c r="GO124" s="21" t="n">
        <v>267.934</v>
      </c>
      <c r="GP124" s="21" t="n">
        <v>181.89</v>
      </c>
      <c r="GQ124" s="21" t="n">
        <v>154.593</v>
      </c>
      <c r="GR124" s="21" t="n">
        <v>424.012</v>
      </c>
      <c r="GS124" s="21" t="n">
        <v>285.323</v>
      </c>
      <c r="GT124" s="21" t="n">
        <v>883.375</v>
      </c>
      <c r="GU124" s="21" t="n">
        <v>240.204</v>
      </c>
      <c r="GV124" s="21" t="n">
        <v>284.384</v>
      </c>
      <c r="GW124" s="21" t="n">
        <v>256.838</v>
      </c>
      <c r="GX124" s="21" t="n">
        <v>253.357</v>
      </c>
      <c r="GY124" s="21" t="n">
        <v>155.506</v>
      </c>
      <c r="GZ124" s="21" t="n"/>
      <c r="HA124" s="21" t="n">
        <v>65.02200000000001</v>
      </c>
      <c r="HB124" s="21" t="n">
        <v>574.069</v>
      </c>
      <c r="HC124" s="21" t="n">
        <v>412.995</v>
      </c>
      <c r="HD124" s="21" t="n">
        <v>135.224</v>
      </c>
      <c r="HE124" s="21" t="n">
        <v>561.202</v>
      </c>
      <c r="HF124" s="21" t="n">
        <v>110.34</v>
      </c>
      <c r="HG124" s="21" t="n">
        <v>625.9930000000001</v>
      </c>
      <c r="HH124" s="21" t="n">
        <v>435.565</v>
      </c>
      <c r="HI124" s="21" t="n">
        <v>427.102</v>
      </c>
      <c r="HJ124" s="21" t="n">
        <v>603.4829999999999</v>
      </c>
      <c r="HK124" s="21" t="n">
        <v>214.541</v>
      </c>
      <c r="HL124" s="21" t="n">
        <v>264.143</v>
      </c>
      <c r="HM124" s="21" t="n">
        <v>102.423</v>
      </c>
      <c r="HN124" s="21" t="n">
        <v>427.689</v>
      </c>
      <c r="HO124" s="21" t="n">
        <v>413.931</v>
      </c>
      <c r="HP124" s="21" t="n">
        <v>935.8</v>
      </c>
      <c r="HQ124" s="21" t="n">
        <v>297.355</v>
      </c>
      <c r="HR124" s="21" t="n">
        <v>140.417</v>
      </c>
      <c r="HS124" s="21" t="n">
        <v>119.182</v>
      </c>
      <c r="HT124" s="21" t="n">
        <v>97.042</v>
      </c>
      <c r="HU124" s="21" t="n">
        <v>593.093</v>
      </c>
      <c r="HV124" s="21" t="n">
        <v>102.735</v>
      </c>
      <c r="HW124" s="21" t="n">
        <v>24.204</v>
      </c>
      <c r="HX124" s="21" t="n">
        <v>225.907</v>
      </c>
      <c r="HY124" s="21" t="n">
        <v>238.842</v>
      </c>
      <c r="HZ124" s="21" t="n">
        <v>189.959</v>
      </c>
      <c r="IA124" s="21" t="n">
        <v>130.423</v>
      </c>
      <c r="IB124" s="21" t="n">
        <v>356.538</v>
      </c>
      <c r="IC124" s="21" t="n">
        <v>258.029</v>
      </c>
      <c r="ID124" s="21" t="n">
        <v>389.595</v>
      </c>
      <c r="IE124" s="21" t="n">
        <v>119.082</v>
      </c>
      <c r="IF124" s="21" t="n">
        <v>160.59</v>
      </c>
      <c r="IG124" s="21" t="n">
        <v>83.288</v>
      </c>
      <c r="IH124" s="21" t="n">
        <v>85.485</v>
      </c>
      <c r="II124" s="21" t="n">
        <v>68.176</v>
      </c>
      <c r="IJ124" s="21" t="n">
        <v>28.175</v>
      </c>
      <c r="IK124" s="21" t="n">
        <v>32.717</v>
      </c>
      <c r="IL124" s="21" t="n">
        <v>27.543</v>
      </c>
      <c r="IM124" s="21" t="n">
        <v>37.18</v>
      </c>
      <c r="IN124" s="21" t="n">
        <v>105.007</v>
      </c>
      <c r="IO124" s="21" t="n">
        <v>124.508</v>
      </c>
      <c r="IP124" s="21" t="n">
        <v>209.731</v>
      </c>
      <c r="IQ124" s="21" t="n">
        <v>169.142</v>
      </c>
      <c r="IR124" s="21" t="n">
        <v>487.886</v>
      </c>
      <c r="IS124" s="21" t="n">
        <v>231.14</v>
      </c>
      <c r="IT124" s="21" t="n">
        <v>305.631</v>
      </c>
      <c r="IU124" s="21" t="n">
        <v>405.597</v>
      </c>
      <c r="IV124" s="21" t="n">
        <v>296.495</v>
      </c>
      <c r="IW124" s="21" t="n">
        <v>146.865</v>
      </c>
      <c r="IX124" s="21" t="n">
        <v>307.629</v>
      </c>
      <c r="IY124" s="21" t="n">
        <v>771.4690000000001</v>
      </c>
      <c r="IZ124" s="21" t="n">
        <v>884.525</v>
      </c>
      <c r="JA124" s="21" t="n">
        <v>951.652</v>
      </c>
      <c r="JB124" s="21" t="n">
        <v>101.356</v>
      </c>
      <c r="JC124" s="21" t="n">
        <v>381.421</v>
      </c>
      <c r="JD124" s="21" t="n">
        <v>278.567</v>
      </c>
      <c r="JE124" s="21" t="n">
        <v>73.53700000000001</v>
      </c>
      <c r="JF124" s="21" t="n">
        <v>246.46</v>
      </c>
      <c r="JG124" s="21" t="n">
        <v>382.9</v>
      </c>
      <c r="JH124" s="21" t="n">
        <v>454.574</v>
      </c>
      <c r="JI124" s="21" t="n">
        <v>69.126</v>
      </c>
      <c r="JJ124" s="21" t="n">
        <v>101.671</v>
      </c>
      <c r="JK124" s="21" t="n">
        <v>34.547</v>
      </c>
      <c r="JL124" s="21" t="n">
        <v>86.146</v>
      </c>
      <c r="JM124" s="21" t="n">
        <v>99.38500000000001</v>
      </c>
      <c r="JN124" s="21" t="n">
        <v>574.183</v>
      </c>
      <c r="JO124" s="21" t="n">
        <v>101.661</v>
      </c>
      <c r="JP124" s="21" t="n">
        <v>676.4880000000001</v>
      </c>
      <c r="JQ124" s="21" t="n">
        <v>288.792</v>
      </c>
      <c r="JR124" s="21" t="n">
        <v>179.452</v>
      </c>
      <c r="JS124" s="21" t="n">
        <v>575.58</v>
      </c>
      <c r="JT124" s="21" t="n"/>
      <c r="JU124" s="21" t="n">
        <v>405.463</v>
      </c>
      <c r="JV124" s="21" t="n">
        <v>235.041</v>
      </c>
      <c r="JW124" s="21" t="n">
        <v>452.637</v>
      </c>
      <c r="JX124" s="21" t="n">
        <v>354.929</v>
      </c>
      <c r="JY124" s="21" t="n">
        <v>86.97499999999999</v>
      </c>
      <c r="JZ124" s="21" t="n">
        <v>205.558</v>
      </c>
      <c r="KA124" s="21" t="n">
        <v>307.503</v>
      </c>
      <c r="KB124" s="21" t="n">
        <v>326.513</v>
      </c>
      <c r="KC124" s="21" t="n">
        <v>317.064</v>
      </c>
      <c r="KD124" s="21" t="n">
        <v>325.69</v>
      </c>
      <c r="KE124" s="21" t="n">
        <v>287.35</v>
      </c>
      <c r="KF124" s="21" t="n">
        <v>275.155</v>
      </c>
      <c r="KG124" s="21" t="n">
        <v>278.045</v>
      </c>
      <c r="KH124" s="21" t="n">
        <v>283.166</v>
      </c>
      <c r="KI124" s="21" t="n">
        <v>123.41</v>
      </c>
      <c r="KJ124" s="21" t="n">
        <v>224.119</v>
      </c>
      <c r="KK124" s="21" t="n">
        <v>177.24</v>
      </c>
      <c r="KL124" s="21" t="n">
        <v>173.323</v>
      </c>
      <c r="KM124" s="21" t="n">
        <v>165.719</v>
      </c>
      <c r="KN124" s="21" t="n">
        <v>163.508</v>
      </c>
      <c r="KO124" s="21" t="n">
        <v>323.712</v>
      </c>
      <c r="KP124" s="21" t="n">
        <v>122.926</v>
      </c>
      <c r="KQ124" s="21" t="n">
        <v>53.415</v>
      </c>
      <c r="KR124" s="21" t="n">
        <v>124.286</v>
      </c>
      <c r="KS124" s="21" t="n">
        <v>278.906</v>
      </c>
      <c r="KT124" s="21" t="n">
        <v>289.084</v>
      </c>
      <c r="KU124" s="21" t="n">
        <v>105.806</v>
      </c>
      <c r="KV124" s="21" t="n">
        <v>36.243</v>
      </c>
      <c r="KW124" s="21" t="n">
        <v>278.242</v>
      </c>
      <c r="KX124" s="21" t="n">
        <v>228.806</v>
      </c>
      <c r="KY124" s="21" t="n">
        <v>286.84</v>
      </c>
      <c r="KZ124" s="21" t="n">
        <v>224.759</v>
      </c>
      <c r="LA124" s="21" t="n">
        <v>287.687</v>
      </c>
      <c r="LB124" s="21" t="n">
        <v>142.997</v>
      </c>
      <c r="LC124" s="21" t="n">
        <v>425.666</v>
      </c>
      <c r="LD124" s="21" t="n">
        <v>82.705</v>
      </c>
      <c r="LE124" s="21" t="n">
        <v>155.49</v>
      </c>
      <c r="LF124" s="21" t="n">
        <v>430.024</v>
      </c>
      <c r="LG124" s="21" t="n">
        <v>414.244</v>
      </c>
      <c r="LH124" s="21" t="n">
        <v>427.911</v>
      </c>
      <c r="LI124" s="21" t="n">
        <v>397.937</v>
      </c>
      <c r="LJ124" s="21" t="n">
        <v>427.439</v>
      </c>
      <c r="LK124" s="21" t="n">
        <v>131.847</v>
      </c>
      <c r="LL124" s="21" t="n">
        <v>441.655</v>
      </c>
      <c r="LM124" s="21" t="n">
        <v>265.136</v>
      </c>
      <c r="LN124" s="21" t="n">
        <v>31.564</v>
      </c>
      <c r="LO124" s="21" t="n">
        <v>157.622</v>
      </c>
    </row>
    <row r="125">
      <c r="A125" s="22" t="n">
        <v>45748</v>
      </c>
      <c r="B125" s="21" t="n">
        <v>320.302</v>
      </c>
      <c r="C125" s="21" t="n">
        <v>334.68</v>
      </c>
      <c r="D125" s="21" t="n">
        <v>337.493</v>
      </c>
      <c r="E125" s="21" t="n">
        <v>311.44</v>
      </c>
      <c r="F125" s="21" t="n">
        <v>356.162</v>
      </c>
      <c r="G125" s="21" t="n">
        <v>282.946</v>
      </c>
      <c r="H125" s="21" t="n">
        <v>328.111</v>
      </c>
      <c r="I125" s="21" t="n">
        <v>274</v>
      </c>
      <c r="J125" s="21" t="n">
        <v>286.476</v>
      </c>
      <c r="K125" s="21" t="n">
        <v>398.87</v>
      </c>
      <c r="L125" s="21" t="n">
        <v>241.021</v>
      </c>
      <c r="M125" s="21" t="n">
        <v>238.548</v>
      </c>
      <c r="N125" s="21" t="n">
        <v>376.478</v>
      </c>
      <c r="O125" s="21" t="n">
        <v>355.536</v>
      </c>
      <c r="P125" s="21" t="n">
        <v>353.867</v>
      </c>
      <c r="Q125" s="21" t="n">
        <v>429.248</v>
      </c>
      <c r="R125" s="21" t="n">
        <v>338.853</v>
      </c>
      <c r="S125" s="21" t="n">
        <v>344.155</v>
      </c>
      <c r="T125" s="21" t="n">
        <v>336.336</v>
      </c>
      <c r="U125" s="21" t="n">
        <v>348.305</v>
      </c>
      <c r="V125" s="21" t="n">
        <v>455.861</v>
      </c>
      <c r="W125" s="21" t="n">
        <v>391.083</v>
      </c>
      <c r="X125" s="21" t="n">
        <v>370.042</v>
      </c>
      <c r="Y125" s="21" t="n">
        <v>303.35</v>
      </c>
      <c r="Z125" s="21" t="n">
        <v>269.608</v>
      </c>
      <c r="AA125" s="21" t="n">
        <v>204.151</v>
      </c>
      <c r="AB125" s="21" t="n">
        <v>386.911</v>
      </c>
      <c r="AC125" s="21" t="n">
        <v>186.014</v>
      </c>
      <c r="AD125" s="21" t="n">
        <v>255.113</v>
      </c>
      <c r="AE125" s="21" t="n">
        <v>284.394</v>
      </c>
      <c r="AF125" s="21" t="n">
        <v>241.461</v>
      </c>
      <c r="AG125" s="21" t="n">
        <v>160.068</v>
      </c>
      <c r="AH125" s="21" t="n">
        <v>288.448</v>
      </c>
      <c r="AI125" s="21" t="n">
        <v>289.695</v>
      </c>
      <c r="AJ125" s="21" t="n">
        <v>187.016</v>
      </c>
      <c r="AK125" s="21" t="n">
        <v>311.722</v>
      </c>
      <c r="AL125" s="21" t="n">
        <v>199.451</v>
      </c>
      <c r="AM125" s="21" t="n">
        <v>331.838</v>
      </c>
      <c r="AN125" s="21" t="n">
        <v>297.389</v>
      </c>
      <c r="AO125" s="21" t="n">
        <v>205.95</v>
      </c>
      <c r="AP125" s="21" t="n">
        <v>352.313</v>
      </c>
      <c r="AQ125" s="21" t="n">
        <v>222.835</v>
      </c>
      <c r="AR125" s="21" t="n">
        <v>173.071</v>
      </c>
      <c r="AS125" s="21" t="n">
        <v>243.712</v>
      </c>
      <c r="AT125" s="21" t="n">
        <v>377.34</v>
      </c>
      <c r="AU125" s="21" t="n">
        <v>431.576</v>
      </c>
      <c r="AV125" s="21" t="n">
        <v>271.75</v>
      </c>
      <c r="AW125" s="21" t="n">
        <v>180.51</v>
      </c>
      <c r="AX125" s="21" t="n">
        <v>257.121</v>
      </c>
      <c r="AY125" s="21" t="n">
        <v>187.757</v>
      </c>
      <c r="AZ125" s="21" t="n">
        <v>267.886</v>
      </c>
      <c r="BA125" s="21" t="n">
        <v>270.419</v>
      </c>
      <c r="BB125" s="21" t="n">
        <v>192.127</v>
      </c>
      <c r="BC125" s="21" t="n">
        <v>350.184</v>
      </c>
      <c r="BD125" s="21" t="n">
        <v>394.42</v>
      </c>
      <c r="BE125" s="21" t="n">
        <v>413.571</v>
      </c>
      <c r="BF125" s="21" t="n">
        <v>355.889</v>
      </c>
      <c r="BG125" s="21" t="n">
        <v>210.013</v>
      </c>
      <c r="BH125" s="21" t="n">
        <v>288.864</v>
      </c>
      <c r="BI125" s="21" t="n">
        <v>579.009</v>
      </c>
      <c r="BJ125" s="21" t="n">
        <v>143.45</v>
      </c>
      <c r="BK125" s="21" t="n">
        <v>373.578</v>
      </c>
      <c r="BL125" s="21" t="n">
        <v>423.033</v>
      </c>
      <c r="BM125" s="21" t="n">
        <v>391.627</v>
      </c>
      <c r="BN125" s="21" t="n">
        <v>343.339</v>
      </c>
      <c r="BO125" s="21" t="n">
        <v>372.724</v>
      </c>
      <c r="BP125" s="21" t="n">
        <v>202.364</v>
      </c>
      <c r="BQ125" s="21" t="n">
        <v>217.828</v>
      </c>
      <c r="BR125" s="21" t="n">
        <v>205.493</v>
      </c>
      <c r="BS125" s="21" t="n">
        <v>233.488</v>
      </c>
      <c r="BT125" s="21" t="n">
        <v>183.474</v>
      </c>
      <c r="BU125" s="21" t="n">
        <v>256.698</v>
      </c>
      <c r="BV125" s="21" t="n">
        <v>193.704</v>
      </c>
      <c r="BW125" s="21" t="n">
        <v>226.563</v>
      </c>
      <c r="BX125" s="21" t="n">
        <v>178.728</v>
      </c>
      <c r="BY125" s="21" t="n">
        <v>231.311</v>
      </c>
      <c r="BZ125" s="21" t="n">
        <v>157.757</v>
      </c>
      <c r="CA125" s="21" t="n">
        <v>150.483</v>
      </c>
      <c r="CB125" s="21" t="n">
        <v>255.279</v>
      </c>
      <c r="CC125" s="21" t="n">
        <v>267.374</v>
      </c>
      <c r="CD125" s="21" t="n">
        <v>164.657</v>
      </c>
      <c r="CE125" s="21" t="n">
        <v>274.517</v>
      </c>
      <c r="CF125" s="21" t="n">
        <v>299.696</v>
      </c>
      <c r="CG125" s="21" t="n">
        <v>273.771</v>
      </c>
      <c r="CH125" s="21" t="n">
        <v>207.527</v>
      </c>
      <c r="CI125" s="21" t="n">
        <v>191.027</v>
      </c>
      <c r="CJ125" s="21" t="n">
        <v>312.271</v>
      </c>
      <c r="CK125" s="21" t="n">
        <v>280.57</v>
      </c>
      <c r="CL125" s="21" t="n">
        <v>319.019</v>
      </c>
      <c r="CM125" s="21" t="n">
        <v>473.099</v>
      </c>
      <c r="CN125" s="21" t="n">
        <v>171.934</v>
      </c>
      <c r="CO125" s="21" t="n">
        <v>220.314</v>
      </c>
      <c r="CP125" s="21" t="n">
        <v>288.029</v>
      </c>
      <c r="CQ125" s="21" t="n">
        <v>317.923</v>
      </c>
      <c r="CR125" s="21" t="n">
        <v>212.759</v>
      </c>
      <c r="CS125" s="21" t="n">
        <v>309.613</v>
      </c>
      <c r="CT125" s="21" t="n">
        <v>314.556</v>
      </c>
      <c r="CU125" s="21" t="n">
        <v>182.47</v>
      </c>
      <c r="CV125" s="21" t="n">
        <v>195.697</v>
      </c>
      <c r="CW125" s="21" t="n">
        <v>187.98</v>
      </c>
      <c r="CX125" s="21" t="n">
        <v>401.325</v>
      </c>
      <c r="CY125" s="21" t="n">
        <v>171.745</v>
      </c>
      <c r="CZ125" s="21" t="n">
        <v>161.586</v>
      </c>
      <c r="DA125" s="21" t="n">
        <v>380.039</v>
      </c>
      <c r="DB125" s="21" t="n">
        <v>233.973</v>
      </c>
      <c r="DC125" s="21" t="n">
        <v>207.404</v>
      </c>
      <c r="DD125" s="21" t="n">
        <v>202.448</v>
      </c>
      <c r="DE125" s="21" t="n">
        <v>253.957</v>
      </c>
      <c r="DF125" s="21" t="n">
        <v>294.88</v>
      </c>
      <c r="DG125" s="21" t="n">
        <v>230.548</v>
      </c>
      <c r="DH125" s="21" t="n">
        <v>278.549</v>
      </c>
      <c r="DI125" s="21" t="n">
        <v>212.995</v>
      </c>
      <c r="DJ125" s="21" t="n">
        <v>219.942</v>
      </c>
      <c r="DK125" s="21" t="n">
        <v>209.515</v>
      </c>
      <c r="DL125" s="21" t="n">
        <v>181.843</v>
      </c>
      <c r="DM125" s="21" t="n">
        <v>439.022</v>
      </c>
      <c r="DN125" s="21" t="n">
        <v>245.417</v>
      </c>
      <c r="DO125" s="21" t="n">
        <v>344.85</v>
      </c>
      <c r="DP125" s="21" t="n">
        <v>413.04</v>
      </c>
      <c r="DQ125" s="21" t="n">
        <v>433.043</v>
      </c>
      <c r="DR125" s="21" t="n">
        <v>186.657</v>
      </c>
      <c r="DS125" s="21" t="n">
        <v>662.676</v>
      </c>
      <c r="DT125" s="21" t="n">
        <v>380.286</v>
      </c>
      <c r="DU125" s="21" t="n">
        <v>425.341</v>
      </c>
      <c r="DV125" s="21" t="n">
        <v>425.35</v>
      </c>
      <c r="DW125" s="21" t="n">
        <v>330.995</v>
      </c>
      <c r="DX125" s="21" t="n">
        <v>277.982</v>
      </c>
      <c r="DY125" s="21" t="n">
        <v>350.172</v>
      </c>
      <c r="DZ125" s="21" t="n">
        <v>344.072</v>
      </c>
      <c r="EA125" s="21" t="n">
        <v>408.827</v>
      </c>
      <c r="EB125" s="21" t="n">
        <v>284.048</v>
      </c>
      <c r="EC125" s="21" t="n">
        <v>289.368</v>
      </c>
      <c r="ED125" s="21" t="n">
        <v>261.94</v>
      </c>
      <c r="EE125" s="21" t="n">
        <v>314.82</v>
      </c>
      <c r="EF125" s="21" t="n">
        <v>720.997</v>
      </c>
      <c r="EG125" s="21" t="n">
        <v>643.063</v>
      </c>
      <c r="EH125" s="21" t="n">
        <v>150.419</v>
      </c>
      <c r="EI125" s="21" t="n">
        <v>60.11</v>
      </c>
      <c r="EJ125" s="21" t="n">
        <v>81.642</v>
      </c>
      <c r="EK125" s="21" t="n">
        <v>40.75</v>
      </c>
      <c r="EL125" s="21" t="n">
        <v>132.645</v>
      </c>
      <c r="EM125" s="21" t="n">
        <v>73.762</v>
      </c>
      <c r="EN125" s="21" t="n">
        <v>83.637</v>
      </c>
      <c r="EO125" s="21" t="n">
        <v>87.295</v>
      </c>
      <c r="EP125" s="21" t="n">
        <v>109.088</v>
      </c>
      <c r="EQ125" s="21" t="n">
        <v>73.806</v>
      </c>
      <c r="ER125" s="21" t="n">
        <v>54.514</v>
      </c>
      <c r="ES125" s="21" t="n">
        <v>161.539</v>
      </c>
      <c r="ET125" s="21" t="n">
        <v>76.902</v>
      </c>
      <c r="EU125" s="21" t="n">
        <v>111.292</v>
      </c>
      <c r="EV125" s="21" t="n">
        <v>122.382</v>
      </c>
      <c r="EW125" s="21" t="n">
        <v>106.092</v>
      </c>
      <c r="EX125" s="21" t="n">
        <v>235.881</v>
      </c>
      <c r="EY125" s="21" t="n">
        <v>151.151</v>
      </c>
      <c r="EZ125" s="21" t="n">
        <v>140.219</v>
      </c>
      <c r="FA125" s="21" t="n">
        <v>204.835</v>
      </c>
      <c r="FB125" s="21" t="n">
        <v>131.201</v>
      </c>
      <c r="FC125" s="21" t="n">
        <v>129.745</v>
      </c>
      <c r="FD125" s="21" t="n">
        <v>132.407</v>
      </c>
      <c r="FE125" s="21" t="n">
        <v>100.853</v>
      </c>
      <c r="FF125" s="21" t="n">
        <v>188.072</v>
      </c>
      <c r="FG125" s="21" t="n">
        <v>79.961</v>
      </c>
      <c r="FH125" s="21" t="n">
        <v>138.783</v>
      </c>
      <c r="FI125" s="21" t="n">
        <v>117.757</v>
      </c>
      <c r="FJ125" s="21" t="n">
        <v>109.101</v>
      </c>
      <c r="FK125" s="21" t="n">
        <v>110.605</v>
      </c>
      <c r="FL125" s="21" t="n">
        <v>105.185</v>
      </c>
      <c r="FM125" s="21" t="n">
        <v>104.492</v>
      </c>
      <c r="FN125" s="21" t="n">
        <v>74.47199999999999</v>
      </c>
      <c r="FO125" s="21" t="n">
        <v>113.838</v>
      </c>
      <c r="FP125" s="21" t="n">
        <v>102.496</v>
      </c>
      <c r="FQ125" s="21" t="n">
        <v>144.751</v>
      </c>
      <c r="FR125" s="21" t="n">
        <v>150.558</v>
      </c>
      <c r="FS125" s="21" t="n">
        <v>162.085</v>
      </c>
      <c r="FT125" s="21" t="n">
        <v>132.047</v>
      </c>
      <c r="FU125" s="21" t="n">
        <v>122.166</v>
      </c>
      <c r="FV125" s="21" t="n">
        <v>200.23</v>
      </c>
      <c r="FW125" s="21" t="n">
        <v>159.815</v>
      </c>
      <c r="FX125" s="21" t="n">
        <v>198.972</v>
      </c>
      <c r="FY125" s="21" t="n">
        <v>270.662</v>
      </c>
      <c r="FZ125" s="21" t="n">
        <v>271.347</v>
      </c>
      <c r="GA125" s="21" t="n">
        <v>125.939</v>
      </c>
      <c r="GB125" s="21" t="n">
        <v>178.763</v>
      </c>
      <c r="GC125" s="21" t="n"/>
      <c r="GD125" s="21" t="n">
        <v>174.005</v>
      </c>
      <c r="GE125" s="21" t="n">
        <v>190.756</v>
      </c>
      <c r="GF125" s="21" t="n"/>
      <c r="GG125" s="21" t="n">
        <v>184.8</v>
      </c>
      <c r="GH125" s="21" t="n">
        <v>115.517</v>
      </c>
      <c r="GI125" s="21" t="n">
        <v>159.551</v>
      </c>
      <c r="GJ125" s="21" t="n">
        <v>276.439</v>
      </c>
      <c r="GK125" s="21" t="n">
        <v>275.454</v>
      </c>
      <c r="GL125" s="21" t="n">
        <v>267.927</v>
      </c>
      <c r="GM125" s="21" t="n">
        <v>306.716</v>
      </c>
      <c r="GN125" s="21" t="n">
        <v>305.227</v>
      </c>
      <c r="GO125" s="21" t="n">
        <v>266.782</v>
      </c>
      <c r="GP125" s="21" t="n">
        <v>181.709</v>
      </c>
      <c r="GQ125" s="21" t="n">
        <v>153.922</v>
      </c>
      <c r="GR125" s="21" t="n">
        <v>426.849</v>
      </c>
      <c r="GS125" s="21" t="n">
        <v>288.669</v>
      </c>
      <c r="GT125" s="21" t="n">
        <v>889.621</v>
      </c>
      <c r="GU125" s="21" t="n">
        <v>239.902</v>
      </c>
      <c r="GV125" s="21" t="n">
        <v>286.795</v>
      </c>
      <c r="GW125" s="21" t="n">
        <v>252.897</v>
      </c>
      <c r="GX125" s="21" t="n">
        <v>247.922</v>
      </c>
      <c r="GY125" s="21" t="n">
        <v>155.959</v>
      </c>
      <c r="GZ125" s="21" t="n"/>
      <c r="HA125" s="21" t="n">
        <v>64.477</v>
      </c>
      <c r="HB125" s="21" t="n">
        <v>576.548</v>
      </c>
      <c r="HC125" s="21" t="n">
        <v>414.709</v>
      </c>
      <c r="HD125" s="21" t="n">
        <v>135.791</v>
      </c>
      <c r="HE125" s="21" t="n">
        <v>563.253</v>
      </c>
      <c r="HF125" s="21" t="n">
        <v>110.404</v>
      </c>
      <c r="HG125" s="21" t="n">
        <v>628.7190000000001</v>
      </c>
      <c r="HH125" s="21" t="n">
        <v>436.794</v>
      </c>
      <c r="HI125" s="21" t="n">
        <v>428.574</v>
      </c>
      <c r="HJ125" s="21" t="n">
        <v>604.85</v>
      </c>
      <c r="HK125" s="21" t="n">
        <v>213.723</v>
      </c>
      <c r="HL125" s="21" t="n">
        <v>265.598</v>
      </c>
      <c r="HM125" s="21" t="n">
        <v>102.973</v>
      </c>
      <c r="HN125" s="21" t="n">
        <v>430.162</v>
      </c>
      <c r="HO125" s="21" t="n">
        <v>415.6</v>
      </c>
      <c r="HP125" s="21" t="n">
        <v>942.111</v>
      </c>
      <c r="HQ125" s="21" t="n">
        <v>297.743</v>
      </c>
      <c r="HR125" s="21" t="n">
        <v>140.393</v>
      </c>
      <c r="HS125" s="21" t="n">
        <v>119.051</v>
      </c>
      <c r="HT125" s="21" t="n">
        <v>95.387</v>
      </c>
      <c r="HU125" s="21" t="n">
        <v>591.667</v>
      </c>
      <c r="HV125" s="21" t="n">
        <v>100.949</v>
      </c>
      <c r="HW125" s="21" t="n">
        <v>26.33</v>
      </c>
      <c r="HX125" s="21" t="n">
        <v>226.633</v>
      </c>
      <c r="HY125" s="21" t="n">
        <v>239.589</v>
      </c>
      <c r="HZ125" s="21" t="n">
        <v>189.736</v>
      </c>
      <c r="IA125" s="21" t="n">
        <v>132.004</v>
      </c>
      <c r="IB125" s="21" t="n">
        <v>357.722</v>
      </c>
      <c r="IC125" s="21" t="n">
        <v>260.392</v>
      </c>
      <c r="ID125" s="21" t="n">
        <v>390.499</v>
      </c>
      <c r="IE125" s="21" t="n">
        <v>119.852</v>
      </c>
      <c r="IF125" s="21" t="n">
        <v>163.556</v>
      </c>
      <c r="IG125" s="21" t="n">
        <v>82.77800000000001</v>
      </c>
      <c r="IH125" s="21" t="n">
        <v>85.742</v>
      </c>
      <c r="II125" s="21" t="n">
        <v>69.25</v>
      </c>
      <c r="IJ125" s="21" t="n">
        <v>28.47</v>
      </c>
      <c r="IK125" s="21" t="n">
        <v>32.67</v>
      </c>
      <c r="IL125" s="21" t="n">
        <v>27.509</v>
      </c>
      <c r="IM125" s="21" t="n">
        <v>36.974</v>
      </c>
      <c r="IN125" s="21" t="n">
        <v>103.91</v>
      </c>
      <c r="IO125" s="21" t="n">
        <v>124.826</v>
      </c>
      <c r="IP125" s="21" t="n">
        <v>209.209</v>
      </c>
      <c r="IQ125" s="21" t="n">
        <v>169.393</v>
      </c>
      <c r="IR125" s="21" t="n">
        <v>485.69</v>
      </c>
      <c r="IS125" s="21" t="n">
        <v>233.593</v>
      </c>
      <c r="IT125" s="21" t="n">
        <v>268.308</v>
      </c>
      <c r="IU125" s="21" t="n">
        <v>400.669</v>
      </c>
      <c r="IV125" s="21" t="n">
        <v>293.581</v>
      </c>
      <c r="IW125" s="21" t="n">
        <v>146.67</v>
      </c>
      <c r="IX125" s="21" t="n">
        <v>308.183</v>
      </c>
      <c r="IY125" s="21" t="n">
        <v>769.549</v>
      </c>
      <c r="IZ125" s="21" t="n">
        <v>886.1799999999999</v>
      </c>
      <c r="JA125" s="21" t="n">
        <v>953.164</v>
      </c>
      <c r="JB125" s="21" t="n">
        <v>101.461</v>
      </c>
      <c r="JC125" s="21" t="n">
        <v>382.645</v>
      </c>
      <c r="JD125" s="21" t="n">
        <v>278.365</v>
      </c>
      <c r="JE125" s="21" t="n">
        <v>73.251</v>
      </c>
      <c r="JF125" s="21" t="n">
        <v>247.717</v>
      </c>
      <c r="JG125" s="21" t="n">
        <v>384.813</v>
      </c>
      <c r="JH125" s="21" t="n">
        <v>458.066</v>
      </c>
      <c r="JI125" s="21" t="n">
        <v>68.84699999999999</v>
      </c>
      <c r="JJ125" s="21" t="n">
        <v>100.901</v>
      </c>
      <c r="JK125" s="21" t="n">
        <v>34.805</v>
      </c>
      <c r="JL125" s="21" t="n">
        <v>84.88200000000001</v>
      </c>
      <c r="JM125" s="21" t="n">
        <v>99.003</v>
      </c>
      <c r="JN125" s="21" t="n">
        <v>574.6799999999999</v>
      </c>
      <c r="JO125" s="21" t="n">
        <v>101.947</v>
      </c>
      <c r="JP125" s="21" t="n">
        <v>680.485</v>
      </c>
      <c r="JQ125" s="21" t="n">
        <v>288.931</v>
      </c>
      <c r="JR125" s="21" t="n">
        <v>179.782</v>
      </c>
      <c r="JS125" s="21" t="n">
        <v>577.497</v>
      </c>
      <c r="JT125" s="21" t="n"/>
      <c r="JU125" s="21" t="n">
        <v>406.08</v>
      </c>
      <c r="JV125" s="21" t="n">
        <v>235.496</v>
      </c>
      <c r="JW125" s="21" t="n">
        <v>458.621</v>
      </c>
      <c r="JX125" s="21" t="n">
        <v>361.527</v>
      </c>
      <c r="JY125" s="21" t="n">
        <v>87.708</v>
      </c>
      <c r="JZ125" s="21" t="n">
        <v>205.543</v>
      </c>
      <c r="KA125" s="21" t="n">
        <v>307.925</v>
      </c>
      <c r="KB125" s="21" t="n">
        <v>327.202</v>
      </c>
      <c r="KC125" s="21" t="n">
        <v>317.634</v>
      </c>
      <c r="KD125" s="21" t="n">
        <v>326.467</v>
      </c>
      <c r="KE125" s="21" t="n">
        <v>287.533</v>
      </c>
      <c r="KF125" s="21" t="n">
        <v>275.342</v>
      </c>
      <c r="KG125" s="21" t="n">
        <v>278.485</v>
      </c>
      <c r="KH125" s="21" t="n">
        <v>283.721</v>
      </c>
      <c r="KI125" s="21" t="n">
        <v>123.296</v>
      </c>
      <c r="KJ125" s="21" t="n">
        <v>223.793</v>
      </c>
      <c r="KK125" s="21" t="n">
        <v>176.775</v>
      </c>
      <c r="KL125" s="21" t="n">
        <v>172.851</v>
      </c>
      <c r="KM125" s="21" t="n">
        <v>165.87</v>
      </c>
      <c r="KN125" s="21" t="n">
        <v>163.796</v>
      </c>
      <c r="KO125" s="21" t="n">
        <v>322.132</v>
      </c>
      <c r="KP125" s="21" t="n">
        <v>122.94</v>
      </c>
      <c r="KQ125" s="21" t="n">
        <v>53.498</v>
      </c>
      <c r="KR125" s="21" t="n">
        <v>124.067</v>
      </c>
      <c r="KS125" s="21" t="n">
        <v>277.343</v>
      </c>
      <c r="KT125" s="21" t="n">
        <v>282.151</v>
      </c>
      <c r="KU125" s="21" t="n">
        <v>106.056</v>
      </c>
      <c r="KV125" s="21" t="n">
        <v>36.308</v>
      </c>
      <c r="KW125" s="21" t="n">
        <v>277.78</v>
      </c>
      <c r="KX125" s="21" t="n">
        <v>228.608</v>
      </c>
      <c r="KY125" s="21" t="n">
        <v>286.543</v>
      </c>
      <c r="KZ125" s="21" t="n">
        <v>224.59</v>
      </c>
      <c r="LA125" s="21" t="n">
        <v>287.438</v>
      </c>
      <c r="LB125" s="21" t="n">
        <v>143.428</v>
      </c>
      <c r="LC125" s="21" t="n">
        <v>425.154</v>
      </c>
      <c r="LD125" s="21" t="n">
        <v>83.001</v>
      </c>
      <c r="LE125" s="21" t="n">
        <v>155.158</v>
      </c>
      <c r="LF125" s="21" t="n">
        <v>431.541</v>
      </c>
      <c r="LG125" s="21" t="n">
        <v>415.69</v>
      </c>
      <c r="LH125" s="21" t="n">
        <v>429.192</v>
      </c>
      <c r="LI125" s="21" t="n">
        <v>399.1</v>
      </c>
      <c r="LJ125" s="21" t="n">
        <v>428.42</v>
      </c>
      <c r="LK125" s="21" t="n">
        <v>131.69</v>
      </c>
      <c r="LL125" s="21" t="n">
        <v>442.689</v>
      </c>
      <c r="LM125" s="21" t="n">
        <v>265.477</v>
      </c>
      <c r="LN125" s="21" t="n">
        <v>31.917</v>
      </c>
      <c r="LO125" s="21" t="n">
        <v>156.863</v>
      </c>
    </row>
    <row r="126">
      <c r="A126" s="22" t="n">
        <v>45778</v>
      </c>
      <c r="B126" s="21" t="n">
        <v>320.62</v>
      </c>
      <c r="C126" s="21" t="n">
        <v>335.571</v>
      </c>
      <c r="D126" s="21" t="n">
        <v>338.474</v>
      </c>
      <c r="E126" s="21" t="n">
        <v>312.296</v>
      </c>
      <c r="F126" s="21" t="n">
        <v>359.937</v>
      </c>
      <c r="G126" s="21" t="n">
        <v>286.68</v>
      </c>
      <c r="H126" s="21" t="n">
        <v>332.079</v>
      </c>
      <c r="I126" s="21" t="n">
        <v>279.45</v>
      </c>
      <c r="J126" s="21" t="n">
        <v>289.393</v>
      </c>
      <c r="K126" s="21" t="n">
        <v>402.941</v>
      </c>
      <c r="L126" s="21" t="n">
        <v>240.101</v>
      </c>
      <c r="M126" s="21" t="n">
        <v>242.079</v>
      </c>
      <c r="N126" s="21" t="n">
        <v>378.984</v>
      </c>
      <c r="O126" s="21" t="n">
        <v>358.991</v>
      </c>
      <c r="P126" s="21" t="n">
        <v>358.91</v>
      </c>
      <c r="Q126" s="21" t="n">
        <v>432.239</v>
      </c>
      <c r="R126" s="21" t="n">
        <v>343.253</v>
      </c>
      <c r="S126" s="21" t="n">
        <v>343.575</v>
      </c>
      <c r="T126" s="21" t="n">
        <v>336.731</v>
      </c>
      <c r="U126" s="21" t="n">
        <v>348.357</v>
      </c>
      <c r="V126" s="21" t="n">
        <v>456.128</v>
      </c>
      <c r="W126" s="21" t="n">
        <v>394.411</v>
      </c>
      <c r="X126" s="21" t="n">
        <v>364.807</v>
      </c>
      <c r="Y126" s="21" t="n">
        <v>300.784</v>
      </c>
      <c r="Z126" s="21" t="n">
        <v>269.556</v>
      </c>
      <c r="AA126" s="21" t="n">
        <v>205.038</v>
      </c>
      <c r="AB126" s="21" t="n">
        <v>386.991</v>
      </c>
      <c r="AC126" s="21" t="n">
        <v>186.869</v>
      </c>
      <c r="AD126" s="21" t="n">
        <v>251.76</v>
      </c>
      <c r="AE126" s="21" t="n">
        <v>279.408</v>
      </c>
      <c r="AF126" s="21" t="n">
        <v>242.503</v>
      </c>
      <c r="AG126" s="21" t="n">
        <v>161.371</v>
      </c>
      <c r="AH126" s="21" t="n">
        <v>288.329</v>
      </c>
      <c r="AI126" s="21" t="n">
        <v>288.665</v>
      </c>
      <c r="AJ126" s="21" t="n">
        <v>186.852</v>
      </c>
      <c r="AK126" s="21" t="n">
        <v>311.117</v>
      </c>
      <c r="AL126" s="21" t="n">
        <v>199.018</v>
      </c>
      <c r="AM126" s="21" t="n">
        <v>329.867</v>
      </c>
      <c r="AN126" s="21" t="n">
        <v>298.345</v>
      </c>
      <c r="AO126" s="21" t="n">
        <v>204.679</v>
      </c>
      <c r="AP126" s="21" t="n">
        <v>355.433</v>
      </c>
      <c r="AQ126" s="21" t="n">
        <v>222.848</v>
      </c>
      <c r="AR126" s="21" t="n">
        <v>174.585</v>
      </c>
      <c r="AS126" s="21" t="n">
        <v>246.195</v>
      </c>
      <c r="AT126" s="21" t="n">
        <v>387.146</v>
      </c>
      <c r="AU126" s="21" t="n">
        <v>421.244</v>
      </c>
      <c r="AV126" s="21" t="n">
        <v>271.348</v>
      </c>
      <c r="AW126" s="21" t="n">
        <v>178.574</v>
      </c>
      <c r="AX126" s="21" t="n">
        <v>252.673</v>
      </c>
      <c r="AY126" s="21" t="n">
        <v>186.171</v>
      </c>
      <c r="AZ126" s="21" t="n">
        <v>268.182</v>
      </c>
      <c r="BA126" s="21" t="n">
        <v>275.424</v>
      </c>
      <c r="BB126" s="21" t="n">
        <v>191.79</v>
      </c>
      <c r="BC126" s="21" t="n">
        <v>350.966</v>
      </c>
      <c r="BD126" s="21" t="n">
        <v>394.75</v>
      </c>
      <c r="BE126" s="21" t="n">
        <v>413.993</v>
      </c>
      <c r="BF126" s="21" t="n">
        <v>355.709</v>
      </c>
      <c r="BG126" s="21" t="n">
        <v>216.99</v>
      </c>
      <c r="BH126" s="21" t="n">
        <v>289.487</v>
      </c>
      <c r="BI126" s="21" t="n">
        <v>584.27</v>
      </c>
      <c r="BJ126" s="21" t="n">
        <v>143.237</v>
      </c>
      <c r="BK126" s="21" t="n">
        <v>373.819</v>
      </c>
      <c r="BL126" s="21" t="n">
        <v>423.417</v>
      </c>
      <c r="BM126" s="21" t="n">
        <v>393.67</v>
      </c>
      <c r="BN126" s="21" t="n">
        <v>341.206</v>
      </c>
      <c r="BO126" s="21" t="n">
        <v>373.537</v>
      </c>
      <c r="BP126" s="21" t="n">
        <v>204.216</v>
      </c>
      <c r="BQ126" s="21" t="n">
        <v>221.224</v>
      </c>
      <c r="BR126" s="21" t="n">
        <v>210.11</v>
      </c>
      <c r="BS126" s="21" t="n">
        <v>237.818</v>
      </c>
      <c r="BT126" s="21" t="n">
        <v>181.681</v>
      </c>
      <c r="BU126" s="21" t="n">
        <v>253.063</v>
      </c>
      <c r="BV126" s="21" t="n">
        <v>195.494</v>
      </c>
      <c r="BW126" s="21" t="n">
        <v>226.368</v>
      </c>
      <c r="BX126" s="21" t="n">
        <v>177.849</v>
      </c>
      <c r="BY126" s="21" t="n">
        <v>231.952</v>
      </c>
      <c r="BZ126" s="21" t="n">
        <v>156.037</v>
      </c>
      <c r="CA126" s="21" t="n">
        <v>151.716</v>
      </c>
      <c r="CB126" s="21" t="n">
        <v>258.868</v>
      </c>
      <c r="CC126" s="21" t="n">
        <v>272.243</v>
      </c>
      <c r="CD126" s="21" t="n">
        <v>164.863</v>
      </c>
      <c r="CE126" s="21" t="n">
        <v>275.954</v>
      </c>
      <c r="CF126" s="21" t="n">
        <v>301.721</v>
      </c>
      <c r="CG126" s="21" t="n">
        <v>277.761</v>
      </c>
      <c r="CH126" s="21" t="n">
        <v>208.637</v>
      </c>
      <c r="CI126" s="21" t="n">
        <v>194.29</v>
      </c>
      <c r="CJ126" s="21" t="n">
        <v>314.87</v>
      </c>
      <c r="CK126" s="21" t="n">
        <v>279.427</v>
      </c>
      <c r="CL126" s="21" t="n">
        <v>319.479</v>
      </c>
      <c r="CM126" s="21" t="n">
        <v>471.621</v>
      </c>
      <c r="CN126" s="21" t="n">
        <v>173.123</v>
      </c>
      <c r="CO126" s="21" t="n">
        <v>224.546</v>
      </c>
      <c r="CP126" s="21" t="n">
        <v>289.328</v>
      </c>
      <c r="CQ126" s="21" t="n">
        <v>318.292</v>
      </c>
      <c r="CR126" s="21" t="n">
        <v>213.572</v>
      </c>
      <c r="CS126" s="21" t="n">
        <v>310.219</v>
      </c>
      <c r="CT126" s="21" t="n">
        <v>315.281</v>
      </c>
      <c r="CU126" s="21" t="n">
        <v>186.706</v>
      </c>
      <c r="CV126" s="21" t="n">
        <v>192.09</v>
      </c>
      <c r="CW126" s="21" t="n">
        <v>186.604</v>
      </c>
      <c r="CX126" s="21" t="n">
        <v>397.112</v>
      </c>
      <c r="CY126" s="21" t="n">
        <v>172.665</v>
      </c>
      <c r="CZ126" s="21" t="n">
        <v>164.191</v>
      </c>
      <c r="DA126" s="21" t="n">
        <v>381.228</v>
      </c>
      <c r="DB126" s="21" t="n">
        <v>234.732</v>
      </c>
      <c r="DC126" s="21" t="n">
        <v>208.281</v>
      </c>
      <c r="DD126" s="21" t="n">
        <v>202.7</v>
      </c>
      <c r="DE126" s="21" t="n">
        <v>254.787</v>
      </c>
      <c r="DF126" s="21" t="n">
        <v>294.478</v>
      </c>
      <c r="DG126" s="21" t="n">
        <v>229.766</v>
      </c>
      <c r="DH126" s="21" t="n">
        <v>277.42</v>
      </c>
      <c r="DI126" s="21" t="n">
        <v>212.037</v>
      </c>
      <c r="DJ126" s="21" t="n">
        <v>220.03</v>
      </c>
      <c r="DK126" s="21" t="n">
        <v>207.713</v>
      </c>
      <c r="DL126" s="21" t="n">
        <v>181.291</v>
      </c>
      <c r="DM126" s="21" t="n">
        <v>439.986</v>
      </c>
      <c r="DN126" s="21" t="n">
        <v>244.988</v>
      </c>
      <c r="DO126" s="21" t="n">
        <v>345.845</v>
      </c>
      <c r="DP126" s="21" t="n">
        <v>414.109</v>
      </c>
      <c r="DQ126" s="21" t="n">
        <v>434.038</v>
      </c>
      <c r="DR126" s="21" t="n">
        <v>186.38</v>
      </c>
      <c r="DS126" s="21" t="n">
        <v>664.248</v>
      </c>
      <c r="DT126" s="21" t="n">
        <v>379.402</v>
      </c>
      <c r="DU126" s="21" t="n">
        <v>426.53</v>
      </c>
      <c r="DV126" s="21" t="n">
        <v>426.528</v>
      </c>
      <c r="DW126" s="21" t="n">
        <v>332.537</v>
      </c>
      <c r="DX126" s="21" t="n">
        <v>279.479</v>
      </c>
      <c r="DY126" s="21" t="n">
        <v>358.376</v>
      </c>
      <c r="DZ126" s="21" t="n">
        <v>346.904</v>
      </c>
      <c r="EA126" s="21" t="n">
        <v>425.151</v>
      </c>
      <c r="EB126" s="21" t="n">
        <v>285.364</v>
      </c>
      <c r="EC126" s="21" t="n">
        <v>291.637</v>
      </c>
      <c r="ED126" s="21" t="n">
        <v>260.617</v>
      </c>
      <c r="EE126" s="21" t="n">
        <v>315.585</v>
      </c>
      <c r="EF126" s="21" t="n">
        <v>721.768</v>
      </c>
      <c r="EG126" s="21" t="n">
        <v>646.5069999999999</v>
      </c>
      <c r="EH126" s="21" t="n">
        <v>150.942</v>
      </c>
      <c r="EI126" s="21" t="n">
        <v>60.677</v>
      </c>
      <c r="EJ126" s="21" t="n">
        <v>82.521</v>
      </c>
      <c r="EK126" s="21" t="n">
        <v>40.755</v>
      </c>
      <c r="EL126" s="21" t="n">
        <v>131.61</v>
      </c>
      <c r="EM126" s="21" t="n">
        <v>74.489</v>
      </c>
      <c r="EN126" s="21" t="n">
        <v>84.012</v>
      </c>
      <c r="EO126" s="21" t="n">
        <v>89.97</v>
      </c>
      <c r="EP126" s="21" t="n">
        <v>111.551</v>
      </c>
      <c r="EQ126" s="21" t="n">
        <v>73.23999999999999</v>
      </c>
      <c r="ER126" s="21" t="n">
        <v>54.947</v>
      </c>
      <c r="ES126" s="21" t="n">
        <v>162.816</v>
      </c>
      <c r="ET126" s="21" t="n">
        <v>76.392</v>
      </c>
      <c r="EU126" s="21" t="n">
        <v>111.967</v>
      </c>
      <c r="EV126" s="21" t="n">
        <v>123.571</v>
      </c>
      <c r="EW126" s="21" t="n">
        <v>106.664</v>
      </c>
      <c r="EX126" s="21" t="n">
        <v>235.601</v>
      </c>
      <c r="EY126" s="21" t="n">
        <v>150.96</v>
      </c>
      <c r="EZ126" s="21" t="n">
        <v>139.2</v>
      </c>
      <c r="FA126" s="21" t="n">
        <v>206.314</v>
      </c>
      <c r="FB126" s="21" t="n">
        <v>130.782</v>
      </c>
      <c r="FC126" s="21" t="n">
        <v>129.628</v>
      </c>
      <c r="FD126" s="21" t="n">
        <v>131.693</v>
      </c>
      <c r="FE126" s="21" t="n">
        <v>99.997</v>
      </c>
      <c r="FF126" s="21" t="n">
        <v>184.511</v>
      </c>
      <c r="FG126" s="21" t="n">
        <v>80.042</v>
      </c>
      <c r="FH126" s="21" t="n">
        <v>137.971</v>
      </c>
      <c r="FI126" s="21" t="n">
        <v>119.075</v>
      </c>
      <c r="FJ126" s="21" t="n">
        <v>108.79</v>
      </c>
      <c r="FK126" s="21" t="n">
        <v>110.235</v>
      </c>
      <c r="FL126" s="21" t="n">
        <v>102.971</v>
      </c>
      <c r="FM126" s="21" t="n">
        <v>105.181</v>
      </c>
      <c r="FN126" s="21" t="n">
        <v>74.297</v>
      </c>
      <c r="FO126" s="21" t="n">
        <v>113.773</v>
      </c>
      <c r="FP126" s="21" t="n">
        <v>102.601</v>
      </c>
      <c r="FQ126" s="21" t="n">
        <v>144.288</v>
      </c>
      <c r="FR126" s="21" t="n">
        <v>148.104</v>
      </c>
      <c r="FS126" s="21" t="n">
        <v>164.399</v>
      </c>
      <c r="FT126" s="21" t="n">
        <v>131.518</v>
      </c>
      <c r="FU126" s="21" t="n">
        <v>120.347</v>
      </c>
      <c r="FV126" s="21" t="n">
        <v>198.834</v>
      </c>
      <c r="FW126" s="21" t="n">
        <v>157.707</v>
      </c>
      <c r="FX126" s="21" t="n">
        <v>197.327</v>
      </c>
      <c r="FY126" s="21" t="n">
        <v>269.009</v>
      </c>
      <c r="FZ126" s="21" t="n">
        <v>270.107</v>
      </c>
      <c r="GA126" s="21" t="n">
        <v>125.533</v>
      </c>
      <c r="GB126" s="21" t="n">
        <v>178.286</v>
      </c>
      <c r="GC126" s="21" t="n"/>
      <c r="GD126" s="21" t="n">
        <v>173.339</v>
      </c>
      <c r="GE126" s="21" t="n">
        <v>190.255</v>
      </c>
      <c r="GF126" s="21" t="n"/>
      <c r="GG126" s="21" t="n">
        <v>183.664</v>
      </c>
      <c r="GH126" s="21" t="n">
        <v>115.38</v>
      </c>
      <c r="GI126" s="21" t="n">
        <v>162.552</v>
      </c>
      <c r="GJ126" s="21" t="n">
        <v>270.62</v>
      </c>
      <c r="GK126" s="21" t="n">
        <v>269.584</v>
      </c>
      <c r="GL126" s="21" t="n">
        <v>261.919</v>
      </c>
      <c r="GM126" s="21" t="n">
        <v>301.519</v>
      </c>
      <c r="GN126" s="21" t="n">
        <v>300.86</v>
      </c>
      <c r="GO126" s="21" t="n">
        <v>263.918</v>
      </c>
      <c r="GP126" s="21" t="n">
        <v>183.402</v>
      </c>
      <c r="GQ126" s="21" t="n">
        <v>155.212</v>
      </c>
      <c r="GR126" s="21" t="n">
        <v>426.264</v>
      </c>
      <c r="GS126" s="21" t="n">
        <v>288.289</v>
      </c>
      <c r="GT126" s="21" t="n">
        <v>894.287</v>
      </c>
      <c r="GU126" s="21" t="n">
        <v>241.122</v>
      </c>
      <c r="GV126" s="21" t="n">
        <v>286.363</v>
      </c>
      <c r="GW126" s="21" t="n">
        <v>247.099</v>
      </c>
      <c r="GX126" s="21" t="n">
        <v>242.546</v>
      </c>
      <c r="GY126" s="21" t="n">
        <v>158.262</v>
      </c>
      <c r="GZ126" s="21" t="n"/>
      <c r="HA126" s="21" t="n">
        <v>65.056</v>
      </c>
      <c r="HB126" s="21" t="n">
        <v>578.073</v>
      </c>
      <c r="HC126" s="21" t="n">
        <v>417.149</v>
      </c>
      <c r="HD126" s="21" t="n">
        <v>136.528</v>
      </c>
      <c r="HE126" s="21" t="n">
        <v>566.716</v>
      </c>
      <c r="HF126" s="21" t="n">
        <v>110.44</v>
      </c>
      <c r="HG126" s="21" t="n">
        <v>629.926</v>
      </c>
      <c r="HH126" s="21" t="n">
        <v>436.581</v>
      </c>
      <c r="HI126" s="21" t="n">
        <v>427.488</v>
      </c>
      <c r="HJ126" s="21" t="n">
        <v>605.763</v>
      </c>
      <c r="HK126" s="21" t="n">
        <v>214.43</v>
      </c>
      <c r="HL126" s="21" t="n">
        <v>265.738</v>
      </c>
      <c r="HM126" s="21" t="n">
        <v>103.386</v>
      </c>
      <c r="HN126" s="21" t="n">
        <v>432.089</v>
      </c>
      <c r="HO126" s="21" t="n">
        <v>415.356</v>
      </c>
      <c r="HP126" s="21" t="n">
        <v>950.013</v>
      </c>
      <c r="HQ126" s="21" t="n">
        <v>299.891</v>
      </c>
      <c r="HR126" s="21" t="n">
        <v>140.423</v>
      </c>
      <c r="HS126" s="21" t="n">
        <v>119.42</v>
      </c>
      <c r="HT126" s="21" t="n">
        <v>95.387</v>
      </c>
      <c r="HU126" s="21" t="n">
        <v>594.158</v>
      </c>
      <c r="HV126" s="21" t="n">
        <v>102.323</v>
      </c>
      <c r="HW126" s="21" t="n">
        <v>26.759</v>
      </c>
      <c r="HX126" s="21" t="n">
        <v>227.726</v>
      </c>
      <c r="HY126" s="21" t="n">
        <v>240.415</v>
      </c>
      <c r="HZ126" s="21" t="n">
        <v>189.76</v>
      </c>
      <c r="IA126" s="21" t="n">
        <v>132.608</v>
      </c>
      <c r="IB126" s="21" t="n">
        <v>360.025</v>
      </c>
      <c r="IC126" s="21" t="n">
        <v>263.174</v>
      </c>
      <c r="ID126" s="21" t="n">
        <v>392.452</v>
      </c>
      <c r="IE126" s="21" t="n">
        <v>120.241</v>
      </c>
      <c r="IF126" s="21" t="n">
        <v>164.408</v>
      </c>
      <c r="IG126" s="21" t="n">
        <v>82.917</v>
      </c>
      <c r="IH126" s="21" t="n">
        <v>85.949</v>
      </c>
      <c r="II126" s="21" t="n">
        <v>70.26300000000001</v>
      </c>
      <c r="IJ126" s="21" t="n">
        <v>28.887</v>
      </c>
      <c r="IK126" s="21" t="n">
        <v>32.781</v>
      </c>
      <c r="IL126" s="21" t="n">
        <v>27.822</v>
      </c>
      <c r="IM126" s="21" t="n">
        <v>37.639</v>
      </c>
      <c r="IN126" s="21" t="n">
        <v>92.964</v>
      </c>
      <c r="IO126" s="21" t="n">
        <v>125.284</v>
      </c>
      <c r="IP126" s="21" t="n">
        <v>208.026</v>
      </c>
      <c r="IQ126" s="21" t="n">
        <v>169.54</v>
      </c>
      <c r="IR126" s="21" t="n">
        <v>477.754</v>
      </c>
      <c r="IS126" s="21" t="n">
        <v>235.124</v>
      </c>
      <c r="IT126" s="21" t="n">
        <v>245.213</v>
      </c>
      <c r="IU126" s="21" t="n">
        <v>402.694</v>
      </c>
      <c r="IV126" s="21" t="n">
        <v>296.508</v>
      </c>
      <c r="IW126" s="21" t="n">
        <v>146.776</v>
      </c>
      <c r="IX126" s="21" t="n">
        <v>309.025</v>
      </c>
      <c r="IY126" s="21" t="n">
        <v>769.888</v>
      </c>
      <c r="IZ126" s="21" t="n">
        <v>888.6369999999999</v>
      </c>
      <c r="JA126" s="21" t="n">
        <v>954.5</v>
      </c>
      <c r="JB126" s="21" t="n">
        <v>101.543</v>
      </c>
      <c r="JC126" s="21" t="n">
        <v>385.128</v>
      </c>
      <c r="JD126" s="21" t="n">
        <v>278.645</v>
      </c>
      <c r="JE126" s="21" t="n">
        <v>73.182</v>
      </c>
      <c r="JF126" s="21" t="n">
        <v>248.815</v>
      </c>
      <c r="JG126" s="21" t="n">
        <v>386.509</v>
      </c>
      <c r="JH126" s="21" t="n">
        <v>460.366</v>
      </c>
      <c r="JI126" s="21" t="n">
        <v>68.776</v>
      </c>
      <c r="JJ126" s="21" t="n">
        <v>100.824</v>
      </c>
      <c r="JK126" s="21" t="n">
        <v>35.202</v>
      </c>
      <c r="JL126" s="21" t="n">
        <v>84.765</v>
      </c>
      <c r="JM126" s="21" t="n">
        <v>98.318</v>
      </c>
      <c r="JN126" s="21" t="n">
        <v>577.5170000000001</v>
      </c>
      <c r="JO126" s="21" t="n">
        <v>102.789</v>
      </c>
      <c r="JP126" s="21" t="n">
        <v>685.953</v>
      </c>
      <c r="JQ126" s="21" t="n">
        <v>290.168</v>
      </c>
      <c r="JR126" s="21" t="n">
        <v>179.749</v>
      </c>
      <c r="JS126" s="21" t="n">
        <v>579.366</v>
      </c>
      <c r="JT126" s="21" t="n"/>
      <c r="JU126" s="21" t="n">
        <v>404.531</v>
      </c>
      <c r="JV126" s="21" t="n">
        <v>236.657</v>
      </c>
      <c r="JW126" s="21" t="n">
        <v>452.146</v>
      </c>
      <c r="JX126" s="21" t="n">
        <v>353.204</v>
      </c>
      <c r="JY126" s="21" t="n">
        <v>87.58799999999999</v>
      </c>
      <c r="JZ126" s="21" t="n">
        <v>205.655</v>
      </c>
      <c r="KA126" s="21" t="n">
        <v>308.184</v>
      </c>
      <c r="KB126" s="21" t="n">
        <v>327.704</v>
      </c>
      <c r="KC126" s="21" t="n">
        <v>317.852</v>
      </c>
      <c r="KD126" s="21" t="n">
        <v>326.893</v>
      </c>
      <c r="KE126" s="21" t="n">
        <v>287.566</v>
      </c>
      <c r="KF126" s="21" t="n">
        <v>275.167</v>
      </c>
      <c r="KG126" s="21" t="n">
        <v>278.563</v>
      </c>
      <c r="KH126" s="21" t="n">
        <v>283.905</v>
      </c>
      <c r="KI126" s="21" t="n">
        <v>122.902</v>
      </c>
      <c r="KJ126" s="21" t="n">
        <v>223.623</v>
      </c>
      <c r="KK126" s="21" t="n">
        <v>176.247</v>
      </c>
      <c r="KL126" s="21" t="n">
        <v>172.323</v>
      </c>
      <c r="KM126" s="21" t="n">
        <v>165.807</v>
      </c>
      <c r="KN126" s="21" t="n">
        <v>163.868</v>
      </c>
      <c r="KO126" s="21" t="n">
        <v>322.94</v>
      </c>
      <c r="KP126" s="21" t="n">
        <v>122.849</v>
      </c>
      <c r="KQ126" s="21" t="n">
        <v>53.501</v>
      </c>
      <c r="KR126" s="21" t="n">
        <v>124.169</v>
      </c>
      <c r="KS126" s="21" t="n">
        <v>275.377</v>
      </c>
      <c r="KT126" s="21" t="n">
        <v>276.748</v>
      </c>
      <c r="KU126" s="21" t="n">
        <v>106.304</v>
      </c>
      <c r="KV126" s="21" t="n">
        <v>36.309</v>
      </c>
      <c r="KW126" s="21" t="n">
        <v>277.395</v>
      </c>
      <c r="KX126" s="21" t="n">
        <v>227.233</v>
      </c>
      <c r="KY126" s="21" t="n">
        <v>284.63</v>
      </c>
      <c r="KZ126" s="21" t="n">
        <v>223.158</v>
      </c>
      <c r="LA126" s="21" t="n">
        <v>285.373</v>
      </c>
      <c r="LB126" s="21" t="n">
        <v>143.834</v>
      </c>
      <c r="LC126" s="21" t="n">
        <v>425.353</v>
      </c>
      <c r="LD126" s="21" t="n">
        <v>83.313</v>
      </c>
      <c r="LE126" s="21" t="n">
        <v>154.903</v>
      </c>
      <c r="LF126" s="21" t="n">
        <v>432.642</v>
      </c>
      <c r="LG126" s="21" t="n">
        <v>416.451</v>
      </c>
      <c r="LH126" s="21" t="n">
        <v>429.914</v>
      </c>
      <c r="LI126" s="21" t="n">
        <v>400.239</v>
      </c>
      <c r="LJ126" s="21" t="n">
        <v>429.84</v>
      </c>
      <c r="LK126" s="21" t="n">
        <v>131.278</v>
      </c>
      <c r="LL126" s="21" t="n">
        <v>441.615</v>
      </c>
      <c r="LM126" s="21" t="n">
        <v>265.932</v>
      </c>
      <c r="LN126" s="21" t="n">
        <v>32.003</v>
      </c>
      <c r="LO126" s="21" t="n">
        <v>157.37</v>
      </c>
    </row>
    <row r="127">
      <c r="A127" s="22" t="n">
        <v>45809</v>
      </c>
      <c r="B127" s="21" t="n">
        <v>321.435</v>
      </c>
      <c r="C127" s="21" t="n">
        <v>336.527</v>
      </c>
      <c r="D127" s="21" t="n">
        <v>339.468</v>
      </c>
      <c r="E127" s="21" t="n">
        <v>312.982</v>
      </c>
      <c r="F127" s="21" t="n">
        <v>359.259</v>
      </c>
      <c r="G127" s="21" t="n">
        <v>283.575</v>
      </c>
      <c r="H127" s="21" t="n">
        <v>327.913</v>
      </c>
      <c r="I127" s="21" t="n">
        <v>278.493</v>
      </c>
      <c r="J127" s="21" t="n">
        <v>285.706</v>
      </c>
      <c r="K127" s="21" t="n">
        <v>403.89</v>
      </c>
      <c r="L127" s="21" t="n">
        <v>240.298</v>
      </c>
      <c r="M127" s="21" t="n">
        <v>242.051</v>
      </c>
      <c r="N127" s="21" t="n">
        <v>378.429</v>
      </c>
      <c r="O127" s="21" t="n">
        <v>353.051</v>
      </c>
      <c r="P127" s="21" t="n">
        <v>361.292</v>
      </c>
      <c r="Q127" s="21" t="n">
        <v>435.489</v>
      </c>
      <c r="R127" s="21" t="n">
        <v>347.536</v>
      </c>
      <c r="S127" s="21" t="n">
        <v>343.867</v>
      </c>
      <c r="T127" s="21" t="n">
        <v>339.673</v>
      </c>
      <c r="U127" s="21" t="n">
        <v>352.331</v>
      </c>
      <c r="V127" s="21" t="n">
        <v>466.005</v>
      </c>
      <c r="W127" s="21" t="n">
        <v>398.07</v>
      </c>
      <c r="X127" s="21" t="n">
        <v>375.982</v>
      </c>
      <c r="Y127" s="21" t="n">
        <v>311.42</v>
      </c>
      <c r="Z127" s="21" t="n">
        <v>269.299</v>
      </c>
      <c r="AA127" s="21" t="n">
        <v>206.06</v>
      </c>
      <c r="AB127" s="21" t="n">
        <v>388.744</v>
      </c>
      <c r="AC127" s="21" t="n">
        <v>188.595</v>
      </c>
      <c r="AD127" s="21" t="n">
        <v>246.704</v>
      </c>
      <c r="AE127" s="21" t="n">
        <v>274.861</v>
      </c>
      <c r="AF127" s="21" t="n">
        <v>245.568</v>
      </c>
      <c r="AG127" s="21" t="n">
        <v>160.697</v>
      </c>
      <c r="AH127" s="21" t="n">
        <v>289.738</v>
      </c>
      <c r="AI127" s="21" t="n">
        <v>309.422</v>
      </c>
      <c r="AJ127" s="21" t="n">
        <v>182.844</v>
      </c>
      <c r="AK127" s="21" t="n">
        <v>312.538</v>
      </c>
      <c r="AL127" s="21" t="n">
        <v>200.848</v>
      </c>
      <c r="AM127" s="21" t="n">
        <v>330.665</v>
      </c>
      <c r="AN127" s="21" t="n">
        <v>301.19</v>
      </c>
      <c r="AO127" s="21" t="n">
        <v>204.909</v>
      </c>
      <c r="AP127" s="21" t="n">
        <v>356.657</v>
      </c>
      <c r="AQ127" s="21" t="n">
        <v>224.377</v>
      </c>
      <c r="AR127" s="21" t="n">
        <v>175.021</v>
      </c>
      <c r="AS127" s="21" t="n">
        <v>247.366</v>
      </c>
      <c r="AT127" s="21" t="n">
        <v>383.127</v>
      </c>
      <c r="AU127" s="21" t="n">
        <v>395.077</v>
      </c>
      <c r="AV127" s="21" t="n">
        <v>270.626</v>
      </c>
      <c r="AW127" s="21" t="n">
        <v>177.239</v>
      </c>
      <c r="AX127" s="21" t="n">
        <v>249.416</v>
      </c>
      <c r="AY127" s="21" t="n">
        <v>185.38</v>
      </c>
      <c r="AZ127" s="21" t="n">
        <v>268.617</v>
      </c>
      <c r="BA127" s="21" t="n">
        <v>275.731</v>
      </c>
      <c r="BB127" s="21" t="n">
        <v>189.778</v>
      </c>
      <c r="BC127" s="21" t="n">
        <v>352.712</v>
      </c>
      <c r="BD127" s="21" t="n">
        <v>396.774</v>
      </c>
      <c r="BE127" s="21" t="n">
        <v>416.35</v>
      </c>
      <c r="BF127" s="21" t="n">
        <v>356.772</v>
      </c>
      <c r="BG127" s="21" t="n">
        <v>214.951</v>
      </c>
      <c r="BH127" s="21" t="n">
        <v>298.901</v>
      </c>
      <c r="BI127" s="21" t="n">
        <v>604.224</v>
      </c>
      <c r="BJ127" s="21" t="n">
        <v>145.823</v>
      </c>
      <c r="BK127" s="21" t="n">
        <v>375.515</v>
      </c>
      <c r="BL127" s="21" t="n">
        <v>424.357</v>
      </c>
      <c r="BM127" s="21" t="n">
        <v>396.476</v>
      </c>
      <c r="BN127" s="21" t="n">
        <v>339.13</v>
      </c>
      <c r="BO127" s="21" t="n">
        <v>375.047</v>
      </c>
      <c r="BP127" s="21" t="n">
        <v>205.079</v>
      </c>
      <c r="BQ127" s="21" t="n">
        <v>222.254</v>
      </c>
      <c r="BR127" s="21" t="n">
        <v>211.275</v>
      </c>
      <c r="BS127" s="21" t="n">
        <v>238.643</v>
      </c>
      <c r="BT127" s="21" t="n">
        <v>183.869</v>
      </c>
      <c r="BU127" s="21" t="n">
        <v>256.322</v>
      </c>
      <c r="BV127" s="21" t="n">
        <v>195.502</v>
      </c>
      <c r="BW127" s="21" t="n">
        <v>229.231</v>
      </c>
      <c r="BX127" s="21" t="n">
        <v>180.637</v>
      </c>
      <c r="BY127" s="21" t="n">
        <v>234.851</v>
      </c>
      <c r="BZ127" s="21" t="n">
        <v>159.033</v>
      </c>
      <c r="CA127" s="21" t="n">
        <v>152.931</v>
      </c>
      <c r="CB127" s="21" t="n">
        <v>264.002</v>
      </c>
      <c r="CC127" s="21" t="n">
        <v>275.798</v>
      </c>
      <c r="CD127" s="21" t="n">
        <v>164.005</v>
      </c>
      <c r="CE127" s="21" t="n">
        <v>276.225</v>
      </c>
      <c r="CF127" s="21" t="n">
        <v>304.107</v>
      </c>
      <c r="CG127" s="21" t="n">
        <v>276.412</v>
      </c>
      <c r="CH127" s="21" t="n">
        <v>210.066</v>
      </c>
      <c r="CI127" s="21" t="n">
        <v>196.122</v>
      </c>
      <c r="CJ127" s="21" t="n">
        <v>315.088</v>
      </c>
      <c r="CK127" s="21" t="n">
        <v>278.432</v>
      </c>
      <c r="CL127" s="21" t="n">
        <v>317.772</v>
      </c>
      <c r="CM127" s="21" t="n">
        <v>469.152</v>
      </c>
      <c r="CN127" s="21" t="n">
        <v>172.779</v>
      </c>
      <c r="CO127" s="21" t="n">
        <v>225.142</v>
      </c>
      <c r="CP127" s="21" t="n">
        <v>289.239</v>
      </c>
      <c r="CQ127" s="21" t="n">
        <v>321.212</v>
      </c>
      <c r="CR127" s="21" t="n">
        <v>214.269</v>
      </c>
      <c r="CS127" s="21" t="n">
        <v>309.407</v>
      </c>
      <c r="CT127" s="21" t="n">
        <v>318.932</v>
      </c>
      <c r="CU127" s="21" t="n">
        <v>189.067</v>
      </c>
      <c r="CV127" s="21" t="n">
        <v>198.288</v>
      </c>
      <c r="CW127" s="21" t="n">
        <v>187.933</v>
      </c>
      <c r="CX127" s="21" t="n">
        <v>397.619</v>
      </c>
      <c r="CY127" s="21" t="n">
        <v>172.112</v>
      </c>
      <c r="CZ127" s="21" t="n">
        <v>160.987</v>
      </c>
      <c r="DA127" s="21" t="n">
        <v>382.75</v>
      </c>
      <c r="DB127" s="21" t="n">
        <v>235.929</v>
      </c>
      <c r="DC127" s="21" t="n">
        <v>213.867</v>
      </c>
      <c r="DD127" s="21" t="n"/>
      <c r="DE127" s="21" t="n">
        <v>254.997</v>
      </c>
      <c r="DF127" s="21" t="n">
        <v>294.883</v>
      </c>
      <c r="DG127" s="21" t="n">
        <v>229.626</v>
      </c>
      <c r="DH127" s="21" t="n">
        <v>276.944</v>
      </c>
      <c r="DI127" s="21" t="n">
        <v>211.676</v>
      </c>
      <c r="DJ127" s="21" t="n">
        <v>219.477</v>
      </c>
      <c r="DK127" s="21" t="n">
        <v>207.329</v>
      </c>
      <c r="DL127" s="21" t="n">
        <v>181.295</v>
      </c>
      <c r="DM127" s="21" t="n">
        <v>441.919</v>
      </c>
      <c r="DN127" s="21" t="n">
        <v>246.758</v>
      </c>
      <c r="DO127" s="21" t="n">
        <v>346.893</v>
      </c>
      <c r="DP127" s="21" t="n">
        <v>414.981</v>
      </c>
      <c r="DQ127" s="21" t="n">
        <v>435.033</v>
      </c>
      <c r="DR127" s="21" t="n">
        <v>182.607</v>
      </c>
      <c r="DS127" s="21" t="n">
        <v>665.558</v>
      </c>
      <c r="DT127" s="21" t="n">
        <v>369.883</v>
      </c>
      <c r="DU127" s="21" t="n">
        <v>427.833</v>
      </c>
      <c r="DV127" s="21" t="n">
        <v>427.84</v>
      </c>
      <c r="DW127" s="21" t="n">
        <v>334.578</v>
      </c>
      <c r="DX127" s="21" t="n">
        <v>281.386</v>
      </c>
      <c r="DY127" s="21" t="n">
        <v>361.098</v>
      </c>
      <c r="DZ127" s="21" t="n">
        <v>350.518</v>
      </c>
      <c r="EA127" s="21" t="n">
        <v>427.978</v>
      </c>
      <c r="EB127" s="21" t="n">
        <v>287.302</v>
      </c>
      <c r="EC127" s="21" t="n">
        <v>293.838</v>
      </c>
      <c r="ED127" s="21" t="n">
        <v>261.785</v>
      </c>
      <c r="EE127" s="21" t="n">
        <v>316.851</v>
      </c>
      <c r="EF127" s="21" t="n">
        <v>724.99</v>
      </c>
      <c r="EG127" s="21" t="n">
        <v>648.477</v>
      </c>
      <c r="EH127" s="21" t="n">
        <v>152.047</v>
      </c>
      <c r="EI127" s="21" t="n">
        <v>63.01</v>
      </c>
      <c r="EJ127" s="21" t="n">
        <v>84.375</v>
      </c>
      <c r="EK127" s="21" t="n">
        <v>43.098</v>
      </c>
      <c r="EL127" s="21" t="n">
        <v>132.186</v>
      </c>
      <c r="EM127" s="21" t="n">
        <v>75.29300000000001</v>
      </c>
      <c r="EN127" s="21" t="n">
        <v>85.205</v>
      </c>
      <c r="EO127" s="21" t="n">
        <v>91.708</v>
      </c>
      <c r="EP127" s="21" t="n">
        <v>113.593</v>
      </c>
      <c r="EQ127" s="21" t="n">
        <v>74.17700000000001</v>
      </c>
      <c r="ER127" s="21" t="n">
        <v>55.714</v>
      </c>
      <c r="ES127" s="21" t="n">
        <v>163.517</v>
      </c>
      <c r="ET127" s="21" t="n">
        <v>78.709</v>
      </c>
      <c r="EU127" s="21" t="n">
        <v>112.158</v>
      </c>
      <c r="EV127" s="21" t="n">
        <v>124.995</v>
      </c>
      <c r="EW127" s="21" t="n">
        <v>106.591</v>
      </c>
      <c r="EX127" s="21" t="n">
        <v>237.529</v>
      </c>
      <c r="EY127" s="21" t="n">
        <v>151.282</v>
      </c>
      <c r="EZ127" s="21" t="n">
        <v>140.688</v>
      </c>
      <c r="FA127" s="21" t="n">
        <v>205.677</v>
      </c>
      <c r="FB127" s="21" t="n">
        <v>131.214</v>
      </c>
      <c r="FC127" s="21" t="n">
        <v>129.801</v>
      </c>
      <c r="FD127" s="21" t="n">
        <v>132.266</v>
      </c>
      <c r="FE127" s="21" t="n">
        <v>97.821</v>
      </c>
      <c r="FF127" s="21" t="n">
        <v>184.193</v>
      </c>
      <c r="FG127" s="21" t="n">
        <v>82.565</v>
      </c>
      <c r="FH127" s="21" t="n">
        <v>138.69</v>
      </c>
      <c r="FI127" s="21" t="n">
        <v>118.384</v>
      </c>
      <c r="FJ127" s="21" t="n">
        <v>109.098</v>
      </c>
      <c r="FK127" s="21" t="n">
        <v>110.666</v>
      </c>
      <c r="FL127" s="21" t="n">
        <v>101.787</v>
      </c>
      <c r="FM127" s="21" t="n">
        <v>107.733</v>
      </c>
      <c r="FN127" s="21" t="n">
        <v>74.276</v>
      </c>
      <c r="FO127" s="21" t="n">
        <v>115.123</v>
      </c>
      <c r="FP127" s="21" t="n">
        <v>102.032</v>
      </c>
      <c r="FQ127" s="21" t="n">
        <v>145.244</v>
      </c>
      <c r="FR127" s="21" t="n">
        <v>151.155</v>
      </c>
      <c r="FS127" s="21" t="n">
        <v>161.683</v>
      </c>
      <c r="FT127" s="21" t="n">
        <v>132.475</v>
      </c>
      <c r="FU127" s="21" t="n">
        <v>120.971</v>
      </c>
      <c r="FV127" s="21" t="n">
        <v>199.151</v>
      </c>
      <c r="FW127" s="21" t="n">
        <v>160.548</v>
      </c>
      <c r="FX127" s="21" t="n">
        <v>197.361</v>
      </c>
      <c r="FY127" s="21" t="n">
        <v>269.017</v>
      </c>
      <c r="FZ127" s="21" t="n">
        <v>269.927</v>
      </c>
      <c r="GA127" s="21" t="n">
        <v>125.203</v>
      </c>
      <c r="GB127" s="21" t="n">
        <v>177.778</v>
      </c>
      <c r="GC127" s="21" t="n"/>
      <c r="GD127" s="21" t="n">
        <v>172.906</v>
      </c>
      <c r="GE127" s="21" t="n">
        <v>189.719</v>
      </c>
      <c r="GF127" s="21" t="n"/>
      <c r="GG127" s="21" t="n">
        <v>182.833</v>
      </c>
      <c r="GH127" s="21" t="n">
        <v>115.033</v>
      </c>
      <c r="GI127" s="21" t="n">
        <v>167.461</v>
      </c>
      <c r="GJ127" s="21" t="n">
        <v>270.993</v>
      </c>
      <c r="GK127" s="21" t="n">
        <v>269.865</v>
      </c>
      <c r="GL127" s="21" t="n">
        <v>262.269</v>
      </c>
      <c r="GM127" s="21" t="n">
        <v>301.365</v>
      </c>
      <c r="GN127" s="21" t="n">
        <v>300.605</v>
      </c>
      <c r="GO127" s="21" t="n">
        <v>265.79</v>
      </c>
      <c r="GP127" s="21" t="n">
        <v>184.509</v>
      </c>
      <c r="GQ127" s="21" t="n">
        <v>156.623</v>
      </c>
      <c r="GR127" s="21" t="n">
        <v>427.256</v>
      </c>
      <c r="GS127" s="21" t="n">
        <v>289.374</v>
      </c>
      <c r="GT127" s="21" t="n">
        <v>895.5549999999999</v>
      </c>
      <c r="GU127" s="21" t="n">
        <v>237.392</v>
      </c>
      <c r="GV127" s="21" t="n">
        <v>286.74</v>
      </c>
      <c r="GW127" s="21" t="n">
        <v>249.029</v>
      </c>
      <c r="GX127" s="21" t="n">
        <v>243.37</v>
      </c>
      <c r="GY127" s="21" t="n">
        <v>157.247</v>
      </c>
      <c r="GZ127" s="21" t="n"/>
      <c r="HA127" s="21" t="n">
        <v>62.892</v>
      </c>
      <c r="HB127" s="21" t="n">
        <v>580.527</v>
      </c>
      <c r="HC127" s="21" t="n">
        <v>417.575</v>
      </c>
      <c r="HD127" s="21" t="n">
        <v>136.598</v>
      </c>
      <c r="HE127" s="21" t="n">
        <v>569.098</v>
      </c>
      <c r="HF127" s="21" t="n">
        <v>109.649</v>
      </c>
      <c r="HG127" s="21" t="n">
        <v>633.057</v>
      </c>
      <c r="HH127" s="21" t="n">
        <v>439.338</v>
      </c>
      <c r="HI127" s="21" t="n">
        <v>428.398</v>
      </c>
      <c r="HJ127" s="21" t="n">
        <v>614.187</v>
      </c>
      <c r="HK127" s="21" t="n">
        <v>215.51</v>
      </c>
      <c r="HL127" s="21" t="n">
        <v>267.845</v>
      </c>
      <c r="HM127" s="21" t="n">
        <v>103.82</v>
      </c>
      <c r="HN127" s="21" t="n">
        <v>435.037</v>
      </c>
      <c r="HO127" s="21" t="n"/>
      <c r="HP127" s="21" t="n">
        <v>955.5119999999999</v>
      </c>
      <c r="HQ127" s="21" t="n">
        <v>300.47</v>
      </c>
      <c r="HR127" s="21" t="n">
        <v>140.881</v>
      </c>
      <c r="HS127" s="21" t="n">
        <v>119.84</v>
      </c>
      <c r="HT127" s="21" t="n">
        <v>95.095</v>
      </c>
      <c r="HU127" s="21" t="n">
        <v>595.773</v>
      </c>
      <c r="HV127" s="21" t="n">
        <v>106.332</v>
      </c>
      <c r="HW127" s="21" t="n">
        <v>27.535</v>
      </c>
      <c r="HX127" s="21" t="n">
        <v>228.554</v>
      </c>
      <c r="HY127" s="21" t="n">
        <v>240.787</v>
      </c>
      <c r="HZ127" s="21" t="n">
        <v>191.23</v>
      </c>
      <c r="IA127" s="21" t="n">
        <v>131.571</v>
      </c>
      <c r="IB127" s="21" t="n">
        <v>362.211</v>
      </c>
      <c r="IC127" s="21" t="n">
        <v>266.268</v>
      </c>
      <c r="ID127" s="21" t="n">
        <v>392.506</v>
      </c>
      <c r="IE127" s="21" t="n">
        <v>121.927</v>
      </c>
      <c r="IF127" s="21" t="n">
        <v>166.053</v>
      </c>
      <c r="IG127" s="21" t="n">
        <v>84.44499999999999</v>
      </c>
      <c r="IH127" s="21" t="n">
        <v>84.41</v>
      </c>
      <c r="II127" s="21" t="n">
        <v>70.64400000000001</v>
      </c>
      <c r="IJ127" s="21" t="n">
        <v>29.044</v>
      </c>
      <c r="IK127" s="21" t="n">
        <v>32.984</v>
      </c>
      <c r="IL127" s="21" t="n">
        <v>28.088</v>
      </c>
      <c r="IM127" s="21" t="n">
        <v>37.931</v>
      </c>
      <c r="IN127" s="21" t="n">
        <v>89.517</v>
      </c>
      <c r="IO127" s="21" t="n">
        <v>125.568</v>
      </c>
      <c r="IP127" s="21" t="n">
        <v>208.319</v>
      </c>
      <c r="IQ127" s="21" t="n">
        <v>170.025</v>
      </c>
      <c r="IR127" s="21" t="n">
        <v>476.985</v>
      </c>
      <c r="IS127" s="21" t="n">
        <v>234.471</v>
      </c>
      <c r="IT127" s="21" t="n">
        <v>241.591</v>
      </c>
      <c r="IU127" s="21" t="n">
        <v>408.125</v>
      </c>
      <c r="IV127" s="21" t="n">
        <v>293.431</v>
      </c>
      <c r="IW127" s="21" t="n">
        <v>146.931</v>
      </c>
      <c r="IX127" s="21" t="n">
        <v>309.698</v>
      </c>
      <c r="IY127" s="21" t="n">
        <v>766.716</v>
      </c>
      <c r="IZ127" s="21" t="n">
        <v>890.663</v>
      </c>
      <c r="JA127" s="21" t="n">
        <v>956.116</v>
      </c>
      <c r="JB127" s="21" t="n">
        <v>101.925</v>
      </c>
      <c r="JC127" s="21" t="n">
        <v>386.467</v>
      </c>
      <c r="JD127" s="21" t="n">
        <v>278.294</v>
      </c>
      <c r="JE127" s="21" t="n">
        <v>73.19199999999999</v>
      </c>
      <c r="JF127" s="21" t="n">
        <v>249.984</v>
      </c>
      <c r="JG127" s="21" t="n">
        <v>388.28</v>
      </c>
      <c r="JH127" s="21" t="n">
        <v>463.851</v>
      </c>
      <c r="JI127" s="21" t="n">
        <v>68.78</v>
      </c>
      <c r="JJ127" s="21" t="n">
        <v>101.072</v>
      </c>
      <c r="JK127" s="21" t="n">
        <v>35.685</v>
      </c>
      <c r="JL127" s="21" t="n">
        <v>85.18300000000001</v>
      </c>
      <c r="JM127" s="21" t="n">
        <v>97.318</v>
      </c>
      <c r="JN127" s="21" t="n">
        <v>579.746</v>
      </c>
      <c r="JO127" s="21" t="n">
        <v>103.335</v>
      </c>
      <c r="JP127" s="21" t="n">
        <v>687.9880000000001</v>
      </c>
      <c r="JQ127" s="21" t="n">
        <v>291.204</v>
      </c>
      <c r="JR127" s="21" t="n">
        <v>179.935</v>
      </c>
      <c r="JS127" s="21" t="n">
        <v>583.004</v>
      </c>
      <c r="JT127" s="21" t="n"/>
      <c r="JU127" s="21" t="n">
        <v>404.54</v>
      </c>
      <c r="JV127" s="21" t="n">
        <v>240.402</v>
      </c>
      <c r="JW127" s="21" t="n">
        <v>451.87</v>
      </c>
      <c r="JX127" s="21" t="n">
        <v>352.945</v>
      </c>
      <c r="JY127" s="21" t="n">
        <v>87.925</v>
      </c>
      <c r="JZ127" s="21" t="n">
        <v>205.203</v>
      </c>
      <c r="KA127" s="21" t="n">
        <v>308.921</v>
      </c>
      <c r="KB127" s="21" t="n">
        <v>328.5</v>
      </c>
      <c r="KC127" s="21" t="n">
        <v>318.641</v>
      </c>
      <c r="KD127" s="21" t="n">
        <v>327.658</v>
      </c>
      <c r="KE127" s="21" t="n">
        <v>288.367</v>
      </c>
      <c r="KF127" s="21" t="n">
        <v>275.922</v>
      </c>
      <c r="KG127" s="21" t="n">
        <v>279.267</v>
      </c>
      <c r="KH127" s="21" t="n">
        <v>284.737</v>
      </c>
      <c r="KI127" s="21" t="n">
        <v>123.187</v>
      </c>
      <c r="KJ127" s="21" t="n">
        <v>224.125</v>
      </c>
      <c r="KK127" s="21" t="n">
        <v>176.568</v>
      </c>
      <c r="KL127" s="21" t="n">
        <v>172.64</v>
      </c>
      <c r="KM127" s="21" t="n">
        <v>166.114</v>
      </c>
      <c r="KN127" s="21" t="n">
        <v>164.319</v>
      </c>
      <c r="KO127" s="21" t="n">
        <v>323.064</v>
      </c>
      <c r="KP127" s="21" t="n">
        <v>122.888</v>
      </c>
      <c r="KQ127" s="21" t="n">
        <v>53.451</v>
      </c>
      <c r="KR127" s="21" t="n">
        <v>124.338</v>
      </c>
      <c r="KS127" s="21" t="n">
        <v>276.558</v>
      </c>
      <c r="KT127" s="21" t="n">
        <v>277.206</v>
      </c>
      <c r="KU127" s="21" t="n">
        <v>107.235</v>
      </c>
      <c r="KV127" s="21" t="n">
        <v>36.282</v>
      </c>
      <c r="KW127" s="21" t="n">
        <v>278.31</v>
      </c>
      <c r="KX127" s="21" t="n">
        <v>228.419</v>
      </c>
      <c r="KY127" s="21" t="n">
        <v>286.197</v>
      </c>
      <c r="KZ127" s="21" t="n">
        <v>224.396</v>
      </c>
      <c r="LA127" s="21" t="n">
        <v>287.079</v>
      </c>
      <c r="LB127" s="21" t="n">
        <v>144.265</v>
      </c>
      <c r="LC127" s="21" t="n">
        <v>426.312</v>
      </c>
      <c r="LD127" s="21" t="n">
        <v>83.82599999999999</v>
      </c>
      <c r="LE127" s="21" t="n">
        <v>155.172</v>
      </c>
      <c r="LF127" s="21" t="n">
        <v>433.585</v>
      </c>
      <c r="LG127" s="21" t="n">
        <v>417.689</v>
      </c>
      <c r="LH127" s="21" t="n">
        <v>431.105</v>
      </c>
      <c r="LI127" s="21" t="n">
        <v>401.299</v>
      </c>
      <c r="LJ127" s="21" t="n">
        <v>431.567</v>
      </c>
      <c r="LK127" s="21" t="n">
        <v>130.911</v>
      </c>
      <c r="LL127" s="21" t="n">
        <v>442.801</v>
      </c>
      <c r="LM127" s="21" t="n">
        <v>266.86</v>
      </c>
      <c r="LN127" s="21" t="n">
        <v>32.314</v>
      </c>
      <c r="LO127" s="21" t="n">
        <v>157.623</v>
      </c>
    </row>
    <row r="128">
      <c r="A128" s="22" t="n">
        <v>45839</v>
      </c>
      <c r="B128" s="21" t="n">
        <v>322.169</v>
      </c>
      <c r="C128" s="21" t="n">
        <v>336.941</v>
      </c>
      <c r="D128" s="21" t="n">
        <v>339.891</v>
      </c>
      <c r="E128" s="21" t="n">
        <v>313.035</v>
      </c>
      <c r="F128" s="21" t="n">
        <v>358.864</v>
      </c>
      <c r="G128" s="21" t="n">
        <v>281.3</v>
      </c>
      <c r="H128" s="21" t="n">
        <v>324.03</v>
      </c>
      <c r="I128" s="21" t="n">
        <v>276.469</v>
      </c>
      <c r="J128" s="21" t="n">
        <v>284.286</v>
      </c>
      <c r="K128" s="21" t="n">
        <v>404.764</v>
      </c>
      <c r="L128" s="21" t="n">
        <v>241.244</v>
      </c>
      <c r="M128" s="21" t="n">
        <v>241.018</v>
      </c>
      <c r="N128" s="21" t="n">
        <v>384.948</v>
      </c>
      <c r="O128" s="21" t="n">
        <v>367.752</v>
      </c>
      <c r="P128" s="21" t="n">
        <v>358.28</v>
      </c>
      <c r="Q128" s="21" t="n">
        <v>433.436</v>
      </c>
      <c r="R128" s="21" t="n">
        <v>342.327</v>
      </c>
      <c r="S128" s="21" t="n">
        <v>344.077</v>
      </c>
      <c r="T128" s="21" t="n">
        <v>341.269</v>
      </c>
      <c r="U128" s="21" t="n">
        <v>355.22</v>
      </c>
      <c r="V128" s="21" t="n">
        <v>472.578</v>
      </c>
      <c r="W128" s="21" t="n">
        <v>404.066</v>
      </c>
      <c r="X128" s="21" t="n">
        <v>381.138</v>
      </c>
      <c r="Y128" s="21" t="n">
        <v>317.885</v>
      </c>
      <c r="Z128" s="21" t="n">
        <v>270.325</v>
      </c>
      <c r="AA128" s="21" t="n">
        <v>206.263</v>
      </c>
      <c r="AB128" s="21" t="n">
        <v>390.605</v>
      </c>
      <c r="AC128" s="21" t="n">
        <v>186.955</v>
      </c>
      <c r="AD128" s="21" t="n">
        <v>254.406</v>
      </c>
      <c r="AE128" s="21" t="n">
        <v>280.4</v>
      </c>
      <c r="AF128" s="21" t="n">
        <v>250.37</v>
      </c>
      <c r="AG128" s="21" t="n">
        <v>160.845</v>
      </c>
      <c r="AH128" s="21" t="n">
        <v>289.696</v>
      </c>
      <c r="AI128" s="21" t="n">
        <v>306.927</v>
      </c>
      <c r="AJ128" s="21" t="n">
        <v>186.262</v>
      </c>
      <c r="AK128" s="21" t="n">
        <v>312.372</v>
      </c>
      <c r="AL128" s="21" t="n">
        <v>200.149</v>
      </c>
      <c r="AM128" s="21" t="n">
        <v>330.81</v>
      </c>
      <c r="AN128" s="21" t="n">
        <v>300.927</v>
      </c>
      <c r="AO128" s="21" t="n">
        <v>205.074</v>
      </c>
      <c r="AP128" s="21" t="n">
        <v>355.725</v>
      </c>
      <c r="AQ128" s="21" t="n">
        <v>223.282</v>
      </c>
      <c r="AR128" s="21" t="n">
        <v>175.187</v>
      </c>
      <c r="AS128" s="21" t="n">
        <v>246.106</v>
      </c>
      <c r="AT128" s="21" t="n">
        <v>387.041</v>
      </c>
      <c r="AU128" s="21" t="n">
        <v>381.448</v>
      </c>
      <c r="AV128" s="21" t="n">
        <v>272.586</v>
      </c>
      <c r="AW128" s="21" t="n">
        <v>180.534</v>
      </c>
      <c r="AX128" s="21" t="n">
        <v>255.612</v>
      </c>
      <c r="AY128" s="21" t="n">
        <v>188.123</v>
      </c>
      <c r="AZ128" s="21" t="n">
        <v>267.656</v>
      </c>
      <c r="BA128" s="21" t="n">
        <v>275.126</v>
      </c>
      <c r="BB128" s="21" t="n">
        <v>192.097</v>
      </c>
      <c r="BC128" s="21" t="n">
        <v>353.041</v>
      </c>
      <c r="BD128" s="21" t="n">
        <v>396.855</v>
      </c>
      <c r="BE128" s="21" t="n">
        <v>413.693</v>
      </c>
      <c r="BF128" s="21" t="n">
        <v>351.706</v>
      </c>
      <c r="BG128" s="21" t="n">
        <v>215.742</v>
      </c>
      <c r="BH128" s="21" t="n">
        <v>302.557</v>
      </c>
      <c r="BI128" s="21" t="n">
        <v>612.859</v>
      </c>
      <c r="BJ128" s="21" t="n">
        <v>142.934</v>
      </c>
      <c r="BK128" s="21" t="n">
        <v>378.177</v>
      </c>
      <c r="BL128" s="21" t="n">
        <v>416.972</v>
      </c>
      <c r="BM128" s="21" t="n">
        <v>407.523</v>
      </c>
      <c r="BN128" s="21" t="n">
        <v>343.914</v>
      </c>
      <c r="BO128" s="21" t="n">
        <v>378.473</v>
      </c>
      <c r="BP128" s="21" t="n">
        <v>206.005</v>
      </c>
      <c r="BQ128" s="21" t="n">
        <v>222.374</v>
      </c>
      <c r="BR128" s="21" t="n">
        <v>212.766</v>
      </c>
      <c r="BS128" s="21" t="n">
        <v>238.213</v>
      </c>
      <c r="BT128" s="21" t="n">
        <v>185.488</v>
      </c>
      <c r="BU128" s="21" t="n">
        <v>258.003</v>
      </c>
      <c r="BV128" s="21" t="n">
        <v>196.624</v>
      </c>
      <c r="BW128" s="21" t="n">
        <v>228.528</v>
      </c>
      <c r="BX128" s="21" t="n">
        <v>178.625</v>
      </c>
      <c r="BY128" s="21" t="n">
        <v>232.816</v>
      </c>
      <c r="BZ128" s="21" t="n">
        <v>156.452</v>
      </c>
      <c r="CA128" s="21" t="n">
        <v>154.689</v>
      </c>
      <c r="CB128" s="21" t="n">
        <v>269.919</v>
      </c>
      <c r="CC128" s="21" t="n">
        <v>281.582</v>
      </c>
      <c r="CD128" s="21" t="n">
        <v>163.955</v>
      </c>
      <c r="CE128" s="21" t="n">
        <v>275.973</v>
      </c>
      <c r="CF128" s="21" t="n">
        <v>304.077</v>
      </c>
      <c r="CG128" s="21" t="n">
        <v>274.855</v>
      </c>
      <c r="CH128" s="21" t="n">
        <v>210.276</v>
      </c>
      <c r="CI128" s="21" t="n">
        <v>194.212</v>
      </c>
      <c r="CJ128" s="21" t="n">
        <v>312.512</v>
      </c>
      <c r="CK128" s="21" t="n">
        <v>277.306</v>
      </c>
      <c r="CL128" s="21" t="n">
        <v>314.867</v>
      </c>
      <c r="CM128" s="21" t="n">
        <v>470.843</v>
      </c>
      <c r="CN128" s="21" t="n">
        <v>175.139</v>
      </c>
      <c r="CO128" s="21" t="n">
        <v>220.971</v>
      </c>
      <c r="CP128" s="21" t="n">
        <v>289.227</v>
      </c>
      <c r="CQ128" s="21" t="n">
        <v>318.753</v>
      </c>
      <c r="CR128" s="21" t="n">
        <v>213.222</v>
      </c>
      <c r="CS128" s="21" t="n">
        <v>308.337</v>
      </c>
      <c r="CT128" s="21" t="n">
        <v>317.287</v>
      </c>
      <c r="CU128" s="21" t="n">
        <v>187.137</v>
      </c>
      <c r="CV128" s="21" t="n">
        <v>196.533</v>
      </c>
      <c r="CW128" s="21" t="n">
        <v>188.771</v>
      </c>
      <c r="CX128" s="21" t="n">
        <v>400.59</v>
      </c>
      <c r="CY128" s="21" t="n">
        <v>173.256</v>
      </c>
      <c r="CZ128" s="21" t="n">
        <v>160.645</v>
      </c>
      <c r="DA128" s="21" t="n">
        <v>383.808</v>
      </c>
      <c r="DB128" s="21" t="n">
        <v>237.037</v>
      </c>
      <c r="DC128" s="21" t="n">
        <v>215.493</v>
      </c>
      <c r="DD128" s="21" t="n"/>
      <c r="DE128" s="21" t="n">
        <v>255.571</v>
      </c>
      <c r="DF128" s="21" t="n">
        <v>295.176</v>
      </c>
      <c r="DG128" s="21" t="n">
        <v>229.81</v>
      </c>
      <c r="DH128" s="21" t="n">
        <v>277.423</v>
      </c>
      <c r="DI128" s="21" t="n">
        <v>212.794</v>
      </c>
      <c r="DJ128" s="21" t="n">
        <v>220.211</v>
      </c>
      <c r="DK128" s="21" t="n">
        <v>208.501</v>
      </c>
      <c r="DL128" s="21" t="n">
        <v>180.926</v>
      </c>
      <c r="DM128" s="21" t="n">
        <v>442.9</v>
      </c>
      <c r="DN128" s="21" t="n">
        <v>247.095</v>
      </c>
      <c r="DO128" s="21" t="n">
        <v>347.642</v>
      </c>
      <c r="DP128" s="21" t="n">
        <v>415.931</v>
      </c>
      <c r="DQ128" s="21" t="n">
        <v>436.05</v>
      </c>
      <c r="DR128" s="21" t="n">
        <v>180.824</v>
      </c>
      <c r="DS128" s="21" t="n">
        <v>667.222</v>
      </c>
      <c r="DT128" s="21" t="n">
        <v>365.253</v>
      </c>
      <c r="DU128" s="21" t="n">
        <v>429.015</v>
      </c>
      <c r="DV128" s="21" t="n">
        <v>429.022</v>
      </c>
      <c r="DW128" s="21" t="n">
        <v>334.546</v>
      </c>
      <c r="DX128" s="21" t="n">
        <v>280.951</v>
      </c>
      <c r="DY128" s="21" t="n">
        <v>360.956</v>
      </c>
      <c r="DZ128" s="21" t="n">
        <v>354.116</v>
      </c>
      <c r="EA128" s="21" t="n">
        <v>423.874</v>
      </c>
      <c r="EB128" s="21" t="n">
        <v>286.844</v>
      </c>
      <c r="EC128" s="21" t="n">
        <v>293.754</v>
      </c>
      <c r="ED128" s="21" t="n">
        <v>260.315</v>
      </c>
      <c r="EE128" s="21" t="n">
        <v>318.244</v>
      </c>
      <c r="EF128" s="21" t="n">
        <v>727.474</v>
      </c>
      <c r="EG128" s="21" t="n">
        <v>652.682</v>
      </c>
      <c r="EH128" s="21" t="n">
        <v>152.562</v>
      </c>
      <c r="EI128" s="21" t="n">
        <v>63.709</v>
      </c>
      <c r="EJ128" s="21" t="n">
        <v>83.71599999999999</v>
      </c>
      <c r="EK128" s="21" t="n">
        <v>43.636</v>
      </c>
      <c r="EL128" s="21" t="n">
        <v>133.374</v>
      </c>
      <c r="EM128" s="21" t="n">
        <v>76.27200000000001</v>
      </c>
      <c r="EN128" s="21" t="n">
        <v>84.387</v>
      </c>
      <c r="EO128" s="21" t="n">
        <v>89.771</v>
      </c>
      <c r="EP128" s="21" t="n">
        <v>111.492</v>
      </c>
      <c r="EQ128" s="21" t="n">
        <v>73.907</v>
      </c>
      <c r="ER128" s="21" t="n">
        <v>55.467</v>
      </c>
      <c r="ES128" s="21" t="n">
        <v>165.163</v>
      </c>
      <c r="ET128" s="21" t="n">
        <v>79.989</v>
      </c>
      <c r="EU128" s="21" t="n">
        <v>113.904</v>
      </c>
      <c r="EV128" s="21" t="n">
        <v>126.278</v>
      </c>
      <c r="EW128" s="21" t="n">
        <v>108.917</v>
      </c>
      <c r="EX128" s="21" t="n">
        <v>237.555</v>
      </c>
      <c r="EY128" s="21" t="n">
        <v>151.381</v>
      </c>
      <c r="EZ128" s="21" t="n">
        <v>140.944</v>
      </c>
      <c r="FA128" s="21" t="n">
        <v>203.996</v>
      </c>
      <c r="FB128" s="21" t="n">
        <v>131.354</v>
      </c>
      <c r="FC128" s="21" t="n">
        <v>128.73</v>
      </c>
      <c r="FD128" s="21" t="n">
        <v>130.638</v>
      </c>
      <c r="FE128" s="21" t="n">
        <v>96.096</v>
      </c>
      <c r="FF128" s="21" t="n">
        <v>184.595</v>
      </c>
      <c r="FG128" s="21" t="n">
        <v>80.95099999999999</v>
      </c>
      <c r="FH128" s="21" t="n">
        <v>135.99</v>
      </c>
      <c r="FI128" s="21" t="n">
        <v>117.415</v>
      </c>
      <c r="FJ128" s="21" t="n">
        <v>108.937</v>
      </c>
      <c r="FK128" s="21" t="n">
        <v>110.447</v>
      </c>
      <c r="FL128" s="21" t="n">
        <v>101.755</v>
      </c>
      <c r="FM128" s="21" t="n">
        <v>110.511</v>
      </c>
      <c r="FN128" s="21" t="n">
        <v>73.352</v>
      </c>
      <c r="FO128" s="21" t="n">
        <v>115.253</v>
      </c>
      <c r="FP128" s="21" t="n">
        <v>102.279</v>
      </c>
      <c r="FQ128" s="21" t="n">
        <v>146.911</v>
      </c>
      <c r="FR128" s="21" t="n">
        <v>153.64</v>
      </c>
      <c r="FS128" s="21" t="n">
        <v>162.796</v>
      </c>
      <c r="FT128" s="21" t="n">
        <v>133.006</v>
      </c>
      <c r="FU128" s="21" t="n">
        <v>123.751</v>
      </c>
      <c r="FV128" s="21" t="n">
        <v>199.973</v>
      </c>
      <c r="FW128" s="21" t="n">
        <v>159.295</v>
      </c>
      <c r="FX128" s="21" t="n">
        <v>198.727</v>
      </c>
      <c r="FY128" s="21" t="n">
        <v>269.382</v>
      </c>
      <c r="FZ128" s="21" t="n">
        <v>269.752</v>
      </c>
      <c r="GA128" s="21" t="n">
        <v>125.335</v>
      </c>
      <c r="GB128" s="21" t="n">
        <v>177.842</v>
      </c>
      <c r="GC128" s="21" t="n"/>
      <c r="GD128" s="21" t="n">
        <v>172.91</v>
      </c>
      <c r="GE128" s="21" t="n">
        <v>189.729</v>
      </c>
      <c r="GF128" s="21" t="n"/>
      <c r="GG128" s="21" t="n">
        <v>183.746</v>
      </c>
      <c r="GH128" s="21" t="n">
        <v>114.522</v>
      </c>
      <c r="GI128" s="21" t="n">
        <v>162.118</v>
      </c>
      <c r="GJ128" s="21" t="n">
        <v>267.87</v>
      </c>
      <c r="GK128" s="21" t="n">
        <v>266.542</v>
      </c>
      <c r="GL128" s="21" t="n">
        <v>258.891</v>
      </c>
      <c r="GM128" s="21" t="n">
        <v>298.008</v>
      </c>
      <c r="GN128" s="21" t="n">
        <v>297.893</v>
      </c>
      <c r="GO128" s="21" t="n">
        <v>277.723</v>
      </c>
      <c r="GP128" s="21" t="n">
        <v>186.085</v>
      </c>
      <c r="GQ128" s="21" t="n">
        <v>158.209</v>
      </c>
      <c r="GR128" s="21" t="n">
        <v>431.604</v>
      </c>
      <c r="GS128" s="21" t="n">
        <v>291.623</v>
      </c>
      <c r="GT128" s="21" t="n">
        <v>896.2190000000001</v>
      </c>
      <c r="GU128" s="21" t="n">
        <v>236.893</v>
      </c>
      <c r="GV128" s="21" t="n">
        <v>287.581</v>
      </c>
      <c r="GW128" s="21" t="n">
        <v>254.879</v>
      </c>
      <c r="GX128" s="21" t="n">
        <v>250.748</v>
      </c>
      <c r="GY128" s="21" t="n">
        <v>155.574</v>
      </c>
      <c r="GZ128" s="21" t="n"/>
      <c r="HA128" s="21" t="n">
        <v>63.236</v>
      </c>
      <c r="HB128" s="21" t="n">
        <v>584.45</v>
      </c>
      <c r="HC128" s="21" t="n">
        <v>417.8</v>
      </c>
      <c r="HD128" s="21" t="n">
        <v>136.488</v>
      </c>
      <c r="HE128" s="21" t="n">
        <v>567.975</v>
      </c>
      <c r="HF128" s="21" t="n">
        <v>109.321</v>
      </c>
      <c r="HG128" s="21" t="n">
        <v>638.2190000000001</v>
      </c>
      <c r="HH128" s="21" t="n">
        <v>442.517</v>
      </c>
      <c r="HI128" s="21" t="n">
        <v>429.279</v>
      </c>
      <c r="HJ128" s="21" t="n">
        <v>628.776</v>
      </c>
      <c r="HK128" s="21" t="n">
        <v>215.843</v>
      </c>
      <c r="HL128" s="21" t="n"/>
      <c r="HM128" s="21" t="n">
        <v>104.277</v>
      </c>
      <c r="HN128" s="21" t="n">
        <v>437.053</v>
      </c>
      <c r="HO128" s="21" t="n">
        <v>418.67</v>
      </c>
      <c r="HP128" s="21" t="n">
        <v>961.592</v>
      </c>
      <c r="HQ128" s="21" t="n">
        <v>301.005</v>
      </c>
      <c r="HR128" s="21" t="n">
        <v>141.544</v>
      </c>
      <c r="HS128" s="21" t="n">
        <v>119.928</v>
      </c>
      <c r="HT128" s="21" t="n">
        <v>95.193</v>
      </c>
      <c r="HU128" s="21" t="n">
        <v>594.384</v>
      </c>
      <c r="HV128" s="21" t="n">
        <v>105.383</v>
      </c>
      <c r="HW128" s="21" t="n">
        <v>28.153</v>
      </c>
      <c r="HX128" s="21" t="n">
        <v>229.586</v>
      </c>
      <c r="HY128" s="21" t="n">
        <v>241.979</v>
      </c>
      <c r="HZ128" s="21" t="n">
        <v>192.103</v>
      </c>
      <c r="IA128" s="21" t="n">
        <v>131.575</v>
      </c>
      <c r="IB128" s="21" t="n">
        <v>363.663</v>
      </c>
      <c r="IC128" s="21" t="n">
        <v>268.637</v>
      </c>
      <c r="ID128" s="21" t="n">
        <v>393.257</v>
      </c>
      <c r="IE128" s="21" t="n">
        <v>122.36</v>
      </c>
      <c r="IF128" s="21" t="n">
        <v>167.828</v>
      </c>
      <c r="IG128" s="21" t="n">
        <v>84.113</v>
      </c>
      <c r="IH128" s="21" t="n">
        <v>85.459</v>
      </c>
      <c r="II128" s="21" t="n">
        <v>72.10599999999999</v>
      </c>
      <c r="IJ128" s="21" t="n">
        <v>29.663</v>
      </c>
      <c r="IK128" s="21" t="n">
        <v>33.115</v>
      </c>
      <c r="IL128" s="21" t="n">
        <v>28.178</v>
      </c>
      <c r="IM128" s="21" t="n">
        <v>38.12</v>
      </c>
      <c r="IN128" s="21" t="n">
        <v>91.806</v>
      </c>
      <c r="IO128" s="21" t="n">
        <v>125.615</v>
      </c>
      <c r="IP128" s="21" t="n">
        <v>209.854</v>
      </c>
      <c r="IQ128" s="21" t="n">
        <v>169.772</v>
      </c>
      <c r="IR128" s="21" t="n">
        <v>484.34</v>
      </c>
      <c r="IS128" s="21" t="n">
        <v>236.286</v>
      </c>
      <c r="IT128" s="21" t="n">
        <v>246.168</v>
      </c>
      <c r="IU128" s="21" t="n">
        <v>413.945</v>
      </c>
      <c r="IV128" s="21" t="n">
        <v>292.566</v>
      </c>
      <c r="IW128" s="21" t="n">
        <v>146.897</v>
      </c>
      <c r="IX128" s="21" t="n">
        <v>310.67</v>
      </c>
      <c r="IY128" s="21" t="n">
        <v>767.333</v>
      </c>
      <c r="IZ128" s="21" t="n">
        <v>893.4930000000001</v>
      </c>
      <c r="JA128" s="21" t="n">
        <v>959.17</v>
      </c>
      <c r="JB128" s="21" t="n">
        <v>102.056</v>
      </c>
      <c r="JC128" s="21" t="n">
        <v>388.299</v>
      </c>
      <c r="JD128" s="21" t="n">
        <v>279.546</v>
      </c>
      <c r="JE128" s="21" t="n">
        <v>72.971</v>
      </c>
      <c r="JF128" s="21" t="n">
        <v>253.408</v>
      </c>
      <c r="JG128" s="21" t="n">
        <v>393.673</v>
      </c>
      <c r="JH128" s="21" t="n">
        <v>468.015</v>
      </c>
      <c r="JI128" s="21" t="n">
        <v>68.55200000000001</v>
      </c>
      <c r="JJ128" s="21" t="n">
        <v>100.561</v>
      </c>
      <c r="JK128" s="21" t="n">
        <v>35.273</v>
      </c>
      <c r="JL128" s="21" t="n">
        <v>85.19799999999999</v>
      </c>
      <c r="JM128" s="21" t="n">
        <v>96.22499999999999</v>
      </c>
      <c r="JN128" s="21" t="n">
        <v>581.6900000000001</v>
      </c>
      <c r="JO128" s="21" t="n">
        <v>103.643</v>
      </c>
      <c r="JP128" s="21" t="n">
        <v>693.763</v>
      </c>
      <c r="JQ128" s="21" t="n">
        <v>292.202</v>
      </c>
      <c r="JR128" s="21" t="n">
        <v>179.649</v>
      </c>
      <c r="JS128" s="21" t="n">
        <v>587.857</v>
      </c>
      <c r="JT128" s="21" t="n"/>
      <c r="JU128" s="21" t="n">
        <v>404.898</v>
      </c>
      <c r="JV128" s="21" t="n">
        <v>241.223</v>
      </c>
      <c r="JW128" s="21" t="n">
        <v>464.232</v>
      </c>
      <c r="JX128" s="21" t="n">
        <v>365.413</v>
      </c>
      <c r="JY128" s="21" t="n">
        <v>88.54600000000001</v>
      </c>
      <c r="JZ128" s="21" t="n">
        <v>205.221</v>
      </c>
      <c r="KA128" s="21" t="n">
        <v>309.501</v>
      </c>
      <c r="KB128" s="21" t="n">
        <v>329.436</v>
      </c>
      <c r="KC128" s="21" t="n">
        <v>319.42</v>
      </c>
      <c r="KD128" s="21" t="n">
        <v>328.682</v>
      </c>
      <c r="KE128" s="21" t="n">
        <v>289.023</v>
      </c>
      <c r="KF128" s="21" t="n">
        <v>276.627</v>
      </c>
      <c r="KG128" s="21" t="n">
        <v>280.326</v>
      </c>
      <c r="KH128" s="21" t="n">
        <v>285.796</v>
      </c>
      <c r="KI128" s="21" t="n">
        <v>122.937</v>
      </c>
      <c r="KJ128" s="21" t="n">
        <v>224.277</v>
      </c>
      <c r="KK128" s="21" t="n">
        <v>176.627</v>
      </c>
      <c r="KL128" s="21" t="n">
        <v>172.694</v>
      </c>
      <c r="KM128" s="21" t="n">
        <v>166.468</v>
      </c>
      <c r="KN128" s="21" t="n">
        <v>164.604</v>
      </c>
      <c r="KO128" s="21" t="n">
        <v>323.572</v>
      </c>
      <c r="KP128" s="21" t="n">
        <v>123.259</v>
      </c>
      <c r="KQ128" s="21" t="n">
        <v>52.85</v>
      </c>
      <c r="KR128" s="21" t="n">
        <v>124.515</v>
      </c>
      <c r="KS128" s="21" t="n">
        <v>274.85</v>
      </c>
      <c r="KT128" s="21" t="n">
        <v>274.15</v>
      </c>
      <c r="KU128" s="21" t="n">
        <v>107.926</v>
      </c>
      <c r="KV128" s="21" t="n">
        <v>35.848</v>
      </c>
      <c r="KW128" s="21" t="n">
        <v>278.422</v>
      </c>
      <c r="KX128" s="21" t="n">
        <v>227.97</v>
      </c>
      <c r="KY128" s="21" t="n">
        <v>285.454</v>
      </c>
      <c r="KZ128" s="21" t="n">
        <v>223.871</v>
      </c>
      <c r="LA128" s="21" t="n">
        <v>286.177</v>
      </c>
      <c r="LB128" s="21" t="n">
        <v>144.437</v>
      </c>
      <c r="LC128" s="21" t="n">
        <v>427.695</v>
      </c>
      <c r="LD128" s="21" t="n">
        <v>84.191</v>
      </c>
      <c r="LE128" s="21" t="n">
        <v>155.931</v>
      </c>
      <c r="LF128" s="21" t="n">
        <v>434.557</v>
      </c>
      <c r="LG128" s="21" t="n">
        <v>419.046</v>
      </c>
      <c r="LH128" s="21" t="n">
        <v>432.617</v>
      </c>
      <c r="LI128" s="21" t="n">
        <v>402.281</v>
      </c>
      <c r="LJ128" s="21" t="n">
        <v>433.065</v>
      </c>
      <c r="LK128" s="21" t="n">
        <v>131.222</v>
      </c>
      <c r="LL128" s="21" t="n">
        <v>445.555</v>
      </c>
      <c r="LM128" s="21" t="n">
        <v>267.137</v>
      </c>
      <c r="LN128" s="21" t="n">
        <v>32.524</v>
      </c>
      <c r="LO128" s="21" t="n">
        <v>157.457</v>
      </c>
    </row>
    <row r="129">
      <c r="A129" s="22" t="n">
        <v>45870</v>
      </c>
      <c r="B129" s="21" t="n">
        <v>323.291</v>
      </c>
      <c r="C129" s="21" t="n">
        <v>338.39</v>
      </c>
      <c r="D129" s="21" t="n">
        <v>341.32</v>
      </c>
      <c r="E129" s="21" t="n">
        <v>314.647</v>
      </c>
      <c r="F129" s="21" t="n">
        <v>359.416</v>
      </c>
      <c r="G129" s="21" t="n">
        <v>281.888</v>
      </c>
      <c r="H129" s="21" t="n">
        <v>325.324</v>
      </c>
      <c r="I129" s="21" t="n">
        <v>274.866</v>
      </c>
      <c r="J129" s="21" t="n">
        <v>285.219</v>
      </c>
      <c r="K129" s="21" t="n">
        <v>404.842</v>
      </c>
      <c r="L129" s="21" t="n">
        <v>240.805</v>
      </c>
      <c r="M129" s="21" t="n">
        <v>241.717</v>
      </c>
      <c r="N129" s="21" t="n">
        <v>383.505</v>
      </c>
      <c r="O129" s="21" t="n">
        <v>364.017</v>
      </c>
      <c r="P129" s="21" t="n">
        <v>359.722</v>
      </c>
      <c r="Q129" s="21" t="n">
        <v>436.165</v>
      </c>
      <c r="R129" s="21" t="n">
        <v>341.743</v>
      </c>
      <c r="S129" s="21" t="n">
        <v>346.852</v>
      </c>
      <c r="T129" s="21" t="n">
        <v>344.612</v>
      </c>
      <c r="U129" s="21" t="n">
        <v>360.778</v>
      </c>
      <c r="V129" s="21" t="n">
        <v>483.364</v>
      </c>
      <c r="W129" s="21" t="n">
        <v>410.659</v>
      </c>
      <c r="X129" s="21" t="n">
        <v>392.282</v>
      </c>
      <c r="Y129" s="21" t="n">
        <v>329.883</v>
      </c>
      <c r="Z129" s="21" t="n">
        <v>270.826</v>
      </c>
      <c r="AA129" s="21" t="n">
        <v>209.395</v>
      </c>
      <c r="AB129" s="21" t="n">
        <v>394.669</v>
      </c>
      <c r="AC129" s="21" t="n">
        <v>191.144</v>
      </c>
      <c r="AD129" s="21" t="n">
        <v>244.657</v>
      </c>
      <c r="AE129" s="21" t="n">
        <v>270.441</v>
      </c>
      <c r="AF129" s="21" t="n">
        <v>247.121</v>
      </c>
      <c r="AG129" s="21" t="n">
        <v>164.277</v>
      </c>
      <c r="AH129" s="21" t="n">
        <v>295.074</v>
      </c>
      <c r="AI129" s="21" t="n">
        <v>309.759</v>
      </c>
      <c r="AJ129" s="21" t="n">
        <v>186.354</v>
      </c>
      <c r="AK129" s="21" t="n">
        <v>310.51</v>
      </c>
      <c r="AL129" s="21" t="n">
        <v>200.31</v>
      </c>
      <c r="AM129" s="21" t="n">
        <v>328.618</v>
      </c>
      <c r="AN129" s="21" t="n">
        <v>301.247</v>
      </c>
      <c r="AO129" s="21" t="n">
        <v>200.955</v>
      </c>
      <c r="AP129" s="21" t="n">
        <v>357.75</v>
      </c>
      <c r="AQ129" s="21" t="n">
        <v>223.851</v>
      </c>
      <c r="AR129" s="21" t="n">
        <v>176.208</v>
      </c>
      <c r="AS129" s="21" t="n">
        <v>246.149</v>
      </c>
      <c r="AT129" s="21" t="n">
        <v>392.317</v>
      </c>
      <c r="AU129" s="21" t="n">
        <v>378.618</v>
      </c>
      <c r="AV129" s="21" t="n">
        <v>272.84</v>
      </c>
      <c r="AW129" s="21" t="n">
        <v>180.088</v>
      </c>
      <c r="AX129" s="21" t="n">
        <v>255.803</v>
      </c>
      <c r="AY129" s="21" t="n">
        <v>187.56</v>
      </c>
      <c r="AZ129" s="21" t="n">
        <v>268.686</v>
      </c>
      <c r="BA129" s="21" t="n">
        <v>275.674</v>
      </c>
      <c r="BB129" s="21" t="n">
        <v>191.974</v>
      </c>
      <c r="BC129" s="21" t="n">
        <v>357.715</v>
      </c>
      <c r="BD129" s="21" t="n">
        <v>403.373</v>
      </c>
      <c r="BE129" s="21" t="n">
        <v>416.323</v>
      </c>
      <c r="BF129" s="21" t="n">
        <v>360.201</v>
      </c>
      <c r="BG129" s="21" t="n">
        <v>220.366</v>
      </c>
      <c r="BH129" s="21" t="n">
        <v>305.278</v>
      </c>
      <c r="BI129" s="21" t="n">
        <v>621.458</v>
      </c>
      <c r="BJ129" s="21" t="n">
        <v>142.516</v>
      </c>
      <c r="BK129" s="21" t="n">
        <v>388.315</v>
      </c>
      <c r="BL129" s="21" t="n">
        <v>421.098</v>
      </c>
      <c r="BM129" s="21" t="n">
        <v>420.085</v>
      </c>
      <c r="BN129" s="21" t="n">
        <v>355.78</v>
      </c>
      <c r="BO129" s="21" t="n">
        <v>388.41</v>
      </c>
      <c r="BP129" s="21" t="n">
        <v>205.517</v>
      </c>
      <c r="BQ129" s="21" t="n">
        <v>223.473</v>
      </c>
      <c r="BR129" s="21" t="n">
        <v>213.505</v>
      </c>
      <c r="BS129" s="21" t="n">
        <v>238.614</v>
      </c>
      <c r="BT129" s="21" t="n">
        <v>184.797</v>
      </c>
      <c r="BU129" s="21" t="n">
        <v>257.087</v>
      </c>
      <c r="BV129" s="21" t="n">
        <v>193.87</v>
      </c>
      <c r="BW129" s="21" t="n">
        <v>229.92</v>
      </c>
      <c r="BX129" s="21" t="n">
        <v>178.023</v>
      </c>
      <c r="BY129" s="21" t="n">
        <v>232.514</v>
      </c>
      <c r="BZ129" s="21" t="n">
        <v>155.175</v>
      </c>
      <c r="CA129" s="21" t="n">
        <v>158.811</v>
      </c>
      <c r="CB129" s="21" t="n">
        <v>279.107</v>
      </c>
      <c r="CC129" s="21" t="n">
        <v>292.214</v>
      </c>
      <c r="CD129" s="21" t="n">
        <v>166.396</v>
      </c>
      <c r="CE129" s="21" t="n">
        <v>276.305</v>
      </c>
      <c r="CF129" s="21" t="n">
        <v>305.881</v>
      </c>
      <c r="CG129" s="21" t="n">
        <v>275.813</v>
      </c>
      <c r="CH129" s="21" t="n">
        <v>211.844</v>
      </c>
      <c r="CI129" s="21" t="n">
        <v>195.832</v>
      </c>
      <c r="CJ129" s="21" t="n">
        <v>313.183</v>
      </c>
      <c r="CK129" s="21" t="n">
        <v>278.191</v>
      </c>
      <c r="CL129" s="21" t="n">
        <v>318.164</v>
      </c>
      <c r="CM129" s="21" t="n">
        <v>467.21</v>
      </c>
      <c r="CN129" s="21" t="n">
        <v>177.353</v>
      </c>
      <c r="CO129" s="21" t="n">
        <v>221.448</v>
      </c>
      <c r="CP129" s="21" t="n">
        <v>289.272</v>
      </c>
      <c r="CQ129" s="21" t="n">
        <v>322.378</v>
      </c>
      <c r="CR129" s="21" t="n">
        <v>211.173</v>
      </c>
      <c r="CS129" s="21" t="n">
        <v>311.313</v>
      </c>
      <c r="CT129" s="21" t="n">
        <v>318.388</v>
      </c>
      <c r="CU129" s="21" t="n">
        <v>188.518</v>
      </c>
      <c r="CV129" s="21" t="n">
        <v>196.014</v>
      </c>
      <c r="CW129" s="21" t="n">
        <v>188.733</v>
      </c>
      <c r="CX129" s="21" t="n">
        <v>402.465</v>
      </c>
      <c r="CY129" s="21" t="n">
        <v>170.339</v>
      </c>
      <c r="CZ129" s="21" t="n">
        <v>162.128</v>
      </c>
      <c r="DA129" s="21" t="n">
        <v>384.909</v>
      </c>
      <c r="DB129" s="21" t="n">
        <v>237.873</v>
      </c>
      <c r="DC129" s="21" t="n">
        <v>213.77</v>
      </c>
      <c r="DD129" s="21" t="n"/>
      <c r="DE129" s="21" t="n">
        <v>258.333</v>
      </c>
      <c r="DF129" s="21" t="n">
        <v>296.908</v>
      </c>
      <c r="DG129" s="21" t="n">
        <v>230.747</v>
      </c>
      <c r="DH129" s="21" t="n">
        <v>279.135</v>
      </c>
      <c r="DI129" s="21" t="n">
        <v>214.159</v>
      </c>
      <c r="DJ129" s="21" t="n">
        <v>221.257</v>
      </c>
      <c r="DK129" s="21" t="n">
        <v>209.942</v>
      </c>
      <c r="DL129" s="21" t="n">
        <v>181.214</v>
      </c>
      <c r="DM129" s="21" t="n">
        <v>445.685</v>
      </c>
      <c r="DN129" s="21" t="n">
        <v>247.294</v>
      </c>
      <c r="DO129" s="21" t="n">
        <v>348.822</v>
      </c>
      <c r="DP129" s="21" t="n">
        <v>417.555</v>
      </c>
      <c r="DQ129" s="21" t="n">
        <v>437.294</v>
      </c>
      <c r="DR129" s="21" t="n">
        <v>184.457</v>
      </c>
      <c r="DS129" s="21" t="n">
        <v>671.5069999999999</v>
      </c>
      <c r="DT129" s="21" t="n">
        <v>373.728</v>
      </c>
      <c r="DU129" s="21" t="n">
        <v>430.456</v>
      </c>
      <c r="DV129" s="21" t="n">
        <v>430.487</v>
      </c>
      <c r="DW129" s="21" t="n">
        <v>334.503</v>
      </c>
      <c r="DX129" s="21" t="n">
        <v>280.572</v>
      </c>
      <c r="DY129" s="21" t="n">
        <v>362.294</v>
      </c>
      <c r="DZ129" s="21" t="n">
        <v>356.746</v>
      </c>
      <c r="EA129" s="21" t="n">
        <v>423.172</v>
      </c>
      <c r="EB129" s="21" t="n">
        <v>286.395</v>
      </c>
      <c r="EC129" s="21" t="n">
        <v>294.295</v>
      </c>
      <c r="ED129" s="21" t="n">
        <v>257.172</v>
      </c>
      <c r="EE129" s="21" t="n">
        <v>319.403</v>
      </c>
      <c r="EF129" s="21" t="n">
        <v>729.598</v>
      </c>
      <c r="EG129" s="21" t="n">
        <v>656.067</v>
      </c>
      <c r="EH129" s="21" t="n">
        <v>152.997</v>
      </c>
      <c r="EI129" s="21" t="n">
        <v>60.346</v>
      </c>
      <c r="EJ129" s="21" t="n">
        <v>83.27800000000001</v>
      </c>
      <c r="EK129" s="21" t="n">
        <v>40.678</v>
      </c>
      <c r="EL129" s="21" t="n">
        <v>133.823</v>
      </c>
      <c r="EM129" s="21" t="n">
        <v>77.04900000000001</v>
      </c>
      <c r="EN129" s="21" t="n">
        <v>84.551</v>
      </c>
      <c r="EO129" s="21" t="n">
        <v>89.018</v>
      </c>
      <c r="EP129" s="21" t="n">
        <v>108.268</v>
      </c>
      <c r="EQ129" s="21" t="n">
        <v>74.464</v>
      </c>
      <c r="ER129" s="21" t="n">
        <v>55.576</v>
      </c>
      <c r="ES129" s="21" t="n">
        <v>169.96</v>
      </c>
      <c r="ET129" s="21" t="n">
        <v>80.196</v>
      </c>
      <c r="EU129" s="21" t="n">
        <v>114.837</v>
      </c>
      <c r="EV129" s="21" t="n">
        <v>126.678</v>
      </c>
      <c r="EW129" s="21" t="n">
        <v>109.645</v>
      </c>
      <c r="EX129" s="21" t="n">
        <v>238.501</v>
      </c>
      <c r="EY129" s="21" t="n">
        <v>151.939</v>
      </c>
      <c r="EZ129" s="21" t="n">
        <v>140.92</v>
      </c>
      <c r="FA129" s="21" t="n">
        <v>201.602</v>
      </c>
      <c r="FB129" s="21" t="n">
        <v>131.694</v>
      </c>
      <c r="FC129" s="21" t="n">
        <v>129.127</v>
      </c>
      <c r="FD129" s="21" t="n">
        <v>132.184</v>
      </c>
      <c r="FE129" s="21" t="n">
        <v>96.16200000000001</v>
      </c>
      <c r="FF129" s="21" t="n">
        <v>181.508</v>
      </c>
      <c r="FG129" s="21" t="n">
        <v>81.48399999999999</v>
      </c>
      <c r="FH129" s="21" t="n">
        <v>141.07</v>
      </c>
      <c r="FI129" s="21" t="n">
        <v>116.136</v>
      </c>
      <c r="FJ129" s="21" t="n">
        <v>108.808</v>
      </c>
      <c r="FK129" s="21" t="n">
        <v>110.229</v>
      </c>
      <c r="FL129" s="21" t="n">
        <v>104.199</v>
      </c>
      <c r="FM129" s="21" t="n">
        <v>111.376</v>
      </c>
      <c r="FN129" s="21" t="n">
        <v>73.67</v>
      </c>
      <c r="FO129" s="21" t="n">
        <v>112.594</v>
      </c>
      <c r="FP129" s="21" t="n">
        <v>102.799</v>
      </c>
      <c r="FQ129" s="21" t="n">
        <v>146.261</v>
      </c>
      <c r="FR129" s="21" t="n">
        <v>151.733</v>
      </c>
      <c r="FS129" s="21" t="n">
        <v>165.269</v>
      </c>
      <c r="FT129" s="21" t="n">
        <v>133.242</v>
      </c>
      <c r="FU129" s="21" t="n">
        <v>124.899</v>
      </c>
      <c r="FV129" s="21" t="n">
        <v>207.944</v>
      </c>
      <c r="FW129" s="21" t="n">
        <v>162.388</v>
      </c>
      <c r="FX129" s="21" t="n">
        <v>209.315</v>
      </c>
      <c r="FY129" s="21" t="n">
        <v>271.591</v>
      </c>
      <c r="FZ129" s="21" t="n">
        <v>271.441</v>
      </c>
      <c r="GA129" s="21" t="n">
        <v>125.7</v>
      </c>
      <c r="GB129" s="21" t="n">
        <v>178.245</v>
      </c>
      <c r="GC129" s="21" t="n"/>
      <c r="GD129" s="21" t="n">
        <v>173.23</v>
      </c>
      <c r="GE129" s="21" t="n">
        <v>190.19</v>
      </c>
      <c r="GF129" s="21" t="n"/>
      <c r="GG129" s="21" t="n">
        <v>185.259</v>
      </c>
      <c r="GH129" s="21" t="n">
        <v>114.205</v>
      </c>
      <c r="GI129" s="21" t="n">
        <v>153.837</v>
      </c>
      <c r="GJ129" s="21" t="n">
        <v>272.27</v>
      </c>
      <c r="GK129" s="21" t="n">
        <v>270.922</v>
      </c>
      <c r="GL129" s="21" t="n">
        <v>263.318</v>
      </c>
      <c r="GM129" s="21" t="n">
        <v>302.599</v>
      </c>
      <c r="GN129" s="21" t="n">
        <v>301.447</v>
      </c>
      <c r="GO129" s="21" t="n">
        <v>276.329</v>
      </c>
      <c r="GP129" s="21" t="n">
        <v>187.124</v>
      </c>
      <c r="GQ129" s="21" t="n">
        <v>158.689</v>
      </c>
      <c r="GR129" s="21" t="n">
        <v>441.987</v>
      </c>
      <c r="GS129" s="21" t="n">
        <v>306.282</v>
      </c>
      <c r="GT129" s="21" t="n">
        <v>895.769</v>
      </c>
      <c r="GU129" s="21" t="n">
        <v>237.769</v>
      </c>
      <c r="GV129" s="21" t="n">
        <v>287.867</v>
      </c>
      <c r="GW129" s="21" t="n">
        <v>262.292</v>
      </c>
      <c r="GX129" s="21" t="n">
        <v>261.928</v>
      </c>
      <c r="GY129" s="21" t="n">
        <v>154.067</v>
      </c>
      <c r="GZ129" s="21" t="n"/>
      <c r="HA129" s="21" t="n">
        <v>63.604</v>
      </c>
      <c r="HB129" s="21" t="n">
        <v>583.809</v>
      </c>
      <c r="HC129" s="21" t="n">
        <v>416.721</v>
      </c>
      <c r="HD129" s="21" t="n">
        <v>135.98</v>
      </c>
      <c r="HE129" s="21" t="n">
        <v>567.117</v>
      </c>
      <c r="HF129" s="21" t="n">
        <v>108.567</v>
      </c>
      <c r="HG129" s="21" t="n">
        <v>637.729</v>
      </c>
      <c r="HH129" s="21" t="n">
        <v>442.955</v>
      </c>
      <c r="HI129" s="21" t="n">
        <v>430.753</v>
      </c>
      <c r="HJ129" s="21" t="n">
        <v>625.624</v>
      </c>
      <c r="HK129" s="21" t="n">
        <v>217.246</v>
      </c>
      <c r="HL129" s="21" t="n"/>
      <c r="HM129" s="21" t="n">
        <v>104.256</v>
      </c>
      <c r="HN129" s="21" t="n">
        <v>436.917</v>
      </c>
      <c r="HO129" s="21" t="n"/>
      <c r="HP129" s="21" t="n">
        <v>965.3150000000001</v>
      </c>
      <c r="HQ129" s="21" t="n">
        <v>301.827</v>
      </c>
      <c r="HR129" s="21" t="n">
        <v>141.409</v>
      </c>
      <c r="HS129" s="21" t="n">
        <v>119.571</v>
      </c>
      <c r="HT129" s="21" t="n">
        <v>96.84699999999999</v>
      </c>
      <c r="HU129" s="21" t="n">
        <v>593.23</v>
      </c>
      <c r="HV129" s="21" t="n">
        <v>104.034</v>
      </c>
      <c r="HW129" s="21" t="n">
        <v>27.93</v>
      </c>
      <c r="HX129" s="21" t="n">
        <v>229.57</v>
      </c>
      <c r="HY129" s="21" t="n">
        <v>240.863</v>
      </c>
      <c r="HZ129" s="21" t="n">
        <v>191.485</v>
      </c>
      <c r="IA129" s="21" t="n">
        <v>130.816</v>
      </c>
      <c r="IB129" s="21" t="n">
        <v>365.558</v>
      </c>
      <c r="IC129" s="21" t="n">
        <v>269.045</v>
      </c>
      <c r="ID129" s="21" t="n">
        <v>393.584</v>
      </c>
      <c r="IE129" s="21" t="n">
        <v>122.451</v>
      </c>
      <c r="IF129" s="21" t="n">
        <v>168.916</v>
      </c>
      <c r="IG129" s="21" t="n">
        <v>83.611</v>
      </c>
      <c r="IH129" s="21" t="n">
        <v>85.366</v>
      </c>
      <c r="II129" s="21" t="n">
        <v>73.395</v>
      </c>
      <c r="IJ129" s="21" t="n">
        <v>30.186</v>
      </c>
      <c r="IK129" s="21" t="n">
        <v>33.161</v>
      </c>
      <c r="IL129" s="21" t="n">
        <v>27.999</v>
      </c>
      <c r="IM129" s="21" t="n">
        <v>37.807</v>
      </c>
      <c r="IN129" s="21" t="n">
        <v>100.161</v>
      </c>
      <c r="IO129" s="21" t="n">
        <v>127.038</v>
      </c>
      <c r="IP129" s="21" t="n">
        <v>209.498</v>
      </c>
      <c r="IQ129" s="21" t="n">
        <v>170.029</v>
      </c>
      <c r="IR129" s="21" t="n">
        <v>481.503</v>
      </c>
      <c r="IS129" s="21" t="n">
        <v>234.241</v>
      </c>
      <c r="IT129" s="21" t="n">
        <v>244.424</v>
      </c>
      <c r="IU129" s="21" t="n">
        <v>414.182</v>
      </c>
      <c r="IV129" s="21" t="n">
        <v>295.277</v>
      </c>
      <c r="IW129" s="21" t="n">
        <v>146.913</v>
      </c>
      <c r="IX129" s="21" t="n">
        <v>311.256</v>
      </c>
      <c r="IY129" s="21" t="n">
        <v>762.692</v>
      </c>
      <c r="IZ129" s="21" t="n">
        <v>895.295</v>
      </c>
      <c r="JA129" s="21" t="n">
        <v>957.865</v>
      </c>
      <c r="JB129" s="21" t="n">
        <v>102.652</v>
      </c>
      <c r="JC129" s="21" t="n">
        <v>389.895</v>
      </c>
      <c r="JD129" s="21" t="n">
        <v>281.785</v>
      </c>
      <c r="JE129" s="21" t="n">
        <v>72.871</v>
      </c>
      <c r="JF129" s="21" t="n">
        <v>255.94</v>
      </c>
      <c r="JG129" s="21" t="n">
        <v>397.636</v>
      </c>
      <c r="JH129" s="21" t="n">
        <v>471.835</v>
      </c>
      <c r="JI129" s="21" t="n">
        <v>68.444</v>
      </c>
      <c r="JJ129" s="21" t="n">
        <v>101.116</v>
      </c>
      <c r="JK129" s="21" t="n">
        <v>35.064</v>
      </c>
      <c r="JL129" s="21" t="n">
        <v>86.249</v>
      </c>
      <c r="JM129" s="21" t="n">
        <v>96.383</v>
      </c>
      <c r="JN129" s="21" t="n">
        <v>583.353</v>
      </c>
      <c r="JO129" s="21" t="n">
        <v>104.707</v>
      </c>
      <c r="JP129" s="21" t="n">
        <v>701.686</v>
      </c>
      <c r="JQ129" s="21" t="n">
        <v>292.608</v>
      </c>
      <c r="JR129" s="21" t="n">
        <v>180.289</v>
      </c>
      <c r="JS129" s="21" t="n">
        <v>586.98</v>
      </c>
      <c r="JT129" s="21" t="n"/>
      <c r="JU129" s="21" t="n">
        <v>405.557</v>
      </c>
      <c r="JV129" s="21" t="n">
        <v>242.188</v>
      </c>
      <c r="JW129" s="21" t="n">
        <v>460.998</v>
      </c>
      <c r="JX129" s="21" t="n">
        <v>360.41</v>
      </c>
      <c r="JY129" s="21" t="n">
        <v>87.586</v>
      </c>
      <c r="JZ129" s="21" t="n">
        <v>204.777</v>
      </c>
      <c r="KA129" s="21" t="n">
        <v>310.708</v>
      </c>
      <c r="KB129" s="21" t="n">
        <v>330.51</v>
      </c>
      <c r="KC129" s="21" t="n">
        <v>320.497</v>
      </c>
      <c r="KD129" s="21" t="n">
        <v>329.7</v>
      </c>
      <c r="KE129" s="21" t="n">
        <v>289.963</v>
      </c>
      <c r="KF129" s="21" t="n">
        <v>277.456</v>
      </c>
      <c r="KG129" s="21" t="n">
        <v>281.014</v>
      </c>
      <c r="KH129" s="21" t="n">
        <v>286.405</v>
      </c>
      <c r="KI129" s="21" t="n">
        <v>123.515</v>
      </c>
      <c r="KJ129" s="21" t="n">
        <v>225.201</v>
      </c>
      <c r="KK129" s="21" t="n">
        <v>177.345</v>
      </c>
      <c r="KL129" s="21" t="n">
        <v>173.383</v>
      </c>
      <c r="KM129" s="21" t="n">
        <v>166.838</v>
      </c>
      <c r="KN129" s="21" t="n">
        <v>164.83</v>
      </c>
      <c r="KO129" s="21" t="n">
        <v>324.773</v>
      </c>
      <c r="KP129" s="21" t="n">
        <v>123.481</v>
      </c>
      <c r="KQ129" s="21" t="n">
        <v>52.656</v>
      </c>
      <c r="KR129" s="21" t="n">
        <v>124.599</v>
      </c>
      <c r="KS129" s="21" t="n">
        <v>276.734</v>
      </c>
      <c r="KT129" s="21" t="n">
        <v>278.495</v>
      </c>
      <c r="KU129" s="21" t="n">
        <v>108.051</v>
      </c>
      <c r="KV129" s="21" t="n">
        <v>35.722</v>
      </c>
      <c r="KW129" s="21" t="n">
        <v>279.828</v>
      </c>
      <c r="KX129" s="21" t="n">
        <v>229.282</v>
      </c>
      <c r="KY129" s="21" t="n">
        <v>287.098</v>
      </c>
      <c r="KZ129" s="21" t="n">
        <v>225.191</v>
      </c>
      <c r="LA129" s="21" t="n">
        <v>287.901</v>
      </c>
      <c r="LB129" s="21" t="n">
        <v>145.062</v>
      </c>
      <c r="LC129" s="21" t="n">
        <v>427.688</v>
      </c>
      <c r="LD129" s="21" t="n">
        <v>84.197</v>
      </c>
      <c r="LE129" s="21" t="n">
        <v>155.696</v>
      </c>
      <c r="LF129" s="21" t="n">
        <v>436.203</v>
      </c>
      <c r="LG129" s="21" t="n">
        <v>420.27</v>
      </c>
      <c r="LH129" s="21" t="n">
        <v>433.984</v>
      </c>
      <c r="LI129" s="21" t="n">
        <v>403.614</v>
      </c>
      <c r="LJ129" s="21" t="n">
        <v>433.888</v>
      </c>
      <c r="LK129" s="21" t="n">
        <v>131.796</v>
      </c>
      <c r="LL129" s="21" t="n">
        <v>449.479</v>
      </c>
      <c r="LM129" s="21" t="n">
        <v>267.773</v>
      </c>
      <c r="LN129" s="21" t="n">
        <v>32.64</v>
      </c>
      <c r="LO129" s="21" t="n">
        <v>156.665</v>
      </c>
    </row>
    <row r="130">
      <c r="A130" s="22" t="n">
        <v>45901</v>
      </c>
      <c r="B130" s="21" t="n">
        <v>324.245</v>
      </c>
      <c r="C130" s="21" t="n">
        <v>339.145</v>
      </c>
      <c r="D130" s="21" t="n">
        <v>342.086</v>
      </c>
      <c r="E130" s="21" t="n">
        <v>315.54</v>
      </c>
      <c r="F130" s="21" t="n">
        <v>361.434</v>
      </c>
      <c r="G130" s="21" t="n">
        <v>283.735</v>
      </c>
      <c r="H130" s="21" t="n">
        <v>326.425</v>
      </c>
      <c r="I130" s="21" t="n">
        <v>277.496</v>
      </c>
      <c r="J130" s="21" t="n">
        <v>286.22</v>
      </c>
      <c r="K130" s="21" t="n">
        <v>407.689</v>
      </c>
      <c r="L130" s="21" t="n">
        <v>241.596</v>
      </c>
      <c r="M130" s="21" t="n">
        <v>241.453</v>
      </c>
      <c r="N130" s="21" t="n">
        <v>385.73</v>
      </c>
      <c r="O130" s="21" t="n">
        <v>364.58</v>
      </c>
      <c r="P130" s="21" t="n">
        <v>364.71</v>
      </c>
      <c r="Q130" s="21" t="n">
        <v>442.802</v>
      </c>
      <c r="R130" s="21" t="n">
        <v>343.394</v>
      </c>
      <c r="S130" s="21" t="n">
        <v>347.793</v>
      </c>
      <c r="T130" s="21" t="n">
        <v>347.272</v>
      </c>
      <c r="U130" s="21" t="n">
        <v>365.3</v>
      </c>
      <c r="V130" s="21" t="n">
        <v>489.297</v>
      </c>
      <c r="W130" s="21" t="n">
        <v>414.607</v>
      </c>
      <c r="X130" s="21" t="n">
        <v>407.712</v>
      </c>
      <c r="Y130" s="21" t="n">
        <v>330.632</v>
      </c>
      <c r="Z130" s="21" t="n">
        <v>271.915</v>
      </c>
      <c r="AA130" s="21" t="n">
        <v>206.42</v>
      </c>
      <c r="AB130" s="21" t="n">
        <v>392.225</v>
      </c>
      <c r="AC130" s="21" t="n">
        <v>187.116</v>
      </c>
      <c r="AD130" s="21" t="n">
        <v>247.16</v>
      </c>
      <c r="AE130" s="21" t="n">
        <v>275.227</v>
      </c>
      <c r="AF130" s="21" t="n">
        <v>250.746</v>
      </c>
      <c r="AG130" s="21" t="n">
        <v>168.602</v>
      </c>
      <c r="AH130" s="21" t="n">
        <v>302.857</v>
      </c>
      <c r="AI130" s="21" t="n">
        <v>312.365</v>
      </c>
      <c r="AJ130" s="21" t="n">
        <v>194.258</v>
      </c>
      <c r="AK130" s="21" t="n">
        <v>310.737</v>
      </c>
      <c r="AL130" s="21" t="n">
        <v>199.351</v>
      </c>
      <c r="AM130" s="21" t="n">
        <v>329.327</v>
      </c>
      <c r="AN130" s="21" t="n">
        <v>298.138</v>
      </c>
      <c r="AO130" s="21" t="n">
        <v>204.17</v>
      </c>
      <c r="AP130" s="21" t="n">
        <v>356.659</v>
      </c>
      <c r="AQ130" s="21" t="n">
        <v>224.597</v>
      </c>
      <c r="AR130" s="21" t="n">
        <v>174.636</v>
      </c>
      <c r="AS130" s="21" t="n">
        <v>241.287</v>
      </c>
      <c r="AT130" s="21" t="n">
        <v>391.332</v>
      </c>
      <c r="AU130" s="21" t="n">
        <v>362.416</v>
      </c>
      <c r="AV130" s="21" t="n">
        <v>271.583</v>
      </c>
      <c r="AW130" s="21" t="n">
        <v>179.651</v>
      </c>
      <c r="AX130" s="21" t="n">
        <v>255.081</v>
      </c>
      <c r="AY130" s="21" t="n">
        <v>187.034</v>
      </c>
      <c r="AZ130" s="21" t="n">
        <v>266.689</v>
      </c>
      <c r="BA130" s="21" t="n">
        <v>273.929</v>
      </c>
      <c r="BB130" s="21" t="n">
        <v>191.797</v>
      </c>
      <c r="BC130" s="21" t="n">
        <v>357.671</v>
      </c>
      <c r="BD130" s="21" t="n">
        <v>402.573</v>
      </c>
      <c r="BE130" s="21" t="n">
        <v>414.897</v>
      </c>
      <c r="BF130" s="21" t="n">
        <v>356.707</v>
      </c>
      <c r="BG130" s="21" t="n">
        <v>221.311</v>
      </c>
      <c r="BH130" s="21" t="n">
        <v>301.763</v>
      </c>
      <c r="BI130" s="21" t="n">
        <v>610.937</v>
      </c>
      <c r="BJ130" s="21" t="n">
        <v>142.587</v>
      </c>
      <c r="BK130" s="21" t="n">
        <v>388.109</v>
      </c>
      <c r="BL130" s="21" t="n">
        <v>433.878</v>
      </c>
      <c r="BM130" s="21" t="n">
        <v>416.01</v>
      </c>
      <c r="BN130" s="21" t="n">
        <v>357.481</v>
      </c>
      <c r="BO130" s="21" t="n">
        <v>385.458</v>
      </c>
      <c r="BP130" s="21" t="n">
        <v>207.404</v>
      </c>
      <c r="BQ130" s="21" t="n">
        <v>225.483</v>
      </c>
      <c r="BR130" s="21" t="n">
        <v>215.056</v>
      </c>
      <c r="BS130" s="21" t="n">
        <v>240.976</v>
      </c>
      <c r="BT130" s="21" t="n">
        <v>186.582</v>
      </c>
      <c r="BU130" s="21" t="n">
        <v>259.888</v>
      </c>
      <c r="BV130" s="21" t="n">
        <v>196.677</v>
      </c>
      <c r="BW130" s="21" t="n">
        <v>231.494</v>
      </c>
      <c r="BX130" s="21" t="n">
        <v>180.222</v>
      </c>
      <c r="BY130" s="21" t="n">
        <v>235.352</v>
      </c>
      <c r="BZ130" s="21" t="n">
        <v>157.756</v>
      </c>
      <c r="CA130" s="21" t="n">
        <v>158.099</v>
      </c>
      <c r="CB130" s="21" t="n">
        <v>279.021</v>
      </c>
      <c r="CC130" s="21" t="n">
        <v>291.231</v>
      </c>
      <c r="CD130" s="21" t="n">
        <v>163.833</v>
      </c>
      <c r="CE130" s="21" t="n">
        <v>277.426</v>
      </c>
      <c r="CF130" s="21" t="n">
        <v>307.373</v>
      </c>
      <c r="CG130" s="21" t="n">
        <v>276.99</v>
      </c>
      <c r="CH130" s="21" t="n">
        <v>213.326</v>
      </c>
      <c r="CI130" s="21" t="n">
        <v>196.367</v>
      </c>
      <c r="CJ130" s="21" t="n">
        <v>314.256</v>
      </c>
      <c r="CK130" s="21" t="n">
        <v>277.669</v>
      </c>
      <c r="CL130" s="21" t="n">
        <v>316.576</v>
      </c>
      <c r="CM130" s="21" t="n">
        <v>468.426</v>
      </c>
      <c r="CN130" s="21" t="n">
        <v>180.576</v>
      </c>
      <c r="CO130" s="21" t="n">
        <v>221.974</v>
      </c>
      <c r="CP130" s="21" t="n">
        <v>290.425</v>
      </c>
      <c r="CQ130" s="21" t="n">
        <v>319.733</v>
      </c>
      <c r="CR130" s="21" t="n">
        <v>213.253</v>
      </c>
      <c r="CS130" s="21" t="n">
        <v>313.383</v>
      </c>
      <c r="CT130" s="21" t="n">
        <v>317.648</v>
      </c>
      <c r="CU130" s="21" t="n">
        <v>189.64</v>
      </c>
      <c r="CV130" s="21" t="n">
        <v>194.699</v>
      </c>
      <c r="CW130" s="21" t="n">
        <v>187.851</v>
      </c>
      <c r="CX130" s="21" t="n">
        <v>403.105</v>
      </c>
      <c r="CY130" s="21" t="n">
        <v>172.026</v>
      </c>
      <c r="CZ130" s="21" t="n">
        <v>162.064</v>
      </c>
      <c r="DA130" s="21" t="n">
        <v>385.451</v>
      </c>
      <c r="DB130" s="21" t="n">
        <v>237.937</v>
      </c>
      <c r="DC130" s="21" t="n">
        <v>213.261</v>
      </c>
      <c r="DD130" s="21" t="n">
        <v>204.416</v>
      </c>
      <c r="DE130" s="21" t="n">
        <v>259.183</v>
      </c>
      <c r="DF130" s="21" t="n">
        <v>297.507</v>
      </c>
      <c r="DG130" s="21" t="n">
        <v>230.852</v>
      </c>
      <c r="DH130" s="21" t="n">
        <v>279.596</v>
      </c>
      <c r="DI130" s="21" t="n">
        <v>214.746</v>
      </c>
      <c r="DJ130" s="21" t="n">
        <v>222.514</v>
      </c>
      <c r="DK130" s="21" t="n">
        <v>210.525</v>
      </c>
      <c r="DL130" s="21" t="n">
        <v>180.824</v>
      </c>
      <c r="DM130" s="21" t="n">
        <v>447.101</v>
      </c>
      <c r="DN130" s="21" t="n">
        <v>247.44</v>
      </c>
      <c r="DO130" s="21" t="n">
        <v>349.429</v>
      </c>
      <c r="DP130" s="21" t="n">
        <v>418.422</v>
      </c>
      <c r="DQ130" s="21" t="n">
        <v>438.237</v>
      </c>
      <c r="DR130" s="21" t="n">
        <v>186.039</v>
      </c>
      <c r="DS130" s="21" t="n">
        <v>671.728</v>
      </c>
      <c r="DT130" s="21" t="n">
        <v>377.625</v>
      </c>
      <c r="DU130" s="21" t="n">
        <v>431.132</v>
      </c>
      <c r="DV130" s="21" t="n">
        <v>431.134</v>
      </c>
      <c r="DW130" s="21" t="n">
        <v>333.518</v>
      </c>
      <c r="DX130" s="21" t="n">
        <v>279.343</v>
      </c>
      <c r="DY130" s="21" t="n">
        <v>361.456</v>
      </c>
      <c r="DZ130" s="21" t="n">
        <v>359.146</v>
      </c>
      <c r="EA130" s="21" t="n">
        <v>418.511</v>
      </c>
      <c r="EB130" s="21" t="n">
        <v>285.115</v>
      </c>
      <c r="EC130" s="21" t="n">
        <v>293.388</v>
      </c>
      <c r="ED130" s="21" t="n">
        <v>254.906</v>
      </c>
      <c r="EE130" s="21" t="n">
        <v>319.867</v>
      </c>
      <c r="EF130" s="21" t="n">
        <v>732.838</v>
      </c>
      <c r="EG130" s="21" t="n">
        <v>652.831</v>
      </c>
      <c r="EH130" s="21" t="n">
        <v>153.564</v>
      </c>
      <c r="EI130" s="21" t="n">
        <v>60.549</v>
      </c>
      <c r="EJ130" s="21" t="n">
        <v>82.07599999999999</v>
      </c>
      <c r="EK130" s="21" t="n">
        <v>40.601</v>
      </c>
      <c r="EL130" s="21" t="n">
        <v>134.988</v>
      </c>
      <c r="EM130" s="21" t="n">
        <v>78.003</v>
      </c>
      <c r="EN130" s="21" t="n">
        <v>84.952</v>
      </c>
      <c r="EO130" s="21" t="n">
        <v>89.309</v>
      </c>
      <c r="EP130" s="21" t="n">
        <v>107.522</v>
      </c>
      <c r="EQ130" s="21" t="n">
        <v>75.142</v>
      </c>
      <c r="ER130" s="21" t="n">
        <v>55.592</v>
      </c>
      <c r="ES130" s="21" t="n">
        <v>167.711</v>
      </c>
      <c r="ET130" s="21" t="n">
        <v>80.75</v>
      </c>
      <c r="EU130" s="21" t="n">
        <v>114.462</v>
      </c>
      <c r="EV130" s="21" t="n">
        <v>125.958</v>
      </c>
      <c r="EW130" s="21" t="n">
        <v>108.903</v>
      </c>
      <c r="EX130" s="21" t="n">
        <v>240.374</v>
      </c>
      <c r="EY130" s="21" t="n">
        <v>152.491</v>
      </c>
      <c r="EZ130" s="21" t="n">
        <v>142.408</v>
      </c>
      <c r="FA130" s="21" t="n">
        <v>202.329</v>
      </c>
      <c r="FB130" s="21" t="n">
        <v>132.411</v>
      </c>
      <c r="FC130" s="21" t="n">
        <v>130.469</v>
      </c>
      <c r="FD130" s="21" t="n">
        <v>133.336</v>
      </c>
      <c r="FE130" s="21" t="n">
        <v>94.95999999999999</v>
      </c>
      <c r="FF130" s="21" t="n">
        <v>184.36</v>
      </c>
      <c r="FG130" s="21" t="n">
        <v>82.155</v>
      </c>
      <c r="FH130" s="21" t="n">
        <v>143.534</v>
      </c>
      <c r="FI130" s="21" t="n">
        <v>117.458</v>
      </c>
      <c r="FJ130" s="21" t="n">
        <v>109.163</v>
      </c>
      <c r="FK130" s="21" t="n">
        <v>110.491</v>
      </c>
      <c r="FL130" s="21" t="n">
        <v>103.976</v>
      </c>
      <c r="FM130" s="21" t="n">
        <v>108.739</v>
      </c>
      <c r="FN130" s="21" t="n">
        <v>74.155</v>
      </c>
      <c r="FO130" s="21" t="n">
        <v>112.579</v>
      </c>
      <c r="FP130" s="21" t="n">
        <v>103.846</v>
      </c>
      <c r="FQ130" s="21" t="n">
        <v>147.387</v>
      </c>
      <c r="FR130" s="21" t="n">
        <v>153.105</v>
      </c>
      <c r="FS130" s="21" t="n">
        <v>167.017</v>
      </c>
      <c r="FT130" s="21" t="n">
        <v>134.693</v>
      </c>
      <c r="FU130" s="21" t="n">
        <v>125.047</v>
      </c>
      <c r="FV130" s="21" t="n">
        <v>206.868</v>
      </c>
      <c r="FW130" s="21" t="n">
        <v>167.504</v>
      </c>
      <c r="FX130" s="21" t="n">
        <v>205.475</v>
      </c>
      <c r="FY130" s="21" t="n">
        <v>273.656</v>
      </c>
      <c r="FZ130" s="21" t="n">
        <v>273.434</v>
      </c>
      <c r="GA130" s="21" t="n">
        <v>125.68</v>
      </c>
      <c r="GB130" s="21" t="n">
        <v>178.527</v>
      </c>
      <c r="GC130" s="21" t="n"/>
      <c r="GD130" s="21" t="n">
        <v>173.422</v>
      </c>
      <c r="GE130" s="21" t="n">
        <v>190.526</v>
      </c>
      <c r="GF130" s="21" t="n"/>
      <c r="GG130" s="21" t="n">
        <v>184.869</v>
      </c>
      <c r="GH130" s="21" t="n">
        <v>113.555</v>
      </c>
      <c r="GI130" s="21" t="n">
        <v>153.786</v>
      </c>
      <c r="GJ130" s="21" t="n">
        <v>282.015</v>
      </c>
      <c r="GK130" s="21" t="n">
        <v>280.658</v>
      </c>
      <c r="GL130" s="21" t="n">
        <v>273.081</v>
      </c>
      <c r="GM130" s="21" t="n">
        <v>312.201</v>
      </c>
      <c r="GN130" s="21" t="n">
        <v>310.251</v>
      </c>
      <c r="GO130" s="21" t="n">
        <v>276.569</v>
      </c>
      <c r="GP130" s="21" t="n">
        <v>188.028</v>
      </c>
      <c r="GQ130" s="21" t="n">
        <v>159.678</v>
      </c>
      <c r="GR130" s="21" t="n">
        <v>442.843</v>
      </c>
      <c r="GS130" s="21" t="n">
        <v>305.281</v>
      </c>
      <c r="GT130" s="21" t="n">
        <v>894.987</v>
      </c>
      <c r="GU130" s="21" t="n">
        <v>243.917</v>
      </c>
      <c r="GV130" s="21" t="n">
        <v>288.026</v>
      </c>
      <c r="GW130" s="21" t="n">
        <v>265.009</v>
      </c>
      <c r="GX130" s="21" t="n">
        <v>267.046</v>
      </c>
      <c r="GY130" s="21" t="n">
        <v>152.018</v>
      </c>
      <c r="GZ130" s="21" t="n"/>
      <c r="HA130" s="21" t="n">
        <v>62.419</v>
      </c>
      <c r="HB130" s="21" t="n">
        <v>584.872</v>
      </c>
      <c r="HC130" s="21" t="n">
        <v>416.471</v>
      </c>
      <c r="HD130" s="21" t="n">
        <v>135.993</v>
      </c>
      <c r="HE130" s="21" t="n">
        <v>569.046</v>
      </c>
      <c r="HF130" s="21" t="n">
        <v>108.677</v>
      </c>
      <c r="HG130" s="21" t="n">
        <v>639.2329999999999</v>
      </c>
      <c r="HH130" s="21" t="n">
        <v>442.367</v>
      </c>
      <c r="HI130" s="21" t="n">
        <v>430.246</v>
      </c>
      <c r="HJ130" s="21" t="n">
        <v>622.391</v>
      </c>
      <c r="HK130" s="21" t="n">
        <v>217.854</v>
      </c>
      <c r="HL130" s="21" t="n"/>
      <c r="HM130" s="21" t="n">
        <v>105.063</v>
      </c>
      <c r="HN130" s="21" t="n">
        <v>438.31</v>
      </c>
      <c r="HO130" s="21" t="n">
        <v>420.293</v>
      </c>
      <c r="HP130" s="21" t="n">
        <v>965.554</v>
      </c>
      <c r="HQ130" s="21" t="n">
        <v>302.782</v>
      </c>
      <c r="HR130" s="21" t="n">
        <v>141.93</v>
      </c>
      <c r="HS130" s="21" t="n">
        <v>119.821</v>
      </c>
      <c r="HT130" s="21" t="n">
        <v>95.874</v>
      </c>
      <c r="HU130" s="21" t="n">
        <v>594.9299999999999</v>
      </c>
      <c r="HV130" s="21" t="n">
        <v>103.797</v>
      </c>
      <c r="HW130" s="21" t="n">
        <v>28.166</v>
      </c>
      <c r="HX130" s="21" t="n">
        <v>231.067</v>
      </c>
      <c r="HY130" s="21" t="n">
        <v>241.685</v>
      </c>
      <c r="HZ130" s="21" t="n">
        <v>191.49</v>
      </c>
      <c r="IA130" s="21" t="n">
        <v>132.065</v>
      </c>
      <c r="IB130" s="21" t="n">
        <v>369.251</v>
      </c>
      <c r="IC130" s="21" t="n">
        <v>269.57</v>
      </c>
      <c r="ID130" s="21" t="n">
        <v>399.189</v>
      </c>
      <c r="IE130" s="21" t="n">
        <v>123.655</v>
      </c>
      <c r="IF130" s="21" t="n">
        <v>171.39</v>
      </c>
      <c r="IG130" s="21" t="n">
        <v>84.014</v>
      </c>
      <c r="IH130" s="21" t="n">
        <v>85.497</v>
      </c>
      <c r="II130" s="21" t="n">
        <v>73.499</v>
      </c>
      <c r="IJ130" s="21" t="n">
        <v>30.196</v>
      </c>
      <c r="IK130" s="21" t="n">
        <v>33.206</v>
      </c>
      <c r="IL130" s="21" t="n">
        <v>27.977</v>
      </c>
      <c r="IM130" s="21" t="n">
        <v>37.893</v>
      </c>
      <c r="IN130" s="21" t="n">
        <v>101.228</v>
      </c>
      <c r="IO130" s="21" t="n">
        <v>128.323</v>
      </c>
      <c r="IP130" s="21" t="n">
        <v>209.993</v>
      </c>
      <c r="IQ130" s="21" t="n">
        <v>170.872</v>
      </c>
      <c r="IR130" s="21" t="n">
        <v>483.083</v>
      </c>
      <c r="IS130" s="21" t="n">
        <v>232.612</v>
      </c>
      <c r="IT130" s="21" t="n">
        <v>253.453</v>
      </c>
      <c r="IU130" s="21" t="n">
        <v>414.112</v>
      </c>
      <c r="IV130" s="21" t="n">
        <v>294</v>
      </c>
      <c r="IW130" s="21" t="n">
        <v>146.905</v>
      </c>
      <c r="IX130" s="21" t="n">
        <v>311.807</v>
      </c>
      <c r="IY130" s="21" t="n">
        <v>757.664</v>
      </c>
      <c r="IZ130" s="21" t="n">
        <v>897.004</v>
      </c>
      <c r="JA130" s="21" t="n">
        <v>958.548</v>
      </c>
      <c r="JB130" s="21" t="n">
        <v>103.026</v>
      </c>
      <c r="JC130" s="21" t="n">
        <v>391.573</v>
      </c>
      <c r="JD130" s="21" t="n">
        <v>281.8</v>
      </c>
      <c r="JE130" s="21" t="n">
        <v>72.756</v>
      </c>
      <c r="JF130" s="21" t="n">
        <v>257.143</v>
      </c>
      <c r="JG130" s="21" t="n">
        <v>399.577</v>
      </c>
      <c r="JH130" s="21" t="n">
        <v>471.932</v>
      </c>
      <c r="JI130" s="21" t="n">
        <v>68.328</v>
      </c>
      <c r="JJ130" s="21" t="n">
        <v>100.824</v>
      </c>
      <c r="JK130" s="21" t="n">
        <v>35.141</v>
      </c>
      <c r="JL130" s="21" t="n">
        <v>86.2</v>
      </c>
      <c r="JM130" s="21" t="n">
        <v>95.369</v>
      </c>
      <c r="JN130" s="21" t="n">
        <v>585.854</v>
      </c>
      <c r="JO130" s="21" t="n">
        <v>105.331</v>
      </c>
      <c r="JP130" s="21" t="n">
        <v>704.581</v>
      </c>
      <c r="JQ130" s="21" t="n">
        <v>293.764</v>
      </c>
      <c r="JR130" s="21" t="n">
        <v>181.029</v>
      </c>
      <c r="JS130" s="21" t="n">
        <v>584.956</v>
      </c>
      <c r="JT130" s="21" t="n"/>
      <c r="JU130" s="21" t="n">
        <v>407.049</v>
      </c>
      <c r="JV130" s="21" t="n">
        <v>242.915</v>
      </c>
      <c r="JW130" s="21" t="n">
        <v>454.276</v>
      </c>
      <c r="JX130" s="21" t="n">
        <v>353.069</v>
      </c>
      <c r="JY130" s="21" t="n">
        <v>88.22499999999999</v>
      </c>
      <c r="JZ130" s="21" t="n">
        <v>209.109</v>
      </c>
      <c r="KA130" s="21" t="n">
        <v>311.656</v>
      </c>
      <c r="KB130" s="21" t="n">
        <v>331.233</v>
      </c>
      <c r="KC130" s="21" t="n">
        <v>321.478</v>
      </c>
      <c r="KD130" s="21" t="n">
        <v>330.418</v>
      </c>
      <c r="KE130" s="21" t="n">
        <v>290.958</v>
      </c>
      <c r="KF130" s="21" t="n">
        <v>278.496</v>
      </c>
      <c r="KG130" s="21" t="n">
        <v>281.649</v>
      </c>
      <c r="KH130" s="21" t="n">
        <v>287.123</v>
      </c>
      <c r="KI130" s="21" t="n">
        <v>124.104</v>
      </c>
      <c r="KJ130" s="21" t="n">
        <v>226.284</v>
      </c>
      <c r="KK130" s="21" t="n">
        <v>178.476</v>
      </c>
      <c r="KL130" s="21" t="n">
        <v>174.519</v>
      </c>
      <c r="KM130" s="21" t="n">
        <v>167.17</v>
      </c>
      <c r="KN130" s="21" t="n">
        <v>165.254</v>
      </c>
      <c r="KO130" s="21" t="n">
        <v>326.212</v>
      </c>
      <c r="KP130" s="21" t="n">
        <v>124.265</v>
      </c>
      <c r="KQ130" s="21" t="n">
        <v>52.341</v>
      </c>
      <c r="KR130" s="21" t="n">
        <v>124.701</v>
      </c>
      <c r="KS130" s="21" t="n">
        <v>280.7</v>
      </c>
      <c r="KT130" s="21" t="n">
        <v>287.988</v>
      </c>
      <c r="KU130" s="21" t="n">
        <v>108.326</v>
      </c>
      <c r="KV130" s="21" t="n">
        <v>35.509</v>
      </c>
      <c r="KW130" s="21" t="n">
        <v>281.564</v>
      </c>
      <c r="KX130" s="21" t="n">
        <v>231.741</v>
      </c>
      <c r="KY130" s="21" t="n">
        <v>291.135</v>
      </c>
      <c r="KZ130" s="21" t="n">
        <v>227.743</v>
      </c>
      <c r="LA130" s="21" t="n">
        <v>292.253</v>
      </c>
      <c r="LB130" s="21" t="n">
        <v>145.816</v>
      </c>
      <c r="LC130" s="21" t="n">
        <v>428.531</v>
      </c>
      <c r="LD130" s="21" t="n">
        <v>84.497</v>
      </c>
      <c r="LE130" s="21" t="n">
        <v>156.28</v>
      </c>
      <c r="LF130" s="21" t="n">
        <v>437.158</v>
      </c>
      <c r="LG130" s="21" t="n">
        <v>421.107</v>
      </c>
      <c r="LH130" s="21" t="n">
        <v>434.996</v>
      </c>
      <c r="LI130" s="21" t="n">
        <v>404.338</v>
      </c>
      <c r="LJ130" s="21" t="n">
        <v>434.715</v>
      </c>
      <c r="LK130" s="21" t="n">
        <v>131.847</v>
      </c>
      <c r="LL130" s="21" t="n">
        <v>450.732</v>
      </c>
      <c r="LM130" s="21" t="n">
        <v>267.847</v>
      </c>
      <c r="LN130" s="21" t="n">
        <v>32.598</v>
      </c>
      <c r="LO130" s="21" t="n">
        <v>157.159</v>
      </c>
    </row>
    <row r="131">
      <c r="A131" s="22" t="n">
        <v>45931</v>
      </c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  <c r="S131" s="21" t="n"/>
      <c r="T131" s="21" t="n"/>
      <c r="U131" s="21" t="n"/>
      <c r="V131" s="21" t="n"/>
      <c r="W131" s="21" t="n"/>
      <c r="X131" s="21" t="n"/>
      <c r="Y131" s="21" t="n"/>
      <c r="Z131" s="21" t="n"/>
      <c r="AA131" s="21" t="n"/>
      <c r="AB131" s="21" t="n"/>
      <c r="AC131" s="21" t="n"/>
      <c r="AD131" s="21" t="n"/>
      <c r="AE131" s="21" t="n"/>
      <c r="AF131" s="21" t="n"/>
      <c r="AG131" s="21" t="n"/>
      <c r="AH131" s="21" t="n"/>
      <c r="AI131" s="21" t="n"/>
      <c r="AJ131" s="21" t="n"/>
      <c r="AK131" s="21" t="n"/>
      <c r="AL131" s="21" t="n"/>
      <c r="AM131" s="21" t="n"/>
      <c r="AN131" s="21" t="n"/>
      <c r="AO131" s="21" t="n"/>
      <c r="AP131" s="21" t="n"/>
      <c r="AQ131" s="21" t="n"/>
      <c r="AR131" s="21" t="n"/>
      <c r="AS131" s="21" t="n"/>
      <c r="AT131" s="21" t="n"/>
      <c r="AU131" s="21" t="n"/>
      <c r="AV131" s="21" t="n"/>
      <c r="AW131" s="21" t="n"/>
      <c r="AX131" s="21" t="n"/>
      <c r="AY131" s="21" t="n"/>
      <c r="AZ131" s="21" t="n"/>
      <c r="BA131" s="21" t="n"/>
      <c r="BB131" s="21" t="n"/>
      <c r="BC131" s="21" t="n"/>
      <c r="BD131" s="21" t="n"/>
      <c r="BE131" s="21" t="n"/>
      <c r="BF131" s="21" t="n"/>
      <c r="BG131" s="21" t="n"/>
      <c r="BH131" s="21" t="n"/>
      <c r="BI131" s="21" t="n"/>
      <c r="BJ131" s="21" t="n"/>
      <c r="BK131" s="21" t="n"/>
      <c r="BL131" s="21" t="n"/>
      <c r="BM131" s="21" t="n"/>
      <c r="BN131" s="21" t="n"/>
      <c r="BO131" s="21" t="n"/>
      <c r="BP131" s="21" t="n"/>
      <c r="BQ131" s="21" t="n"/>
      <c r="BR131" s="21" t="n"/>
      <c r="BS131" s="21" t="n"/>
      <c r="BT131" s="21" t="n"/>
      <c r="BU131" s="21" t="n"/>
      <c r="BV131" s="21" t="n"/>
      <c r="BW131" s="21" t="n"/>
      <c r="BX131" s="21" t="n"/>
      <c r="BY131" s="21" t="n"/>
      <c r="BZ131" s="21" t="n"/>
      <c r="CA131" s="21" t="n"/>
      <c r="CB131" s="21" t="n"/>
      <c r="CC131" s="21" t="n"/>
      <c r="CD131" s="21" t="n"/>
      <c r="CE131" s="21" t="n"/>
      <c r="CF131" s="21" t="n"/>
      <c r="CG131" s="21" t="n"/>
      <c r="CH131" s="21" t="n"/>
      <c r="CI131" s="21" t="n"/>
      <c r="CJ131" s="21" t="n"/>
      <c r="CK131" s="21" t="n"/>
      <c r="CL131" s="21" t="n"/>
      <c r="CM131" s="21" t="n"/>
      <c r="CN131" s="21" t="n"/>
      <c r="CO131" s="21" t="n"/>
      <c r="CP131" s="21" t="n"/>
      <c r="CQ131" s="21" t="n"/>
      <c r="CR131" s="21" t="n"/>
      <c r="CS131" s="21" t="n"/>
      <c r="CT131" s="21" t="n"/>
      <c r="CU131" s="21" t="n"/>
      <c r="CV131" s="21" t="n"/>
      <c r="CW131" s="21" t="n"/>
      <c r="CX131" s="21" t="n"/>
      <c r="CY131" s="21" t="n"/>
      <c r="CZ131" s="21" t="n"/>
      <c r="DA131" s="21" t="n"/>
      <c r="DB131" s="21" t="n"/>
      <c r="DC131" s="21" t="n"/>
      <c r="DD131" s="21" t="n"/>
      <c r="DE131" s="21" t="n"/>
      <c r="DF131" s="21" t="n"/>
      <c r="DG131" s="21" t="n"/>
      <c r="DH131" s="21" t="n"/>
      <c r="DI131" s="21" t="n"/>
      <c r="DJ131" s="21" t="n"/>
      <c r="DK131" s="21" t="n"/>
      <c r="DL131" s="21" t="n"/>
      <c r="DM131" s="21" t="n"/>
      <c r="DN131" s="21" t="n"/>
      <c r="DO131" s="21" t="n"/>
      <c r="DP131" s="21" t="n"/>
      <c r="DQ131" s="21" t="n"/>
      <c r="DR131" s="21" t="n"/>
      <c r="DS131" s="21" t="n"/>
      <c r="DT131" s="21" t="n"/>
      <c r="DU131" s="21" t="n"/>
      <c r="DV131" s="21" t="n"/>
      <c r="DW131" s="21" t="n"/>
      <c r="DX131" s="21" t="n"/>
      <c r="DY131" s="21" t="n"/>
      <c r="DZ131" s="21" t="n"/>
      <c r="EA131" s="21" t="n"/>
      <c r="EB131" s="21" t="n"/>
      <c r="EC131" s="21" t="n"/>
      <c r="ED131" s="21" t="n"/>
      <c r="EE131" s="21" t="n"/>
      <c r="EF131" s="21" t="n"/>
      <c r="EG131" s="21" t="n"/>
      <c r="EH131" s="21" t="n"/>
      <c r="EI131" s="21" t="n"/>
      <c r="EJ131" s="21" t="n"/>
      <c r="EK131" s="21" t="n"/>
      <c r="EL131" s="21" t="n"/>
      <c r="EM131" s="21" t="n"/>
      <c r="EN131" s="21" t="n"/>
      <c r="EO131" s="21" t="n"/>
      <c r="EP131" s="21" t="n"/>
      <c r="EQ131" s="21" t="n"/>
      <c r="ER131" s="21" t="n"/>
      <c r="ES131" s="21" t="n"/>
      <c r="ET131" s="21" t="n"/>
      <c r="EU131" s="21" t="n"/>
      <c r="EV131" s="21" t="n"/>
      <c r="EW131" s="21" t="n"/>
      <c r="EX131" s="21" t="n"/>
      <c r="EY131" s="21" t="n"/>
      <c r="EZ131" s="21" t="n"/>
      <c r="FA131" s="21" t="n"/>
      <c r="FB131" s="21" t="n"/>
      <c r="FC131" s="21" t="n"/>
      <c r="FD131" s="21" t="n"/>
      <c r="FE131" s="21" t="n"/>
      <c r="FF131" s="21" t="n"/>
      <c r="FG131" s="21" t="n"/>
      <c r="FH131" s="21" t="n"/>
      <c r="FI131" s="21" t="n"/>
      <c r="FJ131" s="21" t="n"/>
      <c r="FK131" s="21" t="n"/>
      <c r="FL131" s="21" t="n"/>
      <c r="FM131" s="21" t="n"/>
      <c r="FN131" s="21" t="n"/>
      <c r="FO131" s="21" t="n"/>
      <c r="FP131" s="21" t="n"/>
      <c r="FQ131" s="21" t="n"/>
      <c r="FR131" s="21" t="n"/>
      <c r="FS131" s="21" t="n"/>
      <c r="FT131" s="21" t="n"/>
      <c r="FU131" s="21" t="n"/>
      <c r="FV131" s="21" t="n"/>
      <c r="FW131" s="21" t="n"/>
      <c r="FX131" s="21" t="n"/>
      <c r="FY131" s="21" t="n"/>
      <c r="FZ131" s="21" t="n"/>
      <c r="GA131" s="21" t="n"/>
      <c r="GB131" s="21" t="n">
        <v>178.609</v>
      </c>
      <c r="GC131" s="21" t="n"/>
      <c r="GD131" s="21" t="n">
        <v>173.562</v>
      </c>
      <c r="GE131" s="21" t="n">
        <v>190.636</v>
      </c>
      <c r="GF131" s="21" t="n"/>
      <c r="GG131" s="21" t="n">
        <v>186.111</v>
      </c>
      <c r="GH131" s="21" t="n">
        <v>113.464</v>
      </c>
      <c r="GI131" s="21" t="n"/>
      <c r="GJ131" s="21" t="n"/>
      <c r="GK131" s="21" t="n">
        <v>276.991</v>
      </c>
      <c r="GL131" s="21" t="n">
        <v>269.176</v>
      </c>
      <c r="GM131" s="21" t="n">
        <v>309.814</v>
      </c>
      <c r="GN131" s="21" t="n">
        <v>307.677</v>
      </c>
      <c r="GO131" s="21" t="n"/>
      <c r="GP131" s="21" t="n"/>
      <c r="GQ131" s="21" t="n"/>
      <c r="GR131" s="21" t="n"/>
      <c r="GS131" s="21" t="n"/>
      <c r="GT131" s="21" t="n"/>
      <c r="GU131" s="21" t="n"/>
      <c r="GV131" s="21" t="n"/>
      <c r="GW131" s="21" t="n"/>
      <c r="GX131" s="21" t="n"/>
      <c r="GY131" s="21" t="n"/>
      <c r="GZ131" s="21" t="n"/>
      <c r="HA131" s="21" t="n"/>
      <c r="HB131" s="21" t="n"/>
      <c r="HC131" s="21" t="n"/>
      <c r="HD131" s="21" t="n"/>
      <c r="HE131" s="21" t="n"/>
      <c r="HF131" s="21" t="n"/>
      <c r="HG131" s="21" t="n"/>
      <c r="HH131" s="21" t="n"/>
      <c r="HI131" s="21" t="n"/>
      <c r="HJ131" s="21" t="n"/>
      <c r="HK131" s="21" t="n"/>
      <c r="HL131" s="21" t="n"/>
      <c r="HM131" s="21" t="n"/>
      <c r="HN131" s="21" t="n"/>
      <c r="HO131" s="21" t="n"/>
      <c r="HP131" s="21" t="n"/>
      <c r="HQ131" s="21" t="n"/>
      <c r="HR131" s="21" t="n"/>
      <c r="HS131" s="21" t="n"/>
      <c r="HT131" s="21" t="n"/>
      <c r="HU131" s="21" t="n"/>
      <c r="HV131" s="21" t="n"/>
      <c r="HW131" s="21" t="n"/>
      <c r="HX131" s="21" t="n"/>
      <c r="HY131" s="21" t="n"/>
      <c r="HZ131" s="21" t="n"/>
      <c r="IA131" s="21" t="n"/>
      <c r="IB131" s="21" t="n"/>
      <c r="IC131" s="21" t="n"/>
      <c r="ID131" s="21" t="n"/>
      <c r="IE131" s="21" t="n"/>
      <c r="IF131" s="21" t="n"/>
      <c r="IG131" s="21" t="n"/>
      <c r="IH131" s="21" t="n"/>
      <c r="II131" s="21" t="n"/>
      <c r="IJ131" s="21" t="n"/>
      <c r="IK131" s="21" t="n"/>
      <c r="IL131" s="21" t="n"/>
      <c r="IM131" s="21" t="n"/>
      <c r="IN131" s="21" t="n"/>
      <c r="IO131" s="21" t="n"/>
      <c r="IP131" s="21" t="n"/>
      <c r="IQ131" s="21" t="n"/>
      <c r="IR131" s="21" t="n"/>
      <c r="IS131" s="21" t="n"/>
      <c r="IT131" s="21" t="n"/>
      <c r="IU131" s="21" t="n"/>
      <c r="IV131" s="21" t="n"/>
      <c r="IW131" s="21" t="n"/>
      <c r="IX131" s="21" t="n"/>
      <c r="IY131" s="21" t="n"/>
      <c r="IZ131" s="21" t="n"/>
      <c r="JA131" s="21" t="n"/>
      <c r="JB131" s="21" t="n"/>
      <c r="JC131" s="21" t="n"/>
      <c r="JD131" s="21" t="n"/>
      <c r="JE131" s="21" t="n"/>
      <c r="JF131" s="21" t="n"/>
      <c r="JG131" s="21" t="n">
        <v>404.209</v>
      </c>
      <c r="JH131" s="21" t="n"/>
      <c r="JI131" s="21" t="n"/>
      <c r="JJ131" s="21" t="n"/>
      <c r="JK131" s="21" t="n"/>
      <c r="JL131" s="21" t="n"/>
      <c r="JM131" s="21" t="n"/>
      <c r="JN131" s="21" t="n"/>
      <c r="JO131" s="21" t="n"/>
      <c r="JP131" s="21" t="n"/>
      <c r="JQ131" s="21" t="n"/>
      <c r="JR131" s="21" t="n"/>
      <c r="JS131" s="21" t="n"/>
      <c r="JT131" s="21" t="n"/>
      <c r="JU131" s="21" t="n"/>
      <c r="JV131" s="21" t="n"/>
      <c r="JW131" s="21" t="n"/>
      <c r="JX131" s="21" t="n"/>
      <c r="JY131" s="21" t="n"/>
      <c r="JZ131" s="21" t="n"/>
      <c r="KA131" s="21" t="n"/>
      <c r="KB131" s="21" t="n"/>
      <c r="KC131" s="21" t="n"/>
      <c r="KD131" s="21" t="n"/>
      <c r="KE131" s="21" t="n"/>
      <c r="KF131" s="21" t="n"/>
      <c r="KG131" s="21" t="n"/>
      <c r="KH131" s="21" t="n"/>
      <c r="KI131" s="21" t="n"/>
      <c r="KJ131" s="21" t="n"/>
      <c r="KK131" s="21" t="n"/>
      <c r="KL131" s="21" t="n"/>
      <c r="KM131" s="21" t="n"/>
      <c r="KN131" s="21" t="n"/>
      <c r="KO131" s="21" t="n"/>
      <c r="KP131" s="21" t="n"/>
      <c r="KQ131" s="21" t="n"/>
      <c r="KR131" s="21" t="n"/>
      <c r="KS131" s="21" t="n"/>
      <c r="KT131" s="21" t="n"/>
      <c r="KU131" s="21" t="n"/>
      <c r="KV131" s="21" t="n"/>
      <c r="KW131" s="21" t="n"/>
      <c r="KX131" s="21" t="n"/>
      <c r="KY131" s="21" t="n"/>
      <c r="KZ131" s="21" t="n"/>
      <c r="LA131" s="21" t="n"/>
      <c r="LB131" s="21" t="n"/>
      <c r="LC131" s="21" t="n"/>
      <c r="LD131" s="21" t="n"/>
      <c r="LE131" s="21" t="n"/>
      <c r="LF131" s="21" t="n"/>
      <c r="LG131" s="21" t="n"/>
      <c r="LH131" s="21" t="n"/>
      <c r="LI131" s="21" t="n"/>
      <c r="LJ131" s="21" t="n"/>
      <c r="LK131" s="21" t="n"/>
      <c r="LL131" s="21" t="n"/>
      <c r="LM131" s="21" t="n"/>
      <c r="LN131" s="21" t="n"/>
      <c r="LO131" s="21" t="n"/>
    </row>
    <row r="132">
      <c r="A132" s="22" t="n">
        <v>45962</v>
      </c>
      <c r="B132" s="21" t="n">
        <v>325.063</v>
      </c>
      <c r="C132" s="21" t="n">
        <v>339.478</v>
      </c>
      <c r="D132" s="21" t="n">
        <v>342.386</v>
      </c>
      <c r="E132" s="21" t="n">
        <v>315</v>
      </c>
      <c r="F132" s="21" t="n">
        <v>362.03</v>
      </c>
      <c r="G132" s="21" t="n">
        <v>288.876</v>
      </c>
      <c r="H132" s="21" t="n">
        <v>329.407</v>
      </c>
      <c r="I132" s="21" t="n">
        <v>284.674</v>
      </c>
      <c r="J132" s="21" t="n">
        <v>290.249</v>
      </c>
      <c r="K132" s="21" t="n">
        <v>404.131</v>
      </c>
      <c r="L132" s="21" t="n">
        <v>242.834</v>
      </c>
      <c r="M132" s="21" t="n">
        <v>241.946</v>
      </c>
      <c r="N132" s="21" t="n">
        <v>389.531</v>
      </c>
      <c r="O132" s="21" t="n">
        <v>373.904</v>
      </c>
      <c r="P132" s="21" t="n">
        <v>357.53</v>
      </c>
      <c r="Q132" s="21" t="n">
        <v>440.029</v>
      </c>
      <c r="R132" s="21" t="n">
        <v>332.443</v>
      </c>
      <c r="S132" s="21" t="n">
        <v>348.204</v>
      </c>
      <c r="T132" s="21" t="n">
        <v>351.593</v>
      </c>
      <c r="U132" s="21" t="n">
        <v>369.395</v>
      </c>
      <c r="V132" s="21" t="n">
        <v>501.56</v>
      </c>
      <c r="W132" s="21" t="n">
        <v>425.799</v>
      </c>
      <c r="X132" s="21" t="n">
        <v>424.204</v>
      </c>
      <c r="Y132" s="21" t="n">
        <v>336.224</v>
      </c>
      <c r="Z132" s="21" t="n">
        <v>271.292</v>
      </c>
      <c r="AA132" s="21" t="n">
        <v>204.399</v>
      </c>
      <c r="AB132" s="21" t="n">
        <v>383.953</v>
      </c>
      <c r="AC132" s="21" t="n">
        <v>188.204</v>
      </c>
      <c r="AD132" s="21" t="n">
        <v>254.744</v>
      </c>
      <c r="AE132" s="21" t="n">
        <v>281.681</v>
      </c>
      <c r="AF132" s="21" t="n">
        <v>238.776</v>
      </c>
      <c r="AG132" s="21" t="n">
        <v>169.255</v>
      </c>
      <c r="AH132" s="21" t="n">
        <v>301.57</v>
      </c>
      <c r="AI132" s="21" t="n">
        <v>316.926</v>
      </c>
      <c r="AJ132" s="21" t="n">
        <v>195.476</v>
      </c>
      <c r="AK132" s="21" t="n">
        <v>312.025</v>
      </c>
      <c r="AL132" s="21" t="n">
        <v>199.831</v>
      </c>
      <c r="AM132" s="21" t="n">
        <v>327.562</v>
      </c>
      <c r="AN132" s="21" t="n">
        <v>300.053</v>
      </c>
      <c r="AO132" s="21" t="n">
        <v>205.631</v>
      </c>
      <c r="AP132" s="21" t="n">
        <v>366.348</v>
      </c>
      <c r="AQ132" s="21" t="n">
        <v>228.899</v>
      </c>
      <c r="AR132" s="21" t="n">
        <v>180.535</v>
      </c>
      <c r="AS132" s="21" t="n">
        <v>255.825</v>
      </c>
      <c r="AT132" s="21" t="n">
        <v>401.44</v>
      </c>
      <c r="AU132" s="21" t="n">
        <v>323.774</v>
      </c>
      <c r="AV132" s="21" t="n">
        <v>266.491</v>
      </c>
      <c r="AW132" s="21" t="n">
        <v>178.184</v>
      </c>
      <c r="AX132" s="21" t="n">
        <v>252.152</v>
      </c>
      <c r="AY132" s="21" t="n">
        <v>185.55</v>
      </c>
      <c r="AZ132" s="21" t="n">
        <v>258.555</v>
      </c>
      <c r="BA132" s="21" t="n">
        <v>271.948</v>
      </c>
      <c r="BB132" s="21" t="n">
        <v>189.894</v>
      </c>
      <c r="BC132" s="21" t="n">
        <v>354.497</v>
      </c>
      <c r="BD132" s="21" t="n">
        <v>399.182</v>
      </c>
      <c r="BE132" s="21" t="n">
        <v>414.989</v>
      </c>
      <c r="BF132" s="21" t="n">
        <v>356.914</v>
      </c>
      <c r="BG132" s="21" t="n">
        <v>221.219</v>
      </c>
      <c r="BH132" s="21" t="n">
        <v>288.725</v>
      </c>
      <c r="BI132" s="21" t="n">
        <v>587.022</v>
      </c>
      <c r="BJ132" s="21" t="n">
        <v>142.548</v>
      </c>
      <c r="BK132" s="21" t="n">
        <v>381.46</v>
      </c>
      <c r="BL132" s="21" t="n">
        <v>410.017</v>
      </c>
      <c r="BM132" s="21" t="n">
        <v>418.423</v>
      </c>
      <c r="BN132" s="21" t="n">
        <v>348.771</v>
      </c>
      <c r="BO132" s="21" t="n">
        <v>382.357</v>
      </c>
      <c r="BP132" s="21" t="n">
        <v>205.097</v>
      </c>
      <c r="BQ132" s="21" t="n">
        <v>220.012</v>
      </c>
      <c r="BR132" s="21" t="n">
        <v>208.807</v>
      </c>
      <c r="BS132" s="21" t="n">
        <v>233.261</v>
      </c>
      <c r="BT132" s="21" t="n">
        <v>180.943</v>
      </c>
      <c r="BU132" s="21" t="n">
        <v>251.649</v>
      </c>
      <c r="BV132" s="21" t="n">
        <v>201.048</v>
      </c>
      <c r="BW132" s="21" t="n">
        <v>233.179</v>
      </c>
      <c r="BX132" s="21" t="n">
        <v>180.238</v>
      </c>
      <c r="BY132" s="21" t="n">
        <v>233.566</v>
      </c>
      <c r="BZ132" s="21" t="n">
        <v>159.038</v>
      </c>
      <c r="CA132" s="21" t="n">
        <v>162.162</v>
      </c>
      <c r="CB132" s="21" t="n">
        <v>285.695</v>
      </c>
      <c r="CC132" s="21" t="n">
        <v>297.544</v>
      </c>
      <c r="CD132" s="21" t="n">
        <v>168.74</v>
      </c>
      <c r="CE132" s="21" t="n">
        <v>277.558</v>
      </c>
      <c r="CF132" s="21" t="n">
        <v>312.384</v>
      </c>
      <c r="CG132" s="21" t="n">
        <v>273.291</v>
      </c>
      <c r="CH132" s="21" t="n">
        <v>219.786</v>
      </c>
      <c r="CI132" s="21" t="n">
        <v>190.013</v>
      </c>
      <c r="CJ132" s="21" t="n">
        <v>314.408</v>
      </c>
      <c r="CK132" s="21" t="n">
        <v>273.718</v>
      </c>
      <c r="CL132" s="21" t="n">
        <v>308.925</v>
      </c>
      <c r="CM132" s="21" t="n">
        <v>471.904</v>
      </c>
      <c r="CN132" s="21" t="n">
        <v>177.786</v>
      </c>
      <c r="CO132" s="21" t="n">
        <v>222.347</v>
      </c>
      <c r="CP132" s="21" t="n">
        <v>289.668</v>
      </c>
      <c r="CQ132" s="21" t="n">
        <v>318.547</v>
      </c>
      <c r="CR132" s="21" t="n">
        <v>213.052</v>
      </c>
      <c r="CS132" s="21" t="n">
        <v>312.39</v>
      </c>
      <c r="CT132" s="21" t="n">
        <v>315.117</v>
      </c>
      <c r="CU132" s="21" t="n">
        <v>189.941</v>
      </c>
      <c r="CV132" s="21" t="n">
        <v>193.265</v>
      </c>
      <c r="CW132" s="21" t="n">
        <v>186.409</v>
      </c>
      <c r="CX132" s="21" t="n">
        <v>396.007</v>
      </c>
      <c r="CY132" s="21" t="n">
        <v>172.692</v>
      </c>
      <c r="CZ132" s="21" t="n">
        <v>162.31</v>
      </c>
      <c r="DA132" s="21" t="n">
        <v>387.202</v>
      </c>
      <c r="DB132" s="21" t="n">
        <v>239.371</v>
      </c>
      <c r="DC132" s="21" t="n">
        <v>213.413</v>
      </c>
      <c r="DD132" s="21" t="n">
        <v>204.596</v>
      </c>
      <c r="DE132" s="21" t="n">
        <v>261.244</v>
      </c>
      <c r="DF132" s="21" t="n">
        <v>298.31</v>
      </c>
      <c r="DG132" s="21" t="n">
        <v>232.201</v>
      </c>
      <c r="DH132" s="21" t="n">
        <v>281.251</v>
      </c>
      <c r="DI132" s="21" t="n">
        <v>214.617</v>
      </c>
      <c r="DJ132" s="21" t="n"/>
      <c r="DK132" s="21" t="n">
        <v>210.237</v>
      </c>
      <c r="DL132" s="21" t="n">
        <v>182.075</v>
      </c>
      <c r="DM132" s="21" t="n">
        <v>447.946</v>
      </c>
      <c r="DN132" s="21" t="n">
        <v>248.129</v>
      </c>
      <c r="DO132" s="21" t="n">
        <v>350.853</v>
      </c>
      <c r="DP132" s="21" t="n">
        <v>419.431</v>
      </c>
      <c r="DQ132" s="21" t="n">
        <v>439.002</v>
      </c>
      <c r="DR132" s="21" t="n">
        <v>184.18</v>
      </c>
      <c r="DS132" s="21" t="n">
        <v>674.465</v>
      </c>
      <c r="DT132" s="21" t="n">
        <v>372.673</v>
      </c>
      <c r="DU132" s="21" t="n">
        <v>432.524</v>
      </c>
      <c r="DV132" s="21" t="n">
        <v>432.524</v>
      </c>
      <c r="DW132" s="21" t="n">
        <v>337.583</v>
      </c>
      <c r="DX132" s="21" t="n">
        <v>283.436</v>
      </c>
      <c r="DY132" s="21" t="n">
        <v>363.657</v>
      </c>
      <c r="DZ132" s="21" t="n">
        <v>369.432</v>
      </c>
      <c r="EA132" s="21" t="n">
        <v>408.241</v>
      </c>
      <c r="EB132" s="21" t="n">
        <v>289.398</v>
      </c>
      <c r="EC132" s="21" t="n">
        <v>300.112</v>
      </c>
      <c r="ED132" s="21" t="n">
        <v>252.399</v>
      </c>
      <c r="EE132" s="21" t="n">
        <v>321.363</v>
      </c>
      <c r="EF132" s="21" t="n">
        <v>736.3579999999999</v>
      </c>
      <c r="EG132" s="21" t="n">
        <v>655.705</v>
      </c>
      <c r="EH132" s="21" t="n">
        <v>154.989</v>
      </c>
      <c r="EI132" s="21" t="n">
        <v>61.752</v>
      </c>
      <c r="EJ132" s="21" t="n">
        <v>85.218</v>
      </c>
      <c r="EK132" s="21" t="n">
        <v>41.23</v>
      </c>
      <c r="EL132" s="21" t="n">
        <v>134.966</v>
      </c>
      <c r="EM132" s="21" t="n">
        <v>78.015</v>
      </c>
      <c r="EN132" s="21" t="n">
        <v>84.026</v>
      </c>
      <c r="EO132" s="21" t="n">
        <v>89.81699999999999</v>
      </c>
      <c r="EP132" s="21" t="n">
        <v>106.978</v>
      </c>
      <c r="EQ132" s="21" t="n">
        <v>73.8</v>
      </c>
      <c r="ER132" s="21" t="n">
        <v>55.818</v>
      </c>
      <c r="ES132" s="21" t="n">
        <v>169.533</v>
      </c>
      <c r="ET132" s="21" t="n">
        <v>83.40600000000001</v>
      </c>
      <c r="EU132" s="21" t="n">
        <v>114.355</v>
      </c>
      <c r="EV132" s="21" t="n">
        <v>127.169</v>
      </c>
      <c r="EW132" s="21" t="n">
        <v>108.792</v>
      </c>
      <c r="EX132" s="21" t="n">
        <v>239.873</v>
      </c>
      <c r="EY132" s="21" t="n">
        <v>152.567</v>
      </c>
      <c r="EZ132" s="21" t="n">
        <v>142.372</v>
      </c>
      <c r="FA132" s="21" t="n">
        <v>198.978</v>
      </c>
      <c r="FB132" s="21" t="n">
        <v>131.883</v>
      </c>
      <c r="FC132" s="21" t="n">
        <v>129.348</v>
      </c>
      <c r="FD132" s="21" t="n">
        <v>132.296</v>
      </c>
      <c r="FE132" s="21" t="n">
        <v>94.73399999999999</v>
      </c>
      <c r="FF132" s="21" t="n">
        <v>185.834</v>
      </c>
      <c r="FG132" s="21" t="n">
        <v>81.36</v>
      </c>
      <c r="FH132" s="21" t="n">
        <v>141.114</v>
      </c>
      <c r="FI132" s="21" t="n">
        <v>116.283</v>
      </c>
      <c r="FJ132" s="21" t="n">
        <v>108.368</v>
      </c>
      <c r="FK132" s="21" t="n">
        <v>109.711</v>
      </c>
      <c r="FL132" s="21" t="n">
        <v>106.516</v>
      </c>
      <c r="FM132" s="21" t="n">
        <v>107.102</v>
      </c>
      <c r="FN132" s="21" t="n">
        <v>73.51300000000001</v>
      </c>
      <c r="FO132" s="21" t="n">
        <v>111.241</v>
      </c>
      <c r="FP132" s="21" t="n">
        <v>102.903</v>
      </c>
      <c r="FQ132" s="21" t="n">
        <v>146.205</v>
      </c>
      <c r="FR132" s="21" t="n">
        <v>150.127</v>
      </c>
      <c r="FS132" s="21" t="n">
        <v>163.19</v>
      </c>
      <c r="FT132" s="21" t="n">
        <v>134.461</v>
      </c>
      <c r="FU132" s="21" t="n">
        <v>126.916</v>
      </c>
      <c r="FV132" s="21" t="n">
        <v>213.483</v>
      </c>
      <c r="FW132" s="21" t="n">
        <v>166.32</v>
      </c>
      <c r="FX132" s="21" t="n">
        <v>213.805</v>
      </c>
      <c r="FY132" s="21" t="n">
        <v>274.113</v>
      </c>
      <c r="FZ132" s="21" t="n">
        <v>274.682</v>
      </c>
      <c r="GA132" s="21" t="n">
        <v>126.12</v>
      </c>
      <c r="GB132" s="21" t="n">
        <v>178.929</v>
      </c>
      <c r="GC132" s="21" t="n"/>
      <c r="GD132" s="21" t="n">
        <v>173.998</v>
      </c>
      <c r="GE132" s="21" t="n">
        <v>190.956</v>
      </c>
      <c r="GF132" s="21" t="n"/>
      <c r="GG132" s="21" t="n">
        <v>186.298</v>
      </c>
      <c r="GH132" s="21" t="n">
        <v>113.096</v>
      </c>
      <c r="GI132" s="21" t="n">
        <v>153.021</v>
      </c>
      <c r="GJ132" s="21" t="n">
        <v>285.799</v>
      </c>
      <c r="GK132" s="21" t="n">
        <v>284.56</v>
      </c>
      <c r="GL132" s="21" t="n">
        <v>276.7</v>
      </c>
      <c r="GM132" s="21" t="n">
        <v>316.835</v>
      </c>
      <c r="GN132" s="21" t="n">
        <v>315.062</v>
      </c>
      <c r="GO132" s="21" t="n">
        <v>279.001</v>
      </c>
      <c r="GP132" s="21" t="n">
        <v>186.065</v>
      </c>
      <c r="GQ132" s="21" t="n">
        <v>157.59</v>
      </c>
      <c r="GR132" s="21" t="n">
        <v>445.325</v>
      </c>
      <c r="GS132" s="21" t="n">
        <v>305.587</v>
      </c>
      <c r="GT132" s="21" t="n"/>
      <c r="GU132" s="21" t="n">
        <v>233.102</v>
      </c>
      <c r="GV132" s="21" t="n">
        <v>291.009</v>
      </c>
      <c r="GW132" s="21" t="n">
        <v>257.396</v>
      </c>
      <c r="GX132" s="21" t="n">
        <v>253.063</v>
      </c>
      <c r="GY132" s="21" t="n">
        <v>155.149</v>
      </c>
      <c r="GZ132" s="21" t="n"/>
      <c r="HA132" s="21" t="n">
        <v>61.821</v>
      </c>
      <c r="HB132" s="21" t="n">
        <v>585.987</v>
      </c>
      <c r="HC132" s="21" t="n">
        <v>417.161</v>
      </c>
      <c r="HD132" s="21" t="n">
        <v>136.152</v>
      </c>
      <c r="HE132" s="21" t="n">
        <v>568.885</v>
      </c>
      <c r="HF132" s="21" t="n">
        <v>109.352</v>
      </c>
      <c r="HG132" s="21" t="n">
        <v>640.487</v>
      </c>
      <c r="HH132" s="21" t="n">
        <v>443.599</v>
      </c>
      <c r="HI132" s="21" t="n">
        <v>430.623</v>
      </c>
      <c r="HJ132" s="21" t="n">
        <v>625.7089999999999</v>
      </c>
      <c r="HK132" s="21" t="n">
        <v>220.222</v>
      </c>
      <c r="HL132" s="21" t="n"/>
      <c r="HM132" s="21" t="n">
        <v>105.756</v>
      </c>
      <c r="HN132" s="21" t="n">
        <v>441.457</v>
      </c>
      <c r="HO132" s="21" t="n"/>
      <c r="HP132" s="21" t="n">
        <v>973.566</v>
      </c>
      <c r="HQ132" s="21" t="n">
        <v>303.189</v>
      </c>
      <c r="HR132" s="21" t="n">
        <v>141.262</v>
      </c>
      <c r="HS132" s="21" t="n">
        <v>120.368</v>
      </c>
      <c r="HT132" s="21" t="n">
        <v>94.511</v>
      </c>
      <c r="HU132" s="21" t="n">
        <v>600.849</v>
      </c>
      <c r="HV132" s="21" t="n">
        <v>104.571</v>
      </c>
      <c r="HW132" s="21" t="n">
        <v>27.691</v>
      </c>
      <c r="HX132" s="21" t="n">
        <v>230.94</v>
      </c>
      <c r="HY132" s="21" t="n">
        <v>240.613</v>
      </c>
      <c r="HZ132" s="21" t="n">
        <v>190.625</v>
      </c>
      <c r="IA132" s="21" t="n">
        <v>131.631</v>
      </c>
      <c r="IB132" s="21" t="n">
        <v>370.692</v>
      </c>
      <c r="IC132" s="21" t="n">
        <v>272.705</v>
      </c>
      <c r="ID132" s="21" t="n">
        <v>396.831</v>
      </c>
      <c r="IE132" s="21" t="n">
        <v>122.579</v>
      </c>
      <c r="IF132" s="21" t="n">
        <v>169.687</v>
      </c>
      <c r="IG132" s="21" t="n">
        <v>83.36499999999999</v>
      </c>
      <c r="IH132" s="21" t="n">
        <v>86.351</v>
      </c>
      <c r="II132" s="21" t="n">
        <v>74.128</v>
      </c>
      <c r="IJ132" s="21" t="n">
        <v>30.466</v>
      </c>
      <c r="IK132" s="21" t="n">
        <v>33.076</v>
      </c>
      <c r="IL132" s="21" t="n">
        <v>27.829</v>
      </c>
      <c r="IM132" s="21" t="n">
        <v>37.698</v>
      </c>
      <c r="IN132" s="21" t="n">
        <v>102.35</v>
      </c>
      <c r="IO132" s="21" t="n">
        <v>128.531</v>
      </c>
      <c r="IP132" s="21" t="n">
        <v>207.432</v>
      </c>
      <c r="IQ132" s="21" t="n">
        <v>167.803</v>
      </c>
      <c r="IR132" s="21" t="n">
        <v>477.158</v>
      </c>
      <c r="IS132" s="21" t="n">
        <v>237.186</v>
      </c>
      <c r="IT132" s="21" t="n"/>
      <c r="IU132" s="21" t="n"/>
      <c r="IV132" s="21" t="n">
        <v>296.239</v>
      </c>
      <c r="IW132" s="21" t="n">
        <v>147.708</v>
      </c>
      <c r="IX132" s="21" t="n">
        <v>313.361</v>
      </c>
      <c r="IY132" s="21" t="n">
        <v>758.197</v>
      </c>
      <c r="IZ132" s="21" t="n">
        <v>901.537</v>
      </c>
      <c r="JA132" s="21" t="n">
        <v>963.167</v>
      </c>
      <c r="JB132" s="21" t="n">
        <v>103.724</v>
      </c>
      <c r="JC132" s="21" t="n">
        <v>393.473</v>
      </c>
      <c r="JD132" s="21" t="n">
        <v>282.116</v>
      </c>
      <c r="JE132" s="21" t="n">
        <v>73.18300000000001</v>
      </c>
      <c r="JF132" s="21" t="n">
        <v>261.376</v>
      </c>
      <c r="JG132" s="21" t="n">
        <v>406.075</v>
      </c>
      <c r="JH132" s="21" t="n">
        <v>482.063</v>
      </c>
      <c r="JI132" s="21" t="n">
        <v>68.71599999999999</v>
      </c>
      <c r="JJ132" s="21" t="n">
        <v>101.091</v>
      </c>
      <c r="JK132" s="21" t="n">
        <v>34.184</v>
      </c>
      <c r="JL132" s="21" t="n">
        <v>86.88800000000001</v>
      </c>
      <c r="JM132" s="21" t="n">
        <v>96.31699999999999</v>
      </c>
      <c r="JN132" s="21" t="n">
        <v>589.439</v>
      </c>
      <c r="JO132" s="21" t="n">
        <v>106.948</v>
      </c>
      <c r="JP132" s="21" t="n">
        <v>717.236</v>
      </c>
      <c r="JQ132" s="21" t="n">
        <v>295.017</v>
      </c>
      <c r="JR132" s="21" t="n">
        <v>180.719</v>
      </c>
      <c r="JS132" s="21" t="n">
        <v>591.152</v>
      </c>
      <c r="JT132" s="21" t="n"/>
      <c r="JU132" s="21" t="n">
        <v>407.062</v>
      </c>
      <c r="JV132" s="21" t="n">
        <v>243.292</v>
      </c>
      <c r="JW132" s="21" t="n">
        <v>471.503</v>
      </c>
      <c r="JX132" s="21" t="n">
        <v>377.309</v>
      </c>
      <c r="JY132" s="21" t="n">
        <v>86.601</v>
      </c>
      <c r="JZ132" s="21" t="n">
        <v>201.94</v>
      </c>
      <c r="KA132" s="21" t="n">
        <v>312.46</v>
      </c>
      <c r="KB132" s="21" t="n">
        <v>331.81</v>
      </c>
      <c r="KC132" s="21" t="n">
        <v>322.372</v>
      </c>
      <c r="KD132" s="21" t="n">
        <v>331.043</v>
      </c>
      <c r="KE132" s="21" t="n">
        <v>291.71</v>
      </c>
      <c r="KF132" s="21" t="n">
        <v>279.343</v>
      </c>
      <c r="KG132" s="21" t="n">
        <v>282.064</v>
      </c>
      <c r="KH132" s="21" t="n">
        <v>287.445</v>
      </c>
      <c r="KI132" s="21" t="n">
        <v>123.76</v>
      </c>
      <c r="KJ132" s="21" t="n">
        <v>226.691</v>
      </c>
      <c r="KK132" s="21" t="n">
        <v>178.898</v>
      </c>
      <c r="KL132" s="21" t="n">
        <v>174.929</v>
      </c>
      <c r="KM132" s="21" t="n">
        <v>167.272</v>
      </c>
      <c r="KN132" s="21" t="n">
        <v>165.188</v>
      </c>
      <c r="KO132" s="21" t="n">
        <v>323.321</v>
      </c>
      <c r="KP132" s="21" t="n">
        <v>124.457</v>
      </c>
      <c r="KQ132" s="21" t="n">
        <v>52.118</v>
      </c>
      <c r="KR132" s="21" t="n">
        <v>125.561</v>
      </c>
      <c r="KS132" s="21" t="n">
        <v>284.648</v>
      </c>
      <c r="KT132" s="21" t="n">
        <v>291.761</v>
      </c>
      <c r="KU132" s="21" t="n">
        <v>108.694</v>
      </c>
      <c r="KV132" s="21" t="n">
        <v>35.347</v>
      </c>
      <c r="KW132" s="21" t="n">
        <v>282.387</v>
      </c>
      <c r="KX132" s="21" t="n">
        <v>232.463</v>
      </c>
      <c r="KY132" s="21" t="n">
        <v>292.447</v>
      </c>
      <c r="KZ132" s="21" t="n">
        <v>228.437</v>
      </c>
      <c r="LA132" s="21" t="n">
        <v>293.563</v>
      </c>
      <c r="LB132" s="21" t="n">
        <v>146.218</v>
      </c>
      <c r="LC132" s="21" t="n">
        <v>429.87</v>
      </c>
      <c r="LD132" s="21" t="n">
        <v>84.068</v>
      </c>
      <c r="LE132" s="21" t="n">
        <v>155.576</v>
      </c>
      <c r="LF132" s="21" t="n">
        <v>438.065</v>
      </c>
      <c r="LG132" s="21" t="n">
        <v>422.256</v>
      </c>
      <c r="LH132" s="21" t="n">
        <v>435.903</v>
      </c>
      <c r="LI132" s="21" t="n">
        <v>405.812</v>
      </c>
      <c r="LJ132" s="21" t="n">
        <v>436.553</v>
      </c>
      <c r="LK132" s="21" t="n">
        <v>132.287</v>
      </c>
      <c r="LL132" s="21" t="n">
        <v>448.091</v>
      </c>
      <c r="LM132" s="21" t="n">
        <v>269.649</v>
      </c>
      <c r="LN132" s="21" t="n">
        <v>32.351</v>
      </c>
      <c r="LO132" s="21" t="n">
        <v>158.476</v>
      </c>
    </row>
    <row r="133">
      <c r="A133" s="22" t="n">
        <v>45992</v>
      </c>
      <c r="B133" s="21" t="n">
        <v>326.031</v>
      </c>
      <c r="C133" s="21" t="n">
        <v>341.563</v>
      </c>
      <c r="D133" s="21" t="n">
        <v>344.632</v>
      </c>
      <c r="E133" s="21" t="n">
        <v>316.982</v>
      </c>
      <c r="F133" s="21" t="n">
        <v>363.716</v>
      </c>
      <c r="G133" s="21" t="n">
        <v>289.779</v>
      </c>
      <c r="H133" s="21" t="n">
        <v>331.574</v>
      </c>
      <c r="I133" s="21" t="n">
        <v>281.923</v>
      </c>
      <c r="J133" s="21" t="n">
        <v>290.597</v>
      </c>
      <c r="K133" s="21" t="n">
        <v>405.897</v>
      </c>
      <c r="L133" s="21" t="n">
        <v>245.622</v>
      </c>
      <c r="M133" s="21" t="n">
        <v>245.227</v>
      </c>
      <c r="N133" s="21" t="n">
        <v>386.716</v>
      </c>
      <c r="O133" s="21" t="n">
        <v>365.683</v>
      </c>
      <c r="P133" s="21" t="n">
        <v>359.463</v>
      </c>
      <c r="Q133" s="21" t="n">
        <v>442.359</v>
      </c>
      <c r="R133" s="21" t="n">
        <v>334.657</v>
      </c>
      <c r="S133" s="21" t="n">
        <v>347.431</v>
      </c>
      <c r="T133" s="21" t="n">
        <v>353.183</v>
      </c>
      <c r="U133" s="21" t="n">
        <v>371.787</v>
      </c>
      <c r="V133" s="21" t="n">
        <v>507.111</v>
      </c>
      <c r="W133" s="21" t="n">
        <v>430.773</v>
      </c>
      <c r="X133" s="21" t="n">
        <v>420.06</v>
      </c>
      <c r="Y133" s="21" t="n">
        <v>342.673</v>
      </c>
      <c r="Z133" s="21" t="n">
        <v>271.774</v>
      </c>
      <c r="AA133" s="21" t="n">
        <v>202.456</v>
      </c>
      <c r="AB133" s="21" t="n">
        <v>380.856</v>
      </c>
      <c r="AC133" s="21" t="n">
        <v>186.199</v>
      </c>
      <c r="AD133" s="21" t="n">
        <v>255.981</v>
      </c>
      <c r="AE133" s="21" t="n">
        <v>282.018</v>
      </c>
      <c r="AF133" s="21" t="n">
        <v>250.645</v>
      </c>
      <c r="AG133" s="21" t="n">
        <v>163.483</v>
      </c>
      <c r="AH133" s="21" t="n">
        <v>301.978</v>
      </c>
      <c r="AI133" s="21" t="n">
        <v>322.325</v>
      </c>
      <c r="AJ133" s="21" t="n">
        <v>194.118</v>
      </c>
      <c r="AK133" s="21" t="n">
        <v>314.166</v>
      </c>
      <c r="AL133" s="21" t="n">
        <v>200.537</v>
      </c>
      <c r="AM133" s="21" t="n">
        <v>327.006</v>
      </c>
      <c r="AN133" s="21" t="n">
        <v>300.382</v>
      </c>
      <c r="AO133" s="21" t="n">
        <v>209.275</v>
      </c>
      <c r="AP133" s="21" t="n">
        <v>364.196</v>
      </c>
      <c r="AQ133" s="21" t="n">
        <v>226.166</v>
      </c>
      <c r="AR133" s="21" t="n">
        <v>181.371</v>
      </c>
      <c r="AS133" s="21" t="n">
        <v>259.408</v>
      </c>
      <c r="AT133" s="21" t="n">
        <v>403.077</v>
      </c>
      <c r="AU133" s="21" t="n">
        <v>299.379</v>
      </c>
      <c r="AV133" s="21" t="n">
        <v>268.951</v>
      </c>
      <c r="AW133" s="21" t="n">
        <v>178.349</v>
      </c>
      <c r="AX133" s="21" t="n">
        <v>253.479</v>
      </c>
      <c r="AY133" s="21" t="n">
        <v>185.133</v>
      </c>
      <c r="AZ133" s="21" t="n">
        <v>262.1</v>
      </c>
      <c r="BA133" s="21" t="n">
        <v>276.399</v>
      </c>
      <c r="BB133" s="21" t="n">
        <v>191.139</v>
      </c>
      <c r="BC133" s="21" t="n">
        <v>355.876</v>
      </c>
      <c r="BD133" s="21" t="n">
        <v>400.756</v>
      </c>
      <c r="BE133" s="21" t="n">
        <v>417.971</v>
      </c>
      <c r="BF133" s="21" t="n">
        <v>357.1</v>
      </c>
      <c r="BG133" s="21" t="n">
        <v>217.786</v>
      </c>
      <c r="BH133" s="21" t="n">
        <v>296.218</v>
      </c>
      <c r="BI133" s="21" t="n">
        <v>603.697</v>
      </c>
      <c r="BJ133" s="21" t="n">
        <v>141.833</v>
      </c>
      <c r="BK133" s="21" t="n">
        <v>381.694</v>
      </c>
      <c r="BL133" s="21" t="n">
        <v>413.563</v>
      </c>
      <c r="BM133" s="21" t="n">
        <v>423.356</v>
      </c>
      <c r="BN133" s="21" t="n">
        <v>344.538</v>
      </c>
      <c r="BO133" s="21" t="n">
        <v>382.481</v>
      </c>
      <c r="BP133" s="21" t="n">
        <v>205.844</v>
      </c>
      <c r="BQ133" s="21" t="n">
        <v>220.04</v>
      </c>
      <c r="BR133" s="21" t="n">
        <v>212.043</v>
      </c>
      <c r="BS133" s="21" t="n">
        <v>233.2</v>
      </c>
      <c r="BT133" s="21" t="n">
        <v>184.562</v>
      </c>
      <c r="BU133" s="21" t="n">
        <v>256.596</v>
      </c>
      <c r="BV133" s="21" t="n">
        <v>200.075</v>
      </c>
      <c r="BW133" s="21" t="n">
        <v>234.18</v>
      </c>
      <c r="BX133" s="21" t="n">
        <v>180.916</v>
      </c>
      <c r="BY133" s="21" t="n">
        <v>234.688</v>
      </c>
      <c r="BZ133" s="21" t="n">
        <v>159.689</v>
      </c>
      <c r="CA133" s="21" t="n">
        <v>163.41</v>
      </c>
      <c r="CB133" s="21" t="n">
        <v>290.213</v>
      </c>
      <c r="CC133" s="21" t="n">
        <v>302.087</v>
      </c>
      <c r="CD133" s="21" t="n">
        <v>167.047</v>
      </c>
      <c r="CE133" s="21" t="n">
        <v>281.544</v>
      </c>
      <c r="CF133" s="21" t="n">
        <v>314.881</v>
      </c>
      <c r="CG133" s="21" t="n">
        <v>274.062</v>
      </c>
      <c r="CH133" s="21" t="n">
        <v>221.359</v>
      </c>
      <c r="CI133" s="21" t="n">
        <v>193.628</v>
      </c>
      <c r="CJ133" s="21" t="n">
        <v>319.249</v>
      </c>
      <c r="CK133" s="21" t="n">
        <v>274.828</v>
      </c>
      <c r="CL133" s="21" t="n">
        <v>309.682</v>
      </c>
      <c r="CM133" s="21" t="n">
        <v>473.897</v>
      </c>
      <c r="CN133" s="21" t="n">
        <v>183.044</v>
      </c>
      <c r="CO133" s="21" t="n">
        <v>225.263</v>
      </c>
      <c r="CP133" s="21" t="n">
        <v>294.152</v>
      </c>
      <c r="CQ133" s="21" t="n">
        <v>322.472</v>
      </c>
      <c r="CR133" s="21" t="n">
        <v>214.052</v>
      </c>
      <c r="CS133" s="21" t="n">
        <v>314.668</v>
      </c>
      <c r="CT133" s="21" t="n">
        <v>320.422</v>
      </c>
      <c r="CU133" s="21" t="n">
        <v>191.513</v>
      </c>
      <c r="CV133" s="21" t="n">
        <v>194.194</v>
      </c>
      <c r="CW133" s="21" t="n">
        <v>190.07</v>
      </c>
      <c r="CX133" s="21" t="n">
        <v>404.127</v>
      </c>
      <c r="CY133" s="21" t="n">
        <v>177.426</v>
      </c>
      <c r="CZ133" s="21" t="n">
        <v>162.329</v>
      </c>
      <c r="DA133" s="21" t="n">
        <v>389.889</v>
      </c>
      <c r="DB133" s="21" t="n">
        <v>241.356</v>
      </c>
      <c r="DC133" s="21" t="n">
        <v>214.059</v>
      </c>
      <c r="DD133" s="21" t="n">
        <v>204.786</v>
      </c>
      <c r="DE133" s="21" t="n">
        <v>262.146</v>
      </c>
      <c r="DF133" s="21" t="n">
        <v>298.085</v>
      </c>
      <c r="DG133" s="21" t="n">
        <v>232.003</v>
      </c>
      <c r="DH133" s="21" t="n">
        <v>280.113</v>
      </c>
      <c r="DI133" s="21" t="n">
        <v>213.018</v>
      </c>
      <c r="DJ133" s="21" t="n">
        <v>222.74</v>
      </c>
      <c r="DK133" s="21" t="n">
        <v>208.982</v>
      </c>
      <c r="DL133" s="21" t="n">
        <v>182.453</v>
      </c>
      <c r="DM133" s="21" t="n">
        <v>449.588</v>
      </c>
      <c r="DN133" s="21" t="n">
        <v>248.568</v>
      </c>
      <c r="DO133" s="21" t="n">
        <v>352.085</v>
      </c>
      <c r="DP133" s="21" t="n">
        <v>421.039</v>
      </c>
      <c r="DQ133" s="21" t="n">
        <v>440.189</v>
      </c>
      <c r="DR133" s="21" t="n">
        <v>188.203</v>
      </c>
      <c r="DS133" s="21" t="n">
        <v>675.869</v>
      </c>
      <c r="DT133" s="21" t="n">
        <v>382.476</v>
      </c>
      <c r="DU133" s="21" t="n">
        <v>433.884</v>
      </c>
      <c r="DV133" s="21" t="n">
        <v>433.866</v>
      </c>
      <c r="DW133" s="21" t="n">
        <v>340.337</v>
      </c>
      <c r="DX133" s="21" t="n">
        <v>286.109</v>
      </c>
      <c r="DY133" s="21" t="n">
        <v>363.027</v>
      </c>
      <c r="DZ133" s="21" t="n">
        <v>366.599</v>
      </c>
      <c r="EA133" s="21" t="n">
        <v>406.921</v>
      </c>
      <c r="EB133" s="21" t="n">
        <v>292.263</v>
      </c>
      <c r="EC133" s="21" t="n">
        <v>300.563</v>
      </c>
      <c r="ED133" s="21" t="n">
        <v>261.79</v>
      </c>
      <c r="EE133" s="21" t="n">
        <v>322.728</v>
      </c>
      <c r="EF133" s="21" t="n">
        <v>739.615</v>
      </c>
      <c r="EG133" s="21" t="n">
        <v>658.242</v>
      </c>
      <c r="EH133" s="21" t="n">
        <v>154.428</v>
      </c>
      <c r="EI133" s="21" t="n">
        <v>61.982</v>
      </c>
      <c r="EJ133" s="21" t="n">
        <v>88.298</v>
      </c>
      <c r="EK133" s="21" t="n">
        <v>41.065</v>
      </c>
      <c r="EL133" s="21" t="n">
        <v>134.488</v>
      </c>
      <c r="EM133" s="21" t="n">
        <v>77.643</v>
      </c>
      <c r="EN133" s="21" t="n">
        <v>81.81399999999999</v>
      </c>
      <c r="EO133" s="21" t="n">
        <v>89.13200000000001</v>
      </c>
      <c r="EP133" s="21" t="n">
        <v>102.633</v>
      </c>
      <c r="EQ133" s="21" t="n">
        <v>71.03700000000001</v>
      </c>
      <c r="ER133" s="21" t="n">
        <v>57.142</v>
      </c>
      <c r="ES133" s="21" t="n">
        <v>171.902</v>
      </c>
      <c r="ET133" s="21" t="n">
        <v>86.02</v>
      </c>
      <c r="EU133" s="21" t="n">
        <v>115.792</v>
      </c>
      <c r="EV133" s="21" t="n">
        <v>127.185</v>
      </c>
      <c r="EW133" s="21" t="n">
        <v>111.345</v>
      </c>
      <c r="EX133" s="21" t="n">
        <v>240.463</v>
      </c>
      <c r="EY133" s="21" t="n">
        <v>153.908</v>
      </c>
      <c r="EZ133" s="21" t="n">
        <v>143.325</v>
      </c>
      <c r="FA133" s="21" t="n">
        <v>173.082</v>
      </c>
      <c r="FB133" s="21" t="n">
        <v>132.317</v>
      </c>
      <c r="FC133" s="21" t="n">
        <v>129.379</v>
      </c>
      <c r="FD133" s="21" t="n">
        <v>132.505</v>
      </c>
      <c r="FE133" s="21" t="n">
        <v>94.95399999999999</v>
      </c>
      <c r="FF133" s="21" t="n">
        <v>190.328</v>
      </c>
      <c r="FG133" s="21" t="n">
        <v>81.137</v>
      </c>
      <c r="FH133" s="21" t="n">
        <v>140.231</v>
      </c>
      <c r="FI133" s="21" t="n">
        <v>116.248</v>
      </c>
      <c r="FJ133" s="21" t="n">
        <v>108.898</v>
      </c>
      <c r="FK133" s="21" t="n">
        <v>110.046</v>
      </c>
      <c r="FL133" s="21" t="n">
        <v>105.224</v>
      </c>
      <c r="FM133" s="21" t="n">
        <v>104.727</v>
      </c>
      <c r="FN133" s="21" t="n">
        <v>74.196</v>
      </c>
      <c r="FO133" s="21" t="n">
        <v>113.93</v>
      </c>
      <c r="FP133" s="21" t="n">
        <v>104.88</v>
      </c>
      <c r="FQ133" s="21" t="n">
        <v>147.385</v>
      </c>
      <c r="FR133" s="21" t="n">
        <v>153.008</v>
      </c>
      <c r="FS133" s="21" t="n">
        <v>161.846</v>
      </c>
      <c r="FT133" s="21" t="n">
        <v>134.897</v>
      </c>
      <c r="FU133" s="21" t="n">
        <v>128.78</v>
      </c>
      <c r="FV133" s="21" t="n">
        <v>210.319</v>
      </c>
      <c r="FW133" s="21" t="n">
        <v>167.809</v>
      </c>
      <c r="FX133" s="21" t="n">
        <v>208.795</v>
      </c>
      <c r="FY133" s="21" t="n">
        <v>274.073</v>
      </c>
      <c r="FZ133" s="21" t="n">
        <v>273.841</v>
      </c>
      <c r="GA133" s="21" t="n">
        <v>125.681</v>
      </c>
      <c r="GB133" s="21" t="n">
        <v>178.938</v>
      </c>
      <c r="GC133" s="21" t="n"/>
      <c r="GD133" s="21" t="n">
        <v>173.793</v>
      </c>
      <c r="GE133" s="21" t="n">
        <v>191.017</v>
      </c>
      <c r="GF133" s="21" t="n"/>
      <c r="GG133" s="21" t="n">
        <v>184.668</v>
      </c>
      <c r="GH133" s="21" t="n">
        <v>112.413</v>
      </c>
      <c r="GI133" s="21" t="n">
        <v>151.515</v>
      </c>
      <c r="GJ133" s="21" t="n">
        <v>284.887</v>
      </c>
      <c r="GK133" s="21" t="n">
        <v>283.599</v>
      </c>
      <c r="GL133" s="21" t="n">
        <v>275.523</v>
      </c>
      <c r="GM133" s="21" t="n">
        <v>316.83</v>
      </c>
      <c r="GN133" s="21" t="n">
        <v>315.291</v>
      </c>
      <c r="GO133" s="21" t="n">
        <v>269.261</v>
      </c>
      <c r="GP133" s="21" t="n">
        <v>187.835</v>
      </c>
      <c r="GQ133" s="21" t="n">
        <v>159.49</v>
      </c>
      <c r="GR133" s="21" t="n">
        <v>439.752</v>
      </c>
      <c r="GS133" s="21" t="n">
        <v>294.286</v>
      </c>
      <c r="GT133" s="21" t="n">
        <v>897.307</v>
      </c>
      <c r="GU133" s="21" t="n">
        <v>230.669</v>
      </c>
      <c r="GV133" s="21" t="n">
        <v>291.964</v>
      </c>
      <c r="GW133" s="21" t="n">
        <v>265.513</v>
      </c>
      <c r="GX133" s="21" t="n">
        <v>262.573</v>
      </c>
      <c r="GY133" s="21" t="n">
        <v>158.139</v>
      </c>
      <c r="GZ133" s="21" t="n"/>
      <c r="HA133" s="21" t="n">
        <v>61.925</v>
      </c>
      <c r="HB133" s="21" t="n">
        <v>588.092</v>
      </c>
      <c r="HC133" s="21" t="n">
        <v>418.532</v>
      </c>
      <c r="HD133" s="21" t="n">
        <v>136.874</v>
      </c>
      <c r="HE133" s="21" t="n">
        <v>569.6559999999999</v>
      </c>
      <c r="HF133" s="21" t="n">
        <v>110.767</v>
      </c>
      <c r="HG133" s="21" t="n">
        <v>642.832</v>
      </c>
      <c r="HH133" s="21" t="n">
        <v>444.798</v>
      </c>
      <c r="HI133" s="21" t="n">
        <v>431.766</v>
      </c>
      <c r="HJ133" s="21" t="n">
        <v>628.951</v>
      </c>
      <c r="HK133" s="21" t="n">
        <v>219.842</v>
      </c>
      <c r="HL133" s="21" t="n"/>
      <c r="HM133" s="21" t="n">
        <v>106.704</v>
      </c>
      <c r="HN133" s="21" t="n">
        <v>446.056</v>
      </c>
      <c r="HO133" s="21" t="n"/>
      <c r="HP133" s="21" t="n">
        <v>982.17</v>
      </c>
      <c r="HQ133" s="21" t="n">
        <v>303.44</v>
      </c>
      <c r="HR133" s="21" t="n">
        <v>142.932</v>
      </c>
      <c r="HS133" s="21" t="n">
        <v>122.406</v>
      </c>
      <c r="HT133" s="21" t="n">
        <v>93.92700000000001</v>
      </c>
      <c r="HU133" s="21" t="n">
        <v>607.296</v>
      </c>
      <c r="HV133" s="21" t="n">
        <v>102.81</v>
      </c>
      <c r="HW133" s="21" t="n">
        <v>27.382</v>
      </c>
      <c r="HX133" s="21" t="n">
        <v>232.515</v>
      </c>
      <c r="HY133" s="21" t="n">
        <v>241.785</v>
      </c>
      <c r="HZ133" s="21" t="n">
        <v>191.075</v>
      </c>
      <c r="IA133" s="21" t="n">
        <v>132.84</v>
      </c>
      <c r="IB133" s="21" t="n">
        <v>374.039</v>
      </c>
      <c r="IC133" s="21" t="n">
        <v>273.995</v>
      </c>
      <c r="ID133" s="21" t="n">
        <v>404.856</v>
      </c>
      <c r="IE133" s="21" t="n">
        <v>122.683</v>
      </c>
      <c r="IF133" s="21" t="n">
        <v>170.585</v>
      </c>
      <c r="IG133" s="21" t="n">
        <v>83.069</v>
      </c>
      <c r="IH133" s="21" t="n">
        <v>87.315</v>
      </c>
      <c r="II133" s="21" t="n">
        <v>73.56</v>
      </c>
      <c r="IJ133" s="21" t="n">
        <v>30.084</v>
      </c>
      <c r="IK133" s="21" t="n">
        <v>33.059</v>
      </c>
      <c r="IL133" s="21" t="n">
        <v>27.753</v>
      </c>
      <c r="IM133" s="21" t="n">
        <v>37.48</v>
      </c>
      <c r="IN133" s="21" t="n">
        <v>104.146</v>
      </c>
      <c r="IO133" s="21" t="n">
        <v>129.437</v>
      </c>
      <c r="IP133" s="21" t="n">
        <v>211.077</v>
      </c>
      <c r="IQ133" s="21" t="n">
        <v>168.212</v>
      </c>
      <c r="IR133" s="21" t="n">
        <v>494.464</v>
      </c>
      <c r="IS133" s="21" t="n">
        <v>242.808</v>
      </c>
      <c r="IT133" s="21" t="n">
        <v>247.758</v>
      </c>
      <c r="IU133" s="21" t="n">
        <v>413.924</v>
      </c>
      <c r="IV133" s="21" t="n">
        <v>295.108</v>
      </c>
      <c r="IW133" s="21" t="n">
        <v>146.339</v>
      </c>
      <c r="IX133" s="21" t="n">
        <v>313.927</v>
      </c>
      <c r="IY133" s="21" t="n">
        <v>756.8390000000001</v>
      </c>
      <c r="IZ133" s="21" t="n">
        <v>903.217</v>
      </c>
      <c r="JA133" s="21" t="n">
        <v>962.982</v>
      </c>
      <c r="JB133" s="21" t="n">
        <v>104.11</v>
      </c>
      <c r="JC133" s="21" t="n">
        <v>395.067</v>
      </c>
      <c r="JD133" s="21" t="n">
        <v>282.413</v>
      </c>
      <c r="JE133" s="21" t="n">
        <v>71.82599999999999</v>
      </c>
      <c r="JF133" s="21" t="n">
        <v>262.749</v>
      </c>
      <c r="JG133" s="21" t="n">
        <v>408.006</v>
      </c>
      <c r="JH133" s="21" t="n">
        <v>490.513</v>
      </c>
      <c r="JI133" s="21" t="n">
        <v>67.41200000000001</v>
      </c>
      <c r="JJ133" s="21" t="n">
        <v>99.93000000000001</v>
      </c>
      <c r="JK133" s="21" t="n">
        <v>33.73</v>
      </c>
      <c r="JL133" s="21" t="n">
        <v>86.29000000000001</v>
      </c>
      <c r="JM133" s="21" t="n">
        <v>93.776</v>
      </c>
      <c r="JN133" s="21" t="n">
        <v>590.954</v>
      </c>
      <c r="JO133" s="21" t="n">
        <v>106.754</v>
      </c>
      <c r="JP133" s="21" t="n">
        <v>720.251</v>
      </c>
      <c r="JQ133" s="21" t="n">
        <v>296.038</v>
      </c>
      <c r="JR133" s="21" t="n">
        <v>181.607</v>
      </c>
      <c r="JS133" s="21" t="n">
        <v>586.292</v>
      </c>
      <c r="JT133" s="21" t="n"/>
      <c r="JU133" s="21" t="n">
        <v>409.547</v>
      </c>
      <c r="JV133" s="21" t="n">
        <v>244.084</v>
      </c>
      <c r="JW133" s="21" t="n">
        <v>455.084</v>
      </c>
      <c r="JX133" s="21" t="n">
        <v>360.297</v>
      </c>
      <c r="JY133" s="21" t="n">
        <v>88.56399999999999</v>
      </c>
      <c r="JZ133" s="21" t="n">
        <v>205.941</v>
      </c>
      <c r="KA133" s="21" t="n">
        <v>313.373</v>
      </c>
      <c r="KB133" s="21" t="n">
        <v>332.788</v>
      </c>
      <c r="KC133" s="21" t="n">
        <v>323.15</v>
      </c>
      <c r="KD133" s="21" t="n">
        <v>331.814</v>
      </c>
      <c r="KE133" s="21" t="n">
        <v>292.442</v>
      </c>
      <c r="KF133" s="21" t="n">
        <v>279.74</v>
      </c>
      <c r="KG133" s="21" t="n">
        <v>282.383</v>
      </c>
      <c r="KH133" s="21" t="n">
        <v>287.932</v>
      </c>
      <c r="KI133" s="21" t="n">
        <v>123.99</v>
      </c>
      <c r="KJ133" s="21" t="n">
        <v>227.23</v>
      </c>
      <c r="KK133" s="21" t="n">
        <v>178.867</v>
      </c>
      <c r="KL133" s="21" t="n">
        <v>174.903</v>
      </c>
      <c r="KM133" s="21" t="n">
        <v>167.325</v>
      </c>
      <c r="KN133" s="21" t="n">
        <v>165.454</v>
      </c>
      <c r="KO133" s="21" t="n">
        <v>325.422</v>
      </c>
      <c r="KP133" s="21" t="n">
        <v>124.254</v>
      </c>
      <c r="KQ133" s="21" t="n">
        <v>51.238</v>
      </c>
      <c r="KR133" s="21" t="n">
        <v>124.536</v>
      </c>
      <c r="KS133" s="21" t="n">
        <v>285.624</v>
      </c>
      <c r="KT133" s="21" t="n">
        <v>290.848</v>
      </c>
      <c r="KU133" s="21" t="n">
        <v>109.243</v>
      </c>
      <c r="KV133" s="21" t="n">
        <v>34.718</v>
      </c>
      <c r="KW133" s="21" t="n">
        <v>283.982</v>
      </c>
      <c r="KX133" s="21" t="n">
        <v>233.465</v>
      </c>
      <c r="KY133" s="21" t="n">
        <v>293.566</v>
      </c>
      <c r="KZ133" s="21" t="n">
        <v>229.463</v>
      </c>
      <c r="LA133" s="21" t="n">
        <v>294.722</v>
      </c>
      <c r="LB133" s="21" t="n">
        <v>146.866</v>
      </c>
      <c r="LC133" s="21" t="n">
        <v>430.579</v>
      </c>
      <c r="LD133" s="21" t="n">
        <v>84.154</v>
      </c>
      <c r="LE133" s="21" t="n">
        <v>158.306</v>
      </c>
      <c r="LF133" s="21" t="n">
        <v>439.794</v>
      </c>
      <c r="LG133" s="21" t="n">
        <v>423.56</v>
      </c>
      <c r="LH133" s="21" t="n">
        <v>437.09</v>
      </c>
      <c r="LI133" s="21" t="n">
        <v>406.966</v>
      </c>
      <c r="LJ133" s="21" t="n">
        <v>437.563</v>
      </c>
      <c r="LK133" s="21" t="n">
        <v>131.945</v>
      </c>
      <c r="LL133" s="21" t="n">
        <v>449.949</v>
      </c>
      <c r="LM133" s="21" t="n">
        <v>271.105</v>
      </c>
      <c r="LN133" s="21" t="n">
        <v>32.244</v>
      </c>
      <c r="LO133" s="21" t="n">
        <v>162.149</v>
      </c>
    </row>
    <row r="134">
      <c r="A134" s="22" t="n">
        <v>46023</v>
      </c>
      <c r="B134" s="21" t="n">
        <v>326.588</v>
      </c>
      <c r="C134" s="21" t="n">
        <v>342.194</v>
      </c>
      <c r="D134" s="21" t="n">
        <v>345.271</v>
      </c>
      <c r="E134" s="21" t="n">
        <v>317.589</v>
      </c>
      <c r="F134" s="21" t="n">
        <v>367.941</v>
      </c>
      <c r="G134" s="21" t="n">
        <v>293.388</v>
      </c>
      <c r="H134" s="21" t="n">
        <v>328.973</v>
      </c>
      <c r="I134" s="21" t="n">
        <v>287.902</v>
      </c>
      <c r="J134" s="21" t="n">
        <v>293.281</v>
      </c>
      <c r="K134" s="21" t="n">
        <v>410.698</v>
      </c>
      <c r="L134" s="21" t="n">
        <v>245.635</v>
      </c>
      <c r="M134" s="21" t="n">
        <v>243.811</v>
      </c>
      <c r="N134" s="21" t="n">
        <v>395.254</v>
      </c>
      <c r="O134" s="21" t="n">
        <v>377.426</v>
      </c>
      <c r="P134" s="21" t="n">
        <v>364.664</v>
      </c>
      <c r="Q134" s="21" t="n">
        <v>448.668</v>
      </c>
      <c r="R134" s="21" t="n">
        <v>342.433</v>
      </c>
      <c r="S134" s="21" t="n">
        <v>348.21</v>
      </c>
      <c r="T134" s="21" t="n">
        <v>355.57</v>
      </c>
      <c r="U134" s="21" t="n">
        <v>374.1</v>
      </c>
      <c r="V134" s="21" t="n">
        <v>505.286</v>
      </c>
      <c r="W134" s="21" t="n">
        <v>437.738</v>
      </c>
      <c r="X134" s="21" t="n">
        <v>414.756</v>
      </c>
      <c r="Y134" s="21" t="n">
        <v>335.156</v>
      </c>
      <c r="Z134" s="21" t="n">
        <v>275.531</v>
      </c>
      <c r="AA134" s="21" t="n">
        <v>207.483</v>
      </c>
      <c r="AB134" s="21" t="n">
        <v>397.128</v>
      </c>
      <c r="AC134" s="21" t="n">
        <v>186.092</v>
      </c>
      <c r="AD134" s="21" t="n">
        <v>257.927</v>
      </c>
      <c r="AE134" s="21" t="n">
        <v>285.435</v>
      </c>
      <c r="AF134" s="21" t="n">
        <v>240.473</v>
      </c>
      <c r="AG134" s="21" t="n">
        <v>165.964</v>
      </c>
      <c r="AH134" s="21" t="n">
        <v>308.813</v>
      </c>
      <c r="AI134" s="21" t="n">
        <v>316.206</v>
      </c>
      <c r="AJ134" s="21" t="n">
        <v>196.413</v>
      </c>
      <c r="AK134" s="21" t="n">
        <v>314.585</v>
      </c>
      <c r="AL134" s="21" t="n">
        <v>200.862</v>
      </c>
      <c r="AM134" s="21" t="n">
        <v>328.522</v>
      </c>
      <c r="AN134" s="21" t="n">
        <v>301.133</v>
      </c>
      <c r="AO134" s="21" t="n">
        <v>209.998</v>
      </c>
      <c r="AP134" s="21" t="n">
        <v>369.697</v>
      </c>
      <c r="AQ134" s="21" t="n">
        <v>234.258</v>
      </c>
      <c r="AR134" s="21" t="n">
        <v>181.691</v>
      </c>
      <c r="AS134" s="21" t="n">
        <v>253.886</v>
      </c>
      <c r="AT134" s="21" t="n">
        <v>404.685</v>
      </c>
      <c r="AU134" s="21" t="n">
        <v>278.403</v>
      </c>
      <c r="AV134" s="21" t="n">
        <v>271.185</v>
      </c>
      <c r="AW134" s="21" t="n">
        <v>178.997</v>
      </c>
      <c r="AX134" s="21" t="n">
        <v>252.519</v>
      </c>
      <c r="AY134" s="21" t="n">
        <v>186.314</v>
      </c>
      <c r="AZ134" s="21" t="n">
        <v>263.571</v>
      </c>
      <c r="BA134" s="21" t="n">
        <v>280.739</v>
      </c>
      <c r="BB134" s="21" t="n">
        <v>191.9</v>
      </c>
      <c r="BC134" s="21" t="n">
        <v>356.102</v>
      </c>
      <c r="BD134" s="21" t="n">
        <v>398.29</v>
      </c>
      <c r="BE134" s="21" t="n">
        <v>414.684</v>
      </c>
      <c r="BF134" s="21" t="n">
        <v>352.301</v>
      </c>
      <c r="BG134" s="21" t="n">
        <v>216.254</v>
      </c>
      <c r="BH134" s="21" t="n">
        <v>298.15</v>
      </c>
      <c r="BI134" s="21" t="n">
        <v>587.9640000000001</v>
      </c>
      <c r="BJ134" s="21" t="n">
        <v>140.785</v>
      </c>
      <c r="BK134" s="21" t="n">
        <v>379.872</v>
      </c>
      <c r="BL134" s="21" t="n">
        <v>417.276</v>
      </c>
      <c r="BM134" s="21" t="n">
        <v>411.487</v>
      </c>
      <c r="BN134" s="21" t="n">
        <v>339.692</v>
      </c>
      <c r="BO134" s="21" t="n">
        <v>379.969</v>
      </c>
      <c r="BP134" s="21" t="n">
        <v>210.732</v>
      </c>
      <c r="BQ134" s="21" t="n">
        <v>231.306</v>
      </c>
      <c r="BR134" s="21" t="n">
        <v>220.9</v>
      </c>
      <c r="BS134" s="21" t="n">
        <v>245.971</v>
      </c>
      <c r="BT134" s="21" t="n">
        <v>187.601</v>
      </c>
      <c r="BU134" s="21" t="n">
        <v>260.978</v>
      </c>
      <c r="BV134" s="21" t="n">
        <v>200.663</v>
      </c>
      <c r="BW134" s="21" t="n">
        <v>234.414</v>
      </c>
      <c r="BX134" s="21" t="n">
        <v>182.788</v>
      </c>
      <c r="BY134" s="21" t="n">
        <v>238.202</v>
      </c>
      <c r="BZ134" s="21" t="n">
        <v>160.524</v>
      </c>
      <c r="CA134" s="21" t="n">
        <v>160.888</v>
      </c>
      <c r="CB134" s="21" t="n">
        <v>287.458</v>
      </c>
      <c r="CC134" s="21" t="n">
        <v>298.516</v>
      </c>
      <c r="CD134" s="21" t="n">
        <v>162.293</v>
      </c>
      <c r="CE134" s="21" t="n">
        <v>280.566</v>
      </c>
      <c r="CF134" s="21" t="n">
        <v>315.097</v>
      </c>
      <c r="CG134" s="21" t="n">
        <v>281.29</v>
      </c>
      <c r="CH134" s="21" t="n">
        <v>219.288</v>
      </c>
      <c r="CI134" s="21" t="n">
        <v>197.77</v>
      </c>
      <c r="CJ134" s="21" t="n">
        <v>316.527</v>
      </c>
      <c r="CK134" s="21" t="n">
        <v>270.196</v>
      </c>
      <c r="CL134" s="21" t="n">
        <v>303.263</v>
      </c>
      <c r="CM134" s="21" t="n">
        <v>475.417</v>
      </c>
      <c r="CN134" s="21" t="n">
        <v>180.044</v>
      </c>
      <c r="CO134" s="21" t="n">
        <v>225.718</v>
      </c>
      <c r="CP134" s="21" t="n">
        <v>293.096</v>
      </c>
      <c r="CQ134" s="21" t="n">
        <v>325.917</v>
      </c>
      <c r="CR134" s="21" t="n">
        <v>211.23</v>
      </c>
      <c r="CS134" s="21" t="n">
        <v>316.791</v>
      </c>
      <c r="CT134" s="21" t="n">
        <v>324.736</v>
      </c>
      <c r="CU134" s="21" t="n">
        <v>193.962</v>
      </c>
      <c r="CV134" s="21" t="n">
        <v>201.206</v>
      </c>
      <c r="CW134" s="21" t="n">
        <v>189.832</v>
      </c>
      <c r="CX134" s="21" t="n">
        <v>425.385</v>
      </c>
      <c r="CY134" s="21" t="n">
        <v>174.304</v>
      </c>
      <c r="CZ134" s="21" t="n">
        <v>161.823</v>
      </c>
      <c r="DA134" s="21" t="n">
        <v>390.471</v>
      </c>
      <c r="DB134" s="21" t="n">
        <v>241.289</v>
      </c>
      <c r="DC134" s="21" t="n">
        <v>214.246</v>
      </c>
      <c r="DD134" s="21" t="n">
        <v>205.089</v>
      </c>
      <c r="DE134" s="21" t="n">
        <v>263.869</v>
      </c>
      <c r="DF134" s="21" t="n">
        <v>298.623</v>
      </c>
      <c r="DG134" s="21" t="n">
        <v>231.183</v>
      </c>
      <c r="DH134" s="21" t="n">
        <v>281.198</v>
      </c>
      <c r="DI134" s="21" t="n">
        <v>213.518</v>
      </c>
      <c r="DJ134" s="21" t="n">
        <v>222.892</v>
      </c>
      <c r="DK134" s="21" t="n">
        <v>209.698</v>
      </c>
      <c r="DL134" s="21" t="n">
        <v>180.564</v>
      </c>
      <c r="DM134" s="21" t="n">
        <v>451.308</v>
      </c>
      <c r="DN134" s="21" t="n">
        <v>249.432</v>
      </c>
      <c r="DO134" s="21" t="n">
        <v>352.739</v>
      </c>
      <c r="DP134" s="21" t="n">
        <v>421.965</v>
      </c>
      <c r="DQ134" s="21" t="n">
        <v>441.285</v>
      </c>
      <c r="DR134" s="21" t="n">
        <v>188.018</v>
      </c>
      <c r="DS134" s="21" t="n">
        <v>677.52</v>
      </c>
      <c r="DT134" s="21" t="n">
        <v>380.753</v>
      </c>
      <c r="DU134" s="21" t="n">
        <v>434.837</v>
      </c>
      <c r="DV134" s="21" t="n">
        <v>434.814</v>
      </c>
      <c r="DW134" s="21" t="n">
        <v>340.888</v>
      </c>
      <c r="DX134" s="21" t="n">
        <v>286.094</v>
      </c>
      <c r="DY134" s="21" t="n">
        <v>346.043</v>
      </c>
      <c r="DZ134" s="21" t="n">
        <v>345.628</v>
      </c>
      <c r="EA134" s="21" t="n">
        <v>400.655</v>
      </c>
      <c r="EB134" s="21" t="n">
        <v>292.829</v>
      </c>
      <c r="EC134" s="21" t="n">
        <v>300.241</v>
      </c>
      <c r="ED134" s="21" t="n">
        <v>264.328</v>
      </c>
      <c r="EE134" s="21" t="n">
        <v>324.919</v>
      </c>
      <c r="EF134" s="21" t="n">
        <v>745.474</v>
      </c>
      <c r="EG134" s="21" t="n">
        <v>661.093</v>
      </c>
      <c r="EH134" s="21" t="n">
        <v>154.328</v>
      </c>
      <c r="EI134" s="21" t="n">
        <v>61.738</v>
      </c>
      <c r="EJ134" s="21" t="n">
        <v>88.575</v>
      </c>
      <c r="EK134" s="21" t="n">
        <v>40.357</v>
      </c>
      <c r="EL134" s="21" t="n">
        <v>135.379</v>
      </c>
      <c r="EM134" s="21" t="n">
        <v>77.173</v>
      </c>
      <c r="EN134" s="21" t="n">
        <v>82.879</v>
      </c>
      <c r="EO134" s="21" t="n">
        <v>88.544</v>
      </c>
      <c r="EP134" s="21" t="n">
        <v>105.299</v>
      </c>
      <c r="EQ134" s="21" t="n">
        <v>72.84999999999999</v>
      </c>
      <c r="ER134" s="21" t="n">
        <v>57.385</v>
      </c>
      <c r="ES134" s="21" t="n">
        <v>171.402</v>
      </c>
      <c r="ET134" s="21" t="n">
        <v>87.238</v>
      </c>
      <c r="EU134" s="21" t="n">
        <v>116.74</v>
      </c>
      <c r="EV134" s="21" t="n">
        <v>128.486</v>
      </c>
      <c r="EW134" s="21" t="n">
        <v>112.271</v>
      </c>
      <c r="EX134" s="21" t="n">
        <v>241.761</v>
      </c>
      <c r="EY134" s="21" t="n">
        <v>154.013</v>
      </c>
      <c r="EZ134" s="21" t="n">
        <v>144.668</v>
      </c>
      <c r="FA134" s="21" t="n">
        <v>174.77</v>
      </c>
      <c r="FB134" s="21" t="n">
        <v>132.723</v>
      </c>
      <c r="FC134" s="21" t="n">
        <v>129.854</v>
      </c>
      <c r="FD134" s="21" t="n">
        <v>132.057</v>
      </c>
      <c r="FE134" s="21" t="n">
        <v>91.78700000000001</v>
      </c>
      <c r="FF134" s="21" t="n">
        <v>191.048</v>
      </c>
      <c r="FG134" s="21" t="n">
        <v>83.051</v>
      </c>
      <c r="FH134" s="21" t="n">
        <v>136.934</v>
      </c>
      <c r="FI134" s="21" t="n">
        <v>119.062</v>
      </c>
      <c r="FJ134" s="21" t="n">
        <v>109.452</v>
      </c>
      <c r="FK134" s="21" t="n">
        <v>110.655</v>
      </c>
      <c r="FL134" s="21" t="n">
        <v>107.066</v>
      </c>
      <c r="FM134" s="21" t="n">
        <v>109.649</v>
      </c>
      <c r="FN134" s="21" t="n">
        <v>74.411</v>
      </c>
      <c r="FO134" s="21" t="n">
        <v>114.005</v>
      </c>
      <c r="FP134" s="21" t="n">
        <v>104.719</v>
      </c>
      <c r="FQ134" s="21" t="n">
        <v>148.176</v>
      </c>
      <c r="FR134" s="21" t="n">
        <v>155.104</v>
      </c>
      <c r="FS134" s="21" t="n">
        <v>163.757</v>
      </c>
      <c r="FT134" s="21" t="n">
        <v>134.504</v>
      </c>
      <c r="FU134" s="21" t="n">
        <v>127.29</v>
      </c>
      <c r="FV134" s="21" t="n">
        <v>209.004</v>
      </c>
      <c r="FW134" s="21" t="n">
        <v>172.69</v>
      </c>
      <c r="FX134" s="21" t="n">
        <v>205.844</v>
      </c>
      <c r="FY134" s="21" t="n">
        <v>273.21</v>
      </c>
      <c r="FZ134" s="21" t="n">
        <v>271.78</v>
      </c>
      <c r="GA134" s="21" t="n">
        <v>125.076</v>
      </c>
      <c r="GB134" s="21" t="n">
        <v>179.2</v>
      </c>
      <c r="GC134" s="21" t="n"/>
      <c r="GD134" s="21" t="n">
        <v>174.608</v>
      </c>
      <c r="GE134" s="21" t="n">
        <v>191.245</v>
      </c>
      <c r="GF134" s="21" t="n"/>
      <c r="GG134" s="21" t="n">
        <v>181.269</v>
      </c>
      <c r="GH134" s="21" t="n">
        <v>113.077</v>
      </c>
      <c r="GI134" s="21" t="n">
        <v>159.166</v>
      </c>
      <c r="GJ134" s="21" t="n">
        <v>275.745</v>
      </c>
      <c r="GK134" s="21" t="n">
        <v>274.547</v>
      </c>
      <c r="GL134" s="21" t="n">
        <v>266.185</v>
      </c>
      <c r="GM134" s="21" t="n">
        <v>308.696</v>
      </c>
      <c r="GN134" s="21" t="n">
        <v>308.666</v>
      </c>
      <c r="GO134" s="21" t="n">
        <v>259.685</v>
      </c>
      <c r="GP134" s="21" t="n">
        <v>186.92</v>
      </c>
      <c r="GQ134" s="21" t="n">
        <v>159.176</v>
      </c>
      <c r="GR134" s="21" t="n">
        <v>440.175</v>
      </c>
      <c r="GS134" s="21" t="n">
        <v>294.801</v>
      </c>
      <c r="GT134" s="21" t="n">
        <v>893.366</v>
      </c>
      <c r="GU134" s="21" t="n">
        <v>247.834</v>
      </c>
      <c r="GV134" s="21" t="n">
        <v>293.149</v>
      </c>
      <c r="GW134" s="21" t="n">
        <v>276.173</v>
      </c>
      <c r="GX134" s="21" t="n">
        <v>279.693</v>
      </c>
      <c r="GY134" s="21" t="n">
        <v>151.892</v>
      </c>
      <c r="GZ134" s="21" t="n"/>
      <c r="HA134" s="21" t="n">
        <v>61.484</v>
      </c>
      <c r="HB134" s="21" t="n">
        <v>589.61</v>
      </c>
      <c r="HC134" s="21" t="n">
        <v>418.27</v>
      </c>
      <c r="HD134" s="21" t="n">
        <v>136.673</v>
      </c>
      <c r="HE134" s="21" t="n">
        <v>569.61</v>
      </c>
      <c r="HF134" s="21" t="n">
        <v>111.105</v>
      </c>
      <c r="HG134" s="21" t="n">
        <v>644.926</v>
      </c>
      <c r="HH134" s="21" t="n">
        <v>448.191</v>
      </c>
      <c r="HI134" s="21" t="n">
        <v>433.225</v>
      </c>
      <c r="HJ134" s="21" t="n">
        <v>634.476</v>
      </c>
      <c r="HK134" s="21" t="n">
        <v>217.541</v>
      </c>
      <c r="HL134" s="21" t="n"/>
      <c r="HM134" s="21" t="n">
        <v>107.801</v>
      </c>
      <c r="HN134" s="21" t="n">
        <v>450.139</v>
      </c>
      <c r="HO134" s="21" t="n">
        <v>435.248</v>
      </c>
      <c r="HP134" s="21" t="n">
        <v>985.45</v>
      </c>
      <c r="HQ134" s="21" t="n">
        <v>306.529</v>
      </c>
      <c r="HR134" s="21" t="n">
        <v>143.616</v>
      </c>
      <c r="HS134" s="21" t="n">
        <v>123.757</v>
      </c>
      <c r="HT134" s="21" t="n">
        <v>94.893</v>
      </c>
      <c r="HU134" s="21" t="n">
        <v>609.864</v>
      </c>
      <c r="HV134" s="21" t="n">
        <v>103.671</v>
      </c>
      <c r="HW134" s="21" t="n">
        <v>27.836</v>
      </c>
      <c r="HX134" s="21" t="n">
        <v>232.944</v>
      </c>
      <c r="HY134" s="21" t="n">
        <v>242.448</v>
      </c>
      <c r="HZ134" s="21" t="n">
        <v>192.551</v>
      </c>
      <c r="IA134" s="21" t="n">
        <v>131.533</v>
      </c>
      <c r="IB134" s="21" t="n">
        <v>374.34</v>
      </c>
      <c r="IC134" s="21" t="n">
        <v>274.072</v>
      </c>
      <c r="ID134" s="21" t="n">
        <v>407.037</v>
      </c>
      <c r="IE134" s="21" t="n">
        <v>123.402</v>
      </c>
      <c r="IF134" s="21" t="n">
        <v>169.092</v>
      </c>
      <c r="IG134" s="21" t="n">
        <v>85.01600000000001</v>
      </c>
      <c r="IH134" s="21" t="n">
        <v>88.16200000000001</v>
      </c>
      <c r="II134" s="21" t="n">
        <v>73.64400000000001</v>
      </c>
      <c r="IJ134" s="21" t="n">
        <v>30.127</v>
      </c>
      <c r="IK134" s="21" t="n">
        <v>33.177</v>
      </c>
      <c r="IL134" s="21" t="n">
        <v>27.813</v>
      </c>
      <c r="IM134" s="21" t="n">
        <v>37.427</v>
      </c>
      <c r="IN134" s="21" t="n">
        <v>105.703</v>
      </c>
      <c r="IO134" s="21" t="n">
        <v>129.822</v>
      </c>
      <c r="IP134" s="21" t="n">
        <v>211.656</v>
      </c>
      <c r="IQ134" s="21" t="n">
        <v>167.729</v>
      </c>
      <c r="IR134" s="21" t="n">
        <v>497.749</v>
      </c>
      <c r="IS134" s="21" t="n">
        <v>241.116</v>
      </c>
      <c r="IT134" s="21" t="n">
        <v>261.235</v>
      </c>
      <c r="IU134" s="21" t="n">
        <v>417.89</v>
      </c>
      <c r="IV134" s="21" t="n">
        <v>295.553</v>
      </c>
      <c r="IW134" s="21" t="n">
        <v>146.906</v>
      </c>
      <c r="IX134" s="21" t="n">
        <v>314.634</v>
      </c>
      <c r="IY134" s="21" t="n"/>
      <c r="IZ134" s="21" t="n">
        <v>905.056</v>
      </c>
      <c r="JA134" s="21" t="n">
        <v>967.771</v>
      </c>
      <c r="JB134" s="21" t="n">
        <v>104.421</v>
      </c>
      <c r="JC134" s="21" t="n">
        <v>393.043</v>
      </c>
      <c r="JD134" s="21" t="n">
        <v>282.915</v>
      </c>
      <c r="JE134" s="21" t="n">
        <v>72.193</v>
      </c>
      <c r="JF134" s="21" t="n">
        <v>262.442</v>
      </c>
      <c r="JG134" s="21" t="n">
        <v>407.711</v>
      </c>
      <c r="JH134" s="21" t="n"/>
      <c r="JI134" s="21" t="n">
        <v>67.76600000000001</v>
      </c>
      <c r="JJ134" s="21" t="n">
        <v>101.033</v>
      </c>
      <c r="JK134" s="21" t="n">
        <v>34.773</v>
      </c>
      <c r="JL134" s="21" t="n">
        <v>87.869</v>
      </c>
      <c r="JM134" s="21" t="n">
        <v>92.173</v>
      </c>
      <c r="JN134" s="21" t="n">
        <v>598.829</v>
      </c>
      <c r="JO134" s="21" t="n">
        <v>108.944</v>
      </c>
      <c r="JP134" s="21" t="n">
        <v>727.499</v>
      </c>
      <c r="JQ134" s="21" t="n">
        <v>299.571</v>
      </c>
      <c r="JR134" s="21" t="n">
        <v>182.616</v>
      </c>
      <c r="JS134" s="21" t="n">
        <v>599.974</v>
      </c>
      <c r="JT134" s="21" t="n"/>
      <c r="JU134" s="21" t="n">
        <v>422.131</v>
      </c>
      <c r="JV134" s="21" t="n">
        <v>247.27</v>
      </c>
      <c r="JW134" s="21" t="n">
        <v>409.368</v>
      </c>
      <c r="JX134" s="21" t="n">
        <v>310.439</v>
      </c>
      <c r="JY134" s="21" t="n">
        <v>88.92</v>
      </c>
      <c r="JZ134" s="21" t="n">
        <v>205.477</v>
      </c>
      <c r="KA134" s="21" t="n">
        <v>313.885</v>
      </c>
      <c r="KB134" s="21" t="n">
        <v>333.716</v>
      </c>
      <c r="KC134" s="21" t="n">
        <v>323.694</v>
      </c>
      <c r="KD134" s="21" t="n">
        <v>332.793</v>
      </c>
      <c r="KE134" s="21" t="n">
        <v>292.861</v>
      </c>
      <c r="KF134" s="21" t="n">
        <v>280.109</v>
      </c>
      <c r="KG134" s="21" t="n">
        <v>283.387</v>
      </c>
      <c r="KH134" s="21" t="n">
        <v>289.37</v>
      </c>
      <c r="KI134" s="21" t="n">
        <v>124.319</v>
      </c>
      <c r="KJ134" s="21" t="n">
        <v>226.828</v>
      </c>
      <c r="KK134" s="21" t="n">
        <v>178.147</v>
      </c>
      <c r="KL134" s="21" t="n">
        <v>174.16</v>
      </c>
      <c r="KM134" s="21" t="n">
        <v>167.394</v>
      </c>
      <c r="KN134" s="21" t="n">
        <v>166.046</v>
      </c>
      <c r="KO134" s="21" t="n">
        <v>326.649</v>
      </c>
      <c r="KP134" s="21" t="n">
        <v>123.458</v>
      </c>
      <c r="KQ134" s="21" t="n">
        <v>51.378</v>
      </c>
      <c r="KR134" s="21" t="n">
        <v>125.034</v>
      </c>
      <c r="KS134" s="21" t="n">
        <v>281.436</v>
      </c>
      <c r="KT134" s="21" t="n">
        <v>281.377</v>
      </c>
      <c r="KU134" s="21" t="n">
        <v>109.557</v>
      </c>
      <c r="KV134" s="21" t="n">
        <v>34.788</v>
      </c>
      <c r="KW134" s="21" t="n">
        <v>283.195</v>
      </c>
      <c r="KX134" s="21" t="n">
        <v>231.694</v>
      </c>
      <c r="KY134" s="21" t="n">
        <v>290.658</v>
      </c>
      <c r="KZ134" s="21" t="n">
        <v>227.579</v>
      </c>
      <c r="LA134" s="21" t="n">
        <v>291.5</v>
      </c>
      <c r="LB134" s="21" t="n">
        <v>148.439</v>
      </c>
      <c r="LC134" s="21" t="n">
        <v>433.091</v>
      </c>
      <c r="LD134" s="21" t="n">
        <v>84.68300000000001</v>
      </c>
      <c r="LE134" s="21" t="n">
        <v>158.917</v>
      </c>
      <c r="LF134" s="21" t="n">
        <v>440.662</v>
      </c>
      <c r="LG134" s="21" t="n">
        <v>425.16</v>
      </c>
      <c r="LH134" s="21" t="n">
        <v>438.784</v>
      </c>
      <c r="LI134" s="21" t="n">
        <v>407.956</v>
      </c>
      <c r="LJ134" s="21" t="n">
        <v>439.084</v>
      </c>
      <c r="LK134" s="21" t="n">
        <v>131.075</v>
      </c>
      <c r="LL134" s="21" t="n">
        <v>456.032</v>
      </c>
      <c r="LM134" s="21" t="n">
        <v>273.26</v>
      </c>
      <c r="LN134" s="21" t="n">
        <v>32.953</v>
      </c>
      <c r="LO134" s="21" t="n">
        <v>163.356</v>
      </c>
    </row>
    <row r="135">
      <c r="A135" s="22" t="n">
        <v>46054</v>
      </c>
      <c r="B135" s="21" t="n">
        <v>327.46</v>
      </c>
      <c r="C135" s="21" t="n">
        <v>343.477</v>
      </c>
      <c r="D135" s="21" t="n">
        <v>346.622</v>
      </c>
      <c r="E135" s="21" t="n">
        <v>318.985</v>
      </c>
      <c r="F135" s="21" t="n">
        <v>367.31</v>
      </c>
      <c r="G135" s="21" t="n">
        <v>291.753</v>
      </c>
      <c r="H135" s="21" t="n">
        <v>327.027</v>
      </c>
      <c r="I135" s="21" t="n">
        <v>285.565</v>
      </c>
      <c r="J135" s="21" t="n">
        <v>292.633</v>
      </c>
      <c r="K135" s="21" t="n">
        <v>411.85</v>
      </c>
      <c r="L135" s="21" t="n">
        <v>246.951</v>
      </c>
      <c r="M135" s="21" t="n">
        <v>243.254</v>
      </c>
      <c r="N135" s="21" t="n">
        <v>397.175</v>
      </c>
      <c r="O135" s="21" t="n">
        <v>371.526</v>
      </c>
      <c r="P135" s="21" t="n">
        <v>363.692</v>
      </c>
      <c r="Q135" s="21" t="n">
        <v>448.116</v>
      </c>
      <c r="R135" s="21" t="n">
        <v>337.973</v>
      </c>
      <c r="S135" s="21" t="n">
        <v>348.093</v>
      </c>
      <c r="T135" s="21" t="n">
        <v>356.313</v>
      </c>
      <c r="U135" s="21" t="n">
        <v>374.546</v>
      </c>
      <c r="V135" s="21" t="n">
        <v>512.829</v>
      </c>
      <c r="W135" s="21" t="n">
        <v>441.082</v>
      </c>
      <c r="X135" s="21" t="n">
        <v>413.812</v>
      </c>
      <c r="Y135" s="21" t="n">
        <v>347.511</v>
      </c>
      <c r="Z135" s="21" t="n">
        <v>275.669</v>
      </c>
      <c r="AA135" s="21" t="n">
        <v>210.1</v>
      </c>
      <c r="AB135" s="21" t="n">
        <v>399.677</v>
      </c>
      <c r="AC135" s="21" t="n">
        <v>189.946</v>
      </c>
      <c r="AD135" s="21" t="n">
        <v>258.433</v>
      </c>
      <c r="AE135" s="21" t="n">
        <v>285.027</v>
      </c>
      <c r="AF135" s="21" t="n">
        <v>245.066</v>
      </c>
      <c r="AG135" s="21" t="n">
        <v>158.455</v>
      </c>
      <c r="AH135" s="21" t="n">
        <v>296.62</v>
      </c>
      <c r="AI135" s="21" t="n">
        <v>314.609</v>
      </c>
      <c r="AJ135" s="21" t="n">
        <v>186.743</v>
      </c>
      <c r="AK135" s="21" t="n">
        <v>316.279</v>
      </c>
      <c r="AL135" s="21" t="n">
        <v>200.334</v>
      </c>
      <c r="AM135" s="21" t="n">
        <v>333.771</v>
      </c>
      <c r="AN135" s="21" t="n">
        <v>298.769</v>
      </c>
      <c r="AO135" s="21" t="n">
        <v>219.389</v>
      </c>
      <c r="AP135" s="21" t="n">
        <v>370.314</v>
      </c>
      <c r="AQ135" s="21" t="n">
        <v>232.77</v>
      </c>
      <c r="AR135" s="21" t="n">
        <v>184.411</v>
      </c>
      <c r="AS135" s="21" t="n">
        <v>257.334</v>
      </c>
      <c r="AT135" s="21" t="n">
        <v>410.035</v>
      </c>
      <c r="AU135" s="21" t="n">
        <v>267.717</v>
      </c>
      <c r="AV135" s="21" t="n">
        <v>269.599</v>
      </c>
      <c r="AW135" s="21" t="n">
        <v>178.288</v>
      </c>
      <c r="AX135" s="21" t="n">
        <v>249.941</v>
      </c>
      <c r="AY135" s="21" t="n">
        <v>186.327</v>
      </c>
      <c r="AZ135" s="21" t="n">
        <v>260.465</v>
      </c>
      <c r="BA135" s="21" t="n">
        <v>284.861</v>
      </c>
      <c r="BB135" s="21" t="n">
        <v>189.866</v>
      </c>
      <c r="BC135" s="21" t="n">
        <v>360.989</v>
      </c>
      <c r="BD135" s="21" t="n">
        <v>405.198</v>
      </c>
      <c r="BE135" s="21" t="n">
        <v>413.197</v>
      </c>
      <c r="BF135" s="21" t="n">
        <v>360.45</v>
      </c>
      <c r="BG135" s="21" t="n">
        <v>217.653</v>
      </c>
      <c r="BH135" s="21" t="n">
        <v>295.244</v>
      </c>
      <c r="BI135" s="21" t="n">
        <v>582.725</v>
      </c>
      <c r="BJ135" s="21" t="n">
        <v>140.228</v>
      </c>
      <c r="BK135" s="21" t="n">
        <v>395.43</v>
      </c>
      <c r="BL135" s="21" t="n">
        <v>414.602</v>
      </c>
      <c r="BM135" s="21" t="n">
        <v>461.489</v>
      </c>
      <c r="BN135" s="21" t="n">
        <v>361.306</v>
      </c>
      <c r="BO135" s="21" t="n">
        <v>394.275</v>
      </c>
      <c r="BP135" s="21" t="n">
        <v>210.814</v>
      </c>
      <c r="BQ135" s="21" t="n">
        <v>232.71</v>
      </c>
      <c r="BR135" s="21" t="n">
        <v>223.735</v>
      </c>
      <c r="BS135" s="21" t="n">
        <v>246.854</v>
      </c>
      <c r="BT135" s="21" t="n">
        <v>185.198</v>
      </c>
      <c r="BU135" s="21" t="n">
        <v>256.885</v>
      </c>
      <c r="BV135" s="21" t="n">
        <v>200.881</v>
      </c>
      <c r="BW135" s="21" t="n">
        <v>236.373</v>
      </c>
      <c r="BX135" s="21" t="n">
        <v>183.078</v>
      </c>
      <c r="BY135" s="21" t="n">
        <v>240.473</v>
      </c>
      <c r="BZ135" s="21" t="n">
        <v>160.418</v>
      </c>
      <c r="CA135" s="21" t="n">
        <v>163.857</v>
      </c>
      <c r="CB135" s="21" t="n">
        <v>292.749</v>
      </c>
      <c r="CC135" s="21" t="n">
        <v>303.64</v>
      </c>
      <c r="CD135" s="21" t="n">
        <v>168.012</v>
      </c>
      <c r="CE135" s="21" t="n">
        <v>282.768</v>
      </c>
      <c r="CF135" s="21" t="n">
        <v>323.956</v>
      </c>
      <c r="CG135" s="21" t="n">
        <v>276.737</v>
      </c>
      <c r="CH135" s="21" t="n">
        <v>227.401</v>
      </c>
      <c r="CI135" s="21" t="n">
        <v>202.063</v>
      </c>
      <c r="CJ135" s="21" t="n">
        <v>312.593</v>
      </c>
      <c r="CK135" s="21" t="n">
        <v>263.361</v>
      </c>
      <c r="CL135" s="21" t="n">
        <v>295.281</v>
      </c>
      <c r="CM135" s="21" t="n">
        <v>464.604</v>
      </c>
      <c r="CN135" s="21" t="n">
        <v>178.523</v>
      </c>
      <c r="CO135" s="21" t="n">
        <v>223.802</v>
      </c>
      <c r="CP135" s="21" t="n">
        <v>295.056</v>
      </c>
      <c r="CQ135" s="21" t="n">
        <v>318.149</v>
      </c>
      <c r="CR135" s="21" t="n">
        <v>214.115</v>
      </c>
      <c r="CS135" s="21" t="n">
        <v>315.368</v>
      </c>
      <c r="CT135" s="21" t="n">
        <v>322.625</v>
      </c>
      <c r="CU135" s="21" t="n">
        <v>192.036</v>
      </c>
      <c r="CV135" s="21" t="n">
        <v>202.655</v>
      </c>
      <c r="CW135" s="21" t="n">
        <v>187.703</v>
      </c>
      <c r="CX135" s="21" t="n">
        <v>433.46</v>
      </c>
      <c r="CY135" s="21" t="n">
        <v>178.236</v>
      </c>
      <c r="CZ135" s="21" t="n">
        <v>161.365</v>
      </c>
      <c r="DA135" s="21" t="n">
        <v>391.706</v>
      </c>
      <c r="DB135" s="21" t="n">
        <v>241.935</v>
      </c>
      <c r="DC135" s="21" t="n">
        <v>215.357</v>
      </c>
      <c r="DD135" s="21" t="n">
        <v>206.147</v>
      </c>
      <c r="DE135" s="21" t="n">
        <v>265.456</v>
      </c>
      <c r="DF135" s="21" t="n">
        <v>298.95</v>
      </c>
      <c r="DG135" s="21" t="n">
        <v>230.735</v>
      </c>
      <c r="DH135" s="21" t="n">
        <v>282.286</v>
      </c>
      <c r="DI135" s="21" t="n">
        <v>213.763</v>
      </c>
      <c r="DJ135" s="21" t="n">
        <v>222.601</v>
      </c>
      <c r="DK135" s="21" t="n">
        <v>210.073</v>
      </c>
      <c r="DL135" s="21" t="n">
        <v>180.152</v>
      </c>
      <c r="DM135" s="21" t="n">
        <v>451.241</v>
      </c>
      <c r="DN135" s="21" t="n">
        <v>249.409</v>
      </c>
      <c r="DO135" s="21" t="n">
        <v>353.699</v>
      </c>
      <c r="DP135" s="21" t="n">
        <v>422.942</v>
      </c>
      <c r="DQ135" s="21" t="n">
        <v>441.865</v>
      </c>
      <c r="DR135" s="21" t="n">
        <v>189.826</v>
      </c>
      <c r="DS135" s="21" t="n">
        <v>679.4690000000001</v>
      </c>
      <c r="DT135" s="21" t="n">
        <v>384.899</v>
      </c>
      <c r="DU135" s="21" t="n">
        <v>435.813</v>
      </c>
      <c r="DV135" s="21" t="n">
        <v>435.784</v>
      </c>
      <c r="DW135" s="21" t="n">
        <v>342.66</v>
      </c>
      <c r="DX135" s="21" t="n">
        <v>287.412</v>
      </c>
      <c r="DY135" s="21" t="n">
        <v>372.615</v>
      </c>
      <c r="DZ135" s="21" t="n">
        <v>383.897</v>
      </c>
      <c r="EA135" s="21" t="n">
        <v>409.424</v>
      </c>
      <c r="EB135" s="21" t="n">
        <v>293.326</v>
      </c>
      <c r="EC135" s="21" t="n">
        <v>298.113</v>
      </c>
      <c r="ED135" s="21" t="n">
        <v>272.497</v>
      </c>
      <c r="EE135" s="21" t="n">
        <v>327.181</v>
      </c>
      <c r="EF135" s="21" t="n">
        <v>750.5599999999999</v>
      </c>
      <c r="EG135" s="21" t="n">
        <v>665.893</v>
      </c>
      <c r="EH135" s="21" t="n">
        <v>154.862</v>
      </c>
      <c r="EI135" s="21" t="n">
        <v>63.888</v>
      </c>
      <c r="EJ135" s="21" t="n">
        <v>88.45699999999999</v>
      </c>
      <c r="EK135" s="21" t="n">
        <v>42.615</v>
      </c>
      <c r="EL135" s="21" t="n">
        <v>135.41</v>
      </c>
      <c r="EM135" s="21" t="n">
        <v>77.708</v>
      </c>
      <c r="EN135" s="21" t="n">
        <v>85.422</v>
      </c>
      <c r="EO135" s="21" t="n">
        <v>88.708</v>
      </c>
      <c r="EP135" s="21" t="n">
        <v>106.93</v>
      </c>
      <c r="EQ135" s="21" t="n">
        <v>75.91800000000001</v>
      </c>
      <c r="ER135" s="21" t="n">
        <v>56.684</v>
      </c>
      <c r="ES135" s="21" t="n">
        <v>172.884</v>
      </c>
      <c r="ET135" s="21" t="n">
        <v>86.43600000000001</v>
      </c>
      <c r="EU135" s="21" t="n">
        <v>116.889</v>
      </c>
      <c r="EV135" s="21" t="n">
        <v>128.954</v>
      </c>
      <c r="EW135" s="21" t="n">
        <v>111.949</v>
      </c>
      <c r="EX135" s="21" t="n">
        <v>241.581</v>
      </c>
      <c r="EY135" s="21" t="n">
        <v>153.87</v>
      </c>
      <c r="EZ135" s="21" t="n">
        <v>144.723</v>
      </c>
      <c r="FA135" s="21" t="n">
        <v>199.335</v>
      </c>
      <c r="FB135" s="21" t="n">
        <v>134.419</v>
      </c>
      <c r="FC135" s="21" t="n">
        <v>131.161</v>
      </c>
      <c r="FD135" s="21" t="n">
        <v>133.381</v>
      </c>
      <c r="FE135" s="21" t="n">
        <v>96.096</v>
      </c>
      <c r="FF135" s="21" t="n">
        <v>191.893</v>
      </c>
      <c r="FG135" s="21" t="n">
        <v>81.395</v>
      </c>
      <c r="FH135" s="21" t="n">
        <v>138.368</v>
      </c>
      <c r="FI135" s="21" t="n">
        <v>120.386</v>
      </c>
      <c r="FJ135" s="21" t="n">
        <v>111.748</v>
      </c>
      <c r="FK135" s="21" t="n">
        <v>113.085</v>
      </c>
      <c r="FL135" s="21" t="n">
        <v>103.761</v>
      </c>
      <c r="FM135" s="21" t="n">
        <v>114.215</v>
      </c>
      <c r="FN135" s="21" t="n">
        <v>75.696</v>
      </c>
      <c r="FO135" s="21" t="n">
        <v>116.978</v>
      </c>
      <c r="FP135" s="21" t="n">
        <v>106.344</v>
      </c>
      <c r="FQ135" s="21" t="n">
        <v>147.479</v>
      </c>
      <c r="FR135" s="21" t="n">
        <v>154.048</v>
      </c>
      <c r="FS135" s="21" t="n">
        <v>168.34</v>
      </c>
      <c r="FT135" s="21" t="n">
        <v>132.991</v>
      </c>
      <c r="FU135" s="21" t="n">
        <v>125.354</v>
      </c>
      <c r="FV135" s="21" t="n">
        <v>220.512</v>
      </c>
      <c r="FW135" s="21" t="n">
        <v>171.302</v>
      </c>
      <c r="FX135" s="21" t="n">
        <v>220.195</v>
      </c>
      <c r="FY135" s="21" t="n">
        <v>273.766</v>
      </c>
      <c r="FZ135" s="21" t="n">
        <v>272.133</v>
      </c>
      <c r="GA135" s="21" t="n">
        <v>125.011</v>
      </c>
      <c r="GB135" s="21" t="n">
        <v>179.278</v>
      </c>
      <c r="GC135" s="21" t="n"/>
      <c r="GD135" s="21" t="n">
        <v>175.008</v>
      </c>
      <c r="GE135" s="21" t="n">
        <v>191.229</v>
      </c>
      <c r="GF135" s="21" t="n"/>
      <c r="GG135" s="21" t="n">
        <v>180.589</v>
      </c>
      <c r="GH135" s="21" t="n">
        <v>113.332</v>
      </c>
      <c r="GI135" s="21" t="n">
        <v>163.501</v>
      </c>
      <c r="GJ135" s="21" t="n">
        <v>278.021</v>
      </c>
      <c r="GK135" s="21" t="n">
        <v>276.754</v>
      </c>
      <c r="GL135" s="21" t="n">
        <v>268.175</v>
      </c>
      <c r="GM135" s="21" t="n">
        <v>311.601</v>
      </c>
      <c r="GN135" s="21" t="n">
        <v>312.362</v>
      </c>
      <c r="GO135" s="21" t="n">
        <v>268.403</v>
      </c>
      <c r="GP135" s="21" t="n">
        <v>187.75</v>
      </c>
      <c r="GQ135" s="21" t="n">
        <v>159.086</v>
      </c>
      <c r="GR135" s="21" t="n">
        <v>444.107</v>
      </c>
      <c r="GS135" s="21" t="n">
        <v>297.306</v>
      </c>
      <c r="GT135" s="21" t="n">
        <v>890.451</v>
      </c>
      <c r="GU135" s="21" t="n">
        <v>243.027</v>
      </c>
      <c r="GV135" s="21" t="n">
        <v>293.006</v>
      </c>
      <c r="GW135" s="21" t="n">
        <v>278.662</v>
      </c>
      <c r="GX135" s="21" t="n">
        <v>283.495</v>
      </c>
      <c r="GY135" s="21" t="n">
        <v>150.647</v>
      </c>
      <c r="GZ135" s="21" t="n"/>
      <c r="HA135" s="21" t="n">
        <v>61.652</v>
      </c>
      <c r="HB135" s="21" t="n">
        <v>592.554</v>
      </c>
      <c r="HC135" s="21" t="n">
        <v>418.113</v>
      </c>
      <c r="HD135" s="21" t="n">
        <v>136.436</v>
      </c>
      <c r="HE135" s="21" t="n">
        <v>568.742</v>
      </c>
      <c r="HF135" s="21" t="n">
        <v>110.624</v>
      </c>
      <c r="HG135" s="21" t="n">
        <v>648.884</v>
      </c>
      <c r="HH135" s="21" t="n">
        <v>450.994</v>
      </c>
      <c r="HI135" s="21" t="n">
        <v>434.43</v>
      </c>
      <c r="HJ135" s="21" t="n">
        <v>642.755</v>
      </c>
      <c r="HK135" s="21" t="n">
        <v>217.789</v>
      </c>
      <c r="HL135" s="21" t="n"/>
      <c r="HM135" s="21" t="n">
        <v>108.762</v>
      </c>
      <c r="HN135" s="21" t="n">
        <v>453.028</v>
      </c>
      <c r="HO135" s="21" t="n"/>
      <c r="HP135" s="21" t="n">
        <v>991.173</v>
      </c>
      <c r="HQ135" s="21" t="n">
        <v>312.256</v>
      </c>
      <c r="HR135" s="21" t="n">
        <v>143.637</v>
      </c>
      <c r="HS135" s="21" t="n">
        <v>121.796</v>
      </c>
      <c r="HT135" s="21" t="n">
        <v>94.133</v>
      </c>
      <c r="HU135" s="21" t="n">
        <v>597.063</v>
      </c>
      <c r="HV135" s="21" t="n">
        <v>108.703</v>
      </c>
      <c r="HW135" s="21" t="n">
        <v>27.795</v>
      </c>
      <c r="HX135" s="21" t="n">
        <v>233.921</v>
      </c>
      <c r="HY135" s="21" t="n">
        <v>244.033</v>
      </c>
      <c r="HZ135" s="21" t="n">
        <v>193.555</v>
      </c>
      <c r="IA135" s="21" t="n">
        <v>132.698</v>
      </c>
      <c r="IB135" s="21" t="n">
        <v>374.93</v>
      </c>
      <c r="IC135" s="21" t="n">
        <v>277.537</v>
      </c>
      <c r="ID135" s="21" t="n">
        <v>408.443</v>
      </c>
      <c r="IE135" s="21" t="n">
        <v>124.325</v>
      </c>
      <c r="IF135" s="21" t="n">
        <v>168.956</v>
      </c>
      <c r="IG135" s="21" t="n">
        <v>86.46299999999999</v>
      </c>
      <c r="IH135" s="21" t="n">
        <v>89.337</v>
      </c>
      <c r="II135" s="21" t="n">
        <v>76.124</v>
      </c>
      <c r="IJ135" s="21" t="n">
        <v>31.155</v>
      </c>
      <c r="IK135" s="21" t="n">
        <v>32.952</v>
      </c>
      <c r="IL135" s="21" t="n">
        <v>27.551</v>
      </c>
      <c r="IM135" s="21" t="n">
        <v>36.84</v>
      </c>
      <c r="IN135" s="21" t="n">
        <v>106.242</v>
      </c>
      <c r="IO135" s="21" t="n">
        <v>129.212</v>
      </c>
      <c r="IP135" s="21" t="n">
        <v>212.864</v>
      </c>
      <c r="IQ135" s="21" t="n">
        <v>167.819</v>
      </c>
      <c r="IR135" s="21" t="n">
        <v>503.789</v>
      </c>
      <c r="IS135" s="21" t="n">
        <v>242.848</v>
      </c>
      <c r="IT135" s="21" t="n">
        <v>278.143</v>
      </c>
      <c r="IU135" s="21" t="n">
        <v>417.798</v>
      </c>
      <c r="IV135" s="21" t="n">
        <v>295.89</v>
      </c>
      <c r="IW135" s="21" t="n">
        <v>146.61</v>
      </c>
      <c r="IX135" s="21" t="n">
        <v>315.134</v>
      </c>
      <c r="IY135" s="21" t="n"/>
      <c r="IZ135" s="21" t="n">
        <v>906.722</v>
      </c>
      <c r="JA135" s="21" t="n">
        <v>968.679</v>
      </c>
      <c r="JB135" s="21" t="n">
        <v>104.862</v>
      </c>
      <c r="JC135" s="21" t="n">
        <v>394.084</v>
      </c>
      <c r="JD135" s="21" t="n">
        <v>283.11</v>
      </c>
      <c r="JE135" s="21" t="n">
        <v>71.84</v>
      </c>
      <c r="JF135" s="21" t="n">
        <v>259.77</v>
      </c>
      <c r="JG135" s="21" t="n">
        <v>403.115</v>
      </c>
      <c r="JH135" s="21" t="n">
        <v>484.383</v>
      </c>
      <c r="JI135" s="21" t="n">
        <v>67.441</v>
      </c>
      <c r="JJ135" s="21" t="n">
        <v>100.146</v>
      </c>
      <c r="JK135" s="21" t="n">
        <v>34.782</v>
      </c>
      <c r="JL135" s="21" t="n">
        <v>88.729</v>
      </c>
      <c r="JM135" s="21" t="n">
        <v>86.875</v>
      </c>
      <c r="JN135" s="21" t="n">
        <v>598.152</v>
      </c>
      <c r="JO135" s="21" t="n">
        <v>109.106</v>
      </c>
      <c r="JP135" s="21" t="n">
        <v>734.676</v>
      </c>
      <c r="JQ135" s="21" t="n">
        <v>299.09</v>
      </c>
      <c r="JR135" s="21" t="n">
        <v>182.721</v>
      </c>
      <c r="JS135" s="21" t="n">
        <v>597.002</v>
      </c>
      <c r="JT135" s="21" t="n"/>
      <c r="JU135" s="21" t="n">
        <v>415.166</v>
      </c>
      <c r="JV135" s="21" t="n">
        <v>248.393</v>
      </c>
      <c r="JW135" s="21" t="n">
        <v>403.964</v>
      </c>
      <c r="JX135" s="21" t="n">
        <v>303.303</v>
      </c>
      <c r="JY135" s="21" t="n">
        <v>88.988</v>
      </c>
      <c r="JZ135" s="21" t="n">
        <v>205.684</v>
      </c>
      <c r="KA135" s="21" t="n">
        <v>314.657</v>
      </c>
      <c r="KB135" s="21" t="n">
        <v>334.523</v>
      </c>
      <c r="KC135" s="21" t="n">
        <v>324.495</v>
      </c>
      <c r="KD135" s="21" t="n">
        <v>333.512</v>
      </c>
      <c r="KE135" s="21" t="n">
        <v>293.701</v>
      </c>
      <c r="KF135" s="21" t="n">
        <v>280.833</v>
      </c>
      <c r="KG135" s="21" t="n">
        <v>283.964</v>
      </c>
      <c r="KH135" s="21" t="n">
        <v>290.068</v>
      </c>
      <c r="KI135" s="21" t="n">
        <v>126.61</v>
      </c>
      <c r="KJ135" s="21" t="n">
        <v>227.487</v>
      </c>
      <c r="KK135" s="21" t="n">
        <v>178.555</v>
      </c>
      <c r="KL135" s="21" t="n">
        <v>174.566</v>
      </c>
      <c r="KM135" s="21" t="n">
        <v>167.53</v>
      </c>
      <c r="KN135" s="21" t="n">
        <v>166.305</v>
      </c>
      <c r="KO135" s="21" t="n">
        <v>327.952</v>
      </c>
      <c r="KP135" s="21" t="n">
        <v>122.888</v>
      </c>
      <c r="KQ135" s="21" t="n">
        <v>49.821</v>
      </c>
      <c r="KR135" s="21" t="n">
        <v>125.359</v>
      </c>
      <c r="KS135" s="21" t="n">
        <v>283.223</v>
      </c>
      <c r="KT135" s="21" t="n">
        <v>284.485</v>
      </c>
      <c r="KU135" s="21" t="n">
        <v>109.814</v>
      </c>
      <c r="KV135" s="21" t="n">
        <v>33.707</v>
      </c>
      <c r="KW135" s="21" t="n">
        <v>284.512</v>
      </c>
      <c r="KX135" s="21" t="n">
        <v>233.013</v>
      </c>
      <c r="KY135" s="21" t="n">
        <v>291.534</v>
      </c>
      <c r="KZ135" s="21" t="n">
        <v>228.979</v>
      </c>
      <c r="LA135" s="21" t="n">
        <v>292.469</v>
      </c>
      <c r="LB135" s="21" t="n">
        <v>148.575</v>
      </c>
      <c r="LC135" s="21" t="n">
        <v>433.273</v>
      </c>
      <c r="LD135" s="21" t="n">
        <v>84.991</v>
      </c>
      <c r="LE135" s="21" t="n">
        <v>158.608</v>
      </c>
      <c r="LF135" s="21" t="n">
        <v>441.482</v>
      </c>
      <c r="LG135" s="21" t="n">
        <v>426.277</v>
      </c>
      <c r="LH135" s="21" t="n">
        <v>439.959</v>
      </c>
      <c r="LI135" s="21" t="n">
        <v>408.723</v>
      </c>
      <c r="LJ135" s="21" t="n">
        <v>440.321</v>
      </c>
      <c r="LK135" s="21" t="n">
        <v>130.939</v>
      </c>
      <c r="LL135" s="21" t="n">
        <v>457.108</v>
      </c>
      <c r="LM135" s="21" t="n">
        <v>273.618</v>
      </c>
      <c r="LN135" s="21" t="n">
        <v>33.041</v>
      </c>
      <c r="LO135" s="21" t="n">
        <v>159.764</v>
      </c>
    </row>
    <row r="136">
      <c r="A136" s="22" t="n">
        <v>46082</v>
      </c>
      <c r="B136" s="21" t="n">
        <v>330.293</v>
      </c>
      <c r="C136" s="21" t="n">
        <v>343.51</v>
      </c>
      <c r="D136" s="21" t="n">
        <v>346.603</v>
      </c>
      <c r="E136" s="21" t="n">
        <v>318.462</v>
      </c>
      <c r="F136" s="21" t="n">
        <v>365.164</v>
      </c>
      <c r="G136" s="21" t="n">
        <v>287.894</v>
      </c>
      <c r="H136" s="21" t="n">
        <v>323.23</v>
      </c>
      <c r="I136" s="21" t="n">
        <v>284.357</v>
      </c>
      <c r="J136" s="21" t="n">
        <v>289.922</v>
      </c>
      <c r="K136" s="21" t="n">
        <v>410.825</v>
      </c>
      <c r="L136" s="21" t="n">
        <v>248.014</v>
      </c>
      <c r="M136" s="21" t="n">
        <v>243.85</v>
      </c>
      <c r="N136" s="21" t="n">
        <v>393.427</v>
      </c>
      <c r="O136" s="21" t="n">
        <v>371.43</v>
      </c>
      <c r="P136" s="21" t="n">
        <v>362.462</v>
      </c>
      <c r="Q136" s="21" t="n">
        <v>441.532</v>
      </c>
      <c r="R136" s="21" t="n">
        <v>338.49</v>
      </c>
      <c r="S136" s="21" t="n">
        <v>345.887</v>
      </c>
      <c r="T136" s="21" t="n">
        <v>354.651</v>
      </c>
      <c r="U136" s="21" t="n">
        <v>372.305</v>
      </c>
      <c r="V136" s="21" t="n">
        <v>509.877</v>
      </c>
      <c r="W136" s="21" t="n">
        <v>435.945</v>
      </c>
      <c r="X136" s="21" t="n">
        <v>412.243</v>
      </c>
      <c r="Y136" s="21" t="n">
        <v>347.084</v>
      </c>
      <c r="Z136" s="21" t="n">
        <v>274.071</v>
      </c>
      <c r="AA136" s="21" t="n">
        <v>206.632</v>
      </c>
      <c r="AB136" s="21" t="n">
        <v>388.86</v>
      </c>
      <c r="AC136" s="21" t="n">
        <v>188.757</v>
      </c>
      <c r="AD136" s="21" t="n">
        <v>254.667</v>
      </c>
      <c r="AE136" s="21" t="n">
        <v>282.947</v>
      </c>
      <c r="AF136" s="21" t="n">
        <v>245.681</v>
      </c>
      <c r="AG136" s="21" t="n">
        <v>162.871</v>
      </c>
      <c r="AH136" s="21" t="n">
        <v>294.531</v>
      </c>
      <c r="AI136" s="21" t="n">
        <v>303.13</v>
      </c>
      <c r="AJ136" s="21" t="n">
        <v>185.666</v>
      </c>
      <c r="AK136" s="21" t="n">
        <v>316.216</v>
      </c>
      <c r="AL136" s="21" t="n">
        <v>200.252</v>
      </c>
      <c r="AM136" s="21" t="n">
        <v>330.907</v>
      </c>
      <c r="AN136" s="21" t="n">
        <v>299.556</v>
      </c>
      <c r="AO136" s="21" t="n">
        <v>217.794</v>
      </c>
      <c r="AP136" s="21" t="n">
        <v>368.514</v>
      </c>
      <c r="AQ136" s="21" t="n">
        <v>233.2</v>
      </c>
      <c r="AR136" s="21" t="n">
        <v>183.512</v>
      </c>
      <c r="AS136" s="21" t="n">
        <v>253.038</v>
      </c>
      <c r="AT136" s="21" t="n">
        <v>413.203</v>
      </c>
      <c r="AU136" s="21" t="n">
        <v>258.713</v>
      </c>
      <c r="AV136" s="21" t="n">
        <v>267.992</v>
      </c>
      <c r="AW136" s="21" t="n">
        <v>178.561</v>
      </c>
      <c r="AX136" s="21" t="n">
        <v>249.43</v>
      </c>
      <c r="AY136" s="21" t="n">
        <v>186.612</v>
      </c>
      <c r="AZ136" s="21" t="n">
        <v>256.53</v>
      </c>
      <c r="BA136" s="21" t="n">
        <v>280.668</v>
      </c>
      <c r="BB136" s="21" t="n">
        <v>190.831</v>
      </c>
      <c r="BC136" s="21" t="n">
        <v>364.68</v>
      </c>
      <c r="BD136" s="21" t="n">
        <v>410.696</v>
      </c>
      <c r="BE136" s="21" t="n">
        <v>418.664</v>
      </c>
      <c r="BF136" s="21" t="n">
        <v>362.248</v>
      </c>
      <c r="BG136" s="21" t="n">
        <v>217.924</v>
      </c>
      <c r="BH136" s="21" t="n">
        <v>301.924</v>
      </c>
      <c r="BI136" s="21" t="n">
        <v>597.146</v>
      </c>
      <c r="BJ136" s="21" t="n">
        <v>142.651</v>
      </c>
      <c r="BK136" s="21" t="n">
        <v>400.94</v>
      </c>
      <c r="BL136" s="21" t="n">
        <v>403.052</v>
      </c>
      <c r="BM136" s="21" t="n">
        <v>443.864</v>
      </c>
      <c r="BN136" s="21" t="n">
        <v>416.738</v>
      </c>
      <c r="BO136" s="21" t="n">
        <v>395.075</v>
      </c>
      <c r="BP136" s="21" t="n">
        <v>210.326</v>
      </c>
      <c r="BQ136" s="21" t="n">
        <v>232.707</v>
      </c>
      <c r="BR136" s="21" t="n">
        <v>224.202</v>
      </c>
      <c r="BS136" s="21" t="n">
        <v>246.083</v>
      </c>
      <c r="BT136" s="21" t="n">
        <v>187.142</v>
      </c>
      <c r="BU136" s="21" t="n">
        <v>261.344</v>
      </c>
      <c r="BV136" s="21" t="n">
        <v>198.036</v>
      </c>
      <c r="BW136" s="21" t="n">
        <v>235.608</v>
      </c>
      <c r="BX136" s="21" t="n">
        <v>182.027</v>
      </c>
      <c r="BY136" s="21" t="n">
        <v>238.006</v>
      </c>
      <c r="BZ136" s="21" t="n">
        <v>159.949</v>
      </c>
      <c r="CA136" s="21" t="n">
        <v>164.045</v>
      </c>
      <c r="CB136" s="21" t="n">
        <v>296.592</v>
      </c>
      <c r="CC136" s="21" t="n">
        <v>306.385</v>
      </c>
      <c r="CD136" s="21" t="n">
        <v>163.147</v>
      </c>
      <c r="CE136" s="21" t="n">
        <v>282.725</v>
      </c>
      <c r="CF136" s="21" t="n">
        <v>322.119</v>
      </c>
      <c r="CG136" s="21" t="n">
        <v>271.342</v>
      </c>
      <c r="CH136" s="21" t="n">
        <v>227.107</v>
      </c>
      <c r="CI136" s="21" t="n">
        <v>201.314</v>
      </c>
      <c r="CJ136" s="21" t="n">
        <v>314.085</v>
      </c>
      <c r="CK136" s="21" t="n">
        <v>262.463</v>
      </c>
      <c r="CL136" s="21" t="n">
        <v>292.301</v>
      </c>
      <c r="CM136" s="21" t="n">
        <v>467.36</v>
      </c>
      <c r="CN136" s="21" t="n">
        <v>180.309</v>
      </c>
      <c r="CO136" s="21" t="n">
        <v>225.213</v>
      </c>
      <c r="CP136" s="21" t="n">
        <v>295.139</v>
      </c>
      <c r="CQ136" s="21" t="n">
        <v>322.227</v>
      </c>
      <c r="CR136" s="21" t="n">
        <v>212.673</v>
      </c>
      <c r="CS136" s="21" t="n">
        <v>312.666</v>
      </c>
      <c r="CT136" s="21" t="n">
        <v>323.542</v>
      </c>
      <c r="CU136" s="21" t="n">
        <v>191.966</v>
      </c>
      <c r="CV136" s="21" t="n">
        <v>204.566</v>
      </c>
      <c r="CW136" s="21" t="n">
        <v>191.166</v>
      </c>
      <c r="CX136" s="21" t="n">
        <v>399.545</v>
      </c>
      <c r="CY136" s="21" t="n">
        <v>179.938</v>
      </c>
      <c r="CZ136" s="21" t="n">
        <v>158.307</v>
      </c>
      <c r="DA136" s="21" t="n">
        <v>392.652</v>
      </c>
      <c r="DB136" s="21" t="n">
        <v>242.664</v>
      </c>
      <c r="DC136" s="21" t="n">
        <v>215.361</v>
      </c>
      <c r="DD136" s="21" t="n">
        <v>206.162</v>
      </c>
      <c r="DE136" s="21" t="n">
        <v>266.385</v>
      </c>
      <c r="DF136" s="21" t="n">
        <v>299.718</v>
      </c>
      <c r="DG136" s="21" t="n">
        <v>231.268</v>
      </c>
      <c r="DH136" s="21" t="n">
        <v>283.594</v>
      </c>
      <c r="DI136" s="21" t="n">
        <v>213.384</v>
      </c>
      <c r="DJ136" s="21" t="n">
        <v>222.634</v>
      </c>
      <c r="DK136" s="21" t="n">
        <v>209.394</v>
      </c>
      <c r="DL136" s="21" t="n">
        <v>180.847</v>
      </c>
      <c r="DM136" s="21" t="n">
        <v>452.437</v>
      </c>
      <c r="DN136" s="21" t="n">
        <v>250.017</v>
      </c>
      <c r="DO136" s="21" t="n">
        <v>354.888</v>
      </c>
      <c r="DP136" s="21" t="n">
        <v>424.069</v>
      </c>
      <c r="DQ136" s="21" t="n">
        <v>442.705</v>
      </c>
      <c r="DR136" s="21" t="n">
        <v>190.287</v>
      </c>
      <c r="DS136" s="21" t="n">
        <v>681.484</v>
      </c>
      <c r="DT136" s="21" t="n">
        <v>385.793</v>
      </c>
      <c r="DU136" s="21" t="n">
        <v>437.051</v>
      </c>
      <c r="DV136" s="21" t="n">
        <v>437.024</v>
      </c>
      <c r="DW136" s="21" t="n">
        <v>346.107</v>
      </c>
      <c r="DX136" s="21" t="n">
        <v>290.8</v>
      </c>
      <c r="DY136" s="21" t="n">
        <v>442.713</v>
      </c>
      <c r="DZ136" s="21" t="n">
        <v>501.632</v>
      </c>
      <c r="EA136" s="21" t="n">
        <v>410.529</v>
      </c>
      <c r="EB136" s="21" t="n">
        <v>294.541</v>
      </c>
      <c r="EC136" s="21" t="n">
        <v>300.545</v>
      </c>
      <c r="ED136" s="21" t="n">
        <v>270.121</v>
      </c>
      <c r="EE136" s="21" t="n">
        <v>328.792</v>
      </c>
      <c r="EF136" s="21" t="n">
        <v>754.99</v>
      </c>
      <c r="EG136" s="21" t="n">
        <v>667.754</v>
      </c>
      <c r="EH136" s="21" t="n">
        <v>155.176</v>
      </c>
      <c r="EI136" s="21" t="n">
        <v>63.42</v>
      </c>
      <c r="EJ136" s="21" t="n">
        <v>87.52</v>
      </c>
      <c r="EK136" s="21" t="n">
        <v>42.235</v>
      </c>
      <c r="EL136" s="21" t="n">
        <v>134.842</v>
      </c>
      <c r="EM136" s="21" t="n">
        <v>78.148</v>
      </c>
      <c r="EN136" s="21" t="n">
        <v>84.09</v>
      </c>
      <c r="EO136" s="21" t="n">
        <v>86.57299999999999</v>
      </c>
      <c r="EP136" s="21" t="n">
        <v>104.418</v>
      </c>
      <c r="EQ136" s="21" t="n">
        <v>74.503</v>
      </c>
      <c r="ER136" s="21" t="n">
        <v>56.396</v>
      </c>
      <c r="ES136" s="21" t="n">
        <v>172.317</v>
      </c>
      <c r="ET136" s="21" t="n">
        <v>85.983</v>
      </c>
      <c r="EU136" s="21" t="n">
        <v>117.813</v>
      </c>
      <c r="EV136" s="21" t="n">
        <v>130.781</v>
      </c>
      <c r="EW136" s="21" t="n">
        <v>111.852</v>
      </c>
      <c r="EX136" s="21" t="n">
        <v>241.351</v>
      </c>
      <c r="EY136" s="21" t="n">
        <v>153.443</v>
      </c>
      <c r="EZ136" s="21" t="n">
        <v>144.641</v>
      </c>
      <c r="FA136" s="21" t="n">
        <v>203.205</v>
      </c>
      <c r="FB136" s="21" t="n">
        <v>135.804</v>
      </c>
      <c r="FC136" s="21" t="n">
        <v>131.413</v>
      </c>
      <c r="FD136" s="21" t="n">
        <v>134.248</v>
      </c>
      <c r="FE136" s="21" t="n">
        <v>95.637</v>
      </c>
      <c r="FF136" s="21" t="n">
        <v>191.481</v>
      </c>
      <c r="FG136" s="21" t="n">
        <v>83.004</v>
      </c>
      <c r="FH136" s="21" t="n">
        <v>141.933</v>
      </c>
      <c r="FI136" s="21" t="n">
        <v>119.827</v>
      </c>
      <c r="FJ136" s="21" t="n">
        <v>113.717</v>
      </c>
      <c r="FK136" s="21" t="n">
        <v>115.29</v>
      </c>
      <c r="FL136" s="21" t="n">
        <v>104.813</v>
      </c>
      <c r="FM136" s="21" t="n">
        <v>115.359</v>
      </c>
      <c r="FN136" s="21" t="n">
        <v>77.40000000000001</v>
      </c>
      <c r="FO136" s="21" t="n">
        <v>117.831</v>
      </c>
      <c r="FP136" s="21" t="n">
        <v>107.1</v>
      </c>
      <c r="FQ136" s="21" t="n">
        <v>148.731</v>
      </c>
      <c r="FR136" s="21" t="n">
        <v>154.075</v>
      </c>
      <c r="FS136" s="21" t="n">
        <v>167.701</v>
      </c>
      <c r="FT136" s="21" t="n">
        <v>136.01</v>
      </c>
      <c r="FU136" s="21" t="n">
        <v>125.576</v>
      </c>
      <c r="FV136" s="21" t="n">
        <v>222.637</v>
      </c>
      <c r="FW136" s="21" t="n">
        <v>173.707</v>
      </c>
      <c r="FX136" s="21" t="n">
        <v>222.769</v>
      </c>
      <c r="FY136" s="21" t="n">
        <v>285.48</v>
      </c>
      <c r="FZ136" s="21" t="n">
        <v>284.573</v>
      </c>
      <c r="GA136" s="21" t="n">
        <v>124.905</v>
      </c>
      <c r="GB136" s="21" t="n">
        <v>179.465</v>
      </c>
      <c r="GC136" s="21" t="n"/>
      <c r="GD136" s="21" t="n">
        <v>175.597</v>
      </c>
      <c r="GE136" s="21" t="n">
        <v>191.291</v>
      </c>
      <c r="GF136" s="21" t="n"/>
      <c r="GG136" s="21" t="n">
        <v>179.83</v>
      </c>
      <c r="GH136" s="21" t="n">
        <v>113.054</v>
      </c>
      <c r="GI136" s="21" t="n">
        <v>165.59</v>
      </c>
      <c r="GJ136" s="21" t="n">
        <v>337.686</v>
      </c>
      <c r="GK136" s="21" t="n">
        <v>335.5</v>
      </c>
      <c r="GL136" s="21" t="n">
        <v>327.563</v>
      </c>
      <c r="GM136" s="21" t="n">
        <v>368.885</v>
      </c>
      <c r="GN136" s="21" t="n">
        <v>364.202</v>
      </c>
      <c r="GO136" s="21" t="n">
        <v>351.126</v>
      </c>
      <c r="GP136" s="21" t="n">
        <v>189.059</v>
      </c>
      <c r="GQ136" s="21" t="n">
        <v>160.468</v>
      </c>
      <c r="GR136" s="21" t="n">
        <v>449.675</v>
      </c>
      <c r="GS136" s="21" t="n">
        <v>300.611</v>
      </c>
      <c r="GT136" s="21" t="n">
        <v>890.1130000000001</v>
      </c>
      <c r="GU136" s="21" t="n">
        <v>245.788</v>
      </c>
      <c r="GV136" s="21" t="n">
        <v>295.134</v>
      </c>
      <c r="GW136" s="21" t="n">
        <v>282.916</v>
      </c>
      <c r="GX136" s="21" t="n">
        <v>291.073</v>
      </c>
      <c r="GY136" s="21" t="n">
        <v>155.905</v>
      </c>
      <c r="GZ136" s="21" t="n"/>
      <c r="HA136" s="21" t="n">
        <v>62.535</v>
      </c>
      <c r="HB136" s="21" t="n">
        <v>591.587</v>
      </c>
      <c r="HC136" s="21" t="n">
        <v>414.032</v>
      </c>
      <c r="HD136" s="21" t="n">
        <v>135.004</v>
      </c>
      <c r="HE136" s="21" t="n">
        <v>560.172</v>
      </c>
      <c r="HF136" s="21" t="n">
        <v>110.319</v>
      </c>
      <c r="HG136" s="21" t="n">
        <v>648.9450000000001</v>
      </c>
      <c r="HH136" s="21" t="n">
        <v>453.288</v>
      </c>
      <c r="HI136" s="21" t="n">
        <v>437.338</v>
      </c>
      <c r="HJ136" s="21" t="n">
        <v>646.881</v>
      </c>
      <c r="HK136" s="21" t="n">
        <v>217.973</v>
      </c>
      <c r="HL136" s="21" t="n"/>
      <c r="HM136" s="21" t="n">
        <v>108.961</v>
      </c>
      <c r="HN136" s="21" t="n">
        <v>454.881</v>
      </c>
      <c r="HO136" s="21" t="n">
        <v>439.558</v>
      </c>
      <c r="HP136" s="21" t="n">
        <v>997.686</v>
      </c>
      <c r="HQ136" s="21" t="n">
        <v>312.824</v>
      </c>
      <c r="HR136" s="21" t="n">
        <v>143.591</v>
      </c>
      <c r="HS136" s="21" t="n">
        <v>121.643</v>
      </c>
      <c r="HT136" s="21" t="n">
        <v>93.18899999999999</v>
      </c>
      <c r="HU136" s="21" t="n">
        <v>596.067</v>
      </c>
      <c r="HV136" s="21" t="n">
        <v>107.528</v>
      </c>
      <c r="HW136" s="21" t="n">
        <v>27.824</v>
      </c>
      <c r="HX136" s="21" t="n">
        <v>235.502</v>
      </c>
      <c r="HY136" s="21" t="n">
        <v>246.246</v>
      </c>
      <c r="HZ136" s="21" t="n">
        <v>194.383</v>
      </c>
      <c r="IA136" s="21" t="n">
        <v>134.986</v>
      </c>
      <c r="IB136" s="21" t="n">
        <v>376.497</v>
      </c>
      <c r="IC136" s="21" t="n">
        <v>278.096</v>
      </c>
      <c r="ID136" s="21" t="n">
        <v>411.322</v>
      </c>
      <c r="IE136" s="21" t="n">
        <v>124.47</v>
      </c>
      <c r="IF136" s="21" t="n">
        <v>169.597</v>
      </c>
      <c r="IG136" s="21" t="n">
        <v>86.289</v>
      </c>
      <c r="IH136" s="21" t="n">
        <v>89.182</v>
      </c>
      <c r="II136" s="21" t="n">
        <v>76.461</v>
      </c>
      <c r="IJ136" s="21" t="n">
        <v>31.282</v>
      </c>
      <c r="IK136" s="21" t="n">
        <v>33.559</v>
      </c>
      <c r="IL136" s="21" t="n">
        <v>28.174</v>
      </c>
      <c r="IM136" s="21" t="n">
        <v>37.579</v>
      </c>
      <c r="IN136" s="21" t="n">
        <v>104.747</v>
      </c>
      <c r="IO136" s="21" t="n">
        <v>131.045</v>
      </c>
      <c r="IP136" s="21" t="n">
        <v>211.146</v>
      </c>
      <c r="IQ136" s="21" t="n">
        <v>167.047</v>
      </c>
      <c r="IR136" s="21" t="n">
        <v>497.839</v>
      </c>
      <c r="IS136" s="21" t="n">
        <v>245.513</v>
      </c>
      <c r="IT136" s="21" t="n">
        <v>249.965</v>
      </c>
      <c r="IU136" s="21" t="n">
        <v>419.833</v>
      </c>
      <c r="IV136" s="21" t="n">
        <v>293.708</v>
      </c>
      <c r="IW136" s="21" t="n">
        <v>146.909</v>
      </c>
      <c r="IX136" s="21" t="n">
        <v>316.143</v>
      </c>
      <c r="IY136" s="21" t="n">
        <v>766.838</v>
      </c>
      <c r="IZ136" s="21" t="n">
        <v>909.5119999999999</v>
      </c>
      <c r="JA136" s="21" t="n">
        <v>970.417</v>
      </c>
      <c r="JB136" s="21" t="n">
        <v>105.083</v>
      </c>
      <c r="JC136" s="21" t="n">
        <v>396.624</v>
      </c>
      <c r="JD136" s="21" t="n">
        <v>283.972</v>
      </c>
      <c r="JE136" s="21" t="n">
        <v>71.919</v>
      </c>
      <c r="JF136" s="21" t="n">
        <v>262.095</v>
      </c>
      <c r="JG136" s="21" t="n">
        <v>406.002</v>
      </c>
      <c r="JH136" s="21" t="n">
        <v>499.212</v>
      </c>
      <c r="JI136" s="21" t="n">
        <v>67.506</v>
      </c>
      <c r="JJ136" s="21" t="n">
        <v>99.898</v>
      </c>
      <c r="JK136" s="21" t="n">
        <v>35.293</v>
      </c>
      <c r="JL136" s="21" t="n">
        <v>88.127</v>
      </c>
      <c r="JM136" s="21" t="n">
        <v>86.211</v>
      </c>
      <c r="JN136" s="21" t="n">
        <v>595.83</v>
      </c>
      <c r="JO136" s="21" t="n">
        <v>109.176</v>
      </c>
      <c r="JP136" s="21" t="n">
        <v>734.033</v>
      </c>
      <c r="JQ136" s="21" t="n">
        <v>297.683</v>
      </c>
      <c r="JR136" s="21" t="n">
        <v>183.461</v>
      </c>
      <c r="JS136" s="21" t="n">
        <v>589.543</v>
      </c>
      <c r="JT136" s="21" t="n"/>
      <c r="JU136" s="21" t="n">
        <v>416.759</v>
      </c>
      <c r="JV136" s="21" t="n">
        <v>249.156</v>
      </c>
      <c r="JW136" s="21" t="n">
        <v>411.096</v>
      </c>
      <c r="JX136" s="21" t="n">
        <v>309.873</v>
      </c>
      <c r="JY136" s="21" t="n">
        <v>90.43899999999999</v>
      </c>
      <c r="JZ136" s="21" t="n">
        <v>207.188</v>
      </c>
      <c r="KA136" s="21" t="n">
        <v>317.676</v>
      </c>
      <c r="KB136" s="21" t="n">
        <v>335.079</v>
      </c>
      <c r="KC136" s="21" t="n">
        <v>327.749</v>
      </c>
      <c r="KD136" s="21" t="n">
        <v>334.165</v>
      </c>
      <c r="KE136" s="21" t="n">
        <v>297.209</v>
      </c>
      <c r="KF136" s="21" t="n">
        <v>285.093</v>
      </c>
      <c r="KG136" s="21" t="n">
        <v>284.359</v>
      </c>
      <c r="KH136" s="21" t="n">
        <v>290.576</v>
      </c>
      <c r="KI136" s="21" t="n">
        <v>127.987</v>
      </c>
      <c r="KJ136" s="21" t="n">
        <v>232.001</v>
      </c>
      <c r="KK136" s="21" t="n">
        <v>184.266</v>
      </c>
      <c r="KL136" s="21" t="n">
        <v>180.348</v>
      </c>
      <c r="KM136" s="21" t="n">
        <v>167.71</v>
      </c>
      <c r="KN136" s="21" t="n">
        <v>166.628</v>
      </c>
      <c r="KO136" s="21" t="n">
        <v>327.969</v>
      </c>
      <c r="KP136" s="21" t="n">
        <v>122.992</v>
      </c>
      <c r="KQ136" s="21" t="n">
        <v>49.992</v>
      </c>
      <c r="KR136" s="21" t="n">
        <v>125.588</v>
      </c>
      <c r="KS136" s="21" t="n">
        <v>314.019</v>
      </c>
      <c r="KT136" s="21" t="n">
        <v>345.211</v>
      </c>
      <c r="KU136" s="21" t="n">
        <v>109.616</v>
      </c>
      <c r="KV136" s="21" t="n">
        <v>33.809</v>
      </c>
      <c r="KW136" s="21" t="n">
        <v>291.871</v>
      </c>
      <c r="KX136" s="21" t="n">
        <v>245.788</v>
      </c>
      <c r="KY136" s="21" t="n">
        <v>311.409</v>
      </c>
      <c r="KZ136" s="21" t="n">
        <v>242.435</v>
      </c>
      <c r="LA136" s="21" t="n">
        <v>314.298</v>
      </c>
      <c r="LB136" s="21" t="n">
        <v>149.258</v>
      </c>
      <c r="LC136" s="21" t="n">
        <v>432.559</v>
      </c>
      <c r="LD136" s="21" t="n">
        <v>85.44499999999999</v>
      </c>
      <c r="LE136" s="21" t="n">
        <v>158.016</v>
      </c>
      <c r="LF136" s="21" t="n">
        <v>442.805</v>
      </c>
      <c r="LG136" s="21" t="n">
        <v>427.279</v>
      </c>
      <c r="LH136" s="21" t="n">
        <v>440.951</v>
      </c>
      <c r="LI136" s="21" t="n">
        <v>410.206</v>
      </c>
      <c r="LJ136" s="21" t="n">
        <v>441.793</v>
      </c>
      <c r="LK136" s="21" t="n">
        <v>130.853</v>
      </c>
      <c r="LL136" s="21" t="n">
        <v>459.912</v>
      </c>
      <c r="LM136" s="21" t="n">
        <v>275.991</v>
      </c>
      <c r="LN136" s="21" t="n">
        <v>32.771</v>
      </c>
      <c r="LO136" s="21" t="n">
        <v>159.94</v>
      </c>
    </row>
    <row r="137">
      <c r="A137" s="22" t="n">
        <v>46113</v>
      </c>
      <c r="B137" s="21" t="n">
        <v>332.407</v>
      </c>
      <c r="C137" s="21" t="n">
        <v>345.197</v>
      </c>
      <c r="D137" s="21" t="n">
        <v>348.349</v>
      </c>
      <c r="E137" s="21" t="n">
        <v>320.633</v>
      </c>
      <c r="F137" s="21" t="n">
        <v>365.556</v>
      </c>
      <c r="G137" s="21" t="n">
        <v>289.879</v>
      </c>
      <c r="H137" s="21" t="n">
        <v>318.929</v>
      </c>
      <c r="I137" s="21" t="n">
        <v>284.219</v>
      </c>
      <c r="J137" s="21" t="n">
        <v>293.622</v>
      </c>
      <c r="K137" s="21" t="n">
        <v>409.715</v>
      </c>
      <c r="L137" s="21" t="n">
        <v>250.212</v>
      </c>
      <c r="M137" s="21" t="n">
        <v>237.123</v>
      </c>
      <c r="N137" s="21" t="n">
        <v>395.62</v>
      </c>
      <c r="O137" s="21" t="n">
        <v>373.429</v>
      </c>
      <c r="P137" s="21" t="n">
        <v>359.787</v>
      </c>
      <c r="Q137" s="21" t="n">
        <v>431.521</v>
      </c>
      <c r="R137" s="21" t="n">
        <v>337.074</v>
      </c>
      <c r="S137" s="21" t="n">
        <v>350.252</v>
      </c>
      <c r="T137" s="21" t="n">
        <v>359.083</v>
      </c>
      <c r="U137" s="21" t="n">
        <v>379.131</v>
      </c>
      <c r="V137" s="21" t="n">
        <v>523.438</v>
      </c>
      <c r="W137" s="21" t="n">
        <v>447.694</v>
      </c>
      <c r="X137" s="21" t="n">
        <v>436.035</v>
      </c>
      <c r="Y137" s="21" t="n">
        <v>352.21</v>
      </c>
      <c r="Z137" s="21" t="n">
        <v>275.815</v>
      </c>
      <c r="AA137" s="21" t="n">
        <v>207.215</v>
      </c>
      <c r="AB137" s="21" t="n">
        <v>389.62</v>
      </c>
      <c r="AC137" s="21" t="n">
        <v>189.174</v>
      </c>
      <c r="AD137" s="21" t="n">
        <v>255.449</v>
      </c>
      <c r="AE137" s="21" t="n">
        <v>283.269</v>
      </c>
      <c r="AF137" s="21" t="n">
        <v>251.813</v>
      </c>
      <c r="AG137" s="21" t="n">
        <v>164.745</v>
      </c>
      <c r="AH137" s="21" t="n">
        <v>298.198</v>
      </c>
      <c r="AI137" s="21" t="n">
        <v>320.69</v>
      </c>
      <c r="AJ137" s="21" t="n">
        <v>188.326</v>
      </c>
      <c r="AK137" s="21" t="n">
        <v>313.385</v>
      </c>
      <c r="AL137" s="21" t="n">
        <v>198</v>
      </c>
      <c r="AM137" s="21" t="n">
        <v>325.868</v>
      </c>
      <c r="AN137" s="21" t="n">
        <v>296.949</v>
      </c>
      <c r="AO137" s="21" t="n">
        <v>218.02</v>
      </c>
      <c r="AP137" s="21" t="n">
        <v>374.201</v>
      </c>
      <c r="AQ137" s="21" t="n">
        <v>235.082</v>
      </c>
      <c r="AR137" s="21" t="n">
        <v>186.122</v>
      </c>
      <c r="AS137" s="21" t="n">
        <v>259.356</v>
      </c>
      <c r="AT137" s="21" t="n">
        <v>422.729</v>
      </c>
      <c r="AU137" s="21" t="n">
        <v>262.508</v>
      </c>
      <c r="AV137" s="21" t="n">
        <v>270.164</v>
      </c>
      <c r="AW137" s="21" t="n">
        <v>181.345</v>
      </c>
      <c r="AX137" s="21" t="n">
        <v>256.675</v>
      </c>
      <c r="AY137" s="21" t="n">
        <v>188.92</v>
      </c>
      <c r="AZ137" s="21" t="n">
        <v>259.552</v>
      </c>
      <c r="BA137" s="21" t="n">
        <v>277.702</v>
      </c>
      <c r="BB137" s="21" t="n">
        <v>191.122</v>
      </c>
      <c r="BC137" s="21" t="n">
        <v>371.403</v>
      </c>
      <c r="BD137" s="21" t="n">
        <v>420.086</v>
      </c>
      <c r="BE137" s="21" t="n">
        <v>422.16</v>
      </c>
      <c r="BF137" s="21" t="n">
        <v>366.776</v>
      </c>
      <c r="BG137" s="21" t="n">
        <v>218.318</v>
      </c>
      <c r="BH137" s="21" t="n">
        <v>307.632</v>
      </c>
      <c r="BI137" s="21" t="n">
        <v>600.832</v>
      </c>
      <c r="BJ137" s="21" t="n">
        <v>143.392</v>
      </c>
      <c r="BK137" s="21" t="n">
        <v>416.385</v>
      </c>
      <c r="BL137" s="21" t="n">
        <v>410.528</v>
      </c>
      <c r="BM137" s="21" t="n">
        <v>422.392</v>
      </c>
      <c r="BN137" s="21" t="n">
        <v>479.64</v>
      </c>
      <c r="BO137" s="21" t="n">
        <v>406.52</v>
      </c>
      <c r="BP137" s="21" t="n">
        <v>210.659</v>
      </c>
      <c r="BQ137" s="21" t="n">
        <v>232.708</v>
      </c>
      <c r="BR137" s="21" t="n">
        <v>224.007</v>
      </c>
      <c r="BS137" s="21" t="n">
        <v>246.489</v>
      </c>
      <c r="BT137" s="21" t="n">
        <v>187.074</v>
      </c>
      <c r="BU137" s="21" t="n">
        <v>261.224</v>
      </c>
      <c r="BV137" s="21" t="n">
        <v>199.855</v>
      </c>
      <c r="BW137" s="21" t="n">
        <v>238.183</v>
      </c>
      <c r="BX137" s="21" t="n">
        <v>183.855</v>
      </c>
      <c r="BY137" s="21" t="n">
        <v>239.939</v>
      </c>
      <c r="BZ137" s="21" t="n">
        <v>161.341</v>
      </c>
      <c r="CA137" s="21" t="n">
        <v>166.161</v>
      </c>
      <c r="CB137" s="21" t="n">
        <v>302.396</v>
      </c>
      <c r="CC137" s="21" t="n">
        <v>313.688</v>
      </c>
      <c r="CD137" s="21" t="n">
        <v>163.876</v>
      </c>
      <c r="CE137" s="21" t="n">
        <v>281.476</v>
      </c>
      <c r="CF137" s="21" t="n">
        <v>318.548</v>
      </c>
      <c r="CG137" s="21" t="n">
        <v>275.796</v>
      </c>
      <c r="CH137" s="21" t="n">
        <v>223.328</v>
      </c>
      <c r="CI137" s="21" t="n">
        <v>199.29</v>
      </c>
      <c r="CJ137" s="21" t="n">
        <v>311.768</v>
      </c>
      <c r="CK137" s="21" t="n">
        <v>265.51</v>
      </c>
      <c r="CL137" s="21" t="n">
        <v>300.396</v>
      </c>
      <c r="CM137" s="21" t="n">
        <v>452.466</v>
      </c>
      <c r="CN137" s="21" t="n">
        <v>175.303</v>
      </c>
      <c r="CO137" s="21" t="n">
        <v>222.531</v>
      </c>
      <c r="CP137" s="21" t="n">
        <v>294.334</v>
      </c>
      <c r="CQ137" s="21" t="n">
        <v>323.95</v>
      </c>
      <c r="CR137" s="21" t="n">
        <v>212.515</v>
      </c>
      <c r="CS137" s="21" t="n">
        <v>313.995</v>
      </c>
      <c r="CT137" s="21" t="n">
        <v>326.123</v>
      </c>
      <c r="CU137" s="21" t="n">
        <v>195.336</v>
      </c>
      <c r="CV137" s="21" t="n">
        <v>201.652</v>
      </c>
      <c r="CW137" s="21" t="n">
        <v>191.447</v>
      </c>
      <c r="CX137" s="21" t="n">
        <v>406.686</v>
      </c>
      <c r="CY137" s="21" t="n">
        <v>178.334</v>
      </c>
      <c r="CZ137" s="21" t="n">
        <v>163.328</v>
      </c>
      <c r="DA137" s="21" t="n">
        <v>393.546</v>
      </c>
      <c r="DB137" s="21" t="n">
        <v>242.927</v>
      </c>
      <c r="DC137" s="21" t="n">
        <v>215.796</v>
      </c>
      <c r="DD137" s="21" t="n"/>
      <c r="DE137" s="21" t="n">
        <v>266.153</v>
      </c>
      <c r="DF137" s="21" t="n">
        <v>300.555</v>
      </c>
      <c r="DG137" s="21" t="n">
        <v>231.43</v>
      </c>
      <c r="DH137" s="21" t="n">
        <v>284.549</v>
      </c>
      <c r="DI137" s="21" t="n">
        <v>213.141</v>
      </c>
      <c r="DJ137" s="21" t="n">
        <v>221.824</v>
      </c>
      <c r="DK137" s="21" t="n">
        <v>209.226</v>
      </c>
      <c r="DL137" s="21" t="n">
        <v>180.305</v>
      </c>
      <c r="DM137" s="21" t="n">
        <v>454.905</v>
      </c>
      <c r="DN137" s="21" t="n">
        <v>252.346</v>
      </c>
      <c r="DO137" s="21" t="n">
        <v>357.366</v>
      </c>
      <c r="DP137" s="21" t="n">
        <v>426.642</v>
      </c>
      <c r="DQ137" s="21" t="n">
        <v>445.118</v>
      </c>
      <c r="DR137" s="21" t="n">
        <v>194.934</v>
      </c>
      <c r="DS137" s="21" t="n">
        <v>683.276</v>
      </c>
      <c r="DT137" s="21" t="n">
        <v>396.784</v>
      </c>
      <c r="DU137" s="21" t="n">
        <v>439.379</v>
      </c>
      <c r="DV137" s="21" t="n">
        <v>439.341</v>
      </c>
      <c r="DW137" s="21" t="n">
        <v>350.875</v>
      </c>
      <c r="DX137" s="21" t="n">
        <v>295.893</v>
      </c>
      <c r="DY137" s="21" t="n">
        <v>461.805</v>
      </c>
      <c r="DZ137" s="21" t="n">
        <v>530.977</v>
      </c>
      <c r="EA137" s="21" t="n">
        <v>417.398</v>
      </c>
      <c r="EB137" s="21" t="n">
        <v>299.312</v>
      </c>
      <c r="EC137" s="21" t="n">
        <v>306.977</v>
      </c>
      <c r="ED137" s="21" t="n">
        <v>269.92</v>
      </c>
      <c r="EE137" s="21" t="n">
        <v>329.651</v>
      </c>
      <c r="EF137" s="21" t="n">
        <v>756.792</v>
      </c>
      <c r="EG137" s="21" t="n">
        <v>669.83</v>
      </c>
      <c r="EH137" s="21" t="n">
        <v>156.308</v>
      </c>
      <c r="EI137" s="21" t="n">
        <v>62.359</v>
      </c>
      <c r="EJ137" s="21" t="n">
        <v>88.349</v>
      </c>
      <c r="EK137" s="21" t="n">
        <v>41.163</v>
      </c>
      <c r="EL137" s="21" t="n">
        <v>134.373</v>
      </c>
      <c r="EM137" s="21" t="n">
        <v>76.974</v>
      </c>
      <c r="EN137" s="21" t="n">
        <v>83.771</v>
      </c>
      <c r="EO137" s="21" t="n">
        <v>86.645</v>
      </c>
      <c r="EP137" s="21" t="n">
        <v>106.02</v>
      </c>
      <c r="EQ137" s="21" t="n">
        <v>74.369</v>
      </c>
      <c r="ER137" s="21" t="n">
        <v>56.59</v>
      </c>
      <c r="ES137" s="21" t="n">
        <v>171.231</v>
      </c>
      <c r="ET137" s="21" t="n">
        <v>86.899</v>
      </c>
      <c r="EU137" s="21" t="n">
        <v>116.895</v>
      </c>
      <c r="EV137" s="21" t="n">
        <v>129.319</v>
      </c>
      <c r="EW137" s="21" t="n">
        <v>111.104</v>
      </c>
      <c r="EX137" s="21" t="n">
        <v>241.129</v>
      </c>
      <c r="EY137" s="21" t="n">
        <v>152.377</v>
      </c>
      <c r="EZ137" s="21" t="n">
        <v>144.348</v>
      </c>
      <c r="FA137" s="21" t="n">
        <v>200.165</v>
      </c>
      <c r="FB137" s="21" t="n">
        <v>136.67</v>
      </c>
      <c r="FC137" s="21" t="n">
        <v>131.896</v>
      </c>
      <c r="FD137" s="21" t="n">
        <v>134.431</v>
      </c>
      <c r="FE137" s="21" t="n">
        <v>93.72199999999999</v>
      </c>
      <c r="FF137" s="21" t="n">
        <v>193.541</v>
      </c>
      <c r="FG137" s="21" t="n">
        <v>86.083</v>
      </c>
      <c r="FH137" s="21" t="n">
        <v>139.12</v>
      </c>
      <c r="FI137" s="21" t="n">
        <v>120.339</v>
      </c>
      <c r="FJ137" s="21" t="n">
        <v>113.846</v>
      </c>
      <c r="FK137" s="21" t="n">
        <v>115.287</v>
      </c>
      <c r="FL137" s="21" t="n">
        <v>107.144</v>
      </c>
      <c r="FM137" s="21" t="n">
        <v>111.538</v>
      </c>
      <c r="FN137" s="21" t="n">
        <v>77.22</v>
      </c>
      <c r="FO137" s="21" t="n">
        <v>118.285</v>
      </c>
      <c r="FP137" s="21" t="n">
        <v>107.928</v>
      </c>
      <c r="FQ137" s="21" t="n">
        <v>150.8</v>
      </c>
      <c r="FR137" s="21" t="n">
        <v>156.478</v>
      </c>
      <c r="FS137" s="21" t="n">
        <v>168.35</v>
      </c>
      <c r="FT137" s="21" t="n">
        <v>137.963</v>
      </c>
      <c r="FU137" s="21" t="n">
        <v>123.961</v>
      </c>
      <c r="FV137" s="21" t="n">
        <v>229.542</v>
      </c>
      <c r="FW137" s="21" t="n">
        <v>173.875</v>
      </c>
      <c r="FX137" s="21" t="n">
        <v>231.014</v>
      </c>
      <c r="FY137" s="21" t="n">
        <v>289.301</v>
      </c>
      <c r="FZ137" s="21" t="n">
        <v>288.3</v>
      </c>
      <c r="GA137" s="21" t="n">
        <v>124.701</v>
      </c>
      <c r="GB137" s="21" t="n">
        <v>179.174</v>
      </c>
      <c r="GC137" s="21" t="n"/>
      <c r="GD137" s="21" t="n">
        <v>175.22</v>
      </c>
      <c r="GE137" s="21" t="n">
        <v>190.987</v>
      </c>
      <c r="GF137" s="21" t="n"/>
      <c r="GG137" s="21" t="n">
        <v>179.822</v>
      </c>
      <c r="GH137" s="21" t="n">
        <v>113.111</v>
      </c>
      <c r="GI137" s="21" t="n">
        <v>159.393</v>
      </c>
      <c r="GJ137" s="21" t="n">
        <v>356.866</v>
      </c>
      <c r="GK137" s="21" t="n">
        <v>353.74</v>
      </c>
      <c r="GL137" s="21" t="n">
        <v>346.051</v>
      </c>
      <c r="GM137" s="21" t="n">
        <v>387.571</v>
      </c>
      <c r="GN137" s="21" t="n">
        <v>380.689</v>
      </c>
      <c r="GO137" s="21" t="n">
        <v>410.746</v>
      </c>
      <c r="GP137" s="21" t="n">
        <v>188.642</v>
      </c>
      <c r="GQ137" s="21" t="n">
        <v>160.087</v>
      </c>
      <c r="GR137" s="21" t="n">
        <v>448.821</v>
      </c>
      <c r="GS137" s="21" t="n">
        <v>298.065</v>
      </c>
      <c r="GT137" s="21" t="n">
        <v>891.373</v>
      </c>
      <c r="GU137" s="21" t="n">
        <v>244.807</v>
      </c>
      <c r="GV137" s="21" t="n">
        <v>295.207</v>
      </c>
      <c r="GW137" s="21" t="n">
        <v>287.487</v>
      </c>
      <c r="GX137" s="21" t="n">
        <v>299.267</v>
      </c>
      <c r="GY137" s="21" t="n">
        <v>155.607</v>
      </c>
      <c r="GZ137" s="21" t="n"/>
      <c r="HA137" s="21" t="n">
        <v>62.63</v>
      </c>
      <c r="HB137" s="21" t="n">
        <v>591.202</v>
      </c>
      <c r="HC137" s="21" t="n">
        <v>412.564</v>
      </c>
      <c r="HD137" s="21" t="n">
        <v>134.598</v>
      </c>
      <c r="HE137" s="21" t="n">
        <v>560.317</v>
      </c>
      <c r="HF137" s="21" t="n">
        <v>108.557</v>
      </c>
      <c r="HG137" s="21" t="n">
        <v>648.9160000000001</v>
      </c>
      <c r="HH137" s="21" t="n">
        <v>454.136</v>
      </c>
      <c r="HI137" s="21" t="n">
        <v>439.842</v>
      </c>
      <c r="HJ137" s="21" t="n">
        <v>645.227</v>
      </c>
      <c r="HK137" s="21" t="n">
        <v>218.999</v>
      </c>
      <c r="HL137" s="21" t="n">
        <v>278.472</v>
      </c>
      <c r="HM137" s="21" t="n">
        <v>108.687</v>
      </c>
      <c r="HN137" s="21" t="n">
        <v>453.638</v>
      </c>
      <c r="HO137" s="21" t="n"/>
      <c r="HP137" s="21" t="n">
        <v>1004.524</v>
      </c>
      <c r="HQ137" s="21" t="n">
        <v>312.37</v>
      </c>
      <c r="HR137" s="21" t="n">
        <v>143.701</v>
      </c>
      <c r="HS137" s="21" t="n">
        <v>122.649</v>
      </c>
      <c r="HT137" s="21" t="n">
        <v>94.3</v>
      </c>
      <c r="HU137" s="21" t="n">
        <v>602.02</v>
      </c>
      <c r="HV137" s="21" t="n">
        <v>104.894</v>
      </c>
      <c r="HW137" s="21" t="n">
        <v>27.866</v>
      </c>
      <c r="HX137" s="21" t="n">
        <v>235.225</v>
      </c>
      <c r="HY137" s="21" t="n">
        <v>245.84</v>
      </c>
      <c r="HZ137" s="21" t="n">
        <v>193.973</v>
      </c>
      <c r="IA137" s="21" t="n">
        <v>134.558</v>
      </c>
      <c r="IB137" s="21" t="n">
        <v>376.253</v>
      </c>
      <c r="IC137" s="21" t="n">
        <v>277.577</v>
      </c>
      <c r="ID137" s="21" t="n">
        <v>411.978</v>
      </c>
      <c r="IE137" s="21" t="n">
        <v>124.586</v>
      </c>
      <c r="IF137" s="21" t="n">
        <v>170.512</v>
      </c>
      <c r="IG137" s="21" t="n">
        <v>85.92700000000001</v>
      </c>
      <c r="IH137" s="21" t="n">
        <v>88.694</v>
      </c>
      <c r="II137" s="21" t="n">
        <v>75.34999999999999</v>
      </c>
      <c r="IJ137" s="21" t="n">
        <v>30.85</v>
      </c>
      <c r="IK137" s="21" t="n">
        <v>33.863</v>
      </c>
      <c r="IL137" s="21" t="n">
        <v>28.388</v>
      </c>
      <c r="IM137" s="21" t="n">
        <v>37.917</v>
      </c>
      <c r="IN137" s="21" t="n">
        <v>108.287</v>
      </c>
      <c r="IO137" s="21" t="n">
        <v>131.341</v>
      </c>
      <c r="IP137" s="21" t="n">
        <v>210.584</v>
      </c>
      <c r="IQ137" s="21" t="n">
        <v>166.79</v>
      </c>
      <c r="IR137" s="21" t="n">
        <v>496.209</v>
      </c>
      <c r="IS137" s="21" t="n">
        <v>246.508</v>
      </c>
      <c r="IT137" s="21" t="n">
        <v>241.47</v>
      </c>
      <c r="IU137" s="21" t="n">
        <v>418.85</v>
      </c>
      <c r="IV137" s="21" t="n">
        <v>288.201</v>
      </c>
      <c r="IW137" s="21" t="n">
        <v>146.902</v>
      </c>
      <c r="IX137" s="21" t="n">
        <v>316.817</v>
      </c>
      <c r="IY137" s="21" t="n"/>
      <c r="IZ137" s="21" t="n">
        <v>911.676</v>
      </c>
      <c r="JA137" s="21" t="n">
        <v>972.367</v>
      </c>
      <c r="JB137" s="21" t="n">
        <v>105.284</v>
      </c>
      <c r="JC137" s="21" t="n">
        <v>398.114</v>
      </c>
      <c r="JD137" s="21" t="n">
        <v>283.656</v>
      </c>
      <c r="JE137" s="21" t="n">
        <v>71.79000000000001</v>
      </c>
      <c r="JF137" s="21" t="n">
        <v>271.258</v>
      </c>
      <c r="JG137" s="21" t="n">
        <v>419.929</v>
      </c>
      <c r="JH137" s="21" t="n">
        <v>520.571</v>
      </c>
      <c r="JI137" s="21" t="n">
        <v>67.33499999999999</v>
      </c>
      <c r="JJ137" s="21" t="n">
        <v>99.39100000000001</v>
      </c>
      <c r="JK137" s="21" t="n">
        <v>35.601</v>
      </c>
      <c r="JL137" s="21" t="n">
        <v>86.86199999999999</v>
      </c>
      <c r="JM137" s="21" t="n">
        <v>86.354</v>
      </c>
      <c r="JN137" s="21" t="n">
        <v>599.9450000000001</v>
      </c>
      <c r="JO137" s="21" t="n">
        <v>109.696</v>
      </c>
      <c r="JP137" s="21" t="n">
        <v>736.347</v>
      </c>
      <c r="JQ137" s="21" t="n">
        <v>299.855</v>
      </c>
      <c r="JR137" s="21" t="n">
        <v>184.666</v>
      </c>
      <c r="JS137" s="21" t="n">
        <v>604.64</v>
      </c>
      <c r="JT137" s="21" t="n"/>
      <c r="JU137" s="21" t="n">
        <v>422.801</v>
      </c>
      <c r="JV137" s="21" t="n">
        <v>251.55</v>
      </c>
      <c r="JW137" s="21" t="n">
        <v>446.102</v>
      </c>
      <c r="JX137" s="21" t="n">
        <v>346.715</v>
      </c>
      <c r="JY137" s="21" t="n">
        <v>90.571</v>
      </c>
      <c r="JZ137" s="21" t="n">
        <v>211.227</v>
      </c>
      <c r="KA137" s="21" t="n">
        <v>319.913</v>
      </c>
      <c r="KB137" s="21" t="n">
        <v>336.403</v>
      </c>
      <c r="KC137" s="21" t="n">
        <v>329.917</v>
      </c>
      <c r="KD137" s="21" t="n">
        <v>335.423</v>
      </c>
      <c r="KE137" s="21" t="n">
        <v>299.165</v>
      </c>
      <c r="KF137" s="21" t="n">
        <v>287.086</v>
      </c>
      <c r="KG137" s="21" t="n">
        <v>284.905</v>
      </c>
      <c r="KH137" s="21" t="n">
        <v>291.171</v>
      </c>
      <c r="KI137" s="21" t="n">
        <v>128.5</v>
      </c>
      <c r="KJ137" s="21" t="n">
        <v>233.879</v>
      </c>
      <c r="KK137" s="21" t="n">
        <v>186.09</v>
      </c>
      <c r="KL137" s="21" t="n">
        <v>182.182</v>
      </c>
      <c r="KM137" s="21" t="n">
        <v>167.767</v>
      </c>
      <c r="KN137" s="21" t="n">
        <v>166.695</v>
      </c>
      <c r="KO137" s="21" t="n">
        <v>329.938</v>
      </c>
      <c r="KP137" s="21" t="n">
        <v>122.813</v>
      </c>
      <c r="KQ137" s="21" t="n">
        <v>50.262</v>
      </c>
      <c r="KR137" s="21" t="n">
        <v>125.473</v>
      </c>
      <c r="KS137" s="21" t="n">
        <v>325.978</v>
      </c>
      <c r="KT137" s="21" t="n">
        <v>364.617</v>
      </c>
      <c r="KU137" s="21" t="n">
        <v>109.073</v>
      </c>
      <c r="KV137" s="21" t="n">
        <v>34.026</v>
      </c>
      <c r="KW137" s="21" t="n">
        <v>296.052</v>
      </c>
      <c r="KX137" s="21" t="n">
        <v>252.458</v>
      </c>
      <c r="KY137" s="21" t="n">
        <v>321.23</v>
      </c>
      <c r="KZ137" s="21" t="n">
        <v>249.477</v>
      </c>
      <c r="LA137" s="21" t="n">
        <v>325.104</v>
      </c>
      <c r="LB137" s="21" t="n">
        <v>150.038</v>
      </c>
      <c r="LC137" s="21" t="n">
        <v>433.292</v>
      </c>
      <c r="LD137" s="21" t="n">
        <v>85.502</v>
      </c>
      <c r="LE137" s="21" t="n">
        <v>158.147</v>
      </c>
      <c r="LF137" s="21" t="n">
        <v>445.593</v>
      </c>
      <c r="LG137" s="21" t="n">
        <v>429.659</v>
      </c>
      <c r="LH137" s="21" t="n">
        <v>443.154</v>
      </c>
      <c r="LI137" s="21" t="n">
        <v>412.645</v>
      </c>
      <c r="LJ137" s="21" t="n">
        <v>443.493</v>
      </c>
      <c r="LK137" s="21" t="n">
        <v>130.724</v>
      </c>
      <c r="LL137" s="21" t="n">
        <v>461.434</v>
      </c>
      <c r="LM137" s="21" t="n">
        <v>278.813</v>
      </c>
      <c r="LN137" s="21" t="n">
        <v>32.874</v>
      </c>
      <c r="LO137" s="21" t="n">
        <v>161.538</v>
      </c>
    </row>
    <row r="138">
      <c r="A138" s="22" t="n">
        <v>46143</v>
      </c>
      <c r="B138" s="21" t="n">
        <v>333.979</v>
      </c>
      <c r="C138" s="21" t="n">
        <v>345.715</v>
      </c>
      <c r="D138" s="21" t="n">
        <v>348.892</v>
      </c>
      <c r="E138" s="21" t="n">
        <v>320.836</v>
      </c>
      <c r="F138" s="21" t="n">
        <v>366.904</v>
      </c>
      <c r="G138" s="21" t="n">
        <v>288.199</v>
      </c>
      <c r="H138" s="21" t="n">
        <v>327.064</v>
      </c>
      <c r="I138" s="21" t="n">
        <v>282.677</v>
      </c>
      <c r="J138" s="21" t="n">
        <v>290.118</v>
      </c>
      <c r="K138" s="21" t="n">
        <v>413.223</v>
      </c>
      <c r="L138" s="21" t="n">
        <v>248.403</v>
      </c>
      <c r="M138" s="21" t="n">
        <v>248.252</v>
      </c>
      <c r="N138" s="21" t="n">
        <v>394.037</v>
      </c>
      <c r="O138" s="21" t="n">
        <v>375.012</v>
      </c>
      <c r="P138" s="21" t="n">
        <v>363.342</v>
      </c>
      <c r="Q138" s="21" t="n">
        <v>434.976</v>
      </c>
      <c r="R138" s="21" t="n">
        <v>343.815</v>
      </c>
      <c r="S138" s="21" t="n">
        <v>349.716</v>
      </c>
      <c r="T138" s="21" t="n">
        <v>357.642</v>
      </c>
      <c r="U138" s="21" t="n">
        <v>374.891</v>
      </c>
      <c r="V138" s="21" t="n">
        <v>514.926</v>
      </c>
      <c r="W138" s="21" t="n">
        <v>442.02</v>
      </c>
      <c r="X138" s="21" t="n">
        <v>420.518</v>
      </c>
      <c r="Y138" s="21" t="n">
        <v>345.393</v>
      </c>
      <c r="Z138" s="21" t="n">
        <v>276.512</v>
      </c>
      <c r="AA138" s="21" t="n">
        <v>207.122</v>
      </c>
      <c r="AB138" s="21" t="n">
        <v>389.901</v>
      </c>
      <c r="AC138" s="21" t="n">
        <v>190.642</v>
      </c>
      <c r="AD138" s="21" t="n">
        <v>260.469</v>
      </c>
      <c r="AE138" s="21" t="n">
        <v>288.309</v>
      </c>
      <c r="AF138" s="21" t="n">
        <v>254.753</v>
      </c>
      <c r="AG138" s="21" t="n">
        <v>164.449</v>
      </c>
      <c r="AH138" s="21" t="n">
        <v>292.769</v>
      </c>
      <c r="AI138" s="21" t="n">
        <v>310.989</v>
      </c>
      <c r="AJ138" s="21" t="n">
        <v>185.522</v>
      </c>
      <c r="AK138" s="21" t="n">
        <v>315.169</v>
      </c>
      <c r="AL138" s="21" t="n">
        <v>197.843</v>
      </c>
      <c r="AM138" s="21" t="n">
        <v>324.873</v>
      </c>
      <c r="AN138" s="21" t="n">
        <v>297.74</v>
      </c>
      <c r="AO138" s="21" t="n">
        <v>223.251</v>
      </c>
      <c r="AP138" s="21" t="n">
        <v>378.696</v>
      </c>
      <c r="AQ138" s="21" t="n">
        <v>239.428</v>
      </c>
      <c r="AR138" s="21" t="n">
        <v>184.703</v>
      </c>
      <c r="AS138" s="21" t="n">
        <v>259.978</v>
      </c>
      <c r="AT138" s="21" t="n">
        <v>416.001</v>
      </c>
      <c r="AU138" s="21" t="n">
        <v>273.045</v>
      </c>
      <c r="AV138" s="21" t="n">
        <v>268.523</v>
      </c>
      <c r="AW138" s="21" t="n">
        <v>185.26</v>
      </c>
      <c r="AX138" s="21" t="n">
        <v>263.083</v>
      </c>
      <c r="AY138" s="21" t="n">
        <v>192.984</v>
      </c>
      <c r="AZ138" s="21" t="n">
        <v>252.01</v>
      </c>
      <c r="BA138" s="21" t="n">
        <v>277.791</v>
      </c>
      <c r="BB138" s="21" t="n">
        <v>190.529</v>
      </c>
      <c r="BC138" s="21" t="n">
        <v>372.158</v>
      </c>
      <c r="BD138" s="21" t="n">
        <v>421.354</v>
      </c>
      <c r="BE138" s="21" t="n">
        <v>422.657</v>
      </c>
      <c r="BF138" s="21" t="n">
        <v>375.465</v>
      </c>
      <c r="BG138" s="21" t="n">
        <v>214.35</v>
      </c>
      <c r="BH138" s="21" t="n">
        <v>307.126</v>
      </c>
      <c r="BI138" s="21" t="n">
        <v>598.687</v>
      </c>
      <c r="BJ138" s="21" t="n">
        <v>144.535</v>
      </c>
      <c r="BK138" s="21" t="n">
        <v>418.446</v>
      </c>
      <c r="BL138" s="21" t="n">
        <v>420.789</v>
      </c>
      <c r="BM138" s="21" t="n">
        <v>491.724</v>
      </c>
      <c r="BN138" s="21" t="n">
        <v>450.49</v>
      </c>
      <c r="BO138" s="21" t="n">
        <v>405.359</v>
      </c>
      <c r="BP138" s="21" t="n">
        <v>210.281</v>
      </c>
      <c r="BQ138" s="21" t="n">
        <v>232.801</v>
      </c>
      <c r="BR138" s="21" t="n">
        <v>225.049</v>
      </c>
      <c r="BS138" s="21" t="n">
        <v>247.431</v>
      </c>
      <c r="BT138" s="21" t="n">
        <v>185.478</v>
      </c>
      <c r="BU138" s="21" t="n">
        <v>255.844</v>
      </c>
      <c r="BV138" s="21" t="n">
        <v>198.358</v>
      </c>
      <c r="BW138" s="21" t="n">
        <v>239.566</v>
      </c>
      <c r="BX138" s="21" t="n">
        <v>184.356</v>
      </c>
      <c r="BY138" s="21" t="n">
        <v>241.002</v>
      </c>
      <c r="BZ138" s="21" t="n">
        <v>161.777</v>
      </c>
      <c r="CA138" s="21" t="n">
        <v>168.036</v>
      </c>
      <c r="CB138" s="21" t="n">
        <v>304.217</v>
      </c>
      <c r="CC138" s="21" t="n">
        <v>316.04</v>
      </c>
      <c r="CD138" s="21" t="n">
        <v>167.238</v>
      </c>
      <c r="CE138" s="21" t="n">
        <v>281.546</v>
      </c>
      <c r="CF138" s="21" t="n">
        <v>323.026</v>
      </c>
      <c r="CG138" s="21" t="n">
        <v>275.509</v>
      </c>
      <c r="CH138" s="21" t="n">
        <v>228.066</v>
      </c>
      <c r="CI138" s="21" t="n">
        <v>200.005</v>
      </c>
      <c r="CJ138" s="21" t="n">
        <v>304.182</v>
      </c>
      <c r="CK138" s="21" t="n">
        <v>259.694</v>
      </c>
      <c r="CL138" s="21" t="n">
        <v>294.005</v>
      </c>
      <c r="CM138" s="21" t="n">
        <v>441.867</v>
      </c>
      <c r="CN138" s="21" t="n">
        <v>166.766</v>
      </c>
      <c r="CO138" s="21" t="n">
        <v>220.233</v>
      </c>
      <c r="CP138" s="21" t="n">
        <v>294.576</v>
      </c>
      <c r="CQ138" s="21" t="n">
        <v>327.343</v>
      </c>
      <c r="CR138" s="21" t="n">
        <v>210.416</v>
      </c>
      <c r="CS138" s="21" t="n">
        <v>313.126</v>
      </c>
      <c r="CT138" s="21" t="n">
        <v>326.122</v>
      </c>
      <c r="CU138" s="21" t="n">
        <v>194.14</v>
      </c>
      <c r="CV138" s="21" t="n">
        <v>202.035</v>
      </c>
      <c r="CW138" s="21" t="n">
        <v>192.784</v>
      </c>
      <c r="CX138" s="21" t="n">
        <v>429.219</v>
      </c>
      <c r="CY138" s="21" t="n">
        <v>178.899</v>
      </c>
      <c r="CZ138" s="21" t="n">
        <v>163.917</v>
      </c>
      <c r="DA138" s="21" t="n">
        <v>394.728</v>
      </c>
      <c r="DB138" s="21" t="n">
        <v>243.646</v>
      </c>
      <c r="DC138" s="21" t="n">
        <v>215.865</v>
      </c>
      <c r="DD138" s="21" t="n">
        <v>206.746</v>
      </c>
      <c r="DE138" s="21" t="n">
        <v>266.367</v>
      </c>
      <c r="DF138" s="21" t="n">
        <v>300.726</v>
      </c>
      <c r="DG138" s="21" t="n">
        <v>231.57</v>
      </c>
      <c r="DH138" s="21" t="n">
        <v>285.439</v>
      </c>
      <c r="DI138" s="21" t="n">
        <v>212.067</v>
      </c>
      <c r="DJ138" s="21" t="n">
        <v>221.715</v>
      </c>
      <c r="DK138" s="21" t="n">
        <v>207.398</v>
      </c>
      <c r="DL138" s="21" t="n">
        <v>180.451</v>
      </c>
      <c r="DM138" s="21" t="n">
        <v>455.571</v>
      </c>
      <c r="DN138" s="21" t="n">
        <v>252.58</v>
      </c>
      <c r="DO138" s="21" t="n">
        <v>358.244</v>
      </c>
      <c r="DP138" s="21" t="n">
        <v>427.998</v>
      </c>
      <c r="DQ138" s="21" t="n">
        <v>446.729</v>
      </c>
      <c r="DR138" s="21" t="n">
        <v>195.749</v>
      </c>
      <c r="DS138" s="21" t="n">
        <v>684.732</v>
      </c>
      <c r="DT138" s="21" t="n">
        <v>398.591</v>
      </c>
      <c r="DU138" s="21" t="n">
        <v>440.683</v>
      </c>
      <c r="DV138" s="21" t="n">
        <v>440.62</v>
      </c>
      <c r="DW138" s="21" t="n">
        <v>352.415</v>
      </c>
      <c r="DX138" s="21" t="n">
        <v>297.392</v>
      </c>
      <c r="DY138" s="21" t="n">
        <v>477.258</v>
      </c>
      <c r="DZ138" s="21" t="n">
        <v>551.2619999999999</v>
      </c>
      <c r="EA138" s="21" t="n">
        <v>427.728</v>
      </c>
      <c r="EB138" s="21" t="n">
        <v>300.381</v>
      </c>
      <c r="EC138" s="21" t="n">
        <v>308.903</v>
      </c>
      <c r="ED138" s="21" t="n">
        <v>268.458</v>
      </c>
      <c r="EE138" s="21" t="n">
        <v>330.42</v>
      </c>
      <c r="EF138" s="21" t="n">
        <v>758.596</v>
      </c>
      <c r="EG138" s="21" t="n">
        <v>671.3150000000001</v>
      </c>
      <c r="EH138" s="21" t="n">
        <v>155.434</v>
      </c>
      <c r="EI138" s="21" t="n">
        <v>61.941</v>
      </c>
      <c r="EJ138" s="21" t="n">
        <v>86.962</v>
      </c>
      <c r="EK138" s="21" t="n">
        <v>40.797</v>
      </c>
      <c r="EL138" s="21" t="n">
        <v>133.417</v>
      </c>
      <c r="EM138" s="21" t="n">
        <v>75.999</v>
      </c>
      <c r="EN138" s="21" t="n">
        <v>84.167</v>
      </c>
      <c r="EO138" s="21" t="n">
        <v>88.5</v>
      </c>
      <c r="EP138" s="21" t="n">
        <v>111.921</v>
      </c>
      <c r="EQ138" s="21" t="n">
        <v>74.136</v>
      </c>
      <c r="ER138" s="21" t="n">
        <v>56.212</v>
      </c>
      <c r="ES138" s="21" t="n">
        <v>171.554</v>
      </c>
      <c r="ET138" s="21" t="n">
        <v>87.565</v>
      </c>
      <c r="EU138" s="21" t="n">
        <v>116.16</v>
      </c>
      <c r="EV138" s="21" t="n">
        <v>129.615</v>
      </c>
      <c r="EW138" s="21" t="n">
        <v>110.017</v>
      </c>
      <c r="EX138" s="21" t="n">
        <v>242.4</v>
      </c>
      <c r="EY138" s="21" t="n">
        <v>154.038</v>
      </c>
      <c r="EZ138" s="21" t="n">
        <v>144.978</v>
      </c>
      <c r="FA138" s="21" t="n">
        <v>198.765</v>
      </c>
      <c r="FB138" s="21" t="n">
        <v>137.069</v>
      </c>
      <c r="FC138" s="21" t="n">
        <v>132.363</v>
      </c>
      <c r="FD138" s="21" t="n">
        <v>135.01</v>
      </c>
      <c r="FE138" s="21" t="n">
        <v>94.879</v>
      </c>
      <c r="FF138" s="21" t="n">
        <v>192.59</v>
      </c>
      <c r="FG138" s="21" t="n">
        <v>85.13</v>
      </c>
      <c r="FH138" s="21" t="n">
        <v>140.95</v>
      </c>
      <c r="FI138" s="21" t="n">
        <v>119.584</v>
      </c>
      <c r="FJ138" s="21" t="n">
        <v>113.28</v>
      </c>
      <c r="FK138" s="21" t="n">
        <v>114.562</v>
      </c>
      <c r="FL138" s="21" t="n">
        <v>104.015</v>
      </c>
      <c r="FM138" s="21" t="n">
        <v>107.961</v>
      </c>
      <c r="FN138" s="21" t="n">
        <v>77.298</v>
      </c>
      <c r="FO138" s="21" t="n">
        <v>119.207</v>
      </c>
      <c r="FP138" s="21" t="n">
        <v>108.188</v>
      </c>
      <c r="FQ138" s="21" t="n">
        <v>151.74</v>
      </c>
      <c r="FR138" s="21" t="n">
        <v>156.111</v>
      </c>
      <c r="FS138" s="21" t="n">
        <v>168.11</v>
      </c>
      <c r="FT138" s="21" t="n">
        <v>139.689</v>
      </c>
      <c r="FU138" s="21" t="n">
        <v>125.15</v>
      </c>
      <c r="FV138" s="21" t="n">
        <v>236.279</v>
      </c>
      <c r="FW138" s="21" t="n">
        <v>171.762</v>
      </c>
      <c r="FX138" s="21" t="n">
        <v>239.531</v>
      </c>
      <c r="FY138" s="21" t="n">
        <v>293.082</v>
      </c>
      <c r="FZ138" s="21" t="n">
        <v>292.358</v>
      </c>
      <c r="GA138" s="21" t="n">
        <v>124.47</v>
      </c>
      <c r="GB138" s="21" t="n">
        <v>178.712</v>
      </c>
      <c r="GC138" s="21" t="n"/>
      <c r="GD138" s="21" t="n">
        <v>175.093</v>
      </c>
      <c r="GE138" s="21" t="n">
        <v>190.421</v>
      </c>
      <c r="GF138" s="21" t="n"/>
      <c r="GG138" s="21" t="n">
        <v>180.005</v>
      </c>
      <c r="GH138" s="21" t="n">
        <v>113.103</v>
      </c>
      <c r="GI138" s="21" t="n">
        <v>152.677</v>
      </c>
      <c r="GJ138" s="21" t="n">
        <v>381.282</v>
      </c>
      <c r="GK138" s="21" t="n">
        <v>378.66</v>
      </c>
      <c r="GL138" s="21" t="n">
        <v>371.572</v>
      </c>
      <c r="GM138" s="21" t="n">
        <v>411.469</v>
      </c>
      <c r="GN138" s="21" t="n">
        <v>401.591</v>
      </c>
      <c r="GO138" s="21" t="n">
        <v>414.074</v>
      </c>
      <c r="GP138" s="21" t="n">
        <v>187.247</v>
      </c>
      <c r="GQ138" s="21" t="n">
        <v>158.772</v>
      </c>
      <c r="GR138" s="21" t="n">
        <v>452.383</v>
      </c>
      <c r="GS138" s="21" t="n">
        <v>300.925</v>
      </c>
      <c r="GT138" s="21" t="n">
        <v>876.323</v>
      </c>
      <c r="GU138" s="21" t="n">
        <v>246.431</v>
      </c>
      <c r="GV138" s="21" t="n">
        <v>298.044</v>
      </c>
      <c r="GW138" s="21" t="n">
        <v>288.451</v>
      </c>
      <c r="GX138" s="21" t="n">
        <v>307.305</v>
      </c>
      <c r="GY138" s="21" t="n">
        <v>154.46</v>
      </c>
      <c r="GZ138" s="21" t="n"/>
      <c r="HA138" s="21" t="n">
        <v>61.488</v>
      </c>
      <c r="HB138" s="21" t="n">
        <v>593.057</v>
      </c>
      <c r="HC138" s="21" t="n">
        <v>409.628</v>
      </c>
      <c r="HD138" s="21" t="n">
        <v>133.542</v>
      </c>
      <c r="HE138" s="21" t="n">
        <v>555.276</v>
      </c>
      <c r="HF138" s="21" t="n">
        <v>107.646</v>
      </c>
      <c r="HG138" s="21" t="n">
        <v>652.345</v>
      </c>
      <c r="HH138" s="21" t="n">
        <v>456.401</v>
      </c>
      <c r="HI138" s="21" t="n">
        <v>439.715</v>
      </c>
      <c r="HJ138" s="21" t="n">
        <v>657.376</v>
      </c>
      <c r="HK138" s="21" t="n">
        <v>218.984</v>
      </c>
      <c r="HL138" s="21" t="n"/>
      <c r="HM138" s="21" t="n">
        <v>109.362</v>
      </c>
      <c r="HN138" s="21" t="n">
        <v>456.655</v>
      </c>
      <c r="HO138" s="21" t="n">
        <v>437.776</v>
      </c>
      <c r="HP138" s="21" t="n">
        <v>1011.007</v>
      </c>
      <c r="HQ138" s="21" t="n">
        <v>313.784</v>
      </c>
      <c r="HR138" s="21" t="n">
        <v>144.114</v>
      </c>
      <c r="HS138" s="21" t="n">
        <v>122.383</v>
      </c>
      <c r="HT138" s="21" t="n">
        <v>92.889</v>
      </c>
      <c r="HU138" s="21" t="n">
        <v>604.484</v>
      </c>
      <c r="HV138" s="21" t="n">
        <v>105.498</v>
      </c>
      <c r="HW138" s="21" t="n">
        <v>27.66</v>
      </c>
      <c r="HX138" s="21" t="n">
        <v>234.927</v>
      </c>
      <c r="HY138" s="21" t="n">
        <v>244.07</v>
      </c>
      <c r="HZ138" s="21" t="n">
        <v>193.229</v>
      </c>
      <c r="IA138" s="21" t="n">
        <v>132.763</v>
      </c>
      <c r="IB138" s="21" t="n">
        <v>378.287</v>
      </c>
      <c r="IC138" s="21" t="n">
        <v>281.526</v>
      </c>
      <c r="ID138" s="21" t="n">
        <v>411.755</v>
      </c>
      <c r="IE138" s="21" t="n">
        <v>125.502</v>
      </c>
      <c r="IF138" s="21" t="n">
        <v>172.026</v>
      </c>
      <c r="IG138" s="21" t="n">
        <v>86.41500000000001</v>
      </c>
      <c r="IH138" s="21" t="n">
        <v>89.105</v>
      </c>
      <c r="II138" s="21" t="n">
        <v>75.167</v>
      </c>
      <c r="IJ138" s="21" t="n">
        <v>30.731</v>
      </c>
      <c r="IK138" s="21" t="n">
        <v>33.79</v>
      </c>
      <c r="IL138" s="21" t="n">
        <v>28.374</v>
      </c>
      <c r="IM138" s="21" t="n">
        <v>38.042</v>
      </c>
      <c r="IN138" s="21" t="n">
        <v>106.238</v>
      </c>
      <c r="IO138" s="21" t="n">
        <v>131.055</v>
      </c>
      <c r="IP138" s="21" t="n">
        <v>212.135</v>
      </c>
      <c r="IQ138" s="21" t="n">
        <v>167.602</v>
      </c>
      <c r="IR138" s="21" t="n">
        <v>501.486</v>
      </c>
      <c r="IS138" s="21" t="n">
        <v>245.449</v>
      </c>
      <c r="IT138" s="21" t="n">
        <v>248.329</v>
      </c>
      <c r="IU138" s="21" t="n">
        <v>420.125</v>
      </c>
      <c r="IV138" s="21" t="n">
        <v>292.814</v>
      </c>
      <c r="IW138" s="21" t="n">
        <v>148.007</v>
      </c>
      <c r="IX138" s="21" t="n">
        <v>316.975</v>
      </c>
      <c r="IY138" s="21" t="n">
        <v>763.115</v>
      </c>
      <c r="IZ138" s="21" t="n">
        <v>912.006</v>
      </c>
      <c r="JA138" s="21" t="n">
        <v>972.769</v>
      </c>
      <c r="JB138" s="21" t="n">
        <v>105.233</v>
      </c>
      <c r="JC138" s="21" t="n">
        <v>398.472</v>
      </c>
      <c r="JD138" s="21" t="n">
        <v>283.739</v>
      </c>
      <c r="JE138" s="21" t="n">
        <v>72.738</v>
      </c>
      <c r="JF138" s="21" t="n">
        <v>285.346</v>
      </c>
      <c r="JG138" s="21" t="n">
        <v>442.665</v>
      </c>
      <c r="JH138" s="21" t="n">
        <v>534.092</v>
      </c>
      <c r="JI138" s="21" t="n">
        <v>68.17</v>
      </c>
      <c r="JJ138" s="21" t="n">
        <v>100.007</v>
      </c>
      <c r="JK138" s="21" t="n">
        <v>35.662</v>
      </c>
      <c r="JL138" s="21" t="n">
        <v>87.89</v>
      </c>
      <c r="JM138" s="21" t="n">
        <v>86.139</v>
      </c>
      <c r="JN138" s="21" t="n">
        <v>605.852</v>
      </c>
      <c r="JO138" s="21" t="n">
        <v>110.801</v>
      </c>
      <c r="JP138" s="21" t="n">
        <v>745.486</v>
      </c>
      <c r="JQ138" s="21" t="n">
        <v>302.795</v>
      </c>
      <c r="JR138" s="21" t="n">
        <v>184.472</v>
      </c>
      <c r="JS138" s="21" t="n">
        <v>617.143</v>
      </c>
      <c r="JT138" s="21" t="n"/>
      <c r="JU138" s="21" t="n">
        <v>418.083</v>
      </c>
      <c r="JV138" s="21" t="n">
        <v>251.794</v>
      </c>
      <c r="JW138" s="21" t="n">
        <v>483.055</v>
      </c>
      <c r="JX138" s="21" t="n">
        <v>387.49</v>
      </c>
      <c r="JY138" s="21" t="n">
        <v>89.66800000000001</v>
      </c>
      <c r="JZ138" s="21" t="n">
        <v>210.973</v>
      </c>
      <c r="KA138" s="21" t="n">
        <v>321.472</v>
      </c>
      <c r="KB138" s="21" t="n">
        <v>337.078</v>
      </c>
      <c r="KC138" s="21" t="n">
        <v>331.641</v>
      </c>
      <c r="KD138" s="21" t="n">
        <v>336.121</v>
      </c>
      <c r="KE138" s="21" t="n">
        <v>300.833</v>
      </c>
      <c r="KF138" s="21" t="n">
        <v>288.991</v>
      </c>
      <c r="KG138" s="21" t="n">
        <v>285.246</v>
      </c>
      <c r="KH138" s="21" t="n">
        <v>291.523</v>
      </c>
      <c r="KI138" s="21" t="n">
        <v>128.739</v>
      </c>
      <c r="KJ138" s="21" t="n">
        <v>235.64</v>
      </c>
      <c r="KK138" s="21" t="n">
        <v>188.145</v>
      </c>
      <c r="KL138" s="21" t="n">
        <v>184.265</v>
      </c>
      <c r="KM138" s="21" t="n">
        <v>167.575</v>
      </c>
      <c r="KN138" s="21" t="n">
        <v>166.446</v>
      </c>
      <c r="KO138" s="21" t="n">
        <v>330.034</v>
      </c>
      <c r="KP138" s="21" t="n">
        <v>122.695</v>
      </c>
      <c r="KQ138" s="21" t="n">
        <v>50.252</v>
      </c>
      <c r="KR138" s="21" t="n">
        <v>126.572</v>
      </c>
      <c r="KS138" s="21" t="n">
        <v>338.639</v>
      </c>
      <c r="KT138" s="21" t="n">
        <v>389.029</v>
      </c>
      <c r="KU138" s="21" t="n">
        <v>108.814</v>
      </c>
      <c r="KV138" s="21" t="n">
        <v>34.002</v>
      </c>
      <c r="KW138" s="21" t="n">
        <v>299.494</v>
      </c>
      <c r="KX138" s="21" t="n">
        <v>258.067</v>
      </c>
      <c r="KY138" s="21" t="n">
        <v>329.821</v>
      </c>
      <c r="KZ138" s="21" t="n">
        <v>255.391</v>
      </c>
      <c r="LA138" s="21" t="n">
        <v>334.533</v>
      </c>
      <c r="LB138" s="21" t="n">
        <v>150.262</v>
      </c>
      <c r="LC138" s="21" t="n">
        <v>436.931</v>
      </c>
      <c r="LD138" s="21" t="n">
        <v>85.44799999999999</v>
      </c>
      <c r="LE138" s="21" t="n">
        <v>158.939</v>
      </c>
      <c r="LF138" s="21" t="n">
        <v>447.045</v>
      </c>
      <c r="LG138" s="21" t="n">
        <v>430.939</v>
      </c>
      <c r="LH138" s="21" t="n">
        <v>444.46</v>
      </c>
      <c r="LI138" s="21" t="n">
        <v>414.288</v>
      </c>
      <c r="LJ138" s="21" t="n">
        <v>445.925</v>
      </c>
      <c r="LK138" s="21" t="n">
        <v>130.546</v>
      </c>
      <c r="LL138" s="21" t="n">
        <v>458.772</v>
      </c>
      <c r="LM138" s="21" t="n">
        <v>281.797</v>
      </c>
      <c r="LN138" s="21" t="n">
        <v>32.681</v>
      </c>
      <c r="LO138" s="21" t="n">
        <v>161.389</v>
      </c>
    </row>
    <row r="139">
      <c r="A139" s="22" t="n">
        <v>46174</v>
      </c>
      <c r="B139" s="21" t="n">
        <v>332.568</v>
      </c>
      <c r="C139" s="21" t="n">
        <v>346.391</v>
      </c>
      <c r="D139" s="21" t="n">
        <v>349.609</v>
      </c>
      <c r="E139" s="21" t="n">
        <v>321.446</v>
      </c>
      <c r="F139" s="21" t="n">
        <v>368.002</v>
      </c>
      <c r="G139" s="21" t="n">
        <v>290.354</v>
      </c>
      <c r="H139" s="21" t="n">
        <v>323.568</v>
      </c>
      <c r="I139" s="21" t="n">
        <v>285.006</v>
      </c>
      <c r="J139" s="21" t="n">
        <v>294.726</v>
      </c>
      <c r="K139" s="21" t="n">
        <v>413.795</v>
      </c>
      <c r="L139" s="21" t="n">
        <v>249.686</v>
      </c>
      <c r="M139" s="21" t="n">
        <v>245.323</v>
      </c>
      <c r="N139" s="21" t="n">
        <v>391.756</v>
      </c>
      <c r="O139" s="21" t="n">
        <v>371.152</v>
      </c>
      <c r="P139" s="21" t="n">
        <v>367.659</v>
      </c>
      <c r="Q139" s="21" t="n">
        <v>449.046</v>
      </c>
      <c r="R139" s="21" t="n">
        <v>343.533</v>
      </c>
      <c r="S139" s="21" t="n">
        <v>351.897</v>
      </c>
      <c r="T139" s="21" t="n">
        <v>359.063</v>
      </c>
      <c r="U139" s="21" t="n">
        <v>378.259</v>
      </c>
      <c r="V139" s="21" t="n">
        <v>521.205</v>
      </c>
      <c r="W139" s="21" t="n">
        <v>447.564</v>
      </c>
      <c r="X139" s="21" t="n">
        <v>427.752</v>
      </c>
      <c r="Y139" s="21" t="n">
        <v>346.967</v>
      </c>
      <c r="Z139" s="21" t="n">
        <v>275.817</v>
      </c>
      <c r="AA139" s="21" t="n">
        <v>204.145</v>
      </c>
      <c r="AB139" s="21" t="n">
        <v>382.739</v>
      </c>
      <c r="AC139" s="21" t="n">
        <v>190.649</v>
      </c>
      <c r="AD139" s="21" t="n">
        <v>260.483</v>
      </c>
      <c r="AE139" s="21" t="n">
        <v>290.057</v>
      </c>
      <c r="AF139" s="21" t="n">
        <v>259.401</v>
      </c>
      <c r="AG139" s="21" t="n">
        <v>164.816</v>
      </c>
      <c r="AH139" s="21" t="n">
        <v>298.239</v>
      </c>
      <c r="AI139" s="21" t="n">
        <v>331.678</v>
      </c>
      <c r="AJ139" s="21" t="n">
        <v>186.121</v>
      </c>
      <c r="AK139" s="21" t="n">
        <v>312.144</v>
      </c>
      <c r="AL139" s="21" t="n">
        <v>196.183</v>
      </c>
      <c r="AM139" s="21" t="n">
        <v>322.946</v>
      </c>
      <c r="AN139" s="21" t="n">
        <v>294.468</v>
      </c>
      <c r="AO139" s="21" t="n">
        <v>222.507</v>
      </c>
      <c r="AP139" s="21" t="n">
        <v>378.994</v>
      </c>
      <c r="AQ139" s="21" t="n">
        <v>238.202</v>
      </c>
      <c r="AR139" s="21" t="n">
        <v>186.801</v>
      </c>
      <c r="AS139" s="21" t="n">
        <v>263.604</v>
      </c>
      <c r="AT139" s="21" t="n">
        <v>417.009</v>
      </c>
      <c r="AU139" s="21" t="n">
        <v>284.692</v>
      </c>
      <c r="AV139" s="21" t="n">
        <v>271.683</v>
      </c>
      <c r="AW139" s="21" t="n">
        <v>188.883</v>
      </c>
      <c r="AX139" s="21" t="n">
        <v>271.791</v>
      </c>
      <c r="AY139" s="21" t="n">
        <v>195.649</v>
      </c>
      <c r="AZ139" s="21" t="n">
        <v>259.003</v>
      </c>
      <c r="BA139" s="21" t="n">
        <v>272.09</v>
      </c>
      <c r="BB139" s="21" t="n">
        <v>190.731</v>
      </c>
      <c r="BC139" s="21" t="n">
        <v>371.257</v>
      </c>
      <c r="BD139" s="21" t="n">
        <v>419.412</v>
      </c>
      <c r="BE139" s="21" t="n">
        <v>424.546</v>
      </c>
      <c r="BF139" s="21" t="n">
        <v>382.171</v>
      </c>
      <c r="BG139" s="21" t="n">
        <v>217.155</v>
      </c>
      <c r="BH139" s="21" t="n">
        <v>317.663</v>
      </c>
      <c r="BI139" s="21" t="n">
        <v>608.9450000000001</v>
      </c>
      <c r="BJ139" s="21" t="n">
        <v>145.525</v>
      </c>
      <c r="BK139" s="21" t="n">
        <v>412.553</v>
      </c>
      <c r="BL139" s="21" t="n">
        <v>430.198</v>
      </c>
      <c r="BM139" s="21" t="n">
        <v>523.677</v>
      </c>
      <c r="BN139" s="21" t="n">
        <v>405.368</v>
      </c>
      <c r="BO139" s="21" t="n">
        <v>398.947</v>
      </c>
      <c r="BP139" s="21" t="n">
        <v>211.568</v>
      </c>
      <c r="BQ139" s="21" t="n">
        <v>233.476</v>
      </c>
      <c r="BR139" s="21" t="n">
        <v>227.898</v>
      </c>
      <c r="BS139" s="21" t="n">
        <v>246.926</v>
      </c>
      <c r="BT139" s="21" t="n">
        <v>188.324</v>
      </c>
      <c r="BU139" s="21" t="n">
        <v>261.101</v>
      </c>
      <c r="BV139" s="21" t="n">
        <v>199.377</v>
      </c>
      <c r="BW139" s="21" t="n">
        <v>235.925</v>
      </c>
      <c r="BX139" s="21" t="n">
        <v>182.195</v>
      </c>
      <c r="BY139" s="21" t="n">
        <v>239.323</v>
      </c>
      <c r="BZ139" s="21" t="n">
        <v>159.104</v>
      </c>
      <c r="CA139" s="21" t="n">
        <v>164.598</v>
      </c>
      <c r="CB139" s="21" t="n">
        <v>298.015</v>
      </c>
      <c r="CC139" s="21" t="n">
        <v>309.313</v>
      </c>
      <c r="CD139" s="21" t="n">
        <v>163.469</v>
      </c>
      <c r="CE139" s="21" t="n">
        <v>282.818</v>
      </c>
      <c r="CF139" s="21" t="n">
        <v>325.112</v>
      </c>
      <c r="CG139" s="21" t="n">
        <v>273.455</v>
      </c>
      <c r="CH139" s="21" t="n">
        <v>230.186</v>
      </c>
      <c r="CI139" s="21" t="n">
        <v>198.332</v>
      </c>
      <c r="CJ139" s="21" t="n">
        <v>308.644</v>
      </c>
      <c r="CK139" s="21" t="n">
        <v>259.28</v>
      </c>
      <c r="CL139" s="21" t="n">
        <v>290.013</v>
      </c>
      <c r="CM139" s="21" t="n">
        <v>449.924</v>
      </c>
      <c r="CN139" s="21" t="n">
        <v>172.369</v>
      </c>
      <c r="CO139" s="21" t="n">
        <v>223.405</v>
      </c>
      <c r="CP139" s="21" t="n">
        <v>295.411</v>
      </c>
      <c r="CQ139" s="21" t="n">
        <v>327.061</v>
      </c>
      <c r="CR139" s="21" t="n">
        <v>213.799</v>
      </c>
      <c r="CS139" s="21" t="n">
        <v>313.3</v>
      </c>
      <c r="CT139" s="21" t="n">
        <v>327.83</v>
      </c>
      <c r="CU139" s="21" t="n">
        <v>197.986</v>
      </c>
      <c r="CV139" s="21" t="n">
        <v>198.789</v>
      </c>
      <c r="CW139" s="21" t="n">
        <v>191.212</v>
      </c>
      <c r="CX139" s="21" t="n">
        <v>416.414</v>
      </c>
      <c r="CY139" s="21" t="n">
        <v>179.486</v>
      </c>
      <c r="CZ139" s="21" t="n">
        <v>162.686</v>
      </c>
      <c r="DA139" s="21" t="n">
        <v>395.633</v>
      </c>
      <c r="DB139" s="21" t="n">
        <v>244.63</v>
      </c>
      <c r="DC139" s="21" t="n">
        <v>217.844</v>
      </c>
      <c r="DD139" s="21" t="n"/>
      <c r="DE139" s="21" t="n">
        <v>266.222</v>
      </c>
      <c r="DF139" s="21" t="n">
        <v>300.824</v>
      </c>
      <c r="DG139" s="21" t="n">
        <v>231.155</v>
      </c>
      <c r="DH139" s="21" t="n">
        <v>285.467</v>
      </c>
      <c r="DI139" s="21" t="n">
        <v>212.018</v>
      </c>
      <c r="DJ139" s="21" t="n">
        <v>222.058</v>
      </c>
      <c r="DK139" s="21" t="n">
        <v>207.115</v>
      </c>
      <c r="DL139" s="21" t="n">
        <v>179.552</v>
      </c>
      <c r="DM139" s="21" t="n">
        <v>456.834</v>
      </c>
      <c r="DN139" s="21" t="n">
        <v>254.036</v>
      </c>
      <c r="DO139" s="21" t="n">
        <v>358.413</v>
      </c>
      <c r="DP139" s="21" t="n">
        <v>428.501</v>
      </c>
      <c r="DQ139" s="21" t="n">
        <v>447.397</v>
      </c>
      <c r="DR139" s="21" t="n">
        <v>191.201</v>
      </c>
      <c r="DS139" s="21" t="n">
        <v>685.423</v>
      </c>
      <c r="DT139" s="21" t="n">
        <v>387.577</v>
      </c>
      <c r="DU139" s="21" t="n">
        <v>441.741</v>
      </c>
      <c r="DV139" s="21" t="n">
        <v>441.685</v>
      </c>
      <c r="DW139" s="21" t="n">
        <v>350.041</v>
      </c>
      <c r="DX139" s="21" t="n">
        <v>294.419</v>
      </c>
      <c r="DY139" s="21" t="n">
        <v>445.554</v>
      </c>
      <c r="DZ139" s="21" t="n">
        <v>500.744</v>
      </c>
      <c r="EA139" s="21" t="n">
        <v>421.122</v>
      </c>
      <c r="EB139" s="21" t="n">
        <v>298.297</v>
      </c>
      <c r="EC139" s="21" t="n">
        <v>305.692</v>
      </c>
      <c r="ED139" s="21" t="n">
        <v>269.721</v>
      </c>
      <c r="EE139" s="21" t="n">
        <v>331.474</v>
      </c>
      <c r="EF139" s="21" t="n">
        <v>761.856</v>
      </c>
      <c r="EG139" s="21" t="n">
        <v>671.838</v>
      </c>
      <c r="EH139" s="21" t="n">
        <v>155.812</v>
      </c>
      <c r="EI139" s="21" t="n">
        <v>61.827</v>
      </c>
      <c r="EJ139" s="21" t="n">
        <v>89.206</v>
      </c>
      <c r="EK139" s="21" t="n">
        <v>40.53</v>
      </c>
      <c r="EL139" s="21" t="n">
        <v>134.084</v>
      </c>
      <c r="EM139" s="21" t="n">
        <v>75.366</v>
      </c>
      <c r="EN139" s="21" t="n">
        <v>82.92100000000001</v>
      </c>
      <c r="EO139" s="21" t="n">
        <v>87.753</v>
      </c>
      <c r="EP139" s="21" t="n">
        <v>113.352</v>
      </c>
      <c r="EQ139" s="21" t="n">
        <v>72.88800000000001</v>
      </c>
      <c r="ER139" s="21" t="n">
        <v>55.96</v>
      </c>
      <c r="ES139" s="21" t="n">
        <v>172.442</v>
      </c>
      <c r="ET139" s="21" t="n">
        <v>88.203</v>
      </c>
      <c r="EU139" s="21" t="n">
        <v>115.446</v>
      </c>
      <c r="EV139" s="21" t="n">
        <v>131.114</v>
      </c>
      <c r="EW139" s="21" t="n">
        <v>108.225</v>
      </c>
      <c r="EX139" s="21" t="n">
        <v>243.162</v>
      </c>
      <c r="EY139" s="21" t="n">
        <v>155.688</v>
      </c>
      <c r="EZ139" s="21" t="n">
        <v>145.505</v>
      </c>
      <c r="FA139" s="21" t="n">
        <v>198.388</v>
      </c>
      <c r="FB139" s="21" t="n">
        <v>136.313</v>
      </c>
      <c r="FC139" s="21" t="n">
        <v>132.268</v>
      </c>
      <c r="FD139" s="21" t="n">
        <v>135.117</v>
      </c>
      <c r="FE139" s="21" t="n">
        <v>95.16800000000001</v>
      </c>
      <c r="FF139" s="21" t="n">
        <v>194.949</v>
      </c>
      <c r="FG139" s="21" t="n">
        <v>84.259</v>
      </c>
      <c r="FH139" s="21" t="n">
        <v>141.395</v>
      </c>
      <c r="FI139" s="21" t="n">
        <v>119.379</v>
      </c>
      <c r="FJ139" s="21" t="n">
        <v>113.273</v>
      </c>
      <c r="FK139" s="21" t="n">
        <v>114.594</v>
      </c>
      <c r="FL139" s="21" t="n">
        <v>101.841</v>
      </c>
      <c r="FM139" s="21" t="n">
        <v>108.004</v>
      </c>
      <c r="FN139" s="21" t="n">
        <v>78.00700000000001</v>
      </c>
      <c r="FO139" s="21" t="n">
        <v>119.752</v>
      </c>
      <c r="FP139" s="21" t="n">
        <v>107.978</v>
      </c>
      <c r="FQ139" s="21" t="n">
        <v>151.231</v>
      </c>
      <c r="FR139" s="21" t="n">
        <v>156.322</v>
      </c>
      <c r="FS139" s="21" t="n">
        <v>169.341</v>
      </c>
      <c r="FT139" s="21" t="n">
        <v>138.234</v>
      </c>
      <c r="FU139" s="21" t="n">
        <v>123.381</v>
      </c>
      <c r="FV139" s="21" t="n">
        <v>223.885</v>
      </c>
      <c r="FW139" s="21" t="n">
        <v>169.995</v>
      </c>
      <c r="FX139" s="21" t="n">
        <v>225.149</v>
      </c>
      <c r="FY139" s="21" t="n">
        <v>285.785</v>
      </c>
      <c r="FZ139" s="21" t="n">
        <v>284.058</v>
      </c>
      <c r="GA139" s="21" t="n">
        <v>124.475</v>
      </c>
      <c r="GB139" s="21" t="n">
        <v>178.67</v>
      </c>
      <c r="GC139" s="21" t="n"/>
      <c r="GD139" s="21" t="n">
        <v>174.771</v>
      </c>
      <c r="GE139" s="21" t="n">
        <v>190.464</v>
      </c>
      <c r="GF139" s="21" t="n"/>
      <c r="GG139" s="21" t="n">
        <v>179.591</v>
      </c>
      <c r="GH139" s="21" t="n">
        <v>112.882</v>
      </c>
      <c r="GI139" s="21" t="n">
        <v>160.533</v>
      </c>
      <c r="GJ139" s="21" t="n">
        <v>344.688</v>
      </c>
      <c r="GK139" s="21" t="n">
        <v>341.98</v>
      </c>
      <c r="GL139" s="21" t="n">
        <v>333.862</v>
      </c>
      <c r="GM139" s="21" t="n">
        <v>376.91</v>
      </c>
      <c r="GN139" s="21" t="n">
        <v>372.087</v>
      </c>
      <c r="GO139" s="21" t="n">
        <v>384.191</v>
      </c>
      <c r="GP139" s="21" t="n">
        <v>187.664</v>
      </c>
      <c r="GQ139" s="21" t="n">
        <v>158.897</v>
      </c>
      <c r="GR139" s="21" t="n">
        <v>457.313</v>
      </c>
      <c r="GS139" s="21" t="n">
        <v>306.71</v>
      </c>
      <c r="GT139" s="21" t="n">
        <v>858.747</v>
      </c>
      <c r="GU139" s="21" t="n">
        <v>244.155</v>
      </c>
      <c r="GV139" s="21" t="n">
        <v>297.494</v>
      </c>
      <c r="GW139" s="21" t="n">
        <v>291.112</v>
      </c>
      <c r="GX139" s="21" t="n">
        <v>307.963</v>
      </c>
      <c r="GY139" s="21" t="n">
        <v>151.955</v>
      </c>
      <c r="GZ139" s="21" t="n"/>
      <c r="HA139" s="21" t="n">
        <v>60.446</v>
      </c>
      <c r="HB139" s="21" t="n">
        <v>592.283</v>
      </c>
      <c r="HC139" s="21" t="n">
        <v>408.974</v>
      </c>
      <c r="HD139" s="21" t="n">
        <v>133.5</v>
      </c>
      <c r="HE139" s="21" t="n">
        <v>554.886</v>
      </c>
      <c r="HF139" s="21" t="n">
        <v>107.767</v>
      </c>
      <c r="HG139" s="21" t="n">
        <v>651.533</v>
      </c>
      <c r="HH139" s="21" t="n">
        <v>455.871</v>
      </c>
      <c r="HI139" s="21" t="n">
        <v>438.626</v>
      </c>
      <c r="HJ139" s="21" t="n">
        <v>657.398</v>
      </c>
      <c r="HK139" s="21" t="n">
        <v>219.07</v>
      </c>
      <c r="HL139" s="21" t="n">
        <v>278.741</v>
      </c>
      <c r="HM139" s="21" t="n">
        <v>109.498</v>
      </c>
      <c r="HN139" s="21" t="n">
        <v>457.32</v>
      </c>
      <c r="HO139" s="21" t="n"/>
      <c r="HP139" s="21" t="n">
        <v>1013.488</v>
      </c>
      <c r="HQ139" s="21" t="n">
        <v>313.94</v>
      </c>
      <c r="HR139" s="21" t="n">
        <v>144.855</v>
      </c>
      <c r="HS139" s="21" t="n">
        <v>123.019</v>
      </c>
      <c r="HT139" s="21" t="n">
        <v>92.96299999999999</v>
      </c>
      <c r="HU139" s="21" t="n">
        <v>608.64</v>
      </c>
      <c r="HV139" s="21" t="n">
        <v>113.6</v>
      </c>
      <c r="HW139" s="21" t="n">
        <v>27.65</v>
      </c>
      <c r="HX139" s="21" t="n">
        <v>235.807</v>
      </c>
      <c r="HY139" s="21" t="n">
        <v>244.434</v>
      </c>
      <c r="HZ139" s="21" t="n">
        <v>193.646</v>
      </c>
      <c r="IA139" s="21" t="n">
        <v>132.753</v>
      </c>
      <c r="IB139" s="21" t="n">
        <v>380.651</v>
      </c>
      <c r="IC139" s="21" t="n">
        <v>282.97</v>
      </c>
      <c r="ID139" s="21" t="n">
        <v>412.67</v>
      </c>
      <c r="IE139" s="21" t="n">
        <v>127.451</v>
      </c>
      <c r="IF139" s="21" t="n">
        <v>176.303</v>
      </c>
      <c r="IG139" s="21" t="n">
        <v>86.795</v>
      </c>
      <c r="IH139" s="21" t="n">
        <v>86.488</v>
      </c>
      <c r="II139" s="21" t="n">
        <v>73.142</v>
      </c>
      <c r="IJ139" s="21" t="n">
        <v>29.881</v>
      </c>
      <c r="IK139" s="21" t="n">
        <v>34.435</v>
      </c>
      <c r="IL139" s="21" t="n">
        <v>29.074</v>
      </c>
      <c r="IM139" s="21" t="n">
        <v>39.293</v>
      </c>
      <c r="IN139" s="21" t="n">
        <v>104.568</v>
      </c>
      <c r="IO139" s="21" t="n">
        <v>131.162</v>
      </c>
      <c r="IP139" s="21" t="n">
        <v>212.461</v>
      </c>
      <c r="IQ139" s="21" t="n">
        <v>167.564</v>
      </c>
      <c r="IR139" s="21" t="n">
        <v>503.546</v>
      </c>
      <c r="IS139" s="21" t="n">
        <v>242.914</v>
      </c>
      <c r="IT139" s="21" t="n">
        <v>256.486</v>
      </c>
      <c r="IU139" s="21" t="n">
        <v>419.011</v>
      </c>
      <c r="IV139" s="21" t="n">
        <v>292.742</v>
      </c>
      <c r="IW139" s="21" t="n">
        <v>146.844</v>
      </c>
      <c r="IX139" s="21" t="n">
        <v>317.353</v>
      </c>
      <c r="IY139" s="21" t="n">
        <v>770.5410000000001</v>
      </c>
      <c r="IZ139" s="21" t="n">
        <v>912.978</v>
      </c>
      <c r="JA139" s="21" t="n">
        <v>973.428</v>
      </c>
      <c r="JB139" s="21" t="n">
        <v>105.02</v>
      </c>
      <c r="JC139" s="21" t="n">
        <v>400.148</v>
      </c>
      <c r="JD139" s="21" t="n">
        <v>283.428</v>
      </c>
      <c r="JE139" s="21" t="n">
        <v>71.64</v>
      </c>
      <c r="JF139" s="21" t="n">
        <v>286.495</v>
      </c>
      <c r="JG139" s="21" t="n">
        <v>444.694</v>
      </c>
      <c r="JH139" s="21" t="n">
        <v>532.664</v>
      </c>
      <c r="JI139" s="21" t="n">
        <v>67.114</v>
      </c>
      <c r="JJ139" s="21" t="n">
        <v>99.706</v>
      </c>
      <c r="JK139" s="21" t="n">
        <v>35.406</v>
      </c>
      <c r="JL139" s="21" t="n">
        <v>88.075</v>
      </c>
      <c r="JM139" s="21" t="n">
        <v>85.001</v>
      </c>
      <c r="JN139" s="21" t="n">
        <v>606.352</v>
      </c>
      <c r="JO139" s="21" t="n">
        <v>110.045</v>
      </c>
      <c r="JP139" s="21" t="n">
        <v>741.797</v>
      </c>
      <c r="JQ139" s="21" t="n">
        <v>303.469</v>
      </c>
      <c r="JR139" s="21" t="n">
        <v>184.796</v>
      </c>
      <c r="JS139" s="21" t="n">
        <v>616.5069999999999</v>
      </c>
      <c r="JT139" s="21" t="n"/>
      <c r="JU139" s="21" t="n">
        <v>417.468</v>
      </c>
      <c r="JV139" s="21" t="n">
        <v>253.172</v>
      </c>
      <c r="JW139" s="21" t="n">
        <v>479.056</v>
      </c>
      <c r="JX139" s="21" t="n">
        <v>382.129</v>
      </c>
      <c r="JY139" s="21" t="n">
        <v>89.16200000000001</v>
      </c>
      <c r="JZ139" s="21" t="n">
        <v>209.471</v>
      </c>
      <c r="KA139" s="21" t="n">
        <v>320.029</v>
      </c>
      <c r="KB139" s="21" t="n">
        <v>337.131</v>
      </c>
      <c r="KC139" s="21" t="n">
        <v>329.915</v>
      </c>
      <c r="KD139" s="21" t="n">
        <v>336.065</v>
      </c>
      <c r="KE139" s="21" t="n">
        <v>298.679</v>
      </c>
      <c r="KF139" s="21" t="n">
        <v>286.222</v>
      </c>
      <c r="KG139" s="21" t="n">
        <v>284.89</v>
      </c>
      <c r="KH139" s="21" t="n">
        <v>291.179</v>
      </c>
      <c r="KI139" s="21" t="n">
        <v>127.941</v>
      </c>
      <c r="KJ139" s="21" t="n">
        <v>233.05</v>
      </c>
      <c r="KK139" s="21" t="n">
        <v>184.647</v>
      </c>
      <c r="KL139" s="21" t="n">
        <v>180.71</v>
      </c>
      <c r="KM139" s="21" t="n">
        <v>167.431</v>
      </c>
      <c r="KN139" s="21" t="n">
        <v>166.342</v>
      </c>
      <c r="KO139" s="21" t="n">
        <v>331.439</v>
      </c>
      <c r="KP139" s="21" t="n">
        <v>122.671</v>
      </c>
      <c r="KQ139" s="21" t="n">
        <v>49.83</v>
      </c>
      <c r="KR139" s="21" t="n">
        <v>125.587</v>
      </c>
      <c r="KS139" s="21" t="n">
        <v>319.29</v>
      </c>
      <c r="KT139" s="21" t="n">
        <v>352.158</v>
      </c>
      <c r="KU139" s="21" t="n">
        <v>108.675</v>
      </c>
      <c r="KV139" s="21" t="n">
        <v>33.686</v>
      </c>
      <c r="KW139" s="21" t="n">
        <v>294.905</v>
      </c>
      <c r="KX139" s="21" t="n">
        <v>249.738</v>
      </c>
      <c r="KY139" s="21" t="n">
        <v>316.972</v>
      </c>
      <c r="KZ139" s="21" t="n">
        <v>246.592</v>
      </c>
      <c r="LA139" s="21" t="n">
        <v>320.398</v>
      </c>
      <c r="LB139" s="21" t="n">
        <v>149.925</v>
      </c>
      <c r="LC139" s="21" t="n">
        <v>435.932</v>
      </c>
      <c r="LD139" s="21" t="n">
        <v>86.233</v>
      </c>
      <c r="LE139" s="21" t="n">
        <v>159.367</v>
      </c>
      <c r="LF139" s="21" t="n">
        <v>447.644</v>
      </c>
      <c r="LG139" s="21" t="n">
        <v>430.915</v>
      </c>
      <c r="LH139" s="21" t="n">
        <v>444.602</v>
      </c>
      <c r="LI139" s="21" t="n">
        <v>414.269</v>
      </c>
      <c r="LJ139" s="21" t="n">
        <v>445.144</v>
      </c>
      <c r="LK139" s="21" t="n">
        <v>130.441</v>
      </c>
      <c r="LL139" s="21" t="n">
        <v>457.169</v>
      </c>
      <c r="LM139" s="21" t="n">
        <v>279.849</v>
      </c>
      <c r="LN139" s="21" t="n">
        <v>32.915</v>
      </c>
      <c r="LO139" s="21" t="n">
        <v>162.122</v>
      </c>
    </row>
    <row r="140">
      <c r="A140" s="22" t="n">
        <v>46204</v>
      </c>
      <c r="B140" s="21" t="n">
        <v>332.813</v>
      </c>
      <c r="C140" s="21" t="n">
        <v>346.681</v>
      </c>
      <c r="D140" s="21" t="n">
        <v>349.881</v>
      </c>
      <c r="E140" s="21" t="n">
        <v>321.216</v>
      </c>
      <c r="F140" s="21" t="n">
        <v>368.665</v>
      </c>
      <c r="G140" s="21" t="n">
        <v>291.461</v>
      </c>
      <c r="H140" s="21" t="n">
        <v>322.818</v>
      </c>
      <c r="I140" s="21" t="n">
        <v>287.933</v>
      </c>
      <c r="J140" s="21" t="n">
        <v>295.484</v>
      </c>
      <c r="K140" s="21" t="n">
        <v>414.287</v>
      </c>
      <c r="L140" s="21" t="n">
        <v>250.219</v>
      </c>
      <c r="M140" s="21" t="n">
        <v>244.789</v>
      </c>
      <c r="N140" s="21" t="n">
        <v>397.973</v>
      </c>
      <c r="O140" s="21" t="n">
        <v>375.184</v>
      </c>
      <c r="P140" s="21" t="n">
        <v>362.864</v>
      </c>
      <c r="Q140" s="21" t="n">
        <v>452.749</v>
      </c>
      <c r="R140" s="21" t="n">
        <v>336.182</v>
      </c>
      <c r="S140" s="21" t="n">
        <v>349.598</v>
      </c>
      <c r="T140" s="21" t="n">
        <v>356.678</v>
      </c>
      <c r="U140" s="21" t="n">
        <v>374.327</v>
      </c>
      <c r="V140" s="21" t="n">
        <v>516.854</v>
      </c>
      <c r="W140" s="21" t="n">
        <v>440.526</v>
      </c>
      <c r="X140" s="21" t="n">
        <v>432.571</v>
      </c>
      <c r="Y140" s="21" t="n">
        <v>348.255</v>
      </c>
      <c r="Z140" s="21" t="n">
        <v>271.561</v>
      </c>
      <c r="AA140" s="21" t="n">
        <v>203.772</v>
      </c>
      <c r="AB140" s="21" t="n">
        <v>379.764</v>
      </c>
      <c r="AC140" s="21" t="n">
        <v>191.166</v>
      </c>
      <c r="AD140" s="21" t="n">
        <v>258.454</v>
      </c>
      <c r="AE140" s="21" t="n">
        <v>283.982</v>
      </c>
      <c r="AF140" s="21" t="n">
        <v>252.041</v>
      </c>
      <c r="AG140" s="21" t="n">
        <v>161.717</v>
      </c>
      <c r="AH140" s="21" t="n">
        <v>295.737</v>
      </c>
      <c r="AI140" s="21" t="n">
        <v>326.125</v>
      </c>
      <c r="AJ140" s="21" t="n">
        <v>187.779</v>
      </c>
      <c r="AK140" s="21" t="n">
        <v>310.871</v>
      </c>
      <c r="AL140" s="21" t="n">
        <v>194.801</v>
      </c>
      <c r="AM140" s="21" t="n">
        <v>320.348</v>
      </c>
      <c r="AN140" s="21" t="n">
        <v>293.476</v>
      </c>
      <c r="AO140" s="21" t="n">
        <v>222.282</v>
      </c>
      <c r="AP140" s="21" t="n">
        <v>380.667</v>
      </c>
      <c r="AQ140" s="21" t="n">
        <v>240.689</v>
      </c>
      <c r="AR140" s="21" t="n">
        <v>186.431</v>
      </c>
      <c r="AS140" s="21" t="n">
        <v>261.21</v>
      </c>
      <c r="AT140" s="21" t="n">
        <v>417.394</v>
      </c>
      <c r="AU140" s="21" t="n">
        <v>283.304</v>
      </c>
      <c r="AV140" s="21" t="n">
        <v>271.337</v>
      </c>
      <c r="AW140" s="21" t="n">
        <v>189.744</v>
      </c>
      <c r="AX140" s="21" t="n">
        <v>271.003</v>
      </c>
      <c r="AY140" s="21" t="n">
        <v>197.06</v>
      </c>
      <c r="AZ140" s="21" t="n">
        <v>256.463</v>
      </c>
      <c r="BA140" s="21" t="n">
        <v>271.821</v>
      </c>
      <c r="BB140" s="21" t="n">
        <v>189.949</v>
      </c>
      <c r="BC140" s="21" t="n">
        <v>370.752</v>
      </c>
      <c r="BD140" s="21" t="n">
        <v>419.007</v>
      </c>
      <c r="BE140" s="21" t="n">
        <v>434.054</v>
      </c>
      <c r="BF140" s="21" t="n">
        <v>390.611</v>
      </c>
      <c r="BG140" s="21" t="n">
        <v>217.141</v>
      </c>
      <c r="BH140" s="21" t="n">
        <v>313.911</v>
      </c>
      <c r="BI140" s="21" t="n">
        <v>609.785</v>
      </c>
      <c r="BJ140" s="21" t="n">
        <v>149.746</v>
      </c>
      <c r="BK140" s="21" t="n">
        <v>401.905</v>
      </c>
      <c r="BL140" s="21" t="n">
        <v>431.098</v>
      </c>
      <c r="BM140" s="21" t="n">
        <v>437.948</v>
      </c>
      <c r="BN140" s="21" t="n">
        <v>388.016</v>
      </c>
      <c r="BO140" s="21" t="n">
        <v>397.363</v>
      </c>
      <c r="BP140" s="21" t="n">
        <v>210.956</v>
      </c>
      <c r="BQ140" s="21" t="n">
        <v>230.703</v>
      </c>
      <c r="BR140" s="21" t="n">
        <v>221.276</v>
      </c>
      <c r="BS140" s="21" t="n">
        <v>245.879</v>
      </c>
      <c r="BT140" s="21" t="n">
        <v>187.688</v>
      </c>
      <c r="BU140" s="21" t="n">
        <v>261.008</v>
      </c>
      <c r="BV140" s="21" t="n">
        <v>201.197</v>
      </c>
      <c r="BW140" s="21" t="n">
        <v>237.931</v>
      </c>
      <c r="BX140" s="21" t="n">
        <v>183.872</v>
      </c>
      <c r="BY140" s="21" t="n">
        <v>239.866</v>
      </c>
      <c r="BZ140" s="21" t="n">
        <v>161.488</v>
      </c>
      <c r="CA140" s="21" t="n">
        <v>165.107</v>
      </c>
      <c r="CB140" s="21" t="n">
        <v>297.782</v>
      </c>
      <c r="CC140" s="21" t="n">
        <v>308.122</v>
      </c>
      <c r="CD140" s="21" t="n">
        <v>165.244</v>
      </c>
      <c r="CE140" s="21" t="n">
        <v>282.75</v>
      </c>
      <c r="CF140" s="21" t="n">
        <v>326.606</v>
      </c>
      <c r="CG140" s="21" t="n">
        <v>276.16</v>
      </c>
      <c r="CH140" s="21" t="n">
        <v>230.507</v>
      </c>
      <c r="CI140" s="21" t="n">
        <v>199.458</v>
      </c>
      <c r="CJ140" s="21" t="n">
        <v>307.772</v>
      </c>
      <c r="CK140" s="21" t="n">
        <v>261.265</v>
      </c>
      <c r="CL140" s="21" t="n">
        <v>289.391</v>
      </c>
      <c r="CM140" s="21" t="n">
        <v>462.8</v>
      </c>
      <c r="CN140" s="21" t="n">
        <v>167.654</v>
      </c>
      <c r="CO140" s="21" t="n">
        <v>224.47</v>
      </c>
      <c r="CP140" s="21" t="n">
        <v>295.159</v>
      </c>
      <c r="CQ140" s="21" t="n">
        <v>327.627</v>
      </c>
      <c r="CR140" s="21" t="n">
        <v>212.36</v>
      </c>
      <c r="CS140" s="21" t="n">
        <v>314.147</v>
      </c>
      <c r="CT140" s="21" t="n">
        <v>329.122</v>
      </c>
      <c r="CU140" s="21" t="n">
        <v>197.27</v>
      </c>
      <c r="CV140" s="21" t="n">
        <v>201.599</v>
      </c>
      <c r="CW140" s="21" t="n">
        <v>193.219</v>
      </c>
      <c r="CX140" s="21" t="n">
        <v>419.403</v>
      </c>
      <c r="CY140" s="21" t="n">
        <v>178.087</v>
      </c>
      <c r="CZ140" s="21" t="n">
        <v>160.979</v>
      </c>
      <c r="DA140" s="21" t="n">
        <v>396.859</v>
      </c>
      <c r="DB140" s="21" t="n">
        <v>245.163</v>
      </c>
      <c r="DC140" s="21" t="n">
        <v>218.868</v>
      </c>
      <c r="DD140" s="21" t="n"/>
      <c r="DE140" s="21" t="n">
        <v>268.825</v>
      </c>
      <c r="DF140" s="21" t="n">
        <v>301.367</v>
      </c>
      <c r="DG140" s="21" t="n">
        <v>231.186</v>
      </c>
      <c r="DH140" s="21" t="n">
        <v>285.066</v>
      </c>
      <c r="DI140" s="21" t="n">
        <v>213.256</v>
      </c>
      <c r="DJ140" s="21" t="n">
        <v>223.974</v>
      </c>
      <c r="DK140" s="21" t="n">
        <v>208.275</v>
      </c>
      <c r="DL140" s="21" t="n">
        <v>179.316</v>
      </c>
      <c r="DM140" s="21" t="n">
        <v>458.689</v>
      </c>
      <c r="DN140" s="21" t="n">
        <v>255.871</v>
      </c>
      <c r="DO140" s="21" t="n">
        <v>358.931</v>
      </c>
      <c r="DP140" s="21" t="n">
        <v>429.095</v>
      </c>
      <c r="DQ140" s="21" t="n">
        <v>448.542</v>
      </c>
      <c r="DR140" s="21" t="n">
        <v>185.934</v>
      </c>
      <c r="DS140" s="21" t="n">
        <v>687.549</v>
      </c>
      <c r="DT140" s="21" t="n">
        <v>374.681</v>
      </c>
      <c r="DU140" s="21" t="n">
        <v>442.888</v>
      </c>
      <c r="DV140" s="21" t="n">
        <v>442.836</v>
      </c>
      <c r="DW140" s="21" t="n">
        <v>350.973</v>
      </c>
      <c r="DX140" s="21" t="n">
        <v>295.025</v>
      </c>
      <c r="DY140" s="21" t="n">
        <v>441.872</v>
      </c>
      <c r="DZ140" s="21" t="n">
        <v>492.422</v>
      </c>
      <c r="EA140" s="21" t="n">
        <v>421.598</v>
      </c>
      <c r="EB140" s="21" t="n">
        <v>299.068</v>
      </c>
      <c r="EC140" s="21" t="n">
        <v>306.095</v>
      </c>
      <c r="ED140" s="21" t="n">
        <v>271.552</v>
      </c>
      <c r="EE140" s="21" t="n">
        <v>332.956</v>
      </c>
      <c r="EF140" s="21" t="n">
        <v>763.693</v>
      </c>
      <c r="EG140" s="21" t="n">
        <v>677.872</v>
      </c>
      <c r="EH140" s="21" t="n">
        <v>155.912</v>
      </c>
      <c r="EI140" s="21" t="n">
        <v>62.141</v>
      </c>
      <c r="EJ140" s="21" t="n">
        <v>87.559</v>
      </c>
      <c r="EK140" s="21" t="n">
        <v>41.171</v>
      </c>
      <c r="EL140" s="21" t="n">
        <v>134.052</v>
      </c>
      <c r="EM140" s="21" t="n">
        <v>76.09</v>
      </c>
      <c r="EN140" s="21" t="n">
        <v>83.57299999999999</v>
      </c>
      <c r="EO140" s="21" t="n">
        <v>86.092</v>
      </c>
      <c r="EP140" s="21" t="n">
        <v>111.39</v>
      </c>
      <c r="EQ140" s="21" t="n">
        <v>74.48699999999999</v>
      </c>
      <c r="ER140" s="21" t="n">
        <v>55.404</v>
      </c>
      <c r="ES140" s="21" t="n">
        <v>172.871</v>
      </c>
      <c r="ET140" s="21" t="n">
        <v>85.14700000000001</v>
      </c>
      <c r="EU140" s="21" t="n">
        <v>115.701</v>
      </c>
      <c r="EV140" s="21" t="n">
        <v>130.647</v>
      </c>
      <c r="EW140" s="21" t="n">
        <v>108.954</v>
      </c>
      <c r="EX140" s="21" t="n">
        <v>243.404</v>
      </c>
      <c r="EY140" s="21" t="n">
        <v>156.182</v>
      </c>
      <c r="EZ140" s="21" t="n">
        <v>144.822</v>
      </c>
      <c r="FA140" s="21" t="n">
        <v>195.985</v>
      </c>
      <c r="FB140" s="21" t="n">
        <v>136.434</v>
      </c>
      <c r="FC140" s="21" t="n">
        <v>133.189</v>
      </c>
      <c r="FD140" s="21" t="n">
        <v>135.19</v>
      </c>
      <c r="FE140" s="21" t="n">
        <v>94.857</v>
      </c>
      <c r="FF140" s="21" t="n">
        <v>196.011</v>
      </c>
      <c r="FG140" s="21" t="n">
        <v>83.863</v>
      </c>
      <c r="FH140" s="21" t="n">
        <v>141.675</v>
      </c>
      <c r="FI140" s="21" t="n">
        <v>121.322</v>
      </c>
      <c r="FJ140" s="21" t="n">
        <v>112.434</v>
      </c>
      <c r="FK140" s="21" t="n">
        <v>113.642</v>
      </c>
      <c r="FL140" s="21" t="n">
        <v>104.764</v>
      </c>
      <c r="FM140" s="21" t="n">
        <v>105.088</v>
      </c>
      <c r="FN140" s="21" t="n">
        <v>77.18899999999999</v>
      </c>
      <c r="FO140" s="21" t="n">
        <v>119.641</v>
      </c>
      <c r="FP140" s="21" t="n">
        <v>107.716</v>
      </c>
      <c r="FQ140" s="21" t="n">
        <v>151.944</v>
      </c>
      <c r="FR140" s="21" t="n">
        <v>157.989</v>
      </c>
      <c r="FS140" s="21" t="n">
        <v>166.197</v>
      </c>
      <c r="FT140" s="21" t="n">
        <v>138.989</v>
      </c>
      <c r="FU140" s="21" t="n">
        <v>121.618</v>
      </c>
      <c r="FV140" s="21" t="n">
        <v>228.725</v>
      </c>
      <c r="FW140" s="21" t="n">
        <v>176.103</v>
      </c>
      <c r="FX140" s="21" t="n">
        <v>228.926</v>
      </c>
      <c r="FY140" s="21" t="n">
        <v>284.419</v>
      </c>
      <c r="FZ140" s="21" t="n">
        <v>282.058</v>
      </c>
      <c r="GA140" s="21" t="n">
        <v>124.665</v>
      </c>
      <c r="GB140" s="21" t="n">
        <v>178.81</v>
      </c>
      <c r="GC140" s="21" t="n"/>
      <c r="GD140" s="21" t="n">
        <v>174.815</v>
      </c>
      <c r="GE140" s="21" t="n">
        <v>190.589</v>
      </c>
      <c r="GF140" s="21" t="n"/>
      <c r="GG140" s="21" t="n">
        <v>180.306</v>
      </c>
      <c r="GH140" s="21" t="n">
        <v>113.259</v>
      </c>
      <c r="GI140" s="21" t="n">
        <v>155.773</v>
      </c>
      <c r="GJ140" s="21" t="n">
        <v>334.321</v>
      </c>
      <c r="GK140" s="21" t="n">
        <v>332.215</v>
      </c>
      <c r="GL140" s="21" t="n">
        <v>324.273</v>
      </c>
      <c r="GM140" s="21" t="n">
        <v>366.536</v>
      </c>
      <c r="GN140" s="21" t="n">
        <v>361.985</v>
      </c>
      <c r="GO140" s="21" t="n">
        <v>363.039</v>
      </c>
      <c r="GP140" s="21" t="n">
        <v>188.815</v>
      </c>
      <c r="GQ140" s="21" t="n">
        <v>159.289</v>
      </c>
      <c r="GR140" s="21" t="n">
        <v>460.185</v>
      </c>
      <c r="GS140" s="21" t="n">
        <v>309.733</v>
      </c>
      <c r="GT140" s="21" t="n">
        <v>856.268</v>
      </c>
      <c r="GU140" s="21" t="n">
        <v>239.683</v>
      </c>
      <c r="GV140" s="21" t="n">
        <v>297.705</v>
      </c>
      <c r="GW140" s="21" t="n">
        <v>295.916</v>
      </c>
      <c r="GX140" s="21" t="n">
        <v>314.803</v>
      </c>
      <c r="GY140" s="21" t="n">
        <v>148.714</v>
      </c>
      <c r="GZ140" s="21" t="n"/>
      <c r="HA140" s="21" t="n">
        <v>57.915</v>
      </c>
      <c r="HB140" s="21" t="n">
        <v>594.393</v>
      </c>
      <c r="HC140" s="21" t="n">
        <v>406.462</v>
      </c>
      <c r="HD140" s="21" t="n">
        <v>132.82</v>
      </c>
      <c r="HE140" s="21" t="n">
        <v>550.59</v>
      </c>
      <c r="HF140" s="21" t="n">
        <v>107.43</v>
      </c>
      <c r="HG140" s="21" t="n">
        <v>655.16</v>
      </c>
      <c r="HH140" s="21" t="n">
        <v>457.746</v>
      </c>
      <c r="HI140" s="21" t="n">
        <v>439.443</v>
      </c>
      <c r="HJ140" s="21" t="n">
        <v>660.961</v>
      </c>
      <c r="HK140" s="21" t="n">
        <v>219.722</v>
      </c>
      <c r="HL140" s="21" t="n"/>
      <c r="HM140" s="21" t="n">
        <v>109.941</v>
      </c>
      <c r="HN140" s="21" t="n">
        <v>459.82</v>
      </c>
      <c r="HO140" s="21" t="n">
        <v>440.232</v>
      </c>
      <c r="HP140" s="21" t="n">
        <v>1017.096</v>
      </c>
      <c r="HQ140" s="21" t="n">
        <v>313.772</v>
      </c>
      <c r="HR140" s="21" t="n">
        <v>145.19</v>
      </c>
      <c r="HS140" s="21" t="n">
        <v>124.08</v>
      </c>
      <c r="HT140" s="21" t="n">
        <v>94.53400000000001</v>
      </c>
      <c r="HU140" s="21" t="n">
        <v>610.951</v>
      </c>
      <c r="HV140" s="21" t="n">
        <v>115.93</v>
      </c>
      <c r="HW140" s="21" t="n">
        <v>27.732</v>
      </c>
      <c r="HX140" s="21" t="n">
        <v>236.492</v>
      </c>
      <c r="HY140" s="21" t="n">
        <v>246.108</v>
      </c>
      <c r="HZ140" s="21" t="n">
        <v>194.687</v>
      </c>
      <c r="IA140" s="21" t="n">
        <v>133.824</v>
      </c>
      <c r="IB140" s="21" t="n">
        <v>380.096</v>
      </c>
      <c r="IC140" s="21" t="n">
        <v>282.257</v>
      </c>
      <c r="ID140" s="21" t="n">
        <v>411.854</v>
      </c>
      <c r="IE140" s="21" t="n">
        <v>127.615</v>
      </c>
      <c r="IF140" s="21" t="n">
        <v>177.16</v>
      </c>
      <c r="IG140" s="21" t="n">
        <v>86.514</v>
      </c>
      <c r="IH140" s="21" t="n">
        <v>85.938</v>
      </c>
      <c r="II140" s="21" t="n">
        <v>72.092</v>
      </c>
      <c r="IJ140" s="21" t="n">
        <v>29.452</v>
      </c>
      <c r="IK140" s="21" t="n">
        <v>34.604</v>
      </c>
      <c r="IL140" s="21" t="n">
        <v>29.306</v>
      </c>
      <c r="IM140" s="21" t="n">
        <v>39.582</v>
      </c>
      <c r="IN140" s="21" t="n">
        <v>103.64</v>
      </c>
      <c r="IO140" s="21" t="n">
        <v>130.338</v>
      </c>
      <c r="IP140" s="21" t="n">
        <v>211.862</v>
      </c>
      <c r="IQ140" s="21" t="n">
        <v>167.972</v>
      </c>
      <c r="IR140" s="21" t="n">
        <v>499.051</v>
      </c>
      <c r="IS140" s="21" t="n">
        <v>241.831</v>
      </c>
      <c r="IT140" s="21" t="n">
        <v>251.289</v>
      </c>
      <c r="IU140" s="21" t="n">
        <v>419.407</v>
      </c>
      <c r="IV140" s="21" t="n">
        <v>299.05</v>
      </c>
      <c r="IW140" s="21" t="n">
        <v>147.699</v>
      </c>
      <c r="IX140" s="21" t="n">
        <v>319.082</v>
      </c>
      <c r="IY140" s="21" t="n">
        <v>776.514</v>
      </c>
      <c r="IZ140" s="21" t="n">
        <v>917.923</v>
      </c>
      <c r="JA140" s="21" t="n">
        <v>980.3150000000001</v>
      </c>
      <c r="JB140" s="21" t="n">
        <v>105.563</v>
      </c>
      <c r="JC140" s="21" t="n">
        <v>401.453</v>
      </c>
      <c r="JD140" s="21" t="n">
        <v>283.548</v>
      </c>
      <c r="JE140" s="21" t="n">
        <v>72.07899999999999</v>
      </c>
      <c r="JF140" s="21" t="n">
        <v>286.978</v>
      </c>
      <c r="JG140" s="21" t="n">
        <v>445.911</v>
      </c>
      <c r="JH140" s="21" t="n">
        <v>526.7569999999999</v>
      </c>
      <c r="JI140" s="21" t="n">
        <v>67.53100000000001</v>
      </c>
      <c r="JJ140" s="21" t="n">
        <v>100.356</v>
      </c>
      <c r="JK140" s="21" t="n">
        <v>36.641</v>
      </c>
      <c r="JL140" s="21" t="n">
        <v>88.13800000000001</v>
      </c>
      <c r="JM140" s="21" t="n">
        <v>84.89100000000001</v>
      </c>
      <c r="JN140" s="21" t="n">
        <v>606.698</v>
      </c>
      <c r="JO140" s="21" t="n">
        <v>110.593</v>
      </c>
      <c r="JP140" s="21" t="n">
        <v>744.449</v>
      </c>
      <c r="JQ140" s="21" t="n">
        <v>303.399</v>
      </c>
      <c r="JR140" s="21" t="n">
        <v>185.255</v>
      </c>
      <c r="JS140" s="21" t="n">
        <v>614.547</v>
      </c>
      <c r="JT140" s="21" t="n"/>
      <c r="JU140" s="21" t="n">
        <v>416.865</v>
      </c>
      <c r="JV140" s="21" t="n">
        <v>254.121</v>
      </c>
      <c r="JW140" s="21" t="n">
        <v>472.678</v>
      </c>
      <c r="JX140" s="21" t="n">
        <v>380.448</v>
      </c>
      <c r="JY140" s="21" t="n">
        <v>89.623</v>
      </c>
      <c r="JZ140" s="21" t="n">
        <v>207.5</v>
      </c>
      <c r="KA140" s="21" t="n">
        <v>320.183</v>
      </c>
      <c r="KB140" s="21" t="n">
        <v>337.789</v>
      </c>
      <c r="KC140" s="21" t="n">
        <v>330.156</v>
      </c>
      <c r="KD140" s="21" t="n">
        <v>336.789</v>
      </c>
      <c r="KE140" s="21" t="n">
        <v>298.793</v>
      </c>
      <c r="KF140" s="21" t="n">
        <v>286.301</v>
      </c>
      <c r="KG140" s="21" t="n">
        <v>285.681</v>
      </c>
      <c r="KH140" s="21" t="n">
        <v>291.964</v>
      </c>
      <c r="KI140" s="21" t="n">
        <v>127.897</v>
      </c>
      <c r="KJ140" s="21" t="n">
        <v>232.614</v>
      </c>
      <c r="KK140" s="21" t="n">
        <v>184.01</v>
      </c>
      <c r="KL140" s="21" t="n">
        <v>180.051</v>
      </c>
      <c r="KM140" s="21" t="n">
        <v>167.762</v>
      </c>
      <c r="KN140" s="21" t="n">
        <v>166.616</v>
      </c>
      <c r="KO140" s="21" t="n">
        <v>331.066</v>
      </c>
      <c r="KP140" s="21" t="n">
        <v>123.055</v>
      </c>
      <c r="KQ140" s="21" t="n">
        <v>50.494</v>
      </c>
      <c r="KR140" s="21" t="n">
        <v>126.17</v>
      </c>
      <c r="KS140" s="21" t="n">
        <v>314.553</v>
      </c>
      <c r="KT140" s="21" t="n">
        <v>341.889</v>
      </c>
      <c r="KU140" s="21" t="n">
        <v>108.76</v>
      </c>
      <c r="KV140" s="21" t="n">
        <v>34.145</v>
      </c>
      <c r="KW140" s="21" t="n">
        <v>294.054</v>
      </c>
      <c r="KX140" s="21" t="n">
        <v>247.673</v>
      </c>
      <c r="KY140" s="21" t="n">
        <v>313.593</v>
      </c>
      <c r="KZ140" s="21" t="n">
        <v>244.342</v>
      </c>
      <c r="LA140" s="21" t="n">
        <v>316.557</v>
      </c>
      <c r="LB140" s="21" t="n">
        <v>150.483</v>
      </c>
      <c r="LC140" s="21" t="n">
        <v>436.841</v>
      </c>
      <c r="LD140" s="21" t="n">
        <v>86.761</v>
      </c>
      <c r="LE140" s="21" t="n">
        <v>159.368</v>
      </c>
      <c r="LF140" s="21" t="n">
        <v>448.26</v>
      </c>
      <c r="LG140" s="21" t="n">
        <v>431.904</v>
      </c>
      <c r="LH140" s="21" t="n">
        <v>445.616</v>
      </c>
      <c r="LI140" s="21" t="n">
        <v>414.866</v>
      </c>
      <c r="LJ140" s="21" t="n">
        <v>445.996</v>
      </c>
      <c r="LK140" s="21" t="n">
        <v>130.745</v>
      </c>
      <c r="LL140" s="21" t="n">
        <v>458.462</v>
      </c>
      <c r="LM140" s="21" t="n">
        <v>280.579</v>
      </c>
      <c r="LN140" s="21" t="n">
        <v>33.297</v>
      </c>
      <c r="LO140" s="21" t="n">
        <v>163.359</v>
      </c>
    </row>
    <row r="141">
      <c r="A141" s="22" t="n">
        <v>46235</v>
      </c>
      <c r="B141" s="21" t="n">
        <v>334.131</v>
      </c>
      <c r="C141" s="21" t="n">
        <v>347.104</v>
      </c>
      <c r="D141" s="21" t="n">
        <v>350.309</v>
      </c>
      <c r="E141" s="21" t="n">
        <v>321.335</v>
      </c>
      <c r="F141" s="21" t="n">
        <v>368.839</v>
      </c>
      <c r="G141" s="21" t="n">
        <v>290.523</v>
      </c>
      <c r="H141" s="21" t="n">
        <v>327.343</v>
      </c>
      <c r="I141" s="21" t="n">
        <v>283.314</v>
      </c>
      <c r="J141" s="21" t="n">
        <v>295.006</v>
      </c>
      <c r="K141" s="21" t="n">
        <v>414.702</v>
      </c>
      <c r="L141" s="21" t="n">
        <v>249.885</v>
      </c>
      <c r="M141" s="21" t="n">
        <v>246.509</v>
      </c>
      <c r="N141" s="21" t="n">
        <v>395.448</v>
      </c>
      <c r="O141" s="21" t="n">
        <v>382.169</v>
      </c>
      <c r="P141" s="21" t="n">
        <v>365.723</v>
      </c>
      <c r="Q141" s="21" t="n">
        <v>455.637</v>
      </c>
      <c r="R141" s="21" t="n">
        <v>334.533</v>
      </c>
      <c r="S141" s="21" t="n">
        <v>349.99</v>
      </c>
      <c r="T141" s="21" t="n">
        <v>356.437</v>
      </c>
      <c r="U141" s="21" t="n">
        <v>373.48</v>
      </c>
      <c r="V141" s="21" t="n">
        <v>511.773</v>
      </c>
      <c r="W141" s="21" t="n">
        <v>440.316</v>
      </c>
      <c r="X141" s="21" t="n">
        <v>425.312</v>
      </c>
      <c r="Y141" s="21" t="n">
        <v>343.083</v>
      </c>
      <c r="Z141" s="21" t="n">
        <v>272.512</v>
      </c>
      <c r="AA141" s="21" t="n">
        <v>204.59</v>
      </c>
      <c r="AB141" s="21" t="n">
        <v>381.153</v>
      </c>
      <c r="AC141" s="21" t="n">
        <v>190.989</v>
      </c>
      <c r="AD141" s="21" t="n">
        <v>254.834</v>
      </c>
      <c r="AE141" s="21" t="n">
        <v>280.657</v>
      </c>
      <c r="AF141" s="21" t="n">
        <v>251.92</v>
      </c>
      <c r="AG141" s="21" t="n">
        <v>165.928</v>
      </c>
      <c r="AH141" s="21" t="n">
        <v>299.435</v>
      </c>
      <c r="AI141" s="21" t="n">
        <v>326.137</v>
      </c>
      <c r="AJ141" s="21" t="n">
        <v>188.256</v>
      </c>
      <c r="AK141" s="21" t="n">
        <v>311.985</v>
      </c>
      <c r="AL141" s="21" t="n">
        <v>195.639</v>
      </c>
      <c r="AM141" s="21" t="n">
        <v>318.906</v>
      </c>
      <c r="AN141" s="21" t="n">
        <v>294.278</v>
      </c>
      <c r="AO141" s="21" t="n">
        <v>224.036</v>
      </c>
      <c r="AP141" s="21" t="n">
        <v>380.833</v>
      </c>
      <c r="AQ141" s="21" t="n">
        <v>238</v>
      </c>
      <c r="AR141" s="21" t="n">
        <v>188.197</v>
      </c>
      <c r="AS141" s="21" t="n">
        <v>261.223</v>
      </c>
      <c r="AT141" s="21" t="n">
        <v>424.625</v>
      </c>
      <c r="AU141" s="21" t="n">
        <v>291.486</v>
      </c>
      <c r="AV141" s="21" t="n">
        <v>272.068</v>
      </c>
      <c r="AW141" s="21" t="n">
        <v>187.468</v>
      </c>
      <c r="AX141" s="21" t="n">
        <v>267.921</v>
      </c>
      <c r="AY141" s="21" t="n">
        <v>194.998</v>
      </c>
      <c r="AZ141" s="21" t="n">
        <v>258.372</v>
      </c>
      <c r="BA141" s="21" t="n">
        <v>270.711</v>
      </c>
      <c r="BB141" s="21" t="n">
        <v>193.29</v>
      </c>
      <c r="BC141" s="21" t="n">
        <v>369.15</v>
      </c>
      <c r="BD141" s="21" t="n">
        <v>416.195</v>
      </c>
      <c r="BE141" s="21" t="n">
        <v>432.002</v>
      </c>
      <c r="BF141" s="21" t="n">
        <v>379.654</v>
      </c>
      <c r="BG141" s="21" t="n">
        <v>217.274</v>
      </c>
      <c r="BH141" s="21" t="n">
        <v>312.473</v>
      </c>
      <c r="BI141" s="21" t="n">
        <v>615.981</v>
      </c>
      <c r="BJ141" s="21" t="n">
        <v>150.257</v>
      </c>
      <c r="BK141" s="21" t="n">
        <v>398.318</v>
      </c>
      <c r="BL141" s="21" t="n">
        <v>436.126</v>
      </c>
      <c r="BM141" s="21" t="n">
        <v>410.887</v>
      </c>
      <c r="BN141" s="21" t="n">
        <v>376.385</v>
      </c>
      <c r="BO141" s="21" t="n">
        <v>396.064</v>
      </c>
      <c r="BP141" s="21" t="n">
        <v>211.999</v>
      </c>
      <c r="BQ141" s="21" t="n">
        <v>232.379</v>
      </c>
      <c r="BR141" s="21" t="n">
        <v>220.671</v>
      </c>
      <c r="BS141" s="21" t="n">
        <v>248.084</v>
      </c>
      <c r="BT141" s="21" t="n">
        <v>189.144</v>
      </c>
      <c r="BU141" s="21" t="n">
        <v>262.926</v>
      </c>
      <c r="BV141" s="21" t="n">
        <v>200.552</v>
      </c>
      <c r="BW141" s="21" t="n">
        <v>238.368</v>
      </c>
      <c r="BX141" s="21" t="n">
        <v>184.287</v>
      </c>
      <c r="BY141" s="21" t="n">
        <v>242.747</v>
      </c>
      <c r="BZ141" s="21" t="n">
        <v>160.21</v>
      </c>
      <c r="CA141" s="21" t="n">
        <v>165.185</v>
      </c>
      <c r="CB141" s="21" t="n">
        <v>296.1</v>
      </c>
      <c r="CC141" s="21" t="n">
        <v>306.537</v>
      </c>
      <c r="CD141" s="21" t="n">
        <v>167.143</v>
      </c>
      <c r="CE141" s="21" t="n">
        <v>283.018</v>
      </c>
      <c r="CF141" s="21" t="n">
        <v>324.408</v>
      </c>
      <c r="CG141" s="21" t="n">
        <v>274.469</v>
      </c>
      <c r="CH141" s="21" t="n">
        <v>229.054</v>
      </c>
      <c r="CI141" s="21" t="n">
        <v>199.131</v>
      </c>
      <c r="CJ141" s="21" t="n">
        <v>312.361</v>
      </c>
      <c r="CK141" s="21" t="n">
        <v>262.429</v>
      </c>
      <c r="CL141" s="21" t="n">
        <v>291.9</v>
      </c>
      <c r="CM141" s="21" t="n">
        <v>462.845</v>
      </c>
      <c r="CN141" s="21" t="n">
        <v>176.093</v>
      </c>
      <c r="CO141" s="21" t="n">
        <v>226.916</v>
      </c>
      <c r="CP141" s="21" t="n">
        <v>295.352</v>
      </c>
      <c r="CQ141" s="21" t="n">
        <v>325.658</v>
      </c>
      <c r="CR141" s="21" t="n">
        <v>211.318</v>
      </c>
      <c r="CS141" s="21" t="n">
        <v>317.553</v>
      </c>
      <c r="CT141" s="21" t="n">
        <v>328.38</v>
      </c>
      <c r="CU141" s="21" t="n">
        <v>197.706</v>
      </c>
      <c r="CV141" s="21" t="n">
        <v>208.323</v>
      </c>
      <c r="CW141" s="21" t="n">
        <v>191.618</v>
      </c>
      <c r="CX141" s="21" t="n">
        <v>411.225</v>
      </c>
      <c r="CY141" s="21" t="n">
        <v>176.431</v>
      </c>
      <c r="CZ141" s="21" t="n">
        <v>164.699</v>
      </c>
      <c r="DA141" s="21" t="n">
        <v>397.868</v>
      </c>
      <c r="DB141" s="21" t="n">
        <v>246.172</v>
      </c>
      <c r="DC141" s="21" t="n">
        <v>220.236</v>
      </c>
      <c r="DD141" s="21" t="n"/>
      <c r="DE141" s="21" t="n">
        <v>269.637</v>
      </c>
      <c r="DF141" s="21" t="n">
        <v>301.724</v>
      </c>
      <c r="DG141" s="21" t="n">
        <v>231.182</v>
      </c>
      <c r="DH141" s="21" t="n">
        <v>285.719</v>
      </c>
      <c r="DI141" s="21" t="n">
        <v>212.722</v>
      </c>
      <c r="DJ141" s="21" t="n">
        <v>223.719</v>
      </c>
      <c r="DK141" s="21" t="n">
        <v>207.636</v>
      </c>
      <c r="DL141" s="21" t="n">
        <v>179.297</v>
      </c>
      <c r="DM141" s="21" t="n">
        <v>459.143</v>
      </c>
      <c r="DN141" s="21" t="n">
        <v>255.75</v>
      </c>
      <c r="DO141" s="21" t="n">
        <v>359.738</v>
      </c>
      <c r="DP141" s="21" t="n">
        <v>430.227</v>
      </c>
      <c r="DQ141" s="21" t="n">
        <v>449.321</v>
      </c>
      <c r="DR141" s="21" t="n">
        <v>190.316</v>
      </c>
      <c r="DS141" s="21" t="n">
        <v>692.068</v>
      </c>
      <c r="DT141" s="21" t="n">
        <v>384.746</v>
      </c>
      <c r="DU141" s="21" t="n">
        <v>443.713</v>
      </c>
      <c r="DV141" s="21" t="n">
        <v>443.677</v>
      </c>
      <c r="DW141" s="21" t="n">
        <v>351.186</v>
      </c>
      <c r="DX141" s="21" t="n">
        <v>294.78</v>
      </c>
      <c r="DY141" s="21" t="n">
        <v>471.783</v>
      </c>
      <c r="DZ141" s="21" t="n">
        <v>542.391</v>
      </c>
      <c r="EA141" s="21" t="n">
        <v>425.518</v>
      </c>
      <c r="EB141" s="21" t="n">
        <v>297.786</v>
      </c>
      <c r="EC141" s="21" t="n">
        <v>305.444</v>
      </c>
      <c r="ED141" s="21" t="n">
        <v>268.45</v>
      </c>
      <c r="EE141" s="21" t="n">
        <v>334.591</v>
      </c>
      <c r="EF141" s="21" t="n">
        <v>765.482</v>
      </c>
      <c r="EG141" s="21" t="n">
        <v>684.9880000000001</v>
      </c>
      <c r="EH141" s="21" t="n">
        <v>156.028</v>
      </c>
      <c r="EI141" s="21" t="n">
        <v>61.546</v>
      </c>
      <c r="EJ141" s="21" t="n">
        <v>87.777</v>
      </c>
      <c r="EK141" s="21" t="n">
        <v>41.074</v>
      </c>
      <c r="EL141" s="21" t="n">
        <v>132.789</v>
      </c>
      <c r="EM141" s="21" t="n">
        <v>75.559</v>
      </c>
      <c r="EN141" s="21" t="n">
        <v>84.67</v>
      </c>
      <c r="EO141" s="21" t="n">
        <v>87.33799999999999</v>
      </c>
      <c r="EP141" s="21" t="n">
        <v>114.511</v>
      </c>
      <c r="EQ141" s="21" t="n">
        <v>75.458</v>
      </c>
      <c r="ER141" s="21" t="n">
        <v>55.276</v>
      </c>
      <c r="ES141" s="21" t="n">
        <v>170.236</v>
      </c>
      <c r="ET141" s="21" t="n">
        <v>83.92400000000001</v>
      </c>
      <c r="EU141" s="21" t="n">
        <v>116.45</v>
      </c>
      <c r="EV141" s="21" t="n">
        <v>130.171</v>
      </c>
      <c r="EW141" s="21" t="n">
        <v>110.062</v>
      </c>
      <c r="EX141" s="21" t="n">
        <v>243.521</v>
      </c>
      <c r="EY141" s="21" t="n">
        <v>155.188</v>
      </c>
      <c r="EZ141" s="21" t="n">
        <v>145.36</v>
      </c>
      <c r="FA141" s="21" t="n">
        <v>192.357</v>
      </c>
      <c r="FB141" s="21" t="n">
        <v>136.457</v>
      </c>
      <c r="FC141" s="21" t="n">
        <v>133.93</v>
      </c>
      <c r="FD141" s="21" t="n">
        <v>137.053</v>
      </c>
      <c r="FE141" s="21" t="n">
        <v>96.82899999999999</v>
      </c>
      <c r="FF141" s="21" t="n">
        <v>195.539</v>
      </c>
      <c r="FG141" s="21" t="n">
        <v>85.788</v>
      </c>
      <c r="FH141" s="21" t="n">
        <v>141.405</v>
      </c>
      <c r="FI141" s="21" t="n">
        <v>120.614</v>
      </c>
      <c r="FJ141" s="21" t="n">
        <v>112.68</v>
      </c>
      <c r="FK141" s="21" t="n">
        <v>113.673</v>
      </c>
      <c r="FL141" s="21" t="n">
        <v>105.452</v>
      </c>
      <c r="FM141" s="21" t="n">
        <v>110.239</v>
      </c>
      <c r="FN141" s="21" t="n">
        <v>77.005</v>
      </c>
      <c r="FO141" s="21" t="n">
        <v>116.618</v>
      </c>
      <c r="FP141" s="21" t="n">
        <v>109.096</v>
      </c>
      <c r="FQ141" s="21" t="n">
        <v>151.55</v>
      </c>
      <c r="FR141" s="21" t="n">
        <v>160.356</v>
      </c>
      <c r="FS141" s="21" t="n">
        <v>163.295</v>
      </c>
      <c r="FT141" s="21" t="n">
        <v>139.022</v>
      </c>
      <c r="FU141" s="21" t="n">
        <v>120.71</v>
      </c>
      <c r="FV141" s="21" t="n">
        <v>225.085</v>
      </c>
      <c r="FW141" s="21" t="n">
        <v>177.335</v>
      </c>
      <c r="FX141" s="21" t="n">
        <v>225.594</v>
      </c>
      <c r="FY141" s="21" t="n">
        <v>287.804</v>
      </c>
      <c r="FZ141" s="21" t="n">
        <v>285.084</v>
      </c>
      <c r="GA141" s="21" t="n">
        <v>125.05</v>
      </c>
      <c r="GB141" s="21" t="n">
        <v>179.259</v>
      </c>
      <c r="GC141" s="21" t="n"/>
      <c r="GD141" s="21" t="n">
        <v>175.321</v>
      </c>
      <c r="GE141" s="21" t="n">
        <v>191.087</v>
      </c>
      <c r="GF141" s="21" t="n"/>
      <c r="GG141" s="21" t="n">
        <v>180.965</v>
      </c>
      <c r="GH141" s="21" t="n">
        <v>113.099</v>
      </c>
      <c r="GI141" s="21" t="n">
        <v>159.205</v>
      </c>
      <c r="GJ141" s="21" t="n">
        <v>348.123</v>
      </c>
      <c r="GK141" s="21" t="n">
        <v>345.169</v>
      </c>
      <c r="GL141" s="21" t="n">
        <v>337.34</v>
      </c>
      <c r="GM141" s="21" t="n">
        <v>379.591</v>
      </c>
      <c r="GN141" s="21" t="n">
        <v>373.299</v>
      </c>
      <c r="GO141" s="21" t="n">
        <v>397.815</v>
      </c>
      <c r="GP141" s="21" t="n">
        <v>188.873</v>
      </c>
      <c r="GQ141" s="21" t="n">
        <v>159.302</v>
      </c>
      <c r="GR141" s="21" t="n">
        <v>465.136</v>
      </c>
      <c r="GS141" s="21" t="n">
        <v>314.151</v>
      </c>
      <c r="GT141" s="21" t="n">
        <v>849.837</v>
      </c>
      <c r="GU141" s="21" t="n">
        <v>237.623</v>
      </c>
      <c r="GV141" s="21" t="n">
        <v>296.201</v>
      </c>
      <c r="GW141" s="21" t="n">
        <v>302.617</v>
      </c>
      <c r="GX141" s="21" t="n">
        <v>323.244</v>
      </c>
      <c r="GY141" s="21" t="n">
        <v>148.37</v>
      </c>
      <c r="GZ141" s="21" t="n"/>
      <c r="HA141" s="21" t="n">
        <v>58.88</v>
      </c>
      <c r="HB141" s="21" t="n">
        <v>592.934</v>
      </c>
      <c r="HC141" s="21" t="n">
        <v>405.528</v>
      </c>
      <c r="HD141" s="21" t="n">
        <v>132.346</v>
      </c>
      <c r="HE141" s="21" t="n">
        <v>550.41</v>
      </c>
      <c r="HF141" s="21" t="n">
        <v>106.356</v>
      </c>
      <c r="HG141" s="21" t="n">
        <v>653.532</v>
      </c>
      <c r="HH141" s="21" t="n">
        <v>456.993</v>
      </c>
      <c r="HI141" s="21" t="n">
        <v>439.389</v>
      </c>
      <c r="HJ141" s="21" t="n">
        <v>656.707</v>
      </c>
      <c r="HK141" s="21" t="n">
        <v>220.071</v>
      </c>
      <c r="HL141" s="21" t="n">
        <v>281.459</v>
      </c>
      <c r="HM141" s="21" t="n">
        <v>110.022</v>
      </c>
      <c r="HN141" s="21" t="n">
        <v>459.659</v>
      </c>
      <c r="HO141" s="21" t="n"/>
      <c r="HP141" s="21" t="n">
        <v>1017.842</v>
      </c>
      <c r="HQ141" s="21" t="n">
        <v>315.595</v>
      </c>
      <c r="HR141" s="21" t="n">
        <v>145.196</v>
      </c>
      <c r="HS141" s="21" t="n">
        <v>124.236</v>
      </c>
      <c r="HT141" s="21" t="n">
        <v>95.869</v>
      </c>
      <c r="HU141" s="21" t="n">
        <v>610.807</v>
      </c>
      <c r="HV141" s="21" t="n">
        <v>108.826</v>
      </c>
      <c r="HW141" s="21" t="n">
        <v>27.381</v>
      </c>
      <c r="HX141" s="21" t="n">
        <v>237.026</v>
      </c>
      <c r="HY141" s="21" t="n">
        <v>245.522</v>
      </c>
      <c r="HZ141" s="21" t="n">
        <v>194.485</v>
      </c>
      <c r="IA141" s="21" t="n">
        <v>133.257</v>
      </c>
      <c r="IB141" s="21" t="n">
        <v>382.923</v>
      </c>
      <c r="IC141" s="21" t="n">
        <v>281.298</v>
      </c>
      <c r="ID141" s="21" t="n">
        <v>416.184</v>
      </c>
      <c r="IE141" s="21" t="n">
        <v>128.897</v>
      </c>
      <c r="IF141" s="21" t="n">
        <v>180.417</v>
      </c>
      <c r="IG141" s="21" t="n">
        <v>86.51000000000001</v>
      </c>
      <c r="IH141" s="21" t="n">
        <v>87.374</v>
      </c>
      <c r="II141" s="21" t="n">
        <v>72.944</v>
      </c>
      <c r="IJ141" s="21" t="n">
        <v>29.847</v>
      </c>
      <c r="IK141" s="21" t="n">
        <v>33.98</v>
      </c>
      <c r="IL141" s="21" t="n">
        <v>28.636</v>
      </c>
      <c r="IM141" s="21" t="n">
        <v>38.282</v>
      </c>
      <c r="IN141" s="21" t="n">
        <v>103.709</v>
      </c>
      <c r="IO141" s="21" t="n">
        <v>130.755</v>
      </c>
      <c r="IP141" s="21" t="n">
        <v>211.116</v>
      </c>
      <c r="IQ141" s="21" t="n">
        <v>167.753</v>
      </c>
      <c r="IR141" s="21" t="n">
        <v>495.287</v>
      </c>
      <c r="IS141" s="21" t="n">
        <v>240.311</v>
      </c>
      <c r="IT141" s="21" t="n">
        <v>250.401</v>
      </c>
      <c r="IU141" s="21" t="n">
        <v>422.123</v>
      </c>
      <c r="IV141" s="21" t="n">
        <v>307.785</v>
      </c>
      <c r="IW141" s="21" t="n">
        <v>150.072</v>
      </c>
      <c r="IX141" s="21" t="n">
        <v>321.646</v>
      </c>
      <c r="IY141" s="21" t="n">
        <v>770.986</v>
      </c>
      <c r="IZ141" s="21" t="n">
        <v>925.506</v>
      </c>
      <c r="JA141" s="21" t="n">
        <v>984.829</v>
      </c>
      <c r="JB141" s="21" t="n">
        <v>107.064</v>
      </c>
      <c r="JC141" s="21" t="n">
        <v>405.432</v>
      </c>
      <c r="JD141" s="21" t="n">
        <v>285.436</v>
      </c>
      <c r="JE141" s="21" t="n">
        <v>73.706</v>
      </c>
      <c r="JF141" s="21" t="n">
        <v>288.733</v>
      </c>
      <c r="JG141" s="21" t="n">
        <v>448.029</v>
      </c>
      <c r="JH141" s="21" t="n">
        <v>538.845</v>
      </c>
      <c r="JI141" s="21" t="n">
        <v>69.08</v>
      </c>
      <c r="JJ141" s="21" t="n">
        <v>100.032</v>
      </c>
      <c r="JK141" s="21" t="n">
        <v>38.02</v>
      </c>
      <c r="JL141" s="21" t="n">
        <v>87.518</v>
      </c>
      <c r="JM141" s="21" t="n">
        <v>82.828</v>
      </c>
      <c r="JN141" s="21" t="n">
        <v>608.013</v>
      </c>
      <c r="JO141" s="21" t="n">
        <v>111.297</v>
      </c>
      <c r="JP141" s="21" t="n">
        <v>750.6609999999999</v>
      </c>
      <c r="JQ141" s="21" t="n">
        <v>303.825</v>
      </c>
      <c r="JR141" s="21" t="n">
        <v>185.486</v>
      </c>
      <c r="JS141" s="21" t="n">
        <v>612.732</v>
      </c>
      <c r="JT141" s="21" t="n"/>
      <c r="JU141" s="21" t="n">
        <v>417.82</v>
      </c>
      <c r="JV141" s="21" t="n">
        <v>254.638</v>
      </c>
      <c r="JW141" s="21" t="n">
        <v>466.442</v>
      </c>
      <c r="JX141" s="21" t="n">
        <v>374.475</v>
      </c>
      <c r="JY141" s="21" t="n">
        <v>90.75</v>
      </c>
      <c r="JZ141" s="21" t="n">
        <v>210.617</v>
      </c>
      <c r="KA141" s="21" t="n">
        <v>321.637</v>
      </c>
      <c r="KB141" s="21" t="n">
        <v>338.686</v>
      </c>
      <c r="KC141" s="21" t="n">
        <v>331.605</v>
      </c>
      <c r="KD141" s="21" t="n">
        <v>337.765</v>
      </c>
      <c r="KE141" s="21" t="n">
        <v>300.192</v>
      </c>
      <c r="KF141" s="21" t="n">
        <v>287.906</v>
      </c>
      <c r="KG141" s="21" t="n">
        <v>286.569</v>
      </c>
      <c r="KH141" s="21" t="n">
        <v>292.862</v>
      </c>
      <c r="KI141" s="21" t="n">
        <v>128.032</v>
      </c>
      <c r="KJ141" s="21" t="n">
        <v>233.896</v>
      </c>
      <c r="KK141" s="21" t="n">
        <v>185.495</v>
      </c>
      <c r="KL141" s="21" t="n">
        <v>181.551</v>
      </c>
      <c r="KM141" s="21" t="n">
        <v>167.939</v>
      </c>
      <c r="KN141" s="21" t="n">
        <v>166.721</v>
      </c>
      <c r="KO141" s="21" t="n">
        <v>330.792</v>
      </c>
      <c r="KP141" s="21" t="n">
        <v>123.068</v>
      </c>
      <c r="KQ141" s="21" t="n">
        <v>50.544</v>
      </c>
      <c r="KR141" s="21" t="n">
        <v>128.5</v>
      </c>
      <c r="KS141" s="21" t="n">
        <v>321.148</v>
      </c>
      <c r="KT141" s="21" t="n">
        <v>356.39</v>
      </c>
      <c r="KU141" s="21" t="n">
        <v>108.712</v>
      </c>
      <c r="KV141" s="21" t="n">
        <v>34.192</v>
      </c>
      <c r="KW141" s="21" t="n">
        <v>296.19</v>
      </c>
      <c r="KX141" s="21" t="n">
        <v>251.053</v>
      </c>
      <c r="KY141" s="21" t="n">
        <v>318.829</v>
      </c>
      <c r="KZ141" s="21" t="n">
        <v>247.932</v>
      </c>
      <c r="LA141" s="21" t="n">
        <v>322.394</v>
      </c>
      <c r="LB141" s="21" t="n">
        <v>151.174</v>
      </c>
      <c r="LC141" s="21" t="n">
        <v>440.94</v>
      </c>
      <c r="LD141" s="21" t="n">
        <v>86.765</v>
      </c>
      <c r="LE141" s="21" t="n">
        <v>159.373</v>
      </c>
      <c r="LF141" s="21" t="n">
        <v>449.399</v>
      </c>
      <c r="LG141" s="21" t="n">
        <v>433.15</v>
      </c>
      <c r="LH141" s="21" t="n">
        <v>447.075</v>
      </c>
      <c r="LI141" s="21" t="n">
        <v>416.252</v>
      </c>
      <c r="LJ141" s="21" t="n">
        <v>447.357</v>
      </c>
      <c r="LK141" s="21" t="n">
        <v>131.112</v>
      </c>
      <c r="LL141" s="21" t="n">
        <v>460.542</v>
      </c>
      <c r="LM141" s="21" t="n">
        <v>283.849</v>
      </c>
      <c r="LN141" s="21" t="n">
        <v>33.254</v>
      </c>
      <c r="LO141" s="21" t="n">
        <v>163.704</v>
      </c>
    </row>
    <row r="142">
      <c r="A142" s="22" t="n">
        <v>46266</v>
      </c>
      <c r="B142" s="21" t="n">
        <v>336.298</v>
      </c>
      <c r="C142" s="21" t="n">
        <v>347.262</v>
      </c>
      <c r="D142" s="21" t="n">
        <v>350.477</v>
      </c>
      <c r="E142" s="21" t="n">
        <v>321.111</v>
      </c>
      <c r="F142" s="21" t="n">
        <v>369.116</v>
      </c>
      <c r="G142" s="21" t="n">
        <v>292.752</v>
      </c>
      <c r="H142" s="21" t="n">
        <v>322.942</v>
      </c>
      <c r="I142" s="21" t="n">
        <v>285.768</v>
      </c>
      <c r="J142" s="21" t="n">
        <v>298.475</v>
      </c>
      <c r="K142" s="21" t="n">
        <v>414.531</v>
      </c>
      <c r="L142" s="21" t="n">
        <v>249.52</v>
      </c>
      <c r="M142" s="21" t="n">
        <v>247.036</v>
      </c>
      <c r="N142" s="21" t="n">
        <v>392.962</v>
      </c>
      <c r="O142" s="21" t="n">
        <v>377.653</v>
      </c>
      <c r="P142" s="21" t="n">
        <v>367.473</v>
      </c>
      <c r="Q142" s="21" t="n">
        <v>447.064</v>
      </c>
      <c r="R142" s="21" t="n">
        <v>347.779</v>
      </c>
      <c r="S142" s="21" t="n">
        <v>348.331</v>
      </c>
      <c r="T142" s="21" t="n">
        <v>354.936</v>
      </c>
      <c r="U142" s="21" t="n">
        <v>370.057</v>
      </c>
      <c r="V142" s="21" t="n">
        <v>506.458</v>
      </c>
      <c r="W142" s="21" t="n">
        <v>436.946</v>
      </c>
      <c r="X142" s="21" t="n">
        <v>410.015</v>
      </c>
      <c r="Y142" s="21" t="n">
        <v>339.491</v>
      </c>
      <c r="Z142" s="21" t="n">
        <v>269.898</v>
      </c>
      <c r="AA142" s="21" t="n">
        <v>203.724</v>
      </c>
      <c r="AB142" s="21" t="n">
        <v>379.385</v>
      </c>
      <c r="AC142" s="21" t="n">
        <v>192.908</v>
      </c>
      <c r="AD142" s="21" t="n">
        <v>257.103</v>
      </c>
      <c r="AE142" s="21" t="n">
        <v>285.493</v>
      </c>
      <c r="AF142" s="21" t="n">
        <v>250.483</v>
      </c>
      <c r="AG142" s="21" t="n">
        <v>162.061</v>
      </c>
      <c r="AH142" s="21" t="n">
        <v>298.074</v>
      </c>
      <c r="AI142" s="21" t="n">
        <v>318.263</v>
      </c>
      <c r="AJ142" s="21" t="n">
        <v>187.718</v>
      </c>
      <c r="AK142" s="21" t="n">
        <v>314.295</v>
      </c>
      <c r="AL142" s="21" t="n">
        <v>198.178</v>
      </c>
      <c r="AM142" s="21" t="n">
        <v>331.291</v>
      </c>
      <c r="AN142" s="21" t="n">
        <v>295.066</v>
      </c>
      <c r="AO142" s="21" t="n">
        <v>221.236</v>
      </c>
      <c r="AP142" s="21" t="n">
        <v>381.201</v>
      </c>
      <c r="AQ142" s="21" t="n">
        <v>238.173</v>
      </c>
      <c r="AR142" s="21" t="n">
        <v>188.982</v>
      </c>
      <c r="AS142" s="21" t="n">
        <v>262.878</v>
      </c>
      <c r="AT142" s="21" t="n">
        <v>424.471</v>
      </c>
      <c r="AU142" s="21" t="n">
        <v>287.804</v>
      </c>
      <c r="AV142" s="21" t="n">
        <v>269.63</v>
      </c>
      <c r="AW142" s="21" t="n">
        <v>183.75</v>
      </c>
      <c r="AX142" s="21" t="n">
        <v>262.195</v>
      </c>
      <c r="AY142" s="21" t="n">
        <v>191.249</v>
      </c>
      <c r="AZ142" s="21" t="n">
        <v>258.778</v>
      </c>
      <c r="BA142" s="21" t="n">
        <v>267.244</v>
      </c>
      <c r="BB142" s="21" t="n">
        <v>191.696</v>
      </c>
      <c r="BC142" s="21" t="n">
        <v>370.928</v>
      </c>
      <c r="BD142" s="21" t="n">
        <v>418.159</v>
      </c>
      <c r="BE142" s="21" t="n">
        <v>435.389</v>
      </c>
      <c r="BF142" s="21" t="n">
        <v>383.461</v>
      </c>
      <c r="BG142" s="21" t="n">
        <v>219.443</v>
      </c>
      <c r="BH142" s="21" t="n">
        <v>309.611</v>
      </c>
      <c r="BI142" s="21" t="n">
        <v>609.869</v>
      </c>
      <c r="BJ142" s="21" t="n">
        <v>151.833</v>
      </c>
      <c r="BK142" s="21" t="n">
        <v>398.803</v>
      </c>
      <c r="BL142" s="21" t="n">
        <v>438.602</v>
      </c>
      <c r="BM142" s="21" t="n">
        <v>426.92</v>
      </c>
      <c r="BN142" s="21" t="n">
        <v>381.708</v>
      </c>
      <c r="BO142" s="21" t="n">
        <v>393.266</v>
      </c>
      <c r="BP142" s="21" t="n">
        <v>213.097</v>
      </c>
      <c r="BQ142" s="21" t="n">
        <v>232.824</v>
      </c>
      <c r="BR142" s="21" t="n">
        <v>220.045</v>
      </c>
      <c r="BS142" s="21" t="n">
        <v>249.279</v>
      </c>
      <c r="BT142" s="21" t="n">
        <v>190.95</v>
      </c>
      <c r="BU142" s="21" t="n">
        <v>266.582</v>
      </c>
      <c r="BV142" s="21" t="n">
        <v>202.532</v>
      </c>
      <c r="BW142" s="21" t="n">
        <v>240.404</v>
      </c>
      <c r="BX142" s="21" t="n">
        <v>186.256</v>
      </c>
      <c r="BY142" s="21" t="n">
        <v>246.345</v>
      </c>
      <c r="BZ142" s="21" t="n">
        <v>161.81</v>
      </c>
      <c r="CA142" s="21" t="n">
        <v>166.003</v>
      </c>
      <c r="CB142" s="21" t="n">
        <v>298.824</v>
      </c>
      <c r="CC142" s="21" t="n">
        <v>312.164</v>
      </c>
      <c r="CD142" s="21" t="n">
        <v>165.004</v>
      </c>
      <c r="CE142" s="21" t="n">
        <v>282.358</v>
      </c>
      <c r="CF142" s="21" t="n">
        <v>324.42</v>
      </c>
      <c r="CG142" s="21" t="n">
        <v>274.099</v>
      </c>
      <c r="CH142" s="21" t="n">
        <v>229.785</v>
      </c>
      <c r="CI142" s="21" t="n">
        <v>197.673</v>
      </c>
      <c r="CJ142" s="21" t="n">
        <v>311.816</v>
      </c>
      <c r="CK142" s="21" t="n">
        <v>256.519</v>
      </c>
      <c r="CL142" s="21" t="n">
        <v>284.064</v>
      </c>
      <c r="CM142" s="21" t="n">
        <v>455.04</v>
      </c>
      <c r="CN142" s="21" t="n">
        <v>178.408</v>
      </c>
      <c r="CO142" s="21" t="n">
        <v>228.644</v>
      </c>
      <c r="CP142" s="21" t="n">
        <v>294.503</v>
      </c>
      <c r="CQ142" s="21" t="n">
        <v>328.777</v>
      </c>
      <c r="CR142" s="21" t="n">
        <v>211.6</v>
      </c>
      <c r="CS142" s="21" t="n">
        <v>312.477</v>
      </c>
      <c r="CT142" s="21" t="n">
        <v>327.481</v>
      </c>
      <c r="CU142" s="21" t="n">
        <v>195.961</v>
      </c>
      <c r="CV142" s="21" t="n">
        <v>204.971</v>
      </c>
      <c r="CW142" s="21" t="n">
        <v>191.157</v>
      </c>
      <c r="CX142" s="21" t="n">
        <v>415.241</v>
      </c>
      <c r="CY142" s="21" t="n">
        <v>177.306</v>
      </c>
      <c r="CZ142" s="21" t="n">
        <v>163.859</v>
      </c>
      <c r="DA142" s="21" t="n">
        <v>398.783</v>
      </c>
      <c r="DB142" s="21" t="n">
        <v>246.898</v>
      </c>
      <c r="DC142" s="21" t="n">
        <v>221.297</v>
      </c>
      <c r="DD142" s="21" t="n">
        <v>209.064</v>
      </c>
      <c r="DE142" s="21" t="n">
        <v>269.651</v>
      </c>
      <c r="DF142" s="21" t="n">
        <v>301.738</v>
      </c>
      <c r="DG142" s="21" t="n">
        <v>231.26</v>
      </c>
      <c r="DH142" s="21" t="n">
        <v>285.628</v>
      </c>
      <c r="DI142" s="21" t="n">
        <v>212.219</v>
      </c>
      <c r="DJ142" s="21" t="n">
        <v>223.152</v>
      </c>
      <c r="DK142" s="21" t="n">
        <v>206.815</v>
      </c>
      <c r="DL142" s="21" t="n">
        <v>179.637</v>
      </c>
      <c r="DM142" s="21" t="n">
        <v>458.827</v>
      </c>
      <c r="DN142" s="21" t="n">
        <v>255.516</v>
      </c>
      <c r="DO142" s="21" t="n">
        <v>361.044</v>
      </c>
      <c r="DP142" s="21" t="n">
        <v>431.908</v>
      </c>
      <c r="DQ142" s="21" t="n">
        <v>450.429</v>
      </c>
      <c r="DR142" s="21" t="n">
        <v>194.189</v>
      </c>
      <c r="DS142" s="21" t="n">
        <v>694.897</v>
      </c>
      <c r="DT142" s="21" t="n">
        <v>393.763</v>
      </c>
      <c r="DU142" s="21" t="n">
        <v>445.265</v>
      </c>
      <c r="DV142" s="21" t="n">
        <v>445.195</v>
      </c>
      <c r="DW142" s="21" t="n">
        <v>353.048</v>
      </c>
      <c r="DX142" s="21" t="n">
        <v>296.639</v>
      </c>
      <c r="DY142" s="21" t="n">
        <v>519.6799999999999</v>
      </c>
      <c r="DZ142" s="21" t="n">
        <v>625.545</v>
      </c>
      <c r="EA142" s="21" t="n">
        <v>426.278</v>
      </c>
      <c r="EB142" s="21" t="n">
        <v>298.131</v>
      </c>
      <c r="EC142" s="21" t="n">
        <v>306.199</v>
      </c>
      <c r="ED142" s="21" t="n">
        <v>267.587</v>
      </c>
      <c r="EE142" s="21" t="n">
        <v>335.364</v>
      </c>
      <c r="EF142" s="21" t="n">
        <v>767.0410000000001</v>
      </c>
      <c r="EG142" s="21" t="n">
        <v>686.972</v>
      </c>
      <c r="EH142" s="21" t="n">
        <v>155.952</v>
      </c>
      <c r="EI142" s="21" t="n">
        <v>60.074</v>
      </c>
      <c r="EJ142" s="21" t="n">
        <v>86.491</v>
      </c>
      <c r="EK142" s="21" t="n">
        <v>39.167</v>
      </c>
      <c r="EL142" s="21" t="n">
        <v>131.707</v>
      </c>
      <c r="EM142" s="21" t="n">
        <v>74.111</v>
      </c>
      <c r="EN142" s="21" t="n">
        <v>84.063</v>
      </c>
      <c r="EO142" s="21" t="n">
        <v>87.298</v>
      </c>
      <c r="EP142" s="21" t="n">
        <v>114.679</v>
      </c>
      <c r="EQ142" s="21" t="n">
        <v>74.953</v>
      </c>
      <c r="ER142" s="21" t="n">
        <v>56.287</v>
      </c>
      <c r="ES142" s="21" t="n">
        <v>172.355</v>
      </c>
      <c r="ET142" s="21" t="n">
        <v>85.462</v>
      </c>
      <c r="EU142" s="21" t="n">
        <v>117.025</v>
      </c>
      <c r="EV142" s="21" t="n">
        <v>129.747</v>
      </c>
      <c r="EW142" s="21" t="n">
        <v>110.761</v>
      </c>
      <c r="EX142" s="21" t="n">
        <v>243.245</v>
      </c>
      <c r="EY142" s="21" t="n">
        <v>154.917</v>
      </c>
      <c r="EZ142" s="21" t="n">
        <v>146.178</v>
      </c>
      <c r="FA142" s="21" t="n">
        <v>188.007</v>
      </c>
      <c r="FB142" s="21" t="n">
        <v>136.875</v>
      </c>
      <c r="FC142" s="21" t="n">
        <v>135.425</v>
      </c>
      <c r="FD142" s="21" t="n">
        <v>137.055</v>
      </c>
      <c r="FE142" s="21" t="n">
        <v>98.658</v>
      </c>
      <c r="FF142" s="21" t="n">
        <v>194.013</v>
      </c>
      <c r="FG142" s="21" t="n">
        <v>85.226</v>
      </c>
      <c r="FH142" s="21" t="n">
        <v>141.644</v>
      </c>
      <c r="FI142" s="21" t="n">
        <v>126.611</v>
      </c>
      <c r="FJ142" s="21" t="n">
        <v>111.756</v>
      </c>
      <c r="FK142" s="21" t="n">
        <v>112.853</v>
      </c>
      <c r="FL142" s="21" t="n">
        <v>103.547</v>
      </c>
      <c r="FM142" s="21" t="n">
        <v>104.119</v>
      </c>
      <c r="FN142" s="21" t="n">
        <v>76.7</v>
      </c>
      <c r="FO142" s="21" t="n">
        <v>116.497</v>
      </c>
      <c r="FP142" s="21" t="n">
        <v>107.612</v>
      </c>
      <c r="FQ142" s="21" t="n">
        <v>152.359</v>
      </c>
      <c r="FR142" s="21" t="n">
        <v>159.968</v>
      </c>
      <c r="FS142" s="21" t="n">
        <v>167.708</v>
      </c>
      <c r="FT142" s="21" t="n">
        <v>140.012</v>
      </c>
      <c r="FU142" s="21" t="n">
        <v>123.438</v>
      </c>
      <c r="FV142" s="21" t="n">
        <v>229.282</v>
      </c>
      <c r="FW142" s="21" t="n">
        <v>178.077</v>
      </c>
      <c r="FX142" s="21" t="n">
        <v>229.802</v>
      </c>
      <c r="FY142" s="21" t="n">
        <v>294.909</v>
      </c>
      <c r="FZ142" s="21" t="n">
        <v>292.518</v>
      </c>
      <c r="GA142" s="21" t="n">
        <v>125.66</v>
      </c>
      <c r="GB142" s="21" t="n">
        <v>179.615</v>
      </c>
      <c r="GC142" s="21" t="n"/>
      <c r="GD142" s="21" t="n">
        <v>175.965</v>
      </c>
      <c r="GE142" s="21" t="n">
        <v>191.465</v>
      </c>
      <c r="GF142" s="21" t="n"/>
      <c r="GG142" s="21" t="n">
        <v>182.176</v>
      </c>
      <c r="GH142" s="21" t="n">
        <v>113.418</v>
      </c>
      <c r="GI142" s="21" t="n">
        <v>167.852</v>
      </c>
      <c r="GJ142" s="21" t="n">
        <v>380.426</v>
      </c>
      <c r="GK142" s="21" t="n">
        <v>376.558</v>
      </c>
      <c r="GL142" s="21" t="n">
        <v>369.276</v>
      </c>
      <c r="GM142" s="21" t="n">
        <v>409.33</v>
      </c>
      <c r="GN142" s="21" t="n">
        <v>399.939</v>
      </c>
      <c r="GO142" s="21" t="n">
        <v>445.019</v>
      </c>
      <c r="GP142" s="21" t="n">
        <v>189.584</v>
      </c>
      <c r="GQ142" s="21" t="n">
        <v>159.985</v>
      </c>
      <c r="GR142" s="21" t="n">
        <v>468.491</v>
      </c>
      <c r="GS142" s="21" t="n">
        <v>316.108</v>
      </c>
      <c r="GT142" s="21" t="n">
        <v>850.388</v>
      </c>
      <c r="GU142" s="21" t="n">
        <v>235.603</v>
      </c>
      <c r="GV142" s="21" t="n">
        <v>296.614</v>
      </c>
      <c r="GW142" s="21" t="n">
        <v>306.279</v>
      </c>
      <c r="GX142" s="21" t="n">
        <v>326.991</v>
      </c>
      <c r="GY142" s="21" t="n">
        <v>150.528</v>
      </c>
      <c r="GZ142" s="21" t="n"/>
      <c r="HA142" s="21" t="n">
        <v>56.538</v>
      </c>
      <c r="HB142" s="21" t="n">
        <v>593.6660000000001</v>
      </c>
      <c r="HC142" s="21" t="n">
        <v>402.832</v>
      </c>
      <c r="HD142" s="21" t="n">
        <v>131.324</v>
      </c>
      <c r="HE142" s="21" t="n">
        <v>543.556</v>
      </c>
      <c r="HF142" s="21" t="n">
        <v>107.706</v>
      </c>
      <c r="HG142" s="21" t="n">
        <v>655.39</v>
      </c>
      <c r="HH142" s="21" t="n">
        <v>457.48</v>
      </c>
      <c r="HI142" s="21" t="n">
        <v>439.448</v>
      </c>
      <c r="HJ142" s="21" t="n">
        <v>659.8339999999999</v>
      </c>
      <c r="HK142" s="21" t="n">
        <v>220.148</v>
      </c>
      <c r="HL142" s="21" t="n"/>
      <c r="HM142" s="21" t="n">
        <v>110.72</v>
      </c>
      <c r="HN142" s="21" t="n">
        <v>462.98</v>
      </c>
      <c r="HO142" s="21" t="n">
        <v>441.131</v>
      </c>
      <c r="HP142" s="21" t="n">
        <v>1031.759</v>
      </c>
      <c r="HQ142" s="21" t="n">
        <v>317.045</v>
      </c>
      <c r="HR142" s="21" t="n">
        <v>145.937</v>
      </c>
      <c r="HS142" s="21" t="n">
        <v>124.096</v>
      </c>
      <c r="HT142" s="21" t="n">
        <v>94.06699999999999</v>
      </c>
      <c r="HU142" s="21" t="n">
        <v>614.756</v>
      </c>
      <c r="HV142" s="21" t="n">
        <v>113.747</v>
      </c>
      <c r="HW142" s="21" t="n">
        <v>27.758</v>
      </c>
      <c r="HX142" s="21" t="n">
        <v>236.052</v>
      </c>
      <c r="HY142" s="21" t="n">
        <v>244.872</v>
      </c>
      <c r="HZ142" s="21" t="n">
        <v>194.44</v>
      </c>
      <c r="IA142" s="21" t="n">
        <v>132.164</v>
      </c>
      <c r="IB142" s="21" t="n">
        <v>380.732</v>
      </c>
      <c r="IC142" s="21" t="n">
        <v>279.197</v>
      </c>
      <c r="ID142" s="21" t="n">
        <v>417.438</v>
      </c>
      <c r="IE142" s="21" t="n">
        <v>129.449</v>
      </c>
      <c r="IF142" s="21" t="n">
        <v>182.053</v>
      </c>
      <c r="IG142" s="21" t="n">
        <v>86.379</v>
      </c>
      <c r="IH142" s="21" t="n">
        <v>87.003</v>
      </c>
      <c r="II142" s="21" t="n">
        <v>72.90300000000001</v>
      </c>
      <c r="IJ142" s="21" t="n">
        <v>29.835</v>
      </c>
      <c r="IK142" s="21" t="n">
        <v>35.182</v>
      </c>
      <c r="IL142" s="21" t="n">
        <v>29.834</v>
      </c>
      <c r="IM142" s="21" t="n">
        <v>40.237</v>
      </c>
      <c r="IN142" s="21" t="n">
        <v>103.377</v>
      </c>
      <c r="IO142" s="21" t="n">
        <v>132.068</v>
      </c>
      <c r="IP142" s="21" t="n">
        <v>212.726</v>
      </c>
      <c r="IQ142" s="21" t="n">
        <v>169.028</v>
      </c>
      <c r="IR142" s="21" t="n">
        <v>498.583</v>
      </c>
      <c r="IS142" s="21" t="n">
        <v>238.383</v>
      </c>
      <c r="IT142" s="21" t="n">
        <v>269.399</v>
      </c>
      <c r="IU142" s="21" t="n">
        <v>425.309</v>
      </c>
      <c r="IV142" s="21" t="n">
        <v>314.589</v>
      </c>
      <c r="IW142" s="21" t="n">
        <v>150.31</v>
      </c>
      <c r="IX142" s="21" t="n">
        <v>323.5</v>
      </c>
      <c r="IY142" s="21" t="n">
        <v>772.1950000000001</v>
      </c>
      <c r="IZ142" s="21" t="n">
        <v>930.897</v>
      </c>
      <c r="JA142" s="21" t="n">
        <v>996.865</v>
      </c>
      <c r="JB142" s="21" t="n">
        <v>107.584</v>
      </c>
      <c r="JC142" s="21" t="n">
        <v>403.842</v>
      </c>
      <c r="JD142" s="21" t="n">
        <v>286.341</v>
      </c>
      <c r="JE142" s="21" t="n">
        <v>73.577</v>
      </c>
      <c r="JF142" s="21" t="n">
        <v>290.42</v>
      </c>
      <c r="JG142" s="21" t="n">
        <v>450.218</v>
      </c>
      <c r="JH142" s="21" t="n">
        <v>548.251</v>
      </c>
      <c r="JI142" s="21" t="n">
        <v>68.94799999999999</v>
      </c>
      <c r="JJ142" s="21" t="n">
        <v>99.72</v>
      </c>
      <c r="JK142" s="21" t="n">
        <v>38.549</v>
      </c>
      <c r="JL142" s="21" t="n">
        <v>86.372</v>
      </c>
      <c r="JM142" s="21" t="n">
        <v>83.286</v>
      </c>
      <c r="JN142" s="21" t="n">
        <v>610.145</v>
      </c>
      <c r="JO142" s="21" t="n">
        <v>112.108</v>
      </c>
      <c r="JP142" s="21" t="n">
        <v>756.675</v>
      </c>
      <c r="JQ142" s="21" t="n">
        <v>304.68</v>
      </c>
      <c r="JR142" s="21" t="n">
        <v>184.825</v>
      </c>
      <c r="JS142" s="21" t="n">
        <v>614.498</v>
      </c>
      <c r="JT142" s="21" t="n"/>
      <c r="JU142" s="21" t="n">
        <v>418.227</v>
      </c>
      <c r="JV142" s="21" t="n">
        <v>255.882</v>
      </c>
      <c r="JW142" s="21" t="n">
        <v>469.761</v>
      </c>
      <c r="JX142" s="21" t="n">
        <v>373.272</v>
      </c>
      <c r="JY142" s="21" t="n">
        <v>90.819</v>
      </c>
      <c r="JZ142" s="21" t="n">
        <v>216.791</v>
      </c>
      <c r="KA142" s="21" t="n">
        <v>323.875</v>
      </c>
      <c r="KB142" s="21" t="n">
        <v>339.678</v>
      </c>
      <c r="KC142" s="21" t="n">
        <v>334.068</v>
      </c>
      <c r="KD142" s="21" t="n">
        <v>338.896</v>
      </c>
      <c r="KE142" s="21" t="n">
        <v>302.563</v>
      </c>
      <c r="KF142" s="21" t="n">
        <v>290.745</v>
      </c>
      <c r="KG142" s="21" t="n">
        <v>287.399</v>
      </c>
      <c r="KH142" s="21" t="n">
        <v>293.639</v>
      </c>
      <c r="KI142" s="21" t="n">
        <v>128.33</v>
      </c>
      <c r="KJ142" s="21" t="n">
        <v>236.642</v>
      </c>
      <c r="KK142" s="21" t="n">
        <v>188.913</v>
      </c>
      <c r="KL142" s="21" t="n">
        <v>185.021</v>
      </c>
      <c r="KM142" s="21" t="n">
        <v>168.361</v>
      </c>
      <c r="KN142" s="21" t="n">
        <v>167.027</v>
      </c>
      <c r="KO142" s="21" t="n">
        <v>330.625</v>
      </c>
      <c r="KP142" s="21" t="n">
        <v>124.204</v>
      </c>
      <c r="KQ142" s="21" t="n">
        <v>50.983</v>
      </c>
      <c r="KR142" s="21" t="n">
        <v>128.561</v>
      </c>
      <c r="KS142" s="21" t="n">
        <v>337.834</v>
      </c>
      <c r="KT142" s="21" t="n">
        <v>389.597</v>
      </c>
      <c r="KU142" s="21" t="n">
        <v>108.54</v>
      </c>
      <c r="KV142" s="21" t="n">
        <v>34.502</v>
      </c>
      <c r="KW142" s="21" t="n">
        <v>300.274</v>
      </c>
      <c r="KX142" s="21" t="n">
        <v>258.145</v>
      </c>
      <c r="KY142" s="21" t="n">
        <v>330.634</v>
      </c>
      <c r="KZ142" s="21" t="n">
        <v>255.419</v>
      </c>
      <c r="LA142" s="21" t="n">
        <v>335.387</v>
      </c>
      <c r="LB142" s="21" t="n">
        <v>151.291</v>
      </c>
      <c r="LC142" s="21" t="n">
        <v>441.728</v>
      </c>
      <c r="LD142" s="21" t="n">
        <v>87.51000000000001</v>
      </c>
      <c r="LE142" s="21" t="n">
        <v>159.848</v>
      </c>
      <c r="LF142" s="21" t="n">
        <v>451.239</v>
      </c>
      <c r="LG142" s="21" t="n">
        <v>434.691</v>
      </c>
      <c r="LH142" s="21" t="n">
        <v>448.723</v>
      </c>
      <c r="LI142" s="21" t="n">
        <v>417.705</v>
      </c>
      <c r="LJ142" s="21" t="n">
        <v>448.723</v>
      </c>
      <c r="LK142" s="21" t="n">
        <v>131.621</v>
      </c>
      <c r="LL142" s="21" t="n">
        <v>463.237</v>
      </c>
      <c r="LM142" s="21" t="n">
        <v>284.907</v>
      </c>
      <c r="LN142" s="21" t="n">
        <v>33.214</v>
      </c>
      <c r="LO142" s="21" t="n">
        <v>163.523</v>
      </c>
    </row>
  </sheetData>
  <autoFilter ref="A1:LO142"/>
  <hyperlinks>
    <hyperlink xmlns:r="http://schemas.openxmlformats.org/officeDocument/2006/relationships" ref="B1" r:id="rId1"/>
    <hyperlink xmlns:r="http://schemas.openxmlformats.org/officeDocument/2006/relationships" ref="C1" r:id="rId2"/>
    <hyperlink xmlns:r="http://schemas.openxmlformats.org/officeDocument/2006/relationships" ref="D1" r:id="rId3"/>
    <hyperlink xmlns:r="http://schemas.openxmlformats.org/officeDocument/2006/relationships" ref="E1" r:id="rId4"/>
    <hyperlink xmlns:r="http://schemas.openxmlformats.org/officeDocument/2006/relationships" ref="F1" r:id="rId5"/>
    <hyperlink xmlns:r="http://schemas.openxmlformats.org/officeDocument/2006/relationships" ref="G1" r:id="rId6"/>
    <hyperlink xmlns:r="http://schemas.openxmlformats.org/officeDocument/2006/relationships" ref="H1" r:id="rId7"/>
    <hyperlink xmlns:r="http://schemas.openxmlformats.org/officeDocument/2006/relationships" ref="I1" r:id="rId8"/>
    <hyperlink xmlns:r="http://schemas.openxmlformats.org/officeDocument/2006/relationships" ref="J1" r:id="rId9"/>
    <hyperlink xmlns:r="http://schemas.openxmlformats.org/officeDocument/2006/relationships" ref="K1" r:id="rId10"/>
    <hyperlink xmlns:r="http://schemas.openxmlformats.org/officeDocument/2006/relationships" ref="L1" r:id="rId11"/>
    <hyperlink xmlns:r="http://schemas.openxmlformats.org/officeDocument/2006/relationships" ref="M1" r:id="rId12"/>
    <hyperlink xmlns:r="http://schemas.openxmlformats.org/officeDocument/2006/relationships" ref="N1" r:id="rId13"/>
    <hyperlink xmlns:r="http://schemas.openxmlformats.org/officeDocument/2006/relationships" ref="O1" r:id="rId14"/>
    <hyperlink xmlns:r="http://schemas.openxmlformats.org/officeDocument/2006/relationships" ref="P1" r:id="rId15"/>
    <hyperlink xmlns:r="http://schemas.openxmlformats.org/officeDocument/2006/relationships" ref="Q1" r:id="rId16"/>
    <hyperlink xmlns:r="http://schemas.openxmlformats.org/officeDocument/2006/relationships" ref="R1" r:id="rId17"/>
    <hyperlink xmlns:r="http://schemas.openxmlformats.org/officeDocument/2006/relationships" ref="S1" r:id="rId18"/>
    <hyperlink xmlns:r="http://schemas.openxmlformats.org/officeDocument/2006/relationships" ref="T1" r:id="rId19"/>
    <hyperlink xmlns:r="http://schemas.openxmlformats.org/officeDocument/2006/relationships" ref="U1" r:id="rId20"/>
    <hyperlink xmlns:r="http://schemas.openxmlformats.org/officeDocument/2006/relationships" ref="V1" r:id="rId21"/>
    <hyperlink xmlns:r="http://schemas.openxmlformats.org/officeDocument/2006/relationships" ref="W1" r:id="rId22"/>
    <hyperlink xmlns:r="http://schemas.openxmlformats.org/officeDocument/2006/relationships" ref="X1" r:id="rId23"/>
    <hyperlink xmlns:r="http://schemas.openxmlformats.org/officeDocument/2006/relationships" ref="Y1" r:id="rId24"/>
    <hyperlink xmlns:r="http://schemas.openxmlformats.org/officeDocument/2006/relationships" ref="Z1" r:id="rId25"/>
    <hyperlink xmlns:r="http://schemas.openxmlformats.org/officeDocument/2006/relationships" ref="AA1" r:id="rId26"/>
    <hyperlink xmlns:r="http://schemas.openxmlformats.org/officeDocument/2006/relationships" ref="AB1" r:id="rId27"/>
    <hyperlink xmlns:r="http://schemas.openxmlformats.org/officeDocument/2006/relationships" ref="AC1" r:id="rId28"/>
    <hyperlink xmlns:r="http://schemas.openxmlformats.org/officeDocument/2006/relationships" ref="AD1" r:id="rId29"/>
    <hyperlink xmlns:r="http://schemas.openxmlformats.org/officeDocument/2006/relationships" ref="AE1" r:id="rId30"/>
    <hyperlink xmlns:r="http://schemas.openxmlformats.org/officeDocument/2006/relationships" ref="AF1" r:id="rId31"/>
    <hyperlink xmlns:r="http://schemas.openxmlformats.org/officeDocument/2006/relationships" ref="AG1" r:id="rId32"/>
    <hyperlink xmlns:r="http://schemas.openxmlformats.org/officeDocument/2006/relationships" ref="AH1" r:id="rId33"/>
    <hyperlink xmlns:r="http://schemas.openxmlformats.org/officeDocument/2006/relationships" ref="AI1" r:id="rId34"/>
    <hyperlink xmlns:r="http://schemas.openxmlformats.org/officeDocument/2006/relationships" ref="AJ1" r:id="rId35"/>
    <hyperlink xmlns:r="http://schemas.openxmlformats.org/officeDocument/2006/relationships" ref="AK1" r:id="rId36"/>
    <hyperlink xmlns:r="http://schemas.openxmlformats.org/officeDocument/2006/relationships" ref="AL1" r:id="rId37"/>
    <hyperlink xmlns:r="http://schemas.openxmlformats.org/officeDocument/2006/relationships" ref="AM1" r:id="rId38"/>
    <hyperlink xmlns:r="http://schemas.openxmlformats.org/officeDocument/2006/relationships" ref="AN1" r:id="rId39"/>
    <hyperlink xmlns:r="http://schemas.openxmlformats.org/officeDocument/2006/relationships" ref="AO1" r:id="rId40"/>
    <hyperlink xmlns:r="http://schemas.openxmlformats.org/officeDocument/2006/relationships" ref="AP1" r:id="rId41"/>
    <hyperlink xmlns:r="http://schemas.openxmlformats.org/officeDocument/2006/relationships" ref="AQ1" r:id="rId42"/>
    <hyperlink xmlns:r="http://schemas.openxmlformats.org/officeDocument/2006/relationships" ref="AR1" r:id="rId43"/>
    <hyperlink xmlns:r="http://schemas.openxmlformats.org/officeDocument/2006/relationships" ref="AS1" r:id="rId44"/>
    <hyperlink xmlns:r="http://schemas.openxmlformats.org/officeDocument/2006/relationships" ref="AT1" r:id="rId45"/>
    <hyperlink xmlns:r="http://schemas.openxmlformats.org/officeDocument/2006/relationships" ref="AU1" r:id="rId46"/>
    <hyperlink xmlns:r="http://schemas.openxmlformats.org/officeDocument/2006/relationships" ref="AV1" r:id="rId47"/>
    <hyperlink xmlns:r="http://schemas.openxmlformats.org/officeDocument/2006/relationships" ref="AW1" r:id="rId48"/>
    <hyperlink xmlns:r="http://schemas.openxmlformats.org/officeDocument/2006/relationships" ref="AX1" r:id="rId49"/>
    <hyperlink xmlns:r="http://schemas.openxmlformats.org/officeDocument/2006/relationships" ref="AY1" r:id="rId50"/>
    <hyperlink xmlns:r="http://schemas.openxmlformats.org/officeDocument/2006/relationships" ref="AZ1" r:id="rId51"/>
    <hyperlink xmlns:r="http://schemas.openxmlformats.org/officeDocument/2006/relationships" ref="BA1" r:id="rId52"/>
    <hyperlink xmlns:r="http://schemas.openxmlformats.org/officeDocument/2006/relationships" ref="BB1" r:id="rId53"/>
    <hyperlink xmlns:r="http://schemas.openxmlformats.org/officeDocument/2006/relationships" ref="BC1" r:id="rId54"/>
    <hyperlink xmlns:r="http://schemas.openxmlformats.org/officeDocument/2006/relationships" ref="BD1" r:id="rId55"/>
    <hyperlink xmlns:r="http://schemas.openxmlformats.org/officeDocument/2006/relationships" ref="BE1" r:id="rId56"/>
    <hyperlink xmlns:r="http://schemas.openxmlformats.org/officeDocument/2006/relationships" ref="BF1" r:id="rId57"/>
    <hyperlink xmlns:r="http://schemas.openxmlformats.org/officeDocument/2006/relationships" ref="BG1" r:id="rId58"/>
    <hyperlink xmlns:r="http://schemas.openxmlformats.org/officeDocument/2006/relationships" ref="BH1" r:id="rId59"/>
    <hyperlink xmlns:r="http://schemas.openxmlformats.org/officeDocument/2006/relationships" ref="BI1" r:id="rId60"/>
    <hyperlink xmlns:r="http://schemas.openxmlformats.org/officeDocument/2006/relationships" ref="BJ1" r:id="rId61"/>
    <hyperlink xmlns:r="http://schemas.openxmlformats.org/officeDocument/2006/relationships" ref="BK1" r:id="rId62"/>
    <hyperlink xmlns:r="http://schemas.openxmlformats.org/officeDocument/2006/relationships" ref="BL1" r:id="rId63"/>
    <hyperlink xmlns:r="http://schemas.openxmlformats.org/officeDocument/2006/relationships" ref="BM1" r:id="rId64"/>
    <hyperlink xmlns:r="http://schemas.openxmlformats.org/officeDocument/2006/relationships" ref="BN1" r:id="rId65"/>
    <hyperlink xmlns:r="http://schemas.openxmlformats.org/officeDocument/2006/relationships" ref="BO1" r:id="rId66"/>
    <hyperlink xmlns:r="http://schemas.openxmlformats.org/officeDocument/2006/relationships" ref="BP1" r:id="rId67"/>
    <hyperlink xmlns:r="http://schemas.openxmlformats.org/officeDocument/2006/relationships" ref="BQ1" r:id="rId68"/>
    <hyperlink xmlns:r="http://schemas.openxmlformats.org/officeDocument/2006/relationships" ref="BR1" r:id="rId69"/>
    <hyperlink xmlns:r="http://schemas.openxmlformats.org/officeDocument/2006/relationships" ref="BS1" r:id="rId70"/>
    <hyperlink xmlns:r="http://schemas.openxmlformats.org/officeDocument/2006/relationships" ref="BT1" r:id="rId71"/>
    <hyperlink xmlns:r="http://schemas.openxmlformats.org/officeDocument/2006/relationships" ref="BU1" r:id="rId72"/>
    <hyperlink xmlns:r="http://schemas.openxmlformats.org/officeDocument/2006/relationships" ref="BV1" r:id="rId73"/>
    <hyperlink xmlns:r="http://schemas.openxmlformats.org/officeDocument/2006/relationships" ref="BW1" r:id="rId74"/>
    <hyperlink xmlns:r="http://schemas.openxmlformats.org/officeDocument/2006/relationships" ref="BX1" r:id="rId75"/>
    <hyperlink xmlns:r="http://schemas.openxmlformats.org/officeDocument/2006/relationships" ref="BY1" r:id="rId76"/>
    <hyperlink xmlns:r="http://schemas.openxmlformats.org/officeDocument/2006/relationships" ref="BZ1" r:id="rId77"/>
    <hyperlink xmlns:r="http://schemas.openxmlformats.org/officeDocument/2006/relationships" ref="CA1" r:id="rId78"/>
    <hyperlink xmlns:r="http://schemas.openxmlformats.org/officeDocument/2006/relationships" ref="CB1" r:id="rId79"/>
    <hyperlink xmlns:r="http://schemas.openxmlformats.org/officeDocument/2006/relationships" ref="CC1" r:id="rId80"/>
    <hyperlink xmlns:r="http://schemas.openxmlformats.org/officeDocument/2006/relationships" ref="CD1" r:id="rId81"/>
    <hyperlink xmlns:r="http://schemas.openxmlformats.org/officeDocument/2006/relationships" ref="CE1" r:id="rId82"/>
    <hyperlink xmlns:r="http://schemas.openxmlformats.org/officeDocument/2006/relationships" ref="CF1" r:id="rId83"/>
    <hyperlink xmlns:r="http://schemas.openxmlformats.org/officeDocument/2006/relationships" ref="CG1" r:id="rId84"/>
    <hyperlink xmlns:r="http://schemas.openxmlformats.org/officeDocument/2006/relationships" ref="CH1" r:id="rId85"/>
    <hyperlink xmlns:r="http://schemas.openxmlformats.org/officeDocument/2006/relationships" ref="CI1" r:id="rId86"/>
    <hyperlink xmlns:r="http://schemas.openxmlformats.org/officeDocument/2006/relationships" ref="CJ1" r:id="rId87"/>
    <hyperlink xmlns:r="http://schemas.openxmlformats.org/officeDocument/2006/relationships" ref="CK1" r:id="rId88"/>
    <hyperlink xmlns:r="http://schemas.openxmlformats.org/officeDocument/2006/relationships" ref="CL1" r:id="rId89"/>
    <hyperlink xmlns:r="http://schemas.openxmlformats.org/officeDocument/2006/relationships" ref="CM1" r:id="rId90"/>
    <hyperlink xmlns:r="http://schemas.openxmlformats.org/officeDocument/2006/relationships" ref="CN1" r:id="rId91"/>
    <hyperlink xmlns:r="http://schemas.openxmlformats.org/officeDocument/2006/relationships" ref="CO1" r:id="rId92"/>
    <hyperlink xmlns:r="http://schemas.openxmlformats.org/officeDocument/2006/relationships" ref="CP1" r:id="rId93"/>
    <hyperlink xmlns:r="http://schemas.openxmlformats.org/officeDocument/2006/relationships" ref="CQ1" r:id="rId94"/>
    <hyperlink xmlns:r="http://schemas.openxmlformats.org/officeDocument/2006/relationships" ref="CR1" r:id="rId95"/>
    <hyperlink xmlns:r="http://schemas.openxmlformats.org/officeDocument/2006/relationships" ref="CS1" r:id="rId96"/>
    <hyperlink xmlns:r="http://schemas.openxmlformats.org/officeDocument/2006/relationships" ref="CT1" r:id="rId97"/>
    <hyperlink xmlns:r="http://schemas.openxmlformats.org/officeDocument/2006/relationships" ref="CU1" r:id="rId98"/>
    <hyperlink xmlns:r="http://schemas.openxmlformats.org/officeDocument/2006/relationships" ref="CV1" r:id="rId99"/>
    <hyperlink xmlns:r="http://schemas.openxmlformats.org/officeDocument/2006/relationships" ref="CW1" r:id="rId100"/>
    <hyperlink xmlns:r="http://schemas.openxmlformats.org/officeDocument/2006/relationships" ref="CX1" r:id="rId101"/>
    <hyperlink xmlns:r="http://schemas.openxmlformats.org/officeDocument/2006/relationships" ref="CY1" r:id="rId102"/>
    <hyperlink xmlns:r="http://schemas.openxmlformats.org/officeDocument/2006/relationships" ref="CZ1" r:id="rId103"/>
    <hyperlink xmlns:r="http://schemas.openxmlformats.org/officeDocument/2006/relationships" ref="DA1" r:id="rId104"/>
    <hyperlink xmlns:r="http://schemas.openxmlformats.org/officeDocument/2006/relationships" ref="DB1" r:id="rId105"/>
    <hyperlink xmlns:r="http://schemas.openxmlformats.org/officeDocument/2006/relationships" ref="DC1" r:id="rId106"/>
    <hyperlink xmlns:r="http://schemas.openxmlformats.org/officeDocument/2006/relationships" ref="DD1" r:id="rId107"/>
    <hyperlink xmlns:r="http://schemas.openxmlformats.org/officeDocument/2006/relationships" ref="DE1" r:id="rId108"/>
    <hyperlink xmlns:r="http://schemas.openxmlformats.org/officeDocument/2006/relationships" ref="DF1" r:id="rId109"/>
    <hyperlink xmlns:r="http://schemas.openxmlformats.org/officeDocument/2006/relationships" ref="DG1" r:id="rId110"/>
    <hyperlink xmlns:r="http://schemas.openxmlformats.org/officeDocument/2006/relationships" ref="DH1" r:id="rId111"/>
    <hyperlink xmlns:r="http://schemas.openxmlformats.org/officeDocument/2006/relationships" ref="DI1" r:id="rId112"/>
    <hyperlink xmlns:r="http://schemas.openxmlformats.org/officeDocument/2006/relationships" ref="DJ1" r:id="rId113"/>
    <hyperlink xmlns:r="http://schemas.openxmlformats.org/officeDocument/2006/relationships" ref="DK1" r:id="rId114"/>
    <hyperlink xmlns:r="http://schemas.openxmlformats.org/officeDocument/2006/relationships" ref="DL1" r:id="rId115"/>
    <hyperlink xmlns:r="http://schemas.openxmlformats.org/officeDocument/2006/relationships" ref="DM1" r:id="rId116"/>
    <hyperlink xmlns:r="http://schemas.openxmlformats.org/officeDocument/2006/relationships" ref="DN1" r:id="rId117"/>
    <hyperlink xmlns:r="http://schemas.openxmlformats.org/officeDocument/2006/relationships" ref="DO1" r:id="rId118"/>
    <hyperlink xmlns:r="http://schemas.openxmlformats.org/officeDocument/2006/relationships" ref="DP1" r:id="rId119"/>
    <hyperlink xmlns:r="http://schemas.openxmlformats.org/officeDocument/2006/relationships" ref="DQ1" r:id="rId120"/>
    <hyperlink xmlns:r="http://schemas.openxmlformats.org/officeDocument/2006/relationships" ref="DR1" r:id="rId121"/>
    <hyperlink xmlns:r="http://schemas.openxmlformats.org/officeDocument/2006/relationships" ref="DS1" r:id="rId122"/>
    <hyperlink xmlns:r="http://schemas.openxmlformats.org/officeDocument/2006/relationships" ref="DT1" r:id="rId123"/>
    <hyperlink xmlns:r="http://schemas.openxmlformats.org/officeDocument/2006/relationships" ref="DU1" r:id="rId124"/>
    <hyperlink xmlns:r="http://schemas.openxmlformats.org/officeDocument/2006/relationships" ref="DV1" r:id="rId125"/>
    <hyperlink xmlns:r="http://schemas.openxmlformats.org/officeDocument/2006/relationships" ref="DW1" r:id="rId126"/>
    <hyperlink xmlns:r="http://schemas.openxmlformats.org/officeDocument/2006/relationships" ref="DX1" r:id="rId127"/>
    <hyperlink xmlns:r="http://schemas.openxmlformats.org/officeDocument/2006/relationships" ref="DY1" r:id="rId128"/>
    <hyperlink xmlns:r="http://schemas.openxmlformats.org/officeDocument/2006/relationships" ref="DZ1" r:id="rId129"/>
    <hyperlink xmlns:r="http://schemas.openxmlformats.org/officeDocument/2006/relationships" ref="EA1" r:id="rId130"/>
    <hyperlink xmlns:r="http://schemas.openxmlformats.org/officeDocument/2006/relationships" ref="EB1" r:id="rId131"/>
    <hyperlink xmlns:r="http://schemas.openxmlformats.org/officeDocument/2006/relationships" ref="EC1" r:id="rId132"/>
    <hyperlink xmlns:r="http://schemas.openxmlformats.org/officeDocument/2006/relationships" ref="ED1" r:id="rId133"/>
    <hyperlink xmlns:r="http://schemas.openxmlformats.org/officeDocument/2006/relationships" ref="EE1" r:id="rId134"/>
    <hyperlink xmlns:r="http://schemas.openxmlformats.org/officeDocument/2006/relationships" ref="EF1" r:id="rId135"/>
    <hyperlink xmlns:r="http://schemas.openxmlformats.org/officeDocument/2006/relationships" ref="EG1" r:id="rId136"/>
    <hyperlink xmlns:r="http://schemas.openxmlformats.org/officeDocument/2006/relationships" ref="EH1" r:id="rId137"/>
    <hyperlink xmlns:r="http://schemas.openxmlformats.org/officeDocument/2006/relationships" ref="EI1" r:id="rId138"/>
    <hyperlink xmlns:r="http://schemas.openxmlformats.org/officeDocument/2006/relationships" ref="EJ1" r:id="rId139"/>
    <hyperlink xmlns:r="http://schemas.openxmlformats.org/officeDocument/2006/relationships" ref="EK1" r:id="rId140"/>
    <hyperlink xmlns:r="http://schemas.openxmlformats.org/officeDocument/2006/relationships" ref="EL1" r:id="rId141"/>
    <hyperlink xmlns:r="http://schemas.openxmlformats.org/officeDocument/2006/relationships" ref="EM1" r:id="rId142"/>
    <hyperlink xmlns:r="http://schemas.openxmlformats.org/officeDocument/2006/relationships" ref="EN1" r:id="rId143"/>
    <hyperlink xmlns:r="http://schemas.openxmlformats.org/officeDocument/2006/relationships" ref="EO1" r:id="rId144"/>
    <hyperlink xmlns:r="http://schemas.openxmlformats.org/officeDocument/2006/relationships" ref="EP1" r:id="rId145"/>
    <hyperlink xmlns:r="http://schemas.openxmlformats.org/officeDocument/2006/relationships" ref="EQ1" r:id="rId146"/>
    <hyperlink xmlns:r="http://schemas.openxmlformats.org/officeDocument/2006/relationships" ref="ER1" r:id="rId147"/>
    <hyperlink xmlns:r="http://schemas.openxmlformats.org/officeDocument/2006/relationships" ref="ES1" r:id="rId148"/>
    <hyperlink xmlns:r="http://schemas.openxmlformats.org/officeDocument/2006/relationships" ref="ET1" r:id="rId149"/>
    <hyperlink xmlns:r="http://schemas.openxmlformats.org/officeDocument/2006/relationships" ref="EU1" r:id="rId150"/>
    <hyperlink xmlns:r="http://schemas.openxmlformats.org/officeDocument/2006/relationships" ref="EV1" r:id="rId151"/>
    <hyperlink xmlns:r="http://schemas.openxmlformats.org/officeDocument/2006/relationships" ref="EW1" r:id="rId152"/>
    <hyperlink xmlns:r="http://schemas.openxmlformats.org/officeDocument/2006/relationships" ref="EX1" r:id="rId153"/>
    <hyperlink xmlns:r="http://schemas.openxmlformats.org/officeDocument/2006/relationships" ref="EY1" r:id="rId154"/>
    <hyperlink xmlns:r="http://schemas.openxmlformats.org/officeDocument/2006/relationships" ref="EZ1" r:id="rId155"/>
    <hyperlink xmlns:r="http://schemas.openxmlformats.org/officeDocument/2006/relationships" ref="FA1" r:id="rId156"/>
    <hyperlink xmlns:r="http://schemas.openxmlformats.org/officeDocument/2006/relationships" ref="FB1" r:id="rId157"/>
    <hyperlink xmlns:r="http://schemas.openxmlformats.org/officeDocument/2006/relationships" ref="FC1" r:id="rId158"/>
    <hyperlink xmlns:r="http://schemas.openxmlformats.org/officeDocument/2006/relationships" ref="FD1" r:id="rId159"/>
    <hyperlink xmlns:r="http://schemas.openxmlformats.org/officeDocument/2006/relationships" ref="FE1" r:id="rId160"/>
    <hyperlink xmlns:r="http://schemas.openxmlformats.org/officeDocument/2006/relationships" ref="FF1" r:id="rId161"/>
    <hyperlink xmlns:r="http://schemas.openxmlformats.org/officeDocument/2006/relationships" ref="FG1" r:id="rId162"/>
    <hyperlink xmlns:r="http://schemas.openxmlformats.org/officeDocument/2006/relationships" ref="FH1" r:id="rId163"/>
    <hyperlink xmlns:r="http://schemas.openxmlformats.org/officeDocument/2006/relationships" ref="FI1" r:id="rId164"/>
    <hyperlink xmlns:r="http://schemas.openxmlformats.org/officeDocument/2006/relationships" ref="FJ1" r:id="rId165"/>
    <hyperlink xmlns:r="http://schemas.openxmlformats.org/officeDocument/2006/relationships" ref="FK1" r:id="rId166"/>
    <hyperlink xmlns:r="http://schemas.openxmlformats.org/officeDocument/2006/relationships" ref="FL1" r:id="rId167"/>
    <hyperlink xmlns:r="http://schemas.openxmlformats.org/officeDocument/2006/relationships" ref="FM1" r:id="rId168"/>
    <hyperlink xmlns:r="http://schemas.openxmlformats.org/officeDocument/2006/relationships" ref="FN1" r:id="rId169"/>
    <hyperlink xmlns:r="http://schemas.openxmlformats.org/officeDocument/2006/relationships" ref="FO1" r:id="rId170"/>
    <hyperlink xmlns:r="http://schemas.openxmlformats.org/officeDocument/2006/relationships" ref="FP1" r:id="rId171"/>
    <hyperlink xmlns:r="http://schemas.openxmlformats.org/officeDocument/2006/relationships" ref="FQ1" r:id="rId172"/>
    <hyperlink xmlns:r="http://schemas.openxmlformats.org/officeDocument/2006/relationships" ref="FR1" r:id="rId173"/>
    <hyperlink xmlns:r="http://schemas.openxmlformats.org/officeDocument/2006/relationships" ref="FS1" r:id="rId174"/>
    <hyperlink xmlns:r="http://schemas.openxmlformats.org/officeDocument/2006/relationships" ref="FT1" r:id="rId175"/>
    <hyperlink xmlns:r="http://schemas.openxmlformats.org/officeDocument/2006/relationships" ref="FU1" r:id="rId176"/>
    <hyperlink xmlns:r="http://schemas.openxmlformats.org/officeDocument/2006/relationships" ref="FV1" r:id="rId177"/>
    <hyperlink xmlns:r="http://schemas.openxmlformats.org/officeDocument/2006/relationships" ref="FW1" r:id="rId178"/>
    <hyperlink xmlns:r="http://schemas.openxmlformats.org/officeDocument/2006/relationships" ref="FX1" r:id="rId179"/>
    <hyperlink xmlns:r="http://schemas.openxmlformats.org/officeDocument/2006/relationships" ref="FY1" r:id="rId180"/>
    <hyperlink xmlns:r="http://schemas.openxmlformats.org/officeDocument/2006/relationships" ref="FZ1" r:id="rId181"/>
    <hyperlink xmlns:r="http://schemas.openxmlformats.org/officeDocument/2006/relationships" ref="GA1" r:id="rId182"/>
    <hyperlink xmlns:r="http://schemas.openxmlformats.org/officeDocument/2006/relationships" ref="GB1" r:id="rId183"/>
    <hyperlink xmlns:r="http://schemas.openxmlformats.org/officeDocument/2006/relationships" ref="GC1" r:id="rId184"/>
    <hyperlink xmlns:r="http://schemas.openxmlformats.org/officeDocument/2006/relationships" ref="GD1" r:id="rId185"/>
    <hyperlink xmlns:r="http://schemas.openxmlformats.org/officeDocument/2006/relationships" ref="GE1" r:id="rId186"/>
    <hyperlink xmlns:r="http://schemas.openxmlformats.org/officeDocument/2006/relationships" ref="GF1" r:id="rId187"/>
    <hyperlink xmlns:r="http://schemas.openxmlformats.org/officeDocument/2006/relationships" ref="GG1" r:id="rId188"/>
    <hyperlink xmlns:r="http://schemas.openxmlformats.org/officeDocument/2006/relationships" ref="GH1" r:id="rId189"/>
    <hyperlink xmlns:r="http://schemas.openxmlformats.org/officeDocument/2006/relationships" ref="GI1" r:id="rId190"/>
    <hyperlink xmlns:r="http://schemas.openxmlformats.org/officeDocument/2006/relationships" ref="GJ1" r:id="rId191"/>
    <hyperlink xmlns:r="http://schemas.openxmlformats.org/officeDocument/2006/relationships" ref="GK1" r:id="rId192"/>
    <hyperlink xmlns:r="http://schemas.openxmlformats.org/officeDocument/2006/relationships" ref="GL1" r:id="rId193"/>
    <hyperlink xmlns:r="http://schemas.openxmlformats.org/officeDocument/2006/relationships" ref="GM1" r:id="rId194"/>
    <hyperlink xmlns:r="http://schemas.openxmlformats.org/officeDocument/2006/relationships" ref="GN1" r:id="rId195"/>
    <hyperlink xmlns:r="http://schemas.openxmlformats.org/officeDocument/2006/relationships" ref="GO1" r:id="rId196"/>
    <hyperlink xmlns:r="http://schemas.openxmlformats.org/officeDocument/2006/relationships" ref="GP1" r:id="rId197"/>
    <hyperlink xmlns:r="http://schemas.openxmlformats.org/officeDocument/2006/relationships" ref="GQ1" r:id="rId198"/>
    <hyperlink xmlns:r="http://schemas.openxmlformats.org/officeDocument/2006/relationships" ref="GR1" r:id="rId199"/>
    <hyperlink xmlns:r="http://schemas.openxmlformats.org/officeDocument/2006/relationships" ref="GS1" r:id="rId200"/>
    <hyperlink xmlns:r="http://schemas.openxmlformats.org/officeDocument/2006/relationships" ref="GT1" r:id="rId201"/>
    <hyperlink xmlns:r="http://schemas.openxmlformats.org/officeDocument/2006/relationships" ref="GU1" r:id="rId202"/>
    <hyperlink xmlns:r="http://schemas.openxmlformats.org/officeDocument/2006/relationships" ref="GV1" r:id="rId203"/>
    <hyperlink xmlns:r="http://schemas.openxmlformats.org/officeDocument/2006/relationships" ref="GW1" r:id="rId204"/>
    <hyperlink xmlns:r="http://schemas.openxmlformats.org/officeDocument/2006/relationships" ref="GX1" r:id="rId205"/>
    <hyperlink xmlns:r="http://schemas.openxmlformats.org/officeDocument/2006/relationships" ref="GY1" r:id="rId206"/>
    <hyperlink xmlns:r="http://schemas.openxmlformats.org/officeDocument/2006/relationships" ref="GZ1" r:id="rId207"/>
    <hyperlink xmlns:r="http://schemas.openxmlformats.org/officeDocument/2006/relationships" ref="HA1" r:id="rId208"/>
    <hyperlink xmlns:r="http://schemas.openxmlformats.org/officeDocument/2006/relationships" ref="HB1" r:id="rId209"/>
    <hyperlink xmlns:r="http://schemas.openxmlformats.org/officeDocument/2006/relationships" ref="HC1" r:id="rId210"/>
    <hyperlink xmlns:r="http://schemas.openxmlformats.org/officeDocument/2006/relationships" ref="HD1" r:id="rId211"/>
    <hyperlink xmlns:r="http://schemas.openxmlformats.org/officeDocument/2006/relationships" ref="HE1" r:id="rId212"/>
    <hyperlink xmlns:r="http://schemas.openxmlformats.org/officeDocument/2006/relationships" ref="HF1" r:id="rId213"/>
    <hyperlink xmlns:r="http://schemas.openxmlformats.org/officeDocument/2006/relationships" ref="HG1" r:id="rId214"/>
    <hyperlink xmlns:r="http://schemas.openxmlformats.org/officeDocument/2006/relationships" ref="HH1" r:id="rId215"/>
    <hyperlink xmlns:r="http://schemas.openxmlformats.org/officeDocument/2006/relationships" ref="HI1" r:id="rId216"/>
    <hyperlink xmlns:r="http://schemas.openxmlformats.org/officeDocument/2006/relationships" ref="HJ1" r:id="rId217"/>
    <hyperlink xmlns:r="http://schemas.openxmlformats.org/officeDocument/2006/relationships" ref="HK1" r:id="rId218"/>
    <hyperlink xmlns:r="http://schemas.openxmlformats.org/officeDocument/2006/relationships" ref="HL1" r:id="rId219"/>
    <hyperlink xmlns:r="http://schemas.openxmlformats.org/officeDocument/2006/relationships" ref="HM1" r:id="rId220"/>
    <hyperlink xmlns:r="http://schemas.openxmlformats.org/officeDocument/2006/relationships" ref="HN1" r:id="rId221"/>
    <hyperlink xmlns:r="http://schemas.openxmlformats.org/officeDocument/2006/relationships" ref="HO1" r:id="rId222"/>
    <hyperlink xmlns:r="http://schemas.openxmlformats.org/officeDocument/2006/relationships" ref="HP1" r:id="rId223"/>
    <hyperlink xmlns:r="http://schemas.openxmlformats.org/officeDocument/2006/relationships" ref="HQ1" r:id="rId224"/>
    <hyperlink xmlns:r="http://schemas.openxmlformats.org/officeDocument/2006/relationships" ref="HR1" r:id="rId225"/>
    <hyperlink xmlns:r="http://schemas.openxmlformats.org/officeDocument/2006/relationships" ref="HS1" r:id="rId226"/>
    <hyperlink xmlns:r="http://schemas.openxmlformats.org/officeDocument/2006/relationships" ref="HT1" r:id="rId227"/>
    <hyperlink xmlns:r="http://schemas.openxmlformats.org/officeDocument/2006/relationships" ref="HU1" r:id="rId228"/>
    <hyperlink xmlns:r="http://schemas.openxmlformats.org/officeDocument/2006/relationships" ref="HV1" r:id="rId229"/>
    <hyperlink xmlns:r="http://schemas.openxmlformats.org/officeDocument/2006/relationships" ref="HW1" r:id="rId230"/>
    <hyperlink xmlns:r="http://schemas.openxmlformats.org/officeDocument/2006/relationships" ref="HX1" r:id="rId231"/>
    <hyperlink xmlns:r="http://schemas.openxmlformats.org/officeDocument/2006/relationships" ref="HY1" r:id="rId232"/>
    <hyperlink xmlns:r="http://schemas.openxmlformats.org/officeDocument/2006/relationships" ref="HZ1" r:id="rId233"/>
    <hyperlink xmlns:r="http://schemas.openxmlformats.org/officeDocument/2006/relationships" ref="IA1" r:id="rId234"/>
    <hyperlink xmlns:r="http://schemas.openxmlformats.org/officeDocument/2006/relationships" ref="IB1" r:id="rId235"/>
    <hyperlink xmlns:r="http://schemas.openxmlformats.org/officeDocument/2006/relationships" ref="IC1" r:id="rId236"/>
    <hyperlink xmlns:r="http://schemas.openxmlformats.org/officeDocument/2006/relationships" ref="ID1" r:id="rId237"/>
    <hyperlink xmlns:r="http://schemas.openxmlformats.org/officeDocument/2006/relationships" ref="IE1" r:id="rId238"/>
    <hyperlink xmlns:r="http://schemas.openxmlformats.org/officeDocument/2006/relationships" ref="IF1" r:id="rId239"/>
    <hyperlink xmlns:r="http://schemas.openxmlformats.org/officeDocument/2006/relationships" ref="IG1" r:id="rId240"/>
    <hyperlink xmlns:r="http://schemas.openxmlformats.org/officeDocument/2006/relationships" ref="IH1" r:id="rId241"/>
    <hyperlink xmlns:r="http://schemas.openxmlformats.org/officeDocument/2006/relationships" ref="II1" r:id="rId242"/>
    <hyperlink xmlns:r="http://schemas.openxmlformats.org/officeDocument/2006/relationships" ref="IJ1" r:id="rId243"/>
    <hyperlink xmlns:r="http://schemas.openxmlformats.org/officeDocument/2006/relationships" ref="IK1" r:id="rId244"/>
    <hyperlink xmlns:r="http://schemas.openxmlformats.org/officeDocument/2006/relationships" ref="IL1" r:id="rId245"/>
    <hyperlink xmlns:r="http://schemas.openxmlformats.org/officeDocument/2006/relationships" ref="IM1" r:id="rId246"/>
    <hyperlink xmlns:r="http://schemas.openxmlformats.org/officeDocument/2006/relationships" ref="IN1" r:id="rId247"/>
    <hyperlink xmlns:r="http://schemas.openxmlformats.org/officeDocument/2006/relationships" ref="IO1" r:id="rId248"/>
    <hyperlink xmlns:r="http://schemas.openxmlformats.org/officeDocument/2006/relationships" ref="IP1" r:id="rId249"/>
    <hyperlink xmlns:r="http://schemas.openxmlformats.org/officeDocument/2006/relationships" ref="IQ1" r:id="rId250"/>
    <hyperlink xmlns:r="http://schemas.openxmlformats.org/officeDocument/2006/relationships" ref="IR1" r:id="rId251"/>
    <hyperlink xmlns:r="http://schemas.openxmlformats.org/officeDocument/2006/relationships" ref="IS1" r:id="rId252"/>
    <hyperlink xmlns:r="http://schemas.openxmlformats.org/officeDocument/2006/relationships" ref="IT1" r:id="rId253"/>
    <hyperlink xmlns:r="http://schemas.openxmlformats.org/officeDocument/2006/relationships" ref="IU1" r:id="rId254"/>
    <hyperlink xmlns:r="http://schemas.openxmlformats.org/officeDocument/2006/relationships" ref="IV1" r:id="rId255"/>
    <hyperlink xmlns:r="http://schemas.openxmlformats.org/officeDocument/2006/relationships" ref="IW1" r:id="rId256"/>
    <hyperlink xmlns:r="http://schemas.openxmlformats.org/officeDocument/2006/relationships" ref="IX1" r:id="rId257"/>
    <hyperlink xmlns:r="http://schemas.openxmlformats.org/officeDocument/2006/relationships" ref="IY1" r:id="rId258"/>
    <hyperlink xmlns:r="http://schemas.openxmlformats.org/officeDocument/2006/relationships" ref="IZ1" r:id="rId259"/>
    <hyperlink xmlns:r="http://schemas.openxmlformats.org/officeDocument/2006/relationships" ref="JA1" r:id="rId260"/>
    <hyperlink xmlns:r="http://schemas.openxmlformats.org/officeDocument/2006/relationships" ref="JB1" r:id="rId261"/>
    <hyperlink xmlns:r="http://schemas.openxmlformats.org/officeDocument/2006/relationships" ref="JC1" r:id="rId262"/>
    <hyperlink xmlns:r="http://schemas.openxmlformats.org/officeDocument/2006/relationships" ref="JD1" r:id="rId263"/>
    <hyperlink xmlns:r="http://schemas.openxmlformats.org/officeDocument/2006/relationships" ref="JE1" r:id="rId264"/>
    <hyperlink xmlns:r="http://schemas.openxmlformats.org/officeDocument/2006/relationships" ref="JF1" r:id="rId265"/>
    <hyperlink xmlns:r="http://schemas.openxmlformats.org/officeDocument/2006/relationships" ref="JG1" r:id="rId266"/>
    <hyperlink xmlns:r="http://schemas.openxmlformats.org/officeDocument/2006/relationships" ref="JH1" r:id="rId267"/>
    <hyperlink xmlns:r="http://schemas.openxmlformats.org/officeDocument/2006/relationships" ref="JI1" r:id="rId268"/>
    <hyperlink xmlns:r="http://schemas.openxmlformats.org/officeDocument/2006/relationships" ref="JJ1" r:id="rId269"/>
    <hyperlink xmlns:r="http://schemas.openxmlformats.org/officeDocument/2006/relationships" ref="JK1" r:id="rId270"/>
    <hyperlink xmlns:r="http://schemas.openxmlformats.org/officeDocument/2006/relationships" ref="JL1" r:id="rId271"/>
    <hyperlink xmlns:r="http://schemas.openxmlformats.org/officeDocument/2006/relationships" ref="JM1" r:id="rId272"/>
    <hyperlink xmlns:r="http://schemas.openxmlformats.org/officeDocument/2006/relationships" ref="JN1" r:id="rId273"/>
    <hyperlink xmlns:r="http://schemas.openxmlformats.org/officeDocument/2006/relationships" ref="JO1" r:id="rId274"/>
    <hyperlink xmlns:r="http://schemas.openxmlformats.org/officeDocument/2006/relationships" ref="JP1" r:id="rId275"/>
    <hyperlink xmlns:r="http://schemas.openxmlformats.org/officeDocument/2006/relationships" ref="JQ1" r:id="rId276"/>
    <hyperlink xmlns:r="http://schemas.openxmlformats.org/officeDocument/2006/relationships" ref="JR1" r:id="rId277"/>
    <hyperlink xmlns:r="http://schemas.openxmlformats.org/officeDocument/2006/relationships" ref="JS1" r:id="rId278"/>
    <hyperlink xmlns:r="http://schemas.openxmlformats.org/officeDocument/2006/relationships" ref="JT1" r:id="rId279"/>
    <hyperlink xmlns:r="http://schemas.openxmlformats.org/officeDocument/2006/relationships" ref="JU1" r:id="rId280"/>
    <hyperlink xmlns:r="http://schemas.openxmlformats.org/officeDocument/2006/relationships" ref="JV1" r:id="rId281"/>
    <hyperlink xmlns:r="http://schemas.openxmlformats.org/officeDocument/2006/relationships" ref="JW1" r:id="rId282"/>
    <hyperlink xmlns:r="http://schemas.openxmlformats.org/officeDocument/2006/relationships" ref="JX1" r:id="rId283"/>
    <hyperlink xmlns:r="http://schemas.openxmlformats.org/officeDocument/2006/relationships" ref="JY1" r:id="rId284"/>
    <hyperlink xmlns:r="http://schemas.openxmlformats.org/officeDocument/2006/relationships" ref="JZ1" r:id="rId285"/>
    <hyperlink xmlns:r="http://schemas.openxmlformats.org/officeDocument/2006/relationships" ref="KA1" r:id="rId286"/>
    <hyperlink xmlns:r="http://schemas.openxmlformats.org/officeDocument/2006/relationships" ref="KB1" r:id="rId287"/>
    <hyperlink xmlns:r="http://schemas.openxmlformats.org/officeDocument/2006/relationships" ref="KC1" r:id="rId288"/>
    <hyperlink xmlns:r="http://schemas.openxmlformats.org/officeDocument/2006/relationships" ref="KD1" r:id="rId289"/>
    <hyperlink xmlns:r="http://schemas.openxmlformats.org/officeDocument/2006/relationships" ref="KE1" r:id="rId290"/>
    <hyperlink xmlns:r="http://schemas.openxmlformats.org/officeDocument/2006/relationships" ref="KF1" r:id="rId291"/>
    <hyperlink xmlns:r="http://schemas.openxmlformats.org/officeDocument/2006/relationships" ref="KG1" r:id="rId292"/>
    <hyperlink xmlns:r="http://schemas.openxmlformats.org/officeDocument/2006/relationships" ref="KH1" r:id="rId293"/>
    <hyperlink xmlns:r="http://schemas.openxmlformats.org/officeDocument/2006/relationships" ref="KI1" r:id="rId294"/>
    <hyperlink xmlns:r="http://schemas.openxmlformats.org/officeDocument/2006/relationships" ref="KJ1" r:id="rId295"/>
    <hyperlink xmlns:r="http://schemas.openxmlformats.org/officeDocument/2006/relationships" ref="KK1" r:id="rId296"/>
    <hyperlink xmlns:r="http://schemas.openxmlformats.org/officeDocument/2006/relationships" ref="KL1" r:id="rId297"/>
    <hyperlink xmlns:r="http://schemas.openxmlformats.org/officeDocument/2006/relationships" ref="KM1" r:id="rId298"/>
    <hyperlink xmlns:r="http://schemas.openxmlformats.org/officeDocument/2006/relationships" ref="KN1" r:id="rId299"/>
    <hyperlink xmlns:r="http://schemas.openxmlformats.org/officeDocument/2006/relationships" ref="KO1" r:id="rId300"/>
    <hyperlink xmlns:r="http://schemas.openxmlformats.org/officeDocument/2006/relationships" ref="KP1" r:id="rId301"/>
    <hyperlink xmlns:r="http://schemas.openxmlformats.org/officeDocument/2006/relationships" ref="KQ1" r:id="rId302"/>
    <hyperlink xmlns:r="http://schemas.openxmlformats.org/officeDocument/2006/relationships" ref="KR1" r:id="rId303"/>
    <hyperlink xmlns:r="http://schemas.openxmlformats.org/officeDocument/2006/relationships" ref="KS1" r:id="rId304"/>
    <hyperlink xmlns:r="http://schemas.openxmlformats.org/officeDocument/2006/relationships" ref="KT1" r:id="rId305"/>
    <hyperlink xmlns:r="http://schemas.openxmlformats.org/officeDocument/2006/relationships" ref="KU1" r:id="rId306"/>
    <hyperlink xmlns:r="http://schemas.openxmlformats.org/officeDocument/2006/relationships" ref="KV1" r:id="rId307"/>
    <hyperlink xmlns:r="http://schemas.openxmlformats.org/officeDocument/2006/relationships" ref="KW1" r:id="rId308"/>
    <hyperlink xmlns:r="http://schemas.openxmlformats.org/officeDocument/2006/relationships" ref="KX1" r:id="rId309"/>
    <hyperlink xmlns:r="http://schemas.openxmlformats.org/officeDocument/2006/relationships" ref="KY1" r:id="rId310"/>
    <hyperlink xmlns:r="http://schemas.openxmlformats.org/officeDocument/2006/relationships" ref="KZ1" r:id="rId311"/>
    <hyperlink xmlns:r="http://schemas.openxmlformats.org/officeDocument/2006/relationships" ref="LA1" r:id="rId312"/>
    <hyperlink xmlns:r="http://schemas.openxmlformats.org/officeDocument/2006/relationships" ref="LB1" r:id="rId313"/>
    <hyperlink xmlns:r="http://schemas.openxmlformats.org/officeDocument/2006/relationships" ref="LC1" r:id="rId314"/>
    <hyperlink xmlns:r="http://schemas.openxmlformats.org/officeDocument/2006/relationships" ref="LD1" r:id="rId315"/>
    <hyperlink xmlns:r="http://schemas.openxmlformats.org/officeDocument/2006/relationships" ref="LE1" r:id="rId316"/>
    <hyperlink xmlns:r="http://schemas.openxmlformats.org/officeDocument/2006/relationships" ref="LF1" r:id="rId317"/>
    <hyperlink xmlns:r="http://schemas.openxmlformats.org/officeDocument/2006/relationships" ref="LG1" r:id="rId318"/>
    <hyperlink xmlns:r="http://schemas.openxmlformats.org/officeDocument/2006/relationships" ref="LH1" r:id="rId319"/>
    <hyperlink xmlns:r="http://schemas.openxmlformats.org/officeDocument/2006/relationships" ref="LI1" r:id="rId320"/>
    <hyperlink xmlns:r="http://schemas.openxmlformats.org/officeDocument/2006/relationships" ref="LJ1" r:id="rId321"/>
    <hyperlink xmlns:r="http://schemas.openxmlformats.org/officeDocument/2006/relationships" ref="LK1" r:id="rId322"/>
    <hyperlink xmlns:r="http://schemas.openxmlformats.org/officeDocument/2006/relationships" ref="LL1" r:id="rId323"/>
    <hyperlink xmlns:r="http://schemas.openxmlformats.org/officeDocument/2006/relationships" ref="LM1" r:id="rId324"/>
    <hyperlink xmlns:r="http://schemas.openxmlformats.org/officeDocument/2006/relationships" ref="LN1" r:id="rId325"/>
    <hyperlink xmlns:r="http://schemas.openxmlformats.org/officeDocument/2006/relationships" ref="LO1" r:id="rId326"/>
  </hyperlink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42" customWidth="1" min="3" max="3"/>
  </cols>
  <sheetData>
    <row r="1">
      <c r="A1" s="6" t="inlineStr">
        <is>
          <t>source_key</t>
        </is>
      </c>
      <c r="B1" s="6" t="inlineStr">
        <is>
          <t>url</t>
        </is>
      </c>
      <c r="C1" s="6" t="inlineStr">
        <is>
          <t>use</t>
        </is>
      </c>
    </row>
    <row r="2">
      <c r="A2" t="inlineStr">
        <is>
          <t>bls_api</t>
        </is>
      </c>
      <c r="B2" s="5" t="inlineStr">
        <is>
          <t>https://api.bls.gov/publicAPI/v2/timeseries/data/</t>
        </is>
      </c>
      <c r="C2" t="inlineStr">
        <is>
          <t>Index levels, NSA and SA, all series</t>
        </is>
      </c>
    </row>
    <row r="3">
      <c r="A3" t="inlineStr">
        <is>
          <t>api_registration</t>
        </is>
      </c>
      <c r="B3" s="5" t="inlineStr">
        <is>
          <t>https://data.bls.gov/registrationEngine/</t>
        </is>
      </c>
      <c r="C3" t="inlineStr">
        <is>
          <t>API key registration and limits</t>
        </is>
      </c>
    </row>
    <row r="4">
      <c r="A4" t="inlineStr">
        <is>
          <t>labstat_base</t>
        </is>
      </c>
      <c r="B4" s="5" t="inlineStr">
        <is>
          <t>https://download.bls.gov/pub/time.series/cu/</t>
        </is>
      </c>
      <c r="C4" t="inlineStr">
        <is>
          <t>Flat-file CPI metadata and bulk data</t>
        </is>
      </c>
    </row>
    <row r="5">
      <c r="A5" t="inlineStr">
        <is>
          <t>cu_item</t>
        </is>
      </c>
      <c r="B5" s="5" t="inlineStr">
        <is>
          <t>https://download.bls.gov/pub/time.series/cu/cu.item</t>
        </is>
      </c>
      <c r="C5" t="inlineStr"/>
    </row>
    <row r="6">
      <c r="A6" t="inlineStr">
        <is>
          <t>cu_series</t>
        </is>
      </c>
      <c r="B6" s="5" t="inlineStr">
        <is>
          <t>https://download.bls.gov/pub/time.series/cu/cu.series</t>
        </is>
      </c>
      <c r="C6" t="inlineStr"/>
    </row>
    <row r="7">
      <c r="A7" t="inlineStr">
        <is>
          <t>cu_current</t>
        </is>
      </c>
      <c r="B7" s="5" t="inlineStr">
        <is>
          <t>https://download.bls.gov/pub/time.series/cu/cu.data.0.Current</t>
        </is>
      </c>
      <c r="C7" t="inlineStr"/>
    </row>
    <row r="8">
      <c r="A8" t="inlineStr">
        <is>
          <t>relative_importance</t>
        </is>
      </c>
      <c r="B8" s="5" t="inlineStr">
        <is>
          <t>https://www.bls.gov/cpi/tables/relative-importance/</t>
        </is>
      </c>
      <c r="C8" t="inlineStr">
        <is>
          <t>Annual and monthly RI methodology</t>
        </is>
      </c>
    </row>
    <row r="9">
      <c r="A9" t="inlineStr">
        <is>
          <t>relative_importance_xlsx</t>
        </is>
      </c>
      <c r="B9" s="5" t="inlineStr">
        <is>
          <t>https://www.bls.gov/web/cpi/cpi-relative-importance.xlsx</t>
        </is>
      </c>
      <c r="C9" t="inlineStr"/>
    </row>
    <row r="10">
      <c r="A10" t="inlineStr">
        <is>
          <t>news_release</t>
        </is>
      </c>
      <c r="B10" s="5" t="inlineStr">
        <is>
          <t>https://www.bls.gov/news.release/cpi.nr0.htm</t>
        </is>
      </c>
      <c r="C10" t="inlineStr">
        <is>
          <t>Latest CPI release text</t>
        </is>
      </c>
    </row>
    <row r="11">
      <c r="A11" t="inlineStr">
        <is>
          <t>news_table_1</t>
        </is>
      </c>
      <c r="B11" s="5" t="inlineStr">
        <is>
          <t>https://www.bls.gov/news.release/cpi.t01.htm</t>
        </is>
      </c>
      <c r="C11" t="inlineStr"/>
    </row>
    <row r="12">
      <c r="A12" t="inlineStr">
        <is>
          <t>news_table_2</t>
        </is>
      </c>
      <c r="B12" s="5" t="inlineStr">
        <is>
          <t>https://www.bls.gov/news.release/cpi.t02.htm</t>
        </is>
      </c>
      <c r="C12" t="inlineStr"/>
    </row>
    <row r="13">
      <c r="A13" t="inlineStr">
        <is>
          <t>supplemental</t>
        </is>
      </c>
      <c r="B13" s="5" t="inlineStr">
        <is>
          <t>https://www.bls.gov/web/cpi.supp.toc.htm</t>
        </is>
      </c>
      <c r="C13" t="inlineStr">
        <is>
          <t>Machine-readable release companion files</t>
        </is>
      </c>
    </row>
    <row r="14">
      <c r="A14" t="inlineStr">
        <is>
          <t>release_calendar</t>
        </is>
      </c>
      <c r="B14" s="5" t="inlineStr">
        <is>
          <t>https://www.bls.gov/schedule/news_release/cpi.htm</t>
        </is>
      </c>
      <c r="C14" t="inlineStr">
        <is>
          <t>CPI release dates</t>
        </is>
      </c>
    </row>
    <row r="15">
      <c r="A15" t="inlineStr">
        <is>
          <t>handbook_design</t>
        </is>
      </c>
      <c r="B15" s="5" t="inlineStr">
        <is>
          <t>https://www.bls.gov/opub/hom/cpi/design.htm</t>
        </is>
      </c>
      <c r="C15" t="inlineStr"/>
    </row>
    <row r="16">
      <c r="A16" t="inlineStr">
        <is>
          <t>handbook_data</t>
        </is>
      </c>
      <c r="B16" s="5" t="inlineStr">
        <is>
          <t>https://www.bls.gov/opub/hom/cpi/data.htm</t>
        </is>
      </c>
      <c r="C16" t="inlineStr"/>
    </row>
    <row r="17">
      <c r="A17" t="inlineStr">
        <is>
          <t>handbook_calculation</t>
        </is>
      </c>
      <c r="B17" s="5" t="inlineStr">
        <is>
          <t>https://www.bls.gov/opub/hom/cpi/calculation.htm</t>
        </is>
      </c>
      <c r="C17" t="inlineStr">
        <is>
          <t>CPI formula and calculation methods</t>
        </is>
      </c>
    </row>
    <row r="18">
      <c r="A18" t="inlineStr">
        <is>
          <t>factsheets</t>
        </is>
      </c>
      <c r="B18" s="5" t="inlineStr">
        <is>
          <t>https://www.bls.gov/cpi/factsheets/</t>
        </is>
      </c>
      <c r="C18" t="inlineStr">
        <is>
          <t>Per-component methodology factsheets</t>
        </is>
      </c>
    </row>
    <row r="19">
      <c r="A19" t="inlineStr">
        <is>
          <t>quality_adjustment</t>
        </is>
      </c>
      <c r="B19" s="5" t="inlineStr">
        <is>
          <t>https://www.bls.gov/cpi/quality-adjustment/</t>
        </is>
      </c>
      <c r="C19" t="inlineStr"/>
    </row>
    <row r="20">
      <c r="A20" t="inlineStr">
        <is>
          <t>seasonal_adjustment</t>
        </is>
      </c>
      <c r="B20" s="5" t="inlineStr">
        <is>
          <t>https://www.bls.gov/cpi/seasonal-adjustment/</t>
        </is>
      </c>
      <c r="C20" t="inlineStr"/>
    </row>
    <row r="21">
      <c r="A21" t="inlineStr">
        <is>
          <t>weight_update_2026</t>
        </is>
      </c>
      <c r="B21" s="5" t="inlineStr">
        <is>
          <t>https://www.bls.gov/cpi/tables/relative-importance/weight-update-comparison-2026.htm</t>
        </is>
      </c>
      <c r="C21" t="inlineStr"/>
    </row>
    <row r="22">
      <c r="A22" t="inlineStr">
        <is>
          <t>cost_weights</t>
        </is>
      </c>
      <c r="B22" s="5" t="inlineStr">
        <is>
          <t>https://www.bls.gov/cpi/tables/consumer-expenditure/cost-weights.htm</t>
        </is>
      </c>
      <c r="C22" t="inlineStr"/>
    </row>
  </sheetData>
  <autoFilter ref="A1:C22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2026-10-24T18:32:06Z</dcterms:created>
  <dcterms:modified xmlns:dcterms="http://purl.org/dc/terms/" xmlns:xsi="http://www.w3.org/2001/XMLSchema-instance" xsi:type="dcterms:W3CDTF">2026-10-24T18:32:10Z</dcterms:modified>
</cp:coreProperties>
</file>